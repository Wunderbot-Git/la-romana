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5"/>
    <sheet state="visible" name="Course" sheetId="2" r:id="rId6"/>
    <sheet state="visible" name="Settings" sheetId="3" r:id="rId7"/>
    <sheet state="visible" name="Awards" sheetId="4" r:id="rId8"/>
    <sheet state="visible" name="Front9_Scores" sheetId="5" r:id="rId9"/>
    <sheet state="visible" name="Back9_Scores" sheetId="6" r:id="rId10"/>
    <sheet state="visible" name="Calc_Engine" sheetId="7" r:id="rId11"/>
    <sheet state="visible" name="Front9_Data" sheetId="8" r:id="rId12"/>
    <sheet state="visible" name="Scramble_Data" sheetId="9" r:id="rId13"/>
    <sheet state="visible" name="Matches" sheetId="10" r:id="rId14"/>
    <sheet state="visible" name="Flights" sheetId="11" r:id="rId15"/>
    <sheet state="visible" name="🏆 Scoreboard" sheetId="12" r:id="rId16"/>
    <sheet state="visible" name="Summary" sheetId="13" r:id="rId17"/>
    <sheet state="hidden" name="App Metadata" sheetId="14" r:id="rId18"/>
    <sheet state="visible" name="App Logins" sheetId="15" r:id="rId19"/>
  </sheets>
  <definedNames>
    <definedName hidden="1" localSheetId="5" name="_xlnm._FilterDatabase">Back9_Scores!$A$1:$E$106</definedName>
  </definedNames>
  <calcPr/>
</workbook>
</file>

<file path=xl/sharedStrings.xml><?xml version="1.0" encoding="utf-8"?>
<sst xmlns="http://schemas.openxmlformats.org/spreadsheetml/2006/main" count="164157" uniqueCount="606">
  <si>
    <t>Player_Name</t>
  </si>
  <si>
    <t>Team</t>
  </si>
  <si>
    <t>Flight_ID</t>
  </si>
  <si>
    <t>Full_HCP</t>
  </si>
  <si>
    <t>Tee_Box</t>
  </si>
  <si>
    <t>Player_Order</t>
  </si>
  <si>
    <t>Fercho</t>
  </si>
  <si>
    <t>Blue</t>
  </si>
  <si>
    <t>Flight_1</t>
  </si>
  <si>
    <t>Ventaja Blanca</t>
  </si>
  <si>
    <t>Gaitan</t>
  </si>
  <si>
    <t>Fito</t>
  </si>
  <si>
    <t>Red</t>
  </si>
  <si>
    <t>Adri Mejia</t>
  </si>
  <si>
    <t>Ventaja Rojas</t>
  </si>
  <si>
    <t>Otto Fenwarth</t>
  </si>
  <si>
    <t>Flight_2</t>
  </si>
  <si>
    <t>Valenzuela</t>
  </si>
  <si>
    <t>Cadavid</t>
  </si>
  <si>
    <t>Saenz</t>
  </si>
  <si>
    <t>Vargas</t>
  </si>
  <si>
    <t>Flight_3</t>
  </si>
  <si>
    <t>Mon</t>
  </si>
  <si>
    <t>Berris</t>
  </si>
  <si>
    <t>Pablo Rueda</t>
  </si>
  <si>
    <t>Luca</t>
  </si>
  <si>
    <t>Flight_4</t>
  </si>
  <si>
    <t>Rocha</t>
  </si>
  <si>
    <t>Matiz</t>
  </si>
  <si>
    <t>Esguerra</t>
  </si>
  <si>
    <t>Sardi</t>
  </si>
  <si>
    <t>Flight_5</t>
  </si>
  <si>
    <t>JC Casas</t>
  </si>
  <si>
    <t>Pulido</t>
  </si>
  <si>
    <t>Otoya</t>
  </si>
  <si>
    <t>Ana Maria</t>
  </si>
  <si>
    <t>Flight_6</t>
  </si>
  <si>
    <t>Schneider</t>
  </si>
  <si>
    <t>Pablo Acosta</t>
  </si>
  <si>
    <t>Garcia</t>
  </si>
  <si>
    <t>Pocho</t>
  </si>
  <si>
    <t>Flight_7</t>
  </si>
  <si>
    <t>Phil</t>
  </si>
  <si>
    <t>Velez</t>
  </si>
  <si>
    <t>JP Mosquera</t>
  </si>
  <si>
    <t>Veronica Perez</t>
  </si>
  <si>
    <t>Flight_8</t>
  </si>
  <si>
    <t>Bernie</t>
  </si>
  <si>
    <t>Pilarica</t>
  </si>
  <si>
    <t>Camacho</t>
  </si>
  <si>
    <t>Hole</t>
  </si>
  <si>
    <t>Par</t>
  </si>
  <si>
    <t>Hole_HCP_Index</t>
  </si>
  <si>
    <t>Ventaja Azul</t>
  </si>
  <si>
    <t>Ventaja Mixta</t>
  </si>
  <si>
    <t>Hole_1_9</t>
  </si>
  <si>
    <t>Hole_10_18</t>
  </si>
  <si>
    <t>Hole_Image</t>
  </si>
  <si>
    <t>Hole_Image_Red</t>
  </si>
  <si>
    <t>https://storage.googleapis.com/glide-prod.appspot.com/uploads-v2/i8A0lNzzsZLQ68w3K8X6/pub/f8hD0k3v47Xnhg0gJI54.svg</t>
  </si>
  <si>
    <t>https://storage.googleapis.com/glide-prod.appspot.com/uploads-v2/i8A0lNzzsZLQ68w3K8X6/pub/M9kXOgQ7LzogO5SJoFLF.svg</t>
  </si>
  <si>
    <t>https://storage.googleapis.com/glide-prod.appspot.com/uploads-v2/i8A0lNzzsZLQ68w3K8X6/pub/xSsRozFPLUn2lZ9MMJoh.svg</t>
  </si>
  <si>
    <t>https://storage.googleapis.com/glide-prod.appspot.com/uploads-v2/i8A0lNzzsZLQ68w3K8X6/pub/Jbt3Zujjw5ppM8rDK1Sv.svg</t>
  </si>
  <si>
    <t>https://storage.googleapis.com/glide-prod.appspot.com/uploads-v2/i8A0lNzzsZLQ68w3K8X6/pub/lK0BFuqyL7YUlT6QULay.svg</t>
  </si>
  <si>
    <t>https://storage.googleapis.com/glide-prod.appspot.com/uploads-v2/i8A0lNzzsZLQ68w3K8X6/pub/jzUysXtjPRB9trTsZ0ql.svg</t>
  </si>
  <si>
    <t>https://storage.googleapis.com/glide-prod.appspot.com/uploads-v2/i8A0lNzzsZLQ68w3K8X6/pub/8VCXJkjdjE38WVrhBodz.svg</t>
  </si>
  <si>
    <t>https://storage.googleapis.com/glide-prod.appspot.com/uploads-v2/i8A0lNzzsZLQ68w3K8X6/pub/4YG7hqx4n9vRbN1R69QM.svg</t>
  </si>
  <si>
    <t>https://storage.googleapis.com/glide-prod.appspot.com/uploads-v2/i8A0lNzzsZLQ68w3K8X6/pub/ChulCLzux677x8akEqbp.svg</t>
  </si>
  <si>
    <t>https://storage.googleapis.com/glide-prod.appspot.com/uploads-v2/i8A0lNzzsZLQ68w3K8X6/pub/wlDDyss750IBhHmbQJHr.svg</t>
  </si>
  <si>
    <t>https://storage.googleapis.com/glide-prod.appspot.com/uploads-v2/i8A0lNzzsZLQ68w3K8X6/pub/PeSpKAiLbKDkhbvv29sp.svg</t>
  </si>
  <si>
    <t>https://storage.googleapis.com/glide-prod.appspot.com/uploads-v2/i8A0lNzzsZLQ68w3K8X6/pub/3KrnbpsCnS77cKlypT8b.svg</t>
  </si>
  <si>
    <t>https://storage.googleapis.com/glide-prod.appspot.com/uploads-v2/i8A0lNzzsZLQ68w3K8X6/pub/CR7yowrJrQq4bQw2k8Ql.svg</t>
  </si>
  <si>
    <t>https://storage.googleapis.com/glide-prod.appspot.com/uploads-v2/i8A0lNzzsZLQ68w3K8X6/pub/qLmZDgwPfBG9SapcEsQN.svg</t>
  </si>
  <si>
    <t>https://storage.googleapis.com/glide-prod.appspot.com/uploads-v2/i8A0lNzzsZLQ68w3K8X6/pub/D3UstOHqjFAkirDq7NGM.svg</t>
  </si>
  <si>
    <t>https://storage.googleapis.com/glide-prod.appspot.com/uploads-v2/i8A0lNzzsZLQ68w3K8X6/pub/lIVrlUBCcswxvlJTTP3B.svg</t>
  </si>
  <si>
    <t>https://storage.googleapis.com/glide-prod.appspot.com/uploads-v2/i8A0lNzzsZLQ68w3K8X6/pub/V9Z0FWr0rv0ShDU67XyR.svg</t>
  </si>
  <si>
    <t>https://storage.googleapis.com/glide-prod.appspot.com/uploads-v2/i8A0lNzzsZLQ68w3K8X6/pub/qUydupJtpoR1Yxq2K4cf.svg</t>
  </si>
  <si>
    <t>Setting_Name</t>
  </si>
  <si>
    <t>Value</t>
  </si>
  <si>
    <t>🔒 Row ID</t>
  </si>
  <si>
    <t>HCP_Fourball_Individual</t>
  </si>
  <si>
    <t>3Cs9VFFQRIWi.UtnG48yPw</t>
  </si>
  <si>
    <t>HCP_Scramble_A_Player</t>
  </si>
  <si>
    <t>ZWljtQxCT4KfOIeJWhCOHg</t>
  </si>
  <si>
    <t>HCP_Scramble_B_Player</t>
  </si>
  <si>
    <t>4SDk6-7jQaqaQlZTVQt5bQ</t>
  </si>
  <si>
    <t>Award</t>
  </si>
  <si>
    <t>Winner_Flight</t>
  </si>
  <si>
    <t>Longest Drive (Hole 10)</t>
  </si>
  <si>
    <t>Nearest to Pin (Hole 15)</t>
  </si>
  <si>
    <t>Gross_Score</t>
  </si>
  <si>
    <t>Player_Email</t>
  </si>
  <si>
    <t>philipp@hasskamp.de</t>
  </si>
  <si>
    <t>pulidostellabatti@gmail.com</t>
  </si>
  <si>
    <t>Juanpablocamacho@hotmail.com</t>
  </si>
  <si>
    <t>camilo.fer@gmail.com</t>
  </si>
  <si>
    <t>t_valenzuela17@yahoo.com.co</t>
  </si>
  <si>
    <t>Pipe1188@hotmail.com</t>
  </si>
  <si>
    <t>simon.torres@gmail.com</t>
  </si>
  <si>
    <t>Christianscj@yahoo.com</t>
  </si>
  <si>
    <t>Lucapfeifer@gmail.com</t>
  </si>
  <si>
    <t>Red_Scramble_Score</t>
  </si>
  <si>
    <t>Blue_Scramble_Score</t>
  </si>
  <si>
    <t>Scramble_Key</t>
  </si>
  <si>
    <t>10</t>
  </si>
  <si>
    <t>Flight_7 - 10 - Red</t>
  </si>
  <si>
    <t>Flight_7 - 10 - Blue</t>
  </si>
  <si>
    <t>Flight_5 - 10 - Red</t>
  </si>
  <si>
    <t>Flight_5 - 10 - Blue</t>
  </si>
  <si>
    <t>Flight_5 - 11 - Red</t>
  </si>
  <si>
    <t>Flight_5 - 11 - Blue</t>
  </si>
  <si>
    <t>Flight_7 - 11 - Red</t>
  </si>
  <si>
    <t>Flight_7 - 11 - Blue</t>
  </si>
  <si>
    <t>Flight_8 - 10 - Red</t>
  </si>
  <si>
    <t>Flight_8 - 10 - Blue</t>
  </si>
  <si>
    <t>Flight_7 - 12 - Blue</t>
  </si>
  <si>
    <t>Flight_7 - 12 - Red</t>
  </si>
  <si>
    <t>Flight_5 - 12 - Red</t>
  </si>
  <si>
    <t>Flight_5 - 12 - Blue</t>
  </si>
  <si>
    <t>Flight_1 - 10 - Red</t>
  </si>
  <si>
    <t>Flight_1 - 10 - Blue</t>
  </si>
  <si>
    <t>Flight_5 - 13 - Red</t>
  </si>
  <si>
    <t>Flight_5 - 13 - Blue</t>
  </si>
  <si>
    <t>Flight_7 - 13 - Red</t>
  </si>
  <si>
    <t>Flight_7 - 13 - Blue</t>
  </si>
  <si>
    <t>Flight_5 - 14 - Red</t>
  </si>
  <si>
    <t>Flight_5 - 14 - Blue</t>
  </si>
  <si>
    <t>Flight_5 - 15 - Red</t>
  </si>
  <si>
    <t>Flight_5 - 15 - Blue</t>
  </si>
  <si>
    <t>Flight_1 - 11 - Blue</t>
  </si>
  <si>
    <t>Flight_1 - 11 - Red</t>
  </si>
  <si>
    <t>Flight_3 - 10 - Red</t>
  </si>
  <si>
    <t>Flight_3 - 10 - Blue</t>
  </si>
  <si>
    <t>Flight_1 - 12 - Red</t>
  </si>
  <si>
    <t>Flight_1 - 12 - Blue</t>
  </si>
  <si>
    <t>Flight_2 - 10 - Blue</t>
  </si>
  <si>
    <t>Flight_2 - 10 - Red</t>
  </si>
  <si>
    <t>Flight_2 - 11 - Blue</t>
  </si>
  <si>
    <t>Flight_2 - 11 - Red</t>
  </si>
  <si>
    <t>Flight_7 - 14 - Red</t>
  </si>
  <si>
    <t>Flight_7 - 14 - Blue</t>
  </si>
  <si>
    <t>Flight_6 - 10 - Red</t>
  </si>
  <si>
    <t>Flight_3 - 11 - Red</t>
  </si>
  <si>
    <t>Flight_6 - 10 - Blue</t>
  </si>
  <si>
    <t>Flight_3 - 11 - Blue</t>
  </si>
  <si>
    <t>Flight_8 - 11 - Red</t>
  </si>
  <si>
    <t>Flight_8 - 11 - Blue</t>
  </si>
  <si>
    <t>Flight_8 - 12 - Red</t>
  </si>
  <si>
    <t>Flight_8 - 12 - Blue</t>
  </si>
  <si>
    <t>Flight_8 - 13 - Red</t>
  </si>
  <si>
    <t>Flight_8 - 13 - Blue</t>
  </si>
  <si>
    <t>Flight_7 - 15 - Red</t>
  </si>
  <si>
    <t>Flight_7 - 15 - Blue</t>
  </si>
  <si>
    <t>Flight_1 - 13 - Red</t>
  </si>
  <si>
    <t>Flight_1 - 13 - Blue</t>
  </si>
  <si>
    <t>Flight_5 - 16 - Red</t>
  </si>
  <si>
    <t>Flight_5 - 16 - Blue</t>
  </si>
  <si>
    <t>Flight_5 - 17 - Blue</t>
  </si>
  <si>
    <t>Flight_5 - 17 - Red</t>
  </si>
  <si>
    <t>Flight_2 - 12 - Blue</t>
  </si>
  <si>
    <t>Flight_2 - 12 - Red</t>
  </si>
  <si>
    <t>Flight_5 - 18 - Red</t>
  </si>
  <si>
    <t>Flight_5 - 18 - Blue</t>
  </si>
  <si>
    <t>Flight_4 - 10 - Red</t>
  </si>
  <si>
    <t>Flight_4 - 10 - Blue</t>
  </si>
  <si>
    <t>Flight_8 - 14 - Blue</t>
  </si>
  <si>
    <t>Flight_8 - 14 - Red</t>
  </si>
  <si>
    <t>Flight_6 - 11 - Red</t>
  </si>
  <si>
    <t>Flight_6 - 11 - Blue</t>
  </si>
  <si>
    <t>Flight_2 - 13 - Red</t>
  </si>
  <si>
    <t>Flight_2 - 13 - Blue</t>
  </si>
  <si>
    <t>Flight_7 - 16 - Red</t>
  </si>
  <si>
    <t>Flight_7 - 16 - Blue</t>
  </si>
  <si>
    <t>Flight_3 - 12 - Red</t>
  </si>
  <si>
    <t>Flight_3 - 12 - Blue</t>
  </si>
  <si>
    <t>Flight_7 - 17 - Red</t>
  </si>
  <si>
    <t>Flight_7 - 17 - Blue</t>
  </si>
  <si>
    <t>Flight_3 - 13 - Red</t>
  </si>
  <si>
    <t>Flight_3 - 13 - Blue</t>
  </si>
  <si>
    <t>Flight_1 - 14 - Red</t>
  </si>
  <si>
    <t>Flight_1 - 14 - Blue</t>
  </si>
  <si>
    <t>Flight_8 - 15 - Blue</t>
  </si>
  <si>
    <t>Flight_8 - 15 - Red</t>
  </si>
  <si>
    <t>Flight_4 - 11 - Red</t>
  </si>
  <si>
    <t>Flight_4 - 11 - Blue</t>
  </si>
  <si>
    <t>Flight_6 - 12 - Red</t>
  </si>
  <si>
    <t>Flight_6 - 12 - Blue</t>
  </si>
  <si>
    <t>Flight_1 - 15 - Red</t>
  </si>
  <si>
    <t>Flight_1 - 15 - Blue</t>
  </si>
  <si>
    <t>Flight_2 - 14 - Blue</t>
  </si>
  <si>
    <t>Flight_2 - 14 - Red</t>
  </si>
  <si>
    <t>Flight_4 - 12 - Red</t>
  </si>
  <si>
    <t>Flight_4 - 12 - Blue</t>
  </si>
  <si>
    <t>Flight_3 - 14 - Red</t>
  </si>
  <si>
    <t>Flight_3 - 14 - Blue</t>
  </si>
  <si>
    <t>Flight_2 - 15 - Blue</t>
  </si>
  <si>
    <t>Flight_2 - 15 - Red</t>
  </si>
  <si>
    <t>Flight_6 - 13 - Red</t>
  </si>
  <si>
    <t>Flight_6 - 13 - Blue</t>
  </si>
  <si>
    <t>Flight_8 - 16 - Red</t>
  </si>
  <si>
    <t>Flight_8 - 16 - Blue</t>
  </si>
  <si>
    <t>Flight_7 - 18 - Blue</t>
  </si>
  <si>
    <t>Flight_4 - 13 - Red</t>
  </si>
  <si>
    <t>Flight_4 - 13 - Blue</t>
  </si>
  <si>
    <t>Flight_1 - 16 - Red</t>
  </si>
  <si>
    <t>Flight_1 - 16 - Blue</t>
  </si>
  <si>
    <t>Flight_6 - 14 - Red</t>
  </si>
  <si>
    <t>Flight_6 - 14 - Blue</t>
  </si>
  <si>
    <t>Flight_2 - 16 - Red</t>
  </si>
  <si>
    <t>Flight_2 - 16 - Blue</t>
  </si>
  <si>
    <t>Flight_8 - 17 - Red</t>
  </si>
  <si>
    <t>Flight_8 - 17 - Blue</t>
  </si>
  <si>
    <t>Flight_6 - 15 - Red</t>
  </si>
  <si>
    <t>Flight_6 - 15 - Blue</t>
  </si>
  <si>
    <t>Flight_3 - 15 - Red</t>
  </si>
  <si>
    <t>Flight_3 - 15 - Blue</t>
  </si>
  <si>
    <t>Flight_3 - 16 - Red</t>
  </si>
  <si>
    <t>Flight_3 - 16 - Blue</t>
  </si>
  <si>
    <t>Flight_1 - 17 - Blue</t>
  </si>
  <si>
    <t>Flight_1 - 17 - Red</t>
  </si>
  <si>
    <t>Flight_4 - 15 - Red</t>
  </si>
  <si>
    <t>Flight_4 - 15 - Blue</t>
  </si>
  <si>
    <t>Flight_4 - 14 - Blue</t>
  </si>
  <si>
    <t>Flight_4 - 14 - Red</t>
  </si>
  <si>
    <t>Flight_2 - 17 - Blue</t>
  </si>
  <si>
    <t>Flight_2 - 17 - Red</t>
  </si>
  <si>
    <t>Flight_6 - 16 - Red</t>
  </si>
  <si>
    <t>Flight_6 - 16 - Blue</t>
  </si>
  <si>
    <t>Flight_8 - 18 - Blue</t>
  </si>
  <si>
    <t>Flight_8 - 18 - Red</t>
  </si>
  <si>
    <t>Flight_3 - 17 - Red</t>
  </si>
  <si>
    <t>Flight_3 - 17 - Blue</t>
  </si>
  <si>
    <t>Flight_4 - 16 - Red</t>
  </si>
  <si>
    <t>Flight_4 - 16 - Blue</t>
  </si>
  <si>
    <t>Flight_1 - 18 - Red</t>
  </si>
  <si>
    <t>Flight_1 - 18 - Blue</t>
  </si>
  <si>
    <t>Flight_6 - 17 - Red</t>
  </si>
  <si>
    <t>Flight_6 - 17 - Blue</t>
  </si>
  <si>
    <t>Flight_4 - 17 - Red</t>
  </si>
  <si>
    <t>Flight_4 - 17 - Blue</t>
  </si>
  <si>
    <t>Flight_6 - 18 - Blue</t>
  </si>
  <si>
    <t>Flight_6 - 18 - Red</t>
  </si>
  <si>
    <t>Flight_4 - 18 - Blue</t>
  </si>
  <si>
    <t>Flight_4 - 18 - Red</t>
  </si>
  <si>
    <t>Play_HCP_80pct</t>
  </si>
  <si>
    <t>Tee_Category</t>
  </si>
  <si>
    <t>Pair_Row</t>
  </si>
  <si>
    <t>Pair_ID</t>
  </si>
  <si>
    <t>HCP_A_Player</t>
  </si>
  <si>
    <t>HCP_B_Player</t>
  </si>
  <si>
    <t>Pair_Scramble_HCP</t>
  </si>
  <si>
    <t>Is_Mixed_Pair</t>
  </si>
  <si>
    <t>RED TOTAL</t>
  </si>
  <si>
    <t>BLUE TOTAL</t>
  </si>
  <si>
    <t>Men</t>
  </si>
  <si>
    <t>F1-Red</t>
  </si>
  <si>
    <t>F1-Blue</t>
  </si>
  <si>
    <t>F2-Red</t>
  </si>
  <si>
    <t>Women</t>
  </si>
  <si>
    <t>F2-Blue</t>
  </si>
  <si>
    <t>F3-Red</t>
  </si>
  <si>
    <t>F3-Blue</t>
  </si>
  <si>
    <t>F4-Red</t>
  </si>
  <si>
    <t>F4-Blue</t>
  </si>
  <si>
    <t>F5-Red</t>
  </si>
  <si>
    <t>F5-Blue</t>
  </si>
  <si>
    <t>F6-Red</t>
  </si>
  <si>
    <t>F6-Blue</t>
  </si>
  <si>
    <t>F7-Red</t>
  </si>
  <si>
    <t>F7-Blue</t>
  </si>
  <si>
    <t>F8-Red</t>
  </si>
  <si>
    <t>F8-Blue</t>
  </si>
  <si>
    <t>Match</t>
  </si>
  <si>
    <t>P1-Red-Gross</t>
  </si>
  <si>
    <t>P1-Red-Strokes_IND</t>
  </si>
  <si>
    <t>P1-Red-Net_IND</t>
  </si>
  <si>
    <t>P1-Red-Strokes_FB</t>
  </si>
  <si>
    <t>P1-Red-Net_FB</t>
  </si>
  <si>
    <t>P2-Red-Gross</t>
  </si>
  <si>
    <t>P2-Red-Strokes_IND</t>
  </si>
  <si>
    <t>P2-Red-Net_IND</t>
  </si>
  <si>
    <t>P2-Red-Strokes_FB</t>
  </si>
  <si>
    <t>P2-Red-Net_FB</t>
  </si>
  <si>
    <t>P1-Blue-Gross</t>
  </si>
  <si>
    <t>P1-Blue-Strokes_IND</t>
  </si>
  <si>
    <t>P1-Blue-Net_IND</t>
  </si>
  <si>
    <t>P1-Blue-Strokes_FB</t>
  </si>
  <si>
    <t>P1-Blue-Net_FB</t>
  </si>
  <si>
    <t>P2-Blue-Gross</t>
  </si>
  <si>
    <t>P2-Blue-Strokes_IND</t>
  </si>
  <si>
    <t>P2-Blue-Net_IND</t>
  </si>
  <si>
    <t>P2-Blue-Strokes_FB</t>
  </si>
  <si>
    <t>P2-Blue-Net_FB</t>
  </si>
  <si>
    <t>FB-Winner</t>
  </si>
  <si>
    <t>I1-Winner</t>
  </si>
  <si>
    <t>I2-Winner</t>
  </si>
  <si>
    <t>P1_Red_Row</t>
  </si>
  <si>
    <t>P2_Red_Row</t>
  </si>
  <si>
    <t>P1_Blue_Row</t>
  </si>
  <si>
    <t>P2_Blue_Row</t>
  </si>
  <si>
    <t>Red_Gross</t>
  </si>
  <si>
    <t>Red_Strokes</t>
  </si>
  <si>
    <t>Red_Net</t>
  </si>
  <si>
    <t>Blue_Gross</t>
  </si>
  <si>
    <t>Blue_Strokes</t>
  </si>
  <si>
    <t>Blue_Net</t>
  </si>
  <si>
    <t>SC-Winner</t>
  </si>
  <si>
    <t>Red_Pair_Row</t>
  </si>
  <si>
    <t>Blue_Pair_Row</t>
  </si>
  <si>
    <t>Match_Type</t>
  </si>
  <si>
    <t>Red_Holes_Won</t>
  </si>
  <si>
    <t>Blue_Holes_Won</t>
  </si>
  <si>
    <t>Tied_Holes</t>
  </si>
  <si>
    <t>Status</t>
  </si>
  <si>
    <t>Red_Points</t>
  </si>
  <si>
    <t>Blue_Points</t>
  </si>
  <si>
    <t>Points_Available</t>
  </si>
  <si>
    <t>Red_Projected</t>
  </si>
  <si>
    <t>Blue_Projected</t>
  </si>
  <si>
    <t>Match_ID</t>
  </si>
  <si>
    <t>Player_Names_Red</t>
  </si>
  <si>
    <t>Player_Names_Blue</t>
  </si>
  <si>
    <t>Is_Critical</t>
  </si>
  <si>
    <t>Criticality_Score</t>
  </si>
  <si>
    <t>Criticality_Reason</t>
  </si>
  <si>
    <t>Criticality_Tier</t>
  </si>
  <si>
    <t>Match_not_finished</t>
  </si>
  <si>
    <t>Fourball</t>
  </si>
  <si>
    <t>Individual 1</t>
  </si>
  <si>
    <t>Individual 2</t>
  </si>
  <si>
    <t>Scramble</t>
  </si>
  <si>
    <t>&lt;div</t>
  </si>
  <si>
    <t>P1_Red-Gross</t>
  </si>
  <si>
    <t>P1_Red_Name</t>
  </si>
  <si>
    <t>P2_Red_Name</t>
  </si>
  <si>
    <t>P1_Blue_Name</t>
  </si>
  <si>
    <t>P2_Blue_Name</t>
  </si>
  <si>
    <t>Hole_Value_FB</t>
  </si>
  <si>
    <t>Running_Sum_FB</t>
  </si>
  <si>
    <t>Running_Status_FB</t>
  </si>
  <si>
    <t>Hole_Value_I1</t>
  </si>
  <si>
    <t>Hole_Value_I2</t>
  </si>
  <si>
    <t>Running_Sum_I1</t>
  </si>
  <si>
    <t>Running_Status_I1</t>
  </si>
  <si>
    <t>Running_Status_I1_Color</t>
  </si>
  <si>
    <t>Running_Sum_I2</t>
  </si>
  <si>
    <t>Running_Status_I2</t>
  </si>
  <si>
    <t>Red_Min_Net_FB</t>
  </si>
  <si>
    <t>Blue_Min_Net_FB</t>
  </si>
  <si>
    <t>Flight_1_Fourball</t>
  </si>
  <si>
    <t>A/S</t>
  </si>
  <si>
    <t>#616161</t>
  </si>
  <si>
    <t>1 UP</t>
  </si>
  <si>
    <t>Tie</t>
  </si>
  <si>
    <t>2 UP</t>
  </si>
  <si>
    <t/>
  </si>
  <si>
    <t>Flight_2_Fourball</t>
  </si>
  <si>
    <t>Flight_3_Fourball</t>
  </si>
  <si>
    <t>3 UP</t>
  </si>
  <si>
    <t>4 UP</t>
  </si>
  <si>
    <t>5 UP</t>
  </si>
  <si>
    <t>Flight_4_Fourball</t>
  </si>
  <si>
    <t>Flight_5_Fourball</t>
  </si>
  <si>
    <t>Flight_6_Fourball</t>
  </si>
  <si>
    <t>Flight_7_Fourball</t>
  </si>
  <si>
    <t>Flight_8_Fourball</t>
  </si>
  <si>
    <t>Flight_1_Individual 1</t>
  </si>
  <si>
    <t>#1976D2</t>
  </si>
  <si>
    <t>#D32F2F</t>
  </si>
  <si>
    <t>Flight_1_Individual 2</t>
  </si>
  <si>
    <t>Flight_2_Individual 1</t>
  </si>
  <si>
    <t>Flight_2_Individual 2</t>
  </si>
  <si>
    <t>Flight_3_Individual 1</t>
  </si>
  <si>
    <t>Flight_3_Individual 2</t>
  </si>
  <si>
    <t>Flight_4_Individual 1</t>
  </si>
  <si>
    <t>Flight_4_Individual 2</t>
  </si>
  <si>
    <t>Flight_5_Individual 1</t>
  </si>
  <si>
    <t>Flight_5_Individual 2</t>
  </si>
  <si>
    <t>Flight_6_Individual 1</t>
  </si>
  <si>
    <t>Flight_6_Individual 2</t>
  </si>
  <si>
    <t>Flight_7_Individual 1</t>
  </si>
  <si>
    <t>Flight_7_Individual 2</t>
  </si>
  <si>
    <t>Flight_8_Individual 1</t>
  </si>
  <si>
    <t>Flight_8_Individual 2</t>
  </si>
  <si>
    <t>Red_Team</t>
  </si>
  <si>
    <t>Blue_Team</t>
  </si>
  <si>
    <t>Running_Status_Styled_SC</t>
  </si>
  <si>
    <t>Status_Text</t>
  </si>
  <si>
    <t>Hole_Value_SC</t>
  </si>
  <si>
    <t>Running_Sum_SC</t>
  </si>
  <si>
    <t>Running_Status_SC</t>
  </si>
  <si>
    <t>Flight_1_Scramble</t>
  </si>
  <si>
    <t>Flight_2_Scramble</t>
  </si>
  <si>
    <t>Flight_3_Scramble</t>
  </si>
  <si>
    <t>Flight_4_Scramble</t>
  </si>
  <si>
    <t>Flight_5_Scramble</t>
  </si>
  <si>
    <t>Flight_6_Scramble</t>
  </si>
  <si>
    <t>Flight_7_Scramble</t>
  </si>
  <si>
    <t>Flight_8_Scramble</t>
  </si>
  <si>
    <t>Status_Order</t>
  </si>
  <si>
    <t>Holes_Played</t>
  </si>
  <si>
    <t>Total_Holes</t>
  </si>
  <si>
    <t>Leading_Team</t>
  </si>
  <si>
    <t>Progress_Percent</t>
  </si>
  <si>
    <t>Lead_Display</t>
  </si>
  <si>
    <t>Match_Display_Name</t>
  </si>
  <si>
    <t>Match_Icon</t>
  </si>
  <si>
    <t>Card_HTML</t>
  </si>
  <si>
    <t>Filter_Group</t>
  </si>
  <si>
    <t>Catergory_Display</t>
  </si>
  <si>
    <t>Final_Score_Text</t>
  </si>
  <si>
    <t>Red_Win_Prob</t>
  </si>
  <si>
    <t>Blue_Win_Prob</t>
  </si>
  <si>
    <t>Winning_Score</t>
  </si>
  <si>
    <t>XTxKLoopRieqntpz7i0rjQ</t>
  </si>
  <si>
    <t>3_Final</t>
  </si>
  <si>
    <t>Fito vs Fercho</t>
  </si>
  <si>
    <t>user</t>
  </si>
  <si>
    <t>Final</t>
  </si>
  <si>
    <t>JftTv-WERKymD4oy9MSB0Q</t>
  </si>
  <si>
    <t>2 &amp; 1</t>
  </si>
  <si>
    <t>Adri Mejia vs Gaitan</t>
  </si>
  <si>
    <t>dcCqIBzdRNur1ZYlR0f0EA</t>
  </si>
  <si>
    <t>Fito / Adri Mejia vs Fercho / Gaitan</t>
  </si>
  <si>
    <t>users</t>
  </si>
  <si>
    <t>GlilrXUISdK9yKfc5fa-GQ</t>
  </si>
  <si>
    <t>Cadavid / Saenz vs Otto Fenwarth / Valenzuela</t>
  </si>
  <si>
    <t>golfers</t>
  </si>
  <si>
    <t>vK4vt-4jSrCgYyYmSjbyAg</t>
  </si>
  <si>
    <t>Cadavid vs Otto Fenwarth</t>
  </si>
  <si>
    <t>LhPhrtEhR-maTcwxEYF5Ig</t>
  </si>
  <si>
    <t>Saenz vs Valenzuela</t>
  </si>
  <si>
    <t>R--tTjUAQCurQMkZi6tupw</t>
  </si>
  <si>
    <t>tAPTxmjGTCmZDzkE9PnY8Q</t>
  </si>
  <si>
    <t>Berris / Pablo Rueda vs Vargas / Mon</t>
  </si>
  <si>
    <t>DixP-lAnRMuQHhKt10F9HA</t>
  </si>
  <si>
    <t>4 &amp; 1</t>
  </si>
  <si>
    <t>Berris vs Vargas</t>
  </si>
  <si>
    <t>fJxGJxG4REmV4uNoShOnag</t>
  </si>
  <si>
    <t>3 &amp; 1</t>
  </si>
  <si>
    <t>Pablo Rueda vs Mon</t>
  </si>
  <si>
    <t>kmJEjSV4QY-GD0rCoXay9A</t>
  </si>
  <si>
    <t>tYopt0GNQvGDDktHbioNGw</t>
  </si>
  <si>
    <t>Matiz / Esguerra vs Luca / Rocha</t>
  </si>
  <si>
    <t>a.mvSR3bPQNK3c-.1v277aw</t>
  </si>
  <si>
    <t>Matiz vs Luca</t>
  </si>
  <si>
    <t>GZb7qVMMRGefDmdrIHHXCA</t>
  </si>
  <si>
    <t>Esguerra vs Rocha</t>
  </si>
  <si>
    <t>fhUFm5piQU24JxaMLGkbTQ</t>
  </si>
  <si>
    <t>u4z7zDADRke4Gf6B21Q.sA</t>
  </si>
  <si>
    <t>A/S (Final)</t>
  </si>
  <si>
    <t>Pulido / Otoya vs Sardi / JC Casas</t>
  </si>
  <si>
    <t>LeqUAu.SSt-gj0p-E8CqmQ</t>
  </si>
  <si>
    <t>Pulido vs Sardi</t>
  </si>
  <si>
    <t>Xcf6nUQcQC-qxzAfkXkZow</t>
  </si>
  <si>
    <t>Otoya vs JC Casas</t>
  </si>
  <si>
    <t>aa3TtJ8HQOiNCvJ4SWAcVQ</t>
  </si>
  <si>
    <t>ffL2wgjVQY-0fCbTFOjOXg</t>
  </si>
  <si>
    <t>Pablo Acosta / Garcia vs Ana Maria / Schneider</t>
  </si>
  <si>
    <t>mcBi2f.5SIGprMZPAm.AfA</t>
  </si>
  <si>
    <t>Pablo Acosta vs Ana Maria</t>
  </si>
  <si>
    <t>jMgVAs-5SQq-33hzQV3uIw</t>
  </si>
  <si>
    <t>Garcia vs Schneider</t>
  </si>
  <si>
    <t>tXOo04BZRBq-.g.XaHb.xQ</t>
  </si>
  <si>
    <t>h1NvS9llQ7uWL-Q..ORwCQ</t>
  </si>
  <si>
    <t>Velez / JP Mosquera vs Pocho / Phil</t>
  </si>
  <si>
    <t>isFplW-3SDeYo71gQyXuuQ</t>
  </si>
  <si>
    <t>Velez vs Pocho</t>
  </si>
  <si>
    <t>lUYscZzwTP-VW6OKuBCmpQ</t>
  </si>
  <si>
    <t>JP Mosquera vs Phil</t>
  </si>
  <si>
    <t>7xokvA55RMeTs9bhoYRQbQ</t>
  </si>
  <si>
    <t>SCwhc8MvSzGHOLoBqKKcOQ</t>
  </si>
  <si>
    <t>Pilarica / Camacho vs Veronica Perez / Bernie</t>
  </si>
  <si>
    <t>ExDC1EomRQeUei1U0cT49g</t>
  </si>
  <si>
    <t>Pilarica vs Veronica Perez</t>
  </si>
  <si>
    <t>XXBPBluPQpuJMlN7JzfBSg</t>
  </si>
  <si>
    <t>Camacho vs Bernie</t>
  </si>
  <si>
    <t>e9qXdwMfSJKvOINsrXchTQ</t>
  </si>
  <si>
    <t>ePFyhrVLQL2UQPZFergPaw</t>
  </si>
  <si>
    <t>Temp_Hole</t>
  </si>
  <si>
    <t>Player_1_Name</t>
  </si>
  <si>
    <t>Player_2_Name</t>
  </si>
  <si>
    <t>Player_3_Name</t>
  </si>
  <si>
    <t>Player_4_Name</t>
  </si>
  <si>
    <t>Player_1_Team</t>
  </si>
  <si>
    <t>Player_2_Team</t>
  </si>
  <si>
    <t>Player_3_Team</t>
  </si>
  <si>
    <t>Player_4_Team</t>
  </si>
  <si>
    <t>Red_Label</t>
  </si>
  <si>
    <t>Red_Score</t>
  </si>
  <si>
    <t>Blue_Label</t>
  </si>
  <si>
    <t>Blue_Score</t>
  </si>
  <si>
    <t>Is_Tournament_Won</t>
  </si>
  <si>
    <t>Winner_Team</t>
  </si>
  <si>
    <t>Victory_HTML</t>
  </si>
  <si>
    <t>Time</t>
  </si>
  <si>
    <t>Last_updated</t>
  </si>
  <si>
    <t>Trophy_image</t>
  </si>
  <si>
    <t xml:space="preserve">🟥 RED TOTAL:   </t>
  </si>
  <si>
    <t>🟦 BLUE TOTAL:</t>
  </si>
  <si>
    <t>https://storage.googleapis.com/glide-prod.appspot.com/uploads-v2/i8A0lNzzsZLQ68w3K8X6/pub/MaxI62z6lhRbIguX3Dc7.png</t>
  </si>
  <si>
    <t>Overall_Red_Leading</t>
  </si>
  <si>
    <t>Overall_Tied</t>
  </si>
  <si>
    <t>Overall_Blue_Leading</t>
  </si>
  <si>
    <t>FB_Red_Leading</t>
  </si>
  <si>
    <t>FB_Tied</t>
  </si>
  <si>
    <t>FB_Blue_Leading</t>
  </si>
  <si>
    <t>I1_Red_Leading</t>
  </si>
  <si>
    <t>I1_Tied</t>
  </si>
  <si>
    <t>I1_Blue_Leading</t>
  </si>
  <si>
    <t>I2_Red_Leading</t>
  </si>
  <si>
    <t>I2_Tied</t>
  </si>
  <si>
    <t>I2_Blue_Leading</t>
  </si>
  <si>
    <t>SC_Red_Leading</t>
  </si>
  <si>
    <t>SC_Tied</t>
  </si>
  <si>
    <t>SC_Blue_Leading</t>
  </si>
  <si>
    <t>Red_Need_to_Win</t>
  </si>
  <si>
    <t>Blue_Need_to_Win</t>
  </si>
  <si>
    <t>Not_Started</t>
  </si>
  <si>
    <t>In_Progress</t>
  </si>
  <si>
    <t>Completed</t>
  </si>
  <si>
    <t>I_Red_Leading</t>
  </si>
  <si>
    <t>I_Blue_Leading</t>
  </si>
  <si>
    <t>FB_Red_Points</t>
  </si>
  <si>
    <t>FB_Blue_Points</t>
  </si>
  <si>
    <t>I_Red_Points</t>
  </si>
  <si>
    <t>I_Blue_Points</t>
  </si>
  <si>
    <t>SC_Red_Points</t>
  </si>
  <si>
    <t>SC_Blue_Points</t>
  </si>
  <si>
    <t>Last Automatic Refresh Initiated</t>
  </si>
  <si>
    <t>Last Manual Refresh Requested</t>
  </si>
  <si>
    <t>Email</t>
  </si>
  <si>
    <t>Agreed</t>
  </si>
  <si>
    <t>2025-10-30T19:59:02.821Z</t>
  </si>
  <si>
    <t>2025-10-31T17:15:45.788Z</t>
  </si>
  <si>
    <t>2025-11-06T18:29:24.096Z</t>
  </si>
  <si>
    <t>2025-11-13T16:22:12.812Z</t>
  </si>
  <si>
    <t>2025-11-14T18:29:20.681Z</t>
  </si>
  <si>
    <t>2025-11-15T02:16:06.006Z</t>
  </si>
  <si>
    <t>2025-11-18T18:53:48.622Z</t>
  </si>
  <si>
    <t>2025-11-21T20:06:18.345Z</t>
  </si>
  <si>
    <t>2025-11-21T20:16:54.226Z</t>
  </si>
  <si>
    <t>lucapfeifer@gmail.com</t>
  </si>
  <si>
    <t>2025-11-21T20:18:27.213Z</t>
  </si>
  <si>
    <t>otto.fenwarth@gmail.com</t>
  </si>
  <si>
    <t>2025-11-21T20:19:36.557Z</t>
  </si>
  <si>
    <t>2025-11-21T20:21:00.530Z</t>
  </si>
  <si>
    <t>2025-11-21T20:21:50.027Z</t>
  </si>
  <si>
    <t>2025-11-21T20:22:26.821Z</t>
  </si>
  <si>
    <t>christianscj@yahoo.com</t>
  </si>
  <si>
    <t>2025-11-21T20:23:17.639Z</t>
  </si>
  <si>
    <t>2025-11-21T20:23:36.721Z</t>
  </si>
  <si>
    <t>andresf.gaitan2021@gmail.com</t>
  </si>
  <si>
    <t>2025-11-21T20:24:02.634Z</t>
  </si>
  <si>
    <t>pipe1188@hotmail.com</t>
  </si>
  <si>
    <t>2025-11-21T20:25:08.580Z</t>
  </si>
  <si>
    <t>felipepco@gmail.com</t>
  </si>
  <si>
    <t>2025-11-21T20:26:05.350Z</t>
  </si>
  <si>
    <t>rodrigomatiz@gmail.com</t>
  </si>
  <si>
    <t>2025-11-21T20:26:29.287Z</t>
  </si>
  <si>
    <t>2025-11-21T20:28:45.921Z</t>
  </si>
  <si>
    <t>jccasas55@gmail.com</t>
  </si>
  <si>
    <t>2025-11-21T20:29:55.178Z</t>
  </si>
  <si>
    <t>ve.perezlopez@gmail.com</t>
  </si>
  <si>
    <t>2025-11-21T20:31:00.887Z</t>
  </si>
  <si>
    <t>bernigu@gmail.com</t>
  </si>
  <si>
    <t>2025-11-21T20:31:38.920Z</t>
  </si>
  <si>
    <t>adrianamejiareyes@gmail.com</t>
  </si>
  <si>
    <t>2025-11-21T20:31:53.374Z</t>
  </si>
  <si>
    <t>p.rueda@vpslatam.com</t>
  </si>
  <si>
    <t>2025-11-21T20:32:30.465Z</t>
  </si>
  <si>
    <t>amarocha79@hotmail.com</t>
  </si>
  <si>
    <t>2025-11-21T20:33:18.788Z</t>
  </si>
  <si>
    <t>pilariks@gmail.com</t>
  </si>
  <si>
    <t>2025-11-21T20:33:59.053Z</t>
  </si>
  <si>
    <t>asaenzpombo@gmail.com</t>
  </si>
  <si>
    <t>2025-11-21T20:34:02.098Z</t>
  </si>
  <si>
    <t>jpmosquera@mosquera-abogados.com</t>
  </si>
  <si>
    <t>2025-11-21T20:34:20.311Z</t>
  </si>
  <si>
    <t>2025-11-21T20:45:08.982Z</t>
  </si>
  <si>
    <t>andresvelezserna@gmail.com</t>
  </si>
  <si>
    <t>2025-11-21T20:59:54.474Z</t>
  </si>
  <si>
    <t>2025-11-21T21:23:36.619Z</t>
  </si>
  <si>
    <t>vargas.umana@gmail.com</t>
  </si>
  <si>
    <t>2025-11-21T21:27:58.257Z</t>
  </si>
  <si>
    <t>santiago.esguerra@gmail.com</t>
  </si>
  <si>
    <t>2025-11-21T21:37:54.526Z</t>
  </si>
  <si>
    <t>nicolascadavidbotero@gmail.com</t>
  </si>
  <si>
    <t>2025-11-21T21:42:19.131Z</t>
  </si>
  <si>
    <t>2025-11-21T21:59:19.986Z</t>
  </si>
  <si>
    <t>pacosta@gmail.com</t>
  </si>
  <si>
    <t>2025-11-21T22:00:36.787Z</t>
  </si>
  <si>
    <t>2025-11-21T22:12:59.982Z</t>
  </si>
  <si>
    <t>anamaolarte@yahoo.com</t>
  </si>
  <si>
    <t>2025-11-21T22:25:52.530Z</t>
  </si>
  <si>
    <t>g.juans88@gmail.com</t>
  </si>
  <si>
    <t>2025-11-22T01:02:57.989Z</t>
  </si>
  <si>
    <t>2025-11-22T03:02:01.746Z</t>
  </si>
  <si>
    <t>2025-11-22T13:46:40.438Z</t>
  </si>
  <si>
    <t>juanpablocamacho@hotmail.com</t>
  </si>
  <si>
    <t>2025-11-22T14:02:54.318Z</t>
  </si>
  <si>
    <t>2025-11-22T14:29:38.089Z</t>
  </si>
  <si>
    <t>2025-11-22T14:54:56.019Z</t>
  </si>
  <si>
    <t>2025-11-22T15:09:55.481Z</t>
  </si>
  <si>
    <t>2025-11-22T15:41:45.410Z</t>
  </si>
  <si>
    <t>2025-11-22T16:23:37.570Z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</si>
</sst>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 H:mm:ss"/>
    <numFmt numFmtId="165" formatCode="m/d/yyyy h:mm:ss"/>
    <numFmt numFmtId="166" formatCode="yyy-mm-ddThh:mm:ss.000Z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B7B7B7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  <xf borderId="0" fillId="0" fontId="1" numFmtId="0" xfId="0" applyFont="1"/>
    <xf quotePrefix="1" borderId="0" fillId="0" fontId="1" numFmtId="0" xfId="0" applyFont="1"/>
    <xf borderId="0" fillId="3" fontId="1" numFmtId="0" xfId="0" applyFill="1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9" xfId="0" applyFont="1" applyNumberFormat="1"/>
    <xf borderId="0" fillId="2" fontId="3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4" numFmtId="0" xfId="0" applyAlignment="1" applyFon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torage.googleapis.com/glide-prod.appspot.com/uploads-v2/i8A0lNzzsZLQ68w3K8X6/pub/PeSpKAiLbKDkhbvv29sp.svg" TargetMode="External"/><Relationship Id="rId10" Type="http://schemas.openxmlformats.org/officeDocument/2006/relationships/hyperlink" Target="https://storage.googleapis.com/glide-prod.appspot.com/uploads-v2/i8A0lNzzsZLQ68w3K8X6/pub/wlDDyss750IBhHmbQJHr.svg" TargetMode="External"/><Relationship Id="rId13" Type="http://schemas.openxmlformats.org/officeDocument/2006/relationships/hyperlink" Target="https://storage.googleapis.com/glide-prod.appspot.com/uploads-v2/i8A0lNzzsZLQ68w3K8X6/pub/CR7yowrJrQq4bQw2k8Ql.svg" TargetMode="External"/><Relationship Id="rId12" Type="http://schemas.openxmlformats.org/officeDocument/2006/relationships/hyperlink" Target="https://storage.googleapis.com/glide-prod.appspot.com/uploads-v2/i8A0lNzzsZLQ68w3K8X6/pub/3KrnbpsCnS77cKlypT8b.svg" TargetMode="External"/><Relationship Id="rId1" Type="http://schemas.openxmlformats.org/officeDocument/2006/relationships/hyperlink" Target="https://storage.googleapis.com/glide-prod.appspot.com/uploads-v2/i8A0lNzzsZLQ68w3K8X6/pub/f8hD0k3v47Xnhg0gJI54.svg" TargetMode="External"/><Relationship Id="rId2" Type="http://schemas.openxmlformats.org/officeDocument/2006/relationships/hyperlink" Target="https://storage.googleapis.com/glide-prod.appspot.com/uploads-v2/i8A0lNzzsZLQ68w3K8X6/pub/M9kXOgQ7LzogO5SJoFLF.svg" TargetMode="External"/><Relationship Id="rId3" Type="http://schemas.openxmlformats.org/officeDocument/2006/relationships/hyperlink" Target="https://storage.googleapis.com/glide-prod.appspot.com/uploads-v2/i8A0lNzzsZLQ68w3K8X6/pub/xSsRozFPLUn2lZ9MMJoh.svg" TargetMode="External"/><Relationship Id="rId4" Type="http://schemas.openxmlformats.org/officeDocument/2006/relationships/hyperlink" Target="https://storage.googleapis.com/glide-prod.appspot.com/uploads-v2/i8A0lNzzsZLQ68w3K8X6/pub/Jbt3Zujjw5ppM8rDK1Sv.svg" TargetMode="External"/><Relationship Id="rId9" Type="http://schemas.openxmlformats.org/officeDocument/2006/relationships/hyperlink" Target="https://storage.googleapis.com/glide-prod.appspot.com/uploads-v2/i8A0lNzzsZLQ68w3K8X6/pub/ChulCLzux677x8akEqbp.svg" TargetMode="External"/><Relationship Id="rId15" Type="http://schemas.openxmlformats.org/officeDocument/2006/relationships/hyperlink" Target="https://storage.googleapis.com/glide-prod.appspot.com/uploads-v2/i8A0lNzzsZLQ68w3K8X6/pub/D3UstOHqjFAkirDq7NGM.svg" TargetMode="External"/><Relationship Id="rId14" Type="http://schemas.openxmlformats.org/officeDocument/2006/relationships/hyperlink" Target="https://storage.googleapis.com/glide-prod.appspot.com/uploads-v2/i8A0lNzzsZLQ68w3K8X6/pub/qLmZDgwPfBG9SapcEsQN.svg" TargetMode="External"/><Relationship Id="rId17" Type="http://schemas.openxmlformats.org/officeDocument/2006/relationships/hyperlink" Target="https://storage.googleapis.com/glide-prod.appspot.com/uploads-v2/i8A0lNzzsZLQ68w3K8X6/pub/V9Z0FWr0rv0ShDU67XyR.svg" TargetMode="External"/><Relationship Id="rId16" Type="http://schemas.openxmlformats.org/officeDocument/2006/relationships/hyperlink" Target="https://storage.googleapis.com/glide-prod.appspot.com/uploads-v2/i8A0lNzzsZLQ68w3K8X6/pub/lIVrlUBCcswxvlJTTP3B.svg" TargetMode="External"/><Relationship Id="rId5" Type="http://schemas.openxmlformats.org/officeDocument/2006/relationships/hyperlink" Target="https://storage.googleapis.com/glide-prod.appspot.com/uploads-v2/i8A0lNzzsZLQ68w3K8X6/pub/lK0BFuqyL7YUlT6QULay.svg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storage.googleapis.com/glide-prod.appspot.com/uploads-v2/i8A0lNzzsZLQ68w3K8X6/pub/jzUysXtjPRB9trTsZ0ql.svg" TargetMode="External"/><Relationship Id="rId18" Type="http://schemas.openxmlformats.org/officeDocument/2006/relationships/hyperlink" Target="https://storage.googleapis.com/glide-prod.appspot.com/uploads-v2/i8A0lNzzsZLQ68w3K8X6/pub/qUydupJtpoR1Yxq2K4cf.svg" TargetMode="External"/><Relationship Id="rId7" Type="http://schemas.openxmlformats.org/officeDocument/2006/relationships/hyperlink" Target="https://storage.googleapis.com/glide-prod.appspot.com/uploads-v2/i8A0lNzzsZLQ68w3K8X6/pub/8VCXJkjdjE38WVrhBodz.svg" TargetMode="External"/><Relationship Id="rId8" Type="http://schemas.openxmlformats.org/officeDocument/2006/relationships/hyperlink" Target="https://storage.googleapis.com/glide-prod.appspot.com/uploads-v2/i8A0lNzzsZLQ68w3K8X6/pub/4YG7hqx4n9vRbN1R69QM.sv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googleapis.com/glide-prod.appspot.com/uploads-v2/i8A0lNzzsZLQ68w3K8X6/pub/MaxI62z6lhRbIguX3Dc7.p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7" max="7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15.0</v>
      </c>
      <c r="E2" s="1" t="s">
        <v>9</v>
      </c>
      <c r="F2" s="1">
        <v>1.0</v>
      </c>
    </row>
    <row r="3">
      <c r="A3" s="1" t="s">
        <v>10</v>
      </c>
      <c r="B3" s="1" t="s">
        <v>7</v>
      </c>
      <c r="C3" s="1" t="s">
        <v>8</v>
      </c>
      <c r="D3" s="1">
        <v>20.0</v>
      </c>
      <c r="E3" s="1" t="s">
        <v>9</v>
      </c>
      <c r="F3" s="1">
        <v>2.0</v>
      </c>
    </row>
    <row r="4">
      <c r="A4" s="1" t="s">
        <v>11</v>
      </c>
      <c r="B4" s="1" t="s">
        <v>12</v>
      </c>
      <c r="C4" s="1" t="s">
        <v>8</v>
      </c>
      <c r="D4" s="1">
        <v>11.0</v>
      </c>
      <c r="E4" s="1" t="s">
        <v>9</v>
      </c>
      <c r="F4" s="1">
        <v>3.0</v>
      </c>
    </row>
    <row r="5">
      <c r="A5" s="1" t="s">
        <v>13</v>
      </c>
      <c r="B5" s="1" t="s">
        <v>12</v>
      </c>
      <c r="C5" s="1" t="s">
        <v>8</v>
      </c>
      <c r="D5" s="1">
        <v>14.0</v>
      </c>
      <c r="E5" s="1" t="s">
        <v>14</v>
      </c>
      <c r="F5" s="1">
        <v>4.0</v>
      </c>
    </row>
    <row r="6">
      <c r="A6" s="1" t="s">
        <v>15</v>
      </c>
      <c r="B6" s="1" t="s">
        <v>7</v>
      </c>
      <c r="C6" s="1" t="s">
        <v>16</v>
      </c>
      <c r="D6" s="1">
        <v>22.0</v>
      </c>
      <c r="E6" s="1" t="s">
        <v>9</v>
      </c>
      <c r="F6" s="1">
        <v>1.0</v>
      </c>
    </row>
    <row r="7">
      <c r="A7" s="1" t="s">
        <v>17</v>
      </c>
      <c r="B7" s="1" t="s">
        <v>7</v>
      </c>
      <c r="C7" s="1" t="s">
        <v>16</v>
      </c>
      <c r="D7" s="1">
        <v>11.0</v>
      </c>
      <c r="E7" s="1" t="s">
        <v>9</v>
      </c>
      <c r="F7" s="1">
        <v>2.0</v>
      </c>
    </row>
    <row r="8">
      <c r="A8" s="1" t="s">
        <v>18</v>
      </c>
      <c r="B8" s="1" t="s">
        <v>12</v>
      </c>
      <c r="C8" s="1" t="s">
        <v>16</v>
      </c>
      <c r="D8" s="1">
        <v>10.0</v>
      </c>
      <c r="E8" s="1" t="s">
        <v>9</v>
      </c>
      <c r="F8" s="1">
        <v>3.0</v>
      </c>
    </row>
    <row r="9">
      <c r="A9" s="1" t="s">
        <v>19</v>
      </c>
      <c r="B9" s="1" t="s">
        <v>12</v>
      </c>
      <c r="C9" s="1" t="s">
        <v>16</v>
      </c>
      <c r="D9" s="1">
        <v>8.0</v>
      </c>
      <c r="E9" s="1" t="s">
        <v>9</v>
      </c>
      <c r="F9" s="1">
        <v>4.0</v>
      </c>
    </row>
    <row r="10">
      <c r="A10" s="1" t="s">
        <v>20</v>
      </c>
      <c r="B10" s="1" t="s">
        <v>7</v>
      </c>
      <c r="C10" s="1" t="s">
        <v>21</v>
      </c>
      <c r="D10" s="1">
        <v>14.0</v>
      </c>
      <c r="E10" s="1" t="s">
        <v>9</v>
      </c>
      <c r="F10" s="1">
        <v>1.0</v>
      </c>
    </row>
    <row r="11">
      <c r="A11" s="1" t="s">
        <v>22</v>
      </c>
      <c r="B11" s="1" t="s">
        <v>7</v>
      </c>
      <c r="C11" s="1" t="s">
        <v>21</v>
      </c>
      <c r="D11" s="1">
        <v>19.0</v>
      </c>
      <c r="E11" s="1" t="s">
        <v>9</v>
      </c>
      <c r="F11" s="1">
        <v>2.0</v>
      </c>
    </row>
    <row r="12">
      <c r="A12" s="1" t="s">
        <v>23</v>
      </c>
      <c r="B12" s="1" t="s">
        <v>12</v>
      </c>
      <c r="C12" s="1" t="s">
        <v>21</v>
      </c>
      <c r="D12" s="1">
        <v>12.0</v>
      </c>
      <c r="E12" s="1" t="s">
        <v>9</v>
      </c>
      <c r="F12" s="1">
        <v>3.0</v>
      </c>
    </row>
    <row r="13">
      <c r="A13" s="1" t="s">
        <v>24</v>
      </c>
      <c r="B13" s="1" t="s">
        <v>12</v>
      </c>
      <c r="C13" s="1" t="s">
        <v>21</v>
      </c>
      <c r="D13" s="1">
        <v>18.0</v>
      </c>
      <c r="E13" s="1" t="s">
        <v>9</v>
      </c>
      <c r="F13" s="1">
        <v>4.0</v>
      </c>
    </row>
    <row r="14">
      <c r="A14" s="1" t="s">
        <v>25</v>
      </c>
      <c r="B14" s="1" t="s">
        <v>7</v>
      </c>
      <c r="C14" s="1" t="s">
        <v>26</v>
      </c>
      <c r="D14" s="1">
        <v>11.0</v>
      </c>
      <c r="E14" s="1" t="s">
        <v>9</v>
      </c>
      <c r="F14" s="1">
        <v>1.0</v>
      </c>
    </row>
    <row r="15">
      <c r="A15" s="1" t="s">
        <v>27</v>
      </c>
      <c r="B15" s="1" t="s">
        <v>7</v>
      </c>
      <c r="C15" s="1" t="s">
        <v>26</v>
      </c>
      <c r="D15" s="1">
        <v>27.0</v>
      </c>
      <c r="E15" s="1" t="s">
        <v>14</v>
      </c>
      <c r="F15" s="1">
        <v>2.0</v>
      </c>
    </row>
    <row r="16">
      <c r="A16" s="1" t="s">
        <v>28</v>
      </c>
      <c r="B16" s="1" t="s">
        <v>12</v>
      </c>
      <c r="C16" s="1" t="s">
        <v>26</v>
      </c>
      <c r="D16" s="1">
        <v>19.0</v>
      </c>
      <c r="E16" s="1" t="s">
        <v>9</v>
      </c>
      <c r="F16" s="1">
        <v>3.0</v>
      </c>
    </row>
    <row r="17">
      <c r="A17" s="1" t="s">
        <v>29</v>
      </c>
      <c r="B17" s="1" t="s">
        <v>12</v>
      </c>
      <c r="C17" s="1" t="s">
        <v>26</v>
      </c>
      <c r="D17" s="1">
        <v>10.0</v>
      </c>
      <c r="E17" s="1" t="s">
        <v>9</v>
      </c>
      <c r="F17" s="1">
        <v>4.0</v>
      </c>
    </row>
    <row r="18">
      <c r="A18" s="1" t="s">
        <v>30</v>
      </c>
      <c r="B18" s="1" t="s">
        <v>7</v>
      </c>
      <c r="C18" s="1" t="s">
        <v>31</v>
      </c>
      <c r="D18" s="1">
        <v>16.0</v>
      </c>
      <c r="E18" s="1" t="s">
        <v>9</v>
      </c>
      <c r="F18" s="1">
        <v>1.0</v>
      </c>
    </row>
    <row r="19">
      <c r="A19" s="1" t="s">
        <v>32</v>
      </c>
      <c r="B19" s="1" t="s">
        <v>7</v>
      </c>
      <c r="C19" s="1" t="s">
        <v>31</v>
      </c>
      <c r="D19" s="1">
        <v>27.0</v>
      </c>
      <c r="E19" s="1" t="s">
        <v>9</v>
      </c>
      <c r="F19" s="1">
        <v>2.0</v>
      </c>
    </row>
    <row r="20">
      <c r="A20" s="1" t="s">
        <v>33</v>
      </c>
      <c r="B20" s="1" t="s">
        <v>12</v>
      </c>
      <c r="C20" s="1" t="s">
        <v>31</v>
      </c>
      <c r="D20" s="1">
        <v>5.0</v>
      </c>
      <c r="E20" s="1" t="s">
        <v>9</v>
      </c>
      <c r="F20" s="1">
        <v>3.0</v>
      </c>
    </row>
    <row r="21">
      <c r="A21" s="1" t="s">
        <v>34</v>
      </c>
      <c r="B21" s="1" t="s">
        <v>12</v>
      </c>
      <c r="C21" s="1" t="s">
        <v>31</v>
      </c>
      <c r="D21" s="1">
        <v>17.0</v>
      </c>
      <c r="E21" s="1" t="s">
        <v>14</v>
      </c>
      <c r="F21" s="1">
        <v>4.0</v>
      </c>
    </row>
    <row r="22">
      <c r="A22" s="1" t="s">
        <v>35</v>
      </c>
      <c r="B22" s="1" t="s">
        <v>7</v>
      </c>
      <c r="C22" s="1" t="s">
        <v>36</v>
      </c>
      <c r="D22" s="1">
        <v>11.0</v>
      </c>
      <c r="E22" s="1" t="s">
        <v>14</v>
      </c>
      <c r="F22" s="1">
        <v>1.0</v>
      </c>
    </row>
    <row r="23">
      <c r="A23" s="1" t="s">
        <v>37</v>
      </c>
      <c r="B23" s="1" t="s">
        <v>7</v>
      </c>
      <c r="C23" s="1" t="s">
        <v>36</v>
      </c>
      <c r="D23" s="1">
        <v>6.0</v>
      </c>
      <c r="E23" s="1" t="s">
        <v>9</v>
      </c>
      <c r="F23" s="1">
        <v>2.0</v>
      </c>
    </row>
    <row r="24">
      <c r="A24" s="1" t="s">
        <v>38</v>
      </c>
      <c r="B24" s="1" t="s">
        <v>12</v>
      </c>
      <c r="C24" s="1" t="s">
        <v>36</v>
      </c>
      <c r="D24" s="1">
        <v>19.0</v>
      </c>
      <c r="E24" s="1" t="s">
        <v>9</v>
      </c>
      <c r="F24" s="1">
        <v>3.0</v>
      </c>
    </row>
    <row r="25">
      <c r="A25" s="1" t="s">
        <v>39</v>
      </c>
      <c r="B25" s="1" t="s">
        <v>12</v>
      </c>
      <c r="C25" s="1" t="s">
        <v>36</v>
      </c>
      <c r="D25" s="1">
        <v>1.0</v>
      </c>
      <c r="E25" s="1" t="s">
        <v>9</v>
      </c>
      <c r="F25" s="1">
        <v>4.0</v>
      </c>
    </row>
    <row r="26">
      <c r="A26" s="1" t="s">
        <v>40</v>
      </c>
      <c r="B26" s="1" t="s">
        <v>7</v>
      </c>
      <c r="C26" s="1" t="s">
        <v>41</v>
      </c>
      <c r="D26" s="1">
        <v>6.0</v>
      </c>
      <c r="E26" s="1" t="s">
        <v>9</v>
      </c>
      <c r="F26" s="1">
        <v>1.0</v>
      </c>
    </row>
    <row r="27">
      <c r="A27" s="1" t="s">
        <v>42</v>
      </c>
      <c r="B27" s="1" t="s">
        <v>7</v>
      </c>
      <c r="C27" s="1" t="s">
        <v>41</v>
      </c>
      <c r="D27" s="1">
        <v>9.0</v>
      </c>
      <c r="E27" s="1" t="s">
        <v>9</v>
      </c>
      <c r="F27" s="1">
        <v>2.0</v>
      </c>
    </row>
    <row r="28">
      <c r="A28" s="1" t="s">
        <v>43</v>
      </c>
      <c r="B28" s="1" t="s">
        <v>12</v>
      </c>
      <c r="C28" s="1" t="s">
        <v>41</v>
      </c>
      <c r="D28" s="1">
        <v>16.0</v>
      </c>
      <c r="E28" s="1" t="s">
        <v>9</v>
      </c>
      <c r="F28" s="1">
        <v>3.0</v>
      </c>
    </row>
    <row r="29">
      <c r="A29" s="1" t="s">
        <v>44</v>
      </c>
      <c r="B29" s="1" t="s">
        <v>12</v>
      </c>
      <c r="C29" s="1" t="s">
        <v>41</v>
      </c>
      <c r="D29" s="1">
        <v>16.0</v>
      </c>
      <c r="E29" s="1" t="s">
        <v>9</v>
      </c>
      <c r="F29" s="1">
        <v>4.0</v>
      </c>
    </row>
    <row r="30">
      <c r="A30" s="1" t="s">
        <v>45</v>
      </c>
      <c r="B30" s="1" t="s">
        <v>7</v>
      </c>
      <c r="C30" s="1" t="s">
        <v>46</v>
      </c>
      <c r="D30" s="1">
        <v>11.0</v>
      </c>
      <c r="E30" s="1" t="s">
        <v>14</v>
      </c>
      <c r="F30" s="1">
        <v>1.0</v>
      </c>
    </row>
    <row r="31">
      <c r="A31" s="1" t="s">
        <v>47</v>
      </c>
      <c r="B31" s="1" t="s">
        <v>7</v>
      </c>
      <c r="C31" s="1" t="s">
        <v>46</v>
      </c>
      <c r="D31" s="1">
        <v>18.0</v>
      </c>
      <c r="E31" s="1" t="s">
        <v>9</v>
      </c>
      <c r="F31" s="1">
        <v>2.0</v>
      </c>
    </row>
    <row r="32">
      <c r="A32" s="1" t="s">
        <v>48</v>
      </c>
      <c r="B32" s="1" t="s">
        <v>12</v>
      </c>
      <c r="C32" s="1" t="s">
        <v>46</v>
      </c>
      <c r="D32" s="1">
        <v>11.0</v>
      </c>
      <c r="E32" s="1" t="s">
        <v>14</v>
      </c>
      <c r="F32" s="1">
        <v>3.0</v>
      </c>
    </row>
    <row r="33">
      <c r="A33" s="1" t="s">
        <v>49</v>
      </c>
      <c r="B33" s="1" t="s">
        <v>12</v>
      </c>
      <c r="C33" s="1" t="s">
        <v>46</v>
      </c>
      <c r="D33" s="1">
        <v>13.0</v>
      </c>
      <c r="E33" s="1" t="s">
        <v>9</v>
      </c>
      <c r="F33" s="1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88"/>
    <col hidden="1" min="4" max="4" width="12.63"/>
  </cols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9</v>
      </c>
      <c r="F1" s="1" t="s">
        <v>14</v>
      </c>
      <c r="G1" s="1" t="s">
        <v>54</v>
      </c>
      <c r="H1" s="1" t="s">
        <v>55</v>
      </c>
      <c r="I1" s="1" t="s">
        <v>56</v>
      </c>
      <c r="J1" s="2" t="s">
        <v>57</v>
      </c>
      <c r="K1" s="2" t="s">
        <v>58</v>
      </c>
    </row>
    <row r="2">
      <c r="A2" s="1">
        <v>1.0</v>
      </c>
      <c r="B2" s="1">
        <v>4.0</v>
      </c>
      <c r="C2" s="1">
        <v>3.0</v>
      </c>
      <c r="D2" s="1">
        <v>3.0</v>
      </c>
      <c r="E2" s="1">
        <v>3.0</v>
      </c>
      <c r="F2" s="1">
        <v>3.0</v>
      </c>
      <c r="G2" s="1">
        <v>3.0</v>
      </c>
      <c r="H2" s="1">
        <v>1.0</v>
      </c>
      <c r="I2" s="1">
        <v>10.0</v>
      </c>
      <c r="J2" s="3" t="s">
        <v>59</v>
      </c>
      <c r="K2" s="3" t="s">
        <v>60</v>
      </c>
    </row>
    <row r="3">
      <c r="A3" s="1">
        <v>2.0</v>
      </c>
      <c r="B3" s="1">
        <v>5.0</v>
      </c>
      <c r="C3" s="1">
        <v>9.0</v>
      </c>
      <c r="D3" s="1">
        <v>9.0</v>
      </c>
      <c r="E3" s="1">
        <v>9.0</v>
      </c>
      <c r="F3" s="1">
        <v>9.0</v>
      </c>
      <c r="G3" s="1">
        <v>9.0</v>
      </c>
      <c r="H3" s="1">
        <v>2.0</v>
      </c>
      <c r="I3" s="1">
        <v>11.0</v>
      </c>
      <c r="J3" s="3" t="s">
        <v>61</v>
      </c>
      <c r="K3" s="3" t="s">
        <v>62</v>
      </c>
    </row>
    <row r="4">
      <c r="A4" s="1">
        <v>3.0</v>
      </c>
      <c r="B4" s="1">
        <v>4.0</v>
      </c>
      <c r="C4" s="1">
        <v>17.0</v>
      </c>
      <c r="D4" s="1">
        <v>17.0</v>
      </c>
      <c r="E4" s="1">
        <v>17.0</v>
      </c>
      <c r="F4" s="1">
        <v>17.0</v>
      </c>
      <c r="G4" s="1">
        <v>17.0</v>
      </c>
      <c r="H4" s="1">
        <v>3.0</v>
      </c>
      <c r="I4" s="1">
        <v>12.0</v>
      </c>
      <c r="J4" s="3" t="s">
        <v>63</v>
      </c>
      <c r="K4" s="3" t="s">
        <v>64</v>
      </c>
    </row>
    <row r="5">
      <c r="A5" s="1">
        <v>4.0</v>
      </c>
      <c r="B5" s="1">
        <v>4.0</v>
      </c>
      <c r="C5" s="1">
        <v>15.0</v>
      </c>
      <c r="D5" s="1">
        <v>15.0</v>
      </c>
      <c r="E5" s="1">
        <v>15.0</v>
      </c>
      <c r="F5" s="1">
        <v>11.0</v>
      </c>
      <c r="G5" s="1">
        <v>15.0</v>
      </c>
      <c r="H5" s="1">
        <v>4.0</v>
      </c>
      <c r="I5" s="1">
        <v>13.0</v>
      </c>
      <c r="J5" s="3" t="s">
        <v>65</v>
      </c>
      <c r="K5" s="3" t="s">
        <v>66</v>
      </c>
    </row>
    <row r="6">
      <c r="A6" s="1">
        <v>5.0</v>
      </c>
      <c r="B6" s="1">
        <v>3.0</v>
      </c>
      <c r="C6" s="1">
        <v>7.0</v>
      </c>
      <c r="D6" s="1">
        <v>7.0</v>
      </c>
      <c r="E6" s="1">
        <v>7.0</v>
      </c>
      <c r="F6" s="1">
        <v>5.0</v>
      </c>
      <c r="G6" s="1">
        <v>6.0</v>
      </c>
      <c r="H6" s="1">
        <v>5.0</v>
      </c>
      <c r="I6" s="1">
        <v>14.0</v>
      </c>
      <c r="J6" s="3" t="s">
        <v>67</v>
      </c>
      <c r="K6" s="3" t="s">
        <v>68</v>
      </c>
    </row>
    <row r="7">
      <c r="A7" s="1">
        <v>6.0</v>
      </c>
      <c r="B7" s="1">
        <v>4.0</v>
      </c>
      <c r="C7" s="1">
        <v>5.0</v>
      </c>
      <c r="D7" s="1">
        <v>5.0</v>
      </c>
      <c r="E7" s="1">
        <v>5.0</v>
      </c>
      <c r="F7" s="1">
        <v>15.0</v>
      </c>
      <c r="G7" s="1">
        <v>10.0</v>
      </c>
      <c r="H7" s="1">
        <v>6.0</v>
      </c>
      <c r="I7" s="1">
        <v>15.0</v>
      </c>
      <c r="J7" s="3" t="s">
        <v>69</v>
      </c>
      <c r="K7" s="3" t="s">
        <v>70</v>
      </c>
    </row>
    <row r="8">
      <c r="A8" s="1">
        <v>7.0</v>
      </c>
      <c r="B8" s="1">
        <v>3.0</v>
      </c>
      <c r="C8" s="1">
        <v>13.0</v>
      </c>
      <c r="D8" s="1">
        <v>13.0</v>
      </c>
      <c r="E8" s="1">
        <v>13.0</v>
      </c>
      <c r="F8" s="1">
        <v>13.0</v>
      </c>
      <c r="G8" s="1">
        <v>13.0</v>
      </c>
      <c r="H8" s="1">
        <v>7.0</v>
      </c>
      <c r="I8" s="1">
        <v>16.0</v>
      </c>
      <c r="J8" s="3" t="s">
        <v>71</v>
      </c>
      <c r="K8" s="3" t="s">
        <v>72</v>
      </c>
    </row>
    <row r="9">
      <c r="A9" s="1">
        <v>8.0</v>
      </c>
      <c r="B9" s="1">
        <v>5.0</v>
      </c>
      <c r="C9" s="1">
        <v>11.0</v>
      </c>
      <c r="D9" s="1">
        <v>11.0</v>
      </c>
      <c r="E9" s="1">
        <v>11.0</v>
      </c>
      <c r="F9" s="1">
        <v>7.0</v>
      </c>
      <c r="G9" s="1">
        <v>7.0</v>
      </c>
      <c r="H9" s="1">
        <v>8.0</v>
      </c>
      <c r="I9" s="1">
        <v>17.0</v>
      </c>
      <c r="J9" s="3" t="s">
        <v>73</v>
      </c>
      <c r="K9" s="3" t="s">
        <v>74</v>
      </c>
    </row>
    <row r="10">
      <c r="A10" s="1">
        <v>9.0</v>
      </c>
      <c r="B10" s="1">
        <v>4.0</v>
      </c>
      <c r="C10" s="1">
        <v>1.0</v>
      </c>
      <c r="D10" s="1">
        <v>1.0</v>
      </c>
      <c r="E10" s="1">
        <v>1.0</v>
      </c>
      <c r="F10" s="1">
        <v>1.0</v>
      </c>
      <c r="G10" s="1">
        <v>1.0</v>
      </c>
      <c r="H10" s="1">
        <v>9.0</v>
      </c>
      <c r="I10" s="1">
        <v>18.0</v>
      </c>
      <c r="J10" s="3" t="s">
        <v>75</v>
      </c>
      <c r="K10" s="3" t="s">
        <v>76</v>
      </c>
    </row>
    <row r="11">
      <c r="A11" s="1">
        <v>10.0</v>
      </c>
      <c r="B11" s="1">
        <v>5.0</v>
      </c>
      <c r="C11" s="1">
        <v>10.0</v>
      </c>
      <c r="D11" s="1">
        <v>10.0</v>
      </c>
      <c r="E11" s="1">
        <v>10.0</v>
      </c>
      <c r="F11" s="1">
        <v>6.0</v>
      </c>
      <c r="G11" s="1">
        <v>8.0</v>
      </c>
    </row>
    <row r="12">
      <c r="A12" s="1">
        <v>11.0</v>
      </c>
      <c r="B12" s="1">
        <v>4.0</v>
      </c>
      <c r="C12" s="1">
        <v>2.0</v>
      </c>
      <c r="D12" s="1">
        <v>2.0</v>
      </c>
      <c r="E12" s="1">
        <v>2.0</v>
      </c>
      <c r="F12" s="1">
        <v>2.0</v>
      </c>
      <c r="G12" s="1">
        <v>2.0</v>
      </c>
    </row>
    <row r="13">
      <c r="A13" s="1">
        <v>12.0</v>
      </c>
      <c r="B13" s="1">
        <v>3.0</v>
      </c>
      <c r="C13" s="1">
        <v>4.0</v>
      </c>
      <c r="D13" s="1">
        <v>4.0</v>
      </c>
      <c r="E13" s="1">
        <v>4.0</v>
      </c>
      <c r="F13" s="1">
        <v>10.0</v>
      </c>
      <c r="G13" s="1">
        <v>4.0</v>
      </c>
    </row>
    <row r="14">
      <c r="A14" s="1">
        <v>13.0</v>
      </c>
      <c r="B14" s="1">
        <v>4.0</v>
      </c>
      <c r="C14" s="1">
        <v>6.0</v>
      </c>
      <c r="D14" s="1">
        <v>6.0</v>
      </c>
      <c r="E14" s="1">
        <v>6.0</v>
      </c>
      <c r="F14" s="1">
        <v>4.0</v>
      </c>
      <c r="G14" s="1">
        <v>5.0</v>
      </c>
    </row>
    <row r="15">
      <c r="A15" s="1">
        <v>14.0</v>
      </c>
      <c r="B15" s="1">
        <v>4.0</v>
      </c>
      <c r="C15" s="1">
        <v>16.0</v>
      </c>
      <c r="D15" s="1">
        <v>16.0</v>
      </c>
      <c r="E15" s="1">
        <v>16.0</v>
      </c>
      <c r="F15" s="1">
        <v>12.0</v>
      </c>
      <c r="G15" s="1">
        <v>16.0</v>
      </c>
    </row>
    <row r="16">
      <c r="A16" s="1">
        <v>15.0</v>
      </c>
      <c r="B16" s="1">
        <v>3.0</v>
      </c>
      <c r="C16" s="1">
        <v>18.0</v>
      </c>
      <c r="D16" s="1">
        <v>18.0</v>
      </c>
      <c r="E16" s="1">
        <v>18.0</v>
      </c>
      <c r="F16" s="1">
        <v>18.0</v>
      </c>
      <c r="G16" s="1">
        <v>18.0</v>
      </c>
    </row>
    <row r="17">
      <c r="A17" s="1">
        <v>16.0</v>
      </c>
      <c r="B17" s="1">
        <v>4.0</v>
      </c>
      <c r="C17" s="1">
        <v>14.0</v>
      </c>
      <c r="D17" s="1">
        <v>14.0</v>
      </c>
      <c r="E17" s="1">
        <v>14.0</v>
      </c>
      <c r="F17" s="1">
        <v>14.0</v>
      </c>
      <c r="G17" s="1">
        <v>14.0</v>
      </c>
    </row>
    <row r="18">
      <c r="A18" s="1">
        <v>17.0</v>
      </c>
      <c r="B18" s="1">
        <v>4.0</v>
      </c>
      <c r="C18" s="1">
        <v>8.0</v>
      </c>
      <c r="D18" s="1">
        <v>8.0</v>
      </c>
      <c r="E18" s="1">
        <v>8.0</v>
      </c>
      <c r="F18" s="1">
        <v>16.0</v>
      </c>
      <c r="G18" s="1">
        <v>12.0</v>
      </c>
    </row>
    <row r="19">
      <c r="A19" s="1">
        <v>18.0</v>
      </c>
      <c r="B19" s="1">
        <v>5.0</v>
      </c>
      <c r="C19" s="1">
        <v>12.0</v>
      </c>
      <c r="D19" s="1">
        <v>12.0</v>
      </c>
      <c r="E19" s="1">
        <v>12.0</v>
      </c>
      <c r="F19" s="1">
        <v>8.0</v>
      </c>
      <c r="G19" s="1">
        <v>11.0</v>
      </c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77</v>
      </c>
      <c r="B1" s="1" t="s">
        <v>78</v>
      </c>
      <c r="C1" s="2" t="s">
        <v>79</v>
      </c>
    </row>
    <row r="2">
      <c r="A2" s="1" t="s">
        <v>80</v>
      </c>
      <c r="B2" s="1">
        <v>0.8</v>
      </c>
      <c r="C2" s="4" t="s">
        <v>81</v>
      </c>
    </row>
    <row r="3">
      <c r="A3" s="1" t="s">
        <v>82</v>
      </c>
      <c r="B3" s="1">
        <v>0.6</v>
      </c>
      <c r="C3" s="4" t="s">
        <v>83</v>
      </c>
    </row>
    <row r="4">
      <c r="A4" s="1" t="s">
        <v>84</v>
      </c>
      <c r="B4" s="1">
        <v>0.4</v>
      </c>
      <c r="C4" s="4" t="s">
        <v>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86</v>
      </c>
      <c r="B1" s="1" t="s">
        <v>87</v>
      </c>
    </row>
    <row r="2">
      <c r="A2" s="1" t="s">
        <v>88</v>
      </c>
    </row>
    <row r="3">
      <c r="A3" s="1" t="s">
        <v>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</cols>
  <sheetData>
    <row r="1">
      <c r="A1" s="1" t="s">
        <v>2</v>
      </c>
      <c r="B1" s="1" t="s">
        <v>0</v>
      </c>
      <c r="C1" s="1" t="s">
        <v>50</v>
      </c>
      <c r="D1" s="1" t="s">
        <v>90</v>
      </c>
      <c r="E1" s="2" t="s">
        <v>91</v>
      </c>
    </row>
    <row r="2">
      <c r="A2" s="5" t="s">
        <v>41</v>
      </c>
      <c r="B2" s="5" t="s">
        <v>40</v>
      </c>
      <c r="C2" s="5">
        <v>1.0</v>
      </c>
      <c r="D2" s="5">
        <v>4.0</v>
      </c>
      <c r="E2" s="5" t="s">
        <v>92</v>
      </c>
    </row>
    <row r="3">
      <c r="A3" s="5" t="s">
        <v>41</v>
      </c>
      <c r="B3" s="5" t="s">
        <v>42</v>
      </c>
      <c r="C3" s="5">
        <v>1.0</v>
      </c>
      <c r="D3" s="5">
        <v>5.0</v>
      </c>
      <c r="E3" s="5" t="s">
        <v>92</v>
      </c>
    </row>
    <row r="4">
      <c r="A4" s="5" t="s">
        <v>41</v>
      </c>
      <c r="B4" s="5" t="s">
        <v>43</v>
      </c>
      <c r="C4" s="5">
        <v>1.0</v>
      </c>
      <c r="D4" s="5">
        <v>5.0</v>
      </c>
      <c r="E4" s="5" t="s">
        <v>92</v>
      </c>
    </row>
    <row r="5">
      <c r="A5" s="5" t="s">
        <v>41</v>
      </c>
      <c r="B5" s="5" t="s">
        <v>44</v>
      </c>
      <c r="C5" s="5">
        <v>1.0</v>
      </c>
      <c r="D5" s="5">
        <v>5.0</v>
      </c>
      <c r="E5" s="5" t="s">
        <v>92</v>
      </c>
    </row>
    <row r="6">
      <c r="A6" s="5" t="s">
        <v>31</v>
      </c>
      <c r="B6" s="5" t="s">
        <v>30</v>
      </c>
      <c r="C6" s="5">
        <v>1.0</v>
      </c>
      <c r="D6" s="5">
        <v>5.0</v>
      </c>
      <c r="E6" s="5" t="s">
        <v>93</v>
      </c>
    </row>
    <row r="7">
      <c r="A7" s="5" t="s">
        <v>31</v>
      </c>
      <c r="B7" s="5" t="s">
        <v>33</v>
      </c>
      <c r="C7" s="5">
        <v>1.0</v>
      </c>
      <c r="D7" s="5">
        <v>4.0</v>
      </c>
      <c r="E7" s="5" t="s">
        <v>93</v>
      </c>
    </row>
    <row r="8">
      <c r="A8" s="5" t="s">
        <v>31</v>
      </c>
      <c r="B8" s="5" t="s">
        <v>32</v>
      </c>
      <c r="C8" s="5">
        <v>1.0</v>
      </c>
      <c r="D8" s="5">
        <v>6.0</v>
      </c>
      <c r="E8" s="5" t="s">
        <v>93</v>
      </c>
    </row>
    <row r="9">
      <c r="A9" s="5" t="s">
        <v>31</v>
      </c>
      <c r="B9" s="5" t="s">
        <v>34</v>
      </c>
      <c r="C9" s="5">
        <v>1.0</v>
      </c>
      <c r="D9" s="5">
        <v>4.0</v>
      </c>
      <c r="E9" s="5" t="s">
        <v>93</v>
      </c>
    </row>
    <row r="10">
      <c r="A10" s="5" t="s">
        <v>41</v>
      </c>
      <c r="B10" s="5" t="s">
        <v>42</v>
      </c>
      <c r="C10" s="5">
        <v>2.0</v>
      </c>
      <c r="D10" s="5">
        <v>5.0</v>
      </c>
      <c r="E10" s="5" t="s">
        <v>92</v>
      </c>
    </row>
    <row r="11">
      <c r="A11" s="5" t="s">
        <v>41</v>
      </c>
      <c r="B11" s="5" t="s">
        <v>40</v>
      </c>
      <c r="C11" s="5">
        <v>2.0</v>
      </c>
      <c r="D11" s="5">
        <v>5.0</v>
      </c>
      <c r="E11" s="5" t="s">
        <v>92</v>
      </c>
    </row>
    <row r="12">
      <c r="A12" s="5" t="s">
        <v>41</v>
      </c>
      <c r="B12" s="5" t="s">
        <v>43</v>
      </c>
      <c r="C12" s="5">
        <v>2.0</v>
      </c>
      <c r="D12" s="5">
        <v>5.0</v>
      </c>
      <c r="E12" s="5" t="s">
        <v>92</v>
      </c>
    </row>
    <row r="13">
      <c r="A13" s="5" t="s">
        <v>41</v>
      </c>
      <c r="B13" s="5" t="s">
        <v>44</v>
      </c>
      <c r="C13" s="5">
        <v>2.0</v>
      </c>
      <c r="D13" s="5">
        <v>5.0</v>
      </c>
      <c r="E13" s="5" t="s">
        <v>92</v>
      </c>
    </row>
    <row r="14">
      <c r="A14" s="5" t="s">
        <v>46</v>
      </c>
      <c r="B14" s="5" t="s">
        <v>49</v>
      </c>
      <c r="C14" s="5">
        <v>1.0</v>
      </c>
      <c r="D14" s="5">
        <v>6.0</v>
      </c>
      <c r="E14" s="5" t="s">
        <v>94</v>
      </c>
    </row>
    <row r="15">
      <c r="A15" s="5" t="s">
        <v>46</v>
      </c>
      <c r="B15" s="5" t="s">
        <v>45</v>
      </c>
      <c r="C15" s="5">
        <v>1.0</v>
      </c>
      <c r="D15" s="5">
        <v>4.0</v>
      </c>
      <c r="E15" s="5" t="s">
        <v>94</v>
      </c>
    </row>
    <row r="16">
      <c r="A16" s="5" t="s">
        <v>46</v>
      </c>
      <c r="B16" s="5" t="s">
        <v>47</v>
      </c>
      <c r="C16" s="5">
        <v>1.0</v>
      </c>
      <c r="D16" s="5">
        <v>5.0</v>
      </c>
      <c r="E16" s="5" t="s">
        <v>94</v>
      </c>
    </row>
    <row r="17">
      <c r="A17" s="5" t="s">
        <v>46</v>
      </c>
      <c r="B17" s="5" t="s">
        <v>48</v>
      </c>
      <c r="C17" s="5">
        <v>1.0</v>
      </c>
      <c r="D17" s="5">
        <v>5.0</v>
      </c>
      <c r="E17" s="5" t="s">
        <v>94</v>
      </c>
    </row>
    <row r="18">
      <c r="A18" s="5" t="s">
        <v>8</v>
      </c>
      <c r="B18" s="5" t="s">
        <v>6</v>
      </c>
      <c r="C18" s="5">
        <v>1.0</v>
      </c>
      <c r="D18" s="5">
        <v>5.0</v>
      </c>
      <c r="E18" s="5" t="s">
        <v>95</v>
      </c>
    </row>
    <row r="19">
      <c r="A19" s="5" t="s">
        <v>8</v>
      </c>
      <c r="B19" s="5" t="s">
        <v>10</v>
      </c>
      <c r="C19" s="5">
        <v>1.0</v>
      </c>
      <c r="D19" s="5">
        <v>5.0</v>
      </c>
      <c r="E19" s="5" t="s">
        <v>95</v>
      </c>
    </row>
    <row r="20">
      <c r="A20" s="5" t="s">
        <v>8</v>
      </c>
      <c r="B20" s="5" t="s">
        <v>11</v>
      </c>
      <c r="C20" s="5">
        <v>1.0</v>
      </c>
      <c r="D20" s="5">
        <v>6.0</v>
      </c>
      <c r="E20" s="5" t="s">
        <v>95</v>
      </c>
    </row>
    <row r="21">
      <c r="A21" s="5" t="s">
        <v>8</v>
      </c>
      <c r="B21" s="5" t="s">
        <v>13</v>
      </c>
      <c r="C21" s="5">
        <v>1.0</v>
      </c>
      <c r="D21" s="5">
        <v>7.0</v>
      </c>
      <c r="E21" s="5" t="s">
        <v>95</v>
      </c>
    </row>
    <row r="22">
      <c r="A22" s="5" t="s">
        <v>31</v>
      </c>
      <c r="B22" s="5" t="s">
        <v>30</v>
      </c>
      <c r="C22" s="5">
        <v>2.0</v>
      </c>
      <c r="D22" s="5">
        <v>6.0</v>
      </c>
      <c r="E22" s="5" t="s">
        <v>93</v>
      </c>
    </row>
    <row r="23">
      <c r="A23" s="5" t="s">
        <v>31</v>
      </c>
      <c r="B23" s="5" t="s">
        <v>32</v>
      </c>
      <c r="C23" s="5">
        <v>2.0</v>
      </c>
      <c r="D23" s="5">
        <v>7.0</v>
      </c>
      <c r="E23" s="5" t="s">
        <v>93</v>
      </c>
    </row>
    <row r="24">
      <c r="A24" s="5" t="s">
        <v>31</v>
      </c>
      <c r="B24" s="5" t="s">
        <v>33</v>
      </c>
      <c r="C24" s="5">
        <v>2.0</v>
      </c>
      <c r="D24" s="5">
        <v>6.0</v>
      </c>
      <c r="E24" s="5" t="s">
        <v>93</v>
      </c>
    </row>
    <row r="25">
      <c r="A25" s="5" t="s">
        <v>31</v>
      </c>
      <c r="B25" s="5" t="s">
        <v>34</v>
      </c>
      <c r="C25" s="5">
        <v>2.0</v>
      </c>
      <c r="D25" s="5">
        <v>5.0</v>
      </c>
      <c r="E25" s="5" t="s">
        <v>93</v>
      </c>
    </row>
    <row r="26">
      <c r="A26" s="5" t="s">
        <v>41</v>
      </c>
      <c r="B26" s="5" t="s">
        <v>40</v>
      </c>
      <c r="C26" s="5">
        <v>3.0</v>
      </c>
      <c r="D26" s="5">
        <v>3.0</v>
      </c>
      <c r="E26" s="5" t="s">
        <v>92</v>
      </c>
    </row>
    <row r="27">
      <c r="A27" s="5" t="s">
        <v>41</v>
      </c>
      <c r="B27" s="5" t="s">
        <v>42</v>
      </c>
      <c r="C27" s="5">
        <v>3.0</v>
      </c>
      <c r="D27" s="5">
        <v>5.0</v>
      </c>
      <c r="E27" s="5" t="s">
        <v>92</v>
      </c>
    </row>
    <row r="28">
      <c r="A28" s="5" t="s">
        <v>41</v>
      </c>
      <c r="B28" s="5" t="s">
        <v>43</v>
      </c>
      <c r="C28" s="5">
        <v>3.0</v>
      </c>
      <c r="D28" s="5">
        <v>6.0</v>
      </c>
      <c r="E28" s="5" t="s">
        <v>92</v>
      </c>
    </row>
    <row r="29">
      <c r="A29" s="5" t="s">
        <v>41</v>
      </c>
      <c r="B29" s="5" t="s">
        <v>44</v>
      </c>
      <c r="C29" s="5">
        <v>3.0</v>
      </c>
      <c r="D29" s="5">
        <v>4.0</v>
      </c>
      <c r="E29" s="5" t="s">
        <v>92</v>
      </c>
    </row>
    <row r="30">
      <c r="A30" s="5" t="s">
        <v>46</v>
      </c>
      <c r="B30" s="5" t="s">
        <v>45</v>
      </c>
      <c r="C30" s="5">
        <v>2.0</v>
      </c>
      <c r="D30" s="5">
        <v>6.0</v>
      </c>
      <c r="E30" s="5" t="s">
        <v>94</v>
      </c>
    </row>
    <row r="31">
      <c r="A31" s="5" t="s">
        <v>46</v>
      </c>
      <c r="B31" s="5" t="s">
        <v>48</v>
      </c>
      <c r="C31" s="5">
        <v>2.0</v>
      </c>
      <c r="D31" s="5">
        <v>4.0</v>
      </c>
      <c r="E31" s="5" t="s">
        <v>94</v>
      </c>
    </row>
    <row r="32">
      <c r="A32" s="5" t="s">
        <v>46</v>
      </c>
      <c r="B32" s="5" t="s">
        <v>47</v>
      </c>
      <c r="C32" s="5">
        <v>2.0</v>
      </c>
      <c r="D32" s="5">
        <v>7.0</v>
      </c>
      <c r="E32" s="5" t="s">
        <v>94</v>
      </c>
    </row>
    <row r="33">
      <c r="A33" s="5" t="s">
        <v>46</v>
      </c>
      <c r="B33" s="5" t="s">
        <v>49</v>
      </c>
      <c r="C33" s="5">
        <v>2.0</v>
      </c>
      <c r="D33" s="5">
        <v>6.0</v>
      </c>
      <c r="E33" s="5" t="s">
        <v>94</v>
      </c>
    </row>
    <row r="34">
      <c r="A34" s="5" t="s">
        <v>8</v>
      </c>
      <c r="B34" s="5" t="s">
        <v>6</v>
      </c>
      <c r="C34" s="5">
        <v>2.0</v>
      </c>
      <c r="D34" s="5">
        <v>6.0</v>
      </c>
      <c r="E34" s="5" t="s">
        <v>95</v>
      </c>
    </row>
    <row r="35">
      <c r="A35" s="5" t="s">
        <v>8</v>
      </c>
      <c r="B35" s="5" t="s">
        <v>11</v>
      </c>
      <c r="C35" s="5">
        <v>2.0</v>
      </c>
      <c r="D35" s="5">
        <v>5.0</v>
      </c>
      <c r="E35" s="5" t="s">
        <v>95</v>
      </c>
    </row>
    <row r="36">
      <c r="A36" s="5" t="s">
        <v>31</v>
      </c>
      <c r="B36" s="5" t="s">
        <v>30</v>
      </c>
      <c r="C36" s="5">
        <v>3.0</v>
      </c>
      <c r="D36" s="5">
        <v>6.0</v>
      </c>
      <c r="E36" s="5" t="s">
        <v>93</v>
      </c>
    </row>
    <row r="37">
      <c r="A37" s="5" t="s">
        <v>31</v>
      </c>
      <c r="B37" s="5" t="s">
        <v>32</v>
      </c>
      <c r="C37" s="5">
        <v>3.0</v>
      </c>
      <c r="D37" s="5">
        <v>6.0</v>
      </c>
      <c r="E37" s="5" t="s">
        <v>93</v>
      </c>
    </row>
    <row r="38">
      <c r="A38" s="5" t="s">
        <v>31</v>
      </c>
      <c r="B38" s="5" t="s">
        <v>33</v>
      </c>
      <c r="C38" s="5">
        <v>3.0</v>
      </c>
      <c r="D38" s="5">
        <v>4.0</v>
      </c>
      <c r="E38" s="5" t="s">
        <v>93</v>
      </c>
    </row>
    <row r="39">
      <c r="A39" s="5" t="s">
        <v>31</v>
      </c>
      <c r="B39" s="5" t="s">
        <v>34</v>
      </c>
      <c r="C39" s="5">
        <v>3.0</v>
      </c>
      <c r="D39" s="5">
        <v>6.0</v>
      </c>
      <c r="E39" s="5" t="s">
        <v>93</v>
      </c>
    </row>
    <row r="40">
      <c r="A40" s="5" t="s">
        <v>16</v>
      </c>
      <c r="B40" s="5" t="s">
        <v>19</v>
      </c>
      <c r="C40" s="5">
        <v>1.0</v>
      </c>
      <c r="D40" s="5">
        <v>4.0</v>
      </c>
      <c r="E40" s="5" t="s">
        <v>96</v>
      </c>
    </row>
    <row r="41">
      <c r="A41" s="5" t="s">
        <v>16</v>
      </c>
      <c r="B41" s="5" t="s">
        <v>18</v>
      </c>
      <c r="C41" s="5">
        <v>1.0</v>
      </c>
      <c r="D41" s="5">
        <v>5.0</v>
      </c>
      <c r="E41" s="5" t="s">
        <v>96</v>
      </c>
    </row>
    <row r="42">
      <c r="A42" s="5" t="s">
        <v>16</v>
      </c>
      <c r="B42" s="5" t="s">
        <v>17</v>
      </c>
      <c r="C42" s="5">
        <v>1.0</v>
      </c>
      <c r="D42" s="5">
        <v>4.0</v>
      </c>
      <c r="E42" s="5" t="s">
        <v>96</v>
      </c>
    </row>
    <row r="43">
      <c r="A43" s="5" t="s">
        <v>16</v>
      </c>
      <c r="B43" s="5" t="s">
        <v>15</v>
      </c>
      <c r="C43" s="5">
        <v>1.0</v>
      </c>
      <c r="D43" s="5">
        <v>5.0</v>
      </c>
      <c r="E43" s="5" t="s">
        <v>96</v>
      </c>
    </row>
    <row r="44">
      <c r="A44" s="5" t="s">
        <v>8</v>
      </c>
      <c r="B44" s="5" t="s">
        <v>13</v>
      </c>
      <c r="C44" s="5">
        <v>2.0</v>
      </c>
      <c r="D44" s="5">
        <v>6.0</v>
      </c>
      <c r="E44" s="5" t="s">
        <v>95</v>
      </c>
    </row>
    <row r="45">
      <c r="A45" s="5" t="s">
        <v>8</v>
      </c>
      <c r="B45" s="5" t="s">
        <v>10</v>
      </c>
      <c r="C45" s="5">
        <v>2.0</v>
      </c>
      <c r="D45" s="5">
        <v>6.0</v>
      </c>
      <c r="E45" s="5" t="s">
        <v>95</v>
      </c>
    </row>
    <row r="46">
      <c r="A46" s="5" t="s">
        <v>41</v>
      </c>
      <c r="B46" s="5" t="s">
        <v>40</v>
      </c>
      <c r="C46" s="5">
        <v>4.0</v>
      </c>
      <c r="D46" s="5">
        <v>4.0</v>
      </c>
      <c r="E46" s="5" t="s">
        <v>92</v>
      </c>
    </row>
    <row r="47">
      <c r="A47" s="5" t="s">
        <v>41</v>
      </c>
      <c r="B47" s="5" t="s">
        <v>42</v>
      </c>
      <c r="C47" s="5">
        <v>4.0</v>
      </c>
      <c r="D47" s="5">
        <v>4.0</v>
      </c>
      <c r="E47" s="5" t="s">
        <v>92</v>
      </c>
    </row>
    <row r="48">
      <c r="A48" s="5" t="s">
        <v>41</v>
      </c>
      <c r="B48" s="5" t="s">
        <v>43</v>
      </c>
      <c r="C48" s="5">
        <v>4.0</v>
      </c>
      <c r="D48" s="5">
        <v>5.0</v>
      </c>
      <c r="E48" s="5" t="s">
        <v>92</v>
      </c>
    </row>
    <row r="49">
      <c r="A49" s="5" t="s">
        <v>41</v>
      </c>
      <c r="B49" s="5" t="s">
        <v>44</v>
      </c>
      <c r="C49" s="5">
        <v>4.0</v>
      </c>
      <c r="D49" s="5">
        <v>5.0</v>
      </c>
      <c r="E49" s="5" t="s">
        <v>92</v>
      </c>
    </row>
    <row r="50">
      <c r="A50" s="5" t="s">
        <v>21</v>
      </c>
      <c r="B50" s="5" t="s">
        <v>20</v>
      </c>
      <c r="C50" s="5">
        <v>1.0</v>
      </c>
      <c r="D50" s="5">
        <v>7.0</v>
      </c>
      <c r="E50" s="5" t="s">
        <v>97</v>
      </c>
    </row>
    <row r="51">
      <c r="A51" s="5" t="s">
        <v>21</v>
      </c>
      <c r="B51" s="5" t="s">
        <v>22</v>
      </c>
      <c r="C51" s="5">
        <v>1.0</v>
      </c>
      <c r="D51" s="5">
        <v>6.0</v>
      </c>
      <c r="E51" s="5" t="s">
        <v>97</v>
      </c>
    </row>
    <row r="52">
      <c r="A52" s="5" t="s">
        <v>21</v>
      </c>
      <c r="B52" s="5" t="s">
        <v>23</v>
      </c>
      <c r="C52" s="5">
        <v>1.0</v>
      </c>
      <c r="D52" s="5">
        <v>4.0</v>
      </c>
      <c r="E52" s="5" t="s">
        <v>97</v>
      </c>
    </row>
    <row r="53">
      <c r="E53" s="5" t="s">
        <v>98</v>
      </c>
    </row>
    <row r="54">
      <c r="A54" s="5" t="s">
        <v>21</v>
      </c>
      <c r="B54" s="5" t="s">
        <v>24</v>
      </c>
      <c r="C54" s="5">
        <v>1.0</v>
      </c>
      <c r="D54" s="5">
        <v>5.0</v>
      </c>
      <c r="E54" s="5" t="s">
        <v>97</v>
      </c>
    </row>
    <row r="55">
      <c r="A55" s="5" t="s">
        <v>31</v>
      </c>
      <c r="B55" s="5" t="s">
        <v>34</v>
      </c>
      <c r="C55" s="5">
        <v>4.0</v>
      </c>
      <c r="D55" s="5">
        <v>5.0</v>
      </c>
      <c r="E55" s="5" t="s">
        <v>93</v>
      </c>
    </row>
    <row r="56">
      <c r="A56" s="5" t="s">
        <v>31</v>
      </c>
      <c r="B56" s="5" t="s">
        <v>30</v>
      </c>
      <c r="C56" s="5">
        <v>4.0</v>
      </c>
      <c r="D56" s="5">
        <v>4.0</v>
      </c>
      <c r="E56" s="5" t="s">
        <v>93</v>
      </c>
    </row>
    <row r="57">
      <c r="A57" s="5" t="s">
        <v>31</v>
      </c>
      <c r="B57" s="5" t="s">
        <v>32</v>
      </c>
      <c r="C57" s="5">
        <v>4.0</v>
      </c>
      <c r="D57" s="5">
        <v>5.0</v>
      </c>
      <c r="E57" s="5" t="s">
        <v>93</v>
      </c>
    </row>
    <row r="58">
      <c r="A58" s="5" t="s">
        <v>31</v>
      </c>
      <c r="B58" s="5" t="s">
        <v>33</v>
      </c>
      <c r="C58" s="5">
        <v>4.0</v>
      </c>
      <c r="D58" s="5">
        <v>4.0</v>
      </c>
      <c r="E58" s="5" t="s">
        <v>93</v>
      </c>
    </row>
    <row r="59">
      <c r="A59" s="5" t="s">
        <v>46</v>
      </c>
      <c r="B59" s="5" t="s">
        <v>45</v>
      </c>
      <c r="C59" s="5">
        <v>3.0</v>
      </c>
      <c r="D59" s="5">
        <v>4.0</v>
      </c>
      <c r="E59" s="5" t="s">
        <v>94</v>
      </c>
    </row>
    <row r="60">
      <c r="A60" s="5" t="s">
        <v>46</v>
      </c>
      <c r="B60" s="5" t="s">
        <v>47</v>
      </c>
      <c r="C60" s="5">
        <v>3.0</v>
      </c>
      <c r="D60" s="5">
        <v>5.0</v>
      </c>
      <c r="E60" s="5" t="s">
        <v>94</v>
      </c>
    </row>
    <row r="61">
      <c r="A61" s="5" t="s">
        <v>46</v>
      </c>
      <c r="B61" s="5" t="s">
        <v>49</v>
      </c>
      <c r="C61" s="5">
        <v>3.0</v>
      </c>
      <c r="D61" s="5">
        <v>4.0</v>
      </c>
      <c r="E61" s="5" t="s">
        <v>94</v>
      </c>
    </row>
    <row r="62">
      <c r="A62" s="5" t="s">
        <v>46</v>
      </c>
      <c r="B62" s="5" t="s">
        <v>48</v>
      </c>
      <c r="C62" s="5">
        <v>3.0</v>
      </c>
      <c r="D62" s="5">
        <v>6.0</v>
      </c>
      <c r="E62" s="5" t="s">
        <v>94</v>
      </c>
    </row>
    <row r="63">
      <c r="A63" s="5" t="s">
        <v>36</v>
      </c>
      <c r="B63" s="5" t="s">
        <v>37</v>
      </c>
      <c r="C63" s="5">
        <v>1.0</v>
      </c>
      <c r="D63" s="5">
        <v>5.0</v>
      </c>
      <c r="E63" s="5" t="s">
        <v>99</v>
      </c>
    </row>
    <row r="64">
      <c r="A64" s="5" t="s">
        <v>8</v>
      </c>
      <c r="B64" s="5" t="s">
        <v>6</v>
      </c>
      <c r="C64" s="5">
        <v>3.0</v>
      </c>
      <c r="D64" s="5">
        <v>5.0</v>
      </c>
      <c r="E64" s="5" t="s">
        <v>95</v>
      </c>
    </row>
    <row r="65">
      <c r="E65" s="5" t="s">
        <v>95</v>
      </c>
    </row>
    <row r="66">
      <c r="A66" s="5" t="s">
        <v>8</v>
      </c>
      <c r="B66" s="5" t="s">
        <v>10</v>
      </c>
      <c r="C66" s="5">
        <v>3.0</v>
      </c>
      <c r="D66" s="5">
        <v>5.0</v>
      </c>
      <c r="E66" s="5" t="s">
        <v>95</v>
      </c>
    </row>
    <row r="67">
      <c r="A67" s="5" t="s">
        <v>8</v>
      </c>
      <c r="B67" s="5" t="s">
        <v>11</v>
      </c>
      <c r="C67" s="5">
        <v>3.0</v>
      </c>
      <c r="D67" s="5">
        <v>5.0</v>
      </c>
      <c r="E67" s="5" t="s">
        <v>95</v>
      </c>
    </row>
    <row r="68">
      <c r="A68" s="5" t="s">
        <v>8</v>
      </c>
      <c r="B68" s="5" t="s">
        <v>13</v>
      </c>
      <c r="C68" s="5">
        <v>3.0</v>
      </c>
      <c r="D68" s="5">
        <v>4.0</v>
      </c>
      <c r="E68" s="5" t="s">
        <v>95</v>
      </c>
    </row>
    <row r="69">
      <c r="A69" s="5" t="s">
        <v>41</v>
      </c>
      <c r="B69" s="5" t="s">
        <v>40</v>
      </c>
      <c r="C69" s="5">
        <v>5.0</v>
      </c>
      <c r="D69" s="5">
        <v>4.0</v>
      </c>
      <c r="E69" s="5" t="s">
        <v>92</v>
      </c>
    </row>
    <row r="70">
      <c r="A70" s="5" t="s">
        <v>41</v>
      </c>
      <c r="B70" s="5" t="s">
        <v>42</v>
      </c>
      <c r="C70" s="5">
        <v>5.0</v>
      </c>
      <c r="D70" s="5">
        <v>4.0</v>
      </c>
      <c r="E70" s="5" t="s">
        <v>92</v>
      </c>
    </row>
    <row r="71">
      <c r="A71" s="5" t="s">
        <v>41</v>
      </c>
      <c r="B71" s="5" t="s">
        <v>43</v>
      </c>
      <c r="C71" s="5">
        <v>5.0</v>
      </c>
      <c r="D71" s="5">
        <v>4.0</v>
      </c>
      <c r="E71" s="5" t="s">
        <v>92</v>
      </c>
    </row>
    <row r="72">
      <c r="A72" s="5" t="s">
        <v>41</v>
      </c>
      <c r="B72" s="5" t="s">
        <v>44</v>
      </c>
      <c r="C72" s="5">
        <v>5.0</v>
      </c>
      <c r="D72" s="5">
        <v>3.0</v>
      </c>
      <c r="E72" s="5" t="s">
        <v>92</v>
      </c>
    </row>
    <row r="73">
      <c r="A73" s="5" t="s">
        <v>36</v>
      </c>
      <c r="B73" s="5" t="s">
        <v>39</v>
      </c>
      <c r="C73" s="5">
        <v>1.0</v>
      </c>
      <c r="D73" s="5">
        <v>4.0</v>
      </c>
      <c r="E73" s="5" t="s">
        <v>99</v>
      </c>
    </row>
    <row r="74">
      <c r="A74" s="5" t="s">
        <v>36</v>
      </c>
      <c r="B74" s="5" t="s">
        <v>38</v>
      </c>
      <c r="C74" s="5">
        <v>1.0</v>
      </c>
      <c r="D74" s="5">
        <v>5.0</v>
      </c>
      <c r="E74" s="5" t="s">
        <v>99</v>
      </c>
    </row>
    <row r="75">
      <c r="A75" s="5" t="s">
        <v>36</v>
      </c>
      <c r="B75" s="5" t="s">
        <v>35</v>
      </c>
      <c r="C75" s="5">
        <v>1.0</v>
      </c>
      <c r="D75" s="5">
        <v>4.0</v>
      </c>
      <c r="E75" s="5" t="s">
        <v>99</v>
      </c>
    </row>
    <row r="76">
      <c r="A76" s="5" t="s">
        <v>16</v>
      </c>
      <c r="B76" s="5" t="s">
        <v>19</v>
      </c>
      <c r="C76" s="5">
        <v>2.0</v>
      </c>
      <c r="D76" s="5">
        <v>5.0</v>
      </c>
      <c r="E76" s="5" t="s">
        <v>96</v>
      </c>
    </row>
    <row r="77">
      <c r="A77" s="5" t="s">
        <v>16</v>
      </c>
      <c r="B77" s="5" t="s">
        <v>18</v>
      </c>
      <c r="C77" s="5">
        <v>2.0</v>
      </c>
      <c r="D77" s="5">
        <v>5.0</v>
      </c>
      <c r="E77" s="5" t="s">
        <v>96</v>
      </c>
    </row>
    <row r="78">
      <c r="A78" s="5" t="s">
        <v>16</v>
      </c>
      <c r="B78" s="5" t="s">
        <v>17</v>
      </c>
      <c r="C78" s="5">
        <v>2.0</v>
      </c>
      <c r="D78" s="5">
        <v>4.0</v>
      </c>
      <c r="E78" s="5" t="s">
        <v>96</v>
      </c>
    </row>
    <row r="79">
      <c r="A79" s="5" t="s">
        <v>16</v>
      </c>
      <c r="B79" s="5" t="s">
        <v>15</v>
      </c>
      <c r="C79" s="5">
        <v>2.0</v>
      </c>
      <c r="D79" s="5">
        <v>7.0</v>
      </c>
      <c r="E79" s="5" t="s">
        <v>96</v>
      </c>
    </row>
    <row r="80">
      <c r="A80" s="5" t="s">
        <v>46</v>
      </c>
      <c r="B80" s="5" t="s">
        <v>45</v>
      </c>
      <c r="C80" s="5">
        <v>4.0</v>
      </c>
      <c r="D80" s="5">
        <v>3.0</v>
      </c>
      <c r="E80" s="5" t="s">
        <v>94</v>
      </c>
    </row>
    <row r="81">
      <c r="A81" s="5" t="s">
        <v>46</v>
      </c>
      <c r="B81" s="5" t="s">
        <v>48</v>
      </c>
      <c r="C81" s="5">
        <v>4.0</v>
      </c>
      <c r="D81" s="5">
        <v>5.0</v>
      </c>
      <c r="E81" s="5" t="s">
        <v>94</v>
      </c>
    </row>
    <row r="82">
      <c r="A82" s="5" t="s">
        <v>46</v>
      </c>
      <c r="B82" s="5" t="s">
        <v>47</v>
      </c>
      <c r="C82" s="5">
        <v>4.0</v>
      </c>
      <c r="D82" s="5">
        <v>3.0</v>
      </c>
      <c r="E82" s="5" t="s">
        <v>94</v>
      </c>
    </row>
    <row r="83">
      <c r="A83" s="5" t="s">
        <v>46</v>
      </c>
      <c r="B83" s="5" t="s">
        <v>49</v>
      </c>
      <c r="C83" s="5">
        <v>4.0</v>
      </c>
      <c r="D83" s="5">
        <v>5.0</v>
      </c>
      <c r="E83" s="5" t="s">
        <v>94</v>
      </c>
    </row>
    <row r="84">
      <c r="A84" s="5" t="s">
        <v>31</v>
      </c>
      <c r="B84" s="5" t="s">
        <v>33</v>
      </c>
      <c r="C84" s="5">
        <v>5.0</v>
      </c>
      <c r="D84" s="5">
        <v>5.0</v>
      </c>
      <c r="E84" s="5" t="s">
        <v>93</v>
      </c>
    </row>
    <row r="85">
      <c r="A85" s="5" t="s">
        <v>21</v>
      </c>
      <c r="B85" s="5" t="s">
        <v>23</v>
      </c>
      <c r="C85" s="5">
        <v>2.0</v>
      </c>
      <c r="D85" s="5">
        <v>5.0</v>
      </c>
      <c r="E85" s="5" t="s">
        <v>97</v>
      </c>
    </row>
    <row r="86">
      <c r="A86" s="5" t="s">
        <v>31</v>
      </c>
      <c r="B86" s="5" t="s">
        <v>30</v>
      </c>
      <c r="C86" s="5">
        <v>5.0</v>
      </c>
      <c r="D86" s="5">
        <v>3.0</v>
      </c>
      <c r="E86" s="5" t="s">
        <v>93</v>
      </c>
    </row>
    <row r="87">
      <c r="A87" s="5" t="s">
        <v>21</v>
      </c>
      <c r="B87" s="5" t="s">
        <v>20</v>
      </c>
      <c r="C87" s="5">
        <v>2.0</v>
      </c>
      <c r="D87" s="5">
        <v>6.0</v>
      </c>
      <c r="E87" s="5" t="s">
        <v>97</v>
      </c>
    </row>
    <row r="88">
      <c r="A88" s="5" t="s">
        <v>21</v>
      </c>
      <c r="B88" s="5" t="s">
        <v>22</v>
      </c>
      <c r="C88" s="5">
        <v>2.0</v>
      </c>
      <c r="D88" s="5">
        <v>6.0</v>
      </c>
      <c r="E88" s="5" t="s">
        <v>97</v>
      </c>
    </row>
    <row r="89">
      <c r="A89" s="5" t="s">
        <v>31</v>
      </c>
      <c r="B89" s="5" t="s">
        <v>32</v>
      </c>
      <c r="C89" s="5">
        <v>5.0</v>
      </c>
      <c r="D89" s="5">
        <v>6.0</v>
      </c>
      <c r="E89" s="5" t="s">
        <v>93</v>
      </c>
    </row>
    <row r="90">
      <c r="A90" s="5" t="s">
        <v>21</v>
      </c>
      <c r="B90" s="5" t="s">
        <v>24</v>
      </c>
      <c r="C90" s="5">
        <v>2.0</v>
      </c>
      <c r="D90" s="5">
        <v>5.0</v>
      </c>
      <c r="E90" s="5" t="s">
        <v>97</v>
      </c>
    </row>
    <row r="91">
      <c r="A91" s="5" t="s">
        <v>31</v>
      </c>
      <c r="B91" s="5" t="s">
        <v>34</v>
      </c>
      <c r="C91" s="5">
        <v>5.0</v>
      </c>
      <c r="D91" s="5">
        <v>7.0</v>
      </c>
      <c r="E91" s="5" t="s">
        <v>93</v>
      </c>
    </row>
    <row r="92">
      <c r="A92" s="5" t="s">
        <v>26</v>
      </c>
      <c r="B92" s="5" t="s">
        <v>25</v>
      </c>
      <c r="C92" s="5">
        <v>1.0</v>
      </c>
      <c r="D92" s="5">
        <v>7.0</v>
      </c>
      <c r="E92" s="5" t="s">
        <v>100</v>
      </c>
    </row>
    <row r="93">
      <c r="A93" s="5" t="s">
        <v>26</v>
      </c>
      <c r="B93" s="5" t="s">
        <v>28</v>
      </c>
      <c r="C93" s="5">
        <v>1.0</v>
      </c>
      <c r="D93" s="5">
        <v>5.0</v>
      </c>
      <c r="E93" s="5" t="s">
        <v>100</v>
      </c>
    </row>
    <row r="94">
      <c r="A94" s="5" t="s">
        <v>26</v>
      </c>
      <c r="B94" s="5" t="s">
        <v>29</v>
      </c>
      <c r="C94" s="5">
        <v>1.0</v>
      </c>
      <c r="D94" s="5">
        <v>5.0</v>
      </c>
      <c r="E94" s="5" t="s">
        <v>100</v>
      </c>
    </row>
    <row r="95">
      <c r="A95" s="5" t="s">
        <v>8</v>
      </c>
      <c r="B95" s="5" t="s">
        <v>6</v>
      </c>
      <c r="C95" s="5">
        <v>4.0</v>
      </c>
      <c r="D95" s="5">
        <v>4.0</v>
      </c>
      <c r="E95" s="5" t="s">
        <v>95</v>
      </c>
    </row>
    <row r="96">
      <c r="A96" s="5" t="s">
        <v>8</v>
      </c>
      <c r="B96" s="5" t="s">
        <v>11</v>
      </c>
      <c r="C96" s="5">
        <v>4.0</v>
      </c>
      <c r="D96" s="5">
        <v>4.0</v>
      </c>
      <c r="E96" s="5" t="s">
        <v>95</v>
      </c>
    </row>
    <row r="97">
      <c r="A97" s="5" t="s">
        <v>8</v>
      </c>
      <c r="B97" s="5" t="s">
        <v>10</v>
      </c>
      <c r="C97" s="5">
        <v>4.0</v>
      </c>
      <c r="D97" s="5">
        <v>5.0</v>
      </c>
      <c r="E97" s="5" t="s">
        <v>95</v>
      </c>
    </row>
    <row r="98">
      <c r="A98" s="5" t="s">
        <v>8</v>
      </c>
      <c r="B98" s="5" t="s">
        <v>13</v>
      </c>
      <c r="C98" s="5">
        <v>4.0</v>
      </c>
      <c r="D98" s="5">
        <v>5.0</v>
      </c>
      <c r="E98" s="5" t="s">
        <v>95</v>
      </c>
    </row>
    <row r="99">
      <c r="A99" s="5" t="s">
        <v>26</v>
      </c>
      <c r="B99" s="5" t="s">
        <v>27</v>
      </c>
      <c r="C99" s="5">
        <v>1.0</v>
      </c>
      <c r="D99" s="5">
        <v>8.0</v>
      </c>
      <c r="E99" s="5" t="s">
        <v>100</v>
      </c>
    </row>
    <row r="100">
      <c r="A100" s="5" t="s">
        <v>16</v>
      </c>
      <c r="B100" s="5" t="s">
        <v>19</v>
      </c>
      <c r="C100" s="5">
        <v>3.0</v>
      </c>
      <c r="D100" s="5">
        <v>4.0</v>
      </c>
      <c r="E100" s="5" t="s">
        <v>96</v>
      </c>
    </row>
    <row r="101">
      <c r="A101" s="5" t="s">
        <v>16</v>
      </c>
      <c r="B101" s="5" t="s">
        <v>17</v>
      </c>
      <c r="C101" s="5">
        <v>3.0</v>
      </c>
      <c r="D101" s="5">
        <v>4.0</v>
      </c>
      <c r="E101" s="5" t="s">
        <v>96</v>
      </c>
    </row>
    <row r="102">
      <c r="A102" s="5" t="s">
        <v>16</v>
      </c>
      <c r="B102" s="5" t="s">
        <v>18</v>
      </c>
      <c r="C102" s="5">
        <v>3.0</v>
      </c>
      <c r="D102" s="5">
        <v>7.0</v>
      </c>
      <c r="E102" s="5" t="s">
        <v>96</v>
      </c>
    </row>
    <row r="103">
      <c r="A103" s="5" t="s">
        <v>16</v>
      </c>
      <c r="B103" s="5" t="s">
        <v>15</v>
      </c>
      <c r="C103" s="5">
        <v>3.0</v>
      </c>
      <c r="D103" s="5">
        <v>5.0</v>
      </c>
      <c r="E103" s="5" t="s">
        <v>96</v>
      </c>
    </row>
    <row r="104">
      <c r="A104" s="5" t="s">
        <v>41</v>
      </c>
      <c r="B104" s="5" t="s">
        <v>40</v>
      </c>
      <c r="C104" s="5">
        <v>6.0</v>
      </c>
      <c r="D104" s="5">
        <v>4.0</v>
      </c>
      <c r="E104" s="5" t="s">
        <v>92</v>
      </c>
    </row>
    <row r="105">
      <c r="A105" s="5" t="s">
        <v>41</v>
      </c>
      <c r="B105" s="5" t="s">
        <v>42</v>
      </c>
      <c r="C105" s="5">
        <v>6.0</v>
      </c>
      <c r="D105" s="5">
        <v>4.0</v>
      </c>
      <c r="E105" s="5" t="s">
        <v>92</v>
      </c>
    </row>
    <row r="106">
      <c r="A106" s="5" t="s">
        <v>41</v>
      </c>
      <c r="B106" s="5" t="s">
        <v>43</v>
      </c>
      <c r="C106" s="5">
        <v>6.0</v>
      </c>
      <c r="D106" s="5">
        <v>4.0</v>
      </c>
      <c r="E106" s="5" t="s">
        <v>92</v>
      </c>
    </row>
    <row r="107">
      <c r="A107" s="5" t="s">
        <v>41</v>
      </c>
      <c r="B107" s="5" t="s">
        <v>44</v>
      </c>
      <c r="C107" s="5">
        <v>6.0</v>
      </c>
      <c r="D107" s="5">
        <v>5.0</v>
      </c>
      <c r="E107" s="5" t="s">
        <v>92</v>
      </c>
    </row>
    <row r="108">
      <c r="A108" s="5" t="s">
        <v>31</v>
      </c>
      <c r="B108" s="5" t="s">
        <v>33</v>
      </c>
      <c r="C108" s="5">
        <v>6.0</v>
      </c>
      <c r="D108" s="5">
        <v>4.0</v>
      </c>
      <c r="E108" s="5" t="s">
        <v>93</v>
      </c>
    </row>
    <row r="109">
      <c r="A109" s="5" t="s">
        <v>31</v>
      </c>
      <c r="B109" s="5" t="s">
        <v>32</v>
      </c>
      <c r="C109" s="5">
        <v>6.0</v>
      </c>
      <c r="D109" s="5">
        <v>5.0</v>
      </c>
      <c r="E109" s="5" t="s">
        <v>93</v>
      </c>
    </row>
    <row r="110">
      <c r="A110" s="5" t="s">
        <v>21</v>
      </c>
      <c r="B110" s="5" t="s">
        <v>20</v>
      </c>
      <c r="C110" s="5">
        <v>3.0</v>
      </c>
      <c r="D110" s="5">
        <v>5.0</v>
      </c>
      <c r="E110" s="5" t="s">
        <v>97</v>
      </c>
    </row>
    <row r="111">
      <c r="A111" s="5" t="s">
        <v>21</v>
      </c>
      <c r="B111" s="5" t="s">
        <v>22</v>
      </c>
      <c r="C111" s="5">
        <v>3.0</v>
      </c>
      <c r="D111" s="5">
        <v>5.0</v>
      </c>
      <c r="E111" s="5" t="s">
        <v>97</v>
      </c>
    </row>
    <row r="112">
      <c r="A112" s="5" t="s">
        <v>21</v>
      </c>
      <c r="B112" s="5" t="s">
        <v>23</v>
      </c>
      <c r="C112" s="5">
        <v>3.0</v>
      </c>
      <c r="D112" s="5">
        <v>4.0</v>
      </c>
      <c r="E112" s="5" t="s">
        <v>97</v>
      </c>
    </row>
    <row r="113">
      <c r="A113" s="5" t="s">
        <v>21</v>
      </c>
      <c r="B113" s="5" t="s">
        <v>24</v>
      </c>
      <c r="C113" s="5">
        <v>3.0</v>
      </c>
      <c r="D113" s="5">
        <v>5.0</v>
      </c>
      <c r="E113" s="5" t="s">
        <v>97</v>
      </c>
    </row>
    <row r="114">
      <c r="A114" s="5" t="s">
        <v>46</v>
      </c>
      <c r="B114" s="5" t="s">
        <v>45</v>
      </c>
      <c r="C114" s="5">
        <v>5.0</v>
      </c>
      <c r="D114" s="5">
        <v>4.0</v>
      </c>
      <c r="E114" s="5" t="s">
        <v>94</v>
      </c>
    </row>
    <row r="115">
      <c r="A115" s="5" t="s">
        <v>46</v>
      </c>
      <c r="B115" s="5" t="s">
        <v>48</v>
      </c>
      <c r="C115" s="5">
        <v>5.0</v>
      </c>
      <c r="D115" s="5">
        <v>3.0</v>
      </c>
      <c r="E115" s="5" t="s">
        <v>94</v>
      </c>
    </row>
    <row r="116">
      <c r="A116" s="5" t="s">
        <v>46</v>
      </c>
      <c r="B116" s="5" t="s">
        <v>47</v>
      </c>
      <c r="C116" s="5">
        <v>5.0</v>
      </c>
      <c r="D116" s="5">
        <v>5.0</v>
      </c>
      <c r="E116" s="5" t="s">
        <v>94</v>
      </c>
    </row>
    <row r="117">
      <c r="A117" s="5" t="s">
        <v>46</v>
      </c>
      <c r="B117" s="5" t="s">
        <v>49</v>
      </c>
      <c r="C117" s="5">
        <v>5.0</v>
      </c>
      <c r="D117" s="5">
        <v>3.0</v>
      </c>
      <c r="E117" s="5" t="s">
        <v>94</v>
      </c>
    </row>
    <row r="118">
      <c r="A118" s="5" t="s">
        <v>31</v>
      </c>
      <c r="B118" s="5" t="s">
        <v>30</v>
      </c>
      <c r="C118" s="5">
        <v>6.0</v>
      </c>
      <c r="D118" s="5">
        <v>4.0</v>
      </c>
      <c r="E118" s="5" t="s">
        <v>93</v>
      </c>
    </row>
    <row r="119">
      <c r="A119" s="5" t="s">
        <v>31</v>
      </c>
      <c r="B119" s="5" t="s">
        <v>34</v>
      </c>
      <c r="C119" s="5">
        <v>6.0</v>
      </c>
      <c r="D119" s="5">
        <v>5.0</v>
      </c>
      <c r="E119" s="5" t="s">
        <v>93</v>
      </c>
    </row>
    <row r="120">
      <c r="A120" s="5" t="s">
        <v>36</v>
      </c>
      <c r="B120" s="5" t="s">
        <v>35</v>
      </c>
      <c r="C120" s="5">
        <v>2.0</v>
      </c>
      <c r="D120" s="5">
        <v>6.0</v>
      </c>
      <c r="E120" s="5" t="s">
        <v>99</v>
      </c>
    </row>
    <row r="121">
      <c r="A121" s="5" t="s">
        <v>36</v>
      </c>
      <c r="B121" s="5" t="s">
        <v>37</v>
      </c>
      <c r="C121" s="5">
        <v>2.0</v>
      </c>
      <c r="D121" s="5">
        <v>5.0</v>
      </c>
      <c r="E121" s="5" t="s">
        <v>99</v>
      </c>
    </row>
    <row r="122">
      <c r="A122" s="5" t="s">
        <v>36</v>
      </c>
      <c r="B122" s="5" t="s">
        <v>38</v>
      </c>
      <c r="C122" s="5">
        <v>2.0</v>
      </c>
      <c r="D122" s="5">
        <v>7.0</v>
      </c>
      <c r="E122" s="5" t="s">
        <v>99</v>
      </c>
    </row>
    <row r="123">
      <c r="A123" s="5" t="s">
        <v>36</v>
      </c>
      <c r="B123" s="5" t="s">
        <v>39</v>
      </c>
      <c r="C123" s="5">
        <v>2.0</v>
      </c>
      <c r="D123" s="5">
        <v>7.0</v>
      </c>
      <c r="E123" s="5" t="s">
        <v>99</v>
      </c>
    </row>
    <row r="124">
      <c r="A124" s="5" t="s">
        <v>31</v>
      </c>
      <c r="B124" s="5" t="s">
        <v>30</v>
      </c>
      <c r="C124" s="5">
        <v>7.0</v>
      </c>
      <c r="D124" s="5">
        <v>4.0</v>
      </c>
      <c r="E124" s="5" t="s">
        <v>93</v>
      </c>
    </row>
    <row r="125">
      <c r="A125" s="5" t="s">
        <v>31</v>
      </c>
      <c r="B125" s="5" t="s">
        <v>32</v>
      </c>
      <c r="C125" s="5">
        <v>7.0</v>
      </c>
      <c r="D125" s="5">
        <v>3.0</v>
      </c>
      <c r="E125" s="5" t="s">
        <v>93</v>
      </c>
    </row>
    <row r="126">
      <c r="A126" s="5" t="s">
        <v>31</v>
      </c>
      <c r="B126" s="5" t="s">
        <v>33</v>
      </c>
      <c r="C126" s="5">
        <v>7.0</v>
      </c>
      <c r="D126" s="5">
        <v>3.0</v>
      </c>
      <c r="E126" s="5" t="s">
        <v>93</v>
      </c>
    </row>
    <row r="127">
      <c r="A127" s="5" t="s">
        <v>31</v>
      </c>
      <c r="B127" s="5" t="s">
        <v>34</v>
      </c>
      <c r="C127" s="5">
        <v>7.0</v>
      </c>
      <c r="D127" s="5">
        <v>2.0</v>
      </c>
      <c r="E127" s="5" t="s">
        <v>93</v>
      </c>
    </row>
    <row r="128">
      <c r="A128" s="5" t="s">
        <v>41</v>
      </c>
      <c r="B128" s="5" t="s">
        <v>42</v>
      </c>
      <c r="C128" s="5">
        <v>7.0</v>
      </c>
      <c r="D128" s="5">
        <v>4.0</v>
      </c>
      <c r="E128" s="5" t="s">
        <v>92</v>
      </c>
    </row>
    <row r="129">
      <c r="A129" s="5" t="s">
        <v>8</v>
      </c>
      <c r="B129" s="5" t="s">
        <v>6</v>
      </c>
      <c r="C129" s="5">
        <v>5.0</v>
      </c>
      <c r="D129" s="5">
        <v>3.0</v>
      </c>
      <c r="E129" s="5" t="s">
        <v>95</v>
      </c>
    </row>
    <row r="130">
      <c r="A130" s="5" t="s">
        <v>8</v>
      </c>
      <c r="B130" s="5" t="s">
        <v>11</v>
      </c>
      <c r="C130" s="5">
        <v>5.0</v>
      </c>
      <c r="D130" s="5">
        <v>2.0</v>
      </c>
      <c r="E130" s="5" t="s">
        <v>95</v>
      </c>
    </row>
    <row r="131">
      <c r="A131" s="5" t="s">
        <v>41</v>
      </c>
      <c r="B131" s="5" t="s">
        <v>44</v>
      </c>
      <c r="C131" s="5">
        <v>7.0</v>
      </c>
      <c r="D131" s="5">
        <v>4.0</v>
      </c>
      <c r="E131" s="5" t="s">
        <v>92</v>
      </c>
    </row>
    <row r="132">
      <c r="A132" s="5" t="s">
        <v>41</v>
      </c>
      <c r="B132" s="5" t="s">
        <v>43</v>
      </c>
      <c r="C132" s="5">
        <v>7.0</v>
      </c>
      <c r="D132" s="5">
        <v>4.0</v>
      </c>
      <c r="E132" s="5" t="s">
        <v>92</v>
      </c>
    </row>
    <row r="133">
      <c r="A133" s="5" t="s">
        <v>41</v>
      </c>
      <c r="B133" s="5" t="s">
        <v>40</v>
      </c>
      <c r="C133" s="5">
        <v>7.0</v>
      </c>
      <c r="D133" s="5">
        <v>3.0</v>
      </c>
      <c r="E133" s="5" t="s">
        <v>92</v>
      </c>
    </row>
    <row r="134">
      <c r="A134" s="5" t="s">
        <v>8</v>
      </c>
      <c r="B134" s="5" t="s">
        <v>13</v>
      </c>
      <c r="C134" s="5">
        <v>5.0</v>
      </c>
      <c r="D134" s="5">
        <v>4.0</v>
      </c>
      <c r="E134" s="5" t="s">
        <v>95</v>
      </c>
    </row>
    <row r="135">
      <c r="A135" s="5" t="s">
        <v>8</v>
      </c>
      <c r="B135" s="5" t="s">
        <v>10</v>
      </c>
      <c r="C135" s="5">
        <v>5.0</v>
      </c>
      <c r="D135" s="5">
        <v>6.0</v>
      </c>
      <c r="E135" s="5" t="s">
        <v>95</v>
      </c>
    </row>
    <row r="136">
      <c r="A136" s="5" t="s">
        <v>16</v>
      </c>
      <c r="B136" s="5" t="s">
        <v>19</v>
      </c>
      <c r="C136" s="5">
        <v>4.0</v>
      </c>
      <c r="D136" s="5">
        <v>4.0</v>
      </c>
      <c r="E136" s="5" t="s">
        <v>96</v>
      </c>
    </row>
    <row r="137">
      <c r="A137" s="5" t="s">
        <v>16</v>
      </c>
      <c r="B137" s="5" t="s">
        <v>15</v>
      </c>
      <c r="C137" s="5">
        <v>4.0</v>
      </c>
      <c r="D137" s="5">
        <v>6.0</v>
      </c>
      <c r="E137" s="5" t="s">
        <v>96</v>
      </c>
    </row>
    <row r="138">
      <c r="A138" s="5" t="s">
        <v>16</v>
      </c>
      <c r="B138" s="5" t="s">
        <v>17</v>
      </c>
      <c r="C138" s="5">
        <v>4.0</v>
      </c>
      <c r="D138" s="5">
        <v>5.0</v>
      </c>
      <c r="E138" s="5" t="s">
        <v>96</v>
      </c>
    </row>
    <row r="139">
      <c r="A139" s="5" t="s">
        <v>16</v>
      </c>
      <c r="B139" s="5" t="s">
        <v>18</v>
      </c>
      <c r="C139" s="5">
        <v>4.0</v>
      </c>
      <c r="D139" s="5">
        <v>3.0</v>
      </c>
      <c r="E139" s="5" t="s">
        <v>96</v>
      </c>
    </row>
    <row r="140">
      <c r="A140" s="5" t="s">
        <v>26</v>
      </c>
      <c r="B140" s="5" t="s">
        <v>25</v>
      </c>
      <c r="C140" s="5">
        <v>2.0</v>
      </c>
      <c r="D140" s="5">
        <v>6.0</v>
      </c>
      <c r="E140" s="5" t="s">
        <v>100</v>
      </c>
    </row>
    <row r="141">
      <c r="A141" s="5" t="s">
        <v>26</v>
      </c>
      <c r="B141" s="5" t="s">
        <v>27</v>
      </c>
      <c r="C141" s="5">
        <v>2.0</v>
      </c>
      <c r="D141" s="5">
        <v>6.0</v>
      </c>
      <c r="E141" s="5" t="s">
        <v>100</v>
      </c>
    </row>
    <row r="142">
      <c r="A142" s="5" t="s">
        <v>26</v>
      </c>
      <c r="B142" s="5" t="s">
        <v>28</v>
      </c>
      <c r="C142" s="5">
        <v>2.0</v>
      </c>
      <c r="D142" s="5">
        <v>5.0</v>
      </c>
      <c r="E142" s="5" t="s">
        <v>100</v>
      </c>
    </row>
    <row r="143">
      <c r="A143" s="5" t="s">
        <v>26</v>
      </c>
      <c r="B143" s="5" t="s">
        <v>29</v>
      </c>
      <c r="C143" s="5">
        <v>2.0</v>
      </c>
      <c r="D143" s="5">
        <v>5.0</v>
      </c>
      <c r="E143" s="5" t="s">
        <v>100</v>
      </c>
    </row>
    <row r="144">
      <c r="A144" s="5" t="s">
        <v>46</v>
      </c>
      <c r="B144" s="5" t="s">
        <v>49</v>
      </c>
      <c r="C144" s="5">
        <v>6.0</v>
      </c>
      <c r="D144" s="5">
        <v>4.0</v>
      </c>
      <c r="E144" s="5" t="s">
        <v>94</v>
      </c>
    </row>
    <row r="145">
      <c r="A145" s="5" t="s">
        <v>46</v>
      </c>
      <c r="B145" s="5" t="s">
        <v>45</v>
      </c>
      <c r="C145" s="5">
        <v>6.0</v>
      </c>
      <c r="D145" s="5">
        <v>5.0</v>
      </c>
      <c r="E145" s="5" t="s">
        <v>94</v>
      </c>
    </row>
    <row r="146">
      <c r="A146" s="5" t="s">
        <v>46</v>
      </c>
      <c r="B146" s="5" t="s">
        <v>47</v>
      </c>
      <c r="C146" s="5">
        <v>6.0</v>
      </c>
      <c r="D146" s="5">
        <v>5.0</v>
      </c>
      <c r="E146" s="5" t="s">
        <v>94</v>
      </c>
    </row>
    <row r="147">
      <c r="A147" s="5" t="s">
        <v>46</v>
      </c>
      <c r="B147" s="5" t="s">
        <v>48</v>
      </c>
      <c r="C147" s="5">
        <v>6.0</v>
      </c>
      <c r="D147" s="5">
        <v>5.0</v>
      </c>
      <c r="E147" s="5" t="s">
        <v>94</v>
      </c>
    </row>
    <row r="148">
      <c r="A148" s="5" t="s">
        <v>21</v>
      </c>
      <c r="B148" s="5" t="s">
        <v>20</v>
      </c>
      <c r="C148" s="5">
        <v>4.0</v>
      </c>
      <c r="D148" s="5">
        <v>5.0</v>
      </c>
      <c r="E148" s="5" t="s">
        <v>97</v>
      </c>
    </row>
    <row r="149">
      <c r="A149" s="5" t="s">
        <v>21</v>
      </c>
      <c r="B149" s="5" t="s">
        <v>22</v>
      </c>
      <c r="C149" s="5">
        <v>4.0</v>
      </c>
      <c r="D149" s="5">
        <v>6.0</v>
      </c>
      <c r="E149" s="5" t="s">
        <v>97</v>
      </c>
    </row>
    <row r="150">
      <c r="A150" s="5" t="s">
        <v>21</v>
      </c>
      <c r="B150" s="5" t="s">
        <v>23</v>
      </c>
      <c r="C150" s="5">
        <v>4.0</v>
      </c>
      <c r="D150" s="5">
        <v>3.0</v>
      </c>
      <c r="E150" s="5" t="s">
        <v>97</v>
      </c>
    </row>
    <row r="151">
      <c r="A151" s="5" t="s">
        <v>21</v>
      </c>
      <c r="B151" s="5" t="s">
        <v>24</v>
      </c>
      <c r="C151" s="5">
        <v>4.0</v>
      </c>
      <c r="D151" s="5">
        <v>5.0</v>
      </c>
      <c r="E151" s="5" t="s">
        <v>97</v>
      </c>
    </row>
    <row r="152">
      <c r="A152" s="5" t="s">
        <v>31</v>
      </c>
      <c r="B152" s="5" t="s">
        <v>30</v>
      </c>
      <c r="C152" s="5">
        <v>8.0</v>
      </c>
      <c r="D152" s="5">
        <v>5.0</v>
      </c>
      <c r="E152" s="5" t="s">
        <v>93</v>
      </c>
    </row>
    <row r="153">
      <c r="A153" s="5" t="s">
        <v>31</v>
      </c>
      <c r="B153" s="5" t="s">
        <v>32</v>
      </c>
      <c r="C153" s="5">
        <v>8.0</v>
      </c>
      <c r="D153" s="5">
        <v>5.0</v>
      </c>
      <c r="E153" s="5" t="s">
        <v>93</v>
      </c>
    </row>
    <row r="154">
      <c r="A154" s="5" t="s">
        <v>31</v>
      </c>
      <c r="B154" s="5" t="s">
        <v>33</v>
      </c>
      <c r="C154" s="5">
        <v>8.0</v>
      </c>
      <c r="D154" s="5">
        <v>5.0</v>
      </c>
      <c r="E154" s="5" t="s">
        <v>93</v>
      </c>
    </row>
    <row r="155">
      <c r="A155" s="5" t="s">
        <v>31</v>
      </c>
      <c r="B155" s="5" t="s">
        <v>34</v>
      </c>
      <c r="C155" s="5">
        <v>8.0</v>
      </c>
      <c r="D155" s="5">
        <v>6.0</v>
      </c>
      <c r="E155" s="5" t="s">
        <v>93</v>
      </c>
    </row>
    <row r="156">
      <c r="A156" s="5" t="s">
        <v>36</v>
      </c>
      <c r="B156" s="5" t="s">
        <v>35</v>
      </c>
      <c r="C156" s="5">
        <v>3.0</v>
      </c>
      <c r="D156" s="5">
        <v>5.0</v>
      </c>
      <c r="E156" s="5" t="s">
        <v>99</v>
      </c>
    </row>
    <row r="157">
      <c r="A157" s="5" t="s">
        <v>36</v>
      </c>
      <c r="B157" s="5" t="s">
        <v>37</v>
      </c>
      <c r="C157" s="5">
        <v>3.0</v>
      </c>
      <c r="D157" s="5">
        <v>6.0</v>
      </c>
      <c r="E157" s="5" t="s">
        <v>99</v>
      </c>
    </row>
    <row r="158">
      <c r="A158" s="5" t="s">
        <v>36</v>
      </c>
      <c r="B158" s="5" t="s">
        <v>38</v>
      </c>
      <c r="C158" s="5">
        <v>3.0</v>
      </c>
      <c r="D158" s="5">
        <v>5.0</v>
      </c>
      <c r="E158" s="5" t="s">
        <v>99</v>
      </c>
    </row>
    <row r="159">
      <c r="A159" s="5" t="s">
        <v>36</v>
      </c>
      <c r="B159" s="5" t="s">
        <v>39</v>
      </c>
      <c r="C159" s="5">
        <v>3.0</v>
      </c>
      <c r="D159" s="5">
        <v>5.0</v>
      </c>
      <c r="E159" s="5" t="s">
        <v>99</v>
      </c>
    </row>
    <row r="160">
      <c r="A160" s="5" t="s">
        <v>8</v>
      </c>
      <c r="B160" s="5" t="s">
        <v>13</v>
      </c>
      <c r="C160" s="5">
        <v>6.0</v>
      </c>
      <c r="D160" s="5">
        <v>5.0</v>
      </c>
      <c r="E160" s="5" t="s">
        <v>95</v>
      </c>
    </row>
    <row r="161">
      <c r="A161" s="5" t="s">
        <v>8</v>
      </c>
      <c r="B161" s="5" t="s">
        <v>10</v>
      </c>
      <c r="C161" s="5">
        <v>6.0</v>
      </c>
      <c r="D161" s="5">
        <v>4.0</v>
      </c>
      <c r="E161" s="5" t="s">
        <v>95</v>
      </c>
    </row>
    <row r="162">
      <c r="A162" s="5" t="s">
        <v>8</v>
      </c>
      <c r="B162" s="5" t="s">
        <v>6</v>
      </c>
      <c r="C162" s="5">
        <v>6.0</v>
      </c>
      <c r="D162" s="5">
        <v>5.0</v>
      </c>
      <c r="E162" s="5" t="s">
        <v>95</v>
      </c>
    </row>
    <row r="163">
      <c r="A163" s="5" t="s">
        <v>8</v>
      </c>
      <c r="B163" s="5" t="s">
        <v>11</v>
      </c>
      <c r="C163" s="5">
        <v>6.0</v>
      </c>
      <c r="D163" s="5">
        <v>6.0</v>
      </c>
      <c r="E163" s="5" t="s">
        <v>95</v>
      </c>
    </row>
    <row r="164">
      <c r="A164" s="5" t="s">
        <v>26</v>
      </c>
      <c r="B164" s="5" t="s">
        <v>25</v>
      </c>
      <c r="C164" s="5">
        <v>3.0</v>
      </c>
      <c r="D164" s="5">
        <v>4.0</v>
      </c>
      <c r="E164" s="5" t="s">
        <v>100</v>
      </c>
    </row>
    <row r="165">
      <c r="A165" s="5" t="s">
        <v>41</v>
      </c>
      <c r="B165" s="5" t="s">
        <v>42</v>
      </c>
      <c r="C165" s="5">
        <v>8.0</v>
      </c>
      <c r="D165" s="5">
        <v>6.0</v>
      </c>
      <c r="E165" s="5" t="s">
        <v>92</v>
      </c>
    </row>
    <row r="166">
      <c r="A166" s="5" t="s">
        <v>26</v>
      </c>
      <c r="B166" s="5" t="s">
        <v>27</v>
      </c>
      <c r="C166" s="5">
        <v>3.0</v>
      </c>
      <c r="D166" s="5">
        <v>5.0</v>
      </c>
      <c r="E166" s="5" t="s">
        <v>100</v>
      </c>
    </row>
    <row r="167">
      <c r="A167" s="5" t="s">
        <v>26</v>
      </c>
      <c r="B167" s="5" t="s">
        <v>29</v>
      </c>
      <c r="C167" s="5">
        <v>3.0</v>
      </c>
      <c r="D167" s="5">
        <v>5.0</v>
      </c>
      <c r="E167" s="5" t="s">
        <v>100</v>
      </c>
    </row>
    <row r="168">
      <c r="A168" s="5" t="s">
        <v>26</v>
      </c>
      <c r="B168" s="5" t="s">
        <v>28</v>
      </c>
      <c r="C168" s="5">
        <v>3.0</v>
      </c>
      <c r="D168" s="5">
        <v>5.0</v>
      </c>
      <c r="E168" s="5" t="s">
        <v>100</v>
      </c>
    </row>
    <row r="169">
      <c r="A169" s="5" t="s">
        <v>41</v>
      </c>
      <c r="B169" s="5" t="s">
        <v>40</v>
      </c>
      <c r="C169" s="5">
        <v>8.0</v>
      </c>
      <c r="D169" s="5">
        <v>5.0</v>
      </c>
      <c r="E169" s="5" t="s">
        <v>92</v>
      </c>
    </row>
    <row r="170">
      <c r="A170" s="5" t="s">
        <v>46</v>
      </c>
      <c r="B170" s="5" t="s">
        <v>45</v>
      </c>
      <c r="C170" s="5">
        <v>7.0</v>
      </c>
      <c r="D170" s="5">
        <v>3.0</v>
      </c>
      <c r="E170" s="5" t="s">
        <v>94</v>
      </c>
    </row>
    <row r="171">
      <c r="A171" s="5" t="s">
        <v>46</v>
      </c>
      <c r="B171" s="5" t="s">
        <v>47</v>
      </c>
      <c r="C171" s="5">
        <v>7.0</v>
      </c>
      <c r="D171" s="5">
        <v>3.0</v>
      </c>
      <c r="E171" s="5" t="s">
        <v>94</v>
      </c>
    </row>
    <row r="172">
      <c r="A172" s="5" t="s">
        <v>46</v>
      </c>
      <c r="B172" s="5" t="s">
        <v>48</v>
      </c>
      <c r="C172" s="5">
        <v>7.0</v>
      </c>
      <c r="D172" s="5">
        <v>3.0</v>
      </c>
      <c r="E172" s="5" t="s">
        <v>94</v>
      </c>
    </row>
    <row r="173">
      <c r="A173" s="5" t="s">
        <v>46</v>
      </c>
      <c r="B173" s="5" t="s">
        <v>49</v>
      </c>
      <c r="C173" s="5">
        <v>7.0</v>
      </c>
      <c r="D173" s="5">
        <v>5.0</v>
      </c>
      <c r="E173" s="5" t="s">
        <v>94</v>
      </c>
    </row>
    <row r="174">
      <c r="A174" s="5" t="s">
        <v>41</v>
      </c>
      <c r="B174" s="5" t="s">
        <v>44</v>
      </c>
      <c r="C174" s="5">
        <v>8.0</v>
      </c>
      <c r="D174" s="5">
        <v>5.0</v>
      </c>
      <c r="E174" s="5" t="s">
        <v>92</v>
      </c>
    </row>
    <row r="175">
      <c r="A175" s="5" t="s">
        <v>41</v>
      </c>
      <c r="B175" s="5" t="s">
        <v>43</v>
      </c>
      <c r="C175" s="5">
        <v>8.0</v>
      </c>
      <c r="D175" s="5">
        <v>6.0</v>
      </c>
      <c r="E175" s="5" t="s">
        <v>92</v>
      </c>
    </row>
    <row r="176">
      <c r="A176" s="5" t="s">
        <v>36</v>
      </c>
      <c r="B176" s="5" t="s">
        <v>37</v>
      </c>
      <c r="C176" s="5">
        <v>4.0</v>
      </c>
      <c r="D176" s="5">
        <v>4.0</v>
      </c>
      <c r="E176" s="5" t="s">
        <v>99</v>
      </c>
    </row>
    <row r="177">
      <c r="A177" s="5" t="s">
        <v>36</v>
      </c>
      <c r="B177" s="5" t="s">
        <v>39</v>
      </c>
      <c r="C177" s="5">
        <v>4.0</v>
      </c>
      <c r="D177" s="5">
        <v>5.0</v>
      </c>
      <c r="E177" s="5" t="s">
        <v>99</v>
      </c>
    </row>
    <row r="178">
      <c r="A178" s="5" t="s">
        <v>36</v>
      </c>
      <c r="B178" s="5" t="s">
        <v>35</v>
      </c>
      <c r="C178" s="5">
        <v>4.0</v>
      </c>
      <c r="D178" s="5">
        <v>4.0</v>
      </c>
      <c r="E178" s="5" t="s">
        <v>99</v>
      </c>
    </row>
    <row r="179">
      <c r="A179" s="5" t="s">
        <v>16</v>
      </c>
      <c r="B179" s="5" t="s">
        <v>19</v>
      </c>
      <c r="C179" s="5">
        <v>5.0</v>
      </c>
      <c r="D179" s="5">
        <v>3.0</v>
      </c>
      <c r="E179" s="5" t="s">
        <v>96</v>
      </c>
    </row>
    <row r="180">
      <c r="A180" s="5" t="s">
        <v>16</v>
      </c>
      <c r="B180" s="5" t="s">
        <v>18</v>
      </c>
      <c r="C180" s="5">
        <v>5.0</v>
      </c>
      <c r="D180" s="5">
        <v>4.0</v>
      </c>
      <c r="E180" s="5" t="s">
        <v>96</v>
      </c>
    </row>
    <row r="181">
      <c r="A181" s="5" t="s">
        <v>16</v>
      </c>
      <c r="B181" s="5" t="s">
        <v>17</v>
      </c>
      <c r="C181" s="5">
        <v>5.0</v>
      </c>
      <c r="D181" s="5">
        <v>3.0</v>
      </c>
      <c r="E181" s="5" t="s">
        <v>96</v>
      </c>
    </row>
    <row r="182">
      <c r="A182" s="5" t="s">
        <v>16</v>
      </c>
      <c r="B182" s="5" t="s">
        <v>15</v>
      </c>
      <c r="C182" s="5">
        <v>5.0</v>
      </c>
      <c r="D182" s="5">
        <v>6.0</v>
      </c>
      <c r="E182" s="5" t="s">
        <v>96</v>
      </c>
    </row>
    <row r="183">
      <c r="A183" s="5" t="s">
        <v>36</v>
      </c>
      <c r="B183" s="5" t="s">
        <v>38</v>
      </c>
      <c r="C183" s="5">
        <v>4.0</v>
      </c>
      <c r="D183" s="5">
        <v>5.0</v>
      </c>
      <c r="E183" s="5" t="s">
        <v>99</v>
      </c>
    </row>
    <row r="184">
      <c r="A184" s="5" t="s">
        <v>8</v>
      </c>
      <c r="B184" s="5" t="s">
        <v>6</v>
      </c>
      <c r="C184" s="5">
        <v>7.0</v>
      </c>
      <c r="D184" s="5">
        <v>3.0</v>
      </c>
      <c r="E184" s="5" t="s">
        <v>95</v>
      </c>
    </row>
    <row r="185">
      <c r="A185" s="5" t="s">
        <v>8</v>
      </c>
      <c r="B185" s="5" t="s">
        <v>10</v>
      </c>
      <c r="C185" s="5">
        <v>7.0</v>
      </c>
      <c r="D185" s="5">
        <v>3.0</v>
      </c>
      <c r="E185" s="5" t="s">
        <v>95</v>
      </c>
    </row>
    <row r="186">
      <c r="A186" s="5" t="s">
        <v>8</v>
      </c>
      <c r="B186" s="5" t="s">
        <v>11</v>
      </c>
      <c r="C186" s="5">
        <v>7.0</v>
      </c>
      <c r="D186" s="5">
        <v>2.0</v>
      </c>
      <c r="E186" s="5" t="s">
        <v>95</v>
      </c>
    </row>
    <row r="187">
      <c r="A187" s="5" t="s">
        <v>8</v>
      </c>
      <c r="B187" s="5" t="s">
        <v>13</v>
      </c>
      <c r="C187" s="5">
        <v>7.0</v>
      </c>
      <c r="D187" s="5">
        <v>3.0</v>
      </c>
      <c r="E187" s="5" t="s">
        <v>95</v>
      </c>
    </row>
    <row r="188">
      <c r="A188" s="5" t="s">
        <v>21</v>
      </c>
      <c r="B188" s="5" t="s">
        <v>20</v>
      </c>
      <c r="C188" s="5">
        <v>5.0</v>
      </c>
      <c r="D188" s="5">
        <v>4.0</v>
      </c>
      <c r="E188" s="5" t="s">
        <v>97</v>
      </c>
    </row>
    <row r="189">
      <c r="A189" s="5" t="s">
        <v>21</v>
      </c>
      <c r="B189" s="5" t="s">
        <v>22</v>
      </c>
      <c r="C189" s="5">
        <v>5.0</v>
      </c>
      <c r="D189" s="5">
        <v>4.0</v>
      </c>
      <c r="E189" s="5" t="s">
        <v>97</v>
      </c>
    </row>
    <row r="190">
      <c r="A190" s="5" t="s">
        <v>21</v>
      </c>
      <c r="B190" s="5" t="s">
        <v>23</v>
      </c>
      <c r="C190" s="5">
        <v>5.0</v>
      </c>
      <c r="D190" s="5">
        <v>4.0</v>
      </c>
      <c r="E190" s="5" t="s">
        <v>97</v>
      </c>
    </row>
    <row r="191">
      <c r="A191" s="5" t="s">
        <v>21</v>
      </c>
      <c r="B191" s="5" t="s">
        <v>24</v>
      </c>
      <c r="C191" s="5">
        <v>5.0</v>
      </c>
      <c r="D191" s="5">
        <v>4.0</v>
      </c>
      <c r="E191" s="5" t="s">
        <v>97</v>
      </c>
    </row>
    <row r="192">
      <c r="A192" s="5" t="s">
        <v>26</v>
      </c>
      <c r="B192" s="5" t="s">
        <v>29</v>
      </c>
      <c r="C192" s="5">
        <v>4.0</v>
      </c>
      <c r="D192" s="5">
        <v>4.0</v>
      </c>
      <c r="E192" s="5" t="s">
        <v>100</v>
      </c>
    </row>
    <row r="193">
      <c r="A193" s="5" t="s">
        <v>26</v>
      </c>
      <c r="B193" s="5" t="s">
        <v>27</v>
      </c>
      <c r="C193" s="5">
        <v>4.0</v>
      </c>
      <c r="D193" s="5">
        <v>6.0</v>
      </c>
      <c r="E193" s="5" t="s">
        <v>100</v>
      </c>
    </row>
    <row r="194">
      <c r="A194" s="5" t="s">
        <v>26</v>
      </c>
      <c r="B194" s="5" t="s">
        <v>28</v>
      </c>
      <c r="C194" s="5">
        <v>4.0</v>
      </c>
      <c r="D194" s="5">
        <v>4.0</v>
      </c>
      <c r="E194" s="5" t="s">
        <v>100</v>
      </c>
    </row>
    <row r="195">
      <c r="A195" s="5" t="s">
        <v>26</v>
      </c>
      <c r="B195" s="5" t="s">
        <v>25</v>
      </c>
      <c r="C195" s="5">
        <v>4.0</v>
      </c>
      <c r="D195" s="5">
        <v>5.0</v>
      </c>
      <c r="E195" s="5" t="s">
        <v>100</v>
      </c>
    </row>
    <row r="196">
      <c r="A196" s="5" t="s">
        <v>16</v>
      </c>
      <c r="B196" s="5" t="s">
        <v>17</v>
      </c>
      <c r="C196" s="5">
        <v>6.0</v>
      </c>
      <c r="D196" s="5">
        <v>4.0</v>
      </c>
      <c r="E196" s="5" t="s">
        <v>96</v>
      </c>
    </row>
    <row r="197">
      <c r="A197" s="5" t="s">
        <v>16</v>
      </c>
      <c r="B197" s="5" t="s">
        <v>19</v>
      </c>
      <c r="C197" s="5">
        <v>6.0</v>
      </c>
      <c r="D197" s="5">
        <v>5.0</v>
      </c>
      <c r="E197" s="5" t="s">
        <v>96</v>
      </c>
    </row>
    <row r="198">
      <c r="A198" s="5" t="s">
        <v>16</v>
      </c>
      <c r="B198" s="5" t="s">
        <v>18</v>
      </c>
      <c r="C198" s="5">
        <v>6.0</v>
      </c>
      <c r="D198" s="5">
        <v>3.0</v>
      </c>
      <c r="E198" s="5" t="s">
        <v>96</v>
      </c>
    </row>
    <row r="199">
      <c r="A199" s="5" t="s">
        <v>16</v>
      </c>
      <c r="B199" s="5" t="s">
        <v>15</v>
      </c>
      <c r="C199" s="5">
        <v>6.0</v>
      </c>
      <c r="D199" s="5">
        <v>6.0</v>
      </c>
      <c r="E199" s="5" t="s">
        <v>96</v>
      </c>
    </row>
    <row r="200">
      <c r="A200" s="5" t="s">
        <v>41</v>
      </c>
      <c r="B200" s="5" t="s">
        <v>42</v>
      </c>
      <c r="C200" s="5">
        <v>9.0</v>
      </c>
      <c r="D200" s="5">
        <v>5.0</v>
      </c>
      <c r="E200" s="5" t="s">
        <v>92</v>
      </c>
    </row>
    <row r="201">
      <c r="A201" s="5" t="s">
        <v>41</v>
      </c>
      <c r="B201" s="5" t="s">
        <v>44</v>
      </c>
      <c r="C201" s="5">
        <v>9.0</v>
      </c>
      <c r="D201" s="5">
        <v>6.0</v>
      </c>
      <c r="E201" s="5" t="s">
        <v>92</v>
      </c>
    </row>
    <row r="202">
      <c r="A202" s="5" t="s">
        <v>41</v>
      </c>
      <c r="B202" s="5" t="s">
        <v>40</v>
      </c>
      <c r="C202" s="5">
        <v>9.0</v>
      </c>
      <c r="D202" s="5">
        <v>6.0</v>
      </c>
      <c r="E202" s="5" t="s">
        <v>92</v>
      </c>
    </row>
    <row r="203">
      <c r="A203" s="5" t="s">
        <v>36</v>
      </c>
      <c r="B203" s="5" t="s">
        <v>35</v>
      </c>
      <c r="C203" s="5">
        <v>5.0</v>
      </c>
      <c r="D203" s="5">
        <v>4.0</v>
      </c>
      <c r="E203" s="5" t="s">
        <v>99</v>
      </c>
    </row>
    <row r="204">
      <c r="A204" s="5" t="s">
        <v>41</v>
      </c>
      <c r="B204" s="5" t="s">
        <v>43</v>
      </c>
      <c r="C204" s="5">
        <v>9.0</v>
      </c>
      <c r="D204" s="5">
        <v>5.0</v>
      </c>
      <c r="E204" s="5" t="s">
        <v>92</v>
      </c>
    </row>
    <row r="205">
      <c r="A205" s="5" t="s">
        <v>36</v>
      </c>
      <c r="B205" s="5" t="s">
        <v>38</v>
      </c>
      <c r="C205" s="5">
        <v>5.0</v>
      </c>
      <c r="D205" s="5">
        <v>4.0</v>
      </c>
      <c r="E205" s="5" t="s">
        <v>99</v>
      </c>
    </row>
    <row r="206">
      <c r="A206" s="5" t="s">
        <v>36</v>
      </c>
      <c r="B206" s="5" t="s">
        <v>37</v>
      </c>
      <c r="C206" s="5">
        <v>5.0</v>
      </c>
      <c r="D206" s="5">
        <v>3.0</v>
      </c>
      <c r="E206" s="5" t="s">
        <v>99</v>
      </c>
    </row>
    <row r="207">
      <c r="A207" s="5" t="s">
        <v>36</v>
      </c>
      <c r="B207" s="5" t="s">
        <v>39</v>
      </c>
      <c r="C207" s="5">
        <v>5.0</v>
      </c>
      <c r="D207" s="5">
        <v>3.0</v>
      </c>
      <c r="E207" s="5" t="s">
        <v>99</v>
      </c>
    </row>
    <row r="208">
      <c r="A208" s="5" t="s">
        <v>46</v>
      </c>
      <c r="B208" s="5" t="s">
        <v>49</v>
      </c>
      <c r="C208" s="5">
        <v>8.0</v>
      </c>
      <c r="D208" s="5">
        <v>6.0</v>
      </c>
      <c r="E208" s="5" t="s">
        <v>94</v>
      </c>
    </row>
    <row r="209">
      <c r="A209" s="5" t="s">
        <v>46</v>
      </c>
      <c r="B209" s="5" t="s">
        <v>47</v>
      </c>
      <c r="C209" s="5">
        <v>8.0</v>
      </c>
      <c r="D209" s="5">
        <v>5.0</v>
      </c>
      <c r="E209" s="5" t="s">
        <v>94</v>
      </c>
    </row>
    <row r="210">
      <c r="A210" s="5" t="s">
        <v>46</v>
      </c>
      <c r="B210" s="5" t="s">
        <v>48</v>
      </c>
      <c r="C210" s="5">
        <v>8.0</v>
      </c>
      <c r="D210" s="5">
        <v>5.0</v>
      </c>
      <c r="E210" s="5" t="s">
        <v>94</v>
      </c>
    </row>
    <row r="211">
      <c r="A211" s="5" t="s">
        <v>46</v>
      </c>
      <c r="B211" s="5" t="s">
        <v>45</v>
      </c>
      <c r="C211" s="5">
        <v>8.0</v>
      </c>
      <c r="D211" s="5">
        <v>6.0</v>
      </c>
      <c r="E211" s="5" t="s">
        <v>94</v>
      </c>
    </row>
    <row r="212">
      <c r="A212" s="5" t="s">
        <v>21</v>
      </c>
      <c r="B212" s="5" t="s">
        <v>20</v>
      </c>
      <c r="C212" s="5">
        <v>6.0</v>
      </c>
      <c r="D212" s="5">
        <v>4.0</v>
      </c>
      <c r="E212" s="5" t="s">
        <v>97</v>
      </c>
    </row>
    <row r="213">
      <c r="A213" s="5" t="s">
        <v>21</v>
      </c>
      <c r="B213" s="5" t="s">
        <v>22</v>
      </c>
      <c r="C213" s="5">
        <v>6.0</v>
      </c>
      <c r="D213" s="5">
        <v>5.0</v>
      </c>
      <c r="E213" s="5" t="s">
        <v>97</v>
      </c>
    </row>
    <row r="214">
      <c r="A214" s="5" t="s">
        <v>21</v>
      </c>
      <c r="B214" s="5" t="s">
        <v>23</v>
      </c>
      <c r="C214" s="5">
        <v>6.0</v>
      </c>
      <c r="D214" s="5">
        <v>4.0</v>
      </c>
      <c r="E214" s="5" t="s">
        <v>97</v>
      </c>
    </row>
    <row r="215">
      <c r="A215" s="5" t="s">
        <v>21</v>
      </c>
      <c r="B215" s="5" t="s">
        <v>24</v>
      </c>
      <c r="C215" s="5">
        <v>6.0</v>
      </c>
      <c r="D215" s="5">
        <v>4.0</v>
      </c>
      <c r="E215" s="5" t="s">
        <v>97</v>
      </c>
    </row>
    <row r="216">
      <c r="A216" s="5" t="s">
        <v>16</v>
      </c>
      <c r="B216" s="5" t="s">
        <v>19</v>
      </c>
      <c r="C216" s="5">
        <v>7.0</v>
      </c>
      <c r="D216" s="5">
        <v>4.0</v>
      </c>
      <c r="E216" s="5" t="s">
        <v>96</v>
      </c>
    </row>
    <row r="217">
      <c r="A217" s="5" t="s">
        <v>16</v>
      </c>
      <c r="B217" s="5" t="s">
        <v>18</v>
      </c>
      <c r="C217" s="5">
        <v>7.0</v>
      </c>
      <c r="D217" s="5">
        <v>3.0</v>
      </c>
      <c r="E217" s="5" t="s">
        <v>96</v>
      </c>
    </row>
    <row r="218">
      <c r="A218" s="5" t="s">
        <v>16</v>
      </c>
      <c r="B218" s="5" t="s">
        <v>17</v>
      </c>
      <c r="C218" s="5">
        <v>7.0</v>
      </c>
      <c r="D218" s="5">
        <v>3.0</v>
      </c>
      <c r="E218" s="5" t="s">
        <v>96</v>
      </c>
    </row>
    <row r="219">
      <c r="A219" s="5" t="s">
        <v>16</v>
      </c>
      <c r="B219" s="5" t="s">
        <v>15</v>
      </c>
      <c r="C219" s="5">
        <v>7.0</v>
      </c>
      <c r="D219" s="5">
        <v>4.0</v>
      </c>
      <c r="E219" s="5" t="s">
        <v>96</v>
      </c>
    </row>
    <row r="220">
      <c r="A220" s="5" t="s">
        <v>8</v>
      </c>
      <c r="B220" s="5" t="s">
        <v>13</v>
      </c>
      <c r="C220" s="5">
        <v>8.0</v>
      </c>
      <c r="D220" s="5">
        <v>7.0</v>
      </c>
      <c r="E220" s="5" t="s">
        <v>95</v>
      </c>
    </row>
    <row r="221">
      <c r="A221" s="5" t="s">
        <v>8</v>
      </c>
      <c r="B221" s="5" t="s">
        <v>10</v>
      </c>
      <c r="C221" s="5">
        <v>8.0</v>
      </c>
      <c r="D221" s="5">
        <v>6.0</v>
      </c>
      <c r="E221" s="5" t="s">
        <v>95</v>
      </c>
    </row>
    <row r="222">
      <c r="A222" s="5" t="s">
        <v>31</v>
      </c>
      <c r="B222" s="5" t="s">
        <v>30</v>
      </c>
      <c r="C222" s="5">
        <v>9.0</v>
      </c>
      <c r="D222" s="5">
        <v>4.0</v>
      </c>
      <c r="E222" s="5" t="s">
        <v>93</v>
      </c>
    </row>
    <row r="223">
      <c r="A223" s="5" t="s">
        <v>31</v>
      </c>
      <c r="B223" s="5" t="s">
        <v>32</v>
      </c>
      <c r="C223" s="5">
        <v>9.0</v>
      </c>
      <c r="D223" s="5">
        <v>5.0</v>
      </c>
      <c r="E223" s="5" t="s">
        <v>93</v>
      </c>
    </row>
    <row r="224">
      <c r="A224" s="5" t="s">
        <v>31</v>
      </c>
      <c r="B224" s="5" t="s">
        <v>33</v>
      </c>
      <c r="C224" s="5">
        <v>9.0</v>
      </c>
      <c r="D224" s="5">
        <v>5.0</v>
      </c>
      <c r="E224" s="5" t="s">
        <v>93</v>
      </c>
    </row>
    <row r="225">
      <c r="A225" s="5" t="s">
        <v>31</v>
      </c>
      <c r="B225" s="5" t="s">
        <v>34</v>
      </c>
      <c r="C225" s="5">
        <v>9.0</v>
      </c>
      <c r="D225" s="5">
        <v>5.0</v>
      </c>
      <c r="E225" s="5" t="s">
        <v>93</v>
      </c>
    </row>
    <row r="226">
      <c r="A226" s="5" t="s">
        <v>8</v>
      </c>
      <c r="B226" s="5" t="s">
        <v>6</v>
      </c>
      <c r="C226" s="5">
        <v>8.0</v>
      </c>
      <c r="D226" s="5">
        <v>7.0</v>
      </c>
      <c r="E226" s="5" t="s">
        <v>95</v>
      </c>
    </row>
    <row r="227">
      <c r="A227" s="5" t="s">
        <v>8</v>
      </c>
      <c r="B227" s="5" t="s">
        <v>11</v>
      </c>
      <c r="C227" s="5">
        <v>8.0</v>
      </c>
      <c r="D227" s="5">
        <v>5.0</v>
      </c>
      <c r="E227" s="5" t="s">
        <v>95</v>
      </c>
    </row>
    <row r="228">
      <c r="A228" s="5" t="s">
        <v>26</v>
      </c>
      <c r="B228" s="5" t="s">
        <v>29</v>
      </c>
      <c r="C228" s="5">
        <v>5.0</v>
      </c>
      <c r="D228" s="5">
        <v>6.0</v>
      </c>
      <c r="E228" s="5" t="s">
        <v>100</v>
      </c>
    </row>
    <row r="229">
      <c r="A229" s="5" t="s">
        <v>26</v>
      </c>
      <c r="B229" s="5" t="s">
        <v>25</v>
      </c>
      <c r="C229" s="5">
        <v>5.0</v>
      </c>
      <c r="D229" s="5">
        <v>4.0</v>
      </c>
      <c r="E229" s="5" t="s">
        <v>100</v>
      </c>
    </row>
    <row r="230">
      <c r="A230" s="5" t="s">
        <v>26</v>
      </c>
      <c r="B230" s="5" t="s">
        <v>28</v>
      </c>
      <c r="C230" s="5">
        <v>5.0</v>
      </c>
      <c r="D230" s="5">
        <v>4.0</v>
      </c>
      <c r="E230" s="5" t="s">
        <v>100</v>
      </c>
    </row>
    <row r="231">
      <c r="A231" s="5" t="s">
        <v>26</v>
      </c>
      <c r="B231" s="5" t="s">
        <v>27</v>
      </c>
      <c r="C231" s="5">
        <v>5.0</v>
      </c>
      <c r="D231" s="5">
        <v>6.0</v>
      </c>
      <c r="E231" s="5" t="s">
        <v>100</v>
      </c>
    </row>
    <row r="232">
      <c r="A232" s="5" t="s">
        <v>21</v>
      </c>
      <c r="B232" s="5" t="s">
        <v>20</v>
      </c>
      <c r="C232" s="5">
        <v>7.0</v>
      </c>
      <c r="D232" s="5">
        <v>3.0</v>
      </c>
      <c r="E232" s="5" t="s">
        <v>97</v>
      </c>
    </row>
    <row r="233">
      <c r="A233" s="5" t="s">
        <v>21</v>
      </c>
      <c r="B233" s="5" t="s">
        <v>22</v>
      </c>
      <c r="C233" s="5">
        <v>7.0</v>
      </c>
      <c r="D233" s="5">
        <v>4.0</v>
      </c>
      <c r="E233" s="5" t="s">
        <v>97</v>
      </c>
    </row>
    <row r="234">
      <c r="A234" s="5" t="s">
        <v>21</v>
      </c>
      <c r="B234" s="5" t="s">
        <v>23</v>
      </c>
      <c r="C234" s="5">
        <v>7.0</v>
      </c>
      <c r="D234" s="5">
        <v>3.0</v>
      </c>
      <c r="E234" s="5" t="s">
        <v>97</v>
      </c>
    </row>
    <row r="235">
      <c r="A235" s="5" t="s">
        <v>21</v>
      </c>
      <c r="B235" s="5" t="s">
        <v>24</v>
      </c>
      <c r="C235" s="5">
        <v>7.0</v>
      </c>
      <c r="D235" s="5">
        <v>3.0</v>
      </c>
      <c r="E235" s="5" t="s">
        <v>97</v>
      </c>
    </row>
    <row r="236">
      <c r="A236" s="5" t="s">
        <v>36</v>
      </c>
      <c r="B236" s="5" t="s">
        <v>35</v>
      </c>
      <c r="C236" s="5">
        <v>6.0</v>
      </c>
      <c r="D236" s="5">
        <v>4.0</v>
      </c>
      <c r="E236" s="5" t="s">
        <v>99</v>
      </c>
    </row>
    <row r="237">
      <c r="A237" s="5" t="s">
        <v>36</v>
      </c>
      <c r="B237" s="5" t="s">
        <v>37</v>
      </c>
      <c r="C237" s="5">
        <v>6.0</v>
      </c>
      <c r="D237" s="5">
        <v>5.0</v>
      </c>
      <c r="E237" s="5" t="s">
        <v>99</v>
      </c>
    </row>
    <row r="238">
      <c r="A238" s="5" t="s">
        <v>36</v>
      </c>
      <c r="B238" s="5" t="s">
        <v>39</v>
      </c>
      <c r="C238" s="5">
        <v>6.0</v>
      </c>
      <c r="D238" s="5">
        <v>3.0</v>
      </c>
      <c r="E238" s="5" t="s">
        <v>99</v>
      </c>
    </row>
    <row r="239">
      <c r="A239" s="5" t="s">
        <v>36</v>
      </c>
      <c r="B239" s="5" t="s">
        <v>38</v>
      </c>
      <c r="C239" s="5">
        <v>6.0</v>
      </c>
      <c r="D239" s="5">
        <v>5.0</v>
      </c>
      <c r="E239" s="5" t="s">
        <v>99</v>
      </c>
    </row>
    <row r="240">
      <c r="A240" s="5" t="s">
        <v>46</v>
      </c>
      <c r="B240" s="5" t="s">
        <v>45</v>
      </c>
      <c r="C240" s="5">
        <v>9.0</v>
      </c>
      <c r="D240" s="5">
        <v>6.0</v>
      </c>
      <c r="E240" s="5" t="s">
        <v>94</v>
      </c>
    </row>
    <row r="241">
      <c r="A241" s="5" t="s">
        <v>26</v>
      </c>
      <c r="B241" s="5" t="s">
        <v>27</v>
      </c>
      <c r="C241" s="5">
        <v>6.0</v>
      </c>
      <c r="D241" s="5">
        <v>6.0</v>
      </c>
      <c r="E241" s="5" t="s">
        <v>100</v>
      </c>
    </row>
    <row r="242">
      <c r="A242" s="5" t="s">
        <v>46</v>
      </c>
      <c r="B242" s="5" t="s">
        <v>47</v>
      </c>
      <c r="C242" s="5">
        <v>9.0</v>
      </c>
      <c r="D242" s="5">
        <v>5.0</v>
      </c>
      <c r="E242" s="5" t="s">
        <v>94</v>
      </c>
    </row>
    <row r="243">
      <c r="A243" s="5" t="s">
        <v>46</v>
      </c>
      <c r="B243" s="5" t="s">
        <v>48</v>
      </c>
      <c r="C243" s="5">
        <v>9.0</v>
      </c>
      <c r="D243" s="5">
        <v>4.0</v>
      </c>
      <c r="E243" s="5" t="s">
        <v>94</v>
      </c>
    </row>
    <row r="244">
      <c r="A244" s="5" t="s">
        <v>26</v>
      </c>
      <c r="B244" s="5" t="s">
        <v>25</v>
      </c>
      <c r="C244" s="5">
        <v>6.0</v>
      </c>
      <c r="D244" s="5">
        <v>5.0</v>
      </c>
      <c r="E244" s="5" t="s">
        <v>100</v>
      </c>
    </row>
    <row r="245">
      <c r="A245" s="5" t="s">
        <v>26</v>
      </c>
      <c r="B245" s="5" t="s">
        <v>28</v>
      </c>
      <c r="C245" s="5">
        <v>6.0</v>
      </c>
      <c r="D245" s="5">
        <v>5.0</v>
      </c>
      <c r="E245" s="5" t="s">
        <v>100</v>
      </c>
    </row>
    <row r="246">
      <c r="A246" s="5" t="s">
        <v>26</v>
      </c>
      <c r="B246" s="5" t="s">
        <v>29</v>
      </c>
      <c r="C246" s="5">
        <v>6.0</v>
      </c>
      <c r="D246" s="5">
        <v>3.0</v>
      </c>
      <c r="E246" s="5" t="s">
        <v>100</v>
      </c>
    </row>
    <row r="247">
      <c r="A247" s="5" t="s">
        <v>46</v>
      </c>
      <c r="B247" s="5" t="s">
        <v>49</v>
      </c>
      <c r="C247" s="5">
        <v>9.0</v>
      </c>
      <c r="D247" s="5">
        <v>5.0</v>
      </c>
      <c r="E247" s="5" t="s">
        <v>94</v>
      </c>
    </row>
    <row r="248">
      <c r="A248" s="5" t="s">
        <v>16</v>
      </c>
      <c r="B248" s="5" t="s">
        <v>19</v>
      </c>
      <c r="C248" s="5">
        <v>8.0</v>
      </c>
      <c r="D248" s="5">
        <v>6.0</v>
      </c>
      <c r="E248" s="5" t="s">
        <v>96</v>
      </c>
    </row>
    <row r="249">
      <c r="A249" s="5" t="s">
        <v>16</v>
      </c>
      <c r="B249" s="5" t="s">
        <v>15</v>
      </c>
      <c r="C249" s="5">
        <v>8.0</v>
      </c>
      <c r="D249" s="5">
        <v>5.0</v>
      </c>
      <c r="E249" s="5" t="s">
        <v>96</v>
      </c>
    </row>
    <row r="250">
      <c r="A250" s="5" t="s">
        <v>16</v>
      </c>
      <c r="B250" s="5" t="s">
        <v>18</v>
      </c>
      <c r="C250" s="5">
        <v>8.0</v>
      </c>
      <c r="D250" s="5">
        <v>7.0</v>
      </c>
      <c r="E250" s="5" t="s">
        <v>96</v>
      </c>
    </row>
    <row r="251">
      <c r="A251" s="5" t="s">
        <v>16</v>
      </c>
      <c r="B251" s="5" t="s">
        <v>17</v>
      </c>
      <c r="C251" s="5">
        <v>8.0</v>
      </c>
      <c r="D251" s="5">
        <v>6.0</v>
      </c>
      <c r="E251" s="5" t="s">
        <v>96</v>
      </c>
    </row>
    <row r="252">
      <c r="A252" s="5" t="s">
        <v>36</v>
      </c>
      <c r="B252" s="5" t="s">
        <v>35</v>
      </c>
      <c r="C252" s="5">
        <v>7.0</v>
      </c>
      <c r="D252" s="5">
        <v>3.0</v>
      </c>
      <c r="E252" s="5" t="s">
        <v>99</v>
      </c>
    </row>
    <row r="253">
      <c r="A253" s="5" t="s">
        <v>36</v>
      </c>
      <c r="B253" s="5" t="s">
        <v>37</v>
      </c>
      <c r="C253" s="5">
        <v>7.0</v>
      </c>
      <c r="D253" s="5">
        <v>3.0</v>
      </c>
      <c r="E253" s="5" t="s">
        <v>99</v>
      </c>
    </row>
    <row r="254">
      <c r="A254" s="5" t="s">
        <v>36</v>
      </c>
      <c r="B254" s="5" t="s">
        <v>38</v>
      </c>
      <c r="C254" s="5">
        <v>7.0</v>
      </c>
      <c r="D254" s="5">
        <v>3.0</v>
      </c>
      <c r="E254" s="5" t="s">
        <v>99</v>
      </c>
    </row>
    <row r="255">
      <c r="A255" s="5" t="s">
        <v>36</v>
      </c>
      <c r="B255" s="5" t="s">
        <v>39</v>
      </c>
      <c r="C255" s="5">
        <v>7.0</v>
      </c>
      <c r="D255" s="5">
        <v>4.0</v>
      </c>
      <c r="E255" s="5" t="s">
        <v>99</v>
      </c>
    </row>
    <row r="256">
      <c r="A256" s="5" t="s">
        <v>21</v>
      </c>
      <c r="B256" s="5" t="s">
        <v>20</v>
      </c>
      <c r="C256" s="5">
        <v>8.0</v>
      </c>
      <c r="D256" s="5">
        <v>5.0</v>
      </c>
      <c r="E256" s="5" t="s">
        <v>97</v>
      </c>
    </row>
    <row r="257">
      <c r="A257" s="5" t="s">
        <v>21</v>
      </c>
      <c r="B257" s="5" t="s">
        <v>22</v>
      </c>
      <c r="C257" s="5">
        <v>8.0</v>
      </c>
      <c r="D257" s="5">
        <v>7.0</v>
      </c>
      <c r="E257" s="5" t="s">
        <v>97</v>
      </c>
    </row>
    <row r="258">
      <c r="A258" s="5" t="s">
        <v>21</v>
      </c>
      <c r="B258" s="5" t="s">
        <v>23</v>
      </c>
      <c r="C258" s="5">
        <v>8.0</v>
      </c>
      <c r="D258" s="5">
        <v>6.0</v>
      </c>
      <c r="E258" s="5" t="s">
        <v>97</v>
      </c>
    </row>
    <row r="259">
      <c r="A259" s="5" t="s">
        <v>21</v>
      </c>
      <c r="B259" s="5" t="s">
        <v>24</v>
      </c>
      <c r="C259" s="5">
        <v>8.0</v>
      </c>
      <c r="D259" s="5">
        <v>7.0</v>
      </c>
      <c r="E259" s="5" t="s">
        <v>97</v>
      </c>
    </row>
    <row r="260">
      <c r="A260" s="5" t="s">
        <v>26</v>
      </c>
      <c r="B260" s="5" t="s">
        <v>25</v>
      </c>
      <c r="C260" s="5">
        <v>7.0</v>
      </c>
      <c r="D260" s="5">
        <v>4.0</v>
      </c>
      <c r="E260" s="5" t="s">
        <v>100</v>
      </c>
    </row>
    <row r="261">
      <c r="A261" s="5" t="s">
        <v>26</v>
      </c>
      <c r="B261" s="5" t="s">
        <v>27</v>
      </c>
      <c r="C261" s="5">
        <v>7.0</v>
      </c>
      <c r="D261" s="5">
        <v>5.0</v>
      </c>
      <c r="E261" s="5" t="s">
        <v>100</v>
      </c>
    </row>
    <row r="262">
      <c r="A262" s="5" t="s">
        <v>26</v>
      </c>
      <c r="B262" s="5" t="s">
        <v>28</v>
      </c>
      <c r="C262" s="5">
        <v>7.0</v>
      </c>
      <c r="D262" s="5">
        <v>3.0</v>
      </c>
      <c r="E262" s="5" t="s">
        <v>100</v>
      </c>
    </row>
    <row r="263">
      <c r="A263" s="5" t="s">
        <v>26</v>
      </c>
      <c r="B263" s="5" t="s">
        <v>29</v>
      </c>
      <c r="C263" s="5">
        <v>7.0</v>
      </c>
      <c r="D263" s="5">
        <v>3.0</v>
      </c>
      <c r="E263" s="5" t="s">
        <v>100</v>
      </c>
    </row>
    <row r="264">
      <c r="A264" s="5" t="s">
        <v>16</v>
      </c>
      <c r="B264" s="5" t="s">
        <v>19</v>
      </c>
      <c r="C264" s="5">
        <v>9.0</v>
      </c>
      <c r="D264" s="5">
        <v>5.0</v>
      </c>
      <c r="E264" s="5" t="s">
        <v>96</v>
      </c>
    </row>
    <row r="265">
      <c r="A265" s="5" t="s">
        <v>16</v>
      </c>
      <c r="B265" s="5" t="s">
        <v>18</v>
      </c>
      <c r="C265" s="5">
        <v>9.0</v>
      </c>
      <c r="D265" s="5">
        <v>6.0</v>
      </c>
      <c r="E265" s="5" t="s">
        <v>96</v>
      </c>
    </row>
    <row r="266">
      <c r="A266" s="5" t="s">
        <v>16</v>
      </c>
      <c r="B266" s="5" t="s">
        <v>17</v>
      </c>
      <c r="C266" s="5">
        <v>9.0</v>
      </c>
      <c r="D266" s="5">
        <v>5.0</v>
      </c>
      <c r="E266" s="5" t="s">
        <v>96</v>
      </c>
    </row>
    <row r="267">
      <c r="A267" s="5" t="s">
        <v>16</v>
      </c>
      <c r="B267" s="5" t="s">
        <v>15</v>
      </c>
      <c r="C267" s="5">
        <v>9.0</v>
      </c>
      <c r="D267" s="5">
        <v>6.0</v>
      </c>
      <c r="E267" s="5" t="s">
        <v>96</v>
      </c>
    </row>
    <row r="268">
      <c r="A268" s="5" t="s">
        <v>36</v>
      </c>
      <c r="B268" s="5" t="s">
        <v>35</v>
      </c>
      <c r="C268" s="5">
        <v>8.0</v>
      </c>
      <c r="D268" s="5">
        <v>5.0</v>
      </c>
      <c r="E268" s="5" t="s">
        <v>99</v>
      </c>
    </row>
    <row r="269">
      <c r="A269" s="5" t="s">
        <v>36</v>
      </c>
      <c r="B269" s="5" t="s">
        <v>37</v>
      </c>
      <c r="C269" s="5">
        <v>8.0</v>
      </c>
      <c r="D269" s="5">
        <v>5.0</v>
      </c>
      <c r="E269" s="5" t="s">
        <v>99</v>
      </c>
    </row>
    <row r="270">
      <c r="A270" s="5" t="s">
        <v>36</v>
      </c>
      <c r="B270" s="5" t="s">
        <v>39</v>
      </c>
      <c r="C270" s="5">
        <v>8.0</v>
      </c>
      <c r="D270" s="5">
        <v>5.0</v>
      </c>
      <c r="E270" s="5" t="s">
        <v>99</v>
      </c>
    </row>
    <row r="271">
      <c r="A271" s="5" t="s">
        <v>36</v>
      </c>
      <c r="B271" s="5" t="s">
        <v>38</v>
      </c>
      <c r="C271" s="5">
        <v>8.0</v>
      </c>
      <c r="D271" s="5">
        <v>6.0</v>
      </c>
      <c r="E271" s="5" t="s">
        <v>99</v>
      </c>
    </row>
    <row r="272">
      <c r="A272" s="5" t="s">
        <v>26</v>
      </c>
      <c r="B272" s="5" t="s">
        <v>25</v>
      </c>
      <c r="C272" s="5">
        <v>8.0</v>
      </c>
      <c r="D272" s="5">
        <v>5.0</v>
      </c>
      <c r="E272" s="5" t="s">
        <v>100</v>
      </c>
    </row>
    <row r="273">
      <c r="A273" s="5" t="s">
        <v>26</v>
      </c>
      <c r="B273" s="5" t="s">
        <v>27</v>
      </c>
      <c r="C273" s="5">
        <v>8.0</v>
      </c>
      <c r="D273" s="5">
        <v>6.0</v>
      </c>
      <c r="E273" s="5" t="s">
        <v>100</v>
      </c>
    </row>
    <row r="274">
      <c r="A274" s="5" t="s">
        <v>26</v>
      </c>
      <c r="B274" s="5" t="s">
        <v>28</v>
      </c>
      <c r="C274" s="5">
        <v>8.0</v>
      </c>
      <c r="D274" s="5">
        <v>5.0</v>
      </c>
      <c r="E274" s="5" t="s">
        <v>100</v>
      </c>
    </row>
    <row r="275">
      <c r="A275" s="5" t="s">
        <v>26</v>
      </c>
      <c r="B275" s="5" t="s">
        <v>29</v>
      </c>
      <c r="C275" s="5">
        <v>8.0</v>
      </c>
      <c r="D275" s="5">
        <v>6.0</v>
      </c>
      <c r="E275" s="5" t="s">
        <v>100</v>
      </c>
    </row>
    <row r="276">
      <c r="A276" s="5" t="s">
        <v>36</v>
      </c>
      <c r="B276" s="5" t="s">
        <v>35</v>
      </c>
      <c r="C276" s="5">
        <v>9.0</v>
      </c>
      <c r="D276" s="5">
        <v>4.0</v>
      </c>
      <c r="E276" s="5" t="s">
        <v>99</v>
      </c>
    </row>
    <row r="277">
      <c r="A277" s="5" t="s">
        <v>36</v>
      </c>
      <c r="B277" s="5" t="s">
        <v>37</v>
      </c>
      <c r="C277" s="5">
        <v>9.0</v>
      </c>
      <c r="D277" s="5">
        <v>4.0</v>
      </c>
      <c r="E277" s="5" t="s">
        <v>99</v>
      </c>
    </row>
    <row r="278">
      <c r="A278" s="5" t="s">
        <v>36</v>
      </c>
      <c r="B278" s="5" t="s">
        <v>38</v>
      </c>
      <c r="C278" s="5">
        <v>9.0</v>
      </c>
      <c r="D278" s="5">
        <v>5.0</v>
      </c>
      <c r="E278" s="5" t="s">
        <v>99</v>
      </c>
    </row>
    <row r="279">
      <c r="A279" s="5" t="s">
        <v>36</v>
      </c>
      <c r="B279" s="5" t="s">
        <v>39</v>
      </c>
      <c r="C279" s="5">
        <v>9.0</v>
      </c>
      <c r="D279" s="5">
        <v>4.0</v>
      </c>
      <c r="E279" s="5" t="s">
        <v>99</v>
      </c>
    </row>
    <row r="280">
      <c r="A280" s="5" t="s">
        <v>26</v>
      </c>
      <c r="B280" s="5" t="s">
        <v>25</v>
      </c>
      <c r="C280" s="5">
        <v>9.0</v>
      </c>
      <c r="D280" s="5">
        <v>5.0</v>
      </c>
      <c r="E280" s="5" t="s">
        <v>100</v>
      </c>
    </row>
    <row r="281">
      <c r="A281" s="5" t="s">
        <v>26</v>
      </c>
      <c r="B281" s="5" t="s">
        <v>28</v>
      </c>
      <c r="C281" s="5">
        <v>9.0</v>
      </c>
      <c r="D281" s="5">
        <v>4.0</v>
      </c>
      <c r="E281" s="5" t="s">
        <v>100</v>
      </c>
    </row>
    <row r="282">
      <c r="A282" s="5" t="s">
        <v>26</v>
      </c>
      <c r="B282" s="5" t="s">
        <v>27</v>
      </c>
      <c r="C282" s="5">
        <v>9.0</v>
      </c>
      <c r="D282" s="5">
        <v>5.0</v>
      </c>
      <c r="E282" s="5" t="s">
        <v>100</v>
      </c>
    </row>
    <row r="283">
      <c r="A283" s="5" t="s">
        <v>26</v>
      </c>
      <c r="B283" s="5" t="s">
        <v>29</v>
      </c>
      <c r="C283" s="5">
        <v>9.0</v>
      </c>
      <c r="D283" s="5">
        <v>4.0</v>
      </c>
      <c r="E283" s="5" t="s">
        <v>100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20.13"/>
    <col customWidth="1" min="5" max="5" width="16.5"/>
  </cols>
  <sheetData>
    <row r="1">
      <c r="A1" s="1" t="s">
        <v>2</v>
      </c>
      <c r="B1" s="1" t="s">
        <v>50</v>
      </c>
      <c r="C1" s="1" t="s">
        <v>101</v>
      </c>
      <c r="D1" s="1" t="s">
        <v>102</v>
      </c>
      <c r="E1" s="1" t="s">
        <v>103</v>
      </c>
    </row>
    <row r="2">
      <c r="A2" s="5" t="s">
        <v>41</v>
      </c>
      <c r="B2" s="6" t="s">
        <v>104</v>
      </c>
      <c r="C2" s="5">
        <v>4.0</v>
      </c>
      <c r="E2" s="5" t="s">
        <v>105</v>
      </c>
    </row>
    <row r="3">
      <c r="A3" s="5" t="s">
        <v>41</v>
      </c>
      <c r="B3" s="6" t="s">
        <v>104</v>
      </c>
      <c r="D3" s="5">
        <v>3.0</v>
      </c>
      <c r="E3" s="5" t="s">
        <v>106</v>
      </c>
    </row>
    <row r="4">
      <c r="A4" s="5" t="s">
        <v>31</v>
      </c>
      <c r="B4" s="5">
        <v>10.0</v>
      </c>
      <c r="C4" s="5">
        <v>5.0</v>
      </c>
      <c r="E4" s="5" t="s">
        <v>107</v>
      </c>
    </row>
    <row r="5">
      <c r="A5" s="5" t="s">
        <v>31</v>
      </c>
      <c r="B5" s="5">
        <v>10.0</v>
      </c>
      <c r="D5" s="1">
        <v>4.0</v>
      </c>
      <c r="E5" s="5" t="s">
        <v>108</v>
      </c>
    </row>
    <row r="6">
      <c r="A6" s="5" t="s">
        <v>31</v>
      </c>
      <c r="B6" s="5">
        <v>11.0</v>
      </c>
      <c r="C6" s="5">
        <v>4.0</v>
      </c>
      <c r="E6" s="5" t="s">
        <v>109</v>
      </c>
    </row>
    <row r="7">
      <c r="A7" s="5" t="s">
        <v>31</v>
      </c>
      <c r="B7" s="5">
        <v>11.0</v>
      </c>
      <c r="D7" s="5">
        <v>4.0</v>
      </c>
      <c r="E7" s="5" t="s">
        <v>110</v>
      </c>
    </row>
    <row r="8">
      <c r="A8" s="5" t="s">
        <v>41</v>
      </c>
      <c r="B8" s="5">
        <v>11.0</v>
      </c>
      <c r="C8" s="5">
        <v>4.0</v>
      </c>
      <c r="E8" s="5" t="s">
        <v>111</v>
      </c>
    </row>
    <row r="9">
      <c r="A9" s="5" t="s">
        <v>41</v>
      </c>
      <c r="B9" s="5">
        <v>11.0</v>
      </c>
      <c r="D9" s="5">
        <v>5.0</v>
      </c>
      <c r="E9" s="5" t="s">
        <v>112</v>
      </c>
    </row>
    <row r="10">
      <c r="A10" s="5" t="s">
        <v>46</v>
      </c>
      <c r="B10" s="5">
        <v>10.0</v>
      </c>
      <c r="C10" s="5">
        <v>4.0</v>
      </c>
      <c r="E10" s="5" t="s">
        <v>113</v>
      </c>
    </row>
    <row r="11">
      <c r="A11" s="5" t="s">
        <v>46</v>
      </c>
      <c r="B11" s="5">
        <v>10.0</v>
      </c>
      <c r="D11" s="5">
        <v>5.0</v>
      </c>
      <c r="E11" s="5" t="s">
        <v>114</v>
      </c>
    </row>
    <row r="12">
      <c r="A12" s="5" t="s">
        <v>41</v>
      </c>
      <c r="B12" s="5">
        <v>12.0</v>
      </c>
      <c r="D12" s="5">
        <v>3.0</v>
      </c>
      <c r="E12" s="5" t="s">
        <v>115</v>
      </c>
    </row>
    <row r="13">
      <c r="A13" s="5" t="s">
        <v>41</v>
      </c>
      <c r="B13" s="5">
        <v>12.0</v>
      </c>
      <c r="C13" s="5">
        <v>4.0</v>
      </c>
      <c r="E13" s="5" t="s">
        <v>116</v>
      </c>
    </row>
    <row r="14">
      <c r="A14" s="5" t="s">
        <v>31</v>
      </c>
      <c r="B14" s="5">
        <v>12.0</v>
      </c>
      <c r="C14" s="5">
        <v>3.0</v>
      </c>
      <c r="E14" s="5" t="s">
        <v>117</v>
      </c>
    </row>
    <row r="15">
      <c r="A15" s="5" t="s">
        <v>31</v>
      </c>
      <c r="B15" s="5">
        <v>12.0</v>
      </c>
      <c r="D15" s="5">
        <v>3.0</v>
      </c>
      <c r="E15" s="5" t="s">
        <v>118</v>
      </c>
    </row>
    <row r="16">
      <c r="A16" s="5" t="s">
        <v>8</v>
      </c>
      <c r="B16" s="5">
        <v>10.0</v>
      </c>
      <c r="C16" s="5">
        <v>4.0</v>
      </c>
      <c r="E16" s="5" t="s">
        <v>119</v>
      </c>
    </row>
    <row r="17">
      <c r="A17" s="5" t="s">
        <v>8</v>
      </c>
      <c r="B17" s="5">
        <v>10.0</v>
      </c>
      <c r="D17" s="5">
        <v>5.0</v>
      </c>
      <c r="E17" s="5" t="s">
        <v>120</v>
      </c>
    </row>
    <row r="18">
      <c r="A18" s="5" t="s">
        <v>31</v>
      </c>
      <c r="B18" s="5">
        <v>13.0</v>
      </c>
      <c r="C18" s="1">
        <v>3.0</v>
      </c>
      <c r="E18" s="5" t="s">
        <v>121</v>
      </c>
    </row>
    <row r="19">
      <c r="A19" s="5" t="s">
        <v>31</v>
      </c>
      <c r="B19" s="5">
        <v>13.0</v>
      </c>
      <c r="D19" s="1">
        <v>3.0</v>
      </c>
      <c r="E19" s="5" t="s">
        <v>122</v>
      </c>
    </row>
    <row r="20">
      <c r="A20" s="5" t="s">
        <v>41</v>
      </c>
      <c r="B20" s="5">
        <v>13.0</v>
      </c>
      <c r="C20" s="5">
        <v>5.0</v>
      </c>
      <c r="E20" s="5" t="s">
        <v>123</v>
      </c>
    </row>
    <row r="21">
      <c r="A21" s="5" t="s">
        <v>41</v>
      </c>
      <c r="B21" s="5">
        <v>13.0</v>
      </c>
      <c r="D21" s="5">
        <v>4.0</v>
      </c>
      <c r="E21" s="5" t="s">
        <v>124</v>
      </c>
    </row>
    <row r="22">
      <c r="A22" s="5" t="s">
        <v>31</v>
      </c>
      <c r="B22" s="5">
        <v>14.0</v>
      </c>
      <c r="C22" s="5">
        <v>4.0</v>
      </c>
      <c r="E22" s="5" t="s">
        <v>125</v>
      </c>
    </row>
    <row r="23">
      <c r="A23" s="5" t="s">
        <v>31</v>
      </c>
      <c r="B23" s="5">
        <v>14.0</v>
      </c>
      <c r="D23" s="5">
        <v>4.0</v>
      </c>
      <c r="E23" s="5" t="s">
        <v>126</v>
      </c>
    </row>
    <row r="24">
      <c r="A24" s="5" t="s">
        <v>31</v>
      </c>
      <c r="B24" s="5">
        <v>15.0</v>
      </c>
      <c r="C24" s="5">
        <v>3.0</v>
      </c>
      <c r="E24" s="5" t="s">
        <v>127</v>
      </c>
    </row>
    <row r="25">
      <c r="A25" s="5" t="s">
        <v>31</v>
      </c>
      <c r="B25" s="5">
        <v>15.0</v>
      </c>
      <c r="D25" s="1">
        <v>4.0</v>
      </c>
      <c r="E25" s="5" t="s">
        <v>128</v>
      </c>
    </row>
    <row r="26">
      <c r="A26" s="5" t="s">
        <v>8</v>
      </c>
      <c r="B26" s="5">
        <v>11.0</v>
      </c>
      <c r="D26" s="5">
        <v>5.0</v>
      </c>
      <c r="E26" s="5" t="s">
        <v>129</v>
      </c>
    </row>
    <row r="27">
      <c r="A27" s="5" t="s">
        <v>8</v>
      </c>
      <c r="B27" s="5">
        <v>11.0</v>
      </c>
      <c r="C27" s="5">
        <v>4.0</v>
      </c>
      <c r="E27" s="5" t="s">
        <v>130</v>
      </c>
    </row>
    <row r="28">
      <c r="A28" s="5" t="s">
        <v>21</v>
      </c>
      <c r="B28" s="5">
        <v>10.0</v>
      </c>
      <c r="C28" s="5">
        <v>5.0</v>
      </c>
      <c r="E28" s="5" t="s">
        <v>131</v>
      </c>
    </row>
    <row r="29">
      <c r="A29" s="5" t="s">
        <v>21</v>
      </c>
      <c r="B29" s="5">
        <v>10.0</v>
      </c>
      <c r="D29" s="5">
        <v>5.0</v>
      </c>
      <c r="E29" s="5" t="s">
        <v>132</v>
      </c>
    </row>
    <row r="30">
      <c r="A30" s="5" t="s">
        <v>8</v>
      </c>
      <c r="B30" s="5">
        <v>12.0</v>
      </c>
      <c r="C30" s="5">
        <v>2.0</v>
      </c>
      <c r="E30" s="5" t="s">
        <v>133</v>
      </c>
    </row>
    <row r="31">
      <c r="A31" s="5" t="s">
        <v>8</v>
      </c>
      <c r="B31" s="5">
        <v>12.0</v>
      </c>
      <c r="D31" s="5">
        <v>3.0</v>
      </c>
      <c r="E31" s="5" t="s">
        <v>134</v>
      </c>
    </row>
    <row r="32">
      <c r="A32" s="5" t="s">
        <v>16</v>
      </c>
      <c r="B32" s="5">
        <v>10.0</v>
      </c>
      <c r="D32" s="5">
        <v>5.0</v>
      </c>
      <c r="E32" s="5" t="s">
        <v>135</v>
      </c>
    </row>
    <row r="33">
      <c r="A33" s="5" t="s">
        <v>16</v>
      </c>
      <c r="B33" s="5">
        <v>10.0</v>
      </c>
      <c r="C33" s="5">
        <v>5.0</v>
      </c>
      <c r="E33" s="5" t="s">
        <v>136</v>
      </c>
    </row>
    <row r="34">
      <c r="A34" s="5" t="s">
        <v>16</v>
      </c>
      <c r="B34" s="5">
        <v>11.0</v>
      </c>
      <c r="D34" s="5">
        <v>4.0</v>
      </c>
      <c r="E34" s="5" t="s">
        <v>137</v>
      </c>
    </row>
    <row r="35">
      <c r="A35" s="5" t="s">
        <v>16</v>
      </c>
      <c r="B35" s="5">
        <v>11.0</v>
      </c>
      <c r="C35" s="5">
        <v>4.0</v>
      </c>
      <c r="E35" s="5" t="s">
        <v>138</v>
      </c>
    </row>
    <row r="36">
      <c r="A36" s="5" t="s">
        <v>41</v>
      </c>
      <c r="B36" s="5">
        <v>14.0</v>
      </c>
      <c r="C36" s="5">
        <v>4.0</v>
      </c>
      <c r="E36" s="5" t="s">
        <v>139</v>
      </c>
    </row>
    <row r="37">
      <c r="A37" s="5" t="s">
        <v>41</v>
      </c>
      <c r="B37" s="5">
        <v>14.0</v>
      </c>
      <c r="D37" s="5">
        <v>4.0</v>
      </c>
      <c r="E37" s="5" t="s">
        <v>140</v>
      </c>
    </row>
    <row r="38">
      <c r="A38" s="5" t="s">
        <v>36</v>
      </c>
      <c r="B38" s="5">
        <v>10.0</v>
      </c>
      <c r="C38" s="5">
        <v>4.0</v>
      </c>
      <c r="E38" s="5" t="s">
        <v>141</v>
      </c>
    </row>
    <row r="39">
      <c r="A39" s="5" t="s">
        <v>21</v>
      </c>
      <c r="B39" s="5">
        <v>11.0</v>
      </c>
      <c r="C39" s="5">
        <v>5.0</v>
      </c>
      <c r="E39" s="5" t="s">
        <v>142</v>
      </c>
    </row>
    <row r="40">
      <c r="A40" s="5" t="s">
        <v>36</v>
      </c>
      <c r="B40" s="5">
        <v>10.0</v>
      </c>
      <c r="D40" s="5">
        <v>4.0</v>
      </c>
      <c r="E40" s="5" t="s">
        <v>143</v>
      </c>
    </row>
    <row r="41">
      <c r="A41" s="5" t="s">
        <v>21</v>
      </c>
      <c r="B41" s="5">
        <v>11.0</v>
      </c>
      <c r="D41" s="5">
        <v>4.0</v>
      </c>
      <c r="E41" s="5" t="s">
        <v>144</v>
      </c>
    </row>
    <row r="42">
      <c r="A42" s="5" t="s">
        <v>46</v>
      </c>
      <c r="B42" s="5">
        <v>11.0</v>
      </c>
      <c r="C42" s="5">
        <v>4.0</v>
      </c>
      <c r="E42" s="5" t="s">
        <v>145</v>
      </c>
    </row>
    <row r="43">
      <c r="A43" s="5" t="s">
        <v>46</v>
      </c>
      <c r="B43" s="5">
        <v>11.0</v>
      </c>
      <c r="D43" s="5">
        <v>4.0</v>
      </c>
      <c r="E43" s="5" t="s">
        <v>146</v>
      </c>
    </row>
    <row r="44">
      <c r="A44" s="5" t="s">
        <v>46</v>
      </c>
      <c r="B44" s="5">
        <v>12.0</v>
      </c>
      <c r="C44" s="5">
        <v>3.0</v>
      </c>
      <c r="E44" s="5" t="s">
        <v>147</v>
      </c>
    </row>
    <row r="45">
      <c r="A45" s="5" t="s">
        <v>46</v>
      </c>
      <c r="B45" s="5">
        <v>12.0</v>
      </c>
      <c r="D45" s="5">
        <v>3.0</v>
      </c>
      <c r="E45" s="5" t="s">
        <v>148</v>
      </c>
    </row>
    <row r="46">
      <c r="A46" s="5" t="s">
        <v>46</v>
      </c>
      <c r="B46" s="5">
        <v>13.0</v>
      </c>
      <c r="C46" s="5">
        <v>4.0</v>
      </c>
      <c r="E46" s="5" t="s">
        <v>149</v>
      </c>
    </row>
    <row r="47">
      <c r="A47" s="5" t="s">
        <v>46</v>
      </c>
      <c r="B47" s="5">
        <v>13.0</v>
      </c>
      <c r="D47" s="5">
        <v>4.0</v>
      </c>
      <c r="E47" s="5" t="s">
        <v>150</v>
      </c>
    </row>
    <row r="48">
      <c r="A48" s="5" t="s">
        <v>41</v>
      </c>
      <c r="B48" s="5">
        <v>15.0</v>
      </c>
      <c r="C48" s="5">
        <v>3.0</v>
      </c>
      <c r="E48" s="5" t="s">
        <v>151</v>
      </c>
    </row>
    <row r="49">
      <c r="A49" s="5" t="s">
        <v>41</v>
      </c>
      <c r="B49" s="5">
        <v>15.0</v>
      </c>
      <c r="D49" s="5">
        <v>3.0</v>
      </c>
      <c r="E49" s="5" t="s">
        <v>152</v>
      </c>
    </row>
    <row r="50">
      <c r="A50" s="5" t="s">
        <v>8</v>
      </c>
      <c r="B50" s="5">
        <v>13.0</v>
      </c>
      <c r="C50" s="5">
        <v>4.0</v>
      </c>
      <c r="E50" s="5" t="s">
        <v>153</v>
      </c>
    </row>
    <row r="51">
      <c r="A51" s="5" t="s">
        <v>8</v>
      </c>
      <c r="B51" s="5">
        <v>13.0</v>
      </c>
      <c r="D51" s="5">
        <v>4.0</v>
      </c>
      <c r="E51" s="5" t="s">
        <v>154</v>
      </c>
    </row>
    <row r="52">
      <c r="A52" s="5" t="s">
        <v>31</v>
      </c>
      <c r="B52" s="5">
        <v>16.0</v>
      </c>
      <c r="C52" s="5">
        <v>4.0</v>
      </c>
      <c r="E52" s="5" t="s">
        <v>155</v>
      </c>
    </row>
    <row r="53">
      <c r="A53" s="5" t="s">
        <v>31</v>
      </c>
      <c r="B53" s="5">
        <v>16.0</v>
      </c>
      <c r="D53" s="1">
        <v>6.0</v>
      </c>
      <c r="E53" s="5" t="s">
        <v>156</v>
      </c>
    </row>
    <row r="54">
      <c r="A54" s="5" t="s">
        <v>31</v>
      </c>
      <c r="B54" s="1">
        <v>17.0</v>
      </c>
      <c r="D54" s="1">
        <v>4.0</v>
      </c>
      <c r="E54" s="1" t="s">
        <v>157</v>
      </c>
    </row>
    <row r="55">
      <c r="A55" s="5" t="s">
        <v>31</v>
      </c>
      <c r="B55" s="5">
        <v>17.0</v>
      </c>
      <c r="C55" s="1">
        <v>3.0</v>
      </c>
      <c r="E55" s="5" t="s">
        <v>158</v>
      </c>
    </row>
    <row r="56">
      <c r="A56" s="5" t="s">
        <v>16</v>
      </c>
      <c r="B56" s="5">
        <v>12.0</v>
      </c>
      <c r="D56" s="5">
        <v>3.0</v>
      </c>
      <c r="E56" s="5" t="s">
        <v>159</v>
      </c>
    </row>
    <row r="57">
      <c r="A57" s="5" t="s">
        <v>16</v>
      </c>
      <c r="B57" s="5">
        <v>12.0</v>
      </c>
      <c r="C57" s="5">
        <v>4.0</v>
      </c>
      <c r="E57" s="5" t="s">
        <v>160</v>
      </c>
    </row>
    <row r="58">
      <c r="A58" s="5" t="s">
        <v>31</v>
      </c>
      <c r="B58" s="5">
        <v>18.0</v>
      </c>
      <c r="C58" s="1">
        <v>4.0</v>
      </c>
      <c r="E58" s="5" t="s">
        <v>161</v>
      </c>
    </row>
    <row r="59">
      <c r="A59" s="5" t="s">
        <v>31</v>
      </c>
      <c r="B59" s="5">
        <v>18.0</v>
      </c>
      <c r="D59" s="1">
        <v>6.0</v>
      </c>
      <c r="E59" s="5" t="s">
        <v>162</v>
      </c>
    </row>
    <row r="60">
      <c r="A60" s="5" t="s">
        <v>26</v>
      </c>
      <c r="B60" s="5">
        <v>10.0</v>
      </c>
      <c r="C60" s="5">
        <v>5.0</v>
      </c>
      <c r="E60" s="5" t="s">
        <v>163</v>
      </c>
    </row>
    <row r="61">
      <c r="A61" s="5" t="s">
        <v>26</v>
      </c>
      <c r="B61" s="5">
        <v>10.0</v>
      </c>
      <c r="D61" s="5">
        <v>6.0</v>
      </c>
      <c r="E61" s="5" t="s">
        <v>164</v>
      </c>
    </row>
    <row r="62">
      <c r="A62" s="5" t="s">
        <v>46</v>
      </c>
      <c r="B62" s="5">
        <v>14.0</v>
      </c>
      <c r="D62" s="5">
        <v>4.0</v>
      </c>
      <c r="E62" s="5" t="s">
        <v>165</v>
      </c>
    </row>
    <row r="63">
      <c r="A63" s="5" t="s">
        <v>46</v>
      </c>
      <c r="B63" s="5">
        <v>14.0</v>
      </c>
      <c r="C63" s="5">
        <v>4.0</v>
      </c>
      <c r="E63" s="5" t="s">
        <v>166</v>
      </c>
    </row>
    <row r="64">
      <c r="A64" s="5" t="s">
        <v>36</v>
      </c>
      <c r="B64" s="5">
        <v>11.0</v>
      </c>
      <c r="C64" s="5">
        <v>3.0</v>
      </c>
      <c r="E64" s="5" t="s">
        <v>167</v>
      </c>
    </row>
    <row r="65">
      <c r="A65" s="5" t="s">
        <v>36</v>
      </c>
      <c r="B65" s="5">
        <v>11.0</v>
      </c>
      <c r="D65" s="5">
        <v>4.0</v>
      </c>
      <c r="E65" s="5" t="s">
        <v>168</v>
      </c>
    </row>
    <row r="66">
      <c r="A66" s="5" t="s">
        <v>16</v>
      </c>
      <c r="B66" s="5">
        <v>13.0</v>
      </c>
      <c r="C66" s="5">
        <v>4.0</v>
      </c>
      <c r="E66" s="5" t="s">
        <v>169</v>
      </c>
    </row>
    <row r="67">
      <c r="A67" s="5" t="s">
        <v>16</v>
      </c>
      <c r="B67" s="5">
        <v>13.0</v>
      </c>
      <c r="D67" s="5">
        <v>4.0</v>
      </c>
      <c r="E67" s="5" t="s">
        <v>170</v>
      </c>
    </row>
    <row r="68">
      <c r="A68" s="5" t="s">
        <v>41</v>
      </c>
      <c r="B68" s="5">
        <v>16.0</v>
      </c>
      <c r="C68" s="5">
        <v>4.0</v>
      </c>
      <c r="E68" s="5" t="s">
        <v>171</v>
      </c>
    </row>
    <row r="69">
      <c r="A69" s="5" t="s">
        <v>41</v>
      </c>
      <c r="B69" s="5">
        <v>16.0</v>
      </c>
      <c r="D69" s="5">
        <v>3.0</v>
      </c>
      <c r="E69" s="5" t="s">
        <v>172</v>
      </c>
    </row>
    <row r="70">
      <c r="A70" s="5" t="s">
        <v>21</v>
      </c>
      <c r="B70" s="5">
        <v>12.0</v>
      </c>
      <c r="C70" s="5">
        <v>3.0</v>
      </c>
      <c r="E70" s="5" t="s">
        <v>173</v>
      </c>
    </row>
    <row r="71">
      <c r="A71" s="5" t="s">
        <v>21</v>
      </c>
      <c r="B71" s="5">
        <v>12.0</v>
      </c>
      <c r="D71" s="5">
        <v>3.0</v>
      </c>
      <c r="E71" s="5" t="s">
        <v>174</v>
      </c>
    </row>
    <row r="72">
      <c r="A72" s="5" t="s">
        <v>41</v>
      </c>
      <c r="B72" s="5">
        <v>17.0</v>
      </c>
      <c r="C72" s="5">
        <v>4.0</v>
      </c>
      <c r="E72" s="5" t="s">
        <v>175</v>
      </c>
    </row>
    <row r="73">
      <c r="A73" s="5" t="s">
        <v>41</v>
      </c>
      <c r="B73" s="5">
        <v>17.0</v>
      </c>
      <c r="D73" s="1">
        <v>3.0</v>
      </c>
      <c r="E73" s="5" t="s">
        <v>176</v>
      </c>
    </row>
    <row r="74">
      <c r="A74" s="5" t="s">
        <v>21</v>
      </c>
      <c r="B74" s="5">
        <v>13.0</v>
      </c>
      <c r="C74" s="5">
        <v>4.0</v>
      </c>
      <c r="E74" s="5" t="s">
        <v>177</v>
      </c>
    </row>
    <row r="75">
      <c r="A75" s="5" t="s">
        <v>21</v>
      </c>
      <c r="B75" s="5">
        <v>13.0</v>
      </c>
      <c r="D75" s="5">
        <v>3.0</v>
      </c>
      <c r="E75" s="5" t="s">
        <v>178</v>
      </c>
    </row>
    <row r="76">
      <c r="A76" s="5" t="s">
        <v>8</v>
      </c>
      <c r="B76" s="5">
        <v>14.0</v>
      </c>
      <c r="C76" s="5">
        <v>4.0</v>
      </c>
      <c r="E76" s="5" t="s">
        <v>179</v>
      </c>
    </row>
    <row r="77">
      <c r="A77" s="5" t="s">
        <v>8</v>
      </c>
      <c r="B77" s="5">
        <v>14.0</v>
      </c>
      <c r="D77" s="5">
        <v>4.0</v>
      </c>
      <c r="E77" s="5" t="s">
        <v>180</v>
      </c>
    </row>
    <row r="78">
      <c r="A78" s="5" t="s">
        <v>46</v>
      </c>
      <c r="B78" s="5">
        <v>15.0</v>
      </c>
      <c r="D78" s="5">
        <v>3.0</v>
      </c>
      <c r="E78" s="5" t="s">
        <v>181</v>
      </c>
    </row>
    <row r="79">
      <c r="A79" s="5" t="s">
        <v>46</v>
      </c>
      <c r="B79" s="5">
        <v>15.0</v>
      </c>
      <c r="C79" s="5">
        <v>4.0</v>
      </c>
      <c r="E79" s="5" t="s">
        <v>182</v>
      </c>
    </row>
    <row r="80">
      <c r="A80" s="5" t="s">
        <v>26</v>
      </c>
      <c r="B80" s="5">
        <v>11.0</v>
      </c>
      <c r="C80" s="5">
        <v>5.0</v>
      </c>
      <c r="E80" s="5" t="s">
        <v>183</v>
      </c>
    </row>
    <row r="81">
      <c r="A81" s="5" t="s">
        <v>26</v>
      </c>
      <c r="B81" s="5">
        <v>11.0</v>
      </c>
      <c r="D81" s="5">
        <v>4.0</v>
      </c>
      <c r="E81" s="5" t="s">
        <v>184</v>
      </c>
    </row>
    <row r="82">
      <c r="A82" s="5" t="s">
        <v>36</v>
      </c>
      <c r="B82" s="5">
        <v>12.0</v>
      </c>
      <c r="C82" s="5">
        <v>4.0</v>
      </c>
      <c r="E82" s="5" t="s">
        <v>185</v>
      </c>
    </row>
    <row r="83">
      <c r="A83" s="5" t="s">
        <v>36</v>
      </c>
      <c r="B83" s="5">
        <v>12.0</v>
      </c>
      <c r="D83" s="5">
        <v>3.0</v>
      </c>
      <c r="E83" s="5" t="s">
        <v>186</v>
      </c>
    </row>
    <row r="84">
      <c r="A84" s="5" t="s">
        <v>8</v>
      </c>
      <c r="B84" s="5">
        <v>15.0</v>
      </c>
      <c r="C84" s="5">
        <v>3.0</v>
      </c>
      <c r="E84" s="5" t="s">
        <v>187</v>
      </c>
    </row>
    <row r="85">
      <c r="A85" s="5" t="s">
        <v>8</v>
      </c>
      <c r="B85" s="5">
        <v>15.0</v>
      </c>
      <c r="D85" s="5">
        <v>3.0</v>
      </c>
      <c r="E85" s="5" t="s">
        <v>188</v>
      </c>
    </row>
    <row r="86">
      <c r="A86" s="5" t="s">
        <v>16</v>
      </c>
      <c r="B86" s="5">
        <v>14.0</v>
      </c>
      <c r="D86" s="5">
        <v>5.0</v>
      </c>
      <c r="E86" s="5" t="s">
        <v>189</v>
      </c>
    </row>
    <row r="87">
      <c r="A87" s="5" t="s">
        <v>16</v>
      </c>
      <c r="B87" s="5">
        <v>14.0</v>
      </c>
      <c r="C87" s="5">
        <v>4.0</v>
      </c>
      <c r="E87" s="5" t="s">
        <v>190</v>
      </c>
    </row>
    <row r="88">
      <c r="A88" s="5" t="s">
        <v>26</v>
      </c>
      <c r="B88" s="5">
        <v>12.0</v>
      </c>
      <c r="C88" s="5">
        <v>3.0</v>
      </c>
      <c r="E88" s="5" t="s">
        <v>191</v>
      </c>
    </row>
    <row r="89">
      <c r="A89" s="5" t="s">
        <v>26</v>
      </c>
      <c r="B89" s="5">
        <v>12.0</v>
      </c>
      <c r="D89" s="5">
        <v>4.0</v>
      </c>
      <c r="E89" s="5" t="s">
        <v>192</v>
      </c>
    </row>
    <row r="90">
      <c r="A90" s="5" t="s">
        <v>21</v>
      </c>
      <c r="B90" s="5">
        <v>14.0</v>
      </c>
      <c r="C90" s="5">
        <v>4.0</v>
      </c>
      <c r="E90" s="5" t="s">
        <v>193</v>
      </c>
    </row>
    <row r="91">
      <c r="A91" s="5" t="s">
        <v>21</v>
      </c>
      <c r="B91" s="5">
        <v>14.0</v>
      </c>
      <c r="D91" s="5">
        <v>4.0</v>
      </c>
      <c r="E91" s="5" t="s">
        <v>194</v>
      </c>
    </row>
    <row r="92">
      <c r="A92" s="5" t="s">
        <v>16</v>
      </c>
      <c r="B92" s="5">
        <v>15.0</v>
      </c>
      <c r="D92" s="5">
        <v>3.0</v>
      </c>
      <c r="E92" s="5" t="s">
        <v>195</v>
      </c>
    </row>
    <row r="93">
      <c r="A93" s="5" t="s">
        <v>16</v>
      </c>
      <c r="B93" s="5">
        <v>15.0</v>
      </c>
      <c r="C93" s="5">
        <v>3.0</v>
      </c>
      <c r="E93" s="5" t="s">
        <v>196</v>
      </c>
    </row>
    <row r="94">
      <c r="A94" s="5" t="s">
        <v>36</v>
      </c>
      <c r="B94" s="5">
        <v>13.0</v>
      </c>
      <c r="C94" s="5">
        <v>4.0</v>
      </c>
      <c r="E94" s="5" t="s">
        <v>197</v>
      </c>
    </row>
    <row r="95">
      <c r="A95" s="5" t="s">
        <v>36</v>
      </c>
      <c r="B95" s="5">
        <v>13.0</v>
      </c>
      <c r="D95" s="5">
        <v>4.0</v>
      </c>
      <c r="E95" s="5" t="s">
        <v>198</v>
      </c>
    </row>
    <row r="96">
      <c r="A96" s="5" t="s">
        <v>46</v>
      </c>
      <c r="B96" s="5">
        <v>16.0</v>
      </c>
      <c r="C96" s="5">
        <v>4.0</v>
      </c>
      <c r="E96" s="5" t="s">
        <v>199</v>
      </c>
    </row>
    <row r="97">
      <c r="A97" s="5" t="s">
        <v>46</v>
      </c>
      <c r="B97" s="5">
        <v>16.0</v>
      </c>
      <c r="D97" s="5">
        <v>5.0</v>
      </c>
      <c r="E97" s="5" t="s">
        <v>200</v>
      </c>
    </row>
    <row r="98">
      <c r="A98" s="5" t="s">
        <v>41</v>
      </c>
      <c r="B98" s="5">
        <v>18.0</v>
      </c>
      <c r="D98" s="5">
        <v>4.0</v>
      </c>
      <c r="E98" s="5" t="s">
        <v>201</v>
      </c>
    </row>
    <row r="99">
      <c r="A99" s="5" t="s">
        <v>26</v>
      </c>
      <c r="B99" s="5">
        <v>13.0</v>
      </c>
      <c r="C99" s="5">
        <v>4.0</v>
      </c>
      <c r="E99" s="5" t="s">
        <v>202</v>
      </c>
    </row>
    <row r="100">
      <c r="A100" s="5" t="s">
        <v>26</v>
      </c>
      <c r="B100" s="5">
        <v>13.0</v>
      </c>
      <c r="D100" s="5">
        <v>4.0</v>
      </c>
      <c r="E100" s="5" t="s">
        <v>203</v>
      </c>
    </row>
    <row r="101">
      <c r="A101" s="5" t="s">
        <v>8</v>
      </c>
      <c r="B101" s="5">
        <v>16.0</v>
      </c>
      <c r="C101" s="5">
        <v>4.0</v>
      </c>
      <c r="E101" s="5" t="s">
        <v>204</v>
      </c>
    </row>
    <row r="102">
      <c r="A102" s="5" t="s">
        <v>8</v>
      </c>
      <c r="B102" s="5">
        <v>16.0</v>
      </c>
      <c r="D102" s="5">
        <v>5.0</v>
      </c>
      <c r="E102" s="5" t="s">
        <v>205</v>
      </c>
    </row>
    <row r="103">
      <c r="A103" s="5" t="s">
        <v>36</v>
      </c>
      <c r="B103" s="5">
        <v>14.0</v>
      </c>
      <c r="C103" s="5">
        <v>5.0</v>
      </c>
      <c r="E103" s="5" t="s">
        <v>206</v>
      </c>
    </row>
    <row r="104">
      <c r="A104" s="5" t="s">
        <v>36</v>
      </c>
      <c r="B104" s="5">
        <v>14.0</v>
      </c>
      <c r="D104" s="5">
        <v>5.0</v>
      </c>
      <c r="E104" s="5" t="s">
        <v>207</v>
      </c>
    </row>
    <row r="105">
      <c r="A105" s="5" t="s">
        <v>16</v>
      </c>
      <c r="B105" s="5">
        <v>16.0</v>
      </c>
      <c r="C105" s="5">
        <v>4.0</v>
      </c>
      <c r="E105" s="5" t="s">
        <v>208</v>
      </c>
    </row>
    <row r="106">
      <c r="A106" s="5" t="s">
        <v>16</v>
      </c>
      <c r="B106" s="5">
        <v>16.0</v>
      </c>
      <c r="D106" s="5">
        <v>4.0</v>
      </c>
      <c r="E106" s="5" t="s">
        <v>209</v>
      </c>
    </row>
    <row r="107">
      <c r="A107" s="5" t="s">
        <v>46</v>
      </c>
      <c r="B107" s="5">
        <v>17.0</v>
      </c>
      <c r="C107" s="5">
        <v>5.0</v>
      </c>
      <c r="E107" s="5" t="s">
        <v>210</v>
      </c>
    </row>
    <row r="108">
      <c r="A108" s="5" t="s">
        <v>46</v>
      </c>
      <c r="B108" s="5">
        <v>17.0</v>
      </c>
      <c r="D108" s="5">
        <v>5.0</v>
      </c>
      <c r="E108" s="5" t="s">
        <v>211</v>
      </c>
    </row>
    <row r="109">
      <c r="A109" s="5" t="s">
        <v>36</v>
      </c>
      <c r="B109" s="5">
        <v>15.0</v>
      </c>
      <c r="C109" s="5">
        <v>1.0</v>
      </c>
      <c r="E109" s="5" t="s">
        <v>212</v>
      </c>
    </row>
    <row r="110">
      <c r="A110" s="5" t="s">
        <v>36</v>
      </c>
      <c r="B110" s="5">
        <v>15.0</v>
      </c>
      <c r="D110" s="5">
        <v>4.0</v>
      </c>
      <c r="E110" s="5" t="s">
        <v>213</v>
      </c>
    </row>
    <row r="111">
      <c r="A111" s="5" t="s">
        <v>21</v>
      </c>
      <c r="B111" s="5">
        <v>15.0</v>
      </c>
      <c r="C111" s="5">
        <v>4.0</v>
      </c>
      <c r="E111" s="5" t="s">
        <v>214</v>
      </c>
    </row>
    <row r="112">
      <c r="A112" s="5" t="s">
        <v>21</v>
      </c>
      <c r="B112" s="5">
        <v>15.0</v>
      </c>
      <c r="D112" s="5">
        <v>3.0</v>
      </c>
      <c r="E112" s="5" t="s">
        <v>215</v>
      </c>
    </row>
    <row r="113">
      <c r="A113" s="5" t="s">
        <v>21</v>
      </c>
      <c r="B113" s="5">
        <v>16.0</v>
      </c>
      <c r="C113" s="5">
        <v>4.0</v>
      </c>
      <c r="E113" s="5" t="s">
        <v>216</v>
      </c>
    </row>
    <row r="114">
      <c r="A114" s="5" t="s">
        <v>21</v>
      </c>
      <c r="B114" s="5">
        <v>16.0</v>
      </c>
      <c r="D114" s="5">
        <v>5.0</v>
      </c>
      <c r="E114" s="5" t="s">
        <v>217</v>
      </c>
    </row>
    <row r="115">
      <c r="A115" s="5" t="s">
        <v>8</v>
      </c>
      <c r="B115" s="5">
        <v>17.0</v>
      </c>
      <c r="D115" s="5">
        <v>5.0</v>
      </c>
      <c r="E115" s="5" t="s">
        <v>218</v>
      </c>
    </row>
    <row r="116">
      <c r="A116" s="5" t="s">
        <v>8</v>
      </c>
      <c r="B116" s="5">
        <v>17.0</v>
      </c>
      <c r="C116" s="5">
        <v>5.0</v>
      </c>
      <c r="E116" s="5" t="s">
        <v>219</v>
      </c>
    </row>
    <row r="117">
      <c r="A117" s="5" t="s">
        <v>26</v>
      </c>
      <c r="B117" s="5">
        <v>15.0</v>
      </c>
      <c r="C117" s="5">
        <v>3.0</v>
      </c>
      <c r="E117" s="5" t="s">
        <v>220</v>
      </c>
    </row>
    <row r="118">
      <c r="A118" s="5" t="s">
        <v>26</v>
      </c>
      <c r="B118" s="5">
        <v>15.0</v>
      </c>
      <c r="D118" s="5">
        <v>3.0</v>
      </c>
      <c r="E118" s="5" t="s">
        <v>221</v>
      </c>
    </row>
    <row r="119">
      <c r="A119" s="5" t="s">
        <v>26</v>
      </c>
      <c r="B119" s="5">
        <v>14.0</v>
      </c>
      <c r="D119" s="5">
        <v>4.0</v>
      </c>
      <c r="E119" s="5" t="s">
        <v>222</v>
      </c>
    </row>
    <row r="120">
      <c r="A120" s="5" t="s">
        <v>26</v>
      </c>
      <c r="B120" s="5">
        <v>14.0</v>
      </c>
      <c r="C120" s="5">
        <v>4.0</v>
      </c>
      <c r="E120" s="5" t="s">
        <v>223</v>
      </c>
    </row>
    <row r="121">
      <c r="A121" s="5" t="s">
        <v>16</v>
      </c>
      <c r="B121" s="5">
        <v>17.0</v>
      </c>
      <c r="D121" s="5">
        <v>4.0</v>
      </c>
      <c r="E121" s="5" t="s">
        <v>224</v>
      </c>
    </row>
    <row r="122">
      <c r="A122" s="5" t="s">
        <v>16</v>
      </c>
      <c r="B122" s="5">
        <v>17.0</v>
      </c>
      <c r="C122" s="5">
        <v>5.0</v>
      </c>
      <c r="E122" s="5" t="s">
        <v>225</v>
      </c>
    </row>
    <row r="123">
      <c r="A123" s="5" t="s">
        <v>36</v>
      </c>
      <c r="B123" s="5">
        <v>16.0</v>
      </c>
      <c r="C123" s="5">
        <v>4.0</v>
      </c>
      <c r="E123" s="5" t="s">
        <v>226</v>
      </c>
    </row>
    <row r="124">
      <c r="A124" s="5" t="s">
        <v>36</v>
      </c>
      <c r="B124" s="5">
        <v>16.0</v>
      </c>
      <c r="D124" s="5">
        <v>4.0</v>
      </c>
      <c r="E124" s="5" t="s">
        <v>227</v>
      </c>
    </row>
    <row r="125">
      <c r="A125" s="5" t="s">
        <v>46</v>
      </c>
      <c r="B125" s="5">
        <v>18.0</v>
      </c>
      <c r="D125" s="5">
        <v>5.0</v>
      </c>
      <c r="E125" s="5" t="s">
        <v>228</v>
      </c>
    </row>
    <row r="126">
      <c r="A126" s="5" t="s">
        <v>46</v>
      </c>
      <c r="B126" s="5">
        <v>18.0</v>
      </c>
      <c r="C126" s="5">
        <v>6.0</v>
      </c>
      <c r="E126" s="5" t="s">
        <v>229</v>
      </c>
    </row>
    <row r="127">
      <c r="A127" s="5" t="s">
        <v>21</v>
      </c>
      <c r="B127" s="5">
        <v>17.0</v>
      </c>
      <c r="C127" s="5">
        <v>4.0</v>
      </c>
      <c r="E127" s="5" t="s">
        <v>230</v>
      </c>
    </row>
    <row r="128">
      <c r="A128" s="5" t="s">
        <v>21</v>
      </c>
      <c r="B128" s="5">
        <v>17.0</v>
      </c>
      <c r="D128" s="5">
        <v>4.0</v>
      </c>
      <c r="E128" s="5" t="s">
        <v>231</v>
      </c>
    </row>
    <row r="129">
      <c r="A129" s="5" t="s">
        <v>26</v>
      </c>
      <c r="B129" s="5">
        <v>16.0</v>
      </c>
      <c r="C129" s="5">
        <v>4.0</v>
      </c>
      <c r="E129" s="5" t="s">
        <v>232</v>
      </c>
    </row>
    <row r="130">
      <c r="A130" s="5" t="s">
        <v>26</v>
      </c>
      <c r="B130" s="5">
        <v>16.0</v>
      </c>
      <c r="D130" s="5">
        <v>4.0</v>
      </c>
      <c r="E130" s="5" t="s">
        <v>233</v>
      </c>
    </row>
    <row r="131">
      <c r="A131" s="5" t="s">
        <v>8</v>
      </c>
      <c r="B131" s="5">
        <v>18.0</v>
      </c>
      <c r="C131" s="5">
        <v>5.0</v>
      </c>
      <c r="E131" s="5" t="s">
        <v>234</v>
      </c>
    </row>
    <row r="132">
      <c r="A132" s="5" t="s">
        <v>8</v>
      </c>
      <c r="B132" s="5">
        <v>18.0</v>
      </c>
      <c r="D132" s="5">
        <v>7.0</v>
      </c>
      <c r="E132" s="5" t="s">
        <v>235</v>
      </c>
    </row>
    <row r="133">
      <c r="A133" s="5" t="s">
        <v>36</v>
      </c>
      <c r="B133" s="5">
        <v>17.0</v>
      </c>
      <c r="C133" s="5">
        <v>4.0</v>
      </c>
      <c r="E133" s="5" t="s">
        <v>236</v>
      </c>
    </row>
    <row r="134">
      <c r="A134" s="5" t="s">
        <v>36</v>
      </c>
      <c r="B134" s="5">
        <v>17.0</v>
      </c>
      <c r="D134" s="5">
        <v>4.0</v>
      </c>
      <c r="E134" s="5" t="s">
        <v>237</v>
      </c>
    </row>
    <row r="135">
      <c r="A135" s="5" t="s">
        <v>26</v>
      </c>
      <c r="B135" s="5">
        <v>17.0</v>
      </c>
      <c r="C135" s="5">
        <v>4.0</v>
      </c>
      <c r="E135" s="5" t="s">
        <v>238</v>
      </c>
    </row>
    <row r="136">
      <c r="A136" s="5" t="s">
        <v>26</v>
      </c>
      <c r="B136" s="5">
        <v>17.0</v>
      </c>
      <c r="D136" s="5">
        <v>4.0</v>
      </c>
      <c r="E136" s="5" t="s">
        <v>239</v>
      </c>
    </row>
    <row r="137">
      <c r="A137" s="5" t="s">
        <v>36</v>
      </c>
      <c r="B137" s="5">
        <v>18.0</v>
      </c>
      <c r="D137" s="5">
        <v>6.0</v>
      </c>
      <c r="E137" s="5" t="s">
        <v>240</v>
      </c>
    </row>
    <row r="138">
      <c r="A138" s="5" t="s">
        <v>36</v>
      </c>
      <c r="B138" s="5">
        <v>18.0</v>
      </c>
      <c r="C138" s="5">
        <v>5.0</v>
      </c>
      <c r="E138" s="5" t="s">
        <v>241</v>
      </c>
    </row>
    <row r="139">
      <c r="A139" s="5" t="s">
        <v>26</v>
      </c>
      <c r="B139" s="5">
        <v>18.0</v>
      </c>
      <c r="D139" s="5">
        <v>5.0</v>
      </c>
      <c r="E139" s="5" t="s">
        <v>242</v>
      </c>
    </row>
    <row r="140">
      <c r="A140" s="5" t="s">
        <v>26</v>
      </c>
      <c r="B140" s="5">
        <v>18.0</v>
      </c>
      <c r="C140" s="5">
        <v>5.0</v>
      </c>
      <c r="E140" s="5" t="s">
        <v>243</v>
      </c>
    </row>
  </sheetData>
  <autoFilter ref="$A$1:$E$10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5"/>
    <col customWidth="1" min="3" max="3" width="13.63"/>
    <col customWidth="1" min="4" max="4" width="16.63"/>
    <col customWidth="1" min="5" max="5" width="13.75"/>
    <col customWidth="1" min="6" max="6" width="15.88"/>
    <col customWidth="1" min="7" max="7" width="12.88"/>
    <col customWidth="1" min="8" max="8" width="11.63"/>
    <col customWidth="1" min="9" max="9" width="16.63"/>
    <col customWidth="1" min="10" max="10" width="13.63"/>
    <col customWidth="1" min="11" max="11" width="15.88"/>
    <col customWidth="1" min="12" max="12" width="16.25"/>
    <col customWidth="1" min="13" max="13" width="17.5"/>
    <col customWidth="1" min="14" max="14" width="20.75"/>
    <col customWidth="1" min="15" max="15" width="13.88"/>
    <col customWidth="1" min="16" max="16" width="16.13"/>
    <col customWidth="1" min="17" max="17" width="18.88"/>
    <col customWidth="1" min="18" max="18" width="12.88"/>
    <col customWidth="1" min="19" max="19" width="16.88"/>
    <col customWidth="1" min="20" max="20" width="13.88"/>
    <col customWidth="1" min="21" max="21" width="16.13"/>
    <col customWidth="1" min="22" max="22" width="13.13"/>
    <col customWidth="1" min="23" max="23" width="9.0"/>
    <col customWidth="1" min="24" max="25" width="8.25"/>
    <col customWidth="1" min="26" max="26" width="7.63"/>
    <col customWidth="1" min="27" max="28" width="11.25"/>
    <col customWidth="1" min="29" max="31" width="11.5"/>
  </cols>
  <sheetData>
    <row r="1">
      <c r="A1" s="2" t="s">
        <v>2</v>
      </c>
      <c r="B1" s="2" t="s">
        <v>0</v>
      </c>
      <c r="C1" s="2" t="s">
        <v>1</v>
      </c>
      <c r="D1" s="2" t="s">
        <v>3</v>
      </c>
      <c r="E1" s="2" t="s">
        <v>244</v>
      </c>
      <c r="F1" s="1" t="s">
        <v>4</v>
      </c>
      <c r="G1" s="1" t="s">
        <v>245</v>
      </c>
      <c r="H1" s="1" t="s">
        <v>246</v>
      </c>
      <c r="I1" s="1" t="s">
        <v>247</v>
      </c>
      <c r="J1" s="1" t="s">
        <v>1</v>
      </c>
      <c r="K1" s="1" t="s">
        <v>248</v>
      </c>
      <c r="L1" s="1" t="s">
        <v>249</v>
      </c>
      <c r="M1" s="1" t="s">
        <v>250</v>
      </c>
      <c r="N1" s="1" t="s">
        <v>251</v>
      </c>
      <c r="Q1" s="1" t="s">
        <v>252</v>
      </c>
      <c r="R1" s="1" t="s">
        <v>253</v>
      </c>
    </row>
    <row r="2">
      <c r="A2" s="5" t="str">
        <f>Roster!C2</f>
        <v>Flight_1</v>
      </c>
      <c r="B2" s="5" t="str">
        <f>Roster!A2</f>
        <v>Fercho</v>
      </c>
      <c r="C2" s="5" t="str">
        <f>Roster!B2</f>
        <v>Blue</v>
      </c>
      <c r="D2" s="5">
        <f>Roster!D2</f>
        <v>15</v>
      </c>
      <c r="E2" s="5">
        <f>ROUND(D2*Settings!$B$2,0)</f>
        <v>12</v>
      </c>
      <c r="F2" s="5" t="str">
        <f>Roster!E2</f>
        <v>Ventaja Blanca</v>
      </c>
      <c r="G2" s="5" t="s">
        <v>254</v>
      </c>
      <c r="H2" s="1">
        <v>2.0</v>
      </c>
      <c r="I2" s="5" t="s">
        <v>255</v>
      </c>
      <c r="J2" s="5" t="s">
        <v>12</v>
      </c>
      <c r="K2" s="5">
        <f>D4</f>
        <v>11</v>
      </c>
      <c r="L2" s="5">
        <f>D5</f>
        <v>14</v>
      </c>
      <c r="M2" s="5">
        <f t="shared" ref="M2:M17" si="2">(K2+L2)*0.3</f>
        <v>7.5</v>
      </c>
      <c r="N2" s="5" t="b">
        <f>G4 &lt;&gt; G5</f>
        <v>1</v>
      </c>
      <c r="Q2" s="5">
        <f t="shared" ref="Q2:R2" si="1">SUM(G216:G247)</f>
        <v>21</v>
      </c>
      <c r="R2" s="5">
        <f t="shared" si="1"/>
        <v>19</v>
      </c>
    </row>
    <row r="3">
      <c r="A3" s="5" t="str">
        <f>Roster!C3</f>
        <v>Flight_1</v>
      </c>
      <c r="B3" s="5" t="str">
        <f>Roster!A3</f>
        <v>Gaitan</v>
      </c>
      <c r="C3" s="5" t="str">
        <f>Roster!B3</f>
        <v>Blue</v>
      </c>
      <c r="D3" s="5">
        <f>Roster!D3</f>
        <v>20</v>
      </c>
      <c r="E3" s="5">
        <f>ROUND(D3*Settings!$B$2,0)</f>
        <v>16</v>
      </c>
      <c r="F3" s="5" t="str">
        <f>Roster!E3</f>
        <v>Ventaja Blanca</v>
      </c>
      <c r="G3" s="5" t="s">
        <v>254</v>
      </c>
      <c r="H3" s="1">
        <v>2.0</v>
      </c>
      <c r="I3" s="1" t="s">
        <v>256</v>
      </c>
      <c r="J3" s="5" t="s">
        <v>7</v>
      </c>
      <c r="K3" s="5">
        <f>D2</f>
        <v>15</v>
      </c>
      <c r="L3" s="5">
        <f>D3</f>
        <v>20</v>
      </c>
      <c r="M3" s="5">
        <f t="shared" si="2"/>
        <v>10.5</v>
      </c>
      <c r="N3" s="5" t="b">
        <f>G2 &lt;&gt; G3</f>
        <v>0</v>
      </c>
    </row>
    <row r="4">
      <c r="A4" s="5" t="str">
        <f>Roster!C4</f>
        <v>Flight_1</v>
      </c>
      <c r="B4" s="5" t="str">
        <f>Roster!A4</f>
        <v>Fito</v>
      </c>
      <c r="C4" s="5" t="str">
        <f>Roster!B4</f>
        <v>Red</v>
      </c>
      <c r="D4" s="5">
        <f>Roster!D4</f>
        <v>11</v>
      </c>
      <c r="E4" s="5">
        <f>ROUND(D4*Settings!$B$2,0)</f>
        <v>9</v>
      </c>
      <c r="F4" s="5" t="str">
        <f>Roster!E4</f>
        <v>Ventaja Blanca</v>
      </c>
      <c r="G4" s="5" t="s">
        <v>254</v>
      </c>
      <c r="H4" s="1">
        <v>4.0</v>
      </c>
      <c r="I4" s="5" t="s">
        <v>257</v>
      </c>
      <c r="J4" s="5" t="s">
        <v>12</v>
      </c>
      <c r="K4" s="5">
        <f>D8</f>
        <v>10</v>
      </c>
      <c r="L4" s="5">
        <f>D9</f>
        <v>8</v>
      </c>
      <c r="M4" s="5">
        <f t="shared" si="2"/>
        <v>5.4</v>
      </c>
      <c r="N4" s="5" t="b">
        <f>G8 &lt;&gt; G9</f>
        <v>0</v>
      </c>
    </row>
    <row r="5">
      <c r="A5" s="5" t="str">
        <f>Roster!C5</f>
        <v>Flight_1</v>
      </c>
      <c r="B5" s="5" t="str">
        <f>Roster!A5</f>
        <v>Adri Mejia</v>
      </c>
      <c r="C5" s="5" t="str">
        <f>Roster!B5</f>
        <v>Red</v>
      </c>
      <c r="D5" s="5">
        <f>Roster!D5</f>
        <v>14</v>
      </c>
      <c r="E5" s="5">
        <f>ROUND(D5*Settings!$B$2,0)</f>
        <v>11</v>
      </c>
      <c r="F5" s="5" t="str">
        <f>Roster!E5</f>
        <v>Ventaja Rojas</v>
      </c>
      <c r="G5" s="5" t="s">
        <v>258</v>
      </c>
      <c r="H5" s="1">
        <v>4.0</v>
      </c>
      <c r="I5" s="5" t="s">
        <v>259</v>
      </c>
      <c r="J5" s="5" t="s">
        <v>7</v>
      </c>
      <c r="K5" s="5">
        <f>D6</f>
        <v>22</v>
      </c>
      <c r="L5" s="5">
        <f>D7</f>
        <v>11</v>
      </c>
      <c r="M5" s="5">
        <f t="shared" si="2"/>
        <v>9.9</v>
      </c>
      <c r="N5" s="5" t="b">
        <f>G6 &lt;&gt; G7</f>
        <v>0</v>
      </c>
    </row>
    <row r="6">
      <c r="A6" s="5" t="str">
        <f>Roster!C9</f>
        <v>Flight_2</v>
      </c>
      <c r="B6" s="5" t="str">
        <f>Roster!A6</f>
        <v>Otto Fenwarth</v>
      </c>
      <c r="C6" s="5" t="str">
        <f>Roster!B6</f>
        <v>Blue</v>
      </c>
      <c r="D6" s="5">
        <f>Roster!D6</f>
        <v>22</v>
      </c>
      <c r="E6" s="5">
        <f>ROUND(D6*Settings!$B$2,0)</f>
        <v>18</v>
      </c>
      <c r="F6" s="5" t="str">
        <f>Roster!E6</f>
        <v>Ventaja Blanca</v>
      </c>
      <c r="G6" s="5" t="s">
        <v>254</v>
      </c>
      <c r="H6" s="1">
        <v>6.0</v>
      </c>
      <c r="I6" s="5" t="s">
        <v>260</v>
      </c>
      <c r="J6" s="5" t="s">
        <v>12</v>
      </c>
      <c r="K6" s="5">
        <f>D12</f>
        <v>12</v>
      </c>
      <c r="L6" s="5">
        <f>D13</f>
        <v>18</v>
      </c>
      <c r="M6" s="5">
        <f t="shared" si="2"/>
        <v>9</v>
      </c>
      <c r="N6" s="5" t="b">
        <f>G12 &lt;&gt; G13</f>
        <v>0</v>
      </c>
    </row>
    <row r="7">
      <c r="A7" s="5" t="str">
        <f>Roster!C7</f>
        <v>Flight_2</v>
      </c>
      <c r="B7" s="5" t="str">
        <f>Roster!A7</f>
        <v>Valenzuela</v>
      </c>
      <c r="C7" s="5" t="str">
        <f>Roster!B7</f>
        <v>Blue</v>
      </c>
      <c r="D7" s="5">
        <f>Roster!D7</f>
        <v>11</v>
      </c>
      <c r="E7" s="5">
        <f>ROUND(D7*Settings!$B$2,0)</f>
        <v>9</v>
      </c>
      <c r="F7" s="5" t="str">
        <f>Roster!E7</f>
        <v>Ventaja Blanca</v>
      </c>
      <c r="G7" s="5" t="s">
        <v>254</v>
      </c>
      <c r="H7" s="1">
        <v>6.0</v>
      </c>
      <c r="I7" s="5" t="s">
        <v>261</v>
      </c>
      <c r="J7" s="5" t="s">
        <v>7</v>
      </c>
      <c r="K7" s="5">
        <f>D10</f>
        <v>14</v>
      </c>
      <c r="L7" s="5">
        <f>D11</f>
        <v>19</v>
      </c>
      <c r="M7" s="5">
        <f t="shared" si="2"/>
        <v>9.9</v>
      </c>
      <c r="N7" s="5" t="b">
        <f>G10 &lt;&gt; G11</f>
        <v>0</v>
      </c>
    </row>
    <row r="8">
      <c r="A8" s="5" t="str">
        <f>Roster!C8</f>
        <v>Flight_2</v>
      </c>
      <c r="B8" s="5" t="str">
        <f>Roster!A8</f>
        <v>Cadavid</v>
      </c>
      <c r="C8" s="5" t="str">
        <f>Roster!B8</f>
        <v>Red</v>
      </c>
      <c r="D8" s="5">
        <f>Roster!D8</f>
        <v>10</v>
      </c>
      <c r="E8" s="5">
        <f>ROUND(D8*Settings!$B$2,0)</f>
        <v>8</v>
      </c>
      <c r="F8" s="5" t="str">
        <f>Roster!E8</f>
        <v>Ventaja Blanca</v>
      </c>
      <c r="G8" s="5" t="s">
        <v>254</v>
      </c>
      <c r="H8" s="1">
        <v>8.0</v>
      </c>
      <c r="I8" s="5" t="s">
        <v>262</v>
      </c>
      <c r="J8" s="5" t="s">
        <v>12</v>
      </c>
      <c r="K8" s="5">
        <f>D16</f>
        <v>19</v>
      </c>
      <c r="L8" s="5">
        <f>D17</f>
        <v>10</v>
      </c>
      <c r="M8" s="5">
        <f t="shared" si="2"/>
        <v>8.7</v>
      </c>
      <c r="N8" s="5" t="b">
        <f>G16 &lt;&gt; G17</f>
        <v>0</v>
      </c>
    </row>
    <row r="9">
      <c r="A9" s="5" t="str">
        <f>Roster!C6</f>
        <v>Flight_2</v>
      </c>
      <c r="B9" s="5" t="str">
        <f>Roster!A9</f>
        <v>Saenz</v>
      </c>
      <c r="C9" s="5" t="str">
        <f>Roster!B9</f>
        <v>Red</v>
      </c>
      <c r="D9" s="5">
        <f>Roster!D9</f>
        <v>8</v>
      </c>
      <c r="E9" s="5">
        <f>ROUND(D9*Settings!$B$2,0)</f>
        <v>6</v>
      </c>
      <c r="F9" s="5" t="str">
        <f>Roster!E9</f>
        <v>Ventaja Blanca</v>
      </c>
      <c r="G9" s="5" t="s">
        <v>254</v>
      </c>
      <c r="H9" s="1">
        <v>8.0</v>
      </c>
      <c r="I9" s="5" t="s">
        <v>263</v>
      </c>
      <c r="J9" s="5" t="s">
        <v>7</v>
      </c>
      <c r="K9" s="5">
        <f>D14</f>
        <v>11</v>
      </c>
      <c r="L9" s="5">
        <f>D15</f>
        <v>27</v>
      </c>
      <c r="M9" s="5">
        <f t="shared" si="2"/>
        <v>11.4</v>
      </c>
      <c r="N9" s="5" t="b">
        <f>G14 &lt;&gt; G15</f>
        <v>1</v>
      </c>
    </row>
    <row r="10">
      <c r="A10" s="5" t="str">
        <f>Roster!C10</f>
        <v>Flight_3</v>
      </c>
      <c r="B10" s="5" t="str">
        <f>Roster!A10</f>
        <v>Vargas</v>
      </c>
      <c r="C10" s="5" t="str">
        <f>Roster!B10</f>
        <v>Blue</v>
      </c>
      <c r="D10" s="5">
        <f>Roster!D10</f>
        <v>14</v>
      </c>
      <c r="E10" s="5">
        <f>ROUND(D10*Settings!$B$2,0)</f>
        <v>11</v>
      </c>
      <c r="F10" s="5" t="str">
        <f>Roster!E10</f>
        <v>Ventaja Blanca</v>
      </c>
      <c r="G10" s="5" t="s">
        <v>254</v>
      </c>
      <c r="H10" s="1">
        <v>10.0</v>
      </c>
      <c r="I10" s="5" t="s">
        <v>264</v>
      </c>
      <c r="J10" s="5" t="s">
        <v>12</v>
      </c>
      <c r="K10" s="5">
        <f>D20</f>
        <v>5</v>
      </c>
      <c r="L10" s="5">
        <f>D21</f>
        <v>17</v>
      </c>
      <c r="M10" s="5">
        <f t="shared" si="2"/>
        <v>6.6</v>
      </c>
      <c r="N10" s="5" t="b">
        <f>G20 &lt;&gt; G21</f>
        <v>1</v>
      </c>
    </row>
    <row r="11">
      <c r="A11" s="5" t="str">
        <f>Roster!C11</f>
        <v>Flight_3</v>
      </c>
      <c r="B11" s="5" t="str">
        <f>Roster!A11</f>
        <v>Mon</v>
      </c>
      <c r="C11" s="5" t="str">
        <f>Roster!B11</f>
        <v>Blue</v>
      </c>
      <c r="D11" s="5">
        <f>Roster!D11</f>
        <v>19</v>
      </c>
      <c r="E11" s="5">
        <f>ROUND(D11*Settings!$B$2,0)</f>
        <v>15</v>
      </c>
      <c r="F11" s="5" t="str">
        <f>Roster!E11</f>
        <v>Ventaja Blanca</v>
      </c>
      <c r="G11" s="5" t="s">
        <v>254</v>
      </c>
      <c r="H11" s="1">
        <v>10.0</v>
      </c>
      <c r="I11" s="5" t="s">
        <v>265</v>
      </c>
      <c r="J11" s="5" t="s">
        <v>7</v>
      </c>
      <c r="K11" s="5">
        <f>D18</f>
        <v>16</v>
      </c>
      <c r="L11" s="5">
        <f>D19</f>
        <v>27</v>
      </c>
      <c r="M11" s="5">
        <f t="shared" si="2"/>
        <v>12.9</v>
      </c>
      <c r="N11" s="5" t="b">
        <f>G18 &lt;&gt; G19</f>
        <v>0</v>
      </c>
    </row>
    <row r="12">
      <c r="A12" s="5" t="str">
        <f>Roster!C12</f>
        <v>Flight_3</v>
      </c>
      <c r="B12" s="5" t="str">
        <f>Roster!A12</f>
        <v>Berris</v>
      </c>
      <c r="C12" s="5" t="str">
        <f>Roster!B12</f>
        <v>Red</v>
      </c>
      <c r="D12" s="5">
        <f>Roster!D12</f>
        <v>12</v>
      </c>
      <c r="E12" s="5">
        <f>ROUND(D12*Settings!$B$2,0)</f>
        <v>10</v>
      </c>
      <c r="F12" s="5" t="str">
        <f>Roster!E12</f>
        <v>Ventaja Blanca</v>
      </c>
      <c r="G12" s="5" t="s">
        <v>254</v>
      </c>
      <c r="H12" s="1">
        <v>12.0</v>
      </c>
      <c r="I12" s="5" t="s">
        <v>266</v>
      </c>
      <c r="J12" s="5" t="s">
        <v>12</v>
      </c>
      <c r="K12" s="5">
        <f>D24</f>
        <v>19</v>
      </c>
      <c r="L12" s="5">
        <f>D25</f>
        <v>1</v>
      </c>
      <c r="M12" s="5">
        <f t="shared" si="2"/>
        <v>6</v>
      </c>
      <c r="N12" s="5" t="b">
        <f>G24 &lt;&gt; G25</f>
        <v>0</v>
      </c>
    </row>
    <row r="13">
      <c r="A13" s="5" t="str">
        <f>Roster!C13</f>
        <v>Flight_3</v>
      </c>
      <c r="B13" s="5" t="str">
        <f>Roster!A13</f>
        <v>Pablo Rueda</v>
      </c>
      <c r="C13" s="5" t="str">
        <f>Roster!B13</f>
        <v>Red</v>
      </c>
      <c r="D13" s="5">
        <f>Roster!D13</f>
        <v>18</v>
      </c>
      <c r="E13" s="5">
        <f>ROUND(D13*Settings!$B$2,0)</f>
        <v>14</v>
      </c>
      <c r="F13" s="5" t="str">
        <f>Roster!E13</f>
        <v>Ventaja Blanca</v>
      </c>
      <c r="G13" s="5" t="s">
        <v>254</v>
      </c>
      <c r="H13" s="1">
        <v>12.0</v>
      </c>
      <c r="I13" s="5" t="s">
        <v>267</v>
      </c>
      <c r="J13" s="5" t="s">
        <v>7</v>
      </c>
      <c r="K13" s="5">
        <f>D22</f>
        <v>11</v>
      </c>
      <c r="L13" s="5">
        <f>D23</f>
        <v>6</v>
      </c>
      <c r="M13" s="5">
        <f t="shared" si="2"/>
        <v>5.1</v>
      </c>
      <c r="N13" s="5" t="b">
        <f>G22 &lt;&gt; G23</f>
        <v>1</v>
      </c>
    </row>
    <row r="14">
      <c r="A14" s="5" t="str">
        <f>Roster!C15</f>
        <v>Flight_4</v>
      </c>
      <c r="B14" s="5" t="str">
        <f>Roster!A14</f>
        <v>Luca</v>
      </c>
      <c r="C14" s="5" t="str">
        <f>Roster!B14</f>
        <v>Blue</v>
      </c>
      <c r="D14" s="5">
        <f>Roster!D14</f>
        <v>11</v>
      </c>
      <c r="E14" s="5">
        <f>ROUND(D14*Settings!$B$2,0)</f>
        <v>9</v>
      </c>
      <c r="F14" s="5" t="str">
        <f>Roster!E14</f>
        <v>Ventaja Blanca</v>
      </c>
      <c r="G14" s="5" t="s">
        <v>254</v>
      </c>
      <c r="H14" s="1">
        <v>14.0</v>
      </c>
      <c r="I14" s="5" t="s">
        <v>268</v>
      </c>
      <c r="J14" s="5" t="s">
        <v>12</v>
      </c>
      <c r="K14" s="5">
        <f>D28</f>
        <v>16</v>
      </c>
      <c r="L14" s="5">
        <f>D29</f>
        <v>16</v>
      </c>
      <c r="M14" s="5">
        <f t="shared" si="2"/>
        <v>9.6</v>
      </c>
      <c r="N14" s="5" t="b">
        <f>G28 &lt;&gt; G29</f>
        <v>0</v>
      </c>
    </row>
    <row r="15">
      <c r="A15" s="5" t="str">
        <f>Roster!C14</f>
        <v>Flight_4</v>
      </c>
      <c r="B15" s="5" t="str">
        <f>Roster!A15</f>
        <v>Rocha</v>
      </c>
      <c r="C15" s="5" t="str">
        <f>Roster!B15</f>
        <v>Blue</v>
      </c>
      <c r="D15" s="5">
        <f>Roster!D15</f>
        <v>27</v>
      </c>
      <c r="E15" s="5">
        <f>ROUND(D15*Settings!$B$2,0)</f>
        <v>22</v>
      </c>
      <c r="F15" s="5" t="str">
        <f>Roster!E15</f>
        <v>Ventaja Rojas</v>
      </c>
      <c r="G15" s="5" t="s">
        <v>258</v>
      </c>
      <c r="H15" s="1">
        <v>14.0</v>
      </c>
      <c r="I15" s="5" t="s">
        <v>269</v>
      </c>
      <c r="J15" s="5" t="s">
        <v>7</v>
      </c>
      <c r="K15" s="5">
        <f>D26</f>
        <v>6</v>
      </c>
      <c r="L15" s="5">
        <f>D27</f>
        <v>9</v>
      </c>
      <c r="M15" s="5">
        <f t="shared" si="2"/>
        <v>4.5</v>
      </c>
      <c r="N15" s="5" t="b">
        <f>G26 &lt;&gt; G27</f>
        <v>0</v>
      </c>
    </row>
    <row r="16">
      <c r="A16" s="5" t="str">
        <f>Roster!C17</f>
        <v>Flight_4</v>
      </c>
      <c r="B16" s="5" t="str">
        <f>Roster!A16</f>
        <v>Matiz</v>
      </c>
      <c r="C16" s="5" t="str">
        <f>Roster!B16</f>
        <v>Red</v>
      </c>
      <c r="D16" s="5">
        <f>Roster!D16</f>
        <v>19</v>
      </c>
      <c r="E16" s="5">
        <f>ROUND(D16*Settings!$B$2,0)</f>
        <v>15</v>
      </c>
      <c r="F16" s="5" t="str">
        <f>Roster!E16</f>
        <v>Ventaja Blanca</v>
      </c>
      <c r="G16" s="5" t="s">
        <v>254</v>
      </c>
      <c r="H16" s="1">
        <v>16.0</v>
      </c>
      <c r="I16" s="5" t="s">
        <v>270</v>
      </c>
      <c r="J16" s="5" t="s">
        <v>12</v>
      </c>
      <c r="K16" s="5">
        <f>D32</f>
        <v>11</v>
      </c>
      <c r="L16" s="5">
        <f>D33</f>
        <v>13</v>
      </c>
      <c r="M16" s="5">
        <f t="shared" si="2"/>
        <v>7.2</v>
      </c>
      <c r="N16" s="5" t="b">
        <f>G32 &lt;&gt; G33</f>
        <v>1</v>
      </c>
    </row>
    <row r="17">
      <c r="A17" s="5" t="str">
        <f>Roster!C16</f>
        <v>Flight_4</v>
      </c>
      <c r="B17" s="5" t="str">
        <f>Roster!A17</f>
        <v>Esguerra</v>
      </c>
      <c r="C17" s="5" t="str">
        <f>Roster!B17</f>
        <v>Red</v>
      </c>
      <c r="D17" s="5">
        <f>Roster!D17</f>
        <v>10</v>
      </c>
      <c r="E17" s="5">
        <f>ROUND(D17*Settings!$B$2,0)</f>
        <v>8</v>
      </c>
      <c r="F17" s="5" t="str">
        <f>Roster!E17</f>
        <v>Ventaja Blanca</v>
      </c>
      <c r="G17" s="5" t="s">
        <v>254</v>
      </c>
      <c r="H17" s="1">
        <v>16.0</v>
      </c>
      <c r="I17" s="5" t="s">
        <v>271</v>
      </c>
      <c r="J17" s="5" t="s">
        <v>7</v>
      </c>
      <c r="K17" s="5">
        <f>D30</f>
        <v>11</v>
      </c>
      <c r="L17" s="5">
        <f>D31</f>
        <v>18</v>
      </c>
      <c r="M17" s="5">
        <f t="shared" si="2"/>
        <v>8.7</v>
      </c>
      <c r="N17" s="5" t="b">
        <f>G30 &lt;&gt; G31</f>
        <v>1</v>
      </c>
    </row>
    <row r="18">
      <c r="A18" s="5" t="str">
        <f>Roster!C20</f>
        <v>Flight_5</v>
      </c>
      <c r="B18" s="5" t="str">
        <f>Roster!A18</f>
        <v>Sardi</v>
      </c>
      <c r="C18" s="5" t="str">
        <f>Roster!B18</f>
        <v>Blue</v>
      </c>
      <c r="D18" s="5">
        <f>Roster!D18</f>
        <v>16</v>
      </c>
      <c r="E18" s="5">
        <f>ROUND(D18*Settings!$B$2,0)</f>
        <v>13</v>
      </c>
      <c r="F18" s="5" t="str">
        <f>Roster!E18</f>
        <v>Ventaja Blanca</v>
      </c>
      <c r="G18" s="5" t="s">
        <v>254</v>
      </c>
      <c r="H18" s="1">
        <v>3.0</v>
      </c>
    </row>
    <row r="19">
      <c r="A19" s="5" t="str">
        <f>Roster!C18</f>
        <v>Flight_5</v>
      </c>
      <c r="B19" s="5" t="str">
        <f>Roster!A19</f>
        <v>JC Casas</v>
      </c>
      <c r="C19" s="5" t="str">
        <f>Roster!B19</f>
        <v>Blue</v>
      </c>
      <c r="D19" s="5">
        <f>Roster!D19</f>
        <v>27</v>
      </c>
      <c r="E19" s="5">
        <f>ROUND(D19*Settings!$B$2,0)</f>
        <v>22</v>
      </c>
      <c r="F19" s="5" t="str">
        <f>Roster!E19</f>
        <v>Ventaja Blanca</v>
      </c>
      <c r="G19" s="5" t="s">
        <v>254</v>
      </c>
      <c r="H19" s="1">
        <v>3.0</v>
      </c>
    </row>
    <row r="20">
      <c r="A20" s="5" t="str">
        <f>Roster!C21</f>
        <v>Flight_5</v>
      </c>
      <c r="B20" s="5" t="str">
        <f>Roster!A20</f>
        <v>Pulido</v>
      </c>
      <c r="C20" s="5" t="str">
        <f>Roster!B20</f>
        <v>Red</v>
      </c>
      <c r="D20" s="5">
        <f>Roster!D20</f>
        <v>5</v>
      </c>
      <c r="E20" s="5">
        <f>ROUND(D20*Settings!$B$2,0)</f>
        <v>4</v>
      </c>
      <c r="F20" s="5" t="str">
        <f>Roster!E20</f>
        <v>Ventaja Blanca</v>
      </c>
      <c r="G20" s="5" t="s">
        <v>254</v>
      </c>
      <c r="H20" s="1">
        <v>5.0</v>
      </c>
    </row>
    <row r="21">
      <c r="A21" s="5" t="str">
        <f>Roster!C19</f>
        <v>Flight_5</v>
      </c>
      <c r="B21" s="5" t="str">
        <f>Roster!A21</f>
        <v>Otoya</v>
      </c>
      <c r="C21" s="5" t="str">
        <f>Roster!B21</f>
        <v>Red</v>
      </c>
      <c r="D21" s="5">
        <f>Roster!D21</f>
        <v>17</v>
      </c>
      <c r="E21" s="5">
        <f>ROUND(D21*Settings!$B$2,0)</f>
        <v>14</v>
      </c>
      <c r="F21" s="5" t="str">
        <f>Roster!E21</f>
        <v>Ventaja Rojas</v>
      </c>
      <c r="G21" s="5" t="s">
        <v>258</v>
      </c>
      <c r="H21" s="1">
        <v>5.0</v>
      </c>
    </row>
    <row r="22">
      <c r="A22" s="5" t="str">
        <f>Roster!C22</f>
        <v>Flight_6</v>
      </c>
      <c r="B22" s="5" t="str">
        <f>Roster!A22</f>
        <v>Ana Maria</v>
      </c>
      <c r="C22" s="5" t="str">
        <f>Roster!B22</f>
        <v>Blue</v>
      </c>
      <c r="D22" s="5">
        <f>Roster!D22</f>
        <v>11</v>
      </c>
      <c r="E22" s="5">
        <f>ROUND(D22*Settings!$B$2,0)</f>
        <v>9</v>
      </c>
      <c r="F22" s="5" t="str">
        <f>Roster!E22</f>
        <v>Ventaja Rojas</v>
      </c>
      <c r="G22" s="5" t="s">
        <v>258</v>
      </c>
      <c r="H22" s="1">
        <v>7.0</v>
      </c>
    </row>
    <row r="23">
      <c r="A23" s="5" t="str">
        <f>Roster!C23</f>
        <v>Flight_6</v>
      </c>
      <c r="B23" s="5" t="str">
        <f>Roster!A23</f>
        <v>Schneider</v>
      </c>
      <c r="C23" s="5" t="str">
        <f>Roster!B23</f>
        <v>Blue</v>
      </c>
      <c r="D23" s="5">
        <f>Roster!D23</f>
        <v>6</v>
      </c>
      <c r="E23" s="5">
        <f>ROUND(D23*Settings!$B$2,0)</f>
        <v>5</v>
      </c>
      <c r="F23" s="5" t="str">
        <f>Roster!E23</f>
        <v>Ventaja Blanca</v>
      </c>
      <c r="G23" s="5" t="s">
        <v>254</v>
      </c>
      <c r="H23" s="1">
        <v>7.0</v>
      </c>
    </row>
    <row r="24">
      <c r="A24" s="5" t="str">
        <f>Roster!C25</f>
        <v>Flight_6</v>
      </c>
      <c r="B24" s="5" t="str">
        <f>Roster!A24</f>
        <v>Pablo Acosta</v>
      </c>
      <c r="C24" s="5" t="str">
        <f>Roster!B24</f>
        <v>Red</v>
      </c>
      <c r="D24" s="5">
        <f>Roster!D24</f>
        <v>19</v>
      </c>
      <c r="E24" s="5">
        <f>ROUND(D24*Settings!$B$2,0)</f>
        <v>15</v>
      </c>
      <c r="F24" s="5" t="str">
        <f>Roster!E24</f>
        <v>Ventaja Blanca</v>
      </c>
      <c r="G24" s="5" t="s">
        <v>254</v>
      </c>
      <c r="H24" s="1">
        <v>9.0</v>
      </c>
    </row>
    <row r="25">
      <c r="A25" s="5" t="str">
        <f>Roster!C24</f>
        <v>Flight_6</v>
      </c>
      <c r="B25" s="5" t="str">
        <f>Roster!A25</f>
        <v>Garcia</v>
      </c>
      <c r="C25" s="5" t="str">
        <f>Roster!B25</f>
        <v>Red</v>
      </c>
      <c r="D25" s="5">
        <f>Roster!D25</f>
        <v>1</v>
      </c>
      <c r="E25" s="5">
        <f>ROUND(D25*Settings!$B$2,0)</f>
        <v>1</v>
      </c>
      <c r="F25" s="5" t="str">
        <f>Roster!E25</f>
        <v>Ventaja Blanca</v>
      </c>
      <c r="G25" s="5" t="s">
        <v>254</v>
      </c>
      <c r="H25" s="1">
        <v>9.0</v>
      </c>
    </row>
    <row r="26">
      <c r="A26" s="5" t="str">
        <f>Roster!C26</f>
        <v>Flight_7</v>
      </c>
      <c r="B26" s="5" t="str">
        <f>Roster!A26</f>
        <v>Pocho</v>
      </c>
      <c r="C26" s="5" t="str">
        <f>Roster!B26</f>
        <v>Blue</v>
      </c>
      <c r="D26" s="5">
        <f>Roster!D26</f>
        <v>6</v>
      </c>
      <c r="E26" s="5">
        <f>ROUND(D26*Settings!$B$2,0)</f>
        <v>5</v>
      </c>
      <c r="F26" s="5" t="str">
        <f>Roster!E26</f>
        <v>Ventaja Blanca</v>
      </c>
      <c r="G26" s="5" t="s">
        <v>254</v>
      </c>
      <c r="H26" s="1">
        <v>11.0</v>
      </c>
    </row>
    <row r="27">
      <c r="A27" s="5" t="str">
        <f>Roster!C28</f>
        <v>Flight_7</v>
      </c>
      <c r="B27" s="5" t="str">
        <f>Roster!A27</f>
        <v>Phil</v>
      </c>
      <c r="C27" s="5" t="str">
        <f>Roster!B27</f>
        <v>Blue</v>
      </c>
      <c r="D27" s="5">
        <f>Roster!D27</f>
        <v>9</v>
      </c>
      <c r="E27" s="5">
        <f>ROUND(D27*Settings!$B$2,0)</f>
        <v>7</v>
      </c>
      <c r="F27" s="5" t="str">
        <f>Roster!E27</f>
        <v>Ventaja Blanca</v>
      </c>
      <c r="G27" s="5" t="s">
        <v>254</v>
      </c>
      <c r="H27" s="1">
        <v>11.0</v>
      </c>
    </row>
    <row r="28">
      <c r="A28" s="5" t="str">
        <f>Roster!C27</f>
        <v>Flight_7</v>
      </c>
      <c r="B28" s="5" t="str">
        <f>Roster!A28</f>
        <v>Velez</v>
      </c>
      <c r="C28" s="5" t="str">
        <f>Roster!B28</f>
        <v>Red</v>
      </c>
      <c r="D28" s="5">
        <f>Roster!D28</f>
        <v>16</v>
      </c>
      <c r="E28" s="5">
        <f>ROUND(D28*Settings!$B$2,0)</f>
        <v>13</v>
      </c>
      <c r="F28" s="5" t="str">
        <f>Roster!E28</f>
        <v>Ventaja Blanca</v>
      </c>
      <c r="G28" s="5" t="s">
        <v>254</v>
      </c>
      <c r="H28" s="1">
        <v>13.0</v>
      </c>
    </row>
    <row r="29">
      <c r="A29" s="5" t="str">
        <f>Roster!C29</f>
        <v>Flight_7</v>
      </c>
      <c r="B29" s="5" t="str">
        <f>Roster!A29</f>
        <v>JP Mosquera</v>
      </c>
      <c r="C29" s="5" t="str">
        <f>Roster!B29</f>
        <v>Red</v>
      </c>
      <c r="D29" s="5">
        <f>Roster!D29</f>
        <v>16</v>
      </c>
      <c r="E29" s="5">
        <f>ROUND(D29*Settings!$B$2,0)</f>
        <v>13</v>
      </c>
      <c r="F29" s="5" t="str">
        <f>Roster!E29</f>
        <v>Ventaja Blanca</v>
      </c>
      <c r="G29" s="5" t="s">
        <v>254</v>
      </c>
      <c r="H29" s="1">
        <v>13.0</v>
      </c>
    </row>
    <row r="30">
      <c r="A30" s="5" t="str">
        <f>Roster!C33</f>
        <v>Flight_8</v>
      </c>
      <c r="B30" s="5" t="str">
        <f>Roster!A30</f>
        <v>Veronica Perez</v>
      </c>
      <c r="C30" s="5" t="str">
        <f>Roster!B30</f>
        <v>Blue</v>
      </c>
      <c r="D30" s="5">
        <f>Roster!D30</f>
        <v>11</v>
      </c>
      <c r="E30" s="5">
        <f>ROUND(D30*Settings!$B$2,0)</f>
        <v>9</v>
      </c>
      <c r="F30" s="5" t="str">
        <f>Roster!E30</f>
        <v>Ventaja Rojas</v>
      </c>
      <c r="G30" s="5" t="s">
        <v>258</v>
      </c>
      <c r="H30" s="1">
        <v>15.0</v>
      </c>
    </row>
    <row r="31">
      <c r="A31" s="5" t="str">
        <f>Roster!C31</f>
        <v>Flight_8</v>
      </c>
      <c r="B31" s="5" t="str">
        <f>Roster!A31</f>
        <v>Bernie</v>
      </c>
      <c r="C31" s="5" t="str">
        <f>Roster!B31</f>
        <v>Blue</v>
      </c>
      <c r="D31" s="5">
        <f>Roster!D31</f>
        <v>18</v>
      </c>
      <c r="E31" s="5">
        <f>ROUND(D31*Settings!$B$2,0)</f>
        <v>14</v>
      </c>
      <c r="F31" s="5" t="str">
        <f>Roster!E31</f>
        <v>Ventaja Blanca</v>
      </c>
      <c r="G31" s="5" t="s">
        <v>254</v>
      </c>
      <c r="H31" s="1">
        <v>15.0</v>
      </c>
    </row>
    <row r="32">
      <c r="A32" s="5" t="str">
        <f>Roster!C32</f>
        <v>Flight_8</v>
      </c>
      <c r="B32" s="5" t="str">
        <f>Roster!A32</f>
        <v>Pilarica</v>
      </c>
      <c r="C32" s="5" t="str">
        <f>Roster!B32</f>
        <v>Red</v>
      </c>
      <c r="D32" s="5">
        <f>Roster!D32</f>
        <v>11</v>
      </c>
      <c r="E32" s="5">
        <f>ROUND(D32*Settings!$B$2,0)</f>
        <v>9</v>
      </c>
      <c r="F32" s="5" t="str">
        <f>Roster!E32</f>
        <v>Ventaja Rojas</v>
      </c>
      <c r="G32" s="5" t="s">
        <v>258</v>
      </c>
      <c r="H32" s="1">
        <v>17.0</v>
      </c>
    </row>
    <row r="33">
      <c r="A33" s="5" t="str">
        <f>Roster!C30</f>
        <v>Flight_8</v>
      </c>
      <c r="B33" s="5" t="str">
        <f>Roster!A33</f>
        <v>Camacho</v>
      </c>
      <c r="C33" s="5" t="str">
        <f>Roster!B33</f>
        <v>Red</v>
      </c>
      <c r="D33" s="5">
        <f>Roster!D33</f>
        <v>13</v>
      </c>
      <c r="E33" s="5">
        <f>ROUND(D33*Settings!$B$2,0)</f>
        <v>10</v>
      </c>
      <c r="F33" s="5" t="str">
        <f>Roster!E33</f>
        <v>Ventaja Blanca</v>
      </c>
      <c r="G33" s="5" t="s">
        <v>254</v>
      </c>
      <c r="H33" s="1">
        <v>17.0</v>
      </c>
    </row>
    <row r="35">
      <c r="A35" s="2" t="s">
        <v>272</v>
      </c>
      <c r="B35" s="2" t="s">
        <v>50</v>
      </c>
      <c r="C35" s="2" t="s">
        <v>273</v>
      </c>
      <c r="D35" s="1" t="s">
        <v>274</v>
      </c>
      <c r="E35" s="1" t="s">
        <v>275</v>
      </c>
      <c r="F35" s="1" t="s">
        <v>276</v>
      </c>
      <c r="G35" s="1" t="s">
        <v>277</v>
      </c>
      <c r="H35" s="2" t="s">
        <v>278</v>
      </c>
      <c r="I35" s="1" t="s">
        <v>279</v>
      </c>
      <c r="J35" s="1" t="s">
        <v>280</v>
      </c>
      <c r="K35" s="1" t="s">
        <v>281</v>
      </c>
      <c r="L35" s="1" t="s">
        <v>282</v>
      </c>
      <c r="M35" s="2" t="s">
        <v>283</v>
      </c>
      <c r="N35" s="1" t="s">
        <v>284</v>
      </c>
      <c r="O35" s="1" t="s">
        <v>285</v>
      </c>
      <c r="P35" s="1" t="s">
        <v>286</v>
      </c>
      <c r="Q35" s="1" t="s">
        <v>287</v>
      </c>
      <c r="R35" s="2" t="s">
        <v>288</v>
      </c>
      <c r="S35" s="1" t="s">
        <v>289</v>
      </c>
      <c r="T35" s="1" t="s">
        <v>290</v>
      </c>
      <c r="U35" s="1" t="s">
        <v>291</v>
      </c>
      <c r="V35" s="1" t="s">
        <v>292</v>
      </c>
      <c r="W35" s="2" t="s">
        <v>293</v>
      </c>
      <c r="X35" s="2" t="s">
        <v>294</v>
      </c>
      <c r="Y35" s="2" t="s">
        <v>295</v>
      </c>
      <c r="Z35" s="2" t="s">
        <v>2</v>
      </c>
      <c r="AA35" s="1" t="s">
        <v>296</v>
      </c>
      <c r="AB35" s="1" t="s">
        <v>297</v>
      </c>
      <c r="AC35" s="1" t="s">
        <v>298</v>
      </c>
      <c r="AD35" s="1" t="s">
        <v>299</v>
      </c>
    </row>
    <row r="36">
      <c r="A36" s="1" t="s">
        <v>8</v>
      </c>
      <c r="B36" s="1">
        <v>1.0</v>
      </c>
      <c r="C36" s="5">
        <f t="array" ref="C36">SUMIFS(Front9_Scores!$D:$D, Front9_Scores!$A:$A, $A36, Front9_Scores!$B:$B, INDEX($B:$B,$AA36), Front9_Scores!$C:$C, $B36)</f>
        <v>6</v>
      </c>
      <c r="D36" s="5">
        <f t="array" ref="D36">LET(player_hcp,INDEX($E:$E,$AA36),player_tee,INDEX($F:$F,$AA36),current_hole,$B36,hole_hcp_index,XLOOKUP(current_hole,Course!$A:$A,XLOOKUP(player_tee,Course!$D$1:$F$1,Course!$D:$F)),IF(player_hcp&gt;=hole_hcp_index,1,0)+IF(player_hcp&gt;=(18+hole_hcp_index),1,0))</f>
        <v>1</v>
      </c>
      <c r="E36" s="5">
        <f t="shared" ref="E36:E44" si="3">IF($C36=0,"",$C36-D36)</f>
        <v>5</v>
      </c>
      <c r="F36" s="5">
        <f t="array" ref="F36">LET(
    player_row, $AA36,
    player_hcp, INDEX($E:$E, player_row),
    player_flight, INDEX($A:$A, player_row),
    player_team, INDEX($C:$C, player_row),
    current_hole, $B36,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36" s="5">
        <f t="shared" ref="G36:G44" si="4">IF($C36=0,"",$C36-F36)</f>
        <v>5</v>
      </c>
      <c r="H36" s="5">
        <f t="array" ref="H36">SUMIFS(Front9_Scores!$D:$D, Front9_Scores!$A:$A, $A36, Front9_Scores!$B:$B, INDEX($B:$B,$AB36), Front9_Scores!$C:$C, $B36)</f>
        <v>7</v>
      </c>
      <c r="I36" s="5">
        <f t="array" ref="I36">LET(player_hcp,INDEX($E:$E,$AB36),player_tee,INDEX($F:$F,$AB36),current_hole,$B36,hole_hcp_index,XLOOKUP(current_hole,Course!$A:$A,XLOOKUP(player_tee,Course!$D$1:$F$1,Course!$D:$F)),IF(player_hcp&gt;=hole_hcp_index,1,0)+IF(player_hcp&gt;=(18+hole_hcp_index),1,0))</f>
        <v>1</v>
      </c>
      <c r="J36" s="5">
        <f t="shared" ref="J36:J44" si="5">IF($H36=0,"",$H36-I36)</f>
        <v>6</v>
      </c>
      <c r="K36" s="5">
        <f t="array" ref="K36">LET(
    player_row, $AB36,
    player_hcp, INDEX($E:$E, player_row),
    player_flight, INDEX($A:$A, player_row),
    player_team, INDEX($C:$C, player_row),
    current_hole, $B36,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36" s="5">
        <f t="shared" ref="L36:L44" si="6">IF($H36=0,"",$H36-K36)</f>
        <v>6</v>
      </c>
      <c r="M36" s="5">
        <f t="array" ref="M36">SUMIFS(Front9_Scores!$D:$D, Front9_Scores!$A:$A, $A36, Front9_Scores!$B:$B, INDEX($B:$B,$AC36), Front9_Scores!$C:$C, $B36)</f>
        <v>5</v>
      </c>
      <c r="N36" s="5">
        <f t="array" ref="N36">LET(player_hcp,INDEX($E:$E,$AC36),player_tee,INDEX($F:$F,$AC36),current_hole,$B36,hole_hcp_index,XLOOKUP(current_hole,Course!$A:$A,XLOOKUP(player_tee,Course!$D$1:$F$1,Course!$D:$F)),IF(player_hcp&gt;=hole_hcp_index,1,0)+IF(player_hcp&gt;=(18+hole_hcp_index),1,0))</f>
        <v>1</v>
      </c>
      <c r="O36" s="5">
        <f t="shared" ref="O36:O44" si="7">IF(M36=0,"",M36-N36)</f>
        <v>4</v>
      </c>
      <c r="P36" s="5">
        <f t="array" ref="P36">LET(
    player_row, $AC36,
    player_hcp, INDEX($E:$E, player_row),
    player_flight, INDEX($A:$A, player_row),
    player_team, INDEX($C:$C, player_row),
    current_hole, $B36,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36" s="5">
        <f t="shared" ref="Q36:Q44" si="8">IF($M36=0,"",$M36-P36)</f>
        <v>4</v>
      </c>
      <c r="R36" s="5">
        <f t="array" ref="R36">SUMIFS(Front9_Scores!$D:$D, Front9_Scores!$A:$A, $A36, Front9_Scores!$B:$B, INDEX($B:$B,$AD36), Front9_Scores!$C:$C, $B36)</f>
        <v>5</v>
      </c>
      <c r="S36" s="5">
        <f t="array" ref="S36">LET(player_hcp,INDEX($E:$E,$AD36),player_tee,INDEX($F:$F,$AD36),current_hole,$B36,hole_hcp_index,XLOOKUP(current_hole,Course!$A:$A,XLOOKUP(player_tee,Course!$D$1:$F$1,Course!$D:$F)),IF(player_hcp&gt;=hole_hcp_index,1,0)+IF(player_hcp&gt;=(18+hole_hcp_index),1,0))</f>
        <v>1</v>
      </c>
      <c r="T36" s="5">
        <f t="shared" ref="T36:T44" si="9">IF(R36=0,"",R36-S36)</f>
        <v>4</v>
      </c>
      <c r="U36" s="5">
        <f t="array" ref="U36">LET(
    player_row, $AD36,
    player_hcp, INDEX($E:$E, player_row),
    player_flight, INDEX($A:$A, player_row),
    player_team, INDEX($C:$C, player_row),
    current_hole, $B36,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36" s="5">
        <f t="shared" ref="V36:V44" si="10">IF($R36=0,"",$R36-U36)</f>
        <v>4</v>
      </c>
      <c r="W36" s="5" t="str">
        <f t="shared" ref="W36:W44" si="11">IF(COUNT(G36,L36,Q36,V36)&lt;4,"",LET(Red_Best_Ball,MIN(G36,L36),Blue_Best_Ball,MIN(Q36,V36),IF(Red_Best_Ball&lt;Blue_Best_Ball,"Red",IF(Blue_Best_Ball&lt;Red_Best_Ball,"Blue","Tie"))))</f>
        <v>Blue</v>
      </c>
      <c r="X36" s="5" t="str">
        <f t="shared" ref="X36:X44" si="12">IF(COUNT(E36,O36)&lt;2,"",IF(E36&lt;O36,"Red",IF(O36&lt;E36,"Blue","Tie")))</f>
        <v>Blue</v>
      </c>
      <c r="Y36" s="5" t="str">
        <f t="shared" ref="Y36:Y44" si="13">IF(COUNT(J36,T36)&lt;2,"",IF(J36&lt;T36,"Red",IF(T36&lt;J36,"Blue","Tie")))</f>
        <v>Blue</v>
      </c>
      <c r="Z36" s="5" t="str">
        <f t="shared" ref="Z36:Z44" si="14">A36</f>
        <v>Flight_1</v>
      </c>
      <c r="AA36" s="1">
        <v>4.0</v>
      </c>
      <c r="AB36" s="1">
        <v>5.0</v>
      </c>
      <c r="AC36" s="1">
        <v>2.0</v>
      </c>
      <c r="AD36" s="1">
        <v>3.0</v>
      </c>
    </row>
    <row r="37">
      <c r="A37" s="1" t="s">
        <v>8</v>
      </c>
      <c r="B37" s="1">
        <v>2.0</v>
      </c>
      <c r="C37" s="5">
        <f t="array" ref="C37">SUMIFS(Front9_Scores!$D:$D, Front9_Scores!$A:$A, $A37, Front9_Scores!$B:$B, INDEX($B:$B,$AA37), Front9_Scores!$C:$C, $B37)</f>
        <v>5</v>
      </c>
      <c r="D37" s="5">
        <f t="array" ref="D37">LET(player_hcp,INDEX($E:$E,$AA37),player_tee,INDEX($F:$F,$AA37),current_hole,$B37,hole_hcp_index,XLOOKUP(current_hole,Course!$A:$A,XLOOKUP(player_tee,Course!$D$1:$F$1,Course!$D:$F)),IF(player_hcp&gt;=hole_hcp_index,1,0)+IF(player_hcp&gt;=(18+hole_hcp_index),1,0))</f>
        <v>1</v>
      </c>
      <c r="E37" s="5">
        <f t="shared" si="3"/>
        <v>4</v>
      </c>
      <c r="F37" s="5">
        <f t="array" ref="F37">LET(
    player_row, $AA37,
    player_hcp, INDEX($E:$E, player_row),
    player_flight, INDEX($A:$A, player_row),
    player_team, INDEX($C:$C, player_row),
    current_hole, $B37,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37" s="5">
        <f t="shared" si="4"/>
        <v>4</v>
      </c>
      <c r="H37" s="5">
        <f t="array" ref="H37">SUMIFS(Front9_Scores!$D:$D, Front9_Scores!$A:$A, $A37, Front9_Scores!$B:$B, INDEX($B:$B,$AB37), Front9_Scores!$C:$C, $B37)</f>
        <v>6</v>
      </c>
      <c r="I37" s="5">
        <f t="array" ref="I37">LET(player_hcp,INDEX($E:$E,$AB37),player_tee,INDEX($F:$F,$AB37),current_hole,$B37,hole_hcp_index,XLOOKUP(current_hole,Course!$A:$A,XLOOKUP(player_tee,Course!$D$1:$F$1,Course!$D:$F)),IF(player_hcp&gt;=hole_hcp_index,1,0)+IF(player_hcp&gt;=(18+hole_hcp_index),1,0))</f>
        <v>1</v>
      </c>
      <c r="J37" s="5">
        <f t="shared" si="5"/>
        <v>5</v>
      </c>
      <c r="K37" s="5">
        <f t="array" ref="K37">LET(
    player_row, $AB37,
    player_hcp, INDEX($E:$E, player_row),
    player_flight, INDEX($A:$A, player_row),
    player_team, INDEX($C:$C, player_row),
    current_hole, $B37,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37" s="5">
        <f t="shared" si="6"/>
        <v>5</v>
      </c>
      <c r="M37" s="5">
        <f t="array" ref="M37">SUMIFS(Front9_Scores!$D:$D, Front9_Scores!$A:$A, $A37, Front9_Scores!$B:$B, INDEX($B:$B,$AC37), Front9_Scores!$C:$C, $B37)</f>
        <v>6</v>
      </c>
      <c r="N37" s="5">
        <f t="array" ref="N37">LET(player_hcp,INDEX($E:$E,$AC37),player_tee,INDEX($F:$F,$AC37),current_hole,$B37,hole_hcp_index,XLOOKUP(current_hole,Course!$A:$A,XLOOKUP(player_tee,Course!$D$1:$F$1,Course!$D:$F)),IF(player_hcp&gt;=hole_hcp_index,1,0)+IF(player_hcp&gt;=(18+hole_hcp_index),1,0))</f>
        <v>1</v>
      </c>
      <c r="O37" s="5">
        <f t="shared" si="7"/>
        <v>5</v>
      </c>
      <c r="P37" s="5">
        <f t="array" ref="P37">LET(
    player_row, $AC37,
    player_hcp, INDEX($E:$E, player_row),
    player_flight, INDEX($A:$A, player_row),
    player_team, INDEX($C:$C, player_row),
    current_hole, $B37,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37" s="5">
        <f t="shared" si="8"/>
        <v>5</v>
      </c>
      <c r="R37" s="5">
        <f t="array" ref="R37">SUMIFS(Front9_Scores!$D:$D, Front9_Scores!$A:$A, $A37, Front9_Scores!$B:$B, INDEX($B:$B,$AD37), Front9_Scores!$C:$C, $B37)</f>
        <v>6</v>
      </c>
      <c r="S37" s="5">
        <f t="array" ref="S37">LET(player_hcp,INDEX($E:$E,$AD37),player_tee,INDEX($F:$F,$AD37),current_hole,$B37,hole_hcp_index,XLOOKUP(current_hole,Course!$A:$A,XLOOKUP(player_tee,Course!$D$1:$F$1,Course!$D:$F)),IF(player_hcp&gt;=hole_hcp_index,1,0)+IF(player_hcp&gt;=(18+hole_hcp_index),1,0))</f>
        <v>1</v>
      </c>
      <c r="T37" s="5">
        <f t="shared" si="9"/>
        <v>5</v>
      </c>
      <c r="U37" s="5">
        <f t="array" ref="U37">LET(
    player_row, $AD37,
    player_hcp, INDEX($E:$E, player_row),
    player_flight, INDEX($A:$A, player_row),
    player_team, INDEX($C:$C, player_row),
    current_hole, $B37,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37" s="5">
        <f t="shared" si="10"/>
        <v>5</v>
      </c>
      <c r="W37" s="5" t="str">
        <f t="shared" si="11"/>
        <v>Red</v>
      </c>
      <c r="X37" s="5" t="str">
        <f t="shared" si="12"/>
        <v>Red</v>
      </c>
      <c r="Y37" s="5" t="str">
        <f t="shared" si="13"/>
        <v>Tie</v>
      </c>
      <c r="Z37" s="5" t="str">
        <f t="shared" si="14"/>
        <v>Flight_1</v>
      </c>
      <c r="AA37" s="1">
        <v>4.0</v>
      </c>
      <c r="AB37" s="1">
        <v>5.0</v>
      </c>
      <c r="AC37" s="1">
        <v>2.0</v>
      </c>
      <c r="AD37" s="1">
        <v>3.0</v>
      </c>
    </row>
    <row r="38">
      <c r="A38" s="1" t="s">
        <v>8</v>
      </c>
      <c r="B38" s="1">
        <v>3.0</v>
      </c>
      <c r="C38" s="5">
        <f t="array" ref="C38">SUMIFS(Front9_Scores!$D:$D, Front9_Scores!$A:$A, $A38, Front9_Scores!$B:$B, INDEX($B:$B,$AA38), Front9_Scores!$C:$C, $B38)</f>
        <v>5</v>
      </c>
      <c r="D38" s="5">
        <f t="array" ref="D38">LET(player_hcp,INDEX($E:$E,$AA38),player_tee,INDEX($F:$F,$AA38),current_hole,$B38,hole_hcp_index,XLOOKUP(current_hole,Course!$A:$A,XLOOKUP(player_tee,Course!$D$1:$F$1,Course!$D:$F)),IF(player_hcp&gt;=hole_hcp_index,1,0)+IF(player_hcp&gt;=(18+hole_hcp_index),1,0))</f>
        <v>0</v>
      </c>
      <c r="E38" s="5">
        <f t="shared" si="3"/>
        <v>5</v>
      </c>
      <c r="F38" s="5">
        <f t="array" ref="F38">LET(
    player_row, $AA38,
    player_hcp, INDEX($E:$E, player_row),
    player_flight, INDEX($A:$A, player_row),
    player_team, INDEX($C:$C, player_row),
    current_hole, $B38,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38" s="5">
        <f t="shared" si="4"/>
        <v>5</v>
      </c>
      <c r="H38" s="5">
        <f t="array" ref="H38">SUMIFS(Front9_Scores!$D:$D, Front9_Scores!$A:$A, $A38, Front9_Scores!$B:$B, INDEX($B:$B,$AB38), Front9_Scores!$C:$C, $B38)</f>
        <v>4</v>
      </c>
      <c r="I38" s="5">
        <f t="array" ref="I38">LET(player_hcp,INDEX($E:$E,$AB38),player_tee,INDEX($F:$F,$AB38),current_hole,$B38,hole_hcp_index,XLOOKUP(current_hole,Course!$A:$A,XLOOKUP(player_tee,Course!$D$1:$F$1,Course!$D:$F)),IF(player_hcp&gt;=hole_hcp_index,1,0)+IF(player_hcp&gt;=(18+hole_hcp_index),1,0))</f>
        <v>0</v>
      </c>
      <c r="J38" s="5">
        <f t="shared" si="5"/>
        <v>4</v>
      </c>
      <c r="K38" s="5">
        <f t="array" ref="K38">LET(
    player_row, $AB38,
    player_hcp, INDEX($E:$E, player_row),
    player_flight, INDEX($A:$A, player_row),
    player_team, INDEX($C:$C, player_row),
    current_hole, $B38,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38" s="5">
        <f t="shared" si="6"/>
        <v>4</v>
      </c>
      <c r="M38" s="5">
        <f t="array" ref="M38">SUMIFS(Front9_Scores!$D:$D, Front9_Scores!$A:$A, $A38, Front9_Scores!$B:$B, INDEX($B:$B,$AC38), Front9_Scores!$C:$C, $B38)</f>
        <v>5</v>
      </c>
      <c r="N38" s="5">
        <f t="array" ref="N38">LET(player_hcp,INDEX($E:$E,$AC38),player_tee,INDEX($F:$F,$AC38),current_hole,$B38,hole_hcp_index,XLOOKUP(current_hole,Course!$A:$A,XLOOKUP(player_tee,Course!$D$1:$F$1,Course!$D:$F)),IF(player_hcp&gt;=hole_hcp_index,1,0)+IF(player_hcp&gt;=(18+hole_hcp_index),1,0))</f>
        <v>0</v>
      </c>
      <c r="O38" s="5">
        <f t="shared" si="7"/>
        <v>5</v>
      </c>
      <c r="P38" s="5">
        <f t="array" ref="P38">LET(
    player_row, $AC38,
    player_hcp, INDEX($E:$E, player_row),
    player_flight, INDEX($A:$A, player_row),
    player_team, INDEX($C:$C, player_row),
    current_hole, $B38,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38" s="5">
        <f t="shared" si="8"/>
        <v>5</v>
      </c>
      <c r="R38" s="5">
        <f t="array" ref="R38">SUMIFS(Front9_Scores!$D:$D, Front9_Scores!$A:$A, $A38, Front9_Scores!$B:$B, INDEX($B:$B,$AD38), Front9_Scores!$C:$C, $B38)</f>
        <v>5</v>
      </c>
      <c r="S38" s="5">
        <f t="array" ref="S38">LET(player_hcp,INDEX($E:$E,$AD38),player_tee,INDEX($F:$F,$AD38),current_hole,$B38,hole_hcp_index,XLOOKUP(current_hole,Course!$A:$A,XLOOKUP(player_tee,Course!$D$1:$F$1,Course!$D:$F)),IF(player_hcp&gt;=hole_hcp_index,1,0)+IF(player_hcp&gt;=(18+hole_hcp_index),1,0))</f>
        <v>0</v>
      </c>
      <c r="T38" s="5">
        <f t="shared" si="9"/>
        <v>5</v>
      </c>
      <c r="U38" s="5">
        <f t="array" ref="U38">LET(
    player_row, $AD38,
    player_hcp, INDEX($E:$E, player_row),
    player_flight, INDEX($A:$A, player_row),
    player_team, INDEX($C:$C, player_row),
    current_hole, $B38,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38" s="5">
        <f t="shared" si="10"/>
        <v>5</v>
      </c>
      <c r="W38" s="5" t="str">
        <f t="shared" si="11"/>
        <v>Red</v>
      </c>
      <c r="X38" s="5" t="str">
        <f t="shared" si="12"/>
        <v>Tie</v>
      </c>
      <c r="Y38" s="5" t="str">
        <f t="shared" si="13"/>
        <v>Red</v>
      </c>
      <c r="Z38" s="5" t="str">
        <f t="shared" si="14"/>
        <v>Flight_1</v>
      </c>
      <c r="AA38" s="1">
        <v>4.0</v>
      </c>
      <c r="AB38" s="1">
        <v>5.0</v>
      </c>
      <c r="AC38" s="1">
        <v>2.0</v>
      </c>
      <c r="AD38" s="1">
        <v>3.0</v>
      </c>
    </row>
    <row r="39">
      <c r="A39" s="1" t="s">
        <v>8</v>
      </c>
      <c r="B39" s="1">
        <v>4.0</v>
      </c>
      <c r="C39" s="5">
        <f t="array" ref="C39">SUMIFS(Front9_Scores!$D:$D, Front9_Scores!$A:$A, $A39, Front9_Scores!$B:$B, INDEX($B:$B,$AA39), Front9_Scores!$C:$C, $B39)</f>
        <v>4</v>
      </c>
      <c r="D39" s="5">
        <f t="array" ref="D39">LET(player_hcp,INDEX($E:$E,$AA39),player_tee,INDEX($F:$F,$AA39),current_hole,$B39,hole_hcp_index,XLOOKUP(current_hole,Course!$A:$A,XLOOKUP(player_tee,Course!$D$1:$F$1,Course!$D:$F)),IF(player_hcp&gt;=hole_hcp_index,1,0)+IF(player_hcp&gt;=(18+hole_hcp_index),1,0))</f>
        <v>0</v>
      </c>
      <c r="E39" s="5">
        <f t="shared" si="3"/>
        <v>4</v>
      </c>
      <c r="F39" s="5">
        <f t="array" ref="F39">LET(
    player_row, $AA39,
    player_hcp, INDEX($E:$E, player_row),
    player_flight, INDEX($A:$A, player_row),
    player_team, INDEX($C:$C, player_row),
    current_hole, $B39,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39" s="5">
        <f t="shared" si="4"/>
        <v>4</v>
      </c>
      <c r="H39" s="5">
        <f t="array" ref="H39">SUMIFS(Front9_Scores!$D:$D, Front9_Scores!$A:$A, $A39, Front9_Scores!$B:$B, INDEX($B:$B,$AB39), Front9_Scores!$C:$C, $B39)</f>
        <v>5</v>
      </c>
      <c r="I39" s="5">
        <f t="array" ref="I39">LET(player_hcp,INDEX($E:$E,$AB39),player_tee,INDEX($F:$F,$AB39),current_hole,$B39,hole_hcp_index,XLOOKUP(current_hole,Course!$A:$A,XLOOKUP(player_tee,Course!$D$1:$F$1,Course!$D:$F)),IF(player_hcp&gt;=hole_hcp_index,1,0)+IF(player_hcp&gt;=(18+hole_hcp_index),1,0))</f>
        <v>1</v>
      </c>
      <c r="J39" s="5">
        <f t="shared" si="5"/>
        <v>4</v>
      </c>
      <c r="K39" s="5">
        <f t="array" ref="K39">LET(
    player_row, $AB39,
    player_hcp, INDEX($E:$E, player_row),
    player_flight, INDEX($A:$A, player_row),
    player_team, INDEX($C:$C, player_row),
    current_hole, $B39,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39" s="5">
        <f t="shared" si="6"/>
        <v>5</v>
      </c>
      <c r="M39" s="5">
        <f t="array" ref="M39">SUMIFS(Front9_Scores!$D:$D, Front9_Scores!$A:$A, $A39, Front9_Scores!$B:$B, INDEX($B:$B,$AC39), Front9_Scores!$C:$C, $B39)</f>
        <v>4</v>
      </c>
      <c r="N39" s="5">
        <f t="array" ref="N39">LET(player_hcp,INDEX($E:$E,$AC39),player_tee,INDEX($F:$F,$AC39),current_hole,$B39,hole_hcp_index,XLOOKUP(current_hole,Course!$A:$A,XLOOKUP(player_tee,Course!$D$1:$F$1,Course!$D:$F)),IF(player_hcp&gt;=hole_hcp_index,1,0)+IF(player_hcp&gt;=(18+hole_hcp_index),1,0))</f>
        <v>0</v>
      </c>
      <c r="O39" s="5">
        <f t="shared" si="7"/>
        <v>4</v>
      </c>
      <c r="P39" s="5">
        <f t="array" ref="P39">LET(
    player_row, $AC39,
    player_hcp, INDEX($E:$E, player_row),
    player_flight, INDEX($A:$A, player_row),
    player_team, INDEX($C:$C, player_row),
    current_hole, $B39,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39" s="5">
        <f t="shared" si="8"/>
        <v>4</v>
      </c>
      <c r="R39" s="5">
        <f t="array" ref="R39">SUMIFS(Front9_Scores!$D:$D, Front9_Scores!$A:$A, $A39, Front9_Scores!$B:$B, INDEX($B:$B,$AD39), Front9_Scores!$C:$C, $B39)</f>
        <v>5</v>
      </c>
      <c r="S39" s="5">
        <f t="array" ref="S39">LET(player_hcp,INDEX($E:$E,$AD39),player_tee,INDEX($F:$F,$AD39),current_hole,$B39,hole_hcp_index,XLOOKUP(current_hole,Course!$A:$A,XLOOKUP(player_tee,Course!$D$1:$F$1,Course!$D:$F)),IF(player_hcp&gt;=hole_hcp_index,1,0)+IF(player_hcp&gt;=(18+hole_hcp_index),1,0))</f>
        <v>1</v>
      </c>
      <c r="T39" s="5">
        <f t="shared" si="9"/>
        <v>4</v>
      </c>
      <c r="U39" s="5">
        <f t="array" ref="U39">LET(
    player_row, $AD39,
    player_hcp, INDEX($E:$E, player_row),
    player_flight, INDEX($A:$A, player_row),
    player_team, INDEX($C:$C, player_row),
    current_hole, $B39,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39" s="5">
        <f t="shared" si="10"/>
        <v>4</v>
      </c>
      <c r="W39" s="5" t="str">
        <f t="shared" si="11"/>
        <v>Tie</v>
      </c>
      <c r="X39" s="5" t="str">
        <f t="shared" si="12"/>
        <v>Tie</v>
      </c>
      <c r="Y39" s="5" t="str">
        <f t="shared" si="13"/>
        <v>Tie</v>
      </c>
      <c r="Z39" s="5" t="str">
        <f t="shared" si="14"/>
        <v>Flight_1</v>
      </c>
      <c r="AA39" s="1">
        <v>4.0</v>
      </c>
      <c r="AB39" s="1">
        <v>5.0</v>
      </c>
      <c r="AC39" s="1">
        <v>2.0</v>
      </c>
      <c r="AD39" s="1">
        <v>3.0</v>
      </c>
    </row>
    <row r="40">
      <c r="A40" s="1" t="s">
        <v>8</v>
      </c>
      <c r="B40" s="1">
        <v>5.0</v>
      </c>
      <c r="C40" s="5">
        <f t="array" ref="C40">SUMIFS(Front9_Scores!$D:$D, Front9_Scores!$A:$A, $A40, Front9_Scores!$B:$B, INDEX($B:$B,$AA40), Front9_Scores!$C:$C, $B40)</f>
        <v>2</v>
      </c>
      <c r="D40" s="5">
        <f t="array" ref="D40">LET(player_hcp,INDEX($E:$E,$AA40),player_tee,INDEX($F:$F,$AA40),current_hole,$B40,hole_hcp_index,XLOOKUP(current_hole,Course!$A:$A,XLOOKUP(player_tee,Course!$D$1:$F$1,Course!$D:$F)),IF(player_hcp&gt;=hole_hcp_index,1,0)+IF(player_hcp&gt;=(18+hole_hcp_index),1,0))</f>
        <v>1</v>
      </c>
      <c r="E40" s="5">
        <f t="shared" si="3"/>
        <v>1</v>
      </c>
      <c r="F40" s="5">
        <f t="array" ref="F40">LET(
    player_row, $AA40,
    player_hcp, INDEX($E:$E, player_row),
    player_flight, INDEX($A:$A, player_row),
    player_team, INDEX($C:$C, player_row),
    current_hole, $B40,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40" s="5">
        <f t="shared" si="4"/>
        <v>1</v>
      </c>
      <c r="H40" s="5">
        <f t="array" ref="H40">SUMIFS(Front9_Scores!$D:$D, Front9_Scores!$A:$A, $A40, Front9_Scores!$B:$B, INDEX($B:$B,$AB40), Front9_Scores!$C:$C, $B40)</f>
        <v>4</v>
      </c>
      <c r="I40" s="5">
        <f t="array" ref="I40">LET(player_hcp,INDEX($E:$E,$AB40),player_tee,INDEX($F:$F,$AB40),current_hole,$B40,hole_hcp_index,XLOOKUP(current_hole,Course!$A:$A,XLOOKUP(player_tee,Course!$D$1:$F$1,Course!$D:$F)),IF(player_hcp&gt;=hole_hcp_index,1,0)+IF(player_hcp&gt;=(18+hole_hcp_index),1,0))</f>
        <v>1</v>
      </c>
      <c r="J40" s="5">
        <f t="shared" si="5"/>
        <v>3</v>
      </c>
      <c r="K40" s="5">
        <f t="array" ref="K40">LET(
    player_row, $AB40,
    player_hcp, INDEX($E:$E, player_row),
    player_flight, INDEX($A:$A, player_row),
    player_team, INDEX($C:$C, player_row),
    current_hole, $B40,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40" s="5">
        <f t="shared" si="6"/>
        <v>3</v>
      </c>
      <c r="M40" s="5">
        <f t="array" ref="M40">SUMIFS(Front9_Scores!$D:$D, Front9_Scores!$A:$A, $A40, Front9_Scores!$B:$B, INDEX($B:$B,$AC40), Front9_Scores!$C:$C, $B40)</f>
        <v>3</v>
      </c>
      <c r="N40" s="5">
        <f t="array" ref="N40">LET(player_hcp,INDEX($E:$E,$AC40),player_tee,INDEX($F:$F,$AC40),current_hole,$B40,hole_hcp_index,XLOOKUP(current_hole,Course!$A:$A,XLOOKUP(player_tee,Course!$D$1:$F$1,Course!$D:$F)),IF(player_hcp&gt;=hole_hcp_index,1,0)+IF(player_hcp&gt;=(18+hole_hcp_index),1,0))</f>
        <v>1</v>
      </c>
      <c r="O40" s="5">
        <f t="shared" si="7"/>
        <v>2</v>
      </c>
      <c r="P40" s="5">
        <f t="array" ref="P40">LET(
    player_row, $AC40,
    player_hcp, INDEX($E:$E, player_row),
    player_flight, INDEX($A:$A, player_row),
    player_team, INDEX($C:$C, player_row),
    current_hole, $B40,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40" s="5">
        <f t="shared" si="8"/>
        <v>2</v>
      </c>
      <c r="R40" s="5">
        <f t="array" ref="R40">SUMIFS(Front9_Scores!$D:$D, Front9_Scores!$A:$A, $A40, Front9_Scores!$B:$B, INDEX($B:$B,$AD40), Front9_Scores!$C:$C, $B40)</f>
        <v>6</v>
      </c>
      <c r="S40" s="5">
        <f t="array" ref="S40">LET(player_hcp,INDEX($E:$E,$AD40),player_tee,INDEX($F:$F,$AD40),current_hole,$B40,hole_hcp_index,XLOOKUP(current_hole,Course!$A:$A,XLOOKUP(player_tee,Course!$D$1:$F$1,Course!$D:$F)),IF(player_hcp&gt;=hole_hcp_index,1,0)+IF(player_hcp&gt;=(18+hole_hcp_index),1,0))</f>
        <v>1</v>
      </c>
      <c r="T40" s="5">
        <f t="shared" si="9"/>
        <v>5</v>
      </c>
      <c r="U40" s="5">
        <f t="array" ref="U40">LET(
    player_row, $AD40,
    player_hcp, INDEX($E:$E, player_row),
    player_flight, INDEX($A:$A, player_row),
    player_team, INDEX($C:$C, player_row),
    current_hole, $B40,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40" s="5">
        <f t="shared" si="10"/>
        <v>5</v>
      </c>
      <c r="W40" s="5" t="str">
        <f t="shared" si="11"/>
        <v>Red</v>
      </c>
      <c r="X40" s="5" t="str">
        <f t="shared" si="12"/>
        <v>Red</v>
      </c>
      <c r="Y40" s="5" t="str">
        <f t="shared" si="13"/>
        <v>Red</v>
      </c>
      <c r="Z40" s="5" t="str">
        <f t="shared" si="14"/>
        <v>Flight_1</v>
      </c>
      <c r="AA40" s="1">
        <v>4.0</v>
      </c>
      <c r="AB40" s="1">
        <v>5.0</v>
      </c>
      <c r="AC40" s="1">
        <v>2.0</v>
      </c>
      <c r="AD40" s="1">
        <v>3.0</v>
      </c>
    </row>
    <row r="41">
      <c r="A41" s="1" t="s">
        <v>8</v>
      </c>
      <c r="B41" s="1">
        <v>6.0</v>
      </c>
      <c r="C41" s="5">
        <f t="array" ref="C41">SUMIFS(Front9_Scores!$D:$D, Front9_Scores!$A:$A, $A41, Front9_Scores!$B:$B, INDEX($B:$B,$AA41), Front9_Scores!$C:$C, $B41)</f>
        <v>6</v>
      </c>
      <c r="D41" s="5">
        <f t="array" ref="D41">LET(player_hcp,INDEX($E:$E,$AA41),player_tee,INDEX($F:$F,$AA41),current_hole,$B41,hole_hcp_index,XLOOKUP(current_hole,Course!$A:$A,XLOOKUP(player_tee,Course!$D$1:$F$1,Course!$D:$F)),IF(player_hcp&gt;=hole_hcp_index,1,0)+IF(player_hcp&gt;=(18+hole_hcp_index),1,0))</f>
        <v>1</v>
      </c>
      <c r="E41" s="5">
        <f t="shared" si="3"/>
        <v>5</v>
      </c>
      <c r="F41" s="5">
        <f t="array" ref="F41">LET(
    player_row, $AA41,
    player_hcp, INDEX($E:$E, player_row),
    player_flight, INDEX($A:$A, player_row),
    player_team, INDEX($C:$C, player_row),
    current_hole, $B41,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41" s="5">
        <f t="shared" si="4"/>
        <v>6</v>
      </c>
      <c r="H41" s="5">
        <f t="array" ref="H41">SUMIFS(Front9_Scores!$D:$D, Front9_Scores!$A:$A, $A41, Front9_Scores!$B:$B, INDEX($B:$B,$AB41), Front9_Scores!$C:$C, $B41)</f>
        <v>5</v>
      </c>
      <c r="I41" s="5">
        <f t="array" ref="I41">LET(player_hcp,INDEX($E:$E,$AB41),player_tee,INDEX($F:$F,$AB41),current_hole,$B41,hole_hcp_index,XLOOKUP(current_hole,Course!$A:$A,XLOOKUP(player_tee,Course!$D$1:$F$1,Course!$D:$F)),IF(player_hcp&gt;=hole_hcp_index,1,0)+IF(player_hcp&gt;=(18+hole_hcp_index),1,0))</f>
        <v>0</v>
      </c>
      <c r="J41" s="5">
        <f t="shared" si="5"/>
        <v>5</v>
      </c>
      <c r="K41" s="5">
        <f t="array" ref="K41">LET(
    player_row, $AB41,
    player_hcp, INDEX($E:$E, player_row),
    player_flight, INDEX($A:$A, player_row),
    player_team, INDEX($C:$C, player_row),
    current_hole, $B41,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41" s="5">
        <f t="shared" si="6"/>
        <v>4</v>
      </c>
      <c r="M41" s="5">
        <f t="array" ref="M41">SUMIFS(Front9_Scores!$D:$D, Front9_Scores!$A:$A, $A41, Front9_Scores!$B:$B, INDEX($B:$B,$AC41), Front9_Scores!$C:$C, $B41)</f>
        <v>5</v>
      </c>
      <c r="N41" s="5">
        <f t="array" ref="N41">LET(player_hcp,INDEX($E:$E,$AC41),player_tee,INDEX($F:$F,$AC41),current_hole,$B41,hole_hcp_index,XLOOKUP(current_hole,Course!$A:$A,XLOOKUP(player_tee,Course!$D$1:$F$1,Course!$D:$F)),IF(player_hcp&gt;=hole_hcp_index,1,0)+IF(player_hcp&gt;=(18+hole_hcp_index),1,0))</f>
        <v>1</v>
      </c>
      <c r="O41" s="5">
        <f t="shared" si="7"/>
        <v>4</v>
      </c>
      <c r="P41" s="5">
        <f t="array" ref="P41">LET(
    player_row, $AC41,
    player_hcp, INDEX($E:$E, player_row),
    player_flight, INDEX($A:$A, player_row),
    player_team, INDEX($C:$C, player_row),
    current_hole, $B41,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41" s="5">
        <f t="shared" si="8"/>
        <v>4</v>
      </c>
      <c r="R41" s="5">
        <f t="array" ref="R41">SUMIFS(Front9_Scores!$D:$D, Front9_Scores!$A:$A, $A41, Front9_Scores!$B:$B, INDEX($B:$B,$AD41), Front9_Scores!$C:$C, $B41)</f>
        <v>4</v>
      </c>
      <c r="S41" s="5">
        <f t="array" ref="S41">LET(player_hcp,INDEX($E:$E,$AD41),player_tee,INDEX($F:$F,$AD41),current_hole,$B41,hole_hcp_index,XLOOKUP(current_hole,Course!$A:$A,XLOOKUP(player_tee,Course!$D$1:$F$1,Course!$D:$F)),IF(player_hcp&gt;=hole_hcp_index,1,0)+IF(player_hcp&gt;=(18+hole_hcp_index),1,0))</f>
        <v>1</v>
      </c>
      <c r="T41" s="5">
        <f t="shared" si="9"/>
        <v>3</v>
      </c>
      <c r="U41" s="5">
        <f t="array" ref="U41">LET(
    player_row, $AD41,
    player_hcp, INDEX($E:$E, player_row),
    player_flight, INDEX($A:$A, player_row),
    player_team, INDEX($C:$C, player_row),
    current_hole, $B41,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41" s="5">
        <f t="shared" si="10"/>
        <v>3</v>
      </c>
      <c r="W41" s="5" t="str">
        <f t="shared" si="11"/>
        <v>Blue</v>
      </c>
      <c r="X41" s="5" t="str">
        <f t="shared" si="12"/>
        <v>Blue</v>
      </c>
      <c r="Y41" s="5" t="str">
        <f t="shared" si="13"/>
        <v>Blue</v>
      </c>
      <c r="Z41" s="5" t="str">
        <f t="shared" si="14"/>
        <v>Flight_1</v>
      </c>
      <c r="AA41" s="1">
        <v>4.0</v>
      </c>
      <c r="AB41" s="1">
        <v>5.0</v>
      </c>
      <c r="AC41" s="1">
        <v>2.0</v>
      </c>
      <c r="AD41" s="1">
        <v>3.0</v>
      </c>
    </row>
    <row r="42">
      <c r="A42" s="1" t="s">
        <v>8</v>
      </c>
      <c r="B42" s="1">
        <v>7.0</v>
      </c>
      <c r="C42" s="5">
        <f t="array" ref="C42">SUMIFS(Front9_Scores!$D:$D, Front9_Scores!$A:$A, $A42, Front9_Scores!$B:$B, INDEX($B:$B,$AA42), Front9_Scores!$C:$C, $B42)</f>
        <v>2</v>
      </c>
      <c r="D42" s="5">
        <f t="array" ref="D42">LET(player_hcp,INDEX($E:$E,$AA42),player_tee,INDEX($F:$F,$AA42),current_hole,$B42,hole_hcp_index,XLOOKUP(current_hole,Course!$A:$A,XLOOKUP(player_tee,Course!$D$1:$F$1,Course!$D:$F)),IF(player_hcp&gt;=hole_hcp_index,1,0)+IF(player_hcp&gt;=(18+hole_hcp_index),1,0))</f>
        <v>0</v>
      </c>
      <c r="E42" s="5">
        <f t="shared" si="3"/>
        <v>2</v>
      </c>
      <c r="F42" s="5">
        <f t="array" ref="F42">LET(
    player_row, $AA42,
    player_hcp, INDEX($E:$E, player_row),
    player_flight, INDEX($A:$A, player_row),
    player_team, INDEX($C:$C, player_row),
    current_hole, $B42,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42" s="5">
        <f t="shared" si="4"/>
        <v>2</v>
      </c>
      <c r="H42" s="5">
        <f t="array" ref="H42">SUMIFS(Front9_Scores!$D:$D, Front9_Scores!$A:$A, $A42, Front9_Scores!$B:$B, INDEX($B:$B,$AB42), Front9_Scores!$C:$C, $B42)</f>
        <v>3</v>
      </c>
      <c r="I42" s="5">
        <f t="array" ref="I42">LET(player_hcp,INDEX($E:$E,$AB42),player_tee,INDEX($F:$F,$AB42),current_hole,$B42,hole_hcp_index,XLOOKUP(current_hole,Course!$A:$A,XLOOKUP(player_tee,Course!$D$1:$F$1,Course!$D:$F)),IF(player_hcp&gt;=hole_hcp_index,1,0)+IF(player_hcp&gt;=(18+hole_hcp_index),1,0))</f>
        <v>0</v>
      </c>
      <c r="J42" s="5">
        <f t="shared" si="5"/>
        <v>3</v>
      </c>
      <c r="K42" s="5">
        <f t="array" ref="K42">LET(
    player_row, $AB42,
    player_hcp, INDEX($E:$E, player_row),
    player_flight, INDEX($A:$A, player_row),
    player_team, INDEX($C:$C, player_row),
    current_hole, $B42,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42" s="5">
        <f t="shared" si="6"/>
        <v>3</v>
      </c>
      <c r="M42" s="5">
        <f t="array" ref="M42">SUMIFS(Front9_Scores!$D:$D, Front9_Scores!$A:$A, $A42, Front9_Scores!$B:$B, INDEX($B:$B,$AC42), Front9_Scores!$C:$C, $B42)</f>
        <v>3</v>
      </c>
      <c r="N42" s="5">
        <f t="array" ref="N42">LET(player_hcp,INDEX($E:$E,$AC42),player_tee,INDEX($F:$F,$AC42),current_hole,$B42,hole_hcp_index,XLOOKUP(current_hole,Course!$A:$A,XLOOKUP(player_tee,Course!$D$1:$F$1,Course!$D:$F)),IF(player_hcp&gt;=hole_hcp_index,1,0)+IF(player_hcp&gt;=(18+hole_hcp_index),1,0))</f>
        <v>0</v>
      </c>
      <c r="O42" s="5">
        <f t="shared" si="7"/>
        <v>3</v>
      </c>
      <c r="P42" s="5">
        <f t="array" ref="P42">LET(
    player_row, $AC42,
    player_hcp, INDEX($E:$E, player_row),
    player_flight, INDEX($A:$A, player_row),
    player_team, INDEX($C:$C, player_row),
    current_hole, $B42,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42" s="5">
        <f t="shared" si="8"/>
        <v>3</v>
      </c>
      <c r="R42" s="5">
        <f t="array" ref="R42">SUMIFS(Front9_Scores!$D:$D, Front9_Scores!$A:$A, $A42, Front9_Scores!$B:$B, INDEX($B:$B,$AD42), Front9_Scores!$C:$C, $B42)</f>
        <v>3</v>
      </c>
      <c r="S42" s="5">
        <f t="array" ref="S42">LET(player_hcp,INDEX($E:$E,$AD42),player_tee,INDEX($F:$F,$AD42),current_hole,$B42,hole_hcp_index,XLOOKUP(current_hole,Course!$A:$A,XLOOKUP(player_tee,Course!$D$1:$F$1,Course!$D:$F)),IF(player_hcp&gt;=hole_hcp_index,1,0)+IF(player_hcp&gt;=(18+hole_hcp_index),1,0))</f>
        <v>1</v>
      </c>
      <c r="T42" s="5">
        <f t="shared" si="9"/>
        <v>2</v>
      </c>
      <c r="U42" s="5">
        <f t="array" ref="U42">LET(
    player_row, $AD42,
    player_hcp, INDEX($E:$E, player_row),
    player_flight, INDEX($A:$A, player_row),
    player_team, INDEX($C:$C, player_row),
    current_hole, $B42,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42" s="5">
        <f t="shared" si="10"/>
        <v>2</v>
      </c>
      <c r="W42" s="5" t="str">
        <f t="shared" si="11"/>
        <v>Tie</v>
      </c>
      <c r="X42" s="5" t="str">
        <f t="shared" si="12"/>
        <v>Red</v>
      </c>
      <c r="Y42" s="5" t="str">
        <f t="shared" si="13"/>
        <v>Blue</v>
      </c>
      <c r="Z42" s="5" t="str">
        <f t="shared" si="14"/>
        <v>Flight_1</v>
      </c>
      <c r="AA42" s="1">
        <v>4.0</v>
      </c>
      <c r="AB42" s="1">
        <v>5.0</v>
      </c>
      <c r="AC42" s="1">
        <v>2.0</v>
      </c>
      <c r="AD42" s="1">
        <v>3.0</v>
      </c>
    </row>
    <row r="43">
      <c r="A43" s="1" t="s">
        <v>8</v>
      </c>
      <c r="B43" s="1">
        <v>8.0</v>
      </c>
      <c r="C43" s="5">
        <f t="array" ref="C43">SUMIFS(Front9_Scores!$D:$D, Front9_Scores!$A:$A, $A43, Front9_Scores!$B:$B, INDEX($B:$B,$AA43), Front9_Scores!$C:$C, $B43)</f>
        <v>5</v>
      </c>
      <c r="D43" s="5">
        <f t="array" ref="D43">LET(player_hcp,INDEX($E:$E,$AA43),player_tee,INDEX($F:$F,$AA43),current_hole,$B43,hole_hcp_index,XLOOKUP(current_hole,Course!$A:$A,XLOOKUP(player_tee,Course!$D$1:$F$1,Course!$D:$F)),IF(player_hcp&gt;=hole_hcp_index,1,0)+IF(player_hcp&gt;=(18+hole_hcp_index),1,0))</f>
        <v>0</v>
      </c>
      <c r="E43" s="5">
        <f t="shared" si="3"/>
        <v>5</v>
      </c>
      <c r="F43" s="5">
        <f t="array" ref="F43">LET(
    player_row, $AA43,
    player_hcp, INDEX($E:$E, player_row),
    player_flight, INDEX($A:$A, player_row),
    player_team, INDEX($C:$C, player_row),
    current_hole, $B43,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43" s="5">
        <f t="shared" si="4"/>
        <v>4</v>
      </c>
      <c r="H43" s="5">
        <f t="array" ref="H43">SUMIFS(Front9_Scores!$D:$D, Front9_Scores!$A:$A, $A43, Front9_Scores!$B:$B, INDEX($B:$B,$AB43), Front9_Scores!$C:$C, $B43)</f>
        <v>7</v>
      </c>
      <c r="I43" s="5">
        <f t="array" ref="I43">LET(player_hcp,INDEX($E:$E,$AB43),player_tee,INDEX($F:$F,$AB43),current_hole,$B43,hole_hcp_index,XLOOKUP(current_hole,Course!$A:$A,XLOOKUP(player_tee,Course!$D$1:$F$1,Course!$D:$F)),IF(player_hcp&gt;=hole_hcp_index,1,0)+IF(player_hcp&gt;=(18+hole_hcp_index),1,0))</f>
        <v>1</v>
      </c>
      <c r="J43" s="5">
        <f t="shared" si="5"/>
        <v>6</v>
      </c>
      <c r="K43" s="5">
        <f t="array" ref="K43">LET(
    player_row, $AB43,
    player_hcp, INDEX($E:$E, player_row),
    player_flight, INDEX($A:$A, player_row),
    player_team, INDEX($C:$C, player_row),
    current_hole, $B43,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43" s="5">
        <f t="shared" si="6"/>
        <v>6</v>
      </c>
      <c r="M43" s="5">
        <f t="array" ref="M43">SUMIFS(Front9_Scores!$D:$D, Front9_Scores!$A:$A, $A43, Front9_Scores!$B:$B, INDEX($B:$B,$AC43), Front9_Scores!$C:$C, $B43)</f>
        <v>7</v>
      </c>
      <c r="N43" s="5">
        <f t="array" ref="N43">LET(player_hcp,INDEX($E:$E,$AC43),player_tee,INDEX($F:$F,$AC43),current_hole,$B43,hole_hcp_index,XLOOKUP(current_hole,Course!$A:$A,XLOOKUP(player_tee,Course!$D$1:$F$1,Course!$D:$F)),IF(player_hcp&gt;=hole_hcp_index,1,0)+IF(player_hcp&gt;=(18+hole_hcp_index),1,0))</f>
        <v>1</v>
      </c>
      <c r="O43" s="5">
        <f t="shared" si="7"/>
        <v>6</v>
      </c>
      <c r="P43" s="5">
        <f t="array" ref="P43">LET(
    player_row, $AC43,
    player_hcp, INDEX($E:$E, player_row),
    player_flight, INDEX($A:$A, player_row),
    player_team, INDEX($C:$C, player_row),
    current_hole, $B43,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43" s="5">
        <f t="shared" si="8"/>
        <v>6</v>
      </c>
      <c r="R43" s="5">
        <f t="array" ref="R43">SUMIFS(Front9_Scores!$D:$D, Front9_Scores!$A:$A, $A43, Front9_Scores!$B:$B, INDEX($B:$B,$AD43), Front9_Scores!$C:$C, $B43)</f>
        <v>6</v>
      </c>
      <c r="S43" s="5">
        <f t="array" ref="S43">LET(player_hcp,INDEX($E:$E,$AD43),player_tee,INDEX($F:$F,$AD43),current_hole,$B43,hole_hcp_index,XLOOKUP(current_hole,Course!$A:$A,XLOOKUP(player_tee,Course!$D$1:$F$1,Course!$D:$F)),IF(player_hcp&gt;=hole_hcp_index,1,0)+IF(player_hcp&gt;=(18+hole_hcp_index),1,0))</f>
        <v>1</v>
      </c>
      <c r="T43" s="5">
        <f t="shared" si="9"/>
        <v>5</v>
      </c>
      <c r="U43" s="5">
        <f t="array" ref="U43">LET(
    player_row, $AD43,
    player_hcp, INDEX($E:$E, player_row),
    player_flight, INDEX($A:$A, player_row),
    player_team, INDEX($C:$C, player_row),
    current_hole, $B43,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43" s="5">
        <f t="shared" si="10"/>
        <v>5</v>
      </c>
      <c r="W43" s="5" t="str">
        <f t="shared" si="11"/>
        <v>Red</v>
      </c>
      <c r="X43" s="5" t="str">
        <f t="shared" si="12"/>
        <v>Red</v>
      </c>
      <c r="Y43" s="5" t="str">
        <f t="shared" si="13"/>
        <v>Blue</v>
      </c>
      <c r="Z43" s="5" t="str">
        <f t="shared" si="14"/>
        <v>Flight_1</v>
      </c>
      <c r="AA43" s="1">
        <v>4.0</v>
      </c>
      <c r="AB43" s="1">
        <v>5.0</v>
      </c>
      <c r="AC43" s="1">
        <v>2.0</v>
      </c>
      <c r="AD43" s="1">
        <v>3.0</v>
      </c>
    </row>
    <row r="44">
      <c r="A44" s="1" t="s">
        <v>8</v>
      </c>
      <c r="B44" s="1">
        <v>9.0</v>
      </c>
      <c r="C44" s="5">
        <f t="array" ref="C44">SUMIFS(Front9_Scores!$D:$D, Front9_Scores!$A:$A, $A44, Front9_Scores!$B:$B, INDEX($B:$B,$AA44), Front9_Scores!$C:$C, $B44)</f>
        <v>0</v>
      </c>
      <c r="D44" s="5">
        <f t="array" ref="D44">LET(player_hcp,INDEX($E:$E,$AA44),player_tee,INDEX($F:$F,$AA44),current_hole,$B44,hole_hcp_index,XLOOKUP(current_hole,Course!$A:$A,XLOOKUP(player_tee,Course!$D$1:$F$1,Course!$D:$F)),IF(player_hcp&gt;=hole_hcp_index,1,0)+IF(player_hcp&gt;=(18+hole_hcp_index),1,0))</f>
        <v>1</v>
      </c>
      <c r="E44" s="5" t="str">
        <f t="shared" si="3"/>
        <v/>
      </c>
      <c r="F44" s="5">
        <f t="array" ref="F44">LET(
    player_row, $AA44,
    player_hcp, INDEX($E:$E, player_row),
    player_flight, INDEX($A:$A, player_row),
    player_team, INDEX($C:$C, player_row),
    current_hole, $B44,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44" s="5" t="str">
        <f t="shared" si="4"/>
        <v/>
      </c>
      <c r="H44" s="5">
        <f t="array" ref="H44">SUMIFS(Front9_Scores!$D:$D, Front9_Scores!$A:$A, $A44, Front9_Scores!$B:$B, INDEX($B:$B,$AB44), Front9_Scores!$C:$C, $B44)</f>
        <v>0</v>
      </c>
      <c r="I44" s="5">
        <f t="array" ref="I44">LET(player_hcp,INDEX($E:$E,$AB44),player_tee,INDEX($F:$F,$AB44),current_hole,$B44,hole_hcp_index,XLOOKUP(current_hole,Course!$A:$A,XLOOKUP(player_tee,Course!$D$1:$F$1,Course!$D:$F)),IF(player_hcp&gt;=hole_hcp_index,1,0)+IF(player_hcp&gt;=(18+hole_hcp_index),1,0))</f>
        <v>1</v>
      </c>
      <c r="J44" s="5" t="str">
        <f t="shared" si="5"/>
        <v/>
      </c>
      <c r="K44" s="5">
        <f t="array" ref="K44">LET(
    player_row, $AB44,
    player_hcp, INDEX($E:$E, player_row),
    player_flight, INDEX($A:$A, player_row),
    player_team, INDEX($C:$C, player_row),
    current_hole, $B44,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44" s="5" t="str">
        <f t="shared" si="6"/>
        <v/>
      </c>
      <c r="M44" s="5">
        <f t="array" ref="M44">SUMIFS(Front9_Scores!$D:$D, Front9_Scores!$A:$A, $A44, Front9_Scores!$B:$B, INDEX($B:$B,$AC44), Front9_Scores!$C:$C, $B44)</f>
        <v>0</v>
      </c>
      <c r="N44" s="5">
        <f t="array" ref="N44">LET(player_hcp,INDEX($E:$E,$AC44),player_tee,INDEX($F:$F,$AC44),current_hole,$B44,hole_hcp_index,XLOOKUP(current_hole,Course!$A:$A,XLOOKUP(player_tee,Course!$D$1:$F$1,Course!$D:$F)),IF(player_hcp&gt;=hole_hcp_index,1,0)+IF(player_hcp&gt;=(18+hole_hcp_index),1,0))</f>
        <v>1</v>
      </c>
      <c r="O44" s="5" t="str">
        <f t="shared" si="7"/>
        <v/>
      </c>
      <c r="P44" s="5">
        <f t="array" ref="P44">LET(
    player_row, $AC44,
    player_hcp, INDEX($E:$E, player_row),
    player_flight, INDEX($A:$A, player_row),
    player_team, INDEX($C:$C, player_row),
    current_hole, $B44,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44" s="5" t="str">
        <f t="shared" si="8"/>
        <v/>
      </c>
      <c r="R44" s="5">
        <f t="array" ref="R44">SUMIFS(Front9_Scores!$D:$D, Front9_Scores!$A:$A, $A44, Front9_Scores!$B:$B, INDEX($B:$B,$AD44), Front9_Scores!$C:$C, $B44)</f>
        <v>0</v>
      </c>
      <c r="S44" s="5">
        <f t="array" ref="S44">LET(player_hcp,INDEX($E:$E,$AD44),player_tee,INDEX($F:$F,$AD44),current_hole,$B44,hole_hcp_index,XLOOKUP(current_hole,Course!$A:$A,XLOOKUP(player_tee,Course!$D$1:$F$1,Course!$D:$F)),IF(player_hcp&gt;=hole_hcp_index,1,0)+IF(player_hcp&gt;=(18+hole_hcp_index),1,0))</f>
        <v>1</v>
      </c>
      <c r="T44" s="5" t="str">
        <f t="shared" si="9"/>
        <v/>
      </c>
      <c r="U44" s="5">
        <f t="array" ref="U44">LET(
    player_row, $AD44,
    player_hcp, INDEX($E:$E, player_row),
    player_flight, INDEX($A:$A, player_row),
    player_team, INDEX($C:$C, player_row),
    current_hole, $B44,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44" s="5" t="str">
        <f t="shared" si="10"/>
        <v/>
      </c>
      <c r="W44" s="5" t="str">
        <f t="shared" si="11"/>
        <v/>
      </c>
      <c r="X44" s="5" t="str">
        <f t="shared" si="12"/>
        <v/>
      </c>
      <c r="Y44" s="5" t="str">
        <f t="shared" si="13"/>
        <v/>
      </c>
      <c r="Z44" s="5" t="str">
        <f t="shared" si="14"/>
        <v>Flight_1</v>
      </c>
      <c r="AA44" s="1">
        <v>4.0</v>
      </c>
      <c r="AB44" s="1">
        <v>5.0</v>
      </c>
      <c r="AC44" s="1">
        <v>2.0</v>
      </c>
      <c r="AD44" s="1">
        <v>3.0</v>
      </c>
    </row>
    <row r="46">
      <c r="A46" s="5" t="s">
        <v>272</v>
      </c>
      <c r="B46" s="5" t="s">
        <v>50</v>
      </c>
      <c r="C46" s="2" t="s">
        <v>273</v>
      </c>
      <c r="D46" s="1" t="s">
        <v>274</v>
      </c>
      <c r="E46" s="1" t="s">
        <v>275</v>
      </c>
      <c r="F46" s="1" t="s">
        <v>276</v>
      </c>
      <c r="G46" s="1" t="s">
        <v>277</v>
      </c>
      <c r="H46" s="2" t="s">
        <v>278</v>
      </c>
      <c r="I46" s="1" t="s">
        <v>279</v>
      </c>
      <c r="J46" s="1" t="s">
        <v>280</v>
      </c>
      <c r="K46" s="1" t="s">
        <v>281</v>
      </c>
      <c r="L46" s="1" t="s">
        <v>282</v>
      </c>
      <c r="M46" s="2" t="s">
        <v>283</v>
      </c>
      <c r="N46" s="1" t="s">
        <v>284</v>
      </c>
      <c r="O46" s="1" t="s">
        <v>285</v>
      </c>
      <c r="P46" s="1" t="s">
        <v>286</v>
      </c>
      <c r="Q46" s="1" t="s">
        <v>287</v>
      </c>
      <c r="R46" s="2" t="s">
        <v>288</v>
      </c>
      <c r="S46" s="1" t="s">
        <v>289</v>
      </c>
      <c r="T46" s="1" t="s">
        <v>290</v>
      </c>
      <c r="U46" s="1" t="s">
        <v>291</v>
      </c>
      <c r="V46" s="1" t="s">
        <v>292</v>
      </c>
      <c r="W46" s="2" t="s">
        <v>293</v>
      </c>
      <c r="X46" s="2" t="s">
        <v>294</v>
      </c>
      <c r="Y46" s="2" t="s">
        <v>295</v>
      </c>
      <c r="Z46" s="2" t="s">
        <v>2</v>
      </c>
      <c r="AA46" s="1" t="s">
        <v>296</v>
      </c>
      <c r="AB46" s="1" t="s">
        <v>297</v>
      </c>
      <c r="AC46" s="1" t="s">
        <v>298</v>
      </c>
      <c r="AD46" s="1" t="s">
        <v>299</v>
      </c>
    </row>
    <row r="47">
      <c r="A47" s="1" t="s">
        <v>16</v>
      </c>
      <c r="B47" s="5">
        <v>1.0</v>
      </c>
      <c r="C47" s="5">
        <f t="array" ref="C47">SUMIFS(Front9_Scores!$D:$D, Front9_Scores!$A:$A, $A47, Front9_Scores!$B:$B, INDEX($B:$B,$AA47), Front9_Scores!$C:$C, $B47)</f>
        <v>5</v>
      </c>
      <c r="D47" s="5">
        <f t="array" ref="D47">LET(player_hcp,INDEX($E:$E,$AA47),player_tee,INDEX($F:$F,$AA47),current_hole,$B47,hole_hcp_index,XLOOKUP(current_hole,Course!$A:$A,XLOOKUP(player_tee,Course!$D$1:$F$1,Course!$D:$F)),IF(player_hcp&gt;=hole_hcp_index,1,0)+IF(player_hcp&gt;=(18+hole_hcp_index),1,0))</f>
        <v>1</v>
      </c>
      <c r="E47" s="5">
        <f t="shared" ref="E47:E55" si="15">IF($C47=0,"",$C47-D47)</f>
        <v>4</v>
      </c>
      <c r="F47" s="5">
        <f t="array" ref="F47">LET(
    player_row, $AA47,
    player_hcp, INDEX($E:$E, player_row),
    player_flight, INDEX($A:$A, player_row),
    player_team, INDEX($C:$C, player_row),
    current_hole, $B47,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47" s="5">
        <f t="shared" ref="G47:G55" si="16">IF($C47=0,"",$C47-F47)</f>
        <v>4</v>
      </c>
      <c r="H47" s="5">
        <f t="array" ref="H47">SUMIFS(Front9_Scores!$D:$D, Front9_Scores!$A:$A, $A47, Front9_Scores!$B:$B, INDEX($B:$B,$AB47), Front9_Scores!$C:$C, $B47)</f>
        <v>4</v>
      </c>
      <c r="I47" s="5">
        <f t="array" ref="I47">LET(player_hcp,INDEX($E:$E,$AB47),player_tee,INDEX($F:$F,$AB47),current_hole,$B47,hole_hcp_index,XLOOKUP(current_hole,Course!$A:$A,XLOOKUP(player_tee,Course!$D$1:$F$1,Course!$D:$F)),IF(player_hcp&gt;=hole_hcp_index,1,0)+IF(player_hcp&gt;=(18+hole_hcp_index),1,0))</f>
        <v>1</v>
      </c>
      <c r="J47" s="5">
        <f t="shared" ref="J47:J55" si="17">IF($H47=0,"",$H47-I47)</f>
        <v>3</v>
      </c>
      <c r="K47" s="5">
        <f t="array" ref="K47">LET(
    player_row, $AB47,
    player_hcp, INDEX($E:$E, player_row),
    player_flight, INDEX($A:$A, player_row),
    player_team, INDEX($C:$C, player_row),
    current_hole, $B47,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47" s="5">
        <f t="shared" ref="L47:L55" si="18">IF($H47=0,"",$H47-K47)</f>
        <v>3</v>
      </c>
      <c r="M47" s="5">
        <f t="array" ref="M47">SUMIFS(Front9_Scores!$D:$D, Front9_Scores!$A:$A, $A47, Front9_Scores!$B:$B, INDEX($B:$B,$AC47), Front9_Scores!$C:$C, $B47)</f>
        <v>5</v>
      </c>
      <c r="N47" s="5">
        <f t="array" ref="N47">LET(player_hcp,INDEX($E:$E,$AC47),player_tee,INDEX($F:$F,$AC47),current_hole,$B47,hole_hcp_index,XLOOKUP(current_hole,Course!$A:$A,XLOOKUP(player_tee,Course!$D$1:$F$1,Course!$D:$F)),IF(player_hcp&gt;=hole_hcp_index,1,0)+IF(player_hcp&gt;=(18+hole_hcp_index),1,0))</f>
        <v>1</v>
      </c>
      <c r="O47" s="5">
        <f t="shared" ref="O47:O55" si="19">IF(M47=0,"",M47-N47)</f>
        <v>4</v>
      </c>
      <c r="P47" s="5">
        <f t="array" ref="P47">LET(
    player_row, $AC47,
    player_hcp, INDEX($E:$E, player_row),
    player_flight, INDEX($A:$A, player_row),
    player_team, INDEX($C:$C, player_row),
    current_hole, $B47,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47" s="5">
        <f t="shared" ref="Q47:Q55" si="20">IF($M47=0,"",$M47-P47)</f>
        <v>4</v>
      </c>
      <c r="R47" s="5">
        <f t="array" ref="R47">SUMIFS(Front9_Scores!$D:$D, Front9_Scores!$A:$A, $A47, Front9_Scores!$B:$B, INDEX($B:$B,$AD47), Front9_Scores!$C:$C, $B47)</f>
        <v>4</v>
      </c>
      <c r="S47" s="5">
        <f t="array" ref="S47">LET(player_hcp,INDEX($E:$E,$AD47),player_tee,INDEX($F:$F,$AD47),current_hole,$B47,hole_hcp_index,XLOOKUP(current_hole,Course!$A:$A,XLOOKUP(player_tee,Course!$D$1:$F$1,Course!$D:$F)),IF(player_hcp&gt;=hole_hcp_index,1,0)+IF(player_hcp&gt;=(18+hole_hcp_index),1,0))</f>
        <v>1</v>
      </c>
      <c r="T47" s="5">
        <f t="shared" ref="T47:T55" si="21">IF(R47=0,"",R47-S47)</f>
        <v>3</v>
      </c>
      <c r="U47" s="5">
        <f t="array" ref="U47">LET(
    player_row, $AD47,
    player_hcp, INDEX($E:$E, player_row),
    player_flight, INDEX($A:$A, player_row),
    player_team, INDEX($C:$C, player_row),
    current_hole, $B47,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47" s="5">
        <f t="shared" ref="V47:V55" si="22">IF($R47=0,"",$R47-U47)</f>
        <v>3</v>
      </c>
      <c r="W47" s="5" t="str">
        <f t="shared" ref="W47:W55" si="23">IF(COUNT(G47,L47,Q47,V47)&lt;4,"",LET(Red_Best_Ball,MIN(G47,L47),Blue_Best_Ball,MIN(Q47,V47),IF(Red_Best_Ball&lt;Blue_Best_Ball,"Red",IF(Blue_Best_Ball&lt;Red_Best_Ball,"Blue","Tie"))))</f>
        <v>Tie</v>
      </c>
      <c r="X47" s="5" t="str">
        <f t="shared" ref="X47:X55" si="24">IF(COUNT(E47,O47)&lt;2,"",IF(E47&lt;O47,"Red",IF(O47&lt;E47,"Blue","Tie")))</f>
        <v>Tie</v>
      </c>
      <c r="Y47" s="5" t="str">
        <f t="shared" ref="Y47:Y55" si="25">IF(COUNT(J47,T47)&lt;2,"",IF(J47&lt;T47,"Red",IF(T47&lt;J47,"Blue","Tie")))</f>
        <v>Tie</v>
      </c>
      <c r="Z47" s="5" t="str">
        <f t="shared" ref="Z47:Z55" si="26">A47</f>
        <v>Flight_2</v>
      </c>
      <c r="AA47" s="1">
        <v>8.0</v>
      </c>
      <c r="AB47" s="1">
        <v>9.0</v>
      </c>
      <c r="AC47" s="1">
        <v>6.0</v>
      </c>
      <c r="AD47" s="1">
        <v>7.0</v>
      </c>
    </row>
    <row r="48">
      <c r="A48" s="1" t="s">
        <v>16</v>
      </c>
      <c r="B48" s="5">
        <v>2.0</v>
      </c>
      <c r="C48" s="5">
        <f t="array" ref="C48">SUMIFS(Front9_Scores!$D:$D, Front9_Scores!$A:$A, $A48, Front9_Scores!$B:$B, INDEX($B:$B,$AA48), Front9_Scores!$C:$C, $B48)</f>
        <v>5</v>
      </c>
      <c r="D48" s="5">
        <f t="array" ref="D48">LET(player_hcp,INDEX($E:$E,$AA48),player_tee,INDEX($F:$F,$AA48),current_hole,$B48,hole_hcp_index,XLOOKUP(current_hole,Course!$A:$A,XLOOKUP(player_tee,Course!$D$1:$F$1,Course!$D:$F)),IF(player_hcp&gt;=hole_hcp_index,1,0)+IF(player_hcp&gt;=(18+hole_hcp_index),1,0))</f>
        <v>0</v>
      </c>
      <c r="E48" s="5">
        <f t="shared" si="15"/>
        <v>5</v>
      </c>
      <c r="F48" s="5">
        <f t="array" ref="F48">LET(
    player_row, $AA48,
    player_hcp, INDEX($E:$E, player_row),
    player_flight, INDEX($A:$A, player_row),
    player_team, INDEX($C:$C, player_row),
    current_hole, $B48,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48" s="5">
        <f t="shared" si="16"/>
        <v>5</v>
      </c>
      <c r="H48" s="5">
        <f t="array" ref="H48">SUMIFS(Front9_Scores!$D:$D, Front9_Scores!$A:$A, $A48, Front9_Scores!$B:$B, INDEX($B:$B,$AB48), Front9_Scores!$C:$C, $B48)</f>
        <v>5</v>
      </c>
      <c r="I48" s="5">
        <f t="array" ref="I48">LET(player_hcp,INDEX($E:$E,$AB48),player_tee,INDEX($F:$F,$AB48),current_hole,$B48,hole_hcp_index,XLOOKUP(current_hole,Course!$A:$A,XLOOKUP(player_tee,Course!$D$1:$F$1,Course!$D:$F)),IF(player_hcp&gt;=hole_hcp_index,1,0)+IF(player_hcp&gt;=(18+hole_hcp_index),1,0))</f>
        <v>0</v>
      </c>
      <c r="J48" s="5">
        <f t="shared" si="17"/>
        <v>5</v>
      </c>
      <c r="K48" s="5">
        <f t="array" ref="K48">LET(
    player_row, $AB48,
    player_hcp, INDEX($E:$E, player_row),
    player_flight, INDEX($A:$A, player_row),
    player_team, INDEX($C:$C, player_row),
    current_hole, $B48,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48" s="5">
        <f t="shared" si="18"/>
        <v>5</v>
      </c>
      <c r="M48" s="5">
        <f t="array" ref="M48">SUMIFS(Front9_Scores!$D:$D, Front9_Scores!$A:$A, $A48, Front9_Scores!$B:$B, INDEX($B:$B,$AC48), Front9_Scores!$C:$C, $B48)</f>
        <v>7</v>
      </c>
      <c r="N48" s="5">
        <f t="array" ref="N48">LET(player_hcp,INDEX($E:$E,$AC48),player_tee,INDEX($F:$F,$AC48),current_hole,$B48,hole_hcp_index,XLOOKUP(current_hole,Course!$A:$A,XLOOKUP(player_tee,Course!$D$1:$F$1,Course!$D:$F)),IF(player_hcp&gt;=hole_hcp_index,1,0)+IF(player_hcp&gt;=(18+hole_hcp_index),1,0))</f>
        <v>1</v>
      </c>
      <c r="O48" s="5">
        <f t="shared" si="19"/>
        <v>6</v>
      </c>
      <c r="P48" s="5">
        <f t="array" ref="P48">LET(
    player_row, $AC48,
    player_hcp, INDEX($E:$E, player_row),
    player_flight, INDEX($A:$A, player_row),
    player_team, INDEX($C:$C, player_row),
    current_hole, $B48,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48" s="5">
        <f t="shared" si="20"/>
        <v>6</v>
      </c>
      <c r="R48" s="5">
        <f t="array" ref="R48">SUMIFS(Front9_Scores!$D:$D, Front9_Scores!$A:$A, $A48, Front9_Scores!$B:$B, INDEX($B:$B,$AD48), Front9_Scores!$C:$C, $B48)</f>
        <v>4</v>
      </c>
      <c r="S48" s="5">
        <f t="array" ref="S48">LET(player_hcp,INDEX($E:$E,$AD48),player_tee,INDEX($F:$F,$AD48),current_hole,$B48,hole_hcp_index,XLOOKUP(current_hole,Course!$A:$A,XLOOKUP(player_tee,Course!$D$1:$F$1,Course!$D:$F)),IF(player_hcp&gt;=hole_hcp_index,1,0)+IF(player_hcp&gt;=(18+hole_hcp_index),1,0))</f>
        <v>1</v>
      </c>
      <c r="T48" s="5">
        <f t="shared" si="21"/>
        <v>3</v>
      </c>
      <c r="U48" s="5">
        <f t="array" ref="U48">LET(
    player_row, $AD48,
    player_hcp, INDEX($E:$E, player_row),
    player_flight, INDEX($A:$A, player_row),
    player_team, INDEX($C:$C, player_row),
    current_hole, $B48,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48" s="5">
        <f t="shared" si="22"/>
        <v>3</v>
      </c>
      <c r="W48" s="5" t="str">
        <f t="shared" si="23"/>
        <v>Blue</v>
      </c>
      <c r="X48" s="5" t="str">
        <f t="shared" si="24"/>
        <v>Red</v>
      </c>
      <c r="Y48" s="5" t="str">
        <f t="shared" si="25"/>
        <v>Blue</v>
      </c>
      <c r="Z48" s="5" t="str">
        <f t="shared" si="26"/>
        <v>Flight_2</v>
      </c>
      <c r="AA48" s="1">
        <v>8.0</v>
      </c>
      <c r="AB48" s="1">
        <v>9.0</v>
      </c>
      <c r="AC48" s="1">
        <v>6.0</v>
      </c>
      <c r="AD48" s="1">
        <v>7.0</v>
      </c>
    </row>
    <row r="49">
      <c r="A49" s="1" t="s">
        <v>16</v>
      </c>
      <c r="B49" s="5">
        <v>3.0</v>
      </c>
      <c r="C49" s="5">
        <f t="array" ref="C49">SUMIFS(Front9_Scores!$D:$D, Front9_Scores!$A:$A, $A49, Front9_Scores!$B:$B, INDEX($B:$B,$AA49), Front9_Scores!$C:$C, $B49)</f>
        <v>7</v>
      </c>
      <c r="D49" s="5">
        <f t="array" ref="D49">LET(player_hcp,INDEX($E:$E,$AA49),player_tee,INDEX($F:$F,$AA49),current_hole,$B49,hole_hcp_index,XLOOKUP(current_hole,Course!$A:$A,XLOOKUP(player_tee,Course!$D$1:$F$1,Course!$D:$F)),IF(player_hcp&gt;=hole_hcp_index,1,0)+IF(player_hcp&gt;=(18+hole_hcp_index),1,0))</f>
        <v>0</v>
      </c>
      <c r="E49" s="5">
        <f t="shared" si="15"/>
        <v>7</v>
      </c>
      <c r="F49" s="5">
        <f t="array" ref="F49">LET(
    player_row, $AA49,
    player_hcp, INDEX($E:$E, player_row),
    player_flight, INDEX($A:$A, player_row),
    player_team, INDEX($C:$C, player_row),
    current_hole, $B49,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49" s="5">
        <f t="shared" si="16"/>
        <v>7</v>
      </c>
      <c r="H49" s="5">
        <f t="array" ref="H49">SUMIFS(Front9_Scores!$D:$D, Front9_Scores!$A:$A, $A49, Front9_Scores!$B:$B, INDEX($B:$B,$AB49), Front9_Scores!$C:$C, $B49)</f>
        <v>4</v>
      </c>
      <c r="I49" s="5">
        <f t="array" ref="I49">LET(player_hcp,INDEX($E:$E,$AB49),player_tee,INDEX($F:$F,$AB49),current_hole,$B49,hole_hcp_index,XLOOKUP(current_hole,Course!$A:$A,XLOOKUP(player_tee,Course!$D$1:$F$1,Course!$D:$F)),IF(player_hcp&gt;=hole_hcp_index,1,0)+IF(player_hcp&gt;=(18+hole_hcp_index),1,0))</f>
        <v>0</v>
      </c>
      <c r="J49" s="5">
        <f t="shared" si="17"/>
        <v>4</v>
      </c>
      <c r="K49" s="5">
        <f t="array" ref="K49">LET(
    player_row, $AB49,
    player_hcp, INDEX($E:$E, player_row),
    player_flight, INDEX($A:$A, player_row),
    player_team, INDEX($C:$C, player_row),
    current_hole, $B49,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49" s="5">
        <f t="shared" si="18"/>
        <v>4</v>
      </c>
      <c r="M49" s="5">
        <f t="array" ref="M49">SUMIFS(Front9_Scores!$D:$D, Front9_Scores!$A:$A, $A49, Front9_Scores!$B:$B, INDEX($B:$B,$AC49), Front9_Scores!$C:$C, $B49)</f>
        <v>5</v>
      </c>
      <c r="N49" s="5">
        <f t="array" ref="N49">LET(player_hcp,INDEX($E:$E,$AC49),player_tee,INDEX($F:$F,$AC49),current_hole,$B49,hole_hcp_index,XLOOKUP(current_hole,Course!$A:$A,XLOOKUP(player_tee,Course!$D$1:$F$1,Course!$D:$F)),IF(player_hcp&gt;=hole_hcp_index,1,0)+IF(player_hcp&gt;=(18+hole_hcp_index),1,0))</f>
        <v>1</v>
      </c>
      <c r="O49" s="5">
        <f t="shared" si="19"/>
        <v>4</v>
      </c>
      <c r="P49" s="5">
        <f t="array" ref="P49">LET(
    player_row, $AC49,
    player_hcp, INDEX($E:$E, player_row),
    player_flight, INDEX($A:$A, player_row),
    player_team, INDEX($C:$C, player_row),
    current_hole, $B49,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49" s="5">
        <f t="shared" si="20"/>
        <v>4</v>
      </c>
      <c r="R49" s="5">
        <f t="array" ref="R49">SUMIFS(Front9_Scores!$D:$D, Front9_Scores!$A:$A, $A49, Front9_Scores!$B:$B, INDEX($B:$B,$AD49), Front9_Scores!$C:$C, $B49)</f>
        <v>4</v>
      </c>
      <c r="S49" s="5">
        <f t="array" ref="S49">LET(player_hcp,INDEX($E:$E,$AD49),player_tee,INDEX($F:$F,$AD49),current_hole,$B49,hole_hcp_index,XLOOKUP(current_hole,Course!$A:$A,XLOOKUP(player_tee,Course!$D$1:$F$1,Course!$D:$F)),IF(player_hcp&gt;=hole_hcp_index,1,0)+IF(player_hcp&gt;=(18+hole_hcp_index),1,0))</f>
        <v>0</v>
      </c>
      <c r="T49" s="5">
        <f t="shared" si="21"/>
        <v>4</v>
      </c>
      <c r="U49" s="5">
        <f t="array" ref="U49">LET(
    player_row, $AD49,
    player_hcp, INDEX($E:$E, player_row),
    player_flight, INDEX($A:$A, player_row),
    player_team, INDEX($C:$C, player_row),
    current_hole, $B49,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49" s="5">
        <f t="shared" si="22"/>
        <v>4</v>
      </c>
      <c r="W49" s="5" t="str">
        <f t="shared" si="23"/>
        <v>Tie</v>
      </c>
      <c r="X49" s="5" t="str">
        <f t="shared" si="24"/>
        <v>Blue</v>
      </c>
      <c r="Y49" s="5" t="str">
        <f t="shared" si="25"/>
        <v>Tie</v>
      </c>
      <c r="Z49" s="5" t="str">
        <f t="shared" si="26"/>
        <v>Flight_2</v>
      </c>
      <c r="AA49" s="1">
        <v>8.0</v>
      </c>
      <c r="AB49" s="1">
        <v>9.0</v>
      </c>
      <c r="AC49" s="1">
        <v>6.0</v>
      </c>
      <c r="AD49" s="1">
        <v>7.0</v>
      </c>
    </row>
    <row r="50">
      <c r="A50" s="1" t="s">
        <v>16</v>
      </c>
      <c r="B50" s="5">
        <v>4.0</v>
      </c>
      <c r="C50" s="5">
        <f t="array" ref="C50">SUMIFS(Front9_Scores!$D:$D, Front9_Scores!$A:$A, $A50, Front9_Scores!$B:$B, INDEX($B:$B,$AA50), Front9_Scores!$C:$C, $B50)</f>
        <v>3</v>
      </c>
      <c r="D50" s="5">
        <f t="array" ref="D50">LET(player_hcp,INDEX($E:$E,$AA50),player_tee,INDEX($F:$F,$AA50),current_hole,$B50,hole_hcp_index,XLOOKUP(current_hole,Course!$A:$A,XLOOKUP(player_tee,Course!$D$1:$F$1,Course!$D:$F)),IF(player_hcp&gt;=hole_hcp_index,1,0)+IF(player_hcp&gt;=(18+hole_hcp_index),1,0))</f>
        <v>0</v>
      </c>
      <c r="E50" s="5">
        <f t="shared" si="15"/>
        <v>3</v>
      </c>
      <c r="F50" s="5">
        <f t="array" ref="F50">LET(
    player_row, $AA50,
    player_hcp, INDEX($E:$E, player_row),
    player_flight, INDEX($A:$A, player_row),
    player_team, INDEX($C:$C, player_row),
    current_hole, $B50,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50" s="5">
        <f t="shared" si="16"/>
        <v>3</v>
      </c>
      <c r="H50" s="5">
        <f t="array" ref="H50">SUMIFS(Front9_Scores!$D:$D, Front9_Scores!$A:$A, $A50, Front9_Scores!$B:$B, INDEX($B:$B,$AB50), Front9_Scores!$C:$C, $B50)</f>
        <v>4</v>
      </c>
      <c r="I50" s="5">
        <f t="array" ref="I50">LET(player_hcp,INDEX($E:$E,$AB50),player_tee,INDEX($F:$F,$AB50),current_hole,$B50,hole_hcp_index,XLOOKUP(current_hole,Course!$A:$A,XLOOKUP(player_tee,Course!$D$1:$F$1,Course!$D:$F)),IF(player_hcp&gt;=hole_hcp_index,1,0)+IF(player_hcp&gt;=(18+hole_hcp_index),1,0))</f>
        <v>0</v>
      </c>
      <c r="J50" s="5">
        <f t="shared" si="17"/>
        <v>4</v>
      </c>
      <c r="K50" s="5">
        <f t="array" ref="K50">LET(
    player_row, $AB50,
    player_hcp, INDEX($E:$E, player_row),
    player_flight, INDEX($A:$A, player_row),
    player_team, INDEX($C:$C, player_row),
    current_hole, $B50,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50" s="5">
        <f t="shared" si="18"/>
        <v>4</v>
      </c>
      <c r="M50" s="5">
        <f t="array" ref="M50">SUMIFS(Front9_Scores!$D:$D, Front9_Scores!$A:$A, $A50, Front9_Scores!$B:$B, INDEX($B:$B,$AC50), Front9_Scores!$C:$C, $B50)</f>
        <v>6</v>
      </c>
      <c r="N50" s="5">
        <f t="array" ref="N50">LET(player_hcp,INDEX($E:$E,$AC50),player_tee,INDEX($F:$F,$AC50),current_hole,$B50,hole_hcp_index,XLOOKUP(current_hole,Course!$A:$A,XLOOKUP(player_tee,Course!$D$1:$F$1,Course!$D:$F)),IF(player_hcp&gt;=hole_hcp_index,1,0)+IF(player_hcp&gt;=(18+hole_hcp_index),1,0))</f>
        <v>1</v>
      </c>
      <c r="O50" s="5">
        <f t="shared" si="19"/>
        <v>5</v>
      </c>
      <c r="P50" s="5">
        <f t="array" ref="P50">LET(
    player_row, $AC50,
    player_hcp, INDEX($E:$E, player_row),
    player_flight, INDEX($A:$A, player_row),
    player_team, INDEX($C:$C, player_row),
    current_hole, $B50,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0" s="5">
        <f t="shared" si="20"/>
        <v>5</v>
      </c>
      <c r="R50" s="5">
        <f t="array" ref="R50">SUMIFS(Front9_Scores!$D:$D, Front9_Scores!$A:$A, $A50, Front9_Scores!$B:$B, INDEX($B:$B,$AD50), Front9_Scores!$C:$C, $B50)</f>
        <v>5</v>
      </c>
      <c r="S50" s="5">
        <f t="array" ref="S50">LET(player_hcp,INDEX($E:$E,$AD50),player_tee,INDEX($F:$F,$AD50),current_hole,$B50,hole_hcp_index,XLOOKUP(current_hole,Course!$A:$A,XLOOKUP(player_tee,Course!$D$1:$F$1,Course!$D:$F)),IF(player_hcp&gt;=hole_hcp_index,1,0)+IF(player_hcp&gt;=(18+hole_hcp_index),1,0))</f>
        <v>0</v>
      </c>
      <c r="T50" s="5">
        <f t="shared" si="21"/>
        <v>5</v>
      </c>
      <c r="U50" s="5">
        <f t="array" ref="U50">LET(
    player_row, $AD50,
    player_hcp, INDEX($E:$E, player_row),
    player_flight, INDEX($A:$A, player_row),
    player_team, INDEX($C:$C, player_row),
    current_hole, $B50,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50" s="5">
        <f t="shared" si="22"/>
        <v>5</v>
      </c>
      <c r="W50" s="5" t="str">
        <f t="shared" si="23"/>
        <v>Red</v>
      </c>
      <c r="X50" s="5" t="str">
        <f t="shared" si="24"/>
        <v>Red</v>
      </c>
      <c r="Y50" s="5" t="str">
        <f t="shared" si="25"/>
        <v>Red</v>
      </c>
      <c r="Z50" s="5" t="str">
        <f t="shared" si="26"/>
        <v>Flight_2</v>
      </c>
      <c r="AA50" s="1">
        <v>8.0</v>
      </c>
      <c r="AB50" s="1">
        <v>9.0</v>
      </c>
      <c r="AC50" s="1">
        <v>6.0</v>
      </c>
      <c r="AD50" s="1">
        <v>7.0</v>
      </c>
    </row>
    <row r="51">
      <c r="A51" s="1" t="s">
        <v>16</v>
      </c>
      <c r="B51" s="5">
        <v>5.0</v>
      </c>
      <c r="C51" s="5">
        <f t="array" ref="C51">SUMIFS(Front9_Scores!$D:$D, Front9_Scores!$A:$A, $A51, Front9_Scores!$B:$B, INDEX($B:$B,$AA51), Front9_Scores!$C:$C, $B51)</f>
        <v>4</v>
      </c>
      <c r="D51" s="5">
        <f t="array" ref="D51">LET(player_hcp,INDEX($E:$E,$AA51),player_tee,INDEX($F:$F,$AA51),current_hole,$B51,hole_hcp_index,XLOOKUP(current_hole,Course!$A:$A,XLOOKUP(player_tee,Course!$D$1:$F$1,Course!$D:$F)),IF(player_hcp&gt;=hole_hcp_index,1,0)+IF(player_hcp&gt;=(18+hole_hcp_index),1,0))</f>
        <v>1</v>
      </c>
      <c r="E51" s="5">
        <f t="shared" si="15"/>
        <v>3</v>
      </c>
      <c r="F51" s="5">
        <f t="array" ref="F51">LET(
    player_row, $AA51,
    player_hcp, INDEX($E:$E, player_row),
    player_flight, INDEX($A:$A, player_row),
    player_team, INDEX($C:$C, player_row),
    current_hole, $B51,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51" s="5">
        <f t="shared" si="16"/>
        <v>3</v>
      </c>
      <c r="H51" s="5">
        <f t="array" ref="H51">SUMIFS(Front9_Scores!$D:$D, Front9_Scores!$A:$A, $A51, Front9_Scores!$B:$B, INDEX($B:$B,$AB51), Front9_Scores!$C:$C, $B51)</f>
        <v>3</v>
      </c>
      <c r="I51" s="5">
        <f t="array" ref="I51">LET(player_hcp,INDEX($E:$E,$AB51),player_tee,INDEX($F:$F,$AB51),current_hole,$B51,hole_hcp_index,XLOOKUP(current_hole,Course!$A:$A,XLOOKUP(player_tee,Course!$D$1:$F$1,Course!$D:$F)),IF(player_hcp&gt;=hole_hcp_index,1,0)+IF(player_hcp&gt;=(18+hole_hcp_index),1,0))</f>
        <v>0</v>
      </c>
      <c r="J51" s="5">
        <f t="shared" si="17"/>
        <v>3</v>
      </c>
      <c r="K51" s="5">
        <f t="array" ref="K51">LET(
    player_row, $AB51,
    player_hcp, INDEX($E:$E, player_row),
    player_flight, INDEX($A:$A, player_row),
    player_team, INDEX($C:$C, player_row),
    current_hole, $B51,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51" s="5">
        <f t="shared" si="18"/>
        <v>3</v>
      </c>
      <c r="M51" s="5">
        <f t="array" ref="M51">SUMIFS(Front9_Scores!$D:$D, Front9_Scores!$A:$A, $A51, Front9_Scores!$B:$B, INDEX($B:$B,$AC51), Front9_Scores!$C:$C, $B51)</f>
        <v>6</v>
      </c>
      <c r="N51" s="5">
        <f t="array" ref="N51">LET(player_hcp,INDEX($E:$E,$AC51),player_tee,INDEX($F:$F,$AC51),current_hole,$B51,hole_hcp_index,XLOOKUP(current_hole,Course!$A:$A,XLOOKUP(player_tee,Course!$D$1:$F$1,Course!$D:$F)),IF(player_hcp&gt;=hole_hcp_index,1,0)+IF(player_hcp&gt;=(18+hole_hcp_index),1,0))</f>
        <v>1</v>
      </c>
      <c r="O51" s="5">
        <f t="shared" si="19"/>
        <v>5</v>
      </c>
      <c r="P51" s="5">
        <f t="array" ref="P51">LET(
    player_row, $AC51,
    player_hcp, INDEX($E:$E, player_row),
    player_flight, INDEX($A:$A, player_row),
    player_team, INDEX($C:$C, player_row),
    current_hole, $B51,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1" s="5">
        <f t="shared" si="20"/>
        <v>5</v>
      </c>
      <c r="R51" s="5">
        <f t="array" ref="R51">SUMIFS(Front9_Scores!$D:$D, Front9_Scores!$A:$A, $A51, Front9_Scores!$B:$B, INDEX($B:$B,$AD51), Front9_Scores!$C:$C, $B51)</f>
        <v>3</v>
      </c>
      <c r="S51" s="5">
        <f t="array" ref="S51">LET(player_hcp,INDEX($E:$E,$AD51),player_tee,INDEX($F:$F,$AD51),current_hole,$B51,hole_hcp_index,XLOOKUP(current_hole,Course!$A:$A,XLOOKUP(player_tee,Course!$D$1:$F$1,Course!$D:$F)),IF(player_hcp&gt;=hole_hcp_index,1,0)+IF(player_hcp&gt;=(18+hole_hcp_index),1,0))</f>
        <v>1</v>
      </c>
      <c r="T51" s="5">
        <f t="shared" si="21"/>
        <v>2</v>
      </c>
      <c r="U51" s="5">
        <f t="array" ref="U51">LET(
    player_row, $AD51,
    player_hcp, INDEX($E:$E, player_row),
    player_flight, INDEX($A:$A, player_row),
    player_team, INDEX($C:$C, player_row),
    current_hole, $B51,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51" s="5">
        <f t="shared" si="22"/>
        <v>2</v>
      </c>
      <c r="W51" s="5" t="str">
        <f t="shared" si="23"/>
        <v>Blue</v>
      </c>
      <c r="X51" s="5" t="str">
        <f t="shared" si="24"/>
        <v>Red</v>
      </c>
      <c r="Y51" s="5" t="str">
        <f t="shared" si="25"/>
        <v>Blue</v>
      </c>
      <c r="Z51" s="5" t="str">
        <f t="shared" si="26"/>
        <v>Flight_2</v>
      </c>
      <c r="AA51" s="1">
        <v>8.0</v>
      </c>
      <c r="AB51" s="1">
        <v>9.0</v>
      </c>
      <c r="AC51" s="1">
        <v>6.0</v>
      </c>
      <c r="AD51" s="1">
        <v>7.0</v>
      </c>
    </row>
    <row r="52">
      <c r="A52" s="1" t="s">
        <v>16</v>
      </c>
      <c r="B52" s="5">
        <v>6.0</v>
      </c>
      <c r="C52" s="5">
        <f t="array" ref="C52">SUMIFS(Front9_Scores!$D:$D, Front9_Scores!$A:$A, $A52, Front9_Scores!$B:$B, INDEX($B:$B,$AA52), Front9_Scores!$C:$C, $B52)</f>
        <v>3</v>
      </c>
      <c r="D52" s="5">
        <f t="array" ref="D52">LET(player_hcp,INDEX($E:$E,$AA52),player_tee,INDEX($F:$F,$AA52),current_hole,$B52,hole_hcp_index,XLOOKUP(current_hole,Course!$A:$A,XLOOKUP(player_tee,Course!$D$1:$F$1,Course!$D:$F)),IF(player_hcp&gt;=hole_hcp_index,1,0)+IF(player_hcp&gt;=(18+hole_hcp_index),1,0))</f>
        <v>1</v>
      </c>
      <c r="E52" s="5">
        <f t="shared" si="15"/>
        <v>2</v>
      </c>
      <c r="F52" s="5">
        <f t="array" ref="F52">LET(
    player_row, $AA52,
    player_hcp, INDEX($E:$E, player_row),
    player_flight, INDEX($A:$A, player_row),
    player_team, INDEX($C:$C, player_row),
    current_hole, $B52,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52" s="5">
        <f t="shared" si="16"/>
        <v>2</v>
      </c>
      <c r="H52" s="5">
        <f t="array" ref="H52">SUMIFS(Front9_Scores!$D:$D, Front9_Scores!$A:$A, $A52, Front9_Scores!$B:$B, INDEX($B:$B,$AB52), Front9_Scores!$C:$C, $B52)</f>
        <v>5</v>
      </c>
      <c r="I52" s="5">
        <f t="array" ref="I52">LET(player_hcp,INDEX($E:$E,$AB52),player_tee,INDEX($F:$F,$AB52),current_hole,$B52,hole_hcp_index,XLOOKUP(current_hole,Course!$A:$A,XLOOKUP(player_tee,Course!$D$1:$F$1,Course!$D:$F)),IF(player_hcp&gt;=hole_hcp_index,1,0)+IF(player_hcp&gt;=(18+hole_hcp_index),1,0))</f>
        <v>1</v>
      </c>
      <c r="J52" s="5">
        <f t="shared" si="17"/>
        <v>4</v>
      </c>
      <c r="K52" s="5">
        <f t="array" ref="K52">LET(
    player_row, $AB52,
    player_hcp, INDEX($E:$E, player_row),
    player_flight, INDEX($A:$A, player_row),
    player_team, INDEX($C:$C, player_row),
    current_hole, $B52,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52" s="5">
        <f t="shared" si="18"/>
        <v>4</v>
      </c>
      <c r="M52" s="5">
        <f t="array" ref="M52">SUMIFS(Front9_Scores!$D:$D, Front9_Scores!$A:$A, $A52, Front9_Scores!$B:$B, INDEX($B:$B,$AC52), Front9_Scores!$C:$C, $B52)</f>
        <v>6</v>
      </c>
      <c r="N52" s="5">
        <f t="array" ref="N52">LET(player_hcp,INDEX($E:$E,$AC52),player_tee,INDEX($F:$F,$AC52),current_hole,$B52,hole_hcp_index,XLOOKUP(current_hole,Course!$A:$A,XLOOKUP(player_tee,Course!$D$1:$F$1,Course!$D:$F)),IF(player_hcp&gt;=hole_hcp_index,1,0)+IF(player_hcp&gt;=(18+hole_hcp_index),1,0))</f>
        <v>1</v>
      </c>
      <c r="O52" s="5">
        <f t="shared" si="19"/>
        <v>5</v>
      </c>
      <c r="P52" s="5">
        <f t="array" ref="P52">LET(
    player_row, $AC52,
    player_hcp, INDEX($E:$E, player_row),
    player_flight, INDEX($A:$A, player_row),
    player_team, INDEX($C:$C, player_row),
    current_hole, $B52,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2" s="5">
        <f t="shared" si="20"/>
        <v>5</v>
      </c>
      <c r="R52" s="5">
        <f t="array" ref="R52">SUMIFS(Front9_Scores!$D:$D, Front9_Scores!$A:$A, $A52, Front9_Scores!$B:$B, INDEX($B:$B,$AD52), Front9_Scores!$C:$C, $B52)</f>
        <v>4</v>
      </c>
      <c r="S52" s="5">
        <f t="array" ref="S52">LET(player_hcp,INDEX($E:$E,$AD52),player_tee,INDEX($F:$F,$AD52),current_hole,$B52,hole_hcp_index,XLOOKUP(current_hole,Course!$A:$A,XLOOKUP(player_tee,Course!$D$1:$F$1,Course!$D:$F)),IF(player_hcp&gt;=hole_hcp_index,1,0)+IF(player_hcp&gt;=(18+hole_hcp_index),1,0))</f>
        <v>1</v>
      </c>
      <c r="T52" s="5">
        <f t="shared" si="21"/>
        <v>3</v>
      </c>
      <c r="U52" s="5">
        <f t="array" ref="U52">LET(
    player_row, $AD52,
    player_hcp, INDEX($E:$E, player_row),
    player_flight, INDEX($A:$A, player_row),
    player_team, INDEX($C:$C, player_row),
    current_hole, $B52,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52" s="5">
        <f t="shared" si="22"/>
        <v>3</v>
      </c>
      <c r="W52" s="5" t="str">
        <f t="shared" si="23"/>
        <v>Red</v>
      </c>
      <c r="X52" s="5" t="str">
        <f t="shared" si="24"/>
        <v>Red</v>
      </c>
      <c r="Y52" s="5" t="str">
        <f t="shared" si="25"/>
        <v>Blue</v>
      </c>
      <c r="Z52" s="5" t="str">
        <f t="shared" si="26"/>
        <v>Flight_2</v>
      </c>
      <c r="AA52" s="1">
        <v>8.0</v>
      </c>
      <c r="AB52" s="1">
        <v>9.0</v>
      </c>
      <c r="AC52" s="1">
        <v>6.0</v>
      </c>
      <c r="AD52" s="1">
        <v>7.0</v>
      </c>
    </row>
    <row r="53">
      <c r="A53" s="1" t="s">
        <v>16</v>
      </c>
      <c r="B53" s="5">
        <v>7.0</v>
      </c>
      <c r="C53" s="5">
        <f t="array" ref="C53">SUMIFS(Front9_Scores!$D:$D, Front9_Scores!$A:$A, $A53, Front9_Scores!$B:$B, INDEX($B:$B,$AA53), Front9_Scores!$C:$C, $B53)</f>
        <v>3</v>
      </c>
      <c r="D53" s="5">
        <f t="array" ref="D53">LET(player_hcp,INDEX($E:$E,$AA53),player_tee,INDEX($F:$F,$AA53),current_hole,$B53,hole_hcp_index,XLOOKUP(current_hole,Course!$A:$A,XLOOKUP(player_tee,Course!$D$1:$F$1,Course!$D:$F)),IF(player_hcp&gt;=hole_hcp_index,1,0)+IF(player_hcp&gt;=(18+hole_hcp_index),1,0))</f>
        <v>0</v>
      </c>
      <c r="E53" s="5">
        <f t="shared" si="15"/>
        <v>3</v>
      </c>
      <c r="F53" s="5">
        <f t="array" ref="F53">LET(
    player_row, $AA53,
    player_hcp, INDEX($E:$E, player_row),
    player_flight, INDEX($A:$A, player_row),
    player_team, INDEX($C:$C, player_row),
    current_hole, $B53,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53" s="5">
        <f t="shared" si="16"/>
        <v>3</v>
      </c>
      <c r="H53" s="5">
        <f t="array" ref="H53">SUMIFS(Front9_Scores!$D:$D, Front9_Scores!$A:$A, $A53, Front9_Scores!$B:$B, INDEX($B:$B,$AB53), Front9_Scores!$C:$C, $B53)</f>
        <v>4</v>
      </c>
      <c r="I53" s="5">
        <f t="array" ref="I53">LET(player_hcp,INDEX($E:$E,$AB53),player_tee,INDEX($F:$F,$AB53),current_hole,$B53,hole_hcp_index,XLOOKUP(current_hole,Course!$A:$A,XLOOKUP(player_tee,Course!$D$1:$F$1,Course!$D:$F)),IF(player_hcp&gt;=hole_hcp_index,1,0)+IF(player_hcp&gt;=(18+hole_hcp_index),1,0))</f>
        <v>0</v>
      </c>
      <c r="J53" s="5">
        <f t="shared" si="17"/>
        <v>4</v>
      </c>
      <c r="K53" s="5">
        <f t="array" ref="K53">LET(
    player_row, $AB53,
    player_hcp, INDEX($E:$E, player_row),
    player_flight, INDEX($A:$A, player_row),
    player_team, INDEX($C:$C, player_row),
    current_hole, $B53,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53" s="5">
        <f t="shared" si="18"/>
        <v>4</v>
      </c>
      <c r="M53" s="5">
        <f t="array" ref="M53">SUMIFS(Front9_Scores!$D:$D, Front9_Scores!$A:$A, $A53, Front9_Scores!$B:$B, INDEX($B:$B,$AC53), Front9_Scores!$C:$C, $B53)</f>
        <v>4</v>
      </c>
      <c r="N53" s="5">
        <f t="array" ref="N53">LET(player_hcp,INDEX($E:$E,$AC53),player_tee,INDEX($F:$F,$AC53),current_hole,$B53,hole_hcp_index,XLOOKUP(current_hole,Course!$A:$A,XLOOKUP(player_tee,Course!$D$1:$F$1,Course!$D:$F)),IF(player_hcp&gt;=hole_hcp_index,1,0)+IF(player_hcp&gt;=(18+hole_hcp_index),1,0))</f>
        <v>1</v>
      </c>
      <c r="O53" s="5">
        <f t="shared" si="19"/>
        <v>3</v>
      </c>
      <c r="P53" s="5">
        <f t="array" ref="P53">LET(
    player_row, $AC53,
    player_hcp, INDEX($E:$E, player_row),
    player_flight, INDEX($A:$A, player_row),
    player_team, INDEX($C:$C, player_row),
    current_hole, $B53,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3" s="5">
        <f t="shared" si="20"/>
        <v>3</v>
      </c>
      <c r="R53" s="5">
        <f t="array" ref="R53">SUMIFS(Front9_Scores!$D:$D, Front9_Scores!$A:$A, $A53, Front9_Scores!$B:$B, INDEX($B:$B,$AD53), Front9_Scores!$C:$C, $B53)</f>
        <v>3</v>
      </c>
      <c r="S53" s="5">
        <f t="array" ref="S53">LET(player_hcp,INDEX($E:$E,$AD53),player_tee,INDEX($F:$F,$AD53),current_hole,$B53,hole_hcp_index,XLOOKUP(current_hole,Course!$A:$A,XLOOKUP(player_tee,Course!$D$1:$F$1,Course!$D:$F)),IF(player_hcp&gt;=hole_hcp_index,1,0)+IF(player_hcp&gt;=(18+hole_hcp_index),1,0))</f>
        <v>0</v>
      </c>
      <c r="T53" s="5">
        <f t="shared" si="21"/>
        <v>3</v>
      </c>
      <c r="U53" s="5">
        <f t="array" ref="U53">LET(
    player_row, $AD53,
    player_hcp, INDEX($E:$E, player_row),
    player_flight, INDEX($A:$A, player_row),
    player_team, INDEX($C:$C, player_row),
    current_hole, $B53,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53" s="5">
        <f t="shared" si="22"/>
        <v>3</v>
      </c>
      <c r="W53" s="5" t="str">
        <f t="shared" si="23"/>
        <v>Tie</v>
      </c>
      <c r="X53" s="5" t="str">
        <f t="shared" si="24"/>
        <v>Tie</v>
      </c>
      <c r="Y53" s="5" t="str">
        <f t="shared" si="25"/>
        <v>Blue</v>
      </c>
      <c r="Z53" s="5" t="str">
        <f t="shared" si="26"/>
        <v>Flight_2</v>
      </c>
      <c r="AA53" s="1">
        <v>8.0</v>
      </c>
      <c r="AB53" s="1">
        <v>9.0</v>
      </c>
      <c r="AC53" s="1">
        <v>6.0</v>
      </c>
      <c r="AD53" s="1">
        <v>7.0</v>
      </c>
    </row>
    <row r="54">
      <c r="A54" s="1" t="s">
        <v>16</v>
      </c>
      <c r="B54" s="5">
        <v>8.0</v>
      </c>
      <c r="C54" s="5">
        <f t="array" ref="C54">SUMIFS(Front9_Scores!$D:$D, Front9_Scores!$A:$A, $A54, Front9_Scores!$B:$B, INDEX($B:$B,$AA54), Front9_Scores!$C:$C, $B54)</f>
        <v>7</v>
      </c>
      <c r="D54" s="5">
        <f t="array" ref="D54">LET(player_hcp,INDEX($E:$E,$AA54),player_tee,INDEX($F:$F,$AA54),current_hole,$B54,hole_hcp_index,XLOOKUP(current_hole,Course!$A:$A,XLOOKUP(player_tee,Course!$D$1:$F$1,Course!$D:$F)),IF(player_hcp&gt;=hole_hcp_index,1,0)+IF(player_hcp&gt;=(18+hole_hcp_index),1,0))</f>
        <v>0</v>
      </c>
      <c r="E54" s="5">
        <f t="shared" si="15"/>
        <v>7</v>
      </c>
      <c r="F54" s="5">
        <f t="array" ref="F54">LET(
    player_row, $AA54,
    player_hcp, INDEX($E:$E, player_row),
    player_flight, INDEX($A:$A, player_row),
    player_team, INDEX($C:$C, player_row),
    current_hole, $B54,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54" s="5">
        <f t="shared" si="16"/>
        <v>7</v>
      </c>
      <c r="H54" s="5">
        <f t="array" ref="H54">SUMIFS(Front9_Scores!$D:$D, Front9_Scores!$A:$A, $A54, Front9_Scores!$B:$B, INDEX($B:$B,$AB54), Front9_Scores!$C:$C, $B54)</f>
        <v>6</v>
      </c>
      <c r="I54" s="5">
        <f t="array" ref="I54">LET(player_hcp,INDEX($E:$E,$AB54),player_tee,INDEX($F:$F,$AB54),current_hole,$B54,hole_hcp_index,XLOOKUP(current_hole,Course!$A:$A,XLOOKUP(player_tee,Course!$D$1:$F$1,Course!$D:$F)),IF(player_hcp&gt;=hole_hcp_index,1,0)+IF(player_hcp&gt;=(18+hole_hcp_index),1,0))</f>
        <v>0</v>
      </c>
      <c r="J54" s="5">
        <f t="shared" si="17"/>
        <v>6</v>
      </c>
      <c r="K54" s="5">
        <f t="array" ref="K54">LET(
    player_row, $AB54,
    player_hcp, INDEX($E:$E, player_row),
    player_flight, INDEX($A:$A, player_row),
    player_team, INDEX($C:$C, player_row),
    current_hole, $B54,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54" s="5">
        <f t="shared" si="18"/>
        <v>6</v>
      </c>
      <c r="M54" s="5">
        <f t="array" ref="M54">SUMIFS(Front9_Scores!$D:$D, Front9_Scores!$A:$A, $A54, Front9_Scores!$B:$B, INDEX($B:$B,$AC54), Front9_Scores!$C:$C, $B54)</f>
        <v>5</v>
      </c>
      <c r="N54" s="5">
        <f t="array" ref="N54">LET(player_hcp,INDEX($E:$E,$AC54),player_tee,INDEX($F:$F,$AC54),current_hole,$B54,hole_hcp_index,XLOOKUP(current_hole,Course!$A:$A,XLOOKUP(player_tee,Course!$D$1:$F$1,Course!$D:$F)),IF(player_hcp&gt;=hole_hcp_index,1,0)+IF(player_hcp&gt;=(18+hole_hcp_index),1,0))</f>
        <v>1</v>
      </c>
      <c r="O54" s="5">
        <f t="shared" si="19"/>
        <v>4</v>
      </c>
      <c r="P54" s="5">
        <f t="array" ref="P54">LET(
    player_row, $AC54,
    player_hcp, INDEX($E:$E, player_row),
    player_flight, INDEX($A:$A, player_row),
    player_team, INDEX($C:$C, player_row),
    current_hole, $B54,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4" s="5">
        <f t="shared" si="20"/>
        <v>4</v>
      </c>
      <c r="R54" s="5">
        <f t="array" ref="R54">SUMIFS(Front9_Scores!$D:$D, Front9_Scores!$A:$A, $A54, Front9_Scores!$B:$B, INDEX($B:$B,$AD54), Front9_Scores!$C:$C, $B54)</f>
        <v>6</v>
      </c>
      <c r="S54" s="5">
        <f t="array" ref="S54">LET(player_hcp,INDEX($E:$E,$AD54),player_tee,INDEX($F:$F,$AD54),current_hole,$B54,hole_hcp_index,XLOOKUP(current_hole,Course!$A:$A,XLOOKUP(player_tee,Course!$D$1:$F$1,Course!$D:$F)),IF(player_hcp&gt;=hole_hcp_index,1,0)+IF(player_hcp&gt;=(18+hole_hcp_index),1,0))</f>
        <v>0</v>
      </c>
      <c r="T54" s="5">
        <f t="shared" si="21"/>
        <v>6</v>
      </c>
      <c r="U54" s="5">
        <f t="array" ref="U54">LET(
    player_row, $AD54,
    player_hcp, INDEX($E:$E, player_row),
    player_flight, INDEX($A:$A, player_row),
    player_team, INDEX($C:$C, player_row),
    current_hole, $B54,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54" s="5">
        <f t="shared" si="22"/>
        <v>6</v>
      </c>
      <c r="W54" s="5" t="str">
        <f t="shared" si="23"/>
        <v>Blue</v>
      </c>
      <c r="X54" s="5" t="str">
        <f t="shared" si="24"/>
        <v>Blue</v>
      </c>
      <c r="Y54" s="5" t="str">
        <f t="shared" si="25"/>
        <v>Tie</v>
      </c>
      <c r="Z54" s="5" t="str">
        <f t="shared" si="26"/>
        <v>Flight_2</v>
      </c>
      <c r="AA54" s="1">
        <v>8.0</v>
      </c>
      <c r="AB54" s="1">
        <v>9.0</v>
      </c>
      <c r="AC54" s="1">
        <v>6.0</v>
      </c>
      <c r="AD54" s="1">
        <v>7.0</v>
      </c>
    </row>
    <row r="55">
      <c r="A55" s="1" t="s">
        <v>16</v>
      </c>
      <c r="B55" s="5">
        <v>9.0</v>
      </c>
      <c r="C55" s="5">
        <f t="array" ref="C55">SUMIFS(Front9_Scores!$D:$D, Front9_Scores!$A:$A, $A55, Front9_Scores!$B:$B, INDEX($B:$B,$AA55), Front9_Scores!$C:$C, $B55)</f>
        <v>6</v>
      </c>
      <c r="D55" s="5">
        <f t="array" ref="D55">LET(player_hcp,INDEX($E:$E,$AA55),player_tee,INDEX($F:$F,$AA55),current_hole,$B55,hole_hcp_index,XLOOKUP(current_hole,Course!$A:$A,XLOOKUP(player_tee,Course!$D$1:$F$1,Course!$D:$F)),IF(player_hcp&gt;=hole_hcp_index,1,0)+IF(player_hcp&gt;=(18+hole_hcp_index),1,0))</f>
        <v>1</v>
      </c>
      <c r="E55" s="5">
        <f t="shared" si="15"/>
        <v>5</v>
      </c>
      <c r="F55" s="5">
        <f t="array" ref="F55">LET(
    player_row, $AA55,
    player_hcp, INDEX($E:$E, player_row),
    player_flight, INDEX($A:$A, player_row),
    player_team, INDEX($C:$C, player_row),
    current_hole, $B55,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55" s="5">
        <f t="shared" si="16"/>
        <v>5</v>
      </c>
      <c r="H55" s="5">
        <f t="array" ref="H55">SUMIFS(Front9_Scores!$D:$D, Front9_Scores!$A:$A, $A55, Front9_Scores!$B:$B, INDEX($B:$B,$AB55), Front9_Scores!$C:$C, $B55)</f>
        <v>5</v>
      </c>
      <c r="I55" s="5">
        <f t="array" ref="I55">LET(player_hcp,INDEX($E:$E,$AB55),player_tee,INDEX($F:$F,$AB55),current_hole,$B55,hole_hcp_index,XLOOKUP(current_hole,Course!$A:$A,XLOOKUP(player_tee,Course!$D$1:$F$1,Course!$D:$F)),IF(player_hcp&gt;=hole_hcp_index,1,0)+IF(player_hcp&gt;=(18+hole_hcp_index),1,0))</f>
        <v>1</v>
      </c>
      <c r="J55" s="5">
        <f t="shared" si="17"/>
        <v>4</v>
      </c>
      <c r="K55" s="5">
        <f t="array" ref="K55">LET(
    player_row, $AB55,
    player_hcp, INDEX($E:$E, player_row),
    player_flight, INDEX($A:$A, player_row),
    player_team, INDEX($C:$C, player_row),
    current_hole, $B55,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55" s="5">
        <f t="shared" si="18"/>
        <v>4</v>
      </c>
      <c r="M55" s="5">
        <f t="array" ref="M55">SUMIFS(Front9_Scores!$D:$D, Front9_Scores!$A:$A, $A55, Front9_Scores!$B:$B, INDEX($B:$B,$AC55), Front9_Scores!$C:$C, $B55)</f>
        <v>6</v>
      </c>
      <c r="N55" s="5">
        <f t="array" ref="N55">LET(player_hcp,INDEX($E:$E,$AC55),player_tee,INDEX($F:$F,$AC55),current_hole,$B55,hole_hcp_index,XLOOKUP(current_hole,Course!$A:$A,XLOOKUP(player_tee,Course!$D$1:$F$1,Course!$D:$F)),IF(player_hcp&gt;=hole_hcp_index,1,0)+IF(player_hcp&gt;=(18+hole_hcp_index),1,0))</f>
        <v>1</v>
      </c>
      <c r="O55" s="5">
        <f t="shared" si="19"/>
        <v>5</v>
      </c>
      <c r="P55" s="5">
        <f t="array" ref="P55">LET(
    player_row, $AC55,
    player_hcp, INDEX($E:$E, player_row),
    player_flight, INDEX($A:$A, player_row),
    player_team, INDEX($C:$C, player_row),
    current_hole, $B55,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5" s="5">
        <f t="shared" si="20"/>
        <v>5</v>
      </c>
      <c r="R55" s="5">
        <f t="array" ref="R55">SUMIFS(Front9_Scores!$D:$D, Front9_Scores!$A:$A, $A55, Front9_Scores!$B:$B, INDEX($B:$B,$AD55), Front9_Scores!$C:$C, $B55)</f>
        <v>5</v>
      </c>
      <c r="S55" s="5">
        <f t="array" ref="S55">LET(player_hcp,INDEX($E:$E,$AD55),player_tee,INDEX($F:$F,$AD55),current_hole,$B55,hole_hcp_index,XLOOKUP(current_hole,Course!$A:$A,XLOOKUP(player_tee,Course!$D$1:$F$1,Course!$D:$F)),IF(player_hcp&gt;=hole_hcp_index,1,0)+IF(player_hcp&gt;=(18+hole_hcp_index),1,0))</f>
        <v>1</v>
      </c>
      <c r="T55" s="5">
        <f t="shared" si="21"/>
        <v>4</v>
      </c>
      <c r="U55" s="5">
        <f t="array" ref="U55">LET(
    player_row, $AD55,
    player_hcp, INDEX($E:$E, player_row),
    player_flight, INDEX($A:$A, player_row),
    player_team, INDEX($C:$C, player_row),
    current_hole, $B55,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55" s="5">
        <f t="shared" si="22"/>
        <v>4</v>
      </c>
      <c r="W55" s="5" t="str">
        <f t="shared" si="23"/>
        <v>Tie</v>
      </c>
      <c r="X55" s="5" t="str">
        <f t="shared" si="24"/>
        <v>Tie</v>
      </c>
      <c r="Y55" s="5" t="str">
        <f t="shared" si="25"/>
        <v>Tie</v>
      </c>
      <c r="Z55" s="5" t="str">
        <f t="shared" si="26"/>
        <v>Flight_2</v>
      </c>
      <c r="AA55" s="1">
        <v>8.0</v>
      </c>
      <c r="AB55" s="1">
        <v>9.0</v>
      </c>
      <c r="AC55" s="1">
        <v>6.0</v>
      </c>
      <c r="AD55" s="1">
        <v>7.0</v>
      </c>
    </row>
    <row r="57">
      <c r="A57" s="5" t="s">
        <v>272</v>
      </c>
      <c r="B57" s="5" t="s">
        <v>50</v>
      </c>
      <c r="C57" s="2" t="s">
        <v>273</v>
      </c>
      <c r="D57" s="1" t="s">
        <v>274</v>
      </c>
      <c r="E57" s="1" t="s">
        <v>275</v>
      </c>
      <c r="F57" s="1" t="s">
        <v>276</v>
      </c>
      <c r="G57" s="1" t="s">
        <v>277</v>
      </c>
      <c r="H57" s="2" t="s">
        <v>278</v>
      </c>
      <c r="I57" s="1" t="s">
        <v>279</v>
      </c>
      <c r="J57" s="1" t="s">
        <v>280</v>
      </c>
      <c r="K57" s="1" t="s">
        <v>281</v>
      </c>
      <c r="L57" s="1" t="s">
        <v>282</v>
      </c>
      <c r="M57" s="2" t="s">
        <v>283</v>
      </c>
      <c r="N57" s="1" t="s">
        <v>284</v>
      </c>
      <c r="O57" s="1" t="s">
        <v>285</v>
      </c>
      <c r="P57" s="1" t="s">
        <v>286</v>
      </c>
      <c r="Q57" s="1" t="s">
        <v>287</v>
      </c>
      <c r="R57" s="2" t="s">
        <v>288</v>
      </c>
      <c r="S57" s="1" t="s">
        <v>289</v>
      </c>
      <c r="T57" s="1" t="s">
        <v>290</v>
      </c>
      <c r="U57" s="1" t="s">
        <v>291</v>
      </c>
      <c r="V57" s="1" t="s">
        <v>292</v>
      </c>
      <c r="W57" s="2" t="s">
        <v>293</v>
      </c>
      <c r="X57" s="2" t="s">
        <v>294</v>
      </c>
      <c r="Y57" s="2" t="s">
        <v>295</v>
      </c>
      <c r="Z57" s="2" t="s">
        <v>2</v>
      </c>
      <c r="AA57" s="1" t="s">
        <v>296</v>
      </c>
      <c r="AB57" s="1" t="s">
        <v>297</v>
      </c>
      <c r="AC57" s="1" t="s">
        <v>298</v>
      </c>
      <c r="AD57" s="1" t="s">
        <v>299</v>
      </c>
    </row>
    <row r="58">
      <c r="A58" s="1" t="s">
        <v>21</v>
      </c>
      <c r="B58" s="5">
        <v>1.0</v>
      </c>
      <c r="C58" s="5">
        <f t="array" ref="C58">SUMIFS(Front9_Scores!$D:$D, Front9_Scores!$A:$A, $A58, Front9_Scores!$B:$B, INDEX($B:$B,$AA58), Front9_Scores!$C:$C, $B58)</f>
        <v>4</v>
      </c>
      <c r="D58" s="5">
        <f t="array" ref="D58">LET(player_hcp,INDEX($E:$E,$AA58),player_tee,INDEX($F:$F,$AA58),current_hole,$B58,hole_hcp_index,XLOOKUP(current_hole,Course!$A:$A,XLOOKUP(player_tee,Course!$D$1:$F$1,Course!$D:$F)),IF(player_hcp&gt;=hole_hcp_index,1,0)+IF(player_hcp&gt;=(18+hole_hcp_index),1,0))</f>
        <v>1</v>
      </c>
      <c r="E58" s="5">
        <f t="shared" ref="E58:E66" si="27">IF($C58=0,"",$C58-D58)</f>
        <v>3</v>
      </c>
      <c r="F58" s="5">
        <f t="array" ref="F58">LET(
    player_row, $AA58,
    player_hcp, INDEX($E:$E, player_row),
    player_flight, INDEX($A:$A, player_row),
    player_team, INDEX($C:$C, player_row),
    current_hole, $B58,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58" s="5">
        <f t="shared" ref="G58:G66" si="28">IF($C58=0,"",$C58-F58)</f>
        <v>3</v>
      </c>
      <c r="H58" s="5">
        <f t="array" ref="H58">SUMIFS(Front9_Scores!$D:$D, Front9_Scores!$A:$A, $A58, Front9_Scores!$B:$B, INDEX($B:$B,$AB58), Front9_Scores!$C:$C, $B58)</f>
        <v>5</v>
      </c>
      <c r="I58" s="5">
        <f t="array" ref="I58">LET(player_hcp,INDEX($E:$E,$AB58),player_tee,INDEX($F:$F,$AB58),current_hole,$B58,hole_hcp_index,XLOOKUP(current_hole,Course!$A:$A,XLOOKUP(player_tee,Course!$D$1:$F$1,Course!$D:$F)),IF(player_hcp&gt;=hole_hcp_index,1,0)+IF(player_hcp&gt;=(18+hole_hcp_index),1,0))</f>
        <v>1</v>
      </c>
      <c r="J58" s="5">
        <f t="shared" ref="J58:J66" si="29">IF($H58=0,"",$H58-I58)</f>
        <v>4</v>
      </c>
      <c r="K58" s="5">
        <f t="array" ref="K58">LET(
    player_row, $AB58,
    player_hcp, INDEX($E:$E, player_row),
    player_flight, INDEX($A:$A, player_row),
    player_team, INDEX($C:$C, player_row),
    current_hole, $B58,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58" s="5">
        <f t="shared" ref="L58:L66" si="30">IF($H58=0,"",$H58-K58)</f>
        <v>4</v>
      </c>
      <c r="M58" s="5">
        <f t="array" ref="M58">SUMIFS(Front9_Scores!$D:$D, Front9_Scores!$A:$A, $A58, Front9_Scores!$B:$B, INDEX($B:$B,$AC58), Front9_Scores!$C:$C, $B58)</f>
        <v>7</v>
      </c>
      <c r="N58" s="5">
        <f t="array" ref="N58">LET(player_hcp,INDEX($E:$E,$AC58),player_tee,INDEX($F:$F,$AC58),current_hole,$B58,hole_hcp_index,XLOOKUP(current_hole,Course!$A:$A,XLOOKUP(player_tee,Course!$D$1:$F$1,Course!$D:$F)),IF(player_hcp&gt;=hole_hcp_index,1,0)+IF(player_hcp&gt;=(18+hole_hcp_index),1,0))</f>
        <v>1</v>
      </c>
      <c r="O58" s="5">
        <f t="shared" ref="O58:O66" si="31">IF(M58=0,"",M58-N58)</f>
        <v>6</v>
      </c>
      <c r="P58" s="5">
        <f t="array" ref="P58">LET(
    player_row, $AC58,
    player_hcp, INDEX($E:$E, player_row),
    player_flight, INDEX($A:$A, player_row),
    player_team, INDEX($C:$C, player_row),
    current_hole, $B58,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8" s="5">
        <f t="shared" ref="Q58:Q66" si="32">IF($M58=0,"",$M58-P58)</f>
        <v>6</v>
      </c>
      <c r="R58" s="5">
        <f t="array" ref="R58">SUMIFS(Front9_Scores!$D:$D, Front9_Scores!$A:$A, $A58, Front9_Scores!$B:$B, INDEX($B:$B,$AD58), Front9_Scores!$C:$C, $B58)</f>
        <v>6</v>
      </c>
      <c r="S58" s="5">
        <f t="array" ref="S58">LET(player_hcp,INDEX($E:$E,$AD58),player_tee,INDEX($F:$F,$AD58),current_hole,$B58,hole_hcp_index,XLOOKUP(current_hole,Course!$A:$A,XLOOKUP(player_tee,Course!$D$1:$F$1,Course!$D:$F)),IF(player_hcp&gt;=hole_hcp_index,1,0)+IF(player_hcp&gt;=(18+hole_hcp_index),1,0))</f>
        <v>1</v>
      </c>
      <c r="T58" s="5">
        <f t="shared" ref="T58:T66" si="33">IF(R58=0,"",R58-S58)</f>
        <v>5</v>
      </c>
      <c r="U58" s="5">
        <f t="array" ref="U58">LET(
    player_row, $AD58,
    player_hcp, INDEX($E:$E, player_row),
    player_flight, INDEX($A:$A, player_row),
    player_team, INDEX($C:$C, player_row),
    current_hole, $B58,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58" s="5">
        <f t="shared" ref="V58:V66" si="34">IF($R58=0,"",$R58-U58)</f>
        <v>5</v>
      </c>
      <c r="W58" s="5" t="str">
        <f t="shared" ref="W58:W66" si="35">IF(COUNT(G58,L58,Q58,V58)&lt;4,"",LET(Red_Best_Ball,MIN(G58,L58),Blue_Best_Ball,MIN(Q58,V58),IF(Red_Best_Ball&lt;Blue_Best_Ball,"Red",IF(Blue_Best_Ball&lt;Red_Best_Ball,"Blue","Tie"))))</f>
        <v>Red</v>
      </c>
      <c r="X58" s="5" t="str">
        <f t="shared" ref="X58:X66" si="36">IF(COUNT(E58,O58)&lt;2,"",IF(E58&lt;O58,"Red",IF(O58&lt;E58,"Blue","Tie")))</f>
        <v>Red</v>
      </c>
      <c r="Y58" s="5" t="str">
        <f t="shared" ref="Y58:Y66" si="37">IF(COUNT(J58,T58)&lt;2,"",IF(J58&lt;T58,"Red",IF(T58&lt;J58,"Blue","Tie")))</f>
        <v>Red</v>
      </c>
      <c r="Z58" s="5" t="str">
        <f t="shared" ref="Z58:Z66" si="38">A58</f>
        <v>Flight_3</v>
      </c>
      <c r="AA58" s="1">
        <v>12.0</v>
      </c>
      <c r="AB58" s="1">
        <v>13.0</v>
      </c>
      <c r="AC58" s="1">
        <v>10.0</v>
      </c>
      <c r="AD58" s="1">
        <v>11.0</v>
      </c>
    </row>
    <row r="59">
      <c r="A59" s="1" t="s">
        <v>21</v>
      </c>
      <c r="B59" s="5">
        <v>2.0</v>
      </c>
      <c r="C59" s="5">
        <f t="array" ref="C59">SUMIFS(Front9_Scores!$D:$D, Front9_Scores!$A:$A, $A59, Front9_Scores!$B:$B, INDEX($B:$B,$AA59), Front9_Scores!$C:$C, $B59)</f>
        <v>5</v>
      </c>
      <c r="D59" s="5">
        <f t="array" ref="D59">LET(player_hcp,INDEX($E:$E,$AA59),player_tee,INDEX($F:$F,$AA59),current_hole,$B59,hole_hcp_index,XLOOKUP(current_hole,Course!$A:$A,XLOOKUP(player_tee,Course!$D$1:$F$1,Course!$D:$F)),IF(player_hcp&gt;=hole_hcp_index,1,0)+IF(player_hcp&gt;=(18+hole_hcp_index),1,0))</f>
        <v>1</v>
      </c>
      <c r="E59" s="5">
        <f t="shared" si="27"/>
        <v>4</v>
      </c>
      <c r="F59" s="5">
        <f t="array" ref="F59">LET(
    player_row, $AA59,
    player_hcp, INDEX($E:$E, player_row),
    player_flight, INDEX($A:$A, player_row),
    player_team, INDEX($C:$C, player_row),
    current_hole, $B59,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59" s="5">
        <f t="shared" si="28"/>
        <v>4</v>
      </c>
      <c r="H59" s="5">
        <f t="array" ref="H59">SUMIFS(Front9_Scores!$D:$D, Front9_Scores!$A:$A, $A59, Front9_Scores!$B:$B, INDEX($B:$B,$AB59), Front9_Scores!$C:$C, $B59)</f>
        <v>5</v>
      </c>
      <c r="I59" s="5">
        <f t="array" ref="I59">LET(player_hcp,INDEX($E:$E,$AB59),player_tee,INDEX($F:$F,$AB59),current_hole,$B59,hole_hcp_index,XLOOKUP(current_hole,Course!$A:$A,XLOOKUP(player_tee,Course!$D$1:$F$1,Course!$D:$F)),IF(player_hcp&gt;=hole_hcp_index,1,0)+IF(player_hcp&gt;=(18+hole_hcp_index),1,0))</f>
        <v>1</v>
      </c>
      <c r="J59" s="5">
        <f t="shared" si="29"/>
        <v>4</v>
      </c>
      <c r="K59" s="5">
        <f t="array" ref="K59">LET(
    player_row, $AB59,
    player_hcp, INDEX($E:$E, player_row),
    player_flight, INDEX($A:$A, player_row),
    player_team, INDEX($C:$C, player_row),
    current_hole, $B59,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59" s="5">
        <f t="shared" si="30"/>
        <v>4</v>
      </c>
      <c r="M59" s="5">
        <f t="array" ref="M59">SUMIFS(Front9_Scores!$D:$D, Front9_Scores!$A:$A, $A59, Front9_Scores!$B:$B, INDEX($B:$B,$AC59), Front9_Scores!$C:$C, $B59)</f>
        <v>6</v>
      </c>
      <c r="N59" s="5">
        <f t="array" ref="N59">LET(player_hcp,INDEX($E:$E,$AC59),player_tee,INDEX($F:$F,$AC59),current_hole,$B59,hole_hcp_index,XLOOKUP(current_hole,Course!$A:$A,XLOOKUP(player_tee,Course!$D$1:$F$1,Course!$D:$F)),IF(player_hcp&gt;=hole_hcp_index,1,0)+IF(player_hcp&gt;=(18+hole_hcp_index),1,0))</f>
        <v>1</v>
      </c>
      <c r="O59" s="5">
        <f t="shared" si="31"/>
        <v>5</v>
      </c>
      <c r="P59" s="5">
        <f t="array" ref="P59">LET(
    player_row, $AC59,
    player_hcp, INDEX($E:$E, player_row),
    player_flight, INDEX($A:$A, player_row),
    player_team, INDEX($C:$C, player_row),
    current_hole, $B59,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59" s="5">
        <f t="shared" si="32"/>
        <v>5</v>
      </c>
      <c r="R59" s="5">
        <f t="array" ref="R59">SUMIFS(Front9_Scores!$D:$D, Front9_Scores!$A:$A, $A59, Front9_Scores!$B:$B, INDEX($B:$B,$AD59), Front9_Scores!$C:$C, $B59)</f>
        <v>6</v>
      </c>
      <c r="S59" s="5">
        <f t="array" ref="S59">LET(player_hcp,INDEX($E:$E,$AD59),player_tee,INDEX($F:$F,$AD59),current_hole,$B59,hole_hcp_index,XLOOKUP(current_hole,Course!$A:$A,XLOOKUP(player_tee,Course!$D$1:$F$1,Course!$D:$F)),IF(player_hcp&gt;=hole_hcp_index,1,0)+IF(player_hcp&gt;=(18+hole_hcp_index),1,0))</f>
        <v>1</v>
      </c>
      <c r="T59" s="5">
        <f t="shared" si="33"/>
        <v>5</v>
      </c>
      <c r="U59" s="5">
        <f t="array" ref="U59">LET(
    player_row, $AD59,
    player_hcp, INDEX($E:$E, player_row),
    player_flight, INDEX($A:$A, player_row),
    player_team, INDEX($C:$C, player_row),
    current_hole, $B59,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59" s="5">
        <f t="shared" si="34"/>
        <v>5</v>
      </c>
      <c r="W59" s="5" t="str">
        <f t="shared" si="35"/>
        <v>Red</v>
      </c>
      <c r="X59" s="5" t="str">
        <f t="shared" si="36"/>
        <v>Red</v>
      </c>
      <c r="Y59" s="5" t="str">
        <f t="shared" si="37"/>
        <v>Red</v>
      </c>
      <c r="Z59" s="5" t="str">
        <f t="shared" si="38"/>
        <v>Flight_3</v>
      </c>
      <c r="AA59" s="1">
        <v>12.0</v>
      </c>
      <c r="AB59" s="1">
        <v>13.0</v>
      </c>
      <c r="AC59" s="1">
        <v>10.0</v>
      </c>
      <c r="AD59" s="1">
        <v>11.0</v>
      </c>
    </row>
    <row r="60">
      <c r="A60" s="1" t="s">
        <v>21</v>
      </c>
      <c r="B60" s="5">
        <v>3.0</v>
      </c>
      <c r="C60" s="5">
        <f t="array" ref="C60">SUMIFS(Front9_Scores!$D:$D, Front9_Scores!$A:$A, $A60, Front9_Scores!$B:$B, INDEX($B:$B,$AA60), Front9_Scores!$C:$C, $B60)</f>
        <v>4</v>
      </c>
      <c r="D60" s="5">
        <f t="array" ref="D60">LET(player_hcp,INDEX($E:$E,$AA60),player_tee,INDEX($F:$F,$AA60),current_hole,$B60,hole_hcp_index,XLOOKUP(current_hole,Course!$A:$A,XLOOKUP(player_tee,Course!$D$1:$F$1,Course!$D:$F)),IF(player_hcp&gt;=hole_hcp_index,1,0)+IF(player_hcp&gt;=(18+hole_hcp_index),1,0))</f>
        <v>0</v>
      </c>
      <c r="E60" s="5">
        <f t="shared" si="27"/>
        <v>4</v>
      </c>
      <c r="F60" s="5">
        <f t="array" ref="F60">LET(
    player_row, $AA60,
    player_hcp, INDEX($E:$E, player_row),
    player_flight, INDEX($A:$A, player_row),
    player_team, INDEX($C:$C, player_row),
    current_hole, $B60,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60" s="5">
        <f t="shared" si="28"/>
        <v>4</v>
      </c>
      <c r="H60" s="5">
        <f t="array" ref="H60">SUMIFS(Front9_Scores!$D:$D, Front9_Scores!$A:$A, $A60, Front9_Scores!$B:$B, INDEX($B:$B,$AB60), Front9_Scores!$C:$C, $B60)</f>
        <v>5</v>
      </c>
      <c r="I60" s="5">
        <f t="array" ref="I60">LET(player_hcp,INDEX($E:$E,$AB60),player_tee,INDEX($F:$F,$AB60),current_hole,$B60,hole_hcp_index,XLOOKUP(current_hole,Course!$A:$A,XLOOKUP(player_tee,Course!$D$1:$F$1,Course!$D:$F)),IF(player_hcp&gt;=hole_hcp_index,1,0)+IF(player_hcp&gt;=(18+hole_hcp_index),1,0))</f>
        <v>0</v>
      </c>
      <c r="J60" s="5">
        <f t="shared" si="29"/>
        <v>5</v>
      </c>
      <c r="K60" s="5">
        <f t="array" ref="K60">LET(
    player_row, $AB60,
    player_hcp, INDEX($E:$E, player_row),
    player_flight, INDEX($A:$A, player_row),
    player_team, INDEX($C:$C, player_row),
    current_hole, $B60,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60" s="5">
        <f t="shared" si="30"/>
        <v>5</v>
      </c>
      <c r="M60" s="5">
        <f t="array" ref="M60">SUMIFS(Front9_Scores!$D:$D, Front9_Scores!$A:$A, $A60, Front9_Scores!$B:$B, INDEX($B:$B,$AC60), Front9_Scores!$C:$C, $B60)</f>
        <v>5</v>
      </c>
      <c r="N60" s="5">
        <f t="array" ref="N60">LET(player_hcp,INDEX($E:$E,$AC60),player_tee,INDEX($F:$F,$AC60),current_hole,$B60,hole_hcp_index,XLOOKUP(current_hole,Course!$A:$A,XLOOKUP(player_tee,Course!$D$1:$F$1,Course!$D:$F)),IF(player_hcp&gt;=hole_hcp_index,1,0)+IF(player_hcp&gt;=(18+hole_hcp_index),1,0))</f>
        <v>0</v>
      </c>
      <c r="O60" s="5">
        <f t="shared" si="31"/>
        <v>5</v>
      </c>
      <c r="P60" s="5">
        <f t="array" ref="P60">LET(
    player_row, $AC60,
    player_hcp, INDEX($E:$E, player_row),
    player_flight, INDEX($A:$A, player_row),
    player_team, INDEX($C:$C, player_row),
    current_hole, $B60,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60" s="5">
        <f t="shared" si="32"/>
        <v>5</v>
      </c>
      <c r="R60" s="5">
        <f t="array" ref="R60">SUMIFS(Front9_Scores!$D:$D, Front9_Scores!$A:$A, $A60, Front9_Scores!$B:$B, INDEX($B:$B,$AD60), Front9_Scores!$C:$C, $B60)</f>
        <v>5</v>
      </c>
      <c r="S60" s="5">
        <f t="array" ref="S60">LET(player_hcp,INDEX($E:$E,$AD60),player_tee,INDEX($F:$F,$AD60),current_hole,$B60,hole_hcp_index,XLOOKUP(current_hole,Course!$A:$A,XLOOKUP(player_tee,Course!$D$1:$F$1,Course!$D:$F)),IF(player_hcp&gt;=hole_hcp_index,1,0)+IF(player_hcp&gt;=(18+hole_hcp_index),1,0))</f>
        <v>0</v>
      </c>
      <c r="T60" s="5">
        <f t="shared" si="33"/>
        <v>5</v>
      </c>
      <c r="U60" s="5">
        <f t="array" ref="U60">LET(
    player_row, $AD60,
    player_hcp, INDEX($E:$E, player_row),
    player_flight, INDEX($A:$A, player_row),
    player_team, INDEX($C:$C, player_row),
    current_hole, $B60,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60" s="5">
        <f t="shared" si="34"/>
        <v>5</v>
      </c>
      <c r="W60" s="5" t="str">
        <f t="shared" si="35"/>
        <v>Red</v>
      </c>
      <c r="X60" s="5" t="str">
        <f t="shared" si="36"/>
        <v>Red</v>
      </c>
      <c r="Y60" s="5" t="str">
        <f t="shared" si="37"/>
        <v>Tie</v>
      </c>
      <c r="Z60" s="5" t="str">
        <f t="shared" si="38"/>
        <v>Flight_3</v>
      </c>
      <c r="AA60" s="1">
        <v>12.0</v>
      </c>
      <c r="AB60" s="1">
        <v>13.0</v>
      </c>
      <c r="AC60" s="1">
        <v>10.0</v>
      </c>
      <c r="AD60" s="1">
        <v>11.0</v>
      </c>
    </row>
    <row r="61">
      <c r="A61" s="1" t="s">
        <v>21</v>
      </c>
      <c r="B61" s="5">
        <v>4.0</v>
      </c>
      <c r="C61" s="5">
        <f t="array" ref="C61">SUMIFS(Front9_Scores!$D:$D, Front9_Scores!$A:$A, $A61, Front9_Scores!$B:$B, INDEX($B:$B,$AA61), Front9_Scores!$C:$C, $B61)</f>
        <v>3</v>
      </c>
      <c r="D61" s="5">
        <f t="array" ref="D61">LET(player_hcp,INDEX($E:$E,$AA61),player_tee,INDEX($F:$F,$AA61),current_hole,$B61,hole_hcp_index,XLOOKUP(current_hole,Course!$A:$A,XLOOKUP(player_tee,Course!$D$1:$F$1,Course!$D:$F)),IF(player_hcp&gt;=hole_hcp_index,1,0)+IF(player_hcp&gt;=(18+hole_hcp_index),1,0))</f>
        <v>0</v>
      </c>
      <c r="E61" s="5">
        <f t="shared" si="27"/>
        <v>3</v>
      </c>
      <c r="F61" s="5">
        <f t="array" ref="F61">LET(
    player_row, $AA61,
    player_hcp, INDEX($E:$E, player_row),
    player_flight, INDEX($A:$A, player_row),
    player_team, INDEX($C:$C, player_row),
    current_hole, $B61,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61" s="5">
        <f t="shared" si="28"/>
        <v>3</v>
      </c>
      <c r="H61" s="5">
        <f t="array" ref="H61">SUMIFS(Front9_Scores!$D:$D, Front9_Scores!$A:$A, $A61, Front9_Scores!$B:$B, INDEX($B:$B,$AB61), Front9_Scores!$C:$C, $B61)</f>
        <v>5</v>
      </c>
      <c r="I61" s="5">
        <f t="array" ref="I61">LET(player_hcp,INDEX($E:$E,$AB61),player_tee,INDEX($F:$F,$AB61),current_hole,$B61,hole_hcp_index,XLOOKUP(current_hole,Course!$A:$A,XLOOKUP(player_tee,Course!$D$1:$F$1,Course!$D:$F)),IF(player_hcp&gt;=hole_hcp_index,1,0)+IF(player_hcp&gt;=(18+hole_hcp_index),1,0))</f>
        <v>0</v>
      </c>
      <c r="J61" s="5">
        <f t="shared" si="29"/>
        <v>5</v>
      </c>
      <c r="K61" s="5">
        <f t="array" ref="K61">LET(
    player_row, $AB61,
    player_hcp, INDEX($E:$E, player_row),
    player_flight, INDEX($A:$A, player_row),
    player_team, INDEX($C:$C, player_row),
    current_hole, $B61,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61" s="5">
        <f t="shared" si="30"/>
        <v>5</v>
      </c>
      <c r="M61" s="5">
        <f t="array" ref="M61">SUMIFS(Front9_Scores!$D:$D, Front9_Scores!$A:$A, $A61, Front9_Scores!$B:$B, INDEX($B:$B,$AC61), Front9_Scores!$C:$C, $B61)</f>
        <v>5</v>
      </c>
      <c r="N61" s="5">
        <f t="array" ref="N61">LET(player_hcp,INDEX($E:$E,$AC61),player_tee,INDEX($F:$F,$AC61),current_hole,$B61,hole_hcp_index,XLOOKUP(current_hole,Course!$A:$A,XLOOKUP(player_tee,Course!$D$1:$F$1,Course!$D:$F)),IF(player_hcp&gt;=hole_hcp_index,1,0)+IF(player_hcp&gt;=(18+hole_hcp_index),1,0))</f>
        <v>0</v>
      </c>
      <c r="O61" s="5">
        <f t="shared" si="31"/>
        <v>5</v>
      </c>
      <c r="P61" s="5">
        <f t="array" ref="P61">LET(
    player_row, $AC61,
    player_hcp, INDEX($E:$E, player_row),
    player_flight, INDEX($A:$A, player_row),
    player_team, INDEX($C:$C, player_row),
    current_hole, $B61,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61" s="5">
        <f t="shared" si="32"/>
        <v>5</v>
      </c>
      <c r="R61" s="5">
        <f t="array" ref="R61">SUMIFS(Front9_Scores!$D:$D, Front9_Scores!$A:$A, $A61, Front9_Scores!$B:$B, INDEX($B:$B,$AD61), Front9_Scores!$C:$C, $B61)</f>
        <v>6</v>
      </c>
      <c r="S61" s="5">
        <f t="array" ref="S61">LET(player_hcp,INDEX($E:$E,$AD61),player_tee,INDEX($F:$F,$AD61),current_hole,$B61,hole_hcp_index,XLOOKUP(current_hole,Course!$A:$A,XLOOKUP(player_tee,Course!$D$1:$F$1,Course!$D:$F)),IF(player_hcp&gt;=hole_hcp_index,1,0)+IF(player_hcp&gt;=(18+hole_hcp_index),1,0))</f>
        <v>1</v>
      </c>
      <c r="T61" s="5">
        <f t="shared" si="33"/>
        <v>5</v>
      </c>
      <c r="U61" s="5">
        <f t="array" ref="U61">LET(
    player_row, $AD61,
    player_hcp, INDEX($E:$E, player_row),
    player_flight, INDEX($A:$A, player_row),
    player_team, INDEX($C:$C, player_row),
    current_hole, $B61,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61" s="5">
        <f t="shared" si="34"/>
        <v>5</v>
      </c>
      <c r="W61" s="5" t="str">
        <f t="shared" si="35"/>
        <v>Red</v>
      </c>
      <c r="X61" s="5" t="str">
        <f t="shared" si="36"/>
        <v>Red</v>
      </c>
      <c r="Y61" s="5" t="str">
        <f t="shared" si="37"/>
        <v>Tie</v>
      </c>
      <c r="Z61" s="5" t="str">
        <f t="shared" si="38"/>
        <v>Flight_3</v>
      </c>
      <c r="AA61" s="1">
        <v>12.0</v>
      </c>
      <c r="AB61" s="1">
        <v>13.0</v>
      </c>
      <c r="AC61" s="1">
        <v>10.0</v>
      </c>
      <c r="AD61" s="1">
        <v>11.0</v>
      </c>
    </row>
    <row r="62">
      <c r="A62" s="1" t="s">
        <v>21</v>
      </c>
      <c r="B62" s="5">
        <v>5.0</v>
      </c>
      <c r="C62" s="5">
        <f t="array" ref="C62">SUMIFS(Front9_Scores!$D:$D, Front9_Scores!$A:$A, $A62, Front9_Scores!$B:$B, INDEX($B:$B,$AA62), Front9_Scores!$C:$C, $B62)</f>
        <v>4</v>
      </c>
      <c r="D62" s="5">
        <f t="array" ref="D62">LET(player_hcp,INDEX($E:$E,$AA62),player_tee,INDEX($F:$F,$AA62),current_hole,$B62,hole_hcp_index,XLOOKUP(current_hole,Course!$A:$A,XLOOKUP(player_tee,Course!$D$1:$F$1,Course!$D:$F)),IF(player_hcp&gt;=hole_hcp_index,1,0)+IF(player_hcp&gt;=(18+hole_hcp_index),1,0))</f>
        <v>1</v>
      </c>
      <c r="E62" s="5">
        <f t="shared" si="27"/>
        <v>3</v>
      </c>
      <c r="F62" s="5">
        <f t="array" ref="F62">LET(
    player_row, $AA62,
    player_hcp, INDEX($E:$E, player_row),
    player_flight, INDEX($A:$A, player_row),
    player_team, INDEX($C:$C, player_row),
    current_hole, $B62,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62" s="5">
        <f t="shared" si="28"/>
        <v>3</v>
      </c>
      <c r="H62" s="5">
        <f t="array" ref="H62">SUMIFS(Front9_Scores!$D:$D, Front9_Scores!$A:$A, $A62, Front9_Scores!$B:$B, INDEX($B:$B,$AB62), Front9_Scores!$C:$C, $B62)</f>
        <v>4</v>
      </c>
      <c r="I62" s="5">
        <f t="array" ref="I62">LET(player_hcp,INDEX($E:$E,$AB62),player_tee,INDEX($F:$F,$AB62),current_hole,$B62,hole_hcp_index,XLOOKUP(current_hole,Course!$A:$A,XLOOKUP(player_tee,Course!$D$1:$F$1,Course!$D:$F)),IF(player_hcp&gt;=hole_hcp_index,1,0)+IF(player_hcp&gt;=(18+hole_hcp_index),1,0))</f>
        <v>1</v>
      </c>
      <c r="J62" s="5">
        <f t="shared" si="29"/>
        <v>3</v>
      </c>
      <c r="K62" s="5">
        <f t="array" ref="K62">LET(
    player_row, $AB62,
    player_hcp, INDEX($E:$E, player_row),
    player_flight, INDEX($A:$A, player_row),
    player_team, INDEX($C:$C, player_row),
    current_hole, $B62,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62" s="5">
        <f t="shared" si="30"/>
        <v>3</v>
      </c>
      <c r="M62" s="5">
        <f t="array" ref="M62">SUMIFS(Front9_Scores!$D:$D, Front9_Scores!$A:$A, $A62, Front9_Scores!$B:$B, INDEX($B:$B,$AC62), Front9_Scores!$C:$C, $B62)</f>
        <v>4</v>
      </c>
      <c r="N62" s="5">
        <f t="array" ref="N62">LET(player_hcp,INDEX($E:$E,$AC62),player_tee,INDEX($F:$F,$AC62),current_hole,$B62,hole_hcp_index,XLOOKUP(current_hole,Course!$A:$A,XLOOKUP(player_tee,Course!$D$1:$F$1,Course!$D:$F)),IF(player_hcp&gt;=hole_hcp_index,1,0)+IF(player_hcp&gt;=(18+hole_hcp_index),1,0))</f>
        <v>1</v>
      </c>
      <c r="O62" s="5">
        <f t="shared" si="31"/>
        <v>3</v>
      </c>
      <c r="P62" s="5">
        <f t="array" ref="P62">LET(
    player_row, $AC62,
    player_hcp, INDEX($E:$E, player_row),
    player_flight, INDEX($A:$A, player_row),
    player_team, INDEX($C:$C, player_row),
    current_hole, $B62,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62" s="5">
        <f t="shared" si="32"/>
        <v>3</v>
      </c>
      <c r="R62" s="5">
        <f t="array" ref="R62">SUMIFS(Front9_Scores!$D:$D, Front9_Scores!$A:$A, $A62, Front9_Scores!$B:$B, INDEX($B:$B,$AD62), Front9_Scores!$C:$C, $B62)</f>
        <v>4</v>
      </c>
      <c r="S62" s="5">
        <f t="array" ref="S62">LET(player_hcp,INDEX($E:$E,$AD62),player_tee,INDEX($F:$F,$AD62),current_hole,$B62,hole_hcp_index,XLOOKUP(current_hole,Course!$A:$A,XLOOKUP(player_tee,Course!$D$1:$F$1,Course!$D:$F)),IF(player_hcp&gt;=hole_hcp_index,1,0)+IF(player_hcp&gt;=(18+hole_hcp_index),1,0))</f>
        <v>1</v>
      </c>
      <c r="T62" s="5">
        <f t="shared" si="33"/>
        <v>3</v>
      </c>
      <c r="U62" s="5">
        <f t="array" ref="U62">LET(
    player_row, $AD62,
    player_hcp, INDEX($E:$E, player_row),
    player_flight, INDEX($A:$A, player_row),
    player_team, INDEX($C:$C, player_row),
    current_hole, $B62,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62" s="5">
        <f t="shared" si="34"/>
        <v>3</v>
      </c>
      <c r="W62" s="5" t="str">
        <f t="shared" si="35"/>
        <v>Tie</v>
      </c>
      <c r="X62" s="5" t="str">
        <f t="shared" si="36"/>
        <v>Tie</v>
      </c>
      <c r="Y62" s="5" t="str">
        <f t="shared" si="37"/>
        <v>Tie</v>
      </c>
      <c r="Z62" s="5" t="str">
        <f t="shared" si="38"/>
        <v>Flight_3</v>
      </c>
      <c r="AA62" s="1">
        <v>12.0</v>
      </c>
      <c r="AB62" s="1">
        <v>13.0</v>
      </c>
      <c r="AC62" s="1">
        <v>10.0</v>
      </c>
      <c r="AD62" s="1">
        <v>11.0</v>
      </c>
    </row>
    <row r="63">
      <c r="A63" s="1" t="s">
        <v>21</v>
      </c>
      <c r="B63" s="5">
        <v>6.0</v>
      </c>
      <c r="C63" s="5">
        <f t="array" ref="C63">SUMIFS(Front9_Scores!$D:$D, Front9_Scores!$A:$A, $A63, Front9_Scores!$B:$B, INDEX($B:$B,$AA63), Front9_Scores!$C:$C, $B63)</f>
        <v>4</v>
      </c>
      <c r="D63" s="5">
        <f t="array" ref="D63">LET(player_hcp,INDEX($E:$E,$AA63),player_tee,INDEX($F:$F,$AA63),current_hole,$B63,hole_hcp_index,XLOOKUP(current_hole,Course!$A:$A,XLOOKUP(player_tee,Course!$D$1:$F$1,Course!$D:$F)),IF(player_hcp&gt;=hole_hcp_index,1,0)+IF(player_hcp&gt;=(18+hole_hcp_index),1,0))</f>
        <v>1</v>
      </c>
      <c r="E63" s="5">
        <f t="shared" si="27"/>
        <v>3</v>
      </c>
      <c r="F63" s="5">
        <f t="array" ref="F63">LET(
    player_row, $AA63,
    player_hcp, INDEX($E:$E, player_row),
    player_flight, INDEX($A:$A, player_row),
    player_team, INDEX($C:$C, player_row),
    current_hole, $B63,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63" s="5">
        <f t="shared" si="28"/>
        <v>3</v>
      </c>
      <c r="H63" s="5">
        <f t="array" ref="H63">SUMIFS(Front9_Scores!$D:$D, Front9_Scores!$A:$A, $A63, Front9_Scores!$B:$B, INDEX($B:$B,$AB63), Front9_Scores!$C:$C, $B63)</f>
        <v>4</v>
      </c>
      <c r="I63" s="5">
        <f t="array" ref="I63">LET(player_hcp,INDEX($E:$E,$AB63),player_tee,INDEX($F:$F,$AB63),current_hole,$B63,hole_hcp_index,XLOOKUP(current_hole,Course!$A:$A,XLOOKUP(player_tee,Course!$D$1:$F$1,Course!$D:$F)),IF(player_hcp&gt;=hole_hcp_index,1,0)+IF(player_hcp&gt;=(18+hole_hcp_index),1,0))</f>
        <v>1</v>
      </c>
      <c r="J63" s="5">
        <f t="shared" si="29"/>
        <v>3</v>
      </c>
      <c r="K63" s="5">
        <f t="array" ref="K63">LET(
    player_row, $AB63,
    player_hcp, INDEX($E:$E, player_row),
    player_flight, INDEX($A:$A, player_row),
    player_team, INDEX($C:$C, player_row),
    current_hole, $B63,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63" s="5">
        <f t="shared" si="30"/>
        <v>3</v>
      </c>
      <c r="M63" s="5">
        <f t="array" ref="M63">SUMIFS(Front9_Scores!$D:$D, Front9_Scores!$A:$A, $A63, Front9_Scores!$B:$B, INDEX($B:$B,$AC63), Front9_Scores!$C:$C, $B63)</f>
        <v>4</v>
      </c>
      <c r="N63" s="5">
        <f t="array" ref="N63">LET(player_hcp,INDEX($E:$E,$AC63),player_tee,INDEX($F:$F,$AC63),current_hole,$B63,hole_hcp_index,XLOOKUP(current_hole,Course!$A:$A,XLOOKUP(player_tee,Course!$D$1:$F$1,Course!$D:$F)),IF(player_hcp&gt;=hole_hcp_index,1,0)+IF(player_hcp&gt;=(18+hole_hcp_index),1,0))</f>
        <v>1</v>
      </c>
      <c r="O63" s="5">
        <f t="shared" si="31"/>
        <v>3</v>
      </c>
      <c r="P63" s="5">
        <f t="array" ref="P63">LET(
    player_row, $AC63,
    player_hcp, INDEX($E:$E, player_row),
    player_flight, INDEX($A:$A, player_row),
    player_team, INDEX($C:$C, player_row),
    current_hole, $B63,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63" s="5">
        <f t="shared" si="32"/>
        <v>3</v>
      </c>
      <c r="R63" s="5">
        <f t="array" ref="R63">SUMIFS(Front9_Scores!$D:$D, Front9_Scores!$A:$A, $A63, Front9_Scores!$B:$B, INDEX($B:$B,$AD63), Front9_Scores!$C:$C, $B63)</f>
        <v>5</v>
      </c>
      <c r="S63" s="5">
        <f t="array" ref="S63">LET(player_hcp,INDEX($E:$E,$AD63),player_tee,INDEX($F:$F,$AD63),current_hole,$B63,hole_hcp_index,XLOOKUP(current_hole,Course!$A:$A,XLOOKUP(player_tee,Course!$D$1:$F$1,Course!$D:$F)),IF(player_hcp&gt;=hole_hcp_index,1,0)+IF(player_hcp&gt;=(18+hole_hcp_index),1,0))</f>
        <v>1</v>
      </c>
      <c r="T63" s="5">
        <f t="shared" si="33"/>
        <v>4</v>
      </c>
      <c r="U63" s="5">
        <f t="array" ref="U63">LET(
    player_row, $AD63,
    player_hcp, INDEX($E:$E, player_row),
    player_flight, INDEX($A:$A, player_row),
    player_team, INDEX($C:$C, player_row),
    current_hole, $B63,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63" s="5">
        <f t="shared" si="34"/>
        <v>4</v>
      </c>
      <c r="W63" s="5" t="str">
        <f t="shared" si="35"/>
        <v>Tie</v>
      </c>
      <c r="X63" s="5" t="str">
        <f t="shared" si="36"/>
        <v>Tie</v>
      </c>
      <c r="Y63" s="5" t="str">
        <f t="shared" si="37"/>
        <v>Red</v>
      </c>
      <c r="Z63" s="5" t="str">
        <f t="shared" si="38"/>
        <v>Flight_3</v>
      </c>
      <c r="AA63" s="1">
        <v>12.0</v>
      </c>
      <c r="AB63" s="1">
        <v>13.0</v>
      </c>
      <c r="AC63" s="1">
        <v>10.0</v>
      </c>
      <c r="AD63" s="1">
        <v>11.0</v>
      </c>
    </row>
    <row r="64">
      <c r="A64" s="1" t="s">
        <v>21</v>
      </c>
      <c r="B64" s="5">
        <v>7.0</v>
      </c>
      <c r="C64" s="5">
        <f t="array" ref="C64">SUMIFS(Front9_Scores!$D:$D, Front9_Scores!$A:$A, $A64, Front9_Scores!$B:$B, INDEX($B:$B,$AA64), Front9_Scores!$C:$C, $B64)</f>
        <v>3</v>
      </c>
      <c r="D64" s="5">
        <f t="array" ref="D64">LET(player_hcp,INDEX($E:$E,$AA64),player_tee,INDEX($F:$F,$AA64),current_hole,$B64,hole_hcp_index,XLOOKUP(current_hole,Course!$A:$A,XLOOKUP(player_tee,Course!$D$1:$F$1,Course!$D:$F)),IF(player_hcp&gt;=hole_hcp_index,1,0)+IF(player_hcp&gt;=(18+hole_hcp_index),1,0))</f>
        <v>0</v>
      </c>
      <c r="E64" s="5">
        <f t="shared" si="27"/>
        <v>3</v>
      </c>
      <c r="F64" s="5">
        <f t="array" ref="F64">LET(
    player_row, $AA64,
    player_hcp, INDEX($E:$E, player_row),
    player_flight, INDEX($A:$A, player_row),
    player_team, INDEX($C:$C, player_row),
    current_hole, $B64,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64" s="5">
        <f t="shared" si="28"/>
        <v>3</v>
      </c>
      <c r="H64" s="5">
        <f t="array" ref="H64">SUMIFS(Front9_Scores!$D:$D, Front9_Scores!$A:$A, $A64, Front9_Scores!$B:$B, INDEX($B:$B,$AB64), Front9_Scores!$C:$C, $B64)</f>
        <v>3</v>
      </c>
      <c r="I64" s="5">
        <f t="array" ref="I64">LET(player_hcp,INDEX($E:$E,$AB64),player_tee,INDEX($F:$F,$AB64),current_hole,$B64,hole_hcp_index,XLOOKUP(current_hole,Course!$A:$A,XLOOKUP(player_tee,Course!$D$1:$F$1,Course!$D:$F)),IF(player_hcp&gt;=hole_hcp_index,1,0)+IF(player_hcp&gt;=(18+hole_hcp_index),1,0))</f>
        <v>1</v>
      </c>
      <c r="J64" s="5">
        <f t="shared" si="29"/>
        <v>2</v>
      </c>
      <c r="K64" s="5">
        <f t="array" ref="K64">LET(
    player_row, $AB64,
    player_hcp, INDEX($E:$E, player_row),
    player_flight, INDEX($A:$A, player_row),
    player_team, INDEX($C:$C, player_row),
    current_hole, $B64,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64" s="5">
        <f t="shared" si="30"/>
        <v>2</v>
      </c>
      <c r="M64" s="5">
        <f t="array" ref="M64">SUMIFS(Front9_Scores!$D:$D, Front9_Scores!$A:$A, $A64, Front9_Scores!$B:$B, INDEX($B:$B,$AC64), Front9_Scores!$C:$C, $B64)</f>
        <v>3</v>
      </c>
      <c r="N64" s="5">
        <f t="array" ref="N64">LET(player_hcp,INDEX($E:$E,$AC64),player_tee,INDEX($F:$F,$AC64),current_hole,$B64,hole_hcp_index,XLOOKUP(current_hole,Course!$A:$A,XLOOKUP(player_tee,Course!$D$1:$F$1,Course!$D:$F)),IF(player_hcp&gt;=hole_hcp_index,1,0)+IF(player_hcp&gt;=(18+hole_hcp_index),1,0))</f>
        <v>0</v>
      </c>
      <c r="O64" s="5">
        <f t="shared" si="31"/>
        <v>3</v>
      </c>
      <c r="P64" s="5">
        <f t="array" ref="P64">LET(
    player_row, $AC64,
    player_hcp, INDEX($E:$E, player_row),
    player_flight, INDEX($A:$A, player_row),
    player_team, INDEX($C:$C, player_row),
    current_hole, $B64,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64" s="5">
        <f t="shared" si="32"/>
        <v>3</v>
      </c>
      <c r="R64" s="5">
        <f t="array" ref="R64">SUMIFS(Front9_Scores!$D:$D, Front9_Scores!$A:$A, $A64, Front9_Scores!$B:$B, INDEX($B:$B,$AD64), Front9_Scores!$C:$C, $B64)</f>
        <v>4</v>
      </c>
      <c r="S64" s="5">
        <f t="array" ref="S64">LET(player_hcp,INDEX($E:$E,$AD64),player_tee,INDEX($F:$F,$AD64),current_hole,$B64,hole_hcp_index,XLOOKUP(current_hole,Course!$A:$A,XLOOKUP(player_tee,Course!$D$1:$F$1,Course!$D:$F)),IF(player_hcp&gt;=hole_hcp_index,1,0)+IF(player_hcp&gt;=(18+hole_hcp_index),1,0))</f>
        <v>1</v>
      </c>
      <c r="T64" s="5">
        <f t="shared" si="33"/>
        <v>3</v>
      </c>
      <c r="U64" s="5">
        <f t="array" ref="U64">LET(
    player_row, $AD64,
    player_hcp, INDEX($E:$E, player_row),
    player_flight, INDEX($A:$A, player_row),
    player_team, INDEX($C:$C, player_row),
    current_hole, $B64,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64" s="5">
        <f t="shared" si="34"/>
        <v>3</v>
      </c>
      <c r="W64" s="5" t="str">
        <f t="shared" si="35"/>
        <v>Red</v>
      </c>
      <c r="X64" s="5" t="str">
        <f t="shared" si="36"/>
        <v>Tie</v>
      </c>
      <c r="Y64" s="5" t="str">
        <f t="shared" si="37"/>
        <v>Red</v>
      </c>
      <c r="Z64" s="5" t="str">
        <f t="shared" si="38"/>
        <v>Flight_3</v>
      </c>
      <c r="AA64" s="1">
        <v>12.0</v>
      </c>
      <c r="AB64" s="1">
        <v>13.0</v>
      </c>
      <c r="AC64" s="1">
        <v>10.0</v>
      </c>
      <c r="AD64" s="1">
        <v>11.0</v>
      </c>
    </row>
    <row r="65">
      <c r="A65" s="1" t="s">
        <v>21</v>
      </c>
      <c r="B65" s="5">
        <v>8.0</v>
      </c>
      <c r="C65" s="5">
        <f t="array" ref="C65">SUMIFS(Front9_Scores!$D:$D, Front9_Scores!$A:$A, $A65, Front9_Scores!$B:$B, INDEX($B:$B,$AA65), Front9_Scores!$C:$C, $B65)</f>
        <v>6</v>
      </c>
      <c r="D65" s="5">
        <f t="array" ref="D65">LET(player_hcp,INDEX($E:$E,$AA65),player_tee,INDEX($F:$F,$AA65),current_hole,$B65,hole_hcp_index,XLOOKUP(current_hole,Course!$A:$A,XLOOKUP(player_tee,Course!$D$1:$F$1,Course!$D:$F)),IF(player_hcp&gt;=hole_hcp_index,1,0)+IF(player_hcp&gt;=(18+hole_hcp_index),1,0))</f>
        <v>0</v>
      </c>
      <c r="E65" s="5">
        <f t="shared" si="27"/>
        <v>6</v>
      </c>
      <c r="F65" s="5">
        <f t="array" ref="F65">LET(
    player_row, $AA65,
    player_hcp, INDEX($E:$E, player_row),
    player_flight, INDEX($A:$A, player_row),
    player_team, INDEX($C:$C, player_row),
    current_hole, $B65,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65" s="5">
        <f t="shared" si="28"/>
        <v>6</v>
      </c>
      <c r="H65" s="5">
        <f t="array" ref="H65">SUMIFS(Front9_Scores!$D:$D, Front9_Scores!$A:$A, $A65, Front9_Scores!$B:$B, INDEX($B:$B,$AB65), Front9_Scores!$C:$C, $B65)</f>
        <v>7</v>
      </c>
      <c r="I65" s="5">
        <f t="array" ref="I65">LET(player_hcp,INDEX($E:$E,$AB65),player_tee,INDEX($F:$F,$AB65),current_hole,$B65,hole_hcp_index,XLOOKUP(current_hole,Course!$A:$A,XLOOKUP(player_tee,Course!$D$1:$F$1,Course!$D:$F)),IF(player_hcp&gt;=hole_hcp_index,1,0)+IF(player_hcp&gt;=(18+hole_hcp_index),1,0))</f>
        <v>1</v>
      </c>
      <c r="J65" s="5">
        <f t="shared" si="29"/>
        <v>6</v>
      </c>
      <c r="K65" s="5">
        <f t="array" ref="K65">LET(
    player_row, $AB65,
    player_hcp, INDEX($E:$E, player_row),
    player_flight, INDEX($A:$A, player_row),
    player_team, INDEX($C:$C, player_row),
    current_hole, $B65,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65" s="5">
        <f t="shared" si="30"/>
        <v>6</v>
      </c>
      <c r="M65" s="5">
        <f t="array" ref="M65">SUMIFS(Front9_Scores!$D:$D, Front9_Scores!$A:$A, $A65, Front9_Scores!$B:$B, INDEX($B:$B,$AC65), Front9_Scores!$C:$C, $B65)</f>
        <v>5</v>
      </c>
      <c r="N65" s="5">
        <f t="array" ref="N65">LET(player_hcp,INDEX($E:$E,$AC65),player_tee,INDEX($F:$F,$AC65),current_hole,$B65,hole_hcp_index,XLOOKUP(current_hole,Course!$A:$A,XLOOKUP(player_tee,Course!$D$1:$F$1,Course!$D:$F)),IF(player_hcp&gt;=hole_hcp_index,1,0)+IF(player_hcp&gt;=(18+hole_hcp_index),1,0))</f>
        <v>1</v>
      </c>
      <c r="O65" s="5">
        <f t="shared" si="31"/>
        <v>4</v>
      </c>
      <c r="P65" s="5">
        <f t="array" ref="P65">LET(
    player_row, $AC65,
    player_hcp, INDEX($E:$E, player_row),
    player_flight, INDEX($A:$A, player_row),
    player_team, INDEX($C:$C, player_row),
    current_hole, $B65,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65" s="5">
        <f t="shared" si="32"/>
        <v>4</v>
      </c>
      <c r="R65" s="5">
        <f t="array" ref="R65">SUMIFS(Front9_Scores!$D:$D, Front9_Scores!$A:$A, $A65, Front9_Scores!$B:$B, INDEX($B:$B,$AD65), Front9_Scores!$C:$C, $B65)</f>
        <v>7</v>
      </c>
      <c r="S65" s="5">
        <f t="array" ref="S65">LET(player_hcp,INDEX($E:$E,$AD65),player_tee,INDEX($F:$F,$AD65),current_hole,$B65,hole_hcp_index,XLOOKUP(current_hole,Course!$A:$A,XLOOKUP(player_tee,Course!$D$1:$F$1,Course!$D:$F)),IF(player_hcp&gt;=hole_hcp_index,1,0)+IF(player_hcp&gt;=(18+hole_hcp_index),1,0))</f>
        <v>1</v>
      </c>
      <c r="T65" s="5">
        <f t="shared" si="33"/>
        <v>6</v>
      </c>
      <c r="U65" s="5">
        <f t="array" ref="U65">LET(
    player_row, $AD65,
    player_hcp, INDEX($E:$E, player_row),
    player_flight, INDEX($A:$A, player_row),
    player_team, INDEX($C:$C, player_row),
    current_hole, $B65,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65" s="5">
        <f t="shared" si="34"/>
        <v>6</v>
      </c>
      <c r="W65" s="5" t="str">
        <f t="shared" si="35"/>
        <v>Blue</v>
      </c>
      <c r="X65" s="5" t="str">
        <f t="shared" si="36"/>
        <v>Blue</v>
      </c>
      <c r="Y65" s="5" t="str">
        <f t="shared" si="37"/>
        <v>Tie</v>
      </c>
      <c r="Z65" s="5" t="str">
        <f t="shared" si="38"/>
        <v>Flight_3</v>
      </c>
      <c r="AA65" s="1">
        <v>12.0</v>
      </c>
      <c r="AB65" s="1">
        <v>13.0</v>
      </c>
      <c r="AC65" s="1">
        <v>10.0</v>
      </c>
      <c r="AD65" s="1">
        <v>11.0</v>
      </c>
    </row>
    <row r="66">
      <c r="A66" s="1" t="s">
        <v>21</v>
      </c>
      <c r="B66" s="5">
        <v>9.0</v>
      </c>
      <c r="C66" s="5">
        <f t="array" ref="C66">SUMIFS(Front9_Scores!$D:$D, Front9_Scores!$A:$A, $A66, Front9_Scores!$B:$B, INDEX($B:$B,$AA66), Front9_Scores!$C:$C, $B66)</f>
        <v>0</v>
      </c>
      <c r="D66" s="5">
        <f t="array" ref="D66">LET(player_hcp,INDEX($E:$E,$AA66),player_tee,INDEX($F:$F,$AA66),current_hole,$B66,hole_hcp_index,XLOOKUP(current_hole,Course!$A:$A,XLOOKUP(player_tee,Course!$D$1:$F$1,Course!$D:$F)),IF(player_hcp&gt;=hole_hcp_index,1,0)+IF(player_hcp&gt;=(18+hole_hcp_index),1,0))</f>
        <v>1</v>
      </c>
      <c r="E66" s="5" t="str">
        <f t="shared" si="27"/>
        <v/>
      </c>
      <c r="F66" s="5">
        <f t="array" ref="F66">LET(
    player_row, $AA66,
    player_hcp, INDEX($E:$E, player_row),
    player_flight, INDEX($A:$A, player_row),
    player_team, INDEX($C:$C, player_row),
    current_hole, $B66,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66" s="5" t="str">
        <f t="shared" si="28"/>
        <v/>
      </c>
      <c r="H66" s="5">
        <f t="array" ref="H66">SUMIFS(Front9_Scores!$D:$D, Front9_Scores!$A:$A, $A66, Front9_Scores!$B:$B, INDEX($B:$B,$AB66), Front9_Scores!$C:$C, $B66)</f>
        <v>0</v>
      </c>
      <c r="I66" s="5">
        <f t="array" ref="I66">LET(player_hcp,INDEX($E:$E,$AB66),player_tee,INDEX($F:$F,$AB66),current_hole,$B66,hole_hcp_index,XLOOKUP(current_hole,Course!$A:$A,XLOOKUP(player_tee,Course!$D$1:$F$1,Course!$D:$F)),IF(player_hcp&gt;=hole_hcp_index,1,0)+IF(player_hcp&gt;=(18+hole_hcp_index),1,0))</f>
        <v>1</v>
      </c>
      <c r="J66" s="5" t="str">
        <f t="shared" si="29"/>
        <v/>
      </c>
      <c r="K66" s="5">
        <f t="array" ref="K66">LET(
    player_row, $AB66,
    player_hcp, INDEX($E:$E, player_row),
    player_flight, INDEX($A:$A, player_row),
    player_team, INDEX($C:$C, player_row),
    current_hole, $B66,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66" s="5" t="str">
        <f t="shared" si="30"/>
        <v/>
      </c>
      <c r="M66" s="5">
        <f t="array" ref="M66">SUMIFS(Front9_Scores!$D:$D, Front9_Scores!$A:$A, $A66, Front9_Scores!$B:$B, INDEX($B:$B,$AC66), Front9_Scores!$C:$C, $B66)</f>
        <v>0</v>
      </c>
      <c r="N66" s="5">
        <f t="array" ref="N66">LET(player_hcp,INDEX($E:$E,$AC66),player_tee,INDEX($F:$F,$AC66),current_hole,$B66,hole_hcp_index,XLOOKUP(current_hole,Course!$A:$A,XLOOKUP(player_tee,Course!$D$1:$F$1,Course!$D:$F)),IF(player_hcp&gt;=hole_hcp_index,1,0)+IF(player_hcp&gt;=(18+hole_hcp_index),1,0))</f>
        <v>1</v>
      </c>
      <c r="O66" s="5" t="str">
        <f t="shared" si="31"/>
        <v/>
      </c>
      <c r="P66" s="5">
        <f t="array" ref="P66">LET(
    player_row, $AC66,
    player_hcp, INDEX($E:$E, player_row),
    player_flight, INDEX($A:$A, player_row),
    player_team, INDEX($C:$C, player_row),
    current_hole, $B66,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66" s="5" t="str">
        <f t="shared" si="32"/>
        <v/>
      </c>
      <c r="R66" s="5">
        <f t="array" ref="R66">SUMIFS(Front9_Scores!$D:$D, Front9_Scores!$A:$A, $A66, Front9_Scores!$B:$B, INDEX($B:$B,$AD66), Front9_Scores!$C:$C, $B66)</f>
        <v>0</v>
      </c>
      <c r="S66" s="5">
        <f t="array" ref="S66">LET(player_hcp,INDEX($E:$E,$AD66),player_tee,INDEX($F:$F,$AD66),current_hole,$B66,hole_hcp_index,XLOOKUP(current_hole,Course!$A:$A,XLOOKUP(player_tee,Course!$D$1:$F$1,Course!$D:$F)),IF(player_hcp&gt;=hole_hcp_index,1,0)+IF(player_hcp&gt;=(18+hole_hcp_index),1,0))</f>
        <v>1</v>
      </c>
      <c r="T66" s="5" t="str">
        <f t="shared" si="33"/>
        <v/>
      </c>
      <c r="U66" s="5">
        <f t="array" ref="U66">LET(
    player_row, $AD66,
    player_hcp, INDEX($E:$E, player_row),
    player_flight, INDEX($A:$A, player_row),
    player_team, INDEX($C:$C, player_row),
    current_hole, $B66,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66" s="5" t="str">
        <f t="shared" si="34"/>
        <v/>
      </c>
      <c r="W66" s="5" t="str">
        <f t="shared" si="35"/>
        <v/>
      </c>
      <c r="X66" s="5" t="str">
        <f t="shared" si="36"/>
        <v/>
      </c>
      <c r="Y66" s="5" t="str">
        <f t="shared" si="37"/>
        <v/>
      </c>
      <c r="Z66" s="5" t="str">
        <f t="shared" si="38"/>
        <v>Flight_3</v>
      </c>
      <c r="AA66" s="1">
        <v>12.0</v>
      </c>
      <c r="AB66" s="1">
        <v>13.0</v>
      </c>
      <c r="AC66" s="1">
        <v>10.0</v>
      </c>
      <c r="AD66" s="1">
        <v>11.0</v>
      </c>
    </row>
    <row r="68">
      <c r="A68" s="5" t="s">
        <v>272</v>
      </c>
      <c r="B68" s="5" t="s">
        <v>50</v>
      </c>
      <c r="C68" s="2" t="s">
        <v>273</v>
      </c>
      <c r="D68" s="1" t="s">
        <v>274</v>
      </c>
      <c r="E68" s="1" t="s">
        <v>275</v>
      </c>
      <c r="F68" s="1" t="s">
        <v>276</v>
      </c>
      <c r="G68" s="1" t="s">
        <v>277</v>
      </c>
      <c r="H68" s="2" t="s">
        <v>278</v>
      </c>
      <c r="I68" s="1" t="s">
        <v>279</v>
      </c>
      <c r="J68" s="1" t="s">
        <v>280</v>
      </c>
      <c r="K68" s="1" t="s">
        <v>281</v>
      </c>
      <c r="L68" s="1" t="s">
        <v>282</v>
      </c>
      <c r="M68" s="2" t="s">
        <v>283</v>
      </c>
      <c r="N68" s="1" t="s">
        <v>284</v>
      </c>
      <c r="O68" s="1" t="s">
        <v>285</v>
      </c>
      <c r="P68" s="1" t="s">
        <v>286</v>
      </c>
      <c r="Q68" s="1" t="s">
        <v>287</v>
      </c>
      <c r="R68" s="2" t="s">
        <v>288</v>
      </c>
      <c r="S68" s="1" t="s">
        <v>289</v>
      </c>
      <c r="T68" s="1" t="s">
        <v>290</v>
      </c>
      <c r="U68" s="1" t="s">
        <v>291</v>
      </c>
      <c r="V68" s="1" t="s">
        <v>292</v>
      </c>
      <c r="W68" s="2" t="s">
        <v>293</v>
      </c>
      <c r="X68" s="2" t="s">
        <v>294</v>
      </c>
      <c r="Y68" s="2" t="s">
        <v>295</v>
      </c>
      <c r="Z68" s="2" t="s">
        <v>2</v>
      </c>
      <c r="AA68" s="1" t="s">
        <v>296</v>
      </c>
      <c r="AB68" s="1" t="s">
        <v>297</v>
      </c>
      <c r="AC68" s="1" t="s">
        <v>298</v>
      </c>
      <c r="AD68" s="1" t="s">
        <v>299</v>
      </c>
    </row>
    <row r="69">
      <c r="A69" s="1" t="s">
        <v>26</v>
      </c>
      <c r="B69" s="5">
        <v>1.0</v>
      </c>
      <c r="C69" s="5">
        <f t="array" ref="C69">SUMIFS(Front9_Scores!$D:$D, Front9_Scores!$A:$A, $A69, Front9_Scores!$B:$B, INDEX($B:$B,$AA69), Front9_Scores!$C:$C, $B69)</f>
        <v>5</v>
      </c>
      <c r="D69" s="5">
        <f t="array" ref="D69">LET(player_hcp,INDEX($E:$E,$AA69),player_tee,INDEX($F:$F,$AA69),current_hole,$B69,hole_hcp_index,XLOOKUP(current_hole,Course!$A:$A,XLOOKUP(player_tee,Course!$D$1:$F$1,Course!$D:$F)),IF(player_hcp&gt;=hole_hcp_index,1,0)+IF(player_hcp&gt;=(18+hole_hcp_index),1,0))</f>
        <v>1</v>
      </c>
      <c r="E69" s="5">
        <f t="shared" ref="E69:E77" si="39">IF($C69=0,"",$C69-D69)</f>
        <v>4</v>
      </c>
      <c r="F69" s="5">
        <f t="array" ref="F69">LET(
    player_row, $AA69,
    player_hcp, INDEX($E:$E, player_row),
    player_flight, INDEX($A:$A, player_row),
    player_team, INDEX($C:$C, player_row),
    current_hole, $B69,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69" s="5">
        <f t="shared" ref="G69:G77" si="40">IF($C69=0,"",$C69-F69)</f>
        <v>4</v>
      </c>
      <c r="H69" s="5">
        <f t="array" ref="H69">SUMIFS(Front9_Scores!$D:$D, Front9_Scores!$A:$A, $A69, Front9_Scores!$B:$B, INDEX($B:$B,$AB69), Front9_Scores!$C:$C, $B69)</f>
        <v>5</v>
      </c>
      <c r="I69" s="5">
        <f t="array" ref="I69">LET(player_hcp,INDEX($E:$E,$AB69),player_tee,INDEX($F:$F,$AB69),current_hole,$B69,hole_hcp_index,XLOOKUP(current_hole,Course!$A:$A,XLOOKUP(player_tee,Course!$D$1:$F$1,Course!$D:$F)),IF(player_hcp&gt;=hole_hcp_index,1,0)+IF(player_hcp&gt;=(18+hole_hcp_index),1,0))</f>
        <v>1</v>
      </c>
      <c r="J69" s="5">
        <f t="shared" ref="J69:J77" si="41">IF($H69=0,"",$H69-I69)</f>
        <v>4</v>
      </c>
      <c r="K69" s="5">
        <f t="array" ref="K69">LET(
    player_row, $AB69,
    player_hcp, INDEX($E:$E, player_row),
    player_flight, INDEX($A:$A, player_row),
    player_team, INDEX($C:$C, player_row),
    current_hole, $B69,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69" s="5">
        <f t="shared" ref="L69:L77" si="42">IF($H69=0,"",$H69-K69)</f>
        <v>4</v>
      </c>
      <c r="M69" s="5">
        <f t="array" ref="M69">SUMIFS(Front9_Scores!$D:$D, Front9_Scores!$A:$A, $A69, Front9_Scores!$B:$B, INDEX($B:$B,$AC69), Front9_Scores!$C:$C, $B69)</f>
        <v>7</v>
      </c>
      <c r="N69" s="5">
        <f t="array" ref="N69">LET(player_hcp,INDEX($E:$E,$AC69),player_tee,INDEX($F:$F,$AC69),current_hole,$B69,hole_hcp_index,XLOOKUP(current_hole,Course!$A:$A,XLOOKUP(player_tee,Course!$D$1:$F$1,Course!$D:$F)),IF(player_hcp&gt;=hole_hcp_index,1,0)+IF(player_hcp&gt;=(18+hole_hcp_index),1,0))</f>
        <v>1</v>
      </c>
      <c r="O69" s="5">
        <f t="shared" ref="O69:O77" si="43">IF(M69=0,"",M69-N69)</f>
        <v>6</v>
      </c>
      <c r="P69" s="5">
        <f t="array" ref="P69">LET(player_hcp,INDEX($E:$E,$AC69),current_hole,$B69,hole_hcp_index,VLOOKUP(current_hole,Course!$A:$G,7,FALSE),IF(player_hcp&gt;=hole_hcp_index,1,0)+IF(player_hcp&gt;=(18+hole_hcp_index),1,0))</f>
        <v>1</v>
      </c>
      <c r="Q69" s="5">
        <f t="shared" ref="Q69:Q77" si="44">IF($M69=0,"",$M69-P69)</f>
        <v>6</v>
      </c>
      <c r="R69" s="5">
        <f t="array" ref="R69">SUMIFS(Front9_Scores!$D:$D, Front9_Scores!$A:$A, $A69, Front9_Scores!$B:$B, INDEX($B:$B,$AD69), Front9_Scores!$C:$C, $B69)</f>
        <v>8</v>
      </c>
      <c r="S69" s="5">
        <f t="array" ref="S69">LET(player_hcp,INDEX($E:$E,$AD69),player_tee,INDEX($F:$F,$AD69),current_hole,$B69,hole_hcp_index,XLOOKUP(current_hole,Course!$A:$A,XLOOKUP(player_tee,Course!$D$1:$F$1,Course!$D:$F)),IF(player_hcp&gt;=hole_hcp_index,1,0)+IF(player_hcp&gt;=(18+hole_hcp_index),1,0))</f>
        <v>2</v>
      </c>
      <c r="T69" s="5">
        <f t="shared" ref="T69:T77" si="45">IF(R69=0,"",R69-S69)</f>
        <v>6</v>
      </c>
      <c r="U69" s="5">
        <f t="array" ref="U69">LET(
    player_row, $AD69,
    player_hcp, INDEX($E:$E, player_row),
    player_flight, INDEX($A:$A, player_row),
    player_team, INDEX($C:$C, player_row),
    current_hole, $B69,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2</v>
      </c>
      <c r="V69" s="5">
        <f t="shared" ref="V69:V77" si="46">IF($R69=0,"",$R69-U69)</f>
        <v>6</v>
      </c>
      <c r="W69" s="5" t="str">
        <f t="shared" ref="W69:W77" si="47">IF(COUNT(G69,L69,Q69,V69)&lt;4,"",LET(Red_Best_Ball,MIN(G69,L69),Blue_Best_Ball,MIN(Q69,V69),IF(Red_Best_Ball&lt;Blue_Best_Ball,"Red",IF(Blue_Best_Ball&lt;Red_Best_Ball,"Blue","Tie"))))</f>
        <v>Red</v>
      </c>
      <c r="X69" s="5" t="str">
        <f t="shared" ref="X69:X77" si="48">IF(COUNT(E69,O69)&lt;2,"",IF(E69&lt;O69,"Red",IF(O69&lt;E69,"Blue","Tie")))</f>
        <v>Red</v>
      </c>
      <c r="Y69" s="5" t="str">
        <f t="shared" ref="Y69:Y77" si="49">IF(COUNT(J69,T69)&lt;2,"",IF(J69&lt;T69,"Red",IF(T69&lt;J69,"Blue","Tie")))</f>
        <v>Red</v>
      </c>
      <c r="Z69" s="5" t="str">
        <f t="shared" ref="Z69:Z77" si="50">A69</f>
        <v>Flight_4</v>
      </c>
      <c r="AA69" s="1">
        <v>16.0</v>
      </c>
      <c r="AB69" s="1">
        <v>17.0</v>
      </c>
      <c r="AC69" s="1">
        <v>14.0</v>
      </c>
      <c r="AD69" s="1">
        <v>15.0</v>
      </c>
    </row>
    <row r="70">
      <c r="A70" s="1" t="s">
        <v>26</v>
      </c>
      <c r="B70" s="5">
        <v>2.0</v>
      </c>
      <c r="C70" s="5">
        <f t="array" ref="C70">SUMIFS(Front9_Scores!$D:$D, Front9_Scores!$A:$A, $A70, Front9_Scores!$B:$B, INDEX($B:$B,$AA70), Front9_Scores!$C:$C, $B70)</f>
        <v>5</v>
      </c>
      <c r="D70" s="5">
        <f t="array" ref="D70">LET(player_hcp,INDEX($E:$E,$AA70),player_tee,INDEX($F:$F,$AA70),current_hole,$B70,hole_hcp_index,XLOOKUP(current_hole,Course!$A:$A,XLOOKUP(player_tee,Course!$D$1:$F$1,Course!$D:$F)),IF(player_hcp&gt;=hole_hcp_index,1,0)+IF(player_hcp&gt;=(18+hole_hcp_index),1,0))</f>
        <v>1</v>
      </c>
      <c r="E70" s="5">
        <f t="shared" si="39"/>
        <v>4</v>
      </c>
      <c r="F70" s="5">
        <f t="array" ref="F70">LET(
    player_row, $AA70,
    player_hcp, INDEX($E:$E, player_row),
    player_flight, INDEX($A:$A, player_row),
    player_team, INDEX($C:$C, player_row),
    current_hole, $B70,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70" s="5">
        <f t="shared" si="40"/>
        <v>4</v>
      </c>
      <c r="H70" s="5">
        <f t="array" ref="H70">SUMIFS(Front9_Scores!$D:$D, Front9_Scores!$A:$A, $A70, Front9_Scores!$B:$B, INDEX($B:$B,$AB70), Front9_Scores!$C:$C, $B70)</f>
        <v>5</v>
      </c>
      <c r="I70" s="5">
        <f t="array" ref="I70">LET(player_hcp,INDEX($E:$E,$AB70),player_tee,INDEX($F:$F,$AB70),current_hole,$B70,hole_hcp_index,XLOOKUP(current_hole,Course!$A:$A,XLOOKUP(player_tee,Course!$D$1:$F$1,Course!$D:$F)),IF(player_hcp&gt;=hole_hcp_index,1,0)+IF(player_hcp&gt;=(18+hole_hcp_index),1,0))</f>
        <v>0</v>
      </c>
      <c r="J70" s="5">
        <f t="shared" si="41"/>
        <v>5</v>
      </c>
      <c r="K70" s="5">
        <f t="array" ref="K70">LET(
    player_row, $AB70,
    player_hcp, INDEX($E:$E, player_row),
    player_flight, INDEX($A:$A, player_row),
    player_team, INDEX($C:$C, player_row),
    current_hole, $B70,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70" s="5">
        <f t="shared" si="42"/>
        <v>5</v>
      </c>
      <c r="M70" s="5">
        <f t="array" ref="M70">SUMIFS(Front9_Scores!$D:$D, Front9_Scores!$A:$A, $A70, Front9_Scores!$B:$B, INDEX($B:$B,$AC70), Front9_Scores!$C:$C, $B70)</f>
        <v>6</v>
      </c>
      <c r="N70" s="5">
        <f t="array" ref="N70">LET(player_hcp,INDEX($E:$E,$AC70),player_tee,INDEX($F:$F,$AC70),current_hole,$B70,hole_hcp_index,XLOOKUP(current_hole,Course!$A:$A,XLOOKUP(player_tee,Course!$D$1:$F$1,Course!$D:$F)),IF(player_hcp&gt;=hole_hcp_index,1,0)+IF(player_hcp&gt;=(18+hole_hcp_index),1,0))</f>
        <v>1</v>
      </c>
      <c r="O70" s="5">
        <f t="shared" si="43"/>
        <v>5</v>
      </c>
      <c r="P70" s="5">
        <f t="array" ref="P70">LET(player_hcp,INDEX($E:$E,$AC70),current_hole,$B70,hole_hcp_index,VLOOKUP(current_hole,Course!$A:$G,7,FALSE),IF(player_hcp&gt;=hole_hcp_index,1,0)+IF(player_hcp&gt;=(18+hole_hcp_index),1,0))</f>
        <v>1</v>
      </c>
      <c r="Q70" s="5">
        <f t="shared" si="44"/>
        <v>5</v>
      </c>
      <c r="R70" s="5">
        <f t="array" ref="R70">SUMIFS(Front9_Scores!$D:$D, Front9_Scores!$A:$A, $A70, Front9_Scores!$B:$B, INDEX($B:$B,$AD70), Front9_Scores!$C:$C, $B70)</f>
        <v>6</v>
      </c>
      <c r="S70" s="5">
        <f t="array" ref="S70">LET(player_hcp,INDEX($E:$E,$AD70),player_tee,INDEX($F:$F,$AD70),current_hole,$B70,hole_hcp_index,XLOOKUP(current_hole,Course!$A:$A,XLOOKUP(player_tee,Course!$D$1:$F$1,Course!$D:$F)),IF(player_hcp&gt;=hole_hcp_index,1,0)+IF(player_hcp&gt;=(18+hole_hcp_index),1,0))</f>
        <v>1</v>
      </c>
      <c r="T70" s="5">
        <f t="shared" si="45"/>
        <v>5</v>
      </c>
      <c r="U70" s="5">
        <f t="array" ref="U70">LET(
    player_row, $AD70,
    player_hcp, INDEX($E:$E, player_row),
    player_flight, INDEX($A:$A, player_row),
    player_team, INDEX($C:$C, player_row),
    current_hole, $B70,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70" s="5">
        <f t="shared" si="46"/>
        <v>5</v>
      </c>
      <c r="W70" s="5" t="str">
        <f t="shared" si="47"/>
        <v>Red</v>
      </c>
      <c r="X70" s="5" t="str">
        <f t="shared" si="48"/>
        <v>Red</v>
      </c>
      <c r="Y70" s="5" t="str">
        <f t="shared" si="49"/>
        <v>Tie</v>
      </c>
      <c r="Z70" s="5" t="str">
        <f t="shared" si="50"/>
        <v>Flight_4</v>
      </c>
      <c r="AA70" s="1">
        <v>16.0</v>
      </c>
      <c r="AB70" s="1">
        <v>17.0</v>
      </c>
      <c r="AC70" s="1">
        <v>14.0</v>
      </c>
      <c r="AD70" s="1">
        <v>15.0</v>
      </c>
    </row>
    <row r="71">
      <c r="A71" s="1" t="s">
        <v>26</v>
      </c>
      <c r="B71" s="5">
        <v>3.0</v>
      </c>
      <c r="C71" s="5">
        <f t="array" ref="C71">SUMIFS(Front9_Scores!$D:$D, Front9_Scores!$A:$A, $A71, Front9_Scores!$B:$B, INDEX($B:$B,$AA71), Front9_Scores!$C:$C, $B71)</f>
        <v>5</v>
      </c>
      <c r="D71" s="5">
        <f t="array" ref="D71">LET(player_hcp,INDEX($E:$E,$AA71),player_tee,INDEX($F:$F,$AA71),current_hole,$B71,hole_hcp_index,XLOOKUP(current_hole,Course!$A:$A,XLOOKUP(player_tee,Course!$D$1:$F$1,Course!$D:$F)),IF(player_hcp&gt;=hole_hcp_index,1,0)+IF(player_hcp&gt;=(18+hole_hcp_index),1,0))</f>
        <v>0</v>
      </c>
      <c r="E71" s="5">
        <f t="shared" si="39"/>
        <v>5</v>
      </c>
      <c r="F71" s="5">
        <f t="array" ref="F71">LET(
    player_row, $AA71,
    player_hcp, INDEX($E:$E, player_row),
    player_flight, INDEX($A:$A, player_row),
    player_team, INDEX($C:$C, player_row),
    current_hole, $B71,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71" s="5">
        <f t="shared" si="40"/>
        <v>5</v>
      </c>
      <c r="H71" s="5">
        <f t="array" ref="H71">SUMIFS(Front9_Scores!$D:$D, Front9_Scores!$A:$A, $A71, Front9_Scores!$B:$B, INDEX($B:$B,$AB71), Front9_Scores!$C:$C, $B71)</f>
        <v>5</v>
      </c>
      <c r="I71" s="5">
        <f t="array" ref="I71">LET(player_hcp,INDEX($E:$E,$AB71),player_tee,INDEX($F:$F,$AB71),current_hole,$B71,hole_hcp_index,XLOOKUP(current_hole,Course!$A:$A,XLOOKUP(player_tee,Course!$D$1:$F$1,Course!$D:$F)),IF(player_hcp&gt;=hole_hcp_index,1,0)+IF(player_hcp&gt;=(18+hole_hcp_index),1,0))</f>
        <v>0</v>
      </c>
      <c r="J71" s="5">
        <f t="shared" si="41"/>
        <v>5</v>
      </c>
      <c r="K71" s="5">
        <f t="array" ref="K71">LET(
    player_row, $AB71,
    player_hcp, INDEX($E:$E, player_row),
    player_flight, INDEX($A:$A, player_row),
    player_team, INDEX($C:$C, player_row),
    current_hole, $B71,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71" s="5">
        <f t="shared" si="42"/>
        <v>5</v>
      </c>
      <c r="M71" s="5">
        <f t="array" ref="M71">SUMIFS(Front9_Scores!$D:$D, Front9_Scores!$A:$A, $A71, Front9_Scores!$B:$B, INDEX($B:$B,$AC71), Front9_Scores!$C:$C, $B71)</f>
        <v>4</v>
      </c>
      <c r="N71" s="5">
        <f t="array" ref="N71">LET(player_hcp,INDEX($E:$E,$AC71),player_tee,INDEX($F:$F,$AC71),current_hole,$B71,hole_hcp_index,XLOOKUP(current_hole,Course!$A:$A,XLOOKUP(player_tee,Course!$D$1:$F$1,Course!$D:$F)),IF(player_hcp&gt;=hole_hcp_index,1,0)+IF(player_hcp&gt;=(18+hole_hcp_index),1,0))</f>
        <v>0</v>
      </c>
      <c r="O71" s="5">
        <f t="shared" si="43"/>
        <v>4</v>
      </c>
      <c r="P71" s="5">
        <f t="array" ref="P71">LET(player_hcp,INDEX($E:$E,$AC71),current_hole,$B71,hole_hcp_index,VLOOKUP(current_hole,Course!$A:$G,7,FALSE),IF(player_hcp&gt;=hole_hcp_index,1,0)+IF(player_hcp&gt;=(18+hole_hcp_index),1,0))</f>
        <v>0</v>
      </c>
      <c r="Q71" s="5">
        <f t="shared" si="44"/>
        <v>4</v>
      </c>
      <c r="R71" s="5">
        <f t="array" ref="R71">SUMIFS(Front9_Scores!$D:$D, Front9_Scores!$A:$A, $A71, Front9_Scores!$B:$B, INDEX($B:$B,$AD71), Front9_Scores!$C:$C, $B71)</f>
        <v>5</v>
      </c>
      <c r="S71" s="5">
        <f t="array" ref="S71">LET(player_hcp,INDEX($E:$E,$AD71),player_tee,INDEX($F:$F,$AD71),current_hole,$B71,hole_hcp_index,XLOOKUP(current_hole,Course!$A:$A,XLOOKUP(player_tee,Course!$D$1:$F$1,Course!$D:$F)),IF(player_hcp&gt;=hole_hcp_index,1,0)+IF(player_hcp&gt;=(18+hole_hcp_index),1,0))</f>
        <v>1</v>
      </c>
      <c r="T71" s="5">
        <f t="shared" si="45"/>
        <v>4</v>
      </c>
      <c r="U71" s="5">
        <f t="array" ref="U71">LET(
    player_row, $AD71,
    player_hcp, INDEX($E:$E, player_row),
    player_flight, INDEX($A:$A, player_row),
    player_team, INDEX($C:$C, player_row),
    current_hole, $B71,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71" s="5">
        <f t="shared" si="46"/>
        <v>4</v>
      </c>
      <c r="W71" s="5" t="str">
        <f t="shared" si="47"/>
        <v>Blue</v>
      </c>
      <c r="X71" s="5" t="str">
        <f t="shared" si="48"/>
        <v>Blue</v>
      </c>
      <c r="Y71" s="5" t="str">
        <f t="shared" si="49"/>
        <v>Blue</v>
      </c>
      <c r="Z71" s="5" t="str">
        <f t="shared" si="50"/>
        <v>Flight_4</v>
      </c>
      <c r="AA71" s="1">
        <v>16.0</v>
      </c>
      <c r="AB71" s="1">
        <v>17.0</v>
      </c>
      <c r="AC71" s="1">
        <v>14.0</v>
      </c>
      <c r="AD71" s="1">
        <v>15.0</v>
      </c>
    </row>
    <row r="72">
      <c r="A72" s="1" t="s">
        <v>26</v>
      </c>
      <c r="B72" s="5">
        <v>4.0</v>
      </c>
      <c r="C72" s="5">
        <f t="array" ref="C72">SUMIFS(Front9_Scores!$D:$D, Front9_Scores!$A:$A, $A72, Front9_Scores!$B:$B, INDEX($B:$B,$AA72), Front9_Scores!$C:$C, $B72)</f>
        <v>4</v>
      </c>
      <c r="D72" s="5">
        <f t="array" ref="D72">LET(player_hcp,INDEX($E:$E,$AA72),player_tee,INDEX($F:$F,$AA72),current_hole,$B72,hole_hcp_index,XLOOKUP(current_hole,Course!$A:$A,XLOOKUP(player_tee,Course!$D$1:$F$1,Course!$D:$F)),IF(player_hcp&gt;=hole_hcp_index,1,0)+IF(player_hcp&gt;=(18+hole_hcp_index),1,0))</f>
        <v>1</v>
      </c>
      <c r="E72" s="5">
        <f t="shared" si="39"/>
        <v>3</v>
      </c>
      <c r="F72" s="5">
        <f t="array" ref="F72">LET(
    player_row, $AA72,
    player_hcp, INDEX($E:$E, player_row),
    player_flight, INDEX($A:$A, player_row),
    player_team, INDEX($C:$C, player_row),
    current_hole, $B72,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72" s="5">
        <f t="shared" si="40"/>
        <v>3</v>
      </c>
      <c r="H72" s="5">
        <f t="array" ref="H72">SUMIFS(Front9_Scores!$D:$D, Front9_Scores!$A:$A, $A72, Front9_Scores!$B:$B, INDEX($B:$B,$AB72), Front9_Scores!$C:$C, $B72)</f>
        <v>4</v>
      </c>
      <c r="I72" s="5">
        <f t="array" ref="I72">LET(player_hcp,INDEX($E:$E,$AB72),player_tee,INDEX($F:$F,$AB72),current_hole,$B72,hole_hcp_index,XLOOKUP(current_hole,Course!$A:$A,XLOOKUP(player_tee,Course!$D$1:$F$1,Course!$D:$F)),IF(player_hcp&gt;=hole_hcp_index,1,0)+IF(player_hcp&gt;=(18+hole_hcp_index),1,0))</f>
        <v>0</v>
      </c>
      <c r="J72" s="5">
        <f t="shared" si="41"/>
        <v>4</v>
      </c>
      <c r="K72" s="5">
        <f t="array" ref="K72">LET(
    player_row, $AB72,
    player_hcp, INDEX($E:$E, player_row),
    player_flight, INDEX($A:$A, player_row),
    player_team, INDEX($C:$C, player_row),
    current_hole, $B72,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72" s="5">
        <f t="shared" si="42"/>
        <v>4</v>
      </c>
      <c r="M72" s="5">
        <f t="array" ref="M72">SUMIFS(Front9_Scores!$D:$D, Front9_Scores!$A:$A, $A72, Front9_Scores!$B:$B, INDEX($B:$B,$AC72), Front9_Scores!$C:$C, $B72)</f>
        <v>5</v>
      </c>
      <c r="N72" s="5">
        <f t="array" ref="N72">LET(player_hcp,INDEX($E:$E,$AC72),player_tee,INDEX($F:$F,$AC72),current_hole,$B72,hole_hcp_index,XLOOKUP(current_hole,Course!$A:$A,XLOOKUP(player_tee,Course!$D$1:$F$1,Course!$D:$F)),IF(player_hcp&gt;=hole_hcp_index,1,0)+IF(player_hcp&gt;=(18+hole_hcp_index),1,0))</f>
        <v>0</v>
      </c>
      <c r="O72" s="5">
        <f t="shared" si="43"/>
        <v>5</v>
      </c>
      <c r="P72" s="5">
        <f t="array" ref="P72">LET(player_hcp,INDEX($E:$E,$AC72),current_hole,$B72,hole_hcp_index,VLOOKUP(current_hole,Course!$A:$G,7,FALSE),IF(player_hcp&gt;=hole_hcp_index,1,0)+IF(player_hcp&gt;=(18+hole_hcp_index),1,0))</f>
        <v>0</v>
      </c>
      <c r="Q72" s="5">
        <f t="shared" si="44"/>
        <v>5</v>
      </c>
      <c r="R72" s="5">
        <f t="array" ref="R72">SUMIFS(Front9_Scores!$D:$D, Front9_Scores!$A:$A, $A72, Front9_Scores!$B:$B, INDEX($B:$B,$AD72), Front9_Scores!$C:$C, $B72)</f>
        <v>6</v>
      </c>
      <c r="S72" s="5">
        <f t="array" ref="S72">LET(player_hcp,INDEX($E:$E,$AD72),player_tee,INDEX($F:$F,$AD72),current_hole,$B72,hole_hcp_index,XLOOKUP(current_hole,Course!$A:$A,XLOOKUP(player_tee,Course!$D$1:$F$1,Course!$D:$F)),IF(player_hcp&gt;=hole_hcp_index,1,0)+IF(player_hcp&gt;=(18+hole_hcp_index),1,0))</f>
        <v>1</v>
      </c>
      <c r="T72" s="5">
        <f t="shared" si="45"/>
        <v>5</v>
      </c>
      <c r="U72" s="5">
        <f t="array" ref="U72">LET(
    player_row, $AD72,
    player_hcp, INDEX($E:$E, player_row),
    player_flight, INDEX($A:$A, player_row),
    player_team, INDEX($C:$C, player_row),
    current_hole, $B72,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72" s="5">
        <f t="shared" si="46"/>
        <v>5</v>
      </c>
      <c r="W72" s="5" t="str">
        <f t="shared" si="47"/>
        <v>Red</v>
      </c>
      <c r="X72" s="5" t="str">
        <f t="shared" si="48"/>
        <v>Red</v>
      </c>
      <c r="Y72" s="5" t="str">
        <f t="shared" si="49"/>
        <v>Red</v>
      </c>
      <c r="Z72" s="5" t="str">
        <f t="shared" si="50"/>
        <v>Flight_4</v>
      </c>
      <c r="AA72" s="1">
        <v>16.0</v>
      </c>
      <c r="AB72" s="1">
        <v>17.0</v>
      </c>
      <c r="AC72" s="1">
        <v>14.0</v>
      </c>
      <c r="AD72" s="1">
        <v>15.0</v>
      </c>
    </row>
    <row r="73">
      <c r="A73" s="1" t="s">
        <v>26</v>
      </c>
      <c r="B73" s="5">
        <v>5.0</v>
      </c>
      <c r="C73" s="5">
        <f t="array" ref="C73">SUMIFS(Front9_Scores!$D:$D, Front9_Scores!$A:$A, $A73, Front9_Scores!$B:$B, INDEX($B:$B,$AA73), Front9_Scores!$C:$C, $B73)</f>
        <v>4</v>
      </c>
      <c r="D73" s="5">
        <f t="array" ref="D73">LET(player_hcp,INDEX($E:$E,$AA73),player_tee,INDEX($F:$F,$AA73),current_hole,$B73,hole_hcp_index,XLOOKUP(current_hole,Course!$A:$A,XLOOKUP(player_tee,Course!$D$1:$F$1,Course!$D:$F)),IF(player_hcp&gt;=hole_hcp_index,1,0)+IF(player_hcp&gt;=(18+hole_hcp_index),1,0))</f>
        <v>1</v>
      </c>
      <c r="E73" s="5">
        <f t="shared" si="39"/>
        <v>3</v>
      </c>
      <c r="F73" s="5">
        <f t="array" ref="F73">LET(
    player_row, $AA73,
    player_hcp, INDEX($E:$E, player_row),
    player_flight, INDEX($A:$A, player_row),
    player_team, INDEX($C:$C, player_row),
    current_hole, $B73,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73" s="5">
        <f t="shared" si="40"/>
        <v>3</v>
      </c>
      <c r="H73" s="5">
        <f t="array" ref="H73">SUMIFS(Front9_Scores!$D:$D, Front9_Scores!$A:$A, $A73, Front9_Scores!$B:$B, INDEX($B:$B,$AB73), Front9_Scores!$C:$C, $B73)</f>
        <v>6</v>
      </c>
      <c r="I73" s="5">
        <f t="array" ref="I73">LET(player_hcp,INDEX($E:$E,$AB73),player_tee,INDEX($F:$F,$AB73),current_hole,$B73,hole_hcp_index,XLOOKUP(current_hole,Course!$A:$A,XLOOKUP(player_tee,Course!$D$1:$F$1,Course!$D:$F)),IF(player_hcp&gt;=hole_hcp_index,1,0)+IF(player_hcp&gt;=(18+hole_hcp_index),1,0))</f>
        <v>1</v>
      </c>
      <c r="J73" s="5">
        <f t="shared" si="41"/>
        <v>5</v>
      </c>
      <c r="K73" s="5">
        <f t="array" ref="K73">LET(
    player_row, $AB73,
    player_hcp, INDEX($E:$E, player_row),
    player_flight, INDEX($A:$A, player_row),
    player_team, INDEX($C:$C, player_row),
    current_hole, $B73,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73" s="5">
        <f t="shared" si="42"/>
        <v>5</v>
      </c>
      <c r="M73" s="5">
        <f t="array" ref="M73">SUMIFS(Front9_Scores!$D:$D, Front9_Scores!$A:$A, $A73, Front9_Scores!$B:$B, INDEX($B:$B,$AC73), Front9_Scores!$C:$C, $B73)</f>
        <v>4</v>
      </c>
      <c r="N73" s="5">
        <f t="array" ref="N73">LET(player_hcp,INDEX($E:$E,$AC73),player_tee,INDEX($F:$F,$AC73),current_hole,$B73,hole_hcp_index,XLOOKUP(current_hole,Course!$A:$A,XLOOKUP(player_tee,Course!$D$1:$F$1,Course!$D:$F)),IF(player_hcp&gt;=hole_hcp_index,1,0)+IF(player_hcp&gt;=(18+hole_hcp_index),1,0))</f>
        <v>1</v>
      </c>
      <c r="O73" s="5">
        <f t="shared" si="43"/>
        <v>3</v>
      </c>
      <c r="P73" s="5">
        <f t="array" ref="P73">LET(player_hcp,INDEX($E:$E,$AC73),current_hole,$B73,hole_hcp_index,VLOOKUP(current_hole,Course!$A:$G,7,FALSE),IF(player_hcp&gt;=hole_hcp_index,1,0)+IF(player_hcp&gt;=(18+hole_hcp_index),1,0))</f>
        <v>1</v>
      </c>
      <c r="Q73" s="5">
        <f t="shared" si="44"/>
        <v>3</v>
      </c>
      <c r="R73" s="5">
        <f t="array" ref="R73">SUMIFS(Front9_Scores!$D:$D, Front9_Scores!$A:$A, $A73, Front9_Scores!$B:$B, INDEX($B:$B,$AD73), Front9_Scores!$C:$C, $B73)</f>
        <v>6</v>
      </c>
      <c r="S73" s="5">
        <f t="array" ref="S73">LET(player_hcp,INDEX($E:$E,$AD73),player_tee,INDEX($F:$F,$AD73),current_hole,$B73,hole_hcp_index,XLOOKUP(current_hole,Course!$A:$A,XLOOKUP(player_tee,Course!$D$1:$F$1,Course!$D:$F)),IF(player_hcp&gt;=hole_hcp_index,1,0)+IF(player_hcp&gt;=(18+hole_hcp_index),1,0))</f>
        <v>1</v>
      </c>
      <c r="T73" s="5">
        <f t="shared" si="45"/>
        <v>5</v>
      </c>
      <c r="U73" s="5">
        <f t="array" ref="U73">LET(
    player_row, $AD73,
    player_hcp, INDEX($E:$E, player_row),
    player_flight, INDEX($A:$A, player_row),
    player_team, INDEX($C:$C, player_row),
    current_hole, $B73,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73" s="5">
        <f t="shared" si="46"/>
        <v>5</v>
      </c>
      <c r="W73" s="5" t="str">
        <f t="shared" si="47"/>
        <v>Tie</v>
      </c>
      <c r="X73" s="5" t="str">
        <f t="shared" si="48"/>
        <v>Tie</v>
      </c>
      <c r="Y73" s="5" t="str">
        <f t="shared" si="49"/>
        <v>Tie</v>
      </c>
      <c r="Z73" s="5" t="str">
        <f t="shared" si="50"/>
        <v>Flight_4</v>
      </c>
      <c r="AA73" s="1">
        <v>16.0</v>
      </c>
      <c r="AB73" s="1">
        <v>17.0</v>
      </c>
      <c r="AC73" s="1">
        <v>14.0</v>
      </c>
      <c r="AD73" s="1">
        <v>15.0</v>
      </c>
    </row>
    <row r="74">
      <c r="A74" s="1" t="s">
        <v>26</v>
      </c>
      <c r="B74" s="5">
        <v>6.0</v>
      </c>
      <c r="C74" s="5">
        <f t="array" ref="C74">SUMIFS(Front9_Scores!$D:$D, Front9_Scores!$A:$A, $A74, Front9_Scores!$B:$B, INDEX($B:$B,$AA74), Front9_Scores!$C:$C, $B74)</f>
        <v>5</v>
      </c>
      <c r="D74" s="5">
        <f t="array" ref="D74">LET(player_hcp,INDEX($E:$E,$AA74),player_tee,INDEX($F:$F,$AA74),current_hole,$B74,hole_hcp_index,XLOOKUP(current_hole,Course!$A:$A,XLOOKUP(player_tee,Course!$D$1:$F$1,Course!$D:$F)),IF(player_hcp&gt;=hole_hcp_index,1,0)+IF(player_hcp&gt;=(18+hole_hcp_index),1,0))</f>
        <v>1</v>
      </c>
      <c r="E74" s="5">
        <f t="shared" si="39"/>
        <v>4</v>
      </c>
      <c r="F74" s="5">
        <f t="array" ref="F74">LET(
    player_row, $AA74,
    player_hcp, INDEX($E:$E, player_row),
    player_flight, INDEX($A:$A, player_row),
    player_team, INDEX($C:$C, player_row),
    current_hole, $B74,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74" s="5">
        <f t="shared" si="40"/>
        <v>4</v>
      </c>
      <c r="H74" s="5">
        <f t="array" ref="H74">SUMIFS(Front9_Scores!$D:$D, Front9_Scores!$A:$A, $A74, Front9_Scores!$B:$B, INDEX($B:$B,$AB74), Front9_Scores!$C:$C, $B74)</f>
        <v>3</v>
      </c>
      <c r="I74" s="5">
        <f t="array" ref="I74">LET(player_hcp,INDEX($E:$E,$AB74),player_tee,INDEX($F:$F,$AB74),current_hole,$B74,hole_hcp_index,XLOOKUP(current_hole,Course!$A:$A,XLOOKUP(player_tee,Course!$D$1:$F$1,Course!$D:$F)),IF(player_hcp&gt;=hole_hcp_index,1,0)+IF(player_hcp&gt;=(18+hole_hcp_index),1,0))</f>
        <v>1</v>
      </c>
      <c r="J74" s="5">
        <f t="shared" si="41"/>
        <v>2</v>
      </c>
      <c r="K74" s="5">
        <f t="array" ref="K74">LET(
    player_row, $AB74,
    player_hcp, INDEX($E:$E, player_row),
    player_flight, INDEX($A:$A, player_row),
    player_team, INDEX($C:$C, player_row),
    current_hole, $B74,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74" s="5">
        <f t="shared" si="42"/>
        <v>2</v>
      </c>
      <c r="M74" s="5">
        <f t="array" ref="M74">SUMIFS(Front9_Scores!$D:$D, Front9_Scores!$A:$A, $A74, Front9_Scores!$B:$B, INDEX($B:$B,$AC74), Front9_Scores!$C:$C, $B74)</f>
        <v>5</v>
      </c>
      <c r="N74" s="5">
        <f t="array" ref="N74">LET(player_hcp,INDEX($E:$E,$AC74),player_tee,INDEX($F:$F,$AC74),current_hole,$B74,hole_hcp_index,XLOOKUP(current_hole,Course!$A:$A,XLOOKUP(player_tee,Course!$D$1:$F$1,Course!$D:$F)),IF(player_hcp&gt;=hole_hcp_index,1,0)+IF(player_hcp&gt;=(18+hole_hcp_index),1,0))</f>
        <v>1</v>
      </c>
      <c r="O74" s="5">
        <f t="shared" si="43"/>
        <v>4</v>
      </c>
      <c r="P74" s="5">
        <f t="array" ref="P74">LET(player_hcp,INDEX($E:$E,$AC74),current_hole,$B74,hole_hcp_index,VLOOKUP(current_hole,Course!$A:$G,7,FALSE),IF(player_hcp&gt;=hole_hcp_index,1,0)+IF(player_hcp&gt;=(18+hole_hcp_index),1,0))</f>
        <v>0</v>
      </c>
      <c r="Q74" s="5">
        <f t="shared" si="44"/>
        <v>5</v>
      </c>
      <c r="R74" s="5">
        <f t="array" ref="R74">SUMIFS(Front9_Scores!$D:$D, Front9_Scores!$A:$A, $A74, Front9_Scores!$B:$B, INDEX($B:$B,$AD74), Front9_Scores!$C:$C, $B74)</f>
        <v>6</v>
      </c>
      <c r="S74" s="5">
        <f t="array" ref="S74">LET(player_hcp,INDEX($E:$E,$AD74),player_tee,INDEX($F:$F,$AD74),current_hole,$B74,hole_hcp_index,XLOOKUP(current_hole,Course!$A:$A,XLOOKUP(player_tee,Course!$D$1:$F$1,Course!$D:$F)),IF(player_hcp&gt;=hole_hcp_index,1,0)+IF(player_hcp&gt;=(18+hole_hcp_index),1,0))</f>
        <v>1</v>
      </c>
      <c r="T74" s="5">
        <f t="shared" si="45"/>
        <v>5</v>
      </c>
      <c r="U74" s="5">
        <f t="array" ref="U74">LET(
    player_row, $AD74,
    player_hcp, INDEX($E:$E, player_row),
    player_flight, INDEX($A:$A, player_row),
    player_team, INDEX($C:$C, player_row),
    current_hole, $B74,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74" s="5">
        <f t="shared" si="46"/>
        <v>5</v>
      </c>
      <c r="W74" s="5" t="str">
        <f t="shared" si="47"/>
        <v>Red</v>
      </c>
      <c r="X74" s="5" t="str">
        <f t="shared" si="48"/>
        <v>Tie</v>
      </c>
      <c r="Y74" s="5" t="str">
        <f t="shared" si="49"/>
        <v>Red</v>
      </c>
      <c r="Z74" s="5" t="str">
        <f t="shared" si="50"/>
        <v>Flight_4</v>
      </c>
      <c r="AA74" s="1">
        <v>16.0</v>
      </c>
      <c r="AB74" s="1">
        <v>17.0</v>
      </c>
      <c r="AC74" s="1">
        <v>14.0</v>
      </c>
      <c r="AD74" s="1">
        <v>15.0</v>
      </c>
    </row>
    <row r="75">
      <c r="A75" s="1" t="s">
        <v>26</v>
      </c>
      <c r="B75" s="5">
        <v>7.0</v>
      </c>
      <c r="C75" s="5">
        <f t="array" ref="C75">SUMIFS(Front9_Scores!$D:$D, Front9_Scores!$A:$A, $A75, Front9_Scores!$B:$B, INDEX($B:$B,$AA75), Front9_Scores!$C:$C, $B75)</f>
        <v>3</v>
      </c>
      <c r="D75" s="5">
        <f t="array" ref="D75">LET(player_hcp,INDEX($E:$E,$AA75),player_tee,INDEX($F:$F,$AA75),current_hole,$B75,hole_hcp_index,XLOOKUP(current_hole,Course!$A:$A,XLOOKUP(player_tee,Course!$D$1:$F$1,Course!$D:$F)),IF(player_hcp&gt;=hole_hcp_index,1,0)+IF(player_hcp&gt;=(18+hole_hcp_index),1,0))</f>
        <v>1</v>
      </c>
      <c r="E75" s="5">
        <f t="shared" si="39"/>
        <v>2</v>
      </c>
      <c r="F75" s="5">
        <f t="array" ref="F75">LET(
    player_row, $AA75,
    player_hcp, INDEX($E:$E, player_row),
    player_flight, INDEX($A:$A, player_row),
    player_team, INDEX($C:$C, player_row),
    current_hole, $B75,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75" s="5">
        <f t="shared" si="40"/>
        <v>2</v>
      </c>
      <c r="H75" s="5">
        <f t="array" ref="H75">SUMIFS(Front9_Scores!$D:$D, Front9_Scores!$A:$A, $A75, Front9_Scores!$B:$B, INDEX($B:$B,$AB75), Front9_Scores!$C:$C, $B75)</f>
        <v>3</v>
      </c>
      <c r="I75" s="5">
        <f t="array" ref="I75">LET(player_hcp,INDEX($E:$E,$AB75),player_tee,INDEX($F:$F,$AB75),current_hole,$B75,hole_hcp_index,XLOOKUP(current_hole,Course!$A:$A,XLOOKUP(player_tee,Course!$D$1:$F$1,Course!$D:$F)),IF(player_hcp&gt;=hole_hcp_index,1,0)+IF(player_hcp&gt;=(18+hole_hcp_index),1,0))</f>
        <v>0</v>
      </c>
      <c r="J75" s="5">
        <f t="shared" si="41"/>
        <v>3</v>
      </c>
      <c r="K75" s="5">
        <f t="array" ref="K75">LET(
    player_row, $AB75,
    player_hcp, INDEX($E:$E, player_row),
    player_flight, INDEX($A:$A, player_row),
    player_team, INDEX($C:$C, player_row),
    current_hole, $B75,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75" s="5">
        <f t="shared" si="42"/>
        <v>3</v>
      </c>
      <c r="M75" s="5">
        <f t="array" ref="M75">SUMIFS(Front9_Scores!$D:$D, Front9_Scores!$A:$A, $A75, Front9_Scores!$B:$B, INDEX($B:$B,$AC75), Front9_Scores!$C:$C, $B75)</f>
        <v>4</v>
      </c>
      <c r="N75" s="5">
        <f t="array" ref="N75">LET(player_hcp,INDEX($E:$E,$AC75),player_tee,INDEX($F:$F,$AC75),current_hole,$B75,hole_hcp_index,XLOOKUP(current_hole,Course!$A:$A,XLOOKUP(player_tee,Course!$D$1:$F$1,Course!$D:$F)),IF(player_hcp&gt;=hole_hcp_index,1,0)+IF(player_hcp&gt;=(18+hole_hcp_index),1,0))</f>
        <v>0</v>
      </c>
      <c r="O75" s="5">
        <f t="shared" si="43"/>
        <v>4</v>
      </c>
      <c r="P75" s="5">
        <f t="array" ref="P75">LET(player_hcp,INDEX($E:$E,$AC75),current_hole,$B75,hole_hcp_index,VLOOKUP(current_hole,Course!$A:$G,7,FALSE),IF(player_hcp&gt;=hole_hcp_index,1,0)+IF(player_hcp&gt;=(18+hole_hcp_index),1,0))</f>
        <v>0</v>
      </c>
      <c r="Q75" s="5">
        <f t="shared" si="44"/>
        <v>4</v>
      </c>
      <c r="R75" s="5">
        <f t="array" ref="R75">SUMIFS(Front9_Scores!$D:$D, Front9_Scores!$A:$A, $A75, Front9_Scores!$B:$B, INDEX($B:$B,$AD75), Front9_Scores!$C:$C, $B75)</f>
        <v>5</v>
      </c>
      <c r="S75" s="5">
        <f t="array" ref="S75">LET(player_hcp,INDEX($E:$E,$AD75),player_tee,INDEX($F:$F,$AD75),current_hole,$B75,hole_hcp_index,XLOOKUP(current_hole,Course!$A:$A,XLOOKUP(player_tee,Course!$D$1:$F$1,Course!$D:$F)),IF(player_hcp&gt;=hole_hcp_index,1,0)+IF(player_hcp&gt;=(18+hole_hcp_index),1,0))</f>
        <v>1</v>
      </c>
      <c r="T75" s="5">
        <f t="shared" si="45"/>
        <v>4</v>
      </c>
      <c r="U75" s="5">
        <f t="array" ref="U75">LET(
    player_row, $AD75,
    player_hcp, INDEX($E:$E, player_row),
    player_flight, INDEX($A:$A, player_row),
    player_team, INDEX($C:$C, player_row),
    current_hole, $B75,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75" s="5">
        <f t="shared" si="46"/>
        <v>4</v>
      </c>
      <c r="W75" s="5" t="str">
        <f t="shared" si="47"/>
        <v>Red</v>
      </c>
      <c r="X75" s="5" t="str">
        <f t="shared" si="48"/>
        <v>Red</v>
      </c>
      <c r="Y75" s="5" t="str">
        <f t="shared" si="49"/>
        <v>Red</v>
      </c>
      <c r="Z75" s="5" t="str">
        <f t="shared" si="50"/>
        <v>Flight_4</v>
      </c>
      <c r="AA75" s="1">
        <v>16.0</v>
      </c>
      <c r="AB75" s="1">
        <v>17.0</v>
      </c>
      <c r="AC75" s="1">
        <v>14.0</v>
      </c>
      <c r="AD75" s="1">
        <v>15.0</v>
      </c>
    </row>
    <row r="76">
      <c r="A76" s="1" t="s">
        <v>26</v>
      </c>
      <c r="B76" s="5">
        <v>8.0</v>
      </c>
      <c r="C76" s="5">
        <f t="array" ref="C76">SUMIFS(Front9_Scores!$D:$D, Front9_Scores!$A:$A, $A76, Front9_Scores!$B:$B, INDEX($B:$B,$AA76), Front9_Scores!$C:$C, $B76)</f>
        <v>5</v>
      </c>
      <c r="D76" s="5">
        <f t="array" ref="D76">LET(player_hcp,INDEX($E:$E,$AA76),player_tee,INDEX($F:$F,$AA76),current_hole,$B76,hole_hcp_index,XLOOKUP(current_hole,Course!$A:$A,XLOOKUP(player_tee,Course!$D$1:$F$1,Course!$D:$F)),IF(player_hcp&gt;=hole_hcp_index,1,0)+IF(player_hcp&gt;=(18+hole_hcp_index),1,0))</f>
        <v>1</v>
      </c>
      <c r="E76" s="5">
        <f t="shared" si="39"/>
        <v>4</v>
      </c>
      <c r="F76" s="5">
        <f t="array" ref="F76">LET(
    player_row, $AA76,
    player_hcp, INDEX($E:$E, player_row),
    player_flight, INDEX($A:$A, player_row),
    player_team, INDEX($C:$C, player_row),
    current_hole, $B76,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76" s="5">
        <f t="shared" si="40"/>
        <v>4</v>
      </c>
      <c r="H76" s="5">
        <f t="array" ref="H76">SUMIFS(Front9_Scores!$D:$D, Front9_Scores!$A:$A, $A76, Front9_Scores!$B:$B, INDEX($B:$B,$AB76), Front9_Scores!$C:$C, $B76)</f>
        <v>6</v>
      </c>
      <c r="I76" s="5">
        <f t="array" ref="I76">LET(player_hcp,INDEX($E:$E,$AB76),player_tee,INDEX($F:$F,$AB76),current_hole,$B76,hole_hcp_index,XLOOKUP(current_hole,Course!$A:$A,XLOOKUP(player_tee,Course!$D$1:$F$1,Course!$D:$F)),IF(player_hcp&gt;=hole_hcp_index,1,0)+IF(player_hcp&gt;=(18+hole_hcp_index),1,0))</f>
        <v>0</v>
      </c>
      <c r="J76" s="5">
        <f t="shared" si="41"/>
        <v>6</v>
      </c>
      <c r="K76" s="5">
        <f t="array" ref="K76">LET(
    player_row, $AB76,
    player_hcp, INDEX($E:$E, player_row),
    player_flight, INDEX($A:$A, player_row),
    player_team, INDEX($C:$C, player_row),
    current_hole, $B76,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76" s="5">
        <f t="shared" si="42"/>
        <v>6</v>
      </c>
      <c r="M76" s="5">
        <f t="array" ref="M76">SUMIFS(Front9_Scores!$D:$D, Front9_Scores!$A:$A, $A76, Front9_Scores!$B:$B, INDEX($B:$B,$AC76), Front9_Scores!$C:$C, $B76)</f>
        <v>5</v>
      </c>
      <c r="N76" s="5">
        <f t="array" ref="N76">LET(player_hcp,INDEX($E:$E,$AC76),player_tee,INDEX($F:$F,$AC76),current_hole,$B76,hole_hcp_index,XLOOKUP(current_hole,Course!$A:$A,XLOOKUP(player_tee,Course!$D$1:$F$1,Course!$D:$F)),IF(player_hcp&gt;=hole_hcp_index,1,0)+IF(player_hcp&gt;=(18+hole_hcp_index),1,0))</f>
        <v>0</v>
      </c>
      <c r="O76" s="5">
        <f t="shared" si="43"/>
        <v>5</v>
      </c>
      <c r="P76" s="5">
        <f t="array" ref="P76">LET(player_hcp,INDEX($E:$E,$AC76),current_hole,$B76,hole_hcp_index,VLOOKUP(current_hole,Course!$A:$G,7,FALSE),IF(player_hcp&gt;=hole_hcp_index,1,0)+IF(player_hcp&gt;=(18+hole_hcp_index),1,0))</f>
        <v>1</v>
      </c>
      <c r="Q76" s="5">
        <f t="shared" si="44"/>
        <v>4</v>
      </c>
      <c r="R76" s="5">
        <f t="array" ref="R76">SUMIFS(Front9_Scores!$D:$D, Front9_Scores!$A:$A, $A76, Front9_Scores!$B:$B, INDEX($B:$B,$AD76), Front9_Scores!$C:$C, $B76)</f>
        <v>6</v>
      </c>
      <c r="S76" s="5">
        <f t="array" ref="S76">LET(player_hcp,INDEX($E:$E,$AD76),player_tee,INDEX($F:$F,$AD76),current_hole,$B76,hole_hcp_index,XLOOKUP(current_hole,Course!$A:$A,XLOOKUP(player_tee,Course!$D$1:$F$1,Course!$D:$F)),IF(player_hcp&gt;=hole_hcp_index,1,0)+IF(player_hcp&gt;=(18+hole_hcp_index),1,0))</f>
        <v>1</v>
      </c>
      <c r="T76" s="5">
        <f t="shared" si="45"/>
        <v>5</v>
      </c>
      <c r="U76" s="5">
        <f t="array" ref="U76">LET(
    player_row, $AD76,
    player_hcp, INDEX($E:$E, player_row),
    player_flight, INDEX($A:$A, player_row),
    player_team, INDEX($C:$C, player_row),
    current_hole, $B76,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76" s="5">
        <f t="shared" si="46"/>
        <v>5</v>
      </c>
      <c r="W76" s="5" t="str">
        <f t="shared" si="47"/>
        <v>Tie</v>
      </c>
      <c r="X76" s="5" t="str">
        <f t="shared" si="48"/>
        <v>Red</v>
      </c>
      <c r="Y76" s="5" t="str">
        <f t="shared" si="49"/>
        <v>Blue</v>
      </c>
      <c r="Z76" s="5" t="str">
        <f t="shared" si="50"/>
        <v>Flight_4</v>
      </c>
      <c r="AA76" s="1">
        <v>16.0</v>
      </c>
      <c r="AB76" s="1">
        <v>17.0</v>
      </c>
      <c r="AC76" s="1">
        <v>14.0</v>
      </c>
      <c r="AD76" s="1">
        <v>15.0</v>
      </c>
    </row>
    <row r="77">
      <c r="A77" s="1" t="s">
        <v>26</v>
      </c>
      <c r="B77" s="5">
        <v>9.0</v>
      </c>
      <c r="C77" s="5">
        <f t="array" ref="C77">SUMIFS(Front9_Scores!$D:$D, Front9_Scores!$A:$A, $A77, Front9_Scores!$B:$B, INDEX($B:$B,$AA77), Front9_Scores!$C:$C, $B77)</f>
        <v>4</v>
      </c>
      <c r="D77" s="5">
        <f t="array" ref="D77">LET(player_hcp,INDEX($E:$E,$AA77),player_tee,INDEX($F:$F,$AA77),current_hole,$B77,hole_hcp_index,XLOOKUP(current_hole,Course!$A:$A,XLOOKUP(player_tee,Course!$D$1:$F$1,Course!$D:$F)),IF(player_hcp&gt;=hole_hcp_index,1,0)+IF(player_hcp&gt;=(18+hole_hcp_index),1,0))</f>
        <v>1</v>
      </c>
      <c r="E77" s="5">
        <f t="shared" si="39"/>
        <v>3</v>
      </c>
      <c r="F77" s="5">
        <f t="array" ref="F77">LET(
    player_row, $AA77,
    player_hcp, INDEX($E:$E, player_row),
    player_flight, INDEX($A:$A, player_row),
    player_team, INDEX($C:$C, player_row),
    current_hole, $B77,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77" s="5">
        <f t="shared" si="40"/>
        <v>3</v>
      </c>
      <c r="H77" s="5">
        <f t="array" ref="H77">SUMIFS(Front9_Scores!$D:$D, Front9_Scores!$A:$A, $A77, Front9_Scores!$B:$B, INDEX($B:$B,$AB77), Front9_Scores!$C:$C, $B77)</f>
        <v>4</v>
      </c>
      <c r="I77" s="5">
        <f t="array" ref="I77">LET(player_hcp,INDEX($E:$E,$AB77),player_tee,INDEX($F:$F,$AB77),current_hole,$B77,hole_hcp_index,XLOOKUP(current_hole,Course!$A:$A,XLOOKUP(player_tee,Course!$D$1:$F$1,Course!$D:$F)),IF(player_hcp&gt;=hole_hcp_index,1,0)+IF(player_hcp&gt;=(18+hole_hcp_index),1,0))</f>
        <v>1</v>
      </c>
      <c r="J77" s="5">
        <f t="shared" si="41"/>
        <v>3</v>
      </c>
      <c r="K77" s="5">
        <f t="array" ref="K77">LET(
    player_row, $AB77,
    player_hcp, INDEX($E:$E, player_row),
    player_flight, INDEX($A:$A, player_row),
    player_team, INDEX($C:$C, player_row),
    current_hole, $B77,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77" s="5">
        <f t="shared" si="42"/>
        <v>3</v>
      </c>
      <c r="M77" s="5">
        <f t="array" ref="M77">SUMIFS(Front9_Scores!$D:$D, Front9_Scores!$A:$A, $A77, Front9_Scores!$B:$B, INDEX($B:$B,$AC77), Front9_Scores!$C:$C, $B77)</f>
        <v>5</v>
      </c>
      <c r="N77" s="5">
        <f t="array" ref="N77">LET(player_hcp,INDEX($E:$E,$AC77),player_tee,INDEX($F:$F,$AC77),current_hole,$B77,hole_hcp_index,XLOOKUP(current_hole,Course!$A:$A,XLOOKUP(player_tee,Course!$D$1:$F$1,Course!$D:$F)),IF(player_hcp&gt;=hole_hcp_index,1,0)+IF(player_hcp&gt;=(18+hole_hcp_index),1,0))</f>
        <v>1</v>
      </c>
      <c r="O77" s="5">
        <f t="shared" si="43"/>
        <v>4</v>
      </c>
      <c r="P77" s="5">
        <f t="array" ref="P77">LET(player_hcp,INDEX($E:$E,$AC77),current_hole,$B77,hole_hcp_index,VLOOKUP(current_hole,Course!$A:$G,7,FALSE),IF(player_hcp&gt;=hole_hcp_index,1,0)+IF(player_hcp&gt;=(18+hole_hcp_index),1,0))</f>
        <v>1</v>
      </c>
      <c r="Q77" s="5">
        <f t="shared" si="44"/>
        <v>4</v>
      </c>
      <c r="R77" s="5">
        <f t="array" ref="R77">SUMIFS(Front9_Scores!$D:$D, Front9_Scores!$A:$A, $A77, Front9_Scores!$B:$B, INDEX($B:$B,$AD77), Front9_Scores!$C:$C, $B77)</f>
        <v>5</v>
      </c>
      <c r="S77" s="5">
        <f t="array" ref="S77">LET(player_hcp,INDEX($E:$E,$AD77),player_tee,INDEX($F:$F,$AD77),current_hole,$B77,hole_hcp_index,XLOOKUP(current_hole,Course!$A:$A,XLOOKUP(player_tee,Course!$D$1:$F$1,Course!$D:$F)),IF(player_hcp&gt;=hole_hcp_index,1,0)+IF(player_hcp&gt;=(18+hole_hcp_index),1,0))</f>
        <v>2</v>
      </c>
      <c r="T77" s="5">
        <f t="shared" si="45"/>
        <v>3</v>
      </c>
      <c r="U77" s="5">
        <f t="array" ref="U77">LET(
    player_row, $AD77,
    player_hcp, INDEX($E:$E, player_row),
    player_flight, INDEX($A:$A, player_row),
    player_team, INDEX($C:$C, player_row),
    current_hole, $B77,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2</v>
      </c>
      <c r="V77" s="5">
        <f t="shared" si="46"/>
        <v>3</v>
      </c>
      <c r="W77" s="5" t="str">
        <f t="shared" si="47"/>
        <v>Tie</v>
      </c>
      <c r="X77" s="5" t="str">
        <f t="shared" si="48"/>
        <v>Red</v>
      </c>
      <c r="Y77" s="5" t="str">
        <f t="shared" si="49"/>
        <v>Tie</v>
      </c>
      <c r="Z77" s="5" t="str">
        <f t="shared" si="50"/>
        <v>Flight_4</v>
      </c>
      <c r="AA77" s="1">
        <v>16.0</v>
      </c>
      <c r="AB77" s="1">
        <v>17.0</v>
      </c>
      <c r="AC77" s="1">
        <v>14.0</v>
      </c>
      <c r="AD77" s="1">
        <v>15.0</v>
      </c>
    </row>
    <row r="79">
      <c r="A79" s="5" t="s">
        <v>272</v>
      </c>
      <c r="B79" s="5" t="s">
        <v>50</v>
      </c>
      <c r="C79" s="2" t="s">
        <v>273</v>
      </c>
      <c r="D79" s="1" t="s">
        <v>274</v>
      </c>
      <c r="E79" s="1" t="s">
        <v>275</v>
      </c>
      <c r="F79" s="1" t="s">
        <v>276</v>
      </c>
      <c r="G79" s="1" t="s">
        <v>277</v>
      </c>
      <c r="H79" s="2" t="s">
        <v>278</v>
      </c>
      <c r="I79" s="1" t="s">
        <v>279</v>
      </c>
      <c r="J79" s="1" t="s">
        <v>280</v>
      </c>
      <c r="K79" s="1" t="s">
        <v>281</v>
      </c>
      <c r="L79" s="1" t="s">
        <v>282</v>
      </c>
      <c r="M79" s="2" t="s">
        <v>283</v>
      </c>
      <c r="N79" s="1" t="s">
        <v>284</v>
      </c>
      <c r="O79" s="1" t="s">
        <v>285</v>
      </c>
      <c r="P79" s="1" t="s">
        <v>286</v>
      </c>
      <c r="Q79" s="1" t="s">
        <v>287</v>
      </c>
      <c r="R79" s="2" t="s">
        <v>288</v>
      </c>
      <c r="S79" s="1" t="s">
        <v>289</v>
      </c>
      <c r="T79" s="1" t="s">
        <v>290</v>
      </c>
      <c r="U79" s="1" t="s">
        <v>291</v>
      </c>
      <c r="V79" s="1" t="s">
        <v>292</v>
      </c>
      <c r="W79" s="2" t="s">
        <v>293</v>
      </c>
      <c r="X79" s="2" t="s">
        <v>294</v>
      </c>
      <c r="Y79" s="2" t="s">
        <v>295</v>
      </c>
      <c r="Z79" s="2" t="s">
        <v>2</v>
      </c>
      <c r="AA79" s="1" t="s">
        <v>296</v>
      </c>
      <c r="AB79" s="1" t="s">
        <v>297</v>
      </c>
      <c r="AC79" s="1" t="s">
        <v>298</v>
      </c>
      <c r="AD79" s="1" t="s">
        <v>299</v>
      </c>
    </row>
    <row r="80">
      <c r="A80" s="1" t="s">
        <v>31</v>
      </c>
      <c r="B80" s="5">
        <v>1.0</v>
      </c>
      <c r="C80" s="5">
        <f t="array" ref="C80">SUMIFS(Front9_Scores!$D:$D, Front9_Scores!$A:$A, $A80, Front9_Scores!$B:$B, INDEX($B:$B,$AA80), Front9_Scores!$C:$C, $B80)</f>
        <v>4</v>
      </c>
      <c r="D80" s="5">
        <f t="array" ref="D80">LET(player_hcp,INDEX($E:$E,$AA80),player_tee,INDEX($F:$F,$AA80),current_hole,$B80,hole_hcp_index,XLOOKUP(current_hole,Course!$A:$A,XLOOKUP(player_tee,Course!$D$1:$F$1,Course!$D:$F)),IF(player_hcp&gt;=hole_hcp_index,1,0)+IF(player_hcp&gt;=(18+hole_hcp_index),1,0))</f>
        <v>1</v>
      </c>
      <c r="E80" s="5">
        <f t="shared" ref="E80:E88" si="51">IF($C80=0,"",$C80-D80)</f>
        <v>3</v>
      </c>
      <c r="F80" s="5">
        <f t="array" ref="F80">LET(
    player_row, $AA80,
    player_hcp, INDEX($E:$E, player_row),
    player_flight, INDEX($A:$A, player_row),
    player_team, INDEX($C:$C, player_row),
    current_hole, $B80,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80" s="5">
        <f t="shared" ref="G80:G88" si="52">IF($C80=0,"",$C80-F80)</f>
        <v>3</v>
      </c>
      <c r="H80" s="5">
        <f t="array" ref="H80">SUMIFS(Front9_Scores!$D:$D, Front9_Scores!$A:$A, $A80, Front9_Scores!$B:$B, INDEX($B:$B,$AB80), Front9_Scores!$C:$C, $B80)</f>
        <v>4</v>
      </c>
      <c r="I80" s="5">
        <f t="array" ref="I80">LET(player_hcp,INDEX($E:$E,$AB80),player_tee,INDEX($F:$F,$AB80),current_hole,$B80,hole_hcp_index,XLOOKUP(current_hole,Course!$A:$A,XLOOKUP(player_tee,Course!$D$1:$F$1,Course!$D:$F)),IF(player_hcp&gt;=hole_hcp_index,1,0)+IF(player_hcp&gt;=(18+hole_hcp_index),1,0))</f>
        <v>1</v>
      </c>
      <c r="J80" s="5">
        <f t="shared" ref="J80:J88" si="53">IF($H80=0,"",$H80-I80)</f>
        <v>3</v>
      </c>
      <c r="K80" s="5">
        <f t="array" ref="K80">LET(
    player_row, $AB80,
    player_hcp, INDEX($E:$E, player_row),
    player_flight, INDEX($A:$A, player_row),
    player_team, INDEX($C:$C, player_row),
    current_hole, $B80,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80" s="5">
        <f t="shared" ref="L80:L88" si="54">IF($H80=0,"",$H80-K80)</f>
        <v>3</v>
      </c>
      <c r="M80" s="5">
        <f t="array" ref="M80">SUMIFS(Front9_Scores!$D:$D, Front9_Scores!$A:$A, $A80, Front9_Scores!$B:$B, INDEX($B:$B,$AC80), Front9_Scores!$C:$C, $B80)</f>
        <v>5</v>
      </c>
      <c r="N80" s="5">
        <f t="array" ref="N80">LET(player_hcp,INDEX($E:$E,$AC80),player_tee,INDEX($F:$F,$AC80),current_hole,$B80,hole_hcp_index,XLOOKUP(current_hole,Course!$A:$A,XLOOKUP(player_tee,Course!$D$1:$F$1,Course!$D:$F)),IF(player_hcp&gt;=hole_hcp_index,1,0)+IF(player_hcp&gt;=(18+hole_hcp_index),1,0))</f>
        <v>1</v>
      </c>
      <c r="O80" s="5">
        <f t="shared" ref="O80:O88" si="55">IF(M80=0,"",M80-N80)</f>
        <v>4</v>
      </c>
      <c r="P80" s="5">
        <f t="array" ref="P80">LET(
    player_row, $AC80,
    player_hcp, INDEX($E:$E, player_row),
    player_flight, INDEX($A:$A, player_row),
    player_team, INDEX($C:$C, player_row),
    current_hole, $B80,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80" s="5">
        <f t="shared" ref="Q80:Q88" si="56">IF($M80=0,"",$M80-P80)</f>
        <v>4</v>
      </c>
      <c r="R80" s="5">
        <f t="array" ref="R80">SUMIFS(Front9_Scores!$D:$D, Front9_Scores!$A:$A, $A80, Front9_Scores!$B:$B, INDEX($B:$B,$AD80), Front9_Scores!$C:$C, $B80)</f>
        <v>6</v>
      </c>
      <c r="S80" s="5">
        <f t="array" ref="S80">LET(player_hcp,INDEX($E:$E,$AD80),player_tee,INDEX($F:$F,$AD80),current_hole,$B80,hole_hcp_index,XLOOKUP(current_hole,Course!$A:$A,XLOOKUP(player_tee,Course!$D$1:$F$1,Course!$D:$F)),IF(player_hcp&gt;=hole_hcp_index,1,0)+IF(player_hcp&gt;=(18+hole_hcp_index),1,0))</f>
        <v>2</v>
      </c>
      <c r="T80" s="5">
        <f t="shared" ref="T80:T88" si="57">IF(R80=0,"",R80-S80)</f>
        <v>4</v>
      </c>
      <c r="U80" s="5">
        <f t="array" ref="U80">LET(
    player_row, $AD80,
    player_hcp, INDEX($E:$E, player_row),
    player_flight, INDEX($A:$A, player_row),
    player_team, INDEX($C:$C, player_row),
    current_hole, $B80,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2</v>
      </c>
      <c r="V80" s="5">
        <f t="shared" ref="V80:V88" si="58">IF($R80=0,"",$R80-U80)</f>
        <v>4</v>
      </c>
      <c r="W80" s="5" t="str">
        <f t="shared" ref="W80:W88" si="59">IF(COUNT(G80,L80,Q80,V80)&lt;4,"",LET(Red_Best_Ball,MIN(G80,L80),Blue_Best_Ball,MIN(Q80,V80),IF(Red_Best_Ball&lt;Blue_Best_Ball,"Red",IF(Blue_Best_Ball&lt;Red_Best_Ball,"Blue","Tie"))))</f>
        <v>Red</v>
      </c>
      <c r="X80" s="5" t="str">
        <f t="shared" ref="X80:X88" si="60">IF(COUNT(E80,O80)&lt;2,"",IF(E80&lt;O80,"Red",IF(O80&lt;E80,"Blue","Tie")))</f>
        <v>Red</v>
      </c>
      <c r="Y80" s="5" t="str">
        <f t="shared" ref="Y80:Y88" si="61">IF(COUNT(J80,T80)&lt;2,"",IF(J80&lt;T80,"Red",IF(T80&lt;J80,"Blue","Tie")))</f>
        <v>Red</v>
      </c>
      <c r="Z80" s="5" t="str">
        <f t="shared" ref="Z80:Z88" si="62">A80</f>
        <v>Flight_5</v>
      </c>
      <c r="AA80" s="1">
        <v>20.0</v>
      </c>
      <c r="AB80" s="1">
        <v>21.0</v>
      </c>
      <c r="AC80" s="1">
        <v>18.0</v>
      </c>
      <c r="AD80" s="1">
        <v>19.0</v>
      </c>
    </row>
    <row r="81">
      <c r="A81" s="1" t="s">
        <v>31</v>
      </c>
      <c r="B81" s="5">
        <v>2.0</v>
      </c>
      <c r="C81" s="5">
        <f t="array" ref="C81">SUMIFS(Front9_Scores!$D:$D, Front9_Scores!$A:$A, $A81, Front9_Scores!$B:$B, INDEX($B:$B,$AA81), Front9_Scores!$C:$C, $B81)</f>
        <v>6</v>
      </c>
      <c r="D81" s="5">
        <f t="array" ref="D81">LET(player_hcp,INDEX($E:$E,$AA81),player_tee,INDEX($F:$F,$AA81),current_hole,$B81,hole_hcp_index,XLOOKUP(current_hole,Course!$A:$A,XLOOKUP(player_tee,Course!$D$1:$F$1,Course!$D:$F)),IF(player_hcp&gt;=hole_hcp_index,1,0)+IF(player_hcp&gt;=(18+hole_hcp_index),1,0))</f>
        <v>0</v>
      </c>
      <c r="E81" s="5">
        <f t="shared" si="51"/>
        <v>6</v>
      </c>
      <c r="F81" s="5">
        <f t="array" ref="F81">LET(
    player_row, $AA81,
    player_hcp, INDEX($E:$E, player_row),
    player_flight, INDEX($A:$A, player_row),
    player_team, INDEX($C:$C, player_row),
    current_hole, $B81,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81" s="5">
        <f t="shared" si="52"/>
        <v>6</v>
      </c>
      <c r="H81" s="5">
        <f t="array" ref="H81">SUMIFS(Front9_Scores!$D:$D, Front9_Scores!$A:$A, $A81, Front9_Scores!$B:$B, INDEX($B:$B,$AB81), Front9_Scores!$C:$C, $B81)</f>
        <v>5</v>
      </c>
      <c r="I81" s="5">
        <f t="array" ref="I81">LET(player_hcp,INDEX($E:$E,$AB81),player_tee,INDEX($F:$F,$AB81),current_hole,$B81,hole_hcp_index,XLOOKUP(current_hole,Course!$A:$A,XLOOKUP(player_tee,Course!$D$1:$F$1,Course!$D:$F)),IF(player_hcp&gt;=hole_hcp_index,1,0)+IF(player_hcp&gt;=(18+hole_hcp_index),1,0))</f>
        <v>1</v>
      </c>
      <c r="J81" s="5">
        <f t="shared" si="53"/>
        <v>4</v>
      </c>
      <c r="K81" s="5">
        <f t="array" ref="K81">LET(
    player_row, $AB81,
    player_hcp, INDEX($E:$E, player_row),
    player_flight, INDEX($A:$A, player_row),
    player_team, INDEX($C:$C, player_row),
    current_hole, $B81,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81" s="5">
        <f t="shared" si="54"/>
        <v>4</v>
      </c>
      <c r="M81" s="5">
        <f t="array" ref="M81">SUMIFS(Front9_Scores!$D:$D, Front9_Scores!$A:$A, $A81, Front9_Scores!$B:$B, INDEX($B:$B,$AC81), Front9_Scores!$C:$C, $B81)</f>
        <v>6</v>
      </c>
      <c r="N81" s="5">
        <f t="array" ref="N81">LET(player_hcp,INDEX($E:$E,$AC81),player_tee,INDEX($F:$F,$AC81),current_hole,$B81,hole_hcp_index,XLOOKUP(current_hole,Course!$A:$A,XLOOKUP(player_tee,Course!$D$1:$F$1,Course!$D:$F)),IF(player_hcp&gt;=hole_hcp_index,1,0)+IF(player_hcp&gt;=(18+hole_hcp_index),1,0))</f>
        <v>1</v>
      </c>
      <c r="O81" s="5">
        <f t="shared" si="55"/>
        <v>5</v>
      </c>
      <c r="P81" s="5">
        <f t="array" ref="P81">LET(
    player_row, $AC81,
    player_hcp, INDEX($E:$E, player_row),
    player_flight, INDEX($A:$A, player_row),
    player_team, INDEX($C:$C, player_row),
    current_hole, $B81,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81" s="5">
        <f t="shared" si="56"/>
        <v>5</v>
      </c>
      <c r="R81" s="5">
        <f t="array" ref="R81">SUMIFS(Front9_Scores!$D:$D, Front9_Scores!$A:$A, $A81, Front9_Scores!$B:$B, INDEX($B:$B,$AD81), Front9_Scores!$C:$C, $B81)</f>
        <v>7</v>
      </c>
      <c r="S81" s="5">
        <f t="array" ref="S81">LET(player_hcp,INDEX($E:$E,$AD81),player_tee,INDEX($F:$F,$AD81),current_hole,$B81,hole_hcp_index,XLOOKUP(current_hole,Course!$A:$A,XLOOKUP(player_tee,Course!$D$1:$F$1,Course!$D:$F)),IF(player_hcp&gt;=hole_hcp_index,1,0)+IF(player_hcp&gt;=(18+hole_hcp_index),1,0))</f>
        <v>1</v>
      </c>
      <c r="T81" s="5">
        <f t="shared" si="57"/>
        <v>6</v>
      </c>
      <c r="U81" s="5">
        <f t="array" ref="U81">LET(
    player_row, $AD81,
    player_hcp, INDEX($E:$E, player_row),
    player_flight, INDEX($A:$A, player_row),
    player_team, INDEX($C:$C, player_row),
    current_hole, $B81,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81" s="5">
        <f t="shared" si="58"/>
        <v>6</v>
      </c>
      <c r="W81" s="5" t="str">
        <f t="shared" si="59"/>
        <v>Red</v>
      </c>
      <c r="X81" s="5" t="str">
        <f t="shared" si="60"/>
        <v>Blue</v>
      </c>
      <c r="Y81" s="5" t="str">
        <f t="shared" si="61"/>
        <v>Red</v>
      </c>
      <c r="Z81" s="5" t="str">
        <f t="shared" si="62"/>
        <v>Flight_5</v>
      </c>
      <c r="AA81" s="1">
        <v>20.0</v>
      </c>
      <c r="AB81" s="1">
        <v>21.0</v>
      </c>
      <c r="AC81" s="1">
        <v>18.0</v>
      </c>
      <c r="AD81" s="1">
        <v>19.0</v>
      </c>
    </row>
    <row r="82">
      <c r="A82" s="1" t="s">
        <v>31</v>
      </c>
      <c r="B82" s="5">
        <v>3.0</v>
      </c>
      <c r="C82" s="5">
        <f t="array" ref="C82">SUMIFS(Front9_Scores!$D:$D, Front9_Scores!$A:$A, $A82, Front9_Scores!$B:$B, INDEX($B:$B,$AA82), Front9_Scores!$C:$C, $B82)</f>
        <v>4</v>
      </c>
      <c r="D82" s="5">
        <f t="array" ref="D82">LET(player_hcp,INDEX($E:$E,$AA82),player_tee,INDEX($F:$F,$AA82),current_hole,$B82,hole_hcp_index,XLOOKUP(current_hole,Course!$A:$A,XLOOKUP(player_tee,Course!$D$1:$F$1,Course!$D:$F)),IF(player_hcp&gt;=hole_hcp_index,1,0)+IF(player_hcp&gt;=(18+hole_hcp_index),1,0))</f>
        <v>0</v>
      </c>
      <c r="E82" s="5">
        <f t="shared" si="51"/>
        <v>4</v>
      </c>
      <c r="F82" s="5">
        <f t="array" ref="F82">LET(
    player_row, $AA82,
    player_hcp, INDEX($E:$E, player_row),
    player_flight, INDEX($A:$A, player_row),
    player_team, INDEX($C:$C, player_row),
    current_hole, $B82,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82" s="5">
        <f t="shared" si="52"/>
        <v>4</v>
      </c>
      <c r="H82" s="5">
        <f t="array" ref="H82">SUMIFS(Front9_Scores!$D:$D, Front9_Scores!$A:$A, $A82, Front9_Scores!$B:$B, INDEX($B:$B,$AB82), Front9_Scores!$C:$C, $B82)</f>
        <v>6</v>
      </c>
      <c r="I82" s="5">
        <f t="array" ref="I82">LET(player_hcp,INDEX($E:$E,$AB82),player_tee,INDEX($F:$F,$AB82),current_hole,$B82,hole_hcp_index,XLOOKUP(current_hole,Course!$A:$A,XLOOKUP(player_tee,Course!$D$1:$F$1,Course!$D:$F)),IF(player_hcp&gt;=hole_hcp_index,1,0)+IF(player_hcp&gt;=(18+hole_hcp_index),1,0))</f>
        <v>0</v>
      </c>
      <c r="J82" s="5">
        <f t="shared" si="53"/>
        <v>6</v>
      </c>
      <c r="K82" s="5">
        <f t="array" ref="K82">LET(
    player_row, $AB82,
    player_hcp, INDEX($E:$E, player_row),
    player_flight, INDEX($A:$A, player_row),
    player_team, INDEX($C:$C, player_row),
    current_hole, $B82,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82" s="5">
        <f t="shared" si="54"/>
        <v>6</v>
      </c>
      <c r="M82" s="5">
        <f t="array" ref="M82">SUMIFS(Front9_Scores!$D:$D, Front9_Scores!$A:$A, $A82, Front9_Scores!$B:$B, INDEX($B:$B,$AC82), Front9_Scores!$C:$C, $B82)</f>
        <v>6</v>
      </c>
      <c r="N82" s="5">
        <f t="array" ref="N82">LET(player_hcp,INDEX($E:$E,$AC82),player_tee,INDEX($F:$F,$AC82),current_hole,$B82,hole_hcp_index,XLOOKUP(current_hole,Course!$A:$A,XLOOKUP(player_tee,Course!$D$1:$F$1,Course!$D:$F)),IF(player_hcp&gt;=hole_hcp_index,1,0)+IF(player_hcp&gt;=(18+hole_hcp_index),1,0))</f>
        <v>0</v>
      </c>
      <c r="O82" s="5">
        <f t="shared" si="55"/>
        <v>6</v>
      </c>
      <c r="P82" s="5">
        <f t="array" ref="P82">LET(
    player_row, $AC82,
    player_hcp, INDEX($E:$E, player_row),
    player_flight, INDEX($A:$A, player_row),
    player_team, INDEX($C:$C, player_row),
    current_hole, $B82,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82" s="5">
        <f t="shared" si="56"/>
        <v>6</v>
      </c>
      <c r="R82" s="5">
        <f t="array" ref="R82">SUMIFS(Front9_Scores!$D:$D, Front9_Scores!$A:$A, $A82, Front9_Scores!$B:$B, INDEX($B:$B,$AD82), Front9_Scores!$C:$C, $B82)</f>
        <v>6</v>
      </c>
      <c r="S82" s="5">
        <f t="array" ref="S82">LET(player_hcp,INDEX($E:$E,$AD82),player_tee,INDEX($F:$F,$AD82),current_hole,$B82,hole_hcp_index,XLOOKUP(current_hole,Course!$A:$A,XLOOKUP(player_tee,Course!$D$1:$F$1,Course!$D:$F)),IF(player_hcp&gt;=hole_hcp_index,1,0)+IF(player_hcp&gt;=(18+hole_hcp_index),1,0))</f>
        <v>1</v>
      </c>
      <c r="T82" s="5">
        <f t="shared" si="57"/>
        <v>5</v>
      </c>
      <c r="U82" s="5">
        <f t="array" ref="U82">LET(
    player_row, $AD82,
    player_hcp, INDEX($E:$E, player_row),
    player_flight, INDEX($A:$A, player_row),
    player_team, INDEX($C:$C, player_row),
    current_hole, $B82,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82" s="5">
        <f t="shared" si="58"/>
        <v>5</v>
      </c>
      <c r="W82" s="5" t="str">
        <f t="shared" si="59"/>
        <v>Red</v>
      </c>
      <c r="X82" s="5" t="str">
        <f t="shared" si="60"/>
        <v>Red</v>
      </c>
      <c r="Y82" s="5" t="str">
        <f t="shared" si="61"/>
        <v>Blue</v>
      </c>
      <c r="Z82" s="5" t="str">
        <f t="shared" si="62"/>
        <v>Flight_5</v>
      </c>
      <c r="AA82" s="1">
        <v>20.0</v>
      </c>
      <c r="AB82" s="1">
        <v>21.0</v>
      </c>
      <c r="AC82" s="1">
        <v>18.0</v>
      </c>
      <c r="AD82" s="1">
        <v>19.0</v>
      </c>
    </row>
    <row r="83">
      <c r="A83" s="1" t="s">
        <v>31</v>
      </c>
      <c r="B83" s="5">
        <v>4.0</v>
      </c>
      <c r="C83" s="5">
        <f t="array" ref="C83">SUMIFS(Front9_Scores!$D:$D, Front9_Scores!$A:$A, $A83, Front9_Scores!$B:$B, INDEX($B:$B,$AA83), Front9_Scores!$C:$C, $B83)</f>
        <v>4</v>
      </c>
      <c r="D83" s="5">
        <f t="array" ref="D83">LET(player_hcp,INDEX($E:$E,$AA83),player_tee,INDEX($F:$F,$AA83),current_hole,$B83,hole_hcp_index,XLOOKUP(current_hole,Course!$A:$A,XLOOKUP(player_tee,Course!$D$1:$F$1,Course!$D:$F)),IF(player_hcp&gt;=hole_hcp_index,1,0)+IF(player_hcp&gt;=(18+hole_hcp_index),1,0))</f>
        <v>0</v>
      </c>
      <c r="E83" s="5">
        <f t="shared" si="51"/>
        <v>4</v>
      </c>
      <c r="F83" s="5">
        <f t="array" ref="F83">LET(
    player_row, $AA83,
    player_hcp, INDEX($E:$E, player_row),
    player_flight, INDEX($A:$A, player_row),
    player_team, INDEX($C:$C, player_row),
    current_hole, $B83,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83" s="5">
        <f t="shared" si="52"/>
        <v>4</v>
      </c>
      <c r="H83" s="5">
        <f t="array" ref="H83">SUMIFS(Front9_Scores!$D:$D, Front9_Scores!$A:$A, $A83, Front9_Scores!$B:$B, INDEX($B:$B,$AB83), Front9_Scores!$C:$C, $B83)</f>
        <v>5</v>
      </c>
      <c r="I83" s="5">
        <f t="array" ref="I83">LET(player_hcp,INDEX($E:$E,$AB83),player_tee,INDEX($F:$F,$AB83),current_hole,$B83,hole_hcp_index,XLOOKUP(current_hole,Course!$A:$A,XLOOKUP(player_tee,Course!$D$1:$F$1,Course!$D:$F)),IF(player_hcp&gt;=hole_hcp_index,1,0)+IF(player_hcp&gt;=(18+hole_hcp_index),1,0))</f>
        <v>1</v>
      </c>
      <c r="J83" s="5">
        <f t="shared" si="53"/>
        <v>4</v>
      </c>
      <c r="K83" s="5">
        <f t="array" ref="K83">LET(
    player_row, $AB83,
    player_hcp, INDEX($E:$E, player_row),
    player_flight, INDEX($A:$A, player_row),
    player_team, INDEX($C:$C, player_row),
    current_hole, $B83,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83" s="5">
        <f t="shared" si="54"/>
        <v>5</v>
      </c>
      <c r="M83" s="5">
        <f t="array" ref="M83">SUMIFS(Front9_Scores!$D:$D, Front9_Scores!$A:$A, $A83, Front9_Scores!$B:$B, INDEX($B:$B,$AC83), Front9_Scores!$C:$C, $B83)</f>
        <v>4</v>
      </c>
      <c r="N83" s="5">
        <f t="array" ref="N83">LET(player_hcp,INDEX($E:$E,$AC83),player_tee,INDEX($F:$F,$AC83),current_hole,$B83,hole_hcp_index,XLOOKUP(current_hole,Course!$A:$A,XLOOKUP(player_tee,Course!$D$1:$F$1,Course!$D:$F)),IF(player_hcp&gt;=hole_hcp_index,1,0)+IF(player_hcp&gt;=(18+hole_hcp_index),1,0))</f>
        <v>0</v>
      </c>
      <c r="O83" s="5">
        <f t="shared" si="55"/>
        <v>4</v>
      </c>
      <c r="P83" s="5">
        <f t="array" ref="P83">LET(
    player_row, $AC83,
    player_hcp, INDEX($E:$E, player_row),
    player_flight, INDEX($A:$A, player_row),
    player_team, INDEX($C:$C, player_row),
    current_hole, $B83,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83" s="5">
        <f t="shared" si="56"/>
        <v>4</v>
      </c>
      <c r="R83" s="5">
        <f t="array" ref="R83">SUMIFS(Front9_Scores!$D:$D, Front9_Scores!$A:$A, $A83, Front9_Scores!$B:$B, INDEX($B:$B,$AD83), Front9_Scores!$C:$C, $B83)</f>
        <v>5</v>
      </c>
      <c r="S83" s="5">
        <f t="array" ref="S83">LET(player_hcp,INDEX($E:$E,$AD83),player_tee,INDEX($F:$F,$AD83),current_hole,$B83,hole_hcp_index,XLOOKUP(current_hole,Course!$A:$A,XLOOKUP(player_tee,Course!$D$1:$F$1,Course!$D:$F)),IF(player_hcp&gt;=hole_hcp_index,1,0)+IF(player_hcp&gt;=(18+hole_hcp_index),1,0))</f>
        <v>1</v>
      </c>
      <c r="T83" s="5">
        <f t="shared" si="57"/>
        <v>4</v>
      </c>
      <c r="U83" s="5">
        <f t="array" ref="U83">LET(
    player_row, $AD83,
    player_hcp, INDEX($E:$E, player_row),
    player_flight, INDEX($A:$A, player_row),
    player_team, INDEX($C:$C, player_row),
    current_hole, $B83,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83" s="5">
        <f t="shared" si="58"/>
        <v>4</v>
      </c>
      <c r="W83" s="5" t="str">
        <f t="shared" si="59"/>
        <v>Tie</v>
      </c>
      <c r="X83" s="5" t="str">
        <f t="shared" si="60"/>
        <v>Tie</v>
      </c>
      <c r="Y83" s="5" t="str">
        <f t="shared" si="61"/>
        <v>Tie</v>
      </c>
      <c r="Z83" s="5" t="str">
        <f t="shared" si="62"/>
        <v>Flight_5</v>
      </c>
      <c r="AA83" s="1">
        <v>20.0</v>
      </c>
      <c r="AB83" s="1">
        <v>21.0</v>
      </c>
      <c r="AC83" s="1">
        <v>18.0</v>
      </c>
      <c r="AD83" s="1">
        <v>19.0</v>
      </c>
    </row>
    <row r="84">
      <c r="A84" s="1" t="s">
        <v>31</v>
      </c>
      <c r="B84" s="5">
        <v>5.0</v>
      </c>
      <c r="C84" s="5">
        <f t="array" ref="C84">SUMIFS(Front9_Scores!$D:$D, Front9_Scores!$A:$A, $A84, Front9_Scores!$B:$B, INDEX($B:$B,$AA84), Front9_Scores!$C:$C, $B84)</f>
        <v>5</v>
      </c>
      <c r="D84" s="5">
        <f t="array" ref="D84">LET(player_hcp,INDEX($E:$E,$AA84),player_tee,INDEX($F:$F,$AA84),current_hole,$B84,hole_hcp_index,XLOOKUP(current_hole,Course!$A:$A,XLOOKUP(player_tee,Course!$D$1:$F$1,Course!$D:$F)),IF(player_hcp&gt;=hole_hcp_index,1,0)+IF(player_hcp&gt;=(18+hole_hcp_index),1,0))</f>
        <v>0</v>
      </c>
      <c r="E84" s="5">
        <f t="shared" si="51"/>
        <v>5</v>
      </c>
      <c r="F84" s="5">
        <f t="array" ref="F84">LET(
    player_row, $AA84,
    player_hcp, INDEX($E:$E, player_row),
    player_flight, INDEX($A:$A, player_row),
    player_team, INDEX($C:$C, player_row),
    current_hole, $B84,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84" s="5">
        <f t="shared" si="52"/>
        <v>5</v>
      </c>
      <c r="H84" s="5">
        <f t="array" ref="H84">SUMIFS(Front9_Scores!$D:$D, Front9_Scores!$A:$A, $A84, Front9_Scores!$B:$B, INDEX($B:$B,$AB84), Front9_Scores!$C:$C, $B84)</f>
        <v>7</v>
      </c>
      <c r="I84" s="5">
        <f t="array" ref="I84">LET(player_hcp,INDEX($E:$E,$AB84),player_tee,INDEX($F:$F,$AB84),current_hole,$B84,hole_hcp_index,XLOOKUP(current_hole,Course!$A:$A,XLOOKUP(player_tee,Course!$D$1:$F$1,Course!$D:$F)),IF(player_hcp&gt;=hole_hcp_index,1,0)+IF(player_hcp&gt;=(18+hole_hcp_index),1,0))</f>
        <v>1</v>
      </c>
      <c r="J84" s="5">
        <f t="shared" si="53"/>
        <v>6</v>
      </c>
      <c r="K84" s="5">
        <f t="array" ref="K84">LET(
    player_row, $AB84,
    player_hcp, INDEX($E:$E, player_row),
    player_flight, INDEX($A:$A, player_row),
    player_team, INDEX($C:$C, player_row),
    current_hole, $B84,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84" s="5">
        <f t="shared" si="54"/>
        <v>6</v>
      </c>
      <c r="M84" s="5">
        <f t="array" ref="M84">SUMIFS(Front9_Scores!$D:$D, Front9_Scores!$A:$A, $A84, Front9_Scores!$B:$B, INDEX($B:$B,$AC84), Front9_Scores!$C:$C, $B84)</f>
        <v>3</v>
      </c>
      <c r="N84" s="5">
        <f t="array" ref="N84">LET(player_hcp,INDEX($E:$E,$AC84),player_tee,INDEX($F:$F,$AC84),current_hole,$B84,hole_hcp_index,XLOOKUP(current_hole,Course!$A:$A,XLOOKUP(player_tee,Course!$D$1:$F$1,Course!$D:$F)),IF(player_hcp&gt;=hole_hcp_index,1,0)+IF(player_hcp&gt;=(18+hole_hcp_index),1,0))</f>
        <v>1</v>
      </c>
      <c r="O84" s="5">
        <f t="shared" si="55"/>
        <v>2</v>
      </c>
      <c r="P84" s="5">
        <f t="array" ref="P84">LET(
    player_row, $AC84,
    player_hcp, INDEX($E:$E, player_row),
    player_flight, INDEX($A:$A, player_row),
    player_team, INDEX($C:$C, player_row),
    current_hole, $B84,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84" s="5">
        <f t="shared" si="56"/>
        <v>2</v>
      </c>
      <c r="R84" s="5">
        <f t="array" ref="R84">SUMIFS(Front9_Scores!$D:$D, Front9_Scores!$A:$A, $A84, Front9_Scores!$B:$B, INDEX($B:$B,$AD84), Front9_Scores!$C:$C, $B84)</f>
        <v>6</v>
      </c>
      <c r="S84" s="5">
        <f t="array" ref="S84">LET(player_hcp,INDEX($E:$E,$AD84),player_tee,INDEX($F:$F,$AD84),current_hole,$B84,hole_hcp_index,XLOOKUP(current_hole,Course!$A:$A,XLOOKUP(player_tee,Course!$D$1:$F$1,Course!$D:$F)),IF(player_hcp&gt;=hole_hcp_index,1,0)+IF(player_hcp&gt;=(18+hole_hcp_index),1,0))</f>
        <v>1</v>
      </c>
      <c r="T84" s="5">
        <f t="shared" si="57"/>
        <v>5</v>
      </c>
      <c r="U84" s="5">
        <f t="array" ref="U84">LET(
    player_row, $AD84,
    player_hcp, INDEX($E:$E, player_row),
    player_flight, INDEX($A:$A, player_row),
    player_team, INDEX($C:$C, player_row),
    current_hole, $B84,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84" s="5">
        <f t="shared" si="58"/>
        <v>5</v>
      </c>
      <c r="W84" s="5" t="str">
        <f t="shared" si="59"/>
        <v>Blue</v>
      </c>
      <c r="X84" s="5" t="str">
        <f t="shared" si="60"/>
        <v>Blue</v>
      </c>
      <c r="Y84" s="5" t="str">
        <f t="shared" si="61"/>
        <v>Blue</v>
      </c>
      <c r="Z84" s="5" t="str">
        <f t="shared" si="62"/>
        <v>Flight_5</v>
      </c>
      <c r="AA84" s="1">
        <v>20.0</v>
      </c>
      <c r="AB84" s="1">
        <v>21.0</v>
      </c>
      <c r="AC84" s="1">
        <v>18.0</v>
      </c>
      <c r="AD84" s="1">
        <v>19.0</v>
      </c>
    </row>
    <row r="85">
      <c r="A85" s="1" t="s">
        <v>31</v>
      </c>
      <c r="B85" s="5">
        <v>6.0</v>
      </c>
      <c r="C85" s="5">
        <f t="array" ref="C85">SUMIFS(Front9_Scores!$D:$D, Front9_Scores!$A:$A, $A85, Front9_Scores!$B:$B, INDEX($B:$B,$AA85), Front9_Scores!$C:$C, $B85)</f>
        <v>4</v>
      </c>
      <c r="D85" s="5">
        <f t="array" ref="D85">LET(player_hcp,INDEX($E:$E,$AA85),player_tee,INDEX($F:$F,$AA85),current_hole,$B85,hole_hcp_index,XLOOKUP(current_hole,Course!$A:$A,XLOOKUP(player_tee,Course!$D$1:$F$1,Course!$D:$F)),IF(player_hcp&gt;=hole_hcp_index,1,0)+IF(player_hcp&gt;=(18+hole_hcp_index),1,0))</f>
        <v>0</v>
      </c>
      <c r="E85" s="5">
        <f t="shared" si="51"/>
        <v>4</v>
      </c>
      <c r="F85" s="5">
        <f t="array" ref="F85">LET(
    player_row, $AA85,
    player_hcp, INDEX($E:$E, player_row),
    player_flight, INDEX($A:$A, player_row),
    player_team, INDEX($C:$C, player_row),
    current_hole, $B85,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85" s="5">
        <f t="shared" si="52"/>
        <v>4</v>
      </c>
      <c r="H85" s="5">
        <f t="array" ref="H85">SUMIFS(Front9_Scores!$D:$D, Front9_Scores!$A:$A, $A85, Front9_Scores!$B:$B, INDEX($B:$B,$AB85), Front9_Scores!$C:$C, $B85)</f>
        <v>5</v>
      </c>
      <c r="I85" s="5">
        <f t="array" ref="I85">LET(player_hcp,INDEX($E:$E,$AB85),player_tee,INDEX($F:$F,$AB85),current_hole,$B85,hole_hcp_index,XLOOKUP(current_hole,Course!$A:$A,XLOOKUP(player_tee,Course!$D$1:$F$1,Course!$D:$F)),IF(player_hcp&gt;=hole_hcp_index,1,0)+IF(player_hcp&gt;=(18+hole_hcp_index),1,0))</f>
        <v>0</v>
      </c>
      <c r="J85" s="5">
        <f t="shared" si="53"/>
        <v>5</v>
      </c>
      <c r="K85" s="5">
        <f t="array" ref="K85">LET(
    player_row, $AB85,
    player_hcp, INDEX($E:$E, player_row),
    player_flight, INDEX($A:$A, player_row),
    player_team, INDEX($C:$C, player_row),
    current_hole, $B85,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85" s="5">
        <f t="shared" si="54"/>
        <v>4</v>
      </c>
      <c r="M85" s="5">
        <f t="array" ref="M85">SUMIFS(Front9_Scores!$D:$D, Front9_Scores!$A:$A, $A85, Front9_Scores!$B:$B, INDEX($B:$B,$AC85), Front9_Scores!$C:$C, $B85)</f>
        <v>4</v>
      </c>
      <c r="N85" s="5">
        <f t="array" ref="N85">LET(player_hcp,INDEX($E:$E,$AC85),player_tee,INDEX($F:$F,$AC85),current_hole,$B85,hole_hcp_index,XLOOKUP(current_hole,Course!$A:$A,XLOOKUP(player_tee,Course!$D$1:$F$1,Course!$D:$F)),IF(player_hcp&gt;=hole_hcp_index,1,0)+IF(player_hcp&gt;=(18+hole_hcp_index),1,0))</f>
        <v>1</v>
      </c>
      <c r="O85" s="5">
        <f t="shared" si="55"/>
        <v>3</v>
      </c>
      <c r="P85" s="5">
        <f t="array" ref="P85">LET(
    player_row, $AC85,
    player_hcp, INDEX($E:$E, player_row),
    player_flight, INDEX($A:$A, player_row),
    player_team, INDEX($C:$C, player_row),
    current_hole, $B85,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85" s="5">
        <f t="shared" si="56"/>
        <v>3</v>
      </c>
      <c r="R85" s="5">
        <f t="array" ref="R85">SUMIFS(Front9_Scores!$D:$D, Front9_Scores!$A:$A, $A85, Front9_Scores!$B:$B, INDEX($B:$B,$AD85), Front9_Scores!$C:$C, $B85)</f>
        <v>5</v>
      </c>
      <c r="S85" s="5">
        <f t="array" ref="S85">LET(player_hcp,INDEX($E:$E,$AD85),player_tee,INDEX($F:$F,$AD85),current_hole,$B85,hole_hcp_index,XLOOKUP(current_hole,Course!$A:$A,XLOOKUP(player_tee,Course!$D$1:$F$1,Course!$D:$F)),IF(player_hcp&gt;=hole_hcp_index,1,0)+IF(player_hcp&gt;=(18+hole_hcp_index),1,0))</f>
        <v>1</v>
      </c>
      <c r="T85" s="5">
        <f t="shared" si="57"/>
        <v>4</v>
      </c>
      <c r="U85" s="5">
        <f t="array" ref="U85">LET(
    player_row, $AD85,
    player_hcp, INDEX($E:$E, player_row),
    player_flight, INDEX($A:$A, player_row),
    player_team, INDEX($C:$C, player_row),
    current_hole, $B85,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85" s="5">
        <f t="shared" si="58"/>
        <v>4</v>
      </c>
      <c r="W85" s="5" t="str">
        <f t="shared" si="59"/>
        <v>Blue</v>
      </c>
      <c r="X85" s="5" t="str">
        <f t="shared" si="60"/>
        <v>Blue</v>
      </c>
      <c r="Y85" s="5" t="str">
        <f t="shared" si="61"/>
        <v>Blue</v>
      </c>
      <c r="Z85" s="5" t="str">
        <f t="shared" si="62"/>
        <v>Flight_5</v>
      </c>
      <c r="AA85" s="1">
        <v>20.0</v>
      </c>
      <c r="AB85" s="1">
        <v>21.0</v>
      </c>
      <c r="AC85" s="1">
        <v>18.0</v>
      </c>
      <c r="AD85" s="1">
        <v>19.0</v>
      </c>
    </row>
    <row r="86">
      <c r="A86" s="1" t="s">
        <v>31</v>
      </c>
      <c r="B86" s="5">
        <v>7.0</v>
      </c>
      <c r="C86" s="5">
        <f t="array" ref="C86">SUMIFS(Front9_Scores!$D:$D, Front9_Scores!$A:$A, $A86, Front9_Scores!$B:$B, INDEX($B:$B,$AA86), Front9_Scores!$C:$C, $B86)</f>
        <v>3</v>
      </c>
      <c r="D86" s="5">
        <f t="array" ref="D86">LET(player_hcp,INDEX($E:$E,$AA86),player_tee,INDEX($F:$F,$AA86),current_hole,$B86,hole_hcp_index,XLOOKUP(current_hole,Course!$A:$A,XLOOKUP(player_tee,Course!$D$1:$F$1,Course!$D:$F)),IF(player_hcp&gt;=hole_hcp_index,1,0)+IF(player_hcp&gt;=(18+hole_hcp_index),1,0))</f>
        <v>0</v>
      </c>
      <c r="E86" s="5">
        <f t="shared" si="51"/>
        <v>3</v>
      </c>
      <c r="F86" s="5">
        <f t="array" ref="F86">LET(
    player_row, $AA86,
    player_hcp, INDEX($E:$E, player_row),
    player_flight, INDEX($A:$A, player_row),
    player_team, INDEX($C:$C, player_row),
    current_hole, $B86,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86" s="5">
        <f t="shared" si="52"/>
        <v>3</v>
      </c>
      <c r="H86" s="5">
        <f t="array" ref="H86">SUMIFS(Front9_Scores!$D:$D, Front9_Scores!$A:$A, $A86, Front9_Scores!$B:$B, INDEX($B:$B,$AB86), Front9_Scores!$C:$C, $B86)</f>
        <v>2</v>
      </c>
      <c r="I86" s="5">
        <f t="array" ref="I86">LET(player_hcp,INDEX($E:$E,$AB86),player_tee,INDEX($F:$F,$AB86),current_hole,$B86,hole_hcp_index,XLOOKUP(current_hole,Course!$A:$A,XLOOKUP(player_tee,Course!$D$1:$F$1,Course!$D:$F)),IF(player_hcp&gt;=hole_hcp_index,1,0)+IF(player_hcp&gt;=(18+hole_hcp_index),1,0))</f>
        <v>1</v>
      </c>
      <c r="J86" s="5">
        <f t="shared" si="53"/>
        <v>1</v>
      </c>
      <c r="K86" s="5">
        <f t="array" ref="K86">LET(
    player_row, $AB86,
    player_hcp, INDEX($E:$E, player_row),
    player_flight, INDEX($A:$A, player_row),
    player_team, INDEX($C:$C, player_row),
    current_hole, $B86,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86" s="5">
        <f t="shared" si="54"/>
        <v>1</v>
      </c>
      <c r="M86" s="5">
        <f t="array" ref="M86">SUMIFS(Front9_Scores!$D:$D, Front9_Scores!$A:$A, $A86, Front9_Scores!$B:$B, INDEX($B:$B,$AC86), Front9_Scores!$C:$C, $B86)</f>
        <v>4</v>
      </c>
      <c r="N86" s="5">
        <f t="array" ref="N86">LET(player_hcp,INDEX($E:$E,$AC86),player_tee,INDEX($F:$F,$AC86),current_hole,$B86,hole_hcp_index,XLOOKUP(current_hole,Course!$A:$A,XLOOKUP(player_tee,Course!$D$1:$F$1,Course!$D:$F)),IF(player_hcp&gt;=hole_hcp_index,1,0)+IF(player_hcp&gt;=(18+hole_hcp_index),1,0))</f>
        <v>1</v>
      </c>
      <c r="O86" s="5">
        <f t="shared" si="55"/>
        <v>3</v>
      </c>
      <c r="P86" s="5">
        <f t="array" ref="P86">LET(
    player_row, $AC86,
    player_hcp, INDEX($E:$E, player_row),
    player_flight, INDEX($A:$A, player_row),
    player_team, INDEX($C:$C, player_row),
    current_hole, $B86,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86" s="5">
        <f t="shared" si="56"/>
        <v>3</v>
      </c>
      <c r="R86" s="5">
        <f t="array" ref="R86">SUMIFS(Front9_Scores!$D:$D, Front9_Scores!$A:$A, $A86, Front9_Scores!$B:$B, INDEX($B:$B,$AD86), Front9_Scores!$C:$C, $B86)</f>
        <v>3</v>
      </c>
      <c r="S86" s="5">
        <f t="array" ref="S86">LET(player_hcp,INDEX($E:$E,$AD86),player_tee,INDEX($F:$F,$AD86),current_hole,$B86,hole_hcp_index,XLOOKUP(current_hole,Course!$A:$A,XLOOKUP(player_tee,Course!$D$1:$F$1,Course!$D:$F)),IF(player_hcp&gt;=hole_hcp_index,1,0)+IF(player_hcp&gt;=(18+hole_hcp_index),1,0))</f>
        <v>1</v>
      </c>
      <c r="T86" s="5">
        <f t="shared" si="57"/>
        <v>2</v>
      </c>
      <c r="U86" s="5">
        <f t="array" ref="U86">LET(
    player_row, $AD86,
    player_hcp, INDEX($E:$E, player_row),
    player_flight, INDEX($A:$A, player_row),
    player_team, INDEX($C:$C, player_row),
    current_hole, $B86,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86" s="5">
        <f t="shared" si="58"/>
        <v>2</v>
      </c>
      <c r="W86" s="5" t="str">
        <f t="shared" si="59"/>
        <v>Red</v>
      </c>
      <c r="X86" s="5" t="str">
        <f t="shared" si="60"/>
        <v>Tie</v>
      </c>
      <c r="Y86" s="5" t="str">
        <f t="shared" si="61"/>
        <v>Red</v>
      </c>
      <c r="Z86" s="5" t="str">
        <f t="shared" si="62"/>
        <v>Flight_5</v>
      </c>
      <c r="AA86" s="1">
        <v>20.0</v>
      </c>
      <c r="AB86" s="1">
        <v>21.0</v>
      </c>
      <c r="AC86" s="1">
        <v>18.0</v>
      </c>
      <c r="AD86" s="1">
        <v>19.0</v>
      </c>
    </row>
    <row r="87">
      <c r="A87" s="1" t="s">
        <v>31</v>
      </c>
      <c r="B87" s="5">
        <v>8.0</v>
      </c>
      <c r="C87" s="5">
        <f t="array" ref="C87">SUMIFS(Front9_Scores!$D:$D, Front9_Scores!$A:$A, $A87, Front9_Scores!$B:$B, INDEX($B:$B,$AA87), Front9_Scores!$C:$C, $B87)</f>
        <v>5</v>
      </c>
      <c r="D87" s="5">
        <f t="array" ref="D87">LET(player_hcp,INDEX($E:$E,$AA87),player_tee,INDEX($F:$F,$AA87),current_hole,$B87,hole_hcp_index,XLOOKUP(current_hole,Course!$A:$A,XLOOKUP(player_tee,Course!$D$1:$F$1,Course!$D:$F)),IF(player_hcp&gt;=hole_hcp_index,1,0)+IF(player_hcp&gt;=(18+hole_hcp_index),1,0))</f>
        <v>0</v>
      </c>
      <c r="E87" s="5">
        <f t="shared" si="51"/>
        <v>5</v>
      </c>
      <c r="F87" s="5">
        <f t="array" ref="F87">LET(
    player_row, $AA87,
    player_hcp, INDEX($E:$E, player_row),
    player_flight, INDEX($A:$A, player_row),
    player_team, INDEX($C:$C, player_row),
    current_hole, $B87,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87" s="5">
        <f t="shared" si="52"/>
        <v>5</v>
      </c>
      <c r="H87" s="5">
        <f t="array" ref="H87">SUMIFS(Front9_Scores!$D:$D, Front9_Scores!$A:$A, $A87, Front9_Scores!$B:$B, INDEX($B:$B,$AB87), Front9_Scores!$C:$C, $B87)</f>
        <v>6</v>
      </c>
      <c r="I87" s="5">
        <f t="array" ref="I87">LET(player_hcp,INDEX($E:$E,$AB87),player_tee,INDEX($F:$F,$AB87),current_hole,$B87,hole_hcp_index,XLOOKUP(current_hole,Course!$A:$A,XLOOKUP(player_tee,Course!$D$1:$F$1,Course!$D:$F)),IF(player_hcp&gt;=hole_hcp_index,1,0)+IF(player_hcp&gt;=(18+hole_hcp_index),1,0))</f>
        <v>1</v>
      </c>
      <c r="J87" s="5">
        <f t="shared" si="53"/>
        <v>5</v>
      </c>
      <c r="K87" s="5">
        <f t="array" ref="K87">LET(
    player_row, $AB87,
    player_hcp, INDEX($E:$E, player_row),
    player_flight, INDEX($A:$A, player_row),
    player_team, INDEX($C:$C, player_row),
    current_hole, $B87,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87" s="5">
        <f t="shared" si="54"/>
        <v>5</v>
      </c>
      <c r="M87" s="5">
        <f t="array" ref="M87">SUMIFS(Front9_Scores!$D:$D, Front9_Scores!$A:$A, $A87, Front9_Scores!$B:$B, INDEX($B:$B,$AC87), Front9_Scores!$C:$C, $B87)</f>
        <v>5</v>
      </c>
      <c r="N87" s="5">
        <f t="array" ref="N87">LET(player_hcp,INDEX($E:$E,$AC87),player_tee,INDEX($F:$F,$AC87),current_hole,$B87,hole_hcp_index,XLOOKUP(current_hole,Course!$A:$A,XLOOKUP(player_tee,Course!$D$1:$F$1,Course!$D:$F)),IF(player_hcp&gt;=hole_hcp_index,1,0)+IF(player_hcp&gt;=(18+hole_hcp_index),1,0))</f>
        <v>1</v>
      </c>
      <c r="O87" s="5">
        <f t="shared" si="55"/>
        <v>4</v>
      </c>
      <c r="P87" s="5">
        <f t="array" ref="P87">LET(
    player_row, $AC87,
    player_hcp, INDEX($E:$E, player_row),
    player_flight, INDEX($A:$A, player_row),
    player_team, INDEX($C:$C, player_row),
    current_hole, $B87,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87" s="5">
        <f t="shared" si="56"/>
        <v>4</v>
      </c>
      <c r="R87" s="5">
        <f t="array" ref="R87">SUMIFS(Front9_Scores!$D:$D, Front9_Scores!$A:$A, $A87, Front9_Scores!$B:$B, INDEX($B:$B,$AD87), Front9_Scores!$C:$C, $B87)</f>
        <v>5</v>
      </c>
      <c r="S87" s="5">
        <f t="array" ref="S87">LET(player_hcp,INDEX($E:$E,$AD87),player_tee,INDEX($F:$F,$AD87),current_hole,$B87,hole_hcp_index,XLOOKUP(current_hole,Course!$A:$A,XLOOKUP(player_tee,Course!$D$1:$F$1,Course!$D:$F)),IF(player_hcp&gt;=hole_hcp_index,1,0)+IF(player_hcp&gt;=(18+hole_hcp_index),1,0))</f>
        <v>1</v>
      </c>
      <c r="T87" s="5">
        <f t="shared" si="57"/>
        <v>4</v>
      </c>
      <c r="U87" s="5">
        <f t="array" ref="U87">LET(
    player_row, $AD87,
    player_hcp, INDEX($E:$E, player_row),
    player_flight, INDEX($A:$A, player_row),
    player_team, INDEX($C:$C, player_row),
    current_hole, $B87,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87" s="5">
        <f t="shared" si="58"/>
        <v>4</v>
      </c>
      <c r="W87" s="5" t="str">
        <f t="shared" si="59"/>
        <v>Blue</v>
      </c>
      <c r="X87" s="5" t="str">
        <f t="shared" si="60"/>
        <v>Blue</v>
      </c>
      <c r="Y87" s="5" t="str">
        <f t="shared" si="61"/>
        <v>Blue</v>
      </c>
      <c r="Z87" s="5" t="str">
        <f t="shared" si="62"/>
        <v>Flight_5</v>
      </c>
      <c r="AA87" s="1">
        <v>20.0</v>
      </c>
      <c r="AB87" s="1">
        <v>21.0</v>
      </c>
      <c r="AC87" s="1">
        <v>18.0</v>
      </c>
      <c r="AD87" s="1">
        <v>19.0</v>
      </c>
    </row>
    <row r="88">
      <c r="A88" s="1" t="s">
        <v>31</v>
      </c>
      <c r="B88" s="5">
        <v>9.0</v>
      </c>
      <c r="C88" s="5">
        <f t="array" ref="C88">SUMIFS(Front9_Scores!$D:$D, Front9_Scores!$A:$A, $A88, Front9_Scores!$B:$B, INDEX($B:$B,$AA88), Front9_Scores!$C:$C, $B88)</f>
        <v>5</v>
      </c>
      <c r="D88" s="5">
        <f t="array" ref="D88">LET(player_hcp,INDEX($E:$E,$AA88),player_tee,INDEX($F:$F,$AA88),current_hole,$B88,hole_hcp_index,XLOOKUP(current_hole,Course!$A:$A,XLOOKUP(player_tee,Course!$D$1:$F$1,Course!$D:$F)),IF(player_hcp&gt;=hole_hcp_index,1,0)+IF(player_hcp&gt;=(18+hole_hcp_index),1,0))</f>
        <v>1</v>
      </c>
      <c r="E88" s="5">
        <f t="shared" si="51"/>
        <v>4</v>
      </c>
      <c r="F88" s="5">
        <f t="array" ref="F88">LET(
    player_row, $AA88,
    player_hcp, INDEX($E:$E, player_row),
    player_flight, INDEX($A:$A, player_row),
    player_team, INDEX($C:$C, player_row),
    current_hole, $B88,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88" s="5">
        <f t="shared" si="52"/>
        <v>4</v>
      </c>
      <c r="H88" s="5">
        <f t="array" ref="H88">SUMIFS(Front9_Scores!$D:$D, Front9_Scores!$A:$A, $A88, Front9_Scores!$B:$B, INDEX($B:$B,$AB88), Front9_Scores!$C:$C, $B88)</f>
        <v>5</v>
      </c>
      <c r="I88" s="5">
        <f t="array" ref="I88">LET(player_hcp,INDEX($E:$E,$AB88),player_tee,INDEX($F:$F,$AB88),current_hole,$B88,hole_hcp_index,XLOOKUP(current_hole,Course!$A:$A,XLOOKUP(player_tee,Course!$D$1:$F$1,Course!$D:$F)),IF(player_hcp&gt;=hole_hcp_index,1,0)+IF(player_hcp&gt;=(18+hole_hcp_index),1,0))</f>
        <v>1</v>
      </c>
      <c r="J88" s="5">
        <f t="shared" si="53"/>
        <v>4</v>
      </c>
      <c r="K88" s="5">
        <f t="array" ref="K88">LET(
    player_row, $AB88,
    player_hcp, INDEX($E:$E, player_row),
    player_flight, INDEX($A:$A, player_row),
    player_team, INDEX($C:$C, player_row),
    current_hole, $B88,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88" s="5">
        <f t="shared" si="54"/>
        <v>4</v>
      </c>
      <c r="M88" s="5">
        <f t="array" ref="M88">SUMIFS(Front9_Scores!$D:$D, Front9_Scores!$A:$A, $A88, Front9_Scores!$B:$B, INDEX($B:$B,$AC88), Front9_Scores!$C:$C, $B88)</f>
        <v>4</v>
      </c>
      <c r="N88" s="5">
        <f t="array" ref="N88">LET(player_hcp,INDEX($E:$E,$AC88),player_tee,INDEX($F:$F,$AC88),current_hole,$B88,hole_hcp_index,XLOOKUP(current_hole,Course!$A:$A,XLOOKUP(player_tee,Course!$D$1:$F$1,Course!$D:$F)),IF(player_hcp&gt;=hole_hcp_index,1,0)+IF(player_hcp&gt;=(18+hole_hcp_index),1,0))</f>
        <v>1</v>
      </c>
      <c r="O88" s="5">
        <f t="shared" si="55"/>
        <v>3</v>
      </c>
      <c r="P88" s="5">
        <f t="array" ref="P88">LET(
    player_row, $AC88,
    player_hcp, INDEX($E:$E, player_row),
    player_flight, INDEX($A:$A, player_row),
    player_team, INDEX($C:$C, player_row),
    current_hole, $B88,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88" s="5">
        <f t="shared" si="56"/>
        <v>3</v>
      </c>
      <c r="R88" s="5">
        <f t="array" ref="R88">SUMIFS(Front9_Scores!$D:$D, Front9_Scores!$A:$A, $A88, Front9_Scores!$B:$B, INDEX($B:$B,$AD88), Front9_Scores!$C:$C, $B88)</f>
        <v>5</v>
      </c>
      <c r="S88" s="5">
        <f t="array" ref="S88">LET(player_hcp,INDEX($E:$E,$AD88),player_tee,INDEX($F:$F,$AD88),current_hole,$B88,hole_hcp_index,XLOOKUP(current_hole,Course!$A:$A,XLOOKUP(player_tee,Course!$D$1:$F$1,Course!$D:$F)),IF(player_hcp&gt;=hole_hcp_index,1,0)+IF(player_hcp&gt;=(18+hole_hcp_index),1,0))</f>
        <v>2</v>
      </c>
      <c r="T88" s="5">
        <f t="shared" si="57"/>
        <v>3</v>
      </c>
      <c r="U88" s="5">
        <f t="array" ref="U88">LET(
    player_row, $AD88,
    player_hcp, INDEX($E:$E, player_row),
    player_flight, INDEX($A:$A, player_row),
    player_team, INDEX($C:$C, player_row),
    current_hole, $B88,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2</v>
      </c>
      <c r="V88" s="5">
        <f t="shared" si="58"/>
        <v>3</v>
      </c>
      <c r="W88" s="5" t="str">
        <f t="shared" si="59"/>
        <v>Blue</v>
      </c>
      <c r="X88" s="5" t="str">
        <f t="shared" si="60"/>
        <v>Blue</v>
      </c>
      <c r="Y88" s="5" t="str">
        <f t="shared" si="61"/>
        <v>Blue</v>
      </c>
      <c r="Z88" s="5" t="str">
        <f t="shared" si="62"/>
        <v>Flight_5</v>
      </c>
      <c r="AA88" s="1">
        <v>20.0</v>
      </c>
      <c r="AB88" s="1">
        <v>21.0</v>
      </c>
      <c r="AC88" s="1">
        <v>18.0</v>
      </c>
      <c r="AD88" s="1">
        <v>19.0</v>
      </c>
    </row>
    <row r="90">
      <c r="A90" s="5" t="s">
        <v>272</v>
      </c>
      <c r="B90" s="5" t="s">
        <v>50</v>
      </c>
      <c r="C90" s="2" t="s">
        <v>273</v>
      </c>
      <c r="D90" s="1" t="s">
        <v>274</v>
      </c>
      <c r="E90" s="1" t="s">
        <v>275</v>
      </c>
      <c r="F90" s="1" t="s">
        <v>276</v>
      </c>
      <c r="G90" s="1" t="s">
        <v>277</v>
      </c>
      <c r="H90" s="2" t="s">
        <v>278</v>
      </c>
      <c r="I90" s="1" t="s">
        <v>279</v>
      </c>
      <c r="J90" s="1" t="s">
        <v>280</v>
      </c>
      <c r="K90" s="1" t="s">
        <v>281</v>
      </c>
      <c r="L90" s="1" t="s">
        <v>282</v>
      </c>
      <c r="M90" s="2" t="s">
        <v>283</v>
      </c>
      <c r="N90" s="1" t="s">
        <v>284</v>
      </c>
      <c r="O90" s="1" t="s">
        <v>285</v>
      </c>
      <c r="P90" s="1" t="s">
        <v>286</v>
      </c>
      <c r="Q90" s="1" t="s">
        <v>287</v>
      </c>
      <c r="R90" s="2" t="s">
        <v>288</v>
      </c>
      <c r="S90" s="1" t="s">
        <v>289</v>
      </c>
      <c r="T90" s="1" t="s">
        <v>290</v>
      </c>
      <c r="U90" s="1" t="s">
        <v>291</v>
      </c>
      <c r="V90" s="1" t="s">
        <v>292</v>
      </c>
      <c r="W90" s="2" t="s">
        <v>293</v>
      </c>
      <c r="X90" s="2" t="s">
        <v>294</v>
      </c>
      <c r="Y90" s="2" t="s">
        <v>295</v>
      </c>
      <c r="Z90" s="2" t="s">
        <v>2</v>
      </c>
      <c r="AA90" s="1" t="s">
        <v>296</v>
      </c>
      <c r="AB90" s="1" t="s">
        <v>297</v>
      </c>
      <c r="AC90" s="1" t="s">
        <v>298</v>
      </c>
      <c r="AD90" s="1" t="s">
        <v>299</v>
      </c>
    </row>
    <row r="91">
      <c r="A91" s="1" t="s">
        <v>36</v>
      </c>
      <c r="B91" s="5">
        <v>1.0</v>
      </c>
      <c r="C91" s="5">
        <f t="array" ref="C91">SUMIFS(Front9_Scores!$D:$D, Front9_Scores!$A:$A, $A91, Front9_Scores!$B:$B, INDEX($B:$B,$AA91), Front9_Scores!$C:$C, $B91)</f>
        <v>5</v>
      </c>
      <c r="D91" s="5">
        <f t="array" ref="D91">LET(player_hcp,INDEX($E:$E,$AA91),player_tee,INDEX($F:$F,$AA91),current_hole,$B91,hole_hcp_index,XLOOKUP(current_hole,Course!$A:$A,XLOOKUP(player_tee,Course!$D$1:$F$1,Course!$D:$F)),IF(player_hcp&gt;=hole_hcp_index,1,0)+IF(player_hcp&gt;=(18+hole_hcp_index),1,0))</f>
        <v>1</v>
      </c>
      <c r="E91" s="5">
        <f t="shared" ref="E91:E99" si="63">IF($C91=0,"",$C91-D91)</f>
        <v>4</v>
      </c>
      <c r="F91" s="5">
        <f t="array" ref="F91">LET(
    player_row, $AA91,
    player_hcp, INDEX($E:$E, player_row),
    player_flight, INDEX($A:$A, player_row),
    player_team, INDEX($C:$C, player_row),
    current_hole, $B91,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1" s="5">
        <f t="shared" ref="G91:G99" si="64">IF($C91=0,"",$C91-F91)</f>
        <v>4</v>
      </c>
      <c r="H91" s="5">
        <f t="array" ref="H91">SUMIFS(Front9_Scores!$D:$D, Front9_Scores!$A:$A, $A91, Front9_Scores!$B:$B, INDEX($B:$B,$AB91), Front9_Scores!$C:$C, $B91)</f>
        <v>4</v>
      </c>
      <c r="I91" s="5">
        <f t="array" ref="I91">LET(player_hcp,INDEX($E:$E,$AB91),player_tee,INDEX($F:$F,$AB91),current_hole,$B91,hole_hcp_index,XLOOKUP(current_hole,Course!$A:$A,XLOOKUP(player_tee,Course!$D$1:$F$1,Course!$D:$F)),IF(player_hcp&gt;=hole_hcp_index,1,0)+IF(player_hcp&gt;=(18+hole_hcp_index),1,0))</f>
        <v>0</v>
      </c>
      <c r="J91" s="5">
        <f t="shared" ref="J91:J99" si="65">IF($H91=0,"",$H91-I91)</f>
        <v>4</v>
      </c>
      <c r="K91" s="5">
        <f t="array" ref="K91">LET(
    player_row, $AB91,
    player_hcp, INDEX($E:$E, player_row),
    player_flight, INDEX($A:$A, player_row),
    player_team, INDEX($C:$C, player_row),
    current_hole, $B91,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1" s="5">
        <f t="shared" ref="L91:L99" si="66">IF($H91=0,"",$H91-K91)</f>
        <v>4</v>
      </c>
      <c r="M91" s="5">
        <f t="array" ref="M91">SUMIFS(Front9_Scores!$D:$D, Front9_Scores!$A:$A, $A91, Front9_Scores!$B:$B, INDEX($B:$B,$AC91), Front9_Scores!$C:$C, $B91)</f>
        <v>4</v>
      </c>
      <c r="N91" s="5">
        <f t="array" ref="N91">LET(player_hcp,INDEX($E:$E,$AC91),player_tee,INDEX($F:$F,$AC91),current_hole,$B91,hole_hcp_index,XLOOKUP(current_hole,Course!$A:$A,XLOOKUP(player_tee,Course!$D$1:$F$1,Course!$D:$F)),IF(player_hcp&gt;=hole_hcp_index,1,0)+IF(player_hcp&gt;=(18+hole_hcp_index),1,0))</f>
        <v>1</v>
      </c>
      <c r="O91" s="5">
        <f t="shared" ref="O91:O99" si="67">IF(M91=0,"",M91-N91)</f>
        <v>3</v>
      </c>
      <c r="P91" s="5">
        <f t="array" ref="P91">LET(
    player_row, $AC91,
    player_hcp, INDEX($E:$E, player_row),
    player_flight, INDEX($A:$A, player_row),
    player_team, INDEX($C:$C, player_row),
    current_hole, $B91,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91" s="5">
        <f t="shared" ref="Q91:Q99" si="68">IF($M91=0,"",$M91-P91)</f>
        <v>3</v>
      </c>
      <c r="R91" s="5">
        <f t="array" ref="R91">SUMIFS(Front9_Scores!$D:$D, Front9_Scores!$A:$A, $A91, Front9_Scores!$B:$B, INDEX($B:$B,$AD91), Front9_Scores!$C:$C, $B91)</f>
        <v>5</v>
      </c>
      <c r="S91" s="5">
        <f t="array" ref="S91">LET(player_hcp,INDEX($E:$E,$AD91),player_tee,INDEX($F:$F,$AD91),current_hole,$B91,hole_hcp_index,XLOOKUP(current_hole,Course!$A:$A,XLOOKUP(player_tee,Course!$D$1:$F$1,Course!$D:$F)),IF(player_hcp&gt;=hole_hcp_index,1,0)+IF(player_hcp&gt;=(18+hole_hcp_index),1,0))</f>
        <v>1</v>
      </c>
      <c r="T91" s="5">
        <f t="shared" ref="T91:T99" si="69">IF(R91=0,"",R91-S91)</f>
        <v>4</v>
      </c>
      <c r="U91" s="5">
        <f t="array" ref="U91">LET(player_hcp,INDEX($E:$E,$AD91),current_hole,$B91,hole_hcp_index,VLOOKUP(current_hole,Course!$A:$G,7,FALSE),IF(player_hcp&gt;=hole_hcp_index,1,0)+IF(player_hcp&gt;=(18+hole_hcp_index),1,0))</f>
        <v>1</v>
      </c>
      <c r="V91" s="5">
        <f t="shared" ref="V91:V99" si="70">IF($R91=0,"",$R91-U91)</f>
        <v>4</v>
      </c>
      <c r="W91" s="5" t="str">
        <f t="shared" ref="W91:W99" si="71">IF(COUNT(G91,L91,Q91,V91)&lt;4,"",LET(Red_Best_Ball,MIN(G91,L91),Blue_Best_Ball,MIN(Q91,V91),IF(Red_Best_Ball&lt;Blue_Best_Ball,"Red",IF(Blue_Best_Ball&lt;Red_Best_Ball,"Blue","Tie"))))</f>
        <v>Blue</v>
      </c>
      <c r="X91" s="5" t="str">
        <f t="shared" ref="X91:X99" si="72">IF(COUNT(E91,O91)&lt;2,"",IF(E91&lt;O91,"Red",IF(O91&lt;E91,"Blue","Tie")))</f>
        <v>Blue</v>
      </c>
      <c r="Y91" s="5" t="str">
        <f t="shared" ref="Y91:Y99" si="73">IF(COUNT(J91,T91)&lt;2,"",IF(J91&lt;T91,"Red",IF(T91&lt;J91,"Blue","Tie")))</f>
        <v>Tie</v>
      </c>
      <c r="Z91" s="5" t="str">
        <f t="shared" ref="Z91:Z99" si="74">A91</f>
        <v>Flight_6</v>
      </c>
      <c r="AA91" s="1">
        <v>24.0</v>
      </c>
      <c r="AB91" s="1">
        <v>25.0</v>
      </c>
      <c r="AC91" s="1">
        <v>22.0</v>
      </c>
      <c r="AD91" s="1">
        <v>23.0</v>
      </c>
    </row>
    <row r="92">
      <c r="A92" s="1" t="s">
        <v>36</v>
      </c>
      <c r="B92" s="5">
        <v>2.0</v>
      </c>
      <c r="C92" s="5">
        <f t="array" ref="C92">SUMIFS(Front9_Scores!$D:$D, Front9_Scores!$A:$A, $A92, Front9_Scores!$B:$B, INDEX($B:$B,$AA92), Front9_Scores!$C:$C, $B92)</f>
        <v>7</v>
      </c>
      <c r="D92" s="5">
        <f t="array" ref="D92">LET(player_hcp,INDEX($E:$E,$AA92),player_tee,INDEX($F:$F,$AA92),current_hole,$B92,hole_hcp_index,XLOOKUP(current_hole,Course!$A:$A,XLOOKUP(player_tee,Course!$D$1:$F$1,Course!$D:$F)),IF(player_hcp&gt;=hole_hcp_index,1,0)+IF(player_hcp&gt;=(18+hole_hcp_index),1,0))</f>
        <v>1</v>
      </c>
      <c r="E92" s="5">
        <f t="shared" si="63"/>
        <v>6</v>
      </c>
      <c r="F92" s="5">
        <f t="array" ref="F92">LET(
    player_row, $AA92,
    player_hcp, INDEX($E:$E, player_row),
    player_flight, INDEX($A:$A, player_row),
    player_team, INDEX($C:$C, player_row),
    current_hole, $B92,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2" s="5">
        <f t="shared" si="64"/>
        <v>6</v>
      </c>
      <c r="H92" s="5">
        <f t="array" ref="H92">SUMIFS(Front9_Scores!$D:$D, Front9_Scores!$A:$A, $A92, Front9_Scores!$B:$B, INDEX($B:$B,$AB92), Front9_Scores!$C:$C, $B92)</f>
        <v>7</v>
      </c>
      <c r="I92" s="5">
        <f t="array" ref="I92">LET(player_hcp,INDEX($E:$E,$AB92),player_tee,INDEX($F:$F,$AB92),current_hole,$B92,hole_hcp_index,XLOOKUP(current_hole,Course!$A:$A,XLOOKUP(player_tee,Course!$D$1:$F$1,Course!$D:$F)),IF(player_hcp&gt;=hole_hcp_index,1,0)+IF(player_hcp&gt;=(18+hole_hcp_index),1,0))</f>
        <v>0</v>
      </c>
      <c r="J92" s="5">
        <f t="shared" si="65"/>
        <v>7</v>
      </c>
      <c r="K92" s="5">
        <f t="array" ref="K92">LET(
    player_row, $AB92,
    player_hcp, INDEX($E:$E, player_row),
    player_flight, INDEX($A:$A, player_row),
    player_team, INDEX($C:$C, player_row),
    current_hole, $B92,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2" s="5">
        <f t="shared" si="66"/>
        <v>7</v>
      </c>
      <c r="M92" s="5">
        <f t="array" ref="M92">SUMIFS(Front9_Scores!$D:$D, Front9_Scores!$A:$A, $A92, Front9_Scores!$B:$B, INDEX($B:$B,$AC92), Front9_Scores!$C:$C, $B92)</f>
        <v>6</v>
      </c>
      <c r="N92" s="5">
        <f t="array" ref="N92">LET(player_hcp,INDEX($E:$E,$AC92),player_tee,INDEX($F:$F,$AC92),current_hole,$B92,hole_hcp_index,XLOOKUP(current_hole,Course!$A:$A,XLOOKUP(player_tee,Course!$D$1:$F$1,Course!$D:$F)),IF(player_hcp&gt;=hole_hcp_index,1,0)+IF(player_hcp&gt;=(18+hole_hcp_index),1,0))</f>
        <v>1</v>
      </c>
      <c r="O92" s="5">
        <f t="shared" si="67"/>
        <v>5</v>
      </c>
      <c r="P92" s="5">
        <f t="array" ref="P92">LET(
    player_row, $AC92,
    player_hcp, INDEX($E:$E, player_row),
    player_flight, INDEX($A:$A, player_row),
    player_team, INDEX($C:$C, player_row),
    current_hole, $B92,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92" s="5">
        <f t="shared" si="68"/>
        <v>5</v>
      </c>
      <c r="R92" s="5">
        <f t="array" ref="R92">SUMIFS(Front9_Scores!$D:$D, Front9_Scores!$A:$A, $A92, Front9_Scores!$B:$B, INDEX($B:$B,$AD92), Front9_Scores!$C:$C, $B92)</f>
        <v>5</v>
      </c>
      <c r="S92" s="5">
        <f t="array" ref="S92">LET(player_hcp,INDEX($E:$E,$AD92),player_tee,INDEX($F:$F,$AD92),current_hole,$B92,hole_hcp_index,XLOOKUP(current_hole,Course!$A:$A,XLOOKUP(player_tee,Course!$D$1:$F$1,Course!$D:$F)),IF(player_hcp&gt;=hole_hcp_index,1,0)+IF(player_hcp&gt;=(18+hole_hcp_index),1,0))</f>
        <v>0</v>
      </c>
      <c r="T92" s="5">
        <f t="shared" si="69"/>
        <v>5</v>
      </c>
      <c r="U92" s="5">
        <f t="array" ref="U92">LET(player_hcp,INDEX($E:$E,$AD92),current_hole,$B92,hole_hcp_index,VLOOKUP(current_hole,Course!$A:$G,7,FALSE),IF(player_hcp&gt;=hole_hcp_index,1,0)+IF(player_hcp&gt;=(18+hole_hcp_index),1,0))</f>
        <v>0</v>
      </c>
      <c r="V92" s="5">
        <f t="shared" si="70"/>
        <v>5</v>
      </c>
      <c r="W92" s="5" t="str">
        <f t="shared" si="71"/>
        <v>Blue</v>
      </c>
      <c r="X92" s="5" t="str">
        <f t="shared" si="72"/>
        <v>Blue</v>
      </c>
      <c r="Y92" s="5" t="str">
        <f t="shared" si="73"/>
        <v>Blue</v>
      </c>
      <c r="Z92" s="5" t="str">
        <f t="shared" si="74"/>
        <v>Flight_6</v>
      </c>
      <c r="AA92" s="1">
        <v>24.0</v>
      </c>
      <c r="AB92" s="1">
        <v>25.0</v>
      </c>
      <c r="AC92" s="1">
        <v>22.0</v>
      </c>
      <c r="AD92" s="1">
        <v>23.0</v>
      </c>
    </row>
    <row r="93">
      <c r="A93" s="1" t="s">
        <v>36</v>
      </c>
      <c r="B93" s="5">
        <v>3.0</v>
      </c>
      <c r="C93" s="5">
        <f t="array" ref="C93">SUMIFS(Front9_Scores!$D:$D, Front9_Scores!$A:$A, $A93, Front9_Scores!$B:$B, INDEX($B:$B,$AA93), Front9_Scores!$C:$C, $B93)</f>
        <v>5</v>
      </c>
      <c r="D93" s="5">
        <f t="array" ref="D93">LET(player_hcp,INDEX($E:$E,$AA93),player_tee,INDEX($F:$F,$AA93),current_hole,$B93,hole_hcp_index,XLOOKUP(current_hole,Course!$A:$A,XLOOKUP(player_tee,Course!$D$1:$F$1,Course!$D:$F)),IF(player_hcp&gt;=hole_hcp_index,1,0)+IF(player_hcp&gt;=(18+hole_hcp_index),1,0))</f>
        <v>0</v>
      </c>
      <c r="E93" s="5">
        <f t="shared" si="63"/>
        <v>5</v>
      </c>
      <c r="F93" s="5">
        <f t="array" ref="F93">LET(
    player_row, $AA93,
    player_hcp, INDEX($E:$E, player_row),
    player_flight, INDEX($A:$A, player_row),
    player_team, INDEX($C:$C, player_row),
    current_hole, $B93,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93" s="5">
        <f t="shared" si="64"/>
        <v>5</v>
      </c>
      <c r="H93" s="5">
        <f t="array" ref="H93">SUMIFS(Front9_Scores!$D:$D, Front9_Scores!$A:$A, $A93, Front9_Scores!$B:$B, INDEX($B:$B,$AB93), Front9_Scores!$C:$C, $B93)</f>
        <v>5</v>
      </c>
      <c r="I93" s="5">
        <f t="array" ref="I93">LET(player_hcp,INDEX($E:$E,$AB93),player_tee,INDEX($F:$F,$AB93),current_hole,$B93,hole_hcp_index,XLOOKUP(current_hole,Course!$A:$A,XLOOKUP(player_tee,Course!$D$1:$F$1,Course!$D:$F)),IF(player_hcp&gt;=hole_hcp_index,1,0)+IF(player_hcp&gt;=(18+hole_hcp_index),1,0))</f>
        <v>0</v>
      </c>
      <c r="J93" s="5">
        <f t="shared" si="65"/>
        <v>5</v>
      </c>
      <c r="K93" s="5">
        <f t="array" ref="K93">LET(
    player_row, $AB93,
    player_hcp, INDEX($E:$E, player_row),
    player_flight, INDEX($A:$A, player_row),
    player_team, INDEX($C:$C, player_row),
    current_hole, $B93,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3" s="5">
        <f t="shared" si="66"/>
        <v>5</v>
      </c>
      <c r="M93" s="5">
        <f t="array" ref="M93">SUMIFS(Front9_Scores!$D:$D, Front9_Scores!$A:$A, $A93, Front9_Scores!$B:$B, INDEX($B:$B,$AC93), Front9_Scores!$C:$C, $B93)</f>
        <v>5</v>
      </c>
      <c r="N93" s="5">
        <f t="array" ref="N93">LET(player_hcp,INDEX($E:$E,$AC93),player_tee,INDEX($F:$F,$AC93),current_hole,$B93,hole_hcp_index,XLOOKUP(current_hole,Course!$A:$A,XLOOKUP(player_tee,Course!$D$1:$F$1,Course!$D:$F)),IF(player_hcp&gt;=hole_hcp_index,1,0)+IF(player_hcp&gt;=(18+hole_hcp_index),1,0))</f>
        <v>0</v>
      </c>
      <c r="O93" s="5">
        <f t="shared" si="67"/>
        <v>5</v>
      </c>
      <c r="P93" s="5">
        <f t="array" ref="P93">LET(
    player_row, $AC93,
    player_hcp, INDEX($E:$E, player_row),
    player_flight, INDEX($A:$A, player_row),
    player_team, INDEX($C:$C, player_row),
    current_hole, $B93,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93" s="5">
        <f t="shared" si="68"/>
        <v>5</v>
      </c>
      <c r="R93" s="5">
        <f t="array" ref="R93">SUMIFS(Front9_Scores!$D:$D, Front9_Scores!$A:$A, $A93, Front9_Scores!$B:$B, INDEX($B:$B,$AD93), Front9_Scores!$C:$C, $B93)</f>
        <v>6</v>
      </c>
      <c r="S93" s="5">
        <f t="array" ref="S93">LET(player_hcp,INDEX($E:$E,$AD93),player_tee,INDEX($F:$F,$AD93),current_hole,$B93,hole_hcp_index,XLOOKUP(current_hole,Course!$A:$A,XLOOKUP(player_tee,Course!$D$1:$F$1,Course!$D:$F)),IF(player_hcp&gt;=hole_hcp_index,1,0)+IF(player_hcp&gt;=(18+hole_hcp_index),1,0))</f>
        <v>0</v>
      </c>
      <c r="T93" s="5">
        <f t="shared" si="69"/>
        <v>6</v>
      </c>
      <c r="U93" s="5">
        <f t="array" ref="U93">LET(player_hcp,INDEX($E:$E,$AD93),current_hole,$B93,hole_hcp_index,VLOOKUP(current_hole,Course!$A:$G,7,FALSE),IF(player_hcp&gt;=hole_hcp_index,1,0)+IF(player_hcp&gt;=(18+hole_hcp_index),1,0))</f>
        <v>0</v>
      </c>
      <c r="V93" s="5">
        <f t="shared" si="70"/>
        <v>6</v>
      </c>
      <c r="W93" s="5" t="str">
        <f t="shared" si="71"/>
        <v>Tie</v>
      </c>
      <c r="X93" s="5" t="str">
        <f t="shared" si="72"/>
        <v>Tie</v>
      </c>
      <c r="Y93" s="5" t="str">
        <f t="shared" si="73"/>
        <v>Red</v>
      </c>
      <c r="Z93" s="5" t="str">
        <f t="shared" si="74"/>
        <v>Flight_6</v>
      </c>
      <c r="AA93" s="1">
        <v>24.0</v>
      </c>
      <c r="AB93" s="1">
        <v>25.0</v>
      </c>
      <c r="AC93" s="1">
        <v>22.0</v>
      </c>
      <c r="AD93" s="1">
        <v>23.0</v>
      </c>
    </row>
    <row r="94">
      <c r="A94" s="1" t="s">
        <v>36</v>
      </c>
      <c r="B94" s="5">
        <v>4.0</v>
      </c>
      <c r="C94" s="5">
        <f t="array" ref="C94">SUMIFS(Front9_Scores!$D:$D, Front9_Scores!$A:$A, $A94, Front9_Scores!$B:$B, INDEX($B:$B,$AA94), Front9_Scores!$C:$C, $B94)</f>
        <v>5</v>
      </c>
      <c r="D94" s="5">
        <f t="array" ref="D94">LET(player_hcp,INDEX($E:$E,$AA94),player_tee,INDEX($F:$F,$AA94),current_hole,$B94,hole_hcp_index,XLOOKUP(current_hole,Course!$A:$A,XLOOKUP(player_tee,Course!$D$1:$F$1,Course!$D:$F)),IF(player_hcp&gt;=hole_hcp_index,1,0)+IF(player_hcp&gt;=(18+hole_hcp_index),1,0))</f>
        <v>1</v>
      </c>
      <c r="E94" s="5">
        <f t="shared" si="63"/>
        <v>4</v>
      </c>
      <c r="F94" s="5">
        <f t="array" ref="F94">LET(
    player_row, $AA94,
    player_hcp, INDEX($E:$E, player_row),
    player_flight, INDEX($A:$A, player_row),
    player_team, INDEX($C:$C, player_row),
    current_hole, $B94,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4" s="5">
        <f t="shared" si="64"/>
        <v>4</v>
      </c>
      <c r="H94" s="5">
        <f t="array" ref="H94">SUMIFS(Front9_Scores!$D:$D, Front9_Scores!$A:$A, $A94, Front9_Scores!$B:$B, INDEX($B:$B,$AB94), Front9_Scores!$C:$C, $B94)</f>
        <v>5</v>
      </c>
      <c r="I94" s="5">
        <f t="array" ref="I94">LET(player_hcp,INDEX($E:$E,$AB94),player_tee,INDEX($F:$F,$AB94),current_hole,$B94,hole_hcp_index,XLOOKUP(current_hole,Course!$A:$A,XLOOKUP(player_tee,Course!$D$1:$F$1,Course!$D:$F)),IF(player_hcp&gt;=hole_hcp_index,1,0)+IF(player_hcp&gt;=(18+hole_hcp_index),1,0))</f>
        <v>0</v>
      </c>
      <c r="J94" s="5">
        <f t="shared" si="65"/>
        <v>5</v>
      </c>
      <c r="K94" s="5">
        <f t="array" ref="K94">LET(
    player_row, $AB94,
    player_hcp, INDEX($E:$E, player_row),
    player_flight, INDEX($A:$A, player_row),
    player_team, INDEX($C:$C, player_row),
    current_hole, $B94,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4" s="5">
        <f t="shared" si="66"/>
        <v>5</v>
      </c>
      <c r="M94" s="5">
        <f t="array" ref="M94">SUMIFS(Front9_Scores!$D:$D, Front9_Scores!$A:$A, $A94, Front9_Scores!$B:$B, INDEX($B:$B,$AC94), Front9_Scores!$C:$C, $B94)</f>
        <v>4</v>
      </c>
      <c r="N94" s="5">
        <f t="array" ref="N94">LET(player_hcp,INDEX($E:$E,$AC94),player_tee,INDEX($F:$F,$AC94),current_hole,$B94,hole_hcp_index,XLOOKUP(current_hole,Course!$A:$A,XLOOKUP(player_tee,Course!$D$1:$F$1,Course!$D:$F)),IF(player_hcp&gt;=hole_hcp_index,1,0)+IF(player_hcp&gt;=(18+hole_hcp_index),1,0))</f>
        <v>0</v>
      </c>
      <c r="O94" s="5">
        <f t="shared" si="67"/>
        <v>4</v>
      </c>
      <c r="P94" s="5">
        <f t="array" ref="P94">LET(
    player_row, $AC94,
    player_hcp, INDEX($E:$E, player_row),
    player_flight, INDEX($A:$A, player_row),
    player_team, INDEX($C:$C, player_row),
    current_hole, $B94,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94" s="5">
        <f t="shared" si="68"/>
        <v>4</v>
      </c>
      <c r="R94" s="5">
        <f t="array" ref="R94">SUMIFS(Front9_Scores!$D:$D, Front9_Scores!$A:$A, $A94, Front9_Scores!$B:$B, INDEX($B:$B,$AD94), Front9_Scores!$C:$C, $B94)</f>
        <v>4</v>
      </c>
      <c r="S94" s="5">
        <f t="array" ref="S94">LET(player_hcp,INDEX($E:$E,$AD94),player_tee,INDEX($F:$F,$AD94),current_hole,$B94,hole_hcp_index,XLOOKUP(current_hole,Course!$A:$A,XLOOKUP(player_tee,Course!$D$1:$F$1,Course!$D:$F)),IF(player_hcp&gt;=hole_hcp_index,1,0)+IF(player_hcp&gt;=(18+hole_hcp_index),1,0))</f>
        <v>0</v>
      </c>
      <c r="T94" s="5">
        <f t="shared" si="69"/>
        <v>4</v>
      </c>
      <c r="U94" s="5">
        <f t="array" ref="U94">LET(player_hcp,INDEX($E:$E,$AD94),current_hole,$B94,hole_hcp_index,VLOOKUP(current_hole,Course!$A:$G,7,FALSE),IF(player_hcp&gt;=hole_hcp_index,1,0)+IF(player_hcp&gt;=(18+hole_hcp_index),1,0))</f>
        <v>0</v>
      </c>
      <c r="V94" s="5">
        <f t="shared" si="70"/>
        <v>4</v>
      </c>
      <c r="W94" s="5" t="str">
        <f t="shared" si="71"/>
        <v>Tie</v>
      </c>
      <c r="X94" s="5" t="str">
        <f t="shared" si="72"/>
        <v>Tie</v>
      </c>
      <c r="Y94" s="5" t="str">
        <f t="shared" si="73"/>
        <v>Blue</v>
      </c>
      <c r="Z94" s="5" t="str">
        <f t="shared" si="74"/>
        <v>Flight_6</v>
      </c>
      <c r="AA94" s="1">
        <v>24.0</v>
      </c>
      <c r="AB94" s="1">
        <v>25.0</v>
      </c>
      <c r="AC94" s="1">
        <v>22.0</v>
      </c>
      <c r="AD94" s="1">
        <v>23.0</v>
      </c>
    </row>
    <row r="95">
      <c r="A95" s="1" t="s">
        <v>36</v>
      </c>
      <c r="B95" s="5">
        <v>5.0</v>
      </c>
      <c r="C95" s="5">
        <f t="array" ref="C95">SUMIFS(Front9_Scores!$D:$D, Front9_Scores!$A:$A, $A95, Front9_Scores!$B:$B, INDEX($B:$B,$AA95), Front9_Scores!$C:$C, $B95)</f>
        <v>4</v>
      </c>
      <c r="D95" s="5">
        <f t="array" ref="D95">LET(player_hcp,INDEX($E:$E,$AA95),player_tee,INDEX($F:$F,$AA95),current_hole,$B95,hole_hcp_index,XLOOKUP(current_hole,Course!$A:$A,XLOOKUP(player_tee,Course!$D$1:$F$1,Course!$D:$F)),IF(player_hcp&gt;=hole_hcp_index,1,0)+IF(player_hcp&gt;=(18+hole_hcp_index),1,0))</f>
        <v>1</v>
      </c>
      <c r="E95" s="5">
        <f t="shared" si="63"/>
        <v>3</v>
      </c>
      <c r="F95" s="5">
        <f t="array" ref="F95">LET(
    player_row, $AA95,
    player_hcp, INDEX($E:$E, player_row),
    player_flight, INDEX($A:$A, player_row),
    player_team, INDEX($C:$C, player_row),
    current_hole, $B95,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5" s="5">
        <f t="shared" si="64"/>
        <v>3</v>
      </c>
      <c r="H95" s="5">
        <f t="array" ref="H95">SUMIFS(Front9_Scores!$D:$D, Front9_Scores!$A:$A, $A95, Front9_Scores!$B:$B, INDEX($B:$B,$AB95), Front9_Scores!$C:$C, $B95)</f>
        <v>3</v>
      </c>
      <c r="I95" s="5">
        <f t="array" ref="I95">LET(player_hcp,INDEX($E:$E,$AB95),player_tee,INDEX($F:$F,$AB95),current_hole,$B95,hole_hcp_index,XLOOKUP(current_hole,Course!$A:$A,XLOOKUP(player_tee,Course!$D$1:$F$1,Course!$D:$F)),IF(player_hcp&gt;=hole_hcp_index,1,0)+IF(player_hcp&gt;=(18+hole_hcp_index),1,0))</f>
        <v>0</v>
      </c>
      <c r="J95" s="5">
        <f t="shared" si="65"/>
        <v>3</v>
      </c>
      <c r="K95" s="5">
        <f t="array" ref="K95">LET(
    player_row, $AB95,
    player_hcp, INDEX($E:$E, player_row),
    player_flight, INDEX($A:$A, player_row),
    player_team, INDEX($C:$C, player_row),
    current_hole, $B95,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5" s="5">
        <f t="shared" si="66"/>
        <v>3</v>
      </c>
      <c r="M95" s="5">
        <f t="array" ref="M95">SUMIFS(Front9_Scores!$D:$D, Front9_Scores!$A:$A, $A95, Front9_Scores!$B:$B, INDEX($B:$B,$AC95), Front9_Scores!$C:$C, $B95)</f>
        <v>4</v>
      </c>
      <c r="N95" s="5">
        <f t="array" ref="N95">LET(player_hcp,INDEX($E:$E,$AC95),player_tee,INDEX($F:$F,$AC95),current_hole,$B95,hole_hcp_index,XLOOKUP(current_hole,Course!$A:$A,XLOOKUP(player_tee,Course!$D$1:$F$1,Course!$D:$F)),IF(player_hcp&gt;=hole_hcp_index,1,0)+IF(player_hcp&gt;=(18+hole_hcp_index),1,0))</f>
        <v>1</v>
      </c>
      <c r="O95" s="5">
        <f t="shared" si="67"/>
        <v>3</v>
      </c>
      <c r="P95" s="5">
        <f t="array" ref="P95">LET(
    player_row, $AC95,
    player_hcp, INDEX($E:$E, player_row),
    player_flight, INDEX($A:$A, player_row),
    player_team, INDEX($C:$C, player_row),
    current_hole, $B95,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95" s="5">
        <f t="shared" si="68"/>
        <v>3</v>
      </c>
      <c r="R95" s="5">
        <f t="array" ref="R95">SUMIFS(Front9_Scores!$D:$D, Front9_Scores!$A:$A, $A95, Front9_Scores!$B:$B, INDEX($B:$B,$AD95), Front9_Scores!$C:$C, $B95)</f>
        <v>3</v>
      </c>
      <c r="S95" s="5">
        <f t="array" ref="S95">LET(player_hcp,INDEX($E:$E,$AD95),player_tee,INDEX($F:$F,$AD95),current_hole,$B95,hole_hcp_index,XLOOKUP(current_hole,Course!$A:$A,XLOOKUP(player_tee,Course!$D$1:$F$1,Course!$D:$F)),IF(player_hcp&gt;=hole_hcp_index,1,0)+IF(player_hcp&gt;=(18+hole_hcp_index),1,0))</f>
        <v>0</v>
      </c>
      <c r="T95" s="5">
        <f t="shared" si="69"/>
        <v>3</v>
      </c>
      <c r="U95" s="5">
        <f t="array" ref="U95">LET(player_hcp,INDEX($E:$E,$AD95),current_hole,$B95,hole_hcp_index,VLOOKUP(current_hole,Course!$A:$G,7,FALSE),IF(player_hcp&gt;=hole_hcp_index,1,0)+IF(player_hcp&gt;=(18+hole_hcp_index),1,0))</f>
        <v>0</v>
      </c>
      <c r="V95" s="5">
        <f t="shared" si="70"/>
        <v>3</v>
      </c>
      <c r="W95" s="5" t="str">
        <f t="shared" si="71"/>
        <v>Tie</v>
      </c>
      <c r="X95" s="5" t="str">
        <f t="shared" si="72"/>
        <v>Tie</v>
      </c>
      <c r="Y95" s="5" t="str">
        <f t="shared" si="73"/>
        <v>Tie</v>
      </c>
      <c r="Z95" s="5" t="str">
        <f t="shared" si="74"/>
        <v>Flight_6</v>
      </c>
      <c r="AA95" s="1">
        <v>24.0</v>
      </c>
      <c r="AB95" s="1">
        <v>25.0</v>
      </c>
      <c r="AC95" s="1">
        <v>22.0</v>
      </c>
      <c r="AD95" s="1">
        <v>23.0</v>
      </c>
    </row>
    <row r="96">
      <c r="A96" s="1" t="s">
        <v>36</v>
      </c>
      <c r="B96" s="5">
        <v>6.0</v>
      </c>
      <c r="C96" s="5">
        <f t="array" ref="C96">SUMIFS(Front9_Scores!$D:$D, Front9_Scores!$A:$A, $A96, Front9_Scores!$B:$B, INDEX($B:$B,$AA96), Front9_Scores!$C:$C, $B96)</f>
        <v>5</v>
      </c>
      <c r="D96" s="5">
        <f t="array" ref="D96">LET(player_hcp,INDEX($E:$E,$AA96),player_tee,INDEX($F:$F,$AA96),current_hole,$B96,hole_hcp_index,XLOOKUP(current_hole,Course!$A:$A,XLOOKUP(player_tee,Course!$D$1:$F$1,Course!$D:$F)),IF(player_hcp&gt;=hole_hcp_index,1,0)+IF(player_hcp&gt;=(18+hole_hcp_index),1,0))</f>
        <v>1</v>
      </c>
      <c r="E96" s="5">
        <f t="shared" si="63"/>
        <v>4</v>
      </c>
      <c r="F96" s="5">
        <f t="array" ref="F96">LET(
    player_row, $AA96,
    player_hcp, INDEX($E:$E, player_row),
    player_flight, INDEX($A:$A, player_row),
    player_team, INDEX($C:$C, player_row),
    current_hole, $B96,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6" s="5">
        <f t="shared" si="64"/>
        <v>4</v>
      </c>
      <c r="H96" s="5">
        <f t="array" ref="H96">SUMIFS(Front9_Scores!$D:$D, Front9_Scores!$A:$A, $A96, Front9_Scores!$B:$B, INDEX($B:$B,$AB96), Front9_Scores!$C:$C, $B96)</f>
        <v>3</v>
      </c>
      <c r="I96" s="5">
        <f t="array" ref="I96">LET(player_hcp,INDEX($E:$E,$AB96),player_tee,INDEX($F:$F,$AB96),current_hole,$B96,hole_hcp_index,XLOOKUP(current_hole,Course!$A:$A,XLOOKUP(player_tee,Course!$D$1:$F$1,Course!$D:$F)),IF(player_hcp&gt;=hole_hcp_index,1,0)+IF(player_hcp&gt;=(18+hole_hcp_index),1,0))</f>
        <v>0</v>
      </c>
      <c r="J96" s="5">
        <f t="shared" si="65"/>
        <v>3</v>
      </c>
      <c r="K96" s="5">
        <f t="array" ref="K96">LET(
    player_row, $AB96,
    player_hcp, INDEX($E:$E, player_row),
    player_flight, INDEX($A:$A, player_row),
    player_team, INDEX($C:$C, player_row),
    current_hole, $B96,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6" s="5">
        <f t="shared" si="66"/>
        <v>3</v>
      </c>
      <c r="M96" s="5">
        <f t="array" ref="M96">SUMIFS(Front9_Scores!$D:$D, Front9_Scores!$A:$A, $A96, Front9_Scores!$B:$B, INDEX($B:$B,$AC96), Front9_Scores!$C:$C, $B96)</f>
        <v>4</v>
      </c>
      <c r="N96" s="5">
        <f t="array" ref="N96">LET(player_hcp,INDEX($E:$E,$AC96),player_tee,INDEX($F:$F,$AC96),current_hole,$B96,hole_hcp_index,XLOOKUP(current_hole,Course!$A:$A,XLOOKUP(player_tee,Course!$D$1:$F$1,Course!$D:$F)),IF(player_hcp&gt;=hole_hcp_index,1,0)+IF(player_hcp&gt;=(18+hole_hcp_index),1,0))</f>
        <v>0</v>
      </c>
      <c r="O96" s="5">
        <f t="shared" si="67"/>
        <v>4</v>
      </c>
      <c r="P96" s="5">
        <f t="array" ref="P96">LET(
    player_row, $AC96,
    player_hcp, INDEX($E:$E, player_row),
    player_flight, INDEX($A:$A, player_row),
    player_team, INDEX($C:$C, player_row),
    current_hole, $B96,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96" s="5">
        <f t="shared" si="68"/>
        <v>4</v>
      </c>
      <c r="R96" s="5">
        <f t="array" ref="R96">SUMIFS(Front9_Scores!$D:$D, Front9_Scores!$A:$A, $A96, Front9_Scores!$B:$B, INDEX($B:$B,$AD96), Front9_Scores!$C:$C, $B96)</f>
        <v>5</v>
      </c>
      <c r="S96" s="5">
        <f t="array" ref="S96">LET(player_hcp,INDEX($E:$E,$AD96),player_tee,INDEX($F:$F,$AD96),current_hole,$B96,hole_hcp_index,XLOOKUP(current_hole,Course!$A:$A,XLOOKUP(player_tee,Course!$D$1:$F$1,Course!$D:$F)),IF(player_hcp&gt;=hole_hcp_index,1,0)+IF(player_hcp&gt;=(18+hole_hcp_index),1,0))</f>
        <v>1</v>
      </c>
      <c r="T96" s="5">
        <f t="shared" si="69"/>
        <v>4</v>
      </c>
      <c r="U96" s="5">
        <f t="array" ref="U96">LET(player_hcp,INDEX($E:$E,$AD96),current_hole,$B96,hole_hcp_index,VLOOKUP(current_hole,Course!$A:$G,7,FALSE),IF(player_hcp&gt;=hole_hcp_index,1,0)+IF(player_hcp&gt;=(18+hole_hcp_index),1,0))</f>
        <v>0</v>
      </c>
      <c r="V96" s="5">
        <f t="shared" si="70"/>
        <v>5</v>
      </c>
      <c r="W96" s="5" t="str">
        <f t="shared" si="71"/>
        <v>Red</v>
      </c>
      <c r="X96" s="5" t="str">
        <f t="shared" si="72"/>
        <v>Tie</v>
      </c>
      <c r="Y96" s="5" t="str">
        <f t="shared" si="73"/>
        <v>Red</v>
      </c>
      <c r="Z96" s="5" t="str">
        <f t="shared" si="74"/>
        <v>Flight_6</v>
      </c>
      <c r="AA96" s="1">
        <v>24.0</v>
      </c>
      <c r="AB96" s="1">
        <v>25.0</v>
      </c>
      <c r="AC96" s="1">
        <v>22.0</v>
      </c>
      <c r="AD96" s="1">
        <v>23.0</v>
      </c>
    </row>
    <row r="97">
      <c r="A97" s="1" t="s">
        <v>36</v>
      </c>
      <c r="B97" s="5">
        <v>7.0</v>
      </c>
      <c r="C97" s="5">
        <f t="array" ref="C97">SUMIFS(Front9_Scores!$D:$D, Front9_Scores!$A:$A, $A97, Front9_Scores!$B:$B, INDEX($B:$B,$AA97), Front9_Scores!$C:$C, $B97)</f>
        <v>3</v>
      </c>
      <c r="D97" s="5">
        <f t="array" ref="D97">LET(player_hcp,INDEX($E:$E,$AA97),player_tee,INDEX($F:$F,$AA97),current_hole,$B97,hole_hcp_index,XLOOKUP(current_hole,Course!$A:$A,XLOOKUP(player_tee,Course!$D$1:$F$1,Course!$D:$F)),IF(player_hcp&gt;=hole_hcp_index,1,0)+IF(player_hcp&gt;=(18+hole_hcp_index),1,0))</f>
        <v>1</v>
      </c>
      <c r="E97" s="5">
        <f t="shared" si="63"/>
        <v>2</v>
      </c>
      <c r="F97" s="5">
        <f t="array" ref="F97">LET(
    player_row, $AA97,
    player_hcp, INDEX($E:$E, player_row),
    player_flight, INDEX($A:$A, player_row),
    player_team, INDEX($C:$C, player_row),
    current_hole, $B97,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7" s="5">
        <f t="shared" si="64"/>
        <v>2</v>
      </c>
      <c r="H97" s="5">
        <f t="array" ref="H97">SUMIFS(Front9_Scores!$D:$D, Front9_Scores!$A:$A, $A97, Front9_Scores!$B:$B, INDEX($B:$B,$AB97), Front9_Scores!$C:$C, $B97)</f>
        <v>4</v>
      </c>
      <c r="I97" s="5">
        <f t="array" ref="I97">LET(player_hcp,INDEX($E:$E,$AB97),player_tee,INDEX($F:$F,$AB97),current_hole,$B97,hole_hcp_index,XLOOKUP(current_hole,Course!$A:$A,XLOOKUP(player_tee,Course!$D$1:$F$1,Course!$D:$F)),IF(player_hcp&gt;=hole_hcp_index,1,0)+IF(player_hcp&gt;=(18+hole_hcp_index),1,0))</f>
        <v>0</v>
      </c>
      <c r="J97" s="5">
        <f t="shared" si="65"/>
        <v>4</v>
      </c>
      <c r="K97" s="5">
        <f t="array" ref="K97">LET(
    player_row, $AB97,
    player_hcp, INDEX($E:$E, player_row),
    player_flight, INDEX($A:$A, player_row),
    player_team, INDEX($C:$C, player_row),
    current_hole, $B97,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7" s="5">
        <f t="shared" si="66"/>
        <v>4</v>
      </c>
      <c r="M97" s="5">
        <f t="array" ref="M97">SUMIFS(Front9_Scores!$D:$D, Front9_Scores!$A:$A, $A97, Front9_Scores!$B:$B, INDEX($B:$B,$AC97), Front9_Scores!$C:$C, $B97)</f>
        <v>3</v>
      </c>
      <c r="N97" s="5">
        <f t="array" ref="N97">LET(player_hcp,INDEX($E:$E,$AC97),player_tee,INDEX($F:$F,$AC97),current_hole,$B97,hole_hcp_index,XLOOKUP(current_hole,Course!$A:$A,XLOOKUP(player_tee,Course!$D$1:$F$1,Course!$D:$F)),IF(player_hcp&gt;=hole_hcp_index,1,0)+IF(player_hcp&gt;=(18+hole_hcp_index),1,0))</f>
        <v>0</v>
      </c>
      <c r="O97" s="5">
        <f t="shared" si="67"/>
        <v>3</v>
      </c>
      <c r="P97" s="5">
        <f t="array" ref="P97">LET(
    player_row, $AC97,
    player_hcp, INDEX($E:$E, player_row),
    player_flight, INDEX($A:$A, player_row),
    player_team, INDEX($C:$C, player_row),
    current_hole, $B97,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97" s="5">
        <f t="shared" si="68"/>
        <v>3</v>
      </c>
      <c r="R97" s="5">
        <f t="array" ref="R97">SUMIFS(Front9_Scores!$D:$D, Front9_Scores!$A:$A, $A97, Front9_Scores!$B:$B, INDEX($B:$B,$AD97), Front9_Scores!$C:$C, $B97)</f>
        <v>3</v>
      </c>
      <c r="S97" s="5">
        <f t="array" ref="S97">LET(player_hcp,INDEX($E:$E,$AD97),player_tee,INDEX($F:$F,$AD97),current_hole,$B97,hole_hcp_index,XLOOKUP(current_hole,Course!$A:$A,XLOOKUP(player_tee,Course!$D$1:$F$1,Course!$D:$F)),IF(player_hcp&gt;=hole_hcp_index,1,0)+IF(player_hcp&gt;=(18+hole_hcp_index),1,0))</f>
        <v>0</v>
      </c>
      <c r="T97" s="5">
        <f t="shared" si="69"/>
        <v>3</v>
      </c>
      <c r="U97" s="5">
        <f t="array" ref="U97">LET(player_hcp,INDEX($E:$E,$AD97),current_hole,$B97,hole_hcp_index,VLOOKUP(current_hole,Course!$A:$G,7,FALSE),IF(player_hcp&gt;=hole_hcp_index,1,0)+IF(player_hcp&gt;=(18+hole_hcp_index),1,0))</f>
        <v>0</v>
      </c>
      <c r="V97" s="5">
        <f t="shared" si="70"/>
        <v>3</v>
      </c>
      <c r="W97" s="5" t="str">
        <f t="shared" si="71"/>
        <v>Red</v>
      </c>
      <c r="X97" s="5" t="str">
        <f t="shared" si="72"/>
        <v>Red</v>
      </c>
      <c r="Y97" s="5" t="str">
        <f t="shared" si="73"/>
        <v>Blue</v>
      </c>
      <c r="Z97" s="5" t="str">
        <f t="shared" si="74"/>
        <v>Flight_6</v>
      </c>
      <c r="AA97" s="1">
        <v>24.0</v>
      </c>
      <c r="AB97" s="1">
        <v>25.0</v>
      </c>
      <c r="AC97" s="1">
        <v>22.0</v>
      </c>
      <c r="AD97" s="1">
        <v>23.0</v>
      </c>
    </row>
    <row r="98">
      <c r="A98" s="1" t="s">
        <v>36</v>
      </c>
      <c r="B98" s="5">
        <v>8.0</v>
      </c>
      <c r="C98" s="5">
        <f t="array" ref="C98">SUMIFS(Front9_Scores!$D:$D, Front9_Scores!$A:$A, $A98, Front9_Scores!$B:$B, INDEX($B:$B,$AA98), Front9_Scores!$C:$C, $B98)</f>
        <v>6</v>
      </c>
      <c r="D98" s="5">
        <f t="array" ref="D98">LET(player_hcp,INDEX($E:$E,$AA98),player_tee,INDEX($F:$F,$AA98),current_hole,$B98,hole_hcp_index,XLOOKUP(current_hole,Course!$A:$A,XLOOKUP(player_tee,Course!$D$1:$F$1,Course!$D:$F)),IF(player_hcp&gt;=hole_hcp_index,1,0)+IF(player_hcp&gt;=(18+hole_hcp_index),1,0))</f>
        <v>1</v>
      </c>
      <c r="E98" s="5">
        <f t="shared" si="63"/>
        <v>5</v>
      </c>
      <c r="F98" s="5">
        <f t="array" ref="F98">LET(
    player_row, $AA98,
    player_hcp, INDEX($E:$E, player_row),
    player_flight, INDEX($A:$A, player_row),
    player_team, INDEX($C:$C, player_row),
    current_hole, $B98,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8" s="5">
        <f t="shared" si="64"/>
        <v>5</v>
      </c>
      <c r="H98" s="5">
        <f t="array" ref="H98">SUMIFS(Front9_Scores!$D:$D, Front9_Scores!$A:$A, $A98, Front9_Scores!$B:$B, INDEX($B:$B,$AB98), Front9_Scores!$C:$C, $B98)</f>
        <v>5</v>
      </c>
      <c r="I98" s="5">
        <f t="array" ref="I98">LET(player_hcp,INDEX($E:$E,$AB98),player_tee,INDEX($F:$F,$AB98),current_hole,$B98,hole_hcp_index,XLOOKUP(current_hole,Course!$A:$A,XLOOKUP(player_tee,Course!$D$1:$F$1,Course!$D:$F)),IF(player_hcp&gt;=hole_hcp_index,1,0)+IF(player_hcp&gt;=(18+hole_hcp_index),1,0))</f>
        <v>0</v>
      </c>
      <c r="J98" s="5">
        <f t="shared" si="65"/>
        <v>5</v>
      </c>
      <c r="K98" s="5">
        <f t="array" ref="K98">LET(
    player_row, $AB98,
    player_hcp, INDEX($E:$E, player_row),
    player_flight, INDEX($A:$A, player_row),
    player_team, INDEX($C:$C, player_row),
    current_hole, $B98,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98" s="5">
        <f t="shared" si="66"/>
        <v>5</v>
      </c>
      <c r="M98" s="5">
        <f t="array" ref="M98">SUMIFS(Front9_Scores!$D:$D, Front9_Scores!$A:$A, $A98, Front9_Scores!$B:$B, INDEX($B:$B,$AC98), Front9_Scores!$C:$C, $B98)</f>
        <v>5</v>
      </c>
      <c r="N98" s="5">
        <f t="array" ref="N98">LET(player_hcp,INDEX($E:$E,$AC98),player_tee,INDEX($F:$F,$AC98),current_hole,$B98,hole_hcp_index,XLOOKUP(current_hole,Course!$A:$A,XLOOKUP(player_tee,Course!$D$1:$F$1,Course!$D:$F)),IF(player_hcp&gt;=hole_hcp_index,1,0)+IF(player_hcp&gt;=(18+hole_hcp_index),1,0))</f>
        <v>1</v>
      </c>
      <c r="O98" s="5">
        <f t="shared" si="67"/>
        <v>4</v>
      </c>
      <c r="P98" s="5">
        <f t="array" ref="P98">LET(
    player_row, $AC98,
    player_hcp, INDEX($E:$E, player_row),
    player_flight, INDEX($A:$A, player_row),
    player_team, INDEX($C:$C, player_row),
    current_hole, $B98,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98" s="5">
        <f t="shared" si="68"/>
        <v>4</v>
      </c>
      <c r="R98" s="5">
        <f t="array" ref="R98">SUMIFS(Front9_Scores!$D:$D, Front9_Scores!$A:$A, $A98, Front9_Scores!$B:$B, INDEX($B:$B,$AD98), Front9_Scores!$C:$C, $B98)</f>
        <v>5</v>
      </c>
      <c r="S98" s="5">
        <f t="array" ref="S98">LET(player_hcp,INDEX($E:$E,$AD98),player_tee,INDEX($F:$F,$AD98),current_hole,$B98,hole_hcp_index,XLOOKUP(current_hole,Course!$A:$A,XLOOKUP(player_tee,Course!$D$1:$F$1,Course!$D:$F)),IF(player_hcp&gt;=hole_hcp_index,1,0)+IF(player_hcp&gt;=(18+hole_hcp_index),1,0))</f>
        <v>0</v>
      </c>
      <c r="T98" s="5">
        <f t="shared" si="69"/>
        <v>5</v>
      </c>
      <c r="U98" s="5">
        <f t="array" ref="U98">LET(player_hcp,INDEX($E:$E,$AD98),current_hole,$B98,hole_hcp_index,VLOOKUP(current_hole,Course!$A:$G,7,FALSE),IF(player_hcp&gt;=hole_hcp_index,1,0)+IF(player_hcp&gt;=(18+hole_hcp_index),1,0))</f>
        <v>0</v>
      </c>
      <c r="V98" s="5">
        <f t="shared" si="70"/>
        <v>5</v>
      </c>
      <c r="W98" s="5" t="str">
        <f t="shared" si="71"/>
        <v>Blue</v>
      </c>
      <c r="X98" s="5" t="str">
        <f t="shared" si="72"/>
        <v>Blue</v>
      </c>
      <c r="Y98" s="5" t="str">
        <f t="shared" si="73"/>
        <v>Tie</v>
      </c>
      <c r="Z98" s="5" t="str">
        <f t="shared" si="74"/>
        <v>Flight_6</v>
      </c>
      <c r="AA98" s="1">
        <v>24.0</v>
      </c>
      <c r="AB98" s="1">
        <v>25.0</v>
      </c>
      <c r="AC98" s="1">
        <v>22.0</v>
      </c>
      <c r="AD98" s="1">
        <v>23.0</v>
      </c>
    </row>
    <row r="99">
      <c r="A99" s="1" t="s">
        <v>36</v>
      </c>
      <c r="B99" s="5">
        <v>9.0</v>
      </c>
      <c r="C99" s="5">
        <f t="array" ref="C99">SUMIFS(Front9_Scores!$D:$D, Front9_Scores!$A:$A, $A99, Front9_Scores!$B:$B, INDEX($B:$B,$AA99), Front9_Scores!$C:$C, $B99)</f>
        <v>5</v>
      </c>
      <c r="D99" s="5">
        <f t="array" ref="D99">LET(player_hcp,INDEX($E:$E,$AA99),player_tee,INDEX($F:$F,$AA99),current_hole,$B99,hole_hcp_index,XLOOKUP(current_hole,Course!$A:$A,XLOOKUP(player_tee,Course!$D$1:$F$1,Course!$D:$F)),IF(player_hcp&gt;=hole_hcp_index,1,0)+IF(player_hcp&gt;=(18+hole_hcp_index),1,0))</f>
        <v>1</v>
      </c>
      <c r="E99" s="5">
        <f t="shared" si="63"/>
        <v>4</v>
      </c>
      <c r="F99" s="5">
        <f t="array" ref="F99">LET(
    player_row, $AA99,
    player_hcp, INDEX($E:$E, player_row),
    player_flight, INDEX($A:$A, player_row),
    player_team, INDEX($C:$C, player_row),
    current_hole, $B99,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99" s="5">
        <f t="shared" si="64"/>
        <v>4</v>
      </c>
      <c r="H99" s="5">
        <f t="array" ref="H99">SUMIFS(Front9_Scores!$D:$D, Front9_Scores!$A:$A, $A99, Front9_Scores!$B:$B, INDEX($B:$B,$AB99), Front9_Scores!$C:$C, $B99)</f>
        <v>4</v>
      </c>
      <c r="I99" s="5">
        <f t="array" ref="I99">LET(player_hcp,INDEX($E:$E,$AB99),player_tee,INDEX($F:$F,$AB99),current_hole,$B99,hole_hcp_index,XLOOKUP(current_hole,Course!$A:$A,XLOOKUP(player_tee,Course!$D$1:$F$1,Course!$D:$F)),IF(player_hcp&gt;=hole_hcp_index,1,0)+IF(player_hcp&gt;=(18+hole_hcp_index),1,0))</f>
        <v>1</v>
      </c>
      <c r="J99" s="5">
        <f t="shared" si="65"/>
        <v>3</v>
      </c>
      <c r="K99" s="5">
        <f t="array" ref="K99">LET(
    player_row, $AB99,
    player_hcp, INDEX($E:$E, player_row),
    player_flight, INDEX($A:$A, player_row),
    player_team, INDEX($C:$C, player_row),
    current_hole, $B99,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99" s="5">
        <f t="shared" si="66"/>
        <v>3</v>
      </c>
      <c r="M99" s="5">
        <f t="array" ref="M99">SUMIFS(Front9_Scores!$D:$D, Front9_Scores!$A:$A, $A99, Front9_Scores!$B:$B, INDEX($B:$B,$AC99), Front9_Scores!$C:$C, $B99)</f>
        <v>4</v>
      </c>
      <c r="N99" s="5">
        <f t="array" ref="N99">LET(player_hcp,INDEX($E:$E,$AC99),player_tee,INDEX($F:$F,$AC99),current_hole,$B99,hole_hcp_index,XLOOKUP(current_hole,Course!$A:$A,XLOOKUP(player_tee,Course!$D$1:$F$1,Course!$D:$F)),IF(player_hcp&gt;=hole_hcp_index,1,0)+IF(player_hcp&gt;=(18+hole_hcp_index),1,0))</f>
        <v>1</v>
      </c>
      <c r="O99" s="5">
        <f t="shared" si="67"/>
        <v>3</v>
      </c>
      <c r="P99" s="5">
        <f t="array" ref="P99">LET(
    player_row, $AC99,
    player_hcp, INDEX($E:$E, player_row),
    player_flight, INDEX($A:$A, player_row),
    player_team, INDEX($C:$C, player_row),
    current_hole, $B99,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99" s="5">
        <f t="shared" si="68"/>
        <v>3</v>
      </c>
      <c r="R99" s="5">
        <f t="array" ref="R99">SUMIFS(Front9_Scores!$D:$D, Front9_Scores!$A:$A, $A99, Front9_Scores!$B:$B, INDEX($B:$B,$AD99), Front9_Scores!$C:$C, $B99)</f>
        <v>4</v>
      </c>
      <c r="S99" s="5">
        <f t="array" ref="S99">LET(player_hcp,INDEX($E:$E,$AD99),player_tee,INDEX($F:$F,$AD99),current_hole,$B99,hole_hcp_index,XLOOKUP(current_hole,Course!$A:$A,XLOOKUP(player_tee,Course!$D$1:$F$1,Course!$D:$F)),IF(player_hcp&gt;=hole_hcp_index,1,0)+IF(player_hcp&gt;=(18+hole_hcp_index),1,0))</f>
        <v>1</v>
      </c>
      <c r="T99" s="5">
        <f t="shared" si="69"/>
        <v>3</v>
      </c>
      <c r="U99" s="5">
        <f t="array" ref="U99">LET(player_hcp,INDEX($E:$E,$AD99),current_hole,$B99,hole_hcp_index,VLOOKUP(current_hole,Course!$A:$G,7,FALSE),IF(player_hcp&gt;=hole_hcp_index,1,0)+IF(player_hcp&gt;=(18+hole_hcp_index),1,0))</f>
        <v>1</v>
      </c>
      <c r="V99" s="5">
        <f t="shared" si="70"/>
        <v>3</v>
      </c>
      <c r="W99" s="5" t="str">
        <f t="shared" si="71"/>
        <v>Tie</v>
      </c>
      <c r="X99" s="5" t="str">
        <f t="shared" si="72"/>
        <v>Blue</v>
      </c>
      <c r="Y99" s="5" t="str">
        <f t="shared" si="73"/>
        <v>Tie</v>
      </c>
      <c r="Z99" s="5" t="str">
        <f t="shared" si="74"/>
        <v>Flight_6</v>
      </c>
      <c r="AA99" s="1">
        <v>24.0</v>
      </c>
      <c r="AB99" s="1">
        <v>25.0</v>
      </c>
      <c r="AC99" s="1">
        <v>22.0</v>
      </c>
      <c r="AD99" s="1">
        <v>23.0</v>
      </c>
    </row>
    <row r="101">
      <c r="A101" s="5" t="s">
        <v>272</v>
      </c>
      <c r="B101" s="5" t="s">
        <v>50</v>
      </c>
      <c r="C101" s="2" t="s">
        <v>273</v>
      </c>
      <c r="D101" s="1" t="s">
        <v>274</v>
      </c>
      <c r="E101" s="1" t="s">
        <v>275</v>
      </c>
      <c r="F101" s="1" t="s">
        <v>276</v>
      </c>
      <c r="G101" s="1" t="s">
        <v>277</v>
      </c>
      <c r="H101" s="2" t="s">
        <v>278</v>
      </c>
      <c r="I101" s="1" t="s">
        <v>279</v>
      </c>
      <c r="J101" s="1" t="s">
        <v>280</v>
      </c>
      <c r="K101" s="1" t="s">
        <v>281</v>
      </c>
      <c r="L101" s="1" t="s">
        <v>282</v>
      </c>
      <c r="M101" s="2" t="s">
        <v>283</v>
      </c>
      <c r="N101" s="1" t="s">
        <v>284</v>
      </c>
      <c r="O101" s="1" t="s">
        <v>285</v>
      </c>
      <c r="P101" s="1" t="s">
        <v>286</v>
      </c>
      <c r="Q101" s="1" t="s">
        <v>287</v>
      </c>
      <c r="R101" s="2" t="s">
        <v>288</v>
      </c>
      <c r="S101" s="1" t="s">
        <v>289</v>
      </c>
      <c r="T101" s="1" t="s">
        <v>290</v>
      </c>
      <c r="U101" s="1" t="s">
        <v>291</v>
      </c>
      <c r="V101" s="1" t="s">
        <v>292</v>
      </c>
      <c r="W101" s="2" t="s">
        <v>293</v>
      </c>
      <c r="X101" s="2" t="s">
        <v>294</v>
      </c>
      <c r="Y101" s="2" t="s">
        <v>295</v>
      </c>
      <c r="Z101" s="2" t="s">
        <v>2</v>
      </c>
      <c r="AA101" s="1" t="s">
        <v>296</v>
      </c>
      <c r="AB101" s="1" t="s">
        <v>297</v>
      </c>
      <c r="AC101" s="1" t="s">
        <v>298</v>
      </c>
      <c r="AD101" s="1" t="s">
        <v>299</v>
      </c>
    </row>
    <row r="102">
      <c r="A102" s="1" t="s">
        <v>41</v>
      </c>
      <c r="B102" s="5">
        <v>1.0</v>
      </c>
      <c r="C102" s="5">
        <f t="array" ref="C102">SUMIFS(Front9_Scores!$D:$D, Front9_Scores!$A:$A, $A102, Front9_Scores!$B:$B, INDEX($B:$B,$AA102), Front9_Scores!$C:$C, $B102)</f>
        <v>5</v>
      </c>
      <c r="D102" s="5">
        <f t="array" ref="D102">LET(player_hcp,INDEX($E:$E,$AA102),player_tee,INDEX($F:$F,$AA102),current_hole,$B102,hole_hcp_index,XLOOKUP(current_hole,Course!$A:$A,XLOOKUP(player_tee,Course!$D$1:$F$1,Course!$D:$F)),IF(player_hcp&gt;=hole_hcp_index,1,0)+IF(player_hcp&gt;=(18+hole_hcp_index),1,0))</f>
        <v>1</v>
      </c>
      <c r="E102" s="5">
        <f t="shared" ref="E102:E110" si="75">IF($C102=0,"",$C102-D102)</f>
        <v>4</v>
      </c>
      <c r="F102" s="5">
        <f t="array" ref="F102">LET(
    player_row, $AA102,
    player_hcp, INDEX($E:$E, player_row),
    player_flight, INDEX($A:$A, player_row),
    player_team, INDEX($C:$C, player_row),
    current_hole, $B102,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02" s="5">
        <f t="shared" ref="G102:G110" si="76">IF($C102=0,"",$C102-F102)</f>
        <v>4</v>
      </c>
      <c r="H102" s="5">
        <f t="array" ref="H102">SUMIFS(Front9_Scores!$D:$D, Front9_Scores!$A:$A, $A102, Front9_Scores!$B:$B, INDEX($B:$B,$AB102), Front9_Scores!$C:$C, $B102)</f>
        <v>5</v>
      </c>
      <c r="I102" s="5">
        <f t="array" ref="I102">LET(player_hcp,INDEX($E:$E,$AB102),player_tee,INDEX($F:$F,$AB102),current_hole,$B102,hole_hcp_index,XLOOKUP(current_hole,Course!$A:$A,XLOOKUP(player_tee,Course!$D$1:$F$1,Course!$D:$F)),IF(player_hcp&gt;=hole_hcp_index,1,0)+IF(player_hcp&gt;=(18+hole_hcp_index),1,0))</f>
        <v>1</v>
      </c>
      <c r="J102" s="5">
        <f t="shared" ref="J102:J110" si="77">IF($H102=0,"",$H102-I102)</f>
        <v>4</v>
      </c>
      <c r="K102" s="5">
        <f t="array" ref="K102">LET(
    player_row, $AB102,
    player_hcp, INDEX($E:$E, player_row),
    player_flight, INDEX($A:$A, player_row),
    player_team, INDEX($C:$C, player_row),
    current_hole, $B102,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02" s="5">
        <f t="shared" ref="L102:L110" si="78">IF($H102=0,"",$H102-K102)</f>
        <v>4</v>
      </c>
      <c r="M102" s="5">
        <f t="array" ref="M102">SUMIFS(Front9_Scores!$D:$D, Front9_Scores!$A:$A, $A102, Front9_Scores!$B:$B, INDEX($B:$B,$AC102), Front9_Scores!$C:$C, $B102)</f>
        <v>4</v>
      </c>
      <c r="N102" s="5">
        <f t="array" ref="N102">LET(player_hcp,INDEX($E:$E,$AC102),player_tee,INDEX($F:$F,$AC102),current_hole,$B102,hole_hcp_index,XLOOKUP(current_hole,Course!$A:$A,XLOOKUP(player_tee,Course!$D$1:$F$1,Course!$D:$F)),IF(player_hcp&gt;=hole_hcp_index,1,0)+IF(player_hcp&gt;=(18+hole_hcp_index),1,0))</f>
        <v>1</v>
      </c>
      <c r="O102" s="5">
        <f t="shared" ref="O102:O110" si="79">IF(M102=0,"",M102-N102)</f>
        <v>3</v>
      </c>
      <c r="P102" s="5">
        <f t="array" ref="P102">LET(
    player_row, $AC102,
    player_hcp, INDEX($E:$E, player_row),
    player_flight, INDEX($A:$A, player_row),
    player_team, INDEX($C:$C, player_row),
    current_hole, $B102,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02" s="5">
        <f t="shared" ref="Q102:Q110" si="80">IF($M102=0,"",$M102-P102)</f>
        <v>3</v>
      </c>
      <c r="R102" s="5">
        <f t="array" ref="R102">SUMIFS(Front9_Scores!$D:$D, Front9_Scores!$A:$A, $A102, Front9_Scores!$B:$B, INDEX($B:$B,$AD102), Front9_Scores!$C:$C, $B102)</f>
        <v>5</v>
      </c>
      <c r="S102" s="5">
        <f t="array" ref="S102">LET(player_hcp,INDEX($E:$E,$AD102),player_tee,INDEX($F:$F,$AD102),current_hole,$B102,hole_hcp_index,XLOOKUP(current_hole,Course!$A:$A,XLOOKUP(player_tee,Course!$D$1:$F$1,Course!$D:$F)),IF(player_hcp&gt;=hole_hcp_index,1,0)+IF(player_hcp&gt;=(18+hole_hcp_index),1,0))</f>
        <v>1</v>
      </c>
      <c r="T102" s="5">
        <f t="shared" ref="T102:T110" si="81">IF(R102=0,"",R102-S102)</f>
        <v>4</v>
      </c>
      <c r="U102" s="5">
        <f t="array" ref="U102">LET(
    player_row, $AD102,
    player_hcp, INDEX($E:$E, player_row),
    player_flight, INDEX($A:$A, player_row),
    player_team, INDEX($C:$C, player_row),
    current_hole, $B102,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02" s="5">
        <f t="shared" ref="V102:V110" si="82">IF($R102=0,"",$R102-U102)</f>
        <v>4</v>
      </c>
      <c r="W102" s="5" t="str">
        <f t="shared" ref="W102:W110" si="83">IF(COUNT(G102,L102,Q102,V102)&lt;4,"",LET(Red_Best_Ball,MIN(G102,L102),Blue_Best_Ball,MIN(Q102,V102),IF(Red_Best_Ball&lt;Blue_Best_Ball,"Red",IF(Blue_Best_Ball&lt;Red_Best_Ball,"Blue","Tie"))))</f>
        <v>Blue</v>
      </c>
      <c r="X102" s="5" t="str">
        <f t="shared" ref="X102:X110" si="84">IF(COUNT(E102,O102)&lt;2,"",IF(E102&lt;O102,"Red",IF(O102&lt;E102,"Blue","Tie")))</f>
        <v>Blue</v>
      </c>
      <c r="Y102" s="5" t="str">
        <f t="shared" ref="Y102:Y110" si="85">IF(COUNT(J102,T102)&lt;2,"",IF(J102&lt;T102,"Red",IF(T102&lt;J102,"Blue","Tie")))</f>
        <v>Tie</v>
      </c>
      <c r="Z102" s="5" t="str">
        <f t="shared" ref="Z102:Z110" si="86">A102</f>
        <v>Flight_7</v>
      </c>
      <c r="AA102" s="1">
        <v>28.0</v>
      </c>
      <c r="AB102" s="1">
        <v>29.0</v>
      </c>
      <c r="AC102" s="1">
        <v>26.0</v>
      </c>
      <c r="AD102" s="1">
        <v>27.0</v>
      </c>
    </row>
    <row r="103">
      <c r="A103" s="1" t="s">
        <v>41</v>
      </c>
      <c r="B103" s="5">
        <v>2.0</v>
      </c>
      <c r="C103" s="5">
        <f t="array" ref="C103">SUMIFS(Front9_Scores!$D:$D, Front9_Scores!$A:$A, $A103, Front9_Scores!$B:$B, INDEX($B:$B,$AA103), Front9_Scores!$C:$C, $B103)</f>
        <v>5</v>
      </c>
      <c r="D103" s="5">
        <f t="array" ref="D103">LET(player_hcp,INDEX($E:$E,$AA103),player_tee,INDEX($F:$F,$AA103),current_hole,$B103,hole_hcp_index,XLOOKUP(current_hole,Course!$A:$A,XLOOKUP(player_tee,Course!$D$1:$F$1,Course!$D:$F)),IF(player_hcp&gt;=hole_hcp_index,1,0)+IF(player_hcp&gt;=(18+hole_hcp_index),1,0))</f>
        <v>1</v>
      </c>
      <c r="E103" s="5">
        <f t="shared" si="75"/>
        <v>4</v>
      </c>
      <c r="F103" s="5">
        <f t="array" ref="F103">LET(
    player_row, $AA103,
    player_hcp, INDEX($E:$E, player_row),
    player_flight, INDEX($A:$A, player_row),
    player_team, INDEX($C:$C, player_row),
    current_hole, $B103,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03" s="5">
        <f t="shared" si="76"/>
        <v>4</v>
      </c>
      <c r="H103" s="5">
        <f t="array" ref="H103">SUMIFS(Front9_Scores!$D:$D, Front9_Scores!$A:$A, $A103, Front9_Scores!$B:$B, INDEX($B:$B,$AB103), Front9_Scores!$C:$C, $B103)</f>
        <v>5</v>
      </c>
      <c r="I103" s="5">
        <f t="array" ref="I103">LET(player_hcp,INDEX($E:$E,$AB103),player_tee,INDEX($F:$F,$AB103),current_hole,$B103,hole_hcp_index,XLOOKUP(current_hole,Course!$A:$A,XLOOKUP(player_tee,Course!$D$1:$F$1,Course!$D:$F)),IF(player_hcp&gt;=hole_hcp_index,1,0)+IF(player_hcp&gt;=(18+hole_hcp_index),1,0))</f>
        <v>1</v>
      </c>
      <c r="J103" s="5">
        <f t="shared" si="77"/>
        <v>4</v>
      </c>
      <c r="K103" s="5">
        <f t="array" ref="K103">LET(
    player_row, $AB103,
    player_hcp, INDEX($E:$E, player_row),
    player_flight, INDEX($A:$A, player_row),
    player_team, INDEX($C:$C, player_row),
    current_hole, $B103,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03" s="5">
        <f t="shared" si="78"/>
        <v>4</v>
      </c>
      <c r="M103" s="5">
        <f t="array" ref="M103">SUMIFS(Front9_Scores!$D:$D, Front9_Scores!$A:$A, $A103, Front9_Scores!$B:$B, INDEX($B:$B,$AC103), Front9_Scores!$C:$C, $B103)</f>
        <v>5</v>
      </c>
      <c r="N103" s="5">
        <f t="array" ref="N103">LET(player_hcp,INDEX($E:$E,$AC103),player_tee,INDEX($F:$F,$AC103),current_hole,$B103,hole_hcp_index,XLOOKUP(current_hole,Course!$A:$A,XLOOKUP(player_tee,Course!$D$1:$F$1,Course!$D:$F)),IF(player_hcp&gt;=hole_hcp_index,1,0)+IF(player_hcp&gt;=(18+hole_hcp_index),1,0))</f>
        <v>0</v>
      </c>
      <c r="O103" s="5">
        <f t="shared" si="79"/>
        <v>5</v>
      </c>
      <c r="P103" s="5">
        <f t="array" ref="P103">LET(
    player_row, $AC103,
    player_hcp, INDEX($E:$E, player_row),
    player_flight, INDEX($A:$A, player_row),
    player_team, INDEX($C:$C, player_row),
    current_hole, $B103,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03" s="5">
        <f t="shared" si="80"/>
        <v>5</v>
      </c>
      <c r="R103" s="5">
        <f t="array" ref="R103">SUMIFS(Front9_Scores!$D:$D, Front9_Scores!$A:$A, $A103, Front9_Scores!$B:$B, INDEX($B:$B,$AD103), Front9_Scores!$C:$C, $B103)</f>
        <v>5</v>
      </c>
      <c r="S103" s="5">
        <f t="array" ref="S103">LET(player_hcp,INDEX($E:$E,$AD103),player_tee,INDEX($F:$F,$AD103),current_hole,$B103,hole_hcp_index,XLOOKUP(current_hole,Course!$A:$A,XLOOKUP(player_tee,Course!$D$1:$F$1,Course!$D:$F)),IF(player_hcp&gt;=hole_hcp_index,1,0)+IF(player_hcp&gt;=(18+hole_hcp_index),1,0))</f>
        <v>0</v>
      </c>
      <c r="T103" s="5">
        <f t="shared" si="81"/>
        <v>5</v>
      </c>
      <c r="U103" s="5">
        <f t="array" ref="U103">LET(
    player_row, $AD103,
    player_hcp, INDEX($E:$E, player_row),
    player_flight, INDEX($A:$A, player_row),
    player_team, INDEX($C:$C, player_row),
    current_hole, $B103,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103" s="5">
        <f t="shared" si="82"/>
        <v>5</v>
      </c>
      <c r="W103" s="5" t="str">
        <f t="shared" si="83"/>
        <v>Red</v>
      </c>
      <c r="X103" s="5" t="str">
        <f t="shared" si="84"/>
        <v>Red</v>
      </c>
      <c r="Y103" s="5" t="str">
        <f t="shared" si="85"/>
        <v>Red</v>
      </c>
      <c r="Z103" s="5" t="str">
        <f t="shared" si="86"/>
        <v>Flight_7</v>
      </c>
      <c r="AA103" s="1">
        <v>28.0</v>
      </c>
      <c r="AB103" s="1">
        <v>29.0</v>
      </c>
      <c r="AC103" s="1">
        <v>26.0</v>
      </c>
      <c r="AD103" s="1">
        <v>27.0</v>
      </c>
    </row>
    <row r="104">
      <c r="A104" s="1" t="s">
        <v>41</v>
      </c>
      <c r="B104" s="5">
        <v>3.0</v>
      </c>
      <c r="C104" s="5">
        <f t="array" ref="C104">SUMIFS(Front9_Scores!$D:$D, Front9_Scores!$A:$A, $A104, Front9_Scores!$B:$B, INDEX($B:$B,$AA104), Front9_Scores!$C:$C, $B104)</f>
        <v>6</v>
      </c>
      <c r="D104" s="5">
        <f t="array" ref="D104">LET(player_hcp,INDEX($E:$E,$AA104),player_tee,INDEX($F:$F,$AA104),current_hole,$B104,hole_hcp_index,XLOOKUP(current_hole,Course!$A:$A,XLOOKUP(player_tee,Course!$D$1:$F$1,Course!$D:$F)),IF(player_hcp&gt;=hole_hcp_index,1,0)+IF(player_hcp&gt;=(18+hole_hcp_index),1,0))</f>
        <v>0</v>
      </c>
      <c r="E104" s="5">
        <f t="shared" si="75"/>
        <v>6</v>
      </c>
      <c r="F104" s="5">
        <f t="array" ref="F104">LET(
    player_row, $AA104,
    player_hcp, INDEX($E:$E, player_row),
    player_flight, INDEX($A:$A, player_row),
    player_team, INDEX($C:$C, player_row),
    current_hole, $B104,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104" s="5">
        <f t="shared" si="76"/>
        <v>6</v>
      </c>
      <c r="H104" s="5">
        <f t="array" ref="H104">SUMIFS(Front9_Scores!$D:$D, Front9_Scores!$A:$A, $A104, Front9_Scores!$B:$B, INDEX($B:$B,$AB104), Front9_Scores!$C:$C, $B104)</f>
        <v>4</v>
      </c>
      <c r="I104" s="5">
        <f t="array" ref="I104">LET(player_hcp,INDEX($E:$E,$AB104),player_tee,INDEX($F:$F,$AB104),current_hole,$B104,hole_hcp_index,XLOOKUP(current_hole,Course!$A:$A,XLOOKUP(player_tee,Course!$D$1:$F$1,Course!$D:$F)),IF(player_hcp&gt;=hole_hcp_index,1,0)+IF(player_hcp&gt;=(18+hole_hcp_index),1,0))</f>
        <v>0</v>
      </c>
      <c r="J104" s="5">
        <f t="shared" si="77"/>
        <v>4</v>
      </c>
      <c r="K104" s="5">
        <f t="array" ref="K104">LET(
    player_row, $AB104,
    player_hcp, INDEX($E:$E, player_row),
    player_flight, INDEX($A:$A, player_row),
    player_team, INDEX($C:$C, player_row),
    current_hole, $B104,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104" s="5">
        <f t="shared" si="78"/>
        <v>4</v>
      </c>
      <c r="M104" s="5">
        <f t="array" ref="M104">SUMIFS(Front9_Scores!$D:$D, Front9_Scores!$A:$A, $A104, Front9_Scores!$B:$B, INDEX($B:$B,$AC104), Front9_Scores!$C:$C, $B104)</f>
        <v>3</v>
      </c>
      <c r="N104" s="5">
        <f t="array" ref="N104">LET(player_hcp,INDEX($E:$E,$AC104),player_tee,INDEX($F:$F,$AC104),current_hole,$B104,hole_hcp_index,XLOOKUP(current_hole,Course!$A:$A,XLOOKUP(player_tee,Course!$D$1:$F$1,Course!$D:$F)),IF(player_hcp&gt;=hole_hcp_index,1,0)+IF(player_hcp&gt;=(18+hole_hcp_index),1,0))</f>
        <v>0</v>
      </c>
      <c r="O104" s="5">
        <f t="shared" si="79"/>
        <v>3</v>
      </c>
      <c r="P104" s="5">
        <f t="array" ref="P104">LET(
    player_row, $AC104,
    player_hcp, INDEX($E:$E, player_row),
    player_flight, INDEX($A:$A, player_row),
    player_team, INDEX($C:$C, player_row),
    current_hole, $B104,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04" s="5">
        <f t="shared" si="80"/>
        <v>3</v>
      </c>
      <c r="R104" s="5">
        <f t="array" ref="R104">SUMIFS(Front9_Scores!$D:$D, Front9_Scores!$A:$A, $A104, Front9_Scores!$B:$B, INDEX($B:$B,$AD104), Front9_Scores!$C:$C, $B104)</f>
        <v>5</v>
      </c>
      <c r="S104" s="5">
        <f t="array" ref="S104">LET(player_hcp,INDEX($E:$E,$AD104),player_tee,INDEX($F:$F,$AD104),current_hole,$B104,hole_hcp_index,XLOOKUP(current_hole,Course!$A:$A,XLOOKUP(player_tee,Course!$D$1:$F$1,Course!$D:$F)),IF(player_hcp&gt;=hole_hcp_index,1,0)+IF(player_hcp&gt;=(18+hole_hcp_index),1,0))</f>
        <v>0</v>
      </c>
      <c r="T104" s="5">
        <f t="shared" si="81"/>
        <v>5</v>
      </c>
      <c r="U104" s="5">
        <f t="array" ref="U104">LET(
    player_row, $AD104,
    player_hcp, INDEX($E:$E, player_row),
    player_flight, INDEX($A:$A, player_row),
    player_team, INDEX($C:$C, player_row),
    current_hole, $B104,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104" s="5">
        <f t="shared" si="82"/>
        <v>5</v>
      </c>
      <c r="W104" s="5" t="str">
        <f t="shared" si="83"/>
        <v>Blue</v>
      </c>
      <c r="X104" s="5" t="str">
        <f t="shared" si="84"/>
        <v>Blue</v>
      </c>
      <c r="Y104" s="5" t="str">
        <f t="shared" si="85"/>
        <v>Red</v>
      </c>
      <c r="Z104" s="5" t="str">
        <f t="shared" si="86"/>
        <v>Flight_7</v>
      </c>
      <c r="AA104" s="1">
        <v>28.0</v>
      </c>
      <c r="AB104" s="1">
        <v>29.0</v>
      </c>
      <c r="AC104" s="1">
        <v>26.0</v>
      </c>
      <c r="AD104" s="1">
        <v>27.0</v>
      </c>
    </row>
    <row r="105">
      <c r="A105" s="1" t="s">
        <v>41</v>
      </c>
      <c r="B105" s="5">
        <v>4.0</v>
      </c>
      <c r="C105" s="5">
        <f t="array" ref="C105">SUMIFS(Front9_Scores!$D:$D, Front9_Scores!$A:$A, $A105, Front9_Scores!$B:$B, INDEX($B:$B,$AA105), Front9_Scores!$C:$C, $B105)</f>
        <v>5</v>
      </c>
      <c r="D105" s="5">
        <f t="array" ref="D105">LET(player_hcp,INDEX($E:$E,$AA105),player_tee,INDEX($F:$F,$AA105),current_hole,$B105,hole_hcp_index,XLOOKUP(current_hole,Course!$A:$A,XLOOKUP(player_tee,Course!$D$1:$F$1,Course!$D:$F)),IF(player_hcp&gt;=hole_hcp_index,1,0)+IF(player_hcp&gt;=(18+hole_hcp_index),1,0))</f>
        <v>0</v>
      </c>
      <c r="E105" s="5">
        <f t="shared" si="75"/>
        <v>5</v>
      </c>
      <c r="F105" s="5">
        <f t="array" ref="F105">LET(
    player_row, $AA105,
    player_hcp, INDEX($E:$E, player_row),
    player_flight, INDEX($A:$A, player_row),
    player_team, INDEX($C:$C, player_row),
    current_hole, $B105,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105" s="5">
        <f t="shared" si="76"/>
        <v>5</v>
      </c>
      <c r="H105" s="5">
        <f t="array" ref="H105">SUMIFS(Front9_Scores!$D:$D, Front9_Scores!$A:$A, $A105, Front9_Scores!$B:$B, INDEX($B:$B,$AB105), Front9_Scores!$C:$C, $B105)</f>
        <v>5</v>
      </c>
      <c r="I105" s="5">
        <f t="array" ref="I105">LET(player_hcp,INDEX($E:$E,$AB105),player_tee,INDEX($F:$F,$AB105),current_hole,$B105,hole_hcp_index,XLOOKUP(current_hole,Course!$A:$A,XLOOKUP(player_tee,Course!$D$1:$F$1,Course!$D:$F)),IF(player_hcp&gt;=hole_hcp_index,1,0)+IF(player_hcp&gt;=(18+hole_hcp_index),1,0))</f>
        <v>0</v>
      </c>
      <c r="J105" s="5">
        <f t="shared" si="77"/>
        <v>5</v>
      </c>
      <c r="K105" s="5">
        <f t="array" ref="K105">LET(
    player_row, $AB105,
    player_hcp, INDEX($E:$E, player_row),
    player_flight, INDEX($A:$A, player_row),
    player_team, INDEX($C:$C, player_row),
    current_hole, $B105,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105" s="5">
        <f t="shared" si="78"/>
        <v>5</v>
      </c>
      <c r="M105" s="5">
        <f t="array" ref="M105">SUMIFS(Front9_Scores!$D:$D, Front9_Scores!$A:$A, $A105, Front9_Scores!$B:$B, INDEX($B:$B,$AC105), Front9_Scores!$C:$C, $B105)</f>
        <v>4</v>
      </c>
      <c r="N105" s="5">
        <f t="array" ref="N105">LET(player_hcp,INDEX($E:$E,$AC105),player_tee,INDEX($F:$F,$AC105),current_hole,$B105,hole_hcp_index,XLOOKUP(current_hole,Course!$A:$A,XLOOKUP(player_tee,Course!$D$1:$F$1,Course!$D:$F)),IF(player_hcp&gt;=hole_hcp_index,1,0)+IF(player_hcp&gt;=(18+hole_hcp_index),1,0))</f>
        <v>0</v>
      </c>
      <c r="O105" s="5">
        <f t="shared" si="79"/>
        <v>4</v>
      </c>
      <c r="P105" s="5">
        <f t="array" ref="P105">LET(
    player_row, $AC105,
    player_hcp, INDEX($E:$E, player_row),
    player_flight, INDEX($A:$A, player_row),
    player_team, INDEX($C:$C, player_row),
    current_hole, $B105,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05" s="5">
        <f t="shared" si="80"/>
        <v>4</v>
      </c>
      <c r="R105" s="5">
        <f t="array" ref="R105">SUMIFS(Front9_Scores!$D:$D, Front9_Scores!$A:$A, $A105, Front9_Scores!$B:$B, INDEX($B:$B,$AD105), Front9_Scores!$C:$C, $B105)</f>
        <v>4</v>
      </c>
      <c r="S105" s="5">
        <f t="array" ref="S105">LET(player_hcp,INDEX($E:$E,$AD105),player_tee,INDEX($F:$F,$AD105),current_hole,$B105,hole_hcp_index,XLOOKUP(current_hole,Course!$A:$A,XLOOKUP(player_tee,Course!$D$1:$F$1,Course!$D:$F)),IF(player_hcp&gt;=hole_hcp_index,1,0)+IF(player_hcp&gt;=(18+hole_hcp_index),1,0))</f>
        <v>0</v>
      </c>
      <c r="T105" s="5">
        <f t="shared" si="81"/>
        <v>4</v>
      </c>
      <c r="U105" s="5">
        <f t="array" ref="U105">LET(
    player_row, $AD105,
    player_hcp, INDEX($E:$E, player_row),
    player_flight, INDEX($A:$A, player_row),
    player_team, INDEX($C:$C, player_row),
    current_hole, $B105,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105" s="5">
        <f t="shared" si="82"/>
        <v>4</v>
      </c>
      <c r="W105" s="5" t="str">
        <f t="shared" si="83"/>
        <v>Blue</v>
      </c>
      <c r="X105" s="5" t="str">
        <f t="shared" si="84"/>
        <v>Blue</v>
      </c>
      <c r="Y105" s="5" t="str">
        <f t="shared" si="85"/>
        <v>Blue</v>
      </c>
      <c r="Z105" s="5" t="str">
        <f t="shared" si="86"/>
        <v>Flight_7</v>
      </c>
      <c r="AA105" s="1">
        <v>28.0</v>
      </c>
      <c r="AB105" s="1">
        <v>29.0</v>
      </c>
      <c r="AC105" s="1">
        <v>26.0</v>
      </c>
      <c r="AD105" s="1">
        <v>27.0</v>
      </c>
    </row>
    <row r="106">
      <c r="A106" s="1" t="s">
        <v>41</v>
      </c>
      <c r="B106" s="5">
        <v>5.0</v>
      </c>
      <c r="C106" s="5">
        <f t="array" ref="C106">SUMIFS(Front9_Scores!$D:$D, Front9_Scores!$A:$A, $A106, Front9_Scores!$B:$B, INDEX($B:$B,$AA106), Front9_Scores!$C:$C, $B106)</f>
        <v>4</v>
      </c>
      <c r="D106" s="5">
        <f t="array" ref="D106">LET(player_hcp,INDEX($E:$E,$AA106),player_tee,INDEX($F:$F,$AA106),current_hole,$B106,hole_hcp_index,XLOOKUP(current_hole,Course!$A:$A,XLOOKUP(player_tee,Course!$D$1:$F$1,Course!$D:$F)),IF(player_hcp&gt;=hole_hcp_index,1,0)+IF(player_hcp&gt;=(18+hole_hcp_index),1,0))</f>
        <v>1</v>
      </c>
      <c r="E106" s="5">
        <f t="shared" si="75"/>
        <v>3</v>
      </c>
      <c r="F106" s="5">
        <f t="array" ref="F106">LET(
    player_row, $AA106,
    player_hcp, INDEX($E:$E, player_row),
    player_flight, INDEX($A:$A, player_row),
    player_team, INDEX($C:$C, player_row),
    current_hole, $B106,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06" s="5">
        <f t="shared" si="76"/>
        <v>3</v>
      </c>
      <c r="H106" s="5">
        <f t="array" ref="H106">SUMIFS(Front9_Scores!$D:$D, Front9_Scores!$A:$A, $A106, Front9_Scores!$B:$B, INDEX($B:$B,$AB106), Front9_Scores!$C:$C, $B106)</f>
        <v>3</v>
      </c>
      <c r="I106" s="5">
        <f t="array" ref="I106">LET(player_hcp,INDEX($E:$E,$AB106),player_tee,INDEX($F:$F,$AB106),current_hole,$B106,hole_hcp_index,XLOOKUP(current_hole,Course!$A:$A,XLOOKUP(player_tee,Course!$D$1:$F$1,Course!$D:$F)),IF(player_hcp&gt;=hole_hcp_index,1,0)+IF(player_hcp&gt;=(18+hole_hcp_index),1,0))</f>
        <v>1</v>
      </c>
      <c r="J106" s="5">
        <f t="shared" si="77"/>
        <v>2</v>
      </c>
      <c r="K106" s="5">
        <f t="array" ref="K106">LET(
    player_row, $AB106,
    player_hcp, INDEX($E:$E, player_row),
    player_flight, INDEX($A:$A, player_row),
    player_team, INDEX($C:$C, player_row),
    current_hole, $B106,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06" s="5">
        <f t="shared" si="78"/>
        <v>2</v>
      </c>
      <c r="M106" s="5">
        <f t="array" ref="M106">SUMIFS(Front9_Scores!$D:$D, Front9_Scores!$A:$A, $A106, Front9_Scores!$B:$B, INDEX($B:$B,$AC106), Front9_Scores!$C:$C, $B106)</f>
        <v>4</v>
      </c>
      <c r="N106" s="5">
        <f t="array" ref="N106">LET(player_hcp,INDEX($E:$E,$AC106),player_tee,INDEX($F:$F,$AC106),current_hole,$B106,hole_hcp_index,XLOOKUP(current_hole,Course!$A:$A,XLOOKUP(player_tee,Course!$D$1:$F$1,Course!$D:$F)),IF(player_hcp&gt;=hole_hcp_index,1,0)+IF(player_hcp&gt;=(18+hole_hcp_index),1,0))</f>
        <v>0</v>
      </c>
      <c r="O106" s="5">
        <f t="shared" si="79"/>
        <v>4</v>
      </c>
      <c r="P106" s="5">
        <f t="array" ref="P106">LET(
    player_row, $AC106,
    player_hcp, INDEX($E:$E, player_row),
    player_flight, INDEX($A:$A, player_row),
    player_team, INDEX($C:$C, player_row),
    current_hole, $B106,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06" s="5">
        <f t="shared" si="80"/>
        <v>4</v>
      </c>
      <c r="R106" s="5">
        <f t="array" ref="R106">SUMIFS(Front9_Scores!$D:$D, Front9_Scores!$A:$A, $A106, Front9_Scores!$B:$B, INDEX($B:$B,$AD106), Front9_Scores!$C:$C, $B106)</f>
        <v>4</v>
      </c>
      <c r="S106" s="5">
        <f t="array" ref="S106">LET(player_hcp,INDEX($E:$E,$AD106),player_tee,INDEX($F:$F,$AD106),current_hole,$B106,hole_hcp_index,XLOOKUP(current_hole,Course!$A:$A,XLOOKUP(player_tee,Course!$D$1:$F$1,Course!$D:$F)),IF(player_hcp&gt;=hole_hcp_index,1,0)+IF(player_hcp&gt;=(18+hole_hcp_index),1,0))</f>
        <v>1</v>
      </c>
      <c r="T106" s="5">
        <f t="shared" si="81"/>
        <v>3</v>
      </c>
      <c r="U106" s="5">
        <f t="array" ref="U106">LET(
    player_row, $AD106,
    player_hcp, INDEX($E:$E, player_row),
    player_flight, INDEX($A:$A, player_row),
    player_team, INDEX($C:$C, player_row),
    current_hole, $B106,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06" s="5">
        <f t="shared" si="82"/>
        <v>3</v>
      </c>
      <c r="W106" s="5" t="str">
        <f t="shared" si="83"/>
        <v>Red</v>
      </c>
      <c r="X106" s="5" t="str">
        <f t="shared" si="84"/>
        <v>Red</v>
      </c>
      <c r="Y106" s="5" t="str">
        <f t="shared" si="85"/>
        <v>Red</v>
      </c>
      <c r="Z106" s="5" t="str">
        <f t="shared" si="86"/>
        <v>Flight_7</v>
      </c>
      <c r="AA106" s="1">
        <v>28.0</v>
      </c>
      <c r="AB106" s="1">
        <v>29.0</v>
      </c>
      <c r="AC106" s="1">
        <v>26.0</v>
      </c>
      <c r="AD106" s="1">
        <v>27.0</v>
      </c>
    </row>
    <row r="107">
      <c r="A107" s="1" t="s">
        <v>41</v>
      </c>
      <c r="B107" s="5">
        <v>6.0</v>
      </c>
      <c r="C107" s="5">
        <f t="array" ref="C107">SUMIFS(Front9_Scores!$D:$D, Front9_Scores!$A:$A, $A107, Front9_Scores!$B:$B, INDEX($B:$B,$AA107), Front9_Scores!$C:$C, $B107)</f>
        <v>4</v>
      </c>
      <c r="D107" s="5">
        <f t="array" ref="D107">LET(player_hcp,INDEX($E:$E,$AA107),player_tee,INDEX($F:$F,$AA107),current_hole,$B107,hole_hcp_index,XLOOKUP(current_hole,Course!$A:$A,XLOOKUP(player_tee,Course!$D$1:$F$1,Course!$D:$F)),IF(player_hcp&gt;=hole_hcp_index,1,0)+IF(player_hcp&gt;=(18+hole_hcp_index),1,0))</f>
        <v>1</v>
      </c>
      <c r="E107" s="5">
        <f t="shared" si="75"/>
        <v>3</v>
      </c>
      <c r="F107" s="5">
        <f t="array" ref="F107">LET(
    player_row, $AA107,
    player_hcp, INDEX($E:$E, player_row),
    player_flight, INDEX($A:$A, player_row),
    player_team, INDEX($C:$C, player_row),
    current_hole, $B107,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07" s="5">
        <f t="shared" si="76"/>
        <v>3</v>
      </c>
      <c r="H107" s="5">
        <f t="array" ref="H107">SUMIFS(Front9_Scores!$D:$D, Front9_Scores!$A:$A, $A107, Front9_Scores!$B:$B, INDEX($B:$B,$AB107), Front9_Scores!$C:$C, $B107)</f>
        <v>5</v>
      </c>
      <c r="I107" s="5">
        <f t="array" ref="I107">LET(player_hcp,INDEX($E:$E,$AB107),player_tee,INDEX($F:$F,$AB107),current_hole,$B107,hole_hcp_index,XLOOKUP(current_hole,Course!$A:$A,XLOOKUP(player_tee,Course!$D$1:$F$1,Course!$D:$F)),IF(player_hcp&gt;=hole_hcp_index,1,0)+IF(player_hcp&gt;=(18+hole_hcp_index),1,0))</f>
        <v>1</v>
      </c>
      <c r="J107" s="5">
        <f t="shared" si="77"/>
        <v>4</v>
      </c>
      <c r="K107" s="5">
        <f t="array" ref="K107">LET(
    player_row, $AB107,
    player_hcp, INDEX($E:$E, player_row),
    player_flight, INDEX($A:$A, player_row),
    player_team, INDEX($C:$C, player_row),
    current_hole, $B107,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07" s="5">
        <f t="shared" si="78"/>
        <v>4</v>
      </c>
      <c r="M107" s="5">
        <f t="array" ref="M107">SUMIFS(Front9_Scores!$D:$D, Front9_Scores!$A:$A, $A107, Front9_Scores!$B:$B, INDEX($B:$B,$AC107), Front9_Scores!$C:$C, $B107)</f>
        <v>4</v>
      </c>
      <c r="N107" s="5">
        <f t="array" ref="N107">LET(player_hcp,INDEX($E:$E,$AC107),player_tee,INDEX($F:$F,$AC107),current_hole,$B107,hole_hcp_index,XLOOKUP(current_hole,Course!$A:$A,XLOOKUP(player_tee,Course!$D$1:$F$1,Course!$D:$F)),IF(player_hcp&gt;=hole_hcp_index,1,0)+IF(player_hcp&gt;=(18+hole_hcp_index),1,0))</f>
        <v>1</v>
      </c>
      <c r="O107" s="5">
        <f t="shared" si="79"/>
        <v>3</v>
      </c>
      <c r="P107" s="5">
        <f t="array" ref="P107">LET(
    player_row, $AC107,
    player_hcp, INDEX($E:$E, player_row),
    player_flight, INDEX($A:$A, player_row),
    player_team, INDEX($C:$C, player_row),
    current_hole, $B107,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07" s="5">
        <f t="shared" si="80"/>
        <v>3</v>
      </c>
      <c r="R107" s="5">
        <f t="array" ref="R107">SUMIFS(Front9_Scores!$D:$D, Front9_Scores!$A:$A, $A107, Front9_Scores!$B:$B, INDEX($B:$B,$AD107), Front9_Scores!$C:$C, $B107)</f>
        <v>4</v>
      </c>
      <c r="S107" s="5">
        <f t="array" ref="S107">LET(player_hcp,INDEX($E:$E,$AD107),player_tee,INDEX($F:$F,$AD107),current_hole,$B107,hole_hcp_index,XLOOKUP(current_hole,Course!$A:$A,XLOOKUP(player_tee,Course!$D$1:$F$1,Course!$D:$F)),IF(player_hcp&gt;=hole_hcp_index,1,0)+IF(player_hcp&gt;=(18+hole_hcp_index),1,0))</f>
        <v>1</v>
      </c>
      <c r="T107" s="5">
        <f t="shared" si="81"/>
        <v>3</v>
      </c>
      <c r="U107" s="5">
        <f t="array" ref="U107">LET(
    player_row, $AD107,
    player_hcp, INDEX($E:$E, player_row),
    player_flight, INDEX($A:$A, player_row),
    player_team, INDEX($C:$C, player_row),
    current_hole, $B107,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07" s="5">
        <f t="shared" si="82"/>
        <v>3</v>
      </c>
      <c r="W107" s="5" t="str">
        <f t="shared" si="83"/>
        <v>Tie</v>
      </c>
      <c r="X107" s="5" t="str">
        <f t="shared" si="84"/>
        <v>Tie</v>
      </c>
      <c r="Y107" s="5" t="str">
        <f t="shared" si="85"/>
        <v>Blue</v>
      </c>
      <c r="Z107" s="5" t="str">
        <f t="shared" si="86"/>
        <v>Flight_7</v>
      </c>
      <c r="AA107" s="1">
        <v>28.0</v>
      </c>
      <c r="AB107" s="1">
        <v>29.0</v>
      </c>
      <c r="AC107" s="1">
        <v>26.0</v>
      </c>
      <c r="AD107" s="1">
        <v>27.0</v>
      </c>
    </row>
    <row r="108">
      <c r="A108" s="1" t="s">
        <v>41</v>
      </c>
      <c r="B108" s="5">
        <v>7.0</v>
      </c>
      <c r="C108" s="5">
        <f t="array" ref="C108">SUMIFS(Front9_Scores!$D:$D, Front9_Scores!$A:$A, $A108, Front9_Scores!$B:$B, INDEX($B:$B,$AA108), Front9_Scores!$C:$C, $B108)</f>
        <v>4</v>
      </c>
      <c r="D108" s="5">
        <f t="array" ref="D108">LET(player_hcp,INDEX($E:$E,$AA108),player_tee,INDEX($F:$F,$AA108),current_hole,$B108,hole_hcp_index,XLOOKUP(current_hole,Course!$A:$A,XLOOKUP(player_tee,Course!$D$1:$F$1,Course!$D:$F)),IF(player_hcp&gt;=hole_hcp_index,1,0)+IF(player_hcp&gt;=(18+hole_hcp_index),1,0))</f>
        <v>1</v>
      </c>
      <c r="E108" s="5">
        <f t="shared" si="75"/>
        <v>3</v>
      </c>
      <c r="F108" s="5">
        <f t="array" ref="F108">LET(
    player_row, $AA108,
    player_hcp, INDEX($E:$E, player_row),
    player_flight, INDEX($A:$A, player_row),
    player_team, INDEX($C:$C, player_row),
    current_hole, $B108,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08" s="5">
        <f t="shared" si="76"/>
        <v>3</v>
      </c>
      <c r="H108" s="5">
        <f t="array" ref="H108">SUMIFS(Front9_Scores!$D:$D, Front9_Scores!$A:$A, $A108, Front9_Scores!$B:$B, INDEX($B:$B,$AB108), Front9_Scores!$C:$C, $B108)</f>
        <v>4</v>
      </c>
      <c r="I108" s="5">
        <f t="array" ref="I108">LET(player_hcp,INDEX($E:$E,$AB108),player_tee,INDEX($F:$F,$AB108),current_hole,$B108,hole_hcp_index,XLOOKUP(current_hole,Course!$A:$A,XLOOKUP(player_tee,Course!$D$1:$F$1,Course!$D:$F)),IF(player_hcp&gt;=hole_hcp_index,1,0)+IF(player_hcp&gt;=(18+hole_hcp_index),1,0))</f>
        <v>1</v>
      </c>
      <c r="J108" s="5">
        <f t="shared" si="77"/>
        <v>3</v>
      </c>
      <c r="K108" s="5">
        <f t="array" ref="K108">LET(
    player_row, $AB108,
    player_hcp, INDEX($E:$E, player_row),
    player_flight, INDEX($A:$A, player_row),
    player_team, INDEX($C:$C, player_row),
    current_hole, $B108,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08" s="5">
        <f t="shared" si="78"/>
        <v>3</v>
      </c>
      <c r="M108" s="5">
        <f t="array" ref="M108">SUMIFS(Front9_Scores!$D:$D, Front9_Scores!$A:$A, $A108, Front9_Scores!$B:$B, INDEX($B:$B,$AC108), Front9_Scores!$C:$C, $B108)</f>
        <v>3</v>
      </c>
      <c r="N108" s="5">
        <f t="array" ref="N108">LET(player_hcp,INDEX($E:$E,$AC108),player_tee,INDEX($F:$F,$AC108),current_hole,$B108,hole_hcp_index,XLOOKUP(current_hole,Course!$A:$A,XLOOKUP(player_tee,Course!$D$1:$F$1,Course!$D:$F)),IF(player_hcp&gt;=hole_hcp_index,1,0)+IF(player_hcp&gt;=(18+hole_hcp_index),1,0))</f>
        <v>0</v>
      </c>
      <c r="O108" s="5">
        <f t="shared" si="79"/>
        <v>3</v>
      </c>
      <c r="P108" s="5">
        <f t="array" ref="P108">LET(
    player_row, $AC108,
    player_hcp, INDEX($E:$E, player_row),
    player_flight, INDEX($A:$A, player_row),
    player_team, INDEX($C:$C, player_row),
    current_hole, $B108,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08" s="5">
        <f t="shared" si="80"/>
        <v>3</v>
      </c>
      <c r="R108" s="5">
        <f t="array" ref="R108">SUMIFS(Front9_Scores!$D:$D, Front9_Scores!$A:$A, $A108, Front9_Scores!$B:$B, INDEX($B:$B,$AD108), Front9_Scores!$C:$C, $B108)</f>
        <v>4</v>
      </c>
      <c r="S108" s="5">
        <f t="array" ref="S108">LET(player_hcp,INDEX($E:$E,$AD108),player_tee,INDEX($F:$F,$AD108),current_hole,$B108,hole_hcp_index,XLOOKUP(current_hole,Course!$A:$A,XLOOKUP(player_tee,Course!$D$1:$F$1,Course!$D:$F)),IF(player_hcp&gt;=hole_hcp_index,1,0)+IF(player_hcp&gt;=(18+hole_hcp_index),1,0))</f>
        <v>0</v>
      </c>
      <c r="T108" s="5">
        <f t="shared" si="81"/>
        <v>4</v>
      </c>
      <c r="U108" s="5">
        <f t="array" ref="U108">LET(
    player_row, $AD108,
    player_hcp, INDEX($E:$E, player_row),
    player_flight, INDEX($A:$A, player_row),
    player_team, INDEX($C:$C, player_row),
    current_hole, $B108,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108" s="5">
        <f t="shared" si="82"/>
        <v>4</v>
      </c>
      <c r="W108" s="5" t="str">
        <f t="shared" si="83"/>
        <v>Tie</v>
      </c>
      <c r="X108" s="5" t="str">
        <f t="shared" si="84"/>
        <v>Tie</v>
      </c>
      <c r="Y108" s="5" t="str">
        <f t="shared" si="85"/>
        <v>Red</v>
      </c>
      <c r="Z108" s="5" t="str">
        <f t="shared" si="86"/>
        <v>Flight_7</v>
      </c>
      <c r="AA108" s="1">
        <v>28.0</v>
      </c>
      <c r="AB108" s="1">
        <v>29.0</v>
      </c>
      <c r="AC108" s="1">
        <v>26.0</v>
      </c>
      <c r="AD108" s="1">
        <v>27.0</v>
      </c>
    </row>
    <row r="109">
      <c r="A109" s="1" t="s">
        <v>41</v>
      </c>
      <c r="B109" s="5">
        <v>8.0</v>
      </c>
      <c r="C109" s="5">
        <f t="array" ref="C109">SUMIFS(Front9_Scores!$D:$D, Front9_Scores!$A:$A, $A109, Front9_Scores!$B:$B, INDEX($B:$B,$AA109), Front9_Scores!$C:$C, $B109)</f>
        <v>6</v>
      </c>
      <c r="D109" s="5">
        <f t="array" ref="D109">LET(player_hcp,INDEX($E:$E,$AA109),player_tee,INDEX($F:$F,$AA109),current_hole,$B109,hole_hcp_index,XLOOKUP(current_hole,Course!$A:$A,XLOOKUP(player_tee,Course!$D$1:$F$1,Course!$D:$F)),IF(player_hcp&gt;=hole_hcp_index,1,0)+IF(player_hcp&gt;=(18+hole_hcp_index),1,0))</f>
        <v>1</v>
      </c>
      <c r="E109" s="5">
        <f t="shared" si="75"/>
        <v>5</v>
      </c>
      <c r="F109" s="5">
        <f t="array" ref="F109">LET(
    player_row, $AA109,
    player_hcp, INDEX($E:$E, player_row),
    player_flight, INDEX($A:$A, player_row),
    player_team, INDEX($C:$C, player_row),
    current_hole, $B109,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09" s="5">
        <f t="shared" si="76"/>
        <v>5</v>
      </c>
      <c r="H109" s="5">
        <f t="array" ref="H109">SUMIFS(Front9_Scores!$D:$D, Front9_Scores!$A:$A, $A109, Front9_Scores!$B:$B, INDEX($B:$B,$AB109), Front9_Scores!$C:$C, $B109)</f>
        <v>5</v>
      </c>
      <c r="I109" s="5">
        <f t="array" ref="I109">LET(player_hcp,INDEX($E:$E,$AB109),player_tee,INDEX($F:$F,$AB109),current_hole,$B109,hole_hcp_index,XLOOKUP(current_hole,Course!$A:$A,XLOOKUP(player_tee,Course!$D$1:$F$1,Course!$D:$F)),IF(player_hcp&gt;=hole_hcp_index,1,0)+IF(player_hcp&gt;=(18+hole_hcp_index),1,0))</f>
        <v>1</v>
      </c>
      <c r="J109" s="5">
        <f t="shared" si="77"/>
        <v>4</v>
      </c>
      <c r="K109" s="5">
        <f t="array" ref="K109">LET(
    player_row, $AB109,
    player_hcp, INDEX($E:$E, player_row),
    player_flight, INDEX($A:$A, player_row),
    player_team, INDEX($C:$C, player_row),
    current_hole, $B109,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09" s="5">
        <f t="shared" si="78"/>
        <v>4</v>
      </c>
      <c r="M109" s="5">
        <f t="array" ref="M109">SUMIFS(Front9_Scores!$D:$D, Front9_Scores!$A:$A, $A109, Front9_Scores!$B:$B, INDEX($B:$B,$AC109), Front9_Scores!$C:$C, $B109)</f>
        <v>5</v>
      </c>
      <c r="N109" s="5">
        <f t="array" ref="N109">LET(player_hcp,INDEX($E:$E,$AC109),player_tee,INDEX($F:$F,$AC109),current_hole,$B109,hole_hcp_index,XLOOKUP(current_hole,Course!$A:$A,XLOOKUP(player_tee,Course!$D$1:$F$1,Course!$D:$F)),IF(player_hcp&gt;=hole_hcp_index,1,0)+IF(player_hcp&gt;=(18+hole_hcp_index),1,0))</f>
        <v>0</v>
      </c>
      <c r="O109" s="5">
        <f t="shared" si="79"/>
        <v>5</v>
      </c>
      <c r="P109" s="5">
        <f t="array" ref="P109">LET(
    player_row, $AC109,
    player_hcp, INDEX($E:$E, player_row),
    player_flight, INDEX($A:$A, player_row),
    player_team, INDEX($C:$C, player_row),
    current_hole, $B109,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09" s="5">
        <f t="shared" si="80"/>
        <v>5</v>
      </c>
      <c r="R109" s="5">
        <f t="array" ref="R109">SUMIFS(Front9_Scores!$D:$D, Front9_Scores!$A:$A, $A109, Front9_Scores!$B:$B, INDEX($B:$B,$AD109), Front9_Scores!$C:$C, $B109)</f>
        <v>6</v>
      </c>
      <c r="S109" s="5">
        <f t="array" ref="S109">LET(player_hcp,INDEX($E:$E,$AD109),player_tee,INDEX($F:$F,$AD109),current_hole,$B109,hole_hcp_index,XLOOKUP(current_hole,Course!$A:$A,XLOOKUP(player_tee,Course!$D$1:$F$1,Course!$D:$F)),IF(player_hcp&gt;=hole_hcp_index,1,0)+IF(player_hcp&gt;=(18+hole_hcp_index),1,0))</f>
        <v>0</v>
      </c>
      <c r="T109" s="5">
        <f t="shared" si="81"/>
        <v>6</v>
      </c>
      <c r="U109" s="5">
        <f t="array" ref="U109">LET(
    player_row, $AD109,
    player_hcp, INDEX($E:$E, player_row),
    player_flight, INDEX($A:$A, player_row),
    player_team, INDEX($C:$C, player_row),
    current_hole, $B109,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109" s="5">
        <f t="shared" si="82"/>
        <v>6</v>
      </c>
      <c r="W109" s="5" t="str">
        <f t="shared" si="83"/>
        <v>Red</v>
      </c>
      <c r="X109" s="5" t="str">
        <f t="shared" si="84"/>
        <v>Tie</v>
      </c>
      <c r="Y109" s="5" t="str">
        <f t="shared" si="85"/>
        <v>Red</v>
      </c>
      <c r="Z109" s="5" t="str">
        <f t="shared" si="86"/>
        <v>Flight_7</v>
      </c>
      <c r="AA109" s="1">
        <v>28.0</v>
      </c>
      <c r="AB109" s="1">
        <v>29.0</v>
      </c>
      <c r="AC109" s="1">
        <v>26.0</v>
      </c>
      <c r="AD109" s="1">
        <v>27.0</v>
      </c>
    </row>
    <row r="110">
      <c r="A110" s="1" t="s">
        <v>41</v>
      </c>
      <c r="B110" s="5">
        <v>9.0</v>
      </c>
      <c r="C110" s="5">
        <f t="array" ref="C110">SUMIFS(Front9_Scores!$D:$D, Front9_Scores!$A:$A, $A110, Front9_Scores!$B:$B, INDEX($B:$B,$AA110), Front9_Scores!$C:$C, $B110)</f>
        <v>5</v>
      </c>
      <c r="D110" s="5">
        <f t="array" ref="D110">LET(player_hcp,INDEX($E:$E,$AA110),player_tee,INDEX($F:$F,$AA110),current_hole,$B110,hole_hcp_index,XLOOKUP(current_hole,Course!$A:$A,XLOOKUP(player_tee,Course!$D$1:$F$1,Course!$D:$F)),IF(player_hcp&gt;=hole_hcp_index,1,0)+IF(player_hcp&gt;=(18+hole_hcp_index),1,0))</f>
        <v>1</v>
      </c>
      <c r="E110" s="5">
        <f t="shared" si="75"/>
        <v>4</v>
      </c>
      <c r="F110" s="5">
        <f t="array" ref="F110">LET(
    player_row, $AA110,
    player_hcp, INDEX($E:$E, player_row),
    player_flight, INDEX($A:$A, player_row),
    player_team, INDEX($C:$C, player_row),
    current_hole, $B110,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10" s="5">
        <f t="shared" si="76"/>
        <v>4</v>
      </c>
      <c r="H110" s="5">
        <f t="array" ref="H110">SUMIFS(Front9_Scores!$D:$D, Front9_Scores!$A:$A, $A110, Front9_Scores!$B:$B, INDEX($B:$B,$AB110), Front9_Scores!$C:$C, $B110)</f>
        <v>6</v>
      </c>
      <c r="I110" s="5">
        <f t="array" ref="I110">LET(player_hcp,INDEX($E:$E,$AB110),player_tee,INDEX($F:$F,$AB110),current_hole,$B110,hole_hcp_index,XLOOKUP(current_hole,Course!$A:$A,XLOOKUP(player_tee,Course!$D$1:$F$1,Course!$D:$F)),IF(player_hcp&gt;=hole_hcp_index,1,0)+IF(player_hcp&gt;=(18+hole_hcp_index),1,0))</f>
        <v>1</v>
      </c>
      <c r="J110" s="5">
        <f t="shared" si="77"/>
        <v>5</v>
      </c>
      <c r="K110" s="5">
        <f t="array" ref="K110">LET(
    player_row, $AB110,
    player_hcp, INDEX($E:$E, player_row),
    player_flight, INDEX($A:$A, player_row),
    player_team, INDEX($C:$C, player_row),
    current_hole, $B110,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10" s="5">
        <f t="shared" si="78"/>
        <v>5</v>
      </c>
      <c r="M110" s="5">
        <f t="array" ref="M110">SUMIFS(Front9_Scores!$D:$D, Front9_Scores!$A:$A, $A110, Front9_Scores!$B:$B, INDEX($B:$B,$AC110), Front9_Scores!$C:$C, $B110)</f>
        <v>6</v>
      </c>
      <c r="N110" s="5">
        <f t="array" ref="N110">LET(player_hcp,INDEX($E:$E,$AC110),player_tee,INDEX($F:$F,$AC110),current_hole,$B110,hole_hcp_index,XLOOKUP(current_hole,Course!$A:$A,XLOOKUP(player_tee,Course!$D$1:$F$1,Course!$D:$F)),IF(player_hcp&gt;=hole_hcp_index,1,0)+IF(player_hcp&gt;=(18+hole_hcp_index),1,0))</f>
        <v>1</v>
      </c>
      <c r="O110" s="5">
        <f t="shared" si="79"/>
        <v>5</v>
      </c>
      <c r="P110" s="5">
        <f t="array" ref="P110">LET(
    player_row, $AC110,
    player_hcp, INDEX($E:$E, player_row),
    player_flight, INDEX($A:$A, player_row),
    player_team, INDEX($C:$C, player_row),
    current_hole, $B110,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10" s="5">
        <f t="shared" si="80"/>
        <v>5</v>
      </c>
      <c r="R110" s="5">
        <f t="array" ref="R110">SUMIFS(Front9_Scores!$D:$D, Front9_Scores!$A:$A, $A110, Front9_Scores!$B:$B, INDEX($B:$B,$AD110), Front9_Scores!$C:$C, $B110)</f>
        <v>5</v>
      </c>
      <c r="S110" s="5">
        <f t="array" ref="S110">LET(player_hcp,INDEX($E:$E,$AD110),player_tee,INDEX($F:$F,$AD110),current_hole,$B110,hole_hcp_index,XLOOKUP(current_hole,Course!$A:$A,XLOOKUP(player_tee,Course!$D$1:$F$1,Course!$D:$F)),IF(player_hcp&gt;=hole_hcp_index,1,0)+IF(player_hcp&gt;=(18+hole_hcp_index),1,0))</f>
        <v>1</v>
      </c>
      <c r="T110" s="5">
        <f t="shared" si="81"/>
        <v>4</v>
      </c>
      <c r="U110" s="5">
        <f t="array" ref="U110">LET(
    player_row, $AD110,
    player_hcp, INDEX($E:$E, player_row),
    player_flight, INDEX($A:$A, player_row),
    player_team, INDEX($C:$C, player_row),
    current_hole, $B110,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10" s="5">
        <f t="shared" si="82"/>
        <v>4</v>
      </c>
      <c r="W110" s="5" t="str">
        <f t="shared" si="83"/>
        <v>Tie</v>
      </c>
      <c r="X110" s="5" t="str">
        <f t="shared" si="84"/>
        <v>Red</v>
      </c>
      <c r="Y110" s="5" t="str">
        <f t="shared" si="85"/>
        <v>Blue</v>
      </c>
      <c r="Z110" s="5" t="str">
        <f t="shared" si="86"/>
        <v>Flight_7</v>
      </c>
      <c r="AA110" s="1">
        <v>28.0</v>
      </c>
      <c r="AB110" s="1">
        <v>29.0</v>
      </c>
      <c r="AC110" s="1">
        <v>26.0</v>
      </c>
      <c r="AD110" s="1">
        <v>27.0</v>
      </c>
    </row>
    <row r="112">
      <c r="A112" s="5" t="s">
        <v>272</v>
      </c>
      <c r="B112" s="5" t="s">
        <v>50</v>
      </c>
      <c r="C112" s="2" t="s">
        <v>273</v>
      </c>
      <c r="D112" s="1" t="s">
        <v>274</v>
      </c>
      <c r="E112" s="1" t="s">
        <v>275</v>
      </c>
      <c r="F112" s="1" t="s">
        <v>276</v>
      </c>
      <c r="G112" s="1" t="s">
        <v>277</v>
      </c>
      <c r="H112" s="2" t="s">
        <v>278</v>
      </c>
      <c r="I112" s="1" t="s">
        <v>279</v>
      </c>
      <c r="J112" s="1" t="s">
        <v>280</v>
      </c>
      <c r="K112" s="1" t="s">
        <v>281</v>
      </c>
      <c r="L112" s="1" t="s">
        <v>282</v>
      </c>
      <c r="M112" s="2" t="s">
        <v>283</v>
      </c>
      <c r="N112" s="1" t="s">
        <v>284</v>
      </c>
      <c r="O112" s="1" t="s">
        <v>285</v>
      </c>
      <c r="P112" s="1" t="s">
        <v>286</v>
      </c>
      <c r="Q112" s="1" t="s">
        <v>287</v>
      </c>
      <c r="R112" s="2" t="s">
        <v>288</v>
      </c>
      <c r="S112" s="1" t="s">
        <v>289</v>
      </c>
      <c r="T112" s="1" t="s">
        <v>290</v>
      </c>
      <c r="U112" s="1" t="s">
        <v>291</v>
      </c>
      <c r="V112" s="1" t="s">
        <v>292</v>
      </c>
      <c r="W112" s="2" t="s">
        <v>293</v>
      </c>
      <c r="X112" s="2" t="s">
        <v>294</v>
      </c>
      <c r="Y112" s="2" t="s">
        <v>295</v>
      </c>
      <c r="Z112" s="2" t="s">
        <v>2</v>
      </c>
      <c r="AA112" s="1" t="s">
        <v>296</v>
      </c>
      <c r="AB112" s="1" t="s">
        <v>297</v>
      </c>
      <c r="AC112" s="1" t="s">
        <v>298</v>
      </c>
      <c r="AD112" s="1" t="s">
        <v>299</v>
      </c>
    </row>
    <row r="113">
      <c r="A113" s="1" t="s">
        <v>46</v>
      </c>
      <c r="B113" s="5">
        <v>1.0</v>
      </c>
      <c r="C113" s="5">
        <f t="array" ref="C113">SUMIFS(Front9_Scores!$D:$D, Front9_Scores!$A:$A, $A113, Front9_Scores!$B:$B, INDEX($B:$B,$AA113), Front9_Scores!$C:$C, $B113)</f>
        <v>5</v>
      </c>
      <c r="D113" s="5">
        <f t="array" ref="D113">LET(player_hcp,INDEX($E:$E,$AA113),player_tee,INDEX($F:$F,$AA113),current_hole,$B113,hole_hcp_index,XLOOKUP(current_hole,Course!$A:$A,XLOOKUP(player_tee,Course!$D$1:$F$1,Course!$D:$F)),IF(player_hcp&gt;=hole_hcp_index,1,0)+IF(player_hcp&gt;=(18+hole_hcp_index),1,0))</f>
        <v>1</v>
      </c>
      <c r="E113" s="5">
        <f t="shared" ref="E113:E121" si="87">IF($C113=0,"",$C113-D113)</f>
        <v>4</v>
      </c>
      <c r="F113" s="5">
        <f t="array" ref="F113">LET(
    player_row, $AA113,
    player_hcp, INDEX($E:$E, player_row),
    player_flight, INDEX($A:$A, player_row),
    player_team, INDEX($C:$C, player_row),
    current_hole, $B113,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13" s="5">
        <f t="shared" ref="G113:G121" si="88">IF($C113=0,"",$C113-F113)</f>
        <v>4</v>
      </c>
      <c r="H113" s="5">
        <f t="array" ref="H113">SUMIFS(Front9_Scores!$D:$D, Front9_Scores!$A:$A, $A113, Front9_Scores!$B:$B, INDEX($B:$B,$AB113), Front9_Scores!$C:$C, $B113)</f>
        <v>6</v>
      </c>
      <c r="I113" s="5">
        <f t="array" ref="I113">LET(player_hcp,INDEX($E:$E,$AB113),player_tee,INDEX($F:$F,$AB113),current_hole,$B113,hole_hcp_index,XLOOKUP(current_hole,Course!$A:$A,XLOOKUP(player_tee,Course!$D$1:$F$1,Course!$D:$F)),IF(player_hcp&gt;=hole_hcp_index,1,0)+IF(player_hcp&gt;=(18+hole_hcp_index),1,0))</f>
        <v>1</v>
      </c>
      <c r="J113" s="5">
        <f t="shared" ref="J113:J121" si="89">IF($H113=0,"",$H113-I113)</f>
        <v>5</v>
      </c>
      <c r="K113" s="5">
        <f t="array" ref="K113">LET(
    player_row, $AB113,
    player_hcp, INDEX($E:$E, player_row),
    player_flight, INDEX($A:$A, player_row),
    player_team, INDEX($C:$C, player_row),
    current_hole, $B113,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13" s="5">
        <f t="shared" ref="L113:L121" si="90">IF($H113=0,"",$H113-K113)</f>
        <v>5</v>
      </c>
      <c r="M113" s="5">
        <f t="array" ref="M113">SUMIFS(Front9_Scores!$D:$D, Front9_Scores!$A:$A, $A113, Front9_Scores!$B:$B, INDEX($B:$B,$AC113), Front9_Scores!$C:$C, $B113)</f>
        <v>4</v>
      </c>
      <c r="N113" s="5">
        <f t="array" ref="N113">LET(player_hcp,INDEX($E:$E,$AC113),player_tee,INDEX($F:$F,$AC113),current_hole,$B113,hole_hcp_index,XLOOKUP(current_hole,Course!$A:$A,XLOOKUP(player_tee,Course!$D$1:$F$1,Course!$D:$F)),IF(player_hcp&gt;=hole_hcp_index,1,0)+IF(player_hcp&gt;=(18+hole_hcp_index),1,0))</f>
        <v>1</v>
      </c>
      <c r="O113" s="5">
        <f t="shared" ref="O113:O121" si="91">IF(M113=0,"",M113-N113)</f>
        <v>3</v>
      </c>
      <c r="P113" s="5">
        <f t="array" ref="P113">LET(
    player_row, $AC113,
    player_hcp, INDEX($E:$E, player_row),
    player_flight, INDEX($A:$A, player_row),
    player_team, INDEX($C:$C, player_row),
    current_hole, $B113,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13" s="5">
        <f t="shared" ref="Q113:Q121" si="92">IF($M113=0,"",$M113-P113)</f>
        <v>3</v>
      </c>
      <c r="R113" s="5">
        <f t="array" ref="R113">SUMIFS(Front9_Scores!$D:$D, Front9_Scores!$A:$A, $A113, Front9_Scores!$B:$B, INDEX($B:$B,$AD113), Front9_Scores!$C:$C, $B113)</f>
        <v>5</v>
      </c>
      <c r="S113" s="5">
        <f t="array" ref="S113">LET(player_hcp,INDEX($E:$E,$AD113),player_tee,INDEX($F:$F,$AD113),current_hole,$B113,hole_hcp_index,XLOOKUP(current_hole,Course!$A:$A,XLOOKUP(player_tee,Course!$D$1:$F$1,Course!$D:$F)),IF(player_hcp&gt;=hole_hcp_index,1,0)+IF(player_hcp&gt;=(18+hole_hcp_index),1,0))</f>
        <v>1</v>
      </c>
      <c r="T113" s="5">
        <f t="shared" ref="T113:T121" si="93">IF(R113=0,"",R113-S113)</f>
        <v>4</v>
      </c>
      <c r="U113" s="5">
        <f t="array" ref="U113">LET(
    player_row, $AD113,
    player_hcp, INDEX($E:$E, player_row),
    player_flight, INDEX($A:$A, player_row),
    player_team, INDEX($C:$C, player_row),
    current_hole, $B113,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13" s="5">
        <f t="shared" ref="V113:V121" si="94">IF($R113=0,"",$R113-U113)</f>
        <v>4</v>
      </c>
      <c r="W113" s="5" t="str">
        <f t="shared" ref="W113:W121" si="95">IF(COUNT(G113,L113,Q113,V113)&lt;4,"",LET(Red_Best_Ball,MIN(G113,L113),Blue_Best_Ball,MIN(Q113,V113),IF(Red_Best_Ball&lt;Blue_Best_Ball,"Red",IF(Blue_Best_Ball&lt;Red_Best_Ball,"Blue","Tie"))))</f>
        <v>Blue</v>
      </c>
      <c r="X113" s="5" t="str">
        <f t="shared" ref="X113:X121" si="96">IF(COUNT(E113,O113)&lt;2,"",IF(E113&lt;O113,"Red",IF(O113&lt;E113,"Blue","Tie")))</f>
        <v>Blue</v>
      </c>
      <c r="Y113" s="5" t="str">
        <f t="shared" ref="Y113:Y121" si="97">IF(COUNT(J113,T113)&lt;2,"",IF(J113&lt;T113,"Red",IF(T113&lt;J113,"Blue","Tie")))</f>
        <v>Blue</v>
      </c>
      <c r="Z113" s="5" t="str">
        <f t="shared" ref="Z113:Z121" si="98">A113</f>
        <v>Flight_8</v>
      </c>
      <c r="AA113" s="1">
        <v>32.0</v>
      </c>
      <c r="AB113" s="1">
        <v>33.0</v>
      </c>
      <c r="AC113" s="1">
        <v>30.0</v>
      </c>
      <c r="AD113" s="1">
        <v>31.0</v>
      </c>
    </row>
    <row r="114">
      <c r="A114" s="1" t="s">
        <v>46</v>
      </c>
      <c r="B114" s="5">
        <v>2.0</v>
      </c>
      <c r="C114" s="5">
        <f t="array" ref="C114">SUMIFS(Front9_Scores!$D:$D, Front9_Scores!$A:$A, $A114, Front9_Scores!$B:$B, INDEX($B:$B,$AA114), Front9_Scores!$C:$C, $B114)</f>
        <v>4</v>
      </c>
      <c r="D114" s="5">
        <f t="array" ref="D114">LET(player_hcp,INDEX($E:$E,$AA114),player_tee,INDEX($F:$F,$AA114),current_hole,$B114,hole_hcp_index,XLOOKUP(current_hole,Course!$A:$A,XLOOKUP(player_tee,Course!$D$1:$F$1,Course!$D:$F)),IF(player_hcp&gt;=hole_hcp_index,1,0)+IF(player_hcp&gt;=(18+hole_hcp_index),1,0))</f>
        <v>1</v>
      </c>
      <c r="E114" s="5">
        <f t="shared" si="87"/>
        <v>3</v>
      </c>
      <c r="F114" s="5">
        <f t="array" ref="F114">LET(
    player_row, $AA114,
    player_hcp, INDEX($E:$E, player_row),
    player_flight, INDEX($A:$A, player_row),
    player_team, INDEX($C:$C, player_row),
    current_hole, $B114,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14" s="5">
        <f t="shared" si="88"/>
        <v>3</v>
      </c>
      <c r="H114" s="5">
        <f t="array" ref="H114">SUMIFS(Front9_Scores!$D:$D, Front9_Scores!$A:$A, $A114, Front9_Scores!$B:$B, INDEX($B:$B,$AB114), Front9_Scores!$C:$C, $B114)</f>
        <v>6</v>
      </c>
      <c r="I114" s="5">
        <f t="array" ref="I114">LET(player_hcp,INDEX($E:$E,$AB114),player_tee,INDEX($F:$F,$AB114),current_hole,$B114,hole_hcp_index,XLOOKUP(current_hole,Course!$A:$A,XLOOKUP(player_tee,Course!$D$1:$F$1,Course!$D:$F)),IF(player_hcp&gt;=hole_hcp_index,1,0)+IF(player_hcp&gt;=(18+hole_hcp_index),1,0))</f>
        <v>1</v>
      </c>
      <c r="J114" s="5">
        <f t="shared" si="89"/>
        <v>5</v>
      </c>
      <c r="K114" s="5">
        <f t="array" ref="K114">LET(
    player_row, $AB114,
    player_hcp, INDEX($E:$E, player_row),
    player_flight, INDEX($A:$A, player_row),
    player_team, INDEX($C:$C, player_row),
    current_hole, $B114,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14" s="5">
        <f t="shared" si="90"/>
        <v>5</v>
      </c>
      <c r="M114" s="5">
        <f t="array" ref="M114">SUMIFS(Front9_Scores!$D:$D, Front9_Scores!$A:$A, $A114, Front9_Scores!$B:$B, INDEX($B:$B,$AC114), Front9_Scores!$C:$C, $B114)</f>
        <v>6</v>
      </c>
      <c r="N114" s="5">
        <f t="array" ref="N114">LET(player_hcp,INDEX($E:$E,$AC114),player_tee,INDEX($F:$F,$AC114),current_hole,$B114,hole_hcp_index,XLOOKUP(current_hole,Course!$A:$A,XLOOKUP(player_tee,Course!$D$1:$F$1,Course!$D:$F)),IF(player_hcp&gt;=hole_hcp_index,1,0)+IF(player_hcp&gt;=(18+hole_hcp_index),1,0))</f>
        <v>1</v>
      </c>
      <c r="O114" s="5">
        <f t="shared" si="91"/>
        <v>5</v>
      </c>
      <c r="P114" s="5">
        <f t="array" ref="P114">LET(
    player_row, $AC114,
    player_hcp, INDEX($E:$E, player_row),
    player_flight, INDEX($A:$A, player_row),
    player_team, INDEX($C:$C, player_row),
    current_hole, $B114,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14" s="5">
        <f t="shared" si="92"/>
        <v>5</v>
      </c>
      <c r="R114" s="5">
        <f t="array" ref="R114">SUMIFS(Front9_Scores!$D:$D, Front9_Scores!$A:$A, $A114, Front9_Scores!$B:$B, INDEX($B:$B,$AD114), Front9_Scores!$C:$C, $B114)</f>
        <v>7</v>
      </c>
      <c r="S114" s="5">
        <f t="array" ref="S114">LET(player_hcp,INDEX($E:$E,$AD114),player_tee,INDEX($F:$F,$AD114),current_hole,$B114,hole_hcp_index,XLOOKUP(current_hole,Course!$A:$A,XLOOKUP(player_tee,Course!$D$1:$F$1,Course!$D:$F)),IF(player_hcp&gt;=hole_hcp_index,1,0)+IF(player_hcp&gt;=(18+hole_hcp_index),1,0))</f>
        <v>1</v>
      </c>
      <c r="T114" s="5">
        <f t="shared" si="93"/>
        <v>6</v>
      </c>
      <c r="U114" s="5">
        <f t="array" ref="U114">LET(
    player_row, $AD114,
    player_hcp, INDEX($E:$E, player_row),
    player_flight, INDEX($A:$A, player_row),
    player_team, INDEX($C:$C, player_row),
    current_hole, $B114,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14" s="5">
        <f t="shared" si="94"/>
        <v>6</v>
      </c>
      <c r="W114" s="5" t="str">
        <f t="shared" si="95"/>
        <v>Red</v>
      </c>
      <c r="X114" s="5" t="str">
        <f t="shared" si="96"/>
        <v>Red</v>
      </c>
      <c r="Y114" s="5" t="str">
        <f t="shared" si="97"/>
        <v>Red</v>
      </c>
      <c r="Z114" s="5" t="str">
        <f t="shared" si="98"/>
        <v>Flight_8</v>
      </c>
      <c r="AA114" s="1">
        <v>32.0</v>
      </c>
      <c r="AB114" s="1">
        <v>33.0</v>
      </c>
      <c r="AC114" s="1">
        <v>30.0</v>
      </c>
      <c r="AD114" s="1">
        <v>31.0</v>
      </c>
    </row>
    <row r="115">
      <c r="A115" s="1" t="s">
        <v>46</v>
      </c>
      <c r="B115" s="5">
        <v>3.0</v>
      </c>
      <c r="C115" s="5">
        <f t="array" ref="C115">SUMIFS(Front9_Scores!$D:$D, Front9_Scores!$A:$A, $A115, Front9_Scores!$B:$B, INDEX($B:$B,$AA115), Front9_Scores!$C:$C, $B115)</f>
        <v>6</v>
      </c>
      <c r="D115" s="5">
        <f t="array" ref="D115">LET(player_hcp,INDEX($E:$E,$AA115),player_tee,INDEX($F:$F,$AA115),current_hole,$B115,hole_hcp_index,XLOOKUP(current_hole,Course!$A:$A,XLOOKUP(player_tee,Course!$D$1:$F$1,Course!$D:$F)),IF(player_hcp&gt;=hole_hcp_index,1,0)+IF(player_hcp&gt;=(18+hole_hcp_index),1,0))</f>
        <v>0</v>
      </c>
      <c r="E115" s="5">
        <f t="shared" si="87"/>
        <v>6</v>
      </c>
      <c r="F115" s="5">
        <f t="array" ref="F115">LET(
    player_row, $AA115,
    player_hcp, INDEX($E:$E, player_row),
    player_flight, INDEX($A:$A, player_row),
    player_team, INDEX($C:$C, player_row),
    current_hole, $B115,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115" s="5">
        <f t="shared" si="88"/>
        <v>6</v>
      </c>
      <c r="H115" s="5">
        <f t="array" ref="H115">SUMIFS(Front9_Scores!$D:$D, Front9_Scores!$A:$A, $A115, Front9_Scores!$B:$B, INDEX($B:$B,$AB115), Front9_Scores!$C:$C, $B115)</f>
        <v>4</v>
      </c>
      <c r="I115" s="5">
        <f t="array" ref="I115">LET(player_hcp,INDEX($E:$E,$AB115),player_tee,INDEX($F:$F,$AB115),current_hole,$B115,hole_hcp_index,XLOOKUP(current_hole,Course!$A:$A,XLOOKUP(player_tee,Course!$D$1:$F$1,Course!$D:$F)),IF(player_hcp&gt;=hole_hcp_index,1,0)+IF(player_hcp&gt;=(18+hole_hcp_index),1,0))</f>
        <v>0</v>
      </c>
      <c r="J115" s="5">
        <f t="shared" si="89"/>
        <v>4</v>
      </c>
      <c r="K115" s="5">
        <f t="array" ref="K115">LET(
    player_row, $AB115,
    player_hcp, INDEX($E:$E, player_row),
    player_flight, INDEX($A:$A, player_row),
    player_team, INDEX($C:$C, player_row),
    current_hole, $B115,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115" s="5">
        <f t="shared" si="90"/>
        <v>4</v>
      </c>
      <c r="M115" s="5">
        <f t="array" ref="M115">SUMIFS(Front9_Scores!$D:$D, Front9_Scores!$A:$A, $A115, Front9_Scores!$B:$B, INDEX($B:$B,$AC115), Front9_Scores!$C:$C, $B115)</f>
        <v>4</v>
      </c>
      <c r="N115" s="5">
        <f t="array" ref="N115">LET(player_hcp,INDEX($E:$E,$AC115),player_tee,INDEX($F:$F,$AC115),current_hole,$B115,hole_hcp_index,XLOOKUP(current_hole,Course!$A:$A,XLOOKUP(player_tee,Course!$D$1:$F$1,Course!$D:$F)),IF(player_hcp&gt;=hole_hcp_index,1,0)+IF(player_hcp&gt;=(18+hole_hcp_index),1,0))</f>
        <v>0</v>
      </c>
      <c r="O115" s="5">
        <f t="shared" si="91"/>
        <v>4</v>
      </c>
      <c r="P115" s="5">
        <f t="array" ref="P115">LET(
    player_row, $AC115,
    player_hcp, INDEX($E:$E, player_row),
    player_flight, INDEX($A:$A, player_row),
    player_team, INDEX($C:$C, player_row),
    current_hole, $B115,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15" s="5">
        <f t="shared" si="92"/>
        <v>4</v>
      </c>
      <c r="R115" s="5">
        <f t="array" ref="R115">SUMIFS(Front9_Scores!$D:$D, Front9_Scores!$A:$A, $A115, Front9_Scores!$B:$B, INDEX($B:$B,$AD115), Front9_Scores!$C:$C, $B115)</f>
        <v>5</v>
      </c>
      <c r="S115" s="5">
        <f t="array" ref="S115">LET(player_hcp,INDEX($E:$E,$AD115),player_tee,INDEX($F:$F,$AD115),current_hole,$B115,hole_hcp_index,XLOOKUP(current_hole,Course!$A:$A,XLOOKUP(player_tee,Course!$D$1:$F$1,Course!$D:$F)),IF(player_hcp&gt;=hole_hcp_index,1,0)+IF(player_hcp&gt;=(18+hole_hcp_index),1,0))</f>
        <v>0</v>
      </c>
      <c r="T115" s="5">
        <f t="shared" si="93"/>
        <v>5</v>
      </c>
      <c r="U115" s="5">
        <f t="array" ref="U115">LET(
    player_row, $AD115,
    player_hcp, INDEX($E:$E, player_row),
    player_flight, INDEX($A:$A, player_row),
    player_team, INDEX($C:$C, player_row),
    current_hole, $B115,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115" s="5">
        <f t="shared" si="94"/>
        <v>5</v>
      </c>
      <c r="W115" s="5" t="str">
        <f t="shared" si="95"/>
        <v>Tie</v>
      </c>
      <c r="X115" s="5" t="str">
        <f t="shared" si="96"/>
        <v>Blue</v>
      </c>
      <c r="Y115" s="5" t="str">
        <f t="shared" si="97"/>
        <v>Red</v>
      </c>
      <c r="Z115" s="5" t="str">
        <f t="shared" si="98"/>
        <v>Flight_8</v>
      </c>
      <c r="AA115" s="1">
        <v>32.0</v>
      </c>
      <c r="AB115" s="1">
        <v>33.0</v>
      </c>
      <c r="AC115" s="1">
        <v>30.0</v>
      </c>
      <c r="AD115" s="1">
        <v>31.0</v>
      </c>
    </row>
    <row r="116">
      <c r="A116" s="1" t="s">
        <v>46</v>
      </c>
      <c r="B116" s="5">
        <v>4.0</v>
      </c>
      <c r="C116" s="5">
        <f t="array" ref="C116">SUMIFS(Front9_Scores!$D:$D, Front9_Scores!$A:$A, $A116, Front9_Scores!$B:$B, INDEX($B:$B,$AA116), Front9_Scores!$C:$C, $B116)</f>
        <v>5</v>
      </c>
      <c r="D116" s="5">
        <f t="array" ref="D116">LET(player_hcp,INDEX($E:$E,$AA116),player_tee,INDEX($F:$F,$AA116),current_hole,$B116,hole_hcp_index,XLOOKUP(current_hole,Course!$A:$A,XLOOKUP(player_tee,Course!$D$1:$F$1,Course!$D:$F)),IF(player_hcp&gt;=hole_hcp_index,1,0)+IF(player_hcp&gt;=(18+hole_hcp_index),1,0))</f>
        <v>0</v>
      </c>
      <c r="E116" s="5">
        <f t="shared" si="87"/>
        <v>5</v>
      </c>
      <c r="F116" s="5">
        <f t="array" ref="F116">LET(
    player_row, $AA116,
    player_hcp, INDEX($E:$E, player_row),
    player_flight, INDEX($A:$A, player_row),
    player_team, INDEX($C:$C, player_row),
    current_hole, $B116,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116" s="5">
        <f t="shared" si="88"/>
        <v>5</v>
      </c>
      <c r="H116" s="5">
        <f t="array" ref="H116">SUMIFS(Front9_Scores!$D:$D, Front9_Scores!$A:$A, $A116, Front9_Scores!$B:$B, INDEX($B:$B,$AB116), Front9_Scores!$C:$C, $B116)</f>
        <v>5</v>
      </c>
      <c r="I116" s="5">
        <f t="array" ref="I116">LET(player_hcp,INDEX($E:$E,$AB116),player_tee,INDEX($F:$F,$AB116),current_hole,$B116,hole_hcp_index,XLOOKUP(current_hole,Course!$A:$A,XLOOKUP(player_tee,Course!$D$1:$F$1,Course!$D:$F)),IF(player_hcp&gt;=hole_hcp_index,1,0)+IF(player_hcp&gt;=(18+hole_hcp_index),1,0))</f>
        <v>0</v>
      </c>
      <c r="J116" s="5">
        <f t="shared" si="89"/>
        <v>5</v>
      </c>
      <c r="K116" s="5">
        <f t="array" ref="K116">LET(
    player_row, $AB116,
    player_hcp, INDEX($E:$E, player_row),
    player_flight, INDEX($A:$A, player_row),
    player_team, INDEX($C:$C, player_row),
    current_hole, $B116,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116" s="5">
        <f t="shared" si="90"/>
        <v>5</v>
      </c>
      <c r="M116" s="5">
        <f t="array" ref="M116">SUMIFS(Front9_Scores!$D:$D, Front9_Scores!$A:$A, $A116, Front9_Scores!$B:$B, INDEX($B:$B,$AC116), Front9_Scores!$C:$C, $B116)</f>
        <v>3</v>
      </c>
      <c r="N116" s="5">
        <f t="array" ref="N116">LET(player_hcp,INDEX($E:$E,$AC116),player_tee,INDEX($F:$F,$AC116),current_hole,$B116,hole_hcp_index,XLOOKUP(current_hole,Course!$A:$A,XLOOKUP(player_tee,Course!$D$1:$F$1,Course!$D:$F)),IF(player_hcp&gt;=hole_hcp_index,1,0)+IF(player_hcp&gt;=(18+hole_hcp_index),1,0))</f>
        <v>0</v>
      </c>
      <c r="O116" s="5">
        <f t="shared" si="91"/>
        <v>3</v>
      </c>
      <c r="P116" s="5">
        <f t="array" ref="P116">LET(
    player_row, $AC116,
    player_hcp, INDEX($E:$E, player_row),
    player_flight, INDEX($A:$A, player_row),
    player_team, INDEX($C:$C, player_row),
    current_hole, $B116,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16" s="5">
        <f t="shared" si="92"/>
        <v>3</v>
      </c>
      <c r="R116" s="5">
        <f t="array" ref="R116">SUMIFS(Front9_Scores!$D:$D, Front9_Scores!$A:$A, $A116, Front9_Scores!$B:$B, INDEX($B:$B,$AD116), Front9_Scores!$C:$C, $B116)</f>
        <v>3</v>
      </c>
      <c r="S116" s="5">
        <f t="array" ref="S116">LET(player_hcp,INDEX($E:$E,$AD116),player_tee,INDEX($F:$F,$AD116),current_hole,$B116,hole_hcp_index,XLOOKUP(current_hole,Course!$A:$A,XLOOKUP(player_tee,Course!$D$1:$F$1,Course!$D:$F)),IF(player_hcp&gt;=hole_hcp_index,1,0)+IF(player_hcp&gt;=(18+hole_hcp_index),1,0))</f>
        <v>0</v>
      </c>
      <c r="T116" s="5">
        <f t="shared" si="93"/>
        <v>3</v>
      </c>
      <c r="U116" s="5">
        <f t="array" ref="U116">LET(
    player_row, $AD116,
    player_hcp, INDEX($E:$E, player_row),
    player_flight, INDEX($A:$A, player_row),
    player_team, INDEX($C:$C, player_row),
    current_hole, $B116,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V116" s="5">
        <f t="shared" si="94"/>
        <v>3</v>
      </c>
      <c r="W116" s="5" t="str">
        <f t="shared" si="95"/>
        <v>Blue</v>
      </c>
      <c r="X116" s="5" t="str">
        <f t="shared" si="96"/>
        <v>Blue</v>
      </c>
      <c r="Y116" s="5" t="str">
        <f t="shared" si="97"/>
        <v>Blue</v>
      </c>
      <c r="Z116" s="5" t="str">
        <f t="shared" si="98"/>
        <v>Flight_8</v>
      </c>
      <c r="AA116" s="1">
        <v>32.0</v>
      </c>
      <c r="AB116" s="1">
        <v>33.0</v>
      </c>
      <c r="AC116" s="1">
        <v>30.0</v>
      </c>
      <c r="AD116" s="1">
        <v>31.0</v>
      </c>
    </row>
    <row r="117">
      <c r="A117" s="1" t="s">
        <v>46</v>
      </c>
      <c r="B117" s="5">
        <v>5.0</v>
      </c>
      <c r="C117" s="5">
        <f t="array" ref="C117">SUMIFS(Front9_Scores!$D:$D, Front9_Scores!$A:$A, $A117, Front9_Scores!$B:$B, INDEX($B:$B,$AA117), Front9_Scores!$C:$C, $B117)</f>
        <v>3</v>
      </c>
      <c r="D117" s="5">
        <f t="array" ref="D117">LET(player_hcp,INDEX($E:$E,$AA117),player_tee,INDEX($F:$F,$AA117),current_hole,$B117,hole_hcp_index,XLOOKUP(current_hole,Course!$A:$A,XLOOKUP(player_tee,Course!$D$1:$F$1,Course!$D:$F)),IF(player_hcp&gt;=hole_hcp_index,1,0)+IF(player_hcp&gt;=(18+hole_hcp_index),1,0))</f>
        <v>1</v>
      </c>
      <c r="E117" s="5">
        <f t="shared" si="87"/>
        <v>2</v>
      </c>
      <c r="F117" s="5">
        <f t="array" ref="F117">LET(
    player_row, $AA117,
    player_hcp, INDEX($E:$E, player_row),
    player_flight, INDEX($A:$A, player_row),
    player_team, INDEX($C:$C, player_row),
    current_hole, $B117,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17" s="5">
        <f t="shared" si="88"/>
        <v>2</v>
      </c>
      <c r="H117" s="5">
        <f t="array" ref="H117">SUMIFS(Front9_Scores!$D:$D, Front9_Scores!$A:$A, $A117, Front9_Scores!$B:$B, INDEX($B:$B,$AB117), Front9_Scores!$C:$C, $B117)</f>
        <v>3</v>
      </c>
      <c r="I117" s="5">
        <f t="array" ref="I117">LET(player_hcp,INDEX($E:$E,$AB117),player_tee,INDEX($F:$F,$AB117),current_hole,$B117,hole_hcp_index,XLOOKUP(current_hole,Course!$A:$A,XLOOKUP(player_tee,Course!$D$1:$F$1,Course!$D:$F)),IF(player_hcp&gt;=hole_hcp_index,1,0)+IF(player_hcp&gt;=(18+hole_hcp_index),1,0))</f>
        <v>1</v>
      </c>
      <c r="J117" s="5">
        <f t="shared" si="89"/>
        <v>2</v>
      </c>
      <c r="K117" s="5">
        <f t="array" ref="K117">LET(
    player_row, $AB117,
    player_hcp, INDEX($E:$E, player_row),
    player_flight, INDEX($A:$A, player_row),
    player_team, INDEX($C:$C, player_row),
    current_hole, $B117,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17" s="5">
        <f t="shared" si="90"/>
        <v>2</v>
      </c>
      <c r="M117" s="5">
        <f t="array" ref="M117">SUMIFS(Front9_Scores!$D:$D, Front9_Scores!$A:$A, $A117, Front9_Scores!$B:$B, INDEX($B:$B,$AC117), Front9_Scores!$C:$C, $B117)</f>
        <v>4</v>
      </c>
      <c r="N117" s="5">
        <f t="array" ref="N117">LET(player_hcp,INDEX($E:$E,$AC117),player_tee,INDEX($F:$F,$AC117),current_hole,$B117,hole_hcp_index,XLOOKUP(current_hole,Course!$A:$A,XLOOKUP(player_tee,Course!$D$1:$F$1,Course!$D:$F)),IF(player_hcp&gt;=hole_hcp_index,1,0)+IF(player_hcp&gt;=(18+hole_hcp_index),1,0))</f>
        <v>1</v>
      </c>
      <c r="O117" s="5">
        <f t="shared" si="91"/>
        <v>3</v>
      </c>
      <c r="P117" s="5">
        <f t="array" ref="P117">LET(
    player_row, $AC117,
    player_hcp, INDEX($E:$E, player_row),
    player_flight, INDEX($A:$A, player_row),
    player_team, INDEX($C:$C, player_row),
    current_hole, $B117,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17" s="5">
        <f t="shared" si="92"/>
        <v>3</v>
      </c>
      <c r="R117" s="5">
        <f t="array" ref="R117">SUMIFS(Front9_Scores!$D:$D, Front9_Scores!$A:$A, $A117, Front9_Scores!$B:$B, INDEX($B:$B,$AD117), Front9_Scores!$C:$C, $B117)</f>
        <v>5</v>
      </c>
      <c r="S117" s="5">
        <f t="array" ref="S117">LET(player_hcp,INDEX($E:$E,$AD117),player_tee,INDEX($F:$F,$AD117),current_hole,$B117,hole_hcp_index,XLOOKUP(current_hole,Course!$A:$A,XLOOKUP(player_tee,Course!$D$1:$F$1,Course!$D:$F)),IF(player_hcp&gt;=hole_hcp_index,1,0)+IF(player_hcp&gt;=(18+hole_hcp_index),1,0))</f>
        <v>1</v>
      </c>
      <c r="T117" s="5">
        <f t="shared" si="93"/>
        <v>4</v>
      </c>
      <c r="U117" s="5">
        <f t="array" ref="U117">LET(
    player_row, $AD117,
    player_hcp, INDEX($E:$E, player_row),
    player_flight, INDEX($A:$A, player_row),
    player_team, INDEX($C:$C, player_row),
    current_hole, $B117,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17" s="5">
        <f t="shared" si="94"/>
        <v>4</v>
      </c>
      <c r="W117" s="5" t="str">
        <f t="shared" si="95"/>
        <v>Red</v>
      </c>
      <c r="X117" s="5" t="str">
        <f t="shared" si="96"/>
        <v>Red</v>
      </c>
      <c r="Y117" s="5" t="str">
        <f t="shared" si="97"/>
        <v>Red</v>
      </c>
      <c r="Z117" s="5" t="str">
        <f t="shared" si="98"/>
        <v>Flight_8</v>
      </c>
      <c r="AA117" s="1">
        <v>32.0</v>
      </c>
      <c r="AB117" s="1">
        <v>33.0</v>
      </c>
      <c r="AC117" s="1">
        <v>30.0</v>
      </c>
      <c r="AD117" s="1">
        <v>31.0</v>
      </c>
    </row>
    <row r="118">
      <c r="A118" s="1" t="s">
        <v>46</v>
      </c>
      <c r="B118" s="5">
        <v>6.0</v>
      </c>
      <c r="C118" s="5">
        <f t="array" ref="C118">SUMIFS(Front9_Scores!$D:$D, Front9_Scores!$A:$A, $A118, Front9_Scores!$B:$B, INDEX($B:$B,$AA118), Front9_Scores!$C:$C, $B118)</f>
        <v>5</v>
      </c>
      <c r="D118" s="5">
        <f t="array" ref="D118">LET(player_hcp,INDEX($E:$E,$AA118),player_tee,INDEX($F:$F,$AA118),current_hole,$B118,hole_hcp_index,XLOOKUP(current_hole,Course!$A:$A,XLOOKUP(player_tee,Course!$D$1:$F$1,Course!$D:$F)),IF(player_hcp&gt;=hole_hcp_index,1,0)+IF(player_hcp&gt;=(18+hole_hcp_index),1,0))</f>
        <v>0</v>
      </c>
      <c r="E118" s="5">
        <f t="shared" si="87"/>
        <v>5</v>
      </c>
      <c r="F118" s="5">
        <f t="array" ref="F118">LET(
    player_row, $AA118,
    player_hcp, INDEX($E:$E, player_row),
    player_flight, INDEX($A:$A, player_row),
    player_team, INDEX($C:$C, player_row),
    current_hole, $B118,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118" s="5">
        <f t="shared" si="88"/>
        <v>5</v>
      </c>
      <c r="H118" s="5">
        <f t="array" ref="H118">SUMIFS(Front9_Scores!$D:$D, Front9_Scores!$A:$A, $A118, Front9_Scores!$B:$B, INDEX($B:$B,$AB118), Front9_Scores!$C:$C, $B118)</f>
        <v>4</v>
      </c>
      <c r="I118" s="5">
        <f t="array" ref="I118">LET(player_hcp,INDEX($E:$E,$AB118),player_tee,INDEX($F:$F,$AB118),current_hole,$B118,hole_hcp_index,XLOOKUP(current_hole,Course!$A:$A,XLOOKUP(player_tee,Course!$D$1:$F$1,Course!$D:$F)),IF(player_hcp&gt;=hole_hcp_index,1,0)+IF(player_hcp&gt;=(18+hole_hcp_index),1,0))</f>
        <v>1</v>
      </c>
      <c r="J118" s="5">
        <f t="shared" si="89"/>
        <v>3</v>
      </c>
      <c r="K118" s="5">
        <f t="array" ref="K118">LET(
    player_row, $AB118,
    player_hcp, INDEX($E:$E, player_row),
    player_flight, INDEX($A:$A, player_row),
    player_team, INDEX($C:$C, player_row),
    current_hole, $B118,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18" s="5">
        <f t="shared" si="90"/>
        <v>3</v>
      </c>
      <c r="M118" s="5">
        <f t="array" ref="M118">SUMIFS(Front9_Scores!$D:$D, Front9_Scores!$A:$A, $A118, Front9_Scores!$B:$B, INDEX($B:$B,$AC118), Front9_Scores!$C:$C, $B118)</f>
        <v>5</v>
      </c>
      <c r="N118" s="5">
        <f t="array" ref="N118">LET(player_hcp,INDEX($E:$E,$AC118),player_tee,INDEX($F:$F,$AC118),current_hole,$B118,hole_hcp_index,XLOOKUP(current_hole,Course!$A:$A,XLOOKUP(player_tee,Course!$D$1:$F$1,Course!$D:$F)),IF(player_hcp&gt;=hole_hcp_index,1,0)+IF(player_hcp&gt;=(18+hole_hcp_index),1,0))</f>
        <v>0</v>
      </c>
      <c r="O118" s="5">
        <f t="shared" si="91"/>
        <v>5</v>
      </c>
      <c r="P118" s="5">
        <f t="array" ref="P118">LET(
    player_row, $AC118,
    player_hcp, INDEX($E:$E, player_row),
    player_flight, INDEX($A:$A, player_row),
    player_team, INDEX($C:$C, player_row),
    current_hole, $B118,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18" s="5">
        <f t="shared" si="92"/>
        <v>5</v>
      </c>
      <c r="R118" s="5">
        <f t="array" ref="R118">SUMIFS(Front9_Scores!$D:$D, Front9_Scores!$A:$A, $A118, Front9_Scores!$B:$B, INDEX($B:$B,$AD118), Front9_Scores!$C:$C, $B118)</f>
        <v>5</v>
      </c>
      <c r="S118" s="5">
        <f t="array" ref="S118">LET(player_hcp,INDEX($E:$E,$AD118),player_tee,INDEX($F:$F,$AD118),current_hole,$B118,hole_hcp_index,XLOOKUP(current_hole,Course!$A:$A,XLOOKUP(player_tee,Course!$D$1:$F$1,Course!$D:$F)),IF(player_hcp&gt;=hole_hcp_index,1,0)+IF(player_hcp&gt;=(18+hole_hcp_index),1,0))</f>
        <v>1</v>
      </c>
      <c r="T118" s="5">
        <f t="shared" si="93"/>
        <v>4</v>
      </c>
      <c r="U118" s="5">
        <f t="array" ref="U118">LET(
    player_row, $AD118,
    player_hcp, INDEX($E:$E, player_row),
    player_flight, INDEX($A:$A, player_row),
    player_team, INDEX($C:$C, player_row),
    current_hole, $B118,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18" s="5">
        <f t="shared" si="94"/>
        <v>4</v>
      </c>
      <c r="W118" s="5" t="str">
        <f t="shared" si="95"/>
        <v>Red</v>
      </c>
      <c r="X118" s="5" t="str">
        <f t="shared" si="96"/>
        <v>Tie</v>
      </c>
      <c r="Y118" s="5" t="str">
        <f t="shared" si="97"/>
        <v>Red</v>
      </c>
      <c r="Z118" s="5" t="str">
        <f t="shared" si="98"/>
        <v>Flight_8</v>
      </c>
      <c r="AA118" s="1">
        <v>32.0</v>
      </c>
      <c r="AB118" s="1">
        <v>33.0</v>
      </c>
      <c r="AC118" s="1">
        <v>30.0</v>
      </c>
      <c r="AD118" s="1">
        <v>31.0</v>
      </c>
    </row>
    <row r="119">
      <c r="A119" s="1" t="s">
        <v>46</v>
      </c>
      <c r="B119" s="5">
        <v>7.0</v>
      </c>
      <c r="C119" s="5">
        <f t="array" ref="C119">SUMIFS(Front9_Scores!$D:$D, Front9_Scores!$A:$A, $A119, Front9_Scores!$B:$B, INDEX($B:$B,$AA119), Front9_Scores!$C:$C, $B119)</f>
        <v>3</v>
      </c>
      <c r="D119" s="5">
        <f t="array" ref="D119">LET(player_hcp,INDEX($E:$E,$AA119),player_tee,INDEX($F:$F,$AA119),current_hole,$B119,hole_hcp_index,XLOOKUP(current_hole,Course!$A:$A,XLOOKUP(player_tee,Course!$D$1:$F$1,Course!$D:$F)),IF(player_hcp&gt;=hole_hcp_index,1,0)+IF(player_hcp&gt;=(18+hole_hcp_index),1,0))</f>
        <v>0</v>
      </c>
      <c r="E119" s="5">
        <f t="shared" si="87"/>
        <v>3</v>
      </c>
      <c r="F119" s="5">
        <f t="array" ref="F119">LET(
    player_row, $AA119,
    player_hcp, INDEX($E:$E, player_row),
    player_flight, INDEX($A:$A, player_row),
    player_team, INDEX($C:$C, player_row),
    current_hole, $B119,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G119" s="5">
        <f t="shared" si="88"/>
        <v>3</v>
      </c>
      <c r="H119" s="5">
        <f t="array" ref="H119">SUMIFS(Front9_Scores!$D:$D, Front9_Scores!$A:$A, $A119, Front9_Scores!$B:$B, INDEX($B:$B,$AB119), Front9_Scores!$C:$C, $B119)</f>
        <v>5</v>
      </c>
      <c r="I119" s="5">
        <f t="array" ref="I119">LET(player_hcp,INDEX($E:$E,$AB119),player_tee,INDEX($F:$F,$AB119),current_hole,$B119,hole_hcp_index,XLOOKUP(current_hole,Course!$A:$A,XLOOKUP(player_tee,Course!$D$1:$F$1,Course!$D:$F)),IF(player_hcp&gt;=hole_hcp_index,1,0)+IF(player_hcp&gt;=(18+hole_hcp_index),1,0))</f>
        <v>0</v>
      </c>
      <c r="J119" s="5">
        <f t="shared" si="89"/>
        <v>5</v>
      </c>
      <c r="K119" s="5">
        <f t="array" ref="K119">LET(
    player_row, $AB119,
    player_hcp, INDEX($E:$E, player_row),
    player_flight, INDEX($A:$A, player_row),
    player_team, INDEX($C:$C, player_row),
    current_hole, $B119,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L119" s="5">
        <f t="shared" si="90"/>
        <v>5</v>
      </c>
      <c r="M119" s="5">
        <f t="array" ref="M119">SUMIFS(Front9_Scores!$D:$D, Front9_Scores!$A:$A, $A119, Front9_Scores!$B:$B, INDEX($B:$B,$AC119), Front9_Scores!$C:$C, $B119)</f>
        <v>3</v>
      </c>
      <c r="N119" s="5">
        <f t="array" ref="N119">LET(player_hcp,INDEX($E:$E,$AC119),player_tee,INDEX($F:$F,$AC119),current_hole,$B119,hole_hcp_index,XLOOKUP(current_hole,Course!$A:$A,XLOOKUP(player_tee,Course!$D$1:$F$1,Course!$D:$F)),IF(player_hcp&gt;=hole_hcp_index,1,0)+IF(player_hcp&gt;=(18+hole_hcp_index),1,0))</f>
        <v>0</v>
      </c>
      <c r="O119" s="5">
        <f t="shared" si="91"/>
        <v>3</v>
      </c>
      <c r="P119" s="5">
        <f t="array" ref="P119">LET(
    player_row, $AC119,
    player_hcp, INDEX($E:$E, player_row),
    player_flight, INDEX($A:$A, player_row),
    player_team, INDEX($C:$C, player_row),
    current_hole, $B119,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0</v>
      </c>
      <c r="Q119" s="5">
        <f t="shared" si="92"/>
        <v>3</v>
      </c>
      <c r="R119" s="5">
        <f t="array" ref="R119">SUMIFS(Front9_Scores!$D:$D, Front9_Scores!$A:$A, $A119, Front9_Scores!$B:$B, INDEX($B:$B,$AD119), Front9_Scores!$C:$C, $B119)</f>
        <v>3</v>
      </c>
      <c r="S119" s="5">
        <f t="array" ref="S119">LET(player_hcp,INDEX($E:$E,$AD119),player_tee,INDEX($F:$F,$AD119),current_hole,$B119,hole_hcp_index,XLOOKUP(current_hole,Course!$A:$A,XLOOKUP(player_tee,Course!$D$1:$F$1,Course!$D:$F)),IF(player_hcp&gt;=hole_hcp_index,1,0)+IF(player_hcp&gt;=(18+hole_hcp_index),1,0))</f>
        <v>1</v>
      </c>
      <c r="T119" s="5">
        <f t="shared" si="93"/>
        <v>2</v>
      </c>
      <c r="U119" s="5">
        <f t="array" ref="U119">LET(
    player_row, $AD119,
    player_hcp, INDEX($E:$E, player_row),
    player_flight, INDEX($A:$A, player_row),
    player_team, INDEX($C:$C, player_row),
    current_hole, $B119,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19" s="5">
        <f t="shared" si="94"/>
        <v>2</v>
      </c>
      <c r="W119" s="5" t="str">
        <f t="shared" si="95"/>
        <v>Blue</v>
      </c>
      <c r="X119" s="5" t="str">
        <f t="shared" si="96"/>
        <v>Tie</v>
      </c>
      <c r="Y119" s="5" t="str">
        <f t="shared" si="97"/>
        <v>Blue</v>
      </c>
      <c r="Z119" s="5" t="str">
        <f t="shared" si="98"/>
        <v>Flight_8</v>
      </c>
      <c r="AA119" s="1">
        <v>32.0</v>
      </c>
      <c r="AB119" s="1">
        <v>33.0</v>
      </c>
      <c r="AC119" s="1">
        <v>30.0</v>
      </c>
      <c r="AD119" s="1">
        <v>31.0</v>
      </c>
    </row>
    <row r="120">
      <c r="A120" s="1" t="s">
        <v>46</v>
      </c>
      <c r="B120" s="5">
        <v>8.0</v>
      </c>
      <c r="C120" s="5">
        <f t="array" ref="C120">SUMIFS(Front9_Scores!$D:$D, Front9_Scores!$A:$A, $A120, Front9_Scores!$B:$B, INDEX($B:$B,$AA120), Front9_Scores!$C:$C, $B120)</f>
        <v>5</v>
      </c>
      <c r="D120" s="5">
        <f t="array" ref="D120">LET(player_hcp,INDEX($E:$E,$AA120),player_tee,INDEX($F:$F,$AA120),current_hole,$B120,hole_hcp_index,XLOOKUP(current_hole,Course!$A:$A,XLOOKUP(player_tee,Course!$D$1:$F$1,Course!$D:$F)),IF(player_hcp&gt;=hole_hcp_index,1,0)+IF(player_hcp&gt;=(18+hole_hcp_index),1,0))</f>
        <v>1</v>
      </c>
      <c r="E120" s="5">
        <f t="shared" si="87"/>
        <v>4</v>
      </c>
      <c r="F120" s="5">
        <f t="array" ref="F120">LET(
    player_row, $AA120,
    player_hcp, INDEX($E:$E, player_row),
    player_flight, INDEX($A:$A, player_row),
    player_team, INDEX($C:$C, player_row),
    current_hole, $B120,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20" s="5">
        <f t="shared" si="88"/>
        <v>4</v>
      </c>
      <c r="H120" s="5">
        <f t="array" ref="H120">SUMIFS(Front9_Scores!$D:$D, Front9_Scores!$A:$A, $A120, Front9_Scores!$B:$B, INDEX($B:$B,$AB120), Front9_Scores!$C:$C, $B120)</f>
        <v>6</v>
      </c>
      <c r="I120" s="5">
        <f t="array" ref="I120">LET(player_hcp,INDEX($E:$E,$AB120),player_tee,INDEX($F:$F,$AB120),current_hole,$B120,hole_hcp_index,XLOOKUP(current_hole,Course!$A:$A,XLOOKUP(player_tee,Course!$D$1:$F$1,Course!$D:$F)),IF(player_hcp&gt;=hole_hcp_index,1,0)+IF(player_hcp&gt;=(18+hole_hcp_index),1,0))</f>
        <v>0</v>
      </c>
      <c r="J120" s="5">
        <f t="shared" si="89"/>
        <v>6</v>
      </c>
      <c r="K120" s="5">
        <f t="array" ref="K120">LET(
    player_row, $AB120,
    player_hcp, INDEX($E:$E, player_row),
    player_flight, INDEX($A:$A, player_row),
    player_team, INDEX($C:$C, player_row),
    current_hole, $B120,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20" s="5">
        <f t="shared" si="90"/>
        <v>5</v>
      </c>
      <c r="M120" s="5">
        <f t="array" ref="M120">SUMIFS(Front9_Scores!$D:$D, Front9_Scores!$A:$A, $A120, Front9_Scores!$B:$B, INDEX($B:$B,$AC120), Front9_Scores!$C:$C, $B120)</f>
        <v>6</v>
      </c>
      <c r="N120" s="5">
        <f t="array" ref="N120">LET(player_hcp,INDEX($E:$E,$AC120),player_tee,INDEX($F:$F,$AC120),current_hole,$B120,hole_hcp_index,XLOOKUP(current_hole,Course!$A:$A,XLOOKUP(player_tee,Course!$D$1:$F$1,Course!$D:$F)),IF(player_hcp&gt;=hole_hcp_index,1,0)+IF(player_hcp&gt;=(18+hole_hcp_index),1,0))</f>
        <v>1</v>
      </c>
      <c r="O120" s="5">
        <f t="shared" si="91"/>
        <v>5</v>
      </c>
      <c r="P120" s="5">
        <f t="array" ref="P120">LET(
    player_row, $AC120,
    player_hcp, INDEX($E:$E, player_row),
    player_flight, INDEX($A:$A, player_row),
    player_team, INDEX($C:$C, player_row),
    current_hole, $B120,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20" s="5">
        <f t="shared" si="92"/>
        <v>5</v>
      </c>
      <c r="R120" s="5">
        <f t="array" ref="R120">SUMIFS(Front9_Scores!$D:$D, Front9_Scores!$A:$A, $A120, Front9_Scores!$B:$B, INDEX($B:$B,$AD120), Front9_Scores!$C:$C, $B120)</f>
        <v>5</v>
      </c>
      <c r="S120" s="5">
        <f t="array" ref="S120">LET(player_hcp,INDEX($E:$E,$AD120),player_tee,INDEX($F:$F,$AD120),current_hole,$B120,hole_hcp_index,XLOOKUP(current_hole,Course!$A:$A,XLOOKUP(player_tee,Course!$D$1:$F$1,Course!$D:$F)),IF(player_hcp&gt;=hole_hcp_index,1,0)+IF(player_hcp&gt;=(18+hole_hcp_index),1,0))</f>
        <v>1</v>
      </c>
      <c r="T120" s="5">
        <f t="shared" si="93"/>
        <v>4</v>
      </c>
      <c r="U120" s="5">
        <f t="array" ref="U120">LET(
    player_row, $AD120,
    player_hcp, INDEX($E:$E, player_row),
    player_flight, INDEX($A:$A, player_row),
    player_team, INDEX($C:$C, player_row),
    current_hole, $B120,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20" s="5">
        <f t="shared" si="94"/>
        <v>4</v>
      </c>
      <c r="W120" s="5" t="str">
        <f t="shared" si="95"/>
        <v>Tie</v>
      </c>
      <c r="X120" s="5" t="str">
        <f t="shared" si="96"/>
        <v>Red</v>
      </c>
      <c r="Y120" s="5" t="str">
        <f t="shared" si="97"/>
        <v>Blue</v>
      </c>
      <c r="Z120" s="5" t="str">
        <f t="shared" si="98"/>
        <v>Flight_8</v>
      </c>
      <c r="AA120" s="1">
        <v>32.0</v>
      </c>
      <c r="AB120" s="1">
        <v>33.0</v>
      </c>
      <c r="AC120" s="1">
        <v>30.0</v>
      </c>
      <c r="AD120" s="1">
        <v>31.0</v>
      </c>
    </row>
    <row r="121">
      <c r="A121" s="1" t="s">
        <v>46</v>
      </c>
      <c r="B121" s="5">
        <v>9.0</v>
      </c>
      <c r="C121" s="5">
        <f t="array" ref="C121">SUMIFS(Front9_Scores!$D:$D, Front9_Scores!$A:$A, $A121, Front9_Scores!$B:$B, INDEX($B:$B,$AA121), Front9_Scores!$C:$C, $B121)</f>
        <v>4</v>
      </c>
      <c r="D121" s="5">
        <f t="array" ref="D121">LET(player_hcp,INDEX($E:$E,$AA121),player_tee,INDEX($F:$F,$AA121),current_hole,$B121,hole_hcp_index,XLOOKUP(current_hole,Course!$A:$A,XLOOKUP(player_tee,Course!$D$1:$F$1,Course!$D:$F)),IF(player_hcp&gt;=hole_hcp_index,1,0)+IF(player_hcp&gt;=(18+hole_hcp_index),1,0))</f>
        <v>1</v>
      </c>
      <c r="E121" s="5">
        <f t="shared" si="87"/>
        <v>3</v>
      </c>
      <c r="F121" s="5">
        <f t="array" ref="F121">LET(
    player_row, $AA121,
    player_hcp, INDEX($E:$E, player_row),
    player_flight, INDEX($A:$A, player_row),
    player_team, INDEX($C:$C, player_row),
    current_hole, $B121,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G121" s="5">
        <f t="shared" si="88"/>
        <v>3</v>
      </c>
      <c r="H121" s="5">
        <f t="array" ref="H121">SUMIFS(Front9_Scores!$D:$D, Front9_Scores!$A:$A, $A121, Front9_Scores!$B:$B, INDEX($B:$B,$AB121), Front9_Scores!$C:$C, $B121)</f>
        <v>5</v>
      </c>
      <c r="I121" s="5">
        <f t="array" ref="I121">LET(player_hcp,INDEX($E:$E,$AB121),player_tee,INDEX($F:$F,$AB121),current_hole,$B121,hole_hcp_index,XLOOKUP(current_hole,Course!$A:$A,XLOOKUP(player_tee,Course!$D$1:$F$1,Course!$D:$F)),IF(player_hcp&gt;=hole_hcp_index,1,0)+IF(player_hcp&gt;=(18+hole_hcp_index),1,0))</f>
        <v>1</v>
      </c>
      <c r="J121" s="5">
        <f t="shared" si="89"/>
        <v>4</v>
      </c>
      <c r="K121" s="5">
        <f t="array" ref="K121">LET(
    player_row, $AB121,
    player_hcp, INDEX($E:$E, player_row),
    player_flight, INDEX($A:$A, player_row),
    player_team, INDEX($C:$C, player_row),
    current_hole, $B121,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L121" s="5">
        <f t="shared" si="90"/>
        <v>4</v>
      </c>
      <c r="M121" s="5">
        <f t="array" ref="M121">SUMIFS(Front9_Scores!$D:$D, Front9_Scores!$A:$A, $A121, Front9_Scores!$B:$B, INDEX($B:$B,$AC121), Front9_Scores!$C:$C, $B121)</f>
        <v>6</v>
      </c>
      <c r="N121" s="5">
        <f t="array" ref="N121">LET(player_hcp,INDEX($E:$E,$AC121),player_tee,INDEX($F:$F,$AC121),current_hole,$B121,hole_hcp_index,XLOOKUP(current_hole,Course!$A:$A,XLOOKUP(player_tee,Course!$D$1:$F$1,Course!$D:$F)),IF(player_hcp&gt;=hole_hcp_index,1,0)+IF(player_hcp&gt;=(18+hole_hcp_index),1,0))</f>
        <v>1</v>
      </c>
      <c r="O121" s="5">
        <f t="shared" si="91"/>
        <v>5</v>
      </c>
      <c r="P121" s="5">
        <f t="array" ref="P121">LET(
    player_row, $AC121,
    player_hcp, INDEX($E:$E, player_row),
    player_flight, INDEX($A:$A, player_row),
    player_team, INDEX($C:$C, player_row),
    current_hole, $B121,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Q121" s="5">
        <f t="shared" si="92"/>
        <v>5</v>
      </c>
      <c r="R121" s="5">
        <f t="array" ref="R121">SUMIFS(Front9_Scores!$D:$D, Front9_Scores!$A:$A, $A121, Front9_Scores!$B:$B, INDEX($B:$B,$AD121), Front9_Scores!$C:$C, $B121)</f>
        <v>5</v>
      </c>
      <c r="S121" s="5">
        <f t="array" ref="S121">LET(player_hcp,INDEX($E:$E,$AD121),player_tee,INDEX($F:$F,$AD121),current_hole,$B121,hole_hcp_index,XLOOKUP(current_hole,Course!$A:$A,XLOOKUP(player_tee,Course!$D$1:$F$1,Course!$D:$F)),IF(player_hcp&gt;=hole_hcp_index,1,0)+IF(player_hcp&gt;=(18+hole_hcp_index),1,0))</f>
        <v>1</v>
      </c>
      <c r="T121" s="5">
        <f t="shared" si="93"/>
        <v>4</v>
      </c>
      <c r="U121" s="5">
        <f t="array" ref="U121">LET(
    player_row, $AD121,
    player_hcp, INDEX($E:$E, player_row),
    player_flight, INDEX($A:$A, player_row),
    player_team, INDEX($C:$C, player_row),
    current_hole, $B121,
    flight_number, VALUE(RIGHT(player_flight, LEN(player_flight) - 7)),
    pair_id, "F" &amp; flight_number &amp; "-" &amp; player_team,
    pair_row, MATCH(pair_id, $I:$I, 0),
    is_mixed, INDEX($N:$N, pair_row),
    mixed_hcp_index, VLOOKUP(current_hole, Course!$A:$G, 7, FALSE),
    default_hcp_index, VLOOKUP(current_hole, Course!$A:$G, 3, FALSE),
    hole_hcp_index_to_use, IF(is_mixed, mixed_hcp_index, default_hcp_index),
    strokes, IF(player_hcp&gt;=hole_hcp_index_to_use, 1, 0) + IF(player_hcp&gt;=(18+hole_hcp_index_to_use), 1, 0),
    strokes
)</f>
        <v>1</v>
      </c>
      <c r="V121" s="5">
        <f t="shared" si="94"/>
        <v>4</v>
      </c>
      <c r="W121" s="5" t="str">
        <f t="shared" si="95"/>
        <v>Red</v>
      </c>
      <c r="X121" s="5" t="str">
        <f t="shared" si="96"/>
        <v>Red</v>
      </c>
      <c r="Y121" s="5" t="str">
        <f t="shared" si="97"/>
        <v>Tie</v>
      </c>
      <c r="Z121" s="5" t="str">
        <f t="shared" si="98"/>
        <v>Flight_8</v>
      </c>
      <c r="AA121" s="1">
        <v>32.0</v>
      </c>
      <c r="AB121" s="1">
        <v>33.0</v>
      </c>
      <c r="AC121" s="1">
        <v>30.0</v>
      </c>
      <c r="AD121" s="1">
        <v>31.0</v>
      </c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5">
      <c r="A125" s="2" t="s">
        <v>272</v>
      </c>
      <c r="B125" s="2" t="s">
        <v>50</v>
      </c>
      <c r="C125" s="2" t="s">
        <v>300</v>
      </c>
      <c r="D125" s="2" t="s">
        <v>301</v>
      </c>
      <c r="E125" s="2" t="s">
        <v>302</v>
      </c>
      <c r="F125" s="2" t="s">
        <v>303</v>
      </c>
      <c r="G125" s="2" t="s">
        <v>304</v>
      </c>
      <c r="H125" s="2" t="s">
        <v>305</v>
      </c>
      <c r="I125" s="2" t="s">
        <v>306</v>
      </c>
      <c r="J125" s="2" t="s">
        <v>2</v>
      </c>
      <c r="K125" s="2" t="s">
        <v>307</v>
      </c>
      <c r="L125" s="2" t="s">
        <v>308</v>
      </c>
    </row>
    <row r="126">
      <c r="A126" s="1" t="s">
        <v>8</v>
      </c>
      <c r="B126" s="1">
        <v>10.0</v>
      </c>
      <c r="C126" s="5">
        <f>SUMIFS(Back9_Scores!$C:$C, Back9_Scores!$A:$A, $A126, Back9_Scores!$B:$B, $B126)</f>
        <v>4</v>
      </c>
      <c r="D126" s="5">
        <f t="array" ref="D126">LET(
    flight_id, $A126,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$B126,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26" s="5">
        <f t="shared" ref="E126:E134" si="99">IF($C126=0,"",$C126-D126)</f>
        <v>4</v>
      </c>
      <c r="F126" s="5">
        <f>SUMIFS(Back9_Scores!$D:$D, Back9_Scores!$A:$A, $A126, Back9_Scores!$B:$B, $B126)</f>
        <v>5</v>
      </c>
      <c r="G126" s="5">
        <f t="array" ref="G126">LET(
    flight_id, $A126,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$B126,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26" s="5">
        <f t="shared" ref="H126:H134" si="100">IF($F126=0,"",$F126-G126)</f>
        <v>4</v>
      </c>
      <c r="I126" s="5" t="str">
        <f t="shared" ref="I126:I134" si="101">IF(COUNT(E126, H126) &lt; 2, "", IF(E126 &lt; H126, "Red", IF(H126 &lt; E126, "Blue", "Tie")))</f>
        <v>Tie</v>
      </c>
      <c r="J126" s="5" t="str">
        <f t="shared" ref="J126:J134" si="102">A126</f>
        <v>Flight_1</v>
      </c>
      <c r="K126" s="1">
        <v>2.0</v>
      </c>
      <c r="L126" s="1">
        <v>3.0</v>
      </c>
    </row>
    <row r="127">
      <c r="A127" s="1" t="s">
        <v>8</v>
      </c>
      <c r="B127" s="1">
        <v>11.0</v>
      </c>
      <c r="C127" s="5">
        <f>SUMIFS(Back9_Scores!$C:$C, Back9_Scores!$A:$A, $A127, Back9_Scores!$B:$B, $B127)</f>
        <v>4</v>
      </c>
      <c r="D127" s="5">
        <f t="array" ref="D127">LET(
    flight_id, $A127,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$B127,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27" s="5">
        <f t="shared" si="99"/>
        <v>3</v>
      </c>
      <c r="F127" s="5">
        <f>SUMIFS(Back9_Scores!$D:$D, Back9_Scores!$A:$A, $A127, Back9_Scores!$B:$B, $B127)</f>
        <v>5</v>
      </c>
      <c r="G127" s="5">
        <f t="array" ref="G127">LET(
    flight_id, $A127,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$B127,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27" s="5">
        <f t="shared" si="100"/>
        <v>4</v>
      </c>
      <c r="I127" s="5" t="str">
        <f t="shared" si="101"/>
        <v>Red</v>
      </c>
      <c r="J127" s="5" t="str">
        <f t="shared" si="102"/>
        <v>Flight_1</v>
      </c>
      <c r="K127" s="1">
        <v>2.0</v>
      </c>
      <c r="L127" s="1">
        <v>3.0</v>
      </c>
    </row>
    <row r="128">
      <c r="A128" s="1" t="s">
        <v>8</v>
      </c>
      <c r="B128" s="1">
        <v>12.0</v>
      </c>
      <c r="C128" s="5">
        <f>SUMIFS(Back9_Scores!$C:$C, Back9_Scores!$A:$A, $A128, Back9_Scores!$B:$B, $B128)</f>
        <v>2</v>
      </c>
      <c r="D128" s="5">
        <f t="array" ref="D128">LET(
    flight_id, $A128,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$B128,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28" s="5">
        <f t="shared" si="99"/>
        <v>1</v>
      </c>
      <c r="F128" s="5">
        <f>SUMIFS(Back9_Scores!$D:$D, Back9_Scores!$A:$A, $A128, Back9_Scores!$B:$B, $B128)</f>
        <v>3</v>
      </c>
      <c r="G128" s="5">
        <f t="array" ref="G128">LET(
    flight_id, $A128,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$B128,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28" s="5">
        <f t="shared" si="100"/>
        <v>2</v>
      </c>
      <c r="I128" s="5" t="str">
        <f t="shared" si="101"/>
        <v>Red</v>
      </c>
      <c r="J128" s="5" t="str">
        <f t="shared" si="102"/>
        <v>Flight_1</v>
      </c>
      <c r="K128" s="1">
        <v>2.0</v>
      </c>
      <c r="L128" s="1">
        <v>3.0</v>
      </c>
    </row>
    <row r="129">
      <c r="A129" s="1" t="s">
        <v>8</v>
      </c>
      <c r="B129" s="1">
        <v>13.0</v>
      </c>
      <c r="C129" s="5">
        <f>SUMIFS(Back9_Scores!$C:$C, Back9_Scores!$A:$A, $A129, Back9_Scores!$B:$B, $B129)</f>
        <v>4</v>
      </c>
      <c r="D129" s="5">
        <f t="array" ref="D129">LET(
    flight_id, $A129,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$B129,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29" s="5">
        <f t="shared" si="99"/>
        <v>3</v>
      </c>
      <c r="F129" s="5">
        <f>SUMIFS(Back9_Scores!$D:$D, Back9_Scores!$A:$A, $A129, Back9_Scores!$B:$B, $B129)</f>
        <v>4</v>
      </c>
      <c r="G129" s="5">
        <f t="array" ref="G129">LET(
    flight_id, $A129,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$B129,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29" s="5">
        <f t="shared" si="100"/>
        <v>3</v>
      </c>
      <c r="I129" s="5" t="str">
        <f t="shared" si="101"/>
        <v>Tie</v>
      </c>
      <c r="J129" s="5" t="str">
        <f t="shared" si="102"/>
        <v>Flight_1</v>
      </c>
      <c r="K129" s="1">
        <v>2.0</v>
      </c>
      <c r="L129" s="1">
        <v>3.0</v>
      </c>
    </row>
    <row r="130">
      <c r="A130" s="1" t="s">
        <v>8</v>
      </c>
      <c r="B130" s="1">
        <v>14.0</v>
      </c>
      <c r="C130" s="5">
        <f>SUMIFS(Back9_Scores!$C:$C, Back9_Scores!$A:$A, $A130, Back9_Scores!$B:$B, $B130)</f>
        <v>4</v>
      </c>
      <c r="D130" s="5">
        <f t="array" ref="D130">LET(
    flight_id, $A130,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30" s="5">
        <f t="shared" si="99"/>
        <v>4</v>
      </c>
      <c r="F130" s="5">
        <f>SUMIFS(Back9_Scores!$D:$D, Back9_Scores!$A:$A, $A130, Back9_Scores!$B:$B, $B130)</f>
        <v>4</v>
      </c>
      <c r="G130" s="5">
        <f t="array" ref="G130">LET(
    flight_id, $A130,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30" s="5">
        <f t="shared" si="100"/>
        <v>4</v>
      </c>
      <c r="I130" s="5" t="str">
        <f t="shared" si="101"/>
        <v>Tie</v>
      </c>
      <c r="J130" s="5" t="str">
        <f t="shared" si="102"/>
        <v>Flight_1</v>
      </c>
      <c r="K130" s="1">
        <v>2.0</v>
      </c>
      <c r="L130" s="1">
        <v>3.0</v>
      </c>
    </row>
    <row r="131">
      <c r="A131" s="1" t="s">
        <v>8</v>
      </c>
      <c r="B131" s="1">
        <v>15.0</v>
      </c>
      <c r="C131" s="5">
        <f>SUMIFS(Back9_Scores!$C:$C, Back9_Scores!$A:$A, $A131, Back9_Scores!$B:$B, $B131)</f>
        <v>3</v>
      </c>
      <c r="D131" s="5">
        <f t="array" ref="D131">LET(
    flight_id, $A131,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31" s="5">
        <f t="shared" si="99"/>
        <v>3</v>
      </c>
      <c r="F131" s="5">
        <f>SUMIFS(Back9_Scores!$D:$D, Back9_Scores!$A:$A, $A131, Back9_Scores!$B:$B, $B131)</f>
        <v>3</v>
      </c>
      <c r="G131" s="5">
        <f t="array" ref="G131">LET(
    flight_id, $A131,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31" s="5">
        <f t="shared" si="100"/>
        <v>3</v>
      </c>
      <c r="I131" s="5" t="str">
        <f t="shared" si="101"/>
        <v>Tie</v>
      </c>
      <c r="J131" s="5" t="str">
        <f t="shared" si="102"/>
        <v>Flight_1</v>
      </c>
      <c r="K131" s="1">
        <v>2.0</v>
      </c>
      <c r="L131" s="1">
        <v>3.0</v>
      </c>
    </row>
    <row r="132">
      <c r="A132" s="1" t="s">
        <v>8</v>
      </c>
      <c r="B132" s="1">
        <v>16.0</v>
      </c>
      <c r="C132" s="5">
        <f>SUMIFS(Back9_Scores!$C:$C, Back9_Scores!$A:$A, $A132, Back9_Scores!$B:$B, $B132)</f>
        <v>4</v>
      </c>
      <c r="D132" s="5">
        <f t="array" ref="D132">LET(
    flight_id, $A132,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32" s="5">
        <f t="shared" si="99"/>
        <v>4</v>
      </c>
      <c r="F132" s="5">
        <f>SUMIFS(Back9_Scores!$D:$D, Back9_Scores!$A:$A, $A132, Back9_Scores!$B:$B, $B132)</f>
        <v>5</v>
      </c>
      <c r="G132" s="5">
        <f t="array" ref="G132">LET(
    flight_id, $A132,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32" s="5">
        <f t="shared" si="100"/>
        <v>5</v>
      </c>
      <c r="I132" s="5" t="str">
        <f t="shared" si="101"/>
        <v>Red</v>
      </c>
      <c r="J132" s="5" t="str">
        <f t="shared" si="102"/>
        <v>Flight_1</v>
      </c>
      <c r="K132" s="1">
        <v>2.0</v>
      </c>
      <c r="L132" s="1">
        <v>3.0</v>
      </c>
    </row>
    <row r="133">
      <c r="A133" s="1" t="s">
        <v>8</v>
      </c>
      <c r="B133" s="1">
        <v>17.0</v>
      </c>
      <c r="C133" s="5">
        <f>SUMIFS(Back9_Scores!$C:$C, Back9_Scores!$A:$A, $A133, Back9_Scores!$B:$B, $B133)</f>
        <v>5</v>
      </c>
      <c r="D133" s="5">
        <f t="array" ref="D133">LET(
    flight_id, $A133,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33" s="5">
        <f t="shared" si="99"/>
        <v>5</v>
      </c>
      <c r="F133" s="5">
        <f>SUMIFS(Back9_Scores!$D:$D, Back9_Scores!$A:$A, $A133, Back9_Scores!$B:$B, $B133)</f>
        <v>5</v>
      </c>
      <c r="G133" s="5">
        <f t="array" ref="G133">LET(
    flight_id, $A133,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33" s="5">
        <f t="shared" si="100"/>
        <v>4</v>
      </c>
      <c r="I133" s="5" t="str">
        <f t="shared" si="101"/>
        <v>Blue</v>
      </c>
      <c r="J133" s="5" t="str">
        <f t="shared" si="102"/>
        <v>Flight_1</v>
      </c>
      <c r="K133" s="1">
        <v>2.0</v>
      </c>
      <c r="L133" s="1">
        <v>3.0</v>
      </c>
    </row>
    <row r="134">
      <c r="A134" s="1" t="s">
        <v>8</v>
      </c>
      <c r="B134" s="1">
        <v>18.0</v>
      </c>
      <c r="C134" s="5">
        <f>SUMIFS(Back9_Scores!$C:$C, Back9_Scores!$A:$A, $A134, Back9_Scores!$B:$B, $B134)</f>
        <v>5</v>
      </c>
      <c r="D134" s="5">
        <f t="array" ref="D134">LET(
    flight_id, $A134,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34" s="5">
        <f t="shared" si="99"/>
        <v>5</v>
      </c>
      <c r="F134" s="5">
        <f>SUMIFS(Back9_Scores!$D:$D, Back9_Scores!$A:$A, $A134, Back9_Scores!$B:$B, $B134)</f>
        <v>7</v>
      </c>
      <c r="G134" s="5">
        <f t="array" ref="G134">LET(
    flight_id, $A134,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34" s="5">
        <f t="shared" si="100"/>
        <v>7</v>
      </c>
      <c r="I134" s="5" t="str">
        <f t="shared" si="101"/>
        <v>Red</v>
      </c>
      <c r="J134" s="5" t="str">
        <f t="shared" si="102"/>
        <v>Flight_1</v>
      </c>
      <c r="K134" s="1">
        <v>2.0</v>
      </c>
      <c r="L134" s="1">
        <v>3.0</v>
      </c>
    </row>
    <row r="136">
      <c r="A136" s="2" t="s">
        <v>272</v>
      </c>
      <c r="B136" s="2" t="s">
        <v>50</v>
      </c>
      <c r="C136" s="2" t="s">
        <v>300</v>
      </c>
      <c r="D136" s="2" t="s">
        <v>301</v>
      </c>
      <c r="E136" s="2" t="s">
        <v>302</v>
      </c>
      <c r="F136" s="2" t="s">
        <v>303</v>
      </c>
      <c r="G136" s="2" t="s">
        <v>304</v>
      </c>
      <c r="H136" s="2" t="s">
        <v>305</v>
      </c>
      <c r="I136" s="2" t="s">
        <v>306</v>
      </c>
      <c r="J136" s="2" t="s">
        <v>2</v>
      </c>
      <c r="K136" s="2" t="s">
        <v>307</v>
      </c>
      <c r="L136" s="2" t="s">
        <v>308</v>
      </c>
    </row>
    <row r="137">
      <c r="A137" s="1" t="s">
        <v>16</v>
      </c>
      <c r="B137" s="1">
        <v>10.0</v>
      </c>
      <c r="C137" s="5">
        <f>SUMIFS(Back9_Scores!$C:$C, Back9_Scores!$A:$A, $A137, Back9_Scores!$B:$B, $B137)</f>
        <v>5</v>
      </c>
      <c r="D137" s="5">
        <f t="array" ref="D137">LET(
    flight_id, $A137,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37" s="5">
        <f t="shared" ref="E137:E145" si="103">IF($C137=0,"",$C137-D137)</f>
        <v>5</v>
      </c>
      <c r="F137" s="5">
        <f>SUMIFS(Back9_Scores!$D:$D, Back9_Scores!$A:$A, $A137, Back9_Scores!$B:$B, $B137)</f>
        <v>5</v>
      </c>
      <c r="G137" s="5">
        <f t="array" ref="G137">LET(
    flight_id, $A137,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37" s="5">
        <f t="shared" ref="H137:H145" si="104">IF($F137=0,"",$F137-G137)</f>
        <v>5</v>
      </c>
      <c r="I137" s="5" t="str">
        <f t="shared" ref="I137:I145" si="105">IF(COUNT(E137, H137) &lt; 2, "", IF(E137 &lt; H137, "Red", IF(H137 &lt; E137, "Blue", "Tie")))</f>
        <v>Tie</v>
      </c>
      <c r="J137" s="5" t="str">
        <f t="shared" ref="J137:J145" si="106">A137</f>
        <v>Flight_2</v>
      </c>
      <c r="K137" s="1">
        <v>4.0</v>
      </c>
      <c r="L137" s="1">
        <v>5.0</v>
      </c>
    </row>
    <row r="138">
      <c r="A138" s="1" t="s">
        <v>16</v>
      </c>
      <c r="B138" s="1">
        <v>11.0</v>
      </c>
      <c r="C138" s="5">
        <f>SUMIFS(Back9_Scores!$C:$C, Back9_Scores!$A:$A, $A138, Back9_Scores!$B:$B, $B138)</f>
        <v>4</v>
      </c>
      <c r="D138" s="5">
        <f t="array" ref="D138">LET(
    flight_id, $A138,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38" s="5">
        <f t="shared" si="103"/>
        <v>3</v>
      </c>
      <c r="F138" s="5">
        <f>SUMIFS(Back9_Scores!$D:$D, Back9_Scores!$A:$A, $A138, Back9_Scores!$B:$B, $B138)</f>
        <v>4</v>
      </c>
      <c r="G138" s="5">
        <f t="array" ref="G138">LET(
    flight_id, $A138,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38" s="5">
        <f t="shared" si="104"/>
        <v>3</v>
      </c>
      <c r="I138" s="5" t="str">
        <f t="shared" si="105"/>
        <v>Tie</v>
      </c>
      <c r="J138" s="5" t="str">
        <f t="shared" si="106"/>
        <v>Flight_2</v>
      </c>
      <c r="K138" s="1">
        <v>4.0</v>
      </c>
      <c r="L138" s="1">
        <v>5.0</v>
      </c>
    </row>
    <row r="139">
      <c r="A139" s="1" t="s">
        <v>16</v>
      </c>
      <c r="B139" s="1">
        <v>12.0</v>
      </c>
      <c r="C139" s="5">
        <f>SUMIFS(Back9_Scores!$C:$C, Back9_Scores!$A:$A, $A139, Back9_Scores!$B:$B, $B139)</f>
        <v>4</v>
      </c>
      <c r="D139" s="5">
        <f t="array" ref="D139">LET(
    flight_id, $A139,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$B139,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39" s="5">
        <f t="shared" si="103"/>
        <v>3</v>
      </c>
      <c r="F139" s="5">
        <f>SUMIFS(Back9_Scores!$D:$D, Back9_Scores!$A:$A, $A139, Back9_Scores!$B:$B, $B139)</f>
        <v>3</v>
      </c>
      <c r="G139" s="5">
        <f t="array" ref="G139">LET(
    flight_id, $A139,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$B139,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39" s="5">
        <f t="shared" si="104"/>
        <v>2</v>
      </c>
      <c r="I139" s="5" t="str">
        <f t="shared" si="105"/>
        <v>Blue</v>
      </c>
      <c r="J139" s="5" t="str">
        <f t="shared" si="106"/>
        <v>Flight_2</v>
      </c>
      <c r="K139" s="1">
        <v>4.0</v>
      </c>
      <c r="L139" s="1">
        <v>5.0</v>
      </c>
    </row>
    <row r="140">
      <c r="A140" s="1" t="s">
        <v>16</v>
      </c>
      <c r="B140" s="1">
        <v>13.0</v>
      </c>
      <c r="C140" s="5">
        <f>SUMIFS(Back9_Scores!$C:$C, Back9_Scores!$A:$A, $A140, Back9_Scores!$B:$B, $B140)</f>
        <v>4</v>
      </c>
      <c r="D140" s="5">
        <f t="array" ref="D140">LET(
    flight_id, $A140,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40" s="5">
        <f t="shared" si="103"/>
        <v>4</v>
      </c>
      <c r="F140" s="5">
        <f>SUMIFS(Back9_Scores!$D:$D, Back9_Scores!$A:$A, $A140, Back9_Scores!$B:$B, $B140)</f>
        <v>4</v>
      </c>
      <c r="G140" s="5">
        <f t="array" ref="G140">LET(
    flight_id, $A140,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40" s="5">
        <f t="shared" si="104"/>
        <v>3</v>
      </c>
      <c r="I140" s="5" t="str">
        <f t="shared" si="105"/>
        <v>Blue</v>
      </c>
      <c r="J140" s="5" t="str">
        <f t="shared" si="106"/>
        <v>Flight_2</v>
      </c>
      <c r="K140" s="1">
        <v>4.0</v>
      </c>
      <c r="L140" s="1">
        <v>5.0</v>
      </c>
    </row>
    <row r="141">
      <c r="A141" s="1" t="s">
        <v>16</v>
      </c>
      <c r="B141" s="1">
        <v>14.0</v>
      </c>
      <c r="C141" s="5">
        <f>SUMIFS(Back9_Scores!$C:$C, Back9_Scores!$A:$A, $A141, Back9_Scores!$B:$B, $B141)</f>
        <v>4</v>
      </c>
      <c r="D141" s="5">
        <f t="array" ref="D141">LET(
    flight_id, $A141,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41" s="5">
        <f t="shared" si="103"/>
        <v>4</v>
      </c>
      <c r="F141" s="5">
        <f>SUMIFS(Back9_Scores!$D:$D, Back9_Scores!$A:$A, $A141, Back9_Scores!$B:$B, $B141)</f>
        <v>5</v>
      </c>
      <c r="G141" s="5">
        <f t="array" ref="G141">LET(
    flight_id, $A141,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41" s="5">
        <f t="shared" si="104"/>
        <v>5</v>
      </c>
      <c r="I141" s="5" t="str">
        <f t="shared" si="105"/>
        <v>Red</v>
      </c>
      <c r="J141" s="5" t="str">
        <f t="shared" si="106"/>
        <v>Flight_2</v>
      </c>
      <c r="K141" s="1">
        <v>4.0</v>
      </c>
      <c r="L141" s="1">
        <v>5.0</v>
      </c>
    </row>
    <row r="142">
      <c r="A142" s="1" t="s">
        <v>16</v>
      </c>
      <c r="B142" s="1">
        <v>15.0</v>
      </c>
      <c r="C142" s="5">
        <f>SUMIFS(Back9_Scores!$C:$C, Back9_Scores!$A:$A, $A142, Back9_Scores!$B:$B, $B142)</f>
        <v>3</v>
      </c>
      <c r="D142" s="5">
        <f t="array" ref="D142">LET(
    flight_id, $A142,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42" s="5">
        <f t="shared" si="103"/>
        <v>3</v>
      </c>
      <c r="F142" s="5">
        <f>SUMIFS(Back9_Scores!$D:$D, Back9_Scores!$A:$A, $A142, Back9_Scores!$B:$B, $B142)</f>
        <v>3</v>
      </c>
      <c r="G142" s="5">
        <f t="array" ref="G142">LET(
    flight_id, $A142,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42" s="5">
        <f t="shared" si="104"/>
        <v>3</v>
      </c>
      <c r="I142" s="5" t="str">
        <f t="shared" si="105"/>
        <v>Tie</v>
      </c>
      <c r="J142" s="5" t="str">
        <f t="shared" si="106"/>
        <v>Flight_2</v>
      </c>
      <c r="K142" s="1">
        <v>4.0</v>
      </c>
      <c r="L142" s="1">
        <v>5.0</v>
      </c>
    </row>
    <row r="143">
      <c r="A143" s="1" t="s">
        <v>16</v>
      </c>
      <c r="B143" s="1">
        <v>16.0</v>
      </c>
      <c r="C143" s="5">
        <f>SUMIFS(Back9_Scores!$C:$C, Back9_Scores!$A:$A, $A143, Back9_Scores!$B:$B, $B143)</f>
        <v>4</v>
      </c>
      <c r="D143" s="5">
        <f t="array" ref="D143">LET(
    flight_id, $A143,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43" s="5">
        <f t="shared" si="103"/>
        <v>4</v>
      </c>
      <c r="F143" s="5">
        <f>SUMIFS(Back9_Scores!$D:$D, Back9_Scores!$A:$A, $A143, Back9_Scores!$B:$B, $B143)</f>
        <v>4</v>
      </c>
      <c r="G143" s="5">
        <f t="array" ref="G143">LET(
    flight_id, $A143,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43" s="5">
        <f t="shared" si="104"/>
        <v>4</v>
      </c>
      <c r="I143" s="5" t="str">
        <f t="shared" si="105"/>
        <v>Tie</v>
      </c>
      <c r="J143" s="5" t="str">
        <f t="shared" si="106"/>
        <v>Flight_2</v>
      </c>
      <c r="K143" s="1">
        <v>4.0</v>
      </c>
      <c r="L143" s="1">
        <v>5.0</v>
      </c>
    </row>
    <row r="144">
      <c r="A144" s="1" t="s">
        <v>16</v>
      </c>
      <c r="B144" s="1">
        <v>17.0</v>
      </c>
      <c r="C144" s="5">
        <f>SUMIFS(Back9_Scores!$C:$C, Back9_Scores!$A:$A, $A144, Back9_Scores!$B:$B, $B144)</f>
        <v>5</v>
      </c>
      <c r="D144" s="5">
        <f t="array" ref="D144">LET(
    flight_id, $A144,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44" s="5">
        <f t="shared" si="103"/>
        <v>5</v>
      </c>
      <c r="F144" s="5">
        <f>SUMIFS(Back9_Scores!$D:$D, Back9_Scores!$A:$A, $A144, Back9_Scores!$B:$B, $B144)</f>
        <v>4</v>
      </c>
      <c r="G144" s="5">
        <f t="array" ref="G144">LET(
    flight_id, $A144,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44" s="5">
        <f t="shared" si="104"/>
        <v>3</v>
      </c>
      <c r="I144" s="5" t="str">
        <f t="shared" si="105"/>
        <v>Blue</v>
      </c>
      <c r="J144" s="5" t="str">
        <f t="shared" si="106"/>
        <v>Flight_2</v>
      </c>
      <c r="K144" s="1">
        <v>4.0</v>
      </c>
      <c r="L144" s="1">
        <v>5.0</v>
      </c>
    </row>
    <row r="145">
      <c r="A145" s="1" t="s">
        <v>16</v>
      </c>
      <c r="B145" s="1">
        <v>18.0</v>
      </c>
      <c r="C145" s="5">
        <f>SUMIFS(Back9_Scores!$C:$C, Back9_Scores!$A:$A, $A145, Back9_Scores!$B:$B, $B145)</f>
        <v>0</v>
      </c>
      <c r="D145" s="5">
        <f t="array" ref="D145">LET(
    flight_id, $A145,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45" s="5" t="str">
        <f t="shared" si="103"/>
        <v/>
      </c>
      <c r="F145" s="5">
        <f>SUMIFS(Back9_Scores!$D:$D, Back9_Scores!$A:$A, $A145, Back9_Scores!$B:$B, $B145)</f>
        <v>0</v>
      </c>
      <c r="G145" s="5">
        <f t="array" ref="G145">LET(
    flight_id, $A145,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45" s="5" t="str">
        <f t="shared" si="104"/>
        <v/>
      </c>
      <c r="I145" s="5" t="str">
        <f t="shared" si="105"/>
        <v/>
      </c>
      <c r="J145" s="5" t="str">
        <f t="shared" si="106"/>
        <v>Flight_2</v>
      </c>
      <c r="K145" s="1">
        <v>4.0</v>
      </c>
      <c r="L145" s="1">
        <v>5.0</v>
      </c>
    </row>
    <row r="147">
      <c r="A147" s="5" t="s">
        <v>272</v>
      </c>
      <c r="B147" s="5" t="s">
        <v>50</v>
      </c>
      <c r="C147" s="5" t="s">
        <v>300</v>
      </c>
      <c r="D147" s="5" t="s">
        <v>301</v>
      </c>
      <c r="E147" s="5" t="s">
        <v>302</v>
      </c>
      <c r="F147" s="5" t="s">
        <v>303</v>
      </c>
      <c r="G147" s="5" t="s">
        <v>304</v>
      </c>
      <c r="H147" s="5" t="s">
        <v>305</v>
      </c>
      <c r="I147" s="5" t="s">
        <v>306</v>
      </c>
      <c r="J147" s="5" t="s">
        <v>2</v>
      </c>
      <c r="K147" s="5" t="s">
        <v>307</v>
      </c>
      <c r="L147" s="5" t="s">
        <v>308</v>
      </c>
    </row>
    <row r="148">
      <c r="A148" s="1" t="s">
        <v>21</v>
      </c>
      <c r="B148" s="5">
        <v>10.0</v>
      </c>
      <c r="C148" s="5">
        <f>SUMIFS(Back9_Scores!$C:$C, Back9_Scores!$A:$A, $A148, Back9_Scores!$B:$B, $B148)</f>
        <v>5</v>
      </c>
      <c r="D148" s="5">
        <f t="array" ref="D148">LET(
    flight_id, $A148,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48" s="5">
        <f t="shared" ref="E148:E156" si="107">IF($C148=0,"",$C148-D148)</f>
        <v>5</v>
      </c>
      <c r="F148" s="5">
        <f>SUMIFS(Back9_Scores!$D:$D, Back9_Scores!$A:$A, $A148, Back9_Scores!$B:$B, $B148)</f>
        <v>5</v>
      </c>
      <c r="G148" s="5">
        <f t="array" ref="G148">LET(
    flight_id, $A148,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48" s="5">
        <f t="shared" ref="H148:H156" si="108">IF($F148=0,"",$F148-G148)</f>
        <v>5</v>
      </c>
      <c r="I148" s="5" t="str">
        <f t="shared" ref="I148:I156" si="109">IF(COUNT(E148, H148) &lt; 2, "", IF(E148 &lt; H148, "Red", IF(H148 &lt; E148, "Blue", "Tie")))</f>
        <v>Tie</v>
      </c>
      <c r="J148" s="5" t="str">
        <f t="shared" ref="J148:J156" si="110">A148</f>
        <v>Flight_3</v>
      </c>
      <c r="K148" s="1">
        <v>6.0</v>
      </c>
      <c r="L148" s="1">
        <v>7.0</v>
      </c>
    </row>
    <row r="149">
      <c r="A149" s="1" t="s">
        <v>21</v>
      </c>
      <c r="B149" s="5">
        <v>11.0</v>
      </c>
      <c r="C149" s="5">
        <f>SUMIFS(Back9_Scores!$C:$C, Back9_Scores!$A:$A, $A149, Back9_Scores!$B:$B, $B149)</f>
        <v>5</v>
      </c>
      <c r="D149" s="5">
        <f t="array" ref="D149">LET(
    flight_id, $A149,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$B149,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49" s="5">
        <f t="shared" si="107"/>
        <v>4</v>
      </c>
      <c r="F149" s="5">
        <f>SUMIFS(Back9_Scores!$D:$D, Back9_Scores!$A:$A, $A149, Back9_Scores!$B:$B, $B149)</f>
        <v>4</v>
      </c>
      <c r="G149" s="5">
        <f t="array" ref="G149">LET(
    flight_id, $A149,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$B149,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49" s="5">
        <f t="shared" si="108"/>
        <v>3</v>
      </c>
      <c r="I149" s="5" t="str">
        <f t="shared" si="109"/>
        <v>Blue</v>
      </c>
      <c r="J149" s="5" t="str">
        <f t="shared" si="110"/>
        <v>Flight_3</v>
      </c>
      <c r="K149" s="1">
        <v>6.0</v>
      </c>
      <c r="L149" s="1">
        <v>7.0</v>
      </c>
    </row>
    <row r="150">
      <c r="A150" s="1" t="s">
        <v>21</v>
      </c>
      <c r="B150" s="5">
        <v>12.0</v>
      </c>
      <c r="C150" s="5">
        <f>SUMIFS(Back9_Scores!$C:$C, Back9_Scores!$A:$A, $A150, Back9_Scores!$B:$B, $B150)</f>
        <v>3</v>
      </c>
      <c r="D150" s="5">
        <f t="array" ref="D150">LET(
    flight_id, $A150,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50" s="5">
        <f t="shared" si="107"/>
        <v>2</v>
      </c>
      <c r="F150" s="5">
        <f>SUMIFS(Back9_Scores!$D:$D, Back9_Scores!$A:$A, $A150, Back9_Scores!$B:$B, $B150)</f>
        <v>3</v>
      </c>
      <c r="G150" s="5">
        <f t="array" ref="G150">LET(
    flight_id, $A150,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50" s="5">
        <f t="shared" si="108"/>
        <v>2</v>
      </c>
      <c r="I150" s="5" t="str">
        <f t="shared" si="109"/>
        <v>Tie</v>
      </c>
      <c r="J150" s="5" t="str">
        <f t="shared" si="110"/>
        <v>Flight_3</v>
      </c>
      <c r="K150" s="1">
        <v>6.0</v>
      </c>
      <c r="L150" s="1">
        <v>7.0</v>
      </c>
    </row>
    <row r="151">
      <c r="A151" s="1" t="s">
        <v>21</v>
      </c>
      <c r="B151" s="5">
        <v>13.0</v>
      </c>
      <c r="C151" s="5">
        <f>SUMIFS(Back9_Scores!$C:$C, Back9_Scores!$A:$A, $A151, Back9_Scores!$B:$B, $B151)</f>
        <v>4</v>
      </c>
      <c r="D151" s="5">
        <f t="array" ref="D151">LET(
    flight_id, $A151,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51" s="5">
        <f t="shared" si="107"/>
        <v>3</v>
      </c>
      <c r="F151" s="5">
        <f>SUMIFS(Back9_Scores!$D:$D, Back9_Scores!$A:$A, $A151, Back9_Scores!$B:$B, $B151)</f>
        <v>3</v>
      </c>
      <c r="G151" s="5">
        <f t="array" ref="G151">LET(
    flight_id, $A151,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51" s="5">
        <f t="shared" si="108"/>
        <v>2</v>
      </c>
      <c r="I151" s="5" t="str">
        <f t="shared" si="109"/>
        <v>Blue</v>
      </c>
      <c r="J151" s="5" t="str">
        <f t="shared" si="110"/>
        <v>Flight_3</v>
      </c>
      <c r="K151" s="1">
        <v>6.0</v>
      </c>
      <c r="L151" s="1">
        <v>7.0</v>
      </c>
    </row>
    <row r="152">
      <c r="A152" s="1" t="s">
        <v>21</v>
      </c>
      <c r="B152" s="5">
        <v>14.0</v>
      </c>
      <c r="C152" s="5">
        <f>SUMIFS(Back9_Scores!$C:$C, Back9_Scores!$A:$A, $A152, Back9_Scores!$B:$B, $B152)</f>
        <v>4</v>
      </c>
      <c r="D152" s="5">
        <f t="array" ref="D152">LET(
    flight_id, $A152,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52" s="5">
        <f t="shared" si="107"/>
        <v>4</v>
      </c>
      <c r="F152" s="5">
        <f>SUMIFS(Back9_Scores!$D:$D, Back9_Scores!$A:$A, $A152, Back9_Scores!$B:$B, $B152)</f>
        <v>4</v>
      </c>
      <c r="G152" s="5">
        <f t="array" ref="G152">LET(
    flight_id, $A152,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52" s="5">
        <f t="shared" si="108"/>
        <v>4</v>
      </c>
      <c r="I152" s="5" t="str">
        <f t="shared" si="109"/>
        <v>Tie</v>
      </c>
      <c r="J152" s="5" t="str">
        <f t="shared" si="110"/>
        <v>Flight_3</v>
      </c>
      <c r="K152" s="1">
        <v>6.0</v>
      </c>
      <c r="L152" s="1">
        <v>7.0</v>
      </c>
    </row>
    <row r="153">
      <c r="A153" s="1" t="s">
        <v>21</v>
      </c>
      <c r="B153" s="5">
        <v>15.0</v>
      </c>
      <c r="C153" s="5">
        <f>SUMIFS(Back9_Scores!$C:$C, Back9_Scores!$A:$A, $A153, Back9_Scores!$B:$B, $B153)</f>
        <v>4</v>
      </c>
      <c r="D153" s="5">
        <f t="array" ref="D153">LET(
    flight_id, $A153,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53" s="5">
        <f t="shared" si="107"/>
        <v>4</v>
      </c>
      <c r="F153" s="5">
        <f>SUMIFS(Back9_Scores!$D:$D, Back9_Scores!$A:$A, $A153, Back9_Scores!$B:$B, $B153)</f>
        <v>3</v>
      </c>
      <c r="G153" s="5">
        <f t="array" ref="G153">LET(
    flight_id, $A153,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53" s="5">
        <f t="shared" si="108"/>
        <v>3</v>
      </c>
      <c r="I153" s="5" t="str">
        <f t="shared" si="109"/>
        <v>Blue</v>
      </c>
      <c r="J153" s="5" t="str">
        <f t="shared" si="110"/>
        <v>Flight_3</v>
      </c>
      <c r="K153" s="1">
        <v>6.0</v>
      </c>
      <c r="L153" s="1">
        <v>7.0</v>
      </c>
    </row>
    <row r="154">
      <c r="A154" s="1" t="s">
        <v>21</v>
      </c>
      <c r="B154" s="5">
        <v>16.0</v>
      </c>
      <c r="C154" s="5">
        <f>SUMIFS(Back9_Scores!$C:$C, Back9_Scores!$A:$A, $A154, Back9_Scores!$B:$B, $B154)</f>
        <v>4</v>
      </c>
      <c r="D154" s="5">
        <f t="array" ref="D154">LET(
    flight_id, $A154,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54" s="5">
        <f t="shared" si="107"/>
        <v>4</v>
      </c>
      <c r="F154" s="5">
        <f>SUMIFS(Back9_Scores!$D:$D, Back9_Scores!$A:$A, $A154, Back9_Scores!$B:$B, $B154)</f>
        <v>5</v>
      </c>
      <c r="G154" s="5">
        <f t="array" ref="G154">LET(
    flight_id, $A154,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54" s="5">
        <f t="shared" si="108"/>
        <v>5</v>
      </c>
      <c r="I154" s="5" t="str">
        <f t="shared" si="109"/>
        <v>Red</v>
      </c>
      <c r="J154" s="5" t="str">
        <f t="shared" si="110"/>
        <v>Flight_3</v>
      </c>
      <c r="K154" s="1">
        <v>6.0</v>
      </c>
      <c r="L154" s="1">
        <v>7.0</v>
      </c>
    </row>
    <row r="155">
      <c r="A155" s="1" t="s">
        <v>21</v>
      </c>
      <c r="B155" s="5">
        <v>17.0</v>
      </c>
      <c r="C155" s="5">
        <f>SUMIFS(Back9_Scores!$C:$C, Back9_Scores!$A:$A, $A155, Back9_Scores!$B:$B, $B155)</f>
        <v>4</v>
      </c>
      <c r="D155" s="5">
        <f t="array" ref="D155">LET(
    flight_id, $A155,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55" s="5">
        <f t="shared" si="107"/>
        <v>3</v>
      </c>
      <c r="F155" s="5">
        <f>SUMIFS(Back9_Scores!$D:$D, Back9_Scores!$A:$A, $A155, Back9_Scores!$B:$B, $B155)</f>
        <v>4</v>
      </c>
      <c r="G155" s="5">
        <f t="array" ref="G155">LET(
    flight_id, $A155,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55" s="5">
        <f t="shared" si="108"/>
        <v>3</v>
      </c>
      <c r="I155" s="5" t="str">
        <f t="shared" si="109"/>
        <v>Tie</v>
      </c>
      <c r="J155" s="5" t="str">
        <f t="shared" si="110"/>
        <v>Flight_3</v>
      </c>
      <c r="K155" s="1">
        <v>6.0</v>
      </c>
      <c r="L155" s="1">
        <v>7.0</v>
      </c>
    </row>
    <row r="156">
      <c r="A156" s="1" t="s">
        <v>21</v>
      </c>
      <c r="B156" s="5">
        <v>18.0</v>
      </c>
      <c r="C156" s="5">
        <f>SUMIFS(Back9_Scores!$C:$C, Back9_Scores!$A:$A, $A156, Back9_Scores!$B:$B, $B156)</f>
        <v>0</v>
      </c>
      <c r="D156" s="5">
        <f t="array" ref="D156">LET(
    flight_id, $A156,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56" s="5" t="str">
        <f t="shared" si="107"/>
        <v/>
      </c>
      <c r="F156" s="5">
        <f>SUMIFS(Back9_Scores!$D:$D, Back9_Scores!$A:$A, $A156, Back9_Scores!$B:$B, $B156)</f>
        <v>0</v>
      </c>
      <c r="G156" s="5">
        <f t="array" ref="G156">LET(
    flight_id, $A156,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56" s="5" t="str">
        <f t="shared" si="108"/>
        <v/>
      </c>
      <c r="I156" s="5" t="str">
        <f t="shared" si="109"/>
        <v/>
      </c>
      <c r="J156" s="5" t="str">
        <f t="shared" si="110"/>
        <v>Flight_3</v>
      </c>
      <c r="K156" s="1">
        <v>6.0</v>
      </c>
      <c r="L156" s="1">
        <v>7.0</v>
      </c>
    </row>
    <row r="158">
      <c r="A158" s="5" t="s">
        <v>272</v>
      </c>
      <c r="B158" s="5" t="s">
        <v>50</v>
      </c>
      <c r="C158" s="5" t="s">
        <v>300</v>
      </c>
      <c r="D158" s="5" t="s">
        <v>301</v>
      </c>
      <c r="E158" s="5" t="s">
        <v>302</v>
      </c>
      <c r="F158" s="5" t="s">
        <v>303</v>
      </c>
      <c r="G158" s="5" t="s">
        <v>304</v>
      </c>
      <c r="H158" s="5" t="s">
        <v>305</v>
      </c>
      <c r="I158" s="5" t="s">
        <v>306</v>
      </c>
      <c r="J158" s="5" t="s">
        <v>2</v>
      </c>
      <c r="K158" s="5" t="s">
        <v>307</v>
      </c>
      <c r="L158" s="5" t="s">
        <v>308</v>
      </c>
    </row>
    <row r="159">
      <c r="A159" s="1" t="s">
        <v>26</v>
      </c>
      <c r="B159" s="5">
        <v>10.0</v>
      </c>
      <c r="C159" s="5">
        <f>SUMIFS(Back9_Scores!$C:$C, Back9_Scores!$A:$A, $A159, Back9_Scores!$B:$B, $B159)</f>
        <v>5</v>
      </c>
      <c r="D159" s="5">
        <f t="array" ref="D159">LET(
    flight_id, $A159,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$B159,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59" s="5">
        <f t="shared" ref="E159:E167" si="111">IF($C159=0,"",$C159-D159)</f>
        <v>5</v>
      </c>
      <c r="F159" s="5">
        <f>SUMIFS(Back9_Scores!$D:$D, Back9_Scores!$A:$A, $A159, Back9_Scores!$B:$B, $B159)</f>
        <v>6</v>
      </c>
      <c r="G159" s="5">
        <f t="array" ref="G159">LET(
    flight_id, $A159,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$B159,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59" s="5">
        <f t="shared" ref="H159:H167" si="112">IF($F159=0,"",$F159-G159)</f>
        <v>5</v>
      </c>
      <c r="I159" s="5" t="str">
        <f t="shared" ref="I159:I167" si="113">IF(COUNT(E159, H159) &lt; 2, "", IF(E159 &lt; H159, "Red", IF(H159 &lt; E159, "Blue", "Tie")))</f>
        <v>Tie</v>
      </c>
      <c r="J159" s="5" t="str">
        <f t="shared" ref="J159:J167" si="114">A159</f>
        <v>Flight_4</v>
      </c>
      <c r="K159" s="1">
        <v>8.0</v>
      </c>
      <c r="L159" s="1">
        <v>9.0</v>
      </c>
    </row>
    <row r="160">
      <c r="A160" s="1" t="s">
        <v>26</v>
      </c>
      <c r="B160" s="5">
        <v>11.0</v>
      </c>
      <c r="C160" s="5">
        <f>SUMIFS(Back9_Scores!$C:$C, Back9_Scores!$A:$A, $A160, Back9_Scores!$B:$B, $B160)</f>
        <v>5</v>
      </c>
      <c r="D160" s="5">
        <f t="array" ref="D160">LET(
    flight_id, $A160,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60" s="5">
        <f t="shared" si="111"/>
        <v>4</v>
      </c>
      <c r="F160" s="5">
        <f>SUMIFS(Back9_Scores!$D:$D, Back9_Scores!$A:$A, $A160, Back9_Scores!$B:$B, $B160)</f>
        <v>4</v>
      </c>
      <c r="G160" s="5">
        <f t="array" ref="G160">LET(
    flight_id, $A160,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60" s="5">
        <f t="shared" si="112"/>
        <v>3</v>
      </c>
      <c r="I160" s="5" t="str">
        <f t="shared" si="113"/>
        <v>Blue</v>
      </c>
      <c r="J160" s="5" t="str">
        <f t="shared" si="114"/>
        <v>Flight_4</v>
      </c>
      <c r="K160" s="1">
        <v>8.0</v>
      </c>
      <c r="L160" s="1">
        <v>9.0</v>
      </c>
    </row>
    <row r="161">
      <c r="A161" s="1" t="s">
        <v>26</v>
      </c>
      <c r="B161" s="5">
        <v>12.0</v>
      </c>
      <c r="C161" s="5">
        <f>SUMIFS(Back9_Scores!$C:$C, Back9_Scores!$A:$A, $A161, Back9_Scores!$B:$B, $B161)</f>
        <v>3</v>
      </c>
      <c r="D161" s="5">
        <f t="array" ref="D161">LET(
    flight_id, $A161,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61" s="5">
        <f t="shared" si="111"/>
        <v>2</v>
      </c>
      <c r="F161" s="5">
        <f>SUMIFS(Back9_Scores!$D:$D, Back9_Scores!$A:$A, $A161, Back9_Scores!$B:$B, $B161)</f>
        <v>4</v>
      </c>
      <c r="G161" s="5">
        <f t="array" ref="G161">LET(
    flight_id, $A161,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61" s="5">
        <f t="shared" si="112"/>
        <v>3</v>
      </c>
      <c r="I161" s="5" t="str">
        <f t="shared" si="113"/>
        <v>Red</v>
      </c>
      <c r="J161" s="5" t="str">
        <f t="shared" si="114"/>
        <v>Flight_4</v>
      </c>
      <c r="K161" s="1">
        <v>8.0</v>
      </c>
      <c r="L161" s="1">
        <v>9.0</v>
      </c>
    </row>
    <row r="162">
      <c r="A162" s="1" t="s">
        <v>26</v>
      </c>
      <c r="B162" s="5">
        <v>13.0</v>
      </c>
      <c r="C162" s="5">
        <f>SUMIFS(Back9_Scores!$C:$C, Back9_Scores!$A:$A, $A162, Back9_Scores!$B:$B, $B162)</f>
        <v>4</v>
      </c>
      <c r="D162" s="5">
        <f t="array" ref="D162">LET(
    flight_id, $A162,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62" s="5">
        <f t="shared" si="111"/>
        <v>3</v>
      </c>
      <c r="F162" s="5">
        <f>SUMIFS(Back9_Scores!$D:$D, Back9_Scores!$A:$A, $A162, Back9_Scores!$B:$B, $B162)</f>
        <v>4</v>
      </c>
      <c r="G162" s="5">
        <f t="array" ref="G162">LET(
    flight_id, $A162,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62" s="5">
        <f t="shared" si="112"/>
        <v>3</v>
      </c>
      <c r="I162" s="5" t="str">
        <f t="shared" si="113"/>
        <v>Tie</v>
      </c>
      <c r="J162" s="5" t="str">
        <f t="shared" si="114"/>
        <v>Flight_4</v>
      </c>
      <c r="K162" s="1">
        <v>8.0</v>
      </c>
      <c r="L162" s="1">
        <v>9.0</v>
      </c>
    </row>
    <row r="163">
      <c r="A163" s="1" t="s">
        <v>26</v>
      </c>
      <c r="B163" s="5">
        <v>14.0</v>
      </c>
      <c r="C163" s="5">
        <f>SUMIFS(Back9_Scores!$C:$C, Back9_Scores!$A:$A, $A163, Back9_Scores!$B:$B, $B163)</f>
        <v>4</v>
      </c>
      <c r="D163" s="5">
        <f t="array" ref="D163">LET(
    flight_id, $A163,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63" s="5">
        <f t="shared" si="111"/>
        <v>4</v>
      </c>
      <c r="F163" s="5">
        <f>SUMIFS(Back9_Scores!$D:$D, Back9_Scores!$A:$A, $A163, Back9_Scores!$B:$B, $B163)</f>
        <v>4</v>
      </c>
      <c r="G163" s="5">
        <f t="array" ref="G163">LET(
    flight_id, $A163,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63" s="5">
        <f t="shared" si="112"/>
        <v>4</v>
      </c>
      <c r="I163" s="5" t="str">
        <f t="shared" si="113"/>
        <v>Tie</v>
      </c>
      <c r="J163" s="5" t="str">
        <f t="shared" si="114"/>
        <v>Flight_4</v>
      </c>
      <c r="K163" s="1">
        <v>8.0</v>
      </c>
      <c r="L163" s="1">
        <v>9.0</v>
      </c>
    </row>
    <row r="164">
      <c r="A164" s="1" t="s">
        <v>26</v>
      </c>
      <c r="B164" s="5">
        <v>15.0</v>
      </c>
      <c r="C164" s="5">
        <f>SUMIFS(Back9_Scores!$C:$C, Back9_Scores!$A:$A, $A164, Back9_Scores!$B:$B, $B164)</f>
        <v>3</v>
      </c>
      <c r="D164" s="5">
        <f t="array" ref="D164">LET(
    flight_id, $A164,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64" s="5">
        <f t="shared" si="111"/>
        <v>3</v>
      </c>
      <c r="F164" s="5">
        <f>SUMIFS(Back9_Scores!$D:$D, Back9_Scores!$A:$A, $A164, Back9_Scores!$B:$B, $B164)</f>
        <v>3</v>
      </c>
      <c r="G164" s="5">
        <f t="array" ref="G164">LET(
    flight_id, $A164,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64" s="5">
        <f t="shared" si="112"/>
        <v>3</v>
      </c>
      <c r="I164" s="5" t="str">
        <f t="shared" si="113"/>
        <v>Tie</v>
      </c>
      <c r="J164" s="5" t="str">
        <f t="shared" si="114"/>
        <v>Flight_4</v>
      </c>
      <c r="K164" s="1">
        <v>8.0</v>
      </c>
      <c r="L164" s="1">
        <v>9.0</v>
      </c>
    </row>
    <row r="165">
      <c r="A165" s="1" t="s">
        <v>26</v>
      </c>
      <c r="B165" s="5">
        <v>16.0</v>
      </c>
      <c r="C165" s="5">
        <f>SUMIFS(Back9_Scores!$C:$C, Back9_Scores!$A:$A, $A165, Back9_Scores!$B:$B, $B165)</f>
        <v>4</v>
      </c>
      <c r="D165" s="5">
        <f t="array" ref="D165">LET(
    flight_id, $A165,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65" s="5">
        <f t="shared" si="111"/>
        <v>4</v>
      </c>
      <c r="F165" s="5">
        <f>SUMIFS(Back9_Scores!$D:$D, Back9_Scores!$A:$A, $A165, Back9_Scores!$B:$B, $B165)</f>
        <v>4</v>
      </c>
      <c r="G165" s="5">
        <f t="array" ref="G165">LET(
    flight_id, $A165,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65" s="5">
        <f t="shared" si="112"/>
        <v>4</v>
      </c>
      <c r="I165" s="5" t="str">
        <f t="shared" si="113"/>
        <v>Tie</v>
      </c>
      <c r="J165" s="5" t="str">
        <f t="shared" si="114"/>
        <v>Flight_4</v>
      </c>
      <c r="K165" s="1">
        <v>8.0</v>
      </c>
      <c r="L165" s="1">
        <v>9.0</v>
      </c>
    </row>
    <row r="166">
      <c r="A166" s="1" t="s">
        <v>26</v>
      </c>
      <c r="B166" s="5">
        <v>17.0</v>
      </c>
      <c r="C166" s="5">
        <f>SUMIFS(Back9_Scores!$C:$C, Back9_Scores!$A:$A, $A166, Back9_Scores!$B:$B, $B166)</f>
        <v>4</v>
      </c>
      <c r="D166" s="5">
        <f t="array" ref="D166">LET(
    flight_id, $A166,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66" s="5">
        <f t="shared" si="111"/>
        <v>3</v>
      </c>
      <c r="F166" s="5">
        <f>SUMIFS(Back9_Scores!$D:$D, Back9_Scores!$A:$A, $A166, Back9_Scores!$B:$B, $B166)</f>
        <v>4</v>
      </c>
      <c r="G166" s="5">
        <f t="array" ref="G166">LET(
    flight_id, $A166,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66" s="5">
        <f t="shared" si="112"/>
        <v>4</v>
      </c>
      <c r="I166" s="5" t="str">
        <f t="shared" si="113"/>
        <v>Red</v>
      </c>
      <c r="J166" s="5" t="str">
        <f t="shared" si="114"/>
        <v>Flight_4</v>
      </c>
      <c r="K166" s="1">
        <v>8.0</v>
      </c>
      <c r="L166" s="1">
        <v>9.0</v>
      </c>
    </row>
    <row r="167">
      <c r="A167" s="1" t="s">
        <v>26</v>
      </c>
      <c r="B167" s="5">
        <v>18.0</v>
      </c>
      <c r="C167" s="5">
        <f>SUMIFS(Back9_Scores!$C:$C, Back9_Scores!$A:$A, $A167, Back9_Scores!$B:$B, $B167)</f>
        <v>5</v>
      </c>
      <c r="D167" s="5">
        <f t="array" ref="D167">LET(
    flight_id, $A167,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$B167,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67" s="5">
        <f t="shared" si="111"/>
        <v>5</v>
      </c>
      <c r="F167" s="5">
        <f>SUMIFS(Back9_Scores!$D:$D, Back9_Scores!$A:$A, $A167, Back9_Scores!$B:$B, $B167)</f>
        <v>5</v>
      </c>
      <c r="G167" s="5">
        <f t="array" ref="G167">LET(
    flight_id, $A167,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$B167,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67" s="5">
        <f t="shared" si="112"/>
        <v>4</v>
      </c>
      <c r="I167" s="5" t="str">
        <f t="shared" si="113"/>
        <v>Blue</v>
      </c>
      <c r="J167" s="5" t="str">
        <f t="shared" si="114"/>
        <v>Flight_4</v>
      </c>
      <c r="K167" s="1">
        <v>8.0</v>
      </c>
      <c r="L167" s="1">
        <v>9.0</v>
      </c>
    </row>
    <row r="169">
      <c r="A169" s="5" t="s">
        <v>272</v>
      </c>
      <c r="B169" s="5" t="s">
        <v>50</v>
      </c>
      <c r="C169" s="5" t="s">
        <v>300</v>
      </c>
      <c r="D169" s="5" t="s">
        <v>301</v>
      </c>
      <c r="E169" s="5" t="s">
        <v>302</v>
      </c>
      <c r="F169" s="5" t="s">
        <v>303</v>
      </c>
      <c r="G169" s="5" t="s">
        <v>304</v>
      </c>
      <c r="H169" s="5" t="s">
        <v>305</v>
      </c>
      <c r="I169" s="5" t="s">
        <v>306</v>
      </c>
      <c r="J169" s="5" t="s">
        <v>2</v>
      </c>
      <c r="K169" s="5" t="s">
        <v>307</v>
      </c>
      <c r="L169" s="5" t="s">
        <v>308</v>
      </c>
    </row>
    <row r="170">
      <c r="A170" s="1" t="s">
        <v>31</v>
      </c>
      <c r="B170" s="5">
        <v>10.0</v>
      </c>
      <c r="C170" s="5">
        <f>SUMIFS(Back9_Scores!$C:$C, Back9_Scores!$A:$A, $A170, Back9_Scores!$B:$B, $B170)</f>
        <v>5</v>
      </c>
      <c r="D170" s="5">
        <f t="array" ref="D170">LET(
    flight_id, $A170,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70" s="5">
        <f t="shared" ref="E170:E178" si="115">IF($C170=0,"",$C170-D170)</f>
        <v>5</v>
      </c>
      <c r="F170" s="5">
        <f>SUMIFS(Back9_Scores!$D:$D, Back9_Scores!$A:$A, $A170, Back9_Scores!$B:$B, $B170)</f>
        <v>4</v>
      </c>
      <c r="G170" s="5">
        <f t="array" ref="G170">LET(
    flight_id, $A170,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70" s="5">
        <f t="shared" ref="H170:H178" si="116">IF($F170=0,"",$F170-G170)</f>
        <v>3</v>
      </c>
      <c r="I170" s="5" t="str">
        <f t="shared" ref="I170:I178" si="117">IF(COUNT(E170, H170) &lt; 2, "", IF(E170 &lt; H170, "Red", IF(H170 &lt; E170, "Blue", "Tie")))</f>
        <v>Blue</v>
      </c>
      <c r="J170" s="5" t="str">
        <f t="shared" ref="J170:J178" si="118">A170</f>
        <v>Flight_5</v>
      </c>
      <c r="K170" s="1">
        <v>10.0</v>
      </c>
      <c r="L170" s="1">
        <v>11.0</v>
      </c>
    </row>
    <row r="171">
      <c r="A171" s="1" t="s">
        <v>31</v>
      </c>
      <c r="B171" s="5">
        <v>11.0</v>
      </c>
      <c r="C171" s="5">
        <f>SUMIFS(Back9_Scores!$C:$C, Back9_Scores!$A:$A, $A171, Back9_Scores!$B:$B, $B171)</f>
        <v>4</v>
      </c>
      <c r="D171" s="5">
        <f t="array" ref="D171">LET(
    flight_id, $A171,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71" s="5">
        <f t="shared" si="115"/>
        <v>3</v>
      </c>
      <c r="F171" s="5">
        <f>SUMIFS(Back9_Scores!$D:$D, Back9_Scores!$A:$A, $A171, Back9_Scores!$B:$B, $B171)</f>
        <v>4</v>
      </c>
      <c r="G171" s="5">
        <f t="array" ref="G171">LET(
    flight_id, $A171,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71" s="5">
        <f t="shared" si="116"/>
        <v>3</v>
      </c>
      <c r="I171" s="5" t="str">
        <f t="shared" si="117"/>
        <v>Tie</v>
      </c>
      <c r="J171" s="5" t="str">
        <f t="shared" si="118"/>
        <v>Flight_5</v>
      </c>
      <c r="K171" s="1">
        <v>10.0</v>
      </c>
      <c r="L171" s="1">
        <v>11.0</v>
      </c>
    </row>
    <row r="172">
      <c r="A172" s="1" t="s">
        <v>31</v>
      </c>
      <c r="B172" s="5">
        <v>12.0</v>
      </c>
      <c r="C172" s="5">
        <f>SUMIFS(Back9_Scores!$C:$C, Back9_Scores!$A:$A, $A172, Back9_Scores!$B:$B, $B172)</f>
        <v>3</v>
      </c>
      <c r="D172" s="5">
        <f t="array" ref="D172">LET(
    flight_id, $A172,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72" s="5">
        <f t="shared" si="115"/>
        <v>2</v>
      </c>
      <c r="F172" s="5">
        <f>SUMIFS(Back9_Scores!$D:$D, Back9_Scores!$A:$A, $A172, Back9_Scores!$B:$B, $B172)</f>
        <v>3</v>
      </c>
      <c r="G172" s="5">
        <f t="array" ref="G172">LET(
    flight_id, $A172,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72" s="5">
        <f t="shared" si="116"/>
        <v>2</v>
      </c>
      <c r="I172" s="5" t="str">
        <f t="shared" si="117"/>
        <v>Tie</v>
      </c>
      <c r="J172" s="5" t="str">
        <f t="shared" si="118"/>
        <v>Flight_5</v>
      </c>
      <c r="K172" s="1">
        <v>10.0</v>
      </c>
      <c r="L172" s="1">
        <v>11.0</v>
      </c>
    </row>
    <row r="173">
      <c r="A173" s="1" t="s">
        <v>31</v>
      </c>
      <c r="B173" s="5">
        <v>13.0</v>
      </c>
      <c r="C173" s="5">
        <f>SUMIFS(Back9_Scores!$C:$C, Back9_Scores!$A:$A, $A173, Back9_Scores!$B:$B, $B173)</f>
        <v>3</v>
      </c>
      <c r="D173" s="5">
        <f t="array" ref="D173">LET(
    flight_id, $A173,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73" s="5">
        <f t="shared" si="115"/>
        <v>2</v>
      </c>
      <c r="F173" s="5">
        <f>SUMIFS(Back9_Scores!$D:$D, Back9_Scores!$A:$A, $A173, Back9_Scores!$B:$B, $B173)</f>
        <v>3</v>
      </c>
      <c r="G173" s="5">
        <f t="array" ref="G173">LET(
    flight_id, $A173,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73" s="5">
        <f t="shared" si="116"/>
        <v>2</v>
      </c>
      <c r="I173" s="5" t="str">
        <f t="shared" si="117"/>
        <v>Tie</v>
      </c>
      <c r="J173" s="5" t="str">
        <f t="shared" si="118"/>
        <v>Flight_5</v>
      </c>
      <c r="K173" s="1">
        <v>10.0</v>
      </c>
      <c r="L173" s="1">
        <v>11.0</v>
      </c>
    </row>
    <row r="174">
      <c r="A174" s="1" t="s">
        <v>31</v>
      </c>
      <c r="B174" s="5">
        <v>14.0</v>
      </c>
      <c r="C174" s="5">
        <f>SUMIFS(Back9_Scores!$C:$C, Back9_Scores!$A:$A, $A174, Back9_Scores!$B:$B, $B174)</f>
        <v>4</v>
      </c>
      <c r="D174" s="5">
        <f t="array" ref="D174">LET(
    flight_id, $A174,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74" s="5">
        <f t="shared" si="115"/>
        <v>4</v>
      </c>
      <c r="F174" s="5">
        <f>SUMIFS(Back9_Scores!$D:$D, Back9_Scores!$A:$A, $A174, Back9_Scores!$B:$B, $B174)</f>
        <v>4</v>
      </c>
      <c r="G174" s="5">
        <f t="array" ref="G174">LET(
    flight_id, $A174,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74" s="5">
        <f t="shared" si="116"/>
        <v>4</v>
      </c>
      <c r="I174" s="5" t="str">
        <f t="shared" si="117"/>
        <v>Tie</v>
      </c>
      <c r="J174" s="5" t="str">
        <f t="shared" si="118"/>
        <v>Flight_5</v>
      </c>
      <c r="K174" s="1">
        <v>10.0</v>
      </c>
      <c r="L174" s="1">
        <v>11.0</v>
      </c>
    </row>
    <row r="175">
      <c r="A175" s="1" t="s">
        <v>31</v>
      </c>
      <c r="B175" s="5">
        <v>15.0</v>
      </c>
      <c r="C175" s="5">
        <f>SUMIFS(Back9_Scores!$C:$C, Back9_Scores!$A:$A, $A175, Back9_Scores!$B:$B, $B175)</f>
        <v>3</v>
      </c>
      <c r="D175" s="5">
        <f t="array" ref="D175">LET(
    flight_id, $A175,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75" s="5">
        <f t="shared" si="115"/>
        <v>3</v>
      </c>
      <c r="F175" s="5">
        <f>SUMIFS(Back9_Scores!$D:$D, Back9_Scores!$A:$A, $A175, Back9_Scores!$B:$B, $B175)</f>
        <v>4</v>
      </c>
      <c r="G175" s="5">
        <f t="array" ref="G175">LET(
    flight_id, $A175,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75" s="5">
        <f t="shared" si="116"/>
        <v>4</v>
      </c>
      <c r="I175" s="5" t="str">
        <f t="shared" si="117"/>
        <v>Red</v>
      </c>
      <c r="J175" s="5" t="str">
        <f t="shared" si="118"/>
        <v>Flight_5</v>
      </c>
      <c r="K175" s="1">
        <v>10.0</v>
      </c>
      <c r="L175" s="1">
        <v>11.0</v>
      </c>
    </row>
    <row r="176">
      <c r="A176" s="1" t="s">
        <v>31</v>
      </c>
      <c r="B176" s="5">
        <v>16.0</v>
      </c>
      <c r="C176" s="5">
        <f>SUMIFS(Back9_Scores!$C:$C, Back9_Scores!$A:$A, $A176, Back9_Scores!$B:$B, $B176)</f>
        <v>4</v>
      </c>
      <c r="D176" s="5">
        <f t="array" ref="D176">LET(
    flight_id, $A176,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76" s="5">
        <f t="shared" si="115"/>
        <v>4</v>
      </c>
      <c r="F176" s="5">
        <f>SUMIFS(Back9_Scores!$D:$D, Back9_Scores!$A:$A, $A176, Back9_Scores!$B:$B, $B176)</f>
        <v>6</v>
      </c>
      <c r="G176" s="5">
        <f t="array" ref="G176">LET(
    flight_id, $A176,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76" s="5">
        <f t="shared" si="116"/>
        <v>6</v>
      </c>
      <c r="I176" s="5" t="str">
        <f t="shared" si="117"/>
        <v>Red</v>
      </c>
      <c r="J176" s="5" t="str">
        <f t="shared" si="118"/>
        <v>Flight_5</v>
      </c>
      <c r="K176" s="1">
        <v>10.0</v>
      </c>
      <c r="L176" s="1">
        <v>11.0</v>
      </c>
    </row>
    <row r="177">
      <c r="A177" s="1" t="s">
        <v>31</v>
      </c>
      <c r="B177" s="5">
        <v>17.0</v>
      </c>
      <c r="C177" s="5">
        <f>SUMIFS(Back9_Scores!$C:$C, Back9_Scores!$A:$A, $A177, Back9_Scores!$B:$B, $B177)</f>
        <v>3</v>
      </c>
      <c r="D177" s="5">
        <f t="array" ref="D177">LET(
    flight_id, $A177,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77" s="5">
        <f t="shared" si="115"/>
        <v>3</v>
      </c>
      <c r="F177" s="5">
        <f>SUMIFS(Back9_Scores!$D:$D, Back9_Scores!$A:$A, $A177, Back9_Scores!$B:$B, $B177)</f>
        <v>4</v>
      </c>
      <c r="G177" s="5">
        <f t="array" ref="G177">LET(
    flight_id, $A177,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77" s="5">
        <f t="shared" si="116"/>
        <v>3</v>
      </c>
      <c r="I177" s="5" t="str">
        <f t="shared" si="117"/>
        <v>Tie</v>
      </c>
      <c r="J177" s="5" t="str">
        <f t="shared" si="118"/>
        <v>Flight_5</v>
      </c>
      <c r="K177" s="1">
        <v>10.0</v>
      </c>
      <c r="L177" s="1">
        <v>11.0</v>
      </c>
    </row>
    <row r="178">
      <c r="A178" s="1" t="s">
        <v>31</v>
      </c>
      <c r="B178" s="5">
        <v>18.0</v>
      </c>
      <c r="C178" s="5">
        <f>SUMIFS(Back9_Scores!$C:$C, Back9_Scores!$A:$A, $A178, Back9_Scores!$B:$B, $B178)</f>
        <v>4</v>
      </c>
      <c r="D178" s="5">
        <f t="array" ref="D178">LET(
    flight_id, $A178,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$B178,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78" s="5">
        <f t="shared" si="115"/>
        <v>4</v>
      </c>
      <c r="F178" s="5">
        <f>SUMIFS(Back9_Scores!$D:$D, Back9_Scores!$A:$A, $A178, Back9_Scores!$B:$B, $B178)</f>
        <v>6</v>
      </c>
      <c r="G178" s="5">
        <f t="array" ref="G178">LET(
    flight_id, $A178,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$B178,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78" s="5">
        <f t="shared" si="116"/>
        <v>5</v>
      </c>
      <c r="I178" s="5" t="str">
        <f t="shared" si="117"/>
        <v>Red</v>
      </c>
      <c r="J178" s="5" t="str">
        <f t="shared" si="118"/>
        <v>Flight_5</v>
      </c>
      <c r="K178" s="1">
        <v>10.0</v>
      </c>
      <c r="L178" s="1">
        <v>11.0</v>
      </c>
    </row>
    <row r="180">
      <c r="A180" s="5" t="s">
        <v>272</v>
      </c>
      <c r="B180" s="5" t="s">
        <v>50</v>
      </c>
      <c r="C180" s="5" t="s">
        <v>300</v>
      </c>
      <c r="D180" s="5" t="s">
        <v>301</v>
      </c>
      <c r="E180" s="5" t="s">
        <v>302</v>
      </c>
      <c r="F180" s="5" t="s">
        <v>303</v>
      </c>
      <c r="G180" s="5" t="s">
        <v>304</v>
      </c>
      <c r="H180" s="5" t="s">
        <v>305</v>
      </c>
      <c r="I180" s="5" t="s">
        <v>306</v>
      </c>
      <c r="J180" s="5" t="s">
        <v>2</v>
      </c>
      <c r="K180" s="5" t="s">
        <v>307</v>
      </c>
      <c r="L180" s="5" t="s">
        <v>308</v>
      </c>
    </row>
    <row r="181">
      <c r="A181" s="1" t="s">
        <v>36</v>
      </c>
      <c r="B181" s="5">
        <v>10.0</v>
      </c>
      <c r="C181" s="5">
        <f>SUMIFS(Back9_Scores!$C:$C, Back9_Scores!$A:$A, $A181, Back9_Scores!$B:$B, $B181)</f>
        <v>4</v>
      </c>
      <c r="D181" s="5">
        <f t="array" ref="D181">LET(
    flight_id, $A181,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81" s="5">
        <f t="shared" ref="E181:E189" si="119">IF($C181=0,"",$C181-D181)</f>
        <v>4</v>
      </c>
      <c r="F181" s="5">
        <f>SUMIFS(Back9_Scores!$D:$D, Back9_Scores!$A:$A, $A181, Back9_Scores!$B:$B, $B181)</f>
        <v>4</v>
      </c>
      <c r="G181" s="5">
        <f t="array" ref="G181">LET(
    flight_id, $A181,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81" s="5">
        <f t="shared" ref="H181:H189" si="120">IF($F181=0,"",$F181-G181)</f>
        <v>4</v>
      </c>
      <c r="I181" s="5" t="str">
        <f t="shared" ref="I181:I189" si="121">IF(COUNT(E181, H181) &lt; 2, "", IF(E181 &lt; H181, "Red", IF(H181 &lt; E181, "Blue", "Tie")))</f>
        <v>Tie</v>
      </c>
      <c r="J181" s="5" t="str">
        <f t="shared" ref="J181:J189" si="122">A181</f>
        <v>Flight_6</v>
      </c>
      <c r="K181" s="1">
        <v>12.0</v>
      </c>
      <c r="L181" s="1">
        <v>13.0</v>
      </c>
    </row>
    <row r="182">
      <c r="A182" s="1" t="s">
        <v>36</v>
      </c>
      <c r="B182" s="5">
        <v>11.0</v>
      </c>
      <c r="C182" s="5">
        <f>SUMIFS(Back9_Scores!$C:$C, Back9_Scores!$A:$A, $A182, Back9_Scores!$B:$B, $B182)</f>
        <v>3</v>
      </c>
      <c r="D182" s="5">
        <f t="array" ref="D182">LET(
    flight_id, $A182,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82" s="5">
        <f t="shared" si="119"/>
        <v>2</v>
      </c>
      <c r="F182" s="5">
        <f>SUMIFS(Back9_Scores!$D:$D, Back9_Scores!$A:$A, $A182, Back9_Scores!$B:$B, $B182)</f>
        <v>4</v>
      </c>
      <c r="G182" s="5">
        <f t="array" ref="G182">LET(
    flight_id, $A182,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82" s="5">
        <f t="shared" si="120"/>
        <v>3</v>
      </c>
      <c r="I182" s="5" t="str">
        <f t="shared" si="121"/>
        <v>Red</v>
      </c>
      <c r="J182" s="5" t="str">
        <f t="shared" si="122"/>
        <v>Flight_6</v>
      </c>
      <c r="K182" s="1">
        <v>12.0</v>
      </c>
      <c r="L182" s="1">
        <v>13.0</v>
      </c>
    </row>
    <row r="183">
      <c r="A183" s="1" t="s">
        <v>36</v>
      </c>
      <c r="B183" s="5">
        <v>12.0</v>
      </c>
      <c r="C183" s="5">
        <f>SUMIFS(Back9_Scores!$C:$C, Back9_Scores!$A:$A, $A183, Back9_Scores!$B:$B, $B183)</f>
        <v>4</v>
      </c>
      <c r="D183" s="5">
        <f t="array" ref="D183">LET(
    flight_id, $A183,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83" s="5">
        <f t="shared" si="119"/>
        <v>3</v>
      </c>
      <c r="F183" s="5">
        <f>SUMIFS(Back9_Scores!$D:$D, Back9_Scores!$A:$A, $A183, Back9_Scores!$B:$B, $B183)</f>
        <v>3</v>
      </c>
      <c r="G183" s="5">
        <f t="array" ref="G183">LET(
    flight_id, $A183,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83" s="5">
        <f t="shared" si="120"/>
        <v>2</v>
      </c>
      <c r="I183" s="5" t="str">
        <f t="shared" si="121"/>
        <v>Blue</v>
      </c>
      <c r="J183" s="5" t="str">
        <f t="shared" si="122"/>
        <v>Flight_6</v>
      </c>
      <c r="K183" s="1">
        <v>12.0</v>
      </c>
      <c r="L183" s="1">
        <v>13.0</v>
      </c>
    </row>
    <row r="184">
      <c r="A184" s="1" t="s">
        <v>36</v>
      </c>
      <c r="B184" s="5">
        <v>13.0</v>
      </c>
      <c r="C184" s="5">
        <f>SUMIFS(Back9_Scores!$C:$C, Back9_Scores!$A:$A, $A184, Back9_Scores!$B:$B, $B184)</f>
        <v>4</v>
      </c>
      <c r="D184" s="5">
        <f t="array" ref="D184">LET(
    flight_id, $A184,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84" s="5">
        <f t="shared" si="119"/>
        <v>3</v>
      </c>
      <c r="F184" s="5">
        <f>SUMIFS(Back9_Scores!$D:$D, Back9_Scores!$A:$A, $A184, Back9_Scores!$B:$B, $B184)</f>
        <v>4</v>
      </c>
      <c r="G184" s="5">
        <f t="array" ref="G184">LET(
    flight_id, $A184,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84" s="5">
        <f t="shared" si="120"/>
        <v>3</v>
      </c>
      <c r="I184" s="5" t="str">
        <f t="shared" si="121"/>
        <v>Tie</v>
      </c>
      <c r="J184" s="5" t="str">
        <f t="shared" si="122"/>
        <v>Flight_6</v>
      </c>
      <c r="K184" s="1">
        <v>12.0</v>
      </c>
      <c r="L184" s="1">
        <v>13.0</v>
      </c>
    </row>
    <row r="185">
      <c r="A185" s="1" t="s">
        <v>36</v>
      </c>
      <c r="B185" s="5">
        <v>14.0</v>
      </c>
      <c r="C185" s="5">
        <f>SUMIFS(Back9_Scores!$C:$C, Back9_Scores!$A:$A, $A185, Back9_Scores!$B:$B, $B185)</f>
        <v>5</v>
      </c>
      <c r="D185" s="5">
        <f t="array" ref="D185">LET(
    flight_id, $A185,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85" s="5">
        <f t="shared" si="119"/>
        <v>5</v>
      </c>
      <c r="F185" s="5">
        <f>SUMIFS(Back9_Scores!$D:$D, Back9_Scores!$A:$A, $A185, Back9_Scores!$B:$B, $B185)</f>
        <v>5</v>
      </c>
      <c r="G185" s="5">
        <f t="array" ref="G185">LET(
    flight_id, $A185,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85" s="5">
        <f t="shared" si="120"/>
        <v>5</v>
      </c>
      <c r="I185" s="5" t="str">
        <f t="shared" si="121"/>
        <v>Tie</v>
      </c>
      <c r="J185" s="5" t="str">
        <f t="shared" si="122"/>
        <v>Flight_6</v>
      </c>
      <c r="K185" s="1">
        <v>12.0</v>
      </c>
      <c r="L185" s="1">
        <v>13.0</v>
      </c>
    </row>
    <row r="186">
      <c r="A186" s="1" t="s">
        <v>36</v>
      </c>
      <c r="B186" s="5">
        <v>15.0</v>
      </c>
      <c r="C186" s="5">
        <f>SUMIFS(Back9_Scores!$C:$C, Back9_Scores!$A:$A, $A186, Back9_Scores!$B:$B, $B186)</f>
        <v>1</v>
      </c>
      <c r="D186" s="5">
        <f t="array" ref="D186">LET(
    flight_id, $A186,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86" s="5">
        <f t="shared" si="119"/>
        <v>1</v>
      </c>
      <c r="F186" s="5">
        <f>SUMIFS(Back9_Scores!$D:$D, Back9_Scores!$A:$A, $A186, Back9_Scores!$B:$B, $B186)</f>
        <v>4</v>
      </c>
      <c r="G186" s="5">
        <f t="array" ref="G186">LET(
    flight_id, $A186,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86" s="5">
        <f t="shared" si="120"/>
        <v>4</v>
      </c>
      <c r="I186" s="5" t="str">
        <f t="shared" si="121"/>
        <v>Red</v>
      </c>
      <c r="J186" s="5" t="str">
        <f t="shared" si="122"/>
        <v>Flight_6</v>
      </c>
      <c r="K186" s="1">
        <v>12.0</v>
      </c>
      <c r="L186" s="1">
        <v>13.0</v>
      </c>
    </row>
    <row r="187">
      <c r="A187" s="1" t="s">
        <v>36</v>
      </c>
      <c r="B187" s="5">
        <v>16.0</v>
      </c>
      <c r="C187" s="5">
        <f>SUMIFS(Back9_Scores!$C:$C, Back9_Scores!$A:$A, $A187, Back9_Scores!$B:$B, $B187)</f>
        <v>4</v>
      </c>
      <c r="D187" s="5">
        <f t="array" ref="D187">LET(
    flight_id, $A187,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87" s="5">
        <f t="shared" si="119"/>
        <v>4</v>
      </c>
      <c r="F187" s="5">
        <f>SUMIFS(Back9_Scores!$D:$D, Back9_Scores!$A:$A, $A187, Back9_Scores!$B:$B, $B187)</f>
        <v>4</v>
      </c>
      <c r="G187" s="5">
        <f t="array" ref="G187">LET(
    flight_id, $A187,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87" s="5">
        <f t="shared" si="120"/>
        <v>4</v>
      </c>
      <c r="I187" s="5" t="str">
        <f t="shared" si="121"/>
        <v>Tie</v>
      </c>
      <c r="J187" s="5" t="str">
        <f t="shared" si="122"/>
        <v>Flight_6</v>
      </c>
      <c r="K187" s="1">
        <v>12.0</v>
      </c>
      <c r="L187" s="1">
        <v>13.0</v>
      </c>
    </row>
    <row r="188">
      <c r="A188" s="1" t="s">
        <v>36</v>
      </c>
      <c r="B188" s="5">
        <v>17.0</v>
      </c>
      <c r="C188" s="5">
        <f>SUMIFS(Back9_Scores!$C:$C, Back9_Scores!$A:$A, $A188, Back9_Scores!$B:$B, $B188)</f>
        <v>4</v>
      </c>
      <c r="D188" s="5">
        <f t="array" ref="D188">LET(
    flight_id, $A188,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88" s="5">
        <f t="shared" si="119"/>
        <v>4</v>
      </c>
      <c r="F188" s="5">
        <f>SUMIFS(Back9_Scores!$D:$D, Back9_Scores!$A:$A, $A188, Back9_Scores!$B:$B, $B188)</f>
        <v>4</v>
      </c>
      <c r="G188" s="5">
        <f t="array" ref="G188">LET(
    flight_id, $A188,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88" s="5">
        <f t="shared" si="120"/>
        <v>4</v>
      </c>
      <c r="I188" s="5" t="str">
        <f t="shared" si="121"/>
        <v>Tie</v>
      </c>
      <c r="J188" s="5" t="str">
        <f t="shared" si="122"/>
        <v>Flight_6</v>
      </c>
      <c r="K188" s="1">
        <v>12.0</v>
      </c>
      <c r="L188" s="1">
        <v>13.0</v>
      </c>
    </row>
    <row r="189">
      <c r="A189" s="1" t="s">
        <v>36</v>
      </c>
      <c r="B189" s="5">
        <v>18.0</v>
      </c>
      <c r="C189" s="5">
        <f>SUMIFS(Back9_Scores!$C:$C, Back9_Scores!$A:$A, $A189, Back9_Scores!$B:$B, $B189)</f>
        <v>5</v>
      </c>
      <c r="D189" s="5">
        <f t="array" ref="D189">LET(
    flight_id, $A189,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$B189,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89" s="5">
        <f t="shared" si="119"/>
        <v>5</v>
      </c>
      <c r="F189" s="5">
        <f>SUMIFS(Back9_Scores!$D:$D, Back9_Scores!$A:$A, $A189, Back9_Scores!$B:$B, $B189)</f>
        <v>6</v>
      </c>
      <c r="G189" s="5">
        <f t="array" ref="G189">LET(
    flight_id, $A189,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$B189,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89" s="5">
        <f t="shared" si="120"/>
        <v>6</v>
      </c>
      <c r="I189" s="5" t="str">
        <f t="shared" si="121"/>
        <v>Red</v>
      </c>
      <c r="J189" s="5" t="str">
        <f t="shared" si="122"/>
        <v>Flight_6</v>
      </c>
      <c r="K189" s="1">
        <v>12.0</v>
      </c>
      <c r="L189" s="1">
        <v>13.0</v>
      </c>
    </row>
    <row r="191">
      <c r="A191" s="5" t="s">
        <v>272</v>
      </c>
      <c r="B191" s="5" t="s">
        <v>50</v>
      </c>
      <c r="C191" s="5" t="s">
        <v>300</v>
      </c>
      <c r="D191" s="5" t="s">
        <v>301</v>
      </c>
      <c r="E191" s="5" t="s">
        <v>302</v>
      </c>
      <c r="F191" s="5" t="s">
        <v>303</v>
      </c>
      <c r="G191" s="5" t="s">
        <v>304</v>
      </c>
      <c r="H191" s="5" t="s">
        <v>305</v>
      </c>
      <c r="I191" s="5" t="s">
        <v>306</v>
      </c>
      <c r="J191" s="5" t="s">
        <v>2</v>
      </c>
      <c r="K191" s="5" t="s">
        <v>307</v>
      </c>
      <c r="L191" s="5" t="s">
        <v>308</v>
      </c>
    </row>
    <row r="192">
      <c r="A192" s="1" t="s">
        <v>41</v>
      </c>
      <c r="B192" s="5">
        <v>10.0</v>
      </c>
      <c r="C192" s="5">
        <f>SUMIFS(Back9_Scores!$C:$C, Back9_Scores!$A:$A, $A192, Back9_Scores!$B:$B, $B192)</f>
        <v>4</v>
      </c>
      <c r="D192" s="1">
        <f t="array" ref="D192">LET(
    flight_id, $A192,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92" s="5">
        <f t="shared" ref="E192:E200" si="123">IF($C192=0,"",$C192-D192)</f>
        <v>4</v>
      </c>
      <c r="F192" s="5">
        <f>SUMIFS(Back9_Scores!$D:$D, Back9_Scores!$A:$A, $A192, Back9_Scores!$B:$B, $B192)</f>
        <v>3</v>
      </c>
      <c r="G192" s="5">
        <f t="array" ref="G192">LET(
    flight_id, $A192,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$B192,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92" s="5">
        <f t="shared" ref="H192:H200" si="124">IF($F192=0,"",$F192-G192)</f>
        <v>3</v>
      </c>
      <c r="I192" s="5" t="str">
        <f t="shared" ref="I192:I200" si="125">IF(COUNT(E192, H192) &lt; 2, "", IF(E192 &lt; H192, "Red", IF(H192 &lt; E192, "Blue", "Tie")))</f>
        <v>Blue</v>
      </c>
      <c r="J192" s="5" t="str">
        <f t="shared" ref="J192:J200" si="126">A192</f>
        <v>Flight_7</v>
      </c>
      <c r="K192" s="1">
        <v>14.0</v>
      </c>
      <c r="L192" s="1">
        <v>15.0</v>
      </c>
    </row>
    <row r="193">
      <c r="A193" s="1" t="s">
        <v>41</v>
      </c>
      <c r="B193" s="5">
        <v>11.0</v>
      </c>
      <c r="C193" s="5">
        <f>SUMIFS(Back9_Scores!$C:$C, Back9_Scores!$A:$A, $A193, Back9_Scores!$B:$B, $B193)</f>
        <v>4</v>
      </c>
      <c r="D193" s="5">
        <f t="array" ref="D193">LET(
    flight_id, $A193,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93" s="5">
        <f t="shared" si="123"/>
        <v>3</v>
      </c>
      <c r="F193" s="5">
        <f>SUMIFS(Back9_Scores!$D:$D, Back9_Scores!$A:$A, $A193, Back9_Scores!$B:$B, $B193)</f>
        <v>5</v>
      </c>
      <c r="G193" s="5">
        <f t="array" ref="G193">LET(
    flight_id, $A193,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93" s="5">
        <f t="shared" si="124"/>
        <v>4</v>
      </c>
      <c r="I193" s="5" t="str">
        <f t="shared" si="125"/>
        <v>Red</v>
      </c>
      <c r="J193" s="5" t="str">
        <f t="shared" si="126"/>
        <v>Flight_7</v>
      </c>
      <c r="K193" s="1">
        <v>14.0</v>
      </c>
      <c r="L193" s="1">
        <v>15.0</v>
      </c>
    </row>
    <row r="194">
      <c r="A194" s="1" t="s">
        <v>41</v>
      </c>
      <c r="B194" s="5">
        <v>12.0</v>
      </c>
      <c r="C194" s="5">
        <f>SUMIFS(Back9_Scores!$C:$C, Back9_Scores!$A:$A, $A194, Back9_Scores!$B:$B, $B194)</f>
        <v>4</v>
      </c>
      <c r="D194" s="5">
        <f t="array" ref="D194">LET(
    flight_id, $A194,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94" s="5">
        <f t="shared" si="123"/>
        <v>3</v>
      </c>
      <c r="F194" s="5">
        <f>SUMIFS(Back9_Scores!$D:$D, Back9_Scores!$A:$A, $A194, Back9_Scores!$B:$B, $B194)</f>
        <v>3</v>
      </c>
      <c r="G194" s="5">
        <f t="array" ref="G194">LET(
    flight_id, $A194,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194" s="5">
        <f t="shared" si="124"/>
        <v>2</v>
      </c>
      <c r="I194" s="5" t="str">
        <f t="shared" si="125"/>
        <v>Blue</v>
      </c>
      <c r="J194" s="5" t="str">
        <f t="shared" si="126"/>
        <v>Flight_7</v>
      </c>
      <c r="K194" s="1">
        <v>14.0</v>
      </c>
      <c r="L194" s="1">
        <v>15.0</v>
      </c>
    </row>
    <row r="195">
      <c r="A195" s="1" t="s">
        <v>41</v>
      </c>
      <c r="B195" s="5">
        <v>13.0</v>
      </c>
      <c r="C195" s="5">
        <f>SUMIFS(Back9_Scores!$C:$C, Back9_Scores!$A:$A, $A195, Back9_Scores!$B:$B, $B195)</f>
        <v>5</v>
      </c>
      <c r="D195" s="5">
        <f t="array" ref="D195">LET(
    flight_id, $A195,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95" s="5">
        <f t="shared" si="123"/>
        <v>4</v>
      </c>
      <c r="F195" s="5">
        <f>SUMIFS(Back9_Scores!$D:$D, Back9_Scores!$A:$A, $A195, Back9_Scores!$B:$B, $B195)</f>
        <v>4</v>
      </c>
      <c r="G195" s="5">
        <f t="array" ref="G195">LET(
    flight_id, $A195,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95" s="5">
        <f t="shared" si="124"/>
        <v>4</v>
      </c>
      <c r="I195" s="5" t="str">
        <f t="shared" si="125"/>
        <v>Tie</v>
      </c>
      <c r="J195" s="5" t="str">
        <f t="shared" si="126"/>
        <v>Flight_7</v>
      </c>
      <c r="K195" s="1">
        <v>14.0</v>
      </c>
      <c r="L195" s="1">
        <v>15.0</v>
      </c>
    </row>
    <row r="196">
      <c r="A196" s="1" t="s">
        <v>41</v>
      </c>
      <c r="B196" s="5">
        <v>14.0</v>
      </c>
      <c r="C196" s="5">
        <f>SUMIFS(Back9_Scores!$C:$C, Back9_Scores!$A:$A, $A196, Back9_Scores!$B:$B, $B196)</f>
        <v>4</v>
      </c>
      <c r="D196" s="5">
        <f t="array" ref="D196">LET(
    flight_id, $A196,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96" s="5">
        <f t="shared" si="123"/>
        <v>4</v>
      </c>
      <c r="F196" s="5">
        <f>SUMIFS(Back9_Scores!$D:$D, Back9_Scores!$A:$A, $A196, Back9_Scores!$B:$B, $B196)</f>
        <v>4</v>
      </c>
      <c r="G196" s="5">
        <f t="array" ref="G196">LET(
    flight_id, $A196,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96" s="5">
        <f t="shared" si="124"/>
        <v>4</v>
      </c>
      <c r="I196" s="5" t="str">
        <f t="shared" si="125"/>
        <v>Tie</v>
      </c>
      <c r="J196" s="5" t="str">
        <f t="shared" si="126"/>
        <v>Flight_7</v>
      </c>
      <c r="K196" s="1">
        <v>14.0</v>
      </c>
      <c r="L196" s="1">
        <v>15.0</v>
      </c>
    </row>
    <row r="197">
      <c r="A197" s="1" t="s">
        <v>41</v>
      </c>
      <c r="B197" s="5">
        <v>15.0</v>
      </c>
      <c r="C197" s="5">
        <f>SUMIFS(Back9_Scores!$C:$C, Back9_Scores!$A:$A, $A197, Back9_Scores!$B:$B, $B197)</f>
        <v>3</v>
      </c>
      <c r="D197" s="5">
        <f t="array" ref="D197">LET(
    flight_id, $A197,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97" s="5">
        <f t="shared" si="123"/>
        <v>3</v>
      </c>
      <c r="F197" s="5">
        <f>SUMIFS(Back9_Scores!$D:$D, Back9_Scores!$A:$A, $A197, Back9_Scores!$B:$B, $B197)</f>
        <v>3</v>
      </c>
      <c r="G197" s="5">
        <f t="array" ref="G197">LET(
    flight_id, $A197,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97" s="5">
        <f t="shared" si="124"/>
        <v>3</v>
      </c>
      <c r="I197" s="5" t="str">
        <f t="shared" si="125"/>
        <v>Tie</v>
      </c>
      <c r="J197" s="5" t="str">
        <f t="shared" si="126"/>
        <v>Flight_7</v>
      </c>
      <c r="K197" s="1">
        <v>14.0</v>
      </c>
      <c r="L197" s="1">
        <v>15.0</v>
      </c>
    </row>
    <row r="198">
      <c r="A198" s="1" t="s">
        <v>41</v>
      </c>
      <c r="B198" s="5">
        <v>16.0</v>
      </c>
      <c r="C198" s="5">
        <f>SUMIFS(Back9_Scores!$C:$C, Back9_Scores!$A:$A, $A198, Back9_Scores!$B:$B, $B198)</f>
        <v>4</v>
      </c>
      <c r="D198" s="5">
        <f t="array" ref="D198">LET(
    flight_id, $A198,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198" s="5">
        <f t="shared" si="123"/>
        <v>4</v>
      </c>
      <c r="F198" s="5">
        <f>SUMIFS(Back9_Scores!$D:$D, Back9_Scores!$A:$A, $A198, Back9_Scores!$B:$B, $B198)</f>
        <v>3</v>
      </c>
      <c r="G198" s="5">
        <f t="array" ref="G198">LET(
    flight_id, $A198,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98" s="5">
        <f t="shared" si="124"/>
        <v>3</v>
      </c>
      <c r="I198" s="5" t="str">
        <f t="shared" si="125"/>
        <v>Blue</v>
      </c>
      <c r="J198" s="5" t="str">
        <f t="shared" si="126"/>
        <v>Flight_7</v>
      </c>
      <c r="K198" s="1">
        <v>14.0</v>
      </c>
      <c r="L198" s="1">
        <v>15.0</v>
      </c>
    </row>
    <row r="199">
      <c r="A199" s="1" t="s">
        <v>41</v>
      </c>
      <c r="B199" s="5">
        <v>17.0</v>
      </c>
      <c r="C199" s="5">
        <f>SUMIFS(Back9_Scores!$C:$C, Back9_Scores!$A:$A, $A199, Back9_Scores!$B:$B, $B199)</f>
        <v>4</v>
      </c>
      <c r="D199" s="5">
        <f t="array" ref="D199">LET(
    flight_id, $A199,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$B199,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199" s="5">
        <f t="shared" si="123"/>
        <v>3</v>
      </c>
      <c r="F199" s="5">
        <f>SUMIFS(Back9_Scores!$D:$D, Back9_Scores!$A:$A, $A199, Back9_Scores!$B:$B, $B199)</f>
        <v>3</v>
      </c>
      <c r="G199" s="5">
        <f t="array" ref="G199">LET(
    flight_id, $A199,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$B199,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199" s="5">
        <f t="shared" si="124"/>
        <v>3</v>
      </c>
      <c r="I199" s="5" t="str">
        <f t="shared" si="125"/>
        <v>Tie</v>
      </c>
      <c r="J199" s="5" t="str">
        <f t="shared" si="126"/>
        <v>Flight_7</v>
      </c>
      <c r="K199" s="1">
        <v>14.0</v>
      </c>
      <c r="L199" s="1">
        <v>15.0</v>
      </c>
    </row>
    <row r="200">
      <c r="A200" s="1" t="s">
        <v>41</v>
      </c>
      <c r="B200" s="5">
        <v>18.0</v>
      </c>
      <c r="C200" s="5">
        <f>SUMIFS(Back9_Scores!$C:$C, Back9_Scores!$A:$A, $A200, Back9_Scores!$B:$B, $B200)</f>
        <v>0</v>
      </c>
      <c r="D200" s="5">
        <f t="array" ref="D200">LET(
    flight_id, $A200,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200" s="5" t="str">
        <f t="shared" si="123"/>
        <v/>
      </c>
      <c r="F200" s="5">
        <f>SUMIFS(Back9_Scores!$D:$D, Back9_Scores!$A:$A, $A200, Back9_Scores!$B:$B, $B200)</f>
        <v>4</v>
      </c>
      <c r="G200" s="5">
        <f t="array" ref="G200">LET(
    flight_id, $A200,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200" s="5">
        <f t="shared" si="124"/>
        <v>4</v>
      </c>
      <c r="I200" s="5" t="str">
        <f t="shared" si="125"/>
        <v/>
      </c>
      <c r="J200" s="5" t="str">
        <f t="shared" si="126"/>
        <v>Flight_7</v>
      </c>
      <c r="K200" s="1">
        <v>14.0</v>
      </c>
      <c r="L200" s="1">
        <v>15.0</v>
      </c>
    </row>
    <row r="202">
      <c r="A202" s="5" t="s">
        <v>272</v>
      </c>
      <c r="B202" s="5" t="s">
        <v>50</v>
      </c>
      <c r="C202" s="5" t="s">
        <v>300</v>
      </c>
      <c r="D202" s="5" t="s">
        <v>301</v>
      </c>
      <c r="E202" s="5" t="s">
        <v>302</v>
      </c>
      <c r="F202" s="5" t="s">
        <v>303</v>
      </c>
      <c r="G202" s="5" t="s">
        <v>304</v>
      </c>
      <c r="H202" s="5" t="s">
        <v>305</v>
      </c>
      <c r="I202" s="5" t="s">
        <v>306</v>
      </c>
      <c r="J202" s="5" t="s">
        <v>2</v>
      </c>
      <c r="K202" s="5" t="s">
        <v>307</v>
      </c>
      <c r="L202" s="5" t="s">
        <v>308</v>
      </c>
    </row>
    <row r="203">
      <c r="A203" s="1" t="s">
        <v>46</v>
      </c>
      <c r="B203" s="5">
        <v>10.0</v>
      </c>
      <c r="C203" s="5">
        <f>SUMIFS(Back9_Scores!$C:$C, Back9_Scores!$A:$A, $A203, Back9_Scores!$B:$B, $B203)</f>
        <v>4</v>
      </c>
      <c r="D203" s="5">
        <f t="array" ref="D203">LET(
    flight_id, $A203,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203" s="5">
        <f t="shared" ref="E203:E211" si="127">IF($C203=0,"",$C203-D203)</f>
        <v>4</v>
      </c>
      <c r="F203" s="5">
        <f>SUMIFS(Back9_Scores!$D:$D, Back9_Scores!$A:$A, $A203, Back9_Scores!$B:$B, $B203)</f>
        <v>5</v>
      </c>
      <c r="G203" s="5">
        <f t="array" ref="G203">LET(
    flight_id, $A203,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$B203,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203" s="5">
        <f t="shared" ref="H203:H211" si="128">IF($F203=0,"",$F203-G203)</f>
        <v>4</v>
      </c>
      <c r="I203" s="5" t="str">
        <f t="shared" ref="I203:I211" si="129">IF(COUNT(E203, H203) &lt; 2, "", IF(E203 &lt; H203, "Red", IF(H203 &lt; E203, "Blue", "Tie")))</f>
        <v>Tie</v>
      </c>
      <c r="J203" s="5" t="str">
        <f t="shared" ref="J203:J211" si="130">A203</f>
        <v>Flight_8</v>
      </c>
      <c r="K203" s="1">
        <v>16.0</v>
      </c>
      <c r="L203" s="1">
        <v>17.0</v>
      </c>
    </row>
    <row r="204">
      <c r="A204" s="1" t="s">
        <v>46</v>
      </c>
      <c r="B204" s="5">
        <v>11.0</v>
      </c>
      <c r="C204" s="5">
        <f>SUMIFS(Back9_Scores!$C:$C, Back9_Scores!$A:$A, $A204, Back9_Scores!$B:$B, $B204)</f>
        <v>4</v>
      </c>
      <c r="D204" s="5">
        <f t="array" ref="D204">LET(
    flight_id, $A204,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204" s="5">
        <f t="shared" si="127"/>
        <v>3</v>
      </c>
      <c r="F204" s="5">
        <f>SUMIFS(Back9_Scores!$D:$D, Back9_Scores!$A:$A, $A204, Back9_Scores!$B:$B, $B204)</f>
        <v>4</v>
      </c>
      <c r="G204" s="5">
        <f t="array" ref="G204">LET(
    flight_id, $A204,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$B204,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204" s="5">
        <f t="shared" si="128"/>
        <v>3</v>
      </c>
      <c r="I204" s="5" t="str">
        <f t="shared" si="129"/>
        <v>Tie</v>
      </c>
      <c r="J204" s="5" t="str">
        <f t="shared" si="130"/>
        <v>Flight_8</v>
      </c>
      <c r="K204" s="1">
        <v>16.0</v>
      </c>
      <c r="L204" s="1">
        <v>30.0</v>
      </c>
    </row>
    <row r="205">
      <c r="A205" s="1" t="s">
        <v>46</v>
      </c>
      <c r="B205" s="5">
        <v>12.0</v>
      </c>
      <c r="C205" s="5">
        <f>SUMIFS(Back9_Scores!$C:$C, Back9_Scores!$A:$A, $A205, Back9_Scores!$B:$B, $B205)</f>
        <v>3</v>
      </c>
      <c r="D205" s="5">
        <f t="array" ref="D205">LET(
    flight_id, $A205,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205" s="5">
        <f t="shared" si="127"/>
        <v>2</v>
      </c>
      <c r="F205" s="5">
        <f>SUMIFS(Back9_Scores!$D:$D, Back9_Scores!$A:$A, $A205, Back9_Scores!$B:$B, $B205)</f>
        <v>3</v>
      </c>
      <c r="G205" s="5">
        <f t="array" ref="G205">LET(
    flight_id, $A205,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$B205,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205" s="5">
        <f t="shared" si="128"/>
        <v>2</v>
      </c>
      <c r="I205" s="5" t="str">
        <f t="shared" si="129"/>
        <v>Tie</v>
      </c>
      <c r="J205" s="5" t="str">
        <f t="shared" si="130"/>
        <v>Flight_8</v>
      </c>
      <c r="K205" s="1">
        <v>16.0</v>
      </c>
      <c r="L205" s="1">
        <v>30.0</v>
      </c>
    </row>
    <row r="206">
      <c r="A206" s="1" t="s">
        <v>46</v>
      </c>
      <c r="B206" s="5">
        <v>13.0</v>
      </c>
      <c r="C206" s="5">
        <f>SUMIFS(Back9_Scores!$C:$C, Back9_Scores!$A:$A, $A206, Back9_Scores!$B:$B, $B206)</f>
        <v>4</v>
      </c>
      <c r="D206" s="5">
        <f t="array" ref="D206">LET(
    flight_id, $A206,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E206" s="5">
        <f t="shared" si="127"/>
        <v>3</v>
      </c>
      <c r="F206" s="5">
        <f>SUMIFS(Back9_Scores!$D:$D, Back9_Scores!$A:$A, $A206, Back9_Scores!$B:$B, $B206)</f>
        <v>4</v>
      </c>
      <c r="G206" s="5">
        <f t="array" ref="G206">LET(
    flight_id, $A206,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$B206,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1</v>
      </c>
      <c r="H206" s="5">
        <f t="shared" si="128"/>
        <v>3</v>
      </c>
      <c r="I206" s="5" t="str">
        <f t="shared" si="129"/>
        <v>Tie</v>
      </c>
      <c r="J206" s="5" t="str">
        <f t="shared" si="130"/>
        <v>Flight_8</v>
      </c>
      <c r="K206" s="1">
        <v>16.0</v>
      </c>
      <c r="L206" s="1">
        <v>30.0</v>
      </c>
    </row>
    <row r="207">
      <c r="A207" s="1" t="s">
        <v>46</v>
      </c>
      <c r="B207" s="5">
        <v>14.0</v>
      </c>
      <c r="C207" s="5">
        <f>SUMIFS(Back9_Scores!$C:$C, Back9_Scores!$A:$A, $A207, Back9_Scores!$B:$B, $B207)</f>
        <v>4</v>
      </c>
      <c r="D207" s="5">
        <f t="array" ref="D207">LET(
    flight_id, $A207,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207" s="5">
        <f t="shared" si="127"/>
        <v>4</v>
      </c>
      <c r="F207" s="5">
        <f>SUMIFS(Back9_Scores!$D:$D, Back9_Scores!$A:$A, $A207, Back9_Scores!$B:$B, $B207)</f>
        <v>4</v>
      </c>
      <c r="G207" s="5">
        <f t="array" ref="G207">LET(
    flight_id, $A207,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$B207,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207" s="5">
        <f t="shared" si="128"/>
        <v>4</v>
      </c>
      <c r="I207" s="5" t="str">
        <f t="shared" si="129"/>
        <v>Tie</v>
      </c>
      <c r="J207" s="5" t="str">
        <f t="shared" si="130"/>
        <v>Flight_8</v>
      </c>
      <c r="K207" s="1">
        <v>16.0</v>
      </c>
      <c r="L207" s="1">
        <v>30.0</v>
      </c>
    </row>
    <row r="208">
      <c r="A208" s="1" t="s">
        <v>46</v>
      </c>
      <c r="B208" s="5">
        <v>15.0</v>
      </c>
      <c r="C208" s="5">
        <f>SUMIFS(Back9_Scores!$C:$C, Back9_Scores!$A:$A, $A208, Back9_Scores!$B:$B, $B208)</f>
        <v>4</v>
      </c>
      <c r="D208" s="5">
        <f t="array" ref="D208">LET(
    flight_id, $A208,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208" s="5">
        <f t="shared" si="127"/>
        <v>4</v>
      </c>
      <c r="F208" s="5">
        <f>SUMIFS(Back9_Scores!$D:$D, Back9_Scores!$A:$A, $A208, Back9_Scores!$B:$B, $B208)</f>
        <v>3</v>
      </c>
      <c r="G208" s="5">
        <f t="array" ref="G208">LET(
    flight_id, $A208,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$B208,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208" s="5">
        <f t="shared" si="128"/>
        <v>3</v>
      </c>
      <c r="I208" s="5" t="str">
        <f t="shared" si="129"/>
        <v>Blue</v>
      </c>
      <c r="J208" s="5" t="str">
        <f t="shared" si="130"/>
        <v>Flight_8</v>
      </c>
      <c r="K208" s="1">
        <v>16.0</v>
      </c>
      <c r="L208" s="1">
        <v>30.0</v>
      </c>
    </row>
    <row r="209">
      <c r="A209" s="1" t="s">
        <v>46</v>
      </c>
      <c r="B209" s="5">
        <v>16.0</v>
      </c>
      <c r="C209" s="5">
        <f>SUMIFS(Back9_Scores!$C:$C, Back9_Scores!$A:$A, $A209, Back9_Scores!$B:$B, $B209)</f>
        <v>4</v>
      </c>
      <c r="D209" s="5">
        <f t="array" ref="D209">LET(
    flight_id, $A209,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$B209,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209" s="5">
        <f t="shared" si="127"/>
        <v>4</v>
      </c>
      <c r="F209" s="5">
        <f>SUMIFS(Back9_Scores!$D:$D, Back9_Scores!$A:$A, $A209, Back9_Scores!$B:$B, $B209)</f>
        <v>5</v>
      </c>
      <c r="G209" s="5">
        <f t="array" ref="G209">LET(
    flight_id, $A209,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$B209,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209" s="5">
        <f t="shared" si="128"/>
        <v>5</v>
      </c>
      <c r="I209" s="5" t="str">
        <f t="shared" si="129"/>
        <v>Red</v>
      </c>
      <c r="J209" s="5" t="str">
        <f t="shared" si="130"/>
        <v>Flight_8</v>
      </c>
      <c r="K209" s="1">
        <v>16.0</v>
      </c>
      <c r="L209" s="1">
        <v>30.0</v>
      </c>
    </row>
    <row r="210">
      <c r="A210" s="1" t="s">
        <v>46</v>
      </c>
      <c r="B210" s="5">
        <v>17.0</v>
      </c>
      <c r="C210" s="5">
        <f>SUMIFS(Back9_Scores!$C:$C, Back9_Scores!$A:$A, $A210, Back9_Scores!$B:$B, $B210)</f>
        <v>5</v>
      </c>
      <c r="D210" s="5">
        <f t="array" ref="D210">LET(
    flight_id, $A210,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$B210,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210" s="5">
        <f t="shared" si="127"/>
        <v>5</v>
      </c>
      <c r="F210" s="5">
        <f>SUMIFS(Back9_Scores!$D:$D, Back9_Scores!$A:$A, $A210, Back9_Scores!$B:$B, $B210)</f>
        <v>5</v>
      </c>
      <c r="G210" s="5">
        <f t="array" ref="G210">LET(
    flight_id, $A210,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$B210,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210" s="5">
        <f t="shared" si="128"/>
        <v>5</v>
      </c>
      <c r="I210" s="5" t="str">
        <f t="shared" si="129"/>
        <v>Tie</v>
      </c>
      <c r="J210" s="5" t="str">
        <f t="shared" si="130"/>
        <v>Flight_8</v>
      </c>
      <c r="K210" s="1">
        <v>16.0</v>
      </c>
      <c r="L210" s="1">
        <v>30.0</v>
      </c>
    </row>
    <row r="211">
      <c r="A211" s="1" t="s">
        <v>46</v>
      </c>
      <c r="B211" s="5">
        <v>18.0</v>
      </c>
      <c r="C211" s="5">
        <f>SUMIFS(Back9_Scores!$C:$C, Back9_Scores!$A:$A, $A211, Back9_Scores!$B:$B, $B211)</f>
        <v>6</v>
      </c>
      <c r="D211" s="5">
        <f t="array" ref="D211">LET(
    flight_id, $A211,
    flight_number, VALUE(RIGHT(flight_id, LEN(flight_id) - 7)),
    team_color, "Red",
    pair_id_to_find, "F" &amp; flight_number &amp; "-" &amp; team_color,
    pair_row, MATCH(pair_id_to_find, Calc_Engine!$I:$I, 0),
    team_hcp, INDEX(Calc_Engine!$M:$M, pair_row),
    current_hole, $B211,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E211" s="5">
        <f t="shared" si="127"/>
        <v>6</v>
      </c>
      <c r="F211" s="5">
        <f>SUMIFS(Back9_Scores!$D:$D, Back9_Scores!$A:$A, $A211, Back9_Scores!$B:$B, $B211)</f>
        <v>5</v>
      </c>
      <c r="G211" s="5">
        <f t="array" ref="G211">LET(
    flight_id, $A211,
    flight_number, VALUE(RIGHT(flight_id, LEN(flight_id) - 7)),
    team_color, "Blue",
    pair_id_to_find, "F" &amp; flight_number &amp; "-" &amp; team_color,
    pair_row, MATCH(pair_id_to_find, Calc_Engine!$I:$I, 0),
    team_hcp, INDEX(Calc_Engine!$M:$M, pair_row),
    current_hole, $B211,
    is_mixed, INDEX(Calc_Engine!$N:$N, pair_row),
    mixed_hcp_index, VLOOKUP(current_hole, Course!$A:$G, 7, FALSE),
    default_hcp_index, VLOOKUP(current_hole, Course!$A:$G, 4, FALSE),
    hole_hcp_index_to_use, IF(is_mixed, mixed_hcp_index, default_hcp_index),
    strokes, IF(team_hcp&gt;=hole_hcp_index_to_use, 1, 0) + 
             IF(team_hcp&gt;=(18+hole_hcp_index_to_use), 1, 0),
    strokes
)</f>
        <v>0</v>
      </c>
      <c r="H211" s="5">
        <f t="shared" si="128"/>
        <v>5</v>
      </c>
      <c r="I211" s="5" t="str">
        <f t="shared" si="129"/>
        <v>Blue</v>
      </c>
      <c r="J211" s="5" t="str">
        <f t="shared" si="130"/>
        <v>Flight_8</v>
      </c>
      <c r="K211" s="1">
        <v>16.0</v>
      </c>
      <c r="L211" s="1">
        <v>30.0</v>
      </c>
    </row>
    <row r="215">
      <c r="A215" s="2" t="s">
        <v>2</v>
      </c>
      <c r="B215" s="2" t="s">
        <v>309</v>
      </c>
      <c r="C215" s="2" t="s">
        <v>310</v>
      </c>
      <c r="D215" s="2" t="s">
        <v>311</v>
      </c>
      <c r="E215" s="2" t="s">
        <v>312</v>
      </c>
      <c r="F215" s="2" t="s">
        <v>313</v>
      </c>
      <c r="G215" s="2" t="s">
        <v>314</v>
      </c>
      <c r="H215" s="2" t="s">
        <v>315</v>
      </c>
      <c r="I215" s="2" t="s">
        <v>316</v>
      </c>
      <c r="J215" s="1" t="s">
        <v>317</v>
      </c>
      <c r="K215" s="1" t="s">
        <v>318</v>
      </c>
      <c r="L215" s="2" t="s">
        <v>319</v>
      </c>
      <c r="M215" s="1" t="s">
        <v>320</v>
      </c>
      <c r="N215" s="1" t="s">
        <v>321</v>
      </c>
      <c r="O215" s="1" t="s">
        <v>322</v>
      </c>
      <c r="P215" s="1" t="s">
        <v>323</v>
      </c>
      <c r="Q215" s="1" t="s">
        <v>324</v>
      </c>
      <c r="R215" s="1" t="s">
        <v>325</v>
      </c>
      <c r="S215" s="1" t="s">
        <v>326</v>
      </c>
    </row>
    <row r="216">
      <c r="A216" s="1" t="s">
        <v>8</v>
      </c>
      <c r="B216" s="1" t="s">
        <v>327</v>
      </c>
      <c r="C216" s="5">
        <f>COUNTIFS($W$36:$W$44, "Red")</f>
        <v>4</v>
      </c>
      <c r="D216" s="5">
        <f>COUNTIFS($W$36:$W$44, "Blue")</f>
        <v>2</v>
      </c>
      <c r="E216" s="1">
        <f>COUNTIFS($W$36:$W$44, "Tie")</f>
        <v>2</v>
      </c>
      <c r="F216" s="5" t="str">
        <f t="shared" ref="F216:F247" si="131">LET(
    rojas_ganadas, C216,
    azules_ganados, D216,
    empates, E216,
    hoyos_jugados, rojas_ganadas + azules_ganados + empates,
    hoyos_restantes, 9 - hoyos_jugados,
    lider_rojo, rojas_ganadas - azules_ganados,
    lider_azul, azules_ganados - rojas_ganadas,
    IF(hoyos_jugados = 0, "Not Started",
    IF(OR((lider_rojo &gt; hoyos_restantes), (lider_azul &gt; hoyos_restantes), hoyos_jugados = 9), "Final",
    IF(rojas_ganadas = azules_ganados, "A/S THRU " &amp; hoyos_jugados,
    IF(rojas_ganadas &gt; azules_ganados, "Red " &amp; lider_rojo &amp; " UP THRU " &amp; hoyos_jugados,
                                      "Blue " &amp; lider_azul &amp; " UP THRU " &amp; hoyos_jugados
    ))))
)</f>
        <v>Final</v>
      </c>
      <c r="G216" s="5">
        <f t="shared" ref="G216:G247" si="132">IF(F216="Final", IF(C216&gt;D216, I216, IF(C216=D216, I216/2, 0)), 0)</f>
        <v>1</v>
      </c>
      <c r="H216" s="5">
        <f t="shared" ref="H216:H247" si="133">IF(F216="Final", IF(D216&gt;C216, I216, IF(C216=D216, I216/2, 0)), 0)</f>
        <v>0</v>
      </c>
      <c r="I216" s="1">
        <f t="shared" ref="I216:I247" si="134">IF(B216="Scramble", IF(S216=TRUE, 1, 2), 1)</f>
        <v>1</v>
      </c>
      <c r="J216" s="1">
        <f t="shared" ref="J216:J247" si="135">IF(F216="Final",
     IF(C216&gt;D216, I216, IF(C216=D216, I216/2, 0)),
   IF(OR(F216="Not Started", H216="A/S"),
     I216/2,
     0))
</f>
        <v>1</v>
      </c>
      <c r="K216" s="1">
        <f t="shared" ref="K216:K247" si="136">IF(F216="Final",
     IF(D216&gt;C216, I216, IF(D216=C216, I216/2, 0)),
   IF(OR(F216="Not Started", H216="A/S"),
     I216/2,
     0))
</f>
        <v>0</v>
      </c>
      <c r="L216" s="1" t="str">
        <f t="shared" ref="L216:L247" si="137">A216 &amp; "_" &amp; B216
</f>
        <v>Flight_1_Fourball</v>
      </c>
      <c r="M216" s="5" t="str">
        <f t="array" ref="M216">INDEX($B:$B,$AA36) &amp; " / " &amp; INDEX($B:$B,$AB36)</f>
        <v>Fito / Adri Mejia</v>
      </c>
      <c r="N216" s="5" t="str">
        <f t="array" ref="N216">INDEX($B:$B,$AC36) &amp; " / " &amp; INDEX($B:$B,$AD36)</f>
        <v>Fercho / Gaitan</v>
      </c>
      <c r="O216" s="5" t="b">
        <f>IF(F216="Final", FALSE,
  IF(OR(F216="Not Started", F216=""),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F216))), NOT(ISERROR(FIND("1 UP", F216)))),
      AND(torneo_esta_vivo, partido_cerrado)
    )
  )
)</f>
        <v>0</v>
      </c>
      <c r="P216" s="5">
        <f>IF(F216="Final", 0,
  IF(OR(F216="Not Started", F216=""), 0,
    LET(
      puntos_rojos_totales, '🏆 Scoreboard'!$B$2,
      puntos_azules_totales, '🏆 Scoreboard'!$D$2,
      puntos_a_ganar, 20.5,
      puntos_en_juego, I216,
      texto_estado, F216,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16" s="5" t="str">
        <f t="shared" ref="Q216:Q247" si="138">IF(O216=FALSE, "",
  IF(NOT(ISERROR(FIND("A/S", F216))), "Partido empatado - este punto puede decidir el torneo",
    IF(NOT(ISERROR(FIND("Red", F216))), "Punto crítico para el momentum de Team Manu",
      IF(NOT(ISERROR(FIND("Blue", F216))), "Punto crítico para el momentum de Team Phil",
        "Partido crítico"
      )
    )
  )
)</f>
        <v/>
      </c>
      <c r="R216" s="5" t="str">
        <f t="shared" ref="R216:R247" si="139">IF(O216=FALSE, "",
  IF(P216 &gt;= 85, "🔥 EXTREME",
    IF(P216 &gt;= 70, "⚡ HIGH",
      IF(P216 &gt;= 50, "⚠️ MODERATE", "")
    )
  )
)</f>
        <v/>
      </c>
    </row>
    <row r="217">
      <c r="A217" s="1" t="s">
        <v>8</v>
      </c>
      <c r="B217" s="1" t="s">
        <v>328</v>
      </c>
      <c r="C217" s="5">
        <f>COUNTIFS($X$36:$X$44, "Red")</f>
        <v>4</v>
      </c>
      <c r="D217" s="5">
        <f>COUNTIFS($X$36:$X$44, "Blue")</f>
        <v>2</v>
      </c>
      <c r="E217" s="1">
        <f>COUNTIFS($X$36:$X$44, "Tie")</f>
        <v>2</v>
      </c>
      <c r="F217" s="5" t="str">
        <f t="shared" si="131"/>
        <v>Final</v>
      </c>
      <c r="G217" s="5">
        <f t="shared" si="132"/>
        <v>1</v>
      </c>
      <c r="H217" s="5">
        <f t="shared" si="133"/>
        <v>0</v>
      </c>
      <c r="I217" s="1">
        <f t="shared" si="134"/>
        <v>1</v>
      </c>
      <c r="J217" s="1">
        <f t="shared" si="135"/>
        <v>1</v>
      </c>
      <c r="K217" s="1">
        <f t="shared" si="136"/>
        <v>0</v>
      </c>
      <c r="L217" s="1" t="str">
        <f t="shared" si="137"/>
        <v>Flight_1_Individual 1</v>
      </c>
      <c r="M217" s="5" t="str">
        <f t="array" ref="M217">INDEX($B:$B,$AA36)</f>
        <v>Fito</v>
      </c>
      <c r="N217" s="5" t="str">
        <f t="array" ref="N217">INDEX($B:$B,$AC36)</f>
        <v>Fercho</v>
      </c>
      <c r="O217" s="5" t="b">
        <f>IF(F217="Final", FALSE,
  IF(OR(F217="Not Started", F217=""),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F217))), NOT(ISERROR(FIND("1 UP", F217)))),
      AND(torneo_esta_vivo, partido_cerrado)
    )
  )
)</f>
        <v>0</v>
      </c>
      <c r="P217" s="5">
        <f>IF(F217="Final", 0,
  IF(OR(F217="Not Started", F217=""), 0,
    LET(
      puntos_rojos_totales, '🏆 Scoreboard'!$B$2,
      puntos_azules_totales, '🏆 Scoreboard'!$D$2,
      puntos_a_ganar, 20.5,
      puntos_en_juego, I217,
      texto_estado, F217,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17" s="5" t="str">
        <f t="shared" si="138"/>
        <v/>
      </c>
      <c r="R217" s="5" t="str">
        <f t="shared" si="139"/>
        <v/>
      </c>
    </row>
    <row r="218">
      <c r="A218" s="1" t="s">
        <v>8</v>
      </c>
      <c r="B218" s="1" t="s">
        <v>329</v>
      </c>
      <c r="C218" s="5">
        <f>COUNTIFS($Y$36:$Y$44, "Red")</f>
        <v>2</v>
      </c>
      <c r="D218" s="5">
        <f>COUNTIFS($Y$36:$Y$44, "Blue")</f>
        <v>4</v>
      </c>
      <c r="E218" s="1">
        <f>COUNTIFS($Y$36:$Y$44, "Tie")</f>
        <v>2</v>
      </c>
      <c r="F218" s="5" t="str">
        <f t="shared" si="131"/>
        <v>Final</v>
      </c>
      <c r="G218" s="5">
        <f t="shared" si="132"/>
        <v>0</v>
      </c>
      <c r="H218" s="5">
        <f t="shared" si="133"/>
        <v>1</v>
      </c>
      <c r="I218" s="1">
        <f t="shared" si="134"/>
        <v>1</v>
      </c>
      <c r="J218" s="1">
        <f t="shared" si="135"/>
        <v>0</v>
      </c>
      <c r="K218" s="1">
        <f t="shared" si="136"/>
        <v>1</v>
      </c>
      <c r="L218" s="1" t="str">
        <f t="shared" si="137"/>
        <v>Flight_1_Individual 2</v>
      </c>
      <c r="M218" s="5" t="str">
        <f t="array" ref="M218">INDEX($B:$B,$AB36)</f>
        <v>Adri Mejia</v>
      </c>
      <c r="N218" s="5" t="str">
        <f t="array" ref="N218">INDEX($B:$B,$AD36)</f>
        <v>Gaitan</v>
      </c>
      <c r="O218" s="5" t="b">
        <f>IF(F218="Final", FALSE,
  IF(OR(F218="Not Started", F218=""),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F218))), NOT(ISERROR(FIND("1 UP", F218)))),
      AND(torneo_esta_vivo, partido_cerrado)
    )
  )
)</f>
        <v>0</v>
      </c>
      <c r="P218" s="5">
        <f>IF(F218="Final", 0,
  IF(OR(F218="Not Started", F218=""), 0,
    LET(
      puntos_rojos_totales, '🏆 Scoreboard'!$B$2,
      puntos_azules_totales, '🏆 Scoreboard'!$D$2,
      puntos_a_ganar, 20.5,
      puntos_en_juego, I218,
      texto_estado, F218,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18" s="5" t="str">
        <f t="shared" si="138"/>
        <v/>
      </c>
      <c r="R218" s="5" t="str">
        <f t="shared" si="139"/>
        <v/>
      </c>
    </row>
    <row r="219">
      <c r="A219" s="1" t="s">
        <v>8</v>
      </c>
      <c r="B219" s="1" t="s">
        <v>330</v>
      </c>
      <c r="C219" s="5">
        <f>COUNTIFS($I$126:$I$134, "Red")</f>
        <v>4</v>
      </c>
      <c r="D219" s="5">
        <f>COUNTIFS($I$126:$I$134, "Blue")</f>
        <v>1</v>
      </c>
      <c r="E219" s="5">
        <f>COUNTIFS($I$126:$I$134, "Tie")</f>
        <v>4</v>
      </c>
      <c r="F219" s="5" t="str">
        <f t="shared" si="131"/>
        <v>Final</v>
      </c>
      <c r="G219" s="5">
        <f t="shared" si="132"/>
        <v>2</v>
      </c>
      <c r="H219" s="5">
        <f t="shared" si="133"/>
        <v>0</v>
      </c>
      <c r="I219" s="1">
        <f t="shared" si="134"/>
        <v>2</v>
      </c>
      <c r="J219" s="1">
        <f t="shared" si="135"/>
        <v>2</v>
      </c>
      <c r="K219" s="1">
        <f t="shared" si="136"/>
        <v>0</v>
      </c>
      <c r="L219" s="1" t="str">
        <f t="shared" si="137"/>
        <v>Flight_1_Scramble</v>
      </c>
      <c r="M219" s="5" t="str">
        <f t="array" ref="M219">INDEX($B:$B,$AA36) &amp; " / " &amp; INDEX($B:$B,$AB36)</f>
        <v>Fito / Adri Mejia</v>
      </c>
      <c r="N219" s="5" t="str">
        <f t="array" ref="N219">INDEX($B:$B,$AC36) &amp; " / " &amp; INDEX($B:$B,$AD36)</f>
        <v>Fercho / Gaitan</v>
      </c>
      <c r="O219" s="5" t="b">
        <f>IF(F219="Final", FALSE,
  IF(OR(F219="Not Started", F219=""),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F219))), NOT(ISERROR(FIND("1 UP", F219)))),
      AND(torneo_esta_vivo, partido_cerrado)
    )
  )
)</f>
        <v>0</v>
      </c>
      <c r="P219" s="5">
        <f>IF(F219="Final", 0,
  IF(OR(F219="Not Started", F219=""), 0,
    LET(
      puntos_rojos_totales, '🏆 Scoreboard'!$B$2,
      puntos_azules_totales, '🏆 Scoreboard'!$D$2,
      puntos_a_ganar, 20.5,
      puntos_en_juego, I219,
      texto_estado, F219,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19" s="5" t="str">
        <f t="shared" si="138"/>
        <v/>
      </c>
      <c r="R219" s="5" t="str">
        <f t="shared" si="139"/>
        <v/>
      </c>
    </row>
    <row r="220">
      <c r="A220" s="1" t="s">
        <v>16</v>
      </c>
      <c r="B220" s="1" t="s">
        <v>327</v>
      </c>
      <c r="C220" s="5">
        <f>COUNTIFS($W$47:$W$55, "Red")</f>
        <v>2</v>
      </c>
      <c r="D220" s="5">
        <f>COUNTIFS($W$47:$W$55, "Blue")</f>
        <v>3</v>
      </c>
      <c r="E220" s="1">
        <f>COUNTIFS($W$47:$W$55, "Tie")</f>
        <v>4</v>
      </c>
      <c r="F220" s="5" t="str">
        <f t="shared" si="131"/>
        <v>Final</v>
      </c>
      <c r="G220" s="5">
        <f t="shared" si="132"/>
        <v>0</v>
      </c>
      <c r="H220" s="5">
        <f t="shared" si="133"/>
        <v>1</v>
      </c>
      <c r="I220" s="1">
        <f t="shared" si="134"/>
        <v>1</v>
      </c>
      <c r="J220" s="1">
        <f t="shared" si="135"/>
        <v>0</v>
      </c>
      <c r="K220" s="1">
        <f t="shared" si="136"/>
        <v>1</v>
      </c>
      <c r="L220" s="1" t="str">
        <f t="shared" si="137"/>
        <v>Flight_2_Fourball</v>
      </c>
      <c r="M220" s="5" t="str">
        <f t="array" ref="M220">INDEX($B:$B,$AA47) &amp; " / " &amp; INDEX($B:$B,$AB47)</f>
        <v>Cadavid / Saenz</v>
      </c>
      <c r="N220" s="5" t="str">
        <f t="array" ref="N220">INDEX($B:$B,$AC47) &amp; " / " &amp; INDEX($B:$B,$AD47)</f>
        <v>Otto Fenwarth / Valenzuela</v>
      </c>
      <c r="O220" s="5" t="b">
        <f>IF(F220="Final", FALSE,
  IF(OR(F220="Not Started", F220=""),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F220))), NOT(ISERROR(FIND("1 UP", F220)))),
      AND(torneo_esta_vivo, partido_cerrado)
    )
  )
)</f>
        <v>0</v>
      </c>
      <c r="P220" s="5">
        <f>IF(F220="Final", 0,
  IF(OR(F220="Not Started", F220=""), 0,
    LET(
      puntos_rojos_totales, '🏆 Scoreboard'!$B$2,
      puntos_azules_totales, '🏆 Scoreboard'!$D$2,
      puntos_a_ganar, 20.5,
      puntos_en_juego, I220,
      texto_estado, F220,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0" s="5" t="str">
        <f t="shared" si="138"/>
        <v/>
      </c>
      <c r="R220" s="5" t="str">
        <f t="shared" si="139"/>
        <v/>
      </c>
    </row>
    <row r="221">
      <c r="A221" s="1" t="s">
        <v>16</v>
      </c>
      <c r="B221" s="1" t="s">
        <v>328</v>
      </c>
      <c r="C221" s="5">
        <f>COUNTIFS($X$47:$X$55, "Red")</f>
        <v>4</v>
      </c>
      <c r="D221" s="5">
        <f>COUNTIFS($X$47:$X$55, "Blue")</f>
        <v>2</v>
      </c>
      <c r="E221" s="1">
        <f>COUNTIFS($X$47:$X$55, "Tie")</f>
        <v>3</v>
      </c>
      <c r="F221" s="5" t="str">
        <f t="shared" si="131"/>
        <v>Final</v>
      </c>
      <c r="G221" s="5">
        <f t="shared" si="132"/>
        <v>1</v>
      </c>
      <c r="H221" s="5">
        <f t="shared" si="133"/>
        <v>0</v>
      </c>
      <c r="I221" s="1">
        <f t="shared" si="134"/>
        <v>1</v>
      </c>
      <c r="J221" s="1">
        <f t="shared" si="135"/>
        <v>1</v>
      </c>
      <c r="K221" s="1">
        <f t="shared" si="136"/>
        <v>0</v>
      </c>
      <c r="L221" s="1" t="str">
        <f t="shared" si="137"/>
        <v>Flight_2_Individual 1</v>
      </c>
      <c r="M221" s="5" t="str">
        <f t="array" ref="M221">INDEX($B:$B,$AA47)</f>
        <v>Cadavid</v>
      </c>
      <c r="N221" s="5" t="str">
        <f t="array" ref="N221">INDEX($B:$B,$AC47)</f>
        <v>Otto Fenwarth</v>
      </c>
      <c r="O221" s="5" t="b">
        <f>IF(F221="Final", FALSE,
  IF(OR(F221="Not Started", F221=""),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F221))), NOT(ISERROR(FIND("1 UP", F221)))),
      AND(torneo_esta_vivo, partido_cerrado)
    )
  )
)</f>
        <v>0</v>
      </c>
      <c r="P221" s="5">
        <f>IF(F221="Final", 0,
  IF(OR(F221="Not Started", F221=""), 0,
    LET(
      puntos_rojos_totales, '🏆 Scoreboard'!$B$2,
      puntos_azules_totales, '🏆 Scoreboard'!$D$2,
      puntos_a_ganar, 20.5,
      puntos_en_juego, I221,
      texto_estado, F221,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1" s="5" t="str">
        <f t="shared" si="138"/>
        <v/>
      </c>
      <c r="R221" s="5" t="str">
        <f t="shared" si="139"/>
        <v/>
      </c>
    </row>
    <row r="222">
      <c r="A222" s="1" t="s">
        <v>16</v>
      </c>
      <c r="B222" s="1" t="s">
        <v>329</v>
      </c>
      <c r="C222" s="5">
        <f>COUNTIFS($Y$47:$Y$55, "Red")</f>
        <v>1</v>
      </c>
      <c r="D222" s="5">
        <f>COUNTIFS($Y$47:$Y$55, "Blue")</f>
        <v>4</v>
      </c>
      <c r="E222" s="1">
        <f>COUNTIFS($Y$47:$Y$55, "Tie")</f>
        <v>4</v>
      </c>
      <c r="F222" s="5" t="str">
        <f t="shared" si="131"/>
        <v>Final</v>
      </c>
      <c r="G222" s="5">
        <f t="shared" si="132"/>
        <v>0</v>
      </c>
      <c r="H222" s="5">
        <f t="shared" si="133"/>
        <v>1</v>
      </c>
      <c r="I222" s="1">
        <f t="shared" si="134"/>
        <v>1</v>
      </c>
      <c r="J222" s="1">
        <f t="shared" si="135"/>
        <v>0</v>
      </c>
      <c r="K222" s="1">
        <f t="shared" si="136"/>
        <v>1</v>
      </c>
      <c r="L222" s="1" t="str">
        <f t="shared" si="137"/>
        <v>Flight_2_Individual 2</v>
      </c>
      <c r="M222" s="5" t="str">
        <f t="array" ref="M222">INDEX($B:$B,$AB47)</f>
        <v>Saenz</v>
      </c>
      <c r="N222" s="5" t="str">
        <f t="array" ref="N222">INDEX($B:$B,$AD47)</f>
        <v>Valenzuela</v>
      </c>
      <c r="O222" s="5" t="b">
        <f>IF(F222="Final", FALSE,
  IF(OR(F222="Not Started", F222=""),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F222))), NOT(ISERROR(FIND("1 UP", F222)))),
      AND(torneo_esta_vivo, partido_cerrado)
    )
  )
)</f>
        <v>0</v>
      </c>
      <c r="P222" s="5">
        <f>IF(F222="Final", 0,
  IF(OR(F222="Not Started", F222=""), 0,
    LET(
      puntos_rojos_totales, '🏆 Scoreboard'!$B$2,
      puntos_azules_totales, '🏆 Scoreboard'!$D$2,
      puntos_a_ganar, 20.5,
      puntos_en_juego, I222,
      texto_estado, F222,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2" s="5" t="str">
        <f t="shared" si="138"/>
        <v/>
      </c>
      <c r="R222" s="5" t="str">
        <f t="shared" si="139"/>
        <v/>
      </c>
    </row>
    <row r="223">
      <c r="A223" s="1" t="s">
        <v>16</v>
      </c>
      <c r="B223" s="1" t="s">
        <v>330</v>
      </c>
      <c r="C223" s="5">
        <f>COUNTIFS($I$137:$I$145, "Red")</f>
        <v>1</v>
      </c>
      <c r="D223" s="5">
        <f>COUNTIFS($I$137:$I$145, "Blue")</f>
        <v>3</v>
      </c>
      <c r="E223" s="5">
        <f>COUNTIFS($I$137:$I$145, "Tie")</f>
        <v>4</v>
      </c>
      <c r="F223" s="5" t="str">
        <f t="shared" si="131"/>
        <v>Final</v>
      </c>
      <c r="G223" s="5">
        <f t="shared" si="132"/>
        <v>0</v>
      </c>
      <c r="H223" s="5">
        <f t="shared" si="133"/>
        <v>2</v>
      </c>
      <c r="I223" s="1">
        <f t="shared" si="134"/>
        <v>2</v>
      </c>
      <c r="J223" s="1">
        <f t="shared" si="135"/>
        <v>0</v>
      </c>
      <c r="K223" s="1">
        <f t="shared" si="136"/>
        <v>2</v>
      </c>
      <c r="L223" s="1" t="str">
        <f t="shared" si="137"/>
        <v>Flight_2_Scramble</v>
      </c>
      <c r="M223" s="5" t="str">
        <f t="array" ref="M223">INDEX($B:$B,$AA47) &amp; " / " &amp; INDEX($B:$B,$AB47)</f>
        <v>Cadavid / Saenz</v>
      </c>
      <c r="N223" s="5" t="str">
        <f t="array" ref="N223">INDEX($B:$B,$AC47) &amp; " / " &amp; INDEX($B:$B,$AD47)</f>
        <v>Otto Fenwarth / Valenzuela</v>
      </c>
      <c r="O223" s="5" t="b">
        <f>IF(F223="Final", FALSE,
  IF(OR(F223="Not Started", F223=""),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F223))), NOT(ISERROR(FIND("1 UP", F223)))),
      AND(torneo_esta_vivo, partido_cerrado)
    )
  )
)</f>
        <v>0</v>
      </c>
      <c r="P223" s="5">
        <f>IF(F223="Final", 0,
  IF(OR(F223="Not Started", F223=""), 0,
    LET(
      puntos_rojos_totales, '🏆 Scoreboard'!$B$2,
      puntos_azules_totales, '🏆 Scoreboard'!$D$2,
      puntos_a_ganar, 20.5,
      puntos_en_juego, I223,
      texto_estado, F223,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3" s="5" t="str">
        <f t="shared" si="138"/>
        <v/>
      </c>
      <c r="R223" s="5" t="str">
        <f t="shared" si="139"/>
        <v/>
      </c>
    </row>
    <row r="224">
      <c r="A224" s="1" t="s">
        <v>21</v>
      </c>
      <c r="B224" s="1" t="s">
        <v>327</v>
      </c>
      <c r="C224" s="5">
        <f>COUNTIFS($W$58:$W$66, "Red")</f>
        <v>5</v>
      </c>
      <c r="D224" s="5">
        <f>COUNTIFS($W$58:$W$66, "Blue")</f>
        <v>1</v>
      </c>
      <c r="E224" s="1">
        <f>COUNTIFS($W$58:$W$66, "Tie")</f>
        <v>2</v>
      </c>
      <c r="F224" s="5" t="str">
        <f t="shared" si="131"/>
        <v>Final</v>
      </c>
      <c r="G224" s="5">
        <f t="shared" si="132"/>
        <v>1</v>
      </c>
      <c r="H224" s="5">
        <f t="shared" si="133"/>
        <v>0</v>
      </c>
      <c r="I224" s="1">
        <f t="shared" si="134"/>
        <v>1</v>
      </c>
      <c r="J224" s="1">
        <f t="shared" si="135"/>
        <v>1</v>
      </c>
      <c r="K224" s="1">
        <f t="shared" si="136"/>
        <v>0</v>
      </c>
      <c r="L224" s="1" t="str">
        <f t="shared" si="137"/>
        <v>Flight_3_Fourball</v>
      </c>
      <c r="M224" s="5" t="str">
        <f t="array" ref="M224">INDEX($B:$B,$AA58) &amp; " / " &amp; INDEX($B:$B,$AB58)</f>
        <v>Berris / Pablo Rueda</v>
      </c>
      <c r="N224" s="5" t="str">
        <f t="array" ref="N224">INDEX($B:$B,$AC58) &amp; " / " &amp; INDEX($B:$B,$AD58)</f>
        <v>Vargas / Mon</v>
      </c>
      <c r="O224" s="5" t="b">
        <f>IF(F224="Final", FALSE,
  IF(OR(F224="Not Started", F224=""),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F224))), NOT(ISERROR(FIND("1 UP", F224)))),
      AND(torneo_esta_vivo, partido_cerrado)
    )
  )
)</f>
        <v>0</v>
      </c>
      <c r="P224" s="5">
        <f>IF(F224="Final", 0,
  IF(OR(F224="Not Started", F224=""), 0,
    LET(
      puntos_rojos_totales, '🏆 Scoreboard'!$B$2,
      puntos_azules_totales, '🏆 Scoreboard'!$D$2,
      puntos_a_ganar, 20.5,
      puntos_en_juego, I224,
      texto_estado, F224,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4" s="5" t="str">
        <f t="shared" si="138"/>
        <v/>
      </c>
      <c r="R224" s="5" t="str">
        <f t="shared" si="139"/>
        <v/>
      </c>
    </row>
    <row r="225">
      <c r="A225" s="1" t="s">
        <v>21</v>
      </c>
      <c r="B225" s="1" t="s">
        <v>328</v>
      </c>
      <c r="C225" s="5">
        <f>COUNTIFS($X$58:$X$66, "Red")</f>
        <v>4</v>
      </c>
      <c r="D225" s="5">
        <f>COUNTIFS($X$58:$X$66, "Blue")</f>
        <v>1</v>
      </c>
      <c r="E225" s="1">
        <f>COUNTIFS($X$58:$X$66, "Tie")</f>
        <v>3</v>
      </c>
      <c r="F225" s="5" t="str">
        <f t="shared" si="131"/>
        <v>Final</v>
      </c>
      <c r="G225" s="5">
        <f t="shared" si="132"/>
        <v>1</v>
      </c>
      <c r="H225" s="5">
        <f t="shared" si="133"/>
        <v>0</v>
      </c>
      <c r="I225" s="1">
        <f t="shared" si="134"/>
        <v>1</v>
      </c>
      <c r="J225" s="1">
        <f t="shared" si="135"/>
        <v>1</v>
      </c>
      <c r="K225" s="1">
        <f t="shared" si="136"/>
        <v>0</v>
      </c>
      <c r="L225" s="1" t="str">
        <f t="shared" si="137"/>
        <v>Flight_3_Individual 1</v>
      </c>
      <c r="M225" s="5" t="str">
        <f t="array" ref="M225">INDEX($B:$B,$AA58)</f>
        <v>Berris</v>
      </c>
      <c r="N225" s="5" t="str">
        <f t="array" ref="N225">INDEX($B:$B,$AC58)</f>
        <v>Vargas</v>
      </c>
      <c r="O225" s="5" t="b">
        <f>IF(F225="Final", FALSE,
  IF(OR(F225="Not Started", F225=""),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F225))), NOT(ISERROR(FIND("1 UP", F225)))),
      AND(torneo_esta_vivo, partido_cerrado)
    )
  )
)</f>
        <v>0</v>
      </c>
      <c r="P225" s="5">
        <f>IF(F225="Final", 0,
  IF(OR(F225="Not Started", F225=""), 0,
    LET(
      puntos_rojos_totales, '🏆 Scoreboard'!$B$2,
      puntos_azules_totales, '🏆 Scoreboard'!$D$2,
      puntos_a_ganar, 20.5,
      puntos_en_juego, I225,
      texto_estado, F225,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5" s="5" t="str">
        <f t="shared" si="138"/>
        <v/>
      </c>
      <c r="R225" s="5" t="str">
        <f t="shared" si="139"/>
        <v/>
      </c>
    </row>
    <row r="226">
      <c r="A226" s="1" t="s">
        <v>21</v>
      </c>
      <c r="B226" s="1" t="s">
        <v>329</v>
      </c>
      <c r="C226" s="5">
        <f>COUNTIFS($Y$58:$Y$66, "Red")</f>
        <v>4</v>
      </c>
      <c r="D226" s="5">
        <f>COUNTIFS($Y$58:$Y$66, "Blue")</f>
        <v>0</v>
      </c>
      <c r="E226" s="1">
        <f>COUNTIFS($Y$58:$Y$66, "Tie")</f>
        <v>4</v>
      </c>
      <c r="F226" s="5" t="str">
        <f t="shared" si="131"/>
        <v>Final</v>
      </c>
      <c r="G226" s="5">
        <f t="shared" si="132"/>
        <v>1</v>
      </c>
      <c r="H226" s="5">
        <f t="shared" si="133"/>
        <v>0</v>
      </c>
      <c r="I226" s="1">
        <f t="shared" si="134"/>
        <v>1</v>
      </c>
      <c r="J226" s="1">
        <f t="shared" si="135"/>
        <v>1</v>
      </c>
      <c r="K226" s="1">
        <f t="shared" si="136"/>
        <v>0</v>
      </c>
      <c r="L226" s="1" t="str">
        <f t="shared" si="137"/>
        <v>Flight_3_Individual 2</v>
      </c>
      <c r="M226" s="5" t="str">
        <f t="array" ref="M226">INDEX($B:$B,$AB58)</f>
        <v>Pablo Rueda</v>
      </c>
      <c r="N226" s="5" t="str">
        <f t="array" ref="N226">INDEX($B:$B,$AD58)</f>
        <v>Mon</v>
      </c>
      <c r="O226" s="5" t="b">
        <f>IF(F226="Final", FALSE,
  IF(OR(F226="Not Started", F226=""),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F226))), NOT(ISERROR(FIND("1 UP", F226)))),
      AND(torneo_esta_vivo, partido_cerrado)
    )
  )
)</f>
        <v>0</v>
      </c>
      <c r="P226" s="5">
        <f>IF(F226="Final", 0,
  IF(OR(F226="Not Started", F226=""), 0,
    LET(
      puntos_rojos_totales, '🏆 Scoreboard'!$B$2,
      puntos_azules_totales, '🏆 Scoreboard'!$D$2,
      puntos_a_ganar, 20.5,
      puntos_en_juego, I226,
      texto_estado, F226,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6" s="5" t="str">
        <f t="shared" si="138"/>
        <v/>
      </c>
      <c r="R226" s="5" t="str">
        <f t="shared" si="139"/>
        <v/>
      </c>
    </row>
    <row r="227">
      <c r="A227" s="1" t="s">
        <v>21</v>
      </c>
      <c r="B227" s="1" t="s">
        <v>330</v>
      </c>
      <c r="C227" s="5">
        <f>COUNTIFS($I$148:$I$156, "Red")</f>
        <v>1</v>
      </c>
      <c r="D227" s="5">
        <f>COUNTIFS($I$148:$I$156, "Blue")</f>
        <v>3</v>
      </c>
      <c r="E227" s="5">
        <f>COUNTIFS($I$148:$I$156, "Tie")</f>
        <v>4</v>
      </c>
      <c r="F227" s="5" t="str">
        <f t="shared" si="131"/>
        <v>Final</v>
      </c>
      <c r="G227" s="5">
        <f t="shared" si="132"/>
        <v>0</v>
      </c>
      <c r="H227" s="5">
        <f t="shared" si="133"/>
        <v>2</v>
      </c>
      <c r="I227" s="1">
        <f t="shared" si="134"/>
        <v>2</v>
      </c>
      <c r="J227" s="1">
        <f t="shared" si="135"/>
        <v>0</v>
      </c>
      <c r="K227" s="1">
        <f t="shared" si="136"/>
        <v>2</v>
      </c>
      <c r="L227" s="1" t="str">
        <f t="shared" si="137"/>
        <v>Flight_3_Scramble</v>
      </c>
      <c r="M227" s="5" t="str">
        <f t="array" ref="M227">INDEX($B:$B,$AA61) &amp; " / " &amp; INDEX($B:$B,$AB61)</f>
        <v>Berris / Pablo Rueda</v>
      </c>
      <c r="N227" s="5" t="str">
        <f t="array" ref="N227">INDEX($B:$B,$AC61) &amp; " / " &amp; INDEX($B:$B,$AD61)</f>
        <v>Vargas / Mon</v>
      </c>
      <c r="O227" s="5" t="b">
        <f>IF(F227="Final", FALSE,
  IF(OR(F227="Not Started", F227=""),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F227))), NOT(ISERROR(FIND("1 UP", F227)))),
      AND(torneo_esta_vivo, partido_cerrado)
    )
  )
)</f>
        <v>0</v>
      </c>
      <c r="P227" s="5">
        <f>IF(F227="Final", 0,
  IF(OR(F227="Not Started", F227=""), 0,
    LET(
      puntos_rojos_totales, '🏆 Scoreboard'!$B$2,
      puntos_azules_totales, '🏆 Scoreboard'!$D$2,
      puntos_a_ganar, 20.5,
      puntos_en_juego, I227,
      texto_estado, F227,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7" s="5" t="str">
        <f t="shared" si="138"/>
        <v/>
      </c>
      <c r="R227" s="5" t="str">
        <f t="shared" si="139"/>
        <v/>
      </c>
    </row>
    <row r="228">
      <c r="A228" s="1" t="s">
        <v>26</v>
      </c>
      <c r="B228" s="1" t="s">
        <v>327</v>
      </c>
      <c r="C228" s="5">
        <f>COUNTIFS($W$69:$W$77, "Red")</f>
        <v>5</v>
      </c>
      <c r="D228" s="5">
        <f>COUNTIFS($W$69:$W$77, "Blue")</f>
        <v>1</v>
      </c>
      <c r="E228" s="1">
        <f>COUNTIFS($W$69:$W$77, "Tie")</f>
        <v>3</v>
      </c>
      <c r="F228" s="5" t="str">
        <f t="shared" si="131"/>
        <v>Final</v>
      </c>
      <c r="G228" s="5">
        <f t="shared" si="132"/>
        <v>1</v>
      </c>
      <c r="H228" s="5">
        <f t="shared" si="133"/>
        <v>0</v>
      </c>
      <c r="I228" s="1">
        <f t="shared" si="134"/>
        <v>1</v>
      </c>
      <c r="J228" s="1">
        <f t="shared" si="135"/>
        <v>1</v>
      </c>
      <c r="K228" s="1">
        <f t="shared" si="136"/>
        <v>0</v>
      </c>
      <c r="L228" s="1" t="str">
        <f t="shared" si="137"/>
        <v>Flight_4_Fourball</v>
      </c>
      <c r="M228" s="5" t="str">
        <f t="array" ref="M228">INDEX($B:$B,$AA69) &amp; " / " &amp; INDEX($B:$B,$AB69)</f>
        <v>Matiz / Esguerra</v>
      </c>
      <c r="N228" s="5" t="str">
        <f t="array" ref="N228">INDEX($B:$B,$AC69) &amp; " / " &amp; INDEX($B:$B,$AD69)</f>
        <v>Luca / Rocha</v>
      </c>
      <c r="O228" s="5" t="b">
        <f>IF(F228="Final", FALSE,
  IF(OR(F228="Not Started", F228=""),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F228))), NOT(ISERROR(FIND("1 UP", F228)))),
      AND(torneo_esta_vivo, partido_cerrado)
    )
  )
)</f>
        <v>0</v>
      </c>
      <c r="P228" s="5">
        <f>IF(F228="Final", 0,
  IF(OR(F228="Not Started", F228=""), 0,
    LET(
      puntos_rojos_totales, '🏆 Scoreboard'!$B$2,
      puntos_azules_totales, '🏆 Scoreboard'!$D$2,
      puntos_a_ganar, 20.5,
      puntos_en_juego, I228,
      texto_estado, F228,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8" s="5" t="str">
        <f t="shared" si="138"/>
        <v/>
      </c>
      <c r="R228" s="5" t="str">
        <f t="shared" si="139"/>
        <v/>
      </c>
    </row>
    <row r="229">
      <c r="A229" s="1" t="s">
        <v>26</v>
      </c>
      <c r="B229" s="1" t="s">
        <v>328</v>
      </c>
      <c r="C229" s="5">
        <f>COUNTIFS($X$69:$X$77, "Red")</f>
        <v>6</v>
      </c>
      <c r="D229" s="5">
        <f>COUNTIFS($X$69:$X$77, "Blue")</f>
        <v>1</v>
      </c>
      <c r="E229" s="1">
        <f>COUNTIFS($X$69:$X$77, "Tie")</f>
        <v>2</v>
      </c>
      <c r="F229" s="5" t="str">
        <f t="shared" si="131"/>
        <v>Final</v>
      </c>
      <c r="G229" s="5">
        <f t="shared" si="132"/>
        <v>1</v>
      </c>
      <c r="H229" s="5">
        <f t="shared" si="133"/>
        <v>0</v>
      </c>
      <c r="I229" s="1">
        <f t="shared" si="134"/>
        <v>1</v>
      </c>
      <c r="J229" s="1">
        <f t="shared" si="135"/>
        <v>1</v>
      </c>
      <c r="K229" s="1">
        <f t="shared" si="136"/>
        <v>0</v>
      </c>
      <c r="L229" s="1" t="str">
        <f t="shared" si="137"/>
        <v>Flight_4_Individual 1</v>
      </c>
      <c r="M229" s="5" t="str">
        <f t="array" ref="M229">INDEX($B:$B,$AA69)</f>
        <v>Matiz</v>
      </c>
      <c r="N229" s="5" t="str">
        <f t="array" ref="N229">INDEX($B:$B,$AC69)</f>
        <v>Luca</v>
      </c>
      <c r="O229" s="5" t="b">
        <f>IF(F229="Final", FALSE,
  IF(OR(F229="Not Started", F229=""),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F229))), NOT(ISERROR(FIND("1 UP", F229)))),
      AND(torneo_esta_vivo, partido_cerrado)
    )
  )
)</f>
        <v>0</v>
      </c>
      <c r="P229" s="5">
        <f>IF(F229="Final", 0,
  IF(OR(F229="Not Started", F229=""), 0,
    LET(
      puntos_rojos_totales, '🏆 Scoreboard'!$B$2,
      puntos_azules_totales, '🏆 Scoreboard'!$D$2,
      puntos_a_ganar, 20.5,
      puntos_en_juego, I229,
      texto_estado, F229,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29" s="5" t="str">
        <f t="shared" si="138"/>
        <v/>
      </c>
      <c r="R229" s="5" t="str">
        <f t="shared" si="139"/>
        <v/>
      </c>
    </row>
    <row r="230">
      <c r="A230" s="1" t="s">
        <v>26</v>
      </c>
      <c r="B230" s="1" t="s">
        <v>329</v>
      </c>
      <c r="C230" s="5">
        <f>COUNTIFS($Y$69:$Y$77, "Red")</f>
        <v>4</v>
      </c>
      <c r="D230" s="5">
        <f>COUNTIFS($Y$69:$Y$77, "Blue")</f>
        <v>2</v>
      </c>
      <c r="E230" s="1">
        <f>COUNTIFS($Y$69:$Y$77, "Tie")</f>
        <v>3</v>
      </c>
      <c r="F230" s="5" t="str">
        <f t="shared" si="131"/>
        <v>Final</v>
      </c>
      <c r="G230" s="5">
        <f t="shared" si="132"/>
        <v>1</v>
      </c>
      <c r="H230" s="5">
        <f t="shared" si="133"/>
        <v>0</v>
      </c>
      <c r="I230" s="1">
        <f t="shared" si="134"/>
        <v>1</v>
      </c>
      <c r="J230" s="1">
        <f t="shared" si="135"/>
        <v>1</v>
      </c>
      <c r="K230" s="1">
        <f t="shared" si="136"/>
        <v>0</v>
      </c>
      <c r="L230" s="1" t="str">
        <f t="shared" si="137"/>
        <v>Flight_4_Individual 2</v>
      </c>
      <c r="M230" s="5" t="str">
        <f t="array" ref="M230">INDEX($B:$B,$AB69)</f>
        <v>Esguerra</v>
      </c>
      <c r="N230" s="5" t="str">
        <f t="array" ref="N230">INDEX($B:$B,$AD69)</f>
        <v>Rocha</v>
      </c>
      <c r="O230" s="5" t="b">
        <f>IF(F230="Final", FALSE,
  IF(OR(F230="Not Started", F230=""),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F230))), NOT(ISERROR(FIND("1 UP", F230)))),
      AND(torneo_esta_vivo, partido_cerrado)
    )
  )
)</f>
        <v>0</v>
      </c>
      <c r="P230" s="5">
        <f>IF(F230="Final", 0,
  IF(OR(F230="Not Started", F230=""), 0,
    LET(
      puntos_rojos_totales, '🏆 Scoreboard'!$B$2,
      puntos_azules_totales, '🏆 Scoreboard'!$D$2,
      puntos_a_ganar, 20.5,
      puntos_en_juego, I230,
      texto_estado, F230,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0" s="5" t="str">
        <f t="shared" si="138"/>
        <v/>
      </c>
      <c r="R230" s="5" t="str">
        <f t="shared" si="139"/>
        <v/>
      </c>
    </row>
    <row r="231">
      <c r="A231" s="1" t="s">
        <v>26</v>
      </c>
      <c r="B231" s="1" t="s">
        <v>330</v>
      </c>
      <c r="C231" s="5">
        <f>COUNTIFS($I$159:$I$167, "Red")</f>
        <v>2</v>
      </c>
      <c r="D231" s="5">
        <f>COUNTIFS($I$159:$I$167, "Blue")</f>
        <v>2</v>
      </c>
      <c r="E231" s="5">
        <f>COUNTIFS($I$159:$I$167, "Tie")</f>
        <v>5</v>
      </c>
      <c r="F231" s="5" t="str">
        <f t="shared" si="131"/>
        <v>Final</v>
      </c>
      <c r="G231" s="5">
        <f t="shared" si="132"/>
        <v>1</v>
      </c>
      <c r="H231" s="5">
        <f t="shared" si="133"/>
        <v>1</v>
      </c>
      <c r="I231" s="1">
        <f t="shared" si="134"/>
        <v>2</v>
      </c>
      <c r="J231" s="1">
        <f t="shared" si="135"/>
        <v>1</v>
      </c>
      <c r="K231" s="1">
        <f t="shared" si="136"/>
        <v>1</v>
      </c>
      <c r="L231" s="1" t="str">
        <f t="shared" si="137"/>
        <v>Flight_4_Scramble</v>
      </c>
      <c r="M231" s="5" t="str">
        <f t="array" ref="M231">INDEX($B:$B,$AA69) &amp; " / " &amp; INDEX($B:$B,$AB69)</f>
        <v>Matiz / Esguerra</v>
      </c>
      <c r="N231" s="5" t="str">
        <f t="array" ref="N231">INDEX($B:$B,$AC69) &amp; " / " &amp; INDEX($B:$B,$AD69)</f>
        <v>Luca / Rocha</v>
      </c>
      <c r="O231" s="5" t="b">
        <f>IF(F231="Final", FALSE,
  IF(OR(F231="Not Started", F231=""),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F231))), NOT(ISERROR(FIND("1 UP", F231)))),
      AND(torneo_esta_vivo, partido_cerrado)
    )
  )
)</f>
        <v>0</v>
      </c>
      <c r="P231" s="5">
        <f>IF(F231="Final", 0,
  IF(OR(F231="Not Started", F231=""), 0,
    LET(
      puntos_rojos_totales, '🏆 Scoreboard'!$B$2,
      puntos_azules_totales, '🏆 Scoreboard'!$D$2,
      puntos_a_ganar, 20.5,
      puntos_en_juego, I231,
      texto_estado, F231,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1" s="5" t="str">
        <f t="shared" si="138"/>
        <v/>
      </c>
      <c r="R231" s="5" t="str">
        <f t="shared" si="139"/>
        <v/>
      </c>
    </row>
    <row r="232">
      <c r="A232" s="1" t="s">
        <v>31</v>
      </c>
      <c r="B232" s="1" t="s">
        <v>327</v>
      </c>
      <c r="C232" s="5">
        <f>COUNTIFS($W$80:$W$88, "Red")</f>
        <v>4</v>
      </c>
      <c r="D232" s="5">
        <f>COUNTIFS($W$80:$W$88, "Blue")</f>
        <v>4</v>
      </c>
      <c r="E232" s="1">
        <f>COUNTIFS($W$80:$W$88, "Tie")</f>
        <v>1</v>
      </c>
      <c r="F232" s="5" t="str">
        <f t="shared" si="131"/>
        <v>Final</v>
      </c>
      <c r="G232" s="5">
        <f t="shared" si="132"/>
        <v>0.5</v>
      </c>
      <c r="H232" s="5">
        <f t="shared" si="133"/>
        <v>0.5</v>
      </c>
      <c r="I232" s="1">
        <f t="shared" si="134"/>
        <v>1</v>
      </c>
      <c r="J232" s="1">
        <f t="shared" si="135"/>
        <v>0.5</v>
      </c>
      <c r="K232" s="1">
        <f t="shared" si="136"/>
        <v>0.5</v>
      </c>
      <c r="L232" s="1" t="str">
        <f t="shared" si="137"/>
        <v>Flight_5_Fourball</v>
      </c>
      <c r="M232" s="5" t="str">
        <f t="array" ref="M232">INDEX($B:$B,$AA80) &amp; " / " &amp; INDEX($B:$B,$AB80)</f>
        <v>Pulido / Otoya</v>
      </c>
      <c r="N232" s="5" t="str">
        <f t="array" ref="N232">INDEX($B:$B,$AC80) &amp; " / " &amp; INDEX($B:$B,$AD80)</f>
        <v>Sardi / JC Casas</v>
      </c>
      <c r="O232" s="5" t="b">
        <f>IF(F232="Final", FALSE,
  IF(OR(F232="Not Started", F232=""),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F232))), NOT(ISERROR(FIND("1 UP", F232)))),
      AND(torneo_esta_vivo, partido_cerrado)
    )
  )
)</f>
        <v>0</v>
      </c>
      <c r="P232" s="5">
        <f>IF(F232="Final", 0,
  IF(OR(F232="Not Started", F232=""), 0,
    LET(
      puntos_rojos_totales, '🏆 Scoreboard'!$B$2,
      puntos_azules_totales, '🏆 Scoreboard'!$D$2,
      puntos_a_ganar, 20.5,
      puntos_en_juego, I232,
      texto_estado, F232,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2" s="5" t="str">
        <f t="shared" si="138"/>
        <v/>
      </c>
      <c r="R232" s="5" t="str">
        <f t="shared" si="139"/>
        <v/>
      </c>
    </row>
    <row r="233">
      <c r="A233" s="1" t="s">
        <v>31</v>
      </c>
      <c r="B233" s="1" t="s">
        <v>328</v>
      </c>
      <c r="C233" s="5">
        <f>COUNTIFS($X$80:$X$88, "Red")</f>
        <v>2</v>
      </c>
      <c r="D233" s="5">
        <f>COUNTIFS($X$80:$X$88, "Blue")</f>
        <v>5</v>
      </c>
      <c r="E233" s="1">
        <f>COUNTIFS($X$80:$X$88, "Tie")</f>
        <v>2</v>
      </c>
      <c r="F233" s="5" t="str">
        <f t="shared" si="131"/>
        <v>Final</v>
      </c>
      <c r="G233" s="5">
        <f t="shared" si="132"/>
        <v>0</v>
      </c>
      <c r="H233" s="5">
        <f t="shared" si="133"/>
        <v>1</v>
      </c>
      <c r="I233" s="1">
        <f t="shared" si="134"/>
        <v>1</v>
      </c>
      <c r="J233" s="1">
        <f t="shared" si="135"/>
        <v>0</v>
      </c>
      <c r="K233" s="1">
        <f t="shared" si="136"/>
        <v>1</v>
      </c>
      <c r="L233" s="1" t="str">
        <f t="shared" si="137"/>
        <v>Flight_5_Individual 1</v>
      </c>
      <c r="M233" s="5" t="str">
        <f t="array" ref="M233">INDEX($B:$B,$AA80)</f>
        <v>Pulido</v>
      </c>
      <c r="N233" s="5" t="str">
        <f t="array" ref="N233">INDEX($B:$B,$AC80)</f>
        <v>Sardi</v>
      </c>
      <c r="O233" s="5" t="b">
        <f>IF(F233="Final", FALSE,
  IF(OR(F233="Not Started", F233=""),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F233))), NOT(ISERROR(FIND("1 UP", F233)))),
      AND(torneo_esta_vivo, partido_cerrado)
    )
  )
)</f>
        <v>0</v>
      </c>
      <c r="P233" s="5">
        <f>IF(F233="Final", 0,
  IF(OR(F233="Not Started", F233=""), 0,
    LET(
      puntos_rojos_totales, '🏆 Scoreboard'!$B$2,
      puntos_azules_totales, '🏆 Scoreboard'!$D$2,
      puntos_a_ganar, 20.5,
      puntos_en_juego, I233,
      texto_estado, F233,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3" s="5" t="str">
        <f t="shared" si="138"/>
        <v/>
      </c>
      <c r="R233" s="5" t="str">
        <f t="shared" si="139"/>
        <v/>
      </c>
    </row>
    <row r="234">
      <c r="A234" s="1" t="s">
        <v>31</v>
      </c>
      <c r="B234" s="1" t="s">
        <v>329</v>
      </c>
      <c r="C234" s="5">
        <f>COUNTIFS($Y$80:$Y$88, "Red")</f>
        <v>3</v>
      </c>
      <c r="D234" s="5">
        <f>COUNTIFS($Y$80:$Y$88, "Blue")</f>
        <v>5</v>
      </c>
      <c r="E234" s="1">
        <f>COUNTIFS($Y$80:$Y$88, "Tie")</f>
        <v>1</v>
      </c>
      <c r="F234" s="5" t="str">
        <f t="shared" si="131"/>
        <v>Final</v>
      </c>
      <c r="G234" s="5">
        <f t="shared" si="132"/>
        <v>0</v>
      </c>
      <c r="H234" s="5">
        <f t="shared" si="133"/>
        <v>1</v>
      </c>
      <c r="I234" s="1">
        <f t="shared" si="134"/>
        <v>1</v>
      </c>
      <c r="J234" s="1">
        <f t="shared" si="135"/>
        <v>0</v>
      </c>
      <c r="K234" s="1">
        <f t="shared" si="136"/>
        <v>1</v>
      </c>
      <c r="L234" s="1" t="str">
        <f t="shared" si="137"/>
        <v>Flight_5_Individual 2</v>
      </c>
      <c r="M234" s="5" t="str">
        <f t="array" ref="M234">INDEX($B:$B,$AB80)</f>
        <v>Otoya</v>
      </c>
      <c r="N234" s="5" t="str">
        <f t="array" ref="N234">INDEX($B:$B,$AD80)</f>
        <v>JC Casas</v>
      </c>
      <c r="O234" s="5" t="b">
        <f>IF(F234="Final", FALSE,
  IF(OR(F234="Not Started", F234=""),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F234))), NOT(ISERROR(FIND("1 UP", F234)))),
      AND(torneo_esta_vivo, partido_cerrado)
    )
  )
)</f>
        <v>0</v>
      </c>
      <c r="P234" s="5">
        <f>IF(F234="Final", 0,
  IF(OR(F234="Not Started", F234=""), 0,
    LET(
      puntos_rojos_totales, '🏆 Scoreboard'!$B$2,
      puntos_azules_totales, '🏆 Scoreboard'!$D$2,
      puntos_a_ganar, 20.5,
      puntos_en_juego, I234,
      texto_estado, F234,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4" s="5" t="str">
        <f t="shared" si="138"/>
        <v/>
      </c>
      <c r="R234" s="5" t="str">
        <f t="shared" si="139"/>
        <v/>
      </c>
    </row>
    <row r="235">
      <c r="A235" s="1" t="s">
        <v>31</v>
      </c>
      <c r="B235" s="1" t="s">
        <v>330</v>
      </c>
      <c r="C235" s="5">
        <f>COUNTIFS($I$170:$I$178, "Red")</f>
        <v>3</v>
      </c>
      <c r="D235" s="5">
        <f>COUNTIFS($I$170:$I$178, "Blue")</f>
        <v>1</v>
      </c>
      <c r="E235" s="5">
        <f>COUNTIFS($I$170:$I$178, "Tie")</f>
        <v>5</v>
      </c>
      <c r="F235" s="5" t="str">
        <f t="shared" si="131"/>
        <v>Final</v>
      </c>
      <c r="G235" s="5">
        <f t="shared" si="132"/>
        <v>2</v>
      </c>
      <c r="H235" s="5">
        <f t="shared" si="133"/>
        <v>0</v>
      </c>
      <c r="I235" s="1">
        <f t="shared" si="134"/>
        <v>2</v>
      </c>
      <c r="J235" s="1">
        <f t="shared" si="135"/>
        <v>2</v>
      </c>
      <c r="K235" s="1">
        <f t="shared" si="136"/>
        <v>0</v>
      </c>
      <c r="L235" s="1" t="str">
        <f t="shared" si="137"/>
        <v>Flight_5_Scramble</v>
      </c>
      <c r="M235" s="5" t="str">
        <f t="array" ref="M235">INDEX($B:$B,$AA80) &amp; " / " &amp; INDEX($B:$B,$AB80)</f>
        <v>Pulido / Otoya</v>
      </c>
      <c r="N235" s="5" t="str">
        <f t="array" ref="N235">INDEX($B:$B,$AC80) &amp; " / " &amp; INDEX($B:$B,$AD80)</f>
        <v>Sardi / JC Casas</v>
      </c>
      <c r="O235" s="5" t="b">
        <f>IF(F235="Final", FALSE,
  IF(OR(F235="Not Started", F235=""),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F235))), NOT(ISERROR(FIND("1 UP", F235)))),
      AND(torneo_esta_vivo, partido_cerrado)
    )
  )
)</f>
        <v>0</v>
      </c>
      <c r="P235" s="5">
        <f>IF(F235="Final", 0,
  IF(OR(F235="Not Started", F235=""), 0,
    LET(
      puntos_rojos_totales, '🏆 Scoreboard'!$B$2,
      puntos_azules_totales, '🏆 Scoreboard'!$D$2,
      puntos_a_ganar, 20.5,
      puntos_en_juego, I235,
      texto_estado, F235,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5" s="5" t="str">
        <f t="shared" si="138"/>
        <v/>
      </c>
      <c r="R235" s="5" t="str">
        <f t="shared" si="139"/>
        <v/>
      </c>
    </row>
    <row r="236">
      <c r="A236" s="1" t="s">
        <v>36</v>
      </c>
      <c r="B236" s="1" t="s">
        <v>327</v>
      </c>
      <c r="C236" s="5">
        <f>COUNTIFS($W$91:$W$99, "Red")</f>
        <v>2</v>
      </c>
      <c r="D236" s="5">
        <f>COUNTIFS($W$91:$W$99, "Blue")</f>
        <v>3</v>
      </c>
      <c r="E236" s="5">
        <f>COUNTIFS($W$91:$W$99, "Tie")</f>
        <v>4</v>
      </c>
      <c r="F236" s="5" t="str">
        <f t="shared" si="131"/>
        <v>Final</v>
      </c>
      <c r="G236" s="5">
        <f t="shared" si="132"/>
        <v>0</v>
      </c>
      <c r="H236" s="5">
        <f t="shared" si="133"/>
        <v>1</v>
      </c>
      <c r="I236" s="1">
        <f t="shared" si="134"/>
        <v>1</v>
      </c>
      <c r="J236" s="1">
        <f t="shared" si="135"/>
        <v>0</v>
      </c>
      <c r="K236" s="1">
        <f t="shared" si="136"/>
        <v>1</v>
      </c>
      <c r="L236" s="1" t="str">
        <f t="shared" si="137"/>
        <v>Flight_6_Fourball</v>
      </c>
      <c r="M236" s="5" t="str">
        <f t="array" ref="M236">INDEX($B:$B,$AA91) &amp; " / " &amp; INDEX($B:$B,$AB91)</f>
        <v>Pablo Acosta / Garcia</v>
      </c>
      <c r="N236" s="5" t="str">
        <f t="array" ref="N236">INDEX($B:$B,$AC91) &amp; " / " &amp; INDEX($B:$B,$AD91)</f>
        <v>Ana Maria / Schneider</v>
      </c>
      <c r="O236" s="5" t="b">
        <f>IF(F236="Final", FALSE,
  IF(OR(F236="Not Started", F236=""),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F236))), NOT(ISERROR(FIND("1 UP", F236)))),
      AND(torneo_esta_vivo, partido_cerrado)
    )
  )
)</f>
        <v>0</v>
      </c>
      <c r="P236" s="5">
        <f>IF(F236="Final", 0,
  IF(OR(F236="Not Started", F236=""), 0,
    LET(
      puntos_rojos_totales, '🏆 Scoreboard'!$B$2,
      puntos_azules_totales, '🏆 Scoreboard'!$D$2,
      puntos_a_ganar, 20.5,
      puntos_en_juego, I236,
      texto_estado, F236,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6" s="5" t="str">
        <f t="shared" si="138"/>
        <v/>
      </c>
      <c r="R236" s="5" t="str">
        <f t="shared" si="139"/>
        <v/>
      </c>
    </row>
    <row r="237">
      <c r="A237" s="1" t="s">
        <v>36</v>
      </c>
      <c r="B237" s="1" t="s">
        <v>328</v>
      </c>
      <c r="C237" s="5">
        <f>COUNTIFS($X$91:$X$99, "Red")</f>
        <v>1</v>
      </c>
      <c r="D237" s="5">
        <f>COUNTIFS($X$91:$X$99, "Blue")</f>
        <v>4</v>
      </c>
      <c r="E237" s="1">
        <f>COUNTIFS($X$91:$X$99, "Tie")</f>
        <v>4</v>
      </c>
      <c r="F237" s="5" t="str">
        <f t="shared" si="131"/>
        <v>Final</v>
      </c>
      <c r="G237" s="5">
        <f t="shared" si="132"/>
        <v>0</v>
      </c>
      <c r="H237" s="5">
        <f t="shared" si="133"/>
        <v>1</v>
      </c>
      <c r="I237" s="1">
        <f t="shared" si="134"/>
        <v>1</v>
      </c>
      <c r="J237" s="1">
        <f t="shared" si="135"/>
        <v>0</v>
      </c>
      <c r="K237" s="1">
        <f t="shared" si="136"/>
        <v>1</v>
      </c>
      <c r="L237" s="1" t="str">
        <f t="shared" si="137"/>
        <v>Flight_6_Individual 1</v>
      </c>
      <c r="M237" s="5" t="str">
        <f t="array" ref="M237">INDEX($B:$B,$AA91)</f>
        <v>Pablo Acosta</v>
      </c>
      <c r="N237" s="5" t="str">
        <f t="array" ref="N237">INDEX($B:$B,$AC91)</f>
        <v>Ana Maria</v>
      </c>
      <c r="O237" s="5" t="b">
        <f>IF(F237="Final", FALSE,
  IF(OR(F237="Not Started", F237=""),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F237))), NOT(ISERROR(FIND("1 UP", F237)))),
      AND(torneo_esta_vivo, partido_cerrado)
    )
  )
)</f>
        <v>0</v>
      </c>
      <c r="P237" s="5">
        <f>IF(F237="Final", 0,
  IF(OR(F237="Not Started", F237=""), 0,
    LET(
      puntos_rojos_totales, '🏆 Scoreboard'!$B$2,
      puntos_azules_totales, '🏆 Scoreboard'!$D$2,
      puntos_a_ganar, 20.5,
      puntos_en_juego, I237,
      texto_estado, F237,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7" s="5" t="str">
        <f t="shared" si="138"/>
        <v/>
      </c>
      <c r="R237" s="5" t="str">
        <f t="shared" si="139"/>
        <v/>
      </c>
    </row>
    <row r="238">
      <c r="A238" s="1" t="s">
        <v>36</v>
      </c>
      <c r="B238" s="1" t="s">
        <v>329</v>
      </c>
      <c r="C238" s="5">
        <f>COUNTIFS($Y$91:$Y$99, "Red")</f>
        <v>2</v>
      </c>
      <c r="D238" s="5">
        <f>COUNTIFS($Y$91:$Y$99, "Blue")</f>
        <v>3</v>
      </c>
      <c r="E238" s="1">
        <f>COUNTIFS($Y$91:$Y$99, "Tie")</f>
        <v>4</v>
      </c>
      <c r="F238" s="5" t="str">
        <f t="shared" si="131"/>
        <v>Final</v>
      </c>
      <c r="G238" s="5">
        <f t="shared" si="132"/>
        <v>0</v>
      </c>
      <c r="H238" s="5">
        <f t="shared" si="133"/>
        <v>1</v>
      </c>
      <c r="I238" s="1">
        <f t="shared" si="134"/>
        <v>1</v>
      </c>
      <c r="J238" s="1">
        <f t="shared" si="135"/>
        <v>0</v>
      </c>
      <c r="K238" s="1">
        <f t="shared" si="136"/>
        <v>1</v>
      </c>
      <c r="L238" s="1" t="str">
        <f t="shared" si="137"/>
        <v>Flight_6_Individual 2</v>
      </c>
      <c r="M238" s="5" t="str">
        <f t="array" ref="M238">INDEX($B:$B,$AB91)</f>
        <v>Garcia</v>
      </c>
      <c r="N238" s="5" t="str">
        <f t="array" ref="N238">INDEX($B:$B,$AD91)</f>
        <v>Schneider</v>
      </c>
      <c r="O238" s="5" t="b">
        <f>IF(F238="Final", FALSE,
  IF(OR(F238="Not Started", F238=""),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F238))), NOT(ISERROR(FIND("1 UP", F238)))),
      AND(torneo_esta_vivo, partido_cerrado)
    )
  )
)</f>
        <v>0</v>
      </c>
      <c r="P238" s="5">
        <f>IF(F238="Final", 0,
  IF(OR(F238="Not Started", F238=""), 0,
    LET(
      puntos_rojos_totales, '🏆 Scoreboard'!$B$2,
      puntos_azules_totales, '🏆 Scoreboard'!$D$2,
      puntos_a_ganar, 20.5,
      puntos_en_juego, I238,
      texto_estado, F238,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8" s="5" t="str">
        <f t="shared" si="138"/>
        <v/>
      </c>
      <c r="R238" s="5" t="str">
        <f t="shared" si="139"/>
        <v/>
      </c>
    </row>
    <row r="239">
      <c r="A239" s="1" t="s">
        <v>36</v>
      </c>
      <c r="B239" s="1" t="s">
        <v>330</v>
      </c>
      <c r="C239" s="5">
        <f>COUNTIFS($I$181:$I$189, "Red")</f>
        <v>3</v>
      </c>
      <c r="D239" s="5">
        <f>COUNTIFS($I$181:$I$189, "Blue")</f>
        <v>1</v>
      </c>
      <c r="E239" s="5">
        <f>COUNTIFS($I$181:$I$189, "Tie")</f>
        <v>5</v>
      </c>
      <c r="F239" s="5" t="str">
        <f t="shared" si="131"/>
        <v>Final</v>
      </c>
      <c r="G239" s="5">
        <f t="shared" si="132"/>
        <v>2</v>
      </c>
      <c r="H239" s="5">
        <f t="shared" si="133"/>
        <v>0</v>
      </c>
      <c r="I239" s="1">
        <f t="shared" si="134"/>
        <v>2</v>
      </c>
      <c r="J239" s="1">
        <f t="shared" si="135"/>
        <v>2</v>
      </c>
      <c r="K239" s="1">
        <f t="shared" si="136"/>
        <v>0</v>
      </c>
      <c r="L239" s="1" t="str">
        <f t="shared" si="137"/>
        <v>Flight_6_Scramble</v>
      </c>
      <c r="M239" s="5" t="str">
        <f t="array" ref="M239">INDEX($B:$B,$AA91) &amp; " / " &amp; INDEX($B:$B,$AB91)</f>
        <v>Pablo Acosta / Garcia</v>
      </c>
      <c r="N239" s="5" t="str">
        <f t="array" ref="N239">INDEX($B:$B,$AC91) &amp; " / " &amp; INDEX($B:$B,$AD91)</f>
        <v>Ana Maria / Schneider</v>
      </c>
      <c r="O239" s="5" t="b">
        <f>IF(F239="Final", FALSE,
  IF(OR(F239="Not Started", F239=""),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F239))), NOT(ISERROR(FIND("1 UP", F239)))),
      AND(torneo_esta_vivo, partido_cerrado)
    )
  )
)</f>
        <v>0</v>
      </c>
      <c r="P239" s="5">
        <f>IF(F239="Final", 0,
  IF(OR(F239="Not Started", F239=""), 0,
    LET(
      puntos_rojos_totales, '🏆 Scoreboard'!$B$2,
      puntos_azules_totales, '🏆 Scoreboard'!$D$2,
      puntos_a_ganar, 20.5,
      puntos_en_juego, I239,
      texto_estado, F239,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39" s="5" t="str">
        <f t="shared" si="138"/>
        <v/>
      </c>
      <c r="R239" s="5" t="str">
        <f t="shared" si="139"/>
        <v/>
      </c>
    </row>
    <row r="240">
      <c r="A240" s="1" t="s">
        <v>41</v>
      </c>
      <c r="B240" s="1" t="s">
        <v>327</v>
      </c>
      <c r="C240" s="5">
        <f>COUNTIFS($W$102:$W$110, "Red")</f>
        <v>3</v>
      </c>
      <c r="D240" s="5">
        <f>COUNTIFS($W$102:$W$110, "Blue")</f>
        <v>3</v>
      </c>
      <c r="E240" s="1">
        <f>COUNTIFS($W$102:$W$110, "Tie")</f>
        <v>3</v>
      </c>
      <c r="F240" s="5" t="str">
        <f t="shared" si="131"/>
        <v>Final</v>
      </c>
      <c r="G240" s="5">
        <f t="shared" si="132"/>
        <v>0.5</v>
      </c>
      <c r="H240" s="5">
        <f t="shared" si="133"/>
        <v>0.5</v>
      </c>
      <c r="I240" s="1">
        <f t="shared" si="134"/>
        <v>1</v>
      </c>
      <c r="J240" s="1">
        <f t="shared" si="135"/>
        <v>0.5</v>
      </c>
      <c r="K240" s="1">
        <f t="shared" si="136"/>
        <v>0.5</v>
      </c>
      <c r="L240" s="1" t="str">
        <f t="shared" si="137"/>
        <v>Flight_7_Fourball</v>
      </c>
      <c r="M240" s="5" t="str">
        <f t="array" ref="M240">INDEX($B:$B,$AA102) &amp; " / " &amp; INDEX($B:$B,$AB102)</f>
        <v>Velez / JP Mosquera</v>
      </c>
      <c r="N240" s="5" t="str">
        <f t="array" ref="N240">INDEX($B:$B,$AC102) &amp; " / " &amp; INDEX($B:$B,$AD102)</f>
        <v>Pocho / Phil</v>
      </c>
      <c r="O240" s="5" t="b">
        <f>IF(F240="Final", FALSE,
  IF(OR(F240="Not Started", F240=""),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F240))), NOT(ISERROR(FIND("1 UP", F240)))),
      AND(torneo_esta_vivo, partido_cerrado)
    )
  )
)</f>
        <v>0</v>
      </c>
      <c r="P240" s="5">
        <f>IF(F240="Final", 0,
  IF(OR(F240="Not Started", F240=""), 0,
    LET(
      puntos_rojos_totales, '🏆 Scoreboard'!$B$2,
      puntos_azules_totales, '🏆 Scoreboard'!$D$2,
      puntos_a_ganar, 20.5,
      puntos_en_juego, I240,
      texto_estado, F240,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0" s="5" t="str">
        <f t="shared" si="138"/>
        <v/>
      </c>
      <c r="R240" s="5" t="str">
        <f t="shared" si="139"/>
        <v/>
      </c>
    </row>
    <row r="241">
      <c r="A241" s="1" t="s">
        <v>41</v>
      </c>
      <c r="B241" s="1" t="s">
        <v>328</v>
      </c>
      <c r="C241" s="5">
        <f>COUNTIFS($X$102:$X$110, "Red")</f>
        <v>3</v>
      </c>
      <c r="D241" s="5">
        <f>COUNTIFS($X$102:$X$110, "Blue")</f>
        <v>3</v>
      </c>
      <c r="E241" s="1">
        <f>COUNTIFS($X$102:$X$110, "Tie")</f>
        <v>3</v>
      </c>
      <c r="F241" s="5" t="str">
        <f t="shared" si="131"/>
        <v>Final</v>
      </c>
      <c r="G241" s="5">
        <f t="shared" si="132"/>
        <v>0.5</v>
      </c>
      <c r="H241" s="5">
        <f t="shared" si="133"/>
        <v>0.5</v>
      </c>
      <c r="I241" s="1">
        <f t="shared" si="134"/>
        <v>1</v>
      </c>
      <c r="J241" s="1">
        <f t="shared" si="135"/>
        <v>0.5</v>
      </c>
      <c r="K241" s="1">
        <f t="shared" si="136"/>
        <v>0.5</v>
      </c>
      <c r="L241" s="1" t="str">
        <f t="shared" si="137"/>
        <v>Flight_7_Individual 1</v>
      </c>
      <c r="M241" s="5" t="str">
        <f t="array" ref="M241">INDEX($B:$B,$AA102)</f>
        <v>Velez</v>
      </c>
      <c r="N241" s="5" t="str">
        <f t="array" ref="N241">INDEX($B:$B,$AC102)</f>
        <v>Pocho</v>
      </c>
      <c r="O241" s="5" t="b">
        <f>IF(F241="Final", FALSE,
  IF(OR(F241="Not Started", F241=""),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F241))), NOT(ISERROR(FIND("1 UP", F241)))),
      AND(torneo_esta_vivo, partido_cerrado)
    )
  )
)</f>
        <v>0</v>
      </c>
      <c r="P241" s="5">
        <f>IF(F241="Final", 0,
  IF(OR(F241="Not Started", F241=""), 0,
    LET(
      puntos_rojos_totales, '🏆 Scoreboard'!$B$2,
      puntos_azules_totales, '🏆 Scoreboard'!$D$2,
      puntos_a_ganar, 20.5,
      puntos_en_juego, I241,
      texto_estado, F241,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1" s="5" t="str">
        <f t="shared" si="138"/>
        <v/>
      </c>
      <c r="R241" s="5" t="str">
        <f t="shared" si="139"/>
        <v/>
      </c>
    </row>
    <row r="242">
      <c r="A242" s="1" t="s">
        <v>41</v>
      </c>
      <c r="B242" s="1" t="s">
        <v>329</v>
      </c>
      <c r="C242" s="5">
        <f>COUNTIFS($Y$102:$Y$110, "Red")</f>
        <v>5</v>
      </c>
      <c r="D242" s="5">
        <f>COUNTIFS($Y$102:$Y$110, "Blue")</f>
        <v>3</v>
      </c>
      <c r="E242" s="1">
        <f>COUNTIFS($Y$102:$Y$110, "Tie")</f>
        <v>1</v>
      </c>
      <c r="F242" s="5" t="str">
        <f t="shared" si="131"/>
        <v>Final</v>
      </c>
      <c r="G242" s="5">
        <f t="shared" si="132"/>
        <v>1</v>
      </c>
      <c r="H242" s="5">
        <f t="shared" si="133"/>
        <v>0</v>
      </c>
      <c r="I242" s="1">
        <f t="shared" si="134"/>
        <v>1</v>
      </c>
      <c r="J242" s="1">
        <f t="shared" si="135"/>
        <v>1</v>
      </c>
      <c r="K242" s="1">
        <f t="shared" si="136"/>
        <v>0</v>
      </c>
      <c r="L242" s="1" t="str">
        <f t="shared" si="137"/>
        <v>Flight_7_Individual 2</v>
      </c>
      <c r="M242" s="5" t="str">
        <f t="array" ref="M242">INDEX($B:$B,$AB102)</f>
        <v>JP Mosquera</v>
      </c>
      <c r="N242" s="5" t="str">
        <f t="array" ref="N242">INDEX($B:$B,$AD102)</f>
        <v>Phil</v>
      </c>
      <c r="O242" s="5" t="b">
        <f>IF(F242="Final", FALSE,
  IF(OR(F242="Not Started", F242=""),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F242))), NOT(ISERROR(FIND("1 UP", F242)))),
      AND(torneo_esta_vivo, partido_cerrado)
    )
  )
)</f>
        <v>0</v>
      </c>
      <c r="P242" s="5">
        <f>IF(F242="Final", 0,
  IF(OR(F242="Not Started", F242=""), 0,
    LET(
      puntos_rojos_totales, '🏆 Scoreboard'!$B$2,
      puntos_azules_totales, '🏆 Scoreboard'!$D$2,
      puntos_a_ganar, 20.5,
      puntos_en_juego, I242,
      texto_estado, F242,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2" s="5" t="str">
        <f t="shared" si="138"/>
        <v/>
      </c>
      <c r="R242" s="5" t="str">
        <f t="shared" si="139"/>
        <v/>
      </c>
    </row>
    <row r="243">
      <c r="A243" s="1" t="s">
        <v>41</v>
      </c>
      <c r="B243" s="1" t="s">
        <v>330</v>
      </c>
      <c r="C243" s="5">
        <f>COUNTIFS($I$192:$I$200, "Red")</f>
        <v>1</v>
      </c>
      <c r="D243" s="5">
        <f>COUNTIFS($I$192:$I$200, "Blue")</f>
        <v>3</v>
      </c>
      <c r="E243" s="5">
        <f>COUNTIFS($I$192:$I$200, "Tie")</f>
        <v>4</v>
      </c>
      <c r="F243" s="5" t="str">
        <f t="shared" si="131"/>
        <v>Final</v>
      </c>
      <c r="G243" s="5">
        <f t="shared" si="132"/>
        <v>0</v>
      </c>
      <c r="H243" s="5">
        <f t="shared" si="133"/>
        <v>2</v>
      </c>
      <c r="I243" s="1">
        <f t="shared" si="134"/>
        <v>2</v>
      </c>
      <c r="J243" s="1">
        <f t="shared" si="135"/>
        <v>0</v>
      </c>
      <c r="K243" s="1">
        <f t="shared" si="136"/>
        <v>2</v>
      </c>
      <c r="L243" s="1" t="str">
        <f t="shared" si="137"/>
        <v>Flight_7_Scramble</v>
      </c>
      <c r="M243" s="5" t="str">
        <f t="array" ref="M243">INDEX($B:$B,$AA102) &amp; " / " &amp; INDEX($B:$B,$AB102)</f>
        <v>Velez / JP Mosquera</v>
      </c>
      <c r="N243" s="5" t="str">
        <f t="array" ref="N243">INDEX($B:$B,$AC102) &amp; " / " &amp; INDEX($B:$B,$AD102)</f>
        <v>Pocho / Phil</v>
      </c>
      <c r="O243" s="5" t="b">
        <f>IF(F243="Final", FALSE,
  IF(OR(F243="Not Started", F243=""),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F243))), NOT(ISERROR(FIND("1 UP", F243)))),
      AND(torneo_esta_vivo, partido_cerrado)
    )
  )
)</f>
        <v>0</v>
      </c>
      <c r="P243" s="5">
        <f>IF(F243="Final", 0,
  IF(OR(F243="Not Started", F243=""), 0,
    LET(
      puntos_rojos_totales, '🏆 Scoreboard'!$B$2,
      puntos_azules_totales, '🏆 Scoreboard'!$D$2,
      puntos_a_ganar, 20.5,
      puntos_en_juego, I243,
      texto_estado, F243,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3" s="5" t="str">
        <f t="shared" si="138"/>
        <v/>
      </c>
      <c r="R243" s="5" t="str">
        <f t="shared" si="139"/>
        <v/>
      </c>
    </row>
    <row r="244">
      <c r="A244" s="1" t="s">
        <v>46</v>
      </c>
      <c r="B244" s="1" t="s">
        <v>327</v>
      </c>
      <c r="C244" s="5">
        <f>COUNTIFS($W$113:$W$121, "Red")</f>
        <v>4</v>
      </c>
      <c r="D244" s="5">
        <f>COUNTIFS($W$113:$W$121, "Blue")</f>
        <v>3</v>
      </c>
      <c r="E244" s="1">
        <f>COUNTIFS($W$113:$W$121, "Tie")</f>
        <v>2</v>
      </c>
      <c r="F244" s="5" t="str">
        <f t="shared" si="131"/>
        <v>Final</v>
      </c>
      <c r="G244" s="5">
        <f t="shared" si="132"/>
        <v>1</v>
      </c>
      <c r="H244" s="5">
        <f t="shared" si="133"/>
        <v>0</v>
      </c>
      <c r="I244" s="1">
        <f t="shared" si="134"/>
        <v>1</v>
      </c>
      <c r="J244" s="1">
        <f t="shared" si="135"/>
        <v>1</v>
      </c>
      <c r="K244" s="1">
        <f t="shared" si="136"/>
        <v>0</v>
      </c>
      <c r="L244" s="1" t="str">
        <f t="shared" si="137"/>
        <v>Flight_8_Fourball</v>
      </c>
      <c r="M244" s="5" t="str">
        <f t="array" ref="M244">INDEX($B:$B,$AA113) &amp; " / " &amp; INDEX($B:$B,$AB113)</f>
        <v>Pilarica / Camacho</v>
      </c>
      <c r="N244" s="5" t="str">
        <f t="array" ref="N244">INDEX($B:$B,$AC113) &amp; " / " &amp; INDEX($B:$B,$AD113)</f>
        <v>Veronica Perez / Bernie</v>
      </c>
      <c r="O244" s="5" t="b">
        <f>IF(F244="Final", FALSE,
  IF(OR(F244="Not Started", F244=""),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F244))), NOT(ISERROR(FIND("1 UP", F244)))),
      AND(torneo_esta_vivo, partido_cerrado)
    )
  )
)</f>
        <v>0</v>
      </c>
      <c r="P244" s="5">
        <f>IF(F244="Final", 0,
  IF(OR(F244="Not Started", F244=""), 0,
    LET(
      puntos_rojos_totales, '🏆 Scoreboard'!$B$2,
      puntos_azules_totales, '🏆 Scoreboard'!$D$2,
      puntos_a_ganar, 20.5,
      puntos_en_juego, I244,
      texto_estado, F244,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4" s="5" t="str">
        <f t="shared" si="138"/>
        <v/>
      </c>
      <c r="R244" s="5" t="str">
        <f t="shared" si="139"/>
        <v/>
      </c>
    </row>
    <row r="245">
      <c r="A245" s="1" t="s">
        <v>46</v>
      </c>
      <c r="B245" s="1" t="s">
        <v>328</v>
      </c>
      <c r="C245" s="5">
        <f>COUNTIFS($X$113:$X$121, "Red")</f>
        <v>4</v>
      </c>
      <c r="D245" s="5">
        <f>COUNTIFS($X$113:$X$121, "Blue")</f>
        <v>3</v>
      </c>
      <c r="E245" s="1">
        <f>COUNTIFS($X$113:$X$121, "Tie")</f>
        <v>2</v>
      </c>
      <c r="F245" s="5" t="str">
        <f t="shared" si="131"/>
        <v>Final</v>
      </c>
      <c r="G245" s="5">
        <f t="shared" si="132"/>
        <v>1</v>
      </c>
      <c r="H245" s="5">
        <f t="shared" si="133"/>
        <v>0</v>
      </c>
      <c r="I245" s="1">
        <f t="shared" si="134"/>
        <v>1</v>
      </c>
      <c r="J245" s="1">
        <f t="shared" si="135"/>
        <v>1</v>
      </c>
      <c r="K245" s="1">
        <f t="shared" si="136"/>
        <v>0</v>
      </c>
      <c r="L245" s="1" t="str">
        <f t="shared" si="137"/>
        <v>Flight_8_Individual 1</v>
      </c>
      <c r="M245" s="5" t="str">
        <f t="array" ref="M245">INDEX($B:$B,$AA113)</f>
        <v>Pilarica</v>
      </c>
      <c r="N245" s="5" t="str">
        <f t="array" ref="N245">INDEX($B:$B,$AC113)</f>
        <v>Veronica Perez</v>
      </c>
      <c r="O245" s="5" t="b">
        <f>IF(F245="Final", FALSE,
  IF(OR(F245="Not Started", F245=""),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F245))), NOT(ISERROR(FIND("1 UP", F245)))),
      AND(torneo_esta_vivo, partido_cerrado)
    )
  )
)</f>
        <v>0</v>
      </c>
      <c r="P245" s="5">
        <f>IF(F245="Final", 0,
  IF(OR(F245="Not Started", F245=""), 0,
    LET(
      puntos_rojos_totales, '🏆 Scoreboard'!$B$2,
      puntos_azules_totales, '🏆 Scoreboard'!$D$2,
      puntos_a_ganar, 20.5,
      puntos_en_juego, I245,
      texto_estado, F245,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5" s="5" t="str">
        <f t="shared" si="138"/>
        <v/>
      </c>
      <c r="R245" s="5" t="str">
        <f t="shared" si="139"/>
        <v/>
      </c>
    </row>
    <row r="246">
      <c r="A246" s="1" t="s">
        <v>46</v>
      </c>
      <c r="B246" s="1" t="s">
        <v>329</v>
      </c>
      <c r="C246" s="5">
        <f>COUNTIFS($Y$113:$Y$121, "Red")</f>
        <v>4</v>
      </c>
      <c r="D246" s="5">
        <f>COUNTIFS($Y$113:$Y$121, "Blue")</f>
        <v>4</v>
      </c>
      <c r="E246" s="1">
        <f>COUNTIFS($Y$113:$Y$121, "Tie")</f>
        <v>1</v>
      </c>
      <c r="F246" s="5" t="str">
        <f t="shared" si="131"/>
        <v>Final</v>
      </c>
      <c r="G246" s="5">
        <f t="shared" si="132"/>
        <v>0.5</v>
      </c>
      <c r="H246" s="5">
        <f t="shared" si="133"/>
        <v>0.5</v>
      </c>
      <c r="I246" s="1">
        <f t="shared" si="134"/>
        <v>1</v>
      </c>
      <c r="J246" s="1">
        <f t="shared" si="135"/>
        <v>0.5</v>
      </c>
      <c r="K246" s="1">
        <f t="shared" si="136"/>
        <v>0.5</v>
      </c>
      <c r="L246" s="1" t="str">
        <f t="shared" si="137"/>
        <v>Flight_8_Individual 2</v>
      </c>
      <c r="M246" s="5" t="str">
        <f t="array" ref="M246">INDEX($B:$B,$AB113)</f>
        <v>Camacho</v>
      </c>
      <c r="N246" s="5" t="str">
        <f t="array" ref="N246">INDEX($B:$B,$AD113)</f>
        <v>Bernie</v>
      </c>
      <c r="O246" s="5" t="b">
        <f>IF(F246="Final", FALSE,
  IF(OR(F246="Not Started", F246=""),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F246))), NOT(ISERROR(FIND("1 UP", F246)))),
      AND(torneo_esta_vivo, partido_cerrado)
    )
  )
)</f>
        <v>0</v>
      </c>
      <c r="P246" s="5">
        <f>IF(F246="Final", 0,
  IF(OR(F246="Not Started", F246=""), 0,
    LET(
      puntos_rojos_totales, '🏆 Scoreboard'!$B$2,
      puntos_azules_totales, '🏆 Scoreboard'!$D$2,
      puntos_a_ganar, 20.5,
      puntos_en_juego, I246,
      texto_estado, F246,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6" s="5" t="str">
        <f t="shared" si="138"/>
        <v/>
      </c>
      <c r="R246" s="5" t="str">
        <f t="shared" si="139"/>
        <v/>
      </c>
    </row>
    <row r="247">
      <c r="A247" s="1" t="s">
        <v>46</v>
      </c>
      <c r="B247" s="1" t="s">
        <v>330</v>
      </c>
      <c r="C247" s="5">
        <f>COUNTIFS($I$203:$I$211, "Red")</f>
        <v>1</v>
      </c>
      <c r="D247" s="5">
        <f>COUNTIFS($I$203:$I$211, "Blue")</f>
        <v>2</v>
      </c>
      <c r="E247" s="5">
        <f>COUNTIFS($I$203:$I$211, "Tie")</f>
        <v>6</v>
      </c>
      <c r="F247" s="5" t="str">
        <f t="shared" si="131"/>
        <v>Final</v>
      </c>
      <c r="G247" s="5">
        <f t="shared" si="132"/>
        <v>0</v>
      </c>
      <c r="H247" s="5">
        <f t="shared" si="133"/>
        <v>2</v>
      </c>
      <c r="I247" s="1">
        <f t="shared" si="134"/>
        <v>2</v>
      </c>
      <c r="J247" s="1">
        <f t="shared" si="135"/>
        <v>0</v>
      </c>
      <c r="K247" s="1">
        <f t="shared" si="136"/>
        <v>2</v>
      </c>
      <c r="L247" s="1" t="str">
        <f t="shared" si="137"/>
        <v>Flight_8_Scramble</v>
      </c>
      <c r="M247" s="5" t="str">
        <f t="array" ref="M247">INDEX($B:$B,$AA113) &amp; " / " &amp; INDEX($B:$B,$AB113)</f>
        <v>Pilarica / Camacho</v>
      </c>
      <c r="N247" s="5" t="str">
        <f t="array" ref="N247">INDEX($B:$B,$AC113) &amp; " / " &amp; INDEX($B:$B,$AD113)</f>
        <v>Veronica Perez / Bernie</v>
      </c>
      <c r="O247" s="5" t="b">
        <f>IF(F247="Final", FALSE,
  IF(OR(F247="Not Started", F247=""), FALSE,
    LET(
      puntos_rojos_totales, '🏆 Scoreboard'!$B$2,
      puntos_azules_totales, '🏆 Scoreboard'!$D$2,
      puntos_a_ganar, 20.5,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partido_cerrado, OR(NOT(ISERROR(FIND("A/S", F247))), NOT(ISERROR(FIND("1 UP", F247)))),
      AND(torneo_esta_vivo, partido_cerrado)
    )
  )
)</f>
        <v>0</v>
      </c>
      <c r="P247" s="5">
        <f>IF(F247="Final", 0,
  IF(OR(F247="Not Started", F247=""), 0,
    LET(
      puntos_rojos_totales, '🏆 Scoreboard'!$B$2,
      puntos_azules_totales, '🏆 Scoreboard'!$D$2,
      puntos_a_ganar, 20.5,
      puntos_en_juego, I247,
      texto_estado, F247,
      puntos_totales_decididos, puntos_rojos_totales + puntos_azules_totales,
      puntos_totales_restantes, 40 - puntos_totales_decididos,
      rojos_necesitan, puntos_a_ganar - puntos_rojos_totales,
      azules_necesitan, puntos_a_ganar - puntos_azules_totales,
      torneo_esta_vivo, AND(rojos_necesitan &lt;= puntos_totales_restantes, azules_necesitan &lt;= puntos_totales_restantes),
      cercania_torneo, IF(torneo_esta_vivo, 20, 0),
      cercania_partido, IF(
        NOT(ISERROR(FIND("A/S", texto_estado))), 30,
        IF(NOT(ISERROR(FIND("1 UP", texto_estado))), 25,
          IF(NOT(ISERROR(FIND("2 UP", texto_estado))), 15,
            IF(NOT(ISERROR(FIND("3 UP", texto_estado))), 5, 0)
          )
        )
      ),
      hoyos_jugados, IF(
        NOT(ISERROR(FIND("THRU", texto_estado))),
        VALUE(RIGHT(SUBSTITUTE(texto_estado, " ", ""), 1)),
        IF(texto_estado="Final", 9, 0)
      ),
      urgencia_hoyos, IF(
        hoyos_jugados &gt;= 8, 20,
        IF(hoyos_jugados &gt;= 7, 15,
          IF(hoyos_jugados &gt;= 5, 10,
            0
          )
        )
      ),
      valor_puntos, puntos_en_juego * 5,
      match_lead_num, IF(NOT(ISERROR(FIND("3 UP", texto_estado))), 3, IF(NOT(ISERROR(FIND("2 UP", texto_estado))), 2, IF(NOT(ISERROR(FIND("1 UP", texto_estado))), 1, 0))),
      total_holes, 9,
      holes_remaining, total_holes - hoyos_jugados,
      es_dormie, AND(match_lead_num = holes_remaining, holes_remaining &gt; 0),
      puntuacion_total, cercania_torneo + cercania_partido + urgencia_hoyos + valor_puntos,
      IF(es_dormie, 100, MIN(100, MAX(0, puntuacion_total)))
    )
  )
)</f>
        <v>0</v>
      </c>
      <c r="Q247" s="5" t="str">
        <f t="shared" si="138"/>
        <v/>
      </c>
      <c r="R247" s="5" t="str">
        <f t="shared" si="139"/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1.0"/>
    <col customWidth="1" min="3" max="3" width="11.63"/>
    <col customWidth="1" min="4" max="6" width="16.63"/>
    <col customWidth="1" min="7" max="7" width="13.63"/>
    <col customWidth="1" min="8" max="11" width="15.88"/>
    <col customWidth="1" min="12" max="12" width="12.88"/>
    <col customWidth="1" min="13" max="13" width="16.63"/>
    <col customWidth="1" min="14" max="16" width="16.13"/>
    <col customWidth="1" min="17" max="17" width="15.88"/>
    <col customWidth="1" min="18" max="18" width="12.88"/>
    <col customWidth="1" min="19" max="21" width="16.13"/>
    <col customWidth="1" min="22" max="22" width="16.88"/>
    <col customWidth="1" min="23" max="23" width="13.88"/>
    <col customWidth="1" min="24" max="26" width="16.13"/>
    <col customWidth="1" min="27" max="27" width="13.13"/>
    <col customWidth="1" min="28" max="28" width="14.38"/>
    <col customWidth="1" min="29" max="29" width="16.88"/>
    <col customWidth="1" min="30" max="30" width="16.5"/>
    <col customWidth="1" min="31" max="31" width="12.5"/>
    <col customWidth="1" min="32" max="32" width="15.38"/>
    <col customWidth="1" min="33" max="33" width="15.88"/>
    <col customWidth="1" min="34" max="36" width="13.88"/>
    <col customWidth="1" min="37" max="37" width="20.5"/>
    <col customWidth="1" min="38" max="38" width="15.63"/>
    <col customWidth="1" min="39" max="39" width="13.88"/>
    <col customWidth="1" min="40" max="40" width="16.0"/>
    <col customWidth="1" min="41" max="42" width="13.88"/>
  </cols>
  <sheetData>
    <row r="1">
      <c r="A1" s="1" t="s">
        <v>331</v>
      </c>
      <c r="B1" s="1" t="s">
        <v>50</v>
      </c>
      <c r="C1" s="1" t="s">
        <v>332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2" t="s">
        <v>294</v>
      </c>
      <c r="Y1" s="2" t="s">
        <v>295</v>
      </c>
      <c r="Z1" s="1" t="s">
        <v>319</v>
      </c>
      <c r="AA1" s="1" t="s">
        <v>333</v>
      </c>
      <c r="AB1" s="1" t="s">
        <v>334</v>
      </c>
      <c r="AC1" s="1" t="s">
        <v>335</v>
      </c>
      <c r="AD1" s="1" t="s">
        <v>336</v>
      </c>
      <c r="AE1" s="1" t="s">
        <v>337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347</v>
      </c>
      <c r="AP1" s="1" t="s">
        <v>348</v>
      </c>
    </row>
    <row r="2">
      <c r="A2" s="5" t="str">
        <f t="array" ref="A2:A10">Calc_Engine!A36:A44</f>
        <v>Flight_1</v>
      </c>
      <c r="B2" s="5">
        <f t="array" ref="B2:B10">Calc_Engine!B36:B44</f>
        <v>1</v>
      </c>
      <c r="C2" s="5">
        <f t="array" ref="C2:C10">Calc_Engine!C36:C44</f>
        <v>6</v>
      </c>
      <c r="F2" s="5">
        <f t="array" ref="F2:F10">Calc_Engine!F36:F44</f>
        <v>1</v>
      </c>
      <c r="G2" s="5">
        <f t="array" ref="G2:G10">Calc_Engine!G36:G44</f>
        <v>5</v>
      </c>
      <c r="H2" s="5">
        <f t="array" ref="H2:H10">Calc_Engine!H36:H44</f>
        <v>7</v>
      </c>
      <c r="K2" s="5">
        <f t="array" ref="K2:K10">Calc_Engine!K36:K44</f>
        <v>1</v>
      </c>
      <c r="L2" s="5">
        <f t="array" ref="L2:L10">Calc_Engine!L36:L44</f>
        <v>6</v>
      </c>
      <c r="M2" s="5">
        <f t="array" ref="M2:M10">Calc_Engine!M36:M44</f>
        <v>5</v>
      </c>
      <c r="P2" s="5">
        <f t="array" ref="P2:P10">Calc_Engine!P36:P44</f>
        <v>1</v>
      </c>
      <c r="Q2" s="5">
        <f t="array" ref="Q2:Q10">Calc_Engine!Q36:Q44</f>
        <v>4</v>
      </c>
      <c r="R2" s="5">
        <f t="array" ref="R2:R10">Calc_Engine!R36:R44</f>
        <v>5</v>
      </c>
      <c r="U2" s="5">
        <f t="array" ref="U2:U10">Calc_Engine!U36:U44</f>
        <v>1</v>
      </c>
      <c r="V2" s="5">
        <f t="array" ref="V2:V10">Calc_Engine!V36:V44</f>
        <v>4</v>
      </c>
      <c r="W2" s="5" t="str">
        <f t="array" ref="W2:W10">Calc_Engine!W36:W44</f>
        <v>Blue</v>
      </c>
      <c r="X2" s="1"/>
      <c r="Y2" s="1"/>
      <c r="Z2" s="1" t="s">
        <v>349</v>
      </c>
      <c r="AA2" s="5" t="str">
        <f>IFERROR(__xludf.DUMMYFUNCTION("IF(A2="""","""",INDEX(FILTER(Roster!$A:$A,(Roster!$C:$C=A2)*(Roster!$F:$F=3)),1))"),"Fito")</f>
        <v>Fito</v>
      </c>
      <c r="AB2" s="5" t="str">
        <f>IFERROR(__xludf.DUMMYFUNCTION("IF(A2="""","""",INDEX(FILTER(Roster!$A:$A,(Roster!$C:$C=A2)*(Roster!$F:$F=4)),1))"),"Adri Mejia")</f>
        <v>Adri Mejia</v>
      </c>
      <c r="AC2" s="5" t="str">
        <f>IFERROR(__xludf.DUMMYFUNCTION("IF(A2="""","""",INDEX(FILTER(Roster!$A:$A,(Roster!$C:$C=A2)*(Roster!$F:$F=1)),1))"),"Fercho")</f>
        <v>Fercho</v>
      </c>
      <c r="AD2" s="5" t="str">
        <f>IFERROR(__xludf.DUMMYFUNCTION("IF(A2="""","""",INDEX(FILTER(Roster!$A:$A,(Roster!$C:$C=A2)*(Roster!$F:$F=2)),1))"),"Gaitan")</f>
        <v>Gaitan</v>
      </c>
      <c r="AE2" s="5">
        <f t="array" ref="AE2:AE217">IF(A2:A217="", "", IF(W2:W217="Red", 1, IF(W2:W217="Blue", -1, 0)))</f>
        <v>-1</v>
      </c>
      <c r="AF2" s="5">
        <f t="array" ref="AF2:AF217">MAP(A2:A217, B2:B217, Z2:Z217, LAMBDA(a_val, b_val, z_val, IF(a_val="", "", SUMIFS(AE$2:AE217, Z$2:Z217, z_val, B$2:B217, "&lt;=" &amp; b_val))))</f>
        <v>-1</v>
      </c>
      <c r="AG2" s="5" t="str">
        <f t="array" ref="AG2:AG217">IF(A2:A217="", "", IF(AF2:AF217=0, "A/S", ABS(AF2:AF217) &amp; " UP"))</f>
        <v>1 UP</v>
      </c>
      <c r="AH2" s="5">
        <f t="array" ref="AH2:AH217">IF(A2:A217="", "", IF(X2:X217="Red", 1, IF(X2:X217="Blue", -1, 0)))</f>
        <v>0</v>
      </c>
      <c r="AI2" s="5">
        <f t="array" ref="AI2:AI217">IF(A2:A217="", "", IF(Y2:Y217="Red", 1, IF(Y2:Y217="Blue", -1, 0)))</f>
        <v>0</v>
      </c>
      <c r="AJ2" s="5">
        <f t="array" ref="AJ2:AJ217">MAP(A2:A217, B2:B217, Z2:Z217, LAMBDA(a_val, b_val, z_val, IF(a_val="", "", SUMIFS(AH$2:AH217, Z$2:Z217, z_val, B$2:B217, "&lt;=" &amp; b_val))))</f>
        <v>0</v>
      </c>
      <c r="AK2" s="5" t="str">
        <f t="array" ref="AK2:AK217">IF(A2:A217="", "", IF(AJ2:AJ217=0, "A/S", ABS(AJ2:AJ217) &amp; " UP"))</f>
        <v>A/S</v>
      </c>
      <c r="AL2" s="5" t="str">
        <f t="array" ref="AL2:AL217">IF(A2:A217="", "", IF(AJ2:AJ217&gt;0, "#D32F2F", IF(AJ2:AJ217&lt;0, "#1976D2", "#616161")) )</f>
        <v>#616161</v>
      </c>
      <c r="AM2" s="5">
        <f t="array" ref="AM2:AM217">MAP(A2:A217, B2:B217, Z2:Z217, LAMBDA(a_val, b_val, z_val, IF(a_val="", "", SUMIFS(AI$2:AI217, Z$2:Z217, z_val, B$2:B217, "&lt;=" &amp; b_val))))</f>
        <v>0</v>
      </c>
      <c r="AN2" s="1" t="str">
        <f t="array" ref="AN2:AN217">IF(A2:A217="", "", IF(AM2:AM217=0, "A/S", ABS(AM2:AM217) &amp; " UP"))</f>
        <v>A/S</v>
      </c>
      <c r="AO2" s="5">
        <f t="shared" ref="AO2:AO217" si="1">min(G2,L2)</f>
        <v>5</v>
      </c>
      <c r="AP2" s="5">
        <f t="shared" ref="AP2:AP217" si="2">min(Q2,V2)</f>
        <v>4</v>
      </c>
    </row>
    <row r="3">
      <c r="A3" s="5" t="s">
        <v>8</v>
      </c>
      <c r="B3" s="5">
        <v>2.0</v>
      </c>
      <c r="C3" s="5">
        <v>5.0</v>
      </c>
      <c r="F3" s="5">
        <v>1.0</v>
      </c>
      <c r="G3" s="5">
        <v>4.0</v>
      </c>
      <c r="H3" s="5">
        <v>6.0</v>
      </c>
      <c r="K3" s="5">
        <v>1.0</v>
      </c>
      <c r="L3" s="5">
        <v>5.0</v>
      </c>
      <c r="M3" s="5">
        <v>6.0</v>
      </c>
      <c r="P3" s="5">
        <v>1.0</v>
      </c>
      <c r="Q3" s="5">
        <v>5.0</v>
      </c>
      <c r="R3" s="5">
        <v>6.0</v>
      </c>
      <c r="U3" s="5">
        <v>1.0</v>
      </c>
      <c r="V3" s="5">
        <v>5.0</v>
      </c>
      <c r="W3" s="5" t="s">
        <v>12</v>
      </c>
      <c r="X3" s="1"/>
      <c r="Y3" s="1"/>
      <c r="Z3" s="1" t="s">
        <v>349</v>
      </c>
      <c r="AA3" s="5" t="str">
        <f>IFERROR(__xludf.DUMMYFUNCTION("IF(A3="""","""",INDEX(FILTER(Roster!$A:$A,(Roster!$C:$C=A3)*(Roster!$F:$F=3)),1))"),"Fito")</f>
        <v>Fito</v>
      </c>
      <c r="AB3" s="5" t="str">
        <f>IFERROR(__xludf.DUMMYFUNCTION("IF(A3="""","""",INDEX(FILTER(Roster!$A:$A,(Roster!$C:$C=A3)*(Roster!$F:$F=4)),1))"),"Adri Mejia")</f>
        <v>Adri Mejia</v>
      </c>
      <c r="AC3" s="5" t="str">
        <f>IFERROR(__xludf.DUMMYFUNCTION("IF(A3="""","""",INDEX(FILTER(Roster!$A:$A,(Roster!$C:$C=A3)*(Roster!$F:$F=1)),1))"),"Fercho")</f>
        <v>Fercho</v>
      </c>
      <c r="AD3" s="5" t="str">
        <f>IFERROR(__xludf.DUMMYFUNCTION("IF(A3="""","""",INDEX(FILTER(Roster!$A:$A,(Roster!$C:$C=A3)*(Roster!$F:$F=2)),1))"),"Gaitan")</f>
        <v>Gaitan</v>
      </c>
      <c r="AE3" s="5">
        <v>1.0</v>
      </c>
      <c r="AF3" s="5">
        <v>0.0</v>
      </c>
      <c r="AG3" s="5" t="s">
        <v>350</v>
      </c>
      <c r="AH3" s="5">
        <v>0.0</v>
      </c>
      <c r="AI3" s="5">
        <v>0.0</v>
      </c>
      <c r="AJ3" s="5">
        <v>0.0</v>
      </c>
      <c r="AK3" s="5" t="s">
        <v>350</v>
      </c>
      <c r="AL3" s="5" t="s">
        <v>351</v>
      </c>
      <c r="AM3" s="5">
        <v>0.0</v>
      </c>
      <c r="AN3" s="5" t="s">
        <v>350</v>
      </c>
      <c r="AO3" s="5">
        <f t="shared" si="1"/>
        <v>4</v>
      </c>
      <c r="AP3" s="5">
        <f t="shared" si="2"/>
        <v>5</v>
      </c>
    </row>
    <row r="4">
      <c r="A4" s="5" t="s">
        <v>8</v>
      </c>
      <c r="B4" s="5">
        <v>3.0</v>
      </c>
      <c r="C4" s="5">
        <v>5.0</v>
      </c>
      <c r="F4" s="5">
        <v>0.0</v>
      </c>
      <c r="G4" s="5">
        <v>5.0</v>
      </c>
      <c r="H4" s="5">
        <v>4.0</v>
      </c>
      <c r="K4" s="5">
        <v>0.0</v>
      </c>
      <c r="L4" s="5">
        <v>4.0</v>
      </c>
      <c r="M4" s="5">
        <v>5.0</v>
      </c>
      <c r="P4" s="5">
        <v>0.0</v>
      </c>
      <c r="Q4" s="5">
        <v>5.0</v>
      </c>
      <c r="R4" s="5">
        <v>5.0</v>
      </c>
      <c r="U4" s="5">
        <v>0.0</v>
      </c>
      <c r="V4" s="5">
        <v>5.0</v>
      </c>
      <c r="W4" s="5" t="s">
        <v>12</v>
      </c>
      <c r="X4" s="1"/>
      <c r="Y4" s="1"/>
      <c r="Z4" s="1" t="s">
        <v>349</v>
      </c>
      <c r="AA4" s="5" t="str">
        <f>IFERROR(__xludf.DUMMYFUNCTION("IF(A4="""","""",INDEX(FILTER(Roster!$A:$A,(Roster!$C:$C=A4)*(Roster!$F:$F=3)),1))"),"Fito")</f>
        <v>Fito</v>
      </c>
      <c r="AB4" s="5" t="str">
        <f>IFERROR(__xludf.DUMMYFUNCTION("IF(A4="""","""",INDEX(FILTER(Roster!$A:$A,(Roster!$C:$C=A4)*(Roster!$F:$F=4)),1))"),"Adri Mejia")</f>
        <v>Adri Mejia</v>
      </c>
      <c r="AC4" s="5" t="str">
        <f>IFERROR(__xludf.DUMMYFUNCTION("IF(A4="""","""",INDEX(FILTER(Roster!$A:$A,(Roster!$C:$C=A4)*(Roster!$F:$F=1)),1))"),"Fercho")</f>
        <v>Fercho</v>
      </c>
      <c r="AD4" s="5" t="str">
        <f>IFERROR(__xludf.DUMMYFUNCTION("IF(A4="""","""",INDEX(FILTER(Roster!$A:$A,(Roster!$C:$C=A4)*(Roster!$F:$F=2)),1))"),"Gaitan")</f>
        <v>Gaitan</v>
      </c>
      <c r="AE4" s="5">
        <v>1.0</v>
      </c>
      <c r="AF4" s="5">
        <v>1.0</v>
      </c>
      <c r="AG4" s="5" t="s">
        <v>352</v>
      </c>
      <c r="AH4" s="5">
        <v>0.0</v>
      </c>
      <c r="AI4" s="5">
        <v>0.0</v>
      </c>
      <c r="AJ4" s="5">
        <v>0.0</v>
      </c>
      <c r="AK4" s="5" t="s">
        <v>350</v>
      </c>
      <c r="AL4" s="5" t="s">
        <v>351</v>
      </c>
      <c r="AM4" s="5">
        <v>0.0</v>
      </c>
      <c r="AN4" s="5" t="s">
        <v>350</v>
      </c>
      <c r="AO4" s="5">
        <f t="shared" si="1"/>
        <v>4</v>
      </c>
      <c r="AP4" s="5">
        <f t="shared" si="2"/>
        <v>5</v>
      </c>
    </row>
    <row r="5">
      <c r="A5" s="5" t="s">
        <v>8</v>
      </c>
      <c r="B5" s="5">
        <v>4.0</v>
      </c>
      <c r="C5" s="5">
        <v>4.0</v>
      </c>
      <c r="F5" s="5">
        <v>0.0</v>
      </c>
      <c r="G5" s="5">
        <v>4.0</v>
      </c>
      <c r="H5" s="5">
        <v>5.0</v>
      </c>
      <c r="K5" s="5">
        <v>0.0</v>
      </c>
      <c r="L5" s="5">
        <v>5.0</v>
      </c>
      <c r="M5" s="5">
        <v>4.0</v>
      </c>
      <c r="P5" s="5">
        <v>0.0</v>
      </c>
      <c r="Q5" s="5">
        <v>4.0</v>
      </c>
      <c r="R5" s="5">
        <v>5.0</v>
      </c>
      <c r="U5" s="5">
        <v>1.0</v>
      </c>
      <c r="V5" s="5">
        <v>4.0</v>
      </c>
      <c r="W5" s="5" t="s">
        <v>353</v>
      </c>
      <c r="X5" s="1"/>
      <c r="Y5" s="1"/>
      <c r="Z5" s="1" t="s">
        <v>349</v>
      </c>
      <c r="AA5" s="5" t="str">
        <f>IFERROR(__xludf.DUMMYFUNCTION("IF(A5="""","""",INDEX(FILTER(Roster!$A:$A,(Roster!$C:$C=A5)*(Roster!$F:$F=3)),1))"),"Fito")</f>
        <v>Fito</v>
      </c>
      <c r="AB5" s="5" t="str">
        <f>IFERROR(__xludf.DUMMYFUNCTION("IF(A5="""","""",INDEX(FILTER(Roster!$A:$A,(Roster!$C:$C=A5)*(Roster!$F:$F=4)),1))"),"Adri Mejia")</f>
        <v>Adri Mejia</v>
      </c>
      <c r="AC5" s="5" t="str">
        <f>IFERROR(__xludf.DUMMYFUNCTION("IF(A5="""","""",INDEX(FILTER(Roster!$A:$A,(Roster!$C:$C=A5)*(Roster!$F:$F=1)),1))"),"Fercho")</f>
        <v>Fercho</v>
      </c>
      <c r="AD5" s="5" t="str">
        <f>IFERROR(__xludf.DUMMYFUNCTION("IF(A5="""","""",INDEX(FILTER(Roster!$A:$A,(Roster!$C:$C=A5)*(Roster!$F:$F=2)),1))"),"Gaitan")</f>
        <v>Gaitan</v>
      </c>
      <c r="AE5" s="5">
        <v>0.0</v>
      </c>
      <c r="AF5" s="5">
        <v>1.0</v>
      </c>
      <c r="AG5" s="5" t="s">
        <v>352</v>
      </c>
      <c r="AH5" s="5">
        <v>0.0</v>
      </c>
      <c r="AI5" s="5">
        <v>0.0</v>
      </c>
      <c r="AJ5" s="5">
        <v>0.0</v>
      </c>
      <c r="AK5" s="5" t="s">
        <v>350</v>
      </c>
      <c r="AL5" s="5" t="s">
        <v>351</v>
      </c>
      <c r="AM5" s="5">
        <v>0.0</v>
      </c>
      <c r="AN5" s="5" t="s">
        <v>350</v>
      </c>
      <c r="AO5" s="5">
        <f t="shared" si="1"/>
        <v>4</v>
      </c>
      <c r="AP5" s="5">
        <f t="shared" si="2"/>
        <v>4</v>
      </c>
    </row>
    <row r="6">
      <c r="A6" s="5" t="s">
        <v>8</v>
      </c>
      <c r="B6" s="5">
        <v>5.0</v>
      </c>
      <c r="C6" s="5">
        <v>2.0</v>
      </c>
      <c r="F6" s="5">
        <v>1.0</v>
      </c>
      <c r="G6" s="5">
        <v>1.0</v>
      </c>
      <c r="H6" s="5">
        <v>4.0</v>
      </c>
      <c r="K6" s="5">
        <v>1.0</v>
      </c>
      <c r="L6" s="5">
        <v>3.0</v>
      </c>
      <c r="M6" s="5">
        <v>3.0</v>
      </c>
      <c r="P6" s="5">
        <v>1.0</v>
      </c>
      <c r="Q6" s="5">
        <v>2.0</v>
      </c>
      <c r="R6" s="5">
        <v>6.0</v>
      </c>
      <c r="U6" s="5">
        <v>1.0</v>
      </c>
      <c r="V6" s="5">
        <v>5.0</v>
      </c>
      <c r="W6" s="5" t="s">
        <v>12</v>
      </c>
      <c r="X6" s="1"/>
      <c r="Y6" s="1"/>
      <c r="Z6" s="1" t="s">
        <v>349</v>
      </c>
      <c r="AA6" s="5" t="str">
        <f>IFERROR(__xludf.DUMMYFUNCTION("IF(A6="""","""",INDEX(FILTER(Roster!$A:$A,(Roster!$C:$C=A6)*(Roster!$F:$F=3)),1))"),"Fito")</f>
        <v>Fito</v>
      </c>
      <c r="AB6" s="5" t="str">
        <f>IFERROR(__xludf.DUMMYFUNCTION("IF(A6="""","""",INDEX(FILTER(Roster!$A:$A,(Roster!$C:$C=A6)*(Roster!$F:$F=4)),1))"),"Adri Mejia")</f>
        <v>Adri Mejia</v>
      </c>
      <c r="AC6" s="5" t="str">
        <f>IFERROR(__xludf.DUMMYFUNCTION("IF(A6="""","""",INDEX(FILTER(Roster!$A:$A,(Roster!$C:$C=A6)*(Roster!$F:$F=1)),1))"),"Fercho")</f>
        <v>Fercho</v>
      </c>
      <c r="AD6" s="5" t="str">
        <f>IFERROR(__xludf.DUMMYFUNCTION("IF(A6="""","""",INDEX(FILTER(Roster!$A:$A,(Roster!$C:$C=A6)*(Roster!$F:$F=2)),1))"),"Gaitan")</f>
        <v>Gaitan</v>
      </c>
      <c r="AE6" s="5">
        <v>1.0</v>
      </c>
      <c r="AF6" s="5">
        <v>2.0</v>
      </c>
      <c r="AG6" s="5" t="s">
        <v>354</v>
      </c>
      <c r="AH6" s="5">
        <v>0.0</v>
      </c>
      <c r="AI6" s="5">
        <v>0.0</v>
      </c>
      <c r="AJ6" s="5">
        <v>0.0</v>
      </c>
      <c r="AK6" s="5" t="s">
        <v>350</v>
      </c>
      <c r="AL6" s="5" t="s">
        <v>351</v>
      </c>
      <c r="AM6" s="5">
        <v>0.0</v>
      </c>
      <c r="AN6" s="5" t="s">
        <v>350</v>
      </c>
      <c r="AO6" s="5">
        <f t="shared" si="1"/>
        <v>1</v>
      </c>
      <c r="AP6" s="5">
        <f t="shared" si="2"/>
        <v>2</v>
      </c>
    </row>
    <row r="7">
      <c r="A7" s="5" t="s">
        <v>8</v>
      </c>
      <c r="B7" s="5">
        <v>6.0</v>
      </c>
      <c r="C7" s="5">
        <v>6.0</v>
      </c>
      <c r="F7" s="5">
        <v>0.0</v>
      </c>
      <c r="G7" s="5">
        <v>6.0</v>
      </c>
      <c r="H7" s="5">
        <v>5.0</v>
      </c>
      <c r="K7" s="5">
        <v>1.0</v>
      </c>
      <c r="L7" s="5">
        <v>4.0</v>
      </c>
      <c r="M7" s="5">
        <v>5.0</v>
      </c>
      <c r="P7" s="5">
        <v>1.0</v>
      </c>
      <c r="Q7" s="5">
        <v>4.0</v>
      </c>
      <c r="R7" s="5">
        <v>4.0</v>
      </c>
      <c r="U7" s="5">
        <v>1.0</v>
      </c>
      <c r="V7" s="5">
        <v>3.0</v>
      </c>
      <c r="W7" s="5" t="s">
        <v>7</v>
      </c>
      <c r="X7" s="1"/>
      <c r="Y7" s="1"/>
      <c r="Z7" s="1" t="s">
        <v>349</v>
      </c>
      <c r="AA7" s="5" t="str">
        <f>IFERROR(__xludf.DUMMYFUNCTION("IF(A7="""","""",INDEX(FILTER(Roster!$A:$A,(Roster!$C:$C=A7)*(Roster!$F:$F=3)),1))"),"Fito")</f>
        <v>Fito</v>
      </c>
      <c r="AB7" s="5" t="str">
        <f>IFERROR(__xludf.DUMMYFUNCTION("IF(A7="""","""",INDEX(FILTER(Roster!$A:$A,(Roster!$C:$C=A7)*(Roster!$F:$F=4)),1))"),"Adri Mejia")</f>
        <v>Adri Mejia</v>
      </c>
      <c r="AC7" s="5" t="str">
        <f>IFERROR(__xludf.DUMMYFUNCTION("IF(A7="""","""",INDEX(FILTER(Roster!$A:$A,(Roster!$C:$C=A7)*(Roster!$F:$F=1)),1))"),"Fercho")</f>
        <v>Fercho</v>
      </c>
      <c r="AD7" s="5" t="str">
        <f>IFERROR(__xludf.DUMMYFUNCTION("IF(A7="""","""",INDEX(FILTER(Roster!$A:$A,(Roster!$C:$C=A7)*(Roster!$F:$F=2)),1))"),"Gaitan")</f>
        <v>Gaitan</v>
      </c>
      <c r="AE7" s="5">
        <v>-1.0</v>
      </c>
      <c r="AF7" s="5">
        <v>1.0</v>
      </c>
      <c r="AG7" s="5" t="s">
        <v>352</v>
      </c>
      <c r="AH7" s="5">
        <v>0.0</v>
      </c>
      <c r="AI7" s="5">
        <v>0.0</v>
      </c>
      <c r="AJ7" s="5">
        <v>0.0</v>
      </c>
      <c r="AK7" s="5" t="s">
        <v>350</v>
      </c>
      <c r="AL7" s="5" t="s">
        <v>351</v>
      </c>
      <c r="AM7" s="5">
        <v>0.0</v>
      </c>
      <c r="AN7" s="5" t="s">
        <v>350</v>
      </c>
      <c r="AO7" s="5">
        <f t="shared" si="1"/>
        <v>4</v>
      </c>
      <c r="AP7" s="5">
        <f t="shared" si="2"/>
        <v>3</v>
      </c>
    </row>
    <row r="8">
      <c r="A8" s="5" t="s">
        <v>8</v>
      </c>
      <c r="B8" s="5">
        <v>7.0</v>
      </c>
      <c r="C8" s="5">
        <v>2.0</v>
      </c>
      <c r="F8" s="5">
        <v>0.0</v>
      </c>
      <c r="G8" s="5">
        <v>2.0</v>
      </c>
      <c r="H8" s="5">
        <v>3.0</v>
      </c>
      <c r="K8" s="5">
        <v>0.0</v>
      </c>
      <c r="L8" s="5">
        <v>3.0</v>
      </c>
      <c r="M8" s="5">
        <v>3.0</v>
      </c>
      <c r="P8" s="5">
        <v>0.0</v>
      </c>
      <c r="Q8" s="5">
        <v>3.0</v>
      </c>
      <c r="R8" s="5">
        <v>3.0</v>
      </c>
      <c r="U8" s="5">
        <v>1.0</v>
      </c>
      <c r="V8" s="5">
        <v>2.0</v>
      </c>
      <c r="W8" s="5" t="s">
        <v>353</v>
      </c>
      <c r="X8" s="1"/>
      <c r="Y8" s="1"/>
      <c r="Z8" s="1" t="s">
        <v>349</v>
      </c>
      <c r="AA8" s="5" t="str">
        <f>IFERROR(__xludf.DUMMYFUNCTION("IF(A8="""","""",INDEX(FILTER(Roster!$A:$A,(Roster!$C:$C=A8)*(Roster!$F:$F=3)),1))"),"Fito")</f>
        <v>Fito</v>
      </c>
      <c r="AB8" s="5" t="str">
        <f>IFERROR(__xludf.DUMMYFUNCTION("IF(A8="""","""",INDEX(FILTER(Roster!$A:$A,(Roster!$C:$C=A8)*(Roster!$F:$F=4)),1))"),"Adri Mejia")</f>
        <v>Adri Mejia</v>
      </c>
      <c r="AC8" s="5" t="str">
        <f>IFERROR(__xludf.DUMMYFUNCTION("IF(A8="""","""",INDEX(FILTER(Roster!$A:$A,(Roster!$C:$C=A8)*(Roster!$F:$F=1)),1))"),"Fercho")</f>
        <v>Fercho</v>
      </c>
      <c r="AD8" s="5" t="str">
        <f>IFERROR(__xludf.DUMMYFUNCTION("IF(A8="""","""",INDEX(FILTER(Roster!$A:$A,(Roster!$C:$C=A8)*(Roster!$F:$F=2)),1))"),"Gaitan")</f>
        <v>Gaitan</v>
      </c>
      <c r="AE8" s="5">
        <v>0.0</v>
      </c>
      <c r="AF8" s="5">
        <v>1.0</v>
      </c>
      <c r="AG8" s="5" t="s">
        <v>352</v>
      </c>
      <c r="AH8" s="5">
        <v>0.0</v>
      </c>
      <c r="AI8" s="5">
        <v>0.0</v>
      </c>
      <c r="AJ8" s="5">
        <v>0.0</v>
      </c>
      <c r="AK8" s="5" t="s">
        <v>350</v>
      </c>
      <c r="AL8" s="5" t="s">
        <v>351</v>
      </c>
      <c r="AM8" s="5">
        <v>0.0</v>
      </c>
      <c r="AN8" s="5" t="s">
        <v>350</v>
      </c>
      <c r="AO8" s="5">
        <f t="shared" si="1"/>
        <v>2</v>
      </c>
      <c r="AP8" s="5">
        <f t="shared" si="2"/>
        <v>2</v>
      </c>
    </row>
    <row r="9">
      <c r="A9" s="5" t="s">
        <v>8</v>
      </c>
      <c r="B9" s="5">
        <v>8.0</v>
      </c>
      <c r="C9" s="5">
        <v>5.0</v>
      </c>
      <c r="F9" s="5">
        <v>1.0</v>
      </c>
      <c r="G9" s="5">
        <v>4.0</v>
      </c>
      <c r="H9" s="5">
        <v>7.0</v>
      </c>
      <c r="K9" s="5">
        <v>1.0</v>
      </c>
      <c r="L9" s="5">
        <v>6.0</v>
      </c>
      <c r="M9" s="5">
        <v>7.0</v>
      </c>
      <c r="P9" s="5">
        <v>1.0</v>
      </c>
      <c r="Q9" s="5">
        <v>6.0</v>
      </c>
      <c r="R9" s="5">
        <v>6.0</v>
      </c>
      <c r="U9" s="5">
        <v>1.0</v>
      </c>
      <c r="V9" s="5">
        <v>5.0</v>
      </c>
      <c r="W9" s="5" t="s">
        <v>12</v>
      </c>
      <c r="X9" s="1"/>
      <c r="Y9" s="1"/>
      <c r="Z9" s="1" t="s">
        <v>349</v>
      </c>
      <c r="AA9" s="5" t="str">
        <f>IFERROR(__xludf.DUMMYFUNCTION("IF(A9="""","""",INDEX(FILTER(Roster!$A:$A,(Roster!$C:$C=A9)*(Roster!$F:$F=3)),1))"),"Fito")</f>
        <v>Fito</v>
      </c>
      <c r="AB9" s="5" t="str">
        <f>IFERROR(__xludf.DUMMYFUNCTION("IF(A9="""","""",INDEX(FILTER(Roster!$A:$A,(Roster!$C:$C=A9)*(Roster!$F:$F=4)),1))"),"Adri Mejia")</f>
        <v>Adri Mejia</v>
      </c>
      <c r="AC9" s="5" t="str">
        <f>IFERROR(__xludf.DUMMYFUNCTION("IF(A9="""","""",INDEX(FILTER(Roster!$A:$A,(Roster!$C:$C=A9)*(Roster!$F:$F=1)),1))"),"Fercho")</f>
        <v>Fercho</v>
      </c>
      <c r="AD9" s="5" t="str">
        <f>IFERROR(__xludf.DUMMYFUNCTION("IF(A9="""","""",INDEX(FILTER(Roster!$A:$A,(Roster!$C:$C=A9)*(Roster!$F:$F=2)),1))"),"Gaitan")</f>
        <v>Gaitan</v>
      </c>
      <c r="AE9" s="5">
        <v>1.0</v>
      </c>
      <c r="AF9" s="5">
        <v>2.0</v>
      </c>
      <c r="AG9" s="5" t="s">
        <v>354</v>
      </c>
      <c r="AH9" s="5">
        <v>0.0</v>
      </c>
      <c r="AI9" s="5">
        <v>0.0</v>
      </c>
      <c r="AJ9" s="5">
        <v>0.0</v>
      </c>
      <c r="AK9" s="5" t="s">
        <v>350</v>
      </c>
      <c r="AL9" s="5" t="s">
        <v>351</v>
      </c>
      <c r="AM9" s="5">
        <v>0.0</v>
      </c>
      <c r="AN9" s="5" t="s">
        <v>350</v>
      </c>
      <c r="AO9" s="5">
        <f t="shared" si="1"/>
        <v>4</v>
      </c>
      <c r="AP9" s="5">
        <f t="shared" si="2"/>
        <v>5</v>
      </c>
    </row>
    <row r="10">
      <c r="A10" s="5" t="s">
        <v>8</v>
      </c>
      <c r="B10" s="5">
        <v>9.0</v>
      </c>
      <c r="C10" s="5">
        <v>0.0</v>
      </c>
      <c r="F10" s="5">
        <v>1.0</v>
      </c>
      <c r="G10" s="5" t="s">
        <v>355</v>
      </c>
      <c r="H10" s="5">
        <v>0.0</v>
      </c>
      <c r="K10" s="5">
        <v>1.0</v>
      </c>
      <c r="L10" s="5" t="s">
        <v>355</v>
      </c>
      <c r="M10" s="5">
        <v>0.0</v>
      </c>
      <c r="P10" s="5">
        <v>1.0</v>
      </c>
      <c r="Q10" s="5" t="s">
        <v>355</v>
      </c>
      <c r="R10" s="5">
        <v>0.0</v>
      </c>
      <c r="U10" s="5">
        <v>1.0</v>
      </c>
      <c r="V10" s="5" t="s">
        <v>355</v>
      </c>
      <c r="W10" s="5" t="s">
        <v>355</v>
      </c>
      <c r="X10" s="1"/>
      <c r="Y10" s="1"/>
      <c r="Z10" s="1" t="s">
        <v>349</v>
      </c>
      <c r="AA10" s="5" t="str">
        <f>IFERROR(__xludf.DUMMYFUNCTION("IF(A10="""","""",INDEX(FILTER(Roster!$A:$A,(Roster!$C:$C=A10)*(Roster!$F:$F=3)),1))"),"Fito")</f>
        <v>Fito</v>
      </c>
      <c r="AB10" s="5" t="str">
        <f>IFERROR(__xludf.DUMMYFUNCTION("IF(A10="""","""",INDEX(FILTER(Roster!$A:$A,(Roster!$C:$C=A10)*(Roster!$F:$F=4)),1))"),"Adri Mejia")</f>
        <v>Adri Mejia</v>
      </c>
      <c r="AC10" s="5" t="str">
        <f>IFERROR(__xludf.DUMMYFUNCTION("IF(A10="""","""",INDEX(FILTER(Roster!$A:$A,(Roster!$C:$C=A10)*(Roster!$F:$F=1)),1))"),"Fercho")</f>
        <v>Fercho</v>
      </c>
      <c r="AD10" s="5" t="str">
        <f>IFERROR(__xludf.DUMMYFUNCTION("IF(A10="""","""",INDEX(FILTER(Roster!$A:$A,(Roster!$C:$C=A10)*(Roster!$F:$F=2)),1))"),"Gaitan")</f>
        <v>Gaitan</v>
      </c>
      <c r="AE10" s="5">
        <v>0.0</v>
      </c>
      <c r="AF10" s="5">
        <v>2.0</v>
      </c>
      <c r="AG10" s="5" t="s">
        <v>354</v>
      </c>
      <c r="AH10" s="5">
        <v>0.0</v>
      </c>
      <c r="AI10" s="5">
        <v>0.0</v>
      </c>
      <c r="AJ10" s="5">
        <v>0.0</v>
      </c>
      <c r="AK10" s="5" t="s">
        <v>350</v>
      </c>
      <c r="AL10" s="5" t="s">
        <v>351</v>
      </c>
      <c r="AM10" s="5">
        <v>0.0</v>
      </c>
      <c r="AN10" s="5" t="s">
        <v>350</v>
      </c>
      <c r="AO10" s="5">
        <f t="shared" si="1"/>
        <v>0</v>
      </c>
      <c r="AP10" s="5">
        <f t="shared" si="2"/>
        <v>0</v>
      </c>
    </row>
    <row r="11">
      <c r="A11" s="5" t="str">
        <f t="array" ref="A11:A19">Calc_Engine!A47:A55</f>
        <v>Flight_2</v>
      </c>
      <c r="B11" s="5">
        <f t="array" ref="B11:B19">Calc_Engine!B47:B55</f>
        <v>1</v>
      </c>
      <c r="C11" s="5">
        <f t="array" ref="C11:C19">Calc_Engine!C47:C55</f>
        <v>5</v>
      </c>
      <c r="F11" s="5">
        <f t="array" ref="F11:F19">Calc_Engine!F47:F55</f>
        <v>1</v>
      </c>
      <c r="G11" s="5">
        <f t="array" ref="G11:G19">Calc_Engine!G47:G55</f>
        <v>4</v>
      </c>
      <c r="H11" s="5">
        <f t="array" ref="H11:H19">Calc_Engine!H47:H55</f>
        <v>4</v>
      </c>
      <c r="K11" s="5">
        <f t="array" ref="K11:K19">Calc_Engine!K47:K55</f>
        <v>1</v>
      </c>
      <c r="L11" s="5">
        <f t="array" ref="L11:L19">Calc_Engine!L47:L55</f>
        <v>3</v>
      </c>
      <c r="M11" s="5">
        <f t="array" ref="M11:M19">Calc_Engine!M47:M55</f>
        <v>5</v>
      </c>
      <c r="P11" s="5">
        <f t="array" ref="P11:P19">Calc_Engine!P47:P55</f>
        <v>1</v>
      </c>
      <c r="Q11" s="5">
        <f t="array" ref="Q11:Q19">Calc_Engine!Q47:Q55</f>
        <v>4</v>
      </c>
      <c r="R11" s="5">
        <f t="array" ref="R11:R19">Calc_Engine!R47:R55</f>
        <v>4</v>
      </c>
      <c r="U11" s="5">
        <f t="array" ref="U11:U19">Calc_Engine!U47:U55</f>
        <v>1</v>
      </c>
      <c r="V11" s="5">
        <f t="array" ref="V11:V19">Calc_Engine!V47:V55</f>
        <v>3</v>
      </c>
      <c r="W11" s="5" t="str">
        <f t="array" ref="W11:W19">Calc_Engine!W47:W55</f>
        <v>Tie</v>
      </c>
      <c r="X11" s="1"/>
      <c r="Y11" s="1"/>
      <c r="Z11" s="1" t="s">
        <v>356</v>
      </c>
      <c r="AA11" s="5" t="str">
        <f>IFERROR(__xludf.DUMMYFUNCTION("IF(A11="""","""",INDEX(FILTER(Roster!$A:$A,(Roster!$C:$C=A11)*(Roster!$F:$F=3)),1))"),"Cadavid")</f>
        <v>Cadavid</v>
      </c>
      <c r="AB11" s="5" t="str">
        <f>IFERROR(__xludf.DUMMYFUNCTION("IF(A11="""","""",INDEX(FILTER(Roster!$A:$A,(Roster!$C:$C=A11)*(Roster!$F:$F=4)),1))"),"Saenz")</f>
        <v>Saenz</v>
      </c>
      <c r="AC11" s="5" t="str">
        <f>IFERROR(__xludf.DUMMYFUNCTION("IF(A11="""","""",INDEX(FILTER(Roster!$A:$A,(Roster!$C:$C=A11)*(Roster!$F:$F=1)),1))"),"Otto Fenwarth")</f>
        <v>Otto Fenwarth</v>
      </c>
      <c r="AD11" s="5" t="str">
        <f>IFERROR(__xludf.DUMMYFUNCTION("IF(A11="""","""",INDEX(FILTER(Roster!$A:$A,(Roster!$C:$C=A11)*(Roster!$F:$F=2)),1))"),"Valenzuela")</f>
        <v>Valenzuela</v>
      </c>
      <c r="AE11" s="5">
        <v>0.0</v>
      </c>
      <c r="AF11" s="5">
        <v>0.0</v>
      </c>
      <c r="AG11" s="5" t="s">
        <v>350</v>
      </c>
      <c r="AH11" s="5">
        <v>0.0</v>
      </c>
      <c r="AI11" s="5">
        <v>0.0</v>
      </c>
      <c r="AJ11" s="5">
        <v>0.0</v>
      </c>
      <c r="AK11" s="5" t="s">
        <v>350</v>
      </c>
      <c r="AL11" s="5" t="s">
        <v>351</v>
      </c>
      <c r="AM11" s="5">
        <v>0.0</v>
      </c>
      <c r="AN11" s="5" t="s">
        <v>350</v>
      </c>
      <c r="AO11" s="5">
        <f t="shared" si="1"/>
        <v>3</v>
      </c>
      <c r="AP11" s="5">
        <f t="shared" si="2"/>
        <v>3</v>
      </c>
    </row>
    <row r="12">
      <c r="A12" s="5" t="s">
        <v>16</v>
      </c>
      <c r="B12" s="5">
        <v>2.0</v>
      </c>
      <c r="C12" s="5">
        <v>5.0</v>
      </c>
      <c r="F12" s="5">
        <v>0.0</v>
      </c>
      <c r="G12" s="5">
        <v>5.0</v>
      </c>
      <c r="H12" s="5">
        <v>5.0</v>
      </c>
      <c r="K12" s="5">
        <v>0.0</v>
      </c>
      <c r="L12" s="5">
        <v>5.0</v>
      </c>
      <c r="M12" s="5">
        <v>7.0</v>
      </c>
      <c r="P12" s="5">
        <v>1.0</v>
      </c>
      <c r="Q12" s="5">
        <v>6.0</v>
      </c>
      <c r="R12" s="5">
        <v>4.0</v>
      </c>
      <c r="U12" s="5">
        <v>1.0</v>
      </c>
      <c r="V12" s="5">
        <v>3.0</v>
      </c>
      <c r="W12" s="5" t="s">
        <v>7</v>
      </c>
      <c r="X12" s="1"/>
      <c r="Y12" s="1"/>
      <c r="Z12" s="1" t="s">
        <v>356</v>
      </c>
      <c r="AA12" s="5" t="str">
        <f>IFERROR(__xludf.DUMMYFUNCTION("IF(A12="""","""",INDEX(FILTER(Roster!$A:$A,(Roster!$C:$C=A12)*(Roster!$F:$F=3)),1))"),"Cadavid")</f>
        <v>Cadavid</v>
      </c>
      <c r="AB12" s="5" t="str">
        <f>IFERROR(__xludf.DUMMYFUNCTION("IF(A12="""","""",INDEX(FILTER(Roster!$A:$A,(Roster!$C:$C=A12)*(Roster!$F:$F=4)),1))"),"Saenz")</f>
        <v>Saenz</v>
      </c>
      <c r="AC12" s="5" t="str">
        <f>IFERROR(__xludf.DUMMYFUNCTION("IF(A12="""","""",INDEX(FILTER(Roster!$A:$A,(Roster!$C:$C=A12)*(Roster!$F:$F=1)),1))"),"Otto Fenwarth")</f>
        <v>Otto Fenwarth</v>
      </c>
      <c r="AD12" s="5" t="str">
        <f>IFERROR(__xludf.DUMMYFUNCTION("IF(A12="""","""",INDEX(FILTER(Roster!$A:$A,(Roster!$C:$C=A12)*(Roster!$F:$F=2)),1))"),"Valenzuela")</f>
        <v>Valenzuela</v>
      </c>
      <c r="AE12" s="5">
        <v>-1.0</v>
      </c>
      <c r="AF12" s="5">
        <v>-1.0</v>
      </c>
      <c r="AG12" s="5" t="s">
        <v>352</v>
      </c>
      <c r="AH12" s="5">
        <v>0.0</v>
      </c>
      <c r="AI12" s="5">
        <v>0.0</v>
      </c>
      <c r="AJ12" s="5">
        <v>0.0</v>
      </c>
      <c r="AK12" s="5" t="s">
        <v>350</v>
      </c>
      <c r="AL12" s="5" t="s">
        <v>351</v>
      </c>
      <c r="AM12" s="5">
        <v>0.0</v>
      </c>
      <c r="AN12" s="5" t="s">
        <v>350</v>
      </c>
      <c r="AO12" s="5">
        <f t="shared" si="1"/>
        <v>5</v>
      </c>
      <c r="AP12" s="5">
        <f t="shared" si="2"/>
        <v>3</v>
      </c>
    </row>
    <row r="13">
      <c r="A13" s="5" t="s">
        <v>16</v>
      </c>
      <c r="B13" s="5">
        <v>3.0</v>
      </c>
      <c r="C13" s="5">
        <v>7.0</v>
      </c>
      <c r="F13" s="5">
        <v>0.0</v>
      </c>
      <c r="G13" s="5">
        <v>7.0</v>
      </c>
      <c r="H13" s="5">
        <v>4.0</v>
      </c>
      <c r="K13" s="5">
        <v>0.0</v>
      </c>
      <c r="L13" s="5">
        <v>4.0</v>
      </c>
      <c r="M13" s="5">
        <v>5.0</v>
      </c>
      <c r="P13" s="5">
        <v>1.0</v>
      </c>
      <c r="Q13" s="5">
        <v>4.0</v>
      </c>
      <c r="R13" s="5">
        <v>4.0</v>
      </c>
      <c r="U13" s="5">
        <v>0.0</v>
      </c>
      <c r="V13" s="5">
        <v>4.0</v>
      </c>
      <c r="W13" s="5" t="s">
        <v>353</v>
      </c>
      <c r="X13" s="1"/>
      <c r="Y13" s="1"/>
      <c r="Z13" s="1" t="s">
        <v>356</v>
      </c>
      <c r="AA13" s="5" t="str">
        <f>IFERROR(__xludf.DUMMYFUNCTION("IF(A13="""","""",INDEX(FILTER(Roster!$A:$A,(Roster!$C:$C=A13)*(Roster!$F:$F=3)),1))"),"Cadavid")</f>
        <v>Cadavid</v>
      </c>
      <c r="AB13" s="5" t="str">
        <f>IFERROR(__xludf.DUMMYFUNCTION("IF(A13="""","""",INDEX(FILTER(Roster!$A:$A,(Roster!$C:$C=A13)*(Roster!$F:$F=4)),1))"),"Saenz")</f>
        <v>Saenz</v>
      </c>
      <c r="AC13" s="5" t="str">
        <f>IFERROR(__xludf.DUMMYFUNCTION("IF(A13="""","""",INDEX(FILTER(Roster!$A:$A,(Roster!$C:$C=A13)*(Roster!$F:$F=1)),1))"),"Otto Fenwarth")</f>
        <v>Otto Fenwarth</v>
      </c>
      <c r="AD13" s="5" t="str">
        <f>IFERROR(__xludf.DUMMYFUNCTION("IF(A13="""","""",INDEX(FILTER(Roster!$A:$A,(Roster!$C:$C=A13)*(Roster!$F:$F=2)),1))"),"Valenzuela")</f>
        <v>Valenzuela</v>
      </c>
      <c r="AE13" s="5">
        <v>0.0</v>
      </c>
      <c r="AF13" s="5">
        <v>-1.0</v>
      </c>
      <c r="AG13" s="5" t="s">
        <v>352</v>
      </c>
      <c r="AH13" s="5">
        <v>0.0</v>
      </c>
      <c r="AI13" s="5">
        <v>0.0</v>
      </c>
      <c r="AJ13" s="5">
        <v>0.0</v>
      </c>
      <c r="AK13" s="5" t="s">
        <v>350</v>
      </c>
      <c r="AL13" s="5" t="s">
        <v>351</v>
      </c>
      <c r="AM13" s="5">
        <v>0.0</v>
      </c>
      <c r="AN13" s="5" t="s">
        <v>350</v>
      </c>
      <c r="AO13" s="5">
        <f t="shared" si="1"/>
        <v>4</v>
      </c>
      <c r="AP13" s="5">
        <f t="shared" si="2"/>
        <v>4</v>
      </c>
    </row>
    <row r="14">
      <c r="A14" s="5" t="s">
        <v>16</v>
      </c>
      <c r="B14" s="5">
        <v>4.0</v>
      </c>
      <c r="C14" s="5">
        <v>3.0</v>
      </c>
      <c r="F14" s="5">
        <v>0.0</v>
      </c>
      <c r="G14" s="5">
        <v>3.0</v>
      </c>
      <c r="H14" s="5">
        <v>4.0</v>
      </c>
      <c r="K14" s="5">
        <v>0.0</v>
      </c>
      <c r="L14" s="5">
        <v>4.0</v>
      </c>
      <c r="M14" s="5">
        <v>6.0</v>
      </c>
      <c r="P14" s="5">
        <v>1.0</v>
      </c>
      <c r="Q14" s="5">
        <v>5.0</v>
      </c>
      <c r="R14" s="5">
        <v>5.0</v>
      </c>
      <c r="U14" s="5">
        <v>0.0</v>
      </c>
      <c r="V14" s="5">
        <v>5.0</v>
      </c>
      <c r="W14" s="5" t="s">
        <v>12</v>
      </c>
      <c r="X14" s="1"/>
      <c r="Y14" s="1"/>
      <c r="Z14" s="1" t="s">
        <v>356</v>
      </c>
      <c r="AA14" s="5" t="str">
        <f>IFERROR(__xludf.DUMMYFUNCTION("IF(A14="""","""",INDEX(FILTER(Roster!$A:$A,(Roster!$C:$C=A14)*(Roster!$F:$F=3)),1))"),"Cadavid")</f>
        <v>Cadavid</v>
      </c>
      <c r="AB14" s="5" t="str">
        <f>IFERROR(__xludf.DUMMYFUNCTION("IF(A14="""","""",INDEX(FILTER(Roster!$A:$A,(Roster!$C:$C=A14)*(Roster!$F:$F=4)),1))"),"Saenz")</f>
        <v>Saenz</v>
      </c>
      <c r="AC14" s="5" t="str">
        <f>IFERROR(__xludf.DUMMYFUNCTION("IF(A14="""","""",INDEX(FILTER(Roster!$A:$A,(Roster!$C:$C=A14)*(Roster!$F:$F=1)),1))"),"Otto Fenwarth")</f>
        <v>Otto Fenwarth</v>
      </c>
      <c r="AD14" s="5" t="str">
        <f>IFERROR(__xludf.DUMMYFUNCTION("IF(A14="""","""",INDEX(FILTER(Roster!$A:$A,(Roster!$C:$C=A14)*(Roster!$F:$F=2)),1))"),"Valenzuela")</f>
        <v>Valenzuela</v>
      </c>
      <c r="AE14" s="5">
        <v>1.0</v>
      </c>
      <c r="AF14" s="5">
        <v>0.0</v>
      </c>
      <c r="AG14" s="5" t="s">
        <v>350</v>
      </c>
      <c r="AH14" s="5">
        <v>0.0</v>
      </c>
      <c r="AI14" s="5">
        <v>0.0</v>
      </c>
      <c r="AJ14" s="5">
        <v>0.0</v>
      </c>
      <c r="AK14" s="5" t="s">
        <v>350</v>
      </c>
      <c r="AL14" s="5" t="s">
        <v>351</v>
      </c>
      <c r="AM14" s="5">
        <v>0.0</v>
      </c>
      <c r="AN14" s="5" t="s">
        <v>350</v>
      </c>
      <c r="AO14" s="5">
        <f t="shared" si="1"/>
        <v>3</v>
      </c>
      <c r="AP14" s="5">
        <f t="shared" si="2"/>
        <v>5</v>
      </c>
    </row>
    <row r="15">
      <c r="A15" s="5" t="s">
        <v>16</v>
      </c>
      <c r="B15" s="5">
        <v>5.0</v>
      </c>
      <c r="C15" s="5">
        <v>4.0</v>
      </c>
      <c r="F15" s="5">
        <v>1.0</v>
      </c>
      <c r="G15" s="5">
        <v>3.0</v>
      </c>
      <c r="H15" s="5">
        <v>3.0</v>
      </c>
      <c r="K15" s="5">
        <v>0.0</v>
      </c>
      <c r="L15" s="5">
        <v>3.0</v>
      </c>
      <c r="M15" s="5">
        <v>6.0</v>
      </c>
      <c r="P15" s="5">
        <v>1.0</v>
      </c>
      <c r="Q15" s="5">
        <v>5.0</v>
      </c>
      <c r="R15" s="5">
        <v>3.0</v>
      </c>
      <c r="U15" s="5">
        <v>1.0</v>
      </c>
      <c r="V15" s="5">
        <v>2.0</v>
      </c>
      <c r="W15" s="5" t="s">
        <v>7</v>
      </c>
      <c r="X15" s="1"/>
      <c r="Y15" s="1"/>
      <c r="Z15" s="1" t="s">
        <v>356</v>
      </c>
      <c r="AA15" s="5" t="str">
        <f>IFERROR(__xludf.DUMMYFUNCTION("IF(A15="""","""",INDEX(FILTER(Roster!$A:$A,(Roster!$C:$C=A15)*(Roster!$F:$F=3)),1))"),"Cadavid")</f>
        <v>Cadavid</v>
      </c>
      <c r="AB15" s="5" t="str">
        <f>IFERROR(__xludf.DUMMYFUNCTION("IF(A15="""","""",INDEX(FILTER(Roster!$A:$A,(Roster!$C:$C=A15)*(Roster!$F:$F=4)),1))"),"Saenz")</f>
        <v>Saenz</v>
      </c>
      <c r="AC15" s="5" t="str">
        <f>IFERROR(__xludf.DUMMYFUNCTION("IF(A15="""","""",INDEX(FILTER(Roster!$A:$A,(Roster!$C:$C=A15)*(Roster!$F:$F=1)),1))"),"Otto Fenwarth")</f>
        <v>Otto Fenwarth</v>
      </c>
      <c r="AD15" s="5" t="str">
        <f>IFERROR(__xludf.DUMMYFUNCTION("IF(A15="""","""",INDEX(FILTER(Roster!$A:$A,(Roster!$C:$C=A15)*(Roster!$F:$F=2)),1))"),"Valenzuela")</f>
        <v>Valenzuela</v>
      </c>
      <c r="AE15" s="5">
        <v>-1.0</v>
      </c>
      <c r="AF15" s="5">
        <v>-1.0</v>
      </c>
      <c r="AG15" s="5" t="s">
        <v>352</v>
      </c>
      <c r="AH15" s="5">
        <v>0.0</v>
      </c>
      <c r="AI15" s="5">
        <v>0.0</v>
      </c>
      <c r="AJ15" s="5">
        <v>0.0</v>
      </c>
      <c r="AK15" s="5" t="s">
        <v>350</v>
      </c>
      <c r="AL15" s="5" t="s">
        <v>351</v>
      </c>
      <c r="AM15" s="5">
        <v>0.0</v>
      </c>
      <c r="AN15" s="5" t="s">
        <v>350</v>
      </c>
      <c r="AO15" s="5">
        <f t="shared" si="1"/>
        <v>3</v>
      </c>
      <c r="AP15" s="5">
        <f t="shared" si="2"/>
        <v>2</v>
      </c>
    </row>
    <row r="16">
      <c r="A16" s="5" t="s">
        <v>16</v>
      </c>
      <c r="B16" s="5">
        <v>6.0</v>
      </c>
      <c r="C16" s="5">
        <v>3.0</v>
      </c>
      <c r="F16" s="5">
        <v>1.0</v>
      </c>
      <c r="G16" s="5">
        <v>2.0</v>
      </c>
      <c r="H16" s="5">
        <v>5.0</v>
      </c>
      <c r="K16" s="5">
        <v>1.0</v>
      </c>
      <c r="L16" s="5">
        <v>4.0</v>
      </c>
      <c r="M16" s="5">
        <v>6.0</v>
      </c>
      <c r="P16" s="5">
        <v>1.0</v>
      </c>
      <c r="Q16" s="5">
        <v>5.0</v>
      </c>
      <c r="R16" s="5">
        <v>4.0</v>
      </c>
      <c r="U16" s="5">
        <v>1.0</v>
      </c>
      <c r="V16" s="5">
        <v>3.0</v>
      </c>
      <c r="W16" s="5" t="s">
        <v>12</v>
      </c>
      <c r="X16" s="1"/>
      <c r="Y16" s="1"/>
      <c r="Z16" s="1" t="s">
        <v>356</v>
      </c>
      <c r="AA16" s="5" t="str">
        <f>IFERROR(__xludf.DUMMYFUNCTION("IF(A16="""","""",INDEX(FILTER(Roster!$A:$A,(Roster!$C:$C=A16)*(Roster!$F:$F=3)),1))"),"Cadavid")</f>
        <v>Cadavid</v>
      </c>
      <c r="AB16" s="5" t="str">
        <f>IFERROR(__xludf.DUMMYFUNCTION("IF(A16="""","""",INDEX(FILTER(Roster!$A:$A,(Roster!$C:$C=A16)*(Roster!$F:$F=4)),1))"),"Saenz")</f>
        <v>Saenz</v>
      </c>
      <c r="AC16" s="5" t="str">
        <f>IFERROR(__xludf.DUMMYFUNCTION("IF(A16="""","""",INDEX(FILTER(Roster!$A:$A,(Roster!$C:$C=A16)*(Roster!$F:$F=1)),1))"),"Otto Fenwarth")</f>
        <v>Otto Fenwarth</v>
      </c>
      <c r="AD16" s="5" t="str">
        <f>IFERROR(__xludf.DUMMYFUNCTION("IF(A16="""","""",INDEX(FILTER(Roster!$A:$A,(Roster!$C:$C=A16)*(Roster!$F:$F=2)),1))"),"Valenzuela")</f>
        <v>Valenzuela</v>
      </c>
      <c r="AE16" s="5">
        <v>1.0</v>
      </c>
      <c r="AF16" s="5">
        <v>0.0</v>
      </c>
      <c r="AG16" s="5" t="s">
        <v>350</v>
      </c>
      <c r="AH16" s="5">
        <v>0.0</v>
      </c>
      <c r="AI16" s="5">
        <v>0.0</v>
      </c>
      <c r="AJ16" s="5">
        <v>0.0</v>
      </c>
      <c r="AK16" s="5" t="s">
        <v>350</v>
      </c>
      <c r="AL16" s="5" t="s">
        <v>351</v>
      </c>
      <c r="AM16" s="5">
        <v>0.0</v>
      </c>
      <c r="AN16" s="5" t="s">
        <v>350</v>
      </c>
      <c r="AO16" s="5">
        <f t="shared" si="1"/>
        <v>2</v>
      </c>
      <c r="AP16" s="5">
        <f t="shared" si="2"/>
        <v>3</v>
      </c>
    </row>
    <row r="17">
      <c r="A17" s="5" t="s">
        <v>16</v>
      </c>
      <c r="B17" s="5">
        <v>7.0</v>
      </c>
      <c r="C17" s="5">
        <v>3.0</v>
      </c>
      <c r="F17" s="5">
        <v>0.0</v>
      </c>
      <c r="G17" s="5">
        <v>3.0</v>
      </c>
      <c r="H17" s="5">
        <v>4.0</v>
      </c>
      <c r="K17" s="5">
        <v>0.0</v>
      </c>
      <c r="L17" s="5">
        <v>4.0</v>
      </c>
      <c r="M17" s="5">
        <v>4.0</v>
      </c>
      <c r="P17" s="5">
        <v>1.0</v>
      </c>
      <c r="Q17" s="5">
        <v>3.0</v>
      </c>
      <c r="R17" s="5">
        <v>3.0</v>
      </c>
      <c r="U17" s="5">
        <v>0.0</v>
      </c>
      <c r="V17" s="5">
        <v>3.0</v>
      </c>
      <c r="W17" s="5" t="s">
        <v>353</v>
      </c>
      <c r="X17" s="1"/>
      <c r="Y17" s="1"/>
      <c r="Z17" s="1" t="s">
        <v>356</v>
      </c>
      <c r="AA17" s="5" t="str">
        <f>IFERROR(__xludf.DUMMYFUNCTION("IF(A17="""","""",INDEX(FILTER(Roster!$A:$A,(Roster!$C:$C=A17)*(Roster!$F:$F=3)),1))"),"Cadavid")</f>
        <v>Cadavid</v>
      </c>
      <c r="AB17" s="5" t="str">
        <f>IFERROR(__xludf.DUMMYFUNCTION("IF(A17="""","""",INDEX(FILTER(Roster!$A:$A,(Roster!$C:$C=A17)*(Roster!$F:$F=4)),1))"),"Saenz")</f>
        <v>Saenz</v>
      </c>
      <c r="AC17" s="5" t="str">
        <f>IFERROR(__xludf.DUMMYFUNCTION("IF(A17="""","""",INDEX(FILTER(Roster!$A:$A,(Roster!$C:$C=A17)*(Roster!$F:$F=1)),1))"),"Otto Fenwarth")</f>
        <v>Otto Fenwarth</v>
      </c>
      <c r="AD17" s="5" t="str">
        <f>IFERROR(__xludf.DUMMYFUNCTION("IF(A17="""","""",INDEX(FILTER(Roster!$A:$A,(Roster!$C:$C=A17)*(Roster!$F:$F=2)),1))"),"Valenzuela")</f>
        <v>Valenzuela</v>
      </c>
      <c r="AE17" s="5">
        <v>0.0</v>
      </c>
      <c r="AF17" s="5">
        <v>0.0</v>
      </c>
      <c r="AG17" s="5" t="s">
        <v>350</v>
      </c>
      <c r="AH17" s="5">
        <v>0.0</v>
      </c>
      <c r="AI17" s="5">
        <v>0.0</v>
      </c>
      <c r="AJ17" s="5">
        <v>0.0</v>
      </c>
      <c r="AK17" s="5" t="s">
        <v>350</v>
      </c>
      <c r="AL17" s="5" t="s">
        <v>351</v>
      </c>
      <c r="AM17" s="5">
        <v>0.0</v>
      </c>
      <c r="AN17" s="5" t="s">
        <v>350</v>
      </c>
      <c r="AO17" s="5">
        <f t="shared" si="1"/>
        <v>3</v>
      </c>
      <c r="AP17" s="5">
        <f t="shared" si="2"/>
        <v>3</v>
      </c>
    </row>
    <row r="18">
      <c r="A18" s="5" t="s">
        <v>16</v>
      </c>
      <c r="B18" s="5">
        <v>8.0</v>
      </c>
      <c r="C18" s="5">
        <v>7.0</v>
      </c>
      <c r="F18" s="5">
        <v>0.0</v>
      </c>
      <c r="G18" s="5">
        <v>7.0</v>
      </c>
      <c r="H18" s="5">
        <v>6.0</v>
      </c>
      <c r="K18" s="5">
        <v>0.0</v>
      </c>
      <c r="L18" s="5">
        <v>6.0</v>
      </c>
      <c r="M18" s="5">
        <v>5.0</v>
      </c>
      <c r="P18" s="5">
        <v>1.0</v>
      </c>
      <c r="Q18" s="5">
        <v>4.0</v>
      </c>
      <c r="R18" s="5">
        <v>6.0</v>
      </c>
      <c r="U18" s="5">
        <v>0.0</v>
      </c>
      <c r="V18" s="5">
        <v>6.0</v>
      </c>
      <c r="W18" s="5" t="s">
        <v>7</v>
      </c>
      <c r="X18" s="1"/>
      <c r="Y18" s="1"/>
      <c r="Z18" s="1" t="s">
        <v>356</v>
      </c>
      <c r="AA18" s="5" t="str">
        <f>IFERROR(__xludf.DUMMYFUNCTION("IF(A18="""","""",INDEX(FILTER(Roster!$A:$A,(Roster!$C:$C=A18)*(Roster!$F:$F=3)),1))"),"Cadavid")</f>
        <v>Cadavid</v>
      </c>
      <c r="AB18" s="5" t="str">
        <f>IFERROR(__xludf.DUMMYFUNCTION("IF(A18="""","""",INDEX(FILTER(Roster!$A:$A,(Roster!$C:$C=A18)*(Roster!$F:$F=4)),1))"),"Saenz")</f>
        <v>Saenz</v>
      </c>
      <c r="AC18" s="5" t="str">
        <f>IFERROR(__xludf.DUMMYFUNCTION("IF(A18="""","""",INDEX(FILTER(Roster!$A:$A,(Roster!$C:$C=A18)*(Roster!$F:$F=1)),1))"),"Otto Fenwarth")</f>
        <v>Otto Fenwarth</v>
      </c>
      <c r="AD18" s="5" t="str">
        <f>IFERROR(__xludf.DUMMYFUNCTION("IF(A18="""","""",INDEX(FILTER(Roster!$A:$A,(Roster!$C:$C=A18)*(Roster!$F:$F=2)),1))"),"Valenzuela")</f>
        <v>Valenzuela</v>
      </c>
      <c r="AE18" s="5">
        <v>-1.0</v>
      </c>
      <c r="AF18" s="5">
        <v>-1.0</v>
      </c>
      <c r="AG18" s="5" t="s">
        <v>352</v>
      </c>
      <c r="AH18" s="5">
        <v>0.0</v>
      </c>
      <c r="AI18" s="5">
        <v>0.0</v>
      </c>
      <c r="AJ18" s="5">
        <v>0.0</v>
      </c>
      <c r="AK18" s="5" t="s">
        <v>350</v>
      </c>
      <c r="AL18" s="5" t="s">
        <v>351</v>
      </c>
      <c r="AM18" s="5">
        <v>0.0</v>
      </c>
      <c r="AN18" s="5" t="s">
        <v>350</v>
      </c>
      <c r="AO18" s="5">
        <f t="shared" si="1"/>
        <v>6</v>
      </c>
      <c r="AP18" s="5">
        <f t="shared" si="2"/>
        <v>4</v>
      </c>
    </row>
    <row r="19">
      <c r="A19" s="5" t="s">
        <v>16</v>
      </c>
      <c r="B19" s="5">
        <v>9.0</v>
      </c>
      <c r="C19" s="5">
        <v>6.0</v>
      </c>
      <c r="F19" s="5">
        <v>1.0</v>
      </c>
      <c r="G19" s="5">
        <v>5.0</v>
      </c>
      <c r="H19" s="5">
        <v>5.0</v>
      </c>
      <c r="K19" s="5">
        <v>1.0</v>
      </c>
      <c r="L19" s="5">
        <v>4.0</v>
      </c>
      <c r="M19" s="5">
        <v>6.0</v>
      </c>
      <c r="P19" s="5">
        <v>1.0</v>
      </c>
      <c r="Q19" s="5">
        <v>5.0</v>
      </c>
      <c r="R19" s="5">
        <v>5.0</v>
      </c>
      <c r="U19" s="5">
        <v>1.0</v>
      </c>
      <c r="V19" s="5">
        <v>4.0</v>
      </c>
      <c r="W19" s="5" t="s">
        <v>353</v>
      </c>
      <c r="X19" s="1"/>
      <c r="Y19" s="1"/>
      <c r="Z19" s="1" t="s">
        <v>356</v>
      </c>
      <c r="AA19" s="5" t="str">
        <f>IFERROR(__xludf.DUMMYFUNCTION("IF(A19="""","""",INDEX(FILTER(Roster!$A:$A,(Roster!$C:$C=A19)*(Roster!$F:$F=3)),1))"),"Cadavid")</f>
        <v>Cadavid</v>
      </c>
      <c r="AB19" s="5" t="str">
        <f>IFERROR(__xludf.DUMMYFUNCTION("IF(A19="""","""",INDEX(FILTER(Roster!$A:$A,(Roster!$C:$C=A19)*(Roster!$F:$F=4)),1))"),"Saenz")</f>
        <v>Saenz</v>
      </c>
      <c r="AC19" s="5" t="str">
        <f>IFERROR(__xludf.DUMMYFUNCTION("IF(A19="""","""",INDEX(FILTER(Roster!$A:$A,(Roster!$C:$C=A19)*(Roster!$F:$F=1)),1))"),"Otto Fenwarth")</f>
        <v>Otto Fenwarth</v>
      </c>
      <c r="AD19" s="5" t="str">
        <f>IFERROR(__xludf.DUMMYFUNCTION("IF(A19="""","""",INDEX(FILTER(Roster!$A:$A,(Roster!$C:$C=A19)*(Roster!$F:$F=2)),1))"),"Valenzuela")</f>
        <v>Valenzuela</v>
      </c>
      <c r="AE19" s="5">
        <v>0.0</v>
      </c>
      <c r="AF19" s="5">
        <v>-1.0</v>
      </c>
      <c r="AG19" s="5" t="s">
        <v>352</v>
      </c>
      <c r="AH19" s="5">
        <v>0.0</v>
      </c>
      <c r="AI19" s="5">
        <v>0.0</v>
      </c>
      <c r="AJ19" s="5">
        <v>0.0</v>
      </c>
      <c r="AK19" s="5" t="s">
        <v>350</v>
      </c>
      <c r="AL19" s="5" t="s">
        <v>351</v>
      </c>
      <c r="AM19" s="5">
        <v>0.0</v>
      </c>
      <c r="AN19" s="5" t="s">
        <v>350</v>
      </c>
      <c r="AO19" s="5">
        <f t="shared" si="1"/>
        <v>4</v>
      </c>
      <c r="AP19" s="5">
        <f t="shared" si="2"/>
        <v>4</v>
      </c>
    </row>
    <row r="20">
      <c r="A20" s="5" t="str">
        <f t="array" ref="A20:A28">Calc_Engine!A58:A66</f>
        <v>Flight_3</v>
      </c>
      <c r="B20" s="5">
        <f t="array" ref="B20:B28">Calc_Engine!B58:B66</f>
        <v>1</v>
      </c>
      <c r="C20" s="5">
        <f t="array" ref="C20:C28">Calc_Engine!C58:C66</f>
        <v>4</v>
      </c>
      <c r="F20" s="5">
        <f t="array" ref="F20:F28">Calc_Engine!F58:F66</f>
        <v>1</v>
      </c>
      <c r="G20" s="5">
        <f t="array" ref="G20:G28">Calc_Engine!G58:G66</f>
        <v>3</v>
      </c>
      <c r="H20" s="5">
        <f t="array" ref="H20:H28">Calc_Engine!H58:H66</f>
        <v>5</v>
      </c>
      <c r="K20" s="5">
        <f t="array" ref="K20:K28">Calc_Engine!K58:K66</f>
        <v>1</v>
      </c>
      <c r="L20" s="5">
        <f t="array" ref="L20:L28">Calc_Engine!L58:L66</f>
        <v>4</v>
      </c>
      <c r="M20" s="5">
        <f t="array" ref="M20:M28">Calc_Engine!M58:M66</f>
        <v>7</v>
      </c>
      <c r="P20" s="5">
        <f t="array" ref="P20:P28">Calc_Engine!P58:P66</f>
        <v>1</v>
      </c>
      <c r="Q20" s="5">
        <f t="array" ref="Q20:Q28">Calc_Engine!Q58:Q66</f>
        <v>6</v>
      </c>
      <c r="R20" s="5">
        <f t="array" ref="R20:R28">Calc_Engine!R58:R66</f>
        <v>6</v>
      </c>
      <c r="U20" s="5">
        <f t="array" ref="U20:U28">Calc_Engine!U58:U66</f>
        <v>1</v>
      </c>
      <c r="V20" s="5">
        <f t="array" ref="V20:V28">Calc_Engine!V58:V66</f>
        <v>5</v>
      </c>
      <c r="W20" s="5" t="str">
        <f t="array" ref="W20:W28">Calc_Engine!W58:W66</f>
        <v>Red</v>
      </c>
      <c r="X20" s="1"/>
      <c r="Y20" s="1"/>
      <c r="Z20" s="1" t="s">
        <v>357</v>
      </c>
      <c r="AA20" s="5" t="str">
        <f>IFERROR(__xludf.DUMMYFUNCTION("IF(A20="""","""",INDEX(FILTER(Roster!$A:$A,(Roster!$C:$C=A20)*(Roster!$F:$F=3)),1))"),"Berris")</f>
        <v>Berris</v>
      </c>
      <c r="AB20" s="5" t="str">
        <f>IFERROR(__xludf.DUMMYFUNCTION("IF(A20="""","""",INDEX(FILTER(Roster!$A:$A,(Roster!$C:$C=A20)*(Roster!$F:$F=4)),1))"),"Pablo Rueda")</f>
        <v>Pablo Rueda</v>
      </c>
      <c r="AC20" s="5" t="str">
        <f>IFERROR(__xludf.DUMMYFUNCTION("IF(A20="""","""",INDEX(FILTER(Roster!$A:$A,(Roster!$C:$C=A20)*(Roster!$F:$F=1)),1))"),"Vargas")</f>
        <v>Vargas</v>
      </c>
      <c r="AD20" s="5" t="str">
        <f>IFERROR(__xludf.DUMMYFUNCTION("IF(A20="""","""",INDEX(FILTER(Roster!$A:$A,(Roster!$C:$C=A20)*(Roster!$F:$F=2)),1))"),"Mon")</f>
        <v>Mon</v>
      </c>
      <c r="AE20" s="5">
        <v>1.0</v>
      </c>
      <c r="AF20" s="5">
        <v>1.0</v>
      </c>
      <c r="AG20" s="5" t="s">
        <v>352</v>
      </c>
      <c r="AH20" s="5">
        <v>0.0</v>
      </c>
      <c r="AI20" s="5">
        <v>0.0</v>
      </c>
      <c r="AJ20" s="5">
        <v>0.0</v>
      </c>
      <c r="AK20" s="5" t="s">
        <v>350</v>
      </c>
      <c r="AL20" s="5" t="s">
        <v>351</v>
      </c>
      <c r="AM20" s="5">
        <v>0.0</v>
      </c>
      <c r="AN20" s="5" t="s">
        <v>350</v>
      </c>
      <c r="AO20" s="5">
        <f t="shared" si="1"/>
        <v>3</v>
      </c>
      <c r="AP20" s="5">
        <f t="shared" si="2"/>
        <v>5</v>
      </c>
    </row>
    <row r="21">
      <c r="A21" s="5" t="s">
        <v>21</v>
      </c>
      <c r="B21" s="5">
        <v>2.0</v>
      </c>
      <c r="C21" s="5">
        <v>5.0</v>
      </c>
      <c r="F21" s="5">
        <v>1.0</v>
      </c>
      <c r="G21" s="5">
        <v>4.0</v>
      </c>
      <c r="H21" s="5">
        <v>5.0</v>
      </c>
      <c r="K21" s="5">
        <v>1.0</v>
      </c>
      <c r="L21" s="5">
        <v>4.0</v>
      </c>
      <c r="M21" s="5">
        <v>6.0</v>
      </c>
      <c r="P21" s="5">
        <v>1.0</v>
      </c>
      <c r="Q21" s="5">
        <v>5.0</v>
      </c>
      <c r="R21" s="5">
        <v>6.0</v>
      </c>
      <c r="U21" s="5">
        <v>1.0</v>
      </c>
      <c r="V21" s="5">
        <v>5.0</v>
      </c>
      <c r="W21" s="5" t="s">
        <v>12</v>
      </c>
      <c r="X21" s="1"/>
      <c r="Y21" s="1"/>
      <c r="Z21" s="1" t="s">
        <v>357</v>
      </c>
      <c r="AA21" s="5" t="str">
        <f>IFERROR(__xludf.DUMMYFUNCTION("IF(A21="""","""",INDEX(FILTER(Roster!$A:$A,(Roster!$C:$C=A21)*(Roster!$F:$F=3)),1))"),"Berris")</f>
        <v>Berris</v>
      </c>
      <c r="AB21" s="5" t="str">
        <f>IFERROR(__xludf.DUMMYFUNCTION("IF(A21="""","""",INDEX(FILTER(Roster!$A:$A,(Roster!$C:$C=A21)*(Roster!$F:$F=4)),1))"),"Pablo Rueda")</f>
        <v>Pablo Rueda</v>
      </c>
      <c r="AC21" s="5" t="str">
        <f>IFERROR(__xludf.DUMMYFUNCTION("IF(A21="""","""",INDEX(FILTER(Roster!$A:$A,(Roster!$C:$C=A21)*(Roster!$F:$F=1)),1))"),"Vargas")</f>
        <v>Vargas</v>
      </c>
      <c r="AD21" s="5" t="str">
        <f>IFERROR(__xludf.DUMMYFUNCTION("IF(A21="""","""",INDEX(FILTER(Roster!$A:$A,(Roster!$C:$C=A21)*(Roster!$F:$F=2)),1))"),"Mon")</f>
        <v>Mon</v>
      </c>
      <c r="AE21" s="5">
        <v>1.0</v>
      </c>
      <c r="AF21" s="5">
        <v>2.0</v>
      </c>
      <c r="AG21" s="5" t="s">
        <v>354</v>
      </c>
      <c r="AH21" s="5">
        <v>0.0</v>
      </c>
      <c r="AI21" s="5">
        <v>0.0</v>
      </c>
      <c r="AJ21" s="5">
        <v>0.0</v>
      </c>
      <c r="AK21" s="5" t="s">
        <v>350</v>
      </c>
      <c r="AL21" s="5" t="s">
        <v>351</v>
      </c>
      <c r="AM21" s="5">
        <v>0.0</v>
      </c>
      <c r="AN21" s="5" t="s">
        <v>350</v>
      </c>
      <c r="AO21" s="5">
        <f t="shared" si="1"/>
        <v>4</v>
      </c>
      <c r="AP21" s="5">
        <f t="shared" si="2"/>
        <v>5</v>
      </c>
    </row>
    <row r="22">
      <c r="A22" s="5" t="s">
        <v>21</v>
      </c>
      <c r="B22" s="5">
        <v>3.0</v>
      </c>
      <c r="C22" s="5">
        <v>4.0</v>
      </c>
      <c r="F22" s="5">
        <v>0.0</v>
      </c>
      <c r="G22" s="5">
        <v>4.0</v>
      </c>
      <c r="H22" s="5">
        <v>5.0</v>
      </c>
      <c r="K22" s="5">
        <v>0.0</v>
      </c>
      <c r="L22" s="5">
        <v>5.0</v>
      </c>
      <c r="M22" s="5">
        <v>5.0</v>
      </c>
      <c r="P22" s="5">
        <v>0.0</v>
      </c>
      <c r="Q22" s="5">
        <v>5.0</v>
      </c>
      <c r="R22" s="5">
        <v>5.0</v>
      </c>
      <c r="U22" s="5">
        <v>0.0</v>
      </c>
      <c r="V22" s="5">
        <v>5.0</v>
      </c>
      <c r="W22" s="5" t="s">
        <v>12</v>
      </c>
      <c r="X22" s="1"/>
      <c r="Y22" s="1"/>
      <c r="Z22" s="1" t="s">
        <v>357</v>
      </c>
      <c r="AA22" s="5" t="str">
        <f>IFERROR(__xludf.DUMMYFUNCTION("IF(A22="""","""",INDEX(FILTER(Roster!$A:$A,(Roster!$C:$C=A22)*(Roster!$F:$F=3)),1))"),"Berris")</f>
        <v>Berris</v>
      </c>
      <c r="AB22" s="5" t="str">
        <f>IFERROR(__xludf.DUMMYFUNCTION("IF(A22="""","""",INDEX(FILTER(Roster!$A:$A,(Roster!$C:$C=A22)*(Roster!$F:$F=4)),1))"),"Pablo Rueda")</f>
        <v>Pablo Rueda</v>
      </c>
      <c r="AC22" s="5" t="str">
        <f>IFERROR(__xludf.DUMMYFUNCTION("IF(A22="""","""",INDEX(FILTER(Roster!$A:$A,(Roster!$C:$C=A22)*(Roster!$F:$F=1)),1))"),"Vargas")</f>
        <v>Vargas</v>
      </c>
      <c r="AD22" s="5" t="str">
        <f>IFERROR(__xludf.DUMMYFUNCTION("IF(A22="""","""",INDEX(FILTER(Roster!$A:$A,(Roster!$C:$C=A22)*(Roster!$F:$F=2)),1))"),"Mon")</f>
        <v>Mon</v>
      </c>
      <c r="AE22" s="5">
        <v>1.0</v>
      </c>
      <c r="AF22" s="5">
        <v>3.0</v>
      </c>
      <c r="AG22" s="5" t="s">
        <v>358</v>
      </c>
      <c r="AH22" s="5">
        <v>0.0</v>
      </c>
      <c r="AI22" s="5">
        <v>0.0</v>
      </c>
      <c r="AJ22" s="5">
        <v>0.0</v>
      </c>
      <c r="AK22" s="5" t="s">
        <v>350</v>
      </c>
      <c r="AL22" s="5" t="s">
        <v>351</v>
      </c>
      <c r="AM22" s="5">
        <v>0.0</v>
      </c>
      <c r="AN22" s="5" t="s">
        <v>350</v>
      </c>
      <c r="AO22" s="5">
        <f t="shared" si="1"/>
        <v>4</v>
      </c>
      <c r="AP22" s="5">
        <f t="shared" si="2"/>
        <v>5</v>
      </c>
    </row>
    <row r="23">
      <c r="A23" s="5" t="s">
        <v>21</v>
      </c>
      <c r="B23" s="5">
        <v>4.0</v>
      </c>
      <c r="C23" s="5">
        <v>3.0</v>
      </c>
      <c r="F23" s="5">
        <v>0.0</v>
      </c>
      <c r="G23" s="5">
        <v>3.0</v>
      </c>
      <c r="H23" s="5">
        <v>5.0</v>
      </c>
      <c r="K23" s="5">
        <v>0.0</v>
      </c>
      <c r="L23" s="5">
        <v>5.0</v>
      </c>
      <c r="M23" s="5">
        <v>5.0</v>
      </c>
      <c r="P23" s="5">
        <v>0.0</v>
      </c>
      <c r="Q23" s="5">
        <v>5.0</v>
      </c>
      <c r="R23" s="5">
        <v>6.0</v>
      </c>
      <c r="U23" s="5">
        <v>1.0</v>
      </c>
      <c r="V23" s="5">
        <v>5.0</v>
      </c>
      <c r="W23" s="5" t="s">
        <v>12</v>
      </c>
      <c r="X23" s="1"/>
      <c r="Y23" s="1"/>
      <c r="Z23" s="1" t="s">
        <v>357</v>
      </c>
      <c r="AA23" s="5" t="str">
        <f>IFERROR(__xludf.DUMMYFUNCTION("IF(A23="""","""",INDEX(FILTER(Roster!$A:$A,(Roster!$C:$C=A23)*(Roster!$F:$F=3)),1))"),"Berris")</f>
        <v>Berris</v>
      </c>
      <c r="AB23" s="5" t="str">
        <f>IFERROR(__xludf.DUMMYFUNCTION("IF(A23="""","""",INDEX(FILTER(Roster!$A:$A,(Roster!$C:$C=A23)*(Roster!$F:$F=4)),1))"),"Pablo Rueda")</f>
        <v>Pablo Rueda</v>
      </c>
      <c r="AC23" s="5" t="str">
        <f>IFERROR(__xludf.DUMMYFUNCTION("IF(A23="""","""",INDEX(FILTER(Roster!$A:$A,(Roster!$C:$C=A23)*(Roster!$F:$F=1)),1))"),"Vargas")</f>
        <v>Vargas</v>
      </c>
      <c r="AD23" s="5" t="str">
        <f>IFERROR(__xludf.DUMMYFUNCTION("IF(A23="""","""",INDEX(FILTER(Roster!$A:$A,(Roster!$C:$C=A23)*(Roster!$F:$F=2)),1))"),"Mon")</f>
        <v>Mon</v>
      </c>
      <c r="AE23" s="5">
        <v>1.0</v>
      </c>
      <c r="AF23" s="5">
        <v>4.0</v>
      </c>
      <c r="AG23" s="5" t="s">
        <v>359</v>
      </c>
      <c r="AH23" s="5">
        <v>0.0</v>
      </c>
      <c r="AI23" s="5">
        <v>0.0</v>
      </c>
      <c r="AJ23" s="5">
        <v>0.0</v>
      </c>
      <c r="AK23" s="5" t="s">
        <v>350</v>
      </c>
      <c r="AL23" s="5" t="s">
        <v>351</v>
      </c>
      <c r="AM23" s="5">
        <v>0.0</v>
      </c>
      <c r="AN23" s="5" t="s">
        <v>350</v>
      </c>
      <c r="AO23" s="5">
        <f t="shared" si="1"/>
        <v>3</v>
      </c>
      <c r="AP23" s="5">
        <f t="shared" si="2"/>
        <v>5</v>
      </c>
    </row>
    <row r="24">
      <c r="A24" s="5" t="s">
        <v>21</v>
      </c>
      <c r="B24" s="5">
        <v>5.0</v>
      </c>
      <c r="C24" s="5">
        <v>4.0</v>
      </c>
      <c r="F24" s="5">
        <v>1.0</v>
      </c>
      <c r="G24" s="5">
        <v>3.0</v>
      </c>
      <c r="H24" s="5">
        <v>4.0</v>
      </c>
      <c r="K24" s="5">
        <v>1.0</v>
      </c>
      <c r="L24" s="5">
        <v>3.0</v>
      </c>
      <c r="M24" s="5">
        <v>4.0</v>
      </c>
      <c r="P24" s="5">
        <v>1.0</v>
      </c>
      <c r="Q24" s="5">
        <v>3.0</v>
      </c>
      <c r="R24" s="5">
        <v>4.0</v>
      </c>
      <c r="U24" s="5">
        <v>1.0</v>
      </c>
      <c r="V24" s="5">
        <v>3.0</v>
      </c>
      <c r="W24" s="5" t="s">
        <v>353</v>
      </c>
      <c r="X24" s="1"/>
      <c r="Y24" s="1"/>
      <c r="Z24" s="1" t="s">
        <v>357</v>
      </c>
      <c r="AA24" s="5" t="str">
        <f>IFERROR(__xludf.DUMMYFUNCTION("IF(A24="""","""",INDEX(FILTER(Roster!$A:$A,(Roster!$C:$C=A24)*(Roster!$F:$F=3)),1))"),"Berris")</f>
        <v>Berris</v>
      </c>
      <c r="AB24" s="5" t="str">
        <f>IFERROR(__xludf.DUMMYFUNCTION("IF(A24="""","""",INDEX(FILTER(Roster!$A:$A,(Roster!$C:$C=A24)*(Roster!$F:$F=4)),1))"),"Pablo Rueda")</f>
        <v>Pablo Rueda</v>
      </c>
      <c r="AC24" s="5" t="str">
        <f>IFERROR(__xludf.DUMMYFUNCTION("IF(A24="""","""",INDEX(FILTER(Roster!$A:$A,(Roster!$C:$C=A24)*(Roster!$F:$F=1)),1))"),"Vargas")</f>
        <v>Vargas</v>
      </c>
      <c r="AD24" s="5" t="str">
        <f>IFERROR(__xludf.DUMMYFUNCTION("IF(A24="""","""",INDEX(FILTER(Roster!$A:$A,(Roster!$C:$C=A24)*(Roster!$F:$F=2)),1))"),"Mon")</f>
        <v>Mon</v>
      </c>
      <c r="AE24" s="5">
        <v>0.0</v>
      </c>
      <c r="AF24" s="5">
        <v>4.0</v>
      </c>
      <c r="AG24" s="5" t="s">
        <v>359</v>
      </c>
      <c r="AH24" s="5">
        <v>0.0</v>
      </c>
      <c r="AI24" s="5">
        <v>0.0</v>
      </c>
      <c r="AJ24" s="5">
        <v>0.0</v>
      </c>
      <c r="AK24" s="5" t="s">
        <v>350</v>
      </c>
      <c r="AL24" s="5" t="s">
        <v>351</v>
      </c>
      <c r="AM24" s="5">
        <v>0.0</v>
      </c>
      <c r="AN24" s="5" t="s">
        <v>350</v>
      </c>
      <c r="AO24" s="5">
        <f t="shared" si="1"/>
        <v>3</v>
      </c>
      <c r="AP24" s="5">
        <f t="shared" si="2"/>
        <v>3</v>
      </c>
    </row>
    <row r="25">
      <c r="A25" s="5" t="s">
        <v>21</v>
      </c>
      <c r="B25" s="5">
        <v>6.0</v>
      </c>
      <c r="C25" s="5">
        <v>4.0</v>
      </c>
      <c r="F25" s="5">
        <v>1.0</v>
      </c>
      <c r="G25" s="5">
        <v>3.0</v>
      </c>
      <c r="H25" s="5">
        <v>4.0</v>
      </c>
      <c r="K25" s="5">
        <v>1.0</v>
      </c>
      <c r="L25" s="5">
        <v>3.0</v>
      </c>
      <c r="M25" s="5">
        <v>4.0</v>
      </c>
      <c r="P25" s="5">
        <v>1.0</v>
      </c>
      <c r="Q25" s="5">
        <v>3.0</v>
      </c>
      <c r="R25" s="5">
        <v>5.0</v>
      </c>
      <c r="U25" s="5">
        <v>1.0</v>
      </c>
      <c r="V25" s="5">
        <v>4.0</v>
      </c>
      <c r="W25" s="5" t="s">
        <v>353</v>
      </c>
      <c r="X25" s="1"/>
      <c r="Y25" s="1"/>
      <c r="Z25" s="1" t="s">
        <v>357</v>
      </c>
      <c r="AA25" s="5" t="str">
        <f>IFERROR(__xludf.DUMMYFUNCTION("IF(A25="""","""",INDEX(FILTER(Roster!$A:$A,(Roster!$C:$C=A25)*(Roster!$F:$F=3)),1))"),"Berris")</f>
        <v>Berris</v>
      </c>
      <c r="AB25" s="5" t="str">
        <f>IFERROR(__xludf.DUMMYFUNCTION("IF(A25="""","""",INDEX(FILTER(Roster!$A:$A,(Roster!$C:$C=A25)*(Roster!$F:$F=4)),1))"),"Pablo Rueda")</f>
        <v>Pablo Rueda</v>
      </c>
      <c r="AC25" s="5" t="str">
        <f>IFERROR(__xludf.DUMMYFUNCTION("IF(A25="""","""",INDEX(FILTER(Roster!$A:$A,(Roster!$C:$C=A25)*(Roster!$F:$F=1)),1))"),"Vargas")</f>
        <v>Vargas</v>
      </c>
      <c r="AD25" s="5" t="str">
        <f>IFERROR(__xludf.DUMMYFUNCTION("IF(A25="""","""",INDEX(FILTER(Roster!$A:$A,(Roster!$C:$C=A25)*(Roster!$F:$F=2)),1))"),"Mon")</f>
        <v>Mon</v>
      </c>
      <c r="AE25" s="5">
        <v>0.0</v>
      </c>
      <c r="AF25" s="5">
        <v>4.0</v>
      </c>
      <c r="AG25" s="5" t="s">
        <v>359</v>
      </c>
      <c r="AH25" s="5">
        <v>0.0</v>
      </c>
      <c r="AI25" s="5">
        <v>0.0</v>
      </c>
      <c r="AJ25" s="5">
        <v>0.0</v>
      </c>
      <c r="AK25" s="5" t="s">
        <v>350</v>
      </c>
      <c r="AL25" s="5" t="s">
        <v>351</v>
      </c>
      <c r="AM25" s="5">
        <v>0.0</v>
      </c>
      <c r="AN25" s="5" t="s">
        <v>350</v>
      </c>
      <c r="AO25" s="5">
        <f t="shared" si="1"/>
        <v>3</v>
      </c>
      <c r="AP25" s="5">
        <f t="shared" si="2"/>
        <v>3</v>
      </c>
    </row>
    <row r="26">
      <c r="A26" s="5" t="s">
        <v>21</v>
      </c>
      <c r="B26" s="5">
        <v>7.0</v>
      </c>
      <c r="C26" s="5">
        <v>3.0</v>
      </c>
      <c r="F26" s="5">
        <v>0.0</v>
      </c>
      <c r="G26" s="5">
        <v>3.0</v>
      </c>
      <c r="H26" s="5">
        <v>3.0</v>
      </c>
      <c r="K26" s="5">
        <v>1.0</v>
      </c>
      <c r="L26" s="5">
        <v>2.0</v>
      </c>
      <c r="M26" s="5">
        <v>3.0</v>
      </c>
      <c r="P26" s="5">
        <v>0.0</v>
      </c>
      <c r="Q26" s="5">
        <v>3.0</v>
      </c>
      <c r="R26" s="5">
        <v>4.0</v>
      </c>
      <c r="U26" s="5">
        <v>1.0</v>
      </c>
      <c r="V26" s="5">
        <v>3.0</v>
      </c>
      <c r="W26" s="5" t="s">
        <v>12</v>
      </c>
      <c r="X26" s="1"/>
      <c r="Y26" s="1"/>
      <c r="Z26" s="1" t="s">
        <v>357</v>
      </c>
      <c r="AA26" s="5" t="str">
        <f>IFERROR(__xludf.DUMMYFUNCTION("IF(A26="""","""",INDEX(FILTER(Roster!$A:$A,(Roster!$C:$C=A26)*(Roster!$F:$F=3)),1))"),"Berris")</f>
        <v>Berris</v>
      </c>
      <c r="AB26" s="5" t="str">
        <f>IFERROR(__xludf.DUMMYFUNCTION("IF(A26="""","""",INDEX(FILTER(Roster!$A:$A,(Roster!$C:$C=A26)*(Roster!$F:$F=4)),1))"),"Pablo Rueda")</f>
        <v>Pablo Rueda</v>
      </c>
      <c r="AC26" s="5" t="str">
        <f>IFERROR(__xludf.DUMMYFUNCTION("IF(A26="""","""",INDEX(FILTER(Roster!$A:$A,(Roster!$C:$C=A26)*(Roster!$F:$F=1)),1))"),"Vargas")</f>
        <v>Vargas</v>
      </c>
      <c r="AD26" s="5" t="str">
        <f>IFERROR(__xludf.DUMMYFUNCTION("IF(A26="""","""",INDEX(FILTER(Roster!$A:$A,(Roster!$C:$C=A26)*(Roster!$F:$F=2)),1))"),"Mon")</f>
        <v>Mon</v>
      </c>
      <c r="AE26" s="5">
        <v>1.0</v>
      </c>
      <c r="AF26" s="5">
        <v>5.0</v>
      </c>
      <c r="AG26" s="5" t="s">
        <v>360</v>
      </c>
      <c r="AH26" s="5">
        <v>0.0</v>
      </c>
      <c r="AI26" s="5">
        <v>0.0</v>
      </c>
      <c r="AJ26" s="5">
        <v>0.0</v>
      </c>
      <c r="AK26" s="5" t="s">
        <v>350</v>
      </c>
      <c r="AL26" s="5" t="s">
        <v>351</v>
      </c>
      <c r="AM26" s="5">
        <v>0.0</v>
      </c>
      <c r="AN26" s="5" t="s">
        <v>350</v>
      </c>
      <c r="AO26" s="5">
        <f t="shared" si="1"/>
        <v>2</v>
      </c>
      <c r="AP26" s="5">
        <f t="shared" si="2"/>
        <v>3</v>
      </c>
    </row>
    <row r="27">
      <c r="A27" s="5" t="s">
        <v>21</v>
      </c>
      <c r="B27" s="5">
        <v>8.0</v>
      </c>
      <c r="C27" s="5">
        <v>6.0</v>
      </c>
      <c r="F27" s="5">
        <v>0.0</v>
      </c>
      <c r="G27" s="5">
        <v>6.0</v>
      </c>
      <c r="H27" s="5">
        <v>7.0</v>
      </c>
      <c r="K27" s="5">
        <v>1.0</v>
      </c>
      <c r="L27" s="5">
        <v>6.0</v>
      </c>
      <c r="M27" s="5">
        <v>5.0</v>
      </c>
      <c r="P27" s="5">
        <v>1.0</v>
      </c>
      <c r="Q27" s="5">
        <v>4.0</v>
      </c>
      <c r="R27" s="5">
        <v>7.0</v>
      </c>
      <c r="U27" s="5">
        <v>1.0</v>
      </c>
      <c r="V27" s="5">
        <v>6.0</v>
      </c>
      <c r="W27" s="5" t="s">
        <v>7</v>
      </c>
      <c r="X27" s="1"/>
      <c r="Y27" s="1"/>
      <c r="Z27" s="1" t="s">
        <v>357</v>
      </c>
      <c r="AA27" s="5" t="str">
        <f>IFERROR(__xludf.DUMMYFUNCTION("IF(A27="""","""",INDEX(FILTER(Roster!$A:$A,(Roster!$C:$C=A27)*(Roster!$F:$F=3)),1))"),"Berris")</f>
        <v>Berris</v>
      </c>
      <c r="AB27" s="5" t="str">
        <f>IFERROR(__xludf.DUMMYFUNCTION("IF(A27="""","""",INDEX(FILTER(Roster!$A:$A,(Roster!$C:$C=A27)*(Roster!$F:$F=4)),1))"),"Pablo Rueda")</f>
        <v>Pablo Rueda</v>
      </c>
      <c r="AC27" s="5" t="str">
        <f>IFERROR(__xludf.DUMMYFUNCTION("IF(A27="""","""",INDEX(FILTER(Roster!$A:$A,(Roster!$C:$C=A27)*(Roster!$F:$F=1)),1))"),"Vargas")</f>
        <v>Vargas</v>
      </c>
      <c r="AD27" s="5" t="str">
        <f>IFERROR(__xludf.DUMMYFUNCTION("IF(A27="""","""",INDEX(FILTER(Roster!$A:$A,(Roster!$C:$C=A27)*(Roster!$F:$F=2)),1))"),"Mon")</f>
        <v>Mon</v>
      </c>
      <c r="AE27" s="5">
        <v>-1.0</v>
      </c>
      <c r="AF27" s="5">
        <v>4.0</v>
      </c>
      <c r="AG27" s="5" t="s">
        <v>359</v>
      </c>
      <c r="AH27" s="5">
        <v>0.0</v>
      </c>
      <c r="AI27" s="5">
        <v>0.0</v>
      </c>
      <c r="AJ27" s="5">
        <v>0.0</v>
      </c>
      <c r="AK27" s="5" t="s">
        <v>350</v>
      </c>
      <c r="AL27" s="5" t="s">
        <v>351</v>
      </c>
      <c r="AM27" s="5">
        <v>0.0</v>
      </c>
      <c r="AN27" s="5" t="s">
        <v>350</v>
      </c>
      <c r="AO27" s="5">
        <f t="shared" si="1"/>
        <v>6</v>
      </c>
      <c r="AP27" s="5">
        <f t="shared" si="2"/>
        <v>4</v>
      </c>
    </row>
    <row r="28">
      <c r="A28" s="5" t="s">
        <v>21</v>
      </c>
      <c r="B28" s="5">
        <v>9.0</v>
      </c>
      <c r="C28" s="5">
        <v>0.0</v>
      </c>
      <c r="F28" s="5">
        <v>1.0</v>
      </c>
      <c r="G28" s="5" t="s">
        <v>355</v>
      </c>
      <c r="H28" s="5">
        <v>0.0</v>
      </c>
      <c r="K28" s="5">
        <v>1.0</v>
      </c>
      <c r="L28" s="5" t="s">
        <v>355</v>
      </c>
      <c r="M28" s="5">
        <v>0.0</v>
      </c>
      <c r="P28" s="5">
        <v>1.0</v>
      </c>
      <c r="Q28" s="5" t="s">
        <v>355</v>
      </c>
      <c r="R28" s="5">
        <v>0.0</v>
      </c>
      <c r="U28" s="5">
        <v>1.0</v>
      </c>
      <c r="V28" s="5" t="s">
        <v>355</v>
      </c>
      <c r="W28" s="5" t="s">
        <v>355</v>
      </c>
      <c r="X28" s="1"/>
      <c r="Y28" s="1"/>
      <c r="Z28" s="1" t="s">
        <v>357</v>
      </c>
      <c r="AA28" s="5" t="str">
        <f>IFERROR(__xludf.DUMMYFUNCTION("IF(A28="""","""",INDEX(FILTER(Roster!$A:$A,(Roster!$C:$C=A28)*(Roster!$F:$F=3)),1))"),"Berris")</f>
        <v>Berris</v>
      </c>
      <c r="AB28" s="5" t="str">
        <f>IFERROR(__xludf.DUMMYFUNCTION("IF(A28="""","""",INDEX(FILTER(Roster!$A:$A,(Roster!$C:$C=A28)*(Roster!$F:$F=4)),1))"),"Pablo Rueda")</f>
        <v>Pablo Rueda</v>
      </c>
      <c r="AC28" s="5" t="str">
        <f>IFERROR(__xludf.DUMMYFUNCTION("IF(A28="""","""",INDEX(FILTER(Roster!$A:$A,(Roster!$C:$C=A28)*(Roster!$F:$F=1)),1))"),"Vargas")</f>
        <v>Vargas</v>
      </c>
      <c r="AD28" s="5" t="str">
        <f>IFERROR(__xludf.DUMMYFUNCTION("IF(A28="""","""",INDEX(FILTER(Roster!$A:$A,(Roster!$C:$C=A28)*(Roster!$F:$F=2)),1))"),"Mon")</f>
        <v>Mon</v>
      </c>
      <c r="AE28" s="5">
        <v>0.0</v>
      </c>
      <c r="AF28" s="5">
        <v>4.0</v>
      </c>
      <c r="AG28" s="5" t="s">
        <v>359</v>
      </c>
      <c r="AH28" s="5">
        <v>0.0</v>
      </c>
      <c r="AI28" s="5">
        <v>0.0</v>
      </c>
      <c r="AJ28" s="5">
        <v>0.0</v>
      </c>
      <c r="AK28" s="5" t="s">
        <v>350</v>
      </c>
      <c r="AL28" s="5" t="s">
        <v>351</v>
      </c>
      <c r="AM28" s="5">
        <v>0.0</v>
      </c>
      <c r="AN28" s="5" t="s">
        <v>350</v>
      </c>
      <c r="AO28" s="5">
        <f t="shared" si="1"/>
        <v>0</v>
      </c>
      <c r="AP28" s="5">
        <f t="shared" si="2"/>
        <v>0</v>
      </c>
    </row>
    <row r="29">
      <c r="A29" s="5" t="str">
        <f t="array" ref="A29:A37">Calc_Engine!A69:A77</f>
        <v>Flight_4</v>
      </c>
      <c r="B29" s="5">
        <f t="array" ref="B29:B37">Calc_Engine!B69:B77</f>
        <v>1</v>
      </c>
      <c r="C29" s="5">
        <f t="array" ref="C29:C37">Calc_Engine!C69:C77</f>
        <v>5</v>
      </c>
      <c r="F29" s="5">
        <f t="array" ref="F29:F37">Calc_Engine!F69:F77</f>
        <v>1</v>
      </c>
      <c r="G29" s="5">
        <f t="array" ref="G29:G37">Calc_Engine!G69:G77</f>
        <v>4</v>
      </c>
      <c r="H29" s="5">
        <f t="array" ref="H29:H37">Calc_Engine!H69:H77</f>
        <v>5</v>
      </c>
      <c r="K29" s="5">
        <f t="array" ref="K29:K37">Calc_Engine!K69:K77</f>
        <v>1</v>
      </c>
      <c r="L29" s="5">
        <f t="array" ref="L29:L37">Calc_Engine!L69:L77</f>
        <v>4</v>
      </c>
      <c r="M29" s="5">
        <f t="array" ref="M29:M37">Calc_Engine!M69:M77</f>
        <v>7</v>
      </c>
      <c r="P29" s="5">
        <f t="array" ref="P29:P37">Calc_Engine!P69:P77</f>
        <v>1</v>
      </c>
      <c r="Q29" s="5">
        <f t="array" ref="Q29:Q37">Calc_Engine!Q69:Q77</f>
        <v>6</v>
      </c>
      <c r="R29" s="5">
        <f t="array" ref="R29:R37">Calc_Engine!R69:R77</f>
        <v>8</v>
      </c>
      <c r="U29" s="5">
        <f t="array" ref="U29:U37">Calc_Engine!U69:U77</f>
        <v>2</v>
      </c>
      <c r="V29" s="5">
        <f t="array" ref="V29:V37">Calc_Engine!V69:V77</f>
        <v>6</v>
      </c>
      <c r="W29" s="5" t="str">
        <f t="array" ref="W29:W37">Calc_Engine!W69:W77</f>
        <v>Red</v>
      </c>
      <c r="X29" s="1"/>
      <c r="Y29" s="1"/>
      <c r="Z29" s="1" t="s">
        <v>361</v>
      </c>
      <c r="AA29" s="5" t="str">
        <f>IFERROR(__xludf.DUMMYFUNCTION("IF(A29="""","""",INDEX(FILTER(Roster!$A:$A,(Roster!$C:$C=A29)*(Roster!$F:$F=3)),1))"),"Matiz")</f>
        <v>Matiz</v>
      </c>
      <c r="AB29" s="5" t="str">
        <f>IFERROR(__xludf.DUMMYFUNCTION("IF(A29="""","""",INDEX(FILTER(Roster!$A:$A,(Roster!$C:$C=A29)*(Roster!$F:$F=4)),1))"),"Esguerra")</f>
        <v>Esguerra</v>
      </c>
      <c r="AC29" s="5" t="str">
        <f>IFERROR(__xludf.DUMMYFUNCTION("IF(A29="""","""",INDEX(FILTER(Roster!$A:$A,(Roster!$C:$C=A29)*(Roster!$F:$F=1)),1))"),"Luca")</f>
        <v>Luca</v>
      </c>
      <c r="AD29" s="5" t="str">
        <f>IFERROR(__xludf.DUMMYFUNCTION("IF(A29="""","""",INDEX(FILTER(Roster!$A:$A,(Roster!$C:$C=A29)*(Roster!$F:$F=2)),1))"),"Rocha")</f>
        <v>Rocha</v>
      </c>
      <c r="AE29" s="5">
        <v>1.0</v>
      </c>
      <c r="AF29" s="5">
        <v>1.0</v>
      </c>
      <c r="AG29" s="5" t="s">
        <v>352</v>
      </c>
      <c r="AH29" s="5">
        <v>0.0</v>
      </c>
      <c r="AI29" s="5">
        <v>0.0</v>
      </c>
      <c r="AJ29" s="5">
        <v>0.0</v>
      </c>
      <c r="AK29" s="5" t="s">
        <v>350</v>
      </c>
      <c r="AL29" s="5" t="s">
        <v>351</v>
      </c>
      <c r="AM29" s="5">
        <v>0.0</v>
      </c>
      <c r="AN29" s="5" t="s">
        <v>350</v>
      </c>
      <c r="AO29" s="5">
        <f t="shared" si="1"/>
        <v>4</v>
      </c>
      <c r="AP29" s="5">
        <f t="shared" si="2"/>
        <v>6</v>
      </c>
    </row>
    <row r="30">
      <c r="A30" s="5" t="s">
        <v>26</v>
      </c>
      <c r="B30" s="5">
        <v>2.0</v>
      </c>
      <c r="C30" s="5">
        <v>5.0</v>
      </c>
      <c r="F30" s="5">
        <v>1.0</v>
      </c>
      <c r="G30" s="5">
        <v>4.0</v>
      </c>
      <c r="H30" s="5">
        <v>5.0</v>
      </c>
      <c r="K30" s="5">
        <v>0.0</v>
      </c>
      <c r="L30" s="5">
        <v>5.0</v>
      </c>
      <c r="M30" s="5">
        <v>6.0</v>
      </c>
      <c r="P30" s="5">
        <v>1.0</v>
      </c>
      <c r="Q30" s="5">
        <v>5.0</v>
      </c>
      <c r="R30" s="5">
        <v>6.0</v>
      </c>
      <c r="U30" s="5">
        <v>1.0</v>
      </c>
      <c r="V30" s="5">
        <v>5.0</v>
      </c>
      <c r="W30" s="5" t="s">
        <v>12</v>
      </c>
      <c r="X30" s="1"/>
      <c r="Y30" s="1"/>
      <c r="Z30" s="1" t="s">
        <v>361</v>
      </c>
      <c r="AA30" s="5" t="str">
        <f>IFERROR(__xludf.DUMMYFUNCTION("IF(A30="""","""",INDEX(FILTER(Roster!$A:$A,(Roster!$C:$C=A30)*(Roster!$F:$F=3)),1))"),"Matiz")</f>
        <v>Matiz</v>
      </c>
      <c r="AB30" s="5" t="str">
        <f>IFERROR(__xludf.DUMMYFUNCTION("IF(A30="""","""",INDEX(FILTER(Roster!$A:$A,(Roster!$C:$C=A30)*(Roster!$F:$F=4)),1))"),"Esguerra")</f>
        <v>Esguerra</v>
      </c>
      <c r="AC30" s="5" t="str">
        <f>IFERROR(__xludf.DUMMYFUNCTION("IF(A30="""","""",INDEX(FILTER(Roster!$A:$A,(Roster!$C:$C=A30)*(Roster!$F:$F=1)),1))"),"Luca")</f>
        <v>Luca</v>
      </c>
      <c r="AD30" s="5" t="str">
        <f>IFERROR(__xludf.DUMMYFUNCTION("IF(A30="""","""",INDEX(FILTER(Roster!$A:$A,(Roster!$C:$C=A30)*(Roster!$F:$F=2)),1))"),"Rocha")</f>
        <v>Rocha</v>
      </c>
      <c r="AE30" s="5">
        <v>1.0</v>
      </c>
      <c r="AF30" s="5">
        <v>2.0</v>
      </c>
      <c r="AG30" s="5" t="s">
        <v>354</v>
      </c>
      <c r="AH30" s="5">
        <v>0.0</v>
      </c>
      <c r="AI30" s="5">
        <v>0.0</v>
      </c>
      <c r="AJ30" s="5">
        <v>0.0</v>
      </c>
      <c r="AK30" s="5" t="s">
        <v>350</v>
      </c>
      <c r="AL30" s="5" t="s">
        <v>351</v>
      </c>
      <c r="AM30" s="5">
        <v>0.0</v>
      </c>
      <c r="AN30" s="5" t="s">
        <v>350</v>
      </c>
      <c r="AO30" s="5">
        <f t="shared" si="1"/>
        <v>4</v>
      </c>
      <c r="AP30" s="5">
        <f t="shared" si="2"/>
        <v>5</v>
      </c>
    </row>
    <row r="31">
      <c r="A31" s="5" t="s">
        <v>26</v>
      </c>
      <c r="B31" s="5">
        <v>3.0</v>
      </c>
      <c r="C31" s="5">
        <v>5.0</v>
      </c>
      <c r="F31" s="5">
        <v>0.0</v>
      </c>
      <c r="G31" s="5">
        <v>5.0</v>
      </c>
      <c r="H31" s="5">
        <v>5.0</v>
      </c>
      <c r="K31" s="5">
        <v>0.0</v>
      </c>
      <c r="L31" s="5">
        <v>5.0</v>
      </c>
      <c r="M31" s="5">
        <v>4.0</v>
      </c>
      <c r="P31" s="5">
        <v>0.0</v>
      </c>
      <c r="Q31" s="5">
        <v>4.0</v>
      </c>
      <c r="R31" s="5">
        <v>5.0</v>
      </c>
      <c r="U31" s="5">
        <v>1.0</v>
      </c>
      <c r="V31" s="5">
        <v>4.0</v>
      </c>
      <c r="W31" s="5" t="s">
        <v>7</v>
      </c>
      <c r="X31" s="1"/>
      <c r="Y31" s="1"/>
      <c r="Z31" s="1" t="s">
        <v>361</v>
      </c>
      <c r="AA31" s="5" t="str">
        <f>IFERROR(__xludf.DUMMYFUNCTION("IF(A31="""","""",INDEX(FILTER(Roster!$A:$A,(Roster!$C:$C=A31)*(Roster!$F:$F=3)),1))"),"Matiz")</f>
        <v>Matiz</v>
      </c>
      <c r="AB31" s="5" t="str">
        <f>IFERROR(__xludf.DUMMYFUNCTION("IF(A31="""","""",INDEX(FILTER(Roster!$A:$A,(Roster!$C:$C=A31)*(Roster!$F:$F=4)),1))"),"Esguerra")</f>
        <v>Esguerra</v>
      </c>
      <c r="AC31" s="5" t="str">
        <f>IFERROR(__xludf.DUMMYFUNCTION("IF(A31="""","""",INDEX(FILTER(Roster!$A:$A,(Roster!$C:$C=A31)*(Roster!$F:$F=1)),1))"),"Luca")</f>
        <v>Luca</v>
      </c>
      <c r="AD31" s="5" t="str">
        <f>IFERROR(__xludf.DUMMYFUNCTION("IF(A31="""","""",INDEX(FILTER(Roster!$A:$A,(Roster!$C:$C=A31)*(Roster!$F:$F=2)),1))"),"Rocha")</f>
        <v>Rocha</v>
      </c>
      <c r="AE31" s="5">
        <v>-1.0</v>
      </c>
      <c r="AF31" s="5">
        <v>1.0</v>
      </c>
      <c r="AG31" s="5" t="s">
        <v>352</v>
      </c>
      <c r="AH31" s="5">
        <v>0.0</v>
      </c>
      <c r="AI31" s="5">
        <v>0.0</v>
      </c>
      <c r="AJ31" s="5">
        <v>0.0</v>
      </c>
      <c r="AK31" s="5" t="s">
        <v>350</v>
      </c>
      <c r="AL31" s="5" t="s">
        <v>351</v>
      </c>
      <c r="AM31" s="5">
        <v>0.0</v>
      </c>
      <c r="AN31" s="5" t="s">
        <v>350</v>
      </c>
      <c r="AO31" s="5">
        <f t="shared" si="1"/>
        <v>5</v>
      </c>
      <c r="AP31" s="5">
        <f t="shared" si="2"/>
        <v>4</v>
      </c>
    </row>
    <row r="32">
      <c r="A32" s="5" t="s">
        <v>26</v>
      </c>
      <c r="B32" s="5">
        <v>4.0</v>
      </c>
      <c r="C32" s="5">
        <v>4.0</v>
      </c>
      <c r="F32" s="5">
        <v>1.0</v>
      </c>
      <c r="G32" s="5">
        <v>3.0</v>
      </c>
      <c r="H32" s="5">
        <v>4.0</v>
      </c>
      <c r="K32" s="5">
        <v>0.0</v>
      </c>
      <c r="L32" s="5">
        <v>4.0</v>
      </c>
      <c r="M32" s="5">
        <v>5.0</v>
      </c>
      <c r="P32" s="5">
        <v>0.0</v>
      </c>
      <c r="Q32" s="5">
        <v>5.0</v>
      </c>
      <c r="R32" s="5">
        <v>6.0</v>
      </c>
      <c r="U32" s="5">
        <v>1.0</v>
      </c>
      <c r="V32" s="5">
        <v>5.0</v>
      </c>
      <c r="W32" s="5" t="s">
        <v>12</v>
      </c>
      <c r="X32" s="1"/>
      <c r="Y32" s="1"/>
      <c r="Z32" s="1" t="s">
        <v>361</v>
      </c>
      <c r="AA32" s="5" t="str">
        <f>IFERROR(__xludf.DUMMYFUNCTION("IF(A32="""","""",INDEX(FILTER(Roster!$A:$A,(Roster!$C:$C=A32)*(Roster!$F:$F=3)),1))"),"Matiz")</f>
        <v>Matiz</v>
      </c>
      <c r="AB32" s="5" t="str">
        <f>IFERROR(__xludf.DUMMYFUNCTION("IF(A32="""","""",INDEX(FILTER(Roster!$A:$A,(Roster!$C:$C=A32)*(Roster!$F:$F=4)),1))"),"Esguerra")</f>
        <v>Esguerra</v>
      </c>
      <c r="AC32" s="5" t="str">
        <f>IFERROR(__xludf.DUMMYFUNCTION("IF(A32="""","""",INDEX(FILTER(Roster!$A:$A,(Roster!$C:$C=A32)*(Roster!$F:$F=1)),1))"),"Luca")</f>
        <v>Luca</v>
      </c>
      <c r="AD32" s="5" t="str">
        <f>IFERROR(__xludf.DUMMYFUNCTION("IF(A32="""","""",INDEX(FILTER(Roster!$A:$A,(Roster!$C:$C=A32)*(Roster!$F:$F=2)),1))"),"Rocha")</f>
        <v>Rocha</v>
      </c>
      <c r="AE32" s="5">
        <v>1.0</v>
      </c>
      <c r="AF32" s="5">
        <v>2.0</v>
      </c>
      <c r="AG32" s="5" t="s">
        <v>354</v>
      </c>
      <c r="AH32" s="5">
        <v>0.0</v>
      </c>
      <c r="AI32" s="5">
        <v>0.0</v>
      </c>
      <c r="AJ32" s="5">
        <v>0.0</v>
      </c>
      <c r="AK32" s="5" t="s">
        <v>350</v>
      </c>
      <c r="AL32" s="5" t="s">
        <v>351</v>
      </c>
      <c r="AM32" s="5">
        <v>0.0</v>
      </c>
      <c r="AN32" s="5" t="s">
        <v>350</v>
      </c>
      <c r="AO32" s="5">
        <f t="shared" si="1"/>
        <v>3</v>
      </c>
      <c r="AP32" s="5">
        <f t="shared" si="2"/>
        <v>5</v>
      </c>
    </row>
    <row r="33">
      <c r="A33" s="5" t="s">
        <v>26</v>
      </c>
      <c r="B33" s="5">
        <v>5.0</v>
      </c>
      <c r="C33" s="5">
        <v>4.0</v>
      </c>
      <c r="F33" s="5">
        <v>1.0</v>
      </c>
      <c r="G33" s="5">
        <v>3.0</v>
      </c>
      <c r="H33" s="5">
        <v>6.0</v>
      </c>
      <c r="K33" s="5">
        <v>1.0</v>
      </c>
      <c r="L33" s="5">
        <v>5.0</v>
      </c>
      <c r="M33" s="5">
        <v>4.0</v>
      </c>
      <c r="P33" s="5">
        <v>1.0</v>
      </c>
      <c r="Q33" s="5">
        <v>3.0</v>
      </c>
      <c r="R33" s="5">
        <v>6.0</v>
      </c>
      <c r="U33" s="5">
        <v>1.0</v>
      </c>
      <c r="V33" s="5">
        <v>5.0</v>
      </c>
      <c r="W33" s="5" t="s">
        <v>353</v>
      </c>
      <c r="X33" s="1"/>
      <c r="Y33" s="1"/>
      <c r="Z33" s="1" t="s">
        <v>361</v>
      </c>
      <c r="AA33" s="5" t="str">
        <f>IFERROR(__xludf.DUMMYFUNCTION("IF(A33="""","""",INDEX(FILTER(Roster!$A:$A,(Roster!$C:$C=A33)*(Roster!$F:$F=3)),1))"),"Matiz")</f>
        <v>Matiz</v>
      </c>
      <c r="AB33" s="5" t="str">
        <f>IFERROR(__xludf.DUMMYFUNCTION("IF(A33="""","""",INDEX(FILTER(Roster!$A:$A,(Roster!$C:$C=A33)*(Roster!$F:$F=4)),1))"),"Esguerra")</f>
        <v>Esguerra</v>
      </c>
      <c r="AC33" s="5" t="str">
        <f>IFERROR(__xludf.DUMMYFUNCTION("IF(A33="""","""",INDEX(FILTER(Roster!$A:$A,(Roster!$C:$C=A33)*(Roster!$F:$F=1)),1))"),"Luca")</f>
        <v>Luca</v>
      </c>
      <c r="AD33" s="5" t="str">
        <f>IFERROR(__xludf.DUMMYFUNCTION("IF(A33="""","""",INDEX(FILTER(Roster!$A:$A,(Roster!$C:$C=A33)*(Roster!$F:$F=2)),1))"),"Rocha")</f>
        <v>Rocha</v>
      </c>
      <c r="AE33" s="5">
        <v>0.0</v>
      </c>
      <c r="AF33" s="5">
        <v>2.0</v>
      </c>
      <c r="AG33" s="5" t="s">
        <v>354</v>
      </c>
      <c r="AH33" s="5">
        <v>0.0</v>
      </c>
      <c r="AI33" s="5">
        <v>0.0</v>
      </c>
      <c r="AJ33" s="5">
        <v>0.0</v>
      </c>
      <c r="AK33" s="5" t="s">
        <v>350</v>
      </c>
      <c r="AL33" s="5" t="s">
        <v>351</v>
      </c>
      <c r="AM33" s="5">
        <v>0.0</v>
      </c>
      <c r="AN33" s="5" t="s">
        <v>350</v>
      </c>
      <c r="AO33" s="5">
        <f t="shared" si="1"/>
        <v>3</v>
      </c>
      <c r="AP33" s="5">
        <f t="shared" si="2"/>
        <v>3</v>
      </c>
    </row>
    <row r="34">
      <c r="A34" s="5" t="s">
        <v>26</v>
      </c>
      <c r="B34" s="5">
        <v>6.0</v>
      </c>
      <c r="C34" s="5">
        <v>5.0</v>
      </c>
      <c r="F34" s="5">
        <v>1.0</v>
      </c>
      <c r="G34" s="5">
        <v>4.0</v>
      </c>
      <c r="H34" s="5">
        <v>3.0</v>
      </c>
      <c r="K34" s="5">
        <v>1.0</v>
      </c>
      <c r="L34" s="5">
        <v>2.0</v>
      </c>
      <c r="M34" s="5">
        <v>5.0</v>
      </c>
      <c r="P34" s="5">
        <v>0.0</v>
      </c>
      <c r="Q34" s="5">
        <v>5.0</v>
      </c>
      <c r="R34" s="5">
        <v>6.0</v>
      </c>
      <c r="U34" s="5">
        <v>1.0</v>
      </c>
      <c r="V34" s="5">
        <v>5.0</v>
      </c>
      <c r="W34" s="5" t="s">
        <v>12</v>
      </c>
      <c r="X34" s="1"/>
      <c r="Y34" s="1"/>
      <c r="Z34" s="1" t="s">
        <v>361</v>
      </c>
      <c r="AA34" s="5" t="str">
        <f>IFERROR(__xludf.DUMMYFUNCTION("IF(A34="""","""",INDEX(FILTER(Roster!$A:$A,(Roster!$C:$C=A34)*(Roster!$F:$F=3)),1))"),"Matiz")</f>
        <v>Matiz</v>
      </c>
      <c r="AB34" s="5" t="str">
        <f>IFERROR(__xludf.DUMMYFUNCTION("IF(A34="""","""",INDEX(FILTER(Roster!$A:$A,(Roster!$C:$C=A34)*(Roster!$F:$F=4)),1))"),"Esguerra")</f>
        <v>Esguerra</v>
      </c>
      <c r="AC34" s="5" t="str">
        <f>IFERROR(__xludf.DUMMYFUNCTION("IF(A34="""","""",INDEX(FILTER(Roster!$A:$A,(Roster!$C:$C=A34)*(Roster!$F:$F=1)),1))"),"Luca")</f>
        <v>Luca</v>
      </c>
      <c r="AD34" s="5" t="str">
        <f>IFERROR(__xludf.DUMMYFUNCTION("IF(A34="""","""",INDEX(FILTER(Roster!$A:$A,(Roster!$C:$C=A34)*(Roster!$F:$F=2)),1))"),"Rocha")</f>
        <v>Rocha</v>
      </c>
      <c r="AE34" s="5">
        <v>1.0</v>
      </c>
      <c r="AF34" s="5">
        <v>3.0</v>
      </c>
      <c r="AG34" s="5" t="s">
        <v>358</v>
      </c>
      <c r="AH34" s="5">
        <v>0.0</v>
      </c>
      <c r="AI34" s="5">
        <v>0.0</v>
      </c>
      <c r="AJ34" s="5">
        <v>0.0</v>
      </c>
      <c r="AK34" s="5" t="s">
        <v>350</v>
      </c>
      <c r="AL34" s="5" t="s">
        <v>351</v>
      </c>
      <c r="AM34" s="5">
        <v>0.0</v>
      </c>
      <c r="AN34" s="5" t="s">
        <v>350</v>
      </c>
      <c r="AO34" s="5">
        <f t="shared" si="1"/>
        <v>2</v>
      </c>
      <c r="AP34" s="5">
        <f t="shared" si="2"/>
        <v>5</v>
      </c>
    </row>
    <row r="35">
      <c r="A35" s="5" t="s">
        <v>26</v>
      </c>
      <c r="B35" s="5">
        <v>7.0</v>
      </c>
      <c r="C35" s="5">
        <v>3.0</v>
      </c>
      <c r="F35" s="5">
        <v>1.0</v>
      </c>
      <c r="G35" s="5">
        <v>2.0</v>
      </c>
      <c r="H35" s="5">
        <v>3.0</v>
      </c>
      <c r="K35" s="5">
        <v>0.0</v>
      </c>
      <c r="L35" s="5">
        <v>3.0</v>
      </c>
      <c r="M35" s="5">
        <v>4.0</v>
      </c>
      <c r="P35" s="5">
        <v>0.0</v>
      </c>
      <c r="Q35" s="5">
        <v>4.0</v>
      </c>
      <c r="R35" s="5">
        <v>5.0</v>
      </c>
      <c r="U35" s="5">
        <v>1.0</v>
      </c>
      <c r="V35" s="5">
        <v>4.0</v>
      </c>
      <c r="W35" s="5" t="s">
        <v>12</v>
      </c>
      <c r="X35" s="1"/>
      <c r="Y35" s="1"/>
      <c r="Z35" s="1" t="s">
        <v>361</v>
      </c>
      <c r="AA35" s="5" t="str">
        <f>IFERROR(__xludf.DUMMYFUNCTION("IF(A35="""","""",INDEX(FILTER(Roster!$A:$A,(Roster!$C:$C=A35)*(Roster!$F:$F=3)),1))"),"Matiz")</f>
        <v>Matiz</v>
      </c>
      <c r="AB35" s="5" t="str">
        <f>IFERROR(__xludf.DUMMYFUNCTION("IF(A35="""","""",INDEX(FILTER(Roster!$A:$A,(Roster!$C:$C=A35)*(Roster!$F:$F=4)),1))"),"Esguerra")</f>
        <v>Esguerra</v>
      </c>
      <c r="AC35" s="5" t="str">
        <f>IFERROR(__xludf.DUMMYFUNCTION("IF(A35="""","""",INDEX(FILTER(Roster!$A:$A,(Roster!$C:$C=A35)*(Roster!$F:$F=1)),1))"),"Luca")</f>
        <v>Luca</v>
      </c>
      <c r="AD35" s="5" t="str">
        <f>IFERROR(__xludf.DUMMYFUNCTION("IF(A35="""","""",INDEX(FILTER(Roster!$A:$A,(Roster!$C:$C=A35)*(Roster!$F:$F=2)),1))"),"Rocha")</f>
        <v>Rocha</v>
      </c>
      <c r="AE35" s="5">
        <v>1.0</v>
      </c>
      <c r="AF35" s="5">
        <v>4.0</v>
      </c>
      <c r="AG35" s="5" t="s">
        <v>359</v>
      </c>
      <c r="AH35" s="5">
        <v>0.0</v>
      </c>
      <c r="AI35" s="5">
        <v>0.0</v>
      </c>
      <c r="AJ35" s="5">
        <v>0.0</v>
      </c>
      <c r="AK35" s="5" t="s">
        <v>350</v>
      </c>
      <c r="AL35" s="5" t="s">
        <v>351</v>
      </c>
      <c r="AM35" s="5">
        <v>0.0</v>
      </c>
      <c r="AN35" s="5" t="s">
        <v>350</v>
      </c>
      <c r="AO35" s="5">
        <f t="shared" si="1"/>
        <v>2</v>
      </c>
      <c r="AP35" s="5">
        <f t="shared" si="2"/>
        <v>4</v>
      </c>
    </row>
    <row r="36">
      <c r="A36" s="5" t="s">
        <v>26</v>
      </c>
      <c r="B36" s="5">
        <v>8.0</v>
      </c>
      <c r="C36" s="5">
        <v>5.0</v>
      </c>
      <c r="F36" s="5">
        <v>1.0</v>
      </c>
      <c r="G36" s="5">
        <v>4.0</v>
      </c>
      <c r="H36" s="5">
        <v>6.0</v>
      </c>
      <c r="K36" s="5">
        <v>0.0</v>
      </c>
      <c r="L36" s="5">
        <v>6.0</v>
      </c>
      <c r="M36" s="5">
        <v>5.0</v>
      </c>
      <c r="P36" s="5">
        <v>1.0</v>
      </c>
      <c r="Q36" s="5">
        <v>4.0</v>
      </c>
      <c r="R36" s="5">
        <v>6.0</v>
      </c>
      <c r="U36" s="5">
        <v>1.0</v>
      </c>
      <c r="V36" s="5">
        <v>5.0</v>
      </c>
      <c r="W36" s="5" t="s">
        <v>353</v>
      </c>
      <c r="X36" s="1"/>
      <c r="Y36" s="1"/>
      <c r="Z36" s="1" t="s">
        <v>361</v>
      </c>
      <c r="AA36" s="5" t="str">
        <f>IFERROR(__xludf.DUMMYFUNCTION("IF(A36="""","""",INDEX(FILTER(Roster!$A:$A,(Roster!$C:$C=A36)*(Roster!$F:$F=3)),1))"),"Matiz")</f>
        <v>Matiz</v>
      </c>
      <c r="AB36" s="5" t="str">
        <f>IFERROR(__xludf.DUMMYFUNCTION("IF(A36="""","""",INDEX(FILTER(Roster!$A:$A,(Roster!$C:$C=A36)*(Roster!$F:$F=4)),1))"),"Esguerra")</f>
        <v>Esguerra</v>
      </c>
      <c r="AC36" s="5" t="str">
        <f>IFERROR(__xludf.DUMMYFUNCTION("IF(A36="""","""",INDEX(FILTER(Roster!$A:$A,(Roster!$C:$C=A36)*(Roster!$F:$F=1)),1))"),"Luca")</f>
        <v>Luca</v>
      </c>
      <c r="AD36" s="5" t="str">
        <f>IFERROR(__xludf.DUMMYFUNCTION("IF(A36="""","""",INDEX(FILTER(Roster!$A:$A,(Roster!$C:$C=A36)*(Roster!$F:$F=2)),1))"),"Rocha")</f>
        <v>Rocha</v>
      </c>
      <c r="AE36" s="5">
        <v>0.0</v>
      </c>
      <c r="AF36" s="5">
        <v>4.0</v>
      </c>
      <c r="AG36" s="5" t="s">
        <v>359</v>
      </c>
      <c r="AH36" s="5">
        <v>0.0</v>
      </c>
      <c r="AI36" s="5">
        <v>0.0</v>
      </c>
      <c r="AJ36" s="5">
        <v>0.0</v>
      </c>
      <c r="AK36" s="5" t="s">
        <v>350</v>
      </c>
      <c r="AL36" s="5" t="s">
        <v>351</v>
      </c>
      <c r="AM36" s="5">
        <v>0.0</v>
      </c>
      <c r="AN36" s="5" t="s">
        <v>350</v>
      </c>
      <c r="AO36" s="5">
        <f t="shared" si="1"/>
        <v>4</v>
      </c>
      <c r="AP36" s="5">
        <f t="shared" si="2"/>
        <v>4</v>
      </c>
    </row>
    <row r="37">
      <c r="A37" s="5" t="s">
        <v>26</v>
      </c>
      <c r="B37" s="5">
        <v>9.0</v>
      </c>
      <c r="C37" s="5">
        <v>4.0</v>
      </c>
      <c r="F37" s="5">
        <v>1.0</v>
      </c>
      <c r="G37" s="5">
        <v>3.0</v>
      </c>
      <c r="H37" s="5">
        <v>4.0</v>
      </c>
      <c r="K37" s="5">
        <v>1.0</v>
      </c>
      <c r="L37" s="5">
        <v>3.0</v>
      </c>
      <c r="M37" s="5">
        <v>5.0</v>
      </c>
      <c r="P37" s="5">
        <v>1.0</v>
      </c>
      <c r="Q37" s="5">
        <v>4.0</v>
      </c>
      <c r="R37" s="5">
        <v>5.0</v>
      </c>
      <c r="U37" s="5">
        <v>2.0</v>
      </c>
      <c r="V37" s="5">
        <v>3.0</v>
      </c>
      <c r="W37" s="5" t="s">
        <v>353</v>
      </c>
      <c r="X37" s="1"/>
      <c r="Y37" s="1"/>
      <c r="Z37" s="1" t="s">
        <v>361</v>
      </c>
      <c r="AA37" s="5" t="str">
        <f>IFERROR(__xludf.DUMMYFUNCTION("IF(A37="""","""",INDEX(FILTER(Roster!$A:$A,(Roster!$C:$C=A37)*(Roster!$F:$F=3)),1))"),"Matiz")</f>
        <v>Matiz</v>
      </c>
      <c r="AB37" s="5" t="str">
        <f>IFERROR(__xludf.DUMMYFUNCTION("IF(A37="""","""",INDEX(FILTER(Roster!$A:$A,(Roster!$C:$C=A37)*(Roster!$F:$F=4)),1))"),"Esguerra")</f>
        <v>Esguerra</v>
      </c>
      <c r="AC37" s="5" t="str">
        <f>IFERROR(__xludf.DUMMYFUNCTION("IF(A37="""","""",INDEX(FILTER(Roster!$A:$A,(Roster!$C:$C=A37)*(Roster!$F:$F=1)),1))"),"Luca")</f>
        <v>Luca</v>
      </c>
      <c r="AD37" s="5" t="str">
        <f>IFERROR(__xludf.DUMMYFUNCTION("IF(A37="""","""",INDEX(FILTER(Roster!$A:$A,(Roster!$C:$C=A37)*(Roster!$F:$F=2)),1))"),"Rocha")</f>
        <v>Rocha</v>
      </c>
      <c r="AE37" s="5">
        <v>0.0</v>
      </c>
      <c r="AF37" s="5">
        <v>4.0</v>
      </c>
      <c r="AG37" s="5" t="s">
        <v>359</v>
      </c>
      <c r="AH37" s="5">
        <v>0.0</v>
      </c>
      <c r="AI37" s="5">
        <v>0.0</v>
      </c>
      <c r="AJ37" s="5">
        <v>0.0</v>
      </c>
      <c r="AK37" s="5" t="s">
        <v>350</v>
      </c>
      <c r="AL37" s="5" t="s">
        <v>351</v>
      </c>
      <c r="AM37" s="5">
        <v>0.0</v>
      </c>
      <c r="AN37" s="5" t="s">
        <v>350</v>
      </c>
      <c r="AO37" s="5">
        <f t="shared" si="1"/>
        <v>3</v>
      </c>
      <c r="AP37" s="5">
        <f t="shared" si="2"/>
        <v>3</v>
      </c>
    </row>
    <row r="38">
      <c r="A38" s="5" t="str">
        <f t="array" ref="A38:A46">Calc_Engine!A80:A88</f>
        <v>Flight_5</v>
      </c>
      <c r="B38" s="5">
        <f t="array" ref="B38:B46">Calc_Engine!B80:B88</f>
        <v>1</v>
      </c>
      <c r="C38" s="5">
        <f t="array" ref="C38:C46">Calc_Engine!C80:C88</f>
        <v>4</v>
      </c>
      <c r="F38" s="5">
        <f t="array" ref="F38:F46">Calc_Engine!F80:F88</f>
        <v>1</v>
      </c>
      <c r="G38" s="5">
        <f t="array" ref="G38:G46">Calc_Engine!G80:G88</f>
        <v>3</v>
      </c>
      <c r="H38" s="5">
        <f t="array" ref="H38:H46">Calc_Engine!H80:H88</f>
        <v>4</v>
      </c>
      <c r="K38" s="5">
        <f t="array" ref="K38:K46">Calc_Engine!K80:K88</f>
        <v>1</v>
      </c>
      <c r="L38" s="5">
        <f t="array" ref="L38:L46">Calc_Engine!L80:L88</f>
        <v>3</v>
      </c>
      <c r="M38" s="5">
        <f t="array" ref="M38:M46">Calc_Engine!M80:M88</f>
        <v>5</v>
      </c>
      <c r="P38" s="5">
        <f t="array" ref="P38:P46">Calc_Engine!P80:P88</f>
        <v>1</v>
      </c>
      <c r="Q38" s="5">
        <f t="array" ref="Q38:Q46">Calc_Engine!Q80:Q88</f>
        <v>4</v>
      </c>
      <c r="R38" s="5">
        <f t="array" ref="R38:R46">Calc_Engine!R80:R88</f>
        <v>6</v>
      </c>
      <c r="U38" s="5">
        <f t="array" ref="U38:U46">Calc_Engine!U80:U88</f>
        <v>2</v>
      </c>
      <c r="V38" s="5">
        <f t="array" ref="V38:V46">Calc_Engine!V80:V88</f>
        <v>4</v>
      </c>
      <c r="W38" s="5" t="str">
        <f t="array" ref="W38:W46">Calc_Engine!W80:W88</f>
        <v>Red</v>
      </c>
      <c r="X38" s="1"/>
      <c r="Y38" s="1"/>
      <c r="Z38" s="1" t="s">
        <v>362</v>
      </c>
      <c r="AA38" s="5" t="str">
        <f>IFERROR(__xludf.DUMMYFUNCTION("IF(A38="""","""",INDEX(FILTER(Roster!$A:$A,(Roster!$C:$C=A38)*(Roster!$F:$F=3)),1))"),"Pulido")</f>
        <v>Pulido</v>
      </c>
      <c r="AB38" s="5" t="str">
        <f>IFERROR(__xludf.DUMMYFUNCTION("IF(A38="""","""",INDEX(FILTER(Roster!$A:$A,(Roster!$C:$C=A38)*(Roster!$F:$F=4)),1))"),"Otoya")</f>
        <v>Otoya</v>
      </c>
      <c r="AC38" s="5" t="str">
        <f>IFERROR(__xludf.DUMMYFUNCTION("IF(A38="""","""",INDEX(FILTER(Roster!$A:$A,(Roster!$C:$C=A38)*(Roster!$F:$F=1)),1))"),"Sardi")</f>
        <v>Sardi</v>
      </c>
      <c r="AD38" s="5" t="str">
        <f>IFERROR(__xludf.DUMMYFUNCTION("IF(A38="""","""",INDEX(FILTER(Roster!$A:$A,(Roster!$C:$C=A38)*(Roster!$F:$F=2)),1))"),"JC Casas")</f>
        <v>JC Casas</v>
      </c>
      <c r="AE38" s="5">
        <v>1.0</v>
      </c>
      <c r="AF38" s="5">
        <v>1.0</v>
      </c>
      <c r="AG38" s="5" t="s">
        <v>352</v>
      </c>
      <c r="AH38" s="5">
        <v>0.0</v>
      </c>
      <c r="AI38" s="5">
        <v>0.0</v>
      </c>
      <c r="AJ38" s="5">
        <v>0.0</v>
      </c>
      <c r="AK38" s="5" t="s">
        <v>350</v>
      </c>
      <c r="AL38" s="5" t="s">
        <v>351</v>
      </c>
      <c r="AM38" s="5">
        <v>0.0</v>
      </c>
      <c r="AN38" s="5" t="s">
        <v>350</v>
      </c>
      <c r="AO38" s="5">
        <f t="shared" si="1"/>
        <v>3</v>
      </c>
      <c r="AP38" s="5">
        <f t="shared" si="2"/>
        <v>4</v>
      </c>
    </row>
    <row r="39">
      <c r="A39" s="5" t="s">
        <v>31</v>
      </c>
      <c r="B39" s="5">
        <v>2.0</v>
      </c>
      <c r="C39" s="5">
        <v>6.0</v>
      </c>
      <c r="F39" s="5">
        <v>0.0</v>
      </c>
      <c r="G39" s="5">
        <v>6.0</v>
      </c>
      <c r="H39" s="5">
        <v>5.0</v>
      </c>
      <c r="K39" s="5">
        <v>1.0</v>
      </c>
      <c r="L39" s="5">
        <v>4.0</v>
      </c>
      <c r="M39" s="5">
        <v>6.0</v>
      </c>
      <c r="P39" s="5">
        <v>1.0</v>
      </c>
      <c r="Q39" s="5">
        <v>5.0</v>
      </c>
      <c r="R39" s="5">
        <v>7.0</v>
      </c>
      <c r="U39" s="5">
        <v>1.0</v>
      </c>
      <c r="V39" s="5">
        <v>6.0</v>
      </c>
      <c r="W39" s="5" t="s">
        <v>12</v>
      </c>
      <c r="X39" s="1"/>
      <c r="Y39" s="1"/>
      <c r="Z39" s="1" t="s">
        <v>362</v>
      </c>
      <c r="AA39" s="5" t="str">
        <f>IFERROR(__xludf.DUMMYFUNCTION("IF(A39="""","""",INDEX(FILTER(Roster!$A:$A,(Roster!$C:$C=A39)*(Roster!$F:$F=3)),1))"),"Pulido")</f>
        <v>Pulido</v>
      </c>
      <c r="AB39" s="5" t="str">
        <f>IFERROR(__xludf.DUMMYFUNCTION("IF(A39="""","""",INDEX(FILTER(Roster!$A:$A,(Roster!$C:$C=A39)*(Roster!$F:$F=4)),1))"),"Otoya")</f>
        <v>Otoya</v>
      </c>
      <c r="AC39" s="5" t="str">
        <f>IFERROR(__xludf.DUMMYFUNCTION("IF(A39="""","""",INDEX(FILTER(Roster!$A:$A,(Roster!$C:$C=A39)*(Roster!$F:$F=1)),1))"),"Sardi")</f>
        <v>Sardi</v>
      </c>
      <c r="AD39" s="5" t="str">
        <f>IFERROR(__xludf.DUMMYFUNCTION("IF(A39="""","""",INDEX(FILTER(Roster!$A:$A,(Roster!$C:$C=A39)*(Roster!$F:$F=2)),1))"),"JC Casas")</f>
        <v>JC Casas</v>
      </c>
      <c r="AE39" s="5">
        <v>1.0</v>
      </c>
      <c r="AF39" s="5">
        <v>2.0</v>
      </c>
      <c r="AG39" s="5" t="s">
        <v>354</v>
      </c>
      <c r="AH39" s="5">
        <v>0.0</v>
      </c>
      <c r="AI39" s="5">
        <v>0.0</v>
      </c>
      <c r="AJ39" s="5">
        <v>0.0</v>
      </c>
      <c r="AK39" s="5" t="s">
        <v>350</v>
      </c>
      <c r="AL39" s="5" t="s">
        <v>351</v>
      </c>
      <c r="AM39" s="5">
        <v>0.0</v>
      </c>
      <c r="AN39" s="5" t="s">
        <v>350</v>
      </c>
      <c r="AO39" s="5">
        <f t="shared" si="1"/>
        <v>4</v>
      </c>
      <c r="AP39" s="5">
        <f t="shared" si="2"/>
        <v>5</v>
      </c>
    </row>
    <row r="40">
      <c r="A40" s="5" t="s">
        <v>31</v>
      </c>
      <c r="B40" s="5">
        <v>3.0</v>
      </c>
      <c r="C40" s="5">
        <v>4.0</v>
      </c>
      <c r="F40" s="5">
        <v>0.0</v>
      </c>
      <c r="G40" s="5">
        <v>4.0</v>
      </c>
      <c r="H40" s="5">
        <v>6.0</v>
      </c>
      <c r="K40" s="5">
        <v>0.0</v>
      </c>
      <c r="L40" s="5">
        <v>6.0</v>
      </c>
      <c r="M40" s="5">
        <v>6.0</v>
      </c>
      <c r="P40" s="5">
        <v>0.0</v>
      </c>
      <c r="Q40" s="5">
        <v>6.0</v>
      </c>
      <c r="R40" s="5">
        <v>6.0</v>
      </c>
      <c r="U40" s="5">
        <v>1.0</v>
      </c>
      <c r="V40" s="5">
        <v>5.0</v>
      </c>
      <c r="W40" s="5" t="s">
        <v>12</v>
      </c>
      <c r="X40" s="1"/>
      <c r="Y40" s="1"/>
      <c r="Z40" s="1" t="s">
        <v>362</v>
      </c>
      <c r="AA40" s="5" t="str">
        <f>IFERROR(__xludf.DUMMYFUNCTION("IF(A40="""","""",INDEX(FILTER(Roster!$A:$A,(Roster!$C:$C=A40)*(Roster!$F:$F=3)),1))"),"Pulido")</f>
        <v>Pulido</v>
      </c>
      <c r="AB40" s="5" t="str">
        <f>IFERROR(__xludf.DUMMYFUNCTION("IF(A40="""","""",INDEX(FILTER(Roster!$A:$A,(Roster!$C:$C=A40)*(Roster!$F:$F=4)),1))"),"Otoya")</f>
        <v>Otoya</v>
      </c>
      <c r="AC40" s="5" t="str">
        <f>IFERROR(__xludf.DUMMYFUNCTION("IF(A40="""","""",INDEX(FILTER(Roster!$A:$A,(Roster!$C:$C=A40)*(Roster!$F:$F=1)),1))"),"Sardi")</f>
        <v>Sardi</v>
      </c>
      <c r="AD40" s="5" t="str">
        <f>IFERROR(__xludf.DUMMYFUNCTION("IF(A40="""","""",INDEX(FILTER(Roster!$A:$A,(Roster!$C:$C=A40)*(Roster!$F:$F=2)),1))"),"JC Casas")</f>
        <v>JC Casas</v>
      </c>
      <c r="AE40" s="5">
        <v>1.0</v>
      </c>
      <c r="AF40" s="5">
        <v>3.0</v>
      </c>
      <c r="AG40" s="5" t="s">
        <v>358</v>
      </c>
      <c r="AH40" s="5">
        <v>0.0</v>
      </c>
      <c r="AI40" s="5">
        <v>0.0</v>
      </c>
      <c r="AJ40" s="5">
        <v>0.0</v>
      </c>
      <c r="AK40" s="5" t="s">
        <v>350</v>
      </c>
      <c r="AL40" s="5" t="s">
        <v>351</v>
      </c>
      <c r="AM40" s="5">
        <v>0.0</v>
      </c>
      <c r="AN40" s="5" t="s">
        <v>350</v>
      </c>
      <c r="AO40" s="5">
        <f t="shared" si="1"/>
        <v>4</v>
      </c>
      <c r="AP40" s="5">
        <f t="shared" si="2"/>
        <v>5</v>
      </c>
    </row>
    <row r="41">
      <c r="A41" s="5" t="s">
        <v>31</v>
      </c>
      <c r="B41" s="5">
        <v>4.0</v>
      </c>
      <c r="C41" s="5">
        <v>4.0</v>
      </c>
      <c r="F41" s="5">
        <v>0.0</v>
      </c>
      <c r="G41" s="5">
        <v>4.0</v>
      </c>
      <c r="H41" s="5">
        <v>5.0</v>
      </c>
      <c r="K41" s="5">
        <v>0.0</v>
      </c>
      <c r="L41" s="5">
        <v>5.0</v>
      </c>
      <c r="M41" s="5">
        <v>4.0</v>
      </c>
      <c r="P41" s="5">
        <v>0.0</v>
      </c>
      <c r="Q41" s="5">
        <v>4.0</v>
      </c>
      <c r="R41" s="5">
        <v>5.0</v>
      </c>
      <c r="U41" s="5">
        <v>1.0</v>
      </c>
      <c r="V41" s="5">
        <v>4.0</v>
      </c>
      <c r="W41" s="5" t="s">
        <v>353</v>
      </c>
      <c r="X41" s="1"/>
      <c r="Y41" s="1"/>
      <c r="Z41" s="1" t="s">
        <v>362</v>
      </c>
      <c r="AA41" s="5" t="str">
        <f>IFERROR(__xludf.DUMMYFUNCTION("IF(A41="""","""",INDEX(FILTER(Roster!$A:$A,(Roster!$C:$C=A41)*(Roster!$F:$F=3)),1))"),"Pulido")</f>
        <v>Pulido</v>
      </c>
      <c r="AB41" s="5" t="str">
        <f>IFERROR(__xludf.DUMMYFUNCTION("IF(A41="""","""",INDEX(FILTER(Roster!$A:$A,(Roster!$C:$C=A41)*(Roster!$F:$F=4)),1))"),"Otoya")</f>
        <v>Otoya</v>
      </c>
      <c r="AC41" s="5" t="str">
        <f>IFERROR(__xludf.DUMMYFUNCTION("IF(A41="""","""",INDEX(FILTER(Roster!$A:$A,(Roster!$C:$C=A41)*(Roster!$F:$F=1)),1))"),"Sardi")</f>
        <v>Sardi</v>
      </c>
      <c r="AD41" s="5" t="str">
        <f>IFERROR(__xludf.DUMMYFUNCTION("IF(A41="""","""",INDEX(FILTER(Roster!$A:$A,(Roster!$C:$C=A41)*(Roster!$F:$F=2)),1))"),"JC Casas")</f>
        <v>JC Casas</v>
      </c>
      <c r="AE41" s="5">
        <v>0.0</v>
      </c>
      <c r="AF41" s="5">
        <v>3.0</v>
      </c>
      <c r="AG41" s="5" t="s">
        <v>358</v>
      </c>
      <c r="AH41" s="5">
        <v>0.0</v>
      </c>
      <c r="AI41" s="5">
        <v>0.0</v>
      </c>
      <c r="AJ41" s="5">
        <v>0.0</v>
      </c>
      <c r="AK41" s="5" t="s">
        <v>350</v>
      </c>
      <c r="AL41" s="5" t="s">
        <v>351</v>
      </c>
      <c r="AM41" s="5">
        <v>0.0</v>
      </c>
      <c r="AN41" s="5" t="s">
        <v>350</v>
      </c>
      <c r="AO41" s="5">
        <f t="shared" si="1"/>
        <v>4</v>
      </c>
      <c r="AP41" s="5">
        <f t="shared" si="2"/>
        <v>4</v>
      </c>
    </row>
    <row r="42">
      <c r="A42" s="5" t="s">
        <v>31</v>
      </c>
      <c r="B42" s="5">
        <v>5.0</v>
      </c>
      <c r="C42" s="5">
        <v>5.0</v>
      </c>
      <c r="F42" s="5">
        <v>0.0</v>
      </c>
      <c r="G42" s="5">
        <v>5.0</v>
      </c>
      <c r="H42" s="5">
        <v>7.0</v>
      </c>
      <c r="K42" s="5">
        <v>1.0</v>
      </c>
      <c r="L42" s="5">
        <v>6.0</v>
      </c>
      <c r="M42" s="5">
        <v>3.0</v>
      </c>
      <c r="P42" s="5">
        <v>1.0</v>
      </c>
      <c r="Q42" s="5">
        <v>2.0</v>
      </c>
      <c r="R42" s="5">
        <v>6.0</v>
      </c>
      <c r="U42" s="5">
        <v>1.0</v>
      </c>
      <c r="V42" s="5">
        <v>5.0</v>
      </c>
      <c r="W42" s="5" t="s">
        <v>7</v>
      </c>
      <c r="X42" s="1"/>
      <c r="Y42" s="1"/>
      <c r="Z42" s="1" t="s">
        <v>362</v>
      </c>
      <c r="AA42" s="5" t="str">
        <f>IFERROR(__xludf.DUMMYFUNCTION("IF(A42="""","""",INDEX(FILTER(Roster!$A:$A,(Roster!$C:$C=A42)*(Roster!$F:$F=3)),1))"),"Pulido")</f>
        <v>Pulido</v>
      </c>
      <c r="AB42" s="5" t="str">
        <f>IFERROR(__xludf.DUMMYFUNCTION("IF(A42="""","""",INDEX(FILTER(Roster!$A:$A,(Roster!$C:$C=A42)*(Roster!$F:$F=4)),1))"),"Otoya")</f>
        <v>Otoya</v>
      </c>
      <c r="AC42" s="5" t="str">
        <f>IFERROR(__xludf.DUMMYFUNCTION("IF(A42="""","""",INDEX(FILTER(Roster!$A:$A,(Roster!$C:$C=A42)*(Roster!$F:$F=1)),1))"),"Sardi")</f>
        <v>Sardi</v>
      </c>
      <c r="AD42" s="5" t="str">
        <f>IFERROR(__xludf.DUMMYFUNCTION("IF(A42="""","""",INDEX(FILTER(Roster!$A:$A,(Roster!$C:$C=A42)*(Roster!$F:$F=2)),1))"),"JC Casas")</f>
        <v>JC Casas</v>
      </c>
      <c r="AE42" s="5">
        <v>-1.0</v>
      </c>
      <c r="AF42" s="5">
        <v>2.0</v>
      </c>
      <c r="AG42" s="5" t="s">
        <v>354</v>
      </c>
      <c r="AH42" s="5">
        <v>0.0</v>
      </c>
      <c r="AI42" s="5">
        <v>0.0</v>
      </c>
      <c r="AJ42" s="5">
        <v>0.0</v>
      </c>
      <c r="AK42" s="5" t="s">
        <v>350</v>
      </c>
      <c r="AL42" s="5" t="s">
        <v>351</v>
      </c>
      <c r="AM42" s="5">
        <v>0.0</v>
      </c>
      <c r="AN42" s="5" t="s">
        <v>350</v>
      </c>
      <c r="AO42" s="5">
        <f t="shared" si="1"/>
        <v>5</v>
      </c>
      <c r="AP42" s="5">
        <f t="shared" si="2"/>
        <v>2</v>
      </c>
    </row>
    <row r="43">
      <c r="A43" s="5" t="s">
        <v>31</v>
      </c>
      <c r="B43" s="5">
        <v>6.0</v>
      </c>
      <c r="C43" s="5">
        <v>4.0</v>
      </c>
      <c r="F43" s="5">
        <v>0.0</v>
      </c>
      <c r="G43" s="5">
        <v>4.0</v>
      </c>
      <c r="H43" s="5">
        <v>5.0</v>
      </c>
      <c r="K43" s="5">
        <v>1.0</v>
      </c>
      <c r="L43" s="5">
        <v>4.0</v>
      </c>
      <c r="M43" s="5">
        <v>4.0</v>
      </c>
      <c r="P43" s="5">
        <v>1.0</v>
      </c>
      <c r="Q43" s="5">
        <v>3.0</v>
      </c>
      <c r="R43" s="5">
        <v>5.0</v>
      </c>
      <c r="U43" s="5">
        <v>1.0</v>
      </c>
      <c r="V43" s="5">
        <v>4.0</v>
      </c>
      <c r="W43" s="5" t="s">
        <v>7</v>
      </c>
      <c r="X43" s="1"/>
      <c r="Y43" s="1"/>
      <c r="Z43" s="1" t="s">
        <v>362</v>
      </c>
      <c r="AA43" s="5" t="str">
        <f>IFERROR(__xludf.DUMMYFUNCTION("IF(A43="""","""",INDEX(FILTER(Roster!$A:$A,(Roster!$C:$C=A43)*(Roster!$F:$F=3)),1))"),"Pulido")</f>
        <v>Pulido</v>
      </c>
      <c r="AB43" s="5" t="str">
        <f>IFERROR(__xludf.DUMMYFUNCTION("IF(A43="""","""",INDEX(FILTER(Roster!$A:$A,(Roster!$C:$C=A43)*(Roster!$F:$F=4)),1))"),"Otoya")</f>
        <v>Otoya</v>
      </c>
      <c r="AC43" s="5" t="str">
        <f>IFERROR(__xludf.DUMMYFUNCTION("IF(A43="""","""",INDEX(FILTER(Roster!$A:$A,(Roster!$C:$C=A43)*(Roster!$F:$F=1)),1))"),"Sardi")</f>
        <v>Sardi</v>
      </c>
      <c r="AD43" s="5" t="str">
        <f>IFERROR(__xludf.DUMMYFUNCTION("IF(A43="""","""",INDEX(FILTER(Roster!$A:$A,(Roster!$C:$C=A43)*(Roster!$F:$F=2)),1))"),"JC Casas")</f>
        <v>JC Casas</v>
      </c>
      <c r="AE43" s="5">
        <v>-1.0</v>
      </c>
      <c r="AF43" s="5">
        <v>1.0</v>
      </c>
      <c r="AG43" s="5" t="s">
        <v>352</v>
      </c>
      <c r="AH43" s="5">
        <v>0.0</v>
      </c>
      <c r="AI43" s="5">
        <v>0.0</v>
      </c>
      <c r="AJ43" s="5">
        <v>0.0</v>
      </c>
      <c r="AK43" s="5" t="s">
        <v>350</v>
      </c>
      <c r="AL43" s="5" t="s">
        <v>351</v>
      </c>
      <c r="AM43" s="5">
        <v>0.0</v>
      </c>
      <c r="AN43" s="5" t="s">
        <v>350</v>
      </c>
      <c r="AO43" s="5">
        <f t="shared" si="1"/>
        <v>4</v>
      </c>
      <c r="AP43" s="5">
        <f t="shared" si="2"/>
        <v>3</v>
      </c>
    </row>
    <row r="44">
      <c r="A44" s="5" t="s">
        <v>31</v>
      </c>
      <c r="B44" s="5">
        <v>7.0</v>
      </c>
      <c r="C44" s="5">
        <v>3.0</v>
      </c>
      <c r="F44" s="5">
        <v>0.0</v>
      </c>
      <c r="G44" s="5">
        <v>3.0</v>
      </c>
      <c r="H44" s="5">
        <v>2.0</v>
      </c>
      <c r="K44" s="5">
        <v>1.0</v>
      </c>
      <c r="L44" s="5">
        <v>1.0</v>
      </c>
      <c r="M44" s="5">
        <v>4.0</v>
      </c>
      <c r="P44" s="5">
        <v>1.0</v>
      </c>
      <c r="Q44" s="5">
        <v>3.0</v>
      </c>
      <c r="R44" s="5">
        <v>3.0</v>
      </c>
      <c r="U44" s="5">
        <v>1.0</v>
      </c>
      <c r="V44" s="5">
        <v>2.0</v>
      </c>
      <c r="W44" s="5" t="s">
        <v>12</v>
      </c>
      <c r="X44" s="1"/>
      <c r="Y44" s="1"/>
      <c r="Z44" s="1" t="s">
        <v>362</v>
      </c>
      <c r="AA44" s="5" t="str">
        <f>IFERROR(__xludf.DUMMYFUNCTION("IF(A44="""","""",INDEX(FILTER(Roster!$A:$A,(Roster!$C:$C=A44)*(Roster!$F:$F=3)),1))"),"Pulido")</f>
        <v>Pulido</v>
      </c>
      <c r="AB44" s="5" t="str">
        <f>IFERROR(__xludf.DUMMYFUNCTION("IF(A44="""","""",INDEX(FILTER(Roster!$A:$A,(Roster!$C:$C=A44)*(Roster!$F:$F=4)),1))"),"Otoya")</f>
        <v>Otoya</v>
      </c>
      <c r="AC44" s="5" t="str">
        <f>IFERROR(__xludf.DUMMYFUNCTION("IF(A44="""","""",INDEX(FILTER(Roster!$A:$A,(Roster!$C:$C=A44)*(Roster!$F:$F=1)),1))"),"Sardi")</f>
        <v>Sardi</v>
      </c>
      <c r="AD44" s="5" t="str">
        <f>IFERROR(__xludf.DUMMYFUNCTION("IF(A44="""","""",INDEX(FILTER(Roster!$A:$A,(Roster!$C:$C=A44)*(Roster!$F:$F=2)),1))"),"JC Casas")</f>
        <v>JC Casas</v>
      </c>
      <c r="AE44" s="5">
        <v>1.0</v>
      </c>
      <c r="AF44" s="5">
        <v>2.0</v>
      </c>
      <c r="AG44" s="5" t="s">
        <v>354</v>
      </c>
      <c r="AH44" s="5">
        <v>0.0</v>
      </c>
      <c r="AI44" s="5">
        <v>0.0</v>
      </c>
      <c r="AJ44" s="5">
        <v>0.0</v>
      </c>
      <c r="AK44" s="5" t="s">
        <v>350</v>
      </c>
      <c r="AL44" s="5" t="s">
        <v>351</v>
      </c>
      <c r="AM44" s="5">
        <v>0.0</v>
      </c>
      <c r="AN44" s="5" t="s">
        <v>350</v>
      </c>
      <c r="AO44" s="5">
        <f t="shared" si="1"/>
        <v>1</v>
      </c>
      <c r="AP44" s="5">
        <f t="shared" si="2"/>
        <v>2</v>
      </c>
    </row>
    <row r="45">
      <c r="A45" s="5" t="s">
        <v>31</v>
      </c>
      <c r="B45" s="5">
        <v>8.0</v>
      </c>
      <c r="C45" s="5">
        <v>5.0</v>
      </c>
      <c r="F45" s="5">
        <v>0.0</v>
      </c>
      <c r="G45" s="5">
        <v>5.0</v>
      </c>
      <c r="H45" s="5">
        <v>6.0</v>
      </c>
      <c r="K45" s="5">
        <v>1.0</v>
      </c>
      <c r="L45" s="5">
        <v>5.0</v>
      </c>
      <c r="M45" s="5">
        <v>5.0</v>
      </c>
      <c r="P45" s="5">
        <v>1.0</v>
      </c>
      <c r="Q45" s="5">
        <v>4.0</v>
      </c>
      <c r="R45" s="5">
        <v>5.0</v>
      </c>
      <c r="U45" s="5">
        <v>1.0</v>
      </c>
      <c r="V45" s="5">
        <v>4.0</v>
      </c>
      <c r="W45" s="5" t="s">
        <v>7</v>
      </c>
      <c r="X45" s="1"/>
      <c r="Y45" s="1"/>
      <c r="Z45" s="1" t="s">
        <v>362</v>
      </c>
      <c r="AA45" s="5" t="str">
        <f>IFERROR(__xludf.DUMMYFUNCTION("IF(A45="""","""",INDEX(FILTER(Roster!$A:$A,(Roster!$C:$C=A45)*(Roster!$F:$F=3)),1))"),"Pulido")</f>
        <v>Pulido</v>
      </c>
      <c r="AB45" s="5" t="str">
        <f>IFERROR(__xludf.DUMMYFUNCTION("IF(A45="""","""",INDEX(FILTER(Roster!$A:$A,(Roster!$C:$C=A45)*(Roster!$F:$F=4)),1))"),"Otoya")</f>
        <v>Otoya</v>
      </c>
      <c r="AC45" s="5" t="str">
        <f>IFERROR(__xludf.DUMMYFUNCTION("IF(A45="""","""",INDEX(FILTER(Roster!$A:$A,(Roster!$C:$C=A45)*(Roster!$F:$F=1)),1))"),"Sardi")</f>
        <v>Sardi</v>
      </c>
      <c r="AD45" s="5" t="str">
        <f>IFERROR(__xludf.DUMMYFUNCTION("IF(A45="""","""",INDEX(FILTER(Roster!$A:$A,(Roster!$C:$C=A45)*(Roster!$F:$F=2)),1))"),"JC Casas")</f>
        <v>JC Casas</v>
      </c>
      <c r="AE45" s="5">
        <v>-1.0</v>
      </c>
      <c r="AF45" s="5">
        <v>1.0</v>
      </c>
      <c r="AG45" s="5" t="s">
        <v>352</v>
      </c>
      <c r="AH45" s="5">
        <v>0.0</v>
      </c>
      <c r="AI45" s="5">
        <v>0.0</v>
      </c>
      <c r="AJ45" s="5">
        <v>0.0</v>
      </c>
      <c r="AK45" s="5" t="s">
        <v>350</v>
      </c>
      <c r="AL45" s="5" t="s">
        <v>351</v>
      </c>
      <c r="AM45" s="5">
        <v>0.0</v>
      </c>
      <c r="AN45" s="5" t="s">
        <v>350</v>
      </c>
      <c r="AO45" s="5">
        <f t="shared" si="1"/>
        <v>5</v>
      </c>
      <c r="AP45" s="5">
        <f t="shared" si="2"/>
        <v>4</v>
      </c>
    </row>
    <row r="46">
      <c r="A46" s="5" t="s">
        <v>31</v>
      </c>
      <c r="B46" s="5">
        <v>9.0</v>
      </c>
      <c r="C46" s="5">
        <v>5.0</v>
      </c>
      <c r="F46" s="5">
        <v>1.0</v>
      </c>
      <c r="G46" s="5">
        <v>4.0</v>
      </c>
      <c r="H46" s="5">
        <v>5.0</v>
      </c>
      <c r="K46" s="5">
        <v>1.0</v>
      </c>
      <c r="L46" s="5">
        <v>4.0</v>
      </c>
      <c r="M46" s="5">
        <v>4.0</v>
      </c>
      <c r="P46" s="5">
        <v>1.0</v>
      </c>
      <c r="Q46" s="5">
        <v>3.0</v>
      </c>
      <c r="R46" s="5">
        <v>5.0</v>
      </c>
      <c r="U46" s="5">
        <v>2.0</v>
      </c>
      <c r="V46" s="5">
        <v>3.0</v>
      </c>
      <c r="W46" s="5" t="s">
        <v>7</v>
      </c>
      <c r="X46" s="1"/>
      <c r="Y46" s="1"/>
      <c r="Z46" s="1" t="s">
        <v>362</v>
      </c>
      <c r="AA46" s="5" t="str">
        <f>IFERROR(__xludf.DUMMYFUNCTION("IF(A46="""","""",INDEX(FILTER(Roster!$A:$A,(Roster!$C:$C=A46)*(Roster!$F:$F=3)),1))"),"Pulido")</f>
        <v>Pulido</v>
      </c>
      <c r="AB46" s="5" t="str">
        <f>IFERROR(__xludf.DUMMYFUNCTION("IF(A46="""","""",INDEX(FILTER(Roster!$A:$A,(Roster!$C:$C=A46)*(Roster!$F:$F=4)),1))"),"Otoya")</f>
        <v>Otoya</v>
      </c>
      <c r="AC46" s="5" t="str">
        <f>IFERROR(__xludf.DUMMYFUNCTION("IF(A46="""","""",INDEX(FILTER(Roster!$A:$A,(Roster!$C:$C=A46)*(Roster!$F:$F=1)),1))"),"Sardi")</f>
        <v>Sardi</v>
      </c>
      <c r="AD46" s="5" t="str">
        <f>IFERROR(__xludf.DUMMYFUNCTION("IF(A46="""","""",INDEX(FILTER(Roster!$A:$A,(Roster!$C:$C=A46)*(Roster!$F:$F=2)),1))"),"JC Casas")</f>
        <v>JC Casas</v>
      </c>
      <c r="AE46" s="5">
        <v>-1.0</v>
      </c>
      <c r="AF46" s="5">
        <v>0.0</v>
      </c>
      <c r="AG46" s="5" t="s">
        <v>350</v>
      </c>
      <c r="AH46" s="5">
        <v>0.0</v>
      </c>
      <c r="AI46" s="5">
        <v>0.0</v>
      </c>
      <c r="AJ46" s="5">
        <v>0.0</v>
      </c>
      <c r="AK46" s="5" t="s">
        <v>350</v>
      </c>
      <c r="AL46" s="5" t="s">
        <v>351</v>
      </c>
      <c r="AM46" s="5">
        <v>0.0</v>
      </c>
      <c r="AN46" s="5" t="s">
        <v>350</v>
      </c>
      <c r="AO46" s="5">
        <f t="shared" si="1"/>
        <v>4</v>
      </c>
      <c r="AP46" s="5">
        <f t="shared" si="2"/>
        <v>3</v>
      </c>
    </row>
    <row r="47">
      <c r="A47" s="5" t="str">
        <f t="array" ref="A47:A55">Calc_Engine!A91:A99</f>
        <v>Flight_6</v>
      </c>
      <c r="B47" s="5">
        <f t="array" ref="B47:B55">Calc_Engine!B91:B99</f>
        <v>1</v>
      </c>
      <c r="C47" s="5">
        <f t="array" ref="C47:C55">Calc_Engine!C91:C99</f>
        <v>5</v>
      </c>
      <c r="F47" s="5">
        <f t="array" ref="F47:F55">Calc_Engine!F91:F99</f>
        <v>1</v>
      </c>
      <c r="G47" s="5">
        <f t="array" ref="G47:G55">Calc_Engine!G91:G99</f>
        <v>4</v>
      </c>
      <c r="H47" s="5">
        <f t="array" ref="H47:H55">Calc_Engine!H91:H99</f>
        <v>4</v>
      </c>
      <c r="K47" s="5">
        <f t="array" ref="K47:K55">Calc_Engine!K91:K99</f>
        <v>0</v>
      </c>
      <c r="L47" s="5">
        <f t="array" ref="L47:L55">Calc_Engine!L91:L99</f>
        <v>4</v>
      </c>
      <c r="M47" s="5">
        <f t="array" ref="M47:M55">Calc_Engine!M91:M99</f>
        <v>4</v>
      </c>
      <c r="P47" s="5">
        <f t="array" ref="P47:P55">Calc_Engine!P91:P99</f>
        <v>1</v>
      </c>
      <c r="Q47" s="5">
        <f t="array" ref="Q47:Q55">Calc_Engine!Q91:Q99</f>
        <v>3</v>
      </c>
      <c r="R47" s="5">
        <f t="array" ref="R47:R55">Calc_Engine!R91:R99</f>
        <v>5</v>
      </c>
      <c r="U47" s="5">
        <f t="array" ref="U47:U55">Calc_Engine!U91:U99</f>
        <v>1</v>
      </c>
      <c r="V47" s="5">
        <f t="array" ref="V47:V55">Calc_Engine!V91:V99</f>
        <v>4</v>
      </c>
      <c r="W47" s="5" t="str">
        <f t="array" ref="W47:W55">Calc_Engine!W91:W99</f>
        <v>Blue</v>
      </c>
      <c r="X47" s="1"/>
      <c r="Y47" s="1"/>
      <c r="Z47" s="1" t="s">
        <v>363</v>
      </c>
      <c r="AA47" s="5" t="str">
        <f>IFERROR(__xludf.DUMMYFUNCTION("IF(A47="""","""",INDEX(FILTER(Roster!$A:$A,(Roster!$C:$C=A47)*(Roster!$F:$F=3)),1))"),"Pablo Acosta")</f>
        <v>Pablo Acosta</v>
      </c>
      <c r="AB47" s="5" t="str">
        <f>IFERROR(__xludf.DUMMYFUNCTION("IF(A47="""","""",INDEX(FILTER(Roster!$A:$A,(Roster!$C:$C=A47)*(Roster!$F:$F=4)),1))"),"Garcia")</f>
        <v>Garcia</v>
      </c>
      <c r="AC47" s="5" t="str">
        <f>IFERROR(__xludf.DUMMYFUNCTION("IF(A47="""","""",INDEX(FILTER(Roster!$A:$A,(Roster!$C:$C=A47)*(Roster!$F:$F=1)),1))"),"Ana Maria")</f>
        <v>Ana Maria</v>
      </c>
      <c r="AD47" s="5" t="str">
        <f>IFERROR(__xludf.DUMMYFUNCTION("IF(A47="""","""",INDEX(FILTER(Roster!$A:$A,(Roster!$C:$C=A47)*(Roster!$F:$F=2)),1))"),"Schneider")</f>
        <v>Schneider</v>
      </c>
      <c r="AE47" s="5">
        <v>-1.0</v>
      </c>
      <c r="AF47" s="5">
        <v>-1.0</v>
      </c>
      <c r="AG47" s="5" t="s">
        <v>352</v>
      </c>
      <c r="AH47" s="5">
        <v>0.0</v>
      </c>
      <c r="AI47" s="5">
        <v>0.0</v>
      </c>
      <c r="AJ47" s="5">
        <v>0.0</v>
      </c>
      <c r="AK47" s="5" t="s">
        <v>350</v>
      </c>
      <c r="AL47" s="5" t="s">
        <v>351</v>
      </c>
      <c r="AM47" s="5">
        <v>0.0</v>
      </c>
      <c r="AN47" s="5" t="s">
        <v>350</v>
      </c>
      <c r="AO47" s="5">
        <f t="shared" si="1"/>
        <v>4</v>
      </c>
      <c r="AP47" s="5">
        <f t="shared" si="2"/>
        <v>3</v>
      </c>
    </row>
    <row r="48">
      <c r="A48" s="5" t="s">
        <v>36</v>
      </c>
      <c r="B48" s="5">
        <v>2.0</v>
      </c>
      <c r="C48" s="5">
        <v>7.0</v>
      </c>
      <c r="F48" s="5">
        <v>1.0</v>
      </c>
      <c r="G48" s="5">
        <v>6.0</v>
      </c>
      <c r="H48" s="5">
        <v>7.0</v>
      </c>
      <c r="K48" s="5">
        <v>0.0</v>
      </c>
      <c r="L48" s="5">
        <v>7.0</v>
      </c>
      <c r="M48" s="5">
        <v>6.0</v>
      </c>
      <c r="P48" s="5">
        <v>1.0</v>
      </c>
      <c r="Q48" s="5">
        <v>5.0</v>
      </c>
      <c r="R48" s="5">
        <v>5.0</v>
      </c>
      <c r="U48" s="5">
        <v>0.0</v>
      </c>
      <c r="V48" s="5">
        <v>5.0</v>
      </c>
      <c r="W48" s="5" t="s">
        <v>7</v>
      </c>
      <c r="X48" s="1"/>
      <c r="Y48" s="1"/>
      <c r="Z48" s="1" t="s">
        <v>363</v>
      </c>
      <c r="AA48" s="5" t="str">
        <f>IFERROR(__xludf.DUMMYFUNCTION("IF(A48="""","""",INDEX(FILTER(Roster!$A:$A,(Roster!$C:$C=A48)*(Roster!$F:$F=3)),1))"),"Pablo Acosta")</f>
        <v>Pablo Acosta</v>
      </c>
      <c r="AB48" s="5" t="str">
        <f>IFERROR(__xludf.DUMMYFUNCTION("IF(A48="""","""",INDEX(FILTER(Roster!$A:$A,(Roster!$C:$C=A48)*(Roster!$F:$F=4)),1))"),"Garcia")</f>
        <v>Garcia</v>
      </c>
      <c r="AC48" s="5" t="str">
        <f>IFERROR(__xludf.DUMMYFUNCTION("IF(A48="""","""",INDEX(FILTER(Roster!$A:$A,(Roster!$C:$C=A48)*(Roster!$F:$F=1)),1))"),"Ana Maria")</f>
        <v>Ana Maria</v>
      </c>
      <c r="AD48" s="5" t="str">
        <f>IFERROR(__xludf.DUMMYFUNCTION("IF(A48="""","""",INDEX(FILTER(Roster!$A:$A,(Roster!$C:$C=A48)*(Roster!$F:$F=2)),1))"),"Schneider")</f>
        <v>Schneider</v>
      </c>
      <c r="AE48" s="5">
        <v>-1.0</v>
      </c>
      <c r="AF48" s="5">
        <v>-2.0</v>
      </c>
      <c r="AG48" s="5" t="s">
        <v>354</v>
      </c>
      <c r="AH48" s="5">
        <v>0.0</v>
      </c>
      <c r="AI48" s="5">
        <v>0.0</v>
      </c>
      <c r="AJ48" s="5">
        <v>0.0</v>
      </c>
      <c r="AK48" s="5" t="s">
        <v>350</v>
      </c>
      <c r="AL48" s="5" t="s">
        <v>351</v>
      </c>
      <c r="AM48" s="5">
        <v>0.0</v>
      </c>
      <c r="AN48" s="5" t="s">
        <v>350</v>
      </c>
      <c r="AO48" s="5">
        <f t="shared" si="1"/>
        <v>6</v>
      </c>
      <c r="AP48" s="5">
        <f t="shared" si="2"/>
        <v>5</v>
      </c>
    </row>
    <row r="49">
      <c r="A49" s="5" t="s">
        <v>36</v>
      </c>
      <c r="B49" s="5">
        <v>3.0</v>
      </c>
      <c r="C49" s="5">
        <v>5.0</v>
      </c>
      <c r="F49" s="5">
        <v>0.0</v>
      </c>
      <c r="G49" s="5">
        <v>5.0</v>
      </c>
      <c r="H49" s="5">
        <v>5.0</v>
      </c>
      <c r="K49" s="5">
        <v>0.0</v>
      </c>
      <c r="L49" s="5">
        <v>5.0</v>
      </c>
      <c r="M49" s="5">
        <v>5.0</v>
      </c>
      <c r="P49" s="5">
        <v>0.0</v>
      </c>
      <c r="Q49" s="5">
        <v>5.0</v>
      </c>
      <c r="R49" s="5">
        <v>6.0</v>
      </c>
      <c r="U49" s="5">
        <v>0.0</v>
      </c>
      <c r="V49" s="5">
        <v>6.0</v>
      </c>
      <c r="W49" s="5" t="s">
        <v>353</v>
      </c>
      <c r="X49" s="1"/>
      <c r="Y49" s="1"/>
      <c r="Z49" s="1" t="s">
        <v>363</v>
      </c>
      <c r="AA49" s="5" t="str">
        <f>IFERROR(__xludf.DUMMYFUNCTION("IF(A49="""","""",INDEX(FILTER(Roster!$A:$A,(Roster!$C:$C=A49)*(Roster!$F:$F=3)),1))"),"Pablo Acosta")</f>
        <v>Pablo Acosta</v>
      </c>
      <c r="AB49" s="5" t="str">
        <f>IFERROR(__xludf.DUMMYFUNCTION("IF(A49="""","""",INDEX(FILTER(Roster!$A:$A,(Roster!$C:$C=A49)*(Roster!$F:$F=4)),1))"),"Garcia")</f>
        <v>Garcia</v>
      </c>
      <c r="AC49" s="5" t="str">
        <f>IFERROR(__xludf.DUMMYFUNCTION("IF(A49="""","""",INDEX(FILTER(Roster!$A:$A,(Roster!$C:$C=A49)*(Roster!$F:$F=1)),1))"),"Ana Maria")</f>
        <v>Ana Maria</v>
      </c>
      <c r="AD49" s="5" t="str">
        <f>IFERROR(__xludf.DUMMYFUNCTION("IF(A49="""","""",INDEX(FILTER(Roster!$A:$A,(Roster!$C:$C=A49)*(Roster!$F:$F=2)),1))"),"Schneider")</f>
        <v>Schneider</v>
      </c>
      <c r="AE49" s="5">
        <v>0.0</v>
      </c>
      <c r="AF49" s="5">
        <v>-2.0</v>
      </c>
      <c r="AG49" s="5" t="s">
        <v>354</v>
      </c>
      <c r="AH49" s="5">
        <v>0.0</v>
      </c>
      <c r="AI49" s="5">
        <v>0.0</v>
      </c>
      <c r="AJ49" s="5">
        <v>0.0</v>
      </c>
      <c r="AK49" s="5" t="s">
        <v>350</v>
      </c>
      <c r="AL49" s="5" t="s">
        <v>351</v>
      </c>
      <c r="AM49" s="5">
        <v>0.0</v>
      </c>
      <c r="AN49" s="5" t="s">
        <v>350</v>
      </c>
      <c r="AO49" s="5">
        <f t="shared" si="1"/>
        <v>5</v>
      </c>
      <c r="AP49" s="5">
        <f t="shared" si="2"/>
        <v>5</v>
      </c>
    </row>
    <row r="50">
      <c r="A50" s="5" t="s">
        <v>36</v>
      </c>
      <c r="B50" s="5">
        <v>4.0</v>
      </c>
      <c r="C50" s="5">
        <v>5.0</v>
      </c>
      <c r="F50" s="5">
        <v>1.0</v>
      </c>
      <c r="G50" s="5">
        <v>4.0</v>
      </c>
      <c r="H50" s="5">
        <v>5.0</v>
      </c>
      <c r="K50" s="5">
        <v>0.0</v>
      </c>
      <c r="L50" s="5">
        <v>5.0</v>
      </c>
      <c r="M50" s="5">
        <v>4.0</v>
      </c>
      <c r="P50" s="5">
        <v>0.0</v>
      </c>
      <c r="Q50" s="5">
        <v>4.0</v>
      </c>
      <c r="R50" s="5">
        <v>4.0</v>
      </c>
      <c r="U50" s="5">
        <v>0.0</v>
      </c>
      <c r="V50" s="5">
        <v>4.0</v>
      </c>
      <c r="W50" s="5" t="s">
        <v>353</v>
      </c>
      <c r="X50" s="1"/>
      <c r="Y50" s="1"/>
      <c r="Z50" s="1" t="s">
        <v>363</v>
      </c>
      <c r="AA50" s="5" t="str">
        <f>IFERROR(__xludf.DUMMYFUNCTION("IF(A50="""","""",INDEX(FILTER(Roster!$A:$A,(Roster!$C:$C=A50)*(Roster!$F:$F=3)),1))"),"Pablo Acosta")</f>
        <v>Pablo Acosta</v>
      </c>
      <c r="AB50" s="5" t="str">
        <f>IFERROR(__xludf.DUMMYFUNCTION("IF(A50="""","""",INDEX(FILTER(Roster!$A:$A,(Roster!$C:$C=A50)*(Roster!$F:$F=4)),1))"),"Garcia")</f>
        <v>Garcia</v>
      </c>
      <c r="AC50" s="5" t="str">
        <f>IFERROR(__xludf.DUMMYFUNCTION("IF(A50="""","""",INDEX(FILTER(Roster!$A:$A,(Roster!$C:$C=A50)*(Roster!$F:$F=1)),1))"),"Ana Maria")</f>
        <v>Ana Maria</v>
      </c>
      <c r="AD50" s="5" t="str">
        <f>IFERROR(__xludf.DUMMYFUNCTION("IF(A50="""","""",INDEX(FILTER(Roster!$A:$A,(Roster!$C:$C=A50)*(Roster!$F:$F=2)),1))"),"Schneider")</f>
        <v>Schneider</v>
      </c>
      <c r="AE50" s="5">
        <v>0.0</v>
      </c>
      <c r="AF50" s="5">
        <v>-2.0</v>
      </c>
      <c r="AG50" s="5" t="s">
        <v>354</v>
      </c>
      <c r="AH50" s="5">
        <v>0.0</v>
      </c>
      <c r="AI50" s="5">
        <v>0.0</v>
      </c>
      <c r="AJ50" s="5">
        <v>0.0</v>
      </c>
      <c r="AK50" s="5" t="s">
        <v>350</v>
      </c>
      <c r="AL50" s="5" t="s">
        <v>351</v>
      </c>
      <c r="AM50" s="5">
        <v>0.0</v>
      </c>
      <c r="AN50" s="5" t="s">
        <v>350</v>
      </c>
      <c r="AO50" s="5">
        <f t="shared" si="1"/>
        <v>4</v>
      </c>
      <c r="AP50" s="5">
        <f t="shared" si="2"/>
        <v>4</v>
      </c>
    </row>
    <row r="51">
      <c r="A51" s="5" t="s">
        <v>36</v>
      </c>
      <c r="B51" s="5">
        <v>5.0</v>
      </c>
      <c r="C51" s="5">
        <v>4.0</v>
      </c>
      <c r="F51" s="5">
        <v>1.0</v>
      </c>
      <c r="G51" s="5">
        <v>3.0</v>
      </c>
      <c r="H51" s="5">
        <v>3.0</v>
      </c>
      <c r="K51" s="5">
        <v>0.0</v>
      </c>
      <c r="L51" s="5">
        <v>3.0</v>
      </c>
      <c r="M51" s="5">
        <v>4.0</v>
      </c>
      <c r="P51" s="5">
        <v>1.0</v>
      </c>
      <c r="Q51" s="5">
        <v>3.0</v>
      </c>
      <c r="R51" s="5">
        <v>3.0</v>
      </c>
      <c r="U51" s="5">
        <v>0.0</v>
      </c>
      <c r="V51" s="5">
        <v>3.0</v>
      </c>
      <c r="W51" s="5" t="s">
        <v>353</v>
      </c>
      <c r="X51" s="1"/>
      <c r="Y51" s="1"/>
      <c r="Z51" s="1" t="s">
        <v>363</v>
      </c>
      <c r="AA51" s="5" t="str">
        <f>IFERROR(__xludf.DUMMYFUNCTION("IF(A51="""","""",INDEX(FILTER(Roster!$A:$A,(Roster!$C:$C=A51)*(Roster!$F:$F=3)),1))"),"Pablo Acosta")</f>
        <v>Pablo Acosta</v>
      </c>
      <c r="AB51" s="5" t="str">
        <f>IFERROR(__xludf.DUMMYFUNCTION("IF(A51="""","""",INDEX(FILTER(Roster!$A:$A,(Roster!$C:$C=A51)*(Roster!$F:$F=4)),1))"),"Garcia")</f>
        <v>Garcia</v>
      </c>
      <c r="AC51" s="5" t="str">
        <f>IFERROR(__xludf.DUMMYFUNCTION("IF(A51="""","""",INDEX(FILTER(Roster!$A:$A,(Roster!$C:$C=A51)*(Roster!$F:$F=1)),1))"),"Ana Maria")</f>
        <v>Ana Maria</v>
      </c>
      <c r="AD51" s="5" t="str">
        <f>IFERROR(__xludf.DUMMYFUNCTION("IF(A51="""","""",INDEX(FILTER(Roster!$A:$A,(Roster!$C:$C=A51)*(Roster!$F:$F=2)),1))"),"Schneider")</f>
        <v>Schneider</v>
      </c>
      <c r="AE51" s="5">
        <v>0.0</v>
      </c>
      <c r="AF51" s="5">
        <v>-2.0</v>
      </c>
      <c r="AG51" s="5" t="s">
        <v>354</v>
      </c>
      <c r="AH51" s="5">
        <v>0.0</v>
      </c>
      <c r="AI51" s="5">
        <v>0.0</v>
      </c>
      <c r="AJ51" s="5">
        <v>0.0</v>
      </c>
      <c r="AK51" s="5" t="s">
        <v>350</v>
      </c>
      <c r="AL51" s="5" t="s">
        <v>351</v>
      </c>
      <c r="AM51" s="5">
        <v>0.0</v>
      </c>
      <c r="AN51" s="5" t="s">
        <v>350</v>
      </c>
      <c r="AO51" s="5">
        <f t="shared" si="1"/>
        <v>3</v>
      </c>
      <c r="AP51" s="5">
        <f t="shared" si="2"/>
        <v>3</v>
      </c>
    </row>
    <row r="52">
      <c r="A52" s="5" t="s">
        <v>36</v>
      </c>
      <c r="B52" s="5">
        <v>6.0</v>
      </c>
      <c r="C52" s="5">
        <v>5.0</v>
      </c>
      <c r="F52" s="5">
        <v>1.0</v>
      </c>
      <c r="G52" s="5">
        <v>4.0</v>
      </c>
      <c r="H52" s="5">
        <v>3.0</v>
      </c>
      <c r="K52" s="5">
        <v>0.0</v>
      </c>
      <c r="L52" s="5">
        <v>3.0</v>
      </c>
      <c r="M52" s="5">
        <v>4.0</v>
      </c>
      <c r="P52" s="5">
        <v>0.0</v>
      </c>
      <c r="Q52" s="5">
        <v>4.0</v>
      </c>
      <c r="R52" s="5">
        <v>5.0</v>
      </c>
      <c r="U52" s="5">
        <v>0.0</v>
      </c>
      <c r="V52" s="5">
        <v>5.0</v>
      </c>
      <c r="W52" s="5" t="s">
        <v>12</v>
      </c>
      <c r="X52" s="1"/>
      <c r="Y52" s="1"/>
      <c r="Z52" s="1" t="s">
        <v>363</v>
      </c>
      <c r="AA52" s="5" t="str">
        <f>IFERROR(__xludf.DUMMYFUNCTION("IF(A52="""","""",INDEX(FILTER(Roster!$A:$A,(Roster!$C:$C=A52)*(Roster!$F:$F=3)),1))"),"Pablo Acosta")</f>
        <v>Pablo Acosta</v>
      </c>
      <c r="AB52" s="5" t="str">
        <f>IFERROR(__xludf.DUMMYFUNCTION("IF(A52="""","""",INDEX(FILTER(Roster!$A:$A,(Roster!$C:$C=A52)*(Roster!$F:$F=4)),1))"),"Garcia")</f>
        <v>Garcia</v>
      </c>
      <c r="AC52" s="5" t="str">
        <f>IFERROR(__xludf.DUMMYFUNCTION("IF(A52="""","""",INDEX(FILTER(Roster!$A:$A,(Roster!$C:$C=A52)*(Roster!$F:$F=1)),1))"),"Ana Maria")</f>
        <v>Ana Maria</v>
      </c>
      <c r="AD52" s="5" t="str">
        <f>IFERROR(__xludf.DUMMYFUNCTION("IF(A52="""","""",INDEX(FILTER(Roster!$A:$A,(Roster!$C:$C=A52)*(Roster!$F:$F=2)),1))"),"Schneider")</f>
        <v>Schneider</v>
      </c>
      <c r="AE52" s="5">
        <v>1.0</v>
      </c>
      <c r="AF52" s="5">
        <v>-1.0</v>
      </c>
      <c r="AG52" s="5" t="s">
        <v>352</v>
      </c>
      <c r="AH52" s="5">
        <v>0.0</v>
      </c>
      <c r="AI52" s="5">
        <v>0.0</v>
      </c>
      <c r="AJ52" s="5">
        <v>0.0</v>
      </c>
      <c r="AK52" s="5" t="s">
        <v>350</v>
      </c>
      <c r="AL52" s="5" t="s">
        <v>351</v>
      </c>
      <c r="AM52" s="5">
        <v>0.0</v>
      </c>
      <c r="AN52" s="5" t="s">
        <v>350</v>
      </c>
      <c r="AO52" s="5">
        <f t="shared" si="1"/>
        <v>3</v>
      </c>
      <c r="AP52" s="5">
        <f t="shared" si="2"/>
        <v>4</v>
      </c>
    </row>
    <row r="53">
      <c r="A53" s="5" t="s">
        <v>36</v>
      </c>
      <c r="B53" s="5">
        <v>7.0</v>
      </c>
      <c r="C53" s="5">
        <v>3.0</v>
      </c>
      <c r="F53" s="5">
        <v>1.0</v>
      </c>
      <c r="G53" s="5">
        <v>2.0</v>
      </c>
      <c r="H53" s="5">
        <v>4.0</v>
      </c>
      <c r="K53" s="5">
        <v>0.0</v>
      </c>
      <c r="L53" s="5">
        <v>4.0</v>
      </c>
      <c r="M53" s="5">
        <v>3.0</v>
      </c>
      <c r="P53" s="5">
        <v>0.0</v>
      </c>
      <c r="Q53" s="5">
        <v>3.0</v>
      </c>
      <c r="R53" s="5">
        <v>3.0</v>
      </c>
      <c r="U53" s="5">
        <v>0.0</v>
      </c>
      <c r="V53" s="5">
        <v>3.0</v>
      </c>
      <c r="W53" s="5" t="s">
        <v>12</v>
      </c>
      <c r="X53" s="1"/>
      <c r="Y53" s="1"/>
      <c r="Z53" s="1" t="s">
        <v>363</v>
      </c>
      <c r="AA53" s="5" t="str">
        <f>IFERROR(__xludf.DUMMYFUNCTION("IF(A53="""","""",INDEX(FILTER(Roster!$A:$A,(Roster!$C:$C=A53)*(Roster!$F:$F=3)),1))"),"Pablo Acosta")</f>
        <v>Pablo Acosta</v>
      </c>
      <c r="AB53" s="5" t="str">
        <f>IFERROR(__xludf.DUMMYFUNCTION("IF(A53="""","""",INDEX(FILTER(Roster!$A:$A,(Roster!$C:$C=A53)*(Roster!$F:$F=4)),1))"),"Garcia")</f>
        <v>Garcia</v>
      </c>
      <c r="AC53" s="5" t="str">
        <f>IFERROR(__xludf.DUMMYFUNCTION("IF(A53="""","""",INDEX(FILTER(Roster!$A:$A,(Roster!$C:$C=A53)*(Roster!$F:$F=1)),1))"),"Ana Maria")</f>
        <v>Ana Maria</v>
      </c>
      <c r="AD53" s="5" t="str">
        <f>IFERROR(__xludf.DUMMYFUNCTION("IF(A53="""","""",INDEX(FILTER(Roster!$A:$A,(Roster!$C:$C=A53)*(Roster!$F:$F=2)),1))"),"Schneider")</f>
        <v>Schneider</v>
      </c>
      <c r="AE53" s="5">
        <v>1.0</v>
      </c>
      <c r="AF53" s="5">
        <v>0.0</v>
      </c>
      <c r="AG53" s="5" t="s">
        <v>350</v>
      </c>
      <c r="AH53" s="5">
        <v>0.0</v>
      </c>
      <c r="AI53" s="5">
        <v>0.0</v>
      </c>
      <c r="AJ53" s="5">
        <v>0.0</v>
      </c>
      <c r="AK53" s="5" t="s">
        <v>350</v>
      </c>
      <c r="AL53" s="5" t="s">
        <v>351</v>
      </c>
      <c r="AM53" s="5">
        <v>0.0</v>
      </c>
      <c r="AN53" s="5" t="s">
        <v>350</v>
      </c>
      <c r="AO53" s="5">
        <f t="shared" si="1"/>
        <v>2</v>
      </c>
      <c r="AP53" s="5">
        <f t="shared" si="2"/>
        <v>3</v>
      </c>
    </row>
    <row r="54">
      <c r="A54" s="5" t="s">
        <v>36</v>
      </c>
      <c r="B54" s="5">
        <v>8.0</v>
      </c>
      <c r="C54" s="5">
        <v>6.0</v>
      </c>
      <c r="F54" s="5">
        <v>1.0</v>
      </c>
      <c r="G54" s="5">
        <v>5.0</v>
      </c>
      <c r="H54" s="5">
        <v>5.0</v>
      </c>
      <c r="K54" s="5">
        <v>0.0</v>
      </c>
      <c r="L54" s="5">
        <v>5.0</v>
      </c>
      <c r="M54" s="5">
        <v>5.0</v>
      </c>
      <c r="P54" s="5">
        <v>1.0</v>
      </c>
      <c r="Q54" s="5">
        <v>4.0</v>
      </c>
      <c r="R54" s="5">
        <v>5.0</v>
      </c>
      <c r="U54" s="5">
        <v>0.0</v>
      </c>
      <c r="V54" s="5">
        <v>5.0</v>
      </c>
      <c r="W54" s="5" t="s">
        <v>7</v>
      </c>
      <c r="X54" s="1"/>
      <c r="Y54" s="1"/>
      <c r="Z54" s="1" t="s">
        <v>363</v>
      </c>
      <c r="AA54" s="5" t="str">
        <f>IFERROR(__xludf.DUMMYFUNCTION("IF(A54="""","""",INDEX(FILTER(Roster!$A:$A,(Roster!$C:$C=A54)*(Roster!$F:$F=3)),1))"),"Pablo Acosta")</f>
        <v>Pablo Acosta</v>
      </c>
      <c r="AB54" s="5" t="str">
        <f>IFERROR(__xludf.DUMMYFUNCTION("IF(A54="""","""",INDEX(FILTER(Roster!$A:$A,(Roster!$C:$C=A54)*(Roster!$F:$F=4)),1))"),"Garcia")</f>
        <v>Garcia</v>
      </c>
      <c r="AC54" s="5" t="str">
        <f>IFERROR(__xludf.DUMMYFUNCTION("IF(A54="""","""",INDEX(FILTER(Roster!$A:$A,(Roster!$C:$C=A54)*(Roster!$F:$F=1)),1))"),"Ana Maria")</f>
        <v>Ana Maria</v>
      </c>
      <c r="AD54" s="5" t="str">
        <f>IFERROR(__xludf.DUMMYFUNCTION("IF(A54="""","""",INDEX(FILTER(Roster!$A:$A,(Roster!$C:$C=A54)*(Roster!$F:$F=2)),1))"),"Schneider")</f>
        <v>Schneider</v>
      </c>
      <c r="AE54" s="5">
        <v>-1.0</v>
      </c>
      <c r="AF54" s="5">
        <v>-1.0</v>
      </c>
      <c r="AG54" s="5" t="s">
        <v>352</v>
      </c>
      <c r="AH54" s="5">
        <v>0.0</v>
      </c>
      <c r="AI54" s="5">
        <v>0.0</v>
      </c>
      <c r="AJ54" s="5">
        <v>0.0</v>
      </c>
      <c r="AK54" s="5" t="s">
        <v>350</v>
      </c>
      <c r="AL54" s="5" t="s">
        <v>351</v>
      </c>
      <c r="AM54" s="5">
        <v>0.0</v>
      </c>
      <c r="AN54" s="5" t="s">
        <v>350</v>
      </c>
      <c r="AO54" s="5">
        <f t="shared" si="1"/>
        <v>5</v>
      </c>
      <c r="AP54" s="5">
        <f t="shared" si="2"/>
        <v>4</v>
      </c>
    </row>
    <row r="55">
      <c r="A55" s="5" t="s">
        <v>36</v>
      </c>
      <c r="B55" s="5">
        <v>9.0</v>
      </c>
      <c r="C55" s="5">
        <v>5.0</v>
      </c>
      <c r="F55" s="5">
        <v>1.0</v>
      </c>
      <c r="G55" s="5">
        <v>4.0</v>
      </c>
      <c r="H55" s="5">
        <v>4.0</v>
      </c>
      <c r="K55" s="5">
        <v>1.0</v>
      </c>
      <c r="L55" s="5">
        <v>3.0</v>
      </c>
      <c r="M55" s="5">
        <v>4.0</v>
      </c>
      <c r="P55" s="5">
        <v>1.0</v>
      </c>
      <c r="Q55" s="5">
        <v>3.0</v>
      </c>
      <c r="R55" s="5">
        <v>4.0</v>
      </c>
      <c r="U55" s="5">
        <v>1.0</v>
      </c>
      <c r="V55" s="5">
        <v>3.0</v>
      </c>
      <c r="W55" s="5" t="s">
        <v>353</v>
      </c>
      <c r="X55" s="1"/>
      <c r="Y55" s="1"/>
      <c r="Z55" s="1" t="s">
        <v>363</v>
      </c>
      <c r="AA55" s="5" t="str">
        <f>IFERROR(__xludf.DUMMYFUNCTION("IF(A55="""","""",INDEX(FILTER(Roster!$A:$A,(Roster!$C:$C=A55)*(Roster!$F:$F=3)),1))"),"Pablo Acosta")</f>
        <v>Pablo Acosta</v>
      </c>
      <c r="AB55" s="5" t="str">
        <f>IFERROR(__xludf.DUMMYFUNCTION("IF(A55="""","""",INDEX(FILTER(Roster!$A:$A,(Roster!$C:$C=A55)*(Roster!$F:$F=4)),1))"),"Garcia")</f>
        <v>Garcia</v>
      </c>
      <c r="AC55" s="5" t="str">
        <f>IFERROR(__xludf.DUMMYFUNCTION("IF(A55="""","""",INDEX(FILTER(Roster!$A:$A,(Roster!$C:$C=A55)*(Roster!$F:$F=1)),1))"),"Ana Maria")</f>
        <v>Ana Maria</v>
      </c>
      <c r="AD55" s="5" t="str">
        <f>IFERROR(__xludf.DUMMYFUNCTION("IF(A55="""","""",INDEX(FILTER(Roster!$A:$A,(Roster!$C:$C=A55)*(Roster!$F:$F=2)),1))"),"Schneider")</f>
        <v>Schneider</v>
      </c>
      <c r="AE55" s="5">
        <v>0.0</v>
      </c>
      <c r="AF55" s="5">
        <v>-1.0</v>
      </c>
      <c r="AG55" s="5" t="s">
        <v>352</v>
      </c>
      <c r="AH55" s="5">
        <v>0.0</v>
      </c>
      <c r="AI55" s="5">
        <v>0.0</v>
      </c>
      <c r="AJ55" s="5">
        <v>0.0</v>
      </c>
      <c r="AK55" s="5" t="s">
        <v>350</v>
      </c>
      <c r="AL55" s="5" t="s">
        <v>351</v>
      </c>
      <c r="AM55" s="5">
        <v>0.0</v>
      </c>
      <c r="AN55" s="5" t="s">
        <v>350</v>
      </c>
      <c r="AO55" s="5">
        <f t="shared" si="1"/>
        <v>3</v>
      </c>
      <c r="AP55" s="5">
        <f t="shared" si="2"/>
        <v>3</v>
      </c>
    </row>
    <row r="56">
      <c r="A56" s="5" t="str">
        <f t="array" ref="A56:A64">Calc_Engine!A102:A110</f>
        <v>Flight_7</v>
      </c>
      <c r="B56" s="5">
        <f t="array" ref="B56:B64">Calc_Engine!B102:B110</f>
        <v>1</v>
      </c>
      <c r="C56" s="5">
        <f t="array" ref="C56:C64">Calc_Engine!C102:C110</f>
        <v>5</v>
      </c>
      <c r="F56" s="5">
        <f t="array" ref="F56:F64">Calc_Engine!F102:F110</f>
        <v>1</v>
      </c>
      <c r="G56" s="5">
        <f t="array" ref="G56:G64">Calc_Engine!G102:G110</f>
        <v>4</v>
      </c>
      <c r="H56" s="5">
        <f t="array" ref="H56:H64">Calc_Engine!H102:H110</f>
        <v>5</v>
      </c>
      <c r="K56" s="5">
        <f t="array" ref="K56:K64">Calc_Engine!K102:K110</f>
        <v>1</v>
      </c>
      <c r="L56" s="5">
        <f t="array" ref="L56:L64">Calc_Engine!L102:L110</f>
        <v>4</v>
      </c>
      <c r="M56" s="5">
        <f t="array" ref="M56:M64">Calc_Engine!M102:M110</f>
        <v>4</v>
      </c>
      <c r="P56" s="5">
        <f t="array" ref="P56:P64">Calc_Engine!P102:P110</f>
        <v>1</v>
      </c>
      <c r="Q56" s="5">
        <f t="array" ref="Q56:Q64">Calc_Engine!Q102:Q110</f>
        <v>3</v>
      </c>
      <c r="R56" s="5">
        <f t="array" ref="R56:R64">Calc_Engine!R102:R110</f>
        <v>5</v>
      </c>
      <c r="U56" s="5">
        <f t="array" ref="U56:U64">Calc_Engine!U102:U110</f>
        <v>1</v>
      </c>
      <c r="V56" s="5">
        <f t="array" ref="V56:V64">Calc_Engine!V102:V110</f>
        <v>4</v>
      </c>
      <c r="W56" s="5" t="str">
        <f t="array" ref="W56:W64">Calc_Engine!W102:W110</f>
        <v>Blue</v>
      </c>
      <c r="X56" s="1"/>
      <c r="Y56" s="1"/>
      <c r="Z56" s="1" t="s">
        <v>364</v>
      </c>
      <c r="AA56" s="5" t="str">
        <f>IFERROR(__xludf.DUMMYFUNCTION("IF(A56="""","""",INDEX(FILTER(Roster!$A:$A,(Roster!$C:$C=A56)*(Roster!$F:$F=3)),1))"),"Velez")</f>
        <v>Velez</v>
      </c>
      <c r="AB56" s="5" t="str">
        <f>IFERROR(__xludf.DUMMYFUNCTION("IF(A56="""","""",INDEX(FILTER(Roster!$A:$A,(Roster!$C:$C=A56)*(Roster!$F:$F=4)),1))"),"JP Mosquera")</f>
        <v>JP Mosquera</v>
      </c>
      <c r="AC56" s="5" t="str">
        <f>IFERROR(__xludf.DUMMYFUNCTION("IF(A56="""","""",INDEX(FILTER(Roster!$A:$A,(Roster!$C:$C=A56)*(Roster!$F:$F=1)),1))"),"Pocho")</f>
        <v>Pocho</v>
      </c>
      <c r="AD56" s="5" t="str">
        <f>IFERROR(__xludf.DUMMYFUNCTION("IF(A56="""","""",INDEX(FILTER(Roster!$A:$A,(Roster!$C:$C=A56)*(Roster!$F:$F=2)),1))"),"Phil")</f>
        <v>Phil</v>
      </c>
      <c r="AE56" s="5">
        <v>-1.0</v>
      </c>
      <c r="AF56" s="5">
        <v>-1.0</v>
      </c>
      <c r="AG56" s="5" t="s">
        <v>352</v>
      </c>
      <c r="AH56" s="5">
        <v>0.0</v>
      </c>
      <c r="AI56" s="5">
        <v>0.0</v>
      </c>
      <c r="AJ56" s="5">
        <v>0.0</v>
      </c>
      <c r="AK56" s="5" t="s">
        <v>350</v>
      </c>
      <c r="AL56" s="5" t="s">
        <v>351</v>
      </c>
      <c r="AM56" s="5">
        <v>0.0</v>
      </c>
      <c r="AN56" s="5" t="s">
        <v>350</v>
      </c>
      <c r="AO56" s="5">
        <f t="shared" si="1"/>
        <v>4</v>
      </c>
      <c r="AP56" s="5">
        <f t="shared" si="2"/>
        <v>3</v>
      </c>
    </row>
    <row r="57">
      <c r="A57" s="5" t="s">
        <v>41</v>
      </c>
      <c r="B57" s="5">
        <v>2.0</v>
      </c>
      <c r="C57" s="5">
        <v>5.0</v>
      </c>
      <c r="F57" s="5">
        <v>1.0</v>
      </c>
      <c r="G57" s="5">
        <v>4.0</v>
      </c>
      <c r="H57" s="5">
        <v>5.0</v>
      </c>
      <c r="K57" s="5">
        <v>1.0</v>
      </c>
      <c r="L57" s="5">
        <v>4.0</v>
      </c>
      <c r="M57" s="5">
        <v>5.0</v>
      </c>
      <c r="P57" s="5">
        <v>0.0</v>
      </c>
      <c r="Q57" s="5">
        <v>5.0</v>
      </c>
      <c r="R57" s="5">
        <v>5.0</v>
      </c>
      <c r="U57" s="5">
        <v>0.0</v>
      </c>
      <c r="V57" s="5">
        <v>5.0</v>
      </c>
      <c r="W57" s="5" t="s">
        <v>12</v>
      </c>
      <c r="X57" s="1"/>
      <c r="Y57" s="1"/>
      <c r="Z57" s="1" t="s">
        <v>364</v>
      </c>
      <c r="AA57" s="5" t="str">
        <f>IFERROR(__xludf.DUMMYFUNCTION("IF(A57="""","""",INDEX(FILTER(Roster!$A:$A,(Roster!$C:$C=A57)*(Roster!$F:$F=3)),1))"),"Velez")</f>
        <v>Velez</v>
      </c>
      <c r="AB57" s="5" t="str">
        <f>IFERROR(__xludf.DUMMYFUNCTION("IF(A57="""","""",INDEX(FILTER(Roster!$A:$A,(Roster!$C:$C=A57)*(Roster!$F:$F=4)),1))"),"JP Mosquera")</f>
        <v>JP Mosquera</v>
      </c>
      <c r="AC57" s="5" t="str">
        <f>IFERROR(__xludf.DUMMYFUNCTION("IF(A57="""","""",INDEX(FILTER(Roster!$A:$A,(Roster!$C:$C=A57)*(Roster!$F:$F=1)),1))"),"Pocho")</f>
        <v>Pocho</v>
      </c>
      <c r="AD57" s="5" t="str">
        <f>IFERROR(__xludf.DUMMYFUNCTION("IF(A57="""","""",INDEX(FILTER(Roster!$A:$A,(Roster!$C:$C=A57)*(Roster!$F:$F=2)),1))"),"Phil")</f>
        <v>Phil</v>
      </c>
      <c r="AE57" s="5">
        <v>1.0</v>
      </c>
      <c r="AF57" s="5">
        <v>0.0</v>
      </c>
      <c r="AG57" s="5" t="s">
        <v>350</v>
      </c>
      <c r="AH57" s="5">
        <v>0.0</v>
      </c>
      <c r="AI57" s="5">
        <v>0.0</v>
      </c>
      <c r="AJ57" s="5">
        <v>0.0</v>
      </c>
      <c r="AK57" s="5" t="s">
        <v>350</v>
      </c>
      <c r="AL57" s="5" t="s">
        <v>351</v>
      </c>
      <c r="AM57" s="5">
        <v>0.0</v>
      </c>
      <c r="AN57" s="5" t="s">
        <v>350</v>
      </c>
      <c r="AO57" s="5">
        <f t="shared" si="1"/>
        <v>4</v>
      </c>
      <c r="AP57" s="5">
        <f t="shared" si="2"/>
        <v>5</v>
      </c>
    </row>
    <row r="58">
      <c r="A58" s="5" t="s">
        <v>41</v>
      </c>
      <c r="B58" s="5">
        <v>3.0</v>
      </c>
      <c r="C58" s="5">
        <v>6.0</v>
      </c>
      <c r="F58" s="5">
        <v>0.0</v>
      </c>
      <c r="G58" s="5">
        <v>6.0</v>
      </c>
      <c r="H58" s="5">
        <v>4.0</v>
      </c>
      <c r="K58" s="5">
        <v>0.0</v>
      </c>
      <c r="L58" s="5">
        <v>4.0</v>
      </c>
      <c r="M58" s="5">
        <v>3.0</v>
      </c>
      <c r="P58" s="5">
        <v>0.0</v>
      </c>
      <c r="Q58" s="5">
        <v>3.0</v>
      </c>
      <c r="R58" s="5">
        <v>5.0</v>
      </c>
      <c r="U58" s="5">
        <v>0.0</v>
      </c>
      <c r="V58" s="5">
        <v>5.0</v>
      </c>
      <c r="W58" s="5" t="s">
        <v>7</v>
      </c>
      <c r="X58" s="1"/>
      <c r="Y58" s="1"/>
      <c r="Z58" s="1" t="s">
        <v>364</v>
      </c>
      <c r="AA58" s="5" t="str">
        <f>IFERROR(__xludf.DUMMYFUNCTION("IF(A58="""","""",INDEX(FILTER(Roster!$A:$A,(Roster!$C:$C=A58)*(Roster!$F:$F=3)),1))"),"Velez")</f>
        <v>Velez</v>
      </c>
      <c r="AB58" s="5" t="str">
        <f>IFERROR(__xludf.DUMMYFUNCTION("IF(A58="""","""",INDEX(FILTER(Roster!$A:$A,(Roster!$C:$C=A58)*(Roster!$F:$F=4)),1))"),"JP Mosquera")</f>
        <v>JP Mosquera</v>
      </c>
      <c r="AC58" s="5" t="str">
        <f>IFERROR(__xludf.DUMMYFUNCTION("IF(A58="""","""",INDEX(FILTER(Roster!$A:$A,(Roster!$C:$C=A58)*(Roster!$F:$F=1)),1))"),"Pocho")</f>
        <v>Pocho</v>
      </c>
      <c r="AD58" s="5" t="str">
        <f>IFERROR(__xludf.DUMMYFUNCTION("IF(A58="""","""",INDEX(FILTER(Roster!$A:$A,(Roster!$C:$C=A58)*(Roster!$F:$F=2)),1))"),"Phil")</f>
        <v>Phil</v>
      </c>
      <c r="AE58" s="5">
        <v>-1.0</v>
      </c>
      <c r="AF58" s="5">
        <v>-1.0</v>
      </c>
      <c r="AG58" s="5" t="s">
        <v>352</v>
      </c>
      <c r="AH58" s="5">
        <v>0.0</v>
      </c>
      <c r="AI58" s="5">
        <v>0.0</v>
      </c>
      <c r="AJ58" s="5">
        <v>0.0</v>
      </c>
      <c r="AK58" s="5" t="s">
        <v>350</v>
      </c>
      <c r="AL58" s="5" t="s">
        <v>351</v>
      </c>
      <c r="AM58" s="5">
        <v>0.0</v>
      </c>
      <c r="AN58" s="5" t="s">
        <v>350</v>
      </c>
      <c r="AO58" s="5">
        <f t="shared" si="1"/>
        <v>4</v>
      </c>
      <c r="AP58" s="5">
        <f t="shared" si="2"/>
        <v>3</v>
      </c>
    </row>
    <row r="59">
      <c r="A59" s="5" t="s">
        <v>41</v>
      </c>
      <c r="B59" s="5">
        <v>4.0</v>
      </c>
      <c r="C59" s="5">
        <v>5.0</v>
      </c>
      <c r="F59" s="5">
        <v>0.0</v>
      </c>
      <c r="G59" s="5">
        <v>5.0</v>
      </c>
      <c r="H59" s="5">
        <v>5.0</v>
      </c>
      <c r="K59" s="5">
        <v>0.0</v>
      </c>
      <c r="L59" s="5">
        <v>5.0</v>
      </c>
      <c r="M59" s="5">
        <v>4.0</v>
      </c>
      <c r="P59" s="5">
        <v>0.0</v>
      </c>
      <c r="Q59" s="5">
        <v>4.0</v>
      </c>
      <c r="R59" s="5">
        <v>4.0</v>
      </c>
      <c r="U59" s="5">
        <v>0.0</v>
      </c>
      <c r="V59" s="5">
        <v>4.0</v>
      </c>
      <c r="W59" s="5" t="s">
        <v>7</v>
      </c>
      <c r="X59" s="1"/>
      <c r="Y59" s="1"/>
      <c r="Z59" s="1" t="s">
        <v>364</v>
      </c>
      <c r="AA59" s="5" t="str">
        <f>IFERROR(__xludf.DUMMYFUNCTION("IF(A59="""","""",INDEX(FILTER(Roster!$A:$A,(Roster!$C:$C=A59)*(Roster!$F:$F=3)),1))"),"Velez")</f>
        <v>Velez</v>
      </c>
      <c r="AB59" s="5" t="str">
        <f>IFERROR(__xludf.DUMMYFUNCTION("IF(A59="""","""",INDEX(FILTER(Roster!$A:$A,(Roster!$C:$C=A59)*(Roster!$F:$F=4)),1))"),"JP Mosquera")</f>
        <v>JP Mosquera</v>
      </c>
      <c r="AC59" s="5" t="str">
        <f>IFERROR(__xludf.DUMMYFUNCTION("IF(A59="""","""",INDEX(FILTER(Roster!$A:$A,(Roster!$C:$C=A59)*(Roster!$F:$F=1)),1))"),"Pocho")</f>
        <v>Pocho</v>
      </c>
      <c r="AD59" s="5" t="str">
        <f>IFERROR(__xludf.DUMMYFUNCTION("IF(A59="""","""",INDEX(FILTER(Roster!$A:$A,(Roster!$C:$C=A59)*(Roster!$F:$F=2)),1))"),"Phil")</f>
        <v>Phil</v>
      </c>
      <c r="AE59" s="5">
        <v>-1.0</v>
      </c>
      <c r="AF59" s="5">
        <v>-2.0</v>
      </c>
      <c r="AG59" s="5" t="s">
        <v>354</v>
      </c>
      <c r="AH59" s="5">
        <v>0.0</v>
      </c>
      <c r="AI59" s="5">
        <v>0.0</v>
      </c>
      <c r="AJ59" s="5">
        <v>0.0</v>
      </c>
      <c r="AK59" s="5" t="s">
        <v>350</v>
      </c>
      <c r="AL59" s="5" t="s">
        <v>351</v>
      </c>
      <c r="AM59" s="5">
        <v>0.0</v>
      </c>
      <c r="AN59" s="5" t="s">
        <v>350</v>
      </c>
      <c r="AO59" s="5">
        <f t="shared" si="1"/>
        <v>5</v>
      </c>
      <c r="AP59" s="5">
        <f t="shared" si="2"/>
        <v>4</v>
      </c>
    </row>
    <row r="60">
      <c r="A60" s="5" t="s">
        <v>41</v>
      </c>
      <c r="B60" s="5">
        <v>5.0</v>
      </c>
      <c r="C60" s="5">
        <v>4.0</v>
      </c>
      <c r="F60" s="5">
        <v>1.0</v>
      </c>
      <c r="G60" s="5">
        <v>3.0</v>
      </c>
      <c r="H60" s="5">
        <v>3.0</v>
      </c>
      <c r="K60" s="5">
        <v>1.0</v>
      </c>
      <c r="L60" s="5">
        <v>2.0</v>
      </c>
      <c r="M60" s="5">
        <v>4.0</v>
      </c>
      <c r="P60" s="5">
        <v>0.0</v>
      </c>
      <c r="Q60" s="5">
        <v>4.0</v>
      </c>
      <c r="R60" s="5">
        <v>4.0</v>
      </c>
      <c r="U60" s="5">
        <v>1.0</v>
      </c>
      <c r="V60" s="5">
        <v>3.0</v>
      </c>
      <c r="W60" s="5" t="s">
        <v>12</v>
      </c>
      <c r="X60" s="1"/>
      <c r="Y60" s="1"/>
      <c r="Z60" s="1" t="s">
        <v>364</v>
      </c>
      <c r="AA60" s="5" t="str">
        <f>IFERROR(__xludf.DUMMYFUNCTION("IF(A60="""","""",INDEX(FILTER(Roster!$A:$A,(Roster!$C:$C=A60)*(Roster!$F:$F=3)),1))"),"Velez")</f>
        <v>Velez</v>
      </c>
      <c r="AB60" s="5" t="str">
        <f>IFERROR(__xludf.DUMMYFUNCTION("IF(A60="""","""",INDEX(FILTER(Roster!$A:$A,(Roster!$C:$C=A60)*(Roster!$F:$F=4)),1))"),"JP Mosquera")</f>
        <v>JP Mosquera</v>
      </c>
      <c r="AC60" s="5" t="str">
        <f>IFERROR(__xludf.DUMMYFUNCTION("IF(A60="""","""",INDEX(FILTER(Roster!$A:$A,(Roster!$C:$C=A60)*(Roster!$F:$F=1)),1))"),"Pocho")</f>
        <v>Pocho</v>
      </c>
      <c r="AD60" s="5" t="str">
        <f>IFERROR(__xludf.DUMMYFUNCTION("IF(A60="""","""",INDEX(FILTER(Roster!$A:$A,(Roster!$C:$C=A60)*(Roster!$F:$F=2)),1))"),"Phil")</f>
        <v>Phil</v>
      </c>
      <c r="AE60" s="5">
        <v>1.0</v>
      </c>
      <c r="AF60" s="5">
        <v>-1.0</v>
      </c>
      <c r="AG60" s="5" t="s">
        <v>352</v>
      </c>
      <c r="AH60" s="5">
        <v>0.0</v>
      </c>
      <c r="AI60" s="5">
        <v>0.0</v>
      </c>
      <c r="AJ60" s="5">
        <v>0.0</v>
      </c>
      <c r="AK60" s="5" t="s">
        <v>350</v>
      </c>
      <c r="AL60" s="5" t="s">
        <v>351</v>
      </c>
      <c r="AM60" s="5">
        <v>0.0</v>
      </c>
      <c r="AN60" s="5" t="s">
        <v>350</v>
      </c>
      <c r="AO60" s="5">
        <f t="shared" si="1"/>
        <v>2</v>
      </c>
      <c r="AP60" s="5">
        <f t="shared" si="2"/>
        <v>3</v>
      </c>
    </row>
    <row r="61">
      <c r="A61" s="5" t="s">
        <v>41</v>
      </c>
      <c r="B61" s="5">
        <v>6.0</v>
      </c>
      <c r="C61" s="5">
        <v>4.0</v>
      </c>
      <c r="F61" s="5">
        <v>1.0</v>
      </c>
      <c r="G61" s="5">
        <v>3.0</v>
      </c>
      <c r="H61" s="5">
        <v>5.0</v>
      </c>
      <c r="K61" s="5">
        <v>1.0</v>
      </c>
      <c r="L61" s="5">
        <v>4.0</v>
      </c>
      <c r="M61" s="5">
        <v>4.0</v>
      </c>
      <c r="P61" s="5">
        <v>1.0</v>
      </c>
      <c r="Q61" s="5">
        <v>3.0</v>
      </c>
      <c r="R61" s="5">
        <v>4.0</v>
      </c>
      <c r="U61" s="5">
        <v>1.0</v>
      </c>
      <c r="V61" s="5">
        <v>3.0</v>
      </c>
      <c r="W61" s="5" t="s">
        <v>353</v>
      </c>
      <c r="X61" s="1"/>
      <c r="Y61" s="1"/>
      <c r="Z61" s="1" t="s">
        <v>364</v>
      </c>
      <c r="AA61" s="5" t="str">
        <f>IFERROR(__xludf.DUMMYFUNCTION("IF(A61="""","""",INDEX(FILTER(Roster!$A:$A,(Roster!$C:$C=A61)*(Roster!$F:$F=3)),1))"),"Velez")</f>
        <v>Velez</v>
      </c>
      <c r="AB61" s="5" t="str">
        <f>IFERROR(__xludf.DUMMYFUNCTION("IF(A61="""","""",INDEX(FILTER(Roster!$A:$A,(Roster!$C:$C=A61)*(Roster!$F:$F=4)),1))"),"JP Mosquera")</f>
        <v>JP Mosquera</v>
      </c>
      <c r="AC61" s="5" t="str">
        <f>IFERROR(__xludf.DUMMYFUNCTION("IF(A61="""","""",INDEX(FILTER(Roster!$A:$A,(Roster!$C:$C=A61)*(Roster!$F:$F=1)),1))"),"Pocho")</f>
        <v>Pocho</v>
      </c>
      <c r="AD61" s="5" t="str">
        <f>IFERROR(__xludf.DUMMYFUNCTION("IF(A61="""","""",INDEX(FILTER(Roster!$A:$A,(Roster!$C:$C=A61)*(Roster!$F:$F=2)),1))"),"Phil")</f>
        <v>Phil</v>
      </c>
      <c r="AE61" s="5">
        <v>0.0</v>
      </c>
      <c r="AF61" s="5">
        <v>-1.0</v>
      </c>
      <c r="AG61" s="5" t="s">
        <v>352</v>
      </c>
      <c r="AH61" s="5">
        <v>0.0</v>
      </c>
      <c r="AI61" s="5">
        <v>0.0</v>
      </c>
      <c r="AJ61" s="5">
        <v>0.0</v>
      </c>
      <c r="AK61" s="5" t="s">
        <v>350</v>
      </c>
      <c r="AL61" s="5" t="s">
        <v>351</v>
      </c>
      <c r="AM61" s="5">
        <v>0.0</v>
      </c>
      <c r="AN61" s="5" t="s">
        <v>350</v>
      </c>
      <c r="AO61" s="5">
        <f t="shared" si="1"/>
        <v>3</v>
      </c>
      <c r="AP61" s="5">
        <f t="shared" si="2"/>
        <v>3</v>
      </c>
    </row>
    <row r="62">
      <c r="A62" s="5" t="s">
        <v>41</v>
      </c>
      <c r="B62" s="5">
        <v>7.0</v>
      </c>
      <c r="C62" s="5">
        <v>4.0</v>
      </c>
      <c r="F62" s="5">
        <v>1.0</v>
      </c>
      <c r="G62" s="5">
        <v>3.0</v>
      </c>
      <c r="H62" s="5">
        <v>4.0</v>
      </c>
      <c r="K62" s="5">
        <v>1.0</v>
      </c>
      <c r="L62" s="5">
        <v>3.0</v>
      </c>
      <c r="M62" s="5">
        <v>3.0</v>
      </c>
      <c r="P62" s="5">
        <v>0.0</v>
      </c>
      <c r="Q62" s="5">
        <v>3.0</v>
      </c>
      <c r="R62" s="5">
        <v>4.0</v>
      </c>
      <c r="U62" s="5">
        <v>0.0</v>
      </c>
      <c r="V62" s="5">
        <v>4.0</v>
      </c>
      <c r="W62" s="5" t="s">
        <v>353</v>
      </c>
      <c r="X62" s="1"/>
      <c r="Y62" s="1"/>
      <c r="Z62" s="1" t="s">
        <v>364</v>
      </c>
      <c r="AA62" s="5" t="str">
        <f>IFERROR(__xludf.DUMMYFUNCTION("IF(A62="""","""",INDEX(FILTER(Roster!$A:$A,(Roster!$C:$C=A62)*(Roster!$F:$F=3)),1))"),"Velez")</f>
        <v>Velez</v>
      </c>
      <c r="AB62" s="5" t="str">
        <f>IFERROR(__xludf.DUMMYFUNCTION("IF(A62="""","""",INDEX(FILTER(Roster!$A:$A,(Roster!$C:$C=A62)*(Roster!$F:$F=4)),1))"),"JP Mosquera")</f>
        <v>JP Mosquera</v>
      </c>
      <c r="AC62" s="5" t="str">
        <f>IFERROR(__xludf.DUMMYFUNCTION("IF(A62="""","""",INDEX(FILTER(Roster!$A:$A,(Roster!$C:$C=A62)*(Roster!$F:$F=1)),1))"),"Pocho")</f>
        <v>Pocho</v>
      </c>
      <c r="AD62" s="5" t="str">
        <f>IFERROR(__xludf.DUMMYFUNCTION("IF(A62="""","""",INDEX(FILTER(Roster!$A:$A,(Roster!$C:$C=A62)*(Roster!$F:$F=2)),1))"),"Phil")</f>
        <v>Phil</v>
      </c>
      <c r="AE62" s="5">
        <v>0.0</v>
      </c>
      <c r="AF62" s="5">
        <v>-1.0</v>
      </c>
      <c r="AG62" s="5" t="s">
        <v>352</v>
      </c>
      <c r="AH62" s="5">
        <v>0.0</v>
      </c>
      <c r="AI62" s="5">
        <v>0.0</v>
      </c>
      <c r="AJ62" s="5">
        <v>0.0</v>
      </c>
      <c r="AK62" s="5" t="s">
        <v>350</v>
      </c>
      <c r="AL62" s="5" t="s">
        <v>351</v>
      </c>
      <c r="AM62" s="5">
        <v>0.0</v>
      </c>
      <c r="AN62" s="5" t="s">
        <v>350</v>
      </c>
      <c r="AO62" s="5">
        <f t="shared" si="1"/>
        <v>3</v>
      </c>
      <c r="AP62" s="5">
        <f t="shared" si="2"/>
        <v>3</v>
      </c>
    </row>
    <row r="63">
      <c r="A63" s="5" t="s">
        <v>41</v>
      </c>
      <c r="B63" s="5">
        <v>8.0</v>
      </c>
      <c r="C63" s="5">
        <v>6.0</v>
      </c>
      <c r="F63" s="5">
        <v>1.0</v>
      </c>
      <c r="G63" s="5">
        <v>5.0</v>
      </c>
      <c r="H63" s="5">
        <v>5.0</v>
      </c>
      <c r="K63" s="5">
        <v>1.0</v>
      </c>
      <c r="L63" s="5">
        <v>4.0</v>
      </c>
      <c r="M63" s="5">
        <v>5.0</v>
      </c>
      <c r="P63" s="5">
        <v>0.0</v>
      </c>
      <c r="Q63" s="5">
        <v>5.0</v>
      </c>
      <c r="R63" s="5">
        <v>6.0</v>
      </c>
      <c r="U63" s="5">
        <v>0.0</v>
      </c>
      <c r="V63" s="5">
        <v>6.0</v>
      </c>
      <c r="W63" s="5" t="s">
        <v>12</v>
      </c>
      <c r="X63" s="1"/>
      <c r="Y63" s="1"/>
      <c r="Z63" s="1" t="s">
        <v>364</v>
      </c>
      <c r="AA63" s="5" t="str">
        <f>IFERROR(__xludf.DUMMYFUNCTION("IF(A63="""","""",INDEX(FILTER(Roster!$A:$A,(Roster!$C:$C=A63)*(Roster!$F:$F=3)),1))"),"Velez")</f>
        <v>Velez</v>
      </c>
      <c r="AB63" s="5" t="str">
        <f>IFERROR(__xludf.DUMMYFUNCTION("IF(A63="""","""",INDEX(FILTER(Roster!$A:$A,(Roster!$C:$C=A63)*(Roster!$F:$F=4)),1))"),"JP Mosquera")</f>
        <v>JP Mosquera</v>
      </c>
      <c r="AC63" s="5" t="str">
        <f>IFERROR(__xludf.DUMMYFUNCTION("IF(A63="""","""",INDEX(FILTER(Roster!$A:$A,(Roster!$C:$C=A63)*(Roster!$F:$F=1)),1))"),"Pocho")</f>
        <v>Pocho</v>
      </c>
      <c r="AD63" s="5" t="str">
        <f>IFERROR(__xludf.DUMMYFUNCTION("IF(A63="""","""",INDEX(FILTER(Roster!$A:$A,(Roster!$C:$C=A63)*(Roster!$F:$F=2)),1))"),"Phil")</f>
        <v>Phil</v>
      </c>
      <c r="AE63" s="5">
        <v>1.0</v>
      </c>
      <c r="AF63" s="5">
        <v>0.0</v>
      </c>
      <c r="AG63" s="5" t="s">
        <v>350</v>
      </c>
      <c r="AH63" s="5">
        <v>0.0</v>
      </c>
      <c r="AI63" s="5">
        <v>0.0</v>
      </c>
      <c r="AJ63" s="5">
        <v>0.0</v>
      </c>
      <c r="AK63" s="5" t="s">
        <v>350</v>
      </c>
      <c r="AL63" s="5" t="s">
        <v>351</v>
      </c>
      <c r="AM63" s="5">
        <v>0.0</v>
      </c>
      <c r="AN63" s="5" t="s">
        <v>350</v>
      </c>
      <c r="AO63" s="5">
        <f t="shared" si="1"/>
        <v>4</v>
      </c>
      <c r="AP63" s="5">
        <f t="shared" si="2"/>
        <v>5</v>
      </c>
    </row>
    <row r="64">
      <c r="A64" s="5" t="s">
        <v>41</v>
      </c>
      <c r="B64" s="5">
        <v>9.0</v>
      </c>
      <c r="C64" s="5">
        <v>5.0</v>
      </c>
      <c r="F64" s="5">
        <v>1.0</v>
      </c>
      <c r="G64" s="5">
        <v>4.0</v>
      </c>
      <c r="H64" s="5">
        <v>6.0</v>
      </c>
      <c r="K64" s="5">
        <v>1.0</v>
      </c>
      <c r="L64" s="5">
        <v>5.0</v>
      </c>
      <c r="M64" s="5">
        <v>6.0</v>
      </c>
      <c r="P64" s="5">
        <v>1.0</v>
      </c>
      <c r="Q64" s="5">
        <v>5.0</v>
      </c>
      <c r="R64" s="5">
        <v>5.0</v>
      </c>
      <c r="U64" s="5">
        <v>1.0</v>
      </c>
      <c r="V64" s="5">
        <v>4.0</v>
      </c>
      <c r="W64" s="5" t="s">
        <v>353</v>
      </c>
      <c r="X64" s="1"/>
      <c r="Y64" s="1"/>
      <c r="Z64" s="1" t="s">
        <v>364</v>
      </c>
      <c r="AA64" s="5" t="str">
        <f>IFERROR(__xludf.DUMMYFUNCTION("IF(A64="""","""",INDEX(FILTER(Roster!$A:$A,(Roster!$C:$C=A64)*(Roster!$F:$F=3)),1))"),"Velez")</f>
        <v>Velez</v>
      </c>
      <c r="AB64" s="5" t="str">
        <f>IFERROR(__xludf.DUMMYFUNCTION("IF(A64="""","""",INDEX(FILTER(Roster!$A:$A,(Roster!$C:$C=A64)*(Roster!$F:$F=4)),1))"),"JP Mosquera")</f>
        <v>JP Mosquera</v>
      </c>
      <c r="AC64" s="5" t="str">
        <f>IFERROR(__xludf.DUMMYFUNCTION("IF(A64="""","""",INDEX(FILTER(Roster!$A:$A,(Roster!$C:$C=A64)*(Roster!$F:$F=1)),1))"),"Pocho")</f>
        <v>Pocho</v>
      </c>
      <c r="AD64" s="5" t="str">
        <f>IFERROR(__xludf.DUMMYFUNCTION("IF(A64="""","""",INDEX(FILTER(Roster!$A:$A,(Roster!$C:$C=A64)*(Roster!$F:$F=2)),1))"),"Phil")</f>
        <v>Phil</v>
      </c>
      <c r="AE64" s="5">
        <v>0.0</v>
      </c>
      <c r="AF64" s="5">
        <v>0.0</v>
      </c>
      <c r="AG64" s="5" t="s">
        <v>350</v>
      </c>
      <c r="AH64" s="5">
        <v>0.0</v>
      </c>
      <c r="AI64" s="5">
        <v>0.0</v>
      </c>
      <c r="AJ64" s="5">
        <v>0.0</v>
      </c>
      <c r="AK64" s="5" t="s">
        <v>350</v>
      </c>
      <c r="AL64" s="5" t="s">
        <v>351</v>
      </c>
      <c r="AM64" s="5">
        <v>0.0</v>
      </c>
      <c r="AN64" s="5" t="s">
        <v>350</v>
      </c>
      <c r="AO64" s="5">
        <f t="shared" si="1"/>
        <v>4</v>
      </c>
      <c r="AP64" s="5">
        <f t="shared" si="2"/>
        <v>4</v>
      </c>
    </row>
    <row r="65">
      <c r="A65" s="5" t="str">
        <f t="array" ref="A65:A73">Calc_Engine!A113:A121</f>
        <v>Flight_8</v>
      </c>
      <c r="B65" s="5">
        <f t="array" ref="B65:B73">Calc_Engine!B113:B121</f>
        <v>1</v>
      </c>
      <c r="C65" s="5">
        <f t="array" ref="C65:C73">Calc_Engine!C113:C121</f>
        <v>5</v>
      </c>
      <c r="F65" s="5">
        <f t="array" ref="F65:F73">Calc_Engine!F113:F121</f>
        <v>1</v>
      </c>
      <c r="G65" s="5">
        <f t="array" ref="G65:G73">Calc_Engine!G113:G121</f>
        <v>4</v>
      </c>
      <c r="H65" s="5">
        <f t="array" ref="H65:H73">Calc_Engine!H113:H121</f>
        <v>6</v>
      </c>
      <c r="K65" s="5">
        <f t="array" ref="K65:K73">Calc_Engine!K113:K121</f>
        <v>1</v>
      </c>
      <c r="L65" s="5">
        <f t="array" ref="L65:L73">Calc_Engine!L113:L121</f>
        <v>5</v>
      </c>
      <c r="M65" s="5">
        <f t="array" ref="M65:M73">Calc_Engine!M113:M121</f>
        <v>4</v>
      </c>
      <c r="P65" s="5">
        <f t="array" ref="P65:P73">Calc_Engine!P113:P121</f>
        <v>1</v>
      </c>
      <c r="Q65" s="5">
        <f t="array" ref="Q65:Q73">Calc_Engine!Q113:Q121</f>
        <v>3</v>
      </c>
      <c r="R65" s="5">
        <f t="array" ref="R65:R73">Calc_Engine!R113:R121</f>
        <v>5</v>
      </c>
      <c r="U65" s="5">
        <f t="array" ref="U65:U73">Calc_Engine!U113:U121</f>
        <v>1</v>
      </c>
      <c r="V65" s="5">
        <f t="array" ref="V65:V73">Calc_Engine!V113:V121</f>
        <v>4</v>
      </c>
      <c r="W65" s="5" t="str">
        <f t="array" ref="W65:W73">Calc_Engine!W113:W121</f>
        <v>Blue</v>
      </c>
      <c r="X65" s="1"/>
      <c r="Y65" s="1"/>
      <c r="Z65" s="1" t="s">
        <v>365</v>
      </c>
      <c r="AA65" s="5" t="str">
        <f>IFERROR(__xludf.DUMMYFUNCTION("IF(A65="""","""",INDEX(FILTER(Roster!$A:$A,(Roster!$C:$C=A65)*(Roster!$F:$F=3)),1))"),"Pilarica")</f>
        <v>Pilarica</v>
      </c>
      <c r="AB65" s="5" t="str">
        <f>IFERROR(__xludf.DUMMYFUNCTION("IF(A65="""","""",INDEX(FILTER(Roster!$A:$A,(Roster!$C:$C=A65)*(Roster!$F:$F=4)),1))"),"Camacho")</f>
        <v>Camacho</v>
      </c>
      <c r="AC65" s="5" t="str">
        <f>IFERROR(__xludf.DUMMYFUNCTION("IF(A65="""","""",INDEX(FILTER(Roster!$A:$A,(Roster!$C:$C=A65)*(Roster!$F:$F=1)),1))"),"Veronica Perez")</f>
        <v>Veronica Perez</v>
      </c>
      <c r="AD65" s="5" t="str">
        <f>IFERROR(__xludf.DUMMYFUNCTION("IF(A65="""","""",INDEX(FILTER(Roster!$A:$A,(Roster!$C:$C=A65)*(Roster!$F:$F=2)),1))"),"Bernie")</f>
        <v>Bernie</v>
      </c>
      <c r="AE65" s="5">
        <v>-1.0</v>
      </c>
      <c r="AF65" s="5">
        <v>-1.0</v>
      </c>
      <c r="AG65" s="5" t="s">
        <v>352</v>
      </c>
      <c r="AH65" s="5">
        <v>0.0</v>
      </c>
      <c r="AI65" s="5">
        <v>0.0</v>
      </c>
      <c r="AJ65" s="5">
        <v>0.0</v>
      </c>
      <c r="AK65" s="5" t="s">
        <v>350</v>
      </c>
      <c r="AL65" s="5" t="s">
        <v>351</v>
      </c>
      <c r="AM65" s="5">
        <v>0.0</v>
      </c>
      <c r="AN65" s="5" t="s">
        <v>350</v>
      </c>
      <c r="AO65" s="5">
        <f t="shared" si="1"/>
        <v>4</v>
      </c>
      <c r="AP65" s="5">
        <f t="shared" si="2"/>
        <v>3</v>
      </c>
    </row>
    <row r="66">
      <c r="A66" s="5" t="s">
        <v>46</v>
      </c>
      <c r="B66" s="5">
        <v>2.0</v>
      </c>
      <c r="C66" s="5">
        <v>4.0</v>
      </c>
      <c r="F66" s="5">
        <v>1.0</v>
      </c>
      <c r="G66" s="5">
        <v>3.0</v>
      </c>
      <c r="H66" s="5">
        <v>6.0</v>
      </c>
      <c r="K66" s="5">
        <v>1.0</v>
      </c>
      <c r="L66" s="5">
        <v>5.0</v>
      </c>
      <c r="M66" s="5">
        <v>6.0</v>
      </c>
      <c r="P66" s="5">
        <v>1.0</v>
      </c>
      <c r="Q66" s="5">
        <v>5.0</v>
      </c>
      <c r="R66" s="5">
        <v>7.0</v>
      </c>
      <c r="U66" s="5">
        <v>1.0</v>
      </c>
      <c r="V66" s="5">
        <v>6.0</v>
      </c>
      <c r="W66" s="5" t="s">
        <v>12</v>
      </c>
      <c r="X66" s="1"/>
      <c r="Y66" s="1"/>
      <c r="Z66" s="1" t="s">
        <v>365</v>
      </c>
      <c r="AA66" s="5" t="str">
        <f>IFERROR(__xludf.DUMMYFUNCTION("IF(A66="""","""",INDEX(FILTER(Roster!$A:$A,(Roster!$C:$C=A66)*(Roster!$F:$F=3)),1))"),"Pilarica")</f>
        <v>Pilarica</v>
      </c>
      <c r="AB66" s="5" t="str">
        <f>IFERROR(__xludf.DUMMYFUNCTION("IF(A66="""","""",INDEX(FILTER(Roster!$A:$A,(Roster!$C:$C=A66)*(Roster!$F:$F=4)),1))"),"Camacho")</f>
        <v>Camacho</v>
      </c>
      <c r="AC66" s="5" t="str">
        <f>IFERROR(__xludf.DUMMYFUNCTION("IF(A66="""","""",INDEX(FILTER(Roster!$A:$A,(Roster!$C:$C=A66)*(Roster!$F:$F=1)),1))"),"Veronica Perez")</f>
        <v>Veronica Perez</v>
      </c>
      <c r="AD66" s="5" t="str">
        <f>IFERROR(__xludf.DUMMYFUNCTION("IF(A66="""","""",INDEX(FILTER(Roster!$A:$A,(Roster!$C:$C=A66)*(Roster!$F:$F=2)),1))"),"Bernie")</f>
        <v>Bernie</v>
      </c>
      <c r="AE66" s="5">
        <v>1.0</v>
      </c>
      <c r="AF66" s="5">
        <v>0.0</v>
      </c>
      <c r="AG66" s="5" t="s">
        <v>350</v>
      </c>
      <c r="AH66" s="5">
        <v>0.0</v>
      </c>
      <c r="AI66" s="5">
        <v>0.0</v>
      </c>
      <c r="AJ66" s="5">
        <v>0.0</v>
      </c>
      <c r="AK66" s="5" t="s">
        <v>350</v>
      </c>
      <c r="AL66" s="5" t="s">
        <v>351</v>
      </c>
      <c r="AM66" s="5">
        <v>0.0</v>
      </c>
      <c r="AN66" s="5" t="s">
        <v>350</v>
      </c>
      <c r="AO66" s="5">
        <f t="shared" si="1"/>
        <v>3</v>
      </c>
      <c r="AP66" s="5">
        <f t="shared" si="2"/>
        <v>5</v>
      </c>
    </row>
    <row r="67">
      <c r="A67" s="5" t="s">
        <v>46</v>
      </c>
      <c r="B67" s="5">
        <v>3.0</v>
      </c>
      <c r="C67" s="5">
        <v>6.0</v>
      </c>
      <c r="F67" s="5">
        <v>0.0</v>
      </c>
      <c r="G67" s="5">
        <v>6.0</v>
      </c>
      <c r="H67" s="5">
        <v>4.0</v>
      </c>
      <c r="K67" s="5">
        <v>0.0</v>
      </c>
      <c r="L67" s="5">
        <v>4.0</v>
      </c>
      <c r="M67" s="5">
        <v>4.0</v>
      </c>
      <c r="P67" s="5">
        <v>0.0</v>
      </c>
      <c r="Q67" s="5">
        <v>4.0</v>
      </c>
      <c r="R67" s="5">
        <v>5.0</v>
      </c>
      <c r="U67" s="5">
        <v>0.0</v>
      </c>
      <c r="V67" s="5">
        <v>5.0</v>
      </c>
      <c r="W67" s="5" t="s">
        <v>353</v>
      </c>
      <c r="X67" s="1"/>
      <c r="Y67" s="1"/>
      <c r="Z67" s="1" t="s">
        <v>365</v>
      </c>
      <c r="AA67" s="5" t="str">
        <f>IFERROR(__xludf.DUMMYFUNCTION("IF(A67="""","""",INDEX(FILTER(Roster!$A:$A,(Roster!$C:$C=A67)*(Roster!$F:$F=3)),1))"),"Pilarica")</f>
        <v>Pilarica</v>
      </c>
      <c r="AB67" s="5" t="str">
        <f>IFERROR(__xludf.DUMMYFUNCTION("IF(A67="""","""",INDEX(FILTER(Roster!$A:$A,(Roster!$C:$C=A67)*(Roster!$F:$F=4)),1))"),"Camacho")</f>
        <v>Camacho</v>
      </c>
      <c r="AC67" s="5" t="str">
        <f>IFERROR(__xludf.DUMMYFUNCTION("IF(A67="""","""",INDEX(FILTER(Roster!$A:$A,(Roster!$C:$C=A67)*(Roster!$F:$F=1)),1))"),"Veronica Perez")</f>
        <v>Veronica Perez</v>
      </c>
      <c r="AD67" s="5" t="str">
        <f>IFERROR(__xludf.DUMMYFUNCTION("IF(A67="""","""",INDEX(FILTER(Roster!$A:$A,(Roster!$C:$C=A67)*(Roster!$F:$F=2)),1))"),"Bernie")</f>
        <v>Bernie</v>
      </c>
      <c r="AE67" s="5">
        <v>0.0</v>
      </c>
      <c r="AF67" s="5">
        <v>0.0</v>
      </c>
      <c r="AG67" s="5" t="s">
        <v>350</v>
      </c>
      <c r="AH67" s="5">
        <v>0.0</v>
      </c>
      <c r="AI67" s="5">
        <v>0.0</v>
      </c>
      <c r="AJ67" s="5">
        <v>0.0</v>
      </c>
      <c r="AK67" s="5" t="s">
        <v>350</v>
      </c>
      <c r="AL67" s="5" t="s">
        <v>351</v>
      </c>
      <c r="AM67" s="5">
        <v>0.0</v>
      </c>
      <c r="AN67" s="5" t="s">
        <v>350</v>
      </c>
      <c r="AO67" s="5">
        <f t="shared" si="1"/>
        <v>4</v>
      </c>
      <c r="AP67" s="5">
        <f t="shared" si="2"/>
        <v>4</v>
      </c>
    </row>
    <row r="68">
      <c r="A68" s="5" t="s">
        <v>46</v>
      </c>
      <c r="B68" s="5">
        <v>4.0</v>
      </c>
      <c r="C68" s="5">
        <v>5.0</v>
      </c>
      <c r="F68" s="5">
        <v>0.0</v>
      </c>
      <c r="G68" s="5">
        <v>5.0</v>
      </c>
      <c r="H68" s="5">
        <v>5.0</v>
      </c>
      <c r="K68" s="5">
        <v>0.0</v>
      </c>
      <c r="L68" s="5">
        <v>5.0</v>
      </c>
      <c r="M68" s="5">
        <v>3.0</v>
      </c>
      <c r="P68" s="5">
        <v>0.0</v>
      </c>
      <c r="Q68" s="5">
        <v>3.0</v>
      </c>
      <c r="R68" s="5">
        <v>3.0</v>
      </c>
      <c r="U68" s="5">
        <v>0.0</v>
      </c>
      <c r="V68" s="5">
        <v>3.0</v>
      </c>
      <c r="W68" s="5" t="s">
        <v>7</v>
      </c>
      <c r="X68" s="1"/>
      <c r="Y68" s="1"/>
      <c r="Z68" s="1" t="s">
        <v>365</v>
      </c>
      <c r="AA68" s="5" t="str">
        <f>IFERROR(__xludf.DUMMYFUNCTION("IF(A68="""","""",INDEX(FILTER(Roster!$A:$A,(Roster!$C:$C=A68)*(Roster!$F:$F=3)),1))"),"Pilarica")</f>
        <v>Pilarica</v>
      </c>
      <c r="AB68" s="5" t="str">
        <f>IFERROR(__xludf.DUMMYFUNCTION("IF(A68="""","""",INDEX(FILTER(Roster!$A:$A,(Roster!$C:$C=A68)*(Roster!$F:$F=4)),1))"),"Camacho")</f>
        <v>Camacho</v>
      </c>
      <c r="AC68" s="5" t="str">
        <f>IFERROR(__xludf.DUMMYFUNCTION("IF(A68="""","""",INDEX(FILTER(Roster!$A:$A,(Roster!$C:$C=A68)*(Roster!$F:$F=1)),1))"),"Veronica Perez")</f>
        <v>Veronica Perez</v>
      </c>
      <c r="AD68" s="5" t="str">
        <f>IFERROR(__xludf.DUMMYFUNCTION("IF(A68="""","""",INDEX(FILTER(Roster!$A:$A,(Roster!$C:$C=A68)*(Roster!$F:$F=2)),1))"),"Bernie")</f>
        <v>Bernie</v>
      </c>
      <c r="AE68" s="5">
        <v>-1.0</v>
      </c>
      <c r="AF68" s="5">
        <v>-1.0</v>
      </c>
      <c r="AG68" s="5" t="s">
        <v>352</v>
      </c>
      <c r="AH68" s="5">
        <v>0.0</v>
      </c>
      <c r="AI68" s="5">
        <v>0.0</v>
      </c>
      <c r="AJ68" s="5">
        <v>0.0</v>
      </c>
      <c r="AK68" s="5" t="s">
        <v>350</v>
      </c>
      <c r="AL68" s="5" t="s">
        <v>351</v>
      </c>
      <c r="AM68" s="5">
        <v>0.0</v>
      </c>
      <c r="AN68" s="5" t="s">
        <v>350</v>
      </c>
      <c r="AO68" s="5">
        <f t="shared" si="1"/>
        <v>5</v>
      </c>
      <c r="AP68" s="5">
        <f t="shared" si="2"/>
        <v>3</v>
      </c>
    </row>
    <row r="69">
      <c r="A69" s="5" t="s">
        <v>46</v>
      </c>
      <c r="B69" s="5">
        <v>5.0</v>
      </c>
      <c r="C69" s="5">
        <v>3.0</v>
      </c>
      <c r="F69" s="5">
        <v>1.0</v>
      </c>
      <c r="G69" s="5">
        <v>2.0</v>
      </c>
      <c r="H69" s="5">
        <v>3.0</v>
      </c>
      <c r="K69" s="5">
        <v>1.0</v>
      </c>
      <c r="L69" s="5">
        <v>2.0</v>
      </c>
      <c r="M69" s="5">
        <v>4.0</v>
      </c>
      <c r="P69" s="5">
        <v>1.0</v>
      </c>
      <c r="Q69" s="5">
        <v>3.0</v>
      </c>
      <c r="R69" s="5">
        <v>5.0</v>
      </c>
      <c r="U69" s="5">
        <v>1.0</v>
      </c>
      <c r="V69" s="5">
        <v>4.0</v>
      </c>
      <c r="W69" s="5" t="s">
        <v>12</v>
      </c>
      <c r="X69" s="1"/>
      <c r="Y69" s="1"/>
      <c r="Z69" s="1" t="s">
        <v>365</v>
      </c>
      <c r="AA69" s="5" t="str">
        <f>IFERROR(__xludf.DUMMYFUNCTION("IF(A69="""","""",INDEX(FILTER(Roster!$A:$A,(Roster!$C:$C=A69)*(Roster!$F:$F=3)),1))"),"Pilarica")</f>
        <v>Pilarica</v>
      </c>
      <c r="AB69" s="5" t="str">
        <f>IFERROR(__xludf.DUMMYFUNCTION("IF(A69="""","""",INDEX(FILTER(Roster!$A:$A,(Roster!$C:$C=A69)*(Roster!$F:$F=4)),1))"),"Camacho")</f>
        <v>Camacho</v>
      </c>
      <c r="AC69" s="5" t="str">
        <f>IFERROR(__xludf.DUMMYFUNCTION("IF(A69="""","""",INDEX(FILTER(Roster!$A:$A,(Roster!$C:$C=A69)*(Roster!$F:$F=1)),1))"),"Veronica Perez")</f>
        <v>Veronica Perez</v>
      </c>
      <c r="AD69" s="5" t="str">
        <f>IFERROR(__xludf.DUMMYFUNCTION("IF(A69="""","""",INDEX(FILTER(Roster!$A:$A,(Roster!$C:$C=A69)*(Roster!$F:$F=2)),1))"),"Bernie")</f>
        <v>Bernie</v>
      </c>
      <c r="AE69" s="5">
        <v>1.0</v>
      </c>
      <c r="AF69" s="5">
        <v>0.0</v>
      </c>
      <c r="AG69" s="5" t="s">
        <v>350</v>
      </c>
      <c r="AH69" s="5">
        <v>0.0</v>
      </c>
      <c r="AI69" s="5">
        <v>0.0</v>
      </c>
      <c r="AJ69" s="5">
        <v>0.0</v>
      </c>
      <c r="AK69" s="5" t="s">
        <v>350</v>
      </c>
      <c r="AL69" s="5" t="s">
        <v>351</v>
      </c>
      <c r="AM69" s="5">
        <v>0.0</v>
      </c>
      <c r="AN69" s="5" t="s">
        <v>350</v>
      </c>
      <c r="AO69" s="5">
        <f t="shared" si="1"/>
        <v>2</v>
      </c>
      <c r="AP69" s="5">
        <f t="shared" si="2"/>
        <v>3</v>
      </c>
    </row>
    <row r="70">
      <c r="A70" s="5" t="s">
        <v>46</v>
      </c>
      <c r="B70" s="5">
        <v>6.0</v>
      </c>
      <c r="C70" s="5">
        <v>5.0</v>
      </c>
      <c r="F70" s="5">
        <v>0.0</v>
      </c>
      <c r="G70" s="5">
        <v>5.0</v>
      </c>
      <c r="H70" s="5">
        <v>4.0</v>
      </c>
      <c r="K70" s="5">
        <v>1.0</v>
      </c>
      <c r="L70" s="5">
        <v>3.0</v>
      </c>
      <c r="M70" s="5">
        <v>5.0</v>
      </c>
      <c r="P70" s="5">
        <v>0.0</v>
      </c>
      <c r="Q70" s="5">
        <v>5.0</v>
      </c>
      <c r="R70" s="5">
        <v>5.0</v>
      </c>
      <c r="U70" s="5">
        <v>1.0</v>
      </c>
      <c r="V70" s="5">
        <v>4.0</v>
      </c>
      <c r="W70" s="5" t="s">
        <v>12</v>
      </c>
      <c r="X70" s="1"/>
      <c r="Y70" s="1"/>
      <c r="Z70" s="1" t="s">
        <v>365</v>
      </c>
      <c r="AA70" s="5" t="str">
        <f>IFERROR(__xludf.DUMMYFUNCTION("IF(A70="""","""",INDEX(FILTER(Roster!$A:$A,(Roster!$C:$C=A70)*(Roster!$F:$F=3)),1))"),"Pilarica")</f>
        <v>Pilarica</v>
      </c>
      <c r="AB70" s="5" t="str">
        <f>IFERROR(__xludf.DUMMYFUNCTION("IF(A70="""","""",INDEX(FILTER(Roster!$A:$A,(Roster!$C:$C=A70)*(Roster!$F:$F=4)),1))"),"Camacho")</f>
        <v>Camacho</v>
      </c>
      <c r="AC70" s="5" t="str">
        <f>IFERROR(__xludf.DUMMYFUNCTION("IF(A70="""","""",INDEX(FILTER(Roster!$A:$A,(Roster!$C:$C=A70)*(Roster!$F:$F=1)),1))"),"Veronica Perez")</f>
        <v>Veronica Perez</v>
      </c>
      <c r="AD70" s="5" t="str">
        <f>IFERROR(__xludf.DUMMYFUNCTION("IF(A70="""","""",INDEX(FILTER(Roster!$A:$A,(Roster!$C:$C=A70)*(Roster!$F:$F=2)),1))"),"Bernie")</f>
        <v>Bernie</v>
      </c>
      <c r="AE70" s="5">
        <v>1.0</v>
      </c>
      <c r="AF70" s="5">
        <v>1.0</v>
      </c>
      <c r="AG70" s="5" t="s">
        <v>352</v>
      </c>
      <c r="AH70" s="5">
        <v>0.0</v>
      </c>
      <c r="AI70" s="5">
        <v>0.0</v>
      </c>
      <c r="AJ70" s="5">
        <v>0.0</v>
      </c>
      <c r="AK70" s="5" t="s">
        <v>350</v>
      </c>
      <c r="AL70" s="5" t="s">
        <v>351</v>
      </c>
      <c r="AM70" s="5">
        <v>0.0</v>
      </c>
      <c r="AN70" s="5" t="s">
        <v>350</v>
      </c>
      <c r="AO70" s="5">
        <f t="shared" si="1"/>
        <v>3</v>
      </c>
      <c r="AP70" s="5">
        <f t="shared" si="2"/>
        <v>4</v>
      </c>
    </row>
    <row r="71">
      <c r="A71" s="5" t="s">
        <v>46</v>
      </c>
      <c r="B71" s="5">
        <v>7.0</v>
      </c>
      <c r="C71" s="5">
        <v>3.0</v>
      </c>
      <c r="F71" s="5">
        <v>0.0</v>
      </c>
      <c r="G71" s="5">
        <v>3.0</v>
      </c>
      <c r="H71" s="5">
        <v>5.0</v>
      </c>
      <c r="K71" s="5">
        <v>0.0</v>
      </c>
      <c r="L71" s="5">
        <v>5.0</v>
      </c>
      <c r="M71" s="5">
        <v>3.0</v>
      </c>
      <c r="P71" s="5">
        <v>0.0</v>
      </c>
      <c r="Q71" s="5">
        <v>3.0</v>
      </c>
      <c r="R71" s="5">
        <v>3.0</v>
      </c>
      <c r="U71" s="5">
        <v>1.0</v>
      </c>
      <c r="V71" s="5">
        <v>2.0</v>
      </c>
      <c r="W71" s="5" t="s">
        <v>7</v>
      </c>
      <c r="X71" s="1"/>
      <c r="Y71" s="1"/>
      <c r="Z71" s="1" t="s">
        <v>365</v>
      </c>
      <c r="AA71" s="5" t="str">
        <f>IFERROR(__xludf.DUMMYFUNCTION("IF(A71="""","""",INDEX(FILTER(Roster!$A:$A,(Roster!$C:$C=A71)*(Roster!$F:$F=3)),1))"),"Pilarica")</f>
        <v>Pilarica</v>
      </c>
      <c r="AB71" s="5" t="str">
        <f>IFERROR(__xludf.DUMMYFUNCTION("IF(A71="""","""",INDEX(FILTER(Roster!$A:$A,(Roster!$C:$C=A71)*(Roster!$F:$F=4)),1))"),"Camacho")</f>
        <v>Camacho</v>
      </c>
      <c r="AC71" s="5" t="str">
        <f>IFERROR(__xludf.DUMMYFUNCTION("IF(A71="""","""",INDEX(FILTER(Roster!$A:$A,(Roster!$C:$C=A71)*(Roster!$F:$F=1)),1))"),"Veronica Perez")</f>
        <v>Veronica Perez</v>
      </c>
      <c r="AD71" s="5" t="str">
        <f>IFERROR(__xludf.DUMMYFUNCTION("IF(A71="""","""",INDEX(FILTER(Roster!$A:$A,(Roster!$C:$C=A71)*(Roster!$F:$F=2)),1))"),"Bernie")</f>
        <v>Bernie</v>
      </c>
      <c r="AE71" s="5">
        <v>-1.0</v>
      </c>
      <c r="AF71" s="5">
        <v>0.0</v>
      </c>
      <c r="AG71" s="5" t="s">
        <v>350</v>
      </c>
      <c r="AH71" s="5">
        <v>0.0</v>
      </c>
      <c r="AI71" s="5">
        <v>0.0</v>
      </c>
      <c r="AJ71" s="5">
        <v>0.0</v>
      </c>
      <c r="AK71" s="5" t="s">
        <v>350</v>
      </c>
      <c r="AL71" s="5" t="s">
        <v>351</v>
      </c>
      <c r="AM71" s="5">
        <v>0.0</v>
      </c>
      <c r="AN71" s="5" t="s">
        <v>350</v>
      </c>
      <c r="AO71" s="5">
        <f t="shared" si="1"/>
        <v>3</v>
      </c>
      <c r="AP71" s="5">
        <f t="shared" si="2"/>
        <v>2</v>
      </c>
    </row>
    <row r="72">
      <c r="A72" s="5" t="s">
        <v>46</v>
      </c>
      <c r="B72" s="5">
        <v>8.0</v>
      </c>
      <c r="C72" s="5">
        <v>5.0</v>
      </c>
      <c r="F72" s="5">
        <v>1.0</v>
      </c>
      <c r="G72" s="5">
        <v>4.0</v>
      </c>
      <c r="H72" s="5">
        <v>6.0</v>
      </c>
      <c r="K72" s="5">
        <v>1.0</v>
      </c>
      <c r="L72" s="5">
        <v>5.0</v>
      </c>
      <c r="M72" s="5">
        <v>6.0</v>
      </c>
      <c r="P72" s="5">
        <v>1.0</v>
      </c>
      <c r="Q72" s="5">
        <v>5.0</v>
      </c>
      <c r="R72" s="5">
        <v>5.0</v>
      </c>
      <c r="U72" s="5">
        <v>1.0</v>
      </c>
      <c r="V72" s="5">
        <v>4.0</v>
      </c>
      <c r="W72" s="5" t="s">
        <v>353</v>
      </c>
      <c r="X72" s="1"/>
      <c r="Y72" s="1"/>
      <c r="Z72" s="1" t="s">
        <v>365</v>
      </c>
      <c r="AA72" s="5" t="str">
        <f>IFERROR(__xludf.DUMMYFUNCTION("IF(A72="""","""",INDEX(FILTER(Roster!$A:$A,(Roster!$C:$C=A72)*(Roster!$F:$F=3)),1))"),"Pilarica")</f>
        <v>Pilarica</v>
      </c>
      <c r="AB72" s="5" t="str">
        <f>IFERROR(__xludf.DUMMYFUNCTION("IF(A72="""","""",INDEX(FILTER(Roster!$A:$A,(Roster!$C:$C=A72)*(Roster!$F:$F=4)),1))"),"Camacho")</f>
        <v>Camacho</v>
      </c>
      <c r="AC72" s="5" t="str">
        <f>IFERROR(__xludf.DUMMYFUNCTION("IF(A72="""","""",INDEX(FILTER(Roster!$A:$A,(Roster!$C:$C=A72)*(Roster!$F:$F=1)),1))"),"Veronica Perez")</f>
        <v>Veronica Perez</v>
      </c>
      <c r="AD72" s="5" t="str">
        <f>IFERROR(__xludf.DUMMYFUNCTION("IF(A72="""","""",INDEX(FILTER(Roster!$A:$A,(Roster!$C:$C=A72)*(Roster!$F:$F=2)),1))"),"Bernie")</f>
        <v>Bernie</v>
      </c>
      <c r="AE72" s="5">
        <v>0.0</v>
      </c>
      <c r="AF72" s="5">
        <v>0.0</v>
      </c>
      <c r="AG72" s="5" t="s">
        <v>350</v>
      </c>
      <c r="AH72" s="5">
        <v>0.0</v>
      </c>
      <c r="AI72" s="5">
        <v>0.0</v>
      </c>
      <c r="AJ72" s="5">
        <v>0.0</v>
      </c>
      <c r="AK72" s="5" t="s">
        <v>350</v>
      </c>
      <c r="AL72" s="5" t="s">
        <v>351</v>
      </c>
      <c r="AM72" s="5">
        <v>0.0</v>
      </c>
      <c r="AN72" s="5" t="s">
        <v>350</v>
      </c>
      <c r="AO72" s="5">
        <f t="shared" si="1"/>
        <v>4</v>
      </c>
      <c r="AP72" s="5">
        <f t="shared" si="2"/>
        <v>4</v>
      </c>
    </row>
    <row r="73">
      <c r="A73" s="5" t="s">
        <v>46</v>
      </c>
      <c r="B73" s="5">
        <v>9.0</v>
      </c>
      <c r="C73" s="5">
        <v>4.0</v>
      </c>
      <c r="F73" s="5">
        <v>1.0</v>
      </c>
      <c r="G73" s="5">
        <v>3.0</v>
      </c>
      <c r="H73" s="5">
        <v>5.0</v>
      </c>
      <c r="K73" s="5">
        <v>1.0</v>
      </c>
      <c r="L73" s="5">
        <v>4.0</v>
      </c>
      <c r="M73" s="5">
        <v>6.0</v>
      </c>
      <c r="P73" s="5">
        <v>1.0</v>
      </c>
      <c r="Q73" s="5">
        <v>5.0</v>
      </c>
      <c r="R73" s="5">
        <v>5.0</v>
      </c>
      <c r="U73" s="5">
        <v>1.0</v>
      </c>
      <c r="V73" s="5">
        <v>4.0</v>
      </c>
      <c r="W73" s="5" t="s">
        <v>12</v>
      </c>
      <c r="X73" s="1"/>
      <c r="Y73" s="1"/>
      <c r="Z73" s="1" t="s">
        <v>365</v>
      </c>
      <c r="AA73" s="5" t="str">
        <f>IFERROR(__xludf.DUMMYFUNCTION("IF(A73="""","""",INDEX(FILTER(Roster!$A:$A,(Roster!$C:$C=A73)*(Roster!$F:$F=3)),1))"),"Pilarica")</f>
        <v>Pilarica</v>
      </c>
      <c r="AB73" s="5" t="str">
        <f>IFERROR(__xludf.DUMMYFUNCTION("IF(A73="""","""",INDEX(FILTER(Roster!$A:$A,(Roster!$C:$C=A73)*(Roster!$F:$F=4)),1))"),"Camacho")</f>
        <v>Camacho</v>
      </c>
      <c r="AC73" s="5" t="str">
        <f>IFERROR(__xludf.DUMMYFUNCTION("IF(A73="""","""",INDEX(FILTER(Roster!$A:$A,(Roster!$C:$C=A73)*(Roster!$F:$F=1)),1))"),"Veronica Perez")</f>
        <v>Veronica Perez</v>
      </c>
      <c r="AD73" s="5" t="str">
        <f>IFERROR(__xludf.DUMMYFUNCTION("IF(A73="""","""",INDEX(FILTER(Roster!$A:$A,(Roster!$C:$C=A73)*(Roster!$F:$F=2)),1))"),"Bernie")</f>
        <v>Bernie</v>
      </c>
      <c r="AE73" s="5">
        <v>1.0</v>
      </c>
      <c r="AF73" s="5">
        <v>1.0</v>
      </c>
      <c r="AG73" s="5" t="s">
        <v>352</v>
      </c>
      <c r="AH73" s="5">
        <v>0.0</v>
      </c>
      <c r="AI73" s="5">
        <v>0.0</v>
      </c>
      <c r="AJ73" s="5">
        <v>0.0</v>
      </c>
      <c r="AK73" s="5" t="s">
        <v>350</v>
      </c>
      <c r="AL73" s="5" t="s">
        <v>351</v>
      </c>
      <c r="AM73" s="5">
        <v>0.0</v>
      </c>
      <c r="AN73" s="5" t="s">
        <v>350</v>
      </c>
      <c r="AO73" s="5">
        <f t="shared" si="1"/>
        <v>3</v>
      </c>
      <c r="AP73" s="5">
        <f t="shared" si="2"/>
        <v>4</v>
      </c>
    </row>
    <row r="74">
      <c r="A74" s="5" t="str">
        <f t="array" ref="A74:A82">Calc_Engine!A36:A44</f>
        <v>Flight_1</v>
      </c>
      <c r="B74" s="5">
        <f t="array" ref="B74:B82">Calc_Engine!B36:B44</f>
        <v>1</v>
      </c>
      <c r="C74" s="5">
        <f t="array" ref="C74:C82">Calc_Engine!C36:C44</f>
        <v>6</v>
      </c>
      <c r="D74" s="5">
        <f t="array" ref="D74:D82">Calc_Engine!D36:D44</f>
        <v>1</v>
      </c>
      <c r="E74" s="5">
        <f t="array" ref="E74:E82">Calc_Engine!E36:E44</f>
        <v>5</v>
      </c>
      <c r="M74" s="5">
        <f t="array" ref="M74:M82">Calc_Engine!M36:M44</f>
        <v>5</v>
      </c>
      <c r="N74" s="5">
        <f t="array" ref="N74:N82">Calc_Engine!N36:N44</f>
        <v>1</v>
      </c>
      <c r="O74" s="5">
        <f t="array" ref="O74:O82">Calc_Engine!O36:O44</f>
        <v>4</v>
      </c>
      <c r="X74" s="5" t="str">
        <f t="array" ref="X74:X82">Calc_Engine!X36:X44</f>
        <v>Blue</v>
      </c>
      <c r="Z74" s="1" t="s">
        <v>366</v>
      </c>
      <c r="AA74" s="5" t="str">
        <f>IFERROR(__xludf.DUMMYFUNCTION("IF(A74="""","""",INDEX(FILTER(Roster!$A:$A,(Roster!$C:$C=A74)*(Roster!$F:$F=3)),1))"),"Fito")</f>
        <v>Fito</v>
      </c>
      <c r="AB74" s="5" t="str">
        <f>IFERROR(__xludf.DUMMYFUNCTION("IF(A74="""","""",INDEX(FILTER(Roster!$A:$A,(Roster!$C:$C=A74)*(Roster!$F:$F=4)),1))"),"Adri Mejia")</f>
        <v>Adri Mejia</v>
      </c>
      <c r="AC74" s="5" t="str">
        <f>IFERROR(__xludf.DUMMYFUNCTION("IF(A74="""","""",INDEX(FILTER(Roster!$A:$A,(Roster!$C:$C=A74)*(Roster!$F:$F=1)),1))"),"Fercho")</f>
        <v>Fercho</v>
      </c>
      <c r="AD74" s="5" t="str">
        <f>IFERROR(__xludf.DUMMYFUNCTION("IF(A74="""","""",INDEX(FILTER(Roster!$A:$A,(Roster!$C:$C=A74)*(Roster!$F:$F=2)),1))"),"Gaitan")</f>
        <v>Gaitan</v>
      </c>
      <c r="AE74" s="5">
        <v>0.0</v>
      </c>
      <c r="AF74" s="5">
        <v>0.0</v>
      </c>
      <c r="AG74" s="5" t="s">
        <v>350</v>
      </c>
      <c r="AH74" s="5">
        <v>-1.0</v>
      </c>
      <c r="AI74" s="5">
        <v>0.0</v>
      </c>
      <c r="AJ74" s="5">
        <v>-1.0</v>
      </c>
      <c r="AK74" s="5" t="s">
        <v>352</v>
      </c>
      <c r="AL74" s="5" t="s">
        <v>367</v>
      </c>
      <c r="AM74" s="5">
        <v>0.0</v>
      </c>
      <c r="AN74" s="5" t="s">
        <v>350</v>
      </c>
      <c r="AO74" s="5">
        <f t="shared" si="1"/>
        <v>0</v>
      </c>
      <c r="AP74" s="5">
        <f t="shared" si="2"/>
        <v>0</v>
      </c>
    </row>
    <row r="75">
      <c r="A75" s="5" t="s">
        <v>8</v>
      </c>
      <c r="B75" s="5">
        <v>2.0</v>
      </c>
      <c r="C75" s="5">
        <v>5.0</v>
      </c>
      <c r="D75" s="5">
        <v>1.0</v>
      </c>
      <c r="E75" s="5">
        <v>4.0</v>
      </c>
      <c r="M75" s="5">
        <v>6.0</v>
      </c>
      <c r="N75" s="5">
        <v>1.0</v>
      </c>
      <c r="O75" s="5">
        <v>5.0</v>
      </c>
      <c r="X75" s="5" t="s">
        <v>12</v>
      </c>
      <c r="Z75" s="1" t="s">
        <v>366</v>
      </c>
      <c r="AA75" s="5" t="str">
        <f>IFERROR(__xludf.DUMMYFUNCTION("IF(A75="""","""",INDEX(FILTER(Roster!$A:$A,(Roster!$C:$C=A75)*(Roster!$F:$F=3)),1))"),"Fito")</f>
        <v>Fito</v>
      </c>
      <c r="AB75" s="5" t="str">
        <f>IFERROR(__xludf.DUMMYFUNCTION("IF(A75="""","""",INDEX(FILTER(Roster!$A:$A,(Roster!$C:$C=A75)*(Roster!$F:$F=4)),1))"),"Adri Mejia")</f>
        <v>Adri Mejia</v>
      </c>
      <c r="AC75" s="5" t="str">
        <f>IFERROR(__xludf.DUMMYFUNCTION("IF(A75="""","""",INDEX(FILTER(Roster!$A:$A,(Roster!$C:$C=A75)*(Roster!$F:$F=1)),1))"),"Fercho")</f>
        <v>Fercho</v>
      </c>
      <c r="AD75" s="5" t="str">
        <f>IFERROR(__xludf.DUMMYFUNCTION("IF(A75="""","""",INDEX(FILTER(Roster!$A:$A,(Roster!$C:$C=A75)*(Roster!$F:$F=2)),1))"),"Gaitan")</f>
        <v>Gaitan</v>
      </c>
      <c r="AE75" s="5">
        <v>0.0</v>
      </c>
      <c r="AF75" s="5">
        <v>0.0</v>
      </c>
      <c r="AG75" s="5" t="s">
        <v>350</v>
      </c>
      <c r="AH75" s="5">
        <v>1.0</v>
      </c>
      <c r="AI75" s="5">
        <v>0.0</v>
      </c>
      <c r="AJ75" s="5">
        <v>0.0</v>
      </c>
      <c r="AK75" s="5" t="s">
        <v>350</v>
      </c>
      <c r="AL75" s="5" t="s">
        <v>351</v>
      </c>
      <c r="AM75" s="5">
        <v>0.0</v>
      </c>
      <c r="AN75" s="5" t="s">
        <v>350</v>
      </c>
      <c r="AO75" s="5">
        <f t="shared" si="1"/>
        <v>0</v>
      </c>
      <c r="AP75" s="5">
        <f t="shared" si="2"/>
        <v>0</v>
      </c>
    </row>
    <row r="76">
      <c r="A76" s="5" t="s">
        <v>8</v>
      </c>
      <c r="B76" s="5">
        <v>3.0</v>
      </c>
      <c r="C76" s="5">
        <v>5.0</v>
      </c>
      <c r="D76" s="5">
        <v>0.0</v>
      </c>
      <c r="E76" s="5">
        <v>5.0</v>
      </c>
      <c r="M76" s="5">
        <v>5.0</v>
      </c>
      <c r="N76" s="5">
        <v>0.0</v>
      </c>
      <c r="O76" s="5">
        <v>5.0</v>
      </c>
      <c r="X76" s="5" t="s">
        <v>353</v>
      </c>
      <c r="Z76" s="1" t="s">
        <v>366</v>
      </c>
      <c r="AA76" s="5" t="str">
        <f>IFERROR(__xludf.DUMMYFUNCTION("IF(A76="""","""",INDEX(FILTER(Roster!$A:$A,(Roster!$C:$C=A76)*(Roster!$F:$F=3)),1))"),"Fito")</f>
        <v>Fito</v>
      </c>
      <c r="AB76" s="5" t="str">
        <f>IFERROR(__xludf.DUMMYFUNCTION("IF(A76="""","""",INDEX(FILTER(Roster!$A:$A,(Roster!$C:$C=A76)*(Roster!$F:$F=4)),1))"),"Adri Mejia")</f>
        <v>Adri Mejia</v>
      </c>
      <c r="AC76" s="5" t="str">
        <f>IFERROR(__xludf.DUMMYFUNCTION("IF(A76="""","""",INDEX(FILTER(Roster!$A:$A,(Roster!$C:$C=A76)*(Roster!$F:$F=1)),1))"),"Fercho")</f>
        <v>Fercho</v>
      </c>
      <c r="AD76" s="5" t="str">
        <f>IFERROR(__xludf.DUMMYFUNCTION("IF(A76="""","""",INDEX(FILTER(Roster!$A:$A,(Roster!$C:$C=A76)*(Roster!$F:$F=2)),1))"),"Gaitan")</f>
        <v>Gaitan</v>
      </c>
      <c r="AE76" s="5">
        <v>0.0</v>
      </c>
      <c r="AF76" s="5">
        <v>0.0</v>
      </c>
      <c r="AG76" s="5" t="s">
        <v>350</v>
      </c>
      <c r="AH76" s="5">
        <v>0.0</v>
      </c>
      <c r="AI76" s="5">
        <v>0.0</v>
      </c>
      <c r="AJ76" s="5">
        <v>0.0</v>
      </c>
      <c r="AK76" s="5" t="s">
        <v>350</v>
      </c>
      <c r="AL76" s="5" t="s">
        <v>351</v>
      </c>
      <c r="AM76" s="5">
        <v>0.0</v>
      </c>
      <c r="AN76" s="5" t="s">
        <v>350</v>
      </c>
      <c r="AO76" s="5">
        <f t="shared" si="1"/>
        <v>0</v>
      </c>
      <c r="AP76" s="5">
        <f t="shared" si="2"/>
        <v>0</v>
      </c>
    </row>
    <row r="77">
      <c r="A77" s="5" t="s">
        <v>8</v>
      </c>
      <c r="B77" s="5">
        <v>4.0</v>
      </c>
      <c r="C77" s="5">
        <v>4.0</v>
      </c>
      <c r="D77" s="5">
        <v>0.0</v>
      </c>
      <c r="E77" s="5">
        <v>4.0</v>
      </c>
      <c r="M77" s="5">
        <v>4.0</v>
      </c>
      <c r="N77" s="5">
        <v>0.0</v>
      </c>
      <c r="O77" s="5">
        <v>4.0</v>
      </c>
      <c r="X77" s="5" t="s">
        <v>353</v>
      </c>
      <c r="Z77" s="1" t="s">
        <v>366</v>
      </c>
      <c r="AA77" s="5" t="str">
        <f>IFERROR(__xludf.DUMMYFUNCTION("IF(A77="""","""",INDEX(FILTER(Roster!$A:$A,(Roster!$C:$C=A77)*(Roster!$F:$F=3)),1))"),"Fito")</f>
        <v>Fito</v>
      </c>
      <c r="AB77" s="5" t="str">
        <f>IFERROR(__xludf.DUMMYFUNCTION("IF(A77="""","""",INDEX(FILTER(Roster!$A:$A,(Roster!$C:$C=A77)*(Roster!$F:$F=4)),1))"),"Adri Mejia")</f>
        <v>Adri Mejia</v>
      </c>
      <c r="AC77" s="5" t="str">
        <f>IFERROR(__xludf.DUMMYFUNCTION("IF(A77="""","""",INDEX(FILTER(Roster!$A:$A,(Roster!$C:$C=A77)*(Roster!$F:$F=1)),1))"),"Fercho")</f>
        <v>Fercho</v>
      </c>
      <c r="AD77" s="5" t="str">
        <f>IFERROR(__xludf.DUMMYFUNCTION("IF(A77="""","""",INDEX(FILTER(Roster!$A:$A,(Roster!$C:$C=A77)*(Roster!$F:$F=2)),1))"),"Gaitan")</f>
        <v>Gaitan</v>
      </c>
      <c r="AE77" s="5">
        <v>0.0</v>
      </c>
      <c r="AF77" s="5">
        <v>0.0</v>
      </c>
      <c r="AG77" s="5" t="s">
        <v>350</v>
      </c>
      <c r="AH77" s="5">
        <v>0.0</v>
      </c>
      <c r="AI77" s="5">
        <v>0.0</v>
      </c>
      <c r="AJ77" s="5">
        <v>0.0</v>
      </c>
      <c r="AK77" s="5" t="s">
        <v>350</v>
      </c>
      <c r="AL77" s="5" t="s">
        <v>351</v>
      </c>
      <c r="AM77" s="5">
        <v>0.0</v>
      </c>
      <c r="AN77" s="5" t="s">
        <v>350</v>
      </c>
      <c r="AO77" s="5">
        <f t="shared" si="1"/>
        <v>0</v>
      </c>
      <c r="AP77" s="5">
        <f t="shared" si="2"/>
        <v>0</v>
      </c>
    </row>
    <row r="78">
      <c r="A78" s="5" t="s">
        <v>8</v>
      </c>
      <c r="B78" s="5">
        <v>5.0</v>
      </c>
      <c r="C78" s="5">
        <v>2.0</v>
      </c>
      <c r="D78" s="5">
        <v>1.0</v>
      </c>
      <c r="E78" s="5">
        <v>1.0</v>
      </c>
      <c r="M78" s="5">
        <v>3.0</v>
      </c>
      <c r="N78" s="5">
        <v>1.0</v>
      </c>
      <c r="O78" s="5">
        <v>2.0</v>
      </c>
      <c r="X78" s="5" t="s">
        <v>12</v>
      </c>
      <c r="Z78" s="1" t="s">
        <v>366</v>
      </c>
      <c r="AA78" s="5" t="str">
        <f>IFERROR(__xludf.DUMMYFUNCTION("IF(A78="""","""",INDEX(FILTER(Roster!$A:$A,(Roster!$C:$C=A78)*(Roster!$F:$F=3)),1))"),"Fito")</f>
        <v>Fito</v>
      </c>
      <c r="AB78" s="5" t="str">
        <f>IFERROR(__xludf.DUMMYFUNCTION("IF(A78="""","""",INDEX(FILTER(Roster!$A:$A,(Roster!$C:$C=A78)*(Roster!$F:$F=4)),1))"),"Adri Mejia")</f>
        <v>Adri Mejia</v>
      </c>
      <c r="AC78" s="5" t="str">
        <f>IFERROR(__xludf.DUMMYFUNCTION("IF(A78="""","""",INDEX(FILTER(Roster!$A:$A,(Roster!$C:$C=A78)*(Roster!$F:$F=1)),1))"),"Fercho")</f>
        <v>Fercho</v>
      </c>
      <c r="AD78" s="5" t="str">
        <f>IFERROR(__xludf.DUMMYFUNCTION("IF(A78="""","""",INDEX(FILTER(Roster!$A:$A,(Roster!$C:$C=A78)*(Roster!$F:$F=2)),1))"),"Gaitan")</f>
        <v>Gaitan</v>
      </c>
      <c r="AE78" s="5">
        <v>0.0</v>
      </c>
      <c r="AF78" s="5">
        <v>0.0</v>
      </c>
      <c r="AG78" s="5" t="s">
        <v>350</v>
      </c>
      <c r="AH78" s="5">
        <v>1.0</v>
      </c>
      <c r="AI78" s="5">
        <v>0.0</v>
      </c>
      <c r="AJ78" s="5">
        <v>1.0</v>
      </c>
      <c r="AK78" s="5" t="s">
        <v>352</v>
      </c>
      <c r="AL78" s="5" t="s">
        <v>368</v>
      </c>
      <c r="AM78" s="5">
        <v>0.0</v>
      </c>
      <c r="AN78" s="5" t="s">
        <v>350</v>
      </c>
      <c r="AO78" s="5">
        <f t="shared" si="1"/>
        <v>0</v>
      </c>
      <c r="AP78" s="5">
        <f t="shared" si="2"/>
        <v>0</v>
      </c>
    </row>
    <row r="79">
      <c r="A79" s="5" t="s">
        <v>8</v>
      </c>
      <c r="B79" s="5">
        <v>6.0</v>
      </c>
      <c r="C79" s="5">
        <v>6.0</v>
      </c>
      <c r="D79" s="5">
        <v>1.0</v>
      </c>
      <c r="E79" s="5">
        <v>5.0</v>
      </c>
      <c r="M79" s="5">
        <v>5.0</v>
      </c>
      <c r="N79" s="5">
        <v>1.0</v>
      </c>
      <c r="O79" s="5">
        <v>4.0</v>
      </c>
      <c r="X79" s="5" t="s">
        <v>7</v>
      </c>
      <c r="Z79" s="1" t="s">
        <v>366</v>
      </c>
      <c r="AA79" s="5" t="str">
        <f>IFERROR(__xludf.DUMMYFUNCTION("IF(A79="""","""",INDEX(FILTER(Roster!$A:$A,(Roster!$C:$C=A79)*(Roster!$F:$F=3)),1))"),"Fito")</f>
        <v>Fito</v>
      </c>
      <c r="AB79" s="5" t="str">
        <f>IFERROR(__xludf.DUMMYFUNCTION("IF(A79="""","""",INDEX(FILTER(Roster!$A:$A,(Roster!$C:$C=A79)*(Roster!$F:$F=4)),1))"),"Adri Mejia")</f>
        <v>Adri Mejia</v>
      </c>
      <c r="AC79" s="5" t="str">
        <f>IFERROR(__xludf.DUMMYFUNCTION("IF(A79="""","""",INDEX(FILTER(Roster!$A:$A,(Roster!$C:$C=A79)*(Roster!$F:$F=1)),1))"),"Fercho")</f>
        <v>Fercho</v>
      </c>
      <c r="AD79" s="5" t="str">
        <f>IFERROR(__xludf.DUMMYFUNCTION("IF(A79="""","""",INDEX(FILTER(Roster!$A:$A,(Roster!$C:$C=A79)*(Roster!$F:$F=2)),1))"),"Gaitan")</f>
        <v>Gaitan</v>
      </c>
      <c r="AE79" s="5">
        <v>0.0</v>
      </c>
      <c r="AF79" s="5">
        <v>0.0</v>
      </c>
      <c r="AG79" s="5" t="s">
        <v>350</v>
      </c>
      <c r="AH79" s="5">
        <v>-1.0</v>
      </c>
      <c r="AI79" s="5">
        <v>0.0</v>
      </c>
      <c r="AJ79" s="5">
        <v>0.0</v>
      </c>
      <c r="AK79" s="5" t="s">
        <v>350</v>
      </c>
      <c r="AL79" s="5" t="s">
        <v>351</v>
      </c>
      <c r="AM79" s="5">
        <v>0.0</v>
      </c>
      <c r="AN79" s="5" t="s">
        <v>350</v>
      </c>
      <c r="AO79" s="5">
        <f t="shared" si="1"/>
        <v>0</v>
      </c>
      <c r="AP79" s="5">
        <f t="shared" si="2"/>
        <v>0</v>
      </c>
    </row>
    <row r="80">
      <c r="A80" s="5" t="s">
        <v>8</v>
      </c>
      <c r="B80" s="5">
        <v>7.0</v>
      </c>
      <c r="C80" s="5">
        <v>2.0</v>
      </c>
      <c r="D80" s="5">
        <v>0.0</v>
      </c>
      <c r="E80" s="5">
        <v>2.0</v>
      </c>
      <c r="M80" s="5">
        <v>3.0</v>
      </c>
      <c r="N80" s="5">
        <v>0.0</v>
      </c>
      <c r="O80" s="5">
        <v>3.0</v>
      </c>
      <c r="X80" s="5" t="s">
        <v>12</v>
      </c>
      <c r="Z80" s="1" t="s">
        <v>366</v>
      </c>
      <c r="AA80" s="5" t="str">
        <f>IFERROR(__xludf.DUMMYFUNCTION("IF(A80="""","""",INDEX(FILTER(Roster!$A:$A,(Roster!$C:$C=A80)*(Roster!$F:$F=3)),1))"),"Fito")</f>
        <v>Fito</v>
      </c>
      <c r="AB80" s="5" t="str">
        <f>IFERROR(__xludf.DUMMYFUNCTION("IF(A80="""","""",INDEX(FILTER(Roster!$A:$A,(Roster!$C:$C=A80)*(Roster!$F:$F=4)),1))"),"Adri Mejia")</f>
        <v>Adri Mejia</v>
      </c>
      <c r="AC80" s="5" t="str">
        <f>IFERROR(__xludf.DUMMYFUNCTION("IF(A80="""","""",INDEX(FILTER(Roster!$A:$A,(Roster!$C:$C=A80)*(Roster!$F:$F=1)),1))"),"Fercho")</f>
        <v>Fercho</v>
      </c>
      <c r="AD80" s="5" t="str">
        <f>IFERROR(__xludf.DUMMYFUNCTION("IF(A80="""","""",INDEX(FILTER(Roster!$A:$A,(Roster!$C:$C=A80)*(Roster!$F:$F=2)),1))"),"Gaitan")</f>
        <v>Gaitan</v>
      </c>
      <c r="AE80" s="5">
        <v>0.0</v>
      </c>
      <c r="AF80" s="5">
        <v>0.0</v>
      </c>
      <c r="AG80" s="5" t="s">
        <v>350</v>
      </c>
      <c r="AH80" s="5">
        <v>1.0</v>
      </c>
      <c r="AI80" s="5">
        <v>0.0</v>
      </c>
      <c r="AJ80" s="5">
        <v>1.0</v>
      </c>
      <c r="AK80" s="5" t="s">
        <v>352</v>
      </c>
      <c r="AL80" s="5" t="s">
        <v>368</v>
      </c>
      <c r="AM80" s="5">
        <v>0.0</v>
      </c>
      <c r="AN80" s="5" t="s">
        <v>350</v>
      </c>
      <c r="AO80" s="5">
        <f t="shared" si="1"/>
        <v>0</v>
      </c>
      <c r="AP80" s="5">
        <f t="shared" si="2"/>
        <v>0</v>
      </c>
    </row>
    <row r="81">
      <c r="A81" s="5" t="s">
        <v>8</v>
      </c>
      <c r="B81" s="5">
        <v>8.0</v>
      </c>
      <c r="C81" s="5">
        <v>5.0</v>
      </c>
      <c r="D81" s="5">
        <v>0.0</v>
      </c>
      <c r="E81" s="5">
        <v>5.0</v>
      </c>
      <c r="M81" s="5">
        <v>7.0</v>
      </c>
      <c r="N81" s="5">
        <v>1.0</v>
      </c>
      <c r="O81" s="5">
        <v>6.0</v>
      </c>
      <c r="X81" s="5" t="s">
        <v>12</v>
      </c>
      <c r="Z81" s="1" t="s">
        <v>366</v>
      </c>
      <c r="AA81" s="5" t="str">
        <f>IFERROR(__xludf.DUMMYFUNCTION("IF(A81="""","""",INDEX(FILTER(Roster!$A:$A,(Roster!$C:$C=A81)*(Roster!$F:$F=3)),1))"),"Fito")</f>
        <v>Fito</v>
      </c>
      <c r="AB81" s="5" t="str">
        <f>IFERROR(__xludf.DUMMYFUNCTION("IF(A81="""","""",INDEX(FILTER(Roster!$A:$A,(Roster!$C:$C=A81)*(Roster!$F:$F=4)),1))"),"Adri Mejia")</f>
        <v>Adri Mejia</v>
      </c>
      <c r="AC81" s="5" t="str">
        <f>IFERROR(__xludf.DUMMYFUNCTION("IF(A81="""","""",INDEX(FILTER(Roster!$A:$A,(Roster!$C:$C=A81)*(Roster!$F:$F=1)),1))"),"Fercho")</f>
        <v>Fercho</v>
      </c>
      <c r="AD81" s="5" t="str">
        <f>IFERROR(__xludf.DUMMYFUNCTION("IF(A81="""","""",INDEX(FILTER(Roster!$A:$A,(Roster!$C:$C=A81)*(Roster!$F:$F=2)),1))"),"Gaitan")</f>
        <v>Gaitan</v>
      </c>
      <c r="AE81" s="5">
        <v>0.0</v>
      </c>
      <c r="AF81" s="5">
        <v>0.0</v>
      </c>
      <c r="AG81" s="5" t="s">
        <v>350</v>
      </c>
      <c r="AH81" s="5">
        <v>1.0</v>
      </c>
      <c r="AI81" s="5">
        <v>0.0</v>
      </c>
      <c r="AJ81" s="5">
        <v>2.0</v>
      </c>
      <c r="AK81" s="5" t="s">
        <v>354</v>
      </c>
      <c r="AL81" s="5" t="s">
        <v>368</v>
      </c>
      <c r="AM81" s="5">
        <v>0.0</v>
      </c>
      <c r="AN81" s="5" t="s">
        <v>350</v>
      </c>
      <c r="AO81" s="5">
        <f t="shared" si="1"/>
        <v>0</v>
      </c>
      <c r="AP81" s="5">
        <f t="shared" si="2"/>
        <v>0</v>
      </c>
    </row>
    <row r="82">
      <c r="A82" s="5" t="s">
        <v>8</v>
      </c>
      <c r="B82" s="5">
        <v>9.0</v>
      </c>
      <c r="C82" s="5">
        <v>0.0</v>
      </c>
      <c r="D82" s="5">
        <v>1.0</v>
      </c>
      <c r="E82" s="5" t="s">
        <v>355</v>
      </c>
      <c r="M82" s="5">
        <v>0.0</v>
      </c>
      <c r="N82" s="5">
        <v>1.0</v>
      </c>
      <c r="O82" s="5" t="s">
        <v>355</v>
      </c>
      <c r="X82" s="5" t="s">
        <v>355</v>
      </c>
      <c r="Z82" s="1" t="s">
        <v>366</v>
      </c>
      <c r="AA82" s="5" t="str">
        <f>IFERROR(__xludf.DUMMYFUNCTION("IF(A82="""","""",INDEX(FILTER(Roster!$A:$A,(Roster!$C:$C=A82)*(Roster!$F:$F=3)),1))"),"Fito")</f>
        <v>Fito</v>
      </c>
      <c r="AB82" s="5" t="str">
        <f>IFERROR(__xludf.DUMMYFUNCTION("IF(A82="""","""",INDEX(FILTER(Roster!$A:$A,(Roster!$C:$C=A82)*(Roster!$F:$F=4)),1))"),"Adri Mejia")</f>
        <v>Adri Mejia</v>
      </c>
      <c r="AC82" s="5" t="str">
        <f>IFERROR(__xludf.DUMMYFUNCTION("IF(A82="""","""",INDEX(FILTER(Roster!$A:$A,(Roster!$C:$C=A82)*(Roster!$F:$F=1)),1))"),"Fercho")</f>
        <v>Fercho</v>
      </c>
      <c r="AD82" s="5" t="str">
        <f>IFERROR(__xludf.DUMMYFUNCTION("IF(A82="""","""",INDEX(FILTER(Roster!$A:$A,(Roster!$C:$C=A82)*(Roster!$F:$F=2)),1))"),"Gaitan")</f>
        <v>Gaitan</v>
      </c>
      <c r="AE82" s="5">
        <v>0.0</v>
      </c>
      <c r="AF82" s="5">
        <v>0.0</v>
      </c>
      <c r="AG82" s="5" t="s">
        <v>350</v>
      </c>
      <c r="AH82" s="5">
        <v>0.0</v>
      </c>
      <c r="AI82" s="5">
        <v>0.0</v>
      </c>
      <c r="AJ82" s="5">
        <v>2.0</v>
      </c>
      <c r="AK82" s="5" t="s">
        <v>354</v>
      </c>
      <c r="AL82" s="5" t="s">
        <v>368</v>
      </c>
      <c r="AM82" s="5">
        <v>0.0</v>
      </c>
      <c r="AN82" s="5" t="s">
        <v>350</v>
      </c>
      <c r="AO82" s="5">
        <f t="shared" si="1"/>
        <v>0</v>
      </c>
      <c r="AP82" s="5">
        <f t="shared" si="2"/>
        <v>0</v>
      </c>
    </row>
    <row r="83">
      <c r="A83" s="5" t="str">
        <f t="array" ref="A83:A91">Calc_Engine!A36:A44</f>
        <v>Flight_1</v>
      </c>
      <c r="B83" s="5">
        <f t="array" ref="B83:B91">Calc_Engine!B36:B44</f>
        <v>1</v>
      </c>
      <c r="H83" s="5">
        <f t="array" ref="H83:H91">Calc_Engine!H36:H44</f>
        <v>7</v>
      </c>
      <c r="I83" s="5">
        <f t="array" ref="I83:I91">Calc_Engine!I36:I44</f>
        <v>1</v>
      </c>
      <c r="J83" s="5">
        <f t="array" ref="J83:J91">Calc_Engine!J36:J44</f>
        <v>6</v>
      </c>
      <c r="R83" s="5">
        <f t="array" ref="R83:R91">Calc_Engine!R36:R44</f>
        <v>5</v>
      </c>
      <c r="S83" s="5">
        <f t="array" ref="S83:S91">Calc_Engine!S36:S44</f>
        <v>1</v>
      </c>
      <c r="T83" s="5">
        <f t="array" ref="T83:T91">Calc_Engine!T36:T44</f>
        <v>4</v>
      </c>
      <c r="Y83" s="5" t="str">
        <f t="array" ref="Y83:Y91">Calc_Engine!Y36:Y44</f>
        <v>Blue</v>
      </c>
      <c r="Z83" s="1" t="s">
        <v>369</v>
      </c>
      <c r="AA83" s="5" t="str">
        <f>IFERROR(__xludf.DUMMYFUNCTION("IF(A83="""","""",INDEX(FILTER(Roster!$A:$A,(Roster!$C:$C=A83)*(Roster!$F:$F=3)),1))"),"Fito")</f>
        <v>Fito</v>
      </c>
      <c r="AB83" s="5" t="str">
        <f>IFERROR(__xludf.DUMMYFUNCTION("IF(A83="""","""",INDEX(FILTER(Roster!$A:$A,(Roster!$C:$C=A83)*(Roster!$F:$F=4)),1))"),"Adri Mejia")</f>
        <v>Adri Mejia</v>
      </c>
      <c r="AC83" s="5" t="str">
        <f>IFERROR(__xludf.DUMMYFUNCTION("IF(A83="""","""",INDEX(FILTER(Roster!$A:$A,(Roster!$C:$C=A83)*(Roster!$F:$F=1)),1))"),"Fercho")</f>
        <v>Fercho</v>
      </c>
      <c r="AD83" s="5" t="str">
        <f>IFERROR(__xludf.DUMMYFUNCTION("IF(A83="""","""",INDEX(FILTER(Roster!$A:$A,(Roster!$C:$C=A83)*(Roster!$F:$F=2)),1))"),"Gaitan")</f>
        <v>Gaitan</v>
      </c>
      <c r="AE83" s="5">
        <v>0.0</v>
      </c>
      <c r="AF83" s="5">
        <v>0.0</v>
      </c>
      <c r="AG83" s="5" t="s">
        <v>350</v>
      </c>
      <c r="AH83" s="5">
        <v>0.0</v>
      </c>
      <c r="AI83" s="5">
        <v>-1.0</v>
      </c>
      <c r="AJ83" s="5">
        <v>0.0</v>
      </c>
      <c r="AK83" s="5" t="s">
        <v>350</v>
      </c>
      <c r="AL83" s="5" t="s">
        <v>351</v>
      </c>
      <c r="AM83" s="5">
        <v>-1.0</v>
      </c>
      <c r="AN83" s="5" t="s">
        <v>352</v>
      </c>
      <c r="AO83" s="5">
        <f t="shared" si="1"/>
        <v>0</v>
      </c>
      <c r="AP83" s="5">
        <f t="shared" si="2"/>
        <v>0</v>
      </c>
    </row>
    <row r="84">
      <c r="A84" s="5" t="s">
        <v>8</v>
      </c>
      <c r="B84" s="5">
        <v>2.0</v>
      </c>
      <c r="H84" s="5">
        <v>6.0</v>
      </c>
      <c r="I84" s="5">
        <v>1.0</v>
      </c>
      <c r="J84" s="5">
        <v>5.0</v>
      </c>
      <c r="R84" s="5">
        <v>6.0</v>
      </c>
      <c r="S84" s="5">
        <v>1.0</v>
      </c>
      <c r="T84" s="5">
        <v>5.0</v>
      </c>
      <c r="Y84" s="5" t="s">
        <v>353</v>
      </c>
      <c r="Z84" s="1" t="s">
        <v>369</v>
      </c>
      <c r="AA84" s="5" t="str">
        <f>IFERROR(__xludf.DUMMYFUNCTION("IF(A84="""","""",INDEX(FILTER(Roster!$A:$A,(Roster!$C:$C=A84)*(Roster!$F:$F=3)),1))"),"Fito")</f>
        <v>Fito</v>
      </c>
      <c r="AB84" s="5" t="str">
        <f>IFERROR(__xludf.DUMMYFUNCTION("IF(A84="""","""",INDEX(FILTER(Roster!$A:$A,(Roster!$C:$C=A84)*(Roster!$F:$F=4)),1))"),"Adri Mejia")</f>
        <v>Adri Mejia</v>
      </c>
      <c r="AC84" s="5" t="str">
        <f>IFERROR(__xludf.DUMMYFUNCTION("IF(A84="""","""",INDEX(FILTER(Roster!$A:$A,(Roster!$C:$C=A84)*(Roster!$F:$F=1)),1))"),"Fercho")</f>
        <v>Fercho</v>
      </c>
      <c r="AD84" s="5" t="str">
        <f>IFERROR(__xludf.DUMMYFUNCTION("IF(A84="""","""",INDEX(FILTER(Roster!$A:$A,(Roster!$C:$C=A84)*(Roster!$F:$F=2)),1))"),"Gaitan")</f>
        <v>Gaitan</v>
      </c>
      <c r="AE84" s="5">
        <v>0.0</v>
      </c>
      <c r="AF84" s="5">
        <v>0.0</v>
      </c>
      <c r="AG84" s="5" t="s">
        <v>350</v>
      </c>
      <c r="AH84" s="5">
        <v>0.0</v>
      </c>
      <c r="AI84" s="5">
        <v>0.0</v>
      </c>
      <c r="AJ84" s="5">
        <v>0.0</v>
      </c>
      <c r="AK84" s="5" t="s">
        <v>350</v>
      </c>
      <c r="AL84" s="5" t="s">
        <v>351</v>
      </c>
      <c r="AM84" s="5">
        <v>-1.0</v>
      </c>
      <c r="AN84" s="5" t="s">
        <v>352</v>
      </c>
      <c r="AO84" s="5">
        <f t="shared" si="1"/>
        <v>0</v>
      </c>
      <c r="AP84" s="5">
        <f t="shared" si="2"/>
        <v>0</v>
      </c>
    </row>
    <row r="85">
      <c r="A85" s="5" t="s">
        <v>8</v>
      </c>
      <c r="B85" s="5">
        <v>3.0</v>
      </c>
      <c r="H85" s="5">
        <v>4.0</v>
      </c>
      <c r="I85" s="5">
        <v>0.0</v>
      </c>
      <c r="J85" s="5">
        <v>4.0</v>
      </c>
      <c r="R85" s="5">
        <v>5.0</v>
      </c>
      <c r="S85" s="5">
        <v>0.0</v>
      </c>
      <c r="T85" s="5">
        <v>5.0</v>
      </c>
      <c r="Y85" s="5" t="s">
        <v>12</v>
      </c>
      <c r="Z85" s="1" t="s">
        <v>369</v>
      </c>
      <c r="AA85" s="5" t="str">
        <f>IFERROR(__xludf.DUMMYFUNCTION("IF(A85="""","""",INDEX(FILTER(Roster!$A:$A,(Roster!$C:$C=A85)*(Roster!$F:$F=3)),1))"),"Fito")</f>
        <v>Fito</v>
      </c>
      <c r="AB85" s="5" t="str">
        <f>IFERROR(__xludf.DUMMYFUNCTION("IF(A85="""","""",INDEX(FILTER(Roster!$A:$A,(Roster!$C:$C=A85)*(Roster!$F:$F=4)),1))"),"Adri Mejia")</f>
        <v>Adri Mejia</v>
      </c>
      <c r="AC85" s="5" t="str">
        <f>IFERROR(__xludf.DUMMYFUNCTION("IF(A85="""","""",INDEX(FILTER(Roster!$A:$A,(Roster!$C:$C=A85)*(Roster!$F:$F=1)),1))"),"Fercho")</f>
        <v>Fercho</v>
      </c>
      <c r="AD85" s="5" t="str">
        <f>IFERROR(__xludf.DUMMYFUNCTION("IF(A85="""","""",INDEX(FILTER(Roster!$A:$A,(Roster!$C:$C=A85)*(Roster!$F:$F=2)),1))"),"Gaitan")</f>
        <v>Gaitan</v>
      </c>
      <c r="AE85" s="5">
        <v>0.0</v>
      </c>
      <c r="AF85" s="5">
        <v>0.0</v>
      </c>
      <c r="AG85" s="5" t="s">
        <v>350</v>
      </c>
      <c r="AH85" s="5">
        <v>0.0</v>
      </c>
      <c r="AI85" s="5">
        <v>1.0</v>
      </c>
      <c r="AJ85" s="5">
        <v>0.0</v>
      </c>
      <c r="AK85" s="5" t="s">
        <v>350</v>
      </c>
      <c r="AL85" s="5" t="s">
        <v>351</v>
      </c>
      <c r="AM85" s="5">
        <v>0.0</v>
      </c>
      <c r="AN85" s="5" t="s">
        <v>350</v>
      </c>
      <c r="AO85" s="5">
        <f t="shared" si="1"/>
        <v>0</v>
      </c>
      <c r="AP85" s="5">
        <f t="shared" si="2"/>
        <v>0</v>
      </c>
    </row>
    <row r="86">
      <c r="A86" s="5" t="s">
        <v>8</v>
      </c>
      <c r="B86" s="5">
        <v>4.0</v>
      </c>
      <c r="H86" s="5">
        <v>5.0</v>
      </c>
      <c r="I86" s="5">
        <v>1.0</v>
      </c>
      <c r="J86" s="5">
        <v>4.0</v>
      </c>
      <c r="R86" s="5">
        <v>5.0</v>
      </c>
      <c r="S86" s="5">
        <v>1.0</v>
      </c>
      <c r="T86" s="5">
        <v>4.0</v>
      </c>
      <c r="Y86" s="5" t="s">
        <v>353</v>
      </c>
      <c r="Z86" s="1" t="s">
        <v>369</v>
      </c>
      <c r="AA86" s="5" t="str">
        <f>IFERROR(__xludf.DUMMYFUNCTION("IF(A86="""","""",INDEX(FILTER(Roster!$A:$A,(Roster!$C:$C=A86)*(Roster!$F:$F=3)),1))"),"Fito")</f>
        <v>Fito</v>
      </c>
      <c r="AB86" s="5" t="str">
        <f>IFERROR(__xludf.DUMMYFUNCTION("IF(A86="""","""",INDEX(FILTER(Roster!$A:$A,(Roster!$C:$C=A86)*(Roster!$F:$F=4)),1))"),"Adri Mejia")</f>
        <v>Adri Mejia</v>
      </c>
      <c r="AC86" s="5" t="str">
        <f>IFERROR(__xludf.DUMMYFUNCTION("IF(A86="""","""",INDEX(FILTER(Roster!$A:$A,(Roster!$C:$C=A86)*(Roster!$F:$F=1)),1))"),"Fercho")</f>
        <v>Fercho</v>
      </c>
      <c r="AD86" s="5" t="str">
        <f>IFERROR(__xludf.DUMMYFUNCTION("IF(A86="""","""",INDEX(FILTER(Roster!$A:$A,(Roster!$C:$C=A86)*(Roster!$F:$F=2)),1))"),"Gaitan")</f>
        <v>Gaitan</v>
      </c>
      <c r="AE86" s="5">
        <v>0.0</v>
      </c>
      <c r="AF86" s="5">
        <v>0.0</v>
      </c>
      <c r="AG86" s="5" t="s">
        <v>350</v>
      </c>
      <c r="AH86" s="5">
        <v>0.0</v>
      </c>
      <c r="AI86" s="5">
        <v>0.0</v>
      </c>
      <c r="AJ86" s="5">
        <v>0.0</v>
      </c>
      <c r="AK86" s="5" t="s">
        <v>350</v>
      </c>
      <c r="AL86" s="5" t="s">
        <v>351</v>
      </c>
      <c r="AM86" s="5">
        <v>0.0</v>
      </c>
      <c r="AN86" s="5" t="s">
        <v>350</v>
      </c>
      <c r="AO86" s="5">
        <f t="shared" si="1"/>
        <v>0</v>
      </c>
      <c r="AP86" s="5">
        <f t="shared" si="2"/>
        <v>0</v>
      </c>
    </row>
    <row r="87">
      <c r="A87" s="5" t="s">
        <v>8</v>
      </c>
      <c r="B87" s="5">
        <v>5.0</v>
      </c>
      <c r="H87" s="5">
        <v>4.0</v>
      </c>
      <c r="I87" s="5">
        <v>1.0</v>
      </c>
      <c r="J87" s="5">
        <v>3.0</v>
      </c>
      <c r="R87" s="5">
        <v>6.0</v>
      </c>
      <c r="S87" s="5">
        <v>1.0</v>
      </c>
      <c r="T87" s="5">
        <v>5.0</v>
      </c>
      <c r="Y87" s="5" t="s">
        <v>12</v>
      </c>
      <c r="Z87" s="1" t="s">
        <v>369</v>
      </c>
      <c r="AA87" s="5" t="str">
        <f>IFERROR(__xludf.DUMMYFUNCTION("IF(A87="""","""",INDEX(FILTER(Roster!$A:$A,(Roster!$C:$C=A87)*(Roster!$F:$F=3)),1))"),"Fito")</f>
        <v>Fito</v>
      </c>
      <c r="AB87" s="5" t="str">
        <f>IFERROR(__xludf.DUMMYFUNCTION("IF(A87="""","""",INDEX(FILTER(Roster!$A:$A,(Roster!$C:$C=A87)*(Roster!$F:$F=4)),1))"),"Adri Mejia")</f>
        <v>Adri Mejia</v>
      </c>
      <c r="AC87" s="5" t="str">
        <f>IFERROR(__xludf.DUMMYFUNCTION("IF(A87="""","""",INDEX(FILTER(Roster!$A:$A,(Roster!$C:$C=A87)*(Roster!$F:$F=1)),1))"),"Fercho")</f>
        <v>Fercho</v>
      </c>
      <c r="AD87" s="5" t="str">
        <f>IFERROR(__xludf.DUMMYFUNCTION("IF(A87="""","""",INDEX(FILTER(Roster!$A:$A,(Roster!$C:$C=A87)*(Roster!$F:$F=2)),1))"),"Gaitan")</f>
        <v>Gaitan</v>
      </c>
      <c r="AE87" s="5">
        <v>0.0</v>
      </c>
      <c r="AF87" s="5">
        <v>0.0</v>
      </c>
      <c r="AG87" s="5" t="s">
        <v>350</v>
      </c>
      <c r="AH87" s="5">
        <v>0.0</v>
      </c>
      <c r="AI87" s="5">
        <v>1.0</v>
      </c>
      <c r="AJ87" s="5">
        <v>0.0</v>
      </c>
      <c r="AK87" s="5" t="s">
        <v>350</v>
      </c>
      <c r="AL87" s="5" t="s">
        <v>351</v>
      </c>
      <c r="AM87" s="5">
        <v>1.0</v>
      </c>
      <c r="AN87" s="5" t="s">
        <v>352</v>
      </c>
      <c r="AO87" s="5">
        <f t="shared" si="1"/>
        <v>0</v>
      </c>
      <c r="AP87" s="5">
        <f t="shared" si="2"/>
        <v>0</v>
      </c>
    </row>
    <row r="88">
      <c r="A88" s="5" t="s">
        <v>8</v>
      </c>
      <c r="B88" s="5">
        <v>6.0</v>
      </c>
      <c r="H88" s="5">
        <v>5.0</v>
      </c>
      <c r="I88" s="5">
        <v>0.0</v>
      </c>
      <c r="J88" s="5">
        <v>5.0</v>
      </c>
      <c r="R88" s="5">
        <v>4.0</v>
      </c>
      <c r="S88" s="5">
        <v>1.0</v>
      </c>
      <c r="T88" s="5">
        <v>3.0</v>
      </c>
      <c r="Y88" s="5" t="s">
        <v>7</v>
      </c>
      <c r="Z88" s="1" t="s">
        <v>369</v>
      </c>
      <c r="AA88" s="5" t="str">
        <f>IFERROR(__xludf.DUMMYFUNCTION("IF(A88="""","""",INDEX(FILTER(Roster!$A:$A,(Roster!$C:$C=A88)*(Roster!$F:$F=3)),1))"),"Fito")</f>
        <v>Fito</v>
      </c>
      <c r="AB88" s="5" t="str">
        <f>IFERROR(__xludf.DUMMYFUNCTION("IF(A88="""","""",INDEX(FILTER(Roster!$A:$A,(Roster!$C:$C=A88)*(Roster!$F:$F=4)),1))"),"Adri Mejia")</f>
        <v>Adri Mejia</v>
      </c>
      <c r="AC88" s="5" t="str">
        <f>IFERROR(__xludf.DUMMYFUNCTION("IF(A88="""","""",INDEX(FILTER(Roster!$A:$A,(Roster!$C:$C=A88)*(Roster!$F:$F=1)),1))"),"Fercho")</f>
        <v>Fercho</v>
      </c>
      <c r="AD88" s="5" t="str">
        <f>IFERROR(__xludf.DUMMYFUNCTION("IF(A88="""","""",INDEX(FILTER(Roster!$A:$A,(Roster!$C:$C=A88)*(Roster!$F:$F=2)),1))"),"Gaitan")</f>
        <v>Gaitan</v>
      </c>
      <c r="AE88" s="5">
        <v>0.0</v>
      </c>
      <c r="AF88" s="5">
        <v>0.0</v>
      </c>
      <c r="AG88" s="5" t="s">
        <v>350</v>
      </c>
      <c r="AH88" s="5">
        <v>0.0</v>
      </c>
      <c r="AI88" s="5">
        <v>-1.0</v>
      </c>
      <c r="AJ88" s="5">
        <v>0.0</v>
      </c>
      <c r="AK88" s="5" t="s">
        <v>350</v>
      </c>
      <c r="AL88" s="5" t="s">
        <v>351</v>
      </c>
      <c r="AM88" s="5">
        <v>0.0</v>
      </c>
      <c r="AN88" s="5" t="s">
        <v>350</v>
      </c>
      <c r="AO88" s="5">
        <f t="shared" si="1"/>
        <v>0</v>
      </c>
      <c r="AP88" s="5">
        <f t="shared" si="2"/>
        <v>0</v>
      </c>
    </row>
    <row r="89">
      <c r="A89" s="5" t="s">
        <v>8</v>
      </c>
      <c r="B89" s="5">
        <v>7.0</v>
      </c>
      <c r="H89" s="5">
        <v>3.0</v>
      </c>
      <c r="I89" s="5">
        <v>0.0</v>
      </c>
      <c r="J89" s="5">
        <v>3.0</v>
      </c>
      <c r="R89" s="5">
        <v>3.0</v>
      </c>
      <c r="S89" s="5">
        <v>1.0</v>
      </c>
      <c r="T89" s="5">
        <v>2.0</v>
      </c>
      <c r="Y89" s="5" t="s">
        <v>7</v>
      </c>
      <c r="Z89" s="1" t="s">
        <v>369</v>
      </c>
      <c r="AA89" s="5" t="str">
        <f>IFERROR(__xludf.DUMMYFUNCTION("IF(A89="""","""",INDEX(FILTER(Roster!$A:$A,(Roster!$C:$C=A89)*(Roster!$F:$F=3)),1))"),"Fito")</f>
        <v>Fito</v>
      </c>
      <c r="AB89" s="5" t="str">
        <f>IFERROR(__xludf.DUMMYFUNCTION("IF(A89="""","""",INDEX(FILTER(Roster!$A:$A,(Roster!$C:$C=A89)*(Roster!$F:$F=4)),1))"),"Adri Mejia")</f>
        <v>Adri Mejia</v>
      </c>
      <c r="AC89" s="5" t="str">
        <f>IFERROR(__xludf.DUMMYFUNCTION("IF(A89="""","""",INDEX(FILTER(Roster!$A:$A,(Roster!$C:$C=A89)*(Roster!$F:$F=1)),1))"),"Fercho")</f>
        <v>Fercho</v>
      </c>
      <c r="AD89" s="5" t="str">
        <f>IFERROR(__xludf.DUMMYFUNCTION("IF(A89="""","""",INDEX(FILTER(Roster!$A:$A,(Roster!$C:$C=A89)*(Roster!$F:$F=2)),1))"),"Gaitan")</f>
        <v>Gaitan</v>
      </c>
      <c r="AE89" s="5">
        <v>0.0</v>
      </c>
      <c r="AF89" s="5">
        <v>0.0</v>
      </c>
      <c r="AG89" s="5" t="s">
        <v>350</v>
      </c>
      <c r="AH89" s="5">
        <v>0.0</v>
      </c>
      <c r="AI89" s="5">
        <v>-1.0</v>
      </c>
      <c r="AJ89" s="5">
        <v>0.0</v>
      </c>
      <c r="AK89" s="5" t="s">
        <v>350</v>
      </c>
      <c r="AL89" s="5" t="s">
        <v>351</v>
      </c>
      <c r="AM89" s="5">
        <v>-1.0</v>
      </c>
      <c r="AN89" s="5" t="s">
        <v>352</v>
      </c>
      <c r="AO89" s="5">
        <f t="shared" si="1"/>
        <v>0</v>
      </c>
      <c r="AP89" s="5">
        <f t="shared" si="2"/>
        <v>0</v>
      </c>
    </row>
    <row r="90">
      <c r="A90" s="5" t="s">
        <v>8</v>
      </c>
      <c r="B90" s="5">
        <v>8.0</v>
      </c>
      <c r="H90" s="5">
        <v>7.0</v>
      </c>
      <c r="I90" s="5">
        <v>1.0</v>
      </c>
      <c r="J90" s="5">
        <v>6.0</v>
      </c>
      <c r="R90" s="5">
        <v>6.0</v>
      </c>
      <c r="S90" s="5">
        <v>1.0</v>
      </c>
      <c r="T90" s="5">
        <v>5.0</v>
      </c>
      <c r="Y90" s="5" t="s">
        <v>7</v>
      </c>
      <c r="Z90" s="1" t="s">
        <v>369</v>
      </c>
      <c r="AA90" s="5" t="str">
        <f>IFERROR(__xludf.DUMMYFUNCTION("IF(A90="""","""",INDEX(FILTER(Roster!$A:$A,(Roster!$C:$C=A90)*(Roster!$F:$F=3)),1))"),"Fito")</f>
        <v>Fito</v>
      </c>
      <c r="AB90" s="5" t="str">
        <f>IFERROR(__xludf.DUMMYFUNCTION("IF(A90="""","""",INDEX(FILTER(Roster!$A:$A,(Roster!$C:$C=A90)*(Roster!$F:$F=4)),1))"),"Adri Mejia")</f>
        <v>Adri Mejia</v>
      </c>
      <c r="AC90" s="5" t="str">
        <f>IFERROR(__xludf.DUMMYFUNCTION("IF(A90="""","""",INDEX(FILTER(Roster!$A:$A,(Roster!$C:$C=A90)*(Roster!$F:$F=1)),1))"),"Fercho")</f>
        <v>Fercho</v>
      </c>
      <c r="AD90" s="5" t="str">
        <f>IFERROR(__xludf.DUMMYFUNCTION("IF(A90="""","""",INDEX(FILTER(Roster!$A:$A,(Roster!$C:$C=A90)*(Roster!$F:$F=2)),1))"),"Gaitan")</f>
        <v>Gaitan</v>
      </c>
      <c r="AE90" s="5">
        <v>0.0</v>
      </c>
      <c r="AF90" s="5">
        <v>0.0</v>
      </c>
      <c r="AG90" s="5" t="s">
        <v>350</v>
      </c>
      <c r="AH90" s="5">
        <v>0.0</v>
      </c>
      <c r="AI90" s="5">
        <v>-1.0</v>
      </c>
      <c r="AJ90" s="5">
        <v>0.0</v>
      </c>
      <c r="AK90" s="5" t="s">
        <v>350</v>
      </c>
      <c r="AL90" s="5" t="s">
        <v>351</v>
      </c>
      <c r="AM90" s="5">
        <v>-2.0</v>
      </c>
      <c r="AN90" s="5" t="s">
        <v>354</v>
      </c>
      <c r="AO90" s="5">
        <f t="shared" si="1"/>
        <v>0</v>
      </c>
      <c r="AP90" s="5">
        <f t="shared" si="2"/>
        <v>0</v>
      </c>
    </row>
    <row r="91">
      <c r="A91" s="5" t="s">
        <v>8</v>
      </c>
      <c r="B91" s="5">
        <v>9.0</v>
      </c>
      <c r="H91" s="5">
        <v>0.0</v>
      </c>
      <c r="I91" s="5">
        <v>1.0</v>
      </c>
      <c r="J91" s="5" t="s">
        <v>355</v>
      </c>
      <c r="R91" s="5">
        <v>0.0</v>
      </c>
      <c r="S91" s="5">
        <v>1.0</v>
      </c>
      <c r="T91" s="5" t="s">
        <v>355</v>
      </c>
      <c r="Y91" s="5" t="s">
        <v>355</v>
      </c>
      <c r="Z91" s="1" t="s">
        <v>369</v>
      </c>
      <c r="AA91" s="5" t="str">
        <f>IFERROR(__xludf.DUMMYFUNCTION("IF(A91="""","""",INDEX(FILTER(Roster!$A:$A,(Roster!$C:$C=A91)*(Roster!$F:$F=3)),1))"),"Fito")</f>
        <v>Fito</v>
      </c>
      <c r="AB91" s="5" t="str">
        <f>IFERROR(__xludf.DUMMYFUNCTION("IF(A91="""","""",INDEX(FILTER(Roster!$A:$A,(Roster!$C:$C=A91)*(Roster!$F:$F=4)),1))"),"Adri Mejia")</f>
        <v>Adri Mejia</v>
      </c>
      <c r="AC91" s="5" t="str">
        <f>IFERROR(__xludf.DUMMYFUNCTION("IF(A91="""","""",INDEX(FILTER(Roster!$A:$A,(Roster!$C:$C=A91)*(Roster!$F:$F=1)),1))"),"Fercho")</f>
        <v>Fercho</v>
      </c>
      <c r="AD91" s="5" t="str">
        <f>IFERROR(__xludf.DUMMYFUNCTION("IF(A91="""","""",INDEX(FILTER(Roster!$A:$A,(Roster!$C:$C=A91)*(Roster!$F:$F=2)),1))"),"Gaitan")</f>
        <v>Gaitan</v>
      </c>
      <c r="AE91" s="5">
        <v>0.0</v>
      </c>
      <c r="AF91" s="5">
        <v>0.0</v>
      </c>
      <c r="AG91" s="5" t="s">
        <v>350</v>
      </c>
      <c r="AH91" s="5">
        <v>0.0</v>
      </c>
      <c r="AI91" s="5">
        <v>0.0</v>
      </c>
      <c r="AJ91" s="5">
        <v>0.0</v>
      </c>
      <c r="AK91" s="5" t="s">
        <v>350</v>
      </c>
      <c r="AL91" s="5" t="s">
        <v>351</v>
      </c>
      <c r="AM91" s="5">
        <v>-2.0</v>
      </c>
      <c r="AN91" s="5" t="s">
        <v>354</v>
      </c>
      <c r="AO91" s="5">
        <f t="shared" si="1"/>
        <v>0</v>
      </c>
      <c r="AP91" s="5">
        <f t="shared" si="2"/>
        <v>0</v>
      </c>
    </row>
    <row r="92">
      <c r="A92" s="5" t="str">
        <f t="array" ref="A92:A100">Calc_Engine!A47:A55</f>
        <v>Flight_2</v>
      </c>
      <c r="B92" s="5">
        <f t="array" ref="B92:B100">Calc_Engine!B47:B55</f>
        <v>1</v>
      </c>
      <c r="C92" s="5">
        <f t="array" ref="C92:C100">Calc_Engine!C47:C55</f>
        <v>5</v>
      </c>
      <c r="D92" s="5">
        <f t="array" ref="D92:D100">Calc_Engine!D47:D55</f>
        <v>1</v>
      </c>
      <c r="E92" s="5">
        <f t="array" ref="E92:E100">Calc_Engine!E47:E55</f>
        <v>4</v>
      </c>
      <c r="M92" s="5">
        <f t="array" ref="M92:M100">Calc_Engine!M47:M55</f>
        <v>5</v>
      </c>
      <c r="N92" s="5">
        <f t="array" ref="N92:N100">Calc_Engine!N47:N55</f>
        <v>1</v>
      </c>
      <c r="O92" s="5">
        <f t="array" ref="O92:O100">Calc_Engine!O47:O55</f>
        <v>4</v>
      </c>
      <c r="X92" s="5" t="str">
        <f t="array" ref="X92:X100">Calc_Engine!X47:X55</f>
        <v>Tie</v>
      </c>
      <c r="Z92" s="1" t="s">
        <v>370</v>
      </c>
      <c r="AA92" s="5" t="str">
        <f>IFERROR(__xludf.DUMMYFUNCTION("IF(A92="""","""",INDEX(FILTER(Roster!$A:$A,(Roster!$C:$C=A92)*(Roster!$F:$F=3)),1))"),"Cadavid")</f>
        <v>Cadavid</v>
      </c>
      <c r="AB92" s="5" t="str">
        <f>IFERROR(__xludf.DUMMYFUNCTION("IF(A92="""","""",INDEX(FILTER(Roster!$A:$A,(Roster!$C:$C=A92)*(Roster!$F:$F=4)),1))"),"Saenz")</f>
        <v>Saenz</v>
      </c>
      <c r="AC92" s="5" t="str">
        <f>IFERROR(__xludf.DUMMYFUNCTION("IF(A92="""","""",INDEX(FILTER(Roster!$A:$A,(Roster!$C:$C=A92)*(Roster!$F:$F=1)),1))"),"Otto Fenwarth")</f>
        <v>Otto Fenwarth</v>
      </c>
      <c r="AD92" s="5" t="str">
        <f>IFERROR(__xludf.DUMMYFUNCTION("IF(A92="""","""",INDEX(FILTER(Roster!$A:$A,(Roster!$C:$C=A92)*(Roster!$F:$F=2)),1))"),"Valenzuela")</f>
        <v>Valenzuela</v>
      </c>
      <c r="AE92" s="5">
        <v>0.0</v>
      </c>
      <c r="AF92" s="5">
        <v>0.0</v>
      </c>
      <c r="AG92" s="5" t="s">
        <v>350</v>
      </c>
      <c r="AH92" s="5">
        <v>0.0</v>
      </c>
      <c r="AI92" s="5">
        <v>0.0</v>
      </c>
      <c r="AJ92" s="5">
        <v>0.0</v>
      </c>
      <c r="AK92" s="5" t="s">
        <v>350</v>
      </c>
      <c r="AL92" s="5" t="s">
        <v>351</v>
      </c>
      <c r="AM92" s="5">
        <v>0.0</v>
      </c>
      <c r="AN92" s="5" t="s">
        <v>350</v>
      </c>
      <c r="AO92" s="5">
        <f t="shared" si="1"/>
        <v>0</v>
      </c>
      <c r="AP92" s="5">
        <f t="shared" si="2"/>
        <v>0</v>
      </c>
    </row>
    <row r="93">
      <c r="A93" s="5" t="s">
        <v>16</v>
      </c>
      <c r="B93" s="5">
        <v>2.0</v>
      </c>
      <c r="C93" s="5">
        <v>5.0</v>
      </c>
      <c r="D93" s="5">
        <v>0.0</v>
      </c>
      <c r="E93" s="5">
        <v>5.0</v>
      </c>
      <c r="M93" s="5">
        <v>7.0</v>
      </c>
      <c r="N93" s="5">
        <v>1.0</v>
      </c>
      <c r="O93" s="5">
        <v>6.0</v>
      </c>
      <c r="X93" s="5" t="s">
        <v>12</v>
      </c>
      <c r="Z93" s="1" t="s">
        <v>370</v>
      </c>
      <c r="AA93" s="5" t="str">
        <f>IFERROR(__xludf.DUMMYFUNCTION("IF(A93="""","""",INDEX(FILTER(Roster!$A:$A,(Roster!$C:$C=A93)*(Roster!$F:$F=3)),1))"),"Cadavid")</f>
        <v>Cadavid</v>
      </c>
      <c r="AB93" s="5" t="str">
        <f>IFERROR(__xludf.DUMMYFUNCTION("IF(A93="""","""",INDEX(FILTER(Roster!$A:$A,(Roster!$C:$C=A93)*(Roster!$F:$F=4)),1))"),"Saenz")</f>
        <v>Saenz</v>
      </c>
      <c r="AC93" s="5" t="str">
        <f>IFERROR(__xludf.DUMMYFUNCTION("IF(A93="""","""",INDEX(FILTER(Roster!$A:$A,(Roster!$C:$C=A93)*(Roster!$F:$F=1)),1))"),"Otto Fenwarth")</f>
        <v>Otto Fenwarth</v>
      </c>
      <c r="AD93" s="5" t="str">
        <f>IFERROR(__xludf.DUMMYFUNCTION("IF(A93="""","""",INDEX(FILTER(Roster!$A:$A,(Roster!$C:$C=A93)*(Roster!$F:$F=2)),1))"),"Valenzuela")</f>
        <v>Valenzuela</v>
      </c>
      <c r="AE93" s="5">
        <v>0.0</v>
      </c>
      <c r="AF93" s="5">
        <v>0.0</v>
      </c>
      <c r="AG93" s="5" t="s">
        <v>350</v>
      </c>
      <c r="AH93" s="5">
        <v>1.0</v>
      </c>
      <c r="AI93" s="5">
        <v>0.0</v>
      </c>
      <c r="AJ93" s="5">
        <v>1.0</v>
      </c>
      <c r="AK93" s="5" t="s">
        <v>352</v>
      </c>
      <c r="AL93" s="5" t="s">
        <v>368</v>
      </c>
      <c r="AM93" s="5">
        <v>0.0</v>
      </c>
      <c r="AN93" s="5" t="s">
        <v>350</v>
      </c>
      <c r="AO93" s="5">
        <f t="shared" si="1"/>
        <v>0</v>
      </c>
      <c r="AP93" s="5">
        <f t="shared" si="2"/>
        <v>0</v>
      </c>
    </row>
    <row r="94">
      <c r="A94" s="5" t="s">
        <v>16</v>
      </c>
      <c r="B94" s="5">
        <v>3.0</v>
      </c>
      <c r="C94" s="5">
        <v>7.0</v>
      </c>
      <c r="D94" s="5">
        <v>0.0</v>
      </c>
      <c r="E94" s="5">
        <v>7.0</v>
      </c>
      <c r="M94" s="5">
        <v>5.0</v>
      </c>
      <c r="N94" s="5">
        <v>1.0</v>
      </c>
      <c r="O94" s="5">
        <v>4.0</v>
      </c>
      <c r="X94" s="5" t="s">
        <v>7</v>
      </c>
      <c r="Z94" s="1" t="s">
        <v>370</v>
      </c>
      <c r="AA94" s="5" t="str">
        <f>IFERROR(__xludf.DUMMYFUNCTION("IF(A94="""","""",INDEX(FILTER(Roster!$A:$A,(Roster!$C:$C=A94)*(Roster!$F:$F=3)),1))"),"Cadavid")</f>
        <v>Cadavid</v>
      </c>
      <c r="AB94" s="5" t="str">
        <f>IFERROR(__xludf.DUMMYFUNCTION("IF(A94="""","""",INDEX(FILTER(Roster!$A:$A,(Roster!$C:$C=A94)*(Roster!$F:$F=4)),1))"),"Saenz")</f>
        <v>Saenz</v>
      </c>
      <c r="AC94" s="5" t="str">
        <f>IFERROR(__xludf.DUMMYFUNCTION("IF(A94="""","""",INDEX(FILTER(Roster!$A:$A,(Roster!$C:$C=A94)*(Roster!$F:$F=1)),1))"),"Otto Fenwarth")</f>
        <v>Otto Fenwarth</v>
      </c>
      <c r="AD94" s="5" t="str">
        <f>IFERROR(__xludf.DUMMYFUNCTION("IF(A94="""","""",INDEX(FILTER(Roster!$A:$A,(Roster!$C:$C=A94)*(Roster!$F:$F=2)),1))"),"Valenzuela")</f>
        <v>Valenzuela</v>
      </c>
      <c r="AE94" s="5">
        <v>0.0</v>
      </c>
      <c r="AF94" s="5">
        <v>0.0</v>
      </c>
      <c r="AG94" s="5" t="s">
        <v>350</v>
      </c>
      <c r="AH94" s="5">
        <v>-1.0</v>
      </c>
      <c r="AI94" s="5">
        <v>0.0</v>
      </c>
      <c r="AJ94" s="5">
        <v>0.0</v>
      </c>
      <c r="AK94" s="5" t="s">
        <v>350</v>
      </c>
      <c r="AL94" s="5" t="s">
        <v>351</v>
      </c>
      <c r="AM94" s="5">
        <v>0.0</v>
      </c>
      <c r="AN94" s="5" t="s">
        <v>350</v>
      </c>
      <c r="AO94" s="5">
        <f t="shared" si="1"/>
        <v>0</v>
      </c>
      <c r="AP94" s="5">
        <f t="shared" si="2"/>
        <v>0</v>
      </c>
    </row>
    <row r="95">
      <c r="A95" s="5" t="s">
        <v>16</v>
      </c>
      <c r="B95" s="5">
        <v>4.0</v>
      </c>
      <c r="C95" s="5">
        <v>3.0</v>
      </c>
      <c r="D95" s="5">
        <v>0.0</v>
      </c>
      <c r="E95" s="5">
        <v>3.0</v>
      </c>
      <c r="M95" s="5">
        <v>6.0</v>
      </c>
      <c r="N95" s="5">
        <v>1.0</v>
      </c>
      <c r="O95" s="5">
        <v>5.0</v>
      </c>
      <c r="X95" s="5" t="s">
        <v>12</v>
      </c>
      <c r="Z95" s="1" t="s">
        <v>370</v>
      </c>
      <c r="AA95" s="5" t="str">
        <f>IFERROR(__xludf.DUMMYFUNCTION("IF(A95="""","""",INDEX(FILTER(Roster!$A:$A,(Roster!$C:$C=A95)*(Roster!$F:$F=3)),1))"),"Cadavid")</f>
        <v>Cadavid</v>
      </c>
      <c r="AB95" s="5" t="str">
        <f>IFERROR(__xludf.DUMMYFUNCTION("IF(A95="""","""",INDEX(FILTER(Roster!$A:$A,(Roster!$C:$C=A95)*(Roster!$F:$F=4)),1))"),"Saenz")</f>
        <v>Saenz</v>
      </c>
      <c r="AC95" s="5" t="str">
        <f>IFERROR(__xludf.DUMMYFUNCTION("IF(A95="""","""",INDEX(FILTER(Roster!$A:$A,(Roster!$C:$C=A95)*(Roster!$F:$F=1)),1))"),"Otto Fenwarth")</f>
        <v>Otto Fenwarth</v>
      </c>
      <c r="AD95" s="5" t="str">
        <f>IFERROR(__xludf.DUMMYFUNCTION("IF(A95="""","""",INDEX(FILTER(Roster!$A:$A,(Roster!$C:$C=A95)*(Roster!$F:$F=2)),1))"),"Valenzuela")</f>
        <v>Valenzuela</v>
      </c>
      <c r="AE95" s="5">
        <v>0.0</v>
      </c>
      <c r="AF95" s="5">
        <v>0.0</v>
      </c>
      <c r="AG95" s="5" t="s">
        <v>350</v>
      </c>
      <c r="AH95" s="5">
        <v>1.0</v>
      </c>
      <c r="AI95" s="5">
        <v>0.0</v>
      </c>
      <c r="AJ95" s="5">
        <v>1.0</v>
      </c>
      <c r="AK95" s="5" t="s">
        <v>352</v>
      </c>
      <c r="AL95" s="5" t="s">
        <v>368</v>
      </c>
      <c r="AM95" s="5">
        <v>0.0</v>
      </c>
      <c r="AN95" s="5" t="s">
        <v>350</v>
      </c>
      <c r="AO95" s="5">
        <f t="shared" si="1"/>
        <v>0</v>
      </c>
      <c r="AP95" s="5">
        <f t="shared" si="2"/>
        <v>0</v>
      </c>
    </row>
    <row r="96">
      <c r="A96" s="5" t="s">
        <v>16</v>
      </c>
      <c r="B96" s="5">
        <v>5.0</v>
      </c>
      <c r="C96" s="5">
        <v>4.0</v>
      </c>
      <c r="D96" s="5">
        <v>1.0</v>
      </c>
      <c r="E96" s="5">
        <v>3.0</v>
      </c>
      <c r="M96" s="5">
        <v>6.0</v>
      </c>
      <c r="N96" s="5">
        <v>1.0</v>
      </c>
      <c r="O96" s="5">
        <v>5.0</v>
      </c>
      <c r="X96" s="5" t="s">
        <v>12</v>
      </c>
      <c r="Z96" s="1" t="s">
        <v>370</v>
      </c>
      <c r="AA96" s="5" t="str">
        <f>IFERROR(__xludf.DUMMYFUNCTION("IF(A96="""","""",INDEX(FILTER(Roster!$A:$A,(Roster!$C:$C=A96)*(Roster!$F:$F=3)),1))"),"Cadavid")</f>
        <v>Cadavid</v>
      </c>
      <c r="AB96" s="5" t="str">
        <f>IFERROR(__xludf.DUMMYFUNCTION("IF(A96="""","""",INDEX(FILTER(Roster!$A:$A,(Roster!$C:$C=A96)*(Roster!$F:$F=4)),1))"),"Saenz")</f>
        <v>Saenz</v>
      </c>
      <c r="AC96" s="5" t="str">
        <f>IFERROR(__xludf.DUMMYFUNCTION("IF(A96="""","""",INDEX(FILTER(Roster!$A:$A,(Roster!$C:$C=A96)*(Roster!$F:$F=1)),1))"),"Otto Fenwarth")</f>
        <v>Otto Fenwarth</v>
      </c>
      <c r="AD96" s="5" t="str">
        <f>IFERROR(__xludf.DUMMYFUNCTION("IF(A96="""","""",INDEX(FILTER(Roster!$A:$A,(Roster!$C:$C=A96)*(Roster!$F:$F=2)),1))"),"Valenzuela")</f>
        <v>Valenzuela</v>
      </c>
      <c r="AE96" s="5">
        <v>0.0</v>
      </c>
      <c r="AF96" s="5">
        <v>0.0</v>
      </c>
      <c r="AG96" s="5" t="s">
        <v>350</v>
      </c>
      <c r="AH96" s="5">
        <v>1.0</v>
      </c>
      <c r="AI96" s="5">
        <v>0.0</v>
      </c>
      <c r="AJ96" s="5">
        <v>2.0</v>
      </c>
      <c r="AK96" s="5" t="s">
        <v>354</v>
      </c>
      <c r="AL96" s="5" t="s">
        <v>368</v>
      </c>
      <c r="AM96" s="5">
        <v>0.0</v>
      </c>
      <c r="AN96" s="5" t="s">
        <v>350</v>
      </c>
      <c r="AO96" s="5">
        <f t="shared" si="1"/>
        <v>0</v>
      </c>
      <c r="AP96" s="5">
        <f t="shared" si="2"/>
        <v>0</v>
      </c>
    </row>
    <row r="97">
      <c r="A97" s="5" t="s">
        <v>16</v>
      </c>
      <c r="B97" s="5">
        <v>6.0</v>
      </c>
      <c r="C97" s="5">
        <v>3.0</v>
      </c>
      <c r="D97" s="5">
        <v>1.0</v>
      </c>
      <c r="E97" s="5">
        <v>2.0</v>
      </c>
      <c r="M97" s="5">
        <v>6.0</v>
      </c>
      <c r="N97" s="5">
        <v>1.0</v>
      </c>
      <c r="O97" s="5">
        <v>5.0</v>
      </c>
      <c r="X97" s="5" t="s">
        <v>12</v>
      </c>
      <c r="Z97" s="1" t="s">
        <v>370</v>
      </c>
      <c r="AA97" s="5" t="str">
        <f>IFERROR(__xludf.DUMMYFUNCTION("IF(A97="""","""",INDEX(FILTER(Roster!$A:$A,(Roster!$C:$C=A97)*(Roster!$F:$F=3)),1))"),"Cadavid")</f>
        <v>Cadavid</v>
      </c>
      <c r="AB97" s="5" t="str">
        <f>IFERROR(__xludf.DUMMYFUNCTION("IF(A97="""","""",INDEX(FILTER(Roster!$A:$A,(Roster!$C:$C=A97)*(Roster!$F:$F=4)),1))"),"Saenz")</f>
        <v>Saenz</v>
      </c>
      <c r="AC97" s="5" t="str">
        <f>IFERROR(__xludf.DUMMYFUNCTION("IF(A97="""","""",INDEX(FILTER(Roster!$A:$A,(Roster!$C:$C=A97)*(Roster!$F:$F=1)),1))"),"Otto Fenwarth")</f>
        <v>Otto Fenwarth</v>
      </c>
      <c r="AD97" s="5" t="str">
        <f>IFERROR(__xludf.DUMMYFUNCTION("IF(A97="""","""",INDEX(FILTER(Roster!$A:$A,(Roster!$C:$C=A97)*(Roster!$F:$F=2)),1))"),"Valenzuela")</f>
        <v>Valenzuela</v>
      </c>
      <c r="AE97" s="5">
        <v>0.0</v>
      </c>
      <c r="AF97" s="5">
        <v>0.0</v>
      </c>
      <c r="AG97" s="5" t="s">
        <v>350</v>
      </c>
      <c r="AH97" s="5">
        <v>1.0</v>
      </c>
      <c r="AI97" s="5">
        <v>0.0</v>
      </c>
      <c r="AJ97" s="5">
        <v>3.0</v>
      </c>
      <c r="AK97" s="5" t="s">
        <v>358</v>
      </c>
      <c r="AL97" s="5" t="s">
        <v>368</v>
      </c>
      <c r="AM97" s="5">
        <v>0.0</v>
      </c>
      <c r="AN97" s="5" t="s">
        <v>350</v>
      </c>
      <c r="AO97" s="5">
        <f t="shared" si="1"/>
        <v>0</v>
      </c>
      <c r="AP97" s="5">
        <f t="shared" si="2"/>
        <v>0</v>
      </c>
    </row>
    <row r="98">
      <c r="A98" s="5" t="s">
        <v>16</v>
      </c>
      <c r="B98" s="5">
        <v>7.0</v>
      </c>
      <c r="C98" s="5">
        <v>3.0</v>
      </c>
      <c r="D98" s="5">
        <v>0.0</v>
      </c>
      <c r="E98" s="5">
        <v>3.0</v>
      </c>
      <c r="M98" s="5">
        <v>4.0</v>
      </c>
      <c r="N98" s="5">
        <v>1.0</v>
      </c>
      <c r="O98" s="5">
        <v>3.0</v>
      </c>
      <c r="X98" s="5" t="s">
        <v>353</v>
      </c>
      <c r="Z98" s="1" t="s">
        <v>370</v>
      </c>
      <c r="AA98" s="5" t="str">
        <f>IFERROR(__xludf.DUMMYFUNCTION("IF(A98="""","""",INDEX(FILTER(Roster!$A:$A,(Roster!$C:$C=A98)*(Roster!$F:$F=3)),1))"),"Cadavid")</f>
        <v>Cadavid</v>
      </c>
      <c r="AB98" s="5" t="str">
        <f>IFERROR(__xludf.DUMMYFUNCTION("IF(A98="""","""",INDEX(FILTER(Roster!$A:$A,(Roster!$C:$C=A98)*(Roster!$F:$F=4)),1))"),"Saenz")</f>
        <v>Saenz</v>
      </c>
      <c r="AC98" s="5" t="str">
        <f>IFERROR(__xludf.DUMMYFUNCTION("IF(A98="""","""",INDEX(FILTER(Roster!$A:$A,(Roster!$C:$C=A98)*(Roster!$F:$F=1)),1))"),"Otto Fenwarth")</f>
        <v>Otto Fenwarth</v>
      </c>
      <c r="AD98" s="5" t="str">
        <f>IFERROR(__xludf.DUMMYFUNCTION("IF(A98="""","""",INDEX(FILTER(Roster!$A:$A,(Roster!$C:$C=A98)*(Roster!$F:$F=2)),1))"),"Valenzuela")</f>
        <v>Valenzuela</v>
      </c>
      <c r="AE98" s="5">
        <v>0.0</v>
      </c>
      <c r="AF98" s="5">
        <v>0.0</v>
      </c>
      <c r="AG98" s="5" t="s">
        <v>350</v>
      </c>
      <c r="AH98" s="5">
        <v>0.0</v>
      </c>
      <c r="AI98" s="5">
        <v>0.0</v>
      </c>
      <c r="AJ98" s="5">
        <v>3.0</v>
      </c>
      <c r="AK98" s="5" t="s">
        <v>358</v>
      </c>
      <c r="AL98" s="5" t="s">
        <v>368</v>
      </c>
      <c r="AM98" s="5">
        <v>0.0</v>
      </c>
      <c r="AN98" s="5" t="s">
        <v>350</v>
      </c>
      <c r="AO98" s="5">
        <f t="shared" si="1"/>
        <v>0</v>
      </c>
      <c r="AP98" s="5">
        <f t="shared" si="2"/>
        <v>0</v>
      </c>
    </row>
    <row r="99">
      <c r="A99" s="5" t="s">
        <v>16</v>
      </c>
      <c r="B99" s="5">
        <v>8.0</v>
      </c>
      <c r="C99" s="5">
        <v>7.0</v>
      </c>
      <c r="D99" s="5">
        <v>0.0</v>
      </c>
      <c r="E99" s="5">
        <v>7.0</v>
      </c>
      <c r="M99" s="5">
        <v>5.0</v>
      </c>
      <c r="N99" s="5">
        <v>1.0</v>
      </c>
      <c r="O99" s="5">
        <v>4.0</v>
      </c>
      <c r="X99" s="5" t="s">
        <v>7</v>
      </c>
      <c r="Z99" s="1" t="s">
        <v>370</v>
      </c>
      <c r="AA99" s="5" t="str">
        <f>IFERROR(__xludf.DUMMYFUNCTION("IF(A99="""","""",INDEX(FILTER(Roster!$A:$A,(Roster!$C:$C=A99)*(Roster!$F:$F=3)),1))"),"Cadavid")</f>
        <v>Cadavid</v>
      </c>
      <c r="AB99" s="5" t="str">
        <f>IFERROR(__xludf.DUMMYFUNCTION("IF(A99="""","""",INDEX(FILTER(Roster!$A:$A,(Roster!$C:$C=A99)*(Roster!$F:$F=4)),1))"),"Saenz")</f>
        <v>Saenz</v>
      </c>
      <c r="AC99" s="5" t="str">
        <f>IFERROR(__xludf.DUMMYFUNCTION("IF(A99="""","""",INDEX(FILTER(Roster!$A:$A,(Roster!$C:$C=A99)*(Roster!$F:$F=1)),1))"),"Otto Fenwarth")</f>
        <v>Otto Fenwarth</v>
      </c>
      <c r="AD99" s="5" t="str">
        <f>IFERROR(__xludf.DUMMYFUNCTION("IF(A99="""","""",INDEX(FILTER(Roster!$A:$A,(Roster!$C:$C=A99)*(Roster!$F:$F=2)),1))"),"Valenzuela")</f>
        <v>Valenzuela</v>
      </c>
      <c r="AE99" s="5">
        <v>0.0</v>
      </c>
      <c r="AF99" s="5">
        <v>0.0</v>
      </c>
      <c r="AG99" s="5" t="s">
        <v>350</v>
      </c>
      <c r="AH99" s="5">
        <v>-1.0</v>
      </c>
      <c r="AI99" s="5">
        <v>0.0</v>
      </c>
      <c r="AJ99" s="5">
        <v>2.0</v>
      </c>
      <c r="AK99" s="5" t="s">
        <v>354</v>
      </c>
      <c r="AL99" s="5" t="s">
        <v>368</v>
      </c>
      <c r="AM99" s="5">
        <v>0.0</v>
      </c>
      <c r="AN99" s="5" t="s">
        <v>350</v>
      </c>
      <c r="AO99" s="5">
        <f t="shared" si="1"/>
        <v>0</v>
      </c>
      <c r="AP99" s="5">
        <f t="shared" si="2"/>
        <v>0</v>
      </c>
    </row>
    <row r="100">
      <c r="A100" s="5" t="s">
        <v>16</v>
      </c>
      <c r="B100" s="5">
        <v>9.0</v>
      </c>
      <c r="C100" s="5">
        <v>6.0</v>
      </c>
      <c r="D100" s="5">
        <v>1.0</v>
      </c>
      <c r="E100" s="5">
        <v>5.0</v>
      </c>
      <c r="M100" s="5">
        <v>6.0</v>
      </c>
      <c r="N100" s="5">
        <v>1.0</v>
      </c>
      <c r="O100" s="5">
        <v>5.0</v>
      </c>
      <c r="X100" s="5" t="s">
        <v>353</v>
      </c>
      <c r="Z100" s="1" t="s">
        <v>370</v>
      </c>
      <c r="AA100" s="5" t="str">
        <f>IFERROR(__xludf.DUMMYFUNCTION("IF(A100="""","""",INDEX(FILTER(Roster!$A:$A,(Roster!$C:$C=A100)*(Roster!$F:$F=3)),1))"),"Cadavid")</f>
        <v>Cadavid</v>
      </c>
      <c r="AB100" s="5" t="str">
        <f>IFERROR(__xludf.DUMMYFUNCTION("IF(A100="""","""",INDEX(FILTER(Roster!$A:$A,(Roster!$C:$C=A100)*(Roster!$F:$F=4)),1))"),"Saenz")</f>
        <v>Saenz</v>
      </c>
      <c r="AC100" s="5" t="str">
        <f>IFERROR(__xludf.DUMMYFUNCTION("IF(A100="""","""",INDEX(FILTER(Roster!$A:$A,(Roster!$C:$C=A100)*(Roster!$F:$F=1)),1))"),"Otto Fenwarth")</f>
        <v>Otto Fenwarth</v>
      </c>
      <c r="AD100" s="5" t="str">
        <f>IFERROR(__xludf.DUMMYFUNCTION("IF(A100="""","""",INDEX(FILTER(Roster!$A:$A,(Roster!$C:$C=A100)*(Roster!$F:$F=2)),1))"),"Valenzuela")</f>
        <v>Valenzuela</v>
      </c>
      <c r="AE100" s="5">
        <v>0.0</v>
      </c>
      <c r="AF100" s="5">
        <v>0.0</v>
      </c>
      <c r="AG100" s="5" t="s">
        <v>350</v>
      </c>
      <c r="AH100" s="5">
        <v>0.0</v>
      </c>
      <c r="AI100" s="5">
        <v>0.0</v>
      </c>
      <c r="AJ100" s="5">
        <v>2.0</v>
      </c>
      <c r="AK100" s="5" t="s">
        <v>354</v>
      </c>
      <c r="AL100" s="5" t="s">
        <v>368</v>
      </c>
      <c r="AM100" s="5">
        <v>0.0</v>
      </c>
      <c r="AN100" s="5" t="s">
        <v>350</v>
      </c>
      <c r="AO100" s="5">
        <f t="shared" si="1"/>
        <v>0</v>
      </c>
      <c r="AP100" s="5">
        <f t="shared" si="2"/>
        <v>0</v>
      </c>
    </row>
    <row r="101">
      <c r="A101" s="5" t="str">
        <f t="array" ref="A101:A109">Calc_Engine!A47:A55</f>
        <v>Flight_2</v>
      </c>
      <c r="B101" s="5">
        <f t="array" ref="B101:B109">Calc_Engine!B47:B55</f>
        <v>1</v>
      </c>
      <c r="H101" s="5">
        <f t="array" ref="H101:H109">Calc_Engine!H47:H55</f>
        <v>4</v>
      </c>
      <c r="I101" s="5">
        <f t="array" ref="I101:I109">Calc_Engine!I47:I55</f>
        <v>1</v>
      </c>
      <c r="J101" s="5">
        <f t="array" ref="J101:J109">Calc_Engine!J47:J55</f>
        <v>3</v>
      </c>
      <c r="R101" s="5">
        <f t="array" ref="R101:R109">Calc_Engine!R47:R55</f>
        <v>4</v>
      </c>
      <c r="S101" s="5">
        <f t="array" ref="S101:S109">Calc_Engine!S47:S55</f>
        <v>1</v>
      </c>
      <c r="T101" s="5">
        <f t="array" ref="T101:T109">Calc_Engine!T47:T55</f>
        <v>3</v>
      </c>
      <c r="Y101" s="5" t="str">
        <f t="array" ref="Y101:Y109">Calc_Engine!Y47:Y55</f>
        <v>Tie</v>
      </c>
      <c r="Z101" s="1" t="s">
        <v>371</v>
      </c>
      <c r="AA101" s="5" t="str">
        <f>IFERROR(__xludf.DUMMYFUNCTION("IF(A101="""","""",INDEX(FILTER(Roster!$A:$A,(Roster!$C:$C=A101)*(Roster!$F:$F=3)),1))"),"Cadavid")</f>
        <v>Cadavid</v>
      </c>
      <c r="AB101" s="5" t="str">
        <f>IFERROR(__xludf.DUMMYFUNCTION("IF(A101="""","""",INDEX(FILTER(Roster!$A:$A,(Roster!$C:$C=A101)*(Roster!$F:$F=4)),1))"),"Saenz")</f>
        <v>Saenz</v>
      </c>
      <c r="AC101" s="5" t="str">
        <f>IFERROR(__xludf.DUMMYFUNCTION("IF(A101="""","""",INDEX(FILTER(Roster!$A:$A,(Roster!$C:$C=A101)*(Roster!$F:$F=1)),1))"),"Otto Fenwarth")</f>
        <v>Otto Fenwarth</v>
      </c>
      <c r="AD101" s="5" t="str">
        <f>IFERROR(__xludf.DUMMYFUNCTION("IF(A101="""","""",INDEX(FILTER(Roster!$A:$A,(Roster!$C:$C=A101)*(Roster!$F:$F=2)),1))"),"Valenzuela")</f>
        <v>Valenzuela</v>
      </c>
      <c r="AE101" s="5">
        <v>0.0</v>
      </c>
      <c r="AF101" s="5">
        <v>0.0</v>
      </c>
      <c r="AG101" s="5" t="s">
        <v>350</v>
      </c>
      <c r="AH101" s="5">
        <v>0.0</v>
      </c>
      <c r="AI101" s="5">
        <v>0.0</v>
      </c>
      <c r="AJ101" s="5">
        <v>0.0</v>
      </c>
      <c r="AK101" s="5" t="s">
        <v>350</v>
      </c>
      <c r="AL101" s="5" t="s">
        <v>351</v>
      </c>
      <c r="AM101" s="5">
        <v>0.0</v>
      </c>
      <c r="AN101" s="5" t="s">
        <v>350</v>
      </c>
      <c r="AO101" s="5">
        <f t="shared" si="1"/>
        <v>0</v>
      </c>
      <c r="AP101" s="5">
        <f t="shared" si="2"/>
        <v>0</v>
      </c>
    </row>
    <row r="102">
      <c r="A102" s="5" t="s">
        <v>16</v>
      </c>
      <c r="B102" s="5">
        <v>2.0</v>
      </c>
      <c r="H102" s="5">
        <v>5.0</v>
      </c>
      <c r="I102" s="5">
        <v>0.0</v>
      </c>
      <c r="J102" s="5">
        <v>5.0</v>
      </c>
      <c r="R102" s="5">
        <v>4.0</v>
      </c>
      <c r="S102" s="5">
        <v>1.0</v>
      </c>
      <c r="T102" s="5">
        <v>3.0</v>
      </c>
      <c r="Y102" s="5" t="s">
        <v>7</v>
      </c>
      <c r="Z102" s="1" t="s">
        <v>371</v>
      </c>
      <c r="AA102" s="5" t="str">
        <f>IFERROR(__xludf.DUMMYFUNCTION("IF(A102="""","""",INDEX(FILTER(Roster!$A:$A,(Roster!$C:$C=A102)*(Roster!$F:$F=3)),1))"),"Cadavid")</f>
        <v>Cadavid</v>
      </c>
      <c r="AB102" s="5" t="str">
        <f>IFERROR(__xludf.DUMMYFUNCTION("IF(A102="""","""",INDEX(FILTER(Roster!$A:$A,(Roster!$C:$C=A102)*(Roster!$F:$F=4)),1))"),"Saenz")</f>
        <v>Saenz</v>
      </c>
      <c r="AC102" s="5" t="str">
        <f>IFERROR(__xludf.DUMMYFUNCTION("IF(A102="""","""",INDEX(FILTER(Roster!$A:$A,(Roster!$C:$C=A102)*(Roster!$F:$F=1)),1))"),"Otto Fenwarth")</f>
        <v>Otto Fenwarth</v>
      </c>
      <c r="AD102" s="5" t="str">
        <f>IFERROR(__xludf.DUMMYFUNCTION("IF(A102="""","""",INDEX(FILTER(Roster!$A:$A,(Roster!$C:$C=A102)*(Roster!$F:$F=2)),1))"),"Valenzuela")</f>
        <v>Valenzuela</v>
      </c>
      <c r="AE102" s="5">
        <v>0.0</v>
      </c>
      <c r="AF102" s="5">
        <v>0.0</v>
      </c>
      <c r="AG102" s="5" t="s">
        <v>350</v>
      </c>
      <c r="AH102" s="5">
        <v>0.0</v>
      </c>
      <c r="AI102" s="5">
        <v>-1.0</v>
      </c>
      <c r="AJ102" s="5">
        <v>0.0</v>
      </c>
      <c r="AK102" s="5" t="s">
        <v>350</v>
      </c>
      <c r="AL102" s="5" t="s">
        <v>351</v>
      </c>
      <c r="AM102" s="5">
        <v>-1.0</v>
      </c>
      <c r="AN102" s="5" t="s">
        <v>352</v>
      </c>
      <c r="AO102" s="5">
        <f t="shared" si="1"/>
        <v>0</v>
      </c>
      <c r="AP102" s="5">
        <f t="shared" si="2"/>
        <v>0</v>
      </c>
    </row>
    <row r="103">
      <c r="A103" s="5" t="s">
        <v>16</v>
      </c>
      <c r="B103" s="5">
        <v>3.0</v>
      </c>
      <c r="H103" s="5">
        <v>4.0</v>
      </c>
      <c r="I103" s="5">
        <v>0.0</v>
      </c>
      <c r="J103" s="5">
        <v>4.0</v>
      </c>
      <c r="R103" s="5">
        <v>4.0</v>
      </c>
      <c r="S103" s="5">
        <v>0.0</v>
      </c>
      <c r="T103" s="5">
        <v>4.0</v>
      </c>
      <c r="Y103" s="5" t="s">
        <v>353</v>
      </c>
      <c r="Z103" s="1" t="s">
        <v>371</v>
      </c>
      <c r="AA103" s="5" t="str">
        <f>IFERROR(__xludf.DUMMYFUNCTION("IF(A103="""","""",INDEX(FILTER(Roster!$A:$A,(Roster!$C:$C=A103)*(Roster!$F:$F=3)),1))"),"Cadavid")</f>
        <v>Cadavid</v>
      </c>
      <c r="AB103" s="5" t="str">
        <f>IFERROR(__xludf.DUMMYFUNCTION("IF(A103="""","""",INDEX(FILTER(Roster!$A:$A,(Roster!$C:$C=A103)*(Roster!$F:$F=4)),1))"),"Saenz")</f>
        <v>Saenz</v>
      </c>
      <c r="AC103" s="5" t="str">
        <f>IFERROR(__xludf.DUMMYFUNCTION("IF(A103="""","""",INDEX(FILTER(Roster!$A:$A,(Roster!$C:$C=A103)*(Roster!$F:$F=1)),1))"),"Otto Fenwarth")</f>
        <v>Otto Fenwarth</v>
      </c>
      <c r="AD103" s="5" t="str">
        <f>IFERROR(__xludf.DUMMYFUNCTION("IF(A103="""","""",INDEX(FILTER(Roster!$A:$A,(Roster!$C:$C=A103)*(Roster!$F:$F=2)),1))"),"Valenzuela")</f>
        <v>Valenzuela</v>
      </c>
      <c r="AE103" s="5">
        <v>0.0</v>
      </c>
      <c r="AF103" s="5">
        <v>0.0</v>
      </c>
      <c r="AG103" s="5" t="s">
        <v>350</v>
      </c>
      <c r="AH103" s="5">
        <v>0.0</v>
      </c>
      <c r="AI103" s="5">
        <v>0.0</v>
      </c>
      <c r="AJ103" s="5">
        <v>0.0</v>
      </c>
      <c r="AK103" s="5" t="s">
        <v>350</v>
      </c>
      <c r="AL103" s="5" t="s">
        <v>351</v>
      </c>
      <c r="AM103" s="5">
        <v>-1.0</v>
      </c>
      <c r="AN103" s="5" t="s">
        <v>352</v>
      </c>
      <c r="AO103" s="5">
        <f t="shared" si="1"/>
        <v>0</v>
      </c>
      <c r="AP103" s="5">
        <f t="shared" si="2"/>
        <v>0</v>
      </c>
    </row>
    <row r="104">
      <c r="A104" s="5" t="s">
        <v>16</v>
      </c>
      <c r="B104" s="5">
        <v>4.0</v>
      </c>
      <c r="H104" s="5">
        <v>4.0</v>
      </c>
      <c r="I104" s="5">
        <v>0.0</v>
      </c>
      <c r="J104" s="5">
        <v>4.0</v>
      </c>
      <c r="R104" s="5">
        <v>5.0</v>
      </c>
      <c r="S104" s="5">
        <v>0.0</v>
      </c>
      <c r="T104" s="5">
        <v>5.0</v>
      </c>
      <c r="Y104" s="5" t="s">
        <v>12</v>
      </c>
      <c r="Z104" s="1" t="s">
        <v>371</v>
      </c>
      <c r="AA104" s="5" t="str">
        <f>IFERROR(__xludf.DUMMYFUNCTION("IF(A104="""","""",INDEX(FILTER(Roster!$A:$A,(Roster!$C:$C=A104)*(Roster!$F:$F=3)),1))"),"Cadavid")</f>
        <v>Cadavid</v>
      </c>
      <c r="AB104" s="5" t="str">
        <f>IFERROR(__xludf.DUMMYFUNCTION("IF(A104="""","""",INDEX(FILTER(Roster!$A:$A,(Roster!$C:$C=A104)*(Roster!$F:$F=4)),1))"),"Saenz")</f>
        <v>Saenz</v>
      </c>
      <c r="AC104" s="5" t="str">
        <f>IFERROR(__xludf.DUMMYFUNCTION("IF(A104="""","""",INDEX(FILTER(Roster!$A:$A,(Roster!$C:$C=A104)*(Roster!$F:$F=1)),1))"),"Otto Fenwarth")</f>
        <v>Otto Fenwarth</v>
      </c>
      <c r="AD104" s="5" t="str">
        <f>IFERROR(__xludf.DUMMYFUNCTION("IF(A104="""","""",INDEX(FILTER(Roster!$A:$A,(Roster!$C:$C=A104)*(Roster!$F:$F=2)),1))"),"Valenzuela")</f>
        <v>Valenzuela</v>
      </c>
      <c r="AE104" s="5">
        <v>0.0</v>
      </c>
      <c r="AF104" s="5">
        <v>0.0</v>
      </c>
      <c r="AG104" s="5" t="s">
        <v>350</v>
      </c>
      <c r="AH104" s="5">
        <v>0.0</v>
      </c>
      <c r="AI104" s="5">
        <v>1.0</v>
      </c>
      <c r="AJ104" s="5">
        <v>0.0</v>
      </c>
      <c r="AK104" s="5" t="s">
        <v>350</v>
      </c>
      <c r="AL104" s="5" t="s">
        <v>351</v>
      </c>
      <c r="AM104" s="5">
        <v>0.0</v>
      </c>
      <c r="AN104" s="5" t="s">
        <v>350</v>
      </c>
      <c r="AO104" s="5">
        <f t="shared" si="1"/>
        <v>0</v>
      </c>
      <c r="AP104" s="5">
        <f t="shared" si="2"/>
        <v>0</v>
      </c>
    </row>
    <row r="105">
      <c r="A105" s="5" t="s">
        <v>16</v>
      </c>
      <c r="B105" s="5">
        <v>5.0</v>
      </c>
      <c r="H105" s="5">
        <v>3.0</v>
      </c>
      <c r="I105" s="5">
        <v>0.0</v>
      </c>
      <c r="J105" s="5">
        <v>3.0</v>
      </c>
      <c r="R105" s="5">
        <v>3.0</v>
      </c>
      <c r="S105" s="5">
        <v>1.0</v>
      </c>
      <c r="T105" s="5">
        <v>2.0</v>
      </c>
      <c r="Y105" s="5" t="s">
        <v>7</v>
      </c>
      <c r="Z105" s="1" t="s">
        <v>371</v>
      </c>
      <c r="AA105" s="5" t="str">
        <f>IFERROR(__xludf.DUMMYFUNCTION("IF(A105="""","""",INDEX(FILTER(Roster!$A:$A,(Roster!$C:$C=A105)*(Roster!$F:$F=3)),1))"),"Cadavid")</f>
        <v>Cadavid</v>
      </c>
      <c r="AB105" s="5" t="str">
        <f>IFERROR(__xludf.DUMMYFUNCTION("IF(A105="""","""",INDEX(FILTER(Roster!$A:$A,(Roster!$C:$C=A105)*(Roster!$F:$F=4)),1))"),"Saenz")</f>
        <v>Saenz</v>
      </c>
      <c r="AC105" s="5" t="str">
        <f>IFERROR(__xludf.DUMMYFUNCTION("IF(A105="""","""",INDEX(FILTER(Roster!$A:$A,(Roster!$C:$C=A105)*(Roster!$F:$F=1)),1))"),"Otto Fenwarth")</f>
        <v>Otto Fenwarth</v>
      </c>
      <c r="AD105" s="5" t="str">
        <f>IFERROR(__xludf.DUMMYFUNCTION("IF(A105="""","""",INDEX(FILTER(Roster!$A:$A,(Roster!$C:$C=A105)*(Roster!$F:$F=2)),1))"),"Valenzuela")</f>
        <v>Valenzuela</v>
      </c>
      <c r="AE105" s="5">
        <v>0.0</v>
      </c>
      <c r="AF105" s="5">
        <v>0.0</v>
      </c>
      <c r="AG105" s="5" t="s">
        <v>350</v>
      </c>
      <c r="AH105" s="5">
        <v>0.0</v>
      </c>
      <c r="AI105" s="5">
        <v>-1.0</v>
      </c>
      <c r="AJ105" s="5">
        <v>0.0</v>
      </c>
      <c r="AK105" s="5" t="s">
        <v>350</v>
      </c>
      <c r="AL105" s="5" t="s">
        <v>351</v>
      </c>
      <c r="AM105" s="5">
        <v>-1.0</v>
      </c>
      <c r="AN105" s="5" t="s">
        <v>352</v>
      </c>
      <c r="AO105" s="5">
        <f t="shared" si="1"/>
        <v>0</v>
      </c>
      <c r="AP105" s="5">
        <f t="shared" si="2"/>
        <v>0</v>
      </c>
    </row>
    <row r="106">
      <c r="A106" s="5" t="s">
        <v>16</v>
      </c>
      <c r="B106" s="5">
        <v>6.0</v>
      </c>
      <c r="H106" s="5">
        <v>5.0</v>
      </c>
      <c r="I106" s="5">
        <v>1.0</v>
      </c>
      <c r="J106" s="5">
        <v>4.0</v>
      </c>
      <c r="R106" s="5">
        <v>4.0</v>
      </c>
      <c r="S106" s="5">
        <v>1.0</v>
      </c>
      <c r="T106" s="5">
        <v>3.0</v>
      </c>
      <c r="Y106" s="5" t="s">
        <v>7</v>
      </c>
      <c r="Z106" s="1" t="s">
        <v>371</v>
      </c>
      <c r="AA106" s="5" t="str">
        <f>IFERROR(__xludf.DUMMYFUNCTION("IF(A106="""","""",INDEX(FILTER(Roster!$A:$A,(Roster!$C:$C=A106)*(Roster!$F:$F=3)),1))"),"Cadavid")</f>
        <v>Cadavid</v>
      </c>
      <c r="AB106" s="5" t="str">
        <f>IFERROR(__xludf.DUMMYFUNCTION("IF(A106="""","""",INDEX(FILTER(Roster!$A:$A,(Roster!$C:$C=A106)*(Roster!$F:$F=4)),1))"),"Saenz")</f>
        <v>Saenz</v>
      </c>
      <c r="AC106" s="5" t="str">
        <f>IFERROR(__xludf.DUMMYFUNCTION("IF(A106="""","""",INDEX(FILTER(Roster!$A:$A,(Roster!$C:$C=A106)*(Roster!$F:$F=1)),1))"),"Otto Fenwarth")</f>
        <v>Otto Fenwarth</v>
      </c>
      <c r="AD106" s="5" t="str">
        <f>IFERROR(__xludf.DUMMYFUNCTION("IF(A106="""","""",INDEX(FILTER(Roster!$A:$A,(Roster!$C:$C=A106)*(Roster!$F:$F=2)),1))"),"Valenzuela")</f>
        <v>Valenzuela</v>
      </c>
      <c r="AE106" s="5">
        <v>0.0</v>
      </c>
      <c r="AF106" s="5">
        <v>0.0</v>
      </c>
      <c r="AG106" s="5" t="s">
        <v>350</v>
      </c>
      <c r="AH106" s="5">
        <v>0.0</v>
      </c>
      <c r="AI106" s="5">
        <v>-1.0</v>
      </c>
      <c r="AJ106" s="5">
        <v>0.0</v>
      </c>
      <c r="AK106" s="5" t="s">
        <v>350</v>
      </c>
      <c r="AL106" s="5" t="s">
        <v>351</v>
      </c>
      <c r="AM106" s="5">
        <v>-2.0</v>
      </c>
      <c r="AN106" s="5" t="s">
        <v>354</v>
      </c>
      <c r="AO106" s="5">
        <f t="shared" si="1"/>
        <v>0</v>
      </c>
      <c r="AP106" s="5">
        <f t="shared" si="2"/>
        <v>0</v>
      </c>
    </row>
    <row r="107">
      <c r="A107" s="5" t="s">
        <v>16</v>
      </c>
      <c r="B107" s="5">
        <v>7.0</v>
      </c>
      <c r="H107" s="5">
        <v>4.0</v>
      </c>
      <c r="I107" s="5">
        <v>0.0</v>
      </c>
      <c r="J107" s="5">
        <v>4.0</v>
      </c>
      <c r="R107" s="5">
        <v>3.0</v>
      </c>
      <c r="S107" s="5">
        <v>0.0</v>
      </c>
      <c r="T107" s="5">
        <v>3.0</v>
      </c>
      <c r="Y107" s="5" t="s">
        <v>7</v>
      </c>
      <c r="Z107" s="1" t="s">
        <v>371</v>
      </c>
      <c r="AA107" s="5" t="str">
        <f>IFERROR(__xludf.DUMMYFUNCTION("IF(A107="""","""",INDEX(FILTER(Roster!$A:$A,(Roster!$C:$C=A107)*(Roster!$F:$F=3)),1))"),"Cadavid")</f>
        <v>Cadavid</v>
      </c>
      <c r="AB107" s="5" t="str">
        <f>IFERROR(__xludf.DUMMYFUNCTION("IF(A107="""","""",INDEX(FILTER(Roster!$A:$A,(Roster!$C:$C=A107)*(Roster!$F:$F=4)),1))"),"Saenz")</f>
        <v>Saenz</v>
      </c>
      <c r="AC107" s="5" t="str">
        <f>IFERROR(__xludf.DUMMYFUNCTION("IF(A107="""","""",INDEX(FILTER(Roster!$A:$A,(Roster!$C:$C=A107)*(Roster!$F:$F=1)),1))"),"Otto Fenwarth")</f>
        <v>Otto Fenwarth</v>
      </c>
      <c r="AD107" s="5" t="str">
        <f>IFERROR(__xludf.DUMMYFUNCTION("IF(A107="""","""",INDEX(FILTER(Roster!$A:$A,(Roster!$C:$C=A107)*(Roster!$F:$F=2)),1))"),"Valenzuela")</f>
        <v>Valenzuela</v>
      </c>
      <c r="AE107" s="5">
        <v>0.0</v>
      </c>
      <c r="AF107" s="5">
        <v>0.0</v>
      </c>
      <c r="AG107" s="5" t="s">
        <v>350</v>
      </c>
      <c r="AH107" s="5">
        <v>0.0</v>
      </c>
      <c r="AI107" s="5">
        <v>-1.0</v>
      </c>
      <c r="AJ107" s="5">
        <v>0.0</v>
      </c>
      <c r="AK107" s="5" t="s">
        <v>350</v>
      </c>
      <c r="AL107" s="5" t="s">
        <v>351</v>
      </c>
      <c r="AM107" s="5">
        <v>-3.0</v>
      </c>
      <c r="AN107" s="5" t="s">
        <v>358</v>
      </c>
      <c r="AO107" s="5">
        <f t="shared" si="1"/>
        <v>0</v>
      </c>
      <c r="AP107" s="5">
        <f t="shared" si="2"/>
        <v>0</v>
      </c>
    </row>
    <row r="108">
      <c r="A108" s="5" t="s">
        <v>16</v>
      </c>
      <c r="B108" s="5">
        <v>8.0</v>
      </c>
      <c r="H108" s="5">
        <v>6.0</v>
      </c>
      <c r="I108" s="5">
        <v>0.0</v>
      </c>
      <c r="J108" s="5">
        <v>6.0</v>
      </c>
      <c r="R108" s="5">
        <v>6.0</v>
      </c>
      <c r="S108" s="5">
        <v>0.0</v>
      </c>
      <c r="T108" s="5">
        <v>6.0</v>
      </c>
      <c r="Y108" s="5" t="s">
        <v>353</v>
      </c>
      <c r="Z108" s="1" t="s">
        <v>371</v>
      </c>
      <c r="AA108" s="5" t="str">
        <f>IFERROR(__xludf.DUMMYFUNCTION("IF(A108="""","""",INDEX(FILTER(Roster!$A:$A,(Roster!$C:$C=A108)*(Roster!$F:$F=3)),1))"),"Cadavid")</f>
        <v>Cadavid</v>
      </c>
      <c r="AB108" s="5" t="str">
        <f>IFERROR(__xludf.DUMMYFUNCTION("IF(A108="""","""",INDEX(FILTER(Roster!$A:$A,(Roster!$C:$C=A108)*(Roster!$F:$F=4)),1))"),"Saenz")</f>
        <v>Saenz</v>
      </c>
      <c r="AC108" s="5" t="str">
        <f>IFERROR(__xludf.DUMMYFUNCTION("IF(A108="""","""",INDEX(FILTER(Roster!$A:$A,(Roster!$C:$C=A108)*(Roster!$F:$F=1)),1))"),"Otto Fenwarth")</f>
        <v>Otto Fenwarth</v>
      </c>
      <c r="AD108" s="5" t="str">
        <f>IFERROR(__xludf.DUMMYFUNCTION("IF(A108="""","""",INDEX(FILTER(Roster!$A:$A,(Roster!$C:$C=A108)*(Roster!$F:$F=2)),1))"),"Valenzuela")</f>
        <v>Valenzuela</v>
      </c>
      <c r="AE108" s="5">
        <v>0.0</v>
      </c>
      <c r="AF108" s="5">
        <v>0.0</v>
      </c>
      <c r="AG108" s="5" t="s">
        <v>350</v>
      </c>
      <c r="AH108" s="5">
        <v>0.0</v>
      </c>
      <c r="AI108" s="5">
        <v>0.0</v>
      </c>
      <c r="AJ108" s="5">
        <v>0.0</v>
      </c>
      <c r="AK108" s="5" t="s">
        <v>350</v>
      </c>
      <c r="AL108" s="5" t="s">
        <v>351</v>
      </c>
      <c r="AM108" s="5">
        <v>-3.0</v>
      </c>
      <c r="AN108" s="5" t="s">
        <v>358</v>
      </c>
      <c r="AO108" s="5">
        <f t="shared" si="1"/>
        <v>0</v>
      </c>
      <c r="AP108" s="5">
        <f t="shared" si="2"/>
        <v>0</v>
      </c>
    </row>
    <row r="109">
      <c r="A109" s="5" t="s">
        <v>16</v>
      </c>
      <c r="B109" s="5">
        <v>9.0</v>
      </c>
      <c r="H109" s="5">
        <v>5.0</v>
      </c>
      <c r="I109" s="5">
        <v>1.0</v>
      </c>
      <c r="J109" s="5">
        <v>4.0</v>
      </c>
      <c r="R109" s="5">
        <v>5.0</v>
      </c>
      <c r="S109" s="5">
        <v>1.0</v>
      </c>
      <c r="T109" s="5">
        <v>4.0</v>
      </c>
      <c r="Y109" s="5" t="s">
        <v>353</v>
      </c>
      <c r="Z109" s="1" t="s">
        <v>371</v>
      </c>
      <c r="AA109" s="5" t="str">
        <f>IFERROR(__xludf.DUMMYFUNCTION("IF(A109="""","""",INDEX(FILTER(Roster!$A:$A,(Roster!$C:$C=A109)*(Roster!$F:$F=3)),1))"),"Cadavid")</f>
        <v>Cadavid</v>
      </c>
      <c r="AB109" s="5" t="str">
        <f>IFERROR(__xludf.DUMMYFUNCTION("IF(A109="""","""",INDEX(FILTER(Roster!$A:$A,(Roster!$C:$C=A109)*(Roster!$F:$F=4)),1))"),"Saenz")</f>
        <v>Saenz</v>
      </c>
      <c r="AC109" s="5" t="str">
        <f>IFERROR(__xludf.DUMMYFUNCTION("IF(A109="""","""",INDEX(FILTER(Roster!$A:$A,(Roster!$C:$C=A109)*(Roster!$F:$F=1)),1))"),"Otto Fenwarth")</f>
        <v>Otto Fenwarth</v>
      </c>
      <c r="AD109" s="5" t="str">
        <f>IFERROR(__xludf.DUMMYFUNCTION("IF(A109="""","""",INDEX(FILTER(Roster!$A:$A,(Roster!$C:$C=A109)*(Roster!$F:$F=2)),1))"),"Valenzuela")</f>
        <v>Valenzuela</v>
      </c>
      <c r="AE109" s="5">
        <v>0.0</v>
      </c>
      <c r="AF109" s="5">
        <v>0.0</v>
      </c>
      <c r="AG109" s="5" t="s">
        <v>350</v>
      </c>
      <c r="AH109" s="5">
        <v>0.0</v>
      </c>
      <c r="AI109" s="5">
        <v>0.0</v>
      </c>
      <c r="AJ109" s="5">
        <v>0.0</v>
      </c>
      <c r="AK109" s="5" t="s">
        <v>350</v>
      </c>
      <c r="AL109" s="5" t="s">
        <v>351</v>
      </c>
      <c r="AM109" s="5">
        <v>-3.0</v>
      </c>
      <c r="AN109" s="5" t="s">
        <v>358</v>
      </c>
      <c r="AO109" s="5">
        <f t="shared" si="1"/>
        <v>0</v>
      </c>
      <c r="AP109" s="5">
        <f t="shared" si="2"/>
        <v>0</v>
      </c>
    </row>
    <row r="110">
      <c r="A110" s="5" t="str">
        <f t="array" ref="A110:A118">Calc_Engine!A58:A66</f>
        <v>Flight_3</v>
      </c>
      <c r="B110" s="5">
        <f t="array" ref="B110:B118">Calc_Engine!B58:B66</f>
        <v>1</v>
      </c>
      <c r="C110" s="5">
        <f t="array" ref="C110:C118">Calc_Engine!C58:C66</f>
        <v>4</v>
      </c>
      <c r="D110" s="5">
        <f t="array" ref="D110:D118">Calc_Engine!D58:D66</f>
        <v>1</v>
      </c>
      <c r="E110" s="5">
        <f t="array" ref="E110:E118">Calc_Engine!E58:E66</f>
        <v>3</v>
      </c>
      <c r="M110" s="5">
        <f t="array" ref="M110:M118">Calc_Engine!M58:M66</f>
        <v>7</v>
      </c>
      <c r="N110" s="5">
        <f t="array" ref="N110:N118">Calc_Engine!N58:N66</f>
        <v>1</v>
      </c>
      <c r="O110" s="5">
        <f t="array" ref="O110:O118">Calc_Engine!O58:O66</f>
        <v>6</v>
      </c>
      <c r="X110" s="5" t="str">
        <f t="array" ref="X110:X118">Calc_Engine!X58:X66</f>
        <v>Red</v>
      </c>
      <c r="Z110" s="1" t="s">
        <v>372</v>
      </c>
      <c r="AA110" s="5" t="str">
        <f>IFERROR(__xludf.DUMMYFUNCTION("IF(A110="""","""",INDEX(FILTER(Roster!$A:$A,(Roster!$C:$C=A110)*(Roster!$F:$F=3)),1))"),"Berris")</f>
        <v>Berris</v>
      </c>
      <c r="AB110" s="5" t="str">
        <f>IFERROR(__xludf.DUMMYFUNCTION("IF(A110="""","""",INDEX(FILTER(Roster!$A:$A,(Roster!$C:$C=A110)*(Roster!$F:$F=4)),1))"),"Pablo Rueda")</f>
        <v>Pablo Rueda</v>
      </c>
      <c r="AC110" s="5" t="str">
        <f>IFERROR(__xludf.DUMMYFUNCTION("IF(A110="""","""",INDEX(FILTER(Roster!$A:$A,(Roster!$C:$C=A110)*(Roster!$F:$F=1)),1))"),"Vargas")</f>
        <v>Vargas</v>
      </c>
      <c r="AD110" s="5" t="str">
        <f>IFERROR(__xludf.DUMMYFUNCTION("IF(A110="""","""",INDEX(FILTER(Roster!$A:$A,(Roster!$C:$C=A110)*(Roster!$F:$F=2)),1))"),"Mon")</f>
        <v>Mon</v>
      </c>
      <c r="AE110" s="5">
        <v>0.0</v>
      </c>
      <c r="AF110" s="5">
        <v>0.0</v>
      </c>
      <c r="AG110" s="5" t="s">
        <v>350</v>
      </c>
      <c r="AH110" s="5">
        <v>1.0</v>
      </c>
      <c r="AI110" s="5">
        <v>0.0</v>
      </c>
      <c r="AJ110" s="5">
        <v>1.0</v>
      </c>
      <c r="AK110" s="5" t="s">
        <v>352</v>
      </c>
      <c r="AL110" s="5" t="s">
        <v>368</v>
      </c>
      <c r="AM110" s="5">
        <v>0.0</v>
      </c>
      <c r="AN110" s="5" t="s">
        <v>350</v>
      </c>
      <c r="AO110" s="5">
        <f t="shared" si="1"/>
        <v>0</v>
      </c>
      <c r="AP110" s="5">
        <f t="shared" si="2"/>
        <v>0</v>
      </c>
    </row>
    <row r="111">
      <c r="A111" s="5" t="s">
        <v>21</v>
      </c>
      <c r="B111" s="5">
        <v>2.0</v>
      </c>
      <c r="C111" s="5">
        <v>5.0</v>
      </c>
      <c r="D111" s="5">
        <v>1.0</v>
      </c>
      <c r="E111" s="5">
        <v>4.0</v>
      </c>
      <c r="M111" s="5">
        <v>6.0</v>
      </c>
      <c r="N111" s="5">
        <v>1.0</v>
      </c>
      <c r="O111" s="5">
        <v>5.0</v>
      </c>
      <c r="X111" s="5" t="s">
        <v>12</v>
      </c>
      <c r="Z111" s="1" t="s">
        <v>372</v>
      </c>
      <c r="AA111" s="5" t="str">
        <f>IFERROR(__xludf.DUMMYFUNCTION("IF(A111="""","""",INDEX(FILTER(Roster!$A:$A,(Roster!$C:$C=A111)*(Roster!$F:$F=3)),1))"),"Berris")</f>
        <v>Berris</v>
      </c>
      <c r="AB111" s="5" t="str">
        <f>IFERROR(__xludf.DUMMYFUNCTION("IF(A111="""","""",INDEX(FILTER(Roster!$A:$A,(Roster!$C:$C=A111)*(Roster!$F:$F=4)),1))"),"Pablo Rueda")</f>
        <v>Pablo Rueda</v>
      </c>
      <c r="AC111" s="5" t="str">
        <f>IFERROR(__xludf.DUMMYFUNCTION("IF(A111="""","""",INDEX(FILTER(Roster!$A:$A,(Roster!$C:$C=A111)*(Roster!$F:$F=1)),1))"),"Vargas")</f>
        <v>Vargas</v>
      </c>
      <c r="AD111" s="5" t="str">
        <f>IFERROR(__xludf.DUMMYFUNCTION("IF(A111="""","""",INDEX(FILTER(Roster!$A:$A,(Roster!$C:$C=A111)*(Roster!$F:$F=2)),1))"),"Mon")</f>
        <v>Mon</v>
      </c>
      <c r="AE111" s="5">
        <v>0.0</v>
      </c>
      <c r="AF111" s="5">
        <v>0.0</v>
      </c>
      <c r="AG111" s="5" t="s">
        <v>350</v>
      </c>
      <c r="AH111" s="5">
        <v>1.0</v>
      </c>
      <c r="AI111" s="5">
        <v>0.0</v>
      </c>
      <c r="AJ111" s="5">
        <v>2.0</v>
      </c>
      <c r="AK111" s="5" t="s">
        <v>354</v>
      </c>
      <c r="AL111" s="5" t="s">
        <v>368</v>
      </c>
      <c r="AM111" s="5">
        <v>0.0</v>
      </c>
      <c r="AN111" s="5" t="s">
        <v>350</v>
      </c>
      <c r="AO111" s="5">
        <f t="shared" si="1"/>
        <v>0</v>
      </c>
      <c r="AP111" s="5">
        <f t="shared" si="2"/>
        <v>0</v>
      </c>
    </row>
    <row r="112">
      <c r="A112" s="5" t="s">
        <v>21</v>
      </c>
      <c r="B112" s="5">
        <v>3.0</v>
      </c>
      <c r="C112" s="5">
        <v>4.0</v>
      </c>
      <c r="D112" s="5">
        <v>0.0</v>
      </c>
      <c r="E112" s="5">
        <v>4.0</v>
      </c>
      <c r="M112" s="5">
        <v>5.0</v>
      </c>
      <c r="N112" s="5">
        <v>0.0</v>
      </c>
      <c r="O112" s="5">
        <v>5.0</v>
      </c>
      <c r="X112" s="5" t="s">
        <v>12</v>
      </c>
      <c r="Z112" s="1" t="s">
        <v>372</v>
      </c>
      <c r="AA112" s="5" t="str">
        <f>IFERROR(__xludf.DUMMYFUNCTION("IF(A112="""","""",INDEX(FILTER(Roster!$A:$A,(Roster!$C:$C=A112)*(Roster!$F:$F=3)),1))"),"Berris")</f>
        <v>Berris</v>
      </c>
      <c r="AB112" s="5" t="str">
        <f>IFERROR(__xludf.DUMMYFUNCTION("IF(A112="""","""",INDEX(FILTER(Roster!$A:$A,(Roster!$C:$C=A112)*(Roster!$F:$F=4)),1))"),"Pablo Rueda")</f>
        <v>Pablo Rueda</v>
      </c>
      <c r="AC112" s="5" t="str">
        <f>IFERROR(__xludf.DUMMYFUNCTION("IF(A112="""","""",INDEX(FILTER(Roster!$A:$A,(Roster!$C:$C=A112)*(Roster!$F:$F=1)),1))"),"Vargas")</f>
        <v>Vargas</v>
      </c>
      <c r="AD112" s="5" t="str">
        <f>IFERROR(__xludf.DUMMYFUNCTION("IF(A112="""","""",INDEX(FILTER(Roster!$A:$A,(Roster!$C:$C=A112)*(Roster!$F:$F=2)),1))"),"Mon")</f>
        <v>Mon</v>
      </c>
      <c r="AE112" s="5">
        <v>0.0</v>
      </c>
      <c r="AF112" s="5">
        <v>0.0</v>
      </c>
      <c r="AG112" s="5" t="s">
        <v>350</v>
      </c>
      <c r="AH112" s="5">
        <v>1.0</v>
      </c>
      <c r="AI112" s="5">
        <v>0.0</v>
      </c>
      <c r="AJ112" s="5">
        <v>3.0</v>
      </c>
      <c r="AK112" s="5" t="s">
        <v>358</v>
      </c>
      <c r="AL112" s="5" t="s">
        <v>368</v>
      </c>
      <c r="AM112" s="5">
        <v>0.0</v>
      </c>
      <c r="AN112" s="5" t="s">
        <v>350</v>
      </c>
      <c r="AO112" s="5">
        <f t="shared" si="1"/>
        <v>0</v>
      </c>
      <c r="AP112" s="5">
        <f t="shared" si="2"/>
        <v>0</v>
      </c>
    </row>
    <row r="113">
      <c r="A113" s="5" t="s">
        <v>21</v>
      </c>
      <c r="B113" s="5">
        <v>4.0</v>
      </c>
      <c r="C113" s="5">
        <v>3.0</v>
      </c>
      <c r="D113" s="5">
        <v>0.0</v>
      </c>
      <c r="E113" s="5">
        <v>3.0</v>
      </c>
      <c r="M113" s="5">
        <v>5.0</v>
      </c>
      <c r="N113" s="5">
        <v>0.0</v>
      </c>
      <c r="O113" s="5">
        <v>5.0</v>
      </c>
      <c r="X113" s="5" t="s">
        <v>12</v>
      </c>
      <c r="Z113" s="1" t="s">
        <v>372</v>
      </c>
      <c r="AA113" s="5" t="str">
        <f>IFERROR(__xludf.DUMMYFUNCTION("IF(A113="""","""",INDEX(FILTER(Roster!$A:$A,(Roster!$C:$C=A113)*(Roster!$F:$F=3)),1))"),"Berris")</f>
        <v>Berris</v>
      </c>
      <c r="AB113" s="5" t="str">
        <f>IFERROR(__xludf.DUMMYFUNCTION("IF(A113="""","""",INDEX(FILTER(Roster!$A:$A,(Roster!$C:$C=A113)*(Roster!$F:$F=4)),1))"),"Pablo Rueda")</f>
        <v>Pablo Rueda</v>
      </c>
      <c r="AC113" s="5" t="str">
        <f>IFERROR(__xludf.DUMMYFUNCTION("IF(A113="""","""",INDEX(FILTER(Roster!$A:$A,(Roster!$C:$C=A113)*(Roster!$F:$F=1)),1))"),"Vargas")</f>
        <v>Vargas</v>
      </c>
      <c r="AD113" s="5" t="str">
        <f>IFERROR(__xludf.DUMMYFUNCTION("IF(A113="""","""",INDEX(FILTER(Roster!$A:$A,(Roster!$C:$C=A113)*(Roster!$F:$F=2)),1))"),"Mon")</f>
        <v>Mon</v>
      </c>
      <c r="AE113" s="5">
        <v>0.0</v>
      </c>
      <c r="AF113" s="5">
        <v>0.0</v>
      </c>
      <c r="AG113" s="5" t="s">
        <v>350</v>
      </c>
      <c r="AH113" s="5">
        <v>1.0</v>
      </c>
      <c r="AI113" s="5">
        <v>0.0</v>
      </c>
      <c r="AJ113" s="5">
        <v>4.0</v>
      </c>
      <c r="AK113" s="5" t="s">
        <v>359</v>
      </c>
      <c r="AL113" s="5" t="s">
        <v>368</v>
      </c>
      <c r="AM113" s="5">
        <v>0.0</v>
      </c>
      <c r="AN113" s="5" t="s">
        <v>350</v>
      </c>
      <c r="AO113" s="5">
        <f t="shared" si="1"/>
        <v>0</v>
      </c>
      <c r="AP113" s="5">
        <f t="shared" si="2"/>
        <v>0</v>
      </c>
    </row>
    <row r="114">
      <c r="A114" s="5" t="s">
        <v>21</v>
      </c>
      <c r="B114" s="5">
        <v>5.0</v>
      </c>
      <c r="C114" s="5">
        <v>4.0</v>
      </c>
      <c r="D114" s="5">
        <v>1.0</v>
      </c>
      <c r="E114" s="5">
        <v>3.0</v>
      </c>
      <c r="M114" s="5">
        <v>4.0</v>
      </c>
      <c r="N114" s="5">
        <v>1.0</v>
      </c>
      <c r="O114" s="5">
        <v>3.0</v>
      </c>
      <c r="X114" s="5" t="s">
        <v>353</v>
      </c>
      <c r="Z114" s="1" t="s">
        <v>372</v>
      </c>
      <c r="AA114" s="5" t="str">
        <f>IFERROR(__xludf.DUMMYFUNCTION("IF(A114="""","""",INDEX(FILTER(Roster!$A:$A,(Roster!$C:$C=A114)*(Roster!$F:$F=3)),1))"),"Berris")</f>
        <v>Berris</v>
      </c>
      <c r="AB114" s="5" t="str">
        <f>IFERROR(__xludf.DUMMYFUNCTION("IF(A114="""","""",INDEX(FILTER(Roster!$A:$A,(Roster!$C:$C=A114)*(Roster!$F:$F=4)),1))"),"Pablo Rueda")</f>
        <v>Pablo Rueda</v>
      </c>
      <c r="AC114" s="5" t="str">
        <f>IFERROR(__xludf.DUMMYFUNCTION("IF(A114="""","""",INDEX(FILTER(Roster!$A:$A,(Roster!$C:$C=A114)*(Roster!$F:$F=1)),1))"),"Vargas")</f>
        <v>Vargas</v>
      </c>
      <c r="AD114" s="5" t="str">
        <f>IFERROR(__xludf.DUMMYFUNCTION("IF(A114="""","""",INDEX(FILTER(Roster!$A:$A,(Roster!$C:$C=A114)*(Roster!$F:$F=2)),1))"),"Mon")</f>
        <v>Mon</v>
      </c>
      <c r="AE114" s="5">
        <v>0.0</v>
      </c>
      <c r="AF114" s="5">
        <v>0.0</v>
      </c>
      <c r="AG114" s="5" t="s">
        <v>350</v>
      </c>
      <c r="AH114" s="5">
        <v>0.0</v>
      </c>
      <c r="AI114" s="5">
        <v>0.0</v>
      </c>
      <c r="AJ114" s="5">
        <v>4.0</v>
      </c>
      <c r="AK114" s="5" t="s">
        <v>359</v>
      </c>
      <c r="AL114" s="5" t="s">
        <v>368</v>
      </c>
      <c r="AM114" s="5">
        <v>0.0</v>
      </c>
      <c r="AN114" s="5" t="s">
        <v>350</v>
      </c>
      <c r="AO114" s="5">
        <f t="shared" si="1"/>
        <v>0</v>
      </c>
      <c r="AP114" s="5">
        <f t="shared" si="2"/>
        <v>0</v>
      </c>
    </row>
    <row r="115">
      <c r="A115" s="5" t="s">
        <v>21</v>
      </c>
      <c r="B115" s="5">
        <v>6.0</v>
      </c>
      <c r="C115" s="5">
        <v>4.0</v>
      </c>
      <c r="D115" s="5">
        <v>1.0</v>
      </c>
      <c r="E115" s="5">
        <v>3.0</v>
      </c>
      <c r="M115" s="5">
        <v>4.0</v>
      </c>
      <c r="N115" s="5">
        <v>1.0</v>
      </c>
      <c r="O115" s="5">
        <v>3.0</v>
      </c>
      <c r="X115" s="5" t="s">
        <v>353</v>
      </c>
      <c r="Z115" s="1" t="s">
        <v>372</v>
      </c>
      <c r="AA115" s="5" t="str">
        <f>IFERROR(__xludf.DUMMYFUNCTION("IF(A115="""","""",INDEX(FILTER(Roster!$A:$A,(Roster!$C:$C=A115)*(Roster!$F:$F=3)),1))"),"Berris")</f>
        <v>Berris</v>
      </c>
      <c r="AB115" s="5" t="str">
        <f>IFERROR(__xludf.DUMMYFUNCTION("IF(A115="""","""",INDEX(FILTER(Roster!$A:$A,(Roster!$C:$C=A115)*(Roster!$F:$F=4)),1))"),"Pablo Rueda")</f>
        <v>Pablo Rueda</v>
      </c>
      <c r="AC115" s="5" t="str">
        <f>IFERROR(__xludf.DUMMYFUNCTION("IF(A115="""","""",INDEX(FILTER(Roster!$A:$A,(Roster!$C:$C=A115)*(Roster!$F:$F=1)),1))"),"Vargas")</f>
        <v>Vargas</v>
      </c>
      <c r="AD115" s="5" t="str">
        <f>IFERROR(__xludf.DUMMYFUNCTION("IF(A115="""","""",INDEX(FILTER(Roster!$A:$A,(Roster!$C:$C=A115)*(Roster!$F:$F=2)),1))"),"Mon")</f>
        <v>Mon</v>
      </c>
      <c r="AE115" s="5">
        <v>0.0</v>
      </c>
      <c r="AF115" s="5">
        <v>0.0</v>
      </c>
      <c r="AG115" s="5" t="s">
        <v>350</v>
      </c>
      <c r="AH115" s="5">
        <v>0.0</v>
      </c>
      <c r="AI115" s="5">
        <v>0.0</v>
      </c>
      <c r="AJ115" s="5">
        <v>4.0</v>
      </c>
      <c r="AK115" s="5" t="s">
        <v>359</v>
      </c>
      <c r="AL115" s="5" t="s">
        <v>368</v>
      </c>
      <c r="AM115" s="5">
        <v>0.0</v>
      </c>
      <c r="AN115" s="5" t="s">
        <v>350</v>
      </c>
      <c r="AO115" s="5">
        <f t="shared" si="1"/>
        <v>0</v>
      </c>
      <c r="AP115" s="5">
        <f t="shared" si="2"/>
        <v>0</v>
      </c>
    </row>
    <row r="116">
      <c r="A116" s="5" t="s">
        <v>21</v>
      </c>
      <c r="B116" s="5">
        <v>7.0</v>
      </c>
      <c r="C116" s="5">
        <v>3.0</v>
      </c>
      <c r="D116" s="5">
        <v>0.0</v>
      </c>
      <c r="E116" s="5">
        <v>3.0</v>
      </c>
      <c r="M116" s="5">
        <v>3.0</v>
      </c>
      <c r="N116" s="5">
        <v>0.0</v>
      </c>
      <c r="O116" s="5">
        <v>3.0</v>
      </c>
      <c r="X116" s="5" t="s">
        <v>353</v>
      </c>
      <c r="Z116" s="1" t="s">
        <v>372</v>
      </c>
      <c r="AA116" s="5" t="str">
        <f>IFERROR(__xludf.DUMMYFUNCTION("IF(A116="""","""",INDEX(FILTER(Roster!$A:$A,(Roster!$C:$C=A116)*(Roster!$F:$F=3)),1))"),"Berris")</f>
        <v>Berris</v>
      </c>
      <c r="AB116" s="5" t="str">
        <f>IFERROR(__xludf.DUMMYFUNCTION("IF(A116="""","""",INDEX(FILTER(Roster!$A:$A,(Roster!$C:$C=A116)*(Roster!$F:$F=4)),1))"),"Pablo Rueda")</f>
        <v>Pablo Rueda</v>
      </c>
      <c r="AC116" s="5" t="str">
        <f>IFERROR(__xludf.DUMMYFUNCTION("IF(A116="""","""",INDEX(FILTER(Roster!$A:$A,(Roster!$C:$C=A116)*(Roster!$F:$F=1)),1))"),"Vargas")</f>
        <v>Vargas</v>
      </c>
      <c r="AD116" s="5" t="str">
        <f>IFERROR(__xludf.DUMMYFUNCTION("IF(A116="""","""",INDEX(FILTER(Roster!$A:$A,(Roster!$C:$C=A116)*(Roster!$F:$F=2)),1))"),"Mon")</f>
        <v>Mon</v>
      </c>
      <c r="AE116" s="5">
        <v>0.0</v>
      </c>
      <c r="AF116" s="5">
        <v>0.0</v>
      </c>
      <c r="AG116" s="5" t="s">
        <v>350</v>
      </c>
      <c r="AH116" s="5">
        <v>0.0</v>
      </c>
      <c r="AI116" s="5">
        <v>0.0</v>
      </c>
      <c r="AJ116" s="5">
        <v>4.0</v>
      </c>
      <c r="AK116" s="5" t="s">
        <v>359</v>
      </c>
      <c r="AL116" s="5" t="s">
        <v>368</v>
      </c>
      <c r="AM116" s="5">
        <v>0.0</v>
      </c>
      <c r="AN116" s="5" t="s">
        <v>350</v>
      </c>
      <c r="AO116" s="5">
        <f t="shared" si="1"/>
        <v>0</v>
      </c>
      <c r="AP116" s="5">
        <f t="shared" si="2"/>
        <v>0</v>
      </c>
    </row>
    <row r="117">
      <c r="A117" s="5" t="s">
        <v>21</v>
      </c>
      <c r="B117" s="5">
        <v>8.0</v>
      </c>
      <c r="C117" s="5">
        <v>6.0</v>
      </c>
      <c r="D117" s="5">
        <v>0.0</v>
      </c>
      <c r="E117" s="5">
        <v>6.0</v>
      </c>
      <c r="M117" s="5">
        <v>5.0</v>
      </c>
      <c r="N117" s="5">
        <v>1.0</v>
      </c>
      <c r="O117" s="5">
        <v>4.0</v>
      </c>
      <c r="X117" s="5" t="s">
        <v>7</v>
      </c>
      <c r="Z117" s="1" t="s">
        <v>372</v>
      </c>
      <c r="AA117" s="5" t="str">
        <f>IFERROR(__xludf.DUMMYFUNCTION("IF(A117="""","""",INDEX(FILTER(Roster!$A:$A,(Roster!$C:$C=A117)*(Roster!$F:$F=3)),1))"),"Berris")</f>
        <v>Berris</v>
      </c>
      <c r="AB117" s="5" t="str">
        <f>IFERROR(__xludf.DUMMYFUNCTION("IF(A117="""","""",INDEX(FILTER(Roster!$A:$A,(Roster!$C:$C=A117)*(Roster!$F:$F=4)),1))"),"Pablo Rueda")</f>
        <v>Pablo Rueda</v>
      </c>
      <c r="AC117" s="5" t="str">
        <f>IFERROR(__xludf.DUMMYFUNCTION("IF(A117="""","""",INDEX(FILTER(Roster!$A:$A,(Roster!$C:$C=A117)*(Roster!$F:$F=1)),1))"),"Vargas")</f>
        <v>Vargas</v>
      </c>
      <c r="AD117" s="5" t="str">
        <f>IFERROR(__xludf.DUMMYFUNCTION("IF(A117="""","""",INDEX(FILTER(Roster!$A:$A,(Roster!$C:$C=A117)*(Roster!$F:$F=2)),1))"),"Mon")</f>
        <v>Mon</v>
      </c>
      <c r="AE117" s="5">
        <v>0.0</v>
      </c>
      <c r="AF117" s="5">
        <v>0.0</v>
      </c>
      <c r="AG117" s="5" t="s">
        <v>350</v>
      </c>
      <c r="AH117" s="5">
        <v>-1.0</v>
      </c>
      <c r="AI117" s="5">
        <v>0.0</v>
      </c>
      <c r="AJ117" s="5">
        <v>3.0</v>
      </c>
      <c r="AK117" s="5" t="s">
        <v>358</v>
      </c>
      <c r="AL117" s="5" t="s">
        <v>368</v>
      </c>
      <c r="AM117" s="5">
        <v>0.0</v>
      </c>
      <c r="AN117" s="5" t="s">
        <v>350</v>
      </c>
      <c r="AO117" s="5">
        <f t="shared" si="1"/>
        <v>0</v>
      </c>
      <c r="AP117" s="5">
        <f t="shared" si="2"/>
        <v>0</v>
      </c>
    </row>
    <row r="118">
      <c r="A118" s="5" t="s">
        <v>21</v>
      </c>
      <c r="B118" s="5">
        <v>9.0</v>
      </c>
      <c r="C118" s="5">
        <v>0.0</v>
      </c>
      <c r="D118" s="5">
        <v>1.0</v>
      </c>
      <c r="E118" s="5" t="s">
        <v>355</v>
      </c>
      <c r="M118" s="5">
        <v>0.0</v>
      </c>
      <c r="N118" s="5">
        <v>1.0</v>
      </c>
      <c r="O118" s="5" t="s">
        <v>355</v>
      </c>
      <c r="X118" s="5" t="s">
        <v>355</v>
      </c>
      <c r="Z118" s="1" t="s">
        <v>372</v>
      </c>
      <c r="AA118" s="5" t="str">
        <f>IFERROR(__xludf.DUMMYFUNCTION("IF(A118="""","""",INDEX(FILTER(Roster!$A:$A,(Roster!$C:$C=A118)*(Roster!$F:$F=3)),1))"),"Berris")</f>
        <v>Berris</v>
      </c>
      <c r="AB118" s="5" t="str">
        <f>IFERROR(__xludf.DUMMYFUNCTION("IF(A118="""","""",INDEX(FILTER(Roster!$A:$A,(Roster!$C:$C=A118)*(Roster!$F:$F=4)),1))"),"Pablo Rueda")</f>
        <v>Pablo Rueda</v>
      </c>
      <c r="AC118" s="5" t="str">
        <f>IFERROR(__xludf.DUMMYFUNCTION("IF(A118="""","""",INDEX(FILTER(Roster!$A:$A,(Roster!$C:$C=A118)*(Roster!$F:$F=1)),1))"),"Vargas")</f>
        <v>Vargas</v>
      </c>
      <c r="AD118" s="5" t="str">
        <f>IFERROR(__xludf.DUMMYFUNCTION("IF(A118="""","""",INDEX(FILTER(Roster!$A:$A,(Roster!$C:$C=A118)*(Roster!$F:$F=2)),1))"),"Mon")</f>
        <v>Mon</v>
      </c>
      <c r="AE118" s="5">
        <v>0.0</v>
      </c>
      <c r="AF118" s="5">
        <v>0.0</v>
      </c>
      <c r="AG118" s="5" t="s">
        <v>350</v>
      </c>
      <c r="AH118" s="5">
        <v>0.0</v>
      </c>
      <c r="AI118" s="5">
        <v>0.0</v>
      </c>
      <c r="AJ118" s="5">
        <v>3.0</v>
      </c>
      <c r="AK118" s="5" t="s">
        <v>358</v>
      </c>
      <c r="AL118" s="5" t="s">
        <v>368</v>
      </c>
      <c r="AM118" s="5">
        <v>0.0</v>
      </c>
      <c r="AN118" s="5" t="s">
        <v>350</v>
      </c>
      <c r="AO118" s="5">
        <f t="shared" si="1"/>
        <v>0</v>
      </c>
      <c r="AP118" s="5">
        <f t="shared" si="2"/>
        <v>0</v>
      </c>
    </row>
    <row r="119">
      <c r="A119" s="5" t="str">
        <f t="array" ref="A119:A127">Calc_Engine!A58:A66</f>
        <v>Flight_3</v>
      </c>
      <c r="B119" s="5">
        <f t="array" ref="B119:B127">Calc_Engine!B58:B66</f>
        <v>1</v>
      </c>
      <c r="H119" s="5">
        <f t="array" ref="H119:H127">Calc_Engine!H58:H66</f>
        <v>5</v>
      </c>
      <c r="I119" s="5">
        <f t="array" ref="I119:I127">Calc_Engine!I58:I66</f>
        <v>1</v>
      </c>
      <c r="J119" s="5">
        <f t="array" ref="J119:J127">Calc_Engine!J58:J66</f>
        <v>4</v>
      </c>
      <c r="R119" s="5">
        <f t="array" ref="R119:R127">Calc_Engine!R58:R66</f>
        <v>6</v>
      </c>
      <c r="S119" s="5">
        <f t="array" ref="S119:S127">Calc_Engine!S58:S66</f>
        <v>1</v>
      </c>
      <c r="T119" s="5">
        <f t="array" ref="T119:T127">Calc_Engine!T58:T66</f>
        <v>5</v>
      </c>
      <c r="Y119" s="5" t="str">
        <f t="array" ref="Y119:Y127">Calc_Engine!Y58:Y66</f>
        <v>Red</v>
      </c>
      <c r="Z119" s="1" t="s">
        <v>373</v>
      </c>
      <c r="AA119" s="5" t="str">
        <f>IFERROR(__xludf.DUMMYFUNCTION("IF(A119="""","""",INDEX(FILTER(Roster!$A:$A,(Roster!$C:$C=A119)*(Roster!$F:$F=3)),1))"),"Berris")</f>
        <v>Berris</v>
      </c>
      <c r="AB119" s="5" t="str">
        <f>IFERROR(__xludf.DUMMYFUNCTION("IF(A119="""","""",INDEX(FILTER(Roster!$A:$A,(Roster!$C:$C=A119)*(Roster!$F:$F=4)),1))"),"Pablo Rueda")</f>
        <v>Pablo Rueda</v>
      </c>
      <c r="AC119" s="5" t="str">
        <f>IFERROR(__xludf.DUMMYFUNCTION("IF(A119="""","""",INDEX(FILTER(Roster!$A:$A,(Roster!$C:$C=A119)*(Roster!$F:$F=1)),1))"),"Vargas")</f>
        <v>Vargas</v>
      </c>
      <c r="AD119" s="5" t="str">
        <f>IFERROR(__xludf.DUMMYFUNCTION("IF(A119="""","""",INDEX(FILTER(Roster!$A:$A,(Roster!$C:$C=A119)*(Roster!$F:$F=2)),1))"),"Mon")</f>
        <v>Mon</v>
      </c>
      <c r="AE119" s="5">
        <v>0.0</v>
      </c>
      <c r="AF119" s="5">
        <v>0.0</v>
      </c>
      <c r="AG119" s="5" t="s">
        <v>350</v>
      </c>
      <c r="AH119" s="5">
        <v>0.0</v>
      </c>
      <c r="AI119" s="5">
        <v>1.0</v>
      </c>
      <c r="AJ119" s="5">
        <v>0.0</v>
      </c>
      <c r="AK119" s="5" t="s">
        <v>350</v>
      </c>
      <c r="AL119" s="5" t="s">
        <v>351</v>
      </c>
      <c r="AM119" s="5">
        <v>1.0</v>
      </c>
      <c r="AN119" s="5" t="s">
        <v>352</v>
      </c>
      <c r="AO119" s="5">
        <f t="shared" si="1"/>
        <v>0</v>
      </c>
      <c r="AP119" s="5">
        <f t="shared" si="2"/>
        <v>0</v>
      </c>
    </row>
    <row r="120">
      <c r="A120" s="5" t="s">
        <v>21</v>
      </c>
      <c r="B120" s="5">
        <v>2.0</v>
      </c>
      <c r="H120" s="5">
        <v>5.0</v>
      </c>
      <c r="I120" s="5">
        <v>1.0</v>
      </c>
      <c r="J120" s="5">
        <v>4.0</v>
      </c>
      <c r="R120" s="5">
        <v>6.0</v>
      </c>
      <c r="S120" s="5">
        <v>1.0</v>
      </c>
      <c r="T120" s="5">
        <v>5.0</v>
      </c>
      <c r="Y120" s="5" t="s">
        <v>12</v>
      </c>
      <c r="Z120" s="1" t="s">
        <v>373</v>
      </c>
      <c r="AA120" s="5" t="str">
        <f>IFERROR(__xludf.DUMMYFUNCTION("IF(A120="""","""",INDEX(FILTER(Roster!$A:$A,(Roster!$C:$C=A120)*(Roster!$F:$F=3)),1))"),"Berris")</f>
        <v>Berris</v>
      </c>
      <c r="AB120" s="5" t="str">
        <f>IFERROR(__xludf.DUMMYFUNCTION("IF(A120="""","""",INDEX(FILTER(Roster!$A:$A,(Roster!$C:$C=A120)*(Roster!$F:$F=4)),1))"),"Pablo Rueda")</f>
        <v>Pablo Rueda</v>
      </c>
      <c r="AC120" s="5" t="str">
        <f>IFERROR(__xludf.DUMMYFUNCTION("IF(A120="""","""",INDEX(FILTER(Roster!$A:$A,(Roster!$C:$C=A120)*(Roster!$F:$F=1)),1))"),"Vargas")</f>
        <v>Vargas</v>
      </c>
      <c r="AD120" s="5" t="str">
        <f>IFERROR(__xludf.DUMMYFUNCTION("IF(A120="""","""",INDEX(FILTER(Roster!$A:$A,(Roster!$C:$C=A120)*(Roster!$F:$F=2)),1))"),"Mon")</f>
        <v>Mon</v>
      </c>
      <c r="AE120" s="5">
        <v>0.0</v>
      </c>
      <c r="AF120" s="5">
        <v>0.0</v>
      </c>
      <c r="AG120" s="5" t="s">
        <v>350</v>
      </c>
      <c r="AH120" s="5">
        <v>0.0</v>
      </c>
      <c r="AI120" s="5">
        <v>1.0</v>
      </c>
      <c r="AJ120" s="5">
        <v>0.0</v>
      </c>
      <c r="AK120" s="5" t="s">
        <v>350</v>
      </c>
      <c r="AL120" s="5" t="s">
        <v>351</v>
      </c>
      <c r="AM120" s="5">
        <v>2.0</v>
      </c>
      <c r="AN120" s="5" t="s">
        <v>354</v>
      </c>
      <c r="AO120" s="5">
        <f t="shared" si="1"/>
        <v>0</v>
      </c>
      <c r="AP120" s="5">
        <f t="shared" si="2"/>
        <v>0</v>
      </c>
    </row>
    <row r="121">
      <c r="A121" s="5" t="s">
        <v>21</v>
      </c>
      <c r="B121" s="5">
        <v>3.0</v>
      </c>
      <c r="H121" s="5">
        <v>5.0</v>
      </c>
      <c r="I121" s="5">
        <v>0.0</v>
      </c>
      <c r="J121" s="5">
        <v>5.0</v>
      </c>
      <c r="R121" s="5">
        <v>5.0</v>
      </c>
      <c r="S121" s="5">
        <v>0.0</v>
      </c>
      <c r="T121" s="5">
        <v>5.0</v>
      </c>
      <c r="Y121" s="5" t="s">
        <v>353</v>
      </c>
      <c r="Z121" s="1" t="s">
        <v>373</v>
      </c>
      <c r="AA121" s="5" t="str">
        <f>IFERROR(__xludf.DUMMYFUNCTION("IF(A121="""","""",INDEX(FILTER(Roster!$A:$A,(Roster!$C:$C=A121)*(Roster!$F:$F=3)),1))"),"Berris")</f>
        <v>Berris</v>
      </c>
      <c r="AB121" s="5" t="str">
        <f>IFERROR(__xludf.DUMMYFUNCTION("IF(A121="""","""",INDEX(FILTER(Roster!$A:$A,(Roster!$C:$C=A121)*(Roster!$F:$F=4)),1))"),"Pablo Rueda")</f>
        <v>Pablo Rueda</v>
      </c>
      <c r="AC121" s="5" t="str">
        <f>IFERROR(__xludf.DUMMYFUNCTION("IF(A121="""","""",INDEX(FILTER(Roster!$A:$A,(Roster!$C:$C=A121)*(Roster!$F:$F=1)),1))"),"Vargas")</f>
        <v>Vargas</v>
      </c>
      <c r="AD121" s="5" t="str">
        <f>IFERROR(__xludf.DUMMYFUNCTION("IF(A121="""","""",INDEX(FILTER(Roster!$A:$A,(Roster!$C:$C=A121)*(Roster!$F:$F=2)),1))"),"Mon")</f>
        <v>Mon</v>
      </c>
      <c r="AE121" s="5">
        <v>0.0</v>
      </c>
      <c r="AF121" s="5">
        <v>0.0</v>
      </c>
      <c r="AG121" s="5" t="s">
        <v>350</v>
      </c>
      <c r="AH121" s="5">
        <v>0.0</v>
      </c>
      <c r="AI121" s="5">
        <v>0.0</v>
      </c>
      <c r="AJ121" s="5">
        <v>0.0</v>
      </c>
      <c r="AK121" s="5" t="s">
        <v>350</v>
      </c>
      <c r="AL121" s="5" t="s">
        <v>351</v>
      </c>
      <c r="AM121" s="5">
        <v>2.0</v>
      </c>
      <c r="AN121" s="5" t="s">
        <v>354</v>
      </c>
      <c r="AO121" s="5">
        <f t="shared" si="1"/>
        <v>0</v>
      </c>
      <c r="AP121" s="5">
        <f t="shared" si="2"/>
        <v>0</v>
      </c>
    </row>
    <row r="122">
      <c r="A122" s="5" t="s">
        <v>21</v>
      </c>
      <c r="B122" s="5">
        <v>4.0</v>
      </c>
      <c r="H122" s="5">
        <v>5.0</v>
      </c>
      <c r="I122" s="5">
        <v>0.0</v>
      </c>
      <c r="J122" s="5">
        <v>5.0</v>
      </c>
      <c r="R122" s="5">
        <v>6.0</v>
      </c>
      <c r="S122" s="5">
        <v>1.0</v>
      </c>
      <c r="T122" s="5">
        <v>5.0</v>
      </c>
      <c r="Y122" s="5" t="s">
        <v>353</v>
      </c>
      <c r="Z122" s="1" t="s">
        <v>373</v>
      </c>
      <c r="AA122" s="5" t="str">
        <f>IFERROR(__xludf.DUMMYFUNCTION("IF(A122="""","""",INDEX(FILTER(Roster!$A:$A,(Roster!$C:$C=A122)*(Roster!$F:$F=3)),1))"),"Berris")</f>
        <v>Berris</v>
      </c>
      <c r="AB122" s="5" t="str">
        <f>IFERROR(__xludf.DUMMYFUNCTION("IF(A122="""","""",INDEX(FILTER(Roster!$A:$A,(Roster!$C:$C=A122)*(Roster!$F:$F=4)),1))"),"Pablo Rueda")</f>
        <v>Pablo Rueda</v>
      </c>
      <c r="AC122" s="5" t="str">
        <f>IFERROR(__xludf.DUMMYFUNCTION("IF(A122="""","""",INDEX(FILTER(Roster!$A:$A,(Roster!$C:$C=A122)*(Roster!$F:$F=1)),1))"),"Vargas")</f>
        <v>Vargas</v>
      </c>
      <c r="AD122" s="5" t="str">
        <f>IFERROR(__xludf.DUMMYFUNCTION("IF(A122="""","""",INDEX(FILTER(Roster!$A:$A,(Roster!$C:$C=A122)*(Roster!$F:$F=2)),1))"),"Mon")</f>
        <v>Mon</v>
      </c>
      <c r="AE122" s="5">
        <v>0.0</v>
      </c>
      <c r="AF122" s="5">
        <v>0.0</v>
      </c>
      <c r="AG122" s="5" t="s">
        <v>350</v>
      </c>
      <c r="AH122" s="5">
        <v>0.0</v>
      </c>
      <c r="AI122" s="5">
        <v>0.0</v>
      </c>
      <c r="AJ122" s="5">
        <v>0.0</v>
      </c>
      <c r="AK122" s="5" t="s">
        <v>350</v>
      </c>
      <c r="AL122" s="5" t="s">
        <v>351</v>
      </c>
      <c r="AM122" s="5">
        <v>2.0</v>
      </c>
      <c r="AN122" s="5" t="s">
        <v>354</v>
      </c>
      <c r="AO122" s="5">
        <f t="shared" si="1"/>
        <v>0</v>
      </c>
      <c r="AP122" s="5">
        <f t="shared" si="2"/>
        <v>0</v>
      </c>
    </row>
    <row r="123">
      <c r="A123" s="5" t="s">
        <v>21</v>
      </c>
      <c r="B123" s="5">
        <v>5.0</v>
      </c>
      <c r="H123" s="5">
        <v>4.0</v>
      </c>
      <c r="I123" s="5">
        <v>1.0</v>
      </c>
      <c r="J123" s="5">
        <v>3.0</v>
      </c>
      <c r="R123" s="5">
        <v>4.0</v>
      </c>
      <c r="S123" s="5">
        <v>1.0</v>
      </c>
      <c r="T123" s="5">
        <v>3.0</v>
      </c>
      <c r="Y123" s="5" t="s">
        <v>353</v>
      </c>
      <c r="Z123" s="1" t="s">
        <v>373</v>
      </c>
      <c r="AA123" s="5" t="str">
        <f>IFERROR(__xludf.DUMMYFUNCTION("IF(A123="""","""",INDEX(FILTER(Roster!$A:$A,(Roster!$C:$C=A123)*(Roster!$F:$F=3)),1))"),"Berris")</f>
        <v>Berris</v>
      </c>
      <c r="AB123" s="5" t="str">
        <f>IFERROR(__xludf.DUMMYFUNCTION("IF(A123="""","""",INDEX(FILTER(Roster!$A:$A,(Roster!$C:$C=A123)*(Roster!$F:$F=4)),1))"),"Pablo Rueda")</f>
        <v>Pablo Rueda</v>
      </c>
      <c r="AC123" s="5" t="str">
        <f>IFERROR(__xludf.DUMMYFUNCTION("IF(A123="""","""",INDEX(FILTER(Roster!$A:$A,(Roster!$C:$C=A123)*(Roster!$F:$F=1)),1))"),"Vargas")</f>
        <v>Vargas</v>
      </c>
      <c r="AD123" s="5" t="str">
        <f>IFERROR(__xludf.DUMMYFUNCTION("IF(A123="""","""",INDEX(FILTER(Roster!$A:$A,(Roster!$C:$C=A123)*(Roster!$F:$F=2)),1))"),"Mon")</f>
        <v>Mon</v>
      </c>
      <c r="AE123" s="5">
        <v>0.0</v>
      </c>
      <c r="AF123" s="5">
        <v>0.0</v>
      </c>
      <c r="AG123" s="5" t="s">
        <v>350</v>
      </c>
      <c r="AH123" s="5">
        <v>0.0</v>
      </c>
      <c r="AI123" s="5">
        <v>0.0</v>
      </c>
      <c r="AJ123" s="5">
        <v>0.0</v>
      </c>
      <c r="AK123" s="5" t="s">
        <v>350</v>
      </c>
      <c r="AL123" s="5" t="s">
        <v>351</v>
      </c>
      <c r="AM123" s="5">
        <v>2.0</v>
      </c>
      <c r="AN123" s="5" t="s">
        <v>354</v>
      </c>
      <c r="AO123" s="5">
        <f t="shared" si="1"/>
        <v>0</v>
      </c>
      <c r="AP123" s="5">
        <f t="shared" si="2"/>
        <v>0</v>
      </c>
    </row>
    <row r="124">
      <c r="A124" s="5" t="s">
        <v>21</v>
      </c>
      <c r="B124" s="5">
        <v>6.0</v>
      </c>
      <c r="H124" s="5">
        <v>4.0</v>
      </c>
      <c r="I124" s="5">
        <v>1.0</v>
      </c>
      <c r="J124" s="5">
        <v>3.0</v>
      </c>
      <c r="R124" s="5">
        <v>5.0</v>
      </c>
      <c r="S124" s="5">
        <v>1.0</v>
      </c>
      <c r="T124" s="5">
        <v>4.0</v>
      </c>
      <c r="Y124" s="5" t="s">
        <v>12</v>
      </c>
      <c r="Z124" s="1" t="s">
        <v>373</v>
      </c>
      <c r="AA124" s="5" t="str">
        <f>IFERROR(__xludf.DUMMYFUNCTION("IF(A124="""","""",INDEX(FILTER(Roster!$A:$A,(Roster!$C:$C=A124)*(Roster!$F:$F=3)),1))"),"Berris")</f>
        <v>Berris</v>
      </c>
      <c r="AB124" s="5" t="str">
        <f>IFERROR(__xludf.DUMMYFUNCTION("IF(A124="""","""",INDEX(FILTER(Roster!$A:$A,(Roster!$C:$C=A124)*(Roster!$F:$F=4)),1))"),"Pablo Rueda")</f>
        <v>Pablo Rueda</v>
      </c>
      <c r="AC124" s="5" t="str">
        <f>IFERROR(__xludf.DUMMYFUNCTION("IF(A124="""","""",INDEX(FILTER(Roster!$A:$A,(Roster!$C:$C=A124)*(Roster!$F:$F=1)),1))"),"Vargas")</f>
        <v>Vargas</v>
      </c>
      <c r="AD124" s="5" t="str">
        <f>IFERROR(__xludf.DUMMYFUNCTION("IF(A124="""","""",INDEX(FILTER(Roster!$A:$A,(Roster!$C:$C=A124)*(Roster!$F:$F=2)),1))"),"Mon")</f>
        <v>Mon</v>
      </c>
      <c r="AE124" s="5">
        <v>0.0</v>
      </c>
      <c r="AF124" s="5">
        <v>0.0</v>
      </c>
      <c r="AG124" s="5" t="s">
        <v>350</v>
      </c>
      <c r="AH124" s="5">
        <v>0.0</v>
      </c>
      <c r="AI124" s="5">
        <v>1.0</v>
      </c>
      <c r="AJ124" s="5">
        <v>0.0</v>
      </c>
      <c r="AK124" s="5" t="s">
        <v>350</v>
      </c>
      <c r="AL124" s="5" t="s">
        <v>351</v>
      </c>
      <c r="AM124" s="5">
        <v>3.0</v>
      </c>
      <c r="AN124" s="5" t="s">
        <v>358</v>
      </c>
      <c r="AO124" s="5">
        <f t="shared" si="1"/>
        <v>0</v>
      </c>
      <c r="AP124" s="5">
        <f t="shared" si="2"/>
        <v>0</v>
      </c>
    </row>
    <row r="125">
      <c r="A125" s="5" t="s">
        <v>21</v>
      </c>
      <c r="B125" s="5">
        <v>7.0</v>
      </c>
      <c r="H125" s="5">
        <v>3.0</v>
      </c>
      <c r="I125" s="5">
        <v>1.0</v>
      </c>
      <c r="J125" s="5">
        <v>2.0</v>
      </c>
      <c r="R125" s="5">
        <v>4.0</v>
      </c>
      <c r="S125" s="5">
        <v>1.0</v>
      </c>
      <c r="T125" s="5">
        <v>3.0</v>
      </c>
      <c r="Y125" s="5" t="s">
        <v>12</v>
      </c>
      <c r="Z125" s="1" t="s">
        <v>373</v>
      </c>
      <c r="AA125" s="5" t="str">
        <f>IFERROR(__xludf.DUMMYFUNCTION("IF(A125="""","""",INDEX(FILTER(Roster!$A:$A,(Roster!$C:$C=A125)*(Roster!$F:$F=3)),1))"),"Berris")</f>
        <v>Berris</v>
      </c>
      <c r="AB125" s="5" t="str">
        <f>IFERROR(__xludf.DUMMYFUNCTION("IF(A125="""","""",INDEX(FILTER(Roster!$A:$A,(Roster!$C:$C=A125)*(Roster!$F:$F=4)),1))"),"Pablo Rueda")</f>
        <v>Pablo Rueda</v>
      </c>
      <c r="AC125" s="5" t="str">
        <f>IFERROR(__xludf.DUMMYFUNCTION("IF(A125="""","""",INDEX(FILTER(Roster!$A:$A,(Roster!$C:$C=A125)*(Roster!$F:$F=1)),1))"),"Vargas")</f>
        <v>Vargas</v>
      </c>
      <c r="AD125" s="5" t="str">
        <f>IFERROR(__xludf.DUMMYFUNCTION("IF(A125="""","""",INDEX(FILTER(Roster!$A:$A,(Roster!$C:$C=A125)*(Roster!$F:$F=2)),1))"),"Mon")</f>
        <v>Mon</v>
      </c>
      <c r="AE125" s="5">
        <v>0.0</v>
      </c>
      <c r="AF125" s="5">
        <v>0.0</v>
      </c>
      <c r="AG125" s="5" t="s">
        <v>350</v>
      </c>
      <c r="AH125" s="5">
        <v>0.0</v>
      </c>
      <c r="AI125" s="5">
        <v>1.0</v>
      </c>
      <c r="AJ125" s="5">
        <v>0.0</v>
      </c>
      <c r="AK125" s="5" t="s">
        <v>350</v>
      </c>
      <c r="AL125" s="5" t="s">
        <v>351</v>
      </c>
      <c r="AM125" s="5">
        <v>4.0</v>
      </c>
      <c r="AN125" s="5" t="s">
        <v>359</v>
      </c>
      <c r="AO125" s="5">
        <f t="shared" si="1"/>
        <v>0</v>
      </c>
      <c r="AP125" s="5">
        <f t="shared" si="2"/>
        <v>0</v>
      </c>
    </row>
    <row r="126">
      <c r="A126" s="5" t="s">
        <v>21</v>
      </c>
      <c r="B126" s="5">
        <v>8.0</v>
      </c>
      <c r="H126" s="5">
        <v>7.0</v>
      </c>
      <c r="I126" s="5">
        <v>1.0</v>
      </c>
      <c r="J126" s="5">
        <v>6.0</v>
      </c>
      <c r="R126" s="5">
        <v>7.0</v>
      </c>
      <c r="S126" s="5">
        <v>1.0</v>
      </c>
      <c r="T126" s="5">
        <v>6.0</v>
      </c>
      <c r="Y126" s="5" t="s">
        <v>353</v>
      </c>
      <c r="Z126" s="1" t="s">
        <v>373</v>
      </c>
      <c r="AA126" s="5" t="str">
        <f>IFERROR(__xludf.DUMMYFUNCTION("IF(A126="""","""",INDEX(FILTER(Roster!$A:$A,(Roster!$C:$C=A126)*(Roster!$F:$F=3)),1))"),"Berris")</f>
        <v>Berris</v>
      </c>
      <c r="AB126" s="5" t="str">
        <f>IFERROR(__xludf.DUMMYFUNCTION("IF(A126="""","""",INDEX(FILTER(Roster!$A:$A,(Roster!$C:$C=A126)*(Roster!$F:$F=4)),1))"),"Pablo Rueda")</f>
        <v>Pablo Rueda</v>
      </c>
      <c r="AC126" s="5" t="str">
        <f>IFERROR(__xludf.DUMMYFUNCTION("IF(A126="""","""",INDEX(FILTER(Roster!$A:$A,(Roster!$C:$C=A126)*(Roster!$F:$F=1)),1))"),"Vargas")</f>
        <v>Vargas</v>
      </c>
      <c r="AD126" s="5" t="str">
        <f>IFERROR(__xludf.DUMMYFUNCTION("IF(A126="""","""",INDEX(FILTER(Roster!$A:$A,(Roster!$C:$C=A126)*(Roster!$F:$F=2)),1))"),"Mon")</f>
        <v>Mon</v>
      </c>
      <c r="AE126" s="5">
        <v>0.0</v>
      </c>
      <c r="AF126" s="5">
        <v>0.0</v>
      </c>
      <c r="AG126" s="5" t="s">
        <v>350</v>
      </c>
      <c r="AH126" s="5">
        <v>0.0</v>
      </c>
      <c r="AI126" s="5">
        <v>0.0</v>
      </c>
      <c r="AJ126" s="5">
        <v>0.0</v>
      </c>
      <c r="AK126" s="5" t="s">
        <v>350</v>
      </c>
      <c r="AL126" s="5" t="s">
        <v>351</v>
      </c>
      <c r="AM126" s="5">
        <v>4.0</v>
      </c>
      <c r="AN126" s="5" t="s">
        <v>359</v>
      </c>
      <c r="AO126" s="5">
        <f t="shared" si="1"/>
        <v>0</v>
      </c>
      <c r="AP126" s="5">
        <f t="shared" si="2"/>
        <v>0</v>
      </c>
    </row>
    <row r="127">
      <c r="A127" s="5" t="s">
        <v>21</v>
      </c>
      <c r="B127" s="5">
        <v>9.0</v>
      </c>
      <c r="H127" s="5">
        <v>0.0</v>
      </c>
      <c r="I127" s="5">
        <v>1.0</v>
      </c>
      <c r="J127" s="5" t="s">
        <v>355</v>
      </c>
      <c r="R127" s="5">
        <v>0.0</v>
      </c>
      <c r="S127" s="5">
        <v>1.0</v>
      </c>
      <c r="T127" s="5" t="s">
        <v>355</v>
      </c>
      <c r="Y127" s="5" t="s">
        <v>355</v>
      </c>
      <c r="Z127" s="1" t="s">
        <v>373</v>
      </c>
      <c r="AA127" s="5" t="str">
        <f>IFERROR(__xludf.DUMMYFUNCTION("IF(A127="""","""",INDEX(FILTER(Roster!$A:$A,(Roster!$C:$C=A127)*(Roster!$F:$F=3)),1))"),"Berris")</f>
        <v>Berris</v>
      </c>
      <c r="AB127" s="5" t="str">
        <f>IFERROR(__xludf.DUMMYFUNCTION("IF(A127="""","""",INDEX(FILTER(Roster!$A:$A,(Roster!$C:$C=A127)*(Roster!$F:$F=4)),1))"),"Pablo Rueda")</f>
        <v>Pablo Rueda</v>
      </c>
      <c r="AC127" s="5" t="str">
        <f>IFERROR(__xludf.DUMMYFUNCTION("IF(A127="""","""",INDEX(FILTER(Roster!$A:$A,(Roster!$C:$C=A127)*(Roster!$F:$F=1)),1))"),"Vargas")</f>
        <v>Vargas</v>
      </c>
      <c r="AD127" s="5" t="str">
        <f>IFERROR(__xludf.DUMMYFUNCTION("IF(A127="""","""",INDEX(FILTER(Roster!$A:$A,(Roster!$C:$C=A127)*(Roster!$F:$F=2)),1))"),"Mon")</f>
        <v>Mon</v>
      </c>
      <c r="AE127" s="5">
        <v>0.0</v>
      </c>
      <c r="AF127" s="5">
        <v>0.0</v>
      </c>
      <c r="AG127" s="5" t="s">
        <v>350</v>
      </c>
      <c r="AH127" s="5">
        <v>0.0</v>
      </c>
      <c r="AI127" s="5">
        <v>0.0</v>
      </c>
      <c r="AJ127" s="5">
        <v>0.0</v>
      </c>
      <c r="AK127" s="5" t="s">
        <v>350</v>
      </c>
      <c r="AL127" s="5" t="s">
        <v>351</v>
      </c>
      <c r="AM127" s="5">
        <v>4.0</v>
      </c>
      <c r="AN127" s="5" t="s">
        <v>359</v>
      </c>
      <c r="AO127" s="5">
        <f t="shared" si="1"/>
        <v>0</v>
      </c>
      <c r="AP127" s="5">
        <f t="shared" si="2"/>
        <v>0</v>
      </c>
    </row>
    <row r="128">
      <c r="A128" s="5" t="str">
        <f t="array" ref="A128:A136">Calc_Engine!A69:A77</f>
        <v>Flight_4</v>
      </c>
      <c r="B128" s="5">
        <f t="array" ref="B128:B136">Calc_Engine!B69:B77</f>
        <v>1</v>
      </c>
      <c r="C128" s="5">
        <f t="array" ref="C128:C136">Calc_Engine!C69:C77</f>
        <v>5</v>
      </c>
      <c r="D128" s="5">
        <f t="array" ref="D128:D136">Calc_Engine!D69:D77</f>
        <v>1</v>
      </c>
      <c r="E128" s="5">
        <f t="array" ref="E128:E136">Calc_Engine!E69:E77</f>
        <v>4</v>
      </c>
      <c r="M128" s="5">
        <f t="array" ref="M128:M136">Calc_Engine!M69:M77</f>
        <v>7</v>
      </c>
      <c r="N128" s="5">
        <f t="array" ref="N128:N136">Calc_Engine!N69:N77</f>
        <v>1</v>
      </c>
      <c r="O128" s="5">
        <f t="array" ref="O128:O136">Calc_Engine!O69:O77</f>
        <v>6</v>
      </c>
      <c r="X128" s="5" t="str">
        <f t="array" ref="X128:X136">Calc_Engine!X69:X77</f>
        <v>Red</v>
      </c>
      <c r="Z128" s="1" t="s">
        <v>374</v>
      </c>
      <c r="AA128" s="5" t="str">
        <f>IFERROR(__xludf.DUMMYFUNCTION("IF(A128="""","""",INDEX(FILTER(Roster!$A:$A,(Roster!$C:$C=A128)*(Roster!$F:$F=3)),1))"),"Matiz")</f>
        <v>Matiz</v>
      </c>
      <c r="AB128" s="5" t="str">
        <f>IFERROR(__xludf.DUMMYFUNCTION("IF(A128="""","""",INDEX(FILTER(Roster!$A:$A,(Roster!$C:$C=A128)*(Roster!$F:$F=4)),1))"),"Esguerra")</f>
        <v>Esguerra</v>
      </c>
      <c r="AC128" s="5" t="str">
        <f>IFERROR(__xludf.DUMMYFUNCTION("IF(A128="""","""",INDEX(FILTER(Roster!$A:$A,(Roster!$C:$C=A128)*(Roster!$F:$F=1)),1))"),"Luca")</f>
        <v>Luca</v>
      </c>
      <c r="AD128" s="5" t="str">
        <f>IFERROR(__xludf.DUMMYFUNCTION("IF(A128="""","""",INDEX(FILTER(Roster!$A:$A,(Roster!$C:$C=A128)*(Roster!$F:$F=2)),1))"),"Rocha")</f>
        <v>Rocha</v>
      </c>
      <c r="AE128" s="5">
        <v>0.0</v>
      </c>
      <c r="AF128" s="5">
        <v>0.0</v>
      </c>
      <c r="AG128" s="5" t="s">
        <v>350</v>
      </c>
      <c r="AH128" s="5">
        <v>1.0</v>
      </c>
      <c r="AI128" s="5">
        <v>0.0</v>
      </c>
      <c r="AJ128" s="5">
        <v>1.0</v>
      </c>
      <c r="AK128" s="5" t="s">
        <v>352</v>
      </c>
      <c r="AL128" s="5" t="s">
        <v>368</v>
      </c>
      <c r="AM128" s="5">
        <v>0.0</v>
      </c>
      <c r="AN128" s="5" t="s">
        <v>350</v>
      </c>
      <c r="AO128" s="5">
        <f t="shared" si="1"/>
        <v>0</v>
      </c>
      <c r="AP128" s="5">
        <f t="shared" si="2"/>
        <v>0</v>
      </c>
    </row>
    <row r="129">
      <c r="A129" s="5" t="s">
        <v>26</v>
      </c>
      <c r="B129" s="5">
        <v>2.0</v>
      </c>
      <c r="C129" s="5">
        <v>5.0</v>
      </c>
      <c r="D129" s="5">
        <v>1.0</v>
      </c>
      <c r="E129" s="5">
        <v>4.0</v>
      </c>
      <c r="M129" s="5">
        <v>6.0</v>
      </c>
      <c r="N129" s="5">
        <v>1.0</v>
      </c>
      <c r="O129" s="5">
        <v>5.0</v>
      </c>
      <c r="X129" s="5" t="s">
        <v>12</v>
      </c>
      <c r="Z129" s="1" t="s">
        <v>374</v>
      </c>
      <c r="AA129" s="5" t="str">
        <f>IFERROR(__xludf.DUMMYFUNCTION("IF(A129="""","""",INDEX(FILTER(Roster!$A:$A,(Roster!$C:$C=A129)*(Roster!$F:$F=3)),1))"),"Matiz")</f>
        <v>Matiz</v>
      </c>
      <c r="AB129" s="5" t="str">
        <f>IFERROR(__xludf.DUMMYFUNCTION("IF(A129="""","""",INDEX(FILTER(Roster!$A:$A,(Roster!$C:$C=A129)*(Roster!$F:$F=4)),1))"),"Esguerra")</f>
        <v>Esguerra</v>
      </c>
      <c r="AC129" s="5" t="str">
        <f>IFERROR(__xludf.DUMMYFUNCTION("IF(A129="""","""",INDEX(FILTER(Roster!$A:$A,(Roster!$C:$C=A129)*(Roster!$F:$F=1)),1))"),"Luca")</f>
        <v>Luca</v>
      </c>
      <c r="AD129" s="5" t="str">
        <f>IFERROR(__xludf.DUMMYFUNCTION("IF(A129="""","""",INDEX(FILTER(Roster!$A:$A,(Roster!$C:$C=A129)*(Roster!$F:$F=2)),1))"),"Rocha")</f>
        <v>Rocha</v>
      </c>
      <c r="AE129" s="5">
        <v>0.0</v>
      </c>
      <c r="AF129" s="5">
        <v>0.0</v>
      </c>
      <c r="AG129" s="5" t="s">
        <v>350</v>
      </c>
      <c r="AH129" s="5">
        <v>1.0</v>
      </c>
      <c r="AI129" s="5">
        <v>0.0</v>
      </c>
      <c r="AJ129" s="5">
        <v>2.0</v>
      </c>
      <c r="AK129" s="5" t="s">
        <v>354</v>
      </c>
      <c r="AL129" s="5" t="s">
        <v>368</v>
      </c>
      <c r="AM129" s="5">
        <v>0.0</v>
      </c>
      <c r="AN129" s="5" t="s">
        <v>350</v>
      </c>
      <c r="AO129" s="5">
        <f t="shared" si="1"/>
        <v>0</v>
      </c>
      <c r="AP129" s="5">
        <f t="shared" si="2"/>
        <v>0</v>
      </c>
    </row>
    <row r="130">
      <c r="A130" s="5" t="s">
        <v>26</v>
      </c>
      <c r="B130" s="5">
        <v>3.0</v>
      </c>
      <c r="C130" s="5">
        <v>5.0</v>
      </c>
      <c r="D130" s="5">
        <v>0.0</v>
      </c>
      <c r="E130" s="5">
        <v>5.0</v>
      </c>
      <c r="M130" s="5">
        <v>4.0</v>
      </c>
      <c r="N130" s="5">
        <v>0.0</v>
      </c>
      <c r="O130" s="5">
        <v>4.0</v>
      </c>
      <c r="X130" s="5" t="s">
        <v>7</v>
      </c>
      <c r="Z130" s="1" t="s">
        <v>374</v>
      </c>
      <c r="AA130" s="5" t="str">
        <f>IFERROR(__xludf.DUMMYFUNCTION("IF(A130="""","""",INDEX(FILTER(Roster!$A:$A,(Roster!$C:$C=A130)*(Roster!$F:$F=3)),1))"),"Matiz")</f>
        <v>Matiz</v>
      </c>
      <c r="AB130" s="5" t="str">
        <f>IFERROR(__xludf.DUMMYFUNCTION("IF(A130="""","""",INDEX(FILTER(Roster!$A:$A,(Roster!$C:$C=A130)*(Roster!$F:$F=4)),1))"),"Esguerra")</f>
        <v>Esguerra</v>
      </c>
      <c r="AC130" s="5" t="str">
        <f>IFERROR(__xludf.DUMMYFUNCTION("IF(A130="""","""",INDEX(FILTER(Roster!$A:$A,(Roster!$C:$C=A130)*(Roster!$F:$F=1)),1))"),"Luca")</f>
        <v>Luca</v>
      </c>
      <c r="AD130" s="5" t="str">
        <f>IFERROR(__xludf.DUMMYFUNCTION("IF(A130="""","""",INDEX(FILTER(Roster!$A:$A,(Roster!$C:$C=A130)*(Roster!$F:$F=2)),1))"),"Rocha")</f>
        <v>Rocha</v>
      </c>
      <c r="AE130" s="5">
        <v>0.0</v>
      </c>
      <c r="AF130" s="5">
        <v>0.0</v>
      </c>
      <c r="AG130" s="5" t="s">
        <v>350</v>
      </c>
      <c r="AH130" s="5">
        <v>-1.0</v>
      </c>
      <c r="AI130" s="5">
        <v>0.0</v>
      </c>
      <c r="AJ130" s="5">
        <v>1.0</v>
      </c>
      <c r="AK130" s="5" t="s">
        <v>352</v>
      </c>
      <c r="AL130" s="5" t="s">
        <v>368</v>
      </c>
      <c r="AM130" s="5">
        <v>0.0</v>
      </c>
      <c r="AN130" s="5" t="s">
        <v>350</v>
      </c>
      <c r="AO130" s="5">
        <f t="shared" si="1"/>
        <v>0</v>
      </c>
      <c r="AP130" s="5">
        <f t="shared" si="2"/>
        <v>0</v>
      </c>
    </row>
    <row r="131">
      <c r="A131" s="5" t="s">
        <v>26</v>
      </c>
      <c r="B131" s="5">
        <v>4.0</v>
      </c>
      <c r="C131" s="5">
        <v>4.0</v>
      </c>
      <c r="D131" s="5">
        <v>1.0</v>
      </c>
      <c r="E131" s="5">
        <v>3.0</v>
      </c>
      <c r="M131" s="5">
        <v>5.0</v>
      </c>
      <c r="N131" s="5">
        <v>0.0</v>
      </c>
      <c r="O131" s="5">
        <v>5.0</v>
      </c>
      <c r="X131" s="5" t="s">
        <v>12</v>
      </c>
      <c r="Z131" s="1" t="s">
        <v>374</v>
      </c>
      <c r="AA131" s="5" t="str">
        <f>IFERROR(__xludf.DUMMYFUNCTION("IF(A131="""","""",INDEX(FILTER(Roster!$A:$A,(Roster!$C:$C=A131)*(Roster!$F:$F=3)),1))"),"Matiz")</f>
        <v>Matiz</v>
      </c>
      <c r="AB131" s="5" t="str">
        <f>IFERROR(__xludf.DUMMYFUNCTION("IF(A131="""","""",INDEX(FILTER(Roster!$A:$A,(Roster!$C:$C=A131)*(Roster!$F:$F=4)),1))"),"Esguerra")</f>
        <v>Esguerra</v>
      </c>
      <c r="AC131" s="5" t="str">
        <f>IFERROR(__xludf.DUMMYFUNCTION("IF(A131="""","""",INDEX(FILTER(Roster!$A:$A,(Roster!$C:$C=A131)*(Roster!$F:$F=1)),1))"),"Luca")</f>
        <v>Luca</v>
      </c>
      <c r="AD131" s="5" t="str">
        <f>IFERROR(__xludf.DUMMYFUNCTION("IF(A131="""","""",INDEX(FILTER(Roster!$A:$A,(Roster!$C:$C=A131)*(Roster!$F:$F=2)),1))"),"Rocha")</f>
        <v>Rocha</v>
      </c>
      <c r="AE131" s="5">
        <v>0.0</v>
      </c>
      <c r="AF131" s="5">
        <v>0.0</v>
      </c>
      <c r="AG131" s="5" t="s">
        <v>350</v>
      </c>
      <c r="AH131" s="5">
        <v>1.0</v>
      </c>
      <c r="AI131" s="5">
        <v>0.0</v>
      </c>
      <c r="AJ131" s="5">
        <v>2.0</v>
      </c>
      <c r="AK131" s="5" t="s">
        <v>354</v>
      </c>
      <c r="AL131" s="5" t="s">
        <v>368</v>
      </c>
      <c r="AM131" s="5">
        <v>0.0</v>
      </c>
      <c r="AN131" s="5" t="s">
        <v>350</v>
      </c>
      <c r="AO131" s="5">
        <f t="shared" si="1"/>
        <v>0</v>
      </c>
      <c r="AP131" s="5">
        <f t="shared" si="2"/>
        <v>0</v>
      </c>
    </row>
    <row r="132">
      <c r="A132" s="5" t="s">
        <v>26</v>
      </c>
      <c r="B132" s="5">
        <v>5.0</v>
      </c>
      <c r="C132" s="5">
        <v>4.0</v>
      </c>
      <c r="D132" s="5">
        <v>1.0</v>
      </c>
      <c r="E132" s="5">
        <v>3.0</v>
      </c>
      <c r="M132" s="5">
        <v>4.0</v>
      </c>
      <c r="N132" s="5">
        <v>1.0</v>
      </c>
      <c r="O132" s="5">
        <v>3.0</v>
      </c>
      <c r="X132" s="5" t="s">
        <v>353</v>
      </c>
      <c r="Z132" s="1" t="s">
        <v>374</v>
      </c>
      <c r="AA132" s="5" t="str">
        <f>IFERROR(__xludf.DUMMYFUNCTION("IF(A132="""","""",INDEX(FILTER(Roster!$A:$A,(Roster!$C:$C=A132)*(Roster!$F:$F=3)),1))"),"Matiz")</f>
        <v>Matiz</v>
      </c>
      <c r="AB132" s="5" t="str">
        <f>IFERROR(__xludf.DUMMYFUNCTION("IF(A132="""","""",INDEX(FILTER(Roster!$A:$A,(Roster!$C:$C=A132)*(Roster!$F:$F=4)),1))"),"Esguerra")</f>
        <v>Esguerra</v>
      </c>
      <c r="AC132" s="5" t="str">
        <f>IFERROR(__xludf.DUMMYFUNCTION("IF(A132="""","""",INDEX(FILTER(Roster!$A:$A,(Roster!$C:$C=A132)*(Roster!$F:$F=1)),1))"),"Luca")</f>
        <v>Luca</v>
      </c>
      <c r="AD132" s="5" t="str">
        <f>IFERROR(__xludf.DUMMYFUNCTION("IF(A132="""","""",INDEX(FILTER(Roster!$A:$A,(Roster!$C:$C=A132)*(Roster!$F:$F=2)),1))"),"Rocha")</f>
        <v>Rocha</v>
      </c>
      <c r="AE132" s="5">
        <v>0.0</v>
      </c>
      <c r="AF132" s="5">
        <v>0.0</v>
      </c>
      <c r="AG132" s="5" t="s">
        <v>350</v>
      </c>
      <c r="AH132" s="5">
        <v>0.0</v>
      </c>
      <c r="AI132" s="5">
        <v>0.0</v>
      </c>
      <c r="AJ132" s="5">
        <v>2.0</v>
      </c>
      <c r="AK132" s="5" t="s">
        <v>354</v>
      </c>
      <c r="AL132" s="5" t="s">
        <v>368</v>
      </c>
      <c r="AM132" s="5">
        <v>0.0</v>
      </c>
      <c r="AN132" s="5" t="s">
        <v>350</v>
      </c>
      <c r="AO132" s="5">
        <f t="shared" si="1"/>
        <v>0</v>
      </c>
      <c r="AP132" s="5">
        <f t="shared" si="2"/>
        <v>0</v>
      </c>
    </row>
    <row r="133">
      <c r="A133" s="5" t="s">
        <v>26</v>
      </c>
      <c r="B133" s="5">
        <v>6.0</v>
      </c>
      <c r="C133" s="5">
        <v>5.0</v>
      </c>
      <c r="D133" s="5">
        <v>1.0</v>
      </c>
      <c r="E133" s="5">
        <v>4.0</v>
      </c>
      <c r="M133" s="5">
        <v>5.0</v>
      </c>
      <c r="N133" s="5">
        <v>1.0</v>
      </c>
      <c r="O133" s="5">
        <v>4.0</v>
      </c>
      <c r="X133" s="5" t="s">
        <v>353</v>
      </c>
      <c r="Z133" s="1" t="s">
        <v>374</v>
      </c>
      <c r="AA133" s="5" t="str">
        <f>IFERROR(__xludf.DUMMYFUNCTION("IF(A133="""","""",INDEX(FILTER(Roster!$A:$A,(Roster!$C:$C=A133)*(Roster!$F:$F=3)),1))"),"Matiz")</f>
        <v>Matiz</v>
      </c>
      <c r="AB133" s="5" t="str">
        <f>IFERROR(__xludf.DUMMYFUNCTION("IF(A133="""","""",INDEX(FILTER(Roster!$A:$A,(Roster!$C:$C=A133)*(Roster!$F:$F=4)),1))"),"Esguerra")</f>
        <v>Esguerra</v>
      </c>
      <c r="AC133" s="5" t="str">
        <f>IFERROR(__xludf.DUMMYFUNCTION("IF(A133="""","""",INDEX(FILTER(Roster!$A:$A,(Roster!$C:$C=A133)*(Roster!$F:$F=1)),1))"),"Luca")</f>
        <v>Luca</v>
      </c>
      <c r="AD133" s="5" t="str">
        <f>IFERROR(__xludf.DUMMYFUNCTION("IF(A133="""","""",INDEX(FILTER(Roster!$A:$A,(Roster!$C:$C=A133)*(Roster!$F:$F=2)),1))"),"Rocha")</f>
        <v>Rocha</v>
      </c>
      <c r="AE133" s="5">
        <v>0.0</v>
      </c>
      <c r="AF133" s="5">
        <v>0.0</v>
      </c>
      <c r="AG133" s="5" t="s">
        <v>350</v>
      </c>
      <c r="AH133" s="5">
        <v>0.0</v>
      </c>
      <c r="AI133" s="5">
        <v>0.0</v>
      </c>
      <c r="AJ133" s="5">
        <v>2.0</v>
      </c>
      <c r="AK133" s="5" t="s">
        <v>354</v>
      </c>
      <c r="AL133" s="5" t="s">
        <v>368</v>
      </c>
      <c r="AM133" s="5">
        <v>0.0</v>
      </c>
      <c r="AN133" s="5" t="s">
        <v>350</v>
      </c>
      <c r="AO133" s="5">
        <f t="shared" si="1"/>
        <v>0</v>
      </c>
      <c r="AP133" s="5">
        <f t="shared" si="2"/>
        <v>0</v>
      </c>
    </row>
    <row r="134">
      <c r="A134" s="5" t="s">
        <v>26</v>
      </c>
      <c r="B134" s="5">
        <v>7.0</v>
      </c>
      <c r="C134" s="5">
        <v>3.0</v>
      </c>
      <c r="D134" s="5">
        <v>1.0</v>
      </c>
      <c r="E134" s="5">
        <v>2.0</v>
      </c>
      <c r="M134" s="5">
        <v>4.0</v>
      </c>
      <c r="N134" s="5">
        <v>0.0</v>
      </c>
      <c r="O134" s="5">
        <v>4.0</v>
      </c>
      <c r="X134" s="5" t="s">
        <v>12</v>
      </c>
      <c r="Z134" s="1" t="s">
        <v>374</v>
      </c>
      <c r="AA134" s="5" t="str">
        <f>IFERROR(__xludf.DUMMYFUNCTION("IF(A134="""","""",INDEX(FILTER(Roster!$A:$A,(Roster!$C:$C=A134)*(Roster!$F:$F=3)),1))"),"Matiz")</f>
        <v>Matiz</v>
      </c>
      <c r="AB134" s="5" t="str">
        <f>IFERROR(__xludf.DUMMYFUNCTION("IF(A134="""","""",INDEX(FILTER(Roster!$A:$A,(Roster!$C:$C=A134)*(Roster!$F:$F=4)),1))"),"Esguerra")</f>
        <v>Esguerra</v>
      </c>
      <c r="AC134" s="5" t="str">
        <f>IFERROR(__xludf.DUMMYFUNCTION("IF(A134="""","""",INDEX(FILTER(Roster!$A:$A,(Roster!$C:$C=A134)*(Roster!$F:$F=1)),1))"),"Luca")</f>
        <v>Luca</v>
      </c>
      <c r="AD134" s="5" t="str">
        <f>IFERROR(__xludf.DUMMYFUNCTION("IF(A134="""","""",INDEX(FILTER(Roster!$A:$A,(Roster!$C:$C=A134)*(Roster!$F:$F=2)),1))"),"Rocha")</f>
        <v>Rocha</v>
      </c>
      <c r="AE134" s="5">
        <v>0.0</v>
      </c>
      <c r="AF134" s="5">
        <v>0.0</v>
      </c>
      <c r="AG134" s="5" t="s">
        <v>350</v>
      </c>
      <c r="AH134" s="5">
        <v>1.0</v>
      </c>
      <c r="AI134" s="5">
        <v>0.0</v>
      </c>
      <c r="AJ134" s="5">
        <v>3.0</v>
      </c>
      <c r="AK134" s="5" t="s">
        <v>358</v>
      </c>
      <c r="AL134" s="5" t="s">
        <v>368</v>
      </c>
      <c r="AM134" s="5">
        <v>0.0</v>
      </c>
      <c r="AN134" s="5" t="s">
        <v>350</v>
      </c>
      <c r="AO134" s="5">
        <f t="shared" si="1"/>
        <v>0</v>
      </c>
      <c r="AP134" s="5">
        <f t="shared" si="2"/>
        <v>0</v>
      </c>
    </row>
    <row r="135">
      <c r="A135" s="5" t="s">
        <v>26</v>
      </c>
      <c r="B135" s="5">
        <v>8.0</v>
      </c>
      <c r="C135" s="5">
        <v>5.0</v>
      </c>
      <c r="D135" s="5">
        <v>1.0</v>
      </c>
      <c r="E135" s="5">
        <v>4.0</v>
      </c>
      <c r="M135" s="5">
        <v>5.0</v>
      </c>
      <c r="N135" s="5">
        <v>0.0</v>
      </c>
      <c r="O135" s="5">
        <v>5.0</v>
      </c>
      <c r="X135" s="5" t="s">
        <v>12</v>
      </c>
      <c r="Z135" s="1" t="s">
        <v>374</v>
      </c>
      <c r="AA135" s="5" t="str">
        <f>IFERROR(__xludf.DUMMYFUNCTION("IF(A135="""","""",INDEX(FILTER(Roster!$A:$A,(Roster!$C:$C=A135)*(Roster!$F:$F=3)),1))"),"Matiz")</f>
        <v>Matiz</v>
      </c>
      <c r="AB135" s="5" t="str">
        <f>IFERROR(__xludf.DUMMYFUNCTION("IF(A135="""","""",INDEX(FILTER(Roster!$A:$A,(Roster!$C:$C=A135)*(Roster!$F:$F=4)),1))"),"Esguerra")</f>
        <v>Esguerra</v>
      </c>
      <c r="AC135" s="5" t="str">
        <f>IFERROR(__xludf.DUMMYFUNCTION("IF(A135="""","""",INDEX(FILTER(Roster!$A:$A,(Roster!$C:$C=A135)*(Roster!$F:$F=1)),1))"),"Luca")</f>
        <v>Luca</v>
      </c>
      <c r="AD135" s="5" t="str">
        <f>IFERROR(__xludf.DUMMYFUNCTION("IF(A135="""","""",INDEX(FILTER(Roster!$A:$A,(Roster!$C:$C=A135)*(Roster!$F:$F=2)),1))"),"Rocha")</f>
        <v>Rocha</v>
      </c>
      <c r="AE135" s="5">
        <v>0.0</v>
      </c>
      <c r="AF135" s="5">
        <v>0.0</v>
      </c>
      <c r="AG135" s="5" t="s">
        <v>350</v>
      </c>
      <c r="AH135" s="5">
        <v>1.0</v>
      </c>
      <c r="AI135" s="5">
        <v>0.0</v>
      </c>
      <c r="AJ135" s="5">
        <v>4.0</v>
      </c>
      <c r="AK135" s="5" t="s">
        <v>359</v>
      </c>
      <c r="AL135" s="5" t="s">
        <v>368</v>
      </c>
      <c r="AM135" s="5">
        <v>0.0</v>
      </c>
      <c r="AN135" s="5" t="s">
        <v>350</v>
      </c>
      <c r="AO135" s="5">
        <f t="shared" si="1"/>
        <v>0</v>
      </c>
      <c r="AP135" s="5">
        <f t="shared" si="2"/>
        <v>0</v>
      </c>
    </row>
    <row r="136">
      <c r="A136" s="5" t="s">
        <v>26</v>
      </c>
      <c r="B136" s="5">
        <v>9.0</v>
      </c>
      <c r="C136" s="5">
        <v>4.0</v>
      </c>
      <c r="D136" s="5">
        <v>1.0</v>
      </c>
      <c r="E136" s="5">
        <v>3.0</v>
      </c>
      <c r="M136" s="5">
        <v>5.0</v>
      </c>
      <c r="N136" s="5">
        <v>1.0</v>
      </c>
      <c r="O136" s="5">
        <v>4.0</v>
      </c>
      <c r="X136" s="5" t="s">
        <v>12</v>
      </c>
      <c r="Z136" s="1" t="s">
        <v>374</v>
      </c>
      <c r="AA136" s="5" t="str">
        <f>IFERROR(__xludf.DUMMYFUNCTION("IF(A136="""","""",INDEX(FILTER(Roster!$A:$A,(Roster!$C:$C=A136)*(Roster!$F:$F=3)),1))"),"Matiz")</f>
        <v>Matiz</v>
      </c>
      <c r="AB136" s="5" t="str">
        <f>IFERROR(__xludf.DUMMYFUNCTION("IF(A136="""","""",INDEX(FILTER(Roster!$A:$A,(Roster!$C:$C=A136)*(Roster!$F:$F=4)),1))"),"Esguerra")</f>
        <v>Esguerra</v>
      </c>
      <c r="AC136" s="5" t="str">
        <f>IFERROR(__xludf.DUMMYFUNCTION("IF(A136="""","""",INDEX(FILTER(Roster!$A:$A,(Roster!$C:$C=A136)*(Roster!$F:$F=1)),1))"),"Luca")</f>
        <v>Luca</v>
      </c>
      <c r="AD136" s="5" t="str">
        <f>IFERROR(__xludf.DUMMYFUNCTION("IF(A136="""","""",INDEX(FILTER(Roster!$A:$A,(Roster!$C:$C=A136)*(Roster!$F:$F=2)),1))"),"Rocha")</f>
        <v>Rocha</v>
      </c>
      <c r="AE136" s="5">
        <v>0.0</v>
      </c>
      <c r="AF136" s="5">
        <v>0.0</v>
      </c>
      <c r="AG136" s="5" t="s">
        <v>350</v>
      </c>
      <c r="AH136" s="5">
        <v>1.0</v>
      </c>
      <c r="AI136" s="5">
        <v>0.0</v>
      </c>
      <c r="AJ136" s="5">
        <v>5.0</v>
      </c>
      <c r="AK136" s="5" t="s">
        <v>360</v>
      </c>
      <c r="AL136" s="5" t="s">
        <v>368</v>
      </c>
      <c r="AM136" s="5">
        <v>0.0</v>
      </c>
      <c r="AN136" s="5" t="s">
        <v>350</v>
      </c>
      <c r="AO136" s="5">
        <f t="shared" si="1"/>
        <v>0</v>
      </c>
      <c r="AP136" s="5">
        <f t="shared" si="2"/>
        <v>0</v>
      </c>
    </row>
    <row r="137">
      <c r="A137" s="5" t="str">
        <f t="array" ref="A137:A145">Calc_Engine!A69:A77</f>
        <v>Flight_4</v>
      </c>
      <c r="B137" s="5">
        <f t="array" ref="B137:B145">Calc_Engine!B69:B77</f>
        <v>1</v>
      </c>
      <c r="H137" s="5">
        <f t="array" ref="H137:H145">Calc_Engine!H69:H77</f>
        <v>5</v>
      </c>
      <c r="I137" s="5">
        <f t="array" ref="I137:I145">Calc_Engine!I69:I77</f>
        <v>1</v>
      </c>
      <c r="J137" s="5">
        <f t="array" ref="J137:J145">Calc_Engine!J69:J77</f>
        <v>4</v>
      </c>
      <c r="R137" s="5">
        <f t="array" ref="R137:R145">Calc_Engine!R69:R77</f>
        <v>8</v>
      </c>
      <c r="S137" s="5">
        <f t="array" ref="S137:S145">Calc_Engine!S69:S77</f>
        <v>2</v>
      </c>
      <c r="T137" s="5">
        <f t="array" ref="T137:T145">Calc_Engine!T69:T77</f>
        <v>6</v>
      </c>
      <c r="Y137" s="5" t="str">
        <f t="array" ref="Y137:Y145">Calc_Engine!Y69:Y77</f>
        <v>Red</v>
      </c>
      <c r="Z137" s="1" t="s">
        <v>375</v>
      </c>
      <c r="AA137" s="5" t="str">
        <f>IFERROR(__xludf.DUMMYFUNCTION("IF(A137="""","""",INDEX(FILTER(Roster!$A:$A,(Roster!$C:$C=A137)*(Roster!$F:$F=3)),1))"),"Matiz")</f>
        <v>Matiz</v>
      </c>
      <c r="AB137" s="5" t="str">
        <f>IFERROR(__xludf.DUMMYFUNCTION("IF(A137="""","""",INDEX(FILTER(Roster!$A:$A,(Roster!$C:$C=A137)*(Roster!$F:$F=4)),1))"),"Esguerra")</f>
        <v>Esguerra</v>
      </c>
      <c r="AC137" s="5" t="str">
        <f>IFERROR(__xludf.DUMMYFUNCTION("IF(A137="""","""",INDEX(FILTER(Roster!$A:$A,(Roster!$C:$C=A137)*(Roster!$F:$F=1)),1))"),"Luca")</f>
        <v>Luca</v>
      </c>
      <c r="AD137" s="5" t="str">
        <f>IFERROR(__xludf.DUMMYFUNCTION("IF(A137="""","""",INDEX(FILTER(Roster!$A:$A,(Roster!$C:$C=A137)*(Roster!$F:$F=2)),1))"),"Rocha")</f>
        <v>Rocha</v>
      </c>
      <c r="AE137" s="5">
        <v>0.0</v>
      </c>
      <c r="AF137" s="5">
        <v>0.0</v>
      </c>
      <c r="AG137" s="5" t="s">
        <v>350</v>
      </c>
      <c r="AH137" s="5">
        <v>0.0</v>
      </c>
      <c r="AI137" s="5">
        <v>1.0</v>
      </c>
      <c r="AJ137" s="5">
        <v>0.0</v>
      </c>
      <c r="AK137" s="5" t="s">
        <v>350</v>
      </c>
      <c r="AL137" s="5" t="s">
        <v>351</v>
      </c>
      <c r="AM137" s="5">
        <v>1.0</v>
      </c>
      <c r="AN137" s="5" t="s">
        <v>352</v>
      </c>
      <c r="AO137" s="5">
        <f t="shared" si="1"/>
        <v>0</v>
      </c>
      <c r="AP137" s="5">
        <f t="shared" si="2"/>
        <v>0</v>
      </c>
    </row>
    <row r="138">
      <c r="A138" s="5" t="s">
        <v>26</v>
      </c>
      <c r="B138" s="5">
        <v>2.0</v>
      </c>
      <c r="H138" s="5">
        <v>5.0</v>
      </c>
      <c r="I138" s="5">
        <v>0.0</v>
      </c>
      <c r="J138" s="5">
        <v>5.0</v>
      </c>
      <c r="R138" s="5">
        <v>6.0</v>
      </c>
      <c r="S138" s="5">
        <v>1.0</v>
      </c>
      <c r="T138" s="5">
        <v>5.0</v>
      </c>
      <c r="Y138" s="5" t="s">
        <v>353</v>
      </c>
      <c r="Z138" s="1" t="s">
        <v>375</v>
      </c>
      <c r="AA138" s="5" t="str">
        <f>IFERROR(__xludf.DUMMYFUNCTION("IF(A138="""","""",INDEX(FILTER(Roster!$A:$A,(Roster!$C:$C=A138)*(Roster!$F:$F=3)),1))"),"Matiz")</f>
        <v>Matiz</v>
      </c>
      <c r="AB138" s="5" t="str">
        <f>IFERROR(__xludf.DUMMYFUNCTION("IF(A138="""","""",INDEX(FILTER(Roster!$A:$A,(Roster!$C:$C=A138)*(Roster!$F:$F=4)),1))"),"Esguerra")</f>
        <v>Esguerra</v>
      </c>
      <c r="AC138" s="5" t="str">
        <f>IFERROR(__xludf.DUMMYFUNCTION("IF(A138="""","""",INDEX(FILTER(Roster!$A:$A,(Roster!$C:$C=A138)*(Roster!$F:$F=1)),1))"),"Luca")</f>
        <v>Luca</v>
      </c>
      <c r="AD138" s="5" t="str">
        <f>IFERROR(__xludf.DUMMYFUNCTION("IF(A138="""","""",INDEX(FILTER(Roster!$A:$A,(Roster!$C:$C=A138)*(Roster!$F:$F=2)),1))"),"Rocha")</f>
        <v>Rocha</v>
      </c>
      <c r="AE138" s="5">
        <v>0.0</v>
      </c>
      <c r="AF138" s="5">
        <v>0.0</v>
      </c>
      <c r="AG138" s="5" t="s">
        <v>350</v>
      </c>
      <c r="AH138" s="5">
        <v>0.0</v>
      </c>
      <c r="AI138" s="5">
        <v>0.0</v>
      </c>
      <c r="AJ138" s="5">
        <v>0.0</v>
      </c>
      <c r="AK138" s="5" t="s">
        <v>350</v>
      </c>
      <c r="AL138" s="5" t="s">
        <v>351</v>
      </c>
      <c r="AM138" s="5">
        <v>1.0</v>
      </c>
      <c r="AN138" s="5" t="s">
        <v>352</v>
      </c>
      <c r="AO138" s="5">
        <f t="shared" si="1"/>
        <v>0</v>
      </c>
      <c r="AP138" s="5">
        <f t="shared" si="2"/>
        <v>0</v>
      </c>
    </row>
    <row r="139">
      <c r="A139" s="5" t="s">
        <v>26</v>
      </c>
      <c r="B139" s="5">
        <v>3.0</v>
      </c>
      <c r="H139" s="5">
        <v>5.0</v>
      </c>
      <c r="I139" s="5">
        <v>0.0</v>
      </c>
      <c r="J139" s="5">
        <v>5.0</v>
      </c>
      <c r="R139" s="5">
        <v>5.0</v>
      </c>
      <c r="S139" s="5">
        <v>1.0</v>
      </c>
      <c r="T139" s="5">
        <v>4.0</v>
      </c>
      <c r="Y139" s="5" t="s">
        <v>7</v>
      </c>
      <c r="Z139" s="1" t="s">
        <v>375</v>
      </c>
      <c r="AA139" s="5" t="str">
        <f>IFERROR(__xludf.DUMMYFUNCTION("IF(A139="""","""",INDEX(FILTER(Roster!$A:$A,(Roster!$C:$C=A139)*(Roster!$F:$F=3)),1))"),"Matiz")</f>
        <v>Matiz</v>
      </c>
      <c r="AB139" s="5" t="str">
        <f>IFERROR(__xludf.DUMMYFUNCTION("IF(A139="""","""",INDEX(FILTER(Roster!$A:$A,(Roster!$C:$C=A139)*(Roster!$F:$F=4)),1))"),"Esguerra")</f>
        <v>Esguerra</v>
      </c>
      <c r="AC139" s="5" t="str">
        <f>IFERROR(__xludf.DUMMYFUNCTION("IF(A139="""","""",INDEX(FILTER(Roster!$A:$A,(Roster!$C:$C=A139)*(Roster!$F:$F=1)),1))"),"Luca")</f>
        <v>Luca</v>
      </c>
      <c r="AD139" s="5" t="str">
        <f>IFERROR(__xludf.DUMMYFUNCTION("IF(A139="""","""",INDEX(FILTER(Roster!$A:$A,(Roster!$C:$C=A139)*(Roster!$F:$F=2)),1))"),"Rocha")</f>
        <v>Rocha</v>
      </c>
      <c r="AE139" s="5">
        <v>0.0</v>
      </c>
      <c r="AF139" s="5">
        <v>0.0</v>
      </c>
      <c r="AG139" s="5" t="s">
        <v>350</v>
      </c>
      <c r="AH139" s="5">
        <v>0.0</v>
      </c>
      <c r="AI139" s="5">
        <v>-1.0</v>
      </c>
      <c r="AJ139" s="5">
        <v>0.0</v>
      </c>
      <c r="AK139" s="5" t="s">
        <v>350</v>
      </c>
      <c r="AL139" s="5" t="s">
        <v>351</v>
      </c>
      <c r="AM139" s="5">
        <v>0.0</v>
      </c>
      <c r="AN139" s="5" t="s">
        <v>350</v>
      </c>
      <c r="AO139" s="5">
        <f t="shared" si="1"/>
        <v>0</v>
      </c>
      <c r="AP139" s="5">
        <f t="shared" si="2"/>
        <v>0</v>
      </c>
    </row>
    <row r="140">
      <c r="A140" s="5" t="s">
        <v>26</v>
      </c>
      <c r="B140" s="5">
        <v>4.0</v>
      </c>
      <c r="H140" s="5">
        <v>4.0</v>
      </c>
      <c r="I140" s="5">
        <v>0.0</v>
      </c>
      <c r="J140" s="5">
        <v>4.0</v>
      </c>
      <c r="R140" s="5">
        <v>6.0</v>
      </c>
      <c r="S140" s="5">
        <v>1.0</v>
      </c>
      <c r="T140" s="5">
        <v>5.0</v>
      </c>
      <c r="Y140" s="5" t="s">
        <v>12</v>
      </c>
      <c r="Z140" s="1" t="s">
        <v>375</v>
      </c>
      <c r="AA140" s="5" t="str">
        <f>IFERROR(__xludf.DUMMYFUNCTION("IF(A140="""","""",INDEX(FILTER(Roster!$A:$A,(Roster!$C:$C=A140)*(Roster!$F:$F=3)),1))"),"Matiz")</f>
        <v>Matiz</v>
      </c>
      <c r="AB140" s="5" t="str">
        <f>IFERROR(__xludf.DUMMYFUNCTION("IF(A140="""","""",INDEX(FILTER(Roster!$A:$A,(Roster!$C:$C=A140)*(Roster!$F:$F=4)),1))"),"Esguerra")</f>
        <v>Esguerra</v>
      </c>
      <c r="AC140" s="5" t="str">
        <f>IFERROR(__xludf.DUMMYFUNCTION("IF(A140="""","""",INDEX(FILTER(Roster!$A:$A,(Roster!$C:$C=A140)*(Roster!$F:$F=1)),1))"),"Luca")</f>
        <v>Luca</v>
      </c>
      <c r="AD140" s="5" t="str">
        <f>IFERROR(__xludf.DUMMYFUNCTION("IF(A140="""","""",INDEX(FILTER(Roster!$A:$A,(Roster!$C:$C=A140)*(Roster!$F:$F=2)),1))"),"Rocha")</f>
        <v>Rocha</v>
      </c>
      <c r="AE140" s="5">
        <v>0.0</v>
      </c>
      <c r="AF140" s="5">
        <v>0.0</v>
      </c>
      <c r="AG140" s="5" t="s">
        <v>350</v>
      </c>
      <c r="AH140" s="5">
        <v>0.0</v>
      </c>
      <c r="AI140" s="5">
        <v>1.0</v>
      </c>
      <c r="AJ140" s="5">
        <v>0.0</v>
      </c>
      <c r="AK140" s="5" t="s">
        <v>350</v>
      </c>
      <c r="AL140" s="5" t="s">
        <v>351</v>
      </c>
      <c r="AM140" s="5">
        <v>1.0</v>
      </c>
      <c r="AN140" s="5" t="s">
        <v>352</v>
      </c>
      <c r="AO140" s="5">
        <f t="shared" si="1"/>
        <v>0</v>
      </c>
      <c r="AP140" s="5">
        <f t="shared" si="2"/>
        <v>0</v>
      </c>
    </row>
    <row r="141">
      <c r="A141" s="5" t="s">
        <v>26</v>
      </c>
      <c r="B141" s="5">
        <v>5.0</v>
      </c>
      <c r="H141" s="5">
        <v>6.0</v>
      </c>
      <c r="I141" s="5">
        <v>1.0</v>
      </c>
      <c r="J141" s="5">
        <v>5.0</v>
      </c>
      <c r="R141" s="5">
        <v>6.0</v>
      </c>
      <c r="S141" s="5">
        <v>1.0</v>
      </c>
      <c r="T141" s="5">
        <v>5.0</v>
      </c>
      <c r="Y141" s="5" t="s">
        <v>353</v>
      </c>
      <c r="Z141" s="1" t="s">
        <v>375</v>
      </c>
      <c r="AA141" s="5" t="str">
        <f>IFERROR(__xludf.DUMMYFUNCTION("IF(A141="""","""",INDEX(FILTER(Roster!$A:$A,(Roster!$C:$C=A141)*(Roster!$F:$F=3)),1))"),"Matiz")</f>
        <v>Matiz</v>
      </c>
      <c r="AB141" s="5" t="str">
        <f>IFERROR(__xludf.DUMMYFUNCTION("IF(A141="""","""",INDEX(FILTER(Roster!$A:$A,(Roster!$C:$C=A141)*(Roster!$F:$F=4)),1))"),"Esguerra")</f>
        <v>Esguerra</v>
      </c>
      <c r="AC141" s="5" t="str">
        <f>IFERROR(__xludf.DUMMYFUNCTION("IF(A141="""","""",INDEX(FILTER(Roster!$A:$A,(Roster!$C:$C=A141)*(Roster!$F:$F=1)),1))"),"Luca")</f>
        <v>Luca</v>
      </c>
      <c r="AD141" s="5" t="str">
        <f>IFERROR(__xludf.DUMMYFUNCTION("IF(A141="""","""",INDEX(FILTER(Roster!$A:$A,(Roster!$C:$C=A141)*(Roster!$F:$F=2)),1))"),"Rocha")</f>
        <v>Rocha</v>
      </c>
      <c r="AE141" s="5">
        <v>0.0</v>
      </c>
      <c r="AF141" s="5">
        <v>0.0</v>
      </c>
      <c r="AG141" s="5" t="s">
        <v>350</v>
      </c>
      <c r="AH141" s="5">
        <v>0.0</v>
      </c>
      <c r="AI141" s="5">
        <v>0.0</v>
      </c>
      <c r="AJ141" s="5">
        <v>0.0</v>
      </c>
      <c r="AK141" s="5" t="s">
        <v>350</v>
      </c>
      <c r="AL141" s="5" t="s">
        <v>351</v>
      </c>
      <c r="AM141" s="5">
        <v>1.0</v>
      </c>
      <c r="AN141" s="5" t="s">
        <v>352</v>
      </c>
      <c r="AO141" s="5">
        <f t="shared" si="1"/>
        <v>0</v>
      </c>
      <c r="AP141" s="5">
        <f t="shared" si="2"/>
        <v>0</v>
      </c>
    </row>
    <row r="142">
      <c r="A142" s="5" t="s">
        <v>26</v>
      </c>
      <c r="B142" s="5">
        <v>6.0</v>
      </c>
      <c r="H142" s="5">
        <v>3.0</v>
      </c>
      <c r="I142" s="5">
        <v>1.0</v>
      </c>
      <c r="J142" s="5">
        <v>2.0</v>
      </c>
      <c r="R142" s="5">
        <v>6.0</v>
      </c>
      <c r="S142" s="5">
        <v>1.0</v>
      </c>
      <c r="T142" s="5">
        <v>5.0</v>
      </c>
      <c r="Y142" s="5" t="s">
        <v>12</v>
      </c>
      <c r="Z142" s="1" t="s">
        <v>375</v>
      </c>
      <c r="AA142" s="5" t="str">
        <f>IFERROR(__xludf.DUMMYFUNCTION("IF(A142="""","""",INDEX(FILTER(Roster!$A:$A,(Roster!$C:$C=A142)*(Roster!$F:$F=3)),1))"),"Matiz")</f>
        <v>Matiz</v>
      </c>
      <c r="AB142" s="5" t="str">
        <f>IFERROR(__xludf.DUMMYFUNCTION("IF(A142="""","""",INDEX(FILTER(Roster!$A:$A,(Roster!$C:$C=A142)*(Roster!$F:$F=4)),1))"),"Esguerra")</f>
        <v>Esguerra</v>
      </c>
      <c r="AC142" s="5" t="str">
        <f>IFERROR(__xludf.DUMMYFUNCTION("IF(A142="""","""",INDEX(FILTER(Roster!$A:$A,(Roster!$C:$C=A142)*(Roster!$F:$F=1)),1))"),"Luca")</f>
        <v>Luca</v>
      </c>
      <c r="AD142" s="5" t="str">
        <f>IFERROR(__xludf.DUMMYFUNCTION("IF(A142="""","""",INDEX(FILTER(Roster!$A:$A,(Roster!$C:$C=A142)*(Roster!$F:$F=2)),1))"),"Rocha")</f>
        <v>Rocha</v>
      </c>
      <c r="AE142" s="5">
        <v>0.0</v>
      </c>
      <c r="AF142" s="5">
        <v>0.0</v>
      </c>
      <c r="AG142" s="5" t="s">
        <v>350</v>
      </c>
      <c r="AH142" s="5">
        <v>0.0</v>
      </c>
      <c r="AI142" s="5">
        <v>1.0</v>
      </c>
      <c r="AJ142" s="5">
        <v>0.0</v>
      </c>
      <c r="AK142" s="5" t="s">
        <v>350</v>
      </c>
      <c r="AL142" s="5" t="s">
        <v>351</v>
      </c>
      <c r="AM142" s="5">
        <v>2.0</v>
      </c>
      <c r="AN142" s="5" t="s">
        <v>354</v>
      </c>
      <c r="AO142" s="5">
        <f t="shared" si="1"/>
        <v>0</v>
      </c>
      <c r="AP142" s="5">
        <f t="shared" si="2"/>
        <v>0</v>
      </c>
    </row>
    <row r="143">
      <c r="A143" s="5" t="s">
        <v>26</v>
      </c>
      <c r="B143" s="5">
        <v>7.0</v>
      </c>
      <c r="H143" s="5">
        <v>3.0</v>
      </c>
      <c r="I143" s="5">
        <v>0.0</v>
      </c>
      <c r="J143" s="5">
        <v>3.0</v>
      </c>
      <c r="R143" s="5">
        <v>5.0</v>
      </c>
      <c r="S143" s="5">
        <v>1.0</v>
      </c>
      <c r="T143" s="5">
        <v>4.0</v>
      </c>
      <c r="Y143" s="5" t="s">
        <v>12</v>
      </c>
      <c r="Z143" s="1" t="s">
        <v>375</v>
      </c>
      <c r="AA143" s="5" t="str">
        <f>IFERROR(__xludf.DUMMYFUNCTION("IF(A143="""","""",INDEX(FILTER(Roster!$A:$A,(Roster!$C:$C=A143)*(Roster!$F:$F=3)),1))"),"Matiz")</f>
        <v>Matiz</v>
      </c>
      <c r="AB143" s="5" t="str">
        <f>IFERROR(__xludf.DUMMYFUNCTION("IF(A143="""","""",INDEX(FILTER(Roster!$A:$A,(Roster!$C:$C=A143)*(Roster!$F:$F=4)),1))"),"Esguerra")</f>
        <v>Esguerra</v>
      </c>
      <c r="AC143" s="5" t="str">
        <f>IFERROR(__xludf.DUMMYFUNCTION("IF(A143="""","""",INDEX(FILTER(Roster!$A:$A,(Roster!$C:$C=A143)*(Roster!$F:$F=1)),1))"),"Luca")</f>
        <v>Luca</v>
      </c>
      <c r="AD143" s="5" t="str">
        <f>IFERROR(__xludf.DUMMYFUNCTION("IF(A143="""","""",INDEX(FILTER(Roster!$A:$A,(Roster!$C:$C=A143)*(Roster!$F:$F=2)),1))"),"Rocha")</f>
        <v>Rocha</v>
      </c>
      <c r="AE143" s="5">
        <v>0.0</v>
      </c>
      <c r="AF143" s="5">
        <v>0.0</v>
      </c>
      <c r="AG143" s="5" t="s">
        <v>350</v>
      </c>
      <c r="AH143" s="5">
        <v>0.0</v>
      </c>
      <c r="AI143" s="5">
        <v>1.0</v>
      </c>
      <c r="AJ143" s="5">
        <v>0.0</v>
      </c>
      <c r="AK143" s="5" t="s">
        <v>350</v>
      </c>
      <c r="AL143" s="5" t="s">
        <v>351</v>
      </c>
      <c r="AM143" s="5">
        <v>3.0</v>
      </c>
      <c r="AN143" s="5" t="s">
        <v>358</v>
      </c>
      <c r="AO143" s="5">
        <f t="shared" si="1"/>
        <v>0</v>
      </c>
      <c r="AP143" s="5">
        <f t="shared" si="2"/>
        <v>0</v>
      </c>
    </row>
    <row r="144">
      <c r="A144" s="5" t="s">
        <v>26</v>
      </c>
      <c r="B144" s="5">
        <v>8.0</v>
      </c>
      <c r="H144" s="5">
        <v>6.0</v>
      </c>
      <c r="I144" s="5">
        <v>0.0</v>
      </c>
      <c r="J144" s="5">
        <v>6.0</v>
      </c>
      <c r="R144" s="5">
        <v>6.0</v>
      </c>
      <c r="S144" s="5">
        <v>1.0</v>
      </c>
      <c r="T144" s="5">
        <v>5.0</v>
      </c>
      <c r="Y144" s="5" t="s">
        <v>7</v>
      </c>
      <c r="Z144" s="1" t="s">
        <v>375</v>
      </c>
      <c r="AA144" s="5" t="str">
        <f>IFERROR(__xludf.DUMMYFUNCTION("IF(A144="""","""",INDEX(FILTER(Roster!$A:$A,(Roster!$C:$C=A144)*(Roster!$F:$F=3)),1))"),"Matiz")</f>
        <v>Matiz</v>
      </c>
      <c r="AB144" s="5" t="str">
        <f>IFERROR(__xludf.DUMMYFUNCTION("IF(A144="""","""",INDEX(FILTER(Roster!$A:$A,(Roster!$C:$C=A144)*(Roster!$F:$F=4)),1))"),"Esguerra")</f>
        <v>Esguerra</v>
      </c>
      <c r="AC144" s="5" t="str">
        <f>IFERROR(__xludf.DUMMYFUNCTION("IF(A144="""","""",INDEX(FILTER(Roster!$A:$A,(Roster!$C:$C=A144)*(Roster!$F:$F=1)),1))"),"Luca")</f>
        <v>Luca</v>
      </c>
      <c r="AD144" s="5" t="str">
        <f>IFERROR(__xludf.DUMMYFUNCTION("IF(A144="""","""",INDEX(FILTER(Roster!$A:$A,(Roster!$C:$C=A144)*(Roster!$F:$F=2)),1))"),"Rocha")</f>
        <v>Rocha</v>
      </c>
      <c r="AE144" s="5">
        <v>0.0</v>
      </c>
      <c r="AF144" s="5">
        <v>0.0</v>
      </c>
      <c r="AG144" s="5" t="s">
        <v>350</v>
      </c>
      <c r="AH144" s="5">
        <v>0.0</v>
      </c>
      <c r="AI144" s="5">
        <v>-1.0</v>
      </c>
      <c r="AJ144" s="5">
        <v>0.0</v>
      </c>
      <c r="AK144" s="5" t="s">
        <v>350</v>
      </c>
      <c r="AL144" s="5" t="s">
        <v>351</v>
      </c>
      <c r="AM144" s="5">
        <v>2.0</v>
      </c>
      <c r="AN144" s="5" t="s">
        <v>354</v>
      </c>
      <c r="AO144" s="5">
        <f t="shared" si="1"/>
        <v>0</v>
      </c>
      <c r="AP144" s="5">
        <f t="shared" si="2"/>
        <v>0</v>
      </c>
    </row>
    <row r="145">
      <c r="A145" s="5" t="s">
        <v>26</v>
      </c>
      <c r="B145" s="5">
        <v>9.0</v>
      </c>
      <c r="H145" s="5">
        <v>4.0</v>
      </c>
      <c r="I145" s="5">
        <v>1.0</v>
      </c>
      <c r="J145" s="5">
        <v>3.0</v>
      </c>
      <c r="R145" s="5">
        <v>5.0</v>
      </c>
      <c r="S145" s="5">
        <v>2.0</v>
      </c>
      <c r="T145" s="5">
        <v>3.0</v>
      </c>
      <c r="Y145" s="5" t="s">
        <v>353</v>
      </c>
      <c r="Z145" s="1" t="s">
        <v>375</v>
      </c>
      <c r="AA145" s="5" t="str">
        <f>IFERROR(__xludf.DUMMYFUNCTION("IF(A145="""","""",INDEX(FILTER(Roster!$A:$A,(Roster!$C:$C=A145)*(Roster!$F:$F=3)),1))"),"Matiz")</f>
        <v>Matiz</v>
      </c>
      <c r="AB145" s="5" t="str">
        <f>IFERROR(__xludf.DUMMYFUNCTION("IF(A145="""","""",INDEX(FILTER(Roster!$A:$A,(Roster!$C:$C=A145)*(Roster!$F:$F=4)),1))"),"Esguerra")</f>
        <v>Esguerra</v>
      </c>
      <c r="AC145" s="5" t="str">
        <f>IFERROR(__xludf.DUMMYFUNCTION("IF(A145="""","""",INDEX(FILTER(Roster!$A:$A,(Roster!$C:$C=A145)*(Roster!$F:$F=1)),1))"),"Luca")</f>
        <v>Luca</v>
      </c>
      <c r="AD145" s="5" t="str">
        <f>IFERROR(__xludf.DUMMYFUNCTION("IF(A145="""","""",INDEX(FILTER(Roster!$A:$A,(Roster!$C:$C=A145)*(Roster!$F:$F=2)),1))"),"Rocha")</f>
        <v>Rocha</v>
      </c>
      <c r="AE145" s="5">
        <v>0.0</v>
      </c>
      <c r="AF145" s="5">
        <v>0.0</v>
      </c>
      <c r="AG145" s="5" t="s">
        <v>350</v>
      </c>
      <c r="AH145" s="5">
        <v>0.0</v>
      </c>
      <c r="AI145" s="5">
        <v>0.0</v>
      </c>
      <c r="AJ145" s="5">
        <v>0.0</v>
      </c>
      <c r="AK145" s="5" t="s">
        <v>350</v>
      </c>
      <c r="AL145" s="5" t="s">
        <v>351</v>
      </c>
      <c r="AM145" s="5">
        <v>2.0</v>
      </c>
      <c r="AN145" s="5" t="s">
        <v>354</v>
      </c>
      <c r="AO145" s="5">
        <f t="shared" si="1"/>
        <v>0</v>
      </c>
      <c r="AP145" s="5">
        <f t="shared" si="2"/>
        <v>0</v>
      </c>
    </row>
    <row r="146">
      <c r="A146" s="5" t="str">
        <f t="array" ref="A146:A154">Calc_Engine!A80:A88</f>
        <v>Flight_5</v>
      </c>
      <c r="B146" s="5">
        <f t="array" ref="B146:B154">Calc_Engine!B80:B88</f>
        <v>1</v>
      </c>
      <c r="C146" s="5">
        <f t="array" ref="C146:C154">Calc_Engine!C80:C88</f>
        <v>4</v>
      </c>
      <c r="D146" s="5">
        <f t="array" ref="D146:D154">Calc_Engine!D80:D88</f>
        <v>1</v>
      </c>
      <c r="E146" s="5">
        <f t="array" ref="E146:E154">Calc_Engine!E80:E88</f>
        <v>3</v>
      </c>
      <c r="M146" s="5">
        <f t="array" ref="M146:M154">Calc_Engine!M80:M88</f>
        <v>5</v>
      </c>
      <c r="N146" s="5">
        <f t="array" ref="N146:N154">Calc_Engine!N80:N88</f>
        <v>1</v>
      </c>
      <c r="O146" s="5">
        <f t="array" ref="O146:O154">Calc_Engine!O80:O88</f>
        <v>4</v>
      </c>
      <c r="X146" s="5" t="str">
        <f t="array" ref="X146:X154">Calc_Engine!X80:X88</f>
        <v>Red</v>
      </c>
      <c r="Z146" s="1" t="s">
        <v>376</v>
      </c>
      <c r="AA146" s="5" t="str">
        <f>IFERROR(__xludf.DUMMYFUNCTION("IF(A146="""","""",INDEX(FILTER(Roster!$A:$A,(Roster!$C:$C=A146)*(Roster!$F:$F=3)),1))"),"Pulido")</f>
        <v>Pulido</v>
      </c>
      <c r="AB146" s="5" t="str">
        <f>IFERROR(__xludf.DUMMYFUNCTION("IF(A146="""","""",INDEX(FILTER(Roster!$A:$A,(Roster!$C:$C=A146)*(Roster!$F:$F=4)),1))"),"Otoya")</f>
        <v>Otoya</v>
      </c>
      <c r="AC146" s="5" t="str">
        <f>IFERROR(__xludf.DUMMYFUNCTION("IF(A146="""","""",INDEX(FILTER(Roster!$A:$A,(Roster!$C:$C=A146)*(Roster!$F:$F=1)),1))"),"Sardi")</f>
        <v>Sardi</v>
      </c>
      <c r="AD146" s="5" t="str">
        <f>IFERROR(__xludf.DUMMYFUNCTION("IF(A146="""","""",INDEX(FILTER(Roster!$A:$A,(Roster!$C:$C=A146)*(Roster!$F:$F=2)),1))"),"JC Casas")</f>
        <v>JC Casas</v>
      </c>
      <c r="AE146" s="5">
        <v>0.0</v>
      </c>
      <c r="AF146" s="5">
        <v>0.0</v>
      </c>
      <c r="AG146" s="5" t="s">
        <v>350</v>
      </c>
      <c r="AH146" s="5">
        <v>1.0</v>
      </c>
      <c r="AI146" s="5">
        <v>0.0</v>
      </c>
      <c r="AJ146" s="5">
        <v>1.0</v>
      </c>
      <c r="AK146" s="5" t="s">
        <v>352</v>
      </c>
      <c r="AL146" s="5" t="s">
        <v>368</v>
      </c>
      <c r="AM146" s="5">
        <v>0.0</v>
      </c>
      <c r="AN146" s="5" t="s">
        <v>350</v>
      </c>
      <c r="AO146" s="5">
        <f t="shared" si="1"/>
        <v>0</v>
      </c>
      <c r="AP146" s="5">
        <f t="shared" si="2"/>
        <v>0</v>
      </c>
    </row>
    <row r="147">
      <c r="A147" s="5" t="s">
        <v>31</v>
      </c>
      <c r="B147" s="5">
        <v>2.0</v>
      </c>
      <c r="C147" s="5">
        <v>6.0</v>
      </c>
      <c r="D147" s="5">
        <v>0.0</v>
      </c>
      <c r="E147" s="5">
        <v>6.0</v>
      </c>
      <c r="M147" s="5">
        <v>6.0</v>
      </c>
      <c r="N147" s="5">
        <v>1.0</v>
      </c>
      <c r="O147" s="5">
        <v>5.0</v>
      </c>
      <c r="X147" s="5" t="s">
        <v>7</v>
      </c>
      <c r="Z147" s="1" t="s">
        <v>376</v>
      </c>
      <c r="AA147" s="5" t="str">
        <f>IFERROR(__xludf.DUMMYFUNCTION("IF(A147="""","""",INDEX(FILTER(Roster!$A:$A,(Roster!$C:$C=A147)*(Roster!$F:$F=3)),1))"),"Pulido")</f>
        <v>Pulido</v>
      </c>
      <c r="AB147" s="5" t="str">
        <f>IFERROR(__xludf.DUMMYFUNCTION("IF(A147="""","""",INDEX(FILTER(Roster!$A:$A,(Roster!$C:$C=A147)*(Roster!$F:$F=4)),1))"),"Otoya")</f>
        <v>Otoya</v>
      </c>
      <c r="AC147" s="5" t="str">
        <f>IFERROR(__xludf.DUMMYFUNCTION("IF(A147="""","""",INDEX(FILTER(Roster!$A:$A,(Roster!$C:$C=A147)*(Roster!$F:$F=1)),1))"),"Sardi")</f>
        <v>Sardi</v>
      </c>
      <c r="AD147" s="5" t="str">
        <f>IFERROR(__xludf.DUMMYFUNCTION("IF(A147="""","""",INDEX(FILTER(Roster!$A:$A,(Roster!$C:$C=A147)*(Roster!$F:$F=2)),1))"),"JC Casas")</f>
        <v>JC Casas</v>
      </c>
      <c r="AE147" s="5">
        <v>0.0</v>
      </c>
      <c r="AF147" s="5">
        <v>0.0</v>
      </c>
      <c r="AG147" s="5" t="s">
        <v>350</v>
      </c>
      <c r="AH147" s="5">
        <v>-1.0</v>
      </c>
      <c r="AI147" s="5">
        <v>0.0</v>
      </c>
      <c r="AJ147" s="5">
        <v>0.0</v>
      </c>
      <c r="AK147" s="5" t="s">
        <v>350</v>
      </c>
      <c r="AL147" s="5" t="s">
        <v>351</v>
      </c>
      <c r="AM147" s="5">
        <v>0.0</v>
      </c>
      <c r="AN147" s="5" t="s">
        <v>350</v>
      </c>
      <c r="AO147" s="5">
        <f t="shared" si="1"/>
        <v>0</v>
      </c>
      <c r="AP147" s="5">
        <f t="shared" si="2"/>
        <v>0</v>
      </c>
    </row>
    <row r="148">
      <c r="A148" s="5" t="s">
        <v>31</v>
      </c>
      <c r="B148" s="5">
        <v>3.0</v>
      </c>
      <c r="C148" s="5">
        <v>4.0</v>
      </c>
      <c r="D148" s="5">
        <v>0.0</v>
      </c>
      <c r="E148" s="5">
        <v>4.0</v>
      </c>
      <c r="M148" s="5">
        <v>6.0</v>
      </c>
      <c r="N148" s="5">
        <v>0.0</v>
      </c>
      <c r="O148" s="5">
        <v>6.0</v>
      </c>
      <c r="X148" s="5" t="s">
        <v>12</v>
      </c>
      <c r="Z148" s="1" t="s">
        <v>376</v>
      </c>
      <c r="AA148" s="5" t="str">
        <f>IFERROR(__xludf.DUMMYFUNCTION("IF(A148="""","""",INDEX(FILTER(Roster!$A:$A,(Roster!$C:$C=A148)*(Roster!$F:$F=3)),1))"),"Pulido")</f>
        <v>Pulido</v>
      </c>
      <c r="AB148" s="5" t="str">
        <f>IFERROR(__xludf.DUMMYFUNCTION("IF(A148="""","""",INDEX(FILTER(Roster!$A:$A,(Roster!$C:$C=A148)*(Roster!$F:$F=4)),1))"),"Otoya")</f>
        <v>Otoya</v>
      </c>
      <c r="AC148" s="5" t="str">
        <f>IFERROR(__xludf.DUMMYFUNCTION("IF(A148="""","""",INDEX(FILTER(Roster!$A:$A,(Roster!$C:$C=A148)*(Roster!$F:$F=1)),1))"),"Sardi")</f>
        <v>Sardi</v>
      </c>
      <c r="AD148" s="5" t="str">
        <f>IFERROR(__xludf.DUMMYFUNCTION("IF(A148="""","""",INDEX(FILTER(Roster!$A:$A,(Roster!$C:$C=A148)*(Roster!$F:$F=2)),1))"),"JC Casas")</f>
        <v>JC Casas</v>
      </c>
      <c r="AE148" s="5">
        <v>0.0</v>
      </c>
      <c r="AF148" s="5">
        <v>0.0</v>
      </c>
      <c r="AG148" s="5" t="s">
        <v>350</v>
      </c>
      <c r="AH148" s="5">
        <v>1.0</v>
      </c>
      <c r="AI148" s="5">
        <v>0.0</v>
      </c>
      <c r="AJ148" s="5">
        <v>1.0</v>
      </c>
      <c r="AK148" s="5" t="s">
        <v>352</v>
      </c>
      <c r="AL148" s="5" t="s">
        <v>368</v>
      </c>
      <c r="AM148" s="5">
        <v>0.0</v>
      </c>
      <c r="AN148" s="5" t="s">
        <v>350</v>
      </c>
      <c r="AO148" s="5">
        <f t="shared" si="1"/>
        <v>0</v>
      </c>
      <c r="AP148" s="5">
        <f t="shared" si="2"/>
        <v>0</v>
      </c>
    </row>
    <row r="149">
      <c r="A149" s="5" t="s">
        <v>31</v>
      </c>
      <c r="B149" s="5">
        <v>4.0</v>
      </c>
      <c r="C149" s="5">
        <v>4.0</v>
      </c>
      <c r="D149" s="5">
        <v>0.0</v>
      </c>
      <c r="E149" s="5">
        <v>4.0</v>
      </c>
      <c r="M149" s="5">
        <v>4.0</v>
      </c>
      <c r="N149" s="5">
        <v>0.0</v>
      </c>
      <c r="O149" s="5">
        <v>4.0</v>
      </c>
      <c r="X149" s="5" t="s">
        <v>353</v>
      </c>
      <c r="Z149" s="1" t="s">
        <v>376</v>
      </c>
      <c r="AA149" s="5" t="str">
        <f>IFERROR(__xludf.DUMMYFUNCTION("IF(A149="""","""",INDEX(FILTER(Roster!$A:$A,(Roster!$C:$C=A149)*(Roster!$F:$F=3)),1))"),"Pulido")</f>
        <v>Pulido</v>
      </c>
      <c r="AB149" s="5" t="str">
        <f>IFERROR(__xludf.DUMMYFUNCTION("IF(A149="""","""",INDEX(FILTER(Roster!$A:$A,(Roster!$C:$C=A149)*(Roster!$F:$F=4)),1))"),"Otoya")</f>
        <v>Otoya</v>
      </c>
      <c r="AC149" s="5" t="str">
        <f>IFERROR(__xludf.DUMMYFUNCTION("IF(A149="""","""",INDEX(FILTER(Roster!$A:$A,(Roster!$C:$C=A149)*(Roster!$F:$F=1)),1))"),"Sardi")</f>
        <v>Sardi</v>
      </c>
      <c r="AD149" s="5" t="str">
        <f>IFERROR(__xludf.DUMMYFUNCTION("IF(A149="""","""",INDEX(FILTER(Roster!$A:$A,(Roster!$C:$C=A149)*(Roster!$F:$F=2)),1))"),"JC Casas")</f>
        <v>JC Casas</v>
      </c>
      <c r="AE149" s="5">
        <v>0.0</v>
      </c>
      <c r="AF149" s="5">
        <v>0.0</v>
      </c>
      <c r="AG149" s="5" t="s">
        <v>350</v>
      </c>
      <c r="AH149" s="5">
        <v>0.0</v>
      </c>
      <c r="AI149" s="5">
        <v>0.0</v>
      </c>
      <c r="AJ149" s="5">
        <v>1.0</v>
      </c>
      <c r="AK149" s="5" t="s">
        <v>352</v>
      </c>
      <c r="AL149" s="5" t="s">
        <v>368</v>
      </c>
      <c r="AM149" s="5">
        <v>0.0</v>
      </c>
      <c r="AN149" s="5" t="s">
        <v>350</v>
      </c>
      <c r="AO149" s="5">
        <f t="shared" si="1"/>
        <v>0</v>
      </c>
      <c r="AP149" s="5">
        <f t="shared" si="2"/>
        <v>0</v>
      </c>
    </row>
    <row r="150">
      <c r="A150" s="5" t="s">
        <v>31</v>
      </c>
      <c r="B150" s="5">
        <v>5.0</v>
      </c>
      <c r="C150" s="5">
        <v>5.0</v>
      </c>
      <c r="D150" s="5">
        <v>0.0</v>
      </c>
      <c r="E150" s="5">
        <v>5.0</v>
      </c>
      <c r="M150" s="5">
        <v>3.0</v>
      </c>
      <c r="N150" s="5">
        <v>1.0</v>
      </c>
      <c r="O150" s="5">
        <v>2.0</v>
      </c>
      <c r="X150" s="5" t="s">
        <v>7</v>
      </c>
      <c r="Z150" s="1" t="s">
        <v>376</v>
      </c>
      <c r="AA150" s="5" t="str">
        <f>IFERROR(__xludf.DUMMYFUNCTION("IF(A150="""","""",INDEX(FILTER(Roster!$A:$A,(Roster!$C:$C=A150)*(Roster!$F:$F=3)),1))"),"Pulido")</f>
        <v>Pulido</v>
      </c>
      <c r="AB150" s="5" t="str">
        <f>IFERROR(__xludf.DUMMYFUNCTION("IF(A150="""","""",INDEX(FILTER(Roster!$A:$A,(Roster!$C:$C=A150)*(Roster!$F:$F=4)),1))"),"Otoya")</f>
        <v>Otoya</v>
      </c>
      <c r="AC150" s="5" t="str">
        <f>IFERROR(__xludf.DUMMYFUNCTION("IF(A150="""","""",INDEX(FILTER(Roster!$A:$A,(Roster!$C:$C=A150)*(Roster!$F:$F=1)),1))"),"Sardi")</f>
        <v>Sardi</v>
      </c>
      <c r="AD150" s="5" t="str">
        <f>IFERROR(__xludf.DUMMYFUNCTION("IF(A150="""","""",INDEX(FILTER(Roster!$A:$A,(Roster!$C:$C=A150)*(Roster!$F:$F=2)),1))"),"JC Casas")</f>
        <v>JC Casas</v>
      </c>
      <c r="AE150" s="5">
        <v>0.0</v>
      </c>
      <c r="AF150" s="5">
        <v>0.0</v>
      </c>
      <c r="AG150" s="5" t="s">
        <v>350</v>
      </c>
      <c r="AH150" s="5">
        <v>-1.0</v>
      </c>
      <c r="AI150" s="5">
        <v>0.0</v>
      </c>
      <c r="AJ150" s="5">
        <v>0.0</v>
      </c>
      <c r="AK150" s="5" t="s">
        <v>350</v>
      </c>
      <c r="AL150" s="5" t="s">
        <v>351</v>
      </c>
      <c r="AM150" s="5">
        <v>0.0</v>
      </c>
      <c r="AN150" s="5" t="s">
        <v>350</v>
      </c>
      <c r="AO150" s="5">
        <f t="shared" si="1"/>
        <v>0</v>
      </c>
      <c r="AP150" s="5">
        <f t="shared" si="2"/>
        <v>0</v>
      </c>
    </row>
    <row r="151">
      <c r="A151" s="5" t="s">
        <v>31</v>
      </c>
      <c r="B151" s="5">
        <v>6.0</v>
      </c>
      <c r="C151" s="5">
        <v>4.0</v>
      </c>
      <c r="D151" s="5">
        <v>0.0</v>
      </c>
      <c r="E151" s="5">
        <v>4.0</v>
      </c>
      <c r="M151" s="5">
        <v>4.0</v>
      </c>
      <c r="N151" s="5">
        <v>1.0</v>
      </c>
      <c r="O151" s="5">
        <v>3.0</v>
      </c>
      <c r="X151" s="5" t="s">
        <v>7</v>
      </c>
      <c r="Z151" s="1" t="s">
        <v>376</v>
      </c>
      <c r="AA151" s="5" t="str">
        <f>IFERROR(__xludf.DUMMYFUNCTION("IF(A151="""","""",INDEX(FILTER(Roster!$A:$A,(Roster!$C:$C=A151)*(Roster!$F:$F=3)),1))"),"Pulido")</f>
        <v>Pulido</v>
      </c>
      <c r="AB151" s="5" t="str">
        <f>IFERROR(__xludf.DUMMYFUNCTION("IF(A151="""","""",INDEX(FILTER(Roster!$A:$A,(Roster!$C:$C=A151)*(Roster!$F:$F=4)),1))"),"Otoya")</f>
        <v>Otoya</v>
      </c>
      <c r="AC151" s="5" t="str">
        <f>IFERROR(__xludf.DUMMYFUNCTION("IF(A151="""","""",INDEX(FILTER(Roster!$A:$A,(Roster!$C:$C=A151)*(Roster!$F:$F=1)),1))"),"Sardi")</f>
        <v>Sardi</v>
      </c>
      <c r="AD151" s="5" t="str">
        <f>IFERROR(__xludf.DUMMYFUNCTION("IF(A151="""","""",INDEX(FILTER(Roster!$A:$A,(Roster!$C:$C=A151)*(Roster!$F:$F=2)),1))"),"JC Casas")</f>
        <v>JC Casas</v>
      </c>
      <c r="AE151" s="5">
        <v>0.0</v>
      </c>
      <c r="AF151" s="5">
        <v>0.0</v>
      </c>
      <c r="AG151" s="5" t="s">
        <v>350</v>
      </c>
      <c r="AH151" s="5">
        <v>-1.0</v>
      </c>
      <c r="AI151" s="5">
        <v>0.0</v>
      </c>
      <c r="AJ151" s="5">
        <v>-1.0</v>
      </c>
      <c r="AK151" s="5" t="s">
        <v>352</v>
      </c>
      <c r="AL151" s="5" t="s">
        <v>367</v>
      </c>
      <c r="AM151" s="5">
        <v>0.0</v>
      </c>
      <c r="AN151" s="5" t="s">
        <v>350</v>
      </c>
      <c r="AO151" s="5">
        <f t="shared" si="1"/>
        <v>0</v>
      </c>
      <c r="AP151" s="5">
        <f t="shared" si="2"/>
        <v>0</v>
      </c>
    </row>
    <row r="152">
      <c r="A152" s="5" t="s">
        <v>31</v>
      </c>
      <c r="B152" s="5">
        <v>7.0</v>
      </c>
      <c r="C152" s="5">
        <v>3.0</v>
      </c>
      <c r="D152" s="5">
        <v>0.0</v>
      </c>
      <c r="E152" s="5">
        <v>3.0</v>
      </c>
      <c r="M152" s="5">
        <v>4.0</v>
      </c>
      <c r="N152" s="5">
        <v>1.0</v>
      </c>
      <c r="O152" s="5">
        <v>3.0</v>
      </c>
      <c r="X152" s="5" t="s">
        <v>353</v>
      </c>
      <c r="Z152" s="1" t="s">
        <v>376</v>
      </c>
      <c r="AA152" s="5" t="str">
        <f>IFERROR(__xludf.DUMMYFUNCTION("IF(A152="""","""",INDEX(FILTER(Roster!$A:$A,(Roster!$C:$C=A152)*(Roster!$F:$F=3)),1))"),"Pulido")</f>
        <v>Pulido</v>
      </c>
      <c r="AB152" s="5" t="str">
        <f>IFERROR(__xludf.DUMMYFUNCTION("IF(A152="""","""",INDEX(FILTER(Roster!$A:$A,(Roster!$C:$C=A152)*(Roster!$F:$F=4)),1))"),"Otoya")</f>
        <v>Otoya</v>
      </c>
      <c r="AC152" s="5" t="str">
        <f>IFERROR(__xludf.DUMMYFUNCTION("IF(A152="""","""",INDEX(FILTER(Roster!$A:$A,(Roster!$C:$C=A152)*(Roster!$F:$F=1)),1))"),"Sardi")</f>
        <v>Sardi</v>
      </c>
      <c r="AD152" s="5" t="str">
        <f>IFERROR(__xludf.DUMMYFUNCTION("IF(A152="""","""",INDEX(FILTER(Roster!$A:$A,(Roster!$C:$C=A152)*(Roster!$F:$F=2)),1))"),"JC Casas")</f>
        <v>JC Casas</v>
      </c>
      <c r="AE152" s="5">
        <v>0.0</v>
      </c>
      <c r="AF152" s="5">
        <v>0.0</v>
      </c>
      <c r="AG152" s="5" t="s">
        <v>350</v>
      </c>
      <c r="AH152" s="5">
        <v>0.0</v>
      </c>
      <c r="AI152" s="5">
        <v>0.0</v>
      </c>
      <c r="AJ152" s="5">
        <v>-1.0</v>
      </c>
      <c r="AK152" s="5" t="s">
        <v>352</v>
      </c>
      <c r="AL152" s="5" t="s">
        <v>367</v>
      </c>
      <c r="AM152" s="5">
        <v>0.0</v>
      </c>
      <c r="AN152" s="5" t="s">
        <v>350</v>
      </c>
      <c r="AO152" s="5">
        <f t="shared" si="1"/>
        <v>0</v>
      </c>
      <c r="AP152" s="5">
        <f t="shared" si="2"/>
        <v>0</v>
      </c>
    </row>
    <row r="153">
      <c r="A153" s="5" t="s">
        <v>31</v>
      </c>
      <c r="B153" s="5">
        <v>8.0</v>
      </c>
      <c r="C153" s="5">
        <v>5.0</v>
      </c>
      <c r="D153" s="5">
        <v>0.0</v>
      </c>
      <c r="E153" s="5">
        <v>5.0</v>
      </c>
      <c r="M153" s="5">
        <v>5.0</v>
      </c>
      <c r="N153" s="5">
        <v>1.0</v>
      </c>
      <c r="O153" s="5">
        <v>4.0</v>
      </c>
      <c r="X153" s="5" t="s">
        <v>7</v>
      </c>
      <c r="Z153" s="1" t="s">
        <v>376</v>
      </c>
      <c r="AA153" s="5" t="str">
        <f>IFERROR(__xludf.DUMMYFUNCTION("IF(A153="""","""",INDEX(FILTER(Roster!$A:$A,(Roster!$C:$C=A153)*(Roster!$F:$F=3)),1))"),"Pulido")</f>
        <v>Pulido</v>
      </c>
      <c r="AB153" s="5" t="str">
        <f>IFERROR(__xludf.DUMMYFUNCTION("IF(A153="""","""",INDEX(FILTER(Roster!$A:$A,(Roster!$C:$C=A153)*(Roster!$F:$F=4)),1))"),"Otoya")</f>
        <v>Otoya</v>
      </c>
      <c r="AC153" s="5" t="str">
        <f>IFERROR(__xludf.DUMMYFUNCTION("IF(A153="""","""",INDEX(FILTER(Roster!$A:$A,(Roster!$C:$C=A153)*(Roster!$F:$F=1)),1))"),"Sardi")</f>
        <v>Sardi</v>
      </c>
      <c r="AD153" s="5" t="str">
        <f>IFERROR(__xludf.DUMMYFUNCTION("IF(A153="""","""",INDEX(FILTER(Roster!$A:$A,(Roster!$C:$C=A153)*(Roster!$F:$F=2)),1))"),"JC Casas")</f>
        <v>JC Casas</v>
      </c>
      <c r="AE153" s="5">
        <v>0.0</v>
      </c>
      <c r="AF153" s="5">
        <v>0.0</v>
      </c>
      <c r="AG153" s="5" t="s">
        <v>350</v>
      </c>
      <c r="AH153" s="5">
        <v>-1.0</v>
      </c>
      <c r="AI153" s="5">
        <v>0.0</v>
      </c>
      <c r="AJ153" s="5">
        <v>-2.0</v>
      </c>
      <c r="AK153" s="5" t="s">
        <v>354</v>
      </c>
      <c r="AL153" s="5" t="s">
        <v>367</v>
      </c>
      <c r="AM153" s="5">
        <v>0.0</v>
      </c>
      <c r="AN153" s="5" t="s">
        <v>350</v>
      </c>
      <c r="AO153" s="5">
        <f t="shared" si="1"/>
        <v>0</v>
      </c>
      <c r="AP153" s="5">
        <f t="shared" si="2"/>
        <v>0</v>
      </c>
    </row>
    <row r="154">
      <c r="A154" s="5" t="s">
        <v>31</v>
      </c>
      <c r="B154" s="5">
        <v>9.0</v>
      </c>
      <c r="C154" s="5">
        <v>5.0</v>
      </c>
      <c r="D154" s="5">
        <v>1.0</v>
      </c>
      <c r="E154" s="5">
        <v>4.0</v>
      </c>
      <c r="M154" s="5">
        <v>4.0</v>
      </c>
      <c r="N154" s="5">
        <v>1.0</v>
      </c>
      <c r="O154" s="5">
        <v>3.0</v>
      </c>
      <c r="X154" s="5" t="s">
        <v>7</v>
      </c>
      <c r="Z154" s="1" t="s">
        <v>376</v>
      </c>
      <c r="AA154" s="5" t="str">
        <f>IFERROR(__xludf.DUMMYFUNCTION("IF(A154="""","""",INDEX(FILTER(Roster!$A:$A,(Roster!$C:$C=A154)*(Roster!$F:$F=3)),1))"),"Pulido")</f>
        <v>Pulido</v>
      </c>
      <c r="AB154" s="5" t="str">
        <f>IFERROR(__xludf.DUMMYFUNCTION("IF(A154="""","""",INDEX(FILTER(Roster!$A:$A,(Roster!$C:$C=A154)*(Roster!$F:$F=4)),1))"),"Otoya")</f>
        <v>Otoya</v>
      </c>
      <c r="AC154" s="5" t="str">
        <f>IFERROR(__xludf.DUMMYFUNCTION("IF(A154="""","""",INDEX(FILTER(Roster!$A:$A,(Roster!$C:$C=A154)*(Roster!$F:$F=1)),1))"),"Sardi")</f>
        <v>Sardi</v>
      </c>
      <c r="AD154" s="5" t="str">
        <f>IFERROR(__xludf.DUMMYFUNCTION("IF(A154="""","""",INDEX(FILTER(Roster!$A:$A,(Roster!$C:$C=A154)*(Roster!$F:$F=2)),1))"),"JC Casas")</f>
        <v>JC Casas</v>
      </c>
      <c r="AE154" s="5">
        <v>0.0</v>
      </c>
      <c r="AF154" s="5">
        <v>0.0</v>
      </c>
      <c r="AG154" s="5" t="s">
        <v>350</v>
      </c>
      <c r="AH154" s="5">
        <v>-1.0</v>
      </c>
      <c r="AI154" s="5">
        <v>0.0</v>
      </c>
      <c r="AJ154" s="5">
        <v>-3.0</v>
      </c>
      <c r="AK154" s="5" t="s">
        <v>358</v>
      </c>
      <c r="AL154" s="5" t="s">
        <v>367</v>
      </c>
      <c r="AM154" s="5">
        <v>0.0</v>
      </c>
      <c r="AN154" s="5" t="s">
        <v>350</v>
      </c>
      <c r="AO154" s="5">
        <f t="shared" si="1"/>
        <v>0</v>
      </c>
      <c r="AP154" s="5">
        <f t="shared" si="2"/>
        <v>0</v>
      </c>
    </row>
    <row r="155">
      <c r="A155" s="5" t="str">
        <f t="array" ref="A155:A163">Calc_Engine!A80:A88</f>
        <v>Flight_5</v>
      </c>
      <c r="B155" s="5">
        <f t="array" ref="B155:B163">Calc_Engine!B80:B88</f>
        <v>1</v>
      </c>
      <c r="H155" s="5">
        <f t="array" ref="H155:H163">Calc_Engine!H80:H88</f>
        <v>4</v>
      </c>
      <c r="I155" s="5">
        <f t="array" ref="I155:I163">Calc_Engine!I80:I88</f>
        <v>1</v>
      </c>
      <c r="J155" s="5">
        <f t="array" ref="J155:J163">Calc_Engine!J80:J88</f>
        <v>3</v>
      </c>
      <c r="R155" s="5">
        <f t="array" ref="R155:R163">Calc_Engine!R80:R88</f>
        <v>6</v>
      </c>
      <c r="S155" s="5">
        <f t="array" ref="S155:S163">Calc_Engine!S80:S88</f>
        <v>2</v>
      </c>
      <c r="T155" s="5">
        <f t="array" ref="T155:T163">Calc_Engine!T80:T88</f>
        <v>4</v>
      </c>
      <c r="Y155" s="5" t="str">
        <f t="array" ref="Y155:Y163">Calc_Engine!Y80:Y88</f>
        <v>Red</v>
      </c>
      <c r="Z155" s="1" t="s">
        <v>377</v>
      </c>
      <c r="AA155" s="5" t="str">
        <f>IFERROR(__xludf.DUMMYFUNCTION("IF(A155="""","""",INDEX(FILTER(Roster!$A:$A,(Roster!$C:$C=A155)*(Roster!$F:$F=3)),1))"),"Pulido")</f>
        <v>Pulido</v>
      </c>
      <c r="AB155" s="5" t="str">
        <f>IFERROR(__xludf.DUMMYFUNCTION("IF(A155="""","""",INDEX(FILTER(Roster!$A:$A,(Roster!$C:$C=A155)*(Roster!$F:$F=4)),1))"),"Otoya")</f>
        <v>Otoya</v>
      </c>
      <c r="AC155" s="5" t="str">
        <f>IFERROR(__xludf.DUMMYFUNCTION("IF(A155="""","""",INDEX(FILTER(Roster!$A:$A,(Roster!$C:$C=A155)*(Roster!$F:$F=1)),1))"),"Sardi")</f>
        <v>Sardi</v>
      </c>
      <c r="AD155" s="5" t="str">
        <f>IFERROR(__xludf.DUMMYFUNCTION("IF(A155="""","""",INDEX(FILTER(Roster!$A:$A,(Roster!$C:$C=A155)*(Roster!$F:$F=2)),1))"),"JC Casas")</f>
        <v>JC Casas</v>
      </c>
      <c r="AE155" s="5">
        <v>0.0</v>
      </c>
      <c r="AF155" s="5">
        <v>0.0</v>
      </c>
      <c r="AG155" s="5" t="s">
        <v>350</v>
      </c>
      <c r="AH155" s="5">
        <v>0.0</v>
      </c>
      <c r="AI155" s="5">
        <v>1.0</v>
      </c>
      <c r="AJ155" s="5">
        <v>0.0</v>
      </c>
      <c r="AK155" s="5" t="s">
        <v>350</v>
      </c>
      <c r="AL155" s="5" t="s">
        <v>351</v>
      </c>
      <c r="AM155" s="5">
        <v>1.0</v>
      </c>
      <c r="AN155" s="5" t="s">
        <v>352</v>
      </c>
      <c r="AO155" s="5">
        <f t="shared" si="1"/>
        <v>0</v>
      </c>
      <c r="AP155" s="5">
        <f t="shared" si="2"/>
        <v>0</v>
      </c>
    </row>
    <row r="156">
      <c r="A156" s="5" t="s">
        <v>31</v>
      </c>
      <c r="B156" s="5">
        <v>2.0</v>
      </c>
      <c r="H156" s="5">
        <v>5.0</v>
      </c>
      <c r="I156" s="5">
        <v>1.0</v>
      </c>
      <c r="J156" s="5">
        <v>4.0</v>
      </c>
      <c r="R156" s="5">
        <v>7.0</v>
      </c>
      <c r="S156" s="5">
        <v>1.0</v>
      </c>
      <c r="T156" s="5">
        <v>6.0</v>
      </c>
      <c r="Y156" s="5" t="s">
        <v>12</v>
      </c>
      <c r="Z156" s="1" t="s">
        <v>377</v>
      </c>
      <c r="AA156" s="5" t="str">
        <f>IFERROR(__xludf.DUMMYFUNCTION("IF(A156="""","""",INDEX(FILTER(Roster!$A:$A,(Roster!$C:$C=A156)*(Roster!$F:$F=3)),1))"),"Pulido")</f>
        <v>Pulido</v>
      </c>
      <c r="AB156" s="5" t="str">
        <f>IFERROR(__xludf.DUMMYFUNCTION("IF(A156="""","""",INDEX(FILTER(Roster!$A:$A,(Roster!$C:$C=A156)*(Roster!$F:$F=4)),1))"),"Otoya")</f>
        <v>Otoya</v>
      </c>
      <c r="AC156" s="5" t="str">
        <f>IFERROR(__xludf.DUMMYFUNCTION("IF(A156="""","""",INDEX(FILTER(Roster!$A:$A,(Roster!$C:$C=A156)*(Roster!$F:$F=1)),1))"),"Sardi")</f>
        <v>Sardi</v>
      </c>
      <c r="AD156" s="5" t="str">
        <f>IFERROR(__xludf.DUMMYFUNCTION("IF(A156="""","""",INDEX(FILTER(Roster!$A:$A,(Roster!$C:$C=A156)*(Roster!$F:$F=2)),1))"),"JC Casas")</f>
        <v>JC Casas</v>
      </c>
      <c r="AE156" s="5">
        <v>0.0</v>
      </c>
      <c r="AF156" s="5">
        <v>0.0</v>
      </c>
      <c r="AG156" s="5" t="s">
        <v>350</v>
      </c>
      <c r="AH156" s="5">
        <v>0.0</v>
      </c>
      <c r="AI156" s="5">
        <v>1.0</v>
      </c>
      <c r="AJ156" s="5">
        <v>0.0</v>
      </c>
      <c r="AK156" s="5" t="s">
        <v>350</v>
      </c>
      <c r="AL156" s="5" t="s">
        <v>351</v>
      </c>
      <c r="AM156" s="5">
        <v>2.0</v>
      </c>
      <c r="AN156" s="5" t="s">
        <v>354</v>
      </c>
      <c r="AO156" s="5">
        <f t="shared" si="1"/>
        <v>0</v>
      </c>
      <c r="AP156" s="5">
        <f t="shared" si="2"/>
        <v>0</v>
      </c>
    </row>
    <row r="157">
      <c r="A157" s="5" t="s">
        <v>31</v>
      </c>
      <c r="B157" s="5">
        <v>3.0</v>
      </c>
      <c r="H157" s="5">
        <v>6.0</v>
      </c>
      <c r="I157" s="5">
        <v>0.0</v>
      </c>
      <c r="J157" s="5">
        <v>6.0</v>
      </c>
      <c r="R157" s="5">
        <v>6.0</v>
      </c>
      <c r="S157" s="5">
        <v>1.0</v>
      </c>
      <c r="T157" s="5">
        <v>5.0</v>
      </c>
      <c r="Y157" s="5" t="s">
        <v>7</v>
      </c>
      <c r="Z157" s="1" t="s">
        <v>377</v>
      </c>
      <c r="AA157" s="5" t="str">
        <f>IFERROR(__xludf.DUMMYFUNCTION("IF(A157="""","""",INDEX(FILTER(Roster!$A:$A,(Roster!$C:$C=A157)*(Roster!$F:$F=3)),1))"),"Pulido")</f>
        <v>Pulido</v>
      </c>
      <c r="AB157" s="5" t="str">
        <f>IFERROR(__xludf.DUMMYFUNCTION("IF(A157="""","""",INDEX(FILTER(Roster!$A:$A,(Roster!$C:$C=A157)*(Roster!$F:$F=4)),1))"),"Otoya")</f>
        <v>Otoya</v>
      </c>
      <c r="AC157" s="5" t="str">
        <f>IFERROR(__xludf.DUMMYFUNCTION("IF(A157="""","""",INDEX(FILTER(Roster!$A:$A,(Roster!$C:$C=A157)*(Roster!$F:$F=1)),1))"),"Sardi")</f>
        <v>Sardi</v>
      </c>
      <c r="AD157" s="5" t="str">
        <f>IFERROR(__xludf.DUMMYFUNCTION("IF(A157="""","""",INDEX(FILTER(Roster!$A:$A,(Roster!$C:$C=A157)*(Roster!$F:$F=2)),1))"),"JC Casas")</f>
        <v>JC Casas</v>
      </c>
      <c r="AE157" s="5">
        <v>0.0</v>
      </c>
      <c r="AF157" s="5">
        <v>0.0</v>
      </c>
      <c r="AG157" s="5" t="s">
        <v>350</v>
      </c>
      <c r="AH157" s="5">
        <v>0.0</v>
      </c>
      <c r="AI157" s="5">
        <v>-1.0</v>
      </c>
      <c r="AJ157" s="5">
        <v>0.0</v>
      </c>
      <c r="AK157" s="5" t="s">
        <v>350</v>
      </c>
      <c r="AL157" s="5" t="s">
        <v>351</v>
      </c>
      <c r="AM157" s="5">
        <v>1.0</v>
      </c>
      <c r="AN157" s="5" t="s">
        <v>352</v>
      </c>
      <c r="AO157" s="5">
        <f t="shared" si="1"/>
        <v>0</v>
      </c>
      <c r="AP157" s="5">
        <f t="shared" si="2"/>
        <v>0</v>
      </c>
    </row>
    <row r="158">
      <c r="A158" s="5" t="s">
        <v>31</v>
      </c>
      <c r="B158" s="5">
        <v>4.0</v>
      </c>
      <c r="H158" s="5">
        <v>5.0</v>
      </c>
      <c r="I158" s="5">
        <v>1.0</v>
      </c>
      <c r="J158" s="5">
        <v>4.0</v>
      </c>
      <c r="R158" s="5">
        <v>5.0</v>
      </c>
      <c r="S158" s="5">
        <v>1.0</v>
      </c>
      <c r="T158" s="5">
        <v>4.0</v>
      </c>
      <c r="Y158" s="5" t="s">
        <v>353</v>
      </c>
      <c r="Z158" s="1" t="s">
        <v>377</v>
      </c>
      <c r="AA158" s="5" t="str">
        <f>IFERROR(__xludf.DUMMYFUNCTION("IF(A158="""","""",INDEX(FILTER(Roster!$A:$A,(Roster!$C:$C=A158)*(Roster!$F:$F=3)),1))"),"Pulido")</f>
        <v>Pulido</v>
      </c>
      <c r="AB158" s="5" t="str">
        <f>IFERROR(__xludf.DUMMYFUNCTION("IF(A158="""","""",INDEX(FILTER(Roster!$A:$A,(Roster!$C:$C=A158)*(Roster!$F:$F=4)),1))"),"Otoya")</f>
        <v>Otoya</v>
      </c>
      <c r="AC158" s="5" t="str">
        <f>IFERROR(__xludf.DUMMYFUNCTION("IF(A158="""","""",INDEX(FILTER(Roster!$A:$A,(Roster!$C:$C=A158)*(Roster!$F:$F=1)),1))"),"Sardi")</f>
        <v>Sardi</v>
      </c>
      <c r="AD158" s="5" t="str">
        <f>IFERROR(__xludf.DUMMYFUNCTION("IF(A158="""","""",INDEX(FILTER(Roster!$A:$A,(Roster!$C:$C=A158)*(Roster!$F:$F=2)),1))"),"JC Casas")</f>
        <v>JC Casas</v>
      </c>
      <c r="AE158" s="5">
        <v>0.0</v>
      </c>
      <c r="AF158" s="5">
        <v>0.0</v>
      </c>
      <c r="AG158" s="5" t="s">
        <v>350</v>
      </c>
      <c r="AH158" s="5">
        <v>0.0</v>
      </c>
      <c r="AI158" s="5">
        <v>0.0</v>
      </c>
      <c r="AJ158" s="5">
        <v>0.0</v>
      </c>
      <c r="AK158" s="5" t="s">
        <v>350</v>
      </c>
      <c r="AL158" s="5" t="s">
        <v>351</v>
      </c>
      <c r="AM158" s="5">
        <v>1.0</v>
      </c>
      <c r="AN158" s="5" t="s">
        <v>352</v>
      </c>
      <c r="AO158" s="5">
        <f t="shared" si="1"/>
        <v>0</v>
      </c>
      <c r="AP158" s="5">
        <f t="shared" si="2"/>
        <v>0</v>
      </c>
    </row>
    <row r="159">
      <c r="A159" s="5" t="s">
        <v>31</v>
      </c>
      <c r="B159" s="5">
        <v>5.0</v>
      </c>
      <c r="H159" s="5">
        <v>7.0</v>
      </c>
      <c r="I159" s="5">
        <v>1.0</v>
      </c>
      <c r="J159" s="5">
        <v>6.0</v>
      </c>
      <c r="R159" s="5">
        <v>6.0</v>
      </c>
      <c r="S159" s="5">
        <v>1.0</v>
      </c>
      <c r="T159" s="5">
        <v>5.0</v>
      </c>
      <c r="Y159" s="5" t="s">
        <v>7</v>
      </c>
      <c r="Z159" s="1" t="s">
        <v>377</v>
      </c>
      <c r="AA159" s="5" t="str">
        <f>IFERROR(__xludf.DUMMYFUNCTION("IF(A159="""","""",INDEX(FILTER(Roster!$A:$A,(Roster!$C:$C=A159)*(Roster!$F:$F=3)),1))"),"Pulido")</f>
        <v>Pulido</v>
      </c>
      <c r="AB159" s="5" t="str">
        <f>IFERROR(__xludf.DUMMYFUNCTION("IF(A159="""","""",INDEX(FILTER(Roster!$A:$A,(Roster!$C:$C=A159)*(Roster!$F:$F=4)),1))"),"Otoya")</f>
        <v>Otoya</v>
      </c>
      <c r="AC159" s="5" t="str">
        <f>IFERROR(__xludf.DUMMYFUNCTION("IF(A159="""","""",INDEX(FILTER(Roster!$A:$A,(Roster!$C:$C=A159)*(Roster!$F:$F=1)),1))"),"Sardi")</f>
        <v>Sardi</v>
      </c>
      <c r="AD159" s="5" t="str">
        <f>IFERROR(__xludf.DUMMYFUNCTION("IF(A159="""","""",INDEX(FILTER(Roster!$A:$A,(Roster!$C:$C=A159)*(Roster!$F:$F=2)),1))"),"JC Casas")</f>
        <v>JC Casas</v>
      </c>
      <c r="AE159" s="5">
        <v>0.0</v>
      </c>
      <c r="AF159" s="5">
        <v>0.0</v>
      </c>
      <c r="AG159" s="5" t="s">
        <v>350</v>
      </c>
      <c r="AH159" s="5">
        <v>0.0</v>
      </c>
      <c r="AI159" s="5">
        <v>-1.0</v>
      </c>
      <c r="AJ159" s="5">
        <v>0.0</v>
      </c>
      <c r="AK159" s="5" t="s">
        <v>350</v>
      </c>
      <c r="AL159" s="5" t="s">
        <v>351</v>
      </c>
      <c r="AM159" s="5">
        <v>0.0</v>
      </c>
      <c r="AN159" s="5" t="s">
        <v>350</v>
      </c>
      <c r="AO159" s="5">
        <f t="shared" si="1"/>
        <v>0</v>
      </c>
      <c r="AP159" s="5">
        <f t="shared" si="2"/>
        <v>0</v>
      </c>
    </row>
    <row r="160">
      <c r="A160" s="5" t="s">
        <v>31</v>
      </c>
      <c r="B160" s="5">
        <v>6.0</v>
      </c>
      <c r="H160" s="5">
        <v>5.0</v>
      </c>
      <c r="I160" s="5">
        <v>0.0</v>
      </c>
      <c r="J160" s="5">
        <v>5.0</v>
      </c>
      <c r="R160" s="5">
        <v>5.0</v>
      </c>
      <c r="S160" s="5">
        <v>1.0</v>
      </c>
      <c r="T160" s="5">
        <v>4.0</v>
      </c>
      <c r="Y160" s="5" t="s">
        <v>7</v>
      </c>
      <c r="Z160" s="1" t="s">
        <v>377</v>
      </c>
      <c r="AA160" s="5" t="str">
        <f>IFERROR(__xludf.DUMMYFUNCTION("IF(A160="""","""",INDEX(FILTER(Roster!$A:$A,(Roster!$C:$C=A160)*(Roster!$F:$F=3)),1))"),"Pulido")</f>
        <v>Pulido</v>
      </c>
      <c r="AB160" s="5" t="str">
        <f>IFERROR(__xludf.DUMMYFUNCTION("IF(A160="""","""",INDEX(FILTER(Roster!$A:$A,(Roster!$C:$C=A160)*(Roster!$F:$F=4)),1))"),"Otoya")</f>
        <v>Otoya</v>
      </c>
      <c r="AC160" s="5" t="str">
        <f>IFERROR(__xludf.DUMMYFUNCTION("IF(A160="""","""",INDEX(FILTER(Roster!$A:$A,(Roster!$C:$C=A160)*(Roster!$F:$F=1)),1))"),"Sardi")</f>
        <v>Sardi</v>
      </c>
      <c r="AD160" s="5" t="str">
        <f>IFERROR(__xludf.DUMMYFUNCTION("IF(A160="""","""",INDEX(FILTER(Roster!$A:$A,(Roster!$C:$C=A160)*(Roster!$F:$F=2)),1))"),"JC Casas")</f>
        <v>JC Casas</v>
      </c>
      <c r="AE160" s="5">
        <v>0.0</v>
      </c>
      <c r="AF160" s="5">
        <v>0.0</v>
      </c>
      <c r="AG160" s="5" t="s">
        <v>350</v>
      </c>
      <c r="AH160" s="5">
        <v>0.0</v>
      </c>
      <c r="AI160" s="5">
        <v>-1.0</v>
      </c>
      <c r="AJ160" s="5">
        <v>0.0</v>
      </c>
      <c r="AK160" s="5" t="s">
        <v>350</v>
      </c>
      <c r="AL160" s="5" t="s">
        <v>351</v>
      </c>
      <c r="AM160" s="5">
        <v>-1.0</v>
      </c>
      <c r="AN160" s="5" t="s">
        <v>352</v>
      </c>
      <c r="AO160" s="5">
        <f t="shared" si="1"/>
        <v>0</v>
      </c>
      <c r="AP160" s="5">
        <f t="shared" si="2"/>
        <v>0</v>
      </c>
    </row>
    <row r="161">
      <c r="A161" s="5" t="s">
        <v>31</v>
      </c>
      <c r="B161" s="5">
        <v>7.0</v>
      </c>
      <c r="H161" s="5">
        <v>2.0</v>
      </c>
      <c r="I161" s="5">
        <v>1.0</v>
      </c>
      <c r="J161" s="5">
        <v>1.0</v>
      </c>
      <c r="R161" s="5">
        <v>3.0</v>
      </c>
      <c r="S161" s="5">
        <v>1.0</v>
      </c>
      <c r="T161" s="5">
        <v>2.0</v>
      </c>
      <c r="Y161" s="5" t="s">
        <v>12</v>
      </c>
      <c r="Z161" s="1" t="s">
        <v>377</v>
      </c>
      <c r="AA161" s="5" t="str">
        <f>IFERROR(__xludf.DUMMYFUNCTION("IF(A161="""","""",INDEX(FILTER(Roster!$A:$A,(Roster!$C:$C=A161)*(Roster!$F:$F=3)),1))"),"Pulido")</f>
        <v>Pulido</v>
      </c>
      <c r="AB161" s="5" t="str">
        <f>IFERROR(__xludf.DUMMYFUNCTION("IF(A161="""","""",INDEX(FILTER(Roster!$A:$A,(Roster!$C:$C=A161)*(Roster!$F:$F=4)),1))"),"Otoya")</f>
        <v>Otoya</v>
      </c>
      <c r="AC161" s="5" t="str">
        <f>IFERROR(__xludf.DUMMYFUNCTION("IF(A161="""","""",INDEX(FILTER(Roster!$A:$A,(Roster!$C:$C=A161)*(Roster!$F:$F=1)),1))"),"Sardi")</f>
        <v>Sardi</v>
      </c>
      <c r="AD161" s="5" t="str">
        <f>IFERROR(__xludf.DUMMYFUNCTION("IF(A161="""","""",INDEX(FILTER(Roster!$A:$A,(Roster!$C:$C=A161)*(Roster!$F:$F=2)),1))"),"JC Casas")</f>
        <v>JC Casas</v>
      </c>
      <c r="AE161" s="5">
        <v>0.0</v>
      </c>
      <c r="AF161" s="5">
        <v>0.0</v>
      </c>
      <c r="AG161" s="5" t="s">
        <v>350</v>
      </c>
      <c r="AH161" s="5">
        <v>0.0</v>
      </c>
      <c r="AI161" s="5">
        <v>1.0</v>
      </c>
      <c r="AJ161" s="5">
        <v>0.0</v>
      </c>
      <c r="AK161" s="5" t="s">
        <v>350</v>
      </c>
      <c r="AL161" s="5" t="s">
        <v>351</v>
      </c>
      <c r="AM161" s="5">
        <v>0.0</v>
      </c>
      <c r="AN161" s="5" t="s">
        <v>350</v>
      </c>
      <c r="AO161" s="5">
        <f t="shared" si="1"/>
        <v>0</v>
      </c>
      <c r="AP161" s="5">
        <f t="shared" si="2"/>
        <v>0</v>
      </c>
    </row>
    <row r="162">
      <c r="A162" s="5" t="s">
        <v>31</v>
      </c>
      <c r="B162" s="5">
        <v>8.0</v>
      </c>
      <c r="H162" s="5">
        <v>6.0</v>
      </c>
      <c r="I162" s="5">
        <v>1.0</v>
      </c>
      <c r="J162" s="5">
        <v>5.0</v>
      </c>
      <c r="R162" s="5">
        <v>5.0</v>
      </c>
      <c r="S162" s="5">
        <v>1.0</v>
      </c>
      <c r="T162" s="5">
        <v>4.0</v>
      </c>
      <c r="Y162" s="5" t="s">
        <v>7</v>
      </c>
      <c r="Z162" s="1" t="s">
        <v>377</v>
      </c>
      <c r="AA162" s="5" t="str">
        <f>IFERROR(__xludf.DUMMYFUNCTION("IF(A162="""","""",INDEX(FILTER(Roster!$A:$A,(Roster!$C:$C=A162)*(Roster!$F:$F=3)),1))"),"Pulido")</f>
        <v>Pulido</v>
      </c>
      <c r="AB162" s="5" t="str">
        <f>IFERROR(__xludf.DUMMYFUNCTION("IF(A162="""","""",INDEX(FILTER(Roster!$A:$A,(Roster!$C:$C=A162)*(Roster!$F:$F=4)),1))"),"Otoya")</f>
        <v>Otoya</v>
      </c>
      <c r="AC162" s="5" t="str">
        <f>IFERROR(__xludf.DUMMYFUNCTION("IF(A162="""","""",INDEX(FILTER(Roster!$A:$A,(Roster!$C:$C=A162)*(Roster!$F:$F=1)),1))"),"Sardi")</f>
        <v>Sardi</v>
      </c>
      <c r="AD162" s="5" t="str">
        <f>IFERROR(__xludf.DUMMYFUNCTION("IF(A162="""","""",INDEX(FILTER(Roster!$A:$A,(Roster!$C:$C=A162)*(Roster!$F:$F=2)),1))"),"JC Casas")</f>
        <v>JC Casas</v>
      </c>
      <c r="AE162" s="5">
        <v>0.0</v>
      </c>
      <c r="AF162" s="5">
        <v>0.0</v>
      </c>
      <c r="AG162" s="5" t="s">
        <v>350</v>
      </c>
      <c r="AH162" s="5">
        <v>0.0</v>
      </c>
      <c r="AI162" s="5">
        <v>-1.0</v>
      </c>
      <c r="AJ162" s="5">
        <v>0.0</v>
      </c>
      <c r="AK162" s="5" t="s">
        <v>350</v>
      </c>
      <c r="AL162" s="5" t="s">
        <v>351</v>
      </c>
      <c r="AM162" s="5">
        <v>-1.0</v>
      </c>
      <c r="AN162" s="5" t="s">
        <v>352</v>
      </c>
      <c r="AO162" s="5">
        <f t="shared" si="1"/>
        <v>0</v>
      </c>
      <c r="AP162" s="5">
        <f t="shared" si="2"/>
        <v>0</v>
      </c>
    </row>
    <row r="163">
      <c r="A163" s="5" t="s">
        <v>31</v>
      </c>
      <c r="B163" s="5">
        <v>9.0</v>
      </c>
      <c r="H163" s="5">
        <v>5.0</v>
      </c>
      <c r="I163" s="5">
        <v>1.0</v>
      </c>
      <c r="J163" s="5">
        <v>4.0</v>
      </c>
      <c r="R163" s="5">
        <v>5.0</v>
      </c>
      <c r="S163" s="5">
        <v>2.0</v>
      </c>
      <c r="T163" s="5">
        <v>3.0</v>
      </c>
      <c r="Y163" s="5" t="s">
        <v>7</v>
      </c>
      <c r="Z163" s="1" t="s">
        <v>377</v>
      </c>
      <c r="AA163" s="5" t="str">
        <f>IFERROR(__xludf.DUMMYFUNCTION("IF(A163="""","""",INDEX(FILTER(Roster!$A:$A,(Roster!$C:$C=A163)*(Roster!$F:$F=3)),1))"),"Pulido")</f>
        <v>Pulido</v>
      </c>
      <c r="AB163" s="5" t="str">
        <f>IFERROR(__xludf.DUMMYFUNCTION("IF(A163="""","""",INDEX(FILTER(Roster!$A:$A,(Roster!$C:$C=A163)*(Roster!$F:$F=4)),1))"),"Otoya")</f>
        <v>Otoya</v>
      </c>
      <c r="AC163" s="5" t="str">
        <f>IFERROR(__xludf.DUMMYFUNCTION("IF(A163="""","""",INDEX(FILTER(Roster!$A:$A,(Roster!$C:$C=A163)*(Roster!$F:$F=1)),1))"),"Sardi")</f>
        <v>Sardi</v>
      </c>
      <c r="AD163" s="5" t="str">
        <f>IFERROR(__xludf.DUMMYFUNCTION("IF(A163="""","""",INDEX(FILTER(Roster!$A:$A,(Roster!$C:$C=A163)*(Roster!$F:$F=2)),1))"),"JC Casas")</f>
        <v>JC Casas</v>
      </c>
      <c r="AE163" s="5">
        <v>0.0</v>
      </c>
      <c r="AF163" s="5">
        <v>0.0</v>
      </c>
      <c r="AG163" s="5" t="s">
        <v>350</v>
      </c>
      <c r="AH163" s="5">
        <v>0.0</v>
      </c>
      <c r="AI163" s="5">
        <v>-1.0</v>
      </c>
      <c r="AJ163" s="5">
        <v>0.0</v>
      </c>
      <c r="AK163" s="5" t="s">
        <v>350</v>
      </c>
      <c r="AL163" s="5" t="s">
        <v>351</v>
      </c>
      <c r="AM163" s="5">
        <v>-2.0</v>
      </c>
      <c r="AN163" s="5" t="s">
        <v>354</v>
      </c>
      <c r="AO163" s="5">
        <f t="shared" si="1"/>
        <v>0</v>
      </c>
      <c r="AP163" s="5">
        <f t="shared" si="2"/>
        <v>0</v>
      </c>
    </row>
    <row r="164">
      <c r="A164" s="5" t="str">
        <f t="array" ref="A164:A172">Calc_Engine!A91:A99</f>
        <v>Flight_6</v>
      </c>
      <c r="B164" s="5">
        <f t="array" ref="B164:B172">Calc_Engine!B91:B99</f>
        <v>1</v>
      </c>
      <c r="C164" s="5">
        <f t="array" ref="C164:C172">Calc_Engine!C91:C99</f>
        <v>5</v>
      </c>
      <c r="D164" s="5">
        <f t="array" ref="D164:D172">Calc_Engine!D91:D99</f>
        <v>1</v>
      </c>
      <c r="E164" s="5">
        <f t="array" ref="E164:E172">Calc_Engine!E91:E99</f>
        <v>4</v>
      </c>
      <c r="M164" s="5">
        <f t="array" ref="M164:M172">Calc_Engine!M91:M99</f>
        <v>4</v>
      </c>
      <c r="N164" s="5">
        <f t="array" ref="N164:N172">Calc_Engine!N91:N99</f>
        <v>1</v>
      </c>
      <c r="O164" s="5">
        <f t="array" ref="O164:O172">Calc_Engine!O91:O99</f>
        <v>3</v>
      </c>
      <c r="X164" s="5" t="str">
        <f t="array" ref="X164:X172">Calc_Engine!X91:X99</f>
        <v>Blue</v>
      </c>
      <c r="Z164" s="1" t="s">
        <v>378</v>
      </c>
      <c r="AA164" s="5" t="str">
        <f>IFERROR(__xludf.DUMMYFUNCTION("IF(A164="""","""",INDEX(FILTER(Roster!$A:$A,(Roster!$C:$C=A164)*(Roster!$F:$F=3)),1))"),"Pablo Acosta")</f>
        <v>Pablo Acosta</v>
      </c>
      <c r="AB164" s="5" t="str">
        <f>IFERROR(__xludf.DUMMYFUNCTION("IF(A164="""","""",INDEX(FILTER(Roster!$A:$A,(Roster!$C:$C=A164)*(Roster!$F:$F=4)),1))"),"Garcia")</f>
        <v>Garcia</v>
      </c>
      <c r="AC164" s="5" t="str">
        <f>IFERROR(__xludf.DUMMYFUNCTION("IF(A164="""","""",INDEX(FILTER(Roster!$A:$A,(Roster!$C:$C=A164)*(Roster!$F:$F=1)),1))"),"Ana Maria")</f>
        <v>Ana Maria</v>
      </c>
      <c r="AD164" s="5" t="str">
        <f>IFERROR(__xludf.DUMMYFUNCTION("IF(A164="""","""",INDEX(FILTER(Roster!$A:$A,(Roster!$C:$C=A164)*(Roster!$F:$F=2)),1))"),"Schneider")</f>
        <v>Schneider</v>
      </c>
      <c r="AE164" s="5">
        <v>0.0</v>
      </c>
      <c r="AF164" s="5">
        <v>0.0</v>
      </c>
      <c r="AG164" s="5" t="s">
        <v>350</v>
      </c>
      <c r="AH164" s="5">
        <v>-1.0</v>
      </c>
      <c r="AI164" s="5">
        <v>0.0</v>
      </c>
      <c r="AJ164" s="5">
        <v>-1.0</v>
      </c>
      <c r="AK164" s="5" t="s">
        <v>352</v>
      </c>
      <c r="AL164" s="5" t="s">
        <v>367</v>
      </c>
      <c r="AM164" s="5">
        <v>0.0</v>
      </c>
      <c r="AN164" s="5" t="s">
        <v>350</v>
      </c>
      <c r="AO164" s="5">
        <f t="shared" si="1"/>
        <v>0</v>
      </c>
      <c r="AP164" s="5">
        <f t="shared" si="2"/>
        <v>0</v>
      </c>
    </row>
    <row r="165">
      <c r="A165" s="5" t="s">
        <v>36</v>
      </c>
      <c r="B165" s="5">
        <v>2.0</v>
      </c>
      <c r="C165" s="5">
        <v>7.0</v>
      </c>
      <c r="D165" s="5">
        <v>1.0</v>
      </c>
      <c r="E165" s="5">
        <v>6.0</v>
      </c>
      <c r="M165" s="5">
        <v>6.0</v>
      </c>
      <c r="N165" s="5">
        <v>1.0</v>
      </c>
      <c r="O165" s="5">
        <v>5.0</v>
      </c>
      <c r="X165" s="5" t="s">
        <v>7</v>
      </c>
      <c r="Z165" s="1" t="s">
        <v>378</v>
      </c>
      <c r="AA165" s="5" t="str">
        <f>IFERROR(__xludf.DUMMYFUNCTION("IF(A165="""","""",INDEX(FILTER(Roster!$A:$A,(Roster!$C:$C=A165)*(Roster!$F:$F=3)),1))"),"Pablo Acosta")</f>
        <v>Pablo Acosta</v>
      </c>
      <c r="AB165" s="5" t="str">
        <f>IFERROR(__xludf.DUMMYFUNCTION("IF(A165="""","""",INDEX(FILTER(Roster!$A:$A,(Roster!$C:$C=A165)*(Roster!$F:$F=4)),1))"),"Garcia")</f>
        <v>Garcia</v>
      </c>
      <c r="AC165" s="5" t="str">
        <f>IFERROR(__xludf.DUMMYFUNCTION("IF(A165="""","""",INDEX(FILTER(Roster!$A:$A,(Roster!$C:$C=A165)*(Roster!$F:$F=1)),1))"),"Ana Maria")</f>
        <v>Ana Maria</v>
      </c>
      <c r="AD165" s="5" t="str">
        <f>IFERROR(__xludf.DUMMYFUNCTION("IF(A165="""","""",INDEX(FILTER(Roster!$A:$A,(Roster!$C:$C=A165)*(Roster!$F:$F=2)),1))"),"Schneider")</f>
        <v>Schneider</v>
      </c>
      <c r="AE165" s="5">
        <v>0.0</v>
      </c>
      <c r="AF165" s="5">
        <v>0.0</v>
      </c>
      <c r="AG165" s="5" t="s">
        <v>350</v>
      </c>
      <c r="AH165" s="5">
        <v>-1.0</v>
      </c>
      <c r="AI165" s="5">
        <v>0.0</v>
      </c>
      <c r="AJ165" s="5">
        <v>-2.0</v>
      </c>
      <c r="AK165" s="5" t="s">
        <v>354</v>
      </c>
      <c r="AL165" s="5" t="s">
        <v>367</v>
      </c>
      <c r="AM165" s="5">
        <v>0.0</v>
      </c>
      <c r="AN165" s="5" t="s">
        <v>350</v>
      </c>
      <c r="AO165" s="5">
        <f t="shared" si="1"/>
        <v>0</v>
      </c>
      <c r="AP165" s="5">
        <f t="shared" si="2"/>
        <v>0</v>
      </c>
    </row>
    <row r="166">
      <c r="A166" s="5" t="s">
        <v>36</v>
      </c>
      <c r="B166" s="5">
        <v>3.0</v>
      </c>
      <c r="C166" s="5">
        <v>5.0</v>
      </c>
      <c r="D166" s="5">
        <v>0.0</v>
      </c>
      <c r="E166" s="5">
        <v>5.0</v>
      </c>
      <c r="M166" s="5">
        <v>5.0</v>
      </c>
      <c r="N166" s="5">
        <v>0.0</v>
      </c>
      <c r="O166" s="5">
        <v>5.0</v>
      </c>
      <c r="X166" s="5" t="s">
        <v>353</v>
      </c>
      <c r="Z166" s="1" t="s">
        <v>378</v>
      </c>
      <c r="AA166" s="5" t="str">
        <f>IFERROR(__xludf.DUMMYFUNCTION("IF(A166="""","""",INDEX(FILTER(Roster!$A:$A,(Roster!$C:$C=A166)*(Roster!$F:$F=3)),1))"),"Pablo Acosta")</f>
        <v>Pablo Acosta</v>
      </c>
      <c r="AB166" s="5" t="str">
        <f>IFERROR(__xludf.DUMMYFUNCTION("IF(A166="""","""",INDEX(FILTER(Roster!$A:$A,(Roster!$C:$C=A166)*(Roster!$F:$F=4)),1))"),"Garcia")</f>
        <v>Garcia</v>
      </c>
      <c r="AC166" s="5" t="str">
        <f>IFERROR(__xludf.DUMMYFUNCTION("IF(A166="""","""",INDEX(FILTER(Roster!$A:$A,(Roster!$C:$C=A166)*(Roster!$F:$F=1)),1))"),"Ana Maria")</f>
        <v>Ana Maria</v>
      </c>
      <c r="AD166" s="5" t="str">
        <f>IFERROR(__xludf.DUMMYFUNCTION("IF(A166="""","""",INDEX(FILTER(Roster!$A:$A,(Roster!$C:$C=A166)*(Roster!$F:$F=2)),1))"),"Schneider")</f>
        <v>Schneider</v>
      </c>
      <c r="AE166" s="5">
        <v>0.0</v>
      </c>
      <c r="AF166" s="5">
        <v>0.0</v>
      </c>
      <c r="AG166" s="5" t="s">
        <v>350</v>
      </c>
      <c r="AH166" s="5">
        <v>0.0</v>
      </c>
      <c r="AI166" s="5">
        <v>0.0</v>
      </c>
      <c r="AJ166" s="5">
        <v>-2.0</v>
      </c>
      <c r="AK166" s="5" t="s">
        <v>354</v>
      </c>
      <c r="AL166" s="5" t="s">
        <v>367</v>
      </c>
      <c r="AM166" s="5">
        <v>0.0</v>
      </c>
      <c r="AN166" s="5" t="s">
        <v>350</v>
      </c>
      <c r="AO166" s="5">
        <f t="shared" si="1"/>
        <v>0</v>
      </c>
      <c r="AP166" s="5">
        <f t="shared" si="2"/>
        <v>0</v>
      </c>
    </row>
    <row r="167">
      <c r="A167" s="5" t="s">
        <v>36</v>
      </c>
      <c r="B167" s="5">
        <v>4.0</v>
      </c>
      <c r="C167" s="5">
        <v>5.0</v>
      </c>
      <c r="D167" s="5">
        <v>1.0</v>
      </c>
      <c r="E167" s="5">
        <v>4.0</v>
      </c>
      <c r="M167" s="5">
        <v>4.0</v>
      </c>
      <c r="N167" s="5">
        <v>0.0</v>
      </c>
      <c r="O167" s="5">
        <v>4.0</v>
      </c>
      <c r="X167" s="5" t="s">
        <v>353</v>
      </c>
      <c r="Z167" s="1" t="s">
        <v>378</v>
      </c>
      <c r="AA167" s="5" t="str">
        <f>IFERROR(__xludf.DUMMYFUNCTION("IF(A167="""","""",INDEX(FILTER(Roster!$A:$A,(Roster!$C:$C=A167)*(Roster!$F:$F=3)),1))"),"Pablo Acosta")</f>
        <v>Pablo Acosta</v>
      </c>
      <c r="AB167" s="5" t="str">
        <f>IFERROR(__xludf.DUMMYFUNCTION("IF(A167="""","""",INDEX(FILTER(Roster!$A:$A,(Roster!$C:$C=A167)*(Roster!$F:$F=4)),1))"),"Garcia")</f>
        <v>Garcia</v>
      </c>
      <c r="AC167" s="5" t="str">
        <f>IFERROR(__xludf.DUMMYFUNCTION("IF(A167="""","""",INDEX(FILTER(Roster!$A:$A,(Roster!$C:$C=A167)*(Roster!$F:$F=1)),1))"),"Ana Maria")</f>
        <v>Ana Maria</v>
      </c>
      <c r="AD167" s="5" t="str">
        <f>IFERROR(__xludf.DUMMYFUNCTION("IF(A167="""","""",INDEX(FILTER(Roster!$A:$A,(Roster!$C:$C=A167)*(Roster!$F:$F=2)),1))"),"Schneider")</f>
        <v>Schneider</v>
      </c>
      <c r="AE167" s="5">
        <v>0.0</v>
      </c>
      <c r="AF167" s="5">
        <v>0.0</v>
      </c>
      <c r="AG167" s="5" t="s">
        <v>350</v>
      </c>
      <c r="AH167" s="5">
        <v>0.0</v>
      </c>
      <c r="AI167" s="5">
        <v>0.0</v>
      </c>
      <c r="AJ167" s="5">
        <v>-2.0</v>
      </c>
      <c r="AK167" s="5" t="s">
        <v>354</v>
      </c>
      <c r="AL167" s="5" t="s">
        <v>367</v>
      </c>
      <c r="AM167" s="5">
        <v>0.0</v>
      </c>
      <c r="AN167" s="5" t="s">
        <v>350</v>
      </c>
      <c r="AO167" s="5">
        <f t="shared" si="1"/>
        <v>0</v>
      </c>
      <c r="AP167" s="5">
        <f t="shared" si="2"/>
        <v>0</v>
      </c>
    </row>
    <row r="168">
      <c r="A168" s="5" t="s">
        <v>36</v>
      </c>
      <c r="B168" s="5">
        <v>5.0</v>
      </c>
      <c r="C168" s="5">
        <v>4.0</v>
      </c>
      <c r="D168" s="5">
        <v>1.0</v>
      </c>
      <c r="E168" s="5">
        <v>3.0</v>
      </c>
      <c r="M168" s="5">
        <v>4.0</v>
      </c>
      <c r="N168" s="5">
        <v>1.0</v>
      </c>
      <c r="O168" s="5">
        <v>3.0</v>
      </c>
      <c r="X168" s="5" t="s">
        <v>353</v>
      </c>
      <c r="Z168" s="1" t="s">
        <v>378</v>
      </c>
      <c r="AA168" s="5" t="str">
        <f>IFERROR(__xludf.DUMMYFUNCTION("IF(A168="""","""",INDEX(FILTER(Roster!$A:$A,(Roster!$C:$C=A168)*(Roster!$F:$F=3)),1))"),"Pablo Acosta")</f>
        <v>Pablo Acosta</v>
      </c>
      <c r="AB168" s="5" t="str">
        <f>IFERROR(__xludf.DUMMYFUNCTION("IF(A168="""","""",INDEX(FILTER(Roster!$A:$A,(Roster!$C:$C=A168)*(Roster!$F:$F=4)),1))"),"Garcia")</f>
        <v>Garcia</v>
      </c>
      <c r="AC168" s="5" t="str">
        <f>IFERROR(__xludf.DUMMYFUNCTION("IF(A168="""","""",INDEX(FILTER(Roster!$A:$A,(Roster!$C:$C=A168)*(Roster!$F:$F=1)),1))"),"Ana Maria")</f>
        <v>Ana Maria</v>
      </c>
      <c r="AD168" s="5" t="str">
        <f>IFERROR(__xludf.DUMMYFUNCTION("IF(A168="""","""",INDEX(FILTER(Roster!$A:$A,(Roster!$C:$C=A168)*(Roster!$F:$F=2)),1))"),"Schneider")</f>
        <v>Schneider</v>
      </c>
      <c r="AE168" s="5">
        <v>0.0</v>
      </c>
      <c r="AF168" s="5">
        <v>0.0</v>
      </c>
      <c r="AG168" s="5" t="s">
        <v>350</v>
      </c>
      <c r="AH168" s="5">
        <v>0.0</v>
      </c>
      <c r="AI168" s="5">
        <v>0.0</v>
      </c>
      <c r="AJ168" s="5">
        <v>-2.0</v>
      </c>
      <c r="AK168" s="5" t="s">
        <v>354</v>
      </c>
      <c r="AL168" s="5" t="s">
        <v>367</v>
      </c>
      <c r="AM168" s="5">
        <v>0.0</v>
      </c>
      <c r="AN168" s="5" t="s">
        <v>350</v>
      </c>
      <c r="AO168" s="5">
        <f t="shared" si="1"/>
        <v>0</v>
      </c>
      <c r="AP168" s="5">
        <f t="shared" si="2"/>
        <v>0</v>
      </c>
    </row>
    <row r="169">
      <c r="A169" s="5" t="s">
        <v>36</v>
      </c>
      <c r="B169" s="5">
        <v>6.0</v>
      </c>
      <c r="C169" s="5">
        <v>5.0</v>
      </c>
      <c r="D169" s="5">
        <v>1.0</v>
      </c>
      <c r="E169" s="5">
        <v>4.0</v>
      </c>
      <c r="M169" s="5">
        <v>4.0</v>
      </c>
      <c r="N169" s="5">
        <v>0.0</v>
      </c>
      <c r="O169" s="5">
        <v>4.0</v>
      </c>
      <c r="X169" s="5" t="s">
        <v>353</v>
      </c>
      <c r="Z169" s="1" t="s">
        <v>378</v>
      </c>
      <c r="AA169" s="5" t="str">
        <f>IFERROR(__xludf.DUMMYFUNCTION("IF(A169="""","""",INDEX(FILTER(Roster!$A:$A,(Roster!$C:$C=A169)*(Roster!$F:$F=3)),1))"),"Pablo Acosta")</f>
        <v>Pablo Acosta</v>
      </c>
      <c r="AB169" s="5" t="str">
        <f>IFERROR(__xludf.DUMMYFUNCTION("IF(A169="""","""",INDEX(FILTER(Roster!$A:$A,(Roster!$C:$C=A169)*(Roster!$F:$F=4)),1))"),"Garcia")</f>
        <v>Garcia</v>
      </c>
      <c r="AC169" s="5" t="str">
        <f>IFERROR(__xludf.DUMMYFUNCTION("IF(A169="""","""",INDEX(FILTER(Roster!$A:$A,(Roster!$C:$C=A169)*(Roster!$F:$F=1)),1))"),"Ana Maria")</f>
        <v>Ana Maria</v>
      </c>
      <c r="AD169" s="5" t="str">
        <f>IFERROR(__xludf.DUMMYFUNCTION("IF(A169="""","""",INDEX(FILTER(Roster!$A:$A,(Roster!$C:$C=A169)*(Roster!$F:$F=2)),1))"),"Schneider")</f>
        <v>Schneider</v>
      </c>
      <c r="AE169" s="5">
        <v>0.0</v>
      </c>
      <c r="AF169" s="5">
        <v>0.0</v>
      </c>
      <c r="AG169" s="5" t="s">
        <v>350</v>
      </c>
      <c r="AH169" s="5">
        <v>0.0</v>
      </c>
      <c r="AI169" s="5">
        <v>0.0</v>
      </c>
      <c r="AJ169" s="5">
        <v>-2.0</v>
      </c>
      <c r="AK169" s="5" t="s">
        <v>354</v>
      </c>
      <c r="AL169" s="5" t="s">
        <v>367</v>
      </c>
      <c r="AM169" s="5">
        <v>0.0</v>
      </c>
      <c r="AN169" s="5" t="s">
        <v>350</v>
      </c>
      <c r="AO169" s="5">
        <f t="shared" si="1"/>
        <v>0</v>
      </c>
      <c r="AP169" s="5">
        <f t="shared" si="2"/>
        <v>0</v>
      </c>
    </row>
    <row r="170">
      <c r="A170" s="5" t="s">
        <v>36</v>
      </c>
      <c r="B170" s="5">
        <v>7.0</v>
      </c>
      <c r="C170" s="5">
        <v>3.0</v>
      </c>
      <c r="D170" s="5">
        <v>1.0</v>
      </c>
      <c r="E170" s="5">
        <v>2.0</v>
      </c>
      <c r="M170" s="5">
        <v>3.0</v>
      </c>
      <c r="N170" s="5">
        <v>0.0</v>
      </c>
      <c r="O170" s="5">
        <v>3.0</v>
      </c>
      <c r="X170" s="5" t="s">
        <v>12</v>
      </c>
      <c r="Z170" s="1" t="s">
        <v>378</v>
      </c>
      <c r="AA170" s="5" t="str">
        <f>IFERROR(__xludf.DUMMYFUNCTION("IF(A170="""","""",INDEX(FILTER(Roster!$A:$A,(Roster!$C:$C=A170)*(Roster!$F:$F=3)),1))"),"Pablo Acosta")</f>
        <v>Pablo Acosta</v>
      </c>
      <c r="AB170" s="5" t="str">
        <f>IFERROR(__xludf.DUMMYFUNCTION("IF(A170="""","""",INDEX(FILTER(Roster!$A:$A,(Roster!$C:$C=A170)*(Roster!$F:$F=4)),1))"),"Garcia")</f>
        <v>Garcia</v>
      </c>
      <c r="AC170" s="5" t="str">
        <f>IFERROR(__xludf.DUMMYFUNCTION("IF(A170="""","""",INDEX(FILTER(Roster!$A:$A,(Roster!$C:$C=A170)*(Roster!$F:$F=1)),1))"),"Ana Maria")</f>
        <v>Ana Maria</v>
      </c>
      <c r="AD170" s="5" t="str">
        <f>IFERROR(__xludf.DUMMYFUNCTION("IF(A170="""","""",INDEX(FILTER(Roster!$A:$A,(Roster!$C:$C=A170)*(Roster!$F:$F=2)),1))"),"Schneider")</f>
        <v>Schneider</v>
      </c>
      <c r="AE170" s="5">
        <v>0.0</v>
      </c>
      <c r="AF170" s="5">
        <v>0.0</v>
      </c>
      <c r="AG170" s="5" t="s">
        <v>350</v>
      </c>
      <c r="AH170" s="5">
        <v>1.0</v>
      </c>
      <c r="AI170" s="5">
        <v>0.0</v>
      </c>
      <c r="AJ170" s="5">
        <v>-1.0</v>
      </c>
      <c r="AK170" s="5" t="s">
        <v>352</v>
      </c>
      <c r="AL170" s="5" t="s">
        <v>367</v>
      </c>
      <c r="AM170" s="5">
        <v>0.0</v>
      </c>
      <c r="AN170" s="5" t="s">
        <v>350</v>
      </c>
      <c r="AO170" s="5">
        <f t="shared" si="1"/>
        <v>0</v>
      </c>
      <c r="AP170" s="5">
        <f t="shared" si="2"/>
        <v>0</v>
      </c>
    </row>
    <row r="171">
      <c r="A171" s="5" t="s">
        <v>36</v>
      </c>
      <c r="B171" s="5">
        <v>8.0</v>
      </c>
      <c r="C171" s="5">
        <v>6.0</v>
      </c>
      <c r="D171" s="5">
        <v>1.0</v>
      </c>
      <c r="E171" s="5">
        <v>5.0</v>
      </c>
      <c r="M171" s="5">
        <v>5.0</v>
      </c>
      <c r="N171" s="5">
        <v>1.0</v>
      </c>
      <c r="O171" s="5">
        <v>4.0</v>
      </c>
      <c r="X171" s="5" t="s">
        <v>7</v>
      </c>
      <c r="Z171" s="1" t="s">
        <v>378</v>
      </c>
      <c r="AA171" s="5" t="str">
        <f>IFERROR(__xludf.DUMMYFUNCTION("IF(A171="""","""",INDEX(FILTER(Roster!$A:$A,(Roster!$C:$C=A171)*(Roster!$F:$F=3)),1))"),"Pablo Acosta")</f>
        <v>Pablo Acosta</v>
      </c>
      <c r="AB171" s="5" t="str">
        <f>IFERROR(__xludf.DUMMYFUNCTION("IF(A171="""","""",INDEX(FILTER(Roster!$A:$A,(Roster!$C:$C=A171)*(Roster!$F:$F=4)),1))"),"Garcia")</f>
        <v>Garcia</v>
      </c>
      <c r="AC171" s="5" t="str">
        <f>IFERROR(__xludf.DUMMYFUNCTION("IF(A171="""","""",INDEX(FILTER(Roster!$A:$A,(Roster!$C:$C=A171)*(Roster!$F:$F=1)),1))"),"Ana Maria")</f>
        <v>Ana Maria</v>
      </c>
      <c r="AD171" s="5" t="str">
        <f>IFERROR(__xludf.DUMMYFUNCTION("IF(A171="""","""",INDEX(FILTER(Roster!$A:$A,(Roster!$C:$C=A171)*(Roster!$F:$F=2)),1))"),"Schneider")</f>
        <v>Schneider</v>
      </c>
      <c r="AE171" s="5">
        <v>0.0</v>
      </c>
      <c r="AF171" s="5">
        <v>0.0</v>
      </c>
      <c r="AG171" s="5" t="s">
        <v>350</v>
      </c>
      <c r="AH171" s="5">
        <v>-1.0</v>
      </c>
      <c r="AI171" s="5">
        <v>0.0</v>
      </c>
      <c r="AJ171" s="5">
        <v>-2.0</v>
      </c>
      <c r="AK171" s="5" t="s">
        <v>354</v>
      </c>
      <c r="AL171" s="5" t="s">
        <v>367</v>
      </c>
      <c r="AM171" s="5">
        <v>0.0</v>
      </c>
      <c r="AN171" s="5" t="s">
        <v>350</v>
      </c>
      <c r="AO171" s="5">
        <f t="shared" si="1"/>
        <v>0</v>
      </c>
      <c r="AP171" s="5">
        <f t="shared" si="2"/>
        <v>0</v>
      </c>
    </row>
    <row r="172">
      <c r="A172" s="5" t="s">
        <v>36</v>
      </c>
      <c r="B172" s="5">
        <v>9.0</v>
      </c>
      <c r="C172" s="5">
        <v>5.0</v>
      </c>
      <c r="D172" s="5">
        <v>1.0</v>
      </c>
      <c r="E172" s="5">
        <v>4.0</v>
      </c>
      <c r="M172" s="5">
        <v>4.0</v>
      </c>
      <c r="N172" s="5">
        <v>1.0</v>
      </c>
      <c r="O172" s="5">
        <v>3.0</v>
      </c>
      <c r="X172" s="5" t="s">
        <v>7</v>
      </c>
      <c r="Z172" s="1" t="s">
        <v>378</v>
      </c>
      <c r="AA172" s="5" t="str">
        <f>IFERROR(__xludf.DUMMYFUNCTION("IF(A172="""","""",INDEX(FILTER(Roster!$A:$A,(Roster!$C:$C=A172)*(Roster!$F:$F=3)),1))"),"Pablo Acosta")</f>
        <v>Pablo Acosta</v>
      </c>
      <c r="AB172" s="5" t="str">
        <f>IFERROR(__xludf.DUMMYFUNCTION("IF(A172="""","""",INDEX(FILTER(Roster!$A:$A,(Roster!$C:$C=A172)*(Roster!$F:$F=4)),1))"),"Garcia")</f>
        <v>Garcia</v>
      </c>
      <c r="AC172" s="5" t="str">
        <f>IFERROR(__xludf.DUMMYFUNCTION("IF(A172="""","""",INDEX(FILTER(Roster!$A:$A,(Roster!$C:$C=A172)*(Roster!$F:$F=1)),1))"),"Ana Maria")</f>
        <v>Ana Maria</v>
      </c>
      <c r="AD172" s="5" t="str">
        <f>IFERROR(__xludf.DUMMYFUNCTION("IF(A172="""","""",INDEX(FILTER(Roster!$A:$A,(Roster!$C:$C=A172)*(Roster!$F:$F=2)),1))"),"Schneider")</f>
        <v>Schneider</v>
      </c>
      <c r="AE172" s="5">
        <v>0.0</v>
      </c>
      <c r="AF172" s="5">
        <v>0.0</v>
      </c>
      <c r="AG172" s="5" t="s">
        <v>350</v>
      </c>
      <c r="AH172" s="5">
        <v>-1.0</v>
      </c>
      <c r="AI172" s="5">
        <v>0.0</v>
      </c>
      <c r="AJ172" s="5">
        <v>-3.0</v>
      </c>
      <c r="AK172" s="5" t="s">
        <v>358</v>
      </c>
      <c r="AL172" s="5" t="s">
        <v>367</v>
      </c>
      <c r="AM172" s="5">
        <v>0.0</v>
      </c>
      <c r="AN172" s="5" t="s">
        <v>350</v>
      </c>
      <c r="AO172" s="5">
        <f t="shared" si="1"/>
        <v>0</v>
      </c>
      <c r="AP172" s="5">
        <f t="shared" si="2"/>
        <v>0</v>
      </c>
    </row>
    <row r="173">
      <c r="A173" s="5" t="str">
        <f t="array" ref="A173:A181">Calc_Engine!A91:A99</f>
        <v>Flight_6</v>
      </c>
      <c r="B173" s="5">
        <f t="array" ref="B173:B181">Calc_Engine!B91:B99</f>
        <v>1</v>
      </c>
      <c r="H173" s="5">
        <f t="array" ref="H173:H181">Calc_Engine!H91:H99</f>
        <v>4</v>
      </c>
      <c r="I173" s="5">
        <f t="array" ref="I173:I181">Calc_Engine!I91:I99</f>
        <v>0</v>
      </c>
      <c r="J173" s="5">
        <f t="array" ref="J173:J181">Calc_Engine!J91:J99</f>
        <v>4</v>
      </c>
      <c r="R173" s="5">
        <f t="array" ref="R173:R181">Calc_Engine!R91:R99</f>
        <v>5</v>
      </c>
      <c r="S173" s="5">
        <f t="array" ref="S173:S181">Calc_Engine!S91:S99</f>
        <v>1</v>
      </c>
      <c r="T173" s="5">
        <f t="array" ref="T173:T181">Calc_Engine!T91:T99</f>
        <v>4</v>
      </c>
      <c r="Y173" s="5" t="str">
        <f t="array" ref="Y173:Y181">Calc_Engine!Y91:Y99</f>
        <v>Tie</v>
      </c>
      <c r="Z173" s="1" t="s">
        <v>379</v>
      </c>
      <c r="AA173" s="5" t="str">
        <f>IFERROR(__xludf.DUMMYFUNCTION("IF(A173="""","""",INDEX(FILTER(Roster!$A:$A,(Roster!$C:$C=A173)*(Roster!$F:$F=3)),1))"),"Pablo Acosta")</f>
        <v>Pablo Acosta</v>
      </c>
      <c r="AB173" s="5" t="str">
        <f>IFERROR(__xludf.DUMMYFUNCTION("IF(A173="""","""",INDEX(FILTER(Roster!$A:$A,(Roster!$C:$C=A173)*(Roster!$F:$F=4)),1))"),"Garcia")</f>
        <v>Garcia</v>
      </c>
      <c r="AC173" s="5" t="str">
        <f>IFERROR(__xludf.DUMMYFUNCTION("IF(A173="""","""",INDEX(FILTER(Roster!$A:$A,(Roster!$C:$C=A173)*(Roster!$F:$F=1)),1))"),"Ana Maria")</f>
        <v>Ana Maria</v>
      </c>
      <c r="AD173" s="5" t="str">
        <f>IFERROR(__xludf.DUMMYFUNCTION("IF(A173="""","""",INDEX(FILTER(Roster!$A:$A,(Roster!$C:$C=A173)*(Roster!$F:$F=2)),1))"),"Schneider")</f>
        <v>Schneider</v>
      </c>
      <c r="AE173" s="5">
        <v>0.0</v>
      </c>
      <c r="AF173" s="5">
        <v>0.0</v>
      </c>
      <c r="AG173" s="5" t="s">
        <v>350</v>
      </c>
      <c r="AH173" s="5">
        <v>0.0</v>
      </c>
      <c r="AI173" s="5">
        <v>0.0</v>
      </c>
      <c r="AJ173" s="5">
        <v>0.0</v>
      </c>
      <c r="AK173" s="5" t="s">
        <v>350</v>
      </c>
      <c r="AL173" s="5" t="s">
        <v>351</v>
      </c>
      <c r="AM173" s="5">
        <v>0.0</v>
      </c>
      <c r="AN173" s="5" t="s">
        <v>350</v>
      </c>
      <c r="AO173" s="5">
        <f t="shared" si="1"/>
        <v>0</v>
      </c>
      <c r="AP173" s="5">
        <f t="shared" si="2"/>
        <v>0</v>
      </c>
    </row>
    <row r="174">
      <c r="A174" s="5" t="s">
        <v>36</v>
      </c>
      <c r="B174" s="5">
        <v>2.0</v>
      </c>
      <c r="H174" s="5">
        <v>7.0</v>
      </c>
      <c r="I174" s="5">
        <v>0.0</v>
      </c>
      <c r="J174" s="5">
        <v>7.0</v>
      </c>
      <c r="R174" s="5">
        <v>5.0</v>
      </c>
      <c r="S174" s="5">
        <v>0.0</v>
      </c>
      <c r="T174" s="5">
        <v>5.0</v>
      </c>
      <c r="Y174" s="5" t="s">
        <v>7</v>
      </c>
      <c r="Z174" s="1" t="s">
        <v>379</v>
      </c>
      <c r="AA174" s="5" t="str">
        <f>IFERROR(__xludf.DUMMYFUNCTION("IF(A174="""","""",INDEX(FILTER(Roster!$A:$A,(Roster!$C:$C=A174)*(Roster!$F:$F=3)),1))"),"Pablo Acosta")</f>
        <v>Pablo Acosta</v>
      </c>
      <c r="AB174" s="5" t="str">
        <f>IFERROR(__xludf.DUMMYFUNCTION("IF(A174="""","""",INDEX(FILTER(Roster!$A:$A,(Roster!$C:$C=A174)*(Roster!$F:$F=4)),1))"),"Garcia")</f>
        <v>Garcia</v>
      </c>
      <c r="AC174" s="5" t="str">
        <f>IFERROR(__xludf.DUMMYFUNCTION("IF(A174="""","""",INDEX(FILTER(Roster!$A:$A,(Roster!$C:$C=A174)*(Roster!$F:$F=1)),1))"),"Ana Maria")</f>
        <v>Ana Maria</v>
      </c>
      <c r="AD174" s="5" t="str">
        <f>IFERROR(__xludf.DUMMYFUNCTION("IF(A174="""","""",INDEX(FILTER(Roster!$A:$A,(Roster!$C:$C=A174)*(Roster!$F:$F=2)),1))"),"Schneider")</f>
        <v>Schneider</v>
      </c>
      <c r="AE174" s="5">
        <v>0.0</v>
      </c>
      <c r="AF174" s="5">
        <v>0.0</v>
      </c>
      <c r="AG174" s="5" t="s">
        <v>350</v>
      </c>
      <c r="AH174" s="5">
        <v>0.0</v>
      </c>
      <c r="AI174" s="5">
        <v>-1.0</v>
      </c>
      <c r="AJ174" s="5">
        <v>0.0</v>
      </c>
      <c r="AK174" s="5" t="s">
        <v>350</v>
      </c>
      <c r="AL174" s="5" t="s">
        <v>351</v>
      </c>
      <c r="AM174" s="5">
        <v>-1.0</v>
      </c>
      <c r="AN174" s="5" t="s">
        <v>352</v>
      </c>
      <c r="AO174" s="5">
        <f t="shared" si="1"/>
        <v>0</v>
      </c>
      <c r="AP174" s="5">
        <f t="shared" si="2"/>
        <v>0</v>
      </c>
    </row>
    <row r="175">
      <c r="A175" s="5" t="s">
        <v>36</v>
      </c>
      <c r="B175" s="5">
        <v>3.0</v>
      </c>
      <c r="H175" s="5">
        <v>5.0</v>
      </c>
      <c r="I175" s="5">
        <v>0.0</v>
      </c>
      <c r="J175" s="5">
        <v>5.0</v>
      </c>
      <c r="R175" s="5">
        <v>6.0</v>
      </c>
      <c r="S175" s="5">
        <v>0.0</v>
      </c>
      <c r="T175" s="5">
        <v>6.0</v>
      </c>
      <c r="Y175" s="5" t="s">
        <v>12</v>
      </c>
      <c r="Z175" s="1" t="s">
        <v>379</v>
      </c>
      <c r="AA175" s="5" t="str">
        <f>IFERROR(__xludf.DUMMYFUNCTION("IF(A175="""","""",INDEX(FILTER(Roster!$A:$A,(Roster!$C:$C=A175)*(Roster!$F:$F=3)),1))"),"Pablo Acosta")</f>
        <v>Pablo Acosta</v>
      </c>
      <c r="AB175" s="5" t="str">
        <f>IFERROR(__xludf.DUMMYFUNCTION("IF(A175="""","""",INDEX(FILTER(Roster!$A:$A,(Roster!$C:$C=A175)*(Roster!$F:$F=4)),1))"),"Garcia")</f>
        <v>Garcia</v>
      </c>
      <c r="AC175" s="5" t="str">
        <f>IFERROR(__xludf.DUMMYFUNCTION("IF(A175="""","""",INDEX(FILTER(Roster!$A:$A,(Roster!$C:$C=A175)*(Roster!$F:$F=1)),1))"),"Ana Maria")</f>
        <v>Ana Maria</v>
      </c>
      <c r="AD175" s="5" t="str">
        <f>IFERROR(__xludf.DUMMYFUNCTION("IF(A175="""","""",INDEX(FILTER(Roster!$A:$A,(Roster!$C:$C=A175)*(Roster!$F:$F=2)),1))"),"Schneider")</f>
        <v>Schneider</v>
      </c>
      <c r="AE175" s="5">
        <v>0.0</v>
      </c>
      <c r="AF175" s="5">
        <v>0.0</v>
      </c>
      <c r="AG175" s="5" t="s">
        <v>350</v>
      </c>
      <c r="AH175" s="5">
        <v>0.0</v>
      </c>
      <c r="AI175" s="5">
        <v>1.0</v>
      </c>
      <c r="AJ175" s="5">
        <v>0.0</v>
      </c>
      <c r="AK175" s="5" t="s">
        <v>350</v>
      </c>
      <c r="AL175" s="5" t="s">
        <v>351</v>
      </c>
      <c r="AM175" s="5">
        <v>0.0</v>
      </c>
      <c r="AN175" s="5" t="s">
        <v>350</v>
      </c>
      <c r="AO175" s="5">
        <f t="shared" si="1"/>
        <v>0</v>
      </c>
      <c r="AP175" s="5">
        <f t="shared" si="2"/>
        <v>0</v>
      </c>
    </row>
    <row r="176">
      <c r="A176" s="5" t="s">
        <v>36</v>
      </c>
      <c r="B176" s="5">
        <v>4.0</v>
      </c>
      <c r="H176" s="5">
        <v>5.0</v>
      </c>
      <c r="I176" s="5">
        <v>0.0</v>
      </c>
      <c r="J176" s="5">
        <v>5.0</v>
      </c>
      <c r="R176" s="5">
        <v>4.0</v>
      </c>
      <c r="S176" s="5">
        <v>0.0</v>
      </c>
      <c r="T176" s="5">
        <v>4.0</v>
      </c>
      <c r="Y176" s="5" t="s">
        <v>7</v>
      </c>
      <c r="Z176" s="1" t="s">
        <v>379</v>
      </c>
      <c r="AA176" s="5" t="str">
        <f>IFERROR(__xludf.DUMMYFUNCTION("IF(A176="""","""",INDEX(FILTER(Roster!$A:$A,(Roster!$C:$C=A176)*(Roster!$F:$F=3)),1))"),"Pablo Acosta")</f>
        <v>Pablo Acosta</v>
      </c>
      <c r="AB176" s="5" t="str">
        <f>IFERROR(__xludf.DUMMYFUNCTION("IF(A176="""","""",INDEX(FILTER(Roster!$A:$A,(Roster!$C:$C=A176)*(Roster!$F:$F=4)),1))"),"Garcia")</f>
        <v>Garcia</v>
      </c>
      <c r="AC176" s="5" t="str">
        <f>IFERROR(__xludf.DUMMYFUNCTION("IF(A176="""","""",INDEX(FILTER(Roster!$A:$A,(Roster!$C:$C=A176)*(Roster!$F:$F=1)),1))"),"Ana Maria")</f>
        <v>Ana Maria</v>
      </c>
      <c r="AD176" s="5" t="str">
        <f>IFERROR(__xludf.DUMMYFUNCTION("IF(A176="""","""",INDEX(FILTER(Roster!$A:$A,(Roster!$C:$C=A176)*(Roster!$F:$F=2)),1))"),"Schneider")</f>
        <v>Schneider</v>
      </c>
      <c r="AE176" s="5">
        <v>0.0</v>
      </c>
      <c r="AF176" s="5">
        <v>0.0</v>
      </c>
      <c r="AG176" s="5" t="s">
        <v>350</v>
      </c>
      <c r="AH176" s="5">
        <v>0.0</v>
      </c>
      <c r="AI176" s="5">
        <v>-1.0</v>
      </c>
      <c r="AJ176" s="5">
        <v>0.0</v>
      </c>
      <c r="AK176" s="5" t="s">
        <v>350</v>
      </c>
      <c r="AL176" s="5" t="s">
        <v>351</v>
      </c>
      <c r="AM176" s="5">
        <v>-1.0</v>
      </c>
      <c r="AN176" s="5" t="s">
        <v>352</v>
      </c>
      <c r="AO176" s="5">
        <f t="shared" si="1"/>
        <v>0</v>
      </c>
      <c r="AP176" s="5">
        <f t="shared" si="2"/>
        <v>0</v>
      </c>
    </row>
    <row r="177">
      <c r="A177" s="5" t="s">
        <v>36</v>
      </c>
      <c r="B177" s="5">
        <v>5.0</v>
      </c>
      <c r="H177" s="5">
        <v>3.0</v>
      </c>
      <c r="I177" s="5">
        <v>0.0</v>
      </c>
      <c r="J177" s="5">
        <v>3.0</v>
      </c>
      <c r="R177" s="5">
        <v>3.0</v>
      </c>
      <c r="S177" s="5">
        <v>0.0</v>
      </c>
      <c r="T177" s="5">
        <v>3.0</v>
      </c>
      <c r="Y177" s="5" t="s">
        <v>353</v>
      </c>
      <c r="Z177" s="1" t="s">
        <v>379</v>
      </c>
      <c r="AA177" s="5" t="str">
        <f>IFERROR(__xludf.DUMMYFUNCTION("IF(A177="""","""",INDEX(FILTER(Roster!$A:$A,(Roster!$C:$C=A177)*(Roster!$F:$F=3)),1))"),"Pablo Acosta")</f>
        <v>Pablo Acosta</v>
      </c>
      <c r="AB177" s="5" t="str">
        <f>IFERROR(__xludf.DUMMYFUNCTION("IF(A177="""","""",INDEX(FILTER(Roster!$A:$A,(Roster!$C:$C=A177)*(Roster!$F:$F=4)),1))"),"Garcia")</f>
        <v>Garcia</v>
      </c>
      <c r="AC177" s="5" t="str">
        <f>IFERROR(__xludf.DUMMYFUNCTION("IF(A177="""","""",INDEX(FILTER(Roster!$A:$A,(Roster!$C:$C=A177)*(Roster!$F:$F=1)),1))"),"Ana Maria")</f>
        <v>Ana Maria</v>
      </c>
      <c r="AD177" s="5" t="str">
        <f>IFERROR(__xludf.DUMMYFUNCTION("IF(A177="""","""",INDEX(FILTER(Roster!$A:$A,(Roster!$C:$C=A177)*(Roster!$F:$F=2)),1))"),"Schneider")</f>
        <v>Schneider</v>
      </c>
      <c r="AE177" s="5">
        <v>0.0</v>
      </c>
      <c r="AF177" s="5">
        <v>0.0</v>
      </c>
      <c r="AG177" s="5" t="s">
        <v>350</v>
      </c>
      <c r="AH177" s="5">
        <v>0.0</v>
      </c>
      <c r="AI177" s="5">
        <v>0.0</v>
      </c>
      <c r="AJ177" s="5">
        <v>0.0</v>
      </c>
      <c r="AK177" s="5" t="s">
        <v>350</v>
      </c>
      <c r="AL177" s="5" t="s">
        <v>351</v>
      </c>
      <c r="AM177" s="5">
        <v>-1.0</v>
      </c>
      <c r="AN177" s="5" t="s">
        <v>352</v>
      </c>
      <c r="AO177" s="5">
        <f t="shared" si="1"/>
        <v>0</v>
      </c>
      <c r="AP177" s="5">
        <f t="shared" si="2"/>
        <v>0</v>
      </c>
    </row>
    <row r="178">
      <c r="A178" s="5" t="s">
        <v>36</v>
      </c>
      <c r="B178" s="5">
        <v>6.0</v>
      </c>
      <c r="H178" s="5">
        <v>3.0</v>
      </c>
      <c r="I178" s="5">
        <v>0.0</v>
      </c>
      <c r="J178" s="5">
        <v>3.0</v>
      </c>
      <c r="R178" s="5">
        <v>5.0</v>
      </c>
      <c r="S178" s="5">
        <v>1.0</v>
      </c>
      <c r="T178" s="5">
        <v>4.0</v>
      </c>
      <c r="Y178" s="5" t="s">
        <v>12</v>
      </c>
      <c r="Z178" s="1" t="s">
        <v>379</v>
      </c>
      <c r="AA178" s="5" t="str">
        <f>IFERROR(__xludf.DUMMYFUNCTION("IF(A178="""","""",INDEX(FILTER(Roster!$A:$A,(Roster!$C:$C=A178)*(Roster!$F:$F=3)),1))"),"Pablo Acosta")</f>
        <v>Pablo Acosta</v>
      </c>
      <c r="AB178" s="5" t="str">
        <f>IFERROR(__xludf.DUMMYFUNCTION("IF(A178="""","""",INDEX(FILTER(Roster!$A:$A,(Roster!$C:$C=A178)*(Roster!$F:$F=4)),1))"),"Garcia")</f>
        <v>Garcia</v>
      </c>
      <c r="AC178" s="5" t="str">
        <f>IFERROR(__xludf.DUMMYFUNCTION("IF(A178="""","""",INDEX(FILTER(Roster!$A:$A,(Roster!$C:$C=A178)*(Roster!$F:$F=1)),1))"),"Ana Maria")</f>
        <v>Ana Maria</v>
      </c>
      <c r="AD178" s="5" t="str">
        <f>IFERROR(__xludf.DUMMYFUNCTION("IF(A178="""","""",INDEX(FILTER(Roster!$A:$A,(Roster!$C:$C=A178)*(Roster!$F:$F=2)),1))"),"Schneider")</f>
        <v>Schneider</v>
      </c>
      <c r="AE178" s="5">
        <v>0.0</v>
      </c>
      <c r="AF178" s="5">
        <v>0.0</v>
      </c>
      <c r="AG178" s="5" t="s">
        <v>350</v>
      </c>
      <c r="AH178" s="5">
        <v>0.0</v>
      </c>
      <c r="AI178" s="5">
        <v>1.0</v>
      </c>
      <c r="AJ178" s="5">
        <v>0.0</v>
      </c>
      <c r="AK178" s="5" t="s">
        <v>350</v>
      </c>
      <c r="AL178" s="5" t="s">
        <v>351</v>
      </c>
      <c r="AM178" s="5">
        <v>0.0</v>
      </c>
      <c r="AN178" s="5" t="s">
        <v>350</v>
      </c>
      <c r="AO178" s="5">
        <f t="shared" si="1"/>
        <v>0</v>
      </c>
      <c r="AP178" s="5">
        <f t="shared" si="2"/>
        <v>0</v>
      </c>
    </row>
    <row r="179">
      <c r="A179" s="5" t="s">
        <v>36</v>
      </c>
      <c r="B179" s="5">
        <v>7.0</v>
      </c>
      <c r="H179" s="5">
        <v>4.0</v>
      </c>
      <c r="I179" s="5">
        <v>0.0</v>
      </c>
      <c r="J179" s="5">
        <v>4.0</v>
      </c>
      <c r="R179" s="5">
        <v>3.0</v>
      </c>
      <c r="S179" s="5">
        <v>0.0</v>
      </c>
      <c r="T179" s="5">
        <v>3.0</v>
      </c>
      <c r="Y179" s="5" t="s">
        <v>7</v>
      </c>
      <c r="Z179" s="1" t="s">
        <v>379</v>
      </c>
      <c r="AA179" s="5" t="str">
        <f>IFERROR(__xludf.DUMMYFUNCTION("IF(A179="""","""",INDEX(FILTER(Roster!$A:$A,(Roster!$C:$C=A179)*(Roster!$F:$F=3)),1))"),"Pablo Acosta")</f>
        <v>Pablo Acosta</v>
      </c>
      <c r="AB179" s="5" t="str">
        <f>IFERROR(__xludf.DUMMYFUNCTION("IF(A179="""","""",INDEX(FILTER(Roster!$A:$A,(Roster!$C:$C=A179)*(Roster!$F:$F=4)),1))"),"Garcia")</f>
        <v>Garcia</v>
      </c>
      <c r="AC179" s="5" t="str">
        <f>IFERROR(__xludf.DUMMYFUNCTION("IF(A179="""","""",INDEX(FILTER(Roster!$A:$A,(Roster!$C:$C=A179)*(Roster!$F:$F=1)),1))"),"Ana Maria")</f>
        <v>Ana Maria</v>
      </c>
      <c r="AD179" s="5" t="str">
        <f>IFERROR(__xludf.DUMMYFUNCTION("IF(A179="""","""",INDEX(FILTER(Roster!$A:$A,(Roster!$C:$C=A179)*(Roster!$F:$F=2)),1))"),"Schneider")</f>
        <v>Schneider</v>
      </c>
      <c r="AE179" s="5">
        <v>0.0</v>
      </c>
      <c r="AF179" s="5">
        <v>0.0</v>
      </c>
      <c r="AG179" s="5" t="s">
        <v>350</v>
      </c>
      <c r="AH179" s="5">
        <v>0.0</v>
      </c>
      <c r="AI179" s="5">
        <v>-1.0</v>
      </c>
      <c r="AJ179" s="5">
        <v>0.0</v>
      </c>
      <c r="AK179" s="5" t="s">
        <v>350</v>
      </c>
      <c r="AL179" s="5" t="s">
        <v>351</v>
      </c>
      <c r="AM179" s="5">
        <v>-1.0</v>
      </c>
      <c r="AN179" s="5" t="s">
        <v>352</v>
      </c>
      <c r="AO179" s="5">
        <f t="shared" si="1"/>
        <v>0</v>
      </c>
      <c r="AP179" s="5">
        <f t="shared" si="2"/>
        <v>0</v>
      </c>
    </row>
    <row r="180">
      <c r="A180" s="5" t="s">
        <v>36</v>
      </c>
      <c r="B180" s="5">
        <v>8.0</v>
      </c>
      <c r="H180" s="5">
        <v>5.0</v>
      </c>
      <c r="I180" s="5">
        <v>0.0</v>
      </c>
      <c r="J180" s="5">
        <v>5.0</v>
      </c>
      <c r="R180" s="5">
        <v>5.0</v>
      </c>
      <c r="S180" s="5">
        <v>0.0</v>
      </c>
      <c r="T180" s="5">
        <v>5.0</v>
      </c>
      <c r="Y180" s="5" t="s">
        <v>353</v>
      </c>
      <c r="Z180" s="1" t="s">
        <v>379</v>
      </c>
      <c r="AA180" s="5" t="str">
        <f>IFERROR(__xludf.DUMMYFUNCTION("IF(A180="""","""",INDEX(FILTER(Roster!$A:$A,(Roster!$C:$C=A180)*(Roster!$F:$F=3)),1))"),"Pablo Acosta")</f>
        <v>Pablo Acosta</v>
      </c>
      <c r="AB180" s="5" t="str">
        <f>IFERROR(__xludf.DUMMYFUNCTION("IF(A180="""","""",INDEX(FILTER(Roster!$A:$A,(Roster!$C:$C=A180)*(Roster!$F:$F=4)),1))"),"Garcia")</f>
        <v>Garcia</v>
      </c>
      <c r="AC180" s="5" t="str">
        <f>IFERROR(__xludf.DUMMYFUNCTION("IF(A180="""","""",INDEX(FILTER(Roster!$A:$A,(Roster!$C:$C=A180)*(Roster!$F:$F=1)),1))"),"Ana Maria")</f>
        <v>Ana Maria</v>
      </c>
      <c r="AD180" s="5" t="str">
        <f>IFERROR(__xludf.DUMMYFUNCTION("IF(A180="""","""",INDEX(FILTER(Roster!$A:$A,(Roster!$C:$C=A180)*(Roster!$F:$F=2)),1))"),"Schneider")</f>
        <v>Schneider</v>
      </c>
      <c r="AE180" s="5">
        <v>0.0</v>
      </c>
      <c r="AF180" s="5">
        <v>0.0</v>
      </c>
      <c r="AG180" s="5" t="s">
        <v>350</v>
      </c>
      <c r="AH180" s="5">
        <v>0.0</v>
      </c>
      <c r="AI180" s="5">
        <v>0.0</v>
      </c>
      <c r="AJ180" s="5">
        <v>0.0</v>
      </c>
      <c r="AK180" s="5" t="s">
        <v>350</v>
      </c>
      <c r="AL180" s="5" t="s">
        <v>351</v>
      </c>
      <c r="AM180" s="5">
        <v>-1.0</v>
      </c>
      <c r="AN180" s="5" t="s">
        <v>352</v>
      </c>
      <c r="AO180" s="5">
        <f t="shared" si="1"/>
        <v>0</v>
      </c>
      <c r="AP180" s="5">
        <f t="shared" si="2"/>
        <v>0</v>
      </c>
    </row>
    <row r="181">
      <c r="A181" s="5" t="s">
        <v>36</v>
      </c>
      <c r="B181" s="5">
        <v>9.0</v>
      </c>
      <c r="H181" s="5">
        <v>4.0</v>
      </c>
      <c r="I181" s="5">
        <v>1.0</v>
      </c>
      <c r="J181" s="5">
        <v>3.0</v>
      </c>
      <c r="R181" s="5">
        <v>4.0</v>
      </c>
      <c r="S181" s="5">
        <v>1.0</v>
      </c>
      <c r="T181" s="5">
        <v>3.0</v>
      </c>
      <c r="Y181" s="5" t="s">
        <v>353</v>
      </c>
      <c r="Z181" s="1" t="s">
        <v>379</v>
      </c>
      <c r="AA181" s="5" t="str">
        <f>IFERROR(__xludf.DUMMYFUNCTION("IF(A181="""","""",INDEX(FILTER(Roster!$A:$A,(Roster!$C:$C=A181)*(Roster!$F:$F=3)),1))"),"Pablo Acosta")</f>
        <v>Pablo Acosta</v>
      </c>
      <c r="AB181" s="5" t="str">
        <f>IFERROR(__xludf.DUMMYFUNCTION("IF(A181="""","""",INDEX(FILTER(Roster!$A:$A,(Roster!$C:$C=A181)*(Roster!$F:$F=4)),1))"),"Garcia")</f>
        <v>Garcia</v>
      </c>
      <c r="AC181" s="5" t="str">
        <f>IFERROR(__xludf.DUMMYFUNCTION("IF(A181="""","""",INDEX(FILTER(Roster!$A:$A,(Roster!$C:$C=A181)*(Roster!$F:$F=1)),1))"),"Ana Maria")</f>
        <v>Ana Maria</v>
      </c>
      <c r="AD181" s="5" t="str">
        <f>IFERROR(__xludf.DUMMYFUNCTION("IF(A181="""","""",INDEX(FILTER(Roster!$A:$A,(Roster!$C:$C=A181)*(Roster!$F:$F=2)),1))"),"Schneider")</f>
        <v>Schneider</v>
      </c>
      <c r="AE181" s="5">
        <v>0.0</v>
      </c>
      <c r="AF181" s="5">
        <v>0.0</v>
      </c>
      <c r="AG181" s="5" t="s">
        <v>350</v>
      </c>
      <c r="AH181" s="5">
        <v>0.0</v>
      </c>
      <c r="AI181" s="5">
        <v>0.0</v>
      </c>
      <c r="AJ181" s="5">
        <v>0.0</v>
      </c>
      <c r="AK181" s="5" t="s">
        <v>350</v>
      </c>
      <c r="AL181" s="5" t="s">
        <v>351</v>
      </c>
      <c r="AM181" s="5">
        <v>-1.0</v>
      </c>
      <c r="AN181" s="5" t="s">
        <v>352</v>
      </c>
      <c r="AO181" s="5">
        <f t="shared" si="1"/>
        <v>0</v>
      </c>
      <c r="AP181" s="5">
        <f t="shared" si="2"/>
        <v>0</v>
      </c>
    </row>
    <row r="182">
      <c r="A182" s="5" t="str">
        <f t="array" ref="A182:A190">Calc_Engine!A102:A110</f>
        <v>Flight_7</v>
      </c>
      <c r="B182" s="5">
        <f t="array" ref="B182:B190">Calc_Engine!B102:B110</f>
        <v>1</v>
      </c>
      <c r="C182" s="5">
        <f t="array" ref="C182:C190">Calc_Engine!C102:C110</f>
        <v>5</v>
      </c>
      <c r="D182" s="5">
        <f t="array" ref="D182:D190">Calc_Engine!D102:D110</f>
        <v>1</v>
      </c>
      <c r="E182" s="5">
        <f t="array" ref="E182:E190">Calc_Engine!E102:E110</f>
        <v>4</v>
      </c>
      <c r="M182" s="5">
        <f t="array" ref="M182:M190">Calc_Engine!M102:M110</f>
        <v>4</v>
      </c>
      <c r="N182" s="5">
        <f t="array" ref="N182:N190">Calc_Engine!N102:N110</f>
        <v>1</v>
      </c>
      <c r="O182" s="5">
        <f t="array" ref="O182:O190">Calc_Engine!O102:O110</f>
        <v>3</v>
      </c>
      <c r="X182" s="5" t="str">
        <f t="array" ref="X182:X190">Calc_Engine!X102:X110</f>
        <v>Blue</v>
      </c>
      <c r="Z182" s="1" t="s">
        <v>380</v>
      </c>
      <c r="AA182" s="5" t="str">
        <f>IFERROR(__xludf.DUMMYFUNCTION("IF(A182="""","""",INDEX(FILTER(Roster!$A:$A,(Roster!$C:$C=A182)*(Roster!$F:$F=3)),1))"),"Velez")</f>
        <v>Velez</v>
      </c>
      <c r="AB182" s="5" t="str">
        <f>IFERROR(__xludf.DUMMYFUNCTION("IF(A182="""","""",INDEX(FILTER(Roster!$A:$A,(Roster!$C:$C=A182)*(Roster!$F:$F=4)),1))"),"JP Mosquera")</f>
        <v>JP Mosquera</v>
      </c>
      <c r="AC182" s="5" t="str">
        <f>IFERROR(__xludf.DUMMYFUNCTION("IF(A182="""","""",INDEX(FILTER(Roster!$A:$A,(Roster!$C:$C=A182)*(Roster!$F:$F=1)),1))"),"Pocho")</f>
        <v>Pocho</v>
      </c>
      <c r="AD182" s="5" t="str">
        <f>IFERROR(__xludf.DUMMYFUNCTION("IF(A182="""","""",INDEX(FILTER(Roster!$A:$A,(Roster!$C:$C=A182)*(Roster!$F:$F=2)),1))"),"Phil")</f>
        <v>Phil</v>
      </c>
      <c r="AE182" s="5">
        <v>0.0</v>
      </c>
      <c r="AF182" s="5">
        <v>0.0</v>
      </c>
      <c r="AG182" s="5" t="s">
        <v>350</v>
      </c>
      <c r="AH182" s="5">
        <v>-1.0</v>
      </c>
      <c r="AI182" s="5">
        <v>0.0</v>
      </c>
      <c r="AJ182" s="5">
        <v>-1.0</v>
      </c>
      <c r="AK182" s="5" t="s">
        <v>352</v>
      </c>
      <c r="AL182" s="5" t="s">
        <v>367</v>
      </c>
      <c r="AM182" s="5">
        <v>0.0</v>
      </c>
      <c r="AN182" s="5" t="s">
        <v>350</v>
      </c>
      <c r="AO182" s="5">
        <f t="shared" si="1"/>
        <v>0</v>
      </c>
      <c r="AP182" s="5">
        <f t="shared" si="2"/>
        <v>0</v>
      </c>
    </row>
    <row r="183">
      <c r="A183" s="5" t="s">
        <v>41</v>
      </c>
      <c r="B183" s="5">
        <v>2.0</v>
      </c>
      <c r="C183" s="5">
        <v>5.0</v>
      </c>
      <c r="D183" s="5">
        <v>1.0</v>
      </c>
      <c r="E183" s="5">
        <v>4.0</v>
      </c>
      <c r="M183" s="5">
        <v>5.0</v>
      </c>
      <c r="N183" s="5">
        <v>0.0</v>
      </c>
      <c r="O183" s="5">
        <v>5.0</v>
      </c>
      <c r="X183" s="5" t="s">
        <v>12</v>
      </c>
      <c r="Z183" s="1" t="s">
        <v>380</v>
      </c>
      <c r="AA183" s="5" t="str">
        <f>IFERROR(__xludf.DUMMYFUNCTION("IF(A183="""","""",INDEX(FILTER(Roster!$A:$A,(Roster!$C:$C=A183)*(Roster!$F:$F=3)),1))"),"Velez")</f>
        <v>Velez</v>
      </c>
      <c r="AB183" s="5" t="str">
        <f>IFERROR(__xludf.DUMMYFUNCTION("IF(A183="""","""",INDEX(FILTER(Roster!$A:$A,(Roster!$C:$C=A183)*(Roster!$F:$F=4)),1))"),"JP Mosquera")</f>
        <v>JP Mosquera</v>
      </c>
      <c r="AC183" s="5" t="str">
        <f>IFERROR(__xludf.DUMMYFUNCTION("IF(A183="""","""",INDEX(FILTER(Roster!$A:$A,(Roster!$C:$C=A183)*(Roster!$F:$F=1)),1))"),"Pocho")</f>
        <v>Pocho</v>
      </c>
      <c r="AD183" s="5" t="str">
        <f>IFERROR(__xludf.DUMMYFUNCTION("IF(A183="""","""",INDEX(FILTER(Roster!$A:$A,(Roster!$C:$C=A183)*(Roster!$F:$F=2)),1))"),"Phil")</f>
        <v>Phil</v>
      </c>
      <c r="AE183" s="5">
        <v>0.0</v>
      </c>
      <c r="AF183" s="5">
        <v>0.0</v>
      </c>
      <c r="AG183" s="5" t="s">
        <v>350</v>
      </c>
      <c r="AH183" s="5">
        <v>1.0</v>
      </c>
      <c r="AI183" s="5">
        <v>0.0</v>
      </c>
      <c r="AJ183" s="5">
        <v>0.0</v>
      </c>
      <c r="AK183" s="5" t="s">
        <v>350</v>
      </c>
      <c r="AL183" s="5" t="s">
        <v>351</v>
      </c>
      <c r="AM183" s="5">
        <v>0.0</v>
      </c>
      <c r="AN183" s="5" t="s">
        <v>350</v>
      </c>
      <c r="AO183" s="5">
        <f t="shared" si="1"/>
        <v>0</v>
      </c>
      <c r="AP183" s="5">
        <f t="shared" si="2"/>
        <v>0</v>
      </c>
    </row>
    <row r="184">
      <c r="A184" s="5" t="s">
        <v>41</v>
      </c>
      <c r="B184" s="5">
        <v>3.0</v>
      </c>
      <c r="C184" s="5">
        <v>6.0</v>
      </c>
      <c r="D184" s="5">
        <v>0.0</v>
      </c>
      <c r="E184" s="5">
        <v>6.0</v>
      </c>
      <c r="M184" s="5">
        <v>3.0</v>
      </c>
      <c r="N184" s="5">
        <v>0.0</v>
      </c>
      <c r="O184" s="5">
        <v>3.0</v>
      </c>
      <c r="X184" s="5" t="s">
        <v>7</v>
      </c>
      <c r="Z184" s="1" t="s">
        <v>380</v>
      </c>
      <c r="AA184" s="5" t="str">
        <f>IFERROR(__xludf.DUMMYFUNCTION("IF(A184="""","""",INDEX(FILTER(Roster!$A:$A,(Roster!$C:$C=A184)*(Roster!$F:$F=3)),1))"),"Velez")</f>
        <v>Velez</v>
      </c>
      <c r="AB184" s="5" t="str">
        <f>IFERROR(__xludf.DUMMYFUNCTION("IF(A184="""","""",INDEX(FILTER(Roster!$A:$A,(Roster!$C:$C=A184)*(Roster!$F:$F=4)),1))"),"JP Mosquera")</f>
        <v>JP Mosquera</v>
      </c>
      <c r="AC184" s="5" t="str">
        <f>IFERROR(__xludf.DUMMYFUNCTION("IF(A184="""","""",INDEX(FILTER(Roster!$A:$A,(Roster!$C:$C=A184)*(Roster!$F:$F=1)),1))"),"Pocho")</f>
        <v>Pocho</v>
      </c>
      <c r="AD184" s="5" t="str">
        <f>IFERROR(__xludf.DUMMYFUNCTION("IF(A184="""","""",INDEX(FILTER(Roster!$A:$A,(Roster!$C:$C=A184)*(Roster!$F:$F=2)),1))"),"Phil")</f>
        <v>Phil</v>
      </c>
      <c r="AE184" s="5">
        <v>0.0</v>
      </c>
      <c r="AF184" s="5">
        <v>0.0</v>
      </c>
      <c r="AG184" s="5" t="s">
        <v>350</v>
      </c>
      <c r="AH184" s="5">
        <v>-1.0</v>
      </c>
      <c r="AI184" s="5">
        <v>0.0</v>
      </c>
      <c r="AJ184" s="5">
        <v>-1.0</v>
      </c>
      <c r="AK184" s="5" t="s">
        <v>352</v>
      </c>
      <c r="AL184" s="5" t="s">
        <v>367</v>
      </c>
      <c r="AM184" s="5">
        <v>0.0</v>
      </c>
      <c r="AN184" s="5" t="s">
        <v>350</v>
      </c>
      <c r="AO184" s="5">
        <f t="shared" si="1"/>
        <v>0</v>
      </c>
      <c r="AP184" s="5">
        <f t="shared" si="2"/>
        <v>0</v>
      </c>
    </row>
    <row r="185">
      <c r="A185" s="5" t="s">
        <v>41</v>
      </c>
      <c r="B185" s="5">
        <v>4.0</v>
      </c>
      <c r="C185" s="5">
        <v>5.0</v>
      </c>
      <c r="D185" s="5">
        <v>0.0</v>
      </c>
      <c r="E185" s="5">
        <v>5.0</v>
      </c>
      <c r="M185" s="5">
        <v>4.0</v>
      </c>
      <c r="N185" s="5">
        <v>0.0</v>
      </c>
      <c r="O185" s="5">
        <v>4.0</v>
      </c>
      <c r="X185" s="5" t="s">
        <v>7</v>
      </c>
      <c r="Z185" s="1" t="s">
        <v>380</v>
      </c>
      <c r="AA185" s="5" t="str">
        <f>IFERROR(__xludf.DUMMYFUNCTION("IF(A185="""","""",INDEX(FILTER(Roster!$A:$A,(Roster!$C:$C=A185)*(Roster!$F:$F=3)),1))"),"Velez")</f>
        <v>Velez</v>
      </c>
      <c r="AB185" s="5" t="str">
        <f>IFERROR(__xludf.DUMMYFUNCTION("IF(A185="""","""",INDEX(FILTER(Roster!$A:$A,(Roster!$C:$C=A185)*(Roster!$F:$F=4)),1))"),"JP Mosquera")</f>
        <v>JP Mosquera</v>
      </c>
      <c r="AC185" s="5" t="str">
        <f>IFERROR(__xludf.DUMMYFUNCTION("IF(A185="""","""",INDEX(FILTER(Roster!$A:$A,(Roster!$C:$C=A185)*(Roster!$F:$F=1)),1))"),"Pocho")</f>
        <v>Pocho</v>
      </c>
      <c r="AD185" s="5" t="str">
        <f>IFERROR(__xludf.DUMMYFUNCTION("IF(A185="""","""",INDEX(FILTER(Roster!$A:$A,(Roster!$C:$C=A185)*(Roster!$F:$F=2)),1))"),"Phil")</f>
        <v>Phil</v>
      </c>
      <c r="AE185" s="5">
        <v>0.0</v>
      </c>
      <c r="AF185" s="5">
        <v>0.0</v>
      </c>
      <c r="AG185" s="5" t="s">
        <v>350</v>
      </c>
      <c r="AH185" s="5">
        <v>-1.0</v>
      </c>
      <c r="AI185" s="5">
        <v>0.0</v>
      </c>
      <c r="AJ185" s="5">
        <v>-2.0</v>
      </c>
      <c r="AK185" s="5" t="s">
        <v>354</v>
      </c>
      <c r="AL185" s="5" t="s">
        <v>367</v>
      </c>
      <c r="AM185" s="5">
        <v>0.0</v>
      </c>
      <c r="AN185" s="5" t="s">
        <v>350</v>
      </c>
      <c r="AO185" s="5">
        <f t="shared" si="1"/>
        <v>0</v>
      </c>
      <c r="AP185" s="5">
        <f t="shared" si="2"/>
        <v>0</v>
      </c>
    </row>
    <row r="186">
      <c r="A186" s="5" t="s">
        <v>41</v>
      </c>
      <c r="B186" s="5">
        <v>5.0</v>
      </c>
      <c r="C186" s="5">
        <v>4.0</v>
      </c>
      <c r="D186" s="5">
        <v>1.0</v>
      </c>
      <c r="E186" s="5">
        <v>3.0</v>
      </c>
      <c r="M186" s="5">
        <v>4.0</v>
      </c>
      <c r="N186" s="5">
        <v>0.0</v>
      </c>
      <c r="O186" s="5">
        <v>4.0</v>
      </c>
      <c r="X186" s="5" t="s">
        <v>12</v>
      </c>
      <c r="Z186" s="1" t="s">
        <v>380</v>
      </c>
      <c r="AA186" s="5" t="str">
        <f>IFERROR(__xludf.DUMMYFUNCTION("IF(A186="""","""",INDEX(FILTER(Roster!$A:$A,(Roster!$C:$C=A186)*(Roster!$F:$F=3)),1))"),"Velez")</f>
        <v>Velez</v>
      </c>
      <c r="AB186" s="5" t="str">
        <f>IFERROR(__xludf.DUMMYFUNCTION("IF(A186="""","""",INDEX(FILTER(Roster!$A:$A,(Roster!$C:$C=A186)*(Roster!$F:$F=4)),1))"),"JP Mosquera")</f>
        <v>JP Mosquera</v>
      </c>
      <c r="AC186" s="5" t="str">
        <f>IFERROR(__xludf.DUMMYFUNCTION("IF(A186="""","""",INDEX(FILTER(Roster!$A:$A,(Roster!$C:$C=A186)*(Roster!$F:$F=1)),1))"),"Pocho")</f>
        <v>Pocho</v>
      </c>
      <c r="AD186" s="5" t="str">
        <f>IFERROR(__xludf.DUMMYFUNCTION("IF(A186="""","""",INDEX(FILTER(Roster!$A:$A,(Roster!$C:$C=A186)*(Roster!$F:$F=2)),1))"),"Phil")</f>
        <v>Phil</v>
      </c>
      <c r="AE186" s="5">
        <v>0.0</v>
      </c>
      <c r="AF186" s="5">
        <v>0.0</v>
      </c>
      <c r="AG186" s="5" t="s">
        <v>350</v>
      </c>
      <c r="AH186" s="5">
        <v>1.0</v>
      </c>
      <c r="AI186" s="5">
        <v>0.0</v>
      </c>
      <c r="AJ186" s="5">
        <v>-1.0</v>
      </c>
      <c r="AK186" s="5" t="s">
        <v>352</v>
      </c>
      <c r="AL186" s="5" t="s">
        <v>367</v>
      </c>
      <c r="AM186" s="5">
        <v>0.0</v>
      </c>
      <c r="AN186" s="5" t="s">
        <v>350</v>
      </c>
      <c r="AO186" s="5">
        <f t="shared" si="1"/>
        <v>0</v>
      </c>
      <c r="AP186" s="5">
        <f t="shared" si="2"/>
        <v>0</v>
      </c>
    </row>
    <row r="187">
      <c r="A187" s="5" t="s">
        <v>41</v>
      </c>
      <c r="B187" s="5">
        <v>6.0</v>
      </c>
      <c r="C187" s="5">
        <v>4.0</v>
      </c>
      <c r="D187" s="5">
        <v>1.0</v>
      </c>
      <c r="E187" s="5">
        <v>3.0</v>
      </c>
      <c r="M187" s="5">
        <v>4.0</v>
      </c>
      <c r="N187" s="5">
        <v>1.0</v>
      </c>
      <c r="O187" s="5">
        <v>3.0</v>
      </c>
      <c r="X187" s="5" t="s">
        <v>353</v>
      </c>
      <c r="Z187" s="1" t="s">
        <v>380</v>
      </c>
      <c r="AA187" s="5" t="str">
        <f>IFERROR(__xludf.DUMMYFUNCTION("IF(A187="""","""",INDEX(FILTER(Roster!$A:$A,(Roster!$C:$C=A187)*(Roster!$F:$F=3)),1))"),"Velez")</f>
        <v>Velez</v>
      </c>
      <c r="AB187" s="5" t="str">
        <f>IFERROR(__xludf.DUMMYFUNCTION("IF(A187="""","""",INDEX(FILTER(Roster!$A:$A,(Roster!$C:$C=A187)*(Roster!$F:$F=4)),1))"),"JP Mosquera")</f>
        <v>JP Mosquera</v>
      </c>
      <c r="AC187" s="5" t="str">
        <f>IFERROR(__xludf.DUMMYFUNCTION("IF(A187="""","""",INDEX(FILTER(Roster!$A:$A,(Roster!$C:$C=A187)*(Roster!$F:$F=1)),1))"),"Pocho")</f>
        <v>Pocho</v>
      </c>
      <c r="AD187" s="5" t="str">
        <f>IFERROR(__xludf.DUMMYFUNCTION("IF(A187="""","""",INDEX(FILTER(Roster!$A:$A,(Roster!$C:$C=A187)*(Roster!$F:$F=2)),1))"),"Phil")</f>
        <v>Phil</v>
      </c>
      <c r="AE187" s="5">
        <v>0.0</v>
      </c>
      <c r="AF187" s="5">
        <v>0.0</v>
      </c>
      <c r="AG187" s="5" t="s">
        <v>350</v>
      </c>
      <c r="AH187" s="5">
        <v>0.0</v>
      </c>
      <c r="AI187" s="5">
        <v>0.0</v>
      </c>
      <c r="AJ187" s="5">
        <v>-1.0</v>
      </c>
      <c r="AK187" s="5" t="s">
        <v>352</v>
      </c>
      <c r="AL187" s="5" t="s">
        <v>367</v>
      </c>
      <c r="AM187" s="5">
        <v>0.0</v>
      </c>
      <c r="AN187" s="5" t="s">
        <v>350</v>
      </c>
      <c r="AO187" s="5">
        <f t="shared" si="1"/>
        <v>0</v>
      </c>
      <c r="AP187" s="5">
        <f t="shared" si="2"/>
        <v>0</v>
      </c>
    </row>
    <row r="188">
      <c r="A188" s="5" t="s">
        <v>41</v>
      </c>
      <c r="B188" s="5">
        <v>7.0</v>
      </c>
      <c r="C188" s="5">
        <v>4.0</v>
      </c>
      <c r="D188" s="5">
        <v>1.0</v>
      </c>
      <c r="E188" s="5">
        <v>3.0</v>
      </c>
      <c r="M188" s="5">
        <v>3.0</v>
      </c>
      <c r="N188" s="5">
        <v>0.0</v>
      </c>
      <c r="O188" s="5">
        <v>3.0</v>
      </c>
      <c r="X188" s="5" t="s">
        <v>353</v>
      </c>
      <c r="Z188" s="1" t="s">
        <v>380</v>
      </c>
      <c r="AA188" s="5" t="str">
        <f>IFERROR(__xludf.DUMMYFUNCTION("IF(A188="""","""",INDEX(FILTER(Roster!$A:$A,(Roster!$C:$C=A188)*(Roster!$F:$F=3)),1))"),"Velez")</f>
        <v>Velez</v>
      </c>
      <c r="AB188" s="5" t="str">
        <f>IFERROR(__xludf.DUMMYFUNCTION("IF(A188="""","""",INDEX(FILTER(Roster!$A:$A,(Roster!$C:$C=A188)*(Roster!$F:$F=4)),1))"),"JP Mosquera")</f>
        <v>JP Mosquera</v>
      </c>
      <c r="AC188" s="5" t="str">
        <f>IFERROR(__xludf.DUMMYFUNCTION("IF(A188="""","""",INDEX(FILTER(Roster!$A:$A,(Roster!$C:$C=A188)*(Roster!$F:$F=1)),1))"),"Pocho")</f>
        <v>Pocho</v>
      </c>
      <c r="AD188" s="5" t="str">
        <f>IFERROR(__xludf.DUMMYFUNCTION("IF(A188="""","""",INDEX(FILTER(Roster!$A:$A,(Roster!$C:$C=A188)*(Roster!$F:$F=2)),1))"),"Phil")</f>
        <v>Phil</v>
      </c>
      <c r="AE188" s="5">
        <v>0.0</v>
      </c>
      <c r="AF188" s="5">
        <v>0.0</v>
      </c>
      <c r="AG188" s="5" t="s">
        <v>350</v>
      </c>
      <c r="AH188" s="5">
        <v>0.0</v>
      </c>
      <c r="AI188" s="5">
        <v>0.0</v>
      </c>
      <c r="AJ188" s="5">
        <v>-1.0</v>
      </c>
      <c r="AK188" s="5" t="s">
        <v>352</v>
      </c>
      <c r="AL188" s="5" t="s">
        <v>367</v>
      </c>
      <c r="AM188" s="5">
        <v>0.0</v>
      </c>
      <c r="AN188" s="5" t="s">
        <v>350</v>
      </c>
      <c r="AO188" s="5">
        <f t="shared" si="1"/>
        <v>0</v>
      </c>
      <c r="AP188" s="5">
        <f t="shared" si="2"/>
        <v>0</v>
      </c>
    </row>
    <row r="189">
      <c r="A189" s="5" t="s">
        <v>41</v>
      </c>
      <c r="B189" s="5">
        <v>8.0</v>
      </c>
      <c r="C189" s="5">
        <v>6.0</v>
      </c>
      <c r="D189" s="5">
        <v>1.0</v>
      </c>
      <c r="E189" s="5">
        <v>5.0</v>
      </c>
      <c r="M189" s="5">
        <v>5.0</v>
      </c>
      <c r="N189" s="5">
        <v>0.0</v>
      </c>
      <c r="O189" s="5">
        <v>5.0</v>
      </c>
      <c r="X189" s="5" t="s">
        <v>353</v>
      </c>
      <c r="Z189" s="1" t="s">
        <v>380</v>
      </c>
      <c r="AA189" s="5" t="str">
        <f>IFERROR(__xludf.DUMMYFUNCTION("IF(A189="""","""",INDEX(FILTER(Roster!$A:$A,(Roster!$C:$C=A189)*(Roster!$F:$F=3)),1))"),"Velez")</f>
        <v>Velez</v>
      </c>
      <c r="AB189" s="5" t="str">
        <f>IFERROR(__xludf.DUMMYFUNCTION("IF(A189="""","""",INDEX(FILTER(Roster!$A:$A,(Roster!$C:$C=A189)*(Roster!$F:$F=4)),1))"),"JP Mosquera")</f>
        <v>JP Mosquera</v>
      </c>
      <c r="AC189" s="5" t="str">
        <f>IFERROR(__xludf.DUMMYFUNCTION("IF(A189="""","""",INDEX(FILTER(Roster!$A:$A,(Roster!$C:$C=A189)*(Roster!$F:$F=1)),1))"),"Pocho")</f>
        <v>Pocho</v>
      </c>
      <c r="AD189" s="5" t="str">
        <f>IFERROR(__xludf.DUMMYFUNCTION("IF(A189="""","""",INDEX(FILTER(Roster!$A:$A,(Roster!$C:$C=A189)*(Roster!$F:$F=2)),1))"),"Phil")</f>
        <v>Phil</v>
      </c>
      <c r="AE189" s="5">
        <v>0.0</v>
      </c>
      <c r="AF189" s="5">
        <v>0.0</v>
      </c>
      <c r="AG189" s="5" t="s">
        <v>350</v>
      </c>
      <c r="AH189" s="5">
        <v>0.0</v>
      </c>
      <c r="AI189" s="5">
        <v>0.0</v>
      </c>
      <c r="AJ189" s="5">
        <v>-1.0</v>
      </c>
      <c r="AK189" s="5" t="s">
        <v>352</v>
      </c>
      <c r="AL189" s="5" t="s">
        <v>367</v>
      </c>
      <c r="AM189" s="5">
        <v>0.0</v>
      </c>
      <c r="AN189" s="5" t="s">
        <v>350</v>
      </c>
      <c r="AO189" s="5">
        <f t="shared" si="1"/>
        <v>0</v>
      </c>
      <c r="AP189" s="5">
        <f t="shared" si="2"/>
        <v>0</v>
      </c>
    </row>
    <row r="190">
      <c r="A190" s="5" t="s">
        <v>41</v>
      </c>
      <c r="B190" s="5">
        <v>9.0</v>
      </c>
      <c r="C190" s="5">
        <v>5.0</v>
      </c>
      <c r="D190" s="5">
        <v>1.0</v>
      </c>
      <c r="E190" s="5">
        <v>4.0</v>
      </c>
      <c r="M190" s="5">
        <v>6.0</v>
      </c>
      <c r="N190" s="5">
        <v>1.0</v>
      </c>
      <c r="O190" s="5">
        <v>5.0</v>
      </c>
      <c r="X190" s="5" t="s">
        <v>12</v>
      </c>
      <c r="Z190" s="1" t="s">
        <v>380</v>
      </c>
      <c r="AA190" s="5" t="str">
        <f>IFERROR(__xludf.DUMMYFUNCTION("IF(A190="""","""",INDEX(FILTER(Roster!$A:$A,(Roster!$C:$C=A190)*(Roster!$F:$F=3)),1))"),"Velez")</f>
        <v>Velez</v>
      </c>
      <c r="AB190" s="5" t="str">
        <f>IFERROR(__xludf.DUMMYFUNCTION("IF(A190="""","""",INDEX(FILTER(Roster!$A:$A,(Roster!$C:$C=A190)*(Roster!$F:$F=4)),1))"),"JP Mosquera")</f>
        <v>JP Mosquera</v>
      </c>
      <c r="AC190" s="5" t="str">
        <f>IFERROR(__xludf.DUMMYFUNCTION("IF(A190="""","""",INDEX(FILTER(Roster!$A:$A,(Roster!$C:$C=A190)*(Roster!$F:$F=1)),1))"),"Pocho")</f>
        <v>Pocho</v>
      </c>
      <c r="AD190" s="5" t="str">
        <f>IFERROR(__xludf.DUMMYFUNCTION("IF(A190="""","""",INDEX(FILTER(Roster!$A:$A,(Roster!$C:$C=A190)*(Roster!$F:$F=2)),1))"),"Phil")</f>
        <v>Phil</v>
      </c>
      <c r="AE190" s="5">
        <v>0.0</v>
      </c>
      <c r="AF190" s="5">
        <v>0.0</v>
      </c>
      <c r="AG190" s="5" t="s">
        <v>350</v>
      </c>
      <c r="AH190" s="5">
        <v>1.0</v>
      </c>
      <c r="AI190" s="5">
        <v>0.0</v>
      </c>
      <c r="AJ190" s="5">
        <v>0.0</v>
      </c>
      <c r="AK190" s="5" t="s">
        <v>350</v>
      </c>
      <c r="AL190" s="5" t="s">
        <v>351</v>
      </c>
      <c r="AM190" s="5">
        <v>0.0</v>
      </c>
      <c r="AN190" s="5" t="s">
        <v>350</v>
      </c>
      <c r="AO190" s="5">
        <f t="shared" si="1"/>
        <v>0</v>
      </c>
      <c r="AP190" s="5">
        <f t="shared" si="2"/>
        <v>0</v>
      </c>
    </row>
    <row r="191">
      <c r="A191" s="5" t="str">
        <f t="array" ref="A191:A199">Calc_Engine!A102:A110</f>
        <v>Flight_7</v>
      </c>
      <c r="B191" s="5">
        <f t="array" ref="B191:B199">Calc_Engine!B102:B110</f>
        <v>1</v>
      </c>
      <c r="H191" s="5">
        <f t="array" ref="H191:H199">Calc_Engine!H102:H110</f>
        <v>5</v>
      </c>
      <c r="I191" s="5">
        <f t="array" ref="I191:I199">Calc_Engine!I102:I110</f>
        <v>1</v>
      </c>
      <c r="J191" s="5">
        <f t="array" ref="J191:J199">Calc_Engine!J102:J110</f>
        <v>4</v>
      </c>
      <c r="R191" s="5">
        <f t="array" ref="R191:R199">Calc_Engine!R102:R110</f>
        <v>5</v>
      </c>
      <c r="S191" s="5">
        <f t="array" ref="S191:S199">Calc_Engine!S102:S110</f>
        <v>1</v>
      </c>
      <c r="T191" s="5">
        <f t="array" ref="T191:T199">Calc_Engine!T102:T110</f>
        <v>4</v>
      </c>
      <c r="Y191" s="5" t="str">
        <f t="array" ref="Y191:Y199">Calc_Engine!Y102:Y110</f>
        <v>Tie</v>
      </c>
      <c r="Z191" s="1" t="s">
        <v>381</v>
      </c>
      <c r="AA191" s="5" t="str">
        <f>IFERROR(__xludf.DUMMYFUNCTION("IF(A191="""","""",INDEX(FILTER(Roster!$A:$A,(Roster!$C:$C=A191)*(Roster!$F:$F=3)),1))"),"Velez")</f>
        <v>Velez</v>
      </c>
      <c r="AB191" s="5" t="str">
        <f>IFERROR(__xludf.DUMMYFUNCTION("IF(A191="""","""",INDEX(FILTER(Roster!$A:$A,(Roster!$C:$C=A191)*(Roster!$F:$F=4)),1))"),"JP Mosquera")</f>
        <v>JP Mosquera</v>
      </c>
      <c r="AC191" s="5" t="str">
        <f>IFERROR(__xludf.DUMMYFUNCTION("IF(A191="""","""",INDEX(FILTER(Roster!$A:$A,(Roster!$C:$C=A191)*(Roster!$F:$F=1)),1))"),"Pocho")</f>
        <v>Pocho</v>
      </c>
      <c r="AD191" s="5" t="str">
        <f>IFERROR(__xludf.DUMMYFUNCTION("IF(A191="""","""",INDEX(FILTER(Roster!$A:$A,(Roster!$C:$C=A191)*(Roster!$F:$F=2)),1))"),"Phil")</f>
        <v>Phil</v>
      </c>
      <c r="AE191" s="5">
        <v>0.0</v>
      </c>
      <c r="AF191" s="5">
        <v>0.0</v>
      </c>
      <c r="AG191" s="5" t="s">
        <v>350</v>
      </c>
      <c r="AH191" s="5">
        <v>0.0</v>
      </c>
      <c r="AI191" s="5">
        <v>0.0</v>
      </c>
      <c r="AJ191" s="5">
        <v>0.0</v>
      </c>
      <c r="AK191" s="5" t="s">
        <v>350</v>
      </c>
      <c r="AL191" s="5" t="s">
        <v>351</v>
      </c>
      <c r="AM191" s="5">
        <v>0.0</v>
      </c>
      <c r="AN191" s="5" t="s">
        <v>350</v>
      </c>
      <c r="AO191" s="5">
        <f t="shared" si="1"/>
        <v>0</v>
      </c>
      <c r="AP191" s="5">
        <f t="shared" si="2"/>
        <v>0</v>
      </c>
    </row>
    <row r="192">
      <c r="A192" s="5" t="s">
        <v>41</v>
      </c>
      <c r="B192" s="5">
        <v>2.0</v>
      </c>
      <c r="H192" s="5">
        <v>5.0</v>
      </c>
      <c r="I192" s="5">
        <v>1.0</v>
      </c>
      <c r="J192" s="5">
        <v>4.0</v>
      </c>
      <c r="R192" s="5">
        <v>5.0</v>
      </c>
      <c r="S192" s="5">
        <v>0.0</v>
      </c>
      <c r="T192" s="5">
        <v>5.0</v>
      </c>
      <c r="Y192" s="5" t="s">
        <v>12</v>
      </c>
      <c r="Z192" s="1" t="s">
        <v>381</v>
      </c>
      <c r="AA192" s="5" t="str">
        <f>IFERROR(__xludf.DUMMYFUNCTION("IF(A192="""","""",INDEX(FILTER(Roster!$A:$A,(Roster!$C:$C=A192)*(Roster!$F:$F=3)),1))"),"Velez")</f>
        <v>Velez</v>
      </c>
      <c r="AB192" s="5" t="str">
        <f>IFERROR(__xludf.DUMMYFUNCTION("IF(A192="""","""",INDEX(FILTER(Roster!$A:$A,(Roster!$C:$C=A192)*(Roster!$F:$F=4)),1))"),"JP Mosquera")</f>
        <v>JP Mosquera</v>
      </c>
      <c r="AC192" s="5" t="str">
        <f>IFERROR(__xludf.DUMMYFUNCTION("IF(A192="""","""",INDEX(FILTER(Roster!$A:$A,(Roster!$C:$C=A192)*(Roster!$F:$F=1)),1))"),"Pocho")</f>
        <v>Pocho</v>
      </c>
      <c r="AD192" s="5" t="str">
        <f>IFERROR(__xludf.DUMMYFUNCTION("IF(A192="""","""",INDEX(FILTER(Roster!$A:$A,(Roster!$C:$C=A192)*(Roster!$F:$F=2)),1))"),"Phil")</f>
        <v>Phil</v>
      </c>
      <c r="AE192" s="5">
        <v>0.0</v>
      </c>
      <c r="AF192" s="5">
        <v>0.0</v>
      </c>
      <c r="AG192" s="5" t="s">
        <v>350</v>
      </c>
      <c r="AH192" s="5">
        <v>0.0</v>
      </c>
      <c r="AI192" s="5">
        <v>1.0</v>
      </c>
      <c r="AJ192" s="5">
        <v>0.0</v>
      </c>
      <c r="AK192" s="5" t="s">
        <v>350</v>
      </c>
      <c r="AL192" s="5" t="s">
        <v>351</v>
      </c>
      <c r="AM192" s="5">
        <v>1.0</v>
      </c>
      <c r="AN192" s="5" t="s">
        <v>352</v>
      </c>
      <c r="AO192" s="5">
        <f t="shared" si="1"/>
        <v>0</v>
      </c>
      <c r="AP192" s="5">
        <f t="shared" si="2"/>
        <v>0</v>
      </c>
    </row>
    <row r="193">
      <c r="A193" s="5" t="s">
        <v>41</v>
      </c>
      <c r="B193" s="5">
        <v>3.0</v>
      </c>
      <c r="H193" s="5">
        <v>4.0</v>
      </c>
      <c r="I193" s="5">
        <v>0.0</v>
      </c>
      <c r="J193" s="5">
        <v>4.0</v>
      </c>
      <c r="R193" s="5">
        <v>5.0</v>
      </c>
      <c r="S193" s="5">
        <v>0.0</v>
      </c>
      <c r="T193" s="5">
        <v>5.0</v>
      </c>
      <c r="Y193" s="5" t="s">
        <v>12</v>
      </c>
      <c r="Z193" s="1" t="s">
        <v>381</v>
      </c>
      <c r="AA193" s="5" t="str">
        <f>IFERROR(__xludf.DUMMYFUNCTION("IF(A193="""","""",INDEX(FILTER(Roster!$A:$A,(Roster!$C:$C=A193)*(Roster!$F:$F=3)),1))"),"Velez")</f>
        <v>Velez</v>
      </c>
      <c r="AB193" s="5" t="str">
        <f>IFERROR(__xludf.DUMMYFUNCTION("IF(A193="""","""",INDEX(FILTER(Roster!$A:$A,(Roster!$C:$C=A193)*(Roster!$F:$F=4)),1))"),"JP Mosquera")</f>
        <v>JP Mosquera</v>
      </c>
      <c r="AC193" s="5" t="str">
        <f>IFERROR(__xludf.DUMMYFUNCTION("IF(A193="""","""",INDEX(FILTER(Roster!$A:$A,(Roster!$C:$C=A193)*(Roster!$F:$F=1)),1))"),"Pocho")</f>
        <v>Pocho</v>
      </c>
      <c r="AD193" s="5" t="str">
        <f>IFERROR(__xludf.DUMMYFUNCTION("IF(A193="""","""",INDEX(FILTER(Roster!$A:$A,(Roster!$C:$C=A193)*(Roster!$F:$F=2)),1))"),"Phil")</f>
        <v>Phil</v>
      </c>
      <c r="AE193" s="5">
        <v>0.0</v>
      </c>
      <c r="AF193" s="5">
        <v>0.0</v>
      </c>
      <c r="AG193" s="5" t="s">
        <v>350</v>
      </c>
      <c r="AH193" s="5">
        <v>0.0</v>
      </c>
      <c r="AI193" s="5">
        <v>1.0</v>
      </c>
      <c r="AJ193" s="5">
        <v>0.0</v>
      </c>
      <c r="AK193" s="5" t="s">
        <v>350</v>
      </c>
      <c r="AL193" s="5" t="s">
        <v>351</v>
      </c>
      <c r="AM193" s="5">
        <v>2.0</v>
      </c>
      <c r="AN193" s="5" t="s">
        <v>354</v>
      </c>
      <c r="AO193" s="5">
        <f t="shared" si="1"/>
        <v>0</v>
      </c>
      <c r="AP193" s="5">
        <f t="shared" si="2"/>
        <v>0</v>
      </c>
    </row>
    <row r="194">
      <c r="A194" s="5" t="s">
        <v>41</v>
      </c>
      <c r="B194" s="5">
        <v>4.0</v>
      </c>
      <c r="H194" s="5">
        <v>5.0</v>
      </c>
      <c r="I194" s="5">
        <v>0.0</v>
      </c>
      <c r="J194" s="5">
        <v>5.0</v>
      </c>
      <c r="R194" s="5">
        <v>4.0</v>
      </c>
      <c r="S194" s="5">
        <v>0.0</v>
      </c>
      <c r="T194" s="5">
        <v>4.0</v>
      </c>
      <c r="Y194" s="5" t="s">
        <v>7</v>
      </c>
      <c r="Z194" s="1" t="s">
        <v>381</v>
      </c>
      <c r="AA194" s="5" t="str">
        <f>IFERROR(__xludf.DUMMYFUNCTION("IF(A194="""","""",INDEX(FILTER(Roster!$A:$A,(Roster!$C:$C=A194)*(Roster!$F:$F=3)),1))"),"Velez")</f>
        <v>Velez</v>
      </c>
      <c r="AB194" s="5" t="str">
        <f>IFERROR(__xludf.DUMMYFUNCTION("IF(A194="""","""",INDEX(FILTER(Roster!$A:$A,(Roster!$C:$C=A194)*(Roster!$F:$F=4)),1))"),"JP Mosquera")</f>
        <v>JP Mosquera</v>
      </c>
      <c r="AC194" s="5" t="str">
        <f>IFERROR(__xludf.DUMMYFUNCTION("IF(A194="""","""",INDEX(FILTER(Roster!$A:$A,(Roster!$C:$C=A194)*(Roster!$F:$F=1)),1))"),"Pocho")</f>
        <v>Pocho</v>
      </c>
      <c r="AD194" s="5" t="str">
        <f>IFERROR(__xludf.DUMMYFUNCTION("IF(A194="""","""",INDEX(FILTER(Roster!$A:$A,(Roster!$C:$C=A194)*(Roster!$F:$F=2)),1))"),"Phil")</f>
        <v>Phil</v>
      </c>
      <c r="AE194" s="5">
        <v>0.0</v>
      </c>
      <c r="AF194" s="5">
        <v>0.0</v>
      </c>
      <c r="AG194" s="5" t="s">
        <v>350</v>
      </c>
      <c r="AH194" s="5">
        <v>0.0</v>
      </c>
      <c r="AI194" s="5">
        <v>-1.0</v>
      </c>
      <c r="AJ194" s="5">
        <v>0.0</v>
      </c>
      <c r="AK194" s="5" t="s">
        <v>350</v>
      </c>
      <c r="AL194" s="5" t="s">
        <v>351</v>
      </c>
      <c r="AM194" s="5">
        <v>1.0</v>
      </c>
      <c r="AN194" s="5" t="s">
        <v>352</v>
      </c>
      <c r="AO194" s="5">
        <f t="shared" si="1"/>
        <v>0</v>
      </c>
      <c r="AP194" s="5">
        <f t="shared" si="2"/>
        <v>0</v>
      </c>
    </row>
    <row r="195">
      <c r="A195" s="5" t="s">
        <v>41</v>
      </c>
      <c r="B195" s="5">
        <v>5.0</v>
      </c>
      <c r="H195" s="5">
        <v>3.0</v>
      </c>
      <c r="I195" s="5">
        <v>1.0</v>
      </c>
      <c r="J195" s="5">
        <v>2.0</v>
      </c>
      <c r="R195" s="5">
        <v>4.0</v>
      </c>
      <c r="S195" s="5">
        <v>1.0</v>
      </c>
      <c r="T195" s="5">
        <v>3.0</v>
      </c>
      <c r="Y195" s="5" t="s">
        <v>12</v>
      </c>
      <c r="Z195" s="1" t="s">
        <v>381</v>
      </c>
      <c r="AA195" s="5" t="str">
        <f>IFERROR(__xludf.DUMMYFUNCTION("IF(A195="""","""",INDEX(FILTER(Roster!$A:$A,(Roster!$C:$C=A195)*(Roster!$F:$F=3)),1))"),"Velez")</f>
        <v>Velez</v>
      </c>
      <c r="AB195" s="5" t="str">
        <f>IFERROR(__xludf.DUMMYFUNCTION("IF(A195="""","""",INDEX(FILTER(Roster!$A:$A,(Roster!$C:$C=A195)*(Roster!$F:$F=4)),1))"),"JP Mosquera")</f>
        <v>JP Mosquera</v>
      </c>
      <c r="AC195" s="5" t="str">
        <f>IFERROR(__xludf.DUMMYFUNCTION("IF(A195="""","""",INDEX(FILTER(Roster!$A:$A,(Roster!$C:$C=A195)*(Roster!$F:$F=1)),1))"),"Pocho")</f>
        <v>Pocho</v>
      </c>
      <c r="AD195" s="5" t="str">
        <f>IFERROR(__xludf.DUMMYFUNCTION("IF(A195="""","""",INDEX(FILTER(Roster!$A:$A,(Roster!$C:$C=A195)*(Roster!$F:$F=2)),1))"),"Phil")</f>
        <v>Phil</v>
      </c>
      <c r="AE195" s="5">
        <v>0.0</v>
      </c>
      <c r="AF195" s="5">
        <v>0.0</v>
      </c>
      <c r="AG195" s="5" t="s">
        <v>350</v>
      </c>
      <c r="AH195" s="5">
        <v>0.0</v>
      </c>
      <c r="AI195" s="5">
        <v>1.0</v>
      </c>
      <c r="AJ195" s="5">
        <v>0.0</v>
      </c>
      <c r="AK195" s="5" t="s">
        <v>350</v>
      </c>
      <c r="AL195" s="5" t="s">
        <v>351</v>
      </c>
      <c r="AM195" s="5">
        <v>2.0</v>
      </c>
      <c r="AN195" s="5" t="s">
        <v>354</v>
      </c>
      <c r="AO195" s="5">
        <f t="shared" si="1"/>
        <v>0</v>
      </c>
      <c r="AP195" s="5">
        <f t="shared" si="2"/>
        <v>0</v>
      </c>
    </row>
    <row r="196">
      <c r="A196" s="5" t="s">
        <v>41</v>
      </c>
      <c r="B196" s="5">
        <v>6.0</v>
      </c>
      <c r="H196" s="5">
        <v>5.0</v>
      </c>
      <c r="I196" s="5">
        <v>1.0</v>
      </c>
      <c r="J196" s="5">
        <v>4.0</v>
      </c>
      <c r="R196" s="5">
        <v>4.0</v>
      </c>
      <c r="S196" s="5">
        <v>1.0</v>
      </c>
      <c r="T196" s="5">
        <v>3.0</v>
      </c>
      <c r="Y196" s="5" t="s">
        <v>7</v>
      </c>
      <c r="Z196" s="1" t="s">
        <v>381</v>
      </c>
      <c r="AA196" s="5" t="str">
        <f>IFERROR(__xludf.DUMMYFUNCTION("IF(A196="""","""",INDEX(FILTER(Roster!$A:$A,(Roster!$C:$C=A196)*(Roster!$F:$F=3)),1))"),"Velez")</f>
        <v>Velez</v>
      </c>
      <c r="AB196" s="5" t="str">
        <f>IFERROR(__xludf.DUMMYFUNCTION("IF(A196="""","""",INDEX(FILTER(Roster!$A:$A,(Roster!$C:$C=A196)*(Roster!$F:$F=4)),1))"),"JP Mosquera")</f>
        <v>JP Mosquera</v>
      </c>
      <c r="AC196" s="5" t="str">
        <f>IFERROR(__xludf.DUMMYFUNCTION("IF(A196="""","""",INDEX(FILTER(Roster!$A:$A,(Roster!$C:$C=A196)*(Roster!$F:$F=1)),1))"),"Pocho")</f>
        <v>Pocho</v>
      </c>
      <c r="AD196" s="5" t="str">
        <f>IFERROR(__xludf.DUMMYFUNCTION("IF(A196="""","""",INDEX(FILTER(Roster!$A:$A,(Roster!$C:$C=A196)*(Roster!$F:$F=2)),1))"),"Phil")</f>
        <v>Phil</v>
      </c>
      <c r="AE196" s="5">
        <v>0.0</v>
      </c>
      <c r="AF196" s="5">
        <v>0.0</v>
      </c>
      <c r="AG196" s="5" t="s">
        <v>350</v>
      </c>
      <c r="AH196" s="5">
        <v>0.0</v>
      </c>
      <c r="AI196" s="5">
        <v>-1.0</v>
      </c>
      <c r="AJ196" s="5">
        <v>0.0</v>
      </c>
      <c r="AK196" s="5" t="s">
        <v>350</v>
      </c>
      <c r="AL196" s="5" t="s">
        <v>351</v>
      </c>
      <c r="AM196" s="5">
        <v>1.0</v>
      </c>
      <c r="AN196" s="5" t="s">
        <v>352</v>
      </c>
      <c r="AO196" s="5">
        <f t="shared" si="1"/>
        <v>0</v>
      </c>
      <c r="AP196" s="5">
        <f t="shared" si="2"/>
        <v>0</v>
      </c>
    </row>
    <row r="197">
      <c r="A197" s="5" t="s">
        <v>41</v>
      </c>
      <c r="B197" s="5">
        <v>7.0</v>
      </c>
      <c r="H197" s="5">
        <v>4.0</v>
      </c>
      <c r="I197" s="5">
        <v>1.0</v>
      </c>
      <c r="J197" s="5">
        <v>3.0</v>
      </c>
      <c r="R197" s="5">
        <v>4.0</v>
      </c>
      <c r="S197" s="5">
        <v>0.0</v>
      </c>
      <c r="T197" s="5">
        <v>4.0</v>
      </c>
      <c r="Y197" s="5" t="s">
        <v>12</v>
      </c>
      <c r="Z197" s="1" t="s">
        <v>381</v>
      </c>
      <c r="AA197" s="5" t="str">
        <f>IFERROR(__xludf.DUMMYFUNCTION("IF(A197="""","""",INDEX(FILTER(Roster!$A:$A,(Roster!$C:$C=A197)*(Roster!$F:$F=3)),1))"),"Velez")</f>
        <v>Velez</v>
      </c>
      <c r="AB197" s="5" t="str">
        <f>IFERROR(__xludf.DUMMYFUNCTION("IF(A197="""","""",INDEX(FILTER(Roster!$A:$A,(Roster!$C:$C=A197)*(Roster!$F:$F=4)),1))"),"JP Mosquera")</f>
        <v>JP Mosquera</v>
      </c>
      <c r="AC197" s="5" t="str">
        <f>IFERROR(__xludf.DUMMYFUNCTION("IF(A197="""","""",INDEX(FILTER(Roster!$A:$A,(Roster!$C:$C=A197)*(Roster!$F:$F=1)),1))"),"Pocho")</f>
        <v>Pocho</v>
      </c>
      <c r="AD197" s="5" t="str">
        <f>IFERROR(__xludf.DUMMYFUNCTION("IF(A197="""","""",INDEX(FILTER(Roster!$A:$A,(Roster!$C:$C=A197)*(Roster!$F:$F=2)),1))"),"Phil")</f>
        <v>Phil</v>
      </c>
      <c r="AE197" s="5">
        <v>0.0</v>
      </c>
      <c r="AF197" s="5">
        <v>0.0</v>
      </c>
      <c r="AG197" s="5" t="s">
        <v>350</v>
      </c>
      <c r="AH197" s="5">
        <v>0.0</v>
      </c>
      <c r="AI197" s="5">
        <v>1.0</v>
      </c>
      <c r="AJ197" s="5">
        <v>0.0</v>
      </c>
      <c r="AK197" s="5" t="s">
        <v>350</v>
      </c>
      <c r="AL197" s="5" t="s">
        <v>351</v>
      </c>
      <c r="AM197" s="5">
        <v>2.0</v>
      </c>
      <c r="AN197" s="5" t="s">
        <v>354</v>
      </c>
      <c r="AO197" s="5">
        <f t="shared" si="1"/>
        <v>0</v>
      </c>
      <c r="AP197" s="5">
        <f t="shared" si="2"/>
        <v>0</v>
      </c>
    </row>
    <row r="198">
      <c r="A198" s="5" t="s">
        <v>41</v>
      </c>
      <c r="B198" s="5">
        <v>8.0</v>
      </c>
      <c r="H198" s="5">
        <v>5.0</v>
      </c>
      <c r="I198" s="5">
        <v>1.0</v>
      </c>
      <c r="J198" s="5">
        <v>4.0</v>
      </c>
      <c r="R198" s="5">
        <v>6.0</v>
      </c>
      <c r="S198" s="5">
        <v>0.0</v>
      </c>
      <c r="T198" s="5">
        <v>6.0</v>
      </c>
      <c r="Y198" s="5" t="s">
        <v>12</v>
      </c>
      <c r="Z198" s="1" t="s">
        <v>381</v>
      </c>
      <c r="AA198" s="5" t="str">
        <f>IFERROR(__xludf.DUMMYFUNCTION("IF(A198="""","""",INDEX(FILTER(Roster!$A:$A,(Roster!$C:$C=A198)*(Roster!$F:$F=3)),1))"),"Velez")</f>
        <v>Velez</v>
      </c>
      <c r="AB198" s="5" t="str">
        <f>IFERROR(__xludf.DUMMYFUNCTION("IF(A198="""","""",INDEX(FILTER(Roster!$A:$A,(Roster!$C:$C=A198)*(Roster!$F:$F=4)),1))"),"JP Mosquera")</f>
        <v>JP Mosquera</v>
      </c>
      <c r="AC198" s="5" t="str">
        <f>IFERROR(__xludf.DUMMYFUNCTION("IF(A198="""","""",INDEX(FILTER(Roster!$A:$A,(Roster!$C:$C=A198)*(Roster!$F:$F=1)),1))"),"Pocho")</f>
        <v>Pocho</v>
      </c>
      <c r="AD198" s="5" t="str">
        <f>IFERROR(__xludf.DUMMYFUNCTION("IF(A198="""","""",INDEX(FILTER(Roster!$A:$A,(Roster!$C:$C=A198)*(Roster!$F:$F=2)),1))"),"Phil")</f>
        <v>Phil</v>
      </c>
      <c r="AE198" s="5">
        <v>0.0</v>
      </c>
      <c r="AF198" s="5">
        <v>0.0</v>
      </c>
      <c r="AG198" s="5" t="s">
        <v>350</v>
      </c>
      <c r="AH198" s="5">
        <v>0.0</v>
      </c>
      <c r="AI198" s="5">
        <v>1.0</v>
      </c>
      <c r="AJ198" s="5">
        <v>0.0</v>
      </c>
      <c r="AK198" s="5" t="s">
        <v>350</v>
      </c>
      <c r="AL198" s="5" t="s">
        <v>351</v>
      </c>
      <c r="AM198" s="5">
        <v>3.0</v>
      </c>
      <c r="AN198" s="5" t="s">
        <v>358</v>
      </c>
      <c r="AO198" s="5">
        <f t="shared" si="1"/>
        <v>0</v>
      </c>
      <c r="AP198" s="5">
        <f t="shared" si="2"/>
        <v>0</v>
      </c>
    </row>
    <row r="199">
      <c r="A199" s="5" t="s">
        <v>41</v>
      </c>
      <c r="B199" s="5">
        <v>9.0</v>
      </c>
      <c r="H199" s="5">
        <v>6.0</v>
      </c>
      <c r="I199" s="5">
        <v>1.0</v>
      </c>
      <c r="J199" s="5">
        <v>5.0</v>
      </c>
      <c r="R199" s="5">
        <v>5.0</v>
      </c>
      <c r="S199" s="5">
        <v>1.0</v>
      </c>
      <c r="T199" s="5">
        <v>4.0</v>
      </c>
      <c r="Y199" s="5" t="s">
        <v>7</v>
      </c>
      <c r="Z199" s="1" t="s">
        <v>381</v>
      </c>
      <c r="AA199" s="5" t="str">
        <f>IFERROR(__xludf.DUMMYFUNCTION("IF(A199="""","""",INDEX(FILTER(Roster!$A:$A,(Roster!$C:$C=A199)*(Roster!$F:$F=3)),1))"),"Velez")</f>
        <v>Velez</v>
      </c>
      <c r="AB199" s="5" t="str">
        <f>IFERROR(__xludf.DUMMYFUNCTION("IF(A199="""","""",INDEX(FILTER(Roster!$A:$A,(Roster!$C:$C=A199)*(Roster!$F:$F=4)),1))"),"JP Mosquera")</f>
        <v>JP Mosquera</v>
      </c>
      <c r="AC199" s="5" t="str">
        <f>IFERROR(__xludf.DUMMYFUNCTION("IF(A199="""","""",INDEX(FILTER(Roster!$A:$A,(Roster!$C:$C=A199)*(Roster!$F:$F=1)),1))"),"Pocho")</f>
        <v>Pocho</v>
      </c>
      <c r="AD199" s="5" t="str">
        <f>IFERROR(__xludf.DUMMYFUNCTION("IF(A199="""","""",INDEX(FILTER(Roster!$A:$A,(Roster!$C:$C=A199)*(Roster!$F:$F=2)),1))"),"Phil")</f>
        <v>Phil</v>
      </c>
      <c r="AE199" s="5">
        <v>0.0</v>
      </c>
      <c r="AF199" s="5">
        <v>0.0</v>
      </c>
      <c r="AG199" s="5" t="s">
        <v>350</v>
      </c>
      <c r="AH199" s="5">
        <v>0.0</v>
      </c>
      <c r="AI199" s="5">
        <v>-1.0</v>
      </c>
      <c r="AJ199" s="5">
        <v>0.0</v>
      </c>
      <c r="AK199" s="5" t="s">
        <v>350</v>
      </c>
      <c r="AL199" s="5" t="s">
        <v>351</v>
      </c>
      <c r="AM199" s="5">
        <v>2.0</v>
      </c>
      <c r="AN199" s="5" t="s">
        <v>354</v>
      </c>
      <c r="AO199" s="5">
        <f t="shared" si="1"/>
        <v>0</v>
      </c>
      <c r="AP199" s="5">
        <f t="shared" si="2"/>
        <v>0</v>
      </c>
    </row>
    <row r="200">
      <c r="A200" s="5" t="str">
        <f t="array" ref="A200:A208">Calc_Engine!A113:A121</f>
        <v>Flight_8</v>
      </c>
      <c r="B200" s="5">
        <f t="array" ref="B200:B208">Calc_Engine!B113:B121</f>
        <v>1</v>
      </c>
      <c r="C200" s="5">
        <f t="array" ref="C200:C208">Calc_Engine!C113:C121</f>
        <v>5</v>
      </c>
      <c r="D200" s="5">
        <f t="array" ref="D200:D208">Calc_Engine!D113:D121</f>
        <v>1</v>
      </c>
      <c r="E200" s="5">
        <f t="array" ref="E200:E208">Calc_Engine!E113:E121</f>
        <v>4</v>
      </c>
      <c r="M200" s="5">
        <f t="array" ref="M200:M208">Calc_Engine!M113:M121</f>
        <v>4</v>
      </c>
      <c r="N200" s="5">
        <f t="array" ref="N200:N208">Calc_Engine!N113:N121</f>
        <v>1</v>
      </c>
      <c r="O200" s="5">
        <f t="array" ref="O200:O208">Calc_Engine!O113:O121</f>
        <v>3</v>
      </c>
      <c r="X200" s="5" t="str">
        <f t="array" ref="X200:X208">Calc_Engine!X113:X121</f>
        <v>Blue</v>
      </c>
      <c r="Z200" s="1" t="s">
        <v>382</v>
      </c>
      <c r="AA200" s="5" t="str">
        <f>IFERROR(__xludf.DUMMYFUNCTION("IF(A200="""","""",INDEX(FILTER(Roster!$A:$A,(Roster!$C:$C=A200)*(Roster!$F:$F=3)),1))"),"Pilarica")</f>
        <v>Pilarica</v>
      </c>
      <c r="AB200" s="5" t="str">
        <f>IFERROR(__xludf.DUMMYFUNCTION("IF(A200="""","""",INDEX(FILTER(Roster!$A:$A,(Roster!$C:$C=A200)*(Roster!$F:$F=4)),1))"),"Camacho")</f>
        <v>Camacho</v>
      </c>
      <c r="AC200" s="5" t="str">
        <f>IFERROR(__xludf.DUMMYFUNCTION("IF(A200="""","""",INDEX(FILTER(Roster!$A:$A,(Roster!$C:$C=A200)*(Roster!$F:$F=1)),1))"),"Veronica Perez")</f>
        <v>Veronica Perez</v>
      </c>
      <c r="AD200" s="5" t="str">
        <f>IFERROR(__xludf.DUMMYFUNCTION("IF(A200="""","""",INDEX(FILTER(Roster!$A:$A,(Roster!$C:$C=A200)*(Roster!$F:$F=2)),1))"),"Bernie")</f>
        <v>Bernie</v>
      </c>
      <c r="AE200" s="5">
        <v>0.0</v>
      </c>
      <c r="AF200" s="5">
        <v>0.0</v>
      </c>
      <c r="AG200" s="5" t="s">
        <v>350</v>
      </c>
      <c r="AH200" s="5">
        <v>-1.0</v>
      </c>
      <c r="AI200" s="5">
        <v>0.0</v>
      </c>
      <c r="AJ200" s="5">
        <v>-1.0</v>
      </c>
      <c r="AK200" s="5" t="s">
        <v>352</v>
      </c>
      <c r="AL200" s="5" t="s">
        <v>367</v>
      </c>
      <c r="AM200" s="5">
        <v>0.0</v>
      </c>
      <c r="AN200" s="5" t="s">
        <v>350</v>
      </c>
      <c r="AO200" s="5">
        <f t="shared" si="1"/>
        <v>0</v>
      </c>
      <c r="AP200" s="5">
        <f t="shared" si="2"/>
        <v>0</v>
      </c>
    </row>
    <row r="201">
      <c r="A201" s="5" t="s">
        <v>46</v>
      </c>
      <c r="B201" s="5">
        <v>2.0</v>
      </c>
      <c r="C201" s="5">
        <v>4.0</v>
      </c>
      <c r="D201" s="5">
        <v>1.0</v>
      </c>
      <c r="E201" s="5">
        <v>3.0</v>
      </c>
      <c r="M201" s="5">
        <v>6.0</v>
      </c>
      <c r="N201" s="5">
        <v>1.0</v>
      </c>
      <c r="O201" s="5">
        <v>5.0</v>
      </c>
      <c r="X201" s="5" t="s">
        <v>12</v>
      </c>
      <c r="Z201" s="1" t="s">
        <v>382</v>
      </c>
      <c r="AA201" s="5" t="str">
        <f>IFERROR(__xludf.DUMMYFUNCTION("IF(A201="""","""",INDEX(FILTER(Roster!$A:$A,(Roster!$C:$C=A201)*(Roster!$F:$F=3)),1))"),"Pilarica")</f>
        <v>Pilarica</v>
      </c>
      <c r="AB201" s="5" t="str">
        <f>IFERROR(__xludf.DUMMYFUNCTION("IF(A201="""","""",INDEX(FILTER(Roster!$A:$A,(Roster!$C:$C=A201)*(Roster!$F:$F=4)),1))"),"Camacho")</f>
        <v>Camacho</v>
      </c>
      <c r="AC201" s="5" t="str">
        <f>IFERROR(__xludf.DUMMYFUNCTION("IF(A201="""","""",INDEX(FILTER(Roster!$A:$A,(Roster!$C:$C=A201)*(Roster!$F:$F=1)),1))"),"Veronica Perez")</f>
        <v>Veronica Perez</v>
      </c>
      <c r="AD201" s="5" t="str">
        <f>IFERROR(__xludf.DUMMYFUNCTION("IF(A201="""","""",INDEX(FILTER(Roster!$A:$A,(Roster!$C:$C=A201)*(Roster!$F:$F=2)),1))"),"Bernie")</f>
        <v>Bernie</v>
      </c>
      <c r="AE201" s="5">
        <v>0.0</v>
      </c>
      <c r="AF201" s="5">
        <v>0.0</v>
      </c>
      <c r="AG201" s="5" t="s">
        <v>350</v>
      </c>
      <c r="AH201" s="5">
        <v>1.0</v>
      </c>
      <c r="AI201" s="5">
        <v>0.0</v>
      </c>
      <c r="AJ201" s="5">
        <v>0.0</v>
      </c>
      <c r="AK201" s="5" t="s">
        <v>350</v>
      </c>
      <c r="AL201" s="5" t="s">
        <v>351</v>
      </c>
      <c r="AM201" s="5">
        <v>0.0</v>
      </c>
      <c r="AN201" s="5" t="s">
        <v>350</v>
      </c>
      <c r="AO201" s="5">
        <f t="shared" si="1"/>
        <v>0</v>
      </c>
      <c r="AP201" s="5">
        <f t="shared" si="2"/>
        <v>0</v>
      </c>
    </row>
    <row r="202">
      <c r="A202" s="5" t="s">
        <v>46</v>
      </c>
      <c r="B202" s="5">
        <v>3.0</v>
      </c>
      <c r="C202" s="5">
        <v>6.0</v>
      </c>
      <c r="D202" s="5">
        <v>0.0</v>
      </c>
      <c r="E202" s="5">
        <v>6.0</v>
      </c>
      <c r="M202" s="5">
        <v>4.0</v>
      </c>
      <c r="N202" s="5">
        <v>0.0</v>
      </c>
      <c r="O202" s="5">
        <v>4.0</v>
      </c>
      <c r="X202" s="5" t="s">
        <v>7</v>
      </c>
      <c r="Z202" s="1" t="s">
        <v>382</v>
      </c>
      <c r="AA202" s="5" t="str">
        <f>IFERROR(__xludf.DUMMYFUNCTION("IF(A202="""","""",INDEX(FILTER(Roster!$A:$A,(Roster!$C:$C=A202)*(Roster!$F:$F=3)),1))"),"Pilarica")</f>
        <v>Pilarica</v>
      </c>
      <c r="AB202" s="5" t="str">
        <f>IFERROR(__xludf.DUMMYFUNCTION("IF(A202="""","""",INDEX(FILTER(Roster!$A:$A,(Roster!$C:$C=A202)*(Roster!$F:$F=4)),1))"),"Camacho")</f>
        <v>Camacho</v>
      </c>
      <c r="AC202" s="5" t="str">
        <f>IFERROR(__xludf.DUMMYFUNCTION("IF(A202="""","""",INDEX(FILTER(Roster!$A:$A,(Roster!$C:$C=A202)*(Roster!$F:$F=1)),1))"),"Veronica Perez")</f>
        <v>Veronica Perez</v>
      </c>
      <c r="AD202" s="5" t="str">
        <f>IFERROR(__xludf.DUMMYFUNCTION("IF(A202="""","""",INDEX(FILTER(Roster!$A:$A,(Roster!$C:$C=A202)*(Roster!$F:$F=2)),1))"),"Bernie")</f>
        <v>Bernie</v>
      </c>
      <c r="AE202" s="5">
        <v>0.0</v>
      </c>
      <c r="AF202" s="5">
        <v>0.0</v>
      </c>
      <c r="AG202" s="5" t="s">
        <v>350</v>
      </c>
      <c r="AH202" s="5">
        <v>-1.0</v>
      </c>
      <c r="AI202" s="5">
        <v>0.0</v>
      </c>
      <c r="AJ202" s="5">
        <v>-1.0</v>
      </c>
      <c r="AK202" s="5" t="s">
        <v>352</v>
      </c>
      <c r="AL202" s="5" t="s">
        <v>367</v>
      </c>
      <c r="AM202" s="5">
        <v>0.0</v>
      </c>
      <c r="AN202" s="5" t="s">
        <v>350</v>
      </c>
      <c r="AO202" s="5">
        <f t="shared" si="1"/>
        <v>0</v>
      </c>
      <c r="AP202" s="5">
        <f t="shared" si="2"/>
        <v>0</v>
      </c>
    </row>
    <row r="203">
      <c r="A203" s="5" t="s">
        <v>46</v>
      </c>
      <c r="B203" s="5">
        <v>4.0</v>
      </c>
      <c r="C203" s="5">
        <v>5.0</v>
      </c>
      <c r="D203" s="5">
        <v>0.0</v>
      </c>
      <c r="E203" s="5">
        <v>5.0</v>
      </c>
      <c r="M203" s="5">
        <v>3.0</v>
      </c>
      <c r="N203" s="5">
        <v>0.0</v>
      </c>
      <c r="O203" s="5">
        <v>3.0</v>
      </c>
      <c r="X203" s="5" t="s">
        <v>7</v>
      </c>
      <c r="Z203" s="1" t="s">
        <v>382</v>
      </c>
      <c r="AA203" s="5" t="str">
        <f>IFERROR(__xludf.DUMMYFUNCTION("IF(A203="""","""",INDEX(FILTER(Roster!$A:$A,(Roster!$C:$C=A203)*(Roster!$F:$F=3)),1))"),"Pilarica")</f>
        <v>Pilarica</v>
      </c>
      <c r="AB203" s="5" t="str">
        <f>IFERROR(__xludf.DUMMYFUNCTION("IF(A203="""","""",INDEX(FILTER(Roster!$A:$A,(Roster!$C:$C=A203)*(Roster!$F:$F=4)),1))"),"Camacho")</f>
        <v>Camacho</v>
      </c>
      <c r="AC203" s="5" t="str">
        <f>IFERROR(__xludf.DUMMYFUNCTION("IF(A203="""","""",INDEX(FILTER(Roster!$A:$A,(Roster!$C:$C=A203)*(Roster!$F:$F=1)),1))"),"Veronica Perez")</f>
        <v>Veronica Perez</v>
      </c>
      <c r="AD203" s="5" t="str">
        <f>IFERROR(__xludf.DUMMYFUNCTION("IF(A203="""","""",INDEX(FILTER(Roster!$A:$A,(Roster!$C:$C=A203)*(Roster!$F:$F=2)),1))"),"Bernie")</f>
        <v>Bernie</v>
      </c>
      <c r="AE203" s="5">
        <v>0.0</v>
      </c>
      <c r="AF203" s="5">
        <v>0.0</v>
      </c>
      <c r="AG203" s="5" t="s">
        <v>350</v>
      </c>
      <c r="AH203" s="5">
        <v>-1.0</v>
      </c>
      <c r="AI203" s="5">
        <v>0.0</v>
      </c>
      <c r="AJ203" s="5">
        <v>-2.0</v>
      </c>
      <c r="AK203" s="5" t="s">
        <v>354</v>
      </c>
      <c r="AL203" s="5" t="s">
        <v>367</v>
      </c>
      <c r="AM203" s="5">
        <v>0.0</v>
      </c>
      <c r="AN203" s="5" t="s">
        <v>350</v>
      </c>
      <c r="AO203" s="5">
        <f t="shared" si="1"/>
        <v>0</v>
      </c>
      <c r="AP203" s="5">
        <f t="shared" si="2"/>
        <v>0</v>
      </c>
    </row>
    <row r="204">
      <c r="A204" s="5" t="s">
        <v>46</v>
      </c>
      <c r="B204" s="5">
        <v>5.0</v>
      </c>
      <c r="C204" s="5">
        <v>3.0</v>
      </c>
      <c r="D204" s="5">
        <v>1.0</v>
      </c>
      <c r="E204" s="5">
        <v>2.0</v>
      </c>
      <c r="M204" s="5">
        <v>4.0</v>
      </c>
      <c r="N204" s="5">
        <v>1.0</v>
      </c>
      <c r="O204" s="5">
        <v>3.0</v>
      </c>
      <c r="X204" s="5" t="s">
        <v>12</v>
      </c>
      <c r="Z204" s="1" t="s">
        <v>382</v>
      </c>
      <c r="AA204" s="5" t="str">
        <f>IFERROR(__xludf.DUMMYFUNCTION("IF(A204="""","""",INDEX(FILTER(Roster!$A:$A,(Roster!$C:$C=A204)*(Roster!$F:$F=3)),1))"),"Pilarica")</f>
        <v>Pilarica</v>
      </c>
      <c r="AB204" s="5" t="str">
        <f>IFERROR(__xludf.DUMMYFUNCTION("IF(A204="""","""",INDEX(FILTER(Roster!$A:$A,(Roster!$C:$C=A204)*(Roster!$F:$F=4)),1))"),"Camacho")</f>
        <v>Camacho</v>
      </c>
      <c r="AC204" s="5" t="str">
        <f>IFERROR(__xludf.DUMMYFUNCTION("IF(A204="""","""",INDEX(FILTER(Roster!$A:$A,(Roster!$C:$C=A204)*(Roster!$F:$F=1)),1))"),"Veronica Perez")</f>
        <v>Veronica Perez</v>
      </c>
      <c r="AD204" s="5" t="str">
        <f>IFERROR(__xludf.DUMMYFUNCTION("IF(A204="""","""",INDEX(FILTER(Roster!$A:$A,(Roster!$C:$C=A204)*(Roster!$F:$F=2)),1))"),"Bernie")</f>
        <v>Bernie</v>
      </c>
      <c r="AE204" s="5">
        <v>0.0</v>
      </c>
      <c r="AF204" s="5">
        <v>0.0</v>
      </c>
      <c r="AG204" s="5" t="s">
        <v>350</v>
      </c>
      <c r="AH204" s="5">
        <v>1.0</v>
      </c>
      <c r="AI204" s="5">
        <v>0.0</v>
      </c>
      <c r="AJ204" s="5">
        <v>-1.0</v>
      </c>
      <c r="AK204" s="5" t="s">
        <v>352</v>
      </c>
      <c r="AL204" s="5" t="s">
        <v>367</v>
      </c>
      <c r="AM204" s="5">
        <v>0.0</v>
      </c>
      <c r="AN204" s="5" t="s">
        <v>350</v>
      </c>
      <c r="AO204" s="5">
        <f t="shared" si="1"/>
        <v>0</v>
      </c>
      <c r="AP204" s="5">
        <f t="shared" si="2"/>
        <v>0</v>
      </c>
    </row>
    <row r="205">
      <c r="A205" s="5" t="s">
        <v>46</v>
      </c>
      <c r="B205" s="5">
        <v>6.0</v>
      </c>
      <c r="C205" s="5">
        <v>5.0</v>
      </c>
      <c r="D205" s="5">
        <v>0.0</v>
      </c>
      <c r="E205" s="5">
        <v>5.0</v>
      </c>
      <c r="M205" s="5">
        <v>5.0</v>
      </c>
      <c r="N205" s="5">
        <v>0.0</v>
      </c>
      <c r="O205" s="5">
        <v>5.0</v>
      </c>
      <c r="X205" s="5" t="s">
        <v>353</v>
      </c>
      <c r="Z205" s="1" t="s">
        <v>382</v>
      </c>
      <c r="AA205" s="5" t="str">
        <f>IFERROR(__xludf.DUMMYFUNCTION("IF(A205="""","""",INDEX(FILTER(Roster!$A:$A,(Roster!$C:$C=A205)*(Roster!$F:$F=3)),1))"),"Pilarica")</f>
        <v>Pilarica</v>
      </c>
      <c r="AB205" s="5" t="str">
        <f>IFERROR(__xludf.DUMMYFUNCTION("IF(A205="""","""",INDEX(FILTER(Roster!$A:$A,(Roster!$C:$C=A205)*(Roster!$F:$F=4)),1))"),"Camacho")</f>
        <v>Camacho</v>
      </c>
      <c r="AC205" s="5" t="str">
        <f>IFERROR(__xludf.DUMMYFUNCTION("IF(A205="""","""",INDEX(FILTER(Roster!$A:$A,(Roster!$C:$C=A205)*(Roster!$F:$F=1)),1))"),"Veronica Perez")</f>
        <v>Veronica Perez</v>
      </c>
      <c r="AD205" s="5" t="str">
        <f>IFERROR(__xludf.DUMMYFUNCTION("IF(A205="""","""",INDEX(FILTER(Roster!$A:$A,(Roster!$C:$C=A205)*(Roster!$F:$F=2)),1))"),"Bernie")</f>
        <v>Bernie</v>
      </c>
      <c r="AE205" s="5">
        <v>0.0</v>
      </c>
      <c r="AF205" s="5">
        <v>0.0</v>
      </c>
      <c r="AG205" s="5" t="s">
        <v>350</v>
      </c>
      <c r="AH205" s="5">
        <v>0.0</v>
      </c>
      <c r="AI205" s="5">
        <v>0.0</v>
      </c>
      <c r="AJ205" s="5">
        <v>-1.0</v>
      </c>
      <c r="AK205" s="5" t="s">
        <v>352</v>
      </c>
      <c r="AL205" s="5" t="s">
        <v>367</v>
      </c>
      <c r="AM205" s="5">
        <v>0.0</v>
      </c>
      <c r="AN205" s="5" t="s">
        <v>350</v>
      </c>
      <c r="AO205" s="5">
        <f t="shared" si="1"/>
        <v>0</v>
      </c>
      <c r="AP205" s="5">
        <f t="shared" si="2"/>
        <v>0</v>
      </c>
    </row>
    <row r="206">
      <c r="A206" s="5" t="s">
        <v>46</v>
      </c>
      <c r="B206" s="5">
        <v>7.0</v>
      </c>
      <c r="C206" s="5">
        <v>3.0</v>
      </c>
      <c r="D206" s="5">
        <v>0.0</v>
      </c>
      <c r="E206" s="5">
        <v>3.0</v>
      </c>
      <c r="M206" s="5">
        <v>3.0</v>
      </c>
      <c r="N206" s="5">
        <v>0.0</v>
      </c>
      <c r="O206" s="5">
        <v>3.0</v>
      </c>
      <c r="X206" s="5" t="s">
        <v>353</v>
      </c>
      <c r="Z206" s="1" t="s">
        <v>382</v>
      </c>
      <c r="AA206" s="5" t="str">
        <f>IFERROR(__xludf.DUMMYFUNCTION("IF(A206="""","""",INDEX(FILTER(Roster!$A:$A,(Roster!$C:$C=A206)*(Roster!$F:$F=3)),1))"),"Pilarica")</f>
        <v>Pilarica</v>
      </c>
      <c r="AB206" s="5" t="str">
        <f>IFERROR(__xludf.DUMMYFUNCTION("IF(A206="""","""",INDEX(FILTER(Roster!$A:$A,(Roster!$C:$C=A206)*(Roster!$F:$F=4)),1))"),"Camacho")</f>
        <v>Camacho</v>
      </c>
      <c r="AC206" s="5" t="str">
        <f>IFERROR(__xludf.DUMMYFUNCTION("IF(A206="""","""",INDEX(FILTER(Roster!$A:$A,(Roster!$C:$C=A206)*(Roster!$F:$F=1)),1))"),"Veronica Perez")</f>
        <v>Veronica Perez</v>
      </c>
      <c r="AD206" s="5" t="str">
        <f>IFERROR(__xludf.DUMMYFUNCTION("IF(A206="""","""",INDEX(FILTER(Roster!$A:$A,(Roster!$C:$C=A206)*(Roster!$F:$F=2)),1))"),"Bernie")</f>
        <v>Bernie</v>
      </c>
      <c r="AE206" s="5">
        <v>0.0</v>
      </c>
      <c r="AF206" s="5">
        <v>0.0</v>
      </c>
      <c r="AG206" s="5" t="s">
        <v>350</v>
      </c>
      <c r="AH206" s="5">
        <v>0.0</v>
      </c>
      <c r="AI206" s="5">
        <v>0.0</v>
      </c>
      <c r="AJ206" s="5">
        <v>-1.0</v>
      </c>
      <c r="AK206" s="5" t="s">
        <v>352</v>
      </c>
      <c r="AL206" s="5" t="s">
        <v>367</v>
      </c>
      <c r="AM206" s="5">
        <v>0.0</v>
      </c>
      <c r="AN206" s="5" t="s">
        <v>350</v>
      </c>
      <c r="AO206" s="5">
        <f t="shared" si="1"/>
        <v>0</v>
      </c>
      <c r="AP206" s="5">
        <f t="shared" si="2"/>
        <v>0</v>
      </c>
    </row>
    <row r="207">
      <c r="A207" s="5" t="s">
        <v>46</v>
      </c>
      <c r="B207" s="5">
        <v>8.0</v>
      </c>
      <c r="C207" s="5">
        <v>5.0</v>
      </c>
      <c r="D207" s="5">
        <v>1.0</v>
      </c>
      <c r="E207" s="5">
        <v>4.0</v>
      </c>
      <c r="M207" s="5">
        <v>6.0</v>
      </c>
      <c r="N207" s="5">
        <v>1.0</v>
      </c>
      <c r="O207" s="5">
        <v>5.0</v>
      </c>
      <c r="X207" s="5" t="s">
        <v>12</v>
      </c>
      <c r="Z207" s="1" t="s">
        <v>382</v>
      </c>
      <c r="AA207" s="5" t="str">
        <f>IFERROR(__xludf.DUMMYFUNCTION("IF(A207="""","""",INDEX(FILTER(Roster!$A:$A,(Roster!$C:$C=A207)*(Roster!$F:$F=3)),1))"),"Pilarica")</f>
        <v>Pilarica</v>
      </c>
      <c r="AB207" s="5" t="str">
        <f>IFERROR(__xludf.DUMMYFUNCTION("IF(A207="""","""",INDEX(FILTER(Roster!$A:$A,(Roster!$C:$C=A207)*(Roster!$F:$F=4)),1))"),"Camacho")</f>
        <v>Camacho</v>
      </c>
      <c r="AC207" s="5" t="str">
        <f>IFERROR(__xludf.DUMMYFUNCTION("IF(A207="""","""",INDEX(FILTER(Roster!$A:$A,(Roster!$C:$C=A207)*(Roster!$F:$F=1)),1))"),"Veronica Perez")</f>
        <v>Veronica Perez</v>
      </c>
      <c r="AD207" s="5" t="str">
        <f>IFERROR(__xludf.DUMMYFUNCTION("IF(A207="""","""",INDEX(FILTER(Roster!$A:$A,(Roster!$C:$C=A207)*(Roster!$F:$F=2)),1))"),"Bernie")</f>
        <v>Bernie</v>
      </c>
      <c r="AE207" s="5">
        <v>0.0</v>
      </c>
      <c r="AF207" s="5">
        <v>0.0</v>
      </c>
      <c r="AG207" s="5" t="s">
        <v>350</v>
      </c>
      <c r="AH207" s="5">
        <v>1.0</v>
      </c>
      <c r="AI207" s="5">
        <v>0.0</v>
      </c>
      <c r="AJ207" s="5">
        <v>0.0</v>
      </c>
      <c r="AK207" s="5" t="s">
        <v>350</v>
      </c>
      <c r="AL207" s="5" t="s">
        <v>351</v>
      </c>
      <c r="AM207" s="5">
        <v>0.0</v>
      </c>
      <c r="AN207" s="5" t="s">
        <v>350</v>
      </c>
      <c r="AO207" s="5">
        <f t="shared" si="1"/>
        <v>0</v>
      </c>
      <c r="AP207" s="5">
        <f t="shared" si="2"/>
        <v>0</v>
      </c>
    </row>
    <row r="208">
      <c r="A208" s="5" t="s">
        <v>46</v>
      </c>
      <c r="B208" s="5">
        <v>9.0</v>
      </c>
      <c r="C208" s="5">
        <v>4.0</v>
      </c>
      <c r="D208" s="5">
        <v>1.0</v>
      </c>
      <c r="E208" s="5">
        <v>3.0</v>
      </c>
      <c r="M208" s="5">
        <v>6.0</v>
      </c>
      <c r="N208" s="5">
        <v>1.0</v>
      </c>
      <c r="O208" s="5">
        <v>5.0</v>
      </c>
      <c r="X208" s="5" t="s">
        <v>12</v>
      </c>
      <c r="Z208" s="1" t="s">
        <v>382</v>
      </c>
      <c r="AA208" s="5" t="str">
        <f>IFERROR(__xludf.DUMMYFUNCTION("IF(A208="""","""",INDEX(FILTER(Roster!$A:$A,(Roster!$C:$C=A208)*(Roster!$F:$F=3)),1))"),"Pilarica")</f>
        <v>Pilarica</v>
      </c>
      <c r="AB208" s="5" t="str">
        <f>IFERROR(__xludf.DUMMYFUNCTION("IF(A208="""","""",INDEX(FILTER(Roster!$A:$A,(Roster!$C:$C=A208)*(Roster!$F:$F=4)),1))"),"Camacho")</f>
        <v>Camacho</v>
      </c>
      <c r="AC208" s="5" t="str">
        <f>IFERROR(__xludf.DUMMYFUNCTION("IF(A208="""","""",INDEX(FILTER(Roster!$A:$A,(Roster!$C:$C=A208)*(Roster!$F:$F=1)),1))"),"Veronica Perez")</f>
        <v>Veronica Perez</v>
      </c>
      <c r="AD208" s="5" t="str">
        <f>IFERROR(__xludf.DUMMYFUNCTION("IF(A208="""","""",INDEX(FILTER(Roster!$A:$A,(Roster!$C:$C=A208)*(Roster!$F:$F=2)),1))"),"Bernie")</f>
        <v>Bernie</v>
      </c>
      <c r="AE208" s="5">
        <v>0.0</v>
      </c>
      <c r="AF208" s="5">
        <v>0.0</v>
      </c>
      <c r="AG208" s="5" t="s">
        <v>350</v>
      </c>
      <c r="AH208" s="5">
        <v>1.0</v>
      </c>
      <c r="AI208" s="5">
        <v>0.0</v>
      </c>
      <c r="AJ208" s="5">
        <v>1.0</v>
      </c>
      <c r="AK208" s="5" t="s">
        <v>352</v>
      </c>
      <c r="AL208" s="5" t="s">
        <v>368</v>
      </c>
      <c r="AM208" s="5">
        <v>0.0</v>
      </c>
      <c r="AN208" s="5" t="s">
        <v>350</v>
      </c>
      <c r="AO208" s="5">
        <f t="shared" si="1"/>
        <v>0</v>
      </c>
      <c r="AP208" s="5">
        <f t="shared" si="2"/>
        <v>0</v>
      </c>
    </row>
    <row r="209">
      <c r="A209" s="5" t="str">
        <f t="array" ref="A209:A217">Calc_Engine!A113:A121</f>
        <v>Flight_8</v>
      </c>
      <c r="B209" s="5">
        <f t="array" ref="B209:B217">Calc_Engine!B113:B121</f>
        <v>1</v>
      </c>
      <c r="H209" s="5">
        <f t="array" ref="H209:H217">Calc_Engine!H113:H121</f>
        <v>6</v>
      </c>
      <c r="I209" s="5">
        <f t="array" ref="I209:I217">Calc_Engine!I113:I121</f>
        <v>1</v>
      </c>
      <c r="J209" s="5">
        <f t="array" ref="J209:J217">Calc_Engine!J113:J121</f>
        <v>5</v>
      </c>
      <c r="R209" s="5">
        <f t="array" ref="R209:R217">Calc_Engine!R113:R121</f>
        <v>5</v>
      </c>
      <c r="S209" s="5">
        <f t="array" ref="S209:S217">Calc_Engine!S113:S121</f>
        <v>1</v>
      </c>
      <c r="T209" s="5">
        <f t="array" ref="T209:T217">Calc_Engine!T113:T121</f>
        <v>4</v>
      </c>
      <c r="Y209" s="5" t="str">
        <f t="array" ref="Y209:Y217">Calc_Engine!Y113:Y121</f>
        <v>Blue</v>
      </c>
      <c r="Z209" s="1" t="s">
        <v>383</v>
      </c>
      <c r="AA209" s="5" t="str">
        <f>IFERROR(__xludf.DUMMYFUNCTION("IF(A209="""","""",INDEX(FILTER(Roster!$A:$A,(Roster!$C:$C=A209)*(Roster!$F:$F=3)),1))"),"Pilarica")</f>
        <v>Pilarica</v>
      </c>
      <c r="AB209" s="5" t="str">
        <f>IFERROR(__xludf.DUMMYFUNCTION("IF(A209="""","""",INDEX(FILTER(Roster!$A:$A,(Roster!$C:$C=A209)*(Roster!$F:$F=4)),1))"),"Camacho")</f>
        <v>Camacho</v>
      </c>
      <c r="AC209" s="5" t="str">
        <f>IFERROR(__xludf.DUMMYFUNCTION("IF(A209="""","""",INDEX(FILTER(Roster!$A:$A,(Roster!$C:$C=A209)*(Roster!$F:$F=1)),1))"),"Veronica Perez")</f>
        <v>Veronica Perez</v>
      </c>
      <c r="AD209" s="5" t="str">
        <f>IFERROR(__xludf.DUMMYFUNCTION("IF(A209="""","""",INDEX(FILTER(Roster!$A:$A,(Roster!$C:$C=A209)*(Roster!$F:$F=2)),1))"),"Bernie")</f>
        <v>Bernie</v>
      </c>
      <c r="AE209" s="5">
        <v>0.0</v>
      </c>
      <c r="AF209" s="5">
        <v>0.0</v>
      </c>
      <c r="AG209" s="5" t="s">
        <v>350</v>
      </c>
      <c r="AH209" s="5">
        <v>0.0</v>
      </c>
      <c r="AI209" s="5">
        <v>-1.0</v>
      </c>
      <c r="AJ209" s="5">
        <v>0.0</v>
      </c>
      <c r="AK209" s="5" t="s">
        <v>350</v>
      </c>
      <c r="AL209" s="5" t="s">
        <v>351</v>
      </c>
      <c r="AM209" s="5">
        <v>-1.0</v>
      </c>
      <c r="AN209" s="5" t="s">
        <v>352</v>
      </c>
      <c r="AO209" s="5">
        <f t="shared" si="1"/>
        <v>0</v>
      </c>
      <c r="AP209" s="5">
        <f t="shared" si="2"/>
        <v>0</v>
      </c>
    </row>
    <row r="210">
      <c r="A210" s="5" t="s">
        <v>46</v>
      </c>
      <c r="B210" s="5">
        <v>2.0</v>
      </c>
      <c r="H210" s="5">
        <v>6.0</v>
      </c>
      <c r="I210" s="5">
        <v>1.0</v>
      </c>
      <c r="J210" s="5">
        <v>5.0</v>
      </c>
      <c r="R210" s="5">
        <v>7.0</v>
      </c>
      <c r="S210" s="5">
        <v>1.0</v>
      </c>
      <c r="T210" s="5">
        <v>6.0</v>
      </c>
      <c r="Y210" s="5" t="s">
        <v>12</v>
      </c>
      <c r="Z210" s="1" t="s">
        <v>383</v>
      </c>
      <c r="AA210" s="5" t="str">
        <f>IFERROR(__xludf.DUMMYFUNCTION("IF(A210="""","""",INDEX(FILTER(Roster!$A:$A,(Roster!$C:$C=A210)*(Roster!$F:$F=3)),1))"),"Pilarica")</f>
        <v>Pilarica</v>
      </c>
      <c r="AB210" s="5" t="str">
        <f>IFERROR(__xludf.DUMMYFUNCTION("IF(A210="""","""",INDEX(FILTER(Roster!$A:$A,(Roster!$C:$C=A210)*(Roster!$F:$F=4)),1))"),"Camacho")</f>
        <v>Camacho</v>
      </c>
      <c r="AC210" s="5" t="str">
        <f>IFERROR(__xludf.DUMMYFUNCTION("IF(A210="""","""",INDEX(FILTER(Roster!$A:$A,(Roster!$C:$C=A210)*(Roster!$F:$F=1)),1))"),"Veronica Perez")</f>
        <v>Veronica Perez</v>
      </c>
      <c r="AD210" s="5" t="str">
        <f>IFERROR(__xludf.DUMMYFUNCTION("IF(A210="""","""",INDEX(FILTER(Roster!$A:$A,(Roster!$C:$C=A210)*(Roster!$F:$F=2)),1))"),"Bernie")</f>
        <v>Bernie</v>
      </c>
      <c r="AE210" s="5">
        <v>0.0</v>
      </c>
      <c r="AF210" s="5">
        <v>0.0</v>
      </c>
      <c r="AG210" s="5" t="s">
        <v>350</v>
      </c>
      <c r="AH210" s="5">
        <v>0.0</v>
      </c>
      <c r="AI210" s="5">
        <v>1.0</v>
      </c>
      <c r="AJ210" s="5">
        <v>0.0</v>
      </c>
      <c r="AK210" s="5" t="s">
        <v>350</v>
      </c>
      <c r="AL210" s="5" t="s">
        <v>351</v>
      </c>
      <c r="AM210" s="5">
        <v>0.0</v>
      </c>
      <c r="AN210" s="5" t="s">
        <v>350</v>
      </c>
      <c r="AO210" s="5">
        <f t="shared" si="1"/>
        <v>0</v>
      </c>
      <c r="AP210" s="5">
        <f t="shared" si="2"/>
        <v>0</v>
      </c>
    </row>
    <row r="211">
      <c r="A211" s="5" t="s">
        <v>46</v>
      </c>
      <c r="B211" s="5">
        <v>3.0</v>
      </c>
      <c r="H211" s="5">
        <v>4.0</v>
      </c>
      <c r="I211" s="5">
        <v>0.0</v>
      </c>
      <c r="J211" s="5">
        <v>4.0</v>
      </c>
      <c r="R211" s="5">
        <v>5.0</v>
      </c>
      <c r="S211" s="5">
        <v>0.0</v>
      </c>
      <c r="T211" s="5">
        <v>5.0</v>
      </c>
      <c r="Y211" s="5" t="s">
        <v>12</v>
      </c>
      <c r="Z211" s="1" t="s">
        <v>383</v>
      </c>
      <c r="AA211" s="5" t="str">
        <f>IFERROR(__xludf.DUMMYFUNCTION("IF(A211="""","""",INDEX(FILTER(Roster!$A:$A,(Roster!$C:$C=A211)*(Roster!$F:$F=3)),1))"),"Pilarica")</f>
        <v>Pilarica</v>
      </c>
      <c r="AB211" s="5" t="str">
        <f>IFERROR(__xludf.DUMMYFUNCTION("IF(A211="""","""",INDEX(FILTER(Roster!$A:$A,(Roster!$C:$C=A211)*(Roster!$F:$F=4)),1))"),"Camacho")</f>
        <v>Camacho</v>
      </c>
      <c r="AC211" s="5" t="str">
        <f>IFERROR(__xludf.DUMMYFUNCTION("IF(A211="""","""",INDEX(FILTER(Roster!$A:$A,(Roster!$C:$C=A211)*(Roster!$F:$F=1)),1))"),"Veronica Perez")</f>
        <v>Veronica Perez</v>
      </c>
      <c r="AD211" s="5" t="str">
        <f>IFERROR(__xludf.DUMMYFUNCTION("IF(A211="""","""",INDEX(FILTER(Roster!$A:$A,(Roster!$C:$C=A211)*(Roster!$F:$F=2)),1))"),"Bernie")</f>
        <v>Bernie</v>
      </c>
      <c r="AE211" s="5">
        <v>0.0</v>
      </c>
      <c r="AF211" s="5">
        <v>0.0</v>
      </c>
      <c r="AG211" s="5" t="s">
        <v>350</v>
      </c>
      <c r="AH211" s="5">
        <v>0.0</v>
      </c>
      <c r="AI211" s="5">
        <v>1.0</v>
      </c>
      <c r="AJ211" s="5">
        <v>0.0</v>
      </c>
      <c r="AK211" s="5" t="s">
        <v>350</v>
      </c>
      <c r="AL211" s="5" t="s">
        <v>351</v>
      </c>
      <c r="AM211" s="5">
        <v>1.0</v>
      </c>
      <c r="AN211" s="5" t="s">
        <v>352</v>
      </c>
      <c r="AO211" s="5">
        <f t="shared" si="1"/>
        <v>0</v>
      </c>
      <c r="AP211" s="5">
        <f t="shared" si="2"/>
        <v>0</v>
      </c>
    </row>
    <row r="212">
      <c r="A212" s="5" t="s">
        <v>46</v>
      </c>
      <c r="B212" s="5">
        <v>4.0</v>
      </c>
      <c r="H212" s="5">
        <v>5.0</v>
      </c>
      <c r="I212" s="5">
        <v>0.0</v>
      </c>
      <c r="J212" s="5">
        <v>5.0</v>
      </c>
      <c r="R212" s="5">
        <v>3.0</v>
      </c>
      <c r="S212" s="5">
        <v>0.0</v>
      </c>
      <c r="T212" s="5">
        <v>3.0</v>
      </c>
      <c r="Y212" s="5" t="s">
        <v>7</v>
      </c>
      <c r="Z212" s="1" t="s">
        <v>383</v>
      </c>
      <c r="AA212" s="5" t="str">
        <f>IFERROR(__xludf.DUMMYFUNCTION("IF(A212="""","""",INDEX(FILTER(Roster!$A:$A,(Roster!$C:$C=A212)*(Roster!$F:$F=3)),1))"),"Pilarica")</f>
        <v>Pilarica</v>
      </c>
      <c r="AB212" s="5" t="str">
        <f>IFERROR(__xludf.DUMMYFUNCTION("IF(A212="""","""",INDEX(FILTER(Roster!$A:$A,(Roster!$C:$C=A212)*(Roster!$F:$F=4)),1))"),"Camacho")</f>
        <v>Camacho</v>
      </c>
      <c r="AC212" s="5" t="str">
        <f>IFERROR(__xludf.DUMMYFUNCTION("IF(A212="""","""",INDEX(FILTER(Roster!$A:$A,(Roster!$C:$C=A212)*(Roster!$F:$F=1)),1))"),"Veronica Perez")</f>
        <v>Veronica Perez</v>
      </c>
      <c r="AD212" s="5" t="str">
        <f>IFERROR(__xludf.DUMMYFUNCTION("IF(A212="""","""",INDEX(FILTER(Roster!$A:$A,(Roster!$C:$C=A212)*(Roster!$F:$F=2)),1))"),"Bernie")</f>
        <v>Bernie</v>
      </c>
      <c r="AE212" s="5">
        <v>0.0</v>
      </c>
      <c r="AF212" s="5">
        <v>0.0</v>
      </c>
      <c r="AG212" s="5" t="s">
        <v>350</v>
      </c>
      <c r="AH212" s="5">
        <v>0.0</v>
      </c>
      <c r="AI212" s="5">
        <v>-1.0</v>
      </c>
      <c r="AJ212" s="5">
        <v>0.0</v>
      </c>
      <c r="AK212" s="5" t="s">
        <v>350</v>
      </c>
      <c r="AL212" s="5" t="s">
        <v>351</v>
      </c>
      <c r="AM212" s="5">
        <v>0.0</v>
      </c>
      <c r="AN212" s="5" t="s">
        <v>350</v>
      </c>
      <c r="AO212" s="5">
        <f t="shared" si="1"/>
        <v>0</v>
      </c>
      <c r="AP212" s="5">
        <f t="shared" si="2"/>
        <v>0</v>
      </c>
    </row>
    <row r="213">
      <c r="A213" s="5" t="s">
        <v>46</v>
      </c>
      <c r="B213" s="5">
        <v>5.0</v>
      </c>
      <c r="H213" s="5">
        <v>3.0</v>
      </c>
      <c r="I213" s="5">
        <v>1.0</v>
      </c>
      <c r="J213" s="5">
        <v>2.0</v>
      </c>
      <c r="R213" s="5">
        <v>5.0</v>
      </c>
      <c r="S213" s="5">
        <v>1.0</v>
      </c>
      <c r="T213" s="5">
        <v>4.0</v>
      </c>
      <c r="Y213" s="5" t="s">
        <v>12</v>
      </c>
      <c r="Z213" s="1" t="s">
        <v>383</v>
      </c>
      <c r="AA213" s="5" t="str">
        <f>IFERROR(__xludf.DUMMYFUNCTION("IF(A213="""","""",INDEX(FILTER(Roster!$A:$A,(Roster!$C:$C=A213)*(Roster!$F:$F=3)),1))"),"Pilarica")</f>
        <v>Pilarica</v>
      </c>
      <c r="AB213" s="5" t="str">
        <f>IFERROR(__xludf.DUMMYFUNCTION("IF(A213="""","""",INDEX(FILTER(Roster!$A:$A,(Roster!$C:$C=A213)*(Roster!$F:$F=4)),1))"),"Camacho")</f>
        <v>Camacho</v>
      </c>
      <c r="AC213" s="5" t="str">
        <f>IFERROR(__xludf.DUMMYFUNCTION("IF(A213="""","""",INDEX(FILTER(Roster!$A:$A,(Roster!$C:$C=A213)*(Roster!$F:$F=1)),1))"),"Veronica Perez")</f>
        <v>Veronica Perez</v>
      </c>
      <c r="AD213" s="5" t="str">
        <f>IFERROR(__xludf.DUMMYFUNCTION("IF(A213="""","""",INDEX(FILTER(Roster!$A:$A,(Roster!$C:$C=A213)*(Roster!$F:$F=2)),1))"),"Bernie")</f>
        <v>Bernie</v>
      </c>
      <c r="AE213" s="5">
        <v>0.0</v>
      </c>
      <c r="AF213" s="5">
        <v>0.0</v>
      </c>
      <c r="AG213" s="5" t="s">
        <v>350</v>
      </c>
      <c r="AH213" s="5">
        <v>0.0</v>
      </c>
      <c r="AI213" s="5">
        <v>1.0</v>
      </c>
      <c r="AJ213" s="5">
        <v>0.0</v>
      </c>
      <c r="AK213" s="5" t="s">
        <v>350</v>
      </c>
      <c r="AL213" s="5" t="s">
        <v>351</v>
      </c>
      <c r="AM213" s="5">
        <v>1.0</v>
      </c>
      <c r="AN213" s="5" t="s">
        <v>352</v>
      </c>
      <c r="AO213" s="5">
        <f t="shared" si="1"/>
        <v>0</v>
      </c>
      <c r="AP213" s="5">
        <f t="shared" si="2"/>
        <v>0</v>
      </c>
    </row>
    <row r="214">
      <c r="A214" s="5" t="s">
        <v>46</v>
      </c>
      <c r="B214" s="5">
        <v>6.0</v>
      </c>
      <c r="H214" s="5">
        <v>4.0</v>
      </c>
      <c r="I214" s="5">
        <v>1.0</v>
      </c>
      <c r="J214" s="5">
        <v>3.0</v>
      </c>
      <c r="R214" s="5">
        <v>5.0</v>
      </c>
      <c r="S214" s="5">
        <v>1.0</v>
      </c>
      <c r="T214" s="5">
        <v>4.0</v>
      </c>
      <c r="Y214" s="5" t="s">
        <v>12</v>
      </c>
      <c r="Z214" s="1" t="s">
        <v>383</v>
      </c>
      <c r="AA214" s="5" t="str">
        <f>IFERROR(__xludf.DUMMYFUNCTION("IF(A214="""","""",INDEX(FILTER(Roster!$A:$A,(Roster!$C:$C=A214)*(Roster!$F:$F=3)),1))"),"Pilarica")</f>
        <v>Pilarica</v>
      </c>
      <c r="AB214" s="5" t="str">
        <f>IFERROR(__xludf.DUMMYFUNCTION("IF(A214="""","""",INDEX(FILTER(Roster!$A:$A,(Roster!$C:$C=A214)*(Roster!$F:$F=4)),1))"),"Camacho")</f>
        <v>Camacho</v>
      </c>
      <c r="AC214" s="5" t="str">
        <f>IFERROR(__xludf.DUMMYFUNCTION("IF(A214="""","""",INDEX(FILTER(Roster!$A:$A,(Roster!$C:$C=A214)*(Roster!$F:$F=1)),1))"),"Veronica Perez")</f>
        <v>Veronica Perez</v>
      </c>
      <c r="AD214" s="5" t="str">
        <f>IFERROR(__xludf.DUMMYFUNCTION("IF(A214="""","""",INDEX(FILTER(Roster!$A:$A,(Roster!$C:$C=A214)*(Roster!$F:$F=2)),1))"),"Bernie")</f>
        <v>Bernie</v>
      </c>
      <c r="AE214" s="5">
        <v>0.0</v>
      </c>
      <c r="AF214" s="5">
        <v>0.0</v>
      </c>
      <c r="AG214" s="5" t="s">
        <v>350</v>
      </c>
      <c r="AH214" s="5">
        <v>0.0</v>
      </c>
      <c r="AI214" s="5">
        <v>1.0</v>
      </c>
      <c r="AJ214" s="5">
        <v>0.0</v>
      </c>
      <c r="AK214" s="5" t="s">
        <v>350</v>
      </c>
      <c r="AL214" s="5" t="s">
        <v>351</v>
      </c>
      <c r="AM214" s="5">
        <v>2.0</v>
      </c>
      <c r="AN214" s="5" t="s">
        <v>354</v>
      </c>
      <c r="AO214" s="5">
        <f t="shared" si="1"/>
        <v>0</v>
      </c>
      <c r="AP214" s="5">
        <f t="shared" si="2"/>
        <v>0</v>
      </c>
    </row>
    <row r="215">
      <c r="A215" s="5" t="s">
        <v>46</v>
      </c>
      <c r="B215" s="5">
        <v>7.0</v>
      </c>
      <c r="H215" s="5">
        <v>5.0</v>
      </c>
      <c r="I215" s="5">
        <v>0.0</v>
      </c>
      <c r="J215" s="5">
        <v>5.0</v>
      </c>
      <c r="R215" s="5">
        <v>3.0</v>
      </c>
      <c r="S215" s="5">
        <v>1.0</v>
      </c>
      <c r="T215" s="5">
        <v>2.0</v>
      </c>
      <c r="Y215" s="5" t="s">
        <v>7</v>
      </c>
      <c r="Z215" s="1" t="s">
        <v>383</v>
      </c>
      <c r="AA215" s="5" t="str">
        <f>IFERROR(__xludf.DUMMYFUNCTION("IF(A215="""","""",INDEX(FILTER(Roster!$A:$A,(Roster!$C:$C=A215)*(Roster!$F:$F=3)),1))"),"Pilarica")</f>
        <v>Pilarica</v>
      </c>
      <c r="AB215" s="5" t="str">
        <f>IFERROR(__xludf.DUMMYFUNCTION("IF(A215="""","""",INDEX(FILTER(Roster!$A:$A,(Roster!$C:$C=A215)*(Roster!$F:$F=4)),1))"),"Camacho")</f>
        <v>Camacho</v>
      </c>
      <c r="AC215" s="5" t="str">
        <f>IFERROR(__xludf.DUMMYFUNCTION("IF(A215="""","""",INDEX(FILTER(Roster!$A:$A,(Roster!$C:$C=A215)*(Roster!$F:$F=1)),1))"),"Veronica Perez")</f>
        <v>Veronica Perez</v>
      </c>
      <c r="AD215" s="5" t="str">
        <f>IFERROR(__xludf.DUMMYFUNCTION("IF(A215="""","""",INDEX(FILTER(Roster!$A:$A,(Roster!$C:$C=A215)*(Roster!$F:$F=2)),1))"),"Bernie")</f>
        <v>Bernie</v>
      </c>
      <c r="AE215" s="5">
        <v>0.0</v>
      </c>
      <c r="AF215" s="5">
        <v>0.0</v>
      </c>
      <c r="AG215" s="5" t="s">
        <v>350</v>
      </c>
      <c r="AH215" s="5">
        <v>0.0</v>
      </c>
      <c r="AI215" s="5">
        <v>-1.0</v>
      </c>
      <c r="AJ215" s="5">
        <v>0.0</v>
      </c>
      <c r="AK215" s="5" t="s">
        <v>350</v>
      </c>
      <c r="AL215" s="5" t="s">
        <v>351</v>
      </c>
      <c r="AM215" s="5">
        <v>1.0</v>
      </c>
      <c r="AN215" s="5" t="s">
        <v>352</v>
      </c>
      <c r="AO215" s="5">
        <f t="shared" si="1"/>
        <v>0</v>
      </c>
      <c r="AP215" s="5">
        <f t="shared" si="2"/>
        <v>0</v>
      </c>
    </row>
    <row r="216">
      <c r="A216" s="5" t="s">
        <v>46</v>
      </c>
      <c r="B216" s="5">
        <v>8.0</v>
      </c>
      <c r="H216" s="5">
        <v>6.0</v>
      </c>
      <c r="I216" s="5">
        <v>0.0</v>
      </c>
      <c r="J216" s="5">
        <v>6.0</v>
      </c>
      <c r="R216" s="5">
        <v>5.0</v>
      </c>
      <c r="S216" s="5">
        <v>1.0</v>
      </c>
      <c r="T216" s="5">
        <v>4.0</v>
      </c>
      <c r="Y216" s="5" t="s">
        <v>7</v>
      </c>
      <c r="Z216" s="1" t="s">
        <v>383</v>
      </c>
      <c r="AA216" s="5" t="str">
        <f>IFERROR(__xludf.DUMMYFUNCTION("IF(A216="""","""",INDEX(FILTER(Roster!$A:$A,(Roster!$C:$C=A216)*(Roster!$F:$F=3)),1))"),"Pilarica")</f>
        <v>Pilarica</v>
      </c>
      <c r="AB216" s="5" t="str">
        <f>IFERROR(__xludf.DUMMYFUNCTION("IF(A216="""","""",INDEX(FILTER(Roster!$A:$A,(Roster!$C:$C=A216)*(Roster!$F:$F=4)),1))"),"Camacho")</f>
        <v>Camacho</v>
      </c>
      <c r="AC216" s="5" t="str">
        <f>IFERROR(__xludf.DUMMYFUNCTION("IF(A216="""","""",INDEX(FILTER(Roster!$A:$A,(Roster!$C:$C=A216)*(Roster!$F:$F=1)),1))"),"Veronica Perez")</f>
        <v>Veronica Perez</v>
      </c>
      <c r="AD216" s="5" t="str">
        <f>IFERROR(__xludf.DUMMYFUNCTION("IF(A216="""","""",INDEX(FILTER(Roster!$A:$A,(Roster!$C:$C=A216)*(Roster!$F:$F=2)),1))"),"Bernie")</f>
        <v>Bernie</v>
      </c>
      <c r="AE216" s="5">
        <v>0.0</v>
      </c>
      <c r="AF216" s="5">
        <v>0.0</v>
      </c>
      <c r="AG216" s="5" t="s">
        <v>350</v>
      </c>
      <c r="AH216" s="5">
        <v>0.0</v>
      </c>
      <c r="AI216" s="5">
        <v>-1.0</v>
      </c>
      <c r="AJ216" s="5">
        <v>0.0</v>
      </c>
      <c r="AK216" s="5" t="s">
        <v>350</v>
      </c>
      <c r="AL216" s="5" t="s">
        <v>351</v>
      </c>
      <c r="AM216" s="5">
        <v>0.0</v>
      </c>
      <c r="AN216" s="5" t="s">
        <v>350</v>
      </c>
      <c r="AO216" s="5">
        <f t="shared" si="1"/>
        <v>0</v>
      </c>
      <c r="AP216" s="5">
        <f t="shared" si="2"/>
        <v>0</v>
      </c>
    </row>
    <row r="217">
      <c r="A217" s="5" t="s">
        <v>46</v>
      </c>
      <c r="B217" s="5">
        <v>9.0</v>
      </c>
      <c r="H217" s="5">
        <v>5.0</v>
      </c>
      <c r="I217" s="5">
        <v>1.0</v>
      </c>
      <c r="J217" s="5">
        <v>4.0</v>
      </c>
      <c r="R217" s="5">
        <v>5.0</v>
      </c>
      <c r="S217" s="5">
        <v>1.0</v>
      </c>
      <c r="T217" s="5">
        <v>4.0</v>
      </c>
      <c r="Y217" s="5" t="s">
        <v>353</v>
      </c>
      <c r="Z217" s="1" t="s">
        <v>383</v>
      </c>
      <c r="AA217" s="5" t="str">
        <f>IFERROR(__xludf.DUMMYFUNCTION("IF(A217="""","""",INDEX(FILTER(Roster!$A:$A,(Roster!$C:$C=A217)*(Roster!$F:$F=3)),1))"),"Pilarica")</f>
        <v>Pilarica</v>
      </c>
      <c r="AB217" s="5" t="str">
        <f>IFERROR(__xludf.DUMMYFUNCTION("IF(A217="""","""",INDEX(FILTER(Roster!$A:$A,(Roster!$C:$C=A217)*(Roster!$F:$F=4)),1))"),"Camacho")</f>
        <v>Camacho</v>
      </c>
      <c r="AC217" s="5" t="str">
        <f>IFERROR(__xludf.DUMMYFUNCTION("IF(A217="""","""",INDEX(FILTER(Roster!$A:$A,(Roster!$C:$C=A217)*(Roster!$F:$F=1)),1))"),"Veronica Perez")</f>
        <v>Veronica Perez</v>
      </c>
      <c r="AD217" s="5" t="str">
        <f>IFERROR(__xludf.DUMMYFUNCTION("IF(A217="""","""",INDEX(FILTER(Roster!$A:$A,(Roster!$C:$C=A217)*(Roster!$F:$F=2)),1))"),"Bernie")</f>
        <v>Bernie</v>
      </c>
      <c r="AE217" s="5">
        <v>0.0</v>
      </c>
      <c r="AF217" s="5">
        <v>0.0</v>
      </c>
      <c r="AG217" s="5" t="s">
        <v>350</v>
      </c>
      <c r="AH217" s="5">
        <v>0.0</v>
      </c>
      <c r="AI217" s="5">
        <v>0.0</v>
      </c>
      <c r="AJ217" s="5">
        <v>0.0</v>
      </c>
      <c r="AK217" s="5" t="s">
        <v>350</v>
      </c>
      <c r="AL217" s="5" t="s">
        <v>351</v>
      </c>
      <c r="AM217" s="5">
        <v>0.0</v>
      </c>
      <c r="AN217" s="5" t="s">
        <v>350</v>
      </c>
      <c r="AO217" s="5">
        <f t="shared" si="1"/>
        <v>0</v>
      </c>
      <c r="AP217" s="5">
        <f t="shared" si="2"/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3" width="32.25"/>
  </cols>
  <sheetData>
    <row r="1" ht="16.5" customHeight="1">
      <c r="A1" s="1" t="s">
        <v>319</v>
      </c>
      <c r="B1" s="1" t="s">
        <v>2</v>
      </c>
      <c r="C1" s="1" t="s">
        <v>50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2" t="s">
        <v>51</v>
      </c>
    </row>
    <row r="2" ht="16.5" customHeight="1">
      <c r="A2" s="8" t="s">
        <v>391</v>
      </c>
      <c r="B2" s="9" t="str">
        <f t="array" ref="B2:B10">Calc_Engine!A126:A134</f>
        <v>Flight_1</v>
      </c>
      <c r="C2" s="8">
        <v>10.0</v>
      </c>
      <c r="D2" s="9">
        <f>SUMIFS(Back9_Scores!$C:$C, Back9_Scores!$A:$A, B2, Back9_Scores!$B:$B, C2)</f>
        <v>4</v>
      </c>
      <c r="E2" s="9">
        <f t="array" ref="E2">INDEX(Calc_Engine!$D:$D, MATCH(1, (Calc_Engine!$A:$A=B2)*(Calc_Engine!$B:$B=C2), 0))</f>
        <v>0</v>
      </c>
      <c r="F2" s="9">
        <f t="array" ref="F2">INDEX(Calc_Engine!$E:$E, MATCH(1, (Calc_Engine!$A:$A=B2)*(Calc_Engine!$B:$B=C2), 0))</f>
        <v>4</v>
      </c>
      <c r="G2" s="9">
        <f>SUMIFS(Back9_Scores!$D:$D, Back9_Scores!$A:$A, B2, Back9_Scores!$B:$B, C2)</f>
        <v>5</v>
      </c>
      <c r="H2" s="9">
        <f t="array" ref="H2">INDEX(Calc_Engine!$G:$G, MATCH(1, (Calc_Engine!$A:$A=B2)*(Calc_Engine!$B:$B=C2), 0))</f>
        <v>1</v>
      </c>
      <c r="I2" s="9">
        <f t="array" ref="I2">INDEX(Calc_Engine!$H:$H, MATCH(1, (Calc_Engine!$A:$A=B2)*(Calc_Engine!$B:$B=C2), 0))</f>
        <v>4</v>
      </c>
      <c r="J2" s="9" t="str">
        <f t="array" ref="J2">INDEX(Calc_Engine!$I:$I, MATCH(1, (Calc_Engine!$A:$A=B2)*(Calc_Engine!$B:$B=C2), 0))</f>
        <v>Tie</v>
      </c>
      <c r="K2" s="9" t="str">
        <f t="array" ref="K2">INDEX(Roster!$A:$A,MATCH(B2,Roster!$C:$C,0)+2) &amp; " / " &amp; INDEX(Roster!$A:$A,MATCH(B2,Roster!$C:$C,0)+3)</f>
        <v>Fito / Adri Mejia</v>
      </c>
      <c r="L2" s="9" t="str">
        <f t="array" ref="L2">INDEX(Roster!$A:$A,MATCH(B2,Roster!$C:$C,0)) &amp; " / " &amp; INDEX(Roster!$A:$A,MATCH(B2,Roster!$C:$C,0)+1)</f>
        <v>Fercho / Gaitan</v>
      </c>
      <c r="M2" s="9" t="str">
        <f t="array" ref="M2">LET(flight_num, VALUE(RIGHT(B2, LEN(B2)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" s="9" t="str">
        <f t="array" ref="N2">LET(
    flight, B2,
    flight_num, VALUE(RIGHT(flight, LEN(flight) - 7)),
    base_row, 215 + (flight_num - 1) * 4 + 4,
    INDEX(Calc_Engine!$F:$F, base_row)
)</f>
        <v>Final</v>
      </c>
      <c r="O2" s="9">
        <f t="array" ref="O2:O50500">IF(A2:A50500="", "", IF(J2:J50500="Red", 1, IF(J2:J50500="Blue", -1, 0)))</f>
        <v>0</v>
      </c>
      <c r="P2" s="9">
        <f t="array" ref="P2:P50500">MAP(A2:A50500, C2:C50500, LAMBDA(match_id, hole_num, IF(match_id="", "", SUMIFS(O$2:O50500, A$2:A50500, match_id, C$2:C50500, "&lt;=" &amp; hole_num))))</f>
        <v>0</v>
      </c>
      <c r="Q2" s="9" t="str">
        <f t="array" ref="Q2:Q50500">IF(A2:A50500="", "", IF(P2:P50500=0, "A/S", ABS(P2:P50500) &amp; " UP"))</f>
        <v>A/S</v>
      </c>
      <c r="R2" s="9">
        <v>5.0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ht="16.5" customHeight="1">
      <c r="A3" s="1" t="s">
        <v>391</v>
      </c>
      <c r="B3" s="5" t="s">
        <v>8</v>
      </c>
      <c r="C3" s="1">
        <v>11.0</v>
      </c>
      <c r="D3" s="9">
        <f>SUMIFS(Back9_Scores!$C:$C, Back9_Scores!$A:$A, B3, Back9_Scores!$B:$B, C3)</f>
        <v>4</v>
      </c>
      <c r="E3" s="9">
        <f t="array" ref="E3">INDEX(Calc_Engine!$D:$D, MATCH(1, (Calc_Engine!$A:$A=B3)*(Calc_Engine!$B:$B=C3), 0))</f>
        <v>1</v>
      </c>
      <c r="F3" s="5">
        <f t="array" ref="F3">INDEX(Calc_Engine!$E:$E, MATCH(1, (Calc_Engine!$A:$A=B3)*(Calc_Engine!$B:$B=C3), 0))</f>
        <v>3</v>
      </c>
      <c r="G3" s="9">
        <f>SUMIFS(Back9_Scores!$D:$D, Back9_Scores!$A:$A, B3, Back9_Scores!$B:$B, C3)</f>
        <v>5</v>
      </c>
      <c r="H3" s="9">
        <f t="array" ref="H3">INDEX(Calc_Engine!$G:$G, MATCH(1, (Calc_Engine!$A:$A=B3)*(Calc_Engine!$B:$B=C3), 0))</f>
        <v>1</v>
      </c>
      <c r="I3" s="5">
        <f t="array" ref="I3">INDEX(Calc_Engine!$H:$H, MATCH(1, (Calc_Engine!$A:$A=B3)*(Calc_Engine!$B:$B=C3), 0))</f>
        <v>4</v>
      </c>
      <c r="J3" s="5" t="str">
        <f t="array" ref="J3">INDEX(Calc_Engine!$I:$I, MATCH(1, (Calc_Engine!$A:$A=B3)*(Calc_Engine!$B:$B=C3), 0))</f>
        <v>Red</v>
      </c>
      <c r="K3" s="5" t="str">
        <f t="array" ref="K3">INDEX(Roster!$A:$A,MATCH(B3,Roster!$C:$C,0)+2) &amp; " / " &amp; INDEX(Roster!$A:$A,MATCH(B3,Roster!$C:$C,0)+3)</f>
        <v>Fito / Adri Mejia</v>
      </c>
      <c r="L3" s="5" t="str">
        <f t="array" ref="L3">INDEX(Roster!$A:$A,MATCH(B3,Roster!$C:$C,0)) &amp; " / " &amp; INDEX(Roster!$A:$A,MATCH(B3,Roster!$C:$C,0)+1)</f>
        <v>Fercho / Gaitan</v>
      </c>
      <c r="M3" s="9" t="str">
        <f t="array" ref="M3">LET(flight_num, VALUE(RIGHT(B3, LEN(B3)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" s="9" t="str">
        <f t="array" ref="N3">LET(
    flight, B3,
    flight_num, VALUE(RIGHT(flight, LEN(flight) - 7)),
    base_row, 215 + (flight_num - 1) * 4 + 4,
    INDEX(Calc_Engine!$F:$F, base_row)
)</f>
        <v>Final</v>
      </c>
      <c r="O3" s="5">
        <v>1.0</v>
      </c>
      <c r="P3" s="5">
        <v>1.0</v>
      </c>
      <c r="Q3" s="5" t="s">
        <v>352</v>
      </c>
      <c r="R3" s="5">
        <v>4.0</v>
      </c>
    </row>
    <row r="4" ht="16.5" customHeight="1">
      <c r="A4" s="1" t="s">
        <v>391</v>
      </c>
      <c r="B4" s="5" t="s">
        <v>8</v>
      </c>
      <c r="C4" s="1">
        <v>12.0</v>
      </c>
      <c r="D4" s="9">
        <f>SUMIFS(Back9_Scores!$C:$C, Back9_Scores!$A:$A, B4, Back9_Scores!$B:$B, C4)</f>
        <v>2</v>
      </c>
      <c r="E4" s="9">
        <f t="array" ref="E4">INDEX(Calc_Engine!$D:$D, MATCH(1, (Calc_Engine!$A:$A=B4)*(Calc_Engine!$B:$B=C4), 0))</f>
        <v>1</v>
      </c>
      <c r="F4" s="5">
        <f t="array" ref="F4">INDEX(Calc_Engine!$E:$E, MATCH(1, (Calc_Engine!$A:$A=B4)*(Calc_Engine!$B:$B=C4), 0))</f>
        <v>1</v>
      </c>
      <c r="G4" s="9">
        <f>SUMIFS(Back9_Scores!$D:$D, Back9_Scores!$A:$A, B4, Back9_Scores!$B:$B, C4)</f>
        <v>3</v>
      </c>
      <c r="H4" s="9">
        <f t="array" ref="H4">INDEX(Calc_Engine!$G:$G, MATCH(1, (Calc_Engine!$A:$A=B4)*(Calc_Engine!$B:$B=C4), 0))</f>
        <v>1</v>
      </c>
      <c r="I4" s="5">
        <f t="array" ref="I4">INDEX(Calc_Engine!$H:$H, MATCH(1, (Calc_Engine!$A:$A=B4)*(Calc_Engine!$B:$B=C4), 0))</f>
        <v>2</v>
      </c>
      <c r="J4" s="5" t="str">
        <f t="array" ref="J4">INDEX(Calc_Engine!$I:$I, MATCH(1, (Calc_Engine!$A:$A=B4)*(Calc_Engine!$B:$B=C4), 0))</f>
        <v>Red</v>
      </c>
      <c r="K4" s="5" t="str">
        <f t="array" ref="K4">INDEX(Roster!$A:$A,MATCH(B4,Roster!$C:$C,0)+2) &amp; " / " &amp; INDEX(Roster!$A:$A,MATCH(B4,Roster!$C:$C,0)+3)</f>
        <v>Fito / Adri Mejia</v>
      </c>
      <c r="L4" s="5" t="str">
        <f t="array" ref="L4">INDEX(Roster!$A:$A,MATCH(B4,Roster!$C:$C,0)) &amp; " / " &amp; INDEX(Roster!$A:$A,MATCH(B4,Roster!$C:$C,0)+1)</f>
        <v>Fercho / Gaitan</v>
      </c>
      <c r="M4" s="9" t="str">
        <f t="array" ref="M4">LET(flight_num, VALUE(RIGHT(B4, LEN(B4)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" s="9" t="str">
        <f t="array" ref="N4">LET(
    flight, B4,
    flight_num, VALUE(RIGHT(flight, LEN(flight) - 7)),
    base_row, 215 + (flight_num - 1) * 4 + 4,
    INDEX(Calc_Engine!$F:$F, base_row)
)</f>
        <v>Final</v>
      </c>
      <c r="O4" s="5">
        <v>1.0</v>
      </c>
      <c r="P4" s="5">
        <v>2.0</v>
      </c>
      <c r="Q4" s="5" t="s">
        <v>354</v>
      </c>
      <c r="R4" s="5">
        <v>3.0</v>
      </c>
    </row>
    <row r="5" ht="16.5" customHeight="1">
      <c r="A5" s="1" t="s">
        <v>391</v>
      </c>
      <c r="B5" s="5" t="s">
        <v>8</v>
      </c>
      <c r="C5" s="1">
        <v>13.0</v>
      </c>
      <c r="D5" s="9">
        <f>SUMIFS(Back9_Scores!$C:$C, Back9_Scores!$A:$A, B5, Back9_Scores!$B:$B, C5)</f>
        <v>4</v>
      </c>
      <c r="E5" s="9">
        <f t="array" ref="E5">INDEX(Calc_Engine!$D:$D, MATCH(1, (Calc_Engine!$A:$A=B5)*(Calc_Engine!$B:$B=C5), 0))</f>
        <v>1</v>
      </c>
      <c r="F5" s="5">
        <f t="array" ref="F5">INDEX(Calc_Engine!$E:$E, MATCH(1, (Calc_Engine!$A:$A=B5)*(Calc_Engine!$B:$B=C5), 0))</f>
        <v>3</v>
      </c>
      <c r="G5" s="9">
        <f>SUMIFS(Back9_Scores!$D:$D, Back9_Scores!$A:$A, B5, Back9_Scores!$B:$B, C5)</f>
        <v>4</v>
      </c>
      <c r="H5" s="9">
        <f t="array" ref="H5">INDEX(Calc_Engine!$G:$G, MATCH(1, (Calc_Engine!$A:$A=B5)*(Calc_Engine!$B:$B=C5), 0))</f>
        <v>1</v>
      </c>
      <c r="I5" s="5">
        <f t="array" ref="I5">INDEX(Calc_Engine!$H:$H, MATCH(1, (Calc_Engine!$A:$A=B5)*(Calc_Engine!$B:$B=C5), 0))</f>
        <v>3</v>
      </c>
      <c r="J5" s="5" t="str">
        <f t="array" ref="J5">INDEX(Calc_Engine!$I:$I, MATCH(1, (Calc_Engine!$A:$A=B5)*(Calc_Engine!$B:$B=C5), 0))</f>
        <v>Tie</v>
      </c>
      <c r="K5" s="5" t="str">
        <f t="array" ref="K5">INDEX(Roster!$A:$A,MATCH(B5,Roster!$C:$C,0)+2) &amp; " / " &amp; INDEX(Roster!$A:$A,MATCH(B5,Roster!$C:$C,0)+3)</f>
        <v>Fito / Adri Mejia</v>
      </c>
      <c r="L5" s="5" t="str">
        <f t="array" ref="L5">INDEX(Roster!$A:$A,MATCH(B5,Roster!$C:$C,0)) &amp; " / " &amp; INDEX(Roster!$A:$A,MATCH(B5,Roster!$C:$C,0)+1)</f>
        <v>Fercho / Gaitan</v>
      </c>
      <c r="M5" s="9" t="str">
        <f t="array" ref="M5">LET(flight_num, VALUE(RIGHT(B5, LEN(B5)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" s="9" t="str">
        <f t="array" ref="N5">LET(
    flight, B5,
    flight_num, VALUE(RIGHT(flight, LEN(flight) - 7)),
    base_row, 215 + (flight_num - 1) * 4 + 4,
    INDEX(Calc_Engine!$F:$F, base_row)
)</f>
        <v>Final</v>
      </c>
      <c r="O5" s="5">
        <v>0.0</v>
      </c>
      <c r="P5" s="5">
        <v>2.0</v>
      </c>
      <c r="Q5" s="5" t="s">
        <v>354</v>
      </c>
      <c r="R5" s="5">
        <v>4.0</v>
      </c>
    </row>
    <row r="6" ht="16.5" customHeight="1">
      <c r="A6" s="1" t="s">
        <v>391</v>
      </c>
      <c r="B6" s="5" t="s">
        <v>8</v>
      </c>
      <c r="C6" s="1">
        <v>14.0</v>
      </c>
      <c r="D6" s="9">
        <f>SUMIFS(Back9_Scores!$C:$C, Back9_Scores!$A:$A, B6, Back9_Scores!$B:$B, C6)</f>
        <v>4</v>
      </c>
      <c r="E6" s="9">
        <f t="array" ref="E6">INDEX(Calc_Engine!$D:$D, MATCH(1, (Calc_Engine!$A:$A=B6)*(Calc_Engine!$B:$B=C6), 0))</f>
        <v>0</v>
      </c>
      <c r="F6" s="5">
        <f t="array" ref="F6">INDEX(Calc_Engine!$E:$E, MATCH(1, (Calc_Engine!$A:$A=B6)*(Calc_Engine!$B:$B=C6), 0))</f>
        <v>4</v>
      </c>
      <c r="G6" s="9">
        <f>SUMIFS(Back9_Scores!$D:$D, Back9_Scores!$A:$A, B6, Back9_Scores!$B:$B, C6)</f>
        <v>4</v>
      </c>
      <c r="H6" s="9">
        <f t="array" ref="H6">INDEX(Calc_Engine!$G:$G, MATCH(1, (Calc_Engine!$A:$A=B6)*(Calc_Engine!$B:$B=C6), 0))</f>
        <v>0</v>
      </c>
      <c r="I6" s="5">
        <f t="array" ref="I6">INDEX(Calc_Engine!$H:$H, MATCH(1, (Calc_Engine!$A:$A=B6)*(Calc_Engine!$B:$B=C6), 0))</f>
        <v>4</v>
      </c>
      <c r="J6" s="5" t="str">
        <f t="array" ref="J6">INDEX(Calc_Engine!$I:$I, MATCH(1, (Calc_Engine!$A:$A=B6)*(Calc_Engine!$B:$B=C6), 0))</f>
        <v>Tie</v>
      </c>
      <c r="K6" s="5" t="str">
        <f t="array" ref="K6">INDEX(Roster!$A:$A,MATCH(B6,Roster!$C:$C,0)+2) &amp; " / " &amp; INDEX(Roster!$A:$A,MATCH(B6,Roster!$C:$C,0)+3)</f>
        <v>Fito / Adri Mejia</v>
      </c>
      <c r="L6" s="5" t="str">
        <f t="array" ref="L6">INDEX(Roster!$A:$A,MATCH(B6,Roster!$C:$C,0)) &amp; " / " &amp; INDEX(Roster!$A:$A,MATCH(B6,Roster!$C:$C,0)+1)</f>
        <v>Fercho / Gaitan</v>
      </c>
      <c r="M6" s="9" t="str">
        <f t="array" ref="M6">LET(flight_num, VALUE(RIGHT(B6, LEN(B6)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" s="9" t="str">
        <f t="array" ref="N6">LET(
    flight, B6,
    flight_num, VALUE(RIGHT(flight, LEN(flight) - 7)),
    base_row, 215 + (flight_num - 1) * 4 + 4,
    INDEX(Calc_Engine!$F:$F, base_row)
)</f>
        <v>Final</v>
      </c>
      <c r="O6" s="5">
        <v>0.0</v>
      </c>
      <c r="P6" s="5">
        <v>2.0</v>
      </c>
      <c r="Q6" s="5" t="s">
        <v>354</v>
      </c>
      <c r="R6" s="5">
        <v>4.0</v>
      </c>
    </row>
    <row r="7" ht="16.5" customHeight="1">
      <c r="A7" s="1" t="s">
        <v>391</v>
      </c>
      <c r="B7" s="5" t="s">
        <v>8</v>
      </c>
      <c r="C7" s="1">
        <v>15.0</v>
      </c>
      <c r="D7" s="9">
        <f>SUMIFS(Back9_Scores!$C:$C, Back9_Scores!$A:$A, B7, Back9_Scores!$B:$B, C7)</f>
        <v>3</v>
      </c>
      <c r="E7" s="9">
        <f t="array" ref="E7">INDEX(Calc_Engine!$D:$D, MATCH(1, (Calc_Engine!$A:$A=B7)*(Calc_Engine!$B:$B=C7), 0))</f>
        <v>0</v>
      </c>
      <c r="F7" s="5">
        <f t="array" ref="F7">INDEX(Calc_Engine!$E:$E, MATCH(1, (Calc_Engine!$A:$A=B7)*(Calc_Engine!$B:$B=C7), 0))</f>
        <v>3</v>
      </c>
      <c r="G7" s="9">
        <f>SUMIFS(Back9_Scores!$D:$D, Back9_Scores!$A:$A, B7, Back9_Scores!$B:$B, C7)</f>
        <v>3</v>
      </c>
      <c r="H7" s="9">
        <f t="array" ref="H7">INDEX(Calc_Engine!$G:$G, MATCH(1, (Calc_Engine!$A:$A=B7)*(Calc_Engine!$B:$B=C7), 0))</f>
        <v>0</v>
      </c>
      <c r="I7" s="5">
        <f t="array" ref="I7">INDEX(Calc_Engine!$H:$H, MATCH(1, (Calc_Engine!$A:$A=B7)*(Calc_Engine!$B:$B=C7), 0))</f>
        <v>3</v>
      </c>
      <c r="J7" s="5" t="str">
        <f t="array" ref="J7">INDEX(Calc_Engine!$I:$I, MATCH(1, (Calc_Engine!$A:$A=B7)*(Calc_Engine!$B:$B=C7), 0))</f>
        <v>Tie</v>
      </c>
      <c r="K7" s="5" t="str">
        <f t="array" ref="K7">INDEX(Roster!$A:$A,MATCH(B7,Roster!$C:$C,0)+2) &amp; " / " &amp; INDEX(Roster!$A:$A,MATCH(B7,Roster!$C:$C,0)+3)</f>
        <v>Fito / Adri Mejia</v>
      </c>
      <c r="L7" s="5" t="str">
        <f t="array" ref="L7">INDEX(Roster!$A:$A,MATCH(B7,Roster!$C:$C,0)) &amp; " / " &amp; INDEX(Roster!$A:$A,MATCH(B7,Roster!$C:$C,0)+1)</f>
        <v>Fercho / Gaitan</v>
      </c>
      <c r="M7" s="9" t="str">
        <f t="array" ref="M7">LET(flight_num, VALUE(RIGHT(B7, LEN(B7)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7" s="9" t="str">
        <f t="array" ref="N7">LET(
    flight, B7,
    flight_num, VALUE(RIGHT(flight, LEN(flight) - 7)),
    base_row, 215 + (flight_num - 1) * 4 + 4,
    INDEX(Calc_Engine!$F:$F, base_row)
)</f>
        <v>Final</v>
      </c>
      <c r="O7" s="5">
        <v>0.0</v>
      </c>
      <c r="P7" s="5">
        <v>2.0</v>
      </c>
      <c r="Q7" s="5" t="s">
        <v>354</v>
      </c>
      <c r="R7" s="5">
        <v>3.0</v>
      </c>
    </row>
    <row r="8" ht="16.5" customHeight="1">
      <c r="A8" s="1" t="s">
        <v>391</v>
      </c>
      <c r="B8" s="5" t="s">
        <v>8</v>
      </c>
      <c r="C8" s="1">
        <v>16.0</v>
      </c>
      <c r="D8" s="9">
        <f>SUMIFS(Back9_Scores!$C:$C, Back9_Scores!$A:$A, B8, Back9_Scores!$B:$B, C8)</f>
        <v>4</v>
      </c>
      <c r="E8" s="9">
        <f t="array" ref="E8">INDEX(Calc_Engine!$D:$D, MATCH(1, (Calc_Engine!$A:$A=B8)*(Calc_Engine!$B:$B=C8), 0))</f>
        <v>0</v>
      </c>
      <c r="F8" s="5">
        <f t="array" ref="F8">INDEX(Calc_Engine!$E:$E, MATCH(1, (Calc_Engine!$A:$A=B8)*(Calc_Engine!$B:$B=C8), 0))</f>
        <v>4</v>
      </c>
      <c r="G8" s="9">
        <f>SUMIFS(Back9_Scores!$D:$D, Back9_Scores!$A:$A, B8, Back9_Scores!$B:$B, C8)</f>
        <v>5</v>
      </c>
      <c r="H8" s="9">
        <f t="array" ref="H8">INDEX(Calc_Engine!$G:$G, MATCH(1, (Calc_Engine!$A:$A=B8)*(Calc_Engine!$B:$B=C8), 0))</f>
        <v>0</v>
      </c>
      <c r="I8" s="5">
        <f t="array" ref="I8">INDEX(Calc_Engine!$H:$H, MATCH(1, (Calc_Engine!$A:$A=B8)*(Calc_Engine!$B:$B=C8), 0))</f>
        <v>5</v>
      </c>
      <c r="J8" s="5" t="str">
        <f t="array" ref="J8">INDEX(Calc_Engine!$I:$I, MATCH(1, (Calc_Engine!$A:$A=B8)*(Calc_Engine!$B:$B=C8), 0))</f>
        <v>Red</v>
      </c>
      <c r="K8" s="5" t="str">
        <f t="array" ref="K8">INDEX(Roster!$A:$A,MATCH(B8,Roster!$C:$C,0)+2) &amp; " / " &amp; INDEX(Roster!$A:$A,MATCH(B8,Roster!$C:$C,0)+3)</f>
        <v>Fito / Adri Mejia</v>
      </c>
      <c r="L8" s="5" t="str">
        <f t="array" ref="L8">INDEX(Roster!$A:$A,MATCH(B8,Roster!$C:$C,0)) &amp; " / " &amp; INDEX(Roster!$A:$A,MATCH(B8,Roster!$C:$C,0)+1)</f>
        <v>Fercho / Gaitan</v>
      </c>
      <c r="M8" s="9" t="str">
        <f t="array" ref="M8">LET(flight_num, VALUE(RIGHT(B8, LEN(B8)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8" s="9" t="str">
        <f t="array" ref="N8">LET(
    flight, B8,
    flight_num, VALUE(RIGHT(flight, LEN(flight) - 7)),
    base_row, 215 + (flight_num - 1) * 4 + 4,
    INDEX(Calc_Engine!$F:$F, base_row)
)</f>
        <v>Final</v>
      </c>
      <c r="O8" s="5">
        <v>1.0</v>
      </c>
      <c r="P8" s="5">
        <v>3.0</v>
      </c>
      <c r="Q8" s="5" t="s">
        <v>358</v>
      </c>
      <c r="R8" s="5">
        <v>4.0</v>
      </c>
    </row>
    <row r="9" ht="16.5" customHeight="1">
      <c r="A9" s="1" t="s">
        <v>391</v>
      </c>
      <c r="B9" s="5" t="s">
        <v>8</v>
      </c>
      <c r="C9" s="1">
        <v>17.0</v>
      </c>
      <c r="D9" s="9">
        <f>SUMIFS(Back9_Scores!$C:$C, Back9_Scores!$A:$A, B9, Back9_Scores!$B:$B, C9)</f>
        <v>5</v>
      </c>
      <c r="E9" s="9">
        <f t="array" ref="E9">INDEX(Calc_Engine!$D:$D, MATCH(1, (Calc_Engine!$A:$A=B9)*(Calc_Engine!$B:$B=C9), 0))</f>
        <v>0</v>
      </c>
      <c r="F9" s="5">
        <f t="array" ref="F9">INDEX(Calc_Engine!$E:$E, MATCH(1, (Calc_Engine!$A:$A=B9)*(Calc_Engine!$B:$B=C9), 0))</f>
        <v>5</v>
      </c>
      <c r="G9" s="9">
        <f>SUMIFS(Back9_Scores!$D:$D, Back9_Scores!$A:$A, B9, Back9_Scores!$B:$B, C9)</f>
        <v>5</v>
      </c>
      <c r="H9" s="9">
        <f t="array" ref="H9">INDEX(Calc_Engine!$G:$G, MATCH(1, (Calc_Engine!$A:$A=B9)*(Calc_Engine!$B:$B=C9), 0))</f>
        <v>1</v>
      </c>
      <c r="I9" s="5">
        <f t="array" ref="I9">INDEX(Calc_Engine!$H:$H, MATCH(1, (Calc_Engine!$A:$A=B9)*(Calc_Engine!$B:$B=C9), 0))</f>
        <v>4</v>
      </c>
      <c r="J9" s="5" t="str">
        <f t="array" ref="J9">INDEX(Calc_Engine!$I:$I, MATCH(1, (Calc_Engine!$A:$A=B9)*(Calc_Engine!$B:$B=C9), 0))</f>
        <v>Blue</v>
      </c>
      <c r="K9" s="5" t="str">
        <f t="array" ref="K9">INDEX(Roster!$A:$A,MATCH(B9,Roster!$C:$C,0)+2) &amp; " / " &amp; INDEX(Roster!$A:$A,MATCH(B9,Roster!$C:$C,0)+3)</f>
        <v>Fito / Adri Mejia</v>
      </c>
      <c r="L9" s="5" t="str">
        <f t="array" ref="L9">INDEX(Roster!$A:$A,MATCH(B9,Roster!$C:$C,0)) &amp; " / " &amp; INDEX(Roster!$A:$A,MATCH(B9,Roster!$C:$C,0)+1)</f>
        <v>Fercho / Gaitan</v>
      </c>
      <c r="M9" s="9" t="str">
        <f t="array" ref="M9">LET(flight_num, VALUE(RIGHT(B9, LEN(B9)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9" s="9" t="str">
        <f t="array" ref="N9">LET(
    flight, B9,
    flight_num, VALUE(RIGHT(flight, LEN(flight) - 7)),
    base_row, 215 + (flight_num - 1) * 4 + 4,
    INDEX(Calc_Engine!$F:$F, base_row)
)</f>
        <v>Final</v>
      </c>
      <c r="O9" s="5">
        <v>-1.0</v>
      </c>
      <c r="P9" s="5">
        <v>2.0</v>
      </c>
      <c r="Q9" s="5" t="s">
        <v>354</v>
      </c>
      <c r="R9" s="5">
        <v>4.0</v>
      </c>
    </row>
    <row r="10" ht="16.5" customHeight="1">
      <c r="A10" s="1" t="s">
        <v>391</v>
      </c>
      <c r="B10" s="5" t="s">
        <v>8</v>
      </c>
      <c r="C10" s="1">
        <v>18.0</v>
      </c>
      <c r="D10" s="9">
        <f>SUMIFS(Back9_Scores!$C:$C, Back9_Scores!$A:$A, B10, Back9_Scores!$B:$B, C10)</f>
        <v>5</v>
      </c>
      <c r="E10" s="9">
        <f t="array" ref="E10">INDEX(Calc_Engine!$D:$D, MATCH(1, (Calc_Engine!$A:$A=B10)*(Calc_Engine!$B:$B=C10), 0))</f>
        <v>0</v>
      </c>
      <c r="F10" s="5">
        <f t="array" ref="F10">INDEX(Calc_Engine!$E:$E, MATCH(1, (Calc_Engine!$A:$A=B10)*(Calc_Engine!$B:$B=C10), 0))</f>
        <v>5</v>
      </c>
      <c r="G10" s="9">
        <f>SUMIFS(Back9_Scores!$D:$D, Back9_Scores!$A:$A, B10, Back9_Scores!$B:$B, C10)</f>
        <v>7</v>
      </c>
      <c r="H10" s="9">
        <f t="array" ref="H10">INDEX(Calc_Engine!$G:$G, MATCH(1, (Calc_Engine!$A:$A=B10)*(Calc_Engine!$B:$B=C10), 0))</f>
        <v>0</v>
      </c>
      <c r="I10" s="5">
        <f t="array" ref="I10">INDEX(Calc_Engine!$H:$H, MATCH(1, (Calc_Engine!$A:$A=B10)*(Calc_Engine!$B:$B=C10), 0))</f>
        <v>7</v>
      </c>
      <c r="J10" s="5" t="str">
        <f t="array" ref="J10">INDEX(Calc_Engine!$I:$I, MATCH(1, (Calc_Engine!$A:$A=B10)*(Calc_Engine!$B:$B=C10), 0))</f>
        <v>Red</v>
      </c>
      <c r="K10" s="5" t="str">
        <f t="array" ref="K10">INDEX(Roster!$A:$A,MATCH(B10,Roster!$C:$C,0)+2) &amp; " / " &amp; INDEX(Roster!$A:$A,MATCH(B10,Roster!$C:$C,0)+3)</f>
        <v>Fito / Adri Mejia</v>
      </c>
      <c r="L10" s="5" t="str">
        <f t="array" ref="L10">INDEX(Roster!$A:$A,MATCH(B10,Roster!$C:$C,0)) &amp; " / " &amp; INDEX(Roster!$A:$A,MATCH(B10,Roster!$C:$C,0)+1)</f>
        <v>Fercho / Gaitan</v>
      </c>
      <c r="M10" s="9" t="str">
        <f t="array" ref="M10">LET(flight_num, VALUE(RIGHT(B10, LEN(B10)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0" s="9" t="str">
        <f t="array" ref="N10">LET(
    flight, B10,
    flight_num, VALUE(RIGHT(flight, LEN(flight) - 7)),
    base_row, 215 + (flight_num - 1) * 4 + 4,
    INDEX(Calc_Engine!$F:$F, base_row)
)</f>
        <v>Final</v>
      </c>
      <c r="O10" s="5">
        <v>1.0</v>
      </c>
      <c r="P10" s="5">
        <v>3.0</v>
      </c>
      <c r="Q10" s="5" t="s">
        <v>358</v>
      </c>
      <c r="R10" s="5">
        <v>5.0</v>
      </c>
    </row>
    <row r="11" ht="16.5" customHeight="1">
      <c r="A11" s="1" t="s">
        <v>392</v>
      </c>
      <c r="B11" s="5" t="str">
        <f t="array" ref="B11:B19">Calc_Engine!A137:A145</f>
        <v>Flight_2</v>
      </c>
      <c r="C11" s="1">
        <v>10.0</v>
      </c>
      <c r="D11" s="9">
        <f>SUMIFS(Back9_Scores!$C:$C, Back9_Scores!$A:$A, B11, Back9_Scores!$B:$B, C11)</f>
        <v>5</v>
      </c>
      <c r="E11" s="9">
        <f t="array" ref="E11">INDEX(Calc_Engine!$D:$D, MATCH(1, (Calc_Engine!$A:$A=B11)*(Calc_Engine!$B:$B=C11), 0))</f>
        <v>0</v>
      </c>
      <c r="F11" s="5">
        <f t="array" ref="F11">INDEX(Calc_Engine!$E:$E, MATCH(1, (Calc_Engine!$A:$A=B11)*(Calc_Engine!$B:$B=C11), 0))</f>
        <v>5</v>
      </c>
      <c r="G11" s="9">
        <f>SUMIFS(Back9_Scores!$D:$D, Back9_Scores!$A:$A, B11, Back9_Scores!$B:$B, C11)</f>
        <v>5</v>
      </c>
      <c r="H11" s="9">
        <f t="array" ref="H11">INDEX(Calc_Engine!$G:$G, MATCH(1, (Calc_Engine!$A:$A=B11)*(Calc_Engine!$B:$B=C11), 0))</f>
        <v>0</v>
      </c>
      <c r="I11" s="5">
        <f t="array" ref="I11">INDEX(Calc_Engine!$H:$H, MATCH(1, (Calc_Engine!$A:$A=B11)*(Calc_Engine!$B:$B=C11), 0))</f>
        <v>5</v>
      </c>
      <c r="J11" s="5" t="str">
        <f t="array" ref="J11">INDEX(Calc_Engine!$I:$I, MATCH(1, (Calc_Engine!$A:$A=B11)*(Calc_Engine!$B:$B=C11), 0))</f>
        <v>Tie</v>
      </c>
      <c r="K11" s="5" t="str">
        <f t="array" ref="K11">INDEX(Roster!$A:$A,MATCH(B11,Roster!$C:$C,0)+2) &amp; " / " &amp; INDEX(Roster!$A:$A,MATCH(B11,Roster!$C:$C,0)+3)</f>
        <v>Cadavid / Saenz</v>
      </c>
      <c r="L11" s="5" t="str">
        <f t="array" ref="L11">INDEX(Roster!$A:$A,MATCH(B11,Roster!$C:$C,0)) &amp; " / " &amp; INDEX(Roster!$A:$A,MATCH(B11,Roster!$C:$C,0)+1)</f>
        <v>Otto Fenwarth / Valenzuela</v>
      </c>
      <c r="M11" s="9" t="str">
        <f t="array" ref="M11">LET(flight_num, VALUE(RIGHT(B11, LEN(B11)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1" s="9" t="str">
        <f t="array" ref="N11">LET(
    flight, B11,
    flight_num, VALUE(RIGHT(flight, LEN(flight) - 7)),
    base_row, 215 + (flight_num - 1) * 4 + 4,
    INDEX(Calc_Engine!$F:$F, base_row)
)</f>
        <v>Final</v>
      </c>
      <c r="O11" s="5">
        <v>0.0</v>
      </c>
      <c r="P11" s="5">
        <v>0.0</v>
      </c>
      <c r="Q11" s="5" t="s">
        <v>350</v>
      </c>
      <c r="R11" s="5">
        <v>5.0</v>
      </c>
    </row>
    <row r="12" ht="16.5" customHeight="1">
      <c r="A12" s="1" t="s">
        <v>392</v>
      </c>
      <c r="B12" s="5" t="s">
        <v>16</v>
      </c>
      <c r="C12" s="1">
        <v>11.0</v>
      </c>
      <c r="D12" s="9">
        <f>SUMIFS(Back9_Scores!$C:$C, Back9_Scores!$A:$A, B12, Back9_Scores!$B:$B, C12)</f>
        <v>4</v>
      </c>
      <c r="E12" s="9">
        <f t="array" ref="E12">INDEX(Calc_Engine!$D:$D, MATCH(1, (Calc_Engine!$A:$A=B12)*(Calc_Engine!$B:$B=C12), 0))</f>
        <v>1</v>
      </c>
      <c r="F12" s="5">
        <f t="array" ref="F12">INDEX(Calc_Engine!$E:$E, MATCH(1, (Calc_Engine!$A:$A=B12)*(Calc_Engine!$B:$B=C12), 0))</f>
        <v>3</v>
      </c>
      <c r="G12" s="9">
        <f>SUMIFS(Back9_Scores!$D:$D, Back9_Scores!$A:$A, B12, Back9_Scores!$B:$B, C12)</f>
        <v>4</v>
      </c>
      <c r="H12" s="9">
        <f t="array" ref="H12">INDEX(Calc_Engine!$G:$G, MATCH(1, (Calc_Engine!$A:$A=B12)*(Calc_Engine!$B:$B=C12), 0))</f>
        <v>1</v>
      </c>
      <c r="I12" s="5">
        <f t="array" ref="I12">INDEX(Calc_Engine!$H:$H, MATCH(1, (Calc_Engine!$A:$A=B12)*(Calc_Engine!$B:$B=C12), 0))</f>
        <v>3</v>
      </c>
      <c r="J12" s="5" t="str">
        <f t="array" ref="J12">INDEX(Calc_Engine!$I:$I, MATCH(1, (Calc_Engine!$A:$A=B12)*(Calc_Engine!$B:$B=C12), 0))</f>
        <v>Tie</v>
      </c>
      <c r="K12" s="5" t="str">
        <f t="array" ref="K12">INDEX(Roster!$A:$A,MATCH(B12,Roster!$C:$C,0)+2) &amp; " / " &amp; INDEX(Roster!$A:$A,MATCH(B12,Roster!$C:$C,0)+3)</f>
        <v>Cadavid / Saenz</v>
      </c>
      <c r="L12" s="5" t="str">
        <f t="array" ref="L12">INDEX(Roster!$A:$A,MATCH(B12,Roster!$C:$C,0)) &amp; " / " &amp; INDEX(Roster!$A:$A,MATCH(B12,Roster!$C:$C,0)+1)</f>
        <v>Otto Fenwarth / Valenzuela</v>
      </c>
      <c r="M12" s="9" t="str">
        <f t="array" ref="M12">LET(flight_num, VALUE(RIGHT(B12, LEN(B12)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2" s="9" t="str">
        <f t="array" ref="N12">LET(
    flight, B12,
    flight_num, VALUE(RIGHT(flight, LEN(flight) - 7)),
    base_row, 215 + (flight_num - 1) * 4 + 4,
    INDEX(Calc_Engine!$F:$F, base_row)
)</f>
        <v>Final</v>
      </c>
      <c r="O12" s="5">
        <v>0.0</v>
      </c>
      <c r="P12" s="5">
        <v>0.0</v>
      </c>
      <c r="Q12" s="5" t="s">
        <v>350</v>
      </c>
      <c r="R12" s="5">
        <v>4.0</v>
      </c>
    </row>
    <row r="13" ht="16.5" customHeight="1">
      <c r="A13" s="1" t="s">
        <v>392</v>
      </c>
      <c r="B13" s="5" t="s">
        <v>16</v>
      </c>
      <c r="C13" s="1">
        <v>12.0</v>
      </c>
      <c r="D13" s="9">
        <f>SUMIFS(Back9_Scores!$C:$C, Back9_Scores!$A:$A, B13, Back9_Scores!$B:$B, C13)</f>
        <v>4</v>
      </c>
      <c r="E13" s="9">
        <f t="array" ref="E13">INDEX(Calc_Engine!$D:$D, MATCH(1, (Calc_Engine!$A:$A=B13)*(Calc_Engine!$B:$B=C13), 0))</f>
        <v>1</v>
      </c>
      <c r="F13" s="5">
        <f t="array" ref="F13">INDEX(Calc_Engine!$E:$E, MATCH(1, (Calc_Engine!$A:$A=B13)*(Calc_Engine!$B:$B=C13), 0))</f>
        <v>3</v>
      </c>
      <c r="G13" s="9">
        <f>SUMIFS(Back9_Scores!$D:$D, Back9_Scores!$A:$A, B13, Back9_Scores!$B:$B, C13)</f>
        <v>3</v>
      </c>
      <c r="H13" s="9">
        <f t="array" ref="H13">INDEX(Calc_Engine!$G:$G, MATCH(1, (Calc_Engine!$A:$A=B13)*(Calc_Engine!$B:$B=C13), 0))</f>
        <v>1</v>
      </c>
      <c r="I13" s="5">
        <f t="array" ref="I13">INDEX(Calc_Engine!$H:$H, MATCH(1, (Calc_Engine!$A:$A=B13)*(Calc_Engine!$B:$B=C13), 0))</f>
        <v>2</v>
      </c>
      <c r="J13" s="5" t="str">
        <f t="array" ref="J13">INDEX(Calc_Engine!$I:$I, MATCH(1, (Calc_Engine!$A:$A=B13)*(Calc_Engine!$B:$B=C13), 0))</f>
        <v>Blue</v>
      </c>
      <c r="K13" s="5" t="str">
        <f t="array" ref="K13">INDEX(Roster!$A:$A,MATCH(B13,Roster!$C:$C,0)+2) &amp; " / " &amp; INDEX(Roster!$A:$A,MATCH(B13,Roster!$C:$C,0)+3)</f>
        <v>Cadavid / Saenz</v>
      </c>
      <c r="L13" s="5" t="str">
        <f t="array" ref="L13">INDEX(Roster!$A:$A,MATCH(B13,Roster!$C:$C,0)) &amp; " / " &amp; INDEX(Roster!$A:$A,MATCH(B13,Roster!$C:$C,0)+1)</f>
        <v>Otto Fenwarth / Valenzuela</v>
      </c>
      <c r="M13" s="9" t="str">
        <f t="array" ref="M13">LET(flight_num, VALUE(RIGHT(B13, LEN(B13)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3" s="9" t="str">
        <f t="array" ref="N13">LET(
    flight, B13,
    flight_num, VALUE(RIGHT(flight, LEN(flight) - 7)),
    base_row, 215 + (flight_num - 1) * 4 + 4,
    INDEX(Calc_Engine!$F:$F, base_row)
)</f>
        <v>Final</v>
      </c>
      <c r="O13" s="5">
        <v>-1.0</v>
      </c>
      <c r="P13" s="5">
        <v>-1.0</v>
      </c>
      <c r="Q13" s="5" t="s">
        <v>352</v>
      </c>
      <c r="R13" s="5">
        <v>3.0</v>
      </c>
    </row>
    <row r="14" ht="16.5" customHeight="1">
      <c r="A14" s="1" t="s">
        <v>392</v>
      </c>
      <c r="B14" s="5" t="s">
        <v>16</v>
      </c>
      <c r="C14" s="1">
        <v>13.0</v>
      </c>
      <c r="D14" s="9">
        <f>SUMIFS(Back9_Scores!$C:$C, Back9_Scores!$A:$A, B14, Back9_Scores!$B:$B, C14)</f>
        <v>4</v>
      </c>
      <c r="E14" s="9">
        <f t="array" ref="E14">INDEX(Calc_Engine!$D:$D, MATCH(1, (Calc_Engine!$A:$A=B14)*(Calc_Engine!$B:$B=C14), 0))</f>
        <v>0</v>
      </c>
      <c r="F14" s="5">
        <f t="array" ref="F14">INDEX(Calc_Engine!$E:$E, MATCH(1, (Calc_Engine!$A:$A=B14)*(Calc_Engine!$B:$B=C14), 0))</f>
        <v>4</v>
      </c>
      <c r="G14" s="9">
        <f>SUMIFS(Back9_Scores!$D:$D, Back9_Scores!$A:$A, B14, Back9_Scores!$B:$B, C14)</f>
        <v>4</v>
      </c>
      <c r="H14" s="9">
        <f t="array" ref="H14">INDEX(Calc_Engine!$G:$G, MATCH(1, (Calc_Engine!$A:$A=B14)*(Calc_Engine!$B:$B=C14), 0))</f>
        <v>1</v>
      </c>
      <c r="I14" s="5">
        <f t="array" ref="I14">INDEX(Calc_Engine!$H:$H, MATCH(1, (Calc_Engine!$A:$A=B14)*(Calc_Engine!$B:$B=C14), 0))</f>
        <v>3</v>
      </c>
      <c r="J14" s="5" t="str">
        <f t="array" ref="J14">INDEX(Calc_Engine!$I:$I, MATCH(1, (Calc_Engine!$A:$A=B14)*(Calc_Engine!$B:$B=C14), 0))</f>
        <v>Blue</v>
      </c>
      <c r="K14" s="5" t="str">
        <f t="array" ref="K14">INDEX(Roster!$A:$A,MATCH(B14,Roster!$C:$C,0)+2) &amp; " / " &amp; INDEX(Roster!$A:$A,MATCH(B14,Roster!$C:$C,0)+3)</f>
        <v>Cadavid / Saenz</v>
      </c>
      <c r="L14" s="5" t="str">
        <f t="array" ref="L14">INDEX(Roster!$A:$A,MATCH(B14,Roster!$C:$C,0)) &amp; " / " &amp; INDEX(Roster!$A:$A,MATCH(B14,Roster!$C:$C,0)+1)</f>
        <v>Otto Fenwarth / Valenzuela</v>
      </c>
      <c r="M14" s="9" t="str">
        <f t="array" ref="M14">LET(flight_num, VALUE(RIGHT(B14, LEN(B14)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4" s="9" t="str">
        <f t="array" ref="N14">LET(
    flight, B14,
    flight_num, VALUE(RIGHT(flight, LEN(flight) - 7)),
    base_row, 215 + (flight_num - 1) * 4 + 4,
    INDEX(Calc_Engine!$F:$F, base_row)
)</f>
        <v>Final</v>
      </c>
      <c r="O14" s="5">
        <v>-1.0</v>
      </c>
      <c r="P14" s="5">
        <v>-2.0</v>
      </c>
      <c r="Q14" s="5" t="s">
        <v>354</v>
      </c>
      <c r="R14" s="5">
        <v>4.0</v>
      </c>
    </row>
    <row r="15" ht="16.5" customHeight="1">
      <c r="A15" s="1" t="s">
        <v>392</v>
      </c>
      <c r="B15" s="5" t="s">
        <v>16</v>
      </c>
      <c r="C15" s="1">
        <v>14.0</v>
      </c>
      <c r="D15" s="9">
        <f>SUMIFS(Back9_Scores!$C:$C, Back9_Scores!$A:$A, B15, Back9_Scores!$B:$B, C15)</f>
        <v>4</v>
      </c>
      <c r="E15" s="9">
        <f t="array" ref="E15">INDEX(Calc_Engine!$D:$D, MATCH(1, (Calc_Engine!$A:$A=B15)*(Calc_Engine!$B:$B=C15), 0))</f>
        <v>0</v>
      </c>
      <c r="F15" s="5">
        <f t="array" ref="F15">INDEX(Calc_Engine!$E:$E, MATCH(1, (Calc_Engine!$A:$A=B15)*(Calc_Engine!$B:$B=C15), 0))</f>
        <v>4</v>
      </c>
      <c r="G15" s="9">
        <f>SUMIFS(Back9_Scores!$D:$D, Back9_Scores!$A:$A, B15, Back9_Scores!$B:$B, C15)</f>
        <v>5</v>
      </c>
      <c r="H15" s="9">
        <f t="array" ref="H15">INDEX(Calc_Engine!$G:$G, MATCH(1, (Calc_Engine!$A:$A=B15)*(Calc_Engine!$B:$B=C15), 0))</f>
        <v>0</v>
      </c>
      <c r="I15" s="5">
        <f t="array" ref="I15">INDEX(Calc_Engine!$H:$H, MATCH(1, (Calc_Engine!$A:$A=B15)*(Calc_Engine!$B:$B=C15), 0))</f>
        <v>5</v>
      </c>
      <c r="J15" s="5" t="str">
        <f t="array" ref="J15">INDEX(Calc_Engine!$I:$I, MATCH(1, (Calc_Engine!$A:$A=B15)*(Calc_Engine!$B:$B=C15), 0))</f>
        <v>Red</v>
      </c>
      <c r="K15" s="5" t="str">
        <f t="array" ref="K15">INDEX(Roster!$A:$A,MATCH(B15,Roster!$C:$C,0)+2) &amp; " / " &amp; INDEX(Roster!$A:$A,MATCH(B15,Roster!$C:$C,0)+3)</f>
        <v>Cadavid / Saenz</v>
      </c>
      <c r="L15" s="5" t="str">
        <f t="array" ref="L15">INDEX(Roster!$A:$A,MATCH(B15,Roster!$C:$C,0)) &amp; " / " &amp; INDEX(Roster!$A:$A,MATCH(B15,Roster!$C:$C,0)+1)</f>
        <v>Otto Fenwarth / Valenzuela</v>
      </c>
      <c r="M15" s="9" t="str">
        <f t="array" ref="M15">LET(flight_num, VALUE(RIGHT(B15, LEN(B15)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5" s="9" t="str">
        <f t="array" ref="N15">LET(
    flight, B15,
    flight_num, VALUE(RIGHT(flight, LEN(flight) - 7)),
    base_row, 215 + (flight_num - 1) * 4 + 4,
    INDEX(Calc_Engine!$F:$F, base_row)
)</f>
        <v>Final</v>
      </c>
      <c r="O15" s="5">
        <v>1.0</v>
      </c>
      <c r="P15" s="5">
        <v>-1.0</v>
      </c>
      <c r="Q15" s="5" t="s">
        <v>352</v>
      </c>
      <c r="R15" s="5">
        <v>4.0</v>
      </c>
    </row>
    <row r="16" ht="16.5" customHeight="1">
      <c r="A16" s="1" t="s">
        <v>392</v>
      </c>
      <c r="B16" s="5" t="s">
        <v>16</v>
      </c>
      <c r="C16" s="1">
        <v>15.0</v>
      </c>
      <c r="D16" s="9">
        <f>SUMIFS(Back9_Scores!$C:$C, Back9_Scores!$A:$A, B16, Back9_Scores!$B:$B, C16)</f>
        <v>3</v>
      </c>
      <c r="E16" s="9">
        <f t="array" ref="E16">INDEX(Calc_Engine!$D:$D, MATCH(1, (Calc_Engine!$A:$A=B16)*(Calc_Engine!$B:$B=C16), 0))</f>
        <v>0</v>
      </c>
      <c r="F16" s="5">
        <f t="array" ref="F16">INDEX(Calc_Engine!$E:$E, MATCH(1, (Calc_Engine!$A:$A=B16)*(Calc_Engine!$B:$B=C16), 0))</f>
        <v>3</v>
      </c>
      <c r="G16" s="9">
        <f>SUMIFS(Back9_Scores!$D:$D, Back9_Scores!$A:$A, B16, Back9_Scores!$B:$B, C16)</f>
        <v>3</v>
      </c>
      <c r="H16" s="9">
        <f t="array" ref="H16">INDEX(Calc_Engine!$G:$G, MATCH(1, (Calc_Engine!$A:$A=B16)*(Calc_Engine!$B:$B=C16), 0))</f>
        <v>0</v>
      </c>
      <c r="I16" s="5">
        <f t="array" ref="I16">INDEX(Calc_Engine!$H:$H, MATCH(1, (Calc_Engine!$A:$A=B16)*(Calc_Engine!$B:$B=C16), 0))</f>
        <v>3</v>
      </c>
      <c r="J16" s="5" t="str">
        <f t="array" ref="J16">INDEX(Calc_Engine!$I:$I, MATCH(1, (Calc_Engine!$A:$A=B16)*(Calc_Engine!$B:$B=C16), 0))</f>
        <v>Tie</v>
      </c>
      <c r="K16" s="5" t="str">
        <f t="array" ref="K16">INDEX(Roster!$A:$A,MATCH(B16,Roster!$C:$C,0)+2) &amp; " / " &amp; INDEX(Roster!$A:$A,MATCH(B16,Roster!$C:$C,0)+3)</f>
        <v>Cadavid / Saenz</v>
      </c>
      <c r="L16" s="5" t="str">
        <f t="array" ref="L16">INDEX(Roster!$A:$A,MATCH(B16,Roster!$C:$C,0)) &amp; " / " &amp; INDEX(Roster!$A:$A,MATCH(B16,Roster!$C:$C,0)+1)</f>
        <v>Otto Fenwarth / Valenzuela</v>
      </c>
      <c r="M16" s="9" t="str">
        <f t="array" ref="M16">LET(flight_num, VALUE(RIGHT(B16, LEN(B16)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6" s="9" t="str">
        <f t="array" ref="N16">LET(
    flight, B16,
    flight_num, VALUE(RIGHT(flight, LEN(flight) - 7)),
    base_row, 215 + (flight_num - 1) * 4 + 4,
    INDEX(Calc_Engine!$F:$F, base_row)
)</f>
        <v>Final</v>
      </c>
      <c r="O16" s="5">
        <v>0.0</v>
      </c>
      <c r="P16" s="5">
        <v>-1.0</v>
      </c>
      <c r="Q16" s="5" t="s">
        <v>352</v>
      </c>
      <c r="R16" s="5">
        <v>3.0</v>
      </c>
    </row>
    <row r="17" ht="16.5" customHeight="1">
      <c r="A17" s="1" t="s">
        <v>392</v>
      </c>
      <c r="B17" s="5" t="s">
        <v>16</v>
      </c>
      <c r="C17" s="1">
        <v>16.0</v>
      </c>
      <c r="D17" s="9">
        <f>SUMIFS(Back9_Scores!$C:$C, Back9_Scores!$A:$A, B17, Back9_Scores!$B:$B, C17)</f>
        <v>4</v>
      </c>
      <c r="E17" s="9">
        <f t="array" ref="E17">INDEX(Calc_Engine!$D:$D, MATCH(1, (Calc_Engine!$A:$A=B17)*(Calc_Engine!$B:$B=C17), 0))</f>
        <v>0</v>
      </c>
      <c r="F17" s="5">
        <f t="array" ref="F17">INDEX(Calc_Engine!$E:$E, MATCH(1, (Calc_Engine!$A:$A=B17)*(Calc_Engine!$B:$B=C17), 0))</f>
        <v>4</v>
      </c>
      <c r="G17" s="9">
        <f>SUMIFS(Back9_Scores!$D:$D, Back9_Scores!$A:$A, B17, Back9_Scores!$B:$B, C17)</f>
        <v>4</v>
      </c>
      <c r="H17" s="9">
        <f t="array" ref="H17">INDEX(Calc_Engine!$G:$G, MATCH(1, (Calc_Engine!$A:$A=B17)*(Calc_Engine!$B:$B=C17), 0))</f>
        <v>0</v>
      </c>
      <c r="I17" s="5">
        <f t="array" ref="I17">INDEX(Calc_Engine!$H:$H, MATCH(1, (Calc_Engine!$A:$A=B17)*(Calc_Engine!$B:$B=C17), 0))</f>
        <v>4</v>
      </c>
      <c r="J17" s="5" t="str">
        <f t="array" ref="J17">INDEX(Calc_Engine!$I:$I, MATCH(1, (Calc_Engine!$A:$A=B17)*(Calc_Engine!$B:$B=C17), 0))</f>
        <v>Tie</v>
      </c>
      <c r="K17" s="5" t="str">
        <f t="array" ref="K17">INDEX(Roster!$A:$A,MATCH(B17,Roster!$C:$C,0)+2) &amp; " / " &amp; INDEX(Roster!$A:$A,MATCH(B17,Roster!$C:$C,0)+3)</f>
        <v>Cadavid / Saenz</v>
      </c>
      <c r="L17" s="5" t="str">
        <f t="array" ref="L17">INDEX(Roster!$A:$A,MATCH(B17,Roster!$C:$C,0)) &amp; " / " &amp; INDEX(Roster!$A:$A,MATCH(B17,Roster!$C:$C,0)+1)</f>
        <v>Otto Fenwarth / Valenzuela</v>
      </c>
      <c r="M17" s="9" t="str">
        <f t="array" ref="M17">LET(flight_num, VALUE(RIGHT(B17, LEN(B17)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7" s="9" t="str">
        <f t="array" ref="N17">LET(
    flight, B17,
    flight_num, VALUE(RIGHT(flight, LEN(flight) - 7)),
    base_row, 215 + (flight_num - 1) * 4 + 4,
    INDEX(Calc_Engine!$F:$F, base_row)
)</f>
        <v>Final</v>
      </c>
      <c r="O17" s="5">
        <v>0.0</v>
      </c>
      <c r="P17" s="5">
        <v>-1.0</v>
      </c>
      <c r="Q17" s="5" t="s">
        <v>352</v>
      </c>
      <c r="R17" s="5">
        <v>4.0</v>
      </c>
    </row>
    <row r="18" ht="16.5" customHeight="1">
      <c r="A18" s="1" t="s">
        <v>392</v>
      </c>
      <c r="B18" s="5" t="s">
        <v>16</v>
      </c>
      <c r="C18" s="1">
        <v>17.0</v>
      </c>
      <c r="D18" s="9">
        <f>SUMIFS(Back9_Scores!$C:$C, Back9_Scores!$A:$A, B18, Back9_Scores!$B:$B, C18)</f>
        <v>5</v>
      </c>
      <c r="E18" s="9">
        <f t="array" ref="E18">INDEX(Calc_Engine!$D:$D, MATCH(1, (Calc_Engine!$A:$A=B18)*(Calc_Engine!$B:$B=C18), 0))</f>
        <v>0</v>
      </c>
      <c r="F18" s="5">
        <f t="array" ref="F18">INDEX(Calc_Engine!$E:$E, MATCH(1, (Calc_Engine!$A:$A=B18)*(Calc_Engine!$B:$B=C18), 0))</f>
        <v>5</v>
      </c>
      <c r="G18" s="9">
        <f>SUMIFS(Back9_Scores!$D:$D, Back9_Scores!$A:$A, B18, Back9_Scores!$B:$B, C18)</f>
        <v>4</v>
      </c>
      <c r="H18" s="9">
        <f t="array" ref="H18">INDEX(Calc_Engine!$G:$G, MATCH(1, (Calc_Engine!$A:$A=B18)*(Calc_Engine!$B:$B=C18), 0))</f>
        <v>1</v>
      </c>
      <c r="I18" s="5">
        <f t="array" ref="I18">INDEX(Calc_Engine!$H:$H, MATCH(1, (Calc_Engine!$A:$A=B18)*(Calc_Engine!$B:$B=C18), 0))</f>
        <v>3</v>
      </c>
      <c r="J18" s="5" t="str">
        <f t="array" ref="J18">INDEX(Calc_Engine!$I:$I, MATCH(1, (Calc_Engine!$A:$A=B18)*(Calc_Engine!$B:$B=C18), 0))</f>
        <v>Blue</v>
      </c>
      <c r="K18" s="5" t="str">
        <f t="array" ref="K18">INDEX(Roster!$A:$A,MATCH(B18,Roster!$C:$C,0)+2) &amp; " / " &amp; INDEX(Roster!$A:$A,MATCH(B18,Roster!$C:$C,0)+3)</f>
        <v>Cadavid / Saenz</v>
      </c>
      <c r="L18" s="5" t="str">
        <f t="array" ref="L18">INDEX(Roster!$A:$A,MATCH(B18,Roster!$C:$C,0)) &amp; " / " &amp; INDEX(Roster!$A:$A,MATCH(B18,Roster!$C:$C,0)+1)</f>
        <v>Otto Fenwarth / Valenzuela</v>
      </c>
      <c r="M18" s="9" t="str">
        <f t="array" ref="M18">LET(flight_num, VALUE(RIGHT(B18, LEN(B18)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8" s="9" t="str">
        <f t="array" ref="N18">LET(
    flight, B18,
    flight_num, VALUE(RIGHT(flight, LEN(flight) - 7)),
    base_row, 215 + (flight_num - 1) * 4 + 4,
    INDEX(Calc_Engine!$F:$F, base_row)
)</f>
        <v>Final</v>
      </c>
      <c r="O18" s="5">
        <v>-1.0</v>
      </c>
      <c r="P18" s="5">
        <v>-2.0</v>
      </c>
      <c r="Q18" s="5" t="s">
        <v>354</v>
      </c>
      <c r="R18" s="5">
        <v>4.0</v>
      </c>
    </row>
    <row r="19" ht="16.5" customHeight="1">
      <c r="A19" s="1" t="s">
        <v>392</v>
      </c>
      <c r="B19" s="5" t="s">
        <v>16</v>
      </c>
      <c r="C19" s="1">
        <v>18.0</v>
      </c>
      <c r="D19" s="9">
        <f>SUMIFS(Back9_Scores!$C:$C, Back9_Scores!$A:$A, B19, Back9_Scores!$B:$B, C19)</f>
        <v>0</v>
      </c>
      <c r="E19" s="9">
        <f t="array" ref="E19">INDEX(Calc_Engine!$D:$D, MATCH(1, (Calc_Engine!$A:$A=B19)*(Calc_Engine!$B:$B=C19), 0))</f>
        <v>0</v>
      </c>
      <c r="F19" s="5" t="str">
        <f t="array" ref="F19">INDEX(Calc_Engine!$E:$E, MATCH(1, (Calc_Engine!$A:$A=B19)*(Calc_Engine!$B:$B=C19), 0))</f>
        <v/>
      </c>
      <c r="G19" s="9">
        <f>SUMIFS(Back9_Scores!$D:$D, Back9_Scores!$A:$A, B19, Back9_Scores!$B:$B, C19)</f>
        <v>0</v>
      </c>
      <c r="H19" s="9">
        <f t="array" ref="H19">INDEX(Calc_Engine!$G:$G, MATCH(1, (Calc_Engine!$A:$A=B19)*(Calc_Engine!$B:$B=C19), 0))</f>
        <v>0</v>
      </c>
      <c r="I19" s="5" t="str">
        <f t="array" ref="I19">INDEX(Calc_Engine!$H:$H, MATCH(1, (Calc_Engine!$A:$A=B19)*(Calc_Engine!$B:$B=C19), 0))</f>
        <v/>
      </c>
      <c r="J19" s="5" t="str">
        <f t="array" ref="J19">INDEX(Calc_Engine!$I:$I, MATCH(1, (Calc_Engine!$A:$A=B19)*(Calc_Engine!$B:$B=C19), 0))</f>
        <v/>
      </c>
      <c r="K19" s="5" t="str">
        <f t="array" ref="K19">INDEX(Roster!$A:$A,MATCH(B19,Roster!$C:$C,0)+2) &amp; " / " &amp; INDEX(Roster!$A:$A,MATCH(B19,Roster!$C:$C,0)+3)</f>
        <v>Cadavid / Saenz</v>
      </c>
      <c r="L19" s="5" t="str">
        <f t="array" ref="L19">INDEX(Roster!$A:$A,MATCH(B19,Roster!$C:$C,0)) &amp; " / " &amp; INDEX(Roster!$A:$A,MATCH(B19,Roster!$C:$C,0)+1)</f>
        <v>Otto Fenwarth / Valenzuela</v>
      </c>
      <c r="M19" s="9" t="str">
        <f t="array" ref="M19">LET(flight_num, VALUE(RIGHT(B19, LEN(B19)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19" s="9" t="str">
        <f t="array" ref="N19">LET(
    flight, B19,
    flight_num, VALUE(RIGHT(flight, LEN(flight) - 7)),
    base_row, 215 + (flight_num - 1) * 4 + 4,
    INDEX(Calc_Engine!$F:$F, base_row)
)</f>
        <v>Final</v>
      </c>
      <c r="O19" s="5">
        <v>0.0</v>
      </c>
      <c r="P19" s="5">
        <v>-2.0</v>
      </c>
      <c r="Q19" s="5" t="s">
        <v>354</v>
      </c>
      <c r="R19" s="5">
        <v>5.0</v>
      </c>
    </row>
    <row r="20" ht="16.5" customHeight="1">
      <c r="A20" s="1" t="s">
        <v>393</v>
      </c>
      <c r="B20" s="5" t="str">
        <f t="array" ref="B20:B28">Calc_Engine!A148:A156</f>
        <v>Flight_3</v>
      </c>
      <c r="C20" s="1">
        <v>10.0</v>
      </c>
      <c r="D20" s="9">
        <f>SUMIFS(Back9_Scores!$C:$C, Back9_Scores!$A:$A, B20, Back9_Scores!$B:$B, C20)</f>
        <v>5</v>
      </c>
      <c r="E20" s="9">
        <f t="array" ref="E20">INDEX(Calc_Engine!$D:$D, MATCH(1, (Calc_Engine!$A:$A=B20)*(Calc_Engine!$B:$B=C20), 0))</f>
        <v>0</v>
      </c>
      <c r="F20" s="5">
        <f t="array" ref="F20">INDEX(Calc_Engine!$E:$E, MATCH(1, (Calc_Engine!$A:$A=B20)*(Calc_Engine!$B:$B=C20), 0))</f>
        <v>5</v>
      </c>
      <c r="G20" s="9">
        <f>SUMIFS(Back9_Scores!$D:$D, Back9_Scores!$A:$A, B20, Back9_Scores!$B:$B, C20)</f>
        <v>5</v>
      </c>
      <c r="H20" s="9">
        <f t="array" ref="H20">INDEX(Calc_Engine!$G:$G, MATCH(1, (Calc_Engine!$A:$A=B20)*(Calc_Engine!$B:$B=C20), 0))</f>
        <v>0</v>
      </c>
      <c r="I20" s="5">
        <f t="array" ref="I20">INDEX(Calc_Engine!$H:$H, MATCH(1, (Calc_Engine!$A:$A=B20)*(Calc_Engine!$B:$B=C20), 0))</f>
        <v>5</v>
      </c>
      <c r="J20" s="5" t="str">
        <f t="array" ref="J20">INDEX(Calc_Engine!$I:$I, MATCH(1, (Calc_Engine!$A:$A=B20)*(Calc_Engine!$B:$B=C20), 0))</f>
        <v>Tie</v>
      </c>
      <c r="K20" s="5" t="str">
        <f t="array" ref="K20">INDEX(Roster!$A:$A,MATCH(B20,Roster!$C:$C,0)+2) &amp; " / " &amp; INDEX(Roster!$A:$A,MATCH(B20,Roster!$C:$C,0)+3)</f>
        <v>Berris / Pablo Rueda</v>
      </c>
      <c r="L20" s="5" t="str">
        <f t="array" ref="L20">INDEX(Roster!$A:$A,MATCH(B20,Roster!$C:$C,0)) &amp; " / " &amp; INDEX(Roster!$A:$A,MATCH(B20,Roster!$C:$C,0)+1)</f>
        <v>Vargas / Mon</v>
      </c>
      <c r="M20" s="9" t="str">
        <f t="array" ref="M20">LET(flight_num, VALUE(RIGHT(B20, LEN(B20)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0" s="9" t="str">
        <f t="array" ref="N20">LET(
    flight, B20,
    flight_num, VALUE(RIGHT(flight, LEN(flight) - 7)),
    base_row, 215 + (flight_num - 1) * 4 + 4,
    INDEX(Calc_Engine!$F:$F, base_row)
)</f>
        <v>Final</v>
      </c>
      <c r="O20" s="5">
        <v>0.0</v>
      </c>
      <c r="P20" s="5">
        <v>0.0</v>
      </c>
      <c r="Q20" s="5" t="s">
        <v>350</v>
      </c>
      <c r="R20" s="5">
        <v>5.0</v>
      </c>
    </row>
    <row r="21" ht="16.5" customHeight="1">
      <c r="A21" s="1" t="s">
        <v>393</v>
      </c>
      <c r="B21" s="5" t="s">
        <v>21</v>
      </c>
      <c r="C21" s="1">
        <v>11.0</v>
      </c>
      <c r="D21" s="9">
        <f>SUMIFS(Back9_Scores!$C:$C, Back9_Scores!$A:$A, B21, Back9_Scores!$B:$B, C21)</f>
        <v>5</v>
      </c>
      <c r="E21" s="9">
        <f t="array" ref="E21">INDEX(Calc_Engine!$D:$D, MATCH(1, (Calc_Engine!$A:$A=B21)*(Calc_Engine!$B:$B=C21), 0))</f>
        <v>1</v>
      </c>
      <c r="F21" s="5">
        <f t="array" ref="F21">INDEX(Calc_Engine!$E:$E, MATCH(1, (Calc_Engine!$A:$A=B21)*(Calc_Engine!$B:$B=C21), 0))</f>
        <v>4</v>
      </c>
      <c r="G21" s="9">
        <f>SUMIFS(Back9_Scores!$D:$D, Back9_Scores!$A:$A, B21, Back9_Scores!$B:$B, C21)</f>
        <v>4</v>
      </c>
      <c r="H21" s="9">
        <f t="array" ref="H21">INDEX(Calc_Engine!$G:$G, MATCH(1, (Calc_Engine!$A:$A=B21)*(Calc_Engine!$B:$B=C21), 0))</f>
        <v>1</v>
      </c>
      <c r="I21" s="5">
        <f t="array" ref="I21">INDEX(Calc_Engine!$H:$H, MATCH(1, (Calc_Engine!$A:$A=B21)*(Calc_Engine!$B:$B=C21), 0))</f>
        <v>3</v>
      </c>
      <c r="J21" s="5" t="str">
        <f t="array" ref="J21">INDEX(Calc_Engine!$I:$I, MATCH(1, (Calc_Engine!$A:$A=B21)*(Calc_Engine!$B:$B=C21), 0))</f>
        <v>Blue</v>
      </c>
      <c r="K21" s="5" t="str">
        <f t="array" ref="K21">INDEX(Roster!$A:$A,MATCH(B21,Roster!$C:$C,0)+2) &amp; " / " &amp; INDEX(Roster!$A:$A,MATCH(B21,Roster!$C:$C,0)+3)</f>
        <v>Berris / Pablo Rueda</v>
      </c>
      <c r="L21" s="5" t="str">
        <f t="array" ref="L21">INDEX(Roster!$A:$A,MATCH(B21,Roster!$C:$C,0)) &amp; " / " &amp; INDEX(Roster!$A:$A,MATCH(B21,Roster!$C:$C,0)+1)</f>
        <v>Vargas / Mon</v>
      </c>
      <c r="M21" s="9" t="str">
        <f t="array" ref="M21">LET(flight_num, VALUE(RIGHT(B21, LEN(B21)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1" s="9" t="str">
        <f t="array" ref="N21">LET(
    flight, B21,
    flight_num, VALUE(RIGHT(flight, LEN(flight) - 7)),
    base_row, 215 + (flight_num - 1) * 4 + 4,
    INDEX(Calc_Engine!$F:$F, base_row)
)</f>
        <v>Final</v>
      </c>
      <c r="O21" s="5">
        <v>-1.0</v>
      </c>
      <c r="P21" s="5">
        <v>-1.0</v>
      </c>
      <c r="Q21" s="5" t="s">
        <v>352</v>
      </c>
      <c r="R21" s="5">
        <v>4.0</v>
      </c>
    </row>
    <row r="22" ht="16.5" customHeight="1">
      <c r="A22" s="1" t="s">
        <v>393</v>
      </c>
      <c r="B22" s="5" t="s">
        <v>21</v>
      </c>
      <c r="C22" s="1">
        <v>12.0</v>
      </c>
      <c r="D22" s="9">
        <f>SUMIFS(Back9_Scores!$C:$C, Back9_Scores!$A:$A, B22, Back9_Scores!$B:$B, C22)</f>
        <v>3</v>
      </c>
      <c r="E22" s="9">
        <f t="array" ref="E22">INDEX(Calc_Engine!$D:$D, MATCH(1, (Calc_Engine!$A:$A=B22)*(Calc_Engine!$B:$B=C22), 0))</f>
        <v>1</v>
      </c>
      <c r="F22" s="5">
        <f t="array" ref="F22">INDEX(Calc_Engine!$E:$E, MATCH(1, (Calc_Engine!$A:$A=B22)*(Calc_Engine!$B:$B=C22), 0))</f>
        <v>2</v>
      </c>
      <c r="G22" s="9">
        <f>SUMIFS(Back9_Scores!$D:$D, Back9_Scores!$A:$A, B22, Back9_Scores!$B:$B, C22)</f>
        <v>3</v>
      </c>
      <c r="H22" s="9">
        <f t="array" ref="H22">INDEX(Calc_Engine!$G:$G, MATCH(1, (Calc_Engine!$A:$A=B22)*(Calc_Engine!$B:$B=C22), 0))</f>
        <v>1</v>
      </c>
      <c r="I22" s="5">
        <f t="array" ref="I22">INDEX(Calc_Engine!$H:$H, MATCH(1, (Calc_Engine!$A:$A=B22)*(Calc_Engine!$B:$B=C22), 0))</f>
        <v>2</v>
      </c>
      <c r="J22" s="5" t="str">
        <f t="array" ref="J22">INDEX(Calc_Engine!$I:$I, MATCH(1, (Calc_Engine!$A:$A=B22)*(Calc_Engine!$B:$B=C22), 0))</f>
        <v>Tie</v>
      </c>
      <c r="K22" s="5" t="str">
        <f t="array" ref="K22">INDEX(Roster!$A:$A,MATCH(B22,Roster!$C:$C,0)+2) &amp; " / " &amp; INDEX(Roster!$A:$A,MATCH(B22,Roster!$C:$C,0)+3)</f>
        <v>Berris / Pablo Rueda</v>
      </c>
      <c r="L22" s="5" t="str">
        <f t="array" ref="L22">INDEX(Roster!$A:$A,MATCH(B22,Roster!$C:$C,0)) &amp; " / " &amp; INDEX(Roster!$A:$A,MATCH(B22,Roster!$C:$C,0)+1)</f>
        <v>Vargas / Mon</v>
      </c>
      <c r="M22" s="9" t="str">
        <f t="array" ref="M22">LET(flight_num, VALUE(RIGHT(B22, LEN(B22)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2" s="9" t="str">
        <f t="array" ref="N22">LET(
    flight, B22,
    flight_num, VALUE(RIGHT(flight, LEN(flight) - 7)),
    base_row, 215 + (flight_num - 1) * 4 + 4,
    INDEX(Calc_Engine!$F:$F, base_row)
)</f>
        <v>Final</v>
      </c>
      <c r="O22" s="5">
        <v>0.0</v>
      </c>
      <c r="P22" s="5">
        <v>-1.0</v>
      </c>
      <c r="Q22" s="5" t="s">
        <v>352</v>
      </c>
      <c r="R22" s="5">
        <v>3.0</v>
      </c>
    </row>
    <row r="23" ht="16.5" customHeight="1">
      <c r="A23" s="1" t="s">
        <v>393</v>
      </c>
      <c r="B23" s="5" t="s">
        <v>21</v>
      </c>
      <c r="C23" s="1">
        <v>13.0</v>
      </c>
      <c r="D23" s="9">
        <f>SUMIFS(Back9_Scores!$C:$C, Back9_Scores!$A:$A, B23, Back9_Scores!$B:$B, C23)</f>
        <v>4</v>
      </c>
      <c r="E23" s="9">
        <f t="array" ref="E23">INDEX(Calc_Engine!$D:$D, MATCH(1, (Calc_Engine!$A:$A=B23)*(Calc_Engine!$B:$B=C23), 0))</f>
        <v>1</v>
      </c>
      <c r="F23" s="5">
        <f t="array" ref="F23">INDEX(Calc_Engine!$E:$E, MATCH(1, (Calc_Engine!$A:$A=B23)*(Calc_Engine!$B:$B=C23), 0))</f>
        <v>3</v>
      </c>
      <c r="G23" s="9">
        <f>SUMIFS(Back9_Scores!$D:$D, Back9_Scores!$A:$A, B23, Back9_Scores!$B:$B, C23)</f>
        <v>3</v>
      </c>
      <c r="H23" s="9">
        <f t="array" ref="H23">INDEX(Calc_Engine!$G:$G, MATCH(1, (Calc_Engine!$A:$A=B23)*(Calc_Engine!$B:$B=C23), 0))</f>
        <v>1</v>
      </c>
      <c r="I23" s="5">
        <f t="array" ref="I23">INDEX(Calc_Engine!$H:$H, MATCH(1, (Calc_Engine!$A:$A=B23)*(Calc_Engine!$B:$B=C23), 0))</f>
        <v>2</v>
      </c>
      <c r="J23" s="5" t="str">
        <f t="array" ref="J23">INDEX(Calc_Engine!$I:$I, MATCH(1, (Calc_Engine!$A:$A=B23)*(Calc_Engine!$B:$B=C23), 0))</f>
        <v>Blue</v>
      </c>
      <c r="K23" s="5" t="str">
        <f t="array" ref="K23">INDEX(Roster!$A:$A,MATCH(B23,Roster!$C:$C,0)+2) &amp; " / " &amp; INDEX(Roster!$A:$A,MATCH(B23,Roster!$C:$C,0)+3)</f>
        <v>Berris / Pablo Rueda</v>
      </c>
      <c r="L23" s="5" t="str">
        <f t="array" ref="L23">INDEX(Roster!$A:$A,MATCH(B23,Roster!$C:$C,0)) &amp; " / " &amp; INDEX(Roster!$A:$A,MATCH(B23,Roster!$C:$C,0)+1)</f>
        <v>Vargas / Mon</v>
      </c>
      <c r="M23" s="9" t="str">
        <f t="array" ref="M23">LET(flight_num, VALUE(RIGHT(B23, LEN(B23)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3" s="9" t="str">
        <f t="array" ref="N23">LET(
    flight, B23,
    flight_num, VALUE(RIGHT(flight, LEN(flight) - 7)),
    base_row, 215 + (flight_num - 1) * 4 + 4,
    INDEX(Calc_Engine!$F:$F, base_row)
)</f>
        <v>Final</v>
      </c>
      <c r="O23" s="5">
        <v>-1.0</v>
      </c>
      <c r="P23" s="5">
        <v>-2.0</v>
      </c>
      <c r="Q23" s="5" t="s">
        <v>354</v>
      </c>
      <c r="R23" s="5">
        <v>4.0</v>
      </c>
    </row>
    <row r="24" ht="16.5" customHeight="1">
      <c r="A24" s="1" t="s">
        <v>393</v>
      </c>
      <c r="B24" s="5" t="s">
        <v>21</v>
      </c>
      <c r="C24" s="1">
        <v>14.0</v>
      </c>
      <c r="D24" s="9">
        <f>SUMIFS(Back9_Scores!$C:$C, Back9_Scores!$A:$A, B24, Back9_Scores!$B:$B, C24)</f>
        <v>4</v>
      </c>
      <c r="E24" s="9">
        <f t="array" ref="E24">INDEX(Calc_Engine!$D:$D, MATCH(1, (Calc_Engine!$A:$A=B24)*(Calc_Engine!$B:$B=C24), 0))</f>
        <v>0</v>
      </c>
      <c r="F24" s="5">
        <f t="array" ref="F24">INDEX(Calc_Engine!$E:$E, MATCH(1, (Calc_Engine!$A:$A=B24)*(Calc_Engine!$B:$B=C24), 0))</f>
        <v>4</v>
      </c>
      <c r="G24" s="9">
        <f>SUMIFS(Back9_Scores!$D:$D, Back9_Scores!$A:$A, B24, Back9_Scores!$B:$B, C24)</f>
        <v>4</v>
      </c>
      <c r="H24" s="9">
        <f t="array" ref="H24">INDEX(Calc_Engine!$G:$G, MATCH(1, (Calc_Engine!$A:$A=B24)*(Calc_Engine!$B:$B=C24), 0))</f>
        <v>0</v>
      </c>
      <c r="I24" s="5">
        <f t="array" ref="I24">INDEX(Calc_Engine!$H:$H, MATCH(1, (Calc_Engine!$A:$A=B24)*(Calc_Engine!$B:$B=C24), 0))</f>
        <v>4</v>
      </c>
      <c r="J24" s="5" t="str">
        <f t="array" ref="J24">INDEX(Calc_Engine!$I:$I, MATCH(1, (Calc_Engine!$A:$A=B24)*(Calc_Engine!$B:$B=C24), 0))</f>
        <v>Tie</v>
      </c>
      <c r="K24" s="5" t="str">
        <f t="array" ref="K24">INDEX(Roster!$A:$A,MATCH(B24,Roster!$C:$C,0)+2) &amp; " / " &amp; INDEX(Roster!$A:$A,MATCH(B24,Roster!$C:$C,0)+3)</f>
        <v>Berris / Pablo Rueda</v>
      </c>
      <c r="L24" s="5" t="str">
        <f t="array" ref="L24">INDEX(Roster!$A:$A,MATCH(B24,Roster!$C:$C,0)) &amp; " / " &amp; INDEX(Roster!$A:$A,MATCH(B24,Roster!$C:$C,0)+1)</f>
        <v>Vargas / Mon</v>
      </c>
      <c r="M24" s="9" t="str">
        <f t="array" ref="M24">LET(flight_num, VALUE(RIGHT(B24, LEN(B24)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4" s="9" t="str">
        <f t="array" ref="N24">LET(
    flight, B24,
    flight_num, VALUE(RIGHT(flight, LEN(flight) - 7)),
    base_row, 215 + (flight_num - 1) * 4 + 4,
    INDEX(Calc_Engine!$F:$F, base_row)
)</f>
        <v>Final</v>
      </c>
      <c r="O24" s="5">
        <v>0.0</v>
      </c>
      <c r="P24" s="5">
        <v>-2.0</v>
      </c>
      <c r="Q24" s="5" t="s">
        <v>354</v>
      </c>
      <c r="R24" s="5">
        <v>4.0</v>
      </c>
    </row>
    <row r="25" ht="16.5" customHeight="1">
      <c r="A25" s="1" t="s">
        <v>393</v>
      </c>
      <c r="B25" s="5" t="s">
        <v>21</v>
      </c>
      <c r="C25" s="1">
        <v>15.0</v>
      </c>
      <c r="D25" s="9">
        <f>SUMIFS(Back9_Scores!$C:$C, Back9_Scores!$A:$A, B25, Back9_Scores!$B:$B, C25)</f>
        <v>4</v>
      </c>
      <c r="E25" s="9">
        <f t="array" ref="E25">INDEX(Calc_Engine!$D:$D, MATCH(1, (Calc_Engine!$A:$A=B25)*(Calc_Engine!$B:$B=C25), 0))</f>
        <v>0</v>
      </c>
      <c r="F25" s="5">
        <f t="array" ref="F25">INDEX(Calc_Engine!$E:$E, MATCH(1, (Calc_Engine!$A:$A=B25)*(Calc_Engine!$B:$B=C25), 0))</f>
        <v>4</v>
      </c>
      <c r="G25" s="9">
        <f>SUMIFS(Back9_Scores!$D:$D, Back9_Scores!$A:$A, B25, Back9_Scores!$B:$B, C25)</f>
        <v>3</v>
      </c>
      <c r="H25" s="9">
        <f t="array" ref="H25">INDEX(Calc_Engine!$G:$G, MATCH(1, (Calc_Engine!$A:$A=B25)*(Calc_Engine!$B:$B=C25), 0))</f>
        <v>0</v>
      </c>
      <c r="I25" s="5">
        <f t="array" ref="I25">INDEX(Calc_Engine!$H:$H, MATCH(1, (Calc_Engine!$A:$A=B25)*(Calc_Engine!$B:$B=C25), 0))</f>
        <v>3</v>
      </c>
      <c r="J25" s="5" t="str">
        <f t="array" ref="J25">INDEX(Calc_Engine!$I:$I, MATCH(1, (Calc_Engine!$A:$A=B25)*(Calc_Engine!$B:$B=C25), 0))</f>
        <v>Blue</v>
      </c>
      <c r="K25" s="5" t="str">
        <f t="array" ref="K25">INDEX(Roster!$A:$A,MATCH(B25,Roster!$C:$C,0)+2) &amp; " / " &amp; INDEX(Roster!$A:$A,MATCH(B25,Roster!$C:$C,0)+3)</f>
        <v>Berris / Pablo Rueda</v>
      </c>
      <c r="L25" s="5" t="str">
        <f t="array" ref="L25">INDEX(Roster!$A:$A,MATCH(B25,Roster!$C:$C,0)) &amp; " / " &amp; INDEX(Roster!$A:$A,MATCH(B25,Roster!$C:$C,0)+1)</f>
        <v>Vargas / Mon</v>
      </c>
      <c r="M25" s="9" t="str">
        <f t="array" ref="M25">LET(flight_num, VALUE(RIGHT(B25, LEN(B25)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5" s="9" t="str">
        <f t="array" ref="N25">LET(
    flight, B25,
    flight_num, VALUE(RIGHT(flight, LEN(flight) - 7)),
    base_row, 215 + (flight_num - 1) * 4 + 4,
    INDEX(Calc_Engine!$F:$F, base_row)
)</f>
        <v>Final</v>
      </c>
      <c r="O25" s="5">
        <v>-1.0</v>
      </c>
      <c r="P25" s="5">
        <v>-3.0</v>
      </c>
      <c r="Q25" s="5" t="s">
        <v>358</v>
      </c>
      <c r="R25" s="5">
        <v>3.0</v>
      </c>
    </row>
    <row r="26" ht="16.5" customHeight="1">
      <c r="A26" s="1" t="s">
        <v>393</v>
      </c>
      <c r="B26" s="5" t="s">
        <v>21</v>
      </c>
      <c r="C26" s="1">
        <v>16.0</v>
      </c>
      <c r="D26" s="9">
        <f>SUMIFS(Back9_Scores!$C:$C, Back9_Scores!$A:$A, B26, Back9_Scores!$B:$B, C26)</f>
        <v>4</v>
      </c>
      <c r="E26" s="9">
        <f t="array" ref="E26">INDEX(Calc_Engine!$D:$D, MATCH(1, (Calc_Engine!$A:$A=B26)*(Calc_Engine!$B:$B=C26), 0))</f>
        <v>0</v>
      </c>
      <c r="F26" s="5">
        <f t="array" ref="F26">INDEX(Calc_Engine!$E:$E, MATCH(1, (Calc_Engine!$A:$A=B26)*(Calc_Engine!$B:$B=C26), 0))</f>
        <v>4</v>
      </c>
      <c r="G26" s="9">
        <f>SUMIFS(Back9_Scores!$D:$D, Back9_Scores!$A:$A, B26, Back9_Scores!$B:$B, C26)</f>
        <v>5</v>
      </c>
      <c r="H26" s="9">
        <f t="array" ref="H26">INDEX(Calc_Engine!$G:$G, MATCH(1, (Calc_Engine!$A:$A=B26)*(Calc_Engine!$B:$B=C26), 0))</f>
        <v>0</v>
      </c>
      <c r="I26" s="5">
        <f t="array" ref="I26">INDEX(Calc_Engine!$H:$H, MATCH(1, (Calc_Engine!$A:$A=B26)*(Calc_Engine!$B:$B=C26), 0))</f>
        <v>5</v>
      </c>
      <c r="J26" s="5" t="str">
        <f t="array" ref="J26">INDEX(Calc_Engine!$I:$I, MATCH(1, (Calc_Engine!$A:$A=B26)*(Calc_Engine!$B:$B=C26), 0))</f>
        <v>Red</v>
      </c>
      <c r="K26" s="5" t="str">
        <f t="array" ref="K26">INDEX(Roster!$A:$A,MATCH(B26,Roster!$C:$C,0)+2) &amp; " / " &amp; INDEX(Roster!$A:$A,MATCH(B26,Roster!$C:$C,0)+3)</f>
        <v>Berris / Pablo Rueda</v>
      </c>
      <c r="L26" s="5" t="str">
        <f t="array" ref="L26">INDEX(Roster!$A:$A,MATCH(B26,Roster!$C:$C,0)) &amp; " / " &amp; INDEX(Roster!$A:$A,MATCH(B26,Roster!$C:$C,0)+1)</f>
        <v>Vargas / Mon</v>
      </c>
      <c r="M26" s="9" t="str">
        <f t="array" ref="M26">LET(flight_num, VALUE(RIGHT(B26, LEN(B26)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6" s="9" t="str">
        <f t="array" ref="N26">LET(
    flight, B26,
    flight_num, VALUE(RIGHT(flight, LEN(flight) - 7)),
    base_row, 215 + (flight_num - 1) * 4 + 4,
    INDEX(Calc_Engine!$F:$F, base_row)
)</f>
        <v>Final</v>
      </c>
      <c r="O26" s="5">
        <v>1.0</v>
      </c>
      <c r="P26" s="5">
        <v>-2.0</v>
      </c>
      <c r="Q26" s="5" t="s">
        <v>354</v>
      </c>
      <c r="R26" s="5">
        <v>4.0</v>
      </c>
    </row>
    <row r="27" ht="16.5" customHeight="1">
      <c r="A27" s="1" t="s">
        <v>393</v>
      </c>
      <c r="B27" s="5" t="s">
        <v>21</v>
      </c>
      <c r="C27" s="1">
        <v>17.0</v>
      </c>
      <c r="D27" s="9">
        <f>SUMIFS(Back9_Scores!$C:$C, Back9_Scores!$A:$A, B27, Back9_Scores!$B:$B, C27)</f>
        <v>4</v>
      </c>
      <c r="E27" s="9">
        <f t="array" ref="E27">INDEX(Calc_Engine!$D:$D, MATCH(1, (Calc_Engine!$A:$A=B27)*(Calc_Engine!$B:$B=C27), 0))</f>
        <v>1</v>
      </c>
      <c r="F27" s="5">
        <f t="array" ref="F27">INDEX(Calc_Engine!$E:$E, MATCH(1, (Calc_Engine!$A:$A=B27)*(Calc_Engine!$B:$B=C27), 0))</f>
        <v>3</v>
      </c>
      <c r="G27" s="9">
        <f>SUMIFS(Back9_Scores!$D:$D, Back9_Scores!$A:$A, B27, Back9_Scores!$B:$B, C27)</f>
        <v>4</v>
      </c>
      <c r="H27" s="9">
        <f t="array" ref="H27">INDEX(Calc_Engine!$G:$G, MATCH(1, (Calc_Engine!$A:$A=B27)*(Calc_Engine!$B:$B=C27), 0))</f>
        <v>1</v>
      </c>
      <c r="I27" s="5">
        <f t="array" ref="I27">INDEX(Calc_Engine!$H:$H, MATCH(1, (Calc_Engine!$A:$A=B27)*(Calc_Engine!$B:$B=C27), 0))</f>
        <v>3</v>
      </c>
      <c r="J27" s="5" t="str">
        <f t="array" ref="J27">INDEX(Calc_Engine!$I:$I, MATCH(1, (Calc_Engine!$A:$A=B27)*(Calc_Engine!$B:$B=C27), 0))</f>
        <v>Tie</v>
      </c>
      <c r="K27" s="5" t="str">
        <f t="array" ref="K27">INDEX(Roster!$A:$A,MATCH(B27,Roster!$C:$C,0)+2) &amp; " / " &amp; INDEX(Roster!$A:$A,MATCH(B27,Roster!$C:$C,0)+3)</f>
        <v>Berris / Pablo Rueda</v>
      </c>
      <c r="L27" s="5" t="str">
        <f t="array" ref="L27">INDEX(Roster!$A:$A,MATCH(B27,Roster!$C:$C,0)) &amp; " / " &amp; INDEX(Roster!$A:$A,MATCH(B27,Roster!$C:$C,0)+1)</f>
        <v>Vargas / Mon</v>
      </c>
      <c r="M27" s="9" t="str">
        <f t="array" ref="M27">LET(flight_num, VALUE(RIGHT(B27, LEN(B27)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7" s="9" t="str">
        <f t="array" ref="N27">LET(
    flight, B27,
    flight_num, VALUE(RIGHT(flight, LEN(flight) - 7)),
    base_row, 215 + (flight_num - 1) * 4 + 4,
    INDEX(Calc_Engine!$F:$F, base_row)
)</f>
        <v>Final</v>
      </c>
      <c r="O27" s="5">
        <v>0.0</v>
      </c>
      <c r="P27" s="5">
        <v>-2.0</v>
      </c>
      <c r="Q27" s="5" t="s">
        <v>354</v>
      </c>
      <c r="R27" s="5">
        <v>4.0</v>
      </c>
    </row>
    <row r="28" ht="16.5" customHeight="1">
      <c r="A28" s="1" t="s">
        <v>393</v>
      </c>
      <c r="B28" s="5" t="s">
        <v>21</v>
      </c>
      <c r="C28" s="1">
        <v>18.0</v>
      </c>
      <c r="D28" s="9">
        <f>SUMIFS(Back9_Scores!$C:$C, Back9_Scores!$A:$A, B28, Back9_Scores!$B:$B, C28)</f>
        <v>0</v>
      </c>
      <c r="E28" s="9">
        <f t="array" ref="E28">INDEX(Calc_Engine!$D:$D, MATCH(1, (Calc_Engine!$A:$A=B28)*(Calc_Engine!$B:$B=C28), 0))</f>
        <v>0</v>
      </c>
      <c r="F28" s="5" t="str">
        <f t="array" ref="F28">INDEX(Calc_Engine!$E:$E, MATCH(1, (Calc_Engine!$A:$A=B28)*(Calc_Engine!$B:$B=C28), 0))</f>
        <v/>
      </c>
      <c r="G28" s="9">
        <f>SUMIFS(Back9_Scores!$D:$D, Back9_Scores!$A:$A, B28, Back9_Scores!$B:$B, C28)</f>
        <v>0</v>
      </c>
      <c r="H28" s="9">
        <f t="array" ref="H28">INDEX(Calc_Engine!$G:$G, MATCH(1, (Calc_Engine!$A:$A=B28)*(Calc_Engine!$B:$B=C28), 0))</f>
        <v>0</v>
      </c>
      <c r="I28" s="5" t="str">
        <f t="array" ref="I28">INDEX(Calc_Engine!$H:$H, MATCH(1, (Calc_Engine!$A:$A=B28)*(Calc_Engine!$B:$B=C28), 0))</f>
        <v/>
      </c>
      <c r="J28" s="5" t="str">
        <f t="array" ref="J28">INDEX(Calc_Engine!$I:$I, MATCH(1, (Calc_Engine!$A:$A=B28)*(Calc_Engine!$B:$B=C28), 0))</f>
        <v/>
      </c>
      <c r="K28" s="5" t="str">
        <f t="array" ref="K28">INDEX(Roster!$A:$A,MATCH(B28,Roster!$C:$C,0)+2) &amp; " / " &amp; INDEX(Roster!$A:$A,MATCH(B28,Roster!$C:$C,0)+3)</f>
        <v>Berris / Pablo Rueda</v>
      </c>
      <c r="L28" s="5" t="str">
        <f t="array" ref="L28">INDEX(Roster!$A:$A,MATCH(B28,Roster!$C:$C,0)) &amp; " / " &amp; INDEX(Roster!$A:$A,MATCH(B28,Roster!$C:$C,0)+1)</f>
        <v>Vargas / Mon</v>
      </c>
      <c r="M28" s="9" t="str">
        <f t="array" ref="M28">LET(flight_num, VALUE(RIGHT(B28, LEN(B28)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8" s="9" t="str">
        <f t="array" ref="N28">LET(
    flight, B28,
    flight_num, VALUE(RIGHT(flight, LEN(flight) - 7)),
    base_row, 215 + (flight_num - 1) * 4 + 4,
    INDEX(Calc_Engine!$F:$F, base_row)
)</f>
        <v>Final</v>
      </c>
      <c r="O28" s="5">
        <v>0.0</v>
      </c>
      <c r="P28" s="5">
        <v>-2.0</v>
      </c>
      <c r="Q28" s="5" t="s">
        <v>354</v>
      </c>
      <c r="R28" s="5">
        <v>5.0</v>
      </c>
    </row>
    <row r="29" ht="16.5" customHeight="1">
      <c r="A29" s="1" t="s">
        <v>394</v>
      </c>
      <c r="B29" s="5" t="str">
        <f t="array" ref="B29:B37">Calc_Engine!A159:A167</f>
        <v>Flight_4</v>
      </c>
      <c r="C29" s="1">
        <v>10.0</v>
      </c>
      <c r="D29" s="9">
        <f>SUMIFS(Back9_Scores!$C:$C, Back9_Scores!$A:$A, B29, Back9_Scores!$B:$B, C29)</f>
        <v>5</v>
      </c>
      <c r="E29" s="9">
        <f t="array" ref="E29">INDEX(Calc_Engine!$D:$D, MATCH(1, (Calc_Engine!$A:$A=B29)*(Calc_Engine!$B:$B=C29), 0))</f>
        <v>0</v>
      </c>
      <c r="F29" s="5">
        <f t="array" ref="F29">INDEX(Calc_Engine!$E:$E, MATCH(1, (Calc_Engine!$A:$A=B29)*(Calc_Engine!$B:$B=C29), 0))</f>
        <v>5</v>
      </c>
      <c r="G29" s="9">
        <f>SUMIFS(Back9_Scores!$D:$D, Back9_Scores!$A:$A, B29, Back9_Scores!$B:$B, C29)</f>
        <v>6</v>
      </c>
      <c r="H29" s="9">
        <f t="array" ref="H29">INDEX(Calc_Engine!$G:$G, MATCH(1, (Calc_Engine!$A:$A=B29)*(Calc_Engine!$B:$B=C29), 0))</f>
        <v>1</v>
      </c>
      <c r="I29" s="5">
        <f t="array" ref="I29">INDEX(Calc_Engine!$H:$H, MATCH(1, (Calc_Engine!$A:$A=B29)*(Calc_Engine!$B:$B=C29), 0))</f>
        <v>5</v>
      </c>
      <c r="J29" s="5" t="str">
        <f t="array" ref="J29">INDEX(Calc_Engine!$I:$I, MATCH(1, (Calc_Engine!$A:$A=B29)*(Calc_Engine!$B:$B=C29), 0))</f>
        <v>Tie</v>
      </c>
      <c r="K29" s="5" t="str">
        <f t="array" ref="K29">INDEX(Roster!$A:$A,MATCH(B29,Roster!$C:$C,0)+2) &amp; " / " &amp; INDEX(Roster!$A:$A,MATCH(B29,Roster!$C:$C,0)+3)</f>
        <v>Matiz / Esguerra</v>
      </c>
      <c r="L29" s="5" t="str">
        <f t="array" ref="L29">INDEX(Roster!$A:$A,MATCH(B29,Roster!$C:$C,0)) &amp; " / " &amp; INDEX(Roster!$A:$A,MATCH(B29,Roster!$C:$C,0)+1)</f>
        <v>Luca / Rocha</v>
      </c>
      <c r="M29" s="9" t="str">
        <f t="array" ref="M29">LET(flight_num, VALUE(RIGHT(B29, LEN(B29)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29" s="9" t="str">
        <f t="array" ref="N29">LET(
    flight, B29,
    flight_num, VALUE(RIGHT(flight, LEN(flight) - 7)),
    base_row, 215 + (flight_num - 1) * 4 + 4,
    INDEX(Calc_Engine!$F:$F, base_row)
)</f>
        <v>Final</v>
      </c>
      <c r="O29" s="5">
        <v>0.0</v>
      </c>
      <c r="P29" s="5">
        <v>0.0</v>
      </c>
      <c r="Q29" s="5" t="s">
        <v>350</v>
      </c>
      <c r="R29" s="5">
        <v>5.0</v>
      </c>
    </row>
    <row r="30" ht="16.5" customHeight="1">
      <c r="A30" s="1" t="s">
        <v>394</v>
      </c>
      <c r="B30" s="5" t="s">
        <v>26</v>
      </c>
      <c r="C30" s="1">
        <v>11.0</v>
      </c>
      <c r="D30" s="9">
        <f>SUMIFS(Back9_Scores!$C:$C, Back9_Scores!$A:$A, B30, Back9_Scores!$B:$B, C30)</f>
        <v>5</v>
      </c>
      <c r="E30" s="9">
        <f t="array" ref="E30">INDEX(Calc_Engine!$D:$D, MATCH(1, (Calc_Engine!$A:$A=B30)*(Calc_Engine!$B:$B=C30), 0))</f>
        <v>1</v>
      </c>
      <c r="F30" s="5">
        <f t="array" ref="F30">INDEX(Calc_Engine!$E:$E, MATCH(1, (Calc_Engine!$A:$A=B30)*(Calc_Engine!$B:$B=C30), 0))</f>
        <v>4</v>
      </c>
      <c r="G30" s="9">
        <f>SUMIFS(Back9_Scores!$D:$D, Back9_Scores!$A:$A, B30, Back9_Scores!$B:$B, C30)</f>
        <v>4</v>
      </c>
      <c r="H30" s="9">
        <f t="array" ref="H30">INDEX(Calc_Engine!$G:$G, MATCH(1, (Calc_Engine!$A:$A=B30)*(Calc_Engine!$B:$B=C30), 0))</f>
        <v>1</v>
      </c>
      <c r="I30" s="5">
        <f t="array" ref="I30">INDEX(Calc_Engine!$H:$H, MATCH(1, (Calc_Engine!$A:$A=B30)*(Calc_Engine!$B:$B=C30), 0))</f>
        <v>3</v>
      </c>
      <c r="J30" s="5" t="str">
        <f t="array" ref="J30">INDEX(Calc_Engine!$I:$I, MATCH(1, (Calc_Engine!$A:$A=B30)*(Calc_Engine!$B:$B=C30), 0))</f>
        <v>Blue</v>
      </c>
      <c r="K30" s="5" t="str">
        <f t="array" ref="K30">INDEX(Roster!$A:$A,MATCH(B30,Roster!$C:$C,0)+2) &amp; " / " &amp; INDEX(Roster!$A:$A,MATCH(B30,Roster!$C:$C,0)+3)</f>
        <v>Matiz / Esguerra</v>
      </c>
      <c r="L30" s="5" t="str">
        <f t="array" ref="L30">INDEX(Roster!$A:$A,MATCH(B30,Roster!$C:$C,0)) &amp; " / " &amp; INDEX(Roster!$A:$A,MATCH(B30,Roster!$C:$C,0)+1)</f>
        <v>Luca / Rocha</v>
      </c>
      <c r="M30" s="9" t="str">
        <f t="array" ref="M30">LET(flight_num, VALUE(RIGHT(B30, LEN(B30)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0" s="9" t="str">
        <f t="array" ref="N30">LET(
    flight, B30,
    flight_num, VALUE(RIGHT(flight, LEN(flight) - 7)),
    base_row, 215 + (flight_num - 1) * 4 + 4,
    INDEX(Calc_Engine!$F:$F, base_row)
)</f>
        <v>Final</v>
      </c>
      <c r="O30" s="5">
        <v>-1.0</v>
      </c>
      <c r="P30" s="5">
        <v>-1.0</v>
      </c>
      <c r="Q30" s="5" t="s">
        <v>352</v>
      </c>
      <c r="R30" s="5">
        <v>4.0</v>
      </c>
    </row>
    <row r="31" ht="16.5" customHeight="1">
      <c r="A31" s="1" t="s">
        <v>394</v>
      </c>
      <c r="B31" s="5" t="s">
        <v>26</v>
      </c>
      <c r="C31" s="1">
        <v>12.0</v>
      </c>
      <c r="D31" s="9">
        <f>SUMIFS(Back9_Scores!$C:$C, Back9_Scores!$A:$A, B31, Back9_Scores!$B:$B, C31)</f>
        <v>3</v>
      </c>
      <c r="E31" s="9">
        <f t="array" ref="E31">INDEX(Calc_Engine!$D:$D, MATCH(1, (Calc_Engine!$A:$A=B31)*(Calc_Engine!$B:$B=C31), 0))</f>
        <v>1</v>
      </c>
      <c r="F31" s="5">
        <f t="array" ref="F31">INDEX(Calc_Engine!$E:$E, MATCH(1, (Calc_Engine!$A:$A=B31)*(Calc_Engine!$B:$B=C31), 0))</f>
        <v>2</v>
      </c>
      <c r="G31" s="9">
        <f>SUMIFS(Back9_Scores!$D:$D, Back9_Scores!$A:$A, B31, Back9_Scores!$B:$B, C31)</f>
        <v>4</v>
      </c>
      <c r="H31" s="9">
        <f t="array" ref="H31">INDEX(Calc_Engine!$G:$G, MATCH(1, (Calc_Engine!$A:$A=B31)*(Calc_Engine!$B:$B=C31), 0))</f>
        <v>1</v>
      </c>
      <c r="I31" s="5">
        <f t="array" ref="I31">INDEX(Calc_Engine!$H:$H, MATCH(1, (Calc_Engine!$A:$A=B31)*(Calc_Engine!$B:$B=C31), 0))</f>
        <v>3</v>
      </c>
      <c r="J31" s="5" t="str">
        <f t="array" ref="J31">INDEX(Calc_Engine!$I:$I, MATCH(1, (Calc_Engine!$A:$A=B31)*(Calc_Engine!$B:$B=C31), 0))</f>
        <v>Red</v>
      </c>
      <c r="K31" s="5" t="str">
        <f t="array" ref="K31">INDEX(Roster!$A:$A,MATCH(B31,Roster!$C:$C,0)+2) &amp; " / " &amp; INDEX(Roster!$A:$A,MATCH(B31,Roster!$C:$C,0)+3)</f>
        <v>Matiz / Esguerra</v>
      </c>
      <c r="L31" s="5" t="str">
        <f t="array" ref="L31">INDEX(Roster!$A:$A,MATCH(B31,Roster!$C:$C,0)) &amp; " / " &amp; INDEX(Roster!$A:$A,MATCH(B31,Roster!$C:$C,0)+1)</f>
        <v>Luca / Rocha</v>
      </c>
      <c r="M31" s="9" t="str">
        <f t="array" ref="M31">LET(flight_num, VALUE(RIGHT(B31, LEN(B31)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1" s="9" t="str">
        <f t="array" ref="N31">LET(
    flight, B31,
    flight_num, VALUE(RIGHT(flight, LEN(flight) - 7)),
    base_row, 215 + (flight_num - 1) * 4 + 4,
    INDEX(Calc_Engine!$F:$F, base_row)
)</f>
        <v>Final</v>
      </c>
      <c r="O31" s="5">
        <v>1.0</v>
      </c>
      <c r="P31" s="5">
        <v>0.0</v>
      </c>
      <c r="Q31" s="5" t="s">
        <v>350</v>
      </c>
      <c r="R31" s="5">
        <v>3.0</v>
      </c>
    </row>
    <row r="32" ht="16.5" customHeight="1">
      <c r="A32" s="1" t="s">
        <v>394</v>
      </c>
      <c r="B32" s="5" t="s">
        <v>26</v>
      </c>
      <c r="C32" s="1">
        <v>13.0</v>
      </c>
      <c r="D32" s="9">
        <f>SUMIFS(Back9_Scores!$C:$C, Back9_Scores!$A:$A, B32, Back9_Scores!$B:$B, C32)</f>
        <v>4</v>
      </c>
      <c r="E32" s="9">
        <f t="array" ref="E32">INDEX(Calc_Engine!$D:$D, MATCH(1, (Calc_Engine!$A:$A=B32)*(Calc_Engine!$B:$B=C32), 0))</f>
        <v>1</v>
      </c>
      <c r="F32" s="5">
        <f t="array" ref="F32">INDEX(Calc_Engine!$E:$E, MATCH(1, (Calc_Engine!$A:$A=B32)*(Calc_Engine!$B:$B=C32), 0))</f>
        <v>3</v>
      </c>
      <c r="G32" s="9">
        <f>SUMIFS(Back9_Scores!$D:$D, Back9_Scores!$A:$A, B32, Back9_Scores!$B:$B, C32)</f>
        <v>4</v>
      </c>
      <c r="H32" s="9">
        <f t="array" ref="H32">INDEX(Calc_Engine!$G:$G, MATCH(1, (Calc_Engine!$A:$A=B32)*(Calc_Engine!$B:$B=C32), 0))</f>
        <v>1</v>
      </c>
      <c r="I32" s="5">
        <f t="array" ref="I32">INDEX(Calc_Engine!$H:$H, MATCH(1, (Calc_Engine!$A:$A=B32)*(Calc_Engine!$B:$B=C32), 0))</f>
        <v>3</v>
      </c>
      <c r="J32" s="5" t="str">
        <f t="array" ref="J32">INDEX(Calc_Engine!$I:$I, MATCH(1, (Calc_Engine!$A:$A=B32)*(Calc_Engine!$B:$B=C32), 0))</f>
        <v>Tie</v>
      </c>
      <c r="K32" s="5" t="str">
        <f t="array" ref="K32">INDEX(Roster!$A:$A,MATCH(B32,Roster!$C:$C,0)+2) &amp; " / " &amp; INDEX(Roster!$A:$A,MATCH(B32,Roster!$C:$C,0)+3)</f>
        <v>Matiz / Esguerra</v>
      </c>
      <c r="L32" s="5" t="str">
        <f t="array" ref="L32">INDEX(Roster!$A:$A,MATCH(B32,Roster!$C:$C,0)) &amp; " / " &amp; INDEX(Roster!$A:$A,MATCH(B32,Roster!$C:$C,0)+1)</f>
        <v>Luca / Rocha</v>
      </c>
      <c r="M32" s="9" t="str">
        <f t="array" ref="M32">LET(flight_num, VALUE(RIGHT(B32, LEN(B32)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2" s="9" t="str">
        <f t="array" ref="N32">LET(
    flight, B32,
    flight_num, VALUE(RIGHT(flight, LEN(flight) - 7)),
    base_row, 215 + (flight_num - 1) * 4 + 4,
    INDEX(Calc_Engine!$F:$F, base_row)
)</f>
        <v>Final</v>
      </c>
      <c r="O32" s="5">
        <v>0.0</v>
      </c>
      <c r="P32" s="5">
        <v>0.0</v>
      </c>
      <c r="Q32" s="5" t="s">
        <v>350</v>
      </c>
      <c r="R32" s="5">
        <v>4.0</v>
      </c>
    </row>
    <row r="33" ht="16.5" customHeight="1">
      <c r="A33" s="1" t="s">
        <v>394</v>
      </c>
      <c r="B33" s="5" t="s">
        <v>26</v>
      </c>
      <c r="C33" s="1">
        <v>14.0</v>
      </c>
      <c r="D33" s="9">
        <f>SUMIFS(Back9_Scores!$C:$C, Back9_Scores!$A:$A, B33, Back9_Scores!$B:$B, C33)</f>
        <v>4</v>
      </c>
      <c r="E33" s="9">
        <f t="array" ref="E33">INDEX(Calc_Engine!$D:$D, MATCH(1, (Calc_Engine!$A:$A=B33)*(Calc_Engine!$B:$B=C33), 0))</f>
        <v>0</v>
      </c>
      <c r="F33" s="5">
        <f t="array" ref="F33">INDEX(Calc_Engine!$E:$E, MATCH(1, (Calc_Engine!$A:$A=B33)*(Calc_Engine!$B:$B=C33), 0))</f>
        <v>4</v>
      </c>
      <c r="G33" s="9">
        <f>SUMIFS(Back9_Scores!$D:$D, Back9_Scores!$A:$A, B33, Back9_Scores!$B:$B, C33)</f>
        <v>4</v>
      </c>
      <c r="H33" s="9">
        <f t="array" ref="H33">INDEX(Calc_Engine!$G:$G, MATCH(1, (Calc_Engine!$A:$A=B33)*(Calc_Engine!$B:$B=C33), 0))</f>
        <v>0</v>
      </c>
      <c r="I33" s="5">
        <f t="array" ref="I33">INDEX(Calc_Engine!$H:$H, MATCH(1, (Calc_Engine!$A:$A=B33)*(Calc_Engine!$B:$B=C33), 0))</f>
        <v>4</v>
      </c>
      <c r="J33" s="5" t="str">
        <f t="array" ref="J33">INDEX(Calc_Engine!$I:$I, MATCH(1, (Calc_Engine!$A:$A=B33)*(Calc_Engine!$B:$B=C33), 0))</f>
        <v>Tie</v>
      </c>
      <c r="K33" s="5" t="str">
        <f t="array" ref="K33">INDEX(Roster!$A:$A,MATCH(B33,Roster!$C:$C,0)+2) &amp; " / " &amp; INDEX(Roster!$A:$A,MATCH(B33,Roster!$C:$C,0)+3)</f>
        <v>Matiz / Esguerra</v>
      </c>
      <c r="L33" s="5" t="str">
        <f t="array" ref="L33">INDEX(Roster!$A:$A,MATCH(B33,Roster!$C:$C,0)) &amp; " / " &amp; INDEX(Roster!$A:$A,MATCH(B33,Roster!$C:$C,0)+1)</f>
        <v>Luca / Rocha</v>
      </c>
      <c r="M33" s="9" t="str">
        <f t="array" ref="M33">LET(flight_num, VALUE(RIGHT(B33, LEN(B33)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3" s="9" t="str">
        <f t="array" ref="N33">LET(
    flight, B33,
    flight_num, VALUE(RIGHT(flight, LEN(flight) - 7)),
    base_row, 215 + (flight_num - 1) * 4 + 4,
    INDEX(Calc_Engine!$F:$F, base_row)
)</f>
        <v>Final</v>
      </c>
      <c r="O33" s="5">
        <v>0.0</v>
      </c>
      <c r="P33" s="5">
        <v>0.0</v>
      </c>
      <c r="Q33" s="5" t="s">
        <v>350</v>
      </c>
      <c r="R33" s="5">
        <v>4.0</v>
      </c>
    </row>
    <row r="34" ht="16.5" customHeight="1">
      <c r="A34" s="1" t="s">
        <v>394</v>
      </c>
      <c r="B34" s="5" t="s">
        <v>26</v>
      </c>
      <c r="C34" s="1">
        <v>15.0</v>
      </c>
      <c r="D34" s="9">
        <f>SUMIFS(Back9_Scores!$C:$C, Back9_Scores!$A:$A, B34, Back9_Scores!$B:$B, C34)</f>
        <v>3</v>
      </c>
      <c r="E34" s="9">
        <f t="array" ref="E34">INDEX(Calc_Engine!$D:$D, MATCH(1, (Calc_Engine!$A:$A=B34)*(Calc_Engine!$B:$B=C34), 0))</f>
        <v>0</v>
      </c>
      <c r="F34" s="5">
        <f t="array" ref="F34">INDEX(Calc_Engine!$E:$E, MATCH(1, (Calc_Engine!$A:$A=B34)*(Calc_Engine!$B:$B=C34), 0))</f>
        <v>3</v>
      </c>
      <c r="G34" s="9">
        <f>SUMIFS(Back9_Scores!$D:$D, Back9_Scores!$A:$A, B34, Back9_Scores!$B:$B, C34)</f>
        <v>3</v>
      </c>
      <c r="H34" s="9">
        <f t="array" ref="H34">INDEX(Calc_Engine!$G:$G, MATCH(1, (Calc_Engine!$A:$A=B34)*(Calc_Engine!$B:$B=C34), 0))</f>
        <v>0</v>
      </c>
      <c r="I34" s="5">
        <f t="array" ref="I34">INDEX(Calc_Engine!$H:$H, MATCH(1, (Calc_Engine!$A:$A=B34)*(Calc_Engine!$B:$B=C34), 0))</f>
        <v>3</v>
      </c>
      <c r="J34" s="5" t="str">
        <f t="array" ref="J34">INDEX(Calc_Engine!$I:$I, MATCH(1, (Calc_Engine!$A:$A=B34)*(Calc_Engine!$B:$B=C34), 0))</f>
        <v>Tie</v>
      </c>
      <c r="K34" s="5" t="str">
        <f t="array" ref="K34">INDEX(Roster!$A:$A,MATCH(B34,Roster!$C:$C,0)+2) &amp; " / " &amp; INDEX(Roster!$A:$A,MATCH(B34,Roster!$C:$C,0)+3)</f>
        <v>Matiz / Esguerra</v>
      </c>
      <c r="L34" s="5" t="str">
        <f t="array" ref="L34">INDEX(Roster!$A:$A,MATCH(B34,Roster!$C:$C,0)) &amp; " / " &amp; INDEX(Roster!$A:$A,MATCH(B34,Roster!$C:$C,0)+1)</f>
        <v>Luca / Rocha</v>
      </c>
      <c r="M34" s="9" t="str">
        <f t="array" ref="M34">LET(flight_num, VALUE(RIGHT(B34, LEN(B34)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4" s="9" t="str">
        <f t="array" ref="N34">LET(
    flight, B34,
    flight_num, VALUE(RIGHT(flight, LEN(flight) - 7)),
    base_row, 215 + (flight_num - 1) * 4 + 4,
    INDEX(Calc_Engine!$F:$F, base_row)
)</f>
        <v>Final</v>
      </c>
      <c r="O34" s="5">
        <v>0.0</v>
      </c>
      <c r="P34" s="5">
        <v>0.0</v>
      </c>
      <c r="Q34" s="5" t="s">
        <v>350</v>
      </c>
      <c r="R34" s="5">
        <v>3.0</v>
      </c>
    </row>
    <row r="35" ht="16.5" customHeight="1">
      <c r="A35" s="1" t="s">
        <v>394</v>
      </c>
      <c r="B35" s="5" t="s">
        <v>26</v>
      </c>
      <c r="C35" s="1">
        <v>16.0</v>
      </c>
      <c r="D35" s="9">
        <f>SUMIFS(Back9_Scores!$C:$C, Back9_Scores!$A:$A, B35, Back9_Scores!$B:$B, C35)</f>
        <v>4</v>
      </c>
      <c r="E35" s="9">
        <f t="array" ref="E35">INDEX(Calc_Engine!$D:$D, MATCH(1, (Calc_Engine!$A:$A=B35)*(Calc_Engine!$B:$B=C35), 0))</f>
        <v>0</v>
      </c>
      <c r="F35" s="5">
        <f t="array" ref="F35">INDEX(Calc_Engine!$E:$E, MATCH(1, (Calc_Engine!$A:$A=B35)*(Calc_Engine!$B:$B=C35), 0))</f>
        <v>4</v>
      </c>
      <c r="G35" s="9">
        <f>SUMIFS(Back9_Scores!$D:$D, Back9_Scores!$A:$A, B35, Back9_Scores!$B:$B, C35)</f>
        <v>4</v>
      </c>
      <c r="H35" s="9">
        <f t="array" ref="H35">INDEX(Calc_Engine!$G:$G, MATCH(1, (Calc_Engine!$A:$A=B35)*(Calc_Engine!$B:$B=C35), 0))</f>
        <v>0</v>
      </c>
      <c r="I35" s="5">
        <f t="array" ref="I35">INDEX(Calc_Engine!$H:$H, MATCH(1, (Calc_Engine!$A:$A=B35)*(Calc_Engine!$B:$B=C35), 0))</f>
        <v>4</v>
      </c>
      <c r="J35" s="5" t="str">
        <f t="array" ref="J35">INDEX(Calc_Engine!$I:$I, MATCH(1, (Calc_Engine!$A:$A=B35)*(Calc_Engine!$B:$B=C35), 0))</f>
        <v>Tie</v>
      </c>
      <c r="K35" s="5" t="str">
        <f t="array" ref="K35">INDEX(Roster!$A:$A,MATCH(B35,Roster!$C:$C,0)+2) &amp; " / " &amp; INDEX(Roster!$A:$A,MATCH(B35,Roster!$C:$C,0)+3)</f>
        <v>Matiz / Esguerra</v>
      </c>
      <c r="L35" s="5" t="str">
        <f t="array" ref="L35">INDEX(Roster!$A:$A,MATCH(B35,Roster!$C:$C,0)) &amp; " / " &amp; INDEX(Roster!$A:$A,MATCH(B35,Roster!$C:$C,0)+1)</f>
        <v>Luca / Rocha</v>
      </c>
      <c r="M35" s="9" t="str">
        <f t="array" ref="M35">LET(flight_num, VALUE(RIGHT(B35, LEN(B35)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5" s="9" t="str">
        <f t="array" ref="N35">LET(
    flight, B35,
    flight_num, VALUE(RIGHT(flight, LEN(flight) - 7)),
    base_row, 215 + (flight_num - 1) * 4 + 4,
    INDEX(Calc_Engine!$F:$F, base_row)
)</f>
        <v>Final</v>
      </c>
      <c r="O35" s="5">
        <v>0.0</v>
      </c>
      <c r="P35" s="5">
        <v>0.0</v>
      </c>
      <c r="Q35" s="5" t="s">
        <v>350</v>
      </c>
      <c r="R35" s="5">
        <v>4.0</v>
      </c>
    </row>
    <row r="36" ht="16.5" customHeight="1">
      <c r="A36" s="1" t="s">
        <v>394</v>
      </c>
      <c r="B36" s="5" t="s">
        <v>26</v>
      </c>
      <c r="C36" s="1">
        <v>17.0</v>
      </c>
      <c r="D36" s="9">
        <f>SUMIFS(Back9_Scores!$C:$C, Back9_Scores!$A:$A, B36, Back9_Scores!$B:$B, C36)</f>
        <v>4</v>
      </c>
      <c r="E36" s="9">
        <f t="array" ref="E36">INDEX(Calc_Engine!$D:$D, MATCH(1, (Calc_Engine!$A:$A=B36)*(Calc_Engine!$B:$B=C36), 0))</f>
        <v>1</v>
      </c>
      <c r="F36" s="5">
        <f t="array" ref="F36">INDEX(Calc_Engine!$E:$E, MATCH(1, (Calc_Engine!$A:$A=B36)*(Calc_Engine!$B:$B=C36), 0))</f>
        <v>3</v>
      </c>
      <c r="G36" s="9">
        <f>SUMIFS(Back9_Scores!$D:$D, Back9_Scores!$A:$A, B36, Back9_Scores!$B:$B, C36)</f>
        <v>4</v>
      </c>
      <c r="H36" s="9">
        <f t="array" ref="H36">INDEX(Calc_Engine!$G:$G, MATCH(1, (Calc_Engine!$A:$A=B36)*(Calc_Engine!$B:$B=C36), 0))</f>
        <v>0</v>
      </c>
      <c r="I36" s="5">
        <f t="array" ref="I36">INDEX(Calc_Engine!$H:$H, MATCH(1, (Calc_Engine!$A:$A=B36)*(Calc_Engine!$B:$B=C36), 0))</f>
        <v>4</v>
      </c>
      <c r="J36" s="5" t="str">
        <f t="array" ref="J36">INDEX(Calc_Engine!$I:$I, MATCH(1, (Calc_Engine!$A:$A=B36)*(Calc_Engine!$B:$B=C36), 0))</f>
        <v>Red</v>
      </c>
      <c r="K36" s="5" t="str">
        <f t="array" ref="K36">INDEX(Roster!$A:$A,MATCH(B36,Roster!$C:$C,0)+2) &amp; " / " &amp; INDEX(Roster!$A:$A,MATCH(B36,Roster!$C:$C,0)+3)</f>
        <v>Matiz / Esguerra</v>
      </c>
      <c r="L36" s="5" t="str">
        <f t="array" ref="L36">INDEX(Roster!$A:$A,MATCH(B36,Roster!$C:$C,0)) &amp; " / " &amp; INDEX(Roster!$A:$A,MATCH(B36,Roster!$C:$C,0)+1)</f>
        <v>Luca / Rocha</v>
      </c>
      <c r="M36" s="9" t="str">
        <f t="array" ref="M36">LET(flight_num, VALUE(RIGHT(B36, LEN(B36)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6" s="9" t="str">
        <f t="array" ref="N36">LET(
    flight, B36,
    flight_num, VALUE(RIGHT(flight, LEN(flight) - 7)),
    base_row, 215 + (flight_num - 1) * 4 + 4,
    INDEX(Calc_Engine!$F:$F, base_row)
)</f>
        <v>Final</v>
      </c>
      <c r="O36" s="5">
        <v>1.0</v>
      </c>
      <c r="P36" s="5">
        <v>1.0</v>
      </c>
      <c r="Q36" s="5" t="s">
        <v>352</v>
      </c>
      <c r="R36" s="5">
        <v>4.0</v>
      </c>
    </row>
    <row r="37" ht="16.5" customHeight="1">
      <c r="A37" s="1" t="s">
        <v>394</v>
      </c>
      <c r="B37" s="5" t="s">
        <v>26</v>
      </c>
      <c r="C37" s="1">
        <v>18.0</v>
      </c>
      <c r="D37" s="9">
        <f>SUMIFS(Back9_Scores!$C:$C, Back9_Scores!$A:$A, B37, Back9_Scores!$B:$B, C37)</f>
        <v>5</v>
      </c>
      <c r="E37" s="9">
        <f t="array" ref="E37">INDEX(Calc_Engine!$D:$D, MATCH(1, (Calc_Engine!$A:$A=B37)*(Calc_Engine!$B:$B=C37), 0))</f>
        <v>0</v>
      </c>
      <c r="F37" s="5">
        <f t="array" ref="F37">INDEX(Calc_Engine!$E:$E, MATCH(1, (Calc_Engine!$A:$A=B37)*(Calc_Engine!$B:$B=C37), 0))</f>
        <v>5</v>
      </c>
      <c r="G37" s="9">
        <f>SUMIFS(Back9_Scores!$D:$D, Back9_Scores!$A:$A, B37, Back9_Scores!$B:$B, C37)</f>
        <v>5</v>
      </c>
      <c r="H37" s="9">
        <f t="array" ref="H37">INDEX(Calc_Engine!$G:$G, MATCH(1, (Calc_Engine!$A:$A=B37)*(Calc_Engine!$B:$B=C37), 0))</f>
        <v>1</v>
      </c>
      <c r="I37" s="5">
        <f t="array" ref="I37">INDEX(Calc_Engine!$H:$H, MATCH(1, (Calc_Engine!$A:$A=B37)*(Calc_Engine!$B:$B=C37), 0))</f>
        <v>4</v>
      </c>
      <c r="J37" s="5" t="str">
        <f t="array" ref="J37">INDEX(Calc_Engine!$I:$I, MATCH(1, (Calc_Engine!$A:$A=B37)*(Calc_Engine!$B:$B=C37), 0))</f>
        <v>Blue</v>
      </c>
      <c r="K37" s="5" t="str">
        <f t="array" ref="K37">INDEX(Roster!$A:$A,MATCH(B37,Roster!$C:$C,0)+2) &amp; " / " &amp; INDEX(Roster!$A:$A,MATCH(B37,Roster!$C:$C,0)+3)</f>
        <v>Matiz / Esguerra</v>
      </c>
      <c r="L37" s="5" t="str">
        <f t="array" ref="L37">INDEX(Roster!$A:$A,MATCH(B37,Roster!$C:$C,0)) &amp; " / " &amp; INDEX(Roster!$A:$A,MATCH(B37,Roster!$C:$C,0)+1)</f>
        <v>Luca / Rocha</v>
      </c>
      <c r="M37" s="9" t="str">
        <f t="array" ref="M37">LET(flight_num, VALUE(RIGHT(B37, LEN(B37)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7" s="9" t="str">
        <f t="array" ref="N37">LET(
    flight, B37,
    flight_num, VALUE(RIGHT(flight, LEN(flight) - 7)),
    base_row, 215 + (flight_num - 1) * 4 + 4,
    INDEX(Calc_Engine!$F:$F, base_row)
)</f>
        <v>Final</v>
      </c>
      <c r="O37" s="5">
        <v>-1.0</v>
      </c>
      <c r="P37" s="5">
        <v>0.0</v>
      </c>
      <c r="Q37" s="5" t="s">
        <v>350</v>
      </c>
      <c r="R37" s="5">
        <v>5.0</v>
      </c>
    </row>
    <row r="38" ht="16.5" customHeight="1">
      <c r="A38" s="1" t="s">
        <v>395</v>
      </c>
      <c r="B38" s="5" t="str">
        <f t="array" ref="B38:B46">Calc_Engine!A170:A178</f>
        <v>Flight_5</v>
      </c>
      <c r="C38" s="1">
        <v>10.0</v>
      </c>
      <c r="D38" s="9">
        <v>5.0</v>
      </c>
      <c r="E38" s="9">
        <f t="array" ref="E38">INDEX(Calc_Engine!$D:$D, MATCH(1, (Calc_Engine!$A:$A=B38)*(Calc_Engine!$B:$B=C38), 0))</f>
        <v>0</v>
      </c>
      <c r="F38" s="5">
        <f t="array" ref="F38">INDEX(Calc_Engine!$E:$E, MATCH(1, (Calc_Engine!$A:$A=B38)*(Calc_Engine!$B:$B=C38), 0))</f>
        <v>5</v>
      </c>
      <c r="G38" s="9">
        <v>4.0</v>
      </c>
      <c r="H38" s="9">
        <f t="array" ref="H38">INDEX(Calc_Engine!$G:$G, MATCH(1, (Calc_Engine!$A:$A=B38)*(Calc_Engine!$B:$B=C38), 0))</f>
        <v>1</v>
      </c>
      <c r="I38" s="5">
        <f t="array" ref="I38">INDEX(Calc_Engine!$H:$H, MATCH(1, (Calc_Engine!$A:$A=B38)*(Calc_Engine!$B:$B=C38), 0))</f>
        <v>3</v>
      </c>
      <c r="J38" s="5" t="str">
        <f t="array" ref="J38">INDEX(Calc_Engine!$I:$I, MATCH(1, (Calc_Engine!$A:$A=B38)*(Calc_Engine!$B:$B=C38), 0))</f>
        <v>Blue</v>
      </c>
      <c r="K38" s="5" t="str">
        <f t="array" ref="K38">INDEX(Roster!$A:$A,MATCH(B38,Roster!$C:$C,0)+2) &amp; " / " &amp; INDEX(Roster!$A:$A,MATCH(B38,Roster!$C:$C,0)+3)</f>
        <v>Pulido / Otoya</v>
      </c>
      <c r="L38" s="5" t="str">
        <f t="array" ref="L38">INDEX(Roster!$A:$A,MATCH(B38,Roster!$C:$C,0)) &amp; " / " &amp; INDEX(Roster!$A:$A,MATCH(B38,Roster!$C:$C,0)+1)</f>
        <v>Sardi / JC Casas</v>
      </c>
      <c r="M38" s="9" t="str">
        <f t="array" ref="M38">LET(flight_num, VALUE(RIGHT(B38, LEN(B38)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8" s="9" t="str">
        <f t="array" ref="N38">LET(
    flight, B38,
    flight_num, VALUE(RIGHT(flight, LEN(flight) - 7)),
    base_row, 215 + (flight_num - 1) * 4 + 4,
    INDEX(Calc_Engine!$F:$F, base_row)
)</f>
        <v>Final</v>
      </c>
      <c r="O38" s="5">
        <v>-1.0</v>
      </c>
      <c r="P38" s="5">
        <v>-1.0</v>
      </c>
      <c r="Q38" s="5" t="s">
        <v>352</v>
      </c>
      <c r="R38" s="5">
        <v>5.0</v>
      </c>
    </row>
    <row r="39" ht="16.5" customHeight="1">
      <c r="A39" s="1" t="s">
        <v>395</v>
      </c>
      <c r="B39" s="5" t="s">
        <v>31</v>
      </c>
      <c r="C39" s="1">
        <v>11.0</v>
      </c>
      <c r="D39" s="9">
        <f>SUMIFS(Back9_Scores!$C:$C, Back9_Scores!$A:$A, B39, Back9_Scores!$B:$B, C39)</f>
        <v>4</v>
      </c>
      <c r="E39" s="9">
        <f t="array" ref="E39">INDEX(Calc_Engine!$D:$D, MATCH(1, (Calc_Engine!$A:$A=B39)*(Calc_Engine!$B:$B=C39), 0))</f>
        <v>1</v>
      </c>
      <c r="F39" s="5">
        <f t="array" ref="F39">INDEX(Calc_Engine!$E:$E, MATCH(1, (Calc_Engine!$A:$A=B39)*(Calc_Engine!$B:$B=C39), 0))</f>
        <v>3</v>
      </c>
      <c r="G39" s="9">
        <v>4.0</v>
      </c>
      <c r="H39" s="9">
        <f t="array" ref="H39">INDEX(Calc_Engine!$G:$G, MATCH(1, (Calc_Engine!$A:$A=B39)*(Calc_Engine!$B:$B=C39), 0))</f>
        <v>1</v>
      </c>
      <c r="I39" s="5">
        <f t="array" ref="I39">INDEX(Calc_Engine!$H:$H, MATCH(1, (Calc_Engine!$A:$A=B39)*(Calc_Engine!$B:$B=C39), 0))</f>
        <v>3</v>
      </c>
      <c r="J39" s="5" t="str">
        <f t="array" ref="J39">INDEX(Calc_Engine!$I:$I, MATCH(1, (Calc_Engine!$A:$A=B39)*(Calc_Engine!$B:$B=C39), 0))</f>
        <v>Tie</v>
      </c>
      <c r="K39" s="5" t="str">
        <f t="array" ref="K39">INDEX(Roster!$A:$A,MATCH(B39,Roster!$C:$C,0)+2) &amp; " / " &amp; INDEX(Roster!$A:$A,MATCH(B39,Roster!$C:$C,0)+3)</f>
        <v>Pulido / Otoya</v>
      </c>
      <c r="L39" s="5" t="str">
        <f t="array" ref="L39">INDEX(Roster!$A:$A,MATCH(B39,Roster!$C:$C,0)) &amp; " / " &amp; INDEX(Roster!$A:$A,MATCH(B39,Roster!$C:$C,0)+1)</f>
        <v>Sardi / JC Casas</v>
      </c>
      <c r="M39" s="9" t="str">
        <f t="array" ref="M39">LET(flight_num, VALUE(RIGHT(B39, LEN(B39)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39" s="9" t="str">
        <f t="array" ref="N39">LET(
    flight, B39,
    flight_num, VALUE(RIGHT(flight, LEN(flight) - 7)),
    base_row, 215 + (flight_num - 1) * 4 + 4,
    INDEX(Calc_Engine!$F:$F, base_row)
)</f>
        <v>Final</v>
      </c>
      <c r="O39" s="5">
        <v>0.0</v>
      </c>
      <c r="P39" s="5">
        <v>-1.0</v>
      </c>
      <c r="Q39" s="5" t="s">
        <v>352</v>
      </c>
      <c r="R39" s="5">
        <v>4.0</v>
      </c>
    </row>
    <row r="40" ht="16.5" customHeight="1">
      <c r="A40" s="1" t="s">
        <v>395</v>
      </c>
      <c r="B40" s="5" t="s">
        <v>31</v>
      </c>
      <c r="C40" s="1">
        <v>12.0</v>
      </c>
      <c r="D40" s="9">
        <f>SUMIFS(Back9_Scores!$C:$C, Back9_Scores!$A:$A, B40, Back9_Scores!$B:$B, C40)</f>
        <v>3</v>
      </c>
      <c r="E40" s="9">
        <f t="array" ref="E40">INDEX(Calc_Engine!$D:$D, MATCH(1, (Calc_Engine!$A:$A=B40)*(Calc_Engine!$B:$B=C40), 0))</f>
        <v>1</v>
      </c>
      <c r="F40" s="5">
        <f t="array" ref="F40">INDEX(Calc_Engine!$E:$E, MATCH(1, (Calc_Engine!$A:$A=B40)*(Calc_Engine!$B:$B=C40), 0))</f>
        <v>2</v>
      </c>
      <c r="G40" s="9">
        <f>SUMIFS(Back9_Scores!$D:$D, Back9_Scores!$A:$A, B40, Back9_Scores!$B:$B, C40)</f>
        <v>3</v>
      </c>
      <c r="H40" s="9">
        <f t="array" ref="H40">INDEX(Calc_Engine!$G:$G, MATCH(1, (Calc_Engine!$A:$A=B40)*(Calc_Engine!$B:$B=C40), 0))</f>
        <v>1</v>
      </c>
      <c r="I40" s="5">
        <f t="array" ref="I40">INDEX(Calc_Engine!$H:$H, MATCH(1, (Calc_Engine!$A:$A=B40)*(Calc_Engine!$B:$B=C40), 0))</f>
        <v>2</v>
      </c>
      <c r="J40" s="5" t="str">
        <f t="array" ref="J40">INDEX(Calc_Engine!$I:$I, MATCH(1, (Calc_Engine!$A:$A=B40)*(Calc_Engine!$B:$B=C40), 0))</f>
        <v>Tie</v>
      </c>
      <c r="K40" s="5" t="str">
        <f t="array" ref="K40">INDEX(Roster!$A:$A,MATCH(B40,Roster!$C:$C,0)+2) &amp; " / " &amp; INDEX(Roster!$A:$A,MATCH(B40,Roster!$C:$C,0)+3)</f>
        <v>Pulido / Otoya</v>
      </c>
      <c r="L40" s="5" t="str">
        <f t="array" ref="L40">INDEX(Roster!$A:$A,MATCH(B40,Roster!$C:$C,0)) &amp; " / " &amp; INDEX(Roster!$A:$A,MATCH(B40,Roster!$C:$C,0)+1)</f>
        <v>Sardi / JC Casas</v>
      </c>
      <c r="M40" s="9" t="str">
        <f t="array" ref="M40">LET(flight_num, VALUE(RIGHT(B40, LEN(B40)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0" s="9" t="str">
        <f t="array" ref="N40">LET(
    flight, B40,
    flight_num, VALUE(RIGHT(flight, LEN(flight) - 7)),
    base_row, 215 + (flight_num - 1) * 4 + 4,
    INDEX(Calc_Engine!$F:$F, base_row)
)</f>
        <v>Final</v>
      </c>
      <c r="O40" s="5">
        <v>0.0</v>
      </c>
      <c r="P40" s="5">
        <v>-1.0</v>
      </c>
      <c r="Q40" s="5" t="s">
        <v>352</v>
      </c>
      <c r="R40" s="5">
        <v>3.0</v>
      </c>
    </row>
    <row r="41" ht="16.5" customHeight="1">
      <c r="A41" s="1" t="s">
        <v>395</v>
      </c>
      <c r="B41" s="5" t="s">
        <v>31</v>
      </c>
      <c r="C41" s="1">
        <v>13.0</v>
      </c>
      <c r="D41" s="9">
        <v>3.0</v>
      </c>
      <c r="E41" s="9">
        <f t="array" ref="E41">INDEX(Calc_Engine!$D:$D, MATCH(1, (Calc_Engine!$A:$A=B41)*(Calc_Engine!$B:$B=C41), 0))</f>
        <v>1</v>
      </c>
      <c r="F41" s="5">
        <f t="array" ref="F41">INDEX(Calc_Engine!$E:$E, MATCH(1, (Calc_Engine!$A:$A=B41)*(Calc_Engine!$B:$B=C41), 0))</f>
        <v>2</v>
      </c>
      <c r="G41" s="9">
        <v>3.0</v>
      </c>
      <c r="H41" s="9">
        <f t="array" ref="H41">INDEX(Calc_Engine!$G:$G, MATCH(1, (Calc_Engine!$A:$A=B41)*(Calc_Engine!$B:$B=C41), 0))</f>
        <v>1</v>
      </c>
      <c r="I41" s="5">
        <f t="array" ref="I41">INDEX(Calc_Engine!$H:$H, MATCH(1, (Calc_Engine!$A:$A=B41)*(Calc_Engine!$B:$B=C41), 0))</f>
        <v>2</v>
      </c>
      <c r="J41" s="5" t="str">
        <f t="array" ref="J41">INDEX(Calc_Engine!$I:$I, MATCH(1, (Calc_Engine!$A:$A=B41)*(Calc_Engine!$B:$B=C41), 0))</f>
        <v>Tie</v>
      </c>
      <c r="K41" s="5" t="str">
        <f t="array" ref="K41">INDEX(Roster!$A:$A,MATCH(B41,Roster!$C:$C,0)+2) &amp; " / " &amp; INDEX(Roster!$A:$A,MATCH(B41,Roster!$C:$C,0)+3)</f>
        <v>Pulido / Otoya</v>
      </c>
      <c r="L41" s="5" t="str">
        <f t="array" ref="L41">INDEX(Roster!$A:$A,MATCH(B41,Roster!$C:$C,0)) &amp; " / " &amp; INDEX(Roster!$A:$A,MATCH(B41,Roster!$C:$C,0)+1)</f>
        <v>Sardi / JC Casas</v>
      </c>
      <c r="M41" s="9" t="str">
        <f t="array" ref="M41">LET(flight_num, VALUE(RIGHT(B41, LEN(B41)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1" s="9" t="str">
        <f t="array" ref="N41">LET(
    flight, B41,
    flight_num, VALUE(RIGHT(flight, LEN(flight) - 7)),
    base_row, 215 + (flight_num - 1) * 4 + 4,
    INDEX(Calc_Engine!$F:$F, base_row)
)</f>
        <v>Final</v>
      </c>
      <c r="O41" s="5">
        <v>0.0</v>
      </c>
      <c r="P41" s="5">
        <v>-1.0</v>
      </c>
      <c r="Q41" s="5" t="s">
        <v>352</v>
      </c>
      <c r="R41" s="5">
        <v>4.0</v>
      </c>
    </row>
    <row r="42" ht="16.5" customHeight="1">
      <c r="A42" s="1" t="s">
        <v>395</v>
      </c>
      <c r="B42" s="5" t="s">
        <v>31</v>
      </c>
      <c r="C42" s="1">
        <v>14.0</v>
      </c>
      <c r="D42" s="9">
        <v>4.0</v>
      </c>
      <c r="E42" s="9">
        <f t="array" ref="E42">INDEX(Calc_Engine!$D:$D, MATCH(1, (Calc_Engine!$A:$A=B42)*(Calc_Engine!$B:$B=C42), 0))</f>
        <v>0</v>
      </c>
      <c r="F42" s="5">
        <f t="array" ref="F42">INDEX(Calc_Engine!$E:$E, MATCH(1, (Calc_Engine!$A:$A=B42)*(Calc_Engine!$B:$B=C42), 0))</f>
        <v>4</v>
      </c>
      <c r="G42" s="9">
        <f>SUMIFS(Back9_Scores!$D:$D, Back9_Scores!$A:$A, B42, Back9_Scores!$B:$B, C42)</f>
        <v>4</v>
      </c>
      <c r="H42" s="9">
        <f t="array" ref="H42">INDEX(Calc_Engine!$G:$G, MATCH(1, (Calc_Engine!$A:$A=B42)*(Calc_Engine!$B:$B=C42), 0))</f>
        <v>0</v>
      </c>
      <c r="I42" s="5">
        <f t="array" ref="I42">INDEX(Calc_Engine!$H:$H, MATCH(1, (Calc_Engine!$A:$A=B42)*(Calc_Engine!$B:$B=C42), 0))</f>
        <v>4</v>
      </c>
      <c r="J42" s="5" t="str">
        <f t="array" ref="J42">INDEX(Calc_Engine!$I:$I, MATCH(1, (Calc_Engine!$A:$A=B42)*(Calc_Engine!$B:$B=C42), 0))</f>
        <v>Tie</v>
      </c>
      <c r="K42" s="5" t="str">
        <f t="array" ref="K42">INDEX(Roster!$A:$A,MATCH(B42,Roster!$C:$C,0)+2) &amp; " / " &amp; INDEX(Roster!$A:$A,MATCH(B42,Roster!$C:$C,0)+3)</f>
        <v>Pulido / Otoya</v>
      </c>
      <c r="L42" s="5" t="str">
        <f t="array" ref="L42">INDEX(Roster!$A:$A,MATCH(B42,Roster!$C:$C,0)) &amp; " / " &amp; INDEX(Roster!$A:$A,MATCH(B42,Roster!$C:$C,0)+1)</f>
        <v>Sardi / JC Casas</v>
      </c>
      <c r="M42" s="9" t="str">
        <f t="array" ref="M42">LET(flight_num, VALUE(RIGHT(B42, LEN(B42)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2" s="9" t="str">
        <f t="array" ref="N42">LET(
    flight, B42,
    flight_num, VALUE(RIGHT(flight, LEN(flight) - 7)),
    base_row, 215 + (flight_num - 1) * 4 + 4,
    INDEX(Calc_Engine!$F:$F, base_row)
)</f>
        <v>Final</v>
      </c>
      <c r="O42" s="5">
        <v>0.0</v>
      </c>
      <c r="P42" s="5">
        <v>-1.0</v>
      </c>
      <c r="Q42" s="5" t="s">
        <v>352</v>
      </c>
      <c r="R42" s="5">
        <v>4.0</v>
      </c>
    </row>
    <row r="43" ht="16.5" customHeight="1">
      <c r="A43" s="1" t="s">
        <v>395</v>
      </c>
      <c r="B43" s="5" t="s">
        <v>31</v>
      </c>
      <c r="C43" s="1">
        <v>15.0</v>
      </c>
      <c r="D43" s="9">
        <v>3.0</v>
      </c>
      <c r="E43" s="9">
        <f t="array" ref="E43">INDEX(Calc_Engine!$D:$D, MATCH(1, (Calc_Engine!$A:$A=B43)*(Calc_Engine!$B:$B=C43), 0))</f>
        <v>0</v>
      </c>
      <c r="F43" s="5">
        <f t="array" ref="F43">INDEX(Calc_Engine!$E:$E, MATCH(1, (Calc_Engine!$A:$A=B43)*(Calc_Engine!$B:$B=C43), 0))</f>
        <v>3</v>
      </c>
      <c r="G43" s="9">
        <v>6.0</v>
      </c>
      <c r="H43" s="9">
        <f t="array" ref="H43">INDEX(Calc_Engine!$G:$G, MATCH(1, (Calc_Engine!$A:$A=B43)*(Calc_Engine!$B:$B=C43), 0))</f>
        <v>0</v>
      </c>
      <c r="I43" s="5">
        <f t="array" ref="I43">INDEX(Calc_Engine!$H:$H, MATCH(1, (Calc_Engine!$A:$A=B43)*(Calc_Engine!$B:$B=C43), 0))</f>
        <v>4</v>
      </c>
      <c r="J43" s="5" t="str">
        <f t="array" ref="J43">INDEX(Calc_Engine!$I:$I, MATCH(1, (Calc_Engine!$A:$A=B43)*(Calc_Engine!$B:$B=C43), 0))</f>
        <v>Red</v>
      </c>
      <c r="K43" s="5" t="str">
        <f t="array" ref="K43">INDEX(Roster!$A:$A,MATCH(B43,Roster!$C:$C,0)+2) &amp; " / " &amp; INDEX(Roster!$A:$A,MATCH(B43,Roster!$C:$C,0)+3)</f>
        <v>Pulido / Otoya</v>
      </c>
      <c r="L43" s="5" t="str">
        <f t="array" ref="L43">INDEX(Roster!$A:$A,MATCH(B43,Roster!$C:$C,0)) &amp; " / " &amp; INDEX(Roster!$A:$A,MATCH(B43,Roster!$C:$C,0)+1)</f>
        <v>Sardi / JC Casas</v>
      </c>
      <c r="M43" s="9" t="str">
        <f t="array" ref="M43">LET(flight_num, VALUE(RIGHT(B43, LEN(B43)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3" s="9" t="str">
        <f t="array" ref="N43">LET(
    flight, B43,
    flight_num, VALUE(RIGHT(flight, LEN(flight) - 7)),
    base_row, 215 + (flight_num - 1) * 4 + 4,
    INDEX(Calc_Engine!$F:$F, base_row)
)</f>
        <v>Final</v>
      </c>
      <c r="O43" s="5">
        <v>1.0</v>
      </c>
      <c r="P43" s="5">
        <v>0.0</v>
      </c>
      <c r="Q43" s="5" t="s">
        <v>350</v>
      </c>
      <c r="R43" s="5">
        <v>3.0</v>
      </c>
    </row>
    <row r="44" ht="16.5" customHeight="1">
      <c r="A44" s="1" t="s">
        <v>395</v>
      </c>
      <c r="B44" s="5" t="s">
        <v>31</v>
      </c>
      <c r="C44" s="1">
        <v>16.0</v>
      </c>
      <c r="D44" s="9">
        <f>SUMIFS(Back9_Scores!$C:$C, Back9_Scores!$A:$A, B44, Back9_Scores!$B:$B, C44)</f>
        <v>4</v>
      </c>
      <c r="E44" s="9">
        <f t="array" ref="E44">INDEX(Calc_Engine!$D:$D, MATCH(1, (Calc_Engine!$A:$A=B44)*(Calc_Engine!$B:$B=C44), 0))</f>
        <v>0</v>
      </c>
      <c r="F44" s="5">
        <f t="array" ref="F44">INDEX(Calc_Engine!$E:$E, MATCH(1, (Calc_Engine!$A:$A=B44)*(Calc_Engine!$B:$B=C44), 0))</f>
        <v>4</v>
      </c>
      <c r="G44" s="9">
        <v>6.0</v>
      </c>
      <c r="H44" s="9">
        <f t="array" ref="H44">INDEX(Calc_Engine!$G:$G, MATCH(1, (Calc_Engine!$A:$A=B44)*(Calc_Engine!$B:$B=C44), 0))</f>
        <v>0</v>
      </c>
      <c r="I44" s="5">
        <f t="array" ref="I44">INDEX(Calc_Engine!$H:$H, MATCH(1, (Calc_Engine!$A:$A=B44)*(Calc_Engine!$B:$B=C44), 0))</f>
        <v>6</v>
      </c>
      <c r="J44" s="5" t="str">
        <f t="array" ref="J44">INDEX(Calc_Engine!$I:$I, MATCH(1, (Calc_Engine!$A:$A=B44)*(Calc_Engine!$B:$B=C44), 0))</f>
        <v>Red</v>
      </c>
      <c r="K44" s="5" t="str">
        <f t="array" ref="K44">INDEX(Roster!$A:$A,MATCH(B44,Roster!$C:$C,0)+2) &amp; " / " &amp; INDEX(Roster!$A:$A,MATCH(B44,Roster!$C:$C,0)+3)</f>
        <v>Pulido / Otoya</v>
      </c>
      <c r="L44" s="5" t="str">
        <f t="array" ref="L44">INDEX(Roster!$A:$A,MATCH(B44,Roster!$C:$C,0)) &amp; " / " &amp; INDEX(Roster!$A:$A,MATCH(B44,Roster!$C:$C,0)+1)</f>
        <v>Sardi / JC Casas</v>
      </c>
      <c r="M44" s="9" t="str">
        <f t="array" ref="M44">LET(flight_num, VALUE(RIGHT(B44, LEN(B44)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4" s="9" t="str">
        <f t="array" ref="N44">LET(
    flight, B44,
    flight_num, VALUE(RIGHT(flight, LEN(flight) - 7)),
    base_row, 215 + (flight_num - 1) * 4 + 4,
    INDEX(Calc_Engine!$F:$F, base_row)
)</f>
        <v>Final</v>
      </c>
      <c r="O44" s="5">
        <v>1.0</v>
      </c>
      <c r="P44" s="5">
        <v>1.0</v>
      </c>
      <c r="Q44" s="5" t="s">
        <v>352</v>
      </c>
      <c r="R44" s="5">
        <v>4.0</v>
      </c>
    </row>
    <row r="45" ht="16.5" customHeight="1">
      <c r="A45" s="1" t="s">
        <v>395</v>
      </c>
      <c r="B45" s="5" t="s">
        <v>31</v>
      </c>
      <c r="C45" s="1">
        <v>17.0</v>
      </c>
      <c r="D45" s="9">
        <f>SUMIFS(Back9_Scores!$C:$C, Back9_Scores!$A:$A, B45, Back9_Scores!$B:$B, C45)</f>
        <v>3</v>
      </c>
      <c r="E45" s="9">
        <f t="array" ref="E45">INDEX(Calc_Engine!$D:$D, MATCH(1, (Calc_Engine!$A:$A=B45)*(Calc_Engine!$B:$B=C45), 0))</f>
        <v>0</v>
      </c>
      <c r="F45" s="5">
        <f t="array" ref="F45">INDEX(Calc_Engine!$E:$E, MATCH(1, (Calc_Engine!$A:$A=B45)*(Calc_Engine!$B:$B=C45), 0))</f>
        <v>3</v>
      </c>
      <c r="G45" s="9">
        <f>SUMIFS(Back9_Scores!$D:$D, Back9_Scores!$A:$A, B45, Back9_Scores!$B:$B, C45)</f>
        <v>4</v>
      </c>
      <c r="H45" s="9">
        <f t="array" ref="H45">INDEX(Calc_Engine!$G:$G, MATCH(1, (Calc_Engine!$A:$A=B45)*(Calc_Engine!$B:$B=C45), 0))</f>
        <v>1</v>
      </c>
      <c r="I45" s="5">
        <f t="array" ref="I45">INDEX(Calc_Engine!$H:$H, MATCH(1, (Calc_Engine!$A:$A=B45)*(Calc_Engine!$B:$B=C45), 0))</f>
        <v>3</v>
      </c>
      <c r="J45" s="5" t="str">
        <f t="array" ref="J45">INDEX(Calc_Engine!$I:$I, MATCH(1, (Calc_Engine!$A:$A=B45)*(Calc_Engine!$B:$B=C45), 0))</f>
        <v>Tie</v>
      </c>
      <c r="K45" s="5" t="str">
        <f t="array" ref="K45">INDEX(Roster!$A:$A,MATCH(B45,Roster!$C:$C,0)+2) &amp; " / " &amp; INDEX(Roster!$A:$A,MATCH(B45,Roster!$C:$C,0)+3)</f>
        <v>Pulido / Otoya</v>
      </c>
      <c r="L45" s="5" t="str">
        <f t="array" ref="L45">INDEX(Roster!$A:$A,MATCH(B45,Roster!$C:$C,0)) &amp; " / " &amp; INDEX(Roster!$A:$A,MATCH(B45,Roster!$C:$C,0)+1)</f>
        <v>Sardi / JC Casas</v>
      </c>
      <c r="M45" s="9" t="str">
        <f t="array" ref="M45">LET(flight_num, VALUE(RIGHT(B45, LEN(B45)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5" s="9" t="str">
        <f t="array" ref="N45">LET(
    flight, B45,
    flight_num, VALUE(RIGHT(flight, LEN(flight) - 7)),
    base_row, 215 + (flight_num - 1) * 4 + 4,
    INDEX(Calc_Engine!$F:$F, base_row)
)</f>
        <v>Final</v>
      </c>
      <c r="O45" s="5">
        <v>0.0</v>
      </c>
      <c r="P45" s="5">
        <v>1.0</v>
      </c>
      <c r="Q45" s="5" t="s">
        <v>352</v>
      </c>
      <c r="R45" s="5">
        <v>4.0</v>
      </c>
    </row>
    <row r="46" ht="16.5" customHeight="1">
      <c r="A46" s="1" t="s">
        <v>395</v>
      </c>
      <c r="B46" s="5" t="s">
        <v>31</v>
      </c>
      <c r="C46" s="1">
        <v>18.0</v>
      </c>
      <c r="D46" s="9">
        <v>4.0</v>
      </c>
      <c r="E46" s="9">
        <f t="array" ref="E46">INDEX(Calc_Engine!$D:$D, MATCH(1, (Calc_Engine!$A:$A=B46)*(Calc_Engine!$B:$B=C46), 0))</f>
        <v>0</v>
      </c>
      <c r="F46" s="5">
        <f t="array" ref="F46">INDEX(Calc_Engine!$E:$E, MATCH(1, (Calc_Engine!$A:$A=B46)*(Calc_Engine!$B:$B=C46), 0))</f>
        <v>4</v>
      </c>
      <c r="G46" s="9">
        <v>6.0</v>
      </c>
      <c r="H46" s="9">
        <f t="array" ref="H46">INDEX(Calc_Engine!$G:$G, MATCH(1, (Calc_Engine!$A:$A=B46)*(Calc_Engine!$B:$B=C46), 0))</f>
        <v>1</v>
      </c>
      <c r="I46" s="5">
        <f t="array" ref="I46">INDEX(Calc_Engine!$H:$H, MATCH(1, (Calc_Engine!$A:$A=B46)*(Calc_Engine!$B:$B=C46), 0))</f>
        <v>5</v>
      </c>
      <c r="J46" s="5" t="str">
        <f t="array" ref="J46">INDEX(Calc_Engine!$I:$I, MATCH(1, (Calc_Engine!$A:$A=B46)*(Calc_Engine!$B:$B=C46), 0))</f>
        <v>Red</v>
      </c>
      <c r="K46" s="5" t="str">
        <f t="array" ref="K46">INDEX(Roster!$A:$A,MATCH(B46,Roster!$C:$C,0)+2) &amp; " / " &amp; INDEX(Roster!$A:$A,MATCH(B46,Roster!$C:$C,0)+3)</f>
        <v>Pulido / Otoya</v>
      </c>
      <c r="L46" s="5" t="str">
        <f t="array" ref="L46">INDEX(Roster!$A:$A,MATCH(B46,Roster!$C:$C,0)) &amp; " / " &amp; INDEX(Roster!$A:$A,MATCH(B46,Roster!$C:$C,0)+1)</f>
        <v>Sardi / JC Casas</v>
      </c>
      <c r="M46" s="9" t="str">
        <f t="array" ref="M46">LET(flight_num, VALUE(RIGHT(B46, LEN(B46)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6" s="9" t="str">
        <f t="array" ref="N46">LET(
    flight, B46,
    flight_num, VALUE(RIGHT(flight, LEN(flight) - 7)),
    base_row, 215 + (flight_num - 1) * 4 + 4,
    INDEX(Calc_Engine!$F:$F, base_row)
)</f>
        <v>Final</v>
      </c>
      <c r="O46" s="5">
        <v>1.0</v>
      </c>
      <c r="P46" s="5">
        <v>2.0</v>
      </c>
      <c r="Q46" s="5" t="s">
        <v>354</v>
      </c>
      <c r="R46" s="5">
        <v>5.0</v>
      </c>
    </row>
    <row r="47" ht="16.5" customHeight="1">
      <c r="A47" s="1" t="s">
        <v>396</v>
      </c>
      <c r="B47" s="5" t="str">
        <f t="array" ref="B47:B55">Calc_Engine!A181:A189</f>
        <v>Flight_6</v>
      </c>
      <c r="C47" s="1">
        <v>10.0</v>
      </c>
      <c r="D47" s="9">
        <f>SUMIFS(Back9_Scores!$C:$C, Back9_Scores!$A:$A, B47, Back9_Scores!$B:$B, C47)</f>
        <v>4</v>
      </c>
      <c r="E47" s="9">
        <f t="array" ref="E47">INDEX(Calc_Engine!$D:$D, MATCH(1, (Calc_Engine!$A:$A=B47)*(Calc_Engine!$B:$B=C47), 0))</f>
        <v>0</v>
      </c>
      <c r="F47" s="5">
        <f t="array" ref="F47">INDEX(Calc_Engine!$E:$E, MATCH(1, (Calc_Engine!$A:$A=B47)*(Calc_Engine!$B:$B=C47), 0))</f>
        <v>4</v>
      </c>
      <c r="G47" s="9">
        <f>SUMIFS(Back9_Scores!$D:$D, Back9_Scores!$A:$A, B47, Back9_Scores!$B:$B, C47)</f>
        <v>4</v>
      </c>
      <c r="H47" s="9">
        <f t="array" ref="H47">INDEX(Calc_Engine!$G:$G, MATCH(1, (Calc_Engine!$A:$A=B47)*(Calc_Engine!$B:$B=C47), 0))</f>
        <v>0</v>
      </c>
      <c r="I47" s="5">
        <f t="array" ref="I47">INDEX(Calc_Engine!$H:$H, MATCH(1, (Calc_Engine!$A:$A=B47)*(Calc_Engine!$B:$B=C47), 0))</f>
        <v>4</v>
      </c>
      <c r="J47" s="5" t="str">
        <f t="array" ref="J47">INDEX(Calc_Engine!$I:$I, MATCH(1, (Calc_Engine!$A:$A=B47)*(Calc_Engine!$B:$B=C47), 0))</f>
        <v>Tie</v>
      </c>
      <c r="K47" s="5" t="str">
        <f t="array" ref="K47">INDEX(Roster!$A:$A,MATCH(B47,Roster!$C:$C,0)+2) &amp; " / " &amp; INDEX(Roster!$A:$A,MATCH(B47,Roster!$C:$C,0)+3)</f>
        <v>Pablo Acosta / Garcia</v>
      </c>
      <c r="L47" s="5" t="str">
        <f t="array" ref="L47">INDEX(Roster!$A:$A,MATCH(B47,Roster!$C:$C,0)) &amp; " / " &amp; INDEX(Roster!$A:$A,MATCH(B47,Roster!$C:$C,0)+1)</f>
        <v>Ana Maria / Schneider</v>
      </c>
      <c r="M47" s="9" t="str">
        <f t="array" ref="M47">LET(flight_num, VALUE(RIGHT(B47, LEN(B47)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7" s="9" t="str">
        <f t="array" ref="N47">LET(
    flight, B47,
    flight_num, VALUE(RIGHT(flight, LEN(flight) - 7)),
    base_row, 215 + (flight_num - 1) * 4 + 4,
    INDEX(Calc_Engine!$F:$F, base_row)
)</f>
        <v>Final</v>
      </c>
      <c r="O47" s="5">
        <v>0.0</v>
      </c>
      <c r="P47" s="5">
        <v>0.0</v>
      </c>
      <c r="Q47" s="5" t="s">
        <v>350</v>
      </c>
      <c r="R47" s="5">
        <v>5.0</v>
      </c>
    </row>
    <row r="48" ht="16.5" customHeight="1">
      <c r="A48" s="1" t="s">
        <v>396</v>
      </c>
      <c r="B48" s="5" t="s">
        <v>36</v>
      </c>
      <c r="C48" s="1">
        <v>11.0</v>
      </c>
      <c r="D48" s="9">
        <f>SUMIFS(Back9_Scores!$C:$C, Back9_Scores!$A:$A, B48, Back9_Scores!$B:$B, C48)</f>
        <v>3</v>
      </c>
      <c r="E48" s="9">
        <f t="array" ref="E48">INDEX(Calc_Engine!$D:$D, MATCH(1, (Calc_Engine!$A:$A=B48)*(Calc_Engine!$B:$B=C48), 0))</f>
        <v>1</v>
      </c>
      <c r="F48" s="5">
        <f t="array" ref="F48">INDEX(Calc_Engine!$E:$E, MATCH(1, (Calc_Engine!$A:$A=B48)*(Calc_Engine!$B:$B=C48), 0))</f>
        <v>2</v>
      </c>
      <c r="G48" s="9">
        <f>SUMIFS(Back9_Scores!$D:$D, Back9_Scores!$A:$A, B48, Back9_Scores!$B:$B, C48)</f>
        <v>4</v>
      </c>
      <c r="H48" s="9">
        <f t="array" ref="H48">INDEX(Calc_Engine!$G:$G, MATCH(1, (Calc_Engine!$A:$A=B48)*(Calc_Engine!$B:$B=C48), 0))</f>
        <v>1</v>
      </c>
      <c r="I48" s="5">
        <f t="array" ref="I48">INDEX(Calc_Engine!$H:$H, MATCH(1, (Calc_Engine!$A:$A=B48)*(Calc_Engine!$B:$B=C48), 0))</f>
        <v>3</v>
      </c>
      <c r="J48" s="5" t="str">
        <f t="array" ref="J48">INDEX(Calc_Engine!$I:$I, MATCH(1, (Calc_Engine!$A:$A=B48)*(Calc_Engine!$B:$B=C48), 0))</f>
        <v>Red</v>
      </c>
      <c r="K48" s="5" t="str">
        <f t="array" ref="K48">INDEX(Roster!$A:$A,MATCH(B48,Roster!$C:$C,0)+2) &amp; " / " &amp; INDEX(Roster!$A:$A,MATCH(B48,Roster!$C:$C,0)+3)</f>
        <v>Pablo Acosta / Garcia</v>
      </c>
      <c r="L48" s="5" t="str">
        <f t="array" ref="L48">INDEX(Roster!$A:$A,MATCH(B48,Roster!$C:$C,0)) &amp; " / " &amp; INDEX(Roster!$A:$A,MATCH(B48,Roster!$C:$C,0)+1)</f>
        <v>Ana Maria / Schneider</v>
      </c>
      <c r="M48" s="9" t="str">
        <f t="array" ref="M48">LET(flight_num, VALUE(RIGHT(B48, LEN(B48)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8" s="9" t="str">
        <f t="array" ref="N48">LET(
    flight, B48,
    flight_num, VALUE(RIGHT(flight, LEN(flight) - 7)),
    base_row, 215 + (flight_num - 1) * 4 + 4,
    INDEX(Calc_Engine!$F:$F, base_row)
)</f>
        <v>Final</v>
      </c>
      <c r="O48" s="5">
        <v>1.0</v>
      </c>
      <c r="P48" s="5">
        <v>1.0</v>
      </c>
      <c r="Q48" s="5" t="s">
        <v>352</v>
      </c>
      <c r="R48" s="5">
        <v>4.0</v>
      </c>
    </row>
    <row r="49" ht="16.5" customHeight="1">
      <c r="A49" s="1" t="s">
        <v>396</v>
      </c>
      <c r="B49" s="5" t="s">
        <v>36</v>
      </c>
      <c r="C49" s="1">
        <v>12.0</v>
      </c>
      <c r="D49" s="9">
        <f>SUMIFS(Back9_Scores!$C:$C, Back9_Scores!$A:$A, B49, Back9_Scores!$B:$B, C49)</f>
        <v>4</v>
      </c>
      <c r="E49" s="9">
        <f t="array" ref="E49">INDEX(Calc_Engine!$D:$D, MATCH(1, (Calc_Engine!$A:$A=B49)*(Calc_Engine!$B:$B=C49), 0))</f>
        <v>1</v>
      </c>
      <c r="F49" s="5">
        <f t="array" ref="F49">INDEX(Calc_Engine!$E:$E, MATCH(1, (Calc_Engine!$A:$A=B49)*(Calc_Engine!$B:$B=C49), 0))</f>
        <v>3</v>
      </c>
      <c r="G49" s="9">
        <f>SUMIFS(Back9_Scores!$D:$D, Back9_Scores!$A:$A, B49, Back9_Scores!$B:$B, C49)</f>
        <v>3</v>
      </c>
      <c r="H49" s="9">
        <f t="array" ref="H49">INDEX(Calc_Engine!$G:$G, MATCH(1, (Calc_Engine!$A:$A=B49)*(Calc_Engine!$B:$B=C49), 0))</f>
        <v>1</v>
      </c>
      <c r="I49" s="5">
        <f t="array" ref="I49">INDEX(Calc_Engine!$H:$H, MATCH(1, (Calc_Engine!$A:$A=B49)*(Calc_Engine!$B:$B=C49), 0))</f>
        <v>2</v>
      </c>
      <c r="J49" s="5" t="str">
        <f t="array" ref="J49">INDEX(Calc_Engine!$I:$I, MATCH(1, (Calc_Engine!$A:$A=B49)*(Calc_Engine!$B:$B=C49), 0))</f>
        <v>Blue</v>
      </c>
      <c r="K49" s="5" t="str">
        <f t="array" ref="K49">INDEX(Roster!$A:$A,MATCH(B49,Roster!$C:$C,0)+2) &amp; " / " &amp; INDEX(Roster!$A:$A,MATCH(B49,Roster!$C:$C,0)+3)</f>
        <v>Pablo Acosta / Garcia</v>
      </c>
      <c r="L49" s="5" t="str">
        <f t="array" ref="L49">INDEX(Roster!$A:$A,MATCH(B49,Roster!$C:$C,0)) &amp; " / " &amp; INDEX(Roster!$A:$A,MATCH(B49,Roster!$C:$C,0)+1)</f>
        <v>Ana Maria / Schneider</v>
      </c>
      <c r="M49" s="9" t="str">
        <f t="array" ref="M49">LET(flight_num, VALUE(RIGHT(B49, LEN(B49)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49" s="9" t="str">
        <f t="array" ref="N49">LET(
    flight, B49,
    flight_num, VALUE(RIGHT(flight, LEN(flight) - 7)),
    base_row, 215 + (flight_num - 1) * 4 + 4,
    INDEX(Calc_Engine!$F:$F, base_row)
)</f>
        <v>Final</v>
      </c>
      <c r="O49" s="5">
        <v>-1.0</v>
      </c>
      <c r="P49" s="5">
        <v>0.0</v>
      </c>
      <c r="Q49" s="5" t="s">
        <v>350</v>
      </c>
      <c r="R49" s="5">
        <v>3.0</v>
      </c>
    </row>
    <row r="50" ht="16.5" customHeight="1">
      <c r="A50" s="1" t="s">
        <v>396</v>
      </c>
      <c r="B50" s="5" t="s">
        <v>36</v>
      </c>
      <c r="C50" s="1">
        <v>13.0</v>
      </c>
      <c r="D50" s="9">
        <f>SUMIFS(Back9_Scores!$C:$C, Back9_Scores!$A:$A, B50, Back9_Scores!$B:$B, C50)</f>
        <v>4</v>
      </c>
      <c r="E50" s="9">
        <f t="array" ref="E50">INDEX(Calc_Engine!$D:$D, MATCH(1, (Calc_Engine!$A:$A=B50)*(Calc_Engine!$B:$B=C50), 0))</f>
        <v>1</v>
      </c>
      <c r="F50" s="5">
        <f t="array" ref="F50">INDEX(Calc_Engine!$E:$E, MATCH(1, (Calc_Engine!$A:$A=B50)*(Calc_Engine!$B:$B=C50), 0))</f>
        <v>3</v>
      </c>
      <c r="G50" s="9">
        <f>SUMIFS(Back9_Scores!$D:$D, Back9_Scores!$A:$A, B50, Back9_Scores!$B:$B, C50)</f>
        <v>4</v>
      </c>
      <c r="H50" s="9">
        <f t="array" ref="H50">INDEX(Calc_Engine!$G:$G, MATCH(1, (Calc_Engine!$A:$A=B50)*(Calc_Engine!$B:$B=C50), 0))</f>
        <v>1</v>
      </c>
      <c r="I50" s="5">
        <f t="array" ref="I50">INDEX(Calc_Engine!$H:$H, MATCH(1, (Calc_Engine!$A:$A=B50)*(Calc_Engine!$B:$B=C50), 0))</f>
        <v>3</v>
      </c>
      <c r="J50" s="5" t="str">
        <f t="array" ref="J50">INDEX(Calc_Engine!$I:$I, MATCH(1, (Calc_Engine!$A:$A=B50)*(Calc_Engine!$B:$B=C50), 0))</f>
        <v>Tie</v>
      </c>
      <c r="K50" s="5" t="str">
        <f t="array" ref="K50">INDEX(Roster!$A:$A,MATCH(B50,Roster!$C:$C,0)+2) &amp; " / " &amp; INDEX(Roster!$A:$A,MATCH(B50,Roster!$C:$C,0)+3)</f>
        <v>Pablo Acosta / Garcia</v>
      </c>
      <c r="L50" s="5" t="str">
        <f t="array" ref="L50">INDEX(Roster!$A:$A,MATCH(B50,Roster!$C:$C,0)) &amp; " / " &amp; INDEX(Roster!$A:$A,MATCH(B50,Roster!$C:$C,0)+1)</f>
        <v>Ana Maria / Schneider</v>
      </c>
      <c r="M50" s="9" t="str">
        <f t="array" ref="M50">LET(flight_num, VALUE(RIGHT(B50, LEN(B50)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0" s="9" t="str">
        <f t="array" ref="N50">LET(
    flight, B50,
    flight_num, VALUE(RIGHT(flight, LEN(flight) - 7)),
    base_row, 215 + (flight_num - 1) * 4 + 4,
    INDEX(Calc_Engine!$F:$F, base_row)
)</f>
        <v>Final</v>
      </c>
      <c r="O50" s="5">
        <v>0.0</v>
      </c>
      <c r="P50" s="5">
        <v>0.0</v>
      </c>
      <c r="Q50" s="5" t="s">
        <v>350</v>
      </c>
      <c r="R50" s="5">
        <v>4.0</v>
      </c>
    </row>
    <row r="51" ht="16.5" customHeight="1">
      <c r="A51" s="1" t="s">
        <v>396</v>
      </c>
      <c r="B51" s="5" t="s">
        <v>36</v>
      </c>
      <c r="C51" s="1">
        <v>14.0</v>
      </c>
      <c r="D51" s="9">
        <f>SUMIFS(Back9_Scores!$C:$C, Back9_Scores!$A:$A, B51, Back9_Scores!$B:$B, C51)</f>
        <v>5</v>
      </c>
      <c r="E51" s="9">
        <f t="array" ref="E51">INDEX(Calc_Engine!$D:$D, MATCH(1, (Calc_Engine!$A:$A=B51)*(Calc_Engine!$B:$B=C51), 0))</f>
        <v>0</v>
      </c>
      <c r="F51" s="5">
        <f t="array" ref="F51">INDEX(Calc_Engine!$E:$E, MATCH(1, (Calc_Engine!$A:$A=B51)*(Calc_Engine!$B:$B=C51), 0))</f>
        <v>5</v>
      </c>
      <c r="G51" s="9">
        <f>SUMIFS(Back9_Scores!$D:$D, Back9_Scores!$A:$A, B51, Back9_Scores!$B:$B, C51)</f>
        <v>5</v>
      </c>
      <c r="H51" s="9">
        <f t="array" ref="H51">INDEX(Calc_Engine!$G:$G, MATCH(1, (Calc_Engine!$A:$A=B51)*(Calc_Engine!$B:$B=C51), 0))</f>
        <v>0</v>
      </c>
      <c r="I51" s="5">
        <f t="array" ref="I51">INDEX(Calc_Engine!$H:$H, MATCH(1, (Calc_Engine!$A:$A=B51)*(Calc_Engine!$B:$B=C51), 0))</f>
        <v>5</v>
      </c>
      <c r="J51" s="5" t="str">
        <f t="array" ref="J51">INDEX(Calc_Engine!$I:$I, MATCH(1, (Calc_Engine!$A:$A=B51)*(Calc_Engine!$B:$B=C51), 0))</f>
        <v>Tie</v>
      </c>
      <c r="K51" s="5" t="str">
        <f t="array" ref="K51">INDEX(Roster!$A:$A,MATCH(B51,Roster!$C:$C,0)+2) &amp; " / " &amp; INDEX(Roster!$A:$A,MATCH(B51,Roster!$C:$C,0)+3)</f>
        <v>Pablo Acosta / Garcia</v>
      </c>
      <c r="L51" s="5" t="str">
        <f t="array" ref="L51">INDEX(Roster!$A:$A,MATCH(B51,Roster!$C:$C,0)) &amp; " / " &amp; INDEX(Roster!$A:$A,MATCH(B51,Roster!$C:$C,0)+1)</f>
        <v>Ana Maria / Schneider</v>
      </c>
      <c r="M51" s="9" t="str">
        <f t="array" ref="M51">LET(flight_num, VALUE(RIGHT(B51, LEN(B51)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1" s="9" t="str">
        <f t="array" ref="N51">LET(
    flight, B51,
    flight_num, VALUE(RIGHT(flight, LEN(flight) - 7)),
    base_row, 215 + (flight_num - 1) * 4 + 4,
    INDEX(Calc_Engine!$F:$F, base_row)
)</f>
        <v>Final</v>
      </c>
      <c r="O51" s="5">
        <v>0.0</v>
      </c>
      <c r="P51" s="5">
        <v>0.0</v>
      </c>
      <c r="Q51" s="5" t="s">
        <v>350</v>
      </c>
      <c r="R51" s="5">
        <v>4.0</v>
      </c>
    </row>
    <row r="52" ht="16.5" customHeight="1">
      <c r="A52" s="1" t="s">
        <v>396</v>
      </c>
      <c r="B52" s="5" t="s">
        <v>36</v>
      </c>
      <c r="C52" s="1">
        <v>15.0</v>
      </c>
      <c r="D52" s="9">
        <f>SUMIFS(Back9_Scores!$C:$C, Back9_Scores!$A:$A, B52, Back9_Scores!$B:$B, C52)</f>
        <v>1</v>
      </c>
      <c r="E52" s="9">
        <f t="array" ref="E52">INDEX(Calc_Engine!$D:$D, MATCH(1, (Calc_Engine!$A:$A=B52)*(Calc_Engine!$B:$B=C52), 0))</f>
        <v>0</v>
      </c>
      <c r="F52" s="5">
        <f t="array" ref="F52">INDEX(Calc_Engine!$E:$E, MATCH(1, (Calc_Engine!$A:$A=B52)*(Calc_Engine!$B:$B=C52), 0))</f>
        <v>1</v>
      </c>
      <c r="G52" s="9">
        <f>SUMIFS(Back9_Scores!$D:$D, Back9_Scores!$A:$A, B52, Back9_Scores!$B:$B, C52)</f>
        <v>4</v>
      </c>
      <c r="H52" s="9">
        <f t="array" ref="H52">INDEX(Calc_Engine!$G:$G, MATCH(1, (Calc_Engine!$A:$A=B52)*(Calc_Engine!$B:$B=C52), 0))</f>
        <v>0</v>
      </c>
      <c r="I52" s="5">
        <f t="array" ref="I52">INDEX(Calc_Engine!$H:$H, MATCH(1, (Calc_Engine!$A:$A=B52)*(Calc_Engine!$B:$B=C52), 0))</f>
        <v>4</v>
      </c>
      <c r="J52" s="5" t="str">
        <f t="array" ref="J52">INDEX(Calc_Engine!$I:$I, MATCH(1, (Calc_Engine!$A:$A=B52)*(Calc_Engine!$B:$B=C52), 0))</f>
        <v>Red</v>
      </c>
      <c r="K52" s="5" t="str">
        <f t="array" ref="K52">INDEX(Roster!$A:$A,MATCH(B52,Roster!$C:$C,0)+2) &amp; " / " &amp; INDEX(Roster!$A:$A,MATCH(B52,Roster!$C:$C,0)+3)</f>
        <v>Pablo Acosta / Garcia</v>
      </c>
      <c r="L52" s="5" t="str">
        <f t="array" ref="L52">INDEX(Roster!$A:$A,MATCH(B52,Roster!$C:$C,0)) &amp; " / " &amp; INDEX(Roster!$A:$A,MATCH(B52,Roster!$C:$C,0)+1)</f>
        <v>Ana Maria / Schneider</v>
      </c>
      <c r="M52" s="9" t="str">
        <f t="array" ref="M52">LET(flight_num, VALUE(RIGHT(B52, LEN(B52)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2" s="9" t="str">
        <f t="array" ref="N52">LET(
    flight, B52,
    flight_num, VALUE(RIGHT(flight, LEN(flight) - 7)),
    base_row, 215 + (flight_num - 1) * 4 + 4,
    INDEX(Calc_Engine!$F:$F, base_row)
)</f>
        <v>Final</v>
      </c>
      <c r="O52" s="5">
        <v>1.0</v>
      </c>
      <c r="P52" s="5">
        <v>1.0</v>
      </c>
      <c r="Q52" s="5" t="s">
        <v>352</v>
      </c>
      <c r="R52" s="5">
        <v>3.0</v>
      </c>
    </row>
    <row r="53" ht="16.5" customHeight="1">
      <c r="A53" s="1" t="s">
        <v>396</v>
      </c>
      <c r="B53" s="5" t="s">
        <v>36</v>
      </c>
      <c r="C53" s="1">
        <v>16.0</v>
      </c>
      <c r="D53" s="9">
        <f>SUMIFS(Back9_Scores!$C:$C, Back9_Scores!$A:$A, B53, Back9_Scores!$B:$B, C53)</f>
        <v>4</v>
      </c>
      <c r="E53" s="9">
        <f t="array" ref="E53">INDEX(Calc_Engine!$D:$D, MATCH(1, (Calc_Engine!$A:$A=B53)*(Calc_Engine!$B:$B=C53), 0))</f>
        <v>0</v>
      </c>
      <c r="F53" s="5">
        <f t="array" ref="F53">INDEX(Calc_Engine!$E:$E, MATCH(1, (Calc_Engine!$A:$A=B53)*(Calc_Engine!$B:$B=C53), 0))</f>
        <v>4</v>
      </c>
      <c r="G53" s="9">
        <f>SUMIFS(Back9_Scores!$D:$D, Back9_Scores!$A:$A, B53, Back9_Scores!$B:$B, C53)</f>
        <v>4</v>
      </c>
      <c r="H53" s="9">
        <f t="array" ref="H53">INDEX(Calc_Engine!$G:$G, MATCH(1, (Calc_Engine!$A:$A=B53)*(Calc_Engine!$B:$B=C53), 0))</f>
        <v>0</v>
      </c>
      <c r="I53" s="5">
        <f t="array" ref="I53">INDEX(Calc_Engine!$H:$H, MATCH(1, (Calc_Engine!$A:$A=B53)*(Calc_Engine!$B:$B=C53), 0))</f>
        <v>4</v>
      </c>
      <c r="J53" s="5" t="str">
        <f t="array" ref="J53">INDEX(Calc_Engine!$I:$I, MATCH(1, (Calc_Engine!$A:$A=B53)*(Calc_Engine!$B:$B=C53), 0))</f>
        <v>Tie</v>
      </c>
      <c r="K53" s="5" t="str">
        <f t="array" ref="K53">INDEX(Roster!$A:$A,MATCH(B53,Roster!$C:$C,0)+2) &amp; " / " &amp; INDEX(Roster!$A:$A,MATCH(B53,Roster!$C:$C,0)+3)</f>
        <v>Pablo Acosta / Garcia</v>
      </c>
      <c r="L53" s="5" t="str">
        <f t="array" ref="L53">INDEX(Roster!$A:$A,MATCH(B53,Roster!$C:$C,0)) &amp; " / " &amp; INDEX(Roster!$A:$A,MATCH(B53,Roster!$C:$C,0)+1)</f>
        <v>Ana Maria / Schneider</v>
      </c>
      <c r="M53" s="9" t="str">
        <f t="array" ref="M53">LET(flight_num, VALUE(RIGHT(B53, LEN(B53)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3" s="9" t="str">
        <f t="array" ref="N53">LET(
    flight, B53,
    flight_num, VALUE(RIGHT(flight, LEN(flight) - 7)),
    base_row, 215 + (flight_num - 1) * 4 + 4,
    INDEX(Calc_Engine!$F:$F, base_row)
)</f>
        <v>Final</v>
      </c>
      <c r="O53" s="5">
        <v>0.0</v>
      </c>
      <c r="P53" s="5">
        <v>1.0</v>
      </c>
      <c r="Q53" s="5" t="s">
        <v>352</v>
      </c>
      <c r="R53" s="5">
        <v>4.0</v>
      </c>
    </row>
    <row r="54" ht="16.5" customHeight="1">
      <c r="A54" s="1" t="s">
        <v>396</v>
      </c>
      <c r="B54" s="5" t="s">
        <v>36</v>
      </c>
      <c r="C54" s="1">
        <v>17.0</v>
      </c>
      <c r="D54" s="9">
        <f>SUMIFS(Back9_Scores!$C:$C, Back9_Scores!$A:$A, B54, Back9_Scores!$B:$B, C54)</f>
        <v>4</v>
      </c>
      <c r="E54" s="9">
        <f t="array" ref="E54">INDEX(Calc_Engine!$D:$D, MATCH(1, (Calc_Engine!$A:$A=B54)*(Calc_Engine!$B:$B=C54), 0))</f>
        <v>0</v>
      </c>
      <c r="F54" s="5">
        <f t="array" ref="F54">INDEX(Calc_Engine!$E:$E, MATCH(1, (Calc_Engine!$A:$A=B54)*(Calc_Engine!$B:$B=C54), 0))</f>
        <v>4</v>
      </c>
      <c r="G54" s="9">
        <f>SUMIFS(Back9_Scores!$D:$D, Back9_Scores!$A:$A, B54, Back9_Scores!$B:$B, C54)</f>
        <v>4</v>
      </c>
      <c r="H54" s="9">
        <f t="array" ref="H54">INDEX(Calc_Engine!$G:$G, MATCH(1, (Calc_Engine!$A:$A=B54)*(Calc_Engine!$B:$B=C54), 0))</f>
        <v>0</v>
      </c>
      <c r="I54" s="5">
        <f t="array" ref="I54">INDEX(Calc_Engine!$H:$H, MATCH(1, (Calc_Engine!$A:$A=B54)*(Calc_Engine!$B:$B=C54), 0))</f>
        <v>4</v>
      </c>
      <c r="J54" s="5" t="str">
        <f t="array" ref="J54">INDEX(Calc_Engine!$I:$I, MATCH(1, (Calc_Engine!$A:$A=B54)*(Calc_Engine!$B:$B=C54), 0))</f>
        <v>Tie</v>
      </c>
      <c r="K54" s="5" t="str">
        <f t="array" ref="K54">INDEX(Roster!$A:$A,MATCH(B54,Roster!$C:$C,0)+2) &amp; " / " &amp; INDEX(Roster!$A:$A,MATCH(B54,Roster!$C:$C,0)+3)</f>
        <v>Pablo Acosta / Garcia</v>
      </c>
      <c r="L54" s="5" t="str">
        <f t="array" ref="L54">INDEX(Roster!$A:$A,MATCH(B54,Roster!$C:$C,0)) &amp; " / " &amp; INDEX(Roster!$A:$A,MATCH(B54,Roster!$C:$C,0)+1)</f>
        <v>Ana Maria / Schneider</v>
      </c>
      <c r="M54" s="9" t="str">
        <f t="array" ref="M54">LET(flight_num, VALUE(RIGHT(B54, LEN(B54)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4" s="9" t="str">
        <f t="array" ref="N54">LET(
    flight, B54,
    flight_num, VALUE(RIGHT(flight, LEN(flight) - 7)),
    base_row, 215 + (flight_num - 1) * 4 + 4,
    INDEX(Calc_Engine!$F:$F, base_row)
)</f>
        <v>Final</v>
      </c>
      <c r="O54" s="5">
        <v>0.0</v>
      </c>
      <c r="P54" s="5">
        <v>1.0</v>
      </c>
      <c r="Q54" s="5" t="s">
        <v>352</v>
      </c>
      <c r="R54" s="5">
        <v>4.0</v>
      </c>
    </row>
    <row r="55" ht="16.5" customHeight="1">
      <c r="A55" s="1" t="s">
        <v>396</v>
      </c>
      <c r="B55" s="5" t="s">
        <v>36</v>
      </c>
      <c r="C55" s="1">
        <v>18.0</v>
      </c>
      <c r="D55" s="9">
        <f>SUMIFS(Back9_Scores!$C:$C, Back9_Scores!$A:$A, B55, Back9_Scores!$B:$B, C55)</f>
        <v>5</v>
      </c>
      <c r="E55" s="9">
        <f t="array" ref="E55">INDEX(Calc_Engine!$D:$D, MATCH(1, (Calc_Engine!$A:$A=B55)*(Calc_Engine!$B:$B=C55), 0))</f>
        <v>0</v>
      </c>
      <c r="F55" s="5">
        <f t="array" ref="F55">INDEX(Calc_Engine!$E:$E, MATCH(1, (Calc_Engine!$A:$A=B55)*(Calc_Engine!$B:$B=C55), 0))</f>
        <v>5</v>
      </c>
      <c r="G55" s="9">
        <f>SUMIFS(Back9_Scores!$D:$D, Back9_Scores!$A:$A, B55, Back9_Scores!$B:$B, C55)</f>
        <v>6</v>
      </c>
      <c r="H55" s="9">
        <f t="array" ref="H55">INDEX(Calc_Engine!$G:$G, MATCH(1, (Calc_Engine!$A:$A=B55)*(Calc_Engine!$B:$B=C55), 0))</f>
        <v>0</v>
      </c>
      <c r="I55" s="5">
        <f t="array" ref="I55">INDEX(Calc_Engine!$H:$H, MATCH(1, (Calc_Engine!$A:$A=B55)*(Calc_Engine!$B:$B=C55), 0))</f>
        <v>6</v>
      </c>
      <c r="J55" s="5" t="str">
        <f t="array" ref="J55">INDEX(Calc_Engine!$I:$I, MATCH(1, (Calc_Engine!$A:$A=B55)*(Calc_Engine!$B:$B=C55), 0))</f>
        <v>Red</v>
      </c>
      <c r="K55" s="5" t="str">
        <f t="array" ref="K55">INDEX(Roster!$A:$A,MATCH(B55,Roster!$C:$C,0)+2) &amp; " / " &amp; INDEX(Roster!$A:$A,MATCH(B55,Roster!$C:$C,0)+3)</f>
        <v>Pablo Acosta / Garcia</v>
      </c>
      <c r="L55" s="5" t="str">
        <f t="array" ref="L55">INDEX(Roster!$A:$A,MATCH(B55,Roster!$C:$C,0)) &amp; " / " &amp; INDEX(Roster!$A:$A,MATCH(B55,Roster!$C:$C,0)+1)</f>
        <v>Ana Maria / Schneider</v>
      </c>
      <c r="M55" s="9" t="str">
        <f t="array" ref="M55">LET(flight_num, VALUE(RIGHT(B55, LEN(B55)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5" s="9" t="str">
        <f t="array" ref="N55">LET(
    flight, B55,
    flight_num, VALUE(RIGHT(flight, LEN(flight) - 7)),
    base_row, 215 + (flight_num - 1) * 4 + 4,
    INDEX(Calc_Engine!$F:$F, base_row)
)</f>
        <v>Final</v>
      </c>
      <c r="O55" s="5">
        <v>1.0</v>
      </c>
      <c r="P55" s="5">
        <v>2.0</v>
      </c>
      <c r="Q55" s="5" t="s">
        <v>354</v>
      </c>
      <c r="R55" s="5">
        <v>5.0</v>
      </c>
    </row>
    <row r="56" ht="16.5" customHeight="1">
      <c r="A56" s="1" t="s">
        <v>397</v>
      </c>
      <c r="B56" s="5" t="str">
        <f t="array" ref="B56:B64">Calc_Engine!A192:A200</f>
        <v>Flight_7</v>
      </c>
      <c r="C56" s="1">
        <v>10.0</v>
      </c>
      <c r="D56" s="9">
        <f>SUMIFS(Back9_Scores!$C:$C, Back9_Scores!$A:$A, B56, Back9_Scores!$B:$B, C56)</f>
        <v>4</v>
      </c>
      <c r="E56" s="9">
        <f t="array" ref="E56">INDEX(Calc_Engine!$D:$D, MATCH(1, (Calc_Engine!$A:$A=B56)*(Calc_Engine!$B:$B=C56), 0))</f>
        <v>0</v>
      </c>
      <c r="F56" s="5">
        <f t="array" ref="F56">INDEX(Calc_Engine!$E:$E, MATCH(1, (Calc_Engine!$A:$A=B56)*(Calc_Engine!$B:$B=C56), 0))</f>
        <v>4</v>
      </c>
      <c r="G56" s="9">
        <f>SUMIFS(Back9_Scores!$D:$D, Back9_Scores!$A:$A, B56, Back9_Scores!$B:$B, C56)</f>
        <v>3</v>
      </c>
      <c r="H56" s="9">
        <f t="array" ref="H56">INDEX(Calc_Engine!$G:$G, MATCH(1, (Calc_Engine!$A:$A=B56)*(Calc_Engine!$B:$B=C56), 0))</f>
        <v>0</v>
      </c>
      <c r="I56" s="5">
        <f t="array" ref="I56">INDEX(Calc_Engine!$H:$H, MATCH(1, (Calc_Engine!$A:$A=B56)*(Calc_Engine!$B:$B=C56), 0))</f>
        <v>3</v>
      </c>
      <c r="J56" s="5" t="str">
        <f t="array" ref="J56">INDEX(Calc_Engine!$I:$I, MATCH(1, (Calc_Engine!$A:$A=B56)*(Calc_Engine!$B:$B=C56), 0))</f>
        <v>Blue</v>
      </c>
      <c r="K56" s="5" t="str">
        <f t="array" ref="K56">INDEX(Roster!$A:$A,MATCH(B56,Roster!$C:$C,0)+2) &amp; " / " &amp; INDEX(Roster!$A:$A,MATCH(B56,Roster!$C:$C,0)+3)</f>
        <v>Velez / JP Mosquera</v>
      </c>
      <c r="L56" s="5" t="str">
        <f t="array" ref="L56">INDEX(Roster!$A:$A,MATCH(B56,Roster!$C:$C,0)) &amp; " / " &amp; INDEX(Roster!$A:$A,MATCH(B56,Roster!$C:$C,0)+1)</f>
        <v>Pocho / Phil</v>
      </c>
      <c r="M56" s="9" t="str">
        <f t="array" ref="M56">LET(flight_num, VALUE(RIGHT(B56, LEN(B56)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6" s="9" t="str">
        <f t="array" ref="N56">LET(
    flight, B56,
    flight_num, VALUE(RIGHT(flight, LEN(flight) - 7)),
    base_row, 215 + (flight_num - 1) * 4 + 4,
    INDEX(Calc_Engine!$F:$F, base_row)
)</f>
        <v>Final</v>
      </c>
      <c r="O56" s="5">
        <v>-1.0</v>
      </c>
      <c r="P56" s="5">
        <v>-1.0</v>
      </c>
      <c r="Q56" s="5" t="s">
        <v>352</v>
      </c>
      <c r="R56" s="5">
        <v>5.0</v>
      </c>
    </row>
    <row r="57" ht="16.5" customHeight="1">
      <c r="A57" s="1" t="s">
        <v>397</v>
      </c>
      <c r="B57" s="5" t="s">
        <v>41</v>
      </c>
      <c r="C57" s="1">
        <v>11.0</v>
      </c>
      <c r="D57" s="9">
        <f>SUMIFS(Back9_Scores!$C:$C, Back9_Scores!$A:$A, B57, Back9_Scores!$B:$B, C57)</f>
        <v>4</v>
      </c>
      <c r="E57" s="9">
        <f t="array" ref="E57">INDEX(Calc_Engine!$D:$D, MATCH(1, (Calc_Engine!$A:$A=B57)*(Calc_Engine!$B:$B=C57), 0))</f>
        <v>1</v>
      </c>
      <c r="F57" s="5">
        <f t="array" ref="F57">INDEX(Calc_Engine!$E:$E, MATCH(1, (Calc_Engine!$A:$A=B57)*(Calc_Engine!$B:$B=C57), 0))</f>
        <v>3</v>
      </c>
      <c r="G57" s="9">
        <f>SUMIFS(Back9_Scores!$D:$D, Back9_Scores!$A:$A, B57, Back9_Scores!$B:$B, C57)</f>
        <v>5</v>
      </c>
      <c r="H57" s="9">
        <f t="array" ref="H57">INDEX(Calc_Engine!$G:$G, MATCH(1, (Calc_Engine!$A:$A=B57)*(Calc_Engine!$B:$B=C57), 0))</f>
        <v>1</v>
      </c>
      <c r="I57" s="5">
        <f t="array" ref="I57">INDEX(Calc_Engine!$H:$H, MATCH(1, (Calc_Engine!$A:$A=B57)*(Calc_Engine!$B:$B=C57), 0))</f>
        <v>4</v>
      </c>
      <c r="J57" s="5" t="str">
        <f t="array" ref="J57">INDEX(Calc_Engine!$I:$I, MATCH(1, (Calc_Engine!$A:$A=B57)*(Calc_Engine!$B:$B=C57), 0))</f>
        <v>Red</v>
      </c>
      <c r="K57" s="5" t="str">
        <f t="array" ref="K57">INDEX(Roster!$A:$A,MATCH(B57,Roster!$C:$C,0)+2) &amp; " / " &amp; INDEX(Roster!$A:$A,MATCH(B57,Roster!$C:$C,0)+3)</f>
        <v>Velez / JP Mosquera</v>
      </c>
      <c r="L57" s="5" t="str">
        <f t="array" ref="L57">INDEX(Roster!$A:$A,MATCH(B57,Roster!$C:$C,0)) &amp; " / " &amp; INDEX(Roster!$A:$A,MATCH(B57,Roster!$C:$C,0)+1)</f>
        <v>Pocho / Phil</v>
      </c>
      <c r="M57" s="9" t="str">
        <f t="array" ref="M57">LET(flight_num, VALUE(RIGHT(B57, LEN(B57)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7" s="9" t="str">
        <f t="array" ref="N57">LET(
    flight, B57,
    flight_num, VALUE(RIGHT(flight, LEN(flight) - 7)),
    base_row, 215 + (flight_num - 1) * 4 + 4,
    INDEX(Calc_Engine!$F:$F, base_row)
)</f>
        <v>Final</v>
      </c>
      <c r="O57" s="5">
        <v>1.0</v>
      </c>
      <c r="P57" s="5">
        <v>0.0</v>
      </c>
      <c r="Q57" s="5" t="s">
        <v>350</v>
      </c>
      <c r="R57" s="5">
        <v>4.0</v>
      </c>
    </row>
    <row r="58" ht="16.5" customHeight="1">
      <c r="A58" s="1" t="s">
        <v>397</v>
      </c>
      <c r="B58" s="5" t="s">
        <v>41</v>
      </c>
      <c r="C58" s="1">
        <v>12.0</v>
      </c>
      <c r="D58" s="9">
        <f>SUMIFS(Back9_Scores!$C:$C, Back9_Scores!$A:$A, B58, Back9_Scores!$B:$B, C58)</f>
        <v>4</v>
      </c>
      <c r="E58" s="9">
        <f t="array" ref="E58">INDEX(Calc_Engine!$D:$D, MATCH(1, (Calc_Engine!$A:$A=B58)*(Calc_Engine!$B:$B=C58), 0))</f>
        <v>1</v>
      </c>
      <c r="F58" s="5">
        <f t="array" ref="F58">INDEX(Calc_Engine!$E:$E, MATCH(1, (Calc_Engine!$A:$A=B58)*(Calc_Engine!$B:$B=C58), 0))</f>
        <v>3</v>
      </c>
      <c r="G58" s="9">
        <f>SUMIFS(Back9_Scores!$D:$D, Back9_Scores!$A:$A, B58, Back9_Scores!$B:$B, C58)</f>
        <v>3</v>
      </c>
      <c r="H58" s="9">
        <f t="array" ref="H58">INDEX(Calc_Engine!$G:$G, MATCH(1, (Calc_Engine!$A:$A=B58)*(Calc_Engine!$B:$B=C58), 0))</f>
        <v>1</v>
      </c>
      <c r="I58" s="5">
        <f t="array" ref="I58">INDEX(Calc_Engine!$H:$H, MATCH(1, (Calc_Engine!$A:$A=B58)*(Calc_Engine!$B:$B=C58), 0))</f>
        <v>2</v>
      </c>
      <c r="J58" s="5" t="str">
        <f t="array" ref="J58">INDEX(Calc_Engine!$I:$I, MATCH(1, (Calc_Engine!$A:$A=B58)*(Calc_Engine!$B:$B=C58), 0))</f>
        <v>Blue</v>
      </c>
      <c r="K58" s="5" t="str">
        <f t="array" ref="K58">INDEX(Roster!$A:$A,MATCH(B58,Roster!$C:$C,0)+2) &amp; " / " &amp; INDEX(Roster!$A:$A,MATCH(B58,Roster!$C:$C,0)+3)</f>
        <v>Velez / JP Mosquera</v>
      </c>
      <c r="L58" s="5" t="str">
        <f t="array" ref="L58">INDEX(Roster!$A:$A,MATCH(B58,Roster!$C:$C,0)) &amp; " / " &amp; INDEX(Roster!$A:$A,MATCH(B58,Roster!$C:$C,0)+1)</f>
        <v>Pocho / Phil</v>
      </c>
      <c r="M58" s="9" t="str">
        <f t="array" ref="M58">LET(flight_num, VALUE(RIGHT(B58, LEN(B58)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8" s="9" t="str">
        <f t="array" ref="N58">LET(
    flight, B58,
    flight_num, VALUE(RIGHT(flight, LEN(flight) - 7)),
    base_row, 215 + (flight_num - 1) * 4 + 4,
    INDEX(Calc_Engine!$F:$F, base_row)
)</f>
        <v>Final</v>
      </c>
      <c r="O58" s="5">
        <v>-1.0</v>
      </c>
      <c r="P58" s="5">
        <v>-1.0</v>
      </c>
      <c r="Q58" s="5" t="s">
        <v>352</v>
      </c>
      <c r="R58" s="5">
        <v>3.0</v>
      </c>
    </row>
    <row r="59" ht="16.5" customHeight="1">
      <c r="A59" s="1" t="s">
        <v>397</v>
      </c>
      <c r="B59" s="5" t="s">
        <v>41</v>
      </c>
      <c r="C59" s="1">
        <v>13.0</v>
      </c>
      <c r="D59" s="9">
        <f>SUMIFS(Back9_Scores!$C:$C, Back9_Scores!$A:$A, B59, Back9_Scores!$B:$B, C59)</f>
        <v>5</v>
      </c>
      <c r="E59" s="9">
        <f t="array" ref="E59">INDEX(Calc_Engine!$D:$D, MATCH(1, (Calc_Engine!$A:$A=B59)*(Calc_Engine!$B:$B=C59), 0))</f>
        <v>1</v>
      </c>
      <c r="F59" s="5">
        <f t="array" ref="F59">INDEX(Calc_Engine!$E:$E, MATCH(1, (Calc_Engine!$A:$A=B59)*(Calc_Engine!$B:$B=C59), 0))</f>
        <v>4</v>
      </c>
      <c r="G59" s="9">
        <f>SUMIFS(Back9_Scores!$D:$D, Back9_Scores!$A:$A, B59, Back9_Scores!$B:$B, C59)</f>
        <v>4</v>
      </c>
      <c r="H59" s="9">
        <f t="array" ref="H59">INDEX(Calc_Engine!$G:$G, MATCH(1, (Calc_Engine!$A:$A=B59)*(Calc_Engine!$B:$B=C59), 0))</f>
        <v>0</v>
      </c>
      <c r="I59" s="5">
        <f t="array" ref="I59">INDEX(Calc_Engine!$H:$H, MATCH(1, (Calc_Engine!$A:$A=B59)*(Calc_Engine!$B:$B=C59), 0))</f>
        <v>4</v>
      </c>
      <c r="J59" s="5" t="str">
        <f t="array" ref="J59">INDEX(Calc_Engine!$I:$I, MATCH(1, (Calc_Engine!$A:$A=B59)*(Calc_Engine!$B:$B=C59), 0))</f>
        <v>Tie</v>
      </c>
      <c r="K59" s="5" t="str">
        <f t="array" ref="K59">INDEX(Roster!$A:$A,MATCH(B59,Roster!$C:$C,0)+2) &amp; " / " &amp; INDEX(Roster!$A:$A,MATCH(B59,Roster!$C:$C,0)+3)</f>
        <v>Velez / JP Mosquera</v>
      </c>
      <c r="L59" s="5" t="str">
        <f t="array" ref="L59">INDEX(Roster!$A:$A,MATCH(B59,Roster!$C:$C,0)) &amp; " / " &amp; INDEX(Roster!$A:$A,MATCH(B59,Roster!$C:$C,0)+1)</f>
        <v>Pocho / Phil</v>
      </c>
      <c r="M59" s="9" t="str">
        <f t="array" ref="M59">LET(flight_num, VALUE(RIGHT(B59, LEN(B59)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59" s="9" t="str">
        <f t="array" ref="N59">LET(
    flight, B59,
    flight_num, VALUE(RIGHT(flight, LEN(flight) - 7)),
    base_row, 215 + (flight_num - 1) * 4 + 4,
    INDEX(Calc_Engine!$F:$F, base_row)
)</f>
        <v>Final</v>
      </c>
      <c r="O59" s="5">
        <v>0.0</v>
      </c>
      <c r="P59" s="5">
        <v>-1.0</v>
      </c>
      <c r="Q59" s="5" t="s">
        <v>352</v>
      </c>
      <c r="R59" s="5">
        <v>4.0</v>
      </c>
    </row>
    <row r="60" ht="16.5" customHeight="1">
      <c r="A60" s="1" t="s">
        <v>397</v>
      </c>
      <c r="B60" s="5" t="s">
        <v>41</v>
      </c>
      <c r="C60" s="1">
        <v>14.0</v>
      </c>
      <c r="D60" s="9">
        <f>SUMIFS(Back9_Scores!$C:$C, Back9_Scores!$A:$A, B60, Back9_Scores!$B:$B, C60)</f>
        <v>4</v>
      </c>
      <c r="E60" s="9">
        <f t="array" ref="E60">INDEX(Calc_Engine!$D:$D, MATCH(1, (Calc_Engine!$A:$A=B60)*(Calc_Engine!$B:$B=C60), 0))</f>
        <v>0</v>
      </c>
      <c r="F60" s="5">
        <f t="array" ref="F60">INDEX(Calc_Engine!$E:$E, MATCH(1, (Calc_Engine!$A:$A=B60)*(Calc_Engine!$B:$B=C60), 0))</f>
        <v>4</v>
      </c>
      <c r="G60" s="9">
        <f>SUMIFS(Back9_Scores!$D:$D, Back9_Scores!$A:$A, B60, Back9_Scores!$B:$B, C60)</f>
        <v>4</v>
      </c>
      <c r="H60" s="9">
        <f t="array" ref="H60">INDEX(Calc_Engine!$G:$G, MATCH(1, (Calc_Engine!$A:$A=B60)*(Calc_Engine!$B:$B=C60), 0))</f>
        <v>0</v>
      </c>
      <c r="I60" s="5">
        <f t="array" ref="I60">INDEX(Calc_Engine!$H:$H, MATCH(1, (Calc_Engine!$A:$A=B60)*(Calc_Engine!$B:$B=C60), 0))</f>
        <v>4</v>
      </c>
      <c r="J60" s="5" t="str">
        <f t="array" ref="J60">INDEX(Calc_Engine!$I:$I, MATCH(1, (Calc_Engine!$A:$A=B60)*(Calc_Engine!$B:$B=C60), 0))</f>
        <v>Tie</v>
      </c>
      <c r="K60" s="5" t="str">
        <f t="array" ref="K60">INDEX(Roster!$A:$A,MATCH(B60,Roster!$C:$C,0)+2) &amp; " / " &amp; INDEX(Roster!$A:$A,MATCH(B60,Roster!$C:$C,0)+3)</f>
        <v>Velez / JP Mosquera</v>
      </c>
      <c r="L60" s="5" t="str">
        <f t="array" ref="L60">INDEX(Roster!$A:$A,MATCH(B60,Roster!$C:$C,0)) &amp; " / " &amp; INDEX(Roster!$A:$A,MATCH(B60,Roster!$C:$C,0)+1)</f>
        <v>Pocho / Phil</v>
      </c>
      <c r="M60" s="9" t="str">
        <f t="array" ref="M60">LET(flight_num, VALUE(RIGHT(B60, LEN(B60)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0" s="9" t="str">
        <f t="array" ref="N60">LET(
    flight, B60,
    flight_num, VALUE(RIGHT(flight, LEN(flight) - 7)),
    base_row, 215 + (flight_num - 1) * 4 + 4,
    INDEX(Calc_Engine!$F:$F, base_row)
)</f>
        <v>Final</v>
      </c>
      <c r="O60" s="5">
        <v>0.0</v>
      </c>
      <c r="P60" s="5">
        <v>-1.0</v>
      </c>
      <c r="Q60" s="5" t="s">
        <v>352</v>
      </c>
      <c r="R60" s="5">
        <v>4.0</v>
      </c>
    </row>
    <row r="61" ht="16.5" customHeight="1">
      <c r="A61" s="1" t="s">
        <v>397</v>
      </c>
      <c r="B61" s="5" t="s">
        <v>41</v>
      </c>
      <c r="C61" s="1">
        <v>15.0</v>
      </c>
      <c r="D61" s="9">
        <f>SUMIFS(Back9_Scores!$C:$C, Back9_Scores!$A:$A, B61, Back9_Scores!$B:$B, C61)</f>
        <v>3</v>
      </c>
      <c r="E61" s="9">
        <f t="array" ref="E61">INDEX(Calc_Engine!$D:$D, MATCH(1, (Calc_Engine!$A:$A=B61)*(Calc_Engine!$B:$B=C61), 0))</f>
        <v>0</v>
      </c>
      <c r="F61" s="5">
        <f t="array" ref="F61">INDEX(Calc_Engine!$E:$E, MATCH(1, (Calc_Engine!$A:$A=B61)*(Calc_Engine!$B:$B=C61), 0))</f>
        <v>3</v>
      </c>
      <c r="G61" s="9">
        <f>SUMIFS(Back9_Scores!$D:$D, Back9_Scores!$A:$A, B61, Back9_Scores!$B:$B, C61)</f>
        <v>3</v>
      </c>
      <c r="H61" s="9">
        <f t="array" ref="H61">INDEX(Calc_Engine!$G:$G, MATCH(1, (Calc_Engine!$A:$A=B61)*(Calc_Engine!$B:$B=C61), 0))</f>
        <v>0</v>
      </c>
      <c r="I61" s="5">
        <f t="array" ref="I61">INDEX(Calc_Engine!$H:$H, MATCH(1, (Calc_Engine!$A:$A=B61)*(Calc_Engine!$B:$B=C61), 0))</f>
        <v>3</v>
      </c>
      <c r="J61" s="5" t="str">
        <f t="array" ref="J61">INDEX(Calc_Engine!$I:$I, MATCH(1, (Calc_Engine!$A:$A=B61)*(Calc_Engine!$B:$B=C61), 0))</f>
        <v>Tie</v>
      </c>
      <c r="K61" s="5" t="str">
        <f t="array" ref="K61">INDEX(Roster!$A:$A,MATCH(B61,Roster!$C:$C,0)+2) &amp; " / " &amp; INDEX(Roster!$A:$A,MATCH(B61,Roster!$C:$C,0)+3)</f>
        <v>Velez / JP Mosquera</v>
      </c>
      <c r="L61" s="5" t="str">
        <f t="array" ref="L61">INDEX(Roster!$A:$A,MATCH(B61,Roster!$C:$C,0)) &amp; " / " &amp; INDEX(Roster!$A:$A,MATCH(B61,Roster!$C:$C,0)+1)</f>
        <v>Pocho / Phil</v>
      </c>
      <c r="M61" s="9" t="str">
        <f t="array" ref="M61">LET(flight_num, VALUE(RIGHT(B61, LEN(B61)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1" s="9" t="str">
        <f t="array" ref="N61">LET(
    flight, B61,
    flight_num, VALUE(RIGHT(flight, LEN(flight) - 7)),
    base_row, 215 + (flight_num - 1) * 4 + 4,
    INDEX(Calc_Engine!$F:$F, base_row)
)</f>
        <v>Final</v>
      </c>
      <c r="O61" s="5">
        <v>0.0</v>
      </c>
      <c r="P61" s="5">
        <v>-1.0</v>
      </c>
      <c r="Q61" s="5" t="s">
        <v>352</v>
      </c>
      <c r="R61" s="5">
        <v>3.0</v>
      </c>
    </row>
    <row r="62" ht="16.5" customHeight="1">
      <c r="A62" s="1" t="s">
        <v>397</v>
      </c>
      <c r="B62" s="5" t="s">
        <v>41</v>
      </c>
      <c r="C62" s="1">
        <v>16.0</v>
      </c>
      <c r="D62" s="9">
        <f>SUMIFS(Back9_Scores!$C:$C, Back9_Scores!$A:$A, B62, Back9_Scores!$B:$B, C62)</f>
        <v>4</v>
      </c>
      <c r="E62" s="9">
        <f t="array" ref="E62">INDEX(Calc_Engine!$D:$D, MATCH(1, (Calc_Engine!$A:$A=B62)*(Calc_Engine!$B:$B=C62), 0))</f>
        <v>0</v>
      </c>
      <c r="F62" s="5">
        <f t="array" ref="F62">INDEX(Calc_Engine!$E:$E, MATCH(1, (Calc_Engine!$A:$A=B62)*(Calc_Engine!$B:$B=C62), 0))</f>
        <v>4</v>
      </c>
      <c r="G62" s="9">
        <f>SUMIFS(Back9_Scores!$D:$D, Back9_Scores!$A:$A, B62, Back9_Scores!$B:$B, C62)</f>
        <v>3</v>
      </c>
      <c r="H62" s="9">
        <f t="array" ref="H62">INDEX(Calc_Engine!$G:$G, MATCH(1, (Calc_Engine!$A:$A=B62)*(Calc_Engine!$B:$B=C62), 0))</f>
        <v>0</v>
      </c>
      <c r="I62" s="5">
        <f t="array" ref="I62">INDEX(Calc_Engine!$H:$H, MATCH(1, (Calc_Engine!$A:$A=B62)*(Calc_Engine!$B:$B=C62), 0))</f>
        <v>3</v>
      </c>
      <c r="J62" s="5" t="str">
        <f t="array" ref="J62">INDEX(Calc_Engine!$I:$I, MATCH(1, (Calc_Engine!$A:$A=B62)*(Calc_Engine!$B:$B=C62), 0))</f>
        <v>Blue</v>
      </c>
      <c r="K62" s="5" t="str">
        <f t="array" ref="K62">INDEX(Roster!$A:$A,MATCH(B62,Roster!$C:$C,0)+2) &amp; " / " &amp; INDEX(Roster!$A:$A,MATCH(B62,Roster!$C:$C,0)+3)</f>
        <v>Velez / JP Mosquera</v>
      </c>
      <c r="L62" s="5" t="str">
        <f t="array" ref="L62">INDEX(Roster!$A:$A,MATCH(B62,Roster!$C:$C,0)) &amp; " / " &amp; INDEX(Roster!$A:$A,MATCH(B62,Roster!$C:$C,0)+1)</f>
        <v>Pocho / Phil</v>
      </c>
      <c r="M62" s="9" t="str">
        <f t="array" ref="M62">LET(flight_num, VALUE(RIGHT(B62, LEN(B62)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2" s="9" t="str">
        <f t="array" ref="N62">LET(
    flight, B62,
    flight_num, VALUE(RIGHT(flight, LEN(flight) - 7)),
    base_row, 215 + (flight_num - 1) * 4 + 4,
    INDEX(Calc_Engine!$F:$F, base_row)
)</f>
        <v>Final</v>
      </c>
      <c r="O62" s="5">
        <v>-1.0</v>
      </c>
      <c r="P62" s="5">
        <v>-2.0</v>
      </c>
      <c r="Q62" s="5" t="s">
        <v>354</v>
      </c>
      <c r="R62" s="5">
        <v>4.0</v>
      </c>
    </row>
    <row r="63" ht="16.5" customHeight="1">
      <c r="A63" s="1" t="s">
        <v>397</v>
      </c>
      <c r="B63" s="5" t="s">
        <v>41</v>
      </c>
      <c r="C63" s="1">
        <v>17.0</v>
      </c>
      <c r="D63" s="9">
        <v>4.0</v>
      </c>
      <c r="E63" s="9">
        <f t="array" ref="E63">INDEX(Calc_Engine!$D:$D, MATCH(1, (Calc_Engine!$A:$A=B63)*(Calc_Engine!$B:$B=C63), 0))</f>
        <v>1</v>
      </c>
      <c r="F63" s="5">
        <f t="array" ref="F63">INDEX(Calc_Engine!$E:$E, MATCH(1, (Calc_Engine!$A:$A=B63)*(Calc_Engine!$B:$B=C63), 0))</f>
        <v>3</v>
      </c>
      <c r="G63" s="9">
        <v>3.0</v>
      </c>
      <c r="H63" s="9">
        <f t="array" ref="H63">INDEX(Calc_Engine!$G:$G, MATCH(1, (Calc_Engine!$A:$A=B63)*(Calc_Engine!$B:$B=C63), 0))</f>
        <v>0</v>
      </c>
      <c r="I63" s="5">
        <f t="array" ref="I63">INDEX(Calc_Engine!$H:$H, MATCH(1, (Calc_Engine!$A:$A=B63)*(Calc_Engine!$B:$B=C63), 0))</f>
        <v>3</v>
      </c>
      <c r="J63" s="5" t="str">
        <f t="array" ref="J63">INDEX(Calc_Engine!$I:$I, MATCH(1, (Calc_Engine!$A:$A=B63)*(Calc_Engine!$B:$B=C63), 0))</f>
        <v>Tie</v>
      </c>
      <c r="K63" s="5" t="str">
        <f t="array" ref="K63">INDEX(Roster!$A:$A,MATCH(B63,Roster!$C:$C,0)+2) &amp; " / " &amp; INDEX(Roster!$A:$A,MATCH(B63,Roster!$C:$C,0)+3)</f>
        <v>Velez / JP Mosquera</v>
      </c>
      <c r="L63" s="5" t="str">
        <f t="array" ref="L63">INDEX(Roster!$A:$A,MATCH(B63,Roster!$C:$C,0)) &amp; " / " &amp; INDEX(Roster!$A:$A,MATCH(B63,Roster!$C:$C,0)+1)</f>
        <v>Pocho / Phil</v>
      </c>
      <c r="M63" s="9" t="str">
        <f t="array" ref="M63">LET(flight_num, VALUE(RIGHT(B63, LEN(B63)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3" s="9" t="str">
        <f t="array" ref="N63">LET(
    flight, B63,
    flight_num, VALUE(RIGHT(flight, LEN(flight) - 7)),
    base_row, 215 + (flight_num - 1) * 4 + 4,
    INDEX(Calc_Engine!$F:$F, base_row)
)</f>
        <v>Final</v>
      </c>
      <c r="O63" s="5">
        <v>0.0</v>
      </c>
      <c r="P63" s="5">
        <v>-2.0</v>
      </c>
      <c r="Q63" s="5" t="s">
        <v>354</v>
      </c>
      <c r="R63" s="5">
        <v>4.0</v>
      </c>
    </row>
    <row r="64" ht="16.5" customHeight="1">
      <c r="A64" s="1" t="s">
        <v>397</v>
      </c>
      <c r="B64" s="5" t="s">
        <v>41</v>
      </c>
      <c r="C64" s="1">
        <v>18.0</v>
      </c>
      <c r="D64" s="9">
        <f>SUMIFS(Back9_Scores!$C:$C, Back9_Scores!$A:$A, B64, Back9_Scores!$B:$B, C64)</f>
        <v>0</v>
      </c>
      <c r="E64" s="9">
        <f t="array" ref="E64">INDEX(Calc_Engine!$D:$D, MATCH(1, (Calc_Engine!$A:$A=B64)*(Calc_Engine!$B:$B=C64), 0))</f>
        <v>0</v>
      </c>
      <c r="F64" s="5" t="str">
        <f t="array" ref="F64">INDEX(Calc_Engine!$E:$E, MATCH(1, (Calc_Engine!$A:$A=B64)*(Calc_Engine!$B:$B=C64), 0))</f>
        <v/>
      </c>
      <c r="G64" s="9">
        <f>SUMIFS(Back9_Scores!$D:$D, Back9_Scores!$A:$A, B64, Back9_Scores!$B:$B, C64)</f>
        <v>4</v>
      </c>
      <c r="H64" s="9">
        <f t="array" ref="H64">INDEX(Calc_Engine!$G:$G, MATCH(1, (Calc_Engine!$A:$A=B64)*(Calc_Engine!$B:$B=C64), 0))</f>
        <v>0</v>
      </c>
      <c r="I64" s="5">
        <f t="array" ref="I64">INDEX(Calc_Engine!$H:$H, MATCH(1, (Calc_Engine!$A:$A=B64)*(Calc_Engine!$B:$B=C64), 0))</f>
        <v>4</v>
      </c>
      <c r="J64" s="5" t="str">
        <f t="array" ref="J64">INDEX(Calc_Engine!$I:$I, MATCH(1, (Calc_Engine!$A:$A=B64)*(Calc_Engine!$B:$B=C64), 0))</f>
        <v/>
      </c>
      <c r="K64" s="5" t="str">
        <f t="array" ref="K64">INDEX(Roster!$A:$A,MATCH(B64,Roster!$C:$C,0)+2) &amp; " / " &amp; INDEX(Roster!$A:$A,MATCH(B64,Roster!$C:$C,0)+3)</f>
        <v>Velez / JP Mosquera</v>
      </c>
      <c r="L64" s="5" t="str">
        <f t="array" ref="L64">INDEX(Roster!$A:$A,MATCH(B64,Roster!$C:$C,0)) &amp; " / " &amp; INDEX(Roster!$A:$A,MATCH(B64,Roster!$C:$C,0)+1)</f>
        <v>Pocho / Phil</v>
      </c>
      <c r="M64" s="9" t="str">
        <f t="array" ref="M64">LET(flight_num, VALUE(RIGHT(B64, LEN(B64)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4" s="9" t="str">
        <f t="array" ref="N64">LET(
    flight, B64,
    flight_num, VALUE(RIGHT(flight, LEN(flight) - 7)),
    base_row, 215 + (flight_num - 1) * 4 + 4,
    INDEX(Calc_Engine!$F:$F, base_row)
)</f>
        <v>Final</v>
      </c>
      <c r="O64" s="5">
        <v>0.0</v>
      </c>
      <c r="P64" s="5">
        <v>-2.0</v>
      </c>
      <c r="Q64" s="5" t="s">
        <v>354</v>
      </c>
      <c r="R64" s="5">
        <v>5.0</v>
      </c>
    </row>
    <row r="65" ht="16.5" customHeight="1">
      <c r="A65" s="1" t="s">
        <v>398</v>
      </c>
      <c r="B65" s="5" t="str">
        <f t="array" ref="B65:B73">Calc_Engine!A203:A211</f>
        <v>Flight_8</v>
      </c>
      <c r="C65" s="1">
        <v>10.0</v>
      </c>
      <c r="D65" s="9">
        <f>SUMIFS(Back9_Scores!$C:$C, Back9_Scores!$A:$A, B65, Back9_Scores!$B:$B, C65)</f>
        <v>4</v>
      </c>
      <c r="E65" s="9">
        <f t="array" ref="E65">INDEX(Calc_Engine!$D:$D, MATCH(1, (Calc_Engine!$A:$A=B65)*(Calc_Engine!$B:$B=C65), 0))</f>
        <v>0</v>
      </c>
      <c r="F65" s="5">
        <f t="array" ref="F65">INDEX(Calc_Engine!$E:$E, MATCH(1, (Calc_Engine!$A:$A=B65)*(Calc_Engine!$B:$B=C65), 0))</f>
        <v>4</v>
      </c>
      <c r="G65" s="9">
        <f>SUMIFS(Back9_Scores!$D:$D, Back9_Scores!$A:$A, B65, Back9_Scores!$B:$B, C65)</f>
        <v>5</v>
      </c>
      <c r="H65" s="9">
        <f t="array" ref="H65">INDEX(Calc_Engine!$G:$G, MATCH(1, (Calc_Engine!$A:$A=B65)*(Calc_Engine!$B:$B=C65), 0))</f>
        <v>1</v>
      </c>
      <c r="I65" s="5">
        <f t="array" ref="I65">INDEX(Calc_Engine!$H:$H, MATCH(1, (Calc_Engine!$A:$A=B65)*(Calc_Engine!$B:$B=C65), 0))</f>
        <v>4</v>
      </c>
      <c r="J65" s="5" t="str">
        <f t="array" ref="J65">INDEX(Calc_Engine!$I:$I, MATCH(1, (Calc_Engine!$A:$A=B65)*(Calc_Engine!$B:$B=C65), 0))</f>
        <v>Tie</v>
      </c>
      <c r="K65" s="5" t="str">
        <f t="array" ref="K65">INDEX(Roster!$A:$A,MATCH(B65,Roster!$C:$C,0)+2) &amp; " / " &amp; INDEX(Roster!$A:$A,MATCH(B65,Roster!$C:$C,0)+3)</f>
        <v>Pilarica / Camacho</v>
      </c>
      <c r="L65" s="5" t="str">
        <f t="array" ref="L65">INDEX(Roster!$A:$A,MATCH(B65,Roster!$C:$C,0)) &amp; " / " &amp; INDEX(Roster!$A:$A,MATCH(B65,Roster!$C:$C,0)+1)</f>
        <v>Veronica Perez / Bernie</v>
      </c>
      <c r="M65" s="9" t="str">
        <f t="array" ref="M65">LET(flight_num, VALUE(RIGHT(B65, LEN(B65)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5" s="9" t="str">
        <f t="array" ref="N65">LET(
    flight, B65,
    flight_num, VALUE(RIGHT(flight, LEN(flight) - 7)),
    base_row, 215 + (flight_num - 1) * 4 + 4,
    INDEX(Calc_Engine!$F:$F, base_row)
)</f>
        <v>Final</v>
      </c>
      <c r="O65" s="5">
        <v>0.0</v>
      </c>
      <c r="P65" s="5">
        <v>0.0</v>
      </c>
      <c r="Q65" s="5" t="s">
        <v>350</v>
      </c>
      <c r="R65" s="5">
        <v>5.0</v>
      </c>
    </row>
    <row r="66" ht="16.5" customHeight="1">
      <c r="A66" s="1" t="s">
        <v>398</v>
      </c>
      <c r="B66" s="5" t="s">
        <v>46</v>
      </c>
      <c r="C66" s="1">
        <v>11.0</v>
      </c>
      <c r="D66" s="9">
        <f>SUMIFS(Back9_Scores!$C:$C, Back9_Scores!$A:$A, B66, Back9_Scores!$B:$B, C66)</f>
        <v>4</v>
      </c>
      <c r="E66" s="9">
        <f t="array" ref="E66">INDEX(Calc_Engine!$D:$D, MATCH(1, (Calc_Engine!$A:$A=B66)*(Calc_Engine!$B:$B=C66), 0))</f>
        <v>1</v>
      </c>
      <c r="F66" s="5">
        <f t="array" ref="F66">INDEX(Calc_Engine!$E:$E, MATCH(1, (Calc_Engine!$A:$A=B66)*(Calc_Engine!$B:$B=C66), 0))</f>
        <v>3</v>
      </c>
      <c r="G66" s="9">
        <f>SUMIFS(Back9_Scores!$D:$D, Back9_Scores!$A:$A, B66, Back9_Scores!$B:$B, C66)</f>
        <v>4</v>
      </c>
      <c r="H66" s="9">
        <f t="array" ref="H66">INDEX(Calc_Engine!$G:$G, MATCH(1, (Calc_Engine!$A:$A=B66)*(Calc_Engine!$B:$B=C66), 0))</f>
        <v>1</v>
      </c>
      <c r="I66" s="5">
        <f t="array" ref="I66">INDEX(Calc_Engine!$H:$H, MATCH(1, (Calc_Engine!$A:$A=B66)*(Calc_Engine!$B:$B=C66), 0))</f>
        <v>3</v>
      </c>
      <c r="J66" s="5" t="str">
        <f t="array" ref="J66">INDEX(Calc_Engine!$I:$I, MATCH(1, (Calc_Engine!$A:$A=B66)*(Calc_Engine!$B:$B=C66), 0))</f>
        <v>Tie</v>
      </c>
      <c r="K66" s="5" t="str">
        <f t="array" ref="K66">INDEX(Roster!$A:$A,MATCH(B66,Roster!$C:$C,0)+2) &amp; " / " &amp; INDEX(Roster!$A:$A,MATCH(B66,Roster!$C:$C,0)+3)</f>
        <v>Pilarica / Camacho</v>
      </c>
      <c r="L66" s="5" t="str">
        <f t="array" ref="L66">INDEX(Roster!$A:$A,MATCH(B66,Roster!$C:$C,0)) &amp; " / " &amp; INDEX(Roster!$A:$A,MATCH(B66,Roster!$C:$C,0)+1)</f>
        <v>Veronica Perez / Bernie</v>
      </c>
      <c r="M66" s="9" t="str">
        <f t="array" ref="M66">LET(flight_num, VALUE(RIGHT(B66, LEN(B66)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6" s="9" t="str">
        <f t="array" ref="N66">LET(
    flight, B66,
    flight_num, VALUE(RIGHT(flight, LEN(flight) - 7)),
    base_row, 215 + (flight_num - 1) * 4 + 4,
    INDEX(Calc_Engine!$F:$F, base_row)
)</f>
        <v>Final</v>
      </c>
      <c r="O66" s="5">
        <v>0.0</v>
      </c>
      <c r="P66" s="5">
        <v>0.0</v>
      </c>
      <c r="Q66" s="5" t="s">
        <v>350</v>
      </c>
      <c r="R66" s="5">
        <v>4.0</v>
      </c>
    </row>
    <row r="67" ht="16.5" customHeight="1">
      <c r="A67" s="1" t="s">
        <v>398</v>
      </c>
      <c r="B67" s="5" t="s">
        <v>46</v>
      </c>
      <c r="C67" s="1">
        <v>12.0</v>
      </c>
      <c r="D67" s="9">
        <f>SUMIFS(Back9_Scores!$C:$C, Back9_Scores!$A:$A, B67, Back9_Scores!$B:$B, C67)</f>
        <v>3</v>
      </c>
      <c r="E67" s="9">
        <f t="array" ref="E67">INDEX(Calc_Engine!$D:$D, MATCH(1, (Calc_Engine!$A:$A=B67)*(Calc_Engine!$B:$B=C67), 0))</f>
        <v>1</v>
      </c>
      <c r="F67" s="5">
        <f t="array" ref="F67">INDEX(Calc_Engine!$E:$E, MATCH(1, (Calc_Engine!$A:$A=B67)*(Calc_Engine!$B:$B=C67), 0))</f>
        <v>2</v>
      </c>
      <c r="G67" s="9">
        <f>SUMIFS(Back9_Scores!$D:$D, Back9_Scores!$A:$A, B67, Back9_Scores!$B:$B, C67)</f>
        <v>3</v>
      </c>
      <c r="H67" s="9">
        <f t="array" ref="H67">INDEX(Calc_Engine!$G:$G, MATCH(1, (Calc_Engine!$A:$A=B67)*(Calc_Engine!$B:$B=C67), 0))</f>
        <v>1</v>
      </c>
      <c r="I67" s="5">
        <f t="array" ref="I67">INDEX(Calc_Engine!$H:$H, MATCH(1, (Calc_Engine!$A:$A=B67)*(Calc_Engine!$B:$B=C67), 0))</f>
        <v>2</v>
      </c>
      <c r="J67" s="5" t="str">
        <f t="array" ref="J67">INDEX(Calc_Engine!$I:$I, MATCH(1, (Calc_Engine!$A:$A=B67)*(Calc_Engine!$B:$B=C67), 0))</f>
        <v>Tie</v>
      </c>
      <c r="K67" s="5" t="str">
        <f t="array" ref="K67">INDEX(Roster!$A:$A,MATCH(B67,Roster!$C:$C,0)+2) &amp; " / " &amp; INDEX(Roster!$A:$A,MATCH(B67,Roster!$C:$C,0)+3)</f>
        <v>Pilarica / Camacho</v>
      </c>
      <c r="L67" s="5" t="str">
        <f t="array" ref="L67">INDEX(Roster!$A:$A,MATCH(B67,Roster!$C:$C,0)) &amp; " / " &amp; INDEX(Roster!$A:$A,MATCH(B67,Roster!$C:$C,0)+1)</f>
        <v>Veronica Perez / Bernie</v>
      </c>
      <c r="M67" s="9" t="str">
        <f t="array" ref="M67">LET(flight_num, VALUE(RIGHT(B67, LEN(B67)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7" s="9" t="str">
        <f t="array" ref="N67">LET(
    flight, B67,
    flight_num, VALUE(RIGHT(flight, LEN(flight) - 7)),
    base_row, 215 + (flight_num - 1) * 4 + 4,
    INDEX(Calc_Engine!$F:$F, base_row)
)</f>
        <v>Final</v>
      </c>
      <c r="O67" s="5">
        <v>0.0</v>
      </c>
      <c r="P67" s="5">
        <v>0.0</v>
      </c>
      <c r="Q67" s="5" t="s">
        <v>350</v>
      </c>
      <c r="R67" s="5">
        <v>3.0</v>
      </c>
    </row>
    <row r="68" ht="16.5" customHeight="1">
      <c r="A68" s="1" t="s">
        <v>398</v>
      </c>
      <c r="B68" s="5" t="s">
        <v>46</v>
      </c>
      <c r="C68" s="1">
        <v>13.0</v>
      </c>
      <c r="D68" s="9">
        <f>SUMIFS(Back9_Scores!$C:$C, Back9_Scores!$A:$A, B68, Back9_Scores!$B:$B, C68)</f>
        <v>4</v>
      </c>
      <c r="E68" s="9">
        <f t="array" ref="E68">INDEX(Calc_Engine!$D:$D, MATCH(1, (Calc_Engine!$A:$A=B68)*(Calc_Engine!$B:$B=C68), 0))</f>
        <v>1</v>
      </c>
      <c r="F68" s="5">
        <f t="array" ref="F68">INDEX(Calc_Engine!$E:$E, MATCH(1, (Calc_Engine!$A:$A=B68)*(Calc_Engine!$B:$B=C68), 0))</f>
        <v>3</v>
      </c>
      <c r="G68" s="9">
        <f>SUMIFS(Back9_Scores!$D:$D, Back9_Scores!$A:$A, B68, Back9_Scores!$B:$B, C68)</f>
        <v>4</v>
      </c>
      <c r="H68" s="9">
        <f t="array" ref="H68">INDEX(Calc_Engine!$G:$G, MATCH(1, (Calc_Engine!$A:$A=B68)*(Calc_Engine!$B:$B=C68), 0))</f>
        <v>1</v>
      </c>
      <c r="I68" s="5">
        <f t="array" ref="I68">INDEX(Calc_Engine!$H:$H, MATCH(1, (Calc_Engine!$A:$A=B68)*(Calc_Engine!$B:$B=C68), 0))</f>
        <v>3</v>
      </c>
      <c r="J68" s="5" t="str">
        <f t="array" ref="J68">INDEX(Calc_Engine!$I:$I, MATCH(1, (Calc_Engine!$A:$A=B68)*(Calc_Engine!$B:$B=C68), 0))</f>
        <v>Tie</v>
      </c>
      <c r="K68" s="5" t="str">
        <f t="array" ref="K68">INDEX(Roster!$A:$A,MATCH(B68,Roster!$C:$C,0)+2) &amp; " / " &amp; INDEX(Roster!$A:$A,MATCH(B68,Roster!$C:$C,0)+3)</f>
        <v>Pilarica / Camacho</v>
      </c>
      <c r="L68" s="5" t="str">
        <f t="array" ref="L68">INDEX(Roster!$A:$A,MATCH(B68,Roster!$C:$C,0)) &amp; " / " &amp; INDEX(Roster!$A:$A,MATCH(B68,Roster!$C:$C,0)+1)</f>
        <v>Veronica Perez / Bernie</v>
      </c>
      <c r="M68" s="9" t="str">
        <f t="array" ref="M68">LET(flight_num, VALUE(RIGHT(B68, LEN(B68)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8" s="9" t="str">
        <f t="array" ref="N68">LET(
    flight, B68,
    flight_num, VALUE(RIGHT(flight, LEN(flight) - 7)),
    base_row, 215 + (flight_num - 1) * 4 + 4,
    INDEX(Calc_Engine!$F:$F, base_row)
)</f>
        <v>Final</v>
      </c>
      <c r="O68" s="5">
        <v>0.0</v>
      </c>
      <c r="P68" s="5">
        <v>0.0</v>
      </c>
      <c r="Q68" s="5" t="s">
        <v>350</v>
      </c>
      <c r="R68" s="5">
        <v>4.0</v>
      </c>
    </row>
    <row r="69" ht="16.5" customHeight="1">
      <c r="A69" s="1" t="s">
        <v>398</v>
      </c>
      <c r="B69" s="5" t="s">
        <v>46</v>
      </c>
      <c r="C69" s="1">
        <v>14.0</v>
      </c>
      <c r="D69" s="9">
        <f>SUMIFS(Back9_Scores!$C:$C, Back9_Scores!$A:$A, B69, Back9_Scores!$B:$B, C69)</f>
        <v>4</v>
      </c>
      <c r="E69" s="9">
        <f t="array" ref="E69">INDEX(Calc_Engine!$D:$D, MATCH(1, (Calc_Engine!$A:$A=B69)*(Calc_Engine!$B:$B=C69), 0))</f>
        <v>0</v>
      </c>
      <c r="F69" s="5">
        <f t="array" ref="F69">INDEX(Calc_Engine!$E:$E, MATCH(1, (Calc_Engine!$A:$A=B69)*(Calc_Engine!$B:$B=C69), 0))</f>
        <v>4</v>
      </c>
      <c r="G69" s="9">
        <f>SUMIFS(Back9_Scores!$D:$D, Back9_Scores!$A:$A, B69, Back9_Scores!$B:$B, C69)</f>
        <v>4</v>
      </c>
      <c r="H69" s="9">
        <f t="array" ref="H69">INDEX(Calc_Engine!$G:$G, MATCH(1, (Calc_Engine!$A:$A=B69)*(Calc_Engine!$B:$B=C69), 0))</f>
        <v>0</v>
      </c>
      <c r="I69" s="5">
        <f t="array" ref="I69">INDEX(Calc_Engine!$H:$H, MATCH(1, (Calc_Engine!$A:$A=B69)*(Calc_Engine!$B:$B=C69), 0))</f>
        <v>4</v>
      </c>
      <c r="J69" s="5" t="str">
        <f t="array" ref="J69">INDEX(Calc_Engine!$I:$I, MATCH(1, (Calc_Engine!$A:$A=B69)*(Calc_Engine!$B:$B=C69), 0))</f>
        <v>Tie</v>
      </c>
      <c r="K69" s="5" t="str">
        <f t="array" ref="K69">INDEX(Roster!$A:$A,MATCH(B69,Roster!$C:$C,0)+2) &amp; " / " &amp; INDEX(Roster!$A:$A,MATCH(B69,Roster!$C:$C,0)+3)</f>
        <v>Pilarica / Camacho</v>
      </c>
      <c r="L69" s="5" t="str">
        <f t="array" ref="L69">INDEX(Roster!$A:$A,MATCH(B69,Roster!$C:$C,0)) &amp; " / " &amp; INDEX(Roster!$A:$A,MATCH(B69,Roster!$C:$C,0)+1)</f>
        <v>Veronica Perez / Bernie</v>
      </c>
      <c r="M69" s="9" t="str">
        <f t="array" ref="M69">LET(flight_num, VALUE(RIGHT(B69, LEN(B69)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69" s="9" t="str">
        <f t="array" ref="N69">LET(
    flight, B69,
    flight_num, VALUE(RIGHT(flight, LEN(flight) - 7)),
    base_row, 215 + (flight_num - 1) * 4 + 4,
    INDEX(Calc_Engine!$F:$F, base_row)
)</f>
        <v>Final</v>
      </c>
      <c r="O69" s="5">
        <v>0.0</v>
      </c>
      <c r="P69" s="5">
        <v>0.0</v>
      </c>
      <c r="Q69" s="5" t="s">
        <v>350</v>
      </c>
      <c r="R69" s="5">
        <v>4.0</v>
      </c>
    </row>
    <row r="70" ht="16.5" customHeight="1">
      <c r="A70" s="1" t="s">
        <v>398</v>
      </c>
      <c r="B70" s="5" t="s">
        <v>46</v>
      </c>
      <c r="C70" s="1">
        <v>15.0</v>
      </c>
      <c r="D70" s="9">
        <f>SUMIFS(Back9_Scores!$C:$C, Back9_Scores!$A:$A, B70, Back9_Scores!$B:$B, C70)</f>
        <v>4</v>
      </c>
      <c r="E70" s="9">
        <f t="array" ref="E70">INDEX(Calc_Engine!$D:$D, MATCH(1, (Calc_Engine!$A:$A=B70)*(Calc_Engine!$B:$B=C70), 0))</f>
        <v>0</v>
      </c>
      <c r="F70" s="5">
        <f t="array" ref="F70">INDEX(Calc_Engine!$E:$E, MATCH(1, (Calc_Engine!$A:$A=B70)*(Calc_Engine!$B:$B=C70), 0))</f>
        <v>4</v>
      </c>
      <c r="G70" s="9">
        <f>SUMIFS(Back9_Scores!$D:$D, Back9_Scores!$A:$A, B70, Back9_Scores!$B:$B, C70)</f>
        <v>3</v>
      </c>
      <c r="H70" s="9">
        <f t="array" ref="H70">INDEX(Calc_Engine!$G:$G, MATCH(1, (Calc_Engine!$A:$A=B70)*(Calc_Engine!$B:$B=C70), 0))</f>
        <v>0</v>
      </c>
      <c r="I70" s="5">
        <f t="array" ref="I70">INDEX(Calc_Engine!$H:$H, MATCH(1, (Calc_Engine!$A:$A=B70)*(Calc_Engine!$B:$B=C70), 0))</f>
        <v>3</v>
      </c>
      <c r="J70" s="5" t="str">
        <f t="array" ref="J70">INDEX(Calc_Engine!$I:$I, MATCH(1, (Calc_Engine!$A:$A=B70)*(Calc_Engine!$B:$B=C70), 0))</f>
        <v>Blue</v>
      </c>
      <c r="K70" s="5" t="str">
        <f t="array" ref="K70">INDEX(Roster!$A:$A,MATCH(B70,Roster!$C:$C,0)+2) &amp; " / " &amp; INDEX(Roster!$A:$A,MATCH(B70,Roster!$C:$C,0)+3)</f>
        <v>Pilarica / Camacho</v>
      </c>
      <c r="L70" s="5" t="str">
        <f t="array" ref="L70">INDEX(Roster!$A:$A,MATCH(B70,Roster!$C:$C,0)) &amp; " / " &amp; INDEX(Roster!$A:$A,MATCH(B70,Roster!$C:$C,0)+1)</f>
        <v>Veronica Perez / Bernie</v>
      </c>
      <c r="M70" s="9" t="str">
        <f t="array" ref="M70">LET(flight_num, VALUE(RIGHT(B70, LEN(B70)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70" s="9" t="str">
        <f t="array" ref="N70">LET(
    flight, B70,
    flight_num, VALUE(RIGHT(flight, LEN(flight) - 7)),
    base_row, 215 + (flight_num - 1) * 4 + 4,
    INDEX(Calc_Engine!$F:$F, base_row)
)</f>
        <v>Final</v>
      </c>
      <c r="O70" s="5">
        <v>-1.0</v>
      </c>
      <c r="P70" s="5">
        <v>-1.0</v>
      </c>
      <c r="Q70" s="5" t="s">
        <v>352</v>
      </c>
      <c r="R70" s="5">
        <v>3.0</v>
      </c>
    </row>
    <row r="71" ht="16.5" customHeight="1">
      <c r="A71" s="1" t="s">
        <v>398</v>
      </c>
      <c r="B71" s="5" t="s">
        <v>46</v>
      </c>
      <c r="C71" s="1">
        <v>16.0</v>
      </c>
      <c r="D71" s="9">
        <f>SUMIFS(Back9_Scores!$C:$C, Back9_Scores!$A:$A, B71, Back9_Scores!$B:$B, C71)</f>
        <v>4</v>
      </c>
      <c r="E71" s="9">
        <f t="array" ref="E71">INDEX(Calc_Engine!$D:$D, MATCH(1, (Calc_Engine!$A:$A=B71)*(Calc_Engine!$B:$B=C71), 0))</f>
        <v>0</v>
      </c>
      <c r="F71" s="5">
        <f t="array" ref="F71">INDEX(Calc_Engine!$E:$E, MATCH(1, (Calc_Engine!$A:$A=B71)*(Calc_Engine!$B:$B=C71), 0))</f>
        <v>4</v>
      </c>
      <c r="G71" s="9">
        <f>SUMIFS(Back9_Scores!$D:$D, Back9_Scores!$A:$A, B71, Back9_Scores!$B:$B, C71)</f>
        <v>5</v>
      </c>
      <c r="H71" s="9">
        <f t="array" ref="H71">INDEX(Calc_Engine!$G:$G, MATCH(1, (Calc_Engine!$A:$A=B71)*(Calc_Engine!$B:$B=C71), 0))</f>
        <v>0</v>
      </c>
      <c r="I71" s="5">
        <f t="array" ref="I71">INDEX(Calc_Engine!$H:$H, MATCH(1, (Calc_Engine!$A:$A=B71)*(Calc_Engine!$B:$B=C71), 0))</f>
        <v>5</v>
      </c>
      <c r="J71" s="5" t="str">
        <f t="array" ref="J71">INDEX(Calc_Engine!$I:$I, MATCH(1, (Calc_Engine!$A:$A=B71)*(Calc_Engine!$B:$B=C71), 0))</f>
        <v>Red</v>
      </c>
      <c r="K71" s="5" t="str">
        <f t="array" ref="K71">INDEX(Roster!$A:$A,MATCH(B71,Roster!$C:$C,0)+2) &amp; " / " &amp; INDEX(Roster!$A:$A,MATCH(B71,Roster!$C:$C,0)+3)</f>
        <v>Pilarica / Camacho</v>
      </c>
      <c r="L71" s="5" t="str">
        <f t="array" ref="L71">INDEX(Roster!$A:$A,MATCH(B71,Roster!$C:$C,0)) &amp; " / " &amp; INDEX(Roster!$A:$A,MATCH(B71,Roster!$C:$C,0)+1)</f>
        <v>Veronica Perez / Bernie</v>
      </c>
      <c r="M71" s="9" t="str">
        <f t="array" ref="M71">LET(flight_num, VALUE(RIGHT(B71, LEN(B71)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71" s="9" t="str">
        <f t="array" ref="N71">LET(
    flight, B71,
    flight_num, VALUE(RIGHT(flight, LEN(flight) - 7)),
    base_row, 215 + (flight_num - 1) * 4 + 4,
    INDEX(Calc_Engine!$F:$F, base_row)
)</f>
        <v>Final</v>
      </c>
      <c r="O71" s="5">
        <v>1.0</v>
      </c>
      <c r="P71" s="5">
        <v>0.0</v>
      </c>
      <c r="Q71" s="5" t="s">
        <v>350</v>
      </c>
      <c r="R71" s="5">
        <v>4.0</v>
      </c>
    </row>
    <row r="72" ht="16.5" customHeight="1">
      <c r="A72" s="1" t="s">
        <v>398</v>
      </c>
      <c r="B72" s="5" t="s">
        <v>46</v>
      </c>
      <c r="C72" s="1">
        <v>17.0</v>
      </c>
      <c r="D72" s="9">
        <f>SUMIFS(Back9_Scores!$C:$C, Back9_Scores!$A:$A, B72, Back9_Scores!$B:$B, C72)</f>
        <v>5</v>
      </c>
      <c r="E72" s="9">
        <f t="array" ref="E72">INDEX(Calc_Engine!$D:$D, MATCH(1, (Calc_Engine!$A:$A=B72)*(Calc_Engine!$B:$B=C72), 0))</f>
        <v>0</v>
      </c>
      <c r="F72" s="5">
        <f t="array" ref="F72">INDEX(Calc_Engine!$E:$E, MATCH(1, (Calc_Engine!$A:$A=B72)*(Calc_Engine!$B:$B=C72), 0))</f>
        <v>5</v>
      </c>
      <c r="G72" s="9">
        <f>SUMIFS(Back9_Scores!$D:$D, Back9_Scores!$A:$A, B72, Back9_Scores!$B:$B, C72)</f>
        <v>5</v>
      </c>
      <c r="H72" s="9">
        <f t="array" ref="H72">INDEX(Calc_Engine!$G:$G, MATCH(1, (Calc_Engine!$A:$A=B72)*(Calc_Engine!$B:$B=C72), 0))</f>
        <v>0</v>
      </c>
      <c r="I72" s="5">
        <f t="array" ref="I72">INDEX(Calc_Engine!$H:$H, MATCH(1, (Calc_Engine!$A:$A=B72)*(Calc_Engine!$B:$B=C72), 0))</f>
        <v>5</v>
      </c>
      <c r="J72" s="5" t="str">
        <f t="array" ref="J72">INDEX(Calc_Engine!$I:$I, MATCH(1, (Calc_Engine!$A:$A=B72)*(Calc_Engine!$B:$B=C72), 0))</f>
        <v>Tie</v>
      </c>
      <c r="K72" s="5" t="str">
        <f t="array" ref="K72">INDEX(Roster!$A:$A,MATCH(B72,Roster!$C:$C,0)+2) &amp; " / " &amp; INDEX(Roster!$A:$A,MATCH(B72,Roster!$C:$C,0)+3)</f>
        <v>Pilarica / Camacho</v>
      </c>
      <c r="L72" s="5" t="str">
        <f t="array" ref="L72">INDEX(Roster!$A:$A,MATCH(B72,Roster!$C:$C,0)) &amp; " / " &amp; INDEX(Roster!$A:$A,MATCH(B72,Roster!$C:$C,0)+1)</f>
        <v>Veronica Perez / Bernie</v>
      </c>
      <c r="M72" s="9" t="str">
        <f t="array" ref="M72">LET(flight_num, VALUE(RIGHT(B72, LEN(B72)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72" s="9" t="str">
        <f t="array" ref="N72">LET(
    flight, B72,
    flight_num, VALUE(RIGHT(flight, LEN(flight) - 7)),
    base_row, 215 + (flight_num - 1) * 4 + 4,
    INDEX(Calc_Engine!$F:$F, base_row)
)</f>
        <v>Final</v>
      </c>
      <c r="O72" s="5">
        <v>0.0</v>
      </c>
      <c r="P72" s="5">
        <v>0.0</v>
      </c>
      <c r="Q72" s="5" t="s">
        <v>350</v>
      </c>
      <c r="R72" s="5">
        <v>4.0</v>
      </c>
    </row>
    <row r="73" ht="16.5" customHeight="1">
      <c r="A73" s="1" t="s">
        <v>398</v>
      </c>
      <c r="B73" s="5" t="s">
        <v>46</v>
      </c>
      <c r="C73" s="1">
        <v>18.0</v>
      </c>
      <c r="D73" s="9">
        <f>SUMIFS(Back9_Scores!$C:$C, Back9_Scores!$A:$A, B73, Back9_Scores!$B:$B, C73)</f>
        <v>6</v>
      </c>
      <c r="E73" s="9">
        <f t="array" ref="E73">INDEX(Calc_Engine!$D:$D, MATCH(1, (Calc_Engine!$A:$A=B73)*(Calc_Engine!$B:$B=C73), 0))</f>
        <v>0</v>
      </c>
      <c r="F73" s="5">
        <f t="array" ref="F73">INDEX(Calc_Engine!$E:$E, MATCH(1, (Calc_Engine!$A:$A=B73)*(Calc_Engine!$B:$B=C73), 0))</f>
        <v>6</v>
      </c>
      <c r="G73" s="9">
        <f>SUMIFS(Back9_Scores!$D:$D, Back9_Scores!$A:$A, B73, Back9_Scores!$B:$B, C73)</f>
        <v>5</v>
      </c>
      <c r="H73" s="9">
        <f t="array" ref="H73">INDEX(Calc_Engine!$G:$G, MATCH(1, (Calc_Engine!$A:$A=B73)*(Calc_Engine!$B:$B=C73), 0))</f>
        <v>0</v>
      </c>
      <c r="I73" s="5">
        <f t="array" ref="I73">INDEX(Calc_Engine!$H:$H, MATCH(1, (Calc_Engine!$A:$A=B73)*(Calc_Engine!$B:$B=C73), 0))</f>
        <v>5</v>
      </c>
      <c r="J73" s="5" t="str">
        <f t="array" ref="J73">INDEX(Calc_Engine!$I:$I, MATCH(1, (Calc_Engine!$A:$A=B73)*(Calc_Engine!$B:$B=C73), 0))</f>
        <v>Blue</v>
      </c>
      <c r="K73" s="5" t="str">
        <f t="array" ref="K73">INDEX(Roster!$A:$A,MATCH(B73,Roster!$C:$C,0)+2) &amp; " / " &amp; INDEX(Roster!$A:$A,MATCH(B73,Roster!$C:$C,0)+3)</f>
        <v>Pilarica / Camacho</v>
      </c>
      <c r="L73" s="5" t="str">
        <f t="array" ref="L73">INDEX(Roster!$A:$A,MATCH(B73,Roster!$C:$C,0)) &amp; " / " &amp; INDEX(Roster!$A:$A,MATCH(B73,Roster!$C:$C,0)+1)</f>
        <v>Veronica Perez / Bernie</v>
      </c>
      <c r="M73" s="9" t="str">
        <f t="array" ref="M73">LET(flight_num, VALUE(RIGHT(B73, LEN(B73) - 7)), base_row, 215 + (flight_num - 1) * 4 + 4, status, INDEX(Calc_Engine!$F:$F, base_row), color, IF(ISNUMBER(LOOKUP("Red", status)), "#D32F2F", IF(ISNUMBER(LOOKUP("Blue", status)), "#1976D2", "#616161")), "&lt;div style='background-color: " &amp; color &amp; "; color: #FFFFFF; padding: 4px 10px; border-radius: 12px; text-align: center; font-weight: 500; font-size: 0.85em; white-space: nowrap;'&gt;" &amp; status &amp; "&lt;/div&gt;")</f>
        <v>&lt;div style='background-color: #616161; color: #FFFFFF; padding: 4px 10px; border-radius: 12px; text-align: center; font-weight: 500; font-size: 0.85em; white-space: nowrap;'&gt;Final&lt;/div&gt;</v>
      </c>
      <c r="N73" s="9" t="str">
        <f t="array" ref="N73">LET(
    flight, B73,
    flight_num, VALUE(RIGHT(flight, LEN(flight) - 7)),
    base_row, 215 + (flight_num - 1) * 4 + 4,
    INDEX(Calc_Engine!$F:$F, base_row)
)</f>
        <v>Final</v>
      </c>
      <c r="O73" s="5">
        <v>-1.0</v>
      </c>
      <c r="P73" s="5">
        <v>-1.0</v>
      </c>
      <c r="Q73" s="5" t="s">
        <v>352</v>
      </c>
      <c r="R73" s="5">
        <v>5.0</v>
      </c>
    </row>
    <row r="74" ht="16.5" customHeight="1">
      <c r="O74" s="5" t="s">
        <v>355</v>
      </c>
      <c r="P74" s="5" t="s">
        <v>355</v>
      </c>
      <c r="Q74" s="5" t="s">
        <v>355</v>
      </c>
    </row>
    <row r="75" ht="16.5" customHeight="1">
      <c r="O75" s="5" t="s">
        <v>355</v>
      </c>
      <c r="P75" s="5" t="s">
        <v>355</v>
      </c>
      <c r="Q75" s="5" t="s">
        <v>355</v>
      </c>
    </row>
    <row r="76" ht="16.5" customHeight="1">
      <c r="O76" s="5" t="s">
        <v>355</v>
      </c>
      <c r="P76" s="5" t="s">
        <v>355</v>
      </c>
      <c r="Q76" s="5" t="s">
        <v>355</v>
      </c>
    </row>
    <row r="77" ht="16.5" customHeight="1">
      <c r="O77" s="5" t="s">
        <v>355</v>
      </c>
      <c r="P77" s="5" t="s">
        <v>355</v>
      </c>
      <c r="Q77" s="5" t="s">
        <v>355</v>
      </c>
    </row>
    <row r="78" ht="16.5" customHeight="1">
      <c r="O78" s="5" t="s">
        <v>355</v>
      </c>
      <c r="P78" s="5" t="s">
        <v>355</v>
      </c>
      <c r="Q78" s="5" t="s">
        <v>355</v>
      </c>
    </row>
    <row r="79" ht="16.5" customHeight="1">
      <c r="O79" s="5" t="s">
        <v>355</v>
      </c>
      <c r="P79" s="5" t="s">
        <v>355</v>
      </c>
      <c r="Q79" s="5" t="s">
        <v>355</v>
      </c>
    </row>
    <row r="80" ht="16.5" customHeight="1">
      <c r="O80" s="5" t="s">
        <v>355</v>
      </c>
      <c r="P80" s="5" t="s">
        <v>355</v>
      </c>
      <c r="Q80" s="5" t="s">
        <v>355</v>
      </c>
    </row>
    <row r="81" ht="16.5" customHeight="1">
      <c r="O81" s="5" t="s">
        <v>355</v>
      </c>
      <c r="P81" s="5" t="s">
        <v>355</v>
      </c>
      <c r="Q81" s="5" t="s">
        <v>355</v>
      </c>
    </row>
    <row r="82" ht="16.5" customHeight="1">
      <c r="O82" s="5" t="s">
        <v>355</v>
      </c>
      <c r="P82" s="5" t="s">
        <v>355</v>
      </c>
      <c r="Q82" s="5" t="s">
        <v>355</v>
      </c>
    </row>
    <row r="83" ht="16.5" customHeight="1">
      <c r="O83" s="5" t="s">
        <v>355</v>
      </c>
      <c r="P83" s="5" t="s">
        <v>355</v>
      </c>
      <c r="Q83" s="5" t="s">
        <v>355</v>
      </c>
    </row>
    <row r="84" ht="16.5" customHeight="1">
      <c r="O84" s="5" t="s">
        <v>355</v>
      </c>
      <c r="P84" s="5" t="s">
        <v>355</v>
      </c>
      <c r="Q84" s="5" t="s">
        <v>355</v>
      </c>
    </row>
    <row r="85" ht="16.5" customHeight="1">
      <c r="O85" s="5" t="s">
        <v>355</v>
      </c>
      <c r="P85" s="5" t="s">
        <v>355</v>
      </c>
      <c r="Q85" s="5" t="s">
        <v>355</v>
      </c>
    </row>
    <row r="86" ht="16.5" customHeight="1">
      <c r="O86" s="5" t="s">
        <v>355</v>
      </c>
      <c r="P86" s="5" t="s">
        <v>355</v>
      </c>
      <c r="Q86" s="5" t="s">
        <v>355</v>
      </c>
    </row>
    <row r="87" ht="16.5" customHeight="1">
      <c r="O87" s="5" t="s">
        <v>355</v>
      </c>
      <c r="P87" s="5" t="s">
        <v>355</v>
      </c>
      <c r="Q87" s="5" t="s">
        <v>355</v>
      </c>
    </row>
    <row r="88" ht="16.5" customHeight="1">
      <c r="O88" s="5" t="s">
        <v>355</v>
      </c>
      <c r="P88" s="5" t="s">
        <v>355</v>
      </c>
      <c r="Q88" s="5" t="s">
        <v>355</v>
      </c>
    </row>
    <row r="89" ht="16.5" customHeight="1">
      <c r="O89" s="5" t="s">
        <v>355</v>
      </c>
      <c r="P89" s="5" t="s">
        <v>355</v>
      </c>
      <c r="Q89" s="5" t="s">
        <v>355</v>
      </c>
    </row>
    <row r="90" ht="16.5" customHeight="1">
      <c r="O90" s="5" t="s">
        <v>355</v>
      </c>
      <c r="P90" s="5" t="s">
        <v>355</v>
      </c>
      <c r="Q90" s="5" t="s">
        <v>355</v>
      </c>
    </row>
    <row r="91" ht="16.5" customHeight="1">
      <c r="O91" s="5" t="s">
        <v>355</v>
      </c>
      <c r="P91" s="5" t="s">
        <v>355</v>
      </c>
      <c r="Q91" s="5" t="s">
        <v>355</v>
      </c>
    </row>
    <row r="92" ht="16.5" customHeight="1">
      <c r="O92" s="5" t="s">
        <v>355</v>
      </c>
      <c r="P92" s="5" t="s">
        <v>355</v>
      </c>
      <c r="Q92" s="5" t="s">
        <v>355</v>
      </c>
    </row>
    <row r="93" ht="16.5" customHeight="1">
      <c r="O93" s="5" t="s">
        <v>355</v>
      </c>
      <c r="P93" s="5" t="s">
        <v>355</v>
      </c>
      <c r="Q93" s="5" t="s">
        <v>355</v>
      </c>
    </row>
    <row r="94" ht="16.5" customHeight="1">
      <c r="O94" s="5" t="s">
        <v>355</v>
      </c>
      <c r="P94" s="5" t="s">
        <v>355</v>
      </c>
      <c r="Q94" s="5" t="s">
        <v>355</v>
      </c>
    </row>
    <row r="95" ht="16.5" customHeight="1">
      <c r="O95" s="5" t="s">
        <v>355</v>
      </c>
      <c r="P95" s="5" t="s">
        <v>355</v>
      </c>
      <c r="Q95" s="5" t="s">
        <v>355</v>
      </c>
    </row>
    <row r="96" ht="16.5" customHeight="1">
      <c r="O96" s="5" t="s">
        <v>355</v>
      </c>
      <c r="P96" s="5" t="s">
        <v>355</v>
      </c>
      <c r="Q96" s="5" t="s">
        <v>355</v>
      </c>
    </row>
    <row r="97" ht="16.5" customHeight="1">
      <c r="O97" s="5" t="s">
        <v>355</v>
      </c>
      <c r="P97" s="5" t="s">
        <v>355</v>
      </c>
      <c r="Q97" s="5" t="s">
        <v>355</v>
      </c>
    </row>
    <row r="98" ht="16.5" customHeight="1">
      <c r="O98" s="5" t="s">
        <v>355</v>
      </c>
      <c r="P98" s="5" t="s">
        <v>355</v>
      </c>
      <c r="Q98" s="5" t="s">
        <v>355</v>
      </c>
    </row>
    <row r="99" ht="16.5" customHeight="1">
      <c r="O99" s="5" t="s">
        <v>355</v>
      </c>
      <c r="P99" s="5" t="s">
        <v>355</v>
      </c>
      <c r="Q99" s="5" t="s">
        <v>355</v>
      </c>
    </row>
    <row r="100" ht="16.5" customHeight="1">
      <c r="O100" s="5" t="s">
        <v>355</v>
      </c>
      <c r="P100" s="5" t="s">
        <v>355</v>
      </c>
      <c r="Q100" s="5" t="s">
        <v>355</v>
      </c>
    </row>
    <row r="101" ht="16.5" customHeight="1">
      <c r="O101" s="5" t="s">
        <v>355</v>
      </c>
      <c r="P101" s="5" t="s">
        <v>355</v>
      </c>
      <c r="Q101" s="5" t="s">
        <v>355</v>
      </c>
    </row>
    <row r="102" ht="16.5" customHeight="1">
      <c r="O102" s="5" t="s">
        <v>355</v>
      </c>
      <c r="P102" s="5" t="s">
        <v>355</v>
      </c>
      <c r="Q102" s="5" t="s">
        <v>355</v>
      </c>
    </row>
    <row r="103" ht="16.5" customHeight="1">
      <c r="O103" s="5" t="s">
        <v>355</v>
      </c>
      <c r="P103" s="5" t="s">
        <v>355</v>
      </c>
      <c r="Q103" s="5" t="s">
        <v>355</v>
      </c>
    </row>
    <row r="104" ht="16.5" customHeight="1">
      <c r="O104" s="5" t="s">
        <v>355</v>
      </c>
      <c r="P104" s="5" t="s">
        <v>355</v>
      </c>
      <c r="Q104" s="5" t="s">
        <v>355</v>
      </c>
    </row>
    <row r="105" ht="16.5" customHeight="1">
      <c r="O105" s="5" t="s">
        <v>355</v>
      </c>
      <c r="P105" s="5" t="s">
        <v>355</v>
      </c>
      <c r="Q105" s="5" t="s">
        <v>355</v>
      </c>
    </row>
    <row r="106" ht="16.5" customHeight="1">
      <c r="O106" s="5" t="s">
        <v>355</v>
      </c>
      <c r="P106" s="5" t="s">
        <v>355</v>
      </c>
      <c r="Q106" s="5" t="s">
        <v>355</v>
      </c>
    </row>
    <row r="107" ht="16.5" customHeight="1">
      <c r="O107" s="5" t="s">
        <v>355</v>
      </c>
      <c r="P107" s="5" t="s">
        <v>355</v>
      </c>
      <c r="Q107" s="5" t="s">
        <v>355</v>
      </c>
    </row>
    <row r="108" ht="16.5" customHeight="1">
      <c r="O108" s="5" t="s">
        <v>355</v>
      </c>
      <c r="P108" s="5" t="s">
        <v>355</v>
      </c>
      <c r="Q108" s="5" t="s">
        <v>355</v>
      </c>
    </row>
    <row r="109" ht="16.5" customHeight="1">
      <c r="O109" s="5" t="s">
        <v>355</v>
      </c>
      <c r="P109" s="5" t="s">
        <v>355</v>
      </c>
      <c r="Q109" s="5" t="s">
        <v>355</v>
      </c>
    </row>
    <row r="110" ht="16.5" customHeight="1">
      <c r="O110" s="5" t="s">
        <v>355</v>
      </c>
      <c r="P110" s="5" t="s">
        <v>355</v>
      </c>
      <c r="Q110" s="5" t="s">
        <v>355</v>
      </c>
    </row>
    <row r="111" ht="16.5" customHeight="1">
      <c r="O111" s="5" t="s">
        <v>355</v>
      </c>
      <c r="P111" s="5" t="s">
        <v>355</v>
      </c>
      <c r="Q111" s="5" t="s">
        <v>355</v>
      </c>
    </row>
    <row r="112" ht="16.5" customHeight="1">
      <c r="O112" s="5" t="s">
        <v>355</v>
      </c>
      <c r="P112" s="5" t="s">
        <v>355</v>
      </c>
      <c r="Q112" s="5" t="s">
        <v>355</v>
      </c>
    </row>
    <row r="113" ht="16.5" customHeight="1">
      <c r="O113" s="5" t="s">
        <v>355</v>
      </c>
      <c r="P113" s="5" t="s">
        <v>355</v>
      </c>
      <c r="Q113" s="5" t="s">
        <v>355</v>
      </c>
    </row>
    <row r="114" ht="16.5" customHeight="1">
      <c r="O114" s="5" t="s">
        <v>355</v>
      </c>
      <c r="P114" s="5" t="s">
        <v>355</v>
      </c>
      <c r="Q114" s="5" t="s">
        <v>355</v>
      </c>
    </row>
    <row r="115" ht="16.5" customHeight="1">
      <c r="O115" s="5" t="s">
        <v>355</v>
      </c>
      <c r="P115" s="5" t="s">
        <v>355</v>
      </c>
      <c r="Q115" s="5" t="s">
        <v>355</v>
      </c>
    </row>
    <row r="116" ht="16.5" customHeight="1">
      <c r="O116" s="5" t="s">
        <v>355</v>
      </c>
      <c r="P116" s="5" t="s">
        <v>355</v>
      </c>
      <c r="Q116" s="5" t="s">
        <v>355</v>
      </c>
    </row>
    <row r="117" ht="16.5" customHeight="1">
      <c r="O117" s="5" t="s">
        <v>355</v>
      </c>
      <c r="P117" s="5" t="s">
        <v>355</v>
      </c>
      <c r="Q117" s="5" t="s">
        <v>355</v>
      </c>
    </row>
    <row r="118" ht="16.5" customHeight="1">
      <c r="O118" s="5" t="s">
        <v>355</v>
      </c>
      <c r="P118" s="5" t="s">
        <v>355</v>
      </c>
      <c r="Q118" s="5" t="s">
        <v>355</v>
      </c>
    </row>
    <row r="119" ht="16.5" customHeight="1">
      <c r="O119" s="5" t="s">
        <v>355</v>
      </c>
      <c r="P119" s="5" t="s">
        <v>355</v>
      </c>
      <c r="Q119" s="5" t="s">
        <v>355</v>
      </c>
    </row>
    <row r="120" ht="16.5" customHeight="1">
      <c r="O120" s="5" t="s">
        <v>355</v>
      </c>
      <c r="P120" s="5" t="s">
        <v>355</v>
      </c>
      <c r="Q120" s="5" t="s">
        <v>355</v>
      </c>
    </row>
    <row r="121" ht="16.5" customHeight="1">
      <c r="O121" s="5" t="s">
        <v>355</v>
      </c>
      <c r="P121" s="5" t="s">
        <v>355</v>
      </c>
      <c r="Q121" s="5" t="s">
        <v>355</v>
      </c>
    </row>
    <row r="122" ht="16.5" customHeight="1">
      <c r="O122" s="5" t="s">
        <v>355</v>
      </c>
      <c r="P122" s="5" t="s">
        <v>355</v>
      </c>
      <c r="Q122" s="5" t="s">
        <v>355</v>
      </c>
    </row>
    <row r="123" ht="16.5" customHeight="1">
      <c r="O123" s="5" t="s">
        <v>355</v>
      </c>
      <c r="P123" s="5" t="s">
        <v>355</v>
      </c>
      <c r="Q123" s="5" t="s">
        <v>355</v>
      </c>
    </row>
    <row r="124" ht="16.5" customHeight="1">
      <c r="O124" s="5" t="s">
        <v>355</v>
      </c>
      <c r="P124" s="5" t="s">
        <v>355</v>
      </c>
      <c r="Q124" s="5" t="s">
        <v>355</v>
      </c>
    </row>
    <row r="125" ht="16.5" customHeight="1">
      <c r="O125" s="5" t="s">
        <v>355</v>
      </c>
      <c r="P125" s="5" t="s">
        <v>355</v>
      </c>
      <c r="Q125" s="5" t="s">
        <v>355</v>
      </c>
    </row>
    <row r="126" ht="16.5" customHeight="1">
      <c r="O126" s="5" t="s">
        <v>355</v>
      </c>
      <c r="P126" s="5" t="s">
        <v>355</v>
      </c>
      <c r="Q126" s="5" t="s">
        <v>355</v>
      </c>
    </row>
    <row r="127" ht="16.5" customHeight="1">
      <c r="O127" s="5" t="s">
        <v>355</v>
      </c>
      <c r="P127" s="5" t="s">
        <v>355</v>
      </c>
      <c r="Q127" s="5" t="s">
        <v>355</v>
      </c>
    </row>
    <row r="128" ht="16.5" customHeight="1">
      <c r="O128" s="5" t="s">
        <v>355</v>
      </c>
      <c r="P128" s="5" t="s">
        <v>355</v>
      </c>
      <c r="Q128" s="5" t="s">
        <v>355</v>
      </c>
    </row>
    <row r="129" ht="16.5" customHeight="1">
      <c r="O129" s="5" t="s">
        <v>355</v>
      </c>
      <c r="P129" s="5" t="s">
        <v>355</v>
      </c>
      <c r="Q129" s="5" t="s">
        <v>355</v>
      </c>
    </row>
    <row r="130" ht="16.5" customHeight="1">
      <c r="O130" s="5" t="s">
        <v>355</v>
      </c>
      <c r="P130" s="5" t="s">
        <v>355</v>
      </c>
      <c r="Q130" s="5" t="s">
        <v>355</v>
      </c>
    </row>
    <row r="131" ht="16.5" customHeight="1">
      <c r="O131" s="5" t="s">
        <v>355</v>
      </c>
      <c r="P131" s="5" t="s">
        <v>355</v>
      </c>
      <c r="Q131" s="5" t="s">
        <v>355</v>
      </c>
    </row>
    <row r="132" ht="16.5" customHeight="1">
      <c r="O132" s="5" t="s">
        <v>355</v>
      </c>
      <c r="P132" s="5" t="s">
        <v>355</v>
      </c>
      <c r="Q132" s="5" t="s">
        <v>355</v>
      </c>
    </row>
    <row r="133" ht="16.5" customHeight="1">
      <c r="O133" s="5" t="s">
        <v>355</v>
      </c>
      <c r="P133" s="5" t="s">
        <v>355</v>
      </c>
      <c r="Q133" s="5" t="s">
        <v>355</v>
      </c>
    </row>
    <row r="134" ht="16.5" customHeight="1">
      <c r="O134" s="5" t="s">
        <v>355</v>
      </c>
      <c r="P134" s="5" t="s">
        <v>355</v>
      </c>
      <c r="Q134" s="5" t="s">
        <v>355</v>
      </c>
    </row>
    <row r="135" ht="16.5" customHeight="1">
      <c r="O135" s="5" t="s">
        <v>355</v>
      </c>
      <c r="P135" s="5" t="s">
        <v>355</v>
      </c>
      <c r="Q135" s="5" t="s">
        <v>355</v>
      </c>
    </row>
    <row r="136" ht="16.5" customHeight="1">
      <c r="O136" s="5" t="s">
        <v>355</v>
      </c>
      <c r="P136" s="5" t="s">
        <v>355</v>
      </c>
      <c r="Q136" s="5" t="s">
        <v>355</v>
      </c>
    </row>
    <row r="137" ht="16.5" customHeight="1">
      <c r="O137" s="5" t="s">
        <v>355</v>
      </c>
      <c r="P137" s="5" t="s">
        <v>355</v>
      </c>
      <c r="Q137" s="5" t="s">
        <v>355</v>
      </c>
    </row>
    <row r="138" ht="16.5" customHeight="1">
      <c r="O138" s="5" t="s">
        <v>355</v>
      </c>
      <c r="P138" s="5" t="s">
        <v>355</v>
      </c>
      <c r="Q138" s="5" t="s">
        <v>355</v>
      </c>
    </row>
    <row r="139" ht="16.5" customHeight="1">
      <c r="O139" s="5" t="s">
        <v>355</v>
      </c>
      <c r="P139" s="5" t="s">
        <v>355</v>
      </c>
      <c r="Q139" s="5" t="s">
        <v>355</v>
      </c>
    </row>
    <row r="140" ht="16.5" customHeight="1">
      <c r="O140" s="5" t="s">
        <v>355</v>
      </c>
      <c r="P140" s="5" t="s">
        <v>355</v>
      </c>
      <c r="Q140" s="5" t="s">
        <v>355</v>
      </c>
    </row>
    <row r="141" ht="16.5" customHeight="1">
      <c r="O141" s="5" t="s">
        <v>355</v>
      </c>
      <c r="P141" s="5" t="s">
        <v>355</v>
      </c>
      <c r="Q141" s="5" t="s">
        <v>355</v>
      </c>
    </row>
    <row r="142" ht="16.5" customHeight="1">
      <c r="O142" s="5" t="s">
        <v>355</v>
      </c>
      <c r="P142" s="5" t="s">
        <v>355</v>
      </c>
      <c r="Q142" s="5" t="s">
        <v>355</v>
      </c>
    </row>
    <row r="143" ht="16.5" customHeight="1">
      <c r="O143" s="5" t="s">
        <v>355</v>
      </c>
      <c r="P143" s="5" t="s">
        <v>355</v>
      </c>
      <c r="Q143" s="5" t="s">
        <v>355</v>
      </c>
    </row>
    <row r="144" ht="16.5" customHeight="1">
      <c r="O144" s="5" t="s">
        <v>355</v>
      </c>
      <c r="P144" s="5" t="s">
        <v>355</v>
      </c>
      <c r="Q144" s="5" t="s">
        <v>355</v>
      </c>
    </row>
    <row r="145" ht="16.5" customHeight="1">
      <c r="O145" s="5" t="s">
        <v>355</v>
      </c>
      <c r="P145" s="5" t="s">
        <v>355</v>
      </c>
      <c r="Q145" s="5" t="s">
        <v>355</v>
      </c>
    </row>
    <row r="146" ht="16.5" customHeight="1">
      <c r="O146" s="5" t="s">
        <v>355</v>
      </c>
      <c r="P146" s="5" t="s">
        <v>355</v>
      </c>
      <c r="Q146" s="5" t="s">
        <v>355</v>
      </c>
    </row>
    <row r="147" ht="16.5" customHeight="1">
      <c r="O147" s="5" t="s">
        <v>355</v>
      </c>
      <c r="P147" s="5" t="s">
        <v>355</v>
      </c>
      <c r="Q147" s="5" t="s">
        <v>355</v>
      </c>
    </row>
    <row r="148" ht="16.5" customHeight="1">
      <c r="O148" s="5" t="s">
        <v>355</v>
      </c>
      <c r="P148" s="5" t="s">
        <v>355</v>
      </c>
      <c r="Q148" s="5" t="s">
        <v>355</v>
      </c>
    </row>
    <row r="149" ht="16.5" customHeight="1">
      <c r="O149" s="5" t="s">
        <v>355</v>
      </c>
      <c r="P149" s="5" t="s">
        <v>355</v>
      </c>
      <c r="Q149" s="5" t="s">
        <v>355</v>
      </c>
    </row>
    <row r="150" ht="16.5" customHeight="1">
      <c r="O150" s="5" t="s">
        <v>355</v>
      </c>
      <c r="P150" s="5" t="s">
        <v>355</v>
      </c>
      <c r="Q150" s="5" t="s">
        <v>355</v>
      </c>
    </row>
    <row r="151" ht="16.5" customHeight="1">
      <c r="O151" s="5" t="s">
        <v>355</v>
      </c>
      <c r="P151" s="5" t="s">
        <v>355</v>
      </c>
      <c r="Q151" s="5" t="s">
        <v>355</v>
      </c>
    </row>
    <row r="152" ht="16.5" customHeight="1">
      <c r="O152" s="5" t="s">
        <v>355</v>
      </c>
      <c r="P152" s="5" t="s">
        <v>355</v>
      </c>
      <c r="Q152" s="5" t="s">
        <v>355</v>
      </c>
    </row>
    <row r="153" ht="16.5" customHeight="1">
      <c r="O153" s="5" t="s">
        <v>355</v>
      </c>
      <c r="P153" s="5" t="s">
        <v>355</v>
      </c>
      <c r="Q153" s="5" t="s">
        <v>355</v>
      </c>
    </row>
    <row r="154" ht="16.5" customHeight="1">
      <c r="O154" s="5" t="s">
        <v>355</v>
      </c>
      <c r="P154" s="5" t="s">
        <v>355</v>
      </c>
      <c r="Q154" s="5" t="s">
        <v>355</v>
      </c>
    </row>
    <row r="155" ht="16.5" customHeight="1">
      <c r="O155" s="5" t="s">
        <v>355</v>
      </c>
      <c r="P155" s="5" t="s">
        <v>355</v>
      </c>
      <c r="Q155" s="5" t="s">
        <v>355</v>
      </c>
    </row>
    <row r="156" ht="16.5" customHeight="1">
      <c r="O156" s="5" t="s">
        <v>355</v>
      </c>
      <c r="P156" s="5" t="s">
        <v>355</v>
      </c>
      <c r="Q156" s="5" t="s">
        <v>355</v>
      </c>
    </row>
    <row r="157" ht="16.5" customHeight="1">
      <c r="O157" s="5" t="s">
        <v>355</v>
      </c>
      <c r="P157" s="5" t="s">
        <v>355</v>
      </c>
      <c r="Q157" s="5" t="s">
        <v>355</v>
      </c>
    </row>
    <row r="158" ht="16.5" customHeight="1">
      <c r="O158" s="5" t="s">
        <v>355</v>
      </c>
      <c r="P158" s="5" t="s">
        <v>355</v>
      </c>
      <c r="Q158" s="5" t="s">
        <v>355</v>
      </c>
    </row>
    <row r="159" ht="16.5" customHeight="1">
      <c r="O159" s="5" t="s">
        <v>355</v>
      </c>
      <c r="P159" s="5" t="s">
        <v>355</v>
      </c>
      <c r="Q159" s="5" t="s">
        <v>355</v>
      </c>
    </row>
    <row r="160" ht="16.5" customHeight="1">
      <c r="O160" s="5" t="s">
        <v>355</v>
      </c>
      <c r="P160" s="5" t="s">
        <v>355</v>
      </c>
      <c r="Q160" s="5" t="s">
        <v>355</v>
      </c>
    </row>
    <row r="161" ht="16.5" customHeight="1">
      <c r="O161" s="5" t="s">
        <v>355</v>
      </c>
      <c r="P161" s="5" t="s">
        <v>355</v>
      </c>
      <c r="Q161" s="5" t="s">
        <v>355</v>
      </c>
    </row>
    <row r="162" ht="16.5" customHeight="1">
      <c r="O162" s="5" t="s">
        <v>355</v>
      </c>
      <c r="P162" s="5" t="s">
        <v>355</v>
      </c>
      <c r="Q162" s="5" t="s">
        <v>355</v>
      </c>
    </row>
    <row r="163" ht="16.5" customHeight="1">
      <c r="O163" s="5" t="s">
        <v>355</v>
      </c>
      <c r="P163" s="5" t="s">
        <v>355</v>
      </c>
      <c r="Q163" s="5" t="s">
        <v>355</v>
      </c>
    </row>
    <row r="164" ht="16.5" customHeight="1">
      <c r="O164" s="5" t="s">
        <v>355</v>
      </c>
      <c r="P164" s="5" t="s">
        <v>355</v>
      </c>
      <c r="Q164" s="5" t="s">
        <v>355</v>
      </c>
    </row>
    <row r="165" ht="16.5" customHeight="1">
      <c r="O165" s="5" t="s">
        <v>355</v>
      </c>
      <c r="P165" s="5" t="s">
        <v>355</v>
      </c>
      <c r="Q165" s="5" t="s">
        <v>355</v>
      </c>
    </row>
    <row r="166" ht="16.5" customHeight="1">
      <c r="O166" s="5" t="s">
        <v>355</v>
      </c>
      <c r="P166" s="5" t="s">
        <v>355</v>
      </c>
      <c r="Q166" s="5" t="s">
        <v>355</v>
      </c>
    </row>
    <row r="167" ht="16.5" customHeight="1">
      <c r="O167" s="5" t="s">
        <v>355</v>
      </c>
      <c r="P167" s="5" t="s">
        <v>355</v>
      </c>
      <c r="Q167" s="5" t="s">
        <v>355</v>
      </c>
    </row>
    <row r="168" ht="16.5" customHeight="1">
      <c r="O168" s="5" t="s">
        <v>355</v>
      </c>
      <c r="P168" s="5" t="s">
        <v>355</v>
      </c>
      <c r="Q168" s="5" t="s">
        <v>355</v>
      </c>
    </row>
    <row r="169" ht="16.5" customHeight="1">
      <c r="O169" s="5" t="s">
        <v>355</v>
      </c>
      <c r="P169" s="5" t="s">
        <v>355</v>
      </c>
      <c r="Q169" s="5" t="s">
        <v>355</v>
      </c>
    </row>
    <row r="170" ht="16.5" customHeight="1">
      <c r="O170" s="5" t="s">
        <v>355</v>
      </c>
      <c r="P170" s="5" t="s">
        <v>355</v>
      </c>
      <c r="Q170" s="5" t="s">
        <v>355</v>
      </c>
    </row>
    <row r="171" ht="16.5" customHeight="1">
      <c r="O171" s="5" t="s">
        <v>355</v>
      </c>
      <c r="P171" s="5" t="s">
        <v>355</v>
      </c>
      <c r="Q171" s="5" t="s">
        <v>355</v>
      </c>
    </row>
    <row r="172" ht="16.5" customHeight="1">
      <c r="O172" s="5" t="s">
        <v>355</v>
      </c>
      <c r="P172" s="5" t="s">
        <v>355</v>
      </c>
      <c r="Q172" s="5" t="s">
        <v>355</v>
      </c>
    </row>
    <row r="173" ht="16.5" customHeight="1">
      <c r="O173" s="5" t="s">
        <v>355</v>
      </c>
      <c r="P173" s="5" t="s">
        <v>355</v>
      </c>
      <c r="Q173" s="5" t="s">
        <v>355</v>
      </c>
    </row>
    <row r="174" ht="16.5" customHeight="1">
      <c r="O174" s="5" t="s">
        <v>355</v>
      </c>
      <c r="P174" s="5" t="s">
        <v>355</v>
      </c>
      <c r="Q174" s="5" t="s">
        <v>355</v>
      </c>
    </row>
    <row r="175" ht="16.5" customHeight="1">
      <c r="O175" s="5" t="s">
        <v>355</v>
      </c>
      <c r="P175" s="5" t="s">
        <v>355</v>
      </c>
      <c r="Q175" s="5" t="s">
        <v>355</v>
      </c>
    </row>
    <row r="176" ht="16.5" customHeight="1">
      <c r="O176" s="5" t="s">
        <v>355</v>
      </c>
      <c r="P176" s="5" t="s">
        <v>355</v>
      </c>
      <c r="Q176" s="5" t="s">
        <v>355</v>
      </c>
    </row>
    <row r="177" ht="16.5" customHeight="1">
      <c r="O177" s="5" t="s">
        <v>355</v>
      </c>
      <c r="P177" s="5" t="s">
        <v>355</v>
      </c>
      <c r="Q177" s="5" t="s">
        <v>355</v>
      </c>
    </row>
    <row r="178" ht="16.5" customHeight="1">
      <c r="O178" s="5" t="s">
        <v>355</v>
      </c>
      <c r="P178" s="5" t="s">
        <v>355</v>
      </c>
      <c r="Q178" s="5" t="s">
        <v>355</v>
      </c>
    </row>
    <row r="179" ht="16.5" customHeight="1">
      <c r="O179" s="5" t="s">
        <v>355</v>
      </c>
      <c r="P179" s="5" t="s">
        <v>355</v>
      </c>
      <c r="Q179" s="5" t="s">
        <v>355</v>
      </c>
    </row>
    <row r="180" ht="16.5" customHeight="1">
      <c r="O180" s="5" t="s">
        <v>355</v>
      </c>
      <c r="P180" s="5" t="s">
        <v>355</v>
      </c>
      <c r="Q180" s="5" t="s">
        <v>355</v>
      </c>
    </row>
    <row r="181" ht="16.5" customHeight="1">
      <c r="O181" s="5" t="s">
        <v>355</v>
      </c>
      <c r="P181" s="5" t="s">
        <v>355</v>
      </c>
      <c r="Q181" s="5" t="s">
        <v>355</v>
      </c>
    </row>
    <row r="182" ht="16.5" customHeight="1">
      <c r="O182" s="5" t="s">
        <v>355</v>
      </c>
      <c r="P182" s="5" t="s">
        <v>355</v>
      </c>
      <c r="Q182" s="5" t="s">
        <v>355</v>
      </c>
    </row>
    <row r="183" ht="16.5" customHeight="1">
      <c r="O183" s="5" t="s">
        <v>355</v>
      </c>
      <c r="P183" s="5" t="s">
        <v>355</v>
      </c>
      <c r="Q183" s="5" t="s">
        <v>355</v>
      </c>
    </row>
    <row r="184" ht="16.5" customHeight="1">
      <c r="O184" s="5" t="s">
        <v>355</v>
      </c>
      <c r="P184" s="5" t="s">
        <v>355</v>
      </c>
      <c r="Q184" s="5" t="s">
        <v>355</v>
      </c>
    </row>
    <row r="185" ht="16.5" customHeight="1">
      <c r="O185" s="5" t="s">
        <v>355</v>
      </c>
      <c r="P185" s="5" t="s">
        <v>355</v>
      </c>
      <c r="Q185" s="5" t="s">
        <v>355</v>
      </c>
    </row>
    <row r="186" ht="16.5" customHeight="1">
      <c r="O186" s="5" t="s">
        <v>355</v>
      </c>
      <c r="P186" s="5" t="s">
        <v>355</v>
      </c>
      <c r="Q186" s="5" t="s">
        <v>355</v>
      </c>
    </row>
    <row r="187" ht="16.5" customHeight="1">
      <c r="O187" s="5" t="s">
        <v>355</v>
      </c>
      <c r="P187" s="5" t="s">
        <v>355</v>
      </c>
      <c r="Q187" s="5" t="s">
        <v>355</v>
      </c>
    </row>
    <row r="188" ht="16.5" customHeight="1">
      <c r="O188" s="5" t="s">
        <v>355</v>
      </c>
      <c r="P188" s="5" t="s">
        <v>355</v>
      </c>
      <c r="Q188" s="5" t="s">
        <v>355</v>
      </c>
    </row>
    <row r="189" ht="16.5" customHeight="1">
      <c r="O189" s="5" t="s">
        <v>355</v>
      </c>
      <c r="P189" s="5" t="s">
        <v>355</v>
      </c>
      <c r="Q189" s="5" t="s">
        <v>355</v>
      </c>
    </row>
    <row r="190" ht="16.5" customHeight="1">
      <c r="O190" s="5" t="s">
        <v>355</v>
      </c>
      <c r="P190" s="5" t="s">
        <v>355</v>
      </c>
      <c r="Q190" s="5" t="s">
        <v>355</v>
      </c>
    </row>
    <row r="191" ht="16.5" customHeight="1">
      <c r="O191" s="5" t="s">
        <v>355</v>
      </c>
      <c r="P191" s="5" t="s">
        <v>355</v>
      </c>
      <c r="Q191" s="5" t="s">
        <v>355</v>
      </c>
    </row>
    <row r="192" ht="16.5" customHeight="1">
      <c r="O192" s="5" t="s">
        <v>355</v>
      </c>
      <c r="P192" s="5" t="s">
        <v>355</v>
      </c>
      <c r="Q192" s="5" t="s">
        <v>355</v>
      </c>
    </row>
    <row r="193" ht="16.5" customHeight="1">
      <c r="O193" s="5" t="s">
        <v>355</v>
      </c>
      <c r="P193" s="5" t="s">
        <v>355</v>
      </c>
      <c r="Q193" s="5" t="s">
        <v>355</v>
      </c>
    </row>
    <row r="194" ht="16.5" customHeight="1">
      <c r="O194" s="5" t="s">
        <v>355</v>
      </c>
      <c r="P194" s="5" t="s">
        <v>355</v>
      </c>
      <c r="Q194" s="5" t="s">
        <v>355</v>
      </c>
    </row>
    <row r="195" ht="16.5" customHeight="1">
      <c r="O195" s="5" t="s">
        <v>355</v>
      </c>
      <c r="P195" s="5" t="s">
        <v>355</v>
      </c>
      <c r="Q195" s="5" t="s">
        <v>355</v>
      </c>
    </row>
    <row r="196" ht="16.5" customHeight="1">
      <c r="O196" s="5" t="s">
        <v>355</v>
      </c>
      <c r="P196" s="5" t="s">
        <v>355</v>
      </c>
      <c r="Q196" s="5" t="s">
        <v>355</v>
      </c>
    </row>
    <row r="197" ht="16.5" customHeight="1">
      <c r="O197" s="5" t="s">
        <v>355</v>
      </c>
      <c r="P197" s="5" t="s">
        <v>355</v>
      </c>
      <c r="Q197" s="5" t="s">
        <v>355</v>
      </c>
    </row>
    <row r="198" ht="16.5" customHeight="1">
      <c r="O198" s="5" t="s">
        <v>355</v>
      </c>
      <c r="P198" s="5" t="s">
        <v>355</v>
      </c>
      <c r="Q198" s="5" t="s">
        <v>355</v>
      </c>
    </row>
    <row r="199" ht="16.5" customHeight="1">
      <c r="O199" s="5" t="s">
        <v>355</v>
      </c>
      <c r="P199" s="5" t="s">
        <v>355</v>
      </c>
      <c r="Q199" s="5" t="s">
        <v>355</v>
      </c>
    </row>
    <row r="200" ht="16.5" customHeight="1">
      <c r="O200" s="5" t="s">
        <v>355</v>
      </c>
      <c r="P200" s="5" t="s">
        <v>355</v>
      </c>
      <c r="Q200" s="5" t="s">
        <v>355</v>
      </c>
    </row>
    <row r="201" ht="16.5" customHeight="1">
      <c r="O201" s="5" t="s">
        <v>355</v>
      </c>
      <c r="P201" s="5" t="s">
        <v>355</v>
      </c>
      <c r="Q201" s="5" t="s">
        <v>355</v>
      </c>
    </row>
    <row r="202" ht="16.5" customHeight="1">
      <c r="O202" s="5" t="s">
        <v>355</v>
      </c>
      <c r="P202" s="5" t="s">
        <v>355</v>
      </c>
      <c r="Q202" s="5" t="s">
        <v>355</v>
      </c>
    </row>
    <row r="203" ht="16.5" customHeight="1">
      <c r="O203" s="5" t="s">
        <v>355</v>
      </c>
      <c r="P203" s="5" t="s">
        <v>355</v>
      </c>
      <c r="Q203" s="5" t="s">
        <v>355</v>
      </c>
    </row>
    <row r="204" ht="16.5" customHeight="1">
      <c r="O204" s="5" t="s">
        <v>355</v>
      </c>
      <c r="P204" s="5" t="s">
        <v>355</v>
      </c>
      <c r="Q204" s="5" t="s">
        <v>355</v>
      </c>
    </row>
    <row r="205" ht="16.5" customHeight="1">
      <c r="O205" s="5" t="s">
        <v>355</v>
      </c>
      <c r="P205" s="5" t="s">
        <v>355</v>
      </c>
      <c r="Q205" s="5" t="s">
        <v>355</v>
      </c>
    </row>
    <row r="206" ht="16.5" customHeight="1">
      <c r="O206" s="5" t="s">
        <v>355</v>
      </c>
      <c r="P206" s="5" t="s">
        <v>355</v>
      </c>
      <c r="Q206" s="5" t="s">
        <v>355</v>
      </c>
    </row>
    <row r="207" ht="16.5" customHeight="1">
      <c r="O207" s="5" t="s">
        <v>355</v>
      </c>
      <c r="P207" s="5" t="s">
        <v>355</v>
      </c>
      <c r="Q207" s="5" t="s">
        <v>355</v>
      </c>
    </row>
    <row r="208" ht="16.5" customHeight="1">
      <c r="O208" s="5" t="s">
        <v>355</v>
      </c>
      <c r="P208" s="5" t="s">
        <v>355</v>
      </c>
      <c r="Q208" s="5" t="s">
        <v>355</v>
      </c>
    </row>
    <row r="209" ht="16.5" customHeight="1">
      <c r="O209" s="5" t="s">
        <v>355</v>
      </c>
      <c r="P209" s="5" t="s">
        <v>355</v>
      </c>
      <c r="Q209" s="5" t="s">
        <v>355</v>
      </c>
    </row>
    <row r="210" ht="16.5" customHeight="1">
      <c r="O210" s="5" t="s">
        <v>355</v>
      </c>
      <c r="P210" s="5" t="s">
        <v>355</v>
      </c>
      <c r="Q210" s="5" t="s">
        <v>355</v>
      </c>
    </row>
    <row r="211" ht="16.5" customHeight="1">
      <c r="O211" s="5" t="s">
        <v>355</v>
      </c>
      <c r="P211" s="5" t="s">
        <v>355</v>
      </c>
      <c r="Q211" s="5" t="s">
        <v>355</v>
      </c>
    </row>
    <row r="212" ht="16.5" customHeight="1">
      <c r="O212" s="5" t="s">
        <v>355</v>
      </c>
      <c r="P212" s="5" t="s">
        <v>355</v>
      </c>
      <c r="Q212" s="5" t="s">
        <v>355</v>
      </c>
    </row>
    <row r="213" ht="16.5" customHeight="1">
      <c r="O213" s="5" t="s">
        <v>355</v>
      </c>
      <c r="P213" s="5" t="s">
        <v>355</v>
      </c>
      <c r="Q213" s="5" t="s">
        <v>355</v>
      </c>
    </row>
    <row r="214" ht="16.5" customHeight="1">
      <c r="O214" s="5" t="s">
        <v>355</v>
      </c>
      <c r="P214" s="5" t="s">
        <v>355</v>
      </c>
      <c r="Q214" s="5" t="s">
        <v>355</v>
      </c>
    </row>
    <row r="215" ht="16.5" customHeight="1">
      <c r="O215" s="5" t="s">
        <v>355</v>
      </c>
      <c r="P215" s="5" t="s">
        <v>355</v>
      </c>
      <c r="Q215" s="5" t="s">
        <v>355</v>
      </c>
    </row>
    <row r="216" ht="16.5" customHeight="1">
      <c r="O216" s="5" t="s">
        <v>355</v>
      </c>
      <c r="P216" s="5" t="s">
        <v>355</v>
      </c>
      <c r="Q216" s="5" t="s">
        <v>355</v>
      </c>
    </row>
    <row r="217" ht="16.5" customHeight="1">
      <c r="O217" s="5" t="s">
        <v>355</v>
      </c>
      <c r="P217" s="5" t="s">
        <v>355</v>
      </c>
      <c r="Q217" s="5" t="s">
        <v>355</v>
      </c>
    </row>
    <row r="218" ht="16.5" customHeight="1">
      <c r="O218" s="5" t="s">
        <v>355</v>
      </c>
      <c r="P218" s="5" t="s">
        <v>355</v>
      </c>
      <c r="Q218" s="5" t="s">
        <v>355</v>
      </c>
    </row>
    <row r="219" ht="16.5" customHeight="1">
      <c r="O219" s="5" t="s">
        <v>355</v>
      </c>
      <c r="P219" s="5" t="s">
        <v>355</v>
      </c>
      <c r="Q219" s="5" t="s">
        <v>355</v>
      </c>
    </row>
    <row r="220" ht="16.5" customHeight="1">
      <c r="O220" s="5" t="s">
        <v>355</v>
      </c>
      <c r="P220" s="5" t="s">
        <v>355</v>
      </c>
      <c r="Q220" s="5" t="s">
        <v>355</v>
      </c>
    </row>
    <row r="221" ht="16.5" customHeight="1">
      <c r="O221" s="5" t="s">
        <v>355</v>
      </c>
      <c r="P221" s="5" t="s">
        <v>355</v>
      </c>
      <c r="Q221" s="5" t="s">
        <v>355</v>
      </c>
    </row>
    <row r="222" ht="16.5" customHeight="1">
      <c r="O222" s="5" t="s">
        <v>355</v>
      </c>
      <c r="P222" s="5" t="s">
        <v>355</v>
      </c>
      <c r="Q222" s="5" t="s">
        <v>355</v>
      </c>
    </row>
    <row r="223" ht="16.5" customHeight="1">
      <c r="O223" s="5" t="s">
        <v>355</v>
      </c>
      <c r="P223" s="5" t="s">
        <v>355</v>
      </c>
      <c r="Q223" s="5" t="s">
        <v>355</v>
      </c>
    </row>
    <row r="224" ht="16.5" customHeight="1">
      <c r="O224" s="5" t="s">
        <v>355</v>
      </c>
      <c r="P224" s="5" t="s">
        <v>355</v>
      </c>
      <c r="Q224" s="5" t="s">
        <v>355</v>
      </c>
    </row>
    <row r="225" ht="16.5" customHeight="1">
      <c r="O225" s="5" t="s">
        <v>355</v>
      </c>
      <c r="P225" s="5" t="s">
        <v>355</v>
      </c>
      <c r="Q225" s="5" t="s">
        <v>355</v>
      </c>
    </row>
    <row r="226" ht="16.5" customHeight="1">
      <c r="O226" s="5" t="s">
        <v>355</v>
      </c>
      <c r="P226" s="5" t="s">
        <v>355</v>
      </c>
      <c r="Q226" s="5" t="s">
        <v>355</v>
      </c>
    </row>
    <row r="227" ht="16.5" customHeight="1">
      <c r="O227" s="5" t="s">
        <v>355</v>
      </c>
      <c r="P227" s="5" t="s">
        <v>355</v>
      </c>
      <c r="Q227" s="5" t="s">
        <v>355</v>
      </c>
    </row>
    <row r="228" ht="16.5" customHeight="1">
      <c r="O228" s="5" t="s">
        <v>355</v>
      </c>
      <c r="P228" s="5" t="s">
        <v>355</v>
      </c>
      <c r="Q228" s="5" t="s">
        <v>355</v>
      </c>
    </row>
    <row r="229" ht="16.5" customHeight="1">
      <c r="O229" s="5" t="s">
        <v>355</v>
      </c>
      <c r="P229" s="5" t="s">
        <v>355</v>
      </c>
      <c r="Q229" s="5" t="s">
        <v>355</v>
      </c>
    </row>
    <row r="230" ht="16.5" customHeight="1">
      <c r="O230" s="5" t="s">
        <v>355</v>
      </c>
      <c r="P230" s="5" t="s">
        <v>355</v>
      </c>
      <c r="Q230" s="5" t="s">
        <v>355</v>
      </c>
    </row>
    <row r="231" ht="16.5" customHeight="1">
      <c r="O231" s="5" t="s">
        <v>355</v>
      </c>
      <c r="P231" s="5" t="s">
        <v>355</v>
      </c>
      <c r="Q231" s="5" t="s">
        <v>355</v>
      </c>
    </row>
    <row r="232" ht="16.5" customHeight="1">
      <c r="O232" s="5" t="s">
        <v>355</v>
      </c>
      <c r="P232" s="5" t="s">
        <v>355</v>
      </c>
      <c r="Q232" s="5" t="s">
        <v>355</v>
      </c>
    </row>
    <row r="233" ht="16.5" customHeight="1">
      <c r="O233" s="5" t="s">
        <v>355</v>
      </c>
      <c r="P233" s="5" t="s">
        <v>355</v>
      </c>
      <c r="Q233" s="5" t="s">
        <v>355</v>
      </c>
    </row>
    <row r="234" ht="16.5" customHeight="1">
      <c r="O234" s="5" t="s">
        <v>355</v>
      </c>
      <c r="P234" s="5" t="s">
        <v>355</v>
      </c>
      <c r="Q234" s="5" t="s">
        <v>355</v>
      </c>
    </row>
    <row r="235" ht="16.5" customHeight="1">
      <c r="O235" s="5" t="s">
        <v>355</v>
      </c>
      <c r="P235" s="5" t="s">
        <v>355</v>
      </c>
      <c r="Q235" s="5" t="s">
        <v>355</v>
      </c>
    </row>
    <row r="236" ht="16.5" customHeight="1">
      <c r="O236" s="5" t="s">
        <v>355</v>
      </c>
      <c r="P236" s="5" t="s">
        <v>355</v>
      </c>
      <c r="Q236" s="5" t="s">
        <v>355</v>
      </c>
    </row>
    <row r="237" ht="16.5" customHeight="1">
      <c r="O237" s="5" t="s">
        <v>355</v>
      </c>
      <c r="P237" s="5" t="s">
        <v>355</v>
      </c>
      <c r="Q237" s="5" t="s">
        <v>355</v>
      </c>
    </row>
    <row r="238" ht="16.5" customHeight="1">
      <c r="O238" s="5" t="s">
        <v>355</v>
      </c>
      <c r="P238" s="5" t="s">
        <v>355</v>
      </c>
      <c r="Q238" s="5" t="s">
        <v>355</v>
      </c>
    </row>
    <row r="239" ht="16.5" customHeight="1">
      <c r="O239" s="5" t="s">
        <v>355</v>
      </c>
      <c r="P239" s="5" t="s">
        <v>355</v>
      </c>
      <c r="Q239" s="5" t="s">
        <v>355</v>
      </c>
    </row>
    <row r="240" ht="16.5" customHeight="1">
      <c r="O240" s="5" t="s">
        <v>355</v>
      </c>
      <c r="P240" s="5" t="s">
        <v>355</v>
      </c>
      <c r="Q240" s="5" t="s">
        <v>355</v>
      </c>
    </row>
    <row r="241" ht="16.5" customHeight="1">
      <c r="O241" s="5" t="s">
        <v>355</v>
      </c>
      <c r="P241" s="5" t="s">
        <v>355</v>
      </c>
      <c r="Q241" s="5" t="s">
        <v>355</v>
      </c>
    </row>
    <row r="242" ht="16.5" customHeight="1">
      <c r="O242" s="5" t="s">
        <v>355</v>
      </c>
      <c r="P242" s="5" t="s">
        <v>355</v>
      </c>
      <c r="Q242" s="5" t="s">
        <v>355</v>
      </c>
    </row>
    <row r="243" ht="16.5" customHeight="1">
      <c r="O243" s="5" t="s">
        <v>355</v>
      </c>
      <c r="P243" s="5" t="s">
        <v>355</v>
      </c>
      <c r="Q243" s="5" t="s">
        <v>355</v>
      </c>
    </row>
    <row r="244" ht="16.5" customHeight="1">
      <c r="O244" s="5" t="s">
        <v>355</v>
      </c>
      <c r="P244" s="5" t="s">
        <v>355</v>
      </c>
      <c r="Q244" s="5" t="s">
        <v>355</v>
      </c>
    </row>
    <row r="245" ht="16.5" customHeight="1">
      <c r="O245" s="5" t="s">
        <v>355</v>
      </c>
      <c r="P245" s="5" t="s">
        <v>355</v>
      </c>
      <c r="Q245" s="5" t="s">
        <v>355</v>
      </c>
    </row>
    <row r="246" ht="16.5" customHeight="1">
      <c r="O246" s="5" t="s">
        <v>355</v>
      </c>
      <c r="P246" s="5" t="s">
        <v>355</v>
      </c>
      <c r="Q246" s="5" t="s">
        <v>355</v>
      </c>
    </row>
    <row r="247" ht="16.5" customHeight="1">
      <c r="O247" s="5" t="s">
        <v>355</v>
      </c>
      <c r="P247" s="5" t="s">
        <v>355</v>
      </c>
      <c r="Q247" s="5" t="s">
        <v>355</v>
      </c>
    </row>
    <row r="248" ht="16.5" customHeight="1">
      <c r="O248" s="5" t="s">
        <v>355</v>
      </c>
      <c r="P248" s="5" t="s">
        <v>355</v>
      </c>
      <c r="Q248" s="5" t="s">
        <v>355</v>
      </c>
    </row>
    <row r="249" ht="16.5" customHeight="1">
      <c r="O249" s="5" t="s">
        <v>355</v>
      </c>
      <c r="P249" s="5" t="s">
        <v>355</v>
      </c>
      <c r="Q249" s="5" t="s">
        <v>355</v>
      </c>
    </row>
    <row r="250" ht="16.5" customHeight="1">
      <c r="O250" s="5" t="s">
        <v>355</v>
      </c>
      <c r="P250" s="5" t="s">
        <v>355</v>
      </c>
      <c r="Q250" s="5" t="s">
        <v>355</v>
      </c>
    </row>
    <row r="251" ht="16.5" customHeight="1">
      <c r="O251" s="5" t="s">
        <v>355</v>
      </c>
      <c r="P251" s="5" t="s">
        <v>355</v>
      </c>
      <c r="Q251" s="5" t="s">
        <v>355</v>
      </c>
    </row>
    <row r="252" ht="16.5" customHeight="1">
      <c r="O252" s="5" t="s">
        <v>355</v>
      </c>
      <c r="P252" s="5" t="s">
        <v>355</v>
      </c>
      <c r="Q252" s="5" t="s">
        <v>355</v>
      </c>
    </row>
    <row r="253" ht="16.5" customHeight="1">
      <c r="O253" s="5" t="s">
        <v>355</v>
      </c>
      <c r="P253" s="5" t="s">
        <v>355</v>
      </c>
      <c r="Q253" s="5" t="s">
        <v>355</v>
      </c>
    </row>
    <row r="254" ht="16.5" customHeight="1">
      <c r="O254" s="5" t="s">
        <v>355</v>
      </c>
      <c r="P254" s="5" t="s">
        <v>355</v>
      </c>
      <c r="Q254" s="5" t="s">
        <v>355</v>
      </c>
    </row>
    <row r="255" ht="16.5" customHeight="1">
      <c r="O255" s="5" t="s">
        <v>355</v>
      </c>
      <c r="P255" s="5" t="s">
        <v>355</v>
      </c>
      <c r="Q255" s="5" t="s">
        <v>355</v>
      </c>
    </row>
    <row r="256" ht="16.5" customHeight="1">
      <c r="O256" s="5" t="s">
        <v>355</v>
      </c>
      <c r="P256" s="5" t="s">
        <v>355</v>
      </c>
      <c r="Q256" s="5" t="s">
        <v>355</v>
      </c>
    </row>
    <row r="257" ht="16.5" customHeight="1">
      <c r="O257" s="5" t="s">
        <v>355</v>
      </c>
      <c r="P257" s="5" t="s">
        <v>355</v>
      </c>
      <c r="Q257" s="5" t="s">
        <v>355</v>
      </c>
    </row>
    <row r="258" ht="16.5" customHeight="1">
      <c r="O258" s="5" t="s">
        <v>355</v>
      </c>
      <c r="P258" s="5" t="s">
        <v>355</v>
      </c>
      <c r="Q258" s="5" t="s">
        <v>355</v>
      </c>
    </row>
    <row r="259" ht="16.5" customHeight="1">
      <c r="O259" s="5" t="s">
        <v>355</v>
      </c>
      <c r="P259" s="5" t="s">
        <v>355</v>
      </c>
      <c r="Q259" s="5" t="s">
        <v>355</v>
      </c>
    </row>
    <row r="260" ht="16.5" customHeight="1">
      <c r="O260" s="5" t="s">
        <v>355</v>
      </c>
      <c r="P260" s="5" t="s">
        <v>355</v>
      </c>
      <c r="Q260" s="5" t="s">
        <v>355</v>
      </c>
    </row>
    <row r="261" ht="16.5" customHeight="1">
      <c r="O261" s="5" t="s">
        <v>355</v>
      </c>
      <c r="P261" s="5" t="s">
        <v>355</v>
      </c>
      <c r="Q261" s="5" t="s">
        <v>355</v>
      </c>
    </row>
    <row r="262" ht="16.5" customHeight="1">
      <c r="O262" s="5" t="s">
        <v>355</v>
      </c>
      <c r="P262" s="5" t="s">
        <v>355</v>
      </c>
      <c r="Q262" s="5" t="s">
        <v>355</v>
      </c>
    </row>
    <row r="263" ht="16.5" customHeight="1">
      <c r="O263" s="5" t="s">
        <v>355</v>
      </c>
      <c r="P263" s="5" t="s">
        <v>355</v>
      </c>
      <c r="Q263" s="5" t="s">
        <v>355</v>
      </c>
    </row>
    <row r="264" ht="16.5" customHeight="1">
      <c r="O264" s="5" t="s">
        <v>355</v>
      </c>
      <c r="P264" s="5" t="s">
        <v>355</v>
      </c>
      <c r="Q264" s="5" t="s">
        <v>355</v>
      </c>
    </row>
    <row r="265" ht="16.5" customHeight="1">
      <c r="O265" s="5" t="s">
        <v>355</v>
      </c>
      <c r="P265" s="5" t="s">
        <v>355</v>
      </c>
      <c r="Q265" s="5" t="s">
        <v>355</v>
      </c>
    </row>
    <row r="266" ht="16.5" customHeight="1">
      <c r="O266" s="5" t="s">
        <v>355</v>
      </c>
      <c r="P266" s="5" t="s">
        <v>355</v>
      </c>
      <c r="Q266" s="5" t="s">
        <v>355</v>
      </c>
    </row>
    <row r="267" ht="16.5" customHeight="1">
      <c r="O267" s="5" t="s">
        <v>355</v>
      </c>
      <c r="P267" s="5" t="s">
        <v>355</v>
      </c>
      <c r="Q267" s="5" t="s">
        <v>355</v>
      </c>
    </row>
    <row r="268" ht="16.5" customHeight="1">
      <c r="O268" s="5" t="s">
        <v>355</v>
      </c>
      <c r="P268" s="5" t="s">
        <v>355</v>
      </c>
      <c r="Q268" s="5" t="s">
        <v>355</v>
      </c>
    </row>
    <row r="269" ht="16.5" customHeight="1">
      <c r="O269" s="5" t="s">
        <v>355</v>
      </c>
      <c r="P269" s="5" t="s">
        <v>355</v>
      </c>
      <c r="Q269" s="5" t="s">
        <v>355</v>
      </c>
    </row>
    <row r="270" ht="16.5" customHeight="1">
      <c r="O270" s="5" t="s">
        <v>355</v>
      </c>
      <c r="P270" s="5" t="s">
        <v>355</v>
      </c>
      <c r="Q270" s="5" t="s">
        <v>355</v>
      </c>
    </row>
    <row r="271" ht="16.5" customHeight="1">
      <c r="O271" s="5" t="s">
        <v>355</v>
      </c>
      <c r="P271" s="5" t="s">
        <v>355</v>
      </c>
      <c r="Q271" s="5" t="s">
        <v>355</v>
      </c>
    </row>
    <row r="272" ht="16.5" customHeight="1">
      <c r="O272" s="5" t="s">
        <v>355</v>
      </c>
      <c r="P272" s="5" t="s">
        <v>355</v>
      </c>
      <c r="Q272" s="5" t="s">
        <v>355</v>
      </c>
    </row>
    <row r="273" ht="16.5" customHeight="1">
      <c r="O273" s="5" t="s">
        <v>355</v>
      </c>
      <c r="P273" s="5" t="s">
        <v>355</v>
      </c>
      <c r="Q273" s="5" t="s">
        <v>355</v>
      </c>
    </row>
    <row r="274" ht="16.5" customHeight="1">
      <c r="O274" s="5" t="s">
        <v>355</v>
      </c>
      <c r="P274" s="5" t="s">
        <v>355</v>
      </c>
      <c r="Q274" s="5" t="s">
        <v>355</v>
      </c>
    </row>
    <row r="275" ht="16.5" customHeight="1">
      <c r="O275" s="5" t="s">
        <v>355</v>
      </c>
      <c r="P275" s="5" t="s">
        <v>355</v>
      </c>
      <c r="Q275" s="5" t="s">
        <v>355</v>
      </c>
    </row>
    <row r="276" ht="16.5" customHeight="1">
      <c r="O276" s="5" t="s">
        <v>355</v>
      </c>
      <c r="P276" s="5" t="s">
        <v>355</v>
      </c>
      <c r="Q276" s="5" t="s">
        <v>355</v>
      </c>
    </row>
    <row r="277" ht="16.5" customHeight="1">
      <c r="O277" s="5" t="s">
        <v>355</v>
      </c>
      <c r="P277" s="5" t="s">
        <v>355</v>
      </c>
      <c r="Q277" s="5" t="s">
        <v>355</v>
      </c>
    </row>
    <row r="278" ht="16.5" customHeight="1">
      <c r="O278" s="5" t="s">
        <v>355</v>
      </c>
      <c r="P278" s="5" t="s">
        <v>355</v>
      </c>
      <c r="Q278" s="5" t="s">
        <v>355</v>
      </c>
    </row>
    <row r="279" ht="16.5" customHeight="1">
      <c r="O279" s="5" t="s">
        <v>355</v>
      </c>
      <c r="P279" s="5" t="s">
        <v>355</v>
      </c>
      <c r="Q279" s="5" t="s">
        <v>355</v>
      </c>
    </row>
    <row r="280" ht="16.5" customHeight="1">
      <c r="O280" s="5" t="s">
        <v>355</v>
      </c>
      <c r="P280" s="5" t="s">
        <v>355</v>
      </c>
      <c r="Q280" s="5" t="s">
        <v>355</v>
      </c>
    </row>
    <row r="281" ht="16.5" customHeight="1">
      <c r="O281" s="5" t="s">
        <v>355</v>
      </c>
      <c r="P281" s="5" t="s">
        <v>355</v>
      </c>
      <c r="Q281" s="5" t="s">
        <v>355</v>
      </c>
    </row>
    <row r="282" ht="16.5" customHeight="1">
      <c r="O282" s="5" t="s">
        <v>355</v>
      </c>
      <c r="P282" s="5" t="s">
        <v>355</v>
      </c>
      <c r="Q282" s="5" t="s">
        <v>355</v>
      </c>
    </row>
    <row r="283" ht="16.5" customHeight="1">
      <c r="O283" s="5" t="s">
        <v>355</v>
      </c>
      <c r="P283" s="5" t="s">
        <v>355</v>
      </c>
      <c r="Q283" s="5" t="s">
        <v>355</v>
      </c>
    </row>
    <row r="284" ht="16.5" customHeight="1">
      <c r="O284" s="5" t="s">
        <v>355</v>
      </c>
      <c r="P284" s="5" t="s">
        <v>355</v>
      </c>
      <c r="Q284" s="5" t="s">
        <v>355</v>
      </c>
    </row>
    <row r="285" ht="16.5" customHeight="1">
      <c r="O285" s="5" t="s">
        <v>355</v>
      </c>
      <c r="P285" s="5" t="s">
        <v>355</v>
      </c>
      <c r="Q285" s="5" t="s">
        <v>355</v>
      </c>
    </row>
    <row r="286" ht="16.5" customHeight="1">
      <c r="O286" s="5" t="s">
        <v>355</v>
      </c>
      <c r="P286" s="5" t="s">
        <v>355</v>
      </c>
      <c r="Q286" s="5" t="s">
        <v>355</v>
      </c>
    </row>
    <row r="287" ht="16.5" customHeight="1">
      <c r="O287" s="5" t="s">
        <v>355</v>
      </c>
      <c r="P287" s="5" t="s">
        <v>355</v>
      </c>
      <c r="Q287" s="5" t="s">
        <v>355</v>
      </c>
    </row>
    <row r="288" ht="16.5" customHeight="1">
      <c r="O288" s="5" t="s">
        <v>355</v>
      </c>
      <c r="P288" s="5" t="s">
        <v>355</v>
      </c>
      <c r="Q288" s="5" t="s">
        <v>355</v>
      </c>
    </row>
    <row r="289" ht="16.5" customHeight="1">
      <c r="O289" s="5" t="s">
        <v>355</v>
      </c>
      <c r="P289" s="5" t="s">
        <v>355</v>
      </c>
      <c r="Q289" s="5" t="s">
        <v>355</v>
      </c>
    </row>
    <row r="290" ht="16.5" customHeight="1">
      <c r="O290" s="5" t="s">
        <v>355</v>
      </c>
      <c r="P290" s="5" t="s">
        <v>355</v>
      </c>
      <c r="Q290" s="5" t="s">
        <v>355</v>
      </c>
    </row>
    <row r="291" ht="16.5" customHeight="1">
      <c r="O291" s="5" t="s">
        <v>355</v>
      </c>
      <c r="P291" s="5" t="s">
        <v>355</v>
      </c>
      <c r="Q291" s="5" t="s">
        <v>355</v>
      </c>
    </row>
    <row r="292" ht="16.5" customHeight="1">
      <c r="O292" s="5" t="s">
        <v>355</v>
      </c>
      <c r="P292" s="5" t="s">
        <v>355</v>
      </c>
      <c r="Q292" s="5" t="s">
        <v>355</v>
      </c>
    </row>
    <row r="293" ht="16.5" customHeight="1">
      <c r="O293" s="5" t="s">
        <v>355</v>
      </c>
      <c r="P293" s="5" t="s">
        <v>355</v>
      </c>
      <c r="Q293" s="5" t="s">
        <v>355</v>
      </c>
    </row>
    <row r="294" ht="16.5" customHeight="1">
      <c r="O294" s="5" t="s">
        <v>355</v>
      </c>
      <c r="P294" s="5" t="s">
        <v>355</v>
      </c>
      <c r="Q294" s="5" t="s">
        <v>355</v>
      </c>
    </row>
    <row r="295" ht="16.5" customHeight="1">
      <c r="O295" s="5" t="s">
        <v>355</v>
      </c>
      <c r="P295" s="5" t="s">
        <v>355</v>
      </c>
      <c r="Q295" s="5" t="s">
        <v>355</v>
      </c>
    </row>
    <row r="296" ht="16.5" customHeight="1">
      <c r="O296" s="5" t="s">
        <v>355</v>
      </c>
      <c r="P296" s="5" t="s">
        <v>355</v>
      </c>
      <c r="Q296" s="5" t="s">
        <v>355</v>
      </c>
    </row>
    <row r="297" ht="16.5" customHeight="1">
      <c r="O297" s="5" t="s">
        <v>355</v>
      </c>
      <c r="P297" s="5" t="s">
        <v>355</v>
      </c>
      <c r="Q297" s="5" t="s">
        <v>355</v>
      </c>
    </row>
    <row r="298" ht="16.5" customHeight="1">
      <c r="O298" s="5" t="s">
        <v>355</v>
      </c>
      <c r="P298" s="5" t="s">
        <v>355</v>
      </c>
      <c r="Q298" s="5" t="s">
        <v>355</v>
      </c>
    </row>
    <row r="299" ht="16.5" customHeight="1">
      <c r="O299" s="5" t="s">
        <v>355</v>
      </c>
      <c r="P299" s="5" t="s">
        <v>355</v>
      </c>
      <c r="Q299" s="5" t="s">
        <v>355</v>
      </c>
    </row>
    <row r="300" ht="16.5" customHeight="1">
      <c r="O300" s="5" t="s">
        <v>355</v>
      </c>
      <c r="P300" s="5" t="s">
        <v>355</v>
      </c>
      <c r="Q300" s="5" t="s">
        <v>355</v>
      </c>
    </row>
    <row r="301" ht="16.5" customHeight="1">
      <c r="O301" s="5" t="s">
        <v>355</v>
      </c>
      <c r="P301" s="5" t="s">
        <v>355</v>
      </c>
      <c r="Q301" s="5" t="s">
        <v>355</v>
      </c>
    </row>
    <row r="302" ht="16.5" customHeight="1">
      <c r="O302" s="5" t="s">
        <v>355</v>
      </c>
      <c r="P302" s="5" t="s">
        <v>355</v>
      </c>
      <c r="Q302" s="5" t="s">
        <v>355</v>
      </c>
    </row>
    <row r="303" ht="16.5" customHeight="1">
      <c r="O303" s="5" t="s">
        <v>355</v>
      </c>
      <c r="P303" s="5" t="s">
        <v>355</v>
      </c>
      <c r="Q303" s="5" t="s">
        <v>355</v>
      </c>
    </row>
    <row r="304" ht="16.5" customHeight="1">
      <c r="O304" s="5" t="s">
        <v>355</v>
      </c>
      <c r="P304" s="5" t="s">
        <v>355</v>
      </c>
      <c r="Q304" s="5" t="s">
        <v>355</v>
      </c>
    </row>
    <row r="305" ht="16.5" customHeight="1">
      <c r="O305" s="5" t="s">
        <v>355</v>
      </c>
      <c r="P305" s="5" t="s">
        <v>355</v>
      </c>
      <c r="Q305" s="5" t="s">
        <v>355</v>
      </c>
    </row>
    <row r="306" ht="16.5" customHeight="1">
      <c r="O306" s="5" t="s">
        <v>355</v>
      </c>
      <c r="P306" s="5" t="s">
        <v>355</v>
      </c>
      <c r="Q306" s="5" t="s">
        <v>355</v>
      </c>
    </row>
    <row r="307" ht="16.5" customHeight="1">
      <c r="O307" s="5" t="s">
        <v>355</v>
      </c>
      <c r="P307" s="5" t="s">
        <v>355</v>
      </c>
      <c r="Q307" s="5" t="s">
        <v>355</v>
      </c>
    </row>
    <row r="308" ht="16.5" customHeight="1">
      <c r="O308" s="5" t="s">
        <v>355</v>
      </c>
      <c r="P308" s="5" t="s">
        <v>355</v>
      </c>
      <c r="Q308" s="5" t="s">
        <v>355</v>
      </c>
    </row>
    <row r="309" ht="16.5" customHeight="1">
      <c r="O309" s="5" t="s">
        <v>355</v>
      </c>
      <c r="P309" s="5" t="s">
        <v>355</v>
      </c>
      <c r="Q309" s="5" t="s">
        <v>355</v>
      </c>
    </row>
    <row r="310" ht="16.5" customHeight="1">
      <c r="O310" s="5" t="s">
        <v>355</v>
      </c>
      <c r="P310" s="5" t="s">
        <v>355</v>
      </c>
      <c r="Q310" s="5" t="s">
        <v>355</v>
      </c>
    </row>
    <row r="311" ht="16.5" customHeight="1">
      <c r="O311" s="5" t="s">
        <v>355</v>
      </c>
      <c r="P311" s="5" t="s">
        <v>355</v>
      </c>
      <c r="Q311" s="5" t="s">
        <v>355</v>
      </c>
    </row>
    <row r="312" ht="16.5" customHeight="1">
      <c r="O312" s="5" t="s">
        <v>355</v>
      </c>
      <c r="P312" s="5" t="s">
        <v>355</v>
      </c>
      <c r="Q312" s="5" t="s">
        <v>355</v>
      </c>
    </row>
    <row r="313" ht="16.5" customHeight="1">
      <c r="O313" s="5" t="s">
        <v>355</v>
      </c>
      <c r="P313" s="5" t="s">
        <v>355</v>
      </c>
      <c r="Q313" s="5" t="s">
        <v>355</v>
      </c>
    </row>
    <row r="314" ht="16.5" customHeight="1">
      <c r="O314" s="5" t="s">
        <v>355</v>
      </c>
      <c r="P314" s="5" t="s">
        <v>355</v>
      </c>
      <c r="Q314" s="5" t="s">
        <v>355</v>
      </c>
    </row>
    <row r="315" ht="16.5" customHeight="1">
      <c r="O315" s="5" t="s">
        <v>355</v>
      </c>
      <c r="P315" s="5" t="s">
        <v>355</v>
      </c>
      <c r="Q315" s="5" t="s">
        <v>355</v>
      </c>
    </row>
    <row r="316" ht="16.5" customHeight="1">
      <c r="O316" s="5" t="s">
        <v>355</v>
      </c>
      <c r="P316" s="5" t="s">
        <v>355</v>
      </c>
      <c r="Q316" s="5" t="s">
        <v>355</v>
      </c>
    </row>
    <row r="317" ht="16.5" customHeight="1">
      <c r="O317" s="5" t="s">
        <v>355</v>
      </c>
      <c r="P317" s="5" t="s">
        <v>355</v>
      </c>
      <c r="Q317" s="5" t="s">
        <v>355</v>
      </c>
    </row>
    <row r="318" ht="16.5" customHeight="1">
      <c r="O318" s="5" t="s">
        <v>355</v>
      </c>
      <c r="P318" s="5" t="s">
        <v>355</v>
      </c>
      <c r="Q318" s="5" t="s">
        <v>355</v>
      </c>
    </row>
    <row r="319" ht="16.5" customHeight="1">
      <c r="O319" s="5" t="s">
        <v>355</v>
      </c>
      <c r="P319" s="5" t="s">
        <v>355</v>
      </c>
      <c r="Q319" s="5" t="s">
        <v>355</v>
      </c>
    </row>
    <row r="320" ht="16.5" customHeight="1">
      <c r="O320" s="5" t="s">
        <v>355</v>
      </c>
      <c r="P320" s="5" t="s">
        <v>355</v>
      </c>
      <c r="Q320" s="5" t="s">
        <v>355</v>
      </c>
    </row>
    <row r="321" ht="16.5" customHeight="1">
      <c r="O321" s="5" t="s">
        <v>355</v>
      </c>
      <c r="P321" s="5" t="s">
        <v>355</v>
      </c>
      <c r="Q321" s="5" t="s">
        <v>355</v>
      </c>
    </row>
    <row r="322" ht="16.5" customHeight="1">
      <c r="O322" s="5" t="s">
        <v>355</v>
      </c>
      <c r="P322" s="5" t="s">
        <v>355</v>
      </c>
      <c r="Q322" s="5" t="s">
        <v>355</v>
      </c>
    </row>
    <row r="323" ht="16.5" customHeight="1">
      <c r="O323" s="5" t="s">
        <v>355</v>
      </c>
      <c r="P323" s="5" t="s">
        <v>355</v>
      </c>
      <c r="Q323" s="5" t="s">
        <v>355</v>
      </c>
    </row>
    <row r="324" ht="16.5" customHeight="1">
      <c r="O324" s="5" t="s">
        <v>355</v>
      </c>
      <c r="P324" s="5" t="s">
        <v>355</v>
      </c>
      <c r="Q324" s="5" t="s">
        <v>355</v>
      </c>
    </row>
    <row r="325" ht="16.5" customHeight="1">
      <c r="O325" s="5" t="s">
        <v>355</v>
      </c>
      <c r="P325" s="5" t="s">
        <v>355</v>
      </c>
      <c r="Q325" s="5" t="s">
        <v>355</v>
      </c>
    </row>
    <row r="326" ht="16.5" customHeight="1">
      <c r="O326" s="5" t="s">
        <v>355</v>
      </c>
      <c r="P326" s="5" t="s">
        <v>355</v>
      </c>
      <c r="Q326" s="5" t="s">
        <v>355</v>
      </c>
    </row>
    <row r="327" ht="16.5" customHeight="1">
      <c r="O327" s="5" t="s">
        <v>355</v>
      </c>
      <c r="P327" s="5" t="s">
        <v>355</v>
      </c>
      <c r="Q327" s="5" t="s">
        <v>355</v>
      </c>
    </row>
    <row r="328" ht="16.5" customHeight="1">
      <c r="O328" s="5" t="s">
        <v>355</v>
      </c>
      <c r="P328" s="5" t="s">
        <v>355</v>
      </c>
      <c r="Q328" s="5" t="s">
        <v>355</v>
      </c>
    </row>
    <row r="329" ht="16.5" customHeight="1">
      <c r="O329" s="5" t="s">
        <v>355</v>
      </c>
      <c r="P329" s="5" t="s">
        <v>355</v>
      </c>
      <c r="Q329" s="5" t="s">
        <v>355</v>
      </c>
    </row>
    <row r="330" ht="16.5" customHeight="1">
      <c r="O330" s="5" t="s">
        <v>355</v>
      </c>
      <c r="P330" s="5" t="s">
        <v>355</v>
      </c>
      <c r="Q330" s="5" t="s">
        <v>355</v>
      </c>
    </row>
    <row r="331" ht="16.5" customHeight="1">
      <c r="O331" s="5" t="s">
        <v>355</v>
      </c>
      <c r="P331" s="5" t="s">
        <v>355</v>
      </c>
      <c r="Q331" s="5" t="s">
        <v>355</v>
      </c>
    </row>
    <row r="332" ht="16.5" customHeight="1">
      <c r="O332" s="5" t="s">
        <v>355</v>
      </c>
      <c r="P332" s="5" t="s">
        <v>355</v>
      </c>
      <c r="Q332" s="5" t="s">
        <v>355</v>
      </c>
    </row>
    <row r="333" ht="16.5" customHeight="1">
      <c r="O333" s="5" t="s">
        <v>355</v>
      </c>
      <c r="P333" s="5" t="s">
        <v>355</v>
      </c>
      <c r="Q333" s="5" t="s">
        <v>355</v>
      </c>
    </row>
    <row r="334" ht="16.5" customHeight="1">
      <c r="O334" s="5" t="s">
        <v>355</v>
      </c>
      <c r="P334" s="5" t="s">
        <v>355</v>
      </c>
      <c r="Q334" s="5" t="s">
        <v>355</v>
      </c>
    </row>
    <row r="335" ht="16.5" customHeight="1">
      <c r="O335" s="5" t="s">
        <v>355</v>
      </c>
      <c r="P335" s="5" t="s">
        <v>355</v>
      </c>
      <c r="Q335" s="5" t="s">
        <v>355</v>
      </c>
    </row>
    <row r="336" ht="16.5" customHeight="1">
      <c r="O336" s="5" t="s">
        <v>355</v>
      </c>
      <c r="P336" s="5" t="s">
        <v>355</v>
      </c>
      <c r="Q336" s="5" t="s">
        <v>355</v>
      </c>
    </row>
    <row r="337" ht="16.5" customHeight="1">
      <c r="O337" s="5" t="s">
        <v>355</v>
      </c>
      <c r="P337" s="5" t="s">
        <v>355</v>
      </c>
      <c r="Q337" s="5" t="s">
        <v>355</v>
      </c>
    </row>
    <row r="338" ht="16.5" customHeight="1">
      <c r="O338" s="5" t="s">
        <v>355</v>
      </c>
      <c r="P338" s="5" t="s">
        <v>355</v>
      </c>
      <c r="Q338" s="5" t="s">
        <v>355</v>
      </c>
    </row>
    <row r="339" ht="16.5" customHeight="1">
      <c r="O339" s="5" t="s">
        <v>355</v>
      </c>
      <c r="P339" s="5" t="s">
        <v>355</v>
      </c>
      <c r="Q339" s="5" t="s">
        <v>355</v>
      </c>
    </row>
    <row r="340" ht="16.5" customHeight="1">
      <c r="O340" s="5" t="s">
        <v>355</v>
      </c>
      <c r="P340" s="5" t="s">
        <v>355</v>
      </c>
      <c r="Q340" s="5" t="s">
        <v>355</v>
      </c>
    </row>
    <row r="341" ht="16.5" customHeight="1">
      <c r="O341" s="5" t="s">
        <v>355</v>
      </c>
      <c r="P341" s="5" t="s">
        <v>355</v>
      </c>
      <c r="Q341" s="5" t="s">
        <v>355</v>
      </c>
    </row>
    <row r="342" ht="16.5" customHeight="1">
      <c r="O342" s="5" t="s">
        <v>355</v>
      </c>
      <c r="P342" s="5" t="s">
        <v>355</v>
      </c>
      <c r="Q342" s="5" t="s">
        <v>355</v>
      </c>
    </row>
    <row r="343" ht="16.5" customHeight="1">
      <c r="O343" s="5" t="s">
        <v>355</v>
      </c>
      <c r="P343" s="5" t="s">
        <v>355</v>
      </c>
      <c r="Q343" s="5" t="s">
        <v>355</v>
      </c>
    </row>
    <row r="344" ht="16.5" customHeight="1">
      <c r="O344" s="5" t="s">
        <v>355</v>
      </c>
      <c r="P344" s="5" t="s">
        <v>355</v>
      </c>
      <c r="Q344" s="5" t="s">
        <v>355</v>
      </c>
    </row>
    <row r="345" ht="16.5" customHeight="1">
      <c r="O345" s="5" t="s">
        <v>355</v>
      </c>
      <c r="P345" s="5" t="s">
        <v>355</v>
      </c>
      <c r="Q345" s="5" t="s">
        <v>355</v>
      </c>
    </row>
    <row r="346" ht="16.5" customHeight="1">
      <c r="O346" s="5" t="s">
        <v>355</v>
      </c>
      <c r="P346" s="5" t="s">
        <v>355</v>
      </c>
      <c r="Q346" s="5" t="s">
        <v>355</v>
      </c>
    </row>
    <row r="347" ht="16.5" customHeight="1">
      <c r="O347" s="5" t="s">
        <v>355</v>
      </c>
      <c r="P347" s="5" t="s">
        <v>355</v>
      </c>
      <c r="Q347" s="5" t="s">
        <v>355</v>
      </c>
    </row>
    <row r="348" ht="16.5" customHeight="1">
      <c r="O348" s="5" t="s">
        <v>355</v>
      </c>
      <c r="P348" s="5" t="s">
        <v>355</v>
      </c>
      <c r="Q348" s="5" t="s">
        <v>355</v>
      </c>
    </row>
    <row r="349" ht="16.5" customHeight="1">
      <c r="O349" s="5" t="s">
        <v>355</v>
      </c>
      <c r="P349" s="5" t="s">
        <v>355</v>
      </c>
      <c r="Q349" s="5" t="s">
        <v>355</v>
      </c>
    </row>
    <row r="350" ht="16.5" customHeight="1">
      <c r="O350" s="5" t="s">
        <v>355</v>
      </c>
      <c r="P350" s="5" t="s">
        <v>355</v>
      </c>
      <c r="Q350" s="5" t="s">
        <v>355</v>
      </c>
    </row>
    <row r="351" ht="16.5" customHeight="1">
      <c r="O351" s="5" t="s">
        <v>355</v>
      </c>
      <c r="P351" s="5" t="s">
        <v>355</v>
      </c>
      <c r="Q351" s="5" t="s">
        <v>355</v>
      </c>
    </row>
    <row r="352" ht="16.5" customHeight="1">
      <c r="O352" s="5" t="s">
        <v>355</v>
      </c>
      <c r="P352" s="5" t="s">
        <v>355</v>
      </c>
      <c r="Q352" s="5" t="s">
        <v>355</v>
      </c>
    </row>
    <row r="353" ht="16.5" customHeight="1">
      <c r="O353" s="5" t="s">
        <v>355</v>
      </c>
      <c r="P353" s="5" t="s">
        <v>355</v>
      </c>
      <c r="Q353" s="5" t="s">
        <v>355</v>
      </c>
    </row>
    <row r="354" ht="16.5" customHeight="1">
      <c r="O354" s="5" t="s">
        <v>355</v>
      </c>
      <c r="P354" s="5" t="s">
        <v>355</v>
      </c>
      <c r="Q354" s="5" t="s">
        <v>355</v>
      </c>
    </row>
    <row r="355" ht="16.5" customHeight="1">
      <c r="O355" s="5" t="s">
        <v>355</v>
      </c>
      <c r="P355" s="5" t="s">
        <v>355</v>
      </c>
      <c r="Q355" s="5" t="s">
        <v>355</v>
      </c>
    </row>
    <row r="356" ht="16.5" customHeight="1">
      <c r="O356" s="5" t="s">
        <v>355</v>
      </c>
      <c r="P356" s="5" t="s">
        <v>355</v>
      </c>
      <c r="Q356" s="5" t="s">
        <v>355</v>
      </c>
    </row>
    <row r="357" ht="16.5" customHeight="1">
      <c r="O357" s="5" t="s">
        <v>355</v>
      </c>
      <c r="P357" s="5" t="s">
        <v>355</v>
      </c>
      <c r="Q357" s="5" t="s">
        <v>355</v>
      </c>
    </row>
    <row r="358" ht="16.5" customHeight="1">
      <c r="O358" s="5" t="s">
        <v>355</v>
      </c>
      <c r="P358" s="5" t="s">
        <v>355</v>
      </c>
      <c r="Q358" s="5" t="s">
        <v>355</v>
      </c>
    </row>
    <row r="359" ht="16.5" customHeight="1">
      <c r="O359" s="5" t="s">
        <v>355</v>
      </c>
      <c r="P359" s="5" t="s">
        <v>355</v>
      </c>
      <c r="Q359" s="5" t="s">
        <v>355</v>
      </c>
    </row>
    <row r="360" ht="16.5" customHeight="1">
      <c r="O360" s="5" t="s">
        <v>355</v>
      </c>
      <c r="P360" s="5" t="s">
        <v>355</v>
      </c>
      <c r="Q360" s="5" t="s">
        <v>355</v>
      </c>
    </row>
    <row r="361" ht="16.5" customHeight="1">
      <c r="O361" s="5" t="s">
        <v>355</v>
      </c>
      <c r="P361" s="5" t="s">
        <v>355</v>
      </c>
      <c r="Q361" s="5" t="s">
        <v>355</v>
      </c>
    </row>
    <row r="362" ht="16.5" customHeight="1">
      <c r="O362" s="5" t="s">
        <v>355</v>
      </c>
      <c r="P362" s="5" t="s">
        <v>355</v>
      </c>
      <c r="Q362" s="5" t="s">
        <v>355</v>
      </c>
    </row>
    <row r="363" ht="16.5" customHeight="1">
      <c r="O363" s="5" t="s">
        <v>355</v>
      </c>
      <c r="P363" s="5" t="s">
        <v>355</v>
      </c>
      <c r="Q363" s="5" t="s">
        <v>355</v>
      </c>
    </row>
    <row r="364" ht="16.5" customHeight="1">
      <c r="O364" s="5" t="s">
        <v>355</v>
      </c>
      <c r="P364" s="5" t="s">
        <v>355</v>
      </c>
      <c r="Q364" s="5" t="s">
        <v>355</v>
      </c>
    </row>
    <row r="365" ht="16.5" customHeight="1">
      <c r="O365" s="5" t="s">
        <v>355</v>
      </c>
      <c r="P365" s="5" t="s">
        <v>355</v>
      </c>
      <c r="Q365" s="5" t="s">
        <v>355</v>
      </c>
    </row>
    <row r="366" ht="16.5" customHeight="1">
      <c r="O366" s="5" t="s">
        <v>355</v>
      </c>
      <c r="P366" s="5" t="s">
        <v>355</v>
      </c>
      <c r="Q366" s="5" t="s">
        <v>355</v>
      </c>
    </row>
    <row r="367" ht="16.5" customHeight="1">
      <c r="O367" s="5" t="s">
        <v>355</v>
      </c>
      <c r="P367" s="5" t="s">
        <v>355</v>
      </c>
      <c r="Q367" s="5" t="s">
        <v>355</v>
      </c>
    </row>
    <row r="368" ht="16.5" customHeight="1">
      <c r="O368" s="5" t="s">
        <v>355</v>
      </c>
      <c r="P368" s="5" t="s">
        <v>355</v>
      </c>
      <c r="Q368" s="5" t="s">
        <v>355</v>
      </c>
    </row>
    <row r="369" ht="16.5" customHeight="1">
      <c r="O369" s="5" t="s">
        <v>355</v>
      </c>
      <c r="P369" s="5" t="s">
        <v>355</v>
      </c>
      <c r="Q369" s="5" t="s">
        <v>355</v>
      </c>
    </row>
    <row r="370" ht="16.5" customHeight="1">
      <c r="O370" s="5" t="s">
        <v>355</v>
      </c>
      <c r="P370" s="5" t="s">
        <v>355</v>
      </c>
      <c r="Q370" s="5" t="s">
        <v>355</v>
      </c>
    </row>
    <row r="371" ht="16.5" customHeight="1">
      <c r="O371" s="5" t="s">
        <v>355</v>
      </c>
      <c r="P371" s="5" t="s">
        <v>355</v>
      </c>
      <c r="Q371" s="5" t="s">
        <v>355</v>
      </c>
    </row>
    <row r="372" ht="16.5" customHeight="1">
      <c r="O372" s="5" t="s">
        <v>355</v>
      </c>
      <c r="P372" s="5" t="s">
        <v>355</v>
      </c>
      <c r="Q372" s="5" t="s">
        <v>355</v>
      </c>
    </row>
    <row r="373" ht="16.5" customHeight="1">
      <c r="O373" s="5" t="s">
        <v>355</v>
      </c>
      <c r="P373" s="5" t="s">
        <v>355</v>
      </c>
      <c r="Q373" s="5" t="s">
        <v>355</v>
      </c>
    </row>
    <row r="374" ht="16.5" customHeight="1">
      <c r="O374" s="5" t="s">
        <v>355</v>
      </c>
      <c r="P374" s="5" t="s">
        <v>355</v>
      </c>
      <c r="Q374" s="5" t="s">
        <v>355</v>
      </c>
    </row>
    <row r="375" ht="16.5" customHeight="1">
      <c r="O375" s="5" t="s">
        <v>355</v>
      </c>
      <c r="P375" s="5" t="s">
        <v>355</v>
      </c>
      <c r="Q375" s="5" t="s">
        <v>355</v>
      </c>
    </row>
    <row r="376" ht="16.5" customHeight="1">
      <c r="O376" s="5" t="s">
        <v>355</v>
      </c>
      <c r="P376" s="5" t="s">
        <v>355</v>
      </c>
      <c r="Q376" s="5" t="s">
        <v>355</v>
      </c>
    </row>
    <row r="377" ht="16.5" customHeight="1">
      <c r="O377" s="5" t="s">
        <v>355</v>
      </c>
      <c r="P377" s="5" t="s">
        <v>355</v>
      </c>
      <c r="Q377" s="5" t="s">
        <v>355</v>
      </c>
    </row>
    <row r="378" ht="16.5" customHeight="1">
      <c r="O378" s="5" t="s">
        <v>355</v>
      </c>
      <c r="P378" s="5" t="s">
        <v>355</v>
      </c>
      <c r="Q378" s="5" t="s">
        <v>355</v>
      </c>
    </row>
    <row r="379" ht="16.5" customHeight="1">
      <c r="O379" s="5" t="s">
        <v>355</v>
      </c>
      <c r="P379" s="5" t="s">
        <v>355</v>
      </c>
      <c r="Q379" s="5" t="s">
        <v>355</v>
      </c>
    </row>
    <row r="380" ht="16.5" customHeight="1">
      <c r="O380" s="5" t="s">
        <v>355</v>
      </c>
      <c r="P380" s="5" t="s">
        <v>355</v>
      </c>
      <c r="Q380" s="5" t="s">
        <v>355</v>
      </c>
    </row>
    <row r="381" ht="16.5" customHeight="1">
      <c r="O381" s="5" t="s">
        <v>355</v>
      </c>
      <c r="P381" s="5" t="s">
        <v>355</v>
      </c>
      <c r="Q381" s="5" t="s">
        <v>355</v>
      </c>
    </row>
    <row r="382" ht="16.5" customHeight="1">
      <c r="O382" s="5" t="s">
        <v>355</v>
      </c>
      <c r="P382" s="5" t="s">
        <v>355</v>
      </c>
      <c r="Q382" s="5" t="s">
        <v>355</v>
      </c>
    </row>
    <row r="383" ht="16.5" customHeight="1">
      <c r="O383" s="5" t="s">
        <v>355</v>
      </c>
      <c r="P383" s="5" t="s">
        <v>355</v>
      </c>
      <c r="Q383" s="5" t="s">
        <v>355</v>
      </c>
    </row>
    <row r="384" ht="16.5" customHeight="1">
      <c r="O384" s="5" t="s">
        <v>355</v>
      </c>
      <c r="P384" s="5" t="s">
        <v>355</v>
      </c>
      <c r="Q384" s="5" t="s">
        <v>355</v>
      </c>
    </row>
    <row r="385" ht="16.5" customHeight="1">
      <c r="O385" s="5" t="s">
        <v>355</v>
      </c>
      <c r="P385" s="5" t="s">
        <v>355</v>
      </c>
      <c r="Q385" s="5" t="s">
        <v>355</v>
      </c>
    </row>
    <row r="386" ht="16.5" customHeight="1">
      <c r="O386" s="5" t="s">
        <v>355</v>
      </c>
      <c r="P386" s="5" t="s">
        <v>355</v>
      </c>
      <c r="Q386" s="5" t="s">
        <v>355</v>
      </c>
    </row>
    <row r="387" ht="16.5" customHeight="1">
      <c r="O387" s="5" t="s">
        <v>355</v>
      </c>
      <c r="P387" s="5" t="s">
        <v>355</v>
      </c>
      <c r="Q387" s="5" t="s">
        <v>355</v>
      </c>
    </row>
    <row r="388" ht="16.5" customHeight="1">
      <c r="O388" s="5" t="s">
        <v>355</v>
      </c>
      <c r="P388" s="5" t="s">
        <v>355</v>
      </c>
      <c r="Q388" s="5" t="s">
        <v>355</v>
      </c>
    </row>
    <row r="389" ht="16.5" customHeight="1">
      <c r="O389" s="5" t="s">
        <v>355</v>
      </c>
      <c r="P389" s="5" t="s">
        <v>355</v>
      </c>
      <c r="Q389" s="5" t="s">
        <v>355</v>
      </c>
    </row>
    <row r="390" ht="16.5" customHeight="1">
      <c r="O390" s="5" t="s">
        <v>355</v>
      </c>
      <c r="P390" s="5" t="s">
        <v>355</v>
      </c>
      <c r="Q390" s="5" t="s">
        <v>355</v>
      </c>
    </row>
    <row r="391" ht="16.5" customHeight="1">
      <c r="O391" s="5" t="s">
        <v>355</v>
      </c>
      <c r="P391" s="5" t="s">
        <v>355</v>
      </c>
      <c r="Q391" s="5" t="s">
        <v>355</v>
      </c>
    </row>
    <row r="392" ht="16.5" customHeight="1">
      <c r="O392" s="5" t="s">
        <v>355</v>
      </c>
      <c r="P392" s="5" t="s">
        <v>355</v>
      </c>
      <c r="Q392" s="5" t="s">
        <v>355</v>
      </c>
    </row>
    <row r="393" ht="16.5" customHeight="1">
      <c r="O393" s="5" t="s">
        <v>355</v>
      </c>
      <c r="P393" s="5" t="s">
        <v>355</v>
      </c>
      <c r="Q393" s="5" t="s">
        <v>355</v>
      </c>
    </row>
    <row r="394" ht="16.5" customHeight="1">
      <c r="O394" s="5" t="s">
        <v>355</v>
      </c>
      <c r="P394" s="5" t="s">
        <v>355</v>
      </c>
      <c r="Q394" s="5" t="s">
        <v>355</v>
      </c>
    </row>
    <row r="395" ht="16.5" customHeight="1">
      <c r="O395" s="5" t="s">
        <v>355</v>
      </c>
      <c r="P395" s="5" t="s">
        <v>355</v>
      </c>
      <c r="Q395" s="5" t="s">
        <v>355</v>
      </c>
    </row>
    <row r="396" ht="16.5" customHeight="1">
      <c r="O396" s="5" t="s">
        <v>355</v>
      </c>
      <c r="P396" s="5" t="s">
        <v>355</v>
      </c>
      <c r="Q396" s="5" t="s">
        <v>355</v>
      </c>
    </row>
    <row r="397" ht="16.5" customHeight="1">
      <c r="O397" s="5" t="s">
        <v>355</v>
      </c>
      <c r="P397" s="5" t="s">
        <v>355</v>
      </c>
      <c r="Q397" s="5" t="s">
        <v>355</v>
      </c>
    </row>
    <row r="398" ht="16.5" customHeight="1">
      <c r="O398" s="5" t="s">
        <v>355</v>
      </c>
      <c r="P398" s="5" t="s">
        <v>355</v>
      </c>
      <c r="Q398" s="5" t="s">
        <v>355</v>
      </c>
    </row>
    <row r="399" ht="16.5" customHeight="1">
      <c r="O399" s="5" t="s">
        <v>355</v>
      </c>
      <c r="P399" s="5" t="s">
        <v>355</v>
      </c>
      <c r="Q399" s="5" t="s">
        <v>355</v>
      </c>
    </row>
    <row r="400" ht="16.5" customHeight="1">
      <c r="O400" s="5" t="s">
        <v>355</v>
      </c>
      <c r="P400" s="5" t="s">
        <v>355</v>
      </c>
      <c r="Q400" s="5" t="s">
        <v>355</v>
      </c>
    </row>
    <row r="401" ht="16.5" customHeight="1">
      <c r="O401" s="5" t="s">
        <v>355</v>
      </c>
      <c r="P401" s="5" t="s">
        <v>355</v>
      </c>
      <c r="Q401" s="5" t="s">
        <v>355</v>
      </c>
    </row>
    <row r="402" ht="16.5" customHeight="1">
      <c r="O402" s="5" t="s">
        <v>355</v>
      </c>
      <c r="P402" s="5" t="s">
        <v>355</v>
      </c>
      <c r="Q402" s="5" t="s">
        <v>355</v>
      </c>
    </row>
    <row r="403" ht="16.5" customHeight="1">
      <c r="O403" s="5" t="s">
        <v>355</v>
      </c>
      <c r="P403" s="5" t="s">
        <v>355</v>
      </c>
      <c r="Q403" s="5" t="s">
        <v>355</v>
      </c>
    </row>
    <row r="404" ht="16.5" customHeight="1">
      <c r="O404" s="5" t="s">
        <v>355</v>
      </c>
      <c r="P404" s="5" t="s">
        <v>355</v>
      </c>
      <c r="Q404" s="5" t="s">
        <v>355</v>
      </c>
    </row>
    <row r="405" ht="16.5" customHeight="1">
      <c r="O405" s="5" t="s">
        <v>355</v>
      </c>
      <c r="P405" s="5" t="s">
        <v>355</v>
      </c>
      <c r="Q405" s="5" t="s">
        <v>355</v>
      </c>
    </row>
    <row r="406" ht="16.5" customHeight="1">
      <c r="O406" s="5" t="s">
        <v>355</v>
      </c>
      <c r="P406" s="5" t="s">
        <v>355</v>
      </c>
      <c r="Q406" s="5" t="s">
        <v>355</v>
      </c>
    </row>
    <row r="407" ht="16.5" customHeight="1">
      <c r="O407" s="5" t="s">
        <v>355</v>
      </c>
      <c r="P407" s="5" t="s">
        <v>355</v>
      </c>
      <c r="Q407" s="5" t="s">
        <v>355</v>
      </c>
    </row>
    <row r="408" ht="16.5" customHeight="1">
      <c r="O408" s="5" t="s">
        <v>355</v>
      </c>
      <c r="P408" s="5" t="s">
        <v>355</v>
      </c>
      <c r="Q408" s="5" t="s">
        <v>355</v>
      </c>
    </row>
    <row r="409" ht="16.5" customHeight="1">
      <c r="O409" s="5" t="s">
        <v>355</v>
      </c>
      <c r="P409" s="5" t="s">
        <v>355</v>
      </c>
      <c r="Q409" s="5" t="s">
        <v>355</v>
      </c>
    </row>
    <row r="410" ht="16.5" customHeight="1">
      <c r="O410" s="5" t="s">
        <v>355</v>
      </c>
      <c r="P410" s="5" t="s">
        <v>355</v>
      </c>
      <c r="Q410" s="5" t="s">
        <v>355</v>
      </c>
    </row>
    <row r="411" ht="16.5" customHeight="1">
      <c r="O411" s="5" t="s">
        <v>355</v>
      </c>
      <c r="P411" s="5" t="s">
        <v>355</v>
      </c>
      <c r="Q411" s="5" t="s">
        <v>355</v>
      </c>
    </row>
    <row r="412" ht="16.5" customHeight="1">
      <c r="O412" s="5" t="s">
        <v>355</v>
      </c>
      <c r="P412" s="5" t="s">
        <v>355</v>
      </c>
      <c r="Q412" s="5" t="s">
        <v>355</v>
      </c>
    </row>
    <row r="413" ht="16.5" customHeight="1">
      <c r="O413" s="5" t="s">
        <v>355</v>
      </c>
      <c r="P413" s="5" t="s">
        <v>355</v>
      </c>
      <c r="Q413" s="5" t="s">
        <v>355</v>
      </c>
    </row>
    <row r="414" ht="16.5" customHeight="1">
      <c r="O414" s="5" t="s">
        <v>355</v>
      </c>
      <c r="P414" s="5" t="s">
        <v>355</v>
      </c>
      <c r="Q414" s="5" t="s">
        <v>355</v>
      </c>
    </row>
    <row r="415" ht="16.5" customHeight="1">
      <c r="O415" s="5" t="s">
        <v>355</v>
      </c>
      <c r="P415" s="5" t="s">
        <v>355</v>
      </c>
      <c r="Q415" s="5" t="s">
        <v>355</v>
      </c>
    </row>
    <row r="416" ht="16.5" customHeight="1">
      <c r="O416" s="5" t="s">
        <v>355</v>
      </c>
      <c r="P416" s="5" t="s">
        <v>355</v>
      </c>
      <c r="Q416" s="5" t="s">
        <v>355</v>
      </c>
    </row>
    <row r="417" ht="16.5" customHeight="1">
      <c r="O417" s="5" t="s">
        <v>355</v>
      </c>
      <c r="P417" s="5" t="s">
        <v>355</v>
      </c>
      <c r="Q417" s="5" t="s">
        <v>355</v>
      </c>
    </row>
    <row r="418" ht="16.5" customHeight="1">
      <c r="O418" s="5" t="s">
        <v>355</v>
      </c>
      <c r="P418" s="5" t="s">
        <v>355</v>
      </c>
      <c r="Q418" s="5" t="s">
        <v>355</v>
      </c>
    </row>
    <row r="419" ht="16.5" customHeight="1">
      <c r="O419" s="5" t="s">
        <v>355</v>
      </c>
      <c r="P419" s="5" t="s">
        <v>355</v>
      </c>
      <c r="Q419" s="5" t="s">
        <v>355</v>
      </c>
    </row>
    <row r="420" ht="16.5" customHeight="1">
      <c r="O420" s="5" t="s">
        <v>355</v>
      </c>
      <c r="P420" s="5" t="s">
        <v>355</v>
      </c>
      <c r="Q420" s="5" t="s">
        <v>355</v>
      </c>
    </row>
    <row r="421" ht="16.5" customHeight="1">
      <c r="O421" s="5" t="s">
        <v>355</v>
      </c>
      <c r="P421" s="5" t="s">
        <v>355</v>
      </c>
      <c r="Q421" s="5" t="s">
        <v>355</v>
      </c>
    </row>
    <row r="422" ht="16.5" customHeight="1">
      <c r="O422" s="5" t="s">
        <v>355</v>
      </c>
      <c r="P422" s="5" t="s">
        <v>355</v>
      </c>
      <c r="Q422" s="5" t="s">
        <v>355</v>
      </c>
    </row>
    <row r="423" ht="16.5" customHeight="1">
      <c r="O423" s="5" t="s">
        <v>355</v>
      </c>
      <c r="P423" s="5" t="s">
        <v>355</v>
      </c>
      <c r="Q423" s="5" t="s">
        <v>355</v>
      </c>
    </row>
    <row r="424" ht="16.5" customHeight="1">
      <c r="O424" s="5" t="s">
        <v>355</v>
      </c>
      <c r="P424" s="5" t="s">
        <v>355</v>
      </c>
      <c r="Q424" s="5" t="s">
        <v>355</v>
      </c>
    </row>
    <row r="425" ht="16.5" customHeight="1">
      <c r="O425" s="5" t="s">
        <v>355</v>
      </c>
      <c r="P425" s="5" t="s">
        <v>355</v>
      </c>
      <c r="Q425" s="5" t="s">
        <v>355</v>
      </c>
    </row>
    <row r="426" ht="16.5" customHeight="1">
      <c r="O426" s="5" t="s">
        <v>355</v>
      </c>
      <c r="P426" s="5" t="s">
        <v>355</v>
      </c>
      <c r="Q426" s="5" t="s">
        <v>355</v>
      </c>
    </row>
    <row r="427" ht="16.5" customHeight="1">
      <c r="O427" s="5" t="s">
        <v>355</v>
      </c>
      <c r="P427" s="5" t="s">
        <v>355</v>
      </c>
      <c r="Q427" s="5" t="s">
        <v>355</v>
      </c>
    </row>
    <row r="428" ht="16.5" customHeight="1">
      <c r="O428" s="5" t="s">
        <v>355</v>
      </c>
      <c r="P428" s="5" t="s">
        <v>355</v>
      </c>
      <c r="Q428" s="5" t="s">
        <v>355</v>
      </c>
    </row>
    <row r="429" ht="16.5" customHeight="1">
      <c r="O429" s="5" t="s">
        <v>355</v>
      </c>
      <c r="P429" s="5" t="s">
        <v>355</v>
      </c>
      <c r="Q429" s="5" t="s">
        <v>355</v>
      </c>
    </row>
    <row r="430" ht="16.5" customHeight="1">
      <c r="O430" s="5" t="s">
        <v>355</v>
      </c>
      <c r="P430" s="5" t="s">
        <v>355</v>
      </c>
      <c r="Q430" s="5" t="s">
        <v>355</v>
      </c>
    </row>
    <row r="431" ht="16.5" customHeight="1">
      <c r="O431" s="5" t="s">
        <v>355</v>
      </c>
      <c r="P431" s="5" t="s">
        <v>355</v>
      </c>
      <c r="Q431" s="5" t="s">
        <v>355</v>
      </c>
    </row>
    <row r="432" ht="16.5" customHeight="1">
      <c r="O432" s="5" t="s">
        <v>355</v>
      </c>
      <c r="P432" s="5" t="s">
        <v>355</v>
      </c>
      <c r="Q432" s="5" t="s">
        <v>355</v>
      </c>
    </row>
    <row r="433" ht="16.5" customHeight="1">
      <c r="O433" s="5" t="s">
        <v>355</v>
      </c>
      <c r="P433" s="5" t="s">
        <v>355</v>
      </c>
      <c r="Q433" s="5" t="s">
        <v>355</v>
      </c>
    </row>
    <row r="434" ht="16.5" customHeight="1">
      <c r="O434" s="5" t="s">
        <v>355</v>
      </c>
      <c r="P434" s="5" t="s">
        <v>355</v>
      </c>
      <c r="Q434" s="5" t="s">
        <v>355</v>
      </c>
    </row>
    <row r="435" ht="16.5" customHeight="1">
      <c r="O435" s="5" t="s">
        <v>355</v>
      </c>
      <c r="P435" s="5" t="s">
        <v>355</v>
      </c>
      <c r="Q435" s="5" t="s">
        <v>355</v>
      </c>
    </row>
    <row r="436" ht="16.5" customHeight="1">
      <c r="O436" s="5" t="s">
        <v>355</v>
      </c>
      <c r="P436" s="5" t="s">
        <v>355</v>
      </c>
      <c r="Q436" s="5" t="s">
        <v>355</v>
      </c>
    </row>
    <row r="437" ht="16.5" customHeight="1">
      <c r="O437" s="5" t="s">
        <v>355</v>
      </c>
      <c r="P437" s="5" t="s">
        <v>355</v>
      </c>
      <c r="Q437" s="5" t="s">
        <v>355</v>
      </c>
    </row>
    <row r="438" ht="16.5" customHeight="1">
      <c r="O438" s="5" t="s">
        <v>355</v>
      </c>
      <c r="P438" s="5" t="s">
        <v>355</v>
      </c>
      <c r="Q438" s="5" t="s">
        <v>355</v>
      </c>
    </row>
    <row r="439" ht="16.5" customHeight="1">
      <c r="O439" s="5" t="s">
        <v>355</v>
      </c>
      <c r="P439" s="5" t="s">
        <v>355</v>
      </c>
      <c r="Q439" s="5" t="s">
        <v>355</v>
      </c>
    </row>
    <row r="440" ht="16.5" customHeight="1">
      <c r="O440" s="5" t="s">
        <v>355</v>
      </c>
      <c r="P440" s="5" t="s">
        <v>355</v>
      </c>
      <c r="Q440" s="5" t="s">
        <v>355</v>
      </c>
    </row>
    <row r="441" ht="16.5" customHeight="1">
      <c r="O441" s="5" t="s">
        <v>355</v>
      </c>
      <c r="P441" s="5" t="s">
        <v>355</v>
      </c>
      <c r="Q441" s="5" t="s">
        <v>355</v>
      </c>
    </row>
    <row r="442" ht="16.5" customHeight="1">
      <c r="O442" s="5" t="s">
        <v>355</v>
      </c>
      <c r="P442" s="5" t="s">
        <v>355</v>
      </c>
      <c r="Q442" s="5" t="s">
        <v>355</v>
      </c>
    </row>
    <row r="443" ht="16.5" customHeight="1">
      <c r="O443" s="5" t="s">
        <v>355</v>
      </c>
      <c r="P443" s="5" t="s">
        <v>355</v>
      </c>
      <c r="Q443" s="5" t="s">
        <v>355</v>
      </c>
    </row>
    <row r="444" ht="16.5" customHeight="1">
      <c r="O444" s="5" t="s">
        <v>355</v>
      </c>
      <c r="P444" s="5" t="s">
        <v>355</v>
      </c>
      <c r="Q444" s="5" t="s">
        <v>355</v>
      </c>
    </row>
    <row r="445" ht="16.5" customHeight="1">
      <c r="O445" s="5" t="s">
        <v>355</v>
      </c>
      <c r="P445" s="5" t="s">
        <v>355</v>
      </c>
      <c r="Q445" s="5" t="s">
        <v>355</v>
      </c>
    </row>
    <row r="446" ht="16.5" customHeight="1">
      <c r="O446" s="5" t="s">
        <v>355</v>
      </c>
      <c r="P446" s="5" t="s">
        <v>355</v>
      </c>
      <c r="Q446" s="5" t="s">
        <v>355</v>
      </c>
    </row>
    <row r="447" ht="16.5" customHeight="1">
      <c r="O447" s="5" t="s">
        <v>355</v>
      </c>
      <c r="P447" s="5" t="s">
        <v>355</v>
      </c>
      <c r="Q447" s="5" t="s">
        <v>355</v>
      </c>
    </row>
    <row r="448" ht="16.5" customHeight="1">
      <c r="O448" s="5" t="s">
        <v>355</v>
      </c>
      <c r="P448" s="5" t="s">
        <v>355</v>
      </c>
      <c r="Q448" s="5" t="s">
        <v>355</v>
      </c>
    </row>
    <row r="449" ht="16.5" customHeight="1">
      <c r="O449" s="5" t="s">
        <v>355</v>
      </c>
      <c r="P449" s="5" t="s">
        <v>355</v>
      </c>
      <c r="Q449" s="5" t="s">
        <v>355</v>
      </c>
    </row>
    <row r="450" ht="16.5" customHeight="1">
      <c r="O450" s="5" t="s">
        <v>355</v>
      </c>
      <c r="P450" s="5" t="s">
        <v>355</v>
      </c>
      <c r="Q450" s="5" t="s">
        <v>355</v>
      </c>
    </row>
    <row r="451" ht="16.5" customHeight="1">
      <c r="O451" s="5" t="s">
        <v>355</v>
      </c>
      <c r="P451" s="5" t="s">
        <v>355</v>
      </c>
      <c r="Q451" s="5" t="s">
        <v>355</v>
      </c>
    </row>
    <row r="452" ht="16.5" customHeight="1">
      <c r="O452" s="5" t="s">
        <v>355</v>
      </c>
      <c r="P452" s="5" t="s">
        <v>355</v>
      </c>
      <c r="Q452" s="5" t="s">
        <v>355</v>
      </c>
    </row>
    <row r="453" ht="16.5" customHeight="1">
      <c r="O453" s="5" t="s">
        <v>355</v>
      </c>
      <c r="P453" s="5" t="s">
        <v>355</v>
      </c>
      <c r="Q453" s="5" t="s">
        <v>355</v>
      </c>
    </row>
    <row r="454" ht="16.5" customHeight="1">
      <c r="O454" s="5" t="s">
        <v>355</v>
      </c>
      <c r="P454" s="5" t="s">
        <v>355</v>
      </c>
      <c r="Q454" s="5" t="s">
        <v>355</v>
      </c>
    </row>
    <row r="455" ht="16.5" customHeight="1">
      <c r="O455" s="5" t="s">
        <v>355</v>
      </c>
      <c r="P455" s="5" t="s">
        <v>355</v>
      </c>
      <c r="Q455" s="5" t="s">
        <v>355</v>
      </c>
    </row>
    <row r="456" ht="16.5" customHeight="1">
      <c r="O456" s="5" t="s">
        <v>355</v>
      </c>
      <c r="P456" s="5" t="s">
        <v>355</v>
      </c>
      <c r="Q456" s="5" t="s">
        <v>355</v>
      </c>
    </row>
    <row r="457" ht="16.5" customHeight="1">
      <c r="O457" s="5" t="s">
        <v>355</v>
      </c>
      <c r="P457" s="5" t="s">
        <v>355</v>
      </c>
      <c r="Q457" s="5" t="s">
        <v>355</v>
      </c>
    </row>
    <row r="458" ht="16.5" customHeight="1">
      <c r="O458" s="5" t="s">
        <v>355</v>
      </c>
      <c r="P458" s="5" t="s">
        <v>355</v>
      </c>
      <c r="Q458" s="5" t="s">
        <v>355</v>
      </c>
    </row>
    <row r="459" ht="16.5" customHeight="1">
      <c r="O459" s="5" t="s">
        <v>355</v>
      </c>
      <c r="P459" s="5" t="s">
        <v>355</v>
      </c>
      <c r="Q459" s="5" t="s">
        <v>355</v>
      </c>
    </row>
    <row r="460" ht="16.5" customHeight="1">
      <c r="O460" s="5" t="s">
        <v>355</v>
      </c>
      <c r="P460" s="5" t="s">
        <v>355</v>
      </c>
      <c r="Q460" s="5" t="s">
        <v>355</v>
      </c>
    </row>
    <row r="461" ht="16.5" customHeight="1">
      <c r="O461" s="5" t="s">
        <v>355</v>
      </c>
      <c r="P461" s="5" t="s">
        <v>355</v>
      </c>
      <c r="Q461" s="5" t="s">
        <v>355</v>
      </c>
    </row>
    <row r="462" ht="16.5" customHeight="1">
      <c r="O462" s="5" t="s">
        <v>355</v>
      </c>
      <c r="P462" s="5" t="s">
        <v>355</v>
      </c>
      <c r="Q462" s="5" t="s">
        <v>355</v>
      </c>
    </row>
    <row r="463" ht="16.5" customHeight="1">
      <c r="O463" s="5" t="s">
        <v>355</v>
      </c>
      <c r="P463" s="5" t="s">
        <v>355</v>
      </c>
      <c r="Q463" s="5" t="s">
        <v>355</v>
      </c>
    </row>
    <row r="464" ht="16.5" customHeight="1">
      <c r="O464" s="5" t="s">
        <v>355</v>
      </c>
      <c r="P464" s="5" t="s">
        <v>355</v>
      </c>
      <c r="Q464" s="5" t="s">
        <v>355</v>
      </c>
    </row>
    <row r="465" ht="16.5" customHeight="1">
      <c r="O465" s="5" t="s">
        <v>355</v>
      </c>
      <c r="P465" s="5" t="s">
        <v>355</v>
      </c>
      <c r="Q465" s="5" t="s">
        <v>355</v>
      </c>
    </row>
    <row r="466" ht="16.5" customHeight="1">
      <c r="O466" s="5" t="s">
        <v>355</v>
      </c>
      <c r="P466" s="5" t="s">
        <v>355</v>
      </c>
      <c r="Q466" s="5" t="s">
        <v>355</v>
      </c>
    </row>
    <row r="467" ht="16.5" customHeight="1">
      <c r="O467" s="5" t="s">
        <v>355</v>
      </c>
      <c r="P467" s="5" t="s">
        <v>355</v>
      </c>
      <c r="Q467" s="5" t="s">
        <v>355</v>
      </c>
    </row>
    <row r="468" ht="16.5" customHeight="1">
      <c r="O468" s="5" t="s">
        <v>355</v>
      </c>
      <c r="P468" s="5" t="s">
        <v>355</v>
      </c>
      <c r="Q468" s="5" t="s">
        <v>355</v>
      </c>
    </row>
    <row r="469" ht="16.5" customHeight="1">
      <c r="O469" s="5" t="s">
        <v>355</v>
      </c>
      <c r="P469" s="5" t="s">
        <v>355</v>
      </c>
      <c r="Q469" s="5" t="s">
        <v>355</v>
      </c>
    </row>
    <row r="470" ht="16.5" customHeight="1">
      <c r="O470" s="5" t="s">
        <v>355</v>
      </c>
      <c r="P470" s="5" t="s">
        <v>355</v>
      </c>
      <c r="Q470" s="5" t="s">
        <v>355</v>
      </c>
    </row>
    <row r="471" ht="16.5" customHeight="1">
      <c r="O471" s="5" t="s">
        <v>355</v>
      </c>
      <c r="P471" s="5" t="s">
        <v>355</v>
      </c>
      <c r="Q471" s="5" t="s">
        <v>355</v>
      </c>
    </row>
    <row r="472" ht="16.5" customHeight="1">
      <c r="O472" s="5" t="s">
        <v>355</v>
      </c>
      <c r="P472" s="5" t="s">
        <v>355</v>
      </c>
      <c r="Q472" s="5" t="s">
        <v>355</v>
      </c>
    </row>
    <row r="473" ht="16.5" customHeight="1">
      <c r="O473" s="5" t="s">
        <v>355</v>
      </c>
      <c r="P473" s="5" t="s">
        <v>355</v>
      </c>
      <c r="Q473" s="5" t="s">
        <v>355</v>
      </c>
    </row>
    <row r="474" ht="16.5" customHeight="1">
      <c r="O474" s="5" t="s">
        <v>355</v>
      </c>
      <c r="P474" s="5" t="s">
        <v>355</v>
      </c>
      <c r="Q474" s="5" t="s">
        <v>355</v>
      </c>
    </row>
    <row r="475" ht="16.5" customHeight="1">
      <c r="O475" s="5" t="s">
        <v>355</v>
      </c>
      <c r="P475" s="5" t="s">
        <v>355</v>
      </c>
      <c r="Q475" s="5" t="s">
        <v>355</v>
      </c>
    </row>
    <row r="476" ht="16.5" customHeight="1">
      <c r="O476" s="5" t="s">
        <v>355</v>
      </c>
      <c r="P476" s="5" t="s">
        <v>355</v>
      </c>
      <c r="Q476" s="5" t="s">
        <v>355</v>
      </c>
    </row>
    <row r="477" ht="16.5" customHeight="1">
      <c r="O477" s="5" t="s">
        <v>355</v>
      </c>
      <c r="P477" s="5" t="s">
        <v>355</v>
      </c>
      <c r="Q477" s="5" t="s">
        <v>355</v>
      </c>
    </row>
    <row r="478" ht="16.5" customHeight="1">
      <c r="O478" s="5" t="s">
        <v>355</v>
      </c>
      <c r="P478" s="5" t="s">
        <v>355</v>
      </c>
      <c r="Q478" s="5" t="s">
        <v>355</v>
      </c>
    </row>
    <row r="479" ht="16.5" customHeight="1">
      <c r="O479" s="5" t="s">
        <v>355</v>
      </c>
      <c r="P479" s="5" t="s">
        <v>355</v>
      </c>
      <c r="Q479" s="5" t="s">
        <v>355</v>
      </c>
    </row>
    <row r="480" ht="16.5" customHeight="1">
      <c r="O480" s="5" t="s">
        <v>355</v>
      </c>
      <c r="P480" s="5" t="s">
        <v>355</v>
      </c>
      <c r="Q480" s="5" t="s">
        <v>355</v>
      </c>
    </row>
    <row r="481" ht="16.5" customHeight="1">
      <c r="O481" s="5" t="s">
        <v>355</v>
      </c>
      <c r="P481" s="5" t="s">
        <v>355</v>
      </c>
      <c r="Q481" s="5" t="s">
        <v>355</v>
      </c>
    </row>
    <row r="482" ht="16.5" customHeight="1">
      <c r="O482" s="5" t="s">
        <v>355</v>
      </c>
      <c r="P482" s="5" t="s">
        <v>355</v>
      </c>
      <c r="Q482" s="5" t="s">
        <v>355</v>
      </c>
    </row>
    <row r="483" ht="16.5" customHeight="1">
      <c r="O483" s="5" t="s">
        <v>355</v>
      </c>
      <c r="P483" s="5" t="s">
        <v>355</v>
      </c>
      <c r="Q483" s="5" t="s">
        <v>355</v>
      </c>
    </row>
    <row r="484" ht="16.5" customHeight="1">
      <c r="O484" s="5" t="s">
        <v>355</v>
      </c>
      <c r="P484" s="5" t="s">
        <v>355</v>
      </c>
      <c r="Q484" s="5" t="s">
        <v>355</v>
      </c>
    </row>
    <row r="485" ht="16.5" customHeight="1">
      <c r="O485" s="5" t="s">
        <v>355</v>
      </c>
      <c r="P485" s="5" t="s">
        <v>355</v>
      </c>
      <c r="Q485" s="5" t="s">
        <v>355</v>
      </c>
    </row>
    <row r="486" ht="16.5" customHeight="1">
      <c r="O486" s="5" t="s">
        <v>355</v>
      </c>
      <c r="P486" s="5" t="s">
        <v>355</v>
      </c>
      <c r="Q486" s="5" t="s">
        <v>355</v>
      </c>
    </row>
    <row r="487" ht="16.5" customHeight="1">
      <c r="O487" s="5" t="s">
        <v>355</v>
      </c>
      <c r="P487" s="5" t="s">
        <v>355</v>
      </c>
      <c r="Q487" s="5" t="s">
        <v>355</v>
      </c>
    </row>
    <row r="488" ht="16.5" customHeight="1">
      <c r="O488" s="5" t="s">
        <v>355</v>
      </c>
      <c r="P488" s="5" t="s">
        <v>355</v>
      </c>
      <c r="Q488" s="5" t="s">
        <v>355</v>
      </c>
    </row>
    <row r="489" ht="16.5" customHeight="1">
      <c r="O489" s="5" t="s">
        <v>355</v>
      </c>
      <c r="P489" s="5" t="s">
        <v>355</v>
      </c>
      <c r="Q489" s="5" t="s">
        <v>355</v>
      </c>
    </row>
    <row r="490" ht="16.5" customHeight="1">
      <c r="O490" s="5" t="s">
        <v>355</v>
      </c>
      <c r="P490" s="5" t="s">
        <v>355</v>
      </c>
      <c r="Q490" s="5" t="s">
        <v>355</v>
      </c>
    </row>
    <row r="491" ht="16.5" customHeight="1">
      <c r="O491" s="5" t="s">
        <v>355</v>
      </c>
      <c r="P491" s="5" t="s">
        <v>355</v>
      </c>
      <c r="Q491" s="5" t="s">
        <v>355</v>
      </c>
    </row>
    <row r="492" ht="16.5" customHeight="1">
      <c r="O492" s="5" t="s">
        <v>355</v>
      </c>
      <c r="P492" s="5" t="s">
        <v>355</v>
      </c>
      <c r="Q492" s="5" t="s">
        <v>355</v>
      </c>
    </row>
    <row r="493" ht="16.5" customHeight="1">
      <c r="O493" s="5" t="s">
        <v>355</v>
      </c>
      <c r="P493" s="5" t="s">
        <v>355</v>
      </c>
      <c r="Q493" s="5" t="s">
        <v>355</v>
      </c>
    </row>
    <row r="494" ht="16.5" customHeight="1">
      <c r="O494" s="5" t="s">
        <v>355</v>
      </c>
      <c r="P494" s="5" t="s">
        <v>355</v>
      </c>
      <c r="Q494" s="5" t="s">
        <v>355</v>
      </c>
    </row>
    <row r="495" ht="16.5" customHeight="1">
      <c r="O495" s="5" t="s">
        <v>355</v>
      </c>
      <c r="P495" s="5" t="s">
        <v>355</v>
      </c>
      <c r="Q495" s="5" t="s">
        <v>355</v>
      </c>
    </row>
    <row r="496" ht="16.5" customHeight="1">
      <c r="O496" s="5" t="s">
        <v>355</v>
      </c>
      <c r="P496" s="5" t="s">
        <v>355</v>
      </c>
      <c r="Q496" s="5" t="s">
        <v>355</v>
      </c>
    </row>
    <row r="497" ht="16.5" customHeight="1">
      <c r="O497" s="5" t="s">
        <v>355</v>
      </c>
      <c r="P497" s="5" t="s">
        <v>355</v>
      </c>
      <c r="Q497" s="5" t="s">
        <v>355</v>
      </c>
    </row>
    <row r="498" ht="16.5" customHeight="1">
      <c r="O498" s="5" t="s">
        <v>355</v>
      </c>
      <c r="P498" s="5" t="s">
        <v>355</v>
      </c>
      <c r="Q498" s="5" t="s">
        <v>355</v>
      </c>
    </row>
    <row r="499" ht="16.5" customHeight="1">
      <c r="O499" s="5" t="s">
        <v>355</v>
      </c>
      <c r="P499" s="5" t="s">
        <v>355</v>
      </c>
      <c r="Q499" s="5" t="s">
        <v>355</v>
      </c>
    </row>
    <row r="500" ht="16.5" customHeight="1">
      <c r="O500" s="5" t="s">
        <v>355</v>
      </c>
      <c r="P500" s="5" t="s">
        <v>355</v>
      </c>
      <c r="Q500" s="5" t="s">
        <v>355</v>
      </c>
    </row>
    <row r="501" ht="16.5" customHeight="1">
      <c r="O501" s="5" t="s">
        <v>355</v>
      </c>
      <c r="P501" s="5" t="s">
        <v>355</v>
      </c>
      <c r="Q501" s="5" t="s">
        <v>355</v>
      </c>
    </row>
    <row r="502" ht="16.5" customHeight="1">
      <c r="O502" s="5" t="s">
        <v>355</v>
      </c>
      <c r="P502" s="5" t="s">
        <v>355</v>
      </c>
      <c r="Q502" s="5" t="s">
        <v>355</v>
      </c>
    </row>
    <row r="503" ht="16.5" customHeight="1">
      <c r="O503" s="5" t="s">
        <v>355</v>
      </c>
      <c r="P503" s="5" t="s">
        <v>355</v>
      </c>
      <c r="Q503" s="5" t="s">
        <v>355</v>
      </c>
    </row>
    <row r="504" ht="16.5" customHeight="1">
      <c r="O504" s="5" t="s">
        <v>355</v>
      </c>
      <c r="P504" s="5" t="s">
        <v>355</v>
      </c>
      <c r="Q504" s="5" t="s">
        <v>355</v>
      </c>
    </row>
    <row r="505" ht="16.5" customHeight="1">
      <c r="O505" s="5" t="s">
        <v>355</v>
      </c>
      <c r="P505" s="5" t="s">
        <v>355</v>
      </c>
      <c r="Q505" s="5" t="s">
        <v>355</v>
      </c>
    </row>
    <row r="506" ht="16.5" customHeight="1">
      <c r="O506" s="5" t="s">
        <v>355</v>
      </c>
      <c r="P506" s="5" t="s">
        <v>355</v>
      </c>
      <c r="Q506" s="5" t="s">
        <v>355</v>
      </c>
    </row>
    <row r="507" ht="16.5" customHeight="1">
      <c r="O507" s="5" t="s">
        <v>355</v>
      </c>
      <c r="P507" s="5" t="s">
        <v>355</v>
      </c>
      <c r="Q507" s="5" t="s">
        <v>355</v>
      </c>
    </row>
    <row r="508" ht="16.5" customHeight="1">
      <c r="O508" s="5" t="s">
        <v>355</v>
      </c>
      <c r="P508" s="5" t="s">
        <v>355</v>
      </c>
      <c r="Q508" s="5" t="s">
        <v>355</v>
      </c>
    </row>
    <row r="509" ht="16.5" customHeight="1">
      <c r="O509" s="5" t="s">
        <v>355</v>
      </c>
      <c r="P509" s="5" t="s">
        <v>355</v>
      </c>
      <c r="Q509" s="5" t="s">
        <v>355</v>
      </c>
    </row>
    <row r="510" ht="16.5" customHeight="1">
      <c r="O510" s="5" t="s">
        <v>355</v>
      </c>
      <c r="P510" s="5" t="s">
        <v>355</v>
      </c>
      <c r="Q510" s="5" t="s">
        <v>355</v>
      </c>
    </row>
    <row r="511" ht="16.5" customHeight="1">
      <c r="O511" s="5" t="s">
        <v>355</v>
      </c>
      <c r="P511" s="5" t="s">
        <v>355</v>
      </c>
      <c r="Q511" s="5" t="s">
        <v>355</v>
      </c>
    </row>
    <row r="512" ht="16.5" customHeight="1">
      <c r="O512" s="5" t="s">
        <v>355</v>
      </c>
      <c r="P512" s="5" t="s">
        <v>355</v>
      </c>
      <c r="Q512" s="5" t="s">
        <v>355</v>
      </c>
    </row>
    <row r="513" ht="16.5" customHeight="1">
      <c r="O513" s="5" t="s">
        <v>355</v>
      </c>
      <c r="P513" s="5" t="s">
        <v>355</v>
      </c>
      <c r="Q513" s="5" t="s">
        <v>355</v>
      </c>
    </row>
    <row r="514" ht="16.5" customHeight="1">
      <c r="O514" s="5" t="s">
        <v>355</v>
      </c>
      <c r="P514" s="5" t="s">
        <v>355</v>
      </c>
      <c r="Q514" s="5" t="s">
        <v>355</v>
      </c>
    </row>
    <row r="515" ht="16.5" customHeight="1">
      <c r="O515" s="5" t="s">
        <v>355</v>
      </c>
      <c r="P515" s="5" t="s">
        <v>355</v>
      </c>
      <c r="Q515" s="5" t="s">
        <v>355</v>
      </c>
    </row>
    <row r="516" ht="16.5" customHeight="1">
      <c r="O516" s="5" t="s">
        <v>355</v>
      </c>
      <c r="P516" s="5" t="s">
        <v>355</v>
      </c>
      <c r="Q516" s="5" t="s">
        <v>355</v>
      </c>
    </row>
    <row r="517" ht="16.5" customHeight="1">
      <c r="O517" s="5" t="s">
        <v>355</v>
      </c>
      <c r="P517" s="5" t="s">
        <v>355</v>
      </c>
      <c r="Q517" s="5" t="s">
        <v>355</v>
      </c>
    </row>
    <row r="518" ht="16.5" customHeight="1">
      <c r="O518" s="5" t="s">
        <v>355</v>
      </c>
      <c r="P518" s="5" t="s">
        <v>355</v>
      </c>
      <c r="Q518" s="5" t="s">
        <v>355</v>
      </c>
    </row>
    <row r="519" ht="16.5" customHeight="1">
      <c r="O519" s="5" t="s">
        <v>355</v>
      </c>
      <c r="P519" s="5" t="s">
        <v>355</v>
      </c>
      <c r="Q519" s="5" t="s">
        <v>355</v>
      </c>
    </row>
    <row r="520" ht="16.5" customHeight="1">
      <c r="O520" s="5" t="s">
        <v>355</v>
      </c>
      <c r="P520" s="5" t="s">
        <v>355</v>
      </c>
      <c r="Q520" s="5" t="s">
        <v>355</v>
      </c>
    </row>
    <row r="521" ht="16.5" customHeight="1">
      <c r="O521" s="5" t="s">
        <v>355</v>
      </c>
      <c r="P521" s="5" t="s">
        <v>355</v>
      </c>
      <c r="Q521" s="5" t="s">
        <v>355</v>
      </c>
    </row>
    <row r="522" ht="16.5" customHeight="1">
      <c r="O522" s="5" t="s">
        <v>355</v>
      </c>
      <c r="P522" s="5" t="s">
        <v>355</v>
      </c>
      <c r="Q522" s="5" t="s">
        <v>355</v>
      </c>
    </row>
    <row r="523" ht="16.5" customHeight="1">
      <c r="O523" s="5" t="s">
        <v>355</v>
      </c>
      <c r="P523" s="5" t="s">
        <v>355</v>
      </c>
      <c r="Q523" s="5" t="s">
        <v>355</v>
      </c>
    </row>
    <row r="524" ht="16.5" customHeight="1">
      <c r="O524" s="5" t="s">
        <v>355</v>
      </c>
      <c r="P524" s="5" t="s">
        <v>355</v>
      </c>
      <c r="Q524" s="5" t="s">
        <v>355</v>
      </c>
    </row>
    <row r="525" ht="16.5" customHeight="1">
      <c r="O525" s="5" t="s">
        <v>355</v>
      </c>
      <c r="P525" s="5" t="s">
        <v>355</v>
      </c>
      <c r="Q525" s="5" t="s">
        <v>355</v>
      </c>
    </row>
    <row r="526" ht="16.5" customHeight="1">
      <c r="O526" s="5" t="s">
        <v>355</v>
      </c>
      <c r="P526" s="5" t="s">
        <v>355</v>
      </c>
      <c r="Q526" s="5" t="s">
        <v>355</v>
      </c>
    </row>
    <row r="527" ht="16.5" customHeight="1">
      <c r="O527" s="5" t="s">
        <v>355</v>
      </c>
      <c r="P527" s="5" t="s">
        <v>355</v>
      </c>
      <c r="Q527" s="5" t="s">
        <v>355</v>
      </c>
    </row>
    <row r="528" ht="16.5" customHeight="1">
      <c r="O528" s="5" t="s">
        <v>355</v>
      </c>
      <c r="P528" s="5" t="s">
        <v>355</v>
      </c>
      <c r="Q528" s="5" t="s">
        <v>355</v>
      </c>
    </row>
    <row r="529" ht="16.5" customHeight="1">
      <c r="O529" s="5" t="s">
        <v>355</v>
      </c>
      <c r="P529" s="5" t="s">
        <v>355</v>
      </c>
      <c r="Q529" s="5" t="s">
        <v>355</v>
      </c>
    </row>
    <row r="530" ht="16.5" customHeight="1">
      <c r="O530" s="5" t="s">
        <v>355</v>
      </c>
      <c r="P530" s="5" t="s">
        <v>355</v>
      </c>
      <c r="Q530" s="5" t="s">
        <v>355</v>
      </c>
    </row>
    <row r="531" ht="16.5" customHeight="1">
      <c r="O531" s="5" t="s">
        <v>355</v>
      </c>
      <c r="P531" s="5" t="s">
        <v>355</v>
      </c>
      <c r="Q531" s="5" t="s">
        <v>355</v>
      </c>
    </row>
    <row r="532" ht="16.5" customHeight="1">
      <c r="O532" s="5" t="s">
        <v>355</v>
      </c>
      <c r="P532" s="5" t="s">
        <v>355</v>
      </c>
      <c r="Q532" s="5" t="s">
        <v>355</v>
      </c>
    </row>
    <row r="533" ht="16.5" customHeight="1">
      <c r="O533" s="5" t="s">
        <v>355</v>
      </c>
      <c r="P533" s="5" t="s">
        <v>355</v>
      </c>
      <c r="Q533" s="5" t="s">
        <v>355</v>
      </c>
    </row>
    <row r="534" ht="16.5" customHeight="1">
      <c r="O534" s="5" t="s">
        <v>355</v>
      </c>
      <c r="P534" s="5" t="s">
        <v>355</v>
      </c>
      <c r="Q534" s="5" t="s">
        <v>355</v>
      </c>
    </row>
    <row r="535" ht="16.5" customHeight="1">
      <c r="O535" s="5" t="s">
        <v>355</v>
      </c>
      <c r="P535" s="5" t="s">
        <v>355</v>
      </c>
      <c r="Q535" s="5" t="s">
        <v>355</v>
      </c>
    </row>
    <row r="536" ht="16.5" customHeight="1">
      <c r="O536" s="5" t="s">
        <v>355</v>
      </c>
      <c r="P536" s="5" t="s">
        <v>355</v>
      </c>
      <c r="Q536" s="5" t="s">
        <v>355</v>
      </c>
    </row>
    <row r="537" ht="16.5" customHeight="1">
      <c r="O537" s="5" t="s">
        <v>355</v>
      </c>
      <c r="P537" s="5" t="s">
        <v>355</v>
      </c>
      <c r="Q537" s="5" t="s">
        <v>355</v>
      </c>
    </row>
    <row r="538" ht="16.5" customHeight="1">
      <c r="O538" s="5" t="s">
        <v>355</v>
      </c>
      <c r="P538" s="5" t="s">
        <v>355</v>
      </c>
      <c r="Q538" s="5" t="s">
        <v>355</v>
      </c>
    </row>
    <row r="539" ht="16.5" customHeight="1">
      <c r="O539" s="5" t="s">
        <v>355</v>
      </c>
      <c r="P539" s="5" t="s">
        <v>355</v>
      </c>
      <c r="Q539" s="5" t="s">
        <v>355</v>
      </c>
    </row>
    <row r="540" ht="16.5" customHeight="1">
      <c r="O540" s="5" t="s">
        <v>355</v>
      </c>
      <c r="P540" s="5" t="s">
        <v>355</v>
      </c>
      <c r="Q540" s="5" t="s">
        <v>355</v>
      </c>
    </row>
    <row r="541" ht="16.5" customHeight="1">
      <c r="O541" s="5" t="s">
        <v>355</v>
      </c>
      <c r="P541" s="5" t="s">
        <v>355</v>
      </c>
      <c r="Q541" s="5" t="s">
        <v>355</v>
      </c>
    </row>
    <row r="542" ht="16.5" customHeight="1">
      <c r="O542" s="5" t="s">
        <v>355</v>
      </c>
      <c r="P542" s="5" t="s">
        <v>355</v>
      </c>
      <c r="Q542" s="5" t="s">
        <v>355</v>
      </c>
    </row>
    <row r="543" ht="16.5" customHeight="1">
      <c r="O543" s="5" t="s">
        <v>355</v>
      </c>
      <c r="P543" s="5" t="s">
        <v>355</v>
      </c>
      <c r="Q543" s="5" t="s">
        <v>355</v>
      </c>
    </row>
    <row r="544" ht="16.5" customHeight="1">
      <c r="O544" s="5" t="s">
        <v>355</v>
      </c>
      <c r="P544" s="5" t="s">
        <v>355</v>
      </c>
      <c r="Q544" s="5" t="s">
        <v>355</v>
      </c>
    </row>
    <row r="545" ht="16.5" customHeight="1">
      <c r="O545" s="5" t="s">
        <v>355</v>
      </c>
      <c r="P545" s="5" t="s">
        <v>355</v>
      </c>
      <c r="Q545" s="5" t="s">
        <v>355</v>
      </c>
    </row>
    <row r="546" ht="16.5" customHeight="1">
      <c r="O546" s="5" t="s">
        <v>355</v>
      </c>
      <c r="P546" s="5" t="s">
        <v>355</v>
      </c>
      <c r="Q546" s="5" t="s">
        <v>355</v>
      </c>
    </row>
    <row r="547" ht="16.5" customHeight="1">
      <c r="O547" s="5" t="s">
        <v>355</v>
      </c>
      <c r="P547" s="5" t="s">
        <v>355</v>
      </c>
      <c r="Q547" s="5" t="s">
        <v>355</v>
      </c>
    </row>
    <row r="548" ht="16.5" customHeight="1">
      <c r="O548" s="5" t="s">
        <v>355</v>
      </c>
      <c r="P548" s="5" t="s">
        <v>355</v>
      </c>
      <c r="Q548" s="5" t="s">
        <v>355</v>
      </c>
    </row>
    <row r="549" ht="16.5" customHeight="1">
      <c r="O549" s="5" t="s">
        <v>355</v>
      </c>
      <c r="P549" s="5" t="s">
        <v>355</v>
      </c>
      <c r="Q549" s="5" t="s">
        <v>355</v>
      </c>
    </row>
    <row r="550" ht="16.5" customHeight="1">
      <c r="O550" s="5" t="s">
        <v>355</v>
      </c>
      <c r="P550" s="5" t="s">
        <v>355</v>
      </c>
      <c r="Q550" s="5" t="s">
        <v>355</v>
      </c>
    </row>
    <row r="551" ht="16.5" customHeight="1">
      <c r="O551" s="5" t="s">
        <v>355</v>
      </c>
      <c r="P551" s="5" t="s">
        <v>355</v>
      </c>
      <c r="Q551" s="5" t="s">
        <v>355</v>
      </c>
    </row>
    <row r="552" ht="16.5" customHeight="1">
      <c r="O552" s="5" t="s">
        <v>355</v>
      </c>
      <c r="P552" s="5" t="s">
        <v>355</v>
      </c>
      <c r="Q552" s="5" t="s">
        <v>355</v>
      </c>
    </row>
    <row r="553" ht="16.5" customHeight="1">
      <c r="O553" s="5" t="s">
        <v>355</v>
      </c>
      <c r="P553" s="5" t="s">
        <v>355</v>
      </c>
      <c r="Q553" s="5" t="s">
        <v>355</v>
      </c>
    </row>
    <row r="554" ht="16.5" customHeight="1">
      <c r="O554" s="5" t="s">
        <v>355</v>
      </c>
      <c r="P554" s="5" t="s">
        <v>355</v>
      </c>
      <c r="Q554" s="5" t="s">
        <v>355</v>
      </c>
    </row>
    <row r="555" ht="16.5" customHeight="1">
      <c r="O555" s="5" t="s">
        <v>355</v>
      </c>
      <c r="P555" s="5" t="s">
        <v>355</v>
      </c>
      <c r="Q555" s="5" t="s">
        <v>355</v>
      </c>
    </row>
    <row r="556" ht="16.5" customHeight="1">
      <c r="O556" s="5" t="s">
        <v>355</v>
      </c>
      <c r="P556" s="5" t="s">
        <v>355</v>
      </c>
      <c r="Q556" s="5" t="s">
        <v>355</v>
      </c>
    </row>
    <row r="557" ht="16.5" customHeight="1">
      <c r="O557" s="5" t="s">
        <v>355</v>
      </c>
      <c r="P557" s="5" t="s">
        <v>355</v>
      </c>
      <c r="Q557" s="5" t="s">
        <v>355</v>
      </c>
    </row>
    <row r="558" ht="16.5" customHeight="1">
      <c r="O558" s="5" t="s">
        <v>355</v>
      </c>
      <c r="P558" s="5" t="s">
        <v>355</v>
      </c>
      <c r="Q558" s="5" t="s">
        <v>355</v>
      </c>
    </row>
    <row r="559" ht="16.5" customHeight="1">
      <c r="O559" s="5" t="s">
        <v>355</v>
      </c>
      <c r="P559" s="5" t="s">
        <v>355</v>
      </c>
      <c r="Q559" s="5" t="s">
        <v>355</v>
      </c>
    </row>
    <row r="560" ht="16.5" customHeight="1">
      <c r="O560" s="5" t="s">
        <v>355</v>
      </c>
      <c r="P560" s="5" t="s">
        <v>355</v>
      </c>
      <c r="Q560" s="5" t="s">
        <v>355</v>
      </c>
    </row>
    <row r="561" ht="16.5" customHeight="1">
      <c r="O561" s="5" t="s">
        <v>355</v>
      </c>
      <c r="P561" s="5" t="s">
        <v>355</v>
      </c>
      <c r="Q561" s="5" t="s">
        <v>355</v>
      </c>
    </row>
    <row r="562" ht="16.5" customHeight="1">
      <c r="O562" s="5" t="s">
        <v>355</v>
      </c>
      <c r="P562" s="5" t="s">
        <v>355</v>
      </c>
      <c r="Q562" s="5" t="s">
        <v>355</v>
      </c>
    </row>
    <row r="563" ht="16.5" customHeight="1">
      <c r="O563" s="5" t="s">
        <v>355</v>
      </c>
      <c r="P563" s="5" t="s">
        <v>355</v>
      </c>
      <c r="Q563" s="5" t="s">
        <v>355</v>
      </c>
    </row>
    <row r="564" ht="16.5" customHeight="1">
      <c r="O564" s="5" t="s">
        <v>355</v>
      </c>
      <c r="P564" s="5" t="s">
        <v>355</v>
      </c>
      <c r="Q564" s="5" t="s">
        <v>355</v>
      </c>
    </row>
    <row r="565" ht="16.5" customHeight="1">
      <c r="O565" s="5" t="s">
        <v>355</v>
      </c>
      <c r="P565" s="5" t="s">
        <v>355</v>
      </c>
      <c r="Q565" s="5" t="s">
        <v>355</v>
      </c>
    </row>
    <row r="566" ht="16.5" customHeight="1">
      <c r="O566" s="5" t="s">
        <v>355</v>
      </c>
      <c r="P566" s="5" t="s">
        <v>355</v>
      </c>
      <c r="Q566" s="5" t="s">
        <v>355</v>
      </c>
    </row>
    <row r="567" ht="16.5" customHeight="1">
      <c r="O567" s="5" t="s">
        <v>355</v>
      </c>
      <c r="P567" s="5" t="s">
        <v>355</v>
      </c>
      <c r="Q567" s="5" t="s">
        <v>355</v>
      </c>
    </row>
    <row r="568" ht="16.5" customHeight="1">
      <c r="O568" s="5" t="s">
        <v>355</v>
      </c>
      <c r="P568" s="5" t="s">
        <v>355</v>
      </c>
      <c r="Q568" s="5" t="s">
        <v>355</v>
      </c>
    </row>
    <row r="569" ht="16.5" customHeight="1">
      <c r="O569" s="5" t="s">
        <v>355</v>
      </c>
      <c r="P569" s="5" t="s">
        <v>355</v>
      </c>
      <c r="Q569" s="5" t="s">
        <v>355</v>
      </c>
    </row>
    <row r="570" ht="16.5" customHeight="1">
      <c r="O570" s="5" t="s">
        <v>355</v>
      </c>
      <c r="P570" s="5" t="s">
        <v>355</v>
      </c>
      <c r="Q570" s="5" t="s">
        <v>355</v>
      </c>
    </row>
    <row r="571" ht="16.5" customHeight="1">
      <c r="O571" s="5" t="s">
        <v>355</v>
      </c>
      <c r="P571" s="5" t="s">
        <v>355</v>
      </c>
      <c r="Q571" s="5" t="s">
        <v>355</v>
      </c>
    </row>
    <row r="572" ht="16.5" customHeight="1">
      <c r="O572" s="5" t="s">
        <v>355</v>
      </c>
      <c r="P572" s="5" t="s">
        <v>355</v>
      </c>
      <c r="Q572" s="5" t="s">
        <v>355</v>
      </c>
    </row>
    <row r="573" ht="16.5" customHeight="1">
      <c r="O573" s="5" t="s">
        <v>355</v>
      </c>
      <c r="P573" s="5" t="s">
        <v>355</v>
      </c>
      <c r="Q573" s="5" t="s">
        <v>355</v>
      </c>
    </row>
    <row r="574" ht="16.5" customHeight="1">
      <c r="O574" s="5" t="s">
        <v>355</v>
      </c>
      <c r="P574" s="5" t="s">
        <v>355</v>
      </c>
      <c r="Q574" s="5" t="s">
        <v>355</v>
      </c>
    </row>
    <row r="575" ht="16.5" customHeight="1">
      <c r="O575" s="5" t="s">
        <v>355</v>
      </c>
      <c r="P575" s="5" t="s">
        <v>355</v>
      </c>
      <c r="Q575" s="5" t="s">
        <v>355</v>
      </c>
    </row>
    <row r="576" ht="16.5" customHeight="1">
      <c r="O576" s="5" t="s">
        <v>355</v>
      </c>
      <c r="P576" s="5" t="s">
        <v>355</v>
      </c>
      <c r="Q576" s="5" t="s">
        <v>355</v>
      </c>
    </row>
    <row r="577" ht="16.5" customHeight="1">
      <c r="O577" s="5" t="s">
        <v>355</v>
      </c>
      <c r="P577" s="5" t="s">
        <v>355</v>
      </c>
      <c r="Q577" s="5" t="s">
        <v>355</v>
      </c>
    </row>
    <row r="578" ht="16.5" customHeight="1">
      <c r="O578" s="5" t="s">
        <v>355</v>
      </c>
      <c r="P578" s="5" t="s">
        <v>355</v>
      </c>
      <c r="Q578" s="5" t="s">
        <v>355</v>
      </c>
    </row>
    <row r="579" ht="16.5" customHeight="1">
      <c r="O579" s="5" t="s">
        <v>355</v>
      </c>
      <c r="P579" s="5" t="s">
        <v>355</v>
      </c>
      <c r="Q579" s="5" t="s">
        <v>355</v>
      </c>
    </row>
    <row r="580" ht="16.5" customHeight="1">
      <c r="O580" s="5" t="s">
        <v>355</v>
      </c>
      <c r="P580" s="5" t="s">
        <v>355</v>
      </c>
      <c r="Q580" s="5" t="s">
        <v>355</v>
      </c>
    </row>
    <row r="581" ht="16.5" customHeight="1">
      <c r="O581" s="5" t="s">
        <v>355</v>
      </c>
      <c r="P581" s="5" t="s">
        <v>355</v>
      </c>
      <c r="Q581" s="5" t="s">
        <v>355</v>
      </c>
    </row>
    <row r="582" ht="16.5" customHeight="1">
      <c r="O582" s="5" t="s">
        <v>355</v>
      </c>
      <c r="P582" s="5" t="s">
        <v>355</v>
      </c>
      <c r="Q582" s="5" t="s">
        <v>355</v>
      </c>
    </row>
    <row r="583" ht="16.5" customHeight="1">
      <c r="O583" s="5" t="s">
        <v>355</v>
      </c>
      <c r="P583" s="5" t="s">
        <v>355</v>
      </c>
      <c r="Q583" s="5" t="s">
        <v>355</v>
      </c>
    </row>
    <row r="584" ht="16.5" customHeight="1">
      <c r="O584" s="5" t="s">
        <v>355</v>
      </c>
      <c r="P584" s="5" t="s">
        <v>355</v>
      </c>
      <c r="Q584" s="5" t="s">
        <v>355</v>
      </c>
    </row>
    <row r="585" ht="16.5" customHeight="1">
      <c r="O585" s="5" t="s">
        <v>355</v>
      </c>
      <c r="P585" s="5" t="s">
        <v>355</v>
      </c>
      <c r="Q585" s="5" t="s">
        <v>355</v>
      </c>
    </row>
    <row r="586" ht="16.5" customHeight="1">
      <c r="O586" s="5" t="s">
        <v>355</v>
      </c>
      <c r="P586" s="5" t="s">
        <v>355</v>
      </c>
      <c r="Q586" s="5" t="s">
        <v>355</v>
      </c>
    </row>
    <row r="587" ht="16.5" customHeight="1">
      <c r="O587" s="5" t="s">
        <v>355</v>
      </c>
      <c r="P587" s="5" t="s">
        <v>355</v>
      </c>
      <c r="Q587" s="5" t="s">
        <v>355</v>
      </c>
    </row>
    <row r="588" ht="16.5" customHeight="1">
      <c r="O588" s="5" t="s">
        <v>355</v>
      </c>
      <c r="P588" s="5" t="s">
        <v>355</v>
      </c>
      <c r="Q588" s="5" t="s">
        <v>355</v>
      </c>
    </row>
    <row r="589" ht="16.5" customHeight="1">
      <c r="O589" s="5" t="s">
        <v>355</v>
      </c>
      <c r="P589" s="5" t="s">
        <v>355</v>
      </c>
      <c r="Q589" s="5" t="s">
        <v>355</v>
      </c>
    </row>
    <row r="590" ht="16.5" customHeight="1">
      <c r="O590" s="5" t="s">
        <v>355</v>
      </c>
      <c r="P590" s="5" t="s">
        <v>355</v>
      </c>
      <c r="Q590" s="5" t="s">
        <v>355</v>
      </c>
    </row>
    <row r="591" ht="16.5" customHeight="1">
      <c r="O591" s="5" t="s">
        <v>355</v>
      </c>
      <c r="P591" s="5" t="s">
        <v>355</v>
      </c>
      <c r="Q591" s="5" t="s">
        <v>355</v>
      </c>
    </row>
    <row r="592" ht="16.5" customHeight="1">
      <c r="O592" s="5" t="s">
        <v>355</v>
      </c>
      <c r="P592" s="5" t="s">
        <v>355</v>
      </c>
      <c r="Q592" s="5" t="s">
        <v>355</v>
      </c>
    </row>
    <row r="593" ht="16.5" customHeight="1">
      <c r="O593" s="5" t="s">
        <v>355</v>
      </c>
      <c r="P593" s="5" t="s">
        <v>355</v>
      </c>
      <c r="Q593" s="5" t="s">
        <v>355</v>
      </c>
    </row>
    <row r="594" ht="16.5" customHeight="1">
      <c r="O594" s="5" t="s">
        <v>355</v>
      </c>
      <c r="P594" s="5" t="s">
        <v>355</v>
      </c>
      <c r="Q594" s="5" t="s">
        <v>355</v>
      </c>
    </row>
    <row r="595" ht="16.5" customHeight="1">
      <c r="O595" s="5" t="s">
        <v>355</v>
      </c>
      <c r="P595" s="5" t="s">
        <v>355</v>
      </c>
      <c r="Q595" s="5" t="s">
        <v>355</v>
      </c>
    </row>
    <row r="596" ht="16.5" customHeight="1">
      <c r="O596" s="5" t="s">
        <v>355</v>
      </c>
      <c r="P596" s="5" t="s">
        <v>355</v>
      </c>
      <c r="Q596" s="5" t="s">
        <v>355</v>
      </c>
    </row>
    <row r="597" ht="16.5" customHeight="1">
      <c r="O597" s="5" t="s">
        <v>355</v>
      </c>
      <c r="P597" s="5" t="s">
        <v>355</v>
      </c>
      <c r="Q597" s="5" t="s">
        <v>355</v>
      </c>
    </row>
    <row r="598" ht="16.5" customHeight="1">
      <c r="O598" s="5" t="s">
        <v>355</v>
      </c>
      <c r="P598" s="5" t="s">
        <v>355</v>
      </c>
      <c r="Q598" s="5" t="s">
        <v>355</v>
      </c>
    </row>
    <row r="599" ht="16.5" customHeight="1">
      <c r="O599" s="5" t="s">
        <v>355</v>
      </c>
      <c r="P599" s="5" t="s">
        <v>355</v>
      </c>
      <c r="Q599" s="5" t="s">
        <v>355</v>
      </c>
    </row>
    <row r="600" ht="16.5" customHeight="1">
      <c r="O600" s="5" t="s">
        <v>355</v>
      </c>
      <c r="P600" s="5" t="s">
        <v>355</v>
      </c>
      <c r="Q600" s="5" t="s">
        <v>355</v>
      </c>
    </row>
    <row r="601" ht="16.5" customHeight="1">
      <c r="O601" s="5" t="s">
        <v>355</v>
      </c>
      <c r="P601" s="5" t="s">
        <v>355</v>
      </c>
      <c r="Q601" s="5" t="s">
        <v>355</v>
      </c>
    </row>
    <row r="602" ht="16.5" customHeight="1">
      <c r="O602" s="5" t="s">
        <v>355</v>
      </c>
      <c r="P602" s="5" t="s">
        <v>355</v>
      </c>
      <c r="Q602" s="5" t="s">
        <v>355</v>
      </c>
    </row>
    <row r="603" ht="16.5" customHeight="1">
      <c r="O603" s="5" t="s">
        <v>355</v>
      </c>
      <c r="P603" s="5" t="s">
        <v>355</v>
      </c>
      <c r="Q603" s="5" t="s">
        <v>355</v>
      </c>
    </row>
    <row r="604" ht="16.5" customHeight="1">
      <c r="O604" s="5" t="s">
        <v>355</v>
      </c>
      <c r="P604" s="5" t="s">
        <v>355</v>
      </c>
      <c r="Q604" s="5" t="s">
        <v>355</v>
      </c>
    </row>
    <row r="605" ht="16.5" customHeight="1">
      <c r="O605" s="5" t="s">
        <v>355</v>
      </c>
      <c r="P605" s="5" t="s">
        <v>355</v>
      </c>
      <c r="Q605" s="5" t="s">
        <v>355</v>
      </c>
    </row>
    <row r="606" ht="16.5" customHeight="1">
      <c r="O606" s="5" t="s">
        <v>355</v>
      </c>
      <c r="P606" s="5" t="s">
        <v>355</v>
      </c>
      <c r="Q606" s="5" t="s">
        <v>355</v>
      </c>
    </row>
    <row r="607" ht="16.5" customHeight="1">
      <c r="O607" s="5" t="s">
        <v>355</v>
      </c>
      <c r="P607" s="5" t="s">
        <v>355</v>
      </c>
      <c r="Q607" s="5" t="s">
        <v>355</v>
      </c>
    </row>
    <row r="608" ht="16.5" customHeight="1">
      <c r="O608" s="5" t="s">
        <v>355</v>
      </c>
      <c r="P608" s="5" t="s">
        <v>355</v>
      </c>
      <c r="Q608" s="5" t="s">
        <v>355</v>
      </c>
    </row>
    <row r="609" ht="16.5" customHeight="1">
      <c r="O609" s="5" t="s">
        <v>355</v>
      </c>
      <c r="P609" s="5" t="s">
        <v>355</v>
      </c>
      <c r="Q609" s="5" t="s">
        <v>355</v>
      </c>
    </row>
    <row r="610" ht="16.5" customHeight="1">
      <c r="O610" s="5" t="s">
        <v>355</v>
      </c>
      <c r="P610" s="5" t="s">
        <v>355</v>
      </c>
      <c r="Q610" s="5" t="s">
        <v>355</v>
      </c>
    </row>
    <row r="611" ht="16.5" customHeight="1">
      <c r="O611" s="5" t="s">
        <v>355</v>
      </c>
      <c r="P611" s="5" t="s">
        <v>355</v>
      </c>
      <c r="Q611" s="5" t="s">
        <v>355</v>
      </c>
    </row>
    <row r="612" ht="16.5" customHeight="1">
      <c r="O612" s="5" t="s">
        <v>355</v>
      </c>
      <c r="P612" s="5" t="s">
        <v>355</v>
      </c>
      <c r="Q612" s="5" t="s">
        <v>355</v>
      </c>
    </row>
    <row r="613" ht="16.5" customHeight="1">
      <c r="O613" s="5" t="s">
        <v>355</v>
      </c>
      <c r="P613" s="5" t="s">
        <v>355</v>
      </c>
      <c r="Q613" s="5" t="s">
        <v>355</v>
      </c>
    </row>
    <row r="614" ht="16.5" customHeight="1">
      <c r="O614" s="5" t="s">
        <v>355</v>
      </c>
      <c r="P614" s="5" t="s">
        <v>355</v>
      </c>
      <c r="Q614" s="5" t="s">
        <v>355</v>
      </c>
    </row>
    <row r="615" ht="16.5" customHeight="1">
      <c r="O615" s="5" t="s">
        <v>355</v>
      </c>
      <c r="P615" s="5" t="s">
        <v>355</v>
      </c>
      <c r="Q615" s="5" t="s">
        <v>355</v>
      </c>
    </row>
    <row r="616" ht="16.5" customHeight="1">
      <c r="O616" s="5" t="s">
        <v>355</v>
      </c>
      <c r="P616" s="5" t="s">
        <v>355</v>
      </c>
      <c r="Q616" s="5" t="s">
        <v>355</v>
      </c>
    </row>
    <row r="617" ht="16.5" customHeight="1">
      <c r="O617" s="5" t="s">
        <v>355</v>
      </c>
      <c r="P617" s="5" t="s">
        <v>355</v>
      </c>
      <c r="Q617" s="5" t="s">
        <v>355</v>
      </c>
    </row>
    <row r="618" ht="16.5" customHeight="1">
      <c r="O618" s="5" t="s">
        <v>355</v>
      </c>
      <c r="P618" s="5" t="s">
        <v>355</v>
      </c>
      <c r="Q618" s="5" t="s">
        <v>355</v>
      </c>
    </row>
    <row r="619" ht="16.5" customHeight="1">
      <c r="O619" s="5" t="s">
        <v>355</v>
      </c>
      <c r="P619" s="5" t="s">
        <v>355</v>
      </c>
      <c r="Q619" s="5" t="s">
        <v>355</v>
      </c>
    </row>
    <row r="620" ht="16.5" customHeight="1">
      <c r="O620" s="5" t="s">
        <v>355</v>
      </c>
      <c r="P620" s="5" t="s">
        <v>355</v>
      </c>
      <c r="Q620" s="5" t="s">
        <v>355</v>
      </c>
    </row>
    <row r="621" ht="16.5" customHeight="1">
      <c r="O621" s="5" t="s">
        <v>355</v>
      </c>
      <c r="P621" s="5" t="s">
        <v>355</v>
      </c>
      <c r="Q621" s="5" t="s">
        <v>355</v>
      </c>
    </row>
    <row r="622" ht="16.5" customHeight="1">
      <c r="O622" s="5" t="s">
        <v>355</v>
      </c>
      <c r="P622" s="5" t="s">
        <v>355</v>
      </c>
      <c r="Q622" s="5" t="s">
        <v>355</v>
      </c>
    </row>
    <row r="623" ht="16.5" customHeight="1">
      <c r="O623" s="5" t="s">
        <v>355</v>
      </c>
      <c r="P623" s="5" t="s">
        <v>355</v>
      </c>
      <c r="Q623" s="5" t="s">
        <v>355</v>
      </c>
    </row>
    <row r="624" ht="16.5" customHeight="1">
      <c r="O624" s="5" t="s">
        <v>355</v>
      </c>
      <c r="P624" s="5" t="s">
        <v>355</v>
      </c>
      <c r="Q624" s="5" t="s">
        <v>355</v>
      </c>
    </row>
    <row r="625" ht="16.5" customHeight="1">
      <c r="O625" s="5" t="s">
        <v>355</v>
      </c>
      <c r="P625" s="5" t="s">
        <v>355</v>
      </c>
      <c r="Q625" s="5" t="s">
        <v>355</v>
      </c>
    </row>
    <row r="626" ht="16.5" customHeight="1">
      <c r="O626" s="5" t="s">
        <v>355</v>
      </c>
      <c r="P626" s="5" t="s">
        <v>355</v>
      </c>
      <c r="Q626" s="5" t="s">
        <v>355</v>
      </c>
    </row>
    <row r="627" ht="16.5" customHeight="1">
      <c r="O627" s="5" t="s">
        <v>355</v>
      </c>
      <c r="P627" s="5" t="s">
        <v>355</v>
      </c>
      <c r="Q627" s="5" t="s">
        <v>355</v>
      </c>
    </row>
    <row r="628" ht="16.5" customHeight="1">
      <c r="O628" s="5" t="s">
        <v>355</v>
      </c>
      <c r="P628" s="5" t="s">
        <v>355</v>
      </c>
      <c r="Q628" s="5" t="s">
        <v>355</v>
      </c>
    </row>
    <row r="629" ht="16.5" customHeight="1">
      <c r="O629" s="5" t="s">
        <v>355</v>
      </c>
      <c r="P629" s="5" t="s">
        <v>355</v>
      </c>
      <c r="Q629" s="5" t="s">
        <v>355</v>
      </c>
    </row>
    <row r="630" ht="16.5" customHeight="1">
      <c r="O630" s="5" t="s">
        <v>355</v>
      </c>
      <c r="P630" s="5" t="s">
        <v>355</v>
      </c>
      <c r="Q630" s="5" t="s">
        <v>355</v>
      </c>
    </row>
    <row r="631" ht="16.5" customHeight="1">
      <c r="O631" s="5" t="s">
        <v>355</v>
      </c>
      <c r="P631" s="5" t="s">
        <v>355</v>
      </c>
      <c r="Q631" s="5" t="s">
        <v>355</v>
      </c>
    </row>
    <row r="632" ht="16.5" customHeight="1">
      <c r="O632" s="5" t="s">
        <v>355</v>
      </c>
      <c r="P632" s="5" t="s">
        <v>355</v>
      </c>
      <c r="Q632" s="5" t="s">
        <v>355</v>
      </c>
    </row>
    <row r="633" ht="16.5" customHeight="1">
      <c r="O633" s="5" t="s">
        <v>355</v>
      </c>
      <c r="P633" s="5" t="s">
        <v>355</v>
      </c>
      <c r="Q633" s="5" t="s">
        <v>355</v>
      </c>
    </row>
    <row r="634" ht="16.5" customHeight="1">
      <c r="O634" s="5" t="s">
        <v>355</v>
      </c>
      <c r="P634" s="5" t="s">
        <v>355</v>
      </c>
      <c r="Q634" s="5" t="s">
        <v>355</v>
      </c>
    </row>
    <row r="635" ht="16.5" customHeight="1">
      <c r="O635" s="5" t="s">
        <v>355</v>
      </c>
      <c r="P635" s="5" t="s">
        <v>355</v>
      </c>
      <c r="Q635" s="5" t="s">
        <v>355</v>
      </c>
    </row>
    <row r="636" ht="16.5" customHeight="1">
      <c r="O636" s="5" t="s">
        <v>355</v>
      </c>
      <c r="P636" s="5" t="s">
        <v>355</v>
      </c>
      <c r="Q636" s="5" t="s">
        <v>355</v>
      </c>
    </row>
    <row r="637" ht="16.5" customHeight="1">
      <c r="O637" s="5" t="s">
        <v>355</v>
      </c>
      <c r="P637" s="5" t="s">
        <v>355</v>
      </c>
      <c r="Q637" s="5" t="s">
        <v>355</v>
      </c>
    </row>
    <row r="638" ht="16.5" customHeight="1">
      <c r="O638" s="5" t="s">
        <v>355</v>
      </c>
      <c r="P638" s="5" t="s">
        <v>355</v>
      </c>
      <c r="Q638" s="5" t="s">
        <v>355</v>
      </c>
    </row>
    <row r="639" ht="16.5" customHeight="1">
      <c r="O639" s="5" t="s">
        <v>355</v>
      </c>
      <c r="P639" s="5" t="s">
        <v>355</v>
      </c>
      <c r="Q639" s="5" t="s">
        <v>355</v>
      </c>
    </row>
    <row r="640" ht="16.5" customHeight="1">
      <c r="O640" s="5" t="s">
        <v>355</v>
      </c>
      <c r="P640" s="5" t="s">
        <v>355</v>
      </c>
      <c r="Q640" s="5" t="s">
        <v>355</v>
      </c>
    </row>
    <row r="641" ht="16.5" customHeight="1">
      <c r="O641" s="5" t="s">
        <v>355</v>
      </c>
      <c r="P641" s="5" t="s">
        <v>355</v>
      </c>
      <c r="Q641" s="5" t="s">
        <v>355</v>
      </c>
    </row>
    <row r="642" ht="16.5" customHeight="1">
      <c r="O642" s="5" t="s">
        <v>355</v>
      </c>
      <c r="P642" s="5" t="s">
        <v>355</v>
      </c>
      <c r="Q642" s="5" t="s">
        <v>355</v>
      </c>
    </row>
    <row r="643" ht="16.5" customHeight="1">
      <c r="O643" s="5" t="s">
        <v>355</v>
      </c>
      <c r="P643" s="5" t="s">
        <v>355</v>
      </c>
      <c r="Q643" s="5" t="s">
        <v>355</v>
      </c>
    </row>
    <row r="644" ht="16.5" customHeight="1">
      <c r="O644" s="5" t="s">
        <v>355</v>
      </c>
      <c r="P644" s="5" t="s">
        <v>355</v>
      </c>
      <c r="Q644" s="5" t="s">
        <v>355</v>
      </c>
    </row>
    <row r="645" ht="16.5" customHeight="1">
      <c r="O645" s="5" t="s">
        <v>355</v>
      </c>
      <c r="P645" s="5" t="s">
        <v>355</v>
      </c>
      <c r="Q645" s="5" t="s">
        <v>355</v>
      </c>
    </row>
    <row r="646" ht="16.5" customHeight="1">
      <c r="O646" s="5" t="s">
        <v>355</v>
      </c>
      <c r="P646" s="5" t="s">
        <v>355</v>
      </c>
      <c r="Q646" s="5" t="s">
        <v>355</v>
      </c>
    </row>
    <row r="647" ht="16.5" customHeight="1">
      <c r="O647" s="5" t="s">
        <v>355</v>
      </c>
      <c r="P647" s="5" t="s">
        <v>355</v>
      </c>
      <c r="Q647" s="5" t="s">
        <v>355</v>
      </c>
    </row>
    <row r="648" ht="16.5" customHeight="1">
      <c r="O648" s="5" t="s">
        <v>355</v>
      </c>
      <c r="P648" s="5" t="s">
        <v>355</v>
      </c>
      <c r="Q648" s="5" t="s">
        <v>355</v>
      </c>
    </row>
    <row r="649" ht="16.5" customHeight="1">
      <c r="O649" s="5" t="s">
        <v>355</v>
      </c>
      <c r="P649" s="5" t="s">
        <v>355</v>
      </c>
      <c r="Q649" s="5" t="s">
        <v>355</v>
      </c>
    </row>
    <row r="650" ht="16.5" customHeight="1">
      <c r="O650" s="5" t="s">
        <v>355</v>
      </c>
      <c r="P650" s="5" t="s">
        <v>355</v>
      </c>
      <c r="Q650" s="5" t="s">
        <v>355</v>
      </c>
    </row>
    <row r="651" ht="16.5" customHeight="1">
      <c r="O651" s="5" t="s">
        <v>355</v>
      </c>
      <c r="P651" s="5" t="s">
        <v>355</v>
      </c>
      <c r="Q651" s="5" t="s">
        <v>355</v>
      </c>
    </row>
    <row r="652" ht="16.5" customHeight="1">
      <c r="O652" s="5" t="s">
        <v>355</v>
      </c>
      <c r="P652" s="5" t="s">
        <v>355</v>
      </c>
      <c r="Q652" s="5" t="s">
        <v>355</v>
      </c>
    </row>
    <row r="653" ht="16.5" customHeight="1">
      <c r="O653" s="5" t="s">
        <v>355</v>
      </c>
      <c r="P653" s="5" t="s">
        <v>355</v>
      </c>
      <c r="Q653" s="5" t="s">
        <v>355</v>
      </c>
    </row>
    <row r="654" ht="16.5" customHeight="1">
      <c r="O654" s="5" t="s">
        <v>355</v>
      </c>
      <c r="P654" s="5" t="s">
        <v>355</v>
      </c>
      <c r="Q654" s="5" t="s">
        <v>355</v>
      </c>
    </row>
    <row r="655" ht="16.5" customHeight="1">
      <c r="O655" s="5" t="s">
        <v>355</v>
      </c>
      <c r="P655" s="5" t="s">
        <v>355</v>
      </c>
      <c r="Q655" s="5" t="s">
        <v>355</v>
      </c>
    </row>
    <row r="656" ht="16.5" customHeight="1">
      <c r="O656" s="5" t="s">
        <v>355</v>
      </c>
      <c r="P656" s="5" t="s">
        <v>355</v>
      </c>
      <c r="Q656" s="5" t="s">
        <v>355</v>
      </c>
    </row>
    <row r="657" ht="16.5" customHeight="1">
      <c r="O657" s="5" t="s">
        <v>355</v>
      </c>
      <c r="P657" s="5" t="s">
        <v>355</v>
      </c>
      <c r="Q657" s="5" t="s">
        <v>355</v>
      </c>
    </row>
    <row r="658" ht="16.5" customHeight="1">
      <c r="O658" s="5" t="s">
        <v>355</v>
      </c>
      <c r="P658" s="5" t="s">
        <v>355</v>
      </c>
      <c r="Q658" s="5" t="s">
        <v>355</v>
      </c>
    </row>
    <row r="659" ht="16.5" customHeight="1">
      <c r="O659" s="5" t="s">
        <v>355</v>
      </c>
      <c r="P659" s="5" t="s">
        <v>355</v>
      </c>
      <c r="Q659" s="5" t="s">
        <v>355</v>
      </c>
    </row>
    <row r="660" ht="16.5" customHeight="1">
      <c r="O660" s="5" t="s">
        <v>355</v>
      </c>
      <c r="P660" s="5" t="s">
        <v>355</v>
      </c>
      <c r="Q660" s="5" t="s">
        <v>355</v>
      </c>
    </row>
    <row r="661" ht="16.5" customHeight="1">
      <c r="O661" s="5" t="s">
        <v>355</v>
      </c>
      <c r="P661" s="5" t="s">
        <v>355</v>
      </c>
      <c r="Q661" s="5" t="s">
        <v>355</v>
      </c>
    </row>
    <row r="662" ht="16.5" customHeight="1">
      <c r="O662" s="5" t="s">
        <v>355</v>
      </c>
      <c r="P662" s="5" t="s">
        <v>355</v>
      </c>
      <c r="Q662" s="5" t="s">
        <v>355</v>
      </c>
    </row>
    <row r="663" ht="16.5" customHeight="1">
      <c r="O663" s="5" t="s">
        <v>355</v>
      </c>
      <c r="P663" s="5" t="s">
        <v>355</v>
      </c>
      <c r="Q663" s="5" t="s">
        <v>355</v>
      </c>
    </row>
    <row r="664" ht="16.5" customHeight="1">
      <c r="O664" s="5" t="s">
        <v>355</v>
      </c>
      <c r="P664" s="5" t="s">
        <v>355</v>
      </c>
      <c r="Q664" s="5" t="s">
        <v>355</v>
      </c>
    </row>
    <row r="665" ht="16.5" customHeight="1">
      <c r="O665" s="5" t="s">
        <v>355</v>
      </c>
      <c r="P665" s="5" t="s">
        <v>355</v>
      </c>
      <c r="Q665" s="5" t="s">
        <v>355</v>
      </c>
    </row>
    <row r="666" ht="16.5" customHeight="1">
      <c r="O666" s="5" t="s">
        <v>355</v>
      </c>
      <c r="P666" s="5" t="s">
        <v>355</v>
      </c>
      <c r="Q666" s="5" t="s">
        <v>355</v>
      </c>
    </row>
    <row r="667" ht="16.5" customHeight="1">
      <c r="O667" s="5" t="s">
        <v>355</v>
      </c>
      <c r="P667" s="5" t="s">
        <v>355</v>
      </c>
      <c r="Q667" s="5" t="s">
        <v>355</v>
      </c>
    </row>
    <row r="668" ht="16.5" customHeight="1">
      <c r="O668" s="5" t="s">
        <v>355</v>
      </c>
      <c r="P668" s="5" t="s">
        <v>355</v>
      </c>
      <c r="Q668" s="5" t="s">
        <v>355</v>
      </c>
    </row>
    <row r="669" ht="16.5" customHeight="1">
      <c r="O669" s="5" t="s">
        <v>355</v>
      </c>
      <c r="P669" s="5" t="s">
        <v>355</v>
      </c>
      <c r="Q669" s="5" t="s">
        <v>355</v>
      </c>
    </row>
    <row r="670" ht="16.5" customHeight="1">
      <c r="O670" s="5" t="s">
        <v>355</v>
      </c>
      <c r="P670" s="5" t="s">
        <v>355</v>
      </c>
      <c r="Q670" s="5" t="s">
        <v>355</v>
      </c>
    </row>
    <row r="671" ht="16.5" customHeight="1">
      <c r="O671" s="5" t="s">
        <v>355</v>
      </c>
      <c r="P671" s="5" t="s">
        <v>355</v>
      </c>
      <c r="Q671" s="5" t="s">
        <v>355</v>
      </c>
    </row>
    <row r="672" ht="16.5" customHeight="1">
      <c r="O672" s="5" t="s">
        <v>355</v>
      </c>
      <c r="P672" s="5" t="s">
        <v>355</v>
      </c>
      <c r="Q672" s="5" t="s">
        <v>355</v>
      </c>
    </row>
    <row r="673" ht="16.5" customHeight="1">
      <c r="O673" s="5" t="s">
        <v>355</v>
      </c>
      <c r="P673" s="5" t="s">
        <v>355</v>
      </c>
      <c r="Q673" s="5" t="s">
        <v>355</v>
      </c>
    </row>
    <row r="674" ht="16.5" customHeight="1">
      <c r="O674" s="5" t="s">
        <v>355</v>
      </c>
      <c r="P674" s="5" t="s">
        <v>355</v>
      </c>
      <c r="Q674" s="5" t="s">
        <v>355</v>
      </c>
    </row>
    <row r="675" ht="16.5" customHeight="1">
      <c r="O675" s="5" t="s">
        <v>355</v>
      </c>
      <c r="P675" s="5" t="s">
        <v>355</v>
      </c>
      <c r="Q675" s="5" t="s">
        <v>355</v>
      </c>
    </row>
    <row r="676" ht="16.5" customHeight="1">
      <c r="O676" s="5" t="s">
        <v>355</v>
      </c>
      <c r="P676" s="5" t="s">
        <v>355</v>
      </c>
      <c r="Q676" s="5" t="s">
        <v>355</v>
      </c>
    </row>
    <row r="677" ht="16.5" customHeight="1">
      <c r="O677" s="5" t="s">
        <v>355</v>
      </c>
      <c r="P677" s="5" t="s">
        <v>355</v>
      </c>
      <c r="Q677" s="5" t="s">
        <v>355</v>
      </c>
    </row>
    <row r="678" ht="16.5" customHeight="1">
      <c r="O678" s="5" t="s">
        <v>355</v>
      </c>
      <c r="P678" s="5" t="s">
        <v>355</v>
      </c>
      <c r="Q678" s="5" t="s">
        <v>355</v>
      </c>
    </row>
    <row r="679" ht="16.5" customHeight="1">
      <c r="O679" s="5" t="s">
        <v>355</v>
      </c>
      <c r="P679" s="5" t="s">
        <v>355</v>
      </c>
      <c r="Q679" s="5" t="s">
        <v>355</v>
      </c>
    </row>
    <row r="680" ht="16.5" customHeight="1">
      <c r="O680" s="5" t="s">
        <v>355</v>
      </c>
      <c r="P680" s="5" t="s">
        <v>355</v>
      </c>
      <c r="Q680" s="5" t="s">
        <v>355</v>
      </c>
    </row>
    <row r="681" ht="16.5" customHeight="1">
      <c r="O681" s="5" t="s">
        <v>355</v>
      </c>
      <c r="P681" s="5" t="s">
        <v>355</v>
      </c>
      <c r="Q681" s="5" t="s">
        <v>355</v>
      </c>
    </row>
    <row r="682" ht="16.5" customHeight="1">
      <c r="O682" s="5" t="s">
        <v>355</v>
      </c>
      <c r="P682" s="5" t="s">
        <v>355</v>
      </c>
      <c r="Q682" s="5" t="s">
        <v>355</v>
      </c>
    </row>
    <row r="683" ht="16.5" customHeight="1">
      <c r="O683" s="5" t="s">
        <v>355</v>
      </c>
      <c r="P683" s="5" t="s">
        <v>355</v>
      </c>
      <c r="Q683" s="5" t="s">
        <v>355</v>
      </c>
    </row>
    <row r="684" ht="16.5" customHeight="1">
      <c r="O684" s="5" t="s">
        <v>355</v>
      </c>
      <c r="P684" s="5" t="s">
        <v>355</v>
      </c>
      <c r="Q684" s="5" t="s">
        <v>355</v>
      </c>
    </row>
    <row r="685" ht="16.5" customHeight="1">
      <c r="O685" s="5" t="s">
        <v>355</v>
      </c>
      <c r="P685" s="5" t="s">
        <v>355</v>
      </c>
      <c r="Q685" s="5" t="s">
        <v>355</v>
      </c>
    </row>
    <row r="686" ht="16.5" customHeight="1">
      <c r="O686" s="5" t="s">
        <v>355</v>
      </c>
      <c r="P686" s="5" t="s">
        <v>355</v>
      </c>
      <c r="Q686" s="5" t="s">
        <v>355</v>
      </c>
    </row>
    <row r="687" ht="16.5" customHeight="1">
      <c r="O687" s="5" t="s">
        <v>355</v>
      </c>
      <c r="P687" s="5" t="s">
        <v>355</v>
      </c>
      <c r="Q687" s="5" t="s">
        <v>355</v>
      </c>
    </row>
    <row r="688" ht="16.5" customHeight="1">
      <c r="O688" s="5" t="s">
        <v>355</v>
      </c>
      <c r="P688" s="5" t="s">
        <v>355</v>
      </c>
      <c r="Q688" s="5" t="s">
        <v>355</v>
      </c>
    </row>
    <row r="689" ht="16.5" customHeight="1">
      <c r="O689" s="5" t="s">
        <v>355</v>
      </c>
      <c r="P689" s="5" t="s">
        <v>355</v>
      </c>
      <c r="Q689" s="5" t="s">
        <v>355</v>
      </c>
    </row>
    <row r="690" ht="16.5" customHeight="1">
      <c r="O690" s="5" t="s">
        <v>355</v>
      </c>
      <c r="P690" s="5" t="s">
        <v>355</v>
      </c>
      <c r="Q690" s="5" t="s">
        <v>355</v>
      </c>
    </row>
    <row r="691" ht="16.5" customHeight="1">
      <c r="O691" s="5" t="s">
        <v>355</v>
      </c>
      <c r="P691" s="5" t="s">
        <v>355</v>
      </c>
      <c r="Q691" s="5" t="s">
        <v>355</v>
      </c>
    </row>
    <row r="692" ht="16.5" customHeight="1">
      <c r="O692" s="5" t="s">
        <v>355</v>
      </c>
      <c r="P692" s="5" t="s">
        <v>355</v>
      </c>
      <c r="Q692" s="5" t="s">
        <v>355</v>
      </c>
    </row>
    <row r="693" ht="16.5" customHeight="1">
      <c r="O693" s="5" t="s">
        <v>355</v>
      </c>
      <c r="P693" s="5" t="s">
        <v>355</v>
      </c>
      <c r="Q693" s="5" t="s">
        <v>355</v>
      </c>
    </row>
    <row r="694" ht="16.5" customHeight="1">
      <c r="O694" s="5" t="s">
        <v>355</v>
      </c>
      <c r="P694" s="5" t="s">
        <v>355</v>
      </c>
      <c r="Q694" s="5" t="s">
        <v>355</v>
      </c>
    </row>
    <row r="695" ht="16.5" customHeight="1">
      <c r="O695" s="5" t="s">
        <v>355</v>
      </c>
      <c r="P695" s="5" t="s">
        <v>355</v>
      </c>
      <c r="Q695" s="5" t="s">
        <v>355</v>
      </c>
    </row>
    <row r="696" ht="16.5" customHeight="1">
      <c r="O696" s="5" t="s">
        <v>355</v>
      </c>
      <c r="P696" s="5" t="s">
        <v>355</v>
      </c>
      <c r="Q696" s="5" t="s">
        <v>355</v>
      </c>
    </row>
    <row r="697" ht="16.5" customHeight="1">
      <c r="O697" s="5" t="s">
        <v>355</v>
      </c>
      <c r="P697" s="5" t="s">
        <v>355</v>
      </c>
      <c r="Q697" s="5" t="s">
        <v>355</v>
      </c>
    </row>
    <row r="698" ht="16.5" customHeight="1">
      <c r="O698" s="5" t="s">
        <v>355</v>
      </c>
      <c r="P698" s="5" t="s">
        <v>355</v>
      </c>
      <c r="Q698" s="5" t="s">
        <v>355</v>
      </c>
    </row>
    <row r="699" ht="16.5" customHeight="1">
      <c r="O699" s="5" t="s">
        <v>355</v>
      </c>
      <c r="P699" s="5" t="s">
        <v>355</v>
      </c>
      <c r="Q699" s="5" t="s">
        <v>355</v>
      </c>
    </row>
    <row r="700" ht="16.5" customHeight="1">
      <c r="O700" s="5" t="s">
        <v>355</v>
      </c>
      <c r="P700" s="5" t="s">
        <v>355</v>
      </c>
      <c r="Q700" s="5" t="s">
        <v>355</v>
      </c>
    </row>
    <row r="701" ht="16.5" customHeight="1">
      <c r="O701" s="5" t="s">
        <v>355</v>
      </c>
      <c r="P701" s="5" t="s">
        <v>355</v>
      </c>
      <c r="Q701" s="5" t="s">
        <v>355</v>
      </c>
    </row>
    <row r="702" ht="16.5" customHeight="1">
      <c r="O702" s="5" t="s">
        <v>355</v>
      </c>
      <c r="P702" s="5" t="s">
        <v>355</v>
      </c>
      <c r="Q702" s="5" t="s">
        <v>355</v>
      </c>
    </row>
    <row r="703" ht="16.5" customHeight="1">
      <c r="O703" s="5" t="s">
        <v>355</v>
      </c>
      <c r="P703" s="5" t="s">
        <v>355</v>
      </c>
      <c r="Q703" s="5" t="s">
        <v>355</v>
      </c>
    </row>
    <row r="704" ht="16.5" customHeight="1">
      <c r="O704" s="5" t="s">
        <v>355</v>
      </c>
      <c r="P704" s="5" t="s">
        <v>355</v>
      </c>
      <c r="Q704" s="5" t="s">
        <v>355</v>
      </c>
    </row>
    <row r="705" ht="16.5" customHeight="1">
      <c r="O705" s="5" t="s">
        <v>355</v>
      </c>
      <c r="P705" s="5" t="s">
        <v>355</v>
      </c>
      <c r="Q705" s="5" t="s">
        <v>355</v>
      </c>
    </row>
    <row r="706" ht="16.5" customHeight="1">
      <c r="O706" s="5" t="s">
        <v>355</v>
      </c>
      <c r="P706" s="5" t="s">
        <v>355</v>
      </c>
      <c r="Q706" s="5" t="s">
        <v>355</v>
      </c>
    </row>
    <row r="707" ht="16.5" customHeight="1">
      <c r="O707" s="5" t="s">
        <v>355</v>
      </c>
      <c r="P707" s="5" t="s">
        <v>355</v>
      </c>
      <c r="Q707" s="5" t="s">
        <v>355</v>
      </c>
    </row>
    <row r="708" ht="16.5" customHeight="1">
      <c r="O708" s="5" t="s">
        <v>355</v>
      </c>
      <c r="P708" s="5" t="s">
        <v>355</v>
      </c>
      <c r="Q708" s="5" t="s">
        <v>355</v>
      </c>
    </row>
    <row r="709" ht="16.5" customHeight="1">
      <c r="O709" s="5" t="s">
        <v>355</v>
      </c>
      <c r="P709" s="5" t="s">
        <v>355</v>
      </c>
      <c r="Q709" s="5" t="s">
        <v>355</v>
      </c>
    </row>
    <row r="710" ht="16.5" customHeight="1">
      <c r="O710" s="5" t="s">
        <v>355</v>
      </c>
      <c r="P710" s="5" t="s">
        <v>355</v>
      </c>
      <c r="Q710" s="5" t="s">
        <v>355</v>
      </c>
    </row>
    <row r="711" ht="16.5" customHeight="1">
      <c r="O711" s="5" t="s">
        <v>355</v>
      </c>
      <c r="P711" s="5" t="s">
        <v>355</v>
      </c>
      <c r="Q711" s="5" t="s">
        <v>355</v>
      </c>
    </row>
    <row r="712" ht="16.5" customHeight="1">
      <c r="O712" s="5" t="s">
        <v>355</v>
      </c>
      <c r="P712" s="5" t="s">
        <v>355</v>
      </c>
      <c r="Q712" s="5" t="s">
        <v>355</v>
      </c>
    </row>
    <row r="713" ht="16.5" customHeight="1">
      <c r="O713" s="5" t="s">
        <v>355</v>
      </c>
      <c r="P713" s="5" t="s">
        <v>355</v>
      </c>
      <c r="Q713" s="5" t="s">
        <v>355</v>
      </c>
    </row>
    <row r="714" ht="16.5" customHeight="1">
      <c r="O714" s="5" t="s">
        <v>355</v>
      </c>
      <c r="P714" s="5" t="s">
        <v>355</v>
      </c>
      <c r="Q714" s="5" t="s">
        <v>355</v>
      </c>
    </row>
    <row r="715" ht="16.5" customHeight="1">
      <c r="O715" s="5" t="s">
        <v>355</v>
      </c>
      <c r="P715" s="5" t="s">
        <v>355</v>
      </c>
      <c r="Q715" s="5" t="s">
        <v>355</v>
      </c>
    </row>
    <row r="716" ht="16.5" customHeight="1">
      <c r="O716" s="5" t="s">
        <v>355</v>
      </c>
      <c r="P716" s="5" t="s">
        <v>355</v>
      </c>
      <c r="Q716" s="5" t="s">
        <v>355</v>
      </c>
    </row>
    <row r="717" ht="16.5" customHeight="1">
      <c r="O717" s="5" t="s">
        <v>355</v>
      </c>
      <c r="P717" s="5" t="s">
        <v>355</v>
      </c>
      <c r="Q717" s="5" t="s">
        <v>355</v>
      </c>
    </row>
    <row r="718" ht="16.5" customHeight="1">
      <c r="O718" s="5" t="s">
        <v>355</v>
      </c>
      <c r="P718" s="5" t="s">
        <v>355</v>
      </c>
      <c r="Q718" s="5" t="s">
        <v>355</v>
      </c>
    </row>
    <row r="719" ht="16.5" customHeight="1">
      <c r="O719" s="5" t="s">
        <v>355</v>
      </c>
      <c r="P719" s="5" t="s">
        <v>355</v>
      </c>
      <c r="Q719" s="5" t="s">
        <v>355</v>
      </c>
    </row>
    <row r="720" ht="16.5" customHeight="1">
      <c r="O720" s="5" t="s">
        <v>355</v>
      </c>
      <c r="P720" s="5" t="s">
        <v>355</v>
      </c>
      <c r="Q720" s="5" t="s">
        <v>355</v>
      </c>
    </row>
    <row r="721" ht="16.5" customHeight="1">
      <c r="O721" s="5" t="s">
        <v>355</v>
      </c>
      <c r="P721" s="5" t="s">
        <v>355</v>
      </c>
      <c r="Q721" s="5" t="s">
        <v>355</v>
      </c>
    </row>
    <row r="722" ht="16.5" customHeight="1">
      <c r="O722" s="5" t="s">
        <v>355</v>
      </c>
      <c r="P722" s="5" t="s">
        <v>355</v>
      </c>
      <c r="Q722" s="5" t="s">
        <v>355</v>
      </c>
    </row>
    <row r="723" ht="16.5" customHeight="1">
      <c r="O723" s="5" t="s">
        <v>355</v>
      </c>
      <c r="P723" s="5" t="s">
        <v>355</v>
      </c>
      <c r="Q723" s="5" t="s">
        <v>355</v>
      </c>
    </row>
    <row r="724" ht="16.5" customHeight="1">
      <c r="O724" s="5" t="s">
        <v>355</v>
      </c>
      <c r="P724" s="5" t="s">
        <v>355</v>
      </c>
      <c r="Q724" s="5" t="s">
        <v>355</v>
      </c>
    </row>
    <row r="725" ht="16.5" customHeight="1">
      <c r="O725" s="5" t="s">
        <v>355</v>
      </c>
      <c r="P725" s="5" t="s">
        <v>355</v>
      </c>
      <c r="Q725" s="5" t="s">
        <v>355</v>
      </c>
    </row>
    <row r="726" ht="16.5" customHeight="1">
      <c r="O726" s="5" t="s">
        <v>355</v>
      </c>
      <c r="P726" s="5" t="s">
        <v>355</v>
      </c>
      <c r="Q726" s="5" t="s">
        <v>355</v>
      </c>
    </row>
    <row r="727" ht="16.5" customHeight="1">
      <c r="O727" s="5" t="s">
        <v>355</v>
      </c>
      <c r="P727" s="5" t="s">
        <v>355</v>
      </c>
      <c r="Q727" s="5" t="s">
        <v>355</v>
      </c>
    </row>
    <row r="728" ht="16.5" customHeight="1">
      <c r="O728" s="5" t="s">
        <v>355</v>
      </c>
      <c r="P728" s="5" t="s">
        <v>355</v>
      </c>
      <c r="Q728" s="5" t="s">
        <v>355</v>
      </c>
    </row>
    <row r="729" ht="16.5" customHeight="1">
      <c r="O729" s="5" t="s">
        <v>355</v>
      </c>
      <c r="P729" s="5" t="s">
        <v>355</v>
      </c>
      <c r="Q729" s="5" t="s">
        <v>355</v>
      </c>
    </row>
    <row r="730" ht="16.5" customHeight="1">
      <c r="O730" s="5" t="s">
        <v>355</v>
      </c>
      <c r="P730" s="5" t="s">
        <v>355</v>
      </c>
      <c r="Q730" s="5" t="s">
        <v>355</v>
      </c>
    </row>
    <row r="731" ht="16.5" customHeight="1">
      <c r="O731" s="5" t="s">
        <v>355</v>
      </c>
      <c r="P731" s="5" t="s">
        <v>355</v>
      </c>
      <c r="Q731" s="5" t="s">
        <v>355</v>
      </c>
    </row>
    <row r="732" ht="16.5" customHeight="1">
      <c r="O732" s="5" t="s">
        <v>355</v>
      </c>
      <c r="P732" s="5" t="s">
        <v>355</v>
      </c>
      <c r="Q732" s="5" t="s">
        <v>355</v>
      </c>
    </row>
    <row r="733" ht="16.5" customHeight="1">
      <c r="O733" s="5" t="s">
        <v>355</v>
      </c>
      <c r="P733" s="5" t="s">
        <v>355</v>
      </c>
      <c r="Q733" s="5" t="s">
        <v>355</v>
      </c>
    </row>
    <row r="734" ht="16.5" customHeight="1">
      <c r="O734" s="5" t="s">
        <v>355</v>
      </c>
      <c r="P734" s="5" t="s">
        <v>355</v>
      </c>
      <c r="Q734" s="5" t="s">
        <v>355</v>
      </c>
    </row>
    <row r="735" ht="16.5" customHeight="1">
      <c r="O735" s="5" t="s">
        <v>355</v>
      </c>
      <c r="P735" s="5" t="s">
        <v>355</v>
      </c>
      <c r="Q735" s="5" t="s">
        <v>355</v>
      </c>
    </row>
    <row r="736" ht="16.5" customHeight="1">
      <c r="O736" s="5" t="s">
        <v>355</v>
      </c>
      <c r="P736" s="5" t="s">
        <v>355</v>
      </c>
      <c r="Q736" s="5" t="s">
        <v>355</v>
      </c>
    </row>
    <row r="737" ht="16.5" customHeight="1">
      <c r="O737" s="5" t="s">
        <v>355</v>
      </c>
      <c r="P737" s="5" t="s">
        <v>355</v>
      </c>
      <c r="Q737" s="5" t="s">
        <v>355</v>
      </c>
    </row>
    <row r="738" ht="16.5" customHeight="1">
      <c r="O738" s="5" t="s">
        <v>355</v>
      </c>
      <c r="P738" s="5" t="s">
        <v>355</v>
      </c>
      <c r="Q738" s="5" t="s">
        <v>355</v>
      </c>
    </row>
    <row r="739" ht="16.5" customHeight="1">
      <c r="O739" s="5" t="s">
        <v>355</v>
      </c>
      <c r="P739" s="5" t="s">
        <v>355</v>
      </c>
      <c r="Q739" s="5" t="s">
        <v>355</v>
      </c>
    </row>
    <row r="740" ht="16.5" customHeight="1">
      <c r="O740" s="5" t="s">
        <v>355</v>
      </c>
      <c r="P740" s="5" t="s">
        <v>355</v>
      </c>
      <c r="Q740" s="5" t="s">
        <v>355</v>
      </c>
    </row>
    <row r="741" ht="16.5" customHeight="1">
      <c r="O741" s="5" t="s">
        <v>355</v>
      </c>
      <c r="P741" s="5" t="s">
        <v>355</v>
      </c>
      <c r="Q741" s="5" t="s">
        <v>355</v>
      </c>
    </row>
    <row r="742" ht="16.5" customHeight="1">
      <c r="O742" s="5" t="s">
        <v>355</v>
      </c>
      <c r="P742" s="5" t="s">
        <v>355</v>
      </c>
      <c r="Q742" s="5" t="s">
        <v>355</v>
      </c>
    </row>
    <row r="743" ht="16.5" customHeight="1">
      <c r="O743" s="5" t="s">
        <v>355</v>
      </c>
      <c r="P743" s="5" t="s">
        <v>355</v>
      </c>
      <c r="Q743" s="5" t="s">
        <v>355</v>
      </c>
    </row>
    <row r="744" ht="16.5" customHeight="1">
      <c r="O744" s="5" t="s">
        <v>355</v>
      </c>
      <c r="P744" s="5" t="s">
        <v>355</v>
      </c>
      <c r="Q744" s="5" t="s">
        <v>355</v>
      </c>
    </row>
    <row r="745" ht="16.5" customHeight="1">
      <c r="O745" s="5" t="s">
        <v>355</v>
      </c>
      <c r="P745" s="5" t="s">
        <v>355</v>
      </c>
      <c r="Q745" s="5" t="s">
        <v>355</v>
      </c>
    </row>
    <row r="746" ht="16.5" customHeight="1">
      <c r="O746" s="5" t="s">
        <v>355</v>
      </c>
      <c r="P746" s="5" t="s">
        <v>355</v>
      </c>
      <c r="Q746" s="5" t="s">
        <v>355</v>
      </c>
    </row>
    <row r="747" ht="16.5" customHeight="1">
      <c r="O747" s="5" t="s">
        <v>355</v>
      </c>
      <c r="P747" s="5" t="s">
        <v>355</v>
      </c>
      <c r="Q747" s="5" t="s">
        <v>355</v>
      </c>
    </row>
    <row r="748" ht="16.5" customHeight="1">
      <c r="O748" s="5" t="s">
        <v>355</v>
      </c>
      <c r="P748" s="5" t="s">
        <v>355</v>
      </c>
      <c r="Q748" s="5" t="s">
        <v>355</v>
      </c>
    </row>
    <row r="749" ht="16.5" customHeight="1">
      <c r="O749" s="5" t="s">
        <v>355</v>
      </c>
      <c r="P749" s="5" t="s">
        <v>355</v>
      </c>
      <c r="Q749" s="5" t="s">
        <v>355</v>
      </c>
    </row>
    <row r="750" ht="16.5" customHeight="1">
      <c r="O750" s="5" t="s">
        <v>355</v>
      </c>
      <c r="P750" s="5" t="s">
        <v>355</v>
      </c>
      <c r="Q750" s="5" t="s">
        <v>355</v>
      </c>
    </row>
    <row r="751" ht="16.5" customHeight="1">
      <c r="O751" s="5" t="s">
        <v>355</v>
      </c>
      <c r="P751" s="5" t="s">
        <v>355</v>
      </c>
      <c r="Q751" s="5" t="s">
        <v>355</v>
      </c>
    </row>
    <row r="752" ht="16.5" customHeight="1">
      <c r="O752" s="5" t="s">
        <v>355</v>
      </c>
      <c r="P752" s="5" t="s">
        <v>355</v>
      </c>
      <c r="Q752" s="5" t="s">
        <v>355</v>
      </c>
    </row>
    <row r="753" ht="16.5" customHeight="1">
      <c r="O753" s="5" t="s">
        <v>355</v>
      </c>
      <c r="P753" s="5" t="s">
        <v>355</v>
      </c>
      <c r="Q753" s="5" t="s">
        <v>355</v>
      </c>
    </row>
    <row r="754" ht="16.5" customHeight="1">
      <c r="O754" s="5" t="s">
        <v>355</v>
      </c>
      <c r="P754" s="5" t="s">
        <v>355</v>
      </c>
      <c r="Q754" s="5" t="s">
        <v>355</v>
      </c>
    </row>
    <row r="755" ht="16.5" customHeight="1">
      <c r="O755" s="5" t="s">
        <v>355</v>
      </c>
      <c r="P755" s="5" t="s">
        <v>355</v>
      </c>
      <c r="Q755" s="5" t="s">
        <v>355</v>
      </c>
    </row>
    <row r="756" ht="16.5" customHeight="1">
      <c r="O756" s="5" t="s">
        <v>355</v>
      </c>
      <c r="P756" s="5" t="s">
        <v>355</v>
      </c>
      <c r="Q756" s="5" t="s">
        <v>355</v>
      </c>
    </row>
    <row r="757" ht="16.5" customHeight="1">
      <c r="O757" s="5" t="s">
        <v>355</v>
      </c>
      <c r="P757" s="5" t="s">
        <v>355</v>
      </c>
      <c r="Q757" s="5" t="s">
        <v>355</v>
      </c>
    </row>
    <row r="758" ht="16.5" customHeight="1">
      <c r="O758" s="5" t="s">
        <v>355</v>
      </c>
      <c r="P758" s="5" t="s">
        <v>355</v>
      </c>
      <c r="Q758" s="5" t="s">
        <v>355</v>
      </c>
    </row>
    <row r="759" ht="16.5" customHeight="1">
      <c r="O759" s="5" t="s">
        <v>355</v>
      </c>
      <c r="P759" s="5" t="s">
        <v>355</v>
      </c>
      <c r="Q759" s="5" t="s">
        <v>355</v>
      </c>
    </row>
    <row r="760" ht="16.5" customHeight="1">
      <c r="O760" s="5" t="s">
        <v>355</v>
      </c>
      <c r="P760" s="5" t="s">
        <v>355</v>
      </c>
      <c r="Q760" s="5" t="s">
        <v>355</v>
      </c>
    </row>
    <row r="761" ht="16.5" customHeight="1">
      <c r="O761" s="5" t="s">
        <v>355</v>
      </c>
      <c r="P761" s="5" t="s">
        <v>355</v>
      </c>
      <c r="Q761" s="5" t="s">
        <v>355</v>
      </c>
    </row>
    <row r="762" ht="16.5" customHeight="1">
      <c r="O762" s="5" t="s">
        <v>355</v>
      </c>
      <c r="P762" s="5" t="s">
        <v>355</v>
      </c>
      <c r="Q762" s="5" t="s">
        <v>355</v>
      </c>
    </row>
    <row r="763" ht="16.5" customHeight="1">
      <c r="O763" s="5" t="s">
        <v>355</v>
      </c>
      <c r="P763" s="5" t="s">
        <v>355</v>
      </c>
      <c r="Q763" s="5" t="s">
        <v>355</v>
      </c>
    </row>
    <row r="764" ht="16.5" customHeight="1">
      <c r="O764" s="5" t="s">
        <v>355</v>
      </c>
      <c r="P764" s="5" t="s">
        <v>355</v>
      </c>
      <c r="Q764" s="5" t="s">
        <v>355</v>
      </c>
    </row>
    <row r="765" ht="16.5" customHeight="1">
      <c r="O765" s="5" t="s">
        <v>355</v>
      </c>
      <c r="P765" s="5" t="s">
        <v>355</v>
      </c>
      <c r="Q765" s="5" t="s">
        <v>355</v>
      </c>
    </row>
    <row r="766" ht="16.5" customHeight="1">
      <c r="O766" s="5" t="s">
        <v>355</v>
      </c>
      <c r="P766" s="5" t="s">
        <v>355</v>
      </c>
      <c r="Q766" s="5" t="s">
        <v>355</v>
      </c>
    </row>
    <row r="767" ht="16.5" customHeight="1">
      <c r="O767" s="5" t="s">
        <v>355</v>
      </c>
      <c r="P767" s="5" t="s">
        <v>355</v>
      </c>
      <c r="Q767" s="5" t="s">
        <v>355</v>
      </c>
    </row>
    <row r="768" ht="16.5" customHeight="1">
      <c r="O768" s="5" t="s">
        <v>355</v>
      </c>
      <c r="P768" s="5" t="s">
        <v>355</v>
      </c>
      <c r="Q768" s="5" t="s">
        <v>355</v>
      </c>
    </row>
    <row r="769" ht="16.5" customHeight="1">
      <c r="O769" s="5" t="s">
        <v>355</v>
      </c>
      <c r="P769" s="5" t="s">
        <v>355</v>
      </c>
      <c r="Q769" s="5" t="s">
        <v>355</v>
      </c>
    </row>
    <row r="770" ht="16.5" customHeight="1">
      <c r="O770" s="5" t="s">
        <v>355</v>
      </c>
      <c r="P770" s="5" t="s">
        <v>355</v>
      </c>
      <c r="Q770" s="5" t="s">
        <v>355</v>
      </c>
    </row>
    <row r="771" ht="16.5" customHeight="1">
      <c r="O771" s="5" t="s">
        <v>355</v>
      </c>
      <c r="P771" s="5" t="s">
        <v>355</v>
      </c>
      <c r="Q771" s="5" t="s">
        <v>355</v>
      </c>
    </row>
    <row r="772" ht="16.5" customHeight="1">
      <c r="O772" s="5" t="s">
        <v>355</v>
      </c>
      <c r="P772" s="5" t="s">
        <v>355</v>
      </c>
      <c r="Q772" s="5" t="s">
        <v>355</v>
      </c>
    </row>
    <row r="773" ht="16.5" customHeight="1">
      <c r="O773" s="5" t="s">
        <v>355</v>
      </c>
      <c r="P773" s="5" t="s">
        <v>355</v>
      </c>
      <c r="Q773" s="5" t="s">
        <v>355</v>
      </c>
    </row>
    <row r="774" ht="16.5" customHeight="1">
      <c r="O774" s="5" t="s">
        <v>355</v>
      </c>
      <c r="P774" s="5" t="s">
        <v>355</v>
      </c>
      <c r="Q774" s="5" t="s">
        <v>355</v>
      </c>
    </row>
    <row r="775" ht="16.5" customHeight="1">
      <c r="O775" s="5" t="s">
        <v>355</v>
      </c>
      <c r="P775" s="5" t="s">
        <v>355</v>
      </c>
      <c r="Q775" s="5" t="s">
        <v>355</v>
      </c>
    </row>
    <row r="776" ht="16.5" customHeight="1">
      <c r="O776" s="5" t="s">
        <v>355</v>
      </c>
      <c r="P776" s="5" t="s">
        <v>355</v>
      </c>
      <c r="Q776" s="5" t="s">
        <v>355</v>
      </c>
    </row>
    <row r="777" ht="16.5" customHeight="1">
      <c r="O777" s="5" t="s">
        <v>355</v>
      </c>
      <c r="P777" s="5" t="s">
        <v>355</v>
      </c>
      <c r="Q777" s="5" t="s">
        <v>355</v>
      </c>
    </row>
    <row r="778" ht="16.5" customHeight="1">
      <c r="O778" s="5" t="s">
        <v>355</v>
      </c>
      <c r="P778" s="5" t="s">
        <v>355</v>
      </c>
      <c r="Q778" s="5" t="s">
        <v>355</v>
      </c>
    </row>
    <row r="779" ht="16.5" customHeight="1">
      <c r="O779" s="5" t="s">
        <v>355</v>
      </c>
      <c r="P779" s="5" t="s">
        <v>355</v>
      </c>
      <c r="Q779" s="5" t="s">
        <v>355</v>
      </c>
    </row>
    <row r="780" ht="16.5" customHeight="1">
      <c r="O780" s="5" t="s">
        <v>355</v>
      </c>
      <c r="P780" s="5" t="s">
        <v>355</v>
      </c>
      <c r="Q780" s="5" t="s">
        <v>355</v>
      </c>
    </row>
    <row r="781" ht="16.5" customHeight="1">
      <c r="O781" s="5" t="s">
        <v>355</v>
      </c>
      <c r="P781" s="5" t="s">
        <v>355</v>
      </c>
      <c r="Q781" s="5" t="s">
        <v>355</v>
      </c>
    </row>
    <row r="782" ht="16.5" customHeight="1">
      <c r="O782" s="5" t="s">
        <v>355</v>
      </c>
      <c r="P782" s="5" t="s">
        <v>355</v>
      </c>
      <c r="Q782" s="5" t="s">
        <v>355</v>
      </c>
    </row>
    <row r="783" ht="16.5" customHeight="1">
      <c r="O783" s="5" t="s">
        <v>355</v>
      </c>
      <c r="P783" s="5" t="s">
        <v>355</v>
      </c>
      <c r="Q783" s="5" t="s">
        <v>355</v>
      </c>
    </row>
    <row r="784" ht="16.5" customHeight="1">
      <c r="O784" s="5" t="s">
        <v>355</v>
      </c>
      <c r="P784" s="5" t="s">
        <v>355</v>
      </c>
      <c r="Q784" s="5" t="s">
        <v>355</v>
      </c>
    </row>
    <row r="785" ht="16.5" customHeight="1">
      <c r="O785" s="5" t="s">
        <v>355</v>
      </c>
      <c r="P785" s="5" t="s">
        <v>355</v>
      </c>
      <c r="Q785" s="5" t="s">
        <v>355</v>
      </c>
    </row>
    <row r="786" ht="16.5" customHeight="1">
      <c r="O786" s="5" t="s">
        <v>355</v>
      </c>
      <c r="P786" s="5" t="s">
        <v>355</v>
      </c>
      <c r="Q786" s="5" t="s">
        <v>355</v>
      </c>
    </row>
    <row r="787" ht="16.5" customHeight="1">
      <c r="O787" s="5" t="s">
        <v>355</v>
      </c>
      <c r="P787" s="5" t="s">
        <v>355</v>
      </c>
      <c r="Q787" s="5" t="s">
        <v>355</v>
      </c>
    </row>
    <row r="788" ht="16.5" customHeight="1">
      <c r="O788" s="5" t="s">
        <v>355</v>
      </c>
      <c r="P788" s="5" t="s">
        <v>355</v>
      </c>
      <c r="Q788" s="5" t="s">
        <v>355</v>
      </c>
    </row>
    <row r="789" ht="16.5" customHeight="1">
      <c r="O789" s="5" t="s">
        <v>355</v>
      </c>
      <c r="P789" s="5" t="s">
        <v>355</v>
      </c>
      <c r="Q789" s="5" t="s">
        <v>355</v>
      </c>
    </row>
    <row r="790" ht="16.5" customHeight="1">
      <c r="O790" s="5" t="s">
        <v>355</v>
      </c>
      <c r="P790" s="5" t="s">
        <v>355</v>
      </c>
      <c r="Q790" s="5" t="s">
        <v>355</v>
      </c>
    </row>
    <row r="791" ht="16.5" customHeight="1">
      <c r="O791" s="5" t="s">
        <v>355</v>
      </c>
      <c r="P791" s="5" t="s">
        <v>355</v>
      </c>
      <c r="Q791" s="5" t="s">
        <v>355</v>
      </c>
    </row>
    <row r="792" ht="16.5" customHeight="1">
      <c r="O792" s="5" t="s">
        <v>355</v>
      </c>
      <c r="P792" s="5" t="s">
        <v>355</v>
      </c>
      <c r="Q792" s="5" t="s">
        <v>355</v>
      </c>
    </row>
    <row r="793" ht="16.5" customHeight="1">
      <c r="O793" s="5" t="s">
        <v>355</v>
      </c>
      <c r="P793" s="5" t="s">
        <v>355</v>
      </c>
      <c r="Q793" s="5" t="s">
        <v>355</v>
      </c>
    </row>
    <row r="794" ht="16.5" customHeight="1">
      <c r="O794" s="5" t="s">
        <v>355</v>
      </c>
      <c r="P794" s="5" t="s">
        <v>355</v>
      </c>
      <c r="Q794" s="5" t="s">
        <v>355</v>
      </c>
    </row>
    <row r="795" ht="16.5" customHeight="1">
      <c r="O795" s="5" t="s">
        <v>355</v>
      </c>
      <c r="P795" s="5" t="s">
        <v>355</v>
      </c>
      <c r="Q795" s="5" t="s">
        <v>355</v>
      </c>
    </row>
    <row r="796" ht="16.5" customHeight="1">
      <c r="O796" s="5" t="s">
        <v>355</v>
      </c>
      <c r="P796" s="5" t="s">
        <v>355</v>
      </c>
      <c r="Q796" s="5" t="s">
        <v>355</v>
      </c>
    </row>
    <row r="797" ht="16.5" customHeight="1">
      <c r="O797" s="5" t="s">
        <v>355</v>
      </c>
      <c r="P797" s="5" t="s">
        <v>355</v>
      </c>
      <c r="Q797" s="5" t="s">
        <v>355</v>
      </c>
    </row>
    <row r="798" ht="16.5" customHeight="1">
      <c r="O798" s="5" t="s">
        <v>355</v>
      </c>
      <c r="P798" s="5" t="s">
        <v>355</v>
      </c>
      <c r="Q798" s="5" t="s">
        <v>355</v>
      </c>
    </row>
    <row r="799" ht="16.5" customHeight="1">
      <c r="O799" s="5" t="s">
        <v>355</v>
      </c>
      <c r="P799" s="5" t="s">
        <v>355</v>
      </c>
      <c r="Q799" s="5" t="s">
        <v>355</v>
      </c>
    </row>
    <row r="800" ht="16.5" customHeight="1">
      <c r="O800" s="5" t="s">
        <v>355</v>
      </c>
      <c r="P800" s="5" t="s">
        <v>355</v>
      </c>
      <c r="Q800" s="5" t="s">
        <v>355</v>
      </c>
    </row>
    <row r="801" ht="16.5" customHeight="1">
      <c r="O801" s="5" t="s">
        <v>355</v>
      </c>
      <c r="P801" s="5" t="s">
        <v>355</v>
      </c>
      <c r="Q801" s="5" t="s">
        <v>355</v>
      </c>
    </row>
    <row r="802" ht="16.5" customHeight="1">
      <c r="O802" s="5" t="s">
        <v>355</v>
      </c>
      <c r="P802" s="5" t="s">
        <v>355</v>
      </c>
      <c r="Q802" s="5" t="s">
        <v>355</v>
      </c>
    </row>
    <row r="803" ht="16.5" customHeight="1">
      <c r="O803" s="5" t="s">
        <v>355</v>
      </c>
      <c r="P803" s="5" t="s">
        <v>355</v>
      </c>
      <c r="Q803" s="5" t="s">
        <v>355</v>
      </c>
    </row>
    <row r="804" ht="16.5" customHeight="1">
      <c r="O804" s="5" t="s">
        <v>355</v>
      </c>
      <c r="P804" s="5" t="s">
        <v>355</v>
      </c>
      <c r="Q804" s="5" t="s">
        <v>355</v>
      </c>
    </row>
    <row r="805" ht="16.5" customHeight="1">
      <c r="O805" s="5" t="s">
        <v>355</v>
      </c>
      <c r="P805" s="5" t="s">
        <v>355</v>
      </c>
      <c r="Q805" s="5" t="s">
        <v>355</v>
      </c>
    </row>
    <row r="806" ht="16.5" customHeight="1">
      <c r="O806" s="5" t="s">
        <v>355</v>
      </c>
      <c r="P806" s="5" t="s">
        <v>355</v>
      </c>
      <c r="Q806" s="5" t="s">
        <v>355</v>
      </c>
    </row>
    <row r="807" ht="16.5" customHeight="1">
      <c r="O807" s="5" t="s">
        <v>355</v>
      </c>
      <c r="P807" s="5" t="s">
        <v>355</v>
      </c>
      <c r="Q807" s="5" t="s">
        <v>355</v>
      </c>
    </row>
    <row r="808" ht="16.5" customHeight="1">
      <c r="O808" s="5" t="s">
        <v>355</v>
      </c>
      <c r="P808" s="5" t="s">
        <v>355</v>
      </c>
      <c r="Q808" s="5" t="s">
        <v>355</v>
      </c>
    </row>
    <row r="809" ht="16.5" customHeight="1">
      <c r="O809" s="5" t="s">
        <v>355</v>
      </c>
      <c r="P809" s="5" t="s">
        <v>355</v>
      </c>
      <c r="Q809" s="5" t="s">
        <v>355</v>
      </c>
    </row>
    <row r="810" ht="16.5" customHeight="1">
      <c r="O810" s="5" t="s">
        <v>355</v>
      </c>
      <c r="P810" s="5" t="s">
        <v>355</v>
      </c>
      <c r="Q810" s="5" t="s">
        <v>355</v>
      </c>
    </row>
    <row r="811" ht="16.5" customHeight="1">
      <c r="O811" s="5" t="s">
        <v>355</v>
      </c>
      <c r="P811" s="5" t="s">
        <v>355</v>
      </c>
      <c r="Q811" s="5" t="s">
        <v>355</v>
      </c>
    </row>
    <row r="812" ht="16.5" customHeight="1">
      <c r="O812" s="5" t="s">
        <v>355</v>
      </c>
      <c r="P812" s="5" t="s">
        <v>355</v>
      </c>
      <c r="Q812" s="5" t="s">
        <v>355</v>
      </c>
    </row>
    <row r="813" ht="16.5" customHeight="1">
      <c r="O813" s="5" t="s">
        <v>355</v>
      </c>
      <c r="P813" s="5" t="s">
        <v>355</v>
      </c>
      <c r="Q813" s="5" t="s">
        <v>355</v>
      </c>
    </row>
    <row r="814" ht="16.5" customHeight="1">
      <c r="O814" s="5" t="s">
        <v>355</v>
      </c>
      <c r="P814" s="5" t="s">
        <v>355</v>
      </c>
      <c r="Q814" s="5" t="s">
        <v>355</v>
      </c>
    </row>
    <row r="815" ht="16.5" customHeight="1">
      <c r="O815" s="5" t="s">
        <v>355</v>
      </c>
      <c r="P815" s="5" t="s">
        <v>355</v>
      </c>
      <c r="Q815" s="5" t="s">
        <v>355</v>
      </c>
    </row>
    <row r="816" ht="16.5" customHeight="1">
      <c r="O816" s="5" t="s">
        <v>355</v>
      </c>
      <c r="P816" s="5" t="s">
        <v>355</v>
      </c>
      <c r="Q816" s="5" t="s">
        <v>355</v>
      </c>
    </row>
    <row r="817" ht="16.5" customHeight="1">
      <c r="O817" s="5" t="s">
        <v>355</v>
      </c>
      <c r="P817" s="5" t="s">
        <v>355</v>
      </c>
      <c r="Q817" s="5" t="s">
        <v>355</v>
      </c>
    </row>
    <row r="818" ht="16.5" customHeight="1">
      <c r="O818" s="5" t="s">
        <v>355</v>
      </c>
      <c r="P818" s="5" t="s">
        <v>355</v>
      </c>
      <c r="Q818" s="5" t="s">
        <v>355</v>
      </c>
    </row>
    <row r="819" ht="16.5" customHeight="1">
      <c r="O819" s="5" t="s">
        <v>355</v>
      </c>
      <c r="P819" s="5" t="s">
        <v>355</v>
      </c>
      <c r="Q819" s="5" t="s">
        <v>355</v>
      </c>
    </row>
    <row r="820" ht="16.5" customHeight="1">
      <c r="O820" s="5" t="s">
        <v>355</v>
      </c>
      <c r="P820" s="5" t="s">
        <v>355</v>
      </c>
      <c r="Q820" s="5" t="s">
        <v>355</v>
      </c>
    </row>
    <row r="821" ht="16.5" customHeight="1">
      <c r="O821" s="5" t="s">
        <v>355</v>
      </c>
      <c r="P821" s="5" t="s">
        <v>355</v>
      </c>
      <c r="Q821" s="5" t="s">
        <v>355</v>
      </c>
    </row>
    <row r="822" ht="16.5" customHeight="1">
      <c r="O822" s="5" t="s">
        <v>355</v>
      </c>
      <c r="P822" s="5" t="s">
        <v>355</v>
      </c>
      <c r="Q822" s="5" t="s">
        <v>355</v>
      </c>
    </row>
    <row r="823" ht="16.5" customHeight="1">
      <c r="O823" s="5" t="s">
        <v>355</v>
      </c>
      <c r="P823" s="5" t="s">
        <v>355</v>
      </c>
      <c r="Q823" s="5" t="s">
        <v>355</v>
      </c>
    </row>
    <row r="824" ht="16.5" customHeight="1">
      <c r="O824" s="5" t="s">
        <v>355</v>
      </c>
      <c r="P824" s="5" t="s">
        <v>355</v>
      </c>
      <c r="Q824" s="5" t="s">
        <v>355</v>
      </c>
    </row>
    <row r="825" ht="16.5" customHeight="1">
      <c r="O825" s="5" t="s">
        <v>355</v>
      </c>
      <c r="P825" s="5" t="s">
        <v>355</v>
      </c>
      <c r="Q825" s="5" t="s">
        <v>355</v>
      </c>
    </row>
    <row r="826" ht="16.5" customHeight="1">
      <c r="O826" s="5" t="s">
        <v>355</v>
      </c>
      <c r="P826" s="5" t="s">
        <v>355</v>
      </c>
      <c r="Q826" s="5" t="s">
        <v>355</v>
      </c>
    </row>
    <row r="827" ht="16.5" customHeight="1">
      <c r="O827" s="5" t="s">
        <v>355</v>
      </c>
      <c r="P827" s="5" t="s">
        <v>355</v>
      </c>
      <c r="Q827" s="5" t="s">
        <v>355</v>
      </c>
    </row>
    <row r="828" ht="16.5" customHeight="1">
      <c r="O828" s="5" t="s">
        <v>355</v>
      </c>
      <c r="P828" s="5" t="s">
        <v>355</v>
      </c>
      <c r="Q828" s="5" t="s">
        <v>355</v>
      </c>
    </row>
    <row r="829" ht="16.5" customHeight="1">
      <c r="O829" s="5" t="s">
        <v>355</v>
      </c>
      <c r="P829" s="5" t="s">
        <v>355</v>
      </c>
      <c r="Q829" s="5" t="s">
        <v>355</v>
      </c>
    </row>
    <row r="830" ht="16.5" customHeight="1">
      <c r="O830" s="5" t="s">
        <v>355</v>
      </c>
      <c r="P830" s="5" t="s">
        <v>355</v>
      </c>
      <c r="Q830" s="5" t="s">
        <v>355</v>
      </c>
    </row>
    <row r="831" ht="16.5" customHeight="1">
      <c r="O831" s="5" t="s">
        <v>355</v>
      </c>
      <c r="P831" s="5" t="s">
        <v>355</v>
      </c>
      <c r="Q831" s="5" t="s">
        <v>355</v>
      </c>
    </row>
    <row r="832" ht="16.5" customHeight="1">
      <c r="O832" s="5" t="s">
        <v>355</v>
      </c>
      <c r="P832" s="5" t="s">
        <v>355</v>
      </c>
      <c r="Q832" s="5" t="s">
        <v>355</v>
      </c>
    </row>
    <row r="833" ht="16.5" customHeight="1">
      <c r="O833" s="5" t="s">
        <v>355</v>
      </c>
      <c r="P833" s="5" t="s">
        <v>355</v>
      </c>
      <c r="Q833" s="5" t="s">
        <v>355</v>
      </c>
    </row>
    <row r="834" ht="16.5" customHeight="1">
      <c r="O834" s="5" t="s">
        <v>355</v>
      </c>
      <c r="P834" s="5" t="s">
        <v>355</v>
      </c>
      <c r="Q834" s="5" t="s">
        <v>355</v>
      </c>
    </row>
    <row r="835" ht="16.5" customHeight="1">
      <c r="O835" s="5" t="s">
        <v>355</v>
      </c>
      <c r="P835" s="5" t="s">
        <v>355</v>
      </c>
      <c r="Q835" s="5" t="s">
        <v>355</v>
      </c>
    </row>
    <row r="836" ht="16.5" customHeight="1">
      <c r="O836" s="5" t="s">
        <v>355</v>
      </c>
      <c r="P836" s="5" t="s">
        <v>355</v>
      </c>
      <c r="Q836" s="5" t="s">
        <v>355</v>
      </c>
    </row>
    <row r="837" ht="16.5" customHeight="1">
      <c r="O837" s="5" t="s">
        <v>355</v>
      </c>
      <c r="P837" s="5" t="s">
        <v>355</v>
      </c>
      <c r="Q837" s="5" t="s">
        <v>355</v>
      </c>
    </row>
    <row r="838" ht="16.5" customHeight="1">
      <c r="O838" s="5" t="s">
        <v>355</v>
      </c>
      <c r="P838" s="5" t="s">
        <v>355</v>
      </c>
      <c r="Q838" s="5" t="s">
        <v>355</v>
      </c>
    </row>
    <row r="839" ht="16.5" customHeight="1">
      <c r="O839" s="5" t="s">
        <v>355</v>
      </c>
      <c r="P839" s="5" t="s">
        <v>355</v>
      </c>
      <c r="Q839" s="5" t="s">
        <v>355</v>
      </c>
    </row>
    <row r="840" ht="16.5" customHeight="1">
      <c r="O840" s="5" t="s">
        <v>355</v>
      </c>
      <c r="P840" s="5" t="s">
        <v>355</v>
      </c>
      <c r="Q840" s="5" t="s">
        <v>355</v>
      </c>
    </row>
    <row r="841" ht="16.5" customHeight="1">
      <c r="O841" s="5" t="s">
        <v>355</v>
      </c>
      <c r="P841" s="5" t="s">
        <v>355</v>
      </c>
      <c r="Q841" s="5" t="s">
        <v>355</v>
      </c>
    </row>
    <row r="842" ht="16.5" customHeight="1">
      <c r="O842" s="5" t="s">
        <v>355</v>
      </c>
      <c r="P842" s="5" t="s">
        <v>355</v>
      </c>
      <c r="Q842" s="5" t="s">
        <v>355</v>
      </c>
    </row>
    <row r="843" ht="16.5" customHeight="1">
      <c r="O843" s="5" t="s">
        <v>355</v>
      </c>
      <c r="P843" s="5" t="s">
        <v>355</v>
      </c>
      <c r="Q843" s="5" t="s">
        <v>355</v>
      </c>
    </row>
    <row r="844" ht="16.5" customHeight="1">
      <c r="O844" s="5" t="s">
        <v>355</v>
      </c>
      <c r="P844" s="5" t="s">
        <v>355</v>
      </c>
      <c r="Q844" s="5" t="s">
        <v>355</v>
      </c>
    </row>
    <row r="845" ht="16.5" customHeight="1">
      <c r="O845" s="5" t="s">
        <v>355</v>
      </c>
      <c r="P845" s="5" t="s">
        <v>355</v>
      </c>
      <c r="Q845" s="5" t="s">
        <v>355</v>
      </c>
    </row>
    <row r="846" ht="16.5" customHeight="1">
      <c r="O846" s="5" t="s">
        <v>355</v>
      </c>
      <c r="P846" s="5" t="s">
        <v>355</v>
      </c>
      <c r="Q846" s="5" t="s">
        <v>355</v>
      </c>
    </row>
    <row r="847" ht="16.5" customHeight="1">
      <c r="O847" s="5" t="s">
        <v>355</v>
      </c>
      <c r="P847" s="5" t="s">
        <v>355</v>
      </c>
      <c r="Q847" s="5" t="s">
        <v>355</v>
      </c>
    </row>
    <row r="848" ht="16.5" customHeight="1">
      <c r="O848" s="5" t="s">
        <v>355</v>
      </c>
      <c r="P848" s="5" t="s">
        <v>355</v>
      </c>
      <c r="Q848" s="5" t="s">
        <v>355</v>
      </c>
    </row>
    <row r="849" ht="16.5" customHeight="1">
      <c r="O849" s="5" t="s">
        <v>355</v>
      </c>
      <c r="P849" s="5" t="s">
        <v>355</v>
      </c>
      <c r="Q849" s="5" t="s">
        <v>355</v>
      </c>
    </row>
    <row r="850" ht="16.5" customHeight="1">
      <c r="O850" s="5" t="s">
        <v>355</v>
      </c>
      <c r="P850" s="5" t="s">
        <v>355</v>
      </c>
      <c r="Q850" s="5" t="s">
        <v>355</v>
      </c>
    </row>
    <row r="851" ht="16.5" customHeight="1">
      <c r="O851" s="5" t="s">
        <v>355</v>
      </c>
      <c r="P851" s="5" t="s">
        <v>355</v>
      </c>
      <c r="Q851" s="5" t="s">
        <v>355</v>
      </c>
    </row>
    <row r="852" ht="16.5" customHeight="1">
      <c r="O852" s="5" t="s">
        <v>355</v>
      </c>
      <c r="P852" s="5" t="s">
        <v>355</v>
      </c>
      <c r="Q852" s="5" t="s">
        <v>355</v>
      </c>
    </row>
    <row r="853" ht="16.5" customHeight="1">
      <c r="O853" s="5" t="s">
        <v>355</v>
      </c>
      <c r="P853" s="5" t="s">
        <v>355</v>
      </c>
      <c r="Q853" s="5" t="s">
        <v>355</v>
      </c>
    </row>
    <row r="854" ht="16.5" customHeight="1">
      <c r="O854" s="5" t="s">
        <v>355</v>
      </c>
      <c r="P854" s="5" t="s">
        <v>355</v>
      </c>
      <c r="Q854" s="5" t="s">
        <v>355</v>
      </c>
    </row>
    <row r="855" ht="16.5" customHeight="1">
      <c r="O855" s="5" t="s">
        <v>355</v>
      </c>
      <c r="P855" s="5" t="s">
        <v>355</v>
      </c>
      <c r="Q855" s="5" t="s">
        <v>355</v>
      </c>
    </row>
    <row r="856" ht="16.5" customHeight="1">
      <c r="O856" s="5" t="s">
        <v>355</v>
      </c>
      <c r="P856" s="5" t="s">
        <v>355</v>
      </c>
      <c r="Q856" s="5" t="s">
        <v>355</v>
      </c>
    </row>
    <row r="857" ht="16.5" customHeight="1">
      <c r="O857" s="5" t="s">
        <v>355</v>
      </c>
      <c r="P857" s="5" t="s">
        <v>355</v>
      </c>
      <c r="Q857" s="5" t="s">
        <v>355</v>
      </c>
    </row>
    <row r="858" ht="16.5" customHeight="1">
      <c r="O858" s="5" t="s">
        <v>355</v>
      </c>
      <c r="P858" s="5" t="s">
        <v>355</v>
      </c>
      <c r="Q858" s="5" t="s">
        <v>355</v>
      </c>
    </row>
    <row r="859" ht="16.5" customHeight="1">
      <c r="O859" s="5" t="s">
        <v>355</v>
      </c>
      <c r="P859" s="5" t="s">
        <v>355</v>
      </c>
      <c r="Q859" s="5" t="s">
        <v>355</v>
      </c>
    </row>
    <row r="860" ht="16.5" customHeight="1">
      <c r="O860" s="5" t="s">
        <v>355</v>
      </c>
      <c r="P860" s="5" t="s">
        <v>355</v>
      </c>
      <c r="Q860" s="5" t="s">
        <v>355</v>
      </c>
    </row>
    <row r="861" ht="16.5" customHeight="1">
      <c r="O861" s="5" t="s">
        <v>355</v>
      </c>
      <c r="P861" s="5" t="s">
        <v>355</v>
      </c>
      <c r="Q861" s="5" t="s">
        <v>355</v>
      </c>
    </row>
    <row r="862" ht="16.5" customHeight="1">
      <c r="O862" s="5" t="s">
        <v>355</v>
      </c>
      <c r="P862" s="5" t="s">
        <v>355</v>
      </c>
      <c r="Q862" s="5" t="s">
        <v>355</v>
      </c>
    </row>
    <row r="863" ht="16.5" customHeight="1">
      <c r="O863" s="5" t="s">
        <v>355</v>
      </c>
      <c r="P863" s="5" t="s">
        <v>355</v>
      </c>
      <c r="Q863" s="5" t="s">
        <v>355</v>
      </c>
    </row>
    <row r="864" ht="16.5" customHeight="1">
      <c r="O864" s="5" t="s">
        <v>355</v>
      </c>
      <c r="P864" s="5" t="s">
        <v>355</v>
      </c>
      <c r="Q864" s="5" t="s">
        <v>355</v>
      </c>
    </row>
    <row r="865" ht="16.5" customHeight="1">
      <c r="O865" s="5" t="s">
        <v>355</v>
      </c>
      <c r="P865" s="5" t="s">
        <v>355</v>
      </c>
      <c r="Q865" s="5" t="s">
        <v>355</v>
      </c>
    </row>
    <row r="866" ht="16.5" customHeight="1">
      <c r="O866" s="5" t="s">
        <v>355</v>
      </c>
      <c r="P866" s="5" t="s">
        <v>355</v>
      </c>
      <c r="Q866" s="5" t="s">
        <v>355</v>
      </c>
    </row>
    <row r="867" ht="16.5" customHeight="1">
      <c r="O867" s="5" t="s">
        <v>355</v>
      </c>
      <c r="P867" s="5" t="s">
        <v>355</v>
      </c>
      <c r="Q867" s="5" t="s">
        <v>355</v>
      </c>
    </row>
    <row r="868" ht="16.5" customHeight="1">
      <c r="O868" s="5" t="s">
        <v>355</v>
      </c>
      <c r="P868" s="5" t="s">
        <v>355</v>
      </c>
      <c r="Q868" s="5" t="s">
        <v>355</v>
      </c>
    </row>
    <row r="869" ht="16.5" customHeight="1">
      <c r="O869" s="5" t="s">
        <v>355</v>
      </c>
      <c r="P869" s="5" t="s">
        <v>355</v>
      </c>
      <c r="Q869" s="5" t="s">
        <v>355</v>
      </c>
    </row>
    <row r="870" ht="16.5" customHeight="1">
      <c r="O870" s="5" t="s">
        <v>355</v>
      </c>
      <c r="P870" s="5" t="s">
        <v>355</v>
      </c>
      <c r="Q870" s="5" t="s">
        <v>355</v>
      </c>
    </row>
    <row r="871" ht="16.5" customHeight="1">
      <c r="O871" s="5" t="s">
        <v>355</v>
      </c>
      <c r="P871" s="5" t="s">
        <v>355</v>
      </c>
      <c r="Q871" s="5" t="s">
        <v>355</v>
      </c>
    </row>
    <row r="872" ht="16.5" customHeight="1">
      <c r="O872" s="5" t="s">
        <v>355</v>
      </c>
      <c r="P872" s="5" t="s">
        <v>355</v>
      </c>
      <c r="Q872" s="5" t="s">
        <v>355</v>
      </c>
    </row>
    <row r="873" ht="16.5" customHeight="1">
      <c r="O873" s="5" t="s">
        <v>355</v>
      </c>
      <c r="P873" s="5" t="s">
        <v>355</v>
      </c>
      <c r="Q873" s="5" t="s">
        <v>355</v>
      </c>
    </row>
    <row r="874" ht="16.5" customHeight="1">
      <c r="O874" s="5" t="s">
        <v>355</v>
      </c>
      <c r="P874" s="5" t="s">
        <v>355</v>
      </c>
      <c r="Q874" s="5" t="s">
        <v>355</v>
      </c>
    </row>
    <row r="875" ht="16.5" customHeight="1">
      <c r="O875" s="5" t="s">
        <v>355</v>
      </c>
      <c r="P875" s="5" t="s">
        <v>355</v>
      </c>
      <c r="Q875" s="5" t="s">
        <v>355</v>
      </c>
    </row>
    <row r="876" ht="16.5" customHeight="1">
      <c r="O876" s="5" t="s">
        <v>355</v>
      </c>
      <c r="P876" s="5" t="s">
        <v>355</v>
      </c>
      <c r="Q876" s="5" t="s">
        <v>355</v>
      </c>
    </row>
    <row r="877" ht="16.5" customHeight="1">
      <c r="O877" s="5" t="s">
        <v>355</v>
      </c>
      <c r="P877" s="5" t="s">
        <v>355</v>
      </c>
      <c r="Q877" s="5" t="s">
        <v>355</v>
      </c>
    </row>
    <row r="878" ht="16.5" customHeight="1">
      <c r="O878" s="5" t="s">
        <v>355</v>
      </c>
      <c r="P878" s="5" t="s">
        <v>355</v>
      </c>
      <c r="Q878" s="5" t="s">
        <v>355</v>
      </c>
    </row>
    <row r="879" ht="16.5" customHeight="1">
      <c r="O879" s="5" t="s">
        <v>355</v>
      </c>
      <c r="P879" s="5" t="s">
        <v>355</v>
      </c>
      <c r="Q879" s="5" t="s">
        <v>355</v>
      </c>
    </row>
    <row r="880" ht="16.5" customHeight="1">
      <c r="O880" s="5" t="s">
        <v>355</v>
      </c>
      <c r="P880" s="5" t="s">
        <v>355</v>
      </c>
      <c r="Q880" s="5" t="s">
        <v>355</v>
      </c>
    </row>
    <row r="881" ht="16.5" customHeight="1">
      <c r="O881" s="5" t="s">
        <v>355</v>
      </c>
      <c r="P881" s="5" t="s">
        <v>355</v>
      </c>
      <c r="Q881" s="5" t="s">
        <v>355</v>
      </c>
    </row>
    <row r="882" ht="16.5" customHeight="1">
      <c r="O882" s="5" t="s">
        <v>355</v>
      </c>
      <c r="P882" s="5" t="s">
        <v>355</v>
      </c>
      <c r="Q882" s="5" t="s">
        <v>355</v>
      </c>
    </row>
    <row r="883" ht="16.5" customHeight="1">
      <c r="O883" s="5" t="s">
        <v>355</v>
      </c>
      <c r="P883" s="5" t="s">
        <v>355</v>
      </c>
      <c r="Q883" s="5" t="s">
        <v>355</v>
      </c>
    </row>
    <row r="884" ht="16.5" customHeight="1">
      <c r="O884" s="5" t="s">
        <v>355</v>
      </c>
      <c r="P884" s="5" t="s">
        <v>355</v>
      </c>
      <c r="Q884" s="5" t="s">
        <v>355</v>
      </c>
    </row>
    <row r="885" ht="16.5" customHeight="1">
      <c r="O885" s="5" t="s">
        <v>355</v>
      </c>
      <c r="P885" s="5" t="s">
        <v>355</v>
      </c>
      <c r="Q885" s="5" t="s">
        <v>355</v>
      </c>
    </row>
    <row r="886" ht="16.5" customHeight="1">
      <c r="O886" s="5" t="s">
        <v>355</v>
      </c>
      <c r="P886" s="5" t="s">
        <v>355</v>
      </c>
      <c r="Q886" s="5" t="s">
        <v>355</v>
      </c>
    </row>
    <row r="887" ht="16.5" customHeight="1">
      <c r="O887" s="5" t="s">
        <v>355</v>
      </c>
      <c r="P887" s="5" t="s">
        <v>355</v>
      </c>
      <c r="Q887" s="5" t="s">
        <v>355</v>
      </c>
    </row>
    <row r="888" ht="16.5" customHeight="1">
      <c r="O888" s="5" t="s">
        <v>355</v>
      </c>
      <c r="P888" s="5" t="s">
        <v>355</v>
      </c>
      <c r="Q888" s="5" t="s">
        <v>355</v>
      </c>
    </row>
    <row r="889" ht="16.5" customHeight="1">
      <c r="O889" s="5" t="s">
        <v>355</v>
      </c>
      <c r="P889" s="5" t="s">
        <v>355</v>
      </c>
      <c r="Q889" s="5" t="s">
        <v>355</v>
      </c>
    </row>
    <row r="890" ht="16.5" customHeight="1">
      <c r="O890" s="5" t="s">
        <v>355</v>
      </c>
      <c r="P890" s="5" t="s">
        <v>355</v>
      </c>
      <c r="Q890" s="5" t="s">
        <v>355</v>
      </c>
    </row>
    <row r="891" ht="16.5" customHeight="1">
      <c r="O891" s="5" t="s">
        <v>355</v>
      </c>
      <c r="P891" s="5" t="s">
        <v>355</v>
      </c>
      <c r="Q891" s="5" t="s">
        <v>355</v>
      </c>
    </row>
    <row r="892" ht="16.5" customHeight="1">
      <c r="O892" s="5" t="s">
        <v>355</v>
      </c>
      <c r="P892" s="5" t="s">
        <v>355</v>
      </c>
      <c r="Q892" s="5" t="s">
        <v>355</v>
      </c>
    </row>
    <row r="893" ht="16.5" customHeight="1">
      <c r="O893" s="5" t="s">
        <v>355</v>
      </c>
      <c r="P893" s="5" t="s">
        <v>355</v>
      </c>
      <c r="Q893" s="5" t="s">
        <v>355</v>
      </c>
    </row>
    <row r="894" ht="16.5" customHeight="1">
      <c r="O894" s="5" t="s">
        <v>355</v>
      </c>
      <c r="P894" s="5" t="s">
        <v>355</v>
      </c>
      <c r="Q894" s="5" t="s">
        <v>355</v>
      </c>
    </row>
    <row r="895" ht="16.5" customHeight="1">
      <c r="O895" s="5" t="s">
        <v>355</v>
      </c>
      <c r="P895" s="5" t="s">
        <v>355</v>
      </c>
      <c r="Q895" s="5" t="s">
        <v>355</v>
      </c>
    </row>
    <row r="896" ht="16.5" customHeight="1">
      <c r="O896" s="5" t="s">
        <v>355</v>
      </c>
      <c r="P896" s="5" t="s">
        <v>355</v>
      </c>
      <c r="Q896" s="5" t="s">
        <v>355</v>
      </c>
    </row>
    <row r="897" ht="16.5" customHeight="1">
      <c r="O897" s="5" t="s">
        <v>355</v>
      </c>
      <c r="P897" s="5" t="s">
        <v>355</v>
      </c>
      <c r="Q897" s="5" t="s">
        <v>355</v>
      </c>
    </row>
    <row r="898" ht="16.5" customHeight="1">
      <c r="O898" s="5" t="s">
        <v>355</v>
      </c>
      <c r="P898" s="5" t="s">
        <v>355</v>
      </c>
      <c r="Q898" s="5" t="s">
        <v>355</v>
      </c>
    </row>
    <row r="899" ht="16.5" customHeight="1">
      <c r="O899" s="5" t="s">
        <v>355</v>
      </c>
      <c r="P899" s="5" t="s">
        <v>355</v>
      </c>
      <c r="Q899" s="5" t="s">
        <v>355</v>
      </c>
    </row>
    <row r="900" ht="16.5" customHeight="1">
      <c r="O900" s="5" t="s">
        <v>355</v>
      </c>
      <c r="P900" s="5" t="s">
        <v>355</v>
      </c>
      <c r="Q900" s="5" t="s">
        <v>355</v>
      </c>
    </row>
    <row r="901" ht="16.5" customHeight="1">
      <c r="O901" s="5" t="s">
        <v>355</v>
      </c>
      <c r="P901" s="5" t="s">
        <v>355</v>
      </c>
      <c r="Q901" s="5" t="s">
        <v>355</v>
      </c>
    </row>
    <row r="902" ht="16.5" customHeight="1">
      <c r="O902" s="5" t="s">
        <v>355</v>
      </c>
      <c r="P902" s="5" t="s">
        <v>355</v>
      </c>
      <c r="Q902" s="5" t="s">
        <v>355</v>
      </c>
    </row>
    <row r="903" ht="16.5" customHeight="1">
      <c r="O903" s="5" t="s">
        <v>355</v>
      </c>
      <c r="P903" s="5" t="s">
        <v>355</v>
      </c>
      <c r="Q903" s="5" t="s">
        <v>355</v>
      </c>
    </row>
    <row r="904" ht="16.5" customHeight="1">
      <c r="O904" s="5" t="s">
        <v>355</v>
      </c>
      <c r="P904" s="5" t="s">
        <v>355</v>
      </c>
      <c r="Q904" s="5" t="s">
        <v>355</v>
      </c>
    </row>
    <row r="905" ht="16.5" customHeight="1">
      <c r="O905" s="5" t="s">
        <v>355</v>
      </c>
      <c r="P905" s="5" t="s">
        <v>355</v>
      </c>
      <c r="Q905" s="5" t="s">
        <v>355</v>
      </c>
    </row>
    <row r="906" ht="16.5" customHeight="1">
      <c r="O906" s="5" t="s">
        <v>355</v>
      </c>
      <c r="P906" s="5" t="s">
        <v>355</v>
      </c>
      <c r="Q906" s="5" t="s">
        <v>355</v>
      </c>
    </row>
    <row r="907" ht="16.5" customHeight="1">
      <c r="O907" s="5" t="s">
        <v>355</v>
      </c>
      <c r="P907" s="5" t="s">
        <v>355</v>
      </c>
      <c r="Q907" s="5" t="s">
        <v>355</v>
      </c>
    </row>
    <row r="908" ht="16.5" customHeight="1">
      <c r="O908" s="5" t="s">
        <v>355</v>
      </c>
      <c r="P908" s="5" t="s">
        <v>355</v>
      </c>
      <c r="Q908" s="5" t="s">
        <v>355</v>
      </c>
    </row>
    <row r="909" ht="16.5" customHeight="1">
      <c r="O909" s="5" t="s">
        <v>355</v>
      </c>
      <c r="P909" s="5" t="s">
        <v>355</v>
      </c>
      <c r="Q909" s="5" t="s">
        <v>355</v>
      </c>
    </row>
    <row r="910" ht="16.5" customHeight="1">
      <c r="O910" s="5" t="s">
        <v>355</v>
      </c>
      <c r="P910" s="5" t="s">
        <v>355</v>
      </c>
      <c r="Q910" s="5" t="s">
        <v>355</v>
      </c>
    </row>
    <row r="911" ht="16.5" customHeight="1">
      <c r="O911" s="5" t="s">
        <v>355</v>
      </c>
      <c r="P911" s="5" t="s">
        <v>355</v>
      </c>
      <c r="Q911" s="5" t="s">
        <v>355</v>
      </c>
    </row>
    <row r="912" ht="16.5" customHeight="1">
      <c r="O912" s="5" t="s">
        <v>355</v>
      </c>
      <c r="P912" s="5" t="s">
        <v>355</v>
      </c>
      <c r="Q912" s="5" t="s">
        <v>355</v>
      </c>
    </row>
    <row r="913" ht="16.5" customHeight="1">
      <c r="O913" s="5" t="s">
        <v>355</v>
      </c>
      <c r="P913" s="5" t="s">
        <v>355</v>
      </c>
      <c r="Q913" s="5" t="s">
        <v>355</v>
      </c>
    </row>
    <row r="914" ht="16.5" customHeight="1">
      <c r="O914" s="5" t="s">
        <v>355</v>
      </c>
      <c r="P914" s="5" t="s">
        <v>355</v>
      </c>
      <c r="Q914" s="5" t="s">
        <v>355</v>
      </c>
    </row>
    <row r="915" ht="16.5" customHeight="1">
      <c r="O915" s="5" t="s">
        <v>355</v>
      </c>
      <c r="P915" s="5" t="s">
        <v>355</v>
      </c>
      <c r="Q915" s="5" t="s">
        <v>355</v>
      </c>
    </row>
    <row r="916" ht="16.5" customHeight="1">
      <c r="O916" s="5" t="s">
        <v>355</v>
      </c>
      <c r="P916" s="5" t="s">
        <v>355</v>
      </c>
      <c r="Q916" s="5" t="s">
        <v>355</v>
      </c>
    </row>
    <row r="917" ht="16.5" customHeight="1">
      <c r="O917" s="5" t="s">
        <v>355</v>
      </c>
      <c r="P917" s="5" t="s">
        <v>355</v>
      </c>
      <c r="Q917" s="5" t="s">
        <v>355</v>
      </c>
    </row>
    <row r="918" ht="16.5" customHeight="1">
      <c r="O918" s="5" t="s">
        <v>355</v>
      </c>
      <c r="P918" s="5" t="s">
        <v>355</v>
      </c>
      <c r="Q918" s="5" t="s">
        <v>355</v>
      </c>
    </row>
    <row r="919" ht="16.5" customHeight="1">
      <c r="O919" s="5" t="s">
        <v>355</v>
      </c>
      <c r="P919" s="5" t="s">
        <v>355</v>
      </c>
      <c r="Q919" s="5" t="s">
        <v>355</v>
      </c>
    </row>
    <row r="920" ht="16.5" customHeight="1">
      <c r="O920" s="5" t="s">
        <v>355</v>
      </c>
      <c r="P920" s="5" t="s">
        <v>355</v>
      </c>
      <c r="Q920" s="5" t="s">
        <v>355</v>
      </c>
    </row>
    <row r="921" ht="16.5" customHeight="1">
      <c r="O921" s="5" t="s">
        <v>355</v>
      </c>
      <c r="P921" s="5" t="s">
        <v>355</v>
      </c>
      <c r="Q921" s="5" t="s">
        <v>355</v>
      </c>
    </row>
    <row r="922" ht="16.5" customHeight="1">
      <c r="O922" s="5" t="s">
        <v>355</v>
      </c>
      <c r="P922" s="5" t="s">
        <v>355</v>
      </c>
      <c r="Q922" s="5" t="s">
        <v>355</v>
      </c>
    </row>
    <row r="923" ht="16.5" customHeight="1">
      <c r="O923" s="5" t="s">
        <v>355</v>
      </c>
      <c r="P923" s="5" t="s">
        <v>355</v>
      </c>
      <c r="Q923" s="5" t="s">
        <v>355</v>
      </c>
    </row>
    <row r="924" ht="16.5" customHeight="1">
      <c r="O924" s="5" t="s">
        <v>355</v>
      </c>
      <c r="P924" s="5" t="s">
        <v>355</v>
      </c>
      <c r="Q924" s="5" t="s">
        <v>355</v>
      </c>
    </row>
    <row r="925" ht="16.5" customHeight="1">
      <c r="O925" s="5" t="s">
        <v>355</v>
      </c>
      <c r="P925" s="5" t="s">
        <v>355</v>
      </c>
      <c r="Q925" s="5" t="s">
        <v>355</v>
      </c>
    </row>
    <row r="926" ht="16.5" customHeight="1">
      <c r="O926" s="5" t="s">
        <v>355</v>
      </c>
      <c r="P926" s="5" t="s">
        <v>355</v>
      </c>
      <c r="Q926" s="5" t="s">
        <v>355</v>
      </c>
    </row>
    <row r="927" ht="16.5" customHeight="1">
      <c r="O927" s="5" t="s">
        <v>355</v>
      </c>
      <c r="P927" s="5" t="s">
        <v>355</v>
      </c>
      <c r="Q927" s="5" t="s">
        <v>355</v>
      </c>
    </row>
    <row r="928" ht="16.5" customHeight="1">
      <c r="O928" s="5" t="s">
        <v>355</v>
      </c>
      <c r="P928" s="5" t="s">
        <v>355</v>
      </c>
      <c r="Q928" s="5" t="s">
        <v>355</v>
      </c>
    </row>
    <row r="929" ht="16.5" customHeight="1">
      <c r="O929" s="5" t="s">
        <v>355</v>
      </c>
      <c r="P929" s="5" t="s">
        <v>355</v>
      </c>
      <c r="Q929" s="5" t="s">
        <v>355</v>
      </c>
    </row>
    <row r="930" ht="16.5" customHeight="1">
      <c r="O930" s="5" t="s">
        <v>355</v>
      </c>
      <c r="P930" s="5" t="s">
        <v>355</v>
      </c>
      <c r="Q930" s="5" t="s">
        <v>355</v>
      </c>
    </row>
    <row r="931" ht="16.5" customHeight="1">
      <c r="O931" s="5" t="s">
        <v>355</v>
      </c>
      <c r="P931" s="5" t="s">
        <v>355</v>
      </c>
      <c r="Q931" s="5" t="s">
        <v>355</v>
      </c>
    </row>
    <row r="932" ht="16.5" customHeight="1">
      <c r="O932" s="5" t="s">
        <v>355</v>
      </c>
      <c r="P932" s="5" t="s">
        <v>355</v>
      </c>
      <c r="Q932" s="5" t="s">
        <v>355</v>
      </c>
    </row>
    <row r="933" ht="16.5" customHeight="1">
      <c r="O933" s="5" t="s">
        <v>355</v>
      </c>
      <c r="P933" s="5" t="s">
        <v>355</v>
      </c>
      <c r="Q933" s="5" t="s">
        <v>355</v>
      </c>
    </row>
    <row r="934" ht="16.5" customHeight="1">
      <c r="O934" s="5" t="s">
        <v>355</v>
      </c>
      <c r="P934" s="5" t="s">
        <v>355</v>
      </c>
      <c r="Q934" s="5" t="s">
        <v>355</v>
      </c>
    </row>
    <row r="935" ht="16.5" customHeight="1">
      <c r="O935" s="5" t="s">
        <v>355</v>
      </c>
      <c r="P935" s="5" t="s">
        <v>355</v>
      </c>
      <c r="Q935" s="5" t="s">
        <v>355</v>
      </c>
    </row>
    <row r="936" ht="16.5" customHeight="1">
      <c r="O936" s="5" t="s">
        <v>355</v>
      </c>
      <c r="P936" s="5" t="s">
        <v>355</v>
      </c>
      <c r="Q936" s="5" t="s">
        <v>355</v>
      </c>
    </row>
    <row r="937" ht="16.5" customHeight="1">
      <c r="O937" s="5" t="s">
        <v>355</v>
      </c>
      <c r="P937" s="5" t="s">
        <v>355</v>
      </c>
      <c r="Q937" s="5" t="s">
        <v>355</v>
      </c>
    </row>
    <row r="938" ht="16.5" customHeight="1">
      <c r="O938" s="5" t="s">
        <v>355</v>
      </c>
      <c r="P938" s="5" t="s">
        <v>355</v>
      </c>
      <c r="Q938" s="5" t="s">
        <v>355</v>
      </c>
    </row>
    <row r="939" ht="16.5" customHeight="1">
      <c r="O939" s="5" t="s">
        <v>355</v>
      </c>
      <c r="P939" s="5" t="s">
        <v>355</v>
      </c>
      <c r="Q939" s="5" t="s">
        <v>355</v>
      </c>
    </row>
    <row r="940" ht="16.5" customHeight="1">
      <c r="O940" s="5" t="s">
        <v>355</v>
      </c>
      <c r="P940" s="5" t="s">
        <v>355</v>
      </c>
      <c r="Q940" s="5" t="s">
        <v>355</v>
      </c>
    </row>
    <row r="941" ht="16.5" customHeight="1">
      <c r="O941" s="5" t="s">
        <v>355</v>
      </c>
      <c r="P941" s="5" t="s">
        <v>355</v>
      </c>
      <c r="Q941" s="5" t="s">
        <v>355</v>
      </c>
    </row>
    <row r="942" ht="16.5" customHeight="1">
      <c r="O942" s="5" t="s">
        <v>355</v>
      </c>
      <c r="P942" s="5" t="s">
        <v>355</v>
      </c>
      <c r="Q942" s="5" t="s">
        <v>355</v>
      </c>
    </row>
    <row r="943" ht="16.5" customHeight="1">
      <c r="O943" s="5" t="s">
        <v>355</v>
      </c>
      <c r="P943" s="5" t="s">
        <v>355</v>
      </c>
      <c r="Q943" s="5" t="s">
        <v>355</v>
      </c>
    </row>
    <row r="944" ht="16.5" customHeight="1">
      <c r="O944" s="5" t="s">
        <v>355</v>
      </c>
      <c r="P944" s="5" t="s">
        <v>355</v>
      </c>
      <c r="Q944" s="5" t="s">
        <v>355</v>
      </c>
    </row>
    <row r="945" ht="16.5" customHeight="1">
      <c r="O945" s="5" t="s">
        <v>355</v>
      </c>
      <c r="P945" s="5" t="s">
        <v>355</v>
      </c>
      <c r="Q945" s="5" t="s">
        <v>355</v>
      </c>
    </row>
    <row r="946" ht="16.5" customHeight="1">
      <c r="O946" s="5" t="s">
        <v>355</v>
      </c>
      <c r="P946" s="5" t="s">
        <v>355</v>
      </c>
      <c r="Q946" s="5" t="s">
        <v>355</v>
      </c>
    </row>
    <row r="947" ht="16.5" customHeight="1">
      <c r="O947" s="5" t="s">
        <v>355</v>
      </c>
      <c r="P947" s="5" t="s">
        <v>355</v>
      </c>
      <c r="Q947" s="5" t="s">
        <v>355</v>
      </c>
    </row>
    <row r="948" ht="16.5" customHeight="1">
      <c r="O948" s="5" t="s">
        <v>355</v>
      </c>
      <c r="P948" s="5" t="s">
        <v>355</v>
      </c>
      <c r="Q948" s="5" t="s">
        <v>355</v>
      </c>
    </row>
    <row r="949" ht="16.5" customHeight="1">
      <c r="O949" s="5" t="s">
        <v>355</v>
      </c>
      <c r="P949" s="5" t="s">
        <v>355</v>
      </c>
      <c r="Q949" s="5" t="s">
        <v>355</v>
      </c>
    </row>
    <row r="950" ht="16.5" customHeight="1">
      <c r="O950" s="5" t="s">
        <v>355</v>
      </c>
      <c r="P950" s="5" t="s">
        <v>355</v>
      </c>
      <c r="Q950" s="5" t="s">
        <v>355</v>
      </c>
    </row>
    <row r="951" ht="16.5" customHeight="1">
      <c r="O951" s="5" t="s">
        <v>355</v>
      </c>
      <c r="P951" s="5" t="s">
        <v>355</v>
      </c>
      <c r="Q951" s="5" t="s">
        <v>355</v>
      </c>
    </row>
    <row r="952" ht="16.5" customHeight="1">
      <c r="O952" s="5" t="s">
        <v>355</v>
      </c>
      <c r="P952" s="5" t="s">
        <v>355</v>
      </c>
      <c r="Q952" s="5" t="s">
        <v>355</v>
      </c>
    </row>
    <row r="953" ht="16.5" customHeight="1">
      <c r="O953" s="5" t="s">
        <v>355</v>
      </c>
      <c r="P953" s="5" t="s">
        <v>355</v>
      </c>
      <c r="Q953" s="5" t="s">
        <v>355</v>
      </c>
    </row>
    <row r="954" ht="16.5" customHeight="1">
      <c r="O954" s="5" t="s">
        <v>355</v>
      </c>
      <c r="P954" s="5" t="s">
        <v>355</v>
      </c>
      <c r="Q954" s="5" t="s">
        <v>355</v>
      </c>
    </row>
    <row r="955" ht="16.5" customHeight="1">
      <c r="O955" s="5" t="s">
        <v>355</v>
      </c>
      <c r="P955" s="5" t="s">
        <v>355</v>
      </c>
      <c r="Q955" s="5" t="s">
        <v>355</v>
      </c>
    </row>
    <row r="956" ht="16.5" customHeight="1">
      <c r="O956" s="5" t="s">
        <v>355</v>
      </c>
      <c r="P956" s="5" t="s">
        <v>355</v>
      </c>
      <c r="Q956" s="5" t="s">
        <v>355</v>
      </c>
    </row>
    <row r="957" ht="16.5" customHeight="1">
      <c r="O957" s="5" t="s">
        <v>355</v>
      </c>
      <c r="P957" s="5" t="s">
        <v>355</v>
      </c>
      <c r="Q957" s="5" t="s">
        <v>355</v>
      </c>
    </row>
    <row r="958" ht="16.5" customHeight="1">
      <c r="O958" s="5" t="s">
        <v>355</v>
      </c>
      <c r="P958" s="5" t="s">
        <v>355</v>
      </c>
      <c r="Q958" s="5" t="s">
        <v>355</v>
      </c>
    </row>
    <row r="959" ht="16.5" customHeight="1">
      <c r="O959" s="5" t="s">
        <v>355</v>
      </c>
      <c r="P959" s="5" t="s">
        <v>355</v>
      </c>
      <c r="Q959" s="5" t="s">
        <v>355</v>
      </c>
    </row>
    <row r="960" ht="16.5" customHeight="1">
      <c r="O960" s="5" t="s">
        <v>355</v>
      </c>
      <c r="P960" s="5" t="s">
        <v>355</v>
      </c>
      <c r="Q960" s="5" t="s">
        <v>355</v>
      </c>
    </row>
    <row r="961" ht="16.5" customHeight="1">
      <c r="O961" s="5" t="s">
        <v>355</v>
      </c>
      <c r="P961" s="5" t="s">
        <v>355</v>
      </c>
      <c r="Q961" s="5" t="s">
        <v>355</v>
      </c>
    </row>
    <row r="962" ht="16.5" customHeight="1">
      <c r="O962" s="5" t="s">
        <v>355</v>
      </c>
      <c r="P962" s="5" t="s">
        <v>355</v>
      </c>
      <c r="Q962" s="5" t="s">
        <v>355</v>
      </c>
    </row>
    <row r="963" ht="16.5" customHeight="1">
      <c r="O963" s="5" t="s">
        <v>355</v>
      </c>
      <c r="P963" s="5" t="s">
        <v>355</v>
      </c>
      <c r="Q963" s="5" t="s">
        <v>355</v>
      </c>
    </row>
    <row r="964" ht="16.5" customHeight="1">
      <c r="O964" s="5" t="s">
        <v>355</v>
      </c>
      <c r="P964" s="5" t="s">
        <v>355</v>
      </c>
      <c r="Q964" s="5" t="s">
        <v>355</v>
      </c>
    </row>
    <row r="965" ht="16.5" customHeight="1">
      <c r="O965" s="5" t="s">
        <v>355</v>
      </c>
      <c r="P965" s="5" t="s">
        <v>355</v>
      </c>
      <c r="Q965" s="5" t="s">
        <v>355</v>
      </c>
    </row>
    <row r="966" ht="16.5" customHeight="1">
      <c r="O966" s="5" t="s">
        <v>355</v>
      </c>
      <c r="P966" s="5" t="s">
        <v>355</v>
      </c>
      <c r="Q966" s="5" t="s">
        <v>355</v>
      </c>
    </row>
    <row r="967" ht="16.5" customHeight="1">
      <c r="O967" s="5" t="s">
        <v>355</v>
      </c>
      <c r="P967" s="5" t="s">
        <v>355</v>
      </c>
      <c r="Q967" s="5" t="s">
        <v>355</v>
      </c>
    </row>
    <row r="968" ht="16.5" customHeight="1">
      <c r="O968" s="5" t="s">
        <v>355</v>
      </c>
      <c r="P968" s="5" t="s">
        <v>355</v>
      </c>
      <c r="Q968" s="5" t="s">
        <v>355</v>
      </c>
    </row>
    <row r="969" ht="16.5" customHeight="1">
      <c r="O969" s="5" t="s">
        <v>355</v>
      </c>
      <c r="P969" s="5" t="s">
        <v>355</v>
      </c>
      <c r="Q969" s="5" t="s">
        <v>355</v>
      </c>
    </row>
    <row r="970" ht="16.5" customHeight="1">
      <c r="O970" s="5" t="s">
        <v>355</v>
      </c>
      <c r="P970" s="5" t="s">
        <v>355</v>
      </c>
      <c r="Q970" s="5" t="s">
        <v>355</v>
      </c>
    </row>
    <row r="971" ht="16.5" customHeight="1">
      <c r="O971" s="5" t="s">
        <v>355</v>
      </c>
      <c r="P971" s="5" t="s">
        <v>355</v>
      </c>
      <c r="Q971" s="5" t="s">
        <v>355</v>
      </c>
    </row>
    <row r="972" ht="16.5" customHeight="1">
      <c r="O972" s="5" t="s">
        <v>355</v>
      </c>
      <c r="P972" s="5" t="s">
        <v>355</v>
      </c>
      <c r="Q972" s="5" t="s">
        <v>355</v>
      </c>
    </row>
    <row r="973" ht="16.5" customHeight="1">
      <c r="O973" s="5" t="s">
        <v>355</v>
      </c>
      <c r="P973" s="5" t="s">
        <v>355</v>
      </c>
      <c r="Q973" s="5" t="s">
        <v>355</v>
      </c>
    </row>
    <row r="974" ht="16.5" customHeight="1">
      <c r="O974" s="5" t="s">
        <v>355</v>
      </c>
      <c r="P974" s="5" t="s">
        <v>355</v>
      </c>
      <c r="Q974" s="5" t="s">
        <v>355</v>
      </c>
    </row>
    <row r="975" ht="16.5" customHeight="1">
      <c r="O975" s="5" t="s">
        <v>355</v>
      </c>
      <c r="P975" s="5" t="s">
        <v>355</v>
      </c>
      <c r="Q975" s="5" t="s">
        <v>355</v>
      </c>
    </row>
    <row r="976" ht="16.5" customHeight="1">
      <c r="O976" s="5" t="s">
        <v>355</v>
      </c>
      <c r="P976" s="5" t="s">
        <v>355</v>
      </c>
      <c r="Q976" s="5" t="s">
        <v>355</v>
      </c>
    </row>
    <row r="977" ht="16.5" customHeight="1">
      <c r="O977" s="5" t="s">
        <v>355</v>
      </c>
      <c r="P977" s="5" t="s">
        <v>355</v>
      </c>
      <c r="Q977" s="5" t="s">
        <v>355</v>
      </c>
    </row>
    <row r="978" ht="16.5" customHeight="1">
      <c r="O978" s="5" t="s">
        <v>355</v>
      </c>
      <c r="P978" s="5" t="s">
        <v>355</v>
      </c>
      <c r="Q978" s="5" t="s">
        <v>355</v>
      </c>
    </row>
    <row r="979" ht="16.5" customHeight="1">
      <c r="O979" s="5" t="s">
        <v>355</v>
      </c>
      <c r="P979" s="5" t="s">
        <v>355</v>
      </c>
      <c r="Q979" s="5" t="s">
        <v>355</v>
      </c>
    </row>
    <row r="980" ht="16.5" customHeight="1">
      <c r="O980" s="5" t="s">
        <v>355</v>
      </c>
      <c r="P980" s="5" t="s">
        <v>355</v>
      </c>
      <c r="Q980" s="5" t="s">
        <v>355</v>
      </c>
    </row>
    <row r="981" ht="16.5" customHeight="1">
      <c r="O981" s="5" t="s">
        <v>355</v>
      </c>
      <c r="P981" s="5" t="s">
        <v>355</v>
      </c>
      <c r="Q981" s="5" t="s">
        <v>355</v>
      </c>
    </row>
    <row r="982" ht="16.5" customHeight="1">
      <c r="O982" s="5" t="s">
        <v>355</v>
      </c>
      <c r="P982" s="5" t="s">
        <v>355</v>
      </c>
      <c r="Q982" s="5" t="s">
        <v>355</v>
      </c>
    </row>
    <row r="983" ht="16.5" customHeight="1">
      <c r="O983" s="5" t="s">
        <v>355</v>
      </c>
      <c r="P983" s="5" t="s">
        <v>355</v>
      </c>
      <c r="Q983" s="5" t="s">
        <v>355</v>
      </c>
    </row>
    <row r="984" ht="16.5" customHeight="1">
      <c r="O984" s="5" t="s">
        <v>355</v>
      </c>
      <c r="P984" s="5" t="s">
        <v>355</v>
      </c>
      <c r="Q984" s="5" t="s">
        <v>355</v>
      </c>
    </row>
    <row r="985" ht="16.5" customHeight="1">
      <c r="O985" s="5" t="s">
        <v>355</v>
      </c>
      <c r="P985" s="5" t="s">
        <v>355</v>
      </c>
      <c r="Q985" s="5" t="s">
        <v>355</v>
      </c>
    </row>
    <row r="986" ht="16.5" customHeight="1">
      <c r="O986" s="5" t="s">
        <v>355</v>
      </c>
      <c r="P986" s="5" t="s">
        <v>355</v>
      </c>
      <c r="Q986" s="5" t="s">
        <v>355</v>
      </c>
    </row>
    <row r="987" ht="16.5" customHeight="1">
      <c r="O987" s="5" t="s">
        <v>355</v>
      </c>
      <c r="P987" s="5" t="s">
        <v>355</v>
      </c>
      <c r="Q987" s="5" t="s">
        <v>355</v>
      </c>
    </row>
    <row r="988" ht="16.5" customHeight="1">
      <c r="O988" s="5" t="s">
        <v>355</v>
      </c>
      <c r="P988" s="5" t="s">
        <v>355</v>
      </c>
      <c r="Q988" s="5" t="s">
        <v>355</v>
      </c>
    </row>
    <row r="989" ht="16.5" customHeight="1">
      <c r="O989" s="5" t="s">
        <v>355</v>
      </c>
      <c r="P989" s="5" t="s">
        <v>355</v>
      </c>
      <c r="Q989" s="5" t="s">
        <v>355</v>
      </c>
    </row>
    <row r="990" ht="16.5" customHeight="1">
      <c r="O990" s="5" t="s">
        <v>355</v>
      </c>
      <c r="P990" s="5" t="s">
        <v>355</v>
      </c>
      <c r="Q990" s="5" t="s">
        <v>355</v>
      </c>
    </row>
    <row r="991" ht="16.5" customHeight="1">
      <c r="O991" s="5" t="s">
        <v>355</v>
      </c>
      <c r="P991" s="5" t="s">
        <v>355</v>
      </c>
      <c r="Q991" s="5" t="s">
        <v>355</v>
      </c>
    </row>
    <row r="992" ht="16.5" customHeight="1">
      <c r="O992" s="5" t="s">
        <v>355</v>
      </c>
      <c r="P992" s="5" t="s">
        <v>355</v>
      </c>
      <c r="Q992" s="5" t="s">
        <v>355</v>
      </c>
    </row>
    <row r="993" ht="16.5" customHeight="1">
      <c r="O993" s="5" t="s">
        <v>355</v>
      </c>
      <c r="P993" s="5" t="s">
        <v>355</v>
      </c>
      <c r="Q993" s="5" t="s">
        <v>355</v>
      </c>
    </row>
    <row r="994" ht="16.5" customHeight="1">
      <c r="O994" s="5" t="s">
        <v>355</v>
      </c>
      <c r="P994" s="5" t="s">
        <v>355</v>
      </c>
      <c r="Q994" s="5" t="s">
        <v>355</v>
      </c>
    </row>
    <row r="995" ht="16.5" customHeight="1">
      <c r="O995" s="5" t="s">
        <v>355</v>
      </c>
      <c r="P995" s="5" t="s">
        <v>355</v>
      </c>
      <c r="Q995" s="5" t="s">
        <v>355</v>
      </c>
    </row>
    <row r="996" ht="16.5" customHeight="1">
      <c r="O996" s="5" t="s">
        <v>355</v>
      </c>
      <c r="P996" s="5" t="s">
        <v>355</v>
      </c>
      <c r="Q996" s="5" t="s">
        <v>355</v>
      </c>
    </row>
    <row r="997" ht="16.5" customHeight="1">
      <c r="O997" s="5" t="s">
        <v>355</v>
      </c>
      <c r="P997" s="5" t="s">
        <v>355</v>
      </c>
      <c r="Q997" s="5" t="s">
        <v>355</v>
      </c>
    </row>
    <row r="998" ht="16.5" customHeight="1">
      <c r="O998" s="5" t="s">
        <v>355</v>
      </c>
      <c r="P998" s="5" t="s">
        <v>355</v>
      </c>
      <c r="Q998" s="5" t="s">
        <v>355</v>
      </c>
    </row>
    <row r="999" ht="16.5" customHeight="1">
      <c r="O999" s="5" t="s">
        <v>355</v>
      </c>
      <c r="P999" s="5" t="s">
        <v>355</v>
      </c>
      <c r="Q999" s="5" t="s">
        <v>355</v>
      </c>
    </row>
    <row r="1000" ht="16.5" customHeight="1">
      <c r="O1000" s="5" t="s">
        <v>355</v>
      </c>
      <c r="P1000" s="5" t="s">
        <v>355</v>
      </c>
      <c r="Q1000" s="5" t="s">
        <v>355</v>
      </c>
    </row>
    <row r="1001" ht="16.5" customHeight="1">
      <c r="O1001" s="5" t="s">
        <v>355</v>
      </c>
      <c r="P1001" s="5" t="s">
        <v>355</v>
      </c>
      <c r="Q1001" s="5" t="s">
        <v>355</v>
      </c>
    </row>
    <row r="1002" ht="16.5" customHeight="1">
      <c r="O1002" s="5" t="s">
        <v>355</v>
      </c>
      <c r="P1002" s="5" t="s">
        <v>355</v>
      </c>
      <c r="Q1002" s="5" t="s">
        <v>355</v>
      </c>
    </row>
    <row r="1003" ht="16.5" customHeight="1">
      <c r="O1003" s="5" t="s">
        <v>355</v>
      </c>
      <c r="P1003" s="5" t="s">
        <v>355</v>
      </c>
      <c r="Q1003" s="5" t="s">
        <v>355</v>
      </c>
    </row>
    <row r="1004" ht="16.5" customHeight="1">
      <c r="O1004" s="5" t="s">
        <v>355</v>
      </c>
      <c r="P1004" s="5" t="s">
        <v>355</v>
      </c>
      <c r="Q1004" s="5" t="s">
        <v>355</v>
      </c>
    </row>
    <row r="1005" ht="16.5" customHeight="1">
      <c r="O1005" s="5" t="s">
        <v>355</v>
      </c>
      <c r="P1005" s="5" t="s">
        <v>355</v>
      </c>
      <c r="Q1005" s="5" t="s">
        <v>355</v>
      </c>
    </row>
    <row r="1006" ht="16.5" customHeight="1">
      <c r="O1006" s="5" t="s">
        <v>355</v>
      </c>
      <c r="P1006" s="5" t="s">
        <v>355</v>
      </c>
      <c r="Q1006" s="5" t="s">
        <v>355</v>
      </c>
    </row>
    <row r="1007" ht="16.5" customHeight="1">
      <c r="O1007" s="5" t="s">
        <v>355</v>
      </c>
      <c r="P1007" s="5" t="s">
        <v>355</v>
      </c>
      <c r="Q1007" s="5" t="s">
        <v>355</v>
      </c>
    </row>
    <row r="1008" ht="16.5" customHeight="1">
      <c r="O1008" s="5" t="s">
        <v>355</v>
      </c>
      <c r="P1008" s="5" t="s">
        <v>355</v>
      </c>
      <c r="Q1008" s="5" t="s">
        <v>355</v>
      </c>
    </row>
    <row r="1009" ht="16.5" customHeight="1">
      <c r="O1009" s="5" t="s">
        <v>355</v>
      </c>
      <c r="P1009" s="5" t="s">
        <v>355</v>
      </c>
      <c r="Q1009" s="5" t="s">
        <v>355</v>
      </c>
    </row>
    <row r="1010" ht="16.5" customHeight="1">
      <c r="O1010" s="5" t="s">
        <v>355</v>
      </c>
      <c r="P1010" s="5" t="s">
        <v>355</v>
      </c>
      <c r="Q1010" s="5" t="s">
        <v>355</v>
      </c>
    </row>
    <row r="1011" ht="16.5" customHeight="1">
      <c r="O1011" s="5" t="s">
        <v>355</v>
      </c>
      <c r="P1011" s="5" t="s">
        <v>355</v>
      </c>
      <c r="Q1011" s="5" t="s">
        <v>355</v>
      </c>
    </row>
    <row r="1012" ht="16.5" customHeight="1">
      <c r="O1012" s="5" t="s">
        <v>355</v>
      </c>
      <c r="P1012" s="5" t="s">
        <v>355</v>
      </c>
      <c r="Q1012" s="5" t="s">
        <v>355</v>
      </c>
    </row>
    <row r="1013" ht="16.5" customHeight="1">
      <c r="O1013" s="5" t="s">
        <v>355</v>
      </c>
      <c r="P1013" s="5" t="s">
        <v>355</v>
      </c>
      <c r="Q1013" s="5" t="s">
        <v>355</v>
      </c>
    </row>
    <row r="1014" ht="16.5" customHeight="1">
      <c r="O1014" s="5" t="s">
        <v>355</v>
      </c>
      <c r="P1014" s="5" t="s">
        <v>355</v>
      </c>
      <c r="Q1014" s="5" t="s">
        <v>355</v>
      </c>
    </row>
    <row r="1015" ht="16.5" customHeight="1">
      <c r="O1015" s="5" t="s">
        <v>355</v>
      </c>
      <c r="P1015" s="5" t="s">
        <v>355</v>
      </c>
      <c r="Q1015" s="5" t="s">
        <v>355</v>
      </c>
    </row>
    <row r="1016" ht="16.5" customHeight="1">
      <c r="O1016" s="5" t="s">
        <v>355</v>
      </c>
      <c r="P1016" s="5" t="s">
        <v>355</v>
      </c>
      <c r="Q1016" s="5" t="s">
        <v>355</v>
      </c>
    </row>
    <row r="1017" ht="16.5" customHeight="1">
      <c r="O1017" s="5" t="s">
        <v>355</v>
      </c>
      <c r="P1017" s="5" t="s">
        <v>355</v>
      </c>
      <c r="Q1017" s="5" t="s">
        <v>355</v>
      </c>
    </row>
    <row r="1018" ht="16.5" customHeight="1">
      <c r="O1018" s="5" t="s">
        <v>355</v>
      </c>
      <c r="P1018" s="5" t="s">
        <v>355</v>
      </c>
      <c r="Q1018" s="5" t="s">
        <v>355</v>
      </c>
    </row>
    <row r="1019" ht="16.5" customHeight="1">
      <c r="O1019" s="5" t="s">
        <v>355</v>
      </c>
      <c r="P1019" s="5" t="s">
        <v>355</v>
      </c>
      <c r="Q1019" s="5" t="s">
        <v>355</v>
      </c>
    </row>
    <row r="1020" ht="16.5" customHeight="1">
      <c r="O1020" s="5" t="s">
        <v>355</v>
      </c>
      <c r="P1020" s="5" t="s">
        <v>355</v>
      </c>
      <c r="Q1020" s="5" t="s">
        <v>355</v>
      </c>
    </row>
    <row r="1021" ht="16.5" customHeight="1">
      <c r="O1021" s="5" t="s">
        <v>355</v>
      </c>
      <c r="P1021" s="5" t="s">
        <v>355</v>
      </c>
      <c r="Q1021" s="5" t="s">
        <v>355</v>
      </c>
    </row>
    <row r="1022" ht="16.5" customHeight="1">
      <c r="O1022" s="5" t="s">
        <v>355</v>
      </c>
      <c r="P1022" s="5" t="s">
        <v>355</v>
      </c>
      <c r="Q1022" s="5" t="s">
        <v>355</v>
      </c>
    </row>
    <row r="1023" ht="16.5" customHeight="1">
      <c r="O1023" s="5" t="s">
        <v>355</v>
      </c>
      <c r="P1023" s="5" t="s">
        <v>355</v>
      </c>
      <c r="Q1023" s="5" t="s">
        <v>355</v>
      </c>
    </row>
    <row r="1024" ht="16.5" customHeight="1">
      <c r="O1024" s="5" t="s">
        <v>355</v>
      </c>
      <c r="P1024" s="5" t="s">
        <v>355</v>
      </c>
      <c r="Q1024" s="5" t="s">
        <v>355</v>
      </c>
    </row>
    <row r="1025" ht="16.5" customHeight="1">
      <c r="O1025" s="5" t="s">
        <v>355</v>
      </c>
      <c r="P1025" s="5" t="s">
        <v>355</v>
      </c>
      <c r="Q1025" s="5" t="s">
        <v>355</v>
      </c>
    </row>
    <row r="1026" ht="16.5" customHeight="1">
      <c r="O1026" s="5" t="s">
        <v>355</v>
      </c>
      <c r="P1026" s="5" t="s">
        <v>355</v>
      </c>
      <c r="Q1026" s="5" t="s">
        <v>355</v>
      </c>
    </row>
    <row r="1027" ht="16.5" customHeight="1">
      <c r="O1027" s="5" t="s">
        <v>355</v>
      </c>
      <c r="P1027" s="5" t="s">
        <v>355</v>
      </c>
      <c r="Q1027" s="5" t="s">
        <v>355</v>
      </c>
    </row>
    <row r="1028" ht="16.5" customHeight="1">
      <c r="O1028" s="5" t="s">
        <v>355</v>
      </c>
      <c r="P1028" s="5" t="s">
        <v>355</v>
      </c>
      <c r="Q1028" s="5" t="s">
        <v>355</v>
      </c>
    </row>
    <row r="1029" ht="16.5" customHeight="1">
      <c r="O1029" s="5" t="s">
        <v>355</v>
      </c>
      <c r="P1029" s="5" t="s">
        <v>355</v>
      </c>
      <c r="Q1029" s="5" t="s">
        <v>355</v>
      </c>
    </row>
    <row r="1030" ht="16.5" customHeight="1">
      <c r="O1030" s="5" t="s">
        <v>355</v>
      </c>
      <c r="P1030" s="5" t="s">
        <v>355</v>
      </c>
      <c r="Q1030" s="5" t="s">
        <v>355</v>
      </c>
    </row>
    <row r="1031" ht="16.5" customHeight="1">
      <c r="O1031" s="5" t="s">
        <v>355</v>
      </c>
      <c r="P1031" s="5" t="s">
        <v>355</v>
      </c>
      <c r="Q1031" s="5" t="s">
        <v>355</v>
      </c>
    </row>
    <row r="1032" ht="16.5" customHeight="1">
      <c r="O1032" s="5" t="s">
        <v>355</v>
      </c>
      <c r="P1032" s="5" t="s">
        <v>355</v>
      </c>
      <c r="Q1032" s="5" t="s">
        <v>355</v>
      </c>
    </row>
    <row r="1033" ht="16.5" customHeight="1">
      <c r="O1033" s="5" t="s">
        <v>355</v>
      </c>
      <c r="P1033" s="5" t="s">
        <v>355</v>
      </c>
      <c r="Q1033" s="5" t="s">
        <v>355</v>
      </c>
    </row>
    <row r="1034" ht="16.5" customHeight="1">
      <c r="O1034" s="5" t="s">
        <v>355</v>
      </c>
      <c r="P1034" s="5" t="s">
        <v>355</v>
      </c>
      <c r="Q1034" s="5" t="s">
        <v>355</v>
      </c>
    </row>
    <row r="1035" ht="16.5" customHeight="1">
      <c r="O1035" s="5" t="s">
        <v>355</v>
      </c>
      <c r="P1035" s="5" t="s">
        <v>355</v>
      </c>
      <c r="Q1035" s="5" t="s">
        <v>355</v>
      </c>
    </row>
    <row r="1036" ht="16.5" customHeight="1">
      <c r="O1036" s="5" t="s">
        <v>355</v>
      </c>
      <c r="P1036" s="5" t="s">
        <v>355</v>
      </c>
      <c r="Q1036" s="5" t="s">
        <v>355</v>
      </c>
    </row>
    <row r="1037" ht="16.5" customHeight="1">
      <c r="O1037" s="5" t="s">
        <v>355</v>
      </c>
      <c r="P1037" s="5" t="s">
        <v>355</v>
      </c>
      <c r="Q1037" s="5" t="s">
        <v>355</v>
      </c>
    </row>
    <row r="1038" ht="16.5" customHeight="1">
      <c r="O1038" s="5" t="s">
        <v>355</v>
      </c>
      <c r="P1038" s="5" t="s">
        <v>355</v>
      </c>
      <c r="Q1038" s="5" t="s">
        <v>355</v>
      </c>
    </row>
    <row r="1039" ht="16.5" customHeight="1">
      <c r="O1039" s="5" t="s">
        <v>355</v>
      </c>
      <c r="P1039" s="5" t="s">
        <v>355</v>
      </c>
      <c r="Q1039" s="5" t="s">
        <v>355</v>
      </c>
    </row>
    <row r="1040" ht="16.5" customHeight="1">
      <c r="O1040" s="5" t="s">
        <v>355</v>
      </c>
      <c r="P1040" s="5" t="s">
        <v>355</v>
      </c>
      <c r="Q1040" s="5" t="s">
        <v>355</v>
      </c>
    </row>
    <row r="1041" ht="16.5" customHeight="1">
      <c r="O1041" s="5" t="s">
        <v>355</v>
      </c>
      <c r="P1041" s="5" t="s">
        <v>355</v>
      </c>
      <c r="Q1041" s="5" t="s">
        <v>355</v>
      </c>
    </row>
    <row r="1042" ht="16.5" customHeight="1">
      <c r="O1042" s="5" t="s">
        <v>355</v>
      </c>
      <c r="P1042" s="5" t="s">
        <v>355</v>
      </c>
      <c r="Q1042" s="5" t="s">
        <v>355</v>
      </c>
    </row>
    <row r="1043" ht="16.5" customHeight="1">
      <c r="O1043" s="5" t="s">
        <v>355</v>
      </c>
      <c r="P1043" s="5" t="s">
        <v>355</v>
      </c>
      <c r="Q1043" s="5" t="s">
        <v>355</v>
      </c>
    </row>
    <row r="1044" ht="16.5" customHeight="1">
      <c r="O1044" s="5" t="s">
        <v>355</v>
      </c>
      <c r="P1044" s="5" t="s">
        <v>355</v>
      </c>
      <c r="Q1044" s="5" t="s">
        <v>355</v>
      </c>
    </row>
    <row r="1045" ht="16.5" customHeight="1">
      <c r="O1045" s="5" t="s">
        <v>355</v>
      </c>
      <c r="P1045" s="5" t="s">
        <v>355</v>
      </c>
      <c r="Q1045" s="5" t="s">
        <v>355</v>
      </c>
    </row>
    <row r="1046" ht="16.5" customHeight="1">
      <c r="O1046" s="5" t="s">
        <v>355</v>
      </c>
      <c r="P1046" s="5" t="s">
        <v>355</v>
      </c>
      <c r="Q1046" s="5" t="s">
        <v>355</v>
      </c>
    </row>
    <row r="1047" ht="16.5" customHeight="1">
      <c r="O1047" s="5" t="s">
        <v>355</v>
      </c>
      <c r="P1047" s="5" t="s">
        <v>355</v>
      </c>
      <c r="Q1047" s="5" t="s">
        <v>355</v>
      </c>
    </row>
    <row r="1048" ht="16.5" customHeight="1">
      <c r="O1048" s="5" t="s">
        <v>355</v>
      </c>
      <c r="P1048" s="5" t="s">
        <v>355</v>
      </c>
      <c r="Q1048" s="5" t="s">
        <v>355</v>
      </c>
    </row>
    <row r="1049" ht="16.5" customHeight="1">
      <c r="O1049" s="5" t="s">
        <v>355</v>
      </c>
      <c r="P1049" s="5" t="s">
        <v>355</v>
      </c>
      <c r="Q1049" s="5" t="s">
        <v>355</v>
      </c>
    </row>
    <row r="1050" ht="16.5" customHeight="1">
      <c r="O1050" s="5" t="s">
        <v>355</v>
      </c>
      <c r="P1050" s="5" t="s">
        <v>355</v>
      </c>
      <c r="Q1050" s="5" t="s">
        <v>355</v>
      </c>
    </row>
    <row r="1051" ht="16.5" customHeight="1">
      <c r="O1051" s="5" t="s">
        <v>355</v>
      </c>
      <c r="P1051" s="5" t="s">
        <v>355</v>
      </c>
      <c r="Q1051" s="5" t="s">
        <v>355</v>
      </c>
    </row>
    <row r="1052" ht="16.5" customHeight="1">
      <c r="O1052" s="5" t="s">
        <v>355</v>
      </c>
      <c r="P1052" s="5" t="s">
        <v>355</v>
      </c>
      <c r="Q1052" s="5" t="s">
        <v>355</v>
      </c>
    </row>
    <row r="1053" ht="16.5" customHeight="1">
      <c r="O1053" s="5" t="s">
        <v>355</v>
      </c>
      <c r="P1053" s="5" t="s">
        <v>355</v>
      </c>
      <c r="Q1053" s="5" t="s">
        <v>355</v>
      </c>
    </row>
    <row r="1054" ht="16.5" customHeight="1">
      <c r="O1054" s="5" t="s">
        <v>355</v>
      </c>
      <c r="P1054" s="5" t="s">
        <v>355</v>
      </c>
      <c r="Q1054" s="5" t="s">
        <v>355</v>
      </c>
    </row>
    <row r="1055" ht="16.5" customHeight="1">
      <c r="O1055" s="5" t="s">
        <v>355</v>
      </c>
      <c r="P1055" s="5" t="s">
        <v>355</v>
      </c>
      <c r="Q1055" s="5" t="s">
        <v>355</v>
      </c>
    </row>
    <row r="1056" ht="16.5" customHeight="1">
      <c r="O1056" s="5" t="s">
        <v>355</v>
      </c>
      <c r="P1056" s="5" t="s">
        <v>355</v>
      </c>
      <c r="Q1056" s="5" t="s">
        <v>355</v>
      </c>
    </row>
    <row r="1057" ht="16.5" customHeight="1">
      <c r="O1057" s="5" t="s">
        <v>355</v>
      </c>
      <c r="P1057" s="5" t="s">
        <v>355</v>
      </c>
      <c r="Q1057" s="5" t="s">
        <v>355</v>
      </c>
    </row>
    <row r="1058" ht="16.5" customHeight="1">
      <c r="O1058" s="5" t="s">
        <v>355</v>
      </c>
      <c r="P1058" s="5" t="s">
        <v>355</v>
      </c>
      <c r="Q1058" s="5" t="s">
        <v>355</v>
      </c>
    </row>
    <row r="1059" ht="16.5" customHeight="1">
      <c r="O1059" s="5" t="s">
        <v>355</v>
      </c>
      <c r="P1059" s="5" t="s">
        <v>355</v>
      </c>
      <c r="Q1059" s="5" t="s">
        <v>355</v>
      </c>
    </row>
    <row r="1060" ht="16.5" customHeight="1">
      <c r="O1060" s="5" t="s">
        <v>355</v>
      </c>
      <c r="P1060" s="5" t="s">
        <v>355</v>
      </c>
      <c r="Q1060" s="5" t="s">
        <v>355</v>
      </c>
    </row>
    <row r="1061" ht="16.5" customHeight="1">
      <c r="O1061" s="5" t="s">
        <v>355</v>
      </c>
      <c r="P1061" s="5" t="s">
        <v>355</v>
      </c>
      <c r="Q1061" s="5" t="s">
        <v>355</v>
      </c>
    </row>
    <row r="1062" ht="16.5" customHeight="1">
      <c r="O1062" s="5" t="s">
        <v>355</v>
      </c>
      <c r="P1062" s="5" t="s">
        <v>355</v>
      </c>
      <c r="Q1062" s="5" t="s">
        <v>355</v>
      </c>
    </row>
    <row r="1063" ht="16.5" customHeight="1">
      <c r="O1063" s="5" t="s">
        <v>355</v>
      </c>
      <c r="P1063" s="5" t="s">
        <v>355</v>
      </c>
      <c r="Q1063" s="5" t="s">
        <v>355</v>
      </c>
    </row>
    <row r="1064" ht="16.5" customHeight="1">
      <c r="O1064" s="5" t="s">
        <v>355</v>
      </c>
      <c r="P1064" s="5" t="s">
        <v>355</v>
      </c>
      <c r="Q1064" s="5" t="s">
        <v>355</v>
      </c>
    </row>
    <row r="1065" ht="16.5" customHeight="1">
      <c r="O1065" s="5" t="s">
        <v>355</v>
      </c>
      <c r="P1065" s="5" t="s">
        <v>355</v>
      </c>
      <c r="Q1065" s="5" t="s">
        <v>355</v>
      </c>
    </row>
    <row r="1066" ht="16.5" customHeight="1">
      <c r="O1066" s="5" t="s">
        <v>355</v>
      </c>
      <c r="P1066" s="5" t="s">
        <v>355</v>
      </c>
      <c r="Q1066" s="5" t="s">
        <v>355</v>
      </c>
    </row>
    <row r="1067" ht="16.5" customHeight="1">
      <c r="O1067" s="5" t="s">
        <v>355</v>
      </c>
      <c r="P1067" s="5" t="s">
        <v>355</v>
      </c>
      <c r="Q1067" s="5" t="s">
        <v>355</v>
      </c>
    </row>
    <row r="1068" ht="16.5" customHeight="1">
      <c r="O1068" s="5" t="s">
        <v>355</v>
      </c>
      <c r="P1068" s="5" t="s">
        <v>355</v>
      </c>
      <c r="Q1068" s="5" t="s">
        <v>355</v>
      </c>
    </row>
    <row r="1069" ht="16.5" customHeight="1">
      <c r="O1069" s="5" t="s">
        <v>355</v>
      </c>
      <c r="P1069" s="5" t="s">
        <v>355</v>
      </c>
      <c r="Q1069" s="5" t="s">
        <v>355</v>
      </c>
    </row>
    <row r="1070" ht="16.5" customHeight="1">
      <c r="O1070" s="5" t="s">
        <v>355</v>
      </c>
      <c r="P1070" s="5" t="s">
        <v>355</v>
      </c>
      <c r="Q1070" s="5" t="s">
        <v>355</v>
      </c>
    </row>
    <row r="1071" ht="16.5" customHeight="1">
      <c r="O1071" s="5" t="s">
        <v>355</v>
      </c>
      <c r="P1071" s="5" t="s">
        <v>355</v>
      </c>
      <c r="Q1071" s="5" t="s">
        <v>355</v>
      </c>
    </row>
    <row r="1072" ht="16.5" customHeight="1">
      <c r="O1072" s="5" t="s">
        <v>355</v>
      </c>
      <c r="P1072" s="5" t="s">
        <v>355</v>
      </c>
      <c r="Q1072" s="5" t="s">
        <v>355</v>
      </c>
    </row>
    <row r="1073" ht="16.5" customHeight="1">
      <c r="O1073" s="5" t="s">
        <v>355</v>
      </c>
      <c r="P1073" s="5" t="s">
        <v>355</v>
      </c>
      <c r="Q1073" s="5" t="s">
        <v>355</v>
      </c>
    </row>
    <row r="1074" ht="16.5" customHeight="1">
      <c r="O1074" s="5" t="s">
        <v>355</v>
      </c>
      <c r="P1074" s="5" t="s">
        <v>355</v>
      </c>
      <c r="Q1074" s="5" t="s">
        <v>355</v>
      </c>
    </row>
    <row r="1075" ht="16.5" customHeight="1">
      <c r="O1075" s="5" t="s">
        <v>355</v>
      </c>
      <c r="P1075" s="5" t="s">
        <v>355</v>
      </c>
      <c r="Q1075" s="5" t="s">
        <v>355</v>
      </c>
    </row>
    <row r="1076" ht="16.5" customHeight="1">
      <c r="O1076" s="5" t="s">
        <v>355</v>
      </c>
      <c r="P1076" s="5" t="s">
        <v>355</v>
      </c>
      <c r="Q1076" s="5" t="s">
        <v>355</v>
      </c>
    </row>
    <row r="1077" ht="16.5" customHeight="1">
      <c r="O1077" s="5" t="s">
        <v>355</v>
      </c>
      <c r="P1077" s="5" t="s">
        <v>355</v>
      </c>
      <c r="Q1077" s="5" t="s">
        <v>355</v>
      </c>
    </row>
    <row r="1078" ht="16.5" customHeight="1">
      <c r="O1078" s="5" t="s">
        <v>355</v>
      </c>
      <c r="P1078" s="5" t="s">
        <v>355</v>
      </c>
      <c r="Q1078" s="5" t="s">
        <v>355</v>
      </c>
    </row>
    <row r="1079" ht="16.5" customHeight="1">
      <c r="O1079" s="5" t="s">
        <v>355</v>
      </c>
      <c r="P1079" s="5" t="s">
        <v>355</v>
      </c>
      <c r="Q1079" s="5" t="s">
        <v>355</v>
      </c>
    </row>
    <row r="1080" ht="16.5" customHeight="1">
      <c r="O1080" s="5" t="s">
        <v>355</v>
      </c>
      <c r="P1080" s="5" t="s">
        <v>355</v>
      </c>
      <c r="Q1080" s="5" t="s">
        <v>355</v>
      </c>
    </row>
    <row r="1081" ht="16.5" customHeight="1">
      <c r="O1081" s="5" t="s">
        <v>355</v>
      </c>
      <c r="P1081" s="5" t="s">
        <v>355</v>
      </c>
      <c r="Q1081" s="5" t="s">
        <v>355</v>
      </c>
    </row>
    <row r="1082" ht="16.5" customHeight="1">
      <c r="O1082" s="5" t="s">
        <v>355</v>
      </c>
      <c r="P1082" s="5" t="s">
        <v>355</v>
      </c>
      <c r="Q1082" s="5" t="s">
        <v>355</v>
      </c>
    </row>
    <row r="1083" ht="16.5" customHeight="1">
      <c r="O1083" s="5" t="s">
        <v>355</v>
      </c>
      <c r="P1083" s="5" t="s">
        <v>355</v>
      </c>
      <c r="Q1083" s="5" t="s">
        <v>355</v>
      </c>
    </row>
    <row r="1084" ht="16.5" customHeight="1">
      <c r="O1084" s="5" t="s">
        <v>355</v>
      </c>
      <c r="P1084" s="5" t="s">
        <v>355</v>
      </c>
      <c r="Q1084" s="5" t="s">
        <v>355</v>
      </c>
    </row>
    <row r="1085" ht="16.5" customHeight="1">
      <c r="O1085" s="5" t="s">
        <v>355</v>
      </c>
      <c r="P1085" s="5" t="s">
        <v>355</v>
      </c>
      <c r="Q1085" s="5" t="s">
        <v>355</v>
      </c>
    </row>
    <row r="1086" ht="16.5" customHeight="1">
      <c r="O1086" s="5" t="s">
        <v>355</v>
      </c>
      <c r="P1086" s="5" t="s">
        <v>355</v>
      </c>
      <c r="Q1086" s="5" t="s">
        <v>355</v>
      </c>
    </row>
    <row r="1087" ht="16.5" customHeight="1">
      <c r="O1087" s="5" t="s">
        <v>355</v>
      </c>
      <c r="P1087" s="5" t="s">
        <v>355</v>
      </c>
      <c r="Q1087" s="5" t="s">
        <v>355</v>
      </c>
    </row>
    <row r="1088" ht="16.5" customHeight="1">
      <c r="O1088" s="5" t="s">
        <v>355</v>
      </c>
      <c r="P1088" s="5" t="s">
        <v>355</v>
      </c>
      <c r="Q1088" s="5" t="s">
        <v>355</v>
      </c>
    </row>
    <row r="1089" ht="16.5" customHeight="1">
      <c r="O1089" s="5" t="s">
        <v>355</v>
      </c>
      <c r="P1089" s="5" t="s">
        <v>355</v>
      </c>
      <c r="Q1089" s="5" t="s">
        <v>355</v>
      </c>
    </row>
    <row r="1090" ht="16.5" customHeight="1">
      <c r="O1090" s="5" t="s">
        <v>355</v>
      </c>
      <c r="P1090" s="5" t="s">
        <v>355</v>
      </c>
      <c r="Q1090" s="5" t="s">
        <v>355</v>
      </c>
    </row>
    <row r="1091" ht="16.5" customHeight="1">
      <c r="O1091" s="5" t="s">
        <v>355</v>
      </c>
      <c r="P1091" s="5" t="s">
        <v>355</v>
      </c>
      <c r="Q1091" s="5" t="s">
        <v>355</v>
      </c>
    </row>
    <row r="1092" ht="16.5" customHeight="1">
      <c r="O1092" s="5" t="s">
        <v>355</v>
      </c>
      <c r="P1092" s="5" t="s">
        <v>355</v>
      </c>
      <c r="Q1092" s="5" t="s">
        <v>355</v>
      </c>
    </row>
    <row r="1093" ht="16.5" customHeight="1">
      <c r="O1093" s="5" t="s">
        <v>355</v>
      </c>
      <c r="P1093" s="5" t="s">
        <v>355</v>
      </c>
      <c r="Q1093" s="5" t="s">
        <v>355</v>
      </c>
    </row>
    <row r="1094" ht="16.5" customHeight="1">
      <c r="O1094" s="5" t="s">
        <v>355</v>
      </c>
      <c r="P1094" s="5" t="s">
        <v>355</v>
      </c>
      <c r="Q1094" s="5" t="s">
        <v>355</v>
      </c>
    </row>
    <row r="1095" ht="16.5" customHeight="1">
      <c r="O1095" s="5" t="s">
        <v>355</v>
      </c>
      <c r="P1095" s="5" t="s">
        <v>355</v>
      </c>
      <c r="Q1095" s="5" t="s">
        <v>355</v>
      </c>
    </row>
    <row r="1096" ht="16.5" customHeight="1">
      <c r="O1096" s="5" t="s">
        <v>355</v>
      </c>
      <c r="P1096" s="5" t="s">
        <v>355</v>
      </c>
      <c r="Q1096" s="5" t="s">
        <v>355</v>
      </c>
    </row>
    <row r="1097" ht="16.5" customHeight="1">
      <c r="O1097" s="5" t="s">
        <v>355</v>
      </c>
      <c r="P1097" s="5" t="s">
        <v>355</v>
      </c>
      <c r="Q1097" s="5" t="s">
        <v>355</v>
      </c>
    </row>
    <row r="1098" ht="16.5" customHeight="1">
      <c r="O1098" s="5" t="s">
        <v>355</v>
      </c>
      <c r="P1098" s="5" t="s">
        <v>355</v>
      </c>
      <c r="Q1098" s="5" t="s">
        <v>355</v>
      </c>
    </row>
    <row r="1099" ht="16.5" customHeight="1">
      <c r="O1099" s="5" t="s">
        <v>355</v>
      </c>
      <c r="P1099" s="5" t="s">
        <v>355</v>
      </c>
      <c r="Q1099" s="5" t="s">
        <v>355</v>
      </c>
    </row>
    <row r="1100" ht="16.5" customHeight="1">
      <c r="O1100" s="5" t="s">
        <v>355</v>
      </c>
      <c r="P1100" s="5" t="s">
        <v>355</v>
      </c>
      <c r="Q1100" s="5" t="s">
        <v>355</v>
      </c>
    </row>
    <row r="1101" ht="16.5" customHeight="1">
      <c r="O1101" s="5" t="s">
        <v>355</v>
      </c>
      <c r="P1101" s="5" t="s">
        <v>355</v>
      </c>
      <c r="Q1101" s="5" t="s">
        <v>355</v>
      </c>
    </row>
    <row r="1102" ht="16.5" customHeight="1">
      <c r="O1102" s="5" t="s">
        <v>355</v>
      </c>
      <c r="P1102" s="5" t="s">
        <v>355</v>
      </c>
      <c r="Q1102" s="5" t="s">
        <v>355</v>
      </c>
    </row>
    <row r="1103" ht="16.5" customHeight="1">
      <c r="O1103" s="5" t="s">
        <v>355</v>
      </c>
      <c r="P1103" s="5" t="s">
        <v>355</v>
      </c>
      <c r="Q1103" s="5" t="s">
        <v>355</v>
      </c>
    </row>
    <row r="1104" ht="16.5" customHeight="1">
      <c r="O1104" s="5" t="s">
        <v>355</v>
      </c>
      <c r="P1104" s="5" t="s">
        <v>355</v>
      </c>
      <c r="Q1104" s="5" t="s">
        <v>355</v>
      </c>
    </row>
    <row r="1105" ht="16.5" customHeight="1">
      <c r="O1105" s="5" t="s">
        <v>355</v>
      </c>
      <c r="P1105" s="5" t="s">
        <v>355</v>
      </c>
      <c r="Q1105" s="5" t="s">
        <v>355</v>
      </c>
    </row>
    <row r="1106" ht="16.5" customHeight="1">
      <c r="O1106" s="5" t="s">
        <v>355</v>
      </c>
      <c r="P1106" s="5" t="s">
        <v>355</v>
      </c>
      <c r="Q1106" s="5" t="s">
        <v>355</v>
      </c>
    </row>
    <row r="1107" ht="16.5" customHeight="1">
      <c r="O1107" s="5" t="s">
        <v>355</v>
      </c>
      <c r="P1107" s="5" t="s">
        <v>355</v>
      </c>
      <c r="Q1107" s="5" t="s">
        <v>355</v>
      </c>
    </row>
    <row r="1108" ht="16.5" customHeight="1">
      <c r="O1108" s="5" t="s">
        <v>355</v>
      </c>
      <c r="P1108" s="5" t="s">
        <v>355</v>
      </c>
      <c r="Q1108" s="5" t="s">
        <v>355</v>
      </c>
    </row>
    <row r="1109" ht="16.5" customHeight="1">
      <c r="O1109" s="5" t="s">
        <v>355</v>
      </c>
      <c r="P1109" s="5" t="s">
        <v>355</v>
      </c>
      <c r="Q1109" s="5" t="s">
        <v>355</v>
      </c>
    </row>
    <row r="1110" ht="16.5" customHeight="1">
      <c r="O1110" s="5" t="s">
        <v>355</v>
      </c>
      <c r="P1110" s="5" t="s">
        <v>355</v>
      </c>
      <c r="Q1110" s="5" t="s">
        <v>355</v>
      </c>
    </row>
    <row r="1111" ht="16.5" customHeight="1">
      <c r="O1111" s="5" t="s">
        <v>355</v>
      </c>
      <c r="P1111" s="5" t="s">
        <v>355</v>
      </c>
      <c r="Q1111" s="5" t="s">
        <v>355</v>
      </c>
    </row>
    <row r="1112" ht="16.5" customHeight="1">
      <c r="O1112" s="5" t="s">
        <v>355</v>
      </c>
      <c r="P1112" s="5" t="s">
        <v>355</v>
      </c>
      <c r="Q1112" s="5" t="s">
        <v>355</v>
      </c>
    </row>
    <row r="1113" ht="16.5" customHeight="1">
      <c r="O1113" s="5" t="s">
        <v>355</v>
      </c>
      <c r="P1113" s="5" t="s">
        <v>355</v>
      </c>
      <c r="Q1113" s="5" t="s">
        <v>355</v>
      </c>
    </row>
    <row r="1114" ht="16.5" customHeight="1">
      <c r="O1114" s="5" t="s">
        <v>355</v>
      </c>
      <c r="P1114" s="5" t="s">
        <v>355</v>
      </c>
      <c r="Q1114" s="5" t="s">
        <v>355</v>
      </c>
    </row>
    <row r="1115" ht="16.5" customHeight="1">
      <c r="O1115" s="5" t="s">
        <v>355</v>
      </c>
      <c r="P1115" s="5" t="s">
        <v>355</v>
      </c>
      <c r="Q1115" s="5" t="s">
        <v>355</v>
      </c>
    </row>
    <row r="1116" ht="16.5" customHeight="1">
      <c r="O1116" s="5" t="s">
        <v>355</v>
      </c>
      <c r="P1116" s="5" t="s">
        <v>355</v>
      </c>
      <c r="Q1116" s="5" t="s">
        <v>355</v>
      </c>
    </row>
    <row r="1117" ht="16.5" customHeight="1">
      <c r="O1117" s="5" t="s">
        <v>355</v>
      </c>
      <c r="P1117" s="5" t="s">
        <v>355</v>
      </c>
      <c r="Q1117" s="5" t="s">
        <v>355</v>
      </c>
    </row>
    <row r="1118" ht="16.5" customHeight="1">
      <c r="O1118" s="5" t="s">
        <v>355</v>
      </c>
      <c r="P1118" s="5" t="s">
        <v>355</v>
      </c>
      <c r="Q1118" s="5" t="s">
        <v>355</v>
      </c>
    </row>
    <row r="1119" ht="16.5" customHeight="1">
      <c r="O1119" s="5" t="s">
        <v>355</v>
      </c>
      <c r="P1119" s="5" t="s">
        <v>355</v>
      </c>
      <c r="Q1119" s="5" t="s">
        <v>355</v>
      </c>
    </row>
    <row r="1120" ht="16.5" customHeight="1">
      <c r="O1120" s="5" t="s">
        <v>355</v>
      </c>
      <c r="P1120" s="5" t="s">
        <v>355</v>
      </c>
      <c r="Q1120" s="5" t="s">
        <v>355</v>
      </c>
    </row>
    <row r="1121" ht="16.5" customHeight="1">
      <c r="O1121" s="5" t="s">
        <v>355</v>
      </c>
      <c r="P1121" s="5" t="s">
        <v>355</v>
      </c>
      <c r="Q1121" s="5" t="s">
        <v>355</v>
      </c>
    </row>
    <row r="1122" ht="16.5" customHeight="1">
      <c r="O1122" s="5" t="s">
        <v>355</v>
      </c>
      <c r="P1122" s="5" t="s">
        <v>355</v>
      </c>
      <c r="Q1122" s="5" t="s">
        <v>355</v>
      </c>
    </row>
    <row r="1123" ht="16.5" customHeight="1">
      <c r="O1123" s="5" t="s">
        <v>355</v>
      </c>
      <c r="P1123" s="5" t="s">
        <v>355</v>
      </c>
      <c r="Q1123" s="5" t="s">
        <v>355</v>
      </c>
    </row>
    <row r="1124" ht="16.5" customHeight="1">
      <c r="O1124" s="5" t="s">
        <v>355</v>
      </c>
      <c r="P1124" s="5" t="s">
        <v>355</v>
      </c>
      <c r="Q1124" s="5" t="s">
        <v>355</v>
      </c>
    </row>
    <row r="1125" ht="16.5" customHeight="1">
      <c r="O1125" s="5" t="s">
        <v>355</v>
      </c>
      <c r="P1125" s="5" t="s">
        <v>355</v>
      </c>
      <c r="Q1125" s="5" t="s">
        <v>355</v>
      </c>
    </row>
    <row r="1126" ht="16.5" customHeight="1">
      <c r="O1126" s="5" t="s">
        <v>355</v>
      </c>
      <c r="P1126" s="5" t="s">
        <v>355</v>
      </c>
      <c r="Q1126" s="5" t="s">
        <v>355</v>
      </c>
    </row>
    <row r="1127" ht="16.5" customHeight="1">
      <c r="O1127" s="5" t="s">
        <v>355</v>
      </c>
      <c r="P1127" s="5" t="s">
        <v>355</v>
      </c>
      <c r="Q1127" s="5" t="s">
        <v>355</v>
      </c>
    </row>
    <row r="1128" ht="16.5" customHeight="1">
      <c r="O1128" s="5" t="s">
        <v>355</v>
      </c>
      <c r="P1128" s="5" t="s">
        <v>355</v>
      </c>
      <c r="Q1128" s="5" t="s">
        <v>355</v>
      </c>
    </row>
    <row r="1129" ht="16.5" customHeight="1">
      <c r="O1129" s="5" t="s">
        <v>355</v>
      </c>
      <c r="P1129" s="5" t="s">
        <v>355</v>
      </c>
      <c r="Q1129" s="5" t="s">
        <v>355</v>
      </c>
    </row>
    <row r="1130" ht="16.5" customHeight="1">
      <c r="O1130" s="5" t="s">
        <v>355</v>
      </c>
      <c r="P1130" s="5" t="s">
        <v>355</v>
      </c>
      <c r="Q1130" s="5" t="s">
        <v>355</v>
      </c>
    </row>
    <row r="1131" ht="16.5" customHeight="1">
      <c r="O1131" s="5" t="s">
        <v>355</v>
      </c>
      <c r="P1131" s="5" t="s">
        <v>355</v>
      </c>
      <c r="Q1131" s="5" t="s">
        <v>355</v>
      </c>
    </row>
    <row r="1132" ht="16.5" customHeight="1">
      <c r="O1132" s="5" t="s">
        <v>355</v>
      </c>
      <c r="P1132" s="5" t="s">
        <v>355</v>
      </c>
      <c r="Q1132" s="5" t="s">
        <v>355</v>
      </c>
    </row>
    <row r="1133" ht="16.5" customHeight="1">
      <c r="O1133" s="5" t="s">
        <v>355</v>
      </c>
      <c r="P1133" s="5" t="s">
        <v>355</v>
      </c>
      <c r="Q1133" s="5" t="s">
        <v>355</v>
      </c>
    </row>
    <row r="1134" ht="16.5" customHeight="1">
      <c r="O1134" s="5" t="s">
        <v>355</v>
      </c>
      <c r="P1134" s="5" t="s">
        <v>355</v>
      </c>
      <c r="Q1134" s="5" t="s">
        <v>355</v>
      </c>
    </row>
    <row r="1135" ht="16.5" customHeight="1">
      <c r="O1135" s="5" t="s">
        <v>355</v>
      </c>
      <c r="P1135" s="5" t="s">
        <v>355</v>
      </c>
      <c r="Q1135" s="5" t="s">
        <v>355</v>
      </c>
    </row>
    <row r="1136" ht="16.5" customHeight="1">
      <c r="O1136" s="5" t="s">
        <v>355</v>
      </c>
      <c r="P1136" s="5" t="s">
        <v>355</v>
      </c>
      <c r="Q1136" s="5" t="s">
        <v>355</v>
      </c>
    </row>
    <row r="1137" ht="16.5" customHeight="1">
      <c r="O1137" s="5" t="s">
        <v>355</v>
      </c>
      <c r="P1137" s="5" t="s">
        <v>355</v>
      </c>
      <c r="Q1137" s="5" t="s">
        <v>355</v>
      </c>
    </row>
    <row r="1138" ht="16.5" customHeight="1">
      <c r="O1138" s="5" t="s">
        <v>355</v>
      </c>
      <c r="P1138" s="5" t="s">
        <v>355</v>
      </c>
      <c r="Q1138" s="5" t="s">
        <v>355</v>
      </c>
    </row>
    <row r="1139" ht="16.5" customHeight="1">
      <c r="O1139" s="5" t="s">
        <v>355</v>
      </c>
      <c r="P1139" s="5" t="s">
        <v>355</v>
      </c>
      <c r="Q1139" s="5" t="s">
        <v>355</v>
      </c>
    </row>
    <row r="1140" ht="16.5" customHeight="1">
      <c r="O1140" s="5" t="s">
        <v>355</v>
      </c>
      <c r="P1140" s="5" t="s">
        <v>355</v>
      </c>
      <c r="Q1140" s="5" t="s">
        <v>355</v>
      </c>
    </row>
    <row r="1141" ht="16.5" customHeight="1">
      <c r="O1141" s="5" t="s">
        <v>355</v>
      </c>
      <c r="P1141" s="5" t="s">
        <v>355</v>
      </c>
      <c r="Q1141" s="5" t="s">
        <v>355</v>
      </c>
    </row>
    <row r="1142" ht="16.5" customHeight="1">
      <c r="O1142" s="5" t="s">
        <v>355</v>
      </c>
      <c r="P1142" s="5" t="s">
        <v>355</v>
      </c>
      <c r="Q1142" s="5" t="s">
        <v>355</v>
      </c>
    </row>
    <row r="1143" ht="16.5" customHeight="1">
      <c r="O1143" s="5" t="s">
        <v>355</v>
      </c>
      <c r="P1143" s="5" t="s">
        <v>355</v>
      </c>
      <c r="Q1143" s="5" t="s">
        <v>355</v>
      </c>
    </row>
    <row r="1144" ht="16.5" customHeight="1">
      <c r="O1144" s="5" t="s">
        <v>355</v>
      </c>
      <c r="P1144" s="5" t="s">
        <v>355</v>
      </c>
      <c r="Q1144" s="5" t="s">
        <v>355</v>
      </c>
    </row>
    <row r="1145" ht="16.5" customHeight="1">
      <c r="O1145" s="5" t="s">
        <v>355</v>
      </c>
      <c r="P1145" s="5" t="s">
        <v>355</v>
      </c>
      <c r="Q1145" s="5" t="s">
        <v>355</v>
      </c>
    </row>
    <row r="1146" ht="16.5" customHeight="1">
      <c r="O1146" s="5" t="s">
        <v>355</v>
      </c>
      <c r="P1146" s="5" t="s">
        <v>355</v>
      </c>
      <c r="Q1146" s="5" t="s">
        <v>355</v>
      </c>
    </row>
    <row r="1147" ht="16.5" customHeight="1">
      <c r="O1147" s="5" t="s">
        <v>355</v>
      </c>
      <c r="P1147" s="5" t="s">
        <v>355</v>
      </c>
      <c r="Q1147" s="5" t="s">
        <v>355</v>
      </c>
    </row>
    <row r="1148" ht="16.5" customHeight="1">
      <c r="O1148" s="5" t="s">
        <v>355</v>
      </c>
      <c r="P1148" s="5" t="s">
        <v>355</v>
      </c>
      <c r="Q1148" s="5" t="s">
        <v>355</v>
      </c>
    </row>
    <row r="1149" ht="16.5" customHeight="1">
      <c r="O1149" s="5" t="s">
        <v>355</v>
      </c>
      <c r="P1149" s="5" t="s">
        <v>355</v>
      </c>
      <c r="Q1149" s="5" t="s">
        <v>355</v>
      </c>
    </row>
    <row r="1150" ht="16.5" customHeight="1">
      <c r="O1150" s="5" t="s">
        <v>355</v>
      </c>
      <c r="P1150" s="5" t="s">
        <v>355</v>
      </c>
      <c r="Q1150" s="5" t="s">
        <v>355</v>
      </c>
    </row>
    <row r="1151" ht="16.5" customHeight="1">
      <c r="O1151" s="5" t="s">
        <v>355</v>
      </c>
      <c r="P1151" s="5" t="s">
        <v>355</v>
      </c>
      <c r="Q1151" s="5" t="s">
        <v>355</v>
      </c>
    </row>
    <row r="1152" ht="16.5" customHeight="1">
      <c r="O1152" s="5" t="s">
        <v>355</v>
      </c>
      <c r="P1152" s="5" t="s">
        <v>355</v>
      </c>
      <c r="Q1152" s="5" t="s">
        <v>355</v>
      </c>
    </row>
    <row r="1153" ht="16.5" customHeight="1">
      <c r="O1153" s="5" t="s">
        <v>355</v>
      </c>
      <c r="P1153" s="5" t="s">
        <v>355</v>
      </c>
      <c r="Q1153" s="5" t="s">
        <v>355</v>
      </c>
    </row>
    <row r="1154" ht="16.5" customHeight="1">
      <c r="O1154" s="5" t="s">
        <v>355</v>
      </c>
      <c r="P1154" s="5" t="s">
        <v>355</v>
      </c>
      <c r="Q1154" s="5" t="s">
        <v>355</v>
      </c>
    </row>
    <row r="1155" ht="16.5" customHeight="1">
      <c r="O1155" s="5" t="s">
        <v>355</v>
      </c>
      <c r="P1155" s="5" t="s">
        <v>355</v>
      </c>
      <c r="Q1155" s="5" t="s">
        <v>355</v>
      </c>
    </row>
    <row r="1156" ht="16.5" customHeight="1">
      <c r="O1156" s="5" t="s">
        <v>355</v>
      </c>
      <c r="P1156" s="5" t="s">
        <v>355</v>
      </c>
      <c r="Q1156" s="5" t="s">
        <v>355</v>
      </c>
    </row>
    <row r="1157" ht="16.5" customHeight="1">
      <c r="O1157" s="5" t="s">
        <v>355</v>
      </c>
      <c r="P1157" s="5" t="s">
        <v>355</v>
      </c>
      <c r="Q1157" s="5" t="s">
        <v>355</v>
      </c>
    </row>
    <row r="1158" ht="16.5" customHeight="1">
      <c r="O1158" s="5" t="s">
        <v>355</v>
      </c>
      <c r="P1158" s="5" t="s">
        <v>355</v>
      </c>
      <c r="Q1158" s="5" t="s">
        <v>355</v>
      </c>
    </row>
    <row r="1159" ht="16.5" customHeight="1">
      <c r="O1159" s="5" t="s">
        <v>355</v>
      </c>
      <c r="P1159" s="5" t="s">
        <v>355</v>
      </c>
      <c r="Q1159" s="5" t="s">
        <v>355</v>
      </c>
    </row>
    <row r="1160" ht="16.5" customHeight="1">
      <c r="O1160" s="5" t="s">
        <v>355</v>
      </c>
      <c r="P1160" s="5" t="s">
        <v>355</v>
      </c>
      <c r="Q1160" s="5" t="s">
        <v>355</v>
      </c>
    </row>
    <row r="1161" ht="16.5" customHeight="1">
      <c r="O1161" s="5" t="s">
        <v>355</v>
      </c>
      <c r="P1161" s="5" t="s">
        <v>355</v>
      </c>
      <c r="Q1161" s="5" t="s">
        <v>355</v>
      </c>
    </row>
    <row r="1162" ht="16.5" customHeight="1">
      <c r="O1162" s="5" t="s">
        <v>355</v>
      </c>
      <c r="P1162" s="5" t="s">
        <v>355</v>
      </c>
      <c r="Q1162" s="5" t="s">
        <v>355</v>
      </c>
    </row>
    <row r="1163" ht="16.5" customHeight="1">
      <c r="O1163" s="5" t="s">
        <v>355</v>
      </c>
      <c r="P1163" s="5" t="s">
        <v>355</v>
      </c>
      <c r="Q1163" s="5" t="s">
        <v>355</v>
      </c>
    </row>
    <row r="1164" ht="16.5" customHeight="1">
      <c r="O1164" s="5" t="s">
        <v>355</v>
      </c>
      <c r="P1164" s="5" t="s">
        <v>355</v>
      </c>
      <c r="Q1164" s="5" t="s">
        <v>355</v>
      </c>
    </row>
    <row r="1165" ht="16.5" customHeight="1">
      <c r="O1165" s="5" t="s">
        <v>355</v>
      </c>
      <c r="P1165" s="5" t="s">
        <v>355</v>
      </c>
      <c r="Q1165" s="5" t="s">
        <v>355</v>
      </c>
    </row>
    <row r="1166" ht="16.5" customHeight="1">
      <c r="O1166" s="5" t="s">
        <v>355</v>
      </c>
      <c r="P1166" s="5" t="s">
        <v>355</v>
      </c>
      <c r="Q1166" s="5" t="s">
        <v>355</v>
      </c>
    </row>
    <row r="1167" ht="16.5" customHeight="1">
      <c r="O1167" s="5" t="s">
        <v>355</v>
      </c>
      <c r="P1167" s="5" t="s">
        <v>355</v>
      </c>
      <c r="Q1167" s="5" t="s">
        <v>355</v>
      </c>
    </row>
    <row r="1168" ht="16.5" customHeight="1">
      <c r="O1168" s="5" t="s">
        <v>355</v>
      </c>
      <c r="P1168" s="5" t="s">
        <v>355</v>
      </c>
      <c r="Q1168" s="5" t="s">
        <v>355</v>
      </c>
    </row>
    <row r="1169" ht="16.5" customHeight="1">
      <c r="O1169" s="5" t="s">
        <v>355</v>
      </c>
      <c r="P1169" s="5" t="s">
        <v>355</v>
      </c>
      <c r="Q1169" s="5" t="s">
        <v>355</v>
      </c>
    </row>
    <row r="1170" ht="16.5" customHeight="1">
      <c r="O1170" s="5" t="s">
        <v>355</v>
      </c>
      <c r="P1170" s="5" t="s">
        <v>355</v>
      </c>
      <c r="Q1170" s="5" t="s">
        <v>355</v>
      </c>
    </row>
    <row r="1171" ht="16.5" customHeight="1">
      <c r="O1171" s="5" t="s">
        <v>355</v>
      </c>
      <c r="P1171" s="5" t="s">
        <v>355</v>
      </c>
      <c r="Q1171" s="5" t="s">
        <v>355</v>
      </c>
    </row>
    <row r="1172" ht="16.5" customHeight="1">
      <c r="O1172" s="5" t="s">
        <v>355</v>
      </c>
      <c r="P1172" s="5" t="s">
        <v>355</v>
      </c>
      <c r="Q1172" s="5" t="s">
        <v>355</v>
      </c>
    </row>
    <row r="1173" ht="16.5" customHeight="1">
      <c r="O1173" s="5" t="s">
        <v>355</v>
      </c>
      <c r="P1173" s="5" t="s">
        <v>355</v>
      </c>
      <c r="Q1173" s="5" t="s">
        <v>355</v>
      </c>
    </row>
    <row r="1174" ht="16.5" customHeight="1">
      <c r="O1174" s="5" t="s">
        <v>355</v>
      </c>
      <c r="P1174" s="5" t="s">
        <v>355</v>
      </c>
      <c r="Q1174" s="5" t="s">
        <v>355</v>
      </c>
    </row>
    <row r="1175" ht="16.5" customHeight="1">
      <c r="O1175" s="5" t="s">
        <v>355</v>
      </c>
      <c r="P1175" s="5" t="s">
        <v>355</v>
      </c>
      <c r="Q1175" s="5" t="s">
        <v>355</v>
      </c>
    </row>
    <row r="1176" ht="16.5" customHeight="1">
      <c r="O1176" s="5" t="s">
        <v>355</v>
      </c>
      <c r="P1176" s="5" t="s">
        <v>355</v>
      </c>
      <c r="Q1176" s="5" t="s">
        <v>355</v>
      </c>
    </row>
    <row r="1177" ht="16.5" customHeight="1">
      <c r="O1177" s="5" t="s">
        <v>355</v>
      </c>
      <c r="P1177" s="5" t="s">
        <v>355</v>
      </c>
      <c r="Q1177" s="5" t="s">
        <v>355</v>
      </c>
    </row>
    <row r="1178" ht="16.5" customHeight="1">
      <c r="O1178" s="5" t="s">
        <v>355</v>
      </c>
      <c r="P1178" s="5" t="s">
        <v>355</v>
      </c>
      <c r="Q1178" s="5" t="s">
        <v>355</v>
      </c>
    </row>
    <row r="1179" ht="16.5" customHeight="1">
      <c r="O1179" s="5" t="s">
        <v>355</v>
      </c>
      <c r="P1179" s="5" t="s">
        <v>355</v>
      </c>
      <c r="Q1179" s="5" t="s">
        <v>355</v>
      </c>
    </row>
    <row r="1180" ht="16.5" customHeight="1">
      <c r="O1180" s="5" t="s">
        <v>355</v>
      </c>
      <c r="P1180" s="5" t="s">
        <v>355</v>
      </c>
      <c r="Q1180" s="5" t="s">
        <v>355</v>
      </c>
    </row>
    <row r="1181" ht="16.5" customHeight="1">
      <c r="O1181" s="5" t="s">
        <v>355</v>
      </c>
      <c r="P1181" s="5" t="s">
        <v>355</v>
      </c>
      <c r="Q1181" s="5" t="s">
        <v>355</v>
      </c>
    </row>
    <row r="1182" ht="16.5" customHeight="1">
      <c r="O1182" s="5" t="s">
        <v>355</v>
      </c>
      <c r="P1182" s="5" t="s">
        <v>355</v>
      </c>
      <c r="Q1182" s="5" t="s">
        <v>355</v>
      </c>
    </row>
    <row r="1183" ht="16.5" customHeight="1">
      <c r="O1183" s="5" t="s">
        <v>355</v>
      </c>
      <c r="P1183" s="5" t="s">
        <v>355</v>
      </c>
      <c r="Q1183" s="5" t="s">
        <v>355</v>
      </c>
    </row>
    <row r="1184" ht="16.5" customHeight="1">
      <c r="O1184" s="5" t="s">
        <v>355</v>
      </c>
      <c r="P1184" s="5" t="s">
        <v>355</v>
      </c>
      <c r="Q1184" s="5" t="s">
        <v>355</v>
      </c>
    </row>
    <row r="1185" ht="16.5" customHeight="1">
      <c r="O1185" s="5" t="s">
        <v>355</v>
      </c>
      <c r="P1185" s="5" t="s">
        <v>355</v>
      </c>
      <c r="Q1185" s="5" t="s">
        <v>355</v>
      </c>
    </row>
    <row r="1186" ht="16.5" customHeight="1">
      <c r="O1186" s="5" t="s">
        <v>355</v>
      </c>
      <c r="P1186" s="5" t="s">
        <v>355</v>
      </c>
      <c r="Q1186" s="5" t="s">
        <v>355</v>
      </c>
    </row>
    <row r="1187" ht="16.5" customHeight="1">
      <c r="O1187" s="5" t="s">
        <v>355</v>
      </c>
      <c r="P1187" s="5" t="s">
        <v>355</v>
      </c>
      <c r="Q1187" s="5" t="s">
        <v>355</v>
      </c>
    </row>
    <row r="1188" ht="16.5" customHeight="1">
      <c r="O1188" s="5" t="s">
        <v>355</v>
      </c>
      <c r="P1188" s="5" t="s">
        <v>355</v>
      </c>
      <c r="Q1188" s="5" t="s">
        <v>355</v>
      </c>
    </row>
    <row r="1189" ht="16.5" customHeight="1">
      <c r="O1189" s="5" t="s">
        <v>355</v>
      </c>
      <c r="P1189" s="5" t="s">
        <v>355</v>
      </c>
      <c r="Q1189" s="5" t="s">
        <v>355</v>
      </c>
    </row>
    <row r="1190" ht="16.5" customHeight="1">
      <c r="O1190" s="5" t="s">
        <v>355</v>
      </c>
      <c r="P1190" s="5" t="s">
        <v>355</v>
      </c>
      <c r="Q1190" s="5" t="s">
        <v>355</v>
      </c>
    </row>
    <row r="1191" ht="16.5" customHeight="1">
      <c r="O1191" s="5" t="s">
        <v>355</v>
      </c>
      <c r="P1191" s="5" t="s">
        <v>355</v>
      </c>
      <c r="Q1191" s="5" t="s">
        <v>355</v>
      </c>
    </row>
    <row r="1192" ht="16.5" customHeight="1">
      <c r="O1192" s="5" t="s">
        <v>355</v>
      </c>
      <c r="P1192" s="5" t="s">
        <v>355</v>
      </c>
      <c r="Q1192" s="5" t="s">
        <v>355</v>
      </c>
    </row>
    <row r="1193" ht="16.5" customHeight="1">
      <c r="O1193" s="5" t="s">
        <v>355</v>
      </c>
      <c r="P1193" s="5" t="s">
        <v>355</v>
      </c>
      <c r="Q1193" s="5" t="s">
        <v>355</v>
      </c>
    </row>
    <row r="1194" ht="16.5" customHeight="1">
      <c r="O1194" s="5" t="s">
        <v>355</v>
      </c>
      <c r="P1194" s="5" t="s">
        <v>355</v>
      </c>
      <c r="Q1194" s="5" t="s">
        <v>355</v>
      </c>
    </row>
    <row r="1195" ht="16.5" customHeight="1">
      <c r="O1195" s="5" t="s">
        <v>355</v>
      </c>
      <c r="P1195" s="5" t="s">
        <v>355</v>
      </c>
      <c r="Q1195" s="5" t="s">
        <v>355</v>
      </c>
    </row>
    <row r="1196" ht="16.5" customHeight="1">
      <c r="O1196" s="5" t="s">
        <v>355</v>
      </c>
      <c r="P1196" s="5" t="s">
        <v>355</v>
      </c>
      <c r="Q1196" s="5" t="s">
        <v>355</v>
      </c>
    </row>
    <row r="1197" ht="16.5" customHeight="1">
      <c r="O1197" s="5" t="s">
        <v>355</v>
      </c>
      <c r="P1197" s="5" t="s">
        <v>355</v>
      </c>
      <c r="Q1197" s="5" t="s">
        <v>355</v>
      </c>
    </row>
    <row r="1198" ht="16.5" customHeight="1">
      <c r="O1198" s="5" t="s">
        <v>355</v>
      </c>
      <c r="P1198" s="5" t="s">
        <v>355</v>
      </c>
      <c r="Q1198" s="5" t="s">
        <v>355</v>
      </c>
    </row>
    <row r="1199" ht="16.5" customHeight="1">
      <c r="O1199" s="5" t="s">
        <v>355</v>
      </c>
      <c r="P1199" s="5" t="s">
        <v>355</v>
      </c>
      <c r="Q1199" s="5" t="s">
        <v>355</v>
      </c>
    </row>
    <row r="1200" ht="16.5" customHeight="1">
      <c r="O1200" s="5" t="s">
        <v>355</v>
      </c>
      <c r="P1200" s="5" t="s">
        <v>355</v>
      </c>
      <c r="Q1200" s="5" t="s">
        <v>355</v>
      </c>
    </row>
    <row r="1201" ht="16.5" customHeight="1">
      <c r="O1201" s="5" t="s">
        <v>355</v>
      </c>
      <c r="P1201" s="5" t="s">
        <v>355</v>
      </c>
      <c r="Q1201" s="5" t="s">
        <v>355</v>
      </c>
    </row>
    <row r="1202" ht="16.5" customHeight="1">
      <c r="O1202" s="5" t="s">
        <v>355</v>
      </c>
      <c r="P1202" s="5" t="s">
        <v>355</v>
      </c>
      <c r="Q1202" s="5" t="s">
        <v>355</v>
      </c>
    </row>
    <row r="1203" ht="16.5" customHeight="1">
      <c r="O1203" s="5" t="s">
        <v>355</v>
      </c>
      <c r="P1203" s="5" t="s">
        <v>355</v>
      </c>
      <c r="Q1203" s="5" t="s">
        <v>355</v>
      </c>
    </row>
    <row r="1204" ht="16.5" customHeight="1">
      <c r="O1204" s="5" t="s">
        <v>355</v>
      </c>
      <c r="P1204" s="5" t="s">
        <v>355</v>
      </c>
      <c r="Q1204" s="5" t="s">
        <v>355</v>
      </c>
    </row>
    <row r="1205" ht="16.5" customHeight="1">
      <c r="O1205" s="5" t="s">
        <v>355</v>
      </c>
      <c r="P1205" s="5" t="s">
        <v>355</v>
      </c>
      <c r="Q1205" s="5" t="s">
        <v>355</v>
      </c>
    </row>
    <row r="1206" ht="16.5" customHeight="1">
      <c r="O1206" s="5" t="s">
        <v>355</v>
      </c>
      <c r="P1206" s="5" t="s">
        <v>355</v>
      </c>
      <c r="Q1206" s="5" t="s">
        <v>355</v>
      </c>
    </row>
    <row r="1207" ht="16.5" customHeight="1">
      <c r="O1207" s="5" t="s">
        <v>355</v>
      </c>
      <c r="P1207" s="5" t="s">
        <v>355</v>
      </c>
      <c r="Q1207" s="5" t="s">
        <v>355</v>
      </c>
    </row>
    <row r="1208" ht="16.5" customHeight="1">
      <c r="O1208" s="5" t="s">
        <v>355</v>
      </c>
      <c r="P1208" s="5" t="s">
        <v>355</v>
      </c>
      <c r="Q1208" s="5" t="s">
        <v>355</v>
      </c>
    </row>
    <row r="1209" ht="16.5" customHeight="1">
      <c r="O1209" s="5" t="s">
        <v>355</v>
      </c>
      <c r="P1209" s="5" t="s">
        <v>355</v>
      </c>
      <c r="Q1209" s="5" t="s">
        <v>355</v>
      </c>
    </row>
    <row r="1210" ht="16.5" customHeight="1">
      <c r="O1210" s="5" t="s">
        <v>355</v>
      </c>
      <c r="P1210" s="5" t="s">
        <v>355</v>
      </c>
      <c r="Q1210" s="5" t="s">
        <v>355</v>
      </c>
    </row>
    <row r="1211" ht="16.5" customHeight="1">
      <c r="O1211" s="5" t="s">
        <v>355</v>
      </c>
      <c r="P1211" s="5" t="s">
        <v>355</v>
      </c>
      <c r="Q1211" s="5" t="s">
        <v>355</v>
      </c>
    </row>
    <row r="1212" ht="16.5" customHeight="1">
      <c r="O1212" s="5" t="s">
        <v>355</v>
      </c>
      <c r="P1212" s="5" t="s">
        <v>355</v>
      </c>
      <c r="Q1212" s="5" t="s">
        <v>355</v>
      </c>
    </row>
    <row r="1213" ht="16.5" customHeight="1">
      <c r="O1213" s="5" t="s">
        <v>355</v>
      </c>
      <c r="P1213" s="5" t="s">
        <v>355</v>
      </c>
      <c r="Q1213" s="5" t="s">
        <v>355</v>
      </c>
    </row>
    <row r="1214" ht="16.5" customHeight="1">
      <c r="O1214" s="5" t="s">
        <v>355</v>
      </c>
      <c r="P1214" s="5" t="s">
        <v>355</v>
      </c>
      <c r="Q1214" s="5" t="s">
        <v>355</v>
      </c>
    </row>
    <row r="1215" ht="16.5" customHeight="1">
      <c r="O1215" s="5" t="s">
        <v>355</v>
      </c>
      <c r="P1215" s="5" t="s">
        <v>355</v>
      </c>
      <c r="Q1215" s="5" t="s">
        <v>355</v>
      </c>
    </row>
    <row r="1216" ht="16.5" customHeight="1">
      <c r="O1216" s="5" t="s">
        <v>355</v>
      </c>
      <c r="P1216" s="5" t="s">
        <v>355</v>
      </c>
      <c r="Q1216" s="5" t="s">
        <v>355</v>
      </c>
    </row>
    <row r="1217" ht="16.5" customHeight="1">
      <c r="O1217" s="5" t="s">
        <v>355</v>
      </c>
      <c r="P1217" s="5" t="s">
        <v>355</v>
      </c>
      <c r="Q1217" s="5" t="s">
        <v>355</v>
      </c>
    </row>
    <row r="1218" ht="16.5" customHeight="1">
      <c r="O1218" s="5" t="s">
        <v>355</v>
      </c>
      <c r="P1218" s="5" t="s">
        <v>355</v>
      </c>
      <c r="Q1218" s="5" t="s">
        <v>355</v>
      </c>
    </row>
    <row r="1219" ht="16.5" customHeight="1">
      <c r="O1219" s="5" t="s">
        <v>355</v>
      </c>
      <c r="P1219" s="5" t="s">
        <v>355</v>
      </c>
      <c r="Q1219" s="5" t="s">
        <v>355</v>
      </c>
    </row>
    <row r="1220" ht="16.5" customHeight="1">
      <c r="O1220" s="5" t="s">
        <v>355</v>
      </c>
      <c r="P1220" s="5" t="s">
        <v>355</v>
      </c>
      <c r="Q1220" s="5" t="s">
        <v>355</v>
      </c>
    </row>
    <row r="1221" ht="16.5" customHeight="1">
      <c r="O1221" s="5" t="s">
        <v>355</v>
      </c>
      <c r="P1221" s="5" t="s">
        <v>355</v>
      </c>
      <c r="Q1221" s="5" t="s">
        <v>355</v>
      </c>
    </row>
    <row r="1222" ht="16.5" customHeight="1">
      <c r="O1222" s="5" t="s">
        <v>355</v>
      </c>
      <c r="P1222" s="5" t="s">
        <v>355</v>
      </c>
      <c r="Q1222" s="5" t="s">
        <v>355</v>
      </c>
    </row>
    <row r="1223" ht="16.5" customHeight="1">
      <c r="O1223" s="5" t="s">
        <v>355</v>
      </c>
      <c r="P1223" s="5" t="s">
        <v>355</v>
      </c>
      <c r="Q1223" s="5" t="s">
        <v>355</v>
      </c>
    </row>
    <row r="1224" ht="16.5" customHeight="1">
      <c r="O1224" s="5" t="s">
        <v>355</v>
      </c>
      <c r="P1224" s="5" t="s">
        <v>355</v>
      </c>
      <c r="Q1224" s="5" t="s">
        <v>355</v>
      </c>
    </row>
    <row r="1225" ht="16.5" customHeight="1">
      <c r="O1225" s="5" t="s">
        <v>355</v>
      </c>
      <c r="P1225" s="5" t="s">
        <v>355</v>
      </c>
      <c r="Q1225" s="5" t="s">
        <v>355</v>
      </c>
    </row>
    <row r="1226" ht="16.5" customHeight="1">
      <c r="O1226" s="5" t="s">
        <v>355</v>
      </c>
      <c r="P1226" s="5" t="s">
        <v>355</v>
      </c>
      <c r="Q1226" s="5" t="s">
        <v>355</v>
      </c>
    </row>
    <row r="1227" ht="16.5" customHeight="1">
      <c r="O1227" s="5" t="s">
        <v>355</v>
      </c>
      <c r="P1227" s="5" t="s">
        <v>355</v>
      </c>
      <c r="Q1227" s="5" t="s">
        <v>355</v>
      </c>
    </row>
    <row r="1228" ht="16.5" customHeight="1">
      <c r="O1228" s="5" t="s">
        <v>355</v>
      </c>
      <c r="P1228" s="5" t="s">
        <v>355</v>
      </c>
      <c r="Q1228" s="5" t="s">
        <v>355</v>
      </c>
    </row>
    <row r="1229" ht="16.5" customHeight="1">
      <c r="O1229" s="5" t="s">
        <v>355</v>
      </c>
      <c r="P1229" s="5" t="s">
        <v>355</v>
      </c>
      <c r="Q1229" s="5" t="s">
        <v>355</v>
      </c>
    </row>
    <row r="1230" ht="16.5" customHeight="1">
      <c r="O1230" s="5" t="s">
        <v>355</v>
      </c>
      <c r="P1230" s="5" t="s">
        <v>355</v>
      </c>
      <c r="Q1230" s="5" t="s">
        <v>355</v>
      </c>
    </row>
    <row r="1231" ht="16.5" customHeight="1">
      <c r="O1231" s="5" t="s">
        <v>355</v>
      </c>
      <c r="P1231" s="5" t="s">
        <v>355</v>
      </c>
      <c r="Q1231" s="5" t="s">
        <v>355</v>
      </c>
    </row>
    <row r="1232" ht="16.5" customHeight="1">
      <c r="O1232" s="5" t="s">
        <v>355</v>
      </c>
      <c r="P1232" s="5" t="s">
        <v>355</v>
      </c>
      <c r="Q1232" s="5" t="s">
        <v>355</v>
      </c>
    </row>
    <row r="1233" ht="16.5" customHeight="1">
      <c r="O1233" s="5" t="s">
        <v>355</v>
      </c>
      <c r="P1233" s="5" t="s">
        <v>355</v>
      </c>
      <c r="Q1233" s="5" t="s">
        <v>355</v>
      </c>
    </row>
    <row r="1234" ht="16.5" customHeight="1">
      <c r="O1234" s="5" t="s">
        <v>355</v>
      </c>
      <c r="P1234" s="5" t="s">
        <v>355</v>
      </c>
      <c r="Q1234" s="5" t="s">
        <v>355</v>
      </c>
    </row>
    <row r="1235" ht="16.5" customHeight="1">
      <c r="O1235" s="5" t="s">
        <v>355</v>
      </c>
      <c r="P1235" s="5" t="s">
        <v>355</v>
      </c>
      <c r="Q1235" s="5" t="s">
        <v>355</v>
      </c>
    </row>
    <row r="1236" ht="16.5" customHeight="1">
      <c r="O1236" s="5" t="s">
        <v>355</v>
      </c>
      <c r="P1236" s="5" t="s">
        <v>355</v>
      </c>
      <c r="Q1236" s="5" t="s">
        <v>355</v>
      </c>
    </row>
    <row r="1237" ht="16.5" customHeight="1">
      <c r="O1237" s="5" t="s">
        <v>355</v>
      </c>
      <c r="P1237" s="5" t="s">
        <v>355</v>
      </c>
      <c r="Q1237" s="5" t="s">
        <v>355</v>
      </c>
    </row>
    <row r="1238" ht="16.5" customHeight="1">
      <c r="O1238" s="5" t="s">
        <v>355</v>
      </c>
      <c r="P1238" s="5" t="s">
        <v>355</v>
      </c>
      <c r="Q1238" s="5" t="s">
        <v>355</v>
      </c>
    </row>
    <row r="1239" ht="16.5" customHeight="1">
      <c r="O1239" s="5" t="s">
        <v>355</v>
      </c>
      <c r="P1239" s="5" t="s">
        <v>355</v>
      </c>
      <c r="Q1239" s="5" t="s">
        <v>355</v>
      </c>
    </row>
    <row r="1240" ht="16.5" customHeight="1">
      <c r="O1240" s="5" t="s">
        <v>355</v>
      </c>
      <c r="P1240" s="5" t="s">
        <v>355</v>
      </c>
      <c r="Q1240" s="5" t="s">
        <v>355</v>
      </c>
    </row>
    <row r="1241" ht="16.5" customHeight="1">
      <c r="O1241" s="5" t="s">
        <v>355</v>
      </c>
      <c r="P1241" s="5" t="s">
        <v>355</v>
      </c>
      <c r="Q1241" s="5" t="s">
        <v>355</v>
      </c>
    </row>
    <row r="1242" ht="16.5" customHeight="1">
      <c r="O1242" s="5" t="s">
        <v>355</v>
      </c>
      <c r="P1242" s="5" t="s">
        <v>355</v>
      </c>
      <c r="Q1242" s="5" t="s">
        <v>355</v>
      </c>
    </row>
    <row r="1243" ht="16.5" customHeight="1">
      <c r="O1243" s="5" t="s">
        <v>355</v>
      </c>
      <c r="P1243" s="5" t="s">
        <v>355</v>
      </c>
      <c r="Q1243" s="5" t="s">
        <v>355</v>
      </c>
    </row>
    <row r="1244" ht="16.5" customHeight="1">
      <c r="O1244" s="5" t="s">
        <v>355</v>
      </c>
      <c r="P1244" s="5" t="s">
        <v>355</v>
      </c>
      <c r="Q1244" s="5" t="s">
        <v>355</v>
      </c>
    </row>
    <row r="1245" ht="16.5" customHeight="1">
      <c r="O1245" s="5" t="s">
        <v>355</v>
      </c>
      <c r="P1245" s="5" t="s">
        <v>355</v>
      </c>
      <c r="Q1245" s="5" t="s">
        <v>355</v>
      </c>
    </row>
    <row r="1246" ht="16.5" customHeight="1">
      <c r="O1246" s="5" t="s">
        <v>355</v>
      </c>
      <c r="P1246" s="5" t="s">
        <v>355</v>
      </c>
      <c r="Q1246" s="5" t="s">
        <v>355</v>
      </c>
    </row>
    <row r="1247" ht="16.5" customHeight="1">
      <c r="O1247" s="5" t="s">
        <v>355</v>
      </c>
      <c r="P1247" s="5" t="s">
        <v>355</v>
      </c>
      <c r="Q1247" s="5" t="s">
        <v>355</v>
      </c>
    </row>
    <row r="1248" ht="16.5" customHeight="1">
      <c r="O1248" s="5" t="s">
        <v>355</v>
      </c>
      <c r="P1248" s="5" t="s">
        <v>355</v>
      </c>
      <c r="Q1248" s="5" t="s">
        <v>355</v>
      </c>
    </row>
    <row r="1249" ht="16.5" customHeight="1">
      <c r="O1249" s="5" t="s">
        <v>355</v>
      </c>
      <c r="P1249" s="5" t="s">
        <v>355</v>
      </c>
      <c r="Q1249" s="5" t="s">
        <v>355</v>
      </c>
    </row>
    <row r="1250" ht="16.5" customHeight="1">
      <c r="O1250" s="5" t="s">
        <v>355</v>
      </c>
      <c r="P1250" s="5" t="s">
        <v>355</v>
      </c>
      <c r="Q1250" s="5" t="s">
        <v>355</v>
      </c>
    </row>
    <row r="1251" ht="16.5" customHeight="1">
      <c r="O1251" s="5" t="s">
        <v>355</v>
      </c>
      <c r="P1251" s="5" t="s">
        <v>355</v>
      </c>
      <c r="Q1251" s="5" t="s">
        <v>355</v>
      </c>
    </row>
    <row r="1252" ht="16.5" customHeight="1">
      <c r="O1252" s="5" t="s">
        <v>355</v>
      </c>
      <c r="P1252" s="5" t="s">
        <v>355</v>
      </c>
      <c r="Q1252" s="5" t="s">
        <v>355</v>
      </c>
    </row>
    <row r="1253" ht="16.5" customHeight="1">
      <c r="O1253" s="5" t="s">
        <v>355</v>
      </c>
      <c r="P1253" s="5" t="s">
        <v>355</v>
      </c>
      <c r="Q1253" s="5" t="s">
        <v>355</v>
      </c>
    </row>
    <row r="1254" ht="16.5" customHeight="1">
      <c r="O1254" s="5" t="s">
        <v>355</v>
      </c>
      <c r="P1254" s="5" t="s">
        <v>355</v>
      </c>
      <c r="Q1254" s="5" t="s">
        <v>355</v>
      </c>
    </row>
    <row r="1255" ht="16.5" customHeight="1">
      <c r="O1255" s="5" t="s">
        <v>355</v>
      </c>
      <c r="P1255" s="5" t="s">
        <v>355</v>
      </c>
      <c r="Q1255" s="5" t="s">
        <v>355</v>
      </c>
    </row>
    <row r="1256" ht="16.5" customHeight="1">
      <c r="O1256" s="5" t="s">
        <v>355</v>
      </c>
      <c r="P1256" s="5" t="s">
        <v>355</v>
      </c>
      <c r="Q1256" s="5" t="s">
        <v>355</v>
      </c>
    </row>
    <row r="1257" ht="16.5" customHeight="1">
      <c r="O1257" s="5" t="s">
        <v>355</v>
      </c>
      <c r="P1257" s="5" t="s">
        <v>355</v>
      </c>
      <c r="Q1257" s="5" t="s">
        <v>355</v>
      </c>
    </row>
    <row r="1258" ht="16.5" customHeight="1">
      <c r="O1258" s="5" t="s">
        <v>355</v>
      </c>
      <c r="P1258" s="5" t="s">
        <v>355</v>
      </c>
      <c r="Q1258" s="5" t="s">
        <v>355</v>
      </c>
    </row>
    <row r="1259" ht="16.5" customHeight="1">
      <c r="O1259" s="5" t="s">
        <v>355</v>
      </c>
      <c r="P1259" s="5" t="s">
        <v>355</v>
      </c>
      <c r="Q1259" s="5" t="s">
        <v>355</v>
      </c>
    </row>
    <row r="1260" ht="16.5" customHeight="1">
      <c r="O1260" s="5" t="s">
        <v>355</v>
      </c>
      <c r="P1260" s="5" t="s">
        <v>355</v>
      </c>
      <c r="Q1260" s="5" t="s">
        <v>355</v>
      </c>
    </row>
    <row r="1261" ht="16.5" customHeight="1">
      <c r="O1261" s="5" t="s">
        <v>355</v>
      </c>
      <c r="P1261" s="5" t="s">
        <v>355</v>
      </c>
      <c r="Q1261" s="5" t="s">
        <v>355</v>
      </c>
    </row>
    <row r="1262" ht="16.5" customHeight="1">
      <c r="O1262" s="5" t="s">
        <v>355</v>
      </c>
      <c r="P1262" s="5" t="s">
        <v>355</v>
      </c>
      <c r="Q1262" s="5" t="s">
        <v>355</v>
      </c>
    </row>
    <row r="1263" ht="16.5" customHeight="1">
      <c r="O1263" s="5" t="s">
        <v>355</v>
      </c>
      <c r="P1263" s="5" t="s">
        <v>355</v>
      </c>
      <c r="Q1263" s="5" t="s">
        <v>355</v>
      </c>
    </row>
    <row r="1264" ht="16.5" customHeight="1">
      <c r="O1264" s="5" t="s">
        <v>355</v>
      </c>
      <c r="P1264" s="5" t="s">
        <v>355</v>
      </c>
      <c r="Q1264" s="5" t="s">
        <v>355</v>
      </c>
    </row>
    <row r="1265" ht="16.5" customHeight="1">
      <c r="O1265" s="5" t="s">
        <v>355</v>
      </c>
      <c r="P1265" s="5" t="s">
        <v>355</v>
      </c>
      <c r="Q1265" s="5" t="s">
        <v>355</v>
      </c>
    </row>
    <row r="1266" ht="16.5" customHeight="1">
      <c r="O1266" s="5" t="s">
        <v>355</v>
      </c>
      <c r="P1266" s="5" t="s">
        <v>355</v>
      </c>
      <c r="Q1266" s="5" t="s">
        <v>355</v>
      </c>
    </row>
    <row r="1267" ht="16.5" customHeight="1">
      <c r="O1267" s="5" t="s">
        <v>355</v>
      </c>
      <c r="P1267" s="5" t="s">
        <v>355</v>
      </c>
      <c r="Q1267" s="5" t="s">
        <v>355</v>
      </c>
    </row>
    <row r="1268" ht="16.5" customHeight="1">
      <c r="O1268" s="5" t="s">
        <v>355</v>
      </c>
      <c r="P1268" s="5" t="s">
        <v>355</v>
      </c>
      <c r="Q1268" s="5" t="s">
        <v>355</v>
      </c>
    </row>
    <row r="1269" ht="16.5" customHeight="1">
      <c r="O1269" s="5" t="s">
        <v>355</v>
      </c>
      <c r="P1269" s="5" t="s">
        <v>355</v>
      </c>
      <c r="Q1269" s="5" t="s">
        <v>355</v>
      </c>
    </row>
    <row r="1270" ht="16.5" customHeight="1">
      <c r="O1270" s="5" t="s">
        <v>355</v>
      </c>
      <c r="P1270" s="5" t="s">
        <v>355</v>
      </c>
      <c r="Q1270" s="5" t="s">
        <v>355</v>
      </c>
    </row>
    <row r="1271" ht="16.5" customHeight="1">
      <c r="O1271" s="5" t="s">
        <v>355</v>
      </c>
      <c r="P1271" s="5" t="s">
        <v>355</v>
      </c>
      <c r="Q1271" s="5" t="s">
        <v>355</v>
      </c>
    </row>
    <row r="1272" ht="16.5" customHeight="1">
      <c r="O1272" s="5" t="s">
        <v>355</v>
      </c>
      <c r="P1272" s="5" t="s">
        <v>355</v>
      </c>
      <c r="Q1272" s="5" t="s">
        <v>355</v>
      </c>
    </row>
    <row r="1273" ht="16.5" customHeight="1">
      <c r="O1273" s="5" t="s">
        <v>355</v>
      </c>
      <c r="P1273" s="5" t="s">
        <v>355</v>
      </c>
      <c r="Q1273" s="5" t="s">
        <v>355</v>
      </c>
    </row>
    <row r="1274" ht="16.5" customHeight="1">
      <c r="O1274" s="5" t="s">
        <v>355</v>
      </c>
      <c r="P1274" s="5" t="s">
        <v>355</v>
      </c>
      <c r="Q1274" s="5" t="s">
        <v>355</v>
      </c>
    </row>
    <row r="1275" ht="16.5" customHeight="1">
      <c r="O1275" s="5" t="s">
        <v>355</v>
      </c>
      <c r="P1275" s="5" t="s">
        <v>355</v>
      </c>
      <c r="Q1275" s="5" t="s">
        <v>355</v>
      </c>
    </row>
    <row r="1276" ht="16.5" customHeight="1">
      <c r="O1276" s="5" t="s">
        <v>355</v>
      </c>
      <c r="P1276" s="5" t="s">
        <v>355</v>
      </c>
      <c r="Q1276" s="5" t="s">
        <v>355</v>
      </c>
    </row>
    <row r="1277" ht="16.5" customHeight="1">
      <c r="O1277" s="5" t="s">
        <v>355</v>
      </c>
      <c r="P1277" s="5" t="s">
        <v>355</v>
      </c>
      <c r="Q1277" s="5" t="s">
        <v>355</v>
      </c>
    </row>
    <row r="1278" ht="16.5" customHeight="1">
      <c r="O1278" s="5" t="s">
        <v>355</v>
      </c>
      <c r="P1278" s="5" t="s">
        <v>355</v>
      </c>
      <c r="Q1278" s="5" t="s">
        <v>355</v>
      </c>
    </row>
    <row r="1279" ht="16.5" customHeight="1">
      <c r="O1279" s="5" t="s">
        <v>355</v>
      </c>
      <c r="P1279" s="5" t="s">
        <v>355</v>
      </c>
      <c r="Q1279" s="5" t="s">
        <v>355</v>
      </c>
    </row>
    <row r="1280" ht="16.5" customHeight="1">
      <c r="O1280" s="5" t="s">
        <v>355</v>
      </c>
      <c r="P1280" s="5" t="s">
        <v>355</v>
      </c>
      <c r="Q1280" s="5" t="s">
        <v>355</v>
      </c>
    </row>
    <row r="1281" ht="16.5" customHeight="1">
      <c r="O1281" s="5" t="s">
        <v>355</v>
      </c>
      <c r="P1281" s="5" t="s">
        <v>355</v>
      </c>
      <c r="Q1281" s="5" t="s">
        <v>355</v>
      </c>
    </row>
    <row r="1282" ht="16.5" customHeight="1">
      <c r="O1282" s="5" t="s">
        <v>355</v>
      </c>
      <c r="P1282" s="5" t="s">
        <v>355</v>
      </c>
      <c r="Q1282" s="5" t="s">
        <v>355</v>
      </c>
    </row>
    <row r="1283" ht="16.5" customHeight="1">
      <c r="O1283" s="5" t="s">
        <v>355</v>
      </c>
      <c r="P1283" s="5" t="s">
        <v>355</v>
      </c>
      <c r="Q1283" s="5" t="s">
        <v>355</v>
      </c>
    </row>
    <row r="1284" ht="16.5" customHeight="1">
      <c r="O1284" s="5" t="s">
        <v>355</v>
      </c>
      <c r="P1284" s="5" t="s">
        <v>355</v>
      </c>
      <c r="Q1284" s="5" t="s">
        <v>355</v>
      </c>
    </row>
    <row r="1285" ht="16.5" customHeight="1">
      <c r="O1285" s="5" t="s">
        <v>355</v>
      </c>
      <c r="P1285" s="5" t="s">
        <v>355</v>
      </c>
      <c r="Q1285" s="5" t="s">
        <v>355</v>
      </c>
    </row>
    <row r="1286" ht="16.5" customHeight="1">
      <c r="O1286" s="5" t="s">
        <v>355</v>
      </c>
      <c r="P1286" s="5" t="s">
        <v>355</v>
      </c>
      <c r="Q1286" s="5" t="s">
        <v>355</v>
      </c>
    </row>
    <row r="1287" ht="16.5" customHeight="1">
      <c r="O1287" s="5" t="s">
        <v>355</v>
      </c>
      <c r="P1287" s="5" t="s">
        <v>355</v>
      </c>
      <c r="Q1287" s="5" t="s">
        <v>355</v>
      </c>
    </row>
    <row r="1288" ht="16.5" customHeight="1">
      <c r="O1288" s="5" t="s">
        <v>355</v>
      </c>
      <c r="P1288" s="5" t="s">
        <v>355</v>
      </c>
      <c r="Q1288" s="5" t="s">
        <v>355</v>
      </c>
    </row>
    <row r="1289" ht="16.5" customHeight="1">
      <c r="O1289" s="5" t="s">
        <v>355</v>
      </c>
      <c r="P1289" s="5" t="s">
        <v>355</v>
      </c>
      <c r="Q1289" s="5" t="s">
        <v>355</v>
      </c>
    </row>
    <row r="1290" ht="16.5" customHeight="1">
      <c r="O1290" s="5" t="s">
        <v>355</v>
      </c>
      <c r="P1290" s="5" t="s">
        <v>355</v>
      </c>
      <c r="Q1290" s="5" t="s">
        <v>355</v>
      </c>
    </row>
    <row r="1291" ht="16.5" customHeight="1">
      <c r="O1291" s="5" t="s">
        <v>355</v>
      </c>
      <c r="P1291" s="5" t="s">
        <v>355</v>
      </c>
      <c r="Q1291" s="5" t="s">
        <v>355</v>
      </c>
    </row>
    <row r="1292" ht="16.5" customHeight="1">
      <c r="O1292" s="5" t="s">
        <v>355</v>
      </c>
      <c r="P1292" s="5" t="s">
        <v>355</v>
      </c>
      <c r="Q1292" s="5" t="s">
        <v>355</v>
      </c>
    </row>
    <row r="1293" ht="16.5" customHeight="1">
      <c r="O1293" s="5" t="s">
        <v>355</v>
      </c>
      <c r="P1293" s="5" t="s">
        <v>355</v>
      </c>
      <c r="Q1293" s="5" t="s">
        <v>355</v>
      </c>
    </row>
    <row r="1294" ht="16.5" customHeight="1">
      <c r="O1294" s="5" t="s">
        <v>355</v>
      </c>
      <c r="P1294" s="5" t="s">
        <v>355</v>
      </c>
      <c r="Q1294" s="5" t="s">
        <v>355</v>
      </c>
    </row>
    <row r="1295" ht="16.5" customHeight="1">
      <c r="O1295" s="5" t="s">
        <v>355</v>
      </c>
      <c r="P1295" s="5" t="s">
        <v>355</v>
      </c>
      <c r="Q1295" s="5" t="s">
        <v>355</v>
      </c>
    </row>
    <row r="1296" ht="16.5" customHeight="1">
      <c r="O1296" s="5" t="s">
        <v>355</v>
      </c>
      <c r="P1296" s="5" t="s">
        <v>355</v>
      </c>
      <c r="Q1296" s="5" t="s">
        <v>355</v>
      </c>
    </row>
    <row r="1297" ht="16.5" customHeight="1">
      <c r="O1297" s="5" t="s">
        <v>355</v>
      </c>
      <c r="P1297" s="5" t="s">
        <v>355</v>
      </c>
      <c r="Q1297" s="5" t="s">
        <v>355</v>
      </c>
    </row>
    <row r="1298" ht="16.5" customHeight="1">
      <c r="O1298" s="5" t="s">
        <v>355</v>
      </c>
      <c r="P1298" s="5" t="s">
        <v>355</v>
      </c>
      <c r="Q1298" s="5" t="s">
        <v>355</v>
      </c>
    </row>
    <row r="1299" ht="16.5" customHeight="1">
      <c r="O1299" s="5" t="s">
        <v>355</v>
      </c>
      <c r="P1299" s="5" t="s">
        <v>355</v>
      </c>
      <c r="Q1299" s="5" t="s">
        <v>355</v>
      </c>
    </row>
    <row r="1300" ht="16.5" customHeight="1">
      <c r="O1300" s="5" t="s">
        <v>355</v>
      </c>
      <c r="P1300" s="5" t="s">
        <v>355</v>
      </c>
      <c r="Q1300" s="5" t="s">
        <v>355</v>
      </c>
    </row>
    <row r="1301" ht="16.5" customHeight="1">
      <c r="O1301" s="5" t="s">
        <v>355</v>
      </c>
      <c r="P1301" s="5" t="s">
        <v>355</v>
      </c>
      <c r="Q1301" s="5" t="s">
        <v>355</v>
      </c>
    </row>
    <row r="1302" ht="16.5" customHeight="1">
      <c r="O1302" s="5" t="s">
        <v>355</v>
      </c>
      <c r="P1302" s="5" t="s">
        <v>355</v>
      </c>
      <c r="Q1302" s="5" t="s">
        <v>355</v>
      </c>
    </row>
    <row r="1303" ht="16.5" customHeight="1">
      <c r="O1303" s="5" t="s">
        <v>355</v>
      </c>
      <c r="P1303" s="5" t="s">
        <v>355</v>
      </c>
      <c r="Q1303" s="5" t="s">
        <v>355</v>
      </c>
    </row>
    <row r="1304" ht="16.5" customHeight="1">
      <c r="O1304" s="5" t="s">
        <v>355</v>
      </c>
      <c r="P1304" s="5" t="s">
        <v>355</v>
      </c>
      <c r="Q1304" s="5" t="s">
        <v>355</v>
      </c>
    </row>
    <row r="1305" ht="16.5" customHeight="1">
      <c r="O1305" s="5" t="s">
        <v>355</v>
      </c>
      <c r="P1305" s="5" t="s">
        <v>355</v>
      </c>
      <c r="Q1305" s="5" t="s">
        <v>355</v>
      </c>
    </row>
    <row r="1306" ht="16.5" customHeight="1">
      <c r="O1306" s="5" t="s">
        <v>355</v>
      </c>
      <c r="P1306" s="5" t="s">
        <v>355</v>
      </c>
      <c r="Q1306" s="5" t="s">
        <v>355</v>
      </c>
    </row>
    <row r="1307" ht="16.5" customHeight="1">
      <c r="O1307" s="5" t="s">
        <v>355</v>
      </c>
      <c r="P1307" s="5" t="s">
        <v>355</v>
      </c>
      <c r="Q1307" s="5" t="s">
        <v>355</v>
      </c>
    </row>
    <row r="1308" ht="16.5" customHeight="1">
      <c r="O1308" s="5" t="s">
        <v>355</v>
      </c>
      <c r="P1308" s="5" t="s">
        <v>355</v>
      </c>
      <c r="Q1308" s="5" t="s">
        <v>355</v>
      </c>
    </row>
    <row r="1309" ht="16.5" customHeight="1">
      <c r="O1309" s="5" t="s">
        <v>355</v>
      </c>
      <c r="P1309" s="5" t="s">
        <v>355</v>
      </c>
      <c r="Q1309" s="5" t="s">
        <v>355</v>
      </c>
    </row>
    <row r="1310" ht="16.5" customHeight="1">
      <c r="O1310" s="5" t="s">
        <v>355</v>
      </c>
      <c r="P1310" s="5" t="s">
        <v>355</v>
      </c>
      <c r="Q1310" s="5" t="s">
        <v>355</v>
      </c>
    </row>
    <row r="1311" ht="16.5" customHeight="1">
      <c r="O1311" s="5" t="s">
        <v>355</v>
      </c>
      <c r="P1311" s="5" t="s">
        <v>355</v>
      </c>
      <c r="Q1311" s="5" t="s">
        <v>355</v>
      </c>
    </row>
    <row r="1312" ht="16.5" customHeight="1">
      <c r="O1312" s="5" t="s">
        <v>355</v>
      </c>
      <c r="P1312" s="5" t="s">
        <v>355</v>
      </c>
      <c r="Q1312" s="5" t="s">
        <v>355</v>
      </c>
    </row>
    <row r="1313" ht="16.5" customHeight="1">
      <c r="O1313" s="5" t="s">
        <v>355</v>
      </c>
      <c r="P1313" s="5" t="s">
        <v>355</v>
      </c>
      <c r="Q1313" s="5" t="s">
        <v>355</v>
      </c>
    </row>
    <row r="1314" ht="16.5" customHeight="1">
      <c r="O1314" s="5" t="s">
        <v>355</v>
      </c>
      <c r="P1314" s="5" t="s">
        <v>355</v>
      </c>
      <c r="Q1314" s="5" t="s">
        <v>355</v>
      </c>
    </row>
    <row r="1315" ht="16.5" customHeight="1">
      <c r="O1315" s="5" t="s">
        <v>355</v>
      </c>
      <c r="P1315" s="5" t="s">
        <v>355</v>
      </c>
      <c r="Q1315" s="5" t="s">
        <v>355</v>
      </c>
    </row>
    <row r="1316" ht="16.5" customHeight="1">
      <c r="O1316" s="5" t="s">
        <v>355</v>
      </c>
      <c r="P1316" s="5" t="s">
        <v>355</v>
      </c>
      <c r="Q1316" s="5" t="s">
        <v>355</v>
      </c>
    </row>
    <row r="1317" ht="16.5" customHeight="1">
      <c r="O1317" s="5" t="s">
        <v>355</v>
      </c>
      <c r="P1317" s="5" t="s">
        <v>355</v>
      </c>
      <c r="Q1317" s="5" t="s">
        <v>355</v>
      </c>
    </row>
    <row r="1318" ht="16.5" customHeight="1">
      <c r="O1318" s="5" t="s">
        <v>355</v>
      </c>
      <c r="P1318" s="5" t="s">
        <v>355</v>
      </c>
      <c r="Q1318" s="5" t="s">
        <v>355</v>
      </c>
    </row>
    <row r="1319" ht="16.5" customHeight="1">
      <c r="O1319" s="5" t="s">
        <v>355</v>
      </c>
      <c r="P1319" s="5" t="s">
        <v>355</v>
      </c>
      <c r="Q1319" s="5" t="s">
        <v>355</v>
      </c>
    </row>
    <row r="1320" ht="16.5" customHeight="1">
      <c r="O1320" s="5" t="s">
        <v>355</v>
      </c>
      <c r="P1320" s="5" t="s">
        <v>355</v>
      </c>
      <c r="Q1320" s="5" t="s">
        <v>355</v>
      </c>
    </row>
    <row r="1321" ht="16.5" customHeight="1">
      <c r="O1321" s="5" t="s">
        <v>355</v>
      </c>
      <c r="P1321" s="5" t="s">
        <v>355</v>
      </c>
      <c r="Q1321" s="5" t="s">
        <v>355</v>
      </c>
    </row>
    <row r="1322" ht="16.5" customHeight="1">
      <c r="O1322" s="5" t="s">
        <v>355</v>
      </c>
      <c r="P1322" s="5" t="s">
        <v>355</v>
      </c>
      <c r="Q1322" s="5" t="s">
        <v>355</v>
      </c>
    </row>
    <row r="1323" ht="16.5" customHeight="1">
      <c r="O1323" s="5" t="s">
        <v>355</v>
      </c>
      <c r="P1323" s="5" t="s">
        <v>355</v>
      </c>
      <c r="Q1323" s="5" t="s">
        <v>355</v>
      </c>
    </row>
    <row r="1324" ht="16.5" customHeight="1">
      <c r="O1324" s="5" t="s">
        <v>355</v>
      </c>
      <c r="P1324" s="5" t="s">
        <v>355</v>
      </c>
      <c r="Q1324" s="5" t="s">
        <v>355</v>
      </c>
    </row>
    <row r="1325" ht="16.5" customHeight="1">
      <c r="O1325" s="5" t="s">
        <v>355</v>
      </c>
      <c r="P1325" s="5" t="s">
        <v>355</v>
      </c>
      <c r="Q1325" s="5" t="s">
        <v>355</v>
      </c>
    </row>
    <row r="1326" ht="16.5" customHeight="1">
      <c r="O1326" s="5" t="s">
        <v>355</v>
      </c>
      <c r="P1326" s="5" t="s">
        <v>355</v>
      </c>
      <c r="Q1326" s="5" t="s">
        <v>355</v>
      </c>
    </row>
    <row r="1327" ht="16.5" customHeight="1">
      <c r="O1327" s="5" t="s">
        <v>355</v>
      </c>
      <c r="P1327" s="5" t="s">
        <v>355</v>
      </c>
      <c r="Q1327" s="5" t="s">
        <v>355</v>
      </c>
    </row>
    <row r="1328" ht="16.5" customHeight="1">
      <c r="O1328" s="5" t="s">
        <v>355</v>
      </c>
      <c r="P1328" s="5" t="s">
        <v>355</v>
      </c>
      <c r="Q1328" s="5" t="s">
        <v>355</v>
      </c>
    </row>
    <row r="1329" ht="16.5" customHeight="1">
      <c r="O1329" s="5" t="s">
        <v>355</v>
      </c>
      <c r="P1329" s="5" t="s">
        <v>355</v>
      </c>
      <c r="Q1329" s="5" t="s">
        <v>355</v>
      </c>
    </row>
    <row r="1330" ht="16.5" customHeight="1">
      <c r="O1330" s="5" t="s">
        <v>355</v>
      </c>
      <c r="P1330" s="5" t="s">
        <v>355</v>
      </c>
      <c r="Q1330" s="5" t="s">
        <v>355</v>
      </c>
    </row>
    <row r="1331" ht="16.5" customHeight="1">
      <c r="O1331" s="5" t="s">
        <v>355</v>
      </c>
      <c r="P1331" s="5" t="s">
        <v>355</v>
      </c>
      <c r="Q1331" s="5" t="s">
        <v>355</v>
      </c>
    </row>
    <row r="1332" ht="16.5" customHeight="1">
      <c r="O1332" s="5" t="s">
        <v>355</v>
      </c>
      <c r="P1332" s="5" t="s">
        <v>355</v>
      </c>
      <c r="Q1332" s="5" t="s">
        <v>355</v>
      </c>
    </row>
    <row r="1333" ht="16.5" customHeight="1">
      <c r="O1333" s="5" t="s">
        <v>355</v>
      </c>
      <c r="P1333" s="5" t="s">
        <v>355</v>
      </c>
      <c r="Q1333" s="5" t="s">
        <v>355</v>
      </c>
    </row>
    <row r="1334" ht="16.5" customHeight="1">
      <c r="O1334" s="5" t="s">
        <v>355</v>
      </c>
      <c r="P1334" s="5" t="s">
        <v>355</v>
      </c>
      <c r="Q1334" s="5" t="s">
        <v>355</v>
      </c>
    </row>
    <row r="1335" ht="16.5" customHeight="1">
      <c r="O1335" s="5" t="s">
        <v>355</v>
      </c>
      <c r="P1335" s="5" t="s">
        <v>355</v>
      </c>
      <c r="Q1335" s="5" t="s">
        <v>355</v>
      </c>
    </row>
    <row r="1336" ht="16.5" customHeight="1">
      <c r="O1336" s="5" t="s">
        <v>355</v>
      </c>
      <c r="P1336" s="5" t="s">
        <v>355</v>
      </c>
      <c r="Q1336" s="5" t="s">
        <v>355</v>
      </c>
    </row>
    <row r="1337" ht="16.5" customHeight="1">
      <c r="O1337" s="5" t="s">
        <v>355</v>
      </c>
      <c r="P1337" s="5" t="s">
        <v>355</v>
      </c>
      <c r="Q1337" s="5" t="s">
        <v>355</v>
      </c>
    </row>
    <row r="1338" ht="16.5" customHeight="1">
      <c r="O1338" s="5" t="s">
        <v>355</v>
      </c>
      <c r="P1338" s="5" t="s">
        <v>355</v>
      </c>
      <c r="Q1338" s="5" t="s">
        <v>355</v>
      </c>
    </row>
    <row r="1339" ht="16.5" customHeight="1">
      <c r="O1339" s="5" t="s">
        <v>355</v>
      </c>
      <c r="P1339" s="5" t="s">
        <v>355</v>
      </c>
      <c r="Q1339" s="5" t="s">
        <v>355</v>
      </c>
    </row>
    <row r="1340" ht="16.5" customHeight="1">
      <c r="O1340" s="5" t="s">
        <v>355</v>
      </c>
      <c r="P1340" s="5" t="s">
        <v>355</v>
      </c>
      <c r="Q1340" s="5" t="s">
        <v>355</v>
      </c>
    </row>
    <row r="1341" ht="16.5" customHeight="1">
      <c r="O1341" s="5" t="s">
        <v>355</v>
      </c>
      <c r="P1341" s="5" t="s">
        <v>355</v>
      </c>
      <c r="Q1341" s="5" t="s">
        <v>355</v>
      </c>
    </row>
    <row r="1342" ht="16.5" customHeight="1">
      <c r="O1342" s="5" t="s">
        <v>355</v>
      </c>
      <c r="P1342" s="5" t="s">
        <v>355</v>
      </c>
      <c r="Q1342" s="5" t="s">
        <v>355</v>
      </c>
    </row>
    <row r="1343" ht="16.5" customHeight="1">
      <c r="O1343" s="5" t="s">
        <v>355</v>
      </c>
      <c r="P1343" s="5" t="s">
        <v>355</v>
      </c>
      <c r="Q1343" s="5" t="s">
        <v>355</v>
      </c>
    </row>
    <row r="1344" ht="16.5" customHeight="1">
      <c r="O1344" s="5" t="s">
        <v>355</v>
      </c>
      <c r="P1344" s="5" t="s">
        <v>355</v>
      </c>
      <c r="Q1344" s="5" t="s">
        <v>355</v>
      </c>
    </row>
    <row r="1345" ht="16.5" customHeight="1">
      <c r="O1345" s="5" t="s">
        <v>355</v>
      </c>
      <c r="P1345" s="5" t="s">
        <v>355</v>
      </c>
      <c r="Q1345" s="5" t="s">
        <v>355</v>
      </c>
    </row>
    <row r="1346" ht="16.5" customHeight="1">
      <c r="O1346" s="5" t="s">
        <v>355</v>
      </c>
      <c r="P1346" s="5" t="s">
        <v>355</v>
      </c>
      <c r="Q1346" s="5" t="s">
        <v>355</v>
      </c>
    </row>
    <row r="1347" ht="16.5" customHeight="1">
      <c r="O1347" s="5" t="s">
        <v>355</v>
      </c>
      <c r="P1347" s="5" t="s">
        <v>355</v>
      </c>
      <c r="Q1347" s="5" t="s">
        <v>355</v>
      </c>
    </row>
    <row r="1348" ht="16.5" customHeight="1">
      <c r="O1348" s="5" t="s">
        <v>355</v>
      </c>
      <c r="P1348" s="5" t="s">
        <v>355</v>
      </c>
      <c r="Q1348" s="5" t="s">
        <v>355</v>
      </c>
    </row>
    <row r="1349" ht="16.5" customHeight="1">
      <c r="O1349" s="5" t="s">
        <v>355</v>
      </c>
      <c r="P1349" s="5" t="s">
        <v>355</v>
      </c>
      <c r="Q1349" s="5" t="s">
        <v>355</v>
      </c>
    </row>
    <row r="1350" ht="16.5" customHeight="1">
      <c r="O1350" s="5" t="s">
        <v>355</v>
      </c>
      <c r="P1350" s="5" t="s">
        <v>355</v>
      </c>
      <c r="Q1350" s="5" t="s">
        <v>355</v>
      </c>
    </row>
    <row r="1351" ht="16.5" customHeight="1">
      <c r="O1351" s="5" t="s">
        <v>355</v>
      </c>
      <c r="P1351" s="5" t="s">
        <v>355</v>
      </c>
      <c r="Q1351" s="5" t="s">
        <v>355</v>
      </c>
    </row>
    <row r="1352" ht="16.5" customHeight="1">
      <c r="O1352" s="5" t="s">
        <v>355</v>
      </c>
      <c r="P1352" s="5" t="s">
        <v>355</v>
      </c>
      <c r="Q1352" s="5" t="s">
        <v>355</v>
      </c>
    </row>
    <row r="1353" ht="16.5" customHeight="1">
      <c r="O1353" s="5" t="s">
        <v>355</v>
      </c>
      <c r="P1353" s="5" t="s">
        <v>355</v>
      </c>
      <c r="Q1353" s="5" t="s">
        <v>355</v>
      </c>
    </row>
    <row r="1354" ht="16.5" customHeight="1">
      <c r="O1354" s="5" t="s">
        <v>355</v>
      </c>
      <c r="P1354" s="5" t="s">
        <v>355</v>
      </c>
      <c r="Q1354" s="5" t="s">
        <v>355</v>
      </c>
    </row>
    <row r="1355" ht="16.5" customHeight="1">
      <c r="O1355" s="5" t="s">
        <v>355</v>
      </c>
      <c r="P1355" s="5" t="s">
        <v>355</v>
      </c>
      <c r="Q1355" s="5" t="s">
        <v>355</v>
      </c>
    </row>
    <row r="1356" ht="16.5" customHeight="1">
      <c r="O1356" s="5" t="s">
        <v>355</v>
      </c>
      <c r="P1356" s="5" t="s">
        <v>355</v>
      </c>
      <c r="Q1356" s="5" t="s">
        <v>355</v>
      </c>
    </row>
    <row r="1357" ht="16.5" customHeight="1">
      <c r="O1357" s="5" t="s">
        <v>355</v>
      </c>
      <c r="P1357" s="5" t="s">
        <v>355</v>
      </c>
      <c r="Q1357" s="5" t="s">
        <v>355</v>
      </c>
    </row>
    <row r="1358" ht="16.5" customHeight="1">
      <c r="O1358" s="5" t="s">
        <v>355</v>
      </c>
      <c r="P1358" s="5" t="s">
        <v>355</v>
      </c>
      <c r="Q1358" s="5" t="s">
        <v>355</v>
      </c>
    </row>
    <row r="1359" ht="16.5" customHeight="1">
      <c r="O1359" s="5" t="s">
        <v>355</v>
      </c>
      <c r="P1359" s="5" t="s">
        <v>355</v>
      </c>
      <c r="Q1359" s="5" t="s">
        <v>355</v>
      </c>
    </row>
    <row r="1360" ht="16.5" customHeight="1">
      <c r="O1360" s="5" t="s">
        <v>355</v>
      </c>
      <c r="P1360" s="5" t="s">
        <v>355</v>
      </c>
      <c r="Q1360" s="5" t="s">
        <v>355</v>
      </c>
    </row>
    <row r="1361" ht="16.5" customHeight="1">
      <c r="O1361" s="5" t="s">
        <v>355</v>
      </c>
      <c r="P1361" s="5" t="s">
        <v>355</v>
      </c>
      <c r="Q1361" s="5" t="s">
        <v>355</v>
      </c>
    </row>
    <row r="1362" ht="16.5" customHeight="1">
      <c r="O1362" s="5" t="s">
        <v>355</v>
      </c>
      <c r="P1362" s="5" t="s">
        <v>355</v>
      </c>
      <c r="Q1362" s="5" t="s">
        <v>355</v>
      </c>
    </row>
    <row r="1363" ht="16.5" customHeight="1">
      <c r="O1363" s="5" t="s">
        <v>355</v>
      </c>
      <c r="P1363" s="5" t="s">
        <v>355</v>
      </c>
      <c r="Q1363" s="5" t="s">
        <v>355</v>
      </c>
    </row>
    <row r="1364" ht="16.5" customHeight="1">
      <c r="O1364" s="5" t="s">
        <v>355</v>
      </c>
      <c r="P1364" s="5" t="s">
        <v>355</v>
      </c>
      <c r="Q1364" s="5" t="s">
        <v>355</v>
      </c>
    </row>
    <row r="1365" ht="16.5" customHeight="1">
      <c r="O1365" s="5" t="s">
        <v>355</v>
      </c>
      <c r="P1365" s="5" t="s">
        <v>355</v>
      </c>
      <c r="Q1365" s="5" t="s">
        <v>355</v>
      </c>
    </row>
    <row r="1366" ht="16.5" customHeight="1">
      <c r="O1366" s="5" t="s">
        <v>355</v>
      </c>
      <c r="P1366" s="5" t="s">
        <v>355</v>
      </c>
      <c r="Q1366" s="5" t="s">
        <v>355</v>
      </c>
    </row>
    <row r="1367" ht="16.5" customHeight="1">
      <c r="O1367" s="5" t="s">
        <v>355</v>
      </c>
      <c r="P1367" s="5" t="s">
        <v>355</v>
      </c>
      <c r="Q1367" s="5" t="s">
        <v>355</v>
      </c>
    </row>
    <row r="1368" ht="16.5" customHeight="1">
      <c r="O1368" s="5" t="s">
        <v>355</v>
      </c>
      <c r="P1368" s="5" t="s">
        <v>355</v>
      </c>
      <c r="Q1368" s="5" t="s">
        <v>355</v>
      </c>
    </row>
    <row r="1369" ht="16.5" customHeight="1">
      <c r="O1369" s="5" t="s">
        <v>355</v>
      </c>
      <c r="P1369" s="5" t="s">
        <v>355</v>
      </c>
      <c r="Q1369" s="5" t="s">
        <v>355</v>
      </c>
    </row>
    <row r="1370" ht="16.5" customHeight="1">
      <c r="O1370" s="5" t="s">
        <v>355</v>
      </c>
      <c r="P1370" s="5" t="s">
        <v>355</v>
      </c>
      <c r="Q1370" s="5" t="s">
        <v>355</v>
      </c>
    </row>
    <row r="1371" ht="16.5" customHeight="1">
      <c r="O1371" s="5" t="s">
        <v>355</v>
      </c>
      <c r="P1371" s="5" t="s">
        <v>355</v>
      </c>
      <c r="Q1371" s="5" t="s">
        <v>355</v>
      </c>
    </row>
    <row r="1372" ht="16.5" customHeight="1">
      <c r="O1372" s="5" t="s">
        <v>355</v>
      </c>
      <c r="P1372" s="5" t="s">
        <v>355</v>
      </c>
      <c r="Q1372" s="5" t="s">
        <v>355</v>
      </c>
    </row>
    <row r="1373" ht="16.5" customHeight="1">
      <c r="O1373" s="5" t="s">
        <v>355</v>
      </c>
      <c r="P1373" s="5" t="s">
        <v>355</v>
      </c>
      <c r="Q1373" s="5" t="s">
        <v>355</v>
      </c>
    </row>
    <row r="1374" ht="16.5" customHeight="1">
      <c r="O1374" s="5" t="s">
        <v>355</v>
      </c>
      <c r="P1374" s="5" t="s">
        <v>355</v>
      </c>
      <c r="Q1374" s="5" t="s">
        <v>355</v>
      </c>
    </row>
    <row r="1375" ht="16.5" customHeight="1">
      <c r="O1375" s="5" t="s">
        <v>355</v>
      </c>
      <c r="P1375" s="5" t="s">
        <v>355</v>
      </c>
      <c r="Q1375" s="5" t="s">
        <v>355</v>
      </c>
    </row>
    <row r="1376" ht="16.5" customHeight="1">
      <c r="O1376" s="5" t="s">
        <v>355</v>
      </c>
      <c r="P1376" s="5" t="s">
        <v>355</v>
      </c>
      <c r="Q1376" s="5" t="s">
        <v>355</v>
      </c>
    </row>
    <row r="1377" ht="16.5" customHeight="1">
      <c r="O1377" s="5" t="s">
        <v>355</v>
      </c>
      <c r="P1377" s="5" t="s">
        <v>355</v>
      </c>
      <c r="Q1377" s="5" t="s">
        <v>355</v>
      </c>
    </row>
    <row r="1378" ht="16.5" customHeight="1">
      <c r="O1378" s="5" t="s">
        <v>355</v>
      </c>
      <c r="P1378" s="5" t="s">
        <v>355</v>
      </c>
      <c r="Q1378" s="5" t="s">
        <v>355</v>
      </c>
    </row>
    <row r="1379" ht="16.5" customHeight="1">
      <c r="O1379" s="5" t="s">
        <v>355</v>
      </c>
      <c r="P1379" s="5" t="s">
        <v>355</v>
      </c>
      <c r="Q1379" s="5" t="s">
        <v>355</v>
      </c>
    </row>
    <row r="1380" ht="16.5" customHeight="1">
      <c r="O1380" s="5" t="s">
        <v>355</v>
      </c>
      <c r="P1380" s="5" t="s">
        <v>355</v>
      </c>
      <c r="Q1380" s="5" t="s">
        <v>355</v>
      </c>
    </row>
    <row r="1381" ht="16.5" customHeight="1">
      <c r="O1381" s="5" t="s">
        <v>355</v>
      </c>
      <c r="P1381" s="5" t="s">
        <v>355</v>
      </c>
      <c r="Q1381" s="5" t="s">
        <v>355</v>
      </c>
    </row>
    <row r="1382" ht="16.5" customHeight="1">
      <c r="O1382" s="5" t="s">
        <v>355</v>
      </c>
      <c r="P1382" s="5" t="s">
        <v>355</v>
      </c>
      <c r="Q1382" s="5" t="s">
        <v>355</v>
      </c>
    </row>
    <row r="1383" ht="16.5" customHeight="1">
      <c r="O1383" s="5" t="s">
        <v>355</v>
      </c>
      <c r="P1383" s="5" t="s">
        <v>355</v>
      </c>
      <c r="Q1383" s="5" t="s">
        <v>355</v>
      </c>
    </row>
    <row r="1384" ht="16.5" customHeight="1">
      <c r="O1384" s="5" t="s">
        <v>355</v>
      </c>
      <c r="P1384" s="5" t="s">
        <v>355</v>
      </c>
      <c r="Q1384" s="5" t="s">
        <v>355</v>
      </c>
    </row>
    <row r="1385" ht="16.5" customHeight="1">
      <c r="O1385" s="5" t="s">
        <v>355</v>
      </c>
      <c r="P1385" s="5" t="s">
        <v>355</v>
      </c>
      <c r="Q1385" s="5" t="s">
        <v>355</v>
      </c>
    </row>
    <row r="1386" ht="16.5" customHeight="1">
      <c r="O1386" s="5" t="s">
        <v>355</v>
      </c>
      <c r="P1386" s="5" t="s">
        <v>355</v>
      </c>
      <c r="Q1386" s="5" t="s">
        <v>355</v>
      </c>
    </row>
    <row r="1387" ht="16.5" customHeight="1">
      <c r="O1387" s="5" t="s">
        <v>355</v>
      </c>
      <c r="P1387" s="5" t="s">
        <v>355</v>
      </c>
      <c r="Q1387" s="5" t="s">
        <v>355</v>
      </c>
    </row>
    <row r="1388" ht="16.5" customHeight="1">
      <c r="O1388" s="5" t="s">
        <v>355</v>
      </c>
      <c r="P1388" s="5" t="s">
        <v>355</v>
      </c>
      <c r="Q1388" s="5" t="s">
        <v>355</v>
      </c>
    </row>
    <row r="1389" ht="16.5" customHeight="1">
      <c r="O1389" s="5" t="s">
        <v>355</v>
      </c>
      <c r="P1389" s="5" t="s">
        <v>355</v>
      </c>
      <c r="Q1389" s="5" t="s">
        <v>355</v>
      </c>
    </row>
    <row r="1390" ht="16.5" customHeight="1">
      <c r="O1390" s="5" t="s">
        <v>355</v>
      </c>
      <c r="P1390" s="5" t="s">
        <v>355</v>
      </c>
      <c r="Q1390" s="5" t="s">
        <v>355</v>
      </c>
    </row>
    <row r="1391" ht="16.5" customHeight="1">
      <c r="O1391" s="5" t="s">
        <v>355</v>
      </c>
      <c r="P1391" s="5" t="s">
        <v>355</v>
      </c>
      <c r="Q1391" s="5" t="s">
        <v>355</v>
      </c>
    </row>
    <row r="1392" ht="16.5" customHeight="1">
      <c r="O1392" s="5" t="s">
        <v>355</v>
      </c>
      <c r="P1392" s="5" t="s">
        <v>355</v>
      </c>
      <c r="Q1392" s="5" t="s">
        <v>355</v>
      </c>
    </row>
    <row r="1393" ht="16.5" customHeight="1">
      <c r="O1393" s="5" t="s">
        <v>355</v>
      </c>
      <c r="P1393" s="5" t="s">
        <v>355</v>
      </c>
      <c r="Q1393" s="5" t="s">
        <v>355</v>
      </c>
    </row>
    <row r="1394" ht="16.5" customHeight="1">
      <c r="O1394" s="5" t="s">
        <v>355</v>
      </c>
      <c r="P1394" s="5" t="s">
        <v>355</v>
      </c>
      <c r="Q1394" s="5" t="s">
        <v>355</v>
      </c>
    </row>
    <row r="1395" ht="16.5" customHeight="1">
      <c r="O1395" s="5" t="s">
        <v>355</v>
      </c>
      <c r="P1395" s="5" t="s">
        <v>355</v>
      </c>
      <c r="Q1395" s="5" t="s">
        <v>355</v>
      </c>
    </row>
    <row r="1396" ht="16.5" customHeight="1">
      <c r="O1396" s="5" t="s">
        <v>355</v>
      </c>
      <c r="P1396" s="5" t="s">
        <v>355</v>
      </c>
      <c r="Q1396" s="5" t="s">
        <v>355</v>
      </c>
    </row>
    <row r="1397" ht="16.5" customHeight="1">
      <c r="O1397" s="5" t="s">
        <v>355</v>
      </c>
      <c r="P1397" s="5" t="s">
        <v>355</v>
      </c>
      <c r="Q1397" s="5" t="s">
        <v>355</v>
      </c>
    </row>
    <row r="1398" ht="16.5" customHeight="1">
      <c r="O1398" s="5" t="s">
        <v>355</v>
      </c>
      <c r="P1398" s="5" t="s">
        <v>355</v>
      </c>
      <c r="Q1398" s="5" t="s">
        <v>355</v>
      </c>
    </row>
    <row r="1399" ht="16.5" customHeight="1">
      <c r="O1399" s="5" t="s">
        <v>355</v>
      </c>
      <c r="P1399" s="5" t="s">
        <v>355</v>
      </c>
      <c r="Q1399" s="5" t="s">
        <v>355</v>
      </c>
    </row>
    <row r="1400" ht="16.5" customHeight="1">
      <c r="O1400" s="5" t="s">
        <v>355</v>
      </c>
      <c r="P1400" s="5" t="s">
        <v>355</v>
      </c>
      <c r="Q1400" s="5" t="s">
        <v>355</v>
      </c>
    </row>
    <row r="1401" ht="16.5" customHeight="1">
      <c r="O1401" s="5" t="s">
        <v>355</v>
      </c>
      <c r="P1401" s="5" t="s">
        <v>355</v>
      </c>
      <c r="Q1401" s="5" t="s">
        <v>355</v>
      </c>
    </row>
    <row r="1402" ht="16.5" customHeight="1">
      <c r="O1402" s="5" t="s">
        <v>355</v>
      </c>
      <c r="P1402" s="5" t="s">
        <v>355</v>
      </c>
      <c r="Q1402" s="5" t="s">
        <v>355</v>
      </c>
    </row>
    <row r="1403" ht="16.5" customHeight="1">
      <c r="O1403" s="5" t="s">
        <v>355</v>
      </c>
      <c r="P1403" s="5" t="s">
        <v>355</v>
      </c>
      <c r="Q1403" s="5" t="s">
        <v>355</v>
      </c>
    </row>
    <row r="1404" ht="16.5" customHeight="1">
      <c r="O1404" s="5" t="s">
        <v>355</v>
      </c>
      <c r="P1404" s="5" t="s">
        <v>355</v>
      </c>
      <c r="Q1404" s="5" t="s">
        <v>355</v>
      </c>
    </row>
    <row r="1405" ht="16.5" customHeight="1">
      <c r="O1405" s="5" t="s">
        <v>355</v>
      </c>
      <c r="P1405" s="5" t="s">
        <v>355</v>
      </c>
      <c r="Q1405" s="5" t="s">
        <v>355</v>
      </c>
    </row>
    <row r="1406" ht="16.5" customHeight="1">
      <c r="O1406" s="5" t="s">
        <v>355</v>
      </c>
      <c r="P1406" s="5" t="s">
        <v>355</v>
      </c>
      <c r="Q1406" s="5" t="s">
        <v>355</v>
      </c>
    </row>
    <row r="1407" ht="16.5" customHeight="1">
      <c r="O1407" s="5" t="s">
        <v>355</v>
      </c>
      <c r="P1407" s="5" t="s">
        <v>355</v>
      </c>
      <c r="Q1407" s="5" t="s">
        <v>355</v>
      </c>
    </row>
    <row r="1408" ht="16.5" customHeight="1">
      <c r="O1408" s="5" t="s">
        <v>355</v>
      </c>
      <c r="P1408" s="5" t="s">
        <v>355</v>
      </c>
      <c r="Q1408" s="5" t="s">
        <v>355</v>
      </c>
    </row>
    <row r="1409" ht="16.5" customHeight="1">
      <c r="O1409" s="5" t="s">
        <v>355</v>
      </c>
      <c r="P1409" s="5" t="s">
        <v>355</v>
      </c>
      <c r="Q1409" s="5" t="s">
        <v>355</v>
      </c>
    </row>
    <row r="1410" ht="16.5" customHeight="1">
      <c r="O1410" s="5" t="s">
        <v>355</v>
      </c>
      <c r="P1410" s="5" t="s">
        <v>355</v>
      </c>
      <c r="Q1410" s="5" t="s">
        <v>355</v>
      </c>
    </row>
    <row r="1411" ht="16.5" customHeight="1">
      <c r="O1411" s="5" t="s">
        <v>355</v>
      </c>
      <c r="P1411" s="5" t="s">
        <v>355</v>
      </c>
      <c r="Q1411" s="5" t="s">
        <v>355</v>
      </c>
    </row>
    <row r="1412" ht="16.5" customHeight="1">
      <c r="O1412" s="5" t="s">
        <v>355</v>
      </c>
      <c r="P1412" s="5" t="s">
        <v>355</v>
      </c>
      <c r="Q1412" s="5" t="s">
        <v>355</v>
      </c>
    </row>
    <row r="1413" ht="16.5" customHeight="1">
      <c r="O1413" s="5" t="s">
        <v>355</v>
      </c>
      <c r="P1413" s="5" t="s">
        <v>355</v>
      </c>
      <c r="Q1413" s="5" t="s">
        <v>355</v>
      </c>
    </row>
    <row r="1414" ht="16.5" customHeight="1">
      <c r="O1414" s="5" t="s">
        <v>355</v>
      </c>
      <c r="P1414" s="5" t="s">
        <v>355</v>
      </c>
      <c r="Q1414" s="5" t="s">
        <v>355</v>
      </c>
    </row>
    <row r="1415" ht="16.5" customHeight="1">
      <c r="O1415" s="5" t="s">
        <v>355</v>
      </c>
      <c r="P1415" s="5" t="s">
        <v>355</v>
      </c>
      <c r="Q1415" s="5" t="s">
        <v>355</v>
      </c>
    </row>
    <row r="1416" ht="16.5" customHeight="1">
      <c r="O1416" s="5" t="s">
        <v>355</v>
      </c>
      <c r="P1416" s="5" t="s">
        <v>355</v>
      </c>
      <c r="Q1416" s="5" t="s">
        <v>355</v>
      </c>
    </row>
    <row r="1417" ht="16.5" customHeight="1">
      <c r="O1417" s="5" t="s">
        <v>355</v>
      </c>
      <c r="P1417" s="5" t="s">
        <v>355</v>
      </c>
      <c r="Q1417" s="5" t="s">
        <v>355</v>
      </c>
    </row>
    <row r="1418" ht="16.5" customHeight="1">
      <c r="O1418" s="5" t="s">
        <v>355</v>
      </c>
      <c r="P1418" s="5" t="s">
        <v>355</v>
      </c>
      <c r="Q1418" s="5" t="s">
        <v>355</v>
      </c>
    </row>
    <row r="1419" ht="16.5" customHeight="1">
      <c r="O1419" s="5" t="s">
        <v>355</v>
      </c>
      <c r="P1419" s="5" t="s">
        <v>355</v>
      </c>
      <c r="Q1419" s="5" t="s">
        <v>355</v>
      </c>
    </row>
    <row r="1420" ht="16.5" customHeight="1">
      <c r="O1420" s="5" t="s">
        <v>355</v>
      </c>
      <c r="P1420" s="5" t="s">
        <v>355</v>
      </c>
      <c r="Q1420" s="5" t="s">
        <v>355</v>
      </c>
    </row>
    <row r="1421" ht="16.5" customHeight="1">
      <c r="O1421" s="5" t="s">
        <v>355</v>
      </c>
      <c r="P1421" s="5" t="s">
        <v>355</v>
      </c>
      <c r="Q1421" s="5" t="s">
        <v>355</v>
      </c>
    </row>
    <row r="1422" ht="16.5" customHeight="1">
      <c r="O1422" s="5" t="s">
        <v>355</v>
      </c>
      <c r="P1422" s="5" t="s">
        <v>355</v>
      </c>
      <c r="Q1422" s="5" t="s">
        <v>355</v>
      </c>
    </row>
    <row r="1423" ht="16.5" customHeight="1">
      <c r="O1423" s="5" t="s">
        <v>355</v>
      </c>
      <c r="P1423" s="5" t="s">
        <v>355</v>
      </c>
      <c r="Q1423" s="5" t="s">
        <v>355</v>
      </c>
    </row>
    <row r="1424" ht="16.5" customHeight="1">
      <c r="O1424" s="5" t="s">
        <v>355</v>
      </c>
      <c r="P1424" s="5" t="s">
        <v>355</v>
      </c>
      <c r="Q1424" s="5" t="s">
        <v>355</v>
      </c>
    </row>
    <row r="1425" ht="16.5" customHeight="1">
      <c r="O1425" s="5" t="s">
        <v>355</v>
      </c>
      <c r="P1425" s="5" t="s">
        <v>355</v>
      </c>
      <c r="Q1425" s="5" t="s">
        <v>355</v>
      </c>
    </row>
    <row r="1426" ht="16.5" customHeight="1">
      <c r="O1426" s="5" t="s">
        <v>355</v>
      </c>
      <c r="P1426" s="5" t="s">
        <v>355</v>
      </c>
      <c r="Q1426" s="5" t="s">
        <v>355</v>
      </c>
    </row>
    <row r="1427" ht="16.5" customHeight="1">
      <c r="O1427" s="5" t="s">
        <v>355</v>
      </c>
      <c r="P1427" s="5" t="s">
        <v>355</v>
      </c>
      <c r="Q1427" s="5" t="s">
        <v>355</v>
      </c>
    </row>
    <row r="1428" ht="16.5" customHeight="1">
      <c r="O1428" s="5" t="s">
        <v>355</v>
      </c>
      <c r="P1428" s="5" t="s">
        <v>355</v>
      </c>
      <c r="Q1428" s="5" t="s">
        <v>355</v>
      </c>
    </row>
    <row r="1429" ht="16.5" customHeight="1">
      <c r="O1429" s="5" t="s">
        <v>355</v>
      </c>
      <c r="P1429" s="5" t="s">
        <v>355</v>
      </c>
      <c r="Q1429" s="5" t="s">
        <v>355</v>
      </c>
    </row>
    <row r="1430" ht="16.5" customHeight="1">
      <c r="O1430" s="5" t="s">
        <v>355</v>
      </c>
      <c r="P1430" s="5" t="s">
        <v>355</v>
      </c>
      <c r="Q1430" s="5" t="s">
        <v>355</v>
      </c>
    </row>
    <row r="1431" ht="16.5" customHeight="1">
      <c r="O1431" s="5" t="s">
        <v>355</v>
      </c>
      <c r="P1431" s="5" t="s">
        <v>355</v>
      </c>
      <c r="Q1431" s="5" t="s">
        <v>355</v>
      </c>
    </row>
    <row r="1432" ht="16.5" customHeight="1">
      <c r="O1432" s="5" t="s">
        <v>355</v>
      </c>
      <c r="P1432" s="5" t="s">
        <v>355</v>
      </c>
      <c r="Q1432" s="5" t="s">
        <v>355</v>
      </c>
    </row>
    <row r="1433" ht="16.5" customHeight="1">
      <c r="O1433" s="5" t="s">
        <v>355</v>
      </c>
      <c r="P1433" s="5" t="s">
        <v>355</v>
      </c>
      <c r="Q1433" s="5" t="s">
        <v>355</v>
      </c>
    </row>
    <row r="1434" ht="16.5" customHeight="1">
      <c r="O1434" s="5" t="s">
        <v>355</v>
      </c>
      <c r="P1434" s="5" t="s">
        <v>355</v>
      </c>
      <c r="Q1434" s="5" t="s">
        <v>355</v>
      </c>
    </row>
    <row r="1435" ht="16.5" customHeight="1">
      <c r="O1435" s="5" t="s">
        <v>355</v>
      </c>
      <c r="P1435" s="5" t="s">
        <v>355</v>
      </c>
      <c r="Q1435" s="5" t="s">
        <v>355</v>
      </c>
    </row>
    <row r="1436" ht="16.5" customHeight="1">
      <c r="O1436" s="5" t="s">
        <v>355</v>
      </c>
      <c r="P1436" s="5" t="s">
        <v>355</v>
      </c>
      <c r="Q1436" s="5" t="s">
        <v>355</v>
      </c>
    </row>
    <row r="1437" ht="16.5" customHeight="1">
      <c r="O1437" s="5" t="s">
        <v>355</v>
      </c>
      <c r="P1437" s="5" t="s">
        <v>355</v>
      </c>
      <c r="Q1437" s="5" t="s">
        <v>355</v>
      </c>
    </row>
    <row r="1438" ht="16.5" customHeight="1">
      <c r="O1438" s="5" t="s">
        <v>355</v>
      </c>
      <c r="P1438" s="5" t="s">
        <v>355</v>
      </c>
      <c r="Q1438" s="5" t="s">
        <v>355</v>
      </c>
    </row>
    <row r="1439" ht="16.5" customHeight="1">
      <c r="O1439" s="5" t="s">
        <v>355</v>
      </c>
      <c r="P1439" s="5" t="s">
        <v>355</v>
      </c>
      <c r="Q1439" s="5" t="s">
        <v>355</v>
      </c>
    </row>
    <row r="1440" ht="16.5" customHeight="1">
      <c r="O1440" s="5" t="s">
        <v>355</v>
      </c>
      <c r="P1440" s="5" t="s">
        <v>355</v>
      </c>
      <c r="Q1440" s="5" t="s">
        <v>355</v>
      </c>
    </row>
    <row r="1441" ht="16.5" customHeight="1">
      <c r="O1441" s="5" t="s">
        <v>355</v>
      </c>
      <c r="P1441" s="5" t="s">
        <v>355</v>
      </c>
      <c r="Q1441" s="5" t="s">
        <v>355</v>
      </c>
    </row>
    <row r="1442" ht="16.5" customHeight="1">
      <c r="O1442" s="5" t="s">
        <v>355</v>
      </c>
      <c r="P1442" s="5" t="s">
        <v>355</v>
      </c>
      <c r="Q1442" s="5" t="s">
        <v>355</v>
      </c>
    </row>
    <row r="1443" ht="16.5" customHeight="1">
      <c r="O1443" s="5" t="s">
        <v>355</v>
      </c>
      <c r="P1443" s="5" t="s">
        <v>355</v>
      </c>
      <c r="Q1443" s="5" t="s">
        <v>355</v>
      </c>
    </row>
    <row r="1444" ht="16.5" customHeight="1">
      <c r="O1444" s="5" t="s">
        <v>355</v>
      </c>
      <c r="P1444" s="5" t="s">
        <v>355</v>
      </c>
      <c r="Q1444" s="5" t="s">
        <v>355</v>
      </c>
    </row>
    <row r="1445" ht="16.5" customHeight="1">
      <c r="O1445" s="5" t="s">
        <v>355</v>
      </c>
      <c r="P1445" s="5" t="s">
        <v>355</v>
      </c>
      <c r="Q1445" s="5" t="s">
        <v>355</v>
      </c>
    </row>
    <row r="1446" ht="16.5" customHeight="1">
      <c r="O1446" s="5" t="s">
        <v>355</v>
      </c>
      <c r="P1446" s="5" t="s">
        <v>355</v>
      </c>
      <c r="Q1446" s="5" t="s">
        <v>355</v>
      </c>
    </row>
    <row r="1447" ht="16.5" customHeight="1">
      <c r="O1447" s="5" t="s">
        <v>355</v>
      </c>
      <c r="P1447" s="5" t="s">
        <v>355</v>
      </c>
      <c r="Q1447" s="5" t="s">
        <v>355</v>
      </c>
    </row>
    <row r="1448" ht="16.5" customHeight="1">
      <c r="O1448" s="5" t="s">
        <v>355</v>
      </c>
      <c r="P1448" s="5" t="s">
        <v>355</v>
      </c>
      <c r="Q1448" s="5" t="s">
        <v>355</v>
      </c>
    </row>
    <row r="1449" ht="16.5" customHeight="1">
      <c r="O1449" s="5" t="s">
        <v>355</v>
      </c>
      <c r="P1449" s="5" t="s">
        <v>355</v>
      </c>
      <c r="Q1449" s="5" t="s">
        <v>355</v>
      </c>
    </row>
    <row r="1450" ht="16.5" customHeight="1">
      <c r="O1450" s="5" t="s">
        <v>355</v>
      </c>
      <c r="P1450" s="5" t="s">
        <v>355</v>
      </c>
      <c r="Q1450" s="5" t="s">
        <v>355</v>
      </c>
    </row>
    <row r="1451" ht="16.5" customHeight="1">
      <c r="O1451" s="5" t="s">
        <v>355</v>
      </c>
      <c r="P1451" s="5" t="s">
        <v>355</v>
      </c>
      <c r="Q1451" s="5" t="s">
        <v>355</v>
      </c>
    </row>
    <row r="1452" ht="16.5" customHeight="1">
      <c r="O1452" s="5" t="s">
        <v>355</v>
      </c>
      <c r="P1452" s="5" t="s">
        <v>355</v>
      </c>
      <c r="Q1452" s="5" t="s">
        <v>355</v>
      </c>
    </row>
    <row r="1453" ht="16.5" customHeight="1">
      <c r="O1453" s="5" t="s">
        <v>355</v>
      </c>
      <c r="P1453" s="5" t="s">
        <v>355</v>
      </c>
      <c r="Q1453" s="5" t="s">
        <v>355</v>
      </c>
    </row>
    <row r="1454" ht="16.5" customHeight="1">
      <c r="O1454" s="5" t="s">
        <v>355</v>
      </c>
      <c r="P1454" s="5" t="s">
        <v>355</v>
      </c>
      <c r="Q1454" s="5" t="s">
        <v>355</v>
      </c>
    </row>
    <row r="1455" ht="16.5" customHeight="1">
      <c r="O1455" s="5" t="s">
        <v>355</v>
      </c>
      <c r="P1455" s="5" t="s">
        <v>355</v>
      </c>
      <c r="Q1455" s="5" t="s">
        <v>355</v>
      </c>
    </row>
    <row r="1456" ht="16.5" customHeight="1">
      <c r="O1456" s="5" t="s">
        <v>355</v>
      </c>
      <c r="P1456" s="5" t="s">
        <v>355</v>
      </c>
      <c r="Q1456" s="5" t="s">
        <v>355</v>
      </c>
    </row>
    <row r="1457" ht="16.5" customHeight="1">
      <c r="O1457" s="5" t="s">
        <v>355</v>
      </c>
      <c r="P1457" s="5" t="s">
        <v>355</v>
      </c>
      <c r="Q1457" s="5" t="s">
        <v>355</v>
      </c>
    </row>
    <row r="1458" ht="16.5" customHeight="1">
      <c r="O1458" s="5" t="s">
        <v>355</v>
      </c>
      <c r="P1458" s="5" t="s">
        <v>355</v>
      </c>
      <c r="Q1458" s="5" t="s">
        <v>355</v>
      </c>
    </row>
    <row r="1459" ht="16.5" customHeight="1">
      <c r="O1459" s="5" t="s">
        <v>355</v>
      </c>
      <c r="P1459" s="5" t="s">
        <v>355</v>
      </c>
      <c r="Q1459" s="5" t="s">
        <v>355</v>
      </c>
    </row>
    <row r="1460" ht="16.5" customHeight="1">
      <c r="O1460" s="5" t="s">
        <v>355</v>
      </c>
      <c r="P1460" s="5" t="s">
        <v>355</v>
      </c>
      <c r="Q1460" s="5" t="s">
        <v>355</v>
      </c>
    </row>
    <row r="1461" ht="16.5" customHeight="1">
      <c r="O1461" s="5" t="s">
        <v>355</v>
      </c>
      <c r="P1461" s="5" t="s">
        <v>355</v>
      </c>
      <c r="Q1461" s="5" t="s">
        <v>355</v>
      </c>
    </row>
    <row r="1462" ht="16.5" customHeight="1">
      <c r="O1462" s="5" t="s">
        <v>355</v>
      </c>
      <c r="P1462" s="5" t="s">
        <v>355</v>
      </c>
      <c r="Q1462" s="5" t="s">
        <v>355</v>
      </c>
    </row>
    <row r="1463" ht="16.5" customHeight="1">
      <c r="O1463" s="5" t="s">
        <v>355</v>
      </c>
      <c r="P1463" s="5" t="s">
        <v>355</v>
      </c>
      <c r="Q1463" s="5" t="s">
        <v>355</v>
      </c>
    </row>
    <row r="1464" ht="16.5" customHeight="1">
      <c r="O1464" s="5" t="s">
        <v>355</v>
      </c>
      <c r="P1464" s="5" t="s">
        <v>355</v>
      </c>
      <c r="Q1464" s="5" t="s">
        <v>355</v>
      </c>
    </row>
    <row r="1465" ht="16.5" customHeight="1">
      <c r="O1465" s="5" t="s">
        <v>355</v>
      </c>
      <c r="P1465" s="5" t="s">
        <v>355</v>
      </c>
      <c r="Q1465" s="5" t="s">
        <v>355</v>
      </c>
    </row>
    <row r="1466" ht="16.5" customHeight="1">
      <c r="O1466" s="5" t="s">
        <v>355</v>
      </c>
      <c r="P1466" s="5" t="s">
        <v>355</v>
      </c>
      <c r="Q1466" s="5" t="s">
        <v>355</v>
      </c>
    </row>
    <row r="1467" ht="16.5" customHeight="1">
      <c r="O1467" s="5" t="s">
        <v>355</v>
      </c>
      <c r="P1467" s="5" t="s">
        <v>355</v>
      </c>
      <c r="Q1467" s="5" t="s">
        <v>355</v>
      </c>
    </row>
    <row r="1468" ht="16.5" customHeight="1">
      <c r="O1468" s="5" t="s">
        <v>355</v>
      </c>
      <c r="P1468" s="5" t="s">
        <v>355</v>
      </c>
      <c r="Q1468" s="5" t="s">
        <v>355</v>
      </c>
    </row>
    <row r="1469" ht="16.5" customHeight="1">
      <c r="O1469" s="5" t="s">
        <v>355</v>
      </c>
      <c r="P1469" s="5" t="s">
        <v>355</v>
      </c>
      <c r="Q1469" s="5" t="s">
        <v>355</v>
      </c>
    </row>
    <row r="1470" ht="16.5" customHeight="1">
      <c r="O1470" s="5" t="s">
        <v>355</v>
      </c>
      <c r="P1470" s="5" t="s">
        <v>355</v>
      </c>
      <c r="Q1470" s="5" t="s">
        <v>355</v>
      </c>
    </row>
    <row r="1471" ht="16.5" customHeight="1">
      <c r="O1471" s="5" t="s">
        <v>355</v>
      </c>
      <c r="P1471" s="5" t="s">
        <v>355</v>
      </c>
      <c r="Q1471" s="5" t="s">
        <v>355</v>
      </c>
    </row>
    <row r="1472" ht="16.5" customHeight="1">
      <c r="O1472" s="5" t="s">
        <v>355</v>
      </c>
      <c r="P1472" s="5" t="s">
        <v>355</v>
      </c>
      <c r="Q1472" s="5" t="s">
        <v>355</v>
      </c>
    </row>
    <row r="1473" ht="16.5" customHeight="1">
      <c r="O1473" s="5" t="s">
        <v>355</v>
      </c>
      <c r="P1473" s="5" t="s">
        <v>355</v>
      </c>
      <c r="Q1473" s="5" t="s">
        <v>355</v>
      </c>
    </row>
    <row r="1474" ht="16.5" customHeight="1">
      <c r="O1474" s="5" t="s">
        <v>355</v>
      </c>
      <c r="P1474" s="5" t="s">
        <v>355</v>
      </c>
      <c r="Q1474" s="5" t="s">
        <v>355</v>
      </c>
    </row>
    <row r="1475" ht="16.5" customHeight="1">
      <c r="O1475" s="5" t="s">
        <v>355</v>
      </c>
      <c r="P1475" s="5" t="s">
        <v>355</v>
      </c>
      <c r="Q1475" s="5" t="s">
        <v>355</v>
      </c>
    </row>
    <row r="1476" ht="16.5" customHeight="1">
      <c r="O1476" s="5" t="s">
        <v>355</v>
      </c>
      <c r="P1476" s="5" t="s">
        <v>355</v>
      </c>
      <c r="Q1476" s="5" t="s">
        <v>355</v>
      </c>
    </row>
    <row r="1477" ht="16.5" customHeight="1">
      <c r="O1477" s="5" t="s">
        <v>355</v>
      </c>
      <c r="P1477" s="5" t="s">
        <v>355</v>
      </c>
      <c r="Q1477" s="5" t="s">
        <v>355</v>
      </c>
    </row>
    <row r="1478" ht="16.5" customHeight="1">
      <c r="O1478" s="5" t="s">
        <v>355</v>
      </c>
      <c r="P1478" s="5" t="s">
        <v>355</v>
      </c>
      <c r="Q1478" s="5" t="s">
        <v>355</v>
      </c>
    </row>
    <row r="1479" ht="16.5" customHeight="1">
      <c r="O1479" s="5" t="s">
        <v>355</v>
      </c>
      <c r="P1479" s="5" t="s">
        <v>355</v>
      </c>
      <c r="Q1479" s="5" t="s">
        <v>355</v>
      </c>
    </row>
    <row r="1480" ht="16.5" customHeight="1">
      <c r="O1480" s="5" t="s">
        <v>355</v>
      </c>
      <c r="P1480" s="5" t="s">
        <v>355</v>
      </c>
      <c r="Q1480" s="5" t="s">
        <v>355</v>
      </c>
    </row>
    <row r="1481" ht="16.5" customHeight="1">
      <c r="O1481" s="5" t="s">
        <v>355</v>
      </c>
      <c r="P1481" s="5" t="s">
        <v>355</v>
      </c>
      <c r="Q1481" s="5" t="s">
        <v>355</v>
      </c>
    </row>
    <row r="1482" ht="16.5" customHeight="1">
      <c r="O1482" s="5" t="s">
        <v>355</v>
      </c>
      <c r="P1482" s="5" t="s">
        <v>355</v>
      </c>
      <c r="Q1482" s="5" t="s">
        <v>355</v>
      </c>
    </row>
    <row r="1483" ht="16.5" customHeight="1">
      <c r="O1483" s="5" t="s">
        <v>355</v>
      </c>
      <c r="P1483" s="5" t="s">
        <v>355</v>
      </c>
      <c r="Q1483" s="5" t="s">
        <v>355</v>
      </c>
    </row>
    <row r="1484" ht="16.5" customHeight="1">
      <c r="O1484" s="5" t="s">
        <v>355</v>
      </c>
      <c r="P1484" s="5" t="s">
        <v>355</v>
      </c>
      <c r="Q1484" s="5" t="s">
        <v>355</v>
      </c>
    </row>
    <row r="1485" ht="16.5" customHeight="1">
      <c r="O1485" s="5" t="s">
        <v>355</v>
      </c>
      <c r="P1485" s="5" t="s">
        <v>355</v>
      </c>
      <c r="Q1485" s="5" t="s">
        <v>355</v>
      </c>
    </row>
    <row r="1486" ht="16.5" customHeight="1">
      <c r="O1486" s="5" t="s">
        <v>355</v>
      </c>
      <c r="P1486" s="5" t="s">
        <v>355</v>
      </c>
      <c r="Q1486" s="5" t="s">
        <v>355</v>
      </c>
    </row>
    <row r="1487" ht="16.5" customHeight="1">
      <c r="O1487" s="5" t="s">
        <v>355</v>
      </c>
      <c r="P1487" s="5" t="s">
        <v>355</v>
      </c>
      <c r="Q1487" s="5" t="s">
        <v>355</v>
      </c>
    </row>
    <row r="1488" ht="16.5" customHeight="1">
      <c r="O1488" s="5" t="s">
        <v>355</v>
      </c>
      <c r="P1488" s="5" t="s">
        <v>355</v>
      </c>
      <c r="Q1488" s="5" t="s">
        <v>355</v>
      </c>
    </row>
    <row r="1489" ht="16.5" customHeight="1">
      <c r="O1489" s="5" t="s">
        <v>355</v>
      </c>
      <c r="P1489" s="5" t="s">
        <v>355</v>
      </c>
      <c r="Q1489" s="5" t="s">
        <v>355</v>
      </c>
    </row>
    <row r="1490" ht="16.5" customHeight="1">
      <c r="O1490" s="5" t="s">
        <v>355</v>
      </c>
      <c r="P1490" s="5" t="s">
        <v>355</v>
      </c>
      <c r="Q1490" s="5" t="s">
        <v>355</v>
      </c>
    </row>
    <row r="1491" ht="16.5" customHeight="1">
      <c r="O1491" s="5" t="s">
        <v>355</v>
      </c>
      <c r="P1491" s="5" t="s">
        <v>355</v>
      </c>
      <c r="Q1491" s="5" t="s">
        <v>355</v>
      </c>
    </row>
    <row r="1492" ht="16.5" customHeight="1">
      <c r="O1492" s="5" t="s">
        <v>355</v>
      </c>
      <c r="P1492" s="5" t="s">
        <v>355</v>
      </c>
      <c r="Q1492" s="5" t="s">
        <v>355</v>
      </c>
    </row>
    <row r="1493" ht="16.5" customHeight="1">
      <c r="O1493" s="5" t="s">
        <v>355</v>
      </c>
      <c r="P1493" s="5" t="s">
        <v>355</v>
      </c>
      <c r="Q1493" s="5" t="s">
        <v>355</v>
      </c>
    </row>
    <row r="1494" ht="16.5" customHeight="1">
      <c r="O1494" s="5" t="s">
        <v>355</v>
      </c>
      <c r="P1494" s="5" t="s">
        <v>355</v>
      </c>
      <c r="Q1494" s="5" t="s">
        <v>355</v>
      </c>
    </row>
    <row r="1495" ht="16.5" customHeight="1">
      <c r="O1495" s="5" t="s">
        <v>355</v>
      </c>
      <c r="P1495" s="5" t="s">
        <v>355</v>
      </c>
      <c r="Q1495" s="5" t="s">
        <v>355</v>
      </c>
    </row>
    <row r="1496" ht="16.5" customHeight="1">
      <c r="O1496" s="5" t="s">
        <v>355</v>
      </c>
      <c r="P1496" s="5" t="s">
        <v>355</v>
      </c>
      <c r="Q1496" s="5" t="s">
        <v>355</v>
      </c>
    </row>
    <row r="1497" ht="16.5" customHeight="1">
      <c r="O1497" s="5" t="s">
        <v>355</v>
      </c>
      <c r="P1497" s="5" t="s">
        <v>355</v>
      </c>
      <c r="Q1497" s="5" t="s">
        <v>355</v>
      </c>
    </row>
    <row r="1498" ht="16.5" customHeight="1">
      <c r="O1498" s="5" t="s">
        <v>355</v>
      </c>
      <c r="P1498" s="5" t="s">
        <v>355</v>
      </c>
      <c r="Q1498" s="5" t="s">
        <v>355</v>
      </c>
    </row>
    <row r="1499" ht="16.5" customHeight="1">
      <c r="O1499" s="5" t="s">
        <v>355</v>
      </c>
      <c r="P1499" s="5" t="s">
        <v>355</v>
      </c>
      <c r="Q1499" s="5" t="s">
        <v>355</v>
      </c>
    </row>
    <row r="1500" ht="16.5" customHeight="1">
      <c r="O1500" s="5" t="s">
        <v>355</v>
      </c>
      <c r="P1500" s="5" t="s">
        <v>355</v>
      </c>
      <c r="Q1500" s="5" t="s">
        <v>355</v>
      </c>
    </row>
    <row r="1501" ht="16.5" customHeight="1">
      <c r="O1501" s="5" t="s">
        <v>355</v>
      </c>
      <c r="P1501" s="5" t="s">
        <v>355</v>
      </c>
      <c r="Q1501" s="5" t="s">
        <v>355</v>
      </c>
    </row>
    <row r="1502" ht="16.5" customHeight="1">
      <c r="O1502" s="5" t="s">
        <v>355</v>
      </c>
      <c r="P1502" s="5" t="s">
        <v>355</v>
      </c>
      <c r="Q1502" s="5" t="s">
        <v>355</v>
      </c>
    </row>
    <row r="1503" ht="16.5" customHeight="1">
      <c r="O1503" s="5" t="s">
        <v>355</v>
      </c>
      <c r="P1503" s="5" t="s">
        <v>355</v>
      </c>
      <c r="Q1503" s="5" t="s">
        <v>355</v>
      </c>
    </row>
    <row r="1504" ht="16.5" customHeight="1">
      <c r="O1504" s="5" t="s">
        <v>355</v>
      </c>
      <c r="P1504" s="5" t="s">
        <v>355</v>
      </c>
      <c r="Q1504" s="5" t="s">
        <v>355</v>
      </c>
    </row>
    <row r="1505" ht="16.5" customHeight="1">
      <c r="O1505" s="5" t="s">
        <v>355</v>
      </c>
      <c r="P1505" s="5" t="s">
        <v>355</v>
      </c>
      <c r="Q1505" s="5" t="s">
        <v>355</v>
      </c>
    </row>
    <row r="1506" ht="16.5" customHeight="1">
      <c r="O1506" s="5" t="s">
        <v>355</v>
      </c>
      <c r="P1506" s="5" t="s">
        <v>355</v>
      </c>
      <c r="Q1506" s="5" t="s">
        <v>355</v>
      </c>
    </row>
    <row r="1507" ht="16.5" customHeight="1">
      <c r="O1507" s="5" t="s">
        <v>355</v>
      </c>
      <c r="P1507" s="5" t="s">
        <v>355</v>
      </c>
      <c r="Q1507" s="5" t="s">
        <v>355</v>
      </c>
    </row>
    <row r="1508" ht="16.5" customHeight="1">
      <c r="O1508" s="5" t="s">
        <v>355</v>
      </c>
      <c r="P1508" s="5" t="s">
        <v>355</v>
      </c>
      <c r="Q1508" s="5" t="s">
        <v>355</v>
      </c>
    </row>
    <row r="1509" ht="16.5" customHeight="1">
      <c r="O1509" s="5" t="s">
        <v>355</v>
      </c>
      <c r="P1509" s="5" t="s">
        <v>355</v>
      </c>
      <c r="Q1509" s="5" t="s">
        <v>355</v>
      </c>
    </row>
    <row r="1510" ht="16.5" customHeight="1">
      <c r="O1510" s="5" t="s">
        <v>355</v>
      </c>
      <c r="P1510" s="5" t="s">
        <v>355</v>
      </c>
      <c r="Q1510" s="5" t="s">
        <v>355</v>
      </c>
    </row>
    <row r="1511" ht="16.5" customHeight="1">
      <c r="O1511" s="5" t="s">
        <v>355</v>
      </c>
      <c r="P1511" s="5" t="s">
        <v>355</v>
      </c>
      <c r="Q1511" s="5" t="s">
        <v>355</v>
      </c>
    </row>
    <row r="1512" ht="16.5" customHeight="1">
      <c r="O1512" s="5" t="s">
        <v>355</v>
      </c>
      <c r="P1512" s="5" t="s">
        <v>355</v>
      </c>
      <c r="Q1512" s="5" t="s">
        <v>355</v>
      </c>
    </row>
    <row r="1513" ht="16.5" customHeight="1">
      <c r="O1513" s="5" t="s">
        <v>355</v>
      </c>
      <c r="P1513" s="5" t="s">
        <v>355</v>
      </c>
      <c r="Q1513" s="5" t="s">
        <v>355</v>
      </c>
    </row>
    <row r="1514" ht="16.5" customHeight="1">
      <c r="O1514" s="5" t="s">
        <v>355</v>
      </c>
      <c r="P1514" s="5" t="s">
        <v>355</v>
      </c>
      <c r="Q1514" s="5" t="s">
        <v>355</v>
      </c>
    </row>
    <row r="1515" ht="16.5" customHeight="1">
      <c r="O1515" s="5" t="s">
        <v>355</v>
      </c>
      <c r="P1515" s="5" t="s">
        <v>355</v>
      </c>
      <c r="Q1515" s="5" t="s">
        <v>355</v>
      </c>
    </row>
    <row r="1516" ht="16.5" customHeight="1">
      <c r="O1516" s="5" t="s">
        <v>355</v>
      </c>
      <c r="P1516" s="5" t="s">
        <v>355</v>
      </c>
      <c r="Q1516" s="5" t="s">
        <v>355</v>
      </c>
    </row>
    <row r="1517" ht="16.5" customHeight="1">
      <c r="O1517" s="5" t="s">
        <v>355</v>
      </c>
      <c r="P1517" s="5" t="s">
        <v>355</v>
      </c>
      <c r="Q1517" s="5" t="s">
        <v>355</v>
      </c>
    </row>
    <row r="1518" ht="16.5" customHeight="1">
      <c r="O1518" s="5" t="s">
        <v>355</v>
      </c>
      <c r="P1518" s="5" t="s">
        <v>355</v>
      </c>
      <c r="Q1518" s="5" t="s">
        <v>355</v>
      </c>
    </row>
    <row r="1519" ht="16.5" customHeight="1">
      <c r="O1519" s="5" t="s">
        <v>355</v>
      </c>
      <c r="P1519" s="5" t="s">
        <v>355</v>
      </c>
      <c r="Q1519" s="5" t="s">
        <v>355</v>
      </c>
    </row>
    <row r="1520" ht="16.5" customHeight="1">
      <c r="O1520" s="5" t="s">
        <v>355</v>
      </c>
      <c r="P1520" s="5" t="s">
        <v>355</v>
      </c>
      <c r="Q1520" s="5" t="s">
        <v>355</v>
      </c>
    </row>
    <row r="1521" ht="16.5" customHeight="1">
      <c r="O1521" s="5" t="s">
        <v>355</v>
      </c>
      <c r="P1521" s="5" t="s">
        <v>355</v>
      </c>
      <c r="Q1521" s="5" t="s">
        <v>355</v>
      </c>
    </row>
    <row r="1522" ht="16.5" customHeight="1">
      <c r="O1522" s="5" t="s">
        <v>355</v>
      </c>
      <c r="P1522" s="5" t="s">
        <v>355</v>
      </c>
      <c r="Q1522" s="5" t="s">
        <v>355</v>
      </c>
    </row>
    <row r="1523" ht="16.5" customHeight="1">
      <c r="O1523" s="5" t="s">
        <v>355</v>
      </c>
      <c r="P1523" s="5" t="s">
        <v>355</v>
      </c>
      <c r="Q1523" s="5" t="s">
        <v>355</v>
      </c>
    </row>
    <row r="1524" ht="16.5" customHeight="1">
      <c r="O1524" s="5" t="s">
        <v>355</v>
      </c>
      <c r="P1524" s="5" t="s">
        <v>355</v>
      </c>
      <c r="Q1524" s="5" t="s">
        <v>355</v>
      </c>
    </row>
    <row r="1525" ht="16.5" customHeight="1">
      <c r="O1525" s="5" t="s">
        <v>355</v>
      </c>
      <c r="P1525" s="5" t="s">
        <v>355</v>
      </c>
      <c r="Q1525" s="5" t="s">
        <v>355</v>
      </c>
    </row>
    <row r="1526" ht="16.5" customHeight="1">
      <c r="O1526" s="5" t="s">
        <v>355</v>
      </c>
      <c r="P1526" s="5" t="s">
        <v>355</v>
      </c>
      <c r="Q1526" s="5" t="s">
        <v>355</v>
      </c>
    </row>
    <row r="1527" ht="16.5" customHeight="1">
      <c r="O1527" s="5" t="s">
        <v>355</v>
      </c>
      <c r="P1527" s="5" t="s">
        <v>355</v>
      </c>
      <c r="Q1527" s="5" t="s">
        <v>355</v>
      </c>
    </row>
    <row r="1528" ht="16.5" customHeight="1">
      <c r="O1528" s="5" t="s">
        <v>355</v>
      </c>
      <c r="P1528" s="5" t="s">
        <v>355</v>
      </c>
      <c r="Q1528" s="5" t="s">
        <v>355</v>
      </c>
    </row>
    <row r="1529" ht="16.5" customHeight="1">
      <c r="O1529" s="5" t="s">
        <v>355</v>
      </c>
      <c r="P1529" s="5" t="s">
        <v>355</v>
      </c>
      <c r="Q1529" s="5" t="s">
        <v>355</v>
      </c>
    </row>
    <row r="1530" ht="16.5" customHeight="1">
      <c r="O1530" s="5" t="s">
        <v>355</v>
      </c>
      <c r="P1530" s="5" t="s">
        <v>355</v>
      </c>
      <c r="Q1530" s="5" t="s">
        <v>355</v>
      </c>
    </row>
    <row r="1531" ht="16.5" customHeight="1">
      <c r="O1531" s="5" t="s">
        <v>355</v>
      </c>
      <c r="P1531" s="5" t="s">
        <v>355</v>
      </c>
      <c r="Q1531" s="5" t="s">
        <v>355</v>
      </c>
    </row>
    <row r="1532" ht="16.5" customHeight="1">
      <c r="O1532" s="5" t="s">
        <v>355</v>
      </c>
      <c r="P1532" s="5" t="s">
        <v>355</v>
      </c>
      <c r="Q1532" s="5" t="s">
        <v>355</v>
      </c>
    </row>
    <row r="1533" ht="16.5" customHeight="1">
      <c r="O1533" s="5" t="s">
        <v>355</v>
      </c>
      <c r="P1533" s="5" t="s">
        <v>355</v>
      </c>
      <c r="Q1533" s="5" t="s">
        <v>355</v>
      </c>
    </row>
    <row r="1534" ht="16.5" customHeight="1">
      <c r="O1534" s="5" t="s">
        <v>355</v>
      </c>
      <c r="P1534" s="5" t="s">
        <v>355</v>
      </c>
      <c r="Q1534" s="5" t="s">
        <v>355</v>
      </c>
    </row>
    <row r="1535" ht="16.5" customHeight="1">
      <c r="O1535" s="5" t="s">
        <v>355</v>
      </c>
      <c r="P1535" s="5" t="s">
        <v>355</v>
      </c>
      <c r="Q1535" s="5" t="s">
        <v>355</v>
      </c>
    </row>
    <row r="1536" ht="16.5" customHeight="1">
      <c r="O1536" s="5" t="s">
        <v>355</v>
      </c>
      <c r="P1536" s="5" t="s">
        <v>355</v>
      </c>
      <c r="Q1536" s="5" t="s">
        <v>355</v>
      </c>
    </row>
    <row r="1537" ht="16.5" customHeight="1">
      <c r="O1537" s="5" t="s">
        <v>355</v>
      </c>
      <c r="P1537" s="5" t="s">
        <v>355</v>
      </c>
      <c r="Q1537" s="5" t="s">
        <v>355</v>
      </c>
    </row>
    <row r="1538" ht="16.5" customHeight="1">
      <c r="O1538" s="5" t="s">
        <v>355</v>
      </c>
      <c r="P1538" s="5" t="s">
        <v>355</v>
      </c>
      <c r="Q1538" s="5" t="s">
        <v>355</v>
      </c>
    </row>
    <row r="1539" ht="16.5" customHeight="1">
      <c r="O1539" s="5" t="s">
        <v>355</v>
      </c>
      <c r="P1539" s="5" t="s">
        <v>355</v>
      </c>
      <c r="Q1539" s="5" t="s">
        <v>355</v>
      </c>
    </row>
    <row r="1540" ht="16.5" customHeight="1">
      <c r="O1540" s="5" t="s">
        <v>355</v>
      </c>
      <c r="P1540" s="5" t="s">
        <v>355</v>
      </c>
      <c r="Q1540" s="5" t="s">
        <v>355</v>
      </c>
    </row>
    <row r="1541" ht="16.5" customHeight="1">
      <c r="O1541" s="5" t="s">
        <v>355</v>
      </c>
      <c r="P1541" s="5" t="s">
        <v>355</v>
      </c>
      <c r="Q1541" s="5" t="s">
        <v>355</v>
      </c>
    </row>
    <row r="1542" ht="16.5" customHeight="1">
      <c r="O1542" s="5" t="s">
        <v>355</v>
      </c>
      <c r="P1542" s="5" t="s">
        <v>355</v>
      </c>
      <c r="Q1542" s="5" t="s">
        <v>355</v>
      </c>
    </row>
    <row r="1543" ht="16.5" customHeight="1">
      <c r="O1543" s="5" t="s">
        <v>355</v>
      </c>
      <c r="P1543" s="5" t="s">
        <v>355</v>
      </c>
      <c r="Q1543" s="5" t="s">
        <v>355</v>
      </c>
    </row>
    <row r="1544" ht="16.5" customHeight="1">
      <c r="O1544" s="5" t="s">
        <v>355</v>
      </c>
      <c r="P1544" s="5" t="s">
        <v>355</v>
      </c>
      <c r="Q1544" s="5" t="s">
        <v>355</v>
      </c>
    </row>
    <row r="1545" ht="16.5" customHeight="1">
      <c r="O1545" s="5" t="s">
        <v>355</v>
      </c>
      <c r="P1545" s="5" t="s">
        <v>355</v>
      </c>
      <c r="Q1545" s="5" t="s">
        <v>355</v>
      </c>
    </row>
    <row r="1546" ht="16.5" customHeight="1">
      <c r="O1546" s="5" t="s">
        <v>355</v>
      </c>
      <c r="P1546" s="5" t="s">
        <v>355</v>
      </c>
      <c r="Q1546" s="5" t="s">
        <v>355</v>
      </c>
    </row>
    <row r="1547" ht="16.5" customHeight="1">
      <c r="O1547" s="5" t="s">
        <v>355</v>
      </c>
      <c r="P1547" s="5" t="s">
        <v>355</v>
      </c>
      <c r="Q1547" s="5" t="s">
        <v>355</v>
      </c>
    </row>
    <row r="1548" ht="16.5" customHeight="1">
      <c r="O1548" s="5" t="s">
        <v>355</v>
      </c>
      <c r="P1548" s="5" t="s">
        <v>355</v>
      </c>
      <c r="Q1548" s="5" t="s">
        <v>355</v>
      </c>
    </row>
    <row r="1549" ht="16.5" customHeight="1">
      <c r="O1549" s="5" t="s">
        <v>355</v>
      </c>
      <c r="P1549" s="5" t="s">
        <v>355</v>
      </c>
      <c r="Q1549" s="5" t="s">
        <v>355</v>
      </c>
    </row>
    <row r="1550" ht="16.5" customHeight="1">
      <c r="O1550" s="5" t="s">
        <v>355</v>
      </c>
      <c r="P1550" s="5" t="s">
        <v>355</v>
      </c>
      <c r="Q1550" s="5" t="s">
        <v>355</v>
      </c>
    </row>
    <row r="1551" ht="16.5" customHeight="1">
      <c r="O1551" s="5" t="s">
        <v>355</v>
      </c>
      <c r="P1551" s="5" t="s">
        <v>355</v>
      </c>
      <c r="Q1551" s="5" t="s">
        <v>355</v>
      </c>
    </row>
    <row r="1552" ht="16.5" customHeight="1">
      <c r="O1552" s="5" t="s">
        <v>355</v>
      </c>
      <c r="P1552" s="5" t="s">
        <v>355</v>
      </c>
      <c r="Q1552" s="5" t="s">
        <v>355</v>
      </c>
    </row>
    <row r="1553" ht="16.5" customHeight="1">
      <c r="O1553" s="5" t="s">
        <v>355</v>
      </c>
      <c r="P1553" s="5" t="s">
        <v>355</v>
      </c>
      <c r="Q1553" s="5" t="s">
        <v>355</v>
      </c>
    </row>
    <row r="1554" ht="16.5" customHeight="1">
      <c r="O1554" s="5" t="s">
        <v>355</v>
      </c>
      <c r="P1554" s="5" t="s">
        <v>355</v>
      </c>
      <c r="Q1554" s="5" t="s">
        <v>355</v>
      </c>
    </row>
    <row r="1555" ht="16.5" customHeight="1">
      <c r="O1555" s="5" t="s">
        <v>355</v>
      </c>
      <c r="P1555" s="5" t="s">
        <v>355</v>
      </c>
      <c r="Q1555" s="5" t="s">
        <v>355</v>
      </c>
    </row>
    <row r="1556" ht="16.5" customHeight="1">
      <c r="O1556" s="5" t="s">
        <v>355</v>
      </c>
      <c r="P1556" s="5" t="s">
        <v>355</v>
      </c>
      <c r="Q1556" s="5" t="s">
        <v>355</v>
      </c>
    </row>
    <row r="1557" ht="16.5" customHeight="1">
      <c r="O1557" s="5" t="s">
        <v>355</v>
      </c>
      <c r="P1557" s="5" t="s">
        <v>355</v>
      </c>
      <c r="Q1557" s="5" t="s">
        <v>355</v>
      </c>
    </row>
    <row r="1558" ht="16.5" customHeight="1">
      <c r="O1558" s="5" t="s">
        <v>355</v>
      </c>
      <c r="P1558" s="5" t="s">
        <v>355</v>
      </c>
      <c r="Q1558" s="5" t="s">
        <v>355</v>
      </c>
    </row>
    <row r="1559" ht="16.5" customHeight="1">
      <c r="O1559" s="5" t="s">
        <v>355</v>
      </c>
      <c r="P1559" s="5" t="s">
        <v>355</v>
      </c>
      <c r="Q1559" s="5" t="s">
        <v>355</v>
      </c>
    </row>
    <row r="1560" ht="16.5" customHeight="1">
      <c r="O1560" s="5" t="s">
        <v>355</v>
      </c>
      <c r="P1560" s="5" t="s">
        <v>355</v>
      </c>
      <c r="Q1560" s="5" t="s">
        <v>355</v>
      </c>
    </row>
    <row r="1561" ht="16.5" customHeight="1">
      <c r="O1561" s="5" t="s">
        <v>355</v>
      </c>
      <c r="P1561" s="5" t="s">
        <v>355</v>
      </c>
      <c r="Q1561" s="5" t="s">
        <v>355</v>
      </c>
    </row>
    <row r="1562" ht="16.5" customHeight="1">
      <c r="O1562" s="5" t="s">
        <v>355</v>
      </c>
      <c r="P1562" s="5" t="s">
        <v>355</v>
      </c>
      <c r="Q1562" s="5" t="s">
        <v>355</v>
      </c>
    </row>
    <row r="1563" ht="16.5" customHeight="1">
      <c r="O1563" s="5" t="s">
        <v>355</v>
      </c>
      <c r="P1563" s="5" t="s">
        <v>355</v>
      </c>
      <c r="Q1563" s="5" t="s">
        <v>355</v>
      </c>
    </row>
    <row r="1564" ht="16.5" customHeight="1">
      <c r="O1564" s="5" t="s">
        <v>355</v>
      </c>
      <c r="P1564" s="5" t="s">
        <v>355</v>
      </c>
      <c r="Q1564" s="5" t="s">
        <v>355</v>
      </c>
    </row>
    <row r="1565" ht="16.5" customHeight="1">
      <c r="O1565" s="5" t="s">
        <v>355</v>
      </c>
      <c r="P1565" s="5" t="s">
        <v>355</v>
      </c>
      <c r="Q1565" s="5" t="s">
        <v>355</v>
      </c>
    </row>
    <row r="1566" ht="16.5" customHeight="1">
      <c r="O1566" s="5" t="s">
        <v>355</v>
      </c>
      <c r="P1566" s="5" t="s">
        <v>355</v>
      </c>
      <c r="Q1566" s="5" t="s">
        <v>355</v>
      </c>
    </row>
    <row r="1567" ht="16.5" customHeight="1">
      <c r="O1567" s="5" t="s">
        <v>355</v>
      </c>
      <c r="P1567" s="5" t="s">
        <v>355</v>
      </c>
      <c r="Q1567" s="5" t="s">
        <v>355</v>
      </c>
    </row>
    <row r="1568" ht="16.5" customHeight="1">
      <c r="O1568" s="5" t="s">
        <v>355</v>
      </c>
      <c r="P1568" s="5" t="s">
        <v>355</v>
      </c>
      <c r="Q1568" s="5" t="s">
        <v>355</v>
      </c>
    </row>
    <row r="1569" ht="16.5" customHeight="1">
      <c r="O1569" s="5" t="s">
        <v>355</v>
      </c>
      <c r="P1569" s="5" t="s">
        <v>355</v>
      </c>
      <c r="Q1569" s="5" t="s">
        <v>355</v>
      </c>
    </row>
    <row r="1570" ht="16.5" customHeight="1">
      <c r="O1570" s="5" t="s">
        <v>355</v>
      </c>
      <c r="P1570" s="5" t="s">
        <v>355</v>
      </c>
      <c r="Q1570" s="5" t="s">
        <v>355</v>
      </c>
    </row>
    <row r="1571" ht="16.5" customHeight="1">
      <c r="O1571" s="5" t="s">
        <v>355</v>
      </c>
      <c r="P1571" s="5" t="s">
        <v>355</v>
      </c>
      <c r="Q1571" s="5" t="s">
        <v>355</v>
      </c>
    </row>
    <row r="1572" ht="16.5" customHeight="1">
      <c r="O1572" s="5" t="s">
        <v>355</v>
      </c>
      <c r="P1572" s="5" t="s">
        <v>355</v>
      </c>
      <c r="Q1572" s="5" t="s">
        <v>355</v>
      </c>
    </row>
    <row r="1573" ht="16.5" customHeight="1">
      <c r="O1573" s="5" t="s">
        <v>355</v>
      </c>
      <c r="P1573" s="5" t="s">
        <v>355</v>
      </c>
      <c r="Q1573" s="5" t="s">
        <v>355</v>
      </c>
    </row>
    <row r="1574" ht="16.5" customHeight="1">
      <c r="O1574" s="5" t="s">
        <v>355</v>
      </c>
      <c r="P1574" s="5" t="s">
        <v>355</v>
      </c>
      <c r="Q1574" s="5" t="s">
        <v>355</v>
      </c>
    </row>
    <row r="1575" ht="16.5" customHeight="1">
      <c r="O1575" s="5" t="s">
        <v>355</v>
      </c>
      <c r="P1575" s="5" t="s">
        <v>355</v>
      </c>
      <c r="Q1575" s="5" t="s">
        <v>355</v>
      </c>
    </row>
    <row r="1576" ht="16.5" customHeight="1">
      <c r="O1576" s="5" t="s">
        <v>355</v>
      </c>
      <c r="P1576" s="5" t="s">
        <v>355</v>
      </c>
      <c r="Q1576" s="5" t="s">
        <v>355</v>
      </c>
    </row>
    <row r="1577" ht="16.5" customHeight="1">
      <c r="O1577" s="5" t="s">
        <v>355</v>
      </c>
      <c r="P1577" s="5" t="s">
        <v>355</v>
      </c>
      <c r="Q1577" s="5" t="s">
        <v>355</v>
      </c>
    </row>
    <row r="1578" ht="16.5" customHeight="1">
      <c r="O1578" s="5" t="s">
        <v>355</v>
      </c>
      <c r="P1578" s="5" t="s">
        <v>355</v>
      </c>
      <c r="Q1578" s="5" t="s">
        <v>355</v>
      </c>
    </row>
    <row r="1579" ht="16.5" customHeight="1">
      <c r="O1579" s="5" t="s">
        <v>355</v>
      </c>
      <c r="P1579" s="5" t="s">
        <v>355</v>
      </c>
      <c r="Q1579" s="5" t="s">
        <v>355</v>
      </c>
    </row>
    <row r="1580" ht="16.5" customHeight="1">
      <c r="O1580" s="5" t="s">
        <v>355</v>
      </c>
      <c r="P1580" s="5" t="s">
        <v>355</v>
      </c>
      <c r="Q1580" s="5" t="s">
        <v>355</v>
      </c>
    </row>
    <row r="1581" ht="16.5" customHeight="1">
      <c r="O1581" s="5" t="s">
        <v>355</v>
      </c>
      <c r="P1581" s="5" t="s">
        <v>355</v>
      </c>
      <c r="Q1581" s="5" t="s">
        <v>355</v>
      </c>
    </row>
    <row r="1582" ht="16.5" customHeight="1">
      <c r="O1582" s="5" t="s">
        <v>355</v>
      </c>
      <c r="P1582" s="5" t="s">
        <v>355</v>
      </c>
      <c r="Q1582" s="5" t="s">
        <v>355</v>
      </c>
    </row>
    <row r="1583" ht="16.5" customHeight="1">
      <c r="O1583" s="5" t="s">
        <v>355</v>
      </c>
      <c r="P1583" s="5" t="s">
        <v>355</v>
      </c>
      <c r="Q1583" s="5" t="s">
        <v>355</v>
      </c>
    </row>
    <row r="1584" ht="16.5" customHeight="1">
      <c r="O1584" s="5" t="s">
        <v>355</v>
      </c>
      <c r="P1584" s="5" t="s">
        <v>355</v>
      </c>
      <c r="Q1584" s="5" t="s">
        <v>355</v>
      </c>
    </row>
    <row r="1585" ht="16.5" customHeight="1">
      <c r="O1585" s="5" t="s">
        <v>355</v>
      </c>
      <c r="P1585" s="5" t="s">
        <v>355</v>
      </c>
      <c r="Q1585" s="5" t="s">
        <v>355</v>
      </c>
    </row>
    <row r="1586" ht="16.5" customHeight="1">
      <c r="O1586" s="5" t="s">
        <v>355</v>
      </c>
      <c r="P1586" s="5" t="s">
        <v>355</v>
      </c>
      <c r="Q1586" s="5" t="s">
        <v>355</v>
      </c>
    </row>
    <row r="1587" ht="16.5" customHeight="1">
      <c r="O1587" s="5" t="s">
        <v>355</v>
      </c>
      <c r="P1587" s="5" t="s">
        <v>355</v>
      </c>
      <c r="Q1587" s="5" t="s">
        <v>355</v>
      </c>
    </row>
    <row r="1588" ht="16.5" customHeight="1">
      <c r="O1588" s="5" t="s">
        <v>355</v>
      </c>
      <c r="P1588" s="5" t="s">
        <v>355</v>
      </c>
      <c r="Q1588" s="5" t="s">
        <v>355</v>
      </c>
    </row>
    <row r="1589" ht="16.5" customHeight="1">
      <c r="O1589" s="5" t="s">
        <v>355</v>
      </c>
      <c r="P1589" s="5" t="s">
        <v>355</v>
      </c>
      <c r="Q1589" s="5" t="s">
        <v>355</v>
      </c>
    </row>
    <row r="1590" ht="16.5" customHeight="1">
      <c r="O1590" s="5" t="s">
        <v>355</v>
      </c>
      <c r="P1590" s="5" t="s">
        <v>355</v>
      </c>
      <c r="Q1590" s="5" t="s">
        <v>355</v>
      </c>
    </row>
    <row r="1591" ht="16.5" customHeight="1">
      <c r="O1591" s="5" t="s">
        <v>355</v>
      </c>
      <c r="P1591" s="5" t="s">
        <v>355</v>
      </c>
      <c r="Q1591" s="5" t="s">
        <v>355</v>
      </c>
    </row>
    <row r="1592" ht="16.5" customHeight="1">
      <c r="O1592" s="5" t="s">
        <v>355</v>
      </c>
      <c r="P1592" s="5" t="s">
        <v>355</v>
      </c>
      <c r="Q1592" s="5" t="s">
        <v>355</v>
      </c>
    </row>
    <row r="1593" ht="16.5" customHeight="1">
      <c r="O1593" s="5" t="s">
        <v>355</v>
      </c>
      <c r="P1593" s="5" t="s">
        <v>355</v>
      </c>
      <c r="Q1593" s="5" t="s">
        <v>355</v>
      </c>
    </row>
    <row r="1594" ht="16.5" customHeight="1">
      <c r="O1594" s="5" t="s">
        <v>355</v>
      </c>
      <c r="P1594" s="5" t="s">
        <v>355</v>
      </c>
      <c r="Q1594" s="5" t="s">
        <v>355</v>
      </c>
    </row>
    <row r="1595" ht="16.5" customHeight="1">
      <c r="O1595" s="5" t="s">
        <v>355</v>
      </c>
      <c r="P1595" s="5" t="s">
        <v>355</v>
      </c>
      <c r="Q1595" s="5" t="s">
        <v>355</v>
      </c>
    </row>
    <row r="1596" ht="16.5" customHeight="1">
      <c r="O1596" s="5" t="s">
        <v>355</v>
      </c>
      <c r="P1596" s="5" t="s">
        <v>355</v>
      </c>
      <c r="Q1596" s="5" t="s">
        <v>355</v>
      </c>
    </row>
    <row r="1597" ht="16.5" customHeight="1">
      <c r="O1597" s="5" t="s">
        <v>355</v>
      </c>
      <c r="P1597" s="5" t="s">
        <v>355</v>
      </c>
      <c r="Q1597" s="5" t="s">
        <v>355</v>
      </c>
    </row>
    <row r="1598" ht="16.5" customHeight="1">
      <c r="O1598" s="5" t="s">
        <v>355</v>
      </c>
      <c r="P1598" s="5" t="s">
        <v>355</v>
      </c>
      <c r="Q1598" s="5" t="s">
        <v>355</v>
      </c>
    </row>
    <row r="1599" ht="16.5" customHeight="1">
      <c r="O1599" s="5" t="s">
        <v>355</v>
      </c>
      <c r="P1599" s="5" t="s">
        <v>355</v>
      </c>
      <c r="Q1599" s="5" t="s">
        <v>355</v>
      </c>
    </row>
    <row r="1600" ht="16.5" customHeight="1">
      <c r="O1600" s="5" t="s">
        <v>355</v>
      </c>
      <c r="P1600" s="5" t="s">
        <v>355</v>
      </c>
      <c r="Q1600" s="5" t="s">
        <v>355</v>
      </c>
    </row>
    <row r="1601" ht="16.5" customHeight="1">
      <c r="O1601" s="5" t="s">
        <v>355</v>
      </c>
      <c r="P1601" s="5" t="s">
        <v>355</v>
      </c>
      <c r="Q1601" s="5" t="s">
        <v>355</v>
      </c>
    </row>
    <row r="1602" ht="16.5" customHeight="1">
      <c r="O1602" s="5" t="s">
        <v>355</v>
      </c>
      <c r="P1602" s="5" t="s">
        <v>355</v>
      </c>
      <c r="Q1602" s="5" t="s">
        <v>355</v>
      </c>
    </row>
    <row r="1603" ht="16.5" customHeight="1">
      <c r="O1603" s="5" t="s">
        <v>355</v>
      </c>
      <c r="P1603" s="5" t="s">
        <v>355</v>
      </c>
      <c r="Q1603" s="5" t="s">
        <v>355</v>
      </c>
    </row>
    <row r="1604" ht="16.5" customHeight="1">
      <c r="O1604" s="5" t="s">
        <v>355</v>
      </c>
      <c r="P1604" s="5" t="s">
        <v>355</v>
      </c>
      <c r="Q1604" s="5" t="s">
        <v>355</v>
      </c>
    </row>
    <row r="1605" ht="16.5" customHeight="1">
      <c r="O1605" s="5" t="s">
        <v>355</v>
      </c>
      <c r="P1605" s="5" t="s">
        <v>355</v>
      </c>
      <c r="Q1605" s="5" t="s">
        <v>355</v>
      </c>
    </row>
    <row r="1606" ht="16.5" customHeight="1">
      <c r="O1606" s="5" t="s">
        <v>355</v>
      </c>
      <c r="P1606" s="5" t="s">
        <v>355</v>
      </c>
      <c r="Q1606" s="5" t="s">
        <v>355</v>
      </c>
    </row>
    <row r="1607" ht="16.5" customHeight="1">
      <c r="O1607" s="5" t="s">
        <v>355</v>
      </c>
      <c r="P1607" s="5" t="s">
        <v>355</v>
      </c>
      <c r="Q1607" s="5" t="s">
        <v>355</v>
      </c>
    </row>
    <row r="1608" ht="16.5" customHeight="1">
      <c r="O1608" s="5" t="s">
        <v>355</v>
      </c>
      <c r="P1608" s="5" t="s">
        <v>355</v>
      </c>
      <c r="Q1608" s="5" t="s">
        <v>355</v>
      </c>
    </row>
    <row r="1609" ht="16.5" customHeight="1">
      <c r="O1609" s="5" t="s">
        <v>355</v>
      </c>
      <c r="P1609" s="5" t="s">
        <v>355</v>
      </c>
      <c r="Q1609" s="5" t="s">
        <v>355</v>
      </c>
    </row>
    <row r="1610" ht="16.5" customHeight="1">
      <c r="O1610" s="5" t="s">
        <v>355</v>
      </c>
      <c r="P1610" s="5" t="s">
        <v>355</v>
      </c>
      <c r="Q1610" s="5" t="s">
        <v>355</v>
      </c>
    </row>
    <row r="1611" ht="16.5" customHeight="1">
      <c r="O1611" s="5" t="s">
        <v>355</v>
      </c>
      <c r="P1611" s="5" t="s">
        <v>355</v>
      </c>
      <c r="Q1611" s="5" t="s">
        <v>355</v>
      </c>
    </row>
    <row r="1612" ht="16.5" customHeight="1">
      <c r="O1612" s="5" t="s">
        <v>355</v>
      </c>
      <c r="P1612" s="5" t="s">
        <v>355</v>
      </c>
      <c r="Q1612" s="5" t="s">
        <v>355</v>
      </c>
    </row>
    <row r="1613" ht="16.5" customHeight="1">
      <c r="O1613" s="5" t="s">
        <v>355</v>
      </c>
      <c r="P1613" s="5" t="s">
        <v>355</v>
      </c>
      <c r="Q1613" s="5" t="s">
        <v>355</v>
      </c>
    </row>
    <row r="1614" ht="16.5" customHeight="1">
      <c r="O1614" s="5" t="s">
        <v>355</v>
      </c>
      <c r="P1614" s="5" t="s">
        <v>355</v>
      </c>
      <c r="Q1614" s="5" t="s">
        <v>355</v>
      </c>
    </row>
    <row r="1615" ht="16.5" customHeight="1">
      <c r="O1615" s="5" t="s">
        <v>355</v>
      </c>
      <c r="P1615" s="5" t="s">
        <v>355</v>
      </c>
      <c r="Q1615" s="5" t="s">
        <v>355</v>
      </c>
    </row>
    <row r="1616" ht="16.5" customHeight="1">
      <c r="O1616" s="5" t="s">
        <v>355</v>
      </c>
      <c r="P1616" s="5" t="s">
        <v>355</v>
      </c>
      <c r="Q1616" s="5" t="s">
        <v>355</v>
      </c>
    </row>
    <row r="1617" ht="16.5" customHeight="1">
      <c r="O1617" s="5" t="s">
        <v>355</v>
      </c>
      <c r="P1617" s="5" t="s">
        <v>355</v>
      </c>
      <c r="Q1617" s="5" t="s">
        <v>355</v>
      </c>
    </row>
    <row r="1618" ht="16.5" customHeight="1">
      <c r="O1618" s="5" t="s">
        <v>355</v>
      </c>
      <c r="P1618" s="5" t="s">
        <v>355</v>
      </c>
      <c r="Q1618" s="5" t="s">
        <v>355</v>
      </c>
    </row>
    <row r="1619" ht="16.5" customHeight="1">
      <c r="O1619" s="5" t="s">
        <v>355</v>
      </c>
      <c r="P1619" s="5" t="s">
        <v>355</v>
      </c>
      <c r="Q1619" s="5" t="s">
        <v>355</v>
      </c>
    </row>
    <row r="1620" ht="16.5" customHeight="1">
      <c r="O1620" s="5" t="s">
        <v>355</v>
      </c>
      <c r="P1620" s="5" t="s">
        <v>355</v>
      </c>
      <c r="Q1620" s="5" t="s">
        <v>355</v>
      </c>
    </row>
    <row r="1621" ht="16.5" customHeight="1">
      <c r="O1621" s="5" t="s">
        <v>355</v>
      </c>
      <c r="P1621" s="5" t="s">
        <v>355</v>
      </c>
      <c r="Q1621" s="5" t="s">
        <v>355</v>
      </c>
    </row>
    <row r="1622" ht="16.5" customHeight="1">
      <c r="O1622" s="5" t="s">
        <v>355</v>
      </c>
      <c r="P1622" s="5" t="s">
        <v>355</v>
      </c>
      <c r="Q1622" s="5" t="s">
        <v>355</v>
      </c>
    </row>
    <row r="1623" ht="16.5" customHeight="1">
      <c r="O1623" s="5" t="s">
        <v>355</v>
      </c>
      <c r="P1623" s="5" t="s">
        <v>355</v>
      </c>
      <c r="Q1623" s="5" t="s">
        <v>355</v>
      </c>
    </row>
    <row r="1624" ht="16.5" customHeight="1">
      <c r="O1624" s="5" t="s">
        <v>355</v>
      </c>
      <c r="P1624" s="5" t="s">
        <v>355</v>
      </c>
      <c r="Q1624" s="5" t="s">
        <v>355</v>
      </c>
    </row>
    <row r="1625" ht="16.5" customHeight="1">
      <c r="O1625" s="5" t="s">
        <v>355</v>
      </c>
      <c r="P1625" s="5" t="s">
        <v>355</v>
      </c>
      <c r="Q1625" s="5" t="s">
        <v>355</v>
      </c>
    </row>
    <row r="1626" ht="16.5" customHeight="1">
      <c r="O1626" s="5" t="s">
        <v>355</v>
      </c>
      <c r="P1626" s="5" t="s">
        <v>355</v>
      </c>
      <c r="Q1626" s="5" t="s">
        <v>355</v>
      </c>
    </row>
    <row r="1627" ht="16.5" customHeight="1">
      <c r="O1627" s="5" t="s">
        <v>355</v>
      </c>
      <c r="P1627" s="5" t="s">
        <v>355</v>
      </c>
      <c r="Q1627" s="5" t="s">
        <v>355</v>
      </c>
    </row>
    <row r="1628" ht="16.5" customHeight="1">
      <c r="O1628" s="5" t="s">
        <v>355</v>
      </c>
      <c r="P1628" s="5" t="s">
        <v>355</v>
      </c>
      <c r="Q1628" s="5" t="s">
        <v>355</v>
      </c>
    </row>
    <row r="1629" ht="16.5" customHeight="1">
      <c r="O1629" s="5" t="s">
        <v>355</v>
      </c>
      <c r="P1629" s="5" t="s">
        <v>355</v>
      </c>
      <c r="Q1629" s="5" t="s">
        <v>355</v>
      </c>
    </row>
    <row r="1630" ht="16.5" customHeight="1">
      <c r="O1630" s="5" t="s">
        <v>355</v>
      </c>
      <c r="P1630" s="5" t="s">
        <v>355</v>
      </c>
      <c r="Q1630" s="5" t="s">
        <v>355</v>
      </c>
    </row>
    <row r="1631" ht="16.5" customHeight="1">
      <c r="O1631" s="5" t="s">
        <v>355</v>
      </c>
      <c r="P1631" s="5" t="s">
        <v>355</v>
      </c>
      <c r="Q1631" s="5" t="s">
        <v>355</v>
      </c>
    </row>
    <row r="1632" ht="16.5" customHeight="1">
      <c r="O1632" s="5" t="s">
        <v>355</v>
      </c>
      <c r="P1632" s="5" t="s">
        <v>355</v>
      </c>
      <c r="Q1632" s="5" t="s">
        <v>355</v>
      </c>
    </row>
    <row r="1633" ht="16.5" customHeight="1">
      <c r="O1633" s="5" t="s">
        <v>355</v>
      </c>
      <c r="P1633" s="5" t="s">
        <v>355</v>
      </c>
      <c r="Q1633" s="5" t="s">
        <v>355</v>
      </c>
    </row>
    <row r="1634" ht="16.5" customHeight="1">
      <c r="O1634" s="5" t="s">
        <v>355</v>
      </c>
      <c r="P1634" s="5" t="s">
        <v>355</v>
      </c>
      <c r="Q1634" s="5" t="s">
        <v>355</v>
      </c>
    </row>
    <row r="1635" ht="16.5" customHeight="1">
      <c r="O1635" s="5" t="s">
        <v>355</v>
      </c>
      <c r="P1635" s="5" t="s">
        <v>355</v>
      </c>
      <c r="Q1635" s="5" t="s">
        <v>355</v>
      </c>
    </row>
    <row r="1636" ht="16.5" customHeight="1">
      <c r="O1636" s="5" t="s">
        <v>355</v>
      </c>
      <c r="P1636" s="5" t="s">
        <v>355</v>
      </c>
      <c r="Q1636" s="5" t="s">
        <v>355</v>
      </c>
    </row>
    <row r="1637" ht="16.5" customHeight="1">
      <c r="O1637" s="5" t="s">
        <v>355</v>
      </c>
      <c r="P1637" s="5" t="s">
        <v>355</v>
      </c>
      <c r="Q1637" s="5" t="s">
        <v>355</v>
      </c>
    </row>
    <row r="1638" ht="16.5" customHeight="1">
      <c r="O1638" s="5" t="s">
        <v>355</v>
      </c>
      <c r="P1638" s="5" t="s">
        <v>355</v>
      </c>
      <c r="Q1638" s="5" t="s">
        <v>355</v>
      </c>
    </row>
    <row r="1639" ht="16.5" customHeight="1">
      <c r="O1639" s="5" t="s">
        <v>355</v>
      </c>
      <c r="P1639" s="5" t="s">
        <v>355</v>
      </c>
      <c r="Q1639" s="5" t="s">
        <v>355</v>
      </c>
    </row>
    <row r="1640" ht="16.5" customHeight="1">
      <c r="O1640" s="5" t="s">
        <v>355</v>
      </c>
      <c r="P1640" s="5" t="s">
        <v>355</v>
      </c>
      <c r="Q1640" s="5" t="s">
        <v>355</v>
      </c>
    </row>
    <row r="1641" ht="16.5" customHeight="1">
      <c r="O1641" s="5" t="s">
        <v>355</v>
      </c>
      <c r="P1641" s="5" t="s">
        <v>355</v>
      </c>
      <c r="Q1641" s="5" t="s">
        <v>355</v>
      </c>
    </row>
    <row r="1642" ht="16.5" customHeight="1">
      <c r="O1642" s="5" t="s">
        <v>355</v>
      </c>
      <c r="P1642" s="5" t="s">
        <v>355</v>
      </c>
      <c r="Q1642" s="5" t="s">
        <v>355</v>
      </c>
    </row>
    <row r="1643" ht="16.5" customHeight="1">
      <c r="O1643" s="5" t="s">
        <v>355</v>
      </c>
      <c r="P1643" s="5" t="s">
        <v>355</v>
      </c>
      <c r="Q1643" s="5" t="s">
        <v>355</v>
      </c>
    </row>
    <row r="1644" ht="16.5" customHeight="1">
      <c r="O1644" s="5" t="s">
        <v>355</v>
      </c>
      <c r="P1644" s="5" t="s">
        <v>355</v>
      </c>
      <c r="Q1644" s="5" t="s">
        <v>355</v>
      </c>
    </row>
    <row r="1645" ht="16.5" customHeight="1">
      <c r="O1645" s="5" t="s">
        <v>355</v>
      </c>
      <c r="P1645" s="5" t="s">
        <v>355</v>
      </c>
      <c r="Q1645" s="5" t="s">
        <v>355</v>
      </c>
    </row>
    <row r="1646" ht="16.5" customHeight="1">
      <c r="O1646" s="5" t="s">
        <v>355</v>
      </c>
      <c r="P1646" s="5" t="s">
        <v>355</v>
      </c>
      <c r="Q1646" s="5" t="s">
        <v>355</v>
      </c>
    </row>
    <row r="1647" ht="16.5" customHeight="1">
      <c r="O1647" s="5" t="s">
        <v>355</v>
      </c>
      <c r="P1647" s="5" t="s">
        <v>355</v>
      </c>
      <c r="Q1647" s="5" t="s">
        <v>355</v>
      </c>
    </row>
    <row r="1648" ht="16.5" customHeight="1">
      <c r="O1648" s="5" t="s">
        <v>355</v>
      </c>
      <c r="P1648" s="5" t="s">
        <v>355</v>
      </c>
      <c r="Q1648" s="5" t="s">
        <v>355</v>
      </c>
    </row>
    <row r="1649" ht="16.5" customHeight="1">
      <c r="O1649" s="5" t="s">
        <v>355</v>
      </c>
      <c r="P1649" s="5" t="s">
        <v>355</v>
      </c>
      <c r="Q1649" s="5" t="s">
        <v>355</v>
      </c>
    </row>
    <row r="1650" ht="16.5" customHeight="1">
      <c r="O1650" s="5" t="s">
        <v>355</v>
      </c>
      <c r="P1650" s="5" t="s">
        <v>355</v>
      </c>
      <c r="Q1650" s="5" t="s">
        <v>355</v>
      </c>
    </row>
    <row r="1651" ht="16.5" customHeight="1">
      <c r="O1651" s="5" t="s">
        <v>355</v>
      </c>
      <c r="P1651" s="5" t="s">
        <v>355</v>
      </c>
      <c r="Q1651" s="5" t="s">
        <v>355</v>
      </c>
    </row>
    <row r="1652" ht="16.5" customHeight="1">
      <c r="O1652" s="5" t="s">
        <v>355</v>
      </c>
      <c r="P1652" s="5" t="s">
        <v>355</v>
      </c>
      <c r="Q1652" s="5" t="s">
        <v>355</v>
      </c>
    </row>
    <row r="1653" ht="16.5" customHeight="1">
      <c r="O1653" s="5" t="s">
        <v>355</v>
      </c>
      <c r="P1653" s="5" t="s">
        <v>355</v>
      </c>
      <c r="Q1653" s="5" t="s">
        <v>355</v>
      </c>
    </row>
    <row r="1654" ht="16.5" customHeight="1">
      <c r="O1654" s="5" t="s">
        <v>355</v>
      </c>
      <c r="P1654" s="5" t="s">
        <v>355</v>
      </c>
      <c r="Q1654" s="5" t="s">
        <v>355</v>
      </c>
    </row>
    <row r="1655" ht="16.5" customHeight="1">
      <c r="O1655" s="5" t="s">
        <v>355</v>
      </c>
      <c r="P1655" s="5" t="s">
        <v>355</v>
      </c>
      <c r="Q1655" s="5" t="s">
        <v>355</v>
      </c>
    </row>
    <row r="1656" ht="16.5" customHeight="1">
      <c r="O1656" s="5" t="s">
        <v>355</v>
      </c>
      <c r="P1656" s="5" t="s">
        <v>355</v>
      </c>
      <c r="Q1656" s="5" t="s">
        <v>355</v>
      </c>
    </row>
    <row r="1657" ht="16.5" customHeight="1">
      <c r="O1657" s="5" t="s">
        <v>355</v>
      </c>
      <c r="P1657" s="5" t="s">
        <v>355</v>
      </c>
      <c r="Q1657" s="5" t="s">
        <v>355</v>
      </c>
    </row>
    <row r="1658" ht="16.5" customHeight="1">
      <c r="O1658" s="5" t="s">
        <v>355</v>
      </c>
      <c r="P1658" s="5" t="s">
        <v>355</v>
      </c>
      <c r="Q1658" s="5" t="s">
        <v>355</v>
      </c>
    </row>
    <row r="1659" ht="16.5" customHeight="1">
      <c r="O1659" s="5" t="s">
        <v>355</v>
      </c>
      <c r="P1659" s="5" t="s">
        <v>355</v>
      </c>
      <c r="Q1659" s="5" t="s">
        <v>355</v>
      </c>
    </row>
    <row r="1660" ht="16.5" customHeight="1">
      <c r="O1660" s="5" t="s">
        <v>355</v>
      </c>
      <c r="P1660" s="5" t="s">
        <v>355</v>
      </c>
      <c r="Q1660" s="5" t="s">
        <v>355</v>
      </c>
    </row>
    <row r="1661" ht="16.5" customHeight="1">
      <c r="O1661" s="5" t="s">
        <v>355</v>
      </c>
      <c r="P1661" s="5" t="s">
        <v>355</v>
      </c>
      <c r="Q1661" s="5" t="s">
        <v>355</v>
      </c>
    </row>
    <row r="1662" ht="16.5" customHeight="1">
      <c r="O1662" s="5" t="s">
        <v>355</v>
      </c>
      <c r="P1662" s="5" t="s">
        <v>355</v>
      </c>
      <c r="Q1662" s="5" t="s">
        <v>355</v>
      </c>
    </row>
    <row r="1663" ht="16.5" customHeight="1">
      <c r="O1663" s="5" t="s">
        <v>355</v>
      </c>
      <c r="P1663" s="5" t="s">
        <v>355</v>
      </c>
      <c r="Q1663" s="5" t="s">
        <v>355</v>
      </c>
    </row>
    <row r="1664" ht="16.5" customHeight="1">
      <c r="O1664" s="5" t="s">
        <v>355</v>
      </c>
      <c r="P1664" s="5" t="s">
        <v>355</v>
      </c>
      <c r="Q1664" s="5" t="s">
        <v>355</v>
      </c>
    </row>
    <row r="1665" ht="16.5" customHeight="1">
      <c r="O1665" s="5" t="s">
        <v>355</v>
      </c>
      <c r="P1665" s="5" t="s">
        <v>355</v>
      </c>
      <c r="Q1665" s="5" t="s">
        <v>355</v>
      </c>
    </row>
    <row r="1666" ht="16.5" customHeight="1">
      <c r="O1666" s="5" t="s">
        <v>355</v>
      </c>
      <c r="P1666" s="5" t="s">
        <v>355</v>
      </c>
      <c r="Q1666" s="5" t="s">
        <v>355</v>
      </c>
    </row>
    <row r="1667" ht="16.5" customHeight="1">
      <c r="O1667" s="5" t="s">
        <v>355</v>
      </c>
      <c r="P1667" s="5" t="s">
        <v>355</v>
      </c>
      <c r="Q1667" s="5" t="s">
        <v>355</v>
      </c>
    </row>
    <row r="1668" ht="16.5" customHeight="1">
      <c r="O1668" s="5" t="s">
        <v>355</v>
      </c>
      <c r="P1668" s="5" t="s">
        <v>355</v>
      </c>
      <c r="Q1668" s="5" t="s">
        <v>355</v>
      </c>
    </row>
    <row r="1669" ht="16.5" customHeight="1">
      <c r="O1669" s="5" t="s">
        <v>355</v>
      </c>
      <c r="P1669" s="5" t="s">
        <v>355</v>
      </c>
      <c r="Q1669" s="5" t="s">
        <v>355</v>
      </c>
    </row>
    <row r="1670" ht="16.5" customHeight="1">
      <c r="O1670" s="5" t="s">
        <v>355</v>
      </c>
      <c r="P1670" s="5" t="s">
        <v>355</v>
      </c>
      <c r="Q1670" s="5" t="s">
        <v>355</v>
      </c>
    </row>
    <row r="1671" ht="16.5" customHeight="1">
      <c r="O1671" s="5" t="s">
        <v>355</v>
      </c>
      <c r="P1671" s="5" t="s">
        <v>355</v>
      </c>
      <c r="Q1671" s="5" t="s">
        <v>355</v>
      </c>
    </row>
    <row r="1672" ht="16.5" customHeight="1">
      <c r="O1672" s="5" t="s">
        <v>355</v>
      </c>
      <c r="P1672" s="5" t="s">
        <v>355</v>
      </c>
      <c r="Q1672" s="5" t="s">
        <v>355</v>
      </c>
    </row>
    <row r="1673" ht="16.5" customHeight="1">
      <c r="O1673" s="5" t="s">
        <v>355</v>
      </c>
      <c r="P1673" s="5" t="s">
        <v>355</v>
      </c>
      <c r="Q1673" s="5" t="s">
        <v>355</v>
      </c>
    </row>
    <row r="1674" ht="16.5" customHeight="1">
      <c r="O1674" s="5" t="s">
        <v>355</v>
      </c>
      <c r="P1674" s="5" t="s">
        <v>355</v>
      </c>
      <c r="Q1674" s="5" t="s">
        <v>355</v>
      </c>
    </row>
    <row r="1675" ht="16.5" customHeight="1">
      <c r="O1675" s="5" t="s">
        <v>355</v>
      </c>
      <c r="P1675" s="5" t="s">
        <v>355</v>
      </c>
      <c r="Q1675" s="5" t="s">
        <v>355</v>
      </c>
    </row>
    <row r="1676" ht="16.5" customHeight="1">
      <c r="O1676" s="5" t="s">
        <v>355</v>
      </c>
      <c r="P1676" s="5" t="s">
        <v>355</v>
      </c>
      <c r="Q1676" s="5" t="s">
        <v>355</v>
      </c>
    </row>
    <row r="1677" ht="16.5" customHeight="1">
      <c r="O1677" s="5" t="s">
        <v>355</v>
      </c>
      <c r="P1677" s="5" t="s">
        <v>355</v>
      </c>
      <c r="Q1677" s="5" t="s">
        <v>355</v>
      </c>
    </row>
    <row r="1678" ht="16.5" customHeight="1">
      <c r="O1678" s="5" t="s">
        <v>355</v>
      </c>
      <c r="P1678" s="5" t="s">
        <v>355</v>
      </c>
      <c r="Q1678" s="5" t="s">
        <v>355</v>
      </c>
    </row>
    <row r="1679" ht="16.5" customHeight="1">
      <c r="O1679" s="5" t="s">
        <v>355</v>
      </c>
      <c r="P1679" s="5" t="s">
        <v>355</v>
      </c>
      <c r="Q1679" s="5" t="s">
        <v>355</v>
      </c>
    </row>
    <row r="1680" ht="16.5" customHeight="1">
      <c r="O1680" s="5" t="s">
        <v>355</v>
      </c>
      <c r="P1680" s="5" t="s">
        <v>355</v>
      </c>
      <c r="Q1680" s="5" t="s">
        <v>355</v>
      </c>
    </row>
    <row r="1681" ht="16.5" customHeight="1">
      <c r="O1681" s="5" t="s">
        <v>355</v>
      </c>
      <c r="P1681" s="5" t="s">
        <v>355</v>
      </c>
      <c r="Q1681" s="5" t="s">
        <v>355</v>
      </c>
    </row>
    <row r="1682" ht="16.5" customHeight="1">
      <c r="O1682" s="5" t="s">
        <v>355</v>
      </c>
      <c r="P1682" s="5" t="s">
        <v>355</v>
      </c>
      <c r="Q1682" s="5" t="s">
        <v>355</v>
      </c>
    </row>
    <row r="1683" ht="16.5" customHeight="1">
      <c r="O1683" s="5" t="s">
        <v>355</v>
      </c>
      <c r="P1683" s="5" t="s">
        <v>355</v>
      </c>
      <c r="Q1683" s="5" t="s">
        <v>355</v>
      </c>
    </row>
    <row r="1684" ht="16.5" customHeight="1">
      <c r="O1684" s="5" t="s">
        <v>355</v>
      </c>
      <c r="P1684" s="5" t="s">
        <v>355</v>
      </c>
      <c r="Q1684" s="5" t="s">
        <v>355</v>
      </c>
    </row>
    <row r="1685" ht="16.5" customHeight="1">
      <c r="O1685" s="5" t="s">
        <v>355</v>
      </c>
      <c r="P1685" s="5" t="s">
        <v>355</v>
      </c>
      <c r="Q1685" s="5" t="s">
        <v>355</v>
      </c>
    </row>
    <row r="1686" ht="16.5" customHeight="1">
      <c r="O1686" s="5" t="s">
        <v>355</v>
      </c>
      <c r="P1686" s="5" t="s">
        <v>355</v>
      </c>
      <c r="Q1686" s="5" t="s">
        <v>355</v>
      </c>
    </row>
    <row r="1687" ht="16.5" customHeight="1">
      <c r="O1687" s="5" t="s">
        <v>355</v>
      </c>
      <c r="P1687" s="5" t="s">
        <v>355</v>
      </c>
      <c r="Q1687" s="5" t="s">
        <v>355</v>
      </c>
    </row>
    <row r="1688" ht="16.5" customHeight="1">
      <c r="O1688" s="5" t="s">
        <v>355</v>
      </c>
      <c r="P1688" s="5" t="s">
        <v>355</v>
      </c>
      <c r="Q1688" s="5" t="s">
        <v>355</v>
      </c>
    </row>
    <row r="1689" ht="16.5" customHeight="1">
      <c r="O1689" s="5" t="s">
        <v>355</v>
      </c>
      <c r="P1689" s="5" t="s">
        <v>355</v>
      </c>
      <c r="Q1689" s="5" t="s">
        <v>355</v>
      </c>
    </row>
    <row r="1690" ht="16.5" customHeight="1">
      <c r="O1690" s="5" t="s">
        <v>355</v>
      </c>
      <c r="P1690" s="5" t="s">
        <v>355</v>
      </c>
      <c r="Q1690" s="5" t="s">
        <v>355</v>
      </c>
    </row>
    <row r="1691" ht="16.5" customHeight="1">
      <c r="O1691" s="5" t="s">
        <v>355</v>
      </c>
      <c r="P1691" s="5" t="s">
        <v>355</v>
      </c>
      <c r="Q1691" s="5" t="s">
        <v>355</v>
      </c>
    </row>
    <row r="1692" ht="16.5" customHeight="1">
      <c r="O1692" s="5" t="s">
        <v>355</v>
      </c>
      <c r="P1692" s="5" t="s">
        <v>355</v>
      </c>
      <c r="Q1692" s="5" t="s">
        <v>355</v>
      </c>
    </row>
    <row r="1693" ht="16.5" customHeight="1">
      <c r="O1693" s="5" t="s">
        <v>355</v>
      </c>
      <c r="P1693" s="5" t="s">
        <v>355</v>
      </c>
      <c r="Q1693" s="5" t="s">
        <v>355</v>
      </c>
    </row>
    <row r="1694" ht="16.5" customHeight="1">
      <c r="O1694" s="5" t="s">
        <v>355</v>
      </c>
      <c r="P1694" s="5" t="s">
        <v>355</v>
      </c>
      <c r="Q1694" s="5" t="s">
        <v>355</v>
      </c>
    </row>
    <row r="1695" ht="16.5" customHeight="1">
      <c r="O1695" s="5" t="s">
        <v>355</v>
      </c>
      <c r="P1695" s="5" t="s">
        <v>355</v>
      </c>
      <c r="Q1695" s="5" t="s">
        <v>355</v>
      </c>
    </row>
    <row r="1696" ht="16.5" customHeight="1">
      <c r="O1696" s="5" t="s">
        <v>355</v>
      </c>
      <c r="P1696" s="5" t="s">
        <v>355</v>
      </c>
      <c r="Q1696" s="5" t="s">
        <v>355</v>
      </c>
    </row>
    <row r="1697" ht="16.5" customHeight="1">
      <c r="O1697" s="5" t="s">
        <v>355</v>
      </c>
      <c r="P1697" s="5" t="s">
        <v>355</v>
      </c>
      <c r="Q1697" s="5" t="s">
        <v>355</v>
      </c>
    </row>
    <row r="1698" ht="16.5" customHeight="1">
      <c r="O1698" s="5" t="s">
        <v>355</v>
      </c>
      <c r="P1698" s="5" t="s">
        <v>355</v>
      </c>
      <c r="Q1698" s="5" t="s">
        <v>355</v>
      </c>
    </row>
    <row r="1699" ht="16.5" customHeight="1">
      <c r="O1699" s="5" t="s">
        <v>355</v>
      </c>
      <c r="P1699" s="5" t="s">
        <v>355</v>
      </c>
      <c r="Q1699" s="5" t="s">
        <v>355</v>
      </c>
    </row>
    <row r="1700" ht="16.5" customHeight="1">
      <c r="O1700" s="5" t="s">
        <v>355</v>
      </c>
      <c r="P1700" s="5" t="s">
        <v>355</v>
      </c>
      <c r="Q1700" s="5" t="s">
        <v>355</v>
      </c>
    </row>
    <row r="1701" ht="16.5" customHeight="1">
      <c r="O1701" s="5" t="s">
        <v>355</v>
      </c>
      <c r="P1701" s="5" t="s">
        <v>355</v>
      </c>
      <c r="Q1701" s="5" t="s">
        <v>355</v>
      </c>
    </row>
    <row r="1702" ht="16.5" customHeight="1">
      <c r="O1702" s="5" t="s">
        <v>355</v>
      </c>
      <c r="P1702" s="5" t="s">
        <v>355</v>
      </c>
      <c r="Q1702" s="5" t="s">
        <v>355</v>
      </c>
    </row>
    <row r="1703" ht="16.5" customHeight="1">
      <c r="O1703" s="5" t="s">
        <v>355</v>
      </c>
      <c r="P1703" s="5" t="s">
        <v>355</v>
      </c>
      <c r="Q1703" s="5" t="s">
        <v>355</v>
      </c>
    </row>
    <row r="1704" ht="16.5" customHeight="1">
      <c r="O1704" s="5" t="s">
        <v>355</v>
      </c>
      <c r="P1704" s="5" t="s">
        <v>355</v>
      </c>
      <c r="Q1704" s="5" t="s">
        <v>355</v>
      </c>
    </row>
    <row r="1705" ht="16.5" customHeight="1">
      <c r="O1705" s="5" t="s">
        <v>355</v>
      </c>
      <c r="P1705" s="5" t="s">
        <v>355</v>
      </c>
      <c r="Q1705" s="5" t="s">
        <v>355</v>
      </c>
    </row>
    <row r="1706" ht="16.5" customHeight="1">
      <c r="O1706" s="5" t="s">
        <v>355</v>
      </c>
      <c r="P1706" s="5" t="s">
        <v>355</v>
      </c>
      <c r="Q1706" s="5" t="s">
        <v>355</v>
      </c>
    </row>
    <row r="1707" ht="16.5" customHeight="1">
      <c r="O1707" s="5" t="s">
        <v>355</v>
      </c>
      <c r="P1707" s="5" t="s">
        <v>355</v>
      </c>
      <c r="Q1707" s="5" t="s">
        <v>355</v>
      </c>
    </row>
    <row r="1708" ht="16.5" customHeight="1">
      <c r="O1708" s="5" t="s">
        <v>355</v>
      </c>
      <c r="P1708" s="5" t="s">
        <v>355</v>
      </c>
      <c r="Q1708" s="5" t="s">
        <v>355</v>
      </c>
    </row>
    <row r="1709" ht="16.5" customHeight="1">
      <c r="O1709" s="5" t="s">
        <v>355</v>
      </c>
      <c r="P1709" s="5" t="s">
        <v>355</v>
      </c>
      <c r="Q1709" s="5" t="s">
        <v>355</v>
      </c>
    </row>
    <row r="1710" ht="16.5" customHeight="1">
      <c r="O1710" s="5" t="s">
        <v>355</v>
      </c>
      <c r="P1710" s="5" t="s">
        <v>355</v>
      </c>
      <c r="Q1710" s="5" t="s">
        <v>355</v>
      </c>
    </row>
    <row r="1711" ht="16.5" customHeight="1">
      <c r="O1711" s="5" t="s">
        <v>355</v>
      </c>
      <c r="P1711" s="5" t="s">
        <v>355</v>
      </c>
      <c r="Q1711" s="5" t="s">
        <v>355</v>
      </c>
    </row>
    <row r="1712" ht="16.5" customHeight="1">
      <c r="O1712" s="5" t="s">
        <v>355</v>
      </c>
      <c r="P1712" s="5" t="s">
        <v>355</v>
      </c>
      <c r="Q1712" s="5" t="s">
        <v>355</v>
      </c>
    </row>
    <row r="1713" ht="16.5" customHeight="1">
      <c r="O1713" s="5" t="s">
        <v>355</v>
      </c>
      <c r="P1713" s="5" t="s">
        <v>355</v>
      </c>
      <c r="Q1713" s="5" t="s">
        <v>355</v>
      </c>
    </row>
    <row r="1714" ht="16.5" customHeight="1">
      <c r="O1714" s="5" t="s">
        <v>355</v>
      </c>
      <c r="P1714" s="5" t="s">
        <v>355</v>
      </c>
      <c r="Q1714" s="5" t="s">
        <v>355</v>
      </c>
    </row>
    <row r="1715" ht="16.5" customHeight="1">
      <c r="O1715" s="5" t="s">
        <v>355</v>
      </c>
      <c r="P1715" s="5" t="s">
        <v>355</v>
      </c>
      <c r="Q1715" s="5" t="s">
        <v>355</v>
      </c>
    </row>
    <row r="1716" ht="16.5" customHeight="1">
      <c r="O1716" s="5" t="s">
        <v>355</v>
      </c>
      <c r="P1716" s="5" t="s">
        <v>355</v>
      </c>
      <c r="Q1716" s="5" t="s">
        <v>355</v>
      </c>
    </row>
    <row r="1717" ht="16.5" customHeight="1">
      <c r="O1717" s="5" t="s">
        <v>355</v>
      </c>
      <c r="P1717" s="5" t="s">
        <v>355</v>
      </c>
      <c r="Q1717" s="5" t="s">
        <v>355</v>
      </c>
    </row>
    <row r="1718" ht="16.5" customHeight="1">
      <c r="O1718" s="5" t="s">
        <v>355</v>
      </c>
      <c r="P1718" s="5" t="s">
        <v>355</v>
      </c>
      <c r="Q1718" s="5" t="s">
        <v>355</v>
      </c>
    </row>
    <row r="1719" ht="16.5" customHeight="1">
      <c r="O1719" s="5" t="s">
        <v>355</v>
      </c>
      <c r="P1719" s="5" t="s">
        <v>355</v>
      </c>
      <c r="Q1719" s="5" t="s">
        <v>355</v>
      </c>
    </row>
    <row r="1720" ht="16.5" customHeight="1">
      <c r="O1720" s="5" t="s">
        <v>355</v>
      </c>
      <c r="P1720" s="5" t="s">
        <v>355</v>
      </c>
      <c r="Q1720" s="5" t="s">
        <v>355</v>
      </c>
    </row>
    <row r="1721" ht="16.5" customHeight="1">
      <c r="O1721" s="5" t="s">
        <v>355</v>
      </c>
      <c r="P1721" s="5" t="s">
        <v>355</v>
      </c>
      <c r="Q1721" s="5" t="s">
        <v>355</v>
      </c>
    </row>
    <row r="1722" ht="16.5" customHeight="1">
      <c r="O1722" s="5" t="s">
        <v>355</v>
      </c>
      <c r="P1722" s="5" t="s">
        <v>355</v>
      </c>
      <c r="Q1722" s="5" t="s">
        <v>355</v>
      </c>
    </row>
    <row r="1723" ht="16.5" customHeight="1">
      <c r="O1723" s="5" t="s">
        <v>355</v>
      </c>
      <c r="P1723" s="5" t="s">
        <v>355</v>
      </c>
      <c r="Q1723" s="5" t="s">
        <v>355</v>
      </c>
    </row>
    <row r="1724" ht="16.5" customHeight="1">
      <c r="O1724" s="5" t="s">
        <v>355</v>
      </c>
      <c r="P1724" s="5" t="s">
        <v>355</v>
      </c>
      <c r="Q1724" s="5" t="s">
        <v>355</v>
      </c>
    </row>
    <row r="1725" ht="16.5" customHeight="1">
      <c r="O1725" s="5" t="s">
        <v>355</v>
      </c>
      <c r="P1725" s="5" t="s">
        <v>355</v>
      </c>
      <c r="Q1725" s="5" t="s">
        <v>355</v>
      </c>
    </row>
    <row r="1726" ht="16.5" customHeight="1">
      <c r="O1726" s="5" t="s">
        <v>355</v>
      </c>
      <c r="P1726" s="5" t="s">
        <v>355</v>
      </c>
      <c r="Q1726" s="5" t="s">
        <v>355</v>
      </c>
    </row>
    <row r="1727" ht="16.5" customHeight="1">
      <c r="O1727" s="5" t="s">
        <v>355</v>
      </c>
      <c r="P1727" s="5" t="s">
        <v>355</v>
      </c>
      <c r="Q1727" s="5" t="s">
        <v>355</v>
      </c>
    </row>
    <row r="1728" ht="16.5" customHeight="1">
      <c r="O1728" s="5" t="s">
        <v>355</v>
      </c>
      <c r="P1728" s="5" t="s">
        <v>355</v>
      </c>
      <c r="Q1728" s="5" t="s">
        <v>355</v>
      </c>
    </row>
    <row r="1729" ht="16.5" customHeight="1">
      <c r="O1729" s="5" t="s">
        <v>355</v>
      </c>
      <c r="P1729" s="5" t="s">
        <v>355</v>
      </c>
      <c r="Q1729" s="5" t="s">
        <v>355</v>
      </c>
    </row>
    <row r="1730" ht="16.5" customHeight="1">
      <c r="O1730" s="5" t="s">
        <v>355</v>
      </c>
      <c r="P1730" s="5" t="s">
        <v>355</v>
      </c>
      <c r="Q1730" s="5" t="s">
        <v>355</v>
      </c>
    </row>
    <row r="1731" ht="16.5" customHeight="1">
      <c r="O1731" s="5" t="s">
        <v>355</v>
      </c>
      <c r="P1731" s="5" t="s">
        <v>355</v>
      </c>
      <c r="Q1731" s="5" t="s">
        <v>355</v>
      </c>
    </row>
    <row r="1732" ht="16.5" customHeight="1">
      <c r="O1732" s="5" t="s">
        <v>355</v>
      </c>
      <c r="P1732" s="5" t="s">
        <v>355</v>
      </c>
      <c r="Q1732" s="5" t="s">
        <v>355</v>
      </c>
    </row>
    <row r="1733" ht="16.5" customHeight="1">
      <c r="O1733" s="5" t="s">
        <v>355</v>
      </c>
      <c r="P1733" s="5" t="s">
        <v>355</v>
      </c>
      <c r="Q1733" s="5" t="s">
        <v>355</v>
      </c>
    </row>
    <row r="1734" ht="16.5" customHeight="1">
      <c r="O1734" s="5" t="s">
        <v>355</v>
      </c>
      <c r="P1734" s="5" t="s">
        <v>355</v>
      </c>
      <c r="Q1734" s="5" t="s">
        <v>355</v>
      </c>
    </row>
    <row r="1735" ht="16.5" customHeight="1">
      <c r="O1735" s="5" t="s">
        <v>355</v>
      </c>
      <c r="P1735" s="5" t="s">
        <v>355</v>
      </c>
      <c r="Q1735" s="5" t="s">
        <v>355</v>
      </c>
    </row>
    <row r="1736" ht="16.5" customHeight="1">
      <c r="O1736" s="5" t="s">
        <v>355</v>
      </c>
      <c r="P1736" s="5" t="s">
        <v>355</v>
      </c>
      <c r="Q1736" s="5" t="s">
        <v>355</v>
      </c>
    </row>
    <row r="1737" ht="16.5" customHeight="1">
      <c r="O1737" s="5" t="s">
        <v>355</v>
      </c>
      <c r="P1737" s="5" t="s">
        <v>355</v>
      </c>
      <c r="Q1737" s="5" t="s">
        <v>355</v>
      </c>
    </row>
    <row r="1738" ht="16.5" customHeight="1">
      <c r="O1738" s="5" t="s">
        <v>355</v>
      </c>
      <c r="P1738" s="5" t="s">
        <v>355</v>
      </c>
      <c r="Q1738" s="5" t="s">
        <v>355</v>
      </c>
    </row>
    <row r="1739" ht="16.5" customHeight="1">
      <c r="O1739" s="5" t="s">
        <v>355</v>
      </c>
      <c r="P1739" s="5" t="s">
        <v>355</v>
      </c>
      <c r="Q1739" s="5" t="s">
        <v>355</v>
      </c>
    </row>
    <row r="1740" ht="16.5" customHeight="1">
      <c r="O1740" s="5" t="s">
        <v>355</v>
      </c>
      <c r="P1740" s="5" t="s">
        <v>355</v>
      </c>
      <c r="Q1740" s="5" t="s">
        <v>355</v>
      </c>
    </row>
    <row r="1741" ht="16.5" customHeight="1">
      <c r="O1741" s="5" t="s">
        <v>355</v>
      </c>
      <c r="P1741" s="5" t="s">
        <v>355</v>
      </c>
      <c r="Q1741" s="5" t="s">
        <v>355</v>
      </c>
    </row>
    <row r="1742" ht="16.5" customHeight="1">
      <c r="O1742" s="5" t="s">
        <v>355</v>
      </c>
      <c r="P1742" s="5" t="s">
        <v>355</v>
      </c>
      <c r="Q1742" s="5" t="s">
        <v>355</v>
      </c>
    </row>
    <row r="1743" ht="16.5" customHeight="1">
      <c r="O1743" s="5" t="s">
        <v>355</v>
      </c>
      <c r="P1743" s="5" t="s">
        <v>355</v>
      </c>
      <c r="Q1743" s="5" t="s">
        <v>355</v>
      </c>
    </row>
    <row r="1744" ht="16.5" customHeight="1">
      <c r="O1744" s="5" t="s">
        <v>355</v>
      </c>
      <c r="P1744" s="5" t="s">
        <v>355</v>
      </c>
      <c r="Q1744" s="5" t="s">
        <v>355</v>
      </c>
    </row>
    <row r="1745" ht="16.5" customHeight="1">
      <c r="O1745" s="5" t="s">
        <v>355</v>
      </c>
      <c r="P1745" s="5" t="s">
        <v>355</v>
      </c>
      <c r="Q1745" s="5" t="s">
        <v>355</v>
      </c>
    </row>
    <row r="1746" ht="16.5" customHeight="1">
      <c r="O1746" s="5" t="s">
        <v>355</v>
      </c>
      <c r="P1746" s="5" t="s">
        <v>355</v>
      </c>
      <c r="Q1746" s="5" t="s">
        <v>355</v>
      </c>
    </row>
    <row r="1747" ht="16.5" customHeight="1">
      <c r="O1747" s="5" t="s">
        <v>355</v>
      </c>
      <c r="P1747" s="5" t="s">
        <v>355</v>
      </c>
      <c r="Q1747" s="5" t="s">
        <v>355</v>
      </c>
    </row>
    <row r="1748" ht="16.5" customHeight="1">
      <c r="O1748" s="5" t="s">
        <v>355</v>
      </c>
      <c r="P1748" s="5" t="s">
        <v>355</v>
      </c>
      <c r="Q1748" s="5" t="s">
        <v>355</v>
      </c>
    </row>
    <row r="1749" ht="16.5" customHeight="1">
      <c r="O1749" s="5" t="s">
        <v>355</v>
      </c>
      <c r="P1749" s="5" t="s">
        <v>355</v>
      </c>
      <c r="Q1749" s="5" t="s">
        <v>355</v>
      </c>
    </row>
    <row r="1750" ht="16.5" customHeight="1">
      <c r="O1750" s="5" t="s">
        <v>355</v>
      </c>
      <c r="P1750" s="5" t="s">
        <v>355</v>
      </c>
      <c r="Q1750" s="5" t="s">
        <v>355</v>
      </c>
    </row>
    <row r="1751" ht="16.5" customHeight="1">
      <c r="O1751" s="5" t="s">
        <v>355</v>
      </c>
      <c r="P1751" s="5" t="s">
        <v>355</v>
      </c>
      <c r="Q1751" s="5" t="s">
        <v>355</v>
      </c>
    </row>
    <row r="1752" ht="16.5" customHeight="1">
      <c r="O1752" s="5" t="s">
        <v>355</v>
      </c>
      <c r="P1752" s="5" t="s">
        <v>355</v>
      </c>
      <c r="Q1752" s="5" t="s">
        <v>355</v>
      </c>
    </row>
    <row r="1753" ht="16.5" customHeight="1">
      <c r="O1753" s="5" t="s">
        <v>355</v>
      </c>
      <c r="P1753" s="5" t="s">
        <v>355</v>
      </c>
      <c r="Q1753" s="5" t="s">
        <v>355</v>
      </c>
    </row>
    <row r="1754" ht="16.5" customHeight="1">
      <c r="O1754" s="5" t="s">
        <v>355</v>
      </c>
      <c r="P1754" s="5" t="s">
        <v>355</v>
      </c>
      <c r="Q1754" s="5" t="s">
        <v>355</v>
      </c>
    </row>
    <row r="1755" ht="16.5" customHeight="1">
      <c r="O1755" s="5" t="s">
        <v>355</v>
      </c>
      <c r="P1755" s="5" t="s">
        <v>355</v>
      </c>
      <c r="Q1755" s="5" t="s">
        <v>355</v>
      </c>
    </row>
    <row r="1756" ht="16.5" customHeight="1">
      <c r="O1756" s="5" t="s">
        <v>355</v>
      </c>
      <c r="P1756" s="5" t="s">
        <v>355</v>
      </c>
      <c r="Q1756" s="5" t="s">
        <v>355</v>
      </c>
    </row>
    <row r="1757" ht="16.5" customHeight="1">
      <c r="O1757" s="5" t="s">
        <v>355</v>
      </c>
      <c r="P1757" s="5" t="s">
        <v>355</v>
      </c>
      <c r="Q1757" s="5" t="s">
        <v>355</v>
      </c>
    </row>
    <row r="1758" ht="16.5" customHeight="1">
      <c r="O1758" s="5" t="s">
        <v>355</v>
      </c>
      <c r="P1758" s="5" t="s">
        <v>355</v>
      </c>
      <c r="Q1758" s="5" t="s">
        <v>355</v>
      </c>
    </row>
    <row r="1759" ht="16.5" customHeight="1">
      <c r="O1759" s="5" t="s">
        <v>355</v>
      </c>
      <c r="P1759" s="5" t="s">
        <v>355</v>
      </c>
      <c r="Q1759" s="5" t="s">
        <v>355</v>
      </c>
    </row>
    <row r="1760" ht="16.5" customHeight="1">
      <c r="O1760" s="5" t="s">
        <v>355</v>
      </c>
      <c r="P1760" s="5" t="s">
        <v>355</v>
      </c>
      <c r="Q1760" s="5" t="s">
        <v>355</v>
      </c>
    </row>
    <row r="1761" ht="16.5" customHeight="1">
      <c r="O1761" s="5" t="s">
        <v>355</v>
      </c>
      <c r="P1761" s="5" t="s">
        <v>355</v>
      </c>
      <c r="Q1761" s="5" t="s">
        <v>355</v>
      </c>
    </row>
    <row r="1762" ht="16.5" customHeight="1">
      <c r="O1762" s="5" t="s">
        <v>355</v>
      </c>
      <c r="P1762" s="5" t="s">
        <v>355</v>
      </c>
      <c r="Q1762" s="5" t="s">
        <v>355</v>
      </c>
    </row>
    <row r="1763" ht="16.5" customHeight="1">
      <c r="O1763" s="5" t="s">
        <v>355</v>
      </c>
      <c r="P1763" s="5" t="s">
        <v>355</v>
      </c>
      <c r="Q1763" s="5" t="s">
        <v>355</v>
      </c>
    </row>
    <row r="1764" ht="16.5" customHeight="1">
      <c r="O1764" s="5" t="s">
        <v>355</v>
      </c>
      <c r="P1764" s="5" t="s">
        <v>355</v>
      </c>
      <c r="Q1764" s="5" t="s">
        <v>355</v>
      </c>
    </row>
    <row r="1765" ht="16.5" customHeight="1">
      <c r="O1765" s="5" t="s">
        <v>355</v>
      </c>
      <c r="P1765" s="5" t="s">
        <v>355</v>
      </c>
      <c r="Q1765" s="5" t="s">
        <v>355</v>
      </c>
    </row>
    <row r="1766" ht="16.5" customHeight="1">
      <c r="O1766" s="5" t="s">
        <v>355</v>
      </c>
      <c r="P1766" s="5" t="s">
        <v>355</v>
      </c>
      <c r="Q1766" s="5" t="s">
        <v>355</v>
      </c>
    </row>
    <row r="1767" ht="16.5" customHeight="1">
      <c r="O1767" s="5" t="s">
        <v>355</v>
      </c>
      <c r="P1767" s="5" t="s">
        <v>355</v>
      </c>
      <c r="Q1767" s="5" t="s">
        <v>355</v>
      </c>
    </row>
    <row r="1768" ht="16.5" customHeight="1">
      <c r="O1768" s="5" t="s">
        <v>355</v>
      </c>
      <c r="P1768" s="5" t="s">
        <v>355</v>
      </c>
      <c r="Q1768" s="5" t="s">
        <v>355</v>
      </c>
    </row>
    <row r="1769" ht="16.5" customHeight="1">
      <c r="O1769" s="5" t="s">
        <v>355</v>
      </c>
      <c r="P1769" s="5" t="s">
        <v>355</v>
      </c>
      <c r="Q1769" s="5" t="s">
        <v>355</v>
      </c>
    </row>
    <row r="1770" ht="16.5" customHeight="1">
      <c r="O1770" s="5" t="s">
        <v>355</v>
      </c>
      <c r="P1770" s="5" t="s">
        <v>355</v>
      </c>
      <c r="Q1770" s="5" t="s">
        <v>355</v>
      </c>
    </row>
    <row r="1771" ht="16.5" customHeight="1">
      <c r="O1771" s="5" t="s">
        <v>355</v>
      </c>
      <c r="P1771" s="5" t="s">
        <v>355</v>
      </c>
      <c r="Q1771" s="5" t="s">
        <v>355</v>
      </c>
    </row>
    <row r="1772" ht="16.5" customHeight="1">
      <c r="O1772" s="5" t="s">
        <v>355</v>
      </c>
      <c r="P1772" s="5" t="s">
        <v>355</v>
      </c>
      <c r="Q1772" s="5" t="s">
        <v>355</v>
      </c>
    </row>
    <row r="1773" ht="16.5" customHeight="1">
      <c r="O1773" s="5" t="s">
        <v>355</v>
      </c>
      <c r="P1773" s="5" t="s">
        <v>355</v>
      </c>
      <c r="Q1773" s="5" t="s">
        <v>355</v>
      </c>
    </row>
    <row r="1774" ht="16.5" customHeight="1">
      <c r="O1774" s="5" t="s">
        <v>355</v>
      </c>
      <c r="P1774" s="5" t="s">
        <v>355</v>
      </c>
      <c r="Q1774" s="5" t="s">
        <v>355</v>
      </c>
    </row>
    <row r="1775" ht="16.5" customHeight="1">
      <c r="O1775" s="5" t="s">
        <v>355</v>
      </c>
      <c r="P1775" s="5" t="s">
        <v>355</v>
      </c>
      <c r="Q1775" s="5" t="s">
        <v>355</v>
      </c>
    </row>
    <row r="1776" ht="16.5" customHeight="1">
      <c r="O1776" s="5" t="s">
        <v>355</v>
      </c>
      <c r="P1776" s="5" t="s">
        <v>355</v>
      </c>
      <c r="Q1776" s="5" t="s">
        <v>355</v>
      </c>
    </row>
    <row r="1777" ht="16.5" customHeight="1">
      <c r="O1777" s="5" t="s">
        <v>355</v>
      </c>
      <c r="P1777" s="5" t="s">
        <v>355</v>
      </c>
      <c r="Q1777" s="5" t="s">
        <v>355</v>
      </c>
    </row>
    <row r="1778" ht="16.5" customHeight="1">
      <c r="O1778" s="5" t="s">
        <v>355</v>
      </c>
      <c r="P1778" s="5" t="s">
        <v>355</v>
      </c>
      <c r="Q1778" s="5" t="s">
        <v>355</v>
      </c>
    </row>
    <row r="1779" ht="16.5" customHeight="1">
      <c r="O1779" s="5" t="s">
        <v>355</v>
      </c>
      <c r="P1779" s="5" t="s">
        <v>355</v>
      </c>
      <c r="Q1779" s="5" t="s">
        <v>355</v>
      </c>
    </row>
    <row r="1780" ht="16.5" customHeight="1">
      <c r="O1780" s="5" t="s">
        <v>355</v>
      </c>
      <c r="P1780" s="5" t="s">
        <v>355</v>
      </c>
      <c r="Q1780" s="5" t="s">
        <v>355</v>
      </c>
    </row>
    <row r="1781" ht="16.5" customHeight="1">
      <c r="O1781" s="5" t="s">
        <v>355</v>
      </c>
      <c r="P1781" s="5" t="s">
        <v>355</v>
      </c>
      <c r="Q1781" s="5" t="s">
        <v>355</v>
      </c>
    </row>
    <row r="1782" ht="16.5" customHeight="1">
      <c r="O1782" s="5" t="s">
        <v>355</v>
      </c>
      <c r="P1782" s="5" t="s">
        <v>355</v>
      </c>
      <c r="Q1782" s="5" t="s">
        <v>355</v>
      </c>
    </row>
    <row r="1783" ht="16.5" customHeight="1">
      <c r="O1783" s="5" t="s">
        <v>355</v>
      </c>
      <c r="P1783" s="5" t="s">
        <v>355</v>
      </c>
      <c r="Q1783" s="5" t="s">
        <v>355</v>
      </c>
    </row>
    <row r="1784" ht="16.5" customHeight="1">
      <c r="O1784" s="5" t="s">
        <v>355</v>
      </c>
      <c r="P1784" s="5" t="s">
        <v>355</v>
      </c>
      <c r="Q1784" s="5" t="s">
        <v>355</v>
      </c>
    </row>
    <row r="1785" ht="16.5" customHeight="1">
      <c r="O1785" s="5" t="s">
        <v>355</v>
      </c>
      <c r="P1785" s="5" t="s">
        <v>355</v>
      </c>
      <c r="Q1785" s="5" t="s">
        <v>355</v>
      </c>
    </row>
    <row r="1786" ht="16.5" customHeight="1">
      <c r="O1786" s="5" t="s">
        <v>355</v>
      </c>
      <c r="P1786" s="5" t="s">
        <v>355</v>
      </c>
      <c r="Q1786" s="5" t="s">
        <v>355</v>
      </c>
    </row>
    <row r="1787" ht="16.5" customHeight="1">
      <c r="O1787" s="5" t="s">
        <v>355</v>
      </c>
      <c r="P1787" s="5" t="s">
        <v>355</v>
      </c>
      <c r="Q1787" s="5" t="s">
        <v>355</v>
      </c>
    </row>
    <row r="1788" ht="16.5" customHeight="1">
      <c r="O1788" s="5" t="s">
        <v>355</v>
      </c>
      <c r="P1788" s="5" t="s">
        <v>355</v>
      </c>
      <c r="Q1788" s="5" t="s">
        <v>355</v>
      </c>
    </row>
    <row r="1789" ht="16.5" customHeight="1">
      <c r="O1789" s="5" t="s">
        <v>355</v>
      </c>
      <c r="P1789" s="5" t="s">
        <v>355</v>
      </c>
      <c r="Q1789" s="5" t="s">
        <v>355</v>
      </c>
    </row>
    <row r="1790" ht="16.5" customHeight="1">
      <c r="O1790" s="5" t="s">
        <v>355</v>
      </c>
      <c r="P1790" s="5" t="s">
        <v>355</v>
      </c>
      <c r="Q1790" s="5" t="s">
        <v>355</v>
      </c>
    </row>
    <row r="1791" ht="16.5" customHeight="1">
      <c r="O1791" s="5" t="s">
        <v>355</v>
      </c>
      <c r="P1791" s="5" t="s">
        <v>355</v>
      </c>
      <c r="Q1791" s="5" t="s">
        <v>355</v>
      </c>
    </row>
    <row r="1792" ht="16.5" customHeight="1">
      <c r="O1792" s="5" t="s">
        <v>355</v>
      </c>
      <c r="P1792" s="5" t="s">
        <v>355</v>
      </c>
      <c r="Q1792" s="5" t="s">
        <v>355</v>
      </c>
    </row>
    <row r="1793" ht="16.5" customHeight="1">
      <c r="O1793" s="5" t="s">
        <v>355</v>
      </c>
      <c r="P1793" s="5" t="s">
        <v>355</v>
      </c>
      <c r="Q1793" s="5" t="s">
        <v>355</v>
      </c>
    </row>
    <row r="1794" ht="16.5" customHeight="1">
      <c r="O1794" s="5" t="s">
        <v>355</v>
      </c>
      <c r="P1794" s="5" t="s">
        <v>355</v>
      </c>
      <c r="Q1794" s="5" t="s">
        <v>355</v>
      </c>
    </row>
    <row r="1795" ht="16.5" customHeight="1">
      <c r="O1795" s="5" t="s">
        <v>355</v>
      </c>
      <c r="P1795" s="5" t="s">
        <v>355</v>
      </c>
      <c r="Q1795" s="5" t="s">
        <v>355</v>
      </c>
    </row>
    <row r="1796" ht="16.5" customHeight="1">
      <c r="O1796" s="5" t="s">
        <v>355</v>
      </c>
      <c r="P1796" s="5" t="s">
        <v>355</v>
      </c>
      <c r="Q1796" s="5" t="s">
        <v>355</v>
      </c>
    </row>
    <row r="1797" ht="16.5" customHeight="1">
      <c r="O1797" s="5" t="s">
        <v>355</v>
      </c>
      <c r="P1797" s="5" t="s">
        <v>355</v>
      </c>
      <c r="Q1797" s="5" t="s">
        <v>355</v>
      </c>
    </row>
    <row r="1798" ht="16.5" customHeight="1">
      <c r="O1798" s="5" t="s">
        <v>355</v>
      </c>
      <c r="P1798" s="5" t="s">
        <v>355</v>
      </c>
      <c r="Q1798" s="5" t="s">
        <v>355</v>
      </c>
    </row>
    <row r="1799" ht="16.5" customHeight="1">
      <c r="O1799" s="5" t="s">
        <v>355</v>
      </c>
      <c r="P1799" s="5" t="s">
        <v>355</v>
      </c>
      <c r="Q1799" s="5" t="s">
        <v>355</v>
      </c>
    </row>
    <row r="1800" ht="16.5" customHeight="1">
      <c r="O1800" s="5" t="s">
        <v>355</v>
      </c>
      <c r="P1800" s="5" t="s">
        <v>355</v>
      </c>
      <c r="Q1800" s="5" t="s">
        <v>355</v>
      </c>
    </row>
    <row r="1801" ht="16.5" customHeight="1">
      <c r="O1801" s="5" t="s">
        <v>355</v>
      </c>
      <c r="P1801" s="5" t="s">
        <v>355</v>
      </c>
      <c r="Q1801" s="5" t="s">
        <v>355</v>
      </c>
    </row>
    <row r="1802" ht="16.5" customHeight="1">
      <c r="O1802" s="5" t="s">
        <v>355</v>
      </c>
      <c r="P1802" s="5" t="s">
        <v>355</v>
      </c>
      <c r="Q1802" s="5" t="s">
        <v>355</v>
      </c>
    </row>
    <row r="1803" ht="16.5" customHeight="1">
      <c r="O1803" s="5" t="s">
        <v>355</v>
      </c>
      <c r="P1803" s="5" t="s">
        <v>355</v>
      </c>
      <c r="Q1803" s="5" t="s">
        <v>355</v>
      </c>
    </row>
    <row r="1804" ht="16.5" customHeight="1">
      <c r="O1804" s="5" t="s">
        <v>355</v>
      </c>
      <c r="P1804" s="5" t="s">
        <v>355</v>
      </c>
      <c r="Q1804" s="5" t="s">
        <v>355</v>
      </c>
    </row>
    <row r="1805" ht="16.5" customHeight="1">
      <c r="O1805" s="5" t="s">
        <v>355</v>
      </c>
      <c r="P1805" s="5" t="s">
        <v>355</v>
      </c>
      <c r="Q1805" s="5" t="s">
        <v>355</v>
      </c>
    </row>
    <row r="1806" ht="16.5" customHeight="1">
      <c r="O1806" s="5" t="s">
        <v>355</v>
      </c>
      <c r="P1806" s="5" t="s">
        <v>355</v>
      </c>
      <c r="Q1806" s="5" t="s">
        <v>355</v>
      </c>
    </row>
    <row r="1807" ht="16.5" customHeight="1">
      <c r="O1807" s="5" t="s">
        <v>355</v>
      </c>
      <c r="P1807" s="5" t="s">
        <v>355</v>
      </c>
      <c r="Q1807" s="5" t="s">
        <v>355</v>
      </c>
    </row>
    <row r="1808" ht="16.5" customHeight="1">
      <c r="O1808" s="5" t="s">
        <v>355</v>
      </c>
      <c r="P1808" s="5" t="s">
        <v>355</v>
      </c>
      <c r="Q1808" s="5" t="s">
        <v>355</v>
      </c>
    </row>
    <row r="1809" ht="16.5" customHeight="1">
      <c r="O1809" s="5" t="s">
        <v>355</v>
      </c>
      <c r="P1809" s="5" t="s">
        <v>355</v>
      </c>
      <c r="Q1809" s="5" t="s">
        <v>355</v>
      </c>
    </row>
    <row r="1810" ht="16.5" customHeight="1">
      <c r="O1810" s="5" t="s">
        <v>355</v>
      </c>
      <c r="P1810" s="5" t="s">
        <v>355</v>
      </c>
      <c r="Q1810" s="5" t="s">
        <v>355</v>
      </c>
    </row>
    <row r="1811" ht="16.5" customHeight="1">
      <c r="O1811" s="5" t="s">
        <v>355</v>
      </c>
      <c r="P1811" s="5" t="s">
        <v>355</v>
      </c>
      <c r="Q1811" s="5" t="s">
        <v>355</v>
      </c>
    </row>
    <row r="1812" ht="16.5" customHeight="1">
      <c r="O1812" s="5" t="s">
        <v>355</v>
      </c>
      <c r="P1812" s="5" t="s">
        <v>355</v>
      </c>
      <c r="Q1812" s="5" t="s">
        <v>355</v>
      </c>
    </row>
    <row r="1813" ht="16.5" customHeight="1">
      <c r="O1813" s="5" t="s">
        <v>355</v>
      </c>
      <c r="P1813" s="5" t="s">
        <v>355</v>
      </c>
      <c r="Q1813" s="5" t="s">
        <v>355</v>
      </c>
    </row>
    <row r="1814" ht="16.5" customHeight="1">
      <c r="O1814" s="5" t="s">
        <v>355</v>
      </c>
      <c r="P1814" s="5" t="s">
        <v>355</v>
      </c>
      <c r="Q1814" s="5" t="s">
        <v>355</v>
      </c>
    </row>
    <row r="1815" ht="16.5" customHeight="1">
      <c r="O1815" s="5" t="s">
        <v>355</v>
      </c>
      <c r="P1815" s="5" t="s">
        <v>355</v>
      </c>
      <c r="Q1815" s="5" t="s">
        <v>355</v>
      </c>
    </row>
    <row r="1816" ht="16.5" customHeight="1">
      <c r="O1816" s="5" t="s">
        <v>355</v>
      </c>
      <c r="P1816" s="5" t="s">
        <v>355</v>
      </c>
      <c r="Q1816" s="5" t="s">
        <v>355</v>
      </c>
    </row>
    <row r="1817" ht="16.5" customHeight="1">
      <c r="O1817" s="5" t="s">
        <v>355</v>
      </c>
      <c r="P1817" s="5" t="s">
        <v>355</v>
      </c>
      <c r="Q1817" s="5" t="s">
        <v>355</v>
      </c>
    </row>
    <row r="1818" ht="16.5" customHeight="1">
      <c r="O1818" s="5" t="s">
        <v>355</v>
      </c>
      <c r="P1818" s="5" t="s">
        <v>355</v>
      </c>
      <c r="Q1818" s="5" t="s">
        <v>355</v>
      </c>
    </row>
    <row r="1819" ht="16.5" customHeight="1">
      <c r="O1819" s="5" t="s">
        <v>355</v>
      </c>
      <c r="P1819" s="5" t="s">
        <v>355</v>
      </c>
      <c r="Q1819" s="5" t="s">
        <v>355</v>
      </c>
    </row>
    <row r="1820" ht="16.5" customHeight="1">
      <c r="O1820" s="5" t="s">
        <v>355</v>
      </c>
      <c r="P1820" s="5" t="s">
        <v>355</v>
      </c>
      <c r="Q1820" s="5" t="s">
        <v>355</v>
      </c>
    </row>
    <row r="1821" ht="16.5" customHeight="1">
      <c r="O1821" s="5" t="s">
        <v>355</v>
      </c>
      <c r="P1821" s="5" t="s">
        <v>355</v>
      </c>
      <c r="Q1821" s="5" t="s">
        <v>355</v>
      </c>
    </row>
    <row r="1822" ht="16.5" customHeight="1">
      <c r="O1822" s="5" t="s">
        <v>355</v>
      </c>
      <c r="P1822" s="5" t="s">
        <v>355</v>
      </c>
      <c r="Q1822" s="5" t="s">
        <v>355</v>
      </c>
    </row>
    <row r="1823" ht="16.5" customHeight="1">
      <c r="O1823" s="5" t="s">
        <v>355</v>
      </c>
      <c r="P1823" s="5" t="s">
        <v>355</v>
      </c>
      <c r="Q1823" s="5" t="s">
        <v>355</v>
      </c>
    </row>
    <row r="1824" ht="16.5" customHeight="1">
      <c r="O1824" s="5" t="s">
        <v>355</v>
      </c>
      <c r="P1824" s="5" t="s">
        <v>355</v>
      </c>
      <c r="Q1824" s="5" t="s">
        <v>355</v>
      </c>
    </row>
    <row r="1825" ht="16.5" customHeight="1">
      <c r="O1825" s="5" t="s">
        <v>355</v>
      </c>
      <c r="P1825" s="5" t="s">
        <v>355</v>
      </c>
      <c r="Q1825" s="5" t="s">
        <v>355</v>
      </c>
    </row>
    <row r="1826" ht="16.5" customHeight="1">
      <c r="O1826" s="5" t="s">
        <v>355</v>
      </c>
      <c r="P1826" s="5" t="s">
        <v>355</v>
      </c>
      <c r="Q1826" s="5" t="s">
        <v>355</v>
      </c>
    </row>
    <row r="1827" ht="16.5" customHeight="1">
      <c r="O1827" s="5" t="s">
        <v>355</v>
      </c>
      <c r="P1827" s="5" t="s">
        <v>355</v>
      </c>
      <c r="Q1827" s="5" t="s">
        <v>355</v>
      </c>
    </row>
    <row r="1828" ht="16.5" customHeight="1">
      <c r="O1828" s="5" t="s">
        <v>355</v>
      </c>
      <c r="P1828" s="5" t="s">
        <v>355</v>
      </c>
      <c r="Q1828" s="5" t="s">
        <v>355</v>
      </c>
    </row>
    <row r="1829" ht="16.5" customHeight="1">
      <c r="O1829" s="5" t="s">
        <v>355</v>
      </c>
      <c r="P1829" s="5" t="s">
        <v>355</v>
      </c>
      <c r="Q1829" s="5" t="s">
        <v>355</v>
      </c>
    </row>
    <row r="1830" ht="16.5" customHeight="1">
      <c r="O1830" s="5" t="s">
        <v>355</v>
      </c>
      <c r="P1830" s="5" t="s">
        <v>355</v>
      </c>
      <c r="Q1830" s="5" t="s">
        <v>355</v>
      </c>
    </row>
    <row r="1831" ht="16.5" customHeight="1">
      <c r="O1831" s="5" t="s">
        <v>355</v>
      </c>
      <c r="P1831" s="5" t="s">
        <v>355</v>
      </c>
      <c r="Q1831" s="5" t="s">
        <v>355</v>
      </c>
    </row>
    <row r="1832" ht="16.5" customHeight="1">
      <c r="O1832" s="5" t="s">
        <v>355</v>
      </c>
      <c r="P1832" s="5" t="s">
        <v>355</v>
      </c>
      <c r="Q1832" s="5" t="s">
        <v>355</v>
      </c>
    </row>
    <row r="1833" ht="16.5" customHeight="1">
      <c r="O1833" s="5" t="s">
        <v>355</v>
      </c>
      <c r="P1833" s="5" t="s">
        <v>355</v>
      </c>
      <c r="Q1833" s="5" t="s">
        <v>355</v>
      </c>
    </row>
    <row r="1834" ht="16.5" customHeight="1">
      <c r="O1834" s="5" t="s">
        <v>355</v>
      </c>
      <c r="P1834" s="5" t="s">
        <v>355</v>
      </c>
      <c r="Q1834" s="5" t="s">
        <v>355</v>
      </c>
    </row>
    <row r="1835" ht="16.5" customHeight="1">
      <c r="O1835" s="5" t="s">
        <v>355</v>
      </c>
      <c r="P1835" s="5" t="s">
        <v>355</v>
      </c>
      <c r="Q1835" s="5" t="s">
        <v>355</v>
      </c>
    </row>
    <row r="1836" ht="16.5" customHeight="1">
      <c r="O1836" s="5" t="s">
        <v>355</v>
      </c>
      <c r="P1836" s="5" t="s">
        <v>355</v>
      </c>
      <c r="Q1836" s="5" t="s">
        <v>355</v>
      </c>
    </row>
    <row r="1837" ht="16.5" customHeight="1">
      <c r="O1837" s="5" t="s">
        <v>355</v>
      </c>
      <c r="P1837" s="5" t="s">
        <v>355</v>
      </c>
      <c r="Q1837" s="5" t="s">
        <v>355</v>
      </c>
    </row>
    <row r="1838" ht="16.5" customHeight="1">
      <c r="O1838" s="5" t="s">
        <v>355</v>
      </c>
      <c r="P1838" s="5" t="s">
        <v>355</v>
      </c>
      <c r="Q1838" s="5" t="s">
        <v>355</v>
      </c>
    </row>
    <row r="1839" ht="16.5" customHeight="1">
      <c r="O1839" s="5" t="s">
        <v>355</v>
      </c>
      <c r="P1839" s="5" t="s">
        <v>355</v>
      </c>
      <c r="Q1839" s="5" t="s">
        <v>355</v>
      </c>
    </row>
    <row r="1840" ht="16.5" customHeight="1">
      <c r="O1840" s="5" t="s">
        <v>355</v>
      </c>
      <c r="P1840" s="5" t="s">
        <v>355</v>
      </c>
      <c r="Q1840" s="5" t="s">
        <v>355</v>
      </c>
    </row>
    <row r="1841" ht="16.5" customHeight="1">
      <c r="O1841" s="5" t="s">
        <v>355</v>
      </c>
      <c r="P1841" s="5" t="s">
        <v>355</v>
      </c>
      <c r="Q1841" s="5" t="s">
        <v>355</v>
      </c>
    </row>
    <row r="1842" ht="16.5" customHeight="1">
      <c r="O1842" s="5" t="s">
        <v>355</v>
      </c>
      <c r="P1842" s="5" t="s">
        <v>355</v>
      </c>
      <c r="Q1842" s="5" t="s">
        <v>355</v>
      </c>
    </row>
    <row r="1843" ht="16.5" customHeight="1">
      <c r="O1843" s="5" t="s">
        <v>355</v>
      </c>
      <c r="P1843" s="5" t="s">
        <v>355</v>
      </c>
      <c r="Q1843" s="5" t="s">
        <v>355</v>
      </c>
    </row>
    <row r="1844" ht="16.5" customHeight="1">
      <c r="O1844" s="5" t="s">
        <v>355</v>
      </c>
      <c r="P1844" s="5" t="s">
        <v>355</v>
      </c>
      <c r="Q1844" s="5" t="s">
        <v>355</v>
      </c>
    </row>
    <row r="1845" ht="16.5" customHeight="1">
      <c r="O1845" s="5" t="s">
        <v>355</v>
      </c>
      <c r="P1845" s="5" t="s">
        <v>355</v>
      </c>
      <c r="Q1845" s="5" t="s">
        <v>355</v>
      </c>
    </row>
    <row r="1846" ht="16.5" customHeight="1">
      <c r="O1846" s="5" t="s">
        <v>355</v>
      </c>
      <c r="P1846" s="5" t="s">
        <v>355</v>
      </c>
      <c r="Q1846" s="5" t="s">
        <v>355</v>
      </c>
    </row>
    <row r="1847" ht="16.5" customHeight="1">
      <c r="O1847" s="5" t="s">
        <v>355</v>
      </c>
      <c r="P1847" s="5" t="s">
        <v>355</v>
      </c>
      <c r="Q1847" s="5" t="s">
        <v>355</v>
      </c>
    </row>
    <row r="1848" ht="16.5" customHeight="1">
      <c r="O1848" s="5" t="s">
        <v>355</v>
      </c>
      <c r="P1848" s="5" t="s">
        <v>355</v>
      </c>
      <c r="Q1848" s="5" t="s">
        <v>355</v>
      </c>
    </row>
    <row r="1849" ht="16.5" customHeight="1">
      <c r="O1849" s="5" t="s">
        <v>355</v>
      </c>
      <c r="P1849" s="5" t="s">
        <v>355</v>
      </c>
      <c r="Q1849" s="5" t="s">
        <v>355</v>
      </c>
    </row>
    <row r="1850" ht="16.5" customHeight="1">
      <c r="O1850" s="5" t="s">
        <v>355</v>
      </c>
      <c r="P1850" s="5" t="s">
        <v>355</v>
      </c>
      <c r="Q1850" s="5" t="s">
        <v>355</v>
      </c>
    </row>
    <row r="1851" ht="16.5" customHeight="1">
      <c r="O1851" s="5" t="s">
        <v>355</v>
      </c>
      <c r="P1851" s="5" t="s">
        <v>355</v>
      </c>
      <c r="Q1851" s="5" t="s">
        <v>355</v>
      </c>
    </row>
    <row r="1852" ht="16.5" customHeight="1">
      <c r="O1852" s="5" t="s">
        <v>355</v>
      </c>
      <c r="P1852" s="5" t="s">
        <v>355</v>
      </c>
      <c r="Q1852" s="5" t="s">
        <v>355</v>
      </c>
    </row>
    <row r="1853" ht="16.5" customHeight="1">
      <c r="O1853" s="5" t="s">
        <v>355</v>
      </c>
      <c r="P1853" s="5" t="s">
        <v>355</v>
      </c>
      <c r="Q1853" s="5" t="s">
        <v>355</v>
      </c>
    </row>
    <row r="1854" ht="16.5" customHeight="1">
      <c r="O1854" s="5" t="s">
        <v>355</v>
      </c>
      <c r="P1854" s="5" t="s">
        <v>355</v>
      </c>
      <c r="Q1854" s="5" t="s">
        <v>355</v>
      </c>
    </row>
    <row r="1855" ht="16.5" customHeight="1">
      <c r="O1855" s="5" t="s">
        <v>355</v>
      </c>
      <c r="P1855" s="5" t="s">
        <v>355</v>
      </c>
      <c r="Q1855" s="5" t="s">
        <v>355</v>
      </c>
    </row>
    <row r="1856" ht="16.5" customHeight="1">
      <c r="O1856" s="5" t="s">
        <v>355</v>
      </c>
      <c r="P1856" s="5" t="s">
        <v>355</v>
      </c>
      <c r="Q1856" s="5" t="s">
        <v>355</v>
      </c>
    </row>
    <row r="1857" ht="16.5" customHeight="1">
      <c r="O1857" s="5" t="s">
        <v>355</v>
      </c>
      <c r="P1857" s="5" t="s">
        <v>355</v>
      </c>
      <c r="Q1857" s="5" t="s">
        <v>355</v>
      </c>
    </row>
    <row r="1858" ht="16.5" customHeight="1">
      <c r="O1858" s="5" t="s">
        <v>355</v>
      </c>
      <c r="P1858" s="5" t="s">
        <v>355</v>
      </c>
      <c r="Q1858" s="5" t="s">
        <v>355</v>
      </c>
    </row>
    <row r="1859" ht="16.5" customHeight="1">
      <c r="O1859" s="5" t="s">
        <v>355</v>
      </c>
      <c r="P1859" s="5" t="s">
        <v>355</v>
      </c>
      <c r="Q1859" s="5" t="s">
        <v>355</v>
      </c>
    </row>
    <row r="1860" ht="16.5" customHeight="1">
      <c r="O1860" s="5" t="s">
        <v>355</v>
      </c>
      <c r="P1860" s="5" t="s">
        <v>355</v>
      </c>
      <c r="Q1860" s="5" t="s">
        <v>355</v>
      </c>
    </row>
    <row r="1861" ht="16.5" customHeight="1">
      <c r="O1861" s="5" t="s">
        <v>355</v>
      </c>
      <c r="P1861" s="5" t="s">
        <v>355</v>
      </c>
      <c r="Q1861" s="5" t="s">
        <v>355</v>
      </c>
    </row>
    <row r="1862" ht="16.5" customHeight="1">
      <c r="O1862" s="5" t="s">
        <v>355</v>
      </c>
      <c r="P1862" s="5" t="s">
        <v>355</v>
      </c>
      <c r="Q1862" s="5" t="s">
        <v>355</v>
      </c>
    </row>
    <row r="1863" ht="16.5" customHeight="1">
      <c r="O1863" s="5" t="s">
        <v>355</v>
      </c>
      <c r="P1863" s="5" t="s">
        <v>355</v>
      </c>
      <c r="Q1863" s="5" t="s">
        <v>355</v>
      </c>
    </row>
    <row r="1864" ht="16.5" customHeight="1">
      <c r="O1864" s="5" t="s">
        <v>355</v>
      </c>
      <c r="P1864" s="5" t="s">
        <v>355</v>
      </c>
      <c r="Q1864" s="5" t="s">
        <v>355</v>
      </c>
    </row>
    <row r="1865" ht="16.5" customHeight="1">
      <c r="O1865" s="5" t="s">
        <v>355</v>
      </c>
      <c r="P1865" s="5" t="s">
        <v>355</v>
      </c>
      <c r="Q1865" s="5" t="s">
        <v>355</v>
      </c>
    </row>
    <row r="1866" ht="16.5" customHeight="1">
      <c r="O1866" s="5" t="s">
        <v>355</v>
      </c>
      <c r="P1866" s="5" t="s">
        <v>355</v>
      </c>
      <c r="Q1866" s="5" t="s">
        <v>355</v>
      </c>
    </row>
    <row r="1867" ht="16.5" customHeight="1">
      <c r="O1867" s="5" t="s">
        <v>355</v>
      </c>
      <c r="P1867" s="5" t="s">
        <v>355</v>
      </c>
      <c r="Q1867" s="5" t="s">
        <v>355</v>
      </c>
    </row>
    <row r="1868" ht="16.5" customHeight="1">
      <c r="O1868" s="5" t="s">
        <v>355</v>
      </c>
      <c r="P1868" s="5" t="s">
        <v>355</v>
      </c>
      <c r="Q1868" s="5" t="s">
        <v>355</v>
      </c>
    </row>
    <row r="1869" ht="16.5" customHeight="1">
      <c r="O1869" s="5" t="s">
        <v>355</v>
      </c>
      <c r="P1869" s="5" t="s">
        <v>355</v>
      </c>
      <c r="Q1869" s="5" t="s">
        <v>355</v>
      </c>
    </row>
    <row r="1870" ht="16.5" customHeight="1">
      <c r="O1870" s="5" t="s">
        <v>355</v>
      </c>
      <c r="P1870" s="5" t="s">
        <v>355</v>
      </c>
      <c r="Q1870" s="5" t="s">
        <v>355</v>
      </c>
    </row>
    <row r="1871" ht="16.5" customHeight="1">
      <c r="O1871" s="5" t="s">
        <v>355</v>
      </c>
      <c r="P1871" s="5" t="s">
        <v>355</v>
      </c>
      <c r="Q1871" s="5" t="s">
        <v>355</v>
      </c>
    </row>
    <row r="1872" ht="16.5" customHeight="1">
      <c r="O1872" s="5" t="s">
        <v>355</v>
      </c>
      <c r="P1872" s="5" t="s">
        <v>355</v>
      </c>
      <c r="Q1872" s="5" t="s">
        <v>355</v>
      </c>
    </row>
    <row r="1873" ht="16.5" customHeight="1">
      <c r="O1873" s="5" t="s">
        <v>355</v>
      </c>
      <c r="P1873" s="5" t="s">
        <v>355</v>
      </c>
      <c r="Q1873" s="5" t="s">
        <v>355</v>
      </c>
    </row>
    <row r="1874" ht="16.5" customHeight="1">
      <c r="O1874" s="5" t="s">
        <v>355</v>
      </c>
      <c r="P1874" s="5" t="s">
        <v>355</v>
      </c>
      <c r="Q1874" s="5" t="s">
        <v>355</v>
      </c>
    </row>
    <row r="1875" ht="16.5" customHeight="1">
      <c r="O1875" s="5" t="s">
        <v>355</v>
      </c>
      <c r="P1875" s="5" t="s">
        <v>355</v>
      </c>
      <c r="Q1875" s="5" t="s">
        <v>355</v>
      </c>
    </row>
    <row r="1876" ht="16.5" customHeight="1">
      <c r="O1876" s="5" t="s">
        <v>355</v>
      </c>
      <c r="P1876" s="5" t="s">
        <v>355</v>
      </c>
      <c r="Q1876" s="5" t="s">
        <v>355</v>
      </c>
    </row>
    <row r="1877" ht="16.5" customHeight="1">
      <c r="O1877" s="5" t="s">
        <v>355</v>
      </c>
      <c r="P1877" s="5" t="s">
        <v>355</v>
      </c>
      <c r="Q1877" s="5" t="s">
        <v>355</v>
      </c>
    </row>
    <row r="1878" ht="16.5" customHeight="1">
      <c r="O1878" s="5" t="s">
        <v>355</v>
      </c>
      <c r="P1878" s="5" t="s">
        <v>355</v>
      </c>
      <c r="Q1878" s="5" t="s">
        <v>355</v>
      </c>
    </row>
    <row r="1879" ht="16.5" customHeight="1">
      <c r="O1879" s="5" t="s">
        <v>355</v>
      </c>
      <c r="P1879" s="5" t="s">
        <v>355</v>
      </c>
      <c r="Q1879" s="5" t="s">
        <v>355</v>
      </c>
    </row>
    <row r="1880" ht="16.5" customHeight="1">
      <c r="O1880" s="5" t="s">
        <v>355</v>
      </c>
      <c r="P1880" s="5" t="s">
        <v>355</v>
      </c>
      <c r="Q1880" s="5" t="s">
        <v>355</v>
      </c>
    </row>
    <row r="1881" ht="16.5" customHeight="1">
      <c r="O1881" s="5" t="s">
        <v>355</v>
      </c>
      <c r="P1881" s="5" t="s">
        <v>355</v>
      </c>
      <c r="Q1881" s="5" t="s">
        <v>355</v>
      </c>
    </row>
    <row r="1882" ht="16.5" customHeight="1">
      <c r="O1882" s="5" t="s">
        <v>355</v>
      </c>
      <c r="P1882" s="5" t="s">
        <v>355</v>
      </c>
      <c r="Q1882" s="5" t="s">
        <v>355</v>
      </c>
    </row>
    <row r="1883" ht="16.5" customHeight="1">
      <c r="O1883" s="5" t="s">
        <v>355</v>
      </c>
      <c r="P1883" s="5" t="s">
        <v>355</v>
      </c>
      <c r="Q1883" s="5" t="s">
        <v>355</v>
      </c>
    </row>
    <row r="1884" ht="16.5" customHeight="1">
      <c r="O1884" s="5" t="s">
        <v>355</v>
      </c>
      <c r="P1884" s="5" t="s">
        <v>355</v>
      </c>
      <c r="Q1884" s="5" t="s">
        <v>355</v>
      </c>
    </row>
    <row r="1885" ht="16.5" customHeight="1">
      <c r="O1885" s="5" t="s">
        <v>355</v>
      </c>
      <c r="P1885" s="5" t="s">
        <v>355</v>
      </c>
      <c r="Q1885" s="5" t="s">
        <v>355</v>
      </c>
    </row>
    <row r="1886" ht="16.5" customHeight="1">
      <c r="O1886" s="5" t="s">
        <v>355</v>
      </c>
      <c r="P1886" s="5" t="s">
        <v>355</v>
      </c>
      <c r="Q1886" s="5" t="s">
        <v>355</v>
      </c>
    </row>
    <row r="1887" ht="16.5" customHeight="1">
      <c r="O1887" s="5" t="s">
        <v>355</v>
      </c>
      <c r="P1887" s="5" t="s">
        <v>355</v>
      </c>
      <c r="Q1887" s="5" t="s">
        <v>355</v>
      </c>
    </row>
    <row r="1888" ht="16.5" customHeight="1">
      <c r="O1888" s="5" t="s">
        <v>355</v>
      </c>
      <c r="P1888" s="5" t="s">
        <v>355</v>
      </c>
      <c r="Q1888" s="5" t="s">
        <v>355</v>
      </c>
    </row>
    <row r="1889" ht="16.5" customHeight="1">
      <c r="O1889" s="5" t="s">
        <v>355</v>
      </c>
      <c r="P1889" s="5" t="s">
        <v>355</v>
      </c>
      <c r="Q1889" s="5" t="s">
        <v>355</v>
      </c>
    </row>
    <row r="1890" ht="16.5" customHeight="1">
      <c r="O1890" s="5" t="s">
        <v>355</v>
      </c>
      <c r="P1890" s="5" t="s">
        <v>355</v>
      </c>
      <c r="Q1890" s="5" t="s">
        <v>355</v>
      </c>
    </row>
    <row r="1891" ht="16.5" customHeight="1">
      <c r="O1891" s="5" t="s">
        <v>355</v>
      </c>
      <c r="P1891" s="5" t="s">
        <v>355</v>
      </c>
      <c r="Q1891" s="5" t="s">
        <v>355</v>
      </c>
    </row>
    <row r="1892" ht="16.5" customHeight="1">
      <c r="O1892" s="5" t="s">
        <v>355</v>
      </c>
      <c r="P1892" s="5" t="s">
        <v>355</v>
      </c>
      <c r="Q1892" s="5" t="s">
        <v>355</v>
      </c>
    </row>
    <row r="1893" ht="16.5" customHeight="1">
      <c r="O1893" s="5" t="s">
        <v>355</v>
      </c>
      <c r="P1893" s="5" t="s">
        <v>355</v>
      </c>
      <c r="Q1893" s="5" t="s">
        <v>355</v>
      </c>
    </row>
    <row r="1894" ht="16.5" customHeight="1">
      <c r="O1894" s="5" t="s">
        <v>355</v>
      </c>
      <c r="P1894" s="5" t="s">
        <v>355</v>
      </c>
      <c r="Q1894" s="5" t="s">
        <v>355</v>
      </c>
    </row>
    <row r="1895" ht="16.5" customHeight="1">
      <c r="O1895" s="5" t="s">
        <v>355</v>
      </c>
      <c r="P1895" s="5" t="s">
        <v>355</v>
      </c>
      <c r="Q1895" s="5" t="s">
        <v>355</v>
      </c>
    </row>
    <row r="1896" ht="16.5" customHeight="1">
      <c r="O1896" s="5" t="s">
        <v>355</v>
      </c>
      <c r="P1896" s="5" t="s">
        <v>355</v>
      </c>
      <c r="Q1896" s="5" t="s">
        <v>355</v>
      </c>
    </row>
    <row r="1897" ht="16.5" customHeight="1">
      <c r="O1897" s="5" t="s">
        <v>355</v>
      </c>
      <c r="P1897" s="5" t="s">
        <v>355</v>
      </c>
      <c r="Q1897" s="5" t="s">
        <v>355</v>
      </c>
    </row>
    <row r="1898" ht="16.5" customHeight="1">
      <c r="O1898" s="5" t="s">
        <v>355</v>
      </c>
      <c r="P1898" s="5" t="s">
        <v>355</v>
      </c>
      <c r="Q1898" s="5" t="s">
        <v>355</v>
      </c>
    </row>
    <row r="1899" ht="16.5" customHeight="1">
      <c r="O1899" s="5" t="s">
        <v>355</v>
      </c>
      <c r="P1899" s="5" t="s">
        <v>355</v>
      </c>
      <c r="Q1899" s="5" t="s">
        <v>355</v>
      </c>
    </row>
    <row r="1900" ht="16.5" customHeight="1">
      <c r="O1900" s="5" t="s">
        <v>355</v>
      </c>
      <c r="P1900" s="5" t="s">
        <v>355</v>
      </c>
      <c r="Q1900" s="5" t="s">
        <v>355</v>
      </c>
    </row>
    <row r="1901" ht="16.5" customHeight="1">
      <c r="O1901" s="5" t="s">
        <v>355</v>
      </c>
      <c r="P1901" s="5" t="s">
        <v>355</v>
      </c>
      <c r="Q1901" s="5" t="s">
        <v>355</v>
      </c>
    </row>
    <row r="1902" ht="16.5" customHeight="1">
      <c r="O1902" s="5" t="s">
        <v>355</v>
      </c>
      <c r="P1902" s="5" t="s">
        <v>355</v>
      </c>
      <c r="Q1902" s="5" t="s">
        <v>355</v>
      </c>
    </row>
    <row r="1903" ht="16.5" customHeight="1">
      <c r="O1903" s="5" t="s">
        <v>355</v>
      </c>
      <c r="P1903" s="5" t="s">
        <v>355</v>
      </c>
      <c r="Q1903" s="5" t="s">
        <v>355</v>
      </c>
    </row>
    <row r="1904" ht="16.5" customHeight="1">
      <c r="O1904" s="5" t="s">
        <v>355</v>
      </c>
      <c r="P1904" s="5" t="s">
        <v>355</v>
      </c>
      <c r="Q1904" s="5" t="s">
        <v>355</v>
      </c>
    </row>
    <row r="1905" ht="16.5" customHeight="1">
      <c r="O1905" s="5" t="s">
        <v>355</v>
      </c>
      <c r="P1905" s="5" t="s">
        <v>355</v>
      </c>
      <c r="Q1905" s="5" t="s">
        <v>355</v>
      </c>
    </row>
    <row r="1906" ht="16.5" customHeight="1">
      <c r="O1906" s="5" t="s">
        <v>355</v>
      </c>
      <c r="P1906" s="5" t="s">
        <v>355</v>
      </c>
      <c r="Q1906" s="5" t="s">
        <v>355</v>
      </c>
    </row>
    <row r="1907" ht="16.5" customHeight="1">
      <c r="O1907" s="5" t="s">
        <v>355</v>
      </c>
      <c r="P1907" s="5" t="s">
        <v>355</v>
      </c>
      <c r="Q1907" s="5" t="s">
        <v>355</v>
      </c>
    </row>
    <row r="1908" ht="16.5" customHeight="1">
      <c r="O1908" s="5" t="s">
        <v>355</v>
      </c>
      <c r="P1908" s="5" t="s">
        <v>355</v>
      </c>
      <c r="Q1908" s="5" t="s">
        <v>355</v>
      </c>
    </row>
    <row r="1909" ht="16.5" customHeight="1">
      <c r="O1909" s="5" t="s">
        <v>355</v>
      </c>
      <c r="P1909" s="5" t="s">
        <v>355</v>
      </c>
      <c r="Q1909" s="5" t="s">
        <v>355</v>
      </c>
    </row>
    <row r="1910" ht="16.5" customHeight="1">
      <c r="O1910" s="5" t="s">
        <v>355</v>
      </c>
      <c r="P1910" s="5" t="s">
        <v>355</v>
      </c>
      <c r="Q1910" s="5" t="s">
        <v>355</v>
      </c>
    </row>
    <row r="1911" ht="16.5" customHeight="1">
      <c r="O1911" s="5" t="s">
        <v>355</v>
      </c>
      <c r="P1911" s="5" t="s">
        <v>355</v>
      </c>
      <c r="Q1911" s="5" t="s">
        <v>355</v>
      </c>
    </row>
    <row r="1912" ht="16.5" customHeight="1">
      <c r="O1912" s="5" t="s">
        <v>355</v>
      </c>
      <c r="P1912" s="5" t="s">
        <v>355</v>
      </c>
      <c r="Q1912" s="5" t="s">
        <v>355</v>
      </c>
    </row>
    <row r="1913" ht="16.5" customHeight="1">
      <c r="O1913" s="5" t="s">
        <v>355</v>
      </c>
      <c r="P1913" s="5" t="s">
        <v>355</v>
      </c>
      <c r="Q1913" s="5" t="s">
        <v>355</v>
      </c>
    </row>
    <row r="1914" ht="16.5" customHeight="1">
      <c r="O1914" s="5" t="s">
        <v>355</v>
      </c>
      <c r="P1914" s="5" t="s">
        <v>355</v>
      </c>
      <c r="Q1914" s="5" t="s">
        <v>355</v>
      </c>
    </row>
    <row r="1915" ht="16.5" customHeight="1">
      <c r="O1915" s="5" t="s">
        <v>355</v>
      </c>
      <c r="P1915" s="5" t="s">
        <v>355</v>
      </c>
      <c r="Q1915" s="5" t="s">
        <v>355</v>
      </c>
    </row>
    <row r="1916" ht="16.5" customHeight="1">
      <c r="O1916" s="5" t="s">
        <v>355</v>
      </c>
      <c r="P1916" s="5" t="s">
        <v>355</v>
      </c>
      <c r="Q1916" s="5" t="s">
        <v>355</v>
      </c>
    </row>
    <row r="1917" ht="16.5" customHeight="1">
      <c r="O1917" s="5" t="s">
        <v>355</v>
      </c>
      <c r="P1917" s="5" t="s">
        <v>355</v>
      </c>
      <c r="Q1917" s="5" t="s">
        <v>355</v>
      </c>
    </row>
    <row r="1918" ht="16.5" customHeight="1">
      <c r="O1918" s="5" t="s">
        <v>355</v>
      </c>
      <c r="P1918" s="5" t="s">
        <v>355</v>
      </c>
      <c r="Q1918" s="5" t="s">
        <v>355</v>
      </c>
    </row>
    <row r="1919" ht="16.5" customHeight="1">
      <c r="O1919" s="5" t="s">
        <v>355</v>
      </c>
      <c r="P1919" s="5" t="s">
        <v>355</v>
      </c>
      <c r="Q1919" s="5" t="s">
        <v>355</v>
      </c>
    </row>
    <row r="1920" ht="16.5" customHeight="1">
      <c r="O1920" s="5" t="s">
        <v>355</v>
      </c>
      <c r="P1920" s="5" t="s">
        <v>355</v>
      </c>
      <c r="Q1920" s="5" t="s">
        <v>355</v>
      </c>
    </row>
    <row r="1921" ht="16.5" customHeight="1">
      <c r="O1921" s="5" t="s">
        <v>355</v>
      </c>
      <c r="P1921" s="5" t="s">
        <v>355</v>
      </c>
      <c r="Q1921" s="5" t="s">
        <v>355</v>
      </c>
    </row>
    <row r="1922" ht="16.5" customHeight="1">
      <c r="O1922" s="5" t="s">
        <v>355</v>
      </c>
      <c r="P1922" s="5" t="s">
        <v>355</v>
      </c>
      <c r="Q1922" s="5" t="s">
        <v>355</v>
      </c>
    </row>
    <row r="1923" ht="16.5" customHeight="1">
      <c r="O1923" s="5" t="s">
        <v>355</v>
      </c>
      <c r="P1923" s="5" t="s">
        <v>355</v>
      </c>
      <c r="Q1923" s="5" t="s">
        <v>355</v>
      </c>
    </row>
    <row r="1924" ht="16.5" customHeight="1">
      <c r="O1924" s="5" t="s">
        <v>355</v>
      </c>
      <c r="P1924" s="5" t="s">
        <v>355</v>
      </c>
      <c r="Q1924" s="5" t="s">
        <v>355</v>
      </c>
    </row>
    <row r="1925" ht="16.5" customHeight="1">
      <c r="O1925" s="5" t="s">
        <v>355</v>
      </c>
      <c r="P1925" s="5" t="s">
        <v>355</v>
      </c>
      <c r="Q1925" s="5" t="s">
        <v>355</v>
      </c>
    </row>
    <row r="1926" ht="16.5" customHeight="1">
      <c r="O1926" s="5" t="s">
        <v>355</v>
      </c>
      <c r="P1926" s="5" t="s">
        <v>355</v>
      </c>
      <c r="Q1926" s="5" t="s">
        <v>355</v>
      </c>
    </row>
    <row r="1927" ht="16.5" customHeight="1">
      <c r="O1927" s="5" t="s">
        <v>355</v>
      </c>
      <c r="P1927" s="5" t="s">
        <v>355</v>
      </c>
      <c r="Q1927" s="5" t="s">
        <v>355</v>
      </c>
    </row>
    <row r="1928" ht="16.5" customHeight="1">
      <c r="O1928" s="5" t="s">
        <v>355</v>
      </c>
      <c r="P1928" s="5" t="s">
        <v>355</v>
      </c>
      <c r="Q1928" s="5" t="s">
        <v>355</v>
      </c>
    </row>
    <row r="1929" ht="16.5" customHeight="1">
      <c r="O1929" s="5" t="s">
        <v>355</v>
      </c>
      <c r="P1929" s="5" t="s">
        <v>355</v>
      </c>
      <c r="Q1929" s="5" t="s">
        <v>355</v>
      </c>
    </row>
    <row r="1930" ht="16.5" customHeight="1">
      <c r="O1930" s="5" t="s">
        <v>355</v>
      </c>
      <c r="P1930" s="5" t="s">
        <v>355</v>
      </c>
      <c r="Q1930" s="5" t="s">
        <v>355</v>
      </c>
    </row>
    <row r="1931" ht="16.5" customHeight="1">
      <c r="O1931" s="5" t="s">
        <v>355</v>
      </c>
      <c r="P1931" s="5" t="s">
        <v>355</v>
      </c>
      <c r="Q1931" s="5" t="s">
        <v>355</v>
      </c>
    </row>
    <row r="1932" ht="16.5" customHeight="1">
      <c r="O1932" s="5" t="s">
        <v>355</v>
      </c>
      <c r="P1932" s="5" t="s">
        <v>355</v>
      </c>
      <c r="Q1932" s="5" t="s">
        <v>355</v>
      </c>
    </row>
    <row r="1933" ht="16.5" customHeight="1">
      <c r="O1933" s="5" t="s">
        <v>355</v>
      </c>
      <c r="P1933" s="5" t="s">
        <v>355</v>
      </c>
      <c r="Q1933" s="5" t="s">
        <v>355</v>
      </c>
    </row>
    <row r="1934" ht="16.5" customHeight="1">
      <c r="O1934" s="5" t="s">
        <v>355</v>
      </c>
      <c r="P1934" s="5" t="s">
        <v>355</v>
      </c>
      <c r="Q1934" s="5" t="s">
        <v>355</v>
      </c>
    </row>
    <row r="1935" ht="16.5" customHeight="1">
      <c r="O1935" s="5" t="s">
        <v>355</v>
      </c>
      <c r="P1935" s="5" t="s">
        <v>355</v>
      </c>
      <c r="Q1935" s="5" t="s">
        <v>355</v>
      </c>
    </row>
    <row r="1936" ht="16.5" customHeight="1">
      <c r="O1936" s="5" t="s">
        <v>355</v>
      </c>
      <c r="P1936" s="5" t="s">
        <v>355</v>
      </c>
      <c r="Q1936" s="5" t="s">
        <v>355</v>
      </c>
    </row>
    <row r="1937" ht="16.5" customHeight="1">
      <c r="O1937" s="5" t="s">
        <v>355</v>
      </c>
      <c r="P1937" s="5" t="s">
        <v>355</v>
      </c>
      <c r="Q1937" s="5" t="s">
        <v>355</v>
      </c>
    </row>
    <row r="1938" ht="16.5" customHeight="1">
      <c r="O1938" s="5" t="s">
        <v>355</v>
      </c>
      <c r="P1938" s="5" t="s">
        <v>355</v>
      </c>
      <c r="Q1938" s="5" t="s">
        <v>355</v>
      </c>
    </row>
    <row r="1939" ht="16.5" customHeight="1">
      <c r="O1939" s="5" t="s">
        <v>355</v>
      </c>
      <c r="P1939" s="5" t="s">
        <v>355</v>
      </c>
      <c r="Q1939" s="5" t="s">
        <v>355</v>
      </c>
    </row>
    <row r="1940" ht="16.5" customHeight="1">
      <c r="O1940" s="5" t="s">
        <v>355</v>
      </c>
      <c r="P1940" s="5" t="s">
        <v>355</v>
      </c>
      <c r="Q1940" s="5" t="s">
        <v>355</v>
      </c>
    </row>
    <row r="1941" ht="16.5" customHeight="1">
      <c r="O1941" s="5" t="s">
        <v>355</v>
      </c>
      <c r="P1941" s="5" t="s">
        <v>355</v>
      </c>
      <c r="Q1941" s="5" t="s">
        <v>355</v>
      </c>
    </row>
    <row r="1942" ht="16.5" customHeight="1">
      <c r="O1942" s="5" t="s">
        <v>355</v>
      </c>
      <c r="P1942" s="5" t="s">
        <v>355</v>
      </c>
      <c r="Q1942" s="5" t="s">
        <v>355</v>
      </c>
    </row>
    <row r="1943" ht="16.5" customHeight="1">
      <c r="O1943" s="5" t="s">
        <v>355</v>
      </c>
      <c r="P1943" s="5" t="s">
        <v>355</v>
      </c>
      <c r="Q1943" s="5" t="s">
        <v>355</v>
      </c>
    </row>
    <row r="1944" ht="16.5" customHeight="1">
      <c r="O1944" s="5" t="s">
        <v>355</v>
      </c>
      <c r="P1944" s="5" t="s">
        <v>355</v>
      </c>
      <c r="Q1944" s="5" t="s">
        <v>355</v>
      </c>
    </row>
    <row r="1945" ht="16.5" customHeight="1">
      <c r="O1945" s="5" t="s">
        <v>355</v>
      </c>
      <c r="P1945" s="5" t="s">
        <v>355</v>
      </c>
      <c r="Q1945" s="5" t="s">
        <v>355</v>
      </c>
    </row>
    <row r="1946" ht="16.5" customHeight="1">
      <c r="O1946" s="5" t="s">
        <v>355</v>
      </c>
      <c r="P1946" s="5" t="s">
        <v>355</v>
      </c>
      <c r="Q1946" s="5" t="s">
        <v>355</v>
      </c>
    </row>
    <row r="1947" ht="16.5" customHeight="1">
      <c r="O1947" s="5" t="s">
        <v>355</v>
      </c>
      <c r="P1947" s="5" t="s">
        <v>355</v>
      </c>
      <c r="Q1947" s="5" t="s">
        <v>355</v>
      </c>
    </row>
    <row r="1948" ht="16.5" customHeight="1">
      <c r="O1948" s="5" t="s">
        <v>355</v>
      </c>
      <c r="P1948" s="5" t="s">
        <v>355</v>
      </c>
      <c r="Q1948" s="5" t="s">
        <v>355</v>
      </c>
    </row>
    <row r="1949" ht="16.5" customHeight="1">
      <c r="O1949" s="5" t="s">
        <v>355</v>
      </c>
      <c r="P1949" s="5" t="s">
        <v>355</v>
      </c>
      <c r="Q1949" s="5" t="s">
        <v>355</v>
      </c>
    </row>
    <row r="1950" ht="16.5" customHeight="1">
      <c r="O1950" s="5" t="s">
        <v>355</v>
      </c>
      <c r="P1950" s="5" t="s">
        <v>355</v>
      </c>
      <c r="Q1950" s="5" t="s">
        <v>355</v>
      </c>
    </row>
    <row r="1951" ht="16.5" customHeight="1">
      <c r="O1951" s="5" t="s">
        <v>355</v>
      </c>
      <c r="P1951" s="5" t="s">
        <v>355</v>
      </c>
      <c r="Q1951" s="5" t="s">
        <v>355</v>
      </c>
    </row>
    <row r="1952" ht="16.5" customHeight="1">
      <c r="O1952" s="5" t="s">
        <v>355</v>
      </c>
      <c r="P1952" s="5" t="s">
        <v>355</v>
      </c>
      <c r="Q1952" s="5" t="s">
        <v>355</v>
      </c>
    </row>
    <row r="1953" ht="16.5" customHeight="1">
      <c r="O1953" s="5" t="s">
        <v>355</v>
      </c>
      <c r="P1953" s="5" t="s">
        <v>355</v>
      </c>
      <c r="Q1953" s="5" t="s">
        <v>355</v>
      </c>
    </row>
    <row r="1954" ht="16.5" customHeight="1">
      <c r="O1954" s="5" t="s">
        <v>355</v>
      </c>
      <c r="P1954" s="5" t="s">
        <v>355</v>
      </c>
      <c r="Q1954" s="5" t="s">
        <v>355</v>
      </c>
    </row>
    <row r="1955" ht="16.5" customHeight="1">
      <c r="O1955" s="5" t="s">
        <v>355</v>
      </c>
      <c r="P1955" s="5" t="s">
        <v>355</v>
      </c>
      <c r="Q1955" s="5" t="s">
        <v>355</v>
      </c>
    </row>
    <row r="1956" ht="16.5" customHeight="1">
      <c r="O1956" s="5" t="s">
        <v>355</v>
      </c>
      <c r="P1956" s="5" t="s">
        <v>355</v>
      </c>
      <c r="Q1956" s="5" t="s">
        <v>355</v>
      </c>
    </row>
    <row r="1957" ht="16.5" customHeight="1">
      <c r="O1957" s="5" t="s">
        <v>355</v>
      </c>
      <c r="P1957" s="5" t="s">
        <v>355</v>
      </c>
      <c r="Q1957" s="5" t="s">
        <v>355</v>
      </c>
    </row>
    <row r="1958" ht="16.5" customHeight="1">
      <c r="O1958" s="5" t="s">
        <v>355</v>
      </c>
      <c r="P1958" s="5" t="s">
        <v>355</v>
      </c>
      <c r="Q1958" s="5" t="s">
        <v>355</v>
      </c>
    </row>
    <row r="1959" ht="16.5" customHeight="1">
      <c r="O1959" s="5" t="s">
        <v>355</v>
      </c>
      <c r="P1959" s="5" t="s">
        <v>355</v>
      </c>
      <c r="Q1959" s="5" t="s">
        <v>355</v>
      </c>
    </row>
    <row r="1960" ht="16.5" customHeight="1">
      <c r="O1960" s="5" t="s">
        <v>355</v>
      </c>
      <c r="P1960" s="5" t="s">
        <v>355</v>
      </c>
      <c r="Q1960" s="5" t="s">
        <v>355</v>
      </c>
    </row>
    <row r="1961" ht="16.5" customHeight="1">
      <c r="O1961" s="5" t="s">
        <v>355</v>
      </c>
      <c r="P1961" s="5" t="s">
        <v>355</v>
      </c>
      <c r="Q1961" s="5" t="s">
        <v>355</v>
      </c>
    </row>
    <row r="1962" ht="16.5" customHeight="1">
      <c r="O1962" s="5" t="s">
        <v>355</v>
      </c>
      <c r="P1962" s="5" t="s">
        <v>355</v>
      </c>
      <c r="Q1962" s="5" t="s">
        <v>355</v>
      </c>
    </row>
    <row r="1963" ht="16.5" customHeight="1">
      <c r="O1963" s="5" t="s">
        <v>355</v>
      </c>
      <c r="P1963" s="5" t="s">
        <v>355</v>
      </c>
      <c r="Q1963" s="5" t="s">
        <v>355</v>
      </c>
    </row>
    <row r="1964" ht="16.5" customHeight="1">
      <c r="O1964" s="5" t="s">
        <v>355</v>
      </c>
      <c r="P1964" s="5" t="s">
        <v>355</v>
      </c>
      <c r="Q1964" s="5" t="s">
        <v>355</v>
      </c>
    </row>
    <row r="1965" ht="16.5" customHeight="1">
      <c r="O1965" s="5" t="s">
        <v>355</v>
      </c>
      <c r="P1965" s="5" t="s">
        <v>355</v>
      </c>
      <c r="Q1965" s="5" t="s">
        <v>355</v>
      </c>
    </row>
    <row r="1966" ht="16.5" customHeight="1">
      <c r="O1966" s="5" t="s">
        <v>355</v>
      </c>
      <c r="P1966" s="5" t="s">
        <v>355</v>
      </c>
      <c r="Q1966" s="5" t="s">
        <v>355</v>
      </c>
    </row>
    <row r="1967" ht="16.5" customHeight="1">
      <c r="O1967" s="5" t="s">
        <v>355</v>
      </c>
      <c r="P1967" s="5" t="s">
        <v>355</v>
      </c>
      <c r="Q1967" s="5" t="s">
        <v>355</v>
      </c>
    </row>
    <row r="1968" ht="16.5" customHeight="1">
      <c r="O1968" s="5" t="s">
        <v>355</v>
      </c>
      <c r="P1968" s="5" t="s">
        <v>355</v>
      </c>
      <c r="Q1968" s="5" t="s">
        <v>355</v>
      </c>
    </row>
    <row r="1969" ht="16.5" customHeight="1">
      <c r="O1969" s="5" t="s">
        <v>355</v>
      </c>
      <c r="P1969" s="5" t="s">
        <v>355</v>
      </c>
      <c r="Q1969" s="5" t="s">
        <v>355</v>
      </c>
    </row>
    <row r="1970" ht="16.5" customHeight="1">
      <c r="O1970" s="5" t="s">
        <v>355</v>
      </c>
      <c r="P1970" s="5" t="s">
        <v>355</v>
      </c>
      <c r="Q1970" s="5" t="s">
        <v>355</v>
      </c>
    </row>
    <row r="1971" ht="16.5" customHeight="1">
      <c r="O1971" s="5" t="s">
        <v>355</v>
      </c>
      <c r="P1971" s="5" t="s">
        <v>355</v>
      </c>
      <c r="Q1971" s="5" t="s">
        <v>355</v>
      </c>
    </row>
    <row r="1972" ht="16.5" customHeight="1">
      <c r="O1972" s="5" t="s">
        <v>355</v>
      </c>
      <c r="P1972" s="5" t="s">
        <v>355</v>
      </c>
      <c r="Q1972" s="5" t="s">
        <v>355</v>
      </c>
    </row>
    <row r="1973" ht="16.5" customHeight="1">
      <c r="O1973" s="5" t="s">
        <v>355</v>
      </c>
      <c r="P1973" s="5" t="s">
        <v>355</v>
      </c>
      <c r="Q1973" s="5" t="s">
        <v>355</v>
      </c>
    </row>
    <row r="1974" ht="16.5" customHeight="1">
      <c r="O1974" s="5" t="s">
        <v>355</v>
      </c>
      <c r="P1974" s="5" t="s">
        <v>355</v>
      </c>
      <c r="Q1974" s="5" t="s">
        <v>355</v>
      </c>
    </row>
    <row r="1975" ht="16.5" customHeight="1">
      <c r="O1975" s="5" t="s">
        <v>355</v>
      </c>
      <c r="P1975" s="5" t="s">
        <v>355</v>
      </c>
      <c r="Q1975" s="5" t="s">
        <v>355</v>
      </c>
    </row>
    <row r="1976" ht="16.5" customHeight="1">
      <c r="O1976" s="5" t="s">
        <v>355</v>
      </c>
      <c r="P1976" s="5" t="s">
        <v>355</v>
      </c>
      <c r="Q1976" s="5" t="s">
        <v>355</v>
      </c>
    </row>
    <row r="1977" ht="16.5" customHeight="1">
      <c r="O1977" s="5" t="s">
        <v>355</v>
      </c>
      <c r="P1977" s="5" t="s">
        <v>355</v>
      </c>
      <c r="Q1977" s="5" t="s">
        <v>355</v>
      </c>
    </row>
    <row r="1978" ht="16.5" customHeight="1">
      <c r="O1978" s="5" t="s">
        <v>355</v>
      </c>
      <c r="P1978" s="5" t="s">
        <v>355</v>
      </c>
      <c r="Q1978" s="5" t="s">
        <v>355</v>
      </c>
    </row>
    <row r="1979" ht="16.5" customHeight="1">
      <c r="O1979" s="5" t="s">
        <v>355</v>
      </c>
      <c r="P1979" s="5" t="s">
        <v>355</v>
      </c>
      <c r="Q1979" s="5" t="s">
        <v>355</v>
      </c>
    </row>
    <row r="1980" ht="16.5" customHeight="1">
      <c r="O1980" s="5" t="s">
        <v>355</v>
      </c>
      <c r="P1980" s="5" t="s">
        <v>355</v>
      </c>
      <c r="Q1980" s="5" t="s">
        <v>355</v>
      </c>
    </row>
    <row r="1981" ht="16.5" customHeight="1">
      <c r="O1981" s="5" t="s">
        <v>355</v>
      </c>
      <c r="P1981" s="5" t="s">
        <v>355</v>
      </c>
      <c r="Q1981" s="5" t="s">
        <v>355</v>
      </c>
    </row>
    <row r="1982" ht="16.5" customHeight="1">
      <c r="O1982" s="5" t="s">
        <v>355</v>
      </c>
      <c r="P1982" s="5" t="s">
        <v>355</v>
      </c>
      <c r="Q1982" s="5" t="s">
        <v>355</v>
      </c>
    </row>
    <row r="1983" ht="16.5" customHeight="1">
      <c r="O1983" s="5" t="s">
        <v>355</v>
      </c>
      <c r="P1983" s="5" t="s">
        <v>355</v>
      </c>
      <c r="Q1983" s="5" t="s">
        <v>355</v>
      </c>
    </row>
    <row r="1984" ht="16.5" customHeight="1">
      <c r="O1984" s="5" t="s">
        <v>355</v>
      </c>
      <c r="P1984" s="5" t="s">
        <v>355</v>
      </c>
      <c r="Q1984" s="5" t="s">
        <v>355</v>
      </c>
    </row>
    <row r="1985" ht="16.5" customHeight="1">
      <c r="O1985" s="5" t="s">
        <v>355</v>
      </c>
      <c r="P1985" s="5" t="s">
        <v>355</v>
      </c>
      <c r="Q1985" s="5" t="s">
        <v>355</v>
      </c>
    </row>
    <row r="1986" ht="16.5" customHeight="1">
      <c r="O1986" s="5" t="s">
        <v>355</v>
      </c>
      <c r="P1986" s="5" t="s">
        <v>355</v>
      </c>
      <c r="Q1986" s="5" t="s">
        <v>355</v>
      </c>
    </row>
    <row r="1987" ht="16.5" customHeight="1">
      <c r="O1987" s="5" t="s">
        <v>355</v>
      </c>
      <c r="P1987" s="5" t="s">
        <v>355</v>
      </c>
      <c r="Q1987" s="5" t="s">
        <v>355</v>
      </c>
    </row>
    <row r="1988" ht="16.5" customHeight="1">
      <c r="O1988" s="5" t="s">
        <v>355</v>
      </c>
      <c r="P1988" s="5" t="s">
        <v>355</v>
      </c>
      <c r="Q1988" s="5" t="s">
        <v>355</v>
      </c>
    </row>
    <row r="1989" ht="16.5" customHeight="1">
      <c r="O1989" s="5" t="s">
        <v>355</v>
      </c>
      <c r="P1989" s="5" t="s">
        <v>355</v>
      </c>
      <c r="Q1989" s="5" t="s">
        <v>355</v>
      </c>
    </row>
    <row r="1990" ht="16.5" customHeight="1">
      <c r="O1990" s="5" t="s">
        <v>355</v>
      </c>
      <c r="P1990" s="5" t="s">
        <v>355</v>
      </c>
      <c r="Q1990" s="5" t="s">
        <v>355</v>
      </c>
    </row>
    <row r="1991" ht="16.5" customHeight="1">
      <c r="O1991" s="5" t="s">
        <v>355</v>
      </c>
      <c r="P1991" s="5" t="s">
        <v>355</v>
      </c>
      <c r="Q1991" s="5" t="s">
        <v>355</v>
      </c>
    </row>
    <row r="1992" ht="16.5" customHeight="1">
      <c r="O1992" s="5" t="s">
        <v>355</v>
      </c>
      <c r="P1992" s="5" t="s">
        <v>355</v>
      </c>
      <c r="Q1992" s="5" t="s">
        <v>355</v>
      </c>
    </row>
    <row r="1993" ht="16.5" customHeight="1">
      <c r="O1993" s="5" t="s">
        <v>355</v>
      </c>
      <c r="P1993" s="5" t="s">
        <v>355</v>
      </c>
      <c r="Q1993" s="5" t="s">
        <v>355</v>
      </c>
    </row>
    <row r="1994" ht="16.5" customHeight="1">
      <c r="O1994" s="5" t="s">
        <v>355</v>
      </c>
      <c r="P1994" s="5" t="s">
        <v>355</v>
      </c>
      <c r="Q1994" s="5" t="s">
        <v>355</v>
      </c>
    </row>
    <row r="1995" ht="16.5" customHeight="1">
      <c r="O1995" s="5" t="s">
        <v>355</v>
      </c>
      <c r="P1995" s="5" t="s">
        <v>355</v>
      </c>
      <c r="Q1995" s="5" t="s">
        <v>355</v>
      </c>
    </row>
    <row r="1996" ht="16.5" customHeight="1">
      <c r="O1996" s="5" t="s">
        <v>355</v>
      </c>
      <c r="P1996" s="5" t="s">
        <v>355</v>
      </c>
      <c r="Q1996" s="5" t="s">
        <v>355</v>
      </c>
    </row>
    <row r="1997" ht="16.5" customHeight="1">
      <c r="O1997" s="5" t="s">
        <v>355</v>
      </c>
      <c r="P1997" s="5" t="s">
        <v>355</v>
      </c>
      <c r="Q1997" s="5" t="s">
        <v>355</v>
      </c>
    </row>
    <row r="1998" ht="16.5" customHeight="1">
      <c r="O1998" s="5" t="s">
        <v>355</v>
      </c>
      <c r="P1998" s="5" t="s">
        <v>355</v>
      </c>
      <c r="Q1998" s="5" t="s">
        <v>355</v>
      </c>
    </row>
    <row r="1999" ht="16.5" customHeight="1">
      <c r="O1999" s="5" t="s">
        <v>355</v>
      </c>
      <c r="P1999" s="5" t="s">
        <v>355</v>
      </c>
      <c r="Q1999" s="5" t="s">
        <v>355</v>
      </c>
    </row>
    <row r="2000" ht="16.5" customHeight="1">
      <c r="O2000" s="5" t="s">
        <v>355</v>
      </c>
      <c r="P2000" s="5" t="s">
        <v>355</v>
      </c>
      <c r="Q2000" s="5" t="s">
        <v>355</v>
      </c>
    </row>
    <row r="2001" ht="16.5" customHeight="1">
      <c r="O2001" s="5" t="s">
        <v>355</v>
      </c>
      <c r="P2001" s="5" t="s">
        <v>355</v>
      </c>
      <c r="Q2001" s="5" t="s">
        <v>355</v>
      </c>
    </row>
    <row r="2002" ht="16.5" customHeight="1">
      <c r="O2002" s="5" t="s">
        <v>355</v>
      </c>
      <c r="P2002" s="5" t="s">
        <v>355</v>
      </c>
      <c r="Q2002" s="5" t="s">
        <v>355</v>
      </c>
    </row>
    <row r="2003" ht="16.5" customHeight="1">
      <c r="O2003" s="5" t="s">
        <v>355</v>
      </c>
      <c r="P2003" s="5" t="s">
        <v>355</v>
      </c>
      <c r="Q2003" s="5" t="s">
        <v>355</v>
      </c>
    </row>
    <row r="2004" ht="16.5" customHeight="1">
      <c r="O2004" s="5" t="s">
        <v>355</v>
      </c>
      <c r="P2004" s="5" t="s">
        <v>355</v>
      </c>
      <c r="Q2004" s="5" t="s">
        <v>355</v>
      </c>
    </row>
    <row r="2005" ht="16.5" customHeight="1">
      <c r="O2005" s="5" t="s">
        <v>355</v>
      </c>
      <c r="P2005" s="5" t="s">
        <v>355</v>
      </c>
      <c r="Q2005" s="5" t="s">
        <v>355</v>
      </c>
    </row>
    <row r="2006" ht="16.5" customHeight="1">
      <c r="O2006" s="5" t="s">
        <v>355</v>
      </c>
      <c r="P2006" s="5" t="s">
        <v>355</v>
      </c>
      <c r="Q2006" s="5" t="s">
        <v>355</v>
      </c>
    </row>
    <row r="2007" ht="16.5" customHeight="1">
      <c r="O2007" s="5" t="s">
        <v>355</v>
      </c>
      <c r="P2007" s="5" t="s">
        <v>355</v>
      </c>
      <c r="Q2007" s="5" t="s">
        <v>355</v>
      </c>
    </row>
    <row r="2008" ht="16.5" customHeight="1">
      <c r="O2008" s="5" t="s">
        <v>355</v>
      </c>
      <c r="P2008" s="5" t="s">
        <v>355</v>
      </c>
      <c r="Q2008" s="5" t="s">
        <v>355</v>
      </c>
    </row>
    <row r="2009" ht="16.5" customHeight="1">
      <c r="O2009" s="5" t="s">
        <v>355</v>
      </c>
      <c r="P2009" s="5" t="s">
        <v>355</v>
      </c>
      <c r="Q2009" s="5" t="s">
        <v>355</v>
      </c>
    </row>
    <row r="2010" ht="16.5" customHeight="1">
      <c r="O2010" s="5" t="s">
        <v>355</v>
      </c>
      <c r="P2010" s="5" t="s">
        <v>355</v>
      </c>
      <c r="Q2010" s="5" t="s">
        <v>355</v>
      </c>
    </row>
    <row r="2011" ht="16.5" customHeight="1">
      <c r="O2011" s="5" t="s">
        <v>355</v>
      </c>
      <c r="P2011" s="5" t="s">
        <v>355</v>
      </c>
      <c r="Q2011" s="5" t="s">
        <v>355</v>
      </c>
    </row>
    <row r="2012" ht="16.5" customHeight="1">
      <c r="O2012" s="5" t="s">
        <v>355</v>
      </c>
      <c r="P2012" s="5" t="s">
        <v>355</v>
      </c>
      <c r="Q2012" s="5" t="s">
        <v>355</v>
      </c>
    </row>
    <row r="2013" ht="16.5" customHeight="1">
      <c r="O2013" s="5" t="s">
        <v>355</v>
      </c>
      <c r="P2013" s="5" t="s">
        <v>355</v>
      </c>
      <c r="Q2013" s="5" t="s">
        <v>355</v>
      </c>
    </row>
    <row r="2014" ht="16.5" customHeight="1">
      <c r="O2014" s="5" t="s">
        <v>355</v>
      </c>
      <c r="P2014" s="5" t="s">
        <v>355</v>
      </c>
      <c r="Q2014" s="5" t="s">
        <v>355</v>
      </c>
    </row>
    <row r="2015" ht="16.5" customHeight="1">
      <c r="O2015" s="5" t="s">
        <v>355</v>
      </c>
      <c r="P2015" s="5" t="s">
        <v>355</v>
      </c>
      <c r="Q2015" s="5" t="s">
        <v>355</v>
      </c>
    </row>
    <row r="2016" ht="16.5" customHeight="1">
      <c r="O2016" s="5" t="s">
        <v>355</v>
      </c>
      <c r="P2016" s="5" t="s">
        <v>355</v>
      </c>
      <c r="Q2016" s="5" t="s">
        <v>355</v>
      </c>
    </row>
    <row r="2017" ht="16.5" customHeight="1">
      <c r="O2017" s="5" t="s">
        <v>355</v>
      </c>
      <c r="P2017" s="5" t="s">
        <v>355</v>
      </c>
      <c r="Q2017" s="5" t="s">
        <v>355</v>
      </c>
    </row>
    <row r="2018" ht="16.5" customHeight="1">
      <c r="O2018" s="5" t="s">
        <v>355</v>
      </c>
      <c r="P2018" s="5" t="s">
        <v>355</v>
      </c>
      <c r="Q2018" s="5" t="s">
        <v>355</v>
      </c>
    </row>
    <row r="2019" ht="16.5" customHeight="1">
      <c r="O2019" s="5" t="s">
        <v>355</v>
      </c>
      <c r="P2019" s="5" t="s">
        <v>355</v>
      </c>
      <c r="Q2019" s="5" t="s">
        <v>355</v>
      </c>
    </row>
    <row r="2020" ht="16.5" customHeight="1">
      <c r="O2020" s="5" t="s">
        <v>355</v>
      </c>
      <c r="P2020" s="5" t="s">
        <v>355</v>
      </c>
      <c r="Q2020" s="5" t="s">
        <v>355</v>
      </c>
    </row>
    <row r="2021" ht="16.5" customHeight="1">
      <c r="O2021" s="5" t="s">
        <v>355</v>
      </c>
      <c r="P2021" s="5" t="s">
        <v>355</v>
      </c>
      <c r="Q2021" s="5" t="s">
        <v>355</v>
      </c>
    </row>
    <row r="2022" ht="16.5" customHeight="1">
      <c r="O2022" s="5" t="s">
        <v>355</v>
      </c>
      <c r="P2022" s="5" t="s">
        <v>355</v>
      </c>
      <c r="Q2022" s="5" t="s">
        <v>355</v>
      </c>
    </row>
    <row r="2023" ht="16.5" customHeight="1">
      <c r="O2023" s="5" t="s">
        <v>355</v>
      </c>
      <c r="P2023" s="5" t="s">
        <v>355</v>
      </c>
      <c r="Q2023" s="5" t="s">
        <v>355</v>
      </c>
    </row>
    <row r="2024" ht="16.5" customHeight="1">
      <c r="O2024" s="5" t="s">
        <v>355</v>
      </c>
      <c r="P2024" s="5" t="s">
        <v>355</v>
      </c>
      <c r="Q2024" s="5" t="s">
        <v>355</v>
      </c>
    </row>
    <row r="2025" ht="16.5" customHeight="1">
      <c r="O2025" s="5" t="s">
        <v>355</v>
      </c>
      <c r="P2025" s="5" t="s">
        <v>355</v>
      </c>
      <c r="Q2025" s="5" t="s">
        <v>355</v>
      </c>
    </row>
    <row r="2026" ht="16.5" customHeight="1">
      <c r="O2026" s="5" t="s">
        <v>355</v>
      </c>
      <c r="P2026" s="5" t="s">
        <v>355</v>
      </c>
      <c r="Q2026" s="5" t="s">
        <v>355</v>
      </c>
    </row>
    <row r="2027" ht="16.5" customHeight="1">
      <c r="O2027" s="5" t="s">
        <v>355</v>
      </c>
      <c r="P2027" s="5" t="s">
        <v>355</v>
      </c>
      <c r="Q2027" s="5" t="s">
        <v>355</v>
      </c>
    </row>
    <row r="2028" ht="16.5" customHeight="1">
      <c r="O2028" s="5" t="s">
        <v>355</v>
      </c>
      <c r="P2028" s="5" t="s">
        <v>355</v>
      </c>
      <c r="Q2028" s="5" t="s">
        <v>355</v>
      </c>
    </row>
    <row r="2029" ht="16.5" customHeight="1">
      <c r="O2029" s="5" t="s">
        <v>355</v>
      </c>
      <c r="P2029" s="5" t="s">
        <v>355</v>
      </c>
      <c r="Q2029" s="5" t="s">
        <v>355</v>
      </c>
    </row>
    <row r="2030" ht="16.5" customHeight="1">
      <c r="O2030" s="5" t="s">
        <v>355</v>
      </c>
      <c r="P2030" s="5" t="s">
        <v>355</v>
      </c>
      <c r="Q2030" s="5" t="s">
        <v>355</v>
      </c>
    </row>
    <row r="2031" ht="16.5" customHeight="1">
      <c r="O2031" s="5" t="s">
        <v>355</v>
      </c>
      <c r="P2031" s="5" t="s">
        <v>355</v>
      </c>
      <c r="Q2031" s="5" t="s">
        <v>355</v>
      </c>
    </row>
    <row r="2032" ht="16.5" customHeight="1">
      <c r="O2032" s="5" t="s">
        <v>355</v>
      </c>
      <c r="P2032" s="5" t="s">
        <v>355</v>
      </c>
      <c r="Q2032" s="5" t="s">
        <v>355</v>
      </c>
    </row>
    <row r="2033" ht="16.5" customHeight="1">
      <c r="O2033" s="5" t="s">
        <v>355</v>
      </c>
      <c r="P2033" s="5" t="s">
        <v>355</v>
      </c>
      <c r="Q2033" s="5" t="s">
        <v>355</v>
      </c>
    </row>
    <row r="2034" ht="16.5" customHeight="1">
      <c r="O2034" s="5" t="s">
        <v>355</v>
      </c>
      <c r="P2034" s="5" t="s">
        <v>355</v>
      </c>
      <c r="Q2034" s="5" t="s">
        <v>355</v>
      </c>
    </row>
    <row r="2035" ht="16.5" customHeight="1">
      <c r="O2035" s="5" t="s">
        <v>355</v>
      </c>
      <c r="P2035" s="5" t="s">
        <v>355</v>
      </c>
      <c r="Q2035" s="5" t="s">
        <v>355</v>
      </c>
    </row>
    <row r="2036" ht="16.5" customHeight="1">
      <c r="O2036" s="5" t="s">
        <v>355</v>
      </c>
      <c r="P2036" s="5" t="s">
        <v>355</v>
      </c>
      <c r="Q2036" s="5" t="s">
        <v>355</v>
      </c>
    </row>
    <row r="2037" ht="16.5" customHeight="1">
      <c r="O2037" s="5" t="s">
        <v>355</v>
      </c>
      <c r="P2037" s="5" t="s">
        <v>355</v>
      </c>
      <c r="Q2037" s="5" t="s">
        <v>355</v>
      </c>
    </row>
    <row r="2038" ht="16.5" customHeight="1">
      <c r="O2038" s="5" t="s">
        <v>355</v>
      </c>
      <c r="P2038" s="5" t="s">
        <v>355</v>
      </c>
      <c r="Q2038" s="5" t="s">
        <v>355</v>
      </c>
    </row>
    <row r="2039" ht="16.5" customHeight="1">
      <c r="O2039" s="5" t="s">
        <v>355</v>
      </c>
      <c r="P2039" s="5" t="s">
        <v>355</v>
      </c>
      <c r="Q2039" s="5" t="s">
        <v>355</v>
      </c>
    </row>
    <row r="2040" ht="16.5" customHeight="1">
      <c r="O2040" s="5" t="s">
        <v>355</v>
      </c>
      <c r="P2040" s="5" t="s">
        <v>355</v>
      </c>
      <c r="Q2040" s="5" t="s">
        <v>355</v>
      </c>
    </row>
    <row r="2041" ht="16.5" customHeight="1">
      <c r="O2041" s="5" t="s">
        <v>355</v>
      </c>
      <c r="P2041" s="5" t="s">
        <v>355</v>
      </c>
      <c r="Q2041" s="5" t="s">
        <v>355</v>
      </c>
    </row>
    <row r="2042" ht="16.5" customHeight="1">
      <c r="O2042" s="5" t="s">
        <v>355</v>
      </c>
      <c r="P2042" s="5" t="s">
        <v>355</v>
      </c>
      <c r="Q2042" s="5" t="s">
        <v>355</v>
      </c>
    </row>
    <row r="2043" ht="16.5" customHeight="1">
      <c r="O2043" s="5" t="s">
        <v>355</v>
      </c>
      <c r="P2043" s="5" t="s">
        <v>355</v>
      </c>
      <c r="Q2043" s="5" t="s">
        <v>355</v>
      </c>
    </row>
    <row r="2044" ht="16.5" customHeight="1">
      <c r="O2044" s="5" t="s">
        <v>355</v>
      </c>
      <c r="P2044" s="5" t="s">
        <v>355</v>
      </c>
      <c r="Q2044" s="5" t="s">
        <v>355</v>
      </c>
    </row>
    <row r="2045" ht="16.5" customHeight="1">
      <c r="O2045" s="5" t="s">
        <v>355</v>
      </c>
      <c r="P2045" s="5" t="s">
        <v>355</v>
      </c>
      <c r="Q2045" s="5" t="s">
        <v>355</v>
      </c>
    </row>
    <row r="2046" ht="16.5" customHeight="1">
      <c r="O2046" s="5" t="s">
        <v>355</v>
      </c>
      <c r="P2046" s="5" t="s">
        <v>355</v>
      </c>
      <c r="Q2046" s="5" t="s">
        <v>355</v>
      </c>
    </row>
    <row r="2047" ht="16.5" customHeight="1">
      <c r="O2047" s="5" t="s">
        <v>355</v>
      </c>
      <c r="P2047" s="5" t="s">
        <v>355</v>
      </c>
      <c r="Q2047" s="5" t="s">
        <v>355</v>
      </c>
    </row>
    <row r="2048" ht="16.5" customHeight="1">
      <c r="O2048" s="5" t="s">
        <v>355</v>
      </c>
      <c r="P2048" s="5" t="s">
        <v>355</v>
      </c>
      <c r="Q2048" s="5" t="s">
        <v>355</v>
      </c>
    </row>
    <row r="2049" ht="16.5" customHeight="1">
      <c r="O2049" s="5" t="s">
        <v>355</v>
      </c>
      <c r="P2049" s="5" t="s">
        <v>355</v>
      </c>
      <c r="Q2049" s="5" t="s">
        <v>355</v>
      </c>
    </row>
    <row r="2050" ht="16.5" customHeight="1">
      <c r="O2050" s="5" t="s">
        <v>355</v>
      </c>
      <c r="P2050" s="5" t="s">
        <v>355</v>
      </c>
      <c r="Q2050" s="5" t="s">
        <v>355</v>
      </c>
    </row>
    <row r="2051" ht="16.5" customHeight="1">
      <c r="O2051" s="5" t="s">
        <v>355</v>
      </c>
      <c r="P2051" s="5" t="s">
        <v>355</v>
      </c>
      <c r="Q2051" s="5" t="s">
        <v>355</v>
      </c>
    </row>
    <row r="2052" ht="16.5" customHeight="1">
      <c r="O2052" s="5" t="s">
        <v>355</v>
      </c>
      <c r="P2052" s="5" t="s">
        <v>355</v>
      </c>
      <c r="Q2052" s="5" t="s">
        <v>355</v>
      </c>
    </row>
    <row r="2053" ht="16.5" customHeight="1">
      <c r="O2053" s="5" t="s">
        <v>355</v>
      </c>
      <c r="P2053" s="5" t="s">
        <v>355</v>
      </c>
      <c r="Q2053" s="5" t="s">
        <v>355</v>
      </c>
    </row>
    <row r="2054" ht="16.5" customHeight="1">
      <c r="O2054" s="5" t="s">
        <v>355</v>
      </c>
      <c r="P2054" s="5" t="s">
        <v>355</v>
      </c>
      <c r="Q2054" s="5" t="s">
        <v>355</v>
      </c>
    </row>
    <row r="2055" ht="16.5" customHeight="1">
      <c r="O2055" s="5" t="s">
        <v>355</v>
      </c>
      <c r="P2055" s="5" t="s">
        <v>355</v>
      </c>
      <c r="Q2055" s="5" t="s">
        <v>355</v>
      </c>
    </row>
    <row r="2056" ht="16.5" customHeight="1">
      <c r="O2056" s="5" t="s">
        <v>355</v>
      </c>
      <c r="P2056" s="5" t="s">
        <v>355</v>
      </c>
      <c r="Q2056" s="5" t="s">
        <v>355</v>
      </c>
    </row>
    <row r="2057" ht="16.5" customHeight="1">
      <c r="O2057" s="5" t="s">
        <v>355</v>
      </c>
      <c r="P2057" s="5" t="s">
        <v>355</v>
      </c>
      <c r="Q2057" s="5" t="s">
        <v>355</v>
      </c>
    </row>
    <row r="2058" ht="16.5" customHeight="1">
      <c r="O2058" s="5" t="s">
        <v>355</v>
      </c>
      <c r="P2058" s="5" t="s">
        <v>355</v>
      </c>
      <c r="Q2058" s="5" t="s">
        <v>355</v>
      </c>
    </row>
    <row r="2059" ht="16.5" customHeight="1">
      <c r="O2059" s="5" t="s">
        <v>355</v>
      </c>
      <c r="P2059" s="5" t="s">
        <v>355</v>
      </c>
      <c r="Q2059" s="5" t="s">
        <v>355</v>
      </c>
    </row>
    <row r="2060" ht="16.5" customHeight="1">
      <c r="O2060" s="5" t="s">
        <v>355</v>
      </c>
      <c r="P2060" s="5" t="s">
        <v>355</v>
      </c>
      <c r="Q2060" s="5" t="s">
        <v>355</v>
      </c>
    </row>
    <row r="2061" ht="16.5" customHeight="1">
      <c r="O2061" s="5" t="s">
        <v>355</v>
      </c>
      <c r="P2061" s="5" t="s">
        <v>355</v>
      </c>
      <c r="Q2061" s="5" t="s">
        <v>355</v>
      </c>
    </row>
    <row r="2062" ht="16.5" customHeight="1">
      <c r="O2062" s="5" t="s">
        <v>355</v>
      </c>
      <c r="P2062" s="5" t="s">
        <v>355</v>
      </c>
      <c r="Q2062" s="5" t="s">
        <v>355</v>
      </c>
    </row>
    <row r="2063" ht="16.5" customHeight="1">
      <c r="O2063" s="5" t="s">
        <v>355</v>
      </c>
      <c r="P2063" s="5" t="s">
        <v>355</v>
      </c>
      <c r="Q2063" s="5" t="s">
        <v>355</v>
      </c>
    </row>
    <row r="2064" ht="16.5" customHeight="1">
      <c r="O2064" s="5" t="s">
        <v>355</v>
      </c>
      <c r="P2064" s="5" t="s">
        <v>355</v>
      </c>
      <c r="Q2064" s="5" t="s">
        <v>355</v>
      </c>
    </row>
    <row r="2065" ht="16.5" customHeight="1">
      <c r="O2065" s="5" t="s">
        <v>355</v>
      </c>
      <c r="P2065" s="5" t="s">
        <v>355</v>
      </c>
      <c r="Q2065" s="5" t="s">
        <v>355</v>
      </c>
    </row>
    <row r="2066" ht="16.5" customHeight="1">
      <c r="O2066" s="5" t="s">
        <v>355</v>
      </c>
      <c r="P2066" s="5" t="s">
        <v>355</v>
      </c>
      <c r="Q2066" s="5" t="s">
        <v>355</v>
      </c>
    </row>
    <row r="2067" ht="16.5" customHeight="1">
      <c r="O2067" s="5" t="s">
        <v>355</v>
      </c>
      <c r="P2067" s="5" t="s">
        <v>355</v>
      </c>
      <c r="Q2067" s="5" t="s">
        <v>355</v>
      </c>
    </row>
    <row r="2068" ht="16.5" customHeight="1">
      <c r="O2068" s="5" t="s">
        <v>355</v>
      </c>
      <c r="P2068" s="5" t="s">
        <v>355</v>
      </c>
      <c r="Q2068" s="5" t="s">
        <v>355</v>
      </c>
    </row>
    <row r="2069" ht="16.5" customHeight="1">
      <c r="O2069" s="5" t="s">
        <v>355</v>
      </c>
      <c r="P2069" s="5" t="s">
        <v>355</v>
      </c>
      <c r="Q2069" s="5" t="s">
        <v>355</v>
      </c>
    </row>
    <row r="2070" ht="16.5" customHeight="1">
      <c r="O2070" s="5" t="s">
        <v>355</v>
      </c>
      <c r="P2070" s="5" t="s">
        <v>355</v>
      </c>
      <c r="Q2070" s="5" t="s">
        <v>355</v>
      </c>
    </row>
    <row r="2071" ht="16.5" customHeight="1">
      <c r="O2071" s="5" t="s">
        <v>355</v>
      </c>
      <c r="P2071" s="5" t="s">
        <v>355</v>
      </c>
      <c r="Q2071" s="5" t="s">
        <v>355</v>
      </c>
    </row>
    <row r="2072" ht="16.5" customHeight="1">
      <c r="O2072" s="5" t="s">
        <v>355</v>
      </c>
      <c r="P2072" s="5" t="s">
        <v>355</v>
      </c>
      <c r="Q2072" s="5" t="s">
        <v>355</v>
      </c>
    </row>
    <row r="2073" ht="16.5" customHeight="1">
      <c r="O2073" s="5" t="s">
        <v>355</v>
      </c>
      <c r="P2073" s="5" t="s">
        <v>355</v>
      </c>
      <c r="Q2073" s="5" t="s">
        <v>355</v>
      </c>
    </row>
    <row r="2074" ht="16.5" customHeight="1">
      <c r="O2074" s="5" t="s">
        <v>355</v>
      </c>
      <c r="P2074" s="5" t="s">
        <v>355</v>
      </c>
      <c r="Q2074" s="5" t="s">
        <v>355</v>
      </c>
    </row>
    <row r="2075" ht="16.5" customHeight="1">
      <c r="O2075" s="5" t="s">
        <v>355</v>
      </c>
      <c r="P2075" s="5" t="s">
        <v>355</v>
      </c>
      <c r="Q2075" s="5" t="s">
        <v>355</v>
      </c>
    </row>
    <row r="2076" ht="16.5" customHeight="1">
      <c r="O2076" s="5" t="s">
        <v>355</v>
      </c>
      <c r="P2076" s="5" t="s">
        <v>355</v>
      </c>
      <c r="Q2076" s="5" t="s">
        <v>355</v>
      </c>
    </row>
    <row r="2077" ht="16.5" customHeight="1">
      <c r="O2077" s="5" t="s">
        <v>355</v>
      </c>
      <c r="P2077" s="5" t="s">
        <v>355</v>
      </c>
      <c r="Q2077" s="5" t="s">
        <v>355</v>
      </c>
    </row>
    <row r="2078" ht="16.5" customHeight="1">
      <c r="O2078" s="5" t="s">
        <v>355</v>
      </c>
      <c r="P2078" s="5" t="s">
        <v>355</v>
      </c>
      <c r="Q2078" s="5" t="s">
        <v>355</v>
      </c>
    </row>
    <row r="2079" ht="16.5" customHeight="1">
      <c r="O2079" s="5" t="s">
        <v>355</v>
      </c>
      <c r="P2079" s="5" t="s">
        <v>355</v>
      </c>
      <c r="Q2079" s="5" t="s">
        <v>355</v>
      </c>
    </row>
    <row r="2080" ht="16.5" customHeight="1">
      <c r="O2080" s="5" t="s">
        <v>355</v>
      </c>
      <c r="P2080" s="5" t="s">
        <v>355</v>
      </c>
      <c r="Q2080" s="5" t="s">
        <v>355</v>
      </c>
    </row>
    <row r="2081" ht="16.5" customHeight="1">
      <c r="O2081" s="5" t="s">
        <v>355</v>
      </c>
      <c r="P2081" s="5" t="s">
        <v>355</v>
      </c>
      <c r="Q2081" s="5" t="s">
        <v>355</v>
      </c>
    </row>
    <row r="2082" ht="16.5" customHeight="1">
      <c r="O2082" s="5" t="s">
        <v>355</v>
      </c>
      <c r="P2082" s="5" t="s">
        <v>355</v>
      </c>
      <c r="Q2082" s="5" t="s">
        <v>355</v>
      </c>
    </row>
    <row r="2083" ht="16.5" customHeight="1">
      <c r="O2083" s="5" t="s">
        <v>355</v>
      </c>
      <c r="P2083" s="5" t="s">
        <v>355</v>
      </c>
      <c r="Q2083" s="5" t="s">
        <v>355</v>
      </c>
    </row>
    <row r="2084" ht="16.5" customHeight="1">
      <c r="O2084" s="5" t="s">
        <v>355</v>
      </c>
      <c r="P2084" s="5" t="s">
        <v>355</v>
      </c>
      <c r="Q2084" s="5" t="s">
        <v>355</v>
      </c>
    </row>
    <row r="2085" ht="16.5" customHeight="1">
      <c r="O2085" s="5" t="s">
        <v>355</v>
      </c>
      <c r="P2085" s="5" t="s">
        <v>355</v>
      </c>
      <c r="Q2085" s="5" t="s">
        <v>355</v>
      </c>
    </row>
    <row r="2086" ht="16.5" customHeight="1">
      <c r="O2086" s="5" t="s">
        <v>355</v>
      </c>
      <c r="P2086" s="5" t="s">
        <v>355</v>
      </c>
      <c r="Q2086" s="5" t="s">
        <v>355</v>
      </c>
    </row>
    <row r="2087" ht="16.5" customHeight="1">
      <c r="O2087" s="5" t="s">
        <v>355</v>
      </c>
      <c r="P2087" s="5" t="s">
        <v>355</v>
      </c>
      <c r="Q2087" s="5" t="s">
        <v>355</v>
      </c>
    </row>
    <row r="2088" ht="16.5" customHeight="1">
      <c r="O2088" s="5" t="s">
        <v>355</v>
      </c>
      <c r="P2088" s="5" t="s">
        <v>355</v>
      </c>
      <c r="Q2088" s="5" t="s">
        <v>355</v>
      </c>
    </row>
    <row r="2089" ht="16.5" customHeight="1">
      <c r="O2089" s="5" t="s">
        <v>355</v>
      </c>
      <c r="P2089" s="5" t="s">
        <v>355</v>
      </c>
      <c r="Q2089" s="5" t="s">
        <v>355</v>
      </c>
    </row>
    <row r="2090" ht="16.5" customHeight="1">
      <c r="O2090" s="5" t="s">
        <v>355</v>
      </c>
      <c r="P2090" s="5" t="s">
        <v>355</v>
      </c>
      <c r="Q2090" s="5" t="s">
        <v>355</v>
      </c>
    </row>
    <row r="2091" ht="16.5" customHeight="1">
      <c r="O2091" s="5" t="s">
        <v>355</v>
      </c>
      <c r="P2091" s="5" t="s">
        <v>355</v>
      </c>
      <c r="Q2091" s="5" t="s">
        <v>355</v>
      </c>
    </row>
    <row r="2092" ht="16.5" customHeight="1">
      <c r="O2092" s="5" t="s">
        <v>355</v>
      </c>
      <c r="P2092" s="5" t="s">
        <v>355</v>
      </c>
      <c r="Q2092" s="5" t="s">
        <v>355</v>
      </c>
    </row>
    <row r="2093" ht="16.5" customHeight="1">
      <c r="O2093" s="5" t="s">
        <v>355</v>
      </c>
      <c r="P2093" s="5" t="s">
        <v>355</v>
      </c>
      <c r="Q2093" s="5" t="s">
        <v>355</v>
      </c>
    </row>
    <row r="2094" ht="16.5" customHeight="1">
      <c r="O2094" s="5" t="s">
        <v>355</v>
      </c>
      <c r="P2094" s="5" t="s">
        <v>355</v>
      </c>
      <c r="Q2094" s="5" t="s">
        <v>355</v>
      </c>
    </row>
    <row r="2095" ht="16.5" customHeight="1">
      <c r="O2095" s="5" t="s">
        <v>355</v>
      </c>
      <c r="P2095" s="5" t="s">
        <v>355</v>
      </c>
      <c r="Q2095" s="5" t="s">
        <v>355</v>
      </c>
    </row>
    <row r="2096" ht="16.5" customHeight="1">
      <c r="O2096" s="5" t="s">
        <v>355</v>
      </c>
      <c r="P2096" s="5" t="s">
        <v>355</v>
      </c>
      <c r="Q2096" s="5" t="s">
        <v>355</v>
      </c>
    </row>
    <row r="2097" ht="16.5" customHeight="1">
      <c r="O2097" s="5" t="s">
        <v>355</v>
      </c>
      <c r="P2097" s="5" t="s">
        <v>355</v>
      </c>
      <c r="Q2097" s="5" t="s">
        <v>355</v>
      </c>
    </row>
    <row r="2098" ht="16.5" customHeight="1">
      <c r="O2098" s="5" t="s">
        <v>355</v>
      </c>
      <c r="P2098" s="5" t="s">
        <v>355</v>
      </c>
      <c r="Q2098" s="5" t="s">
        <v>355</v>
      </c>
    </row>
    <row r="2099" ht="16.5" customHeight="1">
      <c r="O2099" s="5" t="s">
        <v>355</v>
      </c>
      <c r="P2099" s="5" t="s">
        <v>355</v>
      </c>
      <c r="Q2099" s="5" t="s">
        <v>355</v>
      </c>
    </row>
    <row r="2100" ht="16.5" customHeight="1">
      <c r="O2100" s="5" t="s">
        <v>355</v>
      </c>
      <c r="P2100" s="5" t="s">
        <v>355</v>
      </c>
      <c r="Q2100" s="5" t="s">
        <v>355</v>
      </c>
    </row>
    <row r="2101" ht="16.5" customHeight="1">
      <c r="O2101" s="5" t="s">
        <v>355</v>
      </c>
      <c r="P2101" s="5" t="s">
        <v>355</v>
      </c>
      <c r="Q2101" s="5" t="s">
        <v>355</v>
      </c>
    </row>
    <row r="2102" ht="16.5" customHeight="1">
      <c r="O2102" s="5" t="s">
        <v>355</v>
      </c>
      <c r="P2102" s="5" t="s">
        <v>355</v>
      </c>
      <c r="Q2102" s="5" t="s">
        <v>355</v>
      </c>
    </row>
    <row r="2103" ht="16.5" customHeight="1">
      <c r="O2103" s="5" t="s">
        <v>355</v>
      </c>
      <c r="P2103" s="5" t="s">
        <v>355</v>
      </c>
      <c r="Q2103" s="5" t="s">
        <v>355</v>
      </c>
    </row>
    <row r="2104" ht="16.5" customHeight="1">
      <c r="O2104" s="5" t="s">
        <v>355</v>
      </c>
      <c r="P2104" s="5" t="s">
        <v>355</v>
      </c>
      <c r="Q2104" s="5" t="s">
        <v>355</v>
      </c>
    </row>
    <row r="2105" ht="16.5" customHeight="1">
      <c r="O2105" s="5" t="s">
        <v>355</v>
      </c>
      <c r="P2105" s="5" t="s">
        <v>355</v>
      </c>
      <c r="Q2105" s="5" t="s">
        <v>355</v>
      </c>
    </row>
    <row r="2106" ht="16.5" customHeight="1">
      <c r="O2106" s="5" t="s">
        <v>355</v>
      </c>
      <c r="P2106" s="5" t="s">
        <v>355</v>
      </c>
      <c r="Q2106" s="5" t="s">
        <v>355</v>
      </c>
    </row>
    <row r="2107" ht="16.5" customHeight="1">
      <c r="O2107" s="5" t="s">
        <v>355</v>
      </c>
      <c r="P2107" s="5" t="s">
        <v>355</v>
      </c>
      <c r="Q2107" s="5" t="s">
        <v>355</v>
      </c>
    </row>
    <row r="2108" ht="16.5" customHeight="1">
      <c r="O2108" s="5" t="s">
        <v>355</v>
      </c>
      <c r="P2108" s="5" t="s">
        <v>355</v>
      </c>
      <c r="Q2108" s="5" t="s">
        <v>355</v>
      </c>
    </row>
    <row r="2109" ht="16.5" customHeight="1">
      <c r="O2109" s="5" t="s">
        <v>355</v>
      </c>
      <c r="P2109" s="5" t="s">
        <v>355</v>
      </c>
      <c r="Q2109" s="5" t="s">
        <v>355</v>
      </c>
    </row>
    <row r="2110" ht="16.5" customHeight="1">
      <c r="O2110" s="5" t="s">
        <v>355</v>
      </c>
      <c r="P2110" s="5" t="s">
        <v>355</v>
      </c>
      <c r="Q2110" s="5" t="s">
        <v>355</v>
      </c>
    </row>
    <row r="2111" ht="16.5" customHeight="1">
      <c r="O2111" s="5" t="s">
        <v>355</v>
      </c>
      <c r="P2111" s="5" t="s">
        <v>355</v>
      </c>
      <c r="Q2111" s="5" t="s">
        <v>355</v>
      </c>
    </row>
    <row r="2112" ht="16.5" customHeight="1">
      <c r="O2112" s="5" t="s">
        <v>355</v>
      </c>
      <c r="P2112" s="5" t="s">
        <v>355</v>
      </c>
      <c r="Q2112" s="5" t="s">
        <v>355</v>
      </c>
    </row>
    <row r="2113" ht="16.5" customHeight="1">
      <c r="O2113" s="5" t="s">
        <v>355</v>
      </c>
      <c r="P2113" s="5" t="s">
        <v>355</v>
      </c>
      <c r="Q2113" s="5" t="s">
        <v>355</v>
      </c>
    </row>
    <row r="2114" ht="16.5" customHeight="1">
      <c r="O2114" s="5" t="s">
        <v>355</v>
      </c>
      <c r="P2114" s="5" t="s">
        <v>355</v>
      </c>
      <c r="Q2114" s="5" t="s">
        <v>355</v>
      </c>
    </row>
    <row r="2115" ht="16.5" customHeight="1">
      <c r="O2115" s="5" t="s">
        <v>355</v>
      </c>
      <c r="P2115" s="5" t="s">
        <v>355</v>
      </c>
      <c r="Q2115" s="5" t="s">
        <v>355</v>
      </c>
    </row>
    <row r="2116" ht="16.5" customHeight="1">
      <c r="O2116" s="5" t="s">
        <v>355</v>
      </c>
      <c r="P2116" s="5" t="s">
        <v>355</v>
      </c>
      <c r="Q2116" s="5" t="s">
        <v>355</v>
      </c>
    </row>
    <row r="2117" ht="16.5" customHeight="1">
      <c r="O2117" s="5" t="s">
        <v>355</v>
      </c>
      <c r="P2117" s="5" t="s">
        <v>355</v>
      </c>
      <c r="Q2117" s="5" t="s">
        <v>355</v>
      </c>
    </row>
    <row r="2118" ht="16.5" customHeight="1">
      <c r="O2118" s="5" t="s">
        <v>355</v>
      </c>
      <c r="P2118" s="5" t="s">
        <v>355</v>
      </c>
      <c r="Q2118" s="5" t="s">
        <v>355</v>
      </c>
    </row>
    <row r="2119" ht="16.5" customHeight="1">
      <c r="O2119" s="5" t="s">
        <v>355</v>
      </c>
      <c r="P2119" s="5" t="s">
        <v>355</v>
      </c>
      <c r="Q2119" s="5" t="s">
        <v>355</v>
      </c>
    </row>
    <row r="2120" ht="16.5" customHeight="1">
      <c r="O2120" s="5" t="s">
        <v>355</v>
      </c>
      <c r="P2120" s="5" t="s">
        <v>355</v>
      </c>
      <c r="Q2120" s="5" t="s">
        <v>355</v>
      </c>
    </row>
    <row r="2121" ht="16.5" customHeight="1">
      <c r="O2121" s="5" t="s">
        <v>355</v>
      </c>
      <c r="P2121" s="5" t="s">
        <v>355</v>
      </c>
      <c r="Q2121" s="5" t="s">
        <v>355</v>
      </c>
    </row>
    <row r="2122" ht="16.5" customHeight="1">
      <c r="O2122" s="5" t="s">
        <v>355</v>
      </c>
      <c r="P2122" s="5" t="s">
        <v>355</v>
      </c>
      <c r="Q2122" s="5" t="s">
        <v>355</v>
      </c>
    </row>
    <row r="2123" ht="16.5" customHeight="1">
      <c r="O2123" s="5" t="s">
        <v>355</v>
      </c>
      <c r="P2123" s="5" t="s">
        <v>355</v>
      </c>
      <c r="Q2123" s="5" t="s">
        <v>355</v>
      </c>
    </row>
    <row r="2124" ht="16.5" customHeight="1">
      <c r="O2124" s="5" t="s">
        <v>355</v>
      </c>
      <c r="P2124" s="5" t="s">
        <v>355</v>
      </c>
      <c r="Q2124" s="5" t="s">
        <v>355</v>
      </c>
    </row>
    <row r="2125" ht="16.5" customHeight="1">
      <c r="O2125" s="5" t="s">
        <v>355</v>
      </c>
      <c r="P2125" s="5" t="s">
        <v>355</v>
      </c>
      <c r="Q2125" s="5" t="s">
        <v>355</v>
      </c>
    </row>
    <row r="2126" ht="16.5" customHeight="1">
      <c r="O2126" s="5" t="s">
        <v>355</v>
      </c>
      <c r="P2126" s="5" t="s">
        <v>355</v>
      </c>
      <c r="Q2126" s="5" t="s">
        <v>355</v>
      </c>
    </row>
    <row r="2127" ht="16.5" customHeight="1">
      <c r="O2127" s="5" t="s">
        <v>355</v>
      </c>
      <c r="P2127" s="5" t="s">
        <v>355</v>
      </c>
      <c r="Q2127" s="5" t="s">
        <v>355</v>
      </c>
    </row>
    <row r="2128" ht="16.5" customHeight="1">
      <c r="O2128" s="5" t="s">
        <v>355</v>
      </c>
      <c r="P2128" s="5" t="s">
        <v>355</v>
      </c>
      <c r="Q2128" s="5" t="s">
        <v>355</v>
      </c>
    </row>
    <row r="2129" ht="16.5" customHeight="1">
      <c r="O2129" s="5" t="s">
        <v>355</v>
      </c>
      <c r="P2129" s="5" t="s">
        <v>355</v>
      </c>
      <c r="Q2129" s="5" t="s">
        <v>355</v>
      </c>
    </row>
    <row r="2130" ht="16.5" customHeight="1">
      <c r="O2130" s="5" t="s">
        <v>355</v>
      </c>
      <c r="P2130" s="5" t="s">
        <v>355</v>
      </c>
      <c r="Q2130" s="5" t="s">
        <v>355</v>
      </c>
    </row>
    <row r="2131" ht="16.5" customHeight="1">
      <c r="O2131" s="5" t="s">
        <v>355</v>
      </c>
      <c r="P2131" s="5" t="s">
        <v>355</v>
      </c>
      <c r="Q2131" s="5" t="s">
        <v>355</v>
      </c>
    </row>
    <row r="2132" ht="16.5" customHeight="1">
      <c r="O2132" s="5" t="s">
        <v>355</v>
      </c>
      <c r="P2132" s="5" t="s">
        <v>355</v>
      </c>
      <c r="Q2132" s="5" t="s">
        <v>355</v>
      </c>
    </row>
    <row r="2133" ht="16.5" customHeight="1">
      <c r="O2133" s="5" t="s">
        <v>355</v>
      </c>
      <c r="P2133" s="5" t="s">
        <v>355</v>
      </c>
      <c r="Q2133" s="5" t="s">
        <v>355</v>
      </c>
    </row>
    <row r="2134" ht="16.5" customHeight="1">
      <c r="O2134" s="5" t="s">
        <v>355</v>
      </c>
      <c r="P2134" s="5" t="s">
        <v>355</v>
      </c>
      <c r="Q2134" s="5" t="s">
        <v>355</v>
      </c>
    </row>
    <row r="2135" ht="16.5" customHeight="1">
      <c r="O2135" s="5" t="s">
        <v>355</v>
      </c>
      <c r="P2135" s="5" t="s">
        <v>355</v>
      </c>
      <c r="Q2135" s="5" t="s">
        <v>355</v>
      </c>
    </row>
    <row r="2136" ht="16.5" customHeight="1">
      <c r="O2136" s="5" t="s">
        <v>355</v>
      </c>
      <c r="P2136" s="5" t="s">
        <v>355</v>
      </c>
      <c r="Q2136" s="5" t="s">
        <v>355</v>
      </c>
    </row>
    <row r="2137" ht="16.5" customHeight="1">
      <c r="O2137" s="5" t="s">
        <v>355</v>
      </c>
      <c r="P2137" s="5" t="s">
        <v>355</v>
      </c>
      <c r="Q2137" s="5" t="s">
        <v>355</v>
      </c>
    </row>
    <row r="2138" ht="16.5" customHeight="1">
      <c r="O2138" s="5" t="s">
        <v>355</v>
      </c>
      <c r="P2138" s="5" t="s">
        <v>355</v>
      </c>
      <c r="Q2138" s="5" t="s">
        <v>355</v>
      </c>
    </row>
    <row r="2139" ht="16.5" customHeight="1">
      <c r="O2139" s="5" t="s">
        <v>355</v>
      </c>
      <c r="P2139" s="5" t="s">
        <v>355</v>
      </c>
      <c r="Q2139" s="5" t="s">
        <v>355</v>
      </c>
    </row>
    <row r="2140" ht="16.5" customHeight="1">
      <c r="O2140" s="5" t="s">
        <v>355</v>
      </c>
      <c r="P2140" s="5" t="s">
        <v>355</v>
      </c>
      <c r="Q2140" s="5" t="s">
        <v>355</v>
      </c>
    </row>
    <row r="2141" ht="16.5" customHeight="1">
      <c r="O2141" s="5" t="s">
        <v>355</v>
      </c>
      <c r="P2141" s="5" t="s">
        <v>355</v>
      </c>
      <c r="Q2141" s="5" t="s">
        <v>355</v>
      </c>
    </row>
    <row r="2142" ht="16.5" customHeight="1">
      <c r="O2142" s="5" t="s">
        <v>355</v>
      </c>
      <c r="P2142" s="5" t="s">
        <v>355</v>
      </c>
      <c r="Q2142" s="5" t="s">
        <v>355</v>
      </c>
    </row>
    <row r="2143" ht="16.5" customHeight="1">
      <c r="O2143" s="5" t="s">
        <v>355</v>
      </c>
      <c r="P2143" s="5" t="s">
        <v>355</v>
      </c>
      <c r="Q2143" s="5" t="s">
        <v>355</v>
      </c>
    </row>
    <row r="2144" ht="16.5" customHeight="1">
      <c r="O2144" s="5" t="s">
        <v>355</v>
      </c>
      <c r="P2144" s="5" t="s">
        <v>355</v>
      </c>
      <c r="Q2144" s="5" t="s">
        <v>355</v>
      </c>
    </row>
    <row r="2145" ht="16.5" customHeight="1">
      <c r="O2145" s="5" t="s">
        <v>355</v>
      </c>
      <c r="P2145" s="5" t="s">
        <v>355</v>
      </c>
      <c r="Q2145" s="5" t="s">
        <v>355</v>
      </c>
    </row>
    <row r="2146" ht="16.5" customHeight="1">
      <c r="O2146" s="5" t="s">
        <v>355</v>
      </c>
      <c r="P2146" s="5" t="s">
        <v>355</v>
      </c>
      <c r="Q2146" s="5" t="s">
        <v>355</v>
      </c>
    </row>
    <row r="2147" ht="16.5" customHeight="1">
      <c r="O2147" s="5" t="s">
        <v>355</v>
      </c>
      <c r="P2147" s="5" t="s">
        <v>355</v>
      </c>
      <c r="Q2147" s="5" t="s">
        <v>355</v>
      </c>
    </row>
    <row r="2148" ht="16.5" customHeight="1">
      <c r="O2148" s="5" t="s">
        <v>355</v>
      </c>
      <c r="P2148" s="5" t="s">
        <v>355</v>
      </c>
      <c r="Q2148" s="5" t="s">
        <v>355</v>
      </c>
    </row>
    <row r="2149" ht="16.5" customHeight="1">
      <c r="O2149" s="5" t="s">
        <v>355</v>
      </c>
      <c r="P2149" s="5" t="s">
        <v>355</v>
      </c>
      <c r="Q2149" s="5" t="s">
        <v>355</v>
      </c>
    </row>
    <row r="2150" ht="16.5" customHeight="1">
      <c r="O2150" s="5" t="s">
        <v>355</v>
      </c>
      <c r="P2150" s="5" t="s">
        <v>355</v>
      </c>
      <c r="Q2150" s="5" t="s">
        <v>355</v>
      </c>
    </row>
    <row r="2151" ht="16.5" customHeight="1">
      <c r="O2151" s="5" t="s">
        <v>355</v>
      </c>
      <c r="P2151" s="5" t="s">
        <v>355</v>
      </c>
      <c r="Q2151" s="5" t="s">
        <v>355</v>
      </c>
    </row>
    <row r="2152" ht="16.5" customHeight="1">
      <c r="O2152" s="5" t="s">
        <v>355</v>
      </c>
      <c r="P2152" s="5" t="s">
        <v>355</v>
      </c>
      <c r="Q2152" s="5" t="s">
        <v>355</v>
      </c>
    </row>
    <row r="2153" ht="16.5" customHeight="1">
      <c r="O2153" s="5" t="s">
        <v>355</v>
      </c>
      <c r="P2153" s="5" t="s">
        <v>355</v>
      </c>
      <c r="Q2153" s="5" t="s">
        <v>355</v>
      </c>
    </row>
    <row r="2154" ht="16.5" customHeight="1">
      <c r="O2154" s="5" t="s">
        <v>355</v>
      </c>
      <c r="P2154" s="5" t="s">
        <v>355</v>
      </c>
      <c r="Q2154" s="5" t="s">
        <v>355</v>
      </c>
    </row>
    <row r="2155" ht="16.5" customHeight="1">
      <c r="O2155" s="5" t="s">
        <v>355</v>
      </c>
      <c r="P2155" s="5" t="s">
        <v>355</v>
      </c>
      <c r="Q2155" s="5" t="s">
        <v>355</v>
      </c>
    </row>
    <row r="2156" ht="16.5" customHeight="1">
      <c r="O2156" s="5" t="s">
        <v>355</v>
      </c>
      <c r="P2156" s="5" t="s">
        <v>355</v>
      </c>
      <c r="Q2156" s="5" t="s">
        <v>355</v>
      </c>
    </row>
    <row r="2157" ht="16.5" customHeight="1">
      <c r="O2157" s="5" t="s">
        <v>355</v>
      </c>
      <c r="P2157" s="5" t="s">
        <v>355</v>
      </c>
      <c r="Q2157" s="5" t="s">
        <v>355</v>
      </c>
    </row>
    <row r="2158" ht="16.5" customHeight="1">
      <c r="O2158" s="5" t="s">
        <v>355</v>
      </c>
      <c r="P2158" s="5" t="s">
        <v>355</v>
      </c>
      <c r="Q2158" s="5" t="s">
        <v>355</v>
      </c>
    </row>
    <row r="2159" ht="16.5" customHeight="1">
      <c r="O2159" s="5" t="s">
        <v>355</v>
      </c>
      <c r="P2159" s="5" t="s">
        <v>355</v>
      </c>
      <c r="Q2159" s="5" t="s">
        <v>355</v>
      </c>
    </row>
    <row r="2160" ht="16.5" customHeight="1">
      <c r="O2160" s="5" t="s">
        <v>355</v>
      </c>
      <c r="P2160" s="5" t="s">
        <v>355</v>
      </c>
      <c r="Q2160" s="5" t="s">
        <v>355</v>
      </c>
    </row>
    <row r="2161" ht="16.5" customHeight="1">
      <c r="O2161" s="5" t="s">
        <v>355</v>
      </c>
      <c r="P2161" s="5" t="s">
        <v>355</v>
      </c>
      <c r="Q2161" s="5" t="s">
        <v>355</v>
      </c>
    </row>
    <row r="2162" ht="16.5" customHeight="1">
      <c r="O2162" s="5" t="s">
        <v>355</v>
      </c>
      <c r="P2162" s="5" t="s">
        <v>355</v>
      </c>
      <c r="Q2162" s="5" t="s">
        <v>355</v>
      </c>
    </row>
    <row r="2163" ht="16.5" customHeight="1">
      <c r="O2163" s="5" t="s">
        <v>355</v>
      </c>
      <c r="P2163" s="5" t="s">
        <v>355</v>
      </c>
      <c r="Q2163" s="5" t="s">
        <v>355</v>
      </c>
    </row>
    <row r="2164" ht="16.5" customHeight="1">
      <c r="O2164" s="5" t="s">
        <v>355</v>
      </c>
      <c r="P2164" s="5" t="s">
        <v>355</v>
      </c>
      <c r="Q2164" s="5" t="s">
        <v>355</v>
      </c>
    </row>
    <row r="2165" ht="16.5" customHeight="1">
      <c r="O2165" s="5" t="s">
        <v>355</v>
      </c>
      <c r="P2165" s="5" t="s">
        <v>355</v>
      </c>
      <c r="Q2165" s="5" t="s">
        <v>355</v>
      </c>
    </row>
    <row r="2166" ht="16.5" customHeight="1">
      <c r="O2166" s="5" t="s">
        <v>355</v>
      </c>
      <c r="P2166" s="5" t="s">
        <v>355</v>
      </c>
      <c r="Q2166" s="5" t="s">
        <v>355</v>
      </c>
    </row>
    <row r="2167" ht="16.5" customHeight="1">
      <c r="O2167" s="5" t="s">
        <v>355</v>
      </c>
      <c r="P2167" s="5" t="s">
        <v>355</v>
      </c>
      <c r="Q2167" s="5" t="s">
        <v>355</v>
      </c>
    </row>
    <row r="2168" ht="16.5" customHeight="1">
      <c r="O2168" s="5" t="s">
        <v>355</v>
      </c>
      <c r="P2168" s="5" t="s">
        <v>355</v>
      </c>
      <c r="Q2168" s="5" t="s">
        <v>355</v>
      </c>
    </row>
    <row r="2169" ht="16.5" customHeight="1">
      <c r="O2169" s="5" t="s">
        <v>355</v>
      </c>
      <c r="P2169" s="5" t="s">
        <v>355</v>
      </c>
      <c r="Q2169" s="5" t="s">
        <v>355</v>
      </c>
    </row>
    <row r="2170" ht="16.5" customHeight="1">
      <c r="O2170" s="5" t="s">
        <v>355</v>
      </c>
      <c r="P2170" s="5" t="s">
        <v>355</v>
      </c>
      <c r="Q2170" s="5" t="s">
        <v>355</v>
      </c>
    </row>
    <row r="2171" ht="16.5" customHeight="1">
      <c r="O2171" s="5" t="s">
        <v>355</v>
      </c>
      <c r="P2171" s="5" t="s">
        <v>355</v>
      </c>
      <c r="Q2171" s="5" t="s">
        <v>355</v>
      </c>
    </row>
    <row r="2172" ht="16.5" customHeight="1">
      <c r="O2172" s="5" t="s">
        <v>355</v>
      </c>
      <c r="P2172" s="5" t="s">
        <v>355</v>
      </c>
      <c r="Q2172" s="5" t="s">
        <v>355</v>
      </c>
    </row>
    <row r="2173" ht="16.5" customHeight="1">
      <c r="O2173" s="5" t="s">
        <v>355</v>
      </c>
      <c r="P2173" s="5" t="s">
        <v>355</v>
      </c>
      <c r="Q2173" s="5" t="s">
        <v>355</v>
      </c>
    </row>
    <row r="2174" ht="16.5" customHeight="1">
      <c r="O2174" s="5" t="s">
        <v>355</v>
      </c>
      <c r="P2174" s="5" t="s">
        <v>355</v>
      </c>
      <c r="Q2174" s="5" t="s">
        <v>355</v>
      </c>
    </row>
    <row r="2175" ht="16.5" customHeight="1">
      <c r="O2175" s="5" t="s">
        <v>355</v>
      </c>
      <c r="P2175" s="5" t="s">
        <v>355</v>
      </c>
      <c r="Q2175" s="5" t="s">
        <v>355</v>
      </c>
    </row>
    <row r="2176" ht="16.5" customHeight="1">
      <c r="O2176" s="5" t="s">
        <v>355</v>
      </c>
      <c r="P2176" s="5" t="s">
        <v>355</v>
      </c>
      <c r="Q2176" s="5" t="s">
        <v>355</v>
      </c>
    </row>
    <row r="2177" ht="16.5" customHeight="1">
      <c r="O2177" s="5" t="s">
        <v>355</v>
      </c>
      <c r="P2177" s="5" t="s">
        <v>355</v>
      </c>
      <c r="Q2177" s="5" t="s">
        <v>355</v>
      </c>
    </row>
    <row r="2178" ht="16.5" customHeight="1">
      <c r="O2178" s="5" t="s">
        <v>355</v>
      </c>
      <c r="P2178" s="5" t="s">
        <v>355</v>
      </c>
      <c r="Q2178" s="5" t="s">
        <v>355</v>
      </c>
    </row>
    <row r="2179" ht="16.5" customHeight="1">
      <c r="O2179" s="5" t="s">
        <v>355</v>
      </c>
      <c r="P2179" s="5" t="s">
        <v>355</v>
      </c>
      <c r="Q2179" s="5" t="s">
        <v>355</v>
      </c>
    </row>
    <row r="2180" ht="16.5" customHeight="1">
      <c r="O2180" s="5" t="s">
        <v>355</v>
      </c>
      <c r="P2180" s="5" t="s">
        <v>355</v>
      </c>
      <c r="Q2180" s="5" t="s">
        <v>355</v>
      </c>
    </row>
    <row r="2181" ht="16.5" customHeight="1">
      <c r="O2181" s="5" t="s">
        <v>355</v>
      </c>
      <c r="P2181" s="5" t="s">
        <v>355</v>
      </c>
      <c r="Q2181" s="5" t="s">
        <v>355</v>
      </c>
    </row>
    <row r="2182" ht="16.5" customHeight="1">
      <c r="O2182" s="5" t="s">
        <v>355</v>
      </c>
      <c r="P2182" s="5" t="s">
        <v>355</v>
      </c>
      <c r="Q2182" s="5" t="s">
        <v>355</v>
      </c>
    </row>
    <row r="2183" ht="16.5" customHeight="1">
      <c r="O2183" s="5" t="s">
        <v>355</v>
      </c>
      <c r="P2183" s="5" t="s">
        <v>355</v>
      </c>
      <c r="Q2183" s="5" t="s">
        <v>355</v>
      </c>
    </row>
    <row r="2184" ht="16.5" customHeight="1">
      <c r="O2184" s="5" t="s">
        <v>355</v>
      </c>
      <c r="P2184" s="5" t="s">
        <v>355</v>
      </c>
      <c r="Q2184" s="5" t="s">
        <v>355</v>
      </c>
    </row>
    <row r="2185" ht="16.5" customHeight="1">
      <c r="O2185" s="5" t="s">
        <v>355</v>
      </c>
      <c r="P2185" s="5" t="s">
        <v>355</v>
      </c>
      <c r="Q2185" s="5" t="s">
        <v>355</v>
      </c>
    </row>
    <row r="2186" ht="16.5" customHeight="1">
      <c r="O2186" s="5" t="s">
        <v>355</v>
      </c>
      <c r="P2186" s="5" t="s">
        <v>355</v>
      </c>
      <c r="Q2186" s="5" t="s">
        <v>355</v>
      </c>
    </row>
    <row r="2187" ht="16.5" customHeight="1">
      <c r="O2187" s="5" t="s">
        <v>355</v>
      </c>
      <c r="P2187" s="5" t="s">
        <v>355</v>
      </c>
      <c r="Q2187" s="5" t="s">
        <v>355</v>
      </c>
    </row>
    <row r="2188" ht="16.5" customHeight="1">
      <c r="O2188" s="5" t="s">
        <v>355</v>
      </c>
      <c r="P2188" s="5" t="s">
        <v>355</v>
      </c>
      <c r="Q2188" s="5" t="s">
        <v>355</v>
      </c>
    </row>
    <row r="2189" ht="16.5" customHeight="1">
      <c r="O2189" s="5" t="s">
        <v>355</v>
      </c>
      <c r="P2189" s="5" t="s">
        <v>355</v>
      </c>
      <c r="Q2189" s="5" t="s">
        <v>355</v>
      </c>
    </row>
    <row r="2190" ht="16.5" customHeight="1">
      <c r="O2190" s="5" t="s">
        <v>355</v>
      </c>
      <c r="P2190" s="5" t="s">
        <v>355</v>
      </c>
      <c r="Q2190" s="5" t="s">
        <v>355</v>
      </c>
    </row>
    <row r="2191" ht="16.5" customHeight="1">
      <c r="O2191" s="5" t="s">
        <v>355</v>
      </c>
      <c r="P2191" s="5" t="s">
        <v>355</v>
      </c>
      <c r="Q2191" s="5" t="s">
        <v>355</v>
      </c>
    </row>
    <row r="2192" ht="16.5" customHeight="1">
      <c r="O2192" s="5" t="s">
        <v>355</v>
      </c>
      <c r="P2192" s="5" t="s">
        <v>355</v>
      </c>
      <c r="Q2192" s="5" t="s">
        <v>355</v>
      </c>
    </row>
    <row r="2193" ht="16.5" customHeight="1">
      <c r="O2193" s="5" t="s">
        <v>355</v>
      </c>
      <c r="P2193" s="5" t="s">
        <v>355</v>
      </c>
      <c r="Q2193" s="5" t="s">
        <v>355</v>
      </c>
    </row>
    <row r="2194" ht="16.5" customHeight="1">
      <c r="O2194" s="5" t="s">
        <v>355</v>
      </c>
      <c r="P2194" s="5" t="s">
        <v>355</v>
      </c>
      <c r="Q2194" s="5" t="s">
        <v>355</v>
      </c>
    </row>
    <row r="2195" ht="16.5" customHeight="1">
      <c r="O2195" s="5" t="s">
        <v>355</v>
      </c>
      <c r="P2195" s="5" t="s">
        <v>355</v>
      </c>
      <c r="Q2195" s="5" t="s">
        <v>355</v>
      </c>
    </row>
    <row r="2196" ht="16.5" customHeight="1">
      <c r="O2196" s="5" t="s">
        <v>355</v>
      </c>
      <c r="P2196" s="5" t="s">
        <v>355</v>
      </c>
      <c r="Q2196" s="5" t="s">
        <v>355</v>
      </c>
    </row>
    <row r="2197" ht="16.5" customHeight="1">
      <c r="O2197" s="5" t="s">
        <v>355</v>
      </c>
      <c r="P2197" s="5" t="s">
        <v>355</v>
      </c>
      <c r="Q2197" s="5" t="s">
        <v>355</v>
      </c>
    </row>
    <row r="2198" ht="16.5" customHeight="1">
      <c r="O2198" s="5" t="s">
        <v>355</v>
      </c>
      <c r="P2198" s="5" t="s">
        <v>355</v>
      </c>
      <c r="Q2198" s="5" t="s">
        <v>355</v>
      </c>
    </row>
    <row r="2199" ht="16.5" customHeight="1">
      <c r="O2199" s="5" t="s">
        <v>355</v>
      </c>
      <c r="P2199" s="5" t="s">
        <v>355</v>
      </c>
      <c r="Q2199" s="5" t="s">
        <v>355</v>
      </c>
    </row>
    <row r="2200" ht="16.5" customHeight="1">
      <c r="O2200" s="5" t="s">
        <v>355</v>
      </c>
      <c r="P2200" s="5" t="s">
        <v>355</v>
      </c>
      <c r="Q2200" s="5" t="s">
        <v>355</v>
      </c>
    </row>
    <row r="2201" ht="16.5" customHeight="1">
      <c r="O2201" s="5" t="s">
        <v>355</v>
      </c>
      <c r="P2201" s="5" t="s">
        <v>355</v>
      </c>
      <c r="Q2201" s="5" t="s">
        <v>355</v>
      </c>
    </row>
    <row r="2202" ht="16.5" customHeight="1">
      <c r="O2202" s="5" t="s">
        <v>355</v>
      </c>
      <c r="P2202" s="5" t="s">
        <v>355</v>
      </c>
      <c r="Q2202" s="5" t="s">
        <v>355</v>
      </c>
    </row>
    <row r="2203" ht="16.5" customHeight="1">
      <c r="O2203" s="5" t="s">
        <v>355</v>
      </c>
      <c r="P2203" s="5" t="s">
        <v>355</v>
      </c>
      <c r="Q2203" s="5" t="s">
        <v>355</v>
      </c>
    </row>
    <row r="2204" ht="16.5" customHeight="1">
      <c r="O2204" s="5" t="s">
        <v>355</v>
      </c>
      <c r="P2204" s="5" t="s">
        <v>355</v>
      </c>
      <c r="Q2204" s="5" t="s">
        <v>355</v>
      </c>
    </row>
    <row r="2205" ht="16.5" customHeight="1">
      <c r="O2205" s="5" t="s">
        <v>355</v>
      </c>
      <c r="P2205" s="5" t="s">
        <v>355</v>
      </c>
      <c r="Q2205" s="5" t="s">
        <v>355</v>
      </c>
    </row>
    <row r="2206" ht="16.5" customHeight="1">
      <c r="O2206" s="5" t="s">
        <v>355</v>
      </c>
      <c r="P2206" s="5" t="s">
        <v>355</v>
      </c>
      <c r="Q2206" s="5" t="s">
        <v>355</v>
      </c>
    </row>
    <row r="2207" ht="16.5" customHeight="1">
      <c r="O2207" s="5" t="s">
        <v>355</v>
      </c>
      <c r="P2207" s="5" t="s">
        <v>355</v>
      </c>
      <c r="Q2207" s="5" t="s">
        <v>355</v>
      </c>
    </row>
    <row r="2208" ht="16.5" customHeight="1">
      <c r="O2208" s="5" t="s">
        <v>355</v>
      </c>
      <c r="P2208" s="5" t="s">
        <v>355</v>
      </c>
      <c r="Q2208" s="5" t="s">
        <v>355</v>
      </c>
    </row>
    <row r="2209" ht="16.5" customHeight="1">
      <c r="O2209" s="5" t="s">
        <v>355</v>
      </c>
      <c r="P2209" s="5" t="s">
        <v>355</v>
      </c>
      <c r="Q2209" s="5" t="s">
        <v>355</v>
      </c>
    </row>
    <row r="2210" ht="16.5" customHeight="1">
      <c r="O2210" s="5" t="s">
        <v>355</v>
      </c>
      <c r="P2210" s="5" t="s">
        <v>355</v>
      </c>
      <c r="Q2210" s="5" t="s">
        <v>355</v>
      </c>
    </row>
    <row r="2211" ht="16.5" customHeight="1">
      <c r="O2211" s="5" t="s">
        <v>355</v>
      </c>
      <c r="P2211" s="5" t="s">
        <v>355</v>
      </c>
      <c r="Q2211" s="5" t="s">
        <v>355</v>
      </c>
    </row>
    <row r="2212" ht="16.5" customHeight="1">
      <c r="O2212" s="5" t="s">
        <v>355</v>
      </c>
      <c r="P2212" s="5" t="s">
        <v>355</v>
      </c>
      <c r="Q2212" s="5" t="s">
        <v>355</v>
      </c>
    </row>
    <row r="2213" ht="16.5" customHeight="1">
      <c r="O2213" s="5" t="s">
        <v>355</v>
      </c>
      <c r="P2213" s="5" t="s">
        <v>355</v>
      </c>
      <c r="Q2213" s="5" t="s">
        <v>355</v>
      </c>
    </row>
    <row r="2214" ht="16.5" customHeight="1">
      <c r="O2214" s="5" t="s">
        <v>355</v>
      </c>
      <c r="P2214" s="5" t="s">
        <v>355</v>
      </c>
      <c r="Q2214" s="5" t="s">
        <v>355</v>
      </c>
    </row>
    <row r="2215" ht="16.5" customHeight="1">
      <c r="O2215" s="5" t="s">
        <v>355</v>
      </c>
      <c r="P2215" s="5" t="s">
        <v>355</v>
      </c>
      <c r="Q2215" s="5" t="s">
        <v>355</v>
      </c>
    </row>
    <row r="2216" ht="16.5" customHeight="1">
      <c r="O2216" s="5" t="s">
        <v>355</v>
      </c>
      <c r="P2216" s="5" t="s">
        <v>355</v>
      </c>
      <c r="Q2216" s="5" t="s">
        <v>355</v>
      </c>
    </row>
    <row r="2217" ht="16.5" customHeight="1">
      <c r="O2217" s="5" t="s">
        <v>355</v>
      </c>
      <c r="P2217" s="5" t="s">
        <v>355</v>
      </c>
      <c r="Q2217" s="5" t="s">
        <v>355</v>
      </c>
    </row>
    <row r="2218" ht="16.5" customHeight="1">
      <c r="O2218" s="5" t="s">
        <v>355</v>
      </c>
      <c r="P2218" s="5" t="s">
        <v>355</v>
      </c>
      <c r="Q2218" s="5" t="s">
        <v>355</v>
      </c>
    </row>
    <row r="2219" ht="16.5" customHeight="1">
      <c r="O2219" s="5" t="s">
        <v>355</v>
      </c>
      <c r="P2219" s="5" t="s">
        <v>355</v>
      </c>
      <c r="Q2219" s="5" t="s">
        <v>355</v>
      </c>
    </row>
    <row r="2220" ht="16.5" customHeight="1">
      <c r="O2220" s="5" t="s">
        <v>355</v>
      </c>
      <c r="P2220" s="5" t="s">
        <v>355</v>
      </c>
      <c r="Q2220" s="5" t="s">
        <v>355</v>
      </c>
    </row>
    <row r="2221" ht="16.5" customHeight="1">
      <c r="O2221" s="5" t="s">
        <v>355</v>
      </c>
      <c r="P2221" s="5" t="s">
        <v>355</v>
      </c>
      <c r="Q2221" s="5" t="s">
        <v>355</v>
      </c>
    </row>
    <row r="2222" ht="16.5" customHeight="1">
      <c r="O2222" s="5" t="s">
        <v>355</v>
      </c>
      <c r="P2222" s="5" t="s">
        <v>355</v>
      </c>
      <c r="Q2222" s="5" t="s">
        <v>355</v>
      </c>
    </row>
    <row r="2223" ht="16.5" customHeight="1">
      <c r="O2223" s="5" t="s">
        <v>355</v>
      </c>
      <c r="P2223" s="5" t="s">
        <v>355</v>
      </c>
      <c r="Q2223" s="5" t="s">
        <v>355</v>
      </c>
    </row>
    <row r="2224" ht="16.5" customHeight="1">
      <c r="O2224" s="5" t="s">
        <v>355</v>
      </c>
      <c r="P2224" s="5" t="s">
        <v>355</v>
      </c>
      <c r="Q2224" s="5" t="s">
        <v>355</v>
      </c>
    </row>
    <row r="2225" ht="16.5" customHeight="1">
      <c r="O2225" s="5" t="s">
        <v>355</v>
      </c>
      <c r="P2225" s="5" t="s">
        <v>355</v>
      </c>
      <c r="Q2225" s="5" t="s">
        <v>355</v>
      </c>
    </row>
    <row r="2226" ht="16.5" customHeight="1">
      <c r="O2226" s="5" t="s">
        <v>355</v>
      </c>
      <c r="P2226" s="5" t="s">
        <v>355</v>
      </c>
      <c r="Q2226" s="5" t="s">
        <v>355</v>
      </c>
    </row>
    <row r="2227" ht="16.5" customHeight="1">
      <c r="O2227" s="5" t="s">
        <v>355</v>
      </c>
      <c r="P2227" s="5" t="s">
        <v>355</v>
      </c>
      <c r="Q2227" s="5" t="s">
        <v>355</v>
      </c>
    </row>
    <row r="2228" ht="16.5" customHeight="1">
      <c r="O2228" s="5" t="s">
        <v>355</v>
      </c>
      <c r="P2228" s="5" t="s">
        <v>355</v>
      </c>
      <c r="Q2228" s="5" t="s">
        <v>355</v>
      </c>
    </row>
    <row r="2229" ht="16.5" customHeight="1">
      <c r="O2229" s="5" t="s">
        <v>355</v>
      </c>
      <c r="P2229" s="5" t="s">
        <v>355</v>
      </c>
      <c r="Q2229" s="5" t="s">
        <v>355</v>
      </c>
    </row>
    <row r="2230" ht="16.5" customHeight="1">
      <c r="O2230" s="5" t="s">
        <v>355</v>
      </c>
      <c r="P2230" s="5" t="s">
        <v>355</v>
      </c>
      <c r="Q2230" s="5" t="s">
        <v>355</v>
      </c>
    </row>
    <row r="2231" ht="16.5" customHeight="1">
      <c r="O2231" s="5" t="s">
        <v>355</v>
      </c>
      <c r="P2231" s="5" t="s">
        <v>355</v>
      </c>
      <c r="Q2231" s="5" t="s">
        <v>355</v>
      </c>
    </row>
    <row r="2232" ht="16.5" customHeight="1">
      <c r="O2232" s="5" t="s">
        <v>355</v>
      </c>
      <c r="P2232" s="5" t="s">
        <v>355</v>
      </c>
      <c r="Q2232" s="5" t="s">
        <v>355</v>
      </c>
    </row>
    <row r="2233" ht="16.5" customHeight="1">
      <c r="O2233" s="5" t="s">
        <v>355</v>
      </c>
      <c r="P2233" s="5" t="s">
        <v>355</v>
      </c>
      <c r="Q2233" s="5" t="s">
        <v>355</v>
      </c>
    </row>
    <row r="2234" ht="16.5" customHeight="1">
      <c r="O2234" s="5" t="s">
        <v>355</v>
      </c>
      <c r="P2234" s="5" t="s">
        <v>355</v>
      </c>
      <c r="Q2234" s="5" t="s">
        <v>355</v>
      </c>
    </row>
    <row r="2235" ht="16.5" customHeight="1">
      <c r="O2235" s="5" t="s">
        <v>355</v>
      </c>
      <c r="P2235" s="5" t="s">
        <v>355</v>
      </c>
      <c r="Q2235" s="5" t="s">
        <v>355</v>
      </c>
    </row>
    <row r="2236" ht="16.5" customHeight="1">
      <c r="O2236" s="5" t="s">
        <v>355</v>
      </c>
      <c r="P2236" s="5" t="s">
        <v>355</v>
      </c>
      <c r="Q2236" s="5" t="s">
        <v>355</v>
      </c>
    </row>
    <row r="2237" ht="16.5" customHeight="1">
      <c r="O2237" s="5" t="s">
        <v>355</v>
      </c>
      <c r="P2237" s="5" t="s">
        <v>355</v>
      </c>
      <c r="Q2237" s="5" t="s">
        <v>355</v>
      </c>
    </row>
    <row r="2238" ht="16.5" customHeight="1">
      <c r="O2238" s="5" t="s">
        <v>355</v>
      </c>
      <c r="P2238" s="5" t="s">
        <v>355</v>
      </c>
      <c r="Q2238" s="5" t="s">
        <v>355</v>
      </c>
    </row>
    <row r="2239" ht="16.5" customHeight="1">
      <c r="O2239" s="5" t="s">
        <v>355</v>
      </c>
      <c r="P2239" s="5" t="s">
        <v>355</v>
      </c>
      <c r="Q2239" s="5" t="s">
        <v>355</v>
      </c>
    </row>
    <row r="2240" ht="16.5" customHeight="1">
      <c r="O2240" s="5" t="s">
        <v>355</v>
      </c>
      <c r="P2240" s="5" t="s">
        <v>355</v>
      </c>
      <c r="Q2240" s="5" t="s">
        <v>355</v>
      </c>
    </row>
    <row r="2241" ht="16.5" customHeight="1">
      <c r="O2241" s="5" t="s">
        <v>355</v>
      </c>
      <c r="P2241" s="5" t="s">
        <v>355</v>
      </c>
      <c r="Q2241" s="5" t="s">
        <v>355</v>
      </c>
    </row>
    <row r="2242" ht="16.5" customHeight="1">
      <c r="O2242" s="5" t="s">
        <v>355</v>
      </c>
      <c r="P2242" s="5" t="s">
        <v>355</v>
      </c>
      <c r="Q2242" s="5" t="s">
        <v>355</v>
      </c>
    </row>
    <row r="2243" ht="16.5" customHeight="1">
      <c r="O2243" s="5" t="s">
        <v>355</v>
      </c>
      <c r="P2243" s="5" t="s">
        <v>355</v>
      </c>
      <c r="Q2243" s="5" t="s">
        <v>355</v>
      </c>
    </row>
    <row r="2244" ht="16.5" customHeight="1">
      <c r="O2244" s="5" t="s">
        <v>355</v>
      </c>
      <c r="P2244" s="5" t="s">
        <v>355</v>
      </c>
      <c r="Q2244" s="5" t="s">
        <v>355</v>
      </c>
    </row>
    <row r="2245" ht="16.5" customHeight="1">
      <c r="O2245" s="5" t="s">
        <v>355</v>
      </c>
      <c r="P2245" s="5" t="s">
        <v>355</v>
      </c>
      <c r="Q2245" s="5" t="s">
        <v>355</v>
      </c>
    </row>
    <row r="2246" ht="16.5" customHeight="1">
      <c r="O2246" s="5" t="s">
        <v>355</v>
      </c>
      <c r="P2246" s="5" t="s">
        <v>355</v>
      </c>
      <c r="Q2246" s="5" t="s">
        <v>355</v>
      </c>
    </row>
    <row r="2247" ht="16.5" customHeight="1">
      <c r="O2247" s="5" t="s">
        <v>355</v>
      </c>
      <c r="P2247" s="5" t="s">
        <v>355</v>
      </c>
      <c r="Q2247" s="5" t="s">
        <v>355</v>
      </c>
    </row>
    <row r="2248" ht="16.5" customHeight="1">
      <c r="O2248" s="5" t="s">
        <v>355</v>
      </c>
      <c r="P2248" s="5" t="s">
        <v>355</v>
      </c>
      <c r="Q2248" s="5" t="s">
        <v>355</v>
      </c>
    </row>
    <row r="2249" ht="16.5" customHeight="1">
      <c r="O2249" s="5" t="s">
        <v>355</v>
      </c>
      <c r="P2249" s="5" t="s">
        <v>355</v>
      </c>
      <c r="Q2249" s="5" t="s">
        <v>355</v>
      </c>
    </row>
    <row r="2250" ht="16.5" customHeight="1">
      <c r="O2250" s="5" t="s">
        <v>355</v>
      </c>
      <c r="P2250" s="5" t="s">
        <v>355</v>
      </c>
      <c r="Q2250" s="5" t="s">
        <v>355</v>
      </c>
    </row>
    <row r="2251" ht="16.5" customHeight="1">
      <c r="O2251" s="5" t="s">
        <v>355</v>
      </c>
      <c r="P2251" s="5" t="s">
        <v>355</v>
      </c>
      <c r="Q2251" s="5" t="s">
        <v>355</v>
      </c>
    </row>
    <row r="2252" ht="16.5" customHeight="1">
      <c r="O2252" s="5" t="s">
        <v>355</v>
      </c>
      <c r="P2252" s="5" t="s">
        <v>355</v>
      </c>
      <c r="Q2252" s="5" t="s">
        <v>355</v>
      </c>
    </row>
    <row r="2253" ht="16.5" customHeight="1">
      <c r="O2253" s="5" t="s">
        <v>355</v>
      </c>
      <c r="P2253" s="5" t="s">
        <v>355</v>
      </c>
      <c r="Q2253" s="5" t="s">
        <v>355</v>
      </c>
    </row>
    <row r="2254" ht="16.5" customHeight="1">
      <c r="O2254" s="5" t="s">
        <v>355</v>
      </c>
      <c r="P2254" s="5" t="s">
        <v>355</v>
      </c>
      <c r="Q2254" s="5" t="s">
        <v>355</v>
      </c>
    </row>
    <row r="2255" ht="16.5" customHeight="1">
      <c r="O2255" s="5" t="s">
        <v>355</v>
      </c>
      <c r="P2255" s="5" t="s">
        <v>355</v>
      </c>
      <c r="Q2255" s="5" t="s">
        <v>355</v>
      </c>
    </row>
    <row r="2256" ht="16.5" customHeight="1">
      <c r="O2256" s="5" t="s">
        <v>355</v>
      </c>
      <c r="P2256" s="5" t="s">
        <v>355</v>
      </c>
      <c r="Q2256" s="5" t="s">
        <v>355</v>
      </c>
    </row>
    <row r="2257" ht="16.5" customHeight="1">
      <c r="O2257" s="5" t="s">
        <v>355</v>
      </c>
      <c r="P2257" s="5" t="s">
        <v>355</v>
      </c>
      <c r="Q2257" s="5" t="s">
        <v>355</v>
      </c>
    </row>
    <row r="2258" ht="16.5" customHeight="1">
      <c r="O2258" s="5" t="s">
        <v>355</v>
      </c>
      <c r="P2258" s="5" t="s">
        <v>355</v>
      </c>
      <c r="Q2258" s="5" t="s">
        <v>355</v>
      </c>
    </row>
    <row r="2259" ht="16.5" customHeight="1">
      <c r="O2259" s="5" t="s">
        <v>355</v>
      </c>
      <c r="P2259" s="5" t="s">
        <v>355</v>
      </c>
      <c r="Q2259" s="5" t="s">
        <v>355</v>
      </c>
    </row>
    <row r="2260" ht="16.5" customHeight="1">
      <c r="O2260" s="5" t="s">
        <v>355</v>
      </c>
      <c r="P2260" s="5" t="s">
        <v>355</v>
      </c>
      <c r="Q2260" s="5" t="s">
        <v>355</v>
      </c>
    </row>
    <row r="2261" ht="16.5" customHeight="1">
      <c r="O2261" s="5" t="s">
        <v>355</v>
      </c>
      <c r="P2261" s="5" t="s">
        <v>355</v>
      </c>
      <c r="Q2261" s="5" t="s">
        <v>355</v>
      </c>
    </row>
    <row r="2262" ht="16.5" customHeight="1">
      <c r="O2262" s="5" t="s">
        <v>355</v>
      </c>
      <c r="P2262" s="5" t="s">
        <v>355</v>
      </c>
      <c r="Q2262" s="5" t="s">
        <v>355</v>
      </c>
    </row>
    <row r="2263" ht="16.5" customHeight="1">
      <c r="O2263" s="5" t="s">
        <v>355</v>
      </c>
      <c r="P2263" s="5" t="s">
        <v>355</v>
      </c>
      <c r="Q2263" s="5" t="s">
        <v>355</v>
      </c>
    </row>
    <row r="2264" ht="16.5" customHeight="1">
      <c r="O2264" s="5" t="s">
        <v>355</v>
      </c>
      <c r="P2264" s="5" t="s">
        <v>355</v>
      </c>
      <c r="Q2264" s="5" t="s">
        <v>355</v>
      </c>
    </row>
    <row r="2265" ht="16.5" customHeight="1">
      <c r="O2265" s="5" t="s">
        <v>355</v>
      </c>
      <c r="P2265" s="5" t="s">
        <v>355</v>
      </c>
      <c r="Q2265" s="5" t="s">
        <v>355</v>
      </c>
    </row>
    <row r="2266" ht="16.5" customHeight="1">
      <c r="O2266" s="5" t="s">
        <v>355</v>
      </c>
      <c r="P2266" s="5" t="s">
        <v>355</v>
      </c>
      <c r="Q2266" s="5" t="s">
        <v>355</v>
      </c>
    </row>
    <row r="2267" ht="16.5" customHeight="1">
      <c r="O2267" s="5" t="s">
        <v>355</v>
      </c>
      <c r="P2267" s="5" t="s">
        <v>355</v>
      </c>
      <c r="Q2267" s="5" t="s">
        <v>355</v>
      </c>
    </row>
    <row r="2268" ht="16.5" customHeight="1">
      <c r="O2268" s="5" t="s">
        <v>355</v>
      </c>
      <c r="P2268" s="5" t="s">
        <v>355</v>
      </c>
      <c r="Q2268" s="5" t="s">
        <v>355</v>
      </c>
    </row>
    <row r="2269" ht="16.5" customHeight="1">
      <c r="O2269" s="5" t="s">
        <v>355</v>
      </c>
      <c r="P2269" s="5" t="s">
        <v>355</v>
      </c>
      <c r="Q2269" s="5" t="s">
        <v>355</v>
      </c>
    </row>
    <row r="2270" ht="16.5" customHeight="1">
      <c r="O2270" s="5" t="s">
        <v>355</v>
      </c>
      <c r="P2270" s="5" t="s">
        <v>355</v>
      </c>
      <c r="Q2270" s="5" t="s">
        <v>355</v>
      </c>
    </row>
    <row r="2271" ht="16.5" customHeight="1">
      <c r="O2271" s="5" t="s">
        <v>355</v>
      </c>
      <c r="P2271" s="5" t="s">
        <v>355</v>
      </c>
      <c r="Q2271" s="5" t="s">
        <v>355</v>
      </c>
    </row>
    <row r="2272" ht="16.5" customHeight="1">
      <c r="O2272" s="5" t="s">
        <v>355</v>
      </c>
      <c r="P2272" s="5" t="s">
        <v>355</v>
      </c>
      <c r="Q2272" s="5" t="s">
        <v>355</v>
      </c>
    </row>
    <row r="2273" ht="16.5" customHeight="1">
      <c r="O2273" s="5" t="s">
        <v>355</v>
      </c>
      <c r="P2273" s="5" t="s">
        <v>355</v>
      </c>
      <c r="Q2273" s="5" t="s">
        <v>355</v>
      </c>
    </row>
    <row r="2274" ht="16.5" customHeight="1">
      <c r="O2274" s="5" t="s">
        <v>355</v>
      </c>
      <c r="P2274" s="5" t="s">
        <v>355</v>
      </c>
      <c r="Q2274" s="5" t="s">
        <v>355</v>
      </c>
    </row>
    <row r="2275" ht="16.5" customHeight="1">
      <c r="O2275" s="5" t="s">
        <v>355</v>
      </c>
      <c r="P2275" s="5" t="s">
        <v>355</v>
      </c>
      <c r="Q2275" s="5" t="s">
        <v>355</v>
      </c>
    </row>
    <row r="2276" ht="16.5" customHeight="1">
      <c r="O2276" s="5" t="s">
        <v>355</v>
      </c>
      <c r="P2276" s="5" t="s">
        <v>355</v>
      </c>
      <c r="Q2276" s="5" t="s">
        <v>355</v>
      </c>
    </row>
    <row r="2277" ht="16.5" customHeight="1">
      <c r="O2277" s="5" t="s">
        <v>355</v>
      </c>
      <c r="P2277" s="5" t="s">
        <v>355</v>
      </c>
      <c r="Q2277" s="5" t="s">
        <v>355</v>
      </c>
    </row>
    <row r="2278" ht="16.5" customHeight="1">
      <c r="O2278" s="5" t="s">
        <v>355</v>
      </c>
      <c r="P2278" s="5" t="s">
        <v>355</v>
      </c>
      <c r="Q2278" s="5" t="s">
        <v>355</v>
      </c>
    </row>
    <row r="2279" ht="16.5" customHeight="1">
      <c r="O2279" s="5" t="s">
        <v>355</v>
      </c>
      <c r="P2279" s="5" t="s">
        <v>355</v>
      </c>
      <c r="Q2279" s="5" t="s">
        <v>355</v>
      </c>
    </row>
    <row r="2280" ht="16.5" customHeight="1">
      <c r="O2280" s="5" t="s">
        <v>355</v>
      </c>
      <c r="P2280" s="5" t="s">
        <v>355</v>
      </c>
      <c r="Q2280" s="5" t="s">
        <v>355</v>
      </c>
    </row>
    <row r="2281" ht="16.5" customHeight="1">
      <c r="O2281" s="5" t="s">
        <v>355</v>
      </c>
      <c r="P2281" s="5" t="s">
        <v>355</v>
      </c>
      <c r="Q2281" s="5" t="s">
        <v>355</v>
      </c>
    </row>
    <row r="2282" ht="16.5" customHeight="1">
      <c r="O2282" s="5" t="s">
        <v>355</v>
      </c>
      <c r="P2282" s="5" t="s">
        <v>355</v>
      </c>
      <c r="Q2282" s="5" t="s">
        <v>355</v>
      </c>
    </row>
    <row r="2283" ht="16.5" customHeight="1">
      <c r="O2283" s="5" t="s">
        <v>355</v>
      </c>
      <c r="P2283" s="5" t="s">
        <v>355</v>
      </c>
      <c r="Q2283" s="5" t="s">
        <v>355</v>
      </c>
    </row>
    <row r="2284" ht="16.5" customHeight="1">
      <c r="O2284" s="5" t="s">
        <v>355</v>
      </c>
      <c r="P2284" s="5" t="s">
        <v>355</v>
      </c>
      <c r="Q2284" s="5" t="s">
        <v>355</v>
      </c>
    </row>
    <row r="2285" ht="16.5" customHeight="1">
      <c r="O2285" s="5" t="s">
        <v>355</v>
      </c>
      <c r="P2285" s="5" t="s">
        <v>355</v>
      </c>
      <c r="Q2285" s="5" t="s">
        <v>355</v>
      </c>
    </row>
    <row r="2286" ht="16.5" customHeight="1">
      <c r="O2286" s="5" t="s">
        <v>355</v>
      </c>
      <c r="P2286" s="5" t="s">
        <v>355</v>
      </c>
      <c r="Q2286" s="5" t="s">
        <v>355</v>
      </c>
    </row>
    <row r="2287" ht="16.5" customHeight="1">
      <c r="O2287" s="5" t="s">
        <v>355</v>
      </c>
      <c r="P2287" s="5" t="s">
        <v>355</v>
      </c>
      <c r="Q2287" s="5" t="s">
        <v>355</v>
      </c>
    </row>
    <row r="2288" ht="16.5" customHeight="1">
      <c r="O2288" s="5" t="s">
        <v>355</v>
      </c>
      <c r="P2288" s="5" t="s">
        <v>355</v>
      </c>
      <c r="Q2288" s="5" t="s">
        <v>355</v>
      </c>
    </row>
    <row r="2289" ht="16.5" customHeight="1">
      <c r="O2289" s="5" t="s">
        <v>355</v>
      </c>
      <c r="P2289" s="5" t="s">
        <v>355</v>
      </c>
      <c r="Q2289" s="5" t="s">
        <v>355</v>
      </c>
    </row>
    <row r="2290" ht="16.5" customHeight="1">
      <c r="O2290" s="5" t="s">
        <v>355</v>
      </c>
      <c r="P2290" s="5" t="s">
        <v>355</v>
      </c>
      <c r="Q2290" s="5" t="s">
        <v>355</v>
      </c>
    </row>
    <row r="2291" ht="16.5" customHeight="1">
      <c r="O2291" s="5" t="s">
        <v>355</v>
      </c>
      <c r="P2291" s="5" t="s">
        <v>355</v>
      </c>
      <c r="Q2291" s="5" t="s">
        <v>355</v>
      </c>
    </row>
    <row r="2292" ht="16.5" customHeight="1">
      <c r="O2292" s="5" t="s">
        <v>355</v>
      </c>
      <c r="P2292" s="5" t="s">
        <v>355</v>
      </c>
      <c r="Q2292" s="5" t="s">
        <v>355</v>
      </c>
    </row>
    <row r="2293" ht="16.5" customHeight="1">
      <c r="O2293" s="5" t="s">
        <v>355</v>
      </c>
      <c r="P2293" s="5" t="s">
        <v>355</v>
      </c>
      <c r="Q2293" s="5" t="s">
        <v>355</v>
      </c>
    </row>
    <row r="2294" ht="16.5" customHeight="1">
      <c r="O2294" s="5" t="s">
        <v>355</v>
      </c>
      <c r="P2294" s="5" t="s">
        <v>355</v>
      </c>
      <c r="Q2294" s="5" t="s">
        <v>355</v>
      </c>
    </row>
    <row r="2295" ht="16.5" customHeight="1">
      <c r="O2295" s="5" t="s">
        <v>355</v>
      </c>
      <c r="P2295" s="5" t="s">
        <v>355</v>
      </c>
      <c r="Q2295" s="5" t="s">
        <v>355</v>
      </c>
    </row>
    <row r="2296" ht="16.5" customHeight="1">
      <c r="O2296" s="5" t="s">
        <v>355</v>
      </c>
      <c r="P2296" s="5" t="s">
        <v>355</v>
      </c>
      <c r="Q2296" s="5" t="s">
        <v>355</v>
      </c>
    </row>
    <row r="2297" ht="16.5" customHeight="1">
      <c r="O2297" s="5" t="s">
        <v>355</v>
      </c>
      <c r="P2297" s="5" t="s">
        <v>355</v>
      </c>
      <c r="Q2297" s="5" t="s">
        <v>355</v>
      </c>
    </row>
    <row r="2298" ht="16.5" customHeight="1">
      <c r="O2298" s="5" t="s">
        <v>355</v>
      </c>
      <c r="P2298" s="5" t="s">
        <v>355</v>
      </c>
      <c r="Q2298" s="5" t="s">
        <v>355</v>
      </c>
    </row>
    <row r="2299" ht="16.5" customHeight="1">
      <c r="O2299" s="5" t="s">
        <v>355</v>
      </c>
      <c r="P2299" s="5" t="s">
        <v>355</v>
      </c>
      <c r="Q2299" s="5" t="s">
        <v>355</v>
      </c>
    </row>
    <row r="2300" ht="16.5" customHeight="1">
      <c r="O2300" s="5" t="s">
        <v>355</v>
      </c>
      <c r="P2300" s="5" t="s">
        <v>355</v>
      </c>
      <c r="Q2300" s="5" t="s">
        <v>355</v>
      </c>
    </row>
    <row r="2301" ht="16.5" customHeight="1">
      <c r="O2301" s="5" t="s">
        <v>355</v>
      </c>
      <c r="P2301" s="5" t="s">
        <v>355</v>
      </c>
      <c r="Q2301" s="5" t="s">
        <v>355</v>
      </c>
    </row>
    <row r="2302" ht="16.5" customHeight="1">
      <c r="O2302" s="5" t="s">
        <v>355</v>
      </c>
      <c r="P2302" s="5" t="s">
        <v>355</v>
      </c>
      <c r="Q2302" s="5" t="s">
        <v>355</v>
      </c>
    </row>
    <row r="2303" ht="16.5" customHeight="1">
      <c r="O2303" s="5" t="s">
        <v>355</v>
      </c>
      <c r="P2303" s="5" t="s">
        <v>355</v>
      </c>
      <c r="Q2303" s="5" t="s">
        <v>355</v>
      </c>
    </row>
    <row r="2304" ht="16.5" customHeight="1">
      <c r="O2304" s="5" t="s">
        <v>355</v>
      </c>
      <c r="P2304" s="5" t="s">
        <v>355</v>
      </c>
      <c r="Q2304" s="5" t="s">
        <v>355</v>
      </c>
    </row>
    <row r="2305" ht="16.5" customHeight="1">
      <c r="O2305" s="5" t="s">
        <v>355</v>
      </c>
      <c r="P2305" s="5" t="s">
        <v>355</v>
      </c>
      <c r="Q2305" s="5" t="s">
        <v>355</v>
      </c>
    </row>
    <row r="2306" ht="16.5" customHeight="1">
      <c r="O2306" s="5" t="s">
        <v>355</v>
      </c>
      <c r="P2306" s="5" t="s">
        <v>355</v>
      </c>
      <c r="Q2306" s="5" t="s">
        <v>355</v>
      </c>
    </row>
    <row r="2307" ht="16.5" customHeight="1">
      <c r="O2307" s="5" t="s">
        <v>355</v>
      </c>
      <c r="P2307" s="5" t="s">
        <v>355</v>
      </c>
      <c r="Q2307" s="5" t="s">
        <v>355</v>
      </c>
    </row>
    <row r="2308" ht="16.5" customHeight="1">
      <c r="O2308" s="5" t="s">
        <v>355</v>
      </c>
      <c r="P2308" s="5" t="s">
        <v>355</v>
      </c>
      <c r="Q2308" s="5" t="s">
        <v>355</v>
      </c>
    </row>
    <row r="2309" ht="16.5" customHeight="1">
      <c r="O2309" s="5" t="s">
        <v>355</v>
      </c>
      <c r="P2309" s="5" t="s">
        <v>355</v>
      </c>
      <c r="Q2309" s="5" t="s">
        <v>355</v>
      </c>
    </row>
    <row r="2310" ht="16.5" customHeight="1">
      <c r="O2310" s="5" t="s">
        <v>355</v>
      </c>
      <c r="P2310" s="5" t="s">
        <v>355</v>
      </c>
      <c r="Q2310" s="5" t="s">
        <v>355</v>
      </c>
    </row>
    <row r="2311" ht="16.5" customHeight="1">
      <c r="O2311" s="5" t="s">
        <v>355</v>
      </c>
      <c r="P2311" s="5" t="s">
        <v>355</v>
      </c>
      <c r="Q2311" s="5" t="s">
        <v>355</v>
      </c>
    </row>
    <row r="2312" ht="16.5" customHeight="1">
      <c r="O2312" s="5" t="s">
        <v>355</v>
      </c>
      <c r="P2312" s="5" t="s">
        <v>355</v>
      </c>
      <c r="Q2312" s="5" t="s">
        <v>355</v>
      </c>
    </row>
    <row r="2313" ht="16.5" customHeight="1">
      <c r="O2313" s="5" t="s">
        <v>355</v>
      </c>
      <c r="P2313" s="5" t="s">
        <v>355</v>
      </c>
      <c r="Q2313" s="5" t="s">
        <v>355</v>
      </c>
    </row>
    <row r="2314" ht="16.5" customHeight="1">
      <c r="O2314" s="5" t="s">
        <v>355</v>
      </c>
      <c r="P2314" s="5" t="s">
        <v>355</v>
      </c>
      <c r="Q2314" s="5" t="s">
        <v>355</v>
      </c>
    </row>
    <row r="2315" ht="16.5" customHeight="1">
      <c r="O2315" s="5" t="s">
        <v>355</v>
      </c>
      <c r="P2315" s="5" t="s">
        <v>355</v>
      </c>
      <c r="Q2315" s="5" t="s">
        <v>355</v>
      </c>
    </row>
    <row r="2316" ht="16.5" customHeight="1">
      <c r="O2316" s="5" t="s">
        <v>355</v>
      </c>
      <c r="P2316" s="5" t="s">
        <v>355</v>
      </c>
      <c r="Q2316" s="5" t="s">
        <v>355</v>
      </c>
    </row>
    <row r="2317" ht="16.5" customHeight="1">
      <c r="O2317" s="5" t="s">
        <v>355</v>
      </c>
      <c r="P2317" s="5" t="s">
        <v>355</v>
      </c>
      <c r="Q2317" s="5" t="s">
        <v>355</v>
      </c>
    </row>
    <row r="2318" ht="16.5" customHeight="1">
      <c r="O2318" s="5" t="s">
        <v>355</v>
      </c>
      <c r="P2318" s="5" t="s">
        <v>355</v>
      </c>
      <c r="Q2318" s="5" t="s">
        <v>355</v>
      </c>
    </row>
    <row r="2319" ht="16.5" customHeight="1">
      <c r="O2319" s="5" t="s">
        <v>355</v>
      </c>
      <c r="P2319" s="5" t="s">
        <v>355</v>
      </c>
      <c r="Q2319" s="5" t="s">
        <v>355</v>
      </c>
    </row>
    <row r="2320" ht="16.5" customHeight="1">
      <c r="O2320" s="5" t="s">
        <v>355</v>
      </c>
      <c r="P2320" s="5" t="s">
        <v>355</v>
      </c>
      <c r="Q2320" s="5" t="s">
        <v>355</v>
      </c>
    </row>
    <row r="2321" ht="16.5" customHeight="1">
      <c r="O2321" s="5" t="s">
        <v>355</v>
      </c>
      <c r="P2321" s="5" t="s">
        <v>355</v>
      </c>
      <c r="Q2321" s="5" t="s">
        <v>355</v>
      </c>
    </row>
    <row r="2322" ht="16.5" customHeight="1">
      <c r="O2322" s="5" t="s">
        <v>355</v>
      </c>
      <c r="P2322" s="5" t="s">
        <v>355</v>
      </c>
      <c r="Q2322" s="5" t="s">
        <v>355</v>
      </c>
    </row>
    <row r="2323" ht="16.5" customHeight="1">
      <c r="O2323" s="5" t="s">
        <v>355</v>
      </c>
      <c r="P2323" s="5" t="s">
        <v>355</v>
      </c>
      <c r="Q2323" s="5" t="s">
        <v>355</v>
      </c>
    </row>
    <row r="2324" ht="16.5" customHeight="1">
      <c r="O2324" s="5" t="s">
        <v>355</v>
      </c>
      <c r="P2324" s="5" t="s">
        <v>355</v>
      </c>
      <c r="Q2324" s="5" t="s">
        <v>355</v>
      </c>
    </row>
    <row r="2325" ht="16.5" customHeight="1">
      <c r="O2325" s="5" t="s">
        <v>355</v>
      </c>
      <c r="P2325" s="5" t="s">
        <v>355</v>
      </c>
      <c r="Q2325" s="5" t="s">
        <v>355</v>
      </c>
    </row>
    <row r="2326" ht="16.5" customHeight="1">
      <c r="O2326" s="5" t="s">
        <v>355</v>
      </c>
      <c r="P2326" s="5" t="s">
        <v>355</v>
      </c>
      <c r="Q2326" s="5" t="s">
        <v>355</v>
      </c>
    </row>
    <row r="2327" ht="16.5" customHeight="1">
      <c r="O2327" s="5" t="s">
        <v>355</v>
      </c>
      <c r="P2327" s="5" t="s">
        <v>355</v>
      </c>
      <c r="Q2327" s="5" t="s">
        <v>355</v>
      </c>
    </row>
    <row r="2328" ht="16.5" customHeight="1">
      <c r="O2328" s="5" t="s">
        <v>355</v>
      </c>
      <c r="P2328" s="5" t="s">
        <v>355</v>
      </c>
      <c r="Q2328" s="5" t="s">
        <v>355</v>
      </c>
    </row>
    <row r="2329" ht="16.5" customHeight="1">
      <c r="O2329" s="5" t="s">
        <v>355</v>
      </c>
      <c r="P2329" s="5" t="s">
        <v>355</v>
      </c>
      <c r="Q2329" s="5" t="s">
        <v>355</v>
      </c>
    </row>
    <row r="2330" ht="16.5" customHeight="1">
      <c r="O2330" s="5" t="s">
        <v>355</v>
      </c>
      <c r="P2330" s="5" t="s">
        <v>355</v>
      </c>
      <c r="Q2330" s="5" t="s">
        <v>355</v>
      </c>
    </row>
    <row r="2331" ht="16.5" customHeight="1">
      <c r="O2331" s="5" t="s">
        <v>355</v>
      </c>
      <c r="P2331" s="5" t="s">
        <v>355</v>
      </c>
      <c r="Q2331" s="5" t="s">
        <v>355</v>
      </c>
    </row>
    <row r="2332" ht="16.5" customHeight="1">
      <c r="O2332" s="5" t="s">
        <v>355</v>
      </c>
      <c r="P2332" s="5" t="s">
        <v>355</v>
      </c>
      <c r="Q2332" s="5" t="s">
        <v>355</v>
      </c>
    </row>
    <row r="2333" ht="16.5" customHeight="1">
      <c r="O2333" s="5" t="s">
        <v>355</v>
      </c>
      <c r="P2333" s="5" t="s">
        <v>355</v>
      </c>
      <c r="Q2333" s="5" t="s">
        <v>355</v>
      </c>
    </row>
    <row r="2334" ht="16.5" customHeight="1">
      <c r="O2334" s="5" t="s">
        <v>355</v>
      </c>
      <c r="P2334" s="5" t="s">
        <v>355</v>
      </c>
      <c r="Q2334" s="5" t="s">
        <v>355</v>
      </c>
    </row>
    <row r="2335" ht="16.5" customHeight="1">
      <c r="O2335" s="5" t="s">
        <v>355</v>
      </c>
      <c r="P2335" s="5" t="s">
        <v>355</v>
      </c>
      <c r="Q2335" s="5" t="s">
        <v>355</v>
      </c>
    </row>
    <row r="2336" ht="16.5" customHeight="1">
      <c r="O2336" s="5" t="s">
        <v>355</v>
      </c>
      <c r="P2336" s="5" t="s">
        <v>355</v>
      </c>
      <c r="Q2336" s="5" t="s">
        <v>355</v>
      </c>
    </row>
    <row r="2337" ht="16.5" customHeight="1">
      <c r="O2337" s="5" t="s">
        <v>355</v>
      </c>
      <c r="P2337" s="5" t="s">
        <v>355</v>
      </c>
      <c r="Q2337" s="5" t="s">
        <v>355</v>
      </c>
    </row>
    <row r="2338" ht="16.5" customHeight="1">
      <c r="O2338" s="5" t="s">
        <v>355</v>
      </c>
      <c r="P2338" s="5" t="s">
        <v>355</v>
      </c>
      <c r="Q2338" s="5" t="s">
        <v>355</v>
      </c>
    </row>
    <row r="2339" ht="16.5" customHeight="1">
      <c r="O2339" s="5" t="s">
        <v>355</v>
      </c>
      <c r="P2339" s="5" t="s">
        <v>355</v>
      </c>
      <c r="Q2339" s="5" t="s">
        <v>355</v>
      </c>
    </row>
    <row r="2340" ht="16.5" customHeight="1">
      <c r="O2340" s="5" t="s">
        <v>355</v>
      </c>
      <c r="P2340" s="5" t="s">
        <v>355</v>
      </c>
      <c r="Q2340" s="5" t="s">
        <v>355</v>
      </c>
    </row>
    <row r="2341" ht="16.5" customHeight="1">
      <c r="O2341" s="5" t="s">
        <v>355</v>
      </c>
      <c r="P2341" s="5" t="s">
        <v>355</v>
      </c>
      <c r="Q2341" s="5" t="s">
        <v>355</v>
      </c>
    </row>
    <row r="2342" ht="16.5" customHeight="1">
      <c r="O2342" s="5" t="s">
        <v>355</v>
      </c>
      <c r="P2342" s="5" t="s">
        <v>355</v>
      </c>
      <c r="Q2342" s="5" t="s">
        <v>355</v>
      </c>
    </row>
    <row r="2343" ht="16.5" customHeight="1">
      <c r="O2343" s="5" t="s">
        <v>355</v>
      </c>
      <c r="P2343" s="5" t="s">
        <v>355</v>
      </c>
      <c r="Q2343" s="5" t="s">
        <v>355</v>
      </c>
    </row>
    <row r="2344" ht="16.5" customHeight="1">
      <c r="O2344" s="5" t="s">
        <v>355</v>
      </c>
      <c r="P2344" s="5" t="s">
        <v>355</v>
      </c>
      <c r="Q2344" s="5" t="s">
        <v>355</v>
      </c>
    </row>
    <row r="2345" ht="16.5" customHeight="1">
      <c r="O2345" s="5" t="s">
        <v>355</v>
      </c>
      <c r="P2345" s="5" t="s">
        <v>355</v>
      </c>
      <c r="Q2345" s="5" t="s">
        <v>355</v>
      </c>
    </row>
    <row r="2346" ht="16.5" customHeight="1">
      <c r="O2346" s="5" t="s">
        <v>355</v>
      </c>
      <c r="P2346" s="5" t="s">
        <v>355</v>
      </c>
      <c r="Q2346" s="5" t="s">
        <v>355</v>
      </c>
    </row>
    <row r="2347" ht="16.5" customHeight="1">
      <c r="O2347" s="5" t="s">
        <v>355</v>
      </c>
      <c r="P2347" s="5" t="s">
        <v>355</v>
      </c>
      <c r="Q2347" s="5" t="s">
        <v>355</v>
      </c>
    </row>
    <row r="2348" ht="16.5" customHeight="1">
      <c r="O2348" s="5" t="s">
        <v>355</v>
      </c>
      <c r="P2348" s="5" t="s">
        <v>355</v>
      </c>
      <c r="Q2348" s="5" t="s">
        <v>355</v>
      </c>
    </row>
    <row r="2349" ht="16.5" customHeight="1">
      <c r="O2349" s="5" t="s">
        <v>355</v>
      </c>
      <c r="P2349" s="5" t="s">
        <v>355</v>
      </c>
      <c r="Q2349" s="5" t="s">
        <v>355</v>
      </c>
    </row>
    <row r="2350" ht="16.5" customHeight="1">
      <c r="O2350" s="5" t="s">
        <v>355</v>
      </c>
      <c r="P2350" s="5" t="s">
        <v>355</v>
      </c>
      <c r="Q2350" s="5" t="s">
        <v>355</v>
      </c>
    </row>
    <row r="2351" ht="16.5" customHeight="1">
      <c r="O2351" s="5" t="s">
        <v>355</v>
      </c>
      <c r="P2351" s="5" t="s">
        <v>355</v>
      </c>
      <c r="Q2351" s="5" t="s">
        <v>355</v>
      </c>
    </row>
    <row r="2352" ht="16.5" customHeight="1">
      <c r="O2352" s="5" t="s">
        <v>355</v>
      </c>
      <c r="P2352" s="5" t="s">
        <v>355</v>
      </c>
      <c r="Q2352" s="5" t="s">
        <v>355</v>
      </c>
    </row>
    <row r="2353" ht="16.5" customHeight="1">
      <c r="O2353" s="5" t="s">
        <v>355</v>
      </c>
      <c r="P2353" s="5" t="s">
        <v>355</v>
      </c>
      <c r="Q2353" s="5" t="s">
        <v>355</v>
      </c>
    </row>
    <row r="2354" ht="16.5" customHeight="1">
      <c r="O2354" s="5" t="s">
        <v>355</v>
      </c>
      <c r="P2354" s="5" t="s">
        <v>355</v>
      </c>
      <c r="Q2354" s="5" t="s">
        <v>355</v>
      </c>
    </row>
    <row r="2355" ht="16.5" customHeight="1">
      <c r="O2355" s="5" t="s">
        <v>355</v>
      </c>
      <c r="P2355" s="5" t="s">
        <v>355</v>
      </c>
      <c r="Q2355" s="5" t="s">
        <v>355</v>
      </c>
    </row>
    <row r="2356" ht="16.5" customHeight="1">
      <c r="O2356" s="5" t="s">
        <v>355</v>
      </c>
      <c r="P2356" s="5" t="s">
        <v>355</v>
      </c>
      <c r="Q2356" s="5" t="s">
        <v>355</v>
      </c>
    </row>
    <row r="2357" ht="16.5" customHeight="1">
      <c r="O2357" s="5" t="s">
        <v>355</v>
      </c>
      <c r="P2357" s="5" t="s">
        <v>355</v>
      </c>
      <c r="Q2357" s="5" t="s">
        <v>355</v>
      </c>
    </row>
    <row r="2358" ht="16.5" customHeight="1">
      <c r="O2358" s="5" t="s">
        <v>355</v>
      </c>
      <c r="P2358" s="5" t="s">
        <v>355</v>
      </c>
      <c r="Q2358" s="5" t="s">
        <v>355</v>
      </c>
    </row>
    <row r="2359" ht="16.5" customHeight="1">
      <c r="O2359" s="5" t="s">
        <v>355</v>
      </c>
      <c r="P2359" s="5" t="s">
        <v>355</v>
      </c>
      <c r="Q2359" s="5" t="s">
        <v>355</v>
      </c>
    </row>
    <row r="2360" ht="16.5" customHeight="1">
      <c r="O2360" s="5" t="s">
        <v>355</v>
      </c>
      <c r="P2360" s="5" t="s">
        <v>355</v>
      </c>
      <c r="Q2360" s="5" t="s">
        <v>355</v>
      </c>
    </row>
    <row r="2361" ht="16.5" customHeight="1">
      <c r="O2361" s="5" t="s">
        <v>355</v>
      </c>
      <c r="P2361" s="5" t="s">
        <v>355</v>
      </c>
      <c r="Q2361" s="5" t="s">
        <v>355</v>
      </c>
    </row>
    <row r="2362" ht="16.5" customHeight="1">
      <c r="O2362" s="5" t="s">
        <v>355</v>
      </c>
      <c r="P2362" s="5" t="s">
        <v>355</v>
      </c>
      <c r="Q2362" s="5" t="s">
        <v>355</v>
      </c>
    </row>
    <row r="2363" ht="16.5" customHeight="1">
      <c r="O2363" s="5" t="s">
        <v>355</v>
      </c>
      <c r="P2363" s="5" t="s">
        <v>355</v>
      </c>
      <c r="Q2363" s="5" t="s">
        <v>355</v>
      </c>
    </row>
    <row r="2364" ht="16.5" customHeight="1">
      <c r="O2364" s="5" t="s">
        <v>355</v>
      </c>
      <c r="P2364" s="5" t="s">
        <v>355</v>
      </c>
      <c r="Q2364" s="5" t="s">
        <v>355</v>
      </c>
    </row>
    <row r="2365" ht="16.5" customHeight="1">
      <c r="O2365" s="5" t="s">
        <v>355</v>
      </c>
      <c r="P2365" s="5" t="s">
        <v>355</v>
      </c>
      <c r="Q2365" s="5" t="s">
        <v>355</v>
      </c>
    </row>
    <row r="2366" ht="16.5" customHeight="1">
      <c r="O2366" s="5" t="s">
        <v>355</v>
      </c>
      <c r="P2366" s="5" t="s">
        <v>355</v>
      </c>
      <c r="Q2366" s="5" t="s">
        <v>355</v>
      </c>
    </row>
    <row r="2367" ht="16.5" customHeight="1">
      <c r="O2367" s="5" t="s">
        <v>355</v>
      </c>
      <c r="P2367" s="5" t="s">
        <v>355</v>
      </c>
      <c r="Q2367" s="5" t="s">
        <v>355</v>
      </c>
    </row>
    <row r="2368" ht="16.5" customHeight="1">
      <c r="O2368" s="5" t="s">
        <v>355</v>
      </c>
      <c r="P2368" s="5" t="s">
        <v>355</v>
      </c>
      <c r="Q2368" s="5" t="s">
        <v>355</v>
      </c>
    </row>
    <row r="2369" ht="16.5" customHeight="1">
      <c r="O2369" s="5" t="s">
        <v>355</v>
      </c>
      <c r="P2369" s="5" t="s">
        <v>355</v>
      </c>
      <c r="Q2369" s="5" t="s">
        <v>355</v>
      </c>
    </row>
    <row r="2370" ht="16.5" customHeight="1">
      <c r="O2370" s="5" t="s">
        <v>355</v>
      </c>
      <c r="P2370" s="5" t="s">
        <v>355</v>
      </c>
      <c r="Q2370" s="5" t="s">
        <v>355</v>
      </c>
    </row>
    <row r="2371" ht="16.5" customHeight="1">
      <c r="O2371" s="5" t="s">
        <v>355</v>
      </c>
      <c r="P2371" s="5" t="s">
        <v>355</v>
      </c>
      <c r="Q2371" s="5" t="s">
        <v>355</v>
      </c>
    </row>
    <row r="2372" ht="16.5" customHeight="1">
      <c r="O2372" s="5" t="s">
        <v>355</v>
      </c>
      <c r="P2372" s="5" t="s">
        <v>355</v>
      </c>
      <c r="Q2372" s="5" t="s">
        <v>355</v>
      </c>
    </row>
    <row r="2373" ht="16.5" customHeight="1">
      <c r="O2373" s="5" t="s">
        <v>355</v>
      </c>
      <c r="P2373" s="5" t="s">
        <v>355</v>
      </c>
      <c r="Q2373" s="5" t="s">
        <v>355</v>
      </c>
    </row>
    <row r="2374" ht="16.5" customHeight="1">
      <c r="O2374" s="5" t="s">
        <v>355</v>
      </c>
      <c r="P2374" s="5" t="s">
        <v>355</v>
      </c>
      <c r="Q2374" s="5" t="s">
        <v>355</v>
      </c>
    </row>
    <row r="2375" ht="16.5" customHeight="1">
      <c r="O2375" s="5" t="s">
        <v>355</v>
      </c>
      <c r="P2375" s="5" t="s">
        <v>355</v>
      </c>
      <c r="Q2375" s="5" t="s">
        <v>355</v>
      </c>
    </row>
    <row r="2376" ht="16.5" customHeight="1">
      <c r="O2376" s="5" t="s">
        <v>355</v>
      </c>
      <c r="P2376" s="5" t="s">
        <v>355</v>
      </c>
      <c r="Q2376" s="5" t="s">
        <v>355</v>
      </c>
    </row>
    <row r="2377" ht="16.5" customHeight="1">
      <c r="O2377" s="5" t="s">
        <v>355</v>
      </c>
      <c r="P2377" s="5" t="s">
        <v>355</v>
      </c>
      <c r="Q2377" s="5" t="s">
        <v>355</v>
      </c>
    </row>
    <row r="2378" ht="16.5" customHeight="1">
      <c r="O2378" s="5" t="s">
        <v>355</v>
      </c>
      <c r="P2378" s="5" t="s">
        <v>355</v>
      </c>
      <c r="Q2378" s="5" t="s">
        <v>355</v>
      </c>
    </row>
    <row r="2379" ht="16.5" customHeight="1">
      <c r="O2379" s="5" t="s">
        <v>355</v>
      </c>
      <c r="P2379" s="5" t="s">
        <v>355</v>
      </c>
      <c r="Q2379" s="5" t="s">
        <v>355</v>
      </c>
    </row>
    <row r="2380" ht="16.5" customHeight="1">
      <c r="O2380" s="5" t="s">
        <v>355</v>
      </c>
      <c r="P2380" s="5" t="s">
        <v>355</v>
      </c>
      <c r="Q2380" s="5" t="s">
        <v>355</v>
      </c>
    </row>
    <row r="2381" ht="16.5" customHeight="1">
      <c r="O2381" s="5" t="s">
        <v>355</v>
      </c>
      <c r="P2381" s="5" t="s">
        <v>355</v>
      </c>
      <c r="Q2381" s="5" t="s">
        <v>355</v>
      </c>
    </row>
    <row r="2382" ht="16.5" customHeight="1">
      <c r="O2382" s="5" t="s">
        <v>355</v>
      </c>
      <c r="P2382" s="5" t="s">
        <v>355</v>
      </c>
      <c r="Q2382" s="5" t="s">
        <v>355</v>
      </c>
    </row>
    <row r="2383" ht="16.5" customHeight="1">
      <c r="O2383" s="5" t="s">
        <v>355</v>
      </c>
      <c r="P2383" s="5" t="s">
        <v>355</v>
      </c>
      <c r="Q2383" s="5" t="s">
        <v>355</v>
      </c>
    </row>
    <row r="2384" ht="16.5" customHeight="1">
      <c r="O2384" s="5" t="s">
        <v>355</v>
      </c>
      <c r="P2384" s="5" t="s">
        <v>355</v>
      </c>
      <c r="Q2384" s="5" t="s">
        <v>355</v>
      </c>
    </row>
    <row r="2385" ht="16.5" customHeight="1">
      <c r="O2385" s="5" t="s">
        <v>355</v>
      </c>
      <c r="P2385" s="5" t="s">
        <v>355</v>
      </c>
      <c r="Q2385" s="5" t="s">
        <v>355</v>
      </c>
    </row>
    <row r="2386" ht="16.5" customHeight="1">
      <c r="O2386" s="5" t="s">
        <v>355</v>
      </c>
      <c r="P2386" s="5" t="s">
        <v>355</v>
      </c>
      <c r="Q2386" s="5" t="s">
        <v>355</v>
      </c>
    </row>
    <row r="2387" ht="16.5" customHeight="1">
      <c r="O2387" s="5" t="s">
        <v>355</v>
      </c>
      <c r="P2387" s="5" t="s">
        <v>355</v>
      </c>
      <c r="Q2387" s="5" t="s">
        <v>355</v>
      </c>
    </row>
    <row r="2388" ht="16.5" customHeight="1">
      <c r="O2388" s="5" t="s">
        <v>355</v>
      </c>
      <c r="P2388" s="5" t="s">
        <v>355</v>
      </c>
      <c r="Q2388" s="5" t="s">
        <v>355</v>
      </c>
    </row>
    <row r="2389" ht="16.5" customHeight="1">
      <c r="O2389" s="5" t="s">
        <v>355</v>
      </c>
      <c r="P2389" s="5" t="s">
        <v>355</v>
      </c>
      <c r="Q2389" s="5" t="s">
        <v>355</v>
      </c>
    </row>
    <row r="2390" ht="16.5" customHeight="1">
      <c r="O2390" s="5" t="s">
        <v>355</v>
      </c>
      <c r="P2390" s="5" t="s">
        <v>355</v>
      </c>
      <c r="Q2390" s="5" t="s">
        <v>355</v>
      </c>
    </row>
    <row r="2391" ht="16.5" customHeight="1">
      <c r="O2391" s="5" t="s">
        <v>355</v>
      </c>
      <c r="P2391" s="5" t="s">
        <v>355</v>
      </c>
      <c r="Q2391" s="5" t="s">
        <v>355</v>
      </c>
    </row>
    <row r="2392" ht="16.5" customHeight="1">
      <c r="O2392" s="5" t="s">
        <v>355</v>
      </c>
      <c r="P2392" s="5" t="s">
        <v>355</v>
      </c>
      <c r="Q2392" s="5" t="s">
        <v>355</v>
      </c>
    </row>
    <row r="2393" ht="16.5" customHeight="1">
      <c r="O2393" s="5" t="s">
        <v>355</v>
      </c>
      <c r="P2393" s="5" t="s">
        <v>355</v>
      </c>
      <c r="Q2393" s="5" t="s">
        <v>355</v>
      </c>
    </row>
    <row r="2394" ht="16.5" customHeight="1">
      <c r="O2394" s="5" t="s">
        <v>355</v>
      </c>
      <c r="P2394" s="5" t="s">
        <v>355</v>
      </c>
      <c r="Q2394" s="5" t="s">
        <v>355</v>
      </c>
    </row>
    <row r="2395" ht="16.5" customHeight="1">
      <c r="O2395" s="5" t="s">
        <v>355</v>
      </c>
      <c r="P2395" s="5" t="s">
        <v>355</v>
      </c>
      <c r="Q2395" s="5" t="s">
        <v>355</v>
      </c>
    </row>
    <row r="2396" ht="16.5" customHeight="1">
      <c r="O2396" s="5" t="s">
        <v>355</v>
      </c>
      <c r="P2396" s="5" t="s">
        <v>355</v>
      </c>
      <c r="Q2396" s="5" t="s">
        <v>355</v>
      </c>
    </row>
    <row r="2397" ht="16.5" customHeight="1">
      <c r="O2397" s="5" t="s">
        <v>355</v>
      </c>
      <c r="P2397" s="5" t="s">
        <v>355</v>
      </c>
      <c r="Q2397" s="5" t="s">
        <v>355</v>
      </c>
    </row>
    <row r="2398" ht="16.5" customHeight="1">
      <c r="O2398" s="5" t="s">
        <v>355</v>
      </c>
      <c r="P2398" s="5" t="s">
        <v>355</v>
      </c>
      <c r="Q2398" s="5" t="s">
        <v>355</v>
      </c>
    </row>
    <row r="2399" ht="16.5" customHeight="1">
      <c r="O2399" s="5" t="s">
        <v>355</v>
      </c>
      <c r="P2399" s="5" t="s">
        <v>355</v>
      </c>
      <c r="Q2399" s="5" t="s">
        <v>355</v>
      </c>
    </row>
    <row r="2400" ht="16.5" customHeight="1">
      <c r="O2400" s="5" t="s">
        <v>355</v>
      </c>
      <c r="P2400" s="5" t="s">
        <v>355</v>
      </c>
      <c r="Q2400" s="5" t="s">
        <v>355</v>
      </c>
    </row>
    <row r="2401" ht="16.5" customHeight="1">
      <c r="O2401" s="5" t="s">
        <v>355</v>
      </c>
      <c r="P2401" s="5" t="s">
        <v>355</v>
      </c>
      <c r="Q2401" s="5" t="s">
        <v>355</v>
      </c>
    </row>
    <row r="2402" ht="16.5" customHeight="1">
      <c r="O2402" s="5" t="s">
        <v>355</v>
      </c>
      <c r="P2402" s="5" t="s">
        <v>355</v>
      </c>
      <c r="Q2402" s="5" t="s">
        <v>355</v>
      </c>
    </row>
    <row r="2403" ht="16.5" customHeight="1">
      <c r="O2403" s="5" t="s">
        <v>355</v>
      </c>
      <c r="P2403" s="5" t="s">
        <v>355</v>
      </c>
      <c r="Q2403" s="5" t="s">
        <v>355</v>
      </c>
    </row>
    <row r="2404" ht="16.5" customHeight="1">
      <c r="O2404" s="5" t="s">
        <v>355</v>
      </c>
      <c r="P2404" s="5" t="s">
        <v>355</v>
      </c>
      <c r="Q2404" s="5" t="s">
        <v>355</v>
      </c>
    </row>
    <row r="2405" ht="16.5" customHeight="1">
      <c r="O2405" s="5" t="s">
        <v>355</v>
      </c>
      <c r="P2405" s="5" t="s">
        <v>355</v>
      </c>
      <c r="Q2405" s="5" t="s">
        <v>355</v>
      </c>
    </row>
    <row r="2406" ht="16.5" customHeight="1">
      <c r="O2406" s="5" t="s">
        <v>355</v>
      </c>
      <c r="P2406" s="5" t="s">
        <v>355</v>
      </c>
      <c r="Q2406" s="5" t="s">
        <v>355</v>
      </c>
    </row>
    <row r="2407" ht="16.5" customHeight="1">
      <c r="O2407" s="5" t="s">
        <v>355</v>
      </c>
      <c r="P2407" s="5" t="s">
        <v>355</v>
      </c>
      <c r="Q2407" s="5" t="s">
        <v>355</v>
      </c>
    </row>
    <row r="2408" ht="16.5" customHeight="1">
      <c r="O2408" s="5" t="s">
        <v>355</v>
      </c>
      <c r="P2408" s="5" t="s">
        <v>355</v>
      </c>
      <c r="Q2408" s="5" t="s">
        <v>355</v>
      </c>
    </row>
    <row r="2409" ht="16.5" customHeight="1">
      <c r="O2409" s="5" t="s">
        <v>355</v>
      </c>
      <c r="P2409" s="5" t="s">
        <v>355</v>
      </c>
      <c r="Q2409" s="5" t="s">
        <v>355</v>
      </c>
    </row>
    <row r="2410" ht="16.5" customHeight="1">
      <c r="O2410" s="5" t="s">
        <v>355</v>
      </c>
      <c r="P2410" s="5" t="s">
        <v>355</v>
      </c>
      <c r="Q2410" s="5" t="s">
        <v>355</v>
      </c>
    </row>
    <row r="2411" ht="16.5" customHeight="1">
      <c r="O2411" s="5" t="s">
        <v>355</v>
      </c>
      <c r="P2411" s="5" t="s">
        <v>355</v>
      </c>
      <c r="Q2411" s="5" t="s">
        <v>355</v>
      </c>
    </row>
    <row r="2412" ht="16.5" customHeight="1">
      <c r="O2412" s="5" t="s">
        <v>355</v>
      </c>
      <c r="P2412" s="5" t="s">
        <v>355</v>
      </c>
      <c r="Q2412" s="5" t="s">
        <v>355</v>
      </c>
    </row>
    <row r="2413" ht="16.5" customHeight="1">
      <c r="O2413" s="5" t="s">
        <v>355</v>
      </c>
      <c r="P2413" s="5" t="s">
        <v>355</v>
      </c>
      <c r="Q2413" s="5" t="s">
        <v>355</v>
      </c>
    </row>
    <row r="2414" ht="16.5" customHeight="1">
      <c r="O2414" s="5" t="s">
        <v>355</v>
      </c>
      <c r="P2414" s="5" t="s">
        <v>355</v>
      </c>
      <c r="Q2414" s="5" t="s">
        <v>355</v>
      </c>
    </row>
    <row r="2415" ht="16.5" customHeight="1">
      <c r="O2415" s="5" t="s">
        <v>355</v>
      </c>
      <c r="P2415" s="5" t="s">
        <v>355</v>
      </c>
      <c r="Q2415" s="5" t="s">
        <v>355</v>
      </c>
    </row>
    <row r="2416" ht="16.5" customHeight="1">
      <c r="O2416" s="5" t="s">
        <v>355</v>
      </c>
      <c r="P2416" s="5" t="s">
        <v>355</v>
      </c>
      <c r="Q2416" s="5" t="s">
        <v>355</v>
      </c>
    </row>
    <row r="2417" ht="16.5" customHeight="1">
      <c r="O2417" s="5" t="s">
        <v>355</v>
      </c>
      <c r="P2417" s="5" t="s">
        <v>355</v>
      </c>
      <c r="Q2417" s="5" t="s">
        <v>355</v>
      </c>
    </row>
    <row r="2418" ht="16.5" customHeight="1">
      <c r="O2418" s="5" t="s">
        <v>355</v>
      </c>
      <c r="P2418" s="5" t="s">
        <v>355</v>
      </c>
      <c r="Q2418" s="5" t="s">
        <v>355</v>
      </c>
    </row>
    <row r="2419" ht="16.5" customHeight="1">
      <c r="O2419" s="5" t="s">
        <v>355</v>
      </c>
      <c r="P2419" s="5" t="s">
        <v>355</v>
      </c>
      <c r="Q2419" s="5" t="s">
        <v>355</v>
      </c>
    </row>
    <row r="2420" ht="16.5" customHeight="1">
      <c r="O2420" s="5" t="s">
        <v>355</v>
      </c>
      <c r="P2420" s="5" t="s">
        <v>355</v>
      </c>
      <c r="Q2420" s="5" t="s">
        <v>355</v>
      </c>
    </row>
    <row r="2421" ht="16.5" customHeight="1">
      <c r="O2421" s="5" t="s">
        <v>355</v>
      </c>
      <c r="P2421" s="5" t="s">
        <v>355</v>
      </c>
      <c r="Q2421" s="5" t="s">
        <v>355</v>
      </c>
    </row>
    <row r="2422" ht="16.5" customHeight="1">
      <c r="O2422" s="5" t="s">
        <v>355</v>
      </c>
      <c r="P2422" s="5" t="s">
        <v>355</v>
      </c>
      <c r="Q2422" s="5" t="s">
        <v>355</v>
      </c>
    </row>
    <row r="2423" ht="16.5" customHeight="1">
      <c r="O2423" s="5" t="s">
        <v>355</v>
      </c>
      <c r="P2423" s="5" t="s">
        <v>355</v>
      </c>
      <c r="Q2423" s="5" t="s">
        <v>355</v>
      </c>
    </row>
    <row r="2424" ht="16.5" customHeight="1">
      <c r="O2424" s="5" t="s">
        <v>355</v>
      </c>
      <c r="P2424" s="5" t="s">
        <v>355</v>
      </c>
      <c r="Q2424" s="5" t="s">
        <v>355</v>
      </c>
    </row>
    <row r="2425" ht="16.5" customHeight="1">
      <c r="O2425" s="5" t="s">
        <v>355</v>
      </c>
      <c r="P2425" s="5" t="s">
        <v>355</v>
      </c>
      <c r="Q2425" s="5" t="s">
        <v>355</v>
      </c>
    </row>
    <row r="2426" ht="16.5" customHeight="1">
      <c r="O2426" s="5" t="s">
        <v>355</v>
      </c>
      <c r="P2426" s="5" t="s">
        <v>355</v>
      </c>
      <c r="Q2426" s="5" t="s">
        <v>355</v>
      </c>
    </row>
    <row r="2427" ht="16.5" customHeight="1">
      <c r="O2427" s="5" t="s">
        <v>355</v>
      </c>
      <c r="P2427" s="5" t="s">
        <v>355</v>
      </c>
      <c r="Q2427" s="5" t="s">
        <v>355</v>
      </c>
    </row>
    <row r="2428" ht="16.5" customHeight="1">
      <c r="O2428" s="5" t="s">
        <v>355</v>
      </c>
      <c r="P2428" s="5" t="s">
        <v>355</v>
      </c>
      <c r="Q2428" s="5" t="s">
        <v>355</v>
      </c>
    </row>
    <row r="2429" ht="16.5" customHeight="1">
      <c r="O2429" s="5" t="s">
        <v>355</v>
      </c>
      <c r="P2429" s="5" t="s">
        <v>355</v>
      </c>
      <c r="Q2429" s="5" t="s">
        <v>355</v>
      </c>
    </row>
    <row r="2430" ht="16.5" customHeight="1">
      <c r="O2430" s="5" t="s">
        <v>355</v>
      </c>
      <c r="P2430" s="5" t="s">
        <v>355</v>
      </c>
      <c r="Q2430" s="5" t="s">
        <v>355</v>
      </c>
    </row>
    <row r="2431" ht="16.5" customHeight="1">
      <c r="O2431" s="5" t="s">
        <v>355</v>
      </c>
      <c r="P2431" s="5" t="s">
        <v>355</v>
      </c>
      <c r="Q2431" s="5" t="s">
        <v>355</v>
      </c>
    </row>
    <row r="2432" ht="16.5" customHeight="1">
      <c r="O2432" s="5" t="s">
        <v>355</v>
      </c>
      <c r="P2432" s="5" t="s">
        <v>355</v>
      </c>
      <c r="Q2432" s="5" t="s">
        <v>355</v>
      </c>
    </row>
    <row r="2433" ht="16.5" customHeight="1">
      <c r="O2433" s="5" t="s">
        <v>355</v>
      </c>
      <c r="P2433" s="5" t="s">
        <v>355</v>
      </c>
      <c r="Q2433" s="5" t="s">
        <v>355</v>
      </c>
    </row>
    <row r="2434" ht="16.5" customHeight="1">
      <c r="O2434" s="5" t="s">
        <v>355</v>
      </c>
      <c r="P2434" s="5" t="s">
        <v>355</v>
      </c>
      <c r="Q2434" s="5" t="s">
        <v>355</v>
      </c>
    </row>
    <row r="2435" ht="16.5" customHeight="1">
      <c r="O2435" s="5" t="s">
        <v>355</v>
      </c>
      <c r="P2435" s="5" t="s">
        <v>355</v>
      </c>
      <c r="Q2435" s="5" t="s">
        <v>355</v>
      </c>
    </row>
    <row r="2436" ht="16.5" customHeight="1">
      <c r="O2436" s="5" t="s">
        <v>355</v>
      </c>
      <c r="P2436" s="5" t="s">
        <v>355</v>
      </c>
      <c r="Q2436" s="5" t="s">
        <v>355</v>
      </c>
    </row>
    <row r="2437" ht="16.5" customHeight="1">
      <c r="O2437" s="5" t="s">
        <v>355</v>
      </c>
      <c r="P2437" s="5" t="s">
        <v>355</v>
      </c>
      <c r="Q2437" s="5" t="s">
        <v>355</v>
      </c>
    </row>
    <row r="2438" ht="16.5" customHeight="1">
      <c r="O2438" s="5" t="s">
        <v>355</v>
      </c>
      <c r="P2438" s="5" t="s">
        <v>355</v>
      </c>
      <c r="Q2438" s="5" t="s">
        <v>355</v>
      </c>
    </row>
    <row r="2439" ht="16.5" customHeight="1">
      <c r="O2439" s="5" t="s">
        <v>355</v>
      </c>
      <c r="P2439" s="5" t="s">
        <v>355</v>
      </c>
      <c r="Q2439" s="5" t="s">
        <v>355</v>
      </c>
    </row>
    <row r="2440" ht="16.5" customHeight="1">
      <c r="O2440" s="5" t="s">
        <v>355</v>
      </c>
      <c r="P2440" s="5" t="s">
        <v>355</v>
      </c>
      <c r="Q2440" s="5" t="s">
        <v>355</v>
      </c>
    </row>
    <row r="2441" ht="16.5" customHeight="1">
      <c r="O2441" s="5" t="s">
        <v>355</v>
      </c>
      <c r="P2441" s="5" t="s">
        <v>355</v>
      </c>
      <c r="Q2441" s="5" t="s">
        <v>355</v>
      </c>
    </row>
    <row r="2442" ht="16.5" customHeight="1">
      <c r="O2442" s="5" t="s">
        <v>355</v>
      </c>
      <c r="P2442" s="5" t="s">
        <v>355</v>
      </c>
      <c r="Q2442" s="5" t="s">
        <v>355</v>
      </c>
    </row>
    <row r="2443" ht="16.5" customHeight="1">
      <c r="O2443" s="5" t="s">
        <v>355</v>
      </c>
      <c r="P2443" s="5" t="s">
        <v>355</v>
      </c>
      <c r="Q2443" s="5" t="s">
        <v>355</v>
      </c>
    </row>
    <row r="2444" ht="16.5" customHeight="1">
      <c r="O2444" s="5" t="s">
        <v>355</v>
      </c>
      <c r="P2444" s="5" t="s">
        <v>355</v>
      </c>
      <c r="Q2444" s="5" t="s">
        <v>355</v>
      </c>
    </row>
    <row r="2445" ht="16.5" customHeight="1">
      <c r="O2445" s="5" t="s">
        <v>355</v>
      </c>
      <c r="P2445" s="5" t="s">
        <v>355</v>
      </c>
      <c r="Q2445" s="5" t="s">
        <v>355</v>
      </c>
    </row>
    <row r="2446" ht="16.5" customHeight="1">
      <c r="O2446" s="5" t="s">
        <v>355</v>
      </c>
      <c r="P2446" s="5" t="s">
        <v>355</v>
      </c>
      <c r="Q2446" s="5" t="s">
        <v>355</v>
      </c>
    </row>
    <row r="2447" ht="16.5" customHeight="1">
      <c r="O2447" s="5" t="s">
        <v>355</v>
      </c>
      <c r="P2447" s="5" t="s">
        <v>355</v>
      </c>
      <c r="Q2447" s="5" t="s">
        <v>355</v>
      </c>
    </row>
    <row r="2448" ht="16.5" customHeight="1">
      <c r="O2448" s="5" t="s">
        <v>355</v>
      </c>
      <c r="P2448" s="5" t="s">
        <v>355</v>
      </c>
      <c r="Q2448" s="5" t="s">
        <v>355</v>
      </c>
    </row>
    <row r="2449" ht="16.5" customHeight="1">
      <c r="O2449" s="5" t="s">
        <v>355</v>
      </c>
      <c r="P2449" s="5" t="s">
        <v>355</v>
      </c>
      <c r="Q2449" s="5" t="s">
        <v>355</v>
      </c>
    </row>
    <row r="2450" ht="16.5" customHeight="1">
      <c r="O2450" s="5" t="s">
        <v>355</v>
      </c>
      <c r="P2450" s="5" t="s">
        <v>355</v>
      </c>
      <c r="Q2450" s="5" t="s">
        <v>355</v>
      </c>
    </row>
    <row r="2451" ht="16.5" customHeight="1">
      <c r="O2451" s="5" t="s">
        <v>355</v>
      </c>
      <c r="P2451" s="5" t="s">
        <v>355</v>
      </c>
      <c r="Q2451" s="5" t="s">
        <v>355</v>
      </c>
    </row>
    <row r="2452" ht="16.5" customHeight="1">
      <c r="O2452" s="5" t="s">
        <v>355</v>
      </c>
      <c r="P2452" s="5" t="s">
        <v>355</v>
      </c>
      <c r="Q2452" s="5" t="s">
        <v>355</v>
      </c>
    </row>
    <row r="2453" ht="16.5" customHeight="1">
      <c r="O2453" s="5" t="s">
        <v>355</v>
      </c>
      <c r="P2453" s="5" t="s">
        <v>355</v>
      </c>
      <c r="Q2453" s="5" t="s">
        <v>355</v>
      </c>
    </row>
    <row r="2454" ht="16.5" customHeight="1">
      <c r="O2454" s="5" t="s">
        <v>355</v>
      </c>
      <c r="P2454" s="5" t="s">
        <v>355</v>
      </c>
      <c r="Q2454" s="5" t="s">
        <v>355</v>
      </c>
    </row>
    <row r="2455" ht="16.5" customHeight="1">
      <c r="O2455" s="5" t="s">
        <v>355</v>
      </c>
      <c r="P2455" s="5" t="s">
        <v>355</v>
      </c>
      <c r="Q2455" s="5" t="s">
        <v>355</v>
      </c>
    </row>
    <row r="2456" ht="16.5" customHeight="1">
      <c r="O2456" s="5" t="s">
        <v>355</v>
      </c>
      <c r="P2456" s="5" t="s">
        <v>355</v>
      </c>
      <c r="Q2456" s="5" t="s">
        <v>355</v>
      </c>
    </row>
    <row r="2457" ht="16.5" customHeight="1">
      <c r="O2457" s="5" t="s">
        <v>355</v>
      </c>
      <c r="P2457" s="5" t="s">
        <v>355</v>
      </c>
      <c r="Q2457" s="5" t="s">
        <v>355</v>
      </c>
    </row>
    <row r="2458" ht="16.5" customHeight="1">
      <c r="O2458" s="5" t="s">
        <v>355</v>
      </c>
      <c r="P2458" s="5" t="s">
        <v>355</v>
      </c>
      <c r="Q2458" s="5" t="s">
        <v>355</v>
      </c>
    </row>
    <row r="2459" ht="16.5" customHeight="1">
      <c r="O2459" s="5" t="s">
        <v>355</v>
      </c>
      <c r="P2459" s="5" t="s">
        <v>355</v>
      </c>
      <c r="Q2459" s="5" t="s">
        <v>355</v>
      </c>
    </row>
    <row r="2460" ht="16.5" customHeight="1">
      <c r="O2460" s="5" t="s">
        <v>355</v>
      </c>
      <c r="P2460" s="5" t="s">
        <v>355</v>
      </c>
      <c r="Q2460" s="5" t="s">
        <v>355</v>
      </c>
    </row>
    <row r="2461" ht="16.5" customHeight="1">
      <c r="O2461" s="5" t="s">
        <v>355</v>
      </c>
      <c r="P2461" s="5" t="s">
        <v>355</v>
      </c>
      <c r="Q2461" s="5" t="s">
        <v>355</v>
      </c>
    </row>
    <row r="2462" ht="16.5" customHeight="1">
      <c r="O2462" s="5" t="s">
        <v>355</v>
      </c>
      <c r="P2462" s="5" t="s">
        <v>355</v>
      </c>
      <c r="Q2462" s="5" t="s">
        <v>355</v>
      </c>
    </row>
    <row r="2463" ht="16.5" customHeight="1">
      <c r="O2463" s="5" t="s">
        <v>355</v>
      </c>
      <c r="P2463" s="5" t="s">
        <v>355</v>
      </c>
      <c r="Q2463" s="5" t="s">
        <v>355</v>
      </c>
    </row>
    <row r="2464" ht="16.5" customHeight="1">
      <c r="O2464" s="5" t="s">
        <v>355</v>
      </c>
      <c r="P2464" s="5" t="s">
        <v>355</v>
      </c>
      <c r="Q2464" s="5" t="s">
        <v>355</v>
      </c>
    </row>
    <row r="2465" ht="16.5" customHeight="1">
      <c r="O2465" s="5" t="s">
        <v>355</v>
      </c>
      <c r="P2465" s="5" t="s">
        <v>355</v>
      </c>
      <c r="Q2465" s="5" t="s">
        <v>355</v>
      </c>
    </row>
    <row r="2466" ht="16.5" customHeight="1">
      <c r="O2466" s="5" t="s">
        <v>355</v>
      </c>
      <c r="P2466" s="5" t="s">
        <v>355</v>
      </c>
      <c r="Q2466" s="5" t="s">
        <v>355</v>
      </c>
    </row>
    <row r="2467" ht="16.5" customHeight="1">
      <c r="O2467" s="5" t="s">
        <v>355</v>
      </c>
      <c r="P2467" s="5" t="s">
        <v>355</v>
      </c>
      <c r="Q2467" s="5" t="s">
        <v>355</v>
      </c>
    </row>
    <row r="2468" ht="16.5" customHeight="1">
      <c r="O2468" s="5" t="s">
        <v>355</v>
      </c>
      <c r="P2468" s="5" t="s">
        <v>355</v>
      </c>
      <c r="Q2468" s="5" t="s">
        <v>355</v>
      </c>
    </row>
    <row r="2469" ht="16.5" customHeight="1">
      <c r="O2469" s="5" t="s">
        <v>355</v>
      </c>
      <c r="P2469" s="5" t="s">
        <v>355</v>
      </c>
      <c r="Q2469" s="5" t="s">
        <v>355</v>
      </c>
    </row>
    <row r="2470" ht="16.5" customHeight="1">
      <c r="O2470" s="5" t="s">
        <v>355</v>
      </c>
      <c r="P2470" s="5" t="s">
        <v>355</v>
      </c>
      <c r="Q2470" s="5" t="s">
        <v>355</v>
      </c>
    </row>
    <row r="2471" ht="16.5" customHeight="1">
      <c r="O2471" s="5" t="s">
        <v>355</v>
      </c>
      <c r="P2471" s="5" t="s">
        <v>355</v>
      </c>
      <c r="Q2471" s="5" t="s">
        <v>355</v>
      </c>
    </row>
    <row r="2472" ht="16.5" customHeight="1">
      <c r="O2472" s="5" t="s">
        <v>355</v>
      </c>
      <c r="P2472" s="5" t="s">
        <v>355</v>
      </c>
      <c r="Q2472" s="5" t="s">
        <v>355</v>
      </c>
    </row>
    <row r="2473" ht="16.5" customHeight="1">
      <c r="O2473" s="5" t="s">
        <v>355</v>
      </c>
      <c r="P2473" s="5" t="s">
        <v>355</v>
      </c>
      <c r="Q2473" s="5" t="s">
        <v>355</v>
      </c>
    </row>
    <row r="2474" ht="16.5" customHeight="1">
      <c r="O2474" s="5" t="s">
        <v>355</v>
      </c>
      <c r="P2474" s="5" t="s">
        <v>355</v>
      </c>
      <c r="Q2474" s="5" t="s">
        <v>355</v>
      </c>
    </row>
    <row r="2475" ht="16.5" customHeight="1">
      <c r="O2475" s="5" t="s">
        <v>355</v>
      </c>
      <c r="P2475" s="5" t="s">
        <v>355</v>
      </c>
      <c r="Q2475" s="5" t="s">
        <v>355</v>
      </c>
    </row>
    <row r="2476" ht="16.5" customHeight="1">
      <c r="O2476" s="5" t="s">
        <v>355</v>
      </c>
      <c r="P2476" s="5" t="s">
        <v>355</v>
      </c>
      <c r="Q2476" s="5" t="s">
        <v>355</v>
      </c>
    </row>
    <row r="2477" ht="16.5" customHeight="1">
      <c r="O2477" s="5" t="s">
        <v>355</v>
      </c>
      <c r="P2477" s="5" t="s">
        <v>355</v>
      </c>
      <c r="Q2477" s="5" t="s">
        <v>355</v>
      </c>
    </row>
    <row r="2478" ht="16.5" customHeight="1">
      <c r="O2478" s="5" t="s">
        <v>355</v>
      </c>
      <c r="P2478" s="5" t="s">
        <v>355</v>
      </c>
      <c r="Q2478" s="5" t="s">
        <v>355</v>
      </c>
    </row>
    <row r="2479" ht="16.5" customHeight="1">
      <c r="O2479" s="5" t="s">
        <v>355</v>
      </c>
      <c r="P2479" s="5" t="s">
        <v>355</v>
      </c>
      <c r="Q2479" s="5" t="s">
        <v>355</v>
      </c>
    </row>
    <row r="2480" ht="16.5" customHeight="1">
      <c r="O2480" s="5" t="s">
        <v>355</v>
      </c>
      <c r="P2480" s="5" t="s">
        <v>355</v>
      </c>
      <c r="Q2480" s="5" t="s">
        <v>355</v>
      </c>
    </row>
    <row r="2481" ht="16.5" customHeight="1">
      <c r="O2481" s="5" t="s">
        <v>355</v>
      </c>
      <c r="P2481" s="5" t="s">
        <v>355</v>
      </c>
      <c r="Q2481" s="5" t="s">
        <v>355</v>
      </c>
    </row>
    <row r="2482" ht="16.5" customHeight="1">
      <c r="O2482" s="5" t="s">
        <v>355</v>
      </c>
      <c r="P2482" s="5" t="s">
        <v>355</v>
      </c>
      <c r="Q2482" s="5" t="s">
        <v>355</v>
      </c>
    </row>
    <row r="2483" ht="16.5" customHeight="1">
      <c r="O2483" s="5" t="s">
        <v>355</v>
      </c>
      <c r="P2483" s="5" t="s">
        <v>355</v>
      </c>
      <c r="Q2483" s="5" t="s">
        <v>355</v>
      </c>
    </row>
    <row r="2484" ht="16.5" customHeight="1">
      <c r="O2484" s="5" t="s">
        <v>355</v>
      </c>
      <c r="P2484" s="5" t="s">
        <v>355</v>
      </c>
      <c r="Q2484" s="5" t="s">
        <v>355</v>
      </c>
    </row>
    <row r="2485" ht="16.5" customHeight="1">
      <c r="O2485" s="5" t="s">
        <v>355</v>
      </c>
      <c r="P2485" s="5" t="s">
        <v>355</v>
      </c>
      <c r="Q2485" s="5" t="s">
        <v>355</v>
      </c>
    </row>
    <row r="2486" ht="16.5" customHeight="1">
      <c r="O2486" s="5" t="s">
        <v>355</v>
      </c>
      <c r="P2486" s="5" t="s">
        <v>355</v>
      </c>
      <c r="Q2486" s="5" t="s">
        <v>355</v>
      </c>
    </row>
    <row r="2487" ht="16.5" customHeight="1">
      <c r="O2487" s="5" t="s">
        <v>355</v>
      </c>
      <c r="P2487" s="5" t="s">
        <v>355</v>
      </c>
      <c r="Q2487" s="5" t="s">
        <v>355</v>
      </c>
    </row>
    <row r="2488" ht="16.5" customHeight="1">
      <c r="O2488" s="5" t="s">
        <v>355</v>
      </c>
      <c r="P2488" s="5" t="s">
        <v>355</v>
      </c>
      <c r="Q2488" s="5" t="s">
        <v>355</v>
      </c>
    </row>
    <row r="2489" ht="16.5" customHeight="1">
      <c r="O2489" s="5" t="s">
        <v>355</v>
      </c>
      <c r="P2489" s="5" t="s">
        <v>355</v>
      </c>
      <c r="Q2489" s="5" t="s">
        <v>355</v>
      </c>
    </row>
    <row r="2490" ht="16.5" customHeight="1">
      <c r="O2490" s="5" t="s">
        <v>355</v>
      </c>
      <c r="P2490" s="5" t="s">
        <v>355</v>
      </c>
      <c r="Q2490" s="5" t="s">
        <v>355</v>
      </c>
    </row>
    <row r="2491" ht="16.5" customHeight="1">
      <c r="O2491" s="5" t="s">
        <v>355</v>
      </c>
      <c r="P2491" s="5" t="s">
        <v>355</v>
      </c>
      <c r="Q2491" s="5" t="s">
        <v>355</v>
      </c>
    </row>
    <row r="2492" ht="16.5" customHeight="1">
      <c r="O2492" s="5" t="s">
        <v>355</v>
      </c>
      <c r="P2492" s="5" t="s">
        <v>355</v>
      </c>
      <c r="Q2492" s="5" t="s">
        <v>355</v>
      </c>
    </row>
    <row r="2493" ht="16.5" customHeight="1">
      <c r="O2493" s="5" t="s">
        <v>355</v>
      </c>
      <c r="P2493" s="5" t="s">
        <v>355</v>
      </c>
      <c r="Q2493" s="5" t="s">
        <v>355</v>
      </c>
    </row>
    <row r="2494" ht="16.5" customHeight="1">
      <c r="O2494" s="5" t="s">
        <v>355</v>
      </c>
      <c r="P2494" s="5" t="s">
        <v>355</v>
      </c>
      <c r="Q2494" s="5" t="s">
        <v>355</v>
      </c>
    </row>
    <row r="2495" ht="16.5" customHeight="1">
      <c r="O2495" s="5" t="s">
        <v>355</v>
      </c>
      <c r="P2495" s="5" t="s">
        <v>355</v>
      </c>
      <c r="Q2495" s="5" t="s">
        <v>355</v>
      </c>
    </row>
    <row r="2496" ht="16.5" customHeight="1">
      <c r="O2496" s="5" t="s">
        <v>355</v>
      </c>
      <c r="P2496" s="5" t="s">
        <v>355</v>
      </c>
      <c r="Q2496" s="5" t="s">
        <v>355</v>
      </c>
    </row>
    <row r="2497" ht="16.5" customHeight="1">
      <c r="O2497" s="5" t="s">
        <v>355</v>
      </c>
      <c r="P2497" s="5" t="s">
        <v>355</v>
      </c>
      <c r="Q2497" s="5" t="s">
        <v>355</v>
      </c>
    </row>
    <row r="2498" ht="16.5" customHeight="1">
      <c r="O2498" s="5" t="s">
        <v>355</v>
      </c>
      <c r="P2498" s="5" t="s">
        <v>355</v>
      </c>
      <c r="Q2498" s="5" t="s">
        <v>355</v>
      </c>
    </row>
    <row r="2499" ht="16.5" customHeight="1">
      <c r="O2499" s="5" t="s">
        <v>355</v>
      </c>
      <c r="P2499" s="5" t="s">
        <v>355</v>
      </c>
      <c r="Q2499" s="5" t="s">
        <v>355</v>
      </c>
    </row>
    <row r="2500" ht="16.5" customHeight="1">
      <c r="O2500" s="5" t="s">
        <v>355</v>
      </c>
      <c r="P2500" s="5" t="s">
        <v>355</v>
      </c>
      <c r="Q2500" s="5" t="s">
        <v>355</v>
      </c>
    </row>
    <row r="2501" ht="16.5" customHeight="1">
      <c r="O2501" s="5" t="s">
        <v>355</v>
      </c>
      <c r="P2501" s="5" t="s">
        <v>355</v>
      </c>
      <c r="Q2501" s="5" t="s">
        <v>355</v>
      </c>
    </row>
    <row r="2502" ht="16.5" customHeight="1">
      <c r="O2502" s="5" t="s">
        <v>355</v>
      </c>
      <c r="P2502" s="5" t="s">
        <v>355</v>
      </c>
      <c r="Q2502" s="5" t="s">
        <v>355</v>
      </c>
    </row>
    <row r="2503" ht="16.5" customHeight="1">
      <c r="O2503" s="5" t="s">
        <v>355</v>
      </c>
      <c r="P2503" s="5" t="s">
        <v>355</v>
      </c>
      <c r="Q2503" s="5" t="s">
        <v>355</v>
      </c>
    </row>
    <row r="2504" ht="16.5" customHeight="1">
      <c r="O2504" s="5" t="s">
        <v>355</v>
      </c>
      <c r="P2504" s="5" t="s">
        <v>355</v>
      </c>
      <c r="Q2504" s="5" t="s">
        <v>355</v>
      </c>
    </row>
    <row r="2505" ht="16.5" customHeight="1">
      <c r="O2505" s="5" t="s">
        <v>355</v>
      </c>
      <c r="P2505" s="5" t="s">
        <v>355</v>
      </c>
      <c r="Q2505" s="5" t="s">
        <v>355</v>
      </c>
    </row>
    <row r="2506" ht="16.5" customHeight="1">
      <c r="O2506" s="5" t="s">
        <v>355</v>
      </c>
      <c r="P2506" s="5" t="s">
        <v>355</v>
      </c>
      <c r="Q2506" s="5" t="s">
        <v>355</v>
      </c>
    </row>
    <row r="2507" ht="16.5" customHeight="1">
      <c r="O2507" s="5" t="s">
        <v>355</v>
      </c>
      <c r="P2507" s="5" t="s">
        <v>355</v>
      </c>
      <c r="Q2507" s="5" t="s">
        <v>355</v>
      </c>
    </row>
    <row r="2508" ht="16.5" customHeight="1">
      <c r="O2508" s="5" t="s">
        <v>355</v>
      </c>
      <c r="P2508" s="5" t="s">
        <v>355</v>
      </c>
      <c r="Q2508" s="5" t="s">
        <v>355</v>
      </c>
    </row>
    <row r="2509" ht="16.5" customHeight="1">
      <c r="O2509" s="5" t="s">
        <v>355</v>
      </c>
      <c r="P2509" s="5" t="s">
        <v>355</v>
      </c>
      <c r="Q2509" s="5" t="s">
        <v>355</v>
      </c>
    </row>
    <row r="2510" ht="16.5" customHeight="1">
      <c r="O2510" s="5" t="s">
        <v>355</v>
      </c>
      <c r="P2510" s="5" t="s">
        <v>355</v>
      </c>
      <c r="Q2510" s="5" t="s">
        <v>355</v>
      </c>
    </row>
    <row r="2511" ht="16.5" customHeight="1">
      <c r="O2511" s="5" t="s">
        <v>355</v>
      </c>
      <c r="P2511" s="5" t="s">
        <v>355</v>
      </c>
      <c r="Q2511" s="5" t="s">
        <v>355</v>
      </c>
    </row>
    <row r="2512" ht="16.5" customHeight="1">
      <c r="O2512" s="5" t="s">
        <v>355</v>
      </c>
      <c r="P2512" s="5" t="s">
        <v>355</v>
      </c>
      <c r="Q2512" s="5" t="s">
        <v>355</v>
      </c>
    </row>
    <row r="2513" ht="16.5" customHeight="1">
      <c r="O2513" s="5" t="s">
        <v>355</v>
      </c>
      <c r="P2513" s="5" t="s">
        <v>355</v>
      </c>
      <c r="Q2513" s="5" t="s">
        <v>355</v>
      </c>
    </row>
    <row r="2514" ht="16.5" customHeight="1">
      <c r="O2514" s="5" t="s">
        <v>355</v>
      </c>
      <c r="P2514" s="5" t="s">
        <v>355</v>
      </c>
      <c r="Q2514" s="5" t="s">
        <v>355</v>
      </c>
    </row>
    <row r="2515" ht="16.5" customHeight="1">
      <c r="O2515" s="5" t="s">
        <v>355</v>
      </c>
      <c r="P2515" s="5" t="s">
        <v>355</v>
      </c>
      <c r="Q2515" s="5" t="s">
        <v>355</v>
      </c>
    </row>
    <row r="2516" ht="16.5" customHeight="1">
      <c r="O2516" s="5" t="s">
        <v>355</v>
      </c>
      <c r="P2516" s="5" t="s">
        <v>355</v>
      </c>
      <c r="Q2516" s="5" t="s">
        <v>355</v>
      </c>
    </row>
    <row r="2517" ht="16.5" customHeight="1">
      <c r="O2517" s="5" t="s">
        <v>355</v>
      </c>
      <c r="P2517" s="5" t="s">
        <v>355</v>
      </c>
      <c r="Q2517" s="5" t="s">
        <v>355</v>
      </c>
    </row>
    <row r="2518" ht="16.5" customHeight="1">
      <c r="O2518" s="5" t="s">
        <v>355</v>
      </c>
      <c r="P2518" s="5" t="s">
        <v>355</v>
      </c>
      <c r="Q2518" s="5" t="s">
        <v>355</v>
      </c>
    </row>
    <row r="2519" ht="16.5" customHeight="1">
      <c r="O2519" s="5" t="s">
        <v>355</v>
      </c>
      <c r="P2519" s="5" t="s">
        <v>355</v>
      </c>
      <c r="Q2519" s="5" t="s">
        <v>355</v>
      </c>
    </row>
    <row r="2520" ht="16.5" customHeight="1">
      <c r="O2520" s="5" t="s">
        <v>355</v>
      </c>
      <c r="P2520" s="5" t="s">
        <v>355</v>
      </c>
      <c r="Q2520" s="5" t="s">
        <v>355</v>
      </c>
    </row>
    <row r="2521" ht="16.5" customHeight="1">
      <c r="O2521" s="5" t="s">
        <v>355</v>
      </c>
      <c r="P2521" s="5" t="s">
        <v>355</v>
      </c>
      <c r="Q2521" s="5" t="s">
        <v>355</v>
      </c>
    </row>
    <row r="2522" ht="16.5" customHeight="1">
      <c r="O2522" s="5" t="s">
        <v>355</v>
      </c>
      <c r="P2522" s="5" t="s">
        <v>355</v>
      </c>
      <c r="Q2522" s="5" t="s">
        <v>355</v>
      </c>
    </row>
    <row r="2523" ht="16.5" customHeight="1">
      <c r="O2523" s="5" t="s">
        <v>355</v>
      </c>
      <c r="P2523" s="5" t="s">
        <v>355</v>
      </c>
      <c r="Q2523" s="5" t="s">
        <v>355</v>
      </c>
    </row>
    <row r="2524" ht="16.5" customHeight="1">
      <c r="O2524" s="5" t="s">
        <v>355</v>
      </c>
      <c r="P2524" s="5" t="s">
        <v>355</v>
      </c>
      <c r="Q2524" s="5" t="s">
        <v>355</v>
      </c>
    </row>
    <row r="2525" ht="16.5" customHeight="1">
      <c r="O2525" s="5" t="s">
        <v>355</v>
      </c>
      <c r="P2525" s="5" t="s">
        <v>355</v>
      </c>
      <c r="Q2525" s="5" t="s">
        <v>355</v>
      </c>
    </row>
    <row r="2526" ht="16.5" customHeight="1">
      <c r="O2526" s="5" t="s">
        <v>355</v>
      </c>
      <c r="P2526" s="5" t="s">
        <v>355</v>
      </c>
      <c r="Q2526" s="5" t="s">
        <v>355</v>
      </c>
    </row>
    <row r="2527" ht="16.5" customHeight="1">
      <c r="O2527" s="5" t="s">
        <v>355</v>
      </c>
      <c r="P2527" s="5" t="s">
        <v>355</v>
      </c>
      <c r="Q2527" s="5" t="s">
        <v>355</v>
      </c>
    </row>
    <row r="2528" ht="16.5" customHeight="1">
      <c r="O2528" s="5" t="s">
        <v>355</v>
      </c>
      <c r="P2528" s="5" t="s">
        <v>355</v>
      </c>
      <c r="Q2528" s="5" t="s">
        <v>355</v>
      </c>
    </row>
    <row r="2529" ht="16.5" customHeight="1">
      <c r="O2529" s="5" t="s">
        <v>355</v>
      </c>
      <c r="P2529" s="5" t="s">
        <v>355</v>
      </c>
      <c r="Q2529" s="5" t="s">
        <v>355</v>
      </c>
    </row>
    <row r="2530" ht="16.5" customHeight="1">
      <c r="O2530" s="5" t="s">
        <v>355</v>
      </c>
      <c r="P2530" s="5" t="s">
        <v>355</v>
      </c>
      <c r="Q2530" s="5" t="s">
        <v>355</v>
      </c>
    </row>
    <row r="2531" ht="16.5" customHeight="1">
      <c r="O2531" s="5" t="s">
        <v>355</v>
      </c>
      <c r="P2531" s="5" t="s">
        <v>355</v>
      </c>
      <c r="Q2531" s="5" t="s">
        <v>355</v>
      </c>
    </row>
    <row r="2532" ht="16.5" customHeight="1">
      <c r="O2532" s="5" t="s">
        <v>355</v>
      </c>
      <c r="P2532" s="5" t="s">
        <v>355</v>
      </c>
      <c r="Q2532" s="5" t="s">
        <v>355</v>
      </c>
    </row>
    <row r="2533" ht="16.5" customHeight="1">
      <c r="O2533" s="5" t="s">
        <v>355</v>
      </c>
      <c r="P2533" s="5" t="s">
        <v>355</v>
      </c>
      <c r="Q2533" s="5" t="s">
        <v>355</v>
      </c>
    </row>
    <row r="2534" ht="16.5" customHeight="1">
      <c r="O2534" s="5" t="s">
        <v>355</v>
      </c>
      <c r="P2534" s="5" t="s">
        <v>355</v>
      </c>
      <c r="Q2534" s="5" t="s">
        <v>355</v>
      </c>
    </row>
    <row r="2535" ht="16.5" customHeight="1">
      <c r="O2535" s="5" t="s">
        <v>355</v>
      </c>
      <c r="P2535" s="5" t="s">
        <v>355</v>
      </c>
      <c r="Q2535" s="5" t="s">
        <v>355</v>
      </c>
    </row>
    <row r="2536" ht="16.5" customHeight="1">
      <c r="O2536" s="5" t="s">
        <v>355</v>
      </c>
      <c r="P2536" s="5" t="s">
        <v>355</v>
      </c>
      <c r="Q2536" s="5" t="s">
        <v>355</v>
      </c>
    </row>
    <row r="2537" ht="16.5" customHeight="1">
      <c r="O2537" s="5" t="s">
        <v>355</v>
      </c>
      <c r="P2537" s="5" t="s">
        <v>355</v>
      </c>
      <c r="Q2537" s="5" t="s">
        <v>355</v>
      </c>
    </row>
    <row r="2538" ht="16.5" customHeight="1">
      <c r="O2538" s="5" t="s">
        <v>355</v>
      </c>
      <c r="P2538" s="5" t="s">
        <v>355</v>
      </c>
      <c r="Q2538" s="5" t="s">
        <v>355</v>
      </c>
    </row>
    <row r="2539" ht="16.5" customHeight="1">
      <c r="O2539" s="5" t="s">
        <v>355</v>
      </c>
      <c r="P2539" s="5" t="s">
        <v>355</v>
      </c>
      <c r="Q2539" s="5" t="s">
        <v>355</v>
      </c>
    </row>
    <row r="2540" ht="16.5" customHeight="1">
      <c r="O2540" s="5" t="s">
        <v>355</v>
      </c>
      <c r="P2540" s="5" t="s">
        <v>355</v>
      </c>
      <c r="Q2540" s="5" t="s">
        <v>355</v>
      </c>
    </row>
    <row r="2541" ht="16.5" customHeight="1">
      <c r="O2541" s="5" t="s">
        <v>355</v>
      </c>
      <c r="P2541" s="5" t="s">
        <v>355</v>
      </c>
      <c r="Q2541" s="5" t="s">
        <v>355</v>
      </c>
    </row>
    <row r="2542" ht="16.5" customHeight="1">
      <c r="O2542" s="5" t="s">
        <v>355</v>
      </c>
      <c r="P2542" s="5" t="s">
        <v>355</v>
      </c>
      <c r="Q2542" s="5" t="s">
        <v>355</v>
      </c>
    </row>
    <row r="2543" ht="16.5" customHeight="1">
      <c r="O2543" s="5" t="s">
        <v>355</v>
      </c>
      <c r="P2543" s="5" t="s">
        <v>355</v>
      </c>
      <c r="Q2543" s="5" t="s">
        <v>355</v>
      </c>
    </row>
    <row r="2544" ht="16.5" customHeight="1">
      <c r="O2544" s="5" t="s">
        <v>355</v>
      </c>
      <c r="P2544" s="5" t="s">
        <v>355</v>
      </c>
      <c r="Q2544" s="5" t="s">
        <v>355</v>
      </c>
    </row>
    <row r="2545" ht="16.5" customHeight="1">
      <c r="O2545" s="5" t="s">
        <v>355</v>
      </c>
      <c r="P2545" s="5" t="s">
        <v>355</v>
      </c>
      <c r="Q2545" s="5" t="s">
        <v>355</v>
      </c>
    </row>
    <row r="2546" ht="16.5" customHeight="1">
      <c r="O2546" s="5" t="s">
        <v>355</v>
      </c>
      <c r="P2546" s="5" t="s">
        <v>355</v>
      </c>
      <c r="Q2546" s="5" t="s">
        <v>355</v>
      </c>
    </row>
    <row r="2547" ht="16.5" customHeight="1">
      <c r="O2547" s="5" t="s">
        <v>355</v>
      </c>
      <c r="P2547" s="5" t="s">
        <v>355</v>
      </c>
      <c r="Q2547" s="5" t="s">
        <v>355</v>
      </c>
    </row>
    <row r="2548" ht="16.5" customHeight="1">
      <c r="O2548" s="5" t="s">
        <v>355</v>
      </c>
      <c r="P2548" s="5" t="s">
        <v>355</v>
      </c>
      <c r="Q2548" s="5" t="s">
        <v>355</v>
      </c>
    </row>
    <row r="2549" ht="16.5" customHeight="1">
      <c r="O2549" s="5" t="s">
        <v>355</v>
      </c>
      <c r="P2549" s="5" t="s">
        <v>355</v>
      </c>
      <c r="Q2549" s="5" t="s">
        <v>355</v>
      </c>
    </row>
    <row r="2550" ht="16.5" customHeight="1">
      <c r="O2550" s="5" t="s">
        <v>355</v>
      </c>
      <c r="P2550" s="5" t="s">
        <v>355</v>
      </c>
      <c r="Q2550" s="5" t="s">
        <v>355</v>
      </c>
    </row>
    <row r="2551" ht="16.5" customHeight="1">
      <c r="O2551" s="5" t="s">
        <v>355</v>
      </c>
      <c r="P2551" s="5" t="s">
        <v>355</v>
      </c>
      <c r="Q2551" s="5" t="s">
        <v>355</v>
      </c>
    </row>
    <row r="2552" ht="16.5" customHeight="1">
      <c r="O2552" s="5" t="s">
        <v>355</v>
      </c>
      <c r="P2552" s="5" t="s">
        <v>355</v>
      </c>
      <c r="Q2552" s="5" t="s">
        <v>355</v>
      </c>
    </row>
    <row r="2553" ht="16.5" customHeight="1">
      <c r="O2553" s="5" t="s">
        <v>355</v>
      </c>
      <c r="P2553" s="5" t="s">
        <v>355</v>
      </c>
      <c r="Q2553" s="5" t="s">
        <v>355</v>
      </c>
    </row>
    <row r="2554" ht="16.5" customHeight="1">
      <c r="O2554" s="5" t="s">
        <v>355</v>
      </c>
      <c r="P2554" s="5" t="s">
        <v>355</v>
      </c>
      <c r="Q2554" s="5" t="s">
        <v>355</v>
      </c>
    </row>
    <row r="2555" ht="16.5" customHeight="1">
      <c r="O2555" s="5" t="s">
        <v>355</v>
      </c>
      <c r="P2555" s="5" t="s">
        <v>355</v>
      </c>
      <c r="Q2555" s="5" t="s">
        <v>355</v>
      </c>
    </row>
    <row r="2556" ht="16.5" customHeight="1">
      <c r="O2556" s="5" t="s">
        <v>355</v>
      </c>
      <c r="P2556" s="5" t="s">
        <v>355</v>
      </c>
      <c r="Q2556" s="5" t="s">
        <v>355</v>
      </c>
    </row>
    <row r="2557" ht="16.5" customHeight="1">
      <c r="O2557" s="5" t="s">
        <v>355</v>
      </c>
      <c r="P2557" s="5" t="s">
        <v>355</v>
      </c>
      <c r="Q2557" s="5" t="s">
        <v>355</v>
      </c>
    </row>
    <row r="2558" ht="16.5" customHeight="1">
      <c r="O2558" s="5" t="s">
        <v>355</v>
      </c>
      <c r="P2558" s="5" t="s">
        <v>355</v>
      </c>
      <c r="Q2558" s="5" t="s">
        <v>355</v>
      </c>
    </row>
    <row r="2559" ht="16.5" customHeight="1">
      <c r="O2559" s="5" t="s">
        <v>355</v>
      </c>
      <c r="P2559" s="5" t="s">
        <v>355</v>
      </c>
      <c r="Q2559" s="5" t="s">
        <v>355</v>
      </c>
    </row>
    <row r="2560" ht="16.5" customHeight="1">
      <c r="O2560" s="5" t="s">
        <v>355</v>
      </c>
      <c r="P2560" s="5" t="s">
        <v>355</v>
      </c>
      <c r="Q2560" s="5" t="s">
        <v>355</v>
      </c>
    </row>
    <row r="2561" ht="16.5" customHeight="1">
      <c r="O2561" s="5" t="s">
        <v>355</v>
      </c>
      <c r="P2561" s="5" t="s">
        <v>355</v>
      </c>
      <c r="Q2561" s="5" t="s">
        <v>355</v>
      </c>
    </row>
    <row r="2562" ht="16.5" customHeight="1">
      <c r="O2562" s="5" t="s">
        <v>355</v>
      </c>
      <c r="P2562" s="5" t="s">
        <v>355</v>
      </c>
      <c r="Q2562" s="5" t="s">
        <v>355</v>
      </c>
    </row>
    <row r="2563" ht="16.5" customHeight="1">
      <c r="O2563" s="5" t="s">
        <v>355</v>
      </c>
      <c r="P2563" s="5" t="s">
        <v>355</v>
      </c>
      <c r="Q2563" s="5" t="s">
        <v>355</v>
      </c>
    </row>
    <row r="2564" ht="16.5" customHeight="1">
      <c r="O2564" s="5" t="s">
        <v>355</v>
      </c>
      <c r="P2564" s="5" t="s">
        <v>355</v>
      </c>
      <c r="Q2564" s="5" t="s">
        <v>355</v>
      </c>
    </row>
    <row r="2565" ht="16.5" customHeight="1">
      <c r="O2565" s="5" t="s">
        <v>355</v>
      </c>
      <c r="P2565" s="5" t="s">
        <v>355</v>
      </c>
      <c r="Q2565" s="5" t="s">
        <v>355</v>
      </c>
    </row>
    <row r="2566" ht="16.5" customHeight="1">
      <c r="O2566" s="5" t="s">
        <v>355</v>
      </c>
      <c r="P2566" s="5" t="s">
        <v>355</v>
      </c>
      <c r="Q2566" s="5" t="s">
        <v>355</v>
      </c>
    </row>
    <row r="2567" ht="16.5" customHeight="1">
      <c r="O2567" s="5" t="s">
        <v>355</v>
      </c>
      <c r="P2567" s="5" t="s">
        <v>355</v>
      </c>
      <c r="Q2567" s="5" t="s">
        <v>355</v>
      </c>
    </row>
    <row r="2568" ht="16.5" customHeight="1">
      <c r="O2568" s="5" t="s">
        <v>355</v>
      </c>
      <c r="P2568" s="5" t="s">
        <v>355</v>
      </c>
      <c r="Q2568" s="5" t="s">
        <v>355</v>
      </c>
    </row>
    <row r="2569" ht="16.5" customHeight="1">
      <c r="O2569" s="5" t="s">
        <v>355</v>
      </c>
      <c r="P2569" s="5" t="s">
        <v>355</v>
      </c>
      <c r="Q2569" s="5" t="s">
        <v>355</v>
      </c>
    </row>
    <row r="2570" ht="16.5" customHeight="1">
      <c r="O2570" s="5" t="s">
        <v>355</v>
      </c>
      <c r="P2570" s="5" t="s">
        <v>355</v>
      </c>
      <c r="Q2570" s="5" t="s">
        <v>355</v>
      </c>
    </row>
    <row r="2571" ht="16.5" customHeight="1">
      <c r="O2571" s="5" t="s">
        <v>355</v>
      </c>
      <c r="P2571" s="5" t="s">
        <v>355</v>
      </c>
      <c r="Q2571" s="5" t="s">
        <v>355</v>
      </c>
    </row>
    <row r="2572" ht="16.5" customHeight="1">
      <c r="O2572" s="5" t="s">
        <v>355</v>
      </c>
      <c r="P2572" s="5" t="s">
        <v>355</v>
      </c>
      <c r="Q2572" s="5" t="s">
        <v>355</v>
      </c>
    </row>
    <row r="2573" ht="16.5" customHeight="1">
      <c r="O2573" s="5" t="s">
        <v>355</v>
      </c>
      <c r="P2573" s="5" t="s">
        <v>355</v>
      </c>
      <c r="Q2573" s="5" t="s">
        <v>355</v>
      </c>
    </row>
    <row r="2574" ht="16.5" customHeight="1">
      <c r="O2574" s="5" t="s">
        <v>355</v>
      </c>
      <c r="P2574" s="5" t="s">
        <v>355</v>
      </c>
      <c r="Q2574" s="5" t="s">
        <v>355</v>
      </c>
    </row>
    <row r="2575" ht="16.5" customHeight="1">
      <c r="O2575" s="5" t="s">
        <v>355</v>
      </c>
      <c r="P2575" s="5" t="s">
        <v>355</v>
      </c>
      <c r="Q2575" s="5" t="s">
        <v>355</v>
      </c>
    </row>
    <row r="2576" ht="16.5" customHeight="1">
      <c r="O2576" s="5" t="s">
        <v>355</v>
      </c>
      <c r="P2576" s="5" t="s">
        <v>355</v>
      </c>
      <c r="Q2576" s="5" t="s">
        <v>355</v>
      </c>
    </row>
    <row r="2577" ht="16.5" customHeight="1">
      <c r="O2577" s="5" t="s">
        <v>355</v>
      </c>
      <c r="P2577" s="5" t="s">
        <v>355</v>
      </c>
      <c r="Q2577" s="5" t="s">
        <v>355</v>
      </c>
    </row>
    <row r="2578" ht="16.5" customHeight="1">
      <c r="O2578" s="5" t="s">
        <v>355</v>
      </c>
      <c r="P2578" s="5" t="s">
        <v>355</v>
      </c>
      <c r="Q2578" s="5" t="s">
        <v>355</v>
      </c>
    </row>
    <row r="2579" ht="16.5" customHeight="1">
      <c r="O2579" s="5" t="s">
        <v>355</v>
      </c>
      <c r="P2579" s="5" t="s">
        <v>355</v>
      </c>
      <c r="Q2579" s="5" t="s">
        <v>355</v>
      </c>
    </row>
    <row r="2580" ht="16.5" customHeight="1">
      <c r="O2580" s="5" t="s">
        <v>355</v>
      </c>
      <c r="P2580" s="5" t="s">
        <v>355</v>
      </c>
      <c r="Q2580" s="5" t="s">
        <v>355</v>
      </c>
    </row>
    <row r="2581" ht="16.5" customHeight="1">
      <c r="O2581" s="5" t="s">
        <v>355</v>
      </c>
      <c r="P2581" s="5" t="s">
        <v>355</v>
      </c>
      <c r="Q2581" s="5" t="s">
        <v>355</v>
      </c>
    </row>
    <row r="2582" ht="16.5" customHeight="1">
      <c r="O2582" s="5" t="s">
        <v>355</v>
      </c>
      <c r="P2582" s="5" t="s">
        <v>355</v>
      </c>
      <c r="Q2582" s="5" t="s">
        <v>355</v>
      </c>
    </row>
    <row r="2583" ht="16.5" customHeight="1">
      <c r="O2583" s="5" t="s">
        <v>355</v>
      </c>
      <c r="P2583" s="5" t="s">
        <v>355</v>
      </c>
      <c r="Q2583" s="5" t="s">
        <v>355</v>
      </c>
    </row>
    <row r="2584" ht="16.5" customHeight="1">
      <c r="O2584" s="5" t="s">
        <v>355</v>
      </c>
      <c r="P2584" s="5" t="s">
        <v>355</v>
      </c>
      <c r="Q2584" s="5" t="s">
        <v>355</v>
      </c>
    </row>
    <row r="2585" ht="16.5" customHeight="1">
      <c r="O2585" s="5" t="s">
        <v>355</v>
      </c>
      <c r="P2585" s="5" t="s">
        <v>355</v>
      </c>
      <c r="Q2585" s="5" t="s">
        <v>355</v>
      </c>
    </row>
    <row r="2586" ht="16.5" customHeight="1">
      <c r="O2586" s="5" t="s">
        <v>355</v>
      </c>
      <c r="P2586" s="5" t="s">
        <v>355</v>
      </c>
      <c r="Q2586" s="5" t="s">
        <v>355</v>
      </c>
    </row>
    <row r="2587" ht="16.5" customHeight="1">
      <c r="O2587" s="5" t="s">
        <v>355</v>
      </c>
      <c r="P2587" s="5" t="s">
        <v>355</v>
      </c>
      <c r="Q2587" s="5" t="s">
        <v>355</v>
      </c>
    </row>
    <row r="2588" ht="16.5" customHeight="1">
      <c r="O2588" s="5" t="s">
        <v>355</v>
      </c>
      <c r="P2588" s="5" t="s">
        <v>355</v>
      </c>
      <c r="Q2588" s="5" t="s">
        <v>355</v>
      </c>
    </row>
    <row r="2589" ht="16.5" customHeight="1">
      <c r="O2589" s="5" t="s">
        <v>355</v>
      </c>
      <c r="P2589" s="5" t="s">
        <v>355</v>
      </c>
      <c r="Q2589" s="5" t="s">
        <v>355</v>
      </c>
    </row>
    <row r="2590" ht="16.5" customHeight="1">
      <c r="O2590" s="5" t="s">
        <v>355</v>
      </c>
      <c r="P2590" s="5" t="s">
        <v>355</v>
      </c>
      <c r="Q2590" s="5" t="s">
        <v>355</v>
      </c>
    </row>
    <row r="2591" ht="16.5" customHeight="1">
      <c r="O2591" s="5" t="s">
        <v>355</v>
      </c>
      <c r="P2591" s="5" t="s">
        <v>355</v>
      </c>
      <c r="Q2591" s="5" t="s">
        <v>355</v>
      </c>
    </row>
    <row r="2592" ht="16.5" customHeight="1">
      <c r="O2592" s="5" t="s">
        <v>355</v>
      </c>
      <c r="P2592" s="5" t="s">
        <v>355</v>
      </c>
      <c r="Q2592" s="5" t="s">
        <v>355</v>
      </c>
    </row>
    <row r="2593" ht="16.5" customHeight="1">
      <c r="O2593" s="5" t="s">
        <v>355</v>
      </c>
      <c r="P2593" s="5" t="s">
        <v>355</v>
      </c>
      <c r="Q2593" s="5" t="s">
        <v>355</v>
      </c>
    </row>
    <row r="2594" ht="16.5" customHeight="1">
      <c r="O2594" s="5" t="s">
        <v>355</v>
      </c>
      <c r="P2594" s="5" t="s">
        <v>355</v>
      </c>
      <c r="Q2594" s="5" t="s">
        <v>355</v>
      </c>
    </row>
    <row r="2595" ht="16.5" customHeight="1">
      <c r="O2595" s="5" t="s">
        <v>355</v>
      </c>
      <c r="P2595" s="5" t="s">
        <v>355</v>
      </c>
      <c r="Q2595" s="5" t="s">
        <v>355</v>
      </c>
    </row>
    <row r="2596" ht="16.5" customHeight="1">
      <c r="O2596" s="5" t="s">
        <v>355</v>
      </c>
      <c r="P2596" s="5" t="s">
        <v>355</v>
      </c>
      <c r="Q2596" s="5" t="s">
        <v>355</v>
      </c>
    </row>
    <row r="2597" ht="16.5" customHeight="1">
      <c r="O2597" s="5" t="s">
        <v>355</v>
      </c>
      <c r="P2597" s="5" t="s">
        <v>355</v>
      </c>
      <c r="Q2597" s="5" t="s">
        <v>355</v>
      </c>
    </row>
    <row r="2598" ht="16.5" customHeight="1">
      <c r="O2598" s="5" t="s">
        <v>355</v>
      </c>
      <c r="P2598" s="5" t="s">
        <v>355</v>
      </c>
      <c r="Q2598" s="5" t="s">
        <v>355</v>
      </c>
    </row>
    <row r="2599" ht="16.5" customHeight="1">
      <c r="O2599" s="5" t="s">
        <v>355</v>
      </c>
      <c r="P2599" s="5" t="s">
        <v>355</v>
      </c>
      <c r="Q2599" s="5" t="s">
        <v>355</v>
      </c>
    </row>
    <row r="2600" ht="16.5" customHeight="1">
      <c r="O2600" s="5" t="s">
        <v>355</v>
      </c>
      <c r="P2600" s="5" t="s">
        <v>355</v>
      </c>
      <c r="Q2600" s="5" t="s">
        <v>355</v>
      </c>
    </row>
    <row r="2601" ht="16.5" customHeight="1">
      <c r="O2601" s="5" t="s">
        <v>355</v>
      </c>
      <c r="P2601" s="5" t="s">
        <v>355</v>
      </c>
      <c r="Q2601" s="5" t="s">
        <v>355</v>
      </c>
    </row>
    <row r="2602" ht="16.5" customHeight="1">
      <c r="O2602" s="5" t="s">
        <v>355</v>
      </c>
      <c r="P2602" s="5" t="s">
        <v>355</v>
      </c>
      <c r="Q2602" s="5" t="s">
        <v>355</v>
      </c>
    </row>
    <row r="2603" ht="16.5" customHeight="1">
      <c r="O2603" s="5" t="s">
        <v>355</v>
      </c>
      <c r="P2603" s="5" t="s">
        <v>355</v>
      </c>
      <c r="Q2603" s="5" t="s">
        <v>355</v>
      </c>
    </row>
    <row r="2604" ht="16.5" customHeight="1">
      <c r="O2604" s="5" t="s">
        <v>355</v>
      </c>
      <c r="P2604" s="5" t="s">
        <v>355</v>
      </c>
      <c r="Q2604" s="5" t="s">
        <v>355</v>
      </c>
    </row>
    <row r="2605" ht="16.5" customHeight="1">
      <c r="O2605" s="5" t="s">
        <v>355</v>
      </c>
      <c r="P2605" s="5" t="s">
        <v>355</v>
      </c>
      <c r="Q2605" s="5" t="s">
        <v>355</v>
      </c>
    </row>
    <row r="2606" ht="16.5" customHeight="1">
      <c r="O2606" s="5" t="s">
        <v>355</v>
      </c>
      <c r="P2606" s="5" t="s">
        <v>355</v>
      </c>
      <c r="Q2606" s="5" t="s">
        <v>355</v>
      </c>
    </row>
    <row r="2607" ht="16.5" customHeight="1">
      <c r="O2607" s="5" t="s">
        <v>355</v>
      </c>
      <c r="P2607" s="5" t="s">
        <v>355</v>
      </c>
      <c r="Q2607" s="5" t="s">
        <v>355</v>
      </c>
    </row>
    <row r="2608" ht="16.5" customHeight="1">
      <c r="O2608" s="5" t="s">
        <v>355</v>
      </c>
      <c r="P2608" s="5" t="s">
        <v>355</v>
      </c>
      <c r="Q2608" s="5" t="s">
        <v>355</v>
      </c>
    </row>
    <row r="2609" ht="16.5" customHeight="1">
      <c r="O2609" s="5" t="s">
        <v>355</v>
      </c>
      <c r="P2609" s="5" t="s">
        <v>355</v>
      </c>
      <c r="Q2609" s="5" t="s">
        <v>355</v>
      </c>
    </row>
    <row r="2610" ht="16.5" customHeight="1">
      <c r="O2610" s="5" t="s">
        <v>355</v>
      </c>
      <c r="P2610" s="5" t="s">
        <v>355</v>
      </c>
      <c r="Q2610" s="5" t="s">
        <v>355</v>
      </c>
    </row>
    <row r="2611" ht="16.5" customHeight="1">
      <c r="O2611" s="5" t="s">
        <v>355</v>
      </c>
      <c r="P2611" s="5" t="s">
        <v>355</v>
      </c>
      <c r="Q2611" s="5" t="s">
        <v>355</v>
      </c>
    </row>
    <row r="2612" ht="16.5" customHeight="1">
      <c r="O2612" s="5" t="s">
        <v>355</v>
      </c>
      <c r="P2612" s="5" t="s">
        <v>355</v>
      </c>
      <c r="Q2612" s="5" t="s">
        <v>355</v>
      </c>
    </row>
    <row r="2613" ht="16.5" customHeight="1">
      <c r="O2613" s="5" t="s">
        <v>355</v>
      </c>
      <c r="P2613" s="5" t="s">
        <v>355</v>
      </c>
      <c r="Q2613" s="5" t="s">
        <v>355</v>
      </c>
    </row>
    <row r="2614" ht="16.5" customHeight="1">
      <c r="O2614" s="5" t="s">
        <v>355</v>
      </c>
      <c r="P2614" s="5" t="s">
        <v>355</v>
      </c>
      <c r="Q2614" s="5" t="s">
        <v>355</v>
      </c>
    </row>
    <row r="2615" ht="16.5" customHeight="1">
      <c r="O2615" s="5" t="s">
        <v>355</v>
      </c>
      <c r="P2615" s="5" t="s">
        <v>355</v>
      </c>
      <c r="Q2615" s="5" t="s">
        <v>355</v>
      </c>
    </row>
    <row r="2616" ht="16.5" customHeight="1">
      <c r="O2616" s="5" t="s">
        <v>355</v>
      </c>
      <c r="P2616" s="5" t="s">
        <v>355</v>
      </c>
      <c r="Q2616" s="5" t="s">
        <v>355</v>
      </c>
    </row>
    <row r="2617" ht="16.5" customHeight="1">
      <c r="O2617" s="5" t="s">
        <v>355</v>
      </c>
      <c r="P2617" s="5" t="s">
        <v>355</v>
      </c>
      <c r="Q2617" s="5" t="s">
        <v>355</v>
      </c>
    </row>
    <row r="2618" ht="16.5" customHeight="1">
      <c r="O2618" s="5" t="s">
        <v>355</v>
      </c>
      <c r="P2618" s="5" t="s">
        <v>355</v>
      </c>
      <c r="Q2618" s="5" t="s">
        <v>355</v>
      </c>
    </row>
    <row r="2619" ht="16.5" customHeight="1">
      <c r="O2619" s="5" t="s">
        <v>355</v>
      </c>
      <c r="P2619" s="5" t="s">
        <v>355</v>
      </c>
      <c r="Q2619" s="5" t="s">
        <v>355</v>
      </c>
    </row>
    <row r="2620" ht="16.5" customHeight="1">
      <c r="O2620" s="5" t="s">
        <v>355</v>
      </c>
      <c r="P2620" s="5" t="s">
        <v>355</v>
      </c>
      <c r="Q2620" s="5" t="s">
        <v>355</v>
      </c>
    </row>
    <row r="2621" ht="16.5" customHeight="1">
      <c r="O2621" s="5" t="s">
        <v>355</v>
      </c>
      <c r="P2621" s="5" t="s">
        <v>355</v>
      </c>
      <c r="Q2621" s="5" t="s">
        <v>355</v>
      </c>
    </row>
    <row r="2622" ht="16.5" customHeight="1">
      <c r="O2622" s="5" t="s">
        <v>355</v>
      </c>
      <c r="P2622" s="5" t="s">
        <v>355</v>
      </c>
      <c r="Q2622" s="5" t="s">
        <v>355</v>
      </c>
    </row>
    <row r="2623" ht="16.5" customHeight="1">
      <c r="O2623" s="5" t="s">
        <v>355</v>
      </c>
      <c r="P2623" s="5" t="s">
        <v>355</v>
      </c>
      <c r="Q2623" s="5" t="s">
        <v>355</v>
      </c>
    </row>
    <row r="2624" ht="16.5" customHeight="1">
      <c r="O2624" s="5" t="s">
        <v>355</v>
      </c>
      <c r="P2624" s="5" t="s">
        <v>355</v>
      </c>
      <c r="Q2624" s="5" t="s">
        <v>355</v>
      </c>
    </row>
    <row r="2625" ht="16.5" customHeight="1">
      <c r="O2625" s="5" t="s">
        <v>355</v>
      </c>
      <c r="P2625" s="5" t="s">
        <v>355</v>
      </c>
      <c r="Q2625" s="5" t="s">
        <v>355</v>
      </c>
    </row>
    <row r="2626" ht="16.5" customHeight="1">
      <c r="O2626" s="5" t="s">
        <v>355</v>
      </c>
      <c r="P2626" s="5" t="s">
        <v>355</v>
      </c>
      <c r="Q2626" s="5" t="s">
        <v>355</v>
      </c>
    </row>
    <row r="2627" ht="16.5" customHeight="1">
      <c r="O2627" s="5" t="s">
        <v>355</v>
      </c>
      <c r="P2627" s="5" t="s">
        <v>355</v>
      </c>
      <c r="Q2627" s="5" t="s">
        <v>355</v>
      </c>
    </row>
    <row r="2628" ht="16.5" customHeight="1">
      <c r="O2628" s="5" t="s">
        <v>355</v>
      </c>
      <c r="P2628" s="5" t="s">
        <v>355</v>
      </c>
      <c r="Q2628" s="5" t="s">
        <v>355</v>
      </c>
    </row>
    <row r="2629" ht="16.5" customHeight="1">
      <c r="O2629" s="5" t="s">
        <v>355</v>
      </c>
      <c r="P2629" s="5" t="s">
        <v>355</v>
      </c>
      <c r="Q2629" s="5" t="s">
        <v>355</v>
      </c>
    </row>
    <row r="2630" ht="16.5" customHeight="1">
      <c r="O2630" s="5" t="s">
        <v>355</v>
      </c>
      <c r="P2630" s="5" t="s">
        <v>355</v>
      </c>
      <c r="Q2630" s="5" t="s">
        <v>355</v>
      </c>
    </row>
    <row r="2631" ht="16.5" customHeight="1">
      <c r="O2631" s="5" t="s">
        <v>355</v>
      </c>
      <c r="P2631" s="5" t="s">
        <v>355</v>
      </c>
      <c r="Q2631" s="5" t="s">
        <v>355</v>
      </c>
    </row>
    <row r="2632" ht="16.5" customHeight="1">
      <c r="O2632" s="5" t="s">
        <v>355</v>
      </c>
      <c r="P2632" s="5" t="s">
        <v>355</v>
      </c>
      <c r="Q2632" s="5" t="s">
        <v>355</v>
      </c>
    </row>
    <row r="2633" ht="16.5" customHeight="1">
      <c r="O2633" s="5" t="s">
        <v>355</v>
      </c>
      <c r="P2633" s="5" t="s">
        <v>355</v>
      </c>
      <c r="Q2633" s="5" t="s">
        <v>355</v>
      </c>
    </row>
    <row r="2634" ht="16.5" customHeight="1">
      <c r="O2634" s="5" t="s">
        <v>355</v>
      </c>
      <c r="P2634" s="5" t="s">
        <v>355</v>
      </c>
      <c r="Q2634" s="5" t="s">
        <v>355</v>
      </c>
    </row>
    <row r="2635" ht="16.5" customHeight="1">
      <c r="O2635" s="5" t="s">
        <v>355</v>
      </c>
      <c r="P2635" s="5" t="s">
        <v>355</v>
      </c>
      <c r="Q2635" s="5" t="s">
        <v>355</v>
      </c>
    </row>
    <row r="2636" ht="16.5" customHeight="1">
      <c r="O2636" s="5" t="s">
        <v>355</v>
      </c>
      <c r="P2636" s="5" t="s">
        <v>355</v>
      </c>
      <c r="Q2636" s="5" t="s">
        <v>355</v>
      </c>
    </row>
    <row r="2637" ht="16.5" customHeight="1">
      <c r="O2637" s="5" t="s">
        <v>355</v>
      </c>
      <c r="P2637" s="5" t="s">
        <v>355</v>
      </c>
      <c r="Q2637" s="5" t="s">
        <v>355</v>
      </c>
    </row>
    <row r="2638" ht="16.5" customHeight="1">
      <c r="O2638" s="5" t="s">
        <v>355</v>
      </c>
      <c r="P2638" s="5" t="s">
        <v>355</v>
      </c>
      <c r="Q2638" s="5" t="s">
        <v>355</v>
      </c>
    </row>
    <row r="2639" ht="16.5" customHeight="1">
      <c r="O2639" s="5" t="s">
        <v>355</v>
      </c>
      <c r="P2639" s="5" t="s">
        <v>355</v>
      </c>
      <c r="Q2639" s="5" t="s">
        <v>355</v>
      </c>
    </row>
    <row r="2640" ht="16.5" customHeight="1">
      <c r="O2640" s="5" t="s">
        <v>355</v>
      </c>
      <c r="P2640" s="5" t="s">
        <v>355</v>
      </c>
      <c r="Q2640" s="5" t="s">
        <v>355</v>
      </c>
    </row>
    <row r="2641" ht="16.5" customHeight="1">
      <c r="O2641" s="5" t="s">
        <v>355</v>
      </c>
      <c r="P2641" s="5" t="s">
        <v>355</v>
      </c>
      <c r="Q2641" s="5" t="s">
        <v>355</v>
      </c>
    </row>
    <row r="2642" ht="16.5" customHeight="1">
      <c r="O2642" s="5" t="s">
        <v>355</v>
      </c>
      <c r="P2642" s="5" t="s">
        <v>355</v>
      </c>
      <c r="Q2642" s="5" t="s">
        <v>355</v>
      </c>
    </row>
    <row r="2643" ht="16.5" customHeight="1">
      <c r="O2643" s="5" t="s">
        <v>355</v>
      </c>
      <c r="P2643" s="5" t="s">
        <v>355</v>
      </c>
      <c r="Q2643" s="5" t="s">
        <v>355</v>
      </c>
    </row>
    <row r="2644" ht="16.5" customHeight="1">
      <c r="O2644" s="5" t="s">
        <v>355</v>
      </c>
      <c r="P2644" s="5" t="s">
        <v>355</v>
      </c>
      <c r="Q2644" s="5" t="s">
        <v>355</v>
      </c>
    </row>
    <row r="2645" ht="16.5" customHeight="1">
      <c r="O2645" s="5" t="s">
        <v>355</v>
      </c>
      <c r="P2645" s="5" t="s">
        <v>355</v>
      </c>
      <c r="Q2645" s="5" t="s">
        <v>355</v>
      </c>
    </row>
    <row r="2646" ht="16.5" customHeight="1">
      <c r="O2646" s="5" t="s">
        <v>355</v>
      </c>
      <c r="P2646" s="5" t="s">
        <v>355</v>
      </c>
      <c r="Q2646" s="5" t="s">
        <v>355</v>
      </c>
    </row>
    <row r="2647" ht="16.5" customHeight="1">
      <c r="O2647" s="5" t="s">
        <v>355</v>
      </c>
      <c r="P2647" s="5" t="s">
        <v>355</v>
      </c>
      <c r="Q2647" s="5" t="s">
        <v>355</v>
      </c>
    </row>
    <row r="2648" ht="16.5" customHeight="1">
      <c r="O2648" s="5" t="s">
        <v>355</v>
      </c>
      <c r="P2648" s="5" t="s">
        <v>355</v>
      </c>
      <c r="Q2648" s="5" t="s">
        <v>355</v>
      </c>
    </row>
    <row r="2649" ht="16.5" customHeight="1">
      <c r="O2649" s="5" t="s">
        <v>355</v>
      </c>
      <c r="P2649" s="5" t="s">
        <v>355</v>
      </c>
      <c r="Q2649" s="5" t="s">
        <v>355</v>
      </c>
    </row>
    <row r="2650" ht="16.5" customHeight="1">
      <c r="O2650" s="5" t="s">
        <v>355</v>
      </c>
      <c r="P2650" s="5" t="s">
        <v>355</v>
      </c>
      <c r="Q2650" s="5" t="s">
        <v>355</v>
      </c>
    </row>
    <row r="2651" ht="16.5" customHeight="1">
      <c r="O2651" s="5" t="s">
        <v>355</v>
      </c>
      <c r="P2651" s="5" t="s">
        <v>355</v>
      </c>
      <c r="Q2651" s="5" t="s">
        <v>355</v>
      </c>
    </row>
    <row r="2652" ht="16.5" customHeight="1">
      <c r="O2652" s="5" t="s">
        <v>355</v>
      </c>
      <c r="P2652" s="5" t="s">
        <v>355</v>
      </c>
      <c r="Q2652" s="5" t="s">
        <v>355</v>
      </c>
    </row>
    <row r="2653" ht="16.5" customHeight="1">
      <c r="O2653" s="5" t="s">
        <v>355</v>
      </c>
      <c r="P2653" s="5" t="s">
        <v>355</v>
      </c>
      <c r="Q2653" s="5" t="s">
        <v>355</v>
      </c>
    </row>
    <row r="2654" ht="16.5" customHeight="1">
      <c r="O2654" s="5" t="s">
        <v>355</v>
      </c>
      <c r="P2654" s="5" t="s">
        <v>355</v>
      </c>
      <c r="Q2654" s="5" t="s">
        <v>355</v>
      </c>
    </row>
    <row r="2655" ht="16.5" customHeight="1">
      <c r="O2655" s="5" t="s">
        <v>355</v>
      </c>
      <c r="P2655" s="5" t="s">
        <v>355</v>
      </c>
      <c r="Q2655" s="5" t="s">
        <v>355</v>
      </c>
    </row>
    <row r="2656" ht="16.5" customHeight="1">
      <c r="O2656" s="5" t="s">
        <v>355</v>
      </c>
      <c r="P2656" s="5" t="s">
        <v>355</v>
      </c>
      <c r="Q2656" s="5" t="s">
        <v>355</v>
      </c>
    </row>
    <row r="2657" ht="16.5" customHeight="1">
      <c r="O2657" s="5" t="s">
        <v>355</v>
      </c>
      <c r="P2657" s="5" t="s">
        <v>355</v>
      </c>
      <c r="Q2657" s="5" t="s">
        <v>355</v>
      </c>
    </row>
    <row r="2658" ht="16.5" customHeight="1">
      <c r="O2658" s="5" t="s">
        <v>355</v>
      </c>
      <c r="P2658" s="5" t="s">
        <v>355</v>
      </c>
      <c r="Q2658" s="5" t="s">
        <v>355</v>
      </c>
    </row>
    <row r="2659" ht="16.5" customHeight="1">
      <c r="O2659" s="5" t="s">
        <v>355</v>
      </c>
      <c r="P2659" s="5" t="s">
        <v>355</v>
      </c>
      <c r="Q2659" s="5" t="s">
        <v>355</v>
      </c>
    </row>
    <row r="2660" ht="16.5" customHeight="1">
      <c r="O2660" s="5" t="s">
        <v>355</v>
      </c>
      <c r="P2660" s="5" t="s">
        <v>355</v>
      </c>
      <c r="Q2660" s="5" t="s">
        <v>355</v>
      </c>
    </row>
    <row r="2661" ht="16.5" customHeight="1">
      <c r="O2661" s="5" t="s">
        <v>355</v>
      </c>
      <c r="P2661" s="5" t="s">
        <v>355</v>
      </c>
      <c r="Q2661" s="5" t="s">
        <v>355</v>
      </c>
    </row>
    <row r="2662" ht="16.5" customHeight="1">
      <c r="O2662" s="5" t="s">
        <v>355</v>
      </c>
      <c r="P2662" s="5" t="s">
        <v>355</v>
      </c>
      <c r="Q2662" s="5" t="s">
        <v>355</v>
      </c>
    </row>
    <row r="2663" ht="16.5" customHeight="1">
      <c r="O2663" s="5" t="s">
        <v>355</v>
      </c>
      <c r="P2663" s="5" t="s">
        <v>355</v>
      </c>
      <c r="Q2663" s="5" t="s">
        <v>355</v>
      </c>
    </row>
    <row r="2664" ht="16.5" customHeight="1">
      <c r="O2664" s="5" t="s">
        <v>355</v>
      </c>
      <c r="P2664" s="5" t="s">
        <v>355</v>
      </c>
      <c r="Q2664" s="5" t="s">
        <v>355</v>
      </c>
    </row>
    <row r="2665" ht="16.5" customHeight="1">
      <c r="O2665" s="5" t="s">
        <v>355</v>
      </c>
      <c r="P2665" s="5" t="s">
        <v>355</v>
      </c>
      <c r="Q2665" s="5" t="s">
        <v>355</v>
      </c>
    </row>
    <row r="2666" ht="16.5" customHeight="1">
      <c r="O2666" s="5" t="s">
        <v>355</v>
      </c>
      <c r="P2666" s="5" t="s">
        <v>355</v>
      </c>
      <c r="Q2666" s="5" t="s">
        <v>355</v>
      </c>
    </row>
    <row r="2667" ht="16.5" customHeight="1">
      <c r="O2667" s="5" t="s">
        <v>355</v>
      </c>
      <c r="P2667" s="5" t="s">
        <v>355</v>
      </c>
      <c r="Q2667" s="5" t="s">
        <v>355</v>
      </c>
    </row>
    <row r="2668" ht="16.5" customHeight="1">
      <c r="O2668" s="5" t="s">
        <v>355</v>
      </c>
      <c r="P2668" s="5" t="s">
        <v>355</v>
      </c>
      <c r="Q2668" s="5" t="s">
        <v>355</v>
      </c>
    </row>
    <row r="2669" ht="16.5" customHeight="1">
      <c r="O2669" s="5" t="s">
        <v>355</v>
      </c>
      <c r="P2669" s="5" t="s">
        <v>355</v>
      </c>
      <c r="Q2669" s="5" t="s">
        <v>355</v>
      </c>
    </row>
    <row r="2670" ht="16.5" customHeight="1">
      <c r="O2670" s="5" t="s">
        <v>355</v>
      </c>
      <c r="P2670" s="5" t="s">
        <v>355</v>
      </c>
      <c r="Q2670" s="5" t="s">
        <v>355</v>
      </c>
    </row>
    <row r="2671" ht="16.5" customHeight="1">
      <c r="O2671" s="5" t="s">
        <v>355</v>
      </c>
      <c r="P2671" s="5" t="s">
        <v>355</v>
      </c>
      <c r="Q2671" s="5" t="s">
        <v>355</v>
      </c>
    </row>
    <row r="2672" ht="16.5" customHeight="1">
      <c r="O2672" s="5" t="s">
        <v>355</v>
      </c>
      <c r="P2672" s="5" t="s">
        <v>355</v>
      </c>
      <c r="Q2672" s="5" t="s">
        <v>355</v>
      </c>
    </row>
    <row r="2673" ht="16.5" customHeight="1">
      <c r="O2673" s="5" t="s">
        <v>355</v>
      </c>
      <c r="P2673" s="5" t="s">
        <v>355</v>
      </c>
      <c r="Q2673" s="5" t="s">
        <v>355</v>
      </c>
    </row>
    <row r="2674" ht="16.5" customHeight="1">
      <c r="O2674" s="5" t="s">
        <v>355</v>
      </c>
      <c r="P2674" s="5" t="s">
        <v>355</v>
      </c>
      <c r="Q2674" s="5" t="s">
        <v>355</v>
      </c>
    </row>
    <row r="2675" ht="16.5" customHeight="1">
      <c r="O2675" s="5" t="s">
        <v>355</v>
      </c>
      <c r="P2675" s="5" t="s">
        <v>355</v>
      </c>
      <c r="Q2675" s="5" t="s">
        <v>355</v>
      </c>
    </row>
    <row r="2676" ht="16.5" customHeight="1">
      <c r="O2676" s="5" t="s">
        <v>355</v>
      </c>
      <c r="P2676" s="5" t="s">
        <v>355</v>
      </c>
      <c r="Q2676" s="5" t="s">
        <v>355</v>
      </c>
    </row>
    <row r="2677" ht="16.5" customHeight="1">
      <c r="O2677" s="5" t="s">
        <v>355</v>
      </c>
      <c r="P2677" s="5" t="s">
        <v>355</v>
      </c>
      <c r="Q2677" s="5" t="s">
        <v>355</v>
      </c>
    </row>
    <row r="2678" ht="16.5" customHeight="1">
      <c r="O2678" s="5" t="s">
        <v>355</v>
      </c>
      <c r="P2678" s="5" t="s">
        <v>355</v>
      </c>
      <c r="Q2678" s="5" t="s">
        <v>355</v>
      </c>
    </row>
    <row r="2679" ht="16.5" customHeight="1">
      <c r="O2679" s="5" t="s">
        <v>355</v>
      </c>
      <c r="P2679" s="5" t="s">
        <v>355</v>
      </c>
      <c r="Q2679" s="5" t="s">
        <v>355</v>
      </c>
    </row>
    <row r="2680" ht="16.5" customHeight="1">
      <c r="O2680" s="5" t="s">
        <v>355</v>
      </c>
      <c r="P2680" s="5" t="s">
        <v>355</v>
      </c>
      <c r="Q2680" s="5" t="s">
        <v>355</v>
      </c>
    </row>
    <row r="2681" ht="16.5" customHeight="1">
      <c r="O2681" s="5" t="s">
        <v>355</v>
      </c>
      <c r="P2681" s="5" t="s">
        <v>355</v>
      </c>
      <c r="Q2681" s="5" t="s">
        <v>355</v>
      </c>
    </row>
    <row r="2682" ht="16.5" customHeight="1">
      <c r="O2682" s="5" t="s">
        <v>355</v>
      </c>
      <c r="P2682" s="5" t="s">
        <v>355</v>
      </c>
      <c r="Q2682" s="5" t="s">
        <v>355</v>
      </c>
    </row>
    <row r="2683" ht="16.5" customHeight="1">
      <c r="O2683" s="5" t="s">
        <v>355</v>
      </c>
      <c r="P2683" s="5" t="s">
        <v>355</v>
      </c>
      <c r="Q2683" s="5" t="s">
        <v>355</v>
      </c>
    </row>
    <row r="2684" ht="16.5" customHeight="1">
      <c r="O2684" s="5" t="s">
        <v>355</v>
      </c>
      <c r="P2684" s="5" t="s">
        <v>355</v>
      </c>
      <c r="Q2684" s="5" t="s">
        <v>355</v>
      </c>
    </row>
    <row r="2685" ht="16.5" customHeight="1">
      <c r="O2685" s="5" t="s">
        <v>355</v>
      </c>
      <c r="P2685" s="5" t="s">
        <v>355</v>
      </c>
      <c r="Q2685" s="5" t="s">
        <v>355</v>
      </c>
    </row>
    <row r="2686" ht="16.5" customHeight="1">
      <c r="O2686" s="5" t="s">
        <v>355</v>
      </c>
      <c r="P2686" s="5" t="s">
        <v>355</v>
      </c>
      <c r="Q2686" s="5" t="s">
        <v>355</v>
      </c>
    </row>
    <row r="2687" ht="16.5" customHeight="1">
      <c r="O2687" s="5" t="s">
        <v>355</v>
      </c>
      <c r="P2687" s="5" t="s">
        <v>355</v>
      </c>
      <c r="Q2687" s="5" t="s">
        <v>355</v>
      </c>
    </row>
    <row r="2688" ht="16.5" customHeight="1">
      <c r="O2688" s="5" t="s">
        <v>355</v>
      </c>
      <c r="P2688" s="5" t="s">
        <v>355</v>
      </c>
      <c r="Q2688" s="5" t="s">
        <v>355</v>
      </c>
    </row>
    <row r="2689" ht="16.5" customHeight="1">
      <c r="O2689" s="5" t="s">
        <v>355</v>
      </c>
      <c r="P2689" s="5" t="s">
        <v>355</v>
      </c>
      <c r="Q2689" s="5" t="s">
        <v>355</v>
      </c>
    </row>
    <row r="2690" ht="16.5" customHeight="1">
      <c r="O2690" s="5" t="s">
        <v>355</v>
      </c>
      <c r="P2690" s="5" t="s">
        <v>355</v>
      </c>
      <c r="Q2690" s="5" t="s">
        <v>355</v>
      </c>
    </row>
    <row r="2691" ht="16.5" customHeight="1">
      <c r="O2691" s="5" t="s">
        <v>355</v>
      </c>
      <c r="P2691" s="5" t="s">
        <v>355</v>
      </c>
      <c r="Q2691" s="5" t="s">
        <v>355</v>
      </c>
    </row>
    <row r="2692" ht="16.5" customHeight="1">
      <c r="O2692" s="5" t="s">
        <v>355</v>
      </c>
      <c r="P2692" s="5" t="s">
        <v>355</v>
      </c>
      <c r="Q2692" s="5" t="s">
        <v>355</v>
      </c>
    </row>
    <row r="2693" ht="16.5" customHeight="1">
      <c r="O2693" s="5" t="s">
        <v>355</v>
      </c>
      <c r="P2693" s="5" t="s">
        <v>355</v>
      </c>
      <c r="Q2693" s="5" t="s">
        <v>355</v>
      </c>
    </row>
    <row r="2694" ht="16.5" customHeight="1">
      <c r="O2694" s="5" t="s">
        <v>355</v>
      </c>
      <c r="P2694" s="5" t="s">
        <v>355</v>
      </c>
      <c r="Q2694" s="5" t="s">
        <v>355</v>
      </c>
    </row>
    <row r="2695" ht="16.5" customHeight="1">
      <c r="O2695" s="5" t="s">
        <v>355</v>
      </c>
      <c r="P2695" s="5" t="s">
        <v>355</v>
      </c>
      <c r="Q2695" s="5" t="s">
        <v>355</v>
      </c>
    </row>
    <row r="2696" ht="16.5" customHeight="1">
      <c r="O2696" s="5" t="s">
        <v>355</v>
      </c>
      <c r="P2696" s="5" t="s">
        <v>355</v>
      </c>
      <c r="Q2696" s="5" t="s">
        <v>355</v>
      </c>
    </row>
    <row r="2697" ht="16.5" customHeight="1">
      <c r="O2697" s="5" t="s">
        <v>355</v>
      </c>
      <c r="P2697" s="5" t="s">
        <v>355</v>
      </c>
      <c r="Q2697" s="5" t="s">
        <v>355</v>
      </c>
    </row>
    <row r="2698" ht="16.5" customHeight="1">
      <c r="O2698" s="5" t="s">
        <v>355</v>
      </c>
      <c r="P2698" s="5" t="s">
        <v>355</v>
      </c>
      <c r="Q2698" s="5" t="s">
        <v>355</v>
      </c>
    </row>
    <row r="2699" ht="16.5" customHeight="1">
      <c r="O2699" s="5" t="s">
        <v>355</v>
      </c>
      <c r="P2699" s="5" t="s">
        <v>355</v>
      </c>
      <c r="Q2699" s="5" t="s">
        <v>355</v>
      </c>
    </row>
    <row r="2700" ht="16.5" customHeight="1">
      <c r="O2700" s="5" t="s">
        <v>355</v>
      </c>
      <c r="P2700" s="5" t="s">
        <v>355</v>
      </c>
      <c r="Q2700" s="5" t="s">
        <v>355</v>
      </c>
    </row>
    <row r="2701" ht="16.5" customHeight="1">
      <c r="O2701" s="5" t="s">
        <v>355</v>
      </c>
      <c r="P2701" s="5" t="s">
        <v>355</v>
      </c>
      <c r="Q2701" s="5" t="s">
        <v>355</v>
      </c>
    </row>
    <row r="2702" ht="16.5" customHeight="1">
      <c r="O2702" s="5" t="s">
        <v>355</v>
      </c>
      <c r="P2702" s="5" t="s">
        <v>355</v>
      </c>
      <c r="Q2702" s="5" t="s">
        <v>355</v>
      </c>
    </row>
    <row r="2703" ht="16.5" customHeight="1">
      <c r="O2703" s="5" t="s">
        <v>355</v>
      </c>
      <c r="P2703" s="5" t="s">
        <v>355</v>
      </c>
      <c r="Q2703" s="5" t="s">
        <v>355</v>
      </c>
    </row>
    <row r="2704" ht="16.5" customHeight="1">
      <c r="O2704" s="5" t="s">
        <v>355</v>
      </c>
      <c r="P2704" s="5" t="s">
        <v>355</v>
      </c>
      <c r="Q2704" s="5" t="s">
        <v>355</v>
      </c>
    </row>
    <row r="2705" ht="16.5" customHeight="1">
      <c r="O2705" s="5" t="s">
        <v>355</v>
      </c>
      <c r="P2705" s="5" t="s">
        <v>355</v>
      </c>
      <c r="Q2705" s="5" t="s">
        <v>355</v>
      </c>
    </row>
    <row r="2706" ht="16.5" customHeight="1">
      <c r="O2706" s="5" t="s">
        <v>355</v>
      </c>
      <c r="P2706" s="5" t="s">
        <v>355</v>
      </c>
      <c r="Q2706" s="5" t="s">
        <v>355</v>
      </c>
    </row>
    <row r="2707" ht="16.5" customHeight="1">
      <c r="O2707" s="5" t="s">
        <v>355</v>
      </c>
      <c r="P2707" s="5" t="s">
        <v>355</v>
      </c>
      <c r="Q2707" s="5" t="s">
        <v>355</v>
      </c>
    </row>
    <row r="2708" ht="16.5" customHeight="1">
      <c r="O2708" s="5" t="s">
        <v>355</v>
      </c>
      <c r="P2708" s="5" t="s">
        <v>355</v>
      </c>
      <c r="Q2708" s="5" t="s">
        <v>355</v>
      </c>
    </row>
    <row r="2709" ht="16.5" customHeight="1">
      <c r="O2709" s="5" t="s">
        <v>355</v>
      </c>
      <c r="P2709" s="5" t="s">
        <v>355</v>
      </c>
      <c r="Q2709" s="5" t="s">
        <v>355</v>
      </c>
    </row>
    <row r="2710" ht="16.5" customHeight="1">
      <c r="O2710" s="5" t="s">
        <v>355</v>
      </c>
      <c r="P2710" s="5" t="s">
        <v>355</v>
      </c>
      <c r="Q2710" s="5" t="s">
        <v>355</v>
      </c>
    </row>
    <row r="2711" ht="16.5" customHeight="1">
      <c r="O2711" s="5" t="s">
        <v>355</v>
      </c>
      <c r="P2711" s="5" t="s">
        <v>355</v>
      </c>
      <c r="Q2711" s="5" t="s">
        <v>355</v>
      </c>
    </row>
    <row r="2712" ht="16.5" customHeight="1">
      <c r="O2712" s="5" t="s">
        <v>355</v>
      </c>
      <c r="P2712" s="5" t="s">
        <v>355</v>
      </c>
      <c r="Q2712" s="5" t="s">
        <v>355</v>
      </c>
    </row>
    <row r="2713" ht="16.5" customHeight="1">
      <c r="O2713" s="5" t="s">
        <v>355</v>
      </c>
      <c r="P2713" s="5" t="s">
        <v>355</v>
      </c>
      <c r="Q2713" s="5" t="s">
        <v>355</v>
      </c>
    </row>
    <row r="2714" ht="16.5" customHeight="1">
      <c r="O2714" s="5" t="s">
        <v>355</v>
      </c>
      <c r="P2714" s="5" t="s">
        <v>355</v>
      </c>
      <c r="Q2714" s="5" t="s">
        <v>355</v>
      </c>
    </row>
    <row r="2715" ht="16.5" customHeight="1">
      <c r="O2715" s="5" t="s">
        <v>355</v>
      </c>
      <c r="P2715" s="5" t="s">
        <v>355</v>
      </c>
      <c r="Q2715" s="5" t="s">
        <v>355</v>
      </c>
    </row>
    <row r="2716" ht="16.5" customHeight="1">
      <c r="O2716" s="5" t="s">
        <v>355</v>
      </c>
      <c r="P2716" s="5" t="s">
        <v>355</v>
      </c>
      <c r="Q2716" s="5" t="s">
        <v>355</v>
      </c>
    </row>
    <row r="2717" ht="16.5" customHeight="1">
      <c r="O2717" s="5" t="s">
        <v>355</v>
      </c>
      <c r="P2717" s="5" t="s">
        <v>355</v>
      </c>
      <c r="Q2717" s="5" t="s">
        <v>355</v>
      </c>
    </row>
    <row r="2718" ht="16.5" customHeight="1">
      <c r="O2718" s="5" t="s">
        <v>355</v>
      </c>
      <c r="P2718" s="5" t="s">
        <v>355</v>
      </c>
      <c r="Q2718" s="5" t="s">
        <v>355</v>
      </c>
    </row>
    <row r="2719" ht="16.5" customHeight="1">
      <c r="O2719" s="5" t="s">
        <v>355</v>
      </c>
      <c r="P2719" s="5" t="s">
        <v>355</v>
      </c>
      <c r="Q2719" s="5" t="s">
        <v>355</v>
      </c>
    </row>
    <row r="2720" ht="16.5" customHeight="1">
      <c r="O2720" s="5" t="s">
        <v>355</v>
      </c>
      <c r="P2720" s="5" t="s">
        <v>355</v>
      </c>
      <c r="Q2720" s="5" t="s">
        <v>355</v>
      </c>
    </row>
    <row r="2721" ht="16.5" customHeight="1">
      <c r="O2721" s="5" t="s">
        <v>355</v>
      </c>
      <c r="P2721" s="5" t="s">
        <v>355</v>
      </c>
      <c r="Q2721" s="5" t="s">
        <v>355</v>
      </c>
    </row>
    <row r="2722" ht="16.5" customHeight="1">
      <c r="O2722" s="5" t="s">
        <v>355</v>
      </c>
      <c r="P2722" s="5" t="s">
        <v>355</v>
      </c>
      <c r="Q2722" s="5" t="s">
        <v>355</v>
      </c>
    </row>
    <row r="2723" ht="16.5" customHeight="1">
      <c r="O2723" s="5" t="s">
        <v>355</v>
      </c>
      <c r="P2723" s="5" t="s">
        <v>355</v>
      </c>
      <c r="Q2723" s="5" t="s">
        <v>355</v>
      </c>
    </row>
    <row r="2724" ht="16.5" customHeight="1">
      <c r="O2724" s="5" t="s">
        <v>355</v>
      </c>
      <c r="P2724" s="5" t="s">
        <v>355</v>
      </c>
      <c r="Q2724" s="5" t="s">
        <v>355</v>
      </c>
    </row>
    <row r="2725" ht="16.5" customHeight="1">
      <c r="O2725" s="5" t="s">
        <v>355</v>
      </c>
      <c r="P2725" s="5" t="s">
        <v>355</v>
      </c>
      <c r="Q2725" s="5" t="s">
        <v>355</v>
      </c>
    </row>
    <row r="2726" ht="16.5" customHeight="1">
      <c r="O2726" s="5" t="s">
        <v>355</v>
      </c>
      <c r="P2726" s="5" t="s">
        <v>355</v>
      </c>
      <c r="Q2726" s="5" t="s">
        <v>355</v>
      </c>
    </row>
    <row r="2727" ht="16.5" customHeight="1">
      <c r="O2727" s="5" t="s">
        <v>355</v>
      </c>
      <c r="P2727" s="5" t="s">
        <v>355</v>
      </c>
      <c r="Q2727" s="5" t="s">
        <v>355</v>
      </c>
    </row>
    <row r="2728" ht="16.5" customHeight="1">
      <c r="O2728" s="5" t="s">
        <v>355</v>
      </c>
      <c r="P2728" s="5" t="s">
        <v>355</v>
      </c>
      <c r="Q2728" s="5" t="s">
        <v>355</v>
      </c>
    </row>
    <row r="2729" ht="16.5" customHeight="1">
      <c r="O2729" s="5" t="s">
        <v>355</v>
      </c>
      <c r="P2729" s="5" t="s">
        <v>355</v>
      </c>
      <c r="Q2729" s="5" t="s">
        <v>355</v>
      </c>
    </row>
    <row r="2730" ht="16.5" customHeight="1">
      <c r="O2730" s="5" t="s">
        <v>355</v>
      </c>
      <c r="P2730" s="5" t="s">
        <v>355</v>
      </c>
      <c r="Q2730" s="5" t="s">
        <v>355</v>
      </c>
    </row>
    <row r="2731" ht="16.5" customHeight="1">
      <c r="O2731" s="5" t="s">
        <v>355</v>
      </c>
      <c r="P2731" s="5" t="s">
        <v>355</v>
      </c>
      <c r="Q2731" s="5" t="s">
        <v>355</v>
      </c>
    </row>
    <row r="2732" ht="16.5" customHeight="1">
      <c r="O2732" s="5" t="s">
        <v>355</v>
      </c>
      <c r="P2732" s="5" t="s">
        <v>355</v>
      </c>
      <c r="Q2732" s="5" t="s">
        <v>355</v>
      </c>
    </row>
    <row r="2733" ht="16.5" customHeight="1">
      <c r="O2733" s="5" t="s">
        <v>355</v>
      </c>
      <c r="P2733" s="5" t="s">
        <v>355</v>
      </c>
      <c r="Q2733" s="5" t="s">
        <v>355</v>
      </c>
    </row>
    <row r="2734" ht="16.5" customHeight="1">
      <c r="O2734" s="5" t="s">
        <v>355</v>
      </c>
      <c r="P2734" s="5" t="s">
        <v>355</v>
      </c>
      <c r="Q2734" s="5" t="s">
        <v>355</v>
      </c>
    </row>
    <row r="2735" ht="16.5" customHeight="1">
      <c r="O2735" s="5" t="s">
        <v>355</v>
      </c>
      <c r="P2735" s="5" t="s">
        <v>355</v>
      </c>
      <c r="Q2735" s="5" t="s">
        <v>355</v>
      </c>
    </row>
    <row r="2736" ht="16.5" customHeight="1">
      <c r="O2736" s="5" t="s">
        <v>355</v>
      </c>
      <c r="P2736" s="5" t="s">
        <v>355</v>
      </c>
      <c r="Q2736" s="5" t="s">
        <v>355</v>
      </c>
    </row>
    <row r="2737" ht="16.5" customHeight="1">
      <c r="O2737" s="5" t="s">
        <v>355</v>
      </c>
      <c r="P2737" s="5" t="s">
        <v>355</v>
      </c>
      <c r="Q2737" s="5" t="s">
        <v>355</v>
      </c>
    </row>
    <row r="2738" ht="16.5" customHeight="1">
      <c r="O2738" s="5" t="s">
        <v>355</v>
      </c>
      <c r="P2738" s="5" t="s">
        <v>355</v>
      </c>
      <c r="Q2738" s="5" t="s">
        <v>355</v>
      </c>
    </row>
    <row r="2739" ht="16.5" customHeight="1">
      <c r="O2739" s="5" t="s">
        <v>355</v>
      </c>
      <c r="P2739" s="5" t="s">
        <v>355</v>
      </c>
      <c r="Q2739" s="5" t="s">
        <v>355</v>
      </c>
    </row>
    <row r="2740" ht="16.5" customHeight="1">
      <c r="O2740" s="5" t="s">
        <v>355</v>
      </c>
      <c r="P2740" s="5" t="s">
        <v>355</v>
      </c>
      <c r="Q2740" s="5" t="s">
        <v>355</v>
      </c>
    </row>
    <row r="2741" ht="16.5" customHeight="1">
      <c r="O2741" s="5" t="s">
        <v>355</v>
      </c>
      <c r="P2741" s="5" t="s">
        <v>355</v>
      </c>
      <c r="Q2741" s="5" t="s">
        <v>355</v>
      </c>
    </row>
    <row r="2742" ht="16.5" customHeight="1">
      <c r="O2742" s="5" t="s">
        <v>355</v>
      </c>
      <c r="P2742" s="5" t="s">
        <v>355</v>
      </c>
      <c r="Q2742" s="5" t="s">
        <v>355</v>
      </c>
    </row>
    <row r="2743" ht="16.5" customHeight="1">
      <c r="O2743" s="5" t="s">
        <v>355</v>
      </c>
      <c r="P2743" s="5" t="s">
        <v>355</v>
      </c>
      <c r="Q2743" s="5" t="s">
        <v>355</v>
      </c>
    </row>
    <row r="2744" ht="16.5" customHeight="1">
      <c r="O2744" s="5" t="s">
        <v>355</v>
      </c>
      <c r="P2744" s="5" t="s">
        <v>355</v>
      </c>
      <c r="Q2744" s="5" t="s">
        <v>355</v>
      </c>
    </row>
    <row r="2745" ht="16.5" customHeight="1">
      <c r="O2745" s="5" t="s">
        <v>355</v>
      </c>
      <c r="P2745" s="5" t="s">
        <v>355</v>
      </c>
      <c r="Q2745" s="5" t="s">
        <v>355</v>
      </c>
    </row>
    <row r="2746" ht="16.5" customHeight="1">
      <c r="O2746" s="5" t="s">
        <v>355</v>
      </c>
      <c r="P2746" s="5" t="s">
        <v>355</v>
      </c>
      <c r="Q2746" s="5" t="s">
        <v>355</v>
      </c>
    </row>
    <row r="2747" ht="16.5" customHeight="1">
      <c r="O2747" s="5" t="s">
        <v>355</v>
      </c>
      <c r="P2747" s="5" t="s">
        <v>355</v>
      </c>
      <c r="Q2747" s="5" t="s">
        <v>355</v>
      </c>
    </row>
    <row r="2748" ht="16.5" customHeight="1">
      <c r="O2748" s="5" t="s">
        <v>355</v>
      </c>
      <c r="P2748" s="5" t="s">
        <v>355</v>
      </c>
      <c r="Q2748" s="5" t="s">
        <v>355</v>
      </c>
    </row>
    <row r="2749" ht="16.5" customHeight="1">
      <c r="O2749" s="5" t="s">
        <v>355</v>
      </c>
      <c r="P2749" s="5" t="s">
        <v>355</v>
      </c>
      <c r="Q2749" s="5" t="s">
        <v>355</v>
      </c>
    </row>
    <row r="2750" ht="16.5" customHeight="1">
      <c r="O2750" s="5" t="s">
        <v>355</v>
      </c>
      <c r="P2750" s="5" t="s">
        <v>355</v>
      </c>
      <c r="Q2750" s="5" t="s">
        <v>355</v>
      </c>
    </row>
    <row r="2751" ht="16.5" customHeight="1">
      <c r="O2751" s="5" t="s">
        <v>355</v>
      </c>
      <c r="P2751" s="5" t="s">
        <v>355</v>
      </c>
      <c r="Q2751" s="5" t="s">
        <v>355</v>
      </c>
    </row>
    <row r="2752" ht="16.5" customHeight="1">
      <c r="O2752" s="5" t="s">
        <v>355</v>
      </c>
      <c r="P2752" s="5" t="s">
        <v>355</v>
      </c>
      <c r="Q2752" s="5" t="s">
        <v>355</v>
      </c>
    </row>
    <row r="2753" ht="16.5" customHeight="1">
      <c r="O2753" s="5" t="s">
        <v>355</v>
      </c>
      <c r="P2753" s="5" t="s">
        <v>355</v>
      </c>
      <c r="Q2753" s="5" t="s">
        <v>355</v>
      </c>
    </row>
    <row r="2754" ht="16.5" customHeight="1">
      <c r="O2754" s="5" t="s">
        <v>355</v>
      </c>
      <c r="P2754" s="5" t="s">
        <v>355</v>
      </c>
      <c r="Q2754" s="5" t="s">
        <v>355</v>
      </c>
    </row>
    <row r="2755" ht="16.5" customHeight="1">
      <c r="O2755" s="5" t="s">
        <v>355</v>
      </c>
      <c r="P2755" s="5" t="s">
        <v>355</v>
      </c>
      <c r="Q2755" s="5" t="s">
        <v>355</v>
      </c>
    </row>
    <row r="2756" ht="16.5" customHeight="1">
      <c r="O2756" s="5" t="s">
        <v>355</v>
      </c>
      <c r="P2756" s="5" t="s">
        <v>355</v>
      </c>
      <c r="Q2756" s="5" t="s">
        <v>355</v>
      </c>
    </row>
    <row r="2757" ht="16.5" customHeight="1">
      <c r="O2757" s="5" t="s">
        <v>355</v>
      </c>
      <c r="P2757" s="5" t="s">
        <v>355</v>
      </c>
      <c r="Q2757" s="5" t="s">
        <v>355</v>
      </c>
    </row>
    <row r="2758" ht="16.5" customHeight="1">
      <c r="O2758" s="5" t="s">
        <v>355</v>
      </c>
      <c r="P2758" s="5" t="s">
        <v>355</v>
      </c>
      <c r="Q2758" s="5" t="s">
        <v>355</v>
      </c>
    </row>
    <row r="2759" ht="16.5" customHeight="1">
      <c r="O2759" s="5" t="s">
        <v>355</v>
      </c>
      <c r="P2759" s="5" t="s">
        <v>355</v>
      </c>
      <c r="Q2759" s="5" t="s">
        <v>355</v>
      </c>
    </row>
    <row r="2760" ht="16.5" customHeight="1">
      <c r="O2760" s="5" t="s">
        <v>355</v>
      </c>
      <c r="P2760" s="5" t="s">
        <v>355</v>
      </c>
      <c r="Q2760" s="5" t="s">
        <v>355</v>
      </c>
    </row>
    <row r="2761" ht="16.5" customHeight="1">
      <c r="O2761" s="5" t="s">
        <v>355</v>
      </c>
      <c r="P2761" s="5" t="s">
        <v>355</v>
      </c>
      <c r="Q2761" s="5" t="s">
        <v>355</v>
      </c>
    </row>
    <row r="2762" ht="16.5" customHeight="1">
      <c r="O2762" s="5" t="s">
        <v>355</v>
      </c>
      <c r="P2762" s="5" t="s">
        <v>355</v>
      </c>
      <c r="Q2762" s="5" t="s">
        <v>355</v>
      </c>
    </row>
    <row r="2763" ht="16.5" customHeight="1">
      <c r="O2763" s="5" t="s">
        <v>355</v>
      </c>
      <c r="P2763" s="5" t="s">
        <v>355</v>
      </c>
      <c r="Q2763" s="5" t="s">
        <v>355</v>
      </c>
    </row>
    <row r="2764" ht="16.5" customHeight="1">
      <c r="O2764" s="5" t="s">
        <v>355</v>
      </c>
      <c r="P2764" s="5" t="s">
        <v>355</v>
      </c>
      <c r="Q2764" s="5" t="s">
        <v>355</v>
      </c>
    </row>
    <row r="2765" ht="16.5" customHeight="1">
      <c r="O2765" s="5" t="s">
        <v>355</v>
      </c>
      <c r="P2765" s="5" t="s">
        <v>355</v>
      </c>
      <c r="Q2765" s="5" t="s">
        <v>355</v>
      </c>
    </row>
    <row r="2766" ht="16.5" customHeight="1">
      <c r="O2766" s="5" t="s">
        <v>355</v>
      </c>
      <c r="P2766" s="5" t="s">
        <v>355</v>
      </c>
      <c r="Q2766" s="5" t="s">
        <v>355</v>
      </c>
    </row>
    <row r="2767" ht="16.5" customHeight="1">
      <c r="O2767" s="5" t="s">
        <v>355</v>
      </c>
      <c r="P2767" s="5" t="s">
        <v>355</v>
      </c>
      <c r="Q2767" s="5" t="s">
        <v>355</v>
      </c>
    </row>
    <row r="2768" ht="16.5" customHeight="1">
      <c r="O2768" s="5" t="s">
        <v>355</v>
      </c>
      <c r="P2768" s="5" t="s">
        <v>355</v>
      </c>
      <c r="Q2768" s="5" t="s">
        <v>355</v>
      </c>
    </row>
    <row r="2769" ht="16.5" customHeight="1">
      <c r="O2769" s="5" t="s">
        <v>355</v>
      </c>
      <c r="P2769" s="5" t="s">
        <v>355</v>
      </c>
      <c r="Q2769" s="5" t="s">
        <v>355</v>
      </c>
    </row>
    <row r="2770" ht="16.5" customHeight="1">
      <c r="O2770" s="5" t="s">
        <v>355</v>
      </c>
      <c r="P2770" s="5" t="s">
        <v>355</v>
      </c>
      <c r="Q2770" s="5" t="s">
        <v>355</v>
      </c>
    </row>
    <row r="2771" ht="16.5" customHeight="1">
      <c r="O2771" s="5" t="s">
        <v>355</v>
      </c>
      <c r="P2771" s="5" t="s">
        <v>355</v>
      </c>
      <c r="Q2771" s="5" t="s">
        <v>355</v>
      </c>
    </row>
    <row r="2772" ht="16.5" customHeight="1">
      <c r="O2772" s="5" t="s">
        <v>355</v>
      </c>
      <c r="P2772" s="5" t="s">
        <v>355</v>
      </c>
      <c r="Q2772" s="5" t="s">
        <v>355</v>
      </c>
    </row>
    <row r="2773" ht="16.5" customHeight="1">
      <c r="O2773" s="5" t="s">
        <v>355</v>
      </c>
      <c r="P2773" s="5" t="s">
        <v>355</v>
      </c>
      <c r="Q2773" s="5" t="s">
        <v>355</v>
      </c>
    </row>
    <row r="2774" ht="16.5" customHeight="1">
      <c r="O2774" s="5" t="s">
        <v>355</v>
      </c>
      <c r="P2774" s="5" t="s">
        <v>355</v>
      </c>
      <c r="Q2774" s="5" t="s">
        <v>355</v>
      </c>
    </row>
    <row r="2775" ht="16.5" customHeight="1">
      <c r="O2775" s="5" t="s">
        <v>355</v>
      </c>
      <c r="P2775" s="5" t="s">
        <v>355</v>
      </c>
      <c r="Q2775" s="5" t="s">
        <v>355</v>
      </c>
    </row>
    <row r="2776" ht="16.5" customHeight="1">
      <c r="O2776" s="5" t="s">
        <v>355</v>
      </c>
      <c r="P2776" s="5" t="s">
        <v>355</v>
      </c>
      <c r="Q2776" s="5" t="s">
        <v>355</v>
      </c>
    </row>
    <row r="2777" ht="16.5" customHeight="1">
      <c r="O2777" s="5" t="s">
        <v>355</v>
      </c>
      <c r="P2777" s="5" t="s">
        <v>355</v>
      </c>
      <c r="Q2777" s="5" t="s">
        <v>355</v>
      </c>
    </row>
    <row r="2778" ht="16.5" customHeight="1">
      <c r="O2778" s="5" t="s">
        <v>355</v>
      </c>
      <c r="P2778" s="5" t="s">
        <v>355</v>
      </c>
      <c r="Q2778" s="5" t="s">
        <v>355</v>
      </c>
    </row>
    <row r="2779" ht="16.5" customHeight="1">
      <c r="O2779" s="5" t="s">
        <v>355</v>
      </c>
      <c r="P2779" s="5" t="s">
        <v>355</v>
      </c>
      <c r="Q2779" s="5" t="s">
        <v>355</v>
      </c>
    </row>
    <row r="2780" ht="16.5" customHeight="1">
      <c r="O2780" s="5" t="s">
        <v>355</v>
      </c>
      <c r="P2780" s="5" t="s">
        <v>355</v>
      </c>
      <c r="Q2780" s="5" t="s">
        <v>355</v>
      </c>
    </row>
    <row r="2781" ht="16.5" customHeight="1">
      <c r="O2781" s="5" t="s">
        <v>355</v>
      </c>
      <c r="P2781" s="5" t="s">
        <v>355</v>
      </c>
      <c r="Q2781" s="5" t="s">
        <v>355</v>
      </c>
    </row>
    <row r="2782" ht="16.5" customHeight="1">
      <c r="O2782" s="5" t="s">
        <v>355</v>
      </c>
      <c r="P2782" s="5" t="s">
        <v>355</v>
      </c>
      <c r="Q2782" s="5" t="s">
        <v>355</v>
      </c>
    </row>
    <row r="2783" ht="16.5" customHeight="1">
      <c r="O2783" s="5" t="s">
        <v>355</v>
      </c>
      <c r="P2783" s="5" t="s">
        <v>355</v>
      </c>
      <c r="Q2783" s="5" t="s">
        <v>355</v>
      </c>
    </row>
    <row r="2784" ht="16.5" customHeight="1">
      <c r="O2784" s="5" t="s">
        <v>355</v>
      </c>
      <c r="P2784" s="5" t="s">
        <v>355</v>
      </c>
      <c r="Q2784" s="5" t="s">
        <v>355</v>
      </c>
    </row>
    <row r="2785" ht="16.5" customHeight="1">
      <c r="O2785" s="5" t="s">
        <v>355</v>
      </c>
      <c r="P2785" s="5" t="s">
        <v>355</v>
      </c>
      <c r="Q2785" s="5" t="s">
        <v>355</v>
      </c>
    </row>
    <row r="2786" ht="16.5" customHeight="1">
      <c r="O2786" s="5" t="s">
        <v>355</v>
      </c>
      <c r="P2786" s="5" t="s">
        <v>355</v>
      </c>
      <c r="Q2786" s="5" t="s">
        <v>355</v>
      </c>
    </row>
    <row r="2787" ht="16.5" customHeight="1">
      <c r="O2787" s="5" t="s">
        <v>355</v>
      </c>
      <c r="P2787" s="5" t="s">
        <v>355</v>
      </c>
      <c r="Q2787" s="5" t="s">
        <v>355</v>
      </c>
    </row>
    <row r="2788" ht="16.5" customHeight="1">
      <c r="O2788" s="5" t="s">
        <v>355</v>
      </c>
      <c r="P2788" s="5" t="s">
        <v>355</v>
      </c>
      <c r="Q2788" s="5" t="s">
        <v>355</v>
      </c>
    </row>
    <row r="2789" ht="16.5" customHeight="1">
      <c r="O2789" s="5" t="s">
        <v>355</v>
      </c>
      <c r="P2789" s="5" t="s">
        <v>355</v>
      </c>
      <c r="Q2789" s="5" t="s">
        <v>355</v>
      </c>
    </row>
    <row r="2790" ht="16.5" customHeight="1">
      <c r="O2790" s="5" t="s">
        <v>355</v>
      </c>
      <c r="P2790" s="5" t="s">
        <v>355</v>
      </c>
      <c r="Q2790" s="5" t="s">
        <v>355</v>
      </c>
    </row>
    <row r="2791" ht="16.5" customHeight="1">
      <c r="O2791" s="5" t="s">
        <v>355</v>
      </c>
      <c r="P2791" s="5" t="s">
        <v>355</v>
      </c>
      <c r="Q2791" s="5" t="s">
        <v>355</v>
      </c>
    </row>
    <row r="2792" ht="16.5" customHeight="1">
      <c r="O2792" s="5" t="s">
        <v>355</v>
      </c>
      <c r="P2792" s="5" t="s">
        <v>355</v>
      </c>
      <c r="Q2792" s="5" t="s">
        <v>355</v>
      </c>
    </row>
    <row r="2793" ht="16.5" customHeight="1">
      <c r="O2793" s="5" t="s">
        <v>355</v>
      </c>
      <c r="P2793" s="5" t="s">
        <v>355</v>
      </c>
      <c r="Q2793" s="5" t="s">
        <v>355</v>
      </c>
    </row>
    <row r="2794" ht="16.5" customHeight="1">
      <c r="O2794" s="5" t="s">
        <v>355</v>
      </c>
      <c r="P2794" s="5" t="s">
        <v>355</v>
      </c>
      <c r="Q2794" s="5" t="s">
        <v>355</v>
      </c>
    </row>
    <row r="2795" ht="16.5" customHeight="1">
      <c r="O2795" s="5" t="s">
        <v>355</v>
      </c>
      <c r="P2795" s="5" t="s">
        <v>355</v>
      </c>
      <c r="Q2795" s="5" t="s">
        <v>355</v>
      </c>
    </row>
    <row r="2796" ht="16.5" customHeight="1">
      <c r="O2796" s="5" t="s">
        <v>355</v>
      </c>
      <c r="P2796" s="5" t="s">
        <v>355</v>
      </c>
      <c r="Q2796" s="5" t="s">
        <v>355</v>
      </c>
    </row>
    <row r="2797" ht="16.5" customHeight="1">
      <c r="O2797" s="5" t="s">
        <v>355</v>
      </c>
      <c r="P2797" s="5" t="s">
        <v>355</v>
      </c>
      <c r="Q2797" s="5" t="s">
        <v>355</v>
      </c>
    </row>
    <row r="2798" ht="16.5" customHeight="1">
      <c r="O2798" s="5" t="s">
        <v>355</v>
      </c>
      <c r="P2798" s="5" t="s">
        <v>355</v>
      </c>
      <c r="Q2798" s="5" t="s">
        <v>355</v>
      </c>
    </row>
    <row r="2799" ht="16.5" customHeight="1">
      <c r="O2799" s="5" t="s">
        <v>355</v>
      </c>
      <c r="P2799" s="5" t="s">
        <v>355</v>
      </c>
      <c r="Q2799" s="5" t="s">
        <v>355</v>
      </c>
    </row>
    <row r="2800" ht="16.5" customHeight="1">
      <c r="O2800" s="5" t="s">
        <v>355</v>
      </c>
      <c r="P2800" s="5" t="s">
        <v>355</v>
      </c>
      <c r="Q2800" s="5" t="s">
        <v>355</v>
      </c>
    </row>
    <row r="2801" ht="16.5" customHeight="1">
      <c r="O2801" s="5" t="s">
        <v>355</v>
      </c>
      <c r="P2801" s="5" t="s">
        <v>355</v>
      </c>
      <c r="Q2801" s="5" t="s">
        <v>355</v>
      </c>
    </row>
    <row r="2802" ht="16.5" customHeight="1">
      <c r="O2802" s="5" t="s">
        <v>355</v>
      </c>
      <c r="P2802" s="5" t="s">
        <v>355</v>
      </c>
      <c r="Q2802" s="5" t="s">
        <v>355</v>
      </c>
    </row>
    <row r="2803" ht="16.5" customHeight="1">
      <c r="O2803" s="5" t="s">
        <v>355</v>
      </c>
      <c r="P2803" s="5" t="s">
        <v>355</v>
      </c>
      <c r="Q2803" s="5" t="s">
        <v>355</v>
      </c>
    </row>
    <row r="2804" ht="16.5" customHeight="1">
      <c r="O2804" s="5" t="s">
        <v>355</v>
      </c>
      <c r="P2804" s="5" t="s">
        <v>355</v>
      </c>
      <c r="Q2804" s="5" t="s">
        <v>355</v>
      </c>
    </row>
    <row r="2805" ht="16.5" customHeight="1">
      <c r="O2805" s="5" t="s">
        <v>355</v>
      </c>
      <c r="P2805" s="5" t="s">
        <v>355</v>
      </c>
      <c r="Q2805" s="5" t="s">
        <v>355</v>
      </c>
    </row>
    <row r="2806" ht="16.5" customHeight="1">
      <c r="O2806" s="5" t="s">
        <v>355</v>
      </c>
      <c r="P2806" s="5" t="s">
        <v>355</v>
      </c>
      <c r="Q2806" s="5" t="s">
        <v>355</v>
      </c>
    </row>
    <row r="2807" ht="16.5" customHeight="1">
      <c r="O2807" s="5" t="s">
        <v>355</v>
      </c>
      <c r="P2807" s="5" t="s">
        <v>355</v>
      </c>
      <c r="Q2807" s="5" t="s">
        <v>355</v>
      </c>
    </row>
    <row r="2808" ht="16.5" customHeight="1">
      <c r="O2808" s="5" t="s">
        <v>355</v>
      </c>
      <c r="P2808" s="5" t="s">
        <v>355</v>
      </c>
      <c r="Q2808" s="5" t="s">
        <v>355</v>
      </c>
    </row>
    <row r="2809" ht="16.5" customHeight="1">
      <c r="O2809" s="5" t="s">
        <v>355</v>
      </c>
      <c r="P2809" s="5" t="s">
        <v>355</v>
      </c>
      <c r="Q2809" s="5" t="s">
        <v>355</v>
      </c>
    </row>
    <row r="2810" ht="16.5" customHeight="1">
      <c r="O2810" s="5" t="s">
        <v>355</v>
      </c>
      <c r="P2810" s="5" t="s">
        <v>355</v>
      </c>
      <c r="Q2810" s="5" t="s">
        <v>355</v>
      </c>
    </row>
    <row r="2811" ht="16.5" customHeight="1">
      <c r="O2811" s="5" t="s">
        <v>355</v>
      </c>
      <c r="P2811" s="5" t="s">
        <v>355</v>
      </c>
      <c r="Q2811" s="5" t="s">
        <v>355</v>
      </c>
    </row>
    <row r="2812" ht="16.5" customHeight="1">
      <c r="O2812" s="5" t="s">
        <v>355</v>
      </c>
      <c r="P2812" s="5" t="s">
        <v>355</v>
      </c>
      <c r="Q2812" s="5" t="s">
        <v>355</v>
      </c>
    </row>
    <row r="2813" ht="16.5" customHeight="1">
      <c r="O2813" s="5" t="s">
        <v>355</v>
      </c>
      <c r="P2813" s="5" t="s">
        <v>355</v>
      </c>
      <c r="Q2813" s="5" t="s">
        <v>355</v>
      </c>
    </row>
    <row r="2814" ht="16.5" customHeight="1">
      <c r="O2814" s="5" t="s">
        <v>355</v>
      </c>
      <c r="P2814" s="5" t="s">
        <v>355</v>
      </c>
      <c r="Q2814" s="5" t="s">
        <v>355</v>
      </c>
    </row>
    <row r="2815" ht="16.5" customHeight="1">
      <c r="O2815" s="5" t="s">
        <v>355</v>
      </c>
      <c r="P2815" s="5" t="s">
        <v>355</v>
      </c>
      <c r="Q2815" s="5" t="s">
        <v>355</v>
      </c>
    </row>
    <row r="2816" ht="16.5" customHeight="1">
      <c r="O2816" s="5" t="s">
        <v>355</v>
      </c>
      <c r="P2816" s="5" t="s">
        <v>355</v>
      </c>
      <c r="Q2816" s="5" t="s">
        <v>355</v>
      </c>
    </row>
    <row r="2817" ht="16.5" customHeight="1">
      <c r="O2817" s="5" t="s">
        <v>355</v>
      </c>
      <c r="P2817" s="5" t="s">
        <v>355</v>
      </c>
      <c r="Q2817" s="5" t="s">
        <v>355</v>
      </c>
    </row>
    <row r="2818" ht="16.5" customHeight="1">
      <c r="O2818" s="5" t="s">
        <v>355</v>
      </c>
      <c r="P2818" s="5" t="s">
        <v>355</v>
      </c>
      <c r="Q2818" s="5" t="s">
        <v>355</v>
      </c>
    </row>
    <row r="2819" ht="16.5" customHeight="1">
      <c r="O2819" s="5" t="s">
        <v>355</v>
      </c>
      <c r="P2819" s="5" t="s">
        <v>355</v>
      </c>
      <c r="Q2819" s="5" t="s">
        <v>355</v>
      </c>
    </row>
    <row r="2820" ht="16.5" customHeight="1">
      <c r="O2820" s="5" t="s">
        <v>355</v>
      </c>
      <c r="P2820" s="5" t="s">
        <v>355</v>
      </c>
      <c r="Q2820" s="5" t="s">
        <v>355</v>
      </c>
    </row>
    <row r="2821" ht="16.5" customHeight="1">
      <c r="O2821" s="5" t="s">
        <v>355</v>
      </c>
      <c r="P2821" s="5" t="s">
        <v>355</v>
      </c>
      <c r="Q2821" s="5" t="s">
        <v>355</v>
      </c>
    </row>
    <row r="2822" ht="16.5" customHeight="1">
      <c r="O2822" s="5" t="s">
        <v>355</v>
      </c>
      <c r="P2822" s="5" t="s">
        <v>355</v>
      </c>
      <c r="Q2822" s="5" t="s">
        <v>355</v>
      </c>
    </row>
    <row r="2823" ht="16.5" customHeight="1">
      <c r="O2823" s="5" t="s">
        <v>355</v>
      </c>
      <c r="P2823" s="5" t="s">
        <v>355</v>
      </c>
      <c r="Q2823" s="5" t="s">
        <v>355</v>
      </c>
    </row>
    <row r="2824" ht="16.5" customHeight="1">
      <c r="O2824" s="5" t="s">
        <v>355</v>
      </c>
      <c r="P2824" s="5" t="s">
        <v>355</v>
      </c>
      <c r="Q2824" s="5" t="s">
        <v>355</v>
      </c>
    </row>
    <row r="2825" ht="16.5" customHeight="1">
      <c r="O2825" s="5" t="s">
        <v>355</v>
      </c>
      <c r="P2825" s="5" t="s">
        <v>355</v>
      </c>
      <c r="Q2825" s="5" t="s">
        <v>355</v>
      </c>
    </row>
    <row r="2826" ht="16.5" customHeight="1">
      <c r="O2826" s="5" t="s">
        <v>355</v>
      </c>
      <c r="P2826" s="5" t="s">
        <v>355</v>
      </c>
      <c r="Q2826" s="5" t="s">
        <v>355</v>
      </c>
    </row>
    <row r="2827" ht="16.5" customHeight="1">
      <c r="O2827" s="5" t="s">
        <v>355</v>
      </c>
      <c r="P2827" s="5" t="s">
        <v>355</v>
      </c>
      <c r="Q2827" s="5" t="s">
        <v>355</v>
      </c>
    </row>
    <row r="2828" ht="16.5" customHeight="1">
      <c r="O2828" s="5" t="s">
        <v>355</v>
      </c>
      <c r="P2828" s="5" t="s">
        <v>355</v>
      </c>
      <c r="Q2828" s="5" t="s">
        <v>355</v>
      </c>
    </row>
    <row r="2829" ht="16.5" customHeight="1">
      <c r="O2829" s="5" t="s">
        <v>355</v>
      </c>
      <c r="P2829" s="5" t="s">
        <v>355</v>
      </c>
      <c r="Q2829" s="5" t="s">
        <v>355</v>
      </c>
    </row>
    <row r="2830" ht="16.5" customHeight="1">
      <c r="O2830" s="5" t="s">
        <v>355</v>
      </c>
      <c r="P2830" s="5" t="s">
        <v>355</v>
      </c>
      <c r="Q2830" s="5" t="s">
        <v>355</v>
      </c>
    </row>
    <row r="2831" ht="16.5" customHeight="1">
      <c r="O2831" s="5" t="s">
        <v>355</v>
      </c>
      <c r="P2831" s="5" t="s">
        <v>355</v>
      </c>
      <c r="Q2831" s="5" t="s">
        <v>355</v>
      </c>
    </row>
    <row r="2832" ht="16.5" customHeight="1">
      <c r="O2832" s="5" t="s">
        <v>355</v>
      </c>
      <c r="P2832" s="5" t="s">
        <v>355</v>
      </c>
      <c r="Q2832" s="5" t="s">
        <v>355</v>
      </c>
    </row>
    <row r="2833" ht="16.5" customHeight="1">
      <c r="O2833" s="5" t="s">
        <v>355</v>
      </c>
      <c r="P2833" s="5" t="s">
        <v>355</v>
      </c>
      <c r="Q2833" s="5" t="s">
        <v>355</v>
      </c>
    </row>
    <row r="2834" ht="16.5" customHeight="1">
      <c r="O2834" s="5" t="s">
        <v>355</v>
      </c>
      <c r="P2834" s="5" t="s">
        <v>355</v>
      </c>
      <c r="Q2834" s="5" t="s">
        <v>355</v>
      </c>
    </row>
    <row r="2835" ht="16.5" customHeight="1">
      <c r="O2835" s="5" t="s">
        <v>355</v>
      </c>
      <c r="P2835" s="5" t="s">
        <v>355</v>
      </c>
      <c r="Q2835" s="5" t="s">
        <v>355</v>
      </c>
    </row>
    <row r="2836" ht="16.5" customHeight="1">
      <c r="O2836" s="5" t="s">
        <v>355</v>
      </c>
      <c r="P2836" s="5" t="s">
        <v>355</v>
      </c>
      <c r="Q2836" s="5" t="s">
        <v>355</v>
      </c>
    </row>
    <row r="2837" ht="16.5" customHeight="1">
      <c r="O2837" s="5" t="s">
        <v>355</v>
      </c>
      <c r="P2837" s="5" t="s">
        <v>355</v>
      </c>
      <c r="Q2837" s="5" t="s">
        <v>355</v>
      </c>
    </row>
    <row r="2838" ht="16.5" customHeight="1">
      <c r="O2838" s="5" t="s">
        <v>355</v>
      </c>
      <c r="P2838" s="5" t="s">
        <v>355</v>
      </c>
      <c r="Q2838" s="5" t="s">
        <v>355</v>
      </c>
    </row>
    <row r="2839" ht="16.5" customHeight="1">
      <c r="O2839" s="5" t="s">
        <v>355</v>
      </c>
      <c r="P2839" s="5" t="s">
        <v>355</v>
      </c>
      <c r="Q2839" s="5" t="s">
        <v>355</v>
      </c>
    </row>
    <row r="2840" ht="16.5" customHeight="1">
      <c r="O2840" s="5" t="s">
        <v>355</v>
      </c>
      <c r="P2840" s="5" t="s">
        <v>355</v>
      </c>
      <c r="Q2840" s="5" t="s">
        <v>355</v>
      </c>
    </row>
    <row r="2841" ht="16.5" customHeight="1">
      <c r="O2841" s="5" t="s">
        <v>355</v>
      </c>
      <c r="P2841" s="5" t="s">
        <v>355</v>
      </c>
      <c r="Q2841" s="5" t="s">
        <v>355</v>
      </c>
    </row>
    <row r="2842" ht="16.5" customHeight="1">
      <c r="O2842" s="5" t="s">
        <v>355</v>
      </c>
      <c r="P2842" s="5" t="s">
        <v>355</v>
      </c>
      <c r="Q2842" s="5" t="s">
        <v>355</v>
      </c>
    </row>
    <row r="2843" ht="16.5" customHeight="1">
      <c r="O2843" s="5" t="s">
        <v>355</v>
      </c>
      <c r="P2843" s="5" t="s">
        <v>355</v>
      </c>
      <c r="Q2843" s="5" t="s">
        <v>355</v>
      </c>
    </row>
    <row r="2844" ht="16.5" customHeight="1">
      <c r="O2844" s="5" t="s">
        <v>355</v>
      </c>
      <c r="P2844" s="5" t="s">
        <v>355</v>
      </c>
      <c r="Q2844" s="5" t="s">
        <v>355</v>
      </c>
    </row>
    <row r="2845" ht="16.5" customHeight="1">
      <c r="O2845" s="5" t="s">
        <v>355</v>
      </c>
      <c r="P2845" s="5" t="s">
        <v>355</v>
      </c>
      <c r="Q2845" s="5" t="s">
        <v>355</v>
      </c>
    </row>
    <row r="2846" ht="16.5" customHeight="1">
      <c r="O2846" s="5" t="s">
        <v>355</v>
      </c>
      <c r="P2846" s="5" t="s">
        <v>355</v>
      </c>
      <c r="Q2846" s="5" t="s">
        <v>355</v>
      </c>
    </row>
    <row r="2847" ht="16.5" customHeight="1">
      <c r="O2847" s="5" t="s">
        <v>355</v>
      </c>
      <c r="P2847" s="5" t="s">
        <v>355</v>
      </c>
      <c r="Q2847" s="5" t="s">
        <v>355</v>
      </c>
    </row>
    <row r="2848" ht="16.5" customHeight="1">
      <c r="O2848" s="5" t="s">
        <v>355</v>
      </c>
      <c r="P2848" s="5" t="s">
        <v>355</v>
      </c>
      <c r="Q2848" s="5" t="s">
        <v>355</v>
      </c>
    </row>
    <row r="2849" ht="16.5" customHeight="1">
      <c r="O2849" s="5" t="s">
        <v>355</v>
      </c>
      <c r="P2849" s="5" t="s">
        <v>355</v>
      </c>
      <c r="Q2849" s="5" t="s">
        <v>355</v>
      </c>
    </row>
    <row r="2850" ht="16.5" customHeight="1">
      <c r="O2850" s="5" t="s">
        <v>355</v>
      </c>
      <c r="P2850" s="5" t="s">
        <v>355</v>
      </c>
      <c r="Q2850" s="5" t="s">
        <v>355</v>
      </c>
    </row>
    <row r="2851" ht="16.5" customHeight="1">
      <c r="O2851" s="5" t="s">
        <v>355</v>
      </c>
      <c r="P2851" s="5" t="s">
        <v>355</v>
      </c>
      <c r="Q2851" s="5" t="s">
        <v>355</v>
      </c>
    </row>
    <row r="2852" ht="16.5" customHeight="1">
      <c r="O2852" s="5" t="s">
        <v>355</v>
      </c>
      <c r="P2852" s="5" t="s">
        <v>355</v>
      </c>
      <c r="Q2852" s="5" t="s">
        <v>355</v>
      </c>
    </row>
    <row r="2853" ht="16.5" customHeight="1">
      <c r="O2853" s="5" t="s">
        <v>355</v>
      </c>
      <c r="P2853" s="5" t="s">
        <v>355</v>
      </c>
      <c r="Q2853" s="5" t="s">
        <v>355</v>
      </c>
    </row>
    <row r="2854" ht="16.5" customHeight="1">
      <c r="O2854" s="5" t="s">
        <v>355</v>
      </c>
      <c r="P2854" s="5" t="s">
        <v>355</v>
      </c>
      <c r="Q2854" s="5" t="s">
        <v>355</v>
      </c>
    </row>
    <row r="2855" ht="16.5" customHeight="1">
      <c r="O2855" s="5" t="s">
        <v>355</v>
      </c>
      <c r="P2855" s="5" t="s">
        <v>355</v>
      </c>
      <c r="Q2855" s="5" t="s">
        <v>355</v>
      </c>
    </row>
    <row r="2856" ht="16.5" customHeight="1">
      <c r="O2856" s="5" t="s">
        <v>355</v>
      </c>
      <c r="P2856" s="5" t="s">
        <v>355</v>
      </c>
      <c r="Q2856" s="5" t="s">
        <v>355</v>
      </c>
    </row>
    <row r="2857" ht="16.5" customHeight="1">
      <c r="O2857" s="5" t="s">
        <v>355</v>
      </c>
      <c r="P2857" s="5" t="s">
        <v>355</v>
      </c>
      <c r="Q2857" s="5" t="s">
        <v>355</v>
      </c>
    </row>
    <row r="2858" ht="16.5" customHeight="1">
      <c r="O2858" s="5" t="s">
        <v>355</v>
      </c>
      <c r="P2858" s="5" t="s">
        <v>355</v>
      </c>
      <c r="Q2858" s="5" t="s">
        <v>355</v>
      </c>
    </row>
    <row r="2859" ht="16.5" customHeight="1">
      <c r="O2859" s="5" t="s">
        <v>355</v>
      </c>
      <c r="P2859" s="5" t="s">
        <v>355</v>
      </c>
      <c r="Q2859" s="5" t="s">
        <v>355</v>
      </c>
    </row>
    <row r="2860" ht="16.5" customHeight="1">
      <c r="O2860" s="5" t="s">
        <v>355</v>
      </c>
      <c r="P2860" s="5" t="s">
        <v>355</v>
      </c>
      <c r="Q2860" s="5" t="s">
        <v>355</v>
      </c>
    </row>
    <row r="2861" ht="16.5" customHeight="1">
      <c r="O2861" s="5" t="s">
        <v>355</v>
      </c>
      <c r="P2861" s="5" t="s">
        <v>355</v>
      </c>
      <c r="Q2861" s="5" t="s">
        <v>355</v>
      </c>
    </row>
    <row r="2862" ht="16.5" customHeight="1">
      <c r="O2862" s="5" t="s">
        <v>355</v>
      </c>
      <c r="P2862" s="5" t="s">
        <v>355</v>
      </c>
      <c r="Q2862" s="5" t="s">
        <v>355</v>
      </c>
    </row>
    <row r="2863" ht="16.5" customHeight="1">
      <c r="O2863" s="5" t="s">
        <v>355</v>
      </c>
      <c r="P2863" s="5" t="s">
        <v>355</v>
      </c>
      <c r="Q2863" s="5" t="s">
        <v>355</v>
      </c>
    </row>
    <row r="2864" ht="16.5" customHeight="1">
      <c r="O2864" s="5" t="s">
        <v>355</v>
      </c>
      <c r="P2864" s="5" t="s">
        <v>355</v>
      </c>
      <c r="Q2864" s="5" t="s">
        <v>355</v>
      </c>
    </row>
    <row r="2865" ht="16.5" customHeight="1">
      <c r="O2865" s="5" t="s">
        <v>355</v>
      </c>
      <c r="P2865" s="5" t="s">
        <v>355</v>
      </c>
      <c r="Q2865" s="5" t="s">
        <v>355</v>
      </c>
    </row>
    <row r="2866" ht="16.5" customHeight="1">
      <c r="O2866" s="5" t="s">
        <v>355</v>
      </c>
      <c r="P2866" s="5" t="s">
        <v>355</v>
      </c>
      <c r="Q2866" s="5" t="s">
        <v>355</v>
      </c>
    </row>
    <row r="2867" ht="16.5" customHeight="1">
      <c r="O2867" s="5" t="s">
        <v>355</v>
      </c>
      <c r="P2867" s="5" t="s">
        <v>355</v>
      </c>
      <c r="Q2867" s="5" t="s">
        <v>355</v>
      </c>
    </row>
    <row r="2868" ht="16.5" customHeight="1">
      <c r="O2868" s="5" t="s">
        <v>355</v>
      </c>
      <c r="P2868" s="5" t="s">
        <v>355</v>
      </c>
      <c r="Q2868" s="5" t="s">
        <v>355</v>
      </c>
    </row>
    <row r="2869" ht="16.5" customHeight="1">
      <c r="O2869" s="5" t="s">
        <v>355</v>
      </c>
      <c r="P2869" s="5" t="s">
        <v>355</v>
      </c>
      <c r="Q2869" s="5" t="s">
        <v>355</v>
      </c>
    </row>
    <row r="2870" ht="16.5" customHeight="1">
      <c r="O2870" s="5" t="s">
        <v>355</v>
      </c>
      <c r="P2870" s="5" t="s">
        <v>355</v>
      </c>
      <c r="Q2870" s="5" t="s">
        <v>355</v>
      </c>
    </row>
    <row r="2871" ht="16.5" customHeight="1">
      <c r="O2871" s="5" t="s">
        <v>355</v>
      </c>
      <c r="P2871" s="5" t="s">
        <v>355</v>
      </c>
      <c r="Q2871" s="5" t="s">
        <v>355</v>
      </c>
    </row>
    <row r="2872" ht="16.5" customHeight="1">
      <c r="O2872" s="5" t="s">
        <v>355</v>
      </c>
      <c r="P2872" s="5" t="s">
        <v>355</v>
      </c>
      <c r="Q2872" s="5" t="s">
        <v>355</v>
      </c>
    </row>
    <row r="2873" ht="16.5" customHeight="1">
      <c r="O2873" s="5" t="s">
        <v>355</v>
      </c>
      <c r="P2873" s="5" t="s">
        <v>355</v>
      </c>
      <c r="Q2873" s="5" t="s">
        <v>355</v>
      </c>
    </row>
    <row r="2874" ht="16.5" customHeight="1">
      <c r="O2874" s="5" t="s">
        <v>355</v>
      </c>
      <c r="P2874" s="5" t="s">
        <v>355</v>
      </c>
      <c r="Q2874" s="5" t="s">
        <v>355</v>
      </c>
    </row>
    <row r="2875" ht="16.5" customHeight="1">
      <c r="O2875" s="5" t="s">
        <v>355</v>
      </c>
      <c r="P2875" s="5" t="s">
        <v>355</v>
      </c>
      <c r="Q2875" s="5" t="s">
        <v>355</v>
      </c>
    </row>
    <row r="2876" ht="16.5" customHeight="1">
      <c r="O2876" s="5" t="s">
        <v>355</v>
      </c>
      <c r="P2876" s="5" t="s">
        <v>355</v>
      </c>
      <c r="Q2876" s="5" t="s">
        <v>355</v>
      </c>
    </row>
    <row r="2877" ht="16.5" customHeight="1">
      <c r="O2877" s="5" t="s">
        <v>355</v>
      </c>
      <c r="P2877" s="5" t="s">
        <v>355</v>
      </c>
      <c r="Q2877" s="5" t="s">
        <v>355</v>
      </c>
    </row>
    <row r="2878" ht="16.5" customHeight="1">
      <c r="O2878" s="5" t="s">
        <v>355</v>
      </c>
      <c r="P2878" s="5" t="s">
        <v>355</v>
      </c>
      <c r="Q2878" s="5" t="s">
        <v>355</v>
      </c>
    </row>
    <row r="2879" ht="16.5" customHeight="1">
      <c r="O2879" s="5" t="s">
        <v>355</v>
      </c>
      <c r="P2879" s="5" t="s">
        <v>355</v>
      </c>
      <c r="Q2879" s="5" t="s">
        <v>355</v>
      </c>
    </row>
    <row r="2880" ht="16.5" customHeight="1">
      <c r="O2880" s="5" t="s">
        <v>355</v>
      </c>
      <c r="P2880" s="5" t="s">
        <v>355</v>
      </c>
      <c r="Q2880" s="5" t="s">
        <v>355</v>
      </c>
    </row>
    <row r="2881" ht="16.5" customHeight="1">
      <c r="O2881" s="5" t="s">
        <v>355</v>
      </c>
      <c r="P2881" s="5" t="s">
        <v>355</v>
      </c>
      <c r="Q2881" s="5" t="s">
        <v>355</v>
      </c>
    </row>
    <row r="2882" ht="16.5" customHeight="1">
      <c r="O2882" s="5" t="s">
        <v>355</v>
      </c>
      <c r="P2882" s="5" t="s">
        <v>355</v>
      </c>
      <c r="Q2882" s="5" t="s">
        <v>355</v>
      </c>
    </row>
    <row r="2883" ht="16.5" customHeight="1">
      <c r="O2883" s="5" t="s">
        <v>355</v>
      </c>
      <c r="P2883" s="5" t="s">
        <v>355</v>
      </c>
      <c r="Q2883" s="5" t="s">
        <v>355</v>
      </c>
    </row>
    <row r="2884" ht="16.5" customHeight="1">
      <c r="O2884" s="5" t="s">
        <v>355</v>
      </c>
      <c r="P2884" s="5" t="s">
        <v>355</v>
      </c>
      <c r="Q2884" s="5" t="s">
        <v>355</v>
      </c>
    </row>
    <row r="2885" ht="16.5" customHeight="1">
      <c r="O2885" s="5" t="s">
        <v>355</v>
      </c>
      <c r="P2885" s="5" t="s">
        <v>355</v>
      </c>
      <c r="Q2885" s="5" t="s">
        <v>355</v>
      </c>
    </row>
    <row r="2886" ht="16.5" customHeight="1">
      <c r="O2886" s="5" t="s">
        <v>355</v>
      </c>
      <c r="P2886" s="5" t="s">
        <v>355</v>
      </c>
      <c r="Q2886" s="5" t="s">
        <v>355</v>
      </c>
    </row>
    <row r="2887" ht="16.5" customHeight="1">
      <c r="O2887" s="5" t="s">
        <v>355</v>
      </c>
      <c r="P2887" s="5" t="s">
        <v>355</v>
      </c>
      <c r="Q2887" s="5" t="s">
        <v>355</v>
      </c>
    </row>
    <row r="2888" ht="16.5" customHeight="1">
      <c r="O2888" s="5" t="s">
        <v>355</v>
      </c>
      <c r="P2888" s="5" t="s">
        <v>355</v>
      </c>
      <c r="Q2888" s="5" t="s">
        <v>355</v>
      </c>
    </row>
    <row r="2889" ht="16.5" customHeight="1">
      <c r="O2889" s="5" t="s">
        <v>355</v>
      </c>
      <c r="P2889" s="5" t="s">
        <v>355</v>
      </c>
      <c r="Q2889" s="5" t="s">
        <v>355</v>
      </c>
    </row>
    <row r="2890" ht="16.5" customHeight="1">
      <c r="O2890" s="5" t="s">
        <v>355</v>
      </c>
      <c r="P2890" s="5" t="s">
        <v>355</v>
      </c>
      <c r="Q2890" s="5" t="s">
        <v>355</v>
      </c>
    </row>
    <row r="2891" ht="16.5" customHeight="1">
      <c r="O2891" s="5" t="s">
        <v>355</v>
      </c>
      <c r="P2891" s="5" t="s">
        <v>355</v>
      </c>
      <c r="Q2891" s="5" t="s">
        <v>355</v>
      </c>
    </row>
    <row r="2892" ht="16.5" customHeight="1">
      <c r="O2892" s="5" t="s">
        <v>355</v>
      </c>
      <c r="P2892" s="5" t="s">
        <v>355</v>
      </c>
      <c r="Q2892" s="5" t="s">
        <v>355</v>
      </c>
    </row>
    <row r="2893" ht="16.5" customHeight="1">
      <c r="O2893" s="5" t="s">
        <v>355</v>
      </c>
      <c r="P2893" s="5" t="s">
        <v>355</v>
      </c>
      <c r="Q2893" s="5" t="s">
        <v>355</v>
      </c>
    </row>
    <row r="2894" ht="16.5" customHeight="1">
      <c r="O2894" s="5" t="s">
        <v>355</v>
      </c>
      <c r="P2894" s="5" t="s">
        <v>355</v>
      </c>
      <c r="Q2894" s="5" t="s">
        <v>355</v>
      </c>
    </row>
    <row r="2895" ht="16.5" customHeight="1">
      <c r="O2895" s="5" t="s">
        <v>355</v>
      </c>
      <c r="P2895" s="5" t="s">
        <v>355</v>
      </c>
      <c r="Q2895" s="5" t="s">
        <v>355</v>
      </c>
    </row>
    <row r="2896" ht="16.5" customHeight="1">
      <c r="O2896" s="5" t="s">
        <v>355</v>
      </c>
      <c r="P2896" s="5" t="s">
        <v>355</v>
      </c>
      <c r="Q2896" s="5" t="s">
        <v>355</v>
      </c>
    </row>
    <row r="2897" ht="16.5" customHeight="1">
      <c r="O2897" s="5" t="s">
        <v>355</v>
      </c>
      <c r="P2897" s="5" t="s">
        <v>355</v>
      </c>
      <c r="Q2897" s="5" t="s">
        <v>355</v>
      </c>
    </row>
    <row r="2898" ht="16.5" customHeight="1">
      <c r="O2898" s="5" t="s">
        <v>355</v>
      </c>
      <c r="P2898" s="5" t="s">
        <v>355</v>
      </c>
      <c r="Q2898" s="5" t="s">
        <v>355</v>
      </c>
    </row>
    <row r="2899" ht="16.5" customHeight="1">
      <c r="O2899" s="5" t="s">
        <v>355</v>
      </c>
      <c r="P2899" s="5" t="s">
        <v>355</v>
      </c>
      <c r="Q2899" s="5" t="s">
        <v>355</v>
      </c>
    </row>
    <row r="2900" ht="16.5" customHeight="1">
      <c r="O2900" s="5" t="s">
        <v>355</v>
      </c>
      <c r="P2900" s="5" t="s">
        <v>355</v>
      </c>
      <c r="Q2900" s="5" t="s">
        <v>355</v>
      </c>
    </row>
    <row r="2901" ht="16.5" customHeight="1">
      <c r="O2901" s="5" t="s">
        <v>355</v>
      </c>
      <c r="P2901" s="5" t="s">
        <v>355</v>
      </c>
      <c r="Q2901" s="5" t="s">
        <v>355</v>
      </c>
    </row>
    <row r="2902" ht="16.5" customHeight="1">
      <c r="O2902" s="5" t="s">
        <v>355</v>
      </c>
      <c r="P2902" s="5" t="s">
        <v>355</v>
      </c>
      <c r="Q2902" s="5" t="s">
        <v>355</v>
      </c>
    </row>
    <row r="2903" ht="16.5" customHeight="1">
      <c r="O2903" s="5" t="s">
        <v>355</v>
      </c>
      <c r="P2903" s="5" t="s">
        <v>355</v>
      </c>
      <c r="Q2903" s="5" t="s">
        <v>355</v>
      </c>
    </row>
    <row r="2904" ht="16.5" customHeight="1">
      <c r="O2904" s="5" t="s">
        <v>355</v>
      </c>
      <c r="P2904" s="5" t="s">
        <v>355</v>
      </c>
      <c r="Q2904" s="5" t="s">
        <v>355</v>
      </c>
    </row>
    <row r="2905" ht="16.5" customHeight="1">
      <c r="O2905" s="5" t="s">
        <v>355</v>
      </c>
      <c r="P2905" s="5" t="s">
        <v>355</v>
      </c>
      <c r="Q2905" s="5" t="s">
        <v>355</v>
      </c>
    </row>
    <row r="2906" ht="16.5" customHeight="1">
      <c r="O2906" s="5" t="s">
        <v>355</v>
      </c>
      <c r="P2906" s="5" t="s">
        <v>355</v>
      </c>
      <c r="Q2906" s="5" t="s">
        <v>355</v>
      </c>
    </row>
    <row r="2907" ht="16.5" customHeight="1">
      <c r="O2907" s="5" t="s">
        <v>355</v>
      </c>
      <c r="P2907" s="5" t="s">
        <v>355</v>
      </c>
      <c r="Q2907" s="5" t="s">
        <v>355</v>
      </c>
    </row>
    <row r="2908" ht="16.5" customHeight="1">
      <c r="O2908" s="5" t="s">
        <v>355</v>
      </c>
      <c r="P2908" s="5" t="s">
        <v>355</v>
      </c>
      <c r="Q2908" s="5" t="s">
        <v>355</v>
      </c>
    </row>
    <row r="2909" ht="16.5" customHeight="1">
      <c r="O2909" s="5" t="s">
        <v>355</v>
      </c>
      <c r="P2909" s="5" t="s">
        <v>355</v>
      </c>
      <c r="Q2909" s="5" t="s">
        <v>355</v>
      </c>
    </row>
    <row r="2910" ht="16.5" customHeight="1">
      <c r="O2910" s="5" t="s">
        <v>355</v>
      </c>
      <c r="P2910" s="5" t="s">
        <v>355</v>
      </c>
      <c r="Q2910" s="5" t="s">
        <v>355</v>
      </c>
    </row>
    <row r="2911" ht="16.5" customHeight="1">
      <c r="O2911" s="5" t="s">
        <v>355</v>
      </c>
      <c r="P2911" s="5" t="s">
        <v>355</v>
      </c>
      <c r="Q2911" s="5" t="s">
        <v>355</v>
      </c>
    </row>
    <row r="2912" ht="16.5" customHeight="1">
      <c r="O2912" s="5" t="s">
        <v>355</v>
      </c>
      <c r="P2912" s="5" t="s">
        <v>355</v>
      </c>
      <c r="Q2912" s="5" t="s">
        <v>355</v>
      </c>
    </row>
    <row r="2913" ht="16.5" customHeight="1">
      <c r="O2913" s="5" t="s">
        <v>355</v>
      </c>
      <c r="P2913" s="5" t="s">
        <v>355</v>
      </c>
      <c r="Q2913" s="5" t="s">
        <v>355</v>
      </c>
    </row>
    <row r="2914" ht="16.5" customHeight="1">
      <c r="O2914" s="5" t="s">
        <v>355</v>
      </c>
      <c r="P2914" s="5" t="s">
        <v>355</v>
      </c>
      <c r="Q2914" s="5" t="s">
        <v>355</v>
      </c>
    </row>
    <row r="2915" ht="16.5" customHeight="1">
      <c r="O2915" s="5" t="s">
        <v>355</v>
      </c>
      <c r="P2915" s="5" t="s">
        <v>355</v>
      </c>
      <c r="Q2915" s="5" t="s">
        <v>355</v>
      </c>
    </row>
    <row r="2916" ht="16.5" customHeight="1">
      <c r="O2916" s="5" t="s">
        <v>355</v>
      </c>
      <c r="P2916" s="5" t="s">
        <v>355</v>
      </c>
      <c r="Q2916" s="5" t="s">
        <v>355</v>
      </c>
    </row>
    <row r="2917" ht="16.5" customHeight="1">
      <c r="O2917" s="5" t="s">
        <v>355</v>
      </c>
      <c r="P2917" s="5" t="s">
        <v>355</v>
      </c>
      <c r="Q2917" s="5" t="s">
        <v>355</v>
      </c>
    </row>
    <row r="2918" ht="16.5" customHeight="1">
      <c r="O2918" s="5" t="s">
        <v>355</v>
      </c>
      <c r="P2918" s="5" t="s">
        <v>355</v>
      </c>
      <c r="Q2918" s="5" t="s">
        <v>355</v>
      </c>
    </row>
    <row r="2919" ht="16.5" customHeight="1">
      <c r="O2919" s="5" t="s">
        <v>355</v>
      </c>
      <c r="P2919" s="5" t="s">
        <v>355</v>
      </c>
      <c r="Q2919" s="5" t="s">
        <v>355</v>
      </c>
    </row>
    <row r="2920" ht="16.5" customHeight="1">
      <c r="O2920" s="5" t="s">
        <v>355</v>
      </c>
      <c r="P2920" s="5" t="s">
        <v>355</v>
      </c>
      <c r="Q2920" s="5" t="s">
        <v>355</v>
      </c>
    </row>
    <row r="2921" ht="16.5" customHeight="1">
      <c r="O2921" s="5" t="s">
        <v>355</v>
      </c>
      <c r="P2921" s="5" t="s">
        <v>355</v>
      </c>
      <c r="Q2921" s="5" t="s">
        <v>355</v>
      </c>
    </row>
    <row r="2922" ht="16.5" customHeight="1">
      <c r="O2922" s="5" t="s">
        <v>355</v>
      </c>
      <c r="P2922" s="5" t="s">
        <v>355</v>
      </c>
      <c r="Q2922" s="5" t="s">
        <v>355</v>
      </c>
    </row>
    <row r="2923" ht="16.5" customHeight="1">
      <c r="O2923" s="5" t="s">
        <v>355</v>
      </c>
      <c r="P2923" s="5" t="s">
        <v>355</v>
      </c>
      <c r="Q2923" s="5" t="s">
        <v>355</v>
      </c>
    </row>
    <row r="2924" ht="16.5" customHeight="1">
      <c r="O2924" s="5" t="s">
        <v>355</v>
      </c>
      <c r="P2924" s="5" t="s">
        <v>355</v>
      </c>
      <c r="Q2924" s="5" t="s">
        <v>355</v>
      </c>
    </row>
    <row r="2925" ht="16.5" customHeight="1">
      <c r="O2925" s="5" t="s">
        <v>355</v>
      </c>
      <c r="P2925" s="5" t="s">
        <v>355</v>
      </c>
      <c r="Q2925" s="5" t="s">
        <v>355</v>
      </c>
    </row>
    <row r="2926" ht="16.5" customHeight="1">
      <c r="O2926" s="5" t="s">
        <v>355</v>
      </c>
      <c r="P2926" s="5" t="s">
        <v>355</v>
      </c>
      <c r="Q2926" s="5" t="s">
        <v>355</v>
      </c>
    </row>
    <row r="2927" ht="16.5" customHeight="1">
      <c r="O2927" s="5" t="s">
        <v>355</v>
      </c>
      <c r="P2927" s="5" t="s">
        <v>355</v>
      </c>
      <c r="Q2927" s="5" t="s">
        <v>355</v>
      </c>
    </row>
    <row r="2928" ht="16.5" customHeight="1">
      <c r="O2928" s="5" t="s">
        <v>355</v>
      </c>
      <c r="P2928" s="5" t="s">
        <v>355</v>
      </c>
      <c r="Q2928" s="5" t="s">
        <v>355</v>
      </c>
    </row>
    <row r="2929" ht="16.5" customHeight="1">
      <c r="O2929" s="5" t="s">
        <v>355</v>
      </c>
      <c r="P2929" s="5" t="s">
        <v>355</v>
      </c>
      <c r="Q2929" s="5" t="s">
        <v>355</v>
      </c>
    </row>
    <row r="2930" ht="16.5" customHeight="1">
      <c r="O2930" s="5" t="s">
        <v>355</v>
      </c>
      <c r="P2930" s="5" t="s">
        <v>355</v>
      </c>
      <c r="Q2930" s="5" t="s">
        <v>355</v>
      </c>
    </row>
    <row r="2931" ht="16.5" customHeight="1">
      <c r="O2931" s="5" t="s">
        <v>355</v>
      </c>
      <c r="P2931" s="5" t="s">
        <v>355</v>
      </c>
      <c r="Q2931" s="5" t="s">
        <v>355</v>
      </c>
    </row>
    <row r="2932" ht="16.5" customHeight="1">
      <c r="O2932" s="5" t="s">
        <v>355</v>
      </c>
      <c r="P2932" s="5" t="s">
        <v>355</v>
      </c>
      <c r="Q2932" s="5" t="s">
        <v>355</v>
      </c>
    </row>
    <row r="2933" ht="16.5" customHeight="1">
      <c r="O2933" s="5" t="s">
        <v>355</v>
      </c>
      <c r="P2933" s="5" t="s">
        <v>355</v>
      </c>
      <c r="Q2933" s="5" t="s">
        <v>355</v>
      </c>
    </row>
    <row r="2934" ht="16.5" customHeight="1">
      <c r="O2934" s="5" t="s">
        <v>355</v>
      </c>
      <c r="P2934" s="5" t="s">
        <v>355</v>
      </c>
      <c r="Q2934" s="5" t="s">
        <v>355</v>
      </c>
    </row>
    <row r="2935" ht="16.5" customHeight="1">
      <c r="O2935" s="5" t="s">
        <v>355</v>
      </c>
      <c r="P2935" s="5" t="s">
        <v>355</v>
      </c>
      <c r="Q2935" s="5" t="s">
        <v>355</v>
      </c>
    </row>
    <row r="2936" ht="16.5" customHeight="1">
      <c r="O2936" s="5" t="s">
        <v>355</v>
      </c>
      <c r="P2936" s="5" t="s">
        <v>355</v>
      </c>
      <c r="Q2936" s="5" t="s">
        <v>355</v>
      </c>
    </row>
    <row r="2937" ht="16.5" customHeight="1">
      <c r="O2937" s="5" t="s">
        <v>355</v>
      </c>
      <c r="P2937" s="5" t="s">
        <v>355</v>
      </c>
      <c r="Q2937" s="5" t="s">
        <v>355</v>
      </c>
    </row>
    <row r="2938" ht="16.5" customHeight="1">
      <c r="O2938" s="5" t="s">
        <v>355</v>
      </c>
      <c r="P2938" s="5" t="s">
        <v>355</v>
      </c>
      <c r="Q2938" s="5" t="s">
        <v>355</v>
      </c>
    </row>
    <row r="2939" ht="16.5" customHeight="1">
      <c r="O2939" s="5" t="s">
        <v>355</v>
      </c>
      <c r="P2939" s="5" t="s">
        <v>355</v>
      </c>
      <c r="Q2939" s="5" t="s">
        <v>355</v>
      </c>
    </row>
    <row r="2940" ht="16.5" customHeight="1">
      <c r="O2940" s="5" t="s">
        <v>355</v>
      </c>
      <c r="P2940" s="5" t="s">
        <v>355</v>
      </c>
      <c r="Q2940" s="5" t="s">
        <v>355</v>
      </c>
    </row>
    <row r="2941" ht="16.5" customHeight="1">
      <c r="O2941" s="5" t="s">
        <v>355</v>
      </c>
      <c r="P2941" s="5" t="s">
        <v>355</v>
      </c>
      <c r="Q2941" s="5" t="s">
        <v>355</v>
      </c>
    </row>
    <row r="2942" ht="16.5" customHeight="1">
      <c r="O2942" s="5" t="s">
        <v>355</v>
      </c>
      <c r="P2942" s="5" t="s">
        <v>355</v>
      </c>
      <c r="Q2942" s="5" t="s">
        <v>355</v>
      </c>
    </row>
    <row r="2943" ht="16.5" customHeight="1">
      <c r="O2943" s="5" t="s">
        <v>355</v>
      </c>
      <c r="P2943" s="5" t="s">
        <v>355</v>
      </c>
      <c r="Q2943" s="5" t="s">
        <v>355</v>
      </c>
    </row>
    <row r="2944" ht="16.5" customHeight="1">
      <c r="O2944" s="5" t="s">
        <v>355</v>
      </c>
      <c r="P2944" s="5" t="s">
        <v>355</v>
      </c>
      <c r="Q2944" s="5" t="s">
        <v>355</v>
      </c>
    </row>
    <row r="2945" ht="16.5" customHeight="1">
      <c r="O2945" s="5" t="s">
        <v>355</v>
      </c>
      <c r="P2945" s="5" t="s">
        <v>355</v>
      </c>
      <c r="Q2945" s="5" t="s">
        <v>355</v>
      </c>
    </row>
    <row r="2946" ht="16.5" customHeight="1">
      <c r="O2946" s="5" t="s">
        <v>355</v>
      </c>
      <c r="P2946" s="5" t="s">
        <v>355</v>
      </c>
      <c r="Q2946" s="5" t="s">
        <v>355</v>
      </c>
    </row>
    <row r="2947" ht="16.5" customHeight="1">
      <c r="O2947" s="5" t="s">
        <v>355</v>
      </c>
      <c r="P2947" s="5" t="s">
        <v>355</v>
      </c>
      <c r="Q2947" s="5" t="s">
        <v>355</v>
      </c>
    </row>
    <row r="2948" ht="16.5" customHeight="1">
      <c r="O2948" s="5" t="s">
        <v>355</v>
      </c>
      <c r="P2948" s="5" t="s">
        <v>355</v>
      </c>
      <c r="Q2948" s="5" t="s">
        <v>355</v>
      </c>
    </row>
    <row r="2949" ht="16.5" customHeight="1">
      <c r="O2949" s="5" t="s">
        <v>355</v>
      </c>
      <c r="P2949" s="5" t="s">
        <v>355</v>
      </c>
      <c r="Q2949" s="5" t="s">
        <v>355</v>
      </c>
    </row>
    <row r="2950" ht="16.5" customHeight="1">
      <c r="O2950" s="5" t="s">
        <v>355</v>
      </c>
      <c r="P2950" s="5" t="s">
        <v>355</v>
      </c>
      <c r="Q2950" s="5" t="s">
        <v>355</v>
      </c>
    </row>
    <row r="2951" ht="16.5" customHeight="1">
      <c r="O2951" s="5" t="s">
        <v>355</v>
      </c>
      <c r="P2951" s="5" t="s">
        <v>355</v>
      </c>
      <c r="Q2951" s="5" t="s">
        <v>355</v>
      </c>
    </row>
    <row r="2952" ht="16.5" customHeight="1">
      <c r="O2952" s="5" t="s">
        <v>355</v>
      </c>
      <c r="P2952" s="5" t="s">
        <v>355</v>
      </c>
      <c r="Q2952" s="5" t="s">
        <v>355</v>
      </c>
    </row>
    <row r="2953" ht="16.5" customHeight="1">
      <c r="O2953" s="5" t="s">
        <v>355</v>
      </c>
      <c r="P2953" s="5" t="s">
        <v>355</v>
      </c>
      <c r="Q2953" s="5" t="s">
        <v>355</v>
      </c>
    </row>
    <row r="2954" ht="16.5" customHeight="1">
      <c r="O2954" s="5" t="s">
        <v>355</v>
      </c>
      <c r="P2954" s="5" t="s">
        <v>355</v>
      </c>
      <c r="Q2954" s="5" t="s">
        <v>355</v>
      </c>
    </row>
    <row r="2955" ht="16.5" customHeight="1">
      <c r="O2955" s="5" t="s">
        <v>355</v>
      </c>
      <c r="P2955" s="5" t="s">
        <v>355</v>
      </c>
      <c r="Q2955" s="5" t="s">
        <v>355</v>
      </c>
    </row>
    <row r="2956" ht="16.5" customHeight="1">
      <c r="O2956" s="5" t="s">
        <v>355</v>
      </c>
      <c r="P2956" s="5" t="s">
        <v>355</v>
      </c>
      <c r="Q2956" s="5" t="s">
        <v>355</v>
      </c>
    </row>
    <row r="2957" ht="16.5" customHeight="1">
      <c r="O2957" s="5" t="s">
        <v>355</v>
      </c>
      <c r="P2957" s="5" t="s">
        <v>355</v>
      </c>
      <c r="Q2957" s="5" t="s">
        <v>355</v>
      </c>
    </row>
    <row r="2958" ht="16.5" customHeight="1">
      <c r="O2958" s="5" t="s">
        <v>355</v>
      </c>
      <c r="P2958" s="5" t="s">
        <v>355</v>
      </c>
      <c r="Q2958" s="5" t="s">
        <v>355</v>
      </c>
    </row>
    <row r="2959" ht="16.5" customHeight="1">
      <c r="O2959" s="5" t="s">
        <v>355</v>
      </c>
      <c r="P2959" s="5" t="s">
        <v>355</v>
      </c>
      <c r="Q2959" s="5" t="s">
        <v>355</v>
      </c>
    </row>
    <row r="2960" ht="16.5" customHeight="1">
      <c r="O2960" s="5" t="s">
        <v>355</v>
      </c>
      <c r="P2960" s="5" t="s">
        <v>355</v>
      </c>
      <c r="Q2960" s="5" t="s">
        <v>355</v>
      </c>
    </row>
    <row r="2961" ht="16.5" customHeight="1">
      <c r="O2961" s="5" t="s">
        <v>355</v>
      </c>
      <c r="P2961" s="5" t="s">
        <v>355</v>
      </c>
      <c r="Q2961" s="5" t="s">
        <v>355</v>
      </c>
    </row>
    <row r="2962" ht="16.5" customHeight="1">
      <c r="O2962" s="5" t="s">
        <v>355</v>
      </c>
      <c r="P2962" s="5" t="s">
        <v>355</v>
      </c>
      <c r="Q2962" s="5" t="s">
        <v>355</v>
      </c>
    </row>
    <row r="2963" ht="16.5" customHeight="1">
      <c r="O2963" s="5" t="s">
        <v>355</v>
      </c>
      <c r="P2963" s="5" t="s">
        <v>355</v>
      </c>
      <c r="Q2963" s="5" t="s">
        <v>355</v>
      </c>
    </row>
    <row r="2964" ht="16.5" customHeight="1">
      <c r="O2964" s="5" t="s">
        <v>355</v>
      </c>
      <c r="P2964" s="5" t="s">
        <v>355</v>
      </c>
      <c r="Q2964" s="5" t="s">
        <v>355</v>
      </c>
    </row>
    <row r="2965" ht="16.5" customHeight="1">
      <c r="O2965" s="5" t="s">
        <v>355</v>
      </c>
      <c r="P2965" s="5" t="s">
        <v>355</v>
      </c>
      <c r="Q2965" s="5" t="s">
        <v>355</v>
      </c>
    </row>
    <row r="2966" ht="16.5" customHeight="1">
      <c r="O2966" s="5" t="s">
        <v>355</v>
      </c>
      <c r="P2966" s="5" t="s">
        <v>355</v>
      </c>
      <c r="Q2966" s="5" t="s">
        <v>355</v>
      </c>
    </row>
    <row r="2967" ht="16.5" customHeight="1">
      <c r="O2967" s="5" t="s">
        <v>355</v>
      </c>
      <c r="P2967" s="5" t="s">
        <v>355</v>
      </c>
      <c r="Q2967" s="5" t="s">
        <v>355</v>
      </c>
    </row>
    <row r="2968" ht="16.5" customHeight="1">
      <c r="O2968" s="5" t="s">
        <v>355</v>
      </c>
      <c r="P2968" s="5" t="s">
        <v>355</v>
      </c>
      <c r="Q2968" s="5" t="s">
        <v>355</v>
      </c>
    </row>
    <row r="2969" ht="16.5" customHeight="1">
      <c r="O2969" s="5" t="s">
        <v>355</v>
      </c>
      <c r="P2969" s="5" t="s">
        <v>355</v>
      </c>
      <c r="Q2969" s="5" t="s">
        <v>355</v>
      </c>
    </row>
    <row r="2970" ht="16.5" customHeight="1">
      <c r="O2970" s="5" t="s">
        <v>355</v>
      </c>
      <c r="P2970" s="5" t="s">
        <v>355</v>
      </c>
      <c r="Q2970" s="5" t="s">
        <v>355</v>
      </c>
    </row>
    <row r="2971" ht="16.5" customHeight="1">
      <c r="O2971" s="5" t="s">
        <v>355</v>
      </c>
      <c r="P2971" s="5" t="s">
        <v>355</v>
      </c>
      <c r="Q2971" s="5" t="s">
        <v>355</v>
      </c>
    </row>
    <row r="2972" ht="16.5" customHeight="1">
      <c r="O2972" s="5" t="s">
        <v>355</v>
      </c>
      <c r="P2972" s="5" t="s">
        <v>355</v>
      </c>
      <c r="Q2972" s="5" t="s">
        <v>355</v>
      </c>
    </row>
    <row r="2973" ht="16.5" customHeight="1">
      <c r="O2973" s="5" t="s">
        <v>355</v>
      </c>
      <c r="P2973" s="5" t="s">
        <v>355</v>
      </c>
      <c r="Q2973" s="5" t="s">
        <v>355</v>
      </c>
    </row>
    <row r="2974" ht="16.5" customHeight="1">
      <c r="O2974" s="5" t="s">
        <v>355</v>
      </c>
      <c r="P2974" s="5" t="s">
        <v>355</v>
      </c>
      <c r="Q2974" s="5" t="s">
        <v>355</v>
      </c>
    </row>
    <row r="2975" ht="16.5" customHeight="1">
      <c r="O2975" s="5" t="s">
        <v>355</v>
      </c>
      <c r="P2975" s="5" t="s">
        <v>355</v>
      </c>
      <c r="Q2975" s="5" t="s">
        <v>355</v>
      </c>
    </row>
    <row r="2976" ht="16.5" customHeight="1">
      <c r="O2976" s="5" t="s">
        <v>355</v>
      </c>
      <c r="P2976" s="5" t="s">
        <v>355</v>
      </c>
      <c r="Q2976" s="5" t="s">
        <v>355</v>
      </c>
    </row>
    <row r="2977" ht="16.5" customHeight="1">
      <c r="O2977" s="5" t="s">
        <v>355</v>
      </c>
      <c r="P2977" s="5" t="s">
        <v>355</v>
      </c>
      <c r="Q2977" s="5" t="s">
        <v>355</v>
      </c>
    </row>
    <row r="2978" ht="16.5" customHeight="1">
      <c r="O2978" s="5" t="s">
        <v>355</v>
      </c>
      <c r="P2978" s="5" t="s">
        <v>355</v>
      </c>
      <c r="Q2978" s="5" t="s">
        <v>355</v>
      </c>
    </row>
    <row r="2979" ht="16.5" customHeight="1">
      <c r="O2979" s="5" t="s">
        <v>355</v>
      </c>
      <c r="P2979" s="5" t="s">
        <v>355</v>
      </c>
      <c r="Q2979" s="5" t="s">
        <v>355</v>
      </c>
    </row>
    <row r="2980" ht="16.5" customHeight="1">
      <c r="O2980" s="5" t="s">
        <v>355</v>
      </c>
      <c r="P2980" s="5" t="s">
        <v>355</v>
      </c>
      <c r="Q2980" s="5" t="s">
        <v>355</v>
      </c>
    </row>
    <row r="2981" ht="16.5" customHeight="1">
      <c r="O2981" s="5" t="s">
        <v>355</v>
      </c>
      <c r="P2981" s="5" t="s">
        <v>355</v>
      </c>
      <c r="Q2981" s="5" t="s">
        <v>355</v>
      </c>
    </row>
    <row r="2982" ht="16.5" customHeight="1">
      <c r="O2982" s="5" t="s">
        <v>355</v>
      </c>
      <c r="P2982" s="5" t="s">
        <v>355</v>
      </c>
      <c r="Q2982" s="5" t="s">
        <v>355</v>
      </c>
    </row>
    <row r="2983" ht="16.5" customHeight="1">
      <c r="O2983" s="5" t="s">
        <v>355</v>
      </c>
      <c r="P2983" s="5" t="s">
        <v>355</v>
      </c>
      <c r="Q2983" s="5" t="s">
        <v>355</v>
      </c>
    </row>
    <row r="2984" ht="16.5" customHeight="1">
      <c r="O2984" s="5" t="s">
        <v>355</v>
      </c>
      <c r="P2984" s="5" t="s">
        <v>355</v>
      </c>
      <c r="Q2984" s="5" t="s">
        <v>355</v>
      </c>
    </row>
    <row r="2985" ht="16.5" customHeight="1">
      <c r="O2985" s="5" t="s">
        <v>355</v>
      </c>
      <c r="P2985" s="5" t="s">
        <v>355</v>
      </c>
      <c r="Q2985" s="5" t="s">
        <v>355</v>
      </c>
    </row>
    <row r="2986" ht="16.5" customHeight="1">
      <c r="O2986" s="5" t="s">
        <v>355</v>
      </c>
      <c r="P2986" s="5" t="s">
        <v>355</v>
      </c>
      <c r="Q2986" s="5" t="s">
        <v>355</v>
      </c>
    </row>
    <row r="2987" ht="16.5" customHeight="1">
      <c r="O2987" s="5" t="s">
        <v>355</v>
      </c>
      <c r="P2987" s="5" t="s">
        <v>355</v>
      </c>
      <c r="Q2987" s="5" t="s">
        <v>355</v>
      </c>
    </row>
    <row r="2988" ht="16.5" customHeight="1">
      <c r="O2988" s="5" t="s">
        <v>355</v>
      </c>
      <c r="P2988" s="5" t="s">
        <v>355</v>
      </c>
      <c r="Q2988" s="5" t="s">
        <v>355</v>
      </c>
    </row>
    <row r="2989" ht="16.5" customHeight="1">
      <c r="O2989" s="5" t="s">
        <v>355</v>
      </c>
      <c r="P2989" s="5" t="s">
        <v>355</v>
      </c>
      <c r="Q2989" s="5" t="s">
        <v>355</v>
      </c>
    </row>
    <row r="2990" ht="16.5" customHeight="1">
      <c r="O2990" s="5" t="s">
        <v>355</v>
      </c>
      <c r="P2990" s="5" t="s">
        <v>355</v>
      </c>
      <c r="Q2990" s="5" t="s">
        <v>355</v>
      </c>
    </row>
    <row r="2991" ht="16.5" customHeight="1">
      <c r="O2991" s="5" t="s">
        <v>355</v>
      </c>
      <c r="P2991" s="5" t="s">
        <v>355</v>
      </c>
      <c r="Q2991" s="5" t="s">
        <v>355</v>
      </c>
    </row>
    <row r="2992" ht="16.5" customHeight="1">
      <c r="O2992" s="5" t="s">
        <v>355</v>
      </c>
      <c r="P2992" s="5" t="s">
        <v>355</v>
      </c>
      <c r="Q2992" s="5" t="s">
        <v>355</v>
      </c>
    </row>
    <row r="2993" ht="16.5" customHeight="1">
      <c r="O2993" s="5" t="s">
        <v>355</v>
      </c>
      <c r="P2993" s="5" t="s">
        <v>355</v>
      </c>
      <c r="Q2993" s="5" t="s">
        <v>355</v>
      </c>
    </row>
    <row r="2994" ht="16.5" customHeight="1">
      <c r="O2994" s="5" t="s">
        <v>355</v>
      </c>
      <c r="P2994" s="5" t="s">
        <v>355</v>
      </c>
      <c r="Q2994" s="5" t="s">
        <v>355</v>
      </c>
    </row>
    <row r="2995" ht="16.5" customHeight="1">
      <c r="O2995" s="5" t="s">
        <v>355</v>
      </c>
      <c r="P2995" s="5" t="s">
        <v>355</v>
      </c>
      <c r="Q2995" s="5" t="s">
        <v>355</v>
      </c>
    </row>
    <row r="2996" ht="16.5" customHeight="1">
      <c r="O2996" s="5" t="s">
        <v>355</v>
      </c>
      <c r="P2996" s="5" t="s">
        <v>355</v>
      </c>
      <c r="Q2996" s="5" t="s">
        <v>355</v>
      </c>
    </row>
    <row r="2997" ht="16.5" customHeight="1">
      <c r="O2997" s="5" t="s">
        <v>355</v>
      </c>
      <c r="P2997" s="5" t="s">
        <v>355</v>
      </c>
      <c r="Q2997" s="5" t="s">
        <v>355</v>
      </c>
    </row>
    <row r="2998" ht="16.5" customHeight="1">
      <c r="O2998" s="5" t="s">
        <v>355</v>
      </c>
      <c r="P2998" s="5" t="s">
        <v>355</v>
      </c>
      <c r="Q2998" s="5" t="s">
        <v>355</v>
      </c>
    </row>
    <row r="2999" ht="16.5" customHeight="1">
      <c r="O2999" s="5" t="s">
        <v>355</v>
      </c>
      <c r="P2999" s="5" t="s">
        <v>355</v>
      </c>
      <c r="Q2999" s="5" t="s">
        <v>355</v>
      </c>
    </row>
    <row r="3000" ht="16.5" customHeight="1">
      <c r="O3000" s="5" t="s">
        <v>355</v>
      </c>
      <c r="P3000" s="5" t="s">
        <v>355</v>
      </c>
      <c r="Q3000" s="5" t="s">
        <v>355</v>
      </c>
    </row>
    <row r="3001" ht="16.5" customHeight="1">
      <c r="O3001" s="5" t="s">
        <v>355</v>
      </c>
      <c r="P3001" s="5" t="s">
        <v>355</v>
      </c>
      <c r="Q3001" s="5" t="s">
        <v>355</v>
      </c>
    </row>
    <row r="3002" ht="16.5" customHeight="1">
      <c r="O3002" s="5" t="s">
        <v>355</v>
      </c>
      <c r="P3002" s="5" t="s">
        <v>355</v>
      </c>
      <c r="Q3002" s="5" t="s">
        <v>355</v>
      </c>
    </row>
    <row r="3003" ht="16.5" customHeight="1">
      <c r="O3003" s="5" t="s">
        <v>355</v>
      </c>
      <c r="P3003" s="5" t="s">
        <v>355</v>
      </c>
      <c r="Q3003" s="5" t="s">
        <v>355</v>
      </c>
    </row>
    <row r="3004" ht="16.5" customHeight="1">
      <c r="O3004" s="5" t="s">
        <v>355</v>
      </c>
      <c r="P3004" s="5" t="s">
        <v>355</v>
      </c>
      <c r="Q3004" s="5" t="s">
        <v>355</v>
      </c>
    </row>
    <row r="3005" ht="16.5" customHeight="1">
      <c r="O3005" s="5" t="s">
        <v>355</v>
      </c>
      <c r="P3005" s="5" t="s">
        <v>355</v>
      </c>
      <c r="Q3005" s="5" t="s">
        <v>355</v>
      </c>
    </row>
    <row r="3006" ht="16.5" customHeight="1">
      <c r="O3006" s="5" t="s">
        <v>355</v>
      </c>
      <c r="P3006" s="5" t="s">
        <v>355</v>
      </c>
      <c r="Q3006" s="5" t="s">
        <v>355</v>
      </c>
    </row>
    <row r="3007" ht="16.5" customHeight="1">
      <c r="O3007" s="5" t="s">
        <v>355</v>
      </c>
      <c r="P3007" s="5" t="s">
        <v>355</v>
      </c>
      <c r="Q3007" s="5" t="s">
        <v>355</v>
      </c>
    </row>
    <row r="3008" ht="16.5" customHeight="1">
      <c r="O3008" s="5" t="s">
        <v>355</v>
      </c>
      <c r="P3008" s="5" t="s">
        <v>355</v>
      </c>
      <c r="Q3008" s="5" t="s">
        <v>355</v>
      </c>
    </row>
    <row r="3009" ht="16.5" customHeight="1">
      <c r="O3009" s="5" t="s">
        <v>355</v>
      </c>
      <c r="P3009" s="5" t="s">
        <v>355</v>
      </c>
      <c r="Q3009" s="5" t="s">
        <v>355</v>
      </c>
    </row>
    <row r="3010" ht="16.5" customHeight="1">
      <c r="O3010" s="5" t="s">
        <v>355</v>
      </c>
      <c r="P3010" s="5" t="s">
        <v>355</v>
      </c>
      <c r="Q3010" s="5" t="s">
        <v>355</v>
      </c>
    </row>
    <row r="3011" ht="16.5" customHeight="1">
      <c r="O3011" s="5" t="s">
        <v>355</v>
      </c>
      <c r="P3011" s="5" t="s">
        <v>355</v>
      </c>
      <c r="Q3011" s="5" t="s">
        <v>355</v>
      </c>
    </row>
    <row r="3012" ht="16.5" customHeight="1">
      <c r="O3012" s="5" t="s">
        <v>355</v>
      </c>
      <c r="P3012" s="5" t="s">
        <v>355</v>
      </c>
      <c r="Q3012" s="5" t="s">
        <v>355</v>
      </c>
    </row>
    <row r="3013" ht="16.5" customHeight="1">
      <c r="O3013" s="5" t="s">
        <v>355</v>
      </c>
      <c r="P3013" s="5" t="s">
        <v>355</v>
      </c>
      <c r="Q3013" s="5" t="s">
        <v>355</v>
      </c>
    </row>
    <row r="3014" ht="16.5" customHeight="1">
      <c r="O3014" s="5" t="s">
        <v>355</v>
      </c>
      <c r="P3014" s="5" t="s">
        <v>355</v>
      </c>
      <c r="Q3014" s="5" t="s">
        <v>355</v>
      </c>
    </row>
    <row r="3015" ht="16.5" customHeight="1">
      <c r="O3015" s="5" t="s">
        <v>355</v>
      </c>
      <c r="P3015" s="5" t="s">
        <v>355</v>
      </c>
      <c r="Q3015" s="5" t="s">
        <v>355</v>
      </c>
    </row>
    <row r="3016" ht="16.5" customHeight="1">
      <c r="O3016" s="5" t="s">
        <v>355</v>
      </c>
      <c r="P3016" s="5" t="s">
        <v>355</v>
      </c>
      <c r="Q3016" s="5" t="s">
        <v>355</v>
      </c>
    </row>
    <row r="3017" ht="16.5" customHeight="1">
      <c r="O3017" s="5" t="s">
        <v>355</v>
      </c>
      <c r="P3017" s="5" t="s">
        <v>355</v>
      </c>
      <c r="Q3017" s="5" t="s">
        <v>355</v>
      </c>
    </row>
    <row r="3018" ht="16.5" customHeight="1">
      <c r="O3018" s="5" t="s">
        <v>355</v>
      </c>
      <c r="P3018" s="5" t="s">
        <v>355</v>
      </c>
      <c r="Q3018" s="5" t="s">
        <v>355</v>
      </c>
    </row>
    <row r="3019" ht="16.5" customHeight="1">
      <c r="O3019" s="5" t="s">
        <v>355</v>
      </c>
      <c r="P3019" s="5" t="s">
        <v>355</v>
      </c>
      <c r="Q3019" s="5" t="s">
        <v>355</v>
      </c>
    </row>
    <row r="3020" ht="16.5" customHeight="1">
      <c r="O3020" s="5" t="s">
        <v>355</v>
      </c>
      <c r="P3020" s="5" t="s">
        <v>355</v>
      </c>
      <c r="Q3020" s="5" t="s">
        <v>355</v>
      </c>
    </row>
    <row r="3021" ht="16.5" customHeight="1">
      <c r="O3021" s="5" t="s">
        <v>355</v>
      </c>
      <c r="P3021" s="5" t="s">
        <v>355</v>
      </c>
      <c r="Q3021" s="5" t="s">
        <v>355</v>
      </c>
    </row>
    <row r="3022" ht="16.5" customHeight="1">
      <c r="O3022" s="5" t="s">
        <v>355</v>
      </c>
      <c r="P3022" s="5" t="s">
        <v>355</v>
      </c>
      <c r="Q3022" s="5" t="s">
        <v>355</v>
      </c>
    </row>
    <row r="3023" ht="16.5" customHeight="1">
      <c r="O3023" s="5" t="s">
        <v>355</v>
      </c>
      <c r="P3023" s="5" t="s">
        <v>355</v>
      </c>
      <c r="Q3023" s="5" t="s">
        <v>355</v>
      </c>
    </row>
    <row r="3024" ht="16.5" customHeight="1">
      <c r="O3024" s="5" t="s">
        <v>355</v>
      </c>
      <c r="P3024" s="5" t="s">
        <v>355</v>
      </c>
      <c r="Q3024" s="5" t="s">
        <v>355</v>
      </c>
    </row>
    <row r="3025" ht="16.5" customHeight="1">
      <c r="O3025" s="5" t="s">
        <v>355</v>
      </c>
      <c r="P3025" s="5" t="s">
        <v>355</v>
      </c>
      <c r="Q3025" s="5" t="s">
        <v>355</v>
      </c>
    </row>
    <row r="3026" ht="16.5" customHeight="1">
      <c r="O3026" s="5" t="s">
        <v>355</v>
      </c>
      <c r="P3026" s="5" t="s">
        <v>355</v>
      </c>
      <c r="Q3026" s="5" t="s">
        <v>355</v>
      </c>
    </row>
    <row r="3027" ht="16.5" customHeight="1">
      <c r="O3027" s="5" t="s">
        <v>355</v>
      </c>
      <c r="P3027" s="5" t="s">
        <v>355</v>
      </c>
      <c r="Q3027" s="5" t="s">
        <v>355</v>
      </c>
    </row>
    <row r="3028" ht="16.5" customHeight="1">
      <c r="O3028" s="5" t="s">
        <v>355</v>
      </c>
      <c r="P3028" s="5" t="s">
        <v>355</v>
      </c>
      <c r="Q3028" s="5" t="s">
        <v>355</v>
      </c>
    </row>
    <row r="3029" ht="16.5" customHeight="1">
      <c r="O3029" s="5" t="s">
        <v>355</v>
      </c>
      <c r="P3029" s="5" t="s">
        <v>355</v>
      </c>
      <c r="Q3029" s="5" t="s">
        <v>355</v>
      </c>
    </row>
    <row r="3030" ht="16.5" customHeight="1">
      <c r="O3030" s="5" t="s">
        <v>355</v>
      </c>
      <c r="P3030" s="5" t="s">
        <v>355</v>
      </c>
      <c r="Q3030" s="5" t="s">
        <v>355</v>
      </c>
    </row>
    <row r="3031" ht="16.5" customHeight="1">
      <c r="O3031" s="5" t="s">
        <v>355</v>
      </c>
      <c r="P3031" s="5" t="s">
        <v>355</v>
      </c>
      <c r="Q3031" s="5" t="s">
        <v>355</v>
      </c>
    </row>
    <row r="3032" ht="16.5" customHeight="1">
      <c r="O3032" s="5" t="s">
        <v>355</v>
      </c>
      <c r="P3032" s="5" t="s">
        <v>355</v>
      </c>
      <c r="Q3032" s="5" t="s">
        <v>355</v>
      </c>
    </row>
    <row r="3033" ht="16.5" customHeight="1">
      <c r="O3033" s="5" t="s">
        <v>355</v>
      </c>
      <c r="P3033" s="5" t="s">
        <v>355</v>
      </c>
      <c r="Q3033" s="5" t="s">
        <v>355</v>
      </c>
    </row>
    <row r="3034" ht="16.5" customHeight="1">
      <c r="O3034" s="5" t="s">
        <v>355</v>
      </c>
      <c r="P3034" s="5" t="s">
        <v>355</v>
      </c>
      <c r="Q3034" s="5" t="s">
        <v>355</v>
      </c>
    </row>
    <row r="3035" ht="16.5" customHeight="1">
      <c r="O3035" s="5" t="s">
        <v>355</v>
      </c>
      <c r="P3035" s="5" t="s">
        <v>355</v>
      </c>
      <c r="Q3035" s="5" t="s">
        <v>355</v>
      </c>
    </row>
    <row r="3036" ht="16.5" customHeight="1">
      <c r="O3036" s="5" t="s">
        <v>355</v>
      </c>
      <c r="P3036" s="5" t="s">
        <v>355</v>
      </c>
      <c r="Q3036" s="5" t="s">
        <v>355</v>
      </c>
    </row>
    <row r="3037" ht="16.5" customHeight="1">
      <c r="O3037" s="5" t="s">
        <v>355</v>
      </c>
      <c r="P3037" s="5" t="s">
        <v>355</v>
      </c>
      <c r="Q3037" s="5" t="s">
        <v>355</v>
      </c>
    </row>
    <row r="3038" ht="16.5" customHeight="1">
      <c r="O3038" s="5" t="s">
        <v>355</v>
      </c>
      <c r="P3038" s="5" t="s">
        <v>355</v>
      </c>
      <c r="Q3038" s="5" t="s">
        <v>355</v>
      </c>
    </row>
    <row r="3039" ht="16.5" customHeight="1">
      <c r="O3039" s="5" t="s">
        <v>355</v>
      </c>
      <c r="P3039" s="5" t="s">
        <v>355</v>
      </c>
      <c r="Q3039" s="5" t="s">
        <v>355</v>
      </c>
    </row>
    <row r="3040" ht="16.5" customHeight="1">
      <c r="O3040" s="5" t="s">
        <v>355</v>
      </c>
      <c r="P3040" s="5" t="s">
        <v>355</v>
      </c>
      <c r="Q3040" s="5" t="s">
        <v>355</v>
      </c>
    </row>
    <row r="3041" ht="16.5" customHeight="1">
      <c r="O3041" s="5" t="s">
        <v>355</v>
      </c>
      <c r="P3041" s="5" t="s">
        <v>355</v>
      </c>
      <c r="Q3041" s="5" t="s">
        <v>355</v>
      </c>
    </row>
    <row r="3042" ht="16.5" customHeight="1">
      <c r="O3042" s="5" t="s">
        <v>355</v>
      </c>
      <c r="P3042" s="5" t="s">
        <v>355</v>
      </c>
      <c r="Q3042" s="5" t="s">
        <v>355</v>
      </c>
    </row>
    <row r="3043" ht="16.5" customHeight="1">
      <c r="O3043" s="5" t="s">
        <v>355</v>
      </c>
      <c r="P3043" s="5" t="s">
        <v>355</v>
      </c>
      <c r="Q3043" s="5" t="s">
        <v>355</v>
      </c>
    </row>
    <row r="3044" ht="16.5" customHeight="1">
      <c r="O3044" s="5" t="s">
        <v>355</v>
      </c>
      <c r="P3044" s="5" t="s">
        <v>355</v>
      </c>
      <c r="Q3044" s="5" t="s">
        <v>355</v>
      </c>
    </row>
    <row r="3045" ht="16.5" customHeight="1">
      <c r="O3045" s="5" t="s">
        <v>355</v>
      </c>
      <c r="P3045" s="5" t="s">
        <v>355</v>
      </c>
      <c r="Q3045" s="5" t="s">
        <v>355</v>
      </c>
    </row>
    <row r="3046" ht="16.5" customHeight="1">
      <c r="O3046" s="5" t="s">
        <v>355</v>
      </c>
      <c r="P3046" s="5" t="s">
        <v>355</v>
      </c>
      <c r="Q3046" s="5" t="s">
        <v>355</v>
      </c>
    </row>
    <row r="3047" ht="16.5" customHeight="1">
      <c r="O3047" s="5" t="s">
        <v>355</v>
      </c>
      <c r="P3047" s="5" t="s">
        <v>355</v>
      </c>
      <c r="Q3047" s="5" t="s">
        <v>355</v>
      </c>
    </row>
    <row r="3048" ht="16.5" customHeight="1">
      <c r="O3048" s="5" t="s">
        <v>355</v>
      </c>
      <c r="P3048" s="5" t="s">
        <v>355</v>
      </c>
      <c r="Q3048" s="5" t="s">
        <v>355</v>
      </c>
    </row>
    <row r="3049" ht="16.5" customHeight="1">
      <c r="O3049" s="5" t="s">
        <v>355</v>
      </c>
      <c r="P3049" s="5" t="s">
        <v>355</v>
      </c>
      <c r="Q3049" s="5" t="s">
        <v>355</v>
      </c>
    </row>
    <row r="3050" ht="16.5" customHeight="1">
      <c r="O3050" s="5" t="s">
        <v>355</v>
      </c>
      <c r="P3050" s="5" t="s">
        <v>355</v>
      </c>
      <c r="Q3050" s="5" t="s">
        <v>355</v>
      </c>
    </row>
    <row r="3051" ht="16.5" customHeight="1">
      <c r="O3051" s="5" t="s">
        <v>355</v>
      </c>
      <c r="P3051" s="5" t="s">
        <v>355</v>
      </c>
      <c r="Q3051" s="5" t="s">
        <v>355</v>
      </c>
    </row>
    <row r="3052" ht="16.5" customHeight="1">
      <c r="O3052" s="5" t="s">
        <v>355</v>
      </c>
      <c r="P3052" s="5" t="s">
        <v>355</v>
      </c>
      <c r="Q3052" s="5" t="s">
        <v>355</v>
      </c>
    </row>
    <row r="3053" ht="16.5" customHeight="1">
      <c r="O3053" s="5" t="s">
        <v>355</v>
      </c>
      <c r="P3053" s="5" t="s">
        <v>355</v>
      </c>
      <c r="Q3053" s="5" t="s">
        <v>355</v>
      </c>
    </row>
    <row r="3054" ht="16.5" customHeight="1">
      <c r="O3054" s="5" t="s">
        <v>355</v>
      </c>
      <c r="P3054" s="5" t="s">
        <v>355</v>
      </c>
      <c r="Q3054" s="5" t="s">
        <v>355</v>
      </c>
    </row>
    <row r="3055" ht="16.5" customHeight="1">
      <c r="O3055" s="5" t="s">
        <v>355</v>
      </c>
      <c r="P3055" s="5" t="s">
        <v>355</v>
      </c>
      <c r="Q3055" s="5" t="s">
        <v>355</v>
      </c>
    </row>
    <row r="3056" ht="16.5" customHeight="1">
      <c r="O3056" s="5" t="s">
        <v>355</v>
      </c>
      <c r="P3056" s="5" t="s">
        <v>355</v>
      </c>
      <c r="Q3056" s="5" t="s">
        <v>355</v>
      </c>
    </row>
    <row r="3057" ht="16.5" customHeight="1">
      <c r="O3057" s="5" t="s">
        <v>355</v>
      </c>
      <c r="P3057" s="5" t="s">
        <v>355</v>
      </c>
      <c r="Q3057" s="5" t="s">
        <v>355</v>
      </c>
    </row>
    <row r="3058" ht="16.5" customHeight="1">
      <c r="O3058" s="5" t="s">
        <v>355</v>
      </c>
      <c r="P3058" s="5" t="s">
        <v>355</v>
      </c>
      <c r="Q3058" s="5" t="s">
        <v>355</v>
      </c>
    </row>
    <row r="3059" ht="16.5" customHeight="1">
      <c r="O3059" s="5" t="s">
        <v>355</v>
      </c>
      <c r="P3059" s="5" t="s">
        <v>355</v>
      </c>
      <c r="Q3059" s="5" t="s">
        <v>355</v>
      </c>
    </row>
    <row r="3060" ht="16.5" customHeight="1">
      <c r="O3060" s="5" t="s">
        <v>355</v>
      </c>
      <c r="P3060" s="5" t="s">
        <v>355</v>
      </c>
      <c r="Q3060" s="5" t="s">
        <v>355</v>
      </c>
    </row>
    <row r="3061" ht="16.5" customHeight="1">
      <c r="O3061" s="5" t="s">
        <v>355</v>
      </c>
      <c r="P3061" s="5" t="s">
        <v>355</v>
      </c>
      <c r="Q3061" s="5" t="s">
        <v>355</v>
      </c>
    </row>
    <row r="3062" ht="16.5" customHeight="1">
      <c r="O3062" s="5" t="s">
        <v>355</v>
      </c>
      <c r="P3062" s="5" t="s">
        <v>355</v>
      </c>
      <c r="Q3062" s="5" t="s">
        <v>355</v>
      </c>
    </row>
    <row r="3063" ht="16.5" customHeight="1">
      <c r="O3063" s="5" t="s">
        <v>355</v>
      </c>
      <c r="P3063" s="5" t="s">
        <v>355</v>
      </c>
      <c r="Q3063" s="5" t="s">
        <v>355</v>
      </c>
    </row>
    <row r="3064" ht="16.5" customHeight="1">
      <c r="O3064" s="5" t="s">
        <v>355</v>
      </c>
      <c r="P3064" s="5" t="s">
        <v>355</v>
      </c>
      <c r="Q3064" s="5" t="s">
        <v>355</v>
      </c>
    </row>
    <row r="3065" ht="16.5" customHeight="1">
      <c r="O3065" s="5" t="s">
        <v>355</v>
      </c>
      <c r="P3065" s="5" t="s">
        <v>355</v>
      </c>
      <c r="Q3065" s="5" t="s">
        <v>355</v>
      </c>
    </row>
    <row r="3066" ht="16.5" customHeight="1">
      <c r="O3066" s="5" t="s">
        <v>355</v>
      </c>
      <c r="P3066" s="5" t="s">
        <v>355</v>
      </c>
      <c r="Q3066" s="5" t="s">
        <v>355</v>
      </c>
    </row>
    <row r="3067" ht="16.5" customHeight="1">
      <c r="O3067" s="5" t="s">
        <v>355</v>
      </c>
      <c r="P3067" s="5" t="s">
        <v>355</v>
      </c>
      <c r="Q3067" s="5" t="s">
        <v>355</v>
      </c>
    </row>
    <row r="3068" ht="16.5" customHeight="1">
      <c r="O3068" s="5" t="s">
        <v>355</v>
      </c>
      <c r="P3068" s="5" t="s">
        <v>355</v>
      </c>
      <c r="Q3068" s="5" t="s">
        <v>355</v>
      </c>
    </row>
    <row r="3069" ht="16.5" customHeight="1">
      <c r="O3069" s="5" t="s">
        <v>355</v>
      </c>
      <c r="P3069" s="5" t="s">
        <v>355</v>
      </c>
      <c r="Q3069" s="5" t="s">
        <v>355</v>
      </c>
    </row>
    <row r="3070" ht="16.5" customHeight="1">
      <c r="O3070" s="5" t="s">
        <v>355</v>
      </c>
      <c r="P3070" s="5" t="s">
        <v>355</v>
      </c>
      <c r="Q3070" s="5" t="s">
        <v>355</v>
      </c>
    </row>
    <row r="3071" ht="16.5" customHeight="1">
      <c r="O3071" s="5" t="s">
        <v>355</v>
      </c>
      <c r="P3071" s="5" t="s">
        <v>355</v>
      </c>
      <c r="Q3071" s="5" t="s">
        <v>355</v>
      </c>
    </row>
    <row r="3072" ht="16.5" customHeight="1">
      <c r="O3072" s="5" t="s">
        <v>355</v>
      </c>
      <c r="P3072" s="5" t="s">
        <v>355</v>
      </c>
      <c r="Q3072" s="5" t="s">
        <v>355</v>
      </c>
    </row>
    <row r="3073" ht="16.5" customHeight="1">
      <c r="O3073" s="5" t="s">
        <v>355</v>
      </c>
      <c r="P3073" s="5" t="s">
        <v>355</v>
      </c>
      <c r="Q3073" s="5" t="s">
        <v>355</v>
      </c>
    </row>
    <row r="3074" ht="16.5" customHeight="1">
      <c r="O3074" s="5" t="s">
        <v>355</v>
      </c>
      <c r="P3074" s="5" t="s">
        <v>355</v>
      </c>
      <c r="Q3074" s="5" t="s">
        <v>355</v>
      </c>
    </row>
    <row r="3075" ht="16.5" customHeight="1">
      <c r="O3075" s="5" t="s">
        <v>355</v>
      </c>
      <c r="P3075" s="5" t="s">
        <v>355</v>
      </c>
      <c r="Q3075" s="5" t="s">
        <v>355</v>
      </c>
    </row>
    <row r="3076" ht="16.5" customHeight="1">
      <c r="O3076" s="5" t="s">
        <v>355</v>
      </c>
      <c r="P3076" s="5" t="s">
        <v>355</v>
      </c>
      <c r="Q3076" s="5" t="s">
        <v>355</v>
      </c>
    </row>
    <row r="3077" ht="16.5" customHeight="1">
      <c r="O3077" s="5" t="s">
        <v>355</v>
      </c>
      <c r="P3077" s="5" t="s">
        <v>355</v>
      </c>
      <c r="Q3077" s="5" t="s">
        <v>355</v>
      </c>
    </row>
    <row r="3078" ht="16.5" customHeight="1">
      <c r="O3078" s="5" t="s">
        <v>355</v>
      </c>
      <c r="P3078" s="5" t="s">
        <v>355</v>
      </c>
      <c r="Q3078" s="5" t="s">
        <v>355</v>
      </c>
    </row>
    <row r="3079" ht="16.5" customHeight="1">
      <c r="O3079" s="5" t="s">
        <v>355</v>
      </c>
      <c r="P3079" s="5" t="s">
        <v>355</v>
      </c>
      <c r="Q3079" s="5" t="s">
        <v>355</v>
      </c>
    </row>
    <row r="3080" ht="16.5" customHeight="1">
      <c r="O3080" s="5" t="s">
        <v>355</v>
      </c>
      <c r="P3080" s="5" t="s">
        <v>355</v>
      </c>
      <c r="Q3080" s="5" t="s">
        <v>355</v>
      </c>
    </row>
    <row r="3081" ht="16.5" customHeight="1">
      <c r="O3081" s="5" t="s">
        <v>355</v>
      </c>
      <c r="P3081" s="5" t="s">
        <v>355</v>
      </c>
      <c r="Q3081" s="5" t="s">
        <v>355</v>
      </c>
    </row>
    <row r="3082" ht="16.5" customHeight="1">
      <c r="O3082" s="5" t="s">
        <v>355</v>
      </c>
      <c r="P3082" s="5" t="s">
        <v>355</v>
      </c>
      <c r="Q3082" s="5" t="s">
        <v>355</v>
      </c>
    </row>
    <row r="3083" ht="16.5" customHeight="1">
      <c r="O3083" s="5" t="s">
        <v>355</v>
      </c>
      <c r="P3083" s="5" t="s">
        <v>355</v>
      </c>
      <c r="Q3083" s="5" t="s">
        <v>355</v>
      </c>
    </row>
    <row r="3084" ht="16.5" customHeight="1">
      <c r="O3084" s="5" t="s">
        <v>355</v>
      </c>
      <c r="P3084" s="5" t="s">
        <v>355</v>
      </c>
      <c r="Q3084" s="5" t="s">
        <v>355</v>
      </c>
    </row>
    <row r="3085" ht="16.5" customHeight="1">
      <c r="O3085" s="5" t="s">
        <v>355</v>
      </c>
      <c r="P3085" s="5" t="s">
        <v>355</v>
      </c>
      <c r="Q3085" s="5" t="s">
        <v>355</v>
      </c>
    </row>
    <row r="3086" ht="16.5" customHeight="1">
      <c r="O3086" s="5" t="s">
        <v>355</v>
      </c>
      <c r="P3086" s="5" t="s">
        <v>355</v>
      </c>
      <c r="Q3086" s="5" t="s">
        <v>355</v>
      </c>
    </row>
    <row r="3087" ht="16.5" customHeight="1">
      <c r="O3087" s="5" t="s">
        <v>355</v>
      </c>
      <c r="P3087" s="5" t="s">
        <v>355</v>
      </c>
      <c r="Q3087" s="5" t="s">
        <v>355</v>
      </c>
    </row>
    <row r="3088" ht="16.5" customHeight="1">
      <c r="O3088" s="5" t="s">
        <v>355</v>
      </c>
      <c r="P3088" s="5" t="s">
        <v>355</v>
      </c>
      <c r="Q3088" s="5" t="s">
        <v>355</v>
      </c>
    </row>
    <row r="3089" ht="16.5" customHeight="1">
      <c r="O3089" s="5" t="s">
        <v>355</v>
      </c>
      <c r="P3089" s="5" t="s">
        <v>355</v>
      </c>
      <c r="Q3089" s="5" t="s">
        <v>355</v>
      </c>
    </row>
    <row r="3090" ht="16.5" customHeight="1">
      <c r="O3090" s="5" t="s">
        <v>355</v>
      </c>
      <c r="P3090" s="5" t="s">
        <v>355</v>
      </c>
      <c r="Q3090" s="5" t="s">
        <v>355</v>
      </c>
    </row>
    <row r="3091" ht="16.5" customHeight="1">
      <c r="O3091" s="5" t="s">
        <v>355</v>
      </c>
      <c r="P3091" s="5" t="s">
        <v>355</v>
      </c>
      <c r="Q3091" s="5" t="s">
        <v>355</v>
      </c>
    </row>
    <row r="3092" ht="16.5" customHeight="1">
      <c r="O3092" s="5" t="s">
        <v>355</v>
      </c>
      <c r="P3092" s="5" t="s">
        <v>355</v>
      </c>
      <c r="Q3092" s="5" t="s">
        <v>355</v>
      </c>
    </row>
    <row r="3093" ht="16.5" customHeight="1">
      <c r="O3093" s="5" t="s">
        <v>355</v>
      </c>
      <c r="P3093" s="5" t="s">
        <v>355</v>
      </c>
      <c r="Q3093" s="5" t="s">
        <v>355</v>
      </c>
    </row>
    <row r="3094" ht="16.5" customHeight="1">
      <c r="O3094" s="5" t="s">
        <v>355</v>
      </c>
      <c r="P3094" s="5" t="s">
        <v>355</v>
      </c>
      <c r="Q3094" s="5" t="s">
        <v>355</v>
      </c>
    </row>
    <row r="3095" ht="16.5" customHeight="1">
      <c r="O3095" s="5" t="s">
        <v>355</v>
      </c>
      <c r="P3095" s="5" t="s">
        <v>355</v>
      </c>
      <c r="Q3095" s="5" t="s">
        <v>355</v>
      </c>
    </row>
    <row r="3096" ht="16.5" customHeight="1">
      <c r="O3096" s="5" t="s">
        <v>355</v>
      </c>
      <c r="P3096" s="5" t="s">
        <v>355</v>
      </c>
      <c r="Q3096" s="5" t="s">
        <v>355</v>
      </c>
    </row>
    <row r="3097" ht="16.5" customHeight="1">
      <c r="O3097" s="5" t="s">
        <v>355</v>
      </c>
      <c r="P3097" s="5" t="s">
        <v>355</v>
      </c>
      <c r="Q3097" s="5" t="s">
        <v>355</v>
      </c>
    </row>
    <row r="3098" ht="16.5" customHeight="1">
      <c r="O3098" s="5" t="s">
        <v>355</v>
      </c>
      <c r="P3098" s="5" t="s">
        <v>355</v>
      </c>
      <c r="Q3098" s="5" t="s">
        <v>355</v>
      </c>
    </row>
    <row r="3099" ht="16.5" customHeight="1">
      <c r="O3099" s="5" t="s">
        <v>355</v>
      </c>
      <c r="P3099" s="5" t="s">
        <v>355</v>
      </c>
      <c r="Q3099" s="5" t="s">
        <v>355</v>
      </c>
    </row>
    <row r="3100" ht="16.5" customHeight="1">
      <c r="O3100" s="5" t="s">
        <v>355</v>
      </c>
      <c r="P3100" s="5" t="s">
        <v>355</v>
      </c>
      <c r="Q3100" s="5" t="s">
        <v>355</v>
      </c>
    </row>
    <row r="3101" ht="16.5" customHeight="1">
      <c r="O3101" s="5" t="s">
        <v>355</v>
      </c>
      <c r="P3101" s="5" t="s">
        <v>355</v>
      </c>
      <c r="Q3101" s="5" t="s">
        <v>355</v>
      </c>
    </row>
    <row r="3102" ht="16.5" customHeight="1">
      <c r="O3102" s="5" t="s">
        <v>355</v>
      </c>
      <c r="P3102" s="5" t="s">
        <v>355</v>
      </c>
      <c r="Q3102" s="5" t="s">
        <v>355</v>
      </c>
    </row>
    <row r="3103" ht="16.5" customHeight="1">
      <c r="O3103" s="5" t="s">
        <v>355</v>
      </c>
      <c r="P3103" s="5" t="s">
        <v>355</v>
      </c>
      <c r="Q3103" s="5" t="s">
        <v>355</v>
      </c>
    </row>
    <row r="3104" ht="16.5" customHeight="1">
      <c r="O3104" s="5" t="s">
        <v>355</v>
      </c>
      <c r="P3104" s="5" t="s">
        <v>355</v>
      </c>
      <c r="Q3104" s="5" t="s">
        <v>355</v>
      </c>
    </row>
    <row r="3105" ht="16.5" customHeight="1">
      <c r="O3105" s="5" t="s">
        <v>355</v>
      </c>
      <c r="P3105" s="5" t="s">
        <v>355</v>
      </c>
      <c r="Q3105" s="5" t="s">
        <v>355</v>
      </c>
    </row>
    <row r="3106" ht="16.5" customHeight="1">
      <c r="O3106" s="5" t="s">
        <v>355</v>
      </c>
      <c r="P3106" s="5" t="s">
        <v>355</v>
      </c>
      <c r="Q3106" s="5" t="s">
        <v>355</v>
      </c>
    </row>
    <row r="3107" ht="16.5" customHeight="1">
      <c r="O3107" s="5" t="s">
        <v>355</v>
      </c>
      <c r="P3107" s="5" t="s">
        <v>355</v>
      </c>
      <c r="Q3107" s="5" t="s">
        <v>355</v>
      </c>
    </row>
    <row r="3108" ht="16.5" customHeight="1">
      <c r="O3108" s="5" t="s">
        <v>355</v>
      </c>
      <c r="P3108" s="5" t="s">
        <v>355</v>
      </c>
      <c r="Q3108" s="5" t="s">
        <v>355</v>
      </c>
    </row>
    <row r="3109" ht="16.5" customHeight="1">
      <c r="O3109" s="5" t="s">
        <v>355</v>
      </c>
      <c r="P3109" s="5" t="s">
        <v>355</v>
      </c>
      <c r="Q3109" s="5" t="s">
        <v>355</v>
      </c>
    </row>
    <row r="3110" ht="16.5" customHeight="1">
      <c r="O3110" s="5" t="s">
        <v>355</v>
      </c>
      <c r="P3110" s="5" t="s">
        <v>355</v>
      </c>
      <c r="Q3110" s="5" t="s">
        <v>355</v>
      </c>
    </row>
    <row r="3111" ht="16.5" customHeight="1">
      <c r="O3111" s="5" t="s">
        <v>355</v>
      </c>
      <c r="P3111" s="5" t="s">
        <v>355</v>
      </c>
      <c r="Q3111" s="5" t="s">
        <v>355</v>
      </c>
    </row>
    <row r="3112" ht="16.5" customHeight="1">
      <c r="O3112" s="5" t="s">
        <v>355</v>
      </c>
      <c r="P3112" s="5" t="s">
        <v>355</v>
      </c>
      <c r="Q3112" s="5" t="s">
        <v>355</v>
      </c>
    </row>
    <row r="3113" ht="16.5" customHeight="1">
      <c r="O3113" s="5" t="s">
        <v>355</v>
      </c>
      <c r="P3113" s="5" t="s">
        <v>355</v>
      </c>
      <c r="Q3113" s="5" t="s">
        <v>355</v>
      </c>
    </row>
    <row r="3114" ht="16.5" customHeight="1">
      <c r="O3114" s="5" t="s">
        <v>355</v>
      </c>
      <c r="P3114" s="5" t="s">
        <v>355</v>
      </c>
      <c r="Q3114" s="5" t="s">
        <v>355</v>
      </c>
    </row>
    <row r="3115" ht="16.5" customHeight="1">
      <c r="O3115" s="5" t="s">
        <v>355</v>
      </c>
      <c r="P3115" s="5" t="s">
        <v>355</v>
      </c>
      <c r="Q3115" s="5" t="s">
        <v>355</v>
      </c>
    </row>
    <row r="3116" ht="16.5" customHeight="1">
      <c r="O3116" s="5" t="s">
        <v>355</v>
      </c>
      <c r="P3116" s="5" t="s">
        <v>355</v>
      </c>
      <c r="Q3116" s="5" t="s">
        <v>355</v>
      </c>
    </row>
    <row r="3117" ht="16.5" customHeight="1">
      <c r="O3117" s="5" t="s">
        <v>355</v>
      </c>
      <c r="P3117" s="5" t="s">
        <v>355</v>
      </c>
      <c r="Q3117" s="5" t="s">
        <v>355</v>
      </c>
    </row>
    <row r="3118" ht="16.5" customHeight="1">
      <c r="O3118" s="5" t="s">
        <v>355</v>
      </c>
      <c r="P3118" s="5" t="s">
        <v>355</v>
      </c>
      <c r="Q3118" s="5" t="s">
        <v>355</v>
      </c>
    </row>
    <row r="3119" ht="16.5" customHeight="1">
      <c r="O3119" s="5" t="s">
        <v>355</v>
      </c>
      <c r="P3119" s="5" t="s">
        <v>355</v>
      </c>
      <c r="Q3119" s="5" t="s">
        <v>355</v>
      </c>
    </row>
    <row r="3120" ht="16.5" customHeight="1">
      <c r="O3120" s="5" t="s">
        <v>355</v>
      </c>
      <c r="P3120" s="5" t="s">
        <v>355</v>
      </c>
      <c r="Q3120" s="5" t="s">
        <v>355</v>
      </c>
    </row>
    <row r="3121" ht="16.5" customHeight="1">
      <c r="O3121" s="5" t="s">
        <v>355</v>
      </c>
      <c r="P3121" s="5" t="s">
        <v>355</v>
      </c>
      <c r="Q3121" s="5" t="s">
        <v>355</v>
      </c>
    </row>
    <row r="3122" ht="16.5" customHeight="1">
      <c r="O3122" s="5" t="s">
        <v>355</v>
      </c>
      <c r="P3122" s="5" t="s">
        <v>355</v>
      </c>
      <c r="Q3122" s="5" t="s">
        <v>355</v>
      </c>
    </row>
    <row r="3123" ht="16.5" customHeight="1">
      <c r="O3123" s="5" t="s">
        <v>355</v>
      </c>
      <c r="P3123" s="5" t="s">
        <v>355</v>
      </c>
      <c r="Q3123" s="5" t="s">
        <v>355</v>
      </c>
    </row>
    <row r="3124" ht="16.5" customHeight="1">
      <c r="O3124" s="5" t="s">
        <v>355</v>
      </c>
      <c r="P3124" s="5" t="s">
        <v>355</v>
      </c>
      <c r="Q3124" s="5" t="s">
        <v>355</v>
      </c>
    </row>
    <row r="3125" ht="16.5" customHeight="1">
      <c r="O3125" s="5" t="s">
        <v>355</v>
      </c>
      <c r="P3125" s="5" t="s">
        <v>355</v>
      </c>
      <c r="Q3125" s="5" t="s">
        <v>355</v>
      </c>
    </row>
    <row r="3126" ht="16.5" customHeight="1">
      <c r="O3126" s="5" t="s">
        <v>355</v>
      </c>
      <c r="P3126" s="5" t="s">
        <v>355</v>
      </c>
      <c r="Q3126" s="5" t="s">
        <v>355</v>
      </c>
    </row>
    <row r="3127" ht="16.5" customHeight="1">
      <c r="O3127" s="5" t="s">
        <v>355</v>
      </c>
      <c r="P3127" s="5" t="s">
        <v>355</v>
      </c>
      <c r="Q3127" s="5" t="s">
        <v>355</v>
      </c>
    </row>
    <row r="3128" ht="16.5" customHeight="1">
      <c r="O3128" s="5" t="s">
        <v>355</v>
      </c>
      <c r="P3128" s="5" t="s">
        <v>355</v>
      </c>
      <c r="Q3128" s="5" t="s">
        <v>355</v>
      </c>
    </row>
    <row r="3129" ht="16.5" customHeight="1">
      <c r="O3129" s="5" t="s">
        <v>355</v>
      </c>
      <c r="P3129" s="5" t="s">
        <v>355</v>
      </c>
      <c r="Q3129" s="5" t="s">
        <v>355</v>
      </c>
    </row>
    <row r="3130" ht="16.5" customHeight="1">
      <c r="O3130" s="5" t="s">
        <v>355</v>
      </c>
      <c r="P3130" s="5" t="s">
        <v>355</v>
      </c>
      <c r="Q3130" s="5" t="s">
        <v>355</v>
      </c>
    </row>
    <row r="3131" ht="16.5" customHeight="1">
      <c r="O3131" s="5" t="s">
        <v>355</v>
      </c>
      <c r="P3131" s="5" t="s">
        <v>355</v>
      </c>
      <c r="Q3131" s="5" t="s">
        <v>355</v>
      </c>
    </row>
    <row r="3132" ht="16.5" customHeight="1">
      <c r="O3132" s="5" t="s">
        <v>355</v>
      </c>
      <c r="P3132" s="5" t="s">
        <v>355</v>
      </c>
      <c r="Q3132" s="5" t="s">
        <v>355</v>
      </c>
    </row>
    <row r="3133" ht="16.5" customHeight="1">
      <c r="O3133" s="5" t="s">
        <v>355</v>
      </c>
      <c r="P3133" s="5" t="s">
        <v>355</v>
      </c>
      <c r="Q3133" s="5" t="s">
        <v>355</v>
      </c>
    </row>
    <row r="3134" ht="16.5" customHeight="1">
      <c r="O3134" s="5" t="s">
        <v>355</v>
      </c>
      <c r="P3134" s="5" t="s">
        <v>355</v>
      </c>
      <c r="Q3134" s="5" t="s">
        <v>355</v>
      </c>
    </row>
    <row r="3135" ht="16.5" customHeight="1">
      <c r="O3135" s="5" t="s">
        <v>355</v>
      </c>
      <c r="P3135" s="5" t="s">
        <v>355</v>
      </c>
      <c r="Q3135" s="5" t="s">
        <v>355</v>
      </c>
    </row>
    <row r="3136" ht="16.5" customHeight="1">
      <c r="O3136" s="5" t="s">
        <v>355</v>
      </c>
      <c r="P3136" s="5" t="s">
        <v>355</v>
      </c>
      <c r="Q3136" s="5" t="s">
        <v>355</v>
      </c>
    </row>
    <row r="3137" ht="16.5" customHeight="1">
      <c r="O3137" s="5" t="s">
        <v>355</v>
      </c>
      <c r="P3137" s="5" t="s">
        <v>355</v>
      </c>
      <c r="Q3137" s="5" t="s">
        <v>355</v>
      </c>
    </row>
    <row r="3138" ht="16.5" customHeight="1">
      <c r="O3138" s="5" t="s">
        <v>355</v>
      </c>
      <c r="P3138" s="5" t="s">
        <v>355</v>
      </c>
      <c r="Q3138" s="5" t="s">
        <v>355</v>
      </c>
    </row>
    <row r="3139" ht="16.5" customHeight="1">
      <c r="O3139" s="5" t="s">
        <v>355</v>
      </c>
      <c r="P3139" s="5" t="s">
        <v>355</v>
      </c>
      <c r="Q3139" s="5" t="s">
        <v>355</v>
      </c>
    </row>
    <row r="3140" ht="16.5" customHeight="1">
      <c r="O3140" s="5" t="s">
        <v>355</v>
      </c>
      <c r="P3140" s="5" t="s">
        <v>355</v>
      </c>
      <c r="Q3140" s="5" t="s">
        <v>355</v>
      </c>
    </row>
    <row r="3141" ht="16.5" customHeight="1">
      <c r="O3141" s="5" t="s">
        <v>355</v>
      </c>
      <c r="P3141" s="5" t="s">
        <v>355</v>
      </c>
      <c r="Q3141" s="5" t="s">
        <v>355</v>
      </c>
    </row>
    <row r="3142" ht="16.5" customHeight="1">
      <c r="O3142" s="5" t="s">
        <v>355</v>
      </c>
      <c r="P3142" s="5" t="s">
        <v>355</v>
      </c>
      <c r="Q3142" s="5" t="s">
        <v>355</v>
      </c>
    </row>
    <row r="3143" ht="16.5" customHeight="1">
      <c r="O3143" s="5" t="s">
        <v>355</v>
      </c>
      <c r="P3143" s="5" t="s">
        <v>355</v>
      </c>
      <c r="Q3143" s="5" t="s">
        <v>355</v>
      </c>
    </row>
    <row r="3144" ht="16.5" customHeight="1">
      <c r="O3144" s="5" t="s">
        <v>355</v>
      </c>
      <c r="P3144" s="5" t="s">
        <v>355</v>
      </c>
      <c r="Q3144" s="5" t="s">
        <v>355</v>
      </c>
    </row>
    <row r="3145" ht="16.5" customHeight="1">
      <c r="O3145" s="5" t="s">
        <v>355</v>
      </c>
      <c r="P3145" s="5" t="s">
        <v>355</v>
      </c>
      <c r="Q3145" s="5" t="s">
        <v>355</v>
      </c>
    </row>
    <row r="3146" ht="16.5" customHeight="1">
      <c r="O3146" s="5" t="s">
        <v>355</v>
      </c>
      <c r="P3146" s="5" t="s">
        <v>355</v>
      </c>
      <c r="Q3146" s="5" t="s">
        <v>355</v>
      </c>
    </row>
    <row r="3147" ht="16.5" customHeight="1">
      <c r="O3147" s="5" t="s">
        <v>355</v>
      </c>
      <c r="P3147" s="5" t="s">
        <v>355</v>
      </c>
      <c r="Q3147" s="5" t="s">
        <v>355</v>
      </c>
    </row>
    <row r="3148" ht="16.5" customHeight="1">
      <c r="O3148" s="5" t="s">
        <v>355</v>
      </c>
      <c r="P3148" s="5" t="s">
        <v>355</v>
      </c>
      <c r="Q3148" s="5" t="s">
        <v>355</v>
      </c>
    </row>
    <row r="3149" ht="16.5" customHeight="1">
      <c r="O3149" s="5" t="s">
        <v>355</v>
      </c>
      <c r="P3149" s="5" t="s">
        <v>355</v>
      </c>
      <c r="Q3149" s="5" t="s">
        <v>355</v>
      </c>
    </row>
    <row r="3150" ht="16.5" customHeight="1">
      <c r="O3150" s="5" t="s">
        <v>355</v>
      </c>
      <c r="P3150" s="5" t="s">
        <v>355</v>
      </c>
      <c r="Q3150" s="5" t="s">
        <v>355</v>
      </c>
    </row>
    <row r="3151" ht="16.5" customHeight="1">
      <c r="O3151" s="5" t="s">
        <v>355</v>
      </c>
      <c r="P3151" s="5" t="s">
        <v>355</v>
      </c>
      <c r="Q3151" s="5" t="s">
        <v>355</v>
      </c>
    </row>
    <row r="3152" ht="16.5" customHeight="1">
      <c r="O3152" s="5" t="s">
        <v>355</v>
      </c>
      <c r="P3152" s="5" t="s">
        <v>355</v>
      </c>
      <c r="Q3152" s="5" t="s">
        <v>355</v>
      </c>
    </row>
    <row r="3153" ht="16.5" customHeight="1">
      <c r="O3153" s="5" t="s">
        <v>355</v>
      </c>
      <c r="P3153" s="5" t="s">
        <v>355</v>
      </c>
      <c r="Q3153" s="5" t="s">
        <v>355</v>
      </c>
    </row>
    <row r="3154" ht="16.5" customHeight="1">
      <c r="O3154" s="5" t="s">
        <v>355</v>
      </c>
      <c r="P3154" s="5" t="s">
        <v>355</v>
      </c>
      <c r="Q3154" s="5" t="s">
        <v>355</v>
      </c>
    </row>
    <row r="3155" ht="16.5" customHeight="1">
      <c r="O3155" s="5" t="s">
        <v>355</v>
      </c>
      <c r="P3155" s="5" t="s">
        <v>355</v>
      </c>
      <c r="Q3155" s="5" t="s">
        <v>355</v>
      </c>
    </row>
    <row r="3156" ht="16.5" customHeight="1">
      <c r="O3156" s="5" t="s">
        <v>355</v>
      </c>
      <c r="P3156" s="5" t="s">
        <v>355</v>
      </c>
      <c r="Q3156" s="5" t="s">
        <v>355</v>
      </c>
    </row>
    <row r="3157" ht="16.5" customHeight="1">
      <c r="O3157" s="5" t="s">
        <v>355</v>
      </c>
      <c r="P3157" s="5" t="s">
        <v>355</v>
      </c>
      <c r="Q3157" s="5" t="s">
        <v>355</v>
      </c>
    </row>
    <row r="3158" ht="16.5" customHeight="1">
      <c r="O3158" s="5" t="s">
        <v>355</v>
      </c>
      <c r="P3158" s="5" t="s">
        <v>355</v>
      </c>
      <c r="Q3158" s="5" t="s">
        <v>355</v>
      </c>
    </row>
    <row r="3159" ht="16.5" customHeight="1">
      <c r="O3159" s="5" t="s">
        <v>355</v>
      </c>
      <c r="P3159" s="5" t="s">
        <v>355</v>
      </c>
      <c r="Q3159" s="5" t="s">
        <v>355</v>
      </c>
    </row>
    <row r="3160" ht="16.5" customHeight="1">
      <c r="O3160" s="5" t="s">
        <v>355</v>
      </c>
      <c r="P3160" s="5" t="s">
        <v>355</v>
      </c>
      <c r="Q3160" s="5" t="s">
        <v>355</v>
      </c>
    </row>
    <row r="3161" ht="16.5" customHeight="1">
      <c r="O3161" s="5" t="s">
        <v>355</v>
      </c>
      <c r="P3161" s="5" t="s">
        <v>355</v>
      </c>
      <c r="Q3161" s="5" t="s">
        <v>355</v>
      </c>
    </row>
    <row r="3162" ht="16.5" customHeight="1">
      <c r="O3162" s="5" t="s">
        <v>355</v>
      </c>
      <c r="P3162" s="5" t="s">
        <v>355</v>
      </c>
      <c r="Q3162" s="5" t="s">
        <v>355</v>
      </c>
    </row>
    <row r="3163" ht="16.5" customHeight="1">
      <c r="O3163" s="5" t="s">
        <v>355</v>
      </c>
      <c r="P3163" s="5" t="s">
        <v>355</v>
      </c>
      <c r="Q3163" s="5" t="s">
        <v>355</v>
      </c>
    </row>
    <row r="3164" ht="16.5" customHeight="1">
      <c r="O3164" s="5" t="s">
        <v>355</v>
      </c>
      <c r="P3164" s="5" t="s">
        <v>355</v>
      </c>
      <c r="Q3164" s="5" t="s">
        <v>355</v>
      </c>
    </row>
    <row r="3165" ht="16.5" customHeight="1">
      <c r="O3165" s="5" t="s">
        <v>355</v>
      </c>
      <c r="P3165" s="5" t="s">
        <v>355</v>
      </c>
      <c r="Q3165" s="5" t="s">
        <v>355</v>
      </c>
    </row>
    <row r="3166" ht="16.5" customHeight="1">
      <c r="O3166" s="5" t="s">
        <v>355</v>
      </c>
      <c r="P3166" s="5" t="s">
        <v>355</v>
      </c>
      <c r="Q3166" s="5" t="s">
        <v>355</v>
      </c>
    </row>
    <row r="3167" ht="16.5" customHeight="1">
      <c r="O3167" s="5" t="s">
        <v>355</v>
      </c>
      <c r="P3167" s="5" t="s">
        <v>355</v>
      </c>
      <c r="Q3167" s="5" t="s">
        <v>355</v>
      </c>
    </row>
    <row r="3168" ht="16.5" customHeight="1">
      <c r="O3168" s="5" t="s">
        <v>355</v>
      </c>
      <c r="P3168" s="5" t="s">
        <v>355</v>
      </c>
      <c r="Q3168" s="5" t="s">
        <v>355</v>
      </c>
    </row>
    <row r="3169" ht="16.5" customHeight="1">
      <c r="O3169" s="5" t="s">
        <v>355</v>
      </c>
      <c r="P3169" s="5" t="s">
        <v>355</v>
      </c>
      <c r="Q3169" s="5" t="s">
        <v>355</v>
      </c>
    </row>
    <row r="3170" ht="16.5" customHeight="1">
      <c r="O3170" s="5" t="s">
        <v>355</v>
      </c>
      <c r="P3170" s="5" t="s">
        <v>355</v>
      </c>
      <c r="Q3170" s="5" t="s">
        <v>355</v>
      </c>
    </row>
    <row r="3171" ht="16.5" customHeight="1">
      <c r="O3171" s="5" t="s">
        <v>355</v>
      </c>
      <c r="P3171" s="5" t="s">
        <v>355</v>
      </c>
      <c r="Q3171" s="5" t="s">
        <v>355</v>
      </c>
    </row>
    <row r="3172" ht="16.5" customHeight="1">
      <c r="O3172" s="5" t="s">
        <v>355</v>
      </c>
      <c r="P3172" s="5" t="s">
        <v>355</v>
      </c>
      <c r="Q3172" s="5" t="s">
        <v>355</v>
      </c>
    </row>
    <row r="3173" ht="16.5" customHeight="1">
      <c r="O3173" s="5" t="s">
        <v>355</v>
      </c>
      <c r="P3173" s="5" t="s">
        <v>355</v>
      </c>
      <c r="Q3173" s="5" t="s">
        <v>355</v>
      </c>
    </row>
    <row r="3174" ht="16.5" customHeight="1">
      <c r="O3174" s="5" t="s">
        <v>355</v>
      </c>
      <c r="P3174" s="5" t="s">
        <v>355</v>
      </c>
      <c r="Q3174" s="5" t="s">
        <v>355</v>
      </c>
    </row>
    <row r="3175" ht="16.5" customHeight="1">
      <c r="O3175" s="5" t="s">
        <v>355</v>
      </c>
      <c r="P3175" s="5" t="s">
        <v>355</v>
      </c>
      <c r="Q3175" s="5" t="s">
        <v>355</v>
      </c>
    </row>
    <row r="3176" ht="16.5" customHeight="1">
      <c r="O3176" s="5" t="s">
        <v>355</v>
      </c>
      <c r="P3176" s="5" t="s">
        <v>355</v>
      </c>
      <c r="Q3176" s="5" t="s">
        <v>355</v>
      </c>
    </row>
    <row r="3177" ht="16.5" customHeight="1">
      <c r="O3177" s="5" t="s">
        <v>355</v>
      </c>
      <c r="P3177" s="5" t="s">
        <v>355</v>
      </c>
      <c r="Q3177" s="5" t="s">
        <v>355</v>
      </c>
    </row>
    <row r="3178" ht="16.5" customHeight="1">
      <c r="O3178" s="5" t="s">
        <v>355</v>
      </c>
      <c r="P3178" s="5" t="s">
        <v>355</v>
      </c>
      <c r="Q3178" s="5" t="s">
        <v>355</v>
      </c>
    </row>
    <row r="3179" ht="16.5" customHeight="1">
      <c r="O3179" s="5" t="s">
        <v>355</v>
      </c>
      <c r="P3179" s="5" t="s">
        <v>355</v>
      </c>
      <c r="Q3179" s="5" t="s">
        <v>355</v>
      </c>
    </row>
    <row r="3180" ht="16.5" customHeight="1">
      <c r="O3180" s="5" t="s">
        <v>355</v>
      </c>
      <c r="P3180" s="5" t="s">
        <v>355</v>
      </c>
      <c r="Q3180" s="5" t="s">
        <v>355</v>
      </c>
    </row>
    <row r="3181" ht="16.5" customHeight="1">
      <c r="O3181" s="5" t="s">
        <v>355</v>
      </c>
      <c r="P3181" s="5" t="s">
        <v>355</v>
      </c>
      <c r="Q3181" s="5" t="s">
        <v>355</v>
      </c>
    </row>
    <row r="3182" ht="16.5" customHeight="1">
      <c r="O3182" s="5" t="s">
        <v>355</v>
      </c>
      <c r="P3182" s="5" t="s">
        <v>355</v>
      </c>
      <c r="Q3182" s="5" t="s">
        <v>355</v>
      </c>
    </row>
    <row r="3183" ht="16.5" customHeight="1">
      <c r="O3183" s="5" t="s">
        <v>355</v>
      </c>
      <c r="P3183" s="5" t="s">
        <v>355</v>
      </c>
      <c r="Q3183" s="5" t="s">
        <v>355</v>
      </c>
    </row>
    <row r="3184" ht="16.5" customHeight="1">
      <c r="O3184" s="5" t="s">
        <v>355</v>
      </c>
      <c r="P3184" s="5" t="s">
        <v>355</v>
      </c>
      <c r="Q3184" s="5" t="s">
        <v>355</v>
      </c>
    </row>
    <row r="3185" ht="16.5" customHeight="1">
      <c r="O3185" s="5" t="s">
        <v>355</v>
      </c>
      <c r="P3185" s="5" t="s">
        <v>355</v>
      </c>
      <c r="Q3185" s="5" t="s">
        <v>355</v>
      </c>
    </row>
    <row r="3186" ht="16.5" customHeight="1">
      <c r="O3186" s="5" t="s">
        <v>355</v>
      </c>
      <c r="P3186" s="5" t="s">
        <v>355</v>
      </c>
      <c r="Q3186" s="5" t="s">
        <v>355</v>
      </c>
    </row>
    <row r="3187" ht="16.5" customHeight="1">
      <c r="O3187" s="5" t="s">
        <v>355</v>
      </c>
      <c r="P3187" s="5" t="s">
        <v>355</v>
      </c>
      <c r="Q3187" s="5" t="s">
        <v>355</v>
      </c>
    </row>
    <row r="3188" ht="16.5" customHeight="1">
      <c r="O3188" s="5" t="s">
        <v>355</v>
      </c>
      <c r="P3188" s="5" t="s">
        <v>355</v>
      </c>
      <c r="Q3188" s="5" t="s">
        <v>355</v>
      </c>
    </row>
    <row r="3189" ht="16.5" customHeight="1">
      <c r="O3189" s="5" t="s">
        <v>355</v>
      </c>
      <c r="P3189" s="5" t="s">
        <v>355</v>
      </c>
      <c r="Q3189" s="5" t="s">
        <v>355</v>
      </c>
    </row>
    <row r="3190" ht="16.5" customHeight="1">
      <c r="O3190" s="5" t="s">
        <v>355</v>
      </c>
      <c r="P3190" s="5" t="s">
        <v>355</v>
      </c>
      <c r="Q3190" s="5" t="s">
        <v>355</v>
      </c>
    </row>
    <row r="3191" ht="16.5" customHeight="1">
      <c r="O3191" s="5" t="s">
        <v>355</v>
      </c>
      <c r="P3191" s="5" t="s">
        <v>355</v>
      </c>
      <c r="Q3191" s="5" t="s">
        <v>355</v>
      </c>
    </row>
    <row r="3192" ht="16.5" customHeight="1">
      <c r="O3192" s="5" t="s">
        <v>355</v>
      </c>
      <c r="P3192" s="5" t="s">
        <v>355</v>
      </c>
      <c r="Q3192" s="5" t="s">
        <v>355</v>
      </c>
    </row>
    <row r="3193" ht="16.5" customHeight="1">
      <c r="O3193" s="5" t="s">
        <v>355</v>
      </c>
      <c r="P3193" s="5" t="s">
        <v>355</v>
      </c>
      <c r="Q3193" s="5" t="s">
        <v>355</v>
      </c>
    </row>
    <row r="3194" ht="16.5" customHeight="1">
      <c r="O3194" s="5" t="s">
        <v>355</v>
      </c>
      <c r="P3194" s="5" t="s">
        <v>355</v>
      </c>
      <c r="Q3194" s="5" t="s">
        <v>355</v>
      </c>
    </row>
    <row r="3195" ht="16.5" customHeight="1">
      <c r="O3195" s="5" t="s">
        <v>355</v>
      </c>
      <c r="P3195" s="5" t="s">
        <v>355</v>
      </c>
      <c r="Q3195" s="5" t="s">
        <v>355</v>
      </c>
    </row>
    <row r="3196" ht="16.5" customHeight="1">
      <c r="O3196" s="5" t="s">
        <v>355</v>
      </c>
      <c r="P3196" s="5" t="s">
        <v>355</v>
      </c>
      <c r="Q3196" s="5" t="s">
        <v>355</v>
      </c>
    </row>
    <row r="3197" ht="16.5" customHeight="1">
      <c r="O3197" s="5" t="s">
        <v>355</v>
      </c>
      <c r="P3197" s="5" t="s">
        <v>355</v>
      </c>
      <c r="Q3197" s="5" t="s">
        <v>355</v>
      </c>
    </row>
    <row r="3198" ht="16.5" customHeight="1">
      <c r="O3198" s="5" t="s">
        <v>355</v>
      </c>
      <c r="P3198" s="5" t="s">
        <v>355</v>
      </c>
      <c r="Q3198" s="5" t="s">
        <v>355</v>
      </c>
    </row>
    <row r="3199" ht="16.5" customHeight="1">
      <c r="O3199" s="5" t="s">
        <v>355</v>
      </c>
      <c r="P3199" s="5" t="s">
        <v>355</v>
      </c>
      <c r="Q3199" s="5" t="s">
        <v>355</v>
      </c>
    </row>
    <row r="3200" ht="16.5" customHeight="1">
      <c r="O3200" s="5" t="s">
        <v>355</v>
      </c>
      <c r="P3200" s="5" t="s">
        <v>355</v>
      </c>
      <c r="Q3200" s="5" t="s">
        <v>355</v>
      </c>
    </row>
    <row r="3201" ht="16.5" customHeight="1">
      <c r="O3201" s="5" t="s">
        <v>355</v>
      </c>
      <c r="P3201" s="5" t="s">
        <v>355</v>
      </c>
      <c r="Q3201" s="5" t="s">
        <v>355</v>
      </c>
    </row>
    <row r="3202" ht="16.5" customHeight="1">
      <c r="O3202" s="5" t="s">
        <v>355</v>
      </c>
      <c r="P3202" s="5" t="s">
        <v>355</v>
      </c>
      <c r="Q3202" s="5" t="s">
        <v>355</v>
      </c>
    </row>
    <row r="3203" ht="16.5" customHeight="1">
      <c r="O3203" s="5" t="s">
        <v>355</v>
      </c>
      <c r="P3203" s="5" t="s">
        <v>355</v>
      </c>
      <c r="Q3203" s="5" t="s">
        <v>355</v>
      </c>
    </row>
    <row r="3204" ht="16.5" customHeight="1">
      <c r="O3204" s="5" t="s">
        <v>355</v>
      </c>
      <c r="P3204" s="5" t="s">
        <v>355</v>
      </c>
      <c r="Q3204" s="5" t="s">
        <v>355</v>
      </c>
    </row>
    <row r="3205" ht="16.5" customHeight="1">
      <c r="O3205" s="5" t="s">
        <v>355</v>
      </c>
      <c r="P3205" s="5" t="s">
        <v>355</v>
      </c>
      <c r="Q3205" s="5" t="s">
        <v>355</v>
      </c>
    </row>
    <row r="3206" ht="16.5" customHeight="1">
      <c r="O3206" s="5" t="s">
        <v>355</v>
      </c>
      <c r="P3206" s="5" t="s">
        <v>355</v>
      </c>
      <c r="Q3206" s="5" t="s">
        <v>355</v>
      </c>
    </row>
    <row r="3207" ht="16.5" customHeight="1">
      <c r="O3207" s="5" t="s">
        <v>355</v>
      </c>
      <c r="P3207" s="5" t="s">
        <v>355</v>
      </c>
      <c r="Q3207" s="5" t="s">
        <v>355</v>
      </c>
    </row>
    <row r="3208" ht="16.5" customHeight="1">
      <c r="O3208" s="5" t="s">
        <v>355</v>
      </c>
      <c r="P3208" s="5" t="s">
        <v>355</v>
      </c>
      <c r="Q3208" s="5" t="s">
        <v>355</v>
      </c>
    </row>
    <row r="3209" ht="16.5" customHeight="1">
      <c r="O3209" s="5" t="s">
        <v>355</v>
      </c>
      <c r="P3209" s="5" t="s">
        <v>355</v>
      </c>
      <c r="Q3209" s="5" t="s">
        <v>355</v>
      </c>
    </row>
    <row r="3210" ht="16.5" customHeight="1">
      <c r="O3210" s="5" t="s">
        <v>355</v>
      </c>
      <c r="P3210" s="5" t="s">
        <v>355</v>
      </c>
      <c r="Q3210" s="5" t="s">
        <v>355</v>
      </c>
    </row>
    <row r="3211" ht="16.5" customHeight="1">
      <c r="O3211" s="5" t="s">
        <v>355</v>
      </c>
      <c r="P3211" s="5" t="s">
        <v>355</v>
      </c>
      <c r="Q3211" s="5" t="s">
        <v>355</v>
      </c>
    </row>
    <row r="3212" ht="16.5" customHeight="1">
      <c r="O3212" s="5" t="s">
        <v>355</v>
      </c>
      <c r="P3212" s="5" t="s">
        <v>355</v>
      </c>
      <c r="Q3212" s="5" t="s">
        <v>355</v>
      </c>
    </row>
    <row r="3213" ht="16.5" customHeight="1">
      <c r="O3213" s="5" t="s">
        <v>355</v>
      </c>
      <c r="P3213" s="5" t="s">
        <v>355</v>
      </c>
      <c r="Q3213" s="5" t="s">
        <v>355</v>
      </c>
    </row>
    <row r="3214" ht="16.5" customHeight="1">
      <c r="O3214" s="5" t="s">
        <v>355</v>
      </c>
      <c r="P3214" s="5" t="s">
        <v>355</v>
      </c>
      <c r="Q3214" s="5" t="s">
        <v>355</v>
      </c>
    </row>
    <row r="3215" ht="16.5" customHeight="1">
      <c r="O3215" s="5" t="s">
        <v>355</v>
      </c>
      <c r="P3215" s="5" t="s">
        <v>355</v>
      </c>
      <c r="Q3215" s="5" t="s">
        <v>355</v>
      </c>
    </row>
    <row r="3216" ht="16.5" customHeight="1">
      <c r="O3216" s="5" t="s">
        <v>355</v>
      </c>
      <c r="P3216" s="5" t="s">
        <v>355</v>
      </c>
      <c r="Q3216" s="5" t="s">
        <v>355</v>
      </c>
    </row>
    <row r="3217" ht="16.5" customHeight="1">
      <c r="O3217" s="5" t="s">
        <v>355</v>
      </c>
      <c r="P3217" s="5" t="s">
        <v>355</v>
      </c>
      <c r="Q3217" s="5" t="s">
        <v>355</v>
      </c>
    </row>
    <row r="3218" ht="16.5" customHeight="1">
      <c r="O3218" s="5" t="s">
        <v>355</v>
      </c>
      <c r="P3218" s="5" t="s">
        <v>355</v>
      </c>
      <c r="Q3218" s="5" t="s">
        <v>355</v>
      </c>
    </row>
    <row r="3219" ht="16.5" customHeight="1">
      <c r="O3219" s="5" t="s">
        <v>355</v>
      </c>
      <c r="P3219" s="5" t="s">
        <v>355</v>
      </c>
      <c r="Q3219" s="5" t="s">
        <v>355</v>
      </c>
    </row>
    <row r="3220" ht="16.5" customHeight="1">
      <c r="O3220" s="5" t="s">
        <v>355</v>
      </c>
      <c r="P3220" s="5" t="s">
        <v>355</v>
      </c>
      <c r="Q3220" s="5" t="s">
        <v>355</v>
      </c>
    </row>
    <row r="3221" ht="16.5" customHeight="1">
      <c r="O3221" s="5" t="s">
        <v>355</v>
      </c>
      <c r="P3221" s="5" t="s">
        <v>355</v>
      </c>
      <c r="Q3221" s="5" t="s">
        <v>355</v>
      </c>
    </row>
    <row r="3222" ht="16.5" customHeight="1">
      <c r="O3222" s="5" t="s">
        <v>355</v>
      </c>
      <c r="P3222" s="5" t="s">
        <v>355</v>
      </c>
      <c r="Q3222" s="5" t="s">
        <v>355</v>
      </c>
    </row>
    <row r="3223" ht="16.5" customHeight="1">
      <c r="O3223" s="5" t="s">
        <v>355</v>
      </c>
      <c r="P3223" s="5" t="s">
        <v>355</v>
      </c>
      <c r="Q3223" s="5" t="s">
        <v>355</v>
      </c>
    </row>
    <row r="3224" ht="16.5" customHeight="1">
      <c r="O3224" s="5" t="s">
        <v>355</v>
      </c>
      <c r="P3224" s="5" t="s">
        <v>355</v>
      </c>
      <c r="Q3224" s="5" t="s">
        <v>355</v>
      </c>
    </row>
    <row r="3225" ht="16.5" customHeight="1">
      <c r="O3225" s="5" t="s">
        <v>355</v>
      </c>
      <c r="P3225" s="5" t="s">
        <v>355</v>
      </c>
      <c r="Q3225" s="5" t="s">
        <v>355</v>
      </c>
    </row>
    <row r="3226" ht="16.5" customHeight="1">
      <c r="O3226" s="5" t="s">
        <v>355</v>
      </c>
      <c r="P3226" s="5" t="s">
        <v>355</v>
      </c>
      <c r="Q3226" s="5" t="s">
        <v>355</v>
      </c>
    </row>
    <row r="3227" ht="16.5" customHeight="1">
      <c r="O3227" s="5" t="s">
        <v>355</v>
      </c>
      <c r="P3227" s="5" t="s">
        <v>355</v>
      </c>
      <c r="Q3227" s="5" t="s">
        <v>355</v>
      </c>
    </row>
    <row r="3228" ht="16.5" customHeight="1">
      <c r="O3228" s="5" t="s">
        <v>355</v>
      </c>
      <c r="P3228" s="5" t="s">
        <v>355</v>
      </c>
      <c r="Q3228" s="5" t="s">
        <v>355</v>
      </c>
    </row>
    <row r="3229" ht="16.5" customHeight="1">
      <c r="O3229" s="5" t="s">
        <v>355</v>
      </c>
      <c r="P3229" s="5" t="s">
        <v>355</v>
      </c>
      <c r="Q3229" s="5" t="s">
        <v>355</v>
      </c>
    </row>
    <row r="3230" ht="16.5" customHeight="1">
      <c r="O3230" s="5" t="s">
        <v>355</v>
      </c>
      <c r="P3230" s="5" t="s">
        <v>355</v>
      </c>
      <c r="Q3230" s="5" t="s">
        <v>355</v>
      </c>
    </row>
    <row r="3231" ht="16.5" customHeight="1">
      <c r="O3231" s="5" t="s">
        <v>355</v>
      </c>
      <c r="P3231" s="5" t="s">
        <v>355</v>
      </c>
      <c r="Q3231" s="5" t="s">
        <v>355</v>
      </c>
    </row>
    <row r="3232" ht="16.5" customHeight="1">
      <c r="O3232" s="5" t="s">
        <v>355</v>
      </c>
      <c r="P3232" s="5" t="s">
        <v>355</v>
      </c>
      <c r="Q3232" s="5" t="s">
        <v>355</v>
      </c>
    </row>
    <row r="3233" ht="16.5" customHeight="1">
      <c r="O3233" s="5" t="s">
        <v>355</v>
      </c>
      <c r="P3233" s="5" t="s">
        <v>355</v>
      </c>
      <c r="Q3233" s="5" t="s">
        <v>355</v>
      </c>
    </row>
    <row r="3234" ht="16.5" customHeight="1">
      <c r="O3234" s="5" t="s">
        <v>355</v>
      </c>
      <c r="P3234" s="5" t="s">
        <v>355</v>
      </c>
      <c r="Q3234" s="5" t="s">
        <v>355</v>
      </c>
    </row>
    <row r="3235" ht="16.5" customHeight="1">
      <c r="O3235" s="5" t="s">
        <v>355</v>
      </c>
      <c r="P3235" s="5" t="s">
        <v>355</v>
      </c>
      <c r="Q3235" s="5" t="s">
        <v>355</v>
      </c>
    </row>
    <row r="3236" ht="16.5" customHeight="1">
      <c r="O3236" s="5" t="s">
        <v>355</v>
      </c>
      <c r="P3236" s="5" t="s">
        <v>355</v>
      </c>
      <c r="Q3236" s="5" t="s">
        <v>355</v>
      </c>
    </row>
    <row r="3237" ht="16.5" customHeight="1">
      <c r="O3237" s="5" t="s">
        <v>355</v>
      </c>
      <c r="P3237" s="5" t="s">
        <v>355</v>
      </c>
      <c r="Q3237" s="5" t="s">
        <v>355</v>
      </c>
    </row>
    <row r="3238" ht="16.5" customHeight="1">
      <c r="O3238" s="5" t="s">
        <v>355</v>
      </c>
      <c r="P3238" s="5" t="s">
        <v>355</v>
      </c>
      <c r="Q3238" s="5" t="s">
        <v>355</v>
      </c>
    </row>
    <row r="3239" ht="16.5" customHeight="1">
      <c r="O3239" s="5" t="s">
        <v>355</v>
      </c>
      <c r="P3239" s="5" t="s">
        <v>355</v>
      </c>
      <c r="Q3239" s="5" t="s">
        <v>355</v>
      </c>
    </row>
    <row r="3240" ht="16.5" customHeight="1">
      <c r="O3240" s="5" t="s">
        <v>355</v>
      </c>
      <c r="P3240" s="5" t="s">
        <v>355</v>
      </c>
      <c r="Q3240" s="5" t="s">
        <v>355</v>
      </c>
    </row>
    <row r="3241" ht="16.5" customHeight="1">
      <c r="O3241" s="5" t="s">
        <v>355</v>
      </c>
      <c r="P3241" s="5" t="s">
        <v>355</v>
      </c>
      <c r="Q3241" s="5" t="s">
        <v>355</v>
      </c>
    </row>
    <row r="3242" ht="16.5" customHeight="1">
      <c r="O3242" s="5" t="s">
        <v>355</v>
      </c>
      <c r="P3242" s="5" t="s">
        <v>355</v>
      </c>
      <c r="Q3242" s="5" t="s">
        <v>355</v>
      </c>
    </row>
    <row r="3243" ht="16.5" customHeight="1">
      <c r="O3243" s="5" t="s">
        <v>355</v>
      </c>
      <c r="P3243" s="5" t="s">
        <v>355</v>
      </c>
      <c r="Q3243" s="5" t="s">
        <v>355</v>
      </c>
    </row>
    <row r="3244" ht="16.5" customHeight="1">
      <c r="O3244" s="5" t="s">
        <v>355</v>
      </c>
      <c r="P3244" s="5" t="s">
        <v>355</v>
      </c>
      <c r="Q3244" s="5" t="s">
        <v>355</v>
      </c>
    </row>
    <row r="3245" ht="16.5" customHeight="1">
      <c r="O3245" s="5" t="s">
        <v>355</v>
      </c>
      <c r="P3245" s="5" t="s">
        <v>355</v>
      </c>
      <c r="Q3245" s="5" t="s">
        <v>355</v>
      </c>
    </row>
    <row r="3246" ht="16.5" customHeight="1">
      <c r="O3246" s="5" t="s">
        <v>355</v>
      </c>
      <c r="P3246" s="5" t="s">
        <v>355</v>
      </c>
      <c r="Q3246" s="5" t="s">
        <v>355</v>
      </c>
    </row>
    <row r="3247" ht="16.5" customHeight="1">
      <c r="O3247" s="5" t="s">
        <v>355</v>
      </c>
      <c r="P3247" s="5" t="s">
        <v>355</v>
      </c>
      <c r="Q3247" s="5" t="s">
        <v>355</v>
      </c>
    </row>
    <row r="3248" ht="16.5" customHeight="1">
      <c r="O3248" s="5" t="s">
        <v>355</v>
      </c>
      <c r="P3248" s="5" t="s">
        <v>355</v>
      </c>
      <c r="Q3248" s="5" t="s">
        <v>355</v>
      </c>
    </row>
    <row r="3249" ht="16.5" customHeight="1">
      <c r="O3249" s="5" t="s">
        <v>355</v>
      </c>
      <c r="P3249" s="5" t="s">
        <v>355</v>
      </c>
      <c r="Q3249" s="5" t="s">
        <v>355</v>
      </c>
    </row>
    <row r="3250" ht="16.5" customHeight="1">
      <c r="O3250" s="5" t="s">
        <v>355</v>
      </c>
      <c r="P3250" s="5" t="s">
        <v>355</v>
      </c>
      <c r="Q3250" s="5" t="s">
        <v>355</v>
      </c>
    </row>
    <row r="3251" ht="16.5" customHeight="1">
      <c r="O3251" s="5" t="s">
        <v>355</v>
      </c>
      <c r="P3251" s="5" t="s">
        <v>355</v>
      </c>
      <c r="Q3251" s="5" t="s">
        <v>355</v>
      </c>
    </row>
    <row r="3252" ht="16.5" customHeight="1">
      <c r="O3252" s="5" t="s">
        <v>355</v>
      </c>
      <c r="P3252" s="5" t="s">
        <v>355</v>
      </c>
      <c r="Q3252" s="5" t="s">
        <v>355</v>
      </c>
    </row>
    <row r="3253" ht="16.5" customHeight="1">
      <c r="O3253" s="5" t="s">
        <v>355</v>
      </c>
      <c r="P3253" s="5" t="s">
        <v>355</v>
      </c>
      <c r="Q3253" s="5" t="s">
        <v>355</v>
      </c>
    </row>
    <row r="3254" ht="16.5" customHeight="1">
      <c r="O3254" s="5" t="s">
        <v>355</v>
      </c>
      <c r="P3254" s="5" t="s">
        <v>355</v>
      </c>
      <c r="Q3254" s="5" t="s">
        <v>355</v>
      </c>
    </row>
    <row r="3255" ht="16.5" customHeight="1">
      <c r="O3255" s="5" t="s">
        <v>355</v>
      </c>
      <c r="P3255" s="5" t="s">
        <v>355</v>
      </c>
      <c r="Q3255" s="5" t="s">
        <v>355</v>
      </c>
    </row>
    <row r="3256" ht="16.5" customHeight="1">
      <c r="O3256" s="5" t="s">
        <v>355</v>
      </c>
      <c r="P3256" s="5" t="s">
        <v>355</v>
      </c>
      <c r="Q3256" s="5" t="s">
        <v>355</v>
      </c>
    </row>
    <row r="3257" ht="16.5" customHeight="1">
      <c r="O3257" s="5" t="s">
        <v>355</v>
      </c>
      <c r="P3257" s="5" t="s">
        <v>355</v>
      </c>
      <c r="Q3257" s="5" t="s">
        <v>355</v>
      </c>
    </row>
    <row r="3258" ht="16.5" customHeight="1">
      <c r="O3258" s="5" t="s">
        <v>355</v>
      </c>
      <c r="P3258" s="5" t="s">
        <v>355</v>
      </c>
      <c r="Q3258" s="5" t="s">
        <v>355</v>
      </c>
    </row>
    <row r="3259" ht="16.5" customHeight="1">
      <c r="O3259" s="5" t="s">
        <v>355</v>
      </c>
      <c r="P3259" s="5" t="s">
        <v>355</v>
      </c>
      <c r="Q3259" s="5" t="s">
        <v>355</v>
      </c>
    </row>
    <row r="3260" ht="16.5" customHeight="1">
      <c r="O3260" s="5" t="s">
        <v>355</v>
      </c>
      <c r="P3260" s="5" t="s">
        <v>355</v>
      </c>
      <c r="Q3260" s="5" t="s">
        <v>355</v>
      </c>
    </row>
    <row r="3261" ht="16.5" customHeight="1">
      <c r="O3261" s="5" t="s">
        <v>355</v>
      </c>
      <c r="P3261" s="5" t="s">
        <v>355</v>
      </c>
      <c r="Q3261" s="5" t="s">
        <v>355</v>
      </c>
    </row>
    <row r="3262" ht="16.5" customHeight="1">
      <c r="O3262" s="5" t="s">
        <v>355</v>
      </c>
      <c r="P3262" s="5" t="s">
        <v>355</v>
      </c>
      <c r="Q3262" s="5" t="s">
        <v>355</v>
      </c>
    </row>
    <row r="3263" ht="16.5" customHeight="1">
      <c r="O3263" s="5" t="s">
        <v>355</v>
      </c>
      <c r="P3263" s="5" t="s">
        <v>355</v>
      </c>
      <c r="Q3263" s="5" t="s">
        <v>355</v>
      </c>
    </row>
    <row r="3264" ht="16.5" customHeight="1">
      <c r="O3264" s="5" t="s">
        <v>355</v>
      </c>
      <c r="P3264" s="5" t="s">
        <v>355</v>
      </c>
      <c r="Q3264" s="5" t="s">
        <v>355</v>
      </c>
    </row>
    <row r="3265" ht="16.5" customHeight="1">
      <c r="O3265" s="5" t="s">
        <v>355</v>
      </c>
      <c r="P3265" s="5" t="s">
        <v>355</v>
      </c>
      <c r="Q3265" s="5" t="s">
        <v>355</v>
      </c>
    </row>
    <row r="3266" ht="16.5" customHeight="1">
      <c r="O3266" s="5" t="s">
        <v>355</v>
      </c>
      <c r="P3266" s="5" t="s">
        <v>355</v>
      </c>
      <c r="Q3266" s="5" t="s">
        <v>355</v>
      </c>
    </row>
    <row r="3267" ht="16.5" customHeight="1">
      <c r="O3267" s="5" t="s">
        <v>355</v>
      </c>
      <c r="P3267" s="5" t="s">
        <v>355</v>
      </c>
      <c r="Q3267" s="5" t="s">
        <v>355</v>
      </c>
    </row>
    <row r="3268" ht="16.5" customHeight="1">
      <c r="O3268" s="5" t="s">
        <v>355</v>
      </c>
      <c r="P3268" s="5" t="s">
        <v>355</v>
      </c>
      <c r="Q3268" s="5" t="s">
        <v>355</v>
      </c>
    </row>
    <row r="3269" ht="16.5" customHeight="1">
      <c r="O3269" s="5" t="s">
        <v>355</v>
      </c>
      <c r="P3269" s="5" t="s">
        <v>355</v>
      </c>
      <c r="Q3269" s="5" t="s">
        <v>355</v>
      </c>
    </row>
    <row r="3270" ht="16.5" customHeight="1">
      <c r="O3270" s="5" t="s">
        <v>355</v>
      </c>
      <c r="P3270" s="5" t="s">
        <v>355</v>
      </c>
      <c r="Q3270" s="5" t="s">
        <v>355</v>
      </c>
    </row>
    <row r="3271" ht="16.5" customHeight="1">
      <c r="O3271" s="5" t="s">
        <v>355</v>
      </c>
      <c r="P3271" s="5" t="s">
        <v>355</v>
      </c>
      <c r="Q3271" s="5" t="s">
        <v>355</v>
      </c>
    </row>
    <row r="3272" ht="16.5" customHeight="1">
      <c r="O3272" s="5" t="s">
        <v>355</v>
      </c>
      <c r="P3272" s="5" t="s">
        <v>355</v>
      </c>
      <c r="Q3272" s="5" t="s">
        <v>355</v>
      </c>
    </row>
    <row r="3273" ht="16.5" customHeight="1">
      <c r="O3273" s="5" t="s">
        <v>355</v>
      </c>
      <c r="P3273" s="5" t="s">
        <v>355</v>
      </c>
      <c r="Q3273" s="5" t="s">
        <v>355</v>
      </c>
    </row>
    <row r="3274" ht="16.5" customHeight="1">
      <c r="O3274" s="5" t="s">
        <v>355</v>
      </c>
      <c r="P3274" s="5" t="s">
        <v>355</v>
      </c>
      <c r="Q3274" s="5" t="s">
        <v>355</v>
      </c>
    </row>
    <row r="3275" ht="16.5" customHeight="1">
      <c r="O3275" s="5" t="s">
        <v>355</v>
      </c>
      <c r="P3275" s="5" t="s">
        <v>355</v>
      </c>
      <c r="Q3275" s="5" t="s">
        <v>355</v>
      </c>
    </row>
    <row r="3276" ht="16.5" customHeight="1">
      <c r="O3276" s="5" t="s">
        <v>355</v>
      </c>
      <c r="P3276" s="5" t="s">
        <v>355</v>
      </c>
      <c r="Q3276" s="5" t="s">
        <v>355</v>
      </c>
    </row>
    <row r="3277" ht="16.5" customHeight="1">
      <c r="O3277" s="5" t="s">
        <v>355</v>
      </c>
      <c r="P3277" s="5" t="s">
        <v>355</v>
      </c>
      <c r="Q3277" s="5" t="s">
        <v>355</v>
      </c>
    </row>
    <row r="3278" ht="16.5" customHeight="1">
      <c r="O3278" s="5" t="s">
        <v>355</v>
      </c>
      <c r="P3278" s="5" t="s">
        <v>355</v>
      </c>
      <c r="Q3278" s="5" t="s">
        <v>355</v>
      </c>
    </row>
    <row r="3279" ht="16.5" customHeight="1">
      <c r="O3279" s="5" t="s">
        <v>355</v>
      </c>
      <c r="P3279" s="5" t="s">
        <v>355</v>
      </c>
      <c r="Q3279" s="5" t="s">
        <v>355</v>
      </c>
    </row>
    <row r="3280" ht="16.5" customHeight="1">
      <c r="O3280" s="5" t="s">
        <v>355</v>
      </c>
      <c r="P3280" s="5" t="s">
        <v>355</v>
      </c>
      <c r="Q3280" s="5" t="s">
        <v>355</v>
      </c>
    </row>
    <row r="3281" ht="16.5" customHeight="1">
      <c r="O3281" s="5" t="s">
        <v>355</v>
      </c>
      <c r="P3281" s="5" t="s">
        <v>355</v>
      </c>
      <c r="Q3281" s="5" t="s">
        <v>355</v>
      </c>
    </row>
    <row r="3282" ht="16.5" customHeight="1">
      <c r="O3282" s="5" t="s">
        <v>355</v>
      </c>
      <c r="P3282" s="5" t="s">
        <v>355</v>
      </c>
      <c r="Q3282" s="5" t="s">
        <v>355</v>
      </c>
    </row>
    <row r="3283" ht="16.5" customHeight="1">
      <c r="O3283" s="5" t="s">
        <v>355</v>
      </c>
      <c r="P3283" s="5" t="s">
        <v>355</v>
      </c>
      <c r="Q3283" s="5" t="s">
        <v>355</v>
      </c>
    </row>
    <row r="3284" ht="16.5" customHeight="1">
      <c r="O3284" s="5" t="s">
        <v>355</v>
      </c>
      <c r="P3284" s="5" t="s">
        <v>355</v>
      </c>
      <c r="Q3284" s="5" t="s">
        <v>355</v>
      </c>
    </row>
    <row r="3285" ht="16.5" customHeight="1">
      <c r="O3285" s="5" t="s">
        <v>355</v>
      </c>
      <c r="P3285" s="5" t="s">
        <v>355</v>
      </c>
      <c r="Q3285" s="5" t="s">
        <v>355</v>
      </c>
    </row>
    <row r="3286" ht="16.5" customHeight="1">
      <c r="O3286" s="5" t="s">
        <v>355</v>
      </c>
      <c r="P3286" s="5" t="s">
        <v>355</v>
      </c>
      <c r="Q3286" s="5" t="s">
        <v>355</v>
      </c>
    </row>
    <row r="3287" ht="16.5" customHeight="1">
      <c r="O3287" s="5" t="s">
        <v>355</v>
      </c>
      <c r="P3287" s="5" t="s">
        <v>355</v>
      </c>
      <c r="Q3287" s="5" t="s">
        <v>355</v>
      </c>
    </row>
    <row r="3288" ht="16.5" customHeight="1">
      <c r="O3288" s="5" t="s">
        <v>355</v>
      </c>
      <c r="P3288" s="5" t="s">
        <v>355</v>
      </c>
      <c r="Q3288" s="5" t="s">
        <v>355</v>
      </c>
    </row>
    <row r="3289" ht="16.5" customHeight="1">
      <c r="O3289" s="5" t="s">
        <v>355</v>
      </c>
      <c r="P3289" s="5" t="s">
        <v>355</v>
      </c>
      <c r="Q3289" s="5" t="s">
        <v>355</v>
      </c>
    </row>
    <row r="3290" ht="16.5" customHeight="1">
      <c r="O3290" s="5" t="s">
        <v>355</v>
      </c>
      <c r="P3290" s="5" t="s">
        <v>355</v>
      </c>
      <c r="Q3290" s="5" t="s">
        <v>355</v>
      </c>
    </row>
    <row r="3291" ht="16.5" customHeight="1">
      <c r="O3291" s="5" t="s">
        <v>355</v>
      </c>
      <c r="P3291" s="5" t="s">
        <v>355</v>
      </c>
      <c r="Q3291" s="5" t="s">
        <v>355</v>
      </c>
    </row>
    <row r="3292" ht="16.5" customHeight="1">
      <c r="O3292" s="5" t="s">
        <v>355</v>
      </c>
      <c r="P3292" s="5" t="s">
        <v>355</v>
      </c>
      <c r="Q3292" s="5" t="s">
        <v>355</v>
      </c>
    </row>
    <row r="3293" ht="16.5" customHeight="1">
      <c r="O3293" s="5" t="s">
        <v>355</v>
      </c>
      <c r="P3293" s="5" t="s">
        <v>355</v>
      </c>
      <c r="Q3293" s="5" t="s">
        <v>355</v>
      </c>
    </row>
    <row r="3294" ht="16.5" customHeight="1">
      <c r="O3294" s="5" t="s">
        <v>355</v>
      </c>
      <c r="P3294" s="5" t="s">
        <v>355</v>
      </c>
      <c r="Q3294" s="5" t="s">
        <v>355</v>
      </c>
    </row>
    <row r="3295" ht="16.5" customHeight="1">
      <c r="O3295" s="5" t="s">
        <v>355</v>
      </c>
      <c r="P3295" s="5" t="s">
        <v>355</v>
      </c>
      <c r="Q3295" s="5" t="s">
        <v>355</v>
      </c>
    </row>
    <row r="3296" ht="16.5" customHeight="1">
      <c r="O3296" s="5" t="s">
        <v>355</v>
      </c>
      <c r="P3296" s="5" t="s">
        <v>355</v>
      </c>
      <c r="Q3296" s="5" t="s">
        <v>355</v>
      </c>
    </row>
    <row r="3297" ht="16.5" customHeight="1">
      <c r="O3297" s="5" t="s">
        <v>355</v>
      </c>
      <c r="P3297" s="5" t="s">
        <v>355</v>
      </c>
      <c r="Q3297" s="5" t="s">
        <v>355</v>
      </c>
    </row>
    <row r="3298" ht="16.5" customHeight="1">
      <c r="O3298" s="5" t="s">
        <v>355</v>
      </c>
      <c r="P3298" s="5" t="s">
        <v>355</v>
      </c>
      <c r="Q3298" s="5" t="s">
        <v>355</v>
      </c>
    </row>
    <row r="3299" ht="16.5" customHeight="1">
      <c r="O3299" s="5" t="s">
        <v>355</v>
      </c>
      <c r="P3299" s="5" t="s">
        <v>355</v>
      </c>
      <c r="Q3299" s="5" t="s">
        <v>355</v>
      </c>
    </row>
    <row r="3300" ht="16.5" customHeight="1">
      <c r="O3300" s="5" t="s">
        <v>355</v>
      </c>
      <c r="P3300" s="5" t="s">
        <v>355</v>
      </c>
      <c r="Q3300" s="5" t="s">
        <v>355</v>
      </c>
    </row>
    <row r="3301" ht="16.5" customHeight="1">
      <c r="O3301" s="5" t="s">
        <v>355</v>
      </c>
      <c r="P3301" s="5" t="s">
        <v>355</v>
      </c>
      <c r="Q3301" s="5" t="s">
        <v>355</v>
      </c>
    </row>
    <row r="3302" ht="16.5" customHeight="1">
      <c r="O3302" s="5" t="s">
        <v>355</v>
      </c>
      <c r="P3302" s="5" t="s">
        <v>355</v>
      </c>
      <c r="Q3302" s="5" t="s">
        <v>355</v>
      </c>
    </row>
    <row r="3303" ht="16.5" customHeight="1">
      <c r="O3303" s="5" t="s">
        <v>355</v>
      </c>
      <c r="P3303" s="5" t="s">
        <v>355</v>
      </c>
      <c r="Q3303" s="5" t="s">
        <v>355</v>
      </c>
    </row>
    <row r="3304" ht="16.5" customHeight="1">
      <c r="O3304" s="5" t="s">
        <v>355</v>
      </c>
      <c r="P3304" s="5" t="s">
        <v>355</v>
      </c>
      <c r="Q3304" s="5" t="s">
        <v>355</v>
      </c>
    </row>
    <row r="3305" ht="16.5" customHeight="1">
      <c r="O3305" s="5" t="s">
        <v>355</v>
      </c>
      <c r="P3305" s="5" t="s">
        <v>355</v>
      </c>
      <c r="Q3305" s="5" t="s">
        <v>355</v>
      </c>
    </row>
    <row r="3306" ht="16.5" customHeight="1">
      <c r="O3306" s="5" t="s">
        <v>355</v>
      </c>
      <c r="P3306" s="5" t="s">
        <v>355</v>
      </c>
      <c r="Q3306" s="5" t="s">
        <v>355</v>
      </c>
    </row>
    <row r="3307" ht="16.5" customHeight="1">
      <c r="O3307" s="5" t="s">
        <v>355</v>
      </c>
      <c r="P3307" s="5" t="s">
        <v>355</v>
      </c>
      <c r="Q3307" s="5" t="s">
        <v>355</v>
      </c>
    </row>
    <row r="3308" ht="16.5" customHeight="1">
      <c r="O3308" s="5" t="s">
        <v>355</v>
      </c>
      <c r="P3308" s="5" t="s">
        <v>355</v>
      </c>
      <c r="Q3308" s="5" t="s">
        <v>355</v>
      </c>
    </row>
    <row r="3309" ht="16.5" customHeight="1">
      <c r="O3309" s="5" t="s">
        <v>355</v>
      </c>
      <c r="P3309" s="5" t="s">
        <v>355</v>
      </c>
      <c r="Q3309" s="5" t="s">
        <v>355</v>
      </c>
    </row>
    <row r="3310" ht="16.5" customHeight="1">
      <c r="O3310" s="5" t="s">
        <v>355</v>
      </c>
      <c r="P3310" s="5" t="s">
        <v>355</v>
      </c>
      <c r="Q3310" s="5" t="s">
        <v>355</v>
      </c>
    </row>
    <row r="3311" ht="16.5" customHeight="1">
      <c r="O3311" s="5" t="s">
        <v>355</v>
      </c>
      <c r="P3311" s="5" t="s">
        <v>355</v>
      </c>
      <c r="Q3311" s="5" t="s">
        <v>355</v>
      </c>
    </row>
    <row r="3312" ht="16.5" customHeight="1">
      <c r="O3312" s="5" t="s">
        <v>355</v>
      </c>
      <c r="P3312" s="5" t="s">
        <v>355</v>
      </c>
      <c r="Q3312" s="5" t="s">
        <v>355</v>
      </c>
    </row>
    <row r="3313" ht="16.5" customHeight="1">
      <c r="O3313" s="5" t="s">
        <v>355</v>
      </c>
      <c r="P3313" s="5" t="s">
        <v>355</v>
      </c>
      <c r="Q3313" s="5" t="s">
        <v>355</v>
      </c>
    </row>
    <row r="3314" ht="16.5" customHeight="1">
      <c r="O3314" s="5" t="s">
        <v>355</v>
      </c>
      <c r="P3314" s="5" t="s">
        <v>355</v>
      </c>
      <c r="Q3314" s="5" t="s">
        <v>355</v>
      </c>
    </row>
    <row r="3315" ht="16.5" customHeight="1">
      <c r="O3315" s="5" t="s">
        <v>355</v>
      </c>
      <c r="P3315" s="5" t="s">
        <v>355</v>
      </c>
      <c r="Q3315" s="5" t="s">
        <v>355</v>
      </c>
    </row>
    <row r="3316" ht="16.5" customHeight="1">
      <c r="O3316" s="5" t="s">
        <v>355</v>
      </c>
      <c r="P3316" s="5" t="s">
        <v>355</v>
      </c>
      <c r="Q3316" s="5" t="s">
        <v>355</v>
      </c>
    </row>
    <row r="3317" ht="16.5" customHeight="1">
      <c r="O3317" s="5" t="s">
        <v>355</v>
      </c>
      <c r="P3317" s="5" t="s">
        <v>355</v>
      </c>
      <c r="Q3317" s="5" t="s">
        <v>355</v>
      </c>
    </row>
    <row r="3318" ht="16.5" customHeight="1">
      <c r="O3318" s="5" t="s">
        <v>355</v>
      </c>
      <c r="P3318" s="5" t="s">
        <v>355</v>
      </c>
      <c r="Q3318" s="5" t="s">
        <v>355</v>
      </c>
    </row>
    <row r="3319" ht="16.5" customHeight="1">
      <c r="O3319" s="5" t="s">
        <v>355</v>
      </c>
      <c r="P3319" s="5" t="s">
        <v>355</v>
      </c>
      <c r="Q3319" s="5" t="s">
        <v>355</v>
      </c>
    </row>
    <row r="3320" ht="16.5" customHeight="1">
      <c r="O3320" s="5" t="s">
        <v>355</v>
      </c>
      <c r="P3320" s="5" t="s">
        <v>355</v>
      </c>
      <c r="Q3320" s="5" t="s">
        <v>355</v>
      </c>
    </row>
    <row r="3321" ht="16.5" customHeight="1">
      <c r="O3321" s="5" t="s">
        <v>355</v>
      </c>
      <c r="P3321" s="5" t="s">
        <v>355</v>
      </c>
      <c r="Q3321" s="5" t="s">
        <v>355</v>
      </c>
    </row>
    <row r="3322" ht="16.5" customHeight="1">
      <c r="O3322" s="5" t="s">
        <v>355</v>
      </c>
      <c r="P3322" s="5" t="s">
        <v>355</v>
      </c>
      <c r="Q3322" s="5" t="s">
        <v>355</v>
      </c>
    </row>
    <row r="3323" ht="16.5" customHeight="1">
      <c r="O3323" s="5" t="s">
        <v>355</v>
      </c>
      <c r="P3323" s="5" t="s">
        <v>355</v>
      </c>
      <c r="Q3323" s="5" t="s">
        <v>355</v>
      </c>
    </row>
    <row r="3324" ht="16.5" customHeight="1">
      <c r="O3324" s="5" t="s">
        <v>355</v>
      </c>
      <c r="P3324" s="5" t="s">
        <v>355</v>
      </c>
      <c r="Q3324" s="5" t="s">
        <v>355</v>
      </c>
    </row>
    <row r="3325" ht="16.5" customHeight="1">
      <c r="O3325" s="5" t="s">
        <v>355</v>
      </c>
      <c r="P3325" s="5" t="s">
        <v>355</v>
      </c>
      <c r="Q3325" s="5" t="s">
        <v>355</v>
      </c>
    </row>
    <row r="3326" ht="16.5" customHeight="1">
      <c r="O3326" s="5" t="s">
        <v>355</v>
      </c>
      <c r="P3326" s="5" t="s">
        <v>355</v>
      </c>
      <c r="Q3326" s="5" t="s">
        <v>355</v>
      </c>
    </row>
    <row r="3327" ht="16.5" customHeight="1">
      <c r="O3327" s="5" t="s">
        <v>355</v>
      </c>
      <c r="P3327" s="5" t="s">
        <v>355</v>
      </c>
      <c r="Q3327" s="5" t="s">
        <v>355</v>
      </c>
    </row>
    <row r="3328" ht="16.5" customHeight="1">
      <c r="O3328" s="5" t="s">
        <v>355</v>
      </c>
      <c r="P3328" s="5" t="s">
        <v>355</v>
      </c>
      <c r="Q3328" s="5" t="s">
        <v>355</v>
      </c>
    </row>
    <row r="3329" ht="16.5" customHeight="1">
      <c r="O3329" s="5" t="s">
        <v>355</v>
      </c>
      <c r="P3329" s="5" t="s">
        <v>355</v>
      </c>
      <c r="Q3329" s="5" t="s">
        <v>355</v>
      </c>
    </row>
    <row r="3330" ht="16.5" customHeight="1">
      <c r="O3330" s="5" t="s">
        <v>355</v>
      </c>
      <c r="P3330" s="5" t="s">
        <v>355</v>
      </c>
      <c r="Q3330" s="5" t="s">
        <v>355</v>
      </c>
    </row>
    <row r="3331" ht="16.5" customHeight="1">
      <c r="O3331" s="5" t="s">
        <v>355</v>
      </c>
      <c r="P3331" s="5" t="s">
        <v>355</v>
      </c>
      <c r="Q3331" s="5" t="s">
        <v>355</v>
      </c>
    </row>
    <row r="3332" ht="16.5" customHeight="1">
      <c r="O3332" s="5" t="s">
        <v>355</v>
      </c>
      <c r="P3332" s="5" t="s">
        <v>355</v>
      </c>
      <c r="Q3332" s="5" t="s">
        <v>355</v>
      </c>
    </row>
    <row r="3333" ht="16.5" customHeight="1">
      <c r="O3333" s="5" t="s">
        <v>355</v>
      </c>
      <c r="P3333" s="5" t="s">
        <v>355</v>
      </c>
      <c r="Q3333" s="5" t="s">
        <v>355</v>
      </c>
    </row>
    <row r="3334" ht="16.5" customHeight="1">
      <c r="O3334" s="5" t="s">
        <v>355</v>
      </c>
      <c r="P3334" s="5" t="s">
        <v>355</v>
      </c>
      <c r="Q3334" s="5" t="s">
        <v>355</v>
      </c>
    </row>
    <row r="3335" ht="16.5" customHeight="1">
      <c r="O3335" s="5" t="s">
        <v>355</v>
      </c>
      <c r="P3335" s="5" t="s">
        <v>355</v>
      </c>
      <c r="Q3335" s="5" t="s">
        <v>355</v>
      </c>
    </row>
    <row r="3336" ht="16.5" customHeight="1">
      <c r="O3336" s="5" t="s">
        <v>355</v>
      </c>
      <c r="P3336" s="5" t="s">
        <v>355</v>
      </c>
      <c r="Q3336" s="5" t="s">
        <v>355</v>
      </c>
    </row>
    <row r="3337" ht="16.5" customHeight="1">
      <c r="O3337" s="5" t="s">
        <v>355</v>
      </c>
      <c r="P3337" s="5" t="s">
        <v>355</v>
      </c>
      <c r="Q3337" s="5" t="s">
        <v>355</v>
      </c>
    </row>
    <row r="3338" ht="16.5" customHeight="1">
      <c r="O3338" s="5" t="s">
        <v>355</v>
      </c>
      <c r="P3338" s="5" t="s">
        <v>355</v>
      </c>
      <c r="Q3338" s="5" t="s">
        <v>355</v>
      </c>
    </row>
    <row r="3339" ht="16.5" customHeight="1">
      <c r="O3339" s="5" t="s">
        <v>355</v>
      </c>
      <c r="P3339" s="5" t="s">
        <v>355</v>
      </c>
      <c r="Q3339" s="5" t="s">
        <v>355</v>
      </c>
    </row>
    <row r="3340" ht="16.5" customHeight="1">
      <c r="O3340" s="5" t="s">
        <v>355</v>
      </c>
      <c r="P3340" s="5" t="s">
        <v>355</v>
      </c>
      <c r="Q3340" s="5" t="s">
        <v>355</v>
      </c>
    </row>
    <row r="3341" ht="16.5" customHeight="1">
      <c r="O3341" s="5" t="s">
        <v>355</v>
      </c>
      <c r="P3341" s="5" t="s">
        <v>355</v>
      </c>
      <c r="Q3341" s="5" t="s">
        <v>355</v>
      </c>
    </row>
    <row r="3342" ht="16.5" customHeight="1">
      <c r="O3342" s="5" t="s">
        <v>355</v>
      </c>
      <c r="P3342" s="5" t="s">
        <v>355</v>
      </c>
      <c r="Q3342" s="5" t="s">
        <v>355</v>
      </c>
    </row>
    <row r="3343" ht="16.5" customHeight="1">
      <c r="O3343" s="5" t="s">
        <v>355</v>
      </c>
      <c r="P3343" s="5" t="s">
        <v>355</v>
      </c>
      <c r="Q3343" s="5" t="s">
        <v>355</v>
      </c>
    </row>
    <row r="3344" ht="16.5" customHeight="1">
      <c r="O3344" s="5" t="s">
        <v>355</v>
      </c>
      <c r="P3344" s="5" t="s">
        <v>355</v>
      </c>
      <c r="Q3344" s="5" t="s">
        <v>355</v>
      </c>
    </row>
    <row r="3345" ht="16.5" customHeight="1">
      <c r="O3345" s="5" t="s">
        <v>355</v>
      </c>
      <c r="P3345" s="5" t="s">
        <v>355</v>
      </c>
      <c r="Q3345" s="5" t="s">
        <v>355</v>
      </c>
    </row>
    <row r="3346" ht="16.5" customHeight="1">
      <c r="O3346" s="5" t="s">
        <v>355</v>
      </c>
      <c r="P3346" s="5" t="s">
        <v>355</v>
      </c>
      <c r="Q3346" s="5" t="s">
        <v>355</v>
      </c>
    </row>
    <row r="3347" ht="16.5" customHeight="1">
      <c r="O3347" s="5" t="s">
        <v>355</v>
      </c>
      <c r="P3347" s="5" t="s">
        <v>355</v>
      </c>
      <c r="Q3347" s="5" t="s">
        <v>355</v>
      </c>
    </row>
    <row r="3348" ht="16.5" customHeight="1">
      <c r="O3348" s="5" t="s">
        <v>355</v>
      </c>
      <c r="P3348" s="5" t="s">
        <v>355</v>
      </c>
      <c r="Q3348" s="5" t="s">
        <v>355</v>
      </c>
    </row>
    <row r="3349" ht="16.5" customHeight="1">
      <c r="O3349" s="5" t="s">
        <v>355</v>
      </c>
      <c r="P3349" s="5" t="s">
        <v>355</v>
      </c>
      <c r="Q3349" s="5" t="s">
        <v>355</v>
      </c>
    </row>
    <row r="3350" ht="16.5" customHeight="1">
      <c r="O3350" s="5" t="s">
        <v>355</v>
      </c>
      <c r="P3350" s="5" t="s">
        <v>355</v>
      </c>
      <c r="Q3350" s="5" t="s">
        <v>355</v>
      </c>
    </row>
    <row r="3351" ht="16.5" customHeight="1">
      <c r="O3351" s="5" t="s">
        <v>355</v>
      </c>
      <c r="P3351" s="5" t="s">
        <v>355</v>
      </c>
      <c r="Q3351" s="5" t="s">
        <v>355</v>
      </c>
    </row>
    <row r="3352" ht="16.5" customHeight="1">
      <c r="O3352" s="5" t="s">
        <v>355</v>
      </c>
      <c r="P3352" s="5" t="s">
        <v>355</v>
      </c>
      <c r="Q3352" s="5" t="s">
        <v>355</v>
      </c>
    </row>
    <row r="3353" ht="16.5" customHeight="1">
      <c r="O3353" s="5" t="s">
        <v>355</v>
      </c>
      <c r="P3353" s="5" t="s">
        <v>355</v>
      </c>
      <c r="Q3353" s="5" t="s">
        <v>355</v>
      </c>
    </row>
    <row r="3354" ht="16.5" customHeight="1">
      <c r="O3354" s="5" t="s">
        <v>355</v>
      </c>
      <c r="P3354" s="5" t="s">
        <v>355</v>
      </c>
      <c r="Q3354" s="5" t="s">
        <v>355</v>
      </c>
    </row>
    <row r="3355" ht="16.5" customHeight="1">
      <c r="O3355" s="5" t="s">
        <v>355</v>
      </c>
      <c r="P3355" s="5" t="s">
        <v>355</v>
      </c>
      <c r="Q3355" s="5" t="s">
        <v>355</v>
      </c>
    </row>
    <row r="3356" ht="16.5" customHeight="1">
      <c r="O3356" s="5" t="s">
        <v>355</v>
      </c>
      <c r="P3356" s="5" t="s">
        <v>355</v>
      </c>
      <c r="Q3356" s="5" t="s">
        <v>355</v>
      </c>
    </row>
    <row r="3357" ht="16.5" customHeight="1">
      <c r="O3357" s="5" t="s">
        <v>355</v>
      </c>
      <c r="P3357" s="5" t="s">
        <v>355</v>
      </c>
      <c r="Q3357" s="5" t="s">
        <v>355</v>
      </c>
    </row>
    <row r="3358" ht="16.5" customHeight="1">
      <c r="O3358" s="5" t="s">
        <v>355</v>
      </c>
      <c r="P3358" s="5" t="s">
        <v>355</v>
      </c>
      <c r="Q3358" s="5" t="s">
        <v>355</v>
      </c>
    </row>
    <row r="3359" ht="16.5" customHeight="1">
      <c r="O3359" s="5" t="s">
        <v>355</v>
      </c>
      <c r="P3359" s="5" t="s">
        <v>355</v>
      </c>
      <c r="Q3359" s="5" t="s">
        <v>355</v>
      </c>
    </row>
    <row r="3360" ht="16.5" customHeight="1">
      <c r="O3360" s="5" t="s">
        <v>355</v>
      </c>
      <c r="P3360" s="5" t="s">
        <v>355</v>
      </c>
      <c r="Q3360" s="5" t="s">
        <v>355</v>
      </c>
    </row>
    <row r="3361" ht="16.5" customHeight="1">
      <c r="O3361" s="5" t="s">
        <v>355</v>
      </c>
      <c r="P3361" s="5" t="s">
        <v>355</v>
      </c>
      <c r="Q3361" s="5" t="s">
        <v>355</v>
      </c>
    </row>
    <row r="3362" ht="16.5" customHeight="1">
      <c r="O3362" s="5" t="s">
        <v>355</v>
      </c>
      <c r="P3362" s="5" t="s">
        <v>355</v>
      </c>
      <c r="Q3362" s="5" t="s">
        <v>355</v>
      </c>
    </row>
    <row r="3363" ht="16.5" customHeight="1">
      <c r="O3363" s="5" t="s">
        <v>355</v>
      </c>
      <c r="P3363" s="5" t="s">
        <v>355</v>
      </c>
      <c r="Q3363" s="5" t="s">
        <v>355</v>
      </c>
    </row>
    <row r="3364" ht="16.5" customHeight="1">
      <c r="O3364" s="5" t="s">
        <v>355</v>
      </c>
      <c r="P3364" s="5" t="s">
        <v>355</v>
      </c>
      <c r="Q3364" s="5" t="s">
        <v>355</v>
      </c>
    </row>
    <row r="3365" ht="16.5" customHeight="1">
      <c r="O3365" s="5" t="s">
        <v>355</v>
      </c>
      <c r="P3365" s="5" t="s">
        <v>355</v>
      </c>
      <c r="Q3365" s="5" t="s">
        <v>355</v>
      </c>
    </row>
    <row r="3366" ht="16.5" customHeight="1">
      <c r="O3366" s="5" t="s">
        <v>355</v>
      </c>
      <c r="P3366" s="5" t="s">
        <v>355</v>
      </c>
      <c r="Q3366" s="5" t="s">
        <v>355</v>
      </c>
    </row>
    <row r="3367" ht="16.5" customHeight="1">
      <c r="O3367" s="5" t="s">
        <v>355</v>
      </c>
      <c r="P3367" s="5" t="s">
        <v>355</v>
      </c>
      <c r="Q3367" s="5" t="s">
        <v>355</v>
      </c>
    </row>
    <row r="3368" ht="16.5" customHeight="1">
      <c r="O3368" s="5" t="s">
        <v>355</v>
      </c>
      <c r="P3368" s="5" t="s">
        <v>355</v>
      </c>
      <c r="Q3368" s="5" t="s">
        <v>355</v>
      </c>
    </row>
    <row r="3369" ht="16.5" customHeight="1">
      <c r="O3369" s="5" t="s">
        <v>355</v>
      </c>
      <c r="P3369" s="5" t="s">
        <v>355</v>
      </c>
      <c r="Q3369" s="5" t="s">
        <v>355</v>
      </c>
    </row>
    <row r="3370" ht="16.5" customHeight="1">
      <c r="O3370" s="5" t="s">
        <v>355</v>
      </c>
      <c r="P3370" s="5" t="s">
        <v>355</v>
      </c>
      <c r="Q3370" s="5" t="s">
        <v>355</v>
      </c>
    </row>
    <row r="3371" ht="16.5" customHeight="1">
      <c r="O3371" s="5" t="s">
        <v>355</v>
      </c>
      <c r="P3371" s="5" t="s">
        <v>355</v>
      </c>
      <c r="Q3371" s="5" t="s">
        <v>355</v>
      </c>
    </row>
    <row r="3372" ht="16.5" customHeight="1">
      <c r="O3372" s="5" t="s">
        <v>355</v>
      </c>
      <c r="P3372" s="5" t="s">
        <v>355</v>
      </c>
      <c r="Q3372" s="5" t="s">
        <v>355</v>
      </c>
    </row>
    <row r="3373" ht="16.5" customHeight="1">
      <c r="O3373" s="5" t="s">
        <v>355</v>
      </c>
      <c r="P3373" s="5" t="s">
        <v>355</v>
      </c>
      <c r="Q3373" s="5" t="s">
        <v>355</v>
      </c>
    </row>
    <row r="3374" ht="16.5" customHeight="1">
      <c r="O3374" s="5" t="s">
        <v>355</v>
      </c>
      <c r="P3374" s="5" t="s">
        <v>355</v>
      </c>
      <c r="Q3374" s="5" t="s">
        <v>355</v>
      </c>
    </row>
    <row r="3375" ht="16.5" customHeight="1">
      <c r="O3375" s="5" t="s">
        <v>355</v>
      </c>
      <c r="P3375" s="5" t="s">
        <v>355</v>
      </c>
      <c r="Q3375" s="5" t="s">
        <v>355</v>
      </c>
    </row>
    <row r="3376" ht="16.5" customHeight="1">
      <c r="O3376" s="5" t="s">
        <v>355</v>
      </c>
      <c r="P3376" s="5" t="s">
        <v>355</v>
      </c>
      <c r="Q3376" s="5" t="s">
        <v>355</v>
      </c>
    </row>
    <row r="3377" ht="16.5" customHeight="1">
      <c r="O3377" s="5" t="s">
        <v>355</v>
      </c>
      <c r="P3377" s="5" t="s">
        <v>355</v>
      </c>
      <c r="Q3377" s="5" t="s">
        <v>355</v>
      </c>
    </row>
    <row r="3378" ht="16.5" customHeight="1">
      <c r="O3378" s="5" t="s">
        <v>355</v>
      </c>
      <c r="P3378" s="5" t="s">
        <v>355</v>
      </c>
      <c r="Q3378" s="5" t="s">
        <v>355</v>
      </c>
    </row>
    <row r="3379" ht="16.5" customHeight="1">
      <c r="O3379" s="5" t="s">
        <v>355</v>
      </c>
      <c r="P3379" s="5" t="s">
        <v>355</v>
      </c>
      <c r="Q3379" s="5" t="s">
        <v>355</v>
      </c>
    </row>
    <row r="3380" ht="16.5" customHeight="1">
      <c r="O3380" s="5" t="s">
        <v>355</v>
      </c>
      <c r="P3380" s="5" t="s">
        <v>355</v>
      </c>
      <c r="Q3380" s="5" t="s">
        <v>355</v>
      </c>
    </row>
    <row r="3381" ht="16.5" customHeight="1">
      <c r="O3381" s="5" t="s">
        <v>355</v>
      </c>
      <c r="P3381" s="5" t="s">
        <v>355</v>
      </c>
      <c r="Q3381" s="5" t="s">
        <v>355</v>
      </c>
    </row>
    <row r="3382" ht="16.5" customHeight="1">
      <c r="O3382" s="5" t="s">
        <v>355</v>
      </c>
      <c r="P3382" s="5" t="s">
        <v>355</v>
      </c>
      <c r="Q3382" s="5" t="s">
        <v>355</v>
      </c>
    </row>
    <row r="3383" ht="16.5" customHeight="1">
      <c r="O3383" s="5" t="s">
        <v>355</v>
      </c>
      <c r="P3383" s="5" t="s">
        <v>355</v>
      </c>
      <c r="Q3383" s="5" t="s">
        <v>355</v>
      </c>
    </row>
    <row r="3384" ht="16.5" customHeight="1">
      <c r="O3384" s="5" t="s">
        <v>355</v>
      </c>
      <c r="P3384" s="5" t="s">
        <v>355</v>
      </c>
      <c r="Q3384" s="5" t="s">
        <v>355</v>
      </c>
    </row>
    <row r="3385" ht="16.5" customHeight="1">
      <c r="O3385" s="5" t="s">
        <v>355</v>
      </c>
      <c r="P3385" s="5" t="s">
        <v>355</v>
      </c>
      <c r="Q3385" s="5" t="s">
        <v>355</v>
      </c>
    </row>
    <row r="3386" ht="16.5" customHeight="1">
      <c r="O3386" s="5" t="s">
        <v>355</v>
      </c>
      <c r="P3386" s="5" t="s">
        <v>355</v>
      </c>
      <c r="Q3386" s="5" t="s">
        <v>355</v>
      </c>
    </row>
    <row r="3387" ht="16.5" customHeight="1">
      <c r="O3387" s="5" t="s">
        <v>355</v>
      </c>
      <c r="P3387" s="5" t="s">
        <v>355</v>
      </c>
      <c r="Q3387" s="5" t="s">
        <v>355</v>
      </c>
    </row>
    <row r="3388" ht="16.5" customHeight="1">
      <c r="O3388" s="5" t="s">
        <v>355</v>
      </c>
      <c r="P3388" s="5" t="s">
        <v>355</v>
      </c>
      <c r="Q3388" s="5" t="s">
        <v>355</v>
      </c>
    </row>
    <row r="3389" ht="16.5" customHeight="1">
      <c r="O3389" s="5" t="s">
        <v>355</v>
      </c>
      <c r="P3389" s="5" t="s">
        <v>355</v>
      </c>
      <c r="Q3389" s="5" t="s">
        <v>355</v>
      </c>
    </row>
    <row r="3390" ht="16.5" customHeight="1">
      <c r="O3390" s="5" t="s">
        <v>355</v>
      </c>
      <c r="P3390" s="5" t="s">
        <v>355</v>
      </c>
      <c r="Q3390" s="5" t="s">
        <v>355</v>
      </c>
    </row>
    <row r="3391" ht="16.5" customHeight="1">
      <c r="O3391" s="5" t="s">
        <v>355</v>
      </c>
      <c r="P3391" s="5" t="s">
        <v>355</v>
      </c>
      <c r="Q3391" s="5" t="s">
        <v>355</v>
      </c>
    </row>
    <row r="3392" ht="16.5" customHeight="1">
      <c r="O3392" s="5" t="s">
        <v>355</v>
      </c>
      <c r="P3392" s="5" t="s">
        <v>355</v>
      </c>
      <c r="Q3392" s="5" t="s">
        <v>355</v>
      </c>
    </row>
    <row r="3393" ht="16.5" customHeight="1">
      <c r="O3393" s="5" t="s">
        <v>355</v>
      </c>
      <c r="P3393" s="5" t="s">
        <v>355</v>
      </c>
      <c r="Q3393" s="5" t="s">
        <v>355</v>
      </c>
    </row>
    <row r="3394" ht="16.5" customHeight="1">
      <c r="O3394" s="5" t="s">
        <v>355</v>
      </c>
      <c r="P3394" s="5" t="s">
        <v>355</v>
      </c>
      <c r="Q3394" s="5" t="s">
        <v>355</v>
      </c>
    </row>
    <row r="3395" ht="16.5" customHeight="1">
      <c r="O3395" s="5" t="s">
        <v>355</v>
      </c>
      <c r="P3395" s="5" t="s">
        <v>355</v>
      </c>
      <c r="Q3395" s="5" t="s">
        <v>355</v>
      </c>
    </row>
    <row r="3396" ht="16.5" customHeight="1">
      <c r="O3396" s="5" t="s">
        <v>355</v>
      </c>
      <c r="P3396" s="5" t="s">
        <v>355</v>
      </c>
      <c r="Q3396" s="5" t="s">
        <v>355</v>
      </c>
    </row>
    <row r="3397" ht="16.5" customHeight="1">
      <c r="O3397" s="5" t="s">
        <v>355</v>
      </c>
      <c r="P3397" s="5" t="s">
        <v>355</v>
      </c>
      <c r="Q3397" s="5" t="s">
        <v>355</v>
      </c>
    </row>
    <row r="3398" ht="16.5" customHeight="1">
      <c r="O3398" s="5" t="s">
        <v>355</v>
      </c>
      <c r="P3398" s="5" t="s">
        <v>355</v>
      </c>
      <c r="Q3398" s="5" t="s">
        <v>355</v>
      </c>
    </row>
    <row r="3399" ht="16.5" customHeight="1">
      <c r="O3399" s="5" t="s">
        <v>355</v>
      </c>
      <c r="P3399" s="5" t="s">
        <v>355</v>
      </c>
      <c r="Q3399" s="5" t="s">
        <v>355</v>
      </c>
    </row>
    <row r="3400" ht="16.5" customHeight="1">
      <c r="O3400" s="5" t="s">
        <v>355</v>
      </c>
      <c r="P3400" s="5" t="s">
        <v>355</v>
      </c>
      <c r="Q3400" s="5" t="s">
        <v>355</v>
      </c>
    </row>
    <row r="3401" ht="16.5" customHeight="1">
      <c r="O3401" s="5" t="s">
        <v>355</v>
      </c>
      <c r="P3401" s="5" t="s">
        <v>355</v>
      </c>
      <c r="Q3401" s="5" t="s">
        <v>355</v>
      </c>
    </row>
    <row r="3402" ht="16.5" customHeight="1">
      <c r="O3402" s="5" t="s">
        <v>355</v>
      </c>
      <c r="P3402" s="5" t="s">
        <v>355</v>
      </c>
      <c r="Q3402" s="5" t="s">
        <v>355</v>
      </c>
    </row>
    <row r="3403" ht="16.5" customHeight="1">
      <c r="O3403" s="5" t="s">
        <v>355</v>
      </c>
      <c r="P3403" s="5" t="s">
        <v>355</v>
      </c>
      <c r="Q3403" s="5" t="s">
        <v>355</v>
      </c>
    </row>
    <row r="3404" ht="16.5" customHeight="1">
      <c r="O3404" s="5" t="s">
        <v>355</v>
      </c>
      <c r="P3404" s="5" t="s">
        <v>355</v>
      </c>
      <c r="Q3404" s="5" t="s">
        <v>355</v>
      </c>
    </row>
    <row r="3405" ht="16.5" customHeight="1">
      <c r="O3405" s="5" t="s">
        <v>355</v>
      </c>
      <c r="P3405" s="5" t="s">
        <v>355</v>
      </c>
      <c r="Q3405" s="5" t="s">
        <v>355</v>
      </c>
    </row>
    <row r="3406" ht="16.5" customHeight="1">
      <c r="O3406" s="5" t="s">
        <v>355</v>
      </c>
      <c r="P3406" s="5" t="s">
        <v>355</v>
      </c>
      <c r="Q3406" s="5" t="s">
        <v>355</v>
      </c>
    </row>
    <row r="3407" ht="16.5" customHeight="1">
      <c r="O3407" s="5" t="s">
        <v>355</v>
      </c>
      <c r="P3407" s="5" t="s">
        <v>355</v>
      </c>
      <c r="Q3407" s="5" t="s">
        <v>355</v>
      </c>
    </row>
    <row r="3408" ht="16.5" customHeight="1">
      <c r="O3408" s="5" t="s">
        <v>355</v>
      </c>
      <c r="P3408" s="5" t="s">
        <v>355</v>
      </c>
      <c r="Q3408" s="5" t="s">
        <v>355</v>
      </c>
    </row>
    <row r="3409" ht="16.5" customHeight="1">
      <c r="O3409" s="5" t="s">
        <v>355</v>
      </c>
      <c r="P3409" s="5" t="s">
        <v>355</v>
      </c>
      <c r="Q3409" s="5" t="s">
        <v>355</v>
      </c>
    </row>
    <row r="3410" ht="16.5" customHeight="1">
      <c r="O3410" s="5" t="s">
        <v>355</v>
      </c>
      <c r="P3410" s="5" t="s">
        <v>355</v>
      </c>
      <c r="Q3410" s="5" t="s">
        <v>355</v>
      </c>
    </row>
    <row r="3411" ht="16.5" customHeight="1">
      <c r="O3411" s="5" t="s">
        <v>355</v>
      </c>
      <c r="P3411" s="5" t="s">
        <v>355</v>
      </c>
      <c r="Q3411" s="5" t="s">
        <v>355</v>
      </c>
    </row>
    <row r="3412" ht="16.5" customHeight="1">
      <c r="O3412" s="5" t="s">
        <v>355</v>
      </c>
      <c r="P3412" s="5" t="s">
        <v>355</v>
      </c>
      <c r="Q3412" s="5" t="s">
        <v>355</v>
      </c>
    </row>
    <row r="3413" ht="16.5" customHeight="1">
      <c r="O3413" s="5" t="s">
        <v>355</v>
      </c>
      <c r="P3413" s="5" t="s">
        <v>355</v>
      </c>
      <c r="Q3413" s="5" t="s">
        <v>355</v>
      </c>
    </row>
    <row r="3414" ht="16.5" customHeight="1">
      <c r="O3414" s="5" t="s">
        <v>355</v>
      </c>
      <c r="P3414" s="5" t="s">
        <v>355</v>
      </c>
      <c r="Q3414" s="5" t="s">
        <v>355</v>
      </c>
    </row>
    <row r="3415" ht="16.5" customHeight="1">
      <c r="O3415" s="5" t="s">
        <v>355</v>
      </c>
      <c r="P3415" s="5" t="s">
        <v>355</v>
      </c>
      <c r="Q3415" s="5" t="s">
        <v>355</v>
      </c>
    </row>
    <row r="3416" ht="16.5" customHeight="1">
      <c r="O3416" s="5" t="s">
        <v>355</v>
      </c>
      <c r="P3416" s="5" t="s">
        <v>355</v>
      </c>
      <c r="Q3416" s="5" t="s">
        <v>355</v>
      </c>
    </row>
    <row r="3417" ht="16.5" customHeight="1">
      <c r="O3417" s="5" t="s">
        <v>355</v>
      </c>
      <c r="P3417" s="5" t="s">
        <v>355</v>
      </c>
      <c r="Q3417" s="5" t="s">
        <v>355</v>
      </c>
    </row>
    <row r="3418" ht="16.5" customHeight="1">
      <c r="O3418" s="5" t="s">
        <v>355</v>
      </c>
      <c r="P3418" s="5" t="s">
        <v>355</v>
      </c>
      <c r="Q3418" s="5" t="s">
        <v>355</v>
      </c>
    </row>
    <row r="3419" ht="16.5" customHeight="1">
      <c r="O3419" s="5" t="s">
        <v>355</v>
      </c>
      <c r="P3419" s="5" t="s">
        <v>355</v>
      </c>
      <c r="Q3419" s="5" t="s">
        <v>355</v>
      </c>
    </row>
    <row r="3420" ht="16.5" customHeight="1">
      <c r="O3420" s="5" t="s">
        <v>355</v>
      </c>
      <c r="P3420" s="5" t="s">
        <v>355</v>
      </c>
      <c r="Q3420" s="5" t="s">
        <v>355</v>
      </c>
    </row>
    <row r="3421" ht="16.5" customHeight="1">
      <c r="O3421" s="5" t="s">
        <v>355</v>
      </c>
      <c r="P3421" s="5" t="s">
        <v>355</v>
      </c>
      <c r="Q3421" s="5" t="s">
        <v>355</v>
      </c>
    </row>
    <row r="3422" ht="16.5" customHeight="1">
      <c r="O3422" s="5" t="s">
        <v>355</v>
      </c>
      <c r="P3422" s="5" t="s">
        <v>355</v>
      </c>
      <c r="Q3422" s="5" t="s">
        <v>355</v>
      </c>
    </row>
    <row r="3423" ht="16.5" customHeight="1">
      <c r="O3423" s="5" t="s">
        <v>355</v>
      </c>
      <c r="P3423" s="5" t="s">
        <v>355</v>
      </c>
      <c r="Q3423" s="5" t="s">
        <v>355</v>
      </c>
    </row>
    <row r="3424" ht="16.5" customHeight="1">
      <c r="O3424" s="5" t="s">
        <v>355</v>
      </c>
      <c r="P3424" s="5" t="s">
        <v>355</v>
      </c>
      <c r="Q3424" s="5" t="s">
        <v>355</v>
      </c>
    </row>
    <row r="3425" ht="16.5" customHeight="1">
      <c r="O3425" s="5" t="s">
        <v>355</v>
      </c>
      <c r="P3425" s="5" t="s">
        <v>355</v>
      </c>
      <c r="Q3425" s="5" t="s">
        <v>355</v>
      </c>
    </row>
    <row r="3426" ht="16.5" customHeight="1">
      <c r="O3426" s="5" t="s">
        <v>355</v>
      </c>
      <c r="P3426" s="5" t="s">
        <v>355</v>
      </c>
      <c r="Q3426" s="5" t="s">
        <v>355</v>
      </c>
    </row>
    <row r="3427" ht="16.5" customHeight="1">
      <c r="O3427" s="5" t="s">
        <v>355</v>
      </c>
      <c r="P3427" s="5" t="s">
        <v>355</v>
      </c>
      <c r="Q3427" s="5" t="s">
        <v>355</v>
      </c>
    </row>
    <row r="3428" ht="16.5" customHeight="1">
      <c r="O3428" s="5" t="s">
        <v>355</v>
      </c>
      <c r="P3428" s="5" t="s">
        <v>355</v>
      </c>
      <c r="Q3428" s="5" t="s">
        <v>355</v>
      </c>
    </row>
    <row r="3429" ht="16.5" customHeight="1">
      <c r="O3429" s="5" t="s">
        <v>355</v>
      </c>
      <c r="P3429" s="5" t="s">
        <v>355</v>
      </c>
      <c r="Q3429" s="5" t="s">
        <v>355</v>
      </c>
    </row>
    <row r="3430" ht="16.5" customHeight="1">
      <c r="O3430" s="5" t="s">
        <v>355</v>
      </c>
      <c r="P3430" s="5" t="s">
        <v>355</v>
      </c>
      <c r="Q3430" s="5" t="s">
        <v>355</v>
      </c>
    </row>
    <row r="3431" ht="16.5" customHeight="1">
      <c r="O3431" s="5" t="s">
        <v>355</v>
      </c>
      <c r="P3431" s="5" t="s">
        <v>355</v>
      </c>
      <c r="Q3431" s="5" t="s">
        <v>355</v>
      </c>
    </row>
    <row r="3432" ht="16.5" customHeight="1">
      <c r="O3432" s="5" t="s">
        <v>355</v>
      </c>
      <c r="P3432" s="5" t="s">
        <v>355</v>
      </c>
      <c r="Q3432" s="5" t="s">
        <v>355</v>
      </c>
    </row>
    <row r="3433" ht="16.5" customHeight="1">
      <c r="O3433" s="5" t="s">
        <v>355</v>
      </c>
      <c r="P3433" s="5" t="s">
        <v>355</v>
      </c>
      <c r="Q3433" s="5" t="s">
        <v>355</v>
      </c>
    </row>
    <row r="3434" ht="16.5" customHeight="1">
      <c r="O3434" s="5" t="s">
        <v>355</v>
      </c>
      <c r="P3434" s="5" t="s">
        <v>355</v>
      </c>
      <c r="Q3434" s="5" t="s">
        <v>355</v>
      </c>
    </row>
    <row r="3435" ht="16.5" customHeight="1">
      <c r="O3435" s="5" t="s">
        <v>355</v>
      </c>
      <c r="P3435" s="5" t="s">
        <v>355</v>
      </c>
      <c r="Q3435" s="5" t="s">
        <v>355</v>
      </c>
    </row>
    <row r="3436" ht="16.5" customHeight="1">
      <c r="O3436" s="5" t="s">
        <v>355</v>
      </c>
      <c r="P3436" s="5" t="s">
        <v>355</v>
      </c>
      <c r="Q3436" s="5" t="s">
        <v>355</v>
      </c>
    </row>
    <row r="3437" ht="16.5" customHeight="1">
      <c r="O3437" s="5" t="s">
        <v>355</v>
      </c>
      <c r="P3437" s="5" t="s">
        <v>355</v>
      </c>
      <c r="Q3437" s="5" t="s">
        <v>355</v>
      </c>
    </row>
    <row r="3438" ht="16.5" customHeight="1">
      <c r="O3438" s="5" t="s">
        <v>355</v>
      </c>
      <c r="P3438" s="5" t="s">
        <v>355</v>
      </c>
      <c r="Q3438" s="5" t="s">
        <v>355</v>
      </c>
    </row>
    <row r="3439" ht="16.5" customHeight="1">
      <c r="O3439" s="5" t="s">
        <v>355</v>
      </c>
      <c r="P3439" s="5" t="s">
        <v>355</v>
      </c>
      <c r="Q3439" s="5" t="s">
        <v>355</v>
      </c>
    </row>
    <row r="3440" ht="16.5" customHeight="1">
      <c r="O3440" s="5" t="s">
        <v>355</v>
      </c>
      <c r="P3440" s="5" t="s">
        <v>355</v>
      </c>
      <c r="Q3440" s="5" t="s">
        <v>355</v>
      </c>
    </row>
    <row r="3441" ht="16.5" customHeight="1">
      <c r="O3441" s="5" t="s">
        <v>355</v>
      </c>
      <c r="P3441" s="5" t="s">
        <v>355</v>
      </c>
      <c r="Q3441" s="5" t="s">
        <v>355</v>
      </c>
    </row>
    <row r="3442" ht="16.5" customHeight="1">
      <c r="O3442" s="5" t="s">
        <v>355</v>
      </c>
      <c r="P3442" s="5" t="s">
        <v>355</v>
      </c>
      <c r="Q3442" s="5" t="s">
        <v>355</v>
      </c>
    </row>
    <row r="3443" ht="16.5" customHeight="1">
      <c r="O3443" s="5" t="s">
        <v>355</v>
      </c>
      <c r="P3443" s="5" t="s">
        <v>355</v>
      </c>
      <c r="Q3443" s="5" t="s">
        <v>355</v>
      </c>
    </row>
    <row r="3444" ht="16.5" customHeight="1">
      <c r="O3444" s="5" t="s">
        <v>355</v>
      </c>
      <c r="P3444" s="5" t="s">
        <v>355</v>
      </c>
      <c r="Q3444" s="5" t="s">
        <v>355</v>
      </c>
    </row>
    <row r="3445" ht="16.5" customHeight="1">
      <c r="O3445" s="5" t="s">
        <v>355</v>
      </c>
      <c r="P3445" s="5" t="s">
        <v>355</v>
      </c>
      <c r="Q3445" s="5" t="s">
        <v>355</v>
      </c>
    </row>
    <row r="3446" ht="16.5" customHeight="1">
      <c r="O3446" s="5" t="s">
        <v>355</v>
      </c>
      <c r="P3446" s="5" t="s">
        <v>355</v>
      </c>
      <c r="Q3446" s="5" t="s">
        <v>355</v>
      </c>
    </row>
    <row r="3447" ht="16.5" customHeight="1">
      <c r="O3447" s="5" t="s">
        <v>355</v>
      </c>
      <c r="P3447" s="5" t="s">
        <v>355</v>
      </c>
      <c r="Q3447" s="5" t="s">
        <v>355</v>
      </c>
    </row>
    <row r="3448" ht="16.5" customHeight="1">
      <c r="O3448" s="5" t="s">
        <v>355</v>
      </c>
      <c r="P3448" s="5" t="s">
        <v>355</v>
      </c>
      <c r="Q3448" s="5" t="s">
        <v>355</v>
      </c>
    </row>
    <row r="3449" ht="16.5" customHeight="1">
      <c r="O3449" s="5" t="s">
        <v>355</v>
      </c>
      <c r="P3449" s="5" t="s">
        <v>355</v>
      </c>
      <c r="Q3449" s="5" t="s">
        <v>355</v>
      </c>
    </row>
    <row r="3450" ht="16.5" customHeight="1">
      <c r="O3450" s="5" t="s">
        <v>355</v>
      </c>
      <c r="P3450" s="5" t="s">
        <v>355</v>
      </c>
      <c r="Q3450" s="5" t="s">
        <v>355</v>
      </c>
    </row>
    <row r="3451" ht="16.5" customHeight="1">
      <c r="O3451" s="5" t="s">
        <v>355</v>
      </c>
      <c r="P3451" s="5" t="s">
        <v>355</v>
      </c>
      <c r="Q3451" s="5" t="s">
        <v>355</v>
      </c>
    </row>
    <row r="3452" ht="16.5" customHeight="1">
      <c r="O3452" s="5" t="s">
        <v>355</v>
      </c>
      <c r="P3452" s="5" t="s">
        <v>355</v>
      </c>
      <c r="Q3452" s="5" t="s">
        <v>355</v>
      </c>
    </row>
    <row r="3453" ht="16.5" customHeight="1">
      <c r="O3453" s="5" t="s">
        <v>355</v>
      </c>
      <c r="P3453" s="5" t="s">
        <v>355</v>
      </c>
      <c r="Q3453" s="5" t="s">
        <v>355</v>
      </c>
    </row>
    <row r="3454" ht="16.5" customHeight="1">
      <c r="O3454" s="5" t="s">
        <v>355</v>
      </c>
      <c r="P3454" s="5" t="s">
        <v>355</v>
      </c>
      <c r="Q3454" s="5" t="s">
        <v>355</v>
      </c>
    </row>
    <row r="3455" ht="16.5" customHeight="1">
      <c r="O3455" s="5" t="s">
        <v>355</v>
      </c>
      <c r="P3455" s="5" t="s">
        <v>355</v>
      </c>
      <c r="Q3455" s="5" t="s">
        <v>355</v>
      </c>
    </row>
    <row r="3456" ht="16.5" customHeight="1">
      <c r="O3456" s="5" t="s">
        <v>355</v>
      </c>
      <c r="P3456" s="5" t="s">
        <v>355</v>
      </c>
      <c r="Q3456" s="5" t="s">
        <v>355</v>
      </c>
    </row>
    <row r="3457" ht="16.5" customHeight="1">
      <c r="O3457" s="5" t="s">
        <v>355</v>
      </c>
      <c r="P3457" s="5" t="s">
        <v>355</v>
      </c>
      <c r="Q3457" s="5" t="s">
        <v>355</v>
      </c>
    </row>
    <row r="3458" ht="16.5" customHeight="1">
      <c r="O3458" s="5" t="s">
        <v>355</v>
      </c>
      <c r="P3458" s="5" t="s">
        <v>355</v>
      </c>
      <c r="Q3458" s="5" t="s">
        <v>355</v>
      </c>
    </row>
    <row r="3459" ht="16.5" customHeight="1">
      <c r="O3459" s="5" t="s">
        <v>355</v>
      </c>
      <c r="P3459" s="5" t="s">
        <v>355</v>
      </c>
      <c r="Q3459" s="5" t="s">
        <v>355</v>
      </c>
    </row>
    <row r="3460" ht="16.5" customHeight="1">
      <c r="O3460" s="5" t="s">
        <v>355</v>
      </c>
      <c r="P3460" s="5" t="s">
        <v>355</v>
      </c>
      <c r="Q3460" s="5" t="s">
        <v>355</v>
      </c>
    </row>
    <row r="3461" ht="16.5" customHeight="1">
      <c r="O3461" s="5" t="s">
        <v>355</v>
      </c>
      <c r="P3461" s="5" t="s">
        <v>355</v>
      </c>
      <c r="Q3461" s="5" t="s">
        <v>355</v>
      </c>
    </row>
    <row r="3462" ht="16.5" customHeight="1">
      <c r="O3462" s="5" t="s">
        <v>355</v>
      </c>
      <c r="P3462" s="5" t="s">
        <v>355</v>
      </c>
      <c r="Q3462" s="5" t="s">
        <v>355</v>
      </c>
    </row>
    <row r="3463" ht="16.5" customHeight="1">
      <c r="O3463" s="5" t="s">
        <v>355</v>
      </c>
      <c r="P3463" s="5" t="s">
        <v>355</v>
      </c>
      <c r="Q3463" s="5" t="s">
        <v>355</v>
      </c>
    </row>
    <row r="3464" ht="16.5" customHeight="1">
      <c r="O3464" s="5" t="s">
        <v>355</v>
      </c>
      <c r="P3464" s="5" t="s">
        <v>355</v>
      </c>
      <c r="Q3464" s="5" t="s">
        <v>355</v>
      </c>
    </row>
    <row r="3465" ht="16.5" customHeight="1">
      <c r="O3465" s="5" t="s">
        <v>355</v>
      </c>
      <c r="P3465" s="5" t="s">
        <v>355</v>
      </c>
      <c r="Q3465" s="5" t="s">
        <v>355</v>
      </c>
    </row>
    <row r="3466" ht="16.5" customHeight="1">
      <c r="O3466" s="5" t="s">
        <v>355</v>
      </c>
      <c r="P3466" s="5" t="s">
        <v>355</v>
      </c>
      <c r="Q3466" s="5" t="s">
        <v>355</v>
      </c>
    </row>
    <row r="3467" ht="16.5" customHeight="1">
      <c r="O3467" s="5" t="s">
        <v>355</v>
      </c>
      <c r="P3467" s="5" t="s">
        <v>355</v>
      </c>
      <c r="Q3467" s="5" t="s">
        <v>355</v>
      </c>
    </row>
    <row r="3468" ht="16.5" customHeight="1">
      <c r="O3468" s="5" t="s">
        <v>355</v>
      </c>
      <c r="P3468" s="5" t="s">
        <v>355</v>
      </c>
      <c r="Q3468" s="5" t="s">
        <v>355</v>
      </c>
    </row>
    <row r="3469" ht="16.5" customHeight="1">
      <c r="O3469" s="5" t="s">
        <v>355</v>
      </c>
      <c r="P3469" s="5" t="s">
        <v>355</v>
      </c>
      <c r="Q3469" s="5" t="s">
        <v>355</v>
      </c>
    </row>
    <row r="3470" ht="16.5" customHeight="1">
      <c r="O3470" s="5" t="s">
        <v>355</v>
      </c>
      <c r="P3470" s="5" t="s">
        <v>355</v>
      </c>
      <c r="Q3470" s="5" t="s">
        <v>355</v>
      </c>
    </row>
    <row r="3471" ht="16.5" customHeight="1">
      <c r="O3471" s="5" t="s">
        <v>355</v>
      </c>
      <c r="P3471" s="5" t="s">
        <v>355</v>
      </c>
      <c r="Q3471" s="5" t="s">
        <v>355</v>
      </c>
    </row>
    <row r="3472" ht="16.5" customHeight="1">
      <c r="O3472" s="5" t="s">
        <v>355</v>
      </c>
      <c r="P3472" s="5" t="s">
        <v>355</v>
      </c>
      <c r="Q3472" s="5" t="s">
        <v>355</v>
      </c>
    </row>
    <row r="3473" ht="16.5" customHeight="1">
      <c r="O3473" s="5" t="s">
        <v>355</v>
      </c>
      <c r="P3473" s="5" t="s">
        <v>355</v>
      </c>
      <c r="Q3473" s="5" t="s">
        <v>355</v>
      </c>
    </row>
    <row r="3474" ht="16.5" customHeight="1">
      <c r="O3474" s="5" t="s">
        <v>355</v>
      </c>
      <c r="P3474" s="5" t="s">
        <v>355</v>
      </c>
      <c r="Q3474" s="5" t="s">
        <v>355</v>
      </c>
    </row>
    <row r="3475" ht="16.5" customHeight="1">
      <c r="O3475" s="5" t="s">
        <v>355</v>
      </c>
      <c r="P3475" s="5" t="s">
        <v>355</v>
      </c>
      <c r="Q3475" s="5" t="s">
        <v>355</v>
      </c>
    </row>
    <row r="3476" ht="16.5" customHeight="1">
      <c r="O3476" s="5" t="s">
        <v>355</v>
      </c>
      <c r="P3476" s="5" t="s">
        <v>355</v>
      </c>
      <c r="Q3476" s="5" t="s">
        <v>355</v>
      </c>
    </row>
    <row r="3477" ht="16.5" customHeight="1">
      <c r="O3477" s="5" t="s">
        <v>355</v>
      </c>
      <c r="P3477" s="5" t="s">
        <v>355</v>
      </c>
      <c r="Q3477" s="5" t="s">
        <v>355</v>
      </c>
    </row>
    <row r="3478" ht="16.5" customHeight="1">
      <c r="O3478" s="5" t="s">
        <v>355</v>
      </c>
      <c r="P3478" s="5" t="s">
        <v>355</v>
      </c>
      <c r="Q3478" s="5" t="s">
        <v>355</v>
      </c>
    </row>
    <row r="3479" ht="16.5" customHeight="1">
      <c r="O3479" s="5" t="s">
        <v>355</v>
      </c>
      <c r="P3479" s="5" t="s">
        <v>355</v>
      </c>
      <c r="Q3479" s="5" t="s">
        <v>355</v>
      </c>
    </row>
    <row r="3480" ht="16.5" customHeight="1">
      <c r="O3480" s="5" t="s">
        <v>355</v>
      </c>
      <c r="P3480" s="5" t="s">
        <v>355</v>
      </c>
      <c r="Q3480" s="5" t="s">
        <v>355</v>
      </c>
    </row>
    <row r="3481" ht="16.5" customHeight="1">
      <c r="O3481" s="5" t="s">
        <v>355</v>
      </c>
      <c r="P3481" s="5" t="s">
        <v>355</v>
      </c>
      <c r="Q3481" s="5" t="s">
        <v>355</v>
      </c>
    </row>
    <row r="3482" ht="16.5" customHeight="1">
      <c r="O3482" s="5" t="s">
        <v>355</v>
      </c>
      <c r="P3482" s="5" t="s">
        <v>355</v>
      </c>
      <c r="Q3482" s="5" t="s">
        <v>355</v>
      </c>
    </row>
    <row r="3483" ht="16.5" customHeight="1">
      <c r="O3483" s="5" t="s">
        <v>355</v>
      </c>
      <c r="P3483" s="5" t="s">
        <v>355</v>
      </c>
      <c r="Q3483" s="5" t="s">
        <v>355</v>
      </c>
    </row>
    <row r="3484" ht="16.5" customHeight="1">
      <c r="O3484" s="5" t="s">
        <v>355</v>
      </c>
      <c r="P3484" s="5" t="s">
        <v>355</v>
      </c>
      <c r="Q3484" s="5" t="s">
        <v>355</v>
      </c>
    </row>
    <row r="3485" ht="16.5" customHeight="1">
      <c r="O3485" s="5" t="s">
        <v>355</v>
      </c>
      <c r="P3485" s="5" t="s">
        <v>355</v>
      </c>
      <c r="Q3485" s="5" t="s">
        <v>355</v>
      </c>
    </row>
    <row r="3486" ht="16.5" customHeight="1">
      <c r="O3486" s="5" t="s">
        <v>355</v>
      </c>
      <c r="P3486" s="5" t="s">
        <v>355</v>
      </c>
      <c r="Q3486" s="5" t="s">
        <v>355</v>
      </c>
    </row>
    <row r="3487" ht="16.5" customHeight="1">
      <c r="O3487" s="5" t="s">
        <v>355</v>
      </c>
      <c r="P3487" s="5" t="s">
        <v>355</v>
      </c>
      <c r="Q3487" s="5" t="s">
        <v>355</v>
      </c>
    </row>
    <row r="3488" ht="16.5" customHeight="1">
      <c r="O3488" s="5" t="s">
        <v>355</v>
      </c>
      <c r="P3488" s="5" t="s">
        <v>355</v>
      </c>
      <c r="Q3488" s="5" t="s">
        <v>355</v>
      </c>
    </row>
    <row r="3489" ht="16.5" customHeight="1">
      <c r="O3489" s="5" t="s">
        <v>355</v>
      </c>
      <c r="P3489" s="5" t="s">
        <v>355</v>
      </c>
      <c r="Q3489" s="5" t="s">
        <v>355</v>
      </c>
    </row>
    <row r="3490" ht="16.5" customHeight="1">
      <c r="O3490" s="5" t="s">
        <v>355</v>
      </c>
      <c r="P3490" s="5" t="s">
        <v>355</v>
      </c>
      <c r="Q3490" s="5" t="s">
        <v>355</v>
      </c>
    </row>
    <row r="3491" ht="16.5" customHeight="1">
      <c r="O3491" s="5" t="s">
        <v>355</v>
      </c>
      <c r="P3491" s="5" t="s">
        <v>355</v>
      </c>
      <c r="Q3491" s="5" t="s">
        <v>355</v>
      </c>
    </row>
    <row r="3492" ht="16.5" customHeight="1">
      <c r="O3492" s="5" t="s">
        <v>355</v>
      </c>
      <c r="P3492" s="5" t="s">
        <v>355</v>
      </c>
      <c r="Q3492" s="5" t="s">
        <v>355</v>
      </c>
    </row>
    <row r="3493" ht="16.5" customHeight="1">
      <c r="O3493" s="5" t="s">
        <v>355</v>
      </c>
      <c r="P3493" s="5" t="s">
        <v>355</v>
      </c>
      <c r="Q3493" s="5" t="s">
        <v>355</v>
      </c>
    </row>
    <row r="3494" ht="16.5" customHeight="1">
      <c r="O3494" s="5" t="s">
        <v>355</v>
      </c>
      <c r="P3494" s="5" t="s">
        <v>355</v>
      </c>
      <c r="Q3494" s="5" t="s">
        <v>355</v>
      </c>
    </row>
    <row r="3495" ht="16.5" customHeight="1">
      <c r="O3495" s="5" t="s">
        <v>355</v>
      </c>
      <c r="P3495" s="5" t="s">
        <v>355</v>
      </c>
      <c r="Q3495" s="5" t="s">
        <v>355</v>
      </c>
    </row>
    <row r="3496" ht="16.5" customHeight="1">
      <c r="O3496" s="5" t="s">
        <v>355</v>
      </c>
      <c r="P3496" s="5" t="s">
        <v>355</v>
      </c>
      <c r="Q3496" s="5" t="s">
        <v>355</v>
      </c>
    </row>
    <row r="3497" ht="16.5" customHeight="1">
      <c r="O3497" s="5" t="s">
        <v>355</v>
      </c>
      <c r="P3497" s="5" t="s">
        <v>355</v>
      </c>
      <c r="Q3497" s="5" t="s">
        <v>355</v>
      </c>
    </row>
    <row r="3498" ht="16.5" customHeight="1">
      <c r="O3498" s="5" t="s">
        <v>355</v>
      </c>
      <c r="P3498" s="5" t="s">
        <v>355</v>
      </c>
      <c r="Q3498" s="5" t="s">
        <v>355</v>
      </c>
    </row>
    <row r="3499" ht="16.5" customHeight="1">
      <c r="O3499" s="5" t="s">
        <v>355</v>
      </c>
      <c r="P3499" s="5" t="s">
        <v>355</v>
      </c>
      <c r="Q3499" s="5" t="s">
        <v>355</v>
      </c>
    </row>
    <row r="3500" ht="16.5" customHeight="1">
      <c r="O3500" s="5" t="s">
        <v>355</v>
      </c>
      <c r="P3500" s="5" t="s">
        <v>355</v>
      </c>
      <c r="Q3500" s="5" t="s">
        <v>355</v>
      </c>
    </row>
    <row r="3501" ht="16.5" customHeight="1">
      <c r="O3501" s="5" t="s">
        <v>355</v>
      </c>
      <c r="P3501" s="5" t="s">
        <v>355</v>
      </c>
      <c r="Q3501" s="5" t="s">
        <v>355</v>
      </c>
    </row>
    <row r="3502" ht="16.5" customHeight="1">
      <c r="O3502" s="5" t="s">
        <v>355</v>
      </c>
      <c r="P3502" s="5" t="s">
        <v>355</v>
      </c>
      <c r="Q3502" s="5" t="s">
        <v>355</v>
      </c>
    </row>
    <row r="3503" ht="16.5" customHeight="1">
      <c r="O3503" s="5" t="s">
        <v>355</v>
      </c>
      <c r="P3503" s="5" t="s">
        <v>355</v>
      </c>
      <c r="Q3503" s="5" t="s">
        <v>355</v>
      </c>
    </row>
    <row r="3504" ht="16.5" customHeight="1">
      <c r="O3504" s="5" t="s">
        <v>355</v>
      </c>
      <c r="P3504" s="5" t="s">
        <v>355</v>
      </c>
      <c r="Q3504" s="5" t="s">
        <v>355</v>
      </c>
    </row>
    <row r="3505" ht="16.5" customHeight="1">
      <c r="O3505" s="5" t="s">
        <v>355</v>
      </c>
      <c r="P3505" s="5" t="s">
        <v>355</v>
      </c>
      <c r="Q3505" s="5" t="s">
        <v>355</v>
      </c>
    </row>
    <row r="3506" ht="16.5" customHeight="1">
      <c r="O3506" s="5" t="s">
        <v>355</v>
      </c>
      <c r="P3506" s="5" t="s">
        <v>355</v>
      </c>
      <c r="Q3506" s="5" t="s">
        <v>355</v>
      </c>
    </row>
    <row r="3507" ht="16.5" customHeight="1">
      <c r="O3507" s="5" t="s">
        <v>355</v>
      </c>
      <c r="P3507" s="5" t="s">
        <v>355</v>
      </c>
      <c r="Q3507" s="5" t="s">
        <v>355</v>
      </c>
    </row>
    <row r="3508" ht="16.5" customHeight="1">
      <c r="O3508" s="5" t="s">
        <v>355</v>
      </c>
      <c r="P3508" s="5" t="s">
        <v>355</v>
      </c>
      <c r="Q3508" s="5" t="s">
        <v>355</v>
      </c>
    </row>
    <row r="3509" ht="16.5" customHeight="1">
      <c r="O3509" s="5" t="s">
        <v>355</v>
      </c>
      <c r="P3509" s="5" t="s">
        <v>355</v>
      </c>
      <c r="Q3509" s="5" t="s">
        <v>355</v>
      </c>
    </row>
    <row r="3510" ht="16.5" customHeight="1">
      <c r="O3510" s="5" t="s">
        <v>355</v>
      </c>
      <c r="P3510" s="5" t="s">
        <v>355</v>
      </c>
      <c r="Q3510" s="5" t="s">
        <v>355</v>
      </c>
    </row>
    <row r="3511" ht="16.5" customHeight="1">
      <c r="O3511" s="5" t="s">
        <v>355</v>
      </c>
      <c r="P3511" s="5" t="s">
        <v>355</v>
      </c>
      <c r="Q3511" s="5" t="s">
        <v>355</v>
      </c>
    </row>
    <row r="3512" ht="16.5" customHeight="1">
      <c r="O3512" s="5" t="s">
        <v>355</v>
      </c>
      <c r="P3512" s="5" t="s">
        <v>355</v>
      </c>
      <c r="Q3512" s="5" t="s">
        <v>355</v>
      </c>
    </row>
    <row r="3513" ht="16.5" customHeight="1">
      <c r="O3513" s="5" t="s">
        <v>355</v>
      </c>
      <c r="P3513" s="5" t="s">
        <v>355</v>
      </c>
      <c r="Q3513" s="5" t="s">
        <v>355</v>
      </c>
    </row>
    <row r="3514" ht="16.5" customHeight="1">
      <c r="O3514" s="5" t="s">
        <v>355</v>
      </c>
      <c r="P3514" s="5" t="s">
        <v>355</v>
      </c>
      <c r="Q3514" s="5" t="s">
        <v>355</v>
      </c>
    </row>
    <row r="3515" ht="16.5" customHeight="1">
      <c r="O3515" s="5" t="s">
        <v>355</v>
      </c>
      <c r="P3515" s="5" t="s">
        <v>355</v>
      </c>
      <c r="Q3515" s="5" t="s">
        <v>355</v>
      </c>
    </row>
    <row r="3516" ht="16.5" customHeight="1">
      <c r="O3516" s="5" t="s">
        <v>355</v>
      </c>
      <c r="P3516" s="5" t="s">
        <v>355</v>
      </c>
      <c r="Q3516" s="5" t="s">
        <v>355</v>
      </c>
    </row>
    <row r="3517" ht="16.5" customHeight="1">
      <c r="O3517" s="5" t="s">
        <v>355</v>
      </c>
      <c r="P3517" s="5" t="s">
        <v>355</v>
      </c>
      <c r="Q3517" s="5" t="s">
        <v>355</v>
      </c>
    </row>
    <row r="3518" ht="16.5" customHeight="1">
      <c r="O3518" s="5" t="s">
        <v>355</v>
      </c>
      <c r="P3518" s="5" t="s">
        <v>355</v>
      </c>
      <c r="Q3518" s="5" t="s">
        <v>355</v>
      </c>
    </row>
    <row r="3519" ht="16.5" customHeight="1">
      <c r="O3519" s="5" t="s">
        <v>355</v>
      </c>
      <c r="P3519" s="5" t="s">
        <v>355</v>
      </c>
      <c r="Q3519" s="5" t="s">
        <v>355</v>
      </c>
    </row>
    <row r="3520" ht="16.5" customHeight="1">
      <c r="O3520" s="5" t="s">
        <v>355</v>
      </c>
      <c r="P3520" s="5" t="s">
        <v>355</v>
      </c>
      <c r="Q3520" s="5" t="s">
        <v>355</v>
      </c>
    </row>
    <row r="3521" ht="16.5" customHeight="1">
      <c r="O3521" s="5" t="s">
        <v>355</v>
      </c>
      <c r="P3521" s="5" t="s">
        <v>355</v>
      </c>
      <c r="Q3521" s="5" t="s">
        <v>355</v>
      </c>
    </row>
    <row r="3522" ht="16.5" customHeight="1">
      <c r="O3522" s="5" t="s">
        <v>355</v>
      </c>
      <c r="P3522" s="5" t="s">
        <v>355</v>
      </c>
      <c r="Q3522" s="5" t="s">
        <v>355</v>
      </c>
    </row>
    <row r="3523" ht="16.5" customHeight="1">
      <c r="O3523" s="5" t="s">
        <v>355</v>
      </c>
      <c r="P3523" s="5" t="s">
        <v>355</v>
      </c>
      <c r="Q3523" s="5" t="s">
        <v>355</v>
      </c>
    </row>
    <row r="3524" ht="16.5" customHeight="1">
      <c r="O3524" s="5" t="s">
        <v>355</v>
      </c>
      <c r="P3524" s="5" t="s">
        <v>355</v>
      </c>
      <c r="Q3524" s="5" t="s">
        <v>355</v>
      </c>
    </row>
    <row r="3525" ht="16.5" customHeight="1">
      <c r="O3525" s="5" t="s">
        <v>355</v>
      </c>
      <c r="P3525" s="5" t="s">
        <v>355</v>
      </c>
      <c r="Q3525" s="5" t="s">
        <v>355</v>
      </c>
    </row>
    <row r="3526" ht="16.5" customHeight="1">
      <c r="O3526" s="5" t="s">
        <v>355</v>
      </c>
      <c r="P3526" s="5" t="s">
        <v>355</v>
      </c>
      <c r="Q3526" s="5" t="s">
        <v>355</v>
      </c>
    </row>
    <row r="3527" ht="16.5" customHeight="1">
      <c r="O3527" s="5" t="s">
        <v>355</v>
      </c>
      <c r="P3527" s="5" t="s">
        <v>355</v>
      </c>
      <c r="Q3527" s="5" t="s">
        <v>355</v>
      </c>
    </row>
    <row r="3528" ht="16.5" customHeight="1">
      <c r="O3528" s="5" t="s">
        <v>355</v>
      </c>
      <c r="P3528" s="5" t="s">
        <v>355</v>
      </c>
      <c r="Q3528" s="5" t="s">
        <v>355</v>
      </c>
    </row>
    <row r="3529" ht="16.5" customHeight="1">
      <c r="O3529" s="5" t="s">
        <v>355</v>
      </c>
      <c r="P3529" s="5" t="s">
        <v>355</v>
      </c>
      <c r="Q3529" s="5" t="s">
        <v>355</v>
      </c>
    </row>
    <row r="3530" ht="16.5" customHeight="1">
      <c r="O3530" s="5" t="s">
        <v>355</v>
      </c>
      <c r="P3530" s="5" t="s">
        <v>355</v>
      </c>
      <c r="Q3530" s="5" t="s">
        <v>355</v>
      </c>
    </row>
    <row r="3531" ht="16.5" customHeight="1">
      <c r="O3531" s="5" t="s">
        <v>355</v>
      </c>
      <c r="P3531" s="5" t="s">
        <v>355</v>
      </c>
      <c r="Q3531" s="5" t="s">
        <v>355</v>
      </c>
    </row>
    <row r="3532" ht="16.5" customHeight="1">
      <c r="O3532" s="5" t="s">
        <v>355</v>
      </c>
      <c r="P3532" s="5" t="s">
        <v>355</v>
      </c>
      <c r="Q3532" s="5" t="s">
        <v>355</v>
      </c>
    </row>
    <row r="3533" ht="16.5" customHeight="1">
      <c r="O3533" s="5" t="s">
        <v>355</v>
      </c>
      <c r="P3533" s="5" t="s">
        <v>355</v>
      </c>
      <c r="Q3533" s="5" t="s">
        <v>355</v>
      </c>
    </row>
    <row r="3534" ht="16.5" customHeight="1">
      <c r="O3534" s="5" t="s">
        <v>355</v>
      </c>
      <c r="P3534" s="5" t="s">
        <v>355</v>
      </c>
      <c r="Q3534" s="5" t="s">
        <v>355</v>
      </c>
    </row>
    <row r="3535" ht="16.5" customHeight="1">
      <c r="O3535" s="5" t="s">
        <v>355</v>
      </c>
      <c r="P3535" s="5" t="s">
        <v>355</v>
      </c>
      <c r="Q3535" s="5" t="s">
        <v>355</v>
      </c>
    </row>
    <row r="3536" ht="16.5" customHeight="1">
      <c r="O3536" s="5" t="s">
        <v>355</v>
      </c>
      <c r="P3536" s="5" t="s">
        <v>355</v>
      </c>
      <c r="Q3536" s="5" t="s">
        <v>355</v>
      </c>
    </row>
    <row r="3537" ht="16.5" customHeight="1">
      <c r="O3537" s="5" t="s">
        <v>355</v>
      </c>
      <c r="P3537" s="5" t="s">
        <v>355</v>
      </c>
      <c r="Q3537" s="5" t="s">
        <v>355</v>
      </c>
    </row>
    <row r="3538" ht="16.5" customHeight="1">
      <c r="O3538" s="5" t="s">
        <v>355</v>
      </c>
      <c r="P3538" s="5" t="s">
        <v>355</v>
      </c>
      <c r="Q3538" s="5" t="s">
        <v>355</v>
      </c>
    </row>
    <row r="3539" ht="16.5" customHeight="1">
      <c r="O3539" s="5" t="s">
        <v>355</v>
      </c>
      <c r="P3539" s="5" t="s">
        <v>355</v>
      </c>
      <c r="Q3539" s="5" t="s">
        <v>355</v>
      </c>
    </row>
    <row r="3540" ht="16.5" customHeight="1">
      <c r="O3540" s="5" t="s">
        <v>355</v>
      </c>
      <c r="P3540" s="5" t="s">
        <v>355</v>
      </c>
      <c r="Q3540" s="5" t="s">
        <v>355</v>
      </c>
    </row>
    <row r="3541" ht="16.5" customHeight="1">
      <c r="O3541" s="5" t="s">
        <v>355</v>
      </c>
      <c r="P3541" s="5" t="s">
        <v>355</v>
      </c>
      <c r="Q3541" s="5" t="s">
        <v>355</v>
      </c>
    </row>
    <row r="3542" ht="16.5" customHeight="1">
      <c r="O3542" s="5" t="s">
        <v>355</v>
      </c>
      <c r="P3542" s="5" t="s">
        <v>355</v>
      </c>
      <c r="Q3542" s="5" t="s">
        <v>355</v>
      </c>
    </row>
    <row r="3543" ht="16.5" customHeight="1">
      <c r="O3543" s="5" t="s">
        <v>355</v>
      </c>
      <c r="P3543" s="5" t="s">
        <v>355</v>
      </c>
      <c r="Q3543" s="5" t="s">
        <v>355</v>
      </c>
    </row>
    <row r="3544" ht="16.5" customHeight="1">
      <c r="O3544" s="5" t="s">
        <v>355</v>
      </c>
      <c r="P3544" s="5" t="s">
        <v>355</v>
      </c>
      <c r="Q3544" s="5" t="s">
        <v>355</v>
      </c>
    </row>
    <row r="3545" ht="16.5" customHeight="1">
      <c r="O3545" s="5" t="s">
        <v>355</v>
      </c>
      <c r="P3545" s="5" t="s">
        <v>355</v>
      </c>
      <c r="Q3545" s="5" t="s">
        <v>355</v>
      </c>
    </row>
    <row r="3546" ht="16.5" customHeight="1">
      <c r="O3546" s="5" t="s">
        <v>355</v>
      </c>
      <c r="P3546" s="5" t="s">
        <v>355</v>
      </c>
      <c r="Q3546" s="5" t="s">
        <v>355</v>
      </c>
    </row>
    <row r="3547" ht="16.5" customHeight="1">
      <c r="O3547" s="5" t="s">
        <v>355</v>
      </c>
      <c r="P3547" s="5" t="s">
        <v>355</v>
      </c>
      <c r="Q3547" s="5" t="s">
        <v>355</v>
      </c>
    </row>
    <row r="3548" ht="16.5" customHeight="1">
      <c r="O3548" s="5" t="s">
        <v>355</v>
      </c>
      <c r="P3548" s="5" t="s">
        <v>355</v>
      </c>
      <c r="Q3548" s="5" t="s">
        <v>355</v>
      </c>
    </row>
    <row r="3549" ht="16.5" customHeight="1">
      <c r="O3549" s="5" t="s">
        <v>355</v>
      </c>
      <c r="P3549" s="5" t="s">
        <v>355</v>
      </c>
      <c r="Q3549" s="5" t="s">
        <v>355</v>
      </c>
    </row>
    <row r="3550" ht="16.5" customHeight="1">
      <c r="O3550" s="5" t="s">
        <v>355</v>
      </c>
      <c r="P3550" s="5" t="s">
        <v>355</v>
      </c>
      <c r="Q3550" s="5" t="s">
        <v>355</v>
      </c>
    </row>
    <row r="3551" ht="16.5" customHeight="1">
      <c r="O3551" s="5" t="s">
        <v>355</v>
      </c>
      <c r="P3551" s="5" t="s">
        <v>355</v>
      </c>
      <c r="Q3551" s="5" t="s">
        <v>355</v>
      </c>
    </row>
    <row r="3552" ht="16.5" customHeight="1">
      <c r="O3552" s="5" t="s">
        <v>355</v>
      </c>
      <c r="P3552" s="5" t="s">
        <v>355</v>
      </c>
      <c r="Q3552" s="5" t="s">
        <v>355</v>
      </c>
    </row>
    <row r="3553" ht="16.5" customHeight="1">
      <c r="O3553" s="5" t="s">
        <v>355</v>
      </c>
      <c r="P3553" s="5" t="s">
        <v>355</v>
      </c>
      <c r="Q3553" s="5" t="s">
        <v>355</v>
      </c>
    </row>
    <row r="3554" ht="16.5" customHeight="1">
      <c r="O3554" s="5" t="s">
        <v>355</v>
      </c>
      <c r="P3554" s="5" t="s">
        <v>355</v>
      </c>
      <c r="Q3554" s="5" t="s">
        <v>355</v>
      </c>
    </row>
    <row r="3555" ht="16.5" customHeight="1">
      <c r="O3555" s="5" t="s">
        <v>355</v>
      </c>
      <c r="P3555" s="5" t="s">
        <v>355</v>
      </c>
      <c r="Q3555" s="5" t="s">
        <v>355</v>
      </c>
    </row>
    <row r="3556" ht="16.5" customHeight="1">
      <c r="O3556" s="5" t="s">
        <v>355</v>
      </c>
      <c r="P3556" s="5" t="s">
        <v>355</v>
      </c>
      <c r="Q3556" s="5" t="s">
        <v>355</v>
      </c>
    </row>
    <row r="3557" ht="16.5" customHeight="1">
      <c r="O3557" s="5" t="s">
        <v>355</v>
      </c>
      <c r="P3557" s="5" t="s">
        <v>355</v>
      </c>
      <c r="Q3557" s="5" t="s">
        <v>355</v>
      </c>
    </row>
    <row r="3558" ht="16.5" customHeight="1">
      <c r="O3558" s="5" t="s">
        <v>355</v>
      </c>
      <c r="P3558" s="5" t="s">
        <v>355</v>
      </c>
      <c r="Q3558" s="5" t="s">
        <v>355</v>
      </c>
    </row>
    <row r="3559" ht="16.5" customHeight="1">
      <c r="O3559" s="5" t="s">
        <v>355</v>
      </c>
      <c r="P3559" s="5" t="s">
        <v>355</v>
      </c>
      <c r="Q3559" s="5" t="s">
        <v>355</v>
      </c>
    </row>
    <row r="3560" ht="16.5" customHeight="1">
      <c r="O3560" s="5" t="s">
        <v>355</v>
      </c>
      <c r="P3560" s="5" t="s">
        <v>355</v>
      </c>
      <c r="Q3560" s="5" t="s">
        <v>355</v>
      </c>
    </row>
    <row r="3561" ht="16.5" customHeight="1">
      <c r="O3561" s="5" t="s">
        <v>355</v>
      </c>
      <c r="P3561" s="5" t="s">
        <v>355</v>
      </c>
      <c r="Q3561" s="5" t="s">
        <v>355</v>
      </c>
    </row>
    <row r="3562" ht="16.5" customHeight="1">
      <c r="O3562" s="5" t="s">
        <v>355</v>
      </c>
      <c r="P3562" s="5" t="s">
        <v>355</v>
      </c>
      <c r="Q3562" s="5" t="s">
        <v>355</v>
      </c>
    </row>
    <row r="3563" ht="16.5" customHeight="1">
      <c r="O3563" s="5" t="s">
        <v>355</v>
      </c>
      <c r="P3563" s="5" t="s">
        <v>355</v>
      </c>
      <c r="Q3563" s="5" t="s">
        <v>355</v>
      </c>
    </row>
    <row r="3564" ht="16.5" customHeight="1">
      <c r="O3564" s="5" t="s">
        <v>355</v>
      </c>
      <c r="P3564" s="5" t="s">
        <v>355</v>
      </c>
      <c r="Q3564" s="5" t="s">
        <v>355</v>
      </c>
    </row>
    <row r="3565" ht="16.5" customHeight="1">
      <c r="O3565" s="5" t="s">
        <v>355</v>
      </c>
      <c r="P3565" s="5" t="s">
        <v>355</v>
      </c>
      <c r="Q3565" s="5" t="s">
        <v>355</v>
      </c>
    </row>
    <row r="3566" ht="16.5" customHeight="1">
      <c r="O3566" s="5" t="s">
        <v>355</v>
      </c>
      <c r="P3566" s="5" t="s">
        <v>355</v>
      </c>
      <c r="Q3566" s="5" t="s">
        <v>355</v>
      </c>
    </row>
    <row r="3567" ht="16.5" customHeight="1">
      <c r="O3567" s="5" t="s">
        <v>355</v>
      </c>
      <c r="P3567" s="5" t="s">
        <v>355</v>
      </c>
      <c r="Q3567" s="5" t="s">
        <v>355</v>
      </c>
    </row>
    <row r="3568" ht="16.5" customHeight="1">
      <c r="O3568" s="5" t="s">
        <v>355</v>
      </c>
      <c r="P3568" s="5" t="s">
        <v>355</v>
      </c>
      <c r="Q3568" s="5" t="s">
        <v>355</v>
      </c>
    </row>
    <row r="3569" ht="16.5" customHeight="1">
      <c r="O3569" s="5" t="s">
        <v>355</v>
      </c>
      <c r="P3569" s="5" t="s">
        <v>355</v>
      </c>
      <c r="Q3569" s="5" t="s">
        <v>355</v>
      </c>
    </row>
    <row r="3570" ht="16.5" customHeight="1">
      <c r="O3570" s="5" t="s">
        <v>355</v>
      </c>
      <c r="P3570" s="5" t="s">
        <v>355</v>
      </c>
      <c r="Q3570" s="5" t="s">
        <v>355</v>
      </c>
    </row>
    <row r="3571" ht="16.5" customHeight="1">
      <c r="O3571" s="5" t="s">
        <v>355</v>
      </c>
      <c r="P3571" s="5" t="s">
        <v>355</v>
      </c>
      <c r="Q3571" s="5" t="s">
        <v>355</v>
      </c>
    </row>
    <row r="3572" ht="16.5" customHeight="1">
      <c r="O3572" s="5" t="s">
        <v>355</v>
      </c>
      <c r="P3572" s="5" t="s">
        <v>355</v>
      </c>
      <c r="Q3572" s="5" t="s">
        <v>355</v>
      </c>
    </row>
    <row r="3573" ht="16.5" customHeight="1">
      <c r="O3573" s="5" t="s">
        <v>355</v>
      </c>
      <c r="P3573" s="5" t="s">
        <v>355</v>
      </c>
      <c r="Q3573" s="5" t="s">
        <v>355</v>
      </c>
    </row>
    <row r="3574" ht="16.5" customHeight="1">
      <c r="O3574" s="5" t="s">
        <v>355</v>
      </c>
      <c r="P3574" s="5" t="s">
        <v>355</v>
      </c>
      <c r="Q3574" s="5" t="s">
        <v>355</v>
      </c>
    </row>
    <row r="3575" ht="16.5" customHeight="1">
      <c r="O3575" s="5" t="s">
        <v>355</v>
      </c>
      <c r="P3575" s="5" t="s">
        <v>355</v>
      </c>
      <c r="Q3575" s="5" t="s">
        <v>355</v>
      </c>
    </row>
    <row r="3576" ht="16.5" customHeight="1">
      <c r="O3576" s="5" t="s">
        <v>355</v>
      </c>
      <c r="P3576" s="5" t="s">
        <v>355</v>
      </c>
      <c r="Q3576" s="5" t="s">
        <v>355</v>
      </c>
    </row>
    <row r="3577" ht="16.5" customHeight="1">
      <c r="O3577" s="5" t="s">
        <v>355</v>
      </c>
      <c r="P3577" s="5" t="s">
        <v>355</v>
      </c>
      <c r="Q3577" s="5" t="s">
        <v>355</v>
      </c>
    </row>
    <row r="3578" ht="16.5" customHeight="1">
      <c r="O3578" s="5" t="s">
        <v>355</v>
      </c>
      <c r="P3578" s="5" t="s">
        <v>355</v>
      </c>
      <c r="Q3578" s="5" t="s">
        <v>355</v>
      </c>
    </row>
    <row r="3579" ht="16.5" customHeight="1">
      <c r="O3579" s="5" t="s">
        <v>355</v>
      </c>
      <c r="P3579" s="5" t="s">
        <v>355</v>
      </c>
      <c r="Q3579" s="5" t="s">
        <v>355</v>
      </c>
    </row>
    <row r="3580" ht="16.5" customHeight="1">
      <c r="O3580" s="5" t="s">
        <v>355</v>
      </c>
      <c r="P3580" s="5" t="s">
        <v>355</v>
      </c>
      <c r="Q3580" s="5" t="s">
        <v>355</v>
      </c>
    </row>
    <row r="3581" ht="16.5" customHeight="1">
      <c r="O3581" s="5" t="s">
        <v>355</v>
      </c>
      <c r="P3581" s="5" t="s">
        <v>355</v>
      </c>
      <c r="Q3581" s="5" t="s">
        <v>355</v>
      </c>
    </row>
    <row r="3582" ht="16.5" customHeight="1">
      <c r="O3582" s="5" t="s">
        <v>355</v>
      </c>
      <c r="P3582" s="5" t="s">
        <v>355</v>
      </c>
      <c r="Q3582" s="5" t="s">
        <v>355</v>
      </c>
    </row>
    <row r="3583" ht="16.5" customHeight="1">
      <c r="O3583" s="5" t="s">
        <v>355</v>
      </c>
      <c r="P3583" s="5" t="s">
        <v>355</v>
      </c>
      <c r="Q3583" s="5" t="s">
        <v>355</v>
      </c>
    </row>
    <row r="3584" ht="16.5" customHeight="1">
      <c r="O3584" s="5" t="s">
        <v>355</v>
      </c>
      <c r="P3584" s="5" t="s">
        <v>355</v>
      </c>
      <c r="Q3584" s="5" t="s">
        <v>355</v>
      </c>
    </row>
    <row r="3585" ht="16.5" customHeight="1">
      <c r="O3585" s="5" t="s">
        <v>355</v>
      </c>
      <c r="P3585" s="5" t="s">
        <v>355</v>
      </c>
      <c r="Q3585" s="5" t="s">
        <v>355</v>
      </c>
    </row>
    <row r="3586" ht="16.5" customHeight="1">
      <c r="O3586" s="5" t="s">
        <v>355</v>
      </c>
      <c r="P3586" s="5" t="s">
        <v>355</v>
      </c>
      <c r="Q3586" s="5" t="s">
        <v>355</v>
      </c>
    </row>
    <row r="3587" ht="16.5" customHeight="1">
      <c r="O3587" s="5" t="s">
        <v>355</v>
      </c>
      <c r="P3587" s="5" t="s">
        <v>355</v>
      </c>
      <c r="Q3587" s="5" t="s">
        <v>355</v>
      </c>
    </row>
    <row r="3588" ht="16.5" customHeight="1">
      <c r="O3588" s="5" t="s">
        <v>355</v>
      </c>
      <c r="P3588" s="5" t="s">
        <v>355</v>
      </c>
      <c r="Q3588" s="5" t="s">
        <v>355</v>
      </c>
    </row>
    <row r="3589" ht="16.5" customHeight="1">
      <c r="O3589" s="5" t="s">
        <v>355</v>
      </c>
      <c r="P3589" s="5" t="s">
        <v>355</v>
      </c>
      <c r="Q3589" s="5" t="s">
        <v>355</v>
      </c>
    </row>
    <row r="3590" ht="16.5" customHeight="1">
      <c r="O3590" s="5" t="s">
        <v>355</v>
      </c>
      <c r="P3590" s="5" t="s">
        <v>355</v>
      </c>
      <c r="Q3590" s="5" t="s">
        <v>355</v>
      </c>
    </row>
    <row r="3591" ht="16.5" customHeight="1">
      <c r="O3591" s="5" t="s">
        <v>355</v>
      </c>
      <c r="P3591" s="5" t="s">
        <v>355</v>
      </c>
      <c r="Q3591" s="5" t="s">
        <v>355</v>
      </c>
    </row>
    <row r="3592" ht="16.5" customHeight="1">
      <c r="O3592" s="5" t="s">
        <v>355</v>
      </c>
      <c r="P3592" s="5" t="s">
        <v>355</v>
      </c>
      <c r="Q3592" s="5" t="s">
        <v>355</v>
      </c>
    </row>
    <row r="3593" ht="16.5" customHeight="1">
      <c r="O3593" s="5" t="s">
        <v>355</v>
      </c>
      <c r="P3593" s="5" t="s">
        <v>355</v>
      </c>
      <c r="Q3593" s="5" t="s">
        <v>355</v>
      </c>
    </row>
    <row r="3594" ht="16.5" customHeight="1">
      <c r="O3594" s="5" t="s">
        <v>355</v>
      </c>
      <c r="P3594" s="5" t="s">
        <v>355</v>
      </c>
      <c r="Q3594" s="5" t="s">
        <v>355</v>
      </c>
    </row>
    <row r="3595" ht="16.5" customHeight="1">
      <c r="O3595" s="5" t="s">
        <v>355</v>
      </c>
      <c r="P3595" s="5" t="s">
        <v>355</v>
      </c>
      <c r="Q3595" s="5" t="s">
        <v>355</v>
      </c>
    </row>
    <row r="3596" ht="16.5" customHeight="1">
      <c r="O3596" s="5" t="s">
        <v>355</v>
      </c>
      <c r="P3596" s="5" t="s">
        <v>355</v>
      </c>
      <c r="Q3596" s="5" t="s">
        <v>355</v>
      </c>
    </row>
    <row r="3597" ht="16.5" customHeight="1">
      <c r="O3597" s="5" t="s">
        <v>355</v>
      </c>
      <c r="P3597" s="5" t="s">
        <v>355</v>
      </c>
      <c r="Q3597" s="5" t="s">
        <v>355</v>
      </c>
    </row>
    <row r="3598" ht="16.5" customHeight="1">
      <c r="O3598" s="5" t="s">
        <v>355</v>
      </c>
      <c r="P3598" s="5" t="s">
        <v>355</v>
      </c>
      <c r="Q3598" s="5" t="s">
        <v>355</v>
      </c>
    </row>
    <row r="3599" ht="16.5" customHeight="1">
      <c r="O3599" s="5" t="s">
        <v>355</v>
      </c>
      <c r="P3599" s="5" t="s">
        <v>355</v>
      </c>
      <c r="Q3599" s="5" t="s">
        <v>355</v>
      </c>
    </row>
    <row r="3600" ht="16.5" customHeight="1">
      <c r="O3600" s="5" t="s">
        <v>355</v>
      </c>
      <c r="P3600" s="5" t="s">
        <v>355</v>
      </c>
      <c r="Q3600" s="5" t="s">
        <v>355</v>
      </c>
    </row>
    <row r="3601" ht="16.5" customHeight="1">
      <c r="O3601" s="5" t="s">
        <v>355</v>
      </c>
      <c r="P3601" s="5" t="s">
        <v>355</v>
      </c>
      <c r="Q3601" s="5" t="s">
        <v>355</v>
      </c>
    </row>
    <row r="3602" ht="16.5" customHeight="1">
      <c r="O3602" s="5" t="s">
        <v>355</v>
      </c>
      <c r="P3602" s="5" t="s">
        <v>355</v>
      </c>
      <c r="Q3602" s="5" t="s">
        <v>355</v>
      </c>
    </row>
    <row r="3603" ht="16.5" customHeight="1">
      <c r="O3603" s="5" t="s">
        <v>355</v>
      </c>
      <c r="P3603" s="5" t="s">
        <v>355</v>
      </c>
      <c r="Q3603" s="5" t="s">
        <v>355</v>
      </c>
    </row>
    <row r="3604" ht="16.5" customHeight="1">
      <c r="O3604" s="5" t="s">
        <v>355</v>
      </c>
      <c r="P3604" s="5" t="s">
        <v>355</v>
      </c>
      <c r="Q3604" s="5" t="s">
        <v>355</v>
      </c>
    </row>
    <row r="3605" ht="16.5" customHeight="1">
      <c r="O3605" s="5" t="s">
        <v>355</v>
      </c>
      <c r="P3605" s="5" t="s">
        <v>355</v>
      </c>
      <c r="Q3605" s="5" t="s">
        <v>355</v>
      </c>
    </row>
    <row r="3606" ht="16.5" customHeight="1">
      <c r="O3606" s="5" t="s">
        <v>355</v>
      </c>
      <c r="P3606" s="5" t="s">
        <v>355</v>
      </c>
      <c r="Q3606" s="5" t="s">
        <v>355</v>
      </c>
    </row>
    <row r="3607" ht="16.5" customHeight="1">
      <c r="O3607" s="5" t="s">
        <v>355</v>
      </c>
      <c r="P3607" s="5" t="s">
        <v>355</v>
      </c>
      <c r="Q3607" s="5" t="s">
        <v>355</v>
      </c>
    </row>
    <row r="3608" ht="16.5" customHeight="1">
      <c r="O3608" s="5" t="s">
        <v>355</v>
      </c>
      <c r="P3608" s="5" t="s">
        <v>355</v>
      </c>
      <c r="Q3608" s="5" t="s">
        <v>355</v>
      </c>
    </row>
    <row r="3609" ht="16.5" customHeight="1">
      <c r="O3609" s="5" t="s">
        <v>355</v>
      </c>
      <c r="P3609" s="5" t="s">
        <v>355</v>
      </c>
      <c r="Q3609" s="5" t="s">
        <v>355</v>
      </c>
    </row>
    <row r="3610" ht="16.5" customHeight="1">
      <c r="O3610" s="5" t="s">
        <v>355</v>
      </c>
      <c r="P3610" s="5" t="s">
        <v>355</v>
      </c>
      <c r="Q3610" s="5" t="s">
        <v>355</v>
      </c>
    </row>
    <row r="3611" ht="16.5" customHeight="1">
      <c r="O3611" s="5" t="s">
        <v>355</v>
      </c>
      <c r="P3611" s="5" t="s">
        <v>355</v>
      </c>
      <c r="Q3611" s="5" t="s">
        <v>355</v>
      </c>
    </row>
    <row r="3612" ht="16.5" customHeight="1">
      <c r="O3612" s="5" t="s">
        <v>355</v>
      </c>
      <c r="P3612" s="5" t="s">
        <v>355</v>
      </c>
      <c r="Q3612" s="5" t="s">
        <v>355</v>
      </c>
    </row>
    <row r="3613" ht="16.5" customHeight="1">
      <c r="O3613" s="5" t="s">
        <v>355</v>
      </c>
      <c r="P3613" s="5" t="s">
        <v>355</v>
      </c>
      <c r="Q3613" s="5" t="s">
        <v>355</v>
      </c>
    </row>
    <row r="3614" ht="16.5" customHeight="1">
      <c r="O3614" s="5" t="s">
        <v>355</v>
      </c>
      <c r="P3614" s="5" t="s">
        <v>355</v>
      </c>
      <c r="Q3614" s="5" t="s">
        <v>355</v>
      </c>
    </row>
    <row r="3615" ht="16.5" customHeight="1">
      <c r="O3615" s="5" t="s">
        <v>355</v>
      </c>
      <c r="P3615" s="5" t="s">
        <v>355</v>
      </c>
      <c r="Q3615" s="5" t="s">
        <v>355</v>
      </c>
    </row>
    <row r="3616" ht="16.5" customHeight="1">
      <c r="O3616" s="5" t="s">
        <v>355</v>
      </c>
      <c r="P3616" s="5" t="s">
        <v>355</v>
      </c>
      <c r="Q3616" s="5" t="s">
        <v>355</v>
      </c>
    </row>
    <row r="3617" ht="16.5" customHeight="1">
      <c r="O3617" s="5" t="s">
        <v>355</v>
      </c>
      <c r="P3617" s="5" t="s">
        <v>355</v>
      </c>
      <c r="Q3617" s="5" t="s">
        <v>355</v>
      </c>
    </row>
    <row r="3618" ht="16.5" customHeight="1">
      <c r="O3618" s="5" t="s">
        <v>355</v>
      </c>
      <c r="P3618" s="5" t="s">
        <v>355</v>
      </c>
      <c r="Q3618" s="5" t="s">
        <v>355</v>
      </c>
    </row>
    <row r="3619" ht="16.5" customHeight="1">
      <c r="O3619" s="5" t="s">
        <v>355</v>
      </c>
      <c r="P3619" s="5" t="s">
        <v>355</v>
      </c>
      <c r="Q3619" s="5" t="s">
        <v>355</v>
      </c>
    </row>
    <row r="3620" ht="16.5" customHeight="1">
      <c r="O3620" s="5" t="s">
        <v>355</v>
      </c>
      <c r="P3620" s="5" t="s">
        <v>355</v>
      </c>
      <c r="Q3620" s="5" t="s">
        <v>355</v>
      </c>
    </row>
    <row r="3621" ht="16.5" customHeight="1">
      <c r="O3621" s="5" t="s">
        <v>355</v>
      </c>
      <c r="P3621" s="5" t="s">
        <v>355</v>
      </c>
      <c r="Q3621" s="5" t="s">
        <v>355</v>
      </c>
    </row>
    <row r="3622" ht="16.5" customHeight="1">
      <c r="O3622" s="5" t="s">
        <v>355</v>
      </c>
      <c r="P3622" s="5" t="s">
        <v>355</v>
      </c>
      <c r="Q3622" s="5" t="s">
        <v>355</v>
      </c>
    </row>
    <row r="3623" ht="16.5" customHeight="1">
      <c r="O3623" s="5" t="s">
        <v>355</v>
      </c>
      <c r="P3623" s="5" t="s">
        <v>355</v>
      </c>
      <c r="Q3623" s="5" t="s">
        <v>355</v>
      </c>
    </row>
    <row r="3624" ht="16.5" customHeight="1">
      <c r="O3624" s="5" t="s">
        <v>355</v>
      </c>
      <c r="P3624" s="5" t="s">
        <v>355</v>
      </c>
      <c r="Q3624" s="5" t="s">
        <v>355</v>
      </c>
    </row>
    <row r="3625" ht="16.5" customHeight="1">
      <c r="O3625" s="5" t="s">
        <v>355</v>
      </c>
      <c r="P3625" s="5" t="s">
        <v>355</v>
      </c>
      <c r="Q3625" s="5" t="s">
        <v>355</v>
      </c>
    </row>
    <row r="3626" ht="16.5" customHeight="1">
      <c r="O3626" s="5" t="s">
        <v>355</v>
      </c>
      <c r="P3626" s="5" t="s">
        <v>355</v>
      </c>
      <c r="Q3626" s="5" t="s">
        <v>355</v>
      </c>
    </row>
    <row r="3627" ht="16.5" customHeight="1">
      <c r="O3627" s="5" t="s">
        <v>355</v>
      </c>
      <c r="P3627" s="5" t="s">
        <v>355</v>
      </c>
      <c r="Q3627" s="5" t="s">
        <v>355</v>
      </c>
    </row>
    <row r="3628" ht="16.5" customHeight="1">
      <c r="O3628" s="5" t="s">
        <v>355</v>
      </c>
      <c r="P3628" s="5" t="s">
        <v>355</v>
      </c>
      <c r="Q3628" s="5" t="s">
        <v>355</v>
      </c>
    </row>
    <row r="3629" ht="16.5" customHeight="1">
      <c r="O3629" s="5" t="s">
        <v>355</v>
      </c>
      <c r="P3629" s="5" t="s">
        <v>355</v>
      </c>
      <c r="Q3629" s="5" t="s">
        <v>355</v>
      </c>
    </row>
    <row r="3630" ht="16.5" customHeight="1">
      <c r="O3630" s="5" t="s">
        <v>355</v>
      </c>
      <c r="P3630" s="5" t="s">
        <v>355</v>
      </c>
      <c r="Q3630" s="5" t="s">
        <v>355</v>
      </c>
    </row>
    <row r="3631" ht="16.5" customHeight="1">
      <c r="O3631" s="5" t="s">
        <v>355</v>
      </c>
      <c r="P3631" s="5" t="s">
        <v>355</v>
      </c>
      <c r="Q3631" s="5" t="s">
        <v>355</v>
      </c>
    </row>
    <row r="3632" ht="16.5" customHeight="1">
      <c r="O3632" s="5" t="s">
        <v>355</v>
      </c>
      <c r="P3632" s="5" t="s">
        <v>355</v>
      </c>
      <c r="Q3632" s="5" t="s">
        <v>355</v>
      </c>
    </row>
    <row r="3633" ht="16.5" customHeight="1">
      <c r="O3633" s="5" t="s">
        <v>355</v>
      </c>
      <c r="P3633" s="5" t="s">
        <v>355</v>
      </c>
      <c r="Q3633" s="5" t="s">
        <v>355</v>
      </c>
    </row>
    <row r="3634" ht="16.5" customHeight="1">
      <c r="O3634" s="5" t="s">
        <v>355</v>
      </c>
      <c r="P3634" s="5" t="s">
        <v>355</v>
      </c>
      <c r="Q3634" s="5" t="s">
        <v>355</v>
      </c>
    </row>
    <row r="3635" ht="16.5" customHeight="1">
      <c r="O3635" s="5" t="s">
        <v>355</v>
      </c>
      <c r="P3635" s="5" t="s">
        <v>355</v>
      </c>
      <c r="Q3635" s="5" t="s">
        <v>355</v>
      </c>
    </row>
    <row r="3636" ht="16.5" customHeight="1">
      <c r="O3636" s="5" t="s">
        <v>355</v>
      </c>
      <c r="P3636" s="5" t="s">
        <v>355</v>
      </c>
      <c r="Q3636" s="5" t="s">
        <v>355</v>
      </c>
    </row>
    <row r="3637" ht="16.5" customHeight="1">
      <c r="O3637" s="5" t="s">
        <v>355</v>
      </c>
      <c r="P3637" s="5" t="s">
        <v>355</v>
      </c>
      <c r="Q3637" s="5" t="s">
        <v>355</v>
      </c>
    </row>
    <row r="3638" ht="16.5" customHeight="1">
      <c r="O3638" s="5" t="s">
        <v>355</v>
      </c>
      <c r="P3638" s="5" t="s">
        <v>355</v>
      </c>
      <c r="Q3638" s="5" t="s">
        <v>355</v>
      </c>
    </row>
    <row r="3639" ht="16.5" customHeight="1">
      <c r="O3639" s="5" t="s">
        <v>355</v>
      </c>
      <c r="P3639" s="5" t="s">
        <v>355</v>
      </c>
      <c r="Q3639" s="5" t="s">
        <v>355</v>
      </c>
    </row>
    <row r="3640" ht="16.5" customHeight="1">
      <c r="O3640" s="5" t="s">
        <v>355</v>
      </c>
      <c r="P3640" s="5" t="s">
        <v>355</v>
      </c>
      <c r="Q3640" s="5" t="s">
        <v>355</v>
      </c>
    </row>
    <row r="3641" ht="16.5" customHeight="1">
      <c r="O3641" s="5" t="s">
        <v>355</v>
      </c>
      <c r="P3641" s="5" t="s">
        <v>355</v>
      </c>
      <c r="Q3641" s="5" t="s">
        <v>355</v>
      </c>
    </row>
    <row r="3642" ht="16.5" customHeight="1">
      <c r="O3642" s="5" t="s">
        <v>355</v>
      </c>
      <c r="P3642" s="5" t="s">
        <v>355</v>
      </c>
      <c r="Q3642" s="5" t="s">
        <v>355</v>
      </c>
    </row>
    <row r="3643" ht="16.5" customHeight="1">
      <c r="O3643" s="5" t="s">
        <v>355</v>
      </c>
      <c r="P3643" s="5" t="s">
        <v>355</v>
      </c>
      <c r="Q3643" s="5" t="s">
        <v>355</v>
      </c>
    </row>
    <row r="3644" ht="16.5" customHeight="1">
      <c r="O3644" s="5" t="s">
        <v>355</v>
      </c>
      <c r="P3644" s="5" t="s">
        <v>355</v>
      </c>
      <c r="Q3644" s="5" t="s">
        <v>355</v>
      </c>
    </row>
    <row r="3645" ht="16.5" customHeight="1">
      <c r="O3645" s="5" t="s">
        <v>355</v>
      </c>
      <c r="P3645" s="5" t="s">
        <v>355</v>
      </c>
      <c r="Q3645" s="5" t="s">
        <v>355</v>
      </c>
    </row>
    <row r="3646" ht="16.5" customHeight="1">
      <c r="O3646" s="5" t="s">
        <v>355</v>
      </c>
      <c r="P3646" s="5" t="s">
        <v>355</v>
      </c>
      <c r="Q3646" s="5" t="s">
        <v>355</v>
      </c>
    </row>
    <row r="3647" ht="16.5" customHeight="1">
      <c r="O3647" s="5" t="s">
        <v>355</v>
      </c>
      <c r="P3647" s="5" t="s">
        <v>355</v>
      </c>
      <c r="Q3647" s="5" t="s">
        <v>355</v>
      </c>
    </row>
    <row r="3648" ht="16.5" customHeight="1">
      <c r="O3648" s="5" t="s">
        <v>355</v>
      </c>
      <c r="P3648" s="5" t="s">
        <v>355</v>
      </c>
      <c r="Q3648" s="5" t="s">
        <v>355</v>
      </c>
    </row>
    <row r="3649" ht="16.5" customHeight="1">
      <c r="O3649" s="5" t="s">
        <v>355</v>
      </c>
      <c r="P3649" s="5" t="s">
        <v>355</v>
      </c>
      <c r="Q3649" s="5" t="s">
        <v>355</v>
      </c>
    </row>
    <row r="3650" ht="16.5" customHeight="1">
      <c r="O3650" s="5" t="s">
        <v>355</v>
      </c>
      <c r="P3650" s="5" t="s">
        <v>355</v>
      </c>
      <c r="Q3650" s="5" t="s">
        <v>355</v>
      </c>
    </row>
    <row r="3651" ht="16.5" customHeight="1">
      <c r="O3651" s="5" t="s">
        <v>355</v>
      </c>
      <c r="P3651" s="5" t="s">
        <v>355</v>
      </c>
      <c r="Q3651" s="5" t="s">
        <v>355</v>
      </c>
    </row>
    <row r="3652" ht="16.5" customHeight="1">
      <c r="O3652" s="5" t="s">
        <v>355</v>
      </c>
      <c r="P3652" s="5" t="s">
        <v>355</v>
      </c>
      <c r="Q3652" s="5" t="s">
        <v>355</v>
      </c>
    </row>
    <row r="3653" ht="16.5" customHeight="1">
      <c r="O3653" s="5" t="s">
        <v>355</v>
      </c>
      <c r="P3653" s="5" t="s">
        <v>355</v>
      </c>
      <c r="Q3653" s="5" t="s">
        <v>355</v>
      </c>
    </row>
    <row r="3654" ht="16.5" customHeight="1">
      <c r="O3654" s="5" t="s">
        <v>355</v>
      </c>
      <c r="P3654" s="5" t="s">
        <v>355</v>
      </c>
      <c r="Q3654" s="5" t="s">
        <v>355</v>
      </c>
    </row>
    <row r="3655" ht="16.5" customHeight="1">
      <c r="O3655" s="5" t="s">
        <v>355</v>
      </c>
      <c r="P3655" s="5" t="s">
        <v>355</v>
      </c>
      <c r="Q3655" s="5" t="s">
        <v>355</v>
      </c>
    </row>
    <row r="3656" ht="16.5" customHeight="1">
      <c r="O3656" s="5" t="s">
        <v>355</v>
      </c>
      <c r="P3656" s="5" t="s">
        <v>355</v>
      </c>
      <c r="Q3656" s="5" t="s">
        <v>355</v>
      </c>
    </row>
    <row r="3657" ht="16.5" customHeight="1">
      <c r="O3657" s="5" t="s">
        <v>355</v>
      </c>
      <c r="P3657" s="5" t="s">
        <v>355</v>
      </c>
      <c r="Q3657" s="5" t="s">
        <v>355</v>
      </c>
    </row>
    <row r="3658" ht="16.5" customHeight="1">
      <c r="O3658" s="5" t="s">
        <v>355</v>
      </c>
      <c r="P3658" s="5" t="s">
        <v>355</v>
      </c>
      <c r="Q3658" s="5" t="s">
        <v>355</v>
      </c>
    </row>
    <row r="3659" ht="16.5" customHeight="1">
      <c r="O3659" s="5" t="s">
        <v>355</v>
      </c>
      <c r="P3659" s="5" t="s">
        <v>355</v>
      </c>
      <c r="Q3659" s="5" t="s">
        <v>355</v>
      </c>
    </row>
    <row r="3660" ht="16.5" customHeight="1">
      <c r="O3660" s="5" t="s">
        <v>355</v>
      </c>
      <c r="P3660" s="5" t="s">
        <v>355</v>
      </c>
      <c r="Q3660" s="5" t="s">
        <v>355</v>
      </c>
    </row>
    <row r="3661" ht="16.5" customHeight="1">
      <c r="O3661" s="5" t="s">
        <v>355</v>
      </c>
      <c r="P3661" s="5" t="s">
        <v>355</v>
      </c>
      <c r="Q3661" s="5" t="s">
        <v>355</v>
      </c>
    </row>
    <row r="3662" ht="16.5" customHeight="1">
      <c r="O3662" s="5" t="s">
        <v>355</v>
      </c>
      <c r="P3662" s="5" t="s">
        <v>355</v>
      </c>
      <c r="Q3662" s="5" t="s">
        <v>355</v>
      </c>
    </row>
    <row r="3663" ht="16.5" customHeight="1">
      <c r="O3663" s="5" t="s">
        <v>355</v>
      </c>
      <c r="P3663" s="5" t="s">
        <v>355</v>
      </c>
      <c r="Q3663" s="5" t="s">
        <v>355</v>
      </c>
    </row>
    <row r="3664" ht="16.5" customHeight="1">
      <c r="O3664" s="5" t="s">
        <v>355</v>
      </c>
      <c r="P3664" s="5" t="s">
        <v>355</v>
      </c>
      <c r="Q3664" s="5" t="s">
        <v>355</v>
      </c>
    </row>
    <row r="3665" ht="16.5" customHeight="1">
      <c r="O3665" s="5" t="s">
        <v>355</v>
      </c>
      <c r="P3665" s="5" t="s">
        <v>355</v>
      </c>
      <c r="Q3665" s="5" t="s">
        <v>355</v>
      </c>
    </row>
    <row r="3666" ht="16.5" customHeight="1">
      <c r="O3666" s="5" t="s">
        <v>355</v>
      </c>
      <c r="P3666" s="5" t="s">
        <v>355</v>
      </c>
      <c r="Q3666" s="5" t="s">
        <v>355</v>
      </c>
    </row>
    <row r="3667" ht="16.5" customHeight="1">
      <c r="O3667" s="5" t="s">
        <v>355</v>
      </c>
      <c r="P3667" s="5" t="s">
        <v>355</v>
      </c>
      <c r="Q3667" s="5" t="s">
        <v>355</v>
      </c>
    </row>
    <row r="3668" ht="16.5" customHeight="1">
      <c r="O3668" s="5" t="s">
        <v>355</v>
      </c>
      <c r="P3668" s="5" t="s">
        <v>355</v>
      </c>
      <c r="Q3668" s="5" t="s">
        <v>355</v>
      </c>
    </row>
    <row r="3669" ht="16.5" customHeight="1">
      <c r="O3669" s="5" t="s">
        <v>355</v>
      </c>
      <c r="P3669" s="5" t="s">
        <v>355</v>
      </c>
      <c r="Q3669" s="5" t="s">
        <v>355</v>
      </c>
    </row>
    <row r="3670" ht="16.5" customHeight="1">
      <c r="O3670" s="5" t="s">
        <v>355</v>
      </c>
      <c r="P3670" s="5" t="s">
        <v>355</v>
      </c>
      <c r="Q3670" s="5" t="s">
        <v>355</v>
      </c>
    </row>
    <row r="3671" ht="16.5" customHeight="1">
      <c r="O3671" s="5" t="s">
        <v>355</v>
      </c>
      <c r="P3671" s="5" t="s">
        <v>355</v>
      </c>
      <c r="Q3671" s="5" t="s">
        <v>355</v>
      </c>
    </row>
    <row r="3672" ht="16.5" customHeight="1">
      <c r="O3672" s="5" t="s">
        <v>355</v>
      </c>
      <c r="P3672" s="5" t="s">
        <v>355</v>
      </c>
      <c r="Q3672" s="5" t="s">
        <v>355</v>
      </c>
    </row>
    <row r="3673" ht="16.5" customHeight="1">
      <c r="O3673" s="5" t="s">
        <v>355</v>
      </c>
      <c r="P3673" s="5" t="s">
        <v>355</v>
      </c>
      <c r="Q3673" s="5" t="s">
        <v>355</v>
      </c>
    </row>
    <row r="3674" ht="16.5" customHeight="1">
      <c r="O3674" s="5" t="s">
        <v>355</v>
      </c>
      <c r="P3674" s="5" t="s">
        <v>355</v>
      </c>
      <c r="Q3674" s="5" t="s">
        <v>355</v>
      </c>
    </row>
    <row r="3675" ht="16.5" customHeight="1">
      <c r="O3675" s="5" t="s">
        <v>355</v>
      </c>
      <c r="P3675" s="5" t="s">
        <v>355</v>
      </c>
      <c r="Q3675" s="5" t="s">
        <v>355</v>
      </c>
    </row>
    <row r="3676" ht="16.5" customHeight="1">
      <c r="O3676" s="5" t="s">
        <v>355</v>
      </c>
      <c r="P3676" s="5" t="s">
        <v>355</v>
      </c>
      <c r="Q3676" s="5" t="s">
        <v>355</v>
      </c>
    </row>
    <row r="3677" ht="16.5" customHeight="1">
      <c r="O3677" s="5" t="s">
        <v>355</v>
      </c>
      <c r="P3677" s="5" t="s">
        <v>355</v>
      </c>
      <c r="Q3677" s="5" t="s">
        <v>355</v>
      </c>
    </row>
    <row r="3678" ht="16.5" customHeight="1">
      <c r="O3678" s="5" t="s">
        <v>355</v>
      </c>
      <c r="P3678" s="5" t="s">
        <v>355</v>
      </c>
      <c r="Q3678" s="5" t="s">
        <v>355</v>
      </c>
    </row>
    <row r="3679" ht="16.5" customHeight="1">
      <c r="O3679" s="5" t="s">
        <v>355</v>
      </c>
      <c r="P3679" s="5" t="s">
        <v>355</v>
      </c>
      <c r="Q3679" s="5" t="s">
        <v>355</v>
      </c>
    </row>
    <row r="3680" ht="16.5" customHeight="1">
      <c r="O3680" s="5" t="s">
        <v>355</v>
      </c>
      <c r="P3680" s="5" t="s">
        <v>355</v>
      </c>
      <c r="Q3680" s="5" t="s">
        <v>355</v>
      </c>
    </row>
    <row r="3681" ht="16.5" customHeight="1">
      <c r="O3681" s="5" t="s">
        <v>355</v>
      </c>
      <c r="P3681" s="5" t="s">
        <v>355</v>
      </c>
      <c r="Q3681" s="5" t="s">
        <v>355</v>
      </c>
    </row>
    <row r="3682" ht="16.5" customHeight="1">
      <c r="O3682" s="5" t="s">
        <v>355</v>
      </c>
      <c r="P3682" s="5" t="s">
        <v>355</v>
      </c>
      <c r="Q3682" s="5" t="s">
        <v>355</v>
      </c>
    </row>
    <row r="3683" ht="16.5" customHeight="1">
      <c r="O3683" s="5" t="s">
        <v>355</v>
      </c>
      <c r="P3683" s="5" t="s">
        <v>355</v>
      </c>
      <c r="Q3683" s="5" t="s">
        <v>355</v>
      </c>
    </row>
    <row r="3684" ht="16.5" customHeight="1">
      <c r="O3684" s="5" t="s">
        <v>355</v>
      </c>
      <c r="P3684" s="5" t="s">
        <v>355</v>
      </c>
      <c r="Q3684" s="5" t="s">
        <v>355</v>
      </c>
    </row>
    <row r="3685" ht="16.5" customHeight="1">
      <c r="O3685" s="5" t="s">
        <v>355</v>
      </c>
      <c r="P3685" s="5" t="s">
        <v>355</v>
      </c>
      <c r="Q3685" s="5" t="s">
        <v>355</v>
      </c>
    </row>
    <row r="3686" ht="16.5" customHeight="1">
      <c r="O3686" s="5" t="s">
        <v>355</v>
      </c>
      <c r="P3686" s="5" t="s">
        <v>355</v>
      </c>
      <c r="Q3686" s="5" t="s">
        <v>355</v>
      </c>
    </row>
    <row r="3687" ht="16.5" customHeight="1">
      <c r="O3687" s="5" t="s">
        <v>355</v>
      </c>
      <c r="P3687" s="5" t="s">
        <v>355</v>
      </c>
      <c r="Q3687" s="5" t="s">
        <v>355</v>
      </c>
    </row>
    <row r="3688" ht="16.5" customHeight="1">
      <c r="O3688" s="5" t="s">
        <v>355</v>
      </c>
      <c r="P3688" s="5" t="s">
        <v>355</v>
      </c>
      <c r="Q3688" s="5" t="s">
        <v>355</v>
      </c>
    </row>
    <row r="3689" ht="16.5" customHeight="1">
      <c r="O3689" s="5" t="s">
        <v>355</v>
      </c>
      <c r="P3689" s="5" t="s">
        <v>355</v>
      </c>
      <c r="Q3689" s="5" t="s">
        <v>355</v>
      </c>
    </row>
    <row r="3690" ht="16.5" customHeight="1">
      <c r="O3690" s="5" t="s">
        <v>355</v>
      </c>
      <c r="P3690" s="5" t="s">
        <v>355</v>
      </c>
      <c r="Q3690" s="5" t="s">
        <v>355</v>
      </c>
    </row>
    <row r="3691" ht="16.5" customHeight="1">
      <c r="O3691" s="5" t="s">
        <v>355</v>
      </c>
      <c r="P3691" s="5" t="s">
        <v>355</v>
      </c>
      <c r="Q3691" s="5" t="s">
        <v>355</v>
      </c>
    </row>
    <row r="3692" ht="16.5" customHeight="1">
      <c r="O3692" s="5" t="s">
        <v>355</v>
      </c>
      <c r="P3692" s="5" t="s">
        <v>355</v>
      </c>
      <c r="Q3692" s="5" t="s">
        <v>355</v>
      </c>
    </row>
    <row r="3693" ht="16.5" customHeight="1">
      <c r="O3693" s="5" t="s">
        <v>355</v>
      </c>
      <c r="P3693" s="5" t="s">
        <v>355</v>
      </c>
      <c r="Q3693" s="5" t="s">
        <v>355</v>
      </c>
    </row>
    <row r="3694" ht="16.5" customHeight="1">
      <c r="O3694" s="5" t="s">
        <v>355</v>
      </c>
      <c r="P3694" s="5" t="s">
        <v>355</v>
      </c>
      <c r="Q3694" s="5" t="s">
        <v>355</v>
      </c>
    </row>
    <row r="3695" ht="16.5" customHeight="1">
      <c r="O3695" s="5" t="s">
        <v>355</v>
      </c>
      <c r="P3695" s="5" t="s">
        <v>355</v>
      </c>
      <c r="Q3695" s="5" t="s">
        <v>355</v>
      </c>
    </row>
    <row r="3696" ht="16.5" customHeight="1">
      <c r="O3696" s="5" t="s">
        <v>355</v>
      </c>
      <c r="P3696" s="5" t="s">
        <v>355</v>
      </c>
      <c r="Q3696" s="5" t="s">
        <v>355</v>
      </c>
    </row>
    <row r="3697" ht="16.5" customHeight="1">
      <c r="O3697" s="5" t="s">
        <v>355</v>
      </c>
      <c r="P3697" s="5" t="s">
        <v>355</v>
      </c>
      <c r="Q3697" s="5" t="s">
        <v>355</v>
      </c>
    </row>
    <row r="3698" ht="16.5" customHeight="1">
      <c r="O3698" s="5" t="s">
        <v>355</v>
      </c>
      <c r="P3698" s="5" t="s">
        <v>355</v>
      </c>
      <c r="Q3698" s="5" t="s">
        <v>355</v>
      </c>
    </row>
    <row r="3699" ht="16.5" customHeight="1">
      <c r="O3699" s="5" t="s">
        <v>355</v>
      </c>
      <c r="P3699" s="5" t="s">
        <v>355</v>
      </c>
      <c r="Q3699" s="5" t="s">
        <v>355</v>
      </c>
    </row>
    <row r="3700" ht="16.5" customHeight="1">
      <c r="O3700" s="5" t="s">
        <v>355</v>
      </c>
      <c r="P3700" s="5" t="s">
        <v>355</v>
      </c>
      <c r="Q3700" s="5" t="s">
        <v>355</v>
      </c>
    </row>
    <row r="3701" ht="16.5" customHeight="1">
      <c r="O3701" s="5" t="s">
        <v>355</v>
      </c>
      <c r="P3701" s="5" t="s">
        <v>355</v>
      </c>
      <c r="Q3701" s="5" t="s">
        <v>355</v>
      </c>
    </row>
    <row r="3702" ht="16.5" customHeight="1">
      <c r="O3702" s="5" t="s">
        <v>355</v>
      </c>
      <c r="P3702" s="5" t="s">
        <v>355</v>
      </c>
      <c r="Q3702" s="5" t="s">
        <v>355</v>
      </c>
    </row>
    <row r="3703" ht="16.5" customHeight="1">
      <c r="O3703" s="5" t="s">
        <v>355</v>
      </c>
      <c r="P3703" s="5" t="s">
        <v>355</v>
      </c>
      <c r="Q3703" s="5" t="s">
        <v>355</v>
      </c>
    </row>
    <row r="3704" ht="16.5" customHeight="1">
      <c r="O3704" s="5" t="s">
        <v>355</v>
      </c>
      <c r="P3704" s="5" t="s">
        <v>355</v>
      </c>
      <c r="Q3704" s="5" t="s">
        <v>355</v>
      </c>
    </row>
    <row r="3705" ht="16.5" customHeight="1">
      <c r="O3705" s="5" t="s">
        <v>355</v>
      </c>
      <c r="P3705" s="5" t="s">
        <v>355</v>
      </c>
      <c r="Q3705" s="5" t="s">
        <v>355</v>
      </c>
    </row>
    <row r="3706" ht="16.5" customHeight="1">
      <c r="O3706" s="5" t="s">
        <v>355</v>
      </c>
      <c r="P3706" s="5" t="s">
        <v>355</v>
      </c>
      <c r="Q3706" s="5" t="s">
        <v>355</v>
      </c>
    </row>
    <row r="3707" ht="16.5" customHeight="1">
      <c r="O3707" s="5" t="s">
        <v>355</v>
      </c>
      <c r="P3707" s="5" t="s">
        <v>355</v>
      </c>
      <c r="Q3707" s="5" t="s">
        <v>355</v>
      </c>
    </row>
    <row r="3708" ht="16.5" customHeight="1">
      <c r="O3708" s="5" t="s">
        <v>355</v>
      </c>
      <c r="P3708" s="5" t="s">
        <v>355</v>
      </c>
      <c r="Q3708" s="5" t="s">
        <v>355</v>
      </c>
    </row>
    <row r="3709" ht="16.5" customHeight="1">
      <c r="O3709" s="5" t="s">
        <v>355</v>
      </c>
      <c r="P3709" s="5" t="s">
        <v>355</v>
      </c>
      <c r="Q3709" s="5" t="s">
        <v>355</v>
      </c>
    </row>
    <row r="3710" ht="16.5" customHeight="1">
      <c r="O3710" s="5" t="s">
        <v>355</v>
      </c>
      <c r="P3710" s="5" t="s">
        <v>355</v>
      </c>
      <c r="Q3710" s="5" t="s">
        <v>355</v>
      </c>
    </row>
    <row r="3711" ht="16.5" customHeight="1">
      <c r="O3711" s="5" t="s">
        <v>355</v>
      </c>
      <c r="P3711" s="5" t="s">
        <v>355</v>
      </c>
      <c r="Q3711" s="5" t="s">
        <v>355</v>
      </c>
    </row>
    <row r="3712" ht="16.5" customHeight="1">
      <c r="O3712" s="5" t="s">
        <v>355</v>
      </c>
      <c r="P3712" s="5" t="s">
        <v>355</v>
      </c>
      <c r="Q3712" s="5" t="s">
        <v>355</v>
      </c>
    </row>
    <row r="3713" ht="16.5" customHeight="1">
      <c r="O3713" s="5" t="s">
        <v>355</v>
      </c>
      <c r="P3713" s="5" t="s">
        <v>355</v>
      </c>
      <c r="Q3713" s="5" t="s">
        <v>355</v>
      </c>
    </row>
    <row r="3714" ht="16.5" customHeight="1">
      <c r="O3714" s="5" t="s">
        <v>355</v>
      </c>
      <c r="P3714" s="5" t="s">
        <v>355</v>
      </c>
      <c r="Q3714" s="5" t="s">
        <v>355</v>
      </c>
    </row>
    <row r="3715" ht="16.5" customHeight="1">
      <c r="O3715" s="5" t="s">
        <v>355</v>
      </c>
      <c r="P3715" s="5" t="s">
        <v>355</v>
      </c>
      <c r="Q3715" s="5" t="s">
        <v>355</v>
      </c>
    </row>
    <row r="3716" ht="16.5" customHeight="1">
      <c r="O3716" s="5" t="s">
        <v>355</v>
      </c>
      <c r="P3716" s="5" t="s">
        <v>355</v>
      </c>
      <c r="Q3716" s="5" t="s">
        <v>355</v>
      </c>
    </row>
    <row r="3717" ht="16.5" customHeight="1">
      <c r="O3717" s="5" t="s">
        <v>355</v>
      </c>
      <c r="P3717" s="5" t="s">
        <v>355</v>
      </c>
      <c r="Q3717" s="5" t="s">
        <v>355</v>
      </c>
    </row>
    <row r="3718" ht="16.5" customHeight="1">
      <c r="O3718" s="5" t="s">
        <v>355</v>
      </c>
      <c r="P3718" s="5" t="s">
        <v>355</v>
      </c>
      <c r="Q3718" s="5" t="s">
        <v>355</v>
      </c>
    </row>
    <row r="3719" ht="16.5" customHeight="1">
      <c r="O3719" s="5" t="s">
        <v>355</v>
      </c>
      <c r="P3719" s="5" t="s">
        <v>355</v>
      </c>
      <c r="Q3719" s="5" t="s">
        <v>355</v>
      </c>
    </row>
    <row r="3720" ht="16.5" customHeight="1">
      <c r="O3720" s="5" t="s">
        <v>355</v>
      </c>
      <c r="P3720" s="5" t="s">
        <v>355</v>
      </c>
      <c r="Q3720" s="5" t="s">
        <v>355</v>
      </c>
    </row>
    <row r="3721" ht="16.5" customHeight="1">
      <c r="O3721" s="5" t="s">
        <v>355</v>
      </c>
      <c r="P3721" s="5" t="s">
        <v>355</v>
      </c>
      <c r="Q3721" s="5" t="s">
        <v>355</v>
      </c>
    </row>
    <row r="3722" ht="16.5" customHeight="1">
      <c r="O3722" s="5" t="s">
        <v>355</v>
      </c>
      <c r="P3722" s="5" t="s">
        <v>355</v>
      </c>
      <c r="Q3722" s="5" t="s">
        <v>355</v>
      </c>
    </row>
    <row r="3723" ht="16.5" customHeight="1">
      <c r="O3723" s="5" t="s">
        <v>355</v>
      </c>
      <c r="P3723" s="5" t="s">
        <v>355</v>
      </c>
      <c r="Q3723" s="5" t="s">
        <v>355</v>
      </c>
    </row>
    <row r="3724" ht="16.5" customHeight="1">
      <c r="O3724" s="5" t="s">
        <v>355</v>
      </c>
      <c r="P3724" s="5" t="s">
        <v>355</v>
      </c>
      <c r="Q3724" s="5" t="s">
        <v>355</v>
      </c>
    </row>
    <row r="3725" ht="16.5" customHeight="1">
      <c r="O3725" s="5" t="s">
        <v>355</v>
      </c>
      <c r="P3725" s="5" t="s">
        <v>355</v>
      </c>
      <c r="Q3725" s="5" t="s">
        <v>355</v>
      </c>
    </row>
    <row r="3726" ht="16.5" customHeight="1">
      <c r="O3726" s="5" t="s">
        <v>355</v>
      </c>
      <c r="P3726" s="5" t="s">
        <v>355</v>
      </c>
      <c r="Q3726" s="5" t="s">
        <v>355</v>
      </c>
    </row>
    <row r="3727" ht="16.5" customHeight="1">
      <c r="O3727" s="5" t="s">
        <v>355</v>
      </c>
      <c r="P3727" s="5" t="s">
        <v>355</v>
      </c>
      <c r="Q3727" s="5" t="s">
        <v>355</v>
      </c>
    </row>
    <row r="3728" ht="16.5" customHeight="1">
      <c r="O3728" s="5" t="s">
        <v>355</v>
      </c>
      <c r="P3728" s="5" t="s">
        <v>355</v>
      </c>
      <c r="Q3728" s="5" t="s">
        <v>355</v>
      </c>
    </row>
    <row r="3729" ht="16.5" customHeight="1">
      <c r="O3729" s="5" t="s">
        <v>355</v>
      </c>
      <c r="P3729" s="5" t="s">
        <v>355</v>
      </c>
      <c r="Q3729" s="5" t="s">
        <v>355</v>
      </c>
    </row>
    <row r="3730" ht="16.5" customHeight="1">
      <c r="O3730" s="5" t="s">
        <v>355</v>
      </c>
      <c r="P3730" s="5" t="s">
        <v>355</v>
      </c>
      <c r="Q3730" s="5" t="s">
        <v>355</v>
      </c>
    </row>
    <row r="3731" ht="16.5" customHeight="1">
      <c r="O3731" s="5" t="s">
        <v>355</v>
      </c>
      <c r="P3731" s="5" t="s">
        <v>355</v>
      </c>
      <c r="Q3731" s="5" t="s">
        <v>355</v>
      </c>
    </row>
    <row r="3732" ht="16.5" customHeight="1">
      <c r="O3732" s="5" t="s">
        <v>355</v>
      </c>
      <c r="P3732" s="5" t="s">
        <v>355</v>
      </c>
      <c r="Q3732" s="5" t="s">
        <v>355</v>
      </c>
    </row>
    <row r="3733" ht="16.5" customHeight="1">
      <c r="O3733" s="5" t="s">
        <v>355</v>
      </c>
      <c r="P3733" s="5" t="s">
        <v>355</v>
      </c>
      <c r="Q3733" s="5" t="s">
        <v>355</v>
      </c>
    </row>
    <row r="3734" ht="16.5" customHeight="1">
      <c r="O3734" s="5" t="s">
        <v>355</v>
      </c>
      <c r="P3734" s="5" t="s">
        <v>355</v>
      </c>
      <c r="Q3734" s="5" t="s">
        <v>355</v>
      </c>
    </row>
    <row r="3735" ht="16.5" customHeight="1">
      <c r="O3735" s="5" t="s">
        <v>355</v>
      </c>
      <c r="P3735" s="5" t="s">
        <v>355</v>
      </c>
      <c r="Q3735" s="5" t="s">
        <v>355</v>
      </c>
    </row>
    <row r="3736" ht="16.5" customHeight="1">
      <c r="O3736" s="5" t="s">
        <v>355</v>
      </c>
      <c r="P3736" s="5" t="s">
        <v>355</v>
      </c>
      <c r="Q3736" s="5" t="s">
        <v>355</v>
      </c>
    </row>
    <row r="3737" ht="16.5" customHeight="1">
      <c r="O3737" s="5" t="s">
        <v>355</v>
      </c>
      <c r="P3737" s="5" t="s">
        <v>355</v>
      </c>
      <c r="Q3737" s="5" t="s">
        <v>355</v>
      </c>
    </row>
    <row r="3738" ht="16.5" customHeight="1">
      <c r="O3738" s="5" t="s">
        <v>355</v>
      </c>
      <c r="P3738" s="5" t="s">
        <v>355</v>
      </c>
      <c r="Q3738" s="5" t="s">
        <v>355</v>
      </c>
    </row>
    <row r="3739" ht="16.5" customHeight="1">
      <c r="O3739" s="5" t="s">
        <v>355</v>
      </c>
      <c r="P3739" s="5" t="s">
        <v>355</v>
      </c>
      <c r="Q3739" s="5" t="s">
        <v>355</v>
      </c>
    </row>
    <row r="3740" ht="16.5" customHeight="1">
      <c r="O3740" s="5" t="s">
        <v>355</v>
      </c>
      <c r="P3740" s="5" t="s">
        <v>355</v>
      </c>
      <c r="Q3740" s="5" t="s">
        <v>355</v>
      </c>
    </row>
    <row r="3741" ht="16.5" customHeight="1">
      <c r="O3741" s="5" t="s">
        <v>355</v>
      </c>
      <c r="P3741" s="5" t="s">
        <v>355</v>
      </c>
      <c r="Q3741" s="5" t="s">
        <v>355</v>
      </c>
    </row>
    <row r="3742" ht="16.5" customHeight="1">
      <c r="O3742" s="5" t="s">
        <v>355</v>
      </c>
      <c r="P3742" s="5" t="s">
        <v>355</v>
      </c>
      <c r="Q3742" s="5" t="s">
        <v>355</v>
      </c>
    </row>
    <row r="3743" ht="16.5" customHeight="1">
      <c r="O3743" s="5" t="s">
        <v>355</v>
      </c>
      <c r="P3743" s="5" t="s">
        <v>355</v>
      </c>
      <c r="Q3743" s="5" t="s">
        <v>355</v>
      </c>
    </row>
    <row r="3744" ht="16.5" customHeight="1">
      <c r="O3744" s="5" t="s">
        <v>355</v>
      </c>
      <c r="P3744" s="5" t="s">
        <v>355</v>
      </c>
      <c r="Q3744" s="5" t="s">
        <v>355</v>
      </c>
    </row>
    <row r="3745" ht="16.5" customHeight="1">
      <c r="O3745" s="5" t="s">
        <v>355</v>
      </c>
      <c r="P3745" s="5" t="s">
        <v>355</v>
      </c>
      <c r="Q3745" s="5" t="s">
        <v>355</v>
      </c>
    </row>
    <row r="3746" ht="16.5" customHeight="1">
      <c r="O3746" s="5" t="s">
        <v>355</v>
      </c>
      <c r="P3746" s="5" t="s">
        <v>355</v>
      </c>
      <c r="Q3746" s="5" t="s">
        <v>355</v>
      </c>
    </row>
    <row r="3747" ht="16.5" customHeight="1">
      <c r="O3747" s="5" t="s">
        <v>355</v>
      </c>
      <c r="P3747" s="5" t="s">
        <v>355</v>
      </c>
      <c r="Q3747" s="5" t="s">
        <v>355</v>
      </c>
    </row>
    <row r="3748" ht="16.5" customHeight="1">
      <c r="O3748" s="5" t="s">
        <v>355</v>
      </c>
      <c r="P3748" s="5" t="s">
        <v>355</v>
      </c>
      <c r="Q3748" s="5" t="s">
        <v>355</v>
      </c>
    </row>
    <row r="3749" ht="16.5" customHeight="1">
      <c r="O3749" s="5" t="s">
        <v>355</v>
      </c>
      <c r="P3749" s="5" t="s">
        <v>355</v>
      </c>
      <c r="Q3749" s="5" t="s">
        <v>355</v>
      </c>
    </row>
    <row r="3750" ht="16.5" customHeight="1">
      <c r="O3750" s="5" t="s">
        <v>355</v>
      </c>
      <c r="P3750" s="5" t="s">
        <v>355</v>
      </c>
      <c r="Q3750" s="5" t="s">
        <v>355</v>
      </c>
    </row>
    <row r="3751" ht="16.5" customHeight="1">
      <c r="O3751" s="5" t="s">
        <v>355</v>
      </c>
      <c r="P3751" s="5" t="s">
        <v>355</v>
      </c>
      <c r="Q3751" s="5" t="s">
        <v>355</v>
      </c>
    </row>
    <row r="3752" ht="16.5" customHeight="1">
      <c r="O3752" s="5" t="s">
        <v>355</v>
      </c>
      <c r="P3752" s="5" t="s">
        <v>355</v>
      </c>
      <c r="Q3752" s="5" t="s">
        <v>355</v>
      </c>
    </row>
    <row r="3753" ht="16.5" customHeight="1">
      <c r="O3753" s="5" t="s">
        <v>355</v>
      </c>
      <c r="P3753" s="5" t="s">
        <v>355</v>
      </c>
      <c r="Q3753" s="5" t="s">
        <v>355</v>
      </c>
    </row>
    <row r="3754" ht="16.5" customHeight="1">
      <c r="O3754" s="5" t="s">
        <v>355</v>
      </c>
      <c r="P3754" s="5" t="s">
        <v>355</v>
      </c>
      <c r="Q3754" s="5" t="s">
        <v>355</v>
      </c>
    </row>
    <row r="3755" ht="16.5" customHeight="1">
      <c r="O3755" s="5" t="s">
        <v>355</v>
      </c>
      <c r="P3755" s="5" t="s">
        <v>355</v>
      </c>
      <c r="Q3755" s="5" t="s">
        <v>355</v>
      </c>
    </row>
    <row r="3756" ht="16.5" customHeight="1">
      <c r="O3756" s="5" t="s">
        <v>355</v>
      </c>
      <c r="P3756" s="5" t="s">
        <v>355</v>
      </c>
      <c r="Q3756" s="5" t="s">
        <v>355</v>
      </c>
    </row>
    <row r="3757" ht="16.5" customHeight="1">
      <c r="O3757" s="5" t="s">
        <v>355</v>
      </c>
      <c r="P3757" s="5" t="s">
        <v>355</v>
      </c>
      <c r="Q3757" s="5" t="s">
        <v>355</v>
      </c>
    </row>
    <row r="3758" ht="16.5" customHeight="1">
      <c r="O3758" s="5" t="s">
        <v>355</v>
      </c>
      <c r="P3758" s="5" t="s">
        <v>355</v>
      </c>
      <c r="Q3758" s="5" t="s">
        <v>355</v>
      </c>
    </row>
    <row r="3759" ht="16.5" customHeight="1">
      <c r="O3759" s="5" t="s">
        <v>355</v>
      </c>
      <c r="P3759" s="5" t="s">
        <v>355</v>
      </c>
      <c r="Q3759" s="5" t="s">
        <v>355</v>
      </c>
    </row>
    <row r="3760" ht="16.5" customHeight="1">
      <c r="O3760" s="5" t="s">
        <v>355</v>
      </c>
      <c r="P3760" s="5" t="s">
        <v>355</v>
      </c>
      <c r="Q3760" s="5" t="s">
        <v>355</v>
      </c>
    </row>
    <row r="3761" ht="16.5" customHeight="1">
      <c r="O3761" s="5" t="s">
        <v>355</v>
      </c>
      <c r="P3761" s="5" t="s">
        <v>355</v>
      </c>
      <c r="Q3761" s="5" t="s">
        <v>355</v>
      </c>
    </row>
    <row r="3762" ht="16.5" customHeight="1">
      <c r="O3762" s="5" t="s">
        <v>355</v>
      </c>
      <c r="P3762" s="5" t="s">
        <v>355</v>
      </c>
      <c r="Q3762" s="5" t="s">
        <v>355</v>
      </c>
    </row>
    <row r="3763" ht="16.5" customHeight="1">
      <c r="O3763" s="5" t="s">
        <v>355</v>
      </c>
      <c r="P3763" s="5" t="s">
        <v>355</v>
      </c>
      <c r="Q3763" s="5" t="s">
        <v>355</v>
      </c>
    </row>
    <row r="3764" ht="16.5" customHeight="1">
      <c r="O3764" s="5" t="s">
        <v>355</v>
      </c>
      <c r="P3764" s="5" t="s">
        <v>355</v>
      </c>
      <c r="Q3764" s="5" t="s">
        <v>355</v>
      </c>
    </row>
    <row r="3765" ht="16.5" customHeight="1">
      <c r="O3765" s="5" t="s">
        <v>355</v>
      </c>
      <c r="P3765" s="5" t="s">
        <v>355</v>
      </c>
      <c r="Q3765" s="5" t="s">
        <v>355</v>
      </c>
    </row>
    <row r="3766" ht="16.5" customHeight="1">
      <c r="O3766" s="5" t="s">
        <v>355</v>
      </c>
      <c r="P3766" s="5" t="s">
        <v>355</v>
      </c>
      <c r="Q3766" s="5" t="s">
        <v>355</v>
      </c>
    </row>
    <row r="3767" ht="16.5" customHeight="1">
      <c r="O3767" s="5" t="s">
        <v>355</v>
      </c>
      <c r="P3767" s="5" t="s">
        <v>355</v>
      </c>
      <c r="Q3767" s="5" t="s">
        <v>355</v>
      </c>
    </row>
    <row r="3768" ht="16.5" customHeight="1">
      <c r="O3768" s="5" t="s">
        <v>355</v>
      </c>
      <c r="P3768" s="5" t="s">
        <v>355</v>
      </c>
      <c r="Q3768" s="5" t="s">
        <v>355</v>
      </c>
    </row>
    <row r="3769" ht="16.5" customHeight="1">
      <c r="O3769" s="5" t="s">
        <v>355</v>
      </c>
      <c r="P3769" s="5" t="s">
        <v>355</v>
      </c>
      <c r="Q3769" s="5" t="s">
        <v>355</v>
      </c>
    </row>
    <row r="3770" ht="16.5" customHeight="1">
      <c r="O3770" s="5" t="s">
        <v>355</v>
      </c>
      <c r="P3770" s="5" t="s">
        <v>355</v>
      </c>
      <c r="Q3770" s="5" t="s">
        <v>355</v>
      </c>
    </row>
    <row r="3771" ht="16.5" customHeight="1">
      <c r="O3771" s="5" t="s">
        <v>355</v>
      </c>
      <c r="P3771" s="5" t="s">
        <v>355</v>
      </c>
      <c r="Q3771" s="5" t="s">
        <v>355</v>
      </c>
    </row>
    <row r="3772" ht="16.5" customHeight="1">
      <c r="O3772" s="5" t="s">
        <v>355</v>
      </c>
      <c r="P3772" s="5" t="s">
        <v>355</v>
      </c>
      <c r="Q3772" s="5" t="s">
        <v>355</v>
      </c>
    </row>
    <row r="3773" ht="16.5" customHeight="1">
      <c r="O3773" s="5" t="s">
        <v>355</v>
      </c>
      <c r="P3773" s="5" t="s">
        <v>355</v>
      </c>
      <c r="Q3773" s="5" t="s">
        <v>355</v>
      </c>
    </row>
    <row r="3774" ht="16.5" customHeight="1">
      <c r="O3774" s="5" t="s">
        <v>355</v>
      </c>
      <c r="P3774" s="5" t="s">
        <v>355</v>
      </c>
      <c r="Q3774" s="5" t="s">
        <v>355</v>
      </c>
    </row>
    <row r="3775" ht="16.5" customHeight="1">
      <c r="O3775" s="5" t="s">
        <v>355</v>
      </c>
      <c r="P3775" s="5" t="s">
        <v>355</v>
      </c>
      <c r="Q3775" s="5" t="s">
        <v>355</v>
      </c>
    </row>
    <row r="3776" ht="16.5" customHeight="1">
      <c r="O3776" s="5" t="s">
        <v>355</v>
      </c>
      <c r="P3776" s="5" t="s">
        <v>355</v>
      </c>
      <c r="Q3776" s="5" t="s">
        <v>355</v>
      </c>
    </row>
    <row r="3777" ht="16.5" customHeight="1">
      <c r="O3777" s="5" t="s">
        <v>355</v>
      </c>
      <c r="P3777" s="5" t="s">
        <v>355</v>
      </c>
      <c r="Q3777" s="5" t="s">
        <v>355</v>
      </c>
    </row>
    <row r="3778" ht="16.5" customHeight="1">
      <c r="O3778" s="5" t="s">
        <v>355</v>
      </c>
      <c r="P3778" s="5" t="s">
        <v>355</v>
      </c>
      <c r="Q3778" s="5" t="s">
        <v>355</v>
      </c>
    </row>
    <row r="3779" ht="16.5" customHeight="1">
      <c r="O3779" s="5" t="s">
        <v>355</v>
      </c>
      <c r="P3779" s="5" t="s">
        <v>355</v>
      </c>
      <c r="Q3779" s="5" t="s">
        <v>355</v>
      </c>
    </row>
    <row r="3780" ht="16.5" customHeight="1">
      <c r="O3780" s="5" t="s">
        <v>355</v>
      </c>
      <c r="P3780" s="5" t="s">
        <v>355</v>
      </c>
      <c r="Q3780" s="5" t="s">
        <v>355</v>
      </c>
    </row>
    <row r="3781" ht="16.5" customHeight="1">
      <c r="O3781" s="5" t="s">
        <v>355</v>
      </c>
      <c r="P3781" s="5" t="s">
        <v>355</v>
      </c>
      <c r="Q3781" s="5" t="s">
        <v>355</v>
      </c>
    </row>
    <row r="3782" ht="16.5" customHeight="1">
      <c r="O3782" s="5" t="s">
        <v>355</v>
      </c>
      <c r="P3782" s="5" t="s">
        <v>355</v>
      </c>
      <c r="Q3782" s="5" t="s">
        <v>355</v>
      </c>
    </row>
    <row r="3783" ht="16.5" customHeight="1">
      <c r="O3783" s="5" t="s">
        <v>355</v>
      </c>
      <c r="P3783" s="5" t="s">
        <v>355</v>
      </c>
      <c r="Q3783" s="5" t="s">
        <v>355</v>
      </c>
    </row>
    <row r="3784" ht="16.5" customHeight="1">
      <c r="O3784" s="5" t="s">
        <v>355</v>
      </c>
      <c r="P3784" s="5" t="s">
        <v>355</v>
      </c>
      <c r="Q3784" s="5" t="s">
        <v>355</v>
      </c>
    </row>
    <row r="3785" ht="16.5" customHeight="1">
      <c r="O3785" s="5" t="s">
        <v>355</v>
      </c>
      <c r="P3785" s="5" t="s">
        <v>355</v>
      </c>
      <c r="Q3785" s="5" t="s">
        <v>355</v>
      </c>
    </row>
    <row r="3786" ht="16.5" customHeight="1">
      <c r="O3786" s="5" t="s">
        <v>355</v>
      </c>
      <c r="P3786" s="5" t="s">
        <v>355</v>
      </c>
      <c r="Q3786" s="5" t="s">
        <v>355</v>
      </c>
    </row>
    <row r="3787" ht="16.5" customHeight="1">
      <c r="O3787" s="5" t="s">
        <v>355</v>
      </c>
      <c r="P3787" s="5" t="s">
        <v>355</v>
      </c>
      <c r="Q3787" s="5" t="s">
        <v>355</v>
      </c>
    </row>
    <row r="3788" ht="16.5" customHeight="1">
      <c r="O3788" s="5" t="s">
        <v>355</v>
      </c>
      <c r="P3788" s="5" t="s">
        <v>355</v>
      </c>
      <c r="Q3788" s="5" t="s">
        <v>355</v>
      </c>
    </row>
    <row r="3789" ht="16.5" customHeight="1">
      <c r="O3789" s="5" t="s">
        <v>355</v>
      </c>
      <c r="P3789" s="5" t="s">
        <v>355</v>
      </c>
      <c r="Q3789" s="5" t="s">
        <v>355</v>
      </c>
    </row>
    <row r="3790" ht="16.5" customHeight="1">
      <c r="O3790" s="5" t="s">
        <v>355</v>
      </c>
      <c r="P3790" s="5" t="s">
        <v>355</v>
      </c>
      <c r="Q3790" s="5" t="s">
        <v>355</v>
      </c>
    </row>
    <row r="3791" ht="16.5" customHeight="1">
      <c r="O3791" s="5" t="s">
        <v>355</v>
      </c>
      <c r="P3791" s="5" t="s">
        <v>355</v>
      </c>
      <c r="Q3791" s="5" t="s">
        <v>355</v>
      </c>
    </row>
    <row r="3792" ht="16.5" customHeight="1">
      <c r="O3792" s="5" t="s">
        <v>355</v>
      </c>
      <c r="P3792" s="5" t="s">
        <v>355</v>
      </c>
      <c r="Q3792" s="5" t="s">
        <v>355</v>
      </c>
    </row>
    <row r="3793" ht="16.5" customHeight="1">
      <c r="O3793" s="5" t="s">
        <v>355</v>
      </c>
      <c r="P3793" s="5" t="s">
        <v>355</v>
      </c>
      <c r="Q3793" s="5" t="s">
        <v>355</v>
      </c>
    </row>
    <row r="3794" ht="16.5" customHeight="1">
      <c r="O3794" s="5" t="s">
        <v>355</v>
      </c>
      <c r="P3794" s="5" t="s">
        <v>355</v>
      </c>
      <c r="Q3794" s="5" t="s">
        <v>355</v>
      </c>
    </row>
    <row r="3795" ht="16.5" customHeight="1">
      <c r="O3795" s="5" t="s">
        <v>355</v>
      </c>
      <c r="P3795" s="5" t="s">
        <v>355</v>
      </c>
      <c r="Q3795" s="5" t="s">
        <v>355</v>
      </c>
    </row>
    <row r="3796" ht="16.5" customHeight="1">
      <c r="O3796" s="5" t="s">
        <v>355</v>
      </c>
      <c r="P3796" s="5" t="s">
        <v>355</v>
      </c>
      <c r="Q3796" s="5" t="s">
        <v>355</v>
      </c>
    </row>
    <row r="3797" ht="16.5" customHeight="1">
      <c r="O3797" s="5" t="s">
        <v>355</v>
      </c>
      <c r="P3797" s="5" t="s">
        <v>355</v>
      </c>
      <c r="Q3797" s="5" t="s">
        <v>355</v>
      </c>
    </row>
    <row r="3798" ht="16.5" customHeight="1">
      <c r="O3798" s="5" t="s">
        <v>355</v>
      </c>
      <c r="P3798" s="5" t="s">
        <v>355</v>
      </c>
      <c r="Q3798" s="5" t="s">
        <v>355</v>
      </c>
    </row>
    <row r="3799" ht="16.5" customHeight="1">
      <c r="O3799" s="5" t="s">
        <v>355</v>
      </c>
      <c r="P3799" s="5" t="s">
        <v>355</v>
      </c>
      <c r="Q3799" s="5" t="s">
        <v>355</v>
      </c>
    </row>
    <row r="3800" ht="16.5" customHeight="1">
      <c r="O3800" s="5" t="s">
        <v>355</v>
      </c>
      <c r="P3800" s="5" t="s">
        <v>355</v>
      </c>
      <c r="Q3800" s="5" t="s">
        <v>355</v>
      </c>
    </row>
    <row r="3801" ht="16.5" customHeight="1">
      <c r="O3801" s="5" t="s">
        <v>355</v>
      </c>
      <c r="P3801" s="5" t="s">
        <v>355</v>
      </c>
      <c r="Q3801" s="5" t="s">
        <v>355</v>
      </c>
    </row>
    <row r="3802" ht="16.5" customHeight="1">
      <c r="O3802" s="5" t="s">
        <v>355</v>
      </c>
      <c r="P3802" s="5" t="s">
        <v>355</v>
      </c>
      <c r="Q3802" s="5" t="s">
        <v>355</v>
      </c>
    </row>
    <row r="3803" ht="16.5" customHeight="1">
      <c r="O3803" s="5" t="s">
        <v>355</v>
      </c>
      <c r="P3803" s="5" t="s">
        <v>355</v>
      </c>
      <c r="Q3803" s="5" t="s">
        <v>355</v>
      </c>
    </row>
    <row r="3804" ht="16.5" customHeight="1">
      <c r="O3804" s="5" t="s">
        <v>355</v>
      </c>
      <c r="P3804" s="5" t="s">
        <v>355</v>
      </c>
      <c r="Q3804" s="5" t="s">
        <v>355</v>
      </c>
    </row>
    <row r="3805" ht="16.5" customHeight="1">
      <c r="O3805" s="5" t="s">
        <v>355</v>
      </c>
      <c r="P3805" s="5" t="s">
        <v>355</v>
      </c>
      <c r="Q3805" s="5" t="s">
        <v>355</v>
      </c>
    </row>
    <row r="3806" ht="16.5" customHeight="1">
      <c r="O3806" s="5" t="s">
        <v>355</v>
      </c>
      <c r="P3806" s="5" t="s">
        <v>355</v>
      </c>
      <c r="Q3806" s="5" t="s">
        <v>355</v>
      </c>
    </row>
    <row r="3807" ht="16.5" customHeight="1">
      <c r="O3807" s="5" t="s">
        <v>355</v>
      </c>
      <c r="P3807" s="5" t="s">
        <v>355</v>
      </c>
      <c r="Q3807" s="5" t="s">
        <v>355</v>
      </c>
    </row>
    <row r="3808" ht="16.5" customHeight="1">
      <c r="O3808" s="5" t="s">
        <v>355</v>
      </c>
      <c r="P3808" s="5" t="s">
        <v>355</v>
      </c>
      <c r="Q3808" s="5" t="s">
        <v>355</v>
      </c>
    </row>
    <row r="3809" ht="16.5" customHeight="1">
      <c r="O3809" s="5" t="s">
        <v>355</v>
      </c>
      <c r="P3809" s="5" t="s">
        <v>355</v>
      </c>
      <c r="Q3809" s="5" t="s">
        <v>355</v>
      </c>
    </row>
    <row r="3810" ht="16.5" customHeight="1">
      <c r="O3810" s="5" t="s">
        <v>355</v>
      </c>
      <c r="P3810" s="5" t="s">
        <v>355</v>
      </c>
      <c r="Q3810" s="5" t="s">
        <v>355</v>
      </c>
    </row>
    <row r="3811" ht="16.5" customHeight="1">
      <c r="O3811" s="5" t="s">
        <v>355</v>
      </c>
      <c r="P3811" s="5" t="s">
        <v>355</v>
      </c>
      <c r="Q3811" s="5" t="s">
        <v>355</v>
      </c>
    </row>
    <row r="3812" ht="16.5" customHeight="1">
      <c r="O3812" s="5" t="s">
        <v>355</v>
      </c>
      <c r="P3812" s="5" t="s">
        <v>355</v>
      </c>
      <c r="Q3812" s="5" t="s">
        <v>355</v>
      </c>
    </row>
    <row r="3813" ht="16.5" customHeight="1">
      <c r="O3813" s="5" t="s">
        <v>355</v>
      </c>
      <c r="P3813" s="5" t="s">
        <v>355</v>
      </c>
      <c r="Q3813" s="5" t="s">
        <v>355</v>
      </c>
    </row>
    <row r="3814" ht="16.5" customHeight="1">
      <c r="O3814" s="5" t="s">
        <v>355</v>
      </c>
      <c r="P3814" s="5" t="s">
        <v>355</v>
      </c>
      <c r="Q3814" s="5" t="s">
        <v>355</v>
      </c>
    </row>
    <row r="3815" ht="16.5" customHeight="1">
      <c r="O3815" s="5" t="s">
        <v>355</v>
      </c>
      <c r="P3815" s="5" t="s">
        <v>355</v>
      </c>
      <c r="Q3815" s="5" t="s">
        <v>355</v>
      </c>
    </row>
    <row r="3816" ht="16.5" customHeight="1">
      <c r="O3816" s="5" t="s">
        <v>355</v>
      </c>
      <c r="P3816" s="5" t="s">
        <v>355</v>
      </c>
      <c r="Q3816" s="5" t="s">
        <v>355</v>
      </c>
    </row>
    <row r="3817" ht="16.5" customHeight="1">
      <c r="O3817" s="5" t="s">
        <v>355</v>
      </c>
      <c r="P3817" s="5" t="s">
        <v>355</v>
      </c>
      <c r="Q3817" s="5" t="s">
        <v>355</v>
      </c>
    </row>
    <row r="3818" ht="16.5" customHeight="1">
      <c r="O3818" s="5" t="s">
        <v>355</v>
      </c>
      <c r="P3818" s="5" t="s">
        <v>355</v>
      </c>
      <c r="Q3818" s="5" t="s">
        <v>355</v>
      </c>
    </row>
    <row r="3819" ht="16.5" customHeight="1">
      <c r="O3819" s="5" t="s">
        <v>355</v>
      </c>
      <c r="P3819" s="5" t="s">
        <v>355</v>
      </c>
      <c r="Q3819" s="5" t="s">
        <v>355</v>
      </c>
    </row>
    <row r="3820" ht="16.5" customHeight="1">
      <c r="O3820" s="5" t="s">
        <v>355</v>
      </c>
      <c r="P3820" s="5" t="s">
        <v>355</v>
      </c>
      <c r="Q3820" s="5" t="s">
        <v>355</v>
      </c>
    </row>
    <row r="3821" ht="16.5" customHeight="1">
      <c r="O3821" s="5" t="s">
        <v>355</v>
      </c>
      <c r="P3821" s="5" t="s">
        <v>355</v>
      </c>
      <c r="Q3821" s="5" t="s">
        <v>355</v>
      </c>
    </row>
    <row r="3822" ht="16.5" customHeight="1">
      <c r="O3822" s="5" t="s">
        <v>355</v>
      </c>
      <c r="P3822" s="5" t="s">
        <v>355</v>
      </c>
      <c r="Q3822" s="5" t="s">
        <v>355</v>
      </c>
    </row>
    <row r="3823" ht="16.5" customHeight="1">
      <c r="O3823" s="5" t="s">
        <v>355</v>
      </c>
      <c r="P3823" s="5" t="s">
        <v>355</v>
      </c>
      <c r="Q3823" s="5" t="s">
        <v>355</v>
      </c>
    </row>
    <row r="3824" ht="16.5" customHeight="1">
      <c r="O3824" s="5" t="s">
        <v>355</v>
      </c>
      <c r="P3824" s="5" t="s">
        <v>355</v>
      </c>
      <c r="Q3824" s="5" t="s">
        <v>355</v>
      </c>
    </row>
    <row r="3825" ht="16.5" customHeight="1">
      <c r="O3825" s="5" t="s">
        <v>355</v>
      </c>
      <c r="P3825" s="5" t="s">
        <v>355</v>
      </c>
      <c r="Q3825" s="5" t="s">
        <v>355</v>
      </c>
    </row>
    <row r="3826" ht="16.5" customHeight="1">
      <c r="O3826" s="5" t="s">
        <v>355</v>
      </c>
      <c r="P3826" s="5" t="s">
        <v>355</v>
      </c>
      <c r="Q3826" s="5" t="s">
        <v>355</v>
      </c>
    </row>
    <row r="3827" ht="16.5" customHeight="1">
      <c r="O3827" s="5" t="s">
        <v>355</v>
      </c>
      <c r="P3827" s="5" t="s">
        <v>355</v>
      </c>
      <c r="Q3827" s="5" t="s">
        <v>355</v>
      </c>
    </row>
    <row r="3828" ht="16.5" customHeight="1">
      <c r="O3828" s="5" t="s">
        <v>355</v>
      </c>
      <c r="P3828" s="5" t="s">
        <v>355</v>
      </c>
      <c r="Q3828" s="5" t="s">
        <v>355</v>
      </c>
    </row>
    <row r="3829" ht="16.5" customHeight="1">
      <c r="O3829" s="5" t="s">
        <v>355</v>
      </c>
      <c r="P3829" s="5" t="s">
        <v>355</v>
      </c>
      <c r="Q3829" s="5" t="s">
        <v>355</v>
      </c>
    </row>
    <row r="3830" ht="16.5" customHeight="1">
      <c r="O3830" s="5" t="s">
        <v>355</v>
      </c>
      <c r="P3830" s="5" t="s">
        <v>355</v>
      </c>
      <c r="Q3830" s="5" t="s">
        <v>355</v>
      </c>
    </row>
    <row r="3831" ht="16.5" customHeight="1">
      <c r="O3831" s="5" t="s">
        <v>355</v>
      </c>
      <c r="P3831" s="5" t="s">
        <v>355</v>
      </c>
      <c r="Q3831" s="5" t="s">
        <v>355</v>
      </c>
    </row>
    <row r="3832" ht="16.5" customHeight="1">
      <c r="O3832" s="5" t="s">
        <v>355</v>
      </c>
      <c r="P3832" s="5" t="s">
        <v>355</v>
      </c>
      <c r="Q3832" s="5" t="s">
        <v>355</v>
      </c>
    </row>
    <row r="3833" ht="16.5" customHeight="1">
      <c r="O3833" s="5" t="s">
        <v>355</v>
      </c>
      <c r="P3833" s="5" t="s">
        <v>355</v>
      </c>
      <c r="Q3833" s="5" t="s">
        <v>355</v>
      </c>
    </row>
    <row r="3834" ht="16.5" customHeight="1">
      <c r="O3834" s="5" t="s">
        <v>355</v>
      </c>
      <c r="P3834" s="5" t="s">
        <v>355</v>
      </c>
      <c r="Q3834" s="5" t="s">
        <v>355</v>
      </c>
    </row>
    <row r="3835" ht="16.5" customHeight="1">
      <c r="O3835" s="5" t="s">
        <v>355</v>
      </c>
      <c r="P3835" s="5" t="s">
        <v>355</v>
      </c>
      <c r="Q3835" s="5" t="s">
        <v>355</v>
      </c>
    </row>
    <row r="3836" ht="16.5" customHeight="1">
      <c r="O3836" s="5" t="s">
        <v>355</v>
      </c>
      <c r="P3836" s="5" t="s">
        <v>355</v>
      </c>
      <c r="Q3836" s="5" t="s">
        <v>355</v>
      </c>
    </row>
    <row r="3837" ht="16.5" customHeight="1">
      <c r="O3837" s="5" t="s">
        <v>355</v>
      </c>
      <c r="P3837" s="5" t="s">
        <v>355</v>
      </c>
      <c r="Q3837" s="5" t="s">
        <v>355</v>
      </c>
    </row>
    <row r="3838" ht="16.5" customHeight="1">
      <c r="O3838" s="5" t="s">
        <v>355</v>
      </c>
      <c r="P3838" s="5" t="s">
        <v>355</v>
      </c>
      <c r="Q3838" s="5" t="s">
        <v>355</v>
      </c>
    </row>
    <row r="3839" ht="16.5" customHeight="1">
      <c r="O3839" s="5" t="s">
        <v>355</v>
      </c>
      <c r="P3839" s="5" t="s">
        <v>355</v>
      </c>
      <c r="Q3839" s="5" t="s">
        <v>355</v>
      </c>
    </row>
    <row r="3840" ht="16.5" customHeight="1">
      <c r="O3840" s="5" t="s">
        <v>355</v>
      </c>
      <c r="P3840" s="5" t="s">
        <v>355</v>
      </c>
      <c r="Q3840" s="5" t="s">
        <v>355</v>
      </c>
    </row>
    <row r="3841" ht="16.5" customHeight="1">
      <c r="O3841" s="5" t="s">
        <v>355</v>
      </c>
      <c r="P3841" s="5" t="s">
        <v>355</v>
      </c>
      <c r="Q3841" s="5" t="s">
        <v>355</v>
      </c>
    </row>
    <row r="3842" ht="16.5" customHeight="1">
      <c r="O3842" s="5" t="s">
        <v>355</v>
      </c>
      <c r="P3842" s="5" t="s">
        <v>355</v>
      </c>
      <c r="Q3842" s="5" t="s">
        <v>355</v>
      </c>
    </row>
    <row r="3843" ht="16.5" customHeight="1">
      <c r="O3843" s="5" t="s">
        <v>355</v>
      </c>
      <c r="P3843" s="5" t="s">
        <v>355</v>
      </c>
      <c r="Q3843" s="5" t="s">
        <v>355</v>
      </c>
    </row>
    <row r="3844" ht="16.5" customHeight="1">
      <c r="O3844" s="5" t="s">
        <v>355</v>
      </c>
      <c r="P3844" s="5" t="s">
        <v>355</v>
      </c>
      <c r="Q3844" s="5" t="s">
        <v>355</v>
      </c>
    </row>
    <row r="3845" ht="16.5" customHeight="1">
      <c r="O3845" s="5" t="s">
        <v>355</v>
      </c>
      <c r="P3845" s="5" t="s">
        <v>355</v>
      </c>
      <c r="Q3845" s="5" t="s">
        <v>355</v>
      </c>
    </row>
    <row r="3846" ht="16.5" customHeight="1">
      <c r="O3846" s="5" t="s">
        <v>355</v>
      </c>
      <c r="P3846" s="5" t="s">
        <v>355</v>
      </c>
      <c r="Q3846" s="5" t="s">
        <v>355</v>
      </c>
    </row>
    <row r="3847" ht="16.5" customHeight="1">
      <c r="O3847" s="5" t="s">
        <v>355</v>
      </c>
      <c r="P3847" s="5" t="s">
        <v>355</v>
      </c>
      <c r="Q3847" s="5" t="s">
        <v>355</v>
      </c>
    </row>
    <row r="3848" ht="16.5" customHeight="1">
      <c r="O3848" s="5" t="s">
        <v>355</v>
      </c>
      <c r="P3848" s="5" t="s">
        <v>355</v>
      </c>
      <c r="Q3848" s="5" t="s">
        <v>355</v>
      </c>
    </row>
    <row r="3849" ht="16.5" customHeight="1">
      <c r="O3849" s="5" t="s">
        <v>355</v>
      </c>
      <c r="P3849" s="5" t="s">
        <v>355</v>
      </c>
      <c r="Q3849" s="5" t="s">
        <v>355</v>
      </c>
    </row>
    <row r="3850" ht="16.5" customHeight="1">
      <c r="O3850" s="5" t="s">
        <v>355</v>
      </c>
      <c r="P3850" s="5" t="s">
        <v>355</v>
      </c>
      <c r="Q3850" s="5" t="s">
        <v>355</v>
      </c>
    </row>
    <row r="3851" ht="16.5" customHeight="1">
      <c r="O3851" s="5" t="s">
        <v>355</v>
      </c>
      <c r="P3851" s="5" t="s">
        <v>355</v>
      </c>
      <c r="Q3851" s="5" t="s">
        <v>355</v>
      </c>
    </row>
    <row r="3852" ht="16.5" customHeight="1">
      <c r="O3852" s="5" t="s">
        <v>355</v>
      </c>
      <c r="P3852" s="5" t="s">
        <v>355</v>
      </c>
      <c r="Q3852" s="5" t="s">
        <v>355</v>
      </c>
    </row>
    <row r="3853" ht="16.5" customHeight="1">
      <c r="O3853" s="5" t="s">
        <v>355</v>
      </c>
      <c r="P3853" s="5" t="s">
        <v>355</v>
      </c>
      <c r="Q3853" s="5" t="s">
        <v>355</v>
      </c>
    </row>
    <row r="3854" ht="16.5" customHeight="1">
      <c r="O3854" s="5" t="s">
        <v>355</v>
      </c>
      <c r="P3854" s="5" t="s">
        <v>355</v>
      </c>
      <c r="Q3854" s="5" t="s">
        <v>355</v>
      </c>
    </row>
    <row r="3855" ht="16.5" customHeight="1">
      <c r="O3855" s="5" t="s">
        <v>355</v>
      </c>
      <c r="P3855" s="5" t="s">
        <v>355</v>
      </c>
      <c r="Q3855" s="5" t="s">
        <v>355</v>
      </c>
    </row>
    <row r="3856" ht="16.5" customHeight="1">
      <c r="O3856" s="5" t="s">
        <v>355</v>
      </c>
      <c r="P3856" s="5" t="s">
        <v>355</v>
      </c>
      <c r="Q3856" s="5" t="s">
        <v>355</v>
      </c>
    </row>
    <row r="3857" ht="16.5" customHeight="1">
      <c r="O3857" s="5" t="s">
        <v>355</v>
      </c>
      <c r="P3857" s="5" t="s">
        <v>355</v>
      </c>
      <c r="Q3857" s="5" t="s">
        <v>355</v>
      </c>
    </row>
    <row r="3858" ht="16.5" customHeight="1">
      <c r="O3858" s="5" t="s">
        <v>355</v>
      </c>
      <c r="P3858" s="5" t="s">
        <v>355</v>
      </c>
      <c r="Q3858" s="5" t="s">
        <v>355</v>
      </c>
    </row>
    <row r="3859" ht="16.5" customHeight="1">
      <c r="O3859" s="5" t="s">
        <v>355</v>
      </c>
      <c r="P3859" s="5" t="s">
        <v>355</v>
      </c>
      <c r="Q3859" s="5" t="s">
        <v>355</v>
      </c>
    </row>
    <row r="3860" ht="16.5" customHeight="1">
      <c r="O3860" s="5" t="s">
        <v>355</v>
      </c>
      <c r="P3860" s="5" t="s">
        <v>355</v>
      </c>
      <c r="Q3860" s="5" t="s">
        <v>355</v>
      </c>
    </row>
    <row r="3861" ht="16.5" customHeight="1">
      <c r="O3861" s="5" t="s">
        <v>355</v>
      </c>
      <c r="P3861" s="5" t="s">
        <v>355</v>
      </c>
      <c r="Q3861" s="5" t="s">
        <v>355</v>
      </c>
    </row>
    <row r="3862" ht="16.5" customHeight="1">
      <c r="O3862" s="5" t="s">
        <v>355</v>
      </c>
      <c r="P3862" s="5" t="s">
        <v>355</v>
      </c>
      <c r="Q3862" s="5" t="s">
        <v>355</v>
      </c>
    </row>
    <row r="3863" ht="16.5" customHeight="1">
      <c r="O3863" s="5" t="s">
        <v>355</v>
      </c>
      <c r="P3863" s="5" t="s">
        <v>355</v>
      </c>
      <c r="Q3863" s="5" t="s">
        <v>355</v>
      </c>
    </row>
    <row r="3864" ht="16.5" customHeight="1">
      <c r="O3864" s="5" t="s">
        <v>355</v>
      </c>
      <c r="P3864" s="5" t="s">
        <v>355</v>
      </c>
      <c r="Q3864" s="5" t="s">
        <v>355</v>
      </c>
    </row>
    <row r="3865" ht="16.5" customHeight="1">
      <c r="O3865" s="5" t="s">
        <v>355</v>
      </c>
      <c r="P3865" s="5" t="s">
        <v>355</v>
      </c>
      <c r="Q3865" s="5" t="s">
        <v>355</v>
      </c>
    </row>
    <row r="3866" ht="16.5" customHeight="1">
      <c r="O3866" s="5" t="s">
        <v>355</v>
      </c>
      <c r="P3866" s="5" t="s">
        <v>355</v>
      </c>
      <c r="Q3866" s="5" t="s">
        <v>355</v>
      </c>
    </row>
    <row r="3867" ht="16.5" customHeight="1">
      <c r="O3867" s="5" t="s">
        <v>355</v>
      </c>
      <c r="P3867" s="5" t="s">
        <v>355</v>
      </c>
      <c r="Q3867" s="5" t="s">
        <v>355</v>
      </c>
    </row>
    <row r="3868" ht="16.5" customHeight="1">
      <c r="O3868" s="5" t="s">
        <v>355</v>
      </c>
      <c r="P3868" s="5" t="s">
        <v>355</v>
      </c>
      <c r="Q3868" s="5" t="s">
        <v>355</v>
      </c>
    </row>
    <row r="3869" ht="16.5" customHeight="1">
      <c r="O3869" s="5" t="s">
        <v>355</v>
      </c>
      <c r="P3869" s="5" t="s">
        <v>355</v>
      </c>
      <c r="Q3869" s="5" t="s">
        <v>355</v>
      </c>
    </row>
    <row r="3870" ht="16.5" customHeight="1">
      <c r="O3870" s="5" t="s">
        <v>355</v>
      </c>
      <c r="P3870" s="5" t="s">
        <v>355</v>
      </c>
      <c r="Q3870" s="5" t="s">
        <v>355</v>
      </c>
    </row>
    <row r="3871" ht="16.5" customHeight="1">
      <c r="O3871" s="5" t="s">
        <v>355</v>
      </c>
      <c r="P3871" s="5" t="s">
        <v>355</v>
      </c>
      <c r="Q3871" s="5" t="s">
        <v>355</v>
      </c>
    </row>
    <row r="3872" ht="16.5" customHeight="1">
      <c r="O3872" s="5" t="s">
        <v>355</v>
      </c>
      <c r="P3872" s="5" t="s">
        <v>355</v>
      </c>
      <c r="Q3872" s="5" t="s">
        <v>355</v>
      </c>
    </row>
    <row r="3873" ht="16.5" customHeight="1">
      <c r="O3873" s="5" t="s">
        <v>355</v>
      </c>
      <c r="P3873" s="5" t="s">
        <v>355</v>
      </c>
      <c r="Q3873" s="5" t="s">
        <v>355</v>
      </c>
    </row>
    <row r="3874" ht="16.5" customHeight="1">
      <c r="O3874" s="5" t="s">
        <v>355</v>
      </c>
      <c r="P3874" s="5" t="s">
        <v>355</v>
      </c>
      <c r="Q3874" s="5" t="s">
        <v>355</v>
      </c>
    </row>
    <row r="3875" ht="16.5" customHeight="1">
      <c r="O3875" s="5" t="s">
        <v>355</v>
      </c>
      <c r="P3875" s="5" t="s">
        <v>355</v>
      </c>
      <c r="Q3875" s="5" t="s">
        <v>355</v>
      </c>
    </row>
    <row r="3876" ht="16.5" customHeight="1">
      <c r="O3876" s="5" t="s">
        <v>355</v>
      </c>
      <c r="P3876" s="5" t="s">
        <v>355</v>
      </c>
      <c r="Q3876" s="5" t="s">
        <v>355</v>
      </c>
    </row>
    <row r="3877" ht="16.5" customHeight="1">
      <c r="O3877" s="5" t="s">
        <v>355</v>
      </c>
      <c r="P3877" s="5" t="s">
        <v>355</v>
      </c>
      <c r="Q3877" s="5" t="s">
        <v>355</v>
      </c>
    </row>
    <row r="3878" ht="16.5" customHeight="1">
      <c r="O3878" s="5" t="s">
        <v>355</v>
      </c>
      <c r="P3878" s="5" t="s">
        <v>355</v>
      </c>
      <c r="Q3878" s="5" t="s">
        <v>355</v>
      </c>
    </row>
    <row r="3879" ht="16.5" customHeight="1">
      <c r="O3879" s="5" t="s">
        <v>355</v>
      </c>
      <c r="P3879" s="5" t="s">
        <v>355</v>
      </c>
      <c r="Q3879" s="5" t="s">
        <v>355</v>
      </c>
    </row>
    <row r="3880" ht="16.5" customHeight="1">
      <c r="O3880" s="5" t="s">
        <v>355</v>
      </c>
      <c r="P3880" s="5" t="s">
        <v>355</v>
      </c>
      <c r="Q3880" s="5" t="s">
        <v>355</v>
      </c>
    </row>
    <row r="3881" ht="16.5" customHeight="1">
      <c r="O3881" s="5" t="s">
        <v>355</v>
      </c>
      <c r="P3881" s="5" t="s">
        <v>355</v>
      </c>
      <c r="Q3881" s="5" t="s">
        <v>355</v>
      </c>
    </row>
    <row r="3882" ht="16.5" customHeight="1">
      <c r="O3882" s="5" t="s">
        <v>355</v>
      </c>
      <c r="P3882" s="5" t="s">
        <v>355</v>
      </c>
      <c r="Q3882" s="5" t="s">
        <v>355</v>
      </c>
    </row>
    <row r="3883" ht="16.5" customHeight="1">
      <c r="O3883" s="5" t="s">
        <v>355</v>
      </c>
      <c r="P3883" s="5" t="s">
        <v>355</v>
      </c>
      <c r="Q3883" s="5" t="s">
        <v>355</v>
      </c>
    </row>
    <row r="3884" ht="16.5" customHeight="1">
      <c r="O3884" s="5" t="s">
        <v>355</v>
      </c>
      <c r="P3884" s="5" t="s">
        <v>355</v>
      </c>
      <c r="Q3884" s="5" t="s">
        <v>355</v>
      </c>
    </row>
    <row r="3885" ht="16.5" customHeight="1">
      <c r="O3885" s="5" t="s">
        <v>355</v>
      </c>
      <c r="P3885" s="5" t="s">
        <v>355</v>
      </c>
      <c r="Q3885" s="5" t="s">
        <v>355</v>
      </c>
    </row>
    <row r="3886" ht="16.5" customHeight="1">
      <c r="O3886" s="5" t="s">
        <v>355</v>
      </c>
      <c r="P3886" s="5" t="s">
        <v>355</v>
      </c>
      <c r="Q3886" s="5" t="s">
        <v>355</v>
      </c>
    </row>
    <row r="3887" ht="16.5" customHeight="1">
      <c r="O3887" s="5" t="s">
        <v>355</v>
      </c>
      <c r="P3887" s="5" t="s">
        <v>355</v>
      </c>
      <c r="Q3887" s="5" t="s">
        <v>355</v>
      </c>
    </row>
    <row r="3888" ht="16.5" customHeight="1">
      <c r="O3888" s="5" t="s">
        <v>355</v>
      </c>
      <c r="P3888" s="5" t="s">
        <v>355</v>
      </c>
      <c r="Q3888" s="5" t="s">
        <v>355</v>
      </c>
    </row>
    <row r="3889" ht="16.5" customHeight="1">
      <c r="O3889" s="5" t="s">
        <v>355</v>
      </c>
      <c r="P3889" s="5" t="s">
        <v>355</v>
      </c>
      <c r="Q3889" s="5" t="s">
        <v>355</v>
      </c>
    </row>
    <row r="3890" ht="16.5" customHeight="1">
      <c r="O3890" s="5" t="s">
        <v>355</v>
      </c>
      <c r="P3890" s="5" t="s">
        <v>355</v>
      </c>
      <c r="Q3890" s="5" t="s">
        <v>355</v>
      </c>
    </row>
    <row r="3891" ht="16.5" customHeight="1">
      <c r="O3891" s="5" t="s">
        <v>355</v>
      </c>
      <c r="P3891" s="5" t="s">
        <v>355</v>
      </c>
      <c r="Q3891" s="5" t="s">
        <v>355</v>
      </c>
    </row>
    <row r="3892" ht="16.5" customHeight="1">
      <c r="O3892" s="5" t="s">
        <v>355</v>
      </c>
      <c r="P3892" s="5" t="s">
        <v>355</v>
      </c>
      <c r="Q3892" s="5" t="s">
        <v>355</v>
      </c>
    </row>
    <row r="3893" ht="16.5" customHeight="1">
      <c r="O3893" s="5" t="s">
        <v>355</v>
      </c>
      <c r="P3893" s="5" t="s">
        <v>355</v>
      </c>
      <c r="Q3893" s="5" t="s">
        <v>355</v>
      </c>
    </row>
    <row r="3894" ht="16.5" customHeight="1">
      <c r="O3894" s="5" t="s">
        <v>355</v>
      </c>
      <c r="P3894" s="5" t="s">
        <v>355</v>
      </c>
      <c r="Q3894" s="5" t="s">
        <v>355</v>
      </c>
    </row>
    <row r="3895" ht="16.5" customHeight="1">
      <c r="O3895" s="5" t="s">
        <v>355</v>
      </c>
      <c r="P3895" s="5" t="s">
        <v>355</v>
      </c>
      <c r="Q3895" s="5" t="s">
        <v>355</v>
      </c>
    </row>
    <row r="3896" ht="16.5" customHeight="1">
      <c r="O3896" s="5" t="s">
        <v>355</v>
      </c>
      <c r="P3896" s="5" t="s">
        <v>355</v>
      </c>
      <c r="Q3896" s="5" t="s">
        <v>355</v>
      </c>
    </row>
    <row r="3897" ht="16.5" customHeight="1">
      <c r="O3897" s="5" t="s">
        <v>355</v>
      </c>
      <c r="P3897" s="5" t="s">
        <v>355</v>
      </c>
      <c r="Q3897" s="5" t="s">
        <v>355</v>
      </c>
    </row>
    <row r="3898" ht="16.5" customHeight="1">
      <c r="O3898" s="5" t="s">
        <v>355</v>
      </c>
      <c r="P3898" s="5" t="s">
        <v>355</v>
      </c>
      <c r="Q3898" s="5" t="s">
        <v>355</v>
      </c>
    </row>
    <row r="3899" ht="16.5" customHeight="1">
      <c r="O3899" s="5" t="s">
        <v>355</v>
      </c>
      <c r="P3899" s="5" t="s">
        <v>355</v>
      </c>
      <c r="Q3899" s="5" t="s">
        <v>355</v>
      </c>
    </row>
    <row r="3900" ht="16.5" customHeight="1">
      <c r="O3900" s="5" t="s">
        <v>355</v>
      </c>
      <c r="P3900" s="5" t="s">
        <v>355</v>
      </c>
      <c r="Q3900" s="5" t="s">
        <v>355</v>
      </c>
    </row>
    <row r="3901" ht="16.5" customHeight="1">
      <c r="O3901" s="5" t="s">
        <v>355</v>
      </c>
      <c r="P3901" s="5" t="s">
        <v>355</v>
      </c>
      <c r="Q3901" s="5" t="s">
        <v>355</v>
      </c>
    </row>
    <row r="3902" ht="16.5" customHeight="1">
      <c r="O3902" s="5" t="s">
        <v>355</v>
      </c>
      <c r="P3902" s="5" t="s">
        <v>355</v>
      </c>
      <c r="Q3902" s="5" t="s">
        <v>355</v>
      </c>
    </row>
    <row r="3903" ht="16.5" customHeight="1">
      <c r="O3903" s="5" t="s">
        <v>355</v>
      </c>
      <c r="P3903" s="5" t="s">
        <v>355</v>
      </c>
      <c r="Q3903" s="5" t="s">
        <v>355</v>
      </c>
    </row>
    <row r="3904" ht="16.5" customHeight="1">
      <c r="O3904" s="5" t="s">
        <v>355</v>
      </c>
      <c r="P3904" s="5" t="s">
        <v>355</v>
      </c>
      <c r="Q3904" s="5" t="s">
        <v>355</v>
      </c>
    </row>
    <row r="3905" ht="16.5" customHeight="1">
      <c r="O3905" s="5" t="s">
        <v>355</v>
      </c>
      <c r="P3905" s="5" t="s">
        <v>355</v>
      </c>
      <c r="Q3905" s="5" t="s">
        <v>355</v>
      </c>
    </row>
    <row r="3906" ht="16.5" customHeight="1">
      <c r="O3906" s="5" t="s">
        <v>355</v>
      </c>
      <c r="P3906" s="5" t="s">
        <v>355</v>
      </c>
      <c r="Q3906" s="5" t="s">
        <v>355</v>
      </c>
    </row>
    <row r="3907" ht="16.5" customHeight="1">
      <c r="O3907" s="5" t="s">
        <v>355</v>
      </c>
      <c r="P3907" s="5" t="s">
        <v>355</v>
      </c>
      <c r="Q3907" s="5" t="s">
        <v>355</v>
      </c>
    </row>
    <row r="3908" ht="16.5" customHeight="1">
      <c r="O3908" s="5" t="s">
        <v>355</v>
      </c>
      <c r="P3908" s="5" t="s">
        <v>355</v>
      </c>
      <c r="Q3908" s="5" t="s">
        <v>355</v>
      </c>
    </row>
    <row r="3909" ht="16.5" customHeight="1">
      <c r="O3909" s="5" t="s">
        <v>355</v>
      </c>
      <c r="P3909" s="5" t="s">
        <v>355</v>
      </c>
      <c r="Q3909" s="5" t="s">
        <v>355</v>
      </c>
    </row>
    <row r="3910" ht="16.5" customHeight="1">
      <c r="O3910" s="5" t="s">
        <v>355</v>
      </c>
      <c r="P3910" s="5" t="s">
        <v>355</v>
      </c>
      <c r="Q3910" s="5" t="s">
        <v>355</v>
      </c>
    </row>
    <row r="3911" ht="16.5" customHeight="1">
      <c r="O3911" s="5" t="s">
        <v>355</v>
      </c>
      <c r="P3911" s="5" t="s">
        <v>355</v>
      </c>
      <c r="Q3911" s="5" t="s">
        <v>355</v>
      </c>
    </row>
    <row r="3912" ht="16.5" customHeight="1">
      <c r="O3912" s="5" t="s">
        <v>355</v>
      </c>
      <c r="P3912" s="5" t="s">
        <v>355</v>
      </c>
      <c r="Q3912" s="5" t="s">
        <v>355</v>
      </c>
    </row>
    <row r="3913" ht="16.5" customHeight="1">
      <c r="O3913" s="5" t="s">
        <v>355</v>
      </c>
      <c r="P3913" s="5" t="s">
        <v>355</v>
      </c>
      <c r="Q3913" s="5" t="s">
        <v>355</v>
      </c>
    </row>
    <row r="3914" ht="16.5" customHeight="1">
      <c r="O3914" s="5" t="s">
        <v>355</v>
      </c>
      <c r="P3914" s="5" t="s">
        <v>355</v>
      </c>
      <c r="Q3914" s="5" t="s">
        <v>355</v>
      </c>
    </row>
    <row r="3915" ht="16.5" customHeight="1">
      <c r="O3915" s="5" t="s">
        <v>355</v>
      </c>
      <c r="P3915" s="5" t="s">
        <v>355</v>
      </c>
      <c r="Q3915" s="5" t="s">
        <v>355</v>
      </c>
    </row>
    <row r="3916" ht="16.5" customHeight="1">
      <c r="O3916" s="5" t="s">
        <v>355</v>
      </c>
      <c r="P3916" s="5" t="s">
        <v>355</v>
      </c>
      <c r="Q3916" s="5" t="s">
        <v>355</v>
      </c>
    </row>
    <row r="3917" ht="16.5" customHeight="1">
      <c r="O3917" s="5" t="s">
        <v>355</v>
      </c>
      <c r="P3917" s="5" t="s">
        <v>355</v>
      </c>
      <c r="Q3917" s="5" t="s">
        <v>355</v>
      </c>
    </row>
    <row r="3918" ht="16.5" customHeight="1">
      <c r="O3918" s="5" t="s">
        <v>355</v>
      </c>
      <c r="P3918" s="5" t="s">
        <v>355</v>
      </c>
      <c r="Q3918" s="5" t="s">
        <v>355</v>
      </c>
    </row>
    <row r="3919" ht="16.5" customHeight="1">
      <c r="O3919" s="5" t="s">
        <v>355</v>
      </c>
      <c r="P3919" s="5" t="s">
        <v>355</v>
      </c>
      <c r="Q3919" s="5" t="s">
        <v>355</v>
      </c>
    </row>
    <row r="3920" ht="16.5" customHeight="1">
      <c r="O3920" s="5" t="s">
        <v>355</v>
      </c>
      <c r="P3920" s="5" t="s">
        <v>355</v>
      </c>
      <c r="Q3920" s="5" t="s">
        <v>355</v>
      </c>
    </row>
    <row r="3921" ht="16.5" customHeight="1">
      <c r="O3921" s="5" t="s">
        <v>355</v>
      </c>
      <c r="P3921" s="5" t="s">
        <v>355</v>
      </c>
      <c r="Q3921" s="5" t="s">
        <v>355</v>
      </c>
    </row>
    <row r="3922" ht="16.5" customHeight="1">
      <c r="O3922" s="5" t="s">
        <v>355</v>
      </c>
      <c r="P3922" s="5" t="s">
        <v>355</v>
      </c>
      <c r="Q3922" s="5" t="s">
        <v>355</v>
      </c>
    </row>
    <row r="3923" ht="16.5" customHeight="1">
      <c r="O3923" s="5" t="s">
        <v>355</v>
      </c>
      <c r="P3923" s="5" t="s">
        <v>355</v>
      </c>
      <c r="Q3923" s="5" t="s">
        <v>355</v>
      </c>
    </row>
    <row r="3924" ht="16.5" customHeight="1">
      <c r="O3924" s="5" t="s">
        <v>355</v>
      </c>
      <c r="P3924" s="5" t="s">
        <v>355</v>
      </c>
      <c r="Q3924" s="5" t="s">
        <v>355</v>
      </c>
    </row>
    <row r="3925" ht="16.5" customHeight="1">
      <c r="O3925" s="5" t="s">
        <v>355</v>
      </c>
      <c r="P3925" s="5" t="s">
        <v>355</v>
      </c>
      <c r="Q3925" s="5" t="s">
        <v>355</v>
      </c>
    </row>
    <row r="3926" ht="16.5" customHeight="1">
      <c r="O3926" s="5" t="s">
        <v>355</v>
      </c>
      <c r="P3926" s="5" t="s">
        <v>355</v>
      </c>
      <c r="Q3926" s="5" t="s">
        <v>355</v>
      </c>
    </row>
    <row r="3927" ht="16.5" customHeight="1">
      <c r="O3927" s="5" t="s">
        <v>355</v>
      </c>
      <c r="P3927" s="5" t="s">
        <v>355</v>
      </c>
      <c r="Q3927" s="5" t="s">
        <v>355</v>
      </c>
    </row>
    <row r="3928" ht="16.5" customHeight="1">
      <c r="O3928" s="5" t="s">
        <v>355</v>
      </c>
      <c r="P3928" s="5" t="s">
        <v>355</v>
      </c>
      <c r="Q3928" s="5" t="s">
        <v>355</v>
      </c>
    </row>
    <row r="3929" ht="16.5" customHeight="1">
      <c r="O3929" s="5" t="s">
        <v>355</v>
      </c>
      <c r="P3929" s="5" t="s">
        <v>355</v>
      </c>
      <c r="Q3929" s="5" t="s">
        <v>355</v>
      </c>
    </row>
    <row r="3930" ht="16.5" customHeight="1">
      <c r="O3930" s="5" t="s">
        <v>355</v>
      </c>
      <c r="P3930" s="5" t="s">
        <v>355</v>
      </c>
      <c r="Q3930" s="5" t="s">
        <v>355</v>
      </c>
    </row>
    <row r="3931" ht="16.5" customHeight="1">
      <c r="O3931" s="5" t="s">
        <v>355</v>
      </c>
      <c r="P3931" s="5" t="s">
        <v>355</v>
      </c>
      <c r="Q3931" s="5" t="s">
        <v>355</v>
      </c>
    </row>
    <row r="3932" ht="16.5" customHeight="1">
      <c r="O3932" s="5" t="s">
        <v>355</v>
      </c>
      <c r="P3932" s="5" t="s">
        <v>355</v>
      </c>
      <c r="Q3932" s="5" t="s">
        <v>355</v>
      </c>
    </row>
    <row r="3933" ht="16.5" customHeight="1">
      <c r="O3933" s="5" t="s">
        <v>355</v>
      </c>
      <c r="P3933" s="5" t="s">
        <v>355</v>
      </c>
      <c r="Q3933" s="5" t="s">
        <v>355</v>
      </c>
    </row>
    <row r="3934" ht="16.5" customHeight="1">
      <c r="O3934" s="5" t="s">
        <v>355</v>
      </c>
      <c r="P3934" s="5" t="s">
        <v>355</v>
      </c>
      <c r="Q3934" s="5" t="s">
        <v>355</v>
      </c>
    </row>
    <row r="3935" ht="16.5" customHeight="1">
      <c r="O3935" s="5" t="s">
        <v>355</v>
      </c>
      <c r="P3935" s="5" t="s">
        <v>355</v>
      </c>
      <c r="Q3935" s="5" t="s">
        <v>355</v>
      </c>
    </row>
    <row r="3936" ht="16.5" customHeight="1">
      <c r="O3936" s="5" t="s">
        <v>355</v>
      </c>
      <c r="P3936" s="5" t="s">
        <v>355</v>
      </c>
      <c r="Q3936" s="5" t="s">
        <v>355</v>
      </c>
    </row>
    <row r="3937" ht="16.5" customHeight="1">
      <c r="O3937" s="5" t="s">
        <v>355</v>
      </c>
      <c r="P3937" s="5" t="s">
        <v>355</v>
      </c>
      <c r="Q3937" s="5" t="s">
        <v>355</v>
      </c>
    </row>
    <row r="3938" ht="16.5" customHeight="1">
      <c r="O3938" s="5" t="s">
        <v>355</v>
      </c>
      <c r="P3938" s="5" t="s">
        <v>355</v>
      </c>
      <c r="Q3938" s="5" t="s">
        <v>355</v>
      </c>
    </row>
    <row r="3939" ht="16.5" customHeight="1">
      <c r="O3939" s="5" t="s">
        <v>355</v>
      </c>
      <c r="P3939" s="5" t="s">
        <v>355</v>
      </c>
      <c r="Q3939" s="5" t="s">
        <v>355</v>
      </c>
    </row>
    <row r="3940" ht="16.5" customHeight="1">
      <c r="O3940" s="5" t="s">
        <v>355</v>
      </c>
      <c r="P3940" s="5" t="s">
        <v>355</v>
      </c>
      <c r="Q3940" s="5" t="s">
        <v>355</v>
      </c>
    </row>
    <row r="3941" ht="16.5" customHeight="1">
      <c r="O3941" s="5" t="s">
        <v>355</v>
      </c>
      <c r="P3941" s="5" t="s">
        <v>355</v>
      </c>
      <c r="Q3941" s="5" t="s">
        <v>355</v>
      </c>
    </row>
    <row r="3942" ht="16.5" customHeight="1">
      <c r="O3942" s="5" t="s">
        <v>355</v>
      </c>
      <c r="P3942" s="5" t="s">
        <v>355</v>
      </c>
      <c r="Q3942" s="5" t="s">
        <v>355</v>
      </c>
    </row>
    <row r="3943" ht="16.5" customHeight="1">
      <c r="O3943" s="5" t="s">
        <v>355</v>
      </c>
      <c r="P3943" s="5" t="s">
        <v>355</v>
      </c>
      <c r="Q3943" s="5" t="s">
        <v>355</v>
      </c>
    </row>
    <row r="3944" ht="16.5" customHeight="1">
      <c r="O3944" s="5" t="s">
        <v>355</v>
      </c>
      <c r="P3944" s="5" t="s">
        <v>355</v>
      </c>
      <c r="Q3944" s="5" t="s">
        <v>355</v>
      </c>
    </row>
    <row r="3945" ht="16.5" customHeight="1">
      <c r="O3945" s="5" t="s">
        <v>355</v>
      </c>
      <c r="P3945" s="5" t="s">
        <v>355</v>
      </c>
      <c r="Q3945" s="5" t="s">
        <v>355</v>
      </c>
    </row>
    <row r="3946" ht="16.5" customHeight="1">
      <c r="O3946" s="5" t="s">
        <v>355</v>
      </c>
      <c r="P3946" s="5" t="s">
        <v>355</v>
      </c>
      <c r="Q3946" s="5" t="s">
        <v>355</v>
      </c>
    </row>
    <row r="3947" ht="16.5" customHeight="1">
      <c r="O3947" s="5" t="s">
        <v>355</v>
      </c>
      <c r="P3947" s="5" t="s">
        <v>355</v>
      </c>
      <c r="Q3947" s="5" t="s">
        <v>355</v>
      </c>
    </row>
    <row r="3948" ht="16.5" customHeight="1">
      <c r="O3948" s="5" t="s">
        <v>355</v>
      </c>
      <c r="P3948" s="5" t="s">
        <v>355</v>
      </c>
      <c r="Q3948" s="5" t="s">
        <v>355</v>
      </c>
    </row>
    <row r="3949" ht="16.5" customHeight="1">
      <c r="O3949" s="5" t="s">
        <v>355</v>
      </c>
      <c r="P3949" s="5" t="s">
        <v>355</v>
      </c>
      <c r="Q3949" s="5" t="s">
        <v>355</v>
      </c>
    </row>
    <row r="3950" ht="16.5" customHeight="1">
      <c r="O3950" s="5" t="s">
        <v>355</v>
      </c>
      <c r="P3950" s="5" t="s">
        <v>355</v>
      </c>
      <c r="Q3950" s="5" t="s">
        <v>355</v>
      </c>
    </row>
    <row r="3951" ht="16.5" customHeight="1">
      <c r="O3951" s="5" t="s">
        <v>355</v>
      </c>
      <c r="P3951" s="5" t="s">
        <v>355</v>
      </c>
      <c r="Q3951" s="5" t="s">
        <v>355</v>
      </c>
    </row>
    <row r="3952" ht="16.5" customHeight="1">
      <c r="O3952" s="5" t="s">
        <v>355</v>
      </c>
      <c r="P3952" s="5" t="s">
        <v>355</v>
      </c>
      <c r="Q3952" s="5" t="s">
        <v>355</v>
      </c>
    </row>
    <row r="3953" ht="16.5" customHeight="1">
      <c r="O3953" s="5" t="s">
        <v>355</v>
      </c>
      <c r="P3953" s="5" t="s">
        <v>355</v>
      </c>
      <c r="Q3953" s="5" t="s">
        <v>355</v>
      </c>
    </row>
    <row r="3954" ht="16.5" customHeight="1">
      <c r="O3954" s="5" t="s">
        <v>355</v>
      </c>
      <c r="P3954" s="5" t="s">
        <v>355</v>
      </c>
      <c r="Q3954" s="5" t="s">
        <v>355</v>
      </c>
    </row>
    <row r="3955" ht="16.5" customHeight="1">
      <c r="O3955" s="5" t="s">
        <v>355</v>
      </c>
      <c r="P3955" s="5" t="s">
        <v>355</v>
      </c>
      <c r="Q3955" s="5" t="s">
        <v>355</v>
      </c>
    </row>
    <row r="3956" ht="16.5" customHeight="1">
      <c r="O3956" s="5" t="s">
        <v>355</v>
      </c>
      <c r="P3956" s="5" t="s">
        <v>355</v>
      </c>
      <c r="Q3956" s="5" t="s">
        <v>355</v>
      </c>
    </row>
    <row r="3957" ht="16.5" customHeight="1">
      <c r="O3957" s="5" t="s">
        <v>355</v>
      </c>
      <c r="P3957" s="5" t="s">
        <v>355</v>
      </c>
      <c r="Q3957" s="5" t="s">
        <v>355</v>
      </c>
    </row>
    <row r="3958" ht="16.5" customHeight="1">
      <c r="O3958" s="5" t="s">
        <v>355</v>
      </c>
      <c r="P3958" s="5" t="s">
        <v>355</v>
      </c>
      <c r="Q3958" s="5" t="s">
        <v>355</v>
      </c>
    </row>
    <row r="3959" ht="16.5" customHeight="1">
      <c r="O3959" s="5" t="s">
        <v>355</v>
      </c>
      <c r="P3959" s="5" t="s">
        <v>355</v>
      </c>
      <c r="Q3959" s="5" t="s">
        <v>355</v>
      </c>
    </row>
    <row r="3960" ht="16.5" customHeight="1">
      <c r="O3960" s="5" t="s">
        <v>355</v>
      </c>
      <c r="P3960" s="5" t="s">
        <v>355</v>
      </c>
      <c r="Q3960" s="5" t="s">
        <v>355</v>
      </c>
    </row>
    <row r="3961" ht="16.5" customHeight="1">
      <c r="O3961" s="5" t="s">
        <v>355</v>
      </c>
      <c r="P3961" s="5" t="s">
        <v>355</v>
      </c>
      <c r="Q3961" s="5" t="s">
        <v>355</v>
      </c>
    </row>
    <row r="3962" ht="16.5" customHeight="1">
      <c r="O3962" s="5" t="s">
        <v>355</v>
      </c>
      <c r="P3962" s="5" t="s">
        <v>355</v>
      </c>
      <c r="Q3962" s="5" t="s">
        <v>355</v>
      </c>
    </row>
    <row r="3963" ht="16.5" customHeight="1">
      <c r="O3963" s="5" t="s">
        <v>355</v>
      </c>
      <c r="P3963" s="5" t="s">
        <v>355</v>
      </c>
      <c r="Q3963" s="5" t="s">
        <v>355</v>
      </c>
    </row>
    <row r="3964" ht="16.5" customHeight="1">
      <c r="O3964" s="5" t="s">
        <v>355</v>
      </c>
      <c r="P3964" s="5" t="s">
        <v>355</v>
      </c>
      <c r="Q3964" s="5" t="s">
        <v>355</v>
      </c>
    </row>
    <row r="3965" ht="16.5" customHeight="1">
      <c r="O3965" s="5" t="s">
        <v>355</v>
      </c>
      <c r="P3965" s="5" t="s">
        <v>355</v>
      </c>
      <c r="Q3965" s="5" t="s">
        <v>355</v>
      </c>
    </row>
    <row r="3966" ht="16.5" customHeight="1">
      <c r="O3966" s="5" t="s">
        <v>355</v>
      </c>
      <c r="P3966" s="5" t="s">
        <v>355</v>
      </c>
      <c r="Q3966" s="5" t="s">
        <v>355</v>
      </c>
    </row>
    <row r="3967" ht="16.5" customHeight="1">
      <c r="O3967" s="5" t="s">
        <v>355</v>
      </c>
      <c r="P3967" s="5" t="s">
        <v>355</v>
      </c>
      <c r="Q3967" s="5" t="s">
        <v>355</v>
      </c>
    </row>
    <row r="3968" ht="16.5" customHeight="1">
      <c r="O3968" s="5" t="s">
        <v>355</v>
      </c>
      <c r="P3968" s="5" t="s">
        <v>355</v>
      </c>
      <c r="Q3968" s="5" t="s">
        <v>355</v>
      </c>
    </row>
    <row r="3969" ht="16.5" customHeight="1">
      <c r="O3969" s="5" t="s">
        <v>355</v>
      </c>
      <c r="P3969" s="5" t="s">
        <v>355</v>
      </c>
      <c r="Q3969" s="5" t="s">
        <v>355</v>
      </c>
    </row>
    <row r="3970" ht="16.5" customHeight="1">
      <c r="O3970" s="5" t="s">
        <v>355</v>
      </c>
      <c r="P3970" s="5" t="s">
        <v>355</v>
      </c>
      <c r="Q3970" s="5" t="s">
        <v>355</v>
      </c>
    </row>
    <row r="3971" ht="16.5" customHeight="1">
      <c r="O3971" s="5" t="s">
        <v>355</v>
      </c>
      <c r="P3971" s="5" t="s">
        <v>355</v>
      </c>
      <c r="Q3971" s="5" t="s">
        <v>355</v>
      </c>
    </row>
    <row r="3972" ht="16.5" customHeight="1">
      <c r="O3972" s="5" t="s">
        <v>355</v>
      </c>
      <c r="P3972" s="5" t="s">
        <v>355</v>
      </c>
      <c r="Q3972" s="5" t="s">
        <v>355</v>
      </c>
    </row>
    <row r="3973" ht="16.5" customHeight="1">
      <c r="O3973" s="5" t="s">
        <v>355</v>
      </c>
      <c r="P3973" s="5" t="s">
        <v>355</v>
      </c>
      <c r="Q3973" s="5" t="s">
        <v>355</v>
      </c>
    </row>
    <row r="3974" ht="16.5" customHeight="1">
      <c r="O3974" s="5" t="s">
        <v>355</v>
      </c>
      <c r="P3974" s="5" t="s">
        <v>355</v>
      </c>
      <c r="Q3974" s="5" t="s">
        <v>355</v>
      </c>
    </row>
    <row r="3975" ht="16.5" customHeight="1">
      <c r="O3975" s="5" t="s">
        <v>355</v>
      </c>
      <c r="P3975" s="5" t="s">
        <v>355</v>
      </c>
      <c r="Q3975" s="5" t="s">
        <v>355</v>
      </c>
    </row>
    <row r="3976" ht="16.5" customHeight="1">
      <c r="O3976" s="5" t="s">
        <v>355</v>
      </c>
      <c r="P3976" s="5" t="s">
        <v>355</v>
      </c>
      <c r="Q3976" s="5" t="s">
        <v>355</v>
      </c>
    </row>
    <row r="3977" ht="16.5" customHeight="1">
      <c r="O3977" s="5" t="s">
        <v>355</v>
      </c>
      <c r="P3977" s="5" t="s">
        <v>355</v>
      </c>
      <c r="Q3977" s="5" t="s">
        <v>355</v>
      </c>
    </row>
    <row r="3978" ht="16.5" customHeight="1">
      <c r="O3978" s="5" t="s">
        <v>355</v>
      </c>
      <c r="P3978" s="5" t="s">
        <v>355</v>
      </c>
      <c r="Q3978" s="5" t="s">
        <v>355</v>
      </c>
    </row>
    <row r="3979" ht="16.5" customHeight="1">
      <c r="O3979" s="5" t="s">
        <v>355</v>
      </c>
      <c r="P3979" s="5" t="s">
        <v>355</v>
      </c>
      <c r="Q3979" s="5" t="s">
        <v>355</v>
      </c>
    </row>
    <row r="3980" ht="16.5" customHeight="1">
      <c r="O3980" s="5" t="s">
        <v>355</v>
      </c>
      <c r="P3980" s="5" t="s">
        <v>355</v>
      </c>
      <c r="Q3980" s="5" t="s">
        <v>355</v>
      </c>
    </row>
    <row r="3981" ht="16.5" customHeight="1">
      <c r="O3981" s="5" t="s">
        <v>355</v>
      </c>
      <c r="P3981" s="5" t="s">
        <v>355</v>
      </c>
      <c r="Q3981" s="5" t="s">
        <v>355</v>
      </c>
    </row>
    <row r="3982" ht="16.5" customHeight="1">
      <c r="O3982" s="5" t="s">
        <v>355</v>
      </c>
      <c r="P3982" s="5" t="s">
        <v>355</v>
      </c>
      <c r="Q3982" s="5" t="s">
        <v>355</v>
      </c>
    </row>
    <row r="3983" ht="16.5" customHeight="1">
      <c r="O3983" s="5" t="s">
        <v>355</v>
      </c>
      <c r="P3983" s="5" t="s">
        <v>355</v>
      </c>
      <c r="Q3983" s="5" t="s">
        <v>355</v>
      </c>
    </row>
    <row r="3984" ht="16.5" customHeight="1">
      <c r="O3984" s="5" t="s">
        <v>355</v>
      </c>
      <c r="P3984" s="5" t="s">
        <v>355</v>
      </c>
      <c r="Q3984" s="5" t="s">
        <v>355</v>
      </c>
    </row>
    <row r="3985" ht="16.5" customHeight="1">
      <c r="O3985" s="5" t="s">
        <v>355</v>
      </c>
      <c r="P3985" s="5" t="s">
        <v>355</v>
      </c>
      <c r="Q3985" s="5" t="s">
        <v>355</v>
      </c>
    </row>
    <row r="3986" ht="16.5" customHeight="1">
      <c r="O3986" s="5" t="s">
        <v>355</v>
      </c>
      <c r="P3986" s="5" t="s">
        <v>355</v>
      </c>
      <c r="Q3986" s="5" t="s">
        <v>355</v>
      </c>
    </row>
    <row r="3987" ht="16.5" customHeight="1">
      <c r="O3987" s="5" t="s">
        <v>355</v>
      </c>
      <c r="P3987" s="5" t="s">
        <v>355</v>
      </c>
      <c r="Q3987" s="5" t="s">
        <v>355</v>
      </c>
    </row>
    <row r="3988" ht="16.5" customHeight="1">
      <c r="O3988" s="5" t="s">
        <v>355</v>
      </c>
      <c r="P3988" s="5" t="s">
        <v>355</v>
      </c>
      <c r="Q3988" s="5" t="s">
        <v>355</v>
      </c>
    </row>
    <row r="3989" ht="16.5" customHeight="1">
      <c r="O3989" s="5" t="s">
        <v>355</v>
      </c>
      <c r="P3989" s="5" t="s">
        <v>355</v>
      </c>
      <c r="Q3989" s="5" t="s">
        <v>355</v>
      </c>
    </row>
    <row r="3990" ht="16.5" customHeight="1">
      <c r="O3990" s="5" t="s">
        <v>355</v>
      </c>
      <c r="P3990" s="5" t="s">
        <v>355</v>
      </c>
      <c r="Q3990" s="5" t="s">
        <v>355</v>
      </c>
    </row>
    <row r="3991" ht="16.5" customHeight="1">
      <c r="O3991" s="5" t="s">
        <v>355</v>
      </c>
      <c r="P3991" s="5" t="s">
        <v>355</v>
      </c>
      <c r="Q3991" s="5" t="s">
        <v>355</v>
      </c>
    </row>
    <row r="3992" ht="16.5" customHeight="1">
      <c r="O3992" s="5" t="s">
        <v>355</v>
      </c>
      <c r="P3992" s="5" t="s">
        <v>355</v>
      </c>
      <c r="Q3992" s="5" t="s">
        <v>355</v>
      </c>
    </row>
    <row r="3993" ht="16.5" customHeight="1">
      <c r="O3993" s="5" t="s">
        <v>355</v>
      </c>
      <c r="P3993" s="5" t="s">
        <v>355</v>
      </c>
      <c r="Q3993" s="5" t="s">
        <v>355</v>
      </c>
    </row>
    <row r="3994" ht="16.5" customHeight="1">
      <c r="O3994" s="5" t="s">
        <v>355</v>
      </c>
      <c r="P3994" s="5" t="s">
        <v>355</v>
      </c>
      <c r="Q3994" s="5" t="s">
        <v>355</v>
      </c>
    </row>
    <row r="3995" ht="16.5" customHeight="1">
      <c r="O3995" s="5" t="s">
        <v>355</v>
      </c>
      <c r="P3995" s="5" t="s">
        <v>355</v>
      </c>
      <c r="Q3995" s="5" t="s">
        <v>355</v>
      </c>
    </row>
    <row r="3996" ht="16.5" customHeight="1">
      <c r="O3996" s="5" t="s">
        <v>355</v>
      </c>
      <c r="P3996" s="5" t="s">
        <v>355</v>
      </c>
      <c r="Q3996" s="5" t="s">
        <v>355</v>
      </c>
    </row>
    <row r="3997" ht="16.5" customHeight="1">
      <c r="O3997" s="5" t="s">
        <v>355</v>
      </c>
      <c r="P3997" s="5" t="s">
        <v>355</v>
      </c>
      <c r="Q3997" s="5" t="s">
        <v>355</v>
      </c>
    </row>
    <row r="3998" ht="16.5" customHeight="1">
      <c r="O3998" s="5" t="s">
        <v>355</v>
      </c>
      <c r="P3998" s="5" t="s">
        <v>355</v>
      </c>
      <c r="Q3998" s="5" t="s">
        <v>355</v>
      </c>
    </row>
    <row r="3999" ht="16.5" customHeight="1">
      <c r="O3999" s="5" t="s">
        <v>355</v>
      </c>
      <c r="P3999" s="5" t="s">
        <v>355</v>
      </c>
      <c r="Q3999" s="5" t="s">
        <v>355</v>
      </c>
    </row>
    <row r="4000" ht="16.5" customHeight="1">
      <c r="O4000" s="5" t="s">
        <v>355</v>
      </c>
      <c r="P4000" s="5" t="s">
        <v>355</v>
      </c>
      <c r="Q4000" s="5" t="s">
        <v>355</v>
      </c>
    </row>
    <row r="4001" ht="16.5" customHeight="1">
      <c r="O4001" s="5" t="s">
        <v>355</v>
      </c>
      <c r="P4001" s="5" t="s">
        <v>355</v>
      </c>
      <c r="Q4001" s="5" t="s">
        <v>355</v>
      </c>
    </row>
    <row r="4002" ht="16.5" customHeight="1">
      <c r="O4002" s="5" t="s">
        <v>355</v>
      </c>
      <c r="P4002" s="5" t="s">
        <v>355</v>
      </c>
      <c r="Q4002" s="5" t="s">
        <v>355</v>
      </c>
    </row>
    <row r="4003" ht="16.5" customHeight="1">
      <c r="O4003" s="5" t="s">
        <v>355</v>
      </c>
      <c r="P4003" s="5" t="s">
        <v>355</v>
      </c>
      <c r="Q4003" s="5" t="s">
        <v>355</v>
      </c>
    </row>
    <row r="4004" ht="16.5" customHeight="1">
      <c r="O4004" s="5" t="s">
        <v>355</v>
      </c>
      <c r="P4004" s="5" t="s">
        <v>355</v>
      </c>
      <c r="Q4004" s="5" t="s">
        <v>355</v>
      </c>
    </row>
    <row r="4005" ht="16.5" customHeight="1">
      <c r="O4005" s="5" t="s">
        <v>355</v>
      </c>
      <c r="P4005" s="5" t="s">
        <v>355</v>
      </c>
      <c r="Q4005" s="5" t="s">
        <v>355</v>
      </c>
    </row>
    <row r="4006" ht="16.5" customHeight="1">
      <c r="O4006" s="5" t="s">
        <v>355</v>
      </c>
      <c r="P4006" s="5" t="s">
        <v>355</v>
      </c>
      <c r="Q4006" s="5" t="s">
        <v>355</v>
      </c>
    </row>
    <row r="4007" ht="16.5" customHeight="1">
      <c r="O4007" s="5" t="s">
        <v>355</v>
      </c>
      <c r="P4007" s="5" t="s">
        <v>355</v>
      </c>
      <c r="Q4007" s="5" t="s">
        <v>355</v>
      </c>
    </row>
    <row r="4008" ht="16.5" customHeight="1">
      <c r="O4008" s="5" t="s">
        <v>355</v>
      </c>
      <c r="P4008" s="5" t="s">
        <v>355</v>
      </c>
      <c r="Q4008" s="5" t="s">
        <v>355</v>
      </c>
    </row>
    <row r="4009" ht="16.5" customHeight="1">
      <c r="O4009" s="5" t="s">
        <v>355</v>
      </c>
      <c r="P4009" s="5" t="s">
        <v>355</v>
      </c>
      <c r="Q4009" s="5" t="s">
        <v>355</v>
      </c>
    </row>
    <row r="4010" ht="16.5" customHeight="1">
      <c r="O4010" s="5" t="s">
        <v>355</v>
      </c>
      <c r="P4010" s="5" t="s">
        <v>355</v>
      </c>
      <c r="Q4010" s="5" t="s">
        <v>355</v>
      </c>
    </row>
    <row r="4011" ht="16.5" customHeight="1">
      <c r="O4011" s="5" t="s">
        <v>355</v>
      </c>
      <c r="P4011" s="5" t="s">
        <v>355</v>
      </c>
      <c r="Q4011" s="5" t="s">
        <v>355</v>
      </c>
    </row>
    <row r="4012" ht="16.5" customHeight="1">
      <c r="O4012" s="5" t="s">
        <v>355</v>
      </c>
      <c r="P4012" s="5" t="s">
        <v>355</v>
      </c>
      <c r="Q4012" s="5" t="s">
        <v>355</v>
      </c>
    </row>
    <row r="4013" ht="16.5" customHeight="1">
      <c r="O4013" s="5" t="s">
        <v>355</v>
      </c>
      <c r="P4013" s="5" t="s">
        <v>355</v>
      </c>
      <c r="Q4013" s="5" t="s">
        <v>355</v>
      </c>
    </row>
    <row r="4014" ht="16.5" customHeight="1">
      <c r="O4014" s="5" t="s">
        <v>355</v>
      </c>
      <c r="P4014" s="5" t="s">
        <v>355</v>
      </c>
      <c r="Q4014" s="5" t="s">
        <v>355</v>
      </c>
    </row>
    <row r="4015" ht="16.5" customHeight="1">
      <c r="O4015" s="5" t="s">
        <v>355</v>
      </c>
      <c r="P4015" s="5" t="s">
        <v>355</v>
      </c>
      <c r="Q4015" s="5" t="s">
        <v>355</v>
      </c>
    </row>
    <row r="4016" ht="16.5" customHeight="1">
      <c r="O4016" s="5" t="s">
        <v>355</v>
      </c>
      <c r="P4016" s="5" t="s">
        <v>355</v>
      </c>
      <c r="Q4016" s="5" t="s">
        <v>355</v>
      </c>
    </row>
    <row r="4017" ht="16.5" customHeight="1">
      <c r="O4017" s="5" t="s">
        <v>355</v>
      </c>
      <c r="P4017" s="5" t="s">
        <v>355</v>
      </c>
      <c r="Q4017" s="5" t="s">
        <v>355</v>
      </c>
    </row>
    <row r="4018" ht="16.5" customHeight="1">
      <c r="O4018" s="5" t="s">
        <v>355</v>
      </c>
      <c r="P4018" s="5" t="s">
        <v>355</v>
      </c>
      <c r="Q4018" s="5" t="s">
        <v>355</v>
      </c>
    </row>
    <row r="4019" ht="16.5" customHeight="1">
      <c r="O4019" s="5" t="s">
        <v>355</v>
      </c>
      <c r="P4019" s="5" t="s">
        <v>355</v>
      </c>
      <c r="Q4019" s="5" t="s">
        <v>355</v>
      </c>
    </row>
    <row r="4020" ht="16.5" customHeight="1">
      <c r="O4020" s="5" t="s">
        <v>355</v>
      </c>
      <c r="P4020" s="5" t="s">
        <v>355</v>
      </c>
      <c r="Q4020" s="5" t="s">
        <v>355</v>
      </c>
    </row>
    <row r="4021" ht="16.5" customHeight="1">
      <c r="O4021" s="5" t="s">
        <v>355</v>
      </c>
      <c r="P4021" s="5" t="s">
        <v>355</v>
      </c>
      <c r="Q4021" s="5" t="s">
        <v>355</v>
      </c>
    </row>
    <row r="4022" ht="16.5" customHeight="1">
      <c r="O4022" s="5" t="s">
        <v>355</v>
      </c>
      <c r="P4022" s="5" t="s">
        <v>355</v>
      </c>
      <c r="Q4022" s="5" t="s">
        <v>355</v>
      </c>
    </row>
    <row r="4023" ht="16.5" customHeight="1">
      <c r="O4023" s="5" t="s">
        <v>355</v>
      </c>
      <c r="P4023" s="5" t="s">
        <v>355</v>
      </c>
      <c r="Q4023" s="5" t="s">
        <v>355</v>
      </c>
    </row>
    <row r="4024" ht="16.5" customHeight="1">
      <c r="O4024" s="5" t="s">
        <v>355</v>
      </c>
      <c r="P4024" s="5" t="s">
        <v>355</v>
      </c>
      <c r="Q4024" s="5" t="s">
        <v>355</v>
      </c>
    </row>
    <row r="4025" ht="16.5" customHeight="1">
      <c r="O4025" s="5" t="s">
        <v>355</v>
      </c>
      <c r="P4025" s="5" t="s">
        <v>355</v>
      </c>
      <c r="Q4025" s="5" t="s">
        <v>355</v>
      </c>
    </row>
    <row r="4026" ht="16.5" customHeight="1">
      <c r="O4026" s="5" t="s">
        <v>355</v>
      </c>
      <c r="P4026" s="5" t="s">
        <v>355</v>
      </c>
      <c r="Q4026" s="5" t="s">
        <v>355</v>
      </c>
    </row>
    <row r="4027" ht="16.5" customHeight="1">
      <c r="O4027" s="5" t="s">
        <v>355</v>
      </c>
      <c r="P4027" s="5" t="s">
        <v>355</v>
      </c>
      <c r="Q4027" s="5" t="s">
        <v>355</v>
      </c>
    </row>
    <row r="4028" ht="16.5" customHeight="1">
      <c r="O4028" s="5" t="s">
        <v>355</v>
      </c>
      <c r="P4028" s="5" t="s">
        <v>355</v>
      </c>
      <c r="Q4028" s="5" t="s">
        <v>355</v>
      </c>
    </row>
    <row r="4029" ht="16.5" customHeight="1">
      <c r="O4029" s="5" t="s">
        <v>355</v>
      </c>
      <c r="P4029" s="5" t="s">
        <v>355</v>
      </c>
      <c r="Q4029" s="5" t="s">
        <v>355</v>
      </c>
    </row>
    <row r="4030" ht="16.5" customHeight="1">
      <c r="O4030" s="5" t="s">
        <v>355</v>
      </c>
      <c r="P4030" s="5" t="s">
        <v>355</v>
      </c>
      <c r="Q4030" s="5" t="s">
        <v>355</v>
      </c>
    </row>
    <row r="4031" ht="16.5" customHeight="1">
      <c r="O4031" s="5" t="s">
        <v>355</v>
      </c>
      <c r="P4031" s="5" t="s">
        <v>355</v>
      </c>
      <c r="Q4031" s="5" t="s">
        <v>355</v>
      </c>
    </row>
    <row r="4032" ht="16.5" customHeight="1">
      <c r="O4032" s="5" t="s">
        <v>355</v>
      </c>
      <c r="P4032" s="5" t="s">
        <v>355</v>
      </c>
      <c r="Q4032" s="5" t="s">
        <v>355</v>
      </c>
    </row>
    <row r="4033" ht="16.5" customHeight="1">
      <c r="O4033" s="5" t="s">
        <v>355</v>
      </c>
      <c r="P4033" s="5" t="s">
        <v>355</v>
      </c>
      <c r="Q4033" s="5" t="s">
        <v>355</v>
      </c>
    </row>
    <row r="4034" ht="16.5" customHeight="1">
      <c r="O4034" s="5" t="s">
        <v>355</v>
      </c>
      <c r="P4034" s="5" t="s">
        <v>355</v>
      </c>
      <c r="Q4034" s="5" t="s">
        <v>355</v>
      </c>
    </row>
    <row r="4035" ht="16.5" customHeight="1">
      <c r="O4035" s="5" t="s">
        <v>355</v>
      </c>
      <c r="P4035" s="5" t="s">
        <v>355</v>
      </c>
      <c r="Q4035" s="5" t="s">
        <v>355</v>
      </c>
    </row>
    <row r="4036" ht="16.5" customHeight="1">
      <c r="O4036" s="5" t="s">
        <v>355</v>
      </c>
      <c r="P4036" s="5" t="s">
        <v>355</v>
      </c>
      <c r="Q4036" s="5" t="s">
        <v>355</v>
      </c>
    </row>
    <row r="4037" ht="16.5" customHeight="1">
      <c r="O4037" s="5" t="s">
        <v>355</v>
      </c>
      <c r="P4037" s="5" t="s">
        <v>355</v>
      </c>
      <c r="Q4037" s="5" t="s">
        <v>355</v>
      </c>
    </row>
    <row r="4038" ht="16.5" customHeight="1">
      <c r="O4038" s="5" t="s">
        <v>355</v>
      </c>
      <c r="P4038" s="5" t="s">
        <v>355</v>
      </c>
      <c r="Q4038" s="5" t="s">
        <v>355</v>
      </c>
    </row>
    <row r="4039" ht="16.5" customHeight="1">
      <c r="O4039" s="5" t="s">
        <v>355</v>
      </c>
      <c r="P4039" s="5" t="s">
        <v>355</v>
      </c>
      <c r="Q4039" s="5" t="s">
        <v>355</v>
      </c>
    </row>
    <row r="4040" ht="16.5" customHeight="1">
      <c r="O4040" s="5" t="s">
        <v>355</v>
      </c>
      <c r="P4040" s="5" t="s">
        <v>355</v>
      </c>
      <c r="Q4040" s="5" t="s">
        <v>355</v>
      </c>
    </row>
    <row r="4041" ht="16.5" customHeight="1">
      <c r="O4041" s="5" t="s">
        <v>355</v>
      </c>
      <c r="P4041" s="5" t="s">
        <v>355</v>
      </c>
      <c r="Q4041" s="5" t="s">
        <v>355</v>
      </c>
    </row>
    <row r="4042" ht="16.5" customHeight="1">
      <c r="O4042" s="5" t="s">
        <v>355</v>
      </c>
      <c r="P4042" s="5" t="s">
        <v>355</v>
      </c>
      <c r="Q4042" s="5" t="s">
        <v>355</v>
      </c>
    </row>
    <row r="4043" ht="16.5" customHeight="1">
      <c r="O4043" s="5" t="s">
        <v>355</v>
      </c>
      <c r="P4043" s="5" t="s">
        <v>355</v>
      </c>
      <c r="Q4043" s="5" t="s">
        <v>355</v>
      </c>
    </row>
    <row r="4044" ht="16.5" customHeight="1">
      <c r="O4044" s="5" t="s">
        <v>355</v>
      </c>
      <c r="P4044" s="5" t="s">
        <v>355</v>
      </c>
      <c r="Q4044" s="5" t="s">
        <v>355</v>
      </c>
    </row>
    <row r="4045" ht="16.5" customHeight="1">
      <c r="O4045" s="5" t="s">
        <v>355</v>
      </c>
      <c r="P4045" s="5" t="s">
        <v>355</v>
      </c>
      <c r="Q4045" s="5" t="s">
        <v>355</v>
      </c>
    </row>
    <row r="4046" ht="16.5" customHeight="1">
      <c r="O4046" s="5" t="s">
        <v>355</v>
      </c>
      <c r="P4046" s="5" t="s">
        <v>355</v>
      </c>
      <c r="Q4046" s="5" t="s">
        <v>355</v>
      </c>
    </row>
    <row r="4047" ht="16.5" customHeight="1">
      <c r="O4047" s="5" t="s">
        <v>355</v>
      </c>
      <c r="P4047" s="5" t="s">
        <v>355</v>
      </c>
      <c r="Q4047" s="5" t="s">
        <v>355</v>
      </c>
    </row>
    <row r="4048" ht="16.5" customHeight="1">
      <c r="O4048" s="5" t="s">
        <v>355</v>
      </c>
      <c r="P4048" s="5" t="s">
        <v>355</v>
      </c>
      <c r="Q4048" s="5" t="s">
        <v>355</v>
      </c>
    </row>
    <row r="4049" ht="16.5" customHeight="1">
      <c r="O4049" s="5" t="s">
        <v>355</v>
      </c>
      <c r="P4049" s="5" t="s">
        <v>355</v>
      </c>
      <c r="Q4049" s="5" t="s">
        <v>355</v>
      </c>
    </row>
    <row r="4050" ht="16.5" customHeight="1">
      <c r="O4050" s="5" t="s">
        <v>355</v>
      </c>
      <c r="P4050" s="5" t="s">
        <v>355</v>
      </c>
      <c r="Q4050" s="5" t="s">
        <v>355</v>
      </c>
    </row>
    <row r="4051" ht="16.5" customHeight="1">
      <c r="O4051" s="5" t="s">
        <v>355</v>
      </c>
      <c r="P4051" s="5" t="s">
        <v>355</v>
      </c>
      <c r="Q4051" s="5" t="s">
        <v>355</v>
      </c>
    </row>
    <row r="4052" ht="16.5" customHeight="1">
      <c r="O4052" s="5" t="s">
        <v>355</v>
      </c>
      <c r="P4052" s="5" t="s">
        <v>355</v>
      </c>
      <c r="Q4052" s="5" t="s">
        <v>355</v>
      </c>
    </row>
    <row r="4053" ht="16.5" customHeight="1">
      <c r="O4053" s="5" t="s">
        <v>355</v>
      </c>
      <c r="P4053" s="5" t="s">
        <v>355</v>
      </c>
      <c r="Q4053" s="5" t="s">
        <v>355</v>
      </c>
    </row>
    <row r="4054" ht="16.5" customHeight="1">
      <c r="O4054" s="5" t="s">
        <v>355</v>
      </c>
      <c r="P4054" s="5" t="s">
        <v>355</v>
      </c>
      <c r="Q4054" s="5" t="s">
        <v>355</v>
      </c>
    </row>
    <row r="4055" ht="16.5" customHeight="1">
      <c r="O4055" s="5" t="s">
        <v>355</v>
      </c>
      <c r="P4055" s="5" t="s">
        <v>355</v>
      </c>
      <c r="Q4055" s="5" t="s">
        <v>355</v>
      </c>
    </row>
    <row r="4056" ht="16.5" customHeight="1">
      <c r="O4056" s="5" t="s">
        <v>355</v>
      </c>
      <c r="P4056" s="5" t="s">
        <v>355</v>
      </c>
      <c r="Q4056" s="5" t="s">
        <v>355</v>
      </c>
    </row>
    <row r="4057" ht="16.5" customHeight="1">
      <c r="O4057" s="5" t="s">
        <v>355</v>
      </c>
      <c r="P4057" s="5" t="s">
        <v>355</v>
      </c>
      <c r="Q4057" s="5" t="s">
        <v>355</v>
      </c>
    </row>
    <row r="4058" ht="16.5" customHeight="1">
      <c r="O4058" s="5" t="s">
        <v>355</v>
      </c>
      <c r="P4058" s="5" t="s">
        <v>355</v>
      </c>
      <c r="Q4058" s="5" t="s">
        <v>355</v>
      </c>
    </row>
    <row r="4059" ht="16.5" customHeight="1">
      <c r="O4059" s="5" t="s">
        <v>355</v>
      </c>
      <c r="P4059" s="5" t="s">
        <v>355</v>
      </c>
      <c r="Q4059" s="5" t="s">
        <v>355</v>
      </c>
    </row>
    <row r="4060" ht="16.5" customHeight="1">
      <c r="O4060" s="5" t="s">
        <v>355</v>
      </c>
      <c r="P4060" s="5" t="s">
        <v>355</v>
      </c>
      <c r="Q4060" s="5" t="s">
        <v>355</v>
      </c>
    </row>
    <row r="4061" ht="16.5" customHeight="1">
      <c r="O4061" s="5" t="s">
        <v>355</v>
      </c>
      <c r="P4061" s="5" t="s">
        <v>355</v>
      </c>
      <c r="Q4061" s="5" t="s">
        <v>355</v>
      </c>
    </row>
    <row r="4062" ht="16.5" customHeight="1">
      <c r="O4062" s="5" t="s">
        <v>355</v>
      </c>
      <c r="P4062" s="5" t="s">
        <v>355</v>
      </c>
      <c r="Q4062" s="5" t="s">
        <v>355</v>
      </c>
    </row>
    <row r="4063" ht="16.5" customHeight="1">
      <c r="O4063" s="5" t="s">
        <v>355</v>
      </c>
      <c r="P4063" s="5" t="s">
        <v>355</v>
      </c>
      <c r="Q4063" s="5" t="s">
        <v>355</v>
      </c>
    </row>
    <row r="4064" ht="16.5" customHeight="1">
      <c r="O4064" s="5" t="s">
        <v>355</v>
      </c>
      <c r="P4064" s="5" t="s">
        <v>355</v>
      </c>
      <c r="Q4064" s="5" t="s">
        <v>355</v>
      </c>
    </row>
    <row r="4065" ht="16.5" customHeight="1">
      <c r="O4065" s="5" t="s">
        <v>355</v>
      </c>
      <c r="P4065" s="5" t="s">
        <v>355</v>
      </c>
      <c r="Q4065" s="5" t="s">
        <v>355</v>
      </c>
    </row>
    <row r="4066" ht="16.5" customHeight="1">
      <c r="O4066" s="5" t="s">
        <v>355</v>
      </c>
      <c r="P4066" s="5" t="s">
        <v>355</v>
      </c>
      <c r="Q4066" s="5" t="s">
        <v>355</v>
      </c>
    </row>
    <row r="4067" ht="16.5" customHeight="1">
      <c r="O4067" s="5" t="s">
        <v>355</v>
      </c>
      <c r="P4067" s="5" t="s">
        <v>355</v>
      </c>
      <c r="Q4067" s="5" t="s">
        <v>355</v>
      </c>
    </row>
    <row r="4068" ht="16.5" customHeight="1">
      <c r="O4068" s="5" t="s">
        <v>355</v>
      </c>
      <c r="P4068" s="5" t="s">
        <v>355</v>
      </c>
      <c r="Q4068" s="5" t="s">
        <v>355</v>
      </c>
    </row>
    <row r="4069" ht="16.5" customHeight="1">
      <c r="O4069" s="5" t="s">
        <v>355</v>
      </c>
      <c r="P4069" s="5" t="s">
        <v>355</v>
      </c>
      <c r="Q4069" s="5" t="s">
        <v>355</v>
      </c>
    </row>
    <row r="4070" ht="16.5" customHeight="1">
      <c r="O4070" s="5" t="s">
        <v>355</v>
      </c>
      <c r="P4070" s="5" t="s">
        <v>355</v>
      </c>
      <c r="Q4070" s="5" t="s">
        <v>355</v>
      </c>
    </row>
    <row r="4071" ht="16.5" customHeight="1">
      <c r="O4071" s="5" t="s">
        <v>355</v>
      </c>
      <c r="P4071" s="5" t="s">
        <v>355</v>
      </c>
      <c r="Q4071" s="5" t="s">
        <v>355</v>
      </c>
    </row>
    <row r="4072" ht="16.5" customHeight="1">
      <c r="O4072" s="5" t="s">
        <v>355</v>
      </c>
      <c r="P4072" s="5" t="s">
        <v>355</v>
      </c>
      <c r="Q4072" s="5" t="s">
        <v>355</v>
      </c>
    </row>
    <row r="4073" ht="16.5" customHeight="1">
      <c r="O4073" s="5" t="s">
        <v>355</v>
      </c>
      <c r="P4073" s="5" t="s">
        <v>355</v>
      </c>
      <c r="Q4073" s="5" t="s">
        <v>355</v>
      </c>
    </row>
    <row r="4074" ht="16.5" customHeight="1">
      <c r="O4074" s="5" t="s">
        <v>355</v>
      </c>
      <c r="P4074" s="5" t="s">
        <v>355</v>
      </c>
      <c r="Q4074" s="5" t="s">
        <v>355</v>
      </c>
    </row>
    <row r="4075" ht="16.5" customHeight="1">
      <c r="O4075" s="5" t="s">
        <v>355</v>
      </c>
      <c r="P4075" s="5" t="s">
        <v>355</v>
      </c>
      <c r="Q4075" s="5" t="s">
        <v>355</v>
      </c>
    </row>
    <row r="4076" ht="16.5" customHeight="1">
      <c r="O4076" s="5" t="s">
        <v>355</v>
      </c>
      <c r="P4076" s="5" t="s">
        <v>355</v>
      </c>
      <c r="Q4076" s="5" t="s">
        <v>355</v>
      </c>
    </row>
    <row r="4077" ht="16.5" customHeight="1">
      <c r="O4077" s="5" t="s">
        <v>355</v>
      </c>
      <c r="P4077" s="5" t="s">
        <v>355</v>
      </c>
      <c r="Q4077" s="5" t="s">
        <v>355</v>
      </c>
    </row>
    <row r="4078" ht="16.5" customHeight="1">
      <c r="O4078" s="5" t="s">
        <v>355</v>
      </c>
      <c r="P4078" s="5" t="s">
        <v>355</v>
      </c>
      <c r="Q4078" s="5" t="s">
        <v>355</v>
      </c>
    </row>
    <row r="4079" ht="16.5" customHeight="1">
      <c r="O4079" s="5" t="s">
        <v>355</v>
      </c>
      <c r="P4079" s="5" t="s">
        <v>355</v>
      </c>
      <c r="Q4079" s="5" t="s">
        <v>355</v>
      </c>
    </row>
    <row r="4080" ht="16.5" customHeight="1">
      <c r="O4080" s="5" t="s">
        <v>355</v>
      </c>
      <c r="P4080" s="5" t="s">
        <v>355</v>
      </c>
      <c r="Q4080" s="5" t="s">
        <v>355</v>
      </c>
    </row>
    <row r="4081" ht="16.5" customHeight="1">
      <c r="O4081" s="5" t="s">
        <v>355</v>
      </c>
      <c r="P4081" s="5" t="s">
        <v>355</v>
      </c>
      <c r="Q4081" s="5" t="s">
        <v>355</v>
      </c>
    </row>
    <row r="4082" ht="16.5" customHeight="1">
      <c r="O4082" s="5" t="s">
        <v>355</v>
      </c>
      <c r="P4082" s="5" t="s">
        <v>355</v>
      </c>
      <c r="Q4082" s="5" t="s">
        <v>355</v>
      </c>
    </row>
    <row r="4083" ht="16.5" customHeight="1">
      <c r="O4083" s="5" t="s">
        <v>355</v>
      </c>
      <c r="P4083" s="5" t="s">
        <v>355</v>
      </c>
      <c r="Q4083" s="5" t="s">
        <v>355</v>
      </c>
    </row>
    <row r="4084" ht="16.5" customHeight="1">
      <c r="O4084" s="5" t="s">
        <v>355</v>
      </c>
      <c r="P4084" s="5" t="s">
        <v>355</v>
      </c>
      <c r="Q4084" s="5" t="s">
        <v>355</v>
      </c>
    </row>
    <row r="4085" ht="16.5" customHeight="1">
      <c r="O4085" s="5" t="s">
        <v>355</v>
      </c>
      <c r="P4085" s="5" t="s">
        <v>355</v>
      </c>
      <c r="Q4085" s="5" t="s">
        <v>355</v>
      </c>
    </row>
    <row r="4086" ht="16.5" customHeight="1">
      <c r="O4086" s="5" t="s">
        <v>355</v>
      </c>
      <c r="P4086" s="5" t="s">
        <v>355</v>
      </c>
      <c r="Q4086" s="5" t="s">
        <v>355</v>
      </c>
    </row>
    <row r="4087" ht="16.5" customHeight="1">
      <c r="O4087" s="5" t="s">
        <v>355</v>
      </c>
      <c r="P4087" s="5" t="s">
        <v>355</v>
      </c>
      <c r="Q4087" s="5" t="s">
        <v>355</v>
      </c>
    </row>
    <row r="4088" ht="16.5" customHeight="1">
      <c r="O4088" s="5" t="s">
        <v>355</v>
      </c>
      <c r="P4088" s="5" t="s">
        <v>355</v>
      </c>
      <c r="Q4088" s="5" t="s">
        <v>355</v>
      </c>
    </row>
    <row r="4089" ht="16.5" customHeight="1">
      <c r="O4089" s="5" t="s">
        <v>355</v>
      </c>
      <c r="P4089" s="5" t="s">
        <v>355</v>
      </c>
      <c r="Q4089" s="5" t="s">
        <v>355</v>
      </c>
    </row>
    <row r="4090" ht="16.5" customHeight="1">
      <c r="O4090" s="5" t="s">
        <v>355</v>
      </c>
      <c r="P4090" s="5" t="s">
        <v>355</v>
      </c>
      <c r="Q4090" s="5" t="s">
        <v>355</v>
      </c>
    </row>
    <row r="4091" ht="16.5" customHeight="1">
      <c r="O4091" s="5" t="s">
        <v>355</v>
      </c>
      <c r="P4091" s="5" t="s">
        <v>355</v>
      </c>
      <c r="Q4091" s="5" t="s">
        <v>355</v>
      </c>
    </row>
    <row r="4092" ht="16.5" customHeight="1">
      <c r="O4092" s="5" t="s">
        <v>355</v>
      </c>
      <c r="P4092" s="5" t="s">
        <v>355</v>
      </c>
      <c r="Q4092" s="5" t="s">
        <v>355</v>
      </c>
    </row>
    <row r="4093" ht="16.5" customHeight="1">
      <c r="O4093" s="5" t="s">
        <v>355</v>
      </c>
      <c r="P4093" s="5" t="s">
        <v>355</v>
      </c>
      <c r="Q4093" s="5" t="s">
        <v>355</v>
      </c>
    </row>
    <row r="4094" ht="16.5" customHeight="1">
      <c r="O4094" s="5" t="s">
        <v>355</v>
      </c>
      <c r="P4094" s="5" t="s">
        <v>355</v>
      </c>
      <c r="Q4094" s="5" t="s">
        <v>355</v>
      </c>
    </row>
    <row r="4095" ht="16.5" customHeight="1">
      <c r="O4095" s="5" t="s">
        <v>355</v>
      </c>
      <c r="P4095" s="5" t="s">
        <v>355</v>
      </c>
      <c r="Q4095" s="5" t="s">
        <v>355</v>
      </c>
    </row>
    <row r="4096" ht="16.5" customHeight="1">
      <c r="O4096" s="5" t="s">
        <v>355</v>
      </c>
      <c r="P4096" s="5" t="s">
        <v>355</v>
      </c>
      <c r="Q4096" s="5" t="s">
        <v>355</v>
      </c>
    </row>
    <row r="4097" ht="16.5" customHeight="1">
      <c r="O4097" s="5" t="s">
        <v>355</v>
      </c>
      <c r="P4097" s="5" t="s">
        <v>355</v>
      </c>
      <c r="Q4097" s="5" t="s">
        <v>355</v>
      </c>
    </row>
    <row r="4098" ht="16.5" customHeight="1">
      <c r="O4098" s="5" t="s">
        <v>355</v>
      </c>
      <c r="P4098" s="5" t="s">
        <v>355</v>
      </c>
      <c r="Q4098" s="5" t="s">
        <v>355</v>
      </c>
    </row>
    <row r="4099" ht="16.5" customHeight="1">
      <c r="O4099" s="5" t="s">
        <v>355</v>
      </c>
      <c r="P4099" s="5" t="s">
        <v>355</v>
      </c>
      <c r="Q4099" s="5" t="s">
        <v>355</v>
      </c>
    </row>
    <row r="4100" ht="16.5" customHeight="1">
      <c r="O4100" s="5" t="s">
        <v>355</v>
      </c>
      <c r="P4100" s="5" t="s">
        <v>355</v>
      </c>
      <c r="Q4100" s="5" t="s">
        <v>355</v>
      </c>
    </row>
    <row r="4101" ht="16.5" customHeight="1">
      <c r="O4101" s="5" t="s">
        <v>355</v>
      </c>
      <c r="P4101" s="5" t="s">
        <v>355</v>
      </c>
      <c r="Q4101" s="5" t="s">
        <v>355</v>
      </c>
    </row>
    <row r="4102" ht="16.5" customHeight="1">
      <c r="O4102" s="5" t="s">
        <v>355</v>
      </c>
      <c r="P4102" s="5" t="s">
        <v>355</v>
      </c>
      <c r="Q4102" s="5" t="s">
        <v>355</v>
      </c>
    </row>
    <row r="4103" ht="16.5" customHeight="1">
      <c r="O4103" s="5" t="s">
        <v>355</v>
      </c>
      <c r="P4103" s="5" t="s">
        <v>355</v>
      </c>
      <c r="Q4103" s="5" t="s">
        <v>355</v>
      </c>
    </row>
    <row r="4104" ht="16.5" customHeight="1">
      <c r="O4104" s="5" t="s">
        <v>355</v>
      </c>
      <c r="P4104" s="5" t="s">
        <v>355</v>
      </c>
      <c r="Q4104" s="5" t="s">
        <v>355</v>
      </c>
    </row>
    <row r="4105" ht="16.5" customHeight="1">
      <c r="O4105" s="5" t="s">
        <v>355</v>
      </c>
      <c r="P4105" s="5" t="s">
        <v>355</v>
      </c>
      <c r="Q4105" s="5" t="s">
        <v>355</v>
      </c>
    </row>
    <row r="4106" ht="16.5" customHeight="1">
      <c r="O4106" s="5" t="s">
        <v>355</v>
      </c>
      <c r="P4106" s="5" t="s">
        <v>355</v>
      </c>
      <c r="Q4106" s="5" t="s">
        <v>355</v>
      </c>
    </row>
    <row r="4107" ht="16.5" customHeight="1">
      <c r="O4107" s="5" t="s">
        <v>355</v>
      </c>
      <c r="P4107" s="5" t="s">
        <v>355</v>
      </c>
      <c r="Q4107" s="5" t="s">
        <v>355</v>
      </c>
    </row>
    <row r="4108" ht="16.5" customHeight="1">
      <c r="O4108" s="5" t="s">
        <v>355</v>
      </c>
      <c r="P4108" s="5" t="s">
        <v>355</v>
      </c>
      <c r="Q4108" s="5" t="s">
        <v>355</v>
      </c>
    </row>
    <row r="4109" ht="16.5" customHeight="1">
      <c r="O4109" s="5" t="s">
        <v>355</v>
      </c>
      <c r="P4109" s="5" t="s">
        <v>355</v>
      </c>
      <c r="Q4109" s="5" t="s">
        <v>355</v>
      </c>
    </row>
    <row r="4110" ht="16.5" customHeight="1">
      <c r="O4110" s="5" t="s">
        <v>355</v>
      </c>
      <c r="P4110" s="5" t="s">
        <v>355</v>
      </c>
      <c r="Q4110" s="5" t="s">
        <v>355</v>
      </c>
    </row>
    <row r="4111" ht="16.5" customHeight="1">
      <c r="O4111" s="5" t="s">
        <v>355</v>
      </c>
      <c r="P4111" s="5" t="s">
        <v>355</v>
      </c>
      <c r="Q4111" s="5" t="s">
        <v>355</v>
      </c>
    </row>
    <row r="4112" ht="16.5" customHeight="1">
      <c r="O4112" s="5" t="s">
        <v>355</v>
      </c>
      <c r="P4112" s="5" t="s">
        <v>355</v>
      </c>
      <c r="Q4112" s="5" t="s">
        <v>355</v>
      </c>
    </row>
    <row r="4113" ht="16.5" customHeight="1">
      <c r="O4113" s="5" t="s">
        <v>355</v>
      </c>
      <c r="P4113" s="5" t="s">
        <v>355</v>
      </c>
      <c r="Q4113" s="5" t="s">
        <v>355</v>
      </c>
    </row>
    <row r="4114" ht="16.5" customHeight="1">
      <c r="O4114" s="5" t="s">
        <v>355</v>
      </c>
      <c r="P4114" s="5" t="s">
        <v>355</v>
      </c>
      <c r="Q4114" s="5" t="s">
        <v>355</v>
      </c>
    </row>
    <row r="4115" ht="16.5" customHeight="1">
      <c r="O4115" s="5" t="s">
        <v>355</v>
      </c>
      <c r="P4115" s="5" t="s">
        <v>355</v>
      </c>
      <c r="Q4115" s="5" t="s">
        <v>355</v>
      </c>
    </row>
    <row r="4116" ht="16.5" customHeight="1">
      <c r="O4116" s="5" t="s">
        <v>355</v>
      </c>
      <c r="P4116" s="5" t="s">
        <v>355</v>
      </c>
      <c r="Q4116" s="5" t="s">
        <v>355</v>
      </c>
    </row>
    <row r="4117" ht="16.5" customHeight="1">
      <c r="O4117" s="5" t="s">
        <v>355</v>
      </c>
      <c r="P4117" s="5" t="s">
        <v>355</v>
      </c>
      <c r="Q4117" s="5" t="s">
        <v>355</v>
      </c>
    </row>
    <row r="4118" ht="16.5" customHeight="1">
      <c r="O4118" s="5" t="s">
        <v>355</v>
      </c>
      <c r="P4118" s="5" t="s">
        <v>355</v>
      </c>
      <c r="Q4118" s="5" t="s">
        <v>355</v>
      </c>
    </row>
    <row r="4119" ht="16.5" customHeight="1">
      <c r="O4119" s="5" t="s">
        <v>355</v>
      </c>
      <c r="P4119" s="5" t="s">
        <v>355</v>
      </c>
      <c r="Q4119" s="5" t="s">
        <v>355</v>
      </c>
    </row>
    <row r="4120" ht="16.5" customHeight="1">
      <c r="O4120" s="5" t="s">
        <v>355</v>
      </c>
      <c r="P4120" s="5" t="s">
        <v>355</v>
      </c>
      <c r="Q4120" s="5" t="s">
        <v>355</v>
      </c>
    </row>
    <row r="4121" ht="16.5" customHeight="1">
      <c r="O4121" s="5" t="s">
        <v>355</v>
      </c>
      <c r="P4121" s="5" t="s">
        <v>355</v>
      </c>
      <c r="Q4121" s="5" t="s">
        <v>355</v>
      </c>
    </row>
    <row r="4122" ht="16.5" customHeight="1">
      <c r="O4122" s="5" t="s">
        <v>355</v>
      </c>
      <c r="P4122" s="5" t="s">
        <v>355</v>
      </c>
      <c r="Q4122" s="5" t="s">
        <v>355</v>
      </c>
    </row>
    <row r="4123" ht="16.5" customHeight="1">
      <c r="O4123" s="5" t="s">
        <v>355</v>
      </c>
      <c r="P4123" s="5" t="s">
        <v>355</v>
      </c>
      <c r="Q4123" s="5" t="s">
        <v>355</v>
      </c>
    </row>
    <row r="4124" ht="16.5" customHeight="1">
      <c r="O4124" s="5" t="s">
        <v>355</v>
      </c>
      <c r="P4124" s="5" t="s">
        <v>355</v>
      </c>
      <c r="Q4124" s="5" t="s">
        <v>355</v>
      </c>
    </row>
    <row r="4125" ht="16.5" customHeight="1">
      <c r="O4125" s="5" t="s">
        <v>355</v>
      </c>
      <c r="P4125" s="5" t="s">
        <v>355</v>
      </c>
      <c r="Q4125" s="5" t="s">
        <v>355</v>
      </c>
    </row>
    <row r="4126" ht="16.5" customHeight="1">
      <c r="O4126" s="5" t="s">
        <v>355</v>
      </c>
      <c r="P4126" s="5" t="s">
        <v>355</v>
      </c>
      <c r="Q4126" s="5" t="s">
        <v>355</v>
      </c>
    </row>
    <row r="4127" ht="16.5" customHeight="1">
      <c r="O4127" s="5" t="s">
        <v>355</v>
      </c>
      <c r="P4127" s="5" t="s">
        <v>355</v>
      </c>
      <c r="Q4127" s="5" t="s">
        <v>355</v>
      </c>
    </row>
    <row r="4128" ht="16.5" customHeight="1">
      <c r="O4128" s="5" t="s">
        <v>355</v>
      </c>
      <c r="P4128" s="5" t="s">
        <v>355</v>
      </c>
      <c r="Q4128" s="5" t="s">
        <v>355</v>
      </c>
    </row>
    <row r="4129" ht="16.5" customHeight="1">
      <c r="O4129" s="5" t="s">
        <v>355</v>
      </c>
      <c r="P4129" s="5" t="s">
        <v>355</v>
      </c>
      <c r="Q4129" s="5" t="s">
        <v>355</v>
      </c>
    </row>
    <row r="4130" ht="16.5" customHeight="1">
      <c r="O4130" s="5" t="s">
        <v>355</v>
      </c>
      <c r="P4130" s="5" t="s">
        <v>355</v>
      </c>
      <c r="Q4130" s="5" t="s">
        <v>355</v>
      </c>
    </row>
    <row r="4131" ht="16.5" customHeight="1">
      <c r="O4131" s="5" t="s">
        <v>355</v>
      </c>
      <c r="P4131" s="5" t="s">
        <v>355</v>
      </c>
      <c r="Q4131" s="5" t="s">
        <v>355</v>
      </c>
    </row>
    <row r="4132" ht="16.5" customHeight="1">
      <c r="O4132" s="5" t="s">
        <v>355</v>
      </c>
      <c r="P4132" s="5" t="s">
        <v>355</v>
      </c>
      <c r="Q4132" s="5" t="s">
        <v>355</v>
      </c>
    </row>
    <row r="4133" ht="16.5" customHeight="1">
      <c r="O4133" s="5" t="s">
        <v>355</v>
      </c>
      <c r="P4133" s="5" t="s">
        <v>355</v>
      </c>
      <c r="Q4133" s="5" t="s">
        <v>355</v>
      </c>
    </row>
    <row r="4134" ht="16.5" customHeight="1">
      <c r="O4134" s="5" t="s">
        <v>355</v>
      </c>
      <c r="P4134" s="5" t="s">
        <v>355</v>
      </c>
      <c r="Q4134" s="5" t="s">
        <v>355</v>
      </c>
    </row>
    <row r="4135" ht="16.5" customHeight="1">
      <c r="O4135" s="5" t="s">
        <v>355</v>
      </c>
      <c r="P4135" s="5" t="s">
        <v>355</v>
      </c>
      <c r="Q4135" s="5" t="s">
        <v>355</v>
      </c>
    </row>
    <row r="4136" ht="16.5" customHeight="1">
      <c r="O4136" s="5" t="s">
        <v>355</v>
      </c>
      <c r="P4136" s="5" t="s">
        <v>355</v>
      </c>
      <c r="Q4136" s="5" t="s">
        <v>355</v>
      </c>
    </row>
    <row r="4137" ht="16.5" customHeight="1">
      <c r="O4137" s="5" t="s">
        <v>355</v>
      </c>
      <c r="P4137" s="5" t="s">
        <v>355</v>
      </c>
      <c r="Q4137" s="5" t="s">
        <v>355</v>
      </c>
    </row>
    <row r="4138" ht="16.5" customHeight="1">
      <c r="O4138" s="5" t="s">
        <v>355</v>
      </c>
      <c r="P4138" s="5" t="s">
        <v>355</v>
      </c>
      <c r="Q4138" s="5" t="s">
        <v>355</v>
      </c>
    </row>
    <row r="4139" ht="16.5" customHeight="1">
      <c r="O4139" s="5" t="s">
        <v>355</v>
      </c>
      <c r="P4139" s="5" t="s">
        <v>355</v>
      </c>
      <c r="Q4139" s="5" t="s">
        <v>355</v>
      </c>
    </row>
    <row r="4140" ht="16.5" customHeight="1">
      <c r="O4140" s="5" t="s">
        <v>355</v>
      </c>
      <c r="P4140" s="5" t="s">
        <v>355</v>
      </c>
      <c r="Q4140" s="5" t="s">
        <v>355</v>
      </c>
    </row>
    <row r="4141" ht="16.5" customHeight="1">
      <c r="O4141" s="5" t="s">
        <v>355</v>
      </c>
      <c r="P4141" s="5" t="s">
        <v>355</v>
      </c>
      <c r="Q4141" s="5" t="s">
        <v>355</v>
      </c>
    </row>
    <row r="4142" ht="16.5" customHeight="1">
      <c r="O4142" s="5" t="s">
        <v>355</v>
      </c>
      <c r="P4142" s="5" t="s">
        <v>355</v>
      </c>
      <c r="Q4142" s="5" t="s">
        <v>355</v>
      </c>
    </row>
    <row r="4143" ht="16.5" customHeight="1">
      <c r="O4143" s="5" t="s">
        <v>355</v>
      </c>
      <c r="P4143" s="5" t="s">
        <v>355</v>
      </c>
      <c r="Q4143" s="5" t="s">
        <v>355</v>
      </c>
    </row>
    <row r="4144" ht="16.5" customHeight="1">
      <c r="O4144" s="5" t="s">
        <v>355</v>
      </c>
      <c r="P4144" s="5" t="s">
        <v>355</v>
      </c>
      <c r="Q4144" s="5" t="s">
        <v>355</v>
      </c>
    </row>
    <row r="4145" ht="16.5" customHeight="1">
      <c r="O4145" s="5" t="s">
        <v>355</v>
      </c>
      <c r="P4145" s="5" t="s">
        <v>355</v>
      </c>
      <c r="Q4145" s="5" t="s">
        <v>355</v>
      </c>
    </row>
    <row r="4146" ht="16.5" customHeight="1">
      <c r="O4146" s="5" t="s">
        <v>355</v>
      </c>
      <c r="P4146" s="5" t="s">
        <v>355</v>
      </c>
      <c r="Q4146" s="5" t="s">
        <v>355</v>
      </c>
    </row>
    <row r="4147" ht="16.5" customHeight="1">
      <c r="O4147" s="5" t="s">
        <v>355</v>
      </c>
      <c r="P4147" s="5" t="s">
        <v>355</v>
      </c>
      <c r="Q4147" s="5" t="s">
        <v>355</v>
      </c>
    </row>
    <row r="4148" ht="16.5" customHeight="1">
      <c r="O4148" s="5" t="s">
        <v>355</v>
      </c>
      <c r="P4148" s="5" t="s">
        <v>355</v>
      </c>
      <c r="Q4148" s="5" t="s">
        <v>355</v>
      </c>
    </row>
    <row r="4149" ht="16.5" customHeight="1">
      <c r="O4149" s="5" t="s">
        <v>355</v>
      </c>
      <c r="P4149" s="5" t="s">
        <v>355</v>
      </c>
      <c r="Q4149" s="5" t="s">
        <v>355</v>
      </c>
    </row>
    <row r="4150" ht="16.5" customHeight="1">
      <c r="O4150" s="5" t="s">
        <v>355</v>
      </c>
      <c r="P4150" s="5" t="s">
        <v>355</v>
      </c>
      <c r="Q4150" s="5" t="s">
        <v>355</v>
      </c>
    </row>
    <row r="4151" ht="16.5" customHeight="1">
      <c r="O4151" s="5" t="s">
        <v>355</v>
      </c>
      <c r="P4151" s="5" t="s">
        <v>355</v>
      </c>
      <c r="Q4151" s="5" t="s">
        <v>355</v>
      </c>
    </row>
    <row r="4152" ht="16.5" customHeight="1">
      <c r="O4152" s="5" t="s">
        <v>355</v>
      </c>
      <c r="P4152" s="5" t="s">
        <v>355</v>
      </c>
      <c r="Q4152" s="5" t="s">
        <v>355</v>
      </c>
    </row>
    <row r="4153" ht="16.5" customHeight="1">
      <c r="O4153" s="5" t="s">
        <v>355</v>
      </c>
      <c r="P4153" s="5" t="s">
        <v>355</v>
      </c>
      <c r="Q4153" s="5" t="s">
        <v>355</v>
      </c>
    </row>
    <row r="4154" ht="16.5" customHeight="1">
      <c r="O4154" s="5" t="s">
        <v>355</v>
      </c>
      <c r="P4154" s="5" t="s">
        <v>355</v>
      </c>
      <c r="Q4154" s="5" t="s">
        <v>355</v>
      </c>
    </row>
    <row r="4155" ht="16.5" customHeight="1">
      <c r="O4155" s="5" t="s">
        <v>355</v>
      </c>
      <c r="P4155" s="5" t="s">
        <v>355</v>
      </c>
      <c r="Q4155" s="5" t="s">
        <v>355</v>
      </c>
    </row>
    <row r="4156" ht="16.5" customHeight="1">
      <c r="O4156" s="5" t="s">
        <v>355</v>
      </c>
      <c r="P4156" s="5" t="s">
        <v>355</v>
      </c>
      <c r="Q4156" s="5" t="s">
        <v>355</v>
      </c>
    </row>
    <row r="4157" ht="16.5" customHeight="1">
      <c r="O4157" s="5" t="s">
        <v>355</v>
      </c>
      <c r="P4157" s="5" t="s">
        <v>355</v>
      </c>
      <c r="Q4157" s="5" t="s">
        <v>355</v>
      </c>
    </row>
    <row r="4158" ht="16.5" customHeight="1">
      <c r="O4158" s="5" t="s">
        <v>355</v>
      </c>
      <c r="P4158" s="5" t="s">
        <v>355</v>
      </c>
      <c r="Q4158" s="5" t="s">
        <v>355</v>
      </c>
    </row>
    <row r="4159" ht="16.5" customHeight="1">
      <c r="O4159" s="5" t="s">
        <v>355</v>
      </c>
      <c r="P4159" s="5" t="s">
        <v>355</v>
      </c>
      <c r="Q4159" s="5" t="s">
        <v>355</v>
      </c>
    </row>
    <row r="4160" ht="16.5" customHeight="1">
      <c r="O4160" s="5" t="s">
        <v>355</v>
      </c>
      <c r="P4160" s="5" t="s">
        <v>355</v>
      </c>
      <c r="Q4160" s="5" t="s">
        <v>355</v>
      </c>
    </row>
    <row r="4161" ht="16.5" customHeight="1">
      <c r="O4161" s="5" t="s">
        <v>355</v>
      </c>
      <c r="P4161" s="5" t="s">
        <v>355</v>
      </c>
      <c r="Q4161" s="5" t="s">
        <v>355</v>
      </c>
    </row>
    <row r="4162" ht="16.5" customHeight="1">
      <c r="O4162" s="5" t="s">
        <v>355</v>
      </c>
      <c r="P4162" s="5" t="s">
        <v>355</v>
      </c>
      <c r="Q4162" s="5" t="s">
        <v>355</v>
      </c>
    </row>
    <row r="4163" ht="16.5" customHeight="1">
      <c r="O4163" s="5" t="s">
        <v>355</v>
      </c>
      <c r="P4163" s="5" t="s">
        <v>355</v>
      </c>
      <c r="Q4163" s="5" t="s">
        <v>355</v>
      </c>
    </row>
    <row r="4164" ht="16.5" customHeight="1">
      <c r="O4164" s="5" t="s">
        <v>355</v>
      </c>
      <c r="P4164" s="5" t="s">
        <v>355</v>
      </c>
      <c r="Q4164" s="5" t="s">
        <v>355</v>
      </c>
    </row>
    <row r="4165" ht="16.5" customHeight="1">
      <c r="O4165" s="5" t="s">
        <v>355</v>
      </c>
      <c r="P4165" s="5" t="s">
        <v>355</v>
      </c>
      <c r="Q4165" s="5" t="s">
        <v>355</v>
      </c>
    </row>
    <row r="4166" ht="16.5" customHeight="1">
      <c r="O4166" s="5" t="s">
        <v>355</v>
      </c>
      <c r="P4166" s="5" t="s">
        <v>355</v>
      </c>
      <c r="Q4166" s="5" t="s">
        <v>355</v>
      </c>
    </row>
    <row r="4167" ht="16.5" customHeight="1">
      <c r="O4167" s="5" t="s">
        <v>355</v>
      </c>
      <c r="P4167" s="5" t="s">
        <v>355</v>
      </c>
      <c r="Q4167" s="5" t="s">
        <v>355</v>
      </c>
    </row>
    <row r="4168" ht="16.5" customHeight="1">
      <c r="O4168" s="5" t="s">
        <v>355</v>
      </c>
      <c r="P4168" s="5" t="s">
        <v>355</v>
      </c>
      <c r="Q4168" s="5" t="s">
        <v>355</v>
      </c>
    </row>
    <row r="4169" ht="16.5" customHeight="1">
      <c r="O4169" s="5" t="s">
        <v>355</v>
      </c>
      <c r="P4169" s="5" t="s">
        <v>355</v>
      </c>
      <c r="Q4169" s="5" t="s">
        <v>355</v>
      </c>
    </row>
    <row r="4170" ht="16.5" customHeight="1">
      <c r="O4170" s="5" t="s">
        <v>355</v>
      </c>
      <c r="P4170" s="5" t="s">
        <v>355</v>
      </c>
      <c r="Q4170" s="5" t="s">
        <v>355</v>
      </c>
    </row>
    <row r="4171" ht="16.5" customHeight="1">
      <c r="O4171" s="5" t="s">
        <v>355</v>
      </c>
      <c r="P4171" s="5" t="s">
        <v>355</v>
      </c>
      <c r="Q4171" s="5" t="s">
        <v>355</v>
      </c>
    </row>
    <row r="4172" ht="16.5" customHeight="1">
      <c r="O4172" s="5" t="s">
        <v>355</v>
      </c>
      <c r="P4172" s="5" t="s">
        <v>355</v>
      </c>
      <c r="Q4172" s="5" t="s">
        <v>355</v>
      </c>
    </row>
    <row r="4173" ht="16.5" customHeight="1">
      <c r="O4173" s="5" t="s">
        <v>355</v>
      </c>
      <c r="P4173" s="5" t="s">
        <v>355</v>
      </c>
      <c r="Q4173" s="5" t="s">
        <v>355</v>
      </c>
    </row>
    <row r="4174" ht="16.5" customHeight="1">
      <c r="O4174" s="5" t="s">
        <v>355</v>
      </c>
      <c r="P4174" s="5" t="s">
        <v>355</v>
      </c>
      <c r="Q4174" s="5" t="s">
        <v>355</v>
      </c>
    </row>
    <row r="4175" ht="16.5" customHeight="1">
      <c r="O4175" s="5" t="s">
        <v>355</v>
      </c>
      <c r="P4175" s="5" t="s">
        <v>355</v>
      </c>
      <c r="Q4175" s="5" t="s">
        <v>355</v>
      </c>
    </row>
    <row r="4176" ht="16.5" customHeight="1">
      <c r="O4176" s="5" t="s">
        <v>355</v>
      </c>
      <c r="P4176" s="5" t="s">
        <v>355</v>
      </c>
      <c r="Q4176" s="5" t="s">
        <v>355</v>
      </c>
    </row>
    <row r="4177" ht="16.5" customHeight="1">
      <c r="O4177" s="5" t="s">
        <v>355</v>
      </c>
      <c r="P4177" s="5" t="s">
        <v>355</v>
      </c>
      <c r="Q4177" s="5" t="s">
        <v>355</v>
      </c>
    </row>
    <row r="4178" ht="16.5" customHeight="1">
      <c r="O4178" s="5" t="s">
        <v>355</v>
      </c>
      <c r="P4178" s="5" t="s">
        <v>355</v>
      </c>
      <c r="Q4178" s="5" t="s">
        <v>355</v>
      </c>
    </row>
    <row r="4179" ht="16.5" customHeight="1">
      <c r="O4179" s="5" t="s">
        <v>355</v>
      </c>
      <c r="P4179" s="5" t="s">
        <v>355</v>
      </c>
      <c r="Q4179" s="5" t="s">
        <v>355</v>
      </c>
    </row>
    <row r="4180" ht="16.5" customHeight="1">
      <c r="O4180" s="5" t="s">
        <v>355</v>
      </c>
      <c r="P4180" s="5" t="s">
        <v>355</v>
      </c>
      <c r="Q4180" s="5" t="s">
        <v>355</v>
      </c>
    </row>
    <row r="4181" ht="16.5" customHeight="1">
      <c r="O4181" s="5" t="s">
        <v>355</v>
      </c>
      <c r="P4181" s="5" t="s">
        <v>355</v>
      </c>
      <c r="Q4181" s="5" t="s">
        <v>355</v>
      </c>
    </row>
    <row r="4182" ht="16.5" customHeight="1">
      <c r="O4182" s="5" t="s">
        <v>355</v>
      </c>
      <c r="P4182" s="5" t="s">
        <v>355</v>
      </c>
      <c r="Q4182" s="5" t="s">
        <v>355</v>
      </c>
    </row>
    <row r="4183" ht="16.5" customHeight="1">
      <c r="O4183" s="5" t="s">
        <v>355</v>
      </c>
      <c r="P4183" s="5" t="s">
        <v>355</v>
      </c>
      <c r="Q4183" s="5" t="s">
        <v>355</v>
      </c>
    </row>
    <row r="4184" ht="16.5" customHeight="1">
      <c r="O4184" s="5" t="s">
        <v>355</v>
      </c>
      <c r="P4184" s="5" t="s">
        <v>355</v>
      </c>
      <c r="Q4184" s="5" t="s">
        <v>355</v>
      </c>
    </row>
    <row r="4185" ht="16.5" customHeight="1">
      <c r="O4185" s="5" t="s">
        <v>355</v>
      </c>
      <c r="P4185" s="5" t="s">
        <v>355</v>
      </c>
      <c r="Q4185" s="5" t="s">
        <v>355</v>
      </c>
    </row>
    <row r="4186" ht="16.5" customHeight="1">
      <c r="O4186" s="5" t="s">
        <v>355</v>
      </c>
      <c r="P4186" s="5" t="s">
        <v>355</v>
      </c>
      <c r="Q4186" s="5" t="s">
        <v>355</v>
      </c>
    </row>
    <row r="4187" ht="16.5" customHeight="1">
      <c r="O4187" s="5" t="s">
        <v>355</v>
      </c>
      <c r="P4187" s="5" t="s">
        <v>355</v>
      </c>
      <c r="Q4187" s="5" t="s">
        <v>355</v>
      </c>
    </row>
    <row r="4188" ht="16.5" customHeight="1">
      <c r="O4188" s="5" t="s">
        <v>355</v>
      </c>
      <c r="P4188" s="5" t="s">
        <v>355</v>
      </c>
      <c r="Q4188" s="5" t="s">
        <v>355</v>
      </c>
    </row>
    <row r="4189" ht="16.5" customHeight="1">
      <c r="O4189" s="5" t="s">
        <v>355</v>
      </c>
      <c r="P4189" s="5" t="s">
        <v>355</v>
      </c>
      <c r="Q4189" s="5" t="s">
        <v>355</v>
      </c>
    </row>
    <row r="4190" ht="16.5" customHeight="1">
      <c r="O4190" s="5" t="s">
        <v>355</v>
      </c>
      <c r="P4190" s="5" t="s">
        <v>355</v>
      </c>
      <c r="Q4190" s="5" t="s">
        <v>355</v>
      </c>
    </row>
    <row r="4191" ht="16.5" customHeight="1">
      <c r="O4191" s="5" t="s">
        <v>355</v>
      </c>
      <c r="P4191" s="5" t="s">
        <v>355</v>
      </c>
      <c r="Q4191" s="5" t="s">
        <v>355</v>
      </c>
    </row>
    <row r="4192" ht="16.5" customHeight="1">
      <c r="O4192" s="5" t="s">
        <v>355</v>
      </c>
      <c r="P4192" s="5" t="s">
        <v>355</v>
      </c>
      <c r="Q4192" s="5" t="s">
        <v>355</v>
      </c>
    </row>
    <row r="4193" ht="16.5" customHeight="1">
      <c r="O4193" s="5" t="s">
        <v>355</v>
      </c>
      <c r="P4193" s="5" t="s">
        <v>355</v>
      </c>
      <c r="Q4193" s="5" t="s">
        <v>355</v>
      </c>
    </row>
    <row r="4194" ht="16.5" customHeight="1">
      <c r="O4194" s="5" t="s">
        <v>355</v>
      </c>
      <c r="P4194" s="5" t="s">
        <v>355</v>
      </c>
      <c r="Q4194" s="5" t="s">
        <v>355</v>
      </c>
    </row>
    <row r="4195" ht="16.5" customHeight="1">
      <c r="O4195" s="5" t="s">
        <v>355</v>
      </c>
      <c r="P4195" s="5" t="s">
        <v>355</v>
      </c>
      <c r="Q4195" s="5" t="s">
        <v>355</v>
      </c>
    </row>
    <row r="4196" ht="16.5" customHeight="1">
      <c r="O4196" s="5" t="s">
        <v>355</v>
      </c>
      <c r="P4196" s="5" t="s">
        <v>355</v>
      </c>
      <c r="Q4196" s="5" t="s">
        <v>355</v>
      </c>
    </row>
    <row r="4197" ht="16.5" customHeight="1">
      <c r="O4197" s="5" t="s">
        <v>355</v>
      </c>
      <c r="P4197" s="5" t="s">
        <v>355</v>
      </c>
      <c r="Q4197" s="5" t="s">
        <v>355</v>
      </c>
    </row>
    <row r="4198" ht="16.5" customHeight="1">
      <c r="O4198" s="5" t="s">
        <v>355</v>
      </c>
      <c r="P4198" s="5" t="s">
        <v>355</v>
      </c>
      <c r="Q4198" s="5" t="s">
        <v>355</v>
      </c>
    </row>
    <row r="4199" ht="16.5" customHeight="1">
      <c r="O4199" s="5" t="s">
        <v>355</v>
      </c>
      <c r="P4199" s="5" t="s">
        <v>355</v>
      </c>
      <c r="Q4199" s="5" t="s">
        <v>355</v>
      </c>
    </row>
    <row r="4200" ht="16.5" customHeight="1">
      <c r="O4200" s="5" t="s">
        <v>355</v>
      </c>
      <c r="P4200" s="5" t="s">
        <v>355</v>
      </c>
      <c r="Q4200" s="5" t="s">
        <v>355</v>
      </c>
    </row>
    <row r="4201" ht="16.5" customHeight="1">
      <c r="O4201" s="5" t="s">
        <v>355</v>
      </c>
      <c r="P4201" s="5" t="s">
        <v>355</v>
      </c>
      <c r="Q4201" s="5" t="s">
        <v>355</v>
      </c>
    </row>
    <row r="4202" ht="16.5" customHeight="1">
      <c r="O4202" s="5" t="s">
        <v>355</v>
      </c>
      <c r="P4202" s="5" t="s">
        <v>355</v>
      </c>
      <c r="Q4202" s="5" t="s">
        <v>355</v>
      </c>
    </row>
    <row r="4203" ht="16.5" customHeight="1">
      <c r="O4203" s="5" t="s">
        <v>355</v>
      </c>
      <c r="P4203" s="5" t="s">
        <v>355</v>
      </c>
      <c r="Q4203" s="5" t="s">
        <v>355</v>
      </c>
    </row>
    <row r="4204" ht="16.5" customHeight="1">
      <c r="O4204" s="5" t="s">
        <v>355</v>
      </c>
      <c r="P4204" s="5" t="s">
        <v>355</v>
      </c>
      <c r="Q4204" s="5" t="s">
        <v>355</v>
      </c>
    </row>
    <row r="4205" ht="16.5" customHeight="1">
      <c r="O4205" s="5" t="s">
        <v>355</v>
      </c>
      <c r="P4205" s="5" t="s">
        <v>355</v>
      </c>
      <c r="Q4205" s="5" t="s">
        <v>355</v>
      </c>
    </row>
    <row r="4206" ht="16.5" customHeight="1">
      <c r="O4206" s="5" t="s">
        <v>355</v>
      </c>
      <c r="P4206" s="5" t="s">
        <v>355</v>
      </c>
      <c r="Q4206" s="5" t="s">
        <v>355</v>
      </c>
    </row>
    <row r="4207" ht="16.5" customHeight="1">
      <c r="O4207" s="5" t="s">
        <v>355</v>
      </c>
      <c r="P4207" s="5" t="s">
        <v>355</v>
      </c>
      <c r="Q4207" s="5" t="s">
        <v>355</v>
      </c>
    </row>
    <row r="4208" ht="16.5" customHeight="1">
      <c r="O4208" s="5" t="s">
        <v>355</v>
      </c>
      <c r="P4208" s="5" t="s">
        <v>355</v>
      </c>
      <c r="Q4208" s="5" t="s">
        <v>355</v>
      </c>
    </row>
    <row r="4209" ht="16.5" customHeight="1">
      <c r="O4209" s="5" t="s">
        <v>355</v>
      </c>
      <c r="P4209" s="5" t="s">
        <v>355</v>
      </c>
      <c r="Q4209" s="5" t="s">
        <v>355</v>
      </c>
    </row>
    <row r="4210" ht="16.5" customHeight="1">
      <c r="O4210" s="5" t="s">
        <v>355</v>
      </c>
      <c r="P4210" s="5" t="s">
        <v>355</v>
      </c>
      <c r="Q4210" s="5" t="s">
        <v>355</v>
      </c>
    </row>
    <row r="4211" ht="16.5" customHeight="1">
      <c r="O4211" s="5" t="s">
        <v>355</v>
      </c>
      <c r="P4211" s="5" t="s">
        <v>355</v>
      </c>
      <c r="Q4211" s="5" t="s">
        <v>355</v>
      </c>
    </row>
    <row r="4212" ht="16.5" customHeight="1">
      <c r="O4212" s="5" t="s">
        <v>355</v>
      </c>
      <c r="P4212" s="5" t="s">
        <v>355</v>
      </c>
      <c r="Q4212" s="5" t="s">
        <v>355</v>
      </c>
    </row>
    <row r="4213" ht="16.5" customHeight="1">
      <c r="O4213" s="5" t="s">
        <v>355</v>
      </c>
      <c r="P4213" s="5" t="s">
        <v>355</v>
      </c>
      <c r="Q4213" s="5" t="s">
        <v>355</v>
      </c>
    </row>
    <row r="4214" ht="16.5" customHeight="1">
      <c r="O4214" s="5" t="s">
        <v>355</v>
      </c>
      <c r="P4214" s="5" t="s">
        <v>355</v>
      </c>
      <c r="Q4214" s="5" t="s">
        <v>355</v>
      </c>
    </row>
    <row r="4215" ht="16.5" customHeight="1">
      <c r="O4215" s="5" t="s">
        <v>355</v>
      </c>
      <c r="P4215" s="5" t="s">
        <v>355</v>
      </c>
      <c r="Q4215" s="5" t="s">
        <v>355</v>
      </c>
    </row>
    <row r="4216" ht="16.5" customHeight="1">
      <c r="O4216" s="5" t="s">
        <v>355</v>
      </c>
      <c r="P4216" s="5" t="s">
        <v>355</v>
      </c>
      <c r="Q4216" s="5" t="s">
        <v>355</v>
      </c>
    </row>
    <row r="4217" ht="16.5" customHeight="1">
      <c r="O4217" s="5" t="s">
        <v>355</v>
      </c>
      <c r="P4217" s="5" t="s">
        <v>355</v>
      </c>
      <c r="Q4217" s="5" t="s">
        <v>355</v>
      </c>
    </row>
    <row r="4218" ht="16.5" customHeight="1">
      <c r="O4218" s="5" t="s">
        <v>355</v>
      </c>
      <c r="P4218" s="5" t="s">
        <v>355</v>
      </c>
      <c r="Q4218" s="5" t="s">
        <v>355</v>
      </c>
    </row>
    <row r="4219" ht="16.5" customHeight="1">
      <c r="O4219" s="5" t="s">
        <v>355</v>
      </c>
      <c r="P4219" s="5" t="s">
        <v>355</v>
      </c>
      <c r="Q4219" s="5" t="s">
        <v>355</v>
      </c>
    </row>
    <row r="4220" ht="16.5" customHeight="1">
      <c r="O4220" s="5" t="s">
        <v>355</v>
      </c>
      <c r="P4220" s="5" t="s">
        <v>355</v>
      </c>
      <c r="Q4220" s="5" t="s">
        <v>355</v>
      </c>
    </row>
    <row r="4221" ht="16.5" customHeight="1">
      <c r="O4221" s="5" t="s">
        <v>355</v>
      </c>
      <c r="P4221" s="5" t="s">
        <v>355</v>
      </c>
      <c r="Q4221" s="5" t="s">
        <v>355</v>
      </c>
    </row>
    <row r="4222" ht="16.5" customHeight="1">
      <c r="O4222" s="5" t="s">
        <v>355</v>
      </c>
      <c r="P4222" s="5" t="s">
        <v>355</v>
      </c>
      <c r="Q4222" s="5" t="s">
        <v>355</v>
      </c>
    </row>
    <row r="4223" ht="16.5" customHeight="1">
      <c r="O4223" s="5" t="s">
        <v>355</v>
      </c>
      <c r="P4223" s="5" t="s">
        <v>355</v>
      </c>
      <c r="Q4223" s="5" t="s">
        <v>355</v>
      </c>
    </row>
    <row r="4224" ht="16.5" customHeight="1">
      <c r="O4224" s="5" t="s">
        <v>355</v>
      </c>
      <c r="P4224" s="5" t="s">
        <v>355</v>
      </c>
      <c r="Q4224" s="5" t="s">
        <v>355</v>
      </c>
    </row>
    <row r="4225" ht="16.5" customHeight="1">
      <c r="O4225" s="5" t="s">
        <v>355</v>
      </c>
      <c r="P4225" s="5" t="s">
        <v>355</v>
      </c>
      <c r="Q4225" s="5" t="s">
        <v>355</v>
      </c>
    </row>
    <row r="4226" ht="16.5" customHeight="1">
      <c r="O4226" s="5" t="s">
        <v>355</v>
      </c>
      <c r="P4226" s="5" t="s">
        <v>355</v>
      </c>
      <c r="Q4226" s="5" t="s">
        <v>355</v>
      </c>
    </row>
    <row r="4227" ht="16.5" customHeight="1">
      <c r="O4227" s="5" t="s">
        <v>355</v>
      </c>
      <c r="P4227" s="5" t="s">
        <v>355</v>
      </c>
      <c r="Q4227" s="5" t="s">
        <v>355</v>
      </c>
    </row>
    <row r="4228" ht="16.5" customHeight="1">
      <c r="O4228" s="5" t="s">
        <v>355</v>
      </c>
      <c r="P4228" s="5" t="s">
        <v>355</v>
      </c>
      <c r="Q4228" s="5" t="s">
        <v>355</v>
      </c>
    </row>
    <row r="4229" ht="16.5" customHeight="1">
      <c r="O4229" s="5" t="s">
        <v>355</v>
      </c>
      <c r="P4229" s="5" t="s">
        <v>355</v>
      </c>
      <c r="Q4229" s="5" t="s">
        <v>355</v>
      </c>
    </row>
    <row r="4230" ht="16.5" customHeight="1">
      <c r="O4230" s="5" t="s">
        <v>355</v>
      </c>
      <c r="P4230" s="5" t="s">
        <v>355</v>
      </c>
      <c r="Q4230" s="5" t="s">
        <v>355</v>
      </c>
    </row>
    <row r="4231" ht="16.5" customHeight="1">
      <c r="O4231" s="5" t="s">
        <v>355</v>
      </c>
      <c r="P4231" s="5" t="s">
        <v>355</v>
      </c>
      <c r="Q4231" s="5" t="s">
        <v>355</v>
      </c>
    </row>
    <row r="4232" ht="16.5" customHeight="1">
      <c r="O4232" s="5" t="s">
        <v>355</v>
      </c>
      <c r="P4232" s="5" t="s">
        <v>355</v>
      </c>
      <c r="Q4232" s="5" t="s">
        <v>355</v>
      </c>
    </row>
    <row r="4233" ht="16.5" customHeight="1">
      <c r="O4233" s="5" t="s">
        <v>355</v>
      </c>
      <c r="P4233" s="5" t="s">
        <v>355</v>
      </c>
      <c r="Q4233" s="5" t="s">
        <v>355</v>
      </c>
    </row>
    <row r="4234" ht="16.5" customHeight="1">
      <c r="O4234" s="5" t="s">
        <v>355</v>
      </c>
      <c r="P4234" s="5" t="s">
        <v>355</v>
      </c>
      <c r="Q4234" s="5" t="s">
        <v>355</v>
      </c>
    </row>
    <row r="4235" ht="16.5" customHeight="1">
      <c r="O4235" s="5" t="s">
        <v>355</v>
      </c>
      <c r="P4235" s="5" t="s">
        <v>355</v>
      </c>
      <c r="Q4235" s="5" t="s">
        <v>355</v>
      </c>
    </row>
    <row r="4236" ht="16.5" customHeight="1">
      <c r="O4236" s="5" t="s">
        <v>355</v>
      </c>
      <c r="P4236" s="5" t="s">
        <v>355</v>
      </c>
      <c r="Q4236" s="5" t="s">
        <v>355</v>
      </c>
    </row>
    <row r="4237" ht="16.5" customHeight="1">
      <c r="O4237" s="5" t="s">
        <v>355</v>
      </c>
      <c r="P4237" s="5" t="s">
        <v>355</v>
      </c>
      <c r="Q4237" s="5" t="s">
        <v>355</v>
      </c>
    </row>
    <row r="4238" ht="16.5" customHeight="1">
      <c r="O4238" s="5" t="s">
        <v>355</v>
      </c>
      <c r="P4238" s="5" t="s">
        <v>355</v>
      </c>
      <c r="Q4238" s="5" t="s">
        <v>355</v>
      </c>
    </row>
    <row r="4239" ht="16.5" customHeight="1">
      <c r="O4239" s="5" t="s">
        <v>355</v>
      </c>
      <c r="P4239" s="5" t="s">
        <v>355</v>
      </c>
      <c r="Q4239" s="5" t="s">
        <v>355</v>
      </c>
    </row>
    <row r="4240" ht="16.5" customHeight="1">
      <c r="O4240" s="5" t="s">
        <v>355</v>
      </c>
      <c r="P4240" s="5" t="s">
        <v>355</v>
      </c>
      <c r="Q4240" s="5" t="s">
        <v>355</v>
      </c>
    </row>
    <row r="4241" ht="16.5" customHeight="1">
      <c r="O4241" s="5" t="s">
        <v>355</v>
      </c>
      <c r="P4241" s="5" t="s">
        <v>355</v>
      </c>
      <c r="Q4241" s="5" t="s">
        <v>355</v>
      </c>
    </row>
    <row r="4242" ht="16.5" customHeight="1">
      <c r="O4242" s="5" t="s">
        <v>355</v>
      </c>
      <c r="P4242" s="5" t="s">
        <v>355</v>
      </c>
      <c r="Q4242" s="5" t="s">
        <v>355</v>
      </c>
    </row>
    <row r="4243" ht="16.5" customHeight="1">
      <c r="O4243" s="5" t="s">
        <v>355</v>
      </c>
      <c r="P4243" s="5" t="s">
        <v>355</v>
      </c>
      <c r="Q4243" s="5" t="s">
        <v>355</v>
      </c>
    </row>
    <row r="4244" ht="16.5" customHeight="1">
      <c r="O4244" s="5" t="s">
        <v>355</v>
      </c>
      <c r="P4244" s="5" t="s">
        <v>355</v>
      </c>
      <c r="Q4244" s="5" t="s">
        <v>355</v>
      </c>
    </row>
    <row r="4245" ht="16.5" customHeight="1">
      <c r="O4245" s="5" t="s">
        <v>355</v>
      </c>
      <c r="P4245" s="5" t="s">
        <v>355</v>
      </c>
      <c r="Q4245" s="5" t="s">
        <v>355</v>
      </c>
    </row>
    <row r="4246" ht="16.5" customHeight="1">
      <c r="O4246" s="5" t="s">
        <v>355</v>
      </c>
      <c r="P4246" s="5" t="s">
        <v>355</v>
      </c>
      <c r="Q4246" s="5" t="s">
        <v>355</v>
      </c>
    </row>
    <row r="4247" ht="16.5" customHeight="1">
      <c r="O4247" s="5" t="s">
        <v>355</v>
      </c>
      <c r="P4247" s="5" t="s">
        <v>355</v>
      </c>
      <c r="Q4247" s="5" t="s">
        <v>355</v>
      </c>
    </row>
    <row r="4248" ht="16.5" customHeight="1">
      <c r="O4248" s="5" t="s">
        <v>355</v>
      </c>
      <c r="P4248" s="5" t="s">
        <v>355</v>
      </c>
      <c r="Q4248" s="5" t="s">
        <v>355</v>
      </c>
    </row>
    <row r="4249" ht="16.5" customHeight="1">
      <c r="O4249" s="5" t="s">
        <v>355</v>
      </c>
      <c r="P4249" s="5" t="s">
        <v>355</v>
      </c>
      <c r="Q4249" s="5" t="s">
        <v>355</v>
      </c>
    </row>
    <row r="4250" ht="16.5" customHeight="1">
      <c r="O4250" s="5" t="s">
        <v>355</v>
      </c>
      <c r="P4250" s="5" t="s">
        <v>355</v>
      </c>
      <c r="Q4250" s="5" t="s">
        <v>355</v>
      </c>
    </row>
    <row r="4251" ht="16.5" customHeight="1">
      <c r="O4251" s="5" t="s">
        <v>355</v>
      </c>
      <c r="P4251" s="5" t="s">
        <v>355</v>
      </c>
      <c r="Q4251" s="5" t="s">
        <v>355</v>
      </c>
    </row>
    <row r="4252" ht="16.5" customHeight="1">
      <c r="O4252" s="5" t="s">
        <v>355</v>
      </c>
      <c r="P4252" s="5" t="s">
        <v>355</v>
      </c>
      <c r="Q4252" s="5" t="s">
        <v>355</v>
      </c>
    </row>
    <row r="4253" ht="16.5" customHeight="1">
      <c r="O4253" s="5" t="s">
        <v>355</v>
      </c>
      <c r="P4253" s="5" t="s">
        <v>355</v>
      </c>
      <c r="Q4253" s="5" t="s">
        <v>355</v>
      </c>
    </row>
    <row r="4254" ht="16.5" customHeight="1">
      <c r="O4254" s="5" t="s">
        <v>355</v>
      </c>
      <c r="P4254" s="5" t="s">
        <v>355</v>
      </c>
      <c r="Q4254" s="5" t="s">
        <v>355</v>
      </c>
    </row>
    <row r="4255" ht="16.5" customHeight="1">
      <c r="O4255" s="5" t="s">
        <v>355</v>
      </c>
      <c r="P4255" s="5" t="s">
        <v>355</v>
      </c>
      <c r="Q4255" s="5" t="s">
        <v>355</v>
      </c>
    </row>
    <row r="4256" ht="16.5" customHeight="1">
      <c r="O4256" s="5" t="s">
        <v>355</v>
      </c>
      <c r="P4256" s="5" t="s">
        <v>355</v>
      </c>
      <c r="Q4256" s="5" t="s">
        <v>355</v>
      </c>
    </row>
    <row r="4257" ht="16.5" customHeight="1">
      <c r="O4257" s="5" t="s">
        <v>355</v>
      </c>
      <c r="P4257" s="5" t="s">
        <v>355</v>
      </c>
      <c r="Q4257" s="5" t="s">
        <v>355</v>
      </c>
    </row>
    <row r="4258" ht="16.5" customHeight="1">
      <c r="O4258" s="5" t="s">
        <v>355</v>
      </c>
      <c r="P4258" s="5" t="s">
        <v>355</v>
      </c>
      <c r="Q4258" s="5" t="s">
        <v>355</v>
      </c>
    </row>
    <row r="4259" ht="16.5" customHeight="1">
      <c r="O4259" s="5" t="s">
        <v>355</v>
      </c>
      <c r="P4259" s="5" t="s">
        <v>355</v>
      </c>
      <c r="Q4259" s="5" t="s">
        <v>355</v>
      </c>
    </row>
    <row r="4260" ht="16.5" customHeight="1">
      <c r="O4260" s="5" t="s">
        <v>355</v>
      </c>
      <c r="P4260" s="5" t="s">
        <v>355</v>
      </c>
      <c r="Q4260" s="5" t="s">
        <v>355</v>
      </c>
    </row>
    <row r="4261" ht="16.5" customHeight="1">
      <c r="O4261" s="5" t="s">
        <v>355</v>
      </c>
      <c r="P4261" s="5" t="s">
        <v>355</v>
      </c>
      <c r="Q4261" s="5" t="s">
        <v>355</v>
      </c>
    </row>
    <row r="4262" ht="16.5" customHeight="1">
      <c r="O4262" s="5" t="s">
        <v>355</v>
      </c>
      <c r="P4262" s="5" t="s">
        <v>355</v>
      </c>
      <c r="Q4262" s="5" t="s">
        <v>355</v>
      </c>
    </row>
    <row r="4263" ht="16.5" customHeight="1">
      <c r="O4263" s="5" t="s">
        <v>355</v>
      </c>
      <c r="P4263" s="5" t="s">
        <v>355</v>
      </c>
      <c r="Q4263" s="5" t="s">
        <v>355</v>
      </c>
    </row>
    <row r="4264" ht="16.5" customHeight="1">
      <c r="O4264" s="5" t="s">
        <v>355</v>
      </c>
      <c r="P4264" s="5" t="s">
        <v>355</v>
      </c>
      <c r="Q4264" s="5" t="s">
        <v>355</v>
      </c>
    </row>
    <row r="4265" ht="16.5" customHeight="1">
      <c r="O4265" s="5" t="s">
        <v>355</v>
      </c>
      <c r="P4265" s="5" t="s">
        <v>355</v>
      </c>
      <c r="Q4265" s="5" t="s">
        <v>355</v>
      </c>
    </row>
    <row r="4266" ht="16.5" customHeight="1">
      <c r="O4266" s="5" t="s">
        <v>355</v>
      </c>
      <c r="P4266" s="5" t="s">
        <v>355</v>
      </c>
      <c r="Q4266" s="5" t="s">
        <v>355</v>
      </c>
    </row>
    <row r="4267" ht="16.5" customHeight="1">
      <c r="O4267" s="5" t="s">
        <v>355</v>
      </c>
      <c r="P4267" s="5" t="s">
        <v>355</v>
      </c>
      <c r="Q4267" s="5" t="s">
        <v>355</v>
      </c>
    </row>
    <row r="4268" ht="16.5" customHeight="1">
      <c r="O4268" s="5" t="s">
        <v>355</v>
      </c>
      <c r="P4268" s="5" t="s">
        <v>355</v>
      </c>
      <c r="Q4268" s="5" t="s">
        <v>355</v>
      </c>
    </row>
    <row r="4269" ht="16.5" customHeight="1">
      <c r="O4269" s="5" t="s">
        <v>355</v>
      </c>
      <c r="P4269" s="5" t="s">
        <v>355</v>
      </c>
      <c r="Q4269" s="5" t="s">
        <v>355</v>
      </c>
    </row>
    <row r="4270" ht="16.5" customHeight="1">
      <c r="O4270" s="5" t="s">
        <v>355</v>
      </c>
      <c r="P4270" s="5" t="s">
        <v>355</v>
      </c>
      <c r="Q4270" s="5" t="s">
        <v>355</v>
      </c>
    </row>
    <row r="4271" ht="16.5" customHeight="1">
      <c r="O4271" s="5" t="s">
        <v>355</v>
      </c>
      <c r="P4271" s="5" t="s">
        <v>355</v>
      </c>
      <c r="Q4271" s="5" t="s">
        <v>355</v>
      </c>
    </row>
    <row r="4272" ht="16.5" customHeight="1">
      <c r="O4272" s="5" t="s">
        <v>355</v>
      </c>
      <c r="P4272" s="5" t="s">
        <v>355</v>
      </c>
      <c r="Q4272" s="5" t="s">
        <v>355</v>
      </c>
    </row>
    <row r="4273" ht="16.5" customHeight="1">
      <c r="O4273" s="5" t="s">
        <v>355</v>
      </c>
      <c r="P4273" s="5" t="s">
        <v>355</v>
      </c>
      <c r="Q4273" s="5" t="s">
        <v>355</v>
      </c>
    </row>
    <row r="4274" ht="16.5" customHeight="1">
      <c r="O4274" s="5" t="s">
        <v>355</v>
      </c>
      <c r="P4274" s="5" t="s">
        <v>355</v>
      </c>
      <c r="Q4274" s="5" t="s">
        <v>355</v>
      </c>
    </row>
    <row r="4275" ht="16.5" customHeight="1">
      <c r="O4275" s="5" t="s">
        <v>355</v>
      </c>
      <c r="P4275" s="5" t="s">
        <v>355</v>
      </c>
      <c r="Q4275" s="5" t="s">
        <v>355</v>
      </c>
    </row>
    <row r="4276" ht="16.5" customHeight="1">
      <c r="O4276" s="5" t="s">
        <v>355</v>
      </c>
      <c r="P4276" s="5" t="s">
        <v>355</v>
      </c>
      <c r="Q4276" s="5" t="s">
        <v>355</v>
      </c>
    </row>
    <row r="4277" ht="16.5" customHeight="1">
      <c r="O4277" s="5" t="s">
        <v>355</v>
      </c>
      <c r="P4277" s="5" t="s">
        <v>355</v>
      </c>
      <c r="Q4277" s="5" t="s">
        <v>355</v>
      </c>
    </row>
    <row r="4278" ht="16.5" customHeight="1">
      <c r="O4278" s="5" t="s">
        <v>355</v>
      </c>
      <c r="P4278" s="5" t="s">
        <v>355</v>
      </c>
      <c r="Q4278" s="5" t="s">
        <v>355</v>
      </c>
    </row>
    <row r="4279" ht="16.5" customHeight="1">
      <c r="O4279" s="5" t="s">
        <v>355</v>
      </c>
      <c r="P4279" s="5" t="s">
        <v>355</v>
      </c>
      <c r="Q4279" s="5" t="s">
        <v>355</v>
      </c>
    </row>
    <row r="4280" ht="16.5" customHeight="1">
      <c r="O4280" s="5" t="s">
        <v>355</v>
      </c>
      <c r="P4280" s="5" t="s">
        <v>355</v>
      </c>
      <c r="Q4280" s="5" t="s">
        <v>355</v>
      </c>
    </row>
    <row r="4281" ht="16.5" customHeight="1">
      <c r="O4281" s="5" t="s">
        <v>355</v>
      </c>
      <c r="P4281" s="5" t="s">
        <v>355</v>
      </c>
      <c r="Q4281" s="5" t="s">
        <v>355</v>
      </c>
    </row>
    <row r="4282" ht="16.5" customHeight="1">
      <c r="O4282" s="5" t="s">
        <v>355</v>
      </c>
      <c r="P4282" s="5" t="s">
        <v>355</v>
      </c>
      <c r="Q4282" s="5" t="s">
        <v>355</v>
      </c>
    </row>
    <row r="4283" ht="16.5" customHeight="1">
      <c r="O4283" s="5" t="s">
        <v>355</v>
      </c>
      <c r="P4283" s="5" t="s">
        <v>355</v>
      </c>
      <c r="Q4283" s="5" t="s">
        <v>355</v>
      </c>
    </row>
    <row r="4284" ht="16.5" customHeight="1">
      <c r="O4284" s="5" t="s">
        <v>355</v>
      </c>
      <c r="P4284" s="5" t="s">
        <v>355</v>
      </c>
      <c r="Q4284" s="5" t="s">
        <v>355</v>
      </c>
    </row>
    <row r="4285" ht="16.5" customHeight="1">
      <c r="O4285" s="5" t="s">
        <v>355</v>
      </c>
      <c r="P4285" s="5" t="s">
        <v>355</v>
      </c>
      <c r="Q4285" s="5" t="s">
        <v>355</v>
      </c>
    </row>
    <row r="4286" ht="16.5" customHeight="1">
      <c r="O4286" s="5" t="s">
        <v>355</v>
      </c>
      <c r="P4286" s="5" t="s">
        <v>355</v>
      </c>
      <c r="Q4286" s="5" t="s">
        <v>355</v>
      </c>
    </row>
    <row r="4287" ht="16.5" customHeight="1">
      <c r="O4287" s="5" t="s">
        <v>355</v>
      </c>
      <c r="P4287" s="5" t="s">
        <v>355</v>
      </c>
      <c r="Q4287" s="5" t="s">
        <v>355</v>
      </c>
    </row>
    <row r="4288" ht="16.5" customHeight="1">
      <c r="O4288" s="5" t="s">
        <v>355</v>
      </c>
      <c r="P4288" s="5" t="s">
        <v>355</v>
      </c>
      <c r="Q4288" s="5" t="s">
        <v>355</v>
      </c>
    </row>
    <row r="4289" ht="16.5" customHeight="1">
      <c r="O4289" s="5" t="s">
        <v>355</v>
      </c>
      <c r="P4289" s="5" t="s">
        <v>355</v>
      </c>
      <c r="Q4289" s="5" t="s">
        <v>355</v>
      </c>
    </row>
    <row r="4290" ht="16.5" customHeight="1">
      <c r="O4290" s="5" t="s">
        <v>355</v>
      </c>
      <c r="P4290" s="5" t="s">
        <v>355</v>
      </c>
      <c r="Q4290" s="5" t="s">
        <v>355</v>
      </c>
    </row>
    <row r="4291" ht="16.5" customHeight="1">
      <c r="O4291" s="5" t="s">
        <v>355</v>
      </c>
      <c r="P4291" s="5" t="s">
        <v>355</v>
      </c>
      <c r="Q4291" s="5" t="s">
        <v>355</v>
      </c>
    </row>
    <row r="4292" ht="16.5" customHeight="1">
      <c r="O4292" s="5" t="s">
        <v>355</v>
      </c>
      <c r="P4292" s="5" t="s">
        <v>355</v>
      </c>
      <c r="Q4292" s="5" t="s">
        <v>355</v>
      </c>
    </row>
    <row r="4293" ht="16.5" customHeight="1">
      <c r="O4293" s="5" t="s">
        <v>355</v>
      </c>
      <c r="P4293" s="5" t="s">
        <v>355</v>
      </c>
      <c r="Q4293" s="5" t="s">
        <v>355</v>
      </c>
    </row>
    <row r="4294" ht="16.5" customHeight="1">
      <c r="O4294" s="5" t="s">
        <v>355</v>
      </c>
      <c r="P4294" s="5" t="s">
        <v>355</v>
      </c>
      <c r="Q4294" s="5" t="s">
        <v>355</v>
      </c>
    </row>
    <row r="4295" ht="16.5" customHeight="1">
      <c r="O4295" s="5" t="s">
        <v>355</v>
      </c>
      <c r="P4295" s="5" t="s">
        <v>355</v>
      </c>
      <c r="Q4295" s="5" t="s">
        <v>355</v>
      </c>
    </row>
    <row r="4296" ht="16.5" customHeight="1">
      <c r="O4296" s="5" t="s">
        <v>355</v>
      </c>
      <c r="P4296" s="5" t="s">
        <v>355</v>
      </c>
      <c r="Q4296" s="5" t="s">
        <v>355</v>
      </c>
    </row>
    <row r="4297" ht="16.5" customHeight="1">
      <c r="O4297" s="5" t="s">
        <v>355</v>
      </c>
      <c r="P4297" s="5" t="s">
        <v>355</v>
      </c>
      <c r="Q4297" s="5" t="s">
        <v>355</v>
      </c>
    </row>
    <row r="4298" ht="16.5" customHeight="1">
      <c r="O4298" s="5" t="s">
        <v>355</v>
      </c>
      <c r="P4298" s="5" t="s">
        <v>355</v>
      </c>
      <c r="Q4298" s="5" t="s">
        <v>355</v>
      </c>
    </row>
    <row r="4299" ht="16.5" customHeight="1">
      <c r="O4299" s="5" t="s">
        <v>355</v>
      </c>
      <c r="P4299" s="5" t="s">
        <v>355</v>
      </c>
      <c r="Q4299" s="5" t="s">
        <v>355</v>
      </c>
    </row>
    <row r="4300" ht="16.5" customHeight="1">
      <c r="O4300" s="5" t="s">
        <v>355</v>
      </c>
      <c r="P4300" s="5" t="s">
        <v>355</v>
      </c>
      <c r="Q4300" s="5" t="s">
        <v>355</v>
      </c>
    </row>
    <row r="4301" ht="16.5" customHeight="1">
      <c r="O4301" s="5" t="s">
        <v>355</v>
      </c>
      <c r="P4301" s="5" t="s">
        <v>355</v>
      </c>
      <c r="Q4301" s="5" t="s">
        <v>355</v>
      </c>
    </row>
    <row r="4302" ht="16.5" customHeight="1">
      <c r="O4302" s="5" t="s">
        <v>355</v>
      </c>
      <c r="P4302" s="5" t="s">
        <v>355</v>
      </c>
      <c r="Q4302" s="5" t="s">
        <v>355</v>
      </c>
    </row>
    <row r="4303" ht="16.5" customHeight="1">
      <c r="O4303" s="5" t="s">
        <v>355</v>
      </c>
      <c r="P4303" s="5" t="s">
        <v>355</v>
      </c>
      <c r="Q4303" s="5" t="s">
        <v>355</v>
      </c>
    </row>
    <row r="4304" ht="16.5" customHeight="1">
      <c r="O4304" s="5" t="s">
        <v>355</v>
      </c>
      <c r="P4304" s="5" t="s">
        <v>355</v>
      </c>
      <c r="Q4304" s="5" t="s">
        <v>355</v>
      </c>
    </row>
    <row r="4305" ht="16.5" customHeight="1">
      <c r="O4305" s="5" t="s">
        <v>355</v>
      </c>
      <c r="P4305" s="5" t="s">
        <v>355</v>
      </c>
      <c r="Q4305" s="5" t="s">
        <v>355</v>
      </c>
    </row>
    <row r="4306" ht="16.5" customHeight="1">
      <c r="O4306" s="5" t="s">
        <v>355</v>
      </c>
      <c r="P4306" s="5" t="s">
        <v>355</v>
      </c>
      <c r="Q4306" s="5" t="s">
        <v>355</v>
      </c>
    </row>
    <row r="4307" ht="16.5" customHeight="1">
      <c r="O4307" s="5" t="s">
        <v>355</v>
      </c>
      <c r="P4307" s="5" t="s">
        <v>355</v>
      </c>
      <c r="Q4307" s="5" t="s">
        <v>355</v>
      </c>
    </row>
    <row r="4308" ht="16.5" customHeight="1">
      <c r="O4308" s="5" t="s">
        <v>355</v>
      </c>
      <c r="P4308" s="5" t="s">
        <v>355</v>
      </c>
      <c r="Q4308" s="5" t="s">
        <v>355</v>
      </c>
    </row>
    <row r="4309" ht="16.5" customHeight="1">
      <c r="O4309" s="5" t="s">
        <v>355</v>
      </c>
      <c r="P4309" s="5" t="s">
        <v>355</v>
      </c>
      <c r="Q4309" s="5" t="s">
        <v>355</v>
      </c>
    </row>
    <row r="4310" ht="16.5" customHeight="1">
      <c r="O4310" s="5" t="s">
        <v>355</v>
      </c>
      <c r="P4310" s="5" t="s">
        <v>355</v>
      </c>
      <c r="Q4310" s="5" t="s">
        <v>355</v>
      </c>
    </row>
    <row r="4311" ht="16.5" customHeight="1">
      <c r="O4311" s="5" t="s">
        <v>355</v>
      </c>
      <c r="P4311" s="5" t="s">
        <v>355</v>
      </c>
      <c r="Q4311" s="5" t="s">
        <v>355</v>
      </c>
    </row>
    <row r="4312" ht="16.5" customHeight="1">
      <c r="O4312" s="5" t="s">
        <v>355</v>
      </c>
      <c r="P4312" s="5" t="s">
        <v>355</v>
      </c>
      <c r="Q4312" s="5" t="s">
        <v>355</v>
      </c>
    </row>
    <row r="4313" ht="16.5" customHeight="1">
      <c r="O4313" s="5" t="s">
        <v>355</v>
      </c>
      <c r="P4313" s="5" t="s">
        <v>355</v>
      </c>
      <c r="Q4313" s="5" t="s">
        <v>355</v>
      </c>
    </row>
    <row r="4314" ht="16.5" customHeight="1">
      <c r="O4314" s="5" t="s">
        <v>355</v>
      </c>
      <c r="P4314" s="5" t="s">
        <v>355</v>
      </c>
      <c r="Q4314" s="5" t="s">
        <v>355</v>
      </c>
    </row>
    <row r="4315" ht="16.5" customHeight="1">
      <c r="O4315" s="5" t="s">
        <v>355</v>
      </c>
      <c r="P4315" s="5" t="s">
        <v>355</v>
      </c>
      <c r="Q4315" s="5" t="s">
        <v>355</v>
      </c>
    </row>
    <row r="4316" ht="16.5" customHeight="1">
      <c r="O4316" s="5" t="s">
        <v>355</v>
      </c>
      <c r="P4316" s="5" t="s">
        <v>355</v>
      </c>
      <c r="Q4316" s="5" t="s">
        <v>355</v>
      </c>
    </row>
    <row r="4317" ht="16.5" customHeight="1">
      <c r="O4317" s="5" t="s">
        <v>355</v>
      </c>
      <c r="P4317" s="5" t="s">
        <v>355</v>
      </c>
      <c r="Q4317" s="5" t="s">
        <v>355</v>
      </c>
    </row>
    <row r="4318" ht="16.5" customHeight="1">
      <c r="O4318" s="5" t="s">
        <v>355</v>
      </c>
      <c r="P4318" s="5" t="s">
        <v>355</v>
      </c>
      <c r="Q4318" s="5" t="s">
        <v>355</v>
      </c>
    </row>
    <row r="4319" ht="16.5" customHeight="1">
      <c r="O4319" s="5" t="s">
        <v>355</v>
      </c>
      <c r="P4319" s="5" t="s">
        <v>355</v>
      </c>
      <c r="Q4319" s="5" t="s">
        <v>355</v>
      </c>
    </row>
    <row r="4320" ht="16.5" customHeight="1">
      <c r="O4320" s="5" t="s">
        <v>355</v>
      </c>
      <c r="P4320" s="5" t="s">
        <v>355</v>
      </c>
      <c r="Q4320" s="5" t="s">
        <v>355</v>
      </c>
    </row>
    <row r="4321" ht="16.5" customHeight="1">
      <c r="O4321" s="5" t="s">
        <v>355</v>
      </c>
      <c r="P4321" s="5" t="s">
        <v>355</v>
      </c>
      <c r="Q4321" s="5" t="s">
        <v>355</v>
      </c>
    </row>
    <row r="4322" ht="16.5" customHeight="1">
      <c r="O4322" s="5" t="s">
        <v>355</v>
      </c>
      <c r="P4322" s="5" t="s">
        <v>355</v>
      </c>
      <c r="Q4322" s="5" t="s">
        <v>355</v>
      </c>
    </row>
    <row r="4323" ht="16.5" customHeight="1">
      <c r="O4323" s="5" t="s">
        <v>355</v>
      </c>
      <c r="P4323" s="5" t="s">
        <v>355</v>
      </c>
      <c r="Q4323" s="5" t="s">
        <v>355</v>
      </c>
    </row>
    <row r="4324" ht="16.5" customHeight="1">
      <c r="O4324" s="5" t="s">
        <v>355</v>
      </c>
      <c r="P4324" s="5" t="s">
        <v>355</v>
      </c>
      <c r="Q4324" s="5" t="s">
        <v>355</v>
      </c>
    </row>
    <row r="4325" ht="16.5" customHeight="1">
      <c r="O4325" s="5" t="s">
        <v>355</v>
      </c>
      <c r="P4325" s="5" t="s">
        <v>355</v>
      </c>
      <c r="Q4325" s="5" t="s">
        <v>355</v>
      </c>
    </row>
    <row r="4326" ht="16.5" customHeight="1">
      <c r="O4326" s="5" t="s">
        <v>355</v>
      </c>
      <c r="P4326" s="5" t="s">
        <v>355</v>
      </c>
      <c r="Q4326" s="5" t="s">
        <v>355</v>
      </c>
    </row>
    <row r="4327" ht="16.5" customHeight="1">
      <c r="O4327" s="5" t="s">
        <v>355</v>
      </c>
      <c r="P4327" s="5" t="s">
        <v>355</v>
      </c>
      <c r="Q4327" s="5" t="s">
        <v>355</v>
      </c>
    </row>
    <row r="4328" ht="16.5" customHeight="1">
      <c r="O4328" s="5" t="s">
        <v>355</v>
      </c>
      <c r="P4328" s="5" t="s">
        <v>355</v>
      </c>
      <c r="Q4328" s="5" t="s">
        <v>355</v>
      </c>
    </row>
    <row r="4329" ht="16.5" customHeight="1">
      <c r="O4329" s="5" t="s">
        <v>355</v>
      </c>
      <c r="P4329" s="5" t="s">
        <v>355</v>
      </c>
      <c r="Q4329" s="5" t="s">
        <v>355</v>
      </c>
    </row>
    <row r="4330" ht="16.5" customHeight="1">
      <c r="O4330" s="5" t="s">
        <v>355</v>
      </c>
      <c r="P4330" s="5" t="s">
        <v>355</v>
      </c>
      <c r="Q4330" s="5" t="s">
        <v>355</v>
      </c>
    </row>
    <row r="4331" ht="16.5" customHeight="1">
      <c r="O4331" s="5" t="s">
        <v>355</v>
      </c>
      <c r="P4331" s="5" t="s">
        <v>355</v>
      </c>
      <c r="Q4331" s="5" t="s">
        <v>355</v>
      </c>
    </row>
    <row r="4332" ht="16.5" customHeight="1">
      <c r="O4332" s="5" t="s">
        <v>355</v>
      </c>
      <c r="P4332" s="5" t="s">
        <v>355</v>
      </c>
      <c r="Q4332" s="5" t="s">
        <v>355</v>
      </c>
    </row>
    <row r="4333" ht="16.5" customHeight="1">
      <c r="O4333" s="5" t="s">
        <v>355</v>
      </c>
      <c r="P4333" s="5" t="s">
        <v>355</v>
      </c>
      <c r="Q4333" s="5" t="s">
        <v>355</v>
      </c>
    </row>
    <row r="4334" ht="16.5" customHeight="1">
      <c r="O4334" s="5" t="s">
        <v>355</v>
      </c>
      <c r="P4334" s="5" t="s">
        <v>355</v>
      </c>
      <c r="Q4334" s="5" t="s">
        <v>355</v>
      </c>
    </row>
    <row r="4335" ht="16.5" customHeight="1">
      <c r="O4335" s="5" t="s">
        <v>355</v>
      </c>
      <c r="P4335" s="5" t="s">
        <v>355</v>
      </c>
      <c r="Q4335" s="5" t="s">
        <v>355</v>
      </c>
    </row>
    <row r="4336" ht="16.5" customHeight="1">
      <c r="O4336" s="5" t="s">
        <v>355</v>
      </c>
      <c r="P4336" s="5" t="s">
        <v>355</v>
      </c>
      <c r="Q4336" s="5" t="s">
        <v>355</v>
      </c>
    </row>
    <row r="4337" ht="16.5" customHeight="1">
      <c r="O4337" s="5" t="s">
        <v>355</v>
      </c>
      <c r="P4337" s="5" t="s">
        <v>355</v>
      </c>
      <c r="Q4337" s="5" t="s">
        <v>355</v>
      </c>
    </row>
    <row r="4338" ht="16.5" customHeight="1">
      <c r="O4338" s="5" t="s">
        <v>355</v>
      </c>
      <c r="P4338" s="5" t="s">
        <v>355</v>
      </c>
      <c r="Q4338" s="5" t="s">
        <v>355</v>
      </c>
    </row>
    <row r="4339" ht="16.5" customHeight="1">
      <c r="O4339" s="5" t="s">
        <v>355</v>
      </c>
      <c r="P4339" s="5" t="s">
        <v>355</v>
      </c>
      <c r="Q4339" s="5" t="s">
        <v>355</v>
      </c>
    </row>
    <row r="4340" ht="16.5" customHeight="1">
      <c r="O4340" s="5" t="s">
        <v>355</v>
      </c>
      <c r="P4340" s="5" t="s">
        <v>355</v>
      </c>
      <c r="Q4340" s="5" t="s">
        <v>355</v>
      </c>
    </row>
    <row r="4341" ht="16.5" customHeight="1">
      <c r="O4341" s="5" t="s">
        <v>355</v>
      </c>
      <c r="P4341" s="5" t="s">
        <v>355</v>
      </c>
      <c r="Q4341" s="5" t="s">
        <v>355</v>
      </c>
    </row>
    <row r="4342" ht="16.5" customHeight="1">
      <c r="O4342" s="5" t="s">
        <v>355</v>
      </c>
      <c r="P4342" s="5" t="s">
        <v>355</v>
      </c>
      <c r="Q4342" s="5" t="s">
        <v>355</v>
      </c>
    </row>
    <row r="4343" ht="16.5" customHeight="1">
      <c r="O4343" s="5" t="s">
        <v>355</v>
      </c>
      <c r="P4343" s="5" t="s">
        <v>355</v>
      </c>
      <c r="Q4343" s="5" t="s">
        <v>355</v>
      </c>
    </row>
    <row r="4344" ht="16.5" customHeight="1">
      <c r="O4344" s="5" t="s">
        <v>355</v>
      </c>
      <c r="P4344" s="5" t="s">
        <v>355</v>
      </c>
      <c r="Q4344" s="5" t="s">
        <v>355</v>
      </c>
    </row>
    <row r="4345" ht="16.5" customHeight="1">
      <c r="O4345" s="5" t="s">
        <v>355</v>
      </c>
      <c r="P4345" s="5" t="s">
        <v>355</v>
      </c>
      <c r="Q4345" s="5" t="s">
        <v>355</v>
      </c>
    </row>
    <row r="4346" ht="16.5" customHeight="1">
      <c r="O4346" s="5" t="s">
        <v>355</v>
      </c>
      <c r="P4346" s="5" t="s">
        <v>355</v>
      </c>
      <c r="Q4346" s="5" t="s">
        <v>355</v>
      </c>
    </row>
    <row r="4347" ht="16.5" customHeight="1">
      <c r="O4347" s="5" t="s">
        <v>355</v>
      </c>
      <c r="P4347" s="5" t="s">
        <v>355</v>
      </c>
      <c r="Q4347" s="5" t="s">
        <v>355</v>
      </c>
    </row>
    <row r="4348" ht="16.5" customHeight="1">
      <c r="O4348" s="5" t="s">
        <v>355</v>
      </c>
      <c r="P4348" s="5" t="s">
        <v>355</v>
      </c>
      <c r="Q4348" s="5" t="s">
        <v>355</v>
      </c>
    </row>
    <row r="4349" ht="16.5" customHeight="1">
      <c r="O4349" s="5" t="s">
        <v>355</v>
      </c>
      <c r="P4349" s="5" t="s">
        <v>355</v>
      </c>
      <c r="Q4349" s="5" t="s">
        <v>355</v>
      </c>
    </row>
    <row r="4350" ht="16.5" customHeight="1">
      <c r="O4350" s="5" t="s">
        <v>355</v>
      </c>
      <c r="P4350" s="5" t="s">
        <v>355</v>
      </c>
      <c r="Q4350" s="5" t="s">
        <v>355</v>
      </c>
    </row>
    <row r="4351" ht="16.5" customHeight="1">
      <c r="O4351" s="5" t="s">
        <v>355</v>
      </c>
      <c r="P4351" s="5" t="s">
        <v>355</v>
      </c>
      <c r="Q4351" s="5" t="s">
        <v>355</v>
      </c>
    </row>
    <row r="4352" ht="16.5" customHeight="1">
      <c r="O4352" s="5" t="s">
        <v>355</v>
      </c>
      <c r="P4352" s="5" t="s">
        <v>355</v>
      </c>
      <c r="Q4352" s="5" t="s">
        <v>355</v>
      </c>
    </row>
    <row r="4353" ht="16.5" customHeight="1">
      <c r="O4353" s="5" t="s">
        <v>355</v>
      </c>
      <c r="P4353" s="5" t="s">
        <v>355</v>
      </c>
      <c r="Q4353" s="5" t="s">
        <v>355</v>
      </c>
    </row>
    <row r="4354" ht="16.5" customHeight="1">
      <c r="O4354" s="5" t="s">
        <v>355</v>
      </c>
      <c r="P4354" s="5" t="s">
        <v>355</v>
      </c>
      <c r="Q4354" s="5" t="s">
        <v>355</v>
      </c>
    </row>
    <row r="4355" ht="16.5" customHeight="1">
      <c r="O4355" s="5" t="s">
        <v>355</v>
      </c>
      <c r="P4355" s="5" t="s">
        <v>355</v>
      </c>
      <c r="Q4355" s="5" t="s">
        <v>355</v>
      </c>
    </row>
    <row r="4356" ht="16.5" customHeight="1">
      <c r="O4356" s="5" t="s">
        <v>355</v>
      </c>
      <c r="P4356" s="5" t="s">
        <v>355</v>
      </c>
      <c r="Q4356" s="5" t="s">
        <v>355</v>
      </c>
    </row>
    <row r="4357" ht="16.5" customHeight="1">
      <c r="O4357" s="5" t="s">
        <v>355</v>
      </c>
      <c r="P4357" s="5" t="s">
        <v>355</v>
      </c>
      <c r="Q4357" s="5" t="s">
        <v>355</v>
      </c>
    </row>
    <row r="4358" ht="16.5" customHeight="1">
      <c r="O4358" s="5" t="s">
        <v>355</v>
      </c>
      <c r="P4358" s="5" t="s">
        <v>355</v>
      </c>
      <c r="Q4358" s="5" t="s">
        <v>355</v>
      </c>
    </row>
    <row r="4359" ht="16.5" customHeight="1">
      <c r="O4359" s="5" t="s">
        <v>355</v>
      </c>
      <c r="P4359" s="5" t="s">
        <v>355</v>
      </c>
      <c r="Q4359" s="5" t="s">
        <v>355</v>
      </c>
    </row>
    <row r="4360" ht="16.5" customHeight="1">
      <c r="O4360" s="5" t="s">
        <v>355</v>
      </c>
      <c r="P4360" s="5" t="s">
        <v>355</v>
      </c>
      <c r="Q4360" s="5" t="s">
        <v>355</v>
      </c>
    </row>
    <row r="4361" ht="16.5" customHeight="1">
      <c r="O4361" s="5" t="s">
        <v>355</v>
      </c>
      <c r="P4361" s="5" t="s">
        <v>355</v>
      </c>
      <c r="Q4361" s="5" t="s">
        <v>355</v>
      </c>
    </row>
    <row r="4362" ht="16.5" customHeight="1">
      <c r="O4362" s="5" t="s">
        <v>355</v>
      </c>
      <c r="P4362" s="5" t="s">
        <v>355</v>
      </c>
      <c r="Q4362" s="5" t="s">
        <v>355</v>
      </c>
    </row>
    <row r="4363" ht="16.5" customHeight="1">
      <c r="O4363" s="5" t="s">
        <v>355</v>
      </c>
      <c r="P4363" s="5" t="s">
        <v>355</v>
      </c>
      <c r="Q4363" s="5" t="s">
        <v>355</v>
      </c>
    </row>
    <row r="4364" ht="16.5" customHeight="1">
      <c r="O4364" s="5" t="s">
        <v>355</v>
      </c>
      <c r="P4364" s="5" t="s">
        <v>355</v>
      </c>
      <c r="Q4364" s="5" t="s">
        <v>355</v>
      </c>
    </row>
    <row r="4365" ht="16.5" customHeight="1">
      <c r="O4365" s="5" t="s">
        <v>355</v>
      </c>
      <c r="P4365" s="5" t="s">
        <v>355</v>
      </c>
      <c r="Q4365" s="5" t="s">
        <v>355</v>
      </c>
    </row>
    <row r="4366" ht="16.5" customHeight="1">
      <c r="O4366" s="5" t="s">
        <v>355</v>
      </c>
      <c r="P4366" s="5" t="s">
        <v>355</v>
      </c>
      <c r="Q4366" s="5" t="s">
        <v>355</v>
      </c>
    </row>
    <row r="4367" ht="16.5" customHeight="1">
      <c r="O4367" s="5" t="s">
        <v>355</v>
      </c>
      <c r="P4367" s="5" t="s">
        <v>355</v>
      </c>
      <c r="Q4367" s="5" t="s">
        <v>355</v>
      </c>
    </row>
    <row r="4368" ht="16.5" customHeight="1">
      <c r="O4368" s="5" t="s">
        <v>355</v>
      </c>
      <c r="P4368" s="5" t="s">
        <v>355</v>
      </c>
      <c r="Q4368" s="5" t="s">
        <v>355</v>
      </c>
    </row>
    <row r="4369" ht="16.5" customHeight="1">
      <c r="O4369" s="5" t="s">
        <v>355</v>
      </c>
      <c r="P4369" s="5" t="s">
        <v>355</v>
      </c>
      <c r="Q4369" s="5" t="s">
        <v>355</v>
      </c>
    </row>
    <row r="4370" ht="16.5" customHeight="1">
      <c r="O4370" s="5" t="s">
        <v>355</v>
      </c>
      <c r="P4370" s="5" t="s">
        <v>355</v>
      </c>
      <c r="Q4370" s="5" t="s">
        <v>355</v>
      </c>
    </row>
    <row r="4371" ht="16.5" customHeight="1">
      <c r="O4371" s="5" t="s">
        <v>355</v>
      </c>
      <c r="P4371" s="5" t="s">
        <v>355</v>
      </c>
      <c r="Q4371" s="5" t="s">
        <v>355</v>
      </c>
    </row>
    <row r="4372" ht="16.5" customHeight="1">
      <c r="O4372" s="5" t="s">
        <v>355</v>
      </c>
      <c r="P4372" s="5" t="s">
        <v>355</v>
      </c>
      <c r="Q4372" s="5" t="s">
        <v>355</v>
      </c>
    </row>
    <row r="4373" ht="16.5" customHeight="1">
      <c r="O4373" s="5" t="s">
        <v>355</v>
      </c>
      <c r="P4373" s="5" t="s">
        <v>355</v>
      </c>
      <c r="Q4373" s="5" t="s">
        <v>355</v>
      </c>
    </row>
    <row r="4374" ht="16.5" customHeight="1">
      <c r="O4374" s="5" t="s">
        <v>355</v>
      </c>
      <c r="P4374" s="5" t="s">
        <v>355</v>
      </c>
      <c r="Q4374" s="5" t="s">
        <v>355</v>
      </c>
    </row>
    <row r="4375" ht="16.5" customHeight="1">
      <c r="O4375" s="5" t="s">
        <v>355</v>
      </c>
      <c r="P4375" s="5" t="s">
        <v>355</v>
      </c>
      <c r="Q4375" s="5" t="s">
        <v>355</v>
      </c>
    </row>
    <row r="4376" ht="16.5" customHeight="1">
      <c r="O4376" s="5" t="s">
        <v>355</v>
      </c>
      <c r="P4376" s="5" t="s">
        <v>355</v>
      </c>
      <c r="Q4376" s="5" t="s">
        <v>355</v>
      </c>
    </row>
    <row r="4377" ht="16.5" customHeight="1">
      <c r="O4377" s="5" t="s">
        <v>355</v>
      </c>
      <c r="P4377" s="5" t="s">
        <v>355</v>
      </c>
      <c r="Q4377" s="5" t="s">
        <v>355</v>
      </c>
    </row>
    <row r="4378" ht="16.5" customHeight="1">
      <c r="O4378" s="5" t="s">
        <v>355</v>
      </c>
      <c r="P4378" s="5" t="s">
        <v>355</v>
      </c>
      <c r="Q4378" s="5" t="s">
        <v>355</v>
      </c>
    </row>
    <row r="4379" ht="16.5" customHeight="1">
      <c r="O4379" s="5" t="s">
        <v>355</v>
      </c>
      <c r="P4379" s="5" t="s">
        <v>355</v>
      </c>
      <c r="Q4379" s="5" t="s">
        <v>355</v>
      </c>
    </row>
    <row r="4380" ht="16.5" customHeight="1">
      <c r="O4380" s="5" t="s">
        <v>355</v>
      </c>
      <c r="P4380" s="5" t="s">
        <v>355</v>
      </c>
      <c r="Q4380" s="5" t="s">
        <v>355</v>
      </c>
    </row>
    <row r="4381" ht="16.5" customHeight="1">
      <c r="O4381" s="5" t="s">
        <v>355</v>
      </c>
      <c r="P4381" s="5" t="s">
        <v>355</v>
      </c>
      <c r="Q4381" s="5" t="s">
        <v>355</v>
      </c>
    </row>
    <row r="4382" ht="16.5" customHeight="1">
      <c r="O4382" s="5" t="s">
        <v>355</v>
      </c>
      <c r="P4382" s="5" t="s">
        <v>355</v>
      </c>
      <c r="Q4382" s="5" t="s">
        <v>355</v>
      </c>
    </row>
    <row r="4383" ht="16.5" customHeight="1">
      <c r="O4383" s="5" t="s">
        <v>355</v>
      </c>
      <c r="P4383" s="5" t="s">
        <v>355</v>
      </c>
      <c r="Q4383" s="5" t="s">
        <v>355</v>
      </c>
    </row>
    <row r="4384" ht="16.5" customHeight="1">
      <c r="O4384" s="5" t="s">
        <v>355</v>
      </c>
      <c r="P4384" s="5" t="s">
        <v>355</v>
      </c>
      <c r="Q4384" s="5" t="s">
        <v>355</v>
      </c>
    </row>
    <row r="4385" ht="16.5" customHeight="1">
      <c r="O4385" s="5" t="s">
        <v>355</v>
      </c>
      <c r="P4385" s="5" t="s">
        <v>355</v>
      </c>
      <c r="Q4385" s="5" t="s">
        <v>355</v>
      </c>
    </row>
    <row r="4386" ht="16.5" customHeight="1">
      <c r="O4386" s="5" t="s">
        <v>355</v>
      </c>
      <c r="P4386" s="5" t="s">
        <v>355</v>
      </c>
      <c r="Q4386" s="5" t="s">
        <v>355</v>
      </c>
    </row>
    <row r="4387" ht="16.5" customHeight="1">
      <c r="O4387" s="5" t="s">
        <v>355</v>
      </c>
      <c r="P4387" s="5" t="s">
        <v>355</v>
      </c>
      <c r="Q4387" s="5" t="s">
        <v>355</v>
      </c>
    </row>
    <row r="4388" ht="16.5" customHeight="1">
      <c r="O4388" s="5" t="s">
        <v>355</v>
      </c>
      <c r="P4388" s="5" t="s">
        <v>355</v>
      </c>
      <c r="Q4388" s="5" t="s">
        <v>355</v>
      </c>
    </row>
    <row r="4389" ht="16.5" customHeight="1">
      <c r="O4389" s="5" t="s">
        <v>355</v>
      </c>
      <c r="P4389" s="5" t="s">
        <v>355</v>
      </c>
      <c r="Q4389" s="5" t="s">
        <v>355</v>
      </c>
    </row>
    <row r="4390" ht="16.5" customHeight="1">
      <c r="O4390" s="5" t="s">
        <v>355</v>
      </c>
      <c r="P4390" s="5" t="s">
        <v>355</v>
      </c>
      <c r="Q4390" s="5" t="s">
        <v>355</v>
      </c>
    </row>
    <row r="4391" ht="16.5" customHeight="1">
      <c r="O4391" s="5" t="s">
        <v>355</v>
      </c>
      <c r="P4391" s="5" t="s">
        <v>355</v>
      </c>
      <c r="Q4391" s="5" t="s">
        <v>355</v>
      </c>
    </row>
    <row r="4392" ht="16.5" customHeight="1">
      <c r="O4392" s="5" t="s">
        <v>355</v>
      </c>
      <c r="P4392" s="5" t="s">
        <v>355</v>
      </c>
      <c r="Q4392" s="5" t="s">
        <v>355</v>
      </c>
    </row>
    <row r="4393" ht="16.5" customHeight="1">
      <c r="O4393" s="5" t="s">
        <v>355</v>
      </c>
      <c r="P4393" s="5" t="s">
        <v>355</v>
      </c>
      <c r="Q4393" s="5" t="s">
        <v>355</v>
      </c>
    </row>
    <row r="4394" ht="16.5" customHeight="1">
      <c r="O4394" s="5" t="s">
        <v>355</v>
      </c>
      <c r="P4394" s="5" t="s">
        <v>355</v>
      </c>
      <c r="Q4394" s="5" t="s">
        <v>355</v>
      </c>
    </row>
    <row r="4395" ht="16.5" customHeight="1">
      <c r="O4395" s="5" t="s">
        <v>355</v>
      </c>
      <c r="P4395" s="5" t="s">
        <v>355</v>
      </c>
      <c r="Q4395" s="5" t="s">
        <v>355</v>
      </c>
    </row>
    <row r="4396" ht="16.5" customHeight="1">
      <c r="O4396" s="5" t="s">
        <v>355</v>
      </c>
      <c r="P4396" s="5" t="s">
        <v>355</v>
      </c>
      <c r="Q4396" s="5" t="s">
        <v>355</v>
      </c>
    </row>
    <row r="4397" ht="16.5" customHeight="1">
      <c r="O4397" s="5" t="s">
        <v>355</v>
      </c>
      <c r="P4397" s="5" t="s">
        <v>355</v>
      </c>
      <c r="Q4397" s="5" t="s">
        <v>355</v>
      </c>
    </row>
    <row r="4398" ht="16.5" customHeight="1">
      <c r="O4398" s="5" t="s">
        <v>355</v>
      </c>
      <c r="P4398" s="5" t="s">
        <v>355</v>
      </c>
      <c r="Q4398" s="5" t="s">
        <v>355</v>
      </c>
    </row>
    <row r="4399" ht="16.5" customHeight="1">
      <c r="O4399" s="5" t="s">
        <v>355</v>
      </c>
      <c r="P4399" s="5" t="s">
        <v>355</v>
      </c>
      <c r="Q4399" s="5" t="s">
        <v>355</v>
      </c>
    </row>
    <row r="4400" ht="16.5" customHeight="1">
      <c r="O4400" s="5" t="s">
        <v>355</v>
      </c>
      <c r="P4400" s="5" t="s">
        <v>355</v>
      </c>
      <c r="Q4400" s="5" t="s">
        <v>355</v>
      </c>
    </row>
    <row r="4401" ht="16.5" customHeight="1">
      <c r="O4401" s="5" t="s">
        <v>355</v>
      </c>
      <c r="P4401" s="5" t="s">
        <v>355</v>
      </c>
      <c r="Q4401" s="5" t="s">
        <v>355</v>
      </c>
    </row>
    <row r="4402" ht="16.5" customHeight="1">
      <c r="O4402" s="5" t="s">
        <v>355</v>
      </c>
      <c r="P4402" s="5" t="s">
        <v>355</v>
      </c>
      <c r="Q4402" s="5" t="s">
        <v>355</v>
      </c>
    </row>
    <row r="4403" ht="16.5" customHeight="1">
      <c r="O4403" s="5" t="s">
        <v>355</v>
      </c>
      <c r="P4403" s="5" t="s">
        <v>355</v>
      </c>
      <c r="Q4403" s="5" t="s">
        <v>355</v>
      </c>
    </row>
    <row r="4404" ht="16.5" customHeight="1">
      <c r="O4404" s="5" t="s">
        <v>355</v>
      </c>
      <c r="P4404" s="5" t="s">
        <v>355</v>
      </c>
      <c r="Q4404" s="5" t="s">
        <v>355</v>
      </c>
    </row>
    <row r="4405" ht="16.5" customHeight="1">
      <c r="O4405" s="5" t="s">
        <v>355</v>
      </c>
      <c r="P4405" s="5" t="s">
        <v>355</v>
      </c>
      <c r="Q4405" s="5" t="s">
        <v>355</v>
      </c>
    </row>
    <row r="4406" ht="16.5" customHeight="1">
      <c r="O4406" s="5" t="s">
        <v>355</v>
      </c>
      <c r="P4406" s="5" t="s">
        <v>355</v>
      </c>
      <c r="Q4406" s="5" t="s">
        <v>355</v>
      </c>
    </row>
    <row r="4407" ht="16.5" customHeight="1">
      <c r="O4407" s="5" t="s">
        <v>355</v>
      </c>
      <c r="P4407" s="5" t="s">
        <v>355</v>
      </c>
      <c r="Q4407" s="5" t="s">
        <v>355</v>
      </c>
    </row>
    <row r="4408" ht="16.5" customHeight="1">
      <c r="O4408" s="5" t="s">
        <v>355</v>
      </c>
      <c r="P4408" s="5" t="s">
        <v>355</v>
      </c>
      <c r="Q4408" s="5" t="s">
        <v>355</v>
      </c>
    </row>
    <row r="4409" ht="16.5" customHeight="1">
      <c r="O4409" s="5" t="s">
        <v>355</v>
      </c>
      <c r="P4409" s="5" t="s">
        <v>355</v>
      </c>
      <c r="Q4409" s="5" t="s">
        <v>355</v>
      </c>
    </row>
    <row r="4410" ht="16.5" customHeight="1">
      <c r="O4410" s="5" t="s">
        <v>355</v>
      </c>
      <c r="P4410" s="5" t="s">
        <v>355</v>
      </c>
      <c r="Q4410" s="5" t="s">
        <v>355</v>
      </c>
    </row>
    <row r="4411" ht="16.5" customHeight="1">
      <c r="O4411" s="5" t="s">
        <v>355</v>
      </c>
      <c r="P4411" s="5" t="s">
        <v>355</v>
      </c>
      <c r="Q4411" s="5" t="s">
        <v>355</v>
      </c>
    </row>
    <row r="4412" ht="16.5" customHeight="1">
      <c r="O4412" s="5" t="s">
        <v>355</v>
      </c>
      <c r="P4412" s="5" t="s">
        <v>355</v>
      </c>
      <c r="Q4412" s="5" t="s">
        <v>355</v>
      </c>
    </row>
    <row r="4413" ht="16.5" customHeight="1">
      <c r="O4413" s="5" t="s">
        <v>355</v>
      </c>
      <c r="P4413" s="5" t="s">
        <v>355</v>
      </c>
      <c r="Q4413" s="5" t="s">
        <v>355</v>
      </c>
    </row>
    <row r="4414" ht="16.5" customHeight="1">
      <c r="O4414" s="5" t="s">
        <v>355</v>
      </c>
      <c r="P4414" s="5" t="s">
        <v>355</v>
      </c>
      <c r="Q4414" s="5" t="s">
        <v>355</v>
      </c>
    </row>
    <row r="4415" ht="16.5" customHeight="1">
      <c r="O4415" s="5" t="s">
        <v>355</v>
      </c>
      <c r="P4415" s="5" t="s">
        <v>355</v>
      </c>
      <c r="Q4415" s="5" t="s">
        <v>355</v>
      </c>
    </row>
    <row r="4416" ht="16.5" customHeight="1">
      <c r="O4416" s="5" t="s">
        <v>355</v>
      </c>
      <c r="P4416" s="5" t="s">
        <v>355</v>
      </c>
      <c r="Q4416" s="5" t="s">
        <v>355</v>
      </c>
    </row>
    <row r="4417" ht="16.5" customHeight="1">
      <c r="O4417" s="5" t="s">
        <v>355</v>
      </c>
      <c r="P4417" s="5" t="s">
        <v>355</v>
      </c>
      <c r="Q4417" s="5" t="s">
        <v>355</v>
      </c>
    </row>
    <row r="4418" ht="16.5" customHeight="1">
      <c r="O4418" s="5" t="s">
        <v>355</v>
      </c>
      <c r="P4418" s="5" t="s">
        <v>355</v>
      </c>
      <c r="Q4418" s="5" t="s">
        <v>355</v>
      </c>
    </row>
    <row r="4419" ht="16.5" customHeight="1">
      <c r="O4419" s="5" t="s">
        <v>355</v>
      </c>
      <c r="P4419" s="5" t="s">
        <v>355</v>
      </c>
      <c r="Q4419" s="5" t="s">
        <v>355</v>
      </c>
    </row>
    <row r="4420" ht="16.5" customHeight="1">
      <c r="O4420" s="5" t="s">
        <v>355</v>
      </c>
      <c r="P4420" s="5" t="s">
        <v>355</v>
      </c>
      <c r="Q4420" s="5" t="s">
        <v>355</v>
      </c>
    </row>
    <row r="4421" ht="16.5" customHeight="1">
      <c r="O4421" s="5" t="s">
        <v>355</v>
      </c>
      <c r="P4421" s="5" t="s">
        <v>355</v>
      </c>
      <c r="Q4421" s="5" t="s">
        <v>355</v>
      </c>
    </row>
    <row r="4422" ht="16.5" customHeight="1">
      <c r="O4422" s="5" t="s">
        <v>355</v>
      </c>
      <c r="P4422" s="5" t="s">
        <v>355</v>
      </c>
      <c r="Q4422" s="5" t="s">
        <v>355</v>
      </c>
    </row>
    <row r="4423" ht="16.5" customHeight="1">
      <c r="O4423" s="5" t="s">
        <v>355</v>
      </c>
      <c r="P4423" s="5" t="s">
        <v>355</v>
      </c>
      <c r="Q4423" s="5" t="s">
        <v>355</v>
      </c>
    </row>
    <row r="4424" ht="16.5" customHeight="1">
      <c r="O4424" s="5" t="s">
        <v>355</v>
      </c>
      <c r="P4424" s="5" t="s">
        <v>355</v>
      </c>
      <c r="Q4424" s="5" t="s">
        <v>355</v>
      </c>
    </row>
    <row r="4425" ht="16.5" customHeight="1">
      <c r="O4425" s="5" t="s">
        <v>355</v>
      </c>
      <c r="P4425" s="5" t="s">
        <v>355</v>
      </c>
      <c r="Q4425" s="5" t="s">
        <v>355</v>
      </c>
    </row>
    <row r="4426" ht="16.5" customHeight="1">
      <c r="O4426" s="5" t="s">
        <v>355</v>
      </c>
      <c r="P4426" s="5" t="s">
        <v>355</v>
      </c>
      <c r="Q4426" s="5" t="s">
        <v>355</v>
      </c>
    </row>
    <row r="4427" ht="16.5" customHeight="1">
      <c r="O4427" s="5" t="s">
        <v>355</v>
      </c>
      <c r="P4427" s="5" t="s">
        <v>355</v>
      </c>
      <c r="Q4427" s="5" t="s">
        <v>355</v>
      </c>
    </row>
    <row r="4428" ht="16.5" customHeight="1">
      <c r="O4428" s="5" t="s">
        <v>355</v>
      </c>
      <c r="P4428" s="5" t="s">
        <v>355</v>
      </c>
      <c r="Q4428" s="5" t="s">
        <v>355</v>
      </c>
    </row>
    <row r="4429" ht="16.5" customHeight="1">
      <c r="O4429" s="5" t="s">
        <v>355</v>
      </c>
      <c r="P4429" s="5" t="s">
        <v>355</v>
      </c>
      <c r="Q4429" s="5" t="s">
        <v>355</v>
      </c>
    </row>
    <row r="4430" ht="16.5" customHeight="1">
      <c r="O4430" s="5" t="s">
        <v>355</v>
      </c>
      <c r="P4430" s="5" t="s">
        <v>355</v>
      </c>
      <c r="Q4430" s="5" t="s">
        <v>355</v>
      </c>
    </row>
    <row r="4431" ht="16.5" customHeight="1">
      <c r="O4431" s="5" t="s">
        <v>355</v>
      </c>
      <c r="P4431" s="5" t="s">
        <v>355</v>
      </c>
      <c r="Q4431" s="5" t="s">
        <v>355</v>
      </c>
    </row>
    <row r="4432" ht="16.5" customHeight="1">
      <c r="O4432" s="5" t="s">
        <v>355</v>
      </c>
      <c r="P4432" s="5" t="s">
        <v>355</v>
      </c>
      <c r="Q4432" s="5" t="s">
        <v>355</v>
      </c>
    </row>
    <row r="4433" ht="16.5" customHeight="1">
      <c r="O4433" s="5" t="s">
        <v>355</v>
      </c>
      <c r="P4433" s="5" t="s">
        <v>355</v>
      </c>
      <c r="Q4433" s="5" t="s">
        <v>355</v>
      </c>
    </row>
    <row r="4434" ht="16.5" customHeight="1">
      <c r="O4434" s="5" t="s">
        <v>355</v>
      </c>
      <c r="P4434" s="5" t="s">
        <v>355</v>
      </c>
      <c r="Q4434" s="5" t="s">
        <v>355</v>
      </c>
    </row>
    <row r="4435" ht="16.5" customHeight="1">
      <c r="O4435" s="5" t="s">
        <v>355</v>
      </c>
      <c r="P4435" s="5" t="s">
        <v>355</v>
      </c>
      <c r="Q4435" s="5" t="s">
        <v>355</v>
      </c>
    </row>
    <row r="4436" ht="16.5" customHeight="1">
      <c r="O4436" s="5" t="s">
        <v>355</v>
      </c>
      <c r="P4436" s="5" t="s">
        <v>355</v>
      </c>
      <c r="Q4436" s="5" t="s">
        <v>355</v>
      </c>
    </row>
    <row r="4437" ht="16.5" customHeight="1">
      <c r="O4437" s="5" t="s">
        <v>355</v>
      </c>
      <c r="P4437" s="5" t="s">
        <v>355</v>
      </c>
      <c r="Q4437" s="5" t="s">
        <v>355</v>
      </c>
    </row>
    <row r="4438" ht="16.5" customHeight="1">
      <c r="O4438" s="5" t="s">
        <v>355</v>
      </c>
      <c r="P4438" s="5" t="s">
        <v>355</v>
      </c>
      <c r="Q4438" s="5" t="s">
        <v>355</v>
      </c>
    </row>
    <row r="4439" ht="16.5" customHeight="1">
      <c r="O4439" s="5" t="s">
        <v>355</v>
      </c>
      <c r="P4439" s="5" t="s">
        <v>355</v>
      </c>
      <c r="Q4439" s="5" t="s">
        <v>355</v>
      </c>
    </row>
    <row r="4440" ht="16.5" customHeight="1">
      <c r="O4440" s="5" t="s">
        <v>355</v>
      </c>
      <c r="P4440" s="5" t="s">
        <v>355</v>
      </c>
      <c r="Q4440" s="5" t="s">
        <v>355</v>
      </c>
    </row>
    <row r="4441" ht="16.5" customHeight="1">
      <c r="O4441" s="5" t="s">
        <v>355</v>
      </c>
      <c r="P4441" s="5" t="s">
        <v>355</v>
      </c>
      <c r="Q4441" s="5" t="s">
        <v>355</v>
      </c>
    </row>
    <row r="4442" ht="16.5" customHeight="1">
      <c r="O4442" s="5" t="s">
        <v>355</v>
      </c>
      <c r="P4442" s="5" t="s">
        <v>355</v>
      </c>
      <c r="Q4442" s="5" t="s">
        <v>355</v>
      </c>
    </row>
    <row r="4443" ht="16.5" customHeight="1">
      <c r="O4443" s="5" t="s">
        <v>355</v>
      </c>
      <c r="P4443" s="5" t="s">
        <v>355</v>
      </c>
      <c r="Q4443" s="5" t="s">
        <v>355</v>
      </c>
    </row>
    <row r="4444" ht="16.5" customHeight="1">
      <c r="O4444" s="5" t="s">
        <v>355</v>
      </c>
      <c r="P4444" s="5" t="s">
        <v>355</v>
      </c>
      <c r="Q4444" s="5" t="s">
        <v>355</v>
      </c>
    </row>
    <row r="4445" ht="16.5" customHeight="1">
      <c r="O4445" s="5" t="s">
        <v>355</v>
      </c>
      <c r="P4445" s="5" t="s">
        <v>355</v>
      </c>
      <c r="Q4445" s="5" t="s">
        <v>355</v>
      </c>
    </row>
    <row r="4446" ht="16.5" customHeight="1">
      <c r="O4446" s="5" t="s">
        <v>355</v>
      </c>
      <c r="P4446" s="5" t="s">
        <v>355</v>
      </c>
      <c r="Q4446" s="5" t="s">
        <v>355</v>
      </c>
    </row>
    <row r="4447" ht="16.5" customHeight="1">
      <c r="O4447" s="5" t="s">
        <v>355</v>
      </c>
      <c r="P4447" s="5" t="s">
        <v>355</v>
      </c>
      <c r="Q4447" s="5" t="s">
        <v>355</v>
      </c>
    </row>
    <row r="4448" ht="16.5" customHeight="1">
      <c r="O4448" s="5" t="s">
        <v>355</v>
      </c>
      <c r="P4448" s="5" t="s">
        <v>355</v>
      </c>
      <c r="Q4448" s="5" t="s">
        <v>355</v>
      </c>
    </row>
    <row r="4449" ht="16.5" customHeight="1">
      <c r="O4449" s="5" t="s">
        <v>355</v>
      </c>
      <c r="P4449" s="5" t="s">
        <v>355</v>
      </c>
      <c r="Q4449" s="5" t="s">
        <v>355</v>
      </c>
    </row>
    <row r="4450" ht="16.5" customHeight="1">
      <c r="O4450" s="5" t="s">
        <v>355</v>
      </c>
      <c r="P4450" s="5" t="s">
        <v>355</v>
      </c>
      <c r="Q4450" s="5" t="s">
        <v>355</v>
      </c>
    </row>
    <row r="4451" ht="16.5" customHeight="1">
      <c r="O4451" s="5" t="s">
        <v>355</v>
      </c>
      <c r="P4451" s="5" t="s">
        <v>355</v>
      </c>
      <c r="Q4451" s="5" t="s">
        <v>355</v>
      </c>
    </row>
    <row r="4452" ht="16.5" customHeight="1">
      <c r="O4452" s="5" t="s">
        <v>355</v>
      </c>
      <c r="P4452" s="5" t="s">
        <v>355</v>
      </c>
      <c r="Q4452" s="5" t="s">
        <v>355</v>
      </c>
    </row>
    <row r="4453" ht="16.5" customHeight="1">
      <c r="O4453" s="5" t="s">
        <v>355</v>
      </c>
      <c r="P4453" s="5" t="s">
        <v>355</v>
      </c>
      <c r="Q4453" s="5" t="s">
        <v>355</v>
      </c>
    </row>
    <row r="4454" ht="16.5" customHeight="1">
      <c r="O4454" s="5" t="s">
        <v>355</v>
      </c>
      <c r="P4454" s="5" t="s">
        <v>355</v>
      </c>
      <c r="Q4454" s="5" t="s">
        <v>355</v>
      </c>
    </row>
    <row r="4455" ht="16.5" customHeight="1">
      <c r="O4455" s="5" t="s">
        <v>355</v>
      </c>
      <c r="P4455" s="5" t="s">
        <v>355</v>
      </c>
      <c r="Q4455" s="5" t="s">
        <v>355</v>
      </c>
    </row>
    <row r="4456" ht="16.5" customHeight="1">
      <c r="O4456" s="5" t="s">
        <v>355</v>
      </c>
      <c r="P4456" s="5" t="s">
        <v>355</v>
      </c>
      <c r="Q4456" s="5" t="s">
        <v>355</v>
      </c>
    </row>
    <row r="4457" ht="16.5" customHeight="1">
      <c r="O4457" s="5" t="s">
        <v>355</v>
      </c>
      <c r="P4457" s="5" t="s">
        <v>355</v>
      </c>
      <c r="Q4457" s="5" t="s">
        <v>355</v>
      </c>
    </row>
    <row r="4458" ht="16.5" customHeight="1">
      <c r="O4458" s="5" t="s">
        <v>355</v>
      </c>
      <c r="P4458" s="5" t="s">
        <v>355</v>
      </c>
      <c r="Q4458" s="5" t="s">
        <v>355</v>
      </c>
    </row>
    <row r="4459" ht="16.5" customHeight="1">
      <c r="O4459" s="5" t="s">
        <v>355</v>
      </c>
      <c r="P4459" s="5" t="s">
        <v>355</v>
      </c>
      <c r="Q4459" s="5" t="s">
        <v>355</v>
      </c>
    </row>
    <row r="4460" ht="16.5" customHeight="1">
      <c r="O4460" s="5" t="s">
        <v>355</v>
      </c>
      <c r="P4460" s="5" t="s">
        <v>355</v>
      </c>
      <c r="Q4460" s="5" t="s">
        <v>355</v>
      </c>
    </row>
    <row r="4461" ht="16.5" customHeight="1">
      <c r="O4461" s="5" t="s">
        <v>355</v>
      </c>
      <c r="P4461" s="5" t="s">
        <v>355</v>
      </c>
      <c r="Q4461" s="5" t="s">
        <v>355</v>
      </c>
    </row>
    <row r="4462" ht="16.5" customHeight="1">
      <c r="O4462" s="5" t="s">
        <v>355</v>
      </c>
      <c r="P4462" s="5" t="s">
        <v>355</v>
      </c>
      <c r="Q4462" s="5" t="s">
        <v>355</v>
      </c>
    </row>
    <row r="4463" ht="16.5" customHeight="1">
      <c r="O4463" s="5" t="s">
        <v>355</v>
      </c>
      <c r="P4463" s="5" t="s">
        <v>355</v>
      </c>
      <c r="Q4463" s="5" t="s">
        <v>355</v>
      </c>
    </row>
    <row r="4464" ht="16.5" customHeight="1">
      <c r="O4464" s="5" t="s">
        <v>355</v>
      </c>
      <c r="P4464" s="5" t="s">
        <v>355</v>
      </c>
      <c r="Q4464" s="5" t="s">
        <v>355</v>
      </c>
    </row>
    <row r="4465" ht="16.5" customHeight="1">
      <c r="O4465" s="5" t="s">
        <v>355</v>
      </c>
      <c r="P4465" s="5" t="s">
        <v>355</v>
      </c>
      <c r="Q4465" s="5" t="s">
        <v>355</v>
      </c>
    </row>
    <row r="4466" ht="16.5" customHeight="1">
      <c r="O4466" s="5" t="s">
        <v>355</v>
      </c>
      <c r="P4466" s="5" t="s">
        <v>355</v>
      </c>
      <c r="Q4466" s="5" t="s">
        <v>355</v>
      </c>
    </row>
    <row r="4467" ht="16.5" customHeight="1">
      <c r="O4467" s="5" t="s">
        <v>355</v>
      </c>
      <c r="P4467" s="5" t="s">
        <v>355</v>
      </c>
      <c r="Q4467" s="5" t="s">
        <v>355</v>
      </c>
    </row>
    <row r="4468" ht="16.5" customHeight="1">
      <c r="O4468" s="5" t="s">
        <v>355</v>
      </c>
      <c r="P4468" s="5" t="s">
        <v>355</v>
      </c>
      <c r="Q4468" s="5" t="s">
        <v>355</v>
      </c>
    </row>
    <row r="4469" ht="16.5" customHeight="1">
      <c r="O4469" s="5" t="s">
        <v>355</v>
      </c>
      <c r="P4469" s="5" t="s">
        <v>355</v>
      </c>
      <c r="Q4469" s="5" t="s">
        <v>355</v>
      </c>
    </row>
    <row r="4470" ht="16.5" customHeight="1">
      <c r="O4470" s="5" t="s">
        <v>355</v>
      </c>
      <c r="P4470" s="5" t="s">
        <v>355</v>
      </c>
      <c r="Q4470" s="5" t="s">
        <v>355</v>
      </c>
    </row>
    <row r="4471" ht="16.5" customHeight="1">
      <c r="O4471" s="5" t="s">
        <v>355</v>
      </c>
      <c r="P4471" s="5" t="s">
        <v>355</v>
      </c>
      <c r="Q4471" s="5" t="s">
        <v>355</v>
      </c>
    </row>
    <row r="4472" ht="16.5" customHeight="1">
      <c r="O4472" s="5" t="s">
        <v>355</v>
      </c>
      <c r="P4472" s="5" t="s">
        <v>355</v>
      </c>
      <c r="Q4472" s="5" t="s">
        <v>355</v>
      </c>
    </row>
    <row r="4473" ht="16.5" customHeight="1">
      <c r="O4473" s="5" t="s">
        <v>355</v>
      </c>
      <c r="P4473" s="5" t="s">
        <v>355</v>
      </c>
      <c r="Q4473" s="5" t="s">
        <v>355</v>
      </c>
    </row>
    <row r="4474" ht="16.5" customHeight="1">
      <c r="O4474" s="5" t="s">
        <v>355</v>
      </c>
      <c r="P4474" s="5" t="s">
        <v>355</v>
      </c>
      <c r="Q4474" s="5" t="s">
        <v>355</v>
      </c>
    </row>
    <row r="4475" ht="16.5" customHeight="1">
      <c r="O4475" s="5" t="s">
        <v>355</v>
      </c>
      <c r="P4475" s="5" t="s">
        <v>355</v>
      </c>
      <c r="Q4475" s="5" t="s">
        <v>355</v>
      </c>
    </row>
    <row r="4476" ht="16.5" customHeight="1">
      <c r="O4476" s="5" t="s">
        <v>355</v>
      </c>
      <c r="P4476" s="5" t="s">
        <v>355</v>
      </c>
      <c r="Q4476" s="5" t="s">
        <v>355</v>
      </c>
    </row>
    <row r="4477" ht="16.5" customHeight="1">
      <c r="O4477" s="5" t="s">
        <v>355</v>
      </c>
      <c r="P4477" s="5" t="s">
        <v>355</v>
      </c>
      <c r="Q4477" s="5" t="s">
        <v>355</v>
      </c>
    </row>
    <row r="4478" ht="16.5" customHeight="1">
      <c r="O4478" s="5" t="s">
        <v>355</v>
      </c>
      <c r="P4478" s="5" t="s">
        <v>355</v>
      </c>
      <c r="Q4478" s="5" t="s">
        <v>355</v>
      </c>
    </row>
    <row r="4479" ht="16.5" customHeight="1">
      <c r="O4479" s="5" t="s">
        <v>355</v>
      </c>
      <c r="P4479" s="5" t="s">
        <v>355</v>
      </c>
      <c r="Q4479" s="5" t="s">
        <v>355</v>
      </c>
    </row>
    <row r="4480" ht="16.5" customHeight="1">
      <c r="O4480" s="5" t="s">
        <v>355</v>
      </c>
      <c r="P4480" s="5" t="s">
        <v>355</v>
      </c>
      <c r="Q4480" s="5" t="s">
        <v>355</v>
      </c>
    </row>
    <row r="4481" ht="16.5" customHeight="1">
      <c r="O4481" s="5" t="s">
        <v>355</v>
      </c>
      <c r="P4481" s="5" t="s">
        <v>355</v>
      </c>
      <c r="Q4481" s="5" t="s">
        <v>355</v>
      </c>
    </row>
    <row r="4482" ht="16.5" customHeight="1">
      <c r="O4482" s="5" t="s">
        <v>355</v>
      </c>
      <c r="P4482" s="5" t="s">
        <v>355</v>
      </c>
      <c r="Q4482" s="5" t="s">
        <v>355</v>
      </c>
    </row>
    <row r="4483" ht="16.5" customHeight="1">
      <c r="O4483" s="5" t="s">
        <v>355</v>
      </c>
      <c r="P4483" s="5" t="s">
        <v>355</v>
      </c>
      <c r="Q4483" s="5" t="s">
        <v>355</v>
      </c>
    </row>
    <row r="4484" ht="16.5" customHeight="1">
      <c r="O4484" s="5" t="s">
        <v>355</v>
      </c>
      <c r="P4484" s="5" t="s">
        <v>355</v>
      </c>
      <c r="Q4484" s="5" t="s">
        <v>355</v>
      </c>
    </row>
    <row r="4485" ht="16.5" customHeight="1">
      <c r="O4485" s="5" t="s">
        <v>355</v>
      </c>
      <c r="P4485" s="5" t="s">
        <v>355</v>
      </c>
      <c r="Q4485" s="5" t="s">
        <v>355</v>
      </c>
    </row>
    <row r="4486" ht="16.5" customHeight="1">
      <c r="O4486" s="5" t="s">
        <v>355</v>
      </c>
      <c r="P4486" s="5" t="s">
        <v>355</v>
      </c>
      <c r="Q4486" s="5" t="s">
        <v>355</v>
      </c>
    </row>
    <row r="4487" ht="16.5" customHeight="1">
      <c r="O4487" s="5" t="s">
        <v>355</v>
      </c>
      <c r="P4487" s="5" t="s">
        <v>355</v>
      </c>
      <c r="Q4487" s="5" t="s">
        <v>355</v>
      </c>
    </row>
    <row r="4488" ht="16.5" customHeight="1">
      <c r="O4488" s="5" t="s">
        <v>355</v>
      </c>
      <c r="P4488" s="5" t="s">
        <v>355</v>
      </c>
      <c r="Q4488" s="5" t="s">
        <v>355</v>
      </c>
    </row>
    <row r="4489" ht="16.5" customHeight="1">
      <c r="O4489" s="5" t="s">
        <v>355</v>
      </c>
      <c r="P4489" s="5" t="s">
        <v>355</v>
      </c>
      <c r="Q4489" s="5" t="s">
        <v>355</v>
      </c>
    </row>
    <row r="4490" ht="16.5" customHeight="1">
      <c r="O4490" s="5" t="s">
        <v>355</v>
      </c>
      <c r="P4490" s="5" t="s">
        <v>355</v>
      </c>
      <c r="Q4490" s="5" t="s">
        <v>355</v>
      </c>
    </row>
    <row r="4491" ht="16.5" customHeight="1">
      <c r="O4491" s="5" t="s">
        <v>355</v>
      </c>
      <c r="P4491" s="5" t="s">
        <v>355</v>
      </c>
      <c r="Q4491" s="5" t="s">
        <v>355</v>
      </c>
    </row>
    <row r="4492" ht="16.5" customHeight="1">
      <c r="O4492" s="5" t="s">
        <v>355</v>
      </c>
      <c r="P4492" s="5" t="s">
        <v>355</v>
      </c>
      <c r="Q4492" s="5" t="s">
        <v>355</v>
      </c>
    </row>
    <row r="4493" ht="16.5" customHeight="1">
      <c r="O4493" s="5" t="s">
        <v>355</v>
      </c>
      <c r="P4493" s="5" t="s">
        <v>355</v>
      </c>
      <c r="Q4493" s="5" t="s">
        <v>355</v>
      </c>
    </row>
    <row r="4494" ht="16.5" customHeight="1">
      <c r="O4494" s="5" t="s">
        <v>355</v>
      </c>
      <c r="P4494" s="5" t="s">
        <v>355</v>
      </c>
      <c r="Q4494" s="5" t="s">
        <v>355</v>
      </c>
    </row>
    <row r="4495" ht="16.5" customHeight="1">
      <c r="O4495" s="5" t="s">
        <v>355</v>
      </c>
      <c r="P4495" s="5" t="s">
        <v>355</v>
      </c>
      <c r="Q4495" s="5" t="s">
        <v>355</v>
      </c>
    </row>
    <row r="4496" ht="16.5" customHeight="1">
      <c r="O4496" s="5" t="s">
        <v>355</v>
      </c>
      <c r="P4496" s="5" t="s">
        <v>355</v>
      </c>
      <c r="Q4496" s="5" t="s">
        <v>355</v>
      </c>
    </row>
    <row r="4497" ht="16.5" customHeight="1">
      <c r="O4497" s="5" t="s">
        <v>355</v>
      </c>
      <c r="P4497" s="5" t="s">
        <v>355</v>
      </c>
      <c r="Q4497" s="5" t="s">
        <v>355</v>
      </c>
    </row>
    <row r="4498" ht="16.5" customHeight="1">
      <c r="O4498" s="5" t="s">
        <v>355</v>
      </c>
      <c r="P4498" s="5" t="s">
        <v>355</v>
      </c>
      <c r="Q4498" s="5" t="s">
        <v>355</v>
      </c>
    </row>
    <row r="4499" ht="16.5" customHeight="1">
      <c r="O4499" s="5" t="s">
        <v>355</v>
      </c>
      <c r="P4499" s="5" t="s">
        <v>355</v>
      </c>
      <c r="Q4499" s="5" t="s">
        <v>355</v>
      </c>
    </row>
    <row r="4500" ht="16.5" customHeight="1">
      <c r="O4500" s="5" t="s">
        <v>355</v>
      </c>
      <c r="P4500" s="5" t="s">
        <v>355</v>
      </c>
      <c r="Q4500" s="5" t="s">
        <v>355</v>
      </c>
    </row>
    <row r="4501" ht="16.5" customHeight="1">
      <c r="O4501" s="5" t="s">
        <v>355</v>
      </c>
      <c r="P4501" s="5" t="s">
        <v>355</v>
      </c>
      <c r="Q4501" s="5" t="s">
        <v>355</v>
      </c>
    </row>
    <row r="4502" ht="16.5" customHeight="1">
      <c r="O4502" s="5" t="s">
        <v>355</v>
      </c>
      <c r="P4502" s="5" t="s">
        <v>355</v>
      </c>
      <c r="Q4502" s="5" t="s">
        <v>355</v>
      </c>
    </row>
    <row r="4503" ht="16.5" customHeight="1">
      <c r="O4503" s="5" t="s">
        <v>355</v>
      </c>
      <c r="P4503" s="5" t="s">
        <v>355</v>
      </c>
      <c r="Q4503" s="5" t="s">
        <v>355</v>
      </c>
    </row>
    <row r="4504" ht="16.5" customHeight="1">
      <c r="O4504" s="5" t="s">
        <v>355</v>
      </c>
      <c r="P4504" s="5" t="s">
        <v>355</v>
      </c>
      <c r="Q4504" s="5" t="s">
        <v>355</v>
      </c>
    </row>
    <row r="4505" ht="16.5" customHeight="1">
      <c r="O4505" s="5" t="s">
        <v>355</v>
      </c>
      <c r="P4505" s="5" t="s">
        <v>355</v>
      </c>
      <c r="Q4505" s="5" t="s">
        <v>355</v>
      </c>
    </row>
    <row r="4506" ht="16.5" customHeight="1">
      <c r="O4506" s="5" t="s">
        <v>355</v>
      </c>
      <c r="P4506" s="5" t="s">
        <v>355</v>
      </c>
      <c r="Q4506" s="5" t="s">
        <v>355</v>
      </c>
    </row>
    <row r="4507" ht="16.5" customHeight="1">
      <c r="O4507" s="5" t="s">
        <v>355</v>
      </c>
      <c r="P4507" s="5" t="s">
        <v>355</v>
      </c>
      <c r="Q4507" s="5" t="s">
        <v>355</v>
      </c>
    </row>
    <row r="4508" ht="16.5" customHeight="1">
      <c r="O4508" s="5" t="s">
        <v>355</v>
      </c>
      <c r="P4508" s="5" t="s">
        <v>355</v>
      </c>
      <c r="Q4508" s="5" t="s">
        <v>355</v>
      </c>
    </row>
    <row r="4509" ht="16.5" customHeight="1">
      <c r="O4509" s="5" t="s">
        <v>355</v>
      </c>
      <c r="P4509" s="5" t="s">
        <v>355</v>
      </c>
      <c r="Q4509" s="5" t="s">
        <v>355</v>
      </c>
    </row>
    <row r="4510" ht="16.5" customHeight="1">
      <c r="O4510" s="5" t="s">
        <v>355</v>
      </c>
      <c r="P4510" s="5" t="s">
        <v>355</v>
      </c>
      <c r="Q4510" s="5" t="s">
        <v>355</v>
      </c>
    </row>
    <row r="4511" ht="16.5" customHeight="1">
      <c r="O4511" s="5" t="s">
        <v>355</v>
      </c>
      <c r="P4511" s="5" t="s">
        <v>355</v>
      </c>
      <c r="Q4511" s="5" t="s">
        <v>355</v>
      </c>
    </row>
    <row r="4512" ht="16.5" customHeight="1">
      <c r="O4512" s="5" t="s">
        <v>355</v>
      </c>
      <c r="P4512" s="5" t="s">
        <v>355</v>
      </c>
      <c r="Q4512" s="5" t="s">
        <v>355</v>
      </c>
    </row>
    <row r="4513" ht="16.5" customHeight="1">
      <c r="O4513" s="5" t="s">
        <v>355</v>
      </c>
      <c r="P4513" s="5" t="s">
        <v>355</v>
      </c>
      <c r="Q4513" s="5" t="s">
        <v>355</v>
      </c>
    </row>
    <row r="4514" ht="16.5" customHeight="1">
      <c r="O4514" s="5" t="s">
        <v>355</v>
      </c>
      <c r="P4514" s="5" t="s">
        <v>355</v>
      </c>
      <c r="Q4514" s="5" t="s">
        <v>355</v>
      </c>
    </row>
    <row r="4515" ht="16.5" customHeight="1">
      <c r="O4515" s="5" t="s">
        <v>355</v>
      </c>
      <c r="P4515" s="5" t="s">
        <v>355</v>
      </c>
      <c r="Q4515" s="5" t="s">
        <v>355</v>
      </c>
    </row>
    <row r="4516" ht="16.5" customHeight="1">
      <c r="O4516" s="5" t="s">
        <v>355</v>
      </c>
      <c r="P4516" s="5" t="s">
        <v>355</v>
      </c>
      <c r="Q4516" s="5" t="s">
        <v>355</v>
      </c>
    </row>
    <row r="4517" ht="16.5" customHeight="1">
      <c r="O4517" s="5" t="s">
        <v>355</v>
      </c>
      <c r="P4517" s="5" t="s">
        <v>355</v>
      </c>
      <c r="Q4517" s="5" t="s">
        <v>355</v>
      </c>
    </row>
    <row r="4518" ht="16.5" customHeight="1">
      <c r="O4518" s="5" t="s">
        <v>355</v>
      </c>
      <c r="P4518" s="5" t="s">
        <v>355</v>
      </c>
      <c r="Q4518" s="5" t="s">
        <v>355</v>
      </c>
    </row>
    <row r="4519" ht="16.5" customHeight="1">
      <c r="O4519" s="5" t="s">
        <v>355</v>
      </c>
      <c r="P4519" s="5" t="s">
        <v>355</v>
      </c>
      <c r="Q4519" s="5" t="s">
        <v>355</v>
      </c>
    </row>
    <row r="4520" ht="16.5" customHeight="1">
      <c r="O4520" s="5" t="s">
        <v>355</v>
      </c>
      <c r="P4520" s="5" t="s">
        <v>355</v>
      </c>
      <c r="Q4520" s="5" t="s">
        <v>355</v>
      </c>
    </row>
    <row r="4521" ht="16.5" customHeight="1">
      <c r="O4521" s="5" t="s">
        <v>355</v>
      </c>
      <c r="P4521" s="5" t="s">
        <v>355</v>
      </c>
      <c r="Q4521" s="5" t="s">
        <v>355</v>
      </c>
    </row>
    <row r="4522" ht="16.5" customHeight="1">
      <c r="O4522" s="5" t="s">
        <v>355</v>
      </c>
      <c r="P4522" s="5" t="s">
        <v>355</v>
      </c>
      <c r="Q4522" s="5" t="s">
        <v>355</v>
      </c>
    </row>
    <row r="4523" ht="16.5" customHeight="1">
      <c r="O4523" s="5" t="s">
        <v>355</v>
      </c>
      <c r="P4523" s="5" t="s">
        <v>355</v>
      </c>
      <c r="Q4523" s="5" t="s">
        <v>355</v>
      </c>
    </row>
    <row r="4524" ht="16.5" customHeight="1">
      <c r="O4524" s="5" t="s">
        <v>355</v>
      </c>
      <c r="P4524" s="5" t="s">
        <v>355</v>
      </c>
      <c r="Q4524" s="5" t="s">
        <v>355</v>
      </c>
    </row>
    <row r="4525" ht="16.5" customHeight="1">
      <c r="O4525" s="5" t="s">
        <v>355</v>
      </c>
      <c r="P4525" s="5" t="s">
        <v>355</v>
      </c>
      <c r="Q4525" s="5" t="s">
        <v>355</v>
      </c>
    </row>
    <row r="4526" ht="16.5" customHeight="1">
      <c r="O4526" s="5" t="s">
        <v>355</v>
      </c>
      <c r="P4526" s="5" t="s">
        <v>355</v>
      </c>
      <c r="Q4526" s="5" t="s">
        <v>355</v>
      </c>
    </row>
    <row r="4527" ht="16.5" customHeight="1">
      <c r="O4527" s="5" t="s">
        <v>355</v>
      </c>
      <c r="P4527" s="5" t="s">
        <v>355</v>
      </c>
      <c r="Q4527" s="5" t="s">
        <v>355</v>
      </c>
    </row>
    <row r="4528" ht="16.5" customHeight="1">
      <c r="O4528" s="5" t="s">
        <v>355</v>
      </c>
      <c r="P4528" s="5" t="s">
        <v>355</v>
      </c>
      <c r="Q4528" s="5" t="s">
        <v>355</v>
      </c>
    </row>
    <row r="4529" ht="16.5" customHeight="1">
      <c r="O4529" s="5" t="s">
        <v>355</v>
      </c>
      <c r="P4529" s="5" t="s">
        <v>355</v>
      </c>
      <c r="Q4529" s="5" t="s">
        <v>355</v>
      </c>
    </row>
    <row r="4530" ht="16.5" customHeight="1">
      <c r="O4530" s="5" t="s">
        <v>355</v>
      </c>
      <c r="P4530" s="5" t="s">
        <v>355</v>
      </c>
      <c r="Q4530" s="5" t="s">
        <v>355</v>
      </c>
    </row>
    <row r="4531" ht="16.5" customHeight="1">
      <c r="O4531" s="5" t="s">
        <v>355</v>
      </c>
      <c r="P4531" s="5" t="s">
        <v>355</v>
      </c>
      <c r="Q4531" s="5" t="s">
        <v>355</v>
      </c>
    </row>
    <row r="4532" ht="16.5" customHeight="1">
      <c r="O4532" s="5" t="s">
        <v>355</v>
      </c>
      <c r="P4532" s="5" t="s">
        <v>355</v>
      </c>
      <c r="Q4532" s="5" t="s">
        <v>355</v>
      </c>
    </row>
    <row r="4533" ht="16.5" customHeight="1">
      <c r="O4533" s="5" t="s">
        <v>355</v>
      </c>
      <c r="P4533" s="5" t="s">
        <v>355</v>
      </c>
      <c r="Q4533" s="5" t="s">
        <v>355</v>
      </c>
    </row>
    <row r="4534" ht="16.5" customHeight="1">
      <c r="O4534" s="5" t="s">
        <v>355</v>
      </c>
      <c r="P4534" s="5" t="s">
        <v>355</v>
      </c>
      <c r="Q4534" s="5" t="s">
        <v>355</v>
      </c>
    </row>
    <row r="4535" ht="16.5" customHeight="1">
      <c r="O4535" s="5" t="s">
        <v>355</v>
      </c>
      <c r="P4535" s="5" t="s">
        <v>355</v>
      </c>
      <c r="Q4535" s="5" t="s">
        <v>355</v>
      </c>
    </row>
    <row r="4536" ht="16.5" customHeight="1">
      <c r="O4536" s="5" t="s">
        <v>355</v>
      </c>
      <c r="P4536" s="5" t="s">
        <v>355</v>
      </c>
      <c r="Q4536" s="5" t="s">
        <v>355</v>
      </c>
    </row>
    <row r="4537" ht="16.5" customHeight="1">
      <c r="O4537" s="5" t="s">
        <v>355</v>
      </c>
      <c r="P4537" s="5" t="s">
        <v>355</v>
      </c>
      <c r="Q4537" s="5" t="s">
        <v>355</v>
      </c>
    </row>
    <row r="4538" ht="16.5" customHeight="1">
      <c r="O4538" s="5" t="s">
        <v>355</v>
      </c>
      <c r="P4538" s="5" t="s">
        <v>355</v>
      </c>
      <c r="Q4538" s="5" t="s">
        <v>355</v>
      </c>
    </row>
    <row r="4539" ht="16.5" customHeight="1">
      <c r="O4539" s="5" t="s">
        <v>355</v>
      </c>
      <c r="P4539" s="5" t="s">
        <v>355</v>
      </c>
      <c r="Q4539" s="5" t="s">
        <v>355</v>
      </c>
    </row>
    <row r="4540" ht="16.5" customHeight="1">
      <c r="O4540" s="5" t="s">
        <v>355</v>
      </c>
      <c r="P4540" s="5" t="s">
        <v>355</v>
      </c>
      <c r="Q4540" s="5" t="s">
        <v>355</v>
      </c>
    </row>
    <row r="4541" ht="16.5" customHeight="1">
      <c r="O4541" s="5" t="s">
        <v>355</v>
      </c>
      <c r="P4541" s="5" t="s">
        <v>355</v>
      </c>
      <c r="Q4541" s="5" t="s">
        <v>355</v>
      </c>
    </row>
    <row r="4542" ht="16.5" customHeight="1">
      <c r="O4542" s="5" t="s">
        <v>355</v>
      </c>
      <c r="P4542" s="5" t="s">
        <v>355</v>
      </c>
      <c r="Q4542" s="5" t="s">
        <v>355</v>
      </c>
    </row>
    <row r="4543" ht="16.5" customHeight="1">
      <c r="O4543" s="5" t="s">
        <v>355</v>
      </c>
      <c r="P4543" s="5" t="s">
        <v>355</v>
      </c>
      <c r="Q4543" s="5" t="s">
        <v>355</v>
      </c>
    </row>
    <row r="4544" ht="16.5" customHeight="1">
      <c r="O4544" s="5" t="s">
        <v>355</v>
      </c>
      <c r="P4544" s="5" t="s">
        <v>355</v>
      </c>
      <c r="Q4544" s="5" t="s">
        <v>355</v>
      </c>
    </row>
    <row r="4545" ht="16.5" customHeight="1">
      <c r="O4545" s="5" t="s">
        <v>355</v>
      </c>
      <c r="P4545" s="5" t="s">
        <v>355</v>
      </c>
      <c r="Q4545" s="5" t="s">
        <v>355</v>
      </c>
    </row>
    <row r="4546" ht="16.5" customHeight="1">
      <c r="O4546" s="5" t="s">
        <v>355</v>
      </c>
      <c r="P4546" s="5" t="s">
        <v>355</v>
      </c>
      <c r="Q4546" s="5" t="s">
        <v>355</v>
      </c>
    </row>
    <row r="4547" ht="16.5" customHeight="1">
      <c r="O4547" s="5" t="s">
        <v>355</v>
      </c>
      <c r="P4547" s="5" t="s">
        <v>355</v>
      </c>
      <c r="Q4547" s="5" t="s">
        <v>355</v>
      </c>
    </row>
    <row r="4548" ht="16.5" customHeight="1">
      <c r="O4548" s="5" t="s">
        <v>355</v>
      </c>
      <c r="P4548" s="5" t="s">
        <v>355</v>
      </c>
      <c r="Q4548" s="5" t="s">
        <v>355</v>
      </c>
    </row>
    <row r="4549" ht="16.5" customHeight="1">
      <c r="O4549" s="5" t="s">
        <v>355</v>
      </c>
      <c r="P4549" s="5" t="s">
        <v>355</v>
      </c>
      <c r="Q4549" s="5" t="s">
        <v>355</v>
      </c>
    </row>
    <row r="4550" ht="16.5" customHeight="1">
      <c r="O4550" s="5" t="s">
        <v>355</v>
      </c>
      <c r="P4550" s="5" t="s">
        <v>355</v>
      </c>
      <c r="Q4550" s="5" t="s">
        <v>355</v>
      </c>
    </row>
    <row r="4551" ht="16.5" customHeight="1">
      <c r="O4551" s="5" t="s">
        <v>355</v>
      </c>
      <c r="P4551" s="5" t="s">
        <v>355</v>
      </c>
      <c r="Q4551" s="5" t="s">
        <v>355</v>
      </c>
    </row>
    <row r="4552" ht="16.5" customHeight="1">
      <c r="O4552" s="5" t="s">
        <v>355</v>
      </c>
      <c r="P4552" s="5" t="s">
        <v>355</v>
      </c>
      <c r="Q4552" s="5" t="s">
        <v>355</v>
      </c>
    </row>
    <row r="4553" ht="16.5" customHeight="1">
      <c r="O4553" s="5" t="s">
        <v>355</v>
      </c>
      <c r="P4553" s="5" t="s">
        <v>355</v>
      </c>
      <c r="Q4553" s="5" t="s">
        <v>355</v>
      </c>
    </row>
    <row r="4554" ht="16.5" customHeight="1">
      <c r="O4554" s="5" t="s">
        <v>355</v>
      </c>
      <c r="P4554" s="5" t="s">
        <v>355</v>
      </c>
      <c r="Q4554" s="5" t="s">
        <v>355</v>
      </c>
    </row>
    <row r="4555" ht="16.5" customHeight="1">
      <c r="O4555" s="5" t="s">
        <v>355</v>
      </c>
      <c r="P4555" s="5" t="s">
        <v>355</v>
      </c>
      <c r="Q4555" s="5" t="s">
        <v>355</v>
      </c>
    </row>
    <row r="4556" ht="16.5" customHeight="1">
      <c r="O4556" s="5" t="s">
        <v>355</v>
      </c>
      <c r="P4556" s="5" t="s">
        <v>355</v>
      </c>
      <c r="Q4556" s="5" t="s">
        <v>355</v>
      </c>
    </row>
    <row r="4557" ht="16.5" customHeight="1">
      <c r="O4557" s="5" t="s">
        <v>355</v>
      </c>
      <c r="P4557" s="5" t="s">
        <v>355</v>
      </c>
      <c r="Q4557" s="5" t="s">
        <v>355</v>
      </c>
    </row>
    <row r="4558" ht="16.5" customHeight="1">
      <c r="O4558" s="5" t="s">
        <v>355</v>
      </c>
      <c r="P4558" s="5" t="s">
        <v>355</v>
      </c>
      <c r="Q4558" s="5" t="s">
        <v>355</v>
      </c>
    </row>
    <row r="4559" ht="16.5" customHeight="1">
      <c r="O4559" s="5" t="s">
        <v>355</v>
      </c>
      <c r="P4559" s="5" t="s">
        <v>355</v>
      </c>
      <c r="Q4559" s="5" t="s">
        <v>355</v>
      </c>
    </row>
    <row r="4560" ht="16.5" customHeight="1">
      <c r="O4560" s="5" t="s">
        <v>355</v>
      </c>
      <c r="P4560" s="5" t="s">
        <v>355</v>
      </c>
      <c r="Q4560" s="5" t="s">
        <v>355</v>
      </c>
    </row>
    <row r="4561" ht="16.5" customHeight="1">
      <c r="O4561" s="5" t="s">
        <v>355</v>
      </c>
      <c r="P4561" s="5" t="s">
        <v>355</v>
      </c>
      <c r="Q4561" s="5" t="s">
        <v>355</v>
      </c>
    </row>
    <row r="4562" ht="16.5" customHeight="1">
      <c r="O4562" s="5" t="s">
        <v>355</v>
      </c>
      <c r="P4562" s="5" t="s">
        <v>355</v>
      </c>
      <c r="Q4562" s="5" t="s">
        <v>355</v>
      </c>
    </row>
    <row r="4563" ht="16.5" customHeight="1">
      <c r="O4563" s="5" t="s">
        <v>355</v>
      </c>
      <c r="P4563" s="5" t="s">
        <v>355</v>
      </c>
      <c r="Q4563" s="5" t="s">
        <v>355</v>
      </c>
    </row>
    <row r="4564" ht="16.5" customHeight="1">
      <c r="O4564" s="5" t="s">
        <v>355</v>
      </c>
      <c r="P4564" s="5" t="s">
        <v>355</v>
      </c>
      <c r="Q4564" s="5" t="s">
        <v>355</v>
      </c>
    </row>
    <row r="4565" ht="16.5" customHeight="1">
      <c r="O4565" s="5" t="s">
        <v>355</v>
      </c>
      <c r="P4565" s="5" t="s">
        <v>355</v>
      </c>
      <c r="Q4565" s="5" t="s">
        <v>355</v>
      </c>
    </row>
    <row r="4566" ht="16.5" customHeight="1">
      <c r="O4566" s="5" t="s">
        <v>355</v>
      </c>
      <c r="P4566" s="5" t="s">
        <v>355</v>
      </c>
      <c r="Q4566" s="5" t="s">
        <v>355</v>
      </c>
    </row>
    <row r="4567" ht="16.5" customHeight="1">
      <c r="O4567" s="5" t="s">
        <v>355</v>
      </c>
      <c r="P4567" s="5" t="s">
        <v>355</v>
      </c>
      <c r="Q4567" s="5" t="s">
        <v>355</v>
      </c>
    </row>
    <row r="4568" ht="16.5" customHeight="1">
      <c r="O4568" s="5" t="s">
        <v>355</v>
      </c>
      <c r="P4568" s="5" t="s">
        <v>355</v>
      </c>
      <c r="Q4568" s="5" t="s">
        <v>355</v>
      </c>
    </row>
    <row r="4569" ht="16.5" customHeight="1">
      <c r="O4569" s="5" t="s">
        <v>355</v>
      </c>
      <c r="P4569" s="5" t="s">
        <v>355</v>
      </c>
      <c r="Q4569" s="5" t="s">
        <v>355</v>
      </c>
    </row>
    <row r="4570" ht="16.5" customHeight="1">
      <c r="O4570" s="5" t="s">
        <v>355</v>
      </c>
      <c r="P4570" s="5" t="s">
        <v>355</v>
      </c>
      <c r="Q4570" s="5" t="s">
        <v>355</v>
      </c>
    </row>
    <row r="4571" ht="16.5" customHeight="1">
      <c r="O4571" s="5" t="s">
        <v>355</v>
      </c>
      <c r="P4571" s="5" t="s">
        <v>355</v>
      </c>
      <c r="Q4571" s="5" t="s">
        <v>355</v>
      </c>
    </row>
    <row r="4572" ht="16.5" customHeight="1">
      <c r="O4572" s="5" t="s">
        <v>355</v>
      </c>
      <c r="P4572" s="5" t="s">
        <v>355</v>
      </c>
      <c r="Q4572" s="5" t="s">
        <v>355</v>
      </c>
    </row>
    <row r="4573" ht="16.5" customHeight="1">
      <c r="O4573" s="5" t="s">
        <v>355</v>
      </c>
      <c r="P4573" s="5" t="s">
        <v>355</v>
      </c>
      <c r="Q4573" s="5" t="s">
        <v>355</v>
      </c>
    </row>
    <row r="4574" ht="16.5" customHeight="1">
      <c r="O4574" s="5" t="s">
        <v>355</v>
      </c>
      <c r="P4574" s="5" t="s">
        <v>355</v>
      </c>
      <c r="Q4574" s="5" t="s">
        <v>355</v>
      </c>
    </row>
    <row r="4575" ht="16.5" customHeight="1">
      <c r="O4575" s="5" t="s">
        <v>355</v>
      </c>
      <c r="P4575" s="5" t="s">
        <v>355</v>
      </c>
      <c r="Q4575" s="5" t="s">
        <v>355</v>
      </c>
    </row>
    <row r="4576" ht="16.5" customHeight="1">
      <c r="O4576" s="5" t="s">
        <v>355</v>
      </c>
      <c r="P4576" s="5" t="s">
        <v>355</v>
      </c>
      <c r="Q4576" s="5" t="s">
        <v>355</v>
      </c>
    </row>
    <row r="4577" ht="16.5" customHeight="1">
      <c r="O4577" s="5" t="s">
        <v>355</v>
      </c>
      <c r="P4577" s="5" t="s">
        <v>355</v>
      </c>
      <c r="Q4577" s="5" t="s">
        <v>355</v>
      </c>
    </row>
    <row r="4578" ht="16.5" customHeight="1">
      <c r="O4578" s="5" t="s">
        <v>355</v>
      </c>
      <c r="P4578" s="5" t="s">
        <v>355</v>
      </c>
      <c r="Q4578" s="5" t="s">
        <v>355</v>
      </c>
    </row>
    <row r="4579" ht="16.5" customHeight="1">
      <c r="O4579" s="5" t="s">
        <v>355</v>
      </c>
      <c r="P4579" s="5" t="s">
        <v>355</v>
      </c>
      <c r="Q4579" s="5" t="s">
        <v>355</v>
      </c>
    </row>
    <row r="4580" ht="16.5" customHeight="1">
      <c r="O4580" s="5" t="s">
        <v>355</v>
      </c>
      <c r="P4580" s="5" t="s">
        <v>355</v>
      </c>
      <c r="Q4580" s="5" t="s">
        <v>355</v>
      </c>
    </row>
    <row r="4581" ht="16.5" customHeight="1">
      <c r="O4581" s="5" t="s">
        <v>355</v>
      </c>
      <c r="P4581" s="5" t="s">
        <v>355</v>
      </c>
      <c r="Q4581" s="5" t="s">
        <v>355</v>
      </c>
    </row>
    <row r="4582" ht="16.5" customHeight="1">
      <c r="O4582" s="5" t="s">
        <v>355</v>
      </c>
      <c r="P4582" s="5" t="s">
        <v>355</v>
      </c>
      <c r="Q4582" s="5" t="s">
        <v>355</v>
      </c>
    </row>
    <row r="4583" ht="16.5" customHeight="1">
      <c r="O4583" s="5" t="s">
        <v>355</v>
      </c>
      <c r="P4583" s="5" t="s">
        <v>355</v>
      </c>
      <c r="Q4583" s="5" t="s">
        <v>355</v>
      </c>
    </row>
    <row r="4584" ht="16.5" customHeight="1">
      <c r="O4584" s="5" t="s">
        <v>355</v>
      </c>
      <c r="P4584" s="5" t="s">
        <v>355</v>
      </c>
      <c r="Q4584" s="5" t="s">
        <v>355</v>
      </c>
    </row>
    <row r="4585" ht="16.5" customHeight="1">
      <c r="O4585" s="5" t="s">
        <v>355</v>
      </c>
      <c r="P4585" s="5" t="s">
        <v>355</v>
      </c>
      <c r="Q4585" s="5" t="s">
        <v>355</v>
      </c>
    </row>
    <row r="4586" ht="16.5" customHeight="1">
      <c r="O4586" s="5" t="s">
        <v>355</v>
      </c>
      <c r="P4586" s="5" t="s">
        <v>355</v>
      </c>
      <c r="Q4586" s="5" t="s">
        <v>355</v>
      </c>
    </row>
    <row r="4587" ht="16.5" customHeight="1">
      <c r="O4587" s="5" t="s">
        <v>355</v>
      </c>
      <c r="P4587" s="5" t="s">
        <v>355</v>
      </c>
      <c r="Q4587" s="5" t="s">
        <v>355</v>
      </c>
    </row>
    <row r="4588" ht="16.5" customHeight="1">
      <c r="O4588" s="5" t="s">
        <v>355</v>
      </c>
      <c r="P4588" s="5" t="s">
        <v>355</v>
      </c>
      <c r="Q4588" s="5" t="s">
        <v>355</v>
      </c>
    </row>
    <row r="4589" ht="16.5" customHeight="1">
      <c r="O4589" s="5" t="s">
        <v>355</v>
      </c>
      <c r="P4589" s="5" t="s">
        <v>355</v>
      </c>
      <c r="Q4589" s="5" t="s">
        <v>355</v>
      </c>
    </row>
    <row r="4590" ht="16.5" customHeight="1">
      <c r="O4590" s="5" t="s">
        <v>355</v>
      </c>
      <c r="P4590" s="5" t="s">
        <v>355</v>
      </c>
      <c r="Q4590" s="5" t="s">
        <v>355</v>
      </c>
    </row>
    <row r="4591" ht="16.5" customHeight="1">
      <c r="O4591" s="5" t="s">
        <v>355</v>
      </c>
      <c r="P4591" s="5" t="s">
        <v>355</v>
      </c>
      <c r="Q4591" s="5" t="s">
        <v>355</v>
      </c>
    </row>
    <row r="4592" ht="16.5" customHeight="1">
      <c r="O4592" s="5" t="s">
        <v>355</v>
      </c>
      <c r="P4592" s="5" t="s">
        <v>355</v>
      </c>
      <c r="Q4592" s="5" t="s">
        <v>355</v>
      </c>
    </row>
    <row r="4593" ht="16.5" customHeight="1">
      <c r="O4593" s="5" t="s">
        <v>355</v>
      </c>
      <c r="P4593" s="5" t="s">
        <v>355</v>
      </c>
      <c r="Q4593" s="5" t="s">
        <v>355</v>
      </c>
    </row>
    <row r="4594" ht="16.5" customHeight="1">
      <c r="O4594" s="5" t="s">
        <v>355</v>
      </c>
      <c r="P4594" s="5" t="s">
        <v>355</v>
      </c>
      <c r="Q4594" s="5" t="s">
        <v>355</v>
      </c>
    </row>
    <row r="4595" ht="16.5" customHeight="1">
      <c r="O4595" s="5" t="s">
        <v>355</v>
      </c>
      <c r="P4595" s="5" t="s">
        <v>355</v>
      </c>
      <c r="Q4595" s="5" t="s">
        <v>355</v>
      </c>
    </row>
    <row r="4596" ht="16.5" customHeight="1">
      <c r="O4596" s="5" t="s">
        <v>355</v>
      </c>
      <c r="P4596" s="5" t="s">
        <v>355</v>
      </c>
      <c r="Q4596" s="5" t="s">
        <v>355</v>
      </c>
    </row>
    <row r="4597" ht="16.5" customHeight="1">
      <c r="O4597" s="5" t="s">
        <v>355</v>
      </c>
      <c r="P4597" s="5" t="s">
        <v>355</v>
      </c>
      <c r="Q4597" s="5" t="s">
        <v>355</v>
      </c>
    </row>
    <row r="4598" ht="16.5" customHeight="1">
      <c r="O4598" s="5" t="s">
        <v>355</v>
      </c>
      <c r="P4598" s="5" t="s">
        <v>355</v>
      </c>
      <c r="Q4598" s="5" t="s">
        <v>355</v>
      </c>
    </row>
    <row r="4599" ht="16.5" customHeight="1">
      <c r="O4599" s="5" t="s">
        <v>355</v>
      </c>
      <c r="P4599" s="5" t="s">
        <v>355</v>
      </c>
      <c r="Q4599" s="5" t="s">
        <v>355</v>
      </c>
    </row>
    <row r="4600" ht="16.5" customHeight="1">
      <c r="O4600" s="5" t="s">
        <v>355</v>
      </c>
      <c r="P4600" s="5" t="s">
        <v>355</v>
      </c>
      <c r="Q4600" s="5" t="s">
        <v>355</v>
      </c>
    </row>
    <row r="4601" ht="16.5" customHeight="1">
      <c r="O4601" s="5" t="s">
        <v>355</v>
      </c>
      <c r="P4601" s="5" t="s">
        <v>355</v>
      </c>
      <c r="Q4601" s="5" t="s">
        <v>355</v>
      </c>
    </row>
    <row r="4602" ht="16.5" customHeight="1">
      <c r="O4602" s="5" t="s">
        <v>355</v>
      </c>
      <c r="P4602" s="5" t="s">
        <v>355</v>
      </c>
      <c r="Q4602" s="5" t="s">
        <v>355</v>
      </c>
    </row>
    <row r="4603" ht="16.5" customHeight="1">
      <c r="O4603" s="5" t="s">
        <v>355</v>
      </c>
      <c r="P4603" s="5" t="s">
        <v>355</v>
      </c>
      <c r="Q4603" s="5" t="s">
        <v>355</v>
      </c>
    </row>
    <row r="4604" ht="16.5" customHeight="1">
      <c r="O4604" s="5" t="s">
        <v>355</v>
      </c>
      <c r="P4604" s="5" t="s">
        <v>355</v>
      </c>
      <c r="Q4604" s="5" t="s">
        <v>355</v>
      </c>
    </row>
    <row r="4605" ht="16.5" customHeight="1">
      <c r="O4605" s="5" t="s">
        <v>355</v>
      </c>
      <c r="P4605" s="5" t="s">
        <v>355</v>
      </c>
      <c r="Q4605" s="5" t="s">
        <v>355</v>
      </c>
    </row>
    <row r="4606" ht="16.5" customHeight="1">
      <c r="O4606" s="5" t="s">
        <v>355</v>
      </c>
      <c r="P4606" s="5" t="s">
        <v>355</v>
      </c>
      <c r="Q4606" s="5" t="s">
        <v>355</v>
      </c>
    </row>
    <row r="4607" ht="16.5" customHeight="1">
      <c r="O4607" s="5" t="s">
        <v>355</v>
      </c>
      <c r="P4607" s="5" t="s">
        <v>355</v>
      </c>
      <c r="Q4607" s="5" t="s">
        <v>355</v>
      </c>
    </row>
    <row r="4608" ht="16.5" customHeight="1">
      <c r="O4608" s="5" t="s">
        <v>355</v>
      </c>
      <c r="P4608" s="5" t="s">
        <v>355</v>
      </c>
      <c r="Q4608" s="5" t="s">
        <v>355</v>
      </c>
    </row>
    <row r="4609" ht="16.5" customHeight="1">
      <c r="O4609" s="5" t="s">
        <v>355</v>
      </c>
      <c r="P4609" s="5" t="s">
        <v>355</v>
      </c>
      <c r="Q4609" s="5" t="s">
        <v>355</v>
      </c>
    </row>
    <row r="4610" ht="16.5" customHeight="1">
      <c r="O4610" s="5" t="s">
        <v>355</v>
      </c>
      <c r="P4610" s="5" t="s">
        <v>355</v>
      </c>
      <c r="Q4610" s="5" t="s">
        <v>355</v>
      </c>
    </row>
    <row r="4611" ht="16.5" customHeight="1">
      <c r="O4611" s="5" t="s">
        <v>355</v>
      </c>
      <c r="P4611" s="5" t="s">
        <v>355</v>
      </c>
      <c r="Q4611" s="5" t="s">
        <v>355</v>
      </c>
    </row>
    <row r="4612" ht="16.5" customHeight="1">
      <c r="O4612" s="5" t="s">
        <v>355</v>
      </c>
      <c r="P4612" s="5" t="s">
        <v>355</v>
      </c>
      <c r="Q4612" s="5" t="s">
        <v>355</v>
      </c>
    </row>
    <row r="4613" ht="16.5" customHeight="1">
      <c r="O4613" s="5" t="s">
        <v>355</v>
      </c>
      <c r="P4613" s="5" t="s">
        <v>355</v>
      </c>
      <c r="Q4613" s="5" t="s">
        <v>355</v>
      </c>
    </row>
    <row r="4614" ht="16.5" customHeight="1">
      <c r="O4614" s="5" t="s">
        <v>355</v>
      </c>
      <c r="P4614" s="5" t="s">
        <v>355</v>
      </c>
      <c r="Q4614" s="5" t="s">
        <v>355</v>
      </c>
    </row>
    <row r="4615" ht="16.5" customHeight="1">
      <c r="O4615" s="5" t="s">
        <v>355</v>
      </c>
      <c r="P4615" s="5" t="s">
        <v>355</v>
      </c>
      <c r="Q4615" s="5" t="s">
        <v>355</v>
      </c>
    </row>
    <row r="4616" ht="16.5" customHeight="1">
      <c r="O4616" s="5" t="s">
        <v>355</v>
      </c>
      <c r="P4616" s="5" t="s">
        <v>355</v>
      </c>
      <c r="Q4616" s="5" t="s">
        <v>355</v>
      </c>
    </row>
    <row r="4617" ht="16.5" customHeight="1">
      <c r="O4617" s="5" t="s">
        <v>355</v>
      </c>
      <c r="P4617" s="5" t="s">
        <v>355</v>
      </c>
      <c r="Q4617" s="5" t="s">
        <v>355</v>
      </c>
    </row>
    <row r="4618" ht="16.5" customHeight="1">
      <c r="O4618" s="5" t="s">
        <v>355</v>
      </c>
      <c r="P4618" s="5" t="s">
        <v>355</v>
      </c>
      <c r="Q4618" s="5" t="s">
        <v>355</v>
      </c>
    </row>
    <row r="4619" ht="16.5" customHeight="1">
      <c r="O4619" s="5" t="s">
        <v>355</v>
      </c>
      <c r="P4619" s="5" t="s">
        <v>355</v>
      </c>
      <c r="Q4619" s="5" t="s">
        <v>355</v>
      </c>
    </row>
    <row r="4620" ht="16.5" customHeight="1">
      <c r="O4620" s="5" t="s">
        <v>355</v>
      </c>
      <c r="P4620" s="5" t="s">
        <v>355</v>
      </c>
      <c r="Q4620" s="5" t="s">
        <v>355</v>
      </c>
    </row>
    <row r="4621" ht="16.5" customHeight="1">
      <c r="O4621" s="5" t="s">
        <v>355</v>
      </c>
      <c r="P4621" s="5" t="s">
        <v>355</v>
      </c>
      <c r="Q4621" s="5" t="s">
        <v>355</v>
      </c>
    </row>
    <row r="4622" ht="16.5" customHeight="1">
      <c r="O4622" s="5" t="s">
        <v>355</v>
      </c>
      <c r="P4622" s="5" t="s">
        <v>355</v>
      </c>
      <c r="Q4622" s="5" t="s">
        <v>355</v>
      </c>
    </row>
    <row r="4623" ht="16.5" customHeight="1">
      <c r="O4623" s="5" t="s">
        <v>355</v>
      </c>
      <c r="P4623" s="5" t="s">
        <v>355</v>
      </c>
      <c r="Q4623" s="5" t="s">
        <v>355</v>
      </c>
    </row>
    <row r="4624" ht="16.5" customHeight="1">
      <c r="O4624" s="5" t="s">
        <v>355</v>
      </c>
      <c r="P4624" s="5" t="s">
        <v>355</v>
      </c>
      <c r="Q4624" s="5" t="s">
        <v>355</v>
      </c>
    </row>
    <row r="4625" ht="16.5" customHeight="1">
      <c r="O4625" s="5" t="s">
        <v>355</v>
      </c>
      <c r="P4625" s="5" t="s">
        <v>355</v>
      </c>
      <c r="Q4625" s="5" t="s">
        <v>355</v>
      </c>
    </row>
    <row r="4626" ht="16.5" customHeight="1">
      <c r="O4626" s="5" t="s">
        <v>355</v>
      </c>
      <c r="P4626" s="5" t="s">
        <v>355</v>
      </c>
      <c r="Q4626" s="5" t="s">
        <v>355</v>
      </c>
    </row>
    <row r="4627" ht="16.5" customHeight="1">
      <c r="O4627" s="5" t="s">
        <v>355</v>
      </c>
      <c r="P4627" s="5" t="s">
        <v>355</v>
      </c>
      <c r="Q4627" s="5" t="s">
        <v>355</v>
      </c>
    </row>
    <row r="4628" ht="16.5" customHeight="1">
      <c r="O4628" s="5" t="s">
        <v>355</v>
      </c>
      <c r="P4628" s="5" t="s">
        <v>355</v>
      </c>
      <c r="Q4628" s="5" t="s">
        <v>355</v>
      </c>
    </row>
    <row r="4629" ht="16.5" customHeight="1">
      <c r="O4629" s="5" t="s">
        <v>355</v>
      </c>
      <c r="P4629" s="5" t="s">
        <v>355</v>
      </c>
      <c r="Q4629" s="5" t="s">
        <v>355</v>
      </c>
    </row>
    <row r="4630" ht="16.5" customHeight="1">
      <c r="O4630" s="5" t="s">
        <v>355</v>
      </c>
      <c r="P4630" s="5" t="s">
        <v>355</v>
      </c>
      <c r="Q4630" s="5" t="s">
        <v>355</v>
      </c>
    </row>
    <row r="4631" ht="16.5" customHeight="1">
      <c r="O4631" s="5" t="s">
        <v>355</v>
      </c>
      <c r="P4631" s="5" t="s">
        <v>355</v>
      </c>
      <c r="Q4631" s="5" t="s">
        <v>355</v>
      </c>
    </row>
    <row r="4632" ht="16.5" customHeight="1">
      <c r="O4632" s="5" t="s">
        <v>355</v>
      </c>
      <c r="P4632" s="5" t="s">
        <v>355</v>
      </c>
      <c r="Q4632" s="5" t="s">
        <v>355</v>
      </c>
    </row>
    <row r="4633" ht="16.5" customHeight="1">
      <c r="O4633" s="5" t="s">
        <v>355</v>
      </c>
      <c r="P4633" s="5" t="s">
        <v>355</v>
      </c>
      <c r="Q4633" s="5" t="s">
        <v>355</v>
      </c>
    </row>
    <row r="4634" ht="16.5" customHeight="1">
      <c r="O4634" s="5" t="s">
        <v>355</v>
      </c>
      <c r="P4634" s="5" t="s">
        <v>355</v>
      </c>
      <c r="Q4634" s="5" t="s">
        <v>355</v>
      </c>
    </row>
    <row r="4635" ht="16.5" customHeight="1">
      <c r="O4635" s="5" t="s">
        <v>355</v>
      </c>
      <c r="P4635" s="5" t="s">
        <v>355</v>
      </c>
      <c r="Q4635" s="5" t="s">
        <v>355</v>
      </c>
    </row>
    <row r="4636" ht="16.5" customHeight="1">
      <c r="O4636" s="5" t="s">
        <v>355</v>
      </c>
      <c r="P4636" s="5" t="s">
        <v>355</v>
      </c>
      <c r="Q4636" s="5" t="s">
        <v>355</v>
      </c>
    </row>
    <row r="4637" ht="16.5" customHeight="1">
      <c r="O4637" s="5" t="s">
        <v>355</v>
      </c>
      <c r="P4637" s="5" t="s">
        <v>355</v>
      </c>
      <c r="Q4637" s="5" t="s">
        <v>355</v>
      </c>
    </row>
    <row r="4638" ht="16.5" customHeight="1">
      <c r="O4638" s="5" t="s">
        <v>355</v>
      </c>
      <c r="P4638" s="5" t="s">
        <v>355</v>
      </c>
      <c r="Q4638" s="5" t="s">
        <v>355</v>
      </c>
    </row>
    <row r="4639" ht="16.5" customHeight="1">
      <c r="O4639" s="5" t="s">
        <v>355</v>
      </c>
      <c r="P4639" s="5" t="s">
        <v>355</v>
      </c>
      <c r="Q4639" s="5" t="s">
        <v>355</v>
      </c>
    </row>
    <row r="4640" ht="16.5" customHeight="1">
      <c r="O4640" s="5" t="s">
        <v>355</v>
      </c>
      <c r="P4640" s="5" t="s">
        <v>355</v>
      </c>
      <c r="Q4640" s="5" t="s">
        <v>355</v>
      </c>
    </row>
    <row r="4641" ht="16.5" customHeight="1">
      <c r="O4641" s="5" t="s">
        <v>355</v>
      </c>
      <c r="P4641" s="5" t="s">
        <v>355</v>
      </c>
      <c r="Q4641" s="5" t="s">
        <v>355</v>
      </c>
    </row>
    <row r="4642" ht="16.5" customHeight="1">
      <c r="O4642" s="5" t="s">
        <v>355</v>
      </c>
      <c r="P4642" s="5" t="s">
        <v>355</v>
      </c>
      <c r="Q4642" s="5" t="s">
        <v>355</v>
      </c>
    </row>
    <row r="4643" ht="16.5" customHeight="1">
      <c r="O4643" s="5" t="s">
        <v>355</v>
      </c>
      <c r="P4643" s="5" t="s">
        <v>355</v>
      </c>
      <c r="Q4643" s="5" t="s">
        <v>355</v>
      </c>
    </row>
    <row r="4644" ht="16.5" customHeight="1">
      <c r="O4644" s="5" t="s">
        <v>355</v>
      </c>
      <c r="P4644" s="5" t="s">
        <v>355</v>
      </c>
      <c r="Q4644" s="5" t="s">
        <v>355</v>
      </c>
    </row>
    <row r="4645" ht="16.5" customHeight="1">
      <c r="O4645" s="5" t="s">
        <v>355</v>
      </c>
      <c r="P4645" s="5" t="s">
        <v>355</v>
      </c>
      <c r="Q4645" s="5" t="s">
        <v>355</v>
      </c>
    </row>
    <row r="4646" ht="16.5" customHeight="1">
      <c r="O4646" s="5" t="s">
        <v>355</v>
      </c>
      <c r="P4646" s="5" t="s">
        <v>355</v>
      </c>
      <c r="Q4646" s="5" t="s">
        <v>355</v>
      </c>
    </row>
    <row r="4647" ht="16.5" customHeight="1">
      <c r="O4647" s="5" t="s">
        <v>355</v>
      </c>
      <c r="P4647" s="5" t="s">
        <v>355</v>
      </c>
      <c r="Q4647" s="5" t="s">
        <v>355</v>
      </c>
    </row>
    <row r="4648" ht="16.5" customHeight="1">
      <c r="O4648" s="5" t="s">
        <v>355</v>
      </c>
      <c r="P4648" s="5" t="s">
        <v>355</v>
      </c>
      <c r="Q4648" s="5" t="s">
        <v>355</v>
      </c>
    </row>
    <row r="4649" ht="16.5" customHeight="1">
      <c r="O4649" s="5" t="s">
        <v>355</v>
      </c>
      <c r="P4649" s="5" t="s">
        <v>355</v>
      </c>
      <c r="Q4649" s="5" t="s">
        <v>355</v>
      </c>
    </row>
    <row r="4650" ht="16.5" customHeight="1">
      <c r="O4650" s="5" t="s">
        <v>355</v>
      </c>
      <c r="P4650" s="5" t="s">
        <v>355</v>
      </c>
      <c r="Q4650" s="5" t="s">
        <v>355</v>
      </c>
    </row>
    <row r="4651" ht="16.5" customHeight="1">
      <c r="O4651" s="5" t="s">
        <v>355</v>
      </c>
      <c r="P4651" s="5" t="s">
        <v>355</v>
      </c>
      <c r="Q4651" s="5" t="s">
        <v>355</v>
      </c>
    </row>
    <row r="4652" ht="16.5" customHeight="1">
      <c r="O4652" s="5" t="s">
        <v>355</v>
      </c>
      <c r="P4652" s="5" t="s">
        <v>355</v>
      </c>
      <c r="Q4652" s="5" t="s">
        <v>355</v>
      </c>
    </row>
    <row r="4653" ht="16.5" customHeight="1">
      <c r="O4653" s="5" t="s">
        <v>355</v>
      </c>
      <c r="P4653" s="5" t="s">
        <v>355</v>
      </c>
      <c r="Q4653" s="5" t="s">
        <v>355</v>
      </c>
    </row>
    <row r="4654" ht="16.5" customHeight="1">
      <c r="O4654" s="5" t="s">
        <v>355</v>
      </c>
      <c r="P4654" s="5" t="s">
        <v>355</v>
      </c>
      <c r="Q4654" s="5" t="s">
        <v>355</v>
      </c>
    </row>
    <row r="4655" ht="16.5" customHeight="1">
      <c r="O4655" s="5" t="s">
        <v>355</v>
      </c>
      <c r="P4655" s="5" t="s">
        <v>355</v>
      </c>
      <c r="Q4655" s="5" t="s">
        <v>355</v>
      </c>
    </row>
    <row r="4656" ht="16.5" customHeight="1">
      <c r="O4656" s="5" t="s">
        <v>355</v>
      </c>
      <c r="P4656" s="5" t="s">
        <v>355</v>
      </c>
      <c r="Q4656" s="5" t="s">
        <v>355</v>
      </c>
    </row>
    <row r="4657" ht="16.5" customHeight="1">
      <c r="O4657" s="5" t="s">
        <v>355</v>
      </c>
      <c r="P4657" s="5" t="s">
        <v>355</v>
      </c>
      <c r="Q4657" s="5" t="s">
        <v>355</v>
      </c>
    </row>
    <row r="4658" ht="16.5" customHeight="1">
      <c r="O4658" s="5" t="s">
        <v>355</v>
      </c>
      <c r="P4658" s="5" t="s">
        <v>355</v>
      </c>
      <c r="Q4658" s="5" t="s">
        <v>355</v>
      </c>
    </row>
    <row r="4659" ht="16.5" customHeight="1">
      <c r="O4659" s="5" t="s">
        <v>355</v>
      </c>
      <c r="P4659" s="5" t="s">
        <v>355</v>
      </c>
      <c r="Q4659" s="5" t="s">
        <v>355</v>
      </c>
    </row>
    <row r="4660" ht="16.5" customHeight="1">
      <c r="O4660" s="5" t="s">
        <v>355</v>
      </c>
      <c r="P4660" s="5" t="s">
        <v>355</v>
      </c>
      <c r="Q4660" s="5" t="s">
        <v>355</v>
      </c>
    </row>
    <row r="4661" ht="16.5" customHeight="1">
      <c r="O4661" s="5" t="s">
        <v>355</v>
      </c>
      <c r="P4661" s="5" t="s">
        <v>355</v>
      </c>
      <c r="Q4661" s="5" t="s">
        <v>355</v>
      </c>
    </row>
    <row r="4662" ht="16.5" customHeight="1">
      <c r="O4662" s="5" t="s">
        <v>355</v>
      </c>
      <c r="P4662" s="5" t="s">
        <v>355</v>
      </c>
      <c r="Q4662" s="5" t="s">
        <v>355</v>
      </c>
    </row>
    <row r="4663" ht="16.5" customHeight="1">
      <c r="O4663" s="5" t="s">
        <v>355</v>
      </c>
      <c r="P4663" s="5" t="s">
        <v>355</v>
      </c>
      <c r="Q4663" s="5" t="s">
        <v>355</v>
      </c>
    </row>
    <row r="4664" ht="16.5" customHeight="1">
      <c r="O4664" s="5" t="s">
        <v>355</v>
      </c>
      <c r="P4664" s="5" t="s">
        <v>355</v>
      </c>
      <c r="Q4664" s="5" t="s">
        <v>355</v>
      </c>
    </row>
    <row r="4665" ht="16.5" customHeight="1">
      <c r="O4665" s="5" t="s">
        <v>355</v>
      </c>
      <c r="P4665" s="5" t="s">
        <v>355</v>
      </c>
      <c r="Q4665" s="5" t="s">
        <v>355</v>
      </c>
    </row>
    <row r="4666" ht="16.5" customHeight="1">
      <c r="O4666" s="5" t="s">
        <v>355</v>
      </c>
      <c r="P4666" s="5" t="s">
        <v>355</v>
      </c>
      <c r="Q4666" s="5" t="s">
        <v>355</v>
      </c>
    </row>
    <row r="4667" ht="16.5" customHeight="1">
      <c r="O4667" s="5" t="s">
        <v>355</v>
      </c>
      <c r="P4667" s="5" t="s">
        <v>355</v>
      </c>
      <c r="Q4667" s="5" t="s">
        <v>355</v>
      </c>
    </row>
    <row r="4668" ht="16.5" customHeight="1">
      <c r="O4668" s="5" t="s">
        <v>355</v>
      </c>
      <c r="P4668" s="5" t="s">
        <v>355</v>
      </c>
      <c r="Q4668" s="5" t="s">
        <v>355</v>
      </c>
    </row>
    <row r="4669" ht="16.5" customHeight="1">
      <c r="O4669" s="5" t="s">
        <v>355</v>
      </c>
      <c r="P4669" s="5" t="s">
        <v>355</v>
      </c>
      <c r="Q4669" s="5" t="s">
        <v>355</v>
      </c>
    </row>
    <row r="4670" ht="16.5" customHeight="1">
      <c r="O4670" s="5" t="s">
        <v>355</v>
      </c>
      <c r="P4670" s="5" t="s">
        <v>355</v>
      </c>
      <c r="Q4670" s="5" t="s">
        <v>355</v>
      </c>
    </row>
    <row r="4671" ht="16.5" customHeight="1">
      <c r="O4671" s="5" t="s">
        <v>355</v>
      </c>
      <c r="P4671" s="5" t="s">
        <v>355</v>
      </c>
      <c r="Q4671" s="5" t="s">
        <v>355</v>
      </c>
    </row>
    <row r="4672" ht="16.5" customHeight="1">
      <c r="O4672" s="5" t="s">
        <v>355</v>
      </c>
      <c r="P4672" s="5" t="s">
        <v>355</v>
      </c>
      <c r="Q4672" s="5" t="s">
        <v>355</v>
      </c>
    </row>
    <row r="4673" ht="16.5" customHeight="1">
      <c r="O4673" s="5" t="s">
        <v>355</v>
      </c>
      <c r="P4673" s="5" t="s">
        <v>355</v>
      </c>
      <c r="Q4673" s="5" t="s">
        <v>355</v>
      </c>
    </row>
    <row r="4674" ht="16.5" customHeight="1">
      <c r="O4674" s="5" t="s">
        <v>355</v>
      </c>
      <c r="P4674" s="5" t="s">
        <v>355</v>
      </c>
      <c r="Q4674" s="5" t="s">
        <v>355</v>
      </c>
    </row>
    <row r="4675" ht="16.5" customHeight="1">
      <c r="O4675" s="5" t="s">
        <v>355</v>
      </c>
      <c r="P4675" s="5" t="s">
        <v>355</v>
      </c>
      <c r="Q4675" s="5" t="s">
        <v>355</v>
      </c>
    </row>
    <row r="4676" ht="16.5" customHeight="1">
      <c r="O4676" s="5" t="s">
        <v>355</v>
      </c>
      <c r="P4676" s="5" t="s">
        <v>355</v>
      </c>
      <c r="Q4676" s="5" t="s">
        <v>355</v>
      </c>
    </row>
    <row r="4677" ht="16.5" customHeight="1">
      <c r="O4677" s="5" t="s">
        <v>355</v>
      </c>
      <c r="P4677" s="5" t="s">
        <v>355</v>
      </c>
      <c r="Q4677" s="5" t="s">
        <v>355</v>
      </c>
    </row>
    <row r="4678" ht="16.5" customHeight="1">
      <c r="O4678" s="5" t="s">
        <v>355</v>
      </c>
      <c r="P4678" s="5" t="s">
        <v>355</v>
      </c>
      <c r="Q4678" s="5" t="s">
        <v>355</v>
      </c>
    </row>
    <row r="4679" ht="16.5" customHeight="1">
      <c r="O4679" s="5" t="s">
        <v>355</v>
      </c>
      <c r="P4679" s="5" t="s">
        <v>355</v>
      </c>
      <c r="Q4679" s="5" t="s">
        <v>355</v>
      </c>
    </row>
    <row r="4680" ht="16.5" customHeight="1">
      <c r="O4680" s="5" t="s">
        <v>355</v>
      </c>
      <c r="P4680" s="5" t="s">
        <v>355</v>
      </c>
      <c r="Q4680" s="5" t="s">
        <v>355</v>
      </c>
    </row>
    <row r="4681" ht="16.5" customHeight="1">
      <c r="O4681" s="5" t="s">
        <v>355</v>
      </c>
      <c r="P4681" s="5" t="s">
        <v>355</v>
      </c>
      <c r="Q4681" s="5" t="s">
        <v>355</v>
      </c>
    </row>
    <row r="4682" ht="16.5" customHeight="1">
      <c r="O4682" s="5" t="s">
        <v>355</v>
      </c>
      <c r="P4682" s="5" t="s">
        <v>355</v>
      </c>
      <c r="Q4682" s="5" t="s">
        <v>355</v>
      </c>
    </row>
    <row r="4683" ht="16.5" customHeight="1">
      <c r="O4683" s="5" t="s">
        <v>355</v>
      </c>
      <c r="P4683" s="5" t="s">
        <v>355</v>
      </c>
      <c r="Q4683" s="5" t="s">
        <v>355</v>
      </c>
    </row>
    <row r="4684" ht="16.5" customHeight="1">
      <c r="O4684" s="5" t="s">
        <v>355</v>
      </c>
      <c r="P4684" s="5" t="s">
        <v>355</v>
      </c>
      <c r="Q4684" s="5" t="s">
        <v>355</v>
      </c>
    </row>
    <row r="4685" ht="16.5" customHeight="1">
      <c r="O4685" s="5" t="s">
        <v>355</v>
      </c>
      <c r="P4685" s="5" t="s">
        <v>355</v>
      </c>
      <c r="Q4685" s="5" t="s">
        <v>355</v>
      </c>
    </row>
    <row r="4686" ht="16.5" customHeight="1">
      <c r="O4686" s="5" t="s">
        <v>355</v>
      </c>
      <c r="P4686" s="5" t="s">
        <v>355</v>
      </c>
      <c r="Q4686" s="5" t="s">
        <v>355</v>
      </c>
    </row>
    <row r="4687" ht="16.5" customHeight="1">
      <c r="O4687" s="5" t="s">
        <v>355</v>
      </c>
      <c r="P4687" s="5" t="s">
        <v>355</v>
      </c>
      <c r="Q4687" s="5" t="s">
        <v>355</v>
      </c>
    </row>
    <row r="4688" ht="16.5" customHeight="1">
      <c r="O4688" s="5" t="s">
        <v>355</v>
      </c>
      <c r="P4688" s="5" t="s">
        <v>355</v>
      </c>
      <c r="Q4688" s="5" t="s">
        <v>355</v>
      </c>
    </row>
    <row r="4689" ht="16.5" customHeight="1">
      <c r="O4689" s="5" t="s">
        <v>355</v>
      </c>
      <c r="P4689" s="5" t="s">
        <v>355</v>
      </c>
      <c r="Q4689" s="5" t="s">
        <v>355</v>
      </c>
    </row>
    <row r="4690" ht="16.5" customHeight="1">
      <c r="O4690" s="5" t="s">
        <v>355</v>
      </c>
      <c r="P4690" s="5" t="s">
        <v>355</v>
      </c>
      <c r="Q4690" s="5" t="s">
        <v>355</v>
      </c>
    </row>
    <row r="4691" ht="16.5" customHeight="1">
      <c r="O4691" s="5" t="s">
        <v>355</v>
      </c>
      <c r="P4691" s="5" t="s">
        <v>355</v>
      </c>
      <c r="Q4691" s="5" t="s">
        <v>355</v>
      </c>
    </row>
    <row r="4692" ht="16.5" customHeight="1">
      <c r="O4692" s="5" t="s">
        <v>355</v>
      </c>
      <c r="P4692" s="5" t="s">
        <v>355</v>
      </c>
      <c r="Q4692" s="5" t="s">
        <v>355</v>
      </c>
    </row>
    <row r="4693" ht="16.5" customHeight="1">
      <c r="O4693" s="5" t="s">
        <v>355</v>
      </c>
      <c r="P4693" s="5" t="s">
        <v>355</v>
      </c>
      <c r="Q4693" s="5" t="s">
        <v>355</v>
      </c>
    </row>
    <row r="4694" ht="16.5" customHeight="1">
      <c r="O4694" s="5" t="s">
        <v>355</v>
      </c>
      <c r="P4694" s="5" t="s">
        <v>355</v>
      </c>
      <c r="Q4694" s="5" t="s">
        <v>355</v>
      </c>
    </row>
    <row r="4695" ht="16.5" customHeight="1">
      <c r="O4695" s="5" t="s">
        <v>355</v>
      </c>
      <c r="P4695" s="5" t="s">
        <v>355</v>
      </c>
      <c r="Q4695" s="5" t="s">
        <v>355</v>
      </c>
    </row>
    <row r="4696" ht="16.5" customHeight="1">
      <c r="O4696" s="5" t="s">
        <v>355</v>
      </c>
      <c r="P4696" s="5" t="s">
        <v>355</v>
      </c>
      <c r="Q4696" s="5" t="s">
        <v>355</v>
      </c>
    </row>
    <row r="4697" ht="16.5" customHeight="1">
      <c r="O4697" s="5" t="s">
        <v>355</v>
      </c>
      <c r="P4697" s="5" t="s">
        <v>355</v>
      </c>
      <c r="Q4697" s="5" t="s">
        <v>355</v>
      </c>
    </row>
    <row r="4698" ht="16.5" customHeight="1">
      <c r="O4698" s="5" t="s">
        <v>355</v>
      </c>
      <c r="P4698" s="5" t="s">
        <v>355</v>
      </c>
      <c r="Q4698" s="5" t="s">
        <v>355</v>
      </c>
    </row>
    <row r="4699" ht="16.5" customHeight="1">
      <c r="O4699" s="5" t="s">
        <v>355</v>
      </c>
      <c r="P4699" s="5" t="s">
        <v>355</v>
      </c>
      <c r="Q4699" s="5" t="s">
        <v>355</v>
      </c>
    </row>
    <row r="4700" ht="16.5" customHeight="1">
      <c r="O4700" s="5" t="s">
        <v>355</v>
      </c>
      <c r="P4700" s="5" t="s">
        <v>355</v>
      </c>
      <c r="Q4700" s="5" t="s">
        <v>355</v>
      </c>
    </row>
    <row r="4701" ht="16.5" customHeight="1">
      <c r="O4701" s="5" t="s">
        <v>355</v>
      </c>
      <c r="P4701" s="5" t="s">
        <v>355</v>
      </c>
      <c r="Q4701" s="5" t="s">
        <v>355</v>
      </c>
    </row>
    <row r="4702" ht="16.5" customHeight="1">
      <c r="O4702" s="5" t="s">
        <v>355</v>
      </c>
      <c r="P4702" s="5" t="s">
        <v>355</v>
      </c>
      <c r="Q4702" s="5" t="s">
        <v>355</v>
      </c>
    </row>
    <row r="4703" ht="16.5" customHeight="1">
      <c r="O4703" s="5" t="s">
        <v>355</v>
      </c>
      <c r="P4703" s="5" t="s">
        <v>355</v>
      </c>
      <c r="Q4703" s="5" t="s">
        <v>355</v>
      </c>
    </row>
    <row r="4704" ht="16.5" customHeight="1">
      <c r="O4704" s="5" t="s">
        <v>355</v>
      </c>
      <c r="P4704" s="5" t="s">
        <v>355</v>
      </c>
      <c r="Q4704" s="5" t="s">
        <v>355</v>
      </c>
    </row>
    <row r="4705" ht="16.5" customHeight="1">
      <c r="O4705" s="5" t="s">
        <v>355</v>
      </c>
      <c r="P4705" s="5" t="s">
        <v>355</v>
      </c>
      <c r="Q4705" s="5" t="s">
        <v>355</v>
      </c>
    </row>
    <row r="4706" ht="16.5" customHeight="1">
      <c r="O4706" s="5" t="s">
        <v>355</v>
      </c>
      <c r="P4706" s="5" t="s">
        <v>355</v>
      </c>
      <c r="Q4706" s="5" t="s">
        <v>355</v>
      </c>
    </row>
    <row r="4707" ht="16.5" customHeight="1">
      <c r="O4707" s="5" t="s">
        <v>355</v>
      </c>
      <c r="P4707" s="5" t="s">
        <v>355</v>
      </c>
      <c r="Q4707" s="5" t="s">
        <v>355</v>
      </c>
    </row>
    <row r="4708" ht="16.5" customHeight="1">
      <c r="O4708" s="5" t="s">
        <v>355</v>
      </c>
      <c r="P4708" s="5" t="s">
        <v>355</v>
      </c>
      <c r="Q4708" s="5" t="s">
        <v>355</v>
      </c>
    </row>
    <row r="4709" ht="16.5" customHeight="1">
      <c r="O4709" s="5" t="s">
        <v>355</v>
      </c>
      <c r="P4709" s="5" t="s">
        <v>355</v>
      </c>
      <c r="Q4709" s="5" t="s">
        <v>355</v>
      </c>
    </row>
    <row r="4710" ht="16.5" customHeight="1">
      <c r="O4710" s="5" t="s">
        <v>355</v>
      </c>
      <c r="P4710" s="5" t="s">
        <v>355</v>
      </c>
      <c r="Q4710" s="5" t="s">
        <v>355</v>
      </c>
    </row>
    <row r="4711" ht="16.5" customHeight="1">
      <c r="O4711" s="5" t="s">
        <v>355</v>
      </c>
      <c r="P4711" s="5" t="s">
        <v>355</v>
      </c>
      <c r="Q4711" s="5" t="s">
        <v>355</v>
      </c>
    </row>
    <row r="4712" ht="16.5" customHeight="1">
      <c r="O4712" s="5" t="s">
        <v>355</v>
      </c>
      <c r="P4712" s="5" t="s">
        <v>355</v>
      </c>
      <c r="Q4712" s="5" t="s">
        <v>355</v>
      </c>
    </row>
    <row r="4713" ht="16.5" customHeight="1">
      <c r="O4713" s="5" t="s">
        <v>355</v>
      </c>
      <c r="P4713" s="5" t="s">
        <v>355</v>
      </c>
      <c r="Q4713" s="5" t="s">
        <v>355</v>
      </c>
    </row>
    <row r="4714" ht="16.5" customHeight="1">
      <c r="O4714" s="5" t="s">
        <v>355</v>
      </c>
      <c r="P4714" s="5" t="s">
        <v>355</v>
      </c>
      <c r="Q4714" s="5" t="s">
        <v>355</v>
      </c>
    </row>
    <row r="4715" ht="16.5" customHeight="1">
      <c r="O4715" s="5" t="s">
        <v>355</v>
      </c>
      <c r="P4715" s="5" t="s">
        <v>355</v>
      </c>
      <c r="Q4715" s="5" t="s">
        <v>355</v>
      </c>
    </row>
    <row r="4716" ht="16.5" customHeight="1">
      <c r="O4716" s="5" t="s">
        <v>355</v>
      </c>
      <c r="P4716" s="5" t="s">
        <v>355</v>
      </c>
      <c r="Q4716" s="5" t="s">
        <v>355</v>
      </c>
    </row>
    <row r="4717" ht="16.5" customHeight="1">
      <c r="O4717" s="5" t="s">
        <v>355</v>
      </c>
      <c r="P4717" s="5" t="s">
        <v>355</v>
      </c>
      <c r="Q4717" s="5" t="s">
        <v>355</v>
      </c>
    </row>
    <row r="4718" ht="16.5" customHeight="1">
      <c r="O4718" s="5" t="s">
        <v>355</v>
      </c>
      <c r="P4718" s="5" t="s">
        <v>355</v>
      </c>
      <c r="Q4718" s="5" t="s">
        <v>355</v>
      </c>
    </row>
    <row r="4719" ht="16.5" customHeight="1">
      <c r="O4719" s="5" t="s">
        <v>355</v>
      </c>
      <c r="P4719" s="5" t="s">
        <v>355</v>
      </c>
      <c r="Q4719" s="5" t="s">
        <v>355</v>
      </c>
    </row>
    <row r="4720" ht="16.5" customHeight="1">
      <c r="O4720" s="5" t="s">
        <v>355</v>
      </c>
      <c r="P4720" s="5" t="s">
        <v>355</v>
      </c>
      <c r="Q4720" s="5" t="s">
        <v>355</v>
      </c>
    </row>
    <row r="4721" ht="16.5" customHeight="1">
      <c r="O4721" s="5" t="s">
        <v>355</v>
      </c>
      <c r="P4721" s="5" t="s">
        <v>355</v>
      </c>
      <c r="Q4721" s="5" t="s">
        <v>355</v>
      </c>
    </row>
    <row r="4722" ht="16.5" customHeight="1">
      <c r="O4722" s="5" t="s">
        <v>355</v>
      </c>
      <c r="P4722" s="5" t="s">
        <v>355</v>
      </c>
      <c r="Q4722" s="5" t="s">
        <v>355</v>
      </c>
    </row>
    <row r="4723" ht="16.5" customHeight="1">
      <c r="O4723" s="5" t="s">
        <v>355</v>
      </c>
      <c r="P4723" s="5" t="s">
        <v>355</v>
      </c>
      <c r="Q4723" s="5" t="s">
        <v>355</v>
      </c>
    </row>
    <row r="4724" ht="16.5" customHeight="1">
      <c r="O4724" s="5" t="s">
        <v>355</v>
      </c>
      <c r="P4724" s="5" t="s">
        <v>355</v>
      </c>
      <c r="Q4724" s="5" t="s">
        <v>355</v>
      </c>
    </row>
    <row r="4725" ht="16.5" customHeight="1">
      <c r="O4725" s="5" t="s">
        <v>355</v>
      </c>
      <c r="P4725" s="5" t="s">
        <v>355</v>
      </c>
      <c r="Q4725" s="5" t="s">
        <v>355</v>
      </c>
    </row>
    <row r="4726" ht="16.5" customHeight="1">
      <c r="O4726" s="5" t="s">
        <v>355</v>
      </c>
      <c r="P4726" s="5" t="s">
        <v>355</v>
      </c>
      <c r="Q4726" s="5" t="s">
        <v>355</v>
      </c>
    </row>
    <row r="4727" ht="16.5" customHeight="1">
      <c r="O4727" s="5" t="s">
        <v>355</v>
      </c>
      <c r="P4727" s="5" t="s">
        <v>355</v>
      </c>
      <c r="Q4727" s="5" t="s">
        <v>355</v>
      </c>
    </row>
    <row r="4728" ht="16.5" customHeight="1">
      <c r="O4728" s="5" t="s">
        <v>355</v>
      </c>
      <c r="P4728" s="5" t="s">
        <v>355</v>
      </c>
      <c r="Q4728" s="5" t="s">
        <v>355</v>
      </c>
    </row>
    <row r="4729" ht="16.5" customHeight="1">
      <c r="O4729" s="5" t="s">
        <v>355</v>
      </c>
      <c r="P4729" s="5" t="s">
        <v>355</v>
      </c>
      <c r="Q4729" s="5" t="s">
        <v>355</v>
      </c>
    </row>
    <row r="4730" ht="16.5" customHeight="1">
      <c r="O4730" s="5" t="s">
        <v>355</v>
      </c>
      <c r="P4730" s="5" t="s">
        <v>355</v>
      </c>
      <c r="Q4730" s="5" t="s">
        <v>355</v>
      </c>
    </row>
    <row r="4731" ht="16.5" customHeight="1">
      <c r="O4731" s="5" t="s">
        <v>355</v>
      </c>
      <c r="P4731" s="5" t="s">
        <v>355</v>
      </c>
      <c r="Q4731" s="5" t="s">
        <v>355</v>
      </c>
    </row>
    <row r="4732" ht="16.5" customHeight="1">
      <c r="O4732" s="5" t="s">
        <v>355</v>
      </c>
      <c r="P4732" s="5" t="s">
        <v>355</v>
      </c>
      <c r="Q4732" s="5" t="s">
        <v>355</v>
      </c>
    </row>
    <row r="4733" ht="16.5" customHeight="1">
      <c r="O4733" s="5" t="s">
        <v>355</v>
      </c>
      <c r="P4733" s="5" t="s">
        <v>355</v>
      </c>
      <c r="Q4733" s="5" t="s">
        <v>355</v>
      </c>
    </row>
    <row r="4734" ht="16.5" customHeight="1">
      <c r="O4734" s="5" t="s">
        <v>355</v>
      </c>
      <c r="P4734" s="5" t="s">
        <v>355</v>
      </c>
      <c r="Q4734" s="5" t="s">
        <v>355</v>
      </c>
    </row>
    <row r="4735" ht="16.5" customHeight="1">
      <c r="O4735" s="5" t="s">
        <v>355</v>
      </c>
      <c r="P4735" s="5" t="s">
        <v>355</v>
      </c>
      <c r="Q4735" s="5" t="s">
        <v>355</v>
      </c>
    </row>
    <row r="4736" ht="16.5" customHeight="1">
      <c r="O4736" s="5" t="s">
        <v>355</v>
      </c>
      <c r="P4736" s="5" t="s">
        <v>355</v>
      </c>
      <c r="Q4736" s="5" t="s">
        <v>355</v>
      </c>
    </row>
    <row r="4737" ht="16.5" customHeight="1">
      <c r="O4737" s="5" t="s">
        <v>355</v>
      </c>
      <c r="P4737" s="5" t="s">
        <v>355</v>
      </c>
      <c r="Q4737" s="5" t="s">
        <v>355</v>
      </c>
    </row>
    <row r="4738" ht="16.5" customHeight="1">
      <c r="O4738" s="5" t="s">
        <v>355</v>
      </c>
      <c r="P4738" s="5" t="s">
        <v>355</v>
      </c>
      <c r="Q4738" s="5" t="s">
        <v>355</v>
      </c>
    </row>
    <row r="4739" ht="16.5" customHeight="1">
      <c r="O4739" s="5" t="s">
        <v>355</v>
      </c>
      <c r="P4739" s="5" t="s">
        <v>355</v>
      </c>
      <c r="Q4739" s="5" t="s">
        <v>355</v>
      </c>
    </row>
    <row r="4740" ht="16.5" customHeight="1">
      <c r="O4740" s="5" t="s">
        <v>355</v>
      </c>
      <c r="P4740" s="5" t="s">
        <v>355</v>
      </c>
      <c r="Q4740" s="5" t="s">
        <v>355</v>
      </c>
    </row>
    <row r="4741" ht="16.5" customHeight="1">
      <c r="O4741" s="5" t="s">
        <v>355</v>
      </c>
      <c r="P4741" s="5" t="s">
        <v>355</v>
      </c>
      <c r="Q4741" s="5" t="s">
        <v>355</v>
      </c>
    </row>
    <row r="4742" ht="16.5" customHeight="1">
      <c r="O4742" s="5" t="s">
        <v>355</v>
      </c>
      <c r="P4742" s="5" t="s">
        <v>355</v>
      </c>
      <c r="Q4742" s="5" t="s">
        <v>355</v>
      </c>
    </row>
    <row r="4743" ht="16.5" customHeight="1">
      <c r="O4743" s="5" t="s">
        <v>355</v>
      </c>
      <c r="P4743" s="5" t="s">
        <v>355</v>
      </c>
      <c r="Q4743" s="5" t="s">
        <v>355</v>
      </c>
    </row>
    <row r="4744" ht="16.5" customHeight="1">
      <c r="O4744" s="5" t="s">
        <v>355</v>
      </c>
      <c r="P4744" s="5" t="s">
        <v>355</v>
      </c>
      <c r="Q4744" s="5" t="s">
        <v>355</v>
      </c>
    </row>
    <row r="4745" ht="16.5" customHeight="1">
      <c r="O4745" s="5" t="s">
        <v>355</v>
      </c>
      <c r="P4745" s="5" t="s">
        <v>355</v>
      </c>
      <c r="Q4745" s="5" t="s">
        <v>355</v>
      </c>
    </row>
    <row r="4746" ht="16.5" customHeight="1">
      <c r="O4746" s="5" t="s">
        <v>355</v>
      </c>
      <c r="P4746" s="5" t="s">
        <v>355</v>
      </c>
      <c r="Q4746" s="5" t="s">
        <v>355</v>
      </c>
    </row>
    <row r="4747" ht="16.5" customHeight="1">
      <c r="O4747" s="5" t="s">
        <v>355</v>
      </c>
      <c r="P4747" s="5" t="s">
        <v>355</v>
      </c>
      <c r="Q4747" s="5" t="s">
        <v>355</v>
      </c>
    </row>
    <row r="4748" ht="16.5" customHeight="1">
      <c r="O4748" s="5" t="s">
        <v>355</v>
      </c>
      <c r="P4748" s="5" t="s">
        <v>355</v>
      </c>
      <c r="Q4748" s="5" t="s">
        <v>355</v>
      </c>
    </row>
    <row r="4749" ht="16.5" customHeight="1">
      <c r="O4749" s="5" t="s">
        <v>355</v>
      </c>
      <c r="P4749" s="5" t="s">
        <v>355</v>
      </c>
      <c r="Q4749" s="5" t="s">
        <v>355</v>
      </c>
    </row>
    <row r="4750" ht="16.5" customHeight="1">
      <c r="O4750" s="5" t="s">
        <v>355</v>
      </c>
      <c r="P4750" s="5" t="s">
        <v>355</v>
      </c>
      <c r="Q4750" s="5" t="s">
        <v>355</v>
      </c>
    </row>
    <row r="4751" ht="16.5" customHeight="1">
      <c r="O4751" s="5" t="s">
        <v>355</v>
      </c>
      <c r="P4751" s="5" t="s">
        <v>355</v>
      </c>
      <c r="Q4751" s="5" t="s">
        <v>355</v>
      </c>
    </row>
    <row r="4752" ht="16.5" customHeight="1">
      <c r="O4752" s="5" t="s">
        <v>355</v>
      </c>
      <c r="P4752" s="5" t="s">
        <v>355</v>
      </c>
      <c r="Q4752" s="5" t="s">
        <v>355</v>
      </c>
    </row>
    <row r="4753" ht="16.5" customHeight="1">
      <c r="O4753" s="5" t="s">
        <v>355</v>
      </c>
      <c r="P4753" s="5" t="s">
        <v>355</v>
      </c>
      <c r="Q4753" s="5" t="s">
        <v>355</v>
      </c>
    </row>
    <row r="4754" ht="16.5" customHeight="1">
      <c r="O4754" s="5" t="s">
        <v>355</v>
      </c>
      <c r="P4754" s="5" t="s">
        <v>355</v>
      </c>
      <c r="Q4754" s="5" t="s">
        <v>355</v>
      </c>
    </row>
    <row r="4755" ht="16.5" customHeight="1">
      <c r="O4755" s="5" t="s">
        <v>355</v>
      </c>
      <c r="P4755" s="5" t="s">
        <v>355</v>
      </c>
      <c r="Q4755" s="5" t="s">
        <v>355</v>
      </c>
    </row>
    <row r="4756" ht="16.5" customHeight="1">
      <c r="O4756" s="5" t="s">
        <v>355</v>
      </c>
      <c r="P4756" s="5" t="s">
        <v>355</v>
      </c>
      <c r="Q4756" s="5" t="s">
        <v>355</v>
      </c>
    </row>
    <row r="4757" ht="16.5" customHeight="1">
      <c r="O4757" s="5" t="s">
        <v>355</v>
      </c>
      <c r="P4757" s="5" t="s">
        <v>355</v>
      </c>
      <c r="Q4757" s="5" t="s">
        <v>355</v>
      </c>
    </row>
    <row r="4758" ht="16.5" customHeight="1">
      <c r="O4758" s="5" t="s">
        <v>355</v>
      </c>
      <c r="P4758" s="5" t="s">
        <v>355</v>
      </c>
      <c r="Q4758" s="5" t="s">
        <v>355</v>
      </c>
    </row>
    <row r="4759" ht="16.5" customHeight="1">
      <c r="O4759" s="5" t="s">
        <v>355</v>
      </c>
      <c r="P4759" s="5" t="s">
        <v>355</v>
      </c>
      <c r="Q4759" s="5" t="s">
        <v>355</v>
      </c>
    </row>
    <row r="4760" ht="16.5" customHeight="1">
      <c r="O4760" s="5" t="s">
        <v>355</v>
      </c>
      <c r="P4760" s="5" t="s">
        <v>355</v>
      </c>
      <c r="Q4760" s="5" t="s">
        <v>355</v>
      </c>
    </row>
    <row r="4761" ht="16.5" customHeight="1">
      <c r="O4761" s="5" t="s">
        <v>355</v>
      </c>
      <c r="P4761" s="5" t="s">
        <v>355</v>
      </c>
      <c r="Q4761" s="5" t="s">
        <v>355</v>
      </c>
    </row>
    <row r="4762" ht="16.5" customHeight="1">
      <c r="O4762" s="5" t="s">
        <v>355</v>
      </c>
      <c r="P4762" s="5" t="s">
        <v>355</v>
      </c>
      <c r="Q4762" s="5" t="s">
        <v>355</v>
      </c>
    </row>
    <row r="4763" ht="16.5" customHeight="1">
      <c r="O4763" s="5" t="s">
        <v>355</v>
      </c>
      <c r="P4763" s="5" t="s">
        <v>355</v>
      </c>
      <c r="Q4763" s="5" t="s">
        <v>355</v>
      </c>
    </row>
    <row r="4764" ht="16.5" customHeight="1">
      <c r="O4764" s="5" t="s">
        <v>355</v>
      </c>
      <c r="P4764" s="5" t="s">
        <v>355</v>
      </c>
      <c r="Q4764" s="5" t="s">
        <v>355</v>
      </c>
    </row>
    <row r="4765" ht="16.5" customHeight="1">
      <c r="O4765" s="5" t="s">
        <v>355</v>
      </c>
      <c r="P4765" s="5" t="s">
        <v>355</v>
      </c>
      <c r="Q4765" s="5" t="s">
        <v>355</v>
      </c>
    </row>
    <row r="4766" ht="16.5" customHeight="1">
      <c r="O4766" s="5" t="s">
        <v>355</v>
      </c>
      <c r="P4766" s="5" t="s">
        <v>355</v>
      </c>
      <c r="Q4766" s="5" t="s">
        <v>355</v>
      </c>
    </row>
    <row r="4767" ht="16.5" customHeight="1">
      <c r="O4767" s="5" t="s">
        <v>355</v>
      </c>
      <c r="P4767" s="5" t="s">
        <v>355</v>
      </c>
      <c r="Q4767" s="5" t="s">
        <v>355</v>
      </c>
    </row>
    <row r="4768" ht="16.5" customHeight="1">
      <c r="O4768" s="5" t="s">
        <v>355</v>
      </c>
      <c r="P4768" s="5" t="s">
        <v>355</v>
      </c>
      <c r="Q4768" s="5" t="s">
        <v>355</v>
      </c>
    </row>
    <row r="4769" ht="16.5" customHeight="1">
      <c r="O4769" s="5" t="s">
        <v>355</v>
      </c>
      <c r="P4769" s="5" t="s">
        <v>355</v>
      </c>
      <c r="Q4769" s="5" t="s">
        <v>355</v>
      </c>
    </row>
    <row r="4770" ht="16.5" customHeight="1">
      <c r="O4770" s="5" t="s">
        <v>355</v>
      </c>
      <c r="P4770" s="5" t="s">
        <v>355</v>
      </c>
      <c r="Q4770" s="5" t="s">
        <v>355</v>
      </c>
    </row>
    <row r="4771" ht="16.5" customHeight="1">
      <c r="O4771" s="5" t="s">
        <v>355</v>
      </c>
      <c r="P4771" s="5" t="s">
        <v>355</v>
      </c>
      <c r="Q4771" s="5" t="s">
        <v>355</v>
      </c>
    </row>
    <row r="4772" ht="16.5" customHeight="1">
      <c r="O4772" s="5" t="s">
        <v>355</v>
      </c>
      <c r="P4772" s="5" t="s">
        <v>355</v>
      </c>
      <c r="Q4772" s="5" t="s">
        <v>355</v>
      </c>
    </row>
    <row r="4773" ht="16.5" customHeight="1">
      <c r="O4773" s="5" t="s">
        <v>355</v>
      </c>
      <c r="P4773" s="5" t="s">
        <v>355</v>
      </c>
      <c r="Q4773" s="5" t="s">
        <v>355</v>
      </c>
    </row>
    <row r="4774" ht="16.5" customHeight="1">
      <c r="O4774" s="5" t="s">
        <v>355</v>
      </c>
      <c r="P4774" s="5" t="s">
        <v>355</v>
      </c>
      <c r="Q4774" s="5" t="s">
        <v>355</v>
      </c>
    </row>
    <row r="4775" ht="16.5" customHeight="1">
      <c r="O4775" s="5" t="s">
        <v>355</v>
      </c>
      <c r="P4775" s="5" t="s">
        <v>355</v>
      </c>
      <c r="Q4775" s="5" t="s">
        <v>355</v>
      </c>
    </row>
    <row r="4776" ht="16.5" customHeight="1">
      <c r="O4776" s="5" t="s">
        <v>355</v>
      </c>
      <c r="P4776" s="5" t="s">
        <v>355</v>
      </c>
      <c r="Q4776" s="5" t="s">
        <v>355</v>
      </c>
    </row>
    <row r="4777" ht="16.5" customHeight="1">
      <c r="O4777" s="5" t="s">
        <v>355</v>
      </c>
      <c r="P4777" s="5" t="s">
        <v>355</v>
      </c>
      <c r="Q4777" s="5" t="s">
        <v>355</v>
      </c>
    </row>
    <row r="4778" ht="16.5" customHeight="1">
      <c r="O4778" s="5" t="s">
        <v>355</v>
      </c>
      <c r="P4778" s="5" t="s">
        <v>355</v>
      </c>
      <c r="Q4778" s="5" t="s">
        <v>355</v>
      </c>
    </row>
    <row r="4779" ht="16.5" customHeight="1">
      <c r="O4779" s="5" t="s">
        <v>355</v>
      </c>
      <c r="P4779" s="5" t="s">
        <v>355</v>
      </c>
      <c r="Q4779" s="5" t="s">
        <v>355</v>
      </c>
    </row>
    <row r="4780" ht="16.5" customHeight="1">
      <c r="O4780" s="5" t="s">
        <v>355</v>
      </c>
      <c r="P4780" s="5" t="s">
        <v>355</v>
      </c>
      <c r="Q4780" s="5" t="s">
        <v>355</v>
      </c>
    </row>
    <row r="4781" ht="16.5" customHeight="1">
      <c r="O4781" s="5" t="s">
        <v>355</v>
      </c>
      <c r="P4781" s="5" t="s">
        <v>355</v>
      </c>
      <c r="Q4781" s="5" t="s">
        <v>355</v>
      </c>
    </row>
    <row r="4782" ht="16.5" customHeight="1">
      <c r="O4782" s="5" t="s">
        <v>355</v>
      </c>
      <c r="P4782" s="5" t="s">
        <v>355</v>
      </c>
      <c r="Q4782" s="5" t="s">
        <v>355</v>
      </c>
    </row>
    <row r="4783" ht="16.5" customHeight="1">
      <c r="O4783" s="5" t="s">
        <v>355</v>
      </c>
      <c r="P4783" s="5" t="s">
        <v>355</v>
      </c>
      <c r="Q4783" s="5" t="s">
        <v>355</v>
      </c>
    </row>
    <row r="4784" ht="16.5" customHeight="1">
      <c r="O4784" s="5" t="s">
        <v>355</v>
      </c>
      <c r="P4784" s="5" t="s">
        <v>355</v>
      </c>
      <c r="Q4784" s="5" t="s">
        <v>355</v>
      </c>
    </row>
    <row r="4785" ht="16.5" customHeight="1">
      <c r="O4785" s="5" t="s">
        <v>355</v>
      </c>
      <c r="P4785" s="5" t="s">
        <v>355</v>
      </c>
      <c r="Q4785" s="5" t="s">
        <v>355</v>
      </c>
    </row>
    <row r="4786" ht="16.5" customHeight="1">
      <c r="O4786" s="5" t="s">
        <v>355</v>
      </c>
      <c r="P4786" s="5" t="s">
        <v>355</v>
      </c>
      <c r="Q4786" s="5" t="s">
        <v>355</v>
      </c>
    </row>
    <row r="4787" ht="16.5" customHeight="1">
      <c r="O4787" s="5" t="s">
        <v>355</v>
      </c>
      <c r="P4787" s="5" t="s">
        <v>355</v>
      </c>
      <c r="Q4787" s="5" t="s">
        <v>355</v>
      </c>
    </row>
    <row r="4788" ht="16.5" customHeight="1">
      <c r="O4788" s="5" t="s">
        <v>355</v>
      </c>
      <c r="P4788" s="5" t="s">
        <v>355</v>
      </c>
      <c r="Q4788" s="5" t="s">
        <v>355</v>
      </c>
    </row>
    <row r="4789" ht="16.5" customHeight="1">
      <c r="O4789" s="5" t="s">
        <v>355</v>
      </c>
      <c r="P4789" s="5" t="s">
        <v>355</v>
      </c>
      <c r="Q4789" s="5" t="s">
        <v>355</v>
      </c>
    </row>
    <row r="4790" ht="16.5" customHeight="1">
      <c r="O4790" s="5" t="s">
        <v>355</v>
      </c>
      <c r="P4790" s="5" t="s">
        <v>355</v>
      </c>
      <c r="Q4790" s="5" t="s">
        <v>355</v>
      </c>
    </row>
    <row r="4791" ht="16.5" customHeight="1">
      <c r="O4791" s="5" t="s">
        <v>355</v>
      </c>
      <c r="P4791" s="5" t="s">
        <v>355</v>
      </c>
      <c r="Q4791" s="5" t="s">
        <v>355</v>
      </c>
    </row>
    <row r="4792" ht="16.5" customHeight="1">
      <c r="O4792" s="5" t="s">
        <v>355</v>
      </c>
      <c r="P4792" s="5" t="s">
        <v>355</v>
      </c>
      <c r="Q4792" s="5" t="s">
        <v>355</v>
      </c>
    </row>
    <row r="4793" ht="16.5" customHeight="1">
      <c r="O4793" s="5" t="s">
        <v>355</v>
      </c>
      <c r="P4793" s="5" t="s">
        <v>355</v>
      </c>
      <c r="Q4793" s="5" t="s">
        <v>355</v>
      </c>
    </row>
    <row r="4794" ht="16.5" customHeight="1">
      <c r="O4794" s="5" t="s">
        <v>355</v>
      </c>
      <c r="P4794" s="5" t="s">
        <v>355</v>
      </c>
      <c r="Q4794" s="5" t="s">
        <v>355</v>
      </c>
    </row>
    <row r="4795" ht="16.5" customHeight="1">
      <c r="O4795" s="5" t="s">
        <v>355</v>
      </c>
      <c r="P4795" s="5" t="s">
        <v>355</v>
      </c>
      <c r="Q4795" s="5" t="s">
        <v>355</v>
      </c>
    </row>
    <row r="4796" ht="16.5" customHeight="1">
      <c r="O4796" s="5" t="s">
        <v>355</v>
      </c>
      <c r="P4796" s="5" t="s">
        <v>355</v>
      </c>
      <c r="Q4796" s="5" t="s">
        <v>355</v>
      </c>
    </row>
    <row r="4797" ht="16.5" customHeight="1">
      <c r="O4797" s="5" t="s">
        <v>355</v>
      </c>
      <c r="P4797" s="5" t="s">
        <v>355</v>
      </c>
      <c r="Q4797" s="5" t="s">
        <v>355</v>
      </c>
    </row>
    <row r="4798" ht="16.5" customHeight="1">
      <c r="O4798" s="5" t="s">
        <v>355</v>
      </c>
      <c r="P4798" s="5" t="s">
        <v>355</v>
      </c>
      <c r="Q4798" s="5" t="s">
        <v>355</v>
      </c>
    </row>
    <row r="4799" ht="16.5" customHeight="1">
      <c r="O4799" s="5" t="s">
        <v>355</v>
      </c>
      <c r="P4799" s="5" t="s">
        <v>355</v>
      </c>
      <c r="Q4799" s="5" t="s">
        <v>355</v>
      </c>
    </row>
    <row r="4800" ht="16.5" customHeight="1">
      <c r="O4800" s="5" t="s">
        <v>355</v>
      </c>
      <c r="P4800" s="5" t="s">
        <v>355</v>
      </c>
      <c r="Q4800" s="5" t="s">
        <v>355</v>
      </c>
    </row>
    <row r="4801" ht="16.5" customHeight="1">
      <c r="O4801" s="5" t="s">
        <v>355</v>
      </c>
      <c r="P4801" s="5" t="s">
        <v>355</v>
      </c>
      <c r="Q4801" s="5" t="s">
        <v>355</v>
      </c>
    </row>
    <row r="4802" ht="16.5" customHeight="1">
      <c r="O4802" s="5" t="s">
        <v>355</v>
      </c>
      <c r="P4802" s="5" t="s">
        <v>355</v>
      </c>
      <c r="Q4802" s="5" t="s">
        <v>355</v>
      </c>
    </row>
    <row r="4803" ht="16.5" customHeight="1">
      <c r="O4803" s="5" t="s">
        <v>355</v>
      </c>
      <c r="P4803" s="5" t="s">
        <v>355</v>
      </c>
      <c r="Q4803" s="5" t="s">
        <v>355</v>
      </c>
    </row>
    <row r="4804" ht="16.5" customHeight="1">
      <c r="O4804" s="5" t="s">
        <v>355</v>
      </c>
      <c r="P4804" s="5" t="s">
        <v>355</v>
      </c>
      <c r="Q4804" s="5" t="s">
        <v>355</v>
      </c>
    </row>
    <row r="4805" ht="16.5" customHeight="1">
      <c r="O4805" s="5" t="s">
        <v>355</v>
      </c>
      <c r="P4805" s="5" t="s">
        <v>355</v>
      </c>
      <c r="Q4805" s="5" t="s">
        <v>355</v>
      </c>
    </row>
    <row r="4806" ht="16.5" customHeight="1">
      <c r="O4806" s="5" t="s">
        <v>355</v>
      </c>
      <c r="P4806" s="5" t="s">
        <v>355</v>
      </c>
      <c r="Q4806" s="5" t="s">
        <v>355</v>
      </c>
    </row>
    <row r="4807" ht="16.5" customHeight="1">
      <c r="O4807" s="5" t="s">
        <v>355</v>
      </c>
      <c r="P4807" s="5" t="s">
        <v>355</v>
      </c>
      <c r="Q4807" s="5" t="s">
        <v>355</v>
      </c>
    </row>
    <row r="4808" ht="16.5" customHeight="1">
      <c r="O4808" s="5" t="s">
        <v>355</v>
      </c>
      <c r="P4808" s="5" t="s">
        <v>355</v>
      </c>
      <c r="Q4808" s="5" t="s">
        <v>355</v>
      </c>
    </row>
    <row r="4809" ht="16.5" customHeight="1">
      <c r="O4809" s="5" t="s">
        <v>355</v>
      </c>
      <c r="P4809" s="5" t="s">
        <v>355</v>
      </c>
      <c r="Q4809" s="5" t="s">
        <v>355</v>
      </c>
    </row>
    <row r="4810" ht="16.5" customHeight="1">
      <c r="O4810" s="5" t="s">
        <v>355</v>
      </c>
      <c r="P4810" s="5" t="s">
        <v>355</v>
      </c>
      <c r="Q4810" s="5" t="s">
        <v>355</v>
      </c>
    </row>
    <row r="4811" ht="16.5" customHeight="1">
      <c r="O4811" s="5" t="s">
        <v>355</v>
      </c>
      <c r="P4811" s="5" t="s">
        <v>355</v>
      </c>
      <c r="Q4811" s="5" t="s">
        <v>355</v>
      </c>
    </row>
    <row r="4812" ht="16.5" customHeight="1">
      <c r="O4812" s="5" t="s">
        <v>355</v>
      </c>
      <c r="P4812" s="5" t="s">
        <v>355</v>
      </c>
      <c r="Q4812" s="5" t="s">
        <v>355</v>
      </c>
    </row>
    <row r="4813" ht="16.5" customHeight="1">
      <c r="O4813" s="5" t="s">
        <v>355</v>
      </c>
      <c r="P4813" s="5" t="s">
        <v>355</v>
      </c>
      <c r="Q4813" s="5" t="s">
        <v>355</v>
      </c>
    </row>
    <row r="4814" ht="16.5" customHeight="1">
      <c r="O4814" s="5" t="s">
        <v>355</v>
      </c>
      <c r="P4814" s="5" t="s">
        <v>355</v>
      </c>
      <c r="Q4814" s="5" t="s">
        <v>355</v>
      </c>
    </row>
    <row r="4815" ht="16.5" customHeight="1">
      <c r="O4815" s="5" t="s">
        <v>355</v>
      </c>
      <c r="P4815" s="5" t="s">
        <v>355</v>
      </c>
      <c r="Q4815" s="5" t="s">
        <v>355</v>
      </c>
    </row>
    <row r="4816" ht="16.5" customHeight="1">
      <c r="O4816" s="5" t="s">
        <v>355</v>
      </c>
      <c r="P4816" s="5" t="s">
        <v>355</v>
      </c>
      <c r="Q4816" s="5" t="s">
        <v>355</v>
      </c>
    </row>
    <row r="4817" ht="16.5" customHeight="1">
      <c r="O4817" s="5" t="s">
        <v>355</v>
      </c>
      <c r="P4817" s="5" t="s">
        <v>355</v>
      </c>
      <c r="Q4817" s="5" t="s">
        <v>355</v>
      </c>
    </row>
    <row r="4818" ht="16.5" customHeight="1">
      <c r="O4818" s="5" t="s">
        <v>355</v>
      </c>
      <c r="P4818" s="5" t="s">
        <v>355</v>
      </c>
      <c r="Q4818" s="5" t="s">
        <v>355</v>
      </c>
    </row>
    <row r="4819" ht="16.5" customHeight="1">
      <c r="O4819" s="5" t="s">
        <v>355</v>
      </c>
      <c r="P4819" s="5" t="s">
        <v>355</v>
      </c>
      <c r="Q4819" s="5" t="s">
        <v>355</v>
      </c>
    </row>
    <row r="4820" ht="16.5" customHeight="1">
      <c r="O4820" s="5" t="s">
        <v>355</v>
      </c>
      <c r="P4820" s="5" t="s">
        <v>355</v>
      </c>
      <c r="Q4820" s="5" t="s">
        <v>355</v>
      </c>
    </row>
    <row r="4821" ht="16.5" customHeight="1">
      <c r="O4821" s="5" t="s">
        <v>355</v>
      </c>
      <c r="P4821" s="5" t="s">
        <v>355</v>
      </c>
      <c r="Q4821" s="5" t="s">
        <v>355</v>
      </c>
    </row>
    <row r="4822" ht="16.5" customHeight="1">
      <c r="O4822" s="5" t="s">
        <v>355</v>
      </c>
      <c r="P4822" s="5" t="s">
        <v>355</v>
      </c>
      <c r="Q4822" s="5" t="s">
        <v>355</v>
      </c>
    </row>
    <row r="4823" ht="16.5" customHeight="1">
      <c r="O4823" s="5" t="s">
        <v>355</v>
      </c>
      <c r="P4823" s="5" t="s">
        <v>355</v>
      </c>
      <c r="Q4823" s="5" t="s">
        <v>355</v>
      </c>
    </row>
    <row r="4824" ht="16.5" customHeight="1">
      <c r="O4824" s="5" t="s">
        <v>355</v>
      </c>
      <c r="P4824" s="5" t="s">
        <v>355</v>
      </c>
      <c r="Q4824" s="5" t="s">
        <v>355</v>
      </c>
    </row>
    <row r="4825" ht="16.5" customHeight="1">
      <c r="O4825" s="5" t="s">
        <v>355</v>
      </c>
      <c r="P4825" s="5" t="s">
        <v>355</v>
      </c>
      <c r="Q4825" s="5" t="s">
        <v>355</v>
      </c>
    </row>
    <row r="4826" ht="16.5" customHeight="1">
      <c r="O4826" s="5" t="s">
        <v>355</v>
      </c>
      <c r="P4826" s="5" t="s">
        <v>355</v>
      </c>
      <c r="Q4826" s="5" t="s">
        <v>355</v>
      </c>
    </row>
    <row r="4827" ht="16.5" customHeight="1">
      <c r="O4827" s="5" t="s">
        <v>355</v>
      </c>
      <c r="P4827" s="5" t="s">
        <v>355</v>
      </c>
      <c r="Q4827" s="5" t="s">
        <v>355</v>
      </c>
    </row>
    <row r="4828" ht="16.5" customHeight="1">
      <c r="O4828" s="5" t="s">
        <v>355</v>
      </c>
      <c r="P4828" s="5" t="s">
        <v>355</v>
      </c>
      <c r="Q4828" s="5" t="s">
        <v>355</v>
      </c>
    </row>
    <row r="4829" ht="16.5" customHeight="1">
      <c r="O4829" s="5" t="s">
        <v>355</v>
      </c>
      <c r="P4829" s="5" t="s">
        <v>355</v>
      </c>
      <c r="Q4829" s="5" t="s">
        <v>355</v>
      </c>
    </row>
    <row r="4830" ht="16.5" customHeight="1">
      <c r="O4830" s="5" t="s">
        <v>355</v>
      </c>
      <c r="P4830" s="5" t="s">
        <v>355</v>
      </c>
      <c r="Q4830" s="5" t="s">
        <v>355</v>
      </c>
    </row>
    <row r="4831" ht="16.5" customHeight="1">
      <c r="O4831" s="5" t="s">
        <v>355</v>
      </c>
      <c r="P4831" s="5" t="s">
        <v>355</v>
      </c>
      <c r="Q4831" s="5" t="s">
        <v>355</v>
      </c>
    </row>
    <row r="4832" ht="16.5" customHeight="1">
      <c r="O4832" s="5" t="s">
        <v>355</v>
      </c>
      <c r="P4832" s="5" t="s">
        <v>355</v>
      </c>
      <c r="Q4832" s="5" t="s">
        <v>355</v>
      </c>
    </row>
    <row r="4833" ht="16.5" customHeight="1">
      <c r="O4833" s="5" t="s">
        <v>355</v>
      </c>
      <c r="P4833" s="5" t="s">
        <v>355</v>
      </c>
      <c r="Q4833" s="5" t="s">
        <v>355</v>
      </c>
    </row>
    <row r="4834" ht="16.5" customHeight="1">
      <c r="O4834" s="5" t="s">
        <v>355</v>
      </c>
      <c r="P4834" s="5" t="s">
        <v>355</v>
      </c>
      <c r="Q4834" s="5" t="s">
        <v>355</v>
      </c>
    </row>
    <row r="4835" ht="16.5" customHeight="1">
      <c r="O4835" s="5" t="s">
        <v>355</v>
      </c>
      <c r="P4835" s="5" t="s">
        <v>355</v>
      </c>
      <c r="Q4835" s="5" t="s">
        <v>355</v>
      </c>
    </row>
    <row r="4836" ht="16.5" customHeight="1">
      <c r="O4836" s="5" t="s">
        <v>355</v>
      </c>
      <c r="P4836" s="5" t="s">
        <v>355</v>
      </c>
      <c r="Q4836" s="5" t="s">
        <v>355</v>
      </c>
    </row>
    <row r="4837" ht="16.5" customHeight="1">
      <c r="O4837" s="5" t="s">
        <v>355</v>
      </c>
      <c r="P4837" s="5" t="s">
        <v>355</v>
      </c>
      <c r="Q4837" s="5" t="s">
        <v>355</v>
      </c>
    </row>
    <row r="4838" ht="16.5" customHeight="1">
      <c r="O4838" s="5" t="s">
        <v>355</v>
      </c>
      <c r="P4838" s="5" t="s">
        <v>355</v>
      </c>
      <c r="Q4838" s="5" t="s">
        <v>355</v>
      </c>
    </row>
    <row r="4839" ht="16.5" customHeight="1">
      <c r="O4839" s="5" t="s">
        <v>355</v>
      </c>
      <c r="P4839" s="5" t="s">
        <v>355</v>
      </c>
      <c r="Q4839" s="5" t="s">
        <v>355</v>
      </c>
    </row>
    <row r="4840" ht="16.5" customHeight="1">
      <c r="O4840" s="5" t="s">
        <v>355</v>
      </c>
      <c r="P4840" s="5" t="s">
        <v>355</v>
      </c>
      <c r="Q4840" s="5" t="s">
        <v>355</v>
      </c>
    </row>
    <row r="4841" ht="16.5" customHeight="1">
      <c r="O4841" s="5" t="s">
        <v>355</v>
      </c>
      <c r="P4841" s="5" t="s">
        <v>355</v>
      </c>
      <c r="Q4841" s="5" t="s">
        <v>355</v>
      </c>
    </row>
    <row r="4842" ht="16.5" customHeight="1">
      <c r="O4842" s="5" t="s">
        <v>355</v>
      </c>
      <c r="P4842" s="5" t="s">
        <v>355</v>
      </c>
      <c r="Q4842" s="5" t="s">
        <v>355</v>
      </c>
    </row>
    <row r="4843" ht="16.5" customHeight="1">
      <c r="O4843" s="5" t="s">
        <v>355</v>
      </c>
      <c r="P4843" s="5" t="s">
        <v>355</v>
      </c>
      <c r="Q4843" s="5" t="s">
        <v>355</v>
      </c>
    </row>
    <row r="4844" ht="16.5" customHeight="1">
      <c r="O4844" s="5" t="s">
        <v>355</v>
      </c>
      <c r="P4844" s="5" t="s">
        <v>355</v>
      </c>
      <c r="Q4844" s="5" t="s">
        <v>355</v>
      </c>
    </row>
    <row r="4845" ht="16.5" customHeight="1">
      <c r="O4845" s="5" t="s">
        <v>355</v>
      </c>
      <c r="P4845" s="5" t="s">
        <v>355</v>
      </c>
      <c r="Q4845" s="5" t="s">
        <v>355</v>
      </c>
    </row>
    <row r="4846" ht="16.5" customHeight="1">
      <c r="O4846" s="5" t="s">
        <v>355</v>
      </c>
      <c r="P4846" s="5" t="s">
        <v>355</v>
      </c>
      <c r="Q4846" s="5" t="s">
        <v>355</v>
      </c>
    </row>
    <row r="4847" ht="16.5" customHeight="1">
      <c r="O4847" s="5" t="s">
        <v>355</v>
      </c>
      <c r="P4847" s="5" t="s">
        <v>355</v>
      </c>
      <c r="Q4847" s="5" t="s">
        <v>355</v>
      </c>
    </row>
    <row r="4848" ht="16.5" customHeight="1">
      <c r="O4848" s="5" t="s">
        <v>355</v>
      </c>
      <c r="P4848" s="5" t="s">
        <v>355</v>
      </c>
      <c r="Q4848" s="5" t="s">
        <v>355</v>
      </c>
    </row>
    <row r="4849" ht="16.5" customHeight="1">
      <c r="O4849" s="5" t="s">
        <v>355</v>
      </c>
      <c r="P4849" s="5" t="s">
        <v>355</v>
      </c>
      <c r="Q4849" s="5" t="s">
        <v>355</v>
      </c>
    </row>
    <row r="4850" ht="16.5" customHeight="1">
      <c r="O4850" s="5" t="s">
        <v>355</v>
      </c>
      <c r="P4850" s="5" t="s">
        <v>355</v>
      </c>
      <c r="Q4850" s="5" t="s">
        <v>355</v>
      </c>
    </row>
    <row r="4851" ht="16.5" customHeight="1">
      <c r="O4851" s="5" t="s">
        <v>355</v>
      </c>
      <c r="P4851" s="5" t="s">
        <v>355</v>
      </c>
      <c r="Q4851" s="5" t="s">
        <v>355</v>
      </c>
    </row>
    <row r="4852" ht="16.5" customHeight="1">
      <c r="O4852" s="5" t="s">
        <v>355</v>
      </c>
      <c r="P4852" s="5" t="s">
        <v>355</v>
      </c>
      <c r="Q4852" s="5" t="s">
        <v>355</v>
      </c>
    </row>
    <row r="4853" ht="16.5" customHeight="1">
      <c r="O4853" s="5" t="s">
        <v>355</v>
      </c>
      <c r="P4853" s="5" t="s">
        <v>355</v>
      </c>
      <c r="Q4853" s="5" t="s">
        <v>355</v>
      </c>
    </row>
    <row r="4854" ht="16.5" customHeight="1">
      <c r="O4854" s="5" t="s">
        <v>355</v>
      </c>
      <c r="P4854" s="5" t="s">
        <v>355</v>
      </c>
      <c r="Q4854" s="5" t="s">
        <v>355</v>
      </c>
    </row>
    <row r="4855" ht="16.5" customHeight="1">
      <c r="O4855" s="5" t="s">
        <v>355</v>
      </c>
      <c r="P4855" s="5" t="s">
        <v>355</v>
      </c>
      <c r="Q4855" s="5" t="s">
        <v>355</v>
      </c>
    </row>
    <row r="4856" ht="16.5" customHeight="1">
      <c r="O4856" s="5" t="s">
        <v>355</v>
      </c>
      <c r="P4856" s="5" t="s">
        <v>355</v>
      </c>
      <c r="Q4856" s="5" t="s">
        <v>355</v>
      </c>
    </row>
    <row r="4857" ht="16.5" customHeight="1">
      <c r="O4857" s="5" t="s">
        <v>355</v>
      </c>
      <c r="P4857" s="5" t="s">
        <v>355</v>
      </c>
      <c r="Q4857" s="5" t="s">
        <v>355</v>
      </c>
    </row>
    <row r="4858" ht="16.5" customHeight="1">
      <c r="O4858" s="5" t="s">
        <v>355</v>
      </c>
      <c r="P4858" s="5" t="s">
        <v>355</v>
      </c>
      <c r="Q4858" s="5" t="s">
        <v>355</v>
      </c>
    </row>
    <row r="4859" ht="16.5" customHeight="1">
      <c r="O4859" s="5" t="s">
        <v>355</v>
      </c>
      <c r="P4859" s="5" t="s">
        <v>355</v>
      </c>
      <c r="Q4859" s="5" t="s">
        <v>355</v>
      </c>
    </row>
    <row r="4860" ht="16.5" customHeight="1">
      <c r="O4860" s="5" t="s">
        <v>355</v>
      </c>
      <c r="P4860" s="5" t="s">
        <v>355</v>
      </c>
      <c r="Q4860" s="5" t="s">
        <v>355</v>
      </c>
    </row>
    <row r="4861" ht="16.5" customHeight="1">
      <c r="O4861" s="5" t="s">
        <v>355</v>
      </c>
      <c r="P4861" s="5" t="s">
        <v>355</v>
      </c>
      <c r="Q4861" s="5" t="s">
        <v>355</v>
      </c>
    </row>
    <row r="4862" ht="16.5" customHeight="1">
      <c r="O4862" s="5" t="s">
        <v>355</v>
      </c>
      <c r="P4862" s="5" t="s">
        <v>355</v>
      </c>
      <c r="Q4862" s="5" t="s">
        <v>355</v>
      </c>
    </row>
    <row r="4863" ht="16.5" customHeight="1">
      <c r="O4863" s="5" t="s">
        <v>355</v>
      </c>
      <c r="P4863" s="5" t="s">
        <v>355</v>
      </c>
      <c r="Q4863" s="5" t="s">
        <v>355</v>
      </c>
    </row>
    <row r="4864" ht="16.5" customHeight="1">
      <c r="O4864" s="5" t="s">
        <v>355</v>
      </c>
      <c r="P4864" s="5" t="s">
        <v>355</v>
      </c>
      <c r="Q4864" s="5" t="s">
        <v>355</v>
      </c>
    </row>
    <row r="4865" ht="16.5" customHeight="1">
      <c r="O4865" s="5" t="s">
        <v>355</v>
      </c>
      <c r="P4865" s="5" t="s">
        <v>355</v>
      </c>
      <c r="Q4865" s="5" t="s">
        <v>355</v>
      </c>
    </row>
    <row r="4866" ht="16.5" customHeight="1">
      <c r="O4866" s="5" t="s">
        <v>355</v>
      </c>
      <c r="P4866" s="5" t="s">
        <v>355</v>
      </c>
      <c r="Q4866" s="5" t="s">
        <v>355</v>
      </c>
    </row>
    <row r="4867" ht="16.5" customHeight="1">
      <c r="O4867" s="5" t="s">
        <v>355</v>
      </c>
      <c r="P4867" s="5" t="s">
        <v>355</v>
      </c>
      <c r="Q4867" s="5" t="s">
        <v>355</v>
      </c>
    </row>
    <row r="4868" ht="16.5" customHeight="1">
      <c r="O4868" s="5" t="s">
        <v>355</v>
      </c>
      <c r="P4868" s="5" t="s">
        <v>355</v>
      </c>
      <c r="Q4868" s="5" t="s">
        <v>355</v>
      </c>
    </row>
    <row r="4869" ht="16.5" customHeight="1">
      <c r="O4869" s="5" t="s">
        <v>355</v>
      </c>
      <c r="P4869" s="5" t="s">
        <v>355</v>
      </c>
      <c r="Q4869" s="5" t="s">
        <v>355</v>
      </c>
    </row>
    <row r="4870" ht="16.5" customHeight="1">
      <c r="O4870" s="5" t="s">
        <v>355</v>
      </c>
      <c r="P4870" s="5" t="s">
        <v>355</v>
      </c>
      <c r="Q4870" s="5" t="s">
        <v>355</v>
      </c>
    </row>
    <row r="4871" ht="16.5" customHeight="1">
      <c r="O4871" s="5" t="s">
        <v>355</v>
      </c>
      <c r="P4871" s="5" t="s">
        <v>355</v>
      </c>
      <c r="Q4871" s="5" t="s">
        <v>355</v>
      </c>
    </row>
    <row r="4872" ht="16.5" customHeight="1">
      <c r="O4872" s="5" t="s">
        <v>355</v>
      </c>
      <c r="P4872" s="5" t="s">
        <v>355</v>
      </c>
      <c r="Q4872" s="5" t="s">
        <v>355</v>
      </c>
    </row>
    <row r="4873" ht="16.5" customHeight="1">
      <c r="O4873" s="5" t="s">
        <v>355</v>
      </c>
      <c r="P4873" s="5" t="s">
        <v>355</v>
      </c>
      <c r="Q4873" s="5" t="s">
        <v>355</v>
      </c>
    </row>
    <row r="4874" ht="16.5" customHeight="1">
      <c r="O4874" s="5" t="s">
        <v>355</v>
      </c>
      <c r="P4874" s="5" t="s">
        <v>355</v>
      </c>
      <c r="Q4874" s="5" t="s">
        <v>355</v>
      </c>
    </row>
    <row r="4875" ht="16.5" customHeight="1">
      <c r="O4875" s="5" t="s">
        <v>355</v>
      </c>
      <c r="P4875" s="5" t="s">
        <v>355</v>
      </c>
      <c r="Q4875" s="5" t="s">
        <v>355</v>
      </c>
    </row>
    <row r="4876" ht="16.5" customHeight="1">
      <c r="O4876" s="5" t="s">
        <v>355</v>
      </c>
      <c r="P4876" s="5" t="s">
        <v>355</v>
      </c>
      <c r="Q4876" s="5" t="s">
        <v>355</v>
      </c>
    </row>
    <row r="4877" ht="16.5" customHeight="1">
      <c r="O4877" s="5" t="s">
        <v>355</v>
      </c>
      <c r="P4877" s="5" t="s">
        <v>355</v>
      </c>
      <c r="Q4877" s="5" t="s">
        <v>355</v>
      </c>
    </row>
    <row r="4878" ht="16.5" customHeight="1">
      <c r="O4878" s="5" t="s">
        <v>355</v>
      </c>
      <c r="P4878" s="5" t="s">
        <v>355</v>
      </c>
      <c r="Q4878" s="5" t="s">
        <v>355</v>
      </c>
    </row>
    <row r="4879" ht="16.5" customHeight="1">
      <c r="O4879" s="5" t="s">
        <v>355</v>
      </c>
      <c r="P4879" s="5" t="s">
        <v>355</v>
      </c>
      <c r="Q4879" s="5" t="s">
        <v>355</v>
      </c>
    </row>
    <row r="4880" ht="16.5" customHeight="1">
      <c r="O4880" s="5" t="s">
        <v>355</v>
      </c>
      <c r="P4880" s="5" t="s">
        <v>355</v>
      </c>
      <c r="Q4880" s="5" t="s">
        <v>355</v>
      </c>
    </row>
    <row r="4881" ht="16.5" customHeight="1">
      <c r="O4881" s="5" t="s">
        <v>355</v>
      </c>
      <c r="P4881" s="5" t="s">
        <v>355</v>
      </c>
      <c r="Q4881" s="5" t="s">
        <v>355</v>
      </c>
    </row>
    <row r="4882" ht="16.5" customHeight="1">
      <c r="O4882" s="5" t="s">
        <v>355</v>
      </c>
      <c r="P4882" s="5" t="s">
        <v>355</v>
      </c>
      <c r="Q4882" s="5" t="s">
        <v>355</v>
      </c>
    </row>
    <row r="4883" ht="16.5" customHeight="1">
      <c r="O4883" s="5" t="s">
        <v>355</v>
      </c>
      <c r="P4883" s="5" t="s">
        <v>355</v>
      </c>
      <c r="Q4883" s="5" t="s">
        <v>355</v>
      </c>
    </row>
    <row r="4884" ht="16.5" customHeight="1">
      <c r="O4884" s="5" t="s">
        <v>355</v>
      </c>
      <c r="P4884" s="5" t="s">
        <v>355</v>
      </c>
      <c r="Q4884" s="5" t="s">
        <v>355</v>
      </c>
    </row>
    <row r="4885" ht="16.5" customHeight="1">
      <c r="O4885" s="5" t="s">
        <v>355</v>
      </c>
      <c r="P4885" s="5" t="s">
        <v>355</v>
      </c>
      <c r="Q4885" s="5" t="s">
        <v>355</v>
      </c>
    </row>
    <row r="4886" ht="16.5" customHeight="1">
      <c r="O4886" s="5" t="s">
        <v>355</v>
      </c>
      <c r="P4886" s="5" t="s">
        <v>355</v>
      </c>
      <c r="Q4886" s="5" t="s">
        <v>355</v>
      </c>
    </row>
    <row r="4887" ht="16.5" customHeight="1">
      <c r="O4887" s="5" t="s">
        <v>355</v>
      </c>
      <c r="P4887" s="5" t="s">
        <v>355</v>
      </c>
      <c r="Q4887" s="5" t="s">
        <v>355</v>
      </c>
    </row>
    <row r="4888" ht="16.5" customHeight="1">
      <c r="O4888" s="5" t="s">
        <v>355</v>
      </c>
      <c r="P4888" s="5" t="s">
        <v>355</v>
      </c>
      <c r="Q4888" s="5" t="s">
        <v>355</v>
      </c>
    </row>
    <row r="4889" ht="16.5" customHeight="1">
      <c r="O4889" s="5" t="s">
        <v>355</v>
      </c>
      <c r="P4889" s="5" t="s">
        <v>355</v>
      </c>
      <c r="Q4889" s="5" t="s">
        <v>355</v>
      </c>
    </row>
    <row r="4890" ht="16.5" customHeight="1">
      <c r="O4890" s="5" t="s">
        <v>355</v>
      </c>
      <c r="P4890" s="5" t="s">
        <v>355</v>
      </c>
      <c r="Q4890" s="5" t="s">
        <v>355</v>
      </c>
    </row>
    <row r="4891" ht="16.5" customHeight="1">
      <c r="O4891" s="5" t="s">
        <v>355</v>
      </c>
      <c r="P4891" s="5" t="s">
        <v>355</v>
      </c>
      <c r="Q4891" s="5" t="s">
        <v>355</v>
      </c>
    </row>
    <row r="4892" ht="16.5" customHeight="1">
      <c r="O4892" s="5" t="s">
        <v>355</v>
      </c>
      <c r="P4892" s="5" t="s">
        <v>355</v>
      </c>
      <c r="Q4892" s="5" t="s">
        <v>355</v>
      </c>
    </row>
    <row r="4893" ht="16.5" customHeight="1">
      <c r="O4893" s="5" t="s">
        <v>355</v>
      </c>
      <c r="P4893" s="5" t="s">
        <v>355</v>
      </c>
      <c r="Q4893" s="5" t="s">
        <v>355</v>
      </c>
    </row>
    <row r="4894" ht="16.5" customHeight="1">
      <c r="O4894" s="5" t="s">
        <v>355</v>
      </c>
      <c r="P4894" s="5" t="s">
        <v>355</v>
      </c>
      <c r="Q4894" s="5" t="s">
        <v>355</v>
      </c>
    </row>
    <row r="4895" ht="16.5" customHeight="1">
      <c r="O4895" s="5" t="s">
        <v>355</v>
      </c>
      <c r="P4895" s="5" t="s">
        <v>355</v>
      </c>
      <c r="Q4895" s="5" t="s">
        <v>355</v>
      </c>
    </row>
    <row r="4896" ht="16.5" customHeight="1">
      <c r="O4896" s="5" t="s">
        <v>355</v>
      </c>
      <c r="P4896" s="5" t="s">
        <v>355</v>
      </c>
      <c r="Q4896" s="5" t="s">
        <v>355</v>
      </c>
    </row>
    <row r="4897" ht="16.5" customHeight="1">
      <c r="O4897" s="5" t="s">
        <v>355</v>
      </c>
      <c r="P4897" s="5" t="s">
        <v>355</v>
      </c>
      <c r="Q4897" s="5" t="s">
        <v>355</v>
      </c>
    </row>
    <row r="4898" ht="16.5" customHeight="1">
      <c r="O4898" s="5" t="s">
        <v>355</v>
      </c>
      <c r="P4898" s="5" t="s">
        <v>355</v>
      </c>
      <c r="Q4898" s="5" t="s">
        <v>355</v>
      </c>
    </row>
    <row r="4899" ht="16.5" customHeight="1">
      <c r="O4899" s="5" t="s">
        <v>355</v>
      </c>
      <c r="P4899" s="5" t="s">
        <v>355</v>
      </c>
      <c r="Q4899" s="5" t="s">
        <v>355</v>
      </c>
    </row>
    <row r="4900" ht="16.5" customHeight="1">
      <c r="O4900" s="5" t="s">
        <v>355</v>
      </c>
      <c r="P4900" s="5" t="s">
        <v>355</v>
      </c>
      <c r="Q4900" s="5" t="s">
        <v>355</v>
      </c>
    </row>
    <row r="4901" ht="16.5" customHeight="1">
      <c r="O4901" s="5" t="s">
        <v>355</v>
      </c>
      <c r="P4901" s="5" t="s">
        <v>355</v>
      </c>
      <c r="Q4901" s="5" t="s">
        <v>355</v>
      </c>
    </row>
    <row r="4902" ht="16.5" customHeight="1">
      <c r="O4902" s="5" t="s">
        <v>355</v>
      </c>
      <c r="P4902" s="5" t="s">
        <v>355</v>
      </c>
      <c r="Q4902" s="5" t="s">
        <v>355</v>
      </c>
    </row>
    <row r="4903" ht="16.5" customHeight="1">
      <c r="O4903" s="5" t="s">
        <v>355</v>
      </c>
      <c r="P4903" s="5" t="s">
        <v>355</v>
      </c>
      <c r="Q4903" s="5" t="s">
        <v>355</v>
      </c>
    </row>
    <row r="4904" ht="16.5" customHeight="1">
      <c r="O4904" s="5" t="s">
        <v>355</v>
      </c>
      <c r="P4904" s="5" t="s">
        <v>355</v>
      </c>
      <c r="Q4904" s="5" t="s">
        <v>355</v>
      </c>
    </row>
    <row r="4905" ht="16.5" customHeight="1">
      <c r="O4905" s="5" t="s">
        <v>355</v>
      </c>
      <c r="P4905" s="5" t="s">
        <v>355</v>
      </c>
      <c r="Q4905" s="5" t="s">
        <v>355</v>
      </c>
    </row>
    <row r="4906" ht="16.5" customHeight="1">
      <c r="O4906" s="5" t="s">
        <v>355</v>
      </c>
      <c r="P4906" s="5" t="s">
        <v>355</v>
      </c>
      <c r="Q4906" s="5" t="s">
        <v>355</v>
      </c>
    </row>
    <row r="4907" ht="16.5" customHeight="1">
      <c r="O4907" s="5" t="s">
        <v>355</v>
      </c>
      <c r="P4907" s="5" t="s">
        <v>355</v>
      </c>
      <c r="Q4907" s="5" t="s">
        <v>355</v>
      </c>
    </row>
    <row r="4908" ht="16.5" customHeight="1">
      <c r="O4908" s="5" t="s">
        <v>355</v>
      </c>
      <c r="P4908" s="5" t="s">
        <v>355</v>
      </c>
      <c r="Q4908" s="5" t="s">
        <v>355</v>
      </c>
    </row>
    <row r="4909" ht="16.5" customHeight="1">
      <c r="O4909" s="5" t="s">
        <v>355</v>
      </c>
      <c r="P4909" s="5" t="s">
        <v>355</v>
      </c>
      <c r="Q4909" s="5" t="s">
        <v>355</v>
      </c>
    </row>
    <row r="4910" ht="16.5" customHeight="1">
      <c r="O4910" s="5" t="s">
        <v>355</v>
      </c>
      <c r="P4910" s="5" t="s">
        <v>355</v>
      </c>
      <c r="Q4910" s="5" t="s">
        <v>355</v>
      </c>
    </row>
    <row r="4911" ht="16.5" customHeight="1">
      <c r="O4911" s="5" t="s">
        <v>355</v>
      </c>
      <c r="P4911" s="5" t="s">
        <v>355</v>
      </c>
      <c r="Q4911" s="5" t="s">
        <v>355</v>
      </c>
    </row>
    <row r="4912" ht="16.5" customHeight="1">
      <c r="O4912" s="5" t="s">
        <v>355</v>
      </c>
      <c r="P4912" s="5" t="s">
        <v>355</v>
      </c>
      <c r="Q4912" s="5" t="s">
        <v>355</v>
      </c>
    </row>
    <row r="4913" ht="16.5" customHeight="1">
      <c r="O4913" s="5" t="s">
        <v>355</v>
      </c>
      <c r="P4913" s="5" t="s">
        <v>355</v>
      </c>
      <c r="Q4913" s="5" t="s">
        <v>355</v>
      </c>
    </row>
    <row r="4914" ht="16.5" customHeight="1">
      <c r="O4914" s="5" t="s">
        <v>355</v>
      </c>
      <c r="P4914" s="5" t="s">
        <v>355</v>
      </c>
      <c r="Q4914" s="5" t="s">
        <v>355</v>
      </c>
    </row>
    <row r="4915" ht="16.5" customHeight="1">
      <c r="O4915" s="5" t="s">
        <v>355</v>
      </c>
      <c r="P4915" s="5" t="s">
        <v>355</v>
      </c>
      <c r="Q4915" s="5" t="s">
        <v>355</v>
      </c>
    </row>
    <row r="4916" ht="16.5" customHeight="1">
      <c r="O4916" s="5" t="s">
        <v>355</v>
      </c>
      <c r="P4916" s="5" t="s">
        <v>355</v>
      </c>
      <c r="Q4916" s="5" t="s">
        <v>355</v>
      </c>
    </row>
    <row r="4917" ht="16.5" customHeight="1">
      <c r="O4917" s="5" t="s">
        <v>355</v>
      </c>
      <c r="P4917" s="5" t="s">
        <v>355</v>
      </c>
      <c r="Q4917" s="5" t="s">
        <v>355</v>
      </c>
    </row>
    <row r="4918" ht="16.5" customHeight="1">
      <c r="O4918" s="5" t="s">
        <v>355</v>
      </c>
      <c r="P4918" s="5" t="s">
        <v>355</v>
      </c>
      <c r="Q4918" s="5" t="s">
        <v>355</v>
      </c>
    </row>
    <row r="4919" ht="16.5" customHeight="1">
      <c r="O4919" s="5" t="s">
        <v>355</v>
      </c>
      <c r="P4919" s="5" t="s">
        <v>355</v>
      </c>
      <c r="Q4919" s="5" t="s">
        <v>355</v>
      </c>
    </row>
    <row r="4920" ht="16.5" customHeight="1">
      <c r="O4920" s="5" t="s">
        <v>355</v>
      </c>
      <c r="P4920" s="5" t="s">
        <v>355</v>
      </c>
      <c r="Q4920" s="5" t="s">
        <v>355</v>
      </c>
    </row>
    <row r="4921" ht="16.5" customHeight="1">
      <c r="O4921" s="5" t="s">
        <v>355</v>
      </c>
      <c r="P4921" s="5" t="s">
        <v>355</v>
      </c>
      <c r="Q4921" s="5" t="s">
        <v>355</v>
      </c>
    </row>
    <row r="4922" ht="16.5" customHeight="1">
      <c r="O4922" s="5" t="s">
        <v>355</v>
      </c>
      <c r="P4922" s="5" t="s">
        <v>355</v>
      </c>
      <c r="Q4922" s="5" t="s">
        <v>355</v>
      </c>
    </row>
    <row r="4923" ht="16.5" customHeight="1">
      <c r="O4923" s="5" t="s">
        <v>355</v>
      </c>
      <c r="P4923" s="5" t="s">
        <v>355</v>
      </c>
      <c r="Q4923" s="5" t="s">
        <v>355</v>
      </c>
    </row>
    <row r="4924" ht="16.5" customHeight="1">
      <c r="O4924" s="5" t="s">
        <v>355</v>
      </c>
      <c r="P4924" s="5" t="s">
        <v>355</v>
      </c>
      <c r="Q4924" s="5" t="s">
        <v>355</v>
      </c>
    </row>
    <row r="4925" ht="16.5" customHeight="1">
      <c r="O4925" s="5" t="s">
        <v>355</v>
      </c>
      <c r="P4925" s="5" t="s">
        <v>355</v>
      </c>
      <c r="Q4925" s="5" t="s">
        <v>355</v>
      </c>
    </row>
    <row r="4926" ht="16.5" customHeight="1">
      <c r="O4926" s="5" t="s">
        <v>355</v>
      </c>
      <c r="P4926" s="5" t="s">
        <v>355</v>
      </c>
      <c r="Q4926" s="5" t="s">
        <v>355</v>
      </c>
    </row>
    <row r="4927" ht="16.5" customHeight="1">
      <c r="O4927" s="5" t="s">
        <v>355</v>
      </c>
      <c r="P4927" s="5" t="s">
        <v>355</v>
      </c>
      <c r="Q4927" s="5" t="s">
        <v>355</v>
      </c>
    </row>
    <row r="4928" ht="16.5" customHeight="1">
      <c r="O4928" s="5" t="s">
        <v>355</v>
      </c>
      <c r="P4928" s="5" t="s">
        <v>355</v>
      </c>
      <c r="Q4928" s="5" t="s">
        <v>355</v>
      </c>
    </row>
    <row r="4929" ht="16.5" customHeight="1">
      <c r="O4929" s="5" t="s">
        <v>355</v>
      </c>
      <c r="P4929" s="5" t="s">
        <v>355</v>
      </c>
      <c r="Q4929" s="5" t="s">
        <v>355</v>
      </c>
    </row>
    <row r="4930" ht="16.5" customHeight="1">
      <c r="O4930" s="5" t="s">
        <v>355</v>
      </c>
      <c r="P4930" s="5" t="s">
        <v>355</v>
      </c>
      <c r="Q4930" s="5" t="s">
        <v>355</v>
      </c>
    </row>
    <row r="4931" ht="16.5" customHeight="1">
      <c r="O4931" s="5" t="s">
        <v>355</v>
      </c>
      <c r="P4931" s="5" t="s">
        <v>355</v>
      </c>
      <c r="Q4931" s="5" t="s">
        <v>355</v>
      </c>
    </row>
    <row r="4932" ht="16.5" customHeight="1">
      <c r="O4932" s="5" t="s">
        <v>355</v>
      </c>
      <c r="P4932" s="5" t="s">
        <v>355</v>
      </c>
      <c r="Q4932" s="5" t="s">
        <v>355</v>
      </c>
    </row>
    <row r="4933" ht="16.5" customHeight="1">
      <c r="O4933" s="5" t="s">
        <v>355</v>
      </c>
      <c r="P4933" s="5" t="s">
        <v>355</v>
      </c>
      <c r="Q4933" s="5" t="s">
        <v>355</v>
      </c>
    </row>
    <row r="4934" ht="16.5" customHeight="1">
      <c r="O4934" s="5" t="s">
        <v>355</v>
      </c>
      <c r="P4934" s="5" t="s">
        <v>355</v>
      </c>
      <c r="Q4934" s="5" t="s">
        <v>355</v>
      </c>
    </row>
    <row r="4935" ht="16.5" customHeight="1">
      <c r="O4935" s="5" t="s">
        <v>355</v>
      </c>
      <c r="P4935" s="5" t="s">
        <v>355</v>
      </c>
      <c r="Q4935" s="5" t="s">
        <v>355</v>
      </c>
    </row>
    <row r="4936" ht="16.5" customHeight="1">
      <c r="O4936" s="5" t="s">
        <v>355</v>
      </c>
      <c r="P4936" s="5" t="s">
        <v>355</v>
      </c>
      <c r="Q4936" s="5" t="s">
        <v>355</v>
      </c>
    </row>
    <row r="4937" ht="16.5" customHeight="1">
      <c r="O4937" s="5" t="s">
        <v>355</v>
      </c>
      <c r="P4937" s="5" t="s">
        <v>355</v>
      </c>
      <c r="Q4937" s="5" t="s">
        <v>355</v>
      </c>
    </row>
    <row r="4938" ht="16.5" customHeight="1">
      <c r="O4938" s="5" t="s">
        <v>355</v>
      </c>
      <c r="P4938" s="5" t="s">
        <v>355</v>
      </c>
      <c r="Q4938" s="5" t="s">
        <v>355</v>
      </c>
    </row>
    <row r="4939" ht="16.5" customHeight="1">
      <c r="O4939" s="5" t="s">
        <v>355</v>
      </c>
      <c r="P4939" s="5" t="s">
        <v>355</v>
      </c>
      <c r="Q4939" s="5" t="s">
        <v>355</v>
      </c>
    </row>
    <row r="4940" ht="16.5" customHeight="1">
      <c r="O4940" s="5" t="s">
        <v>355</v>
      </c>
      <c r="P4940" s="5" t="s">
        <v>355</v>
      </c>
      <c r="Q4940" s="5" t="s">
        <v>355</v>
      </c>
    </row>
    <row r="4941" ht="16.5" customHeight="1">
      <c r="O4941" s="5" t="s">
        <v>355</v>
      </c>
      <c r="P4941" s="5" t="s">
        <v>355</v>
      </c>
      <c r="Q4941" s="5" t="s">
        <v>355</v>
      </c>
    </row>
    <row r="4942" ht="16.5" customHeight="1">
      <c r="O4942" s="5" t="s">
        <v>355</v>
      </c>
      <c r="P4942" s="5" t="s">
        <v>355</v>
      </c>
      <c r="Q4942" s="5" t="s">
        <v>355</v>
      </c>
    </row>
    <row r="4943" ht="16.5" customHeight="1">
      <c r="O4943" s="5" t="s">
        <v>355</v>
      </c>
      <c r="P4943" s="5" t="s">
        <v>355</v>
      </c>
      <c r="Q4943" s="5" t="s">
        <v>355</v>
      </c>
    </row>
    <row r="4944" ht="16.5" customHeight="1">
      <c r="O4944" s="5" t="s">
        <v>355</v>
      </c>
      <c r="P4944" s="5" t="s">
        <v>355</v>
      </c>
      <c r="Q4944" s="5" t="s">
        <v>355</v>
      </c>
    </row>
    <row r="4945" ht="16.5" customHeight="1">
      <c r="O4945" s="5" t="s">
        <v>355</v>
      </c>
      <c r="P4945" s="5" t="s">
        <v>355</v>
      </c>
      <c r="Q4945" s="5" t="s">
        <v>355</v>
      </c>
    </row>
    <row r="4946" ht="16.5" customHeight="1">
      <c r="O4946" s="5" t="s">
        <v>355</v>
      </c>
      <c r="P4946" s="5" t="s">
        <v>355</v>
      </c>
      <c r="Q4946" s="5" t="s">
        <v>355</v>
      </c>
    </row>
    <row r="4947" ht="16.5" customHeight="1">
      <c r="O4947" s="5" t="s">
        <v>355</v>
      </c>
      <c r="P4947" s="5" t="s">
        <v>355</v>
      </c>
      <c r="Q4947" s="5" t="s">
        <v>355</v>
      </c>
    </row>
    <row r="4948" ht="16.5" customHeight="1">
      <c r="O4948" s="5" t="s">
        <v>355</v>
      </c>
      <c r="P4948" s="5" t="s">
        <v>355</v>
      </c>
      <c r="Q4948" s="5" t="s">
        <v>355</v>
      </c>
    </row>
    <row r="4949" ht="16.5" customHeight="1">
      <c r="O4949" s="5" t="s">
        <v>355</v>
      </c>
      <c r="P4949" s="5" t="s">
        <v>355</v>
      </c>
      <c r="Q4949" s="5" t="s">
        <v>355</v>
      </c>
    </row>
    <row r="4950" ht="16.5" customHeight="1">
      <c r="O4950" s="5" t="s">
        <v>355</v>
      </c>
      <c r="P4950" s="5" t="s">
        <v>355</v>
      </c>
      <c r="Q4950" s="5" t="s">
        <v>355</v>
      </c>
    </row>
    <row r="4951" ht="16.5" customHeight="1">
      <c r="O4951" s="5" t="s">
        <v>355</v>
      </c>
      <c r="P4951" s="5" t="s">
        <v>355</v>
      </c>
      <c r="Q4951" s="5" t="s">
        <v>355</v>
      </c>
    </row>
    <row r="4952" ht="16.5" customHeight="1">
      <c r="O4952" s="5" t="s">
        <v>355</v>
      </c>
      <c r="P4952" s="5" t="s">
        <v>355</v>
      </c>
      <c r="Q4952" s="5" t="s">
        <v>355</v>
      </c>
    </row>
    <row r="4953" ht="16.5" customHeight="1">
      <c r="O4953" s="5" t="s">
        <v>355</v>
      </c>
      <c r="P4953" s="5" t="s">
        <v>355</v>
      </c>
      <c r="Q4953" s="5" t="s">
        <v>355</v>
      </c>
    </row>
    <row r="4954" ht="16.5" customHeight="1">
      <c r="O4954" s="5" t="s">
        <v>355</v>
      </c>
      <c r="P4954" s="5" t="s">
        <v>355</v>
      </c>
      <c r="Q4954" s="5" t="s">
        <v>355</v>
      </c>
    </row>
    <row r="4955" ht="16.5" customHeight="1">
      <c r="O4955" s="5" t="s">
        <v>355</v>
      </c>
      <c r="P4955" s="5" t="s">
        <v>355</v>
      </c>
      <c r="Q4955" s="5" t="s">
        <v>355</v>
      </c>
    </row>
    <row r="4956" ht="16.5" customHeight="1">
      <c r="O4956" s="5" t="s">
        <v>355</v>
      </c>
      <c r="P4956" s="5" t="s">
        <v>355</v>
      </c>
      <c r="Q4956" s="5" t="s">
        <v>355</v>
      </c>
    </row>
    <row r="4957" ht="16.5" customHeight="1">
      <c r="O4957" s="5" t="s">
        <v>355</v>
      </c>
      <c r="P4957" s="5" t="s">
        <v>355</v>
      </c>
      <c r="Q4957" s="5" t="s">
        <v>355</v>
      </c>
    </row>
    <row r="4958" ht="16.5" customHeight="1">
      <c r="O4958" s="5" t="s">
        <v>355</v>
      </c>
      <c r="P4958" s="5" t="s">
        <v>355</v>
      </c>
      <c r="Q4958" s="5" t="s">
        <v>355</v>
      </c>
    </row>
    <row r="4959" ht="16.5" customHeight="1">
      <c r="O4959" s="5" t="s">
        <v>355</v>
      </c>
      <c r="P4959" s="5" t="s">
        <v>355</v>
      </c>
      <c r="Q4959" s="5" t="s">
        <v>355</v>
      </c>
    </row>
    <row r="4960" ht="16.5" customHeight="1">
      <c r="O4960" s="5" t="s">
        <v>355</v>
      </c>
      <c r="P4960" s="5" t="s">
        <v>355</v>
      </c>
      <c r="Q4960" s="5" t="s">
        <v>355</v>
      </c>
    </row>
    <row r="4961" ht="16.5" customHeight="1">
      <c r="O4961" s="5" t="s">
        <v>355</v>
      </c>
      <c r="P4961" s="5" t="s">
        <v>355</v>
      </c>
      <c r="Q4961" s="5" t="s">
        <v>355</v>
      </c>
    </row>
    <row r="4962" ht="16.5" customHeight="1">
      <c r="O4962" s="5" t="s">
        <v>355</v>
      </c>
      <c r="P4962" s="5" t="s">
        <v>355</v>
      </c>
      <c r="Q4962" s="5" t="s">
        <v>355</v>
      </c>
    </row>
    <row r="4963" ht="16.5" customHeight="1">
      <c r="O4963" s="5" t="s">
        <v>355</v>
      </c>
      <c r="P4963" s="5" t="s">
        <v>355</v>
      </c>
      <c r="Q4963" s="5" t="s">
        <v>355</v>
      </c>
    </row>
    <row r="4964" ht="16.5" customHeight="1">
      <c r="O4964" s="5" t="s">
        <v>355</v>
      </c>
      <c r="P4964" s="5" t="s">
        <v>355</v>
      </c>
      <c r="Q4964" s="5" t="s">
        <v>355</v>
      </c>
    </row>
    <row r="4965" ht="16.5" customHeight="1">
      <c r="O4965" s="5" t="s">
        <v>355</v>
      </c>
      <c r="P4965" s="5" t="s">
        <v>355</v>
      </c>
      <c r="Q4965" s="5" t="s">
        <v>355</v>
      </c>
    </row>
    <row r="4966" ht="16.5" customHeight="1">
      <c r="O4966" s="5" t="s">
        <v>355</v>
      </c>
      <c r="P4966" s="5" t="s">
        <v>355</v>
      </c>
      <c r="Q4966" s="5" t="s">
        <v>355</v>
      </c>
    </row>
    <row r="4967" ht="16.5" customHeight="1">
      <c r="O4967" s="5" t="s">
        <v>355</v>
      </c>
      <c r="P4967" s="5" t="s">
        <v>355</v>
      </c>
      <c r="Q4967" s="5" t="s">
        <v>355</v>
      </c>
    </row>
    <row r="4968" ht="16.5" customHeight="1">
      <c r="O4968" s="5" t="s">
        <v>355</v>
      </c>
      <c r="P4968" s="5" t="s">
        <v>355</v>
      </c>
      <c r="Q4968" s="5" t="s">
        <v>355</v>
      </c>
    </row>
    <row r="4969" ht="16.5" customHeight="1">
      <c r="O4969" s="5" t="s">
        <v>355</v>
      </c>
      <c r="P4969" s="5" t="s">
        <v>355</v>
      </c>
      <c r="Q4969" s="5" t="s">
        <v>355</v>
      </c>
    </row>
    <row r="4970" ht="16.5" customHeight="1">
      <c r="O4970" s="5" t="s">
        <v>355</v>
      </c>
      <c r="P4970" s="5" t="s">
        <v>355</v>
      </c>
      <c r="Q4970" s="5" t="s">
        <v>355</v>
      </c>
    </row>
    <row r="4971" ht="16.5" customHeight="1">
      <c r="O4971" s="5" t="s">
        <v>355</v>
      </c>
      <c r="P4971" s="5" t="s">
        <v>355</v>
      </c>
      <c r="Q4971" s="5" t="s">
        <v>355</v>
      </c>
    </row>
    <row r="4972" ht="16.5" customHeight="1">
      <c r="O4972" s="5" t="s">
        <v>355</v>
      </c>
      <c r="P4972" s="5" t="s">
        <v>355</v>
      </c>
      <c r="Q4972" s="5" t="s">
        <v>355</v>
      </c>
    </row>
    <row r="4973" ht="16.5" customHeight="1">
      <c r="O4973" s="5" t="s">
        <v>355</v>
      </c>
      <c r="P4973" s="5" t="s">
        <v>355</v>
      </c>
      <c r="Q4973" s="5" t="s">
        <v>355</v>
      </c>
    </row>
    <row r="4974" ht="16.5" customHeight="1">
      <c r="O4974" s="5" t="s">
        <v>355</v>
      </c>
      <c r="P4974" s="5" t="s">
        <v>355</v>
      </c>
      <c r="Q4974" s="5" t="s">
        <v>355</v>
      </c>
    </row>
    <row r="4975" ht="16.5" customHeight="1">
      <c r="O4975" s="5" t="s">
        <v>355</v>
      </c>
      <c r="P4975" s="5" t="s">
        <v>355</v>
      </c>
      <c r="Q4975" s="5" t="s">
        <v>355</v>
      </c>
    </row>
    <row r="4976" ht="16.5" customHeight="1">
      <c r="O4976" s="5" t="s">
        <v>355</v>
      </c>
      <c r="P4976" s="5" t="s">
        <v>355</v>
      </c>
      <c r="Q4976" s="5" t="s">
        <v>355</v>
      </c>
    </row>
    <row r="4977" ht="16.5" customHeight="1">
      <c r="O4977" s="5" t="s">
        <v>355</v>
      </c>
      <c r="P4977" s="5" t="s">
        <v>355</v>
      </c>
      <c r="Q4977" s="5" t="s">
        <v>355</v>
      </c>
    </row>
    <row r="4978" ht="16.5" customHeight="1">
      <c r="O4978" s="5" t="s">
        <v>355</v>
      </c>
      <c r="P4978" s="5" t="s">
        <v>355</v>
      </c>
      <c r="Q4978" s="5" t="s">
        <v>355</v>
      </c>
    </row>
    <row r="4979" ht="16.5" customHeight="1">
      <c r="O4979" s="5" t="s">
        <v>355</v>
      </c>
      <c r="P4979" s="5" t="s">
        <v>355</v>
      </c>
      <c r="Q4979" s="5" t="s">
        <v>355</v>
      </c>
    </row>
    <row r="4980" ht="16.5" customHeight="1">
      <c r="O4980" s="5" t="s">
        <v>355</v>
      </c>
      <c r="P4980" s="5" t="s">
        <v>355</v>
      </c>
      <c r="Q4980" s="5" t="s">
        <v>355</v>
      </c>
    </row>
    <row r="4981" ht="16.5" customHeight="1">
      <c r="O4981" s="5" t="s">
        <v>355</v>
      </c>
      <c r="P4981" s="5" t="s">
        <v>355</v>
      </c>
      <c r="Q4981" s="5" t="s">
        <v>355</v>
      </c>
    </row>
    <row r="4982" ht="16.5" customHeight="1">
      <c r="O4982" s="5" t="s">
        <v>355</v>
      </c>
      <c r="P4982" s="5" t="s">
        <v>355</v>
      </c>
      <c r="Q4982" s="5" t="s">
        <v>355</v>
      </c>
    </row>
    <row r="4983" ht="16.5" customHeight="1">
      <c r="O4983" s="5" t="s">
        <v>355</v>
      </c>
      <c r="P4983" s="5" t="s">
        <v>355</v>
      </c>
      <c r="Q4983" s="5" t="s">
        <v>355</v>
      </c>
    </row>
    <row r="4984" ht="16.5" customHeight="1">
      <c r="O4984" s="5" t="s">
        <v>355</v>
      </c>
      <c r="P4984" s="5" t="s">
        <v>355</v>
      </c>
      <c r="Q4984" s="5" t="s">
        <v>355</v>
      </c>
    </row>
    <row r="4985" ht="16.5" customHeight="1">
      <c r="O4985" s="5" t="s">
        <v>355</v>
      </c>
      <c r="P4985" s="5" t="s">
        <v>355</v>
      </c>
      <c r="Q4985" s="5" t="s">
        <v>355</v>
      </c>
    </row>
    <row r="4986" ht="16.5" customHeight="1">
      <c r="O4986" s="5" t="s">
        <v>355</v>
      </c>
      <c r="P4986" s="5" t="s">
        <v>355</v>
      </c>
      <c r="Q4986" s="5" t="s">
        <v>355</v>
      </c>
    </row>
    <row r="4987" ht="16.5" customHeight="1">
      <c r="O4987" s="5" t="s">
        <v>355</v>
      </c>
      <c r="P4987" s="5" t="s">
        <v>355</v>
      </c>
      <c r="Q4987" s="5" t="s">
        <v>355</v>
      </c>
    </row>
    <row r="4988" ht="16.5" customHeight="1">
      <c r="O4988" s="5" t="s">
        <v>355</v>
      </c>
      <c r="P4988" s="5" t="s">
        <v>355</v>
      </c>
      <c r="Q4988" s="5" t="s">
        <v>355</v>
      </c>
    </row>
    <row r="4989" ht="16.5" customHeight="1">
      <c r="O4989" s="5" t="s">
        <v>355</v>
      </c>
      <c r="P4989" s="5" t="s">
        <v>355</v>
      </c>
      <c r="Q4989" s="5" t="s">
        <v>355</v>
      </c>
    </row>
    <row r="4990" ht="16.5" customHeight="1">
      <c r="O4990" s="5" t="s">
        <v>355</v>
      </c>
      <c r="P4990" s="5" t="s">
        <v>355</v>
      </c>
      <c r="Q4990" s="5" t="s">
        <v>355</v>
      </c>
    </row>
    <row r="4991" ht="16.5" customHeight="1">
      <c r="O4991" s="5" t="s">
        <v>355</v>
      </c>
      <c r="P4991" s="5" t="s">
        <v>355</v>
      </c>
      <c r="Q4991" s="5" t="s">
        <v>355</v>
      </c>
    </row>
    <row r="4992" ht="16.5" customHeight="1">
      <c r="O4992" s="5" t="s">
        <v>355</v>
      </c>
      <c r="P4992" s="5" t="s">
        <v>355</v>
      </c>
      <c r="Q4992" s="5" t="s">
        <v>355</v>
      </c>
    </row>
    <row r="4993" ht="16.5" customHeight="1">
      <c r="O4993" s="5" t="s">
        <v>355</v>
      </c>
      <c r="P4993" s="5" t="s">
        <v>355</v>
      </c>
      <c r="Q4993" s="5" t="s">
        <v>355</v>
      </c>
    </row>
    <row r="4994" ht="16.5" customHeight="1">
      <c r="O4994" s="5" t="s">
        <v>355</v>
      </c>
      <c r="P4994" s="5" t="s">
        <v>355</v>
      </c>
      <c r="Q4994" s="5" t="s">
        <v>355</v>
      </c>
    </row>
    <row r="4995" ht="16.5" customHeight="1">
      <c r="O4995" s="5" t="s">
        <v>355</v>
      </c>
      <c r="P4995" s="5" t="s">
        <v>355</v>
      </c>
      <c r="Q4995" s="5" t="s">
        <v>355</v>
      </c>
    </row>
    <row r="4996" ht="16.5" customHeight="1">
      <c r="O4996" s="5" t="s">
        <v>355</v>
      </c>
      <c r="P4996" s="5" t="s">
        <v>355</v>
      </c>
      <c r="Q4996" s="5" t="s">
        <v>355</v>
      </c>
    </row>
    <row r="4997" ht="16.5" customHeight="1">
      <c r="O4997" s="5" t="s">
        <v>355</v>
      </c>
      <c r="P4997" s="5" t="s">
        <v>355</v>
      </c>
      <c r="Q4997" s="5" t="s">
        <v>355</v>
      </c>
    </row>
    <row r="4998" ht="16.5" customHeight="1">
      <c r="O4998" s="5" t="s">
        <v>355</v>
      </c>
      <c r="P4998" s="5" t="s">
        <v>355</v>
      </c>
      <c r="Q4998" s="5" t="s">
        <v>355</v>
      </c>
    </row>
    <row r="4999" ht="16.5" customHeight="1">
      <c r="O4999" s="5" t="s">
        <v>355</v>
      </c>
      <c r="P4999" s="5" t="s">
        <v>355</v>
      </c>
      <c r="Q4999" s="5" t="s">
        <v>355</v>
      </c>
    </row>
    <row r="5000" ht="16.5" customHeight="1">
      <c r="O5000" s="5" t="s">
        <v>355</v>
      </c>
      <c r="P5000" s="5" t="s">
        <v>355</v>
      </c>
      <c r="Q5000" s="5" t="s">
        <v>355</v>
      </c>
    </row>
    <row r="5001" ht="16.5" customHeight="1">
      <c r="O5001" s="5" t="s">
        <v>355</v>
      </c>
      <c r="P5001" s="5" t="s">
        <v>355</v>
      </c>
      <c r="Q5001" s="5" t="s">
        <v>355</v>
      </c>
    </row>
    <row r="5002" ht="16.5" customHeight="1">
      <c r="O5002" s="5" t="s">
        <v>355</v>
      </c>
      <c r="P5002" s="5" t="s">
        <v>355</v>
      </c>
      <c r="Q5002" s="5" t="s">
        <v>355</v>
      </c>
    </row>
    <row r="5003" ht="16.5" customHeight="1">
      <c r="O5003" s="5" t="s">
        <v>355</v>
      </c>
      <c r="P5003" s="5" t="s">
        <v>355</v>
      </c>
      <c r="Q5003" s="5" t="s">
        <v>355</v>
      </c>
    </row>
    <row r="5004" ht="16.5" customHeight="1">
      <c r="O5004" s="5" t="s">
        <v>355</v>
      </c>
      <c r="P5004" s="5" t="s">
        <v>355</v>
      </c>
      <c r="Q5004" s="5" t="s">
        <v>355</v>
      </c>
    </row>
    <row r="5005" ht="16.5" customHeight="1">
      <c r="O5005" s="5" t="s">
        <v>355</v>
      </c>
      <c r="P5005" s="5" t="s">
        <v>355</v>
      </c>
      <c r="Q5005" s="5" t="s">
        <v>355</v>
      </c>
    </row>
    <row r="5006" ht="16.5" customHeight="1">
      <c r="O5006" s="5" t="s">
        <v>355</v>
      </c>
      <c r="P5006" s="5" t="s">
        <v>355</v>
      </c>
      <c r="Q5006" s="5" t="s">
        <v>355</v>
      </c>
    </row>
    <row r="5007" ht="16.5" customHeight="1">
      <c r="O5007" s="5" t="s">
        <v>355</v>
      </c>
      <c r="P5007" s="5" t="s">
        <v>355</v>
      </c>
      <c r="Q5007" s="5" t="s">
        <v>355</v>
      </c>
    </row>
    <row r="5008" ht="16.5" customHeight="1">
      <c r="O5008" s="5" t="s">
        <v>355</v>
      </c>
      <c r="P5008" s="5" t="s">
        <v>355</v>
      </c>
      <c r="Q5008" s="5" t="s">
        <v>355</v>
      </c>
    </row>
    <row r="5009" ht="16.5" customHeight="1">
      <c r="O5009" s="5" t="s">
        <v>355</v>
      </c>
      <c r="P5009" s="5" t="s">
        <v>355</v>
      </c>
      <c r="Q5009" s="5" t="s">
        <v>355</v>
      </c>
    </row>
    <row r="5010" ht="16.5" customHeight="1">
      <c r="O5010" s="5" t="s">
        <v>355</v>
      </c>
      <c r="P5010" s="5" t="s">
        <v>355</v>
      </c>
      <c r="Q5010" s="5" t="s">
        <v>355</v>
      </c>
    </row>
    <row r="5011" ht="16.5" customHeight="1">
      <c r="O5011" s="5" t="s">
        <v>355</v>
      </c>
      <c r="P5011" s="5" t="s">
        <v>355</v>
      </c>
      <c r="Q5011" s="5" t="s">
        <v>355</v>
      </c>
    </row>
    <row r="5012" ht="16.5" customHeight="1">
      <c r="O5012" s="5" t="s">
        <v>355</v>
      </c>
      <c r="P5012" s="5" t="s">
        <v>355</v>
      </c>
      <c r="Q5012" s="5" t="s">
        <v>355</v>
      </c>
    </row>
    <row r="5013" ht="16.5" customHeight="1">
      <c r="O5013" s="5" t="s">
        <v>355</v>
      </c>
      <c r="P5013" s="5" t="s">
        <v>355</v>
      </c>
      <c r="Q5013" s="5" t="s">
        <v>355</v>
      </c>
    </row>
    <row r="5014" ht="16.5" customHeight="1">
      <c r="O5014" s="5" t="s">
        <v>355</v>
      </c>
      <c r="P5014" s="5" t="s">
        <v>355</v>
      </c>
      <c r="Q5014" s="5" t="s">
        <v>355</v>
      </c>
    </row>
    <row r="5015" ht="16.5" customHeight="1">
      <c r="O5015" s="5" t="s">
        <v>355</v>
      </c>
      <c r="P5015" s="5" t="s">
        <v>355</v>
      </c>
      <c r="Q5015" s="5" t="s">
        <v>355</v>
      </c>
    </row>
    <row r="5016" ht="16.5" customHeight="1">
      <c r="O5016" s="5" t="s">
        <v>355</v>
      </c>
      <c r="P5016" s="5" t="s">
        <v>355</v>
      </c>
      <c r="Q5016" s="5" t="s">
        <v>355</v>
      </c>
    </row>
    <row r="5017" ht="16.5" customHeight="1">
      <c r="O5017" s="5" t="s">
        <v>355</v>
      </c>
      <c r="P5017" s="5" t="s">
        <v>355</v>
      </c>
      <c r="Q5017" s="5" t="s">
        <v>355</v>
      </c>
    </row>
    <row r="5018" ht="16.5" customHeight="1">
      <c r="O5018" s="5" t="s">
        <v>355</v>
      </c>
      <c r="P5018" s="5" t="s">
        <v>355</v>
      </c>
      <c r="Q5018" s="5" t="s">
        <v>355</v>
      </c>
    </row>
    <row r="5019" ht="16.5" customHeight="1">
      <c r="O5019" s="5" t="s">
        <v>355</v>
      </c>
      <c r="P5019" s="5" t="s">
        <v>355</v>
      </c>
      <c r="Q5019" s="5" t="s">
        <v>355</v>
      </c>
    </row>
    <row r="5020" ht="16.5" customHeight="1">
      <c r="O5020" s="5" t="s">
        <v>355</v>
      </c>
      <c r="P5020" s="5" t="s">
        <v>355</v>
      </c>
      <c r="Q5020" s="5" t="s">
        <v>355</v>
      </c>
    </row>
    <row r="5021" ht="16.5" customHeight="1">
      <c r="O5021" s="5" t="s">
        <v>355</v>
      </c>
      <c r="P5021" s="5" t="s">
        <v>355</v>
      </c>
      <c r="Q5021" s="5" t="s">
        <v>355</v>
      </c>
    </row>
    <row r="5022" ht="16.5" customHeight="1">
      <c r="O5022" s="5" t="s">
        <v>355</v>
      </c>
      <c r="P5022" s="5" t="s">
        <v>355</v>
      </c>
      <c r="Q5022" s="5" t="s">
        <v>355</v>
      </c>
    </row>
    <row r="5023" ht="16.5" customHeight="1">
      <c r="O5023" s="5" t="s">
        <v>355</v>
      </c>
      <c r="P5023" s="5" t="s">
        <v>355</v>
      </c>
      <c r="Q5023" s="5" t="s">
        <v>355</v>
      </c>
    </row>
    <row r="5024" ht="16.5" customHeight="1">
      <c r="O5024" s="5" t="s">
        <v>355</v>
      </c>
      <c r="P5024" s="5" t="s">
        <v>355</v>
      </c>
      <c r="Q5024" s="5" t="s">
        <v>355</v>
      </c>
    </row>
    <row r="5025" ht="16.5" customHeight="1">
      <c r="O5025" s="5" t="s">
        <v>355</v>
      </c>
      <c r="P5025" s="5" t="s">
        <v>355</v>
      </c>
      <c r="Q5025" s="5" t="s">
        <v>355</v>
      </c>
    </row>
    <row r="5026" ht="16.5" customHeight="1">
      <c r="O5026" s="5" t="s">
        <v>355</v>
      </c>
      <c r="P5026" s="5" t="s">
        <v>355</v>
      </c>
      <c r="Q5026" s="5" t="s">
        <v>355</v>
      </c>
    </row>
    <row r="5027" ht="16.5" customHeight="1">
      <c r="O5027" s="5" t="s">
        <v>355</v>
      </c>
      <c r="P5027" s="5" t="s">
        <v>355</v>
      </c>
      <c r="Q5027" s="5" t="s">
        <v>355</v>
      </c>
    </row>
    <row r="5028" ht="16.5" customHeight="1">
      <c r="O5028" s="5" t="s">
        <v>355</v>
      </c>
      <c r="P5028" s="5" t="s">
        <v>355</v>
      </c>
      <c r="Q5028" s="5" t="s">
        <v>355</v>
      </c>
    </row>
    <row r="5029" ht="16.5" customHeight="1">
      <c r="O5029" s="5" t="s">
        <v>355</v>
      </c>
      <c r="P5029" s="5" t="s">
        <v>355</v>
      </c>
      <c r="Q5029" s="5" t="s">
        <v>355</v>
      </c>
    </row>
    <row r="5030" ht="16.5" customHeight="1">
      <c r="O5030" s="5" t="s">
        <v>355</v>
      </c>
      <c r="P5030" s="5" t="s">
        <v>355</v>
      </c>
      <c r="Q5030" s="5" t="s">
        <v>355</v>
      </c>
    </row>
    <row r="5031" ht="16.5" customHeight="1">
      <c r="O5031" s="5" t="s">
        <v>355</v>
      </c>
      <c r="P5031" s="5" t="s">
        <v>355</v>
      </c>
      <c r="Q5031" s="5" t="s">
        <v>355</v>
      </c>
    </row>
    <row r="5032" ht="16.5" customHeight="1">
      <c r="O5032" s="5" t="s">
        <v>355</v>
      </c>
      <c r="P5032" s="5" t="s">
        <v>355</v>
      </c>
      <c r="Q5032" s="5" t="s">
        <v>355</v>
      </c>
    </row>
    <row r="5033" ht="16.5" customHeight="1">
      <c r="O5033" s="5" t="s">
        <v>355</v>
      </c>
      <c r="P5033" s="5" t="s">
        <v>355</v>
      </c>
      <c r="Q5033" s="5" t="s">
        <v>355</v>
      </c>
    </row>
    <row r="5034" ht="16.5" customHeight="1">
      <c r="O5034" s="5" t="s">
        <v>355</v>
      </c>
      <c r="P5034" s="5" t="s">
        <v>355</v>
      </c>
      <c r="Q5034" s="5" t="s">
        <v>355</v>
      </c>
    </row>
    <row r="5035" ht="16.5" customHeight="1">
      <c r="O5035" s="5" t="s">
        <v>355</v>
      </c>
      <c r="P5035" s="5" t="s">
        <v>355</v>
      </c>
      <c r="Q5035" s="5" t="s">
        <v>355</v>
      </c>
    </row>
    <row r="5036" ht="16.5" customHeight="1">
      <c r="O5036" s="5" t="s">
        <v>355</v>
      </c>
      <c r="P5036" s="5" t="s">
        <v>355</v>
      </c>
      <c r="Q5036" s="5" t="s">
        <v>355</v>
      </c>
    </row>
    <row r="5037" ht="16.5" customHeight="1">
      <c r="O5037" s="5" t="s">
        <v>355</v>
      </c>
      <c r="P5037" s="5" t="s">
        <v>355</v>
      </c>
      <c r="Q5037" s="5" t="s">
        <v>355</v>
      </c>
    </row>
    <row r="5038" ht="16.5" customHeight="1">
      <c r="O5038" s="5" t="s">
        <v>355</v>
      </c>
      <c r="P5038" s="5" t="s">
        <v>355</v>
      </c>
      <c r="Q5038" s="5" t="s">
        <v>355</v>
      </c>
    </row>
    <row r="5039" ht="16.5" customHeight="1">
      <c r="O5039" s="5" t="s">
        <v>355</v>
      </c>
      <c r="P5039" s="5" t="s">
        <v>355</v>
      </c>
      <c r="Q5039" s="5" t="s">
        <v>355</v>
      </c>
    </row>
    <row r="5040" ht="16.5" customHeight="1">
      <c r="O5040" s="5" t="s">
        <v>355</v>
      </c>
      <c r="P5040" s="5" t="s">
        <v>355</v>
      </c>
      <c r="Q5040" s="5" t="s">
        <v>355</v>
      </c>
    </row>
    <row r="5041" ht="16.5" customHeight="1">
      <c r="O5041" s="5" t="s">
        <v>355</v>
      </c>
      <c r="P5041" s="5" t="s">
        <v>355</v>
      </c>
      <c r="Q5041" s="5" t="s">
        <v>355</v>
      </c>
    </row>
    <row r="5042" ht="16.5" customHeight="1">
      <c r="O5042" s="5" t="s">
        <v>355</v>
      </c>
      <c r="P5042" s="5" t="s">
        <v>355</v>
      </c>
      <c r="Q5042" s="5" t="s">
        <v>355</v>
      </c>
    </row>
    <row r="5043" ht="16.5" customHeight="1">
      <c r="O5043" s="5" t="s">
        <v>355</v>
      </c>
      <c r="P5043" s="5" t="s">
        <v>355</v>
      </c>
      <c r="Q5043" s="5" t="s">
        <v>355</v>
      </c>
    </row>
    <row r="5044" ht="16.5" customHeight="1">
      <c r="O5044" s="5" t="s">
        <v>355</v>
      </c>
      <c r="P5044" s="5" t="s">
        <v>355</v>
      </c>
      <c r="Q5044" s="5" t="s">
        <v>355</v>
      </c>
    </row>
    <row r="5045" ht="16.5" customHeight="1">
      <c r="O5045" s="5" t="s">
        <v>355</v>
      </c>
      <c r="P5045" s="5" t="s">
        <v>355</v>
      </c>
      <c r="Q5045" s="5" t="s">
        <v>355</v>
      </c>
    </row>
    <row r="5046" ht="16.5" customHeight="1">
      <c r="O5046" s="5" t="s">
        <v>355</v>
      </c>
      <c r="P5046" s="5" t="s">
        <v>355</v>
      </c>
      <c r="Q5046" s="5" t="s">
        <v>355</v>
      </c>
    </row>
    <row r="5047" ht="16.5" customHeight="1">
      <c r="O5047" s="5" t="s">
        <v>355</v>
      </c>
      <c r="P5047" s="5" t="s">
        <v>355</v>
      </c>
      <c r="Q5047" s="5" t="s">
        <v>355</v>
      </c>
    </row>
    <row r="5048" ht="16.5" customHeight="1">
      <c r="O5048" s="5" t="s">
        <v>355</v>
      </c>
      <c r="P5048" s="5" t="s">
        <v>355</v>
      </c>
      <c r="Q5048" s="5" t="s">
        <v>355</v>
      </c>
    </row>
    <row r="5049" ht="16.5" customHeight="1">
      <c r="O5049" s="5" t="s">
        <v>355</v>
      </c>
      <c r="P5049" s="5" t="s">
        <v>355</v>
      </c>
      <c r="Q5049" s="5" t="s">
        <v>355</v>
      </c>
    </row>
    <row r="5050" ht="16.5" customHeight="1">
      <c r="O5050" s="5" t="s">
        <v>355</v>
      </c>
      <c r="P5050" s="5" t="s">
        <v>355</v>
      </c>
      <c r="Q5050" s="5" t="s">
        <v>355</v>
      </c>
    </row>
    <row r="5051" ht="16.5" customHeight="1">
      <c r="O5051" s="5" t="s">
        <v>355</v>
      </c>
      <c r="P5051" s="5" t="s">
        <v>355</v>
      </c>
      <c r="Q5051" s="5" t="s">
        <v>355</v>
      </c>
    </row>
    <row r="5052" ht="16.5" customHeight="1">
      <c r="O5052" s="5" t="s">
        <v>355</v>
      </c>
      <c r="P5052" s="5" t="s">
        <v>355</v>
      </c>
      <c r="Q5052" s="5" t="s">
        <v>355</v>
      </c>
    </row>
    <row r="5053" ht="16.5" customHeight="1">
      <c r="O5053" s="5" t="s">
        <v>355</v>
      </c>
      <c r="P5053" s="5" t="s">
        <v>355</v>
      </c>
      <c r="Q5053" s="5" t="s">
        <v>355</v>
      </c>
    </row>
    <row r="5054" ht="16.5" customHeight="1">
      <c r="O5054" s="5" t="s">
        <v>355</v>
      </c>
      <c r="P5054" s="5" t="s">
        <v>355</v>
      </c>
      <c r="Q5054" s="5" t="s">
        <v>355</v>
      </c>
    </row>
    <row r="5055" ht="16.5" customHeight="1">
      <c r="O5055" s="5" t="s">
        <v>355</v>
      </c>
      <c r="P5055" s="5" t="s">
        <v>355</v>
      </c>
      <c r="Q5055" s="5" t="s">
        <v>355</v>
      </c>
    </row>
    <row r="5056" ht="16.5" customHeight="1">
      <c r="O5056" s="5" t="s">
        <v>355</v>
      </c>
      <c r="P5056" s="5" t="s">
        <v>355</v>
      </c>
      <c r="Q5056" s="5" t="s">
        <v>355</v>
      </c>
    </row>
    <row r="5057" ht="16.5" customHeight="1">
      <c r="O5057" s="5" t="s">
        <v>355</v>
      </c>
      <c r="P5057" s="5" t="s">
        <v>355</v>
      </c>
      <c r="Q5057" s="5" t="s">
        <v>355</v>
      </c>
    </row>
    <row r="5058" ht="16.5" customHeight="1">
      <c r="O5058" s="5" t="s">
        <v>355</v>
      </c>
      <c r="P5058" s="5" t="s">
        <v>355</v>
      </c>
      <c r="Q5058" s="5" t="s">
        <v>355</v>
      </c>
    </row>
    <row r="5059" ht="16.5" customHeight="1">
      <c r="O5059" s="5" t="s">
        <v>355</v>
      </c>
      <c r="P5059" s="5" t="s">
        <v>355</v>
      </c>
      <c r="Q5059" s="5" t="s">
        <v>355</v>
      </c>
    </row>
    <row r="5060" ht="16.5" customHeight="1">
      <c r="O5060" s="5" t="s">
        <v>355</v>
      </c>
      <c r="P5060" s="5" t="s">
        <v>355</v>
      </c>
      <c r="Q5060" s="5" t="s">
        <v>355</v>
      </c>
    </row>
    <row r="5061" ht="16.5" customHeight="1">
      <c r="O5061" s="5" t="s">
        <v>355</v>
      </c>
      <c r="P5061" s="5" t="s">
        <v>355</v>
      </c>
      <c r="Q5061" s="5" t="s">
        <v>355</v>
      </c>
    </row>
    <row r="5062" ht="16.5" customHeight="1">
      <c r="O5062" s="5" t="s">
        <v>355</v>
      </c>
      <c r="P5062" s="5" t="s">
        <v>355</v>
      </c>
      <c r="Q5062" s="5" t="s">
        <v>355</v>
      </c>
    </row>
    <row r="5063" ht="16.5" customHeight="1">
      <c r="O5063" s="5" t="s">
        <v>355</v>
      </c>
      <c r="P5063" s="5" t="s">
        <v>355</v>
      </c>
      <c r="Q5063" s="5" t="s">
        <v>355</v>
      </c>
    </row>
    <row r="5064" ht="16.5" customHeight="1">
      <c r="O5064" s="5" t="s">
        <v>355</v>
      </c>
      <c r="P5064" s="5" t="s">
        <v>355</v>
      </c>
      <c r="Q5064" s="5" t="s">
        <v>355</v>
      </c>
    </row>
    <row r="5065" ht="16.5" customHeight="1">
      <c r="O5065" s="5" t="s">
        <v>355</v>
      </c>
      <c r="P5065" s="5" t="s">
        <v>355</v>
      </c>
      <c r="Q5065" s="5" t="s">
        <v>355</v>
      </c>
    </row>
    <row r="5066" ht="16.5" customHeight="1">
      <c r="O5066" s="5" t="s">
        <v>355</v>
      </c>
      <c r="P5066" s="5" t="s">
        <v>355</v>
      </c>
      <c r="Q5066" s="5" t="s">
        <v>355</v>
      </c>
    </row>
    <row r="5067" ht="16.5" customHeight="1">
      <c r="O5067" s="5" t="s">
        <v>355</v>
      </c>
      <c r="P5067" s="5" t="s">
        <v>355</v>
      </c>
      <c r="Q5067" s="5" t="s">
        <v>355</v>
      </c>
    </row>
    <row r="5068" ht="16.5" customHeight="1">
      <c r="O5068" s="5" t="s">
        <v>355</v>
      </c>
      <c r="P5068" s="5" t="s">
        <v>355</v>
      </c>
      <c r="Q5068" s="5" t="s">
        <v>355</v>
      </c>
    </row>
    <row r="5069" ht="16.5" customHeight="1">
      <c r="O5069" s="5" t="s">
        <v>355</v>
      </c>
      <c r="P5069" s="5" t="s">
        <v>355</v>
      </c>
      <c r="Q5069" s="5" t="s">
        <v>355</v>
      </c>
    </row>
    <row r="5070" ht="16.5" customHeight="1">
      <c r="O5070" s="5" t="s">
        <v>355</v>
      </c>
      <c r="P5070" s="5" t="s">
        <v>355</v>
      </c>
      <c r="Q5070" s="5" t="s">
        <v>355</v>
      </c>
    </row>
    <row r="5071" ht="16.5" customHeight="1">
      <c r="O5071" s="5" t="s">
        <v>355</v>
      </c>
      <c r="P5071" s="5" t="s">
        <v>355</v>
      </c>
      <c r="Q5071" s="5" t="s">
        <v>355</v>
      </c>
    </row>
    <row r="5072" ht="16.5" customHeight="1">
      <c r="O5072" s="5" t="s">
        <v>355</v>
      </c>
      <c r="P5072" s="5" t="s">
        <v>355</v>
      </c>
      <c r="Q5072" s="5" t="s">
        <v>355</v>
      </c>
    </row>
    <row r="5073" ht="16.5" customHeight="1">
      <c r="O5073" s="5" t="s">
        <v>355</v>
      </c>
      <c r="P5073" s="5" t="s">
        <v>355</v>
      </c>
      <c r="Q5073" s="5" t="s">
        <v>355</v>
      </c>
    </row>
    <row r="5074" ht="16.5" customHeight="1">
      <c r="O5074" s="5" t="s">
        <v>355</v>
      </c>
      <c r="P5074" s="5" t="s">
        <v>355</v>
      </c>
      <c r="Q5074" s="5" t="s">
        <v>355</v>
      </c>
    </row>
    <row r="5075" ht="16.5" customHeight="1">
      <c r="O5075" s="5" t="s">
        <v>355</v>
      </c>
      <c r="P5075" s="5" t="s">
        <v>355</v>
      </c>
      <c r="Q5075" s="5" t="s">
        <v>355</v>
      </c>
    </row>
    <row r="5076" ht="16.5" customHeight="1">
      <c r="O5076" s="5" t="s">
        <v>355</v>
      </c>
      <c r="P5076" s="5" t="s">
        <v>355</v>
      </c>
      <c r="Q5076" s="5" t="s">
        <v>355</v>
      </c>
    </row>
    <row r="5077" ht="16.5" customHeight="1">
      <c r="O5077" s="5" t="s">
        <v>355</v>
      </c>
      <c r="P5077" s="5" t="s">
        <v>355</v>
      </c>
      <c r="Q5077" s="5" t="s">
        <v>355</v>
      </c>
    </row>
    <row r="5078" ht="16.5" customHeight="1">
      <c r="O5078" s="5" t="s">
        <v>355</v>
      </c>
      <c r="P5078" s="5" t="s">
        <v>355</v>
      </c>
      <c r="Q5078" s="5" t="s">
        <v>355</v>
      </c>
    </row>
    <row r="5079" ht="16.5" customHeight="1">
      <c r="O5079" s="5" t="s">
        <v>355</v>
      </c>
      <c r="P5079" s="5" t="s">
        <v>355</v>
      </c>
      <c r="Q5079" s="5" t="s">
        <v>355</v>
      </c>
    </row>
    <row r="5080" ht="16.5" customHeight="1">
      <c r="O5080" s="5" t="s">
        <v>355</v>
      </c>
      <c r="P5080" s="5" t="s">
        <v>355</v>
      </c>
      <c r="Q5080" s="5" t="s">
        <v>355</v>
      </c>
    </row>
    <row r="5081" ht="16.5" customHeight="1">
      <c r="O5081" s="5" t="s">
        <v>355</v>
      </c>
      <c r="P5081" s="5" t="s">
        <v>355</v>
      </c>
      <c r="Q5081" s="5" t="s">
        <v>355</v>
      </c>
    </row>
    <row r="5082" ht="16.5" customHeight="1">
      <c r="O5082" s="5" t="s">
        <v>355</v>
      </c>
      <c r="P5082" s="5" t="s">
        <v>355</v>
      </c>
      <c r="Q5082" s="5" t="s">
        <v>355</v>
      </c>
    </row>
    <row r="5083" ht="16.5" customHeight="1">
      <c r="O5083" s="5" t="s">
        <v>355</v>
      </c>
      <c r="P5083" s="5" t="s">
        <v>355</v>
      </c>
      <c r="Q5083" s="5" t="s">
        <v>355</v>
      </c>
    </row>
    <row r="5084" ht="16.5" customHeight="1">
      <c r="O5084" s="5" t="s">
        <v>355</v>
      </c>
      <c r="P5084" s="5" t="s">
        <v>355</v>
      </c>
      <c r="Q5084" s="5" t="s">
        <v>355</v>
      </c>
    </row>
    <row r="5085" ht="16.5" customHeight="1">
      <c r="O5085" s="5" t="s">
        <v>355</v>
      </c>
      <c r="P5085" s="5" t="s">
        <v>355</v>
      </c>
      <c r="Q5085" s="5" t="s">
        <v>355</v>
      </c>
    </row>
    <row r="5086" ht="16.5" customHeight="1">
      <c r="O5086" s="5" t="s">
        <v>355</v>
      </c>
      <c r="P5086" s="5" t="s">
        <v>355</v>
      </c>
      <c r="Q5086" s="5" t="s">
        <v>355</v>
      </c>
    </row>
    <row r="5087" ht="16.5" customHeight="1">
      <c r="O5087" s="5" t="s">
        <v>355</v>
      </c>
      <c r="P5087" s="5" t="s">
        <v>355</v>
      </c>
      <c r="Q5087" s="5" t="s">
        <v>355</v>
      </c>
    </row>
    <row r="5088" ht="16.5" customHeight="1">
      <c r="O5088" s="5" t="s">
        <v>355</v>
      </c>
      <c r="P5088" s="5" t="s">
        <v>355</v>
      </c>
      <c r="Q5088" s="5" t="s">
        <v>355</v>
      </c>
    </row>
    <row r="5089" ht="16.5" customHeight="1">
      <c r="O5089" s="5" t="s">
        <v>355</v>
      </c>
      <c r="P5089" s="5" t="s">
        <v>355</v>
      </c>
      <c r="Q5089" s="5" t="s">
        <v>355</v>
      </c>
    </row>
    <row r="5090" ht="16.5" customHeight="1">
      <c r="O5090" s="5" t="s">
        <v>355</v>
      </c>
      <c r="P5090" s="5" t="s">
        <v>355</v>
      </c>
      <c r="Q5090" s="5" t="s">
        <v>355</v>
      </c>
    </row>
    <row r="5091" ht="16.5" customHeight="1">
      <c r="O5091" s="5" t="s">
        <v>355</v>
      </c>
      <c r="P5091" s="5" t="s">
        <v>355</v>
      </c>
      <c r="Q5091" s="5" t="s">
        <v>355</v>
      </c>
    </row>
    <row r="5092" ht="16.5" customHeight="1">
      <c r="O5092" s="5" t="s">
        <v>355</v>
      </c>
      <c r="P5092" s="5" t="s">
        <v>355</v>
      </c>
      <c r="Q5092" s="5" t="s">
        <v>355</v>
      </c>
    </row>
    <row r="5093" ht="16.5" customHeight="1">
      <c r="O5093" s="5" t="s">
        <v>355</v>
      </c>
      <c r="P5093" s="5" t="s">
        <v>355</v>
      </c>
      <c r="Q5093" s="5" t="s">
        <v>355</v>
      </c>
    </row>
    <row r="5094" ht="16.5" customHeight="1">
      <c r="O5094" s="5" t="s">
        <v>355</v>
      </c>
      <c r="P5094" s="5" t="s">
        <v>355</v>
      </c>
      <c r="Q5094" s="5" t="s">
        <v>355</v>
      </c>
    </row>
    <row r="5095" ht="16.5" customHeight="1">
      <c r="O5095" s="5" t="s">
        <v>355</v>
      </c>
      <c r="P5095" s="5" t="s">
        <v>355</v>
      </c>
      <c r="Q5095" s="5" t="s">
        <v>355</v>
      </c>
    </row>
    <row r="5096" ht="16.5" customHeight="1">
      <c r="O5096" s="5" t="s">
        <v>355</v>
      </c>
      <c r="P5096" s="5" t="s">
        <v>355</v>
      </c>
      <c r="Q5096" s="5" t="s">
        <v>355</v>
      </c>
    </row>
    <row r="5097" ht="16.5" customHeight="1">
      <c r="O5097" s="5" t="s">
        <v>355</v>
      </c>
      <c r="P5097" s="5" t="s">
        <v>355</v>
      </c>
      <c r="Q5097" s="5" t="s">
        <v>355</v>
      </c>
    </row>
    <row r="5098" ht="16.5" customHeight="1">
      <c r="O5098" s="5" t="s">
        <v>355</v>
      </c>
      <c r="P5098" s="5" t="s">
        <v>355</v>
      </c>
      <c r="Q5098" s="5" t="s">
        <v>355</v>
      </c>
    </row>
    <row r="5099" ht="16.5" customHeight="1">
      <c r="O5099" s="5" t="s">
        <v>355</v>
      </c>
      <c r="P5099" s="5" t="s">
        <v>355</v>
      </c>
      <c r="Q5099" s="5" t="s">
        <v>355</v>
      </c>
    </row>
    <row r="5100" ht="16.5" customHeight="1">
      <c r="O5100" s="5" t="s">
        <v>355</v>
      </c>
      <c r="P5100" s="5" t="s">
        <v>355</v>
      </c>
      <c r="Q5100" s="5" t="s">
        <v>355</v>
      </c>
    </row>
    <row r="5101" ht="16.5" customHeight="1">
      <c r="O5101" s="5" t="s">
        <v>355</v>
      </c>
      <c r="P5101" s="5" t="s">
        <v>355</v>
      </c>
      <c r="Q5101" s="5" t="s">
        <v>355</v>
      </c>
    </row>
    <row r="5102" ht="16.5" customHeight="1">
      <c r="O5102" s="5" t="s">
        <v>355</v>
      </c>
      <c r="P5102" s="5" t="s">
        <v>355</v>
      </c>
      <c r="Q5102" s="5" t="s">
        <v>355</v>
      </c>
    </row>
    <row r="5103" ht="16.5" customHeight="1">
      <c r="O5103" s="5" t="s">
        <v>355</v>
      </c>
      <c r="P5103" s="5" t="s">
        <v>355</v>
      </c>
      <c r="Q5103" s="5" t="s">
        <v>355</v>
      </c>
    </row>
    <row r="5104" ht="16.5" customHeight="1">
      <c r="O5104" s="5" t="s">
        <v>355</v>
      </c>
      <c r="P5104" s="5" t="s">
        <v>355</v>
      </c>
      <c r="Q5104" s="5" t="s">
        <v>355</v>
      </c>
    </row>
    <row r="5105" ht="16.5" customHeight="1">
      <c r="O5105" s="5" t="s">
        <v>355</v>
      </c>
      <c r="P5105" s="5" t="s">
        <v>355</v>
      </c>
      <c r="Q5105" s="5" t="s">
        <v>355</v>
      </c>
    </row>
    <row r="5106" ht="16.5" customHeight="1">
      <c r="O5106" s="5" t="s">
        <v>355</v>
      </c>
      <c r="P5106" s="5" t="s">
        <v>355</v>
      </c>
      <c r="Q5106" s="5" t="s">
        <v>355</v>
      </c>
    </row>
    <row r="5107" ht="16.5" customHeight="1">
      <c r="O5107" s="5" t="s">
        <v>355</v>
      </c>
      <c r="P5107" s="5" t="s">
        <v>355</v>
      </c>
      <c r="Q5107" s="5" t="s">
        <v>355</v>
      </c>
    </row>
    <row r="5108" ht="16.5" customHeight="1">
      <c r="O5108" s="5" t="s">
        <v>355</v>
      </c>
      <c r="P5108" s="5" t="s">
        <v>355</v>
      </c>
      <c r="Q5108" s="5" t="s">
        <v>355</v>
      </c>
    </row>
    <row r="5109" ht="16.5" customHeight="1">
      <c r="O5109" s="5" t="s">
        <v>355</v>
      </c>
      <c r="P5109" s="5" t="s">
        <v>355</v>
      </c>
      <c r="Q5109" s="5" t="s">
        <v>355</v>
      </c>
    </row>
    <row r="5110" ht="16.5" customHeight="1">
      <c r="O5110" s="5" t="s">
        <v>355</v>
      </c>
      <c r="P5110" s="5" t="s">
        <v>355</v>
      </c>
      <c r="Q5110" s="5" t="s">
        <v>355</v>
      </c>
    </row>
    <row r="5111" ht="16.5" customHeight="1">
      <c r="O5111" s="5" t="s">
        <v>355</v>
      </c>
      <c r="P5111" s="5" t="s">
        <v>355</v>
      </c>
      <c r="Q5111" s="5" t="s">
        <v>355</v>
      </c>
    </row>
    <row r="5112" ht="16.5" customHeight="1">
      <c r="O5112" s="5" t="s">
        <v>355</v>
      </c>
      <c r="P5112" s="5" t="s">
        <v>355</v>
      </c>
      <c r="Q5112" s="5" t="s">
        <v>355</v>
      </c>
    </row>
    <row r="5113" ht="16.5" customHeight="1">
      <c r="O5113" s="5" t="s">
        <v>355</v>
      </c>
      <c r="P5113" s="5" t="s">
        <v>355</v>
      </c>
      <c r="Q5113" s="5" t="s">
        <v>355</v>
      </c>
    </row>
    <row r="5114" ht="16.5" customHeight="1">
      <c r="O5114" s="5" t="s">
        <v>355</v>
      </c>
      <c r="P5114" s="5" t="s">
        <v>355</v>
      </c>
      <c r="Q5114" s="5" t="s">
        <v>355</v>
      </c>
    </row>
    <row r="5115" ht="16.5" customHeight="1">
      <c r="O5115" s="5" t="s">
        <v>355</v>
      </c>
      <c r="P5115" s="5" t="s">
        <v>355</v>
      </c>
      <c r="Q5115" s="5" t="s">
        <v>355</v>
      </c>
    </row>
    <row r="5116" ht="16.5" customHeight="1">
      <c r="O5116" s="5" t="s">
        <v>355</v>
      </c>
      <c r="P5116" s="5" t="s">
        <v>355</v>
      </c>
      <c r="Q5116" s="5" t="s">
        <v>355</v>
      </c>
    </row>
    <row r="5117" ht="16.5" customHeight="1">
      <c r="O5117" s="5" t="s">
        <v>355</v>
      </c>
      <c r="P5117" s="5" t="s">
        <v>355</v>
      </c>
      <c r="Q5117" s="5" t="s">
        <v>355</v>
      </c>
    </row>
    <row r="5118" ht="16.5" customHeight="1">
      <c r="O5118" s="5" t="s">
        <v>355</v>
      </c>
      <c r="P5118" s="5" t="s">
        <v>355</v>
      </c>
      <c r="Q5118" s="5" t="s">
        <v>355</v>
      </c>
    </row>
    <row r="5119" ht="16.5" customHeight="1">
      <c r="O5119" s="5" t="s">
        <v>355</v>
      </c>
      <c r="P5119" s="5" t="s">
        <v>355</v>
      </c>
      <c r="Q5119" s="5" t="s">
        <v>355</v>
      </c>
    </row>
    <row r="5120" ht="16.5" customHeight="1">
      <c r="O5120" s="5" t="s">
        <v>355</v>
      </c>
      <c r="P5120" s="5" t="s">
        <v>355</v>
      </c>
      <c r="Q5120" s="5" t="s">
        <v>355</v>
      </c>
    </row>
    <row r="5121" ht="16.5" customHeight="1">
      <c r="O5121" s="5" t="s">
        <v>355</v>
      </c>
      <c r="P5121" s="5" t="s">
        <v>355</v>
      </c>
      <c r="Q5121" s="5" t="s">
        <v>355</v>
      </c>
    </row>
    <row r="5122" ht="16.5" customHeight="1">
      <c r="O5122" s="5" t="s">
        <v>355</v>
      </c>
      <c r="P5122" s="5" t="s">
        <v>355</v>
      </c>
      <c r="Q5122" s="5" t="s">
        <v>355</v>
      </c>
    </row>
    <row r="5123" ht="16.5" customHeight="1">
      <c r="O5123" s="5" t="s">
        <v>355</v>
      </c>
      <c r="P5123" s="5" t="s">
        <v>355</v>
      </c>
      <c r="Q5123" s="5" t="s">
        <v>355</v>
      </c>
    </row>
    <row r="5124" ht="16.5" customHeight="1">
      <c r="O5124" s="5" t="s">
        <v>355</v>
      </c>
      <c r="P5124" s="5" t="s">
        <v>355</v>
      </c>
      <c r="Q5124" s="5" t="s">
        <v>355</v>
      </c>
    </row>
    <row r="5125" ht="16.5" customHeight="1">
      <c r="O5125" s="5" t="s">
        <v>355</v>
      </c>
      <c r="P5125" s="5" t="s">
        <v>355</v>
      </c>
      <c r="Q5125" s="5" t="s">
        <v>355</v>
      </c>
    </row>
    <row r="5126" ht="16.5" customHeight="1">
      <c r="O5126" s="5" t="s">
        <v>355</v>
      </c>
      <c r="P5126" s="5" t="s">
        <v>355</v>
      </c>
      <c r="Q5126" s="5" t="s">
        <v>355</v>
      </c>
    </row>
    <row r="5127" ht="16.5" customHeight="1">
      <c r="O5127" s="5" t="s">
        <v>355</v>
      </c>
      <c r="P5127" s="5" t="s">
        <v>355</v>
      </c>
      <c r="Q5127" s="5" t="s">
        <v>355</v>
      </c>
    </row>
    <row r="5128" ht="16.5" customHeight="1">
      <c r="O5128" s="5" t="s">
        <v>355</v>
      </c>
      <c r="P5128" s="5" t="s">
        <v>355</v>
      </c>
      <c r="Q5128" s="5" t="s">
        <v>355</v>
      </c>
    </row>
    <row r="5129" ht="16.5" customHeight="1">
      <c r="O5129" s="5" t="s">
        <v>355</v>
      </c>
      <c r="P5129" s="5" t="s">
        <v>355</v>
      </c>
      <c r="Q5129" s="5" t="s">
        <v>355</v>
      </c>
    </row>
    <row r="5130" ht="16.5" customHeight="1">
      <c r="O5130" s="5" t="s">
        <v>355</v>
      </c>
      <c r="P5130" s="5" t="s">
        <v>355</v>
      </c>
      <c r="Q5130" s="5" t="s">
        <v>355</v>
      </c>
    </row>
    <row r="5131" ht="16.5" customHeight="1">
      <c r="O5131" s="5" t="s">
        <v>355</v>
      </c>
      <c r="P5131" s="5" t="s">
        <v>355</v>
      </c>
      <c r="Q5131" s="5" t="s">
        <v>355</v>
      </c>
    </row>
    <row r="5132" ht="16.5" customHeight="1">
      <c r="O5132" s="5" t="s">
        <v>355</v>
      </c>
      <c r="P5132" s="5" t="s">
        <v>355</v>
      </c>
      <c r="Q5132" s="5" t="s">
        <v>355</v>
      </c>
    </row>
    <row r="5133" ht="16.5" customHeight="1">
      <c r="O5133" s="5" t="s">
        <v>355</v>
      </c>
      <c r="P5133" s="5" t="s">
        <v>355</v>
      </c>
      <c r="Q5133" s="5" t="s">
        <v>355</v>
      </c>
    </row>
    <row r="5134" ht="16.5" customHeight="1">
      <c r="O5134" s="5" t="s">
        <v>355</v>
      </c>
      <c r="P5134" s="5" t="s">
        <v>355</v>
      </c>
      <c r="Q5134" s="5" t="s">
        <v>355</v>
      </c>
    </row>
    <row r="5135" ht="16.5" customHeight="1">
      <c r="O5135" s="5" t="s">
        <v>355</v>
      </c>
      <c r="P5135" s="5" t="s">
        <v>355</v>
      </c>
      <c r="Q5135" s="5" t="s">
        <v>355</v>
      </c>
    </row>
    <row r="5136" ht="16.5" customHeight="1">
      <c r="O5136" s="5" t="s">
        <v>355</v>
      </c>
      <c r="P5136" s="5" t="s">
        <v>355</v>
      </c>
      <c r="Q5136" s="5" t="s">
        <v>355</v>
      </c>
    </row>
    <row r="5137" ht="16.5" customHeight="1">
      <c r="O5137" s="5" t="s">
        <v>355</v>
      </c>
      <c r="P5137" s="5" t="s">
        <v>355</v>
      </c>
      <c r="Q5137" s="5" t="s">
        <v>355</v>
      </c>
    </row>
    <row r="5138" ht="16.5" customHeight="1">
      <c r="O5138" s="5" t="s">
        <v>355</v>
      </c>
      <c r="P5138" s="5" t="s">
        <v>355</v>
      </c>
      <c r="Q5138" s="5" t="s">
        <v>355</v>
      </c>
    </row>
    <row r="5139" ht="16.5" customHeight="1">
      <c r="O5139" s="5" t="s">
        <v>355</v>
      </c>
      <c r="P5139" s="5" t="s">
        <v>355</v>
      </c>
      <c r="Q5139" s="5" t="s">
        <v>355</v>
      </c>
    </row>
    <row r="5140" ht="16.5" customHeight="1">
      <c r="O5140" s="5" t="s">
        <v>355</v>
      </c>
      <c r="P5140" s="5" t="s">
        <v>355</v>
      </c>
      <c r="Q5140" s="5" t="s">
        <v>355</v>
      </c>
    </row>
    <row r="5141" ht="16.5" customHeight="1">
      <c r="O5141" s="5" t="s">
        <v>355</v>
      </c>
      <c r="P5141" s="5" t="s">
        <v>355</v>
      </c>
      <c r="Q5141" s="5" t="s">
        <v>355</v>
      </c>
    </row>
    <row r="5142" ht="16.5" customHeight="1">
      <c r="O5142" s="5" t="s">
        <v>355</v>
      </c>
      <c r="P5142" s="5" t="s">
        <v>355</v>
      </c>
      <c r="Q5142" s="5" t="s">
        <v>355</v>
      </c>
    </row>
    <row r="5143" ht="16.5" customHeight="1">
      <c r="O5143" s="5" t="s">
        <v>355</v>
      </c>
      <c r="P5143" s="5" t="s">
        <v>355</v>
      </c>
      <c r="Q5143" s="5" t="s">
        <v>355</v>
      </c>
    </row>
    <row r="5144" ht="16.5" customHeight="1">
      <c r="O5144" s="5" t="s">
        <v>355</v>
      </c>
      <c r="P5144" s="5" t="s">
        <v>355</v>
      </c>
      <c r="Q5144" s="5" t="s">
        <v>355</v>
      </c>
    </row>
    <row r="5145" ht="16.5" customHeight="1">
      <c r="O5145" s="5" t="s">
        <v>355</v>
      </c>
      <c r="P5145" s="5" t="s">
        <v>355</v>
      </c>
      <c r="Q5145" s="5" t="s">
        <v>355</v>
      </c>
    </row>
    <row r="5146" ht="16.5" customHeight="1">
      <c r="O5146" s="5" t="s">
        <v>355</v>
      </c>
      <c r="P5146" s="5" t="s">
        <v>355</v>
      </c>
      <c r="Q5146" s="5" t="s">
        <v>355</v>
      </c>
    </row>
    <row r="5147" ht="16.5" customHeight="1">
      <c r="O5147" s="5" t="s">
        <v>355</v>
      </c>
      <c r="P5147" s="5" t="s">
        <v>355</v>
      </c>
      <c r="Q5147" s="5" t="s">
        <v>355</v>
      </c>
    </row>
    <row r="5148" ht="16.5" customHeight="1">
      <c r="O5148" s="5" t="s">
        <v>355</v>
      </c>
      <c r="P5148" s="5" t="s">
        <v>355</v>
      </c>
      <c r="Q5148" s="5" t="s">
        <v>355</v>
      </c>
    </row>
    <row r="5149" ht="16.5" customHeight="1">
      <c r="O5149" s="5" t="s">
        <v>355</v>
      </c>
      <c r="P5149" s="5" t="s">
        <v>355</v>
      </c>
      <c r="Q5149" s="5" t="s">
        <v>355</v>
      </c>
    </row>
    <row r="5150" ht="16.5" customHeight="1">
      <c r="O5150" s="5" t="s">
        <v>355</v>
      </c>
      <c r="P5150" s="5" t="s">
        <v>355</v>
      </c>
      <c r="Q5150" s="5" t="s">
        <v>355</v>
      </c>
    </row>
    <row r="5151" ht="16.5" customHeight="1">
      <c r="O5151" s="5" t="s">
        <v>355</v>
      </c>
      <c r="P5151" s="5" t="s">
        <v>355</v>
      </c>
      <c r="Q5151" s="5" t="s">
        <v>355</v>
      </c>
    </row>
    <row r="5152" ht="16.5" customHeight="1">
      <c r="O5152" s="5" t="s">
        <v>355</v>
      </c>
      <c r="P5152" s="5" t="s">
        <v>355</v>
      </c>
      <c r="Q5152" s="5" t="s">
        <v>355</v>
      </c>
    </row>
    <row r="5153" ht="16.5" customHeight="1">
      <c r="O5153" s="5" t="s">
        <v>355</v>
      </c>
      <c r="P5153" s="5" t="s">
        <v>355</v>
      </c>
      <c r="Q5153" s="5" t="s">
        <v>355</v>
      </c>
    </row>
    <row r="5154" ht="16.5" customHeight="1">
      <c r="O5154" s="5" t="s">
        <v>355</v>
      </c>
      <c r="P5154" s="5" t="s">
        <v>355</v>
      </c>
      <c r="Q5154" s="5" t="s">
        <v>355</v>
      </c>
    </row>
    <row r="5155" ht="16.5" customHeight="1">
      <c r="O5155" s="5" t="s">
        <v>355</v>
      </c>
      <c r="P5155" s="5" t="s">
        <v>355</v>
      </c>
      <c r="Q5155" s="5" t="s">
        <v>355</v>
      </c>
    </row>
    <row r="5156" ht="16.5" customHeight="1">
      <c r="O5156" s="5" t="s">
        <v>355</v>
      </c>
      <c r="P5156" s="5" t="s">
        <v>355</v>
      </c>
      <c r="Q5156" s="5" t="s">
        <v>355</v>
      </c>
    </row>
    <row r="5157" ht="16.5" customHeight="1">
      <c r="O5157" s="5" t="s">
        <v>355</v>
      </c>
      <c r="P5157" s="5" t="s">
        <v>355</v>
      </c>
      <c r="Q5157" s="5" t="s">
        <v>355</v>
      </c>
    </row>
    <row r="5158" ht="16.5" customHeight="1">
      <c r="O5158" s="5" t="s">
        <v>355</v>
      </c>
      <c r="P5158" s="5" t="s">
        <v>355</v>
      </c>
      <c r="Q5158" s="5" t="s">
        <v>355</v>
      </c>
    </row>
    <row r="5159" ht="16.5" customHeight="1">
      <c r="O5159" s="5" t="s">
        <v>355</v>
      </c>
      <c r="P5159" s="5" t="s">
        <v>355</v>
      </c>
      <c r="Q5159" s="5" t="s">
        <v>355</v>
      </c>
    </row>
    <row r="5160" ht="16.5" customHeight="1">
      <c r="O5160" s="5" t="s">
        <v>355</v>
      </c>
      <c r="P5160" s="5" t="s">
        <v>355</v>
      </c>
      <c r="Q5160" s="5" t="s">
        <v>355</v>
      </c>
    </row>
    <row r="5161" ht="16.5" customHeight="1">
      <c r="O5161" s="5" t="s">
        <v>355</v>
      </c>
      <c r="P5161" s="5" t="s">
        <v>355</v>
      </c>
      <c r="Q5161" s="5" t="s">
        <v>355</v>
      </c>
    </row>
    <row r="5162" ht="16.5" customHeight="1">
      <c r="O5162" s="5" t="s">
        <v>355</v>
      </c>
      <c r="P5162" s="5" t="s">
        <v>355</v>
      </c>
      <c r="Q5162" s="5" t="s">
        <v>355</v>
      </c>
    </row>
    <row r="5163" ht="16.5" customHeight="1">
      <c r="O5163" s="5" t="s">
        <v>355</v>
      </c>
      <c r="P5163" s="5" t="s">
        <v>355</v>
      </c>
      <c r="Q5163" s="5" t="s">
        <v>355</v>
      </c>
    </row>
    <row r="5164" ht="16.5" customHeight="1">
      <c r="O5164" s="5" t="s">
        <v>355</v>
      </c>
      <c r="P5164" s="5" t="s">
        <v>355</v>
      </c>
      <c r="Q5164" s="5" t="s">
        <v>355</v>
      </c>
    </row>
    <row r="5165" ht="16.5" customHeight="1">
      <c r="O5165" s="5" t="s">
        <v>355</v>
      </c>
      <c r="P5165" s="5" t="s">
        <v>355</v>
      </c>
      <c r="Q5165" s="5" t="s">
        <v>355</v>
      </c>
    </row>
    <row r="5166" ht="16.5" customHeight="1">
      <c r="O5166" s="5" t="s">
        <v>355</v>
      </c>
      <c r="P5166" s="5" t="s">
        <v>355</v>
      </c>
      <c r="Q5166" s="5" t="s">
        <v>355</v>
      </c>
    </row>
    <row r="5167" ht="16.5" customHeight="1">
      <c r="O5167" s="5" t="s">
        <v>355</v>
      </c>
      <c r="P5167" s="5" t="s">
        <v>355</v>
      </c>
      <c r="Q5167" s="5" t="s">
        <v>355</v>
      </c>
    </row>
    <row r="5168" ht="16.5" customHeight="1">
      <c r="O5168" s="5" t="s">
        <v>355</v>
      </c>
      <c r="P5168" s="5" t="s">
        <v>355</v>
      </c>
      <c r="Q5168" s="5" t="s">
        <v>355</v>
      </c>
    </row>
    <row r="5169" ht="16.5" customHeight="1">
      <c r="O5169" s="5" t="s">
        <v>355</v>
      </c>
      <c r="P5169" s="5" t="s">
        <v>355</v>
      </c>
      <c r="Q5169" s="5" t="s">
        <v>355</v>
      </c>
    </row>
    <row r="5170" ht="16.5" customHeight="1">
      <c r="O5170" s="5" t="s">
        <v>355</v>
      </c>
      <c r="P5170" s="5" t="s">
        <v>355</v>
      </c>
      <c r="Q5170" s="5" t="s">
        <v>355</v>
      </c>
    </row>
    <row r="5171" ht="16.5" customHeight="1">
      <c r="O5171" s="5" t="s">
        <v>355</v>
      </c>
      <c r="P5171" s="5" t="s">
        <v>355</v>
      </c>
      <c r="Q5171" s="5" t="s">
        <v>355</v>
      </c>
    </row>
    <row r="5172" ht="16.5" customHeight="1">
      <c r="O5172" s="5" t="s">
        <v>355</v>
      </c>
      <c r="P5172" s="5" t="s">
        <v>355</v>
      </c>
      <c r="Q5172" s="5" t="s">
        <v>355</v>
      </c>
    </row>
    <row r="5173" ht="16.5" customHeight="1">
      <c r="O5173" s="5" t="s">
        <v>355</v>
      </c>
      <c r="P5173" s="5" t="s">
        <v>355</v>
      </c>
      <c r="Q5173" s="5" t="s">
        <v>355</v>
      </c>
    </row>
    <row r="5174" ht="16.5" customHeight="1">
      <c r="O5174" s="5" t="s">
        <v>355</v>
      </c>
      <c r="P5174" s="5" t="s">
        <v>355</v>
      </c>
      <c r="Q5174" s="5" t="s">
        <v>355</v>
      </c>
    </row>
    <row r="5175" ht="16.5" customHeight="1">
      <c r="O5175" s="5" t="s">
        <v>355</v>
      </c>
      <c r="P5175" s="5" t="s">
        <v>355</v>
      </c>
      <c r="Q5175" s="5" t="s">
        <v>355</v>
      </c>
    </row>
    <row r="5176" ht="16.5" customHeight="1">
      <c r="O5176" s="5" t="s">
        <v>355</v>
      </c>
      <c r="P5176" s="5" t="s">
        <v>355</v>
      </c>
      <c r="Q5176" s="5" t="s">
        <v>355</v>
      </c>
    </row>
    <row r="5177" ht="16.5" customHeight="1">
      <c r="O5177" s="5" t="s">
        <v>355</v>
      </c>
      <c r="P5177" s="5" t="s">
        <v>355</v>
      </c>
      <c r="Q5177" s="5" t="s">
        <v>355</v>
      </c>
    </row>
    <row r="5178" ht="16.5" customHeight="1">
      <c r="O5178" s="5" t="s">
        <v>355</v>
      </c>
      <c r="P5178" s="5" t="s">
        <v>355</v>
      </c>
      <c r="Q5178" s="5" t="s">
        <v>355</v>
      </c>
    </row>
    <row r="5179" ht="16.5" customHeight="1">
      <c r="O5179" s="5" t="s">
        <v>355</v>
      </c>
      <c r="P5179" s="5" t="s">
        <v>355</v>
      </c>
      <c r="Q5179" s="5" t="s">
        <v>355</v>
      </c>
    </row>
    <row r="5180" ht="16.5" customHeight="1">
      <c r="O5180" s="5" t="s">
        <v>355</v>
      </c>
      <c r="P5180" s="5" t="s">
        <v>355</v>
      </c>
      <c r="Q5180" s="5" t="s">
        <v>355</v>
      </c>
    </row>
    <row r="5181" ht="16.5" customHeight="1">
      <c r="O5181" s="5" t="s">
        <v>355</v>
      </c>
      <c r="P5181" s="5" t="s">
        <v>355</v>
      </c>
      <c r="Q5181" s="5" t="s">
        <v>355</v>
      </c>
    </row>
    <row r="5182" ht="16.5" customHeight="1">
      <c r="O5182" s="5" t="s">
        <v>355</v>
      </c>
      <c r="P5182" s="5" t="s">
        <v>355</v>
      </c>
      <c r="Q5182" s="5" t="s">
        <v>355</v>
      </c>
    </row>
    <row r="5183" ht="16.5" customHeight="1">
      <c r="O5183" s="5" t="s">
        <v>355</v>
      </c>
      <c r="P5183" s="5" t="s">
        <v>355</v>
      </c>
      <c r="Q5183" s="5" t="s">
        <v>355</v>
      </c>
    </row>
    <row r="5184" ht="16.5" customHeight="1">
      <c r="O5184" s="5" t="s">
        <v>355</v>
      </c>
      <c r="P5184" s="5" t="s">
        <v>355</v>
      </c>
      <c r="Q5184" s="5" t="s">
        <v>355</v>
      </c>
    </row>
    <row r="5185" ht="16.5" customHeight="1">
      <c r="O5185" s="5" t="s">
        <v>355</v>
      </c>
      <c r="P5185" s="5" t="s">
        <v>355</v>
      </c>
      <c r="Q5185" s="5" t="s">
        <v>355</v>
      </c>
    </row>
    <row r="5186" ht="16.5" customHeight="1">
      <c r="O5186" s="5" t="s">
        <v>355</v>
      </c>
      <c r="P5186" s="5" t="s">
        <v>355</v>
      </c>
      <c r="Q5186" s="5" t="s">
        <v>355</v>
      </c>
    </row>
    <row r="5187" ht="16.5" customHeight="1">
      <c r="O5187" s="5" t="s">
        <v>355</v>
      </c>
      <c r="P5187" s="5" t="s">
        <v>355</v>
      </c>
      <c r="Q5187" s="5" t="s">
        <v>355</v>
      </c>
    </row>
    <row r="5188" ht="16.5" customHeight="1">
      <c r="O5188" s="5" t="s">
        <v>355</v>
      </c>
      <c r="P5188" s="5" t="s">
        <v>355</v>
      </c>
      <c r="Q5188" s="5" t="s">
        <v>355</v>
      </c>
    </row>
    <row r="5189" ht="16.5" customHeight="1">
      <c r="O5189" s="5" t="s">
        <v>355</v>
      </c>
      <c r="P5189" s="5" t="s">
        <v>355</v>
      </c>
      <c r="Q5189" s="5" t="s">
        <v>355</v>
      </c>
    </row>
    <row r="5190" ht="16.5" customHeight="1">
      <c r="O5190" s="5" t="s">
        <v>355</v>
      </c>
      <c r="P5190" s="5" t="s">
        <v>355</v>
      </c>
      <c r="Q5190" s="5" t="s">
        <v>355</v>
      </c>
    </row>
    <row r="5191" ht="16.5" customHeight="1">
      <c r="O5191" s="5" t="s">
        <v>355</v>
      </c>
      <c r="P5191" s="5" t="s">
        <v>355</v>
      </c>
      <c r="Q5191" s="5" t="s">
        <v>355</v>
      </c>
    </row>
    <row r="5192" ht="16.5" customHeight="1">
      <c r="O5192" s="5" t="s">
        <v>355</v>
      </c>
      <c r="P5192" s="5" t="s">
        <v>355</v>
      </c>
      <c r="Q5192" s="5" t="s">
        <v>355</v>
      </c>
    </row>
    <row r="5193" ht="16.5" customHeight="1">
      <c r="O5193" s="5" t="s">
        <v>355</v>
      </c>
      <c r="P5193" s="5" t="s">
        <v>355</v>
      </c>
      <c r="Q5193" s="5" t="s">
        <v>355</v>
      </c>
    </row>
    <row r="5194" ht="16.5" customHeight="1">
      <c r="O5194" s="5" t="s">
        <v>355</v>
      </c>
      <c r="P5194" s="5" t="s">
        <v>355</v>
      </c>
      <c r="Q5194" s="5" t="s">
        <v>355</v>
      </c>
    </row>
    <row r="5195" ht="16.5" customHeight="1">
      <c r="O5195" s="5" t="s">
        <v>355</v>
      </c>
      <c r="P5195" s="5" t="s">
        <v>355</v>
      </c>
      <c r="Q5195" s="5" t="s">
        <v>355</v>
      </c>
    </row>
    <row r="5196" ht="16.5" customHeight="1">
      <c r="O5196" s="5" t="s">
        <v>355</v>
      </c>
      <c r="P5196" s="5" t="s">
        <v>355</v>
      </c>
      <c r="Q5196" s="5" t="s">
        <v>355</v>
      </c>
    </row>
    <row r="5197" ht="16.5" customHeight="1">
      <c r="O5197" s="5" t="s">
        <v>355</v>
      </c>
      <c r="P5197" s="5" t="s">
        <v>355</v>
      </c>
      <c r="Q5197" s="5" t="s">
        <v>355</v>
      </c>
    </row>
    <row r="5198" ht="16.5" customHeight="1">
      <c r="O5198" s="5" t="s">
        <v>355</v>
      </c>
      <c r="P5198" s="5" t="s">
        <v>355</v>
      </c>
      <c r="Q5198" s="5" t="s">
        <v>355</v>
      </c>
    </row>
    <row r="5199" ht="16.5" customHeight="1">
      <c r="O5199" s="5" t="s">
        <v>355</v>
      </c>
      <c r="P5199" s="5" t="s">
        <v>355</v>
      </c>
      <c r="Q5199" s="5" t="s">
        <v>355</v>
      </c>
    </row>
    <row r="5200" ht="16.5" customHeight="1">
      <c r="O5200" s="5" t="s">
        <v>355</v>
      </c>
      <c r="P5200" s="5" t="s">
        <v>355</v>
      </c>
      <c r="Q5200" s="5" t="s">
        <v>355</v>
      </c>
    </row>
    <row r="5201" ht="16.5" customHeight="1">
      <c r="O5201" s="5" t="s">
        <v>355</v>
      </c>
      <c r="P5201" s="5" t="s">
        <v>355</v>
      </c>
      <c r="Q5201" s="5" t="s">
        <v>355</v>
      </c>
    </row>
    <row r="5202" ht="16.5" customHeight="1">
      <c r="O5202" s="5" t="s">
        <v>355</v>
      </c>
      <c r="P5202" s="5" t="s">
        <v>355</v>
      </c>
      <c r="Q5202" s="5" t="s">
        <v>355</v>
      </c>
    </row>
    <row r="5203" ht="16.5" customHeight="1">
      <c r="O5203" s="5" t="s">
        <v>355</v>
      </c>
      <c r="P5203" s="5" t="s">
        <v>355</v>
      </c>
      <c r="Q5203" s="5" t="s">
        <v>355</v>
      </c>
    </row>
    <row r="5204" ht="16.5" customHeight="1">
      <c r="O5204" s="5" t="s">
        <v>355</v>
      </c>
      <c r="P5204" s="5" t="s">
        <v>355</v>
      </c>
      <c r="Q5204" s="5" t="s">
        <v>355</v>
      </c>
    </row>
    <row r="5205" ht="16.5" customHeight="1">
      <c r="O5205" s="5" t="s">
        <v>355</v>
      </c>
      <c r="P5205" s="5" t="s">
        <v>355</v>
      </c>
      <c r="Q5205" s="5" t="s">
        <v>355</v>
      </c>
    </row>
    <row r="5206" ht="16.5" customHeight="1">
      <c r="O5206" s="5" t="s">
        <v>355</v>
      </c>
      <c r="P5206" s="5" t="s">
        <v>355</v>
      </c>
      <c r="Q5206" s="5" t="s">
        <v>355</v>
      </c>
    </row>
    <row r="5207" ht="16.5" customHeight="1">
      <c r="O5207" s="5" t="s">
        <v>355</v>
      </c>
      <c r="P5207" s="5" t="s">
        <v>355</v>
      </c>
      <c r="Q5207" s="5" t="s">
        <v>355</v>
      </c>
    </row>
    <row r="5208" ht="16.5" customHeight="1">
      <c r="O5208" s="5" t="s">
        <v>355</v>
      </c>
      <c r="P5208" s="5" t="s">
        <v>355</v>
      </c>
      <c r="Q5208" s="5" t="s">
        <v>355</v>
      </c>
    </row>
    <row r="5209" ht="16.5" customHeight="1">
      <c r="O5209" s="5" t="s">
        <v>355</v>
      </c>
      <c r="P5209" s="5" t="s">
        <v>355</v>
      </c>
      <c r="Q5209" s="5" t="s">
        <v>355</v>
      </c>
    </row>
    <row r="5210" ht="16.5" customHeight="1">
      <c r="O5210" s="5" t="s">
        <v>355</v>
      </c>
      <c r="P5210" s="5" t="s">
        <v>355</v>
      </c>
      <c r="Q5210" s="5" t="s">
        <v>355</v>
      </c>
    </row>
    <row r="5211" ht="16.5" customHeight="1">
      <c r="O5211" s="5" t="s">
        <v>355</v>
      </c>
      <c r="P5211" s="5" t="s">
        <v>355</v>
      </c>
      <c r="Q5211" s="5" t="s">
        <v>355</v>
      </c>
    </row>
    <row r="5212" ht="16.5" customHeight="1">
      <c r="O5212" s="5" t="s">
        <v>355</v>
      </c>
      <c r="P5212" s="5" t="s">
        <v>355</v>
      </c>
      <c r="Q5212" s="5" t="s">
        <v>355</v>
      </c>
    </row>
    <row r="5213" ht="16.5" customHeight="1">
      <c r="O5213" s="5" t="s">
        <v>355</v>
      </c>
      <c r="P5213" s="5" t="s">
        <v>355</v>
      </c>
      <c r="Q5213" s="5" t="s">
        <v>355</v>
      </c>
    </row>
    <row r="5214" ht="16.5" customHeight="1">
      <c r="O5214" s="5" t="s">
        <v>355</v>
      </c>
      <c r="P5214" s="5" t="s">
        <v>355</v>
      </c>
      <c r="Q5214" s="5" t="s">
        <v>355</v>
      </c>
    </row>
    <row r="5215" ht="16.5" customHeight="1">
      <c r="O5215" s="5" t="s">
        <v>355</v>
      </c>
      <c r="P5215" s="5" t="s">
        <v>355</v>
      </c>
      <c r="Q5215" s="5" t="s">
        <v>355</v>
      </c>
    </row>
    <row r="5216" ht="16.5" customHeight="1">
      <c r="O5216" s="5" t="s">
        <v>355</v>
      </c>
      <c r="P5216" s="5" t="s">
        <v>355</v>
      </c>
      <c r="Q5216" s="5" t="s">
        <v>355</v>
      </c>
    </row>
    <row r="5217" ht="16.5" customHeight="1">
      <c r="O5217" s="5" t="s">
        <v>355</v>
      </c>
      <c r="P5217" s="5" t="s">
        <v>355</v>
      </c>
      <c r="Q5217" s="5" t="s">
        <v>355</v>
      </c>
    </row>
    <row r="5218" ht="16.5" customHeight="1">
      <c r="O5218" s="5" t="s">
        <v>355</v>
      </c>
      <c r="P5218" s="5" t="s">
        <v>355</v>
      </c>
      <c r="Q5218" s="5" t="s">
        <v>355</v>
      </c>
    </row>
    <row r="5219" ht="16.5" customHeight="1">
      <c r="O5219" s="5" t="s">
        <v>355</v>
      </c>
      <c r="P5219" s="5" t="s">
        <v>355</v>
      </c>
      <c r="Q5219" s="5" t="s">
        <v>355</v>
      </c>
    </row>
    <row r="5220" ht="16.5" customHeight="1">
      <c r="O5220" s="5" t="s">
        <v>355</v>
      </c>
      <c r="P5220" s="5" t="s">
        <v>355</v>
      </c>
      <c r="Q5220" s="5" t="s">
        <v>355</v>
      </c>
    </row>
    <row r="5221" ht="16.5" customHeight="1">
      <c r="O5221" s="5" t="s">
        <v>355</v>
      </c>
      <c r="P5221" s="5" t="s">
        <v>355</v>
      </c>
      <c r="Q5221" s="5" t="s">
        <v>355</v>
      </c>
    </row>
    <row r="5222" ht="16.5" customHeight="1">
      <c r="O5222" s="5" t="s">
        <v>355</v>
      </c>
      <c r="P5222" s="5" t="s">
        <v>355</v>
      </c>
      <c r="Q5222" s="5" t="s">
        <v>355</v>
      </c>
    </row>
    <row r="5223" ht="16.5" customHeight="1">
      <c r="O5223" s="5" t="s">
        <v>355</v>
      </c>
      <c r="P5223" s="5" t="s">
        <v>355</v>
      </c>
      <c r="Q5223" s="5" t="s">
        <v>355</v>
      </c>
    </row>
    <row r="5224" ht="16.5" customHeight="1">
      <c r="O5224" s="5" t="s">
        <v>355</v>
      </c>
      <c r="P5224" s="5" t="s">
        <v>355</v>
      </c>
      <c r="Q5224" s="5" t="s">
        <v>355</v>
      </c>
    </row>
    <row r="5225" ht="16.5" customHeight="1">
      <c r="O5225" s="5" t="s">
        <v>355</v>
      </c>
      <c r="P5225" s="5" t="s">
        <v>355</v>
      </c>
      <c r="Q5225" s="5" t="s">
        <v>355</v>
      </c>
    </row>
    <row r="5226" ht="16.5" customHeight="1">
      <c r="O5226" s="5" t="s">
        <v>355</v>
      </c>
      <c r="P5226" s="5" t="s">
        <v>355</v>
      </c>
      <c r="Q5226" s="5" t="s">
        <v>355</v>
      </c>
    </row>
    <row r="5227" ht="16.5" customHeight="1">
      <c r="O5227" s="5" t="s">
        <v>355</v>
      </c>
      <c r="P5227" s="5" t="s">
        <v>355</v>
      </c>
      <c r="Q5227" s="5" t="s">
        <v>355</v>
      </c>
    </row>
    <row r="5228" ht="16.5" customHeight="1">
      <c r="O5228" s="5" t="s">
        <v>355</v>
      </c>
      <c r="P5228" s="5" t="s">
        <v>355</v>
      </c>
      <c r="Q5228" s="5" t="s">
        <v>355</v>
      </c>
    </row>
    <row r="5229" ht="16.5" customHeight="1">
      <c r="O5229" s="5" t="s">
        <v>355</v>
      </c>
      <c r="P5229" s="5" t="s">
        <v>355</v>
      </c>
      <c r="Q5229" s="5" t="s">
        <v>355</v>
      </c>
    </row>
    <row r="5230" ht="16.5" customHeight="1">
      <c r="O5230" s="5" t="s">
        <v>355</v>
      </c>
      <c r="P5230" s="5" t="s">
        <v>355</v>
      </c>
      <c r="Q5230" s="5" t="s">
        <v>355</v>
      </c>
    </row>
    <row r="5231" ht="16.5" customHeight="1">
      <c r="O5231" s="5" t="s">
        <v>355</v>
      </c>
      <c r="P5231" s="5" t="s">
        <v>355</v>
      </c>
      <c r="Q5231" s="5" t="s">
        <v>355</v>
      </c>
    </row>
    <row r="5232" ht="16.5" customHeight="1">
      <c r="O5232" s="5" t="s">
        <v>355</v>
      </c>
      <c r="P5232" s="5" t="s">
        <v>355</v>
      </c>
      <c r="Q5232" s="5" t="s">
        <v>355</v>
      </c>
    </row>
    <row r="5233" ht="16.5" customHeight="1">
      <c r="O5233" s="5" t="s">
        <v>355</v>
      </c>
      <c r="P5233" s="5" t="s">
        <v>355</v>
      </c>
      <c r="Q5233" s="5" t="s">
        <v>355</v>
      </c>
    </row>
    <row r="5234" ht="16.5" customHeight="1">
      <c r="O5234" s="5" t="s">
        <v>355</v>
      </c>
      <c r="P5234" s="5" t="s">
        <v>355</v>
      </c>
      <c r="Q5234" s="5" t="s">
        <v>355</v>
      </c>
    </row>
    <row r="5235" ht="16.5" customHeight="1">
      <c r="O5235" s="5" t="s">
        <v>355</v>
      </c>
      <c r="P5235" s="5" t="s">
        <v>355</v>
      </c>
      <c r="Q5235" s="5" t="s">
        <v>355</v>
      </c>
    </row>
    <row r="5236" ht="16.5" customHeight="1">
      <c r="O5236" s="5" t="s">
        <v>355</v>
      </c>
      <c r="P5236" s="5" t="s">
        <v>355</v>
      </c>
      <c r="Q5236" s="5" t="s">
        <v>355</v>
      </c>
    </row>
    <row r="5237" ht="16.5" customHeight="1">
      <c r="O5237" s="5" t="s">
        <v>355</v>
      </c>
      <c r="P5237" s="5" t="s">
        <v>355</v>
      </c>
      <c r="Q5237" s="5" t="s">
        <v>355</v>
      </c>
    </row>
    <row r="5238" ht="16.5" customHeight="1">
      <c r="O5238" s="5" t="s">
        <v>355</v>
      </c>
      <c r="P5238" s="5" t="s">
        <v>355</v>
      </c>
      <c r="Q5238" s="5" t="s">
        <v>355</v>
      </c>
    </row>
    <row r="5239" ht="16.5" customHeight="1">
      <c r="O5239" s="5" t="s">
        <v>355</v>
      </c>
      <c r="P5239" s="5" t="s">
        <v>355</v>
      </c>
      <c r="Q5239" s="5" t="s">
        <v>355</v>
      </c>
    </row>
    <row r="5240" ht="16.5" customHeight="1">
      <c r="O5240" s="5" t="s">
        <v>355</v>
      </c>
      <c r="P5240" s="5" t="s">
        <v>355</v>
      </c>
      <c r="Q5240" s="5" t="s">
        <v>355</v>
      </c>
    </row>
    <row r="5241" ht="16.5" customHeight="1">
      <c r="O5241" s="5" t="s">
        <v>355</v>
      </c>
      <c r="P5241" s="5" t="s">
        <v>355</v>
      </c>
      <c r="Q5241" s="5" t="s">
        <v>355</v>
      </c>
    </row>
    <row r="5242" ht="16.5" customHeight="1">
      <c r="O5242" s="5" t="s">
        <v>355</v>
      </c>
      <c r="P5242" s="5" t="s">
        <v>355</v>
      </c>
      <c r="Q5242" s="5" t="s">
        <v>355</v>
      </c>
    </row>
    <row r="5243" ht="16.5" customHeight="1">
      <c r="O5243" s="5" t="s">
        <v>355</v>
      </c>
      <c r="P5243" s="5" t="s">
        <v>355</v>
      </c>
      <c r="Q5243" s="5" t="s">
        <v>355</v>
      </c>
    </row>
    <row r="5244" ht="16.5" customHeight="1">
      <c r="O5244" s="5" t="s">
        <v>355</v>
      </c>
      <c r="P5244" s="5" t="s">
        <v>355</v>
      </c>
      <c r="Q5244" s="5" t="s">
        <v>355</v>
      </c>
    </row>
    <row r="5245" ht="16.5" customHeight="1">
      <c r="O5245" s="5" t="s">
        <v>355</v>
      </c>
      <c r="P5245" s="5" t="s">
        <v>355</v>
      </c>
      <c r="Q5245" s="5" t="s">
        <v>355</v>
      </c>
    </row>
    <row r="5246" ht="16.5" customHeight="1">
      <c r="O5246" s="5" t="s">
        <v>355</v>
      </c>
      <c r="P5246" s="5" t="s">
        <v>355</v>
      </c>
      <c r="Q5246" s="5" t="s">
        <v>355</v>
      </c>
    </row>
    <row r="5247" ht="16.5" customHeight="1">
      <c r="O5247" s="5" t="s">
        <v>355</v>
      </c>
      <c r="P5247" s="5" t="s">
        <v>355</v>
      </c>
      <c r="Q5247" s="5" t="s">
        <v>355</v>
      </c>
    </row>
    <row r="5248" ht="16.5" customHeight="1">
      <c r="O5248" s="5" t="s">
        <v>355</v>
      </c>
      <c r="P5248" s="5" t="s">
        <v>355</v>
      </c>
      <c r="Q5248" s="5" t="s">
        <v>355</v>
      </c>
    </row>
    <row r="5249" ht="16.5" customHeight="1">
      <c r="O5249" s="5" t="s">
        <v>355</v>
      </c>
      <c r="P5249" s="5" t="s">
        <v>355</v>
      </c>
      <c r="Q5249" s="5" t="s">
        <v>355</v>
      </c>
    </row>
    <row r="5250" ht="16.5" customHeight="1">
      <c r="O5250" s="5" t="s">
        <v>355</v>
      </c>
      <c r="P5250" s="5" t="s">
        <v>355</v>
      </c>
      <c r="Q5250" s="5" t="s">
        <v>355</v>
      </c>
    </row>
    <row r="5251" ht="16.5" customHeight="1">
      <c r="O5251" s="5" t="s">
        <v>355</v>
      </c>
      <c r="P5251" s="5" t="s">
        <v>355</v>
      </c>
      <c r="Q5251" s="5" t="s">
        <v>355</v>
      </c>
    </row>
    <row r="5252" ht="16.5" customHeight="1">
      <c r="O5252" s="5" t="s">
        <v>355</v>
      </c>
      <c r="P5252" s="5" t="s">
        <v>355</v>
      </c>
      <c r="Q5252" s="5" t="s">
        <v>355</v>
      </c>
    </row>
    <row r="5253" ht="16.5" customHeight="1">
      <c r="O5253" s="5" t="s">
        <v>355</v>
      </c>
      <c r="P5253" s="5" t="s">
        <v>355</v>
      </c>
      <c r="Q5253" s="5" t="s">
        <v>355</v>
      </c>
    </row>
    <row r="5254" ht="16.5" customHeight="1">
      <c r="O5254" s="5" t="s">
        <v>355</v>
      </c>
      <c r="P5254" s="5" t="s">
        <v>355</v>
      </c>
      <c r="Q5254" s="5" t="s">
        <v>355</v>
      </c>
    </row>
    <row r="5255" ht="16.5" customHeight="1">
      <c r="O5255" s="5" t="s">
        <v>355</v>
      </c>
      <c r="P5255" s="5" t="s">
        <v>355</v>
      </c>
      <c r="Q5255" s="5" t="s">
        <v>355</v>
      </c>
    </row>
    <row r="5256" ht="16.5" customHeight="1">
      <c r="O5256" s="5" t="s">
        <v>355</v>
      </c>
      <c r="P5256" s="5" t="s">
        <v>355</v>
      </c>
      <c r="Q5256" s="5" t="s">
        <v>355</v>
      </c>
    </row>
    <row r="5257" ht="16.5" customHeight="1">
      <c r="O5257" s="5" t="s">
        <v>355</v>
      </c>
      <c r="P5257" s="5" t="s">
        <v>355</v>
      </c>
      <c r="Q5257" s="5" t="s">
        <v>355</v>
      </c>
    </row>
    <row r="5258" ht="16.5" customHeight="1">
      <c r="O5258" s="5" t="s">
        <v>355</v>
      </c>
      <c r="P5258" s="5" t="s">
        <v>355</v>
      </c>
      <c r="Q5258" s="5" t="s">
        <v>355</v>
      </c>
    </row>
    <row r="5259" ht="16.5" customHeight="1">
      <c r="O5259" s="5" t="s">
        <v>355</v>
      </c>
      <c r="P5259" s="5" t="s">
        <v>355</v>
      </c>
      <c r="Q5259" s="5" t="s">
        <v>355</v>
      </c>
    </row>
    <row r="5260" ht="16.5" customHeight="1">
      <c r="O5260" s="5" t="s">
        <v>355</v>
      </c>
      <c r="P5260" s="5" t="s">
        <v>355</v>
      </c>
      <c r="Q5260" s="5" t="s">
        <v>355</v>
      </c>
    </row>
    <row r="5261" ht="16.5" customHeight="1">
      <c r="O5261" s="5" t="s">
        <v>355</v>
      </c>
      <c r="P5261" s="5" t="s">
        <v>355</v>
      </c>
      <c r="Q5261" s="5" t="s">
        <v>355</v>
      </c>
    </row>
    <row r="5262" ht="16.5" customHeight="1">
      <c r="O5262" s="5" t="s">
        <v>355</v>
      </c>
      <c r="P5262" s="5" t="s">
        <v>355</v>
      </c>
      <c r="Q5262" s="5" t="s">
        <v>355</v>
      </c>
    </row>
    <row r="5263" ht="16.5" customHeight="1">
      <c r="O5263" s="5" t="s">
        <v>355</v>
      </c>
      <c r="P5263" s="5" t="s">
        <v>355</v>
      </c>
      <c r="Q5263" s="5" t="s">
        <v>355</v>
      </c>
    </row>
    <row r="5264" ht="16.5" customHeight="1">
      <c r="O5264" s="5" t="s">
        <v>355</v>
      </c>
      <c r="P5264" s="5" t="s">
        <v>355</v>
      </c>
      <c r="Q5264" s="5" t="s">
        <v>355</v>
      </c>
    </row>
    <row r="5265" ht="16.5" customHeight="1">
      <c r="O5265" s="5" t="s">
        <v>355</v>
      </c>
      <c r="P5265" s="5" t="s">
        <v>355</v>
      </c>
      <c r="Q5265" s="5" t="s">
        <v>355</v>
      </c>
    </row>
    <row r="5266" ht="16.5" customHeight="1">
      <c r="O5266" s="5" t="s">
        <v>355</v>
      </c>
      <c r="P5266" s="5" t="s">
        <v>355</v>
      </c>
      <c r="Q5266" s="5" t="s">
        <v>355</v>
      </c>
    </row>
    <row r="5267" ht="16.5" customHeight="1">
      <c r="O5267" s="5" t="s">
        <v>355</v>
      </c>
      <c r="P5267" s="5" t="s">
        <v>355</v>
      </c>
      <c r="Q5267" s="5" t="s">
        <v>355</v>
      </c>
    </row>
    <row r="5268" ht="16.5" customHeight="1">
      <c r="O5268" s="5" t="s">
        <v>355</v>
      </c>
      <c r="P5268" s="5" t="s">
        <v>355</v>
      </c>
      <c r="Q5268" s="5" t="s">
        <v>355</v>
      </c>
    </row>
    <row r="5269" ht="16.5" customHeight="1">
      <c r="O5269" s="5" t="s">
        <v>355</v>
      </c>
      <c r="P5269" s="5" t="s">
        <v>355</v>
      </c>
      <c r="Q5269" s="5" t="s">
        <v>355</v>
      </c>
    </row>
    <row r="5270" ht="16.5" customHeight="1">
      <c r="O5270" s="5" t="s">
        <v>355</v>
      </c>
      <c r="P5270" s="5" t="s">
        <v>355</v>
      </c>
      <c r="Q5270" s="5" t="s">
        <v>355</v>
      </c>
    </row>
    <row r="5271" ht="16.5" customHeight="1">
      <c r="O5271" s="5" t="s">
        <v>355</v>
      </c>
      <c r="P5271" s="5" t="s">
        <v>355</v>
      </c>
      <c r="Q5271" s="5" t="s">
        <v>355</v>
      </c>
    </row>
    <row r="5272" ht="16.5" customHeight="1">
      <c r="O5272" s="5" t="s">
        <v>355</v>
      </c>
      <c r="P5272" s="5" t="s">
        <v>355</v>
      </c>
      <c r="Q5272" s="5" t="s">
        <v>355</v>
      </c>
    </row>
    <row r="5273" ht="16.5" customHeight="1">
      <c r="O5273" s="5" t="s">
        <v>355</v>
      </c>
      <c r="P5273" s="5" t="s">
        <v>355</v>
      </c>
      <c r="Q5273" s="5" t="s">
        <v>355</v>
      </c>
    </row>
    <row r="5274" ht="16.5" customHeight="1">
      <c r="O5274" s="5" t="s">
        <v>355</v>
      </c>
      <c r="P5274" s="5" t="s">
        <v>355</v>
      </c>
      <c r="Q5274" s="5" t="s">
        <v>355</v>
      </c>
    </row>
    <row r="5275" ht="16.5" customHeight="1">
      <c r="O5275" s="5" t="s">
        <v>355</v>
      </c>
      <c r="P5275" s="5" t="s">
        <v>355</v>
      </c>
      <c r="Q5275" s="5" t="s">
        <v>355</v>
      </c>
    </row>
    <row r="5276" ht="16.5" customHeight="1">
      <c r="O5276" s="5" t="s">
        <v>355</v>
      </c>
      <c r="P5276" s="5" t="s">
        <v>355</v>
      </c>
      <c r="Q5276" s="5" t="s">
        <v>355</v>
      </c>
    </row>
    <row r="5277" ht="16.5" customHeight="1">
      <c r="O5277" s="5" t="s">
        <v>355</v>
      </c>
      <c r="P5277" s="5" t="s">
        <v>355</v>
      </c>
      <c r="Q5277" s="5" t="s">
        <v>355</v>
      </c>
    </row>
    <row r="5278" ht="16.5" customHeight="1">
      <c r="O5278" s="5" t="s">
        <v>355</v>
      </c>
      <c r="P5278" s="5" t="s">
        <v>355</v>
      </c>
      <c r="Q5278" s="5" t="s">
        <v>355</v>
      </c>
    </row>
    <row r="5279" ht="16.5" customHeight="1">
      <c r="O5279" s="5" t="s">
        <v>355</v>
      </c>
      <c r="P5279" s="5" t="s">
        <v>355</v>
      </c>
      <c r="Q5279" s="5" t="s">
        <v>355</v>
      </c>
    </row>
    <row r="5280" ht="16.5" customHeight="1">
      <c r="O5280" s="5" t="s">
        <v>355</v>
      </c>
      <c r="P5280" s="5" t="s">
        <v>355</v>
      </c>
      <c r="Q5280" s="5" t="s">
        <v>355</v>
      </c>
    </row>
    <row r="5281" ht="16.5" customHeight="1">
      <c r="O5281" s="5" t="s">
        <v>355</v>
      </c>
      <c r="P5281" s="5" t="s">
        <v>355</v>
      </c>
      <c r="Q5281" s="5" t="s">
        <v>355</v>
      </c>
    </row>
    <row r="5282" ht="16.5" customHeight="1">
      <c r="O5282" s="5" t="s">
        <v>355</v>
      </c>
      <c r="P5282" s="5" t="s">
        <v>355</v>
      </c>
      <c r="Q5282" s="5" t="s">
        <v>355</v>
      </c>
    </row>
    <row r="5283" ht="16.5" customHeight="1">
      <c r="O5283" s="5" t="s">
        <v>355</v>
      </c>
      <c r="P5283" s="5" t="s">
        <v>355</v>
      </c>
      <c r="Q5283" s="5" t="s">
        <v>355</v>
      </c>
    </row>
    <row r="5284" ht="16.5" customHeight="1">
      <c r="O5284" s="5" t="s">
        <v>355</v>
      </c>
      <c r="P5284" s="5" t="s">
        <v>355</v>
      </c>
      <c r="Q5284" s="5" t="s">
        <v>355</v>
      </c>
    </row>
    <row r="5285" ht="16.5" customHeight="1">
      <c r="O5285" s="5" t="s">
        <v>355</v>
      </c>
      <c r="P5285" s="5" t="s">
        <v>355</v>
      </c>
      <c r="Q5285" s="5" t="s">
        <v>355</v>
      </c>
    </row>
    <row r="5286" ht="16.5" customHeight="1">
      <c r="O5286" s="5" t="s">
        <v>355</v>
      </c>
      <c r="P5286" s="5" t="s">
        <v>355</v>
      </c>
      <c r="Q5286" s="5" t="s">
        <v>355</v>
      </c>
    </row>
    <row r="5287" ht="16.5" customHeight="1">
      <c r="O5287" s="5" t="s">
        <v>355</v>
      </c>
      <c r="P5287" s="5" t="s">
        <v>355</v>
      </c>
      <c r="Q5287" s="5" t="s">
        <v>355</v>
      </c>
    </row>
    <row r="5288" ht="16.5" customHeight="1">
      <c r="O5288" s="5" t="s">
        <v>355</v>
      </c>
      <c r="P5288" s="5" t="s">
        <v>355</v>
      </c>
      <c r="Q5288" s="5" t="s">
        <v>355</v>
      </c>
    </row>
    <row r="5289" ht="16.5" customHeight="1">
      <c r="O5289" s="5" t="s">
        <v>355</v>
      </c>
      <c r="P5289" s="5" t="s">
        <v>355</v>
      </c>
      <c r="Q5289" s="5" t="s">
        <v>355</v>
      </c>
    </row>
    <row r="5290" ht="16.5" customHeight="1">
      <c r="O5290" s="5" t="s">
        <v>355</v>
      </c>
      <c r="P5290" s="5" t="s">
        <v>355</v>
      </c>
      <c r="Q5290" s="5" t="s">
        <v>355</v>
      </c>
    </row>
    <row r="5291" ht="16.5" customHeight="1">
      <c r="O5291" s="5" t="s">
        <v>355</v>
      </c>
      <c r="P5291" s="5" t="s">
        <v>355</v>
      </c>
      <c r="Q5291" s="5" t="s">
        <v>355</v>
      </c>
    </row>
    <row r="5292" ht="16.5" customHeight="1">
      <c r="O5292" s="5" t="s">
        <v>355</v>
      </c>
      <c r="P5292" s="5" t="s">
        <v>355</v>
      </c>
      <c r="Q5292" s="5" t="s">
        <v>355</v>
      </c>
    </row>
    <row r="5293" ht="16.5" customHeight="1">
      <c r="O5293" s="5" t="s">
        <v>355</v>
      </c>
      <c r="P5293" s="5" t="s">
        <v>355</v>
      </c>
      <c r="Q5293" s="5" t="s">
        <v>355</v>
      </c>
    </row>
    <row r="5294" ht="16.5" customHeight="1">
      <c r="O5294" s="5" t="s">
        <v>355</v>
      </c>
      <c r="P5294" s="5" t="s">
        <v>355</v>
      </c>
      <c r="Q5294" s="5" t="s">
        <v>355</v>
      </c>
    </row>
    <row r="5295" ht="16.5" customHeight="1">
      <c r="O5295" s="5" t="s">
        <v>355</v>
      </c>
      <c r="P5295" s="5" t="s">
        <v>355</v>
      </c>
      <c r="Q5295" s="5" t="s">
        <v>355</v>
      </c>
    </row>
    <row r="5296" ht="16.5" customHeight="1">
      <c r="O5296" s="5" t="s">
        <v>355</v>
      </c>
      <c r="P5296" s="5" t="s">
        <v>355</v>
      </c>
      <c r="Q5296" s="5" t="s">
        <v>355</v>
      </c>
    </row>
    <row r="5297" ht="16.5" customHeight="1">
      <c r="O5297" s="5" t="s">
        <v>355</v>
      </c>
      <c r="P5297" s="5" t="s">
        <v>355</v>
      </c>
      <c r="Q5297" s="5" t="s">
        <v>355</v>
      </c>
    </row>
    <row r="5298" ht="16.5" customHeight="1">
      <c r="O5298" s="5" t="s">
        <v>355</v>
      </c>
      <c r="P5298" s="5" t="s">
        <v>355</v>
      </c>
      <c r="Q5298" s="5" t="s">
        <v>355</v>
      </c>
    </row>
    <row r="5299" ht="16.5" customHeight="1">
      <c r="O5299" s="5" t="s">
        <v>355</v>
      </c>
      <c r="P5299" s="5" t="s">
        <v>355</v>
      </c>
      <c r="Q5299" s="5" t="s">
        <v>355</v>
      </c>
    </row>
    <row r="5300" ht="16.5" customHeight="1">
      <c r="O5300" s="5" t="s">
        <v>355</v>
      </c>
      <c r="P5300" s="5" t="s">
        <v>355</v>
      </c>
      <c r="Q5300" s="5" t="s">
        <v>355</v>
      </c>
    </row>
    <row r="5301" ht="16.5" customHeight="1">
      <c r="O5301" s="5" t="s">
        <v>355</v>
      </c>
      <c r="P5301" s="5" t="s">
        <v>355</v>
      </c>
      <c r="Q5301" s="5" t="s">
        <v>355</v>
      </c>
    </row>
    <row r="5302" ht="16.5" customHeight="1">
      <c r="O5302" s="5" t="s">
        <v>355</v>
      </c>
      <c r="P5302" s="5" t="s">
        <v>355</v>
      </c>
      <c r="Q5302" s="5" t="s">
        <v>355</v>
      </c>
    </row>
    <row r="5303" ht="16.5" customHeight="1">
      <c r="O5303" s="5" t="s">
        <v>355</v>
      </c>
      <c r="P5303" s="5" t="s">
        <v>355</v>
      </c>
      <c r="Q5303" s="5" t="s">
        <v>355</v>
      </c>
    </row>
    <row r="5304" ht="16.5" customHeight="1">
      <c r="O5304" s="5" t="s">
        <v>355</v>
      </c>
      <c r="P5304" s="5" t="s">
        <v>355</v>
      </c>
      <c r="Q5304" s="5" t="s">
        <v>355</v>
      </c>
    </row>
    <row r="5305" ht="16.5" customHeight="1">
      <c r="O5305" s="5" t="s">
        <v>355</v>
      </c>
      <c r="P5305" s="5" t="s">
        <v>355</v>
      </c>
      <c r="Q5305" s="5" t="s">
        <v>355</v>
      </c>
    </row>
    <row r="5306" ht="16.5" customHeight="1">
      <c r="O5306" s="5" t="s">
        <v>355</v>
      </c>
      <c r="P5306" s="5" t="s">
        <v>355</v>
      </c>
      <c r="Q5306" s="5" t="s">
        <v>355</v>
      </c>
    </row>
    <row r="5307" ht="16.5" customHeight="1">
      <c r="O5307" s="5" t="s">
        <v>355</v>
      </c>
      <c r="P5307" s="5" t="s">
        <v>355</v>
      </c>
      <c r="Q5307" s="5" t="s">
        <v>355</v>
      </c>
    </row>
    <row r="5308" ht="16.5" customHeight="1">
      <c r="O5308" s="5" t="s">
        <v>355</v>
      </c>
      <c r="P5308" s="5" t="s">
        <v>355</v>
      </c>
      <c r="Q5308" s="5" t="s">
        <v>355</v>
      </c>
    </row>
    <row r="5309" ht="16.5" customHeight="1">
      <c r="O5309" s="5" t="s">
        <v>355</v>
      </c>
      <c r="P5309" s="5" t="s">
        <v>355</v>
      </c>
      <c r="Q5309" s="5" t="s">
        <v>355</v>
      </c>
    </row>
    <row r="5310" ht="16.5" customHeight="1">
      <c r="O5310" s="5" t="s">
        <v>355</v>
      </c>
      <c r="P5310" s="5" t="s">
        <v>355</v>
      </c>
      <c r="Q5310" s="5" t="s">
        <v>355</v>
      </c>
    </row>
    <row r="5311" ht="16.5" customHeight="1">
      <c r="O5311" s="5" t="s">
        <v>355</v>
      </c>
      <c r="P5311" s="5" t="s">
        <v>355</v>
      </c>
      <c r="Q5311" s="5" t="s">
        <v>355</v>
      </c>
    </row>
    <row r="5312" ht="16.5" customHeight="1">
      <c r="O5312" s="5" t="s">
        <v>355</v>
      </c>
      <c r="P5312" s="5" t="s">
        <v>355</v>
      </c>
      <c r="Q5312" s="5" t="s">
        <v>355</v>
      </c>
    </row>
    <row r="5313" ht="16.5" customHeight="1">
      <c r="O5313" s="5" t="s">
        <v>355</v>
      </c>
      <c r="P5313" s="5" t="s">
        <v>355</v>
      </c>
      <c r="Q5313" s="5" t="s">
        <v>355</v>
      </c>
    </row>
    <row r="5314" ht="16.5" customHeight="1">
      <c r="O5314" s="5" t="s">
        <v>355</v>
      </c>
      <c r="P5314" s="5" t="s">
        <v>355</v>
      </c>
      <c r="Q5314" s="5" t="s">
        <v>355</v>
      </c>
    </row>
    <row r="5315" ht="16.5" customHeight="1">
      <c r="O5315" s="5" t="s">
        <v>355</v>
      </c>
      <c r="P5315" s="5" t="s">
        <v>355</v>
      </c>
      <c r="Q5315" s="5" t="s">
        <v>355</v>
      </c>
    </row>
    <row r="5316" ht="16.5" customHeight="1">
      <c r="O5316" s="5" t="s">
        <v>355</v>
      </c>
      <c r="P5316" s="5" t="s">
        <v>355</v>
      </c>
      <c r="Q5316" s="5" t="s">
        <v>355</v>
      </c>
    </row>
    <row r="5317" ht="16.5" customHeight="1">
      <c r="O5317" s="5" t="s">
        <v>355</v>
      </c>
      <c r="P5317" s="5" t="s">
        <v>355</v>
      </c>
      <c r="Q5317" s="5" t="s">
        <v>355</v>
      </c>
    </row>
    <row r="5318" ht="16.5" customHeight="1">
      <c r="O5318" s="5" t="s">
        <v>355</v>
      </c>
      <c r="P5318" s="5" t="s">
        <v>355</v>
      </c>
      <c r="Q5318" s="5" t="s">
        <v>355</v>
      </c>
    </row>
    <row r="5319" ht="16.5" customHeight="1">
      <c r="O5319" s="5" t="s">
        <v>355</v>
      </c>
      <c r="P5319" s="5" t="s">
        <v>355</v>
      </c>
      <c r="Q5319" s="5" t="s">
        <v>355</v>
      </c>
    </row>
    <row r="5320" ht="16.5" customHeight="1">
      <c r="O5320" s="5" t="s">
        <v>355</v>
      </c>
      <c r="P5320" s="5" t="s">
        <v>355</v>
      </c>
      <c r="Q5320" s="5" t="s">
        <v>355</v>
      </c>
    </row>
    <row r="5321" ht="16.5" customHeight="1">
      <c r="O5321" s="5" t="s">
        <v>355</v>
      </c>
      <c r="P5321" s="5" t="s">
        <v>355</v>
      </c>
      <c r="Q5321" s="5" t="s">
        <v>355</v>
      </c>
    </row>
    <row r="5322" ht="16.5" customHeight="1">
      <c r="O5322" s="5" t="s">
        <v>355</v>
      </c>
      <c r="P5322" s="5" t="s">
        <v>355</v>
      </c>
      <c r="Q5322" s="5" t="s">
        <v>355</v>
      </c>
    </row>
    <row r="5323" ht="16.5" customHeight="1">
      <c r="O5323" s="5" t="s">
        <v>355</v>
      </c>
      <c r="P5323" s="5" t="s">
        <v>355</v>
      </c>
      <c r="Q5323" s="5" t="s">
        <v>355</v>
      </c>
    </row>
    <row r="5324" ht="16.5" customHeight="1">
      <c r="O5324" s="5" t="s">
        <v>355</v>
      </c>
      <c r="P5324" s="5" t="s">
        <v>355</v>
      </c>
      <c r="Q5324" s="5" t="s">
        <v>355</v>
      </c>
    </row>
    <row r="5325" ht="16.5" customHeight="1">
      <c r="O5325" s="5" t="s">
        <v>355</v>
      </c>
      <c r="P5325" s="5" t="s">
        <v>355</v>
      </c>
      <c r="Q5325" s="5" t="s">
        <v>355</v>
      </c>
    </row>
    <row r="5326" ht="16.5" customHeight="1">
      <c r="O5326" s="5" t="s">
        <v>355</v>
      </c>
      <c r="P5326" s="5" t="s">
        <v>355</v>
      </c>
      <c r="Q5326" s="5" t="s">
        <v>355</v>
      </c>
    </row>
    <row r="5327" ht="16.5" customHeight="1">
      <c r="O5327" s="5" t="s">
        <v>355</v>
      </c>
      <c r="P5327" s="5" t="s">
        <v>355</v>
      </c>
      <c r="Q5327" s="5" t="s">
        <v>355</v>
      </c>
    </row>
    <row r="5328" ht="16.5" customHeight="1">
      <c r="O5328" s="5" t="s">
        <v>355</v>
      </c>
      <c r="P5328" s="5" t="s">
        <v>355</v>
      </c>
      <c r="Q5328" s="5" t="s">
        <v>355</v>
      </c>
    </row>
    <row r="5329" ht="16.5" customHeight="1">
      <c r="O5329" s="5" t="s">
        <v>355</v>
      </c>
      <c r="P5329" s="5" t="s">
        <v>355</v>
      </c>
      <c r="Q5329" s="5" t="s">
        <v>355</v>
      </c>
    </row>
    <row r="5330" ht="16.5" customHeight="1">
      <c r="O5330" s="5" t="s">
        <v>355</v>
      </c>
      <c r="P5330" s="5" t="s">
        <v>355</v>
      </c>
      <c r="Q5330" s="5" t="s">
        <v>355</v>
      </c>
    </row>
    <row r="5331" ht="16.5" customHeight="1">
      <c r="O5331" s="5" t="s">
        <v>355</v>
      </c>
      <c r="P5331" s="5" t="s">
        <v>355</v>
      </c>
      <c r="Q5331" s="5" t="s">
        <v>355</v>
      </c>
    </row>
    <row r="5332" ht="16.5" customHeight="1">
      <c r="O5332" s="5" t="s">
        <v>355</v>
      </c>
      <c r="P5332" s="5" t="s">
        <v>355</v>
      </c>
      <c r="Q5332" s="5" t="s">
        <v>355</v>
      </c>
    </row>
    <row r="5333" ht="16.5" customHeight="1">
      <c r="O5333" s="5" t="s">
        <v>355</v>
      </c>
      <c r="P5333" s="5" t="s">
        <v>355</v>
      </c>
      <c r="Q5333" s="5" t="s">
        <v>355</v>
      </c>
    </row>
    <row r="5334" ht="16.5" customHeight="1">
      <c r="O5334" s="5" t="s">
        <v>355</v>
      </c>
      <c r="P5334" s="5" t="s">
        <v>355</v>
      </c>
      <c r="Q5334" s="5" t="s">
        <v>355</v>
      </c>
    </row>
    <row r="5335" ht="16.5" customHeight="1">
      <c r="O5335" s="5" t="s">
        <v>355</v>
      </c>
      <c r="P5335" s="5" t="s">
        <v>355</v>
      </c>
      <c r="Q5335" s="5" t="s">
        <v>355</v>
      </c>
    </row>
    <row r="5336" ht="16.5" customHeight="1">
      <c r="O5336" s="5" t="s">
        <v>355</v>
      </c>
      <c r="P5336" s="5" t="s">
        <v>355</v>
      </c>
      <c r="Q5336" s="5" t="s">
        <v>355</v>
      </c>
    </row>
    <row r="5337" ht="16.5" customHeight="1">
      <c r="O5337" s="5" t="s">
        <v>355</v>
      </c>
      <c r="P5337" s="5" t="s">
        <v>355</v>
      </c>
      <c r="Q5337" s="5" t="s">
        <v>355</v>
      </c>
    </row>
    <row r="5338" ht="16.5" customHeight="1">
      <c r="O5338" s="5" t="s">
        <v>355</v>
      </c>
      <c r="P5338" s="5" t="s">
        <v>355</v>
      </c>
      <c r="Q5338" s="5" t="s">
        <v>355</v>
      </c>
    </row>
    <row r="5339" ht="16.5" customHeight="1">
      <c r="O5339" s="5" t="s">
        <v>355</v>
      </c>
      <c r="P5339" s="5" t="s">
        <v>355</v>
      </c>
      <c r="Q5339" s="5" t="s">
        <v>355</v>
      </c>
    </row>
    <row r="5340" ht="16.5" customHeight="1">
      <c r="O5340" s="5" t="s">
        <v>355</v>
      </c>
      <c r="P5340" s="5" t="s">
        <v>355</v>
      </c>
      <c r="Q5340" s="5" t="s">
        <v>355</v>
      </c>
    </row>
    <row r="5341" ht="16.5" customHeight="1">
      <c r="O5341" s="5" t="s">
        <v>355</v>
      </c>
      <c r="P5341" s="5" t="s">
        <v>355</v>
      </c>
      <c r="Q5341" s="5" t="s">
        <v>355</v>
      </c>
    </row>
    <row r="5342" ht="16.5" customHeight="1">
      <c r="O5342" s="5" t="s">
        <v>355</v>
      </c>
      <c r="P5342" s="5" t="s">
        <v>355</v>
      </c>
      <c r="Q5342" s="5" t="s">
        <v>355</v>
      </c>
    </row>
    <row r="5343" ht="16.5" customHeight="1">
      <c r="O5343" s="5" t="s">
        <v>355</v>
      </c>
      <c r="P5343" s="5" t="s">
        <v>355</v>
      </c>
      <c r="Q5343" s="5" t="s">
        <v>355</v>
      </c>
    </row>
    <row r="5344" ht="16.5" customHeight="1">
      <c r="O5344" s="5" t="s">
        <v>355</v>
      </c>
      <c r="P5344" s="5" t="s">
        <v>355</v>
      </c>
      <c r="Q5344" s="5" t="s">
        <v>355</v>
      </c>
    </row>
    <row r="5345" ht="16.5" customHeight="1">
      <c r="O5345" s="5" t="s">
        <v>355</v>
      </c>
      <c r="P5345" s="5" t="s">
        <v>355</v>
      </c>
      <c r="Q5345" s="5" t="s">
        <v>355</v>
      </c>
    </row>
    <row r="5346" ht="16.5" customHeight="1">
      <c r="O5346" s="5" t="s">
        <v>355</v>
      </c>
      <c r="P5346" s="5" t="s">
        <v>355</v>
      </c>
      <c r="Q5346" s="5" t="s">
        <v>355</v>
      </c>
    </row>
    <row r="5347" ht="16.5" customHeight="1">
      <c r="O5347" s="5" t="s">
        <v>355</v>
      </c>
      <c r="P5347" s="5" t="s">
        <v>355</v>
      </c>
      <c r="Q5347" s="5" t="s">
        <v>355</v>
      </c>
    </row>
    <row r="5348" ht="16.5" customHeight="1">
      <c r="O5348" s="5" t="s">
        <v>355</v>
      </c>
      <c r="P5348" s="5" t="s">
        <v>355</v>
      </c>
      <c r="Q5348" s="5" t="s">
        <v>355</v>
      </c>
    </row>
    <row r="5349" ht="16.5" customHeight="1">
      <c r="O5349" s="5" t="s">
        <v>355</v>
      </c>
      <c r="P5349" s="5" t="s">
        <v>355</v>
      </c>
      <c r="Q5349" s="5" t="s">
        <v>355</v>
      </c>
    </row>
    <row r="5350" ht="16.5" customHeight="1">
      <c r="O5350" s="5" t="s">
        <v>355</v>
      </c>
      <c r="P5350" s="5" t="s">
        <v>355</v>
      </c>
      <c r="Q5350" s="5" t="s">
        <v>355</v>
      </c>
    </row>
    <row r="5351" ht="16.5" customHeight="1">
      <c r="O5351" s="5" t="s">
        <v>355</v>
      </c>
      <c r="P5351" s="5" t="s">
        <v>355</v>
      </c>
      <c r="Q5351" s="5" t="s">
        <v>355</v>
      </c>
    </row>
    <row r="5352" ht="16.5" customHeight="1">
      <c r="O5352" s="5" t="s">
        <v>355</v>
      </c>
      <c r="P5352" s="5" t="s">
        <v>355</v>
      </c>
      <c r="Q5352" s="5" t="s">
        <v>355</v>
      </c>
    </row>
    <row r="5353" ht="16.5" customHeight="1">
      <c r="O5353" s="5" t="s">
        <v>355</v>
      </c>
      <c r="P5353" s="5" t="s">
        <v>355</v>
      </c>
      <c r="Q5353" s="5" t="s">
        <v>355</v>
      </c>
    </row>
    <row r="5354" ht="16.5" customHeight="1">
      <c r="O5354" s="5" t="s">
        <v>355</v>
      </c>
      <c r="P5354" s="5" t="s">
        <v>355</v>
      </c>
      <c r="Q5354" s="5" t="s">
        <v>355</v>
      </c>
    </row>
    <row r="5355" ht="16.5" customHeight="1">
      <c r="O5355" s="5" t="s">
        <v>355</v>
      </c>
      <c r="P5355" s="5" t="s">
        <v>355</v>
      </c>
      <c r="Q5355" s="5" t="s">
        <v>355</v>
      </c>
    </row>
    <row r="5356" ht="16.5" customHeight="1">
      <c r="O5356" s="5" t="s">
        <v>355</v>
      </c>
      <c r="P5356" s="5" t="s">
        <v>355</v>
      </c>
      <c r="Q5356" s="5" t="s">
        <v>355</v>
      </c>
    </row>
    <row r="5357" ht="16.5" customHeight="1">
      <c r="O5357" s="5" t="s">
        <v>355</v>
      </c>
      <c r="P5357" s="5" t="s">
        <v>355</v>
      </c>
      <c r="Q5357" s="5" t="s">
        <v>355</v>
      </c>
    </row>
    <row r="5358" ht="16.5" customHeight="1">
      <c r="O5358" s="5" t="s">
        <v>355</v>
      </c>
      <c r="P5358" s="5" t="s">
        <v>355</v>
      </c>
      <c r="Q5358" s="5" t="s">
        <v>355</v>
      </c>
    </row>
    <row r="5359" ht="16.5" customHeight="1">
      <c r="O5359" s="5" t="s">
        <v>355</v>
      </c>
      <c r="P5359" s="5" t="s">
        <v>355</v>
      </c>
      <c r="Q5359" s="5" t="s">
        <v>355</v>
      </c>
    </row>
    <row r="5360" ht="16.5" customHeight="1">
      <c r="O5360" s="5" t="s">
        <v>355</v>
      </c>
      <c r="P5360" s="5" t="s">
        <v>355</v>
      </c>
      <c r="Q5360" s="5" t="s">
        <v>355</v>
      </c>
    </row>
    <row r="5361" ht="16.5" customHeight="1">
      <c r="O5361" s="5" t="s">
        <v>355</v>
      </c>
      <c r="P5361" s="5" t="s">
        <v>355</v>
      </c>
      <c r="Q5361" s="5" t="s">
        <v>355</v>
      </c>
    </row>
    <row r="5362" ht="16.5" customHeight="1">
      <c r="O5362" s="5" t="s">
        <v>355</v>
      </c>
      <c r="P5362" s="5" t="s">
        <v>355</v>
      </c>
      <c r="Q5362" s="5" t="s">
        <v>355</v>
      </c>
    </row>
    <row r="5363" ht="16.5" customHeight="1">
      <c r="O5363" s="5" t="s">
        <v>355</v>
      </c>
      <c r="P5363" s="5" t="s">
        <v>355</v>
      </c>
      <c r="Q5363" s="5" t="s">
        <v>355</v>
      </c>
    </row>
    <row r="5364" ht="16.5" customHeight="1">
      <c r="O5364" s="5" t="s">
        <v>355</v>
      </c>
      <c r="P5364" s="5" t="s">
        <v>355</v>
      </c>
      <c r="Q5364" s="5" t="s">
        <v>355</v>
      </c>
    </row>
    <row r="5365" ht="16.5" customHeight="1">
      <c r="O5365" s="5" t="s">
        <v>355</v>
      </c>
      <c r="P5365" s="5" t="s">
        <v>355</v>
      </c>
      <c r="Q5365" s="5" t="s">
        <v>355</v>
      </c>
    </row>
    <row r="5366" ht="16.5" customHeight="1">
      <c r="O5366" s="5" t="s">
        <v>355</v>
      </c>
      <c r="P5366" s="5" t="s">
        <v>355</v>
      </c>
      <c r="Q5366" s="5" t="s">
        <v>355</v>
      </c>
    </row>
    <row r="5367" ht="16.5" customHeight="1">
      <c r="O5367" s="5" t="s">
        <v>355</v>
      </c>
      <c r="P5367" s="5" t="s">
        <v>355</v>
      </c>
      <c r="Q5367" s="5" t="s">
        <v>355</v>
      </c>
    </row>
    <row r="5368" ht="16.5" customHeight="1">
      <c r="O5368" s="5" t="s">
        <v>355</v>
      </c>
      <c r="P5368" s="5" t="s">
        <v>355</v>
      </c>
      <c r="Q5368" s="5" t="s">
        <v>355</v>
      </c>
    </row>
    <row r="5369" ht="16.5" customHeight="1">
      <c r="O5369" s="5" t="s">
        <v>355</v>
      </c>
      <c r="P5369" s="5" t="s">
        <v>355</v>
      </c>
      <c r="Q5369" s="5" t="s">
        <v>355</v>
      </c>
    </row>
    <row r="5370" ht="16.5" customHeight="1">
      <c r="O5370" s="5" t="s">
        <v>355</v>
      </c>
      <c r="P5370" s="5" t="s">
        <v>355</v>
      </c>
      <c r="Q5370" s="5" t="s">
        <v>355</v>
      </c>
    </row>
    <row r="5371" ht="16.5" customHeight="1">
      <c r="O5371" s="5" t="s">
        <v>355</v>
      </c>
      <c r="P5371" s="5" t="s">
        <v>355</v>
      </c>
      <c r="Q5371" s="5" t="s">
        <v>355</v>
      </c>
    </row>
    <row r="5372" ht="16.5" customHeight="1">
      <c r="O5372" s="5" t="s">
        <v>355</v>
      </c>
      <c r="P5372" s="5" t="s">
        <v>355</v>
      </c>
      <c r="Q5372" s="5" t="s">
        <v>355</v>
      </c>
    </row>
    <row r="5373" ht="16.5" customHeight="1">
      <c r="O5373" s="5" t="s">
        <v>355</v>
      </c>
      <c r="P5373" s="5" t="s">
        <v>355</v>
      </c>
      <c r="Q5373" s="5" t="s">
        <v>355</v>
      </c>
    </row>
    <row r="5374" ht="16.5" customHeight="1">
      <c r="O5374" s="5" t="s">
        <v>355</v>
      </c>
      <c r="P5374" s="5" t="s">
        <v>355</v>
      </c>
      <c r="Q5374" s="5" t="s">
        <v>355</v>
      </c>
    </row>
    <row r="5375" ht="16.5" customHeight="1">
      <c r="O5375" s="5" t="s">
        <v>355</v>
      </c>
      <c r="P5375" s="5" t="s">
        <v>355</v>
      </c>
      <c r="Q5375" s="5" t="s">
        <v>355</v>
      </c>
    </row>
    <row r="5376" ht="16.5" customHeight="1">
      <c r="O5376" s="5" t="s">
        <v>355</v>
      </c>
      <c r="P5376" s="5" t="s">
        <v>355</v>
      </c>
      <c r="Q5376" s="5" t="s">
        <v>355</v>
      </c>
    </row>
    <row r="5377" ht="16.5" customHeight="1">
      <c r="O5377" s="5" t="s">
        <v>355</v>
      </c>
      <c r="P5377" s="5" t="s">
        <v>355</v>
      </c>
      <c r="Q5377" s="5" t="s">
        <v>355</v>
      </c>
    </row>
    <row r="5378" ht="16.5" customHeight="1">
      <c r="O5378" s="5" t="s">
        <v>355</v>
      </c>
      <c r="P5378" s="5" t="s">
        <v>355</v>
      </c>
      <c r="Q5378" s="5" t="s">
        <v>355</v>
      </c>
    </row>
    <row r="5379" ht="16.5" customHeight="1">
      <c r="O5379" s="5" t="s">
        <v>355</v>
      </c>
      <c r="P5379" s="5" t="s">
        <v>355</v>
      </c>
      <c r="Q5379" s="5" t="s">
        <v>355</v>
      </c>
    </row>
    <row r="5380" ht="16.5" customHeight="1">
      <c r="O5380" s="5" t="s">
        <v>355</v>
      </c>
      <c r="P5380" s="5" t="s">
        <v>355</v>
      </c>
      <c r="Q5380" s="5" t="s">
        <v>355</v>
      </c>
    </row>
    <row r="5381" ht="16.5" customHeight="1">
      <c r="O5381" s="5" t="s">
        <v>355</v>
      </c>
      <c r="P5381" s="5" t="s">
        <v>355</v>
      </c>
      <c r="Q5381" s="5" t="s">
        <v>355</v>
      </c>
    </row>
    <row r="5382" ht="16.5" customHeight="1">
      <c r="O5382" s="5" t="s">
        <v>355</v>
      </c>
      <c r="P5382" s="5" t="s">
        <v>355</v>
      </c>
      <c r="Q5382" s="5" t="s">
        <v>355</v>
      </c>
    </row>
    <row r="5383" ht="16.5" customHeight="1">
      <c r="O5383" s="5" t="s">
        <v>355</v>
      </c>
      <c r="P5383" s="5" t="s">
        <v>355</v>
      </c>
      <c r="Q5383" s="5" t="s">
        <v>355</v>
      </c>
    </row>
    <row r="5384" ht="16.5" customHeight="1">
      <c r="O5384" s="5" t="s">
        <v>355</v>
      </c>
      <c r="P5384" s="5" t="s">
        <v>355</v>
      </c>
      <c r="Q5384" s="5" t="s">
        <v>355</v>
      </c>
    </row>
    <row r="5385" ht="16.5" customHeight="1">
      <c r="O5385" s="5" t="s">
        <v>355</v>
      </c>
      <c r="P5385" s="5" t="s">
        <v>355</v>
      </c>
      <c r="Q5385" s="5" t="s">
        <v>355</v>
      </c>
    </row>
    <row r="5386" ht="16.5" customHeight="1">
      <c r="O5386" s="5" t="s">
        <v>355</v>
      </c>
      <c r="P5386" s="5" t="s">
        <v>355</v>
      </c>
      <c r="Q5386" s="5" t="s">
        <v>355</v>
      </c>
    </row>
    <row r="5387" ht="16.5" customHeight="1">
      <c r="O5387" s="5" t="s">
        <v>355</v>
      </c>
      <c r="P5387" s="5" t="s">
        <v>355</v>
      </c>
      <c r="Q5387" s="5" t="s">
        <v>355</v>
      </c>
    </row>
    <row r="5388" ht="16.5" customHeight="1">
      <c r="O5388" s="5" t="s">
        <v>355</v>
      </c>
      <c r="P5388" s="5" t="s">
        <v>355</v>
      </c>
      <c r="Q5388" s="5" t="s">
        <v>355</v>
      </c>
    </row>
    <row r="5389" ht="16.5" customHeight="1">
      <c r="O5389" s="5" t="s">
        <v>355</v>
      </c>
      <c r="P5389" s="5" t="s">
        <v>355</v>
      </c>
      <c r="Q5389" s="5" t="s">
        <v>355</v>
      </c>
    </row>
    <row r="5390" ht="16.5" customHeight="1">
      <c r="O5390" s="5" t="s">
        <v>355</v>
      </c>
      <c r="P5390" s="5" t="s">
        <v>355</v>
      </c>
      <c r="Q5390" s="5" t="s">
        <v>355</v>
      </c>
    </row>
    <row r="5391" ht="16.5" customHeight="1">
      <c r="O5391" s="5" t="s">
        <v>355</v>
      </c>
      <c r="P5391" s="5" t="s">
        <v>355</v>
      </c>
      <c r="Q5391" s="5" t="s">
        <v>355</v>
      </c>
    </row>
    <row r="5392" ht="16.5" customHeight="1">
      <c r="O5392" s="5" t="s">
        <v>355</v>
      </c>
      <c r="P5392" s="5" t="s">
        <v>355</v>
      </c>
      <c r="Q5392" s="5" t="s">
        <v>355</v>
      </c>
    </row>
    <row r="5393" ht="16.5" customHeight="1">
      <c r="O5393" s="5" t="s">
        <v>355</v>
      </c>
      <c r="P5393" s="5" t="s">
        <v>355</v>
      </c>
      <c r="Q5393" s="5" t="s">
        <v>355</v>
      </c>
    </row>
    <row r="5394" ht="16.5" customHeight="1">
      <c r="O5394" s="5" t="s">
        <v>355</v>
      </c>
      <c r="P5394" s="5" t="s">
        <v>355</v>
      </c>
      <c r="Q5394" s="5" t="s">
        <v>355</v>
      </c>
    </row>
    <row r="5395" ht="16.5" customHeight="1">
      <c r="O5395" s="5" t="s">
        <v>355</v>
      </c>
      <c r="P5395" s="5" t="s">
        <v>355</v>
      </c>
      <c r="Q5395" s="5" t="s">
        <v>355</v>
      </c>
    </row>
    <row r="5396" ht="16.5" customHeight="1">
      <c r="O5396" s="5" t="s">
        <v>355</v>
      </c>
      <c r="P5396" s="5" t="s">
        <v>355</v>
      </c>
      <c r="Q5396" s="5" t="s">
        <v>355</v>
      </c>
    </row>
    <row r="5397" ht="16.5" customHeight="1">
      <c r="O5397" s="5" t="s">
        <v>355</v>
      </c>
      <c r="P5397" s="5" t="s">
        <v>355</v>
      </c>
      <c r="Q5397" s="5" t="s">
        <v>355</v>
      </c>
    </row>
    <row r="5398" ht="16.5" customHeight="1">
      <c r="O5398" s="5" t="s">
        <v>355</v>
      </c>
      <c r="P5398" s="5" t="s">
        <v>355</v>
      </c>
      <c r="Q5398" s="5" t="s">
        <v>355</v>
      </c>
    </row>
    <row r="5399" ht="16.5" customHeight="1">
      <c r="O5399" s="5" t="s">
        <v>355</v>
      </c>
      <c r="P5399" s="5" t="s">
        <v>355</v>
      </c>
      <c r="Q5399" s="5" t="s">
        <v>355</v>
      </c>
    </row>
    <row r="5400" ht="16.5" customHeight="1">
      <c r="O5400" s="5" t="s">
        <v>355</v>
      </c>
      <c r="P5400" s="5" t="s">
        <v>355</v>
      </c>
      <c r="Q5400" s="5" t="s">
        <v>355</v>
      </c>
    </row>
    <row r="5401" ht="16.5" customHeight="1">
      <c r="O5401" s="5" t="s">
        <v>355</v>
      </c>
      <c r="P5401" s="5" t="s">
        <v>355</v>
      </c>
      <c r="Q5401" s="5" t="s">
        <v>355</v>
      </c>
    </row>
    <row r="5402" ht="16.5" customHeight="1">
      <c r="O5402" s="5" t="s">
        <v>355</v>
      </c>
      <c r="P5402" s="5" t="s">
        <v>355</v>
      </c>
      <c r="Q5402" s="5" t="s">
        <v>355</v>
      </c>
    </row>
    <row r="5403" ht="16.5" customHeight="1">
      <c r="O5403" s="5" t="s">
        <v>355</v>
      </c>
      <c r="P5403" s="5" t="s">
        <v>355</v>
      </c>
      <c r="Q5403" s="5" t="s">
        <v>355</v>
      </c>
    </row>
    <row r="5404" ht="16.5" customHeight="1">
      <c r="O5404" s="5" t="s">
        <v>355</v>
      </c>
      <c r="P5404" s="5" t="s">
        <v>355</v>
      </c>
      <c r="Q5404" s="5" t="s">
        <v>355</v>
      </c>
    </row>
    <row r="5405" ht="16.5" customHeight="1">
      <c r="O5405" s="5" t="s">
        <v>355</v>
      </c>
      <c r="P5405" s="5" t="s">
        <v>355</v>
      </c>
      <c r="Q5405" s="5" t="s">
        <v>355</v>
      </c>
    </row>
    <row r="5406" ht="16.5" customHeight="1">
      <c r="O5406" s="5" t="s">
        <v>355</v>
      </c>
      <c r="P5406" s="5" t="s">
        <v>355</v>
      </c>
      <c r="Q5406" s="5" t="s">
        <v>355</v>
      </c>
    </row>
    <row r="5407" ht="16.5" customHeight="1">
      <c r="O5407" s="5" t="s">
        <v>355</v>
      </c>
      <c r="P5407" s="5" t="s">
        <v>355</v>
      </c>
      <c r="Q5407" s="5" t="s">
        <v>355</v>
      </c>
    </row>
    <row r="5408" ht="16.5" customHeight="1">
      <c r="O5408" s="5" t="s">
        <v>355</v>
      </c>
      <c r="P5408" s="5" t="s">
        <v>355</v>
      </c>
      <c r="Q5408" s="5" t="s">
        <v>355</v>
      </c>
    </row>
    <row r="5409" ht="16.5" customHeight="1">
      <c r="O5409" s="5" t="s">
        <v>355</v>
      </c>
      <c r="P5409" s="5" t="s">
        <v>355</v>
      </c>
      <c r="Q5409" s="5" t="s">
        <v>355</v>
      </c>
    </row>
    <row r="5410" ht="16.5" customHeight="1">
      <c r="O5410" s="5" t="s">
        <v>355</v>
      </c>
      <c r="P5410" s="5" t="s">
        <v>355</v>
      </c>
      <c r="Q5410" s="5" t="s">
        <v>355</v>
      </c>
    </row>
    <row r="5411" ht="16.5" customHeight="1">
      <c r="O5411" s="5" t="s">
        <v>355</v>
      </c>
      <c r="P5411" s="5" t="s">
        <v>355</v>
      </c>
      <c r="Q5411" s="5" t="s">
        <v>355</v>
      </c>
    </row>
    <row r="5412" ht="16.5" customHeight="1">
      <c r="O5412" s="5" t="s">
        <v>355</v>
      </c>
      <c r="P5412" s="5" t="s">
        <v>355</v>
      </c>
      <c r="Q5412" s="5" t="s">
        <v>355</v>
      </c>
    </row>
    <row r="5413" ht="16.5" customHeight="1">
      <c r="O5413" s="5" t="s">
        <v>355</v>
      </c>
      <c r="P5413" s="5" t="s">
        <v>355</v>
      </c>
      <c r="Q5413" s="5" t="s">
        <v>355</v>
      </c>
    </row>
    <row r="5414" ht="16.5" customHeight="1">
      <c r="O5414" s="5" t="s">
        <v>355</v>
      </c>
      <c r="P5414" s="5" t="s">
        <v>355</v>
      </c>
      <c r="Q5414" s="5" t="s">
        <v>355</v>
      </c>
    </row>
    <row r="5415" ht="16.5" customHeight="1">
      <c r="O5415" s="5" t="s">
        <v>355</v>
      </c>
      <c r="P5415" s="5" t="s">
        <v>355</v>
      </c>
      <c r="Q5415" s="5" t="s">
        <v>355</v>
      </c>
    </row>
    <row r="5416" ht="16.5" customHeight="1">
      <c r="O5416" s="5" t="s">
        <v>355</v>
      </c>
      <c r="P5416" s="5" t="s">
        <v>355</v>
      </c>
      <c r="Q5416" s="5" t="s">
        <v>355</v>
      </c>
    </row>
    <row r="5417" ht="16.5" customHeight="1">
      <c r="O5417" s="5" t="s">
        <v>355</v>
      </c>
      <c r="P5417" s="5" t="s">
        <v>355</v>
      </c>
      <c r="Q5417" s="5" t="s">
        <v>355</v>
      </c>
    </row>
    <row r="5418" ht="16.5" customHeight="1">
      <c r="O5418" s="5" t="s">
        <v>355</v>
      </c>
      <c r="P5418" s="5" t="s">
        <v>355</v>
      </c>
      <c r="Q5418" s="5" t="s">
        <v>355</v>
      </c>
    </row>
    <row r="5419" ht="16.5" customHeight="1">
      <c r="O5419" s="5" t="s">
        <v>355</v>
      </c>
      <c r="P5419" s="5" t="s">
        <v>355</v>
      </c>
      <c r="Q5419" s="5" t="s">
        <v>355</v>
      </c>
    </row>
    <row r="5420" ht="16.5" customHeight="1">
      <c r="O5420" s="5" t="s">
        <v>355</v>
      </c>
      <c r="P5420" s="5" t="s">
        <v>355</v>
      </c>
      <c r="Q5420" s="5" t="s">
        <v>355</v>
      </c>
    </row>
    <row r="5421" ht="16.5" customHeight="1">
      <c r="O5421" s="5" t="s">
        <v>355</v>
      </c>
      <c r="P5421" s="5" t="s">
        <v>355</v>
      </c>
      <c r="Q5421" s="5" t="s">
        <v>355</v>
      </c>
    </row>
    <row r="5422" ht="16.5" customHeight="1">
      <c r="O5422" s="5" t="s">
        <v>355</v>
      </c>
      <c r="P5422" s="5" t="s">
        <v>355</v>
      </c>
      <c r="Q5422" s="5" t="s">
        <v>355</v>
      </c>
    </row>
    <row r="5423" ht="16.5" customHeight="1">
      <c r="O5423" s="5" t="s">
        <v>355</v>
      </c>
      <c r="P5423" s="5" t="s">
        <v>355</v>
      </c>
      <c r="Q5423" s="5" t="s">
        <v>355</v>
      </c>
    </row>
    <row r="5424" ht="16.5" customHeight="1">
      <c r="O5424" s="5" t="s">
        <v>355</v>
      </c>
      <c r="P5424" s="5" t="s">
        <v>355</v>
      </c>
      <c r="Q5424" s="5" t="s">
        <v>355</v>
      </c>
    </row>
    <row r="5425" ht="16.5" customHeight="1">
      <c r="O5425" s="5" t="s">
        <v>355</v>
      </c>
      <c r="P5425" s="5" t="s">
        <v>355</v>
      </c>
      <c r="Q5425" s="5" t="s">
        <v>355</v>
      </c>
    </row>
    <row r="5426" ht="16.5" customHeight="1">
      <c r="O5426" s="5" t="s">
        <v>355</v>
      </c>
      <c r="P5426" s="5" t="s">
        <v>355</v>
      </c>
      <c r="Q5426" s="5" t="s">
        <v>355</v>
      </c>
    </row>
    <row r="5427" ht="16.5" customHeight="1">
      <c r="O5427" s="5" t="s">
        <v>355</v>
      </c>
      <c r="P5427" s="5" t="s">
        <v>355</v>
      </c>
      <c r="Q5427" s="5" t="s">
        <v>355</v>
      </c>
    </row>
    <row r="5428" ht="16.5" customHeight="1">
      <c r="O5428" s="5" t="s">
        <v>355</v>
      </c>
      <c r="P5428" s="5" t="s">
        <v>355</v>
      </c>
      <c r="Q5428" s="5" t="s">
        <v>355</v>
      </c>
    </row>
    <row r="5429" ht="16.5" customHeight="1">
      <c r="O5429" s="5" t="s">
        <v>355</v>
      </c>
      <c r="P5429" s="5" t="s">
        <v>355</v>
      </c>
      <c r="Q5429" s="5" t="s">
        <v>355</v>
      </c>
    </row>
    <row r="5430" ht="16.5" customHeight="1">
      <c r="O5430" s="5" t="s">
        <v>355</v>
      </c>
      <c r="P5430" s="5" t="s">
        <v>355</v>
      </c>
      <c r="Q5430" s="5" t="s">
        <v>355</v>
      </c>
    </row>
    <row r="5431" ht="16.5" customHeight="1">
      <c r="O5431" s="5" t="s">
        <v>355</v>
      </c>
      <c r="P5431" s="5" t="s">
        <v>355</v>
      </c>
      <c r="Q5431" s="5" t="s">
        <v>355</v>
      </c>
    </row>
    <row r="5432" ht="16.5" customHeight="1">
      <c r="O5432" s="5" t="s">
        <v>355</v>
      </c>
      <c r="P5432" s="5" t="s">
        <v>355</v>
      </c>
      <c r="Q5432" s="5" t="s">
        <v>355</v>
      </c>
    </row>
    <row r="5433" ht="16.5" customHeight="1">
      <c r="O5433" s="5" t="s">
        <v>355</v>
      </c>
      <c r="P5433" s="5" t="s">
        <v>355</v>
      </c>
      <c r="Q5433" s="5" t="s">
        <v>355</v>
      </c>
    </row>
    <row r="5434" ht="16.5" customHeight="1">
      <c r="O5434" s="5" t="s">
        <v>355</v>
      </c>
      <c r="P5434" s="5" t="s">
        <v>355</v>
      </c>
      <c r="Q5434" s="5" t="s">
        <v>355</v>
      </c>
    </row>
    <row r="5435" ht="16.5" customHeight="1">
      <c r="O5435" s="5" t="s">
        <v>355</v>
      </c>
      <c r="P5435" s="5" t="s">
        <v>355</v>
      </c>
      <c r="Q5435" s="5" t="s">
        <v>355</v>
      </c>
    </row>
    <row r="5436" ht="16.5" customHeight="1">
      <c r="O5436" s="5" t="s">
        <v>355</v>
      </c>
      <c r="P5436" s="5" t="s">
        <v>355</v>
      </c>
      <c r="Q5436" s="5" t="s">
        <v>355</v>
      </c>
    </row>
    <row r="5437" ht="16.5" customHeight="1">
      <c r="O5437" s="5" t="s">
        <v>355</v>
      </c>
      <c r="P5437" s="5" t="s">
        <v>355</v>
      </c>
      <c r="Q5437" s="5" t="s">
        <v>355</v>
      </c>
    </row>
    <row r="5438" ht="16.5" customHeight="1">
      <c r="O5438" s="5" t="s">
        <v>355</v>
      </c>
      <c r="P5438" s="5" t="s">
        <v>355</v>
      </c>
      <c r="Q5438" s="5" t="s">
        <v>355</v>
      </c>
    </row>
    <row r="5439" ht="16.5" customHeight="1">
      <c r="O5439" s="5" t="s">
        <v>355</v>
      </c>
      <c r="P5439" s="5" t="s">
        <v>355</v>
      </c>
      <c r="Q5439" s="5" t="s">
        <v>355</v>
      </c>
    </row>
    <row r="5440" ht="16.5" customHeight="1">
      <c r="O5440" s="5" t="s">
        <v>355</v>
      </c>
      <c r="P5440" s="5" t="s">
        <v>355</v>
      </c>
      <c r="Q5440" s="5" t="s">
        <v>355</v>
      </c>
    </row>
    <row r="5441" ht="16.5" customHeight="1">
      <c r="O5441" s="5" t="s">
        <v>355</v>
      </c>
      <c r="P5441" s="5" t="s">
        <v>355</v>
      </c>
      <c r="Q5441" s="5" t="s">
        <v>355</v>
      </c>
    </row>
    <row r="5442" ht="16.5" customHeight="1">
      <c r="O5442" s="5" t="s">
        <v>355</v>
      </c>
      <c r="P5442" s="5" t="s">
        <v>355</v>
      </c>
      <c r="Q5442" s="5" t="s">
        <v>355</v>
      </c>
    </row>
    <row r="5443" ht="16.5" customHeight="1">
      <c r="O5443" s="5" t="s">
        <v>355</v>
      </c>
      <c r="P5443" s="5" t="s">
        <v>355</v>
      </c>
      <c r="Q5443" s="5" t="s">
        <v>355</v>
      </c>
    </row>
    <row r="5444" ht="16.5" customHeight="1">
      <c r="O5444" s="5" t="s">
        <v>355</v>
      </c>
      <c r="P5444" s="5" t="s">
        <v>355</v>
      </c>
      <c r="Q5444" s="5" t="s">
        <v>355</v>
      </c>
    </row>
    <row r="5445" ht="16.5" customHeight="1">
      <c r="O5445" s="5" t="s">
        <v>355</v>
      </c>
      <c r="P5445" s="5" t="s">
        <v>355</v>
      </c>
      <c r="Q5445" s="5" t="s">
        <v>355</v>
      </c>
    </row>
    <row r="5446" ht="16.5" customHeight="1">
      <c r="O5446" s="5" t="s">
        <v>355</v>
      </c>
      <c r="P5446" s="5" t="s">
        <v>355</v>
      </c>
      <c r="Q5446" s="5" t="s">
        <v>355</v>
      </c>
    </row>
    <row r="5447" ht="16.5" customHeight="1">
      <c r="O5447" s="5" t="s">
        <v>355</v>
      </c>
      <c r="P5447" s="5" t="s">
        <v>355</v>
      </c>
      <c r="Q5447" s="5" t="s">
        <v>355</v>
      </c>
    </row>
    <row r="5448" ht="16.5" customHeight="1">
      <c r="O5448" s="5" t="s">
        <v>355</v>
      </c>
      <c r="P5448" s="5" t="s">
        <v>355</v>
      </c>
      <c r="Q5448" s="5" t="s">
        <v>355</v>
      </c>
    </row>
    <row r="5449" ht="16.5" customHeight="1">
      <c r="O5449" s="5" t="s">
        <v>355</v>
      </c>
      <c r="P5449" s="5" t="s">
        <v>355</v>
      </c>
      <c r="Q5449" s="5" t="s">
        <v>355</v>
      </c>
    </row>
    <row r="5450" ht="16.5" customHeight="1">
      <c r="O5450" s="5" t="s">
        <v>355</v>
      </c>
      <c r="P5450" s="5" t="s">
        <v>355</v>
      </c>
      <c r="Q5450" s="5" t="s">
        <v>355</v>
      </c>
    </row>
    <row r="5451" ht="16.5" customHeight="1">
      <c r="O5451" s="5" t="s">
        <v>355</v>
      </c>
      <c r="P5451" s="5" t="s">
        <v>355</v>
      </c>
      <c r="Q5451" s="5" t="s">
        <v>355</v>
      </c>
    </row>
    <row r="5452" ht="16.5" customHeight="1">
      <c r="O5452" s="5" t="s">
        <v>355</v>
      </c>
      <c r="P5452" s="5" t="s">
        <v>355</v>
      </c>
      <c r="Q5452" s="5" t="s">
        <v>355</v>
      </c>
    </row>
    <row r="5453" ht="16.5" customHeight="1">
      <c r="O5453" s="5" t="s">
        <v>355</v>
      </c>
      <c r="P5453" s="5" t="s">
        <v>355</v>
      </c>
      <c r="Q5453" s="5" t="s">
        <v>355</v>
      </c>
    </row>
    <row r="5454" ht="16.5" customHeight="1">
      <c r="O5454" s="5" t="s">
        <v>355</v>
      </c>
      <c r="P5454" s="5" t="s">
        <v>355</v>
      </c>
      <c r="Q5454" s="5" t="s">
        <v>355</v>
      </c>
    </row>
    <row r="5455" ht="16.5" customHeight="1">
      <c r="O5455" s="5" t="s">
        <v>355</v>
      </c>
      <c r="P5455" s="5" t="s">
        <v>355</v>
      </c>
      <c r="Q5455" s="5" t="s">
        <v>355</v>
      </c>
    </row>
    <row r="5456" ht="16.5" customHeight="1">
      <c r="O5456" s="5" t="s">
        <v>355</v>
      </c>
      <c r="P5456" s="5" t="s">
        <v>355</v>
      </c>
      <c r="Q5456" s="5" t="s">
        <v>355</v>
      </c>
    </row>
    <row r="5457" ht="16.5" customHeight="1">
      <c r="O5457" s="5" t="s">
        <v>355</v>
      </c>
      <c r="P5457" s="5" t="s">
        <v>355</v>
      </c>
      <c r="Q5457" s="5" t="s">
        <v>355</v>
      </c>
    </row>
    <row r="5458" ht="16.5" customHeight="1">
      <c r="O5458" s="5" t="s">
        <v>355</v>
      </c>
      <c r="P5458" s="5" t="s">
        <v>355</v>
      </c>
      <c r="Q5458" s="5" t="s">
        <v>355</v>
      </c>
    </row>
    <row r="5459" ht="16.5" customHeight="1">
      <c r="O5459" s="5" t="s">
        <v>355</v>
      </c>
      <c r="P5459" s="5" t="s">
        <v>355</v>
      </c>
      <c r="Q5459" s="5" t="s">
        <v>355</v>
      </c>
    </row>
    <row r="5460" ht="16.5" customHeight="1">
      <c r="O5460" s="5" t="s">
        <v>355</v>
      </c>
      <c r="P5460" s="5" t="s">
        <v>355</v>
      </c>
      <c r="Q5460" s="5" t="s">
        <v>355</v>
      </c>
    </row>
    <row r="5461" ht="16.5" customHeight="1">
      <c r="O5461" s="5" t="s">
        <v>355</v>
      </c>
      <c r="P5461" s="5" t="s">
        <v>355</v>
      </c>
      <c r="Q5461" s="5" t="s">
        <v>355</v>
      </c>
    </row>
    <row r="5462" ht="16.5" customHeight="1">
      <c r="O5462" s="5" t="s">
        <v>355</v>
      </c>
      <c r="P5462" s="5" t="s">
        <v>355</v>
      </c>
      <c r="Q5462" s="5" t="s">
        <v>355</v>
      </c>
    </row>
    <row r="5463" ht="16.5" customHeight="1">
      <c r="O5463" s="5" t="s">
        <v>355</v>
      </c>
      <c r="P5463" s="5" t="s">
        <v>355</v>
      </c>
      <c r="Q5463" s="5" t="s">
        <v>355</v>
      </c>
    </row>
    <row r="5464" ht="16.5" customHeight="1">
      <c r="O5464" s="5" t="s">
        <v>355</v>
      </c>
      <c r="P5464" s="5" t="s">
        <v>355</v>
      </c>
      <c r="Q5464" s="5" t="s">
        <v>355</v>
      </c>
    </row>
    <row r="5465" ht="16.5" customHeight="1">
      <c r="O5465" s="5" t="s">
        <v>355</v>
      </c>
      <c r="P5465" s="5" t="s">
        <v>355</v>
      </c>
      <c r="Q5465" s="5" t="s">
        <v>355</v>
      </c>
    </row>
    <row r="5466" ht="16.5" customHeight="1">
      <c r="O5466" s="5" t="s">
        <v>355</v>
      </c>
      <c r="P5466" s="5" t="s">
        <v>355</v>
      </c>
      <c r="Q5466" s="5" t="s">
        <v>355</v>
      </c>
    </row>
    <row r="5467" ht="16.5" customHeight="1">
      <c r="O5467" s="5" t="s">
        <v>355</v>
      </c>
      <c r="P5467" s="5" t="s">
        <v>355</v>
      </c>
      <c r="Q5467" s="5" t="s">
        <v>355</v>
      </c>
    </row>
    <row r="5468" ht="16.5" customHeight="1">
      <c r="O5468" s="5" t="s">
        <v>355</v>
      </c>
      <c r="P5468" s="5" t="s">
        <v>355</v>
      </c>
      <c r="Q5468" s="5" t="s">
        <v>355</v>
      </c>
    </row>
    <row r="5469" ht="16.5" customHeight="1">
      <c r="O5469" s="5" t="s">
        <v>355</v>
      </c>
      <c r="P5469" s="5" t="s">
        <v>355</v>
      </c>
      <c r="Q5469" s="5" t="s">
        <v>355</v>
      </c>
    </row>
    <row r="5470" ht="16.5" customHeight="1">
      <c r="O5470" s="5" t="s">
        <v>355</v>
      </c>
      <c r="P5470" s="5" t="s">
        <v>355</v>
      </c>
      <c r="Q5470" s="5" t="s">
        <v>355</v>
      </c>
    </row>
    <row r="5471" ht="16.5" customHeight="1">
      <c r="O5471" s="5" t="s">
        <v>355</v>
      </c>
      <c r="P5471" s="5" t="s">
        <v>355</v>
      </c>
      <c r="Q5471" s="5" t="s">
        <v>355</v>
      </c>
    </row>
    <row r="5472" ht="16.5" customHeight="1">
      <c r="O5472" s="5" t="s">
        <v>355</v>
      </c>
      <c r="P5472" s="5" t="s">
        <v>355</v>
      </c>
      <c r="Q5472" s="5" t="s">
        <v>355</v>
      </c>
    </row>
    <row r="5473" ht="16.5" customHeight="1">
      <c r="O5473" s="5" t="s">
        <v>355</v>
      </c>
      <c r="P5473" s="5" t="s">
        <v>355</v>
      </c>
      <c r="Q5473" s="5" t="s">
        <v>355</v>
      </c>
    </row>
    <row r="5474" ht="16.5" customHeight="1">
      <c r="O5474" s="5" t="s">
        <v>355</v>
      </c>
      <c r="P5474" s="5" t="s">
        <v>355</v>
      </c>
      <c r="Q5474" s="5" t="s">
        <v>355</v>
      </c>
    </row>
    <row r="5475" ht="16.5" customHeight="1">
      <c r="O5475" s="5" t="s">
        <v>355</v>
      </c>
      <c r="P5475" s="5" t="s">
        <v>355</v>
      </c>
      <c r="Q5475" s="5" t="s">
        <v>355</v>
      </c>
    </row>
    <row r="5476" ht="16.5" customHeight="1">
      <c r="O5476" s="5" t="s">
        <v>355</v>
      </c>
      <c r="P5476" s="5" t="s">
        <v>355</v>
      </c>
      <c r="Q5476" s="5" t="s">
        <v>355</v>
      </c>
    </row>
    <row r="5477" ht="16.5" customHeight="1">
      <c r="O5477" s="5" t="s">
        <v>355</v>
      </c>
      <c r="P5477" s="5" t="s">
        <v>355</v>
      </c>
      <c r="Q5477" s="5" t="s">
        <v>355</v>
      </c>
    </row>
    <row r="5478" ht="16.5" customHeight="1">
      <c r="O5478" s="5" t="s">
        <v>355</v>
      </c>
      <c r="P5478" s="5" t="s">
        <v>355</v>
      </c>
      <c r="Q5478" s="5" t="s">
        <v>355</v>
      </c>
    </row>
    <row r="5479" ht="16.5" customHeight="1">
      <c r="O5479" s="5" t="s">
        <v>355</v>
      </c>
      <c r="P5479" s="5" t="s">
        <v>355</v>
      </c>
      <c r="Q5479" s="5" t="s">
        <v>355</v>
      </c>
    </row>
    <row r="5480" ht="16.5" customHeight="1">
      <c r="O5480" s="5" t="s">
        <v>355</v>
      </c>
      <c r="P5480" s="5" t="s">
        <v>355</v>
      </c>
      <c r="Q5480" s="5" t="s">
        <v>355</v>
      </c>
    </row>
    <row r="5481" ht="16.5" customHeight="1">
      <c r="O5481" s="5" t="s">
        <v>355</v>
      </c>
      <c r="P5481" s="5" t="s">
        <v>355</v>
      </c>
      <c r="Q5481" s="5" t="s">
        <v>355</v>
      </c>
    </row>
    <row r="5482" ht="16.5" customHeight="1">
      <c r="O5482" s="5" t="s">
        <v>355</v>
      </c>
      <c r="P5482" s="5" t="s">
        <v>355</v>
      </c>
      <c r="Q5482" s="5" t="s">
        <v>355</v>
      </c>
    </row>
    <row r="5483" ht="16.5" customHeight="1">
      <c r="O5483" s="5" t="s">
        <v>355</v>
      </c>
      <c r="P5483" s="5" t="s">
        <v>355</v>
      </c>
      <c r="Q5483" s="5" t="s">
        <v>355</v>
      </c>
    </row>
    <row r="5484" ht="16.5" customHeight="1">
      <c r="O5484" s="5" t="s">
        <v>355</v>
      </c>
      <c r="P5484" s="5" t="s">
        <v>355</v>
      </c>
      <c r="Q5484" s="5" t="s">
        <v>355</v>
      </c>
    </row>
    <row r="5485" ht="16.5" customHeight="1">
      <c r="O5485" s="5" t="s">
        <v>355</v>
      </c>
      <c r="P5485" s="5" t="s">
        <v>355</v>
      </c>
      <c r="Q5485" s="5" t="s">
        <v>355</v>
      </c>
    </row>
    <row r="5486" ht="16.5" customHeight="1">
      <c r="O5486" s="5" t="s">
        <v>355</v>
      </c>
      <c r="P5486" s="5" t="s">
        <v>355</v>
      </c>
      <c r="Q5486" s="5" t="s">
        <v>355</v>
      </c>
    </row>
    <row r="5487" ht="16.5" customHeight="1">
      <c r="O5487" s="5" t="s">
        <v>355</v>
      </c>
      <c r="P5487" s="5" t="s">
        <v>355</v>
      </c>
      <c r="Q5487" s="5" t="s">
        <v>355</v>
      </c>
    </row>
    <row r="5488" ht="16.5" customHeight="1">
      <c r="O5488" s="5" t="s">
        <v>355</v>
      </c>
      <c r="P5488" s="5" t="s">
        <v>355</v>
      </c>
      <c r="Q5488" s="5" t="s">
        <v>355</v>
      </c>
    </row>
    <row r="5489" ht="16.5" customHeight="1">
      <c r="O5489" s="5" t="s">
        <v>355</v>
      </c>
      <c r="P5489" s="5" t="s">
        <v>355</v>
      </c>
      <c r="Q5489" s="5" t="s">
        <v>355</v>
      </c>
    </row>
    <row r="5490" ht="16.5" customHeight="1">
      <c r="O5490" s="5" t="s">
        <v>355</v>
      </c>
      <c r="P5490" s="5" t="s">
        <v>355</v>
      </c>
      <c r="Q5490" s="5" t="s">
        <v>355</v>
      </c>
    </row>
    <row r="5491" ht="16.5" customHeight="1">
      <c r="O5491" s="5" t="s">
        <v>355</v>
      </c>
      <c r="P5491" s="5" t="s">
        <v>355</v>
      </c>
      <c r="Q5491" s="5" t="s">
        <v>355</v>
      </c>
    </row>
    <row r="5492" ht="16.5" customHeight="1">
      <c r="O5492" s="5" t="s">
        <v>355</v>
      </c>
      <c r="P5492" s="5" t="s">
        <v>355</v>
      </c>
      <c r="Q5492" s="5" t="s">
        <v>355</v>
      </c>
    </row>
    <row r="5493" ht="16.5" customHeight="1">
      <c r="O5493" s="5" t="s">
        <v>355</v>
      </c>
      <c r="P5493" s="5" t="s">
        <v>355</v>
      </c>
      <c r="Q5493" s="5" t="s">
        <v>355</v>
      </c>
    </row>
    <row r="5494" ht="16.5" customHeight="1">
      <c r="O5494" s="5" t="s">
        <v>355</v>
      </c>
      <c r="P5494" s="5" t="s">
        <v>355</v>
      </c>
      <c r="Q5494" s="5" t="s">
        <v>355</v>
      </c>
    </row>
    <row r="5495" ht="16.5" customHeight="1">
      <c r="O5495" s="5" t="s">
        <v>355</v>
      </c>
      <c r="P5495" s="5" t="s">
        <v>355</v>
      </c>
      <c r="Q5495" s="5" t="s">
        <v>355</v>
      </c>
    </row>
    <row r="5496" ht="16.5" customHeight="1">
      <c r="O5496" s="5" t="s">
        <v>355</v>
      </c>
      <c r="P5496" s="5" t="s">
        <v>355</v>
      </c>
      <c r="Q5496" s="5" t="s">
        <v>355</v>
      </c>
    </row>
    <row r="5497" ht="16.5" customHeight="1">
      <c r="O5497" s="5" t="s">
        <v>355</v>
      </c>
      <c r="P5497" s="5" t="s">
        <v>355</v>
      </c>
      <c r="Q5497" s="5" t="s">
        <v>355</v>
      </c>
    </row>
    <row r="5498" ht="16.5" customHeight="1">
      <c r="O5498" s="5" t="s">
        <v>355</v>
      </c>
      <c r="P5498" s="5" t="s">
        <v>355</v>
      </c>
      <c r="Q5498" s="5" t="s">
        <v>355</v>
      </c>
    </row>
    <row r="5499" ht="16.5" customHeight="1">
      <c r="O5499" s="5" t="s">
        <v>355</v>
      </c>
      <c r="P5499" s="5" t="s">
        <v>355</v>
      </c>
      <c r="Q5499" s="5" t="s">
        <v>355</v>
      </c>
    </row>
    <row r="5500" ht="16.5" customHeight="1">
      <c r="O5500" s="5" t="s">
        <v>355</v>
      </c>
      <c r="P5500" s="5" t="s">
        <v>355</v>
      </c>
      <c r="Q5500" s="5" t="s">
        <v>355</v>
      </c>
    </row>
    <row r="5501" ht="16.5" customHeight="1">
      <c r="O5501" s="5" t="s">
        <v>355</v>
      </c>
      <c r="P5501" s="5" t="s">
        <v>355</v>
      </c>
      <c r="Q5501" s="5" t="s">
        <v>355</v>
      </c>
    </row>
    <row r="5502" ht="16.5" customHeight="1">
      <c r="O5502" s="5" t="s">
        <v>355</v>
      </c>
      <c r="P5502" s="5" t="s">
        <v>355</v>
      </c>
      <c r="Q5502" s="5" t="s">
        <v>355</v>
      </c>
    </row>
    <row r="5503" ht="16.5" customHeight="1">
      <c r="O5503" s="5" t="s">
        <v>355</v>
      </c>
      <c r="P5503" s="5" t="s">
        <v>355</v>
      </c>
      <c r="Q5503" s="5" t="s">
        <v>355</v>
      </c>
    </row>
    <row r="5504" ht="16.5" customHeight="1">
      <c r="O5504" s="5" t="s">
        <v>355</v>
      </c>
      <c r="P5504" s="5" t="s">
        <v>355</v>
      </c>
      <c r="Q5504" s="5" t="s">
        <v>355</v>
      </c>
    </row>
    <row r="5505" ht="16.5" customHeight="1">
      <c r="O5505" s="5" t="s">
        <v>355</v>
      </c>
      <c r="P5505" s="5" t="s">
        <v>355</v>
      </c>
      <c r="Q5505" s="5" t="s">
        <v>355</v>
      </c>
    </row>
    <row r="5506" ht="16.5" customHeight="1">
      <c r="O5506" s="5" t="s">
        <v>355</v>
      </c>
      <c r="P5506" s="5" t="s">
        <v>355</v>
      </c>
      <c r="Q5506" s="5" t="s">
        <v>355</v>
      </c>
    </row>
    <row r="5507" ht="16.5" customHeight="1">
      <c r="O5507" s="5" t="s">
        <v>355</v>
      </c>
      <c r="P5507" s="5" t="s">
        <v>355</v>
      </c>
      <c r="Q5507" s="5" t="s">
        <v>355</v>
      </c>
    </row>
    <row r="5508" ht="16.5" customHeight="1">
      <c r="O5508" s="5" t="s">
        <v>355</v>
      </c>
      <c r="P5508" s="5" t="s">
        <v>355</v>
      </c>
      <c r="Q5508" s="5" t="s">
        <v>355</v>
      </c>
    </row>
    <row r="5509" ht="16.5" customHeight="1">
      <c r="O5509" s="5" t="s">
        <v>355</v>
      </c>
      <c r="P5509" s="5" t="s">
        <v>355</v>
      </c>
      <c r="Q5509" s="5" t="s">
        <v>355</v>
      </c>
    </row>
    <row r="5510" ht="16.5" customHeight="1">
      <c r="O5510" s="5" t="s">
        <v>355</v>
      </c>
      <c r="P5510" s="5" t="s">
        <v>355</v>
      </c>
      <c r="Q5510" s="5" t="s">
        <v>355</v>
      </c>
    </row>
    <row r="5511" ht="16.5" customHeight="1">
      <c r="O5511" s="5" t="s">
        <v>355</v>
      </c>
      <c r="P5511" s="5" t="s">
        <v>355</v>
      </c>
      <c r="Q5511" s="5" t="s">
        <v>355</v>
      </c>
    </row>
    <row r="5512" ht="16.5" customHeight="1">
      <c r="O5512" s="5" t="s">
        <v>355</v>
      </c>
      <c r="P5512" s="5" t="s">
        <v>355</v>
      </c>
      <c r="Q5512" s="5" t="s">
        <v>355</v>
      </c>
    </row>
    <row r="5513" ht="16.5" customHeight="1">
      <c r="O5513" s="5" t="s">
        <v>355</v>
      </c>
      <c r="P5513" s="5" t="s">
        <v>355</v>
      </c>
      <c r="Q5513" s="5" t="s">
        <v>355</v>
      </c>
    </row>
    <row r="5514" ht="16.5" customHeight="1">
      <c r="O5514" s="5" t="s">
        <v>355</v>
      </c>
      <c r="P5514" s="5" t="s">
        <v>355</v>
      </c>
      <c r="Q5514" s="5" t="s">
        <v>355</v>
      </c>
    </row>
    <row r="5515" ht="16.5" customHeight="1">
      <c r="O5515" s="5" t="s">
        <v>355</v>
      </c>
      <c r="P5515" s="5" t="s">
        <v>355</v>
      </c>
      <c r="Q5515" s="5" t="s">
        <v>355</v>
      </c>
    </row>
    <row r="5516" ht="16.5" customHeight="1">
      <c r="O5516" s="5" t="s">
        <v>355</v>
      </c>
      <c r="P5516" s="5" t="s">
        <v>355</v>
      </c>
      <c r="Q5516" s="5" t="s">
        <v>355</v>
      </c>
    </row>
    <row r="5517" ht="16.5" customHeight="1">
      <c r="O5517" s="5" t="s">
        <v>355</v>
      </c>
      <c r="P5517" s="5" t="s">
        <v>355</v>
      </c>
      <c r="Q5517" s="5" t="s">
        <v>355</v>
      </c>
    </row>
    <row r="5518" ht="16.5" customHeight="1">
      <c r="O5518" s="5" t="s">
        <v>355</v>
      </c>
      <c r="P5518" s="5" t="s">
        <v>355</v>
      </c>
      <c r="Q5518" s="5" t="s">
        <v>355</v>
      </c>
    </row>
    <row r="5519" ht="16.5" customHeight="1">
      <c r="O5519" s="5" t="s">
        <v>355</v>
      </c>
      <c r="P5519" s="5" t="s">
        <v>355</v>
      </c>
      <c r="Q5519" s="5" t="s">
        <v>355</v>
      </c>
    </row>
    <row r="5520" ht="16.5" customHeight="1">
      <c r="O5520" s="5" t="s">
        <v>355</v>
      </c>
      <c r="P5520" s="5" t="s">
        <v>355</v>
      </c>
      <c r="Q5520" s="5" t="s">
        <v>355</v>
      </c>
    </row>
    <row r="5521" ht="16.5" customHeight="1">
      <c r="O5521" s="5" t="s">
        <v>355</v>
      </c>
      <c r="P5521" s="5" t="s">
        <v>355</v>
      </c>
      <c r="Q5521" s="5" t="s">
        <v>355</v>
      </c>
    </row>
    <row r="5522" ht="16.5" customHeight="1">
      <c r="O5522" s="5" t="s">
        <v>355</v>
      </c>
      <c r="P5522" s="5" t="s">
        <v>355</v>
      </c>
      <c r="Q5522" s="5" t="s">
        <v>355</v>
      </c>
    </row>
    <row r="5523" ht="16.5" customHeight="1">
      <c r="O5523" s="5" t="s">
        <v>355</v>
      </c>
      <c r="P5523" s="5" t="s">
        <v>355</v>
      </c>
      <c r="Q5523" s="5" t="s">
        <v>355</v>
      </c>
    </row>
    <row r="5524" ht="16.5" customHeight="1">
      <c r="O5524" s="5" t="s">
        <v>355</v>
      </c>
      <c r="P5524" s="5" t="s">
        <v>355</v>
      </c>
      <c r="Q5524" s="5" t="s">
        <v>355</v>
      </c>
    </row>
    <row r="5525" ht="16.5" customHeight="1">
      <c r="O5525" s="5" t="s">
        <v>355</v>
      </c>
      <c r="P5525" s="5" t="s">
        <v>355</v>
      </c>
      <c r="Q5525" s="5" t="s">
        <v>355</v>
      </c>
    </row>
    <row r="5526" ht="16.5" customHeight="1">
      <c r="O5526" s="5" t="s">
        <v>355</v>
      </c>
      <c r="P5526" s="5" t="s">
        <v>355</v>
      </c>
      <c r="Q5526" s="5" t="s">
        <v>355</v>
      </c>
    </row>
    <row r="5527" ht="16.5" customHeight="1">
      <c r="O5527" s="5" t="s">
        <v>355</v>
      </c>
      <c r="P5527" s="5" t="s">
        <v>355</v>
      </c>
      <c r="Q5527" s="5" t="s">
        <v>355</v>
      </c>
    </row>
    <row r="5528" ht="16.5" customHeight="1">
      <c r="O5528" s="5" t="s">
        <v>355</v>
      </c>
      <c r="P5528" s="5" t="s">
        <v>355</v>
      </c>
      <c r="Q5528" s="5" t="s">
        <v>355</v>
      </c>
    </row>
    <row r="5529" ht="16.5" customHeight="1">
      <c r="O5529" s="5" t="s">
        <v>355</v>
      </c>
      <c r="P5529" s="5" t="s">
        <v>355</v>
      </c>
      <c r="Q5529" s="5" t="s">
        <v>355</v>
      </c>
    </row>
    <row r="5530" ht="16.5" customHeight="1">
      <c r="O5530" s="5" t="s">
        <v>355</v>
      </c>
      <c r="P5530" s="5" t="s">
        <v>355</v>
      </c>
      <c r="Q5530" s="5" t="s">
        <v>355</v>
      </c>
    </row>
    <row r="5531" ht="16.5" customHeight="1">
      <c r="O5531" s="5" t="s">
        <v>355</v>
      </c>
      <c r="P5531" s="5" t="s">
        <v>355</v>
      </c>
      <c r="Q5531" s="5" t="s">
        <v>355</v>
      </c>
    </row>
    <row r="5532" ht="16.5" customHeight="1">
      <c r="O5532" s="5" t="s">
        <v>355</v>
      </c>
      <c r="P5532" s="5" t="s">
        <v>355</v>
      </c>
      <c r="Q5532" s="5" t="s">
        <v>355</v>
      </c>
    </row>
    <row r="5533" ht="16.5" customHeight="1">
      <c r="O5533" s="5" t="s">
        <v>355</v>
      </c>
      <c r="P5533" s="5" t="s">
        <v>355</v>
      </c>
      <c r="Q5533" s="5" t="s">
        <v>355</v>
      </c>
    </row>
    <row r="5534" ht="16.5" customHeight="1">
      <c r="O5534" s="5" t="s">
        <v>355</v>
      </c>
      <c r="P5534" s="5" t="s">
        <v>355</v>
      </c>
      <c r="Q5534" s="5" t="s">
        <v>355</v>
      </c>
    </row>
    <row r="5535" ht="16.5" customHeight="1">
      <c r="O5535" s="5" t="s">
        <v>355</v>
      </c>
      <c r="P5535" s="5" t="s">
        <v>355</v>
      </c>
      <c r="Q5535" s="5" t="s">
        <v>355</v>
      </c>
    </row>
    <row r="5536" ht="16.5" customHeight="1">
      <c r="O5536" s="5" t="s">
        <v>355</v>
      </c>
      <c r="P5536" s="5" t="s">
        <v>355</v>
      </c>
      <c r="Q5536" s="5" t="s">
        <v>355</v>
      </c>
    </row>
    <row r="5537" ht="16.5" customHeight="1">
      <c r="O5537" s="5" t="s">
        <v>355</v>
      </c>
      <c r="P5537" s="5" t="s">
        <v>355</v>
      </c>
      <c r="Q5537" s="5" t="s">
        <v>355</v>
      </c>
    </row>
    <row r="5538" ht="16.5" customHeight="1">
      <c r="O5538" s="5" t="s">
        <v>355</v>
      </c>
      <c r="P5538" s="5" t="s">
        <v>355</v>
      </c>
      <c r="Q5538" s="5" t="s">
        <v>355</v>
      </c>
    </row>
    <row r="5539" ht="16.5" customHeight="1">
      <c r="O5539" s="5" t="s">
        <v>355</v>
      </c>
      <c r="P5539" s="5" t="s">
        <v>355</v>
      </c>
      <c r="Q5539" s="5" t="s">
        <v>355</v>
      </c>
    </row>
    <row r="5540" ht="16.5" customHeight="1">
      <c r="O5540" s="5" t="s">
        <v>355</v>
      </c>
      <c r="P5540" s="5" t="s">
        <v>355</v>
      </c>
      <c r="Q5540" s="5" t="s">
        <v>355</v>
      </c>
    </row>
    <row r="5541" ht="16.5" customHeight="1">
      <c r="O5541" s="5" t="s">
        <v>355</v>
      </c>
      <c r="P5541" s="5" t="s">
        <v>355</v>
      </c>
      <c r="Q5541" s="5" t="s">
        <v>355</v>
      </c>
    </row>
    <row r="5542" ht="16.5" customHeight="1">
      <c r="O5542" s="5" t="s">
        <v>355</v>
      </c>
      <c r="P5542" s="5" t="s">
        <v>355</v>
      </c>
      <c r="Q5542" s="5" t="s">
        <v>355</v>
      </c>
    </row>
    <row r="5543" ht="16.5" customHeight="1">
      <c r="O5543" s="5" t="s">
        <v>355</v>
      </c>
      <c r="P5543" s="5" t="s">
        <v>355</v>
      </c>
      <c r="Q5543" s="5" t="s">
        <v>355</v>
      </c>
    </row>
    <row r="5544" ht="16.5" customHeight="1">
      <c r="O5544" s="5" t="s">
        <v>355</v>
      </c>
      <c r="P5544" s="5" t="s">
        <v>355</v>
      </c>
      <c r="Q5544" s="5" t="s">
        <v>355</v>
      </c>
    </row>
    <row r="5545" ht="16.5" customHeight="1">
      <c r="O5545" s="5" t="s">
        <v>355</v>
      </c>
      <c r="P5545" s="5" t="s">
        <v>355</v>
      </c>
      <c r="Q5545" s="5" t="s">
        <v>355</v>
      </c>
    </row>
    <row r="5546" ht="16.5" customHeight="1">
      <c r="O5546" s="5" t="s">
        <v>355</v>
      </c>
      <c r="P5546" s="5" t="s">
        <v>355</v>
      </c>
      <c r="Q5546" s="5" t="s">
        <v>355</v>
      </c>
    </row>
    <row r="5547" ht="16.5" customHeight="1">
      <c r="O5547" s="5" t="s">
        <v>355</v>
      </c>
      <c r="P5547" s="5" t="s">
        <v>355</v>
      </c>
      <c r="Q5547" s="5" t="s">
        <v>355</v>
      </c>
    </row>
    <row r="5548" ht="16.5" customHeight="1">
      <c r="O5548" s="5" t="s">
        <v>355</v>
      </c>
      <c r="P5548" s="5" t="s">
        <v>355</v>
      </c>
      <c r="Q5548" s="5" t="s">
        <v>355</v>
      </c>
    </row>
    <row r="5549" ht="16.5" customHeight="1">
      <c r="O5549" s="5" t="s">
        <v>355</v>
      </c>
      <c r="P5549" s="5" t="s">
        <v>355</v>
      </c>
      <c r="Q5549" s="5" t="s">
        <v>355</v>
      </c>
    </row>
    <row r="5550" ht="16.5" customHeight="1">
      <c r="O5550" s="5" t="s">
        <v>355</v>
      </c>
      <c r="P5550" s="5" t="s">
        <v>355</v>
      </c>
      <c r="Q5550" s="5" t="s">
        <v>355</v>
      </c>
    </row>
    <row r="5551" ht="16.5" customHeight="1">
      <c r="O5551" s="5" t="s">
        <v>355</v>
      </c>
      <c r="P5551" s="5" t="s">
        <v>355</v>
      </c>
      <c r="Q5551" s="5" t="s">
        <v>355</v>
      </c>
    </row>
    <row r="5552" ht="16.5" customHeight="1">
      <c r="O5552" s="5" t="s">
        <v>355</v>
      </c>
      <c r="P5552" s="5" t="s">
        <v>355</v>
      </c>
      <c r="Q5552" s="5" t="s">
        <v>355</v>
      </c>
    </row>
    <row r="5553" ht="16.5" customHeight="1">
      <c r="O5553" s="5" t="s">
        <v>355</v>
      </c>
      <c r="P5553" s="5" t="s">
        <v>355</v>
      </c>
      <c r="Q5553" s="5" t="s">
        <v>355</v>
      </c>
    </row>
    <row r="5554" ht="16.5" customHeight="1">
      <c r="O5554" s="5" t="s">
        <v>355</v>
      </c>
      <c r="P5554" s="5" t="s">
        <v>355</v>
      </c>
      <c r="Q5554" s="5" t="s">
        <v>355</v>
      </c>
    </row>
    <row r="5555" ht="16.5" customHeight="1">
      <c r="O5555" s="5" t="s">
        <v>355</v>
      </c>
      <c r="P5555" s="5" t="s">
        <v>355</v>
      </c>
      <c r="Q5555" s="5" t="s">
        <v>355</v>
      </c>
    </row>
    <row r="5556" ht="16.5" customHeight="1">
      <c r="O5556" s="5" t="s">
        <v>355</v>
      </c>
      <c r="P5556" s="5" t="s">
        <v>355</v>
      </c>
      <c r="Q5556" s="5" t="s">
        <v>355</v>
      </c>
    </row>
    <row r="5557" ht="16.5" customHeight="1">
      <c r="O5557" s="5" t="s">
        <v>355</v>
      </c>
      <c r="P5557" s="5" t="s">
        <v>355</v>
      </c>
      <c r="Q5557" s="5" t="s">
        <v>355</v>
      </c>
    </row>
    <row r="5558" ht="16.5" customHeight="1">
      <c r="O5558" s="5" t="s">
        <v>355</v>
      </c>
      <c r="P5558" s="5" t="s">
        <v>355</v>
      </c>
      <c r="Q5558" s="5" t="s">
        <v>355</v>
      </c>
    </row>
    <row r="5559" ht="16.5" customHeight="1">
      <c r="O5559" s="5" t="s">
        <v>355</v>
      </c>
      <c r="P5559" s="5" t="s">
        <v>355</v>
      </c>
      <c r="Q5559" s="5" t="s">
        <v>355</v>
      </c>
    </row>
    <row r="5560" ht="16.5" customHeight="1">
      <c r="O5560" s="5" t="s">
        <v>355</v>
      </c>
      <c r="P5560" s="5" t="s">
        <v>355</v>
      </c>
      <c r="Q5560" s="5" t="s">
        <v>355</v>
      </c>
    </row>
    <row r="5561" ht="16.5" customHeight="1">
      <c r="O5561" s="5" t="s">
        <v>355</v>
      </c>
      <c r="P5561" s="5" t="s">
        <v>355</v>
      </c>
      <c r="Q5561" s="5" t="s">
        <v>355</v>
      </c>
    </row>
    <row r="5562" ht="16.5" customHeight="1">
      <c r="O5562" s="5" t="s">
        <v>355</v>
      </c>
      <c r="P5562" s="5" t="s">
        <v>355</v>
      </c>
      <c r="Q5562" s="5" t="s">
        <v>355</v>
      </c>
    </row>
    <row r="5563" ht="16.5" customHeight="1">
      <c r="O5563" s="5" t="s">
        <v>355</v>
      </c>
      <c r="P5563" s="5" t="s">
        <v>355</v>
      </c>
      <c r="Q5563" s="5" t="s">
        <v>355</v>
      </c>
    </row>
    <row r="5564" ht="16.5" customHeight="1">
      <c r="O5564" s="5" t="s">
        <v>355</v>
      </c>
      <c r="P5564" s="5" t="s">
        <v>355</v>
      </c>
      <c r="Q5564" s="5" t="s">
        <v>355</v>
      </c>
    </row>
    <row r="5565" ht="16.5" customHeight="1">
      <c r="O5565" s="5" t="s">
        <v>355</v>
      </c>
      <c r="P5565" s="5" t="s">
        <v>355</v>
      </c>
      <c r="Q5565" s="5" t="s">
        <v>355</v>
      </c>
    </row>
    <row r="5566" ht="16.5" customHeight="1">
      <c r="O5566" s="5" t="s">
        <v>355</v>
      </c>
      <c r="P5566" s="5" t="s">
        <v>355</v>
      </c>
      <c r="Q5566" s="5" t="s">
        <v>355</v>
      </c>
    </row>
    <row r="5567" ht="16.5" customHeight="1">
      <c r="O5567" s="5" t="s">
        <v>355</v>
      </c>
      <c r="P5567" s="5" t="s">
        <v>355</v>
      </c>
      <c r="Q5567" s="5" t="s">
        <v>355</v>
      </c>
    </row>
    <row r="5568" ht="16.5" customHeight="1">
      <c r="O5568" s="5" t="s">
        <v>355</v>
      </c>
      <c r="P5568" s="5" t="s">
        <v>355</v>
      </c>
      <c r="Q5568" s="5" t="s">
        <v>355</v>
      </c>
    </row>
    <row r="5569" ht="16.5" customHeight="1">
      <c r="O5569" s="5" t="s">
        <v>355</v>
      </c>
      <c r="P5569" s="5" t="s">
        <v>355</v>
      </c>
      <c r="Q5569" s="5" t="s">
        <v>355</v>
      </c>
    </row>
    <row r="5570" ht="16.5" customHeight="1">
      <c r="O5570" s="5" t="s">
        <v>355</v>
      </c>
      <c r="P5570" s="5" t="s">
        <v>355</v>
      </c>
      <c r="Q5570" s="5" t="s">
        <v>355</v>
      </c>
    </row>
    <row r="5571" ht="16.5" customHeight="1">
      <c r="O5571" s="5" t="s">
        <v>355</v>
      </c>
      <c r="P5571" s="5" t="s">
        <v>355</v>
      </c>
      <c r="Q5571" s="5" t="s">
        <v>355</v>
      </c>
    </row>
    <row r="5572" ht="16.5" customHeight="1">
      <c r="O5572" s="5" t="s">
        <v>355</v>
      </c>
      <c r="P5572" s="5" t="s">
        <v>355</v>
      </c>
      <c r="Q5572" s="5" t="s">
        <v>355</v>
      </c>
    </row>
    <row r="5573" ht="16.5" customHeight="1">
      <c r="O5573" s="5" t="s">
        <v>355</v>
      </c>
      <c r="P5573" s="5" t="s">
        <v>355</v>
      </c>
      <c r="Q5573" s="5" t="s">
        <v>355</v>
      </c>
    </row>
    <row r="5574" ht="16.5" customHeight="1">
      <c r="O5574" s="5" t="s">
        <v>355</v>
      </c>
      <c r="P5574" s="5" t="s">
        <v>355</v>
      </c>
      <c r="Q5574" s="5" t="s">
        <v>355</v>
      </c>
    </row>
    <row r="5575" ht="16.5" customHeight="1">
      <c r="O5575" s="5" t="s">
        <v>355</v>
      </c>
      <c r="P5575" s="5" t="s">
        <v>355</v>
      </c>
      <c r="Q5575" s="5" t="s">
        <v>355</v>
      </c>
    </row>
    <row r="5576" ht="16.5" customHeight="1">
      <c r="O5576" s="5" t="s">
        <v>355</v>
      </c>
      <c r="P5576" s="5" t="s">
        <v>355</v>
      </c>
      <c r="Q5576" s="5" t="s">
        <v>355</v>
      </c>
    </row>
    <row r="5577" ht="16.5" customHeight="1">
      <c r="O5577" s="5" t="s">
        <v>355</v>
      </c>
      <c r="P5577" s="5" t="s">
        <v>355</v>
      </c>
      <c r="Q5577" s="5" t="s">
        <v>355</v>
      </c>
    </row>
    <row r="5578" ht="16.5" customHeight="1">
      <c r="O5578" s="5" t="s">
        <v>355</v>
      </c>
      <c r="P5578" s="5" t="s">
        <v>355</v>
      </c>
      <c r="Q5578" s="5" t="s">
        <v>355</v>
      </c>
    </row>
    <row r="5579" ht="16.5" customHeight="1">
      <c r="O5579" s="5" t="s">
        <v>355</v>
      </c>
      <c r="P5579" s="5" t="s">
        <v>355</v>
      </c>
      <c r="Q5579" s="5" t="s">
        <v>355</v>
      </c>
    </row>
    <row r="5580" ht="16.5" customHeight="1">
      <c r="O5580" s="5" t="s">
        <v>355</v>
      </c>
      <c r="P5580" s="5" t="s">
        <v>355</v>
      </c>
      <c r="Q5580" s="5" t="s">
        <v>355</v>
      </c>
    </row>
    <row r="5581" ht="16.5" customHeight="1">
      <c r="O5581" s="5" t="s">
        <v>355</v>
      </c>
      <c r="P5581" s="5" t="s">
        <v>355</v>
      </c>
      <c r="Q5581" s="5" t="s">
        <v>355</v>
      </c>
    </row>
    <row r="5582" ht="16.5" customHeight="1">
      <c r="O5582" s="5" t="s">
        <v>355</v>
      </c>
      <c r="P5582" s="5" t="s">
        <v>355</v>
      </c>
      <c r="Q5582" s="5" t="s">
        <v>355</v>
      </c>
    </row>
    <row r="5583" ht="16.5" customHeight="1">
      <c r="O5583" s="5" t="s">
        <v>355</v>
      </c>
      <c r="P5583" s="5" t="s">
        <v>355</v>
      </c>
      <c r="Q5583" s="5" t="s">
        <v>355</v>
      </c>
    </row>
    <row r="5584" ht="16.5" customHeight="1">
      <c r="O5584" s="5" t="s">
        <v>355</v>
      </c>
      <c r="P5584" s="5" t="s">
        <v>355</v>
      </c>
      <c r="Q5584" s="5" t="s">
        <v>355</v>
      </c>
    </row>
    <row r="5585" ht="16.5" customHeight="1">
      <c r="O5585" s="5" t="s">
        <v>355</v>
      </c>
      <c r="P5585" s="5" t="s">
        <v>355</v>
      </c>
      <c r="Q5585" s="5" t="s">
        <v>355</v>
      </c>
    </row>
    <row r="5586" ht="16.5" customHeight="1">
      <c r="O5586" s="5" t="s">
        <v>355</v>
      </c>
      <c r="P5586" s="5" t="s">
        <v>355</v>
      </c>
      <c r="Q5586" s="5" t="s">
        <v>355</v>
      </c>
    </row>
    <row r="5587" ht="16.5" customHeight="1">
      <c r="O5587" s="5" t="s">
        <v>355</v>
      </c>
      <c r="P5587" s="5" t="s">
        <v>355</v>
      </c>
      <c r="Q5587" s="5" t="s">
        <v>355</v>
      </c>
    </row>
    <row r="5588" ht="16.5" customHeight="1">
      <c r="O5588" s="5" t="s">
        <v>355</v>
      </c>
      <c r="P5588" s="5" t="s">
        <v>355</v>
      </c>
      <c r="Q5588" s="5" t="s">
        <v>355</v>
      </c>
    </row>
    <row r="5589" ht="16.5" customHeight="1">
      <c r="O5589" s="5" t="s">
        <v>355</v>
      </c>
      <c r="P5589" s="5" t="s">
        <v>355</v>
      </c>
      <c r="Q5589" s="5" t="s">
        <v>355</v>
      </c>
    </row>
    <row r="5590" ht="16.5" customHeight="1">
      <c r="O5590" s="5" t="s">
        <v>355</v>
      </c>
      <c r="P5590" s="5" t="s">
        <v>355</v>
      </c>
      <c r="Q5590" s="5" t="s">
        <v>355</v>
      </c>
    </row>
    <row r="5591" ht="16.5" customHeight="1">
      <c r="O5591" s="5" t="s">
        <v>355</v>
      </c>
      <c r="P5591" s="5" t="s">
        <v>355</v>
      </c>
      <c r="Q5591" s="5" t="s">
        <v>355</v>
      </c>
    </row>
    <row r="5592" ht="16.5" customHeight="1">
      <c r="O5592" s="5" t="s">
        <v>355</v>
      </c>
      <c r="P5592" s="5" t="s">
        <v>355</v>
      </c>
      <c r="Q5592" s="5" t="s">
        <v>355</v>
      </c>
    </row>
    <row r="5593" ht="16.5" customHeight="1">
      <c r="O5593" s="5" t="s">
        <v>355</v>
      </c>
      <c r="P5593" s="5" t="s">
        <v>355</v>
      </c>
      <c r="Q5593" s="5" t="s">
        <v>355</v>
      </c>
    </row>
    <row r="5594" ht="16.5" customHeight="1">
      <c r="O5594" s="5" t="s">
        <v>355</v>
      </c>
      <c r="P5594" s="5" t="s">
        <v>355</v>
      </c>
      <c r="Q5594" s="5" t="s">
        <v>355</v>
      </c>
    </row>
    <row r="5595" ht="16.5" customHeight="1">
      <c r="O5595" s="5" t="s">
        <v>355</v>
      </c>
      <c r="P5595" s="5" t="s">
        <v>355</v>
      </c>
      <c r="Q5595" s="5" t="s">
        <v>355</v>
      </c>
    </row>
    <row r="5596" ht="16.5" customHeight="1">
      <c r="O5596" s="5" t="s">
        <v>355</v>
      </c>
      <c r="P5596" s="5" t="s">
        <v>355</v>
      </c>
      <c r="Q5596" s="5" t="s">
        <v>355</v>
      </c>
    </row>
    <row r="5597" ht="16.5" customHeight="1">
      <c r="O5597" s="5" t="s">
        <v>355</v>
      </c>
      <c r="P5597" s="5" t="s">
        <v>355</v>
      </c>
      <c r="Q5597" s="5" t="s">
        <v>355</v>
      </c>
    </row>
    <row r="5598" ht="16.5" customHeight="1">
      <c r="O5598" s="5" t="s">
        <v>355</v>
      </c>
      <c r="P5598" s="5" t="s">
        <v>355</v>
      </c>
      <c r="Q5598" s="5" t="s">
        <v>355</v>
      </c>
    </row>
    <row r="5599" ht="16.5" customHeight="1">
      <c r="O5599" s="5" t="s">
        <v>355</v>
      </c>
      <c r="P5599" s="5" t="s">
        <v>355</v>
      </c>
      <c r="Q5599" s="5" t="s">
        <v>355</v>
      </c>
    </row>
    <row r="5600" ht="16.5" customHeight="1">
      <c r="O5600" s="5" t="s">
        <v>355</v>
      </c>
      <c r="P5600" s="5" t="s">
        <v>355</v>
      </c>
      <c r="Q5600" s="5" t="s">
        <v>355</v>
      </c>
    </row>
    <row r="5601" ht="16.5" customHeight="1">
      <c r="O5601" s="5" t="s">
        <v>355</v>
      </c>
      <c r="P5601" s="5" t="s">
        <v>355</v>
      </c>
      <c r="Q5601" s="5" t="s">
        <v>355</v>
      </c>
    </row>
    <row r="5602" ht="16.5" customHeight="1">
      <c r="O5602" s="5" t="s">
        <v>355</v>
      </c>
      <c r="P5602" s="5" t="s">
        <v>355</v>
      </c>
      <c r="Q5602" s="5" t="s">
        <v>355</v>
      </c>
    </row>
    <row r="5603" ht="16.5" customHeight="1">
      <c r="O5603" s="5" t="s">
        <v>355</v>
      </c>
      <c r="P5603" s="5" t="s">
        <v>355</v>
      </c>
      <c r="Q5603" s="5" t="s">
        <v>355</v>
      </c>
    </row>
    <row r="5604" ht="16.5" customHeight="1">
      <c r="O5604" s="5" t="s">
        <v>355</v>
      </c>
      <c r="P5604" s="5" t="s">
        <v>355</v>
      </c>
      <c r="Q5604" s="5" t="s">
        <v>355</v>
      </c>
    </row>
    <row r="5605" ht="16.5" customHeight="1">
      <c r="O5605" s="5" t="s">
        <v>355</v>
      </c>
      <c r="P5605" s="5" t="s">
        <v>355</v>
      </c>
      <c r="Q5605" s="5" t="s">
        <v>355</v>
      </c>
    </row>
    <row r="5606" ht="16.5" customHeight="1">
      <c r="O5606" s="5" t="s">
        <v>355</v>
      </c>
      <c r="P5606" s="5" t="s">
        <v>355</v>
      </c>
      <c r="Q5606" s="5" t="s">
        <v>355</v>
      </c>
    </row>
    <row r="5607" ht="16.5" customHeight="1">
      <c r="O5607" s="5" t="s">
        <v>355</v>
      </c>
      <c r="P5607" s="5" t="s">
        <v>355</v>
      </c>
      <c r="Q5607" s="5" t="s">
        <v>355</v>
      </c>
    </row>
    <row r="5608" ht="16.5" customHeight="1">
      <c r="O5608" s="5" t="s">
        <v>355</v>
      </c>
      <c r="P5608" s="5" t="s">
        <v>355</v>
      </c>
      <c r="Q5608" s="5" t="s">
        <v>355</v>
      </c>
    </row>
    <row r="5609" ht="16.5" customHeight="1">
      <c r="O5609" s="5" t="s">
        <v>355</v>
      </c>
      <c r="P5609" s="5" t="s">
        <v>355</v>
      </c>
      <c r="Q5609" s="5" t="s">
        <v>355</v>
      </c>
    </row>
    <row r="5610" ht="16.5" customHeight="1">
      <c r="O5610" s="5" t="s">
        <v>355</v>
      </c>
      <c r="P5610" s="5" t="s">
        <v>355</v>
      </c>
      <c r="Q5610" s="5" t="s">
        <v>355</v>
      </c>
    </row>
    <row r="5611" ht="16.5" customHeight="1">
      <c r="O5611" s="5" t="s">
        <v>355</v>
      </c>
      <c r="P5611" s="5" t="s">
        <v>355</v>
      </c>
      <c r="Q5611" s="5" t="s">
        <v>355</v>
      </c>
    </row>
    <row r="5612" ht="16.5" customHeight="1">
      <c r="O5612" s="5" t="s">
        <v>355</v>
      </c>
      <c r="P5612" s="5" t="s">
        <v>355</v>
      </c>
      <c r="Q5612" s="5" t="s">
        <v>355</v>
      </c>
    </row>
    <row r="5613" ht="16.5" customHeight="1">
      <c r="O5613" s="5" t="s">
        <v>355</v>
      </c>
      <c r="P5613" s="5" t="s">
        <v>355</v>
      </c>
      <c r="Q5613" s="5" t="s">
        <v>355</v>
      </c>
    </row>
    <row r="5614" ht="16.5" customHeight="1">
      <c r="O5614" s="5" t="s">
        <v>355</v>
      </c>
      <c r="P5614" s="5" t="s">
        <v>355</v>
      </c>
      <c r="Q5614" s="5" t="s">
        <v>355</v>
      </c>
    </row>
    <row r="5615" ht="16.5" customHeight="1">
      <c r="O5615" s="5" t="s">
        <v>355</v>
      </c>
      <c r="P5615" s="5" t="s">
        <v>355</v>
      </c>
      <c r="Q5615" s="5" t="s">
        <v>355</v>
      </c>
    </row>
    <row r="5616" ht="16.5" customHeight="1">
      <c r="O5616" s="5" t="s">
        <v>355</v>
      </c>
      <c r="P5616" s="5" t="s">
        <v>355</v>
      </c>
      <c r="Q5616" s="5" t="s">
        <v>355</v>
      </c>
    </row>
    <row r="5617" ht="16.5" customHeight="1">
      <c r="O5617" s="5" t="s">
        <v>355</v>
      </c>
      <c r="P5617" s="5" t="s">
        <v>355</v>
      </c>
      <c r="Q5617" s="5" t="s">
        <v>355</v>
      </c>
    </row>
    <row r="5618" ht="16.5" customHeight="1">
      <c r="O5618" s="5" t="s">
        <v>355</v>
      </c>
      <c r="P5618" s="5" t="s">
        <v>355</v>
      </c>
      <c r="Q5618" s="5" t="s">
        <v>355</v>
      </c>
    </row>
    <row r="5619" ht="16.5" customHeight="1">
      <c r="O5619" s="5" t="s">
        <v>355</v>
      </c>
      <c r="P5619" s="5" t="s">
        <v>355</v>
      </c>
      <c r="Q5619" s="5" t="s">
        <v>355</v>
      </c>
    </row>
    <row r="5620" ht="16.5" customHeight="1">
      <c r="O5620" s="5" t="s">
        <v>355</v>
      </c>
      <c r="P5620" s="5" t="s">
        <v>355</v>
      </c>
      <c r="Q5620" s="5" t="s">
        <v>355</v>
      </c>
    </row>
    <row r="5621" ht="16.5" customHeight="1">
      <c r="O5621" s="5" t="s">
        <v>355</v>
      </c>
      <c r="P5621" s="5" t="s">
        <v>355</v>
      </c>
      <c r="Q5621" s="5" t="s">
        <v>355</v>
      </c>
    </row>
    <row r="5622" ht="16.5" customHeight="1">
      <c r="O5622" s="5" t="s">
        <v>355</v>
      </c>
      <c r="P5622" s="5" t="s">
        <v>355</v>
      </c>
      <c r="Q5622" s="5" t="s">
        <v>355</v>
      </c>
    </row>
    <row r="5623" ht="16.5" customHeight="1">
      <c r="O5623" s="5" t="s">
        <v>355</v>
      </c>
      <c r="P5623" s="5" t="s">
        <v>355</v>
      </c>
      <c r="Q5623" s="5" t="s">
        <v>355</v>
      </c>
    </row>
    <row r="5624" ht="16.5" customHeight="1">
      <c r="O5624" s="5" t="s">
        <v>355</v>
      </c>
      <c r="P5624" s="5" t="s">
        <v>355</v>
      </c>
      <c r="Q5624" s="5" t="s">
        <v>355</v>
      </c>
    </row>
    <row r="5625" ht="16.5" customHeight="1">
      <c r="O5625" s="5" t="s">
        <v>355</v>
      </c>
      <c r="P5625" s="5" t="s">
        <v>355</v>
      </c>
      <c r="Q5625" s="5" t="s">
        <v>355</v>
      </c>
    </row>
    <row r="5626" ht="16.5" customHeight="1">
      <c r="O5626" s="5" t="s">
        <v>355</v>
      </c>
      <c r="P5626" s="5" t="s">
        <v>355</v>
      </c>
      <c r="Q5626" s="5" t="s">
        <v>355</v>
      </c>
    </row>
    <row r="5627" ht="16.5" customHeight="1">
      <c r="O5627" s="5" t="s">
        <v>355</v>
      </c>
      <c r="P5627" s="5" t="s">
        <v>355</v>
      </c>
      <c r="Q5627" s="5" t="s">
        <v>355</v>
      </c>
    </row>
    <row r="5628" ht="16.5" customHeight="1">
      <c r="O5628" s="5" t="s">
        <v>355</v>
      </c>
      <c r="P5628" s="5" t="s">
        <v>355</v>
      </c>
      <c r="Q5628" s="5" t="s">
        <v>355</v>
      </c>
    </row>
    <row r="5629" ht="16.5" customHeight="1">
      <c r="O5629" s="5" t="s">
        <v>355</v>
      </c>
      <c r="P5629" s="5" t="s">
        <v>355</v>
      </c>
      <c r="Q5629" s="5" t="s">
        <v>355</v>
      </c>
    </row>
    <row r="5630" ht="16.5" customHeight="1">
      <c r="O5630" s="5" t="s">
        <v>355</v>
      </c>
      <c r="P5630" s="5" t="s">
        <v>355</v>
      </c>
      <c r="Q5630" s="5" t="s">
        <v>355</v>
      </c>
    </row>
    <row r="5631" ht="16.5" customHeight="1">
      <c r="O5631" s="5" t="s">
        <v>355</v>
      </c>
      <c r="P5631" s="5" t="s">
        <v>355</v>
      </c>
      <c r="Q5631" s="5" t="s">
        <v>355</v>
      </c>
    </row>
    <row r="5632" ht="16.5" customHeight="1">
      <c r="O5632" s="5" t="s">
        <v>355</v>
      </c>
      <c r="P5632" s="5" t="s">
        <v>355</v>
      </c>
      <c r="Q5632" s="5" t="s">
        <v>355</v>
      </c>
    </row>
    <row r="5633" ht="16.5" customHeight="1">
      <c r="O5633" s="5" t="s">
        <v>355</v>
      </c>
      <c r="P5633" s="5" t="s">
        <v>355</v>
      </c>
      <c r="Q5633" s="5" t="s">
        <v>355</v>
      </c>
    </row>
    <row r="5634" ht="16.5" customHeight="1">
      <c r="O5634" s="5" t="s">
        <v>355</v>
      </c>
      <c r="P5634" s="5" t="s">
        <v>355</v>
      </c>
      <c r="Q5634" s="5" t="s">
        <v>355</v>
      </c>
    </row>
    <row r="5635" ht="16.5" customHeight="1">
      <c r="O5635" s="5" t="s">
        <v>355</v>
      </c>
      <c r="P5635" s="5" t="s">
        <v>355</v>
      </c>
      <c r="Q5635" s="5" t="s">
        <v>355</v>
      </c>
    </row>
    <row r="5636" ht="16.5" customHeight="1">
      <c r="O5636" s="5" t="s">
        <v>355</v>
      </c>
      <c r="P5636" s="5" t="s">
        <v>355</v>
      </c>
      <c r="Q5636" s="5" t="s">
        <v>355</v>
      </c>
    </row>
    <row r="5637" ht="16.5" customHeight="1">
      <c r="O5637" s="5" t="s">
        <v>355</v>
      </c>
      <c r="P5637" s="5" t="s">
        <v>355</v>
      </c>
      <c r="Q5637" s="5" t="s">
        <v>355</v>
      </c>
    </row>
    <row r="5638" ht="16.5" customHeight="1">
      <c r="O5638" s="5" t="s">
        <v>355</v>
      </c>
      <c r="P5638" s="5" t="s">
        <v>355</v>
      </c>
      <c r="Q5638" s="5" t="s">
        <v>355</v>
      </c>
    </row>
    <row r="5639" ht="16.5" customHeight="1">
      <c r="O5639" s="5" t="s">
        <v>355</v>
      </c>
      <c r="P5639" s="5" t="s">
        <v>355</v>
      </c>
      <c r="Q5639" s="5" t="s">
        <v>355</v>
      </c>
    </row>
    <row r="5640" ht="16.5" customHeight="1">
      <c r="O5640" s="5" t="s">
        <v>355</v>
      </c>
      <c r="P5640" s="5" t="s">
        <v>355</v>
      </c>
      <c r="Q5640" s="5" t="s">
        <v>355</v>
      </c>
    </row>
    <row r="5641" ht="16.5" customHeight="1">
      <c r="O5641" s="5" t="s">
        <v>355</v>
      </c>
      <c r="P5641" s="5" t="s">
        <v>355</v>
      </c>
      <c r="Q5641" s="5" t="s">
        <v>355</v>
      </c>
    </row>
    <row r="5642" ht="16.5" customHeight="1">
      <c r="O5642" s="5" t="s">
        <v>355</v>
      </c>
      <c r="P5642" s="5" t="s">
        <v>355</v>
      </c>
      <c r="Q5642" s="5" t="s">
        <v>355</v>
      </c>
    </row>
    <row r="5643" ht="16.5" customHeight="1">
      <c r="O5643" s="5" t="s">
        <v>355</v>
      </c>
      <c r="P5643" s="5" t="s">
        <v>355</v>
      </c>
      <c r="Q5643" s="5" t="s">
        <v>355</v>
      </c>
    </row>
    <row r="5644" ht="16.5" customHeight="1">
      <c r="O5644" s="5" t="s">
        <v>355</v>
      </c>
      <c r="P5644" s="5" t="s">
        <v>355</v>
      </c>
      <c r="Q5644" s="5" t="s">
        <v>355</v>
      </c>
    </row>
    <row r="5645" ht="16.5" customHeight="1">
      <c r="O5645" s="5" t="s">
        <v>355</v>
      </c>
      <c r="P5645" s="5" t="s">
        <v>355</v>
      </c>
      <c r="Q5645" s="5" t="s">
        <v>355</v>
      </c>
    </row>
    <row r="5646" ht="16.5" customHeight="1">
      <c r="O5646" s="5" t="s">
        <v>355</v>
      </c>
      <c r="P5646" s="5" t="s">
        <v>355</v>
      </c>
      <c r="Q5646" s="5" t="s">
        <v>355</v>
      </c>
    </row>
    <row r="5647" ht="16.5" customHeight="1">
      <c r="O5647" s="5" t="s">
        <v>355</v>
      </c>
      <c r="P5647" s="5" t="s">
        <v>355</v>
      </c>
      <c r="Q5647" s="5" t="s">
        <v>355</v>
      </c>
    </row>
    <row r="5648" ht="16.5" customHeight="1">
      <c r="O5648" s="5" t="s">
        <v>355</v>
      </c>
      <c r="P5648" s="5" t="s">
        <v>355</v>
      </c>
      <c r="Q5648" s="5" t="s">
        <v>355</v>
      </c>
    </row>
    <row r="5649" ht="16.5" customHeight="1">
      <c r="O5649" s="5" t="s">
        <v>355</v>
      </c>
      <c r="P5649" s="5" t="s">
        <v>355</v>
      </c>
      <c r="Q5649" s="5" t="s">
        <v>355</v>
      </c>
    </row>
    <row r="5650" ht="16.5" customHeight="1">
      <c r="O5650" s="5" t="s">
        <v>355</v>
      </c>
      <c r="P5650" s="5" t="s">
        <v>355</v>
      </c>
      <c r="Q5650" s="5" t="s">
        <v>355</v>
      </c>
    </row>
    <row r="5651" ht="16.5" customHeight="1">
      <c r="O5651" s="5" t="s">
        <v>355</v>
      </c>
      <c r="P5651" s="5" t="s">
        <v>355</v>
      </c>
      <c r="Q5651" s="5" t="s">
        <v>355</v>
      </c>
    </row>
    <row r="5652" ht="16.5" customHeight="1">
      <c r="O5652" s="5" t="s">
        <v>355</v>
      </c>
      <c r="P5652" s="5" t="s">
        <v>355</v>
      </c>
      <c r="Q5652" s="5" t="s">
        <v>355</v>
      </c>
    </row>
    <row r="5653" ht="16.5" customHeight="1">
      <c r="O5653" s="5" t="s">
        <v>355</v>
      </c>
      <c r="P5653" s="5" t="s">
        <v>355</v>
      </c>
      <c r="Q5653" s="5" t="s">
        <v>355</v>
      </c>
    </row>
    <row r="5654" ht="16.5" customHeight="1">
      <c r="O5654" s="5" t="s">
        <v>355</v>
      </c>
      <c r="P5654" s="5" t="s">
        <v>355</v>
      </c>
      <c r="Q5654" s="5" t="s">
        <v>355</v>
      </c>
    </row>
    <row r="5655" ht="16.5" customHeight="1">
      <c r="O5655" s="5" t="s">
        <v>355</v>
      </c>
      <c r="P5655" s="5" t="s">
        <v>355</v>
      </c>
      <c r="Q5655" s="5" t="s">
        <v>355</v>
      </c>
    </row>
    <row r="5656" ht="16.5" customHeight="1">
      <c r="O5656" s="5" t="s">
        <v>355</v>
      </c>
      <c r="P5656" s="5" t="s">
        <v>355</v>
      </c>
      <c r="Q5656" s="5" t="s">
        <v>355</v>
      </c>
    </row>
    <row r="5657" ht="16.5" customHeight="1">
      <c r="O5657" s="5" t="s">
        <v>355</v>
      </c>
      <c r="P5657" s="5" t="s">
        <v>355</v>
      </c>
      <c r="Q5657" s="5" t="s">
        <v>355</v>
      </c>
    </row>
    <row r="5658" ht="16.5" customHeight="1">
      <c r="O5658" s="5" t="s">
        <v>355</v>
      </c>
      <c r="P5658" s="5" t="s">
        <v>355</v>
      </c>
      <c r="Q5658" s="5" t="s">
        <v>355</v>
      </c>
    </row>
    <row r="5659" ht="16.5" customHeight="1">
      <c r="O5659" s="5" t="s">
        <v>355</v>
      </c>
      <c r="P5659" s="5" t="s">
        <v>355</v>
      </c>
      <c r="Q5659" s="5" t="s">
        <v>355</v>
      </c>
    </row>
    <row r="5660" ht="16.5" customHeight="1">
      <c r="O5660" s="5" t="s">
        <v>355</v>
      </c>
      <c r="P5660" s="5" t="s">
        <v>355</v>
      </c>
      <c r="Q5660" s="5" t="s">
        <v>355</v>
      </c>
    </row>
    <row r="5661" ht="16.5" customHeight="1">
      <c r="O5661" s="5" t="s">
        <v>355</v>
      </c>
      <c r="P5661" s="5" t="s">
        <v>355</v>
      </c>
      <c r="Q5661" s="5" t="s">
        <v>355</v>
      </c>
    </row>
    <row r="5662" ht="16.5" customHeight="1">
      <c r="O5662" s="5" t="s">
        <v>355</v>
      </c>
      <c r="P5662" s="5" t="s">
        <v>355</v>
      </c>
      <c r="Q5662" s="5" t="s">
        <v>355</v>
      </c>
    </row>
    <row r="5663" ht="16.5" customHeight="1">
      <c r="O5663" s="5" t="s">
        <v>355</v>
      </c>
      <c r="P5663" s="5" t="s">
        <v>355</v>
      </c>
      <c r="Q5663" s="5" t="s">
        <v>355</v>
      </c>
    </row>
    <row r="5664" ht="16.5" customHeight="1">
      <c r="O5664" s="5" t="s">
        <v>355</v>
      </c>
      <c r="P5664" s="5" t="s">
        <v>355</v>
      </c>
      <c r="Q5664" s="5" t="s">
        <v>355</v>
      </c>
    </row>
    <row r="5665" ht="16.5" customHeight="1">
      <c r="O5665" s="5" t="s">
        <v>355</v>
      </c>
      <c r="P5665" s="5" t="s">
        <v>355</v>
      </c>
      <c r="Q5665" s="5" t="s">
        <v>355</v>
      </c>
    </row>
    <row r="5666" ht="16.5" customHeight="1">
      <c r="O5666" s="5" t="s">
        <v>355</v>
      </c>
      <c r="P5666" s="5" t="s">
        <v>355</v>
      </c>
      <c r="Q5666" s="5" t="s">
        <v>355</v>
      </c>
    </row>
    <row r="5667" ht="16.5" customHeight="1">
      <c r="O5667" s="5" t="s">
        <v>355</v>
      </c>
      <c r="P5667" s="5" t="s">
        <v>355</v>
      </c>
      <c r="Q5667" s="5" t="s">
        <v>355</v>
      </c>
    </row>
    <row r="5668" ht="16.5" customHeight="1">
      <c r="O5668" s="5" t="s">
        <v>355</v>
      </c>
      <c r="P5668" s="5" t="s">
        <v>355</v>
      </c>
      <c r="Q5668" s="5" t="s">
        <v>355</v>
      </c>
    </row>
    <row r="5669" ht="16.5" customHeight="1">
      <c r="O5669" s="5" t="s">
        <v>355</v>
      </c>
      <c r="P5669" s="5" t="s">
        <v>355</v>
      </c>
      <c r="Q5669" s="5" t="s">
        <v>355</v>
      </c>
    </row>
    <row r="5670" ht="16.5" customHeight="1">
      <c r="O5670" s="5" t="s">
        <v>355</v>
      </c>
      <c r="P5670" s="5" t="s">
        <v>355</v>
      </c>
      <c r="Q5670" s="5" t="s">
        <v>355</v>
      </c>
    </row>
    <row r="5671" ht="16.5" customHeight="1">
      <c r="O5671" s="5" t="s">
        <v>355</v>
      </c>
      <c r="P5671" s="5" t="s">
        <v>355</v>
      </c>
      <c r="Q5671" s="5" t="s">
        <v>355</v>
      </c>
    </row>
    <row r="5672" ht="16.5" customHeight="1">
      <c r="O5672" s="5" t="s">
        <v>355</v>
      </c>
      <c r="P5672" s="5" t="s">
        <v>355</v>
      </c>
      <c r="Q5672" s="5" t="s">
        <v>355</v>
      </c>
    </row>
    <row r="5673" ht="16.5" customHeight="1">
      <c r="O5673" s="5" t="s">
        <v>355</v>
      </c>
      <c r="P5673" s="5" t="s">
        <v>355</v>
      </c>
      <c r="Q5673" s="5" t="s">
        <v>355</v>
      </c>
    </row>
    <row r="5674" ht="16.5" customHeight="1">
      <c r="O5674" s="5" t="s">
        <v>355</v>
      </c>
      <c r="P5674" s="5" t="s">
        <v>355</v>
      </c>
      <c r="Q5674" s="5" t="s">
        <v>355</v>
      </c>
    </row>
    <row r="5675" ht="16.5" customHeight="1">
      <c r="O5675" s="5" t="s">
        <v>355</v>
      </c>
      <c r="P5675" s="5" t="s">
        <v>355</v>
      </c>
      <c r="Q5675" s="5" t="s">
        <v>355</v>
      </c>
    </row>
    <row r="5676" ht="16.5" customHeight="1">
      <c r="O5676" s="5" t="s">
        <v>355</v>
      </c>
      <c r="P5676" s="5" t="s">
        <v>355</v>
      </c>
      <c r="Q5676" s="5" t="s">
        <v>355</v>
      </c>
    </row>
    <row r="5677" ht="16.5" customHeight="1">
      <c r="O5677" s="5" t="s">
        <v>355</v>
      </c>
      <c r="P5677" s="5" t="s">
        <v>355</v>
      </c>
      <c r="Q5677" s="5" t="s">
        <v>355</v>
      </c>
    </row>
    <row r="5678" ht="16.5" customHeight="1">
      <c r="O5678" s="5" t="s">
        <v>355</v>
      </c>
      <c r="P5678" s="5" t="s">
        <v>355</v>
      </c>
      <c r="Q5678" s="5" t="s">
        <v>355</v>
      </c>
    </row>
    <row r="5679" ht="16.5" customHeight="1">
      <c r="O5679" s="5" t="s">
        <v>355</v>
      </c>
      <c r="P5679" s="5" t="s">
        <v>355</v>
      </c>
      <c r="Q5679" s="5" t="s">
        <v>355</v>
      </c>
    </row>
    <row r="5680" ht="16.5" customHeight="1">
      <c r="O5680" s="5" t="s">
        <v>355</v>
      </c>
      <c r="P5680" s="5" t="s">
        <v>355</v>
      </c>
      <c r="Q5680" s="5" t="s">
        <v>355</v>
      </c>
    </row>
    <row r="5681" ht="16.5" customHeight="1">
      <c r="O5681" s="5" t="s">
        <v>355</v>
      </c>
      <c r="P5681" s="5" t="s">
        <v>355</v>
      </c>
      <c r="Q5681" s="5" t="s">
        <v>355</v>
      </c>
    </row>
    <row r="5682" ht="16.5" customHeight="1">
      <c r="O5682" s="5" t="s">
        <v>355</v>
      </c>
      <c r="P5682" s="5" t="s">
        <v>355</v>
      </c>
      <c r="Q5682" s="5" t="s">
        <v>355</v>
      </c>
    </row>
    <row r="5683" ht="16.5" customHeight="1">
      <c r="O5683" s="5" t="s">
        <v>355</v>
      </c>
      <c r="P5683" s="5" t="s">
        <v>355</v>
      </c>
      <c r="Q5683" s="5" t="s">
        <v>355</v>
      </c>
    </row>
    <row r="5684" ht="16.5" customHeight="1">
      <c r="O5684" s="5" t="s">
        <v>355</v>
      </c>
      <c r="P5684" s="5" t="s">
        <v>355</v>
      </c>
      <c r="Q5684" s="5" t="s">
        <v>355</v>
      </c>
    </row>
    <row r="5685" ht="16.5" customHeight="1">
      <c r="O5685" s="5" t="s">
        <v>355</v>
      </c>
      <c r="P5685" s="5" t="s">
        <v>355</v>
      </c>
      <c r="Q5685" s="5" t="s">
        <v>355</v>
      </c>
    </row>
    <row r="5686" ht="16.5" customHeight="1">
      <c r="O5686" s="5" t="s">
        <v>355</v>
      </c>
      <c r="P5686" s="5" t="s">
        <v>355</v>
      </c>
      <c r="Q5686" s="5" t="s">
        <v>355</v>
      </c>
    </row>
    <row r="5687" ht="16.5" customHeight="1">
      <c r="O5687" s="5" t="s">
        <v>355</v>
      </c>
      <c r="P5687" s="5" t="s">
        <v>355</v>
      </c>
      <c r="Q5687" s="5" t="s">
        <v>355</v>
      </c>
    </row>
    <row r="5688" ht="16.5" customHeight="1">
      <c r="O5688" s="5" t="s">
        <v>355</v>
      </c>
      <c r="P5688" s="5" t="s">
        <v>355</v>
      </c>
      <c r="Q5688" s="5" t="s">
        <v>355</v>
      </c>
    </row>
    <row r="5689" ht="16.5" customHeight="1">
      <c r="O5689" s="5" t="s">
        <v>355</v>
      </c>
      <c r="P5689" s="5" t="s">
        <v>355</v>
      </c>
      <c r="Q5689" s="5" t="s">
        <v>355</v>
      </c>
    </row>
    <row r="5690" ht="16.5" customHeight="1">
      <c r="O5690" s="5" t="s">
        <v>355</v>
      </c>
      <c r="P5690" s="5" t="s">
        <v>355</v>
      </c>
      <c r="Q5690" s="5" t="s">
        <v>355</v>
      </c>
    </row>
    <row r="5691" ht="16.5" customHeight="1">
      <c r="O5691" s="5" t="s">
        <v>355</v>
      </c>
      <c r="P5691" s="5" t="s">
        <v>355</v>
      </c>
      <c r="Q5691" s="5" t="s">
        <v>355</v>
      </c>
    </row>
    <row r="5692" ht="16.5" customHeight="1">
      <c r="O5692" s="5" t="s">
        <v>355</v>
      </c>
      <c r="P5692" s="5" t="s">
        <v>355</v>
      </c>
      <c r="Q5692" s="5" t="s">
        <v>355</v>
      </c>
    </row>
    <row r="5693" ht="16.5" customHeight="1">
      <c r="O5693" s="5" t="s">
        <v>355</v>
      </c>
      <c r="P5693" s="5" t="s">
        <v>355</v>
      </c>
      <c r="Q5693" s="5" t="s">
        <v>355</v>
      </c>
    </row>
    <row r="5694" ht="16.5" customHeight="1">
      <c r="O5694" s="5" t="s">
        <v>355</v>
      </c>
      <c r="P5694" s="5" t="s">
        <v>355</v>
      </c>
      <c r="Q5694" s="5" t="s">
        <v>355</v>
      </c>
    </row>
    <row r="5695" ht="16.5" customHeight="1">
      <c r="O5695" s="5" t="s">
        <v>355</v>
      </c>
      <c r="P5695" s="5" t="s">
        <v>355</v>
      </c>
      <c r="Q5695" s="5" t="s">
        <v>355</v>
      </c>
    </row>
    <row r="5696" ht="16.5" customHeight="1">
      <c r="O5696" s="5" t="s">
        <v>355</v>
      </c>
      <c r="P5696" s="5" t="s">
        <v>355</v>
      </c>
      <c r="Q5696" s="5" t="s">
        <v>355</v>
      </c>
    </row>
    <row r="5697" ht="16.5" customHeight="1">
      <c r="O5697" s="5" t="s">
        <v>355</v>
      </c>
      <c r="P5697" s="5" t="s">
        <v>355</v>
      </c>
      <c r="Q5697" s="5" t="s">
        <v>355</v>
      </c>
    </row>
    <row r="5698" ht="16.5" customHeight="1">
      <c r="O5698" s="5" t="s">
        <v>355</v>
      </c>
      <c r="P5698" s="5" t="s">
        <v>355</v>
      </c>
      <c r="Q5698" s="5" t="s">
        <v>355</v>
      </c>
    </row>
    <row r="5699" ht="16.5" customHeight="1">
      <c r="O5699" s="5" t="s">
        <v>355</v>
      </c>
      <c r="P5699" s="5" t="s">
        <v>355</v>
      </c>
      <c r="Q5699" s="5" t="s">
        <v>355</v>
      </c>
    </row>
    <row r="5700" ht="16.5" customHeight="1">
      <c r="O5700" s="5" t="s">
        <v>355</v>
      </c>
      <c r="P5700" s="5" t="s">
        <v>355</v>
      </c>
      <c r="Q5700" s="5" t="s">
        <v>355</v>
      </c>
    </row>
    <row r="5701" ht="16.5" customHeight="1">
      <c r="O5701" s="5" t="s">
        <v>355</v>
      </c>
      <c r="P5701" s="5" t="s">
        <v>355</v>
      </c>
      <c r="Q5701" s="5" t="s">
        <v>355</v>
      </c>
    </row>
    <row r="5702" ht="16.5" customHeight="1">
      <c r="O5702" s="5" t="s">
        <v>355</v>
      </c>
      <c r="P5702" s="5" t="s">
        <v>355</v>
      </c>
      <c r="Q5702" s="5" t="s">
        <v>355</v>
      </c>
    </row>
    <row r="5703" ht="16.5" customHeight="1">
      <c r="O5703" s="5" t="s">
        <v>355</v>
      </c>
      <c r="P5703" s="5" t="s">
        <v>355</v>
      </c>
      <c r="Q5703" s="5" t="s">
        <v>355</v>
      </c>
    </row>
    <row r="5704" ht="16.5" customHeight="1">
      <c r="O5704" s="5" t="s">
        <v>355</v>
      </c>
      <c r="P5704" s="5" t="s">
        <v>355</v>
      </c>
      <c r="Q5704" s="5" t="s">
        <v>355</v>
      </c>
    </row>
    <row r="5705" ht="16.5" customHeight="1">
      <c r="O5705" s="5" t="s">
        <v>355</v>
      </c>
      <c r="P5705" s="5" t="s">
        <v>355</v>
      </c>
      <c r="Q5705" s="5" t="s">
        <v>355</v>
      </c>
    </row>
    <row r="5706" ht="16.5" customHeight="1">
      <c r="O5706" s="5" t="s">
        <v>355</v>
      </c>
      <c r="P5706" s="5" t="s">
        <v>355</v>
      </c>
      <c r="Q5706" s="5" t="s">
        <v>355</v>
      </c>
    </row>
    <row r="5707" ht="16.5" customHeight="1">
      <c r="O5707" s="5" t="s">
        <v>355</v>
      </c>
      <c r="P5707" s="5" t="s">
        <v>355</v>
      </c>
      <c r="Q5707" s="5" t="s">
        <v>355</v>
      </c>
    </row>
    <row r="5708" ht="16.5" customHeight="1">
      <c r="O5708" s="5" t="s">
        <v>355</v>
      </c>
      <c r="P5708" s="5" t="s">
        <v>355</v>
      </c>
      <c r="Q5708" s="5" t="s">
        <v>355</v>
      </c>
    </row>
    <row r="5709" ht="16.5" customHeight="1">
      <c r="O5709" s="5" t="s">
        <v>355</v>
      </c>
      <c r="P5709" s="5" t="s">
        <v>355</v>
      </c>
      <c r="Q5709" s="5" t="s">
        <v>355</v>
      </c>
    </row>
    <row r="5710" ht="16.5" customHeight="1">
      <c r="O5710" s="5" t="s">
        <v>355</v>
      </c>
      <c r="P5710" s="5" t="s">
        <v>355</v>
      </c>
      <c r="Q5710" s="5" t="s">
        <v>355</v>
      </c>
    </row>
    <row r="5711" ht="16.5" customHeight="1">
      <c r="O5711" s="5" t="s">
        <v>355</v>
      </c>
      <c r="P5711" s="5" t="s">
        <v>355</v>
      </c>
      <c r="Q5711" s="5" t="s">
        <v>355</v>
      </c>
    </row>
    <row r="5712" ht="16.5" customHeight="1">
      <c r="O5712" s="5" t="s">
        <v>355</v>
      </c>
      <c r="P5712" s="5" t="s">
        <v>355</v>
      </c>
      <c r="Q5712" s="5" t="s">
        <v>355</v>
      </c>
    </row>
    <row r="5713" ht="16.5" customHeight="1">
      <c r="O5713" s="5" t="s">
        <v>355</v>
      </c>
      <c r="P5713" s="5" t="s">
        <v>355</v>
      </c>
      <c r="Q5713" s="5" t="s">
        <v>355</v>
      </c>
    </row>
    <row r="5714" ht="16.5" customHeight="1">
      <c r="O5714" s="5" t="s">
        <v>355</v>
      </c>
      <c r="P5714" s="5" t="s">
        <v>355</v>
      </c>
      <c r="Q5714" s="5" t="s">
        <v>355</v>
      </c>
    </row>
    <row r="5715" ht="16.5" customHeight="1">
      <c r="O5715" s="5" t="s">
        <v>355</v>
      </c>
      <c r="P5715" s="5" t="s">
        <v>355</v>
      </c>
      <c r="Q5715" s="5" t="s">
        <v>355</v>
      </c>
    </row>
    <row r="5716" ht="16.5" customHeight="1">
      <c r="O5716" s="5" t="s">
        <v>355</v>
      </c>
      <c r="P5716" s="5" t="s">
        <v>355</v>
      </c>
      <c r="Q5716" s="5" t="s">
        <v>355</v>
      </c>
    </row>
    <row r="5717" ht="16.5" customHeight="1">
      <c r="O5717" s="5" t="s">
        <v>355</v>
      </c>
      <c r="P5717" s="5" t="s">
        <v>355</v>
      </c>
      <c r="Q5717" s="5" t="s">
        <v>355</v>
      </c>
    </row>
    <row r="5718" ht="16.5" customHeight="1">
      <c r="O5718" s="5" t="s">
        <v>355</v>
      </c>
      <c r="P5718" s="5" t="s">
        <v>355</v>
      </c>
      <c r="Q5718" s="5" t="s">
        <v>355</v>
      </c>
    </row>
    <row r="5719" ht="16.5" customHeight="1">
      <c r="O5719" s="5" t="s">
        <v>355</v>
      </c>
      <c r="P5719" s="5" t="s">
        <v>355</v>
      </c>
      <c r="Q5719" s="5" t="s">
        <v>355</v>
      </c>
    </row>
    <row r="5720" ht="16.5" customHeight="1">
      <c r="O5720" s="5" t="s">
        <v>355</v>
      </c>
      <c r="P5720" s="5" t="s">
        <v>355</v>
      </c>
      <c r="Q5720" s="5" t="s">
        <v>355</v>
      </c>
    </row>
    <row r="5721" ht="16.5" customHeight="1">
      <c r="O5721" s="5" t="s">
        <v>355</v>
      </c>
      <c r="P5721" s="5" t="s">
        <v>355</v>
      </c>
      <c r="Q5721" s="5" t="s">
        <v>355</v>
      </c>
    </row>
    <row r="5722" ht="16.5" customHeight="1">
      <c r="O5722" s="5" t="s">
        <v>355</v>
      </c>
      <c r="P5722" s="5" t="s">
        <v>355</v>
      </c>
      <c r="Q5722" s="5" t="s">
        <v>355</v>
      </c>
    </row>
    <row r="5723" ht="16.5" customHeight="1">
      <c r="O5723" s="5" t="s">
        <v>355</v>
      </c>
      <c r="P5723" s="5" t="s">
        <v>355</v>
      </c>
      <c r="Q5723" s="5" t="s">
        <v>355</v>
      </c>
    </row>
    <row r="5724" ht="16.5" customHeight="1">
      <c r="O5724" s="5" t="s">
        <v>355</v>
      </c>
      <c r="P5724" s="5" t="s">
        <v>355</v>
      </c>
      <c r="Q5724" s="5" t="s">
        <v>355</v>
      </c>
    </row>
    <row r="5725" ht="16.5" customHeight="1">
      <c r="O5725" s="5" t="s">
        <v>355</v>
      </c>
      <c r="P5725" s="5" t="s">
        <v>355</v>
      </c>
      <c r="Q5725" s="5" t="s">
        <v>355</v>
      </c>
    </row>
    <row r="5726" ht="16.5" customHeight="1">
      <c r="O5726" s="5" t="s">
        <v>355</v>
      </c>
      <c r="P5726" s="5" t="s">
        <v>355</v>
      </c>
      <c r="Q5726" s="5" t="s">
        <v>355</v>
      </c>
    </row>
    <row r="5727" ht="16.5" customHeight="1">
      <c r="O5727" s="5" t="s">
        <v>355</v>
      </c>
      <c r="P5727" s="5" t="s">
        <v>355</v>
      </c>
      <c r="Q5727" s="5" t="s">
        <v>355</v>
      </c>
    </row>
    <row r="5728" ht="16.5" customHeight="1">
      <c r="O5728" s="5" t="s">
        <v>355</v>
      </c>
      <c r="P5728" s="5" t="s">
        <v>355</v>
      </c>
      <c r="Q5728" s="5" t="s">
        <v>355</v>
      </c>
    </row>
    <row r="5729" ht="16.5" customHeight="1">
      <c r="O5729" s="5" t="s">
        <v>355</v>
      </c>
      <c r="P5729" s="5" t="s">
        <v>355</v>
      </c>
      <c r="Q5729" s="5" t="s">
        <v>355</v>
      </c>
    </row>
    <row r="5730" ht="16.5" customHeight="1">
      <c r="O5730" s="5" t="s">
        <v>355</v>
      </c>
      <c r="P5730" s="5" t="s">
        <v>355</v>
      </c>
      <c r="Q5730" s="5" t="s">
        <v>355</v>
      </c>
    </row>
    <row r="5731" ht="16.5" customHeight="1">
      <c r="O5731" s="5" t="s">
        <v>355</v>
      </c>
      <c r="P5731" s="5" t="s">
        <v>355</v>
      </c>
      <c r="Q5731" s="5" t="s">
        <v>355</v>
      </c>
    </row>
    <row r="5732" ht="16.5" customHeight="1">
      <c r="O5732" s="5" t="s">
        <v>355</v>
      </c>
      <c r="P5732" s="5" t="s">
        <v>355</v>
      </c>
      <c r="Q5732" s="5" t="s">
        <v>355</v>
      </c>
    </row>
    <row r="5733" ht="16.5" customHeight="1">
      <c r="O5733" s="5" t="s">
        <v>355</v>
      </c>
      <c r="P5733" s="5" t="s">
        <v>355</v>
      </c>
      <c r="Q5733" s="5" t="s">
        <v>355</v>
      </c>
    </row>
    <row r="5734" ht="16.5" customHeight="1">
      <c r="O5734" s="5" t="s">
        <v>355</v>
      </c>
      <c r="P5734" s="5" t="s">
        <v>355</v>
      </c>
      <c r="Q5734" s="5" t="s">
        <v>355</v>
      </c>
    </row>
    <row r="5735" ht="16.5" customHeight="1">
      <c r="O5735" s="5" t="s">
        <v>355</v>
      </c>
      <c r="P5735" s="5" t="s">
        <v>355</v>
      </c>
      <c r="Q5735" s="5" t="s">
        <v>355</v>
      </c>
    </row>
    <row r="5736" ht="16.5" customHeight="1">
      <c r="O5736" s="5" t="s">
        <v>355</v>
      </c>
      <c r="P5736" s="5" t="s">
        <v>355</v>
      </c>
      <c r="Q5736" s="5" t="s">
        <v>355</v>
      </c>
    </row>
    <row r="5737" ht="16.5" customHeight="1">
      <c r="O5737" s="5" t="s">
        <v>355</v>
      </c>
      <c r="P5737" s="5" t="s">
        <v>355</v>
      </c>
      <c r="Q5737" s="5" t="s">
        <v>355</v>
      </c>
    </row>
    <row r="5738" ht="16.5" customHeight="1">
      <c r="O5738" s="5" t="s">
        <v>355</v>
      </c>
      <c r="P5738" s="5" t="s">
        <v>355</v>
      </c>
      <c r="Q5738" s="5" t="s">
        <v>355</v>
      </c>
    </row>
    <row r="5739" ht="16.5" customHeight="1">
      <c r="O5739" s="5" t="s">
        <v>355</v>
      </c>
      <c r="P5739" s="5" t="s">
        <v>355</v>
      </c>
      <c r="Q5739" s="5" t="s">
        <v>355</v>
      </c>
    </row>
    <row r="5740" ht="16.5" customHeight="1">
      <c r="O5740" s="5" t="s">
        <v>355</v>
      </c>
      <c r="P5740" s="5" t="s">
        <v>355</v>
      </c>
      <c r="Q5740" s="5" t="s">
        <v>355</v>
      </c>
    </row>
    <row r="5741" ht="16.5" customHeight="1">
      <c r="O5741" s="5" t="s">
        <v>355</v>
      </c>
      <c r="P5741" s="5" t="s">
        <v>355</v>
      </c>
      <c r="Q5741" s="5" t="s">
        <v>355</v>
      </c>
    </row>
    <row r="5742" ht="16.5" customHeight="1">
      <c r="O5742" s="5" t="s">
        <v>355</v>
      </c>
      <c r="P5742" s="5" t="s">
        <v>355</v>
      </c>
      <c r="Q5742" s="5" t="s">
        <v>355</v>
      </c>
    </row>
    <row r="5743" ht="16.5" customHeight="1">
      <c r="O5743" s="5" t="s">
        <v>355</v>
      </c>
      <c r="P5743" s="5" t="s">
        <v>355</v>
      </c>
      <c r="Q5743" s="5" t="s">
        <v>355</v>
      </c>
    </row>
    <row r="5744" ht="16.5" customHeight="1">
      <c r="O5744" s="5" t="s">
        <v>355</v>
      </c>
      <c r="P5744" s="5" t="s">
        <v>355</v>
      </c>
      <c r="Q5744" s="5" t="s">
        <v>355</v>
      </c>
    </row>
    <row r="5745" ht="16.5" customHeight="1">
      <c r="O5745" s="5" t="s">
        <v>355</v>
      </c>
      <c r="P5745" s="5" t="s">
        <v>355</v>
      </c>
      <c r="Q5745" s="5" t="s">
        <v>355</v>
      </c>
    </row>
    <row r="5746" ht="16.5" customHeight="1">
      <c r="O5746" s="5" t="s">
        <v>355</v>
      </c>
      <c r="P5746" s="5" t="s">
        <v>355</v>
      </c>
      <c r="Q5746" s="5" t="s">
        <v>355</v>
      </c>
    </row>
    <row r="5747" ht="16.5" customHeight="1">
      <c r="O5747" s="5" t="s">
        <v>355</v>
      </c>
      <c r="P5747" s="5" t="s">
        <v>355</v>
      </c>
      <c r="Q5747" s="5" t="s">
        <v>355</v>
      </c>
    </row>
    <row r="5748" ht="16.5" customHeight="1">
      <c r="O5748" s="5" t="s">
        <v>355</v>
      </c>
      <c r="P5748" s="5" t="s">
        <v>355</v>
      </c>
      <c r="Q5748" s="5" t="s">
        <v>355</v>
      </c>
    </row>
    <row r="5749" ht="16.5" customHeight="1">
      <c r="O5749" s="5" t="s">
        <v>355</v>
      </c>
      <c r="P5749" s="5" t="s">
        <v>355</v>
      </c>
      <c r="Q5749" s="5" t="s">
        <v>355</v>
      </c>
    </row>
    <row r="5750" ht="16.5" customHeight="1">
      <c r="O5750" s="5" t="s">
        <v>355</v>
      </c>
      <c r="P5750" s="5" t="s">
        <v>355</v>
      </c>
      <c r="Q5750" s="5" t="s">
        <v>355</v>
      </c>
    </row>
    <row r="5751" ht="16.5" customHeight="1">
      <c r="O5751" s="5" t="s">
        <v>355</v>
      </c>
      <c r="P5751" s="5" t="s">
        <v>355</v>
      </c>
      <c r="Q5751" s="5" t="s">
        <v>355</v>
      </c>
    </row>
    <row r="5752" ht="16.5" customHeight="1">
      <c r="O5752" s="5" t="s">
        <v>355</v>
      </c>
      <c r="P5752" s="5" t="s">
        <v>355</v>
      </c>
      <c r="Q5752" s="5" t="s">
        <v>355</v>
      </c>
    </row>
    <row r="5753" ht="16.5" customHeight="1">
      <c r="O5753" s="5" t="s">
        <v>355</v>
      </c>
      <c r="P5753" s="5" t="s">
        <v>355</v>
      </c>
      <c r="Q5753" s="5" t="s">
        <v>355</v>
      </c>
    </row>
    <row r="5754" ht="16.5" customHeight="1">
      <c r="O5754" s="5" t="s">
        <v>355</v>
      </c>
      <c r="P5754" s="5" t="s">
        <v>355</v>
      </c>
      <c r="Q5754" s="5" t="s">
        <v>355</v>
      </c>
    </row>
    <row r="5755" ht="16.5" customHeight="1">
      <c r="O5755" s="5" t="s">
        <v>355</v>
      </c>
      <c r="P5755" s="5" t="s">
        <v>355</v>
      </c>
      <c r="Q5755" s="5" t="s">
        <v>355</v>
      </c>
    </row>
    <row r="5756" ht="16.5" customHeight="1">
      <c r="O5756" s="5" t="s">
        <v>355</v>
      </c>
      <c r="P5756" s="5" t="s">
        <v>355</v>
      </c>
      <c r="Q5756" s="5" t="s">
        <v>355</v>
      </c>
    </row>
    <row r="5757" ht="16.5" customHeight="1">
      <c r="O5757" s="5" t="s">
        <v>355</v>
      </c>
      <c r="P5757" s="5" t="s">
        <v>355</v>
      </c>
      <c r="Q5757" s="5" t="s">
        <v>355</v>
      </c>
    </row>
    <row r="5758" ht="16.5" customHeight="1">
      <c r="O5758" s="5" t="s">
        <v>355</v>
      </c>
      <c r="P5758" s="5" t="s">
        <v>355</v>
      </c>
      <c r="Q5758" s="5" t="s">
        <v>355</v>
      </c>
    </row>
    <row r="5759" ht="16.5" customHeight="1">
      <c r="O5759" s="5" t="s">
        <v>355</v>
      </c>
      <c r="P5759" s="5" t="s">
        <v>355</v>
      </c>
      <c r="Q5759" s="5" t="s">
        <v>355</v>
      </c>
    </row>
    <row r="5760" ht="16.5" customHeight="1">
      <c r="O5760" s="5" t="s">
        <v>355</v>
      </c>
      <c r="P5760" s="5" t="s">
        <v>355</v>
      </c>
      <c r="Q5760" s="5" t="s">
        <v>355</v>
      </c>
    </row>
    <row r="5761" ht="16.5" customHeight="1">
      <c r="O5761" s="5" t="s">
        <v>355</v>
      </c>
      <c r="P5761" s="5" t="s">
        <v>355</v>
      </c>
      <c r="Q5761" s="5" t="s">
        <v>355</v>
      </c>
    </row>
    <row r="5762" ht="16.5" customHeight="1">
      <c r="O5762" s="5" t="s">
        <v>355</v>
      </c>
      <c r="P5762" s="5" t="s">
        <v>355</v>
      </c>
      <c r="Q5762" s="5" t="s">
        <v>355</v>
      </c>
    </row>
    <row r="5763" ht="16.5" customHeight="1">
      <c r="O5763" s="5" t="s">
        <v>355</v>
      </c>
      <c r="P5763" s="5" t="s">
        <v>355</v>
      </c>
      <c r="Q5763" s="5" t="s">
        <v>355</v>
      </c>
    </row>
    <row r="5764" ht="16.5" customHeight="1">
      <c r="O5764" s="5" t="s">
        <v>355</v>
      </c>
      <c r="P5764" s="5" t="s">
        <v>355</v>
      </c>
      <c r="Q5764" s="5" t="s">
        <v>355</v>
      </c>
    </row>
    <row r="5765" ht="16.5" customHeight="1">
      <c r="O5765" s="5" t="s">
        <v>355</v>
      </c>
      <c r="P5765" s="5" t="s">
        <v>355</v>
      </c>
      <c r="Q5765" s="5" t="s">
        <v>355</v>
      </c>
    </row>
    <row r="5766" ht="16.5" customHeight="1">
      <c r="O5766" s="5" t="s">
        <v>355</v>
      </c>
      <c r="P5766" s="5" t="s">
        <v>355</v>
      </c>
      <c r="Q5766" s="5" t="s">
        <v>355</v>
      </c>
    </row>
    <row r="5767" ht="16.5" customHeight="1">
      <c r="O5767" s="5" t="s">
        <v>355</v>
      </c>
      <c r="P5767" s="5" t="s">
        <v>355</v>
      </c>
      <c r="Q5767" s="5" t="s">
        <v>355</v>
      </c>
    </row>
    <row r="5768" ht="16.5" customHeight="1">
      <c r="O5768" s="5" t="s">
        <v>355</v>
      </c>
      <c r="P5768" s="5" t="s">
        <v>355</v>
      </c>
      <c r="Q5768" s="5" t="s">
        <v>355</v>
      </c>
    </row>
    <row r="5769" ht="16.5" customHeight="1">
      <c r="O5769" s="5" t="s">
        <v>355</v>
      </c>
      <c r="P5769" s="5" t="s">
        <v>355</v>
      </c>
      <c r="Q5769" s="5" t="s">
        <v>355</v>
      </c>
    </row>
    <row r="5770" ht="16.5" customHeight="1">
      <c r="O5770" s="5" t="s">
        <v>355</v>
      </c>
      <c r="P5770" s="5" t="s">
        <v>355</v>
      </c>
      <c r="Q5770" s="5" t="s">
        <v>355</v>
      </c>
    </row>
    <row r="5771" ht="16.5" customHeight="1">
      <c r="O5771" s="5" t="s">
        <v>355</v>
      </c>
      <c r="P5771" s="5" t="s">
        <v>355</v>
      </c>
      <c r="Q5771" s="5" t="s">
        <v>355</v>
      </c>
    </row>
    <row r="5772" ht="16.5" customHeight="1">
      <c r="O5772" s="5" t="s">
        <v>355</v>
      </c>
      <c r="P5772" s="5" t="s">
        <v>355</v>
      </c>
      <c r="Q5772" s="5" t="s">
        <v>355</v>
      </c>
    </row>
    <row r="5773" ht="16.5" customHeight="1">
      <c r="O5773" s="5" t="s">
        <v>355</v>
      </c>
      <c r="P5773" s="5" t="s">
        <v>355</v>
      </c>
      <c r="Q5773" s="5" t="s">
        <v>355</v>
      </c>
    </row>
    <row r="5774" ht="16.5" customHeight="1">
      <c r="O5774" s="5" t="s">
        <v>355</v>
      </c>
      <c r="P5774" s="5" t="s">
        <v>355</v>
      </c>
      <c r="Q5774" s="5" t="s">
        <v>355</v>
      </c>
    </row>
    <row r="5775" ht="16.5" customHeight="1">
      <c r="O5775" s="5" t="s">
        <v>355</v>
      </c>
      <c r="P5775" s="5" t="s">
        <v>355</v>
      </c>
      <c r="Q5775" s="5" t="s">
        <v>355</v>
      </c>
    </row>
    <row r="5776" ht="16.5" customHeight="1">
      <c r="O5776" s="5" t="s">
        <v>355</v>
      </c>
      <c r="P5776" s="5" t="s">
        <v>355</v>
      </c>
      <c r="Q5776" s="5" t="s">
        <v>355</v>
      </c>
    </row>
    <row r="5777" ht="16.5" customHeight="1">
      <c r="O5777" s="5" t="s">
        <v>355</v>
      </c>
      <c r="P5777" s="5" t="s">
        <v>355</v>
      </c>
      <c r="Q5777" s="5" t="s">
        <v>355</v>
      </c>
    </row>
    <row r="5778" ht="16.5" customHeight="1">
      <c r="O5778" s="5" t="s">
        <v>355</v>
      </c>
      <c r="P5778" s="5" t="s">
        <v>355</v>
      </c>
      <c r="Q5778" s="5" t="s">
        <v>355</v>
      </c>
    </row>
    <row r="5779" ht="16.5" customHeight="1">
      <c r="O5779" s="5" t="s">
        <v>355</v>
      </c>
      <c r="P5779" s="5" t="s">
        <v>355</v>
      </c>
      <c r="Q5779" s="5" t="s">
        <v>355</v>
      </c>
    </row>
    <row r="5780" ht="16.5" customHeight="1">
      <c r="O5780" s="5" t="s">
        <v>355</v>
      </c>
      <c r="P5780" s="5" t="s">
        <v>355</v>
      </c>
      <c r="Q5780" s="5" t="s">
        <v>355</v>
      </c>
    </row>
    <row r="5781" ht="16.5" customHeight="1">
      <c r="O5781" s="5" t="s">
        <v>355</v>
      </c>
      <c r="P5781" s="5" t="s">
        <v>355</v>
      </c>
      <c r="Q5781" s="5" t="s">
        <v>355</v>
      </c>
    </row>
    <row r="5782" ht="16.5" customHeight="1">
      <c r="O5782" s="5" t="s">
        <v>355</v>
      </c>
      <c r="P5782" s="5" t="s">
        <v>355</v>
      </c>
      <c r="Q5782" s="5" t="s">
        <v>355</v>
      </c>
    </row>
    <row r="5783" ht="16.5" customHeight="1">
      <c r="O5783" s="5" t="s">
        <v>355</v>
      </c>
      <c r="P5783" s="5" t="s">
        <v>355</v>
      </c>
      <c r="Q5783" s="5" t="s">
        <v>355</v>
      </c>
    </row>
    <row r="5784" ht="16.5" customHeight="1">
      <c r="O5784" s="5" t="s">
        <v>355</v>
      </c>
      <c r="P5784" s="5" t="s">
        <v>355</v>
      </c>
      <c r="Q5784" s="5" t="s">
        <v>355</v>
      </c>
    </row>
    <row r="5785" ht="16.5" customHeight="1">
      <c r="O5785" s="5" t="s">
        <v>355</v>
      </c>
      <c r="P5785" s="5" t="s">
        <v>355</v>
      </c>
      <c r="Q5785" s="5" t="s">
        <v>355</v>
      </c>
    </row>
    <row r="5786" ht="16.5" customHeight="1">
      <c r="O5786" s="5" t="s">
        <v>355</v>
      </c>
      <c r="P5786" s="5" t="s">
        <v>355</v>
      </c>
      <c r="Q5786" s="5" t="s">
        <v>355</v>
      </c>
    </row>
    <row r="5787" ht="16.5" customHeight="1">
      <c r="O5787" s="5" t="s">
        <v>355</v>
      </c>
      <c r="P5787" s="5" t="s">
        <v>355</v>
      </c>
      <c r="Q5787" s="5" t="s">
        <v>355</v>
      </c>
    </row>
    <row r="5788" ht="16.5" customHeight="1">
      <c r="O5788" s="5" t="s">
        <v>355</v>
      </c>
      <c r="P5788" s="5" t="s">
        <v>355</v>
      </c>
      <c r="Q5788" s="5" t="s">
        <v>355</v>
      </c>
    </row>
    <row r="5789" ht="16.5" customHeight="1">
      <c r="O5789" s="5" t="s">
        <v>355</v>
      </c>
      <c r="P5789" s="5" t="s">
        <v>355</v>
      </c>
      <c r="Q5789" s="5" t="s">
        <v>355</v>
      </c>
    </row>
    <row r="5790" ht="16.5" customHeight="1">
      <c r="O5790" s="5" t="s">
        <v>355</v>
      </c>
      <c r="P5790" s="5" t="s">
        <v>355</v>
      </c>
      <c r="Q5790" s="5" t="s">
        <v>355</v>
      </c>
    </row>
    <row r="5791" ht="16.5" customHeight="1">
      <c r="O5791" s="5" t="s">
        <v>355</v>
      </c>
      <c r="P5791" s="5" t="s">
        <v>355</v>
      </c>
      <c r="Q5791" s="5" t="s">
        <v>355</v>
      </c>
    </row>
    <row r="5792" ht="16.5" customHeight="1">
      <c r="O5792" s="5" t="s">
        <v>355</v>
      </c>
      <c r="P5792" s="5" t="s">
        <v>355</v>
      </c>
      <c r="Q5792" s="5" t="s">
        <v>355</v>
      </c>
    </row>
    <row r="5793" ht="16.5" customHeight="1">
      <c r="O5793" s="5" t="s">
        <v>355</v>
      </c>
      <c r="P5793" s="5" t="s">
        <v>355</v>
      </c>
      <c r="Q5793" s="5" t="s">
        <v>355</v>
      </c>
    </row>
    <row r="5794" ht="16.5" customHeight="1">
      <c r="O5794" s="5" t="s">
        <v>355</v>
      </c>
      <c r="P5794" s="5" t="s">
        <v>355</v>
      </c>
      <c r="Q5794" s="5" t="s">
        <v>355</v>
      </c>
    </row>
    <row r="5795" ht="16.5" customHeight="1">
      <c r="O5795" s="5" t="s">
        <v>355</v>
      </c>
      <c r="P5795" s="5" t="s">
        <v>355</v>
      </c>
      <c r="Q5795" s="5" t="s">
        <v>355</v>
      </c>
    </row>
    <row r="5796" ht="16.5" customHeight="1">
      <c r="O5796" s="5" t="s">
        <v>355</v>
      </c>
      <c r="P5796" s="5" t="s">
        <v>355</v>
      </c>
      <c r="Q5796" s="5" t="s">
        <v>355</v>
      </c>
    </row>
    <row r="5797" ht="16.5" customHeight="1">
      <c r="O5797" s="5" t="s">
        <v>355</v>
      </c>
      <c r="P5797" s="5" t="s">
        <v>355</v>
      </c>
      <c r="Q5797" s="5" t="s">
        <v>355</v>
      </c>
    </row>
    <row r="5798" ht="16.5" customHeight="1">
      <c r="O5798" s="5" t="s">
        <v>355</v>
      </c>
      <c r="P5798" s="5" t="s">
        <v>355</v>
      </c>
      <c r="Q5798" s="5" t="s">
        <v>355</v>
      </c>
    </row>
    <row r="5799" ht="16.5" customHeight="1">
      <c r="O5799" s="5" t="s">
        <v>355</v>
      </c>
      <c r="P5799" s="5" t="s">
        <v>355</v>
      </c>
      <c r="Q5799" s="5" t="s">
        <v>355</v>
      </c>
    </row>
    <row r="5800" ht="16.5" customHeight="1">
      <c r="O5800" s="5" t="s">
        <v>355</v>
      </c>
      <c r="P5800" s="5" t="s">
        <v>355</v>
      </c>
      <c r="Q5800" s="5" t="s">
        <v>355</v>
      </c>
    </row>
    <row r="5801" ht="16.5" customHeight="1">
      <c r="O5801" s="5" t="s">
        <v>355</v>
      </c>
      <c r="P5801" s="5" t="s">
        <v>355</v>
      </c>
      <c r="Q5801" s="5" t="s">
        <v>355</v>
      </c>
    </row>
    <row r="5802" ht="16.5" customHeight="1">
      <c r="O5802" s="5" t="s">
        <v>355</v>
      </c>
      <c r="P5802" s="5" t="s">
        <v>355</v>
      </c>
      <c r="Q5802" s="5" t="s">
        <v>355</v>
      </c>
    </row>
    <row r="5803" ht="16.5" customHeight="1">
      <c r="O5803" s="5" t="s">
        <v>355</v>
      </c>
      <c r="P5803" s="5" t="s">
        <v>355</v>
      </c>
      <c r="Q5803" s="5" t="s">
        <v>355</v>
      </c>
    </row>
    <row r="5804" ht="16.5" customHeight="1">
      <c r="O5804" s="5" t="s">
        <v>355</v>
      </c>
      <c r="P5804" s="5" t="s">
        <v>355</v>
      </c>
      <c r="Q5804" s="5" t="s">
        <v>355</v>
      </c>
    </row>
    <row r="5805" ht="16.5" customHeight="1">
      <c r="O5805" s="5" t="s">
        <v>355</v>
      </c>
      <c r="P5805" s="5" t="s">
        <v>355</v>
      </c>
      <c r="Q5805" s="5" t="s">
        <v>355</v>
      </c>
    </row>
    <row r="5806" ht="16.5" customHeight="1">
      <c r="O5806" s="5" t="s">
        <v>355</v>
      </c>
      <c r="P5806" s="5" t="s">
        <v>355</v>
      </c>
      <c r="Q5806" s="5" t="s">
        <v>355</v>
      </c>
    </row>
    <row r="5807" ht="16.5" customHeight="1">
      <c r="O5807" s="5" t="s">
        <v>355</v>
      </c>
      <c r="P5807" s="5" t="s">
        <v>355</v>
      </c>
      <c r="Q5807" s="5" t="s">
        <v>355</v>
      </c>
    </row>
    <row r="5808" ht="16.5" customHeight="1">
      <c r="O5808" s="5" t="s">
        <v>355</v>
      </c>
      <c r="P5808" s="5" t="s">
        <v>355</v>
      </c>
      <c r="Q5808" s="5" t="s">
        <v>355</v>
      </c>
    </row>
    <row r="5809" ht="16.5" customHeight="1">
      <c r="O5809" s="5" t="s">
        <v>355</v>
      </c>
      <c r="P5809" s="5" t="s">
        <v>355</v>
      </c>
      <c r="Q5809" s="5" t="s">
        <v>355</v>
      </c>
    </row>
    <row r="5810" ht="16.5" customHeight="1">
      <c r="O5810" s="5" t="s">
        <v>355</v>
      </c>
      <c r="P5810" s="5" t="s">
        <v>355</v>
      </c>
      <c r="Q5810" s="5" t="s">
        <v>355</v>
      </c>
    </row>
    <row r="5811" ht="16.5" customHeight="1">
      <c r="O5811" s="5" t="s">
        <v>355</v>
      </c>
      <c r="P5811" s="5" t="s">
        <v>355</v>
      </c>
      <c r="Q5811" s="5" t="s">
        <v>355</v>
      </c>
    </row>
    <row r="5812" ht="16.5" customHeight="1">
      <c r="O5812" s="5" t="s">
        <v>355</v>
      </c>
      <c r="P5812" s="5" t="s">
        <v>355</v>
      </c>
      <c r="Q5812" s="5" t="s">
        <v>355</v>
      </c>
    </row>
    <row r="5813" ht="16.5" customHeight="1">
      <c r="O5813" s="5" t="s">
        <v>355</v>
      </c>
      <c r="P5813" s="5" t="s">
        <v>355</v>
      </c>
      <c r="Q5813" s="5" t="s">
        <v>355</v>
      </c>
    </row>
    <row r="5814" ht="16.5" customHeight="1">
      <c r="O5814" s="5" t="s">
        <v>355</v>
      </c>
      <c r="P5814" s="5" t="s">
        <v>355</v>
      </c>
      <c r="Q5814" s="5" t="s">
        <v>355</v>
      </c>
    </row>
    <row r="5815" ht="16.5" customHeight="1">
      <c r="O5815" s="5" t="s">
        <v>355</v>
      </c>
      <c r="P5815" s="5" t="s">
        <v>355</v>
      </c>
      <c r="Q5815" s="5" t="s">
        <v>355</v>
      </c>
    </row>
    <row r="5816" ht="16.5" customHeight="1">
      <c r="O5816" s="5" t="s">
        <v>355</v>
      </c>
      <c r="P5816" s="5" t="s">
        <v>355</v>
      </c>
      <c r="Q5816" s="5" t="s">
        <v>355</v>
      </c>
    </row>
    <row r="5817" ht="16.5" customHeight="1">
      <c r="O5817" s="5" t="s">
        <v>355</v>
      </c>
      <c r="P5817" s="5" t="s">
        <v>355</v>
      </c>
      <c r="Q5817" s="5" t="s">
        <v>355</v>
      </c>
    </row>
    <row r="5818" ht="16.5" customHeight="1">
      <c r="O5818" s="5" t="s">
        <v>355</v>
      </c>
      <c r="P5818" s="5" t="s">
        <v>355</v>
      </c>
      <c r="Q5818" s="5" t="s">
        <v>355</v>
      </c>
    </row>
    <row r="5819" ht="16.5" customHeight="1">
      <c r="O5819" s="5" t="s">
        <v>355</v>
      </c>
      <c r="P5819" s="5" t="s">
        <v>355</v>
      </c>
      <c r="Q5819" s="5" t="s">
        <v>355</v>
      </c>
    </row>
    <row r="5820" ht="16.5" customHeight="1">
      <c r="O5820" s="5" t="s">
        <v>355</v>
      </c>
      <c r="P5820" s="5" t="s">
        <v>355</v>
      </c>
      <c r="Q5820" s="5" t="s">
        <v>355</v>
      </c>
    </row>
    <row r="5821" ht="16.5" customHeight="1">
      <c r="O5821" s="5" t="s">
        <v>355</v>
      </c>
      <c r="P5821" s="5" t="s">
        <v>355</v>
      </c>
      <c r="Q5821" s="5" t="s">
        <v>355</v>
      </c>
    </row>
    <row r="5822" ht="16.5" customHeight="1">
      <c r="O5822" s="5" t="s">
        <v>355</v>
      </c>
      <c r="P5822" s="5" t="s">
        <v>355</v>
      </c>
      <c r="Q5822" s="5" t="s">
        <v>355</v>
      </c>
    </row>
    <row r="5823" ht="16.5" customHeight="1">
      <c r="O5823" s="5" t="s">
        <v>355</v>
      </c>
      <c r="P5823" s="5" t="s">
        <v>355</v>
      </c>
      <c r="Q5823" s="5" t="s">
        <v>355</v>
      </c>
    </row>
    <row r="5824" ht="16.5" customHeight="1">
      <c r="O5824" s="5" t="s">
        <v>355</v>
      </c>
      <c r="P5824" s="5" t="s">
        <v>355</v>
      </c>
      <c r="Q5824" s="5" t="s">
        <v>355</v>
      </c>
    </row>
    <row r="5825" ht="16.5" customHeight="1">
      <c r="O5825" s="5" t="s">
        <v>355</v>
      </c>
      <c r="P5825" s="5" t="s">
        <v>355</v>
      </c>
      <c r="Q5825" s="5" t="s">
        <v>355</v>
      </c>
    </row>
    <row r="5826" ht="16.5" customHeight="1">
      <c r="O5826" s="5" t="s">
        <v>355</v>
      </c>
      <c r="P5826" s="5" t="s">
        <v>355</v>
      </c>
      <c r="Q5826" s="5" t="s">
        <v>355</v>
      </c>
    </row>
    <row r="5827" ht="16.5" customHeight="1">
      <c r="O5827" s="5" t="s">
        <v>355</v>
      </c>
      <c r="P5827" s="5" t="s">
        <v>355</v>
      </c>
      <c r="Q5827" s="5" t="s">
        <v>355</v>
      </c>
    </row>
    <row r="5828" ht="16.5" customHeight="1">
      <c r="O5828" s="5" t="s">
        <v>355</v>
      </c>
      <c r="P5828" s="5" t="s">
        <v>355</v>
      </c>
      <c r="Q5828" s="5" t="s">
        <v>355</v>
      </c>
    </row>
    <row r="5829" ht="16.5" customHeight="1">
      <c r="O5829" s="5" t="s">
        <v>355</v>
      </c>
      <c r="P5829" s="5" t="s">
        <v>355</v>
      </c>
      <c r="Q5829" s="5" t="s">
        <v>355</v>
      </c>
    </row>
    <row r="5830" ht="16.5" customHeight="1">
      <c r="O5830" s="5" t="s">
        <v>355</v>
      </c>
      <c r="P5830" s="5" t="s">
        <v>355</v>
      </c>
      <c r="Q5830" s="5" t="s">
        <v>355</v>
      </c>
    </row>
    <row r="5831" ht="16.5" customHeight="1">
      <c r="O5831" s="5" t="s">
        <v>355</v>
      </c>
      <c r="P5831" s="5" t="s">
        <v>355</v>
      </c>
      <c r="Q5831" s="5" t="s">
        <v>355</v>
      </c>
    </row>
    <row r="5832" ht="16.5" customHeight="1">
      <c r="O5832" s="5" t="s">
        <v>355</v>
      </c>
      <c r="P5832" s="5" t="s">
        <v>355</v>
      </c>
      <c r="Q5832" s="5" t="s">
        <v>355</v>
      </c>
    </row>
    <row r="5833" ht="16.5" customHeight="1">
      <c r="O5833" s="5" t="s">
        <v>355</v>
      </c>
      <c r="P5833" s="5" t="s">
        <v>355</v>
      </c>
      <c r="Q5833" s="5" t="s">
        <v>355</v>
      </c>
    </row>
    <row r="5834" ht="16.5" customHeight="1">
      <c r="O5834" s="5" t="s">
        <v>355</v>
      </c>
      <c r="P5834" s="5" t="s">
        <v>355</v>
      </c>
      <c r="Q5834" s="5" t="s">
        <v>355</v>
      </c>
    </row>
    <row r="5835" ht="16.5" customHeight="1">
      <c r="O5835" s="5" t="s">
        <v>355</v>
      </c>
      <c r="P5835" s="5" t="s">
        <v>355</v>
      </c>
      <c r="Q5835" s="5" t="s">
        <v>355</v>
      </c>
    </row>
    <row r="5836" ht="16.5" customHeight="1">
      <c r="O5836" s="5" t="s">
        <v>355</v>
      </c>
      <c r="P5836" s="5" t="s">
        <v>355</v>
      </c>
      <c r="Q5836" s="5" t="s">
        <v>355</v>
      </c>
    </row>
    <row r="5837" ht="16.5" customHeight="1">
      <c r="O5837" s="5" t="s">
        <v>355</v>
      </c>
      <c r="P5837" s="5" t="s">
        <v>355</v>
      </c>
      <c r="Q5837" s="5" t="s">
        <v>355</v>
      </c>
    </row>
    <row r="5838" ht="16.5" customHeight="1">
      <c r="O5838" s="5" t="s">
        <v>355</v>
      </c>
      <c r="P5838" s="5" t="s">
        <v>355</v>
      </c>
      <c r="Q5838" s="5" t="s">
        <v>355</v>
      </c>
    </row>
    <row r="5839" ht="16.5" customHeight="1">
      <c r="O5839" s="5" t="s">
        <v>355</v>
      </c>
      <c r="P5839" s="5" t="s">
        <v>355</v>
      </c>
      <c r="Q5839" s="5" t="s">
        <v>355</v>
      </c>
    </row>
    <row r="5840" ht="16.5" customHeight="1">
      <c r="O5840" s="5" t="s">
        <v>355</v>
      </c>
      <c r="P5840" s="5" t="s">
        <v>355</v>
      </c>
      <c r="Q5840" s="5" t="s">
        <v>355</v>
      </c>
    </row>
    <row r="5841" ht="16.5" customHeight="1">
      <c r="O5841" s="5" t="s">
        <v>355</v>
      </c>
      <c r="P5841" s="5" t="s">
        <v>355</v>
      </c>
      <c r="Q5841" s="5" t="s">
        <v>355</v>
      </c>
    </row>
    <row r="5842" ht="16.5" customHeight="1">
      <c r="O5842" s="5" t="s">
        <v>355</v>
      </c>
      <c r="P5842" s="5" t="s">
        <v>355</v>
      </c>
      <c r="Q5842" s="5" t="s">
        <v>355</v>
      </c>
    </row>
    <row r="5843" ht="16.5" customHeight="1">
      <c r="O5843" s="5" t="s">
        <v>355</v>
      </c>
      <c r="P5843" s="5" t="s">
        <v>355</v>
      </c>
      <c r="Q5843" s="5" t="s">
        <v>355</v>
      </c>
    </row>
    <row r="5844" ht="16.5" customHeight="1">
      <c r="O5844" s="5" t="s">
        <v>355</v>
      </c>
      <c r="P5844" s="5" t="s">
        <v>355</v>
      </c>
      <c r="Q5844" s="5" t="s">
        <v>355</v>
      </c>
    </row>
    <row r="5845" ht="16.5" customHeight="1">
      <c r="O5845" s="5" t="s">
        <v>355</v>
      </c>
      <c r="P5845" s="5" t="s">
        <v>355</v>
      </c>
      <c r="Q5845" s="5" t="s">
        <v>355</v>
      </c>
    </row>
    <row r="5846" ht="16.5" customHeight="1">
      <c r="O5846" s="5" t="s">
        <v>355</v>
      </c>
      <c r="P5846" s="5" t="s">
        <v>355</v>
      </c>
      <c r="Q5846" s="5" t="s">
        <v>355</v>
      </c>
    </row>
    <row r="5847" ht="16.5" customHeight="1">
      <c r="O5847" s="5" t="s">
        <v>355</v>
      </c>
      <c r="P5847" s="5" t="s">
        <v>355</v>
      </c>
      <c r="Q5847" s="5" t="s">
        <v>355</v>
      </c>
    </row>
    <row r="5848" ht="16.5" customHeight="1">
      <c r="O5848" s="5" t="s">
        <v>355</v>
      </c>
      <c r="P5848" s="5" t="s">
        <v>355</v>
      </c>
      <c r="Q5848" s="5" t="s">
        <v>355</v>
      </c>
    </row>
    <row r="5849" ht="16.5" customHeight="1">
      <c r="O5849" s="5" t="s">
        <v>355</v>
      </c>
      <c r="P5849" s="5" t="s">
        <v>355</v>
      </c>
      <c r="Q5849" s="5" t="s">
        <v>355</v>
      </c>
    </row>
    <row r="5850" ht="16.5" customHeight="1">
      <c r="O5850" s="5" t="s">
        <v>355</v>
      </c>
      <c r="P5850" s="5" t="s">
        <v>355</v>
      </c>
      <c r="Q5850" s="5" t="s">
        <v>355</v>
      </c>
    </row>
    <row r="5851" ht="16.5" customHeight="1">
      <c r="O5851" s="5" t="s">
        <v>355</v>
      </c>
      <c r="P5851" s="5" t="s">
        <v>355</v>
      </c>
      <c r="Q5851" s="5" t="s">
        <v>355</v>
      </c>
    </row>
    <row r="5852" ht="16.5" customHeight="1">
      <c r="O5852" s="5" t="s">
        <v>355</v>
      </c>
      <c r="P5852" s="5" t="s">
        <v>355</v>
      </c>
      <c r="Q5852" s="5" t="s">
        <v>355</v>
      </c>
    </row>
    <row r="5853" ht="16.5" customHeight="1">
      <c r="O5853" s="5" t="s">
        <v>355</v>
      </c>
      <c r="P5853" s="5" t="s">
        <v>355</v>
      </c>
      <c r="Q5853" s="5" t="s">
        <v>355</v>
      </c>
    </row>
    <row r="5854" ht="16.5" customHeight="1">
      <c r="O5854" s="5" t="s">
        <v>355</v>
      </c>
      <c r="P5854" s="5" t="s">
        <v>355</v>
      </c>
      <c r="Q5854" s="5" t="s">
        <v>355</v>
      </c>
    </row>
    <row r="5855" ht="16.5" customHeight="1">
      <c r="O5855" s="5" t="s">
        <v>355</v>
      </c>
      <c r="P5855" s="5" t="s">
        <v>355</v>
      </c>
      <c r="Q5855" s="5" t="s">
        <v>355</v>
      </c>
    </row>
    <row r="5856" ht="16.5" customHeight="1">
      <c r="O5856" s="5" t="s">
        <v>355</v>
      </c>
      <c r="P5856" s="5" t="s">
        <v>355</v>
      </c>
      <c r="Q5856" s="5" t="s">
        <v>355</v>
      </c>
    </row>
    <row r="5857" ht="16.5" customHeight="1">
      <c r="O5857" s="5" t="s">
        <v>355</v>
      </c>
      <c r="P5857" s="5" t="s">
        <v>355</v>
      </c>
      <c r="Q5857" s="5" t="s">
        <v>355</v>
      </c>
    </row>
    <row r="5858" ht="16.5" customHeight="1">
      <c r="O5858" s="5" t="s">
        <v>355</v>
      </c>
      <c r="P5858" s="5" t="s">
        <v>355</v>
      </c>
      <c r="Q5858" s="5" t="s">
        <v>355</v>
      </c>
    </row>
    <row r="5859" ht="16.5" customHeight="1">
      <c r="O5859" s="5" t="s">
        <v>355</v>
      </c>
      <c r="P5859" s="5" t="s">
        <v>355</v>
      </c>
      <c r="Q5859" s="5" t="s">
        <v>355</v>
      </c>
    </row>
    <row r="5860" ht="16.5" customHeight="1">
      <c r="O5860" s="5" t="s">
        <v>355</v>
      </c>
      <c r="P5860" s="5" t="s">
        <v>355</v>
      </c>
      <c r="Q5860" s="5" t="s">
        <v>355</v>
      </c>
    </row>
    <row r="5861" ht="16.5" customHeight="1">
      <c r="O5861" s="5" t="s">
        <v>355</v>
      </c>
      <c r="P5861" s="5" t="s">
        <v>355</v>
      </c>
      <c r="Q5861" s="5" t="s">
        <v>355</v>
      </c>
    </row>
    <row r="5862" ht="16.5" customHeight="1">
      <c r="O5862" s="5" t="s">
        <v>355</v>
      </c>
      <c r="P5862" s="5" t="s">
        <v>355</v>
      </c>
      <c r="Q5862" s="5" t="s">
        <v>355</v>
      </c>
    </row>
    <row r="5863" ht="16.5" customHeight="1">
      <c r="O5863" s="5" t="s">
        <v>355</v>
      </c>
      <c r="P5863" s="5" t="s">
        <v>355</v>
      </c>
      <c r="Q5863" s="5" t="s">
        <v>355</v>
      </c>
    </row>
    <row r="5864" ht="16.5" customHeight="1">
      <c r="O5864" s="5" t="s">
        <v>355</v>
      </c>
      <c r="P5864" s="5" t="s">
        <v>355</v>
      </c>
      <c r="Q5864" s="5" t="s">
        <v>355</v>
      </c>
    </row>
    <row r="5865" ht="16.5" customHeight="1">
      <c r="O5865" s="5" t="s">
        <v>355</v>
      </c>
      <c r="P5865" s="5" t="s">
        <v>355</v>
      </c>
      <c r="Q5865" s="5" t="s">
        <v>355</v>
      </c>
    </row>
    <row r="5866" ht="16.5" customHeight="1">
      <c r="O5866" s="5" t="s">
        <v>355</v>
      </c>
      <c r="P5866" s="5" t="s">
        <v>355</v>
      </c>
      <c r="Q5866" s="5" t="s">
        <v>355</v>
      </c>
    </row>
    <row r="5867" ht="16.5" customHeight="1">
      <c r="O5867" s="5" t="s">
        <v>355</v>
      </c>
      <c r="P5867" s="5" t="s">
        <v>355</v>
      </c>
      <c r="Q5867" s="5" t="s">
        <v>355</v>
      </c>
    </row>
    <row r="5868" ht="16.5" customHeight="1">
      <c r="O5868" s="5" t="s">
        <v>355</v>
      </c>
      <c r="P5868" s="5" t="s">
        <v>355</v>
      </c>
      <c r="Q5868" s="5" t="s">
        <v>355</v>
      </c>
    </row>
    <row r="5869" ht="16.5" customHeight="1">
      <c r="O5869" s="5" t="s">
        <v>355</v>
      </c>
      <c r="P5869" s="5" t="s">
        <v>355</v>
      </c>
      <c r="Q5869" s="5" t="s">
        <v>355</v>
      </c>
    </row>
    <row r="5870" ht="16.5" customHeight="1">
      <c r="O5870" s="5" t="s">
        <v>355</v>
      </c>
      <c r="P5870" s="5" t="s">
        <v>355</v>
      </c>
      <c r="Q5870" s="5" t="s">
        <v>355</v>
      </c>
    </row>
    <row r="5871" ht="16.5" customHeight="1">
      <c r="O5871" s="5" t="s">
        <v>355</v>
      </c>
      <c r="P5871" s="5" t="s">
        <v>355</v>
      </c>
      <c r="Q5871" s="5" t="s">
        <v>355</v>
      </c>
    </row>
    <row r="5872" ht="16.5" customHeight="1">
      <c r="O5872" s="5" t="s">
        <v>355</v>
      </c>
      <c r="P5872" s="5" t="s">
        <v>355</v>
      </c>
      <c r="Q5872" s="5" t="s">
        <v>355</v>
      </c>
    </row>
    <row r="5873" ht="16.5" customHeight="1">
      <c r="O5873" s="5" t="s">
        <v>355</v>
      </c>
      <c r="P5873" s="5" t="s">
        <v>355</v>
      </c>
      <c r="Q5873" s="5" t="s">
        <v>355</v>
      </c>
    </row>
    <row r="5874" ht="16.5" customHeight="1">
      <c r="O5874" s="5" t="s">
        <v>355</v>
      </c>
      <c r="P5874" s="5" t="s">
        <v>355</v>
      </c>
      <c r="Q5874" s="5" t="s">
        <v>355</v>
      </c>
    </row>
    <row r="5875" ht="16.5" customHeight="1">
      <c r="O5875" s="5" t="s">
        <v>355</v>
      </c>
      <c r="P5875" s="5" t="s">
        <v>355</v>
      </c>
      <c r="Q5875" s="5" t="s">
        <v>355</v>
      </c>
    </row>
    <row r="5876" ht="16.5" customHeight="1">
      <c r="O5876" s="5" t="s">
        <v>355</v>
      </c>
      <c r="P5876" s="5" t="s">
        <v>355</v>
      </c>
      <c r="Q5876" s="5" t="s">
        <v>355</v>
      </c>
    </row>
    <row r="5877" ht="16.5" customHeight="1">
      <c r="O5877" s="5" t="s">
        <v>355</v>
      </c>
      <c r="P5877" s="5" t="s">
        <v>355</v>
      </c>
      <c r="Q5877" s="5" t="s">
        <v>355</v>
      </c>
    </row>
    <row r="5878" ht="16.5" customHeight="1">
      <c r="O5878" s="5" t="s">
        <v>355</v>
      </c>
      <c r="P5878" s="5" t="s">
        <v>355</v>
      </c>
      <c r="Q5878" s="5" t="s">
        <v>355</v>
      </c>
    </row>
    <row r="5879" ht="16.5" customHeight="1">
      <c r="O5879" s="5" t="s">
        <v>355</v>
      </c>
      <c r="P5879" s="5" t="s">
        <v>355</v>
      </c>
      <c r="Q5879" s="5" t="s">
        <v>355</v>
      </c>
    </row>
    <row r="5880" ht="16.5" customHeight="1">
      <c r="O5880" s="5" t="s">
        <v>355</v>
      </c>
      <c r="P5880" s="5" t="s">
        <v>355</v>
      </c>
      <c r="Q5880" s="5" t="s">
        <v>355</v>
      </c>
    </row>
    <row r="5881" ht="16.5" customHeight="1">
      <c r="O5881" s="5" t="s">
        <v>355</v>
      </c>
      <c r="P5881" s="5" t="s">
        <v>355</v>
      </c>
      <c r="Q5881" s="5" t="s">
        <v>355</v>
      </c>
    </row>
    <row r="5882" ht="16.5" customHeight="1">
      <c r="O5882" s="5" t="s">
        <v>355</v>
      </c>
      <c r="P5882" s="5" t="s">
        <v>355</v>
      </c>
      <c r="Q5882" s="5" t="s">
        <v>355</v>
      </c>
    </row>
    <row r="5883" ht="16.5" customHeight="1">
      <c r="O5883" s="5" t="s">
        <v>355</v>
      </c>
      <c r="P5883" s="5" t="s">
        <v>355</v>
      </c>
      <c r="Q5883" s="5" t="s">
        <v>355</v>
      </c>
    </row>
    <row r="5884" ht="16.5" customHeight="1">
      <c r="O5884" s="5" t="s">
        <v>355</v>
      </c>
      <c r="P5884" s="5" t="s">
        <v>355</v>
      </c>
      <c r="Q5884" s="5" t="s">
        <v>355</v>
      </c>
    </row>
    <row r="5885" ht="16.5" customHeight="1">
      <c r="O5885" s="5" t="s">
        <v>355</v>
      </c>
      <c r="P5885" s="5" t="s">
        <v>355</v>
      </c>
      <c r="Q5885" s="5" t="s">
        <v>355</v>
      </c>
    </row>
    <row r="5886" ht="16.5" customHeight="1">
      <c r="O5886" s="5" t="s">
        <v>355</v>
      </c>
      <c r="P5886" s="5" t="s">
        <v>355</v>
      </c>
      <c r="Q5886" s="5" t="s">
        <v>355</v>
      </c>
    </row>
    <row r="5887" ht="16.5" customHeight="1">
      <c r="O5887" s="5" t="s">
        <v>355</v>
      </c>
      <c r="P5887" s="5" t="s">
        <v>355</v>
      </c>
      <c r="Q5887" s="5" t="s">
        <v>355</v>
      </c>
    </row>
    <row r="5888" ht="16.5" customHeight="1">
      <c r="O5888" s="5" t="s">
        <v>355</v>
      </c>
      <c r="P5888" s="5" t="s">
        <v>355</v>
      </c>
      <c r="Q5888" s="5" t="s">
        <v>355</v>
      </c>
    </row>
    <row r="5889" ht="16.5" customHeight="1">
      <c r="O5889" s="5" t="s">
        <v>355</v>
      </c>
      <c r="P5889" s="5" t="s">
        <v>355</v>
      </c>
      <c r="Q5889" s="5" t="s">
        <v>355</v>
      </c>
    </row>
    <row r="5890" ht="16.5" customHeight="1">
      <c r="O5890" s="5" t="s">
        <v>355</v>
      </c>
      <c r="P5890" s="5" t="s">
        <v>355</v>
      </c>
      <c r="Q5890" s="5" t="s">
        <v>355</v>
      </c>
    </row>
    <row r="5891" ht="16.5" customHeight="1">
      <c r="O5891" s="5" t="s">
        <v>355</v>
      </c>
      <c r="P5891" s="5" t="s">
        <v>355</v>
      </c>
      <c r="Q5891" s="5" t="s">
        <v>355</v>
      </c>
    </row>
    <row r="5892" ht="16.5" customHeight="1">
      <c r="O5892" s="5" t="s">
        <v>355</v>
      </c>
      <c r="P5892" s="5" t="s">
        <v>355</v>
      </c>
      <c r="Q5892" s="5" t="s">
        <v>355</v>
      </c>
    </row>
    <row r="5893" ht="16.5" customHeight="1">
      <c r="O5893" s="5" t="s">
        <v>355</v>
      </c>
      <c r="P5893" s="5" t="s">
        <v>355</v>
      </c>
      <c r="Q5893" s="5" t="s">
        <v>355</v>
      </c>
    </row>
    <row r="5894" ht="16.5" customHeight="1">
      <c r="O5894" s="5" t="s">
        <v>355</v>
      </c>
      <c r="P5894" s="5" t="s">
        <v>355</v>
      </c>
      <c r="Q5894" s="5" t="s">
        <v>355</v>
      </c>
    </row>
    <row r="5895" ht="16.5" customHeight="1">
      <c r="O5895" s="5" t="s">
        <v>355</v>
      </c>
      <c r="P5895" s="5" t="s">
        <v>355</v>
      </c>
      <c r="Q5895" s="5" t="s">
        <v>355</v>
      </c>
    </row>
    <row r="5896" ht="16.5" customHeight="1">
      <c r="O5896" s="5" t="s">
        <v>355</v>
      </c>
      <c r="P5896" s="5" t="s">
        <v>355</v>
      </c>
      <c r="Q5896" s="5" t="s">
        <v>355</v>
      </c>
    </row>
    <row r="5897" ht="16.5" customHeight="1">
      <c r="O5897" s="5" t="s">
        <v>355</v>
      </c>
      <c r="P5897" s="5" t="s">
        <v>355</v>
      </c>
      <c r="Q5897" s="5" t="s">
        <v>355</v>
      </c>
    </row>
    <row r="5898" ht="16.5" customHeight="1">
      <c r="O5898" s="5" t="s">
        <v>355</v>
      </c>
      <c r="P5898" s="5" t="s">
        <v>355</v>
      </c>
      <c r="Q5898" s="5" t="s">
        <v>355</v>
      </c>
    </row>
    <row r="5899" ht="16.5" customHeight="1">
      <c r="O5899" s="5" t="s">
        <v>355</v>
      </c>
      <c r="P5899" s="5" t="s">
        <v>355</v>
      </c>
      <c r="Q5899" s="5" t="s">
        <v>355</v>
      </c>
    </row>
    <row r="5900" ht="16.5" customHeight="1">
      <c r="O5900" s="5" t="s">
        <v>355</v>
      </c>
      <c r="P5900" s="5" t="s">
        <v>355</v>
      </c>
      <c r="Q5900" s="5" t="s">
        <v>355</v>
      </c>
    </row>
    <row r="5901" ht="16.5" customHeight="1">
      <c r="O5901" s="5" t="s">
        <v>355</v>
      </c>
      <c r="P5901" s="5" t="s">
        <v>355</v>
      </c>
      <c r="Q5901" s="5" t="s">
        <v>355</v>
      </c>
    </row>
    <row r="5902" ht="16.5" customHeight="1">
      <c r="O5902" s="5" t="s">
        <v>355</v>
      </c>
      <c r="P5902" s="5" t="s">
        <v>355</v>
      </c>
      <c r="Q5902" s="5" t="s">
        <v>355</v>
      </c>
    </row>
    <row r="5903" ht="16.5" customHeight="1">
      <c r="O5903" s="5" t="s">
        <v>355</v>
      </c>
      <c r="P5903" s="5" t="s">
        <v>355</v>
      </c>
      <c r="Q5903" s="5" t="s">
        <v>355</v>
      </c>
    </row>
    <row r="5904" ht="16.5" customHeight="1">
      <c r="O5904" s="5" t="s">
        <v>355</v>
      </c>
      <c r="P5904" s="5" t="s">
        <v>355</v>
      </c>
      <c r="Q5904" s="5" t="s">
        <v>355</v>
      </c>
    </row>
    <row r="5905" ht="16.5" customHeight="1">
      <c r="O5905" s="5" t="s">
        <v>355</v>
      </c>
      <c r="P5905" s="5" t="s">
        <v>355</v>
      </c>
      <c r="Q5905" s="5" t="s">
        <v>355</v>
      </c>
    </row>
    <row r="5906" ht="16.5" customHeight="1">
      <c r="O5906" s="5" t="s">
        <v>355</v>
      </c>
      <c r="P5906" s="5" t="s">
        <v>355</v>
      </c>
      <c r="Q5906" s="5" t="s">
        <v>355</v>
      </c>
    </row>
    <row r="5907" ht="16.5" customHeight="1">
      <c r="O5907" s="5" t="s">
        <v>355</v>
      </c>
      <c r="P5907" s="5" t="s">
        <v>355</v>
      </c>
      <c r="Q5907" s="5" t="s">
        <v>355</v>
      </c>
    </row>
    <row r="5908" ht="16.5" customHeight="1">
      <c r="O5908" s="5" t="s">
        <v>355</v>
      </c>
      <c r="P5908" s="5" t="s">
        <v>355</v>
      </c>
      <c r="Q5908" s="5" t="s">
        <v>355</v>
      </c>
    </row>
    <row r="5909" ht="16.5" customHeight="1">
      <c r="O5909" s="5" t="s">
        <v>355</v>
      </c>
      <c r="P5909" s="5" t="s">
        <v>355</v>
      </c>
      <c r="Q5909" s="5" t="s">
        <v>355</v>
      </c>
    </row>
    <row r="5910" ht="16.5" customHeight="1">
      <c r="O5910" s="5" t="s">
        <v>355</v>
      </c>
      <c r="P5910" s="5" t="s">
        <v>355</v>
      </c>
      <c r="Q5910" s="5" t="s">
        <v>355</v>
      </c>
    </row>
    <row r="5911" ht="16.5" customHeight="1">
      <c r="O5911" s="5" t="s">
        <v>355</v>
      </c>
      <c r="P5911" s="5" t="s">
        <v>355</v>
      </c>
      <c r="Q5911" s="5" t="s">
        <v>355</v>
      </c>
    </row>
    <row r="5912" ht="16.5" customHeight="1">
      <c r="O5912" s="5" t="s">
        <v>355</v>
      </c>
      <c r="P5912" s="5" t="s">
        <v>355</v>
      </c>
      <c r="Q5912" s="5" t="s">
        <v>355</v>
      </c>
    </row>
    <row r="5913" ht="16.5" customHeight="1">
      <c r="O5913" s="5" t="s">
        <v>355</v>
      </c>
      <c r="P5913" s="5" t="s">
        <v>355</v>
      </c>
      <c r="Q5913" s="5" t="s">
        <v>355</v>
      </c>
    </row>
    <row r="5914" ht="16.5" customHeight="1">
      <c r="O5914" s="5" t="s">
        <v>355</v>
      </c>
      <c r="P5914" s="5" t="s">
        <v>355</v>
      </c>
      <c r="Q5914" s="5" t="s">
        <v>355</v>
      </c>
    </row>
    <row r="5915" ht="16.5" customHeight="1">
      <c r="O5915" s="5" t="s">
        <v>355</v>
      </c>
      <c r="P5915" s="5" t="s">
        <v>355</v>
      </c>
      <c r="Q5915" s="5" t="s">
        <v>355</v>
      </c>
    </row>
    <row r="5916" ht="16.5" customHeight="1">
      <c r="O5916" s="5" t="s">
        <v>355</v>
      </c>
      <c r="P5916" s="5" t="s">
        <v>355</v>
      </c>
      <c r="Q5916" s="5" t="s">
        <v>355</v>
      </c>
    </row>
    <row r="5917" ht="16.5" customHeight="1">
      <c r="O5917" s="5" t="s">
        <v>355</v>
      </c>
      <c r="P5917" s="5" t="s">
        <v>355</v>
      </c>
      <c r="Q5917" s="5" t="s">
        <v>355</v>
      </c>
    </row>
    <row r="5918" ht="16.5" customHeight="1">
      <c r="O5918" s="5" t="s">
        <v>355</v>
      </c>
      <c r="P5918" s="5" t="s">
        <v>355</v>
      </c>
      <c r="Q5918" s="5" t="s">
        <v>355</v>
      </c>
    </row>
    <row r="5919" ht="16.5" customHeight="1">
      <c r="O5919" s="5" t="s">
        <v>355</v>
      </c>
      <c r="P5919" s="5" t="s">
        <v>355</v>
      </c>
      <c r="Q5919" s="5" t="s">
        <v>355</v>
      </c>
    </row>
    <row r="5920" ht="16.5" customHeight="1">
      <c r="O5920" s="5" t="s">
        <v>355</v>
      </c>
      <c r="P5920" s="5" t="s">
        <v>355</v>
      </c>
      <c r="Q5920" s="5" t="s">
        <v>355</v>
      </c>
    </row>
    <row r="5921" ht="16.5" customHeight="1">
      <c r="O5921" s="5" t="s">
        <v>355</v>
      </c>
      <c r="P5921" s="5" t="s">
        <v>355</v>
      </c>
      <c r="Q5921" s="5" t="s">
        <v>355</v>
      </c>
    </row>
    <row r="5922" ht="16.5" customHeight="1">
      <c r="O5922" s="5" t="s">
        <v>355</v>
      </c>
      <c r="P5922" s="5" t="s">
        <v>355</v>
      </c>
      <c r="Q5922" s="5" t="s">
        <v>355</v>
      </c>
    </row>
    <row r="5923" ht="16.5" customHeight="1">
      <c r="O5923" s="5" t="s">
        <v>355</v>
      </c>
      <c r="P5923" s="5" t="s">
        <v>355</v>
      </c>
      <c r="Q5923" s="5" t="s">
        <v>355</v>
      </c>
    </row>
    <row r="5924" ht="16.5" customHeight="1">
      <c r="O5924" s="5" t="s">
        <v>355</v>
      </c>
      <c r="P5924" s="5" t="s">
        <v>355</v>
      </c>
      <c r="Q5924" s="5" t="s">
        <v>355</v>
      </c>
    </row>
    <row r="5925" ht="16.5" customHeight="1">
      <c r="O5925" s="5" t="s">
        <v>355</v>
      </c>
      <c r="P5925" s="5" t="s">
        <v>355</v>
      </c>
      <c r="Q5925" s="5" t="s">
        <v>355</v>
      </c>
    </row>
    <row r="5926" ht="16.5" customHeight="1">
      <c r="O5926" s="5" t="s">
        <v>355</v>
      </c>
      <c r="P5926" s="5" t="s">
        <v>355</v>
      </c>
      <c r="Q5926" s="5" t="s">
        <v>355</v>
      </c>
    </row>
    <row r="5927" ht="16.5" customHeight="1">
      <c r="O5927" s="5" t="s">
        <v>355</v>
      </c>
      <c r="P5927" s="5" t="s">
        <v>355</v>
      </c>
      <c r="Q5927" s="5" t="s">
        <v>355</v>
      </c>
    </row>
    <row r="5928" ht="16.5" customHeight="1">
      <c r="O5928" s="5" t="s">
        <v>355</v>
      </c>
      <c r="P5928" s="5" t="s">
        <v>355</v>
      </c>
      <c r="Q5928" s="5" t="s">
        <v>355</v>
      </c>
    </row>
    <row r="5929" ht="16.5" customHeight="1">
      <c r="O5929" s="5" t="s">
        <v>355</v>
      </c>
      <c r="P5929" s="5" t="s">
        <v>355</v>
      </c>
      <c r="Q5929" s="5" t="s">
        <v>355</v>
      </c>
    </row>
    <row r="5930" ht="16.5" customHeight="1">
      <c r="O5930" s="5" t="s">
        <v>355</v>
      </c>
      <c r="P5930" s="5" t="s">
        <v>355</v>
      </c>
      <c r="Q5930" s="5" t="s">
        <v>355</v>
      </c>
    </row>
    <row r="5931" ht="16.5" customHeight="1">
      <c r="O5931" s="5" t="s">
        <v>355</v>
      </c>
      <c r="P5931" s="5" t="s">
        <v>355</v>
      </c>
      <c r="Q5931" s="5" t="s">
        <v>355</v>
      </c>
    </row>
    <row r="5932" ht="16.5" customHeight="1">
      <c r="O5932" s="5" t="s">
        <v>355</v>
      </c>
      <c r="P5932" s="5" t="s">
        <v>355</v>
      </c>
      <c r="Q5932" s="5" t="s">
        <v>355</v>
      </c>
    </row>
    <row r="5933" ht="16.5" customHeight="1">
      <c r="O5933" s="5" t="s">
        <v>355</v>
      </c>
      <c r="P5933" s="5" t="s">
        <v>355</v>
      </c>
      <c r="Q5933" s="5" t="s">
        <v>355</v>
      </c>
    </row>
    <row r="5934" ht="16.5" customHeight="1">
      <c r="O5934" s="5" t="s">
        <v>355</v>
      </c>
      <c r="P5934" s="5" t="s">
        <v>355</v>
      </c>
      <c r="Q5934" s="5" t="s">
        <v>355</v>
      </c>
    </row>
    <row r="5935" ht="16.5" customHeight="1">
      <c r="O5935" s="5" t="s">
        <v>355</v>
      </c>
      <c r="P5935" s="5" t="s">
        <v>355</v>
      </c>
      <c r="Q5935" s="5" t="s">
        <v>355</v>
      </c>
    </row>
    <row r="5936" ht="16.5" customHeight="1">
      <c r="O5936" s="5" t="s">
        <v>355</v>
      </c>
      <c r="P5936" s="5" t="s">
        <v>355</v>
      </c>
      <c r="Q5936" s="5" t="s">
        <v>355</v>
      </c>
    </row>
    <row r="5937" ht="16.5" customHeight="1">
      <c r="O5937" s="5" t="s">
        <v>355</v>
      </c>
      <c r="P5937" s="5" t="s">
        <v>355</v>
      </c>
      <c r="Q5937" s="5" t="s">
        <v>355</v>
      </c>
    </row>
    <row r="5938" ht="16.5" customHeight="1">
      <c r="O5938" s="5" t="s">
        <v>355</v>
      </c>
      <c r="P5938" s="5" t="s">
        <v>355</v>
      </c>
      <c r="Q5938" s="5" t="s">
        <v>355</v>
      </c>
    </row>
    <row r="5939" ht="16.5" customHeight="1">
      <c r="O5939" s="5" t="s">
        <v>355</v>
      </c>
      <c r="P5939" s="5" t="s">
        <v>355</v>
      </c>
      <c r="Q5939" s="5" t="s">
        <v>355</v>
      </c>
    </row>
    <row r="5940" ht="16.5" customHeight="1">
      <c r="O5940" s="5" t="s">
        <v>355</v>
      </c>
      <c r="P5940" s="5" t="s">
        <v>355</v>
      </c>
      <c r="Q5940" s="5" t="s">
        <v>355</v>
      </c>
    </row>
    <row r="5941" ht="16.5" customHeight="1">
      <c r="O5941" s="5" t="s">
        <v>355</v>
      </c>
      <c r="P5941" s="5" t="s">
        <v>355</v>
      </c>
      <c r="Q5941" s="5" t="s">
        <v>355</v>
      </c>
    </row>
    <row r="5942" ht="16.5" customHeight="1">
      <c r="O5942" s="5" t="s">
        <v>355</v>
      </c>
      <c r="P5942" s="5" t="s">
        <v>355</v>
      </c>
      <c r="Q5942" s="5" t="s">
        <v>355</v>
      </c>
    </row>
    <row r="5943" ht="16.5" customHeight="1">
      <c r="O5943" s="5" t="s">
        <v>355</v>
      </c>
      <c r="P5943" s="5" t="s">
        <v>355</v>
      </c>
      <c r="Q5943" s="5" t="s">
        <v>355</v>
      </c>
    </row>
    <row r="5944" ht="16.5" customHeight="1">
      <c r="O5944" s="5" t="s">
        <v>355</v>
      </c>
      <c r="P5944" s="5" t="s">
        <v>355</v>
      </c>
      <c r="Q5944" s="5" t="s">
        <v>355</v>
      </c>
    </row>
    <row r="5945" ht="16.5" customHeight="1">
      <c r="O5945" s="5" t="s">
        <v>355</v>
      </c>
      <c r="P5945" s="5" t="s">
        <v>355</v>
      </c>
      <c r="Q5945" s="5" t="s">
        <v>355</v>
      </c>
    </row>
    <row r="5946" ht="16.5" customHeight="1">
      <c r="O5946" s="5" t="s">
        <v>355</v>
      </c>
      <c r="P5946" s="5" t="s">
        <v>355</v>
      </c>
      <c r="Q5946" s="5" t="s">
        <v>355</v>
      </c>
    </row>
    <row r="5947" ht="16.5" customHeight="1">
      <c r="O5947" s="5" t="s">
        <v>355</v>
      </c>
      <c r="P5947" s="5" t="s">
        <v>355</v>
      </c>
      <c r="Q5947" s="5" t="s">
        <v>355</v>
      </c>
    </row>
    <row r="5948" ht="16.5" customHeight="1">
      <c r="O5948" s="5" t="s">
        <v>355</v>
      </c>
      <c r="P5948" s="5" t="s">
        <v>355</v>
      </c>
      <c r="Q5948" s="5" t="s">
        <v>355</v>
      </c>
    </row>
    <row r="5949" ht="16.5" customHeight="1">
      <c r="O5949" s="5" t="s">
        <v>355</v>
      </c>
      <c r="P5949" s="5" t="s">
        <v>355</v>
      </c>
      <c r="Q5949" s="5" t="s">
        <v>355</v>
      </c>
    </row>
    <row r="5950" ht="16.5" customHeight="1">
      <c r="O5950" s="5" t="s">
        <v>355</v>
      </c>
      <c r="P5950" s="5" t="s">
        <v>355</v>
      </c>
      <c r="Q5950" s="5" t="s">
        <v>355</v>
      </c>
    </row>
    <row r="5951" ht="16.5" customHeight="1">
      <c r="O5951" s="5" t="s">
        <v>355</v>
      </c>
      <c r="P5951" s="5" t="s">
        <v>355</v>
      </c>
      <c r="Q5951" s="5" t="s">
        <v>355</v>
      </c>
    </row>
    <row r="5952" ht="16.5" customHeight="1">
      <c r="O5952" s="5" t="s">
        <v>355</v>
      </c>
      <c r="P5952" s="5" t="s">
        <v>355</v>
      </c>
      <c r="Q5952" s="5" t="s">
        <v>355</v>
      </c>
    </row>
    <row r="5953" ht="16.5" customHeight="1">
      <c r="O5953" s="5" t="s">
        <v>355</v>
      </c>
      <c r="P5953" s="5" t="s">
        <v>355</v>
      </c>
      <c r="Q5953" s="5" t="s">
        <v>355</v>
      </c>
    </row>
    <row r="5954" ht="16.5" customHeight="1">
      <c r="O5954" s="5" t="s">
        <v>355</v>
      </c>
      <c r="P5954" s="5" t="s">
        <v>355</v>
      </c>
      <c r="Q5954" s="5" t="s">
        <v>355</v>
      </c>
    </row>
    <row r="5955" ht="16.5" customHeight="1">
      <c r="O5955" s="5" t="s">
        <v>355</v>
      </c>
      <c r="P5955" s="5" t="s">
        <v>355</v>
      </c>
      <c r="Q5955" s="5" t="s">
        <v>355</v>
      </c>
    </row>
    <row r="5956" ht="16.5" customHeight="1">
      <c r="O5956" s="5" t="s">
        <v>355</v>
      </c>
      <c r="P5956" s="5" t="s">
        <v>355</v>
      </c>
      <c r="Q5956" s="5" t="s">
        <v>355</v>
      </c>
    </row>
    <row r="5957" ht="16.5" customHeight="1">
      <c r="O5957" s="5" t="s">
        <v>355</v>
      </c>
      <c r="P5957" s="5" t="s">
        <v>355</v>
      </c>
      <c r="Q5957" s="5" t="s">
        <v>355</v>
      </c>
    </row>
    <row r="5958" ht="16.5" customHeight="1">
      <c r="O5958" s="5" t="s">
        <v>355</v>
      </c>
      <c r="P5958" s="5" t="s">
        <v>355</v>
      </c>
      <c r="Q5958" s="5" t="s">
        <v>355</v>
      </c>
    </row>
    <row r="5959" ht="16.5" customHeight="1">
      <c r="O5959" s="5" t="s">
        <v>355</v>
      </c>
      <c r="P5959" s="5" t="s">
        <v>355</v>
      </c>
      <c r="Q5959" s="5" t="s">
        <v>355</v>
      </c>
    </row>
    <row r="5960" ht="16.5" customHeight="1">
      <c r="O5960" s="5" t="s">
        <v>355</v>
      </c>
      <c r="P5960" s="5" t="s">
        <v>355</v>
      </c>
      <c r="Q5960" s="5" t="s">
        <v>355</v>
      </c>
    </row>
    <row r="5961" ht="16.5" customHeight="1">
      <c r="O5961" s="5" t="s">
        <v>355</v>
      </c>
      <c r="P5961" s="5" t="s">
        <v>355</v>
      </c>
      <c r="Q5961" s="5" t="s">
        <v>355</v>
      </c>
    </row>
    <row r="5962" ht="16.5" customHeight="1">
      <c r="O5962" s="5" t="s">
        <v>355</v>
      </c>
      <c r="P5962" s="5" t="s">
        <v>355</v>
      </c>
      <c r="Q5962" s="5" t="s">
        <v>355</v>
      </c>
    </row>
    <row r="5963" ht="16.5" customHeight="1">
      <c r="O5963" s="5" t="s">
        <v>355</v>
      </c>
      <c r="P5963" s="5" t="s">
        <v>355</v>
      </c>
      <c r="Q5963" s="5" t="s">
        <v>355</v>
      </c>
    </row>
    <row r="5964" ht="16.5" customHeight="1">
      <c r="O5964" s="5" t="s">
        <v>355</v>
      </c>
      <c r="P5964" s="5" t="s">
        <v>355</v>
      </c>
      <c r="Q5964" s="5" t="s">
        <v>355</v>
      </c>
    </row>
    <row r="5965" ht="16.5" customHeight="1">
      <c r="O5965" s="5" t="s">
        <v>355</v>
      </c>
      <c r="P5965" s="5" t="s">
        <v>355</v>
      </c>
      <c r="Q5965" s="5" t="s">
        <v>355</v>
      </c>
    </row>
    <row r="5966" ht="16.5" customHeight="1">
      <c r="O5966" s="5" t="s">
        <v>355</v>
      </c>
      <c r="P5966" s="5" t="s">
        <v>355</v>
      </c>
      <c r="Q5966" s="5" t="s">
        <v>355</v>
      </c>
    </row>
    <row r="5967" ht="16.5" customHeight="1">
      <c r="O5967" s="5" t="s">
        <v>355</v>
      </c>
      <c r="P5967" s="5" t="s">
        <v>355</v>
      </c>
      <c r="Q5967" s="5" t="s">
        <v>355</v>
      </c>
    </row>
    <row r="5968" ht="16.5" customHeight="1">
      <c r="O5968" s="5" t="s">
        <v>355</v>
      </c>
      <c r="P5968" s="5" t="s">
        <v>355</v>
      </c>
      <c r="Q5968" s="5" t="s">
        <v>355</v>
      </c>
    </row>
    <row r="5969" ht="16.5" customHeight="1">
      <c r="O5969" s="5" t="s">
        <v>355</v>
      </c>
      <c r="P5969" s="5" t="s">
        <v>355</v>
      </c>
      <c r="Q5969" s="5" t="s">
        <v>355</v>
      </c>
    </row>
    <row r="5970" ht="16.5" customHeight="1">
      <c r="O5970" s="5" t="s">
        <v>355</v>
      </c>
      <c r="P5970" s="5" t="s">
        <v>355</v>
      </c>
      <c r="Q5970" s="5" t="s">
        <v>355</v>
      </c>
    </row>
    <row r="5971" ht="16.5" customHeight="1">
      <c r="O5971" s="5" t="s">
        <v>355</v>
      </c>
      <c r="P5971" s="5" t="s">
        <v>355</v>
      </c>
      <c r="Q5971" s="5" t="s">
        <v>355</v>
      </c>
    </row>
    <row r="5972" ht="16.5" customHeight="1">
      <c r="O5972" s="5" t="s">
        <v>355</v>
      </c>
      <c r="P5972" s="5" t="s">
        <v>355</v>
      </c>
      <c r="Q5972" s="5" t="s">
        <v>355</v>
      </c>
    </row>
    <row r="5973" ht="16.5" customHeight="1">
      <c r="O5973" s="5" t="s">
        <v>355</v>
      </c>
      <c r="P5973" s="5" t="s">
        <v>355</v>
      </c>
      <c r="Q5973" s="5" t="s">
        <v>355</v>
      </c>
    </row>
    <row r="5974" ht="16.5" customHeight="1">
      <c r="O5974" s="5" t="s">
        <v>355</v>
      </c>
      <c r="P5974" s="5" t="s">
        <v>355</v>
      </c>
      <c r="Q5974" s="5" t="s">
        <v>355</v>
      </c>
    </row>
    <row r="5975" ht="16.5" customHeight="1">
      <c r="O5975" s="5" t="s">
        <v>355</v>
      </c>
      <c r="P5975" s="5" t="s">
        <v>355</v>
      </c>
      <c r="Q5975" s="5" t="s">
        <v>355</v>
      </c>
    </row>
    <row r="5976" ht="16.5" customHeight="1">
      <c r="O5976" s="5" t="s">
        <v>355</v>
      </c>
      <c r="P5976" s="5" t="s">
        <v>355</v>
      </c>
      <c r="Q5976" s="5" t="s">
        <v>355</v>
      </c>
    </row>
    <row r="5977" ht="16.5" customHeight="1">
      <c r="O5977" s="5" t="s">
        <v>355</v>
      </c>
      <c r="P5977" s="5" t="s">
        <v>355</v>
      </c>
      <c r="Q5977" s="5" t="s">
        <v>355</v>
      </c>
    </row>
    <row r="5978" ht="16.5" customHeight="1">
      <c r="O5978" s="5" t="s">
        <v>355</v>
      </c>
      <c r="P5978" s="5" t="s">
        <v>355</v>
      </c>
      <c r="Q5978" s="5" t="s">
        <v>355</v>
      </c>
    </row>
    <row r="5979" ht="16.5" customHeight="1">
      <c r="O5979" s="5" t="s">
        <v>355</v>
      </c>
      <c r="P5979" s="5" t="s">
        <v>355</v>
      </c>
      <c r="Q5979" s="5" t="s">
        <v>355</v>
      </c>
    </row>
    <row r="5980" ht="16.5" customHeight="1">
      <c r="O5980" s="5" t="s">
        <v>355</v>
      </c>
      <c r="P5980" s="5" t="s">
        <v>355</v>
      </c>
      <c r="Q5980" s="5" t="s">
        <v>355</v>
      </c>
    </row>
    <row r="5981" ht="16.5" customHeight="1">
      <c r="O5981" s="5" t="s">
        <v>355</v>
      </c>
      <c r="P5981" s="5" t="s">
        <v>355</v>
      </c>
      <c r="Q5981" s="5" t="s">
        <v>355</v>
      </c>
    </row>
    <row r="5982" ht="16.5" customHeight="1">
      <c r="O5982" s="5" t="s">
        <v>355</v>
      </c>
      <c r="P5982" s="5" t="s">
        <v>355</v>
      </c>
      <c r="Q5982" s="5" t="s">
        <v>355</v>
      </c>
    </row>
    <row r="5983" ht="16.5" customHeight="1">
      <c r="O5983" s="5" t="s">
        <v>355</v>
      </c>
      <c r="P5983" s="5" t="s">
        <v>355</v>
      </c>
      <c r="Q5983" s="5" t="s">
        <v>355</v>
      </c>
    </row>
    <row r="5984" ht="16.5" customHeight="1">
      <c r="O5984" s="5" t="s">
        <v>355</v>
      </c>
      <c r="P5984" s="5" t="s">
        <v>355</v>
      </c>
      <c r="Q5984" s="5" t="s">
        <v>355</v>
      </c>
    </row>
    <row r="5985" ht="16.5" customHeight="1">
      <c r="O5985" s="5" t="s">
        <v>355</v>
      </c>
      <c r="P5985" s="5" t="s">
        <v>355</v>
      </c>
      <c r="Q5985" s="5" t="s">
        <v>355</v>
      </c>
    </row>
    <row r="5986" ht="16.5" customHeight="1">
      <c r="O5986" s="5" t="s">
        <v>355</v>
      </c>
      <c r="P5986" s="5" t="s">
        <v>355</v>
      </c>
      <c r="Q5986" s="5" t="s">
        <v>355</v>
      </c>
    </row>
    <row r="5987" ht="16.5" customHeight="1">
      <c r="O5987" s="5" t="s">
        <v>355</v>
      </c>
      <c r="P5987" s="5" t="s">
        <v>355</v>
      </c>
      <c r="Q5987" s="5" t="s">
        <v>355</v>
      </c>
    </row>
    <row r="5988" ht="16.5" customHeight="1">
      <c r="O5988" s="5" t="s">
        <v>355</v>
      </c>
      <c r="P5988" s="5" t="s">
        <v>355</v>
      </c>
      <c r="Q5988" s="5" t="s">
        <v>355</v>
      </c>
    </row>
    <row r="5989" ht="16.5" customHeight="1">
      <c r="O5989" s="5" t="s">
        <v>355</v>
      </c>
      <c r="P5989" s="5" t="s">
        <v>355</v>
      </c>
      <c r="Q5989" s="5" t="s">
        <v>355</v>
      </c>
    </row>
    <row r="5990" ht="16.5" customHeight="1">
      <c r="O5990" s="5" t="s">
        <v>355</v>
      </c>
      <c r="P5990" s="5" t="s">
        <v>355</v>
      </c>
      <c r="Q5990" s="5" t="s">
        <v>355</v>
      </c>
    </row>
    <row r="5991" ht="16.5" customHeight="1">
      <c r="O5991" s="5" t="s">
        <v>355</v>
      </c>
      <c r="P5991" s="5" t="s">
        <v>355</v>
      </c>
      <c r="Q5991" s="5" t="s">
        <v>355</v>
      </c>
    </row>
    <row r="5992" ht="16.5" customHeight="1">
      <c r="O5992" s="5" t="s">
        <v>355</v>
      </c>
      <c r="P5992" s="5" t="s">
        <v>355</v>
      </c>
      <c r="Q5992" s="5" t="s">
        <v>355</v>
      </c>
    </row>
    <row r="5993" ht="16.5" customHeight="1">
      <c r="O5993" s="5" t="s">
        <v>355</v>
      </c>
      <c r="P5993" s="5" t="s">
        <v>355</v>
      </c>
      <c r="Q5993" s="5" t="s">
        <v>355</v>
      </c>
    </row>
    <row r="5994" ht="16.5" customHeight="1">
      <c r="O5994" s="5" t="s">
        <v>355</v>
      </c>
      <c r="P5994" s="5" t="s">
        <v>355</v>
      </c>
      <c r="Q5994" s="5" t="s">
        <v>355</v>
      </c>
    </row>
    <row r="5995" ht="16.5" customHeight="1">
      <c r="O5995" s="5" t="s">
        <v>355</v>
      </c>
      <c r="P5995" s="5" t="s">
        <v>355</v>
      </c>
      <c r="Q5995" s="5" t="s">
        <v>355</v>
      </c>
    </row>
    <row r="5996" ht="16.5" customHeight="1">
      <c r="O5996" s="5" t="s">
        <v>355</v>
      </c>
      <c r="P5996" s="5" t="s">
        <v>355</v>
      </c>
      <c r="Q5996" s="5" t="s">
        <v>355</v>
      </c>
    </row>
    <row r="5997" ht="16.5" customHeight="1">
      <c r="O5997" s="5" t="s">
        <v>355</v>
      </c>
      <c r="P5997" s="5" t="s">
        <v>355</v>
      </c>
      <c r="Q5997" s="5" t="s">
        <v>355</v>
      </c>
    </row>
    <row r="5998" ht="16.5" customHeight="1">
      <c r="O5998" s="5" t="s">
        <v>355</v>
      </c>
      <c r="P5998" s="5" t="s">
        <v>355</v>
      </c>
      <c r="Q5998" s="5" t="s">
        <v>355</v>
      </c>
    </row>
    <row r="5999" ht="16.5" customHeight="1">
      <c r="O5999" s="5" t="s">
        <v>355</v>
      </c>
      <c r="P5999" s="5" t="s">
        <v>355</v>
      </c>
      <c r="Q5999" s="5" t="s">
        <v>355</v>
      </c>
    </row>
    <row r="6000" ht="16.5" customHeight="1">
      <c r="O6000" s="5" t="s">
        <v>355</v>
      </c>
      <c r="P6000" s="5" t="s">
        <v>355</v>
      </c>
      <c r="Q6000" s="5" t="s">
        <v>355</v>
      </c>
    </row>
    <row r="6001" ht="16.5" customHeight="1">
      <c r="O6001" s="5" t="s">
        <v>355</v>
      </c>
      <c r="P6001" s="5" t="s">
        <v>355</v>
      </c>
      <c r="Q6001" s="5" t="s">
        <v>355</v>
      </c>
    </row>
    <row r="6002" ht="16.5" customHeight="1">
      <c r="O6002" s="5" t="s">
        <v>355</v>
      </c>
      <c r="P6002" s="5" t="s">
        <v>355</v>
      </c>
      <c r="Q6002" s="5" t="s">
        <v>355</v>
      </c>
    </row>
    <row r="6003" ht="16.5" customHeight="1">
      <c r="O6003" s="5" t="s">
        <v>355</v>
      </c>
      <c r="P6003" s="5" t="s">
        <v>355</v>
      </c>
      <c r="Q6003" s="5" t="s">
        <v>355</v>
      </c>
    </row>
    <row r="6004" ht="16.5" customHeight="1">
      <c r="O6004" s="5" t="s">
        <v>355</v>
      </c>
      <c r="P6004" s="5" t="s">
        <v>355</v>
      </c>
      <c r="Q6004" s="5" t="s">
        <v>355</v>
      </c>
    </row>
    <row r="6005" ht="16.5" customHeight="1">
      <c r="O6005" s="5" t="s">
        <v>355</v>
      </c>
      <c r="P6005" s="5" t="s">
        <v>355</v>
      </c>
      <c r="Q6005" s="5" t="s">
        <v>355</v>
      </c>
    </row>
    <row r="6006" ht="16.5" customHeight="1">
      <c r="O6006" s="5" t="s">
        <v>355</v>
      </c>
      <c r="P6006" s="5" t="s">
        <v>355</v>
      </c>
      <c r="Q6006" s="5" t="s">
        <v>355</v>
      </c>
    </row>
    <row r="6007" ht="16.5" customHeight="1">
      <c r="O6007" s="5" t="s">
        <v>355</v>
      </c>
      <c r="P6007" s="5" t="s">
        <v>355</v>
      </c>
      <c r="Q6007" s="5" t="s">
        <v>355</v>
      </c>
    </row>
    <row r="6008" ht="16.5" customHeight="1">
      <c r="O6008" s="5" t="s">
        <v>355</v>
      </c>
      <c r="P6008" s="5" t="s">
        <v>355</v>
      </c>
      <c r="Q6008" s="5" t="s">
        <v>355</v>
      </c>
    </row>
    <row r="6009" ht="16.5" customHeight="1">
      <c r="O6009" s="5" t="s">
        <v>355</v>
      </c>
      <c r="P6009" s="5" t="s">
        <v>355</v>
      </c>
      <c r="Q6009" s="5" t="s">
        <v>355</v>
      </c>
    </row>
    <row r="6010" ht="16.5" customHeight="1">
      <c r="O6010" s="5" t="s">
        <v>355</v>
      </c>
      <c r="P6010" s="5" t="s">
        <v>355</v>
      </c>
      <c r="Q6010" s="5" t="s">
        <v>355</v>
      </c>
    </row>
    <row r="6011" ht="16.5" customHeight="1">
      <c r="O6011" s="5" t="s">
        <v>355</v>
      </c>
      <c r="P6011" s="5" t="s">
        <v>355</v>
      </c>
      <c r="Q6011" s="5" t="s">
        <v>355</v>
      </c>
    </row>
    <row r="6012" ht="16.5" customHeight="1">
      <c r="O6012" s="5" t="s">
        <v>355</v>
      </c>
      <c r="P6012" s="5" t="s">
        <v>355</v>
      </c>
      <c r="Q6012" s="5" t="s">
        <v>355</v>
      </c>
    </row>
    <row r="6013" ht="16.5" customHeight="1">
      <c r="O6013" s="5" t="s">
        <v>355</v>
      </c>
      <c r="P6013" s="5" t="s">
        <v>355</v>
      </c>
      <c r="Q6013" s="5" t="s">
        <v>355</v>
      </c>
    </row>
    <row r="6014" ht="16.5" customHeight="1">
      <c r="O6014" s="5" t="s">
        <v>355</v>
      </c>
      <c r="P6014" s="5" t="s">
        <v>355</v>
      </c>
      <c r="Q6014" s="5" t="s">
        <v>355</v>
      </c>
    </row>
    <row r="6015" ht="16.5" customHeight="1">
      <c r="O6015" s="5" t="s">
        <v>355</v>
      </c>
      <c r="P6015" s="5" t="s">
        <v>355</v>
      </c>
      <c r="Q6015" s="5" t="s">
        <v>355</v>
      </c>
    </row>
    <row r="6016" ht="16.5" customHeight="1">
      <c r="O6016" s="5" t="s">
        <v>355</v>
      </c>
      <c r="P6016" s="5" t="s">
        <v>355</v>
      </c>
      <c r="Q6016" s="5" t="s">
        <v>355</v>
      </c>
    </row>
    <row r="6017" ht="16.5" customHeight="1">
      <c r="O6017" s="5" t="s">
        <v>355</v>
      </c>
      <c r="P6017" s="5" t="s">
        <v>355</v>
      </c>
      <c r="Q6017" s="5" t="s">
        <v>355</v>
      </c>
    </row>
    <row r="6018" ht="16.5" customHeight="1">
      <c r="O6018" s="5" t="s">
        <v>355</v>
      </c>
      <c r="P6018" s="5" t="s">
        <v>355</v>
      </c>
      <c r="Q6018" s="5" t="s">
        <v>355</v>
      </c>
    </row>
    <row r="6019" ht="16.5" customHeight="1">
      <c r="O6019" s="5" t="s">
        <v>355</v>
      </c>
      <c r="P6019" s="5" t="s">
        <v>355</v>
      </c>
      <c r="Q6019" s="5" t="s">
        <v>355</v>
      </c>
    </row>
    <row r="6020" ht="16.5" customHeight="1">
      <c r="O6020" s="5" t="s">
        <v>355</v>
      </c>
      <c r="P6020" s="5" t="s">
        <v>355</v>
      </c>
      <c r="Q6020" s="5" t="s">
        <v>355</v>
      </c>
    </row>
    <row r="6021" ht="16.5" customHeight="1">
      <c r="O6021" s="5" t="s">
        <v>355</v>
      </c>
      <c r="P6021" s="5" t="s">
        <v>355</v>
      </c>
      <c r="Q6021" s="5" t="s">
        <v>355</v>
      </c>
    </row>
    <row r="6022" ht="16.5" customHeight="1">
      <c r="O6022" s="5" t="s">
        <v>355</v>
      </c>
      <c r="P6022" s="5" t="s">
        <v>355</v>
      </c>
      <c r="Q6022" s="5" t="s">
        <v>355</v>
      </c>
    </row>
    <row r="6023" ht="16.5" customHeight="1">
      <c r="O6023" s="5" t="s">
        <v>355</v>
      </c>
      <c r="P6023" s="5" t="s">
        <v>355</v>
      </c>
      <c r="Q6023" s="5" t="s">
        <v>355</v>
      </c>
    </row>
    <row r="6024" ht="16.5" customHeight="1">
      <c r="O6024" s="5" t="s">
        <v>355</v>
      </c>
      <c r="P6024" s="5" t="s">
        <v>355</v>
      </c>
      <c r="Q6024" s="5" t="s">
        <v>355</v>
      </c>
    </row>
    <row r="6025" ht="16.5" customHeight="1">
      <c r="O6025" s="5" t="s">
        <v>355</v>
      </c>
      <c r="P6025" s="5" t="s">
        <v>355</v>
      </c>
      <c r="Q6025" s="5" t="s">
        <v>355</v>
      </c>
    </row>
    <row r="6026" ht="16.5" customHeight="1">
      <c r="O6026" s="5" t="s">
        <v>355</v>
      </c>
      <c r="P6026" s="5" t="s">
        <v>355</v>
      </c>
      <c r="Q6026" s="5" t="s">
        <v>355</v>
      </c>
    </row>
    <row r="6027" ht="16.5" customHeight="1">
      <c r="O6027" s="5" t="s">
        <v>355</v>
      </c>
      <c r="P6027" s="5" t="s">
        <v>355</v>
      </c>
      <c r="Q6027" s="5" t="s">
        <v>355</v>
      </c>
    </row>
    <row r="6028" ht="16.5" customHeight="1">
      <c r="O6028" s="5" t="s">
        <v>355</v>
      </c>
      <c r="P6028" s="5" t="s">
        <v>355</v>
      </c>
      <c r="Q6028" s="5" t="s">
        <v>355</v>
      </c>
    </row>
    <row r="6029" ht="16.5" customHeight="1">
      <c r="O6029" s="5" t="s">
        <v>355</v>
      </c>
      <c r="P6029" s="5" t="s">
        <v>355</v>
      </c>
      <c r="Q6029" s="5" t="s">
        <v>355</v>
      </c>
    </row>
    <row r="6030" ht="16.5" customHeight="1">
      <c r="O6030" s="5" t="s">
        <v>355</v>
      </c>
      <c r="P6030" s="5" t="s">
        <v>355</v>
      </c>
      <c r="Q6030" s="5" t="s">
        <v>355</v>
      </c>
    </row>
    <row r="6031" ht="16.5" customHeight="1">
      <c r="O6031" s="5" t="s">
        <v>355</v>
      </c>
      <c r="P6031" s="5" t="s">
        <v>355</v>
      </c>
      <c r="Q6031" s="5" t="s">
        <v>355</v>
      </c>
    </row>
    <row r="6032" ht="16.5" customHeight="1">
      <c r="O6032" s="5" t="s">
        <v>355</v>
      </c>
      <c r="P6032" s="5" t="s">
        <v>355</v>
      </c>
      <c r="Q6032" s="5" t="s">
        <v>355</v>
      </c>
    </row>
    <row r="6033" ht="16.5" customHeight="1">
      <c r="O6033" s="5" t="s">
        <v>355</v>
      </c>
      <c r="P6033" s="5" t="s">
        <v>355</v>
      </c>
      <c r="Q6033" s="5" t="s">
        <v>355</v>
      </c>
    </row>
    <row r="6034" ht="16.5" customHeight="1">
      <c r="O6034" s="5" t="s">
        <v>355</v>
      </c>
      <c r="P6034" s="5" t="s">
        <v>355</v>
      </c>
      <c r="Q6034" s="5" t="s">
        <v>355</v>
      </c>
    </row>
    <row r="6035" ht="16.5" customHeight="1">
      <c r="O6035" s="5" t="s">
        <v>355</v>
      </c>
      <c r="P6035" s="5" t="s">
        <v>355</v>
      </c>
      <c r="Q6035" s="5" t="s">
        <v>355</v>
      </c>
    </row>
    <row r="6036" ht="16.5" customHeight="1">
      <c r="O6036" s="5" t="s">
        <v>355</v>
      </c>
      <c r="P6036" s="5" t="s">
        <v>355</v>
      </c>
      <c r="Q6036" s="5" t="s">
        <v>355</v>
      </c>
    </row>
    <row r="6037" ht="16.5" customHeight="1">
      <c r="O6037" s="5" t="s">
        <v>355</v>
      </c>
      <c r="P6037" s="5" t="s">
        <v>355</v>
      </c>
      <c r="Q6037" s="5" t="s">
        <v>355</v>
      </c>
    </row>
    <row r="6038" ht="16.5" customHeight="1">
      <c r="O6038" s="5" t="s">
        <v>355</v>
      </c>
      <c r="P6038" s="5" t="s">
        <v>355</v>
      </c>
      <c r="Q6038" s="5" t="s">
        <v>355</v>
      </c>
    </row>
    <row r="6039" ht="16.5" customHeight="1">
      <c r="O6039" s="5" t="s">
        <v>355</v>
      </c>
      <c r="P6039" s="5" t="s">
        <v>355</v>
      </c>
      <c r="Q6039" s="5" t="s">
        <v>355</v>
      </c>
    </row>
    <row r="6040" ht="16.5" customHeight="1">
      <c r="O6040" s="5" t="s">
        <v>355</v>
      </c>
      <c r="P6040" s="5" t="s">
        <v>355</v>
      </c>
      <c r="Q6040" s="5" t="s">
        <v>355</v>
      </c>
    </row>
    <row r="6041" ht="16.5" customHeight="1">
      <c r="O6041" s="5" t="s">
        <v>355</v>
      </c>
      <c r="P6041" s="5" t="s">
        <v>355</v>
      </c>
      <c r="Q6041" s="5" t="s">
        <v>355</v>
      </c>
    </row>
    <row r="6042" ht="16.5" customHeight="1">
      <c r="O6042" s="5" t="s">
        <v>355</v>
      </c>
      <c r="P6042" s="5" t="s">
        <v>355</v>
      </c>
      <c r="Q6042" s="5" t="s">
        <v>355</v>
      </c>
    </row>
    <row r="6043" ht="16.5" customHeight="1">
      <c r="O6043" s="5" t="s">
        <v>355</v>
      </c>
      <c r="P6043" s="5" t="s">
        <v>355</v>
      </c>
      <c r="Q6043" s="5" t="s">
        <v>355</v>
      </c>
    </row>
    <row r="6044" ht="16.5" customHeight="1">
      <c r="O6044" s="5" t="s">
        <v>355</v>
      </c>
      <c r="P6044" s="5" t="s">
        <v>355</v>
      </c>
      <c r="Q6044" s="5" t="s">
        <v>355</v>
      </c>
    </row>
    <row r="6045" ht="16.5" customHeight="1">
      <c r="O6045" s="5" t="s">
        <v>355</v>
      </c>
      <c r="P6045" s="5" t="s">
        <v>355</v>
      </c>
      <c r="Q6045" s="5" t="s">
        <v>355</v>
      </c>
    </row>
    <row r="6046" ht="16.5" customHeight="1">
      <c r="O6046" s="5" t="s">
        <v>355</v>
      </c>
      <c r="P6046" s="5" t="s">
        <v>355</v>
      </c>
      <c r="Q6046" s="5" t="s">
        <v>355</v>
      </c>
    </row>
    <row r="6047" ht="16.5" customHeight="1">
      <c r="O6047" s="5" t="s">
        <v>355</v>
      </c>
      <c r="P6047" s="5" t="s">
        <v>355</v>
      </c>
      <c r="Q6047" s="5" t="s">
        <v>355</v>
      </c>
    </row>
    <row r="6048" ht="16.5" customHeight="1">
      <c r="O6048" s="5" t="s">
        <v>355</v>
      </c>
      <c r="P6048" s="5" t="s">
        <v>355</v>
      </c>
      <c r="Q6048" s="5" t="s">
        <v>355</v>
      </c>
    </row>
    <row r="6049" ht="16.5" customHeight="1">
      <c r="O6049" s="5" t="s">
        <v>355</v>
      </c>
      <c r="P6049" s="5" t="s">
        <v>355</v>
      </c>
      <c r="Q6049" s="5" t="s">
        <v>355</v>
      </c>
    </row>
    <row r="6050" ht="16.5" customHeight="1">
      <c r="O6050" s="5" t="s">
        <v>355</v>
      </c>
      <c r="P6050" s="5" t="s">
        <v>355</v>
      </c>
      <c r="Q6050" s="5" t="s">
        <v>355</v>
      </c>
    </row>
    <row r="6051" ht="16.5" customHeight="1">
      <c r="O6051" s="5" t="s">
        <v>355</v>
      </c>
      <c r="P6051" s="5" t="s">
        <v>355</v>
      </c>
      <c r="Q6051" s="5" t="s">
        <v>355</v>
      </c>
    </row>
    <row r="6052" ht="16.5" customHeight="1">
      <c r="O6052" s="5" t="s">
        <v>355</v>
      </c>
      <c r="P6052" s="5" t="s">
        <v>355</v>
      </c>
      <c r="Q6052" s="5" t="s">
        <v>355</v>
      </c>
    </row>
    <row r="6053" ht="16.5" customHeight="1">
      <c r="O6053" s="5" t="s">
        <v>355</v>
      </c>
      <c r="P6053" s="5" t="s">
        <v>355</v>
      </c>
      <c r="Q6053" s="5" t="s">
        <v>355</v>
      </c>
    </row>
    <row r="6054" ht="16.5" customHeight="1">
      <c r="O6054" s="5" t="s">
        <v>355</v>
      </c>
      <c r="P6054" s="5" t="s">
        <v>355</v>
      </c>
      <c r="Q6054" s="5" t="s">
        <v>355</v>
      </c>
    </row>
    <row r="6055" ht="16.5" customHeight="1">
      <c r="O6055" s="5" t="s">
        <v>355</v>
      </c>
      <c r="P6055" s="5" t="s">
        <v>355</v>
      </c>
      <c r="Q6055" s="5" t="s">
        <v>355</v>
      </c>
    </row>
    <row r="6056" ht="16.5" customHeight="1">
      <c r="O6056" s="5" t="s">
        <v>355</v>
      </c>
      <c r="P6056" s="5" t="s">
        <v>355</v>
      </c>
      <c r="Q6056" s="5" t="s">
        <v>355</v>
      </c>
    </row>
    <row r="6057" ht="16.5" customHeight="1">
      <c r="O6057" s="5" t="s">
        <v>355</v>
      </c>
      <c r="P6057" s="5" t="s">
        <v>355</v>
      </c>
      <c r="Q6057" s="5" t="s">
        <v>355</v>
      </c>
    </row>
    <row r="6058" ht="16.5" customHeight="1">
      <c r="O6058" s="5" t="s">
        <v>355</v>
      </c>
      <c r="P6058" s="5" t="s">
        <v>355</v>
      </c>
      <c r="Q6058" s="5" t="s">
        <v>355</v>
      </c>
    </row>
    <row r="6059" ht="16.5" customHeight="1">
      <c r="O6059" s="5" t="s">
        <v>355</v>
      </c>
      <c r="P6059" s="5" t="s">
        <v>355</v>
      </c>
      <c r="Q6059" s="5" t="s">
        <v>355</v>
      </c>
    </row>
    <row r="6060" ht="16.5" customHeight="1">
      <c r="O6060" s="5" t="s">
        <v>355</v>
      </c>
      <c r="P6060" s="5" t="s">
        <v>355</v>
      </c>
      <c r="Q6060" s="5" t="s">
        <v>355</v>
      </c>
    </row>
    <row r="6061" ht="16.5" customHeight="1">
      <c r="O6061" s="5" t="s">
        <v>355</v>
      </c>
      <c r="P6061" s="5" t="s">
        <v>355</v>
      </c>
      <c r="Q6061" s="5" t="s">
        <v>355</v>
      </c>
    </row>
    <row r="6062" ht="16.5" customHeight="1">
      <c r="O6062" s="5" t="s">
        <v>355</v>
      </c>
      <c r="P6062" s="5" t="s">
        <v>355</v>
      </c>
      <c r="Q6062" s="5" t="s">
        <v>355</v>
      </c>
    </row>
    <row r="6063" ht="16.5" customHeight="1">
      <c r="O6063" s="5" t="s">
        <v>355</v>
      </c>
      <c r="P6063" s="5" t="s">
        <v>355</v>
      </c>
      <c r="Q6063" s="5" t="s">
        <v>355</v>
      </c>
    </row>
    <row r="6064" ht="16.5" customHeight="1">
      <c r="O6064" s="5" t="s">
        <v>355</v>
      </c>
      <c r="P6064" s="5" t="s">
        <v>355</v>
      </c>
      <c r="Q6064" s="5" t="s">
        <v>355</v>
      </c>
    </row>
    <row r="6065" ht="16.5" customHeight="1">
      <c r="O6065" s="5" t="s">
        <v>355</v>
      </c>
      <c r="P6065" s="5" t="s">
        <v>355</v>
      </c>
      <c r="Q6065" s="5" t="s">
        <v>355</v>
      </c>
    </row>
    <row r="6066" ht="16.5" customHeight="1">
      <c r="O6066" s="5" t="s">
        <v>355</v>
      </c>
      <c r="P6066" s="5" t="s">
        <v>355</v>
      </c>
      <c r="Q6066" s="5" t="s">
        <v>355</v>
      </c>
    </row>
    <row r="6067" ht="16.5" customHeight="1">
      <c r="O6067" s="5" t="s">
        <v>355</v>
      </c>
      <c r="P6067" s="5" t="s">
        <v>355</v>
      </c>
      <c r="Q6067" s="5" t="s">
        <v>355</v>
      </c>
    </row>
    <row r="6068" ht="16.5" customHeight="1">
      <c r="O6068" s="5" t="s">
        <v>355</v>
      </c>
      <c r="P6068" s="5" t="s">
        <v>355</v>
      </c>
      <c r="Q6068" s="5" t="s">
        <v>355</v>
      </c>
    </row>
    <row r="6069" ht="16.5" customHeight="1">
      <c r="O6069" s="5" t="s">
        <v>355</v>
      </c>
      <c r="P6069" s="5" t="s">
        <v>355</v>
      </c>
      <c r="Q6069" s="5" t="s">
        <v>355</v>
      </c>
    </row>
    <row r="6070" ht="16.5" customHeight="1">
      <c r="O6070" s="5" t="s">
        <v>355</v>
      </c>
      <c r="P6070" s="5" t="s">
        <v>355</v>
      </c>
      <c r="Q6070" s="5" t="s">
        <v>355</v>
      </c>
    </row>
    <row r="6071" ht="16.5" customHeight="1">
      <c r="O6071" s="5" t="s">
        <v>355</v>
      </c>
      <c r="P6071" s="5" t="s">
        <v>355</v>
      </c>
      <c r="Q6071" s="5" t="s">
        <v>355</v>
      </c>
    </row>
    <row r="6072" ht="16.5" customHeight="1">
      <c r="O6072" s="5" t="s">
        <v>355</v>
      </c>
      <c r="P6072" s="5" t="s">
        <v>355</v>
      </c>
      <c r="Q6072" s="5" t="s">
        <v>355</v>
      </c>
    </row>
    <row r="6073" ht="16.5" customHeight="1">
      <c r="O6073" s="5" t="s">
        <v>355</v>
      </c>
      <c r="P6073" s="5" t="s">
        <v>355</v>
      </c>
      <c r="Q6073" s="5" t="s">
        <v>355</v>
      </c>
    </row>
    <row r="6074" ht="16.5" customHeight="1">
      <c r="O6074" s="5" t="s">
        <v>355</v>
      </c>
      <c r="P6074" s="5" t="s">
        <v>355</v>
      </c>
      <c r="Q6074" s="5" t="s">
        <v>355</v>
      </c>
    </row>
    <row r="6075" ht="16.5" customHeight="1">
      <c r="O6075" s="5" t="s">
        <v>355</v>
      </c>
      <c r="P6075" s="5" t="s">
        <v>355</v>
      </c>
      <c r="Q6075" s="5" t="s">
        <v>355</v>
      </c>
    </row>
    <row r="6076" ht="16.5" customHeight="1">
      <c r="O6076" s="5" t="s">
        <v>355</v>
      </c>
      <c r="P6076" s="5" t="s">
        <v>355</v>
      </c>
      <c r="Q6076" s="5" t="s">
        <v>355</v>
      </c>
    </row>
    <row r="6077" ht="16.5" customHeight="1">
      <c r="O6077" s="5" t="s">
        <v>355</v>
      </c>
      <c r="P6077" s="5" t="s">
        <v>355</v>
      </c>
      <c r="Q6077" s="5" t="s">
        <v>355</v>
      </c>
    </row>
    <row r="6078" ht="16.5" customHeight="1">
      <c r="O6078" s="5" t="s">
        <v>355</v>
      </c>
      <c r="P6078" s="5" t="s">
        <v>355</v>
      </c>
      <c r="Q6078" s="5" t="s">
        <v>355</v>
      </c>
    </row>
    <row r="6079" ht="16.5" customHeight="1">
      <c r="O6079" s="5" t="s">
        <v>355</v>
      </c>
      <c r="P6079" s="5" t="s">
        <v>355</v>
      </c>
      <c r="Q6079" s="5" t="s">
        <v>355</v>
      </c>
    </row>
    <row r="6080" ht="16.5" customHeight="1">
      <c r="O6080" s="5" t="s">
        <v>355</v>
      </c>
      <c r="P6080" s="5" t="s">
        <v>355</v>
      </c>
      <c r="Q6080" s="5" t="s">
        <v>355</v>
      </c>
    </row>
    <row r="6081" ht="16.5" customHeight="1">
      <c r="O6081" s="5" t="s">
        <v>355</v>
      </c>
      <c r="P6081" s="5" t="s">
        <v>355</v>
      </c>
      <c r="Q6081" s="5" t="s">
        <v>355</v>
      </c>
    </row>
    <row r="6082" ht="16.5" customHeight="1">
      <c r="O6082" s="5" t="s">
        <v>355</v>
      </c>
      <c r="P6082" s="5" t="s">
        <v>355</v>
      </c>
      <c r="Q6082" s="5" t="s">
        <v>355</v>
      </c>
    </row>
    <row r="6083" ht="16.5" customHeight="1">
      <c r="O6083" s="5" t="s">
        <v>355</v>
      </c>
      <c r="P6083" s="5" t="s">
        <v>355</v>
      </c>
      <c r="Q6083" s="5" t="s">
        <v>355</v>
      </c>
    </row>
    <row r="6084" ht="16.5" customHeight="1">
      <c r="O6084" s="5" t="s">
        <v>355</v>
      </c>
      <c r="P6084" s="5" t="s">
        <v>355</v>
      </c>
      <c r="Q6084" s="5" t="s">
        <v>355</v>
      </c>
    </row>
    <row r="6085" ht="16.5" customHeight="1">
      <c r="O6085" s="5" t="s">
        <v>355</v>
      </c>
      <c r="P6085" s="5" t="s">
        <v>355</v>
      </c>
      <c r="Q6085" s="5" t="s">
        <v>355</v>
      </c>
    </row>
    <row r="6086" ht="16.5" customHeight="1">
      <c r="O6086" s="5" t="s">
        <v>355</v>
      </c>
      <c r="P6086" s="5" t="s">
        <v>355</v>
      </c>
      <c r="Q6086" s="5" t="s">
        <v>355</v>
      </c>
    </row>
    <row r="6087" ht="16.5" customHeight="1">
      <c r="O6087" s="5" t="s">
        <v>355</v>
      </c>
      <c r="P6087" s="5" t="s">
        <v>355</v>
      </c>
      <c r="Q6087" s="5" t="s">
        <v>355</v>
      </c>
    </row>
    <row r="6088" ht="16.5" customHeight="1">
      <c r="O6088" s="5" t="s">
        <v>355</v>
      </c>
      <c r="P6088" s="5" t="s">
        <v>355</v>
      </c>
      <c r="Q6088" s="5" t="s">
        <v>355</v>
      </c>
    </row>
    <row r="6089" ht="16.5" customHeight="1">
      <c r="O6089" s="5" t="s">
        <v>355</v>
      </c>
      <c r="P6089" s="5" t="s">
        <v>355</v>
      </c>
      <c r="Q6089" s="5" t="s">
        <v>355</v>
      </c>
    </row>
    <row r="6090" ht="16.5" customHeight="1">
      <c r="O6090" s="5" t="s">
        <v>355</v>
      </c>
      <c r="P6090" s="5" t="s">
        <v>355</v>
      </c>
      <c r="Q6090" s="5" t="s">
        <v>355</v>
      </c>
    </row>
    <row r="6091" ht="16.5" customHeight="1">
      <c r="O6091" s="5" t="s">
        <v>355</v>
      </c>
      <c r="P6091" s="5" t="s">
        <v>355</v>
      </c>
      <c r="Q6091" s="5" t="s">
        <v>355</v>
      </c>
    </row>
    <row r="6092" ht="16.5" customHeight="1">
      <c r="O6092" s="5" t="s">
        <v>355</v>
      </c>
      <c r="P6092" s="5" t="s">
        <v>355</v>
      </c>
      <c r="Q6092" s="5" t="s">
        <v>355</v>
      </c>
    </row>
    <row r="6093" ht="16.5" customHeight="1">
      <c r="O6093" s="5" t="s">
        <v>355</v>
      </c>
      <c r="P6093" s="5" t="s">
        <v>355</v>
      </c>
      <c r="Q6093" s="5" t="s">
        <v>355</v>
      </c>
    </row>
    <row r="6094" ht="16.5" customHeight="1">
      <c r="O6094" s="5" t="s">
        <v>355</v>
      </c>
      <c r="P6094" s="5" t="s">
        <v>355</v>
      </c>
      <c r="Q6094" s="5" t="s">
        <v>355</v>
      </c>
    </row>
    <row r="6095" ht="16.5" customHeight="1">
      <c r="O6095" s="5" t="s">
        <v>355</v>
      </c>
      <c r="P6095" s="5" t="s">
        <v>355</v>
      </c>
      <c r="Q6095" s="5" t="s">
        <v>355</v>
      </c>
    </row>
    <row r="6096" ht="16.5" customHeight="1">
      <c r="O6096" s="5" t="s">
        <v>355</v>
      </c>
      <c r="P6096" s="5" t="s">
        <v>355</v>
      </c>
      <c r="Q6096" s="5" t="s">
        <v>355</v>
      </c>
    </row>
    <row r="6097" ht="16.5" customHeight="1">
      <c r="O6097" s="5" t="s">
        <v>355</v>
      </c>
      <c r="P6097" s="5" t="s">
        <v>355</v>
      </c>
      <c r="Q6097" s="5" t="s">
        <v>355</v>
      </c>
    </row>
    <row r="6098" ht="16.5" customHeight="1">
      <c r="O6098" s="5" t="s">
        <v>355</v>
      </c>
      <c r="P6098" s="5" t="s">
        <v>355</v>
      </c>
      <c r="Q6098" s="5" t="s">
        <v>355</v>
      </c>
    </row>
    <row r="6099" ht="16.5" customHeight="1">
      <c r="O6099" s="5" t="s">
        <v>355</v>
      </c>
      <c r="P6099" s="5" t="s">
        <v>355</v>
      </c>
      <c r="Q6099" s="5" t="s">
        <v>355</v>
      </c>
    </row>
    <row r="6100" ht="16.5" customHeight="1">
      <c r="O6100" s="5" t="s">
        <v>355</v>
      </c>
      <c r="P6100" s="5" t="s">
        <v>355</v>
      </c>
      <c r="Q6100" s="5" t="s">
        <v>355</v>
      </c>
    </row>
    <row r="6101" ht="16.5" customHeight="1">
      <c r="O6101" s="5" t="s">
        <v>355</v>
      </c>
      <c r="P6101" s="5" t="s">
        <v>355</v>
      </c>
      <c r="Q6101" s="5" t="s">
        <v>355</v>
      </c>
    </row>
    <row r="6102" ht="16.5" customHeight="1">
      <c r="O6102" s="5" t="s">
        <v>355</v>
      </c>
      <c r="P6102" s="5" t="s">
        <v>355</v>
      </c>
      <c r="Q6102" s="5" t="s">
        <v>355</v>
      </c>
    </row>
    <row r="6103" ht="16.5" customHeight="1">
      <c r="O6103" s="5" t="s">
        <v>355</v>
      </c>
      <c r="P6103" s="5" t="s">
        <v>355</v>
      </c>
      <c r="Q6103" s="5" t="s">
        <v>355</v>
      </c>
    </row>
    <row r="6104" ht="16.5" customHeight="1">
      <c r="O6104" s="5" t="s">
        <v>355</v>
      </c>
      <c r="P6104" s="5" t="s">
        <v>355</v>
      </c>
      <c r="Q6104" s="5" t="s">
        <v>355</v>
      </c>
    </row>
    <row r="6105" ht="16.5" customHeight="1">
      <c r="O6105" s="5" t="s">
        <v>355</v>
      </c>
      <c r="P6105" s="5" t="s">
        <v>355</v>
      </c>
      <c r="Q6105" s="5" t="s">
        <v>355</v>
      </c>
    </row>
    <row r="6106" ht="16.5" customHeight="1">
      <c r="O6106" s="5" t="s">
        <v>355</v>
      </c>
      <c r="P6106" s="5" t="s">
        <v>355</v>
      </c>
      <c r="Q6106" s="5" t="s">
        <v>355</v>
      </c>
    </row>
    <row r="6107" ht="16.5" customHeight="1">
      <c r="O6107" s="5" t="s">
        <v>355</v>
      </c>
      <c r="P6107" s="5" t="s">
        <v>355</v>
      </c>
      <c r="Q6107" s="5" t="s">
        <v>355</v>
      </c>
    </row>
    <row r="6108" ht="16.5" customHeight="1">
      <c r="O6108" s="5" t="s">
        <v>355</v>
      </c>
      <c r="P6108" s="5" t="s">
        <v>355</v>
      </c>
      <c r="Q6108" s="5" t="s">
        <v>355</v>
      </c>
    </row>
    <row r="6109" ht="16.5" customHeight="1">
      <c r="O6109" s="5" t="s">
        <v>355</v>
      </c>
      <c r="P6109" s="5" t="s">
        <v>355</v>
      </c>
      <c r="Q6109" s="5" t="s">
        <v>355</v>
      </c>
    </row>
    <row r="6110" ht="16.5" customHeight="1">
      <c r="O6110" s="5" t="s">
        <v>355</v>
      </c>
      <c r="P6110" s="5" t="s">
        <v>355</v>
      </c>
      <c r="Q6110" s="5" t="s">
        <v>355</v>
      </c>
    </row>
    <row r="6111" ht="16.5" customHeight="1">
      <c r="O6111" s="5" t="s">
        <v>355</v>
      </c>
      <c r="P6111" s="5" t="s">
        <v>355</v>
      </c>
      <c r="Q6111" s="5" t="s">
        <v>355</v>
      </c>
    </row>
    <row r="6112" ht="16.5" customHeight="1">
      <c r="O6112" s="5" t="s">
        <v>355</v>
      </c>
      <c r="P6112" s="5" t="s">
        <v>355</v>
      </c>
      <c r="Q6112" s="5" t="s">
        <v>355</v>
      </c>
    </row>
    <row r="6113" ht="16.5" customHeight="1">
      <c r="O6113" s="5" t="s">
        <v>355</v>
      </c>
      <c r="P6113" s="5" t="s">
        <v>355</v>
      </c>
      <c r="Q6113" s="5" t="s">
        <v>355</v>
      </c>
    </row>
    <row r="6114" ht="16.5" customHeight="1">
      <c r="O6114" s="5" t="s">
        <v>355</v>
      </c>
      <c r="P6114" s="5" t="s">
        <v>355</v>
      </c>
      <c r="Q6114" s="5" t="s">
        <v>355</v>
      </c>
    </row>
    <row r="6115" ht="16.5" customHeight="1">
      <c r="O6115" s="5" t="s">
        <v>355</v>
      </c>
      <c r="P6115" s="5" t="s">
        <v>355</v>
      </c>
      <c r="Q6115" s="5" t="s">
        <v>355</v>
      </c>
    </row>
    <row r="6116" ht="16.5" customHeight="1">
      <c r="O6116" s="5" t="s">
        <v>355</v>
      </c>
      <c r="P6116" s="5" t="s">
        <v>355</v>
      </c>
      <c r="Q6116" s="5" t="s">
        <v>355</v>
      </c>
    </row>
    <row r="6117" ht="16.5" customHeight="1">
      <c r="O6117" s="5" t="s">
        <v>355</v>
      </c>
      <c r="P6117" s="5" t="s">
        <v>355</v>
      </c>
      <c r="Q6117" s="5" t="s">
        <v>355</v>
      </c>
    </row>
    <row r="6118" ht="16.5" customHeight="1">
      <c r="O6118" s="5" t="s">
        <v>355</v>
      </c>
      <c r="P6118" s="5" t="s">
        <v>355</v>
      </c>
      <c r="Q6118" s="5" t="s">
        <v>355</v>
      </c>
    </row>
    <row r="6119" ht="16.5" customHeight="1">
      <c r="O6119" s="5" t="s">
        <v>355</v>
      </c>
      <c r="P6119" s="5" t="s">
        <v>355</v>
      </c>
      <c r="Q6119" s="5" t="s">
        <v>355</v>
      </c>
    </row>
    <row r="6120" ht="16.5" customHeight="1">
      <c r="O6120" s="5" t="s">
        <v>355</v>
      </c>
      <c r="P6120" s="5" t="s">
        <v>355</v>
      </c>
      <c r="Q6120" s="5" t="s">
        <v>355</v>
      </c>
    </row>
    <row r="6121" ht="16.5" customHeight="1">
      <c r="O6121" s="5" t="s">
        <v>355</v>
      </c>
      <c r="P6121" s="5" t="s">
        <v>355</v>
      </c>
      <c r="Q6121" s="5" t="s">
        <v>355</v>
      </c>
    </row>
    <row r="6122" ht="16.5" customHeight="1">
      <c r="O6122" s="5" t="s">
        <v>355</v>
      </c>
      <c r="P6122" s="5" t="s">
        <v>355</v>
      </c>
      <c r="Q6122" s="5" t="s">
        <v>355</v>
      </c>
    </row>
    <row r="6123" ht="16.5" customHeight="1">
      <c r="O6123" s="5" t="s">
        <v>355</v>
      </c>
      <c r="P6123" s="5" t="s">
        <v>355</v>
      </c>
      <c r="Q6123" s="5" t="s">
        <v>355</v>
      </c>
    </row>
    <row r="6124" ht="16.5" customHeight="1">
      <c r="O6124" s="5" t="s">
        <v>355</v>
      </c>
      <c r="P6124" s="5" t="s">
        <v>355</v>
      </c>
      <c r="Q6124" s="5" t="s">
        <v>355</v>
      </c>
    </row>
    <row r="6125" ht="16.5" customHeight="1">
      <c r="O6125" s="5" t="s">
        <v>355</v>
      </c>
      <c r="P6125" s="5" t="s">
        <v>355</v>
      </c>
      <c r="Q6125" s="5" t="s">
        <v>355</v>
      </c>
    </row>
    <row r="6126" ht="16.5" customHeight="1">
      <c r="O6126" s="5" t="s">
        <v>355</v>
      </c>
      <c r="P6126" s="5" t="s">
        <v>355</v>
      </c>
      <c r="Q6126" s="5" t="s">
        <v>355</v>
      </c>
    </row>
    <row r="6127" ht="16.5" customHeight="1">
      <c r="O6127" s="5" t="s">
        <v>355</v>
      </c>
      <c r="P6127" s="5" t="s">
        <v>355</v>
      </c>
      <c r="Q6127" s="5" t="s">
        <v>355</v>
      </c>
    </row>
    <row r="6128" ht="16.5" customHeight="1">
      <c r="O6128" s="5" t="s">
        <v>355</v>
      </c>
      <c r="P6128" s="5" t="s">
        <v>355</v>
      </c>
      <c r="Q6128" s="5" t="s">
        <v>355</v>
      </c>
    </row>
    <row r="6129" ht="16.5" customHeight="1">
      <c r="O6129" s="5" t="s">
        <v>355</v>
      </c>
      <c r="P6129" s="5" t="s">
        <v>355</v>
      </c>
      <c r="Q6129" s="5" t="s">
        <v>355</v>
      </c>
    </row>
    <row r="6130" ht="16.5" customHeight="1">
      <c r="O6130" s="5" t="s">
        <v>355</v>
      </c>
      <c r="P6130" s="5" t="s">
        <v>355</v>
      </c>
      <c r="Q6130" s="5" t="s">
        <v>355</v>
      </c>
    </row>
    <row r="6131" ht="16.5" customHeight="1">
      <c r="O6131" s="5" t="s">
        <v>355</v>
      </c>
      <c r="P6131" s="5" t="s">
        <v>355</v>
      </c>
      <c r="Q6131" s="5" t="s">
        <v>355</v>
      </c>
    </row>
    <row r="6132" ht="16.5" customHeight="1">
      <c r="O6132" s="5" t="s">
        <v>355</v>
      </c>
      <c r="P6132" s="5" t="s">
        <v>355</v>
      </c>
      <c r="Q6132" s="5" t="s">
        <v>355</v>
      </c>
    </row>
    <row r="6133" ht="16.5" customHeight="1">
      <c r="O6133" s="5" t="s">
        <v>355</v>
      </c>
      <c r="P6133" s="5" t="s">
        <v>355</v>
      </c>
      <c r="Q6133" s="5" t="s">
        <v>355</v>
      </c>
    </row>
    <row r="6134" ht="16.5" customHeight="1">
      <c r="O6134" s="5" t="s">
        <v>355</v>
      </c>
      <c r="P6134" s="5" t="s">
        <v>355</v>
      </c>
      <c r="Q6134" s="5" t="s">
        <v>355</v>
      </c>
    </row>
    <row r="6135" ht="16.5" customHeight="1">
      <c r="O6135" s="5" t="s">
        <v>355</v>
      </c>
      <c r="P6135" s="5" t="s">
        <v>355</v>
      </c>
      <c r="Q6135" s="5" t="s">
        <v>355</v>
      </c>
    </row>
    <row r="6136" ht="16.5" customHeight="1">
      <c r="O6136" s="5" t="s">
        <v>355</v>
      </c>
      <c r="P6136" s="5" t="s">
        <v>355</v>
      </c>
      <c r="Q6136" s="5" t="s">
        <v>355</v>
      </c>
    </row>
    <row r="6137" ht="16.5" customHeight="1">
      <c r="O6137" s="5" t="s">
        <v>355</v>
      </c>
      <c r="P6137" s="5" t="s">
        <v>355</v>
      </c>
      <c r="Q6137" s="5" t="s">
        <v>355</v>
      </c>
    </row>
    <row r="6138" ht="16.5" customHeight="1">
      <c r="O6138" s="5" t="s">
        <v>355</v>
      </c>
      <c r="P6138" s="5" t="s">
        <v>355</v>
      </c>
      <c r="Q6138" s="5" t="s">
        <v>355</v>
      </c>
    </row>
    <row r="6139" ht="16.5" customHeight="1">
      <c r="O6139" s="5" t="s">
        <v>355</v>
      </c>
      <c r="P6139" s="5" t="s">
        <v>355</v>
      </c>
      <c r="Q6139" s="5" t="s">
        <v>355</v>
      </c>
    </row>
    <row r="6140" ht="16.5" customHeight="1">
      <c r="O6140" s="5" t="s">
        <v>355</v>
      </c>
      <c r="P6140" s="5" t="s">
        <v>355</v>
      </c>
      <c r="Q6140" s="5" t="s">
        <v>355</v>
      </c>
    </row>
    <row r="6141" ht="16.5" customHeight="1">
      <c r="O6141" s="5" t="s">
        <v>355</v>
      </c>
      <c r="P6141" s="5" t="s">
        <v>355</v>
      </c>
      <c r="Q6141" s="5" t="s">
        <v>355</v>
      </c>
    </row>
    <row r="6142" ht="16.5" customHeight="1">
      <c r="O6142" s="5" t="s">
        <v>355</v>
      </c>
      <c r="P6142" s="5" t="s">
        <v>355</v>
      </c>
      <c r="Q6142" s="5" t="s">
        <v>355</v>
      </c>
    </row>
    <row r="6143" ht="16.5" customHeight="1">
      <c r="O6143" s="5" t="s">
        <v>355</v>
      </c>
      <c r="P6143" s="5" t="s">
        <v>355</v>
      </c>
      <c r="Q6143" s="5" t="s">
        <v>355</v>
      </c>
    </row>
    <row r="6144" ht="16.5" customHeight="1">
      <c r="O6144" s="5" t="s">
        <v>355</v>
      </c>
      <c r="P6144" s="5" t="s">
        <v>355</v>
      </c>
      <c r="Q6144" s="5" t="s">
        <v>355</v>
      </c>
    </row>
    <row r="6145" ht="16.5" customHeight="1">
      <c r="O6145" s="5" t="s">
        <v>355</v>
      </c>
      <c r="P6145" s="5" t="s">
        <v>355</v>
      </c>
      <c r="Q6145" s="5" t="s">
        <v>355</v>
      </c>
    </row>
    <row r="6146" ht="16.5" customHeight="1">
      <c r="O6146" s="5" t="s">
        <v>355</v>
      </c>
      <c r="P6146" s="5" t="s">
        <v>355</v>
      </c>
      <c r="Q6146" s="5" t="s">
        <v>355</v>
      </c>
    </row>
    <row r="6147" ht="16.5" customHeight="1">
      <c r="O6147" s="5" t="s">
        <v>355</v>
      </c>
      <c r="P6147" s="5" t="s">
        <v>355</v>
      </c>
      <c r="Q6147" s="5" t="s">
        <v>355</v>
      </c>
    </row>
    <row r="6148" ht="16.5" customHeight="1">
      <c r="O6148" s="5" t="s">
        <v>355</v>
      </c>
      <c r="P6148" s="5" t="s">
        <v>355</v>
      </c>
      <c r="Q6148" s="5" t="s">
        <v>355</v>
      </c>
    </row>
    <row r="6149" ht="16.5" customHeight="1">
      <c r="O6149" s="5" t="s">
        <v>355</v>
      </c>
      <c r="P6149" s="5" t="s">
        <v>355</v>
      </c>
      <c r="Q6149" s="5" t="s">
        <v>355</v>
      </c>
    </row>
    <row r="6150" ht="16.5" customHeight="1">
      <c r="O6150" s="5" t="s">
        <v>355</v>
      </c>
      <c r="P6150" s="5" t="s">
        <v>355</v>
      </c>
      <c r="Q6150" s="5" t="s">
        <v>355</v>
      </c>
    </row>
    <row r="6151" ht="16.5" customHeight="1">
      <c r="O6151" s="5" t="s">
        <v>355</v>
      </c>
      <c r="P6151" s="5" t="s">
        <v>355</v>
      </c>
      <c r="Q6151" s="5" t="s">
        <v>355</v>
      </c>
    </row>
    <row r="6152" ht="16.5" customHeight="1">
      <c r="O6152" s="5" t="s">
        <v>355</v>
      </c>
      <c r="P6152" s="5" t="s">
        <v>355</v>
      </c>
      <c r="Q6152" s="5" t="s">
        <v>355</v>
      </c>
    </row>
    <row r="6153" ht="16.5" customHeight="1">
      <c r="O6153" s="5" t="s">
        <v>355</v>
      </c>
      <c r="P6153" s="5" t="s">
        <v>355</v>
      </c>
      <c r="Q6153" s="5" t="s">
        <v>355</v>
      </c>
    </row>
    <row r="6154" ht="16.5" customHeight="1">
      <c r="O6154" s="5" t="s">
        <v>355</v>
      </c>
      <c r="P6154" s="5" t="s">
        <v>355</v>
      </c>
      <c r="Q6154" s="5" t="s">
        <v>355</v>
      </c>
    </row>
    <row r="6155" ht="16.5" customHeight="1">
      <c r="O6155" s="5" t="s">
        <v>355</v>
      </c>
      <c r="P6155" s="5" t="s">
        <v>355</v>
      </c>
      <c r="Q6155" s="5" t="s">
        <v>355</v>
      </c>
    </row>
    <row r="6156" ht="16.5" customHeight="1">
      <c r="O6156" s="5" t="s">
        <v>355</v>
      </c>
      <c r="P6156" s="5" t="s">
        <v>355</v>
      </c>
      <c r="Q6156" s="5" t="s">
        <v>355</v>
      </c>
    </row>
    <row r="6157" ht="16.5" customHeight="1">
      <c r="O6157" s="5" t="s">
        <v>355</v>
      </c>
      <c r="P6157" s="5" t="s">
        <v>355</v>
      </c>
      <c r="Q6157" s="5" t="s">
        <v>355</v>
      </c>
    </row>
    <row r="6158" ht="16.5" customHeight="1">
      <c r="O6158" s="5" t="s">
        <v>355</v>
      </c>
      <c r="P6158" s="5" t="s">
        <v>355</v>
      </c>
      <c r="Q6158" s="5" t="s">
        <v>355</v>
      </c>
    </row>
    <row r="6159" ht="16.5" customHeight="1">
      <c r="O6159" s="5" t="s">
        <v>355</v>
      </c>
      <c r="P6159" s="5" t="s">
        <v>355</v>
      </c>
      <c r="Q6159" s="5" t="s">
        <v>355</v>
      </c>
    </row>
    <row r="6160" ht="16.5" customHeight="1">
      <c r="O6160" s="5" t="s">
        <v>355</v>
      </c>
      <c r="P6160" s="5" t="s">
        <v>355</v>
      </c>
      <c r="Q6160" s="5" t="s">
        <v>355</v>
      </c>
    </row>
    <row r="6161" ht="16.5" customHeight="1">
      <c r="O6161" s="5" t="s">
        <v>355</v>
      </c>
      <c r="P6161" s="5" t="s">
        <v>355</v>
      </c>
      <c r="Q6161" s="5" t="s">
        <v>355</v>
      </c>
    </row>
    <row r="6162" ht="16.5" customHeight="1">
      <c r="O6162" s="5" t="s">
        <v>355</v>
      </c>
      <c r="P6162" s="5" t="s">
        <v>355</v>
      </c>
      <c r="Q6162" s="5" t="s">
        <v>355</v>
      </c>
    </row>
    <row r="6163" ht="16.5" customHeight="1">
      <c r="O6163" s="5" t="s">
        <v>355</v>
      </c>
      <c r="P6163" s="5" t="s">
        <v>355</v>
      </c>
      <c r="Q6163" s="5" t="s">
        <v>355</v>
      </c>
    </row>
    <row r="6164" ht="16.5" customHeight="1">
      <c r="O6164" s="5" t="s">
        <v>355</v>
      </c>
      <c r="P6164" s="5" t="s">
        <v>355</v>
      </c>
      <c r="Q6164" s="5" t="s">
        <v>355</v>
      </c>
    </row>
    <row r="6165" ht="16.5" customHeight="1">
      <c r="O6165" s="5" t="s">
        <v>355</v>
      </c>
      <c r="P6165" s="5" t="s">
        <v>355</v>
      </c>
      <c r="Q6165" s="5" t="s">
        <v>355</v>
      </c>
    </row>
    <row r="6166" ht="16.5" customHeight="1">
      <c r="O6166" s="5" t="s">
        <v>355</v>
      </c>
      <c r="P6166" s="5" t="s">
        <v>355</v>
      </c>
      <c r="Q6166" s="5" t="s">
        <v>355</v>
      </c>
    </row>
    <row r="6167" ht="16.5" customHeight="1">
      <c r="O6167" s="5" t="s">
        <v>355</v>
      </c>
      <c r="P6167" s="5" t="s">
        <v>355</v>
      </c>
      <c r="Q6167" s="5" t="s">
        <v>355</v>
      </c>
    </row>
    <row r="6168" ht="16.5" customHeight="1">
      <c r="O6168" s="5" t="s">
        <v>355</v>
      </c>
      <c r="P6168" s="5" t="s">
        <v>355</v>
      </c>
      <c r="Q6168" s="5" t="s">
        <v>355</v>
      </c>
    </row>
    <row r="6169" ht="16.5" customHeight="1">
      <c r="O6169" s="5" t="s">
        <v>355</v>
      </c>
      <c r="P6169" s="5" t="s">
        <v>355</v>
      </c>
      <c r="Q6169" s="5" t="s">
        <v>355</v>
      </c>
    </row>
    <row r="6170" ht="16.5" customHeight="1">
      <c r="O6170" s="5" t="s">
        <v>355</v>
      </c>
      <c r="P6170" s="5" t="s">
        <v>355</v>
      </c>
      <c r="Q6170" s="5" t="s">
        <v>355</v>
      </c>
    </row>
    <row r="6171" ht="16.5" customHeight="1">
      <c r="O6171" s="5" t="s">
        <v>355</v>
      </c>
      <c r="P6171" s="5" t="s">
        <v>355</v>
      </c>
      <c r="Q6171" s="5" t="s">
        <v>355</v>
      </c>
    </row>
    <row r="6172" ht="16.5" customHeight="1">
      <c r="O6172" s="5" t="s">
        <v>355</v>
      </c>
      <c r="P6172" s="5" t="s">
        <v>355</v>
      </c>
      <c r="Q6172" s="5" t="s">
        <v>355</v>
      </c>
    </row>
    <row r="6173" ht="16.5" customHeight="1">
      <c r="O6173" s="5" t="s">
        <v>355</v>
      </c>
      <c r="P6173" s="5" t="s">
        <v>355</v>
      </c>
      <c r="Q6173" s="5" t="s">
        <v>355</v>
      </c>
    </row>
    <row r="6174" ht="16.5" customHeight="1">
      <c r="O6174" s="5" t="s">
        <v>355</v>
      </c>
      <c r="P6174" s="5" t="s">
        <v>355</v>
      </c>
      <c r="Q6174" s="5" t="s">
        <v>355</v>
      </c>
    </row>
    <row r="6175" ht="16.5" customHeight="1">
      <c r="O6175" s="5" t="s">
        <v>355</v>
      </c>
      <c r="P6175" s="5" t="s">
        <v>355</v>
      </c>
      <c r="Q6175" s="5" t="s">
        <v>355</v>
      </c>
    </row>
    <row r="6176" ht="16.5" customHeight="1">
      <c r="O6176" s="5" t="s">
        <v>355</v>
      </c>
      <c r="P6176" s="5" t="s">
        <v>355</v>
      </c>
      <c r="Q6176" s="5" t="s">
        <v>355</v>
      </c>
    </row>
    <row r="6177" ht="16.5" customHeight="1">
      <c r="O6177" s="5" t="s">
        <v>355</v>
      </c>
      <c r="P6177" s="5" t="s">
        <v>355</v>
      </c>
      <c r="Q6177" s="5" t="s">
        <v>355</v>
      </c>
    </row>
    <row r="6178" ht="16.5" customHeight="1">
      <c r="O6178" s="5" t="s">
        <v>355</v>
      </c>
      <c r="P6178" s="5" t="s">
        <v>355</v>
      </c>
      <c r="Q6178" s="5" t="s">
        <v>355</v>
      </c>
    </row>
    <row r="6179" ht="16.5" customHeight="1">
      <c r="O6179" s="5" t="s">
        <v>355</v>
      </c>
      <c r="P6179" s="5" t="s">
        <v>355</v>
      </c>
      <c r="Q6179" s="5" t="s">
        <v>355</v>
      </c>
    </row>
    <row r="6180" ht="16.5" customHeight="1">
      <c r="O6180" s="5" t="s">
        <v>355</v>
      </c>
      <c r="P6180" s="5" t="s">
        <v>355</v>
      </c>
      <c r="Q6180" s="5" t="s">
        <v>355</v>
      </c>
    </row>
    <row r="6181" ht="16.5" customHeight="1">
      <c r="O6181" s="5" t="s">
        <v>355</v>
      </c>
      <c r="P6181" s="5" t="s">
        <v>355</v>
      </c>
      <c r="Q6181" s="5" t="s">
        <v>355</v>
      </c>
    </row>
    <row r="6182" ht="16.5" customHeight="1">
      <c r="O6182" s="5" t="s">
        <v>355</v>
      </c>
      <c r="P6182" s="5" t="s">
        <v>355</v>
      </c>
      <c r="Q6182" s="5" t="s">
        <v>355</v>
      </c>
    </row>
    <row r="6183" ht="16.5" customHeight="1">
      <c r="O6183" s="5" t="s">
        <v>355</v>
      </c>
      <c r="P6183" s="5" t="s">
        <v>355</v>
      </c>
      <c r="Q6183" s="5" t="s">
        <v>355</v>
      </c>
    </row>
    <row r="6184" ht="16.5" customHeight="1">
      <c r="O6184" s="5" t="s">
        <v>355</v>
      </c>
      <c r="P6184" s="5" t="s">
        <v>355</v>
      </c>
      <c r="Q6184" s="5" t="s">
        <v>355</v>
      </c>
    </row>
    <row r="6185" ht="16.5" customHeight="1">
      <c r="O6185" s="5" t="s">
        <v>355</v>
      </c>
      <c r="P6185" s="5" t="s">
        <v>355</v>
      </c>
      <c r="Q6185" s="5" t="s">
        <v>355</v>
      </c>
    </row>
    <row r="6186" ht="16.5" customHeight="1">
      <c r="O6186" s="5" t="s">
        <v>355</v>
      </c>
      <c r="P6186" s="5" t="s">
        <v>355</v>
      </c>
      <c r="Q6186" s="5" t="s">
        <v>355</v>
      </c>
    </row>
    <row r="6187" ht="16.5" customHeight="1">
      <c r="O6187" s="5" t="s">
        <v>355</v>
      </c>
      <c r="P6187" s="5" t="s">
        <v>355</v>
      </c>
      <c r="Q6187" s="5" t="s">
        <v>355</v>
      </c>
    </row>
    <row r="6188" ht="16.5" customHeight="1">
      <c r="O6188" s="5" t="s">
        <v>355</v>
      </c>
      <c r="P6188" s="5" t="s">
        <v>355</v>
      </c>
      <c r="Q6188" s="5" t="s">
        <v>355</v>
      </c>
    </row>
    <row r="6189" ht="16.5" customHeight="1">
      <c r="O6189" s="5" t="s">
        <v>355</v>
      </c>
      <c r="P6189" s="5" t="s">
        <v>355</v>
      </c>
      <c r="Q6189" s="5" t="s">
        <v>355</v>
      </c>
    </row>
    <row r="6190" ht="16.5" customHeight="1">
      <c r="O6190" s="5" t="s">
        <v>355</v>
      </c>
      <c r="P6190" s="5" t="s">
        <v>355</v>
      </c>
      <c r="Q6190" s="5" t="s">
        <v>355</v>
      </c>
    </row>
    <row r="6191" ht="16.5" customHeight="1">
      <c r="O6191" s="5" t="s">
        <v>355</v>
      </c>
      <c r="P6191" s="5" t="s">
        <v>355</v>
      </c>
      <c r="Q6191" s="5" t="s">
        <v>355</v>
      </c>
    </row>
    <row r="6192" ht="16.5" customHeight="1">
      <c r="O6192" s="5" t="s">
        <v>355</v>
      </c>
      <c r="P6192" s="5" t="s">
        <v>355</v>
      </c>
      <c r="Q6192" s="5" t="s">
        <v>355</v>
      </c>
    </row>
    <row r="6193" ht="16.5" customHeight="1">
      <c r="O6193" s="5" t="s">
        <v>355</v>
      </c>
      <c r="P6193" s="5" t="s">
        <v>355</v>
      </c>
      <c r="Q6193" s="5" t="s">
        <v>355</v>
      </c>
    </row>
    <row r="6194" ht="16.5" customHeight="1">
      <c r="O6194" s="5" t="s">
        <v>355</v>
      </c>
      <c r="P6194" s="5" t="s">
        <v>355</v>
      </c>
      <c r="Q6194" s="5" t="s">
        <v>355</v>
      </c>
    </row>
    <row r="6195" ht="16.5" customHeight="1">
      <c r="O6195" s="5" t="s">
        <v>355</v>
      </c>
      <c r="P6195" s="5" t="s">
        <v>355</v>
      </c>
      <c r="Q6195" s="5" t="s">
        <v>355</v>
      </c>
    </row>
    <row r="6196" ht="16.5" customHeight="1">
      <c r="O6196" s="5" t="s">
        <v>355</v>
      </c>
      <c r="P6196" s="5" t="s">
        <v>355</v>
      </c>
      <c r="Q6196" s="5" t="s">
        <v>355</v>
      </c>
    </row>
    <row r="6197" ht="16.5" customHeight="1">
      <c r="O6197" s="5" t="s">
        <v>355</v>
      </c>
      <c r="P6197" s="5" t="s">
        <v>355</v>
      </c>
      <c r="Q6197" s="5" t="s">
        <v>355</v>
      </c>
    </row>
    <row r="6198" ht="16.5" customHeight="1">
      <c r="O6198" s="5" t="s">
        <v>355</v>
      </c>
      <c r="P6198" s="5" t="s">
        <v>355</v>
      </c>
      <c r="Q6198" s="5" t="s">
        <v>355</v>
      </c>
    </row>
    <row r="6199" ht="16.5" customHeight="1">
      <c r="O6199" s="5" t="s">
        <v>355</v>
      </c>
      <c r="P6199" s="5" t="s">
        <v>355</v>
      </c>
      <c r="Q6199" s="5" t="s">
        <v>355</v>
      </c>
    </row>
    <row r="6200" ht="16.5" customHeight="1">
      <c r="O6200" s="5" t="s">
        <v>355</v>
      </c>
      <c r="P6200" s="5" t="s">
        <v>355</v>
      </c>
      <c r="Q6200" s="5" t="s">
        <v>355</v>
      </c>
    </row>
    <row r="6201" ht="16.5" customHeight="1">
      <c r="O6201" s="5" t="s">
        <v>355</v>
      </c>
      <c r="P6201" s="5" t="s">
        <v>355</v>
      </c>
      <c r="Q6201" s="5" t="s">
        <v>355</v>
      </c>
    </row>
    <row r="6202" ht="16.5" customHeight="1">
      <c r="O6202" s="5" t="s">
        <v>355</v>
      </c>
      <c r="P6202" s="5" t="s">
        <v>355</v>
      </c>
      <c r="Q6202" s="5" t="s">
        <v>355</v>
      </c>
    </row>
    <row r="6203" ht="16.5" customHeight="1">
      <c r="O6203" s="5" t="s">
        <v>355</v>
      </c>
      <c r="P6203" s="5" t="s">
        <v>355</v>
      </c>
      <c r="Q6203" s="5" t="s">
        <v>355</v>
      </c>
    </row>
    <row r="6204" ht="16.5" customHeight="1">
      <c r="O6204" s="5" t="s">
        <v>355</v>
      </c>
      <c r="P6204" s="5" t="s">
        <v>355</v>
      </c>
      <c r="Q6204" s="5" t="s">
        <v>355</v>
      </c>
    </row>
    <row r="6205" ht="16.5" customHeight="1">
      <c r="O6205" s="5" t="s">
        <v>355</v>
      </c>
      <c r="P6205" s="5" t="s">
        <v>355</v>
      </c>
      <c r="Q6205" s="5" t="s">
        <v>355</v>
      </c>
    </row>
    <row r="6206" ht="16.5" customHeight="1">
      <c r="O6206" s="5" t="s">
        <v>355</v>
      </c>
      <c r="P6206" s="5" t="s">
        <v>355</v>
      </c>
      <c r="Q6206" s="5" t="s">
        <v>355</v>
      </c>
    </row>
    <row r="6207" ht="16.5" customHeight="1">
      <c r="O6207" s="5" t="s">
        <v>355</v>
      </c>
      <c r="P6207" s="5" t="s">
        <v>355</v>
      </c>
      <c r="Q6207" s="5" t="s">
        <v>355</v>
      </c>
    </row>
    <row r="6208" ht="16.5" customHeight="1">
      <c r="O6208" s="5" t="s">
        <v>355</v>
      </c>
      <c r="P6208" s="5" t="s">
        <v>355</v>
      </c>
      <c r="Q6208" s="5" t="s">
        <v>355</v>
      </c>
    </row>
    <row r="6209" ht="16.5" customHeight="1">
      <c r="O6209" s="5" t="s">
        <v>355</v>
      </c>
      <c r="P6209" s="5" t="s">
        <v>355</v>
      </c>
      <c r="Q6209" s="5" t="s">
        <v>355</v>
      </c>
    </row>
    <row r="6210" ht="16.5" customHeight="1">
      <c r="O6210" s="5" t="s">
        <v>355</v>
      </c>
      <c r="P6210" s="5" t="s">
        <v>355</v>
      </c>
      <c r="Q6210" s="5" t="s">
        <v>355</v>
      </c>
    </row>
    <row r="6211" ht="16.5" customHeight="1">
      <c r="O6211" s="5" t="s">
        <v>355</v>
      </c>
      <c r="P6211" s="5" t="s">
        <v>355</v>
      </c>
      <c r="Q6211" s="5" t="s">
        <v>355</v>
      </c>
    </row>
    <row r="6212" ht="16.5" customHeight="1">
      <c r="O6212" s="5" t="s">
        <v>355</v>
      </c>
      <c r="P6212" s="5" t="s">
        <v>355</v>
      </c>
      <c r="Q6212" s="5" t="s">
        <v>355</v>
      </c>
    </row>
    <row r="6213" ht="16.5" customHeight="1">
      <c r="O6213" s="5" t="s">
        <v>355</v>
      </c>
      <c r="P6213" s="5" t="s">
        <v>355</v>
      </c>
      <c r="Q6213" s="5" t="s">
        <v>355</v>
      </c>
    </row>
    <row r="6214" ht="16.5" customHeight="1">
      <c r="O6214" s="5" t="s">
        <v>355</v>
      </c>
      <c r="P6214" s="5" t="s">
        <v>355</v>
      </c>
      <c r="Q6214" s="5" t="s">
        <v>355</v>
      </c>
    </row>
    <row r="6215" ht="16.5" customHeight="1">
      <c r="O6215" s="5" t="s">
        <v>355</v>
      </c>
      <c r="P6215" s="5" t="s">
        <v>355</v>
      </c>
      <c r="Q6215" s="5" t="s">
        <v>355</v>
      </c>
    </row>
    <row r="6216" ht="16.5" customHeight="1">
      <c r="O6216" s="5" t="s">
        <v>355</v>
      </c>
      <c r="P6216" s="5" t="s">
        <v>355</v>
      </c>
      <c r="Q6216" s="5" t="s">
        <v>355</v>
      </c>
    </row>
    <row r="6217" ht="16.5" customHeight="1">
      <c r="O6217" s="5" t="s">
        <v>355</v>
      </c>
      <c r="P6217" s="5" t="s">
        <v>355</v>
      </c>
      <c r="Q6217" s="5" t="s">
        <v>355</v>
      </c>
    </row>
    <row r="6218" ht="16.5" customHeight="1">
      <c r="O6218" s="5" t="s">
        <v>355</v>
      </c>
      <c r="P6218" s="5" t="s">
        <v>355</v>
      </c>
      <c r="Q6218" s="5" t="s">
        <v>355</v>
      </c>
    </row>
    <row r="6219" ht="16.5" customHeight="1">
      <c r="O6219" s="5" t="s">
        <v>355</v>
      </c>
      <c r="P6219" s="5" t="s">
        <v>355</v>
      </c>
      <c r="Q6219" s="5" t="s">
        <v>355</v>
      </c>
    </row>
    <row r="6220" ht="16.5" customHeight="1">
      <c r="O6220" s="5" t="s">
        <v>355</v>
      </c>
      <c r="P6220" s="5" t="s">
        <v>355</v>
      </c>
      <c r="Q6220" s="5" t="s">
        <v>355</v>
      </c>
    </row>
    <row r="6221" ht="16.5" customHeight="1">
      <c r="O6221" s="5" t="s">
        <v>355</v>
      </c>
      <c r="P6221" s="5" t="s">
        <v>355</v>
      </c>
      <c r="Q6221" s="5" t="s">
        <v>355</v>
      </c>
    </row>
    <row r="6222" ht="16.5" customHeight="1">
      <c r="O6222" s="5" t="s">
        <v>355</v>
      </c>
      <c r="P6222" s="5" t="s">
        <v>355</v>
      </c>
      <c r="Q6222" s="5" t="s">
        <v>355</v>
      </c>
    </row>
    <row r="6223" ht="16.5" customHeight="1">
      <c r="O6223" s="5" t="s">
        <v>355</v>
      </c>
      <c r="P6223" s="5" t="s">
        <v>355</v>
      </c>
      <c r="Q6223" s="5" t="s">
        <v>355</v>
      </c>
    </row>
    <row r="6224" ht="16.5" customHeight="1">
      <c r="O6224" s="5" t="s">
        <v>355</v>
      </c>
      <c r="P6224" s="5" t="s">
        <v>355</v>
      </c>
      <c r="Q6224" s="5" t="s">
        <v>355</v>
      </c>
    </row>
    <row r="6225" ht="16.5" customHeight="1">
      <c r="O6225" s="5" t="s">
        <v>355</v>
      </c>
      <c r="P6225" s="5" t="s">
        <v>355</v>
      </c>
      <c r="Q6225" s="5" t="s">
        <v>355</v>
      </c>
    </row>
    <row r="6226" ht="16.5" customHeight="1">
      <c r="O6226" s="5" t="s">
        <v>355</v>
      </c>
      <c r="P6226" s="5" t="s">
        <v>355</v>
      </c>
      <c r="Q6226" s="5" t="s">
        <v>355</v>
      </c>
    </row>
    <row r="6227" ht="16.5" customHeight="1">
      <c r="O6227" s="5" t="s">
        <v>355</v>
      </c>
      <c r="P6227" s="5" t="s">
        <v>355</v>
      </c>
      <c r="Q6227" s="5" t="s">
        <v>355</v>
      </c>
    </row>
    <row r="6228" ht="16.5" customHeight="1">
      <c r="O6228" s="5" t="s">
        <v>355</v>
      </c>
      <c r="P6228" s="5" t="s">
        <v>355</v>
      </c>
      <c r="Q6228" s="5" t="s">
        <v>355</v>
      </c>
    </row>
    <row r="6229" ht="16.5" customHeight="1">
      <c r="O6229" s="5" t="s">
        <v>355</v>
      </c>
      <c r="P6229" s="5" t="s">
        <v>355</v>
      </c>
      <c r="Q6229" s="5" t="s">
        <v>355</v>
      </c>
    </row>
    <row r="6230" ht="16.5" customHeight="1">
      <c r="O6230" s="5" t="s">
        <v>355</v>
      </c>
      <c r="P6230" s="5" t="s">
        <v>355</v>
      </c>
      <c r="Q6230" s="5" t="s">
        <v>355</v>
      </c>
    </row>
    <row r="6231" ht="16.5" customHeight="1">
      <c r="O6231" s="5" t="s">
        <v>355</v>
      </c>
      <c r="P6231" s="5" t="s">
        <v>355</v>
      </c>
      <c r="Q6231" s="5" t="s">
        <v>355</v>
      </c>
    </row>
    <row r="6232" ht="16.5" customHeight="1">
      <c r="O6232" s="5" t="s">
        <v>355</v>
      </c>
      <c r="P6232" s="5" t="s">
        <v>355</v>
      </c>
      <c r="Q6232" s="5" t="s">
        <v>355</v>
      </c>
    </row>
    <row r="6233" ht="16.5" customHeight="1">
      <c r="O6233" s="5" t="s">
        <v>355</v>
      </c>
      <c r="P6233" s="5" t="s">
        <v>355</v>
      </c>
      <c r="Q6233" s="5" t="s">
        <v>355</v>
      </c>
    </row>
    <row r="6234" ht="16.5" customHeight="1">
      <c r="O6234" s="5" t="s">
        <v>355</v>
      </c>
      <c r="P6234" s="5" t="s">
        <v>355</v>
      </c>
      <c r="Q6234" s="5" t="s">
        <v>355</v>
      </c>
    </row>
    <row r="6235" ht="16.5" customHeight="1">
      <c r="O6235" s="5" t="s">
        <v>355</v>
      </c>
      <c r="P6235" s="5" t="s">
        <v>355</v>
      </c>
      <c r="Q6235" s="5" t="s">
        <v>355</v>
      </c>
    </row>
    <row r="6236" ht="16.5" customHeight="1">
      <c r="O6236" s="5" t="s">
        <v>355</v>
      </c>
      <c r="P6236" s="5" t="s">
        <v>355</v>
      </c>
      <c r="Q6236" s="5" t="s">
        <v>355</v>
      </c>
    </row>
    <row r="6237" ht="16.5" customHeight="1">
      <c r="O6237" s="5" t="s">
        <v>355</v>
      </c>
      <c r="P6237" s="5" t="s">
        <v>355</v>
      </c>
      <c r="Q6237" s="5" t="s">
        <v>355</v>
      </c>
    </row>
    <row r="6238" ht="16.5" customHeight="1">
      <c r="O6238" s="5" t="s">
        <v>355</v>
      </c>
      <c r="P6238" s="5" t="s">
        <v>355</v>
      </c>
      <c r="Q6238" s="5" t="s">
        <v>355</v>
      </c>
    </row>
    <row r="6239" ht="16.5" customHeight="1">
      <c r="O6239" s="5" t="s">
        <v>355</v>
      </c>
      <c r="P6239" s="5" t="s">
        <v>355</v>
      </c>
      <c r="Q6239" s="5" t="s">
        <v>355</v>
      </c>
    </row>
    <row r="6240" ht="16.5" customHeight="1">
      <c r="O6240" s="5" t="s">
        <v>355</v>
      </c>
      <c r="P6240" s="5" t="s">
        <v>355</v>
      </c>
      <c r="Q6240" s="5" t="s">
        <v>355</v>
      </c>
    </row>
    <row r="6241" ht="16.5" customHeight="1">
      <c r="O6241" s="5" t="s">
        <v>355</v>
      </c>
      <c r="P6241" s="5" t="s">
        <v>355</v>
      </c>
      <c r="Q6241" s="5" t="s">
        <v>355</v>
      </c>
    </row>
    <row r="6242" ht="16.5" customHeight="1">
      <c r="O6242" s="5" t="s">
        <v>355</v>
      </c>
      <c r="P6242" s="5" t="s">
        <v>355</v>
      </c>
      <c r="Q6242" s="5" t="s">
        <v>355</v>
      </c>
    </row>
    <row r="6243" ht="16.5" customHeight="1">
      <c r="O6243" s="5" t="s">
        <v>355</v>
      </c>
      <c r="P6243" s="5" t="s">
        <v>355</v>
      </c>
      <c r="Q6243" s="5" t="s">
        <v>355</v>
      </c>
    </row>
    <row r="6244" ht="16.5" customHeight="1">
      <c r="O6244" s="5" t="s">
        <v>355</v>
      </c>
      <c r="P6244" s="5" t="s">
        <v>355</v>
      </c>
      <c r="Q6244" s="5" t="s">
        <v>355</v>
      </c>
    </row>
    <row r="6245" ht="16.5" customHeight="1">
      <c r="O6245" s="5" t="s">
        <v>355</v>
      </c>
      <c r="P6245" s="5" t="s">
        <v>355</v>
      </c>
      <c r="Q6245" s="5" t="s">
        <v>355</v>
      </c>
    </row>
    <row r="6246" ht="16.5" customHeight="1">
      <c r="O6246" s="5" t="s">
        <v>355</v>
      </c>
      <c r="P6246" s="5" t="s">
        <v>355</v>
      </c>
      <c r="Q6246" s="5" t="s">
        <v>355</v>
      </c>
    </row>
    <row r="6247" ht="16.5" customHeight="1">
      <c r="O6247" s="5" t="s">
        <v>355</v>
      </c>
      <c r="P6247" s="5" t="s">
        <v>355</v>
      </c>
      <c r="Q6247" s="5" t="s">
        <v>355</v>
      </c>
    </row>
    <row r="6248" ht="16.5" customHeight="1">
      <c r="O6248" s="5" t="s">
        <v>355</v>
      </c>
      <c r="P6248" s="5" t="s">
        <v>355</v>
      </c>
      <c r="Q6248" s="5" t="s">
        <v>355</v>
      </c>
    </row>
    <row r="6249" ht="16.5" customHeight="1">
      <c r="O6249" s="5" t="s">
        <v>355</v>
      </c>
      <c r="P6249" s="5" t="s">
        <v>355</v>
      </c>
      <c r="Q6249" s="5" t="s">
        <v>355</v>
      </c>
    </row>
    <row r="6250" ht="16.5" customHeight="1">
      <c r="O6250" s="5" t="s">
        <v>355</v>
      </c>
      <c r="P6250" s="5" t="s">
        <v>355</v>
      </c>
      <c r="Q6250" s="5" t="s">
        <v>355</v>
      </c>
    </row>
    <row r="6251" ht="16.5" customHeight="1">
      <c r="O6251" s="5" t="s">
        <v>355</v>
      </c>
      <c r="P6251" s="5" t="s">
        <v>355</v>
      </c>
      <c r="Q6251" s="5" t="s">
        <v>355</v>
      </c>
    </row>
    <row r="6252" ht="16.5" customHeight="1">
      <c r="O6252" s="5" t="s">
        <v>355</v>
      </c>
      <c r="P6252" s="5" t="s">
        <v>355</v>
      </c>
      <c r="Q6252" s="5" t="s">
        <v>355</v>
      </c>
    </row>
    <row r="6253" ht="16.5" customHeight="1">
      <c r="O6253" s="5" t="s">
        <v>355</v>
      </c>
      <c r="P6253" s="5" t="s">
        <v>355</v>
      </c>
      <c r="Q6253" s="5" t="s">
        <v>355</v>
      </c>
    </row>
    <row r="6254" ht="16.5" customHeight="1">
      <c r="O6254" s="5" t="s">
        <v>355</v>
      </c>
      <c r="P6254" s="5" t="s">
        <v>355</v>
      </c>
      <c r="Q6254" s="5" t="s">
        <v>355</v>
      </c>
    </row>
    <row r="6255" ht="16.5" customHeight="1">
      <c r="O6255" s="5" t="s">
        <v>355</v>
      </c>
      <c r="P6255" s="5" t="s">
        <v>355</v>
      </c>
      <c r="Q6255" s="5" t="s">
        <v>355</v>
      </c>
    </row>
    <row r="6256" ht="16.5" customHeight="1">
      <c r="O6256" s="5" t="s">
        <v>355</v>
      </c>
      <c r="P6256" s="5" t="s">
        <v>355</v>
      </c>
      <c r="Q6256" s="5" t="s">
        <v>355</v>
      </c>
    </row>
    <row r="6257" ht="16.5" customHeight="1">
      <c r="O6257" s="5" t="s">
        <v>355</v>
      </c>
      <c r="P6257" s="5" t="s">
        <v>355</v>
      </c>
      <c r="Q6257" s="5" t="s">
        <v>355</v>
      </c>
    </row>
    <row r="6258" ht="16.5" customHeight="1">
      <c r="O6258" s="5" t="s">
        <v>355</v>
      </c>
      <c r="P6258" s="5" t="s">
        <v>355</v>
      </c>
      <c r="Q6258" s="5" t="s">
        <v>355</v>
      </c>
    </row>
    <row r="6259" ht="16.5" customHeight="1">
      <c r="O6259" s="5" t="s">
        <v>355</v>
      </c>
      <c r="P6259" s="5" t="s">
        <v>355</v>
      </c>
      <c r="Q6259" s="5" t="s">
        <v>355</v>
      </c>
    </row>
    <row r="6260" ht="16.5" customHeight="1">
      <c r="O6260" s="5" t="s">
        <v>355</v>
      </c>
      <c r="P6260" s="5" t="s">
        <v>355</v>
      </c>
      <c r="Q6260" s="5" t="s">
        <v>355</v>
      </c>
    </row>
    <row r="6261" ht="16.5" customHeight="1">
      <c r="O6261" s="5" t="s">
        <v>355</v>
      </c>
      <c r="P6261" s="5" t="s">
        <v>355</v>
      </c>
      <c r="Q6261" s="5" t="s">
        <v>355</v>
      </c>
    </row>
    <row r="6262" ht="16.5" customHeight="1">
      <c r="O6262" s="5" t="s">
        <v>355</v>
      </c>
      <c r="P6262" s="5" t="s">
        <v>355</v>
      </c>
      <c r="Q6262" s="5" t="s">
        <v>355</v>
      </c>
    </row>
    <row r="6263" ht="16.5" customHeight="1">
      <c r="O6263" s="5" t="s">
        <v>355</v>
      </c>
      <c r="P6263" s="5" t="s">
        <v>355</v>
      </c>
      <c r="Q6263" s="5" t="s">
        <v>355</v>
      </c>
    </row>
    <row r="6264" ht="16.5" customHeight="1">
      <c r="O6264" s="5" t="s">
        <v>355</v>
      </c>
      <c r="P6264" s="5" t="s">
        <v>355</v>
      </c>
      <c r="Q6264" s="5" t="s">
        <v>355</v>
      </c>
    </row>
    <row r="6265" ht="16.5" customHeight="1">
      <c r="O6265" s="5" t="s">
        <v>355</v>
      </c>
      <c r="P6265" s="5" t="s">
        <v>355</v>
      </c>
      <c r="Q6265" s="5" t="s">
        <v>355</v>
      </c>
    </row>
    <row r="6266" ht="16.5" customHeight="1">
      <c r="O6266" s="5" t="s">
        <v>355</v>
      </c>
      <c r="P6266" s="5" t="s">
        <v>355</v>
      </c>
      <c r="Q6266" s="5" t="s">
        <v>355</v>
      </c>
    </row>
    <row r="6267" ht="16.5" customHeight="1">
      <c r="O6267" s="5" t="s">
        <v>355</v>
      </c>
      <c r="P6267" s="5" t="s">
        <v>355</v>
      </c>
      <c r="Q6267" s="5" t="s">
        <v>355</v>
      </c>
    </row>
    <row r="6268" ht="16.5" customHeight="1">
      <c r="O6268" s="5" t="s">
        <v>355</v>
      </c>
      <c r="P6268" s="5" t="s">
        <v>355</v>
      </c>
      <c r="Q6268" s="5" t="s">
        <v>355</v>
      </c>
    </row>
    <row r="6269" ht="16.5" customHeight="1">
      <c r="O6269" s="5" t="s">
        <v>355</v>
      </c>
      <c r="P6269" s="5" t="s">
        <v>355</v>
      </c>
      <c r="Q6269" s="5" t="s">
        <v>355</v>
      </c>
    </row>
    <row r="6270" ht="16.5" customHeight="1">
      <c r="O6270" s="5" t="s">
        <v>355</v>
      </c>
      <c r="P6270" s="5" t="s">
        <v>355</v>
      </c>
      <c r="Q6270" s="5" t="s">
        <v>355</v>
      </c>
    </row>
    <row r="6271" ht="16.5" customHeight="1">
      <c r="O6271" s="5" t="s">
        <v>355</v>
      </c>
      <c r="P6271" s="5" t="s">
        <v>355</v>
      </c>
      <c r="Q6271" s="5" t="s">
        <v>355</v>
      </c>
    </row>
    <row r="6272" ht="16.5" customHeight="1">
      <c r="O6272" s="5" t="s">
        <v>355</v>
      </c>
      <c r="P6272" s="5" t="s">
        <v>355</v>
      </c>
      <c r="Q6272" s="5" t="s">
        <v>355</v>
      </c>
    </row>
    <row r="6273" ht="16.5" customHeight="1">
      <c r="O6273" s="5" t="s">
        <v>355</v>
      </c>
      <c r="P6273" s="5" t="s">
        <v>355</v>
      </c>
      <c r="Q6273" s="5" t="s">
        <v>355</v>
      </c>
    </row>
    <row r="6274" ht="16.5" customHeight="1">
      <c r="O6274" s="5" t="s">
        <v>355</v>
      </c>
      <c r="P6274" s="5" t="s">
        <v>355</v>
      </c>
      <c r="Q6274" s="5" t="s">
        <v>355</v>
      </c>
    </row>
    <row r="6275" ht="16.5" customHeight="1">
      <c r="O6275" s="5" t="s">
        <v>355</v>
      </c>
      <c r="P6275" s="5" t="s">
        <v>355</v>
      </c>
      <c r="Q6275" s="5" t="s">
        <v>355</v>
      </c>
    </row>
    <row r="6276" ht="16.5" customHeight="1">
      <c r="O6276" s="5" t="s">
        <v>355</v>
      </c>
      <c r="P6276" s="5" t="s">
        <v>355</v>
      </c>
      <c r="Q6276" s="5" t="s">
        <v>355</v>
      </c>
    </row>
    <row r="6277" ht="16.5" customHeight="1">
      <c r="O6277" s="5" t="s">
        <v>355</v>
      </c>
      <c r="P6277" s="5" t="s">
        <v>355</v>
      </c>
      <c r="Q6277" s="5" t="s">
        <v>355</v>
      </c>
    </row>
    <row r="6278" ht="16.5" customHeight="1">
      <c r="O6278" s="5" t="s">
        <v>355</v>
      </c>
      <c r="P6278" s="5" t="s">
        <v>355</v>
      </c>
      <c r="Q6278" s="5" t="s">
        <v>355</v>
      </c>
    </row>
    <row r="6279" ht="16.5" customHeight="1">
      <c r="O6279" s="5" t="s">
        <v>355</v>
      </c>
      <c r="P6279" s="5" t="s">
        <v>355</v>
      </c>
      <c r="Q6279" s="5" t="s">
        <v>355</v>
      </c>
    </row>
    <row r="6280" ht="16.5" customHeight="1">
      <c r="O6280" s="5" t="s">
        <v>355</v>
      </c>
      <c r="P6280" s="5" t="s">
        <v>355</v>
      </c>
      <c r="Q6280" s="5" t="s">
        <v>355</v>
      </c>
    </row>
    <row r="6281" ht="16.5" customHeight="1">
      <c r="O6281" s="5" t="s">
        <v>355</v>
      </c>
      <c r="P6281" s="5" t="s">
        <v>355</v>
      </c>
      <c r="Q6281" s="5" t="s">
        <v>355</v>
      </c>
    </row>
    <row r="6282" ht="16.5" customHeight="1">
      <c r="O6282" s="5" t="s">
        <v>355</v>
      </c>
      <c r="P6282" s="5" t="s">
        <v>355</v>
      </c>
      <c r="Q6282" s="5" t="s">
        <v>355</v>
      </c>
    </row>
    <row r="6283" ht="16.5" customHeight="1">
      <c r="O6283" s="5" t="s">
        <v>355</v>
      </c>
      <c r="P6283" s="5" t="s">
        <v>355</v>
      </c>
      <c r="Q6283" s="5" t="s">
        <v>355</v>
      </c>
    </row>
    <row r="6284" ht="16.5" customHeight="1">
      <c r="O6284" s="5" t="s">
        <v>355</v>
      </c>
      <c r="P6284" s="5" t="s">
        <v>355</v>
      </c>
      <c r="Q6284" s="5" t="s">
        <v>355</v>
      </c>
    </row>
    <row r="6285" ht="16.5" customHeight="1">
      <c r="O6285" s="5" t="s">
        <v>355</v>
      </c>
      <c r="P6285" s="5" t="s">
        <v>355</v>
      </c>
      <c r="Q6285" s="5" t="s">
        <v>355</v>
      </c>
    </row>
    <row r="6286" ht="16.5" customHeight="1">
      <c r="O6286" s="5" t="s">
        <v>355</v>
      </c>
      <c r="P6286" s="5" t="s">
        <v>355</v>
      </c>
      <c r="Q6286" s="5" t="s">
        <v>355</v>
      </c>
    </row>
    <row r="6287" ht="16.5" customHeight="1">
      <c r="O6287" s="5" t="s">
        <v>355</v>
      </c>
      <c r="P6287" s="5" t="s">
        <v>355</v>
      </c>
      <c r="Q6287" s="5" t="s">
        <v>355</v>
      </c>
    </row>
    <row r="6288" ht="16.5" customHeight="1">
      <c r="O6288" s="5" t="s">
        <v>355</v>
      </c>
      <c r="P6288" s="5" t="s">
        <v>355</v>
      </c>
      <c r="Q6288" s="5" t="s">
        <v>355</v>
      </c>
    </row>
    <row r="6289" ht="16.5" customHeight="1">
      <c r="O6289" s="5" t="s">
        <v>355</v>
      </c>
      <c r="P6289" s="5" t="s">
        <v>355</v>
      </c>
      <c r="Q6289" s="5" t="s">
        <v>355</v>
      </c>
    </row>
    <row r="6290" ht="16.5" customHeight="1">
      <c r="O6290" s="5" t="s">
        <v>355</v>
      </c>
      <c r="P6290" s="5" t="s">
        <v>355</v>
      </c>
      <c r="Q6290" s="5" t="s">
        <v>355</v>
      </c>
    </row>
    <row r="6291" ht="16.5" customHeight="1">
      <c r="O6291" s="5" t="s">
        <v>355</v>
      </c>
      <c r="P6291" s="5" t="s">
        <v>355</v>
      </c>
      <c r="Q6291" s="5" t="s">
        <v>355</v>
      </c>
    </row>
    <row r="6292" ht="16.5" customHeight="1">
      <c r="O6292" s="5" t="s">
        <v>355</v>
      </c>
      <c r="P6292" s="5" t="s">
        <v>355</v>
      </c>
      <c r="Q6292" s="5" t="s">
        <v>355</v>
      </c>
    </row>
    <row r="6293" ht="16.5" customHeight="1">
      <c r="O6293" s="5" t="s">
        <v>355</v>
      </c>
      <c r="P6293" s="5" t="s">
        <v>355</v>
      </c>
      <c r="Q6293" s="5" t="s">
        <v>355</v>
      </c>
    </row>
    <row r="6294" ht="16.5" customHeight="1">
      <c r="O6294" s="5" t="s">
        <v>355</v>
      </c>
      <c r="P6294" s="5" t="s">
        <v>355</v>
      </c>
      <c r="Q6294" s="5" t="s">
        <v>355</v>
      </c>
    </row>
    <row r="6295" ht="16.5" customHeight="1">
      <c r="O6295" s="5" t="s">
        <v>355</v>
      </c>
      <c r="P6295" s="5" t="s">
        <v>355</v>
      </c>
      <c r="Q6295" s="5" t="s">
        <v>355</v>
      </c>
    </row>
    <row r="6296" ht="16.5" customHeight="1">
      <c r="O6296" s="5" t="s">
        <v>355</v>
      </c>
      <c r="P6296" s="5" t="s">
        <v>355</v>
      </c>
      <c r="Q6296" s="5" t="s">
        <v>355</v>
      </c>
    </row>
    <row r="6297" ht="16.5" customHeight="1">
      <c r="O6297" s="5" t="s">
        <v>355</v>
      </c>
      <c r="P6297" s="5" t="s">
        <v>355</v>
      </c>
      <c r="Q6297" s="5" t="s">
        <v>355</v>
      </c>
    </row>
    <row r="6298" ht="16.5" customHeight="1">
      <c r="O6298" s="5" t="s">
        <v>355</v>
      </c>
      <c r="P6298" s="5" t="s">
        <v>355</v>
      </c>
      <c r="Q6298" s="5" t="s">
        <v>355</v>
      </c>
    </row>
    <row r="6299" ht="16.5" customHeight="1">
      <c r="O6299" s="5" t="s">
        <v>355</v>
      </c>
      <c r="P6299" s="5" t="s">
        <v>355</v>
      </c>
      <c r="Q6299" s="5" t="s">
        <v>355</v>
      </c>
    </row>
    <row r="6300" ht="16.5" customHeight="1">
      <c r="O6300" s="5" t="s">
        <v>355</v>
      </c>
      <c r="P6300" s="5" t="s">
        <v>355</v>
      </c>
      <c r="Q6300" s="5" t="s">
        <v>355</v>
      </c>
    </row>
    <row r="6301" ht="16.5" customHeight="1">
      <c r="O6301" s="5" t="s">
        <v>355</v>
      </c>
      <c r="P6301" s="5" t="s">
        <v>355</v>
      </c>
      <c r="Q6301" s="5" t="s">
        <v>355</v>
      </c>
    </row>
    <row r="6302" ht="16.5" customHeight="1">
      <c r="O6302" s="5" t="s">
        <v>355</v>
      </c>
      <c r="P6302" s="5" t="s">
        <v>355</v>
      </c>
      <c r="Q6302" s="5" t="s">
        <v>355</v>
      </c>
    </row>
    <row r="6303" ht="16.5" customHeight="1">
      <c r="O6303" s="5" t="s">
        <v>355</v>
      </c>
      <c r="P6303" s="5" t="s">
        <v>355</v>
      </c>
      <c r="Q6303" s="5" t="s">
        <v>355</v>
      </c>
    </row>
    <row r="6304" ht="16.5" customHeight="1">
      <c r="O6304" s="5" t="s">
        <v>355</v>
      </c>
      <c r="P6304" s="5" t="s">
        <v>355</v>
      </c>
      <c r="Q6304" s="5" t="s">
        <v>355</v>
      </c>
    </row>
    <row r="6305" ht="16.5" customHeight="1">
      <c r="O6305" s="5" t="s">
        <v>355</v>
      </c>
      <c r="P6305" s="5" t="s">
        <v>355</v>
      </c>
      <c r="Q6305" s="5" t="s">
        <v>355</v>
      </c>
    </row>
    <row r="6306" ht="16.5" customHeight="1">
      <c r="O6306" s="5" t="s">
        <v>355</v>
      </c>
      <c r="P6306" s="5" t="s">
        <v>355</v>
      </c>
      <c r="Q6306" s="5" t="s">
        <v>355</v>
      </c>
    </row>
    <row r="6307" ht="16.5" customHeight="1">
      <c r="O6307" s="5" t="s">
        <v>355</v>
      </c>
      <c r="P6307" s="5" t="s">
        <v>355</v>
      </c>
      <c r="Q6307" s="5" t="s">
        <v>355</v>
      </c>
    </row>
    <row r="6308" ht="16.5" customHeight="1">
      <c r="O6308" s="5" t="s">
        <v>355</v>
      </c>
      <c r="P6308" s="5" t="s">
        <v>355</v>
      </c>
      <c r="Q6308" s="5" t="s">
        <v>355</v>
      </c>
    </row>
    <row r="6309" ht="16.5" customHeight="1">
      <c r="O6309" s="5" t="s">
        <v>355</v>
      </c>
      <c r="P6309" s="5" t="s">
        <v>355</v>
      </c>
      <c r="Q6309" s="5" t="s">
        <v>355</v>
      </c>
    </row>
    <row r="6310" ht="16.5" customHeight="1">
      <c r="O6310" s="5" t="s">
        <v>355</v>
      </c>
      <c r="P6310" s="5" t="s">
        <v>355</v>
      </c>
      <c r="Q6310" s="5" t="s">
        <v>355</v>
      </c>
    </row>
    <row r="6311" ht="16.5" customHeight="1">
      <c r="O6311" s="5" t="s">
        <v>355</v>
      </c>
      <c r="P6311" s="5" t="s">
        <v>355</v>
      </c>
      <c r="Q6311" s="5" t="s">
        <v>355</v>
      </c>
    </row>
    <row r="6312" ht="16.5" customHeight="1">
      <c r="O6312" s="5" t="s">
        <v>355</v>
      </c>
      <c r="P6312" s="5" t="s">
        <v>355</v>
      </c>
      <c r="Q6312" s="5" t="s">
        <v>355</v>
      </c>
    </row>
    <row r="6313" ht="16.5" customHeight="1">
      <c r="O6313" s="5" t="s">
        <v>355</v>
      </c>
      <c r="P6313" s="5" t="s">
        <v>355</v>
      </c>
      <c r="Q6313" s="5" t="s">
        <v>355</v>
      </c>
    </row>
    <row r="6314" ht="16.5" customHeight="1">
      <c r="O6314" s="5" t="s">
        <v>355</v>
      </c>
      <c r="P6314" s="5" t="s">
        <v>355</v>
      </c>
      <c r="Q6314" s="5" t="s">
        <v>355</v>
      </c>
    </row>
    <row r="6315" ht="16.5" customHeight="1">
      <c r="O6315" s="5" t="s">
        <v>355</v>
      </c>
      <c r="P6315" s="5" t="s">
        <v>355</v>
      </c>
      <c r="Q6315" s="5" t="s">
        <v>355</v>
      </c>
    </row>
    <row r="6316" ht="16.5" customHeight="1">
      <c r="O6316" s="5" t="s">
        <v>355</v>
      </c>
      <c r="P6316" s="5" t="s">
        <v>355</v>
      </c>
      <c r="Q6316" s="5" t="s">
        <v>355</v>
      </c>
    </row>
    <row r="6317" ht="16.5" customHeight="1">
      <c r="O6317" s="5" t="s">
        <v>355</v>
      </c>
      <c r="P6317" s="5" t="s">
        <v>355</v>
      </c>
      <c r="Q6317" s="5" t="s">
        <v>355</v>
      </c>
    </row>
    <row r="6318" ht="16.5" customHeight="1">
      <c r="O6318" s="5" t="s">
        <v>355</v>
      </c>
      <c r="P6318" s="5" t="s">
        <v>355</v>
      </c>
      <c r="Q6318" s="5" t="s">
        <v>355</v>
      </c>
    </row>
    <row r="6319" ht="16.5" customHeight="1">
      <c r="O6319" s="5" t="s">
        <v>355</v>
      </c>
      <c r="P6319" s="5" t="s">
        <v>355</v>
      </c>
      <c r="Q6319" s="5" t="s">
        <v>355</v>
      </c>
    </row>
    <row r="6320" ht="16.5" customHeight="1">
      <c r="O6320" s="5" t="s">
        <v>355</v>
      </c>
      <c r="P6320" s="5" t="s">
        <v>355</v>
      </c>
      <c r="Q6320" s="5" t="s">
        <v>355</v>
      </c>
    </row>
    <row r="6321" ht="16.5" customHeight="1">
      <c r="O6321" s="5" t="s">
        <v>355</v>
      </c>
      <c r="P6321" s="5" t="s">
        <v>355</v>
      </c>
      <c r="Q6321" s="5" t="s">
        <v>355</v>
      </c>
    </row>
    <row r="6322" ht="16.5" customHeight="1">
      <c r="O6322" s="5" t="s">
        <v>355</v>
      </c>
      <c r="P6322" s="5" t="s">
        <v>355</v>
      </c>
      <c r="Q6322" s="5" t="s">
        <v>355</v>
      </c>
    </row>
    <row r="6323" ht="16.5" customHeight="1">
      <c r="O6323" s="5" t="s">
        <v>355</v>
      </c>
      <c r="P6323" s="5" t="s">
        <v>355</v>
      </c>
      <c r="Q6323" s="5" t="s">
        <v>355</v>
      </c>
    </row>
    <row r="6324" ht="16.5" customHeight="1">
      <c r="O6324" s="5" t="s">
        <v>355</v>
      </c>
      <c r="P6324" s="5" t="s">
        <v>355</v>
      </c>
      <c r="Q6324" s="5" t="s">
        <v>355</v>
      </c>
    </row>
    <row r="6325" ht="16.5" customHeight="1">
      <c r="O6325" s="5" t="s">
        <v>355</v>
      </c>
      <c r="P6325" s="5" t="s">
        <v>355</v>
      </c>
      <c r="Q6325" s="5" t="s">
        <v>355</v>
      </c>
    </row>
    <row r="6326" ht="16.5" customHeight="1">
      <c r="O6326" s="5" t="s">
        <v>355</v>
      </c>
      <c r="P6326" s="5" t="s">
        <v>355</v>
      </c>
      <c r="Q6326" s="5" t="s">
        <v>355</v>
      </c>
    </row>
    <row r="6327" ht="16.5" customHeight="1">
      <c r="O6327" s="5" t="s">
        <v>355</v>
      </c>
      <c r="P6327" s="5" t="s">
        <v>355</v>
      </c>
      <c r="Q6327" s="5" t="s">
        <v>355</v>
      </c>
    </row>
    <row r="6328" ht="16.5" customHeight="1">
      <c r="O6328" s="5" t="s">
        <v>355</v>
      </c>
      <c r="P6328" s="5" t="s">
        <v>355</v>
      </c>
      <c r="Q6328" s="5" t="s">
        <v>355</v>
      </c>
    </row>
    <row r="6329" ht="16.5" customHeight="1">
      <c r="O6329" s="5" t="s">
        <v>355</v>
      </c>
      <c r="P6329" s="5" t="s">
        <v>355</v>
      </c>
      <c r="Q6329" s="5" t="s">
        <v>355</v>
      </c>
    </row>
    <row r="6330" ht="16.5" customHeight="1">
      <c r="O6330" s="5" t="s">
        <v>355</v>
      </c>
      <c r="P6330" s="5" t="s">
        <v>355</v>
      </c>
      <c r="Q6330" s="5" t="s">
        <v>355</v>
      </c>
    </row>
    <row r="6331" ht="16.5" customHeight="1">
      <c r="O6331" s="5" t="s">
        <v>355</v>
      </c>
      <c r="P6331" s="5" t="s">
        <v>355</v>
      </c>
      <c r="Q6331" s="5" t="s">
        <v>355</v>
      </c>
    </row>
    <row r="6332" ht="16.5" customHeight="1">
      <c r="O6332" s="5" t="s">
        <v>355</v>
      </c>
      <c r="P6332" s="5" t="s">
        <v>355</v>
      </c>
      <c r="Q6332" s="5" t="s">
        <v>355</v>
      </c>
    </row>
    <row r="6333" ht="16.5" customHeight="1">
      <c r="O6333" s="5" t="s">
        <v>355</v>
      </c>
      <c r="P6333" s="5" t="s">
        <v>355</v>
      </c>
      <c r="Q6333" s="5" t="s">
        <v>355</v>
      </c>
    </row>
    <row r="6334" ht="16.5" customHeight="1">
      <c r="O6334" s="5" t="s">
        <v>355</v>
      </c>
      <c r="P6334" s="5" t="s">
        <v>355</v>
      </c>
      <c r="Q6334" s="5" t="s">
        <v>355</v>
      </c>
    </row>
    <row r="6335" ht="16.5" customHeight="1">
      <c r="O6335" s="5" t="s">
        <v>355</v>
      </c>
      <c r="P6335" s="5" t="s">
        <v>355</v>
      </c>
      <c r="Q6335" s="5" t="s">
        <v>355</v>
      </c>
    </row>
    <row r="6336" ht="16.5" customHeight="1">
      <c r="O6336" s="5" t="s">
        <v>355</v>
      </c>
      <c r="P6336" s="5" t="s">
        <v>355</v>
      </c>
      <c r="Q6336" s="5" t="s">
        <v>355</v>
      </c>
    </row>
    <row r="6337" ht="16.5" customHeight="1">
      <c r="O6337" s="5" t="s">
        <v>355</v>
      </c>
      <c r="P6337" s="5" t="s">
        <v>355</v>
      </c>
      <c r="Q6337" s="5" t="s">
        <v>355</v>
      </c>
    </row>
    <row r="6338" ht="16.5" customHeight="1">
      <c r="O6338" s="5" t="s">
        <v>355</v>
      </c>
      <c r="P6338" s="5" t="s">
        <v>355</v>
      </c>
      <c r="Q6338" s="5" t="s">
        <v>355</v>
      </c>
    </row>
    <row r="6339" ht="16.5" customHeight="1">
      <c r="O6339" s="5" t="s">
        <v>355</v>
      </c>
      <c r="P6339" s="5" t="s">
        <v>355</v>
      </c>
      <c r="Q6339" s="5" t="s">
        <v>355</v>
      </c>
    </row>
    <row r="6340" ht="16.5" customHeight="1">
      <c r="O6340" s="5" t="s">
        <v>355</v>
      </c>
      <c r="P6340" s="5" t="s">
        <v>355</v>
      </c>
      <c r="Q6340" s="5" t="s">
        <v>355</v>
      </c>
    </row>
    <row r="6341" ht="16.5" customHeight="1">
      <c r="O6341" s="5" t="s">
        <v>355</v>
      </c>
      <c r="P6341" s="5" t="s">
        <v>355</v>
      </c>
      <c r="Q6341" s="5" t="s">
        <v>355</v>
      </c>
    </row>
    <row r="6342" ht="16.5" customHeight="1">
      <c r="O6342" s="5" t="s">
        <v>355</v>
      </c>
      <c r="P6342" s="5" t="s">
        <v>355</v>
      </c>
      <c r="Q6342" s="5" t="s">
        <v>355</v>
      </c>
    </row>
    <row r="6343" ht="16.5" customHeight="1">
      <c r="O6343" s="5" t="s">
        <v>355</v>
      </c>
      <c r="P6343" s="5" t="s">
        <v>355</v>
      </c>
      <c r="Q6343" s="5" t="s">
        <v>355</v>
      </c>
    </row>
    <row r="6344" ht="16.5" customHeight="1">
      <c r="O6344" s="5" t="s">
        <v>355</v>
      </c>
      <c r="P6344" s="5" t="s">
        <v>355</v>
      </c>
      <c r="Q6344" s="5" t="s">
        <v>355</v>
      </c>
    </row>
    <row r="6345" ht="16.5" customHeight="1">
      <c r="O6345" s="5" t="s">
        <v>355</v>
      </c>
      <c r="P6345" s="5" t="s">
        <v>355</v>
      </c>
      <c r="Q6345" s="5" t="s">
        <v>355</v>
      </c>
    </row>
    <row r="6346" ht="16.5" customHeight="1">
      <c r="O6346" s="5" t="s">
        <v>355</v>
      </c>
      <c r="P6346" s="5" t="s">
        <v>355</v>
      </c>
      <c r="Q6346" s="5" t="s">
        <v>355</v>
      </c>
    </row>
    <row r="6347" ht="16.5" customHeight="1">
      <c r="O6347" s="5" t="s">
        <v>355</v>
      </c>
      <c r="P6347" s="5" t="s">
        <v>355</v>
      </c>
      <c r="Q6347" s="5" t="s">
        <v>355</v>
      </c>
    </row>
    <row r="6348" ht="16.5" customHeight="1">
      <c r="O6348" s="5" t="s">
        <v>355</v>
      </c>
      <c r="P6348" s="5" t="s">
        <v>355</v>
      </c>
      <c r="Q6348" s="5" t="s">
        <v>355</v>
      </c>
    </row>
    <row r="6349" ht="16.5" customHeight="1">
      <c r="O6349" s="5" t="s">
        <v>355</v>
      </c>
      <c r="P6349" s="5" t="s">
        <v>355</v>
      </c>
      <c r="Q6349" s="5" t="s">
        <v>355</v>
      </c>
    </row>
    <row r="6350" ht="16.5" customHeight="1">
      <c r="O6350" s="5" t="s">
        <v>355</v>
      </c>
      <c r="P6350" s="5" t="s">
        <v>355</v>
      </c>
      <c r="Q6350" s="5" t="s">
        <v>355</v>
      </c>
    </row>
    <row r="6351" ht="16.5" customHeight="1">
      <c r="O6351" s="5" t="s">
        <v>355</v>
      </c>
      <c r="P6351" s="5" t="s">
        <v>355</v>
      </c>
      <c r="Q6351" s="5" t="s">
        <v>355</v>
      </c>
    </row>
    <row r="6352" ht="16.5" customHeight="1">
      <c r="O6352" s="5" t="s">
        <v>355</v>
      </c>
      <c r="P6352" s="5" t="s">
        <v>355</v>
      </c>
      <c r="Q6352" s="5" t="s">
        <v>355</v>
      </c>
    </row>
    <row r="6353" ht="16.5" customHeight="1">
      <c r="O6353" s="5" t="s">
        <v>355</v>
      </c>
      <c r="P6353" s="5" t="s">
        <v>355</v>
      </c>
      <c r="Q6353" s="5" t="s">
        <v>355</v>
      </c>
    </row>
    <row r="6354" ht="16.5" customHeight="1">
      <c r="O6354" s="5" t="s">
        <v>355</v>
      </c>
      <c r="P6354" s="5" t="s">
        <v>355</v>
      </c>
      <c r="Q6354" s="5" t="s">
        <v>355</v>
      </c>
    </row>
    <row r="6355" ht="16.5" customHeight="1">
      <c r="O6355" s="5" t="s">
        <v>355</v>
      </c>
      <c r="P6355" s="5" t="s">
        <v>355</v>
      </c>
      <c r="Q6355" s="5" t="s">
        <v>355</v>
      </c>
    </row>
    <row r="6356" ht="16.5" customHeight="1">
      <c r="O6356" s="5" t="s">
        <v>355</v>
      </c>
      <c r="P6356" s="5" t="s">
        <v>355</v>
      </c>
      <c r="Q6356" s="5" t="s">
        <v>355</v>
      </c>
    </row>
    <row r="6357" ht="16.5" customHeight="1">
      <c r="O6357" s="5" t="s">
        <v>355</v>
      </c>
      <c r="P6357" s="5" t="s">
        <v>355</v>
      </c>
      <c r="Q6357" s="5" t="s">
        <v>355</v>
      </c>
    </row>
    <row r="6358" ht="16.5" customHeight="1">
      <c r="O6358" s="5" t="s">
        <v>355</v>
      </c>
      <c r="P6358" s="5" t="s">
        <v>355</v>
      </c>
      <c r="Q6358" s="5" t="s">
        <v>355</v>
      </c>
    </row>
    <row r="6359" ht="16.5" customHeight="1">
      <c r="O6359" s="5" t="s">
        <v>355</v>
      </c>
      <c r="P6359" s="5" t="s">
        <v>355</v>
      </c>
      <c r="Q6359" s="5" t="s">
        <v>355</v>
      </c>
    </row>
    <row r="6360" ht="16.5" customHeight="1">
      <c r="O6360" s="5" t="s">
        <v>355</v>
      </c>
      <c r="P6360" s="5" t="s">
        <v>355</v>
      </c>
      <c r="Q6360" s="5" t="s">
        <v>355</v>
      </c>
    </row>
    <row r="6361" ht="16.5" customHeight="1">
      <c r="O6361" s="5" t="s">
        <v>355</v>
      </c>
      <c r="P6361" s="5" t="s">
        <v>355</v>
      </c>
      <c r="Q6361" s="5" t="s">
        <v>355</v>
      </c>
    </row>
    <row r="6362" ht="16.5" customHeight="1">
      <c r="O6362" s="5" t="s">
        <v>355</v>
      </c>
      <c r="P6362" s="5" t="s">
        <v>355</v>
      </c>
      <c r="Q6362" s="5" t="s">
        <v>355</v>
      </c>
    </row>
    <row r="6363" ht="16.5" customHeight="1">
      <c r="O6363" s="5" t="s">
        <v>355</v>
      </c>
      <c r="P6363" s="5" t="s">
        <v>355</v>
      </c>
      <c r="Q6363" s="5" t="s">
        <v>355</v>
      </c>
    </row>
    <row r="6364" ht="16.5" customHeight="1">
      <c r="O6364" s="5" t="s">
        <v>355</v>
      </c>
      <c r="P6364" s="5" t="s">
        <v>355</v>
      </c>
      <c r="Q6364" s="5" t="s">
        <v>355</v>
      </c>
    </row>
    <row r="6365" ht="16.5" customHeight="1">
      <c r="O6365" s="5" t="s">
        <v>355</v>
      </c>
      <c r="P6365" s="5" t="s">
        <v>355</v>
      </c>
      <c r="Q6365" s="5" t="s">
        <v>355</v>
      </c>
    </row>
    <row r="6366" ht="16.5" customHeight="1">
      <c r="O6366" s="5" t="s">
        <v>355</v>
      </c>
      <c r="P6366" s="5" t="s">
        <v>355</v>
      </c>
      <c r="Q6366" s="5" t="s">
        <v>355</v>
      </c>
    </row>
    <row r="6367" ht="16.5" customHeight="1">
      <c r="O6367" s="5" t="s">
        <v>355</v>
      </c>
      <c r="P6367" s="5" t="s">
        <v>355</v>
      </c>
      <c r="Q6367" s="5" t="s">
        <v>355</v>
      </c>
    </row>
    <row r="6368" ht="16.5" customHeight="1">
      <c r="O6368" s="5" t="s">
        <v>355</v>
      </c>
      <c r="P6368" s="5" t="s">
        <v>355</v>
      </c>
      <c r="Q6368" s="5" t="s">
        <v>355</v>
      </c>
    </row>
    <row r="6369" ht="16.5" customHeight="1">
      <c r="O6369" s="5" t="s">
        <v>355</v>
      </c>
      <c r="P6369" s="5" t="s">
        <v>355</v>
      </c>
      <c r="Q6369" s="5" t="s">
        <v>355</v>
      </c>
    </row>
    <row r="6370" ht="16.5" customHeight="1">
      <c r="O6370" s="5" t="s">
        <v>355</v>
      </c>
      <c r="P6370" s="5" t="s">
        <v>355</v>
      </c>
      <c r="Q6370" s="5" t="s">
        <v>355</v>
      </c>
    </row>
    <row r="6371" ht="16.5" customHeight="1">
      <c r="O6371" s="5" t="s">
        <v>355</v>
      </c>
      <c r="P6371" s="5" t="s">
        <v>355</v>
      </c>
      <c r="Q6371" s="5" t="s">
        <v>355</v>
      </c>
    </row>
    <row r="6372" ht="16.5" customHeight="1">
      <c r="O6372" s="5" t="s">
        <v>355</v>
      </c>
      <c r="P6372" s="5" t="s">
        <v>355</v>
      </c>
      <c r="Q6372" s="5" t="s">
        <v>355</v>
      </c>
    </row>
    <row r="6373" ht="16.5" customHeight="1">
      <c r="O6373" s="5" t="s">
        <v>355</v>
      </c>
      <c r="P6373" s="5" t="s">
        <v>355</v>
      </c>
      <c r="Q6373" s="5" t="s">
        <v>355</v>
      </c>
    </row>
    <row r="6374" ht="16.5" customHeight="1">
      <c r="O6374" s="5" t="s">
        <v>355</v>
      </c>
      <c r="P6374" s="5" t="s">
        <v>355</v>
      </c>
      <c r="Q6374" s="5" t="s">
        <v>355</v>
      </c>
    </row>
    <row r="6375" ht="16.5" customHeight="1">
      <c r="O6375" s="5" t="s">
        <v>355</v>
      </c>
      <c r="P6375" s="5" t="s">
        <v>355</v>
      </c>
      <c r="Q6375" s="5" t="s">
        <v>355</v>
      </c>
    </row>
    <row r="6376" ht="16.5" customHeight="1">
      <c r="O6376" s="5" t="s">
        <v>355</v>
      </c>
      <c r="P6376" s="5" t="s">
        <v>355</v>
      </c>
      <c r="Q6376" s="5" t="s">
        <v>355</v>
      </c>
    </row>
    <row r="6377" ht="16.5" customHeight="1">
      <c r="O6377" s="5" t="s">
        <v>355</v>
      </c>
      <c r="P6377" s="5" t="s">
        <v>355</v>
      </c>
      <c r="Q6377" s="5" t="s">
        <v>355</v>
      </c>
    </row>
    <row r="6378" ht="16.5" customHeight="1">
      <c r="O6378" s="5" t="s">
        <v>355</v>
      </c>
      <c r="P6378" s="5" t="s">
        <v>355</v>
      </c>
      <c r="Q6378" s="5" t="s">
        <v>355</v>
      </c>
    </row>
    <row r="6379" ht="16.5" customHeight="1">
      <c r="O6379" s="5" t="s">
        <v>355</v>
      </c>
      <c r="P6379" s="5" t="s">
        <v>355</v>
      </c>
      <c r="Q6379" s="5" t="s">
        <v>355</v>
      </c>
    </row>
    <row r="6380" ht="16.5" customHeight="1">
      <c r="O6380" s="5" t="s">
        <v>355</v>
      </c>
      <c r="P6380" s="5" t="s">
        <v>355</v>
      </c>
      <c r="Q6380" s="5" t="s">
        <v>355</v>
      </c>
    </row>
    <row r="6381" ht="16.5" customHeight="1">
      <c r="O6381" s="5" t="s">
        <v>355</v>
      </c>
      <c r="P6381" s="5" t="s">
        <v>355</v>
      </c>
      <c r="Q6381" s="5" t="s">
        <v>355</v>
      </c>
    </row>
    <row r="6382" ht="16.5" customHeight="1">
      <c r="O6382" s="5" t="s">
        <v>355</v>
      </c>
      <c r="P6382" s="5" t="s">
        <v>355</v>
      </c>
      <c r="Q6382" s="5" t="s">
        <v>355</v>
      </c>
    </row>
    <row r="6383" ht="16.5" customHeight="1">
      <c r="O6383" s="5" t="s">
        <v>355</v>
      </c>
      <c r="P6383" s="5" t="s">
        <v>355</v>
      </c>
      <c r="Q6383" s="5" t="s">
        <v>355</v>
      </c>
    </row>
    <row r="6384" ht="16.5" customHeight="1">
      <c r="O6384" s="5" t="s">
        <v>355</v>
      </c>
      <c r="P6384" s="5" t="s">
        <v>355</v>
      </c>
      <c r="Q6384" s="5" t="s">
        <v>355</v>
      </c>
    </row>
    <row r="6385" ht="16.5" customHeight="1">
      <c r="O6385" s="5" t="s">
        <v>355</v>
      </c>
      <c r="P6385" s="5" t="s">
        <v>355</v>
      </c>
      <c r="Q6385" s="5" t="s">
        <v>355</v>
      </c>
    </row>
    <row r="6386" ht="16.5" customHeight="1">
      <c r="O6386" s="5" t="s">
        <v>355</v>
      </c>
      <c r="P6386" s="5" t="s">
        <v>355</v>
      </c>
      <c r="Q6386" s="5" t="s">
        <v>355</v>
      </c>
    </row>
    <row r="6387" ht="16.5" customHeight="1">
      <c r="O6387" s="5" t="s">
        <v>355</v>
      </c>
      <c r="P6387" s="5" t="s">
        <v>355</v>
      </c>
      <c r="Q6387" s="5" t="s">
        <v>355</v>
      </c>
    </row>
    <row r="6388" ht="16.5" customHeight="1">
      <c r="O6388" s="5" t="s">
        <v>355</v>
      </c>
      <c r="P6388" s="5" t="s">
        <v>355</v>
      </c>
      <c r="Q6388" s="5" t="s">
        <v>355</v>
      </c>
    </row>
    <row r="6389" ht="16.5" customHeight="1">
      <c r="O6389" s="5" t="s">
        <v>355</v>
      </c>
      <c r="P6389" s="5" t="s">
        <v>355</v>
      </c>
      <c r="Q6389" s="5" t="s">
        <v>355</v>
      </c>
    </row>
    <row r="6390" ht="16.5" customHeight="1">
      <c r="O6390" s="5" t="s">
        <v>355</v>
      </c>
      <c r="P6390" s="5" t="s">
        <v>355</v>
      </c>
      <c r="Q6390" s="5" t="s">
        <v>355</v>
      </c>
    </row>
    <row r="6391" ht="16.5" customHeight="1">
      <c r="O6391" s="5" t="s">
        <v>355</v>
      </c>
      <c r="P6391" s="5" t="s">
        <v>355</v>
      </c>
      <c r="Q6391" s="5" t="s">
        <v>355</v>
      </c>
    </row>
    <row r="6392" ht="16.5" customHeight="1">
      <c r="O6392" s="5" t="s">
        <v>355</v>
      </c>
      <c r="P6392" s="5" t="s">
        <v>355</v>
      </c>
      <c r="Q6392" s="5" t="s">
        <v>355</v>
      </c>
    </row>
    <row r="6393" ht="16.5" customHeight="1">
      <c r="O6393" s="5" t="s">
        <v>355</v>
      </c>
      <c r="P6393" s="5" t="s">
        <v>355</v>
      </c>
      <c r="Q6393" s="5" t="s">
        <v>355</v>
      </c>
    </row>
    <row r="6394" ht="16.5" customHeight="1">
      <c r="O6394" s="5" t="s">
        <v>355</v>
      </c>
      <c r="P6394" s="5" t="s">
        <v>355</v>
      </c>
      <c r="Q6394" s="5" t="s">
        <v>355</v>
      </c>
    </row>
    <row r="6395" ht="16.5" customHeight="1">
      <c r="O6395" s="5" t="s">
        <v>355</v>
      </c>
      <c r="P6395" s="5" t="s">
        <v>355</v>
      </c>
      <c r="Q6395" s="5" t="s">
        <v>355</v>
      </c>
    </row>
    <row r="6396" ht="16.5" customHeight="1">
      <c r="O6396" s="5" t="s">
        <v>355</v>
      </c>
      <c r="P6396" s="5" t="s">
        <v>355</v>
      </c>
      <c r="Q6396" s="5" t="s">
        <v>355</v>
      </c>
    </row>
    <row r="6397" ht="16.5" customHeight="1">
      <c r="O6397" s="5" t="s">
        <v>355</v>
      </c>
      <c r="P6397" s="5" t="s">
        <v>355</v>
      </c>
      <c r="Q6397" s="5" t="s">
        <v>355</v>
      </c>
    </row>
    <row r="6398" ht="16.5" customHeight="1">
      <c r="O6398" s="5" t="s">
        <v>355</v>
      </c>
      <c r="P6398" s="5" t="s">
        <v>355</v>
      </c>
      <c r="Q6398" s="5" t="s">
        <v>355</v>
      </c>
    </row>
    <row r="6399" ht="16.5" customHeight="1">
      <c r="O6399" s="5" t="s">
        <v>355</v>
      </c>
      <c r="P6399" s="5" t="s">
        <v>355</v>
      </c>
      <c r="Q6399" s="5" t="s">
        <v>355</v>
      </c>
    </row>
    <row r="6400" ht="16.5" customHeight="1">
      <c r="O6400" s="5" t="s">
        <v>355</v>
      </c>
      <c r="P6400" s="5" t="s">
        <v>355</v>
      </c>
      <c r="Q6400" s="5" t="s">
        <v>355</v>
      </c>
    </row>
    <row r="6401" ht="16.5" customHeight="1">
      <c r="O6401" s="5" t="s">
        <v>355</v>
      </c>
      <c r="P6401" s="5" t="s">
        <v>355</v>
      </c>
      <c r="Q6401" s="5" t="s">
        <v>355</v>
      </c>
    </row>
    <row r="6402" ht="16.5" customHeight="1">
      <c r="O6402" s="5" t="s">
        <v>355</v>
      </c>
      <c r="P6402" s="5" t="s">
        <v>355</v>
      </c>
      <c r="Q6402" s="5" t="s">
        <v>355</v>
      </c>
    </row>
    <row r="6403" ht="16.5" customHeight="1">
      <c r="O6403" s="5" t="s">
        <v>355</v>
      </c>
      <c r="P6403" s="5" t="s">
        <v>355</v>
      </c>
      <c r="Q6403" s="5" t="s">
        <v>355</v>
      </c>
    </row>
    <row r="6404" ht="16.5" customHeight="1">
      <c r="O6404" s="5" t="s">
        <v>355</v>
      </c>
      <c r="P6404" s="5" t="s">
        <v>355</v>
      </c>
      <c r="Q6404" s="5" t="s">
        <v>355</v>
      </c>
    </row>
    <row r="6405" ht="16.5" customHeight="1">
      <c r="O6405" s="5" t="s">
        <v>355</v>
      </c>
      <c r="P6405" s="5" t="s">
        <v>355</v>
      </c>
      <c r="Q6405" s="5" t="s">
        <v>355</v>
      </c>
    </row>
    <row r="6406" ht="16.5" customHeight="1">
      <c r="O6406" s="5" t="s">
        <v>355</v>
      </c>
      <c r="P6406" s="5" t="s">
        <v>355</v>
      </c>
      <c r="Q6406" s="5" t="s">
        <v>355</v>
      </c>
    </row>
    <row r="6407" ht="16.5" customHeight="1">
      <c r="O6407" s="5" t="s">
        <v>355</v>
      </c>
      <c r="P6407" s="5" t="s">
        <v>355</v>
      </c>
      <c r="Q6407" s="5" t="s">
        <v>355</v>
      </c>
    </row>
    <row r="6408" ht="16.5" customHeight="1">
      <c r="O6408" s="5" t="s">
        <v>355</v>
      </c>
      <c r="P6408" s="5" t="s">
        <v>355</v>
      </c>
      <c r="Q6408" s="5" t="s">
        <v>355</v>
      </c>
    </row>
    <row r="6409" ht="16.5" customHeight="1">
      <c r="O6409" s="5" t="s">
        <v>355</v>
      </c>
      <c r="P6409" s="5" t="s">
        <v>355</v>
      </c>
      <c r="Q6409" s="5" t="s">
        <v>355</v>
      </c>
    </row>
    <row r="6410" ht="16.5" customHeight="1">
      <c r="O6410" s="5" t="s">
        <v>355</v>
      </c>
      <c r="P6410" s="5" t="s">
        <v>355</v>
      </c>
      <c r="Q6410" s="5" t="s">
        <v>355</v>
      </c>
    </row>
    <row r="6411" ht="16.5" customHeight="1">
      <c r="O6411" s="5" t="s">
        <v>355</v>
      </c>
      <c r="P6411" s="5" t="s">
        <v>355</v>
      </c>
      <c r="Q6411" s="5" t="s">
        <v>355</v>
      </c>
    </row>
    <row r="6412" ht="16.5" customHeight="1">
      <c r="O6412" s="5" t="s">
        <v>355</v>
      </c>
      <c r="P6412" s="5" t="s">
        <v>355</v>
      </c>
      <c r="Q6412" s="5" t="s">
        <v>355</v>
      </c>
    </row>
    <row r="6413" ht="16.5" customHeight="1">
      <c r="O6413" s="5" t="s">
        <v>355</v>
      </c>
      <c r="P6413" s="5" t="s">
        <v>355</v>
      </c>
      <c r="Q6413" s="5" t="s">
        <v>355</v>
      </c>
    </row>
    <row r="6414" ht="16.5" customHeight="1">
      <c r="O6414" s="5" t="s">
        <v>355</v>
      </c>
      <c r="P6414" s="5" t="s">
        <v>355</v>
      </c>
      <c r="Q6414" s="5" t="s">
        <v>355</v>
      </c>
    </row>
    <row r="6415" ht="16.5" customHeight="1">
      <c r="O6415" s="5" t="s">
        <v>355</v>
      </c>
      <c r="P6415" s="5" t="s">
        <v>355</v>
      </c>
      <c r="Q6415" s="5" t="s">
        <v>355</v>
      </c>
    </row>
    <row r="6416" ht="16.5" customHeight="1">
      <c r="O6416" s="5" t="s">
        <v>355</v>
      </c>
      <c r="P6416" s="5" t="s">
        <v>355</v>
      </c>
      <c r="Q6416" s="5" t="s">
        <v>355</v>
      </c>
    </row>
    <row r="6417" ht="16.5" customHeight="1">
      <c r="O6417" s="5" t="s">
        <v>355</v>
      </c>
      <c r="P6417" s="5" t="s">
        <v>355</v>
      </c>
      <c r="Q6417" s="5" t="s">
        <v>355</v>
      </c>
    </row>
    <row r="6418" ht="16.5" customHeight="1">
      <c r="O6418" s="5" t="s">
        <v>355</v>
      </c>
      <c r="P6418" s="5" t="s">
        <v>355</v>
      </c>
      <c r="Q6418" s="5" t="s">
        <v>355</v>
      </c>
    </row>
    <row r="6419" ht="16.5" customHeight="1">
      <c r="O6419" s="5" t="s">
        <v>355</v>
      </c>
      <c r="P6419" s="5" t="s">
        <v>355</v>
      </c>
      <c r="Q6419" s="5" t="s">
        <v>355</v>
      </c>
    </row>
    <row r="6420" ht="16.5" customHeight="1">
      <c r="O6420" s="5" t="s">
        <v>355</v>
      </c>
      <c r="P6420" s="5" t="s">
        <v>355</v>
      </c>
      <c r="Q6420" s="5" t="s">
        <v>355</v>
      </c>
    </row>
    <row r="6421" ht="16.5" customHeight="1">
      <c r="O6421" s="5" t="s">
        <v>355</v>
      </c>
      <c r="P6421" s="5" t="s">
        <v>355</v>
      </c>
      <c r="Q6421" s="5" t="s">
        <v>355</v>
      </c>
    </row>
    <row r="6422" ht="16.5" customHeight="1">
      <c r="O6422" s="5" t="s">
        <v>355</v>
      </c>
      <c r="P6422" s="5" t="s">
        <v>355</v>
      </c>
      <c r="Q6422" s="5" t="s">
        <v>355</v>
      </c>
    </row>
    <row r="6423" ht="16.5" customHeight="1">
      <c r="O6423" s="5" t="s">
        <v>355</v>
      </c>
      <c r="P6423" s="5" t="s">
        <v>355</v>
      </c>
      <c r="Q6423" s="5" t="s">
        <v>355</v>
      </c>
    </row>
    <row r="6424" ht="16.5" customHeight="1">
      <c r="O6424" s="5" t="s">
        <v>355</v>
      </c>
      <c r="P6424" s="5" t="s">
        <v>355</v>
      </c>
      <c r="Q6424" s="5" t="s">
        <v>355</v>
      </c>
    </row>
    <row r="6425" ht="16.5" customHeight="1">
      <c r="O6425" s="5" t="s">
        <v>355</v>
      </c>
      <c r="P6425" s="5" t="s">
        <v>355</v>
      </c>
      <c r="Q6425" s="5" t="s">
        <v>355</v>
      </c>
    </row>
    <row r="6426" ht="16.5" customHeight="1">
      <c r="O6426" s="5" t="s">
        <v>355</v>
      </c>
      <c r="P6426" s="5" t="s">
        <v>355</v>
      </c>
      <c r="Q6426" s="5" t="s">
        <v>355</v>
      </c>
    </row>
    <row r="6427" ht="16.5" customHeight="1">
      <c r="O6427" s="5" t="s">
        <v>355</v>
      </c>
      <c r="P6427" s="5" t="s">
        <v>355</v>
      </c>
      <c r="Q6427" s="5" t="s">
        <v>355</v>
      </c>
    </row>
    <row r="6428" ht="16.5" customHeight="1">
      <c r="O6428" s="5" t="s">
        <v>355</v>
      </c>
      <c r="P6428" s="5" t="s">
        <v>355</v>
      </c>
      <c r="Q6428" s="5" t="s">
        <v>355</v>
      </c>
    </row>
    <row r="6429" ht="16.5" customHeight="1">
      <c r="O6429" s="5" t="s">
        <v>355</v>
      </c>
      <c r="P6429" s="5" t="s">
        <v>355</v>
      </c>
      <c r="Q6429" s="5" t="s">
        <v>355</v>
      </c>
    </row>
    <row r="6430" ht="16.5" customHeight="1">
      <c r="O6430" s="5" t="s">
        <v>355</v>
      </c>
      <c r="P6430" s="5" t="s">
        <v>355</v>
      </c>
      <c r="Q6430" s="5" t="s">
        <v>355</v>
      </c>
    </row>
    <row r="6431" ht="16.5" customHeight="1">
      <c r="O6431" s="5" t="s">
        <v>355</v>
      </c>
      <c r="P6431" s="5" t="s">
        <v>355</v>
      </c>
      <c r="Q6431" s="5" t="s">
        <v>355</v>
      </c>
    </row>
    <row r="6432" ht="16.5" customHeight="1">
      <c r="O6432" s="5" t="s">
        <v>355</v>
      </c>
      <c r="P6432" s="5" t="s">
        <v>355</v>
      </c>
      <c r="Q6432" s="5" t="s">
        <v>355</v>
      </c>
    </row>
    <row r="6433" ht="16.5" customHeight="1">
      <c r="O6433" s="5" t="s">
        <v>355</v>
      </c>
      <c r="P6433" s="5" t="s">
        <v>355</v>
      </c>
      <c r="Q6433" s="5" t="s">
        <v>355</v>
      </c>
    </row>
    <row r="6434" ht="16.5" customHeight="1">
      <c r="O6434" s="5" t="s">
        <v>355</v>
      </c>
      <c r="P6434" s="5" t="s">
        <v>355</v>
      </c>
      <c r="Q6434" s="5" t="s">
        <v>355</v>
      </c>
    </row>
    <row r="6435" ht="16.5" customHeight="1">
      <c r="O6435" s="5" t="s">
        <v>355</v>
      </c>
      <c r="P6435" s="5" t="s">
        <v>355</v>
      </c>
      <c r="Q6435" s="5" t="s">
        <v>355</v>
      </c>
    </row>
    <row r="6436" ht="16.5" customHeight="1">
      <c r="O6436" s="5" t="s">
        <v>355</v>
      </c>
      <c r="P6436" s="5" t="s">
        <v>355</v>
      </c>
      <c r="Q6436" s="5" t="s">
        <v>355</v>
      </c>
    </row>
    <row r="6437" ht="16.5" customHeight="1">
      <c r="O6437" s="5" t="s">
        <v>355</v>
      </c>
      <c r="P6437" s="5" t="s">
        <v>355</v>
      </c>
      <c r="Q6437" s="5" t="s">
        <v>355</v>
      </c>
    </row>
    <row r="6438" ht="16.5" customHeight="1">
      <c r="O6438" s="5" t="s">
        <v>355</v>
      </c>
      <c r="P6438" s="5" t="s">
        <v>355</v>
      </c>
      <c r="Q6438" s="5" t="s">
        <v>355</v>
      </c>
    </row>
    <row r="6439" ht="16.5" customHeight="1">
      <c r="O6439" s="5" t="s">
        <v>355</v>
      </c>
      <c r="P6439" s="5" t="s">
        <v>355</v>
      </c>
      <c r="Q6439" s="5" t="s">
        <v>355</v>
      </c>
    </row>
    <row r="6440" ht="16.5" customHeight="1">
      <c r="O6440" s="5" t="s">
        <v>355</v>
      </c>
      <c r="P6440" s="5" t="s">
        <v>355</v>
      </c>
      <c r="Q6440" s="5" t="s">
        <v>355</v>
      </c>
    </row>
    <row r="6441" ht="16.5" customHeight="1">
      <c r="O6441" s="5" t="s">
        <v>355</v>
      </c>
      <c r="P6441" s="5" t="s">
        <v>355</v>
      </c>
      <c r="Q6441" s="5" t="s">
        <v>355</v>
      </c>
    </row>
    <row r="6442" ht="16.5" customHeight="1">
      <c r="O6442" s="5" t="s">
        <v>355</v>
      </c>
      <c r="P6442" s="5" t="s">
        <v>355</v>
      </c>
      <c r="Q6442" s="5" t="s">
        <v>355</v>
      </c>
    </row>
    <row r="6443" ht="16.5" customHeight="1">
      <c r="O6443" s="5" t="s">
        <v>355</v>
      </c>
      <c r="P6443" s="5" t="s">
        <v>355</v>
      </c>
      <c r="Q6443" s="5" t="s">
        <v>355</v>
      </c>
    </row>
    <row r="6444" ht="16.5" customHeight="1">
      <c r="O6444" s="5" t="s">
        <v>355</v>
      </c>
      <c r="P6444" s="5" t="s">
        <v>355</v>
      </c>
      <c r="Q6444" s="5" t="s">
        <v>355</v>
      </c>
    </row>
    <row r="6445" ht="16.5" customHeight="1">
      <c r="O6445" s="5" t="s">
        <v>355</v>
      </c>
      <c r="P6445" s="5" t="s">
        <v>355</v>
      </c>
      <c r="Q6445" s="5" t="s">
        <v>355</v>
      </c>
    </row>
    <row r="6446" ht="16.5" customHeight="1">
      <c r="O6446" s="5" t="s">
        <v>355</v>
      </c>
      <c r="P6446" s="5" t="s">
        <v>355</v>
      </c>
      <c r="Q6446" s="5" t="s">
        <v>355</v>
      </c>
    </row>
    <row r="6447" ht="16.5" customHeight="1">
      <c r="O6447" s="5" t="s">
        <v>355</v>
      </c>
      <c r="P6447" s="5" t="s">
        <v>355</v>
      </c>
      <c r="Q6447" s="5" t="s">
        <v>355</v>
      </c>
    </row>
    <row r="6448" ht="16.5" customHeight="1">
      <c r="O6448" s="5" t="s">
        <v>355</v>
      </c>
      <c r="P6448" s="5" t="s">
        <v>355</v>
      </c>
      <c r="Q6448" s="5" t="s">
        <v>355</v>
      </c>
    </row>
    <row r="6449" ht="16.5" customHeight="1">
      <c r="O6449" s="5" t="s">
        <v>355</v>
      </c>
      <c r="P6449" s="5" t="s">
        <v>355</v>
      </c>
      <c r="Q6449" s="5" t="s">
        <v>355</v>
      </c>
    </row>
    <row r="6450" ht="16.5" customHeight="1">
      <c r="O6450" s="5" t="s">
        <v>355</v>
      </c>
      <c r="P6450" s="5" t="s">
        <v>355</v>
      </c>
      <c r="Q6450" s="5" t="s">
        <v>355</v>
      </c>
    </row>
    <row r="6451" ht="16.5" customHeight="1">
      <c r="O6451" s="5" t="s">
        <v>355</v>
      </c>
      <c r="P6451" s="5" t="s">
        <v>355</v>
      </c>
      <c r="Q6451" s="5" t="s">
        <v>355</v>
      </c>
    </row>
    <row r="6452" ht="16.5" customHeight="1">
      <c r="O6452" s="5" t="s">
        <v>355</v>
      </c>
      <c r="P6452" s="5" t="s">
        <v>355</v>
      </c>
      <c r="Q6452" s="5" t="s">
        <v>355</v>
      </c>
    </row>
    <row r="6453" ht="16.5" customHeight="1">
      <c r="O6453" s="5" t="s">
        <v>355</v>
      </c>
      <c r="P6453" s="5" t="s">
        <v>355</v>
      </c>
      <c r="Q6453" s="5" t="s">
        <v>355</v>
      </c>
    </row>
    <row r="6454" ht="16.5" customHeight="1">
      <c r="O6454" s="5" t="s">
        <v>355</v>
      </c>
      <c r="P6454" s="5" t="s">
        <v>355</v>
      </c>
      <c r="Q6454" s="5" t="s">
        <v>355</v>
      </c>
    </row>
    <row r="6455" ht="16.5" customHeight="1">
      <c r="O6455" s="5" t="s">
        <v>355</v>
      </c>
      <c r="P6455" s="5" t="s">
        <v>355</v>
      </c>
      <c r="Q6455" s="5" t="s">
        <v>355</v>
      </c>
    </row>
    <row r="6456" ht="16.5" customHeight="1">
      <c r="O6456" s="5" t="s">
        <v>355</v>
      </c>
      <c r="P6456" s="5" t="s">
        <v>355</v>
      </c>
      <c r="Q6456" s="5" t="s">
        <v>355</v>
      </c>
    </row>
    <row r="6457" ht="16.5" customHeight="1">
      <c r="O6457" s="5" t="s">
        <v>355</v>
      </c>
      <c r="P6457" s="5" t="s">
        <v>355</v>
      </c>
      <c r="Q6457" s="5" t="s">
        <v>355</v>
      </c>
    </row>
    <row r="6458" ht="16.5" customHeight="1">
      <c r="O6458" s="5" t="s">
        <v>355</v>
      </c>
      <c r="P6458" s="5" t="s">
        <v>355</v>
      </c>
      <c r="Q6458" s="5" t="s">
        <v>355</v>
      </c>
    </row>
    <row r="6459" ht="16.5" customHeight="1">
      <c r="O6459" s="5" t="s">
        <v>355</v>
      </c>
      <c r="P6459" s="5" t="s">
        <v>355</v>
      </c>
      <c r="Q6459" s="5" t="s">
        <v>355</v>
      </c>
    </row>
    <row r="6460" ht="16.5" customHeight="1">
      <c r="O6460" s="5" t="s">
        <v>355</v>
      </c>
      <c r="P6460" s="5" t="s">
        <v>355</v>
      </c>
      <c r="Q6460" s="5" t="s">
        <v>355</v>
      </c>
    </row>
    <row r="6461" ht="16.5" customHeight="1">
      <c r="O6461" s="5" t="s">
        <v>355</v>
      </c>
      <c r="P6461" s="5" t="s">
        <v>355</v>
      </c>
      <c r="Q6461" s="5" t="s">
        <v>355</v>
      </c>
    </row>
    <row r="6462" ht="16.5" customHeight="1">
      <c r="O6462" s="5" t="s">
        <v>355</v>
      </c>
      <c r="P6462" s="5" t="s">
        <v>355</v>
      </c>
      <c r="Q6462" s="5" t="s">
        <v>355</v>
      </c>
    </row>
    <row r="6463" ht="16.5" customHeight="1">
      <c r="O6463" s="5" t="s">
        <v>355</v>
      </c>
      <c r="P6463" s="5" t="s">
        <v>355</v>
      </c>
      <c r="Q6463" s="5" t="s">
        <v>355</v>
      </c>
    </row>
    <row r="6464" ht="16.5" customHeight="1">
      <c r="O6464" s="5" t="s">
        <v>355</v>
      </c>
      <c r="P6464" s="5" t="s">
        <v>355</v>
      </c>
      <c r="Q6464" s="5" t="s">
        <v>355</v>
      </c>
    </row>
    <row r="6465" ht="16.5" customHeight="1">
      <c r="O6465" s="5" t="s">
        <v>355</v>
      </c>
      <c r="P6465" s="5" t="s">
        <v>355</v>
      </c>
      <c r="Q6465" s="5" t="s">
        <v>355</v>
      </c>
    </row>
    <row r="6466" ht="16.5" customHeight="1">
      <c r="O6466" s="5" t="s">
        <v>355</v>
      </c>
      <c r="P6466" s="5" t="s">
        <v>355</v>
      </c>
      <c r="Q6466" s="5" t="s">
        <v>355</v>
      </c>
    </row>
    <row r="6467" ht="16.5" customHeight="1">
      <c r="O6467" s="5" t="s">
        <v>355</v>
      </c>
      <c r="P6467" s="5" t="s">
        <v>355</v>
      </c>
      <c r="Q6467" s="5" t="s">
        <v>355</v>
      </c>
    </row>
    <row r="6468" ht="16.5" customHeight="1">
      <c r="O6468" s="5" t="s">
        <v>355</v>
      </c>
      <c r="P6468" s="5" t="s">
        <v>355</v>
      </c>
      <c r="Q6468" s="5" t="s">
        <v>355</v>
      </c>
    </row>
    <row r="6469" ht="16.5" customHeight="1">
      <c r="O6469" s="5" t="s">
        <v>355</v>
      </c>
      <c r="P6469" s="5" t="s">
        <v>355</v>
      </c>
      <c r="Q6469" s="5" t="s">
        <v>355</v>
      </c>
    </row>
    <row r="6470" ht="16.5" customHeight="1">
      <c r="O6470" s="5" t="s">
        <v>355</v>
      </c>
      <c r="P6470" s="5" t="s">
        <v>355</v>
      </c>
      <c r="Q6470" s="5" t="s">
        <v>355</v>
      </c>
    </row>
    <row r="6471" ht="16.5" customHeight="1">
      <c r="O6471" s="5" t="s">
        <v>355</v>
      </c>
      <c r="P6471" s="5" t="s">
        <v>355</v>
      </c>
      <c r="Q6471" s="5" t="s">
        <v>355</v>
      </c>
    </row>
    <row r="6472" ht="16.5" customHeight="1">
      <c r="O6472" s="5" t="s">
        <v>355</v>
      </c>
      <c r="P6472" s="5" t="s">
        <v>355</v>
      </c>
      <c r="Q6472" s="5" t="s">
        <v>355</v>
      </c>
    </row>
    <row r="6473" ht="16.5" customHeight="1">
      <c r="O6473" s="5" t="s">
        <v>355</v>
      </c>
      <c r="P6473" s="5" t="s">
        <v>355</v>
      </c>
      <c r="Q6473" s="5" t="s">
        <v>355</v>
      </c>
    </row>
    <row r="6474" ht="16.5" customHeight="1">
      <c r="O6474" s="5" t="s">
        <v>355</v>
      </c>
      <c r="P6474" s="5" t="s">
        <v>355</v>
      </c>
      <c r="Q6474" s="5" t="s">
        <v>355</v>
      </c>
    </row>
    <row r="6475" ht="16.5" customHeight="1">
      <c r="O6475" s="5" t="s">
        <v>355</v>
      </c>
      <c r="P6475" s="5" t="s">
        <v>355</v>
      </c>
      <c r="Q6475" s="5" t="s">
        <v>355</v>
      </c>
    </row>
    <row r="6476" ht="16.5" customHeight="1">
      <c r="O6476" s="5" t="s">
        <v>355</v>
      </c>
      <c r="P6476" s="5" t="s">
        <v>355</v>
      </c>
      <c r="Q6476" s="5" t="s">
        <v>355</v>
      </c>
    </row>
    <row r="6477" ht="16.5" customHeight="1">
      <c r="O6477" s="5" t="s">
        <v>355</v>
      </c>
      <c r="P6477" s="5" t="s">
        <v>355</v>
      </c>
      <c r="Q6477" s="5" t="s">
        <v>355</v>
      </c>
    </row>
    <row r="6478" ht="16.5" customHeight="1">
      <c r="O6478" s="5" t="s">
        <v>355</v>
      </c>
      <c r="P6478" s="5" t="s">
        <v>355</v>
      </c>
      <c r="Q6478" s="5" t="s">
        <v>355</v>
      </c>
    </row>
    <row r="6479" ht="16.5" customHeight="1">
      <c r="O6479" s="5" t="s">
        <v>355</v>
      </c>
      <c r="P6479" s="5" t="s">
        <v>355</v>
      </c>
      <c r="Q6479" s="5" t="s">
        <v>355</v>
      </c>
    </row>
    <row r="6480" ht="16.5" customHeight="1">
      <c r="O6480" s="5" t="s">
        <v>355</v>
      </c>
      <c r="P6480" s="5" t="s">
        <v>355</v>
      </c>
      <c r="Q6480" s="5" t="s">
        <v>355</v>
      </c>
    </row>
    <row r="6481" ht="16.5" customHeight="1">
      <c r="O6481" s="5" t="s">
        <v>355</v>
      </c>
      <c r="P6481" s="5" t="s">
        <v>355</v>
      </c>
      <c r="Q6481" s="5" t="s">
        <v>355</v>
      </c>
    </row>
    <row r="6482" ht="16.5" customHeight="1">
      <c r="O6482" s="5" t="s">
        <v>355</v>
      </c>
      <c r="P6482" s="5" t="s">
        <v>355</v>
      </c>
      <c r="Q6482" s="5" t="s">
        <v>355</v>
      </c>
    </row>
    <row r="6483" ht="16.5" customHeight="1">
      <c r="O6483" s="5" t="s">
        <v>355</v>
      </c>
      <c r="P6483" s="5" t="s">
        <v>355</v>
      </c>
      <c r="Q6483" s="5" t="s">
        <v>355</v>
      </c>
    </row>
    <row r="6484" ht="16.5" customHeight="1">
      <c r="O6484" s="5" t="s">
        <v>355</v>
      </c>
      <c r="P6484" s="5" t="s">
        <v>355</v>
      </c>
      <c r="Q6484" s="5" t="s">
        <v>355</v>
      </c>
    </row>
    <row r="6485" ht="16.5" customHeight="1">
      <c r="O6485" s="5" t="s">
        <v>355</v>
      </c>
      <c r="P6485" s="5" t="s">
        <v>355</v>
      </c>
      <c r="Q6485" s="5" t="s">
        <v>355</v>
      </c>
    </row>
    <row r="6486" ht="16.5" customHeight="1">
      <c r="O6486" s="5" t="s">
        <v>355</v>
      </c>
      <c r="P6486" s="5" t="s">
        <v>355</v>
      </c>
      <c r="Q6486" s="5" t="s">
        <v>355</v>
      </c>
    </row>
    <row r="6487" ht="16.5" customHeight="1">
      <c r="O6487" s="5" t="s">
        <v>355</v>
      </c>
      <c r="P6487" s="5" t="s">
        <v>355</v>
      </c>
      <c r="Q6487" s="5" t="s">
        <v>355</v>
      </c>
    </row>
    <row r="6488" ht="16.5" customHeight="1">
      <c r="O6488" s="5" t="s">
        <v>355</v>
      </c>
      <c r="P6488" s="5" t="s">
        <v>355</v>
      </c>
      <c r="Q6488" s="5" t="s">
        <v>355</v>
      </c>
    </row>
    <row r="6489" ht="16.5" customHeight="1">
      <c r="O6489" s="5" t="s">
        <v>355</v>
      </c>
      <c r="P6489" s="5" t="s">
        <v>355</v>
      </c>
      <c r="Q6489" s="5" t="s">
        <v>355</v>
      </c>
    </row>
    <row r="6490" ht="16.5" customHeight="1">
      <c r="O6490" s="5" t="s">
        <v>355</v>
      </c>
      <c r="P6490" s="5" t="s">
        <v>355</v>
      </c>
      <c r="Q6490" s="5" t="s">
        <v>355</v>
      </c>
    </row>
    <row r="6491" ht="16.5" customHeight="1">
      <c r="O6491" s="5" t="s">
        <v>355</v>
      </c>
      <c r="P6491" s="5" t="s">
        <v>355</v>
      </c>
      <c r="Q6491" s="5" t="s">
        <v>355</v>
      </c>
    </row>
    <row r="6492" ht="16.5" customHeight="1">
      <c r="O6492" s="5" t="s">
        <v>355</v>
      </c>
      <c r="P6492" s="5" t="s">
        <v>355</v>
      </c>
      <c r="Q6492" s="5" t="s">
        <v>355</v>
      </c>
    </row>
    <row r="6493" ht="16.5" customHeight="1">
      <c r="O6493" s="5" t="s">
        <v>355</v>
      </c>
      <c r="P6493" s="5" t="s">
        <v>355</v>
      </c>
      <c r="Q6493" s="5" t="s">
        <v>355</v>
      </c>
    </row>
    <row r="6494" ht="16.5" customHeight="1">
      <c r="O6494" s="5" t="s">
        <v>355</v>
      </c>
      <c r="P6494" s="5" t="s">
        <v>355</v>
      </c>
      <c r="Q6494" s="5" t="s">
        <v>355</v>
      </c>
    </row>
    <row r="6495" ht="16.5" customHeight="1">
      <c r="O6495" s="5" t="s">
        <v>355</v>
      </c>
      <c r="P6495" s="5" t="s">
        <v>355</v>
      </c>
      <c r="Q6495" s="5" t="s">
        <v>355</v>
      </c>
    </row>
    <row r="6496" ht="16.5" customHeight="1">
      <c r="O6496" s="5" t="s">
        <v>355</v>
      </c>
      <c r="P6496" s="5" t="s">
        <v>355</v>
      </c>
      <c r="Q6496" s="5" t="s">
        <v>355</v>
      </c>
    </row>
    <row r="6497" ht="16.5" customHeight="1">
      <c r="O6497" s="5" t="s">
        <v>355</v>
      </c>
      <c r="P6497" s="5" t="s">
        <v>355</v>
      </c>
      <c r="Q6497" s="5" t="s">
        <v>355</v>
      </c>
    </row>
    <row r="6498" ht="16.5" customHeight="1">
      <c r="O6498" s="5" t="s">
        <v>355</v>
      </c>
      <c r="P6498" s="5" t="s">
        <v>355</v>
      </c>
      <c r="Q6498" s="5" t="s">
        <v>355</v>
      </c>
    </row>
    <row r="6499" ht="16.5" customHeight="1">
      <c r="O6499" s="5" t="s">
        <v>355</v>
      </c>
      <c r="P6499" s="5" t="s">
        <v>355</v>
      </c>
      <c r="Q6499" s="5" t="s">
        <v>355</v>
      </c>
    </row>
    <row r="6500" ht="16.5" customHeight="1">
      <c r="O6500" s="5" t="s">
        <v>355</v>
      </c>
      <c r="P6500" s="5" t="s">
        <v>355</v>
      </c>
      <c r="Q6500" s="5" t="s">
        <v>355</v>
      </c>
    </row>
    <row r="6501" ht="16.5" customHeight="1">
      <c r="O6501" s="5" t="s">
        <v>355</v>
      </c>
      <c r="P6501" s="5" t="s">
        <v>355</v>
      </c>
      <c r="Q6501" s="5" t="s">
        <v>355</v>
      </c>
    </row>
    <row r="6502" ht="16.5" customHeight="1">
      <c r="O6502" s="5" t="s">
        <v>355</v>
      </c>
      <c r="P6502" s="5" t="s">
        <v>355</v>
      </c>
      <c r="Q6502" s="5" t="s">
        <v>355</v>
      </c>
    </row>
    <row r="6503" ht="16.5" customHeight="1">
      <c r="O6503" s="5" t="s">
        <v>355</v>
      </c>
      <c r="P6503" s="5" t="s">
        <v>355</v>
      </c>
      <c r="Q6503" s="5" t="s">
        <v>355</v>
      </c>
    </row>
    <row r="6504" ht="16.5" customHeight="1">
      <c r="O6504" s="5" t="s">
        <v>355</v>
      </c>
      <c r="P6504" s="5" t="s">
        <v>355</v>
      </c>
      <c r="Q6504" s="5" t="s">
        <v>355</v>
      </c>
    </row>
    <row r="6505" ht="16.5" customHeight="1">
      <c r="O6505" s="5" t="s">
        <v>355</v>
      </c>
      <c r="P6505" s="5" t="s">
        <v>355</v>
      </c>
      <c r="Q6505" s="5" t="s">
        <v>355</v>
      </c>
    </row>
    <row r="6506" ht="16.5" customHeight="1">
      <c r="O6506" s="5" t="s">
        <v>355</v>
      </c>
      <c r="P6506" s="5" t="s">
        <v>355</v>
      </c>
      <c r="Q6506" s="5" t="s">
        <v>355</v>
      </c>
    </row>
    <row r="6507" ht="16.5" customHeight="1">
      <c r="O6507" s="5" t="s">
        <v>355</v>
      </c>
      <c r="P6507" s="5" t="s">
        <v>355</v>
      </c>
      <c r="Q6507" s="5" t="s">
        <v>355</v>
      </c>
    </row>
    <row r="6508" ht="16.5" customHeight="1">
      <c r="O6508" s="5" t="s">
        <v>355</v>
      </c>
      <c r="P6508" s="5" t="s">
        <v>355</v>
      </c>
      <c r="Q6508" s="5" t="s">
        <v>355</v>
      </c>
    </row>
    <row r="6509" ht="16.5" customHeight="1">
      <c r="O6509" s="5" t="s">
        <v>355</v>
      </c>
      <c r="P6509" s="5" t="s">
        <v>355</v>
      </c>
      <c r="Q6509" s="5" t="s">
        <v>355</v>
      </c>
    </row>
    <row r="6510" ht="16.5" customHeight="1">
      <c r="O6510" s="5" t="s">
        <v>355</v>
      </c>
      <c r="P6510" s="5" t="s">
        <v>355</v>
      </c>
      <c r="Q6510" s="5" t="s">
        <v>355</v>
      </c>
    </row>
    <row r="6511" ht="16.5" customHeight="1">
      <c r="O6511" s="5" t="s">
        <v>355</v>
      </c>
      <c r="P6511" s="5" t="s">
        <v>355</v>
      </c>
      <c r="Q6511" s="5" t="s">
        <v>355</v>
      </c>
    </row>
    <row r="6512" ht="16.5" customHeight="1">
      <c r="O6512" s="5" t="s">
        <v>355</v>
      </c>
      <c r="P6512" s="5" t="s">
        <v>355</v>
      </c>
      <c r="Q6512" s="5" t="s">
        <v>355</v>
      </c>
    </row>
    <row r="6513" ht="16.5" customHeight="1">
      <c r="O6513" s="5" t="s">
        <v>355</v>
      </c>
      <c r="P6513" s="5" t="s">
        <v>355</v>
      </c>
      <c r="Q6513" s="5" t="s">
        <v>355</v>
      </c>
    </row>
    <row r="6514" ht="16.5" customHeight="1">
      <c r="O6514" s="5" t="s">
        <v>355</v>
      </c>
      <c r="P6514" s="5" t="s">
        <v>355</v>
      </c>
      <c r="Q6514" s="5" t="s">
        <v>355</v>
      </c>
    </row>
    <row r="6515" ht="16.5" customHeight="1">
      <c r="O6515" s="5" t="s">
        <v>355</v>
      </c>
      <c r="P6515" s="5" t="s">
        <v>355</v>
      </c>
      <c r="Q6515" s="5" t="s">
        <v>355</v>
      </c>
    </row>
    <row r="6516" ht="16.5" customHeight="1">
      <c r="O6516" s="5" t="s">
        <v>355</v>
      </c>
      <c r="P6516" s="5" t="s">
        <v>355</v>
      </c>
      <c r="Q6516" s="5" t="s">
        <v>355</v>
      </c>
    </row>
    <row r="6517" ht="16.5" customHeight="1">
      <c r="O6517" s="5" t="s">
        <v>355</v>
      </c>
      <c r="P6517" s="5" t="s">
        <v>355</v>
      </c>
      <c r="Q6517" s="5" t="s">
        <v>355</v>
      </c>
    </row>
    <row r="6518" ht="16.5" customHeight="1">
      <c r="O6518" s="5" t="s">
        <v>355</v>
      </c>
      <c r="P6518" s="5" t="s">
        <v>355</v>
      </c>
      <c r="Q6518" s="5" t="s">
        <v>355</v>
      </c>
    </row>
    <row r="6519" ht="16.5" customHeight="1">
      <c r="O6519" s="5" t="s">
        <v>355</v>
      </c>
      <c r="P6519" s="5" t="s">
        <v>355</v>
      </c>
      <c r="Q6519" s="5" t="s">
        <v>355</v>
      </c>
    </row>
    <row r="6520" ht="16.5" customHeight="1">
      <c r="O6520" s="5" t="s">
        <v>355</v>
      </c>
      <c r="P6520" s="5" t="s">
        <v>355</v>
      </c>
      <c r="Q6520" s="5" t="s">
        <v>355</v>
      </c>
    </row>
    <row r="6521" ht="16.5" customHeight="1">
      <c r="O6521" s="5" t="s">
        <v>355</v>
      </c>
      <c r="P6521" s="5" t="s">
        <v>355</v>
      </c>
      <c r="Q6521" s="5" t="s">
        <v>355</v>
      </c>
    </row>
    <row r="6522" ht="16.5" customHeight="1">
      <c r="O6522" s="5" t="s">
        <v>355</v>
      </c>
      <c r="P6522" s="5" t="s">
        <v>355</v>
      </c>
      <c r="Q6522" s="5" t="s">
        <v>355</v>
      </c>
    </row>
    <row r="6523" ht="16.5" customHeight="1">
      <c r="O6523" s="5" t="s">
        <v>355</v>
      </c>
      <c r="P6523" s="5" t="s">
        <v>355</v>
      </c>
      <c r="Q6523" s="5" t="s">
        <v>355</v>
      </c>
    </row>
    <row r="6524" ht="16.5" customHeight="1">
      <c r="O6524" s="5" t="s">
        <v>355</v>
      </c>
      <c r="P6524" s="5" t="s">
        <v>355</v>
      </c>
      <c r="Q6524" s="5" t="s">
        <v>355</v>
      </c>
    </row>
    <row r="6525" ht="16.5" customHeight="1">
      <c r="O6525" s="5" t="s">
        <v>355</v>
      </c>
      <c r="P6525" s="5" t="s">
        <v>355</v>
      </c>
      <c r="Q6525" s="5" t="s">
        <v>355</v>
      </c>
    </row>
    <row r="6526" ht="16.5" customHeight="1">
      <c r="O6526" s="5" t="s">
        <v>355</v>
      </c>
      <c r="P6526" s="5" t="s">
        <v>355</v>
      </c>
      <c r="Q6526" s="5" t="s">
        <v>355</v>
      </c>
    </row>
    <row r="6527" ht="16.5" customHeight="1">
      <c r="O6527" s="5" t="s">
        <v>355</v>
      </c>
      <c r="P6527" s="5" t="s">
        <v>355</v>
      </c>
      <c r="Q6527" s="5" t="s">
        <v>355</v>
      </c>
    </row>
    <row r="6528" ht="16.5" customHeight="1">
      <c r="O6528" s="5" t="s">
        <v>355</v>
      </c>
      <c r="P6528" s="5" t="s">
        <v>355</v>
      </c>
      <c r="Q6528" s="5" t="s">
        <v>355</v>
      </c>
    </row>
    <row r="6529" ht="16.5" customHeight="1">
      <c r="O6529" s="5" t="s">
        <v>355</v>
      </c>
      <c r="P6529" s="5" t="s">
        <v>355</v>
      </c>
      <c r="Q6529" s="5" t="s">
        <v>355</v>
      </c>
    </row>
    <row r="6530" ht="16.5" customHeight="1">
      <c r="O6530" s="5" t="s">
        <v>355</v>
      </c>
      <c r="P6530" s="5" t="s">
        <v>355</v>
      </c>
      <c r="Q6530" s="5" t="s">
        <v>355</v>
      </c>
    </row>
    <row r="6531" ht="16.5" customHeight="1">
      <c r="O6531" s="5" t="s">
        <v>355</v>
      </c>
      <c r="P6531" s="5" t="s">
        <v>355</v>
      </c>
      <c r="Q6531" s="5" t="s">
        <v>355</v>
      </c>
    </row>
    <row r="6532" ht="16.5" customHeight="1">
      <c r="O6532" s="5" t="s">
        <v>355</v>
      </c>
      <c r="P6532" s="5" t="s">
        <v>355</v>
      </c>
      <c r="Q6532" s="5" t="s">
        <v>355</v>
      </c>
    </row>
    <row r="6533" ht="16.5" customHeight="1">
      <c r="O6533" s="5" t="s">
        <v>355</v>
      </c>
      <c r="P6533" s="5" t="s">
        <v>355</v>
      </c>
      <c r="Q6533" s="5" t="s">
        <v>355</v>
      </c>
    </row>
    <row r="6534" ht="16.5" customHeight="1">
      <c r="O6534" s="5" t="s">
        <v>355</v>
      </c>
      <c r="P6534" s="5" t="s">
        <v>355</v>
      </c>
      <c r="Q6534" s="5" t="s">
        <v>355</v>
      </c>
    </row>
    <row r="6535" ht="16.5" customHeight="1">
      <c r="O6535" s="5" t="s">
        <v>355</v>
      </c>
      <c r="P6535" s="5" t="s">
        <v>355</v>
      </c>
      <c r="Q6535" s="5" t="s">
        <v>355</v>
      </c>
    </row>
    <row r="6536" ht="16.5" customHeight="1">
      <c r="O6536" s="5" t="s">
        <v>355</v>
      </c>
      <c r="P6536" s="5" t="s">
        <v>355</v>
      </c>
      <c r="Q6536" s="5" t="s">
        <v>355</v>
      </c>
    </row>
    <row r="6537" ht="16.5" customHeight="1">
      <c r="O6537" s="5" t="s">
        <v>355</v>
      </c>
      <c r="P6537" s="5" t="s">
        <v>355</v>
      </c>
      <c r="Q6537" s="5" t="s">
        <v>355</v>
      </c>
    </row>
    <row r="6538" ht="16.5" customHeight="1">
      <c r="O6538" s="5" t="s">
        <v>355</v>
      </c>
      <c r="P6538" s="5" t="s">
        <v>355</v>
      </c>
      <c r="Q6538" s="5" t="s">
        <v>355</v>
      </c>
    </row>
    <row r="6539" ht="16.5" customHeight="1">
      <c r="O6539" s="5" t="s">
        <v>355</v>
      </c>
      <c r="P6539" s="5" t="s">
        <v>355</v>
      </c>
      <c r="Q6539" s="5" t="s">
        <v>355</v>
      </c>
    </row>
    <row r="6540" ht="16.5" customHeight="1">
      <c r="O6540" s="5" t="s">
        <v>355</v>
      </c>
      <c r="P6540" s="5" t="s">
        <v>355</v>
      </c>
      <c r="Q6540" s="5" t="s">
        <v>355</v>
      </c>
    </row>
    <row r="6541" ht="16.5" customHeight="1">
      <c r="O6541" s="5" t="s">
        <v>355</v>
      </c>
      <c r="P6541" s="5" t="s">
        <v>355</v>
      </c>
      <c r="Q6541" s="5" t="s">
        <v>355</v>
      </c>
    </row>
    <row r="6542" ht="16.5" customHeight="1">
      <c r="O6542" s="5" t="s">
        <v>355</v>
      </c>
      <c r="P6542" s="5" t="s">
        <v>355</v>
      </c>
      <c r="Q6542" s="5" t="s">
        <v>355</v>
      </c>
    </row>
    <row r="6543" ht="16.5" customHeight="1">
      <c r="O6543" s="5" t="s">
        <v>355</v>
      </c>
      <c r="P6543" s="5" t="s">
        <v>355</v>
      </c>
      <c r="Q6543" s="5" t="s">
        <v>355</v>
      </c>
    </row>
    <row r="6544" ht="16.5" customHeight="1">
      <c r="O6544" s="5" t="s">
        <v>355</v>
      </c>
      <c r="P6544" s="5" t="s">
        <v>355</v>
      </c>
      <c r="Q6544" s="5" t="s">
        <v>355</v>
      </c>
    </row>
    <row r="6545" ht="16.5" customHeight="1">
      <c r="O6545" s="5" t="s">
        <v>355</v>
      </c>
      <c r="P6545" s="5" t="s">
        <v>355</v>
      </c>
      <c r="Q6545" s="5" t="s">
        <v>355</v>
      </c>
    </row>
    <row r="6546" ht="16.5" customHeight="1">
      <c r="O6546" s="5" t="s">
        <v>355</v>
      </c>
      <c r="P6546" s="5" t="s">
        <v>355</v>
      </c>
      <c r="Q6546" s="5" t="s">
        <v>355</v>
      </c>
    </row>
    <row r="6547" ht="16.5" customHeight="1">
      <c r="O6547" s="5" t="s">
        <v>355</v>
      </c>
      <c r="P6547" s="5" t="s">
        <v>355</v>
      </c>
      <c r="Q6547" s="5" t="s">
        <v>355</v>
      </c>
    </row>
    <row r="6548" ht="16.5" customHeight="1">
      <c r="O6548" s="5" t="s">
        <v>355</v>
      </c>
      <c r="P6548" s="5" t="s">
        <v>355</v>
      </c>
      <c r="Q6548" s="5" t="s">
        <v>355</v>
      </c>
    </row>
    <row r="6549" ht="16.5" customHeight="1">
      <c r="O6549" s="5" t="s">
        <v>355</v>
      </c>
      <c r="P6549" s="5" t="s">
        <v>355</v>
      </c>
      <c r="Q6549" s="5" t="s">
        <v>355</v>
      </c>
    </row>
    <row r="6550" ht="16.5" customHeight="1">
      <c r="O6550" s="5" t="s">
        <v>355</v>
      </c>
      <c r="P6550" s="5" t="s">
        <v>355</v>
      </c>
      <c r="Q6550" s="5" t="s">
        <v>355</v>
      </c>
    </row>
    <row r="6551" ht="16.5" customHeight="1">
      <c r="O6551" s="5" t="s">
        <v>355</v>
      </c>
      <c r="P6551" s="5" t="s">
        <v>355</v>
      </c>
      <c r="Q6551" s="5" t="s">
        <v>355</v>
      </c>
    </row>
    <row r="6552" ht="16.5" customHeight="1">
      <c r="O6552" s="5" t="s">
        <v>355</v>
      </c>
      <c r="P6552" s="5" t="s">
        <v>355</v>
      </c>
      <c r="Q6552" s="5" t="s">
        <v>355</v>
      </c>
    </row>
    <row r="6553" ht="16.5" customHeight="1">
      <c r="O6553" s="5" t="s">
        <v>355</v>
      </c>
      <c r="P6553" s="5" t="s">
        <v>355</v>
      </c>
      <c r="Q6553" s="5" t="s">
        <v>355</v>
      </c>
    </row>
    <row r="6554" ht="16.5" customHeight="1">
      <c r="O6554" s="5" t="s">
        <v>355</v>
      </c>
      <c r="P6554" s="5" t="s">
        <v>355</v>
      </c>
      <c r="Q6554" s="5" t="s">
        <v>355</v>
      </c>
    </row>
    <row r="6555" ht="16.5" customHeight="1">
      <c r="O6555" s="5" t="s">
        <v>355</v>
      </c>
      <c r="P6555" s="5" t="s">
        <v>355</v>
      </c>
      <c r="Q6555" s="5" t="s">
        <v>355</v>
      </c>
    </row>
    <row r="6556" ht="16.5" customHeight="1">
      <c r="O6556" s="5" t="s">
        <v>355</v>
      </c>
      <c r="P6556" s="5" t="s">
        <v>355</v>
      </c>
      <c r="Q6556" s="5" t="s">
        <v>355</v>
      </c>
    </row>
    <row r="6557" ht="16.5" customHeight="1">
      <c r="O6557" s="5" t="s">
        <v>355</v>
      </c>
      <c r="P6557" s="5" t="s">
        <v>355</v>
      </c>
      <c r="Q6557" s="5" t="s">
        <v>355</v>
      </c>
    </row>
    <row r="6558" ht="16.5" customHeight="1">
      <c r="O6558" s="5" t="s">
        <v>355</v>
      </c>
      <c r="P6558" s="5" t="s">
        <v>355</v>
      </c>
      <c r="Q6558" s="5" t="s">
        <v>355</v>
      </c>
    </row>
    <row r="6559" ht="16.5" customHeight="1">
      <c r="O6559" s="5" t="s">
        <v>355</v>
      </c>
      <c r="P6559" s="5" t="s">
        <v>355</v>
      </c>
      <c r="Q6559" s="5" t="s">
        <v>355</v>
      </c>
    </row>
    <row r="6560" ht="16.5" customHeight="1">
      <c r="O6560" s="5" t="s">
        <v>355</v>
      </c>
      <c r="P6560" s="5" t="s">
        <v>355</v>
      </c>
      <c r="Q6560" s="5" t="s">
        <v>355</v>
      </c>
    </row>
    <row r="6561" ht="16.5" customHeight="1">
      <c r="O6561" s="5" t="s">
        <v>355</v>
      </c>
      <c r="P6561" s="5" t="s">
        <v>355</v>
      </c>
      <c r="Q6561" s="5" t="s">
        <v>355</v>
      </c>
    </row>
    <row r="6562" ht="16.5" customHeight="1">
      <c r="O6562" s="5" t="s">
        <v>355</v>
      </c>
      <c r="P6562" s="5" t="s">
        <v>355</v>
      </c>
      <c r="Q6562" s="5" t="s">
        <v>355</v>
      </c>
    </row>
    <row r="6563" ht="16.5" customHeight="1">
      <c r="O6563" s="5" t="s">
        <v>355</v>
      </c>
      <c r="P6563" s="5" t="s">
        <v>355</v>
      </c>
      <c r="Q6563" s="5" t="s">
        <v>355</v>
      </c>
    </row>
    <row r="6564" ht="16.5" customHeight="1">
      <c r="O6564" s="5" t="s">
        <v>355</v>
      </c>
      <c r="P6564" s="5" t="s">
        <v>355</v>
      </c>
      <c r="Q6564" s="5" t="s">
        <v>355</v>
      </c>
    </row>
    <row r="6565" ht="16.5" customHeight="1">
      <c r="O6565" s="5" t="s">
        <v>355</v>
      </c>
      <c r="P6565" s="5" t="s">
        <v>355</v>
      </c>
      <c r="Q6565" s="5" t="s">
        <v>355</v>
      </c>
    </row>
    <row r="6566" ht="16.5" customHeight="1">
      <c r="O6566" s="5" t="s">
        <v>355</v>
      </c>
      <c r="P6566" s="5" t="s">
        <v>355</v>
      </c>
      <c r="Q6566" s="5" t="s">
        <v>355</v>
      </c>
    </row>
    <row r="6567" ht="16.5" customHeight="1">
      <c r="O6567" s="5" t="s">
        <v>355</v>
      </c>
      <c r="P6567" s="5" t="s">
        <v>355</v>
      </c>
      <c r="Q6567" s="5" t="s">
        <v>355</v>
      </c>
    </row>
    <row r="6568" ht="16.5" customHeight="1">
      <c r="O6568" s="5" t="s">
        <v>355</v>
      </c>
      <c r="P6568" s="5" t="s">
        <v>355</v>
      </c>
      <c r="Q6568" s="5" t="s">
        <v>355</v>
      </c>
    </row>
    <row r="6569" ht="16.5" customHeight="1">
      <c r="O6569" s="5" t="s">
        <v>355</v>
      </c>
      <c r="P6569" s="5" t="s">
        <v>355</v>
      </c>
      <c r="Q6569" s="5" t="s">
        <v>355</v>
      </c>
    </row>
    <row r="6570" ht="16.5" customHeight="1">
      <c r="O6570" s="5" t="s">
        <v>355</v>
      </c>
      <c r="P6570" s="5" t="s">
        <v>355</v>
      </c>
      <c r="Q6570" s="5" t="s">
        <v>355</v>
      </c>
    </row>
    <row r="6571" ht="16.5" customHeight="1">
      <c r="O6571" s="5" t="s">
        <v>355</v>
      </c>
      <c r="P6571" s="5" t="s">
        <v>355</v>
      </c>
      <c r="Q6571" s="5" t="s">
        <v>355</v>
      </c>
    </row>
    <row r="6572" ht="16.5" customHeight="1">
      <c r="O6572" s="5" t="s">
        <v>355</v>
      </c>
      <c r="P6572" s="5" t="s">
        <v>355</v>
      </c>
      <c r="Q6572" s="5" t="s">
        <v>355</v>
      </c>
    </row>
    <row r="6573" ht="16.5" customHeight="1">
      <c r="O6573" s="5" t="s">
        <v>355</v>
      </c>
      <c r="P6573" s="5" t="s">
        <v>355</v>
      </c>
      <c r="Q6573" s="5" t="s">
        <v>355</v>
      </c>
    </row>
    <row r="6574" ht="16.5" customHeight="1">
      <c r="O6574" s="5" t="s">
        <v>355</v>
      </c>
      <c r="P6574" s="5" t="s">
        <v>355</v>
      </c>
      <c r="Q6574" s="5" t="s">
        <v>355</v>
      </c>
    </row>
    <row r="6575" ht="16.5" customHeight="1">
      <c r="O6575" s="5" t="s">
        <v>355</v>
      </c>
      <c r="P6575" s="5" t="s">
        <v>355</v>
      </c>
      <c r="Q6575" s="5" t="s">
        <v>355</v>
      </c>
    </row>
    <row r="6576" ht="16.5" customHeight="1">
      <c r="O6576" s="5" t="s">
        <v>355</v>
      </c>
      <c r="P6576" s="5" t="s">
        <v>355</v>
      </c>
      <c r="Q6576" s="5" t="s">
        <v>355</v>
      </c>
    </row>
    <row r="6577" ht="16.5" customHeight="1">
      <c r="O6577" s="5" t="s">
        <v>355</v>
      </c>
      <c r="P6577" s="5" t="s">
        <v>355</v>
      </c>
      <c r="Q6577" s="5" t="s">
        <v>355</v>
      </c>
    </row>
    <row r="6578" ht="16.5" customHeight="1">
      <c r="O6578" s="5" t="s">
        <v>355</v>
      </c>
      <c r="P6578" s="5" t="s">
        <v>355</v>
      </c>
      <c r="Q6578" s="5" t="s">
        <v>355</v>
      </c>
    </row>
    <row r="6579" ht="16.5" customHeight="1">
      <c r="O6579" s="5" t="s">
        <v>355</v>
      </c>
      <c r="P6579" s="5" t="s">
        <v>355</v>
      </c>
      <c r="Q6579" s="5" t="s">
        <v>355</v>
      </c>
    </row>
    <row r="6580" ht="16.5" customHeight="1">
      <c r="O6580" s="5" t="s">
        <v>355</v>
      </c>
      <c r="P6580" s="5" t="s">
        <v>355</v>
      </c>
      <c r="Q6580" s="5" t="s">
        <v>355</v>
      </c>
    </row>
    <row r="6581" ht="16.5" customHeight="1">
      <c r="O6581" s="5" t="s">
        <v>355</v>
      </c>
      <c r="P6581" s="5" t="s">
        <v>355</v>
      </c>
      <c r="Q6581" s="5" t="s">
        <v>355</v>
      </c>
    </row>
    <row r="6582" ht="16.5" customHeight="1">
      <c r="O6582" s="5" t="s">
        <v>355</v>
      </c>
      <c r="P6582" s="5" t="s">
        <v>355</v>
      </c>
      <c r="Q6582" s="5" t="s">
        <v>355</v>
      </c>
    </row>
    <row r="6583" ht="16.5" customHeight="1">
      <c r="O6583" s="5" t="s">
        <v>355</v>
      </c>
      <c r="P6583" s="5" t="s">
        <v>355</v>
      </c>
      <c r="Q6583" s="5" t="s">
        <v>355</v>
      </c>
    </row>
    <row r="6584" ht="16.5" customHeight="1">
      <c r="O6584" s="5" t="s">
        <v>355</v>
      </c>
      <c r="P6584" s="5" t="s">
        <v>355</v>
      </c>
      <c r="Q6584" s="5" t="s">
        <v>355</v>
      </c>
    </row>
    <row r="6585" ht="16.5" customHeight="1">
      <c r="O6585" s="5" t="s">
        <v>355</v>
      </c>
      <c r="P6585" s="5" t="s">
        <v>355</v>
      </c>
      <c r="Q6585" s="5" t="s">
        <v>355</v>
      </c>
    </row>
    <row r="6586" ht="16.5" customHeight="1">
      <c r="O6586" s="5" t="s">
        <v>355</v>
      </c>
      <c r="P6586" s="5" t="s">
        <v>355</v>
      </c>
      <c r="Q6586" s="5" t="s">
        <v>355</v>
      </c>
    </row>
    <row r="6587" ht="16.5" customHeight="1">
      <c r="O6587" s="5" t="s">
        <v>355</v>
      </c>
      <c r="P6587" s="5" t="s">
        <v>355</v>
      </c>
      <c r="Q6587" s="5" t="s">
        <v>355</v>
      </c>
    </row>
    <row r="6588" ht="16.5" customHeight="1">
      <c r="O6588" s="5" t="s">
        <v>355</v>
      </c>
      <c r="P6588" s="5" t="s">
        <v>355</v>
      </c>
      <c r="Q6588" s="5" t="s">
        <v>355</v>
      </c>
    </row>
    <row r="6589" ht="16.5" customHeight="1">
      <c r="O6589" s="5" t="s">
        <v>355</v>
      </c>
      <c r="P6589" s="5" t="s">
        <v>355</v>
      </c>
      <c r="Q6589" s="5" t="s">
        <v>355</v>
      </c>
    </row>
    <row r="6590" ht="16.5" customHeight="1">
      <c r="O6590" s="5" t="s">
        <v>355</v>
      </c>
      <c r="P6590" s="5" t="s">
        <v>355</v>
      </c>
      <c r="Q6590" s="5" t="s">
        <v>355</v>
      </c>
    </row>
    <row r="6591" ht="16.5" customHeight="1">
      <c r="O6591" s="5" t="s">
        <v>355</v>
      </c>
      <c r="P6591" s="5" t="s">
        <v>355</v>
      </c>
      <c r="Q6591" s="5" t="s">
        <v>355</v>
      </c>
    </row>
    <row r="6592" ht="16.5" customHeight="1">
      <c r="O6592" s="5" t="s">
        <v>355</v>
      </c>
      <c r="P6592" s="5" t="s">
        <v>355</v>
      </c>
      <c r="Q6592" s="5" t="s">
        <v>355</v>
      </c>
    </row>
    <row r="6593" ht="16.5" customHeight="1">
      <c r="O6593" s="5" t="s">
        <v>355</v>
      </c>
      <c r="P6593" s="5" t="s">
        <v>355</v>
      </c>
      <c r="Q6593" s="5" t="s">
        <v>355</v>
      </c>
    </row>
    <row r="6594" ht="16.5" customHeight="1">
      <c r="O6594" s="5" t="s">
        <v>355</v>
      </c>
      <c r="P6594" s="5" t="s">
        <v>355</v>
      </c>
      <c r="Q6594" s="5" t="s">
        <v>355</v>
      </c>
    </row>
    <row r="6595" ht="16.5" customHeight="1">
      <c r="O6595" s="5" t="s">
        <v>355</v>
      </c>
      <c r="P6595" s="5" t="s">
        <v>355</v>
      </c>
      <c r="Q6595" s="5" t="s">
        <v>355</v>
      </c>
    </row>
    <row r="6596" ht="16.5" customHeight="1">
      <c r="O6596" s="5" t="s">
        <v>355</v>
      </c>
      <c r="P6596" s="5" t="s">
        <v>355</v>
      </c>
      <c r="Q6596" s="5" t="s">
        <v>355</v>
      </c>
    </row>
    <row r="6597" ht="16.5" customHeight="1">
      <c r="O6597" s="5" t="s">
        <v>355</v>
      </c>
      <c r="P6597" s="5" t="s">
        <v>355</v>
      </c>
      <c r="Q6597" s="5" t="s">
        <v>355</v>
      </c>
    </row>
    <row r="6598" ht="16.5" customHeight="1">
      <c r="O6598" s="5" t="s">
        <v>355</v>
      </c>
      <c r="P6598" s="5" t="s">
        <v>355</v>
      </c>
      <c r="Q6598" s="5" t="s">
        <v>355</v>
      </c>
    </row>
    <row r="6599" ht="16.5" customHeight="1">
      <c r="O6599" s="5" t="s">
        <v>355</v>
      </c>
      <c r="P6599" s="5" t="s">
        <v>355</v>
      </c>
      <c r="Q6599" s="5" t="s">
        <v>355</v>
      </c>
    </row>
    <row r="6600" ht="16.5" customHeight="1">
      <c r="O6600" s="5" t="s">
        <v>355</v>
      </c>
      <c r="P6600" s="5" t="s">
        <v>355</v>
      </c>
      <c r="Q6600" s="5" t="s">
        <v>355</v>
      </c>
    </row>
    <row r="6601" ht="16.5" customHeight="1">
      <c r="O6601" s="5" t="s">
        <v>355</v>
      </c>
      <c r="P6601" s="5" t="s">
        <v>355</v>
      </c>
      <c r="Q6601" s="5" t="s">
        <v>355</v>
      </c>
    </row>
    <row r="6602" ht="16.5" customHeight="1">
      <c r="O6602" s="5" t="s">
        <v>355</v>
      </c>
      <c r="P6602" s="5" t="s">
        <v>355</v>
      </c>
      <c r="Q6602" s="5" t="s">
        <v>355</v>
      </c>
    </row>
    <row r="6603" ht="16.5" customHeight="1">
      <c r="O6603" s="5" t="s">
        <v>355</v>
      </c>
      <c r="P6603" s="5" t="s">
        <v>355</v>
      </c>
      <c r="Q6603" s="5" t="s">
        <v>355</v>
      </c>
    </row>
    <row r="6604" ht="16.5" customHeight="1">
      <c r="O6604" s="5" t="s">
        <v>355</v>
      </c>
      <c r="P6604" s="5" t="s">
        <v>355</v>
      </c>
      <c r="Q6604" s="5" t="s">
        <v>355</v>
      </c>
    </row>
    <row r="6605" ht="16.5" customHeight="1">
      <c r="O6605" s="5" t="s">
        <v>355</v>
      </c>
      <c r="P6605" s="5" t="s">
        <v>355</v>
      </c>
      <c r="Q6605" s="5" t="s">
        <v>355</v>
      </c>
    </row>
    <row r="6606" ht="16.5" customHeight="1">
      <c r="O6606" s="5" t="s">
        <v>355</v>
      </c>
      <c r="P6606" s="5" t="s">
        <v>355</v>
      </c>
      <c r="Q6606" s="5" t="s">
        <v>355</v>
      </c>
    </row>
    <row r="6607" ht="16.5" customHeight="1">
      <c r="O6607" s="5" t="s">
        <v>355</v>
      </c>
      <c r="P6607" s="5" t="s">
        <v>355</v>
      </c>
      <c r="Q6607" s="5" t="s">
        <v>355</v>
      </c>
    </row>
    <row r="6608" ht="16.5" customHeight="1">
      <c r="O6608" s="5" t="s">
        <v>355</v>
      </c>
      <c r="P6608" s="5" t="s">
        <v>355</v>
      </c>
      <c r="Q6608" s="5" t="s">
        <v>355</v>
      </c>
    </row>
    <row r="6609" ht="16.5" customHeight="1">
      <c r="O6609" s="5" t="s">
        <v>355</v>
      </c>
      <c r="P6609" s="5" t="s">
        <v>355</v>
      </c>
      <c r="Q6609" s="5" t="s">
        <v>355</v>
      </c>
    </row>
    <row r="6610" ht="16.5" customHeight="1">
      <c r="O6610" s="5" t="s">
        <v>355</v>
      </c>
      <c r="P6610" s="5" t="s">
        <v>355</v>
      </c>
      <c r="Q6610" s="5" t="s">
        <v>355</v>
      </c>
    </row>
    <row r="6611" ht="16.5" customHeight="1">
      <c r="O6611" s="5" t="s">
        <v>355</v>
      </c>
      <c r="P6611" s="5" t="s">
        <v>355</v>
      </c>
      <c r="Q6611" s="5" t="s">
        <v>355</v>
      </c>
    </row>
    <row r="6612" ht="16.5" customHeight="1">
      <c r="O6612" s="5" t="s">
        <v>355</v>
      </c>
      <c r="P6612" s="5" t="s">
        <v>355</v>
      </c>
      <c r="Q6612" s="5" t="s">
        <v>355</v>
      </c>
    </row>
    <row r="6613" ht="16.5" customHeight="1">
      <c r="O6613" s="5" t="s">
        <v>355</v>
      </c>
      <c r="P6613" s="5" t="s">
        <v>355</v>
      </c>
      <c r="Q6613" s="5" t="s">
        <v>355</v>
      </c>
    </row>
    <row r="6614" ht="16.5" customHeight="1">
      <c r="O6614" s="5" t="s">
        <v>355</v>
      </c>
      <c r="P6614" s="5" t="s">
        <v>355</v>
      </c>
      <c r="Q6614" s="5" t="s">
        <v>355</v>
      </c>
    </row>
    <row r="6615" ht="16.5" customHeight="1">
      <c r="O6615" s="5" t="s">
        <v>355</v>
      </c>
      <c r="P6615" s="5" t="s">
        <v>355</v>
      </c>
      <c r="Q6615" s="5" t="s">
        <v>355</v>
      </c>
    </row>
    <row r="6616" ht="16.5" customHeight="1">
      <c r="O6616" s="5" t="s">
        <v>355</v>
      </c>
      <c r="P6616" s="5" t="s">
        <v>355</v>
      </c>
      <c r="Q6616" s="5" t="s">
        <v>355</v>
      </c>
    </row>
    <row r="6617" ht="16.5" customHeight="1">
      <c r="O6617" s="5" t="s">
        <v>355</v>
      </c>
      <c r="P6617" s="5" t="s">
        <v>355</v>
      </c>
      <c r="Q6617" s="5" t="s">
        <v>355</v>
      </c>
    </row>
    <row r="6618" ht="16.5" customHeight="1">
      <c r="O6618" s="5" t="s">
        <v>355</v>
      </c>
      <c r="P6618" s="5" t="s">
        <v>355</v>
      </c>
      <c r="Q6618" s="5" t="s">
        <v>355</v>
      </c>
    </row>
    <row r="6619" ht="16.5" customHeight="1">
      <c r="O6619" s="5" t="s">
        <v>355</v>
      </c>
      <c r="P6619" s="5" t="s">
        <v>355</v>
      </c>
      <c r="Q6619" s="5" t="s">
        <v>355</v>
      </c>
    </row>
    <row r="6620" ht="16.5" customHeight="1">
      <c r="O6620" s="5" t="s">
        <v>355</v>
      </c>
      <c r="P6620" s="5" t="s">
        <v>355</v>
      </c>
      <c r="Q6620" s="5" t="s">
        <v>355</v>
      </c>
    </row>
    <row r="6621" ht="16.5" customHeight="1">
      <c r="O6621" s="5" t="s">
        <v>355</v>
      </c>
      <c r="P6621" s="5" t="s">
        <v>355</v>
      </c>
      <c r="Q6621" s="5" t="s">
        <v>355</v>
      </c>
    </row>
    <row r="6622" ht="16.5" customHeight="1">
      <c r="O6622" s="5" t="s">
        <v>355</v>
      </c>
      <c r="P6622" s="5" t="s">
        <v>355</v>
      </c>
      <c r="Q6622" s="5" t="s">
        <v>355</v>
      </c>
    </row>
    <row r="6623" ht="16.5" customHeight="1">
      <c r="O6623" s="5" t="s">
        <v>355</v>
      </c>
      <c r="P6623" s="5" t="s">
        <v>355</v>
      </c>
      <c r="Q6623" s="5" t="s">
        <v>355</v>
      </c>
    </row>
    <row r="6624" ht="16.5" customHeight="1">
      <c r="O6624" s="5" t="s">
        <v>355</v>
      </c>
      <c r="P6624" s="5" t="s">
        <v>355</v>
      </c>
      <c r="Q6624" s="5" t="s">
        <v>355</v>
      </c>
    </row>
    <row r="6625" ht="16.5" customHeight="1">
      <c r="O6625" s="5" t="s">
        <v>355</v>
      </c>
      <c r="P6625" s="5" t="s">
        <v>355</v>
      </c>
      <c r="Q6625" s="5" t="s">
        <v>355</v>
      </c>
    </row>
    <row r="6626" ht="16.5" customHeight="1">
      <c r="O6626" s="5" t="s">
        <v>355</v>
      </c>
      <c r="P6626" s="5" t="s">
        <v>355</v>
      </c>
      <c r="Q6626" s="5" t="s">
        <v>355</v>
      </c>
    </row>
    <row r="6627" ht="16.5" customHeight="1">
      <c r="O6627" s="5" t="s">
        <v>355</v>
      </c>
      <c r="P6627" s="5" t="s">
        <v>355</v>
      </c>
      <c r="Q6627" s="5" t="s">
        <v>355</v>
      </c>
    </row>
    <row r="6628" ht="16.5" customHeight="1">
      <c r="O6628" s="5" t="s">
        <v>355</v>
      </c>
      <c r="P6628" s="5" t="s">
        <v>355</v>
      </c>
      <c r="Q6628" s="5" t="s">
        <v>355</v>
      </c>
    </row>
    <row r="6629" ht="16.5" customHeight="1">
      <c r="O6629" s="5" t="s">
        <v>355</v>
      </c>
      <c r="P6629" s="5" t="s">
        <v>355</v>
      </c>
      <c r="Q6629" s="5" t="s">
        <v>355</v>
      </c>
    </row>
    <row r="6630" ht="16.5" customHeight="1">
      <c r="O6630" s="5" t="s">
        <v>355</v>
      </c>
      <c r="P6630" s="5" t="s">
        <v>355</v>
      </c>
      <c r="Q6630" s="5" t="s">
        <v>355</v>
      </c>
    </row>
    <row r="6631" ht="16.5" customHeight="1">
      <c r="O6631" s="5" t="s">
        <v>355</v>
      </c>
      <c r="P6631" s="5" t="s">
        <v>355</v>
      </c>
      <c r="Q6631" s="5" t="s">
        <v>355</v>
      </c>
    </row>
    <row r="6632" ht="16.5" customHeight="1">
      <c r="O6632" s="5" t="s">
        <v>355</v>
      </c>
      <c r="P6632" s="5" t="s">
        <v>355</v>
      </c>
      <c r="Q6632" s="5" t="s">
        <v>355</v>
      </c>
    </row>
    <row r="6633" ht="16.5" customHeight="1">
      <c r="O6633" s="5" t="s">
        <v>355</v>
      </c>
      <c r="P6633" s="5" t="s">
        <v>355</v>
      </c>
      <c r="Q6633" s="5" t="s">
        <v>355</v>
      </c>
    </row>
    <row r="6634" ht="16.5" customHeight="1">
      <c r="O6634" s="5" t="s">
        <v>355</v>
      </c>
      <c r="P6634" s="5" t="s">
        <v>355</v>
      </c>
      <c r="Q6634" s="5" t="s">
        <v>355</v>
      </c>
    </row>
    <row r="6635" ht="16.5" customHeight="1">
      <c r="O6635" s="5" t="s">
        <v>355</v>
      </c>
      <c r="P6635" s="5" t="s">
        <v>355</v>
      </c>
      <c r="Q6635" s="5" t="s">
        <v>355</v>
      </c>
    </row>
    <row r="6636" ht="16.5" customHeight="1">
      <c r="O6636" s="5" t="s">
        <v>355</v>
      </c>
      <c r="P6636" s="5" t="s">
        <v>355</v>
      </c>
      <c r="Q6636" s="5" t="s">
        <v>355</v>
      </c>
    </row>
    <row r="6637" ht="16.5" customHeight="1">
      <c r="O6637" s="5" t="s">
        <v>355</v>
      </c>
      <c r="P6637" s="5" t="s">
        <v>355</v>
      </c>
      <c r="Q6637" s="5" t="s">
        <v>355</v>
      </c>
    </row>
    <row r="6638" ht="16.5" customHeight="1">
      <c r="O6638" s="5" t="s">
        <v>355</v>
      </c>
      <c r="P6638" s="5" t="s">
        <v>355</v>
      </c>
      <c r="Q6638" s="5" t="s">
        <v>355</v>
      </c>
    </row>
    <row r="6639" ht="16.5" customHeight="1">
      <c r="O6639" s="5" t="s">
        <v>355</v>
      </c>
      <c r="P6639" s="5" t="s">
        <v>355</v>
      </c>
      <c r="Q6639" s="5" t="s">
        <v>355</v>
      </c>
    </row>
    <row r="6640" ht="16.5" customHeight="1">
      <c r="O6640" s="5" t="s">
        <v>355</v>
      </c>
      <c r="P6640" s="5" t="s">
        <v>355</v>
      </c>
      <c r="Q6640" s="5" t="s">
        <v>355</v>
      </c>
    </row>
    <row r="6641" ht="16.5" customHeight="1">
      <c r="O6641" s="5" t="s">
        <v>355</v>
      </c>
      <c r="P6641" s="5" t="s">
        <v>355</v>
      </c>
      <c r="Q6641" s="5" t="s">
        <v>355</v>
      </c>
    </row>
    <row r="6642" ht="16.5" customHeight="1">
      <c r="O6642" s="5" t="s">
        <v>355</v>
      </c>
      <c r="P6642" s="5" t="s">
        <v>355</v>
      </c>
      <c r="Q6642" s="5" t="s">
        <v>355</v>
      </c>
    </row>
    <row r="6643" ht="16.5" customHeight="1">
      <c r="O6643" s="5" t="s">
        <v>355</v>
      </c>
      <c r="P6643" s="5" t="s">
        <v>355</v>
      </c>
      <c r="Q6643" s="5" t="s">
        <v>355</v>
      </c>
    </row>
    <row r="6644" ht="16.5" customHeight="1">
      <c r="O6644" s="5" t="s">
        <v>355</v>
      </c>
      <c r="P6644" s="5" t="s">
        <v>355</v>
      </c>
      <c r="Q6644" s="5" t="s">
        <v>355</v>
      </c>
    </row>
    <row r="6645" ht="16.5" customHeight="1">
      <c r="O6645" s="5" t="s">
        <v>355</v>
      </c>
      <c r="P6645" s="5" t="s">
        <v>355</v>
      </c>
      <c r="Q6645" s="5" t="s">
        <v>355</v>
      </c>
    </row>
    <row r="6646" ht="16.5" customHeight="1">
      <c r="O6646" s="5" t="s">
        <v>355</v>
      </c>
      <c r="P6646" s="5" t="s">
        <v>355</v>
      </c>
      <c r="Q6646" s="5" t="s">
        <v>355</v>
      </c>
    </row>
    <row r="6647" ht="16.5" customHeight="1">
      <c r="O6647" s="5" t="s">
        <v>355</v>
      </c>
      <c r="P6647" s="5" t="s">
        <v>355</v>
      </c>
      <c r="Q6647" s="5" t="s">
        <v>355</v>
      </c>
    </row>
    <row r="6648" ht="16.5" customHeight="1">
      <c r="O6648" s="5" t="s">
        <v>355</v>
      </c>
      <c r="P6648" s="5" t="s">
        <v>355</v>
      </c>
      <c r="Q6648" s="5" t="s">
        <v>355</v>
      </c>
    </row>
    <row r="6649" ht="16.5" customHeight="1">
      <c r="O6649" s="5" t="s">
        <v>355</v>
      </c>
      <c r="P6649" s="5" t="s">
        <v>355</v>
      </c>
      <c r="Q6649" s="5" t="s">
        <v>355</v>
      </c>
    </row>
    <row r="6650" ht="16.5" customHeight="1">
      <c r="O6650" s="5" t="s">
        <v>355</v>
      </c>
      <c r="P6650" s="5" t="s">
        <v>355</v>
      </c>
      <c r="Q6650" s="5" t="s">
        <v>355</v>
      </c>
    </row>
    <row r="6651" ht="16.5" customHeight="1">
      <c r="O6651" s="5" t="s">
        <v>355</v>
      </c>
      <c r="P6651" s="5" t="s">
        <v>355</v>
      </c>
      <c r="Q6651" s="5" t="s">
        <v>355</v>
      </c>
    </row>
    <row r="6652" ht="16.5" customHeight="1">
      <c r="O6652" s="5" t="s">
        <v>355</v>
      </c>
      <c r="P6652" s="5" t="s">
        <v>355</v>
      </c>
      <c r="Q6652" s="5" t="s">
        <v>355</v>
      </c>
    </row>
    <row r="6653" ht="16.5" customHeight="1">
      <c r="O6653" s="5" t="s">
        <v>355</v>
      </c>
      <c r="P6653" s="5" t="s">
        <v>355</v>
      </c>
      <c r="Q6653" s="5" t="s">
        <v>355</v>
      </c>
    </row>
    <row r="6654" ht="16.5" customHeight="1">
      <c r="O6654" s="5" t="s">
        <v>355</v>
      </c>
      <c r="P6654" s="5" t="s">
        <v>355</v>
      </c>
      <c r="Q6654" s="5" t="s">
        <v>355</v>
      </c>
    </row>
    <row r="6655" ht="16.5" customHeight="1">
      <c r="O6655" s="5" t="s">
        <v>355</v>
      </c>
      <c r="P6655" s="5" t="s">
        <v>355</v>
      </c>
      <c r="Q6655" s="5" t="s">
        <v>355</v>
      </c>
    </row>
    <row r="6656" ht="16.5" customHeight="1">
      <c r="O6656" s="5" t="s">
        <v>355</v>
      </c>
      <c r="P6656" s="5" t="s">
        <v>355</v>
      </c>
      <c r="Q6656" s="5" t="s">
        <v>355</v>
      </c>
    </row>
    <row r="6657" ht="16.5" customHeight="1">
      <c r="O6657" s="5" t="s">
        <v>355</v>
      </c>
      <c r="P6657" s="5" t="s">
        <v>355</v>
      </c>
      <c r="Q6657" s="5" t="s">
        <v>355</v>
      </c>
    </row>
    <row r="6658" ht="16.5" customHeight="1">
      <c r="O6658" s="5" t="s">
        <v>355</v>
      </c>
      <c r="P6658" s="5" t="s">
        <v>355</v>
      </c>
      <c r="Q6658" s="5" t="s">
        <v>355</v>
      </c>
    </row>
    <row r="6659" ht="16.5" customHeight="1">
      <c r="O6659" s="5" t="s">
        <v>355</v>
      </c>
      <c r="P6659" s="5" t="s">
        <v>355</v>
      </c>
      <c r="Q6659" s="5" t="s">
        <v>355</v>
      </c>
    </row>
    <row r="6660" ht="16.5" customHeight="1">
      <c r="O6660" s="5" t="s">
        <v>355</v>
      </c>
      <c r="P6660" s="5" t="s">
        <v>355</v>
      </c>
      <c r="Q6660" s="5" t="s">
        <v>355</v>
      </c>
    </row>
    <row r="6661" ht="16.5" customHeight="1">
      <c r="O6661" s="5" t="s">
        <v>355</v>
      </c>
      <c r="P6661" s="5" t="s">
        <v>355</v>
      </c>
      <c r="Q6661" s="5" t="s">
        <v>355</v>
      </c>
    </row>
    <row r="6662" ht="16.5" customHeight="1">
      <c r="O6662" s="5" t="s">
        <v>355</v>
      </c>
      <c r="P6662" s="5" t="s">
        <v>355</v>
      </c>
      <c r="Q6662" s="5" t="s">
        <v>355</v>
      </c>
    </row>
    <row r="6663" ht="16.5" customHeight="1">
      <c r="O6663" s="5" t="s">
        <v>355</v>
      </c>
      <c r="P6663" s="5" t="s">
        <v>355</v>
      </c>
      <c r="Q6663" s="5" t="s">
        <v>355</v>
      </c>
    </row>
    <row r="6664" ht="16.5" customHeight="1">
      <c r="O6664" s="5" t="s">
        <v>355</v>
      </c>
      <c r="P6664" s="5" t="s">
        <v>355</v>
      </c>
      <c r="Q6664" s="5" t="s">
        <v>355</v>
      </c>
    </row>
    <row r="6665" ht="16.5" customHeight="1">
      <c r="O6665" s="5" t="s">
        <v>355</v>
      </c>
      <c r="P6665" s="5" t="s">
        <v>355</v>
      </c>
      <c r="Q6665" s="5" t="s">
        <v>355</v>
      </c>
    </row>
    <row r="6666" ht="16.5" customHeight="1">
      <c r="O6666" s="5" t="s">
        <v>355</v>
      </c>
      <c r="P6666" s="5" t="s">
        <v>355</v>
      </c>
      <c r="Q6666" s="5" t="s">
        <v>355</v>
      </c>
    </row>
    <row r="6667" ht="16.5" customHeight="1">
      <c r="O6667" s="5" t="s">
        <v>355</v>
      </c>
      <c r="P6667" s="5" t="s">
        <v>355</v>
      </c>
      <c r="Q6667" s="5" t="s">
        <v>355</v>
      </c>
    </row>
    <row r="6668" ht="16.5" customHeight="1">
      <c r="O6668" s="5" t="s">
        <v>355</v>
      </c>
      <c r="P6668" s="5" t="s">
        <v>355</v>
      </c>
      <c r="Q6668" s="5" t="s">
        <v>355</v>
      </c>
    </row>
    <row r="6669" ht="16.5" customHeight="1">
      <c r="O6669" s="5" t="s">
        <v>355</v>
      </c>
      <c r="P6669" s="5" t="s">
        <v>355</v>
      </c>
      <c r="Q6669" s="5" t="s">
        <v>355</v>
      </c>
    </row>
    <row r="6670" ht="16.5" customHeight="1">
      <c r="O6670" s="5" t="s">
        <v>355</v>
      </c>
      <c r="P6670" s="5" t="s">
        <v>355</v>
      </c>
      <c r="Q6670" s="5" t="s">
        <v>355</v>
      </c>
    </row>
    <row r="6671" ht="16.5" customHeight="1">
      <c r="O6671" s="5" t="s">
        <v>355</v>
      </c>
      <c r="P6671" s="5" t="s">
        <v>355</v>
      </c>
      <c r="Q6671" s="5" t="s">
        <v>355</v>
      </c>
    </row>
    <row r="6672" ht="16.5" customHeight="1">
      <c r="O6672" s="5" t="s">
        <v>355</v>
      </c>
      <c r="P6672" s="5" t="s">
        <v>355</v>
      </c>
      <c r="Q6672" s="5" t="s">
        <v>355</v>
      </c>
    </row>
    <row r="6673" ht="16.5" customHeight="1">
      <c r="O6673" s="5" t="s">
        <v>355</v>
      </c>
      <c r="P6673" s="5" t="s">
        <v>355</v>
      </c>
      <c r="Q6673" s="5" t="s">
        <v>355</v>
      </c>
    </row>
    <row r="6674" ht="16.5" customHeight="1">
      <c r="O6674" s="5" t="s">
        <v>355</v>
      </c>
      <c r="P6674" s="5" t="s">
        <v>355</v>
      </c>
      <c r="Q6674" s="5" t="s">
        <v>355</v>
      </c>
    </row>
    <row r="6675" ht="16.5" customHeight="1">
      <c r="O6675" s="5" t="s">
        <v>355</v>
      </c>
      <c r="P6675" s="5" t="s">
        <v>355</v>
      </c>
      <c r="Q6675" s="5" t="s">
        <v>355</v>
      </c>
    </row>
    <row r="6676" ht="16.5" customHeight="1">
      <c r="O6676" s="5" t="s">
        <v>355</v>
      </c>
      <c r="P6676" s="5" t="s">
        <v>355</v>
      </c>
      <c r="Q6676" s="5" t="s">
        <v>355</v>
      </c>
    </row>
    <row r="6677" ht="16.5" customHeight="1">
      <c r="O6677" s="5" t="s">
        <v>355</v>
      </c>
      <c r="P6677" s="5" t="s">
        <v>355</v>
      </c>
      <c r="Q6677" s="5" t="s">
        <v>355</v>
      </c>
    </row>
    <row r="6678" ht="16.5" customHeight="1">
      <c r="O6678" s="5" t="s">
        <v>355</v>
      </c>
      <c r="P6678" s="5" t="s">
        <v>355</v>
      </c>
      <c r="Q6678" s="5" t="s">
        <v>355</v>
      </c>
    </row>
    <row r="6679" ht="16.5" customHeight="1">
      <c r="O6679" s="5" t="s">
        <v>355</v>
      </c>
      <c r="P6679" s="5" t="s">
        <v>355</v>
      </c>
      <c r="Q6679" s="5" t="s">
        <v>355</v>
      </c>
    </row>
    <row r="6680" ht="16.5" customHeight="1">
      <c r="O6680" s="5" t="s">
        <v>355</v>
      </c>
      <c r="P6680" s="5" t="s">
        <v>355</v>
      </c>
      <c r="Q6680" s="5" t="s">
        <v>355</v>
      </c>
    </row>
    <row r="6681" ht="16.5" customHeight="1">
      <c r="O6681" s="5" t="s">
        <v>355</v>
      </c>
      <c r="P6681" s="5" t="s">
        <v>355</v>
      </c>
      <c r="Q6681" s="5" t="s">
        <v>355</v>
      </c>
    </row>
    <row r="6682" ht="16.5" customHeight="1">
      <c r="O6682" s="5" t="s">
        <v>355</v>
      </c>
      <c r="P6682" s="5" t="s">
        <v>355</v>
      </c>
      <c r="Q6682" s="5" t="s">
        <v>355</v>
      </c>
    </row>
    <row r="6683" ht="16.5" customHeight="1">
      <c r="O6683" s="5" t="s">
        <v>355</v>
      </c>
      <c r="P6683" s="5" t="s">
        <v>355</v>
      </c>
      <c r="Q6683" s="5" t="s">
        <v>355</v>
      </c>
    </row>
    <row r="6684" ht="16.5" customHeight="1">
      <c r="O6684" s="5" t="s">
        <v>355</v>
      </c>
      <c r="P6684" s="5" t="s">
        <v>355</v>
      </c>
      <c r="Q6684" s="5" t="s">
        <v>355</v>
      </c>
    </row>
    <row r="6685" ht="16.5" customHeight="1">
      <c r="O6685" s="5" t="s">
        <v>355</v>
      </c>
      <c r="P6685" s="5" t="s">
        <v>355</v>
      </c>
      <c r="Q6685" s="5" t="s">
        <v>355</v>
      </c>
    </row>
    <row r="6686" ht="16.5" customHeight="1">
      <c r="O6686" s="5" t="s">
        <v>355</v>
      </c>
      <c r="P6686" s="5" t="s">
        <v>355</v>
      </c>
      <c r="Q6686" s="5" t="s">
        <v>355</v>
      </c>
    </row>
    <row r="6687" ht="16.5" customHeight="1">
      <c r="O6687" s="5" t="s">
        <v>355</v>
      </c>
      <c r="P6687" s="5" t="s">
        <v>355</v>
      </c>
      <c r="Q6687" s="5" t="s">
        <v>355</v>
      </c>
    </row>
    <row r="6688" ht="16.5" customHeight="1">
      <c r="O6688" s="5" t="s">
        <v>355</v>
      </c>
      <c r="P6688" s="5" t="s">
        <v>355</v>
      </c>
      <c r="Q6688" s="5" t="s">
        <v>355</v>
      </c>
    </row>
    <row r="6689" ht="16.5" customHeight="1">
      <c r="O6689" s="5" t="s">
        <v>355</v>
      </c>
      <c r="P6689" s="5" t="s">
        <v>355</v>
      </c>
      <c r="Q6689" s="5" t="s">
        <v>355</v>
      </c>
    </row>
    <row r="6690" ht="16.5" customHeight="1">
      <c r="O6690" s="5" t="s">
        <v>355</v>
      </c>
      <c r="P6690" s="5" t="s">
        <v>355</v>
      </c>
      <c r="Q6690" s="5" t="s">
        <v>355</v>
      </c>
    </row>
    <row r="6691" ht="16.5" customHeight="1">
      <c r="O6691" s="5" t="s">
        <v>355</v>
      </c>
      <c r="P6691" s="5" t="s">
        <v>355</v>
      </c>
      <c r="Q6691" s="5" t="s">
        <v>355</v>
      </c>
    </row>
    <row r="6692" ht="16.5" customHeight="1">
      <c r="O6692" s="5" t="s">
        <v>355</v>
      </c>
      <c r="P6692" s="5" t="s">
        <v>355</v>
      </c>
      <c r="Q6692" s="5" t="s">
        <v>355</v>
      </c>
    </row>
    <row r="6693" ht="16.5" customHeight="1">
      <c r="O6693" s="5" t="s">
        <v>355</v>
      </c>
      <c r="P6693" s="5" t="s">
        <v>355</v>
      </c>
      <c r="Q6693" s="5" t="s">
        <v>355</v>
      </c>
    </row>
    <row r="6694" ht="16.5" customHeight="1">
      <c r="O6694" s="5" t="s">
        <v>355</v>
      </c>
      <c r="P6694" s="5" t="s">
        <v>355</v>
      </c>
      <c r="Q6694" s="5" t="s">
        <v>355</v>
      </c>
    </row>
    <row r="6695" ht="16.5" customHeight="1">
      <c r="O6695" s="5" t="s">
        <v>355</v>
      </c>
      <c r="P6695" s="5" t="s">
        <v>355</v>
      </c>
      <c r="Q6695" s="5" t="s">
        <v>355</v>
      </c>
    </row>
    <row r="6696" ht="16.5" customHeight="1">
      <c r="O6696" s="5" t="s">
        <v>355</v>
      </c>
      <c r="P6696" s="5" t="s">
        <v>355</v>
      </c>
      <c r="Q6696" s="5" t="s">
        <v>355</v>
      </c>
    </row>
    <row r="6697" ht="16.5" customHeight="1">
      <c r="O6697" s="5" t="s">
        <v>355</v>
      </c>
      <c r="P6697" s="5" t="s">
        <v>355</v>
      </c>
      <c r="Q6697" s="5" t="s">
        <v>355</v>
      </c>
    </row>
    <row r="6698" ht="16.5" customHeight="1">
      <c r="O6698" s="5" t="s">
        <v>355</v>
      </c>
      <c r="P6698" s="5" t="s">
        <v>355</v>
      </c>
      <c r="Q6698" s="5" t="s">
        <v>355</v>
      </c>
    </row>
    <row r="6699" ht="16.5" customHeight="1">
      <c r="O6699" s="5" t="s">
        <v>355</v>
      </c>
      <c r="P6699" s="5" t="s">
        <v>355</v>
      </c>
      <c r="Q6699" s="5" t="s">
        <v>355</v>
      </c>
    </row>
    <row r="6700" ht="16.5" customHeight="1">
      <c r="O6700" s="5" t="s">
        <v>355</v>
      </c>
      <c r="P6700" s="5" t="s">
        <v>355</v>
      </c>
      <c r="Q6700" s="5" t="s">
        <v>355</v>
      </c>
    </row>
    <row r="6701" ht="16.5" customHeight="1">
      <c r="O6701" s="5" t="s">
        <v>355</v>
      </c>
      <c r="P6701" s="5" t="s">
        <v>355</v>
      </c>
      <c r="Q6701" s="5" t="s">
        <v>355</v>
      </c>
    </row>
    <row r="6702" ht="16.5" customHeight="1">
      <c r="O6702" s="5" t="s">
        <v>355</v>
      </c>
      <c r="P6702" s="5" t="s">
        <v>355</v>
      </c>
      <c r="Q6702" s="5" t="s">
        <v>355</v>
      </c>
    </row>
    <row r="6703" ht="16.5" customHeight="1">
      <c r="O6703" s="5" t="s">
        <v>355</v>
      </c>
      <c r="P6703" s="5" t="s">
        <v>355</v>
      </c>
      <c r="Q6703" s="5" t="s">
        <v>355</v>
      </c>
    </row>
    <row r="6704" ht="16.5" customHeight="1">
      <c r="O6704" s="5" t="s">
        <v>355</v>
      </c>
      <c r="P6704" s="5" t="s">
        <v>355</v>
      </c>
      <c r="Q6704" s="5" t="s">
        <v>355</v>
      </c>
    </row>
    <row r="6705" ht="16.5" customHeight="1">
      <c r="O6705" s="5" t="s">
        <v>355</v>
      </c>
      <c r="P6705" s="5" t="s">
        <v>355</v>
      </c>
      <c r="Q6705" s="5" t="s">
        <v>355</v>
      </c>
    </row>
    <row r="6706" ht="16.5" customHeight="1">
      <c r="O6706" s="5" t="s">
        <v>355</v>
      </c>
      <c r="P6706" s="5" t="s">
        <v>355</v>
      </c>
      <c r="Q6706" s="5" t="s">
        <v>355</v>
      </c>
    </row>
    <row r="6707" ht="16.5" customHeight="1">
      <c r="O6707" s="5" t="s">
        <v>355</v>
      </c>
      <c r="P6707" s="5" t="s">
        <v>355</v>
      </c>
      <c r="Q6707" s="5" t="s">
        <v>355</v>
      </c>
    </row>
    <row r="6708" ht="16.5" customHeight="1">
      <c r="O6708" s="5" t="s">
        <v>355</v>
      </c>
      <c r="P6708" s="5" t="s">
        <v>355</v>
      </c>
      <c r="Q6708" s="5" t="s">
        <v>355</v>
      </c>
    </row>
    <row r="6709" ht="16.5" customHeight="1">
      <c r="O6709" s="5" t="s">
        <v>355</v>
      </c>
      <c r="P6709" s="5" t="s">
        <v>355</v>
      </c>
      <c r="Q6709" s="5" t="s">
        <v>355</v>
      </c>
    </row>
    <row r="6710" ht="16.5" customHeight="1">
      <c r="O6710" s="5" t="s">
        <v>355</v>
      </c>
      <c r="P6710" s="5" t="s">
        <v>355</v>
      </c>
      <c r="Q6710" s="5" t="s">
        <v>355</v>
      </c>
    </row>
    <row r="6711" ht="16.5" customHeight="1">
      <c r="O6711" s="5" t="s">
        <v>355</v>
      </c>
      <c r="P6711" s="5" t="s">
        <v>355</v>
      </c>
      <c r="Q6711" s="5" t="s">
        <v>355</v>
      </c>
    </row>
    <row r="6712" ht="16.5" customHeight="1">
      <c r="O6712" s="5" t="s">
        <v>355</v>
      </c>
      <c r="P6712" s="5" t="s">
        <v>355</v>
      </c>
      <c r="Q6712" s="5" t="s">
        <v>355</v>
      </c>
    </row>
    <row r="6713" ht="16.5" customHeight="1">
      <c r="O6713" s="5" t="s">
        <v>355</v>
      </c>
      <c r="P6713" s="5" t="s">
        <v>355</v>
      </c>
      <c r="Q6713" s="5" t="s">
        <v>355</v>
      </c>
    </row>
    <row r="6714" ht="16.5" customHeight="1">
      <c r="O6714" s="5" t="s">
        <v>355</v>
      </c>
      <c r="P6714" s="5" t="s">
        <v>355</v>
      </c>
      <c r="Q6714" s="5" t="s">
        <v>355</v>
      </c>
    </row>
    <row r="6715" ht="16.5" customHeight="1">
      <c r="O6715" s="5" t="s">
        <v>355</v>
      </c>
      <c r="P6715" s="5" t="s">
        <v>355</v>
      </c>
      <c r="Q6715" s="5" t="s">
        <v>355</v>
      </c>
    </row>
    <row r="6716" ht="16.5" customHeight="1">
      <c r="O6716" s="5" t="s">
        <v>355</v>
      </c>
      <c r="P6716" s="5" t="s">
        <v>355</v>
      </c>
      <c r="Q6716" s="5" t="s">
        <v>355</v>
      </c>
    </row>
    <row r="6717" ht="16.5" customHeight="1">
      <c r="O6717" s="5" t="s">
        <v>355</v>
      </c>
      <c r="P6717" s="5" t="s">
        <v>355</v>
      </c>
      <c r="Q6717" s="5" t="s">
        <v>355</v>
      </c>
    </row>
    <row r="6718" ht="16.5" customHeight="1">
      <c r="O6718" s="5" t="s">
        <v>355</v>
      </c>
      <c r="P6718" s="5" t="s">
        <v>355</v>
      </c>
      <c r="Q6718" s="5" t="s">
        <v>355</v>
      </c>
    </row>
    <row r="6719" ht="16.5" customHeight="1">
      <c r="O6719" s="5" t="s">
        <v>355</v>
      </c>
      <c r="P6719" s="5" t="s">
        <v>355</v>
      </c>
      <c r="Q6719" s="5" t="s">
        <v>355</v>
      </c>
    </row>
    <row r="6720" ht="16.5" customHeight="1">
      <c r="O6720" s="5" t="s">
        <v>355</v>
      </c>
      <c r="P6720" s="5" t="s">
        <v>355</v>
      </c>
      <c r="Q6720" s="5" t="s">
        <v>355</v>
      </c>
    </row>
    <row r="6721" ht="16.5" customHeight="1">
      <c r="O6721" s="5" t="s">
        <v>355</v>
      </c>
      <c r="P6721" s="5" t="s">
        <v>355</v>
      </c>
      <c r="Q6721" s="5" t="s">
        <v>355</v>
      </c>
    </row>
    <row r="6722" ht="16.5" customHeight="1">
      <c r="O6722" s="5" t="s">
        <v>355</v>
      </c>
      <c r="P6722" s="5" t="s">
        <v>355</v>
      </c>
      <c r="Q6722" s="5" t="s">
        <v>355</v>
      </c>
    </row>
    <row r="6723" ht="16.5" customHeight="1">
      <c r="O6723" s="5" t="s">
        <v>355</v>
      </c>
      <c r="P6723" s="5" t="s">
        <v>355</v>
      </c>
      <c r="Q6723" s="5" t="s">
        <v>355</v>
      </c>
    </row>
    <row r="6724" ht="16.5" customHeight="1">
      <c r="O6724" s="5" t="s">
        <v>355</v>
      </c>
      <c r="P6724" s="5" t="s">
        <v>355</v>
      </c>
      <c r="Q6724" s="5" t="s">
        <v>355</v>
      </c>
    </row>
    <row r="6725" ht="16.5" customHeight="1">
      <c r="O6725" s="5" t="s">
        <v>355</v>
      </c>
      <c r="P6725" s="5" t="s">
        <v>355</v>
      </c>
      <c r="Q6725" s="5" t="s">
        <v>355</v>
      </c>
    </row>
    <row r="6726" ht="16.5" customHeight="1">
      <c r="O6726" s="5" t="s">
        <v>355</v>
      </c>
      <c r="P6726" s="5" t="s">
        <v>355</v>
      </c>
      <c r="Q6726" s="5" t="s">
        <v>355</v>
      </c>
    </row>
    <row r="6727" ht="16.5" customHeight="1">
      <c r="O6727" s="5" t="s">
        <v>355</v>
      </c>
      <c r="P6727" s="5" t="s">
        <v>355</v>
      </c>
      <c r="Q6727" s="5" t="s">
        <v>355</v>
      </c>
    </row>
    <row r="6728" ht="16.5" customHeight="1">
      <c r="O6728" s="5" t="s">
        <v>355</v>
      </c>
      <c r="P6728" s="5" t="s">
        <v>355</v>
      </c>
      <c r="Q6728" s="5" t="s">
        <v>355</v>
      </c>
    </row>
    <row r="6729" ht="16.5" customHeight="1">
      <c r="O6729" s="5" t="s">
        <v>355</v>
      </c>
      <c r="P6729" s="5" t="s">
        <v>355</v>
      </c>
      <c r="Q6729" s="5" t="s">
        <v>355</v>
      </c>
    </row>
    <row r="6730" ht="16.5" customHeight="1">
      <c r="O6730" s="5" t="s">
        <v>355</v>
      </c>
      <c r="P6730" s="5" t="s">
        <v>355</v>
      </c>
      <c r="Q6730" s="5" t="s">
        <v>355</v>
      </c>
    </row>
    <row r="6731" ht="16.5" customHeight="1">
      <c r="O6731" s="5" t="s">
        <v>355</v>
      </c>
      <c r="P6731" s="5" t="s">
        <v>355</v>
      </c>
      <c r="Q6731" s="5" t="s">
        <v>355</v>
      </c>
    </row>
    <row r="6732" ht="16.5" customHeight="1">
      <c r="O6732" s="5" t="s">
        <v>355</v>
      </c>
      <c r="P6732" s="5" t="s">
        <v>355</v>
      </c>
      <c r="Q6732" s="5" t="s">
        <v>355</v>
      </c>
    </row>
    <row r="6733" ht="16.5" customHeight="1">
      <c r="O6733" s="5" t="s">
        <v>355</v>
      </c>
      <c r="P6733" s="5" t="s">
        <v>355</v>
      </c>
      <c r="Q6733" s="5" t="s">
        <v>355</v>
      </c>
    </row>
    <row r="6734" ht="16.5" customHeight="1">
      <c r="O6734" s="5" t="s">
        <v>355</v>
      </c>
      <c r="P6734" s="5" t="s">
        <v>355</v>
      </c>
      <c r="Q6734" s="5" t="s">
        <v>355</v>
      </c>
    </row>
    <row r="6735" ht="16.5" customHeight="1">
      <c r="O6735" s="5" t="s">
        <v>355</v>
      </c>
      <c r="P6735" s="5" t="s">
        <v>355</v>
      </c>
      <c r="Q6735" s="5" t="s">
        <v>355</v>
      </c>
    </row>
    <row r="6736" ht="16.5" customHeight="1">
      <c r="O6736" s="5" t="s">
        <v>355</v>
      </c>
      <c r="P6736" s="5" t="s">
        <v>355</v>
      </c>
      <c r="Q6736" s="5" t="s">
        <v>355</v>
      </c>
    </row>
    <row r="6737" ht="16.5" customHeight="1">
      <c r="O6737" s="5" t="s">
        <v>355</v>
      </c>
      <c r="P6737" s="5" t="s">
        <v>355</v>
      </c>
      <c r="Q6737" s="5" t="s">
        <v>355</v>
      </c>
    </row>
    <row r="6738" ht="16.5" customHeight="1">
      <c r="O6738" s="5" t="s">
        <v>355</v>
      </c>
      <c r="P6738" s="5" t="s">
        <v>355</v>
      </c>
      <c r="Q6738" s="5" t="s">
        <v>355</v>
      </c>
    </row>
    <row r="6739" ht="16.5" customHeight="1">
      <c r="O6739" s="5" t="s">
        <v>355</v>
      </c>
      <c r="P6739" s="5" t="s">
        <v>355</v>
      </c>
      <c r="Q6739" s="5" t="s">
        <v>355</v>
      </c>
    </row>
    <row r="6740" ht="16.5" customHeight="1">
      <c r="O6740" s="5" t="s">
        <v>355</v>
      </c>
      <c r="P6740" s="5" t="s">
        <v>355</v>
      </c>
      <c r="Q6740" s="5" t="s">
        <v>355</v>
      </c>
    </row>
    <row r="6741" ht="16.5" customHeight="1">
      <c r="O6741" s="5" t="s">
        <v>355</v>
      </c>
      <c r="P6741" s="5" t="s">
        <v>355</v>
      </c>
      <c r="Q6741" s="5" t="s">
        <v>355</v>
      </c>
    </row>
    <row r="6742" ht="16.5" customHeight="1">
      <c r="O6742" s="5" t="s">
        <v>355</v>
      </c>
      <c r="P6742" s="5" t="s">
        <v>355</v>
      </c>
      <c r="Q6742" s="5" t="s">
        <v>355</v>
      </c>
    </row>
    <row r="6743" ht="16.5" customHeight="1">
      <c r="O6743" s="5" t="s">
        <v>355</v>
      </c>
      <c r="P6743" s="5" t="s">
        <v>355</v>
      </c>
      <c r="Q6743" s="5" t="s">
        <v>355</v>
      </c>
    </row>
    <row r="6744" ht="16.5" customHeight="1">
      <c r="O6744" s="5" t="s">
        <v>355</v>
      </c>
      <c r="P6744" s="5" t="s">
        <v>355</v>
      </c>
      <c r="Q6744" s="5" t="s">
        <v>355</v>
      </c>
    </row>
    <row r="6745" ht="16.5" customHeight="1">
      <c r="O6745" s="5" t="s">
        <v>355</v>
      </c>
      <c r="P6745" s="5" t="s">
        <v>355</v>
      </c>
      <c r="Q6745" s="5" t="s">
        <v>355</v>
      </c>
    </row>
    <row r="6746" ht="16.5" customHeight="1">
      <c r="O6746" s="5" t="s">
        <v>355</v>
      </c>
      <c r="P6746" s="5" t="s">
        <v>355</v>
      </c>
      <c r="Q6746" s="5" t="s">
        <v>355</v>
      </c>
    </row>
    <row r="6747" ht="16.5" customHeight="1">
      <c r="O6747" s="5" t="s">
        <v>355</v>
      </c>
      <c r="P6747" s="5" t="s">
        <v>355</v>
      </c>
      <c r="Q6747" s="5" t="s">
        <v>355</v>
      </c>
    </row>
    <row r="6748" ht="16.5" customHeight="1">
      <c r="O6748" s="5" t="s">
        <v>355</v>
      </c>
      <c r="P6748" s="5" t="s">
        <v>355</v>
      </c>
      <c r="Q6748" s="5" t="s">
        <v>355</v>
      </c>
    </row>
    <row r="6749" ht="16.5" customHeight="1">
      <c r="O6749" s="5" t="s">
        <v>355</v>
      </c>
      <c r="P6749" s="5" t="s">
        <v>355</v>
      </c>
      <c r="Q6749" s="5" t="s">
        <v>355</v>
      </c>
    </row>
    <row r="6750" ht="16.5" customHeight="1">
      <c r="O6750" s="5" t="s">
        <v>355</v>
      </c>
      <c r="P6750" s="5" t="s">
        <v>355</v>
      </c>
      <c r="Q6750" s="5" t="s">
        <v>355</v>
      </c>
    </row>
    <row r="6751" ht="16.5" customHeight="1">
      <c r="O6751" s="5" t="s">
        <v>355</v>
      </c>
      <c r="P6751" s="5" t="s">
        <v>355</v>
      </c>
      <c r="Q6751" s="5" t="s">
        <v>355</v>
      </c>
    </row>
    <row r="6752" ht="16.5" customHeight="1">
      <c r="O6752" s="5" t="s">
        <v>355</v>
      </c>
      <c r="P6752" s="5" t="s">
        <v>355</v>
      </c>
      <c r="Q6752" s="5" t="s">
        <v>355</v>
      </c>
    </row>
    <row r="6753" ht="16.5" customHeight="1">
      <c r="O6753" s="5" t="s">
        <v>355</v>
      </c>
      <c r="P6753" s="5" t="s">
        <v>355</v>
      </c>
      <c r="Q6753" s="5" t="s">
        <v>355</v>
      </c>
    </row>
    <row r="6754" ht="16.5" customHeight="1">
      <c r="O6754" s="5" t="s">
        <v>355</v>
      </c>
      <c r="P6754" s="5" t="s">
        <v>355</v>
      </c>
      <c r="Q6754" s="5" t="s">
        <v>355</v>
      </c>
    </row>
    <row r="6755" ht="16.5" customHeight="1">
      <c r="O6755" s="5" t="s">
        <v>355</v>
      </c>
      <c r="P6755" s="5" t="s">
        <v>355</v>
      </c>
      <c r="Q6755" s="5" t="s">
        <v>355</v>
      </c>
    </row>
    <row r="6756" ht="16.5" customHeight="1">
      <c r="O6756" s="5" t="s">
        <v>355</v>
      </c>
      <c r="P6756" s="5" t="s">
        <v>355</v>
      </c>
      <c r="Q6756" s="5" t="s">
        <v>355</v>
      </c>
    </row>
    <row r="6757" ht="16.5" customHeight="1">
      <c r="O6757" s="5" t="s">
        <v>355</v>
      </c>
      <c r="P6757" s="5" t="s">
        <v>355</v>
      </c>
      <c r="Q6757" s="5" t="s">
        <v>355</v>
      </c>
    </row>
    <row r="6758" ht="16.5" customHeight="1">
      <c r="O6758" s="5" t="s">
        <v>355</v>
      </c>
      <c r="P6758" s="5" t="s">
        <v>355</v>
      </c>
      <c r="Q6758" s="5" t="s">
        <v>355</v>
      </c>
    </row>
    <row r="6759" ht="16.5" customHeight="1">
      <c r="O6759" s="5" t="s">
        <v>355</v>
      </c>
      <c r="P6759" s="5" t="s">
        <v>355</v>
      </c>
      <c r="Q6759" s="5" t="s">
        <v>355</v>
      </c>
    </row>
    <row r="6760" ht="16.5" customHeight="1">
      <c r="O6760" s="5" t="s">
        <v>355</v>
      </c>
      <c r="P6760" s="5" t="s">
        <v>355</v>
      </c>
      <c r="Q6760" s="5" t="s">
        <v>355</v>
      </c>
    </row>
    <row r="6761" ht="16.5" customHeight="1">
      <c r="O6761" s="5" t="s">
        <v>355</v>
      </c>
      <c r="P6761" s="5" t="s">
        <v>355</v>
      </c>
      <c r="Q6761" s="5" t="s">
        <v>355</v>
      </c>
    </row>
    <row r="6762" ht="16.5" customHeight="1">
      <c r="O6762" s="5" t="s">
        <v>355</v>
      </c>
      <c r="P6762" s="5" t="s">
        <v>355</v>
      </c>
      <c r="Q6762" s="5" t="s">
        <v>355</v>
      </c>
    </row>
    <row r="6763" ht="16.5" customHeight="1">
      <c r="O6763" s="5" t="s">
        <v>355</v>
      </c>
      <c r="P6763" s="5" t="s">
        <v>355</v>
      </c>
      <c r="Q6763" s="5" t="s">
        <v>355</v>
      </c>
    </row>
    <row r="6764" ht="16.5" customHeight="1">
      <c r="O6764" s="5" t="s">
        <v>355</v>
      </c>
      <c r="P6764" s="5" t="s">
        <v>355</v>
      </c>
      <c r="Q6764" s="5" t="s">
        <v>355</v>
      </c>
    </row>
    <row r="6765" ht="16.5" customHeight="1">
      <c r="O6765" s="5" t="s">
        <v>355</v>
      </c>
      <c r="P6765" s="5" t="s">
        <v>355</v>
      </c>
      <c r="Q6765" s="5" t="s">
        <v>355</v>
      </c>
    </row>
    <row r="6766" ht="16.5" customHeight="1">
      <c r="O6766" s="5" t="s">
        <v>355</v>
      </c>
      <c r="P6766" s="5" t="s">
        <v>355</v>
      </c>
      <c r="Q6766" s="5" t="s">
        <v>355</v>
      </c>
    </row>
    <row r="6767" ht="16.5" customHeight="1">
      <c r="O6767" s="5" t="s">
        <v>355</v>
      </c>
      <c r="P6767" s="5" t="s">
        <v>355</v>
      </c>
      <c r="Q6767" s="5" t="s">
        <v>355</v>
      </c>
    </row>
    <row r="6768" ht="16.5" customHeight="1">
      <c r="O6768" s="5" t="s">
        <v>355</v>
      </c>
      <c r="P6768" s="5" t="s">
        <v>355</v>
      </c>
      <c r="Q6768" s="5" t="s">
        <v>355</v>
      </c>
    </row>
    <row r="6769" ht="16.5" customHeight="1">
      <c r="O6769" s="5" t="s">
        <v>355</v>
      </c>
      <c r="P6769" s="5" t="s">
        <v>355</v>
      </c>
      <c r="Q6769" s="5" t="s">
        <v>355</v>
      </c>
    </row>
    <row r="6770" ht="16.5" customHeight="1">
      <c r="O6770" s="5" t="s">
        <v>355</v>
      </c>
      <c r="P6770" s="5" t="s">
        <v>355</v>
      </c>
      <c r="Q6770" s="5" t="s">
        <v>355</v>
      </c>
    </row>
    <row r="6771" ht="16.5" customHeight="1">
      <c r="O6771" s="5" t="s">
        <v>355</v>
      </c>
      <c r="P6771" s="5" t="s">
        <v>355</v>
      </c>
      <c r="Q6771" s="5" t="s">
        <v>355</v>
      </c>
    </row>
    <row r="6772" ht="16.5" customHeight="1">
      <c r="O6772" s="5" t="s">
        <v>355</v>
      </c>
      <c r="P6772" s="5" t="s">
        <v>355</v>
      </c>
      <c r="Q6772" s="5" t="s">
        <v>355</v>
      </c>
    </row>
    <row r="6773" ht="16.5" customHeight="1">
      <c r="O6773" s="5" t="s">
        <v>355</v>
      </c>
      <c r="P6773" s="5" t="s">
        <v>355</v>
      </c>
      <c r="Q6773" s="5" t="s">
        <v>355</v>
      </c>
    </row>
    <row r="6774" ht="16.5" customHeight="1">
      <c r="O6774" s="5" t="s">
        <v>355</v>
      </c>
      <c r="P6774" s="5" t="s">
        <v>355</v>
      </c>
      <c r="Q6774" s="5" t="s">
        <v>355</v>
      </c>
    </row>
    <row r="6775" ht="16.5" customHeight="1">
      <c r="O6775" s="5" t="s">
        <v>355</v>
      </c>
      <c r="P6775" s="5" t="s">
        <v>355</v>
      </c>
      <c r="Q6775" s="5" t="s">
        <v>355</v>
      </c>
    </row>
    <row r="6776" ht="16.5" customHeight="1">
      <c r="O6776" s="5" t="s">
        <v>355</v>
      </c>
      <c r="P6776" s="5" t="s">
        <v>355</v>
      </c>
      <c r="Q6776" s="5" t="s">
        <v>355</v>
      </c>
    </row>
    <row r="6777" ht="16.5" customHeight="1">
      <c r="O6777" s="5" t="s">
        <v>355</v>
      </c>
      <c r="P6777" s="5" t="s">
        <v>355</v>
      </c>
      <c r="Q6777" s="5" t="s">
        <v>355</v>
      </c>
    </row>
    <row r="6778" ht="16.5" customHeight="1">
      <c r="O6778" s="5" t="s">
        <v>355</v>
      </c>
      <c r="P6778" s="5" t="s">
        <v>355</v>
      </c>
      <c r="Q6778" s="5" t="s">
        <v>355</v>
      </c>
    </row>
    <row r="6779" ht="16.5" customHeight="1">
      <c r="O6779" s="5" t="s">
        <v>355</v>
      </c>
      <c r="P6779" s="5" t="s">
        <v>355</v>
      </c>
      <c r="Q6779" s="5" t="s">
        <v>355</v>
      </c>
    </row>
    <row r="6780" ht="16.5" customHeight="1">
      <c r="O6780" s="5" t="s">
        <v>355</v>
      </c>
      <c r="P6780" s="5" t="s">
        <v>355</v>
      </c>
      <c r="Q6780" s="5" t="s">
        <v>355</v>
      </c>
    </row>
    <row r="6781" ht="16.5" customHeight="1">
      <c r="O6781" s="5" t="s">
        <v>355</v>
      </c>
      <c r="P6781" s="5" t="s">
        <v>355</v>
      </c>
      <c r="Q6781" s="5" t="s">
        <v>355</v>
      </c>
    </row>
    <row r="6782" ht="16.5" customHeight="1">
      <c r="O6782" s="5" t="s">
        <v>355</v>
      </c>
      <c r="P6782" s="5" t="s">
        <v>355</v>
      </c>
      <c r="Q6782" s="5" t="s">
        <v>355</v>
      </c>
    </row>
    <row r="6783" ht="16.5" customHeight="1">
      <c r="O6783" s="5" t="s">
        <v>355</v>
      </c>
      <c r="P6783" s="5" t="s">
        <v>355</v>
      </c>
      <c r="Q6783" s="5" t="s">
        <v>355</v>
      </c>
    </row>
    <row r="6784" ht="16.5" customHeight="1">
      <c r="O6784" s="5" t="s">
        <v>355</v>
      </c>
      <c r="P6784" s="5" t="s">
        <v>355</v>
      </c>
      <c r="Q6784" s="5" t="s">
        <v>355</v>
      </c>
    </row>
    <row r="6785" ht="16.5" customHeight="1">
      <c r="O6785" s="5" t="s">
        <v>355</v>
      </c>
      <c r="P6785" s="5" t="s">
        <v>355</v>
      </c>
      <c r="Q6785" s="5" t="s">
        <v>355</v>
      </c>
    </row>
    <row r="6786" ht="16.5" customHeight="1">
      <c r="O6786" s="5" t="s">
        <v>355</v>
      </c>
      <c r="P6786" s="5" t="s">
        <v>355</v>
      </c>
      <c r="Q6786" s="5" t="s">
        <v>355</v>
      </c>
    </row>
    <row r="6787" ht="16.5" customHeight="1">
      <c r="O6787" s="5" t="s">
        <v>355</v>
      </c>
      <c r="P6787" s="5" t="s">
        <v>355</v>
      </c>
      <c r="Q6787" s="5" t="s">
        <v>355</v>
      </c>
    </row>
    <row r="6788" ht="16.5" customHeight="1">
      <c r="O6788" s="5" t="s">
        <v>355</v>
      </c>
      <c r="P6788" s="5" t="s">
        <v>355</v>
      </c>
      <c r="Q6788" s="5" t="s">
        <v>355</v>
      </c>
    </row>
    <row r="6789" ht="16.5" customHeight="1">
      <c r="O6789" s="5" t="s">
        <v>355</v>
      </c>
      <c r="P6789" s="5" t="s">
        <v>355</v>
      </c>
      <c r="Q6789" s="5" t="s">
        <v>355</v>
      </c>
    </row>
    <row r="6790" ht="16.5" customHeight="1">
      <c r="O6790" s="5" t="s">
        <v>355</v>
      </c>
      <c r="P6790" s="5" t="s">
        <v>355</v>
      </c>
      <c r="Q6790" s="5" t="s">
        <v>355</v>
      </c>
    </row>
    <row r="6791" ht="16.5" customHeight="1">
      <c r="O6791" s="5" t="s">
        <v>355</v>
      </c>
      <c r="P6791" s="5" t="s">
        <v>355</v>
      </c>
      <c r="Q6791" s="5" t="s">
        <v>355</v>
      </c>
    </row>
    <row r="6792" ht="16.5" customHeight="1">
      <c r="O6792" s="5" t="s">
        <v>355</v>
      </c>
      <c r="P6792" s="5" t="s">
        <v>355</v>
      </c>
      <c r="Q6792" s="5" t="s">
        <v>355</v>
      </c>
    </row>
    <row r="6793" ht="16.5" customHeight="1">
      <c r="O6793" s="5" t="s">
        <v>355</v>
      </c>
      <c r="P6793" s="5" t="s">
        <v>355</v>
      </c>
      <c r="Q6793" s="5" t="s">
        <v>355</v>
      </c>
    </row>
    <row r="6794" ht="16.5" customHeight="1">
      <c r="O6794" s="5" t="s">
        <v>355</v>
      </c>
      <c r="P6794" s="5" t="s">
        <v>355</v>
      </c>
      <c r="Q6794" s="5" t="s">
        <v>355</v>
      </c>
    </row>
    <row r="6795" ht="16.5" customHeight="1">
      <c r="O6795" s="5" t="s">
        <v>355</v>
      </c>
      <c r="P6795" s="5" t="s">
        <v>355</v>
      </c>
      <c r="Q6795" s="5" t="s">
        <v>355</v>
      </c>
    </row>
    <row r="6796" ht="16.5" customHeight="1">
      <c r="O6796" s="5" t="s">
        <v>355</v>
      </c>
      <c r="P6796" s="5" t="s">
        <v>355</v>
      </c>
      <c r="Q6796" s="5" t="s">
        <v>355</v>
      </c>
    </row>
    <row r="6797" ht="16.5" customHeight="1">
      <c r="O6797" s="5" t="s">
        <v>355</v>
      </c>
      <c r="P6797" s="5" t="s">
        <v>355</v>
      </c>
      <c r="Q6797" s="5" t="s">
        <v>355</v>
      </c>
    </row>
    <row r="6798" ht="16.5" customHeight="1">
      <c r="O6798" s="5" t="s">
        <v>355</v>
      </c>
      <c r="P6798" s="5" t="s">
        <v>355</v>
      </c>
      <c r="Q6798" s="5" t="s">
        <v>355</v>
      </c>
    </row>
    <row r="6799" ht="16.5" customHeight="1">
      <c r="O6799" s="5" t="s">
        <v>355</v>
      </c>
      <c r="P6799" s="5" t="s">
        <v>355</v>
      </c>
      <c r="Q6799" s="5" t="s">
        <v>355</v>
      </c>
    </row>
    <row r="6800" ht="16.5" customHeight="1">
      <c r="O6800" s="5" t="s">
        <v>355</v>
      </c>
      <c r="P6800" s="5" t="s">
        <v>355</v>
      </c>
      <c r="Q6800" s="5" t="s">
        <v>355</v>
      </c>
    </row>
    <row r="6801" ht="16.5" customHeight="1">
      <c r="O6801" s="5" t="s">
        <v>355</v>
      </c>
      <c r="P6801" s="5" t="s">
        <v>355</v>
      </c>
      <c r="Q6801" s="5" t="s">
        <v>355</v>
      </c>
    </row>
    <row r="6802" ht="16.5" customHeight="1">
      <c r="O6802" s="5" t="s">
        <v>355</v>
      </c>
      <c r="P6802" s="5" t="s">
        <v>355</v>
      </c>
      <c r="Q6802" s="5" t="s">
        <v>355</v>
      </c>
    </row>
    <row r="6803" ht="16.5" customHeight="1">
      <c r="O6803" s="5" t="s">
        <v>355</v>
      </c>
      <c r="P6803" s="5" t="s">
        <v>355</v>
      </c>
      <c r="Q6803" s="5" t="s">
        <v>355</v>
      </c>
    </row>
    <row r="6804" ht="16.5" customHeight="1">
      <c r="O6804" s="5" t="s">
        <v>355</v>
      </c>
      <c r="P6804" s="5" t="s">
        <v>355</v>
      </c>
      <c r="Q6804" s="5" t="s">
        <v>355</v>
      </c>
    </row>
    <row r="6805" ht="16.5" customHeight="1">
      <c r="O6805" s="5" t="s">
        <v>355</v>
      </c>
      <c r="P6805" s="5" t="s">
        <v>355</v>
      </c>
      <c r="Q6805" s="5" t="s">
        <v>355</v>
      </c>
    </row>
    <row r="6806" ht="16.5" customHeight="1">
      <c r="O6806" s="5" t="s">
        <v>355</v>
      </c>
      <c r="P6806" s="5" t="s">
        <v>355</v>
      </c>
      <c r="Q6806" s="5" t="s">
        <v>355</v>
      </c>
    </row>
    <row r="6807" ht="16.5" customHeight="1">
      <c r="O6807" s="5" t="s">
        <v>355</v>
      </c>
      <c r="P6807" s="5" t="s">
        <v>355</v>
      </c>
      <c r="Q6807" s="5" t="s">
        <v>355</v>
      </c>
    </row>
    <row r="6808" ht="16.5" customHeight="1">
      <c r="O6808" s="5" t="s">
        <v>355</v>
      </c>
      <c r="P6808" s="5" t="s">
        <v>355</v>
      </c>
      <c r="Q6808" s="5" t="s">
        <v>355</v>
      </c>
    </row>
    <row r="6809" ht="16.5" customHeight="1">
      <c r="O6809" s="5" t="s">
        <v>355</v>
      </c>
      <c r="P6809" s="5" t="s">
        <v>355</v>
      </c>
      <c r="Q6809" s="5" t="s">
        <v>355</v>
      </c>
    </row>
    <row r="6810" ht="16.5" customHeight="1">
      <c r="O6810" s="5" t="s">
        <v>355</v>
      </c>
      <c r="P6810" s="5" t="s">
        <v>355</v>
      </c>
      <c r="Q6810" s="5" t="s">
        <v>355</v>
      </c>
    </row>
    <row r="6811" ht="16.5" customHeight="1">
      <c r="O6811" s="5" t="s">
        <v>355</v>
      </c>
      <c r="P6811" s="5" t="s">
        <v>355</v>
      </c>
      <c r="Q6811" s="5" t="s">
        <v>355</v>
      </c>
    </row>
    <row r="6812" ht="16.5" customHeight="1">
      <c r="O6812" s="5" t="s">
        <v>355</v>
      </c>
      <c r="P6812" s="5" t="s">
        <v>355</v>
      </c>
      <c r="Q6812" s="5" t="s">
        <v>355</v>
      </c>
    </row>
    <row r="6813" ht="16.5" customHeight="1">
      <c r="O6813" s="5" t="s">
        <v>355</v>
      </c>
      <c r="P6813" s="5" t="s">
        <v>355</v>
      </c>
      <c r="Q6813" s="5" t="s">
        <v>355</v>
      </c>
    </row>
    <row r="6814" ht="16.5" customHeight="1">
      <c r="O6814" s="5" t="s">
        <v>355</v>
      </c>
      <c r="P6814" s="5" t="s">
        <v>355</v>
      </c>
      <c r="Q6814" s="5" t="s">
        <v>355</v>
      </c>
    </row>
    <row r="6815" ht="16.5" customHeight="1">
      <c r="O6815" s="5" t="s">
        <v>355</v>
      </c>
      <c r="P6815" s="5" t="s">
        <v>355</v>
      </c>
      <c r="Q6815" s="5" t="s">
        <v>355</v>
      </c>
    </row>
    <row r="6816" ht="16.5" customHeight="1">
      <c r="O6816" s="5" t="s">
        <v>355</v>
      </c>
      <c r="P6816" s="5" t="s">
        <v>355</v>
      </c>
      <c r="Q6816" s="5" t="s">
        <v>355</v>
      </c>
    </row>
    <row r="6817" ht="16.5" customHeight="1">
      <c r="O6817" s="5" t="s">
        <v>355</v>
      </c>
      <c r="P6817" s="5" t="s">
        <v>355</v>
      </c>
      <c r="Q6817" s="5" t="s">
        <v>355</v>
      </c>
    </row>
    <row r="6818" ht="16.5" customHeight="1">
      <c r="O6818" s="5" t="s">
        <v>355</v>
      </c>
      <c r="P6818" s="5" t="s">
        <v>355</v>
      </c>
      <c r="Q6818" s="5" t="s">
        <v>355</v>
      </c>
    </row>
    <row r="6819" ht="16.5" customHeight="1">
      <c r="O6819" s="5" t="s">
        <v>355</v>
      </c>
      <c r="P6819" s="5" t="s">
        <v>355</v>
      </c>
      <c r="Q6819" s="5" t="s">
        <v>355</v>
      </c>
    </row>
    <row r="6820" ht="16.5" customHeight="1">
      <c r="O6820" s="5" t="s">
        <v>355</v>
      </c>
      <c r="P6820" s="5" t="s">
        <v>355</v>
      </c>
      <c r="Q6820" s="5" t="s">
        <v>355</v>
      </c>
    </row>
    <row r="6821" ht="16.5" customHeight="1">
      <c r="O6821" s="5" t="s">
        <v>355</v>
      </c>
      <c r="P6821" s="5" t="s">
        <v>355</v>
      </c>
      <c r="Q6821" s="5" t="s">
        <v>355</v>
      </c>
    </row>
    <row r="6822" ht="16.5" customHeight="1">
      <c r="O6822" s="5" t="s">
        <v>355</v>
      </c>
      <c r="P6822" s="5" t="s">
        <v>355</v>
      </c>
      <c r="Q6822" s="5" t="s">
        <v>355</v>
      </c>
    </row>
    <row r="6823" ht="16.5" customHeight="1">
      <c r="O6823" s="5" t="s">
        <v>355</v>
      </c>
      <c r="P6823" s="5" t="s">
        <v>355</v>
      </c>
      <c r="Q6823" s="5" t="s">
        <v>355</v>
      </c>
    </row>
    <row r="6824" ht="16.5" customHeight="1">
      <c r="O6824" s="5" t="s">
        <v>355</v>
      </c>
      <c r="P6824" s="5" t="s">
        <v>355</v>
      </c>
      <c r="Q6824" s="5" t="s">
        <v>355</v>
      </c>
    </row>
    <row r="6825" ht="16.5" customHeight="1">
      <c r="O6825" s="5" t="s">
        <v>355</v>
      </c>
      <c r="P6825" s="5" t="s">
        <v>355</v>
      </c>
      <c r="Q6825" s="5" t="s">
        <v>355</v>
      </c>
    </row>
    <row r="6826" ht="16.5" customHeight="1">
      <c r="O6826" s="5" t="s">
        <v>355</v>
      </c>
      <c r="P6826" s="5" t="s">
        <v>355</v>
      </c>
      <c r="Q6826" s="5" t="s">
        <v>355</v>
      </c>
    </row>
    <row r="6827" ht="16.5" customHeight="1">
      <c r="O6827" s="5" t="s">
        <v>355</v>
      </c>
      <c r="P6827" s="5" t="s">
        <v>355</v>
      </c>
      <c r="Q6827" s="5" t="s">
        <v>355</v>
      </c>
    </row>
    <row r="6828" ht="16.5" customHeight="1">
      <c r="O6828" s="5" t="s">
        <v>355</v>
      </c>
      <c r="P6828" s="5" t="s">
        <v>355</v>
      </c>
      <c r="Q6828" s="5" t="s">
        <v>355</v>
      </c>
    </row>
    <row r="6829" ht="16.5" customHeight="1">
      <c r="O6829" s="5" t="s">
        <v>355</v>
      </c>
      <c r="P6829" s="5" t="s">
        <v>355</v>
      </c>
      <c r="Q6829" s="5" t="s">
        <v>355</v>
      </c>
    </row>
    <row r="6830" ht="16.5" customHeight="1">
      <c r="O6830" s="5" t="s">
        <v>355</v>
      </c>
      <c r="P6830" s="5" t="s">
        <v>355</v>
      </c>
      <c r="Q6830" s="5" t="s">
        <v>355</v>
      </c>
    </row>
    <row r="6831" ht="16.5" customHeight="1">
      <c r="O6831" s="5" t="s">
        <v>355</v>
      </c>
      <c r="P6831" s="5" t="s">
        <v>355</v>
      </c>
      <c r="Q6831" s="5" t="s">
        <v>355</v>
      </c>
    </row>
    <row r="6832" ht="16.5" customHeight="1">
      <c r="O6832" s="5" t="s">
        <v>355</v>
      </c>
      <c r="P6832" s="5" t="s">
        <v>355</v>
      </c>
      <c r="Q6832" s="5" t="s">
        <v>355</v>
      </c>
    </row>
    <row r="6833" ht="16.5" customHeight="1">
      <c r="O6833" s="5" t="s">
        <v>355</v>
      </c>
      <c r="P6833" s="5" t="s">
        <v>355</v>
      </c>
      <c r="Q6833" s="5" t="s">
        <v>355</v>
      </c>
    </row>
    <row r="6834" ht="16.5" customHeight="1">
      <c r="O6834" s="5" t="s">
        <v>355</v>
      </c>
      <c r="P6834" s="5" t="s">
        <v>355</v>
      </c>
      <c r="Q6834" s="5" t="s">
        <v>355</v>
      </c>
    </row>
    <row r="6835" ht="16.5" customHeight="1">
      <c r="O6835" s="5" t="s">
        <v>355</v>
      </c>
      <c r="P6835" s="5" t="s">
        <v>355</v>
      </c>
      <c r="Q6835" s="5" t="s">
        <v>355</v>
      </c>
    </row>
    <row r="6836" ht="16.5" customHeight="1">
      <c r="O6836" s="5" t="s">
        <v>355</v>
      </c>
      <c r="P6836" s="5" t="s">
        <v>355</v>
      </c>
      <c r="Q6836" s="5" t="s">
        <v>355</v>
      </c>
    </row>
    <row r="6837" ht="16.5" customHeight="1">
      <c r="O6837" s="5" t="s">
        <v>355</v>
      </c>
      <c r="P6837" s="5" t="s">
        <v>355</v>
      </c>
      <c r="Q6837" s="5" t="s">
        <v>355</v>
      </c>
    </row>
    <row r="6838" ht="16.5" customHeight="1">
      <c r="O6838" s="5" t="s">
        <v>355</v>
      </c>
      <c r="P6838" s="5" t="s">
        <v>355</v>
      </c>
      <c r="Q6838" s="5" t="s">
        <v>355</v>
      </c>
    </row>
    <row r="6839" ht="16.5" customHeight="1">
      <c r="O6839" s="5" t="s">
        <v>355</v>
      </c>
      <c r="P6839" s="5" t="s">
        <v>355</v>
      </c>
      <c r="Q6839" s="5" t="s">
        <v>355</v>
      </c>
    </row>
    <row r="6840" ht="16.5" customHeight="1">
      <c r="O6840" s="5" t="s">
        <v>355</v>
      </c>
      <c r="P6840" s="5" t="s">
        <v>355</v>
      </c>
      <c r="Q6840" s="5" t="s">
        <v>355</v>
      </c>
    </row>
    <row r="6841" ht="16.5" customHeight="1">
      <c r="O6841" s="5" t="s">
        <v>355</v>
      </c>
      <c r="P6841" s="5" t="s">
        <v>355</v>
      </c>
      <c r="Q6841" s="5" t="s">
        <v>355</v>
      </c>
    </row>
    <row r="6842" ht="16.5" customHeight="1">
      <c r="O6842" s="5" t="s">
        <v>355</v>
      </c>
      <c r="P6842" s="5" t="s">
        <v>355</v>
      </c>
      <c r="Q6842" s="5" t="s">
        <v>355</v>
      </c>
    </row>
    <row r="6843" ht="16.5" customHeight="1">
      <c r="O6843" s="5" t="s">
        <v>355</v>
      </c>
      <c r="P6843" s="5" t="s">
        <v>355</v>
      </c>
      <c r="Q6843" s="5" t="s">
        <v>355</v>
      </c>
    </row>
    <row r="6844" ht="16.5" customHeight="1">
      <c r="O6844" s="5" t="s">
        <v>355</v>
      </c>
      <c r="P6844" s="5" t="s">
        <v>355</v>
      </c>
      <c r="Q6844" s="5" t="s">
        <v>355</v>
      </c>
    </row>
    <row r="6845" ht="16.5" customHeight="1">
      <c r="O6845" s="5" t="s">
        <v>355</v>
      </c>
      <c r="P6845" s="5" t="s">
        <v>355</v>
      </c>
      <c r="Q6845" s="5" t="s">
        <v>355</v>
      </c>
    </row>
    <row r="6846" ht="16.5" customHeight="1">
      <c r="O6846" s="5" t="s">
        <v>355</v>
      </c>
      <c r="P6846" s="5" t="s">
        <v>355</v>
      </c>
      <c r="Q6846" s="5" t="s">
        <v>355</v>
      </c>
    </row>
    <row r="6847" ht="16.5" customHeight="1">
      <c r="O6847" s="5" t="s">
        <v>355</v>
      </c>
      <c r="P6847" s="5" t="s">
        <v>355</v>
      </c>
      <c r="Q6847" s="5" t="s">
        <v>355</v>
      </c>
    </row>
    <row r="6848" ht="16.5" customHeight="1">
      <c r="O6848" s="5" t="s">
        <v>355</v>
      </c>
      <c r="P6848" s="5" t="s">
        <v>355</v>
      </c>
      <c r="Q6848" s="5" t="s">
        <v>355</v>
      </c>
    </row>
    <row r="6849" ht="16.5" customHeight="1">
      <c r="O6849" s="5" t="s">
        <v>355</v>
      </c>
      <c r="P6849" s="5" t="s">
        <v>355</v>
      </c>
      <c r="Q6849" s="5" t="s">
        <v>355</v>
      </c>
    </row>
    <row r="6850" ht="16.5" customHeight="1">
      <c r="O6850" s="5" t="s">
        <v>355</v>
      </c>
      <c r="P6850" s="5" t="s">
        <v>355</v>
      </c>
      <c r="Q6850" s="5" t="s">
        <v>355</v>
      </c>
    </row>
    <row r="6851" ht="16.5" customHeight="1">
      <c r="O6851" s="5" t="s">
        <v>355</v>
      </c>
      <c r="P6851" s="5" t="s">
        <v>355</v>
      </c>
      <c r="Q6851" s="5" t="s">
        <v>355</v>
      </c>
    </row>
    <row r="6852" ht="16.5" customHeight="1">
      <c r="O6852" s="5" t="s">
        <v>355</v>
      </c>
      <c r="P6852" s="5" t="s">
        <v>355</v>
      </c>
      <c r="Q6852" s="5" t="s">
        <v>355</v>
      </c>
    </row>
    <row r="6853" ht="16.5" customHeight="1">
      <c r="O6853" s="5" t="s">
        <v>355</v>
      </c>
      <c r="P6853" s="5" t="s">
        <v>355</v>
      </c>
      <c r="Q6853" s="5" t="s">
        <v>355</v>
      </c>
    </row>
    <row r="6854" ht="16.5" customHeight="1">
      <c r="O6854" s="5" t="s">
        <v>355</v>
      </c>
      <c r="P6854" s="5" t="s">
        <v>355</v>
      </c>
      <c r="Q6854" s="5" t="s">
        <v>355</v>
      </c>
    </row>
    <row r="6855" ht="16.5" customHeight="1">
      <c r="O6855" s="5" t="s">
        <v>355</v>
      </c>
      <c r="P6855" s="5" t="s">
        <v>355</v>
      </c>
      <c r="Q6855" s="5" t="s">
        <v>355</v>
      </c>
    </row>
    <row r="6856" ht="16.5" customHeight="1">
      <c r="O6856" s="5" t="s">
        <v>355</v>
      </c>
      <c r="P6856" s="5" t="s">
        <v>355</v>
      </c>
      <c r="Q6856" s="5" t="s">
        <v>355</v>
      </c>
    </row>
    <row r="6857" ht="16.5" customHeight="1">
      <c r="O6857" s="5" t="s">
        <v>355</v>
      </c>
      <c r="P6857" s="5" t="s">
        <v>355</v>
      </c>
      <c r="Q6857" s="5" t="s">
        <v>355</v>
      </c>
    </row>
    <row r="6858" ht="16.5" customHeight="1">
      <c r="O6858" s="5" t="s">
        <v>355</v>
      </c>
      <c r="P6858" s="5" t="s">
        <v>355</v>
      </c>
      <c r="Q6858" s="5" t="s">
        <v>355</v>
      </c>
    </row>
    <row r="6859" ht="16.5" customHeight="1">
      <c r="O6859" s="5" t="s">
        <v>355</v>
      </c>
      <c r="P6859" s="5" t="s">
        <v>355</v>
      </c>
      <c r="Q6859" s="5" t="s">
        <v>355</v>
      </c>
    </row>
    <row r="6860" ht="16.5" customHeight="1">
      <c r="O6860" s="5" t="s">
        <v>355</v>
      </c>
      <c r="P6860" s="5" t="s">
        <v>355</v>
      </c>
      <c r="Q6860" s="5" t="s">
        <v>355</v>
      </c>
    </row>
    <row r="6861" ht="16.5" customHeight="1">
      <c r="O6861" s="5" t="s">
        <v>355</v>
      </c>
      <c r="P6861" s="5" t="s">
        <v>355</v>
      </c>
      <c r="Q6861" s="5" t="s">
        <v>355</v>
      </c>
    </row>
    <row r="6862" ht="16.5" customHeight="1">
      <c r="O6862" s="5" t="s">
        <v>355</v>
      </c>
      <c r="P6862" s="5" t="s">
        <v>355</v>
      </c>
      <c r="Q6862" s="5" t="s">
        <v>355</v>
      </c>
    </row>
    <row r="6863" ht="16.5" customHeight="1">
      <c r="O6863" s="5" t="s">
        <v>355</v>
      </c>
      <c r="P6863" s="5" t="s">
        <v>355</v>
      </c>
      <c r="Q6863" s="5" t="s">
        <v>355</v>
      </c>
    </row>
    <row r="6864" ht="16.5" customHeight="1">
      <c r="O6864" s="5" t="s">
        <v>355</v>
      </c>
      <c r="P6864" s="5" t="s">
        <v>355</v>
      </c>
      <c r="Q6864" s="5" t="s">
        <v>355</v>
      </c>
    </row>
    <row r="6865" ht="16.5" customHeight="1">
      <c r="O6865" s="5" t="s">
        <v>355</v>
      </c>
      <c r="P6865" s="5" t="s">
        <v>355</v>
      </c>
      <c r="Q6865" s="5" t="s">
        <v>355</v>
      </c>
    </row>
    <row r="6866" ht="16.5" customHeight="1">
      <c r="O6866" s="5" t="s">
        <v>355</v>
      </c>
      <c r="P6866" s="5" t="s">
        <v>355</v>
      </c>
      <c r="Q6866" s="5" t="s">
        <v>355</v>
      </c>
    </row>
    <row r="6867" ht="16.5" customHeight="1">
      <c r="O6867" s="5" t="s">
        <v>355</v>
      </c>
      <c r="P6867" s="5" t="s">
        <v>355</v>
      </c>
      <c r="Q6867" s="5" t="s">
        <v>355</v>
      </c>
    </row>
    <row r="6868" ht="16.5" customHeight="1">
      <c r="O6868" s="5" t="s">
        <v>355</v>
      </c>
      <c r="P6868" s="5" t="s">
        <v>355</v>
      </c>
      <c r="Q6868" s="5" t="s">
        <v>355</v>
      </c>
    </row>
    <row r="6869" ht="16.5" customHeight="1">
      <c r="O6869" s="5" t="s">
        <v>355</v>
      </c>
      <c r="P6869" s="5" t="s">
        <v>355</v>
      </c>
      <c r="Q6869" s="5" t="s">
        <v>355</v>
      </c>
    </row>
    <row r="6870" ht="16.5" customHeight="1">
      <c r="O6870" s="5" t="s">
        <v>355</v>
      </c>
      <c r="P6870" s="5" t="s">
        <v>355</v>
      </c>
      <c r="Q6870" s="5" t="s">
        <v>355</v>
      </c>
    </row>
    <row r="6871" ht="16.5" customHeight="1">
      <c r="O6871" s="5" t="s">
        <v>355</v>
      </c>
      <c r="P6871" s="5" t="s">
        <v>355</v>
      </c>
      <c r="Q6871" s="5" t="s">
        <v>355</v>
      </c>
    </row>
    <row r="6872" ht="16.5" customHeight="1">
      <c r="O6872" s="5" t="s">
        <v>355</v>
      </c>
      <c r="P6872" s="5" t="s">
        <v>355</v>
      </c>
      <c r="Q6872" s="5" t="s">
        <v>355</v>
      </c>
    </row>
    <row r="6873" ht="16.5" customHeight="1">
      <c r="O6873" s="5" t="s">
        <v>355</v>
      </c>
      <c r="P6873" s="5" t="s">
        <v>355</v>
      </c>
      <c r="Q6873" s="5" t="s">
        <v>355</v>
      </c>
    </row>
    <row r="6874" ht="16.5" customHeight="1">
      <c r="O6874" s="5" t="s">
        <v>355</v>
      </c>
      <c r="P6874" s="5" t="s">
        <v>355</v>
      </c>
      <c r="Q6874" s="5" t="s">
        <v>355</v>
      </c>
    </row>
    <row r="6875" ht="16.5" customHeight="1">
      <c r="O6875" s="5" t="s">
        <v>355</v>
      </c>
      <c r="P6875" s="5" t="s">
        <v>355</v>
      </c>
      <c r="Q6875" s="5" t="s">
        <v>355</v>
      </c>
    </row>
    <row r="6876" ht="16.5" customHeight="1">
      <c r="O6876" s="5" t="s">
        <v>355</v>
      </c>
      <c r="P6876" s="5" t="s">
        <v>355</v>
      </c>
      <c r="Q6876" s="5" t="s">
        <v>355</v>
      </c>
    </row>
    <row r="6877" ht="16.5" customHeight="1">
      <c r="O6877" s="5" t="s">
        <v>355</v>
      </c>
      <c r="P6877" s="5" t="s">
        <v>355</v>
      </c>
      <c r="Q6877" s="5" t="s">
        <v>355</v>
      </c>
    </row>
    <row r="6878" ht="16.5" customHeight="1">
      <c r="O6878" s="5" t="s">
        <v>355</v>
      </c>
      <c r="P6878" s="5" t="s">
        <v>355</v>
      </c>
      <c r="Q6878" s="5" t="s">
        <v>355</v>
      </c>
    </row>
    <row r="6879" ht="16.5" customHeight="1">
      <c r="O6879" s="5" t="s">
        <v>355</v>
      </c>
      <c r="P6879" s="5" t="s">
        <v>355</v>
      </c>
      <c r="Q6879" s="5" t="s">
        <v>355</v>
      </c>
    </row>
    <row r="6880" ht="16.5" customHeight="1">
      <c r="O6880" s="5" t="s">
        <v>355</v>
      </c>
      <c r="P6880" s="5" t="s">
        <v>355</v>
      </c>
      <c r="Q6880" s="5" t="s">
        <v>355</v>
      </c>
    </row>
    <row r="6881" ht="16.5" customHeight="1">
      <c r="O6881" s="5" t="s">
        <v>355</v>
      </c>
      <c r="P6881" s="5" t="s">
        <v>355</v>
      </c>
      <c r="Q6881" s="5" t="s">
        <v>355</v>
      </c>
    </row>
    <row r="6882" ht="16.5" customHeight="1">
      <c r="O6882" s="5" t="s">
        <v>355</v>
      </c>
      <c r="P6882" s="5" t="s">
        <v>355</v>
      </c>
      <c r="Q6882" s="5" t="s">
        <v>355</v>
      </c>
    </row>
    <row r="6883" ht="16.5" customHeight="1">
      <c r="O6883" s="5" t="s">
        <v>355</v>
      </c>
      <c r="P6883" s="5" t="s">
        <v>355</v>
      </c>
      <c r="Q6883" s="5" t="s">
        <v>355</v>
      </c>
    </row>
    <row r="6884" ht="16.5" customHeight="1">
      <c r="O6884" s="5" t="s">
        <v>355</v>
      </c>
      <c r="P6884" s="5" t="s">
        <v>355</v>
      </c>
      <c r="Q6884" s="5" t="s">
        <v>355</v>
      </c>
    </row>
    <row r="6885" ht="16.5" customHeight="1">
      <c r="O6885" s="5" t="s">
        <v>355</v>
      </c>
      <c r="P6885" s="5" t="s">
        <v>355</v>
      </c>
      <c r="Q6885" s="5" t="s">
        <v>355</v>
      </c>
    </row>
    <row r="6886" ht="16.5" customHeight="1">
      <c r="O6886" s="5" t="s">
        <v>355</v>
      </c>
      <c r="P6886" s="5" t="s">
        <v>355</v>
      </c>
      <c r="Q6886" s="5" t="s">
        <v>355</v>
      </c>
    </row>
    <row r="6887" ht="16.5" customHeight="1">
      <c r="O6887" s="5" t="s">
        <v>355</v>
      </c>
      <c r="P6887" s="5" t="s">
        <v>355</v>
      </c>
      <c r="Q6887" s="5" t="s">
        <v>355</v>
      </c>
    </row>
    <row r="6888" ht="16.5" customHeight="1">
      <c r="O6888" s="5" t="s">
        <v>355</v>
      </c>
      <c r="P6888" s="5" t="s">
        <v>355</v>
      </c>
      <c r="Q6888" s="5" t="s">
        <v>355</v>
      </c>
    </row>
    <row r="6889" ht="16.5" customHeight="1">
      <c r="O6889" s="5" t="s">
        <v>355</v>
      </c>
      <c r="P6889" s="5" t="s">
        <v>355</v>
      </c>
      <c r="Q6889" s="5" t="s">
        <v>355</v>
      </c>
    </row>
    <row r="6890" ht="16.5" customHeight="1">
      <c r="O6890" s="5" t="s">
        <v>355</v>
      </c>
      <c r="P6890" s="5" t="s">
        <v>355</v>
      </c>
      <c r="Q6890" s="5" t="s">
        <v>355</v>
      </c>
    </row>
    <row r="6891" ht="16.5" customHeight="1">
      <c r="O6891" s="5" t="s">
        <v>355</v>
      </c>
      <c r="P6891" s="5" t="s">
        <v>355</v>
      </c>
      <c r="Q6891" s="5" t="s">
        <v>355</v>
      </c>
    </row>
    <row r="6892" ht="16.5" customHeight="1">
      <c r="O6892" s="5" t="s">
        <v>355</v>
      </c>
      <c r="P6892" s="5" t="s">
        <v>355</v>
      </c>
      <c r="Q6892" s="5" t="s">
        <v>355</v>
      </c>
    </row>
    <row r="6893" ht="16.5" customHeight="1">
      <c r="O6893" s="5" t="s">
        <v>355</v>
      </c>
      <c r="P6893" s="5" t="s">
        <v>355</v>
      </c>
      <c r="Q6893" s="5" t="s">
        <v>355</v>
      </c>
    </row>
    <row r="6894" ht="16.5" customHeight="1">
      <c r="O6894" s="5" t="s">
        <v>355</v>
      </c>
      <c r="P6894" s="5" t="s">
        <v>355</v>
      </c>
      <c r="Q6894" s="5" t="s">
        <v>355</v>
      </c>
    </row>
    <row r="6895" ht="16.5" customHeight="1">
      <c r="O6895" s="5" t="s">
        <v>355</v>
      </c>
      <c r="P6895" s="5" t="s">
        <v>355</v>
      </c>
      <c r="Q6895" s="5" t="s">
        <v>355</v>
      </c>
    </row>
    <row r="6896" ht="16.5" customHeight="1">
      <c r="O6896" s="5" t="s">
        <v>355</v>
      </c>
      <c r="P6896" s="5" t="s">
        <v>355</v>
      </c>
      <c r="Q6896" s="5" t="s">
        <v>355</v>
      </c>
    </row>
    <row r="6897" ht="16.5" customHeight="1">
      <c r="O6897" s="5" t="s">
        <v>355</v>
      </c>
      <c r="P6897" s="5" t="s">
        <v>355</v>
      </c>
      <c r="Q6897" s="5" t="s">
        <v>355</v>
      </c>
    </row>
    <row r="6898" ht="16.5" customHeight="1">
      <c r="O6898" s="5" t="s">
        <v>355</v>
      </c>
      <c r="P6898" s="5" t="s">
        <v>355</v>
      </c>
      <c r="Q6898" s="5" t="s">
        <v>355</v>
      </c>
    </row>
    <row r="6899" ht="16.5" customHeight="1">
      <c r="O6899" s="5" t="s">
        <v>355</v>
      </c>
      <c r="P6899" s="5" t="s">
        <v>355</v>
      </c>
      <c r="Q6899" s="5" t="s">
        <v>355</v>
      </c>
    </row>
    <row r="6900" ht="16.5" customHeight="1">
      <c r="O6900" s="5" t="s">
        <v>355</v>
      </c>
      <c r="P6900" s="5" t="s">
        <v>355</v>
      </c>
      <c r="Q6900" s="5" t="s">
        <v>355</v>
      </c>
    </row>
    <row r="6901" ht="16.5" customHeight="1">
      <c r="O6901" s="5" t="s">
        <v>355</v>
      </c>
      <c r="P6901" s="5" t="s">
        <v>355</v>
      </c>
      <c r="Q6901" s="5" t="s">
        <v>355</v>
      </c>
    </row>
    <row r="6902" ht="16.5" customHeight="1">
      <c r="O6902" s="5" t="s">
        <v>355</v>
      </c>
      <c r="P6902" s="5" t="s">
        <v>355</v>
      </c>
      <c r="Q6902" s="5" t="s">
        <v>355</v>
      </c>
    </row>
    <row r="6903" ht="16.5" customHeight="1">
      <c r="O6903" s="5" t="s">
        <v>355</v>
      </c>
      <c r="P6903" s="5" t="s">
        <v>355</v>
      </c>
      <c r="Q6903" s="5" t="s">
        <v>355</v>
      </c>
    </row>
    <row r="6904" ht="16.5" customHeight="1">
      <c r="O6904" s="5" t="s">
        <v>355</v>
      </c>
      <c r="P6904" s="5" t="s">
        <v>355</v>
      </c>
      <c r="Q6904" s="5" t="s">
        <v>355</v>
      </c>
    </row>
    <row r="6905" ht="16.5" customHeight="1">
      <c r="O6905" s="5" t="s">
        <v>355</v>
      </c>
      <c r="P6905" s="5" t="s">
        <v>355</v>
      </c>
      <c r="Q6905" s="5" t="s">
        <v>355</v>
      </c>
    </row>
    <row r="6906" ht="16.5" customHeight="1">
      <c r="O6906" s="5" t="s">
        <v>355</v>
      </c>
      <c r="P6906" s="5" t="s">
        <v>355</v>
      </c>
      <c r="Q6906" s="5" t="s">
        <v>355</v>
      </c>
    </row>
    <row r="6907" ht="16.5" customHeight="1">
      <c r="O6907" s="5" t="s">
        <v>355</v>
      </c>
      <c r="P6907" s="5" t="s">
        <v>355</v>
      </c>
      <c r="Q6907" s="5" t="s">
        <v>355</v>
      </c>
    </row>
    <row r="6908" ht="16.5" customHeight="1">
      <c r="O6908" s="5" t="s">
        <v>355</v>
      </c>
      <c r="P6908" s="5" t="s">
        <v>355</v>
      </c>
      <c r="Q6908" s="5" t="s">
        <v>355</v>
      </c>
    </row>
    <row r="6909" ht="16.5" customHeight="1">
      <c r="O6909" s="5" t="s">
        <v>355</v>
      </c>
      <c r="P6909" s="5" t="s">
        <v>355</v>
      </c>
      <c r="Q6909" s="5" t="s">
        <v>355</v>
      </c>
    </row>
    <row r="6910" ht="16.5" customHeight="1">
      <c r="O6910" s="5" t="s">
        <v>355</v>
      </c>
      <c r="P6910" s="5" t="s">
        <v>355</v>
      </c>
      <c r="Q6910" s="5" t="s">
        <v>355</v>
      </c>
    </row>
    <row r="6911" ht="16.5" customHeight="1">
      <c r="O6911" s="5" t="s">
        <v>355</v>
      </c>
      <c r="P6911" s="5" t="s">
        <v>355</v>
      </c>
      <c r="Q6911" s="5" t="s">
        <v>355</v>
      </c>
    </row>
    <row r="6912" ht="16.5" customHeight="1">
      <c r="O6912" s="5" t="s">
        <v>355</v>
      </c>
      <c r="P6912" s="5" t="s">
        <v>355</v>
      </c>
      <c r="Q6912" s="5" t="s">
        <v>355</v>
      </c>
    </row>
    <row r="6913" ht="16.5" customHeight="1">
      <c r="O6913" s="5" t="s">
        <v>355</v>
      </c>
      <c r="P6913" s="5" t="s">
        <v>355</v>
      </c>
      <c r="Q6913" s="5" t="s">
        <v>355</v>
      </c>
    </row>
    <row r="6914" ht="16.5" customHeight="1">
      <c r="O6914" s="5" t="s">
        <v>355</v>
      </c>
      <c r="P6914" s="5" t="s">
        <v>355</v>
      </c>
      <c r="Q6914" s="5" t="s">
        <v>355</v>
      </c>
    </row>
    <row r="6915" ht="16.5" customHeight="1">
      <c r="O6915" s="5" t="s">
        <v>355</v>
      </c>
      <c r="P6915" s="5" t="s">
        <v>355</v>
      </c>
      <c r="Q6915" s="5" t="s">
        <v>355</v>
      </c>
    </row>
    <row r="6916" ht="16.5" customHeight="1">
      <c r="O6916" s="5" t="s">
        <v>355</v>
      </c>
      <c r="P6916" s="5" t="s">
        <v>355</v>
      </c>
      <c r="Q6916" s="5" t="s">
        <v>355</v>
      </c>
    </row>
    <row r="6917" ht="16.5" customHeight="1">
      <c r="O6917" s="5" t="s">
        <v>355</v>
      </c>
      <c r="P6917" s="5" t="s">
        <v>355</v>
      </c>
      <c r="Q6917" s="5" t="s">
        <v>355</v>
      </c>
    </row>
    <row r="6918" ht="16.5" customHeight="1">
      <c r="O6918" s="5" t="s">
        <v>355</v>
      </c>
      <c r="P6918" s="5" t="s">
        <v>355</v>
      </c>
      <c r="Q6918" s="5" t="s">
        <v>355</v>
      </c>
    </row>
    <row r="6919" ht="16.5" customHeight="1">
      <c r="O6919" s="5" t="s">
        <v>355</v>
      </c>
      <c r="P6919" s="5" t="s">
        <v>355</v>
      </c>
      <c r="Q6919" s="5" t="s">
        <v>355</v>
      </c>
    </row>
    <row r="6920" ht="16.5" customHeight="1">
      <c r="O6920" s="5" t="s">
        <v>355</v>
      </c>
      <c r="P6920" s="5" t="s">
        <v>355</v>
      </c>
      <c r="Q6920" s="5" t="s">
        <v>355</v>
      </c>
    </row>
    <row r="6921" ht="16.5" customHeight="1">
      <c r="O6921" s="5" t="s">
        <v>355</v>
      </c>
      <c r="P6921" s="5" t="s">
        <v>355</v>
      </c>
      <c r="Q6921" s="5" t="s">
        <v>355</v>
      </c>
    </row>
    <row r="6922" ht="16.5" customHeight="1">
      <c r="O6922" s="5" t="s">
        <v>355</v>
      </c>
      <c r="P6922" s="5" t="s">
        <v>355</v>
      </c>
      <c r="Q6922" s="5" t="s">
        <v>355</v>
      </c>
    </row>
    <row r="6923" ht="16.5" customHeight="1">
      <c r="O6923" s="5" t="s">
        <v>355</v>
      </c>
      <c r="P6923" s="5" t="s">
        <v>355</v>
      </c>
      <c r="Q6923" s="5" t="s">
        <v>355</v>
      </c>
    </row>
    <row r="6924" ht="16.5" customHeight="1">
      <c r="O6924" s="5" t="s">
        <v>355</v>
      </c>
      <c r="P6924" s="5" t="s">
        <v>355</v>
      </c>
      <c r="Q6924" s="5" t="s">
        <v>355</v>
      </c>
    </row>
    <row r="6925" ht="16.5" customHeight="1">
      <c r="O6925" s="5" t="s">
        <v>355</v>
      </c>
      <c r="P6925" s="5" t="s">
        <v>355</v>
      </c>
      <c r="Q6925" s="5" t="s">
        <v>355</v>
      </c>
    </row>
    <row r="6926" ht="16.5" customHeight="1">
      <c r="O6926" s="5" t="s">
        <v>355</v>
      </c>
      <c r="P6926" s="5" t="s">
        <v>355</v>
      </c>
      <c r="Q6926" s="5" t="s">
        <v>355</v>
      </c>
    </row>
    <row r="6927" ht="16.5" customHeight="1">
      <c r="O6927" s="5" t="s">
        <v>355</v>
      </c>
      <c r="P6927" s="5" t="s">
        <v>355</v>
      </c>
      <c r="Q6927" s="5" t="s">
        <v>355</v>
      </c>
    </row>
    <row r="6928" ht="16.5" customHeight="1">
      <c r="O6928" s="5" t="s">
        <v>355</v>
      </c>
      <c r="P6928" s="5" t="s">
        <v>355</v>
      </c>
      <c r="Q6928" s="5" t="s">
        <v>355</v>
      </c>
    </row>
    <row r="6929" ht="16.5" customHeight="1">
      <c r="O6929" s="5" t="s">
        <v>355</v>
      </c>
      <c r="P6929" s="5" t="s">
        <v>355</v>
      </c>
      <c r="Q6929" s="5" t="s">
        <v>355</v>
      </c>
    </row>
    <row r="6930" ht="16.5" customHeight="1">
      <c r="O6930" s="5" t="s">
        <v>355</v>
      </c>
      <c r="P6930" s="5" t="s">
        <v>355</v>
      </c>
      <c r="Q6930" s="5" t="s">
        <v>355</v>
      </c>
    </row>
    <row r="6931" ht="16.5" customHeight="1">
      <c r="O6931" s="5" t="s">
        <v>355</v>
      </c>
      <c r="P6931" s="5" t="s">
        <v>355</v>
      </c>
      <c r="Q6931" s="5" t="s">
        <v>355</v>
      </c>
    </row>
    <row r="6932" ht="16.5" customHeight="1">
      <c r="O6932" s="5" t="s">
        <v>355</v>
      </c>
      <c r="P6932" s="5" t="s">
        <v>355</v>
      </c>
      <c r="Q6932" s="5" t="s">
        <v>355</v>
      </c>
    </row>
    <row r="6933" ht="16.5" customHeight="1">
      <c r="O6933" s="5" t="s">
        <v>355</v>
      </c>
      <c r="P6933" s="5" t="s">
        <v>355</v>
      </c>
      <c r="Q6933" s="5" t="s">
        <v>355</v>
      </c>
    </row>
    <row r="6934" ht="16.5" customHeight="1">
      <c r="O6934" s="5" t="s">
        <v>355</v>
      </c>
      <c r="P6934" s="5" t="s">
        <v>355</v>
      </c>
      <c r="Q6934" s="5" t="s">
        <v>355</v>
      </c>
    </row>
    <row r="6935" ht="16.5" customHeight="1">
      <c r="O6935" s="5" t="s">
        <v>355</v>
      </c>
      <c r="P6935" s="5" t="s">
        <v>355</v>
      </c>
      <c r="Q6935" s="5" t="s">
        <v>355</v>
      </c>
    </row>
    <row r="6936" ht="16.5" customHeight="1">
      <c r="O6936" s="5" t="s">
        <v>355</v>
      </c>
      <c r="P6936" s="5" t="s">
        <v>355</v>
      </c>
      <c r="Q6936" s="5" t="s">
        <v>355</v>
      </c>
    </row>
    <row r="6937" ht="16.5" customHeight="1">
      <c r="O6937" s="5" t="s">
        <v>355</v>
      </c>
      <c r="P6937" s="5" t="s">
        <v>355</v>
      </c>
      <c r="Q6937" s="5" t="s">
        <v>355</v>
      </c>
    </row>
    <row r="6938" ht="16.5" customHeight="1">
      <c r="O6938" s="5" t="s">
        <v>355</v>
      </c>
      <c r="P6938" s="5" t="s">
        <v>355</v>
      </c>
      <c r="Q6938" s="5" t="s">
        <v>355</v>
      </c>
    </row>
    <row r="6939" ht="16.5" customHeight="1">
      <c r="O6939" s="5" t="s">
        <v>355</v>
      </c>
      <c r="P6939" s="5" t="s">
        <v>355</v>
      </c>
      <c r="Q6939" s="5" t="s">
        <v>355</v>
      </c>
    </row>
    <row r="6940" ht="16.5" customHeight="1">
      <c r="O6940" s="5" t="s">
        <v>355</v>
      </c>
      <c r="P6940" s="5" t="s">
        <v>355</v>
      </c>
      <c r="Q6940" s="5" t="s">
        <v>355</v>
      </c>
    </row>
    <row r="6941" ht="16.5" customHeight="1">
      <c r="O6941" s="5" t="s">
        <v>355</v>
      </c>
      <c r="P6941" s="5" t="s">
        <v>355</v>
      </c>
      <c r="Q6941" s="5" t="s">
        <v>355</v>
      </c>
    </row>
    <row r="6942" ht="16.5" customHeight="1">
      <c r="O6942" s="5" t="s">
        <v>355</v>
      </c>
      <c r="P6942" s="5" t="s">
        <v>355</v>
      </c>
      <c r="Q6942" s="5" t="s">
        <v>355</v>
      </c>
    </row>
    <row r="6943" ht="16.5" customHeight="1">
      <c r="O6943" s="5" t="s">
        <v>355</v>
      </c>
      <c r="P6943" s="5" t="s">
        <v>355</v>
      </c>
      <c r="Q6943" s="5" t="s">
        <v>355</v>
      </c>
    </row>
    <row r="6944" ht="16.5" customHeight="1">
      <c r="O6944" s="5" t="s">
        <v>355</v>
      </c>
      <c r="P6944" s="5" t="s">
        <v>355</v>
      </c>
      <c r="Q6944" s="5" t="s">
        <v>355</v>
      </c>
    </row>
    <row r="6945" ht="16.5" customHeight="1">
      <c r="O6945" s="5" t="s">
        <v>355</v>
      </c>
      <c r="P6945" s="5" t="s">
        <v>355</v>
      </c>
      <c r="Q6945" s="5" t="s">
        <v>355</v>
      </c>
    </row>
    <row r="6946" ht="16.5" customHeight="1">
      <c r="O6946" s="5" t="s">
        <v>355</v>
      </c>
      <c r="P6946" s="5" t="s">
        <v>355</v>
      </c>
      <c r="Q6946" s="5" t="s">
        <v>355</v>
      </c>
    </row>
    <row r="6947" ht="16.5" customHeight="1">
      <c r="O6947" s="5" t="s">
        <v>355</v>
      </c>
      <c r="P6947" s="5" t="s">
        <v>355</v>
      </c>
      <c r="Q6947" s="5" t="s">
        <v>355</v>
      </c>
    </row>
    <row r="6948" ht="16.5" customHeight="1">
      <c r="O6948" s="5" t="s">
        <v>355</v>
      </c>
      <c r="P6948" s="5" t="s">
        <v>355</v>
      </c>
      <c r="Q6948" s="5" t="s">
        <v>355</v>
      </c>
    </row>
    <row r="6949" ht="16.5" customHeight="1">
      <c r="O6949" s="5" t="s">
        <v>355</v>
      </c>
      <c r="P6949" s="5" t="s">
        <v>355</v>
      </c>
      <c r="Q6949" s="5" t="s">
        <v>355</v>
      </c>
    </row>
    <row r="6950" ht="16.5" customHeight="1">
      <c r="O6950" s="5" t="s">
        <v>355</v>
      </c>
      <c r="P6950" s="5" t="s">
        <v>355</v>
      </c>
      <c r="Q6950" s="5" t="s">
        <v>355</v>
      </c>
    </row>
    <row r="6951" ht="16.5" customHeight="1">
      <c r="O6951" s="5" t="s">
        <v>355</v>
      </c>
      <c r="P6951" s="5" t="s">
        <v>355</v>
      </c>
      <c r="Q6951" s="5" t="s">
        <v>355</v>
      </c>
    </row>
    <row r="6952" ht="16.5" customHeight="1">
      <c r="O6952" s="5" t="s">
        <v>355</v>
      </c>
      <c r="P6952" s="5" t="s">
        <v>355</v>
      </c>
      <c r="Q6952" s="5" t="s">
        <v>355</v>
      </c>
    </row>
    <row r="6953" ht="16.5" customHeight="1">
      <c r="O6953" s="5" t="s">
        <v>355</v>
      </c>
      <c r="P6953" s="5" t="s">
        <v>355</v>
      </c>
      <c r="Q6953" s="5" t="s">
        <v>355</v>
      </c>
    </row>
    <row r="6954" ht="16.5" customHeight="1">
      <c r="O6954" s="5" t="s">
        <v>355</v>
      </c>
      <c r="P6954" s="5" t="s">
        <v>355</v>
      </c>
      <c r="Q6954" s="5" t="s">
        <v>355</v>
      </c>
    </row>
    <row r="6955" ht="16.5" customHeight="1">
      <c r="O6955" s="5" t="s">
        <v>355</v>
      </c>
      <c r="P6955" s="5" t="s">
        <v>355</v>
      </c>
      <c r="Q6955" s="5" t="s">
        <v>355</v>
      </c>
    </row>
    <row r="6956" ht="16.5" customHeight="1">
      <c r="O6956" s="5" t="s">
        <v>355</v>
      </c>
      <c r="P6956" s="5" t="s">
        <v>355</v>
      </c>
      <c r="Q6956" s="5" t="s">
        <v>355</v>
      </c>
    </row>
    <row r="6957" ht="16.5" customHeight="1">
      <c r="O6957" s="5" t="s">
        <v>355</v>
      </c>
      <c r="P6957" s="5" t="s">
        <v>355</v>
      </c>
      <c r="Q6957" s="5" t="s">
        <v>355</v>
      </c>
    </row>
    <row r="6958" ht="16.5" customHeight="1">
      <c r="O6958" s="5" t="s">
        <v>355</v>
      </c>
      <c r="P6958" s="5" t="s">
        <v>355</v>
      </c>
      <c r="Q6958" s="5" t="s">
        <v>355</v>
      </c>
    </row>
    <row r="6959" ht="16.5" customHeight="1">
      <c r="O6959" s="5" t="s">
        <v>355</v>
      </c>
      <c r="P6959" s="5" t="s">
        <v>355</v>
      </c>
      <c r="Q6959" s="5" t="s">
        <v>355</v>
      </c>
    </row>
    <row r="6960" ht="16.5" customHeight="1">
      <c r="O6960" s="5" t="s">
        <v>355</v>
      </c>
      <c r="P6960" s="5" t="s">
        <v>355</v>
      </c>
      <c r="Q6960" s="5" t="s">
        <v>355</v>
      </c>
    </row>
    <row r="6961" ht="16.5" customHeight="1">
      <c r="O6961" s="5" t="s">
        <v>355</v>
      </c>
      <c r="P6961" s="5" t="s">
        <v>355</v>
      </c>
      <c r="Q6961" s="5" t="s">
        <v>355</v>
      </c>
    </row>
    <row r="6962" ht="16.5" customHeight="1">
      <c r="O6962" s="5" t="s">
        <v>355</v>
      </c>
      <c r="P6962" s="5" t="s">
        <v>355</v>
      </c>
      <c r="Q6962" s="5" t="s">
        <v>355</v>
      </c>
    </row>
    <row r="6963" ht="16.5" customHeight="1">
      <c r="O6963" s="5" t="s">
        <v>355</v>
      </c>
      <c r="P6963" s="5" t="s">
        <v>355</v>
      </c>
      <c r="Q6963" s="5" t="s">
        <v>355</v>
      </c>
    </row>
    <row r="6964" ht="16.5" customHeight="1">
      <c r="O6964" s="5" t="s">
        <v>355</v>
      </c>
      <c r="P6964" s="5" t="s">
        <v>355</v>
      </c>
      <c r="Q6964" s="5" t="s">
        <v>355</v>
      </c>
    </row>
    <row r="6965" ht="16.5" customHeight="1">
      <c r="O6965" s="5" t="s">
        <v>355</v>
      </c>
      <c r="P6965" s="5" t="s">
        <v>355</v>
      </c>
      <c r="Q6965" s="5" t="s">
        <v>355</v>
      </c>
    </row>
    <row r="6966" ht="16.5" customHeight="1">
      <c r="O6966" s="5" t="s">
        <v>355</v>
      </c>
      <c r="P6966" s="5" t="s">
        <v>355</v>
      </c>
      <c r="Q6966" s="5" t="s">
        <v>355</v>
      </c>
    </row>
    <row r="6967" ht="16.5" customHeight="1">
      <c r="O6967" s="5" t="s">
        <v>355</v>
      </c>
      <c r="P6967" s="5" t="s">
        <v>355</v>
      </c>
      <c r="Q6967" s="5" t="s">
        <v>355</v>
      </c>
    </row>
    <row r="6968" ht="16.5" customHeight="1">
      <c r="O6968" s="5" t="s">
        <v>355</v>
      </c>
      <c r="P6968" s="5" t="s">
        <v>355</v>
      </c>
      <c r="Q6968" s="5" t="s">
        <v>355</v>
      </c>
    </row>
    <row r="6969" ht="16.5" customHeight="1">
      <c r="O6969" s="5" t="s">
        <v>355</v>
      </c>
      <c r="P6969" s="5" t="s">
        <v>355</v>
      </c>
      <c r="Q6969" s="5" t="s">
        <v>355</v>
      </c>
    </row>
    <row r="6970" ht="16.5" customHeight="1">
      <c r="O6970" s="5" t="s">
        <v>355</v>
      </c>
      <c r="P6970" s="5" t="s">
        <v>355</v>
      </c>
      <c r="Q6970" s="5" t="s">
        <v>355</v>
      </c>
    </row>
    <row r="6971" ht="16.5" customHeight="1">
      <c r="O6971" s="5" t="s">
        <v>355</v>
      </c>
      <c r="P6971" s="5" t="s">
        <v>355</v>
      </c>
      <c r="Q6971" s="5" t="s">
        <v>355</v>
      </c>
    </row>
    <row r="6972" ht="16.5" customHeight="1">
      <c r="O6972" s="5" t="s">
        <v>355</v>
      </c>
      <c r="P6972" s="5" t="s">
        <v>355</v>
      </c>
      <c r="Q6972" s="5" t="s">
        <v>355</v>
      </c>
    </row>
    <row r="6973" ht="16.5" customHeight="1">
      <c r="O6973" s="5" t="s">
        <v>355</v>
      </c>
      <c r="P6973" s="5" t="s">
        <v>355</v>
      </c>
      <c r="Q6973" s="5" t="s">
        <v>355</v>
      </c>
    </row>
    <row r="6974" ht="16.5" customHeight="1">
      <c r="O6974" s="5" t="s">
        <v>355</v>
      </c>
      <c r="P6974" s="5" t="s">
        <v>355</v>
      </c>
      <c r="Q6974" s="5" t="s">
        <v>355</v>
      </c>
    </row>
    <row r="6975" ht="16.5" customHeight="1">
      <c r="O6975" s="5" t="s">
        <v>355</v>
      </c>
      <c r="P6975" s="5" t="s">
        <v>355</v>
      </c>
      <c r="Q6975" s="5" t="s">
        <v>355</v>
      </c>
    </row>
    <row r="6976" ht="16.5" customHeight="1">
      <c r="O6976" s="5" t="s">
        <v>355</v>
      </c>
      <c r="P6976" s="5" t="s">
        <v>355</v>
      </c>
      <c r="Q6976" s="5" t="s">
        <v>355</v>
      </c>
    </row>
    <row r="6977" ht="16.5" customHeight="1">
      <c r="O6977" s="5" t="s">
        <v>355</v>
      </c>
      <c r="P6977" s="5" t="s">
        <v>355</v>
      </c>
      <c r="Q6977" s="5" t="s">
        <v>355</v>
      </c>
    </row>
    <row r="6978" ht="16.5" customHeight="1">
      <c r="O6978" s="5" t="s">
        <v>355</v>
      </c>
      <c r="P6978" s="5" t="s">
        <v>355</v>
      </c>
      <c r="Q6978" s="5" t="s">
        <v>355</v>
      </c>
    </row>
    <row r="6979" ht="16.5" customHeight="1">
      <c r="O6979" s="5" t="s">
        <v>355</v>
      </c>
      <c r="P6979" s="5" t="s">
        <v>355</v>
      </c>
      <c r="Q6979" s="5" t="s">
        <v>355</v>
      </c>
    </row>
    <row r="6980" ht="16.5" customHeight="1">
      <c r="O6980" s="5" t="s">
        <v>355</v>
      </c>
      <c r="P6980" s="5" t="s">
        <v>355</v>
      </c>
      <c r="Q6980" s="5" t="s">
        <v>355</v>
      </c>
    </row>
    <row r="6981" ht="16.5" customHeight="1">
      <c r="O6981" s="5" t="s">
        <v>355</v>
      </c>
      <c r="P6981" s="5" t="s">
        <v>355</v>
      </c>
      <c r="Q6981" s="5" t="s">
        <v>355</v>
      </c>
    </row>
    <row r="6982" ht="16.5" customHeight="1">
      <c r="O6982" s="5" t="s">
        <v>355</v>
      </c>
      <c r="P6982" s="5" t="s">
        <v>355</v>
      </c>
      <c r="Q6982" s="5" t="s">
        <v>355</v>
      </c>
    </row>
    <row r="6983" ht="16.5" customHeight="1">
      <c r="O6983" s="5" t="s">
        <v>355</v>
      </c>
      <c r="P6983" s="5" t="s">
        <v>355</v>
      </c>
      <c r="Q6983" s="5" t="s">
        <v>355</v>
      </c>
    </row>
    <row r="6984" ht="16.5" customHeight="1">
      <c r="O6984" s="5" t="s">
        <v>355</v>
      </c>
      <c r="P6984" s="5" t="s">
        <v>355</v>
      </c>
      <c r="Q6984" s="5" t="s">
        <v>355</v>
      </c>
    </row>
    <row r="6985" ht="16.5" customHeight="1">
      <c r="O6985" s="5" t="s">
        <v>355</v>
      </c>
      <c r="P6985" s="5" t="s">
        <v>355</v>
      </c>
      <c r="Q6985" s="5" t="s">
        <v>355</v>
      </c>
    </row>
    <row r="6986" ht="16.5" customHeight="1">
      <c r="O6986" s="5" t="s">
        <v>355</v>
      </c>
      <c r="P6986" s="5" t="s">
        <v>355</v>
      </c>
      <c r="Q6986" s="5" t="s">
        <v>355</v>
      </c>
    </row>
    <row r="6987" ht="16.5" customHeight="1">
      <c r="O6987" s="5" t="s">
        <v>355</v>
      </c>
      <c r="P6987" s="5" t="s">
        <v>355</v>
      </c>
      <c r="Q6987" s="5" t="s">
        <v>355</v>
      </c>
    </row>
    <row r="6988" ht="16.5" customHeight="1">
      <c r="O6988" s="5" t="s">
        <v>355</v>
      </c>
      <c r="P6988" s="5" t="s">
        <v>355</v>
      </c>
      <c r="Q6988" s="5" t="s">
        <v>355</v>
      </c>
    </row>
    <row r="6989" ht="16.5" customHeight="1">
      <c r="O6989" s="5" t="s">
        <v>355</v>
      </c>
      <c r="P6989" s="5" t="s">
        <v>355</v>
      </c>
      <c r="Q6989" s="5" t="s">
        <v>355</v>
      </c>
    </row>
    <row r="6990" ht="16.5" customHeight="1">
      <c r="O6990" s="5" t="s">
        <v>355</v>
      </c>
      <c r="P6990" s="5" t="s">
        <v>355</v>
      </c>
      <c r="Q6990" s="5" t="s">
        <v>355</v>
      </c>
    </row>
    <row r="6991" ht="16.5" customHeight="1">
      <c r="O6991" s="5" t="s">
        <v>355</v>
      </c>
      <c r="P6991" s="5" t="s">
        <v>355</v>
      </c>
      <c r="Q6991" s="5" t="s">
        <v>355</v>
      </c>
    </row>
    <row r="6992" ht="16.5" customHeight="1">
      <c r="O6992" s="5" t="s">
        <v>355</v>
      </c>
      <c r="P6992" s="5" t="s">
        <v>355</v>
      </c>
      <c r="Q6992" s="5" t="s">
        <v>355</v>
      </c>
    </row>
    <row r="6993" ht="16.5" customHeight="1">
      <c r="O6993" s="5" t="s">
        <v>355</v>
      </c>
      <c r="P6993" s="5" t="s">
        <v>355</v>
      </c>
      <c r="Q6993" s="5" t="s">
        <v>355</v>
      </c>
    </row>
    <row r="6994" ht="16.5" customHeight="1">
      <c r="O6994" s="5" t="s">
        <v>355</v>
      </c>
      <c r="P6994" s="5" t="s">
        <v>355</v>
      </c>
      <c r="Q6994" s="5" t="s">
        <v>355</v>
      </c>
    </row>
    <row r="6995" ht="16.5" customHeight="1">
      <c r="O6995" s="5" t="s">
        <v>355</v>
      </c>
      <c r="P6995" s="5" t="s">
        <v>355</v>
      </c>
      <c r="Q6995" s="5" t="s">
        <v>355</v>
      </c>
    </row>
    <row r="6996" ht="16.5" customHeight="1">
      <c r="O6996" s="5" t="s">
        <v>355</v>
      </c>
      <c r="P6996" s="5" t="s">
        <v>355</v>
      </c>
      <c r="Q6996" s="5" t="s">
        <v>355</v>
      </c>
    </row>
    <row r="6997" ht="16.5" customHeight="1">
      <c r="O6997" s="5" t="s">
        <v>355</v>
      </c>
      <c r="P6997" s="5" t="s">
        <v>355</v>
      </c>
      <c r="Q6997" s="5" t="s">
        <v>355</v>
      </c>
    </row>
    <row r="6998" ht="16.5" customHeight="1">
      <c r="O6998" s="5" t="s">
        <v>355</v>
      </c>
      <c r="P6998" s="5" t="s">
        <v>355</v>
      </c>
      <c r="Q6998" s="5" t="s">
        <v>355</v>
      </c>
    </row>
    <row r="6999" ht="16.5" customHeight="1">
      <c r="O6999" s="5" t="s">
        <v>355</v>
      </c>
      <c r="P6999" s="5" t="s">
        <v>355</v>
      </c>
      <c r="Q6999" s="5" t="s">
        <v>355</v>
      </c>
    </row>
    <row r="7000" ht="16.5" customHeight="1">
      <c r="O7000" s="5" t="s">
        <v>355</v>
      </c>
      <c r="P7000" s="5" t="s">
        <v>355</v>
      </c>
      <c r="Q7000" s="5" t="s">
        <v>355</v>
      </c>
    </row>
    <row r="7001" ht="16.5" customHeight="1">
      <c r="O7001" s="5" t="s">
        <v>355</v>
      </c>
      <c r="P7001" s="5" t="s">
        <v>355</v>
      </c>
      <c r="Q7001" s="5" t="s">
        <v>355</v>
      </c>
    </row>
    <row r="7002" ht="16.5" customHeight="1">
      <c r="O7002" s="5" t="s">
        <v>355</v>
      </c>
      <c r="P7002" s="5" t="s">
        <v>355</v>
      </c>
      <c r="Q7002" s="5" t="s">
        <v>355</v>
      </c>
    </row>
    <row r="7003" ht="16.5" customHeight="1">
      <c r="O7003" s="5" t="s">
        <v>355</v>
      </c>
      <c r="P7003" s="5" t="s">
        <v>355</v>
      </c>
      <c r="Q7003" s="5" t="s">
        <v>355</v>
      </c>
    </row>
    <row r="7004" ht="16.5" customHeight="1">
      <c r="O7004" s="5" t="s">
        <v>355</v>
      </c>
      <c r="P7004" s="5" t="s">
        <v>355</v>
      </c>
      <c r="Q7004" s="5" t="s">
        <v>355</v>
      </c>
    </row>
    <row r="7005" ht="16.5" customHeight="1">
      <c r="O7005" s="5" t="s">
        <v>355</v>
      </c>
      <c r="P7005" s="5" t="s">
        <v>355</v>
      </c>
      <c r="Q7005" s="5" t="s">
        <v>355</v>
      </c>
    </row>
    <row r="7006" ht="16.5" customHeight="1">
      <c r="O7006" s="5" t="s">
        <v>355</v>
      </c>
      <c r="P7006" s="5" t="s">
        <v>355</v>
      </c>
      <c r="Q7006" s="5" t="s">
        <v>355</v>
      </c>
    </row>
    <row r="7007" ht="16.5" customHeight="1">
      <c r="O7007" s="5" t="s">
        <v>355</v>
      </c>
      <c r="P7007" s="5" t="s">
        <v>355</v>
      </c>
      <c r="Q7007" s="5" t="s">
        <v>355</v>
      </c>
    </row>
    <row r="7008" ht="16.5" customHeight="1">
      <c r="O7008" s="5" t="s">
        <v>355</v>
      </c>
      <c r="P7008" s="5" t="s">
        <v>355</v>
      </c>
      <c r="Q7008" s="5" t="s">
        <v>355</v>
      </c>
    </row>
    <row r="7009" ht="16.5" customHeight="1">
      <c r="O7009" s="5" t="s">
        <v>355</v>
      </c>
      <c r="P7009" s="5" t="s">
        <v>355</v>
      </c>
      <c r="Q7009" s="5" t="s">
        <v>355</v>
      </c>
    </row>
    <row r="7010" ht="16.5" customHeight="1">
      <c r="O7010" s="5" t="s">
        <v>355</v>
      </c>
      <c r="P7010" s="5" t="s">
        <v>355</v>
      </c>
      <c r="Q7010" s="5" t="s">
        <v>355</v>
      </c>
    </row>
    <row r="7011" ht="16.5" customHeight="1">
      <c r="O7011" s="5" t="s">
        <v>355</v>
      </c>
      <c r="P7011" s="5" t="s">
        <v>355</v>
      </c>
      <c r="Q7011" s="5" t="s">
        <v>355</v>
      </c>
    </row>
    <row r="7012" ht="16.5" customHeight="1">
      <c r="O7012" s="5" t="s">
        <v>355</v>
      </c>
      <c r="P7012" s="5" t="s">
        <v>355</v>
      </c>
      <c r="Q7012" s="5" t="s">
        <v>355</v>
      </c>
    </row>
    <row r="7013" ht="16.5" customHeight="1">
      <c r="O7013" s="5" t="s">
        <v>355</v>
      </c>
      <c r="P7013" s="5" t="s">
        <v>355</v>
      </c>
      <c r="Q7013" s="5" t="s">
        <v>355</v>
      </c>
    </row>
    <row r="7014" ht="16.5" customHeight="1">
      <c r="O7014" s="5" t="s">
        <v>355</v>
      </c>
      <c r="P7014" s="5" t="s">
        <v>355</v>
      </c>
      <c r="Q7014" s="5" t="s">
        <v>355</v>
      </c>
    </row>
    <row r="7015" ht="16.5" customHeight="1">
      <c r="O7015" s="5" t="s">
        <v>355</v>
      </c>
      <c r="P7015" s="5" t="s">
        <v>355</v>
      </c>
      <c r="Q7015" s="5" t="s">
        <v>355</v>
      </c>
    </row>
    <row r="7016" ht="16.5" customHeight="1">
      <c r="O7016" s="5" t="s">
        <v>355</v>
      </c>
      <c r="P7016" s="5" t="s">
        <v>355</v>
      </c>
      <c r="Q7016" s="5" t="s">
        <v>355</v>
      </c>
    </row>
    <row r="7017" ht="16.5" customHeight="1">
      <c r="O7017" s="5" t="s">
        <v>355</v>
      </c>
      <c r="P7017" s="5" t="s">
        <v>355</v>
      </c>
      <c r="Q7017" s="5" t="s">
        <v>355</v>
      </c>
    </row>
    <row r="7018" ht="16.5" customHeight="1">
      <c r="O7018" s="5" t="s">
        <v>355</v>
      </c>
      <c r="P7018" s="5" t="s">
        <v>355</v>
      </c>
      <c r="Q7018" s="5" t="s">
        <v>355</v>
      </c>
    </row>
    <row r="7019" ht="16.5" customHeight="1">
      <c r="O7019" s="5" t="s">
        <v>355</v>
      </c>
      <c r="P7019" s="5" t="s">
        <v>355</v>
      </c>
      <c r="Q7019" s="5" t="s">
        <v>355</v>
      </c>
    </row>
    <row r="7020" ht="16.5" customHeight="1">
      <c r="O7020" s="5" t="s">
        <v>355</v>
      </c>
      <c r="P7020" s="5" t="s">
        <v>355</v>
      </c>
      <c r="Q7020" s="5" t="s">
        <v>355</v>
      </c>
    </row>
    <row r="7021" ht="16.5" customHeight="1">
      <c r="O7021" s="5" t="s">
        <v>355</v>
      </c>
      <c r="P7021" s="5" t="s">
        <v>355</v>
      </c>
      <c r="Q7021" s="5" t="s">
        <v>355</v>
      </c>
    </row>
    <row r="7022" ht="16.5" customHeight="1">
      <c r="O7022" s="5" t="s">
        <v>355</v>
      </c>
      <c r="P7022" s="5" t="s">
        <v>355</v>
      </c>
      <c r="Q7022" s="5" t="s">
        <v>355</v>
      </c>
    </row>
    <row r="7023" ht="16.5" customHeight="1">
      <c r="O7023" s="5" t="s">
        <v>355</v>
      </c>
      <c r="P7023" s="5" t="s">
        <v>355</v>
      </c>
      <c r="Q7023" s="5" t="s">
        <v>355</v>
      </c>
    </row>
    <row r="7024" ht="16.5" customHeight="1">
      <c r="O7024" s="5" t="s">
        <v>355</v>
      </c>
      <c r="P7024" s="5" t="s">
        <v>355</v>
      </c>
      <c r="Q7024" s="5" t="s">
        <v>355</v>
      </c>
    </row>
    <row r="7025" ht="16.5" customHeight="1">
      <c r="O7025" s="5" t="s">
        <v>355</v>
      </c>
      <c r="P7025" s="5" t="s">
        <v>355</v>
      </c>
      <c r="Q7025" s="5" t="s">
        <v>355</v>
      </c>
    </row>
    <row r="7026" ht="16.5" customHeight="1">
      <c r="O7026" s="5" t="s">
        <v>355</v>
      </c>
      <c r="P7026" s="5" t="s">
        <v>355</v>
      </c>
      <c r="Q7026" s="5" t="s">
        <v>355</v>
      </c>
    </row>
    <row r="7027" ht="16.5" customHeight="1">
      <c r="O7027" s="5" t="s">
        <v>355</v>
      </c>
      <c r="P7027" s="5" t="s">
        <v>355</v>
      </c>
      <c r="Q7027" s="5" t="s">
        <v>355</v>
      </c>
    </row>
    <row r="7028" ht="16.5" customHeight="1">
      <c r="O7028" s="5" t="s">
        <v>355</v>
      </c>
      <c r="P7028" s="5" t="s">
        <v>355</v>
      </c>
      <c r="Q7028" s="5" t="s">
        <v>355</v>
      </c>
    </row>
    <row r="7029" ht="16.5" customHeight="1">
      <c r="O7029" s="5" t="s">
        <v>355</v>
      </c>
      <c r="P7029" s="5" t="s">
        <v>355</v>
      </c>
      <c r="Q7029" s="5" t="s">
        <v>355</v>
      </c>
    </row>
    <row r="7030" ht="16.5" customHeight="1">
      <c r="O7030" s="5" t="s">
        <v>355</v>
      </c>
      <c r="P7030" s="5" t="s">
        <v>355</v>
      </c>
      <c r="Q7030" s="5" t="s">
        <v>355</v>
      </c>
    </row>
    <row r="7031" ht="16.5" customHeight="1">
      <c r="O7031" s="5" t="s">
        <v>355</v>
      </c>
      <c r="P7031" s="5" t="s">
        <v>355</v>
      </c>
      <c r="Q7031" s="5" t="s">
        <v>355</v>
      </c>
    </row>
    <row r="7032" ht="16.5" customHeight="1">
      <c r="O7032" s="5" t="s">
        <v>355</v>
      </c>
      <c r="P7032" s="5" t="s">
        <v>355</v>
      </c>
      <c r="Q7032" s="5" t="s">
        <v>355</v>
      </c>
    </row>
    <row r="7033" ht="16.5" customHeight="1">
      <c r="O7033" s="5" t="s">
        <v>355</v>
      </c>
      <c r="P7033" s="5" t="s">
        <v>355</v>
      </c>
      <c r="Q7033" s="5" t="s">
        <v>355</v>
      </c>
    </row>
    <row r="7034" ht="16.5" customHeight="1">
      <c r="O7034" s="5" t="s">
        <v>355</v>
      </c>
      <c r="P7034" s="5" t="s">
        <v>355</v>
      </c>
      <c r="Q7034" s="5" t="s">
        <v>355</v>
      </c>
    </row>
    <row r="7035" ht="16.5" customHeight="1">
      <c r="O7035" s="5" t="s">
        <v>355</v>
      </c>
      <c r="P7035" s="5" t="s">
        <v>355</v>
      </c>
      <c r="Q7035" s="5" t="s">
        <v>355</v>
      </c>
    </row>
    <row r="7036" ht="16.5" customHeight="1">
      <c r="O7036" s="5" t="s">
        <v>355</v>
      </c>
      <c r="P7036" s="5" t="s">
        <v>355</v>
      </c>
      <c r="Q7036" s="5" t="s">
        <v>355</v>
      </c>
    </row>
    <row r="7037" ht="16.5" customHeight="1">
      <c r="O7037" s="5" t="s">
        <v>355</v>
      </c>
      <c r="P7037" s="5" t="s">
        <v>355</v>
      </c>
      <c r="Q7037" s="5" t="s">
        <v>355</v>
      </c>
    </row>
    <row r="7038" ht="16.5" customHeight="1">
      <c r="O7038" s="5" t="s">
        <v>355</v>
      </c>
      <c r="P7038" s="5" t="s">
        <v>355</v>
      </c>
      <c r="Q7038" s="5" t="s">
        <v>355</v>
      </c>
    </row>
    <row r="7039" ht="16.5" customHeight="1">
      <c r="O7039" s="5" t="s">
        <v>355</v>
      </c>
      <c r="P7039" s="5" t="s">
        <v>355</v>
      </c>
      <c r="Q7039" s="5" t="s">
        <v>355</v>
      </c>
    </row>
    <row r="7040" ht="16.5" customHeight="1">
      <c r="O7040" s="5" t="s">
        <v>355</v>
      </c>
      <c r="P7040" s="5" t="s">
        <v>355</v>
      </c>
      <c r="Q7040" s="5" t="s">
        <v>355</v>
      </c>
    </row>
    <row r="7041" ht="16.5" customHeight="1">
      <c r="O7041" s="5" t="s">
        <v>355</v>
      </c>
      <c r="P7041" s="5" t="s">
        <v>355</v>
      </c>
      <c r="Q7041" s="5" t="s">
        <v>355</v>
      </c>
    </row>
    <row r="7042" ht="16.5" customHeight="1">
      <c r="O7042" s="5" t="s">
        <v>355</v>
      </c>
      <c r="P7042" s="5" t="s">
        <v>355</v>
      </c>
      <c r="Q7042" s="5" t="s">
        <v>355</v>
      </c>
    </row>
    <row r="7043" ht="16.5" customHeight="1">
      <c r="O7043" s="5" t="s">
        <v>355</v>
      </c>
      <c r="P7043" s="5" t="s">
        <v>355</v>
      </c>
      <c r="Q7043" s="5" t="s">
        <v>355</v>
      </c>
    </row>
    <row r="7044" ht="16.5" customHeight="1">
      <c r="O7044" s="5" t="s">
        <v>355</v>
      </c>
      <c r="P7044" s="5" t="s">
        <v>355</v>
      </c>
      <c r="Q7044" s="5" t="s">
        <v>355</v>
      </c>
    </row>
    <row r="7045" ht="16.5" customHeight="1">
      <c r="O7045" s="5" t="s">
        <v>355</v>
      </c>
      <c r="P7045" s="5" t="s">
        <v>355</v>
      </c>
      <c r="Q7045" s="5" t="s">
        <v>355</v>
      </c>
    </row>
    <row r="7046" ht="16.5" customHeight="1">
      <c r="O7046" s="5" t="s">
        <v>355</v>
      </c>
      <c r="P7046" s="5" t="s">
        <v>355</v>
      </c>
      <c r="Q7046" s="5" t="s">
        <v>355</v>
      </c>
    </row>
    <row r="7047" ht="16.5" customHeight="1">
      <c r="O7047" s="5" t="s">
        <v>355</v>
      </c>
      <c r="P7047" s="5" t="s">
        <v>355</v>
      </c>
      <c r="Q7047" s="5" t="s">
        <v>355</v>
      </c>
    </row>
    <row r="7048" ht="16.5" customHeight="1">
      <c r="O7048" s="5" t="s">
        <v>355</v>
      </c>
      <c r="P7048" s="5" t="s">
        <v>355</v>
      </c>
      <c r="Q7048" s="5" t="s">
        <v>355</v>
      </c>
    </row>
    <row r="7049" ht="16.5" customHeight="1">
      <c r="O7049" s="5" t="s">
        <v>355</v>
      </c>
      <c r="P7049" s="5" t="s">
        <v>355</v>
      </c>
      <c r="Q7049" s="5" t="s">
        <v>355</v>
      </c>
    </row>
    <row r="7050" ht="16.5" customHeight="1">
      <c r="O7050" s="5" t="s">
        <v>355</v>
      </c>
      <c r="P7050" s="5" t="s">
        <v>355</v>
      </c>
      <c r="Q7050" s="5" t="s">
        <v>355</v>
      </c>
    </row>
    <row r="7051" ht="16.5" customHeight="1">
      <c r="O7051" s="5" t="s">
        <v>355</v>
      </c>
      <c r="P7051" s="5" t="s">
        <v>355</v>
      </c>
      <c r="Q7051" s="5" t="s">
        <v>355</v>
      </c>
    </row>
    <row r="7052" ht="16.5" customHeight="1">
      <c r="O7052" s="5" t="s">
        <v>355</v>
      </c>
      <c r="P7052" s="5" t="s">
        <v>355</v>
      </c>
      <c r="Q7052" s="5" t="s">
        <v>355</v>
      </c>
    </row>
    <row r="7053" ht="16.5" customHeight="1">
      <c r="O7053" s="5" t="s">
        <v>355</v>
      </c>
      <c r="P7053" s="5" t="s">
        <v>355</v>
      </c>
      <c r="Q7053" s="5" t="s">
        <v>355</v>
      </c>
    </row>
    <row r="7054" ht="16.5" customHeight="1">
      <c r="O7054" s="5" t="s">
        <v>355</v>
      </c>
      <c r="P7054" s="5" t="s">
        <v>355</v>
      </c>
      <c r="Q7054" s="5" t="s">
        <v>355</v>
      </c>
    </row>
    <row r="7055" ht="16.5" customHeight="1">
      <c r="O7055" s="5" t="s">
        <v>355</v>
      </c>
      <c r="P7055" s="5" t="s">
        <v>355</v>
      </c>
      <c r="Q7055" s="5" t="s">
        <v>355</v>
      </c>
    </row>
    <row r="7056" ht="16.5" customHeight="1">
      <c r="O7056" s="5" t="s">
        <v>355</v>
      </c>
      <c r="P7056" s="5" t="s">
        <v>355</v>
      </c>
      <c r="Q7056" s="5" t="s">
        <v>355</v>
      </c>
    </row>
    <row r="7057" ht="16.5" customHeight="1">
      <c r="O7057" s="5" t="s">
        <v>355</v>
      </c>
      <c r="P7057" s="5" t="s">
        <v>355</v>
      </c>
      <c r="Q7057" s="5" t="s">
        <v>355</v>
      </c>
    </row>
    <row r="7058" ht="16.5" customHeight="1">
      <c r="O7058" s="5" t="s">
        <v>355</v>
      </c>
      <c r="P7058" s="5" t="s">
        <v>355</v>
      </c>
      <c r="Q7058" s="5" t="s">
        <v>355</v>
      </c>
    </row>
    <row r="7059" ht="16.5" customHeight="1">
      <c r="O7059" s="5" t="s">
        <v>355</v>
      </c>
      <c r="P7059" s="5" t="s">
        <v>355</v>
      </c>
      <c r="Q7059" s="5" t="s">
        <v>355</v>
      </c>
    </row>
    <row r="7060" ht="16.5" customHeight="1">
      <c r="O7060" s="5" t="s">
        <v>355</v>
      </c>
      <c r="P7060" s="5" t="s">
        <v>355</v>
      </c>
      <c r="Q7060" s="5" t="s">
        <v>355</v>
      </c>
    </row>
    <row r="7061" ht="16.5" customHeight="1">
      <c r="O7061" s="5" t="s">
        <v>355</v>
      </c>
      <c r="P7061" s="5" t="s">
        <v>355</v>
      </c>
      <c r="Q7061" s="5" t="s">
        <v>355</v>
      </c>
    </row>
    <row r="7062" ht="16.5" customHeight="1">
      <c r="O7062" s="5" t="s">
        <v>355</v>
      </c>
      <c r="P7062" s="5" t="s">
        <v>355</v>
      </c>
      <c r="Q7062" s="5" t="s">
        <v>355</v>
      </c>
    </row>
    <row r="7063" ht="16.5" customHeight="1">
      <c r="O7063" s="5" t="s">
        <v>355</v>
      </c>
      <c r="P7063" s="5" t="s">
        <v>355</v>
      </c>
      <c r="Q7063" s="5" t="s">
        <v>355</v>
      </c>
    </row>
    <row r="7064" ht="16.5" customHeight="1">
      <c r="O7064" s="5" t="s">
        <v>355</v>
      </c>
      <c r="P7064" s="5" t="s">
        <v>355</v>
      </c>
      <c r="Q7064" s="5" t="s">
        <v>355</v>
      </c>
    </row>
    <row r="7065" ht="16.5" customHeight="1">
      <c r="O7065" s="5" t="s">
        <v>355</v>
      </c>
      <c r="P7065" s="5" t="s">
        <v>355</v>
      </c>
      <c r="Q7065" s="5" t="s">
        <v>355</v>
      </c>
    </row>
    <row r="7066" ht="16.5" customHeight="1">
      <c r="O7066" s="5" t="s">
        <v>355</v>
      </c>
      <c r="P7066" s="5" t="s">
        <v>355</v>
      </c>
      <c r="Q7066" s="5" t="s">
        <v>355</v>
      </c>
    </row>
    <row r="7067" ht="16.5" customHeight="1">
      <c r="O7067" s="5" t="s">
        <v>355</v>
      </c>
      <c r="P7067" s="5" t="s">
        <v>355</v>
      </c>
      <c r="Q7067" s="5" t="s">
        <v>355</v>
      </c>
    </row>
    <row r="7068" ht="16.5" customHeight="1">
      <c r="O7068" s="5" t="s">
        <v>355</v>
      </c>
      <c r="P7068" s="5" t="s">
        <v>355</v>
      </c>
      <c r="Q7068" s="5" t="s">
        <v>355</v>
      </c>
    </row>
    <row r="7069" ht="16.5" customHeight="1">
      <c r="O7069" s="5" t="s">
        <v>355</v>
      </c>
      <c r="P7069" s="5" t="s">
        <v>355</v>
      </c>
      <c r="Q7069" s="5" t="s">
        <v>355</v>
      </c>
    </row>
    <row r="7070" ht="16.5" customHeight="1">
      <c r="O7070" s="5" t="s">
        <v>355</v>
      </c>
      <c r="P7070" s="5" t="s">
        <v>355</v>
      </c>
      <c r="Q7070" s="5" t="s">
        <v>355</v>
      </c>
    </row>
    <row r="7071" ht="16.5" customHeight="1">
      <c r="O7071" s="5" t="s">
        <v>355</v>
      </c>
      <c r="P7071" s="5" t="s">
        <v>355</v>
      </c>
      <c r="Q7071" s="5" t="s">
        <v>355</v>
      </c>
    </row>
    <row r="7072" ht="16.5" customHeight="1">
      <c r="O7072" s="5" t="s">
        <v>355</v>
      </c>
      <c r="P7072" s="5" t="s">
        <v>355</v>
      </c>
      <c r="Q7072" s="5" t="s">
        <v>355</v>
      </c>
    </row>
    <row r="7073" ht="16.5" customHeight="1">
      <c r="O7073" s="5" t="s">
        <v>355</v>
      </c>
      <c r="P7073" s="5" t="s">
        <v>355</v>
      </c>
      <c r="Q7073" s="5" t="s">
        <v>355</v>
      </c>
    </row>
    <row r="7074" ht="16.5" customHeight="1">
      <c r="O7074" s="5" t="s">
        <v>355</v>
      </c>
      <c r="P7074" s="5" t="s">
        <v>355</v>
      </c>
      <c r="Q7074" s="5" t="s">
        <v>355</v>
      </c>
    </row>
    <row r="7075" ht="16.5" customHeight="1">
      <c r="O7075" s="5" t="s">
        <v>355</v>
      </c>
      <c r="P7075" s="5" t="s">
        <v>355</v>
      </c>
      <c r="Q7075" s="5" t="s">
        <v>355</v>
      </c>
    </row>
    <row r="7076" ht="16.5" customHeight="1">
      <c r="O7076" s="5" t="s">
        <v>355</v>
      </c>
      <c r="P7076" s="5" t="s">
        <v>355</v>
      </c>
      <c r="Q7076" s="5" t="s">
        <v>355</v>
      </c>
    </row>
    <row r="7077" ht="16.5" customHeight="1">
      <c r="O7077" s="5" t="s">
        <v>355</v>
      </c>
      <c r="P7077" s="5" t="s">
        <v>355</v>
      </c>
      <c r="Q7077" s="5" t="s">
        <v>355</v>
      </c>
    </row>
    <row r="7078" ht="16.5" customHeight="1">
      <c r="O7078" s="5" t="s">
        <v>355</v>
      </c>
      <c r="P7078" s="5" t="s">
        <v>355</v>
      </c>
      <c r="Q7078" s="5" t="s">
        <v>355</v>
      </c>
    </row>
    <row r="7079" ht="16.5" customHeight="1">
      <c r="O7079" s="5" t="s">
        <v>355</v>
      </c>
      <c r="P7079" s="5" t="s">
        <v>355</v>
      </c>
      <c r="Q7079" s="5" t="s">
        <v>355</v>
      </c>
    </row>
    <row r="7080" ht="16.5" customHeight="1">
      <c r="O7080" s="5" t="s">
        <v>355</v>
      </c>
      <c r="P7080" s="5" t="s">
        <v>355</v>
      </c>
      <c r="Q7080" s="5" t="s">
        <v>355</v>
      </c>
    </row>
    <row r="7081" ht="16.5" customHeight="1">
      <c r="O7081" s="5" t="s">
        <v>355</v>
      </c>
      <c r="P7081" s="5" t="s">
        <v>355</v>
      </c>
      <c r="Q7081" s="5" t="s">
        <v>355</v>
      </c>
    </row>
    <row r="7082" ht="16.5" customHeight="1">
      <c r="O7082" s="5" t="s">
        <v>355</v>
      </c>
      <c r="P7082" s="5" t="s">
        <v>355</v>
      </c>
      <c r="Q7082" s="5" t="s">
        <v>355</v>
      </c>
    </row>
    <row r="7083" ht="16.5" customHeight="1">
      <c r="O7083" s="5" t="s">
        <v>355</v>
      </c>
      <c r="P7083" s="5" t="s">
        <v>355</v>
      </c>
      <c r="Q7083" s="5" t="s">
        <v>355</v>
      </c>
    </row>
    <row r="7084" ht="16.5" customHeight="1">
      <c r="O7084" s="5" t="s">
        <v>355</v>
      </c>
      <c r="P7084" s="5" t="s">
        <v>355</v>
      </c>
      <c r="Q7084" s="5" t="s">
        <v>355</v>
      </c>
    </row>
    <row r="7085" ht="16.5" customHeight="1">
      <c r="O7085" s="5" t="s">
        <v>355</v>
      </c>
      <c r="P7085" s="5" t="s">
        <v>355</v>
      </c>
      <c r="Q7085" s="5" t="s">
        <v>355</v>
      </c>
    </row>
    <row r="7086" ht="16.5" customHeight="1">
      <c r="O7086" s="5" t="s">
        <v>355</v>
      </c>
      <c r="P7086" s="5" t="s">
        <v>355</v>
      </c>
      <c r="Q7086" s="5" t="s">
        <v>355</v>
      </c>
    </row>
    <row r="7087" ht="16.5" customHeight="1">
      <c r="O7087" s="5" t="s">
        <v>355</v>
      </c>
      <c r="P7087" s="5" t="s">
        <v>355</v>
      </c>
      <c r="Q7087" s="5" t="s">
        <v>355</v>
      </c>
    </row>
    <row r="7088" ht="16.5" customHeight="1">
      <c r="O7088" s="5" t="s">
        <v>355</v>
      </c>
      <c r="P7088" s="5" t="s">
        <v>355</v>
      </c>
      <c r="Q7088" s="5" t="s">
        <v>355</v>
      </c>
    </row>
    <row r="7089" ht="16.5" customHeight="1">
      <c r="O7089" s="5" t="s">
        <v>355</v>
      </c>
      <c r="P7089" s="5" t="s">
        <v>355</v>
      </c>
      <c r="Q7089" s="5" t="s">
        <v>355</v>
      </c>
    </row>
    <row r="7090" ht="16.5" customHeight="1">
      <c r="O7090" s="5" t="s">
        <v>355</v>
      </c>
      <c r="P7090" s="5" t="s">
        <v>355</v>
      </c>
      <c r="Q7090" s="5" t="s">
        <v>355</v>
      </c>
    </row>
    <row r="7091" ht="16.5" customHeight="1">
      <c r="O7091" s="5" t="s">
        <v>355</v>
      </c>
      <c r="P7091" s="5" t="s">
        <v>355</v>
      </c>
      <c r="Q7091" s="5" t="s">
        <v>355</v>
      </c>
    </row>
    <row r="7092" ht="16.5" customHeight="1">
      <c r="O7092" s="5" t="s">
        <v>355</v>
      </c>
      <c r="P7092" s="5" t="s">
        <v>355</v>
      </c>
      <c r="Q7092" s="5" t="s">
        <v>355</v>
      </c>
    </row>
    <row r="7093" ht="16.5" customHeight="1">
      <c r="O7093" s="5" t="s">
        <v>355</v>
      </c>
      <c r="P7093" s="5" t="s">
        <v>355</v>
      </c>
      <c r="Q7093" s="5" t="s">
        <v>355</v>
      </c>
    </row>
    <row r="7094" ht="16.5" customHeight="1">
      <c r="O7094" s="5" t="s">
        <v>355</v>
      </c>
      <c r="P7094" s="5" t="s">
        <v>355</v>
      </c>
      <c r="Q7094" s="5" t="s">
        <v>355</v>
      </c>
    </row>
    <row r="7095" ht="16.5" customHeight="1">
      <c r="O7095" s="5" t="s">
        <v>355</v>
      </c>
      <c r="P7095" s="5" t="s">
        <v>355</v>
      </c>
      <c r="Q7095" s="5" t="s">
        <v>355</v>
      </c>
    </row>
    <row r="7096" ht="16.5" customHeight="1">
      <c r="O7096" s="5" t="s">
        <v>355</v>
      </c>
      <c r="P7096" s="5" t="s">
        <v>355</v>
      </c>
      <c r="Q7096" s="5" t="s">
        <v>355</v>
      </c>
    </row>
    <row r="7097" ht="16.5" customHeight="1">
      <c r="O7097" s="5" t="s">
        <v>355</v>
      </c>
      <c r="P7097" s="5" t="s">
        <v>355</v>
      </c>
      <c r="Q7097" s="5" t="s">
        <v>355</v>
      </c>
    </row>
    <row r="7098" ht="16.5" customHeight="1">
      <c r="O7098" s="5" t="s">
        <v>355</v>
      </c>
      <c r="P7098" s="5" t="s">
        <v>355</v>
      </c>
      <c r="Q7098" s="5" t="s">
        <v>355</v>
      </c>
    </row>
    <row r="7099" ht="16.5" customHeight="1">
      <c r="O7099" s="5" t="s">
        <v>355</v>
      </c>
      <c r="P7099" s="5" t="s">
        <v>355</v>
      </c>
      <c r="Q7099" s="5" t="s">
        <v>355</v>
      </c>
    </row>
    <row r="7100" ht="16.5" customHeight="1">
      <c r="O7100" s="5" t="s">
        <v>355</v>
      </c>
      <c r="P7100" s="5" t="s">
        <v>355</v>
      </c>
      <c r="Q7100" s="5" t="s">
        <v>355</v>
      </c>
    </row>
    <row r="7101" ht="16.5" customHeight="1">
      <c r="O7101" s="5" t="s">
        <v>355</v>
      </c>
      <c r="P7101" s="5" t="s">
        <v>355</v>
      </c>
      <c r="Q7101" s="5" t="s">
        <v>355</v>
      </c>
    </row>
    <row r="7102" ht="16.5" customHeight="1">
      <c r="O7102" s="5" t="s">
        <v>355</v>
      </c>
      <c r="P7102" s="5" t="s">
        <v>355</v>
      </c>
      <c r="Q7102" s="5" t="s">
        <v>355</v>
      </c>
    </row>
    <row r="7103" ht="16.5" customHeight="1">
      <c r="O7103" s="5" t="s">
        <v>355</v>
      </c>
      <c r="P7103" s="5" t="s">
        <v>355</v>
      </c>
      <c r="Q7103" s="5" t="s">
        <v>355</v>
      </c>
    </row>
    <row r="7104" ht="16.5" customHeight="1">
      <c r="O7104" s="5" t="s">
        <v>355</v>
      </c>
      <c r="P7104" s="5" t="s">
        <v>355</v>
      </c>
      <c r="Q7104" s="5" t="s">
        <v>355</v>
      </c>
    </row>
    <row r="7105" ht="16.5" customHeight="1">
      <c r="O7105" s="5" t="s">
        <v>355</v>
      </c>
      <c r="P7105" s="5" t="s">
        <v>355</v>
      </c>
      <c r="Q7105" s="5" t="s">
        <v>355</v>
      </c>
    </row>
    <row r="7106" ht="16.5" customHeight="1">
      <c r="O7106" s="5" t="s">
        <v>355</v>
      </c>
      <c r="P7106" s="5" t="s">
        <v>355</v>
      </c>
      <c r="Q7106" s="5" t="s">
        <v>355</v>
      </c>
    </row>
    <row r="7107" ht="16.5" customHeight="1">
      <c r="O7107" s="5" t="s">
        <v>355</v>
      </c>
      <c r="P7107" s="5" t="s">
        <v>355</v>
      </c>
      <c r="Q7107" s="5" t="s">
        <v>355</v>
      </c>
    </row>
    <row r="7108" ht="16.5" customHeight="1">
      <c r="O7108" s="5" t="s">
        <v>355</v>
      </c>
      <c r="P7108" s="5" t="s">
        <v>355</v>
      </c>
      <c r="Q7108" s="5" t="s">
        <v>355</v>
      </c>
    </row>
    <row r="7109" ht="16.5" customHeight="1">
      <c r="O7109" s="5" t="s">
        <v>355</v>
      </c>
      <c r="P7109" s="5" t="s">
        <v>355</v>
      </c>
      <c r="Q7109" s="5" t="s">
        <v>355</v>
      </c>
    </row>
    <row r="7110" ht="16.5" customHeight="1">
      <c r="O7110" s="5" t="s">
        <v>355</v>
      </c>
      <c r="P7110" s="5" t="s">
        <v>355</v>
      </c>
      <c r="Q7110" s="5" t="s">
        <v>355</v>
      </c>
    </row>
    <row r="7111" ht="16.5" customHeight="1">
      <c r="O7111" s="5" t="s">
        <v>355</v>
      </c>
      <c r="P7111" s="5" t="s">
        <v>355</v>
      </c>
      <c r="Q7111" s="5" t="s">
        <v>355</v>
      </c>
    </row>
    <row r="7112" ht="16.5" customHeight="1">
      <c r="O7112" s="5" t="s">
        <v>355</v>
      </c>
      <c r="P7112" s="5" t="s">
        <v>355</v>
      </c>
      <c r="Q7112" s="5" t="s">
        <v>355</v>
      </c>
    </row>
    <row r="7113" ht="16.5" customHeight="1">
      <c r="O7113" s="5" t="s">
        <v>355</v>
      </c>
      <c r="P7113" s="5" t="s">
        <v>355</v>
      </c>
      <c r="Q7113" s="5" t="s">
        <v>355</v>
      </c>
    </row>
    <row r="7114" ht="16.5" customHeight="1">
      <c r="O7114" s="5" t="s">
        <v>355</v>
      </c>
      <c r="P7114" s="5" t="s">
        <v>355</v>
      </c>
      <c r="Q7114" s="5" t="s">
        <v>355</v>
      </c>
    </row>
    <row r="7115" ht="16.5" customHeight="1">
      <c r="O7115" s="5" t="s">
        <v>355</v>
      </c>
      <c r="P7115" s="5" t="s">
        <v>355</v>
      </c>
      <c r="Q7115" s="5" t="s">
        <v>355</v>
      </c>
    </row>
    <row r="7116" ht="16.5" customHeight="1">
      <c r="O7116" s="5" t="s">
        <v>355</v>
      </c>
      <c r="P7116" s="5" t="s">
        <v>355</v>
      </c>
      <c r="Q7116" s="5" t="s">
        <v>355</v>
      </c>
    </row>
    <row r="7117" ht="16.5" customHeight="1">
      <c r="O7117" s="5" t="s">
        <v>355</v>
      </c>
      <c r="P7117" s="5" t="s">
        <v>355</v>
      </c>
      <c r="Q7117" s="5" t="s">
        <v>355</v>
      </c>
    </row>
    <row r="7118" ht="16.5" customHeight="1">
      <c r="O7118" s="5" t="s">
        <v>355</v>
      </c>
      <c r="P7118" s="5" t="s">
        <v>355</v>
      </c>
      <c r="Q7118" s="5" t="s">
        <v>355</v>
      </c>
    </row>
    <row r="7119" ht="16.5" customHeight="1">
      <c r="O7119" s="5" t="s">
        <v>355</v>
      </c>
      <c r="P7119" s="5" t="s">
        <v>355</v>
      </c>
      <c r="Q7119" s="5" t="s">
        <v>355</v>
      </c>
    </row>
    <row r="7120" ht="16.5" customHeight="1">
      <c r="O7120" s="5" t="s">
        <v>355</v>
      </c>
      <c r="P7120" s="5" t="s">
        <v>355</v>
      </c>
      <c r="Q7120" s="5" t="s">
        <v>355</v>
      </c>
    </row>
    <row r="7121" ht="16.5" customHeight="1">
      <c r="O7121" s="5" t="s">
        <v>355</v>
      </c>
      <c r="P7121" s="5" t="s">
        <v>355</v>
      </c>
      <c r="Q7121" s="5" t="s">
        <v>355</v>
      </c>
    </row>
    <row r="7122" ht="16.5" customHeight="1">
      <c r="O7122" s="5" t="s">
        <v>355</v>
      </c>
      <c r="P7122" s="5" t="s">
        <v>355</v>
      </c>
      <c r="Q7122" s="5" t="s">
        <v>355</v>
      </c>
    </row>
    <row r="7123" ht="16.5" customHeight="1">
      <c r="O7123" s="5" t="s">
        <v>355</v>
      </c>
      <c r="P7123" s="5" t="s">
        <v>355</v>
      </c>
      <c r="Q7123" s="5" t="s">
        <v>355</v>
      </c>
    </row>
    <row r="7124" ht="16.5" customHeight="1">
      <c r="O7124" s="5" t="s">
        <v>355</v>
      </c>
      <c r="P7124" s="5" t="s">
        <v>355</v>
      </c>
      <c r="Q7124" s="5" t="s">
        <v>355</v>
      </c>
    </row>
    <row r="7125" ht="16.5" customHeight="1">
      <c r="O7125" s="5" t="s">
        <v>355</v>
      </c>
      <c r="P7125" s="5" t="s">
        <v>355</v>
      </c>
      <c r="Q7125" s="5" t="s">
        <v>355</v>
      </c>
    </row>
    <row r="7126" ht="16.5" customHeight="1">
      <c r="O7126" s="5" t="s">
        <v>355</v>
      </c>
      <c r="P7126" s="5" t="s">
        <v>355</v>
      </c>
      <c r="Q7126" s="5" t="s">
        <v>355</v>
      </c>
    </row>
    <row r="7127" ht="16.5" customHeight="1">
      <c r="O7127" s="5" t="s">
        <v>355</v>
      </c>
      <c r="P7127" s="5" t="s">
        <v>355</v>
      </c>
      <c r="Q7127" s="5" t="s">
        <v>355</v>
      </c>
    </row>
    <row r="7128" ht="16.5" customHeight="1">
      <c r="O7128" s="5" t="s">
        <v>355</v>
      </c>
      <c r="P7128" s="5" t="s">
        <v>355</v>
      </c>
      <c r="Q7128" s="5" t="s">
        <v>355</v>
      </c>
    </row>
    <row r="7129" ht="16.5" customHeight="1">
      <c r="O7129" s="5" t="s">
        <v>355</v>
      </c>
      <c r="P7129" s="5" t="s">
        <v>355</v>
      </c>
      <c r="Q7129" s="5" t="s">
        <v>355</v>
      </c>
    </row>
    <row r="7130" ht="16.5" customHeight="1">
      <c r="O7130" s="5" t="s">
        <v>355</v>
      </c>
      <c r="P7130" s="5" t="s">
        <v>355</v>
      </c>
      <c r="Q7130" s="5" t="s">
        <v>355</v>
      </c>
    </row>
    <row r="7131" ht="16.5" customHeight="1">
      <c r="O7131" s="5" t="s">
        <v>355</v>
      </c>
      <c r="P7131" s="5" t="s">
        <v>355</v>
      </c>
      <c r="Q7131" s="5" t="s">
        <v>355</v>
      </c>
    </row>
    <row r="7132" ht="16.5" customHeight="1">
      <c r="O7132" s="5" t="s">
        <v>355</v>
      </c>
      <c r="P7132" s="5" t="s">
        <v>355</v>
      </c>
      <c r="Q7132" s="5" t="s">
        <v>355</v>
      </c>
    </row>
    <row r="7133" ht="16.5" customHeight="1">
      <c r="O7133" s="5" t="s">
        <v>355</v>
      </c>
      <c r="P7133" s="5" t="s">
        <v>355</v>
      </c>
      <c r="Q7133" s="5" t="s">
        <v>355</v>
      </c>
    </row>
    <row r="7134" ht="16.5" customHeight="1">
      <c r="O7134" s="5" t="s">
        <v>355</v>
      </c>
      <c r="P7134" s="5" t="s">
        <v>355</v>
      </c>
      <c r="Q7134" s="5" t="s">
        <v>355</v>
      </c>
    </row>
    <row r="7135" ht="16.5" customHeight="1">
      <c r="O7135" s="5" t="s">
        <v>355</v>
      </c>
      <c r="P7135" s="5" t="s">
        <v>355</v>
      </c>
      <c r="Q7135" s="5" t="s">
        <v>355</v>
      </c>
    </row>
    <row r="7136" ht="16.5" customHeight="1">
      <c r="O7136" s="5" t="s">
        <v>355</v>
      </c>
      <c r="P7136" s="5" t="s">
        <v>355</v>
      </c>
      <c r="Q7136" s="5" t="s">
        <v>355</v>
      </c>
    </row>
    <row r="7137" ht="16.5" customHeight="1">
      <c r="O7137" s="5" t="s">
        <v>355</v>
      </c>
      <c r="P7137" s="5" t="s">
        <v>355</v>
      </c>
      <c r="Q7137" s="5" t="s">
        <v>355</v>
      </c>
    </row>
    <row r="7138" ht="16.5" customHeight="1">
      <c r="O7138" s="5" t="s">
        <v>355</v>
      </c>
      <c r="P7138" s="5" t="s">
        <v>355</v>
      </c>
      <c r="Q7138" s="5" t="s">
        <v>355</v>
      </c>
    </row>
    <row r="7139" ht="16.5" customHeight="1">
      <c r="O7139" s="5" t="s">
        <v>355</v>
      </c>
      <c r="P7139" s="5" t="s">
        <v>355</v>
      </c>
      <c r="Q7139" s="5" t="s">
        <v>355</v>
      </c>
    </row>
    <row r="7140" ht="16.5" customHeight="1">
      <c r="O7140" s="5" t="s">
        <v>355</v>
      </c>
      <c r="P7140" s="5" t="s">
        <v>355</v>
      </c>
      <c r="Q7140" s="5" t="s">
        <v>355</v>
      </c>
    </row>
    <row r="7141" ht="16.5" customHeight="1">
      <c r="O7141" s="5" t="s">
        <v>355</v>
      </c>
      <c r="P7141" s="5" t="s">
        <v>355</v>
      </c>
      <c r="Q7141" s="5" t="s">
        <v>355</v>
      </c>
    </row>
    <row r="7142" ht="16.5" customHeight="1">
      <c r="O7142" s="5" t="s">
        <v>355</v>
      </c>
      <c r="P7142" s="5" t="s">
        <v>355</v>
      </c>
      <c r="Q7142" s="5" t="s">
        <v>355</v>
      </c>
    </row>
    <row r="7143" ht="16.5" customHeight="1">
      <c r="O7143" s="5" t="s">
        <v>355</v>
      </c>
      <c r="P7143" s="5" t="s">
        <v>355</v>
      </c>
      <c r="Q7143" s="5" t="s">
        <v>355</v>
      </c>
    </row>
    <row r="7144" ht="16.5" customHeight="1">
      <c r="O7144" s="5" t="s">
        <v>355</v>
      </c>
      <c r="P7144" s="5" t="s">
        <v>355</v>
      </c>
      <c r="Q7144" s="5" t="s">
        <v>355</v>
      </c>
    </row>
    <row r="7145" ht="16.5" customHeight="1">
      <c r="O7145" s="5" t="s">
        <v>355</v>
      </c>
      <c r="P7145" s="5" t="s">
        <v>355</v>
      </c>
      <c r="Q7145" s="5" t="s">
        <v>355</v>
      </c>
    </row>
    <row r="7146" ht="16.5" customHeight="1">
      <c r="O7146" s="5" t="s">
        <v>355</v>
      </c>
      <c r="P7146" s="5" t="s">
        <v>355</v>
      </c>
      <c r="Q7146" s="5" t="s">
        <v>355</v>
      </c>
    </row>
    <row r="7147" ht="16.5" customHeight="1">
      <c r="O7147" s="5" t="s">
        <v>355</v>
      </c>
      <c r="P7147" s="5" t="s">
        <v>355</v>
      </c>
      <c r="Q7147" s="5" t="s">
        <v>355</v>
      </c>
    </row>
    <row r="7148" ht="16.5" customHeight="1">
      <c r="O7148" s="5" t="s">
        <v>355</v>
      </c>
      <c r="P7148" s="5" t="s">
        <v>355</v>
      </c>
      <c r="Q7148" s="5" t="s">
        <v>355</v>
      </c>
    </row>
    <row r="7149" ht="16.5" customHeight="1">
      <c r="O7149" s="5" t="s">
        <v>355</v>
      </c>
      <c r="P7149" s="5" t="s">
        <v>355</v>
      </c>
      <c r="Q7149" s="5" t="s">
        <v>355</v>
      </c>
    </row>
    <row r="7150" ht="16.5" customHeight="1">
      <c r="O7150" s="5" t="s">
        <v>355</v>
      </c>
      <c r="P7150" s="5" t="s">
        <v>355</v>
      </c>
      <c r="Q7150" s="5" t="s">
        <v>355</v>
      </c>
    </row>
    <row r="7151" ht="16.5" customHeight="1">
      <c r="O7151" s="5" t="s">
        <v>355</v>
      </c>
      <c r="P7151" s="5" t="s">
        <v>355</v>
      </c>
      <c r="Q7151" s="5" t="s">
        <v>355</v>
      </c>
    </row>
    <row r="7152" ht="16.5" customHeight="1">
      <c r="O7152" s="5" t="s">
        <v>355</v>
      </c>
      <c r="P7152" s="5" t="s">
        <v>355</v>
      </c>
      <c r="Q7152" s="5" t="s">
        <v>355</v>
      </c>
    </row>
    <row r="7153" ht="16.5" customHeight="1">
      <c r="O7153" s="5" t="s">
        <v>355</v>
      </c>
      <c r="P7153" s="5" t="s">
        <v>355</v>
      </c>
      <c r="Q7153" s="5" t="s">
        <v>355</v>
      </c>
    </row>
    <row r="7154" ht="16.5" customHeight="1">
      <c r="O7154" s="5" t="s">
        <v>355</v>
      </c>
      <c r="P7154" s="5" t="s">
        <v>355</v>
      </c>
      <c r="Q7154" s="5" t="s">
        <v>355</v>
      </c>
    </row>
    <row r="7155" ht="16.5" customHeight="1">
      <c r="O7155" s="5" t="s">
        <v>355</v>
      </c>
      <c r="P7155" s="5" t="s">
        <v>355</v>
      </c>
      <c r="Q7155" s="5" t="s">
        <v>355</v>
      </c>
    </row>
    <row r="7156" ht="16.5" customHeight="1">
      <c r="O7156" s="5" t="s">
        <v>355</v>
      </c>
      <c r="P7156" s="5" t="s">
        <v>355</v>
      </c>
      <c r="Q7156" s="5" t="s">
        <v>355</v>
      </c>
    </row>
    <row r="7157" ht="16.5" customHeight="1">
      <c r="O7157" s="5" t="s">
        <v>355</v>
      </c>
      <c r="P7157" s="5" t="s">
        <v>355</v>
      </c>
      <c r="Q7157" s="5" t="s">
        <v>355</v>
      </c>
    </row>
    <row r="7158" ht="16.5" customHeight="1">
      <c r="O7158" s="5" t="s">
        <v>355</v>
      </c>
      <c r="P7158" s="5" t="s">
        <v>355</v>
      </c>
      <c r="Q7158" s="5" t="s">
        <v>355</v>
      </c>
    </row>
    <row r="7159" ht="16.5" customHeight="1">
      <c r="O7159" s="5" t="s">
        <v>355</v>
      </c>
      <c r="P7159" s="5" t="s">
        <v>355</v>
      </c>
      <c r="Q7159" s="5" t="s">
        <v>355</v>
      </c>
    </row>
    <row r="7160" ht="16.5" customHeight="1">
      <c r="O7160" s="5" t="s">
        <v>355</v>
      </c>
      <c r="P7160" s="5" t="s">
        <v>355</v>
      </c>
      <c r="Q7160" s="5" t="s">
        <v>355</v>
      </c>
    </row>
    <row r="7161" ht="16.5" customHeight="1">
      <c r="O7161" s="5" t="s">
        <v>355</v>
      </c>
      <c r="P7161" s="5" t="s">
        <v>355</v>
      </c>
      <c r="Q7161" s="5" t="s">
        <v>355</v>
      </c>
    </row>
    <row r="7162" ht="16.5" customHeight="1">
      <c r="O7162" s="5" t="s">
        <v>355</v>
      </c>
      <c r="P7162" s="5" t="s">
        <v>355</v>
      </c>
      <c r="Q7162" s="5" t="s">
        <v>355</v>
      </c>
    </row>
    <row r="7163" ht="16.5" customHeight="1">
      <c r="O7163" s="5" t="s">
        <v>355</v>
      </c>
      <c r="P7163" s="5" t="s">
        <v>355</v>
      </c>
      <c r="Q7163" s="5" t="s">
        <v>355</v>
      </c>
    </row>
    <row r="7164" ht="16.5" customHeight="1">
      <c r="O7164" s="5" t="s">
        <v>355</v>
      </c>
      <c r="P7164" s="5" t="s">
        <v>355</v>
      </c>
      <c r="Q7164" s="5" t="s">
        <v>355</v>
      </c>
    </row>
    <row r="7165" ht="16.5" customHeight="1">
      <c r="O7165" s="5" t="s">
        <v>355</v>
      </c>
      <c r="P7165" s="5" t="s">
        <v>355</v>
      </c>
      <c r="Q7165" s="5" t="s">
        <v>355</v>
      </c>
    </row>
    <row r="7166" ht="16.5" customHeight="1">
      <c r="O7166" s="5" t="s">
        <v>355</v>
      </c>
      <c r="P7166" s="5" t="s">
        <v>355</v>
      </c>
      <c r="Q7166" s="5" t="s">
        <v>355</v>
      </c>
    </row>
    <row r="7167" ht="16.5" customHeight="1">
      <c r="O7167" s="5" t="s">
        <v>355</v>
      </c>
      <c r="P7167" s="5" t="s">
        <v>355</v>
      </c>
      <c r="Q7167" s="5" t="s">
        <v>355</v>
      </c>
    </row>
    <row r="7168" ht="16.5" customHeight="1">
      <c r="O7168" s="5" t="s">
        <v>355</v>
      </c>
      <c r="P7168" s="5" t="s">
        <v>355</v>
      </c>
      <c r="Q7168" s="5" t="s">
        <v>355</v>
      </c>
    </row>
    <row r="7169" ht="16.5" customHeight="1">
      <c r="O7169" s="5" t="s">
        <v>355</v>
      </c>
      <c r="P7169" s="5" t="s">
        <v>355</v>
      </c>
      <c r="Q7169" s="5" t="s">
        <v>355</v>
      </c>
    </row>
    <row r="7170" ht="16.5" customHeight="1">
      <c r="O7170" s="5" t="s">
        <v>355</v>
      </c>
      <c r="P7170" s="5" t="s">
        <v>355</v>
      </c>
      <c r="Q7170" s="5" t="s">
        <v>355</v>
      </c>
    </row>
    <row r="7171" ht="16.5" customHeight="1">
      <c r="O7171" s="5" t="s">
        <v>355</v>
      </c>
      <c r="P7171" s="5" t="s">
        <v>355</v>
      </c>
      <c r="Q7171" s="5" t="s">
        <v>355</v>
      </c>
    </row>
    <row r="7172" ht="16.5" customHeight="1">
      <c r="O7172" s="5" t="s">
        <v>355</v>
      </c>
      <c r="P7172" s="5" t="s">
        <v>355</v>
      </c>
      <c r="Q7172" s="5" t="s">
        <v>355</v>
      </c>
    </row>
    <row r="7173" ht="16.5" customHeight="1">
      <c r="O7173" s="5" t="s">
        <v>355</v>
      </c>
      <c r="P7173" s="5" t="s">
        <v>355</v>
      </c>
      <c r="Q7173" s="5" t="s">
        <v>355</v>
      </c>
    </row>
    <row r="7174" ht="16.5" customHeight="1">
      <c r="O7174" s="5" t="s">
        <v>355</v>
      </c>
      <c r="P7174" s="5" t="s">
        <v>355</v>
      </c>
      <c r="Q7174" s="5" t="s">
        <v>355</v>
      </c>
    </row>
    <row r="7175" ht="16.5" customHeight="1">
      <c r="O7175" s="5" t="s">
        <v>355</v>
      </c>
      <c r="P7175" s="5" t="s">
        <v>355</v>
      </c>
      <c r="Q7175" s="5" t="s">
        <v>355</v>
      </c>
    </row>
    <row r="7176" ht="16.5" customHeight="1">
      <c r="O7176" s="5" t="s">
        <v>355</v>
      </c>
      <c r="P7176" s="5" t="s">
        <v>355</v>
      </c>
      <c r="Q7176" s="5" t="s">
        <v>355</v>
      </c>
    </row>
    <row r="7177" ht="16.5" customHeight="1">
      <c r="O7177" s="5" t="s">
        <v>355</v>
      </c>
      <c r="P7177" s="5" t="s">
        <v>355</v>
      </c>
      <c r="Q7177" s="5" t="s">
        <v>355</v>
      </c>
    </row>
    <row r="7178" ht="16.5" customHeight="1">
      <c r="O7178" s="5" t="s">
        <v>355</v>
      </c>
      <c r="P7178" s="5" t="s">
        <v>355</v>
      </c>
      <c r="Q7178" s="5" t="s">
        <v>355</v>
      </c>
    </row>
    <row r="7179" ht="16.5" customHeight="1">
      <c r="O7179" s="5" t="s">
        <v>355</v>
      </c>
      <c r="P7179" s="5" t="s">
        <v>355</v>
      </c>
      <c r="Q7179" s="5" t="s">
        <v>355</v>
      </c>
    </row>
    <row r="7180" ht="16.5" customHeight="1">
      <c r="O7180" s="5" t="s">
        <v>355</v>
      </c>
      <c r="P7180" s="5" t="s">
        <v>355</v>
      </c>
      <c r="Q7180" s="5" t="s">
        <v>355</v>
      </c>
    </row>
    <row r="7181" ht="16.5" customHeight="1">
      <c r="O7181" s="5" t="s">
        <v>355</v>
      </c>
      <c r="P7181" s="5" t="s">
        <v>355</v>
      </c>
      <c r="Q7181" s="5" t="s">
        <v>355</v>
      </c>
    </row>
    <row r="7182" ht="16.5" customHeight="1">
      <c r="O7182" s="5" t="s">
        <v>355</v>
      </c>
      <c r="P7182" s="5" t="s">
        <v>355</v>
      </c>
      <c r="Q7182" s="5" t="s">
        <v>355</v>
      </c>
    </row>
    <row r="7183" ht="16.5" customHeight="1">
      <c r="O7183" s="5" t="s">
        <v>355</v>
      </c>
      <c r="P7183" s="5" t="s">
        <v>355</v>
      </c>
      <c r="Q7183" s="5" t="s">
        <v>355</v>
      </c>
    </row>
    <row r="7184" ht="16.5" customHeight="1">
      <c r="O7184" s="5" t="s">
        <v>355</v>
      </c>
      <c r="P7184" s="5" t="s">
        <v>355</v>
      </c>
      <c r="Q7184" s="5" t="s">
        <v>355</v>
      </c>
    </row>
    <row r="7185" ht="16.5" customHeight="1">
      <c r="O7185" s="5" t="s">
        <v>355</v>
      </c>
      <c r="P7185" s="5" t="s">
        <v>355</v>
      </c>
      <c r="Q7185" s="5" t="s">
        <v>355</v>
      </c>
    </row>
    <row r="7186" ht="16.5" customHeight="1">
      <c r="O7186" s="5" t="s">
        <v>355</v>
      </c>
      <c r="P7186" s="5" t="s">
        <v>355</v>
      </c>
      <c r="Q7186" s="5" t="s">
        <v>355</v>
      </c>
    </row>
    <row r="7187" ht="16.5" customHeight="1">
      <c r="O7187" s="5" t="s">
        <v>355</v>
      </c>
      <c r="P7187" s="5" t="s">
        <v>355</v>
      </c>
      <c r="Q7187" s="5" t="s">
        <v>355</v>
      </c>
    </row>
    <row r="7188" ht="16.5" customHeight="1">
      <c r="O7188" s="5" t="s">
        <v>355</v>
      </c>
      <c r="P7188" s="5" t="s">
        <v>355</v>
      </c>
      <c r="Q7188" s="5" t="s">
        <v>355</v>
      </c>
    </row>
    <row r="7189" ht="16.5" customHeight="1">
      <c r="O7189" s="5" t="s">
        <v>355</v>
      </c>
      <c r="P7189" s="5" t="s">
        <v>355</v>
      </c>
      <c r="Q7189" s="5" t="s">
        <v>355</v>
      </c>
    </row>
    <row r="7190" ht="16.5" customHeight="1">
      <c r="O7190" s="5" t="s">
        <v>355</v>
      </c>
      <c r="P7190" s="5" t="s">
        <v>355</v>
      </c>
      <c r="Q7190" s="5" t="s">
        <v>355</v>
      </c>
    </row>
    <row r="7191" ht="16.5" customHeight="1">
      <c r="O7191" s="5" t="s">
        <v>355</v>
      </c>
      <c r="P7191" s="5" t="s">
        <v>355</v>
      </c>
      <c r="Q7191" s="5" t="s">
        <v>355</v>
      </c>
    </row>
    <row r="7192" ht="16.5" customHeight="1">
      <c r="O7192" s="5" t="s">
        <v>355</v>
      </c>
      <c r="P7192" s="5" t="s">
        <v>355</v>
      </c>
      <c r="Q7192" s="5" t="s">
        <v>355</v>
      </c>
    </row>
    <row r="7193" ht="16.5" customHeight="1">
      <c r="O7193" s="5" t="s">
        <v>355</v>
      </c>
      <c r="P7193" s="5" t="s">
        <v>355</v>
      </c>
      <c r="Q7193" s="5" t="s">
        <v>355</v>
      </c>
    </row>
    <row r="7194" ht="16.5" customHeight="1">
      <c r="O7194" s="5" t="s">
        <v>355</v>
      </c>
      <c r="P7194" s="5" t="s">
        <v>355</v>
      </c>
      <c r="Q7194" s="5" t="s">
        <v>355</v>
      </c>
    </row>
    <row r="7195" ht="16.5" customHeight="1">
      <c r="O7195" s="5" t="s">
        <v>355</v>
      </c>
      <c r="P7195" s="5" t="s">
        <v>355</v>
      </c>
      <c r="Q7195" s="5" t="s">
        <v>355</v>
      </c>
    </row>
    <row r="7196" ht="16.5" customHeight="1">
      <c r="O7196" s="5" t="s">
        <v>355</v>
      </c>
      <c r="P7196" s="5" t="s">
        <v>355</v>
      </c>
      <c r="Q7196" s="5" t="s">
        <v>355</v>
      </c>
    </row>
    <row r="7197" ht="16.5" customHeight="1">
      <c r="O7197" s="5" t="s">
        <v>355</v>
      </c>
      <c r="P7197" s="5" t="s">
        <v>355</v>
      </c>
      <c r="Q7197" s="5" t="s">
        <v>355</v>
      </c>
    </row>
    <row r="7198" ht="16.5" customHeight="1">
      <c r="O7198" s="5" t="s">
        <v>355</v>
      </c>
      <c r="P7198" s="5" t="s">
        <v>355</v>
      </c>
      <c r="Q7198" s="5" t="s">
        <v>355</v>
      </c>
    </row>
    <row r="7199" ht="16.5" customHeight="1">
      <c r="O7199" s="5" t="s">
        <v>355</v>
      </c>
      <c r="P7199" s="5" t="s">
        <v>355</v>
      </c>
      <c r="Q7199" s="5" t="s">
        <v>355</v>
      </c>
    </row>
    <row r="7200" ht="16.5" customHeight="1">
      <c r="O7200" s="5" t="s">
        <v>355</v>
      </c>
      <c r="P7200" s="5" t="s">
        <v>355</v>
      </c>
      <c r="Q7200" s="5" t="s">
        <v>355</v>
      </c>
    </row>
    <row r="7201" ht="16.5" customHeight="1">
      <c r="O7201" s="5" t="s">
        <v>355</v>
      </c>
      <c r="P7201" s="5" t="s">
        <v>355</v>
      </c>
      <c r="Q7201" s="5" t="s">
        <v>355</v>
      </c>
    </row>
    <row r="7202" ht="16.5" customHeight="1">
      <c r="O7202" s="5" t="s">
        <v>355</v>
      </c>
      <c r="P7202" s="5" t="s">
        <v>355</v>
      </c>
      <c r="Q7202" s="5" t="s">
        <v>355</v>
      </c>
    </row>
    <row r="7203" ht="16.5" customHeight="1">
      <c r="O7203" s="5" t="s">
        <v>355</v>
      </c>
      <c r="P7203" s="5" t="s">
        <v>355</v>
      </c>
      <c r="Q7203" s="5" t="s">
        <v>355</v>
      </c>
    </row>
    <row r="7204" ht="16.5" customHeight="1">
      <c r="O7204" s="5" t="s">
        <v>355</v>
      </c>
      <c r="P7204" s="5" t="s">
        <v>355</v>
      </c>
      <c r="Q7204" s="5" t="s">
        <v>355</v>
      </c>
    </row>
    <row r="7205" ht="16.5" customHeight="1">
      <c r="O7205" s="5" t="s">
        <v>355</v>
      </c>
      <c r="P7205" s="5" t="s">
        <v>355</v>
      </c>
      <c r="Q7205" s="5" t="s">
        <v>355</v>
      </c>
    </row>
    <row r="7206" ht="16.5" customHeight="1">
      <c r="O7206" s="5" t="s">
        <v>355</v>
      </c>
      <c r="P7206" s="5" t="s">
        <v>355</v>
      </c>
      <c r="Q7206" s="5" t="s">
        <v>355</v>
      </c>
    </row>
    <row r="7207" ht="16.5" customHeight="1">
      <c r="O7207" s="5" t="s">
        <v>355</v>
      </c>
      <c r="P7207" s="5" t="s">
        <v>355</v>
      </c>
      <c r="Q7207" s="5" t="s">
        <v>355</v>
      </c>
    </row>
    <row r="7208" ht="16.5" customHeight="1">
      <c r="O7208" s="5" t="s">
        <v>355</v>
      </c>
      <c r="P7208" s="5" t="s">
        <v>355</v>
      </c>
      <c r="Q7208" s="5" t="s">
        <v>355</v>
      </c>
    </row>
    <row r="7209" ht="16.5" customHeight="1">
      <c r="O7209" s="5" t="s">
        <v>355</v>
      </c>
      <c r="P7209" s="5" t="s">
        <v>355</v>
      </c>
      <c r="Q7209" s="5" t="s">
        <v>355</v>
      </c>
    </row>
    <row r="7210" ht="16.5" customHeight="1">
      <c r="O7210" s="5" t="s">
        <v>355</v>
      </c>
      <c r="P7210" s="5" t="s">
        <v>355</v>
      </c>
      <c r="Q7210" s="5" t="s">
        <v>355</v>
      </c>
    </row>
    <row r="7211" ht="16.5" customHeight="1">
      <c r="O7211" s="5" t="s">
        <v>355</v>
      </c>
      <c r="P7211" s="5" t="s">
        <v>355</v>
      </c>
      <c r="Q7211" s="5" t="s">
        <v>355</v>
      </c>
    </row>
    <row r="7212" ht="16.5" customHeight="1">
      <c r="O7212" s="5" t="s">
        <v>355</v>
      </c>
      <c r="P7212" s="5" t="s">
        <v>355</v>
      </c>
      <c r="Q7212" s="5" t="s">
        <v>355</v>
      </c>
    </row>
    <row r="7213" ht="16.5" customHeight="1">
      <c r="O7213" s="5" t="s">
        <v>355</v>
      </c>
      <c r="P7213" s="5" t="s">
        <v>355</v>
      </c>
      <c r="Q7213" s="5" t="s">
        <v>355</v>
      </c>
    </row>
    <row r="7214" ht="16.5" customHeight="1">
      <c r="O7214" s="5" t="s">
        <v>355</v>
      </c>
      <c r="P7214" s="5" t="s">
        <v>355</v>
      </c>
      <c r="Q7214" s="5" t="s">
        <v>355</v>
      </c>
    </row>
    <row r="7215" ht="16.5" customHeight="1">
      <c r="O7215" s="5" t="s">
        <v>355</v>
      </c>
      <c r="P7215" s="5" t="s">
        <v>355</v>
      </c>
      <c r="Q7215" s="5" t="s">
        <v>355</v>
      </c>
    </row>
    <row r="7216" ht="16.5" customHeight="1">
      <c r="O7216" s="5" t="s">
        <v>355</v>
      </c>
      <c r="P7216" s="5" t="s">
        <v>355</v>
      </c>
      <c r="Q7216" s="5" t="s">
        <v>355</v>
      </c>
    </row>
    <row r="7217" ht="16.5" customHeight="1">
      <c r="O7217" s="5" t="s">
        <v>355</v>
      </c>
      <c r="P7217" s="5" t="s">
        <v>355</v>
      </c>
      <c r="Q7217" s="5" t="s">
        <v>355</v>
      </c>
    </row>
    <row r="7218" ht="16.5" customHeight="1">
      <c r="O7218" s="5" t="s">
        <v>355</v>
      </c>
      <c r="P7218" s="5" t="s">
        <v>355</v>
      </c>
      <c r="Q7218" s="5" t="s">
        <v>355</v>
      </c>
    </row>
    <row r="7219" ht="16.5" customHeight="1">
      <c r="O7219" s="5" t="s">
        <v>355</v>
      </c>
      <c r="P7219" s="5" t="s">
        <v>355</v>
      </c>
      <c r="Q7219" s="5" t="s">
        <v>355</v>
      </c>
    </row>
    <row r="7220" ht="16.5" customHeight="1">
      <c r="O7220" s="5" t="s">
        <v>355</v>
      </c>
      <c r="P7220" s="5" t="s">
        <v>355</v>
      </c>
      <c r="Q7220" s="5" t="s">
        <v>355</v>
      </c>
    </row>
    <row r="7221" ht="16.5" customHeight="1">
      <c r="O7221" s="5" t="s">
        <v>355</v>
      </c>
      <c r="P7221" s="5" t="s">
        <v>355</v>
      </c>
      <c r="Q7221" s="5" t="s">
        <v>355</v>
      </c>
    </row>
    <row r="7222" ht="16.5" customHeight="1">
      <c r="O7222" s="5" t="s">
        <v>355</v>
      </c>
      <c r="P7222" s="5" t="s">
        <v>355</v>
      </c>
      <c r="Q7222" s="5" t="s">
        <v>355</v>
      </c>
    </row>
    <row r="7223" ht="16.5" customHeight="1">
      <c r="O7223" s="5" t="s">
        <v>355</v>
      </c>
      <c r="P7223" s="5" t="s">
        <v>355</v>
      </c>
      <c r="Q7223" s="5" t="s">
        <v>355</v>
      </c>
    </row>
    <row r="7224" ht="16.5" customHeight="1">
      <c r="O7224" s="5" t="s">
        <v>355</v>
      </c>
      <c r="P7224" s="5" t="s">
        <v>355</v>
      </c>
      <c r="Q7224" s="5" t="s">
        <v>355</v>
      </c>
    </row>
    <row r="7225" ht="16.5" customHeight="1">
      <c r="O7225" s="5" t="s">
        <v>355</v>
      </c>
      <c r="P7225" s="5" t="s">
        <v>355</v>
      </c>
      <c r="Q7225" s="5" t="s">
        <v>355</v>
      </c>
    </row>
    <row r="7226" ht="16.5" customHeight="1">
      <c r="O7226" s="5" t="s">
        <v>355</v>
      </c>
      <c r="P7226" s="5" t="s">
        <v>355</v>
      </c>
      <c r="Q7226" s="5" t="s">
        <v>355</v>
      </c>
    </row>
    <row r="7227" ht="16.5" customHeight="1">
      <c r="O7227" s="5" t="s">
        <v>355</v>
      </c>
      <c r="P7227" s="5" t="s">
        <v>355</v>
      </c>
      <c r="Q7227" s="5" t="s">
        <v>355</v>
      </c>
    </row>
    <row r="7228" ht="16.5" customHeight="1">
      <c r="O7228" s="5" t="s">
        <v>355</v>
      </c>
      <c r="P7228" s="5" t="s">
        <v>355</v>
      </c>
      <c r="Q7228" s="5" t="s">
        <v>355</v>
      </c>
    </row>
    <row r="7229" ht="16.5" customHeight="1">
      <c r="O7229" s="5" t="s">
        <v>355</v>
      </c>
      <c r="P7229" s="5" t="s">
        <v>355</v>
      </c>
      <c r="Q7229" s="5" t="s">
        <v>355</v>
      </c>
    </row>
    <row r="7230" ht="16.5" customHeight="1">
      <c r="O7230" s="5" t="s">
        <v>355</v>
      </c>
      <c r="P7230" s="5" t="s">
        <v>355</v>
      </c>
      <c r="Q7230" s="5" t="s">
        <v>355</v>
      </c>
    </row>
    <row r="7231" ht="16.5" customHeight="1">
      <c r="O7231" s="5" t="s">
        <v>355</v>
      </c>
      <c r="P7231" s="5" t="s">
        <v>355</v>
      </c>
      <c r="Q7231" s="5" t="s">
        <v>355</v>
      </c>
    </row>
    <row r="7232" ht="16.5" customHeight="1">
      <c r="O7232" s="5" t="s">
        <v>355</v>
      </c>
      <c r="P7232" s="5" t="s">
        <v>355</v>
      </c>
      <c r="Q7232" s="5" t="s">
        <v>355</v>
      </c>
    </row>
    <row r="7233" ht="16.5" customHeight="1">
      <c r="O7233" s="5" t="s">
        <v>355</v>
      </c>
      <c r="P7233" s="5" t="s">
        <v>355</v>
      </c>
      <c r="Q7233" s="5" t="s">
        <v>355</v>
      </c>
    </row>
    <row r="7234" ht="16.5" customHeight="1">
      <c r="O7234" s="5" t="s">
        <v>355</v>
      </c>
      <c r="P7234" s="5" t="s">
        <v>355</v>
      </c>
      <c r="Q7234" s="5" t="s">
        <v>355</v>
      </c>
    </row>
    <row r="7235" ht="16.5" customHeight="1">
      <c r="O7235" s="5" t="s">
        <v>355</v>
      </c>
      <c r="P7235" s="5" t="s">
        <v>355</v>
      </c>
      <c r="Q7235" s="5" t="s">
        <v>355</v>
      </c>
    </row>
    <row r="7236" ht="16.5" customHeight="1">
      <c r="O7236" s="5" t="s">
        <v>355</v>
      </c>
      <c r="P7236" s="5" t="s">
        <v>355</v>
      </c>
      <c r="Q7236" s="5" t="s">
        <v>355</v>
      </c>
    </row>
    <row r="7237" ht="16.5" customHeight="1">
      <c r="O7237" s="5" t="s">
        <v>355</v>
      </c>
      <c r="P7237" s="5" t="s">
        <v>355</v>
      </c>
      <c r="Q7237" s="5" t="s">
        <v>355</v>
      </c>
    </row>
    <row r="7238" ht="16.5" customHeight="1">
      <c r="O7238" s="5" t="s">
        <v>355</v>
      </c>
      <c r="P7238" s="5" t="s">
        <v>355</v>
      </c>
      <c r="Q7238" s="5" t="s">
        <v>355</v>
      </c>
    </row>
    <row r="7239" ht="16.5" customHeight="1">
      <c r="O7239" s="5" t="s">
        <v>355</v>
      </c>
      <c r="P7239" s="5" t="s">
        <v>355</v>
      </c>
      <c r="Q7239" s="5" t="s">
        <v>355</v>
      </c>
    </row>
    <row r="7240" ht="16.5" customHeight="1">
      <c r="O7240" s="5" t="s">
        <v>355</v>
      </c>
      <c r="P7240" s="5" t="s">
        <v>355</v>
      </c>
      <c r="Q7240" s="5" t="s">
        <v>355</v>
      </c>
    </row>
    <row r="7241" ht="16.5" customHeight="1">
      <c r="O7241" s="5" t="s">
        <v>355</v>
      </c>
      <c r="P7241" s="5" t="s">
        <v>355</v>
      </c>
      <c r="Q7241" s="5" t="s">
        <v>355</v>
      </c>
    </row>
    <row r="7242" ht="16.5" customHeight="1">
      <c r="O7242" s="5" t="s">
        <v>355</v>
      </c>
      <c r="P7242" s="5" t="s">
        <v>355</v>
      </c>
      <c r="Q7242" s="5" t="s">
        <v>355</v>
      </c>
    </row>
    <row r="7243" ht="16.5" customHeight="1">
      <c r="O7243" s="5" t="s">
        <v>355</v>
      </c>
      <c r="P7243" s="5" t="s">
        <v>355</v>
      </c>
      <c r="Q7243" s="5" t="s">
        <v>355</v>
      </c>
    </row>
    <row r="7244" ht="16.5" customHeight="1">
      <c r="O7244" s="5" t="s">
        <v>355</v>
      </c>
      <c r="P7244" s="5" t="s">
        <v>355</v>
      </c>
      <c r="Q7244" s="5" t="s">
        <v>355</v>
      </c>
    </row>
    <row r="7245" ht="16.5" customHeight="1">
      <c r="O7245" s="5" t="s">
        <v>355</v>
      </c>
      <c r="P7245" s="5" t="s">
        <v>355</v>
      </c>
      <c r="Q7245" s="5" t="s">
        <v>355</v>
      </c>
    </row>
    <row r="7246" ht="16.5" customHeight="1">
      <c r="O7246" s="5" t="s">
        <v>355</v>
      </c>
      <c r="P7246" s="5" t="s">
        <v>355</v>
      </c>
      <c r="Q7246" s="5" t="s">
        <v>355</v>
      </c>
    </row>
    <row r="7247" ht="16.5" customHeight="1">
      <c r="O7247" s="5" t="s">
        <v>355</v>
      </c>
      <c r="P7247" s="5" t="s">
        <v>355</v>
      </c>
      <c r="Q7247" s="5" t="s">
        <v>355</v>
      </c>
    </row>
    <row r="7248" ht="16.5" customHeight="1">
      <c r="O7248" s="5" t="s">
        <v>355</v>
      </c>
      <c r="P7248" s="5" t="s">
        <v>355</v>
      </c>
      <c r="Q7248" s="5" t="s">
        <v>355</v>
      </c>
    </row>
    <row r="7249" ht="16.5" customHeight="1">
      <c r="O7249" s="5" t="s">
        <v>355</v>
      </c>
      <c r="P7249" s="5" t="s">
        <v>355</v>
      </c>
      <c r="Q7249" s="5" t="s">
        <v>355</v>
      </c>
    </row>
    <row r="7250" ht="16.5" customHeight="1">
      <c r="O7250" s="5" t="s">
        <v>355</v>
      </c>
      <c r="P7250" s="5" t="s">
        <v>355</v>
      </c>
      <c r="Q7250" s="5" t="s">
        <v>355</v>
      </c>
    </row>
    <row r="7251" ht="16.5" customHeight="1">
      <c r="O7251" s="5" t="s">
        <v>355</v>
      </c>
      <c r="P7251" s="5" t="s">
        <v>355</v>
      </c>
      <c r="Q7251" s="5" t="s">
        <v>355</v>
      </c>
    </row>
    <row r="7252" ht="16.5" customHeight="1">
      <c r="O7252" s="5" t="s">
        <v>355</v>
      </c>
      <c r="P7252" s="5" t="s">
        <v>355</v>
      </c>
      <c r="Q7252" s="5" t="s">
        <v>355</v>
      </c>
    </row>
    <row r="7253" ht="16.5" customHeight="1">
      <c r="O7253" s="5" t="s">
        <v>355</v>
      </c>
      <c r="P7253" s="5" t="s">
        <v>355</v>
      </c>
      <c r="Q7253" s="5" t="s">
        <v>355</v>
      </c>
    </row>
    <row r="7254" ht="16.5" customHeight="1">
      <c r="O7254" s="5" t="s">
        <v>355</v>
      </c>
      <c r="P7254" s="5" t="s">
        <v>355</v>
      </c>
      <c r="Q7254" s="5" t="s">
        <v>355</v>
      </c>
    </row>
    <row r="7255" ht="16.5" customHeight="1">
      <c r="O7255" s="5" t="s">
        <v>355</v>
      </c>
      <c r="P7255" s="5" t="s">
        <v>355</v>
      </c>
      <c r="Q7255" s="5" t="s">
        <v>355</v>
      </c>
    </row>
    <row r="7256" ht="16.5" customHeight="1">
      <c r="O7256" s="5" t="s">
        <v>355</v>
      </c>
      <c r="P7256" s="5" t="s">
        <v>355</v>
      </c>
      <c r="Q7256" s="5" t="s">
        <v>355</v>
      </c>
    </row>
    <row r="7257" ht="16.5" customHeight="1">
      <c r="O7257" s="5" t="s">
        <v>355</v>
      </c>
      <c r="P7257" s="5" t="s">
        <v>355</v>
      </c>
      <c r="Q7257" s="5" t="s">
        <v>355</v>
      </c>
    </row>
    <row r="7258" ht="16.5" customHeight="1">
      <c r="O7258" s="5" t="s">
        <v>355</v>
      </c>
      <c r="P7258" s="5" t="s">
        <v>355</v>
      </c>
      <c r="Q7258" s="5" t="s">
        <v>355</v>
      </c>
    </row>
    <row r="7259" ht="16.5" customHeight="1">
      <c r="O7259" s="5" t="s">
        <v>355</v>
      </c>
      <c r="P7259" s="5" t="s">
        <v>355</v>
      </c>
      <c r="Q7259" s="5" t="s">
        <v>355</v>
      </c>
    </row>
    <row r="7260" ht="16.5" customHeight="1">
      <c r="O7260" s="5" t="s">
        <v>355</v>
      </c>
      <c r="P7260" s="5" t="s">
        <v>355</v>
      </c>
      <c r="Q7260" s="5" t="s">
        <v>355</v>
      </c>
    </row>
    <row r="7261" ht="16.5" customHeight="1">
      <c r="O7261" s="5" t="s">
        <v>355</v>
      </c>
      <c r="P7261" s="5" t="s">
        <v>355</v>
      </c>
      <c r="Q7261" s="5" t="s">
        <v>355</v>
      </c>
    </row>
    <row r="7262" ht="16.5" customHeight="1">
      <c r="O7262" s="5" t="s">
        <v>355</v>
      </c>
      <c r="P7262" s="5" t="s">
        <v>355</v>
      </c>
      <c r="Q7262" s="5" t="s">
        <v>355</v>
      </c>
    </row>
    <row r="7263" ht="16.5" customHeight="1">
      <c r="O7263" s="5" t="s">
        <v>355</v>
      </c>
      <c r="P7263" s="5" t="s">
        <v>355</v>
      </c>
      <c r="Q7263" s="5" t="s">
        <v>355</v>
      </c>
    </row>
    <row r="7264" ht="16.5" customHeight="1">
      <c r="O7264" s="5" t="s">
        <v>355</v>
      </c>
      <c r="P7264" s="5" t="s">
        <v>355</v>
      </c>
      <c r="Q7264" s="5" t="s">
        <v>355</v>
      </c>
    </row>
    <row r="7265" ht="16.5" customHeight="1">
      <c r="O7265" s="5" t="s">
        <v>355</v>
      </c>
      <c r="P7265" s="5" t="s">
        <v>355</v>
      </c>
      <c r="Q7265" s="5" t="s">
        <v>355</v>
      </c>
    </row>
    <row r="7266" ht="16.5" customHeight="1">
      <c r="O7266" s="5" t="s">
        <v>355</v>
      </c>
      <c r="P7266" s="5" t="s">
        <v>355</v>
      </c>
      <c r="Q7266" s="5" t="s">
        <v>355</v>
      </c>
    </row>
    <row r="7267" ht="16.5" customHeight="1">
      <c r="O7267" s="5" t="s">
        <v>355</v>
      </c>
      <c r="P7267" s="5" t="s">
        <v>355</v>
      </c>
      <c r="Q7267" s="5" t="s">
        <v>355</v>
      </c>
    </row>
    <row r="7268" ht="16.5" customHeight="1">
      <c r="O7268" s="5" t="s">
        <v>355</v>
      </c>
      <c r="P7268" s="5" t="s">
        <v>355</v>
      </c>
      <c r="Q7268" s="5" t="s">
        <v>355</v>
      </c>
    </row>
    <row r="7269" ht="16.5" customHeight="1">
      <c r="O7269" s="5" t="s">
        <v>355</v>
      </c>
      <c r="P7269" s="5" t="s">
        <v>355</v>
      </c>
      <c r="Q7269" s="5" t="s">
        <v>355</v>
      </c>
    </row>
    <row r="7270" ht="16.5" customHeight="1">
      <c r="O7270" s="5" t="s">
        <v>355</v>
      </c>
      <c r="P7270" s="5" t="s">
        <v>355</v>
      </c>
      <c r="Q7270" s="5" t="s">
        <v>355</v>
      </c>
    </row>
    <row r="7271" ht="16.5" customHeight="1">
      <c r="O7271" s="5" t="s">
        <v>355</v>
      </c>
      <c r="P7271" s="5" t="s">
        <v>355</v>
      </c>
      <c r="Q7271" s="5" t="s">
        <v>355</v>
      </c>
    </row>
    <row r="7272" ht="16.5" customHeight="1">
      <c r="O7272" s="5" t="s">
        <v>355</v>
      </c>
      <c r="P7272" s="5" t="s">
        <v>355</v>
      </c>
      <c r="Q7272" s="5" t="s">
        <v>355</v>
      </c>
    </row>
    <row r="7273" ht="16.5" customHeight="1">
      <c r="O7273" s="5" t="s">
        <v>355</v>
      </c>
      <c r="P7273" s="5" t="s">
        <v>355</v>
      </c>
      <c r="Q7273" s="5" t="s">
        <v>355</v>
      </c>
    </row>
    <row r="7274" ht="16.5" customHeight="1">
      <c r="O7274" s="5" t="s">
        <v>355</v>
      </c>
      <c r="P7274" s="5" t="s">
        <v>355</v>
      </c>
      <c r="Q7274" s="5" t="s">
        <v>355</v>
      </c>
    </row>
    <row r="7275" ht="16.5" customHeight="1">
      <c r="O7275" s="5" t="s">
        <v>355</v>
      </c>
      <c r="P7275" s="5" t="s">
        <v>355</v>
      </c>
      <c r="Q7275" s="5" t="s">
        <v>355</v>
      </c>
    </row>
    <row r="7276" ht="16.5" customHeight="1">
      <c r="O7276" s="5" t="s">
        <v>355</v>
      </c>
      <c r="P7276" s="5" t="s">
        <v>355</v>
      </c>
      <c r="Q7276" s="5" t="s">
        <v>355</v>
      </c>
    </row>
    <row r="7277" ht="16.5" customHeight="1">
      <c r="O7277" s="5" t="s">
        <v>355</v>
      </c>
      <c r="P7277" s="5" t="s">
        <v>355</v>
      </c>
      <c r="Q7277" s="5" t="s">
        <v>355</v>
      </c>
    </row>
    <row r="7278" ht="16.5" customHeight="1">
      <c r="O7278" s="5" t="s">
        <v>355</v>
      </c>
      <c r="P7278" s="5" t="s">
        <v>355</v>
      </c>
      <c r="Q7278" s="5" t="s">
        <v>355</v>
      </c>
    </row>
    <row r="7279" ht="16.5" customHeight="1">
      <c r="O7279" s="5" t="s">
        <v>355</v>
      </c>
      <c r="P7279" s="5" t="s">
        <v>355</v>
      </c>
      <c r="Q7279" s="5" t="s">
        <v>355</v>
      </c>
    </row>
    <row r="7280" ht="16.5" customHeight="1">
      <c r="O7280" s="5" t="s">
        <v>355</v>
      </c>
      <c r="P7280" s="5" t="s">
        <v>355</v>
      </c>
      <c r="Q7280" s="5" t="s">
        <v>355</v>
      </c>
    </row>
    <row r="7281" ht="16.5" customHeight="1">
      <c r="O7281" s="5" t="s">
        <v>355</v>
      </c>
      <c r="P7281" s="5" t="s">
        <v>355</v>
      </c>
      <c r="Q7281" s="5" t="s">
        <v>355</v>
      </c>
    </row>
    <row r="7282" ht="16.5" customHeight="1">
      <c r="O7282" s="5" t="s">
        <v>355</v>
      </c>
      <c r="P7282" s="5" t="s">
        <v>355</v>
      </c>
      <c r="Q7282" s="5" t="s">
        <v>355</v>
      </c>
    </row>
    <row r="7283" ht="16.5" customHeight="1">
      <c r="O7283" s="5" t="s">
        <v>355</v>
      </c>
      <c r="P7283" s="5" t="s">
        <v>355</v>
      </c>
      <c r="Q7283" s="5" t="s">
        <v>355</v>
      </c>
    </row>
    <row r="7284" ht="16.5" customHeight="1">
      <c r="O7284" s="5" t="s">
        <v>355</v>
      </c>
      <c r="P7284" s="5" t="s">
        <v>355</v>
      </c>
      <c r="Q7284" s="5" t="s">
        <v>355</v>
      </c>
    </row>
    <row r="7285" ht="16.5" customHeight="1">
      <c r="O7285" s="5" t="s">
        <v>355</v>
      </c>
      <c r="P7285" s="5" t="s">
        <v>355</v>
      </c>
      <c r="Q7285" s="5" t="s">
        <v>355</v>
      </c>
    </row>
    <row r="7286" ht="16.5" customHeight="1">
      <c r="O7286" s="5" t="s">
        <v>355</v>
      </c>
      <c r="P7286" s="5" t="s">
        <v>355</v>
      </c>
      <c r="Q7286" s="5" t="s">
        <v>355</v>
      </c>
    </row>
    <row r="7287" ht="16.5" customHeight="1">
      <c r="O7287" s="5" t="s">
        <v>355</v>
      </c>
      <c r="P7287" s="5" t="s">
        <v>355</v>
      </c>
      <c r="Q7287" s="5" t="s">
        <v>355</v>
      </c>
    </row>
    <row r="7288" ht="16.5" customHeight="1">
      <c r="O7288" s="5" t="s">
        <v>355</v>
      </c>
      <c r="P7288" s="5" t="s">
        <v>355</v>
      </c>
      <c r="Q7288" s="5" t="s">
        <v>355</v>
      </c>
    </row>
    <row r="7289" ht="16.5" customHeight="1">
      <c r="O7289" s="5" t="s">
        <v>355</v>
      </c>
      <c r="P7289" s="5" t="s">
        <v>355</v>
      </c>
      <c r="Q7289" s="5" t="s">
        <v>355</v>
      </c>
    </row>
    <row r="7290" ht="16.5" customHeight="1">
      <c r="O7290" s="5" t="s">
        <v>355</v>
      </c>
      <c r="P7290" s="5" t="s">
        <v>355</v>
      </c>
      <c r="Q7290" s="5" t="s">
        <v>355</v>
      </c>
    </row>
    <row r="7291" ht="16.5" customHeight="1">
      <c r="O7291" s="5" t="s">
        <v>355</v>
      </c>
      <c r="P7291" s="5" t="s">
        <v>355</v>
      </c>
      <c r="Q7291" s="5" t="s">
        <v>355</v>
      </c>
    </row>
    <row r="7292" ht="16.5" customHeight="1">
      <c r="O7292" s="5" t="s">
        <v>355</v>
      </c>
      <c r="P7292" s="5" t="s">
        <v>355</v>
      </c>
      <c r="Q7292" s="5" t="s">
        <v>355</v>
      </c>
    </row>
    <row r="7293" ht="16.5" customHeight="1">
      <c r="O7293" s="5" t="s">
        <v>355</v>
      </c>
      <c r="P7293" s="5" t="s">
        <v>355</v>
      </c>
      <c r="Q7293" s="5" t="s">
        <v>355</v>
      </c>
    </row>
    <row r="7294" ht="16.5" customHeight="1">
      <c r="O7294" s="5" t="s">
        <v>355</v>
      </c>
      <c r="P7294" s="5" t="s">
        <v>355</v>
      </c>
      <c r="Q7294" s="5" t="s">
        <v>355</v>
      </c>
    </row>
    <row r="7295" ht="16.5" customHeight="1">
      <c r="O7295" s="5" t="s">
        <v>355</v>
      </c>
      <c r="P7295" s="5" t="s">
        <v>355</v>
      </c>
      <c r="Q7295" s="5" t="s">
        <v>355</v>
      </c>
    </row>
    <row r="7296" ht="16.5" customHeight="1">
      <c r="O7296" s="5" t="s">
        <v>355</v>
      </c>
      <c r="P7296" s="5" t="s">
        <v>355</v>
      </c>
      <c r="Q7296" s="5" t="s">
        <v>355</v>
      </c>
    </row>
    <row r="7297" ht="16.5" customHeight="1">
      <c r="O7297" s="5" t="s">
        <v>355</v>
      </c>
      <c r="P7297" s="5" t="s">
        <v>355</v>
      </c>
      <c r="Q7297" s="5" t="s">
        <v>355</v>
      </c>
    </row>
    <row r="7298" ht="16.5" customHeight="1">
      <c r="O7298" s="5" t="s">
        <v>355</v>
      </c>
      <c r="P7298" s="5" t="s">
        <v>355</v>
      </c>
      <c r="Q7298" s="5" t="s">
        <v>355</v>
      </c>
    </row>
    <row r="7299" ht="16.5" customHeight="1">
      <c r="O7299" s="5" t="s">
        <v>355</v>
      </c>
      <c r="P7299" s="5" t="s">
        <v>355</v>
      </c>
      <c r="Q7299" s="5" t="s">
        <v>355</v>
      </c>
    </row>
    <row r="7300" ht="16.5" customHeight="1">
      <c r="O7300" s="5" t="s">
        <v>355</v>
      </c>
      <c r="P7300" s="5" t="s">
        <v>355</v>
      </c>
      <c r="Q7300" s="5" t="s">
        <v>355</v>
      </c>
    </row>
    <row r="7301" ht="16.5" customHeight="1">
      <c r="O7301" s="5" t="s">
        <v>355</v>
      </c>
      <c r="P7301" s="5" t="s">
        <v>355</v>
      </c>
      <c r="Q7301" s="5" t="s">
        <v>355</v>
      </c>
    </row>
    <row r="7302" ht="16.5" customHeight="1">
      <c r="O7302" s="5" t="s">
        <v>355</v>
      </c>
      <c r="P7302" s="5" t="s">
        <v>355</v>
      </c>
      <c r="Q7302" s="5" t="s">
        <v>355</v>
      </c>
    </row>
    <row r="7303" ht="16.5" customHeight="1">
      <c r="O7303" s="5" t="s">
        <v>355</v>
      </c>
      <c r="P7303" s="5" t="s">
        <v>355</v>
      </c>
      <c r="Q7303" s="5" t="s">
        <v>355</v>
      </c>
    </row>
    <row r="7304" ht="16.5" customHeight="1">
      <c r="O7304" s="5" t="s">
        <v>355</v>
      </c>
      <c r="P7304" s="5" t="s">
        <v>355</v>
      </c>
      <c r="Q7304" s="5" t="s">
        <v>355</v>
      </c>
    </row>
    <row r="7305" ht="16.5" customHeight="1">
      <c r="O7305" s="5" t="s">
        <v>355</v>
      </c>
      <c r="P7305" s="5" t="s">
        <v>355</v>
      </c>
      <c r="Q7305" s="5" t="s">
        <v>355</v>
      </c>
    </row>
    <row r="7306" ht="16.5" customHeight="1">
      <c r="O7306" s="5" t="s">
        <v>355</v>
      </c>
      <c r="P7306" s="5" t="s">
        <v>355</v>
      </c>
      <c r="Q7306" s="5" t="s">
        <v>355</v>
      </c>
    </row>
    <row r="7307" ht="16.5" customHeight="1">
      <c r="O7307" s="5" t="s">
        <v>355</v>
      </c>
      <c r="P7307" s="5" t="s">
        <v>355</v>
      </c>
      <c r="Q7307" s="5" t="s">
        <v>355</v>
      </c>
    </row>
    <row r="7308" ht="16.5" customHeight="1">
      <c r="O7308" s="5" t="s">
        <v>355</v>
      </c>
      <c r="P7308" s="5" t="s">
        <v>355</v>
      </c>
      <c r="Q7308" s="5" t="s">
        <v>355</v>
      </c>
    </row>
    <row r="7309" ht="16.5" customHeight="1">
      <c r="O7309" s="5" t="s">
        <v>355</v>
      </c>
      <c r="P7309" s="5" t="s">
        <v>355</v>
      </c>
      <c r="Q7309" s="5" t="s">
        <v>355</v>
      </c>
    </row>
    <row r="7310" ht="16.5" customHeight="1">
      <c r="O7310" s="5" t="s">
        <v>355</v>
      </c>
      <c r="P7310" s="5" t="s">
        <v>355</v>
      </c>
      <c r="Q7310" s="5" t="s">
        <v>355</v>
      </c>
    </row>
    <row r="7311" ht="16.5" customHeight="1">
      <c r="O7311" s="5" t="s">
        <v>355</v>
      </c>
      <c r="P7311" s="5" t="s">
        <v>355</v>
      </c>
      <c r="Q7311" s="5" t="s">
        <v>355</v>
      </c>
    </row>
    <row r="7312" ht="16.5" customHeight="1">
      <c r="O7312" s="5" t="s">
        <v>355</v>
      </c>
      <c r="P7312" s="5" t="s">
        <v>355</v>
      </c>
      <c r="Q7312" s="5" t="s">
        <v>355</v>
      </c>
    </row>
    <row r="7313" ht="16.5" customHeight="1">
      <c r="O7313" s="5" t="s">
        <v>355</v>
      </c>
      <c r="P7313" s="5" t="s">
        <v>355</v>
      </c>
      <c r="Q7313" s="5" t="s">
        <v>355</v>
      </c>
    </row>
    <row r="7314" ht="16.5" customHeight="1">
      <c r="O7314" s="5" t="s">
        <v>355</v>
      </c>
      <c r="P7314" s="5" t="s">
        <v>355</v>
      </c>
      <c r="Q7314" s="5" t="s">
        <v>355</v>
      </c>
    </row>
    <row r="7315" ht="16.5" customHeight="1">
      <c r="O7315" s="5" t="s">
        <v>355</v>
      </c>
      <c r="P7315" s="5" t="s">
        <v>355</v>
      </c>
      <c r="Q7315" s="5" t="s">
        <v>355</v>
      </c>
    </row>
    <row r="7316" ht="16.5" customHeight="1">
      <c r="O7316" s="5" t="s">
        <v>355</v>
      </c>
      <c r="P7316" s="5" t="s">
        <v>355</v>
      </c>
      <c r="Q7316" s="5" t="s">
        <v>355</v>
      </c>
    </row>
    <row r="7317" ht="16.5" customHeight="1">
      <c r="O7317" s="5" t="s">
        <v>355</v>
      </c>
      <c r="P7317" s="5" t="s">
        <v>355</v>
      </c>
      <c r="Q7317" s="5" t="s">
        <v>355</v>
      </c>
    </row>
    <row r="7318" ht="16.5" customHeight="1">
      <c r="O7318" s="5" t="s">
        <v>355</v>
      </c>
      <c r="P7318" s="5" t="s">
        <v>355</v>
      </c>
      <c r="Q7318" s="5" t="s">
        <v>355</v>
      </c>
    </row>
    <row r="7319" ht="16.5" customHeight="1">
      <c r="O7319" s="5" t="s">
        <v>355</v>
      </c>
      <c r="P7319" s="5" t="s">
        <v>355</v>
      </c>
      <c r="Q7319" s="5" t="s">
        <v>355</v>
      </c>
    </row>
    <row r="7320" ht="16.5" customHeight="1">
      <c r="O7320" s="5" t="s">
        <v>355</v>
      </c>
      <c r="P7320" s="5" t="s">
        <v>355</v>
      </c>
      <c r="Q7320" s="5" t="s">
        <v>355</v>
      </c>
    </row>
    <row r="7321" ht="16.5" customHeight="1">
      <c r="O7321" s="5" t="s">
        <v>355</v>
      </c>
      <c r="P7321" s="5" t="s">
        <v>355</v>
      </c>
      <c r="Q7321" s="5" t="s">
        <v>355</v>
      </c>
    </row>
    <row r="7322" ht="16.5" customHeight="1">
      <c r="O7322" s="5" t="s">
        <v>355</v>
      </c>
      <c r="P7322" s="5" t="s">
        <v>355</v>
      </c>
      <c r="Q7322" s="5" t="s">
        <v>355</v>
      </c>
    </row>
    <row r="7323" ht="16.5" customHeight="1">
      <c r="O7323" s="5" t="s">
        <v>355</v>
      </c>
      <c r="P7323" s="5" t="s">
        <v>355</v>
      </c>
      <c r="Q7323" s="5" t="s">
        <v>355</v>
      </c>
    </row>
    <row r="7324" ht="16.5" customHeight="1">
      <c r="O7324" s="5" t="s">
        <v>355</v>
      </c>
      <c r="P7324" s="5" t="s">
        <v>355</v>
      </c>
      <c r="Q7324" s="5" t="s">
        <v>355</v>
      </c>
    </row>
    <row r="7325" ht="16.5" customHeight="1">
      <c r="O7325" s="5" t="s">
        <v>355</v>
      </c>
      <c r="P7325" s="5" t="s">
        <v>355</v>
      </c>
      <c r="Q7325" s="5" t="s">
        <v>355</v>
      </c>
    </row>
    <row r="7326" ht="16.5" customHeight="1">
      <c r="O7326" s="5" t="s">
        <v>355</v>
      </c>
      <c r="P7326" s="5" t="s">
        <v>355</v>
      </c>
      <c r="Q7326" s="5" t="s">
        <v>355</v>
      </c>
    </row>
    <row r="7327" ht="16.5" customHeight="1">
      <c r="O7327" s="5" t="s">
        <v>355</v>
      </c>
      <c r="P7327" s="5" t="s">
        <v>355</v>
      </c>
      <c r="Q7327" s="5" t="s">
        <v>355</v>
      </c>
    </row>
    <row r="7328" ht="16.5" customHeight="1">
      <c r="O7328" s="5" t="s">
        <v>355</v>
      </c>
      <c r="P7328" s="5" t="s">
        <v>355</v>
      </c>
      <c r="Q7328" s="5" t="s">
        <v>355</v>
      </c>
    </row>
    <row r="7329" ht="16.5" customHeight="1">
      <c r="O7329" s="5" t="s">
        <v>355</v>
      </c>
      <c r="P7329" s="5" t="s">
        <v>355</v>
      </c>
      <c r="Q7329" s="5" t="s">
        <v>355</v>
      </c>
    </row>
    <row r="7330" ht="16.5" customHeight="1">
      <c r="O7330" s="5" t="s">
        <v>355</v>
      </c>
      <c r="P7330" s="5" t="s">
        <v>355</v>
      </c>
      <c r="Q7330" s="5" t="s">
        <v>355</v>
      </c>
    </row>
    <row r="7331" ht="16.5" customHeight="1">
      <c r="O7331" s="5" t="s">
        <v>355</v>
      </c>
      <c r="P7331" s="5" t="s">
        <v>355</v>
      </c>
      <c r="Q7331" s="5" t="s">
        <v>355</v>
      </c>
    </row>
    <row r="7332" ht="16.5" customHeight="1">
      <c r="O7332" s="5" t="s">
        <v>355</v>
      </c>
      <c r="P7332" s="5" t="s">
        <v>355</v>
      </c>
      <c r="Q7332" s="5" t="s">
        <v>355</v>
      </c>
    </row>
    <row r="7333" ht="16.5" customHeight="1">
      <c r="O7333" s="5" t="s">
        <v>355</v>
      </c>
      <c r="P7333" s="5" t="s">
        <v>355</v>
      </c>
      <c r="Q7333" s="5" t="s">
        <v>355</v>
      </c>
    </row>
    <row r="7334" ht="16.5" customHeight="1">
      <c r="O7334" s="5" t="s">
        <v>355</v>
      </c>
      <c r="P7334" s="5" t="s">
        <v>355</v>
      </c>
      <c r="Q7334" s="5" t="s">
        <v>355</v>
      </c>
    </row>
    <row r="7335" ht="16.5" customHeight="1">
      <c r="O7335" s="5" t="s">
        <v>355</v>
      </c>
      <c r="P7335" s="5" t="s">
        <v>355</v>
      </c>
      <c r="Q7335" s="5" t="s">
        <v>355</v>
      </c>
    </row>
    <row r="7336" ht="16.5" customHeight="1">
      <c r="O7336" s="5" t="s">
        <v>355</v>
      </c>
      <c r="P7336" s="5" t="s">
        <v>355</v>
      </c>
      <c r="Q7336" s="5" t="s">
        <v>355</v>
      </c>
    </row>
    <row r="7337" ht="16.5" customHeight="1">
      <c r="O7337" s="5" t="s">
        <v>355</v>
      </c>
      <c r="P7337" s="5" t="s">
        <v>355</v>
      </c>
      <c r="Q7337" s="5" t="s">
        <v>355</v>
      </c>
    </row>
    <row r="7338" ht="16.5" customHeight="1">
      <c r="O7338" s="5" t="s">
        <v>355</v>
      </c>
      <c r="P7338" s="5" t="s">
        <v>355</v>
      </c>
      <c r="Q7338" s="5" t="s">
        <v>355</v>
      </c>
    </row>
    <row r="7339" ht="16.5" customHeight="1">
      <c r="O7339" s="5" t="s">
        <v>355</v>
      </c>
      <c r="P7339" s="5" t="s">
        <v>355</v>
      </c>
      <c r="Q7339" s="5" t="s">
        <v>355</v>
      </c>
    </row>
    <row r="7340" ht="16.5" customHeight="1">
      <c r="O7340" s="5" t="s">
        <v>355</v>
      </c>
      <c r="P7340" s="5" t="s">
        <v>355</v>
      </c>
      <c r="Q7340" s="5" t="s">
        <v>355</v>
      </c>
    </row>
    <row r="7341" ht="16.5" customHeight="1">
      <c r="O7341" s="5" t="s">
        <v>355</v>
      </c>
      <c r="P7341" s="5" t="s">
        <v>355</v>
      </c>
      <c r="Q7341" s="5" t="s">
        <v>355</v>
      </c>
    </row>
    <row r="7342" ht="16.5" customHeight="1">
      <c r="O7342" s="5" t="s">
        <v>355</v>
      </c>
      <c r="P7342" s="5" t="s">
        <v>355</v>
      </c>
      <c r="Q7342" s="5" t="s">
        <v>355</v>
      </c>
    </row>
    <row r="7343" ht="16.5" customHeight="1">
      <c r="O7343" s="5" t="s">
        <v>355</v>
      </c>
      <c r="P7343" s="5" t="s">
        <v>355</v>
      </c>
      <c r="Q7343" s="5" t="s">
        <v>355</v>
      </c>
    </row>
    <row r="7344" ht="16.5" customHeight="1">
      <c r="O7344" s="5" t="s">
        <v>355</v>
      </c>
      <c r="P7344" s="5" t="s">
        <v>355</v>
      </c>
      <c r="Q7344" s="5" t="s">
        <v>355</v>
      </c>
    </row>
    <row r="7345" ht="16.5" customHeight="1">
      <c r="O7345" s="5" t="s">
        <v>355</v>
      </c>
      <c r="P7345" s="5" t="s">
        <v>355</v>
      </c>
      <c r="Q7345" s="5" t="s">
        <v>355</v>
      </c>
    </row>
    <row r="7346" ht="16.5" customHeight="1">
      <c r="O7346" s="5" t="s">
        <v>355</v>
      </c>
      <c r="P7346" s="5" t="s">
        <v>355</v>
      </c>
      <c r="Q7346" s="5" t="s">
        <v>355</v>
      </c>
    </row>
    <row r="7347" ht="16.5" customHeight="1">
      <c r="O7347" s="5" t="s">
        <v>355</v>
      </c>
      <c r="P7347" s="5" t="s">
        <v>355</v>
      </c>
      <c r="Q7347" s="5" t="s">
        <v>355</v>
      </c>
    </row>
    <row r="7348" ht="16.5" customHeight="1">
      <c r="O7348" s="5" t="s">
        <v>355</v>
      </c>
      <c r="P7348" s="5" t="s">
        <v>355</v>
      </c>
      <c r="Q7348" s="5" t="s">
        <v>355</v>
      </c>
    </row>
    <row r="7349" ht="16.5" customHeight="1">
      <c r="O7349" s="5" t="s">
        <v>355</v>
      </c>
      <c r="P7349" s="5" t="s">
        <v>355</v>
      </c>
      <c r="Q7349" s="5" t="s">
        <v>355</v>
      </c>
    </row>
    <row r="7350" ht="16.5" customHeight="1">
      <c r="O7350" s="5" t="s">
        <v>355</v>
      </c>
      <c r="P7350" s="5" t="s">
        <v>355</v>
      </c>
      <c r="Q7350" s="5" t="s">
        <v>355</v>
      </c>
    </row>
    <row r="7351" ht="16.5" customHeight="1">
      <c r="O7351" s="5" t="s">
        <v>355</v>
      </c>
      <c r="P7351" s="5" t="s">
        <v>355</v>
      </c>
      <c r="Q7351" s="5" t="s">
        <v>355</v>
      </c>
    </row>
    <row r="7352" ht="16.5" customHeight="1">
      <c r="O7352" s="5" t="s">
        <v>355</v>
      </c>
      <c r="P7352" s="5" t="s">
        <v>355</v>
      </c>
      <c r="Q7352" s="5" t="s">
        <v>355</v>
      </c>
    </row>
    <row r="7353" ht="16.5" customHeight="1">
      <c r="O7353" s="5" t="s">
        <v>355</v>
      </c>
      <c r="P7353" s="5" t="s">
        <v>355</v>
      </c>
      <c r="Q7353" s="5" t="s">
        <v>355</v>
      </c>
    </row>
    <row r="7354" ht="16.5" customHeight="1">
      <c r="O7354" s="5" t="s">
        <v>355</v>
      </c>
      <c r="P7354" s="5" t="s">
        <v>355</v>
      </c>
      <c r="Q7354" s="5" t="s">
        <v>355</v>
      </c>
    </row>
    <row r="7355" ht="16.5" customHeight="1">
      <c r="O7355" s="5" t="s">
        <v>355</v>
      </c>
      <c r="P7355" s="5" t="s">
        <v>355</v>
      </c>
      <c r="Q7355" s="5" t="s">
        <v>355</v>
      </c>
    </row>
    <row r="7356" ht="16.5" customHeight="1">
      <c r="O7356" s="5" t="s">
        <v>355</v>
      </c>
      <c r="P7356" s="5" t="s">
        <v>355</v>
      </c>
      <c r="Q7356" s="5" t="s">
        <v>355</v>
      </c>
    </row>
    <row r="7357" ht="16.5" customHeight="1">
      <c r="O7357" s="5" t="s">
        <v>355</v>
      </c>
      <c r="P7357" s="5" t="s">
        <v>355</v>
      </c>
      <c r="Q7357" s="5" t="s">
        <v>355</v>
      </c>
    </row>
    <row r="7358" ht="16.5" customHeight="1">
      <c r="O7358" s="5" t="s">
        <v>355</v>
      </c>
      <c r="P7358" s="5" t="s">
        <v>355</v>
      </c>
      <c r="Q7358" s="5" t="s">
        <v>355</v>
      </c>
    </row>
    <row r="7359" ht="16.5" customHeight="1">
      <c r="O7359" s="5" t="s">
        <v>355</v>
      </c>
      <c r="P7359" s="5" t="s">
        <v>355</v>
      </c>
      <c r="Q7359" s="5" t="s">
        <v>355</v>
      </c>
    </row>
    <row r="7360" ht="16.5" customHeight="1">
      <c r="O7360" s="5" t="s">
        <v>355</v>
      </c>
      <c r="P7360" s="5" t="s">
        <v>355</v>
      </c>
      <c r="Q7360" s="5" t="s">
        <v>355</v>
      </c>
    </row>
    <row r="7361" ht="16.5" customHeight="1">
      <c r="O7361" s="5" t="s">
        <v>355</v>
      </c>
      <c r="P7361" s="5" t="s">
        <v>355</v>
      </c>
      <c r="Q7361" s="5" t="s">
        <v>355</v>
      </c>
    </row>
    <row r="7362" ht="16.5" customHeight="1">
      <c r="O7362" s="5" t="s">
        <v>355</v>
      </c>
      <c r="P7362" s="5" t="s">
        <v>355</v>
      </c>
      <c r="Q7362" s="5" t="s">
        <v>355</v>
      </c>
    </row>
    <row r="7363" ht="16.5" customHeight="1">
      <c r="O7363" s="5" t="s">
        <v>355</v>
      </c>
      <c r="P7363" s="5" t="s">
        <v>355</v>
      </c>
      <c r="Q7363" s="5" t="s">
        <v>355</v>
      </c>
    </row>
    <row r="7364" ht="16.5" customHeight="1">
      <c r="O7364" s="5" t="s">
        <v>355</v>
      </c>
      <c r="P7364" s="5" t="s">
        <v>355</v>
      </c>
      <c r="Q7364" s="5" t="s">
        <v>355</v>
      </c>
    </row>
    <row r="7365" ht="16.5" customHeight="1">
      <c r="O7365" s="5" t="s">
        <v>355</v>
      </c>
      <c r="P7365" s="5" t="s">
        <v>355</v>
      </c>
      <c r="Q7365" s="5" t="s">
        <v>355</v>
      </c>
    </row>
    <row r="7366" ht="16.5" customHeight="1">
      <c r="O7366" s="5" t="s">
        <v>355</v>
      </c>
      <c r="P7366" s="5" t="s">
        <v>355</v>
      </c>
      <c r="Q7366" s="5" t="s">
        <v>355</v>
      </c>
    </row>
    <row r="7367" ht="16.5" customHeight="1">
      <c r="O7367" s="5" t="s">
        <v>355</v>
      </c>
      <c r="P7367" s="5" t="s">
        <v>355</v>
      </c>
      <c r="Q7367" s="5" t="s">
        <v>355</v>
      </c>
    </row>
    <row r="7368" ht="16.5" customHeight="1">
      <c r="O7368" s="5" t="s">
        <v>355</v>
      </c>
      <c r="P7368" s="5" t="s">
        <v>355</v>
      </c>
      <c r="Q7368" s="5" t="s">
        <v>355</v>
      </c>
    </row>
    <row r="7369" ht="16.5" customHeight="1">
      <c r="O7369" s="5" t="s">
        <v>355</v>
      </c>
      <c r="P7369" s="5" t="s">
        <v>355</v>
      </c>
      <c r="Q7369" s="5" t="s">
        <v>355</v>
      </c>
    </row>
    <row r="7370" ht="16.5" customHeight="1">
      <c r="O7370" s="5" t="s">
        <v>355</v>
      </c>
      <c r="P7370" s="5" t="s">
        <v>355</v>
      </c>
      <c r="Q7370" s="5" t="s">
        <v>355</v>
      </c>
    </row>
    <row r="7371" ht="16.5" customHeight="1">
      <c r="O7371" s="5" t="s">
        <v>355</v>
      </c>
      <c r="P7371" s="5" t="s">
        <v>355</v>
      </c>
      <c r="Q7371" s="5" t="s">
        <v>355</v>
      </c>
    </row>
    <row r="7372" ht="16.5" customHeight="1">
      <c r="O7372" s="5" t="s">
        <v>355</v>
      </c>
      <c r="P7372" s="5" t="s">
        <v>355</v>
      </c>
      <c r="Q7372" s="5" t="s">
        <v>355</v>
      </c>
    </row>
    <row r="7373" ht="16.5" customHeight="1">
      <c r="O7373" s="5" t="s">
        <v>355</v>
      </c>
      <c r="P7373" s="5" t="s">
        <v>355</v>
      </c>
      <c r="Q7373" s="5" t="s">
        <v>355</v>
      </c>
    </row>
    <row r="7374" ht="16.5" customHeight="1">
      <c r="O7374" s="5" t="s">
        <v>355</v>
      </c>
      <c r="P7374" s="5" t="s">
        <v>355</v>
      </c>
      <c r="Q7374" s="5" t="s">
        <v>355</v>
      </c>
    </row>
    <row r="7375" ht="16.5" customHeight="1">
      <c r="O7375" s="5" t="s">
        <v>355</v>
      </c>
      <c r="P7375" s="5" t="s">
        <v>355</v>
      </c>
      <c r="Q7375" s="5" t="s">
        <v>355</v>
      </c>
    </row>
    <row r="7376" ht="16.5" customHeight="1">
      <c r="O7376" s="5" t="s">
        <v>355</v>
      </c>
      <c r="P7376" s="5" t="s">
        <v>355</v>
      </c>
      <c r="Q7376" s="5" t="s">
        <v>355</v>
      </c>
    </row>
    <row r="7377" ht="16.5" customHeight="1">
      <c r="O7377" s="5" t="s">
        <v>355</v>
      </c>
      <c r="P7377" s="5" t="s">
        <v>355</v>
      </c>
      <c r="Q7377" s="5" t="s">
        <v>355</v>
      </c>
    </row>
    <row r="7378" ht="16.5" customHeight="1">
      <c r="O7378" s="5" t="s">
        <v>355</v>
      </c>
      <c r="P7378" s="5" t="s">
        <v>355</v>
      </c>
      <c r="Q7378" s="5" t="s">
        <v>355</v>
      </c>
    </row>
    <row r="7379" ht="16.5" customHeight="1">
      <c r="O7379" s="5" t="s">
        <v>355</v>
      </c>
      <c r="P7379" s="5" t="s">
        <v>355</v>
      </c>
      <c r="Q7379" s="5" t="s">
        <v>355</v>
      </c>
    </row>
    <row r="7380" ht="16.5" customHeight="1">
      <c r="O7380" s="5" t="s">
        <v>355</v>
      </c>
      <c r="P7380" s="5" t="s">
        <v>355</v>
      </c>
      <c r="Q7380" s="5" t="s">
        <v>355</v>
      </c>
    </row>
    <row r="7381" ht="16.5" customHeight="1">
      <c r="O7381" s="5" t="s">
        <v>355</v>
      </c>
      <c r="P7381" s="5" t="s">
        <v>355</v>
      </c>
      <c r="Q7381" s="5" t="s">
        <v>355</v>
      </c>
    </row>
    <row r="7382" ht="16.5" customHeight="1">
      <c r="O7382" s="5" t="s">
        <v>355</v>
      </c>
      <c r="P7382" s="5" t="s">
        <v>355</v>
      </c>
      <c r="Q7382" s="5" t="s">
        <v>355</v>
      </c>
    </row>
    <row r="7383" ht="16.5" customHeight="1">
      <c r="O7383" s="5" t="s">
        <v>355</v>
      </c>
      <c r="P7383" s="5" t="s">
        <v>355</v>
      </c>
      <c r="Q7383" s="5" t="s">
        <v>355</v>
      </c>
    </row>
    <row r="7384" ht="16.5" customHeight="1">
      <c r="O7384" s="5" t="s">
        <v>355</v>
      </c>
      <c r="P7384" s="5" t="s">
        <v>355</v>
      </c>
      <c r="Q7384" s="5" t="s">
        <v>355</v>
      </c>
    </row>
    <row r="7385" ht="16.5" customHeight="1">
      <c r="O7385" s="5" t="s">
        <v>355</v>
      </c>
      <c r="P7385" s="5" t="s">
        <v>355</v>
      </c>
      <c r="Q7385" s="5" t="s">
        <v>355</v>
      </c>
    </row>
    <row r="7386" ht="16.5" customHeight="1">
      <c r="O7386" s="5" t="s">
        <v>355</v>
      </c>
      <c r="P7386" s="5" t="s">
        <v>355</v>
      </c>
      <c r="Q7386" s="5" t="s">
        <v>355</v>
      </c>
    </row>
    <row r="7387" ht="16.5" customHeight="1">
      <c r="O7387" s="5" t="s">
        <v>355</v>
      </c>
      <c r="P7387" s="5" t="s">
        <v>355</v>
      </c>
      <c r="Q7387" s="5" t="s">
        <v>355</v>
      </c>
    </row>
    <row r="7388" ht="16.5" customHeight="1">
      <c r="O7388" s="5" t="s">
        <v>355</v>
      </c>
      <c r="P7388" s="5" t="s">
        <v>355</v>
      </c>
      <c r="Q7388" s="5" t="s">
        <v>355</v>
      </c>
    </row>
    <row r="7389" ht="16.5" customHeight="1">
      <c r="O7389" s="5" t="s">
        <v>355</v>
      </c>
      <c r="P7389" s="5" t="s">
        <v>355</v>
      </c>
      <c r="Q7389" s="5" t="s">
        <v>355</v>
      </c>
    </row>
    <row r="7390" ht="16.5" customHeight="1">
      <c r="O7390" s="5" t="s">
        <v>355</v>
      </c>
      <c r="P7390" s="5" t="s">
        <v>355</v>
      </c>
      <c r="Q7390" s="5" t="s">
        <v>355</v>
      </c>
    </row>
    <row r="7391" ht="16.5" customHeight="1">
      <c r="O7391" s="5" t="s">
        <v>355</v>
      </c>
      <c r="P7391" s="5" t="s">
        <v>355</v>
      </c>
      <c r="Q7391" s="5" t="s">
        <v>355</v>
      </c>
    </row>
    <row r="7392" ht="16.5" customHeight="1">
      <c r="O7392" s="5" t="s">
        <v>355</v>
      </c>
      <c r="P7392" s="5" t="s">
        <v>355</v>
      </c>
      <c r="Q7392" s="5" t="s">
        <v>355</v>
      </c>
    </row>
    <row r="7393" ht="16.5" customHeight="1">
      <c r="O7393" s="5" t="s">
        <v>355</v>
      </c>
      <c r="P7393" s="5" t="s">
        <v>355</v>
      </c>
      <c r="Q7393" s="5" t="s">
        <v>355</v>
      </c>
    </row>
    <row r="7394" ht="16.5" customHeight="1">
      <c r="O7394" s="5" t="s">
        <v>355</v>
      </c>
      <c r="P7394" s="5" t="s">
        <v>355</v>
      </c>
      <c r="Q7394" s="5" t="s">
        <v>355</v>
      </c>
    </row>
    <row r="7395" ht="16.5" customHeight="1">
      <c r="O7395" s="5" t="s">
        <v>355</v>
      </c>
      <c r="P7395" s="5" t="s">
        <v>355</v>
      </c>
      <c r="Q7395" s="5" t="s">
        <v>355</v>
      </c>
    </row>
    <row r="7396" ht="16.5" customHeight="1">
      <c r="O7396" s="5" t="s">
        <v>355</v>
      </c>
      <c r="P7396" s="5" t="s">
        <v>355</v>
      </c>
      <c r="Q7396" s="5" t="s">
        <v>355</v>
      </c>
    </row>
    <row r="7397" ht="16.5" customHeight="1">
      <c r="O7397" s="5" t="s">
        <v>355</v>
      </c>
      <c r="P7397" s="5" t="s">
        <v>355</v>
      </c>
      <c r="Q7397" s="5" t="s">
        <v>355</v>
      </c>
    </row>
    <row r="7398" ht="16.5" customHeight="1">
      <c r="O7398" s="5" t="s">
        <v>355</v>
      </c>
      <c r="P7398" s="5" t="s">
        <v>355</v>
      </c>
      <c r="Q7398" s="5" t="s">
        <v>355</v>
      </c>
    </row>
    <row r="7399" ht="16.5" customHeight="1">
      <c r="O7399" s="5" t="s">
        <v>355</v>
      </c>
      <c r="P7399" s="5" t="s">
        <v>355</v>
      </c>
      <c r="Q7399" s="5" t="s">
        <v>355</v>
      </c>
    </row>
    <row r="7400" ht="16.5" customHeight="1">
      <c r="O7400" s="5" t="s">
        <v>355</v>
      </c>
      <c r="P7400" s="5" t="s">
        <v>355</v>
      </c>
      <c r="Q7400" s="5" t="s">
        <v>355</v>
      </c>
    </row>
    <row r="7401" ht="16.5" customHeight="1">
      <c r="O7401" s="5" t="s">
        <v>355</v>
      </c>
      <c r="P7401" s="5" t="s">
        <v>355</v>
      </c>
      <c r="Q7401" s="5" t="s">
        <v>355</v>
      </c>
    </row>
    <row r="7402" ht="16.5" customHeight="1">
      <c r="O7402" s="5" t="s">
        <v>355</v>
      </c>
      <c r="P7402" s="5" t="s">
        <v>355</v>
      </c>
      <c r="Q7402" s="5" t="s">
        <v>355</v>
      </c>
    </row>
    <row r="7403" ht="16.5" customHeight="1">
      <c r="O7403" s="5" t="s">
        <v>355</v>
      </c>
      <c r="P7403" s="5" t="s">
        <v>355</v>
      </c>
      <c r="Q7403" s="5" t="s">
        <v>355</v>
      </c>
    </row>
    <row r="7404" ht="16.5" customHeight="1">
      <c r="O7404" s="5" t="s">
        <v>355</v>
      </c>
      <c r="P7404" s="5" t="s">
        <v>355</v>
      </c>
      <c r="Q7404" s="5" t="s">
        <v>355</v>
      </c>
    </row>
    <row r="7405" ht="16.5" customHeight="1">
      <c r="O7405" s="5" t="s">
        <v>355</v>
      </c>
      <c r="P7405" s="5" t="s">
        <v>355</v>
      </c>
      <c r="Q7405" s="5" t="s">
        <v>355</v>
      </c>
    </row>
    <row r="7406" ht="16.5" customHeight="1">
      <c r="O7406" s="5" t="s">
        <v>355</v>
      </c>
      <c r="P7406" s="5" t="s">
        <v>355</v>
      </c>
      <c r="Q7406" s="5" t="s">
        <v>355</v>
      </c>
    </row>
    <row r="7407" ht="16.5" customHeight="1">
      <c r="O7407" s="5" t="s">
        <v>355</v>
      </c>
      <c r="P7407" s="5" t="s">
        <v>355</v>
      </c>
      <c r="Q7407" s="5" t="s">
        <v>355</v>
      </c>
    </row>
    <row r="7408" ht="16.5" customHeight="1">
      <c r="O7408" s="5" t="s">
        <v>355</v>
      </c>
      <c r="P7408" s="5" t="s">
        <v>355</v>
      </c>
      <c r="Q7408" s="5" t="s">
        <v>355</v>
      </c>
    </row>
    <row r="7409" ht="16.5" customHeight="1">
      <c r="O7409" s="5" t="s">
        <v>355</v>
      </c>
      <c r="P7409" s="5" t="s">
        <v>355</v>
      </c>
      <c r="Q7409" s="5" t="s">
        <v>355</v>
      </c>
    </row>
    <row r="7410" ht="16.5" customHeight="1">
      <c r="O7410" s="5" t="s">
        <v>355</v>
      </c>
      <c r="P7410" s="5" t="s">
        <v>355</v>
      </c>
      <c r="Q7410" s="5" t="s">
        <v>355</v>
      </c>
    </row>
    <row r="7411" ht="16.5" customHeight="1">
      <c r="O7411" s="5" t="s">
        <v>355</v>
      </c>
      <c r="P7411" s="5" t="s">
        <v>355</v>
      </c>
      <c r="Q7411" s="5" t="s">
        <v>355</v>
      </c>
    </row>
    <row r="7412" ht="16.5" customHeight="1">
      <c r="O7412" s="5" t="s">
        <v>355</v>
      </c>
      <c r="P7412" s="5" t="s">
        <v>355</v>
      </c>
      <c r="Q7412" s="5" t="s">
        <v>355</v>
      </c>
    </row>
    <row r="7413" ht="16.5" customHeight="1">
      <c r="O7413" s="5" t="s">
        <v>355</v>
      </c>
      <c r="P7413" s="5" t="s">
        <v>355</v>
      </c>
      <c r="Q7413" s="5" t="s">
        <v>355</v>
      </c>
    </row>
    <row r="7414" ht="16.5" customHeight="1">
      <c r="O7414" s="5" t="s">
        <v>355</v>
      </c>
      <c r="P7414" s="5" t="s">
        <v>355</v>
      </c>
      <c r="Q7414" s="5" t="s">
        <v>355</v>
      </c>
    </row>
    <row r="7415" ht="16.5" customHeight="1">
      <c r="O7415" s="5" t="s">
        <v>355</v>
      </c>
      <c r="P7415" s="5" t="s">
        <v>355</v>
      </c>
      <c r="Q7415" s="5" t="s">
        <v>355</v>
      </c>
    </row>
    <row r="7416" ht="16.5" customHeight="1">
      <c r="O7416" s="5" t="s">
        <v>355</v>
      </c>
      <c r="P7416" s="5" t="s">
        <v>355</v>
      </c>
      <c r="Q7416" s="5" t="s">
        <v>355</v>
      </c>
    </row>
    <row r="7417" ht="16.5" customHeight="1">
      <c r="O7417" s="5" t="s">
        <v>355</v>
      </c>
      <c r="P7417" s="5" t="s">
        <v>355</v>
      </c>
      <c r="Q7417" s="5" t="s">
        <v>355</v>
      </c>
    </row>
    <row r="7418" ht="16.5" customHeight="1">
      <c r="O7418" s="5" t="s">
        <v>355</v>
      </c>
      <c r="P7418" s="5" t="s">
        <v>355</v>
      </c>
      <c r="Q7418" s="5" t="s">
        <v>355</v>
      </c>
    </row>
    <row r="7419" ht="16.5" customHeight="1">
      <c r="O7419" s="5" t="s">
        <v>355</v>
      </c>
      <c r="P7419" s="5" t="s">
        <v>355</v>
      </c>
      <c r="Q7419" s="5" t="s">
        <v>355</v>
      </c>
    </row>
    <row r="7420" ht="16.5" customHeight="1">
      <c r="O7420" s="5" t="s">
        <v>355</v>
      </c>
      <c r="P7420" s="5" t="s">
        <v>355</v>
      </c>
      <c r="Q7420" s="5" t="s">
        <v>355</v>
      </c>
    </row>
    <row r="7421" ht="16.5" customHeight="1">
      <c r="O7421" s="5" t="s">
        <v>355</v>
      </c>
      <c r="P7421" s="5" t="s">
        <v>355</v>
      </c>
      <c r="Q7421" s="5" t="s">
        <v>355</v>
      </c>
    </row>
    <row r="7422" ht="16.5" customHeight="1">
      <c r="O7422" s="5" t="s">
        <v>355</v>
      </c>
      <c r="P7422" s="5" t="s">
        <v>355</v>
      </c>
      <c r="Q7422" s="5" t="s">
        <v>355</v>
      </c>
    </row>
    <row r="7423" ht="16.5" customHeight="1">
      <c r="O7423" s="5" t="s">
        <v>355</v>
      </c>
      <c r="P7423" s="5" t="s">
        <v>355</v>
      </c>
      <c r="Q7423" s="5" t="s">
        <v>355</v>
      </c>
    </row>
    <row r="7424" ht="16.5" customHeight="1">
      <c r="O7424" s="5" t="s">
        <v>355</v>
      </c>
      <c r="P7424" s="5" t="s">
        <v>355</v>
      </c>
      <c r="Q7424" s="5" t="s">
        <v>355</v>
      </c>
    </row>
    <row r="7425" ht="16.5" customHeight="1">
      <c r="O7425" s="5" t="s">
        <v>355</v>
      </c>
      <c r="P7425" s="5" t="s">
        <v>355</v>
      </c>
      <c r="Q7425" s="5" t="s">
        <v>355</v>
      </c>
    </row>
    <row r="7426" ht="16.5" customHeight="1">
      <c r="O7426" s="5" t="s">
        <v>355</v>
      </c>
      <c r="P7426" s="5" t="s">
        <v>355</v>
      </c>
      <c r="Q7426" s="5" t="s">
        <v>355</v>
      </c>
    </row>
    <row r="7427" ht="16.5" customHeight="1">
      <c r="O7427" s="5" t="s">
        <v>355</v>
      </c>
      <c r="P7427" s="5" t="s">
        <v>355</v>
      </c>
      <c r="Q7427" s="5" t="s">
        <v>355</v>
      </c>
    </row>
    <row r="7428" ht="16.5" customHeight="1">
      <c r="O7428" s="5" t="s">
        <v>355</v>
      </c>
      <c r="P7428" s="5" t="s">
        <v>355</v>
      </c>
      <c r="Q7428" s="5" t="s">
        <v>355</v>
      </c>
    </row>
    <row r="7429" ht="16.5" customHeight="1">
      <c r="O7429" s="5" t="s">
        <v>355</v>
      </c>
      <c r="P7429" s="5" t="s">
        <v>355</v>
      </c>
      <c r="Q7429" s="5" t="s">
        <v>355</v>
      </c>
    </row>
    <row r="7430" ht="16.5" customHeight="1">
      <c r="O7430" s="5" t="s">
        <v>355</v>
      </c>
      <c r="P7430" s="5" t="s">
        <v>355</v>
      </c>
      <c r="Q7430" s="5" t="s">
        <v>355</v>
      </c>
    </row>
    <row r="7431" ht="16.5" customHeight="1">
      <c r="O7431" s="5" t="s">
        <v>355</v>
      </c>
      <c r="P7431" s="5" t="s">
        <v>355</v>
      </c>
      <c r="Q7431" s="5" t="s">
        <v>355</v>
      </c>
    </row>
    <row r="7432" ht="16.5" customHeight="1">
      <c r="O7432" s="5" t="s">
        <v>355</v>
      </c>
      <c r="P7432" s="5" t="s">
        <v>355</v>
      </c>
      <c r="Q7432" s="5" t="s">
        <v>355</v>
      </c>
    </row>
    <row r="7433" ht="16.5" customHeight="1">
      <c r="O7433" s="5" t="s">
        <v>355</v>
      </c>
      <c r="P7433" s="5" t="s">
        <v>355</v>
      </c>
      <c r="Q7433" s="5" t="s">
        <v>355</v>
      </c>
    </row>
    <row r="7434" ht="16.5" customHeight="1">
      <c r="O7434" s="5" t="s">
        <v>355</v>
      </c>
      <c r="P7434" s="5" t="s">
        <v>355</v>
      </c>
      <c r="Q7434" s="5" t="s">
        <v>355</v>
      </c>
    </row>
    <row r="7435" ht="16.5" customHeight="1">
      <c r="O7435" s="5" t="s">
        <v>355</v>
      </c>
      <c r="P7435" s="5" t="s">
        <v>355</v>
      </c>
      <c r="Q7435" s="5" t="s">
        <v>355</v>
      </c>
    </row>
    <row r="7436" ht="16.5" customHeight="1">
      <c r="O7436" s="5" t="s">
        <v>355</v>
      </c>
      <c r="P7436" s="5" t="s">
        <v>355</v>
      </c>
      <c r="Q7436" s="5" t="s">
        <v>355</v>
      </c>
    </row>
    <row r="7437" ht="16.5" customHeight="1">
      <c r="O7437" s="5" t="s">
        <v>355</v>
      </c>
      <c r="P7437" s="5" t="s">
        <v>355</v>
      </c>
      <c r="Q7437" s="5" t="s">
        <v>355</v>
      </c>
    </row>
    <row r="7438" ht="16.5" customHeight="1">
      <c r="O7438" s="5" t="s">
        <v>355</v>
      </c>
      <c r="P7438" s="5" t="s">
        <v>355</v>
      </c>
      <c r="Q7438" s="5" t="s">
        <v>355</v>
      </c>
    </row>
    <row r="7439" ht="16.5" customHeight="1">
      <c r="O7439" s="5" t="s">
        <v>355</v>
      </c>
      <c r="P7439" s="5" t="s">
        <v>355</v>
      </c>
      <c r="Q7439" s="5" t="s">
        <v>355</v>
      </c>
    </row>
    <row r="7440" ht="16.5" customHeight="1">
      <c r="O7440" s="5" t="s">
        <v>355</v>
      </c>
      <c r="P7440" s="5" t="s">
        <v>355</v>
      </c>
      <c r="Q7440" s="5" t="s">
        <v>355</v>
      </c>
    </row>
    <row r="7441" ht="16.5" customHeight="1">
      <c r="O7441" s="5" t="s">
        <v>355</v>
      </c>
      <c r="P7441" s="5" t="s">
        <v>355</v>
      </c>
      <c r="Q7441" s="5" t="s">
        <v>355</v>
      </c>
    </row>
    <row r="7442" ht="16.5" customHeight="1">
      <c r="O7442" s="5" t="s">
        <v>355</v>
      </c>
      <c r="P7442" s="5" t="s">
        <v>355</v>
      </c>
      <c r="Q7442" s="5" t="s">
        <v>355</v>
      </c>
    </row>
    <row r="7443" ht="16.5" customHeight="1">
      <c r="O7443" s="5" t="s">
        <v>355</v>
      </c>
      <c r="P7443" s="5" t="s">
        <v>355</v>
      </c>
      <c r="Q7443" s="5" t="s">
        <v>355</v>
      </c>
    </row>
    <row r="7444" ht="16.5" customHeight="1">
      <c r="O7444" s="5" t="s">
        <v>355</v>
      </c>
      <c r="P7444" s="5" t="s">
        <v>355</v>
      </c>
      <c r="Q7444" s="5" t="s">
        <v>355</v>
      </c>
    </row>
    <row r="7445" ht="16.5" customHeight="1">
      <c r="O7445" s="5" t="s">
        <v>355</v>
      </c>
      <c r="P7445" s="5" t="s">
        <v>355</v>
      </c>
      <c r="Q7445" s="5" t="s">
        <v>355</v>
      </c>
    </row>
    <row r="7446" ht="16.5" customHeight="1">
      <c r="O7446" s="5" t="s">
        <v>355</v>
      </c>
      <c r="P7446" s="5" t="s">
        <v>355</v>
      </c>
      <c r="Q7446" s="5" t="s">
        <v>355</v>
      </c>
    </row>
    <row r="7447" ht="16.5" customHeight="1">
      <c r="O7447" s="5" t="s">
        <v>355</v>
      </c>
      <c r="P7447" s="5" t="s">
        <v>355</v>
      </c>
      <c r="Q7447" s="5" t="s">
        <v>355</v>
      </c>
    </row>
    <row r="7448" ht="16.5" customHeight="1">
      <c r="O7448" s="5" t="s">
        <v>355</v>
      </c>
      <c r="P7448" s="5" t="s">
        <v>355</v>
      </c>
      <c r="Q7448" s="5" t="s">
        <v>355</v>
      </c>
    </row>
    <row r="7449" ht="16.5" customHeight="1">
      <c r="O7449" s="5" t="s">
        <v>355</v>
      </c>
      <c r="P7449" s="5" t="s">
        <v>355</v>
      </c>
      <c r="Q7449" s="5" t="s">
        <v>355</v>
      </c>
    </row>
    <row r="7450" ht="16.5" customHeight="1">
      <c r="O7450" s="5" t="s">
        <v>355</v>
      </c>
      <c r="P7450" s="5" t="s">
        <v>355</v>
      </c>
      <c r="Q7450" s="5" t="s">
        <v>355</v>
      </c>
    </row>
    <row r="7451" ht="16.5" customHeight="1">
      <c r="O7451" s="5" t="s">
        <v>355</v>
      </c>
      <c r="P7451" s="5" t="s">
        <v>355</v>
      </c>
      <c r="Q7451" s="5" t="s">
        <v>355</v>
      </c>
    </row>
    <row r="7452" ht="16.5" customHeight="1">
      <c r="O7452" s="5" t="s">
        <v>355</v>
      </c>
      <c r="P7452" s="5" t="s">
        <v>355</v>
      </c>
      <c r="Q7452" s="5" t="s">
        <v>355</v>
      </c>
    </row>
    <row r="7453" ht="16.5" customHeight="1">
      <c r="O7453" s="5" t="s">
        <v>355</v>
      </c>
      <c r="P7453" s="5" t="s">
        <v>355</v>
      </c>
      <c r="Q7453" s="5" t="s">
        <v>355</v>
      </c>
    </row>
    <row r="7454" ht="16.5" customHeight="1">
      <c r="O7454" s="5" t="s">
        <v>355</v>
      </c>
      <c r="P7454" s="5" t="s">
        <v>355</v>
      </c>
      <c r="Q7454" s="5" t="s">
        <v>355</v>
      </c>
    </row>
    <row r="7455" ht="16.5" customHeight="1">
      <c r="O7455" s="5" t="s">
        <v>355</v>
      </c>
      <c r="P7455" s="5" t="s">
        <v>355</v>
      </c>
      <c r="Q7455" s="5" t="s">
        <v>355</v>
      </c>
    </row>
    <row r="7456" ht="16.5" customHeight="1">
      <c r="O7456" s="5" t="s">
        <v>355</v>
      </c>
      <c r="P7456" s="5" t="s">
        <v>355</v>
      </c>
      <c r="Q7456" s="5" t="s">
        <v>355</v>
      </c>
    </row>
    <row r="7457" ht="16.5" customHeight="1">
      <c r="O7457" s="5" t="s">
        <v>355</v>
      </c>
      <c r="P7457" s="5" t="s">
        <v>355</v>
      </c>
      <c r="Q7457" s="5" t="s">
        <v>355</v>
      </c>
    </row>
    <row r="7458" ht="16.5" customHeight="1">
      <c r="O7458" s="5" t="s">
        <v>355</v>
      </c>
      <c r="P7458" s="5" t="s">
        <v>355</v>
      </c>
      <c r="Q7458" s="5" t="s">
        <v>355</v>
      </c>
    </row>
    <row r="7459" ht="16.5" customHeight="1">
      <c r="O7459" s="5" t="s">
        <v>355</v>
      </c>
      <c r="P7459" s="5" t="s">
        <v>355</v>
      </c>
      <c r="Q7459" s="5" t="s">
        <v>355</v>
      </c>
    </row>
    <row r="7460" ht="16.5" customHeight="1">
      <c r="O7460" s="5" t="s">
        <v>355</v>
      </c>
      <c r="P7460" s="5" t="s">
        <v>355</v>
      </c>
      <c r="Q7460" s="5" t="s">
        <v>355</v>
      </c>
    </row>
    <row r="7461" ht="16.5" customHeight="1">
      <c r="O7461" s="5" t="s">
        <v>355</v>
      </c>
      <c r="P7461" s="5" t="s">
        <v>355</v>
      </c>
      <c r="Q7461" s="5" t="s">
        <v>355</v>
      </c>
    </row>
    <row r="7462" ht="16.5" customHeight="1">
      <c r="O7462" s="5" t="s">
        <v>355</v>
      </c>
      <c r="P7462" s="5" t="s">
        <v>355</v>
      </c>
      <c r="Q7462" s="5" t="s">
        <v>355</v>
      </c>
    </row>
    <row r="7463" ht="16.5" customHeight="1">
      <c r="O7463" s="5" t="s">
        <v>355</v>
      </c>
      <c r="P7463" s="5" t="s">
        <v>355</v>
      </c>
      <c r="Q7463" s="5" t="s">
        <v>355</v>
      </c>
    </row>
    <row r="7464" ht="16.5" customHeight="1">
      <c r="O7464" s="5" t="s">
        <v>355</v>
      </c>
      <c r="P7464" s="5" t="s">
        <v>355</v>
      </c>
      <c r="Q7464" s="5" t="s">
        <v>355</v>
      </c>
    </row>
    <row r="7465" ht="16.5" customHeight="1">
      <c r="O7465" s="5" t="s">
        <v>355</v>
      </c>
      <c r="P7465" s="5" t="s">
        <v>355</v>
      </c>
      <c r="Q7465" s="5" t="s">
        <v>355</v>
      </c>
    </row>
    <row r="7466" ht="16.5" customHeight="1">
      <c r="O7466" s="5" t="s">
        <v>355</v>
      </c>
      <c r="P7466" s="5" t="s">
        <v>355</v>
      </c>
      <c r="Q7466" s="5" t="s">
        <v>355</v>
      </c>
    </row>
    <row r="7467" ht="16.5" customHeight="1">
      <c r="O7467" s="5" t="s">
        <v>355</v>
      </c>
      <c r="P7467" s="5" t="s">
        <v>355</v>
      </c>
      <c r="Q7467" s="5" t="s">
        <v>355</v>
      </c>
    </row>
    <row r="7468" ht="16.5" customHeight="1">
      <c r="O7468" s="5" t="s">
        <v>355</v>
      </c>
      <c r="P7468" s="5" t="s">
        <v>355</v>
      </c>
      <c r="Q7468" s="5" t="s">
        <v>355</v>
      </c>
    </row>
    <row r="7469" ht="16.5" customHeight="1">
      <c r="O7469" s="5" t="s">
        <v>355</v>
      </c>
      <c r="P7469" s="5" t="s">
        <v>355</v>
      </c>
      <c r="Q7469" s="5" t="s">
        <v>355</v>
      </c>
    </row>
    <row r="7470" ht="16.5" customHeight="1">
      <c r="O7470" s="5" t="s">
        <v>355</v>
      </c>
      <c r="P7470" s="5" t="s">
        <v>355</v>
      </c>
      <c r="Q7470" s="5" t="s">
        <v>355</v>
      </c>
    </row>
    <row r="7471" ht="16.5" customHeight="1">
      <c r="O7471" s="5" t="s">
        <v>355</v>
      </c>
      <c r="P7471" s="5" t="s">
        <v>355</v>
      </c>
      <c r="Q7471" s="5" t="s">
        <v>355</v>
      </c>
    </row>
    <row r="7472" ht="16.5" customHeight="1">
      <c r="O7472" s="5" t="s">
        <v>355</v>
      </c>
      <c r="P7472" s="5" t="s">
        <v>355</v>
      </c>
      <c r="Q7472" s="5" t="s">
        <v>355</v>
      </c>
    </row>
    <row r="7473" ht="16.5" customHeight="1">
      <c r="O7473" s="5" t="s">
        <v>355</v>
      </c>
      <c r="P7473" s="5" t="s">
        <v>355</v>
      </c>
      <c r="Q7473" s="5" t="s">
        <v>355</v>
      </c>
    </row>
    <row r="7474" ht="16.5" customHeight="1">
      <c r="O7474" s="5" t="s">
        <v>355</v>
      </c>
      <c r="P7474" s="5" t="s">
        <v>355</v>
      </c>
      <c r="Q7474" s="5" t="s">
        <v>355</v>
      </c>
    </row>
    <row r="7475" ht="16.5" customHeight="1">
      <c r="O7475" s="5" t="s">
        <v>355</v>
      </c>
      <c r="P7475" s="5" t="s">
        <v>355</v>
      </c>
      <c r="Q7475" s="5" t="s">
        <v>355</v>
      </c>
    </row>
    <row r="7476" ht="16.5" customHeight="1">
      <c r="O7476" s="5" t="s">
        <v>355</v>
      </c>
      <c r="P7476" s="5" t="s">
        <v>355</v>
      </c>
      <c r="Q7476" s="5" t="s">
        <v>355</v>
      </c>
    </row>
    <row r="7477" ht="16.5" customHeight="1">
      <c r="O7477" s="5" t="s">
        <v>355</v>
      </c>
      <c r="P7477" s="5" t="s">
        <v>355</v>
      </c>
      <c r="Q7477" s="5" t="s">
        <v>355</v>
      </c>
    </row>
    <row r="7478" ht="16.5" customHeight="1">
      <c r="O7478" s="5" t="s">
        <v>355</v>
      </c>
      <c r="P7478" s="5" t="s">
        <v>355</v>
      </c>
      <c r="Q7478" s="5" t="s">
        <v>355</v>
      </c>
    </row>
    <row r="7479" ht="16.5" customHeight="1">
      <c r="O7479" s="5" t="s">
        <v>355</v>
      </c>
      <c r="P7479" s="5" t="s">
        <v>355</v>
      </c>
      <c r="Q7479" s="5" t="s">
        <v>355</v>
      </c>
    </row>
    <row r="7480" ht="16.5" customHeight="1">
      <c r="O7480" s="5" t="s">
        <v>355</v>
      </c>
      <c r="P7480" s="5" t="s">
        <v>355</v>
      </c>
      <c r="Q7480" s="5" t="s">
        <v>355</v>
      </c>
    </row>
    <row r="7481" ht="16.5" customHeight="1">
      <c r="O7481" s="5" t="s">
        <v>355</v>
      </c>
      <c r="P7481" s="5" t="s">
        <v>355</v>
      </c>
      <c r="Q7481" s="5" t="s">
        <v>355</v>
      </c>
    </row>
    <row r="7482" ht="16.5" customHeight="1">
      <c r="O7482" s="5" t="s">
        <v>355</v>
      </c>
      <c r="P7482" s="5" t="s">
        <v>355</v>
      </c>
      <c r="Q7482" s="5" t="s">
        <v>355</v>
      </c>
    </row>
    <row r="7483" ht="16.5" customHeight="1">
      <c r="O7483" s="5" t="s">
        <v>355</v>
      </c>
      <c r="P7483" s="5" t="s">
        <v>355</v>
      </c>
      <c r="Q7483" s="5" t="s">
        <v>355</v>
      </c>
    </row>
    <row r="7484" ht="16.5" customHeight="1">
      <c r="O7484" s="5" t="s">
        <v>355</v>
      </c>
      <c r="P7484" s="5" t="s">
        <v>355</v>
      </c>
      <c r="Q7484" s="5" t="s">
        <v>355</v>
      </c>
    </row>
    <row r="7485" ht="16.5" customHeight="1">
      <c r="O7485" s="5" t="s">
        <v>355</v>
      </c>
      <c r="P7485" s="5" t="s">
        <v>355</v>
      </c>
      <c r="Q7485" s="5" t="s">
        <v>355</v>
      </c>
    </row>
    <row r="7486" ht="16.5" customHeight="1">
      <c r="O7486" s="5" t="s">
        <v>355</v>
      </c>
      <c r="P7486" s="5" t="s">
        <v>355</v>
      </c>
      <c r="Q7486" s="5" t="s">
        <v>355</v>
      </c>
    </row>
    <row r="7487" ht="16.5" customHeight="1">
      <c r="O7487" s="5" t="s">
        <v>355</v>
      </c>
      <c r="P7487" s="5" t="s">
        <v>355</v>
      </c>
      <c r="Q7487" s="5" t="s">
        <v>355</v>
      </c>
    </row>
    <row r="7488" ht="16.5" customHeight="1">
      <c r="O7488" s="5" t="s">
        <v>355</v>
      </c>
      <c r="P7488" s="5" t="s">
        <v>355</v>
      </c>
      <c r="Q7488" s="5" t="s">
        <v>355</v>
      </c>
    </row>
    <row r="7489" ht="16.5" customHeight="1">
      <c r="O7489" s="5" t="s">
        <v>355</v>
      </c>
      <c r="P7489" s="5" t="s">
        <v>355</v>
      </c>
      <c r="Q7489" s="5" t="s">
        <v>355</v>
      </c>
    </row>
    <row r="7490" ht="16.5" customHeight="1">
      <c r="O7490" s="5" t="s">
        <v>355</v>
      </c>
      <c r="P7490" s="5" t="s">
        <v>355</v>
      </c>
      <c r="Q7490" s="5" t="s">
        <v>355</v>
      </c>
    </row>
    <row r="7491" ht="16.5" customHeight="1">
      <c r="O7491" s="5" t="s">
        <v>355</v>
      </c>
      <c r="P7491" s="5" t="s">
        <v>355</v>
      </c>
      <c r="Q7491" s="5" t="s">
        <v>355</v>
      </c>
    </row>
    <row r="7492" ht="16.5" customHeight="1">
      <c r="O7492" s="5" t="s">
        <v>355</v>
      </c>
      <c r="P7492" s="5" t="s">
        <v>355</v>
      </c>
      <c r="Q7492" s="5" t="s">
        <v>355</v>
      </c>
    </row>
    <row r="7493" ht="16.5" customHeight="1">
      <c r="O7493" s="5" t="s">
        <v>355</v>
      </c>
      <c r="P7493" s="5" t="s">
        <v>355</v>
      </c>
      <c r="Q7493" s="5" t="s">
        <v>355</v>
      </c>
    </row>
    <row r="7494" ht="16.5" customHeight="1">
      <c r="O7494" s="5" t="s">
        <v>355</v>
      </c>
      <c r="P7494" s="5" t="s">
        <v>355</v>
      </c>
      <c r="Q7494" s="5" t="s">
        <v>355</v>
      </c>
    </row>
    <row r="7495" ht="16.5" customHeight="1">
      <c r="O7495" s="5" t="s">
        <v>355</v>
      </c>
      <c r="P7495" s="5" t="s">
        <v>355</v>
      </c>
      <c r="Q7495" s="5" t="s">
        <v>355</v>
      </c>
    </row>
    <row r="7496" ht="16.5" customHeight="1">
      <c r="O7496" s="5" t="s">
        <v>355</v>
      </c>
      <c r="P7496" s="5" t="s">
        <v>355</v>
      </c>
      <c r="Q7496" s="5" t="s">
        <v>355</v>
      </c>
    </row>
    <row r="7497" ht="16.5" customHeight="1">
      <c r="O7497" s="5" t="s">
        <v>355</v>
      </c>
      <c r="P7497" s="5" t="s">
        <v>355</v>
      </c>
      <c r="Q7497" s="5" t="s">
        <v>355</v>
      </c>
    </row>
    <row r="7498" ht="16.5" customHeight="1">
      <c r="O7498" s="5" t="s">
        <v>355</v>
      </c>
      <c r="P7498" s="5" t="s">
        <v>355</v>
      </c>
      <c r="Q7498" s="5" t="s">
        <v>355</v>
      </c>
    </row>
    <row r="7499" ht="16.5" customHeight="1">
      <c r="O7499" s="5" t="s">
        <v>355</v>
      </c>
      <c r="P7499" s="5" t="s">
        <v>355</v>
      </c>
      <c r="Q7499" s="5" t="s">
        <v>355</v>
      </c>
    </row>
    <row r="7500" ht="16.5" customHeight="1">
      <c r="O7500" s="5" t="s">
        <v>355</v>
      </c>
      <c r="P7500" s="5" t="s">
        <v>355</v>
      </c>
      <c r="Q7500" s="5" t="s">
        <v>355</v>
      </c>
    </row>
    <row r="7501" ht="16.5" customHeight="1">
      <c r="O7501" s="5" t="s">
        <v>355</v>
      </c>
      <c r="P7501" s="5" t="s">
        <v>355</v>
      </c>
      <c r="Q7501" s="5" t="s">
        <v>355</v>
      </c>
    </row>
    <row r="7502" ht="16.5" customHeight="1">
      <c r="O7502" s="5" t="s">
        <v>355</v>
      </c>
      <c r="P7502" s="5" t="s">
        <v>355</v>
      </c>
      <c r="Q7502" s="5" t="s">
        <v>355</v>
      </c>
    </row>
    <row r="7503" ht="16.5" customHeight="1">
      <c r="O7503" s="5" t="s">
        <v>355</v>
      </c>
      <c r="P7503" s="5" t="s">
        <v>355</v>
      </c>
      <c r="Q7503" s="5" t="s">
        <v>355</v>
      </c>
    </row>
    <row r="7504" ht="16.5" customHeight="1">
      <c r="O7504" s="5" t="s">
        <v>355</v>
      </c>
      <c r="P7504" s="5" t="s">
        <v>355</v>
      </c>
      <c r="Q7504" s="5" t="s">
        <v>355</v>
      </c>
    </row>
    <row r="7505" ht="16.5" customHeight="1">
      <c r="O7505" s="5" t="s">
        <v>355</v>
      </c>
      <c r="P7505" s="5" t="s">
        <v>355</v>
      </c>
      <c r="Q7505" s="5" t="s">
        <v>355</v>
      </c>
    </row>
    <row r="7506" ht="16.5" customHeight="1">
      <c r="O7506" s="5" t="s">
        <v>355</v>
      </c>
      <c r="P7506" s="5" t="s">
        <v>355</v>
      </c>
      <c r="Q7506" s="5" t="s">
        <v>355</v>
      </c>
    </row>
    <row r="7507" ht="16.5" customHeight="1">
      <c r="O7507" s="5" t="s">
        <v>355</v>
      </c>
      <c r="P7507" s="5" t="s">
        <v>355</v>
      </c>
      <c r="Q7507" s="5" t="s">
        <v>355</v>
      </c>
    </row>
    <row r="7508" ht="16.5" customHeight="1">
      <c r="O7508" s="5" t="s">
        <v>355</v>
      </c>
      <c r="P7508" s="5" t="s">
        <v>355</v>
      </c>
      <c r="Q7508" s="5" t="s">
        <v>355</v>
      </c>
    </row>
    <row r="7509" ht="16.5" customHeight="1">
      <c r="O7509" s="5" t="s">
        <v>355</v>
      </c>
      <c r="P7509" s="5" t="s">
        <v>355</v>
      </c>
      <c r="Q7509" s="5" t="s">
        <v>355</v>
      </c>
    </row>
    <row r="7510" ht="16.5" customHeight="1">
      <c r="O7510" s="5" t="s">
        <v>355</v>
      </c>
      <c r="P7510" s="5" t="s">
        <v>355</v>
      </c>
      <c r="Q7510" s="5" t="s">
        <v>355</v>
      </c>
    </row>
    <row r="7511" ht="16.5" customHeight="1">
      <c r="O7511" s="5" t="s">
        <v>355</v>
      </c>
      <c r="P7511" s="5" t="s">
        <v>355</v>
      </c>
      <c r="Q7511" s="5" t="s">
        <v>355</v>
      </c>
    </row>
    <row r="7512" ht="16.5" customHeight="1">
      <c r="O7512" s="5" t="s">
        <v>355</v>
      </c>
      <c r="P7512" s="5" t="s">
        <v>355</v>
      </c>
      <c r="Q7512" s="5" t="s">
        <v>355</v>
      </c>
    </row>
    <row r="7513" ht="16.5" customHeight="1">
      <c r="O7513" s="5" t="s">
        <v>355</v>
      </c>
      <c r="P7513" s="5" t="s">
        <v>355</v>
      </c>
      <c r="Q7513" s="5" t="s">
        <v>355</v>
      </c>
    </row>
    <row r="7514" ht="16.5" customHeight="1">
      <c r="O7514" s="5" t="s">
        <v>355</v>
      </c>
      <c r="P7514" s="5" t="s">
        <v>355</v>
      </c>
      <c r="Q7514" s="5" t="s">
        <v>355</v>
      </c>
    </row>
    <row r="7515" ht="16.5" customHeight="1">
      <c r="O7515" s="5" t="s">
        <v>355</v>
      </c>
      <c r="P7515" s="5" t="s">
        <v>355</v>
      </c>
      <c r="Q7515" s="5" t="s">
        <v>355</v>
      </c>
    </row>
    <row r="7516" ht="16.5" customHeight="1">
      <c r="O7516" s="5" t="s">
        <v>355</v>
      </c>
      <c r="P7516" s="5" t="s">
        <v>355</v>
      </c>
      <c r="Q7516" s="5" t="s">
        <v>355</v>
      </c>
    </row>
    <row r="7517" ht="16.5" customHeight="1">
      <c r="O7517" s="5" t="s">
        <v>355</v>
      </c>
      <c r="P7517" s="5" t="s">
        <v>355</v>
      </c>
      <c r="Q7517" s="5" t="s">
        <v>355</v>
      </c>
    </row>
    <row r="7518" ht="16.5" customHeight="1">
      <c r="O7518" s="5" t="s">
        <v>355</v>
      </c>
      <c r="P7518" s="5" t="s">
        <v>355</v>
      </c>
      <c r="Q7518" s="5" t="s">
        <v>355</v>
      </c>
    </row>
    <row r="7519" ht="16.5" customHeight="1">
      <c r="O7519" s="5" t="s">
        <v>355</v>
      </c>
      <c r="P7519" s="5" t="s">
        <v>355</v>
      </c>
      <c r="Q7519" s="5" t="s">
        <v>355</v>
      </c>
    </row>
    <row r="7520" ht="16.5" customHeight="1">
      <c r="O7520" s="5" t="s">
        <v>355</v>
      </c>
      <c r="P7520" s="5" t="s">
        <v>355</v>
      </c>
      <c r="Q7520" s="5" t="s">
        <v>355</v>
      </c>
    </row>
    <row r="7521" ht="16.5" customHeight="1">
      <c r="O7521" s="5" t="s">
        <v>355</v>
      </c>
      <c r="P7521" s="5" t="s">
        <v>355</v>
      </c>
      <c r="Q7521" s="5" t="s">
        <v>355</v>
      </c>
    </row>
    <row r="7522" ht="16.5" customHeight="1">
      <c r="O7522" s="5" t="s">
        <v>355</v>
      </c>
      <c r="P7522" s="5" t="s">
        <v>355</v>
      </c>
      <c r="Q7522" s="5" t="s">
        <v>355</v>
      </c>
    </row>
    <row r="7523" ht="16.5" customHeight="1">
      <c r="O7523" s="5" t="s">
        <v>355</v>
      </c>
      <c r="P7523" s="5" t="s">
        <v>355</v>
      </c>
      <c r="Q7523" s="5" t="s">
        <v>355</v>
      </c>
    </row>
    <row r="7524" ht="16.5" customHeight="1">
      <c r="O7524" s="5" t="s">
        <v>355</v>
      </c>
      <c r="P7524" s="5" t="s">
        <v>355</v>
      </c>
      <c r="Q7524" s="5" t="s">
        <v>355</v>
      </c>
    </row>
    <row r="7525" ht="16.5" customHeight="1">
      <c r="O7525" s="5" t="s">
        <v>355</v>
      </c>
      <c r="P7525" s="5" t="s">
        <v>355</v>
      </c>
      <c r="Q7525" s="5" t="s">
        <v>355</v>
      </c>
    </row>
    <row r="7526" ht="16.5" customHeight="1">
      <c r="O7526" s="5" t="s">
        <v>355</v>
      </c>
      <c r="P7526" s="5" t="s">
        <v>355</v>
      </c>
      <c r="Q7526" s="5" t="s">
        <v>355</v>
      </c>
    </row>
    <row r="7527" ht="16.5" customHeight="1">
      <c r="O7527" s="5" t="s">
        <v>355</v>
      </c>
      <c r="P7527" s="5" t="s">
        <v>355</v>
      </c>
      <c r="Q7527" s="5" t="s">
        <v>355</v>
      </c>
    </row>
    <row r="7528" ht="16.5" customHeight="1">
      <c r="O7528" s="5" t="s">
        <v>355</v>
      </c>
      <c r="P7528" s="5" t="s">
        <v>355</v>
      </c>
      <c r="Q7528" s="5" t="s">
        <v>355</v>
      </c>
    </row>
    <row r="7529" ht="16.5" customHeight="1">
      <c r="O7529" s="5" t="s">
        <v>355</v>
      </c>
      <c r="P7529" s="5" t="s">
        <v>355</v>
      </c>
      <c r="Q7529" s="5" t="s">
        <v>355</v>
      </c>
    </row>
    <row r="7530" ht="16.5" customHeight="1">
      <c r="O7530" s="5" t="s">
        <v>355</v>
      </c>
      <c r="P7530" s="5" t="s">
        <v>355</v>
      </c>
      <c r="Q7530" s="5" t="s">
        <v>355</v>
      </c>
    </row>
    <row r="7531" ht="16.5" customHeight="1">
      <c r="O7531" s="5" t="s">
        <v>355</v>
      </c>
      <c r="P7531" s="5" t="s">
        <v>355</v>
      </c>
      <c r="Q7531" s="5" t="s">
        <v>355</v>
      </c>
    </row>
    <row r="7532" ht="16.5" customHeight="1">
      <c r="O7532" s="5" t="s">
        <v>355</v>
      </c>
      <c r="P7532" s="5" t="s">
        <v>355</v>
      </c>
      <c r="Q7532" s="5" t="s">
        <v>355</v>
      </c>
    </row>
    <row r="7533" ht="16.5" customHeight="1">
      <c r="O7533" s="5" t="s">
        <v>355</v>
      </c>
      <c r="P7533" s="5" t="s">
        <v>355</v>
      </c>
      <c r="Q7533" s="5" t="s">
        <v>355</v>
      </c>
    </row>
    <row r="7534" ht="16.5" customHeight="1">
      <c r="O7534" s="5" t="s">
        <v>355</v>
      </c>
      <c r="P7534" s="5" t="s">
        <v>355</v>
      </c>
      <c r="Q7534" s="5" t="s">
        <v>355</v>
      </c>
    </row>
    <row r="7535" ht="16.5" customHeight="1">
      <c r="O7535" s="5" t="s">
        <v>355</v>
      </c>
      <c r="P7535" s="5" t="s">
        <v>355</v>
      </c>
      <c r="Q7535" s="5" t="s">
        <v>355</v>
      </c>
    </row>
    <row r="7536" ht="16.5" customHeight="1">
      <c r="O7536" s="5" t="s">
        <v>355</v>
      </c>
      <c r="P7536" s="5" t="s">
        <v>355</v>
      </c>
      <c r="Q7536" s="5" t="s">
        <v>355</v>
      </c>
    </row>
    <row r="7537" ht="16.5" customHeight="1">
      <c r="O7537" s="5" t="s">
        <v>355</v>
      </c>
      <c r="P7537" s="5" t="s">
        <v>355</v>
      </c>
      <c r="Q7537" s="5" t="s">
        <v>355</v>
      </c>
    </row>
    <row r="7538" ht="16.5" customHeight="1">
      <c r="O7538" s="5" t="s">
        <v>355</v>
      </c>
      <c r="P7538" s="5" t="s">
        <v>355</v>
      </c>
      <c r="Q7538" s="5" t="s">
        <v>355</v>
      </c>
    </row>
    <row r="7539" ht="16.5" customHeight="1">
      <c r="O7539" s="5" t="s">
        <v>355</v>
      </c>
      <c r="P7539" s="5" t="s">
        <v>355</v>
      </c>
      <c r="Q7539" s="5" t="s">
        <v>355</v>
      </c>
    </row>
    <row r="7540" ht="16.5" customHeight="1">
      <c r="O7540" s="5" t="s">
        <v>355</v>
      </c>
      <c r="P7540" s="5" t="s">
        <v>355</v>
      </c>
      <c r="Q7540" s="5" t="s">
        <v>355</v>
      </c>
    </row>
    <row r="7541" ht="16.5" customHeight="1">
      <c r="O7541" s="5" t="s">
        <v>355</v>
      </c>
      <c r="P7541" s="5" t="s">
        <v>355</v>
      </c>
      <c r="Q7541" s="5" t="s">
        <v>355</v>
      </c>
    </row>
    <row r="7542" ht="16.5" customHeight="1">
      <c r="O7542" s="5" t="s">
        <v>355</v>
      </c>
      <c r="P7542" s="5" t="s">
        <v>355</v>
      </c>
      <c r="Q7542" s="5" t="s">
        <v>355</v>
      </c>
    </row>
    <row r="7543" ht="16.5" customHeight="1">
      <c r="O7543" s="5" t="s">
        <v>355</v>
      </c>
      <c r="P7543" s="5" t="s">
        <v>355</v>
      </c>
      <c r="Q7543" s="5" t="s">
        <v>355</v>
      </c>
    </row>
    <row r="7544" ht="16.5" customHeight="1">
      <c r="O7544" s="5" t="s">
        <v>355</v>
      </c>
      <c r="P7544" s="5" t="s">
        <v>355</v>
      </c>
      <c r="Q7544" s="5" t="s">
        <v>355</v>
      </c>
    </row>
    <row r="7545" ht="16.5" customHeight="1">
      <c r="O7545" s="5" t="s">
        <v>355</v>
      </c>
      <c r="P7545" s="5" t="s">
        <v>355</v>
      </c>
      <c r="Q7545" s="5" t="s">
        <v>355</v>
      </c>
    </row>
    <row r="7546" ht="16.5" customHeight="1">
      <c r="O7546" s="5" t="s">
        <v>355</v>
      </c>
      <c r="P7546" s="5" t="s">
        <v>355</v>
      </c>
      <c r="Q7546" s="5" t="s">
        <v>355</v>
      </c>
    </row>
    <row r="7547" ht="16.5" customHeight="1">
      <c r="O7547" s="5" t="s">
        <v>355</v>
      </c>
      <c r="P7547" s="5" t="s">
        <v>355</v>
      </c>
      <c r="Q7547" s="5" t="s">
        <v>355</v>
      </c>
    </row>
    <row r="7548" ht="16.5" customHeight="1">
      <c r="O7548" s="5" t="s">
        <v>355</v>
      </c>
      <c r="P7548" s="5" t="s">
        <v>355</v>
      </c>
      <c r="Q7548" s="5" t="s">
        <v>355</v>
      </c>
    </row>
    <row r="7549" ht="16.5" customHeight="1">
      <c r="O7549" s="5" t="s">
        <v>355</v>
      </c>
      <c r="P7549" s="5" t="s">
        <v>355</v>
      </c>
      <c r="Q7549" s="5" t="s">
        <v>355</v>
      </c>
    </row>
    <row r="7550" ht="16.5" customHeight="1">
      <c r="O7550" s="5" t="s">
        <v>355</v>
      </c>
      <c r="P7550" s="5" t="s">
        <v>355</v>
      </c>
      <c r="Q7550" s="5" t="s">
        <v>355</v>
      </c>
    </row>
    <row r="7551" ht="16.5" customHeight="1">
      <c r="O7551" s="5" t="s">
        <v>355</v>
      </c>
      <c r="P7551" s="5" t="s">
        <v>355</v>
      </c>
      <c r="Q7551" s="5" t="s">
        <v>355</v>
      </c>
    </row>
    <row r="7552" ht="16.5" customHeight="1">
      <c r="O7552" s="5" t="s">
        <v>355</v>
      </c>
      <c r="P7552" s="5" t="s">
        <v>355</v>
      </c>
      <c r="Q7552" s="5" t="s">
        <v>355</v>
      </c>
    </row>
    <row r="7553" ht="16.5" customHeight="1">
      <c r="O7553" s="5" t="s">
        <v>355</v>
      </c>
      <c r="P7553" s="5" t="s">
        <v>355</v>
      </c>
      <c r="Q7553" s="5" t="s">
        <v>355</v>
      </c>
    </row>
    <row r="7554" ht="16.5" customHeight="1">
      <c r="O7554" s="5" t="s">
        <v>355</v>
      </c>
      <c r="P7554" s="5" t="s">
        <v>355</v>
      </c>
      <c r="Q7554" s="5" t="s">
        <v>355</v>
      </c>
    </row>
    <row r="7555" ht="16.5" customHeight="1">
      <c r="O7555" s="5" t="s">
        <v>355</v>
      </c>
      <c r="P7555" s="5" t="s">
        <v>355</v>
      </c>
      <c r="Q7555" s="5" t="s">
        <v>355</v>
      </c>
    </row>
    <row r="7556" ht="16.5" customHeight="1">
      <c r="O7556" s="5" t="s">
        <v>355</v>
      </c>
      <c r="P7556" s="5" t="s">
        <v>355</v>
      </c>
      <c r="Q7556" s="5" t="s">
        <v>355</v>
      </c>
    </row>
    <row r="7557" ht="16.5" customHeight="1">
      <c r="O7557" s="5" t="s">
        <v>355</v>
      </c>
      <c r="P7557" s="5" t="s">
        <v>355</v>
      </c>
      <c r="Q7557" s="5" t="s">
        <v>355</v>
      </c>
    </row>
    <row r="7558" ht="16.5" customHeight="1">
      <c r="O7558" s="5" t="s">
        <v>355</v>
      </c>
      <c r="P7558" s="5" t="s">
        <v>355</v>
      </c>
      <c r="Q7558" s="5" t="s">
        <v>355</v>
      </c>
    </row>
    <row r="7559" ht="16.5" customHeight="1">
      <c r="O7559" s="5" t="s">
        <v>355</v>
      </c>
      <c r="P7559" s="5" t="s">
        <v>355</v>
      </c>
      <c r="Q7559" s="5" t="s">
        <v>355</v>
      </c>
    </row>
    <row r="7560" ht="16.5" customHeight="1">
      <c r="O7560" s="5" t="s">
        <v>355</v>
      </c>
      <c r="P7560" s="5" t="s">
        <v>355</v>
      </c>
      <c r="Q7560" s="5" t="s">
        <v>355</v>
      </c>
    </row>
    <row r="7561" ht="16.5" customHeight="1">
      <c r="O7561" s="5" t="s">
        <v>355</v>
      </c>
      <c r="P7561" s="5" t="s">
        <v>355</v>
      </c>
      <c r="Q7561" s="5" t="s">
        <v>355</v>
      </c>
    </row>
    <row r="7562" ht="16.5" customHeight="1">
      <c r="O7562" s="5" t="s">
        <v>355</v>
      </c>
      <c r="P7562" s="5" t="s">
        <v>355</v>
      </c>
      <c r="Q7562" s="5" t="s">
        <v>355</v>
      </c>
    </row>
    <row r="7563" ht="16.5" customHeight="1">
      <c r="O7563" s="5" t="s">
        <v>355</v>
      </c>
      <c r="P7563" s="5" t="s">
        <v>355</v>
      </c>
      <c r="Q7563" s="5" t="s">
        <v>355</v>
      </c>
    </row>
    <row r="7564" ht="16.5" customHeight="1">
      <c r="O7564" s="5" t="s">
        <v>355</v>
      </c>
      <c r="P7564" s="5" t="s">
        <v>355</v>
      </c>
      <c r="Q7564" s="5" t="s">
        <v>355</v>
      </c>
    </row>
    <row r="7565" ht="16.5" customHeight="1">
      <c r="O7565" s="5" t="s">
        <v>355</v>
      </c>
      <c r="P7565" s="5" t="s">
        <v>355</v>
      </c>
      <c r="Q7565" s="5" t="s">
        <v>355</v>
      </c>
    </row>
    <row r="7566" ht="16.5" customHeight="1">
      <c r="O7566" s="5" t="s">
        <v>355</v>
      </c>
      <c r="P7566" s="5" t="s">
        <v>355</v>
      </c>
      <c r="Q7566" s="5" t="s">
        <v>355</v>
      </c>
    </row>
    <row r="7567" ht="16.5" customHeight="1">
      <c r="O7567" s="5" t="s">
        <v>355</v>
      </c>
      <c r="P7567" s="5" t="s">
        <v>355</v>
      </c>
      <c r="Q7567" s="5" t="s">
        <v>355</v>
      </c>
    </row>
    <row r="7568" ht="16.5" customHeight="1">
      <c r="O7568" s="5" t="s">
        <v>355</v>
      </c>
      <c r="P7568" s="5" t="s">
        <v>355</v>
      </c>
      <c r="Q7568" s="5" t="s">
        <v>355</v>
      </c>
    </row>
    <row r="7569" ht="16.5" customHeight="1">
      <c r="O7569" s="5" t="s">
        <v>355</v>
      </c>
      <c r="P7569" s="5" t="s">
        <v>355</v>
      </c>
      <c r="Q7569" s="5" t="s">
        <v>355</v>
      </c>
    </row>
    <row r="7570" ht="16.5" customHeight="1">
      <c r="O7570" s="5" t="s">
        <v>355</v>
      </c>
      <c r="P7570" s="5" t="s">
        <v>355</v>
      </c>
      <c r="Q7570" s="5" t="s">
        <v>355</v>
      </c>
    </row>
    <row r="7571" ht="16.5" customHeight="1">
      <c r="O7571" s="5" t="s">
        <v>355</v>
      </c>
      <c r="P7571" s="5" t="s">
        <v>355</v>
      </c>
      <c r="Q7571" s="5" t="s">
        <v>355</v>
      </c>
    </row>
    <row r="7572" ht="16.5" customHeight="1">
      <c r="O7572" s="5" t="s">
        <v>355</v>
      </c>
      <c r="P7572" s="5" t="s">
        <v>355</v>
      </c>
      <c r="Q7572" s="5" t="s">
        <v>355</v>
      </c>
    </row>
    <row r="7573" ht="16.5" customHeight="1">
      <c r="O7573" s="5" t="s">
        <v>355</v>
      </c>
      <c r="P7573" s="5" t="s">
        <v>355</v>
      </c>
      <c r="Q7573" s="5" t="s">
        <v>355</v>
      </c>
    </row>
    <row r="7574" ht="16.5" customHeight="1">
      <c r="O7574" s="5" t="s">
        <v>355</v>
      </c>
      <c r="P7574" s="5" t="s">
        <v>355</v>
      </c>
      <c r="Q7574" s="5" t="s">
        <v>355</v>
      </c>
    </row>
    <row r="7575" ht="16.5" customHeight="1">
      <c r="O7575" s="5" t="s">
        <v>355</v>
      </c>
      <c r="P7575" s="5" t="s">
        <v>355</v>
      </c>
      <c r="Q7575" s="5" t="s">
        <v>355</v>
      </c>
    </row>
    <row r="7576" ht="16.5" customHeight="1">
      <c r="O7576" s="5" t="s">
        <v>355</v>
      </c>
      <c r="P7576" s="5" t="s">
        <v>355</v>
      </c>
      <c r="Q7576" s="5" t="s">
        <v>355</v>
      </c>
    </row>
    <row r="7577" ht="16.5" customHeight="1">
      <c r="O7577" s="5" t="s">
        <v>355</v>
      </c>
      <c r="P7577" s="5" t="s">
        <v>355</v>
      </c>
      <c r="Q7577" s="5" t="s">
        <v>355</v>
      </c>
    </row>
    <row r="7578" ht="16.5" customHeight="1">
      <c r="O7578" s="5" t="s">
        <v>355</v>
      </c>
      <c r="P7578" s="5" t="s">
        <v>355</v>
      </c>
      <c r="Q7578" s="5" t="s">
        <v>355</v>
      </c>
    </row>
    <row r="7579" ht="16.5" customHeight="1">
      <c r="O7579" s="5" t="s">
        <v>355</v>
      </c>
      <c r="P7579" s="5" t="s">
        <v>355</v>
      </c>
      <c r="Q7579" s="5" t="s">
        <v>355</v>
      </c>
    </row>
    <row r="7580" ht="16.5" customHeight="1">
      <c r="O7580" s="5" t="s">
        <v>355</v>
      </c>
      <c r="P7580" s="5" t="s">
        <v>355</v>
      </c>
      <c r="Q7580" s="5" t="s">
        <v>355</v>
      </c>
    </row>
    <row r="7581" ht="16.5" customHeight="1">
      <c r="O7581" s="5" t="s">
        <v>355</v>
      </c>
      <c r="P7581" s="5" t="s">
        <v>355</v>
      </c>
      <c r="Q7581" s="5" t="s">
        <v>355</v>
      </c>
    </row>
    <row r="7582" ht="16.5" customHeight="1">
      <c r="O7582" s="5" t="s">
        <v>355</v>
      </c>
      <c r="P7582" s="5" t="s">
        <v>355</v>
      </c>
      <c r="Q7582" s="5" t="s">
        <v>355</v>
      </c>
    </row>
    <row r="7583" ht="16.5" customHeight="1">
      <c r="O7583" s="5" t="s">
        <v>355</v>
      </c>
      <c r="P7583" s="5" t="s">
        <v>355</v>
      </c>
      <c r="Q7583" s="5" t="s">
        <v>355</v>
      </c>
    </row>
    <row r="7584" ht="16.5" customHeight="1">
      <c r="O7584" s="5" t="s">
        <v>355</v>
      </c>
      <c r="P7584" s="5" t="s">
        <v>355</v>
      </c>
      <c r="Q7584" s="5" t="s">
        <v>355</v>
      </c>
    </row>
    <row r="7585" ht="16.5" customHeight="1">
      <c r="O7585" s="5" t="s">
        <v>355</v>
      </c>
      <c r="P7585" s="5" t="s">
        <v>355</v>
      </c>
      <c r="Q7585" s="5" t="s">
        <v>355</v>
      </c>
    </row>
    <row r="7586" ht="16.5" customHeight="1">
      <c r="O7586" s="5" t="s">
        <v>355</v>
      </c>
      <c r="P7586" s="5" t="s">
        <v>355</v>
      </c>
      <c r="Q7586" s="5" t="s">
        <v>355</v>
      </c>
    </row>
    <row r="7587" ht="16.5" customHeight="1">
      <c r="O7587" s="5" t="s">
        <v>355</v>
      </c>
      <c r="P7587" s="5" t="s">
        <v>355</v>
      </c>
      <c r="Q7587" s="5" t="s">
        <v>355</v>
      </c>
    </row>
    <row r="7588" ht="16.5" customHeight="1">
      <c r="O7588" s="5" t="s">
        <v>355</v>
      </c>
      <c r="P7588" s="5" t="s">
        <v>355</v>
      </c>
      <c r="Q7588" s="5" t="s">
        <v>355</v>
      </c>
    </row>
    <row r="7589" ht="16.5" customHeight="1">
      <c r="O7589" s="5" t="s">
        <v>355</v>
      </c>
      <c r="P7589" s="5" t="s">
        <v>355</v>
      </c>
      <c r="Q7589" s="5" t="s">
        <v>355</v>
      </c>
    </row>
    <row r="7590" ht="16.5" customHeight="1">
      <c r="O7590" s="5" t="s">
        <v>355</v>
      </c>
      <c r="P7590" s="5" t="s">
        <v>355</v>
      </c>
      <c r="Q7590" s="5" t="s">
        <v>355</v>
      </c>
    </row>
    <row r="7591" ht="16.5" customHeight="1">
      <c r="O7591" s="5" t="s">
        <v>355</v>
      </c>
      <c r="P7591" s="5" t="s">
        <v>355</v>
      </c>
      <c r="Q7591" s="5" t="s">
        <v>355</v>
      </c>
    </row>
    <row r="7592" ht="16.5" customHeight="1">
      <c r="O7592" s="5" t="s">
        <v>355</v>
      </c>
      <c r="P7592" s="5" t="s">
        <v>355</v>
      </c>
      <c r="Q7592" s="5" t="s">
        <v>355</v>
      </c>
    </row>
    <row r="7593" ht="16.5" customHeight="1">
      <c r="O7593" s="5" t="s">
        <v>355</v>
      </c>
      <c r="P7593" s="5" t="s">
        <v>355</v>
      </c>
      <c r="Q7593" s="5" t="s">
        <v>355</v>
      </c>
    </row>
    <row r="7594" ht="16.5" customHeight="1">
      <c r="O7594" s="5" t="s">
        <v>355</v>
      </c>
      <c r="P7594" s="5" t="s">
        <v>355</v>
      </c>
      <c r="Q7594" s="5" t="s">
        <v>355</v>
      </c>
    </row>
    <row r="7595" ht="16.5" customHeight="1">
      <c r="O7595" s="5" t="s">
        <v>355</v>
      </c>
      <c r="P7595" s="5" t="s">
        <v>355</v>
      </c>
      <c r="Q7595" s="5" t="s">
        <v>355</v>
      </c>
    </row>
    <row r="7596" ht="16.5" customHeight="1">
      <c r="O7596" s="5" t="s">
        <v>355</v>
      </c>
      <c r="P7596" s="5" t="s">
        <v>355</v>
      </c>
      <c r="Q7596" s="5" t="s">
        <v>355</v>
      </c>
    </row>
    <row r="7597" ht="16.5" customHeight="1">
      <c r="O7597" s="5" t="s">
        <v>355</v>
      </c>
      <c r="P7597" s="5" t="s">
        <v>355</v>
      </c>
      <c r="Q7597" s="5" t="s">
        <v>355</v>
      </c>
    </row>
    <row r="7598" ht="16.5" customHeight="1">
      <c r="O7598" s="5" t="s">
        <v>355</v>
      </c>
      <c r="P7598" s="5" t="s">
        <v>355</v>
      </c>
      <c r="Q7598" s="5" t="s">
        <v>355</v>
      </c>
    </row>
    <row r="7599" ht="16.5" customHeight="1">
      <c r="O7599" s="5" t="s">
        <v>355</v>
      </c>
      <c r="P7599" s="5" t="s">
        <v>355</v>
      </c>
      <c r="Q7599" s="5" t="s">
        <v>355</v>
      </c>
    </row>
    <row r="7600" ht="16.5" customHeight="1">
      <c r="O7600" s="5" t="s">
        <v>355</v>
      </c>
      <c r="P7600" s="5" t="s">
        <v>355</v>
      </c>
      <c r="Q7600" s="5" t="s">
        <v>355</v>
      </c>
    </row>
    <row r="7601" ht="16.5" customHeight="1">
      <c r="O7601" s="5" t="s">
        <v>355</v>
      </c>
      <c r="P7601" s="5" t="s">
        <v>355</v>
      </c>
      <c r="Q7601" s="5" t="s">
        <v>355</v>
      </c>
    </row>
    <row r="7602" ht="16.5" customHeight="1">
      <c r="O7602" s="5" t="s">
        <v>355</v>
      </c>
      <c r="P7602" s="5" t="s">
        <v>355</v>
      </c>
      <c r="Q7602" s="5" t="s">
        <v>355</v>
      </c>
    </row>
    <row r="7603" ht="16.5" customHeight="1">
      <c r="O7603" s="5" t="s">
        <v>355</v>
      </c>
      <c r="P7603" s="5" t="s">
        <v>355</v>
      </c>
      <c r="Q7603" s="5" t="s">
        <v>355</v>
      </c>
    </row>
    <row r="7604" ht="16.5" customHeight="1">
      <c r="O7604" s="5" t="s">
        <v>355</v>
      </c>
      <c r="P7604" s="5" t="s">
        <v>355</v>
      </c>
      <c r="Q7604" s="5" t="s">
        <v>355</v>
      </c>
    </row>
    <row r="7605" ht="16.5" customHeight="1">
      <c r="O7605" s="5" t="s">
        <v>355</v>
      </c>
      <c r="P7605" s="5" t="s">
        <v>355</v>
      </c>
      <c r="Q7605" s="5" t="s">
        <v>355</v>
      </c>
    </row>
    <row r="7606" ht="16.5" customHeight="1">
      <c r="O7606" s="5" t="s">
        <v>355</v>
      </c>
      <c r="P7606" s="5" t="s">
        <v>355</v>
      </c>
      <c r="Q7606" s="5" t="s">
        <v>355</v>
      </c>
    </row>
    <row r="7607" ht="16.5" customHeight="1">
      <c r="O7607" s="5" t="s">
        <v>355</v>
      </c>
      <c r="P7607" s="5" t="s">
        <v>355</v>
      </c>
      <c r="Q7607" s="5" t="s">
        <v>355</v>
      </c>
    </row>
    <row r="7608" ht="16.5" customHeight="1">
      <c r="O7608" s="5" t="s">
        <v>355</v>
      </c>
      <c r="P7608" s="5" t="s">
        <v>355</v>
      </c>
      <c r="Q7608" s="5" t="s">
        <v>355</v>
      </c>
    </row>
    <row r="7609" ht="16.5" customHeight="1">
      <c r="O7609" s="5" t="s">
        <v>355</v>
      </c>
      <c r="P7609" s="5" t="s">
        <v>355</v>
      </c>
      <c r="Q7609" s="5" t="s">
        <v>355</v>
      </c>
    </row>
    <row r="7610" ht="16.5" customHeight="1">
      <c r="O7610" s="5" t="s">
        <v>355</v>
      </c>
      <c r="P7610" s="5" t="s">
        <v>355</v>
      </c>
      <c r="Q7610" s="5" t="s">
        <v>355</v>
      </c>
    </row>
    <row r="7611" ht="16.5" customHeight="1">
      <c r="O7611" s="5" t="s">
        <v>355</v>
      </c>
      <c r="P7611" s="5" t="s">
        <v>355</v>
      </c>
      <c r="Q7611" s="5" t="s">
        <v>355</v>
      </c>
    </row>
    <row r="7612" ht="16.5" customHeight="1">
      <c r="O7612" s="5" t="s">
        <v>355</v>
      </c>
      <c r="P7612" s="5" t="s">
        <v>355</v>
      </c>
      <c r="Q7612" s="5" t="s">
        <v>355</v>
      </c>
    </row>
    <row r="7613" ht="16.5" customHeight="1">
      <c r="O7613" s="5" t="s">
        <v>355</v>
      </c>
      <c r="P7613" s="5" t="s">
        <v>355</v>
      </c>
      <c r="Q7613" s="5" t="s">
        <v>355</v>
      </c>
    </row>
    <row r="7614" ht="16.5" customHeight="1">
      <c r="O7614" s="5" t="s">
        <v>355</v>
      </c>
      <c r="P7614" s="5" t="s">
        <v>355</v>
      </c>
      <c r="Q7614" s="5" t="s">
        <v>355</v>
      </c>
    </row>
    <row r="7615" ht="16.5" customHeight="1">
      <c r="O7615" s="5" t="s">
        <v>355</v>
      </c>
      <c r="P7615" s="5" t="s">
        <v>355</v>
      </c>
      <c r="Q7615" s="5" t="s">
        <v>355</v>
      </c>
    </row>
    <row r="7616" ht="16.5" customHeight="1">
      <c r="O7616" s="5" t="s">
        <v>355</v>
      </c>
      <c r="P7616" s="5" t="s">
        <v>355</v>
      </c>
      <c r="Q7616" s="5" t="s">
        <v>355</v>
      </c>
    </row>
    <row r="7617" ht="16.5" customHeight="1">
      <c r="O7617" s="5" t="s">
        <v>355</v>
      </c>
      <c r="P7617" s="5" t="s">
        <v>355</v>
      </c>
      <c r="Q7617" s="5" t="s">
        <v>355</v>
      </c>
    </row>
    <row r="7618" ht="16.5" customHeight="1">
      <c r="O7618" s="5" t="s">
        <v>355</v>
      </c>
      <c r="P7618" s="5" t="s">
        <v>355</v>
      </c>
      <c r="Q7618" s="5" t="s">
        <v>355</v>
      </c>
    </row>
    <row r="7619" ht="16.5" customHeight="1">
      <c r="O7619" s="5" t="s">
        <v>355</v>
      </c>
      <c r="P7619" s="5" t="s">
        <v>355</v>
      </c>
      <c r="Q7619" s="5" t="s">
        <v>355</v>
      </c>
    </row>
    <row r="7620" ht="16.5" customHeight="1">
      <c r="O7620" s="5" t="s">
        <v>355</v>
      </c>
      <c r="P7620" s="5" t="s">
        <v>355</v>
      </c>
      <c r="Q7620" s="5" t="s">
        <v>355</v>
      </c>
    </row>
    <row r="7621" ht="16.5" customHeight="1">
      <c r="O7621" s="5" t="s">
        <v>355</v>
      </c>
      <c r="P7621" s="5" t="s">
        <v>355</v>
      </c>
      <c r="Q7621" s="5" t="s">
        <v>355</v>
      </c>
    </row>
    <row r="7622" ht="16.5" customHeight="1">
      <c r="O7622" s="5" t="s">
        <v>355</v>
      </c>
      <c r="P7622" s="5" t="s">
        <v>355</v>
      </c>
      <c r="Q7622" s="5" t="s">
        <v>355</v>
      </c>
    </row>
    <row r="7623" ht="16.5" customHeight="1">
      <c r="O7623" s="5" t="s">
        <v>355</v>
      </c>
      <c r="P7623" s="5" t="s">
        <v>355</v>
      </c>
      <c r="Q7623" s="5" t="s">
        <v>355</v>
      </c>
    </row>
    <row r="7624" ht="16.5" customHeight="1">
      <c r="O7624" s="5" t="s">
        <v>355</v>
      </c>
      <c r="P7624" s="5" t="s">
        <v>355</v>
      </c>
      <c r="Q7624" s="5" t="s">
        <v>355</v>
      </c>
    </row>
    <row r="7625" ht="16.5" customHeight="1">
      <c r="O7625" s="5" t="s">
        <v>355</v>
      </c>
      <c r="P7625" s="5" t="s">
        <v>355</v>
      </c>
      <c r="Q7625" s="5" t="s">
        <v>355</v>
      </c>
    </row>
    <row r="7626" ht="16.5" customHeight="1">
      <c r="O7626" s="5" t="s">
        <v>355</v>
      </c>
      <c r="P7626" s="5" t="s">
        <v>355</v>
      </c>
      <c r="Q7626" s="5" t="s">
        <v>355</v>
      </c>
    </row>
    <row r="7627" ht="16.5" customHeight="1">
      <c r="O7627" s="5" t="s">
        <v>355</v>
      </c>
      <c r="P7627" s="5" t="s">
        <v>355</v>
      </c>
      <c r="Q7627" s="5" t="s">
        <v>355</v>
      </c>
    </row>
    <row r="7628" ht="16.5" customHeight="1">
      <c r="O7628" s="5" t="s">
        <v>355</v>
      </c>
      <c r="P7628" s="5" t="s">
        <v>355</v>
      </c>
      <c r="Q7628" s="5" t="s">
        <v>355</v>
      </c>
    </row>
    <row r="7629" ht="16.5" customHeight="1">
      <c r="O7629" s="5" t="s">
        <v>355</v>
      </c>
      <c r="P7629" s="5" t="s">
        <v>355</v>
      </c>
      <c r="Q7629" s="5" t="s">
        <v>355</v>
      </c>
    </row>
    <row r="7630" ht="16.5" customHeight="1">
      <c r="O7630" s="5" t="s">
        <v>355</v>
      </c>
      <c r="P7630" s="5" t="s">
        <v>355</v>
      </c>
      <c r="Q7630" s="5" t="s">
        <v>355</v>
      </c>
    </row>
    <row r="7631" ht="16.5" customHeight="1">
      <c r="O7631" s="5" t="s">
        <v>355</v>
      </c>
      <c r="P7631" s="5" t="s">
        <v>355</v>
      </c>
      <c r="Q7631" s="5" t="s">
        <v>355</v>
      </c>
    </row>
    <row r="7632" ht="16.5" customHeight="1">
      <c r="O7632" s="5" t="s">
        <v>355</v>
      </c>
      <c r="P7632" s="5" t="s">
        <v>355</v>
      </c>
      <c r="Q7632" s="5" t="s">
        <v>355</v>
      </c>
    </row>
    <row r="7633" ht="16.5" customHeight="1">
      <c r="O7633" s="5" t="s">
        <v>355</v>
      </c>
      <c r="P7633" s="5" t="s">
        <v>355</v>
      </c>
      <c r="Q7633" s="5" t="s">
        <v>355</v>
      </c>
    </row>
    <row r="7634" ht="16.5" customHeight="1">
      <c r="O7634" s="5" t="s">
        <v>355</v>
      </c>
      <c r="P7634" s="5" t="s">
        <v>355</v>
      </c>
      <c r="Q7634" s="5" t="s">
        <v>355</v>
      </c>
    </row>
    <row r="7635" ht="16.5" customHeight="1">
      <c r="O7635" s="5" t="s">
        <v>355</v>
      </c>
      <c r="P7635" s="5" t="s">
        <v>355</v>
      </c>
      <c r="Q7635" s="5" t="s">
        <v>355</v>
      </c>
    </row>
    <row r="7636" ht="16.5" customHeight="1">
      <c r="O7636" s="5" t="s">
        <v>355</v>
      </c>
      <c r="P7636" s="5" t="s">
        <v>355</v>
      </c>
      <c r="Q7636" s="5" t="s">
        <v>355</v>
      </c>
    </row>
    <row r="7637" ht="16.5" customHeight="1">
      <c r="O7637" s="5" t="s">
        <v>355</v>
      </c>
      <c r="P7637" s="5" t="s">
        <v>355</v>
      </c>
      <c r="Q7637" s="5" t="s">
        <v>355</v>
      </c>
    </row>
    <row r="7638" ht="16.5" customHeight="1">
      <c r="O7638" s="5" t="s">
        <v>355</v>
      </c>
      <c r="P7638" s="5" t="s">
        <v>355</v>
      </c>
      <c r="Q7638" s="5" t="s">
        <v>355</v>
      </c>
    </row>
    <row r="7639" ht="16.5" customHeight="1">
      <c r="O7639" s="5" t="s">
        <v>355</v>
      </c>
      <c r="P7639" s="5" t="s">
        <v>355</v>
      </c>
      <c r="Q7639" s="5" t="s">
        <v>355</v>
      </c>
    </row>
    <row r="7640" ht="16.5" customHeight="1">
      <c r="O7640" s="5" t="s">
        <v>355</v>
      </c>
      <c r="P7640" s="5" t="s">
        <v>355</v>
      </c>
      <c r="Q7640" s="5" t="s">
        <v>355</v>
      </c>
    </row>
    <row r="7641" ht="16.5" customHeight="1">
      <c r="O7641" s="5" t="s">
        <v>355</v>
      </c>
      <c r="P7641" s="5" t="s">
        <v>355</v>
      </c>
      <c r="Q7641" s="5" t="s">
        <v>355</v>
      </c>
    </row>
    <row r="7642" ht="16.5" customHeight="1">
      <c r="O7642" s="5" t="s">
        <v>355</v>
      </c>
      <c r="P7642" s="5" t="s">
        <v>355</v>
      </c>
      <c r="Q7642" s="5" t="s">
        <v>355</v>
      </c>
    </row>
    <row r="7643" ht="16.5" customHeight="1">
      <c r="O7643" s="5" t="s">
        <v>355</v>
      </c>
      <c r="P7643" s="5" t="s">
        <v>355</v>
      </c>
      <c r="Q7643" s="5" t="s">
        <v>355</v>
      </c>
    </row>
    <row r="7644" ht="16.5" customHeight="1">
      <c r="O7644" s="5" t="s">
        <v>355</v>
      </c>
      <c r="P7644" s="5" t="s">
        <v>355</v>
      </c>
      <c r="Q7644" s="5" t="s">
        <v>355</v>
      </c>
    </row>
    <row r="7645" ht="16.5" customHeight="1">
      <c r="O7645" s="5" t="s">
        <v>355</v>
      </c>
      <c r="P7645" s="5" t="s">
        <v>355</v>
      </c>
      <c r="Q7645" s="5" t="s">
        <v>355</v>
      </c>
    </row>
    <row r="7646" ht="16.5" customHeight="1">
      <c r="O7646" s="5" t="s">
        <v>355</v>
      </c>
      <c r="P7646" s="5" t="s">
        <v>355</v>
      </c>
      <c r="Q7646" s="5" t="s">
        <v>355</v>
      </c>
    </row>
    <row r="7647" ht="16.5" customHeight="1">
      <c r="O7647" s="5" t="s">
        <v>355</v>
      </c>
      <c r="P7647" s="5" t="s">
        <v>355</v>
      </c>
      <c r="Q7647" s="5" t="s">
        <v>355</v>
      </c>
    </row>
    <row r="7648" ht="16.5" customHeight="1">
      <c r="O7648" s="5" t="s">
        <v>355</v>
      </c>
      <c r="P7648" s="5" t="s">
        <v>355</v>
      </c>
      <c r="Q7648" s="5" t="s">
        <v>355</v>
      </c>
    </row>
    <row r="7649" ht="16.5" customHeight="1">
      <c r="O7649" s="5" t="s">
        <v>355</v>
      </c>
      <c r="P7649" s="5" t="s">
        <v>355</v>
      </c>
      <c r="Q7649" s="5" t="s">
        <v>355</v>
      </c>
    </row>
    <row r="7650" ht="16.5" customHeight="1">
      <c r="O7650" s="5" t="s">
        <v>355</v>
      </c>
      <c r="P7650" s="5" t="s">
        <v>355</v>
      </c>
      <c r="Q7650" s="5" t="s">
        <v>355</v>
      </c>
    </row>
    <row r="7651" ht="16.5" customHeight="1">
      <c r="O7651" s="5" t="s">
        <v>355</v>
      </c>
      <c r="P7651" s="5" t="s">
        <v>355</v>
      </c>
      <c r="Q7651" s="5" t="s">
        <v>355</v>
      </c>
    </row>
    <row r="7652" ht="16.5" customHeight="1">
      <c r="O7652" s="5" t="s">
        <v>355</v>
      </c>
      <c r="P7652" s="5" t="s">
        <v>355</v>
      </c>
      <c r="Q7652" s="5" t="s">
        <v>355</v>
      </c>
    </row>
    <row r="7653" ht="16.5" customHeight="1">
      <c r="O7653" s="5" t="s">
        <v>355</v>
      </c>
      <c r="P7653" s="5" t="s">
        <v>355</v>
      </c>
      <c r="Q7653" s="5" t="s">
        <v>355</v>
      </c>
    </row>
    <row r="7654" ht="16.5" customHeight="1">
      <c r="O7654" s="5" t="s">
        <v>355</v>
      </c>
      <c r="P7654" s="5" t="s">
        <v>355</v>
      </c>
      <c r="Q7654" s="5" t="s">
        <v>355</v>
      </c>
    </row>
    <row r="7655" ht="16.5" customHeight="1">
      <c r="O7655" s="5" t="s">
        <v>355</v>
      </c>
      <c r="P7655" s="5" t="s">
        <v>355</v>
      </c>
      <c r="Q7655" s="5" t="s">
        <v>355</v>
      </c>
    </row>
    <row r="7656" ht="16.5" customHeight="1">
      <c r="O7656" s="5" t="s">
        <v>355</v>
      </c>
      <c r="P7656" s="5" t="s">
        <v>355</v>
      </c>
      <c r="Q7656" s="5" t="s">
        <v>355</v>
      </c>
    </row>
    <row r="7657" ht="16.5" customHeight="1">
      <c r="O7657" s="5" t="s">
        <v>355</v>
      </c>
      <c r="P7657" s="5" t="s">
        <v>355</v>
      </c>
      <c r="Q7657" s="5" t="s">
        <v>355</v>
      </c>
    </row>
    <row r="7658" ht="16.5" customHeight="1">
      <c r="O7658" s="5" t="s">
        <v>355</v>
      </c>
      <c r="P7658" s="5" t="s">
        <v>355</v>
      </c>
      <c r="Q7658" s="5" t="s">
        <v>355</v>
      </c>
    </row>
    <row r="7659" ht="16.5" customHeight="1">
      <c r="O7659" s="5" t="s">
        <v>355</v>
      </c>
      <c r="P7659" s="5" t="s">
        <v>355</v>
      </c>
      <c r="Q7659" s="5" t="s">
        <v>355</v>
      </c>
    </row>
    <row r="7660" ht="16.5" customHeight="1">
      <c r="O7660" s="5" t="s">
        <v>355</v>
      </c>
      <c r="P7660" s="5" t="s">
        <v>355</v>
      </c>
      <c r="Q7660" s="5" t="s">
        <v>355</v>
      </c>
    </row>
    <row r="7661" ht="16.5" customHeight="1">
      <c r="O7661" s="5" t="s">
        <v>355</v>
      </c>
      <c r="P7661" s="5" t="s">
        <v>355</v>
      </c>
      <c r="Q7661" s="5" t="s">
        <v>355</v>
      </c>
    </row>
    <row r="7662" ht="16.5" customHeight="1">
      <c r="O7662" s="5" t="s">
        <v>355</v>
      </c>
      <c r="P7662" s="5" t="s">
        <v>355</v>
      </c>
      <c r="Q7662" s="5" t="s">
        <v>355</v>
      </c>
    </row>
    <row r="7663" ht="16.5" customHeight="1">
      <c r="O7663" s="5" t="s">
        <v>355</v>
      </c>
      <c r="P7663" s="5" t="s">
        <v>355</v>
      </c>
      <c r="Q7663" s="5" t="s">
        <v>355</v>
      </c>
    </row>
    <row r="7664" ht="16.5" customHeight="1">
      <c r="O7664" s="5" t="s">
        <v>355</v>
      </c>
      <c r="P7664" s="5" t="s">
        <v>355</v>
      </c>
      <c r="Q7664" s="5" t="s">
        <v>355</v>
      </c>
    </row>
    <row r="7665" ht="16.5" customHeight="1">
      <c r="O7665" s="5" t="s">
        <v>355</v>
      </c>
      <c r="P7665" s="5" t="s">
        <v>355</v>
      </c>
      <c r="Q7665" s="5" t="s">
        <v>355</v>
      </c>
    </row>
    <row r="7666" ht="16.5" customHeight="1">
      <c r="O7666" s="5" t="s">
        <v>355</v>
      </c>
      <c r="P7666" s="5" t="s">
        <v>355</v>
      </c>
      <c r="Q7666" s="5" t="s">
        <v>355</v>
      </c>
    </row>
    <row r="7667" ht="16.5" customHeight="1">
      <c r="O7667" s="5" t="s">
        <v>355</v>
      </c>
      <c r="P7667" s="5" t="s">
        <v>355</v>
      </c>
      <c r="Q7667" s="5" t="s">
        <v>355</v>
      </c>
    </row>
    <row r="7668" ht="16.5" customHeight="1">
      <c r="O7668" s="5" t="s">
        <v>355</v>
      </c>
      <c r="P7668" s="5" t="s">
        <v>355</v>
      </c>
      <c r="Q7668" s="5" t="s">
        <v>355</v>
      </c>
    </row>
    <row r="7669" ht="16.5" customHeight="1">
      <c r="O7669" s="5" t="s">
        <v>355</v>
      </c>
      <c r="P7669" s="5" t="s">
        <v>355</v>
      </c>
      <c r="Q7669" s="5" t="s">
        <v>355</v>
      </c>
    </row>
    <row r="7670" ht="16.5" customHeight="1">
      <c r="O7670" s="5" t="s">
        <v>355</v>
      </c>
      <c r="P7670" s="5" t="s">
        <v>355</v>
      </c>
      <c r="Q7670" s="5" t="s">
        <v>355</v>
      </c>
    </row>
    <row r="7671" ht="16.5" customHeight="1">
      <c r="O7671" s="5" t="s">
        <v>355</v>
      </c>
      <c r="P7671" s="5" t="s">
        <v>355</v>
      </c>
      <c r="Q7671" s="5" t="s">
        <v>355</v>
      </c>
    </row>
    <row r="7672" ht="16.5" customHeight="1">
      <c r="O7672" s="5" t="s">
        <v>355</v>
      </c>
      <c r="P7672" s="5" t="s">
        <v>355</v>
      </c>
      <c r="Q7672" s="5" t="s">
        <v>355</v>
      </c>
    </row>
    <row r="7673" ht="16.5" customHeight="1">
      <c r="O7673" s="5" t="s">
        <v>355</v>
      </c>
      <c r="P7673" s="5" t="s">
        <v>355</v>
      </c>
      <c r="Q7673" s="5" t="s">
        <v>355</v>
      </c>
    </row>
    <row r="7674" ht="16.5" customHeight="1">
      <c r="O7674" s="5" t="s">
        <v>355</v>
      </c>
      <c r="P7674" s="5" t="s">
        <v>355</v>
      </c>
      <c r="Q7674" s="5" t="s">
        <v>355</v>
      </c>
    </row>
    <row r="7675" ht="16.5" customHeight="1">
      <c r="O7675" s="5" t="s">
        <v>355</v>
      </c>
      <c r="P7675" s="5" t="s">
        <v>355</v>
      </c>
      <c r="Q7675" s="5" t="s">
        <v>355</v>
      </c>
    </row>
    <row r="7676" ht="16.5" customHeight="1">
      <c r="O7676" s="5" t="s">
        <v>355</v>
      </c>
      <c r="P7676" s="5" t="s">
        <v>355</v>
      </c>
      <c r="Q7676" s="5" t="s">
        <v>355</v>
      </c>
    </row>
    <row r="7677" ht="16.5" customHeight="1">
      <c r="O7677" s="5" t="s">
        <v>355</v>
      </c>
      <c r="P7677" s="5" t="s">
        <v>355</v>
      </c>
      <c r="Q7677" s="5" t="s">
        <v>355</v>
      </c>
    </row>
    <row r="7678" ht="16.5" customHeight="1">
      <c r="O7678" s="5" t="s">
        <v>355</v>
      </c>
      <c r="P7678" s="5" t="s">
        <v>355</v>
      </c>
      <c r="Q7678" s="5" t="s">
        <v>355</v>
      </c>
    </row>
    <row r="7679" ht="16.5" customHeight="1">
      <c r="O7679" s="5" t="s">
        <v>355</v>
      </c>
      <c r="P7679" s="5" t="s">
        <v>355</v>
      </c>
      <c r="Q7679" s="5" t="s">
        <v>355</v>
      </c>
    </row>
    <row r="7680" ht="16.5" customHeight="1">
      <c r="O7680" s="5" t="s">
        <v>355</v>
      </c>
      <c r="P7680" s="5" t="s">
        <v>355</v>
      </c>
      <c r="Q7680" s="5" t="s">
        <v>355</v>
      </c>
    </row>
    <row r="7681" ht="16.5" customHeight="1">
      <c r="O7681" s="5" t="s">
        <v>355</v>
      </c>
      <c r="P7681" s="5" t="s">
        <v>355</v>
      </c>
      <c r="Q7681" s="5" t="s">
        <v>355</v>
      </c>
    </row>
    <row r="7682" ht="16.5" customHeight="1">
      <c r="O7682" s="5" t="s">
        <v>355</v>
      </c>
      <c r="P7682" s="5" t="s">
        <v>355</v>
      </c>
      <c r="Q7682" s="5" t="s">
        <v>355</v>
      </c>
    </row>
    <row r="7683" ht="16.5" customHeight="1">
      <c r="O7683" s="5" t="s">
        <v>355</v>
      </c>
      <c r="P7683" s="5" t="s">
        <v>355</v>
      </c>
      <c r="Q7683" s="5" t="s">
        <v>355</v>
      </c>
    </row>
    <row r="7684" ht="16.5" customHeight="1">
      <c r="O7684" s="5" t="s">
        <v>355</v>
      </c>
      <c r="P7684" s="5" t="s">
        <v>355</v>
      </c>
      <c r="Q7684" s="5" t="s">
        <v>355</v>
      </c>
    </row>
    <row r="7685" ht="16.5" customHeight="1">
      <c r="O7685" s="5" t="s">
        <v>355</v>
      </c>
      <c r="P7685" s="5" t="s">
        <v>355</v>
      </c>
      <c r="Q7685" s="5" t="s">
        <v>355</v>
      </c>
    </row>
    <row r="7686" ht="16.5" customHeight="1">
      <c r="O7686" s="5" t="s">
        <v>355</v>
      </c>
      <c r="P7686" s="5" t="s">
        <v>355</v>
      </c>
      <c r="Q7686" s="5" t="s">
        <v>355</v>
      </c>
    </row>
    <row r="7687" ht="16.5" customHeight="1">
      <c r="O7687" s="5" t="s">
        <v>355</v>
      </c>
      <c r="P7687" s="5" t="s">
        <v>355</v>
      </c>
      <c r="Q7687" s="5" t="s">
        <v>355</v>
      </c>
    </row>
    <row r="7688" ht="16.5" customHeight="1">
      <c r="O7688" s="5" t="s">
        <v>355</v>
      </c>
      <c r="P7688" s="5" t="s">
        <v>355</v>
      </c>
      <c r="Q7688" s="5" t="s">
        <v>355</v>
      </c>
    </row>
    <row r="7689" ht="16.5" customHeight="1">
      <c r="O7689" s="5" t="s">
        <v>355</v>
      </c>
      <c r="P7689" s="5" t="s">
        <v>355</v>
      </c>
      <c r="Q7689" s="5" t="s">
        <v>355</v>
      </c>
    </row>
    <row r="7690" ht="16.5" customHeight="1">
      <c r="O7690" s="5" t="s">
        <v>355</v>
      </c>
      <c r="P7690" s="5" t="s">
        <v>355</v>
      </c>
      <c r="Q7690" s="5" t="s">
        <v>355</v>
      </c>
    </row>
    <row r="7691" ht="16.5" customHeight="1">
      <c r="O7691" s="5" t="s">
        <v>355</v>
      </c>
      <c r="P7691" s="5" t="s">
        <v>355</v>
      </c>
      <c r="Q7691" s="5" t="s">
        <v>355</v>
      </c>
    </row>
    <row r="7692" ht="16.5" customHeight="1">
      <c r="O7692" s="5" t="s">
        <v>355</v>
      </c>
      <c r="P7692" s="5" t="s">
        <v>355</v>
      </c>
      <c r="Q7692" s="5" t="s">
        <v>355</v>
      </c>
    </row>
    <row r="7693" ht="16.5" customHeight="1">
      <c r="O7693" s="5" t="s">
        <v>355</v>
      </c>
      <c r="P7693" s="5" t="s">
        <v>355</v>
      </c>
      <c r="Q7693" s="5" t="s">
        <v>355</v>
      </c>
    </row>
    <row r="7694" ht="16.5" customHeight="1">
      <c r="O7694" s="5" t="s">
        <v>355</v>
      </c>
      <c r="P7694" s="5" t="s">
        <v>355</v>
      </c>
      <c r="Q7694" s="5" t="s">
        <v>355</v>
      </c>
    </row>
    <row r="7695" ht="16.5" customHeight="1">
      <c r="O7695" s="5" t="s">
        <v>355</v>
      </c>
      <c r="P7695" s="5" t="s">
        <v>355</v>
      </c>
      <c r="Q7695" s="5" t="s">
        <v>355</v>
      </c>
    </row>
    <row r="7696" ht="16.5" customHeight="1">
      <c r="O7696" s="5" t="s">
        <v>355</v>
      </c>
      <c r="P7696" s="5" t="s">
        <v>355</v>
      </c>
      <c r="Q7696" s="5" t="s">
        <v>355</v>
      </c>
    </row>
    <row r="7697" ht="16.5" customHeight="1">
      <c r="O7697" s="5" t="s">
        <v>355</v>
      </c>
      <c r="P7697" s="5" t="s">
        <v>355</v>
      </c>
      <c r="Q7697" s="5" t="s">
        <v>355</v>
      </c>
    </row>
    <row r="7698" ht="16.5" customHeight="1">
      <c r="O7698" s="5" t="s">
        <v>355</v>
      </c>
      <c r="P7698" s="5" t="s">
        <v>355</v>
      </c>
      <c r="Q7698" s="5" t="s">
        <v>355</v>
      </c>
    </row>
    <row r="7699" ht="16.5" customHeight="1">
      <c r="O7699" s="5" t="s">
        <v>355</v>
      </c>
      <c r="P7699" s="5" t="s">
        <v>355</v>
      </c>
      <c r="Q7699" s="5" t="s">
        <v>355</v>
      </c>
    </row>
    <row r="7700" ht="16.5" customHeight="1">
      <c r="O7700" s="5" t="s">
        <v>355</v>
      </c>
      <c r="P7700" s="5" t="s">
        <v>355</v>
      </c>
      <c r="Q7700" s="5" t="s">
        <v>355</v>
      </c>
    </row>
    <row r="7701" ht="16.5" customHeight="1">
      <c r="O7701" s="5" t="s">
        <v>355</v>
      </c>
      <c r="P7701" s="5" t="s">
        <v>355</v>
      </c>
      <c r="Q7701" s="5" t="s">
        <v>355</v>
      </c>
    </row>
    <row r="7702" ht="16.5" customHeight="1">
      <c r="O7702" s="5" t="s">
        <v>355</v>
      </c>
      <c r="P7702" s="5" t="s">
        <v>355</v>
      </c>
      <c r="Q7702" s="5" t="s">
        <v>355</v>
      </c>
    </row>
    <row r="7703" ht="16.5" customHeight="1">
      <c r="O7703" s="5" t="s">
        <v>355</v>
      </c>
      <c r="P7703" s="5" t="s">
        <v>355</v>
      </c>
      <c r="Q7703" s="5" t="s">
        <v>355</v>
      </c>
    </row>
    <row r="7704" ht="16.5" customHeight="1">
      <c r="O7704" s="5" t="s">
        <v>355</v>
      </c>
      <c r="P7704" s="5" t="s">
        <v>355</v>
      </c>
      <c r="Q7704" s="5" t="s">
        <v>355</v>
      </c>
    </row>
    <row r="7705" ht="16.5" customHeight="1">
      <c r="O7705" s="5" t="s">
        <v>355</v>
      </c>
      <c r="P7705" s="5" t="s">
        <v>355</v>
      </c>
      <c r="Q7705" s="5" t="s">
        <v>355</v>
      </c>
    </row>
    <row r="7706" ht="16.5" customHeight="1">
      <c r="O7706" s="5" t="s">
        <v>355</v>
      </c>
      <c r="P7706" s="5" t="s">
        <v>355</v>
      </c>
      <c r="Q7706" s="5" t="s">
        <v>355</v>
      </c>
    </row>
    <row r="7707" ht="16.5" customHeight="1">
      <c r="O7707" s="5" t="s">
        <v>355</v>
      </c>
      <c r="P7707" s="5" t="s">
        <v>355</v>
      </c>
      <c r="Q7707" s="5" t="s">
        <v>355</v>
      </c>
    </row>
    <row r="7708" ht="16.5" customHeight="1">
      <c r="O7708" s="5" t="s">
        <v>355</v>
      </c>
      <c r="P7708" s="5" t="s">
        <v>355</v>
      </c>
      <c r="Q7708" s="5" t="s">
        <v>355</v>
      </c>
    </row>
    <row r="7709" ht="16.5" customHeight="1">
      <c r="O7709" s="5" t="s">
        <v>355</v>
      </c>
      <c r="P7709" s="5" t="s">
        <v>355</v>
      </c>
      <c r="Q7709" s="5" t="s">
        <v>355</v>
      </c>
    </row>
    <row r="7710" ht="16.5" customHeight="1">
      <c r="O7710" s="5" t="s">
        <v>355</v>
      </c>
      <c r="P7710" s="5" t="s">
        <v>355</v>
      </c>
      <c r="Q7710" s="5" t="s">
        <v>355</v>
      </c>
    </row>
    <row r="7711" ht="16.5" customHeight="1">
      <c r="O7711" s="5" t="s">
        <v>355</v>
      </c>
      <c r="P7711" s="5" t="s">
        <v>355</v>
      </c>
      <c r="Q7711" s="5" t="s">
        <v>355</v>
      </c>
    </row>
    <row r="7712" ht="16.5" customHeight="1">
      <c r="O7712" s="5" t="s">
        <v>355</v>
      </c>
      <c r="P7712" s="5" t="s">
        <v>355</v>
      </c>
      <c r="Q7712" s="5" t="s">
        <v>355</v>
      </c>
    </row>
    <row r="7713" ht="16.5" customHeight="1">
      <c r="O7713" s="5" t="s">
        <v>355</v>
      </c>
      <c r="P7713" s="5" t="s">
        <v>355</v>
      </c>
      <c r="Q7713" s="5" t="s">
        <v>355</v>
      </c>
    </row>
    <row r="7714" ht="16.5" customHeight="1">
      <c r="O7714" s="5" t="s">
        <v>355</v>
      </c>
      <c r="P7714" s="5" t="s">
        <v>355</v>
      </c>
      <c r="Q7714" s="5" t="s">
        <v>355</v>
      </c>
    </row>
    <row r="7715" ht="16.5" customHeight="1">
      <c r="O7715" s="5" t="s">
        <v>355</v>
      </c>
      <c r="P7715" s="5" t="s">
        <v>355</v>
      </c>
      <c r="Q7715" s="5" t="s">
        <v>355</v>
      </c>
    </row>
    <row r="7716" ht="16.5" customHeight="1">
      <c r="O7716" s="5" t="s">
        <v>355</v>
      </c>
      <c r="P7716" s="5" t="s">
        <v>355</v>
      </c>
      <c r="Q7716" s="5" t="s">
        <v>355</v>
      </c>
    </row>
    <row r="7717" ht="16.5" customHeight="1">
      <c r="O7717" s="5" t="s">
        <v>355</v>
      </c>
      <c r="P7717" s="5" t="s">
        <v>355</v>
      </c>
      <c r="Q7717" s="5" t="s">
        <v>355</v>
      </c>
    </row>
    <row r="7718" ht="16.5" customHeight="1">
      <c r="O7718" s="5" t="s">
        <v>355</v>
      </c>
      <c r="P7718" s="5" t="s">
        <v>355</v>
      </c>
      <c r="Q7718" s="5" t="s">
        <v>355</v>
      </c>
    </row>
    <row r="7719" ht="16.5" customHeight="1">
      <c r="O7719" s="5" t="s">
        <v>355</v>
      </c>
      <c r="P7719" s="5" t="s">
        <v>355</v>
      </c>
      <c r="Q7719" s="5" t="s">
        <v>355</v>
      </c>
    </row>
    <row r="7720" ht="16.5" customHeight="1">
      <c r="O7720" s="5" t="s">
        <v>355</v>
      </c>
      <c r="P7720" s="5" t="s">
        <v>355</v>
      </c>
      <c r="Q7720" s="5" t="s">
        <v>355</v>
      </c>
    </row>
    <row r="7721" ht="16.5" customHeight="1">
      <c r="O7721" s="5" t="s">
        <v>355</v>
      </c>
      <c r="P7721" s="5" t="s">
        <v>355</v>
      </c>
      <c r="Q7721" s="5" t="s">
        <v>355</v>
      </c>
    </row>
    <row r="7722" ht="16.5" customHeight="1">
      <c r="O7722" s="5" t="s">
        <v>355</v>
      </c>
      <c r="P7722" s="5" t="s">
        <v>355</v>
      </c>
      <c r="Q7722" s="5" t="s">
        <v>355</v>
      </c>
    </row>
    <row r="7723" ht="16.5" customHeight="1">
      <c r="O7723" s="5" t="s">
        <v>355</v>
      </c>
      <c r="P7723" s="5" t="s">
        <v>355</v>
      </c>
      <c r="Q7723" s="5" t="s">
        <v>355</v>
      </c>
    </row>
    <row r="7724" ht="16.5" customHeight="1">
      <c r="O7724" s="5" t="s">
        <v>355</v>
      </c>
      <c r="P7724" s="5" t="s">
        <v>355</v>
      </c>
      <c r="Q7724" s="5" t="s">
        <v>355</v>
      </c>
    </row>
    <row r="7725" ht="16.5" customHeight="1">
      <c r="O7725" s="5" t="s">
        <v>355</v>
      </c>
      <c r="P7725" s="5" t="s">
        <v>355</v>
      </c>
      <c r="Q7725" s="5" t="s">
        <v>355</v>
      </c>
    </row>
    <row r="7726" ht="16.5" customHeight="1">
      <c r="O7726" s="5" t="s">
        <v>355</v>
      </c>
      <c r="P7726" s="5" t="s">
        <v>355</v>
      </c>
      <c r="Q7726" s="5" t="s">
        <v>355</v>
      </c>
    </row>
    <row r="7727" ht="16.5" customHeight="1">
      <c r="O7727" s="5" t="s">
        <v>355</v>
      </c>
      <c r="P7727" s="5" t="s">
        <v>355</v>
      </c>
      <c r="Q7727" s="5" t="s">
        <v>355</v>
      </c>
    </row>
    <row r="7728" ht="16.5" customHeight="1">
      <c r="O7728" s="5" t="s">
        <v>355</v>
      </c>
      <c r="P7728" s="5" t="s">
        <v>355</v>
      </c>
      <c r="Q7728" s="5" t="s">
        <v>355</v>
      </c>
    </row>
    <row r="7729" ht="16.5" customHeight="1">
      <c r="O7729" s="5" t="s">
        <v>355</v>
      </c>
      <c r="P7729" s="5" t="s">
        <v>355</v>
      </c>
      <c r="Q7729" s="5" t="s">
        <v>355</v>
      </c>
    </row>
    <row r="7730" ht="16.5" customHeight="1">
      <c r="O7730" s="5" t="s">
        <v>355</v>
      </c>
      <c r="P7730" s="5" t="s">
        <v>355</v>
      </c>
      <c r="Q7730" s="5" t="s">
        <v>355</v>
      </c>
    </row>
    <row r="7731" ht="16.5" customHeight="1">
      <c r="O7731" s="5" t="s">
        <v>355</v>
      </c>
      <c r="P7731" s="5" t="s">
        <v>355</v>
      </c>
      <c r="Q7731" s="5" t="s">
        <v>355</v>
      </c>
    </row>
    <row r="7732" ht="16.5" customHeight="1">
      <c r="O7732" s="5" t="s">
        <v>355</v>
      </c>
      <c r="P7732" s="5" t="s">
        <v>355</v>
      </c>
      <c r="Q7732" s="5" t="s">
        <v>355</v>
      </c>
    </row>
    <row r="7733" ht="16.5" customHeight="1">
      <c r="O7733" s="5" t="s">
        <v>355</v>
      </c>
      <c r="P7733" s="5" t="s">
        <v>355</v>
      </c>
      <c r="Q7733" s="5" t="s">
        <v>355</v>
      </c>
    </row>
    <row r="7734" ht="16.5" customHeight="1">
      <c r="O7734" s="5" t="s">
        <v>355</v>
      </c>
      <c r="P7734" s="5" t="s">
        <v>355</v>
      </c>
      <c r="Q7734" s="5" t="s">
        <v>355</v>
      </c>
    </row>
    <row r="7735" ht="16.5" customHeight="1">
      <c r="O7735" s="5" t="s">
        <v>355</v>
      </c>
      <c r="P7735" s="5" t="s">
        <v>355</v>
      </c>
      <c r="Q7735" s="5" t="s">
        <v>355</v>
      </c>
    </row>
    <row r="7736" ht="16.5" customHeight="1">
      <c r="O7736" s="5" t="s">
        <v>355</v>
      </c>
      <c r="P7736" s="5" t="s">
        <v>355</v>
      </c>
      <c r="Q7736" s="5" t="s">
        <v>355</v>
      </c>
    </row>
    <row r="7737" ht="16.5" customHeight="1">
      <c r="O7737" s="5" t="s">
        <v>355</v>
      </c>
      <c r="P7737" s="5" t="s">
        <v>355</v>
      </c>
      <c r="Q7737" s="5" t="s">
        <v>355</v>
      </c>
    </row>
    <row r="7738" ht="16.5" customHeight="1">
      <c r="O7738" s="5" t="s">
        <v>355</v>
      </c>
      <c r="P7738" s="5" t="s">
        <v>355</v>
      </c>
      <c r="Q7738" s="5" t="s">
        <v>355</v>
      </c>
    </row>
    <row r="7739" ht="16.5" customHeight="1">
      <c r="O7739" s="5" t="s">
        <v>355</v>
      </c>
      <c r="P7739" s="5" t="s">
        <v>355</v>
      </c>
      <c r="Q7739" s="5" t="s">
        <v>355</v>
      </c>
    </row>
    <row r="7740" ht="16.5" customHeight="1">
      <c r="O7740" s="5" t="s">
        <v>355</v>
      </c>
      <c r="P7740" s="5" t="s">
        <v>355</v>
      </c>
      <c r="Q7740" s="5" t="s">
        <v>355</v>
      </c>
    </row>
    <row r="7741" ht="16.5" customHeight="1">
      <c r="O7741" s="5" t="s">
        <v>355</v>
      </c>
      <c r="P7741" s="5" t="s">
        <v>355</v>
      </c>
      <c r="Q7741" s="5" t="s">
        <v>355</v>
      </c>
    </row>
    <row r="7742" ht="16.5" customHeight="1">
      <c r="O7742" s="5" t="s">
        <v>355</v>
      </c>
      <c r="P7742" s="5" t="s">
        <v>355</v>
      </c>
      <c r="Q7742" s="5" t="s">
        <v>355</v>
      </c>
    </row>
    <row r="7743" ht="16.5" customHeight="1">
      <c r="O7743" s="5" t="s">
        <v>355</v>
      </c>
      <c r="P7743" s="5" t="s">
        <v>355</v>
      </c>
      <c r="Q7743" s="5" t="s">
        <v>355</v>
      </c>
    </row>
    <row r="7744" ht="16.5" customHeight="1">
      <c r="O7744" s="5" t="s">
        <v>355</v>
      </c>
      <c r="P7744" s="5" t="s">
        <v>355</v>
      </c>
      <c r="Q7744" s="5" t="s">
        <v>355</v>
      </c>
    </row>
    <row r="7745" ht="16.5" customHeight="1">
      <c r="O7745" s="5" t="s">
        <v>355</v>
      </c>
      <c r="P7745" s="5" t="s">
        <v>355</v>
      </c>
      <c r="Q7745" s="5" t="s">
        <v>355</v>
      </c>
    </row>
    <row r="7746" ht="16.5" customHeight="1">
      <c r="O7746" s="5" t="s">
        <v>355</v>
      </c>
      <c r="P7746" s="5" t="s">
        <v>355</v>
      </c>
      <c r="Q7746" s="5" t="s">
        <v>355</v>
      </c>
    </row>
    <row r="7747" ht="16.5" customHeight="1">
      <c r="O7747" s="5" t="s">
        <v>355</v>
      </c>
      <c r="P7747" s="5" t="s">
        <v>355</v>
      </c>
      <c r="Q7747" s="5" t="s">
        <v>355</v>
      </c>
    </row>
    <row r="7748" ht="16.5" customHeight="1">
      <c r="O7748" s="5" t="s">
        <v>355</v>
      </c>
      <c r="P7748" s="5" t="s">
        <v>355</v>
      </c>
      <c r="Q7748" s="5" t="s">
        <v>355</v>
      </c>
    </row>
    <row r="7749" ht="16.5" customHeight="1">
      <c r="O7749" s="5" t="s">
        <v>355</v>
      </c>
      <c r="P7749" s="5" t="s">
        <v>355</v>
      </c>
      <c r="Q7749" s="5" t="s">
        <v>355</v>
      </c>
    </row>
    <row r="7750" ht="16.5" customHeight="1">
      <c r="O7750" s="5" t="s">
        <v>355</v>
      </c>
      <c r="P7750" s="5" t="s">
        <v>355</v>
      </c>
      <c r="Q7750" s="5" t="s">
        <v>355</v>
      </c>
    </row>
    <row r="7751" ht="16.5" customHeight="1">
      <c r="O7751" s="5" t="s">
        <v>355</v>
      </c>
      <c r="P7751" s="5" t="s">
        <v>355</v>
      </c>
      <c r="Q7751" s="5" t="s">
        <v>355</v>
      </c>
    </row>
    <row r="7752" ht="16.5" customHeight="1">
      <c r="O7752" s="5" t="s">
        <v>355</v>
      </c>
      <c r="P7752" s="5" t="s">
        <v>355</v>
      </c>
      <c r="Q7752" s="5" t="s">
        <v>355</v>
      </c>
    </row>
    <row r="7753" ht="16.5" customHeight="1">
      <c r="O7753" s="5" t="s">
        <v>355</v>
      </c>
      <c r="P7753" s="5" t="s">
        <v>355</v>
      </c>
      <c r="Q7753" s="5" t="s">
        <v>355</v>
      </c>
    </row>
    <row r="7754" ht="16.5" customHeight="1">
      <c r="O7754" s="5" t="s">
        <v>355</v>
      </c>
      <c r="P7754" s="5" t="s">
        <v>355</v>
      </c>
      <c r="Q7754" s="5" t="s">
        <v>355</v>
      </c>
    </row>
    <row r="7755" ht="16.5" customHeight="1">
      <c r="O7755" s="5" t="s">
        <v>355</v>
      </c>
      <c r="P7755" s="5" t="s">
        <v>355</v>
      </c>
      <c r="Q7755" s="5" t="s">
        <v>355</v>
      </c>
    </row>
    <row r="7756" ht="16.5" customHeight="1">
      <c r="O7756" s="5" t="s">
        <v>355</v>
      </c>
      <c r="P7756" s="5" t="s">
        <v>355</v>
      </c>
      <c r="Q7756" s="5" t="s">
        <v>355</v>
      </c>
    </row>
    <row r="7757" ht="16.5" customHeight="1">
      <c r="O7757" s="5" t="s">
        <v>355</v>
      </c>
      <c r="P7757" s="5" t="s">
        <v>355</v>
      </c>
      <c r="Q7757" s="5" t="s">
        <v>355</v>
      </c>
    </row>
    <row r="7758" ht="16.5" customHeight="1">
      <c r="O7758" s="5" t="s">
        <v>355</v>
      </c>
      <c r="P7758" s="5" t="s">
        <v>355</v>
      </c>
      <c r="Q7758" s="5" t="s">
        <v>355</v>
      </c>
    </row>
    <row r="7759" ht="16.5" customHeight="1">
      <c r="O7759" s="5" t="s">
        <v>355</v>
      </c>
      <c r="P7759" s="5" t="s">
        <v>355</v>
      </c>
      <c r="Q7759" s="5" t="s">
        <v>355</v>
      </c>
    </row>
    <row r="7760" ht="16.5" customHeight="1">
      <c r="O7760" s="5" t="s">
        <v>355</v>
      </c>
      <c r="P7760" s="5" t="s">
        <v>355</v>
      </c>
      <c r="Q7760" s="5" t="s">
        <v>355</v>
      </c>
    </row>
    <row r="7761" ht="16.5" customHeight="1">
      <c r="O7761" s="5" t="s">
        <v>355</v>
      </c>
      <c r="P7761" s="5" t="s">
        <v>355</v>
      </c>
      <c r="Q7761" s="5" t="s">
        <v>355</v>
      </c>
    </row>
    <row r="7762" ht="16.5" customHeight="1">
      <c r="O7762" s="5" t="s">
        <v>355</v>
      </c>
      <c r="P7762" s="5" t="s">
        <v>355</v>
      </c>
      <c r="Q7762" s="5" t="s">
        <v>355</v>
      </c>
    </row>
    <row r="7763" ht="16.5" customHeight="1">
      <c r="O7763" s="5" t="s">
        <v>355</v>
      </c>
      <c r="P7763" s="5" t="s">
        <v>355</v>
      </c>
      <c r="Q7763" s="5" t="s">
        <v>355</v>
      </c>
    </row>
    <row r="7764" ht="16.5" customHeight="1">
      <c r="O7764" s="5" t="s">
        <v>355</v>
      </c>
      <c r="P7764" s="5" t="s">
        <v>355</v>
      </c>
      <c r="Q7764" s="5" t="s">
        <v>355</v>
      </c>
    </row>
    <row r="7765" ht="16.5" customHeight="1">
      <c r="O7765" s="5" t="s">
        <v>355</v>
      </c>
      <c r="P7765" s="5" t="s">
        <v>355</v>
      </c>
      <c r="Q7765" s="5" t="s">
        <v>355</v>
      </c>
    </row>
    <row r="7766" ht="16.5" customHeight="1">
      <c r="O7766" s="5" t="s">
        <v>355</v>
      </c>
      <c r="P7766" s="5" t="s">
        <v>355</v>
      </c>
      <c r="Q7766" s="5" t="s">
        <v>355</v>
      </c>
    </row>
    <row r="7767" ht="16.5" customHeight="1">
      <c r="O7767" s="5" t="s">
        <v>355</v>
      </c>
      <c r="P7767" s="5" t="s">
        <v>355</v>
      </c>
      <c r="Q7767" s="5" t="s">
        <v>355</v>
      </c>
    </row>
    <row r="7768" ht="16.5" customHeight="1">
      <c r="O7768" s="5" t="s">
        <v>355</v>
      </c>
      <c r="P7768" s="5" t="s">
        <v>355</v>
      </c>
      <c r="Q7768" s="5" t="s">
        <v>355</v>
      </c>
    </row>
    <row r="7769" ht="16.5" customHeight="1">
      <c r="O7769" s="5" t="s">
        <v>355</v>
      </c>
      <c r="P7769" s="5" t="s">
        <v>355</v>
      </c>
      <c r="Q7769" s="5" t="s">
        <v>355</v>
      </c>
    </row>
    <row r="7770" ht="16.5" customHeight="1">
      <c r="O7770" s="5" t="s">
        <v>355</v>
      </c>
      <c r="P7770" s="5" t="s">
        <v>355</v>
      </c>
      <c r="Q7770" s="5" t="s">
        <v>355</v>
      </c>
    </row>
    <row r="7771" ht="16.5" customHeight="1">
      <c r="O7771" s="5" t="s">
        <v>355</v>
      </c>
      <c r="P7771" s="5" t="s">
        <v>355</v>
      </c>
      <c r="Q7771" s="5" t="s">
        <v>355</v>
      </c>
    </row>
    <row r="7772" ht="16.5" customHeight="1">
      <c r="O7772" s="5" t="s">
        <v>355</v>
      </c>
      <c r="P7772" s="5" t="s">
        <v>355</v>
      </c>
      <c r="Q7772" s="5" t="s">
        <v>355</v>
      </c>
    </row>
    <row r="7773" ht="16.5" customHeight="1">
      <c r="O7773" s="5" t="s">
        <v>355</v>
      </c>
      <c r="P7773" s="5" t="s">
        <v>355</v>
      </c>
      <c r="Q7773" s="5" t="s">
        <v>355</v>
      </c>
    </row>
    <row r="7774" ht="16.5" customHeight="1">
      <c r="O7774" s="5" t="s">
        <v>355</v>
      </c>
      <c r="P7774" s="5" t="s">
        <v>355</v>
      </c>
      <c r="Q7774" s="5" t="s">
        <v>355</v>
      </c>
    </row>
    <row r="7775" ht="16.5" customHeight="1">
      <c r="O7775" s="5" t="s">
        <v>355</v>
      </c>
      <c r="P7775" s="5" t="s">
        <v>355</v>
      </c>
      <c r="Q7775" s="5" t="s">
        <v>355</v>
      </c>
    </row>
    <row r="7776" ht="16.5" customHeight="1">
      <c r="O7776" s="5" t="s">
        <v>355</v>
      </c>
      <c r="P7776" s="5" t="s">
        <v>355</v>
      </c>
      <c r="Q7776" s="5" t="s">
        <v>355</v>
      </c>
    </row>
    <row r="7777" ht="16.5" customHeight="1">
      <c r="O7777" s="5" t="s">
        <v>355</v>
      </c>
      <c r="P7777" s="5" t="s">
        <v>355</v>
      </c>
      <c r="Q7777" s="5" t="s">
        <v>355</v>
      </c>
    </row>
    <row r="7778" ht="16.5" customHeight="1">
      <c r="O7778" s="5" t="s">
        <v>355</v>
      </c>
      <c r="P7778" s="5" t="s">
        <v>355</v>
      </c>
      <c r="Q7778" s="5" t="s">
        <v>355</v>
      </c>
    </row>
    <row r="7779" ht="16.5" customHeight="1">
      <c r="O7779" s="5" t="s">
        <v>355</v>
      </c>
      <c r="P7779" s="5" t="s">
        <v>355</v>
      </c>
      <c r="Q7779" s="5" t="s">
        <v>355</v>
      </c>
    </row>
    <row r="7780" ht="16.5" customHeight="1">
      <c r="O7780" s="5" t="s">
        <v>355</v>
      </c>
      <c r="P7780" s="5" t="s">
        <v>355</v>
      </c>
      <c r="Q7780" s="5" t="s">
        <v>355</v>
      </c>
    </row>
    <row r="7781" ht="16.5" customHeight="1">
      <c r="O7781" s="5" t="s">
        <v>355</v>
      </c>
      <c r="P7781" s="5" t="s">
        <v>355</v>
      </c>
      <c r="Q7781" s="5" t="s">
        <v>355</v>
      </c>
    </row>
    <row r="7782" ht="16.5" customHeight="1">
      <c r="O7782" s="5" t="s">
        <v>355</v>
      </c>
      <c r="P7782" s="5" t="s">
        <v>355</v>
      </c>
      <c r="Q7782" s="5" t="s">
        <v>355</v>
      </c>
    </row>
    <row r="7783" ht="16.5" customHeight="1">
      <c r="O7783" s="5" t="s">
        <v>355</v>
      </c>
      <c r="P7783" s="5" t="s">
        <v>355</v>
      </c>
      <c r="Q7783" s="5" t="s">
        <v>355</v>
      </c>
    </row>
    <row r="7784" ht="16.5" customHeight="1">
      <c r="O7784" s="5" t="s">
        <v>355</v>
      </c>
      <c r="P7784" s="5" t="s">
        <v>355</v>
      </c>
      <c r="Q7784" s="5" t="s">
        <v>355</v>
      </c>
    </row>
    <row r="7785" ht="16.5" customHeight="1">
      <c r="O7785" s="5" t="s">
        <v>355</v>
      </c>
      <c r="P7785" s="5" t="s">
        <v>355</v>
      </c>
      <c r="Q7785" s="5" t="s">
        <v>355</v>
      </c>
    </row>
    <row r="7786" ht="16.5" customHeight="1">
      <c r="O7786" s="5" t="s">
        <v>355</v>
      </c>
      <c r="P7786" s="5" t="s">
        <v>355</v>
      </c>
      <c r="Q7786" s="5" t="s">
        <v>355</v>
      </c>
    </row>
    <row r="7787" ht="16.5" customHeight="1">
      <c r="O7787" s="5" t="s">
        <v>355</v>
      </c>
      <c r="P7787" s="5" t="s">
        <v>355</v>
      </c>
      <c r="Q7787" s="5" t="s">
        <v>355</v>
      </c>
    </row>
    <row r="7788" ht="16.5" customHeight="1">
      <c r="O7788" s="5" t="s">
        <v>355</v>
      </c>
      <c r="P7788" s="5" t="s">
        <v>355</v>
      </c>
      <c r="Q7788" s="5" t="s">
        <v>355</v>
      </c>
    </row>
    <row r="7789" ht="16.5" customHeight="1">
      <c r="O7789" s="5" t="s">
        <v>355</v>
      </c>
      <c r="P7789" s="5" t="s">
        <v>355</v>
      </c>
      <c r="Q7789" s="5" t="s">
        <v>355</v>
      </c>
    </row>
    <row r="7790" ht="16.5" customHeight="1">
      <c r="O7790" s="5" t="s">
        <v>355</v>
      </c>
      <c r="P7790" s="5" t="s">
        <v>355</v>
      </c>
      <c r="Q7790" s="5" t="s">
        <v>355</v>
      </c>
    </row>
    <row r="7791" ht="16.5" customHeight="1">
      <c r="O7791" s="5" t="s">
        <v>355</v>
      </c>
      <c r="P7791" s="5" t="s">
        <v>355</v>
      </c>
      <c r="Q7791" s="5" t="s">
        <v>355</v>
      </c>
    </row>
    <row r="7792" ht="16.5" customHeight="1">
      <c r="O7792" s="5" t="s">
        <v>355</v>
      </c>
      <c r="P7792" s="5" t="s">
        <v>355</v>
      </c>
      <c r="Q7792" s="5" t="s">
        <v>355</v>
      </c>
    </row>
    <row r="7793" ht="16.5" customHeight="1">
      <c r="O7793" s="5" t="s">
        <v>355</v>
      </c>
      <c r="P7793" s="5" t="s">
        <v>355</v>
      </c>
      <c r="Q7793" s="5" t="s">
        <v>355</v>
      </c>
    </row>
    <row r="7794" ht="16.5" customHeight="1">
      <c r="O7794" s="5" t="s">
        <v>355</v>
      </c>
      <c r="P7794" s="5" t="s">
        <v>355</v>
      </c>
      <c r="Q7794" s="5" t="s">
        <v>355</v>
      </c>
    </row>
    <row r="7795" ht="16.5" customHeight="1">
      <c r="O7795" s="5" t="s">
        <v>355</v>
      </c>
      <c r="P7795" s="5" t="s">
        <v>355</v>
      </c>
      <c r="Q7795" s="5" t="s">
        <v>355</v>
      </c>
    </row>
    <row r="7796" ht="16.5" customHeight="1">
      <c r="O7796" s="5" t="s">
        <v>355</v>
      </c>
      <c r="P7796" s="5" t="s">
        <v>355</v>
      </c>
      <c r="Q7796" s="5" t="s">
        <v>355</v>
      </c>
    </row>
    <row r="7797" ht="16.5" customHeight="1">
      <c r="O7797" s="5" t="s">
        <v>355</v>
      </c>
      <c r="P7797" s="5" t="s">
        <v>355</v>
      </c>
      <c r="Q7797" s="5" t="s">
        <v>355</v>
      </c>
    </row>
    <row r="7798" ht="16.5" customHeight="1">
      <c r="O7798" s="5" t="s">
        <v>355</v>
      </c>
      <c r="P7798" s="5" t="s">
        <v>355</v>
      </c>
      <c r="Q7798" s="5" t="s">
        <v>355</v>
      </c>
    </row>
    <row r="7799" ht="16.5" customHeight="1">
      <c r="O7799" s="5" t="s">
        <v>355</v>
      </c>
      <c r="P7799" s="5" t="s">
        <v>355</v>
      </c>
      <c r="Q7799" s="5" t="s">
        <v>355</v>
      </c>
    </row>
    <row r="7800" ht="16.5" customHeight="1">
      <c r="O7800" s="5" t="s">
        <v>355</v>
      </c>
      <c r="P7800" s="5" t="s">
        <v>355</v>
      </c>
      <c r="Q7800" s="5" t="s">
        <v>355</v>
      </c>
    </row>
    <row r="7801" ht="16.5" customHeight="1">
      <c r="O7801" s="5" t="s">
        <v>355</v>
      </c>
      <c r="P7801" s="5" t="s">
        <v>355</v>
      </c>
      <c r="Q7801" s="5" t="s">
        <v>355</v>
      </c>
    </row>
    <row r="7802" ht="16.5" customHeight="1">
      <c r="O7802" s="5" t="s">
        <v>355</v>
      </c>
      <c r="P7802" s="5" t="s">
        <v>355</v>
      </c>
      <c r="Q7802" s="5" t="s">
        <v>355</v>
      </c>
    </row>
    <row r="7803" ht="16.5" customHeight="1">
      <c r="O7803" s="5" t="s">
        <v>355</v>
      </c>
      <c r="P7803" s="5" t="s">
        <v>355</v>
      </c>
      <c r="Q7803" s="5" t="s">
        <v>355</v>
      </c>
    </row>
    <row r="7804" ht="16.5" customHeight="1">
      <c r="O7804" s="5" t="s">
        <v>355</v>
      </c>
      <c r="P7804" s="5" t="s">
        <v>355</v>
      </c>
      <c r="Q7804" s="5" t="s">
        <v>355</v>
      </c>
    </row>
    <row r="7805" ht="16.5" customHeight="1">
      <c r="O7805" s="5" t="s">
        <v>355</v>
      </c>
      <c r="P7805" s="5" t="s">
        <v>355</v>
      </c>
      <c r="Q7805" s="5" t="s">
        <v>355</v>
      </c>
    </row>
    <row r="7806" ht="16.5" customHeight="1">
      <c r="O7806" s="5" t="s">
        <v>355</v>
      </c>
      <c r="P7806" s="5" t="s">
        <v>355</v>
      </c>
      <c r="Q7806" s="5" t="s">
        <v>355</v>
      </c>
    </row>
    <row r="7807" ht="16.5" customHeight="1">
      <c r="O7807" s="5" t="s">
        <v>355</v>
      </c>
      <c r="P7807" s="5" t="s">
        <v>355</v>
      </c>
      <c r="Q7807" s="5" t="s">
        <v>355</v>
      </c>
    </row>
    <row r="7808" ht="16.5" customHeight="1">
      <c r="O7808" s="5" t="s">
        <v>355</v>
      </c>
      <c r="P7808" s="5" t="s">
        <v>355</v>
      </c>
      <c r="Q7808" s="5" t="s">
        <v>355</v>
      </c>
    </row>
    <row r="7809" ht="16.5" customHeight="1">
      <c r="O7809" s="5" t="s">
        <v>355</v>
      </c>
      <c r="P7809" s="5" t="s">
        <v>355</v>
      </c>
      <c r="Q7809" s="5" t="s">
        <v>355</v>
      </c>
    </row>
    <row r="7810" ht="16.5" customHeight="1">
      <c r="O7810" s="5" t="s">
        <v>355</v>
      </c>
      <c r="P7810" s="5" t="s">
        <v>355</v>
      </c>
      <c r="Q7810" s="5" t="s">
        <v>355</v>
      </c>
    </row>
    <row r="7811" ht="16.5" customHeight="1">
      <c r="O7811" s="5" t="s">
        <v>355</v>
      </c>
      <c r="P7811" s="5" t="s">
        <v>355</v>
      </c>
      <c r="Q7811" s="5" t="s">
        <v>355</v>
      </c>
    </row>
    <row r="7812" ht="16.5" customHeight="1">
      <c r="O7812" s="5" t="s">
        <v>355</v>
      </c>
      <c r="P7812" s="5" t="s">
        <v>355</v>
      </c>
      <c r="Q7812" s="5" t="s">
        <v>355</v>
      </c>
    </row>
    <row r="7813" ht="16.5" customHeight="1">
      <c r="O7813" s="5" t="s">
        <v>355</v>
      </c>
      <c r="P7813" s="5" t="s">
        <v>355</v>
      </c>
      <c r="Q7813" s="5" t="s">
        <v>355</v>
      </c>
    </row>
    <row r="7814" ht="16.5" customHeight="1">
      <c r="O7814" s="5" t="s">
        <v>355</v>
      </c>
      <c r="P7814" s="5" t="s">
        <v>355</v>
      </c>
      <c r="Q7814" s="5" t="s">
        <v>355</v>
      </c>
    </row>
    <row r="7815" ht="16.5" customHeight="1">
      <c r="O7815" s="5" t="s">
        <v>355</v>
      </c>
      <c r="P7815" s="5" t="s">
        <v>355</v>
      </c>
      <c r="Q7815" s="5" t="s">
        <v>355</v>
      </c>
    </row>
    <row r="7816" ht="16.5" customHeight="1">
      <c r="O7816" s="5" t="s">
        <v>355</v>
      </c>
      <c r="P7816" s="5" t="s">
        <v>355</v>
      </c>
      <c r="Q7816" s="5" t="s">
        <v>355</v>
      </c>
    </row>
    <row r="7817" ht="16.5" customHeight="1">
      <c r="O7817" s="5" t="s">
        <v>355</v>
      </c>
      <c r="P7817" s="5" t="s">
        <v>355</v>
      </c>
      <c r="Q7817" s="5" t="s">
        <v>355</v>
      </c>
    </row>
    <row r="7818" ht="16.5" customHeight="1">
      <c r="O7818" s="5" t="s">
        <v>355</v>
      </c>
      <c r="P7818" s="5" t="s">
        <v>355</v>
      </c>
      <c r="Q7818" s="5" t="s">
        <v>355</v>
      </c>
    </row>
    <row r="7819" ht="16.5" customHeight="1">
      <c r="O7819" s="5" t="s">
        <v>355</v>
      </c>
      <c r="P7819" s="5" t="s">
        <v>355</v>
      </c>
      <c r="Q7819" s="5" t="s">
        <v>355</v>
      </c>
    </row>
    <row r="7820" ht="16.5" customHeight="1">
      <c r="O7820" s="5" t="s">
        <v>355</v>
      </c>
      <c r="P7820" s="5" t="s">
        <v>355</v>
      </c>
      <c r="Q7820" s="5" t="s">
        <v>355</v>
      </c>
    </row>
    <row r="7821" ht="16.5" customHeight="1">
      <c r="O7821" s="5" t="s">
        <v>355</v>
      </c>
      <c r="P7821" s="5" t="s">
        <v>355</v>
      </c>
      <c r="Q7821" s="5" t="s">
        <v>355</v>
      </c>
    </row>
    <row r="7822" ht="16.5" customHeight="1">
      <c r="O7822" s="5" t="s">
        <v>355</v>
      </c>
      <c r="P7822" s="5" t="s">
        <v>355</v>
      </c>
      <c r="Q7822" s="5" t="s">
        <v>355</v>
      </c>
    </row>
    <row r="7823" ht="16.5" customHeight="1">
      <c r="O7823" s="5" t="s">
        <v>355</v>
      </c>
      <c r="P7823" s="5" t="s">
        <v>355</v>
      </c>
      <c r="Q7823" s="5" t="s">
        <v>355</v>
      </c>
    </row>
    <row r="7824" ht="16.5" customHeight="1">
      <c r="O7824" s="5" t="s">
        <v>355</v>
      </c>
      <c r="P7824" s="5" t="s">
        <v>355</v>
      </c>
      <c r="Q7824" s="5" t="s">
        <v>355</v>
      </c>
    </row>
    <row r="7825" ht="16.5" customHeight="1">
      <c r="O7825" s="5" t="s">
        <v>355</v>
      </c>
      <c r="P7825" s="5" t="s">
        <v>355</v>
      </c>
      <c r="Q7825" s="5" t="s">
        <v>355</v>
      </c>
    </row>
    <row r="7826" ht="16.5" customHeight="1">
      <c r="O7826" s="5" t="s">
        <v>355</v>
      </c>
      <c r="P7826" s="5" t="s">
        <v>355</v>
      </c>
      <c r="Q7826" s="5" t="s">
        <v>355</v>
      </c>
    </row>
    <row r="7827" ht="16.5" customHeight="1">
      <c r="O7827" s="5" t="s">
        <v>355</v>
      </c>
      <c r="P7827" s="5" t="s">
        <v>355</v>
      </c>
      <c r="Q7827" s="5" t="s">
        <v>355</v>
      </c>
    </row>
    <row r="7828" ht="16.5" customHeight="1">
      <c r="O7828" s="5" t="s">
        <v>355</v>
      </c>
      <c r="P7828" s="5" t="s">
        <v>355</v>
      </c>
      <c r="Q7828" s="5" t="s">
        <v>355</v>
      </c>
    </row>
    <row r="7829" ht="16.5" customHeight="1">
      <c r="O7829" s="5" t="s">
        <v>355</v>
      </c>
      <c r="P7829" s="5" t="s">
        <v>355</v>
      </c>
      <c r="Q7829" s="5" t="s">
        <v>355</v>
      </c>
    </row>
    <row r="7830" ht="16.5" customHeight="1">
      <c r="O7830" s="5" t="s">
        <v>355</v>
      </c>
      <c r="P7830" s="5" t="s">
        <v>355</v>
      </c>
      <c r="Q7830" s="5" t="s">
        <v>355</v>
      </c>
    </row>
    <row r="7831" ht="16.5" customHeight="1">
      <c r="O7831" s="5" t="s">
        <v>355</v>
      </c>
      <c r="P7831" s="5" t="s">
        <v>355</v>
      </c>
      <c r="Q7831" s="5" t="s">
        <v>355</v>
      </c>
    </row>
    <row r="7832" ht="16.5" customHeight="1">
      <c r="O7832" s="5" t="s">
        <v>355</v>
      </c>
      <c r="P7832" s="5" t="s">
        <v>355</v>
      </c>
      <c r="Q7832" s="5" t="s">
        <v>355</v>
      </c>
    </row>
    <row r="7833" ht="16.5" customHeight="1">
      <c r="O7833" s="5" t="s">
        <v>355</v>
      </c>
      <c r="P7833" s="5" t="s">
        <v>355</v>
      </c>
      <c r="Q7833" s="5" t="s">
        <v>355</v>
      </c>
    </row>
    <row r="7834" ht="16.5" customHeight="1">
      <c r="O7834" s="5" t="s">
        <v>355</v>
      </c>
      <c r="P7834" s="5" t="s">
        <v>355</v>
      </c>
      <c r="Q7834" s="5" t="s">
        <v>355</v>
      </c>
    </row>
    <row r="7835" ht="16.5" customHeight="1">
      <c r="O7835" s="5" t="s">
        <v>355</v>
      </c>
      <c r="P7835" s="5" t="s">
        <v>355</v>
      </c>
      <c r="Q7835" s="5" t="s">
        <v>355</v>
      </c>
    </row>
    <row r="7836" ht="16.5" customHeight="1">
      <c r="O7836" s="5" t="s">
        <v>355</v>
      </c>
      <c r="P7836" s="5" t="s">
        <v>355</v>
      </c>
      <c r="Q7836" s="5" t="s">
        <v>355</v>
      </c>
    </row>
    <row r="7837" ht="16.5" customHeight="1">
      <c r="O7837" s="5" t="s">
        <v>355</v>
      </c>
      <c r="P7837" s="5" t="s">
        <v>355</v>
      </c>
      <c r="Q7837" s="5" t="s">
        <v>355</v>
      </c>
    </row>
    <row r="7838" ht="16.5" customHeight="1">
      <c r="O7838" s="5" t="s">
        <v>355</v>
      </c>
      <c r="P7838" s="5" t="s">
        <v>355</v>
      </c>
      <c r="Q7838" s="5" t="s">
        <v>355</v>
      </c>
    </row>
    <row r="7839" ht="16.5" customHeight="1">
      <c r="O7839" s="5" t="s">
        <v>355</v>
      </c>
      <c r="P7839" s="5" t="s">
        <v>355</v>
      </c>
      <c r="Q7839" s="5" t="s">
        <v>355</v>
      </c>
    </row>
    <row r="7840" ht="16.5" customHeight="1">
      <c r="O7840" s="5" t="s">
        <v>355</v>
      </c>
      <c r="P7840" s="5" t="s">
        <v>355</v>
      </c>
      <c r="Q7840" s="5" t="s">
        <v>355</v>
      </c>
    </row>
    <row r="7841" ht="16.5" customHeight="1">
      <c r="O7841" s="5" t="s">
        <v>355</v>
      </c>
      <c r="P7841" s="5" t="s">
        <v>355</v>
      </c>
      <c r="Q7841" s="5" t="s">
        <v>355</v>
      </c>
    </row>
    <row r="7842" ht="16.5" customHeight="1">
      <c r="O7842" s="5" t="s">
        <v>355</v>
      </c>
      <c r="P7842" s="5" t="s">
        <v>355</v>
      </c>
      <c r="Q7842" s="5" t="s">
        <v>355</v>
      </c>
    </row>
    <row r="7843" ht="16.5" customHeight="1">
      <c r="O7843" s="5" t="s">
        <v>355</v>
      </c>
      <c r="P7843" s="5" t="s">
        <v>355</v>
      </c>
      <c r="Q7843" s="5" t="s">
        <v>355</v>
      </c>
    </row>
    <row r="7844" ht="16.5" customHeight="1">
      <c r="O7844" s="5" t="s">
        <v>355</v>
      </c>
      <c r="P7844" s="5" t="s">
        <v>355</v>
      </c>
      <c r="Q7844" s="5" t="s">
        <v>355</v>
      </c>
    </row>
    <row r="7845" ht="16.5" customHeight="1">
      <c r="O7845" s="5" t="s">
        <v>355</v>
      </c>
      <c r="P7845" s="5" t="s">
        <v>355</v>
      </c>
      <c r="Q7845" s="5" t="s">
        <v>355</v>
      </c>
    </row>
    <row r="7846" ht="16.5" customHeight="1">
      <c r="O7846" s="5" t="s">
        <v>355</v>
      </c>
      <c r="P7846" s="5" t="s">
        <v>355</v>
      </c>
      <c r="Q7846" s="5" t="s">
        <v>355</v>
      </c>
    </row>
    <row r="7847" ht="16.5" customHeight="1">
      <c r="O7847" s="5" t="s">
        <v>355</v>
      </c>
      <c r="P7847" s="5" t="s">
        <v>355</v>
      </c>
      <c r="Q7847" s="5" t="s">
        <v>355</v>
      </c>
    </row>
    <row r="7848" ht="16.5" customHeight="1">
      <c r="O7848" s="5" t="s">
        <v>355</v>
      </c>
      <c r="P7848" s="5" t="s">
        <v>355</v>
      </c>
      <c r="Q7848" s="5" t="s">
        <v>355</v>
      </c>
    </row>
    <row r="7849" ht="16.5" customHeight="1">
      <c r="O7849" s="5" t="s">
        <v>355</v>
      </c>
      <c r="P7849" s="5" t="s">
        <v>355</v>
      </c>
      <c r="Q7849" s="5" t="s">
        <v>355</v>
      </c>
    </row>
    <row r="7850" ht="16.5" customHeight="1">
      <c r="O7850" s="5" t="s">
        <v>355</v>
      </c>
      <c r="P7850" s="5" t="s">
        <v>355</v>
      </c>
      <c r="Q7850" s="5" t="s">
        <v>355</v>
      </c>
    </row>
    <row r="7851" ht="16.5" customHeight="1">
      <c r="O7851" s="5" t="s">
        <v>355</v>
      </c>
      <c r="P7851" s="5" t="s">
        <v>355</v>
      </c>
      <c r="Q7851" s="5" t="s">
        <v>355</v>
      </c>
    </row>
    <row r="7852" ht="16.5" customHeight="1">
      <c r="O7852" s="5" t="s">
        <v>355</v>
      </c>
      <c r="P7852" s="5" t="s">
        <v>355</v>
      </c>
      <c r="Q7852" s="5" t="s">
        <v>355</v>
      </c>
    </row>
    <row r="7853" ht="16.5" customHeight="1">
      <c r="O7853" s="5" t="s">
        <v>355</v>
      </c>
      <c r="P7853" s="5" t="s">
        <v>355</v>
      </c>
      <c r="Q7853" s="5" t="s">
        <v>355</v>
      </c>
    </row>
    <row r="7854" ht="16.5" customHeight="1">
      <c r="O7854" s="5" t="s">
        <v>355</v>
      </c>
      <c r="P7854" s="5" t="s">
        <v>355</v>
      </c>
      <c r="Q7854" s="5" t="s">
        <v>355</v>
      </c>
    </row>
    <row r="7855" ht="16.5" customHeight="1">
      <c r="O7855" s="5" t="s">
        <v>355</v>
      </c>
      <c r="P7855" s="5" t="s">
        <v>355</v>
      </c>
      <c r="Q7855" s="5" t="s">
        <v>355</v>
      </c>
    </row>
    <row r="7856" ht="16.5" customHeight="1">
      <c r="O7856" s="5" t="s">
        <v>355</v>
      </c>
      <c r="P7856" s="5" t="s">
        <v>355</v>
      </c>
      <c r="Q7856" s="5" t="s">
        <v>355</v>
      </c>
    </row>
    <row r="7857" ht="16.5" customHeight="1">
      <c r="O7857" s="5" t="s">
        <v>355</v>
      </c>
      <c r="P7857" s="5" t="s">
        <v>355</v>
      </c>
      <c r="Q7857" s="5" t="s">
        <v>355</v>
      </c>
    </row>
    <row r="7858" ht="16.5" customHeight="1">
      <c r="O7858" s="5" t="s">
        <v>355</v>
      </c>
      <c r="P7858" s="5" t="s">
        <v>355</v>
      </c>
      <c r="Q7858" s="5" t="s">
        <v>355</v>
      </c>
    </row>
    <row r="7859" ht="16.5" customHeight="1">
      <c r="O7859" s="5" t="s">
        <v>355</v>
      </c>
      <c r="P7859" s="5" t="s">
        <v>355</v>
      </c>
      <c r="Q7859" s="5" t="s">
        <v>355</v>
      </c>
    </row>
    <row r="7860" ht="16.5" customHeight="1">
      <c r="O7860" s="5" t="s">
        <v>355</v>
      </c>
      <c r="P7860" s="5" t="s">
        <v>355</v>
      </c>
      <c r="Q7860" s="5" t="s">
        <v>355</v>
      </c>
    </row>
    <row r="7861" ht="16.5" customHeight="1">
      <c r="O7861" s="5" t="s">
        <v>355</v>
      </c>
      <c r="P7861" s="5" t="s">
        <v>355</v>
      </c>
      <c r="Q7861" s="5" t="s">
        <v>355</v>
      </c>
    </row>
    <row r="7862" ht="16.5" customHeight="1">
      <c r="O7862" s="5" t="s">
        <v>355</v>
      </c>
      <c r="P7862" s="5" t="s">
        <v>355</v>
      </c>
      <c r="Q7862" s="5" t="s">
        <v>355</v>
      </c>
    </row>
    <row r="7863" ht="16.5" customHeight="1">
      <c r="O7863" s="5" t="s">
        <v>355</v>
      </c>
      <c r="P7863" s="5" t="s">
        <v>355</v>
      </c>
      <c r="Q7863" s="5" t="s">
        <v>355</v>
      </c>
    </row>
    <row r="7864" ht="16.5" customHeight="1">
      <c r="O7864" s="5" t="s">
        <v>355</v>
      </c>
      <c r="P7864" s="5" t="s">
        <v>355</v>
      </c>
      <c r="Q7864" s="5" t="s">
        <v>355</v>
      </c>
    </row>
    <row r="7865" ht="16.5" customHeight="1">
      <c r="O7865" s="5" t="s">
        <v>355</v>
      </c>
      <c r="P7865" s="5" t="s">
        <v>355</v>
      </c>
      <c r="Q7865" s="5" t="s">
        <v>355</v>
      </c>
    </row>
    <row r="7866" ht="16.5" customHeight="1">
      <c r="O7866" s="5" t="s">
        <v>355</v>
      </c>
      <c r="P7866" s="5" t="s">
        <v>355</v>
      </c>
      <c r="Q7866" s="5" t="s">
        <v>355</v>
      </c>
    </row>
    <row r="7867" ht="16.5" customHeight="1">
      <c r="O7867" s="5" t="s">
        <v>355</v>
      </c>
      <c r="P7867" s="5" t="s">
        <v>355</v>
      </c>
      <c r="Q7867" s="5" t="s">
        <v>355</v>
      </c>
    </row>
    <row r="7868" ht="16.5" customHeight="1">
      <c r="O7868" s="5" t="s">
        <v>355</v>
      </c>
      <c r="P7868" s="5" t="s">
        <v>355</v>
      </c>
      <c r="Q7868" s="5" t="s">
        <v>355</v>
      </c>
    </row>
    <row r="7869" ht="16.5" customHeight="1">
      <c r="O7869" s="5" t="s">
        <v>355</v>
      </c>
      <c r="P7869" s="5" t="s">
        <v>355</v>
      </c>
      <c r="Q7869" s="5" t="s">
        <v>355</v>
      </c>
    </row>
    <row r="7870" ht="16.5" customHeight="1">
      <c r="O7870" s="5" t="s">
        <v>355</v>
      </c>
      <c r="P7870" s="5" t="s">
        <v>355</v>
      </c>
      <c r="Q7870" s="5" t="s">
        <v>355</v>
      </c>
    </row>
    <row r="7871" ht="16.5" customHeight="1">
      <c r="O7871" s="5" t="s">
        <v>355</v>
      </c>
      <c r="P7871" s="5" t="s">
        <v>355</v>
      </c>
      <c r="Q7871" s="5" t="s">
        <v>355</v>
      </c>
    </row>
    <row r="7872" ht="16.5" customHeight="1">
      <c r="O7872" s="5" t="s">
        <v>355</v>
      </c>
      <c r="P7872" s="5" t="s">
        <v>355</v>
      </c>
      <c r="Q7872" s="5" t="s">
        <v>355</v>
      </c>
    </row>
    <row r="7873" ht="16.5" customHeight="1">
      <c r="O7873" s="5" t="s">
        <v>355</v>
      </c>
      <c r="P7873" s="5" t="s">
        <v>355</v>
      </c>
      <c r="Q7873" s="5" t="s">
        <v>355</v>
      </c>
    </row>
    <row r="7874" ht="16.5" customHeight="1">
      <c r="O7874" s="5" t="s">
        <v>355</v>
      </c>
      <c r="P7874" s="5" t="s">
        <v>355</v>
      </c>
      <c r="Q7874" s="5" t="s">
        <v>355</v>
      </c>
    </row>
    <row r="7875" ht="16.5" customHeight="1">
      <c r="O7875" s="5" t="s">
        <v>355</v>
      </c>
      <c r="P7875" s="5" t="s">
        <v>355</v>
      </c>
      <c r="Q7875" s="5" t="s">
        <v>355</v>
      </c>
    </row>
    <row r="7876" ht="16.5" customHeight="1">
      <c r="O7876" s="5" t="s">
        <v>355</v>
      </c>
      <c r="P7876" s="5" t="s">
        <v>355</v>
      </c>
      <c r="Q7876" s="5" t="s">
        <v>355</v>
      </c>
    </row>
    <row r="7877" ht="16.5" customHeight="1">
      <c r="O7877" s="5" t="s">
        <v>355</v>
      </c>
      <c r="P7877" s="5" t="s">
        <v>355</v>
      </c>
      <c r="Q7877" s="5" t="s">
        <v>355</v>
      </c>
    </row>
    <row r="7878" ht="16.5" customHeight="1">
      <c r="O7878" s="5" t="s">
        <v>355</v>
      </c>
      <c r="P7878" s="5" t="s">
        <v>355</v>
      </c>
      <c r="Q7878" s="5" t="s">
        <v>355</v>
      </c>
    </row>
    <row r="7879" ht="16.5" customHeight="1">
      <c r="O7879" s="5" t="s">
        <v>355</v>
      </c>
      <c r="P7879" s="5" t="s">
        <v>355</v>
      </c>
      <c r="Q7879" s="5" t="s">
        <v>355</v>
      </c>
    </row>
    <row r="7880" ht="16.5" customHeight="1">
      <c r="O7880" s="5" t="s">
        <v>355</v>
      </c>
      <c r="P7880" s="5" t="s">
        <v>355</v>
      </c>
      <c r="Q7880" s="5" t="s">
        <v>355</v>
      </c>
    </row>
    <row r="7881" ht="16.5" customHeight="1">
      <c r="O7881" s="5" t="s">
        <v>355</v>
      </c>
      <c r="P7881" s="5" t="s">
        <v>355</v>
      </c>
      <c r="Q7881" s="5" t="s">
        <v>355</v>
      </c>
    </row>
    <row r="7882" ht="16.5" customHeight="1">
      <c r="O7882" s="5" t="s">
        <v>355</v>
      </c>
      <c r="P7882" s="5" t="s">
        <v>355</v>
      </c>
      <c r="Q7882" s="5" t="s">
        <v>355</v>
      </c>
    </row>
    <row r="7883" ht="16.5" customHeight="1">
      <c r="O7883" s="5" t="s">
        <v>355</v>
      </c>
      <c r="P7883" s="5" t="s">
        <v>355</v>
      </c>
      <c r="Q7883" s="5" t="s">
        <v>355</v>
      </c>
    </row>
    <row r="7884" ht="16.5" customHeight="1">
      <c r="O7884" s="5" t="s">
        <v>355</v>
      </c>
      <c r="P7884" s="5" t="s">
        <v>355</v>
      </c>
      <c r="Q7884" s="5" t="s">
        <v>355</v>
      </c>
    </row>
    <row r="7885" ht="16.5" customHeight="1">
      <c r="O7885" s="5" t="s">
        <v>355</v>
      </c>
      <c r="P7885" s="5" t="s">
        <v>355</v>
      </c>
      <c r="Q7885" s="5" t="s">
        <v>355</v>
      </c>
    </row>
    <row r="7886" ht="16.5" customHeight="1">
      <c r="O7886" s="5" t="s">
        <v>355</v>
      </c>
      <c r="P7886" s="5" t="s">
        <v>355</v>
      </c>
      <c r="Q7886" s="5" t="s">
        <v>355</v>
      </c>
    </row>
    <row r="7887" ht="16.5" customHeight="1">
      <c r="O7887" s="5" t="s">
        <v>355</v>
      </c>
      <c r="P7887" s="5" t="s">
        <v>355</v>
      </c>
      <c r="Q7887" s="5" t="s">
        <v>355</v>
      </c>
    </row>
    <row r="7888" ht="16.5" customHeight="1">
      <c r="O7888" s="5" t="s">
        <v>355</v>
      </c>
      <c r="P7888" s="5" t="s">
        <v>355</v>
      </c>
      <c r="Q7888" s="5" t="s">
        <v>355</v>
      </c>
    </row>
    <row r="7889" ht="16.5" customHeight="1">
      <c r="O7889" s="5" t="s">
        <v>355</v>
      </c>
      <c r="P7889" s="5" t="s">
        <v>355</v>
      </c>
      <c r="Q7889" s="5" t="s">
        <v>355</v>
      </c>
    </row>
    <row r="7890" ht="16.5" customHeight="1">
      <c r="O7890" s="5" t="s">
        <v>355</v>
      </c>
      <c r="P7890" s="5" t="s">
        <v>355</v>
      </c>
      <c r="Q7890" s="5" t="s">
        <v>355</v>
      </c>
    </row>
    <row r="7891" ht="16.5" customHeight="1">
      <c r="O7891" s="5" t="s">
        <v>355</v>
      </c>
      <c r="P7891" s="5" t="s">
        <v>355</v>
      </c>
      <c r="Q7891" s="5" t="s">
        <v>355</v>
      </c>
    </row>
    <row r="7892" ht="16.5" customHeight="1">
      <c r="O7892" s="5" t="s">
        <v>355</v>
      </c>
      <c r="P7892" s="5" t="s">
        <v>355</v>
      </c>
      <c r="Q7892" s="5" t="s">
        <v>355</v>
      </c>
    </row>
    <row r="7893" ht="16.5" customHeight="1">
      <c r="O7893" s="5" t="s">
        <v>355</v>
      </c>
      <c r="P7893" s="5" t="s">
        <v>355</v>
      </c>
      <c r="Q7893" s="5" t="s">
        <v>355</v>
      </c>
    </row>
    <row r="7894" ht="16.5" customHeight="1">
      <c r="O7894" s="5" t="s">
        <v>355</v>
      </c>
      <c r="P7894" s="5" t="s">
        <v>355</v>
      </c>
      <c r="Q7894" s="5" t="s">
        <v>355</v>
      </c>
    </row>
    <row r="7895" ht="16.5" customHeight="1">
      <c r="O7895" s="5" t="s">
        <v>355</v>
      </c>
      <c r="P7895" s="5" t="s">
        <v>355</v>
      </c>
      <c r="Q7895" s="5" t="s">
        <v>355</v>
      </c>
    </row>
    <row r="7896" ht="16.5" customHeight="1">
      <c r="O7896" s="5" t="s">
        <v>355</v>
      </c>
      <c r="P7896" s="5" t="s">
        <v>355</v>
      </c>
      <c r="Q7896" s="5" t="s">
        <v>355</v>
      </c>
    </row>
    <row r="7897" ht="16.5" customHeight="1">
      <c r="O7897" s="5" t="s">
        <v>355</v>
      </c>
      <c r="P7897" s="5" t="s">
        <v>355</v>
      </c>
      <c r="Q7897" s="5" t="s">
        <v>355</v>
      </c>
    </row>
    <row r="7898" ht="16.5" customHeight="1">
      <c r="O7898" s="5" t="s">
        <v>355</v>
      </c>
      <c r="P7898" s="5" t="s">
        <v>355</v>
      </c>
      <c r="Q7898" s="5" t="s">
        <v>355</v>
      </c>
    </row>
    <row r="7899" ht="16.5" customHeight="1">
      <c r="O7899" s="5" t="s">
        <v>355</v>
      </c>
      <c r="P7899" s="5" t="s">
        <v>355</v>
      </c>
      <c r="Q7899" s="5" t="s">
        <v>355</v>
      </c>
    </row>
    <row r="7900" ht="16.5" customHeight="1">
      <c r="O7900" s="5" t="s">
        <v>355</v>
      </c>
      <c r="P7900" s="5" t="s">
        <v>355</v>
      </c>
      <c r="Q7900" s="5" t="s">
        <v>355</v>
      </c>
    </row>
    <row r="7901" ht="16.5" customHeight="1">
      <c r="O7901" s="5" t="s">
        <v>355</v>
      </c>
      <c r="P7901" s="5" t="s">
        <v>355</v>
      </c>
      <c r="Q7901" s="5" t="s">
        <v>355</v>
      </c>
    </row>
    <row r="7902" ht="16.5" customHeight="1">
      <c r="O7902" s="5" t="s">
        <v>355</v>
      </c>
      <c r="P7902" s="5" t="s">
        <v>355</v>
      </c>
      <c r="Q7902" s="5" t="s">
        <v>355</v>
      </c>
    </row>
    <row r="7903" ht="16.5" customHeight="1">
      <c r="O7903" s="5" t="s">
        <v>355</v>
      </c>
      <c r="P7903" s="5" t="s">
        <v>355</v>
      </c>
      <c r="Q7903" s="5" t="s">
        <v>355</v>
      </c>
    </row>
    <row r="7904" ht="16.5" customHeight="1">
      <c r="O7904" s="5" t="s">
        <v>355</v>
      </c>
      <c r="P7904" s="5" t="s">
        <v>355</v>
      </c>
      <c r="Q7904" s="5" t="s">
        <v>355</v>
      </c>
    </row>
    <row r="7905" ht="16.5" customHeight="1">
      <c r="O7905" s="5" t="s">
        <v>355</v>
      </c>
      <c r="P7905" s="5" t="s">
        <v>355</v>
      </c>
      <c r="Q7905" s="5" t="s">
        <v>355</v>
      </c>
    </row>
    <row r="7906" ht="16.5" customHeight="1">
      <c r="O7906" s="5" t="s">
        <v>355</v>
      </c>
      <c r="P7906" s="5" t="s">
        <v>355</v>
      </c>
      <c r="Q7906" s="5" t="s">
        <v>355</v>
      </c>
    </row>
    <row r="7907" ht="16.5" customHeight="1">
      <c r="O7907" s="5" t="s">
        <v>355</v>
      </c>
      <c r="P7907" s="5" t="s">
        <v>355</v>
      </c>
      <c r="Q7907" s="5" t="s">
        <v>355</v>
      </c>
    </row>
    <row r="7908" ht="16.5" customHeight="1">
      <c r="O7908" s="5" t="s">
        <v>355</v>
      </c>
      <c r="P7908" s="5" t="s">
        <v>355</v>
      </c>
      <c r="Q7908" s="5" t="s">
        <v>355</v>
      </c>
    </row>
    <row r="7909" ht="16.5" customHeight="1">
      <c r="O7909" s="5" t="s">
        <v>355</v>
      </c>
      <c r="P7909" s="5" t="s">
        <v>355</v>
      </c>
      <c r="Q7909" s="5" t="s">
        <v>355</v>
      </c>
    </row>
    <row r="7910" ht="16.5" customHeight="1">
      <c r="O7910" s="5" t="s">
        <v>355</v>
      </c>
      <c r="P7910" s="5" t="s">
        <v>355</v>
      </c>
      <c r="Q7910" s="5" t="s">
        <v>355</v>
      </c>
    </row>
    <row r="7911" ht="16.5" customHeight="1">
      <c r="O7911" s="5" t="s">
        <v>355</v>
      </c>
      <c r="P7911" s="5" t="s">
        <v>355</v>
      </c>
      <c r="Q7911" s="5" t="s">
        <v>355</v>
      </c>
    </row>
    <row r="7912" ht="16.5" customHeight="1">
      <c r="O7912" s="5" t="s">
        <v>355</v>
      </c>
      <c r="P7912" s="5" t="s">
        <v>355</v>
      </c>
      <c r="Q7912" s="5" t="s">
        <v>355</v>
      </c>
    </row>
    <row r="7913" ht="16.5" customHeight="1">
      <c r="O7913" s="5" t="s">
        <v>355</v>
      </c>
      <c r="P7913" s="5" t="s">
        <v>355</v>
      </c>
      <c r="Q7913" s="5" t="s">
        <v>355</v>
      </c>
    </row>
    <row r="7914" ht="16.5" customHeight="1">
      <c r="O7914" s="5" t="s">
        <v>355</v>
      </c>
      <c r="P7914" s="5" t="s">
        <v>355</v>
      </c>
      <c r="Q7914" s="5" t="s">
        <v>355</v>
      </c>
    </row>
    <row r="7915" ht="16.5" customHeight="1">
      <c r="O7915" s="5" t="s">
        <v>355</v>
      </c>
      <c r="P7915" s="5" t="s">
        <v>355</v>
      </c>
      <c r="Q7915" s="5" t="s">
        <v>355</v>
      </c>
    </row>
    <row r="7916" ht="16.5" customHeight="1">
      <c r="O7916" s="5" t="s">
        <v>355</v>
      </c>
      <c r="P7916" s="5" t="s">
        <v>355</v>
      </c>
      <c r="Q7916" s="5" t="s">
        <v>355</v>
      </c>
    </row>
    <row r="7917" ht="16.5" customHeight="1">
      <c r="O7917" s="5" t="s">
        <v>355</v>
      </c>
      <c r="P7917" s="5" t="s">
        <v>355</v>
      </c>
      <c r="Q7917" s="5" t="s">
        <v>355</v>
      </c>
    </row>
    <row r="7918" ht="16.5" customHeight="1">
      <c r="O7918" s="5" t="s">
        <v>355</v>
      </c>
      <c r="P7918" s="5" t="s">
        <v>355</v>
      </c>
      <c r="Q7918" s="5" t="s">
        <v>355</v>
      </c>
    </row>
    <row r="7919" ht="16.5" customHeight="1">
      <c r="O7919" s="5" t="s">
        <v>355</v>
      </c>
      <c r="P7919" s="5" t="s">
        <v>355</v>
      </c>
      <c r="Q7919" s="5" t="s">
        <v>355</v>
      </c>
    </row>
    <row r="7920" ht="16.5" customHeight="1">
      <c r="O7920" s="5" t="s">
        <v>355</v>
      </c>
      <c r="P7920" s="5" t="s">
        <v>355</v>
      </c>
      <c r="Q7920" s="5" t="s">
        <v>355</v>
      </c>
    </row>
    <row r="7921" ht="16.5" customHeight="1">
      <c r="O7921" s="5" t="s">
        <v>355</v>
      </c>
      <c r="P7921" s="5" t="s">
        <v>355</v>
      </c>
      <c r="Q7921" s="5" t="s">
        <v>355</v>
      </c>
    </row>
    <row r="7922" ht="16.5" customHeight="1">
      <c r="O7922" s="5" t="s">
        <v>355</v>
      </c>
      <c r="P7922" s="5" t="s">
        <v>355</v>
      </c>
      <c r="Q7922" s="5" t="s">
        <v>355</v>
      </c>
    </row>
    <row r="7923" ht="16.5" customHeight="1">
      <c r="O7923" s="5" t="s">
        <v>355</v>
      </c>
      <c r="P7923" s="5" t="s">
        <v>355</v>
      </c>
      <c r="Q7923" s="5" t="s">
        <v>355</v>
      </c>
    </row>
    <row r="7924" ht="16.5" customHeight="1">
      <c r="O7924" s="5" t="s">
        <v>355</v>
      </c>
      <c r="P7924" s="5" t="s">
        <v>355</v>
      </c>
      <c r="Q7924" s="5" t="s">
        <v>355</v>
      </c>
    </row>
    <row r="7925" ht="16.5" customHeight="1">
      <c r="O7925" s="5" t="s">
        <v>355</v>
      </c>
      <c r="P7925" s="5" t="s">
        <v>355</v>
      </c>
      <c r="Q7925" s="5" t="s">
        <v>355</v>
      </c>
    </row>
    <row r="7926" ht="16.5" customHeight="1">
      <c r="O7926" s="5" t="s">
        <v>355</v>
      </c>
      <c r="P7926" s="5" t="s">
        <v>355</v>
      </c>
      <c r="Q7926" s="5" t="s">
        <v>355</v>
      </c>
    </row>
    <row r="7927" ht="16.5" customHeight="1">
      <c r="O7927" s="5" t="s">
        <v>355</v>
      </c>
      <c r="P7927" s="5" t="s">
        <v>355</v>
      </c>
      <c r="Q7927" s="5" t="s">
        <v>355</v>
      </c>
    </row>
    <row r="7928" ht="16.5" customHeight="1">
      <c r="O7928" s="5" t="s">
        <v>355</v>
      </c>
      <c r="P7928" s="5" t="s">
        <v>355</v>
      </c>
      <c r="Q7928" s="5" t="s">
        <v>355</v>
      </c>
    </row>
    <row r="7929" ht="16.5" customHeight="1">
      <c r="O7929" s="5" t="s">
        <v>355</v>
      </c>
      <c r="P7929" s="5" t="s">
        <v>355</v>
      </c>
      <c r="Q7929" s="5" t="s">
        <v>355</v>
      </c>
    </row>
    <row r="7930" ht="16.5" customHeight="1">
      <c r="O7930" s="5" t="s">
        <v>355</v>
      </c>
      <c r="P7930" s="5" t="s">
        <v>355</v>
      </c>
      <c r="Q7930" s="5" t="s">
        <v>355</v>
      </c>
    </row>
    <row r="7931" ht="16.5" customHeight="1">
      <c r="O7931" s="5" t="s">
        <v>355</v>
      </c>
      <c r="P7931" s="5" t="s">
        <v>355</v>
      </c>
      <c r="Q7931" s="5" t="s">
        <v>355</v>
      </c>
    </row>
    <row r="7932" ht="16.5" customHeight="1">
      <c r="O7932" s="5" t="s">
        <v>355</v>
      </c>
      <c r="P7932" s="5" t="s">
        <v>355</v>
      </c>
      <c r="Q7932" s="5" t="s">
        <v>355</v>
      </c>
    </row>
    <row r="7933" ht="16.5" customHeight="1">
      <c r="O7933" s="5" t="s">
        <v>355</v>
      </c>
      <c r="P7933" s="5" t="s">
        <v>355</v>
      </c>
      <c r="Q7933" s="5" t="s">
        <v>355</v>
      </c>
    </row>
    <row r="7934" ht="16.5" customHeight="1">
      <c r="O7934" s="5" t="s">
        <v>355</v>
      </c>
      <c r="P7934" s="5" t="s">
        <v>355</v>
      </c>
      <c r="Q7934" s="5" t="s">
        <v>355</v>
      </c>
    </row>
    <row r="7935" ht="16.5" customHeight="1">
      <c r="O7935" s="5" t="s">
        <v>355</v>
      </c>
      <c r="P7935" s="5" t="s">
        <v>355</v>
      </c>
      <c r="Q7935" s="5" t="s">
        <v>355</v>
      </c>
    </row>
    <row r="7936" ht="16.5" customHeight="1">
      <c r="O7936" s="5" t="s">
        <v>355</v>
      </c>
      <c r="P7936" s="5" t="s">
        <v>355</v>
      </c>
      <c r="Q7936" s="5" t="s">
        <v>355</v>
      </c>
    </row>
    <row r="7937" ht="16.5" customHeight="1">
      <c r="O7937" s="5" t="s">
        <v>355</v>
      </c>
      <c r="P7937" s="5" t="s">
        <v>355</v>
      </c>
      <c r="Q7937" s="5" t="s">
        <v>355</v>
      </c>
    </row>
    <row r="7938" ht="16.5" customHeight="1">
      <c r="O7938" s="5" t="s">
        <v>355</v>
      </c>
      <c r="P7938" s="5" t="s">
        <v>355</v>
      </c>
      <c r="Q7938" s="5" t="s">
        <v>355</v>
      </c>
    </row>
    <row r="7939" ht="16.5" customHeight="1">
      <c r="O7939" s="5" t="s">
        <v>355</v>
      </c>
      <c r="P7939" s="5" t="s">
        <v>355</v>
      </c>
      <c r="Q7939" s="5" t="s">
        <v>355</v>
      </c>
    </row>
    <row r="7940" ht="16.5" customHeight="1">
      <c r="O7940" s="5" t="s">
        <v>355</v>
      </c>
      <c r="P7940" s="5" t="s">
        <v>355</v>
      </c>
      <c r="Q7940" s="5" t="s">
        <v>355</v>
      </c>
    </row>
    <row r="7941" ht="16.5" customHeight="1">
      <c r="O7941" s="5" t="s">
        <v>355</v>
      </c>
      <c r="P7941" s="5" t="s">
        <v>355</v>
      </c>
      <c r="Q7941" s="5" t="s">
        <v>355</v>
      </c>
    </row>
    <row r="7942" ht="16.5" customHeight="1">
      <c r="O7942" s="5" t="s">
        <v>355</v>
      </c>
      <c r="P7942" s="5" t="s">
        <v>355</v>
      </c>
      <c r="Q7942" s="5" t="s">
        <v>355</v>
      </c>
    </row>
    <row r="7943" ht="16.5" customHeight="1">
      <c r="O7943" s="5" t="s">
        <v>355</v>
      </c>
      <c r="P7943" s="5" t="s">
        <v>355</v>
      </c>
      <c r="Q7943" s="5" t="s">
        <v>355</v>
      </c>
    </row>
    <row r="7944" ht="16.5" customHeight="1">
      <c r="O7944" s="5" t="s">
        <v>355</v>
      </c>
      <c r="P7944" s="5" t="s">
        <v>355</v>
      </c>
      <c r="Q7944" s="5" t="s">
        <v>355</v>
      </c>
    </row>
    <row r="7945" ht="16.5" customHeight="1">
      <c r="O7945" s="5" t="s">
        <v>355</v>
      </c>
      <c r="P7945" s="5" t="s">
        <v>355</v>
      </c>
      <c r="Q7945" s="5" t="s">
        <v>355</v>
      </c>
    </row>
    <row r="7946" ht="16.5" customHeight="1">
      <c r="O7946" s="5" t="s">
        <v>355</v>
      </c>
      <c r="P7946" s="5" t="s">
        <v>355</v>
      </c>
      <c r="Q7946" s="5" t="s">
        <v>355</v>
      </c>
    </row>
    <row r="7947" ht="16.5" customHeight="1">
      <c r="O7947" s="5" t="s">
        <v>355</v>
      </c>
      <c r="P7947" s="5" t="s">
        <v>355</v>
      </c>
      <c r="Q7947" s="5" t="s">
        <v>355</v>
      </c>
    </row>
    <row r="7948" ht="16.5" customHeight="1">
      <c r="O7948" s="5" t="s">
        <v>355</v>
      </c>
      <c r="P7948" s="5" t="s">
        <v>355</v>
      </c>
      <c r="Q7948" s="5" t="s">
        <v>355</v>
      </c>
    </row>
    <row r="7949" ht="16.5" customHeight="1">
      <c r="O7949" s="5" t="s">
        <v>355</v>
      </c>
      <c r="P7949" s="5" t="s">
        <v>355</v>
      </c>
      <c r="Q7949" s="5" t="s">
        <v>355</v>
      </c>
    </row>
    <row r="7950" ht="16.5" customHeight="1">
      <c r="O7950" s="5" t="s">
        <v>355</v>
      </c>
      <c r="P7950" s="5" t="s">
        <v>355</v>
      </c>
      <c r="Q7950" s="5" t="s">
        <v>355</v>
      </c>
    </row>
    <row r="7951" ht="16.5" customHeight="1">
      <c r="O7951" s="5" t="s">
        <v>355</v>
      </c>
      <c r="P7951" s="5" t="s">
        <v>355</v>
      </c>
      <c r="Q7951" s="5" t="s">
        <v>355</v>
      </c>
    </row>
    <row r="7952" ht="16.5" customHeight="1">
      <c r="O7952" s="5" t="s">
        <v>355</v>
      </c>
      <c r="P7952" s="5" t="s">
        <v>355</v>
      </c>
      <c r="Q7952" s="5" t="s">
        <v>355</v>
      </c>
    </row>
    <row r="7953" ht="16.5" customHeight="1">
      <c r="O7953" s="5" t="s">
        <v>355</v>
      </c>
      <c r="P7953" s="5" t="s">
        <v>355</v>
      </c>
      <c r="Q7953" s="5" t="s">
        <v>355</v>
      </c>
    </row>
    <row r="7954" ht="16.5" customHeight="1">
      <c r="O7954" s="5" t="s">
        <v>355</v>
      </c>
      <c r="P7954" s="5" t="s">
        <v>355</v>
      </c>
      <c r="Q7954" s="5" t="s">
        <v>355</v>
      </c>
    </row>
    <row r="7955" ht="16.5" customHeight="1">
      <c r="O7955" s="5" t="s">
        <v>355</v>
      </c>
      <c r="P7955" s="5" t="s">
        <v>355</v>
      </c>
      <c r="Q7955" s="5" t="s">
        <v>355</v>
      </c>
    </row>
    <row r="7956" ht="16.5" customHeight="1">
      <c r="O7956" s="5" t="s">
        <v>355</v>
      </c>
      <c r="P7956" s="5" t="s">
        <v>355</v>
      </c>
      <c r="Q7956" s="5" t="s">
        <v>355</v>
      </c>
    </row>
    <row r="7957" ht="16.5" customHeight="1">
      <c r="O7957" s="5" t="s">
        <v>355</v>
      </c>
      <c r="P7957" s="5" t="s">
        <v>355</v>
      </c>
      <c r="Q7957" s="5" t="s">
        <v>355</v>
      </c>
    </row>
    <row r="7958" ht="16.5" customHeight="1">
      <c r="O7958" s="5" t="s">
        <v>355</v>
      </c>
      <c r="P7958" s="5" t="s">
        <v>355</v>
      </c>
      <c r="Q7958" s="5" t="s">
        <v>355</v>
      </c>
    </row>
    <row r="7959" ht="16.5" customHeight="1">
      <c r="O7959" s="5" t="s">
        <v>355</v>
      </c>
      <c r="P7959" s="5" t="s">
        <v>355</v>
      </c>
      <c r="Q7959" s="5" t="s">
        <v>355</v>
      </c>
    </row>
    <row r="7960" ht="16.5" customHeight="1">
      <c r="O7960" s="5" t="s">
        <v>355</v>
      </c>
      <c r="P7960" s="5" t="s">
        <v>355</v>
      </c>
      <c r="Q7960" s="5" t="s">
        <v>355</v>
      </c>
    </row>
    <row r="7961" ht="16.5" customHeight="1">
      <c r="O7961" s="5" t="s">
        <v>355</v>
      </c>
      <c r="P7961" s="5" t="s">
        <v>355</v>
      </c>
      <c r="Q7961" s="5" t="s">
        <v>355</v>
      </c>
    </row>
    <row r="7962" ht="16.5" customHeight="1">
      <c r="O7962" s="5" t="s">
        <v>355</v>
      </c>
      <c r="P7962" s="5" t="s">
        <v>355</v>
      </c>
      <c r="Q7962" s="5" t="s">
        <v>355</v>
      </c>
    </row>
    <row r="7963" ht="16.5" customHeight="1">
      <c r="O7963" s="5" t="s">
        <v>355</v>
      </c>
      <c r="P7963" s="5" t="s">
        <v>355</v>
      </c>
      <c r="Q7963" s="5" t="s">
        <v>355</v>
      </c>
    </row>
    <row r="7964" ht="16.5" customHeight="1">
      <c r="O7964" s="5" t="s">
        <v>355</v>
      </c>
      <c r="P7964" s="5" t="s">
        <v>355</v>
      </c>
      <c r="Q7964" s="5" t="s">
        <v>355</v>
      </c>
    </row>
    <row r="7965" ht="16.5" customHeight="1">
      <c r="O7965" s="5" t="s">
        <v>355</v>
      </c>
      <c r="P7965" s="5" t="s">
        <v>355</v>
      </c>
      <c r="Q7965" s="5" t="s">
        <v>355</v>
      </c>
    </row>
    <row r="7966" ht="16.5" customHeight="1">
      <c r="O7966" s="5" t="s">
        <v>355</v>
      </c>
      <c r="P7966" s="5" t="s">
        <v>355</v>
      </c>
      <c r="Q7966" s="5" t="s">
        <v>355</v>
      </c>
    </row>
    <row r="7967" ht="16.5" customHeight="1">
      <c r="O7967" s="5" t="s">
        <v>355</v>
      </c>
      <c r="P7967" s="5" t="s">
        <v>355</v>
      </c>
      <c r="Q7967" s="5" t="s">
        <v>355</v>
      </c>
    </row>
    <row r="7968" ht="16.5" customHeight="1">
      <c r="O7968" s="5" t="s">
        <v>355</v>
      </c>
      <c r="P7968" s="5" t="s">
        <v>355</v>
      </c>
      <c r="Q7968" s="5" t="s">
        <v>355</v>
      </c>
    </row>
    <row r="7969" ht="16.5" customHeight="1">
      <c r="O7969" s="5" t="s">
        <v>355</v>
      </c>
      <c r="P7969" s="5" t="s">
        <v>355</v>
      </c>
      <c r="Q7969" s="5" t="s">
        <v>355</v>
      </c>
    </row>
    <row r="7970" ht="16.5" customHeight="1">
      <c r="O7970" s="5" t="s">
        <v>355</v>
      </c>
      <c r="P7970" s="5" t="s">
        <v>355</v>
      </c>
      <c r="Q7970" s="5" t="s">
        <v>355</v>
      </c>
    </row>
    <row r="7971" ht="16.5" customHeight="1">
      <c r="O7971" s="5" t="s">
        <v>355</v>
      </c>
      <c r="P7971" s="5" t="s">
        <v>355</v>
      </c>
      <c r="Q7971" s="5" t="s">
        <v>355</v>
      </c>
    </row>
    <row r="7972" ht="16.5" customHeight="1">
      <c r="O7972" s="5" t="s">
        <v>355</v>
      </c>
      <c r="P7972" s="5" t="s">
        <v>355</v>
      </c>
      <c r="Q7972" s="5" t="s">
        <v>355</v>
      </c>
    </row>
    <row r="7973" ht="16.5" customHeight="1">
      <c r="O7973" s="5" t="s">
        <v>355</v>
      </c>
      <c r="P7973" s="5" t="s">
        <v>355</v>
      </c>
      <c r="Q7973" s="5" t="s">
        <v>355</v>
      </c>
    </row>
    <row r="7974" ht="16.5" customHeight="1">
      <c r="O7974" s="5" t="s">
        <v>355</v>
      </c>
      <c r="P7974" s="5" t="s">
        <v>355</v>
      </c>
      <c r="Q7974" s="5" t="s">
        <v>355</v>
      </c>
    </row>
    <row r="7975" ht="16.5" customHeight="1">
      <c r="O7975" s="5" t="s">
        <v>355</v>
      </c>
      <c r="P7975" s="5" t="s">
        <v>355</v>
      </c>
      <c r="Q7975" s="5" t="s">
        <v>355</v>
      </c>
    </row>
    <row r="7976" ht="16.5" customHeight="1">
      <c r="O7976" s="5" t="s">
        <v>355</v>
      </c>
      <c r="P7976" s="5" t="s">
        <v>355</v>
      </c>
      <c r="Q7976" s="5" t="s">
        <v>355</v>
      </c>
    </row>
    <row r="7977" ht="16.5" customHeight="1">
      <c r="O7977" s="5" t="s">
        <v>355</v>
      </c>
      <c r="P7977" s="5" t="s">
        <v>355</v>
      </c>
      <c r="Q7977" s="5" t="s">
        <v>355</v>
      </c>
    </row>
    <row r="7978" ht="16.5" customHeight="1">
      <c r="O7978" s="5" t="s">
        <v>355</v>
      </c>
      <c r="P7978" s="5" t="s">
        <v>355</v>
      </c>
      <c r="Q7978" s="5" t="s">
        <v>355</v>
      </c>
    </row>
    <row r="7979" ht="16.5" customHeight="1">
      <c r="O7979" s="5" t="s">
        <v>355</v>
      </c>
      <c r="P7979" s="5" t="s">
        <v>355</v>
      </c>
      <c r="Q7979" s="5" t="s">
        <v>355</v>
      </c>
    </row>
    <row r="7980" ht="16.5" customHeight="1">
      <c r="O7980" s="5" t="s">
        <v>355</v>
      </c>
      <c r="P7980" s="5" t="s">
        <v>355</v>
      </c>
      <c r="Q7980" s="5" t="s">
        <v>355</v>
      </c>
    </row>
    <row r="7981" ht="16.5" customHeight="1">
      <c r="O7981" s="5" t="s">
        <v>355</v>
      </c>
      <c r="P7981" s="5" t="s">
        <v>355</v>
      </c>
      <c r="Q7981" s="5" t="s">
        <v>355</v>
      </c>
    </row>
    <row r="7982" ht="16.5" customHeight="1">
      <c r="O7982" s="5" t="s">
        <v>355</v>
      </c>
      <c r="P7982" s="5" t="s">
        <v>355</v>
      </c>
      <c r="Q7982" s="5" t="s">
        <v>355</v>
      </c>
    </row>
    <row r="7983" ht="16.5" customHeight="1">
      <c r="O7983" s="5" t="s">
        <v>355</v>
      </c>
      <c r="P7983" s="5" t="s">
        <v>355</v>
      </c>
      <c r="Q7983" s="5" t="s">
        <v>355</v>
      </c>
    </row>
    <row r="7984" ht="16.5" customHeight="1">
      <c r="O7984" s="5" t="s">
        <v>355</v>
      </c>
      <c r="P7984" s="5" t="s">
        <v>355</v>
      </c>
      <c r="Q7984" s="5" t="s">
        <v>355</v>
      </c>
    </row>
    <row r="7985" ht="16.5" customHeight="1">
      <c r="O7985" s="5" t="s">
        <v>355</v>
      </c>
      <c r="P7985" s="5" t="s">
        <v>355</v>
      </c>
      <c r="Q7985" s="5" t="s">
        <v>355</v>
      </c>
    </row>
    <row r="7986" ht="16.5" customHeight="1">
      <c r="O7986" s="5" t="s">
        <v>355</v>
      </c>
      <c r="P7986" s="5" t="s">
        <v>355</v>
      </c>
      <c r="Q7986" s="5" t="s">
        <v>355</v>
      </c>
    </row>
    <row r="7987" ht="16.5" customHeight="1">
      <c r="O7987" s="5" t="s">
        <v>355</v>
      </c>
      <c r="P7987" s="5" t="s">
        <v>355</v>
      </c>
      <c r="Q7987" s="5" t="s">
        <v>355</v>
      </c>
    </row>
    <row r="7988" ht="16.5" customHeight="1">
      <c r="O7988" s="5" t="s">
        <v>355</v>
      </c>
      <c r="P7988" s="5" t="s">
        <v>355</v>
      </c>
      <c r="Q7988" s="5" t="s">
        <v>355</v>
      </c>
    </row>
    <row r="7989" ht="16.5" customHeight="1">
      <c r="O7989" s="5" t="s">
        <v>355</v>
      </c>
      <c r="P7989" s="5" t="s">
        <v>355</v>
      </c>
      <c r="Q7989" s="5" t="s">
        <v>355</v>
      </c>
    </row>
    <row r="7990" ht="16.5" customHeight="1">
      <c r="O7990" s="5" t="s">
        <v>355</v>
      </c>
      <c r="P7990" s="5" t="s">
        <v>355</v>
      </c>
      <c r="Q7990" s="5" t="s">
        <v>355</v>
      </c>
    </row>
    <row r="7991" ht="16.5" customHeight="1">
      <c r="O7991" s="5" t="s">
        <v>355</v>
      </c>
      <c r="P7991" s="5" t="s">
        <v>355</v>
      </c>
      <c r="Q7991" s="5" t="s">
        <v>355</v>
      </c>
    </row>
    <row r="7992" ht="16.5" customHeight="1">
      <c r="O7992" s="5" t="s">
        <v>355</v>
      </c>
      <c r="P7992" s="5" t="s">
        <v>355</v>
      </c>
      <c r="Q7992" s="5" t="s">
        <v>355</v>
      </c>
    </row>
    <row r="7993" ht="16.5" customHeight="1">
      <c r="O7993" s="5" t="s">
        <v>355</v>
      </c>
      <c r="P7993" s="5" t="s">
        <v>355</v>
      </c>
      <c r="Q7993" s="5" t="s">
        <v>355</v>
      </c>
    </row>
    <row r="7994" ht="16.5" customHeight="1">
      <c r="O7994" s="5" t="s">
        <v>355</v>
      </c>
      <c r="P7994" s="5" t="s">
        <v>355</v>
      </c>
      <c r="Q7994" s="5" t="s">
        <v>355</v>
      </c>
    </row>
    <row r="7995" ht="16.5" customHeight="1">
      <c r="O7995" s="5" t="s">
        <v>355</v>
      </c>
      <c r="P7995" s="5" t="s">
        <v>355</v>
      </c>
      <c r="Q7995" s="5" t="s">
        <v>355</v>
      </c>
    </row>
    <row r="7996" ht="16.5" customHeight="1">
      <c r="O7996" s="5" t="s">
        <v>355</v>
      </c>
      <c r="P7996" s="5" t="s">
        <v>355</v>
      </c>
      <c r="Q7996" s="5" t="s">
        <v>355</v>
      </c>
    </row>
    <row r="7997" ht="16.5" customHeight="1">
      <c r="O7997" s="5" t="s">
        <v>355</v>
      </c>
      <c r="P7997" s="5" t="s">
        <v>355</v>
      </c>
      <c r="Q7997" s="5" t="s">
        <v>355</v>
      </c>
    </row>
    <row r="7998" ht="16.5" customHeight="1">
      <c r="O7998" s="5" t="s">
        <v>355</v>
      </c>
      <c r="P7998" s="5" t="s">
        <v>355</v>
      </c>
      <c r="Q7998" s="5" t="s">
        <v>355</v>
      </c>
    </row>
    <row r="7999" ht="16.5" customHeight="1">
      <c r="O7999" s="5" t="s">
        <v>355</v>
      </c>
      <c r="P7999" s="5" t="s">
        <v>355</v>
      </c>
      <c r="Q7999" s="5" t="s">
        <v>355</v>
      </c>
    </row>
    <row r="8000" ht="16.5" customHeight="1">
      <c r="O8000" s="5" t="s">
        <v>355</v>
      </c>
      <c r="P8000" s="5" t="s">
        <v>355</v>
      </c>
      <c r="Q8000" s="5" t="s">
        <v>355</v>
      </c>
    </row>
    <row r="8001" ht="16.5" customHeight="1">
      <c r="O8001" s="5" t="s">
        <v>355</v>
      </c>
      <c r="P8001" s="5" t="s">
        <v>355</v>
      </c>
      <c r="Q8001" s="5" t="s">
        <v>355</v>
      </c>
    </row>
    <row r="8002" ht="16.5" customHeight="1">
      <c r="O8002" s="5" t="s">
        <v>355</v>
      </c>
      <c r="P8002" s="5" t="s">
        <v>355</v>
      </c>
      <c r="Q8002" s="5" t="s">
        <v>355</v>
      </c>
    </row>
    <row r="8003" ht="16.5" customHeight="1">
      <c r="O8003" s="5" t="s">
        <v>355</v>
      </c>
      <c r="P8003" s="5" t="s">
        <v>355</v>
      </c>
      <c r="Q8003" s="5" t="s">
        <v>355</v>
      </c>
    </row>
    <row r="8004" ht="16.5" customHeight="1">
      <c r="O8004" s="5" t="s">
        <v>355</v>
      </c>
      <c r="P8004" s="5" t="s">
        <v>355</v>
      </c>
      <c r="Q8004" s="5" t="s">
        <v>355</v>
      </c>
    </row>
    <row r="8005" ht="16.5" customHeight="1">
      <c r="O8005" s="5" t="s">
        <v>355</v>
      </c>
      <c r="P8005" s="5" t="s">
        <v>355</v>
      </c>
      <c r="Q8005" s="5" t="s">
        <v>355</v>
      </c>
    </row>
    <row r="8006" ht="16.5" customHeight="1">
      <c r="O8006" s="5" t="s">
        <v>355</v>
      </c>
      <c r="P8006" s="5" t="s">
        <v>355</v>
      </c>
      <c r="Q8006" s="5" t="s">
        <v>355</v>
      </c>
    </row>
    <row r="8007" ht="16.5" customHeight="1">
      <c r="O8007" s="5" t="s">
        <v>355</v>
      </c>
      <c r="P8007" s="5" t="s">
        <v>355</v>
      </c>
      <c r="Q8007" s="5" t="s">
        <v>355</v>
      </c>
    </row>
    <row r="8008" ht="16.5" customHeight="1">
      <c r="O8008" s="5" t="s">
        <v>355</v>
      </c>
      <c r="P8008" s="5" t="s">
        <v>355</v>
      </c>
      <c r="Q8008" s="5" t="s">
        <v>355</v>
      </c>
    </row>
    <row r="8009" ht="16.5" customHeight="1">
      <c r="O8009" s="5" t="s">
        <v>355</v>
      </c>
      <c r="P8009" s="5" t="s">
        <v>355</v>
      </c>
      <c r="Q8009" s="5" t="s">
        <v>355</v>
      </c>
    </row>
    <row r="8010" ht="16.5" customHeight="1">
      <c r="O8010" s="5" t="s">
        <v>355</v>
      </c>
      <c r="P8010" s="5" t="s">
        <v>355</v>
      </c>
      <c r="Q8010" s="5" t="s">
        <v>355</v>
      </c>
    </row>
    <row r="8011" ht="16.5" customHeight="1">
      <c r="O8011" s="5" t="s">
        <v>355</v>
      </c>
      <c r="P8011" s="5" t="s">
        <v>355</v>
      </c>
      <c r="Q8011" s="5" t="s">
        <v>355</v>
      </c>
    </row>
    <row r="8012" ht="16.5" customHeight="1">
      <c r="O8012" s="5" t="s">
        <v>355</v>
      </c>
      <c r="P8012" s="5" t="s">
        <v>355</v>
      </c>
      <c r="Q8012" s="5" t="s">
        <v>355</v>
      </c>
    </row>
    <row r="8013" ht="16.5" customHeight="1">
      <c r="O8013" s="5" t="s">
        <v>355</v>
      </c>
      <c r="P8013" s="5" t="s">
        <v>355</v>
      </c>
      <c r="Q8013" s="5" t="s">
        <v>355</v>
      </c>
    </row>
    <row r="8014" ht="16.5" customHeight="1">
      <c r="O8014" s="5" t="s">
        <v>355</v>
      </c>
      <c r="P8014" s="5" t="s">
        <v>355</v>
      </c>
      <c r="Q8014" s="5" t="s">
        <v>355</v>
      </c>
    </row>
    <row r="8015" ht="16.5" customHeight="1">
      <c r="O8015" s="5" t="s">
        <v>355</v>
      </c>
      <c r="P8015" s="5" t="s">
        <v>355</v>
      </c>
      <c r="Q8015" s="5" t="s">
        <v>355</v>
      </c>
    </row>
    <row r="8016" ht="16.5" customHeight="1">
      <c r="O8016" s="5" t="s">
        <v>355</v>
      </c>
      <c r="P8016" s="5" t="s">
        <v>355</v>
      </c>
      <c r="Q8016" s="5" t="s">
        <v>355</v>
      </c>
    </row>
    <row r="8017" ht="16.5" customHeight="1">
      <c r="O8017" s="5" t="s">
        <v>355</v>
      </c>
      <c r="P8017" s="5" t="s">
        <v>355</v>
      </c>
      <c r="Q8017" s="5" t="s">
        <v>355</v>
      </c>
    </row>
    <row r="8018" ht="16.5" customHeight="1">
      <c r="O8018" s="5" t="s">
        <v>355</v>
      </c>
      <c r="P8018" s="5" t="s">
        <v>355</v>
      </c>
      <c r="Q8018" s="5" t="s">
        <v>355</v>
      </c>
    </row>
    <row r="8019" ht="16.5" customHeight="1">
      <c r="O8019" s="5" t="s">
        <v>355</v>
      </c>
      <c r="P8019" s="5" t="s">
        <v>355</v>
      </c>
      <c r="Q8019" s="5" t="s">
        <v>355</v>
      </c>
    </row>
    <row r="8020" ht="16.5" customHeight="1">
      <c r="O8020" s="5" t="s">
        <v>355</v>
      </c>
      <c r="P8020" s="5" t="s">
        <v>355</v>
      </c>
      <c r="Q8020" s="5" t="s">
        <v>355</v>
      </c>
    </row>
    <row r="8021" ht="16.5" customHeight="1">
      <c r="O8021" s="5" t="s">
        <v>355</v>
      </c>
      <c r="P8021" s="5" t="s">
        <v>355</v>
      </c>
      <c r="Q8021" s="5" t="s">
        <v>355</v>
      </c>
    </row>
    <row r="8022" ht="16.5" customHeight="1">
      <c r="O8022" s="5" t="s">
        <v>355</v>
      </c>
      <c r="P8022" s="5" t="s">
        <v>355</v>
      </c>
      <c r="Q8022" s="5" t="s">
        <v>355</v>
      </c>
    </row>
    <row r="8023" ht="16.5" customHeight="1">
      <c r="O8023" s="5" t="s">
        <v>355</v>
      </c>
      <c r="P8023" s="5" t="s">
        <v>355</v>
      </c>
      <c r="Q8023" s="5" t="s">
        <v>355</v>
      </c>
    </row>
    <row r="8024" ht="16.5" customHeight="1">
      <c r="O8024" s="5" t="s">
        <v>355</v>
      </c>
      <c r="P8024" s="5" t="s">
        <v>355</v>
      </c>
      <c r="Q8024" s="5" t="s">
        <v>355</v>
      </c>
    </row>
    <row r="8025" ht="16.5" customHeight="1">
      <c r="O8025" s="5" t="s">
        <v>355</v>
      </c>
      <c r="P8025" s="5" t="s">
        <v>355</v>
      </c>
      <c r="Q8025" s="5" t="s">
        <v>355</v>
      </c>
    </row>
    <row r="8026" ht="16.5" customHeight="1">
      <c r="O8026" s="5" t="s">
        <v>355</v>
      </c>
      <c r="P8026" s="5" t="s">
        <v>355</v>
      </c>
      <c r="Q8026" s="5" t="s">
        <v>355</v>
      </c>
    </row>
    <row r="8027" ht="16.5" customHeight="1">
      <c r="O8027" s="5" t="s">
        <v>355</v>
      </c>
      <c r="P8027" s="5" t="s">
        <v>355</v>
      </c>
      <c r="Q8027" s="5" t="s">
        <v>355</v>
      </c>
    </row>
    <row r="8028" ht="16.5" customHeight="1">
      <c r="O8028" s="5" t="s">
        <v>355</v>
      </c>
      <c r="P8028" s="5" t="s">
        <v>355</v>
      </c>
      <c r="Q8028" s="5" t="s">
        <v>355</v>
      </c>
    </row>
    <row r="8029" ht="16.5" customHeight="1">
      <c r="O8029" s="5" t="s">
        <v>355</v>
      </c>
      <c r="P8029" s="5" t="s">
        <v>355</v>
      </c>
      <c r="Q8029" s="5" t="s">
        <v>355</v>
      </c>
    </row>
    <row r="8030" ht="16.5" customHeight="1">
      <c r="O8030" s="5" t="s">
        <v>355</v>
      </c>
      <c r="P8030" s="5" t="s">
        <v>355</v>
      </c>
      <c r="Q8030" s="5" t="s">
        <v>355</v>
      </c>
    </row>
    <row r="8031" ht="16.5" customHeight="1">
      <c r="O8031" s="5" t="s">
        <v>355</v>
      </c>
      <c r="P8031" s="5" t="s">
        <v>355</v>
      </c>
      <c r="Q8031" s="5" t="s">
        <v>355</v>
      </c>
    </row>
    <row r="8032" ht="16.5" customHeight="1">
      <c r="O8032" s="5" t="s">
        <v>355</v>
      </c>
      <c r="P8032" s="5" t="s">
        <v>355</v>
      </c>
      <c r="Q8032" s="5" t="s">
        <v>355</v>
      </c>
    </row>
    <row r="8033" ht="16.5" customHeight="1">
      <c r="O8033" s="5" t="s">
        <v>355</v>
      </c>
      <c r="P8033" s="5" t="s">
        <v>355</v>
      </c>
      <c r="Q8033" s="5" t="s">
        <v>355</v>
      </c>
    </row>
    <row r="8034" ht="16.5" customHeight="1">
      <c r="O8034" s="5" t="s">
        <v>355</v>
      </c>
      <c r="P8034" s="5" t="s">
        <v>355</v>
      </c>
      <c r="Q8034" s="5" t="s">
        <v>355</v>
      </c>
    </row>
    <row r="8035" ht="16.5" customHeight="1">
      <c r="O8035" s="5" t="s">
        <v>355</v>
      </c>
      <c r="P8035" s="5" t="s">
        <v>355</v>
      </c>
      <c r="Q8035" s="5" t="s">
        <v>355</v>
      </c>
    </row>
    <row r="8036" ht="16.5" customHeight="1">
      <c r="O8036" s="5" t="s">
        <v>355</v>
      </c>
      <c r="P8036" s="5" t="s">
        <v>355</v>
      </c>
      <c r="Q8036" s="5" t="s">
        <v>355</v>
      </c>
    </row>
    <row r="8037" ht="16.5" customHeight="1">
      <c r="O8037" s="5" t="s">
        <v>355</v>
      </c>
      <c r="P8037" s="5" t="s">
        <v>355</v>
      </c>
      <c r="Q8037" s="5" t="s">
        <v>355</v>
      </c>
    </row>
    <row r="8038" ht="16.5" customHeight="1">
      <c r="O8038" s="5" t="s">
        <v>355</v>
      </c>
      <c r="P8038" s="5" t="s">
        <v>355</v>
      </c>
      <c r="Q8038" s="5" t="s">
        <v>355</v>
      </c>
    </row>
    <row r="8039" ht="16.5" customHeight="1">
      <c r="O8039" s="5" t="s">
        <v>355</v>
      </c>
      <c r="P8039" s="5" t="s">
        <v>355</v>
      </c>
      <c r="Q8039" s="5" t="s">
        <v>355</v>
      </c>
    </row>
    <row r="8040" ht="16.5" customHeight="1">
      <c r="O8040" s="5" t="s">
        <v>355</v>
      </c>
      <c r="P8040" s="5" t="s">
        <v>355</v>
      </c>
      <c r="Q8040" s="5" t="s">
        <v>355</v>
      </c>
    </row>
    <row r="8041" ht="16.5" customHeight="1">
      <c r="O8041" s="5" t="s">
        <v>355</v>
      </c>
      <c r="P8041" s="5" t="s">
        <v>355</v>
      </c>
      <c r="Q8041" s="5" t="s">
        <v>355</v>
      </c>
    </row>
    <row r="8042" ht="16.5" customHeight="1">
      <c r="O8042" s="5" t="s">
        <v>355</v>
      </c>
      <c r="P8042" s="5" t="s">
        <v>355</v>
      </c>
      <c r="Q8042" s="5" t="s">
        <v>355</v>
      </c>
    </row>
    <row r="8043" ht="16.5" customHeight="1">
      <c r="O8043" s="5" t="s">
        <v>355</v>
      </c>
      <c r="P8043" s="5" t="s">
        <v>355</v>
      </c>
      <c r="Q8043" s="5" t="s">
        <v>355</v>
      </c>
    </row>
    <row r="8044" ht="16.5" customHeight="1">
      <c r="O8044" s="5" t="s">
        <v>355</v>
      </c>
      <c r="P8044" s="5" t="s">
        <v>355</v>
      </c>
      <c r="Q8044" s="5" t="s">
        <v>355</v>
      </c>
    </row>
    <row r="8045" ht="16.5" customHeight="1">
      <c r="O8045" s="5" t="s">
        <v>355</v>
      </c>
      <c r="P8045" s="5" t="s">
        <v>355</v>
      </c>
      <c r="Q8045" s="5" t="s">
        <v>355</v>
      </c>
    </row>
    <row r="8046" ht="16.5" customHeight="1">
      <c r="O8046" s="5" t="s">
        <v>355</v>
      </c>
      <c r="P8046" s="5" t="s">
        <v>355</v>
      </c>
      <c r="Q8046" s="5" t="s">
        <v>355</v>
      </c>
    </row>
    <row r="8047" ht="16.5" customHeight="1">
      <c r="O8047" s="5" t="s">
        <v>355</v>
      </c>
      <c r="P8047" s="5" t="s">
        <v>355</v>
      </c>
      <c r="Q8047" s="5" t="s">
        <v>355</v>
      </c>
    </row>
    <row r="8048" ht="16.5" customHeight="1">
      <c r="O8048" s="5" t="s">
        <v>355</v>
      </c>
      <c r="P8048" s="5" t="s">
        <v>355</v>
      </c>
      <c r="Q8048" s="5" t="s">
        <v>355</v>
      </c>
    </row>
    <row r="8049" ht="16.5" customHeight="1">
      <c r="O8049" s="5" t="s">
        <v>355</v>
      </c>
      <c r="P8049" s="5" t="s">
        <v>355</v>
      </c>
      <c r="Q8049" s="5" t="s">
        <v>355</v>
      </c>
    </row>
    <row r="8050" ht="16.5" customHeight="1">
      <c r="O8050" s="5" t="s">
        <v>355</v>
      </c>
      <c r="P8050" s="5" t="s">
        <v>355</v>
      </c>
      <c r="Q8050" s="5" t="s">
        <v>355</v>
      </c>
    </row>
    <row r="8051" ht="16.5" customHeight="1">
      <c r="O8051" s="5" t="s">
        <v>355</v>
      </c>
      <c r="P8051" s="5" t="s">
        <v>355</v>
      </c>
      <c r="Q8051" s="5" t="s">
        <v>355</v>
      </c>
    </row>
    <row r="8052" ht="16.5" customHeight="1">
      <c r="O8052" s="5" t="s">
        <v>355</v>
      </c>
      <c r="P8052" s="5" t="s">
        <v>355</v>
      </c>
      <c r="Q8052" s="5" t="s">
        <v>355</v>
      </c>
    </row>
    <row r="8053" ht="16.5" customHeight="1">
      <c r="O8053" s="5" t="s">
        <v>355</v>
      </c>
      <c r="P8053" s="5" t="s">
        <v>355</v>
      </c>
      <c r="Q8053" s="5" t="s">
        <v>355</v>
      </c>
    </row>
    <row r="8054" ht="16.5" customHeight="1">
      <c r="O8054" s="5" t="s">
        <v>355</v>
      </c>
      <c r="P8054" s="5" t="s">
        <v>355</v>
      </c>
      <c r="Q8054" s="5" t="s">
        <v>355</v>
      </c>
    </row>
    <row r="8055" ht="16.5" customHeight="1">
      <c r="O8055" s="5" t="s">
        <v>355</v>
      </c>
      <c r="P8055" s="5" t="s">
        <v>355</v>
      </c>
      <c r="Q8055" s="5" t="s">
        <v>355</v>
      </c>
    </row>
    <row r="8056" ht="16.5" customHeight="1">
      <c r="O8056" s="5" t="s">
        <v>355</v>
      </c>
      <c r="P8056" s="5" t="s">
        <v>355</v>
      </c>
      <c r="Q8056" s="5" t="s">
        <v>355</v>
      </c>
    </row>
    <row r="8057" ht="16.5" customHeight="1">
      <c r="O8057" s="5" t="s">
        <v>355</v>
      </c>
      <c r="P8057" s="5" t="s">
        <v>355</v>
      </c>
      <c r="Q8057" s="5" t="s">
        <v>355</v>
      </c>
    </row>
    <row r="8058" ht="16.5" customHeight="1">
      <c r="O8058" s="5" t="s">
        <v>355</v>
      </c>
      <c r="P8058" s="5" t="s">
        <v>355</v>
      </c>
      <c r="Q8058" s="5" t="s">
        <v>355</v>
      </c>
    </row>
    <row r="8059" ht="16.5" customHeight="1">
      <c r="O8059" s="5" t="s">
        <v>355</v>
      </c>
      <c r="P8059" s="5" t="s">
        <v>355</v>
      </c>
      <c r="Q8059" s="5" t="s">
        <v>355</v>
      </c>
    </row>
    <row r="8060" ht="16.5" customHeight="1">
      <c r="O8060" s="5" t="s">
        <v>355</v>
      </c>
      <c r="P8060" s="5" t="s">
        <v>355</v>
      </c>
      <c r="Q8060" s="5" t="s">
        <v>355</v>
      </c>
    </row>
    <row r="8061" ht="16.5" customHeight="1">
      <c r="O8061" s="5" t="s">
        <v>355</v>
      </c>
      <c r="P8061" s="5" t="s">
        <v>355</v>
      </c>
      <c r="Q8061" s="5" t="s">
        <v>355</v>
      </c>
    </row>
    <row r="8062" ht="16.5" customHeight="1">
      <c r="O8062" s="5" t="s">
        <v>355</v>
      </c>
      <c r="P8062" s="5" t="s">
        <v>355</v>
      </c>
      <c r="Q8062" s="5" t="s">
        <v>355</v>
      </c>
    </row>
    <row r="8063" ht="16.5" customHeight="1">
      <c r="O8063" s="5" t="s">
        <v>355</v>
      </c>
      <c r="P8063" s="5" t="s">
        <v>355</v>
      </c>
      <c r="Q8063" s="5" t="s">
        <v>355</v>
      </c>
    </row>
    <row r="8064" ht="16.5" customHeight="1">
      <c r="O8064" s="5" t="s">
        <v>355</v>
      </c>
      <c r="P8064" s="5" t="s">
        <v>355</v>
      </c>
      <c r="Q8064" s="5" t="s">
        <v>355</v>
      </c>
    </row>
    <row r="8065" ht="16.5" customHeight="1">
      <c r="O8065" s="5" t="s">
        <v>355</v>
      </c>
      <c r="P8065" s="5" t="s">
        <v>355</v>
      </c>
      <c r="Q8065" s="5" t="s">
        <v>355</v>
      </c>
    </row>
    <row r="8066" ht="16.5" customHeight="1">
      <c r="O8066" s="5" t="s">
        <v>355</v>
      </c>
      <c r="P8066" s="5" t="s">
        <v>355</v>
      </c>
      <c r="Q8066" s="5" t="s">
        <v>355</v>
      </c>
    </row>
    <row r="8067" ht="16.5" customHeight="1">
      <c r="O8067" s="5" t="s">
        <v>355</v>
      </c>
      <c r="P8067" s="5" t="s">
        <v>355</v>
      </c>
      <c r="Q8067" s="5" t="s">
        <v>355</v>
      </c>
    </row>
    <row r="8068" ht="16.5" customHeight="1">
      <c r="O8068" s="5" t="s">
        <v>355</v>
      </c>
      <c r="P8068" s="5" t="s">
        <v>355</v>
      </c>
      <c r="Q8068" s="5" t="s">
        <v>355</v>
      </c>
    </row>
    <row r="8069" ht="16.5" customHeight="1">
      <c r="O8069" s="5" t="s">
        <v>355</v>
      </c>
      <c r="P8069" s="5" t="s">
        <v>355</v>
      </c>
      <c r="Q8069" s="5" t="s">
        <v>355</v>
      </c>
    </row>
    <row r="8070" ht="16.5" customHeight="1">
      <c r="O8070" s="5" t="s">
        <v>355</v>
      </c>
      <c r="P8070" s="5" t="s">
        <v>355</v>
      </c>
      <c r="Q8070" s="5" t="s">
        <v>355</v>
      </c>
    </row>
    <row r="8071" ht="16.5" customHeight="1">
      <c r="O8071" s="5" t="s">
        <v>355</v>
      </c>
      <c r="P8071" s="5" t="s">
        <v>355</v>
      </c>
      <c r="Q8071" s="5" t="s">
        <v>355</v>
      </c>
    </row>
    <row r="8072" ht="16.5" customHeight="1">
      <c r="O8072" s="5" t="s">
        <v>355</v>
      </c>
      <c r="P8072" s="5" t="s">
        <v>355</v>
      </c>
      <c r="Q8072" s="5" t="s">
        <v>355</v>
      </c>
    </row>
    <row r="8073" ht="16.5" customHeight="1">
      <c r="O8073" s="5" t="s">
        <v>355</v>
      </c>
      <c r="P8073" s="5" t="s">
        <v>355</v>
      </c>
      <c r="Q8073" s="5" t="s">
        <v>355</v>
      </c>
    </row>
    <row r="8074" ht="16.5" customHeight="1">
      <c r="O8074" s="5" t="s">
        <v>355</v>
      </c>
      <c r="P8074" s="5" t="s">
        <v>355</v>
      </c>
      <c r="Q8074" s="5" t="s">
        <v>355</v>
      </c>
    </row>
    <row r="8075" ht="16.5" customHeight="1">
      <c r="O8075" s="5" t="s">
        <v>355</v>
      </c>
      <c r="P8075" s="5" t="s">
        <v>355</v>
      </c>
      <c r="Q8075" s="5" t="s">
        <v>355</v>
      </c>
    </row>
    <row r="8076" ht="16.5" customHeight="1">
      <c r="O8076" s="5" t="s">
        <v>355</v>
      </c>
      <c r="P8076" s="5" t="s">
        <v>355</v>
      </c>
      <c r="Q8076" s="5" t="s">
        <v>355</v>
      </c>
    </row>
    <row r="8077" ht="16.5" customHeight="1">
      <c r="O8077" s="5" t="s">
        <v>355</v>
      </c>
      <c r="P8077" s="5" t="s">
        <v>355</v>
      </c>
      <c r="Q8077" s="5" t="s">
        <v>355</v>
      </c>
    </row>
    <row r="8078" ht="16.5" customHeight="1">
      <c r="O8078" s="5" t="s">
        <v>355</v>
      </c>
      <c r="P8078" s="5" t="s">
        <v>355</v>
      </c>
      <c r="Q8078" s="5" t="s">
        <v>355</v>
      </c>
    </row>
    <row r="8079" ht="16.5" customHeight="1">
      <c r="O8079" s="5" t="s">
        <v>355</v>
      </c>
      <c r="P8079" s="5" t="s">
        <v>355</v>
      </c>
      <c r="Q8079" s="5" t="s">
        <v>355</v>
      </c>
    </row>
    <row r="8080" ht="16.5" customHeight="1">
      <c r="O8080" s="5" t="s">
        <v>355</v>
      </c>
      <c r="P8080" s="5" t="s">
        <v>355</v>
      </c>
      <c r="Q8080" s="5" t="s">
        <v>355</v>
      </c>
    </row>
    <row r="8081" ht="16.5" customHeight="1">
      <c r="O8081" s="5" t="s">
        <v>355</v>
      </c>
      <c r="P8081" s="5" t="s">
        <v>355</v>
      </c>
      <c r="Q8081" s="5" t="s">
        <v>355</v>
      </c>
    </row>
    <row r="8082" ht="16.5" customHeight="1">
      <c r="O8082" s="5" t="s">
        <v>355</v>
      </c>
      <c r="P8082" s="5" t="s">
        <v>355</v>
      </c>
      <c r="Q8082" s="5" t="s">
        <v>355</v>
      </c>
    </row>
    <row r="8083" ht="16.5" customHeight="1">
      <c r="O8083" s="5" t="s">
        <v>355</v>
      </c>
      <c r="P8083" s="5" t="s">
        <v>355</v>
      </c>
      <c r="Q8083" s="5" t="s">
        <v>355</v>
      </c>
    </row>
    <row r="8084" ht="16.5" customHeight="1">
      <c r="O8084" s="5" t="s">
        <v>355</v>
      </c>
      <c r="P8084" s="5" t="s">
        <v>355</v>
      </c>
      <c r="Q8084" s="5" t="s">
        <v>355</v>
      </c>
    </row>
    <row r="8085" ht="16.5" customHeight="1">
      <c r="O8085" s="5" t="s">
        <v>355</v>
      </c>
      <c r="P8085" s="5" t="s">
        <v>355</v>
      </c>
      <c r="Q8085" s="5" t="s">
        <v>355</v>
      </c>
    </row>
    <row r="8086" ht="16.5" customHeight="1">
      <c r="O8086" s="5" t="s">
        <v>355</v>
      </c>
      <c r="P8086" s="5" t="s">
        <v>355</v>
      </c>
      <c r="Q8086" s="5" t="s">
        <v>355</v>
      </c>
    </row>
    <row r="8087" ht="16.5" customHeight="1">
      <c r="O8087" s="5" t="s">
        <v>355</v>
      </c>
      <c r="P8087" s="5" t="s">
        <v>355</v>
      </c>
      <c r="Q8087" s="5" t="s">
        <v>355</v>
      </c>
    </row>
    <row r="8088" ht="16.5" customHeight="1">
      <c r="O8088" s="5" t="s">
        <v>355</v>
      </c>
      <c r="P8088" s="5" t="s">
        <v>355</v>
      </c>
      <c r="Q8088" s="5" t="s">
        <v>355</v>
      </c>
    </row>
    <row r="8089" ht="16.5" customHeight="1">
      <c r="O8089" s="5" t="s">
        <v>355</v>
      </c>
      <c r="P8089" s="5" t="s">
        <v>355</v>
      </c>
      <c r="Q8089" s="5" t="s">
        <v>355</v>
      </c>
    </row>
    <row r="8090" ht="16.5" customHeight="1">
      <c r="O8090" s="5" t="s">
        <v>355</v>
      </c>
      <c r="P8090" s="5" t="s">
        <v>355</v>
      </c>
      <c r="Q8090" s="5" t="s">
        <v>355</v>
      </c>
    </row>
    <row r="8091" ht="16.5" customHeight="1">
      <c r="O8091" s="5" t="s">
        <v>355</v>
      </c>
      <c r="P8091" s="5" t="s">
        <v>355</v>
      </c>
      <c r="Q8091" s="5" t="s">
        <v>355</v>
      </c>
    </row>
    <row r="8092" ht="16.5" customHeight="1">
      <c r="O8092" s="5" t="s">
        <v>355</v>
      </c>
      <c r="P8092" s="5" t="s">
        <v>355</v>
      </c>
      <c r="Q8092" s="5" t="s">
        <v>355</v>
      </c>
    </row>
    <row r="8093" ht="16.5" customHeight="1">
      <c r="O8093" s="5" t="s">
        <v>355</v>
      </c>
      <c r="P8093" s="5" t="s">
        <v>355</v>
      </c>
      <c r="Q8093" s="5" t="s">
        <v>355</v>
      </c>
    </row>
    <row r="8094" ht="16.5" customHeight="1">
      <c r="O8094" s="5" t="s">
        <v>355</v>
      </c>
      <c r="P8094" s="5" t="s">
        <v>355</v>
      </c>
      <c r="Q8094" s="5" t="s">
        <v>355</v>
      </c>
    </row>
    <row r="8095" ht="16.5" customHeight="1">
      <c r="O8095" s="5" t="s">
        <v>355</v>
      </c>
      <c r="P8095" s="5" t="s">
        <v>355</v>
      </c>
      <c r="Q8095" s="5" t="s">
        <v>355</v>
      </c>
    </row>
    <row r="8096" ht="16.5" customHeight="1">
      <c r="O8096" s="5" t="s">
        <v>355</v>
      </c>
      <c r="P8096" s="5" t="s">
        <v>355</v>
      </c>
      <c r="Q8096" s="5" t="s">
        <v>355</v>
      </c>
    </row>
    <row r="8097" ht="16.5" customHeight="1">
      <c r="O8097" s="5" t="s">
        <v>355</v>
      </c>
      <c r="P8097" s="5" t="s">
        <v>355</v>
      </c>
      <c r="Q8097" s="5" t="s">
        <v>355</v>
      </c>
    </row>
    <row r="8098" ht="16.5" customHeight="1">
      <c r="O8098" s="5" t="s">
        <v>355</v>
      </c>
      <c r="P8098" s="5" t="s">
        <v>355</v>
      </c>
      <c r="Q8098" s="5" t="s">
        <v>355</v>
      </c>
    </row>
    <row r="8099" ht="16.5" customHeight="1">
      <c r="O8099" s="5" t="s">
        <v>355</v>
      </c>
      <c r="P8099" s="5" t="s">
        <v>355</v>
      </c>
      <c r="Q8099" s="5" t="s">
        <v>355</v>
      </c>
    </row>
    <row r="8100" ht="16.5" customHeight="1">
      <c r="O8100" s="5" t="s">
        <v>355</v>
      </c>
      <c r="P8100" s="5" t="s">
        <v>355</v>
      </c>
      <c r="Q8100" s="5" t="s">
        <v>355</v>
      </c>
    </row>
    <row r="8101" ht="16.5" customHeight="1">
      <c r="O8101" s="5" t="s">
        <v>355</v>
      </c>
      <c r="P8101" s="5" t="s">
        <v>355</v>
      </c>
      <c r="Q8101" s="5" t="s">
        <v>355</v>
      </c>
    </row>
    <row r="8102" ht="16.5" customHeight="1">
      <c r="O8102" s="5" t="s">
        <v>355</v>
      </c>
      <c r="P8102" s="5" t="s">
        <v>355</v>
      </c>
      <c r="Q8102" s="5" t="s">
        <v>355</v>
      </c>
    </row>
    <row r="8103" ht="16.5" customHeight="1">
      <c r="O8103" s="5" t="s">
        <v>355</v>
      </c>
      <c r="P8103" s="5" t="s">
        <v>355</v>
      </c>
      <c r="Q8103" s="5" t="s">
        <v>355</v>
      </c>
    </row>
    <row r="8104" ht="16.5" customHeight="1">
      <c r="O8104" s="5" t="s">
        <v>355</v>
      </c>
      <c r="P8104" s="5" t="s">
        <v>355</v>
      </c>
      <c r="Q8104" s="5" t="s">
        <v>355</v>
      </c>
    </row>
    <row r="8105" ht="16.5" customHeight="1">
      <c r="O8105" s="5" t="s">
        <v>355</v>
      </c>
      <c r="P8105" s="5" t="s">
        <v>355</v>
      </c>
      <c r="Q8105" s="5" t="s">
        <v>355</v>
      </c>
    </row>
    <row r="8106" ht="16.5" customHeight="1">
      <c r="O8106" s="5" t="s">
        <v>355</v>
      </c>
      <c r="P8106" s="5" t="s">
        <v>355</v>
      </c>
      <c r="Q8106" s="5" t="s">
        <v>355</v>
      </c>
    </row>
    <row r="8107" ht="16.5" customHeight="1">
      <c r="O8107" s="5" t="s">
        <v>355</v>
      </c>
      <c r="P8107" s="5" t="s">
        <v>355</v>
      </c>
      <c r="Q8107" s="5" t="s">
        <v>355</v>
      </c>
    </row>
    <row r="8108" ht="16.5" customHeight="1">
      <c r="O8108" s="5" t="s">
        <v>355</v>
      </c>
      <c r="P8108" s="5" t="s">
        <v>355</v>
      </c>
      <c r="Q8108" s="5" t="s">
        <v>355</v>
      </c>
    </row>
    <row r="8109" ht="16.5" customHeight="1">
      <c r="O8109" s="5" t="s">
        <v>355</v>
      </c>
      <c r="P8109" s="5" t="s">
        <v>355</v>
      </c>
      <c r="Q8109" s="5" t="s">
        <v>355</v>
      </c>
    </row>
    <row r="8110" ht="16.5" customHeight="1">
      <c r="O8110" s="5" t="s">
        <v>355</v>
      </c>
      <c r="P8110" s="5" t="s">
        <v>355</v>
      </c>
      <c r="Q8110" s="5" t="s">
        <v>355</v>
      </c>
    </row>
    <row r="8111" ht="16.5" customHeight="1">
      <c r="O8111" s="5" t="s">
        <v>355</v>
      </c>
      <c r="P8111" s="5" t="s">
        <v>355</v>
      </c>
      <c r="Q8111" s="5" t="s">
        <v>355</v>
      </c>
    </row>
    <row r="8112" ht="16.5" customHeight="1">
      <c r="O8112" s="5" t="s">
        <v>355</v>
      </c>
      <c r="P8112" s="5" t="s">
        <v>355</v>
      </c>
      <c r="Q8112" s="5" t="s">
        <v>355</v>
      </c>
    </row>
    <row r="8113" ht="16.5" customHeight="1">
      <c r="O8113" s="5" t="s">
        <v>355</v>
      </c>
      <c r="P8113" s="5" t="s">
        <v>355</v>
      </c>
      <c r="Q8113" s="5" t="s">
        <v>355</v>
      </c>
    </row>
    <row r="8114" ht="16.5" customHeight="1">
      <c r="O8114" s="5" t="s">
        <v>355</v>
      </c>
      <c r="P8114" s="5" t="s">
        <v>355</v>
      </c>
      <c r="Q8114" s="5" t="s">
        <v>355</v>
      </c>
    </row>
    <row r="8115" ht="16.5" customHeight="1">
      <c r="O8115" s="5" t="s">
        <v>355</v>
      </c>
      <c r="P8115" s="5" t="s">
        <v>355</v>
      </c>
      <c r="Q8115" s="5" t="s">
        <v>355</v>
      </c>
    </row>
    <row r="8116" ht="16.5" customHeight="1">
      <c r="O8116" s="5" t="s">
        <v>355</v>
      </c>
      <c r="P8116" s="5" t="s">
        <v>355</v>
      </c>
      <c r="Q8116" s="5" t="s">
        <v>355</v>
      </c>
    </row>
    <row r="8117" ht="16.5" customHeight="1">
      <c r="O8117" s="5" t="s">
        <v>355</v>
      </c>
      <c r="P8117" s="5" t="s">
        <v>355</v>
      </c>
      <c r="Q8117" s="5" t="s">
        <v>355</v>
      </c>
    </row>
    <row r="8118" ht="16.5" customHeight="1">
      <c r="O8118" s="5" t="s">
        <v>355</v>
      </c>
      <c r="P8118" s="5" t="s">
        <v>355</v>
      </c>
      <c r="Q8118" s="5" t="s">
        <v>355</v>
      </c>
    </row>
    <row r="8119" ht="16.5" customHeight="1">
      <c r="O8119" s="5" t="s">
        <v>355</v>
      </c>
      <c r="P8119" s="5" t="s">
        <v>355</v>
      </c>
      <c r="Q8119" s="5" t="s">
        <v>355</v>
      </c>
    </row>
    <row r="8120" ht="16.5" customHeight="1">
      <c r="O8120" s="5" t="s">
        <v>355</v>
      </c>
      <c r="P8120" s="5" t="s">
        <v>355</v>
      </c>
      <c r="Q8120" s="5" t="s">
        <v>355</v>
      </c>
    </row>
    <row r="8121" ht="16.5" customHeight="1">
      <c r="O8121" s="5" t="s">
        <v>355</v>
      </c>
      <c r="P8121" s="5" t="s">
        <v>355</v>
      </c>
      <c r="Q8121" s="5" t="s">
        <v>355</v>
      </c>
    </row>
    <row r="8122" ht="16.5" customHeight="1">
      <c r="O8122" s="5" t="s">
        <v>355</v>
      </c>
      <c r="P8122" s="5" t="s">
        <v>355</v>
      </c>
      <c r="Q8122" s="5" t="s">
        <v>355</v>
      </c>
    </row>
    <row r="8123" ht="16.5" customHeight="1">
      <c r="O8123" s="5" t="s">
        <v>355</v>
      </c>
      <c r="P8123" s="5" t="s">
        <v>355</v>
      </c>
      <c r="Q8123" s="5" t="s">
        <v>355</v>
      </c>
    </row>
    <row r="8124" ht="16.5" customHeight="1">
      <c r="O8124" s="5" t="s">
        <v>355</v>
      </c>
      <c r="P8124" s="5" t="s">
        <v>355</v>
      </c>
      <c r="Q8124" s="5" t="s">
        <v>355</v>
      </c>
    </row>
    <row r="8125" ht="16.5" customHeight="1">
      <c r="O8125" s="5" t="s">
        <v>355</v>
      </c>
      <c r="P8125" s="5" t="s">
        <v>355</v>
      </c>
      <c r="Q8125" s="5" t="s">
        <v>355</v>
      </c>
    </row>
    <row r="8126" ht="16.5" customHeight="1">
      <c r="O8126" s="5" t="s">
        <v>355</v>
      </c>
      <c r="P8126" s="5" t="s">
        <v>355</v>
      </c>
      <c r="Q8126" s="5" t="s">
        <v>355</v>
      </c>
    </row>
    <row r="8127" ht="16.5" customHeight="1">
      <c r="O8127" s="5" t="s">
        <v>355</v>
      </c>
      <c r="P8127" s="5" t="s">
        <v>355</v>
      </c>
      <c r="Q8127" s="5" t="s">
        <v>355</v>
      </c>
    </row>
    <row r="8128" ht="16.5" customHeight="1">
      <c r="O8128" s="5" t="s">
        <v>355</v>
      </c>
      <c r="P8128" s="5" t="s">
        <v>355</v>
      </c>
      <c r="Q8128" s="5" t="s">
        <v>355</v>
      </c>
    </row>
    <row r="8129" ht="16.5" customHeight="1">
      <c r="O8129" s="5" t="s">
        <v>355</v>
      </c>
      <c r="P8129" s="5" t="s">
        <v>355</v>
      </c>
      <c r="Q8129" s="5" t="s">
        <v>355</v>
      </c>
    </row>
    <row r="8130" ht="16.5" customHeight="1">
      <c r="O8130" s="5" t="s">
        <v>355</v>
      </c>
      <c r="P8130" s="5" t="s">
        <v>355</v>
      </c>
      <c r="Q8130" s="5" t="s">
        <v>355</v>
      </c>
    </row>
    <row r="8131" ht="16.5" customHeight="1">
      <c r="O8131" s="5" t="s">
        <v>355</v>
      </c>
      <c r="P8131" s="5" t="s">
        <v>355</v>
      </c>
      <c r="Q8131" s="5" t="s">
        <v>355</v>
      </c>
    </row>
    <row r="8132" ht="16.5" customHeight="1">
      <c r="O8132" s="5" t="s">
        <v>355</v>
      </c>
      <c r="P8132" s="5" t="s">
        <v>355</v>
      </c>
      <c r="Q8132" s="5" t="s">
        <v>355</v>
      </c>
    </row>
    <row r="8133" ht="16.5" customHeight="1">
      <c r="O8133" s="5" t="s">
        <v>355</v>
      </c>
      <c r="P8133" s="5" t="s">
        <v>355</v>
      </c>
      <c r="Q8133" s="5" t="s">
        <v>355</v>
      </c>
    </row>
    <row r="8134" ht="16.5" customHeight="1">
      <c r="O8134" s="5" t="s">
        <v>355</v>
      </c>
      <c r="P8134" s="5" t="s">
        <v>355</v>
      </c>
      <c r="Q8134" s="5" t="s">
        <v>355</v>
      </c>
    </row>
    <row r="8135" ht="16.5" customHeight="1">
      <c r="O8135" s="5" t="s">
        <v>355</v>
      </c>
      <c r="P8135" s="5" t="s">
        <v>355</v>
      </c>
      <c r="Q8135" s="5" t="s">
        <v>355</v>
      </c>
    </row>
    <row r="8136" ht="16.5" customHeight="1">
      <c r="O8136" s="5" t="s">
        <v>355</v>
      </c>
      <c r="P8136" s="5" t="s">
        <v>355</v>
      </c>
      <c r="Q8136" s="5" t="s">
        <v>355</v>
      </c>
    </row>
    <row r="8137" ht="16.5" customHeight="1">
      <c r="O8137" s="5" t="s">
        <v>355</v>
      </c>
      <c r="P8137" s="5" t="s">
        <v>355</v>
      </c>
      <c r="Q8137" s="5" t="s">
        <v>355</v>
      </c>
    </row>
    <row r="8138" ht="16.5" customHeight="1">
      <c r="O8138" s="5" t="s">
        <v>355</v>
      </c>
      <c r="P8138" s="5" t="s">
        <v>355</v>
      </c>
      <c r="Q8138" s="5" t="s">
        <v>355</v>
      </c>
    </row>
    <row r="8139" ht="16.5" customHeight="1">
      <c r="O8139" s="5" t="s">
        <v>355</v>
      </c>
      <c r="P8139" s="5" t="s">
        <v>355</v>
      </c>
      <c r="Q8139" s="5" t="s">
        <v>355</v>
      </c>
    </row>
    <row r="8140" ht="16.5" customHeight="1">
      <c r="O8140" s="5" t="s">
        <v>355</v>
      </c>
      <c r="P8140" s="5" t="s">
        <v>355</v>
      </c>
      <c r="Q8140" s="5" t="s">
        <v>355</v>
      </c>
    </row>
    <row r="8141" ht="16.5" customHeight="1">
      <c r="O8141" s="5" t="s">
        <v>355</v>
      </c>
      <c r="P8141" s="5" t="s">
        <v>355</v>
      </c>
      <c r="Q8141" s="5" t="s">
        <v>355</v>
      </c>
    </row>
    <row r="8142" ht="16.5" customHeight="1">
      <c r="O8142" s="5" t="s">
        <v>355</v>
      </c>
      <c r="P8142" s="5" t="s">
        <v>355</v>
      </c>
      <c r="Q8142" s="5" t="s">
        <v>355</v>
      </c>
    </row>
    <row r="8143" ht="16.5" customHeight="1">
      <c r="O8143" s="5" t="s">
        <v>355</v>
      </c>
      <c r="P8143" s="5" t="s">
        <v>355</v>
      </c>
      <c r="Q8143" s="5" t="s">
        <v>355</v>
      </c>
    </row>
    <row r="8144" ht="16.5" customHeight="1">
      <c r="O8144" s="5" t="s">
        <v>355</v>
      </c>
      <c r="P8144" s="5" t="s">
        <v>355</v>
      </c>
      <c r="Q8144" s="5" t="s">
        <v>355</v>
      </c>
    </row>
    <row r="8145" ht="16.5" customHeight="1">
      <c r="O8145" s="5" t="s">
        <v>355</v>
      </c>
      <c r="P8145" s="5" t="s">
        <v>355</v>
      </c>
      <c r="Q8145" s="5" t="s">
        <v>355</v>
      </c>
    </row>
    <row r="8146" ht="16.5" customHeight="1">
      <c r="O8146" s="5" t="s">
        <v>355</v>
      </c>
      <c r="P8146" s="5" t="s">
        <v>355</v>
      </c>
      <c r="Q8146" s="5" t="s">
        <v>355</v>
      </c>
    </row>
    <row r="8147" ht="16.5" customHeight="1">
      <c r="O8147" s="5" t="s">
        <v>355</v>
      </c>
      <c r="P8147" s="5" t="s">
        <v>355</v>
      </c>
      <c r="Q8147" s="5" t="s">
        <v>355</v>
      </c>
    </row>
    <row r="8148" ht="16.5" customHeight="1">
      <c r="O8148" s="5" t="s">
        <v>355</v>
      </c>
      <c r="P8148" s="5" t="s">
        <v>355</v>
      </c>
      <c r="Q8148" s="5" t="s">
        <v>355</v>
      </c>
    </row>
    <row r="8149" ht="16.5" customHeight="1">
      <c r="O8149" s="5" t="s">
        <v>355</v>
      </c>
      <c r="P8149" s="5" t="s">
        <v>355</v>
      </c>
      <c r="Q8149" s="5" t="s">
        <v>355</v>
      </c>
    </row>
    <row r="8150" ht="16.5" customHeight="1">
      <c r="O8150" s="5" t="s">
        <v>355</v>
      </c>
      <c r="P8150" s="5" t="s">
        <v>355</v>
      </c>
      <c r="Q8150" s="5" t="s">
        <v>355</v>
      </c>
    </row>
    <row r="8151" ht="16.5" customHeight="1">
      <c r="O8151" s="5" t="s">
        <v>355</v>
      </c>
      <c r="P8151" s="5" t="s">
        <v>355</v>
      </c>
      <c r="Q8151" s="5" t="s">
        <v>355</v>
      </c>
    </row>
    <row r="8152" ht="16.5" customHeight="1">
      <c r="O8152" s="5" t="s">
        <v>355</v>
      </c>
      <c r="P8152" s="5" t="s">
        <v>355</v>
      </c>
      <c r="Q8152" s="5" t="s">
        <v>355</v>
      </c>
    </row>
    <row r="8153" ht="16.5" customHeight="1">
      <c r="O8153" s="5" t="s">
        <v>355</v>
      </c>
      <c r="P8153" s="5" t="s">
        <v>355</v>
      </c>
      <c r="Q8153" s="5" t="s">
        <v>355</v>
      </c>
    </row>
    <row r="8154" ht="16.5" customHeight="1">
      <c r="O8154" s="5" t="s">
        <v>355</v>
      </c>
      <c r="P8154" s="5" t="s">
        <v>355</v>
      </c>
      <c r="Q8154" s="5" t="s">
        <v>355</v>
      </c>
    </row>
    <row r="8155" ht="16.5" customHeight="1">
      <c r="O8155" s="5" t="s">
        <v>355</v>
      </c>
      <c r="P8155" s="5" t="s">
        <v>355</v>
      </c>
      <c r="Q8155" s="5" t="s">
        <v>355</v>
      </c>
    </row>
    <row r="8156" ht="16.5" customHeight="1">
      <c r="O8156" s="5" t="s">
        <v>355</v>
      </c>
      <c r="P8156" s="5" t="s">
        <v>355</v>
      </c>
      <c r="Q8156" s="5" t="s">
        <v>355</v>
      </c>
    </row>
    <row r="8157" ht="16.5" customHeight="1">
      <c r="O8157" s="5" t="s">
        <v>355</v>
      </c>
      <c r="P8157" s="5" t="s">
        <v>355</v>
      </c>
      <c r="Q8157" s="5" t="s">
        <v>355</v>
      </c>
    </row>
    <row r="8158" ht="16.5" customHeight="1">
      <c r="O8158" s="5" t="s">
        <v>355</v>
      </c>
      <c r="P8158" s="5" t="s">
        <v>355</v>
      </c>
      <c r="Q8158" s="5" t="s">
        <v>355</v>
      </c>
    </row>
    <row r="8159" ht="16.5" customHeight="1">
      <c r="O8159" s="5" t="s">
        <v>355</v>
      </c>
      <c r="P8159" s="5" t="s">
        <v>355</v>
      </c>
      <c r="Q8159" s="5" t="s">
        <v>355</v>
      </c>
    </row>
    <row r="8160" ht="16.5" customHeight="1">
      <c r="O8160" s="5" t="s">
        <v>355</v>
      </c>
      <c r="P8160" s="5" t="s">
        <v>355</v>
      </c>
      <c r="Q8160" s="5" t="s">
        <v>355</v>
      </c>
    </row>
    <row r="8161" ht="16.5" customHeight="1">
      <c r="O8161" s="5" t="s">
        <v>355</v>
      </c>
      <c r="P8161" s="5" t="s">
        <v>355</v>
      </c>
      <c r="Q8161" s="5" t="s">
        <v>355</v>
      </c>
    </row>
    <row r="8162" ht="16.5" customHeight="1">
      <c r="O8162" s="5" t="s">
        <v>355</v>
      </c>
      <c r="P8162" s="5" t="s">
        <v>355</v>
      </c>
      <c r="Q8162" s="5" t="s">
        <v>355</v>
      </c>
    </row>
    <row r="8163" ht="16.5" customHeight="1">
      <c r="O8163" s="5" t="s">
        <v>355</v>
      </c>
      <c r="P8163" s="5" t="s">
        <v>355</v>
      </c>
      <c r="Q8163" s="5" t="s">
        <v>355</v>
      </c>
    </row>
    <row r="8164" ht="16.5" customHeight="1">
      <c r="O8164" s="5" t="s">
        <v>355</v>
      </c>
      <c r="P8164" s="5" t="s">
        <v>355</v>
      </c>
      <c r="Q8164" s="5" t="s">
        <v>355</v>
      </c>
    </row>
    <row r="8165" ht="16.5" customHeight="1">
      <c r="O8165" s="5" t="s">
        <v>355</v>
      </c>
      <c r="P8165" s="5" t="s">
        <v>355</v>
      </c>
      <c r="Q8165" s="5" t="s">
        <v>355</v>
      </c>
    </row>
    <row r="8166" ht="16.5" customHeight="1">
      <c r="O8166" s="5" t="s">
        <v>355</v>
      </c>
      <c r="P8166" s="5" t="s">
        <v>355</v>
      </c>
      <c r="Q8166" s="5" t="s">
        <v>355</v>
      </c>
    </row>
    <row r="8167" ht="16.5" customHeight="1">
      <c r="O8167" s="5" t="s">
        <v>355</v>
      </c>
      <c r="P8167" s="5" t="s">
        <v>355</v>
      </c>
      <c r="Q8167" s="5" t="s">
        <v>355</v>
      </c>
    </row>
    <row r="8168" ht="16.5" customHeight="1">
      <c r="O8168" s="5" t="s">
        <v>355</v>
      </c>
      <c r="P8168" s="5" t="s">
        <v>355</v>
      </c>
      <c r="Q8168" s="5" t="s">
        <v>355</v>
      </c>
    </row>
    <row r="8169" ht="16.5" customHeight="1">
      <c r="O8169" s="5" t="s">
        <v>355</v>
      </c>
      <c r="P8169" s="5" t="s">
        <v>355</v>
      </c>
      <c r="Q8169" s="5" t="s">
        <v>355</v>
      </c>
    </row>
    <row r="8170" ht="16.5" customHeight="1">
      <c r="O8170" s="5" t="s">
        <v>355</v>
      </c>
      <c r="P8170" s="5" t="s">
        <v>355</v>
      </c>
      <c r="Q8170" s="5" t="s">
        <v>355</v>
      </c>
    </row>
    <row r="8171" ht="16.5" customHeight="1">
      <c r="O8171" s="5" t="s">
        <v>355</v>
      </c>
      <c r="P8171" s="5" t="s">
        <v>355</v>
      </c>
      <c r="Q8171" s="5" t="s">
        <v>355</v>
      </c>
    </row>
    <row r="8172" ht="16.5" customHeight="1">
      <c r="O8172" s="5" t="s">
        <v>355</v>
      </c>
      <c r="P8172" s="5" t="s">
        <v>355</v>
      </c>
      <c r="Q8172" s="5" t="s">
        <v>355</v>
      </c>
    </row>
    <row r="8173" ht="16.5" customHeight="1">
      <c r="O8173" s="5" t="s">
        <v>355</v>
      </c>
      <c r="P8173" s="5" t="s">
        <v>355</v>
      </c>
      <c r="Q8173" s="5" t="s">
        <v>355</v>
      </c>
    </row>
    <row r="8174" ht="16.5" customHeight="1">
      <c r="O8174" s="5" t="s">
        <v>355</v>
      </c>
      <c r="P8174" s="5" t="s">
        <v>355</v>
      </c>
      <c r="Q8174" s="5" t="s">
        <v>355</v>
      </c>
    </row>
    <row r="8175" ht="16.5" customHeight="1">
      <c r="O8175" s="5" t="s">
        <v>355</v>
      </c>
      <c r="P8175" s="5" t="s">
        <v>355</v>
      </c>
      <c r="Q8175" s="5" t="s">
        <v>355</v>
      </c>
    </row>
    <row r="8176" ht="16.5" customHeight="1">
      <c r="O8176" s="5" t="s">
        <v>355</v>
      </c>
      <c r="P8176" s="5" t="s">
        <v>355</v>
      </c>
      <c r="Q8176" s="5" t="s">
        <v>355</v>
      </c>
    </row>
    <row r="8177" ht="16.5" customHeight="1">
      <c r="O8177" s="5" t="s">
        <v>355</v>
      </c>
      <c r="P8177" s="5" t="s">
        <v>355</v>
      </c>
      <c r="Q8177" s="5" t="s">
        <v>355</v>
      </c>
    </row>
    <row r="8178" ht="16.5" customHeight="1">
      <c r="O8178" s="5" t="s">
        <v>355</v>
      </c>
      <c r="P8178" s="5" t="s">
        <v>355</v>
      </c>
      <c r="Q8178" s="5" t="s">
        <v>355</v>
      </c>
    </row>
    <row r="8179" ht="16.5" customHeight="1">
      <c r="O8179" s="5" t="s">
        <v>355</v>
      </c>
      <c r="P8179" s="5" t="s">
        <v>355</v>
      </c>
      <c r="Q8179" s="5" t="s">
        <v>355</v>
      </c>
    </row>
    <row r="8180" ht="16.5" customHeight="1">
      <c r="O8180" s="5" t="s">
        <v>355</v>
      </c>
      <c r="P8180" s="5" t="s">
        <v>355</v>
      </c>
      <c r="Q8180" s="5" t="s">
        <v>355</v>
      </c>
    </row>
    <row r="8181" ht="16.5" customHeight="1">
      <c r="O8181" s="5" t="s">
        <v>355</v>
      </c>
      <c r="P8181" s="5" t="s">
        <v>355</v>
      </c>
      <c r="Q8181" s="5" t="s">
        <v>355</v>
      </c>
    </row>
    <row r="8182" ht="16.5" customHeight="1">
      <c r="O8182" s="5" t="s">
        <v>355</v>
      </c>
      <c r="P8182" s="5" t="s">
        <v>355</v>
      </c>
      <c r="Q8182" s="5" t="s">
        <v>355</v>
      </c>
    </row>
    <row r="8183" ht="16.5" customHeight="1">
      <c r="O8183" s="5" t="s">
        <v>355</v>
      </c>
      <c r="P8183" s="5" t="s">
        <v>355</v>
      </c>
      <c r="Q8183" s="5" t="s">
        <v>355</v>
      </c>
    </row>
    <row r="8184" ht="16.5" customHeight="1">
      <c r="O8184" s="5" t="s">
        <v>355</v>
      </c>
      <c r="P8184" s="5" t="s">
        <v>355</v>
      </c>
      <c r="Q8184" s="5" t="s">
        <v>355</v>
      </c>
    </row>
    <row r="8185" ht="16.5" customHeight="1">
      <c r="O8185" s="5" t="s">
        <v>355</v>
      </c>
      <c r="P8185" s="5" t="s">
        <v>355</v>
      </c>
      <c r="Q8185" s="5" t="s">
        <v>355</v>
      </c>
    </row>
    <row r="8186" ht="16.5" customHeight="1">
      <c r="O8186" s="5" t="s">
        <v>355</v>
      </c>
      <c r="P8186" s="5" t="s">
        <v>355</v>
      </c>
      <c r="Q8186" s="5" t="s">
        <v>355</v>
      </c>
    </row>
    <row r="8187" ht="16.5" customHeight="1">
      <c r="O8187" s="5" t="s">
        <v>355</v>
      </c>
      <c r="P8187" s="5" t="s">
        <v>355</v>
      </c>
      <c r="Q8187" s="5" t="s">
        <v>355</v>
      </c>
    </row>
    <row r="8188" ht="16.5" customHeight="1">
      <c r="O8188" s="5" t="s">
        <v>355</v>
      </c>
      <c r="P8188" s="5" t="s">
        <v>355</v>
      </c>
      <c r="Q8188" s="5" t="s">
        <v>355</v>
      </c>
    </row>
    <row r="8189" ht="16.5" customHeight="1">
      <c r="O8189" s="5" t="s">
        <v>355</v>
      </c>
      <c r="P8189" s="5" t="s">
        <v>355</v>
      </c>
      <c r="Q8189" s="5" t="s">
        <v>355</v>
      </c>
    </row>
    <row r="8190" ht="16.5" customHeight="1">
      <c r="O8190" s="5" t="s">
        <v>355</v>
      </c>
      <c r="P8190" s="5" t="s">
        <v>355</v>
      </c>
      <c r="Q8190" s="5" t="s">
        <v>355</v>
      </c>
    </row>
    <row r="8191" ht="16.5" customHeight="1">
      <c r="O8191" s="5" t="s">
        <v>355</v>
      </c>
      <c r="P8191" s="5" t="s">
        <v>355</v>
      </c>
      <c r="Q8191" s="5" t="s">
        <v>355</v>
      </c>
    </row>
    <row r="8192" ht="16.5" customHeight="1">
      <c r="O8192" s="5" t="s">
        <v>355</v>
      </c>
      <c r="P8192" s="5" t="s">
        <v>355</v>
      </c>
      <c r="Q8192" s="5" t="s">
        <v>355</v>
      </c>
    </row>
    <row r="8193" ht="16.5" customHeight="1">
      <c r="O8193" s="5" t="s">
        <v>355</v>
      </c>
      <c r="P8193" s="5" t="s">
        <v>355</v>
      </c>
      <c r="Q8193" s="5" t="s">
        <v>355</v>
      </c>
    </row>
    <row r="8194" ht="16.5" customHeight="1">
      <c r="O8194" s="5" t="s">
        <v>355</v>
      </c>
      <c r="P8194" s="5" t="s">
        <v>355</v>
      </c>
      <c r="Q8194" s="5" t="s">
        <v>355</v>
      </c>
    </row>
    <row r="8195" ht="16.5" customHeight="1">
      <c r="O8195" s="5" t="s">
        <v>355</v>
      </c>
      <c r="P8195" s="5" t="s">
        <v>355</v>
      </c>
      <c r="Q8195" s="5" t="s">
        <v>355</v>
      </c>
    </row>
    <row r="8196" ht="16.5" customHeight="1">
      <c r="O8196" s="5" t="s">
        <v>355</v>
      </c>
      <c r="P8196" s="5" t="s">
        <v>355</v>
      </c>
      <c r="Q8196" s="5" t="s">
        <v>355</v>
      </c>
    </row>
    <row r="8197" ht="16.5" customHeight="1">
      <c r="O8197" s="5" t="s">
        <v>355</v>
      </c>
      <c r="P8197" s="5" t="s">
        <v>355</v>
      </c>
      <c r="Q8197" s="5" t="s">
        <v>355</v>
      </c>
    </row>
    <row r="8198" ht="16.5" customHeight="1">
      <c r="O8198" s="5" t="s">
        <v>355</v>
      </c>
      <c r="P8198" s="5" t="s">
        <v>355</v>
      </c>
      <c r="Q8198" s="5" t="s">
        <v>355</v>
      </c>
    </row>
    <row r="8199" ht="16.5" customHeight="1">
      <c r="O8199" s="5" t="s">
        <v>355</v>
      </c>
      <c r="P8199" s="5" t="s">
        <v>355</v>
      </c>
      <c r="Q8199" s="5" t="s">
        <v>355</v>
      </c>
    </row>
    <row r="8200" ht="16.5" customHeight="1">
      <c r="O8200" s="5" t="s">
        <v>355</v>
      </c>
      <c r="P8200" s="5" t="s">
        <v>355</v>
      </c>
      <c r="Q8200" s="5" t="s">
        <v>355</v>
      </c>
    </row>
    <row r="8201" ht="16.5" customHeight="1">
      <c r="O8201" s="5" t="s">
        <v>355</v>
      </c>
      <c r="P8201" s="5" t="s">
        <v>355</v>
      </c>
      <c r="Q8201" s="5" t="s">
        <v>355</v>
      </c>
    </row>
    <row r="8202" ht="16.5" customHeight="1">
      <c r="O8202" s="5" t="s">
        <v>355</v>
      </c>
      <c r="P8202" s="5" t="s">
        <v>355</v>
      </c>
      <c r="Q8202" s="5" t="s">
        <v>355</v>
      </c>
    </row>
    <row r="8203" ht="16.5" customHeight="1">
      <c r="O8203" s="5" t="s">
        <v>355</v>
      </c>
      <c r="P8203" s="5" t="s">
        <v>355</v>
      </c>
      <c r="Q8203" s="5" t="s">
        <v>355</v>
      </c>
    </row>
    <row r="8204" ht="16.5" customHeight="1">
      <c r="O8204" s="5" t="s">
        <v>355</v>
      </c>
      <c r="P8204" s="5" t="s">
        <v>355</v>
      </c>
      <c r="Q8204" s="5" t="s">
        <v>355</v>
      </c>
    </row>
    <row r="8205" ht="16.5" customHeight="1">
      <c r="O8205" s="5" t="s">
        <v>355</v>
      </c>
      <c r="P8205" s="5" t="s">
        <v>355</v>
      </c>
      <c r="Q8205" s="5" t="s">
        <v>355</v>
      </c>
    </row>
    <row r="8206" ht="16.5" customHeight="1">
      <c r="O8206" s="5" t="s">
        <v>355</v>
      </c>
      <c r="P8206" s="5" t="s">
        <v>355</v>
      </c>
      <c r="Q8206" s="5" t="s">
        <v>355</v>
      </c>
    </row>
    <row r="8207" ht="16.5" customHeight="1">
      <c r="O8207" s="5" t="s">
        <v>355</v>
      </c>
      <c r="P8207" s="5" t="s">
        <v>355</v>
      </c>
      <c r="Q8207" s="5" t="s">
        <v>355</v>
      </c>
    </row>
    <row r="8208" ht="16.5" customHeight="1">
      <c r="O8208" s="5" t="s">
        <v>355</v>
      </c>
      <c r="P8208" s="5" t="s">
        <v>355</v>
      </c>
      <c r="Q8208" s="5" t="s">
        <v>355</v>
      </c>
    </row>
    <row r="8209" ht="16.5" customHeight="1">
      <c r="O8209" s="5" t="s">
        <v>355</v>
      </c>
      <c r="P8209" s="5" t="s">
        <v>355</v>
      </c>
      <c r="Q8209" s="5" t="s">
        <v>355</v>
      </c>
    </row>
    <row r="8210" ht="16.5" customHeight="1">
      <c r="O8210" s="5" t="s">
        <v>355</v>
      </c>
      <c r="P8210" s="5" t="s">
        <v>355</v>
      </c>
      <c r="Q8210" s="5" t="s">
        <v>355</v>
      </c>
    </row>
    <row r="8211" ht="16.5" customHeight="1">
      <c r="O8211" s="5" t="s">
        <v>355</v>
      </c>
      <c r="P8211" s="5" t="s">
        <v>355</v>
      </c>
      <c r="Q8211" s="5" t="s">
        <v>355</v>
      </c>
    </row>
    <row r="8212" ht="16.5" customHeight="1">
      <c r="O8212" s="5" t="s">
        <v>355</v>
      </c>
      <c r="P8212" s="5" t="s">
        <v>355</v>
      </c>
      <c r="Q8212" s="5" t="s">
        <v>355</v>
      </c>
    </row>
    <row r="8213" ht="16.5" customHeight="1">
      <c r="O8213" s="5" t="s">
        <v>355</v>
      </c>
      <c r="P8213" s="5" t="s">
        <v>355</v>
      </c>
      <c r="Q8213" s="5" t="s">
        <v>355</v>
      </c>
    </row>
    <row r="8214" ht="16.5" customHeight="1">
      <c r="O8214" s="5" t="s">
        <v>355</v>
      </c>
      <c r="P8214" s="5" t="s">
        <v>355</v>
      </c>
      <c r="Q8214" s="5" t="s">
        <v>355</v>
      </c>
    </row>
    <row r="8215" ht="16.5" customHeight="1">
      <c r="O8215" s="5" t="s">
        <v>355</v>
      </c>
      <c r="P8215" s="5" t="s">
        <v>355</v>
      </c>
      <c r="Q8215" s="5" t="s">
        <v>355</v>
      </c>
    </row>
    <row r="8216" ht="16.5" customHeight="1">
      <c r="O8216" s="5" t="s">
        <v>355</v>
      </c>
      <c r="P8216" s="5" t="s">
        <v>355</v>
      </c>
      <c r="Q8216" s="5" t="s">
        <v>355</v>
      </c>
    </row>
    <row r="8217" ht="16.5" customHeight="1">
      <c r="O8217" s="5" t="s">
        <v>355</v>
      </c>
      <c r="P8217" s="5" t="s">
        <v>355</v>
      </c>
      <c r="Q8217" s="5" t="s">
        <v>355</v>
      </c>
    </row>
    <row r="8218" ht="16.5" customHeight="1">
      <c r="O8218" s="5" t="s">
        <v>355</v>
      </c>
      <c r="P8218" s="5" t="s">
        <v>355</v>
      </c>
      <c r="Q8218" s="5" t="s">
        <v>355</v>
      </c>
    </row>
    <row r="8219" ht="16.5" customHeight="1">
      <c r="O8219" s="5" t="s">
        <v>355</v>
      </c>
      <c r="P8219" s="5" t="s">
        <v>355</v>
      </c>
      <c r="Q8219" s="5" t="s">
        <v>355</v>
      </c>
    </row>
    <row r="8220" ht="16.5" customHeight="1">
      <c r="O8220" s="5" t="s">
        <v>355</v>
      </c>
      <c r="P8220" s="5" t="s">
        <v>355</v>
      </c>
      <c r="Q8220" s="5" t="s">
        <v>355</v>
      </c>
    </row>
    <row r="8221" ht="16.5" customHeight="1">
      <c r="O8221" s="5" t="s">
        <v>355</v>
      </c>
      <c r="P8221" s="5" t="s">
        <v>355</v>
      </c>
      <c r="Q8221" s="5" t="s">
        <v>355</v>
      </c>
    </row>
    <row r="8222" ht="16.5" customHeight="1">
      <c r="O8222" s="5" t="s">
        <v>355</v>
      </c>
      <c r="P8222" s="5" t="s">
        <v>355</v>
      </c>
      <c r="Q8222" s="5" t="s">
        <v>355</v>
      </c>
    </row>
    <row r="8223" ht="16.5" customHeight="1">
      <c r="O8223" s="5" t="s">
        <v>355</v>
      </c>
      <c r="P8223" s="5" t="s">
        <v>355</v>
      </c>
      <c r="Q8223" s="5" t="s">
        <v>355</v>
      </c>
    </row>
    <row r="8224" ht="16.5" customHeight="1">
      <c r="O8224" s="5" t="s">
        <v>355</v>
      </c>
      <c r="P8224" s="5" t="s">
        <v>355</v>
      </c>
      <c r="Q8224" s="5" t="s">
        <v>355</v>
      </c>
    </row>
    <row r="8225" ht="16.5" customHeight="1">
      <c r="O8225" s="5" t="s">
        <v>355</v>
      </c>
      <c r="P8225" s="5" t="s">
        <v>355</v>
      </c>
      <c r="Q8225" s="5" t="s">
        <v>355</v>
      </c>
    </row>
    <row r="8226" ht="16.5" customHeight="1">
      <c r="O8226" s="5" t="s">
        <v>355</v>
      </c>
      <c r="P8226" s="5" t="s">
        <v>355</v>
      </c>
      <c r="Q8226" s="5" t="s">
        <v>355</v>
      </c>
    </row>
    <row r="8227" ht="16.5" customHeight="1">
      <c r="O8227" s="5" t="s">
        <v>355</v>
      </c>
      <c r="P8227" s="5" t="s">
        <v>355</v>
      </c>
      <c r="Q8227" s="5" t="s">
        <v>355</v>
      </c>
    </row>
    <row r="8228" ht="16.5" customHeight="1">
      <c r="O8228" s="5" t="s">
        <v>355</v>
      </c>
      <c r="P8228" s="5" t="s">
        <v>355</v>
      </c>
      <c r="Q8228" s="5" t="s">
        <v>355</v>
      </c>
    </row>
    <row r="8229" ht="16.5" customHeight="1">
      <c r="O8229" s="5" t="s">
        <v>355</v>
      </c>
      <c r="P8229" s="5" t="s">
        <v>355</v>
      </c>
      <c r="Q8229" s="5" t="s">
        <v>355</v>
      </c>
    </row>
    <row r="8230" ht="16.5" customHeight="1">
      <c r="O8230" s="5" t="s">
        <v>355</v>
      </c>
      <c r="P8230" s="5" t="s">
        <v>355</v>
      </c>
      <c r="Q8230" s="5" t="s">
        <v>355</v>
      </c>
    </row>
    <row r="8231" ht="16.5" customHeight="1">
      <c r="O8231" s="5" t="s">
        <v>355</v>
      </c>
      <c r="P8231" s="5" t="s">
        <v>355</v>
      </c>
      <c r="Q8231" s="5" t="s">
        <v>355</v>
      </c>
    </row>
    <row r="8232" ht="16.5" customHeight="1">
      <c r="O8232" s="5" t="s">
        <v>355</v>
      </c>
      <c r="P8232" s="5" t="s">
        <v>355</v>
      </c>
      <c r="Q8232" s="5" t="s">
        <v>355</v>
      </c>
    </row>
    <row r="8233" ht="16.5" customHeight="1">
      <c r="O8233" s="5" t="s">
        <v>355</v>
      </c>
      <c r="P8233" s="5" t="s">
        <v>355</v>
      </c>
      <c r="Q8233" s="5" t="s">
        <v>355</v>
      </c>
    </row>
    <row r="8234" ht="16.5" customHeight="1">
      <c r="O8234" s="5" t="s">
        <v>355</v>
      </c>
      <c r="P8234" s="5" t="s">
        <v>355</v>
      </c>
      <c r="Q8234" s="5" t="s">
        <v>355</v>
      </c>
    </row>
    <row r="8235" ht="16.5" customHeight="1">
      <c r="O8235" s="5" t="s">
        <v>355</v>
      </c>
      <c r="P8235" s="5" t="s">
        <v>355</v>
      </c>
      <c r="Q8235" s="5" t="s">
        <v>355</v>
      </c>
    </row>
    <row r="8236" ht="16.5" customHeight="1">
      <c r="O8236" s="5" t="s">
        <v>355</v>
      </c>
      <c r="P8236" s="5" t="s">
        <v>355</v>
      </c>
      <c r="Q8236" s="5" t="s">
        <v>355</v>
      </c>
    </row>
    <row r="8237" ht="16.5" customHeight="1">
      <c r="O8237" s="5" t="s">
        <v>355</v>
      </c>
      <c r="P8237" s="5" t="s">
        <v>355</v>
      </c>
      <c r="Q8237" s="5" t="s">
        <v>355</v>
      </c>
    </row>
    <row r="8238" ht="16.5" customHeight="1">
      <c r="O8238" s="5" t="s">
        <v>355</v>
      </c>
      <c r="P8238" s="5" t="s">
        <v>355</v>
      </c>
      <c r="Q8238" s="5" t="s">
        <v>355</v>
      </c>
    </row>
    <row r="8239" ht="16.5" customHeight="1">
      <c r="O8239" s="5" t="s">
        <v>355</v>
      </c>
      <c r="P8239" s="5" t="s">
        <v>355</v>
      </c>
      <c r="Q8239" s="5" t="s">
        <v>355</v>
      </c>
    </row>
    <row r="8240" ht="16.5" customHeight="1">
      <c r="O8240" s="5" t="s">
        <v>355</v>
      </c>
      <c r="P8240" s="5" t="s">
        <v>355</v>
      </c>
      <c r="Q8240" s="5" t="s">
        <v>355</v>
      </c>
    </row>
    <row r="8241" ht="16.5" customHeight="1">
      <c r="O8241" s="5" t="s">
        <v>355</v>
      </c>
      <c r="P8241" s="5" t="s">
        <v>355</v>
      </c>
      <c r="Q8241" s="5" t="s">
        <v>355</v>
      </c>
    </row>
    <row r="8242" ht="16.5" customHeight="1">
      <c r="O8242" s="5" t="s">
        <v>355</v>
      </c>
      <c r="P8242" s="5" t="s">
        <v>355</v>
      </c>
      <c r="Q8242" s="5" t="s">
        <v>355</v>
      </c>
    </row>
    <row r="8243" ht="16.5" customHeight="1">
      <c r="O8243" s="5" t="s">
        <v>355</v>
      </c>
      <c r="P8243" s="5" t="s">
        <v>355</v>
      </c>
      <c r="Q8243" s="5" t="s">
        <v>355</v>
      </c>
    </row>
    <row r="8244" ht="16.5" customHeight="1">
      <c r="O8244" s="5" t="s">
        <v>355</v>
      </c>
      <c r="P8244" s="5" t="s">
        <v>355</v>
      </c>
      <c r="Q8244" s="5" t="s">
        <v>355</v>
      </c>
    </row>
    <row r="8245" ht="16.5" customHeight="1">
      <c r="O8245" s="5" t="s">
        <v>355</v>
      </c>
      <c r="P8245" s="5" t="s">
        <v>355</v>
      </c>
      <c r="Q8245" s="5" t="s">
        <v>355</v>
      </c>
    </row>
    <row r="8246" ht="16.5" customHeight="1">
      <c r="O8246" s="5" t="s">
        <v>355</v>
      </c>
      <c r="P8246" s="5" t="s">
        <v>355</v>
      </c>
      <c r="Q8246" s="5" t="s">
        <v>355</v>
      </c>
    </row>
    <row r="8247" ht="16.5" customHeight="1">
      <c r="O8247" s="5" t="s">
        <v>355</v>
      </c>
      <c r="P8247" s="5" t="s">
        <v>355</v>
      </c>
      <c r="Q8247" s="5" t="s">
        <v>355</v>
      </c>
    </row>
    <row r="8248" ht="16.5" customHeight="1">
      <c r="O8248" s="5" t="s">
        <v>355</v>
      </c>
      <c r="P8248" s="5" t="s">
        <v>355</v>
      </c>
      <c r="Q8248" s="5" t="s">
        <v>355</v>
      </c>
    </row>
    <row r="8249" ht="16.5" customHeight="1">
      <c r="O8249" s="5" t="s">
        <v>355</v>
      </c>
      <c r="P8249" s="5" t="s">
        <v>355</v>
      </c>
      <c r="Q8249" s="5" t="s">
        <v>355</v>
      </c>
    </row>
    <row r="8250" ht="16.5" customHeight="1">
      <c r="O8250" s="5" t="s">
        <v>355</v>
      </c>
      <c r="P8250" s="5" t="s">
        <v>355</v>
      </c>
      <c r="Q8250" s="5" t="s">
        <v>355</v>
      </c>
    </row>
    <row r="8251" ht="16.5" customHeight="1">
      <c r="O8251" s="5" t="s">
        <v>355</v>
      </c>
      <c r="P8251" s="5" t="s">
        <v>355</v>
      </c>
      <c r="Q8251" s="5" t="s">
        <v>355</v>
      </c>
    </row>
    <row r="8252" ht="16.5" customHeight="1">
      <c r="O8252" s="5" t="s">
        <v>355</v>
      </c>
      <c r="P8252" s="5" t="s">
        <v>355</v>
      </c>
      <c r="Q8252" s="5" t="s">
        <v>355</v>
      </c>
    </row>
    <row r="8253" ht="16.5" customHeight="1">
      <c r="O8253" s="5" t="s">
        <v>355</v>
      </c>
      <c r="P8253" s="5" t="s">
        <v>355</v>
      </c>
      <c r="Q8253" s="5" t="s">
        <v>355</v>
      </c>
    </row>
    <row r="8254" ht="16.5" customHeight="1">
      <c r="O8254" s="5" t="s">
        <v>355</v>
      </c>
      <c r="P8254" s="5" t="s">
        <v>355</v>
      </c>
      <c r="Q8254" s="5" t="s">
        <v>355</v>
      </c>
    </row>
    <row r="8255" ht="16.5" customHeight="1">
      <c r="O8255" s="5" t="s">
        <v>355</v>
      </c>
      <c r="P8255" s="5" t="s">
        <v>355</v>
      </c>
      <c r="Q8255" s="5" t="s">
        <v>355</v>
      </c>
    </row>
    <row r="8256" ht="16.5" customHeight="1">
      <c r="O8256" s="5" t="s">
        <v>355</v>
      </c>
      <c r="P8256" s="5" t="s">
        <v>355</v>
      </c>
      <c r="Q8256" s="5" t="s">
        <v>355</v>
      </c>
    </row>
    <row r="8257" ht="16.5" customHeight="1">
      <c r="O8257" s="5" t="s">
        <v>355</v>
      </c>
      <c r="P8257" s="5" t="s">
        <v>355</v>
      </c>
      <c r="Q8257" s="5" t="s">
        <v>355</v>
      </c>
    </row>
    <row r="8258" ht="16.5" customHeight="1">
      <c r="O8258" s="5" t="s">
        <v>355</v>
      </c>
      <c r="P8258" s="5" t="s">
        <v>355</v>
      </c>
      <c r="Q8258" s="5" t="s">
        <v>355</v>
      </c>
    </row>
    <row r="8259" ht="16.5" customHeight="1">
      <c r="O8259" s="5" t="s">
        <v>355</v>
      </c>
      <c r="P8259" s="5" t="s">
        <v>355</v>
      </c>
      <c r="Q8259" s="5" t="s">
        <v>355</v>
      </c>
    </row>
    <row r="8260" ht="16.5" customHeight="1">
      <c r="O8260" s="5" t="s">
        <v>355</v>
      </c>
      <c r="P8260" s="5" t="s">
        <v>355</v>
      </c>
      <c r="Q8260" s="5" t="s">
        <v>355</v>
      </c>
    </row>
    <row r="8261" ht="16.5" customHeight="1">
      <c r="O8261" s="5" t="s">
        <v>355</v>
      </c>
      <c r="P8261" s="5" t="s">
        <v>355</v>
      </c>
      <c r="Q8261" s="5" t="s">
        <v>355</v>
      </c>
    </row>
    <row r="8262" ht="16.5" customHeight="1">
      <c r="O8262" s="5" t="s">
        <v>355</v>
      </c>
      <c r="P8262" s="5" t="s">
        <v>355</v>
      </c>
      <c r="Q8262" s="5" t="s">
        <v>355</v>
      </c>
    </row>
    <row r="8263" ht="16.5" customHeight="1">
      <c r="O8263" s="5" t="s">
        <v>355</v>
      </c>
      <c r="P8263" s="5" t="s">
        <v>355</v>
      </c>
      <c r="Q8263" s="5" t="s">
        <v>355</v>
      </c>
    </row>
    <row r="8264" ht="16.5" customHeight="1">
      <c r="O8264" s="5" t="s">
        <v>355</v>
      </c>
      <c r="P8264" s="5" t="s">
        <v>355</v>
      </c>
      <c r="Q8264" s="5" t="s">
        <v>355</v>
      </c>
    </row>
    <row r="8265" ht="16.5" customHeight="1">
      <c r="O8265" s="5" t="s">
        <v>355</v>
      </c>
      <c r="P8265" s="5" t="s">
        <v>355</v>
      </c>
      <c r="Q8265" s="5" t="s">
        <v>355</v>
      </c>
    </row>
    <row r="8266" ht="16.5" customHeight="1">
      <c r="O8266" s="5" t="s">
        <v>355</v>
      </c>
      <c r="P8266" s="5" t="s">
        <v>355</v>
      </c>
      <c r="Q8266" s="5" t="s">
        <v>355</v>
      </c>
    </row>
    <row r="8267" ht="16.5" customHeight="1">
      <c r="O8267" s="5" t="s">
        <v>355</v>
      </c>
      <c r="P8267" s="5" t="s">
        <v>355</v>
      </c>
      <c r="Q8267" s="5" t="s">
        <v>355</v>
      </c>
    </row>
    <row r="8268" ht="16.5" customHeight="1">
      <c r="O8268" s="5" t="s">
        <v>355</v>
      </c>
      <c r="P8268" s="5" t="s">
        <v>355</v>
      </c>
      <c r="Q8268" s="5" t="s">
        <v>355</v>
      </c>
    </row>
    <row r="8269" ht="16.5" customHeight="1">
      <c r="O8269" s="5" t="s">
        <v>355</v>
      </c>
      <c r="P8269" s="5" t="s">
        <v>355</v>
      </c>
      <c r="Q8269" s="5" t="s">
        <v>355</v>
      </c>
    </row>
    <row r="8270" ht="16.5" customHeight="1">
      <c r="O8270" s="5" t="s">
        <v>355</v>
      </c>
      <c r="P8270" s="5" t="s">
        <v>355</v>
      </c>
      <c r="Q8270" s="5" t="s">
        <v>355</v>
      </c>
    </row>
    <row r="8271" ht="16.5" customHeight="1">
      <c r="O8271" s="5" t="s">
        <v>355</v>
      </c>
      <c r="P8271" s="5" t="s">
        <v>355</v>
      </c>
      <c r="Q8271" s="5" t="s">
        <v>355</v>
      </c>
    </row>
    <row r="8272" ht="16.5" customHeight="1">
      <c r="O8272" s="5" t="s">
        <v>355</v>
      </c>
      <c r="P8272" s="5" t="s">
        <v>355</v>
      </c>
      <c r="Q8272" s="5" t="s">
        <v>355</v>
      </c>
    </row>
    <row r="8273" ht="16.5" customHeight="1">
      <c r="O8273" s="5" t="s">
        <v>355</v>
      </c>
      <c r="P8273" s="5" t="s">
        <v>355</v>
      </c>
      <c r="Q8273" s="5" t="s">
        <v>355</v>
      </c>
    </row>
    <row r="8274" ht="16.5" customHeight="1">
      <c r="O8274" s="5" t="s">
        <v>355</v>
      </c>
      <c r="P8274" s="5" t="s">
        <v>355</v>
      </c>
      <c r="Q8274" s="5" t="s">
        <v>355</v>
      </c>
    </row>
    <row r="8275" ht="16.5" customHeight="1">
      <c r="O8275" s="5" t="s">
        <v>355</v>
      </c>
      <c r="P8275" s="5" t="s">
        <v>355</v>
      </c>
      <c r="Q8275" s="5" t="s">
        <v>355</v>
      </c>
    </row>
    <row r="8276" ht="16.5" customHeight="1">
      <c r="O8276" s="5" t="s">
        <v>355</v>
      </c>
      <c r="P8276" s="5" t="s">
        <v>355</v>
      </c>
      <c r="Q8276" s="5" t="s">
        <v>355</v>
      </c>
    </row>
    <row r="8277" ht="16.5" customHeight="1">
      <c r="O8277" s="5" t="s">
        <v>355</v>
      </c>
      <c r="P8277" s="5" t="s">
        <v>355</v>
      </c>
      <c r="Q8277" s="5" t="s">
        <v>355</v>
      </c>
    </row>
    <row r="8278" ht="16.5" customHeight="1">
      <c r="O8278" s="5" t="s">
        <v>355</v>
      </c>
      <c r="P8278" s="5" t="s">
        <v>355</v>
      </c>
      <c r="Q8278" s="5" t="s">
        <v>355</v>
      </c>
    </row>
    <row r="8279" ht="16.5" customHeight="1">
      <c r="O8279" s="5" t="s">
        <v>355</v>
      </c>
      <c r="P8279" s="5" t="s">
        <v>355</v>
      </c>
      <c r="Q8279" s="5" t="s">
        <v>355</v>
      </c>
    </row>
    <row r="8280" ht="16.5" customHeight="1">
      <c r="O8280" s="5" t="s">
        <v>355</v>
      </c>
      <c r="P8280" s="5" t="s">
        <v>355</v>
      </c>
      <c r="Q8280" s="5" t="s">
        <v>355</v>
      </c>
    </row>
    <row r="8281" ht="16.5" customHeight="1">
      <c r="O8281" s="5" t="s">
        <v>355</v>
      </c>
      <c r="P8281" s="5" t="s">
        <v>355</v>
      </c>
      <c r="Q8281" s="5" t="s">
        <v>355</v>
      </c>
    </row>
    <row r="8282" ht="16.5" customHeight="1">
      <c r="O8282" s="5" t="s">
        <v>355</v>
      </c>
      <c r="P8282" s="5" t="s">
        <v>355</v>
      </c>
      <c r="Q8282" s="5" t="s">
        <v>355</v>
      </c>
    </row>
    <row r="8283" ht="16.5" customHeight="1">
      <c r="O8283" s="5" t="s">
        <v>355</v>
      </c>
      <c r="P8283" s="5" t="s">
        <v>355</v>
      </c>
      <c r="Q8283" s="5" t="s">
        <v>355</v>
      </c>
    </row>
    <row r="8284" ht="16.5" customHeight="1">
      <c r="O8284" s="5" t="s">
        <v>355</v>
      </c>
      <c r="P8284" s="5" t="s">
        <v>355</v>
      </c>
      <c r="Q8284" s="5" t="s">
        <v>355</v>
      </c>
    </row>
    <row r="8285" ht="16.5" customHeight="1">
      <c r="O8285" s="5" t="s">
        <v>355</v>
      </c>
      <c r="P8285" s="5" t="s">
        <v>355</v>
      </c>
      <c r="Q8285" s="5" t="s">
        <v>355</v>
      </c>
    </row>
    <row r="8286" ht="16.5" customHeight="1">
      <c r="O8286" s="5" t="s">
        <v>355</v>
      </c>
      <c r="P8286" s="5" t="s">
        <v>355</v>
      </c>
      <c r="Q8286" s="5" t="s">
        <v>355</v>
      </c>
    </row>
    <row r="8287" ht="16.5" customHeight="1">
      <c r="O8287" s="5" t="s">
        <v>355</v>
      </c>
      <c r="P8287" s="5" t="s">
        <v>355</v>
      </c>
      <c r="Q8287" s="5" t="s">
        <v>355</v>
      </c>
    </row>
    <row r="8288" ht="16.5" customHeight="1">
      <c r="O8288" s="5" t="s">
        <v>355</v>
      </c>
      <c r="P8288" s="5" t="s">
        <v>355</v>
      </c>
      <c r="Q8288" s="5" t="s">
        <v>355</v>
      </c>
    </row>
    <row r="8289" ht="16.5" customHeight="1">
      <c r="O8289" s="5" t="s">
        <v>355</v>
      </c>
      <c r="P8289" s="5" t="s">
        <v>355</v>
      </c>
      <c r="Q8289" s="5" t="s">
        <v>355</v>
      </c>
    </row>
    <row r="8290" ht="16.5" customHeight="1">
      <c r="O8290" s="5" t="s">
        <v>355</v>
      </c>
      <c r="P8290" s="5" t="s">
        <v>355</v>
      </c>
      <c r="Q8290" s="5" t="s">
        <v>355</v>
      </c>
    </row>
    <row r="8291" ht="16.5" customHeight="1">
      <c r="O8291" s="5" t="s">
        <v>355</v>
      </c>
      <c r="P8291" s="5" t="s">
        <v>355</v>
      </c>
      <c r="Q8291" s="5" t="s">
        <v>355</v>
      </c>
    </row>
    <row r="8292" ht="16.5" customHeight="1">
      <c r="O8292" s="5" t="s">
        <v>355</v>
      </c>
      <c r="P8292" s="5" t="s">
        <v>355</v>
      </c>
      <c r="Q8292" s="5" t="s">
        <v>355</v>
      </c>
    </row>
    <row r="8293" ht="16.5" customHeight="1">
      <c r="O8293" s="5" t="s">
        <v>355</v>
      </c>
      <c r="P8293" s="5" t="s">
        <v>355</v>
      </c>
      <c r="Q8293" s="5" t="s">
        <v>355</v>
      </c>
    </row>
    <row r="8294" ht="16.5" customHeight="1">
      <c r="O8294" s="5" t="s">
        <v>355</v>
      </c>
      <c r="P8294" s="5" t="s">
        <v>355</v>
      </c>
      <c r="Q8294" s="5" t="s">
        <v>355</v>
      </c>
    </row>
    <row r="8295" ht="16.5" customHeight="1">
      <c r="O8295" s="5" t="s">
        <v>355</v>
      </c>
      <c r="P8295" s="5" t="s">
        <v>355</v>
      </c>
      <c r="Q8295" s="5" t="s">
        <v>355</v>
      </c>
    </row>
    <row r="8296" ht="16.5" customHeight="1">
      <c r="O8296" s="5" t="s">
        <v>355</v>
      </c>
      <c r="P8296" s="5" t="s">
        <v>355</v>
      </c>
      <c r="Q8296" s="5" t="s">
        <v>355</v>
      </c>
    </row>
    <row r="8297" ht="16.5" customHeight="1">
      <c r="O8297" s="5" t="s">
        <v>355</v>
      </c>
      <c r="P8297" s="5" t="s">
        <v>355</v>
      </c>
      <c r="Q8297" s="5" t="s">
        <v>355</v>
      </c>
    </row>
    <row r="8298" ht="16.5" customHeight="1">
      <c r="O8298" s="5" t="s">
        <v>355</v>
      </c>
      <c r="P8298" s="5" t="s">
        <v>355</v>
      </c>
      <c r="Q8298" s="5" t="s">
        <v>355</v>
      </c>
    </row>
    <row r="8299" ht="16.5" customHeight="1">
      <c r="O8299" s="5" t="s">
        <v>355</v>
      </c>
      <c r="P8299" s="5" t="s">
        <v>355</v>
      </c>
      <c r="Q8299" s="5" t="s">
        <v>355</v>
      </c>
    </row>
    <row r="8300" ht="16.5" customHeight="1">
      <c r="O8300" s="5" t="s">
        <v>355</v>
      </c>
      <c r="P8300" s="5" t="s">
        <v>355</v>
      </c>
      <c r="Q8300" s="5" t="s">
        <v>355</v>
      </c>
    </row>
    <row r="8301" ht="16.5" customHeight="1">
      <c r="O8301" s="5" t="s">
        <v>355</v>
      </c>
      <c r="P8301" s="5" t="s">
        <v>355</v>
      </c>
      <c r="Q8301" s="5" t="s">
        <v>355</v>
      </c>
    </row>
    <row r="8302" ht="16.5" customHeight="1">
      <c r="O8302" s="5" t="s">
        <v>355</v>
      </c>
      <c r="P8302" s="5" t="s">
        <v>355</v>
      </c>
      <c r="Q8302" s="5" t="s">
        <v>355</v>
      </c>
    </row>
    <row r="8303" ht="16.5" customHeight="1">
      <c r="O8303" s="5" t="s">
        <v>355</v>
      </c>
      <c r="P8303" s="5" t="s">
        <v>355</v>
      </c>
      <c r="Q8303" s="5" t="s">
        <v>355</v>
      </c>
    </row>
    <row r="8304" ht="16.5" customHeight="1">
      <c r="O8304" s="5" t="s">
        <v>355</v>
      </c>
      <c r="P8304" s="5" t="s">
        <v>355</v>
      </c>
      <c r="Q8304" s="5" t="s">
        <v>355</v>
      </c>
    </row>
    <row r="8305" ht="16.5" customHeight="1">
      <c r="O8305" s="5" t="s">
        <v>355</v>
      </c>
      <c r="P8305" s="5" t="s">
        <v>355</v>
      </c>
      <c r="Q8305" s="5" t="s">
        <v>355</v>
      </c>
    </row>
    <row r="8306" ht="16.5" customHeight="1">
      <c r="O8306" s="5" t="s">
        <v>355</v>
      </c>
      <c r="P8306" s="5" t="s">
        <v>355</v>
      </c>
      <c r="Q8306" s="5" t="s">
        <v>355</v>
      </c>
    </row>
    <row r="8307" ht="16.5" customHeight="1">
      <c r="O8307" s="5" t="s">
        <v>355</v>
      </c>
      <c r="P8307" s="5" t="s">
        <v>355</v>
      </c>
      <c r="Q8307" s="5" t="s">
        <v>355</v>
      </c>
    </row>
    <row r="8308" ht="16.5" customHeight="1">
      <c r="O8308" s="5" t="s">
        <v>355</v>
      </c>
      <c r="P8308" s="5" t="s">
        <v>355</v>
      </c>
      <c r="Q8308" s="5" t="s">
        <v>355</v>
      </c>
    </row>
    <row r="8309" ht="16.5" customHeight="1">
      <c r="O8309" s="5" t="s">
        <v>355</v>
      </c>
      <c r="P8309" s="5" t="s">
        <v>355</v>
      </c>
      <c r="Q8309" s="5" t="s">
        <v>355</v>
      </c>
    </row>
    <row r="8310" ht="16.5" customHeight="1">
      <c r="O8310" s="5" t="s">
        <v>355</v>
      </c>
      <c r="P8310" s="5" t="s">
        <v>355</v>
      </c>
      <c r="Q8310" s="5" t="s">
        <v>355</v>
      </c>
    </row>
    <row r="8311" ht="16.5" customHeight="1">
      <c r="O8311" s="5" t="s">
        <v>355</v>
      </c>
      <c r="P8311" s="5" t="s">
        <v>355</v>
      </c>
      <c r="Q8311" s="5" t="s">
        <v>355</v>
      </c>
    </row>
    <row r="8312" ht="16.5" customHeight="1">
      <c r="O8312" s="5" t="s">
        <v>355</v>
      </c>
      <c r="P8312" s="5" t="s">
        <v>355</v>
      </c>
      <c r="Q8312" s="5" t="s">
        <v>355</v>
      </c>
    </row>
    <row r="8313" ht="16.5" customHeight="1">
      <c r="O8313" s="5" t="s">
        <v>355</v>
      </c>
      <c r="P8313" s="5" t="s">
        <v>355</v>
      </c>
      <c r="Q8313" s="5" t="s">
        <v>355</v>
      </c>
    </row>
    <row r="8314" ht="16.5" customHeight="1">
      <c r="O8314" s="5" t="s">
        <v>355</v>
      </c>
      <c r="P8314" s="5" t="s">
        <v>355</v>
      </c>
      <c r="Q8314" s="5" t="s">
        <v>355</v>
      </c>
    </row>
    <row r="8315" ht="16.5" customHeight="1">
      <c r="O8315" s="5" t="s">
        <v>355</v>
      </c>
      <c r="P8315" s="5" t="s">
        <v>355</v>
      </c>
      <c r="Q8315" s="5" t="s">
        <v>355</v>
      </c>
    </row>
    <row r="8316" ht="16.5" customHeight="1">
      <c r="O8316" s="5" t="s">
        <v>355</v>
      </c>
      <c r="P8316" s="5" t="s">
        <v>355</v>
      </c>
      <c r="Q8316" s="5" t="s">
        <v>355</v>
      </c>
    </row>
    <row r="8317" ht="16.5" customHeight="1">
      <c r="O8317" s="5" t="s">
        <v>355</v>
      </c>
      <c r="P8317" s="5" t="s">
        <v>355</v>
      </c>
      <c r="Q8317" s="5" t="s">
        <v>355</v>
      </c>
    </row>
    <row r="8318" ht="16.5" customHeight="1">
      <c r="O8318" s="5" t="s">
        <v>355</v>
      </c>
      <c r="P8318" s="5" t="s">
        <v>355</v>
      </c>
      <c r="Q8318" s="5" t="s">
        <v>355</v>
      </c>
    </row>
    <row r="8319" ht="16.5" customHeight="1">
      <c r="O8319" s="5" t="s">
        <v>355</v>
      </c>
      <c r="P8319" s="5" t="s">
        <v>355</v>
      </c>
      <c r="Q8319" s="5" t="s">
        <v>355</v>
      </c>
    </row>
    <row r="8320" ht="16.5" customHeight="1">
      <c r="O8320" s="5" t="s">
        <v>355</v>
      </c>
      <c r="P8320" s="5" t="s">
        <v>355</v>
      </c>
      <c r="Q8320" s="5" t="s">
        <v>355</v>
      </c>
    </row>
    <row r="8321" ht="16.5" customHeight="1">
      <c r="O8321" s="5" t="s">
        <v>355</v>
      </c>
      <c r="P8321" s="5" t="s">
        <v>355</v>
      </c>
      <c r="Q8321" s="5" t="s">
        <v>355</v>
      </c>
    </row>
    <row r="8322" ht="16.5" customHeight="1">
      <c r="O8322" s="5" t="s">
        <v>355</v>
      </c>
      <c r="P8322" s="5" t="s">
        <v>355</v>
      </c>
      <c r="Q8322" s="5" t="s">
        <v>355</v>
      </c>
    </row>
    <row r="8323" ht="16.5" customHeight="1">
      <c r="O8323" s="5" t="s">
        <v>355</v>
      </c>
      <c r="P8323" s="5" t="s">
        <v>355</v>
      </c>
      <c r="Q8323" s="5" t="s">
        <v>355</v>
      </c>
    </row>
    <row r="8324" ht="16.5" customHeight="1">
      <c r="O8324" s="5" t="s">
        <v>355</v>
      </c>
      <c r="P8324" s="5" t="s">
        <v>355</v>
      </c>
      <c r="Q8324" s="5" t="s">
        <v>355</v>
      </c>
    </row>
    <row r="8325" ht="16.5" customHeight="1">
      <c r="O8325" s="5" t="s">
        <v>355</v>
      </c>
      <c r="P8325" s="5" t="s">
        <v>355</v>
      </c>
      <c r="Q8325" s="5" t="s">
        <v>355</v>
      </c>
    </row>
    <row r="8326" ht="16.5" customHeight="1">
      <c r="O8326" s="5" t="s">
        <v>355</v>
      </c>
      <c r="P8326" s="5" t="s">
        <v>355</v>
      </c>
      <c r="Q8326" s="5" t="s">
        <v>355</v>
      </c>
    </row>
    <row r="8327" ht="16.5" customHeight="1">
      <c r="O8327" s="5" t="s">
        <v>355</v>
      </c>
      <c r="P8327" s="5" t="s">
        <v>355</v>
      </c>
      <c r="Q8327" s="5" t="s">
        <v>355</v>
      </c>
    </row>
    <row r="8328" ht="16.5" customHeight="1">
      <c r="O8328" s="5" t="s">
        <v>355</v>
      </c>
      <c r="P8328" s="5" t="s">
        <v>355</v>
      </c>
      <c r="Q8328" s="5" t="s">
        <v>355</v>
      </c>
    </row>
    <row r="8329" ht="16.5" customHeight="1">
      <c r="O8329" s="5" t="s">
        <v>355</v>
      </c>
      <c r="P8329" s="5" t="s">
        <v>355</v>
      </c>
      <c r="Q8329" s="5" t="s">
        <v>355</v>
      </c>
    </row>
    <row r="8330" ht="16.5" customHeight="1">
      <c r="O8330" s="5" t="s">
        <v>355</v>
      </c>
      <c r="P8330" s="5" t="s">
        <v>355</v>
      </c>
      <c r="Q8330" s="5" t="s">
        <v>355</v>
      </c>
    </row>
    <row r="8331" ht="16.5" customHeight="1">
      <c r="O8331" s="5" t="s">
        <v>355</v>
      </c>
      <c r="P8331" s="5" t="s">
        <v>355</v>
      </c>
      <c r="Q8331" s="5" t="s">
        <v>355</v>
      </c>
    </row>
    <row r="8332" ht="16.5" customHeight="1">
      <c r="O8332" s="5" t="s">
        <v>355</v>
      </c>
      <c r="P8332" s="5" t="s">
        <v>355</v>
      </c>
      <c r="Q8332" s="5" t="s">
        <v>355</v>
      </c>
    </row>
    <row r="8333" ht="16.5" customHeight="1">
      <c r="O8333" s="5" t="s">
        <v>355</v>
      </c>
      <c r="P8333" s="5" t="s">
        <v>355</v>
      </c>
      <c r="Q8333" s="5" t="s">
        <v>355</v>
      </c>
    </row>
    <row r="8334" ht="16.5" customHeight="1">
      <c r="O8334" s="5" t="s">
        <v>355</v>
      </c>
      <c r="P8334" s="5" t="s">
        <v>355</v>
      </c>
      <c r="Q8334" s="5" t="s">
        <v>355</v>
      </c>
    </row>
    <row r="8335" ht="16.5" customHeight="1">
      <c r="O8335" s="5" t="s">
        <v>355</v>
      </c>
      <c r="P8335" s="5" t="s">
        <v>355</v>
      </c>
      <c r="Q8335" s="5" t="s">
        <v>355</v>
      </c>
    </row>
    <row r="8336" ht="16.5" customHeight="1">
      <c r="O8336" s="5" t="s">
        <v>355</v>
      </c>
      <c r="P8336" s="5" t="s">
        <v>355</v>
      </c>
      <c r="Q8336" s="5" t="s">
        <v>355</v>
      </c>
    </row>
    <row r="8337" ht="16.5" customHeight="1">
      <c r="O8337" s="5" t="s">
        <v>355</v>
      </c>
      <c r="P8337" s="5" t="s">
        <v>355</v>
      </c>
      <c r="Q8337" s="5" t="s">
        <v>355</v>
      </c>
    </row>
    <row r="8338" ht="16.5" customHeight="1">
      <c r="O8338" s="5" t="s">
        <v>355</v>
      </c>
      <c r="P8338" s="5" t="s">
        <v>355</v>
      </c>
      <c r="Q8338" s="5" t="s">
        <v>355</v>
      </c>
    </row>
    <row r="8339" ht="16.5" customHeight="1">
      <c r="O8339" s="5" t="s">
        <v>355</v>
      </c>
      <c r="P8339" s="5" t="s">
        <v>355</v>
      </c>
      <c r="Q8339" s="5" t="s">
        <v>355</v>
      </c>
    </row>
    <row r="8340" ht="16.5" customHeight="1">
      <c r="O8340" s="5" t="s">
        <v>355</v>
      </c>
      <c r="P8340" s="5" t="s">
        <v>355</v>
      </c>
      <c r="Q8340" s="5" t="s">
        <v>355</v>
      </c>
    </row>
    <row r="8341" ht="16.5" customHeight="1">
      <c r="O8341" s="5" t="s">
        <v>355</v>
      </c>
      <c r="P8341" s="5" t="s">
        <v>355</v>
      </c>
      <c r="Q8341" s="5" t="s">
        <v>355</v>
      </c>
    </row>
    <row r="8342" ht="16.5" customHeight="1">
      <c r="O8342" s="5" t="s">
        <v>355</v>
      </c>
      <c r="P8342" s="5" t="s">
        <v>355</v>
      </c>
      <c r="Q8342" s="5" t="s">
        <v>355</v>
      </c>
    </row>
    <row r="8343" ht="16.5" customHeight="1">
      <c r="O8343" s="5" t="s">
        <v>355</v>
      </c>
      <c r="P8343" s="5" t="s">
        <v>355</v>
      </c>
      <c r="Q8343" s="5" t="s">
        <v>355</v>
      </c>
    </row>
    <row r="8344" ht="16.5" customHeight="1">
      <c r="O8344" s="5" t="s">
        <v>355</v>
      </c>
      <c r="P8344" s="5" t="s">
        <v>355</v>
      </c>
      <c r="Q8344" s="5" t="s">
        <v>355</v>
      </c>
    </row>
    <row r="8345" ht="16.5" customHeight="1">
      <c r="O8345" s="5" t="s">
        <v>355</v>
      </c>
      <c r="P8345" s="5" t="s">
        <v>355</v>
      </c>
      <c r="Q8345" s="5" t="s">
        <v>355</v>
      </c>
    </row>
    <row r="8346" ht="16.5" customHeight="1">
      <c r="O8346" s="5" t="s">
        <v>355</v>
      </c>
      <c r="P8346" s="5" t="s">
        <v>355</v>
      </c>
      <c r="Q8346" s="5" t="s">
        <v>355</v>
      </c>
    </row>
    <row r="8347" ht="16.5" customHeight="1">
      <c r="O8347" s="5" t="s">
        <v>355</v>
      </c>
      <c r="P8347" s="5" t="s">
        <v>355</v>
      </c>
      <c r="Q8347" s="5" t="s">
        <v>355</v>
      </c>
    </row>
    <row r="8348" ht="16.5" customHeight="1">
      <c r="O8348" s="5" t="s">
        <v>355</v>
      </c>
      <c r="P8348" s="5" t="s">
        <v>355</v>
      </c>
      <c r="Q8348" s="5" t="s">
        <v>355</v>
      </c>
    </row>
    <row r="8349" ht="16.5" customHeight="1">
      <c r="O8349" s="5" t="s">
        <v>355</v>
      </c>
      <c r="P8349" s="5" t="s">
        <v>355</v>
      </c>
      <c r="Q8349" s="5" t="s">
        <v>355</v>
      </c>
    </row>
    <row r="8350" ht="16.5" customHeight="1">
      <c r="O8350" s="5" t="s">
        <v>355</v>
      </c>
      <c r="P8350" s="5" t="s">
        <v>355</v>
      </c>
      <c r="Q8350" s="5" t="s">
        <v>355</v>
      </c>
    </row>
    <row r="8351" ht="16.5" customHeight="1">
      <c r="O8351" s="5" t="s">
        <v>355</v>
      </c>
      <c r="P8351" s="5" t="s">
        <v>355</v>
      </c>
      <c r="Q8351" s="5" t="s">
        <v>355</v>
      </c>
    </row>
    <row r="8352" ht="16.5" customHeight="1">
      <c r="O8352" s="5" t="s">
        <v>355</v>
      </c>
      <c r="P8352" s="5" t="s">
        <v>355</v>
      </c>
      <c r="Q8352" s="5" t="s">
        <v>355</v>
      </c>
    </row>
    <row r="8353" ht="16.5" customHeight="1">
      <c r="O8353" s="5" t="s">
        <v>355</v>
      </c>
      <c r="P8353" s="5" t="s">
        <v>355</v>
      </c>
      <c r="Q8353" s="5" t="s">
        <v>355</v>
      </c>
    </row>
    <row r="8354" ht="16.5" customHeight="1">
      <c r="O8354" s="5" t="s">
        <v>355</v>
      </c>
      <c r="P8354" s="5" t="s">
        <v>355</v>
      </c>
      <c r="Q8354" s="5" t="s">
        <v>355</v>
      </c>
    </row>
    <row r="8355" ht="16.5" customHeight="1">
      <c r="O8355" s="5" t="s">
        <v>355</v>
      </c>
      <c r="P8355" s="5" t="s">
        <v>355</v>
      </c>
      <c r="Q8355" s="5" t="s">
        <v>355</v>
      </c>
    </row>
    <row r="8356" ht="16.5" customHeight="1">
      <c r="O8356" s="5" t="s">
        <v>355</v>
      </c>
      <c r="P8356" s="5" t="s">
        <v>355</v>
      </c>
      <c r="Q8356" s="5" t="s">
        <v>355</v>
      </c>
    </row>
    <row r="8357" ht="16.5" customHeight="1">
      <c r="O8357" s="5" t="s">
        <v>355</v>
      </c>
      <c r="P8357" s="5" t="s">
        <v>355</v>
      </c>
      <c r="Q8357" s="5" t="s">
        <v>355</v>
      </c>
    </row>
    <row r="8358" ht="16.5" customHeight="1">
      <c r="O8358" s="5" t="s">
        <v>355</v>
      </c>
      <c r="P8358" s="5" t="s">
        <v>355</v>
      </c>
      <c r="Q8358" s="5" t="s">
        <v>355</v>
      </c>
    </row>
    <row r="8359" ht="16.5" customHeight="1">
      <c r="O8359" s="5" t="s">
        <v>355</v>
      </c>
      <c r="P8359" s="5" t="s">
        <v>355</v>
      </c>
      <c r="Q8359" s="5" t="s">
        <v>355</v>
      </c>
    </row>
    <row r="8360" ht="16.5" customHeight="1">
      <c r="O8360" s="5" t="s">
        <v>355</v>
      </c>
      <c r="P8360" s="5" t="s">
        <v>355</v>
      </c>
      <c r="Q8360" s="5" t="s">
        <v>355</v>
      </c>
    </row>
    <row r="8361" ht="16.5" customHeight="1">
      <c r="O8361" s="5" t="s">
        <v>355</v>
      </c>
      <c r="P8361" s="5" t="s">
        <v>355</v>
      </c>
      <c r="Q8361" s="5" t="s">
        <v>355</v>
      </c>
    </row>
    <row r="8362" ht="16.5" customHeight="1">
      <c r="O8362" s="5" t="s">
        <v>355</v>
      </c>
      <c r="P8362" s="5" t="s">
        <v>355</v>
      </c>
      <c r="Q8362" s="5" t="s">
        <v>355</v>
      </c>
    </row>
    <row r="8363" ht="16.5" customHeight="1">
      <c r="O8363" s="5" t="s">
        <v>355</v>
      </c>
      <c r="P8363" s="5" t="s">
        <v>355</v>
      </c>
      <c r="Q8363" s="5" t="s">
        <v>355</v>
      </c>
    </row>
    <row r="8364" ht="16.5" customHeight="1">
      <c r="O8364" s="5" t="s">
        <v>355</v>
      </c>
      <c r="P8364" s="5" t="s">
        <v>355</v>
      </c>
      <c r="Q8364" s="5" t="s">
        <v>355</v>
      </c>
    </row>
    <row r="8365" ht="16.5" customHeight="1">
      <c r="O8365" s="5" t="s">
        <v>355</v>
      </c>
      <c r="P8365" s="5" t="s">
        <v>355</v>
      </c>
      <c r="Q8365" s="5" t="s">
        <v>355</v>
      </c>
    </row>
    <row r="8366" ht="16.5" customHeight="1">
      <c r="O8366" s="5" t="s">
        <v>355</v>
      </c>
      <c r="P8366" s="5" t="s">
        <v>355</v>
      </c>
      <c r="Q8366" s="5" t="s">
        <v>355</v>
      </c>
    </row>
    <row r="8367" ht="16.5" customHeight="1">
      <c r="O8367" s="5" t="s">
        <v>355</v>
      </c>
      <c r="P8367" s="5" t="s">
        <v>355</v>
      </c>
      <c r="Q8367" s="5" t="s">
        <v>355</v>
      </c>
    </row>
    <row r="8368" ht="16.5" customHeight="1">
      <c r="O8368" s="5" t="s">
        <v>355</v>
      </c>
      <c r="P8368" s="5" t="s">
        <v>355</v>
      </c>
      <c r="Q8368" s="5" t="s">
        <v>355</v>
      </c>
    </row>
    <row r="8369" ht="16.5" customHeight="1">
      <c r="O8369" s="5" t="s">
        <v>355</v>
      </c>
      <c r="P8369" s="5" t="s">
        <v>355</v>
      </c>
      <c r="Q8369" s="5" t="s">
        <v>355</v>
      </c>
    </row>
    <row r="8370" ht="16.5" customHeight="1">
      <c r="O8370" s="5" t="s">
        <v>355</v>
      </c>
      <c r="P8370" s="5" t="s">
        <v>355</v>
      </c>
      <c r="Q8370" s="5" t="s">
        <v>355</v>
      </c>
    </row>
    <row r="8371" ht="16.5" customHeight="1">
      <c r="O8371" s="5" t="s">
        <v>355</v>
      </c>
      <c r="P8371" s="5" t="s">
        <v>355</v>
      </c>
      <c r="Q8371" s="5" t="s">
        <v>355</v>
      </c>
    </row>
    <row r="8372" ht="16.5" customHeight="1">
      <c r="O8372" s="5" t="s">
        <v>355</v>
      </c>
      <c r="P8372" s="5" t="s">
        <v>355</v>
      </c>
      <c r="Q8372" s="5" t="s">
        <v>355</v>
      </c>
    </row>
    <row r="8373" ht="16.5" customHeight="1">
      <c r="O8373" s="5" t="s">
        <v>355</v>
      </c>
      <c r="P8373" s="5" t="s">
        <v>355</v>
      </c>
      <c r="Q8373" s="5" t="s">
        <v>355</v>
      </c>
    </row>
    <row r="8374" ht="16.5" customHeight="1">
      <c r="O8374" s="5" t="s">
        <v>355</v>
      </c>
      <c r="P8374" s="5" t="s">
        <v>355</v>
      </c>
      <c r="Q8374" s="5" t="s">
        <v>355</v>
      </c>
    </row>
    <row r="8375" ht="16.5" customHeight="1">
      <c r="O8375" s="5" t="s">
        <v>355</v>
      </c>
      <c r="P8375" s="5" t="s">
        <v>355</v>
      </c>
      <c r="Q8375" s="5" t="s">
        <v>355</v>
      </c>
    </row>
    <row r="8376" ht="16.5" customHeight="1">
      <c r="O8376" s="5" t="s">
        <v>355</v>
      </c>
      <c r="P8376" s="5" t="s">
        <v>355</v>
      </c>
      <c r="Q8376" s="5" t="s">
        <v>355</v>
      </c>
    </row>
    <row r="8377" ht="16.5" customHeight="1">
      <c r="O8377" s="5" t="s">
        <v>355</v>
      </c>
      <c r="P8377" s="5" t="s">
        <v>355</v>
      </c>
      <c r="Q8377" s="5" t="s">
        <v>355</v>
      </c>
    </row>
    <row r="8378" ht="16.5" customHeight="1">
      <c r="O8378" s="5" t="s">
        <v>355</v>
      </c>
      <c r="P8378" s="5" t="s">
        <v>355</v>
      </c>
      <c r="Q8378" s="5" t="s">
        <v>355</v>
      </c>
    </row>
    <row r="8379" ht="16.5" customHeight="1">
      <c r="O8379" s="5" t="s">
        <v>355</v>
      </c>
      <c r="P8379" s="5" t="s">
        <v>355</v>
      </c>
      <c r="Q8379" s="5" t="s">
        <v>355</v>
      </c>
    </row>
    <row r="8380" ht="16.5" customHeight="1">
      <c r="O8380" s="5" t="s">
        <v>355</v>
      </c>
      <c r="P8380" s="5" t="s">
        <v>355</v>
      </c>
      <c r="Q8380" s="5" t="s">
        <v>355</v>
      </c>
    </row>
    <row r="8381" ht="16.5" customHeight="1">
      <c r="O8381" s="5" t="s">
        <v>355</v>
      </c>
      <c r="P8381" s="5" t="s">
        <v>355</v>
      </c>
      <c r="Q8381" s="5" t="s">
        <v>355</v>
      </c>
    </row>
    <row r="8382" ht="16.5" customHeight="1">
      <c r="O8382" s="5" t="s">
        <v>355</v>
      </c>
      <c r="P8382" s="5" t="s">
        <v>355</v>
      </c>
      <c r="Q8382" s="5" t="s">
        <v>355</v>
      </c>
    </row>
    <row r="8383" ht="16.5" customHeight="1">
      <c r="O8383" s="5" t="s">
        <v>355</v>
      </c>
      <c r="P8383" s="5" t="s">
        <v>355</v>
      </c>
      <c r="Q8383" s="5" t="s">
        <v>355</v>
      </c>
    </row>
    <row r="8384" ht="16.5" customHeight="1">
      <c r="O8384" s="5" t="s">
        <v>355</v>
      </c>
      <c r="P8384" s="5" t="s">
        <v>355</v>
      </c>
      <c r="Q8384" s="5" t="s">
        <v>355</v>
      </c>
    </row>
    <row r="8385" ht="16.5" customHeight="1">
      <c r="O8385" s="5" t="s">
        <v>355</v>
      </c>
      <c r="P8385" s="5" t="s">
        <v>355</v>
      </c>
      <c r="Q8385" s="5" t="s">
        <v>355</v>
      </c>
    </row>
    <row r="8386" ht="16.5" customHeight="1">
      <c r="O8386" s="5" t="s">
        <v>355</v>
      </c>
      <c r="P8386" s="5" t="s">
        <v>355</v>
      </c>
      <c r="Q8386" s="5" t="s">
        <v>355</v>
      </c>
    </row>
    <row r="8387" ht="16.5" customHeight="1">
      <c r="O8387" s="5" t="s">
        <v>355</v>
      </c>
      <c r="P8387" s="5" t="s">
        <v>355</v>
      </c>
      <c r="Q8387" s="5" t="s">
        <v>355</v>
      </c>
    </row>
    <row r="8388" ht="16.5" customHeight="1">
      <c r="O8388" s="5" t="s">
        <v>355</v>
      </c>
      <c r="P8388" s="5" t="s">
        <v>355</v>
      </c>
      <c r="Q8388" s="5" t="s">
        <v>355</v>
      </c>
    </row>
    <row r="8389" ht="16.5" customHeight="1">
      <c r="O8389" s="5" t="s">
        <v>355</v>
      </c>
      <c r="P8389" s="5" t="s">
        <v>355</v>
      </c>
      <c r="Q8389" s="5" t="s">
        <v>355</v>
      </c>
    </row>
    <row r="8390" ht="16.5" customHeight="1">
      <c r="O8390" s="5" t="s">
        <v>355</v>
      </c>
      <c r="P8390" s="5" t="s">
        <v>355</v>
      </c>
      <c r="Q8390" s="5" t="s">
        <v>355</v>
      </c>
    </row>
    <row r="8391" ht="16.5" customHeight="1">
      <c r="O8391" s="5" t="s">
        <v>355</v>
      </c>
      <c r="P8391" s="5" t="s">
        <v>355</v>
      </c>
      <c r="Q8391" s="5" t="s">
        <v>355</v>
      </c>
    </row>
    <row r="8392" ht="16.5" customHeight="1">
      <c r="O8392" s="5" t="s">
        <v>355</v>
      </c>
      <c r="P8392" s="5" t="s">
        <v>355</v>
      </c>
      <c r="Q8392" s="5" t="s">
        <v>355</v>
      </c>
    </row>
    <row r="8393" ht="16.5" customHeight="1">
      <c r="O8393" s="5" t="s">
        <v>355</v>
      </c>
      <c r="P8393" s="5" t="s">
        <v>355</v>
      </c>
      <c r="Q8393" s="5" t="s">
        <v>355</v>
      </c>
    </row>
    <row r="8394" ht="16.5" customHeight="1">
      <c r="O8394" s="5" t="s">
        <v>355</v>
      </c>
      <c r="P8394" s="5" t="s">
        <v>355</v>
      </c>
      <c r="Q8394" s="5" t="s">
        <v>355</v>
      </c>
    </row>
    <row r="8395" ht="16.5" customHeight="1">
      <c r="O8395" s="5" t="s">
        <v>355</v>
      </c>
      <c r="P8395" s="5" t="s">
        <v>355</v>
      </c>
      <c r="Q8395" s="5" t="s">
        <v>355</v>
      </c>
    </row>
    <row r="8396" ht="16.5" customHeight="1">
      <c r="O8396" s="5" t="s">
        <v>355</v>
      </c>
      <c r="P8396" s="5" t="s">
        <v>355</v>
      </c>
      <c r="Q8396" s="5" t="s">
        <v>355</v>
      </c>
    </row>
    <row r="8397" ht="16.5" customHeight="1">
      <c r="O8397" s="5" t="s">
        <v>355</v>
      </c>
      <c r="P8397" s="5" t="s">
        <v>355</v>
      </c>
      <c r="Q8397" s="5" t="s">
        <v>355</v>
      </c>
    </row>
    <row r="8398" ht="16.5" customHeight="1">
      <c r="O8398" s="5" t="s">
        <v>355</v>
      </c>
      <c r="P8398" s="5" t="s">
        <v>355</v>
      </c>
      <c r="Q8398" s="5" t="s">
        <v>355</v>
      </c>
    </row>
    <row r="8399" ht="16.5" customHeight="1">
      <c r="O8399" s="5" t="s">
        <v>355</v>
      </c>
      <c r="P8399" s="5" t="s">
        <v>355</v>
      </c>
      <c r="Q8399" s="5" t="s">
        <v>355</v>
      </c>
    </row>
    <row r="8400" ht="16.5" customHeight="1">
      <c r="O8400" s="5" t="s">
        <v>355</v>
      </c>
      <c r="P8400" s="5" t="s">
        <v>355</v>
      </c>
      <c r="Q8400" s="5" t="s">
        <v>355</v>
      </c>
    </row>
    <row r="8401" ht="16.5" customHeight="1">
      <c r="O8401" s="5" t="s">
        <v>355</v>
      </c>
      <c r="P8401" s="5" t="s">
        <v>355</v>
      </c>
      <c r="Q8401" s="5" t="s">
        <v>355</v>
      </c>
    </row>
    <row r="8402" ht="16.5" customHeight="1">
      <c r="O8402" s="5" t="s">
        <v>355</v>
      </c>
      <c r="P8402" s="5" t="s">
        <v>355</v>
      </c>
      <c r="Q8402" s="5" t="s">
        <v>355</v>
      </c>
    </row>
    <row r="8403" ht="16.5" customHeight="1">
      <c r="O8403" s="5" t="s">
        <v>355</v>
      </c>
      <c r="P8403" s="5" t="s">
        <v>355</v>
      </c>
      <c r="Q8403" s="5" t="s">
        <v>355</v>
      </c>
    </row>
    <row r="8404" ht="16.5" customHeight="1">
      <c r="O8404" s="5" t="s">
        <v>355</v>
      </c>
      <c r="P8404" s="5" t="s">
        <v>355</v>
      </c>
      <c r="Q8404" s="5" t="s">
        <v>355</v>
      </c>
    </row>
    <row r="8405" ht="16.5" customHeight="1">
      <c r="O8405" s="5" t="s">
        <v>355</v>
      </c>
      <c r="P8405" s="5" t="s">
        <v>355</v>
      </c>
      <c r="Q8405" s="5" t="s">
        <v>355</v>
      </c>
    </row>
    <row r="8406" ht="16.5" customHeight="1">
      <c r="O8406" s="5" t="s">
        <v>355</v>
      </c>
      <c r="P8406" s="5" t="s">
        <v>355</v>
      </c>
      <c r="Q8406" s="5" t="s">
        <v>355</v>
      </c>
    </row>
    <row r="8407" ht="16.5" customHeight="1">
      <c r="O8407" s="5" t="s">
        <v>355</v>
      </c>
      <c r="P8407" s="5" t="s">
        <v>355</v>
      </c>
      <c r="Q8407" s="5" t="s">
        <v>355</v>
      </c>
    </row>
    <row r="8408" ht="16.5" customHeight="1">
      <c r="O8408" s="5" t="s">
        <v>355</v>
      </c>
      <c r="P8408" s="5" t="s">
        <v>355</v>
      </c>
      <c r="Q8408" s="5" t="s">
        <v>355</v>
      </c>
    </row>
    <row r="8409" ht="16.5" customHeight="1">
      <c r="O8409" s="5" t="s">
        <v>355</v>
      </c>
      <c r="P8409" s="5" t="s">
        <v>355</v>
      </c>
      <c r="Q8409" s="5" t="s">
        <v>355</v>
      </c>
    </row>
    <row r="8410" ht="16.5" customHeight="1">
      <c r="O8410" s="5" t="s">
        <v>355</v>
      </c>
      <c r="P8410" s="5" t="s">
        <v>355</v>
      </c>
      <c r="Q8410" s="5" t="s">
        <v>355</v>
      </c>
    </row>
    <row r="8411" ht="16.5" customHeight="1">
      <c r="O8411" s="5" t="s">
        <v>355</v>
      </c>
      <c r="P8411" s="5" t="s">
        <v>355</v>
      </c>
      <c r="Q8411" s="5" t="s">
        <v>355</v>
      </c>
    </row>
    <row r="8412" ht="16.5" customHeight="1">
      <c r="O8412" s="5" t="s">
        <v>355</v>
      </c>
      <c r="P8412" s="5" t="s">
        <v>355</v>
      </c>
      <c r="Q8412" s="5" t="s">
        <v>355</v>
      </c>
    </row>
    <row r="8413" ht="16.5" customHeight="1">
      <c r="O8413" s="5" t="s">
        <v>355</v>
      </c>
      <c r="P8413" s="5" t="s">
        <v>355</v>
      </c>
      <c r="Q8413" s="5" t="s">
        <v>355</v>
      </c>
    </row>
    <row r="8414" ht="16.5" customHeight="1">
      <c r="O8414" s="5" t="s">
        <v>355</v>
      </c>
      <c r="P8414" s="5" t="s">
        <v>355</v>
      </c>
      <c r="Q8414" s="5" t="s">
        <v>355</v>
      </c>
    </row>
    <row r="8415" ht="16.5" customHeight="1">
      <c r="O8415" s="5" t="s">
        <v>355</v>
      </c>
      <c r="P8415" s="5" t="s">
        <v>355</v>
      </c>
      <c r="Q8415" s="5" t="s">
        <v>355</v>
      </c>
    </row>
    <row r="8416" ht="16.5" customHeight="1">
      <c r="O8416" s="5" t="s">
        <v>355</v>
      </c>
      <c r="P8416" s="5" t="s">
        <v>355</v>
      </c>
      <c r="Q8416" s="5" t="s">
        <v>355</v>
      </c>
    </row>
    <row r="8417" ht="16.5" customHeight="1">
      <c r="O8417" s="5" t="s">
        <v>355</v>
      </c>
      <c r="P8417" s="5" t="s">
        <v>355</v>
      </c>
      <c r="Q8417" s="5" t="s">
        <v>355</v>
      </c>
    </row>
    <row r="8418" ht="16.5" customHeight="1">
      <c r="O8418" s="5" t="s">
        <v>355</v>
      </c>
      <c r="P8418" s="5" t="s">
        <v>355</v>
      </c>
      <c r="Q8418" s="5" t="s">
        <v>355</v>
      </c>
    </row>
    <row r="8419" ht="16.5" customHeight="1">
      <c r="O8419" s="5" t="s">
        <v>355</v>
      </c>
      <c r="P8419" s="5" t="s">
        <v>355</v>
      </c>
      <c r="Q8419" s="5" t="s">
        <v>355</v>
      </c>
    </row>
    <row r="8420" ht="16.5" customHeight="1">
      <c r="O8420" s="5" t="s">
        <v>355</v>
      </c>
      <c r="P8420" s="5" t="s">
        <v>355</v>
      </c>
      <c r="Q8420" s="5" t="s">
        <v>355</v>
      </c>
    </row>
    <row r="8421" ht="16.5" customHeight="1">
      <c r="O8421" s="5" t="s">
        <v>355</v>
      </c>
      <c r="P8421" s="5" t="s">
        <v>355</v>
      </c>
      <c r="Q8421" s="5" t="s">
        <v>355</v>
      </c>
    </row>
    <row r="8422" ht="16.5" customHeight="1">
      <c r="O8422" s="5" t="s">
        <v>355</v>
      </c>
      <c r="P8422" s="5" t="s">
        <v>355</v>
      </c>
      <c r="Q8422" s="5" t="s">
        <v>355</v>
      </c>
    </row>
    <row r="8423" ht="16.5" customHeight="1">
      <c r="O8423" s="5" t="s">
        <v>355</v>
      </c>
      <c r="P8423" s="5" t="s">
        <v>355</v>
      </c>
      <c r="Q8423" s="5" t="s">
        <v>355</v>
      </c>
    </row>
    <row r="8424" ht="16.5" customHeight="1">
      <c r="O8424" s="5" t="s">
        <v>355</v>
      </c>
      <c r="P8424" s="5" t="s">
        <v>355</v>
      </c>
      <c r="Q8424" s="5" t="s">
        <v>355</v>
      </c>
    </row>
    <row r="8425" ht="16.5" customHeight="1">
      <c r="O8425" s="5" t="s">
        <v>355</v>
      </c>
      <c r="P8425" s="5" t="s">
        <v>355</v>
      </c>
      <c r="Q8425" s="5" t="s">
        <v>355</v>
      </c>
    </row>
    <row r="8426" ht="16.5" customHeight="1">
      <c r="O8426" s="5" t="s">
        <v>355</v>
      </c>
      <c r="P8426" s="5" t="s">
        <v>355</v>
      </c>
      <c r="Q8426" s="5" t="s">
        <v>355</v>
      </c>
    </row>
    <row r="8427" ht="16.5" customHeight="1">
      <c r="O8427" s="5" t="s">
        <v>355</v>
      </c>
      <c r="P8427" s="5" t="s">
        <v>355</v>
      </c>
      <c r="Q8427" s="5" t="s">
        <v>355</v>
      </c>
    </row>
    <row r="8428" ht="16.5" customHeight="1">
      <c r="O8428" s="5" t="s">
        <v>355</v>
      </c>
      <c r="P8428" s="5" t="s">
        <v>355</v>
      </c>
      <c r="Q8428" s="5" t="s">
        <v>355</v>
      </c>
    </row>
    <row r="8429" ht="16.5" customHeight="1">
      <c r="O8429" s="5" t="s">
        <v>355</v>
      </c>
      <c r="P8429" s="5" t="s">
        <v>355</v>
      </c>
      <c r="Q8429" s="5" t="s">
        <v>355</v>
      </c>
    </row>
    <row r="8430" ht="16.5" customHeight="1">
      <c r="O8430" s="5" t="s">
        <v>355</v>
      </c>
      <c r="P8430" s="5" t="s">
        <v>355</v>
      </c>
      <c r="Q8430" s="5" t="s">
        <v>355</v>
      </c>
    </row>
    <row r="8431" ht="16.5" customHeight="1">
      <c r="O8431" s="5" t="s">
        <v>355</v>
      </c>
      <c r="P8431" s="5" t="s">
        <v>355</v>
      </c>
      <c r="Q8431" s="5" t="s">
        <v>355</v>
      </c>
    </row>
    <row r="8432" ht="16.5" customHeight="1">
      <c r="O8432" s="5" t="s">
        <v>355</v>
      </c>
      <c r="P8432" s="5" t="s">
        <v>355</v>
      </c>
      <c r="Q8432" s="5" t="s">
        <v>355</v>
      </c>
    </row>
    <row r="8433" ht="16.5" customHeight="1">
      <c r="O8433" s="5" t="s">
        <v>355</v>
      </c>
      <c r="P8433" s="5" t="s">
        <v>355</v>
      </c>
      <c r="Q8433" s="5" t="s">
        <v>355</v>
      </c>
    </row>
    <row r="8434" ht="16.5" customHeight="1">
      <c r="O8434" s="5" t="s">
        <v>355</v>
      </c>
      <c r="P8434" s="5" t="s">
        <v>355</v>
      </c>
      <c r="Q8434" s="5" t="s">
        <v>355</v>
      </c>
    </row>
    <row r="8435" ht="16.5" customHeight="1">
      <c r="O8435" s="5" t="s">
        <v>355</v>
      </c>
      <c r="P8435" s="5" t="s">
        <v>355</v>
      </c>
      <c r="Q8435" s="5" t="s">
        <v>355</v>
      </c>
    </row>
    <row r="8436" ht="16.5" customHeight="1">
      <c r="O8436" s="5" t="s">
        <v>355</v>
      </c>
      <c r="P8436" s="5" t="s">
        <v>355</v>
      </c>
      <c r="Q8436" s="5" t="s">
        <v>355</v>
      </c>
    </row>
    <row r="8437" ht="16.5" customHeight="1">
      <c r="O8437" s="5" t="s">
        <v>355</v>
      </c>
      <c r="P8437" s="5" t="s">
        <v>355</v>
      </c>
      <c r="Q8437" s="5" t="s">
        <v>355</v>
      </c>
    </row>
    <row r="8438" ht="16.5" customHeight="1">
      <c r="O8438" s="5" t="s">
        <v>355</v>
      </c>
      <c r="P8438" s="5" t="s">
        <v>355</v>
      </c>
      <c r="Q8438" s="5" t="s">
        <v>355</v>
      </c>
    </row>
    <row r="8439" ht="16.5" customHeight="1">
      <c r="O8439" s="5" t="s">
        <v>355</v>
      </c>
      <c r="P8439" s="5" t="s">
        <v>355</v>
      </c>
      <c r="Q8439" s="5" t="s">
        <v>355</v>
      </c>
    </row>
    <row r="8440" ht="16.5" customHeight="1">
      <c r="O8440" s="5" t="s">
        <v>355</v>
      </c>
      <c r="P8440" s="5" t="s">
        <v>355</v>
      </c>
      <c r="Q8440" s="5" t="s">
        <v>355</v>
      </c>
    </row>
    <row r="8441" ht="16.5" customHeight="1">
      <c r="O8441" s="5" t="s">
        <v>355</v>
      </c>
      <c r="P8441" s="5" t="s">
        <v>355</v>
      </c>
      <c r="Q8441" s="5" t="s">
        <v>355</v>
      </c>
    </row>
    <row r="8442" ht="16.5" customHeight="1">
      <c r="O8442" s="5" t="s">
        <v>355</v>
      </c>
      <c r="P8442" s="5" t="s">
        <v>355</v>
      </c>
      <c r="Q8442" s="5" t="s">
        <v>355</v>
      </c>
    </row>
    <row r="8443" ht="16.5" customHeight="1">
      <c r="O8443" s="5" t="s">
        <v>355</v>
      </c>
      <c r="P8443" s="5" t="s">
        <v>355</v>
      </c>
      <c r="Q8443" s="5" t="s">
        <v>355</v>
      </c>
    </row>
    <row r="8444" ht="16.5" customHeight="1">
      <c r="O8444" s="5" t="s">
        <v>355</v>
      </c>
      <c r="P8444" s="5" t="s">
        <v>355</v>
      </c>
      <c r="Q8444" s="5" t="s">
        <v>355</v>
      </c>
    </row>
    <row r="8445" ht="16.5" customHeight="1">
      <c r="O8445" s="5" t="s">
        <v>355</v>
      </c>
      <c r="P8445" s="5" t="s">
        <v>355</v>
      </c>
      <c r="Q8445" s="5" t="s">
        <v>355</v>
      </c>
    </row>
    <row r="8446" ht="16.5" customHeight="1">
      <c r="O8446" s="5" t="s">
        <v>355</v>
      </c>
      <c r="P8446" s="5" t="s">
        <v>355</v>
      </c>
      <c r="Q8446" s="5" t="s">
        <v>355</v>
      </c>
    </row>
    <row r="8447" ht="16.5" customHeight="1">
      <c r="O8447" s="5" t="s">
        <v>355</v>
      </c>
      <c r="P8447" s="5" t="s">
        <v>355</v>
      </c>
      <c r="Q8447" s="5" t="s">
        <v>355</v>
      </c>
    </row>
    <row r="8448" ht="16.5" customHeight="1">
      <c r="O8448" s="5" t="s">
        <v>355</v>
      </c>
      <c r="P8448" s="5" t="s">
        <v>355</v>
      </c>
      <c r="Q8448" s="5" t="s">
        <v>355</v>
      </c>
    </row>
    <row r="8449" ht="16.5" customHeight="1">
      <c r="O8449" s="5" t="s">
        <v>355</v>
      </c>
      <c r="P8449" s="5" t="s">
        <v>355</v>
      </c>
      <c r="Q8449" s="5" t="s">
        <v>355</v>
      </c>
    </row>
    <row r="8450" ht="16.5" customHeight="1">
      <c r="O8450" s="5" t="s">
        <v>355</v>
      </c>
      <c r="P8450" s="5" t="s">
        <v>355</v>
      </c>
      <c r="Q8450" s="5" t="s">
        <v>355</v>
      </c>
    </row>
    <row r="8451" ht="16.5" customHeight="1">
      <c r="O8451" s="5" t="s">
        <v>355</v>
      </c>
      <c r="P8451" s="5" t="s">
        <v>355</v>
      </c>
      <c r="Q8451" s="5" t="s">
        <v>355</v>
      </c>
    </row>
    <row r="8452" ht="16.5" customHeight="1">
      <c r="O8452" s="5" t="s">
        <v>355</v>
      </c>
      <c r="P8452" s="5" t="s">
        <v>355</v>
      </c>
      <c r="Q8452" s="5" t="s">
        <v>355</v>
      </c>
    </row>
    <row r="8453" ht="16.5" customHeight="1">
      <c r="O8453" s="5" t="s">
        <v>355</v>
      </c>
      <c r="P8453" s="5" t="s">
        <v>355</v>
      </c>
      <c r="Q8453" s="5" t="s">
        <v>355</v>
      </c>
    </row>
    <row r="8454" ht="16.5" customHeight="1">
      <c r="O8454" s="5" t="s">
        <v>355</v>
      </c>
      <c r="P8454" s="5" t="s">
        <v>355</v>
      </c>
      <c r="Q8454" s="5" t="s">
        <v>355</v>
      </c>
    </row>
    <row r="8455" ht="16.5" customHeight="1">
      <c r="O8455" s="5" t="s">
        <v>355</v>
      </c>
      <c r="P8455" s="5" t="s">
        <v>355</v>
      </c>
      <c r="Q8455" s="5" t="s">
        <v>355</v>
      </c>
    </row>
    <row r="8456" ht="16.5" customHeight="1">
      <c r="O8456" s="5" t="s">
        <v>355</v>
      </c>
      <c r="P8456" s="5" t="s">
        <v>355</v>
      </c>
      <c r="Q8456" s="5" t="s">
        <v>355</v>
      </c>
    </row>
    <row r="8457" ht="16.5" customHeight="1">
      <c r="O8457" s="5" t="s">
        <v>355</v>
      </c>
      <c r="P8457" s="5" t="s">
        <v>355</v>
      </c>
      <c r="Q8457" s="5" t="s">
        <v>355</v>
      </c>
    </row>
    <row r="8458" ht="16.5" customHeight="1">
      <c r="O8458" s="5" t="s">
        <v>355</v>
      </c>
      <c r="P8458" s="5" t="s">
        <v>355</v>
      </c>
      <c r="Q8458" s="5" t="s">
        <v>355</v>
      </c>
    </row>
    <row r="8459" ht="16.5" customHeight="1">
      <c r="O8459" s="5" t="s">
        <v>355</v>
      </c>
      <c r="P8459" s="5" t="s">
        <v>355</v>
      </c>
      <c r="Q8459" s="5" t="s">
        <v>355</v>
      </c>
    </row>
    <row r="8460" ht="16.5" customHeight="1">
      <c r="O8460" s="5" t="s">
        <v>355</v>
      </c>
      <c r="P8460" s="5" t="s">
        <v>355</v>
      </c>
      <c r="Q8460" s="5" t="s">
        <v>355</v>
      </c>
    </row>
    <row r="8461" ht="16.5" customHeight="1">
      <c r="O8461" s="5" t="s">
        <v>355</v>
      </c>
      <c r="P8461" s="5" t="s">
        <v>355</v>
      </c>
      <c r="Q8461" s="5" t="s">
        <v>355</v>
      </c>
    </row>
    <row r="8462" ht="16.5" customHeight="1">
      <c r="O8462" s="5" t="s">
        <v>355</v>
      </c>
      <c r="P8462" s="5" t="s">
        <v>355</v>
      </c>
      <c r="Q8462" s="5" t="s">
        <v>355</v>
      </c>
    </row>
    <row r="8463" ht="16.5" customHeight="1">
      <c r="O8463" s="5" t="s">
        <v>355</v>
      </c>
      <c r="P8463" s="5" t="s">
        <v>355</v>
      </c>
      <c r="Q8463" s="5" t="s">
        <v>355</v>
      </c>
    </row>
    <row r="8464" ht="16.5" customHeight="1">
      <c r="O8464" s="5" t="s">
        <v>355</v>
      </c>
      <c r="P8464" s="5" t="s">
        <v>355</v>
      </c>
      <c r="Q8464" s="5" t="s">
        <v>355</v>
      </c>
    </row>
    <row r="8465" ht="16.5" customHeight="1">
      <c r="O8465" s="5" t="s">
        <v>355</v>
      </c>
      <c r="P8465" s="5" t="s">
        <v>355</v>
      </c>
      <c r="Q8465" s="5" t="s">
        <v>355</v>
      </c>
    </row>
    <row r="8466" ht="16.5" customHeight="1">
      <c r="O8466" s="5" t="s">
        <v>355</v>
      </c>
      <c r="P8466" s="5" t="s">
        <v>355</v>
      </c>
      <c r="Q8466" s="5" t="s">
        <v>355</v>
      </c>
    </row>
    <row r="8467" ht="16.5" customHeight="1">
      <c r="O8467" s="5" t="s">
        <v>355</v>
      </c>
      <c r="P8467" s="5" t="s">
        <v>355</v>
      </c>
      <c r="Q8467" s="5" t="s">
        <v>355</v>
      </c>
    </row>
    <row r="8468" ht="16.5" customHeight="1">
      <c r="O8468" s="5" t="s">
        <v>355</v>
      </c>
      <c r="P8468" s="5" t="s">
        <v>355</v>
      </c>
      <c r="Q8468" s="5" t="s">
        <v>355</v>
      </c>
    </row>
    <row r="8469" ht="16.5" customHeight="1">
      <c r="O8469" s="5" t="s">
        <v>355</v>
      </c>
      <c r="P8469" s="5" t="s">
        <v>355</v>
      </c>
      <c r="Q8469" s="5" t="s">
        <v>355</v>
      </c>
    </row>
    <row r="8470" ht="16.5" customHeight="1">
      <c r="O8470" s="5" t="s">
        <v>355</v>
      </c>
      <c r="P8470" s="5" t="s">
        <v>355</v>
      </c>
      <c r="Q8470" s="5" t="s">
        <v>355</v>
      </c>
    </row>
    <row r="8471" ht="16.5" customHeight="1">
      <c r="O8471" s="5" t="s">
        <v>355</v>
      </c>
      <c r="P8471" s="5" t="s">
        <v>355</v>
      </c>
      <c r="Q8471" s="5" t="s">
        <v>355</v>
      </c>
    </row>
    <row r="8472" ht="16.5" customHeight="1">
      <c r="O8472" s="5" t="s">
        <v>355</v>
      </c>
      <c r="P8472" s="5" t="s">
        <v>355</v>
      </c>
      <c r="Q8472" s="5" t="s">
        <v>355</v>
      </c>
    </row>
    <row r="8473" ht="16.5" customHeight="1">
      <c r="O8473" s="5" t="s">
        <v>355</v>
      </c>
      <c r="P8473" s="5" t="s">
        <v>355</v>
      </c>
      <c r="Q8473" s="5" t="s">
        <v>355</v>
      </c>
    </row>
    <row r="8474" ht="16.5" customHeight="1">
      <c r="O8474" s="5" t="s">
        <v>355</v>
      </c>
      <c r="P8474" s="5" t="s">
        <v>355</v>
      </c>
      <c r="Q8474" s="5" t="s">
        <v>355</v>
      </c>
    </row>
    <row r="8475" ht="16.5" customHeight="1">
      <c r="O8475" s="5" t="s">
        <v>355</v>
      </c>
      <c r="P8475" s="5" t="s">
        <v>355</v>
      </c>
      <c r="Q8475" s="5" t="s">
        <v>355</v>
      </c>
    </row>
    <row r="8476" ht="16.5" customHeight="1">
      <c r="O8476" s="5" t="s">
        <v>355</v>
      </c>
      <c r="P8476" s="5" t="s">
        <v>355</v>
      </c>
      <c r="Q8476" s="5" t="s">
        <v>355</v>
      </c>
    </row>
    <row r="8477" ht="16.5" customHeight="1">
      <c r="O8477" s="5" t="s">
        <v>355</v>
      </c>
      <c r="P8477" s="5" t="s">
        <v>355</v>
      </c>
      <c r="Q8477" s="5" t="s">
        <v>355</v>
      </c>
    </row>
    <row r="8478" ht="16.5" customHeight="1">
      <c r="O8478" s="5" t="s">
        <v>355</v>
      </c>
      <c r="P8478" s="5" t="s">
        <v>355</v>
      </c>
      <c r="Q8478" s="5" t="s">
        <v>355</v>
      </c>
    </row>
    <row r="8479" ht="16.5" customHeight="1">
      <c r="O8479" s="5" t="s">
        <v>355</v>
      </c>
      <c r="P8479" s="5" t="s">
        <v>355</v>
      </c>
      <c r="Q8479" s="5" t="s">
        <v>355</v>
      </c>
    </row>
    <row r="8480" ht="16.5" customHeight="1">
      <c r="O8480" s="5" t="s">
        <v>355</v>
      </c>
      <c r="P8480" s="5" t="s">
        <v>355</v>
      </c>
      <c r="Q8480" s="5" t="s">
        <v>355</v>
      </c>
    </row>
    <row r="8481" ht="16.5" customHeight="1">
      <c r="O8481" s="5" t="s">
        <v>355</v>
      </c>
      <c r="P8481" s="5" t="s">
        <v>355</v>
      </c>
      <c r="Q8481" s="5" t="s">
        <v>355</v>
      </c>
    </row>
    <row r="8482" ht="16.5" customHeight="1">
      <c r="O8482" s="5" t="s">
        <v>355</v>
      </c>
      <c r="P8482" s="5" t="s">
        <v>355</v>
      </c>
      <c r="Q8482" s="5" t="s">
        <v>355</v>
      </c>
    </row>
    <row r="8483" ht="16.5" customHeight="1">
      <c r="O8483" s="5" t="s">
        <v>355</v>
      </c>
      <c r="P8483" s="5" t="s">
        <v>355</v>
      </c>
      <c r="Q8483" s="5" t="s">
        <v>355</v>
      </c>
    </row>
    <row r="8484" ht="16.5" customHeight="1">
      <c r="O8484" s="5" t="s">
        <v>355</v>
      </c>
      <c r="P8484" s="5" t="s">
        <v>355</v>
      </c>
      <c r="Q8484" s="5" t="s">
        <v>355</v>
      </c>
    </row>
    <row r="8485" ht="16.5" customHeight="1">
      <c r="O8485" s="5" t="s">
        <v>355</v>
      </c>
      <c r="P8485" s="5" t="s">
        <v>355</v>
      </c>
      <c r="Q8485" s="5" t="s">
        <v>355</v>
      </c>
    </row>
    <row r="8486" ht="16.5" customHeight="1">
      <c r="O8486" s="5" t="s">
        <v>355</v>
      </c>
      <c r="P8486" s="5" t="s">
        <v>355</v>
      </c>
      <c r="Q8486" s="5" t="s">
        <v>355</v>
      </c>
    </row>
    <row r="8487" ht="16.5" customHeight="1">
      <c r="O8487" s="5" t="s">
        <v>355</v>
      </c>
      <c r="P8487" s="5" t="s">
        <v>355</v>
      </c>
      <c r="Q8487" s="5" t="s">
        <v>355</v>
      </c>
    </row>
    <row r="8488" ht="16.5" customHeight="1">
      <c r="O8488" s="5" t="s">
        <v>355</v>
      </c>
      <c r="P8488" s="5" t="s">
        <v>355</v>
      </c>
      <c r="Q8488" s="5" t="s">
        <v>355</v>
      </c>
    </row>
    <row r="8489" ht="16.5" customHeight="1">
      <c r="O8489" s="5" t="s">
        <v>355</v>
      </c>
      <c r="P8489" s="5" t="s">
        <v>355</v>
      </c>
      <c r="Q8489" s="5" t="s">
        <v>355</v>
      </c>
    </row>
    <row r="8490" ht="16.5" customHeight="1">
      <c r="O8490" s="5" t="s">
        <v>355</v>
      </c>
      <c r="P8490" s="5" t="s">
        <v>355</v>
      </c>
      <c r="Q8490" s="5" t="s">
        <v>355</v>
      </c>
    </row>
    <row r="8491" ht="16.5" customHeight="1">
      <c r="O8491" s="5" t="s">
        <v>355</v>
      </c>
      <c r="P8491" s="5" t="s">
        <v>355</v>
      </c>
      <c r="Q8491" s="5" t="s">
        <v>355</v>
      </c>
    </row>
    <row r="8492" ht="16.5" customHeight="1">
      <c r="O8492" s="5" t="s">
        <v>355</v>
      </c>
      <c r="P8492" s="5" t="s">
        <v>355</v>
      </c>
      <c r="Q8492" s="5" t="s">
        <v>355</v>
      </c>
    </row>
    <row r="8493" ht="16.5" customHeight="1">
      <c r="O8493" s="5" t="s">
        <v>355</v>
      </c>
      <c r="P8493" s="5" t="s">
        <v>355</v>
      </c>
      <c r="Q8493" s="5" t="s">
        <v>355</v>
      </c>
    </row>
    <row r="8494" ht="16.5" customHeight="1">
      <c r="O8494" s="5" t="s">
        <v>355</v>
      </c>
      <c r="P8494" s="5" t="s">
        <v>355</v>
      </c>
      <c r="Q8494" s="5" t="s">
        <v>355</v>
      </c>
    </row>
    <row r="8495" ht="16.5" customHeight="1">
      <c r="O8495" s="5" t="s">
        <v>355</v>
      </c>
      <c r="P8495" s="5" t="s">
        <v>355</v>
      </c>
      <c r="Q8495" s="5" t="s">
        <v>355</v>
      </c>
    </row>
    <row r="8496" ht="16.5" customHeight="1">
      <c r="O8496" s="5" t="s">
        <v>355</v>
      </c>
      <c r="P8496" s="5" t="s">
        <v>355</v>
      </c>
      <c r="Q8496" s="5" t="s">
        <v>355</v>
      </c>
    </row>
    <row r="8497" ht="16.5" customHeight="1">
      <c r="O8497" s="5" t="s">
        <v>355</v>
      </c>
      <c r="P8497" s="5" t="s">
        <v>355</v>
      </c>
      <c r="Q8497" s="5" t="s">
        <v>355</v>
      </c>
    </row>
    <row r="8498" ht="16.5" customHeight="1">
      <c r="O8498" s="5" t="s">
        <v>355</v>
      </c>
      <c r="P8498" s="5" t="s">
        <v>355</v>
      </c>
      <c r="Q8498" s="5" t="s">
        <v>355</v>
      </c>
    </row>
    <row r="8499" ht="16.5" customHeight="1">
      <c r="O8499" s="5" t="s">
        <v>355</v>
      </c>
      <c r="P8499" s="5" t="s">
        <v>355</v>
      </c>
      <c r="Q8499" s="5" t="s">
        <v>355</v>
      </c>
    </row>
    <row r="8500" ht="16.5" customHeight="1">
      <c r="O8500" s="5" t="s">
        <v>355</v>
      </c>
      <c r="P8500" s="5" t="s">
        <v>355</v>
      </c>
      <c r="Q8500" s="5" t="s">
        <v>355</v>
      </c>
    </row>
    <row r="8501" ht="16.5" customHeight="1">
      <c r="O8501" s="5" t="s">
        <v>355</v>
      </c>
      <c r="P8501" s="5" t="s">
        <v>355</v>
      </c>
      <c r="Q8501" s="5" t="s">
        <v>355</v>
      </c>
    </row>
    <row r="8502" ht="16.5" customHeight="1">
      <c r="O8502" s="5" t="s">
        <v>355</v>
      </c>
      <c r="P8502" s="5" t="s">
        <v>355</v>
      </c>
      <c r="Q8502" s="5" t="s">
        <v>355</v>
      </c>
    </row>
    <row r="8503" ht="16.5" customHeight="1">
      <c r="O8503" s="5" t="s">
        <v>355</v>
      </c>
      <c r="P8503" s="5" t="s">
        <v>355</v>
      </c>
      <c r="Q8503" s="5" t="s">
        <v>355</v>
      </c>
    </row>
    <row r="8504" ht="16.5" customHeight="1">
      <c r="O8504" s="5" t="s">
        <v>355</v>
      </c>
      <c r="P8504" s="5" t="s">
        <v>355</v>
      </c>
      <c r="Q8504" s="5" t="s">
        <v>355</v>
      </c>
    </row>
    <row r="8505" ht="16.5" customHeight="1">
      <c r="O8505" s="5" t="s">
        <v>355</v>
      </c>
      <c r="P8505" s="5" t="s">
        <v>355</v>
      </c>
      <c r="Q8505" s="5" t="s">
        <v>355</v>
      </c>
    </row>
    <row r="8506" ht="16.5" customHeight="1">
      <c r="O8506" s="5" t="s">
        <v>355</v>
      </c>
      <c r="P8506" s="5" t="s">
        <v>355</v>
      </c>
      <c r="Q8506" s="5" t="s">
        <v>355</v>
      </c>
    </row>
    <row r="8507" ht="16.5" customHeight="1">
      <c r="O8507" s="5" t="s">
        <v>355</v>
      </c>
      <c r="P8507" s="5" t="s">
        <v>355</v>
      </c>
      <c r="Q8507" s="5" t="s">
        <v>355</v>
      </c>
    </row>
    <row r="8508" ht="16.5" customHeight="1">
      <c r="O8508" s="5" t="s">
        <v>355</v>
      </c>
      <c r="P8508" s="5" t="s">
        <v>355</v>
      </c>
      <c r="Q8508" s="5" t="s">
        <v>355</v>
      </c>
    </row>
    <row r="8509" ht="16.5" customHeight="1">
      <c r="O8509" s="5" t="s">
        <v>355</v>
      </c>
      <c r="P8509" s="5" t="s">
        <v>355</v>
      </c>
      <c r="Q8509" s="5" t="s">
        <v>355</v>
      </c>
    </row>
    <row r="8510" ht="16.5" customHeight="1">
      <c r="O8510" s="5" t="s">
        <v>355</v>
      </c>
      <c r="P8510" s="5" t="s">
        <v>355</v>
      </c>
      <c r="Q8510" s="5" t="s">
        <v>355</v>
      </c>
    </row>
    <row r="8511" ht="16.5" customHeight="1">
      <c r="O8511" s="5" t="s">
        <v>355</v>
      </c>
      <c r="P8511" s="5" t="s">
        <v>355</v>
      </c>
      <c r="Q8511" s="5" t="s">
        <v>355</v>
      </c>
    </row>
    <row r="8512" ht="16.5" customHeight="1">
      <c r="O8512" s="5" t="s">
        <v>355</v>
      </c>
      <c r="P8512" s="5" t="s">
        <v>355</v>
      </c>
      <c r="Q8512" s="5" t="s">
        <v>355</v>
      </c>
    </row>
    <row r="8513" ht="16.5" customHeight="1">
      <c r="O8513" s="5" t="s">
        <v>355</v>
      </c>
      <c r="P8513" s="5" t="s">
        <v>355</v>
      </c>
      <c r="Q8513" s="5" t="s">
        <v>355</v>
      </c>
    </row>
    <row r="8514" ht="16.5" customHeight="1">
      <c r="O8514" s="5" t="s">
        <v>355</v>
      </c>
      <c r="P8514" s="5" t="s">
        <v>355</v>
      </c>
      <c r="Q8514" s="5" t="s">
        <v>355</v>
      </c>
    </row>
    <row r="8515" ht="16.5" customHeight="1">
      <c r="O8515" s="5" t="s">
        <v>355</v>
      </c>
      <c r="P8515" s="5" t="s">
        <v>355</v>
      </c>
      <c r="Q8515" s="5" t="s">
        <v>355</v>
      </c>
    </row>
    <row r="8516" ht="16.5" customHeight="1">
      <c r="O8516" s="5" t="s">
        <v>355</v>
      </c>
      <c r="P8516" s="5" t="s">
        <v>355</v>
      </c>
      <c r="Q8516" s="5" t="s">
        <v>355</v>
      </c>
    </row>
    <row r="8517" ht="16.5" customHeight="1">
      <c r="O8517" s="5" t="s">
        <v>355</v>
      </c>
      <c r="P8517" s="5" t="s">
        <v>355</v>
      </c>
      <c r="Q8517" s="5" t="s">
        <v>355</v>
      </c>
    </row>
    <row r="8518" ht="16.5" customHeight="1">
      <c r="O8518" s="5" t="s">
        <v>355</v>
      </c>
      <c r="P8518" s="5" t="s">
        <v>355</v>
      </c>
      <c r="Q8518" s="5" t="s">
        <v>355</v>
      </c>
    </row>
    <row r="8519" ht="16.5" customHeight="1">
      <c r="O8519" s="5" t="s">
        <v>355</v>
      </c>
      <c r="P8519" s="5" t="s">
        <v>355</v>
      </c>
      <c r="Q8519" s="5" t="s">
        <v>355</v>
      </c>
    </row>
    <row r="8520" ht="16.5" customHeight="1">
      <c r="O8520" s="5" t="s">
        <v>355</v>
      </c>
      <c r="P8520" s="5" t="s">
        <v>355</v>
      </c>
      <c r="Q8520" s="5" t="s">
        <v>355</v>
      </c>
    </row>
    <row r="8521" ht="16.5" customHeight="1">
      <c r="O8521" s="5" t="s">
        <v>355</v>
      </c>
      <c r="P8521" s="5" t="s">
        <v>355</v>
      </c>
      <c r="Q8521" s="5" t="s">
        <v>355</v>
      </c>
    </row>
    <row r="8522" ht="16.5" customHeight="1">
      <c r="O8522" s="5" t="s">
        <v>355</v>
      </c>
      <c r="P8522" s="5" t="s">
        <v>355</v>
      </c>
      <c r="Q8522" s="5" t="s">
        <v>355</v>
      </c>
    </row>
    <row r="8523" ht="16.5" customHeight="1">
      <c r="O8523" s="5" t="s">
        <v>355</v>
      </c>
      <c r="P8523" s="5" t="s">
        <v>355</v>
      </c>
      <c r="Q8523" s="5" t="s">
        <v>355</v>
      </c>
    </row>
    <row r="8524" ht="16.5" customHeight="1">
      <c r="O8524" s="5" t="s">
        <v>355</v>
      </c>
      <c r="P8524" s="5" t="s">
        <v>355</v>
      </c>
      <c r="Q8524" s="5" t="s">
        <v>355</v>
      </c>
    </row>
    <row r="8525" ht="16.5" customHeight="1">
      <c r="O8525" s="5" t="s">
        <v>355</v>
      </c>
      <c r="P8525" s="5" t="s">
        <v>355</v>
      </c>
      <c r="Q8525" s="5" t="s">
        <v>355</v>
      </c>
    </row>
    <row r="8526" ht="16.5" customHeight="1">
      <c r="O8526" s="5" t="s">
        <v>355</v>
      </c>
      <c r="P8526" s="5" t="s">
        <v>355</v>
      </c>
      <c r="Q8526" s="5" t="s">
        <v>355</v>
      </c>
    </row>
    <row r="8527" ht="16.5" customHeight="1">
      <c r="O8527" s="5" t="s">
        <v>355</v>
      </c>
      <c r="P8527" s="5" t="s">
        <v>355</v>
      </c>
      <c r="Q8527" s="5" t="s">
        <v>355</v>
      </c>
    </row>
    <row r="8528" ht="16.5" customHeight="1">
      <c r="O8528" s="5" t="s">
        <v>355</v>
      </c>
      <c r="P8528" s="5" t="s">
        <v>355</v>
      </c>
      <c r="Q8528" s="5" t="s">
        <v>355</v>
      </c>
    </row>
    <row r="8529" ht="16.5" customHeight="1">
      <c r="O8529" s="5" t="s">
        <v>355</v>
      </c>
      <c r="P8529" s="5" t="s">
        <v>355</v>
      </c>
      <c r="Q8529" s="5" t="s">
        <v>355</v>
      </c>
    </row>
    <row r="8530" ht="16.5" customHeight="1">
      <c r="O8530" s="5" t="s">
        <v>355</v>
      </c>
      <c r="P8530" s="5" t="s">
        <v>355</v>
      </c>
      <c r="Q8530" s="5" t="s">
        <v>355</v>
      </c>
    </row>
    <row r="8531" ht="16.5" customHeight="1">
      <c r="O8531" s="5" t="s">
        <v>355</v>
      </c>
      <c r="P8531" s="5" t="s">
        <v>355</v>
      </c>
      <c r="Q8531" s="5" t="s">
        <v>355</v>
      </c>
    </row>
    <row r="8532" ht="16.5" customHeight="1">
      <c r="O8532" s="5" t="s">
        <v>355</v>
      </c>
      <c r="P8532" s="5" t="s">
        <v>355</v>
      </c>
      <c r="Q8532" s="5" t="s">
        <v>355</v>
      </c>
    </row>
    <row r="8533" ht="16.5" customHeight="1">
      <c r="O8533" s="5" t="s">
        <v>355</v>
      </c>
      <c r="P8533" s="5" t="s">
        <v>355</v>
      </c>
      <c r="Q8533" s="5" t="s">
        <v>355</v>
      </c>
    </row>
    <row r="8534" ht="16.5" customHeight="1">
      <c r="O8534" s="5" t="s">
        <v>355</v>
      </c>
      <c r="P8534" s="5" t="s">
        <v>355</v>
      </c>
      <c r="Q8534" s="5" t="s">
        <v>355</v>
      </c>
    </row>
    <row r="8535" ht="16.5" customHeight="1">
      <c r="O8535" s="5" t="s">
        <v>355</v>
      </c>
      <c r="P8535" s="5" t="s">
        <v>355</v>
      </c>
      <c r="Q8535" s="5" t="s">
        <v>355</v>
      </c>
    </row>
    <row r="8536" ht="16.5" customHeight="1">
      <c r="O8536" s="5" t="s">
        <v>355</v>
      </c>
      <c r="P8536" s="5" t="s">
        <v>355</v>
      </c>
      <c r="Q8536" s="5" t="s">
        <v>355</v>
      </c>
    </row>
    <row r="8537" ht="16.5" customHeight="1">
      <c r="O8537" s="5" t="s">
        <v>355</v>
      </c>
      <c r="P8537" s="5" t="s">
        <v>355</v>
      </c>
      <c r="Q8537" s="5" t="s">
        <v>355</v>
      </c>
    </row>
    <row r="8538" ht="16.5" customHeight="1">
      <c r="O8538" s="5" t="s">
        <v>355</v>
      </c>
      <c r="P8538" s="5" t="s">
        <v>355</v>
      </c>
      <c r="Q8538" s="5" t="s">
        <v>355</v>
      </c>
    </row>
    <row r="8539" ht="16.5" customHeight="1">
      <c r="O8539" s="5" t="s">
        <v>355</v>
      </c>
      <c r="P8539" s="5" t="s">
        <v>355</v>
      </c>
      <c r="Q8539" s="5" t="s">
        <v>355</v>
      </c>
    </row>
    <row r="8540" ht="16.5" customHeight="1">
      <c r="O8540" s="5" t="s">
        <v>355</v>
      </c>
      <c r="P8540" s="5" t="s">
        <v>355</v>
      </c>
      <c r="Q8540" s="5" t="s">
        <v>355</v>
      </c>
    </row>
    <row r="8541" ht="16.5" customHeight="1">
      <c r="O8541" s="5" t="s">
        <v>355</v>
      </c>
      <c r="P8541" s="5" t="s">
        <v>355</v>
      </c>
      <c r="Q8541" s="5" t="s">
        <v>355</v>
      </c>
    </row>
    <row r="8542" ht="16.5" customHeight="1">
      <c r="O8542" s="5" t="s">
        <v>355</v>
      </c>
      <c r="P8542" s="5" t="s">
        <v>355</v>
      </c>
      <c r="Q8542" s="5" t="s">
        <v>355</v>
      </c>
    </row>
    <row r="8543" ht="16.5" customHeight="1">
      <c r="O8543" s="5" t="s">
        <v>355</v>
      </c>
      <c r="P8543" s="5" t="s">
        <v>355</v>
      </c>
      <c r="Q8543" s="5" t="s">
        <v>355</v>
      </c>
    </row>
    <row r="8544" ht="16.5" customHeight="1">
      <c r="O8544" s="5" t="s">
        <v>355</v>
      </c>
      <c r="P8544" s="5" t="s">
        <v>355</v>
      </c>
      <c r="Q8544" s="5" t="s">
        <v>355</v>
      </c>
    </row>
    <row r="8545" ht="16.5" customHeight="1">
      <c r="O8545" s="5" t="s">
        <v>355</v>
      </c>
      <c r="P8545" s="5" t="s">
        <v>355</v>
      </c>
      <c r="Q8545" s="5" t="s">
        <v>355</v>
      </c>
    </row>
    <row r="8546" ht="16.5" customHeight="1">
      <c r="O8546" s="5" t="s">
        <v>355</v>
      </c>
      <c r="P8546" s="5" t="s">
        <v>355</v>
      </c>
      <c r="Q8546" s="5" t="s">
        <v>355</v>
      </c>
    </row>
    <row r="8547" ht="16.5" customHeight="1">
      <c r="O8547" s="5" t="s">
        <v>355</v>
      </c>
      <c r="P8547" s="5" t="s">
        <v>355</v>
      </c>
      <c r="Q8547" s="5" t="s">
        <v>355</v>
      </c>
    </row>
    <row r="8548" ht="16.5" customHeight="1">
      <c r="O8548" s="5" t="s">
        <v>355</v>
      </c>
      <c r="P8548" s="5" t="s">
        <v>355</v>
      </c>
      <c r="Q8548" s="5" t="s">
        <v>355</v>
      </c>
    </row>
    <row r="8549" ht="16.5" customHeight="1">
      <c r="O8549" s="5" t="s">
        <v>355</v>
      </c>
      <c r="P8549" s="5" t="s">
        <v>355</v>
      </c>
      <c r="Q8549" s="5" t="s">
        <v>355</v>
      </c>
    </row>
    <row r="8550" ht="16.5" customHeight="1">
      <c r="O8550" s="5" t="s">
        <v>355</v>
      </c>
      <c r="P8550" s="5" t="s">
        <v>355</v>
      </c>
      <c r="Q8550" s="5" t="s">
        <v>355</v>
      </c>
    </row>
    <row r="8551" ht="16.5" customHeight="1">
      <c r="O8551" s="5" t="s">
        <v>355</v>
      </c>
      <c r="P8551" s="5" t="s">
        <v>355</v>
      </c>
      <c r="Q8551" s="5" t="s">
        <v>355</v>
      </c>
    </row>
    <row r="8552" ht="16.5" customHeight="1">
      <c r="O8552" s="5" t="s">
        <v>355</v>
      </c>
      <c r="P8552" s="5" t="s">
        <v>355</v>
      </c>
      <c r="Q8552" s="5" t="s">
        <v>355</v>
      </c>
    </row>
    <row r="8553" ht="16.5" customHeight="1">
      <c r="O8553" s="5" t="s">
        <v>355</v>
      </c>
      <c r="P8553" s="5" t="s">
        <v>355</v>
      </c>
      <c r="Q8553" s="5" t="s">
        <v>355</v>
      </c>
    </row>
    <row r="8554" ht="16.5" customHeight="1">
      <c r="O8554" s="5" t="s">
        <v>355</v>
      </c>
      <c r="P8554" s="5" t="s">
        <v>355</v>
      </c>
      <c r="Q8554" s="5" t="s">
        <v>355</v>
      </c>
    </row>
    <row r="8555" ht="16.5" customHeight="1">
      <c r="O8555" s="5" t="s">
        <v>355</v>
      </c>
      <c r="P8555" s="5" t="s">
        <v>355</v>
      </c>
      <c r="Q8555" s="5" t="s">
        <v>355</v>
      </c>
    </row>
    <row r="8556" ht="16.5" customHeight="1">
      <c r="O8556" s="5" t="s">
        <v>355</v>
      </c>
      <c r="P8556" s="5" t="s">
        <v>355</v>
      </c>
      <c r="Q8556" s="5" t="s">
        <v>355</v>
      </c>
    </row>
    <row r="8557" ht="16.5" customHeight="1">
      <c r="O8557" s="5" t="s">
        <v>355</v>
      </c>
      <c r="P8557" s="5" t="s">
        <v>355</v>
      </c>
      <c r="Q8557" s="5" t="s">
        <v>355</v>
      </c>
    </row>
    <row r="8558" ht="16.5" customHeight="1">
      <c r="O8558" s="5" t="s">
        <v>355</v>
      </c>
      <c r="P8558" s="5" t="s">
        <v>355</v>
      </c>
      <c r="Q8558" s="5" t="s">
        <v>355</v>
      </c>
    </row>
    <row r="8559" ht="16.5" customHeight="1">
      <c r="O8559" s="5" t="s">
        <v>355</v>
      </c>
      <c r="P8559" s="5" t="s">
        <v>355</v>
      </c>
      <c r="Q8559" s="5" t="s">
        <v>355</v>
      </c>
    </row>
    <row r="8560" ht="16.5" customHeight="1">
      <c r="O8560" s="5" t="s">
        <v>355</v>
      </c>
      <c r="P8560" s="5" t="s">
        <v>355</v>
      </c>
      <c r="Q8560" s="5" t="s">
        <v>355</v>
      </c>
    </row>
    <row r="8561" ht="16.5" customHeight="1">
      <c r="O8561" s="5" t="s">
        <v>355</v>
      </c>
      <c r="P8561" s="5" t="s">
        <v>355</v>
      </c>
      <c r="Q8561" s="5" t="s">
        <v>355</v>
      </c>
    </row>
    <row r="8562" ht="16.5" customHeight="1">
      <c r="O8562" s="5" t="s">
        <v>355</v>
      </c>
      <c r="P8562" s="5" t="s">
        <v>355</v>
      </c>
      <c r="Q8562" s="5" t="s">
        <v>355</v>
      </c>
    </row>
    <row r="8563" ht="16.5" customHeight="1">
      <c r="O8563" s="5" t="s">
        <v>355</v>
      </c>
      <c r="P8563" s="5" t="s">
        <v>355</v>
      </c>
      <c r="Q8563" s="5" t="s">
        <v>355</v>
      </c>
    </row>
    <row r="8564" ht="16.5" customHeight="1">
      <c r="O8564" s="5" t="s">
        <v>355</v>
      </c>
      <c r="P8564" s="5" t="s">
        <v>355</v>
      </c>
      <c r="Q8564" s="5" t="s">
        <v>355</v>
      </c>
    </row>
    <row r="8565" ht="16.5" customHeight="1">
      <c r="O8565" s="5" t="s">
        <v>355</v>
      </c>
      <c r="P8565" s="5" t="s">
        <v>355</v>
      </c>
      <c r="Q8565" s="5" t="s">
        <v>355</v>
      </c>
    </row>
    <row r="8566" ht="16.5" customHeight="1">
      <c r="O8566" s="5" t="s">
        <v>355</v>
      </c>
      <c r="P8566" s="5" t="s">
        <v>355</v>
      </c>
      <c r="Q8566" s="5" t="s">
        <v>355</v>
      </c>
    </row>
    <row r="8567" ht="16.5" customHeight="1">
      <c r="O8567" s="5" t="s">
        <v>355</v>
      </c>
      <c r="P8567" s="5" t="s">
        <v>355</v>
      </c>
      <c r="Q8567" s="5" t="s">
        <v>355</v>
      </c>
    </row>
    <row r="8568" ht="16.5" customHeight="1">
      <c r="O8568" s="5" t="s">
        <v>355</v>
      </c>
      <c r="P8568" s="5" t="s">
        <v>355</v>
      </c>
      <c r="Q8568" s="5" t="s">
        <v>355</v>
      </c>
    </row>
    <row r="8569" ht="16.5" customHeight="1">
      <c r="O8569" s="5" t="s">
        <v>355</v>
      </c>
      <c r="P8569" s="5" t="s">
        <v>355</v>
      </c>
      <c r="Q8569" s="5" t="s">
        <v>355</v>
      </c>
    </row>
    <row r="8570" ht="16.5" customHeight="1">
      <c r="O8570" s="5" t="s">
        <v>355</v>
      </c>
      <c r="P8570" s="5" t="s">
        <v>355</v>
      </c>
      <c r="Q8570" s="5" t="s">
        <v>355</v>
      </c>
    </row>
    <row r="8571" ht="16.5" customHeight="1">
      <c r="O8571" s="5" t="s">
        <v>355</v>
      </c>
      <c r="P8571" s="5" t="s">
        <v>355</v>
      </c>
      <c r="Q8571" s="5" t="s">
        <v>355</v>
      </c>
    </row>
    <row r="8572" ht="16.5" customHeight="1">
      <c r="O8572" s="5" t="s">
        <v>355</v>
      </c>
      <c r="P8572" s="5" t="s">
        <v>355</v>
      </c>
      <c r="Q8572" s="5" t="s">
        <v>355</v>
      </c>
    </row>
    <row r="8573" ht="16.5" customHeight="1">
      <c r="O8573" s="5" t="s">
        <v>355</v>
      </c>
      <c r="P8573" s="5" t="s">
        <v>355</v>
      </c>
      <c r="Q8573" s="5" t="s">
        <v>355</v>
      </c>
    </row>
    <row r="8574" ht="16.5" customHeight="1">
      <c r="O8574" s="5" t="s">
        <v>355</v>
      </c>
      <c r="P8574" s="5" t="s">
        <v>355</v>
      </c>
      <c r="Q8574" s="5" t="s">
        <v>355</v>
      </c>
    </row>
    <row r="8575" ht="16.5" customHeight="1">
      <c r="O8575" s="5" t="s">
        <v>355</v>
      </c>
      <c r="P8575" s="5" t="s">
        <v>355</v>
      </c>
      <c r="Q8575" s="5" t="s">
        <v>355</v>
      </c>
    </row>
    <row r="8576" ht="16.5" customHeight="1">
      <c r="O8576" s="5" t="s">
        <v>355</v>
      </c>
      <c r="P8576" s="5" t="s">
        <v>355</v>
      </c>
      <c r="Q8576" s="5" t="s">
        <v>355</v>
      </c>
    </row>
    <row r="8577" ht="16.5" customHeight="1">
      <c r="O8577" s="5" t="s">
        <v>355</v>
      </c>
      <c r="P8577" s="5" t="s">
        <v>355</v>
      </c>
      <c r="Q8577" s="5" t="s">
        <v>355</v>
      </c>
    </row>
    <row r="8578" ht="16.5" customHeight="1">
      <c r="O8578" s="5" t="s">
        <v>355</v>
      </c>
      <c r="P8578" s="5" t="s">
        <v>355</v>
      </c>
      <c r="Q8578" s="5" t="s">
        <v>355</v>
      </c>
    </row>
    <row r="8579" ht="16.5" customHeight="1">
      <c r="O8579" s="5" t="s">
        <v>355</v>
      </c>
      <c r="P8579" s="5" t="s">
        <v>355</v>
      </c>
      <c r="Q8579" s="5" t="s">
        <v>355</v>
      </c>
    </row>
    <row r="8580" ht="16.5" customHeight="1">
      <c r="O8580" s="5" t="s">
        <v>355</v>
      </c>
      <c r="P8580" s="5" t="s">
        <v>355</v>
      </c>
      <c r="Q8580" s="5" t="s">
        <v>355</v>
      </c>
    </row>
    <row r="8581" ht="16.5" customHeight="1">
      <c r="O8581" s="5" t="s">
        <v>355</v>
      </c>
      <c r="P8581" s="5" t="s">
        <v>355</v>
      </c>
      <c r="Q8581" s="5" t="s">
        <v>355</v>
      </c>
    </row>
    <row r="8582" ht="16.5" customHeight="1">
      <c r="O8582" s="5" t="s">
        <v>355</v>
      </c>
      <c r="P8582" s="5" t="s">
        <v>355</v>
      </c>
      <c r="Q8582" s="5" t="s">
        <v>355</v>
      </c>
    </row>
    <row r="8583" ht="16.5" customHeight="1">
      <c r="O8583" s="5" t="s">
        <v>355</v>
      </c>
      <c r="P8583" s="5" t="s">
        <v>355</v>
      </c>
      <c r="Q8583" s="5" t="s">
        <v>355</v>
      </c>
    </row>
    <row r="8584" ht="16.5" customHeight="1">
      <c r="O8584" s="5" t="s">
        <v>355</v>
      </c>
      <c r="P8584" s="5" t="s">
        <v>355</v>
      </c>
      <c r="Q8584" s="5" t="s">
        <v>355</v>
      </c>
    </row>
    <row r="8585" ht="16.5" customHeight="1">
      <c r="O8585" s="5" t="s">
        <v>355</v>
      </c>
      <c r="P8585" s="5" t="s">
        <v>355</v>
      </c>
      <c r="Q8585" s="5" t="s">
        <v>355</v>
      </c>
    </row>
    <row r="8586" ht="16.5" customHeight="1">
      <c r="O8586" s="5" t="s">
        <v>355</v>
      </c>
      <c r="P8586" s="5" t="s">
        <v>355</v>
      </c>
      <c r="Q8586" s="5" t="s">
        <v>355</v>
      </c>
    </row>
    <row r="8587" ht="16.5" customHeight="1">
      <c r="O8587" s="5" t="s">
        <v>355</v>
      </c>
      <c r="P8587" s="5" t="s">
        <v>355</v>
      </c>
      <c r="Q8587" s="5" t="s">
        <v>355</v>
      </c>
    </row>
    <row r="8588" ht="16.5" customHeight="1">
      <c r="O8588" s="5" t="s">
        <v>355</v>
      </c>
      <c r="P8588" s="5" t="s">
        <v>355</v>
      </c>
      <c r="Q8588" s="5" t="s">
        <v>355</v>
      </c>
    </row>
    <row r="8589" ht="16.5" customHeight="1">
      <c r="O8589" s="5" t="s">
        <v>355</v>
      </c>
      <c r="P8589" s="5" t="s">
        <v>355</v>
      </c>
      <c r="Q8589" s="5" t="s">
        <v>355</v>
      </c>
    </row>
    <row r="8590" ht="16.5" customHeight="1">
      <c r="O8590" s="5" t="s">
        <v>355</v>
      </c>
      <c r="P8590" s="5" t="s">
        <v>355</v>
      </c>
      <c r="Q8590" s="5" t="s">
        <v>355</v>
      </c>
    </row>
    <row r="8591" ht="16.5" customHeight="1">
      <c r="O8591" s="5" t="s">
        <v>355</v>
      </c>
      <c r="P8591" s="5" t="s">
        <v>355</v>
      </c>
      <c r="Q8591" s="5" t="s">
        <v>355</v>
      </c>
    </row>
    <row r="8592" ht="16.5" customHeight="1">
      <c r="O8592" s="5" t="s">
        <v>355</v>
      </c>
      <c r="P8592" s="5" t="s">
        <v>355</v>
      </c>
      <c r="Q8592" s="5" t="s">
        <v>355</v>
      </c>
    </row>
    <row r="8593" ht="16.5" customHeight="1">
      <c r="O8593" s="5" t="s">
        <v>355</v>
      </c>
      <c r="P8593" s="5" t="s">
        <v>355</v>
      </c>
      <c r="Q8593" s="5" t="s">
        <v>355</v>
      </c>
    </row>
    <row r="8594" ht="16.5" customHeight="1">
      <c r="O8594" s="5" t="s">
        <v>355</v>
      </c>
      <c r="P8594" s="5" t="s">
        <v>355</v>
      </c>
      <c r="Q8594" s="5" t="s">
        <v>355</v>
      </c>
    </row>
    <row r="8595" ht="16.5" customHeight="1">
      <c r="O8595" s="5" t="s">
        <v>355</v>
      </c>
      <c r="P8595" s="5" t="s">
        <v>355</v>
      </c>
      <c r="Q8595" s="5" t="s">
        <v>355</v>
      </c>
    </row>
    <row r="8596" ht="16.5" customHeight="1">
      <c r="O8596" s="5" t="s">
        <v>355</v>
      </c>
      <c r="P8596" s="5" t="s">
        <v>355</v>
      </c>
      <c r="Q8596" s="5" t="s">
        <v>355</v>
      </c>
    </row>
    <row r="8597" ht="16.5" customHeight="1">
      <c r="O8597" s="5" t="s">
        <v>355</v>
      </c>
      <c r="P8597" s="5" t="s">
        <v>355</v>
      </c>
      <c r="Q8597" s="5" t="s">
        <v>355</v>
      </c>
    </row>
    <row r="8598" ht="16.5" customHeight="1">
      <c r="O8598" s="5" t="s">
        <v>355</v>
      </c>
      <c r="P8598" s="5" t="s">
        <v>355</v>
      </c>
      <c r="Q8598" s="5" t="s">
        <v>355</v>
      </c>
    </row>
    <row r="8599" ht="16.5" customHeight="1">
      <c r="O8599" s="5" t="s">
        <v>355</v>
      </c>
      <c r="P8599" s="5" t="s">
        <v>355</v>
      </c>
      <c r="Q8599" s="5" t="s">
        <v>355</v>
      </c>
    </row>
    <row r="8600" ht="16.5" customHeight="1">
      <c r="O8600" s="5" t="s">
        <v>355</v>
      </c>
      <c r="P8600" s="5" t="s">
        <v>355</v>
      </c>
      <c r="Q8600" s="5" t="s">
        <v>355</v>
      </c>
    </row>
    <row r="8601" ht="16.5" customHeight="1">
      <c r="O8601" s="5" t="s">
        <v>355</v>
      </c>
      <c r="P8601" s="5" t="s">
        <v>355</v>
      </c>
      <c r="Q8601" s="5" t="s">
        <v>355</v>
      </c>
    </row>
    <row r="8602" ht="16.5" customHeight="1">
      <c r="O8602" s="5" t="s">
        <v>355</v>
      </c>
      <c r="P8602" s="5" t="s">
        <v>355</v>
      </c>
      <c r="Q8602" s="5" t="s">
        <v>355</v>
      </c>
    </row>
    <row r="8603" ht="16.5" customHeight="1">
      <c r="O8603" s="5" t="s">
        <v>355</v>
      </c>
      <c r="P8603" s="5" t="s">
        <v>355</v>
      </c>
      <c r="Q8603" s="5" t="s">
        <v>355</v>
      </c>
    </row>
    <row r="8604" ht="16.5" customHeight="1">
      <c r="O8604" s="5" t="s">
        <v>355</v>
      </c>
      <c r="P8604" s="5" t="s">
        <v>355</v>
      </c>
      <c r="Q8604" s="5" t="s">
        <v>355</v>
      </c>
    </row>
    <row r="8605" ht="16.5" customHeight="1">
      <c r="O8605" s="5" t="s">
        <v>355</v>
      </c>
      <c r="P8605" s="5" t="s">
        <v>355</v>
      </c>
      <c r="Q8605" s="5" t="s">
        <v>355</v>
      </c>
    </row>
    <row r="8606" ht="16.5" customHeight="1">
      <c r="O8606" s="5" t="s">
        <v>355</v>
      </c>
      <c r="P8606" s="5" t="s">
        <v>355</v>
      </c>
      <c r="Q8606" s="5" t="s">
        <v>355</v>
      </c>
    </row>
    <row r="8607" ht="16.5" customHeight="1">
      <c r="O8607" s="5" t="s">
        <v>355</v>
      </c>
      <c r="P8607" s="5" t="s">
        <v>355</v>
      </c>
      <c r="Q8607" s="5" t="s">
        <v>355</v>
      </c>
    </row>
    <row r="8608" ht="16.5" customHeight="1">
      <c r="O8608" s="5" t="s">
        <v>355</v>
      </c>
      <c r="P8608" s="5" t="s">
        <v>355</v>
      </c>
      <c r="Q8608" s="5" t="s">
        <v>355</v>
      </c>
    </row>
    <row r="8609" ht="16.5" customHeight="1">
      <c r="O8609" s="5" t="s">
        <v>355</v>
      </c>
      <c r="P8609" s="5" t="s">
        <v>355</v>
      </c>
      <c r="Q8609" s="5" t="s">
        <v>355</v>
      </c>
    </row>
    <row r="8610" ht="16.5" customHeight="1">
      <c r="O8610" s="5" t="s">
        <v>355</v>
      </c>
      <c r="P8610" s="5" t="s">
        <v>355</v>
      </c>
      <c r="Q8610" s="5" t="s">
        <v>355</v>
      </c>
    </row>
    <row r="8611" ht="16.5" customHeight="1">
      <c r="O8611" s="5" t="s">
        <v>355</v>
      </c>
      <c r="P8611" s="5" t="s">
        <v>355</v>
      </c>
      <c r="Q8611" s="5" t="s">
        <v>355</v>
      </c>
    </row>
    <row r="8612" ht="16.5" customHeight="1">
      <c r="O8612" s="5" t="s">
        <v>355</v>
      </c>
      <c r="P8612" s="5" t="s">
        <v>355</v>
      </c>
      <c r="Q8612" s="5" t="s">
        <v>355</v>
      </c>
    </row>
    <row r="8613" ht="16.5" customHeight="1">
      <c r="O8613" s="5" t="s">
        <v>355</v>
      </c>
      <c r="P8613" s="5" t="s">
        <v>355</v>
      </c>
      <c r="Q8613" s="5" t="s">
        <v>355</v>
      </c>
    </row>
    <row r="8614" ht="16.5" customHeight="1">
      <c r="O8614" s="5" t="s">
        <v>355</v>
      </c>
      <c r="P8614" s="5" t="s">
        <v>355</v>
      </c>
      <c r="Q8614" s="5" t="s">
        <v>355</v>
      </c>
    </row>
    <row r="8615" ht="16.5" customHeight="1">
      <c r="O8615" s="5" t="s">
        <v>355</v>
      </c>
      <c r="P8615" s="5" t="s">
        <v>355</v>
      </c>
      <c r="Q8615" s="5" t="s">
        <v>355</v>
      </c>
    </row>
    <row r="8616" ht="16.5" customHeight="1">
      <c r="O8616" s="5" t="s">
        <v>355</v>
      </c>
      <c r="P8616" s="5" t="s">
        <v>355</v>
      </c>
      <c r="Q8616" s="5" t="s">
        <v>355</v>
      </c>
    </row>
    <row r="8617" ht="16.5" customHeight="1">
      <c r="O8617" s="5" t="s">
        <v>355</v>
      </c>
      <c r="P8617" s="5" t="s">
        <v>355</v>
      </c>
      <c r="Q8617" s="5" t="s">
        <v>355</v>
      </c>
    </row>
    <row r="8618" ht="16.5" customHeight="1">
      <c r="O8618" s="5" t="s">
        <v>355</v>
      </c>
      <c r="P8618" s="5" t="s">
        <v>355</v>
      </c>
      <c r="Q8618" s="5" t="s">
        <v>355</v>
      </c>
    </row>
    <row r="8619" ht="16.5" customHeight="1">
      <c r="O8619" s="5" t="s">
        <v>355</v>
      </c>
      <c r="P8619" s="5" t="s">
        <v>355</v>
      </c>
      <c r="Q8619" s="5" t="s">
        <v>355</v>
      </c>
    </row>
    <row r="8620" ht="16.5" customHeight="1">
      <c r="O8620" s="5" t="s">
        <v>355</v>
      </c>
      <c r="P8620" s="5" t="s">
        <v>355</v>
      </c>
      <c r="Q8620" s="5" t="s">
        <v>355</v>
      </c>
    </row>
    <row r="8621" ht="16.5" customHeight="1">
      <c r="O8621" s="5" t="s">
        <v>355</v>
      </c>
      <c r="P8621" s="5" t="s">
        <v>355</v>
      </c>
      <c r="Q8621" s="5" t="s">
        <v>355</v>
      </c>
    </row>
    <row r="8622" ht="16.5" customHeight="1">
      <c r="O8622" s="5" t="s">
        <v>355</v>
      </c>
      <c r="P8622" s="5" t="s">
        <v>355</v>
      </c>
      <c r="Q8622" s="5" t="s">
        <v>355</v>
      </c>
    </row>
    <row r="8623" ht="16.5" customHeight="1">
      <c r="O8623" s="5" t="s">
        <v>355</v>
      </c>
      <c r="P8623" s="5" t="s">
        <v>355</v>
      </c>
      <c r="Q8623" s="5" t="s">
        <v>355</v>
      </c>
    </row>
    <row r="8624" ht="16.5" customHeight="1">
      <c r="O8624" s="5" t="s">
        <v>355</v>
      </c>
      <c r="P8624" s="5" t="s">
        <v>355</v>
      </c>
      <c r="Q8624" s="5" t="s">
        <v>355</v>
      </c>
    </row>
    <row r="8625" ht="16.5" customHeight="1">
      <c r="O8625" s="5" t="s">
        <v>355</v>
      </c>
      <c r="P8625" s="5" t="s">
        <v>355</v>
      </c>
      <c r="Q8625" s="5" t="s">
        <v>355</v>
      </c>
    </row>
    <row r="8626" ht="16.5" customHeight="1">
      <c r="O8626" s="5" t="s">
        <v>355</v>
      </c>
      <c r="P8626" s="5" t="s">
        <v>355</v>
      </c>
      <c r="Q8626" s="5" t="s">
        <v>355</v>
      </c>
    </row>
    <row r="8627" ht="16.5" customHeight="1">
      <c r="O8627" s="5" t="s">
        <v>355</v>
      </c>
      <c r="P8627" s="5" t="s">
        <v>355</v>
      </c>
      <c r="Q8627" s="5" t="s">
        <v>355</v>
      </c>
    </row>
    <row r="8628" ht="16.5" customHeight="1">
      <c r="O8628" s="5" t="s">
        <v>355</v>
      </c>
      <c r="P8628" s="5" t="s">
        <v>355</v>
      </c>
      <c r="Q8628" s="5" t="s">
        <v>355</v>
      </c>
    </row>
    <row r="8629" ht="16.5" customHeight="1">
      <c r="O8629" s="5" t="s">
        <v>355</v>
      </c>
      <c r="P8629" s="5" t="s">
        <v>355</v>
      </c>
      <c r="Q8629" s="5" t="s">
        <v>355</v>
      </c>
    </row>
    <row r="8630" ht="16.5" customHeight="1">
      <c r="O8630" s="5" t="s">
        <v>355</v>
      </c>
      <c r="P8630" s="5" t="s">
        <v>355</v>
      </c>
      <c r="Q8630" s="5" t="s">
        <v>355</v>
      </c>
    </row>
    <row r="8631" ht="16.5" customHeight="1">
      <c r="O8631" s="5" t="s">
        <v>355</v>
      </c>
      <c r="P8631" s="5" t="s">
        <v>355</v>
      </c>
      <c r="Q8631" s="5" t="s">
        <v>355</v>
      </c>
    </row>
    <row r="8632" ht="16.5" customHeight="1">
      <c r="O8632" s="5" t="s">
        <v>355</v>
      </c>
      <c r="P8632" s="5" t="s">
        <v>355</v>
      </c>
      <c r="Q8632" s="5" t="s">
        <v>355</v>
      </c>
    </row>
    <row r="8633" ht="16.5" customHeight="1">
      <c r="O8633" s="5" t="s">
        <v>355</v>
      </c>
      <c r="P8633" s="5" t="s">
        <v>355</v>
      </c>
      <c r="Q8633" s="5" t="s">
        <v>355</v>
      </c>
    </row>
    <row r="8634" ht="16.5" customHeight="1">
      <c r="O8634" s="5" t="s">
        <v>355</v>
      </c>
      <c r="P8634" s="5" t="s">
        <v>355</v>
      </c>
      <c r="Q8634" s="5" t="s">
        <v>355</v>
      </c>
    </row>
    <row r="8635" ht="16.5" customHeight="1">
      <c r="O8635" s="5" t="s">
        <v>355</v>
      </c>
      <c r="P8635" s="5" t="s">
        <v>355</v>
      </c>
      <c r="Q8635" s="5" t="s">
        <v>355</v>
      </c>
    </row>
    <row r="8636" ht="16.5" customHeight="1">
      <c r="O8636" s="5" t="s">
        <v>355</v>
      </c>
      <c r="P8636" s="5" t="s">
        <v>355</v>
      </c>
      <c r="Q8636" s="5" t="s">
        <v>355</v>
      </c>
    </row>
    <row r="8637" ht="16.5" customHeight="1">
      <c r="O8637" s="5" t="s">
        <v>355</v>
      </c>
      <c r="P8637" s="5" t="s">
        <v>355</v>
      </c>
      <c r="Q8637" s="5" t="s">
        <v>355</v>
      </c>
    </row>
    <row r="8638" ht="16.5" customHeight="1">
      <c r="O8638" s="5" t="s">
        <v>355</v>
      </c>
      <c r="P8638" s="5" t="s">
        <v>355</v>
      </c>
      <c r="Q8638" s="5" t="s">
        <v>355</v>
      </c>
    </row>
    <row r="8639" ht="16.5" customHeight="1">
      <c r="O8639" s="5" t="s">
        <v>355</v>
      </c>
      <c r="P8639" s="5" t="s">
        <v>355</v>
      </c>
      <c r="Q8639" s="5" t="s">
        <v>355</v>
      </c>
    </row>
    <row r="8640" ht="16.5" customHeight="1">
      <c r="O8640" s="5" t="s">
        <v>355</v>
      </c>
      <c r="P8640" s="5" t="s">
        <v>355</v>
      </c>
      <c r="Q8640" s="5" t="s">
        <v>355</v>
      </c>
    </row>
    <row r="8641" ht="16.5" customHeight="1">
      <c r="O8641" s="5" t="s">
        <v>355</v>
      </c>
      <c r="P8641" s="5" t="s">
        <v>355</v>
      </c>
      <c r="Q8641" s="5" t="s">
        <v>355</v>
      </c>
    </row>
    <row r="8642" ht="16.5" customHeight="1">
      <c r="O8642" s="5" t="s">
        <v>355</v>
      </c>
      <c r="P8642" s="5" t="s">
        <v>355</v>
      </c>
      <c r="Q8642" s="5" t="s">
        <v>355</v>
      </c>
    </row>
    <row r="8643" ht="16.5" customHeight="1">
      <c r="O8643" s="5" t="s">
        <v>355</v>
      </c>
      <c r="P8643" s="5" t="s">
        <v>355</v>
      </c>
      <c r="Q8643" s="5" t="s">
        <v>355</v>
      </c>
    </row>
    <row r="8644" ht="16.5" customHeight="1">
      <c r="O8644" s="5" t="s">
        <v>355</v>
      </c>
      <c r="P8644" s="5" t="s">
        <v>355</v>
      </c>
      <c r="Q8644" s="5" t="s">
        <v>355</v>
      </c>
    </row>
    <row r="8645" ht="16.5" customHeight="1">
      <c r="O8645" s="5" t="s">
        <v>355</v>
      </c>
      <c r="P8645" s="5" t="s">
        <v>355</v>
      </c>
      <c r="Q8645" s="5" t="s">
        <v>355</v>
      </c>
    </row>
    <row r="8646" ht="16.5" customHeight="1">
      <c r="O8646" s="5" t="s">
        <v>355</v>
      </c>
      <c r="P8646" s="5" t="s">
        <v>355</v>
      </c>
      <c r="Q8646" s="5" t="s">
        <v>355</v>
      </c>
    </row>
    <row r="8647" ht="16.5" customHeight="1">
      <c r="O8647" s="5" t="s">
        <v>355</v>
      </c>
      <c r="P8647" s="5" t="s">
        <v>355</v>
      </c>
      <c r="Q8647" s="5" t="s">
        <v>355</v>
      </c>
    </row>
    <row r="8648" ht="16.5" customHeight="1">
      <c r="O8648" s="5" t="s">
        <v>355</v>
      </c>
      <c r="P8648" s="5" t="s">
        <v>355</v>
      </c>
      <c r="Q8648" s="5" t="s">
        <v>355</v>
      </c>
    </row>
    <row r="8649" ht="16.5" customHeight="1">
      <c r="O8649" s="5" t="s">
        <v>355</v>
      </c>
      <c r="P8649" s="5" t="s">
        <v>355</v>
      </c>
      <c r="Q8649" s="5" t="s">
        <v>355</v>
      </c>
    </row>
    <row r="8650" ht="16.5" customHeight="1">
      <c r="O8650" s="5" t="s">
        <v>355</v>
      </c>
      <c r="P8650" s="5" t="s">
        <v>355</v>
      </c>
      <c r="Q8650" s="5" t="s">
        <v>355</v>
      </c>
    </row>
    <row r="8651" ht="16.5" customHeight="1">
      <c r="O8651" s="5" t="s">
        <v>355</v>
      </c>
      <c r="P8651" s="5" t="s">
        <v>355</v>
      </c>
      <c r="Q8651" s="5" t="s">
        <v>355</v>
      </c>
    </row>
    <row r="8652" ht="16.5" customHeight="1">
      <c r="O8652" s="5" t="s">
        <v>355</v>
      </c>
      <c r="P8652" s="5" t="s">
        <v>355</v>
      </c>
      <c r="Q8652" s="5" t="s">
        <v>355</v>
      </c>
    </row>
    <row r="8653" ht="16.5" customHeight="1">
      <c r="O8653" s="5" t="s">
        <v>355</v>
      </c>
      <c r="P8653" s="5" t="s">
        <v>355</v>
      </c>
      <c r="Q8653" s="5" t="s">
        <v>355</v>
      </c>
    </row>
    <row r="8654" ht="16.5" customHeight="1">
      <c r="O8654" s="5" t="s">
        <v>355</v>
      </c>
      <c r="P8654" s="5" t="s">
        <v>355</v>
      </c>
      <c r="Q8654" s="5" t="s">
        <v>355</v>
      </c>
    </row>
    <row r="8655" ht="16.5" customHeight="1">
      <c r="O8655" s="5" t="s">
        <v>355</v>
      </c>
      <c r="P8655" s="5" t="s">
        <v>355</v>
      </c>
      <c r="Q8655" s="5" t="s">
        <v>355</v>
      </c>
    </row>
    <row r="8656" ht="16.5" customHeight="1">
      <c r="O8656" s="5" t="s">
        <v>355</v>
      </c>
      <c r="P8656" s="5" t="s">
        <v>355</v>
      </c>
      <c r="Q8656" s="5" t="s">
        <v>355</v>
      </c>
    </row>
    <row r="8657" ht="16.5" customHeight="1">
      <c r="O8657" s="5" t="s">
        <v>355</v>
      </c>
      <c r="P8657" s="5" t="s">
        <v>355</v>
      </c>
      <c r="Q8657" s="5" t="s">
        <v>355</v>
      </c>
    </row>
    <row r="8658" ht="16.5" customHeight="1">
      <c r="O8658" s="5" t="s">
        <v>355</v>
      </c>
      <c r="P8658" s="5" t="s">
        <v>355</v>
      </c>
      <c r="Q8658" s="5" t="s">
        <v>355</v>
      </c>
    </row>
    <row r="8659" ht="16.5" customHeight="1">
      <c r="O8659" s="5" t="s">
        <v>355</v>
      </c>
      <c r="P8659" s="5" t="s">
        <v>355</v>
      </c>
      <c r="Q8659" s="5" t="s">
        <v>355</v>
      </c>
    </row>
    <row r="8660" ht="16.5" customHeight="1">
      <c r="O8660" s="5" t="s">
        <v>355</v>
      </c>
      <c r="P8660" s="5" t="s">
        <v>355</v>
      </c>
      <c r="Q8660" s="5" t="s">
        <v>355</v>
      </c>
    </row>
    <row r="8661" ht="16.5" customHeight="1">
      <c r="O8661" s="5" t="s">
        <v>355</v>
      </c>
      <c r="P8661" s="5" t="s">
        <v>355</v>
      </c>
      <c r="Q8661" s="5" t="s">
        <v>355</v>
      </c>
    </row>
    <row r="8662" ht="16.5" customHeight="1">
      <c r="O8662" s="5" t="s">
        <v>355</v>
      </c>
      <c r="P8662" s="5" t="s">
        <v>355</v>
      </c>
      <c r="Q8662" s="5" t="s">
        <v>355</v>
      </c>
    </row>
    <row r="8663" ht="16.5" customHeight="1">
      <c r="O8663" s="5" t="s">
        <v>355</v>
      </c>
      <c r="P8663" s="5" t="s">
        <v>355</v>
      </c>
      <c r="Q8663" s="5" t="s">
        <v>355</v>
      </c>
    </row>
    <row r="8664" ht="16.5" customHeight="1">
      <c r="O8664" s="5" t="s">
        <v>355</v>
      </c>
      <c r="P8664" s="5" t="s">
        <v>355</v>
      </c>
      <c r="Q8664" s="5" t="s">
        <v>355</v>
      </c>
    </row>
    <row r="8665" ht="16.5" customHeight="1">
      <c r="O8665" s="5" t="s">
        <v>355</v>
      </c>
      <c r="P8665" s="5" t="s">
        <v>355</v>
      </c>
      <c r="Q8665" s="5" t="s">
        <v>355</v>
      </c>
    </row>
    <row r="8666" ht="16.5" customHeight="1">
      <c r="O8666" s="5" t="s">
        <v>355</v>
      </c>
      <c r="P8666" s="5" t="s">
        <v>355</v>
      </c>
      <c r="Q8666" s="5" t="s">
        <v>355</v>
      </c>
    </row>
    <row r="8667" ht="16.5" customHeight="1">
      <c r="O8667" s="5" t="s">
        <v>355</v>
      </c>
      <c r="P8667" s="5" t="s">
        <v>355</v>
      </c>
      <c r="Q8667" s="5" t="s">
        <v>355</v>
      </c>
    </row>
    <row r="8668" ht="16.5" customHeight="1">
      <c r="O8668" s="5" t="s">
        <v>355</v>
      </c>
      <c r="P8668" s="5" t="s">
        <v>355</v>
      </c>
      <c r="Q8668" s="5" t="s">
        <v>355</v>
      </c>
    </row>
    <row r="8669" ht="16.5" customHeight="1">
      <c r="O8669" s="5" t="s">
        <v>355</v>
      </c>
      <c r="P8669" s="5" t="s">
        <v>355</v>
      </c>
      <c r="Q8669" s="5" t="s">
        <v>355</v>
      </c>
    </row>
    <row r="8670" ht="16.5" customHeight="1">
      <c r="O8670" s="5" t="s">
        <v>355</v>
      </c>
      <c r="P8670" s="5" t="s">
        <v>355</v>
      </c>
      <c r="Q8670" s="5" t="s">
        <v>355</v>
      </c>
    </row>
    <row r="8671" ht="16.5" customHeight="1">
      <c r="O8671" s="5" t="s">
        <v>355</v>
      </c>
      <c r="P8671" s="5" t="s">
        <v>355</v>
      </c>
      <c r="Q8671" s="5" t="s">
        <v>355</v>
      </c>
    </row>
    <row r="8672" ht="16.5" customHeight="1">
      <c r="O8672" s="5" t="s">
        <v>355</v>
      </c>
      <c r="P8672" s="5" t="s">
        <v>355</v>
      </c>
      <c r="Q8672" s="5" t="s">
        <v>355</v>
      </c>
    </row>
    <row r="8673" ht="16.5" customHeight="1">
      <c r="O8673" s="5" t="s">
        <v>355</v>
      </c>
      <c r="P8673" s="5" t="s">
        <v>355</v>
      </c>
      <c r="Q8673" s="5" t="s">
        <v>355</v>
      </c>
    </row>
    <row r="8674" ht="16.5" customHeight="1">
      <c r="O8674" s="5" t="s">
        <v>355</v>
      </c>
      <c r="P8674" s="5" t="s">
        <v>355</v>
      </c>
      <c r="Q8674" s="5" t="s">
        <v>355</v>
      </c>
    </row>
    <row r="8675" ht="16.5" customHeight="1">
      <c r="O8675" s="5" t="s">
        <v>355</v>
      </c>
      <c r="P8675" s="5" t="s">
        <v>355</v>
      </c>
      <c r="Q8675" s="5" t="s">
        <v>355</v>
      </c>
    </row>
    <row r="8676" ht="16.5" customHeight="1">
      <c r="O8676" s="5" t="s">
        <v>355</v>
      </c>
      <c r="P8676" s="5" t="s">
        <v>355</v>
      </c>
      <c r="Q8676" s="5" t="s">
        <v>355</v>
      </c>
    </row>
    <row r="8677" ht="16.5" customHeight="1">
      <c r="O8677" s="5" t="s">
        <v>355</v>
      </c>
      <c r="P8677" s="5" t="s">
        <v>355</v>
      </c>
      <c r="Q8677" s="5" t="s">
        <v>355</v>
      </c>
    </row>
    <row r="8678" ht="16.5" customHeight="1">
      <c r="O8678" s="5" t="s">
        <v>355</v>
      </c>
      <c r="P8678" s="5" t="s">
        <v>355</v>
      </c>
      <c r="Q8678" s="5" t="s">
        <v>355</v>
      </c>
    </row>
    <row r="8679" ht="16.5" customHeight="1">
      <c r="O8679" s="5" t="s">
        <v>355</v>
      </c>
      <c r="P8679" s="5" t="s">
        <v>355</v>
      </c>
      <c r="Q8679" s="5" t="s">
        <v>355</v>
      </c>
    </row>
    <row r="8680" ht="16.5" customHeight="1">
      <c r="O8680" s="5" t="s">
        <v>355</v>
      </c>
      <c r="P8680" s="5" t="s">
        <v>355</v>
      </c>
      <c r="Q8680" s="5" t="s">
        <v>355</v>
      </c>
    </row>
    <row r="8681" ht="16.5" customHeight="1">
      <c r="O8681" s="5" t="s">
        <v>355</v>
      </c>
      <c r="P8681" s="5" t="s">
        <v>355</v>
      </c>
      <c r="Q8681" s="5" t="s">
        <v>355</v>
      </c>
    </row>
    <row r="8682" ht="16.5" customHeight="1">
      <c r="O8682" s="5" t="s">
        <v>355</v>
      </c>
      <c r="P8682" s="5" t="s">
        <v>355</v>
      </c>
      <c r="Q8682" s="5" t="s">
        <v>355</v>
      </c>
    </row>
    <row r="8683" ht="16.5" customHeight="1">
      <c r="O8683" s="5" t="s">
        <v>355</v>
      </c>
      <c r="P8683" s="5" t="s">
        <v>355</v>
      </c>
      <c r="Q8683" s="5" t="s">
        <v>355</v>
      </c>
    </row>
    <row r="8684" ht="16.5" customHeight="1">
      <c r="O8684" s="5" t="s">
        <v>355</v>
      </c>
      <c r="P8684" s="5" t="s">
        <v>355</v>
      </c>
      <c r="Q8684" s="5" t="s">
        <v>355</v>
      </c>
    </row>
    <row r="8685" ht="16.5" customHeight="1">
      <c r="O8685" s="5" t="s">
        <v>355</v>
      </c>
      <c r="P8685" s="5" t="s">
        <v>355</v>
      </c>
      <c r="Q8685" s="5" t="s">
        <v>355</v>
      </c>
    </row>
    <row r="8686" ht="16.5" customHeight="1">
      <c r="O8686" s="5" t="s">
        <v>355</v>
      </c>
      <c r="P8686" s="5" t="s">
        <v>355</v>
      </c>
      <c r="Q8686" s="5" t="s">
        <v>355</v>
      </c>
    </row>
    <row r="8687" ht="16.5" customHeight="1">
      <c r="O8687" s="5" t="s">
        <v>355</v>
      </c>
      <c r="P8687" s="5" t="s">
        <v>355</v>
      </c>
      <c r="Q8687" s="5" t="s">
        <v>355</v>
      </c>
    </row>
    <row r="8688" ht="16.5" customHeight="1">
      <c r="O8688" s="5" t="s">
        <v>355</v>
      </c>
      <c r="P8688" s="5" t="s">
        <v>355</v>
      </c>
      <c r="Q8688" s="5" t="s">
        <v>355</v>
      </c>
    </row>
    <row r="8689" ht="16.5" customHeight="1">
      <c r="O8689" s="5" t="s">
        <v>355</v>
      </c>
      <c r="P8689" s="5" t="s">
        <v>355</v>
      </c>
      <c r="Q8689" s="5" t="s">
        <v>355</v>
      </c>
    </row>
    <row r="8690" ht="16.5" customHeight="1">
      <c r="O8690" s="5" t="s">
        <v>355</v>
      </c>
      <c r="P8690" s="5" t="s">
        <v>355</v>
      </c>
      <c r="Q8690" s="5" t="s">
        <v>355</v>
      </c>
    </row>
    <row r="8691" ht="16.5" customHeight="1">
      <c r="O8691" s="5" t="s">
        <v>355</v>
      </c>
      <c r="P8691" s="5" t="s">
        <v>355</v>
      </c>
      <c r="Q8691" s="5" t="s">
        <v>355</v>
      </c>
    </row>
    <row r="8692" ht="16.5" customHeight="1">
      <c r="O8692" s="5" t="s">
        <v>355</v>
      </c>
      <c r="P8692" s="5" t="s">
        <v>355</v>
      </c>
      <c r="Q8692" s="5" t="s">
        <v>355</v>
      </c>
    </row>
    <row r="8693" ht="16.5" customHeight="1">
      <c r="O8693" s="5" t="s">
        <v>355</v>
      </c>
      <c r="P8693" s="5" t="s">
        <v>355</v>
      </c>
      <c r="Q8693" s="5" t="s">
        <v>355</v>
      </c>
    </row>
    <row r="8694" ht="16.5" customHeight="1">
      <c r="O8694" s="5" t="s">
        <v>355</v>
      </c>
      <c r="P8694" s="5" t="s">
        <v>355</v>
      </c>
      <c r="Q8694" s="5" t="s">
        <v>355</v>
      </c>
    </row>
    <row r="8695" ht="16.5" customHeight="1">
      <c r="O8695" s="5" t="s">
        <v>355</v>
      </c>
      <c r="P8695" s="5" t="s">
        <v>355</v>
      </c>
      <c r="Q8695" s="5" t="s">
        <v>355</v>
      </c>
    </row>
    <row r="8696" ht="16.5" customHeight="1">
      <c r="O8696" s="5" t="s">
        <v>355</v>
      </c>
      <c r="P8696" s="5" t="s">
        <v>355</v>
      </c>
      <c r="Q8696" s="5" t="s">
        <v>355</v>
      </c>
    </row>
    <row r="8697" ht="16.5" customHeight="1">
      <c r="O8697" s="5" t="s">
        <v>355</v>
      </c>
      <c r="P8697" s="5" t="s">
        <v>355</v>
      </c>
      <c r="Q8697" s="5" t="s">
        <v>355</v>
      </c>
    </row>
    <row r="8698" ht="16.5" customHeight="1">
      <c r="O8698" s="5" t="s">
        <v>355</v>
      </c>
      <c r="P8698" s="5" t="s">
        <v>355</v>
      </c>
      <c r="Q8698" s="5" t="s">
        <v>355</v>
      </c>
    </row>
    <row r="8699" ht="16.5" customHeight="1">
      <c r="O8699" s="5" t="s">
        <v>355</v>
      </c>
      <c r="P8699" s="5" t="s">
        <v>355</v>
      </c>
      <c r="Q8699" s="5" t="s">
        <v>355</v>
      </c>
    </row>
    <row r="8700" ht="16.5" customHeight="1">
      <c r="O8700" s="5" t="s">
        <v>355</v>
      </c>
      <c r="P8700" s="5" t="s">
        <v>355</v>
      </c>
      <c r="Q8700" s="5" t="s">
        <v>355</v>
      </c>
    </row>
    <row r="8701" ht="16.5" customHeight="1">
      <c r="O8701" s="5" t="s">
        <v>355</v>
      </c>
      <c r="P8701" s="5" t="s">
        <v>355</v>
      </c>
      <c r="Q8701" s="5" t="s">
        <v>355</v>
      </c>
    </row>
    <row r="8702" ht="16.5" customHeight="1">
      <c r="O8702" s="5" t="s">
        <v>355</v>
      </c>
      <c r="P8702" s="5" t="s">
        <v>355</v>
      </c>
      <c r="Q8702" s="5" t="s">
        <v>355</v>
      </c>
    </row>
    <row r="8703" ht="16.5" customHeight="1">
      <c r="O8703" s="5" t="s">
        <v>355</v>
      </c>
      <c r="P8703" s="5" t="s">
        <v>355</v>
      </c>
      <c r="Q8703" s="5" t="s">
        <v>355</v>
      </c>
    </row>
    <row r="8704" ht="16.5" customHeight="1">
      <c r="O8704" s="5" t="s">
        <v>355</v>
      </c>
      <c r="P8704" s="5" t="s">
        <v>355</v>
      </c>
      <c r="Q8704" s="5" t="s">
        <v>355</v>
      </c>
    </row>
    <row r="8705" ht="16.5" customHeight="1">
      <c r="O8705" s="5" t="s">
        <v>355</v>
      </c>
      <c r="P8705" s="5" t="s">
        <v>355</v>
      </c>
      <c r="Q8705" s="5" t="s">
        <v>355</v>
      </c>
    </row>
    <row r="8706" ht="16.5" customHeight="1">
      <c r="O8706" s="5" t="s">
        <v>355</v>
      </c>
      <c r="P8706" s="5" t="s">
        <v>355</v>
      </c>
      <c r="Q8706" s="5" t="s">
        <v>355</v>
      </c>
    </row>
    <row r="8707" ht="16.5" customHeight="1">
      <c r="O8707" s="5" t="s">
        <v>355</v>
      </c>
      <c r="P8707" s="5" t="s">
        <v>355</v>
      </c>
      <c r="Q8707" s="5" t="s">
        <v>355</v>
      </c>
    </row>
    <row r="8708" ht="16.5" customHeight="1">
      <c r="O8708" s="5" t="s">
        <v>355</v>
      </c>
      <c r="P8708" s="5" t="s">
        <v>355</v>
      </c>
      <c r="Q8708" s="5" t="s">
        <v>355</v>
      </c>
    </row>
    <row r="8709" ht="16.5" customHeight="1">
      <c r="O8709" s="5" t="s">
        <v>355</v>
      </c>
      <c r="P8709" s="5" t="s">
        <v>355</v>
      </c>
      <c r="Q8709" s="5" t="s">
        <v>355</v>
      </c>
    </row>
    <row r="8710" ht="16.5" customHeight="1">
      <c r="O8710" s="5" t="s">
        <v>355</v>
      </c>
      <c r="P8710" s="5" t="s">
        <v>355</v>
      </c>
      <c r="Q8710" s="5" t="s">
        <v>355</v>
      </c>
    </row>
    <row r="8711" ht="16.5" customHeight="1">
      <c r="O8711" s="5" t="s">
        <v>355</v>
      </c>
      <c r="P8711" s="5" t="s">
        <v>355</v>
      </c>
      <c r="Q8711" s="5" t="s">
        <v>355</v>
      </c>
    </row>
    <row r="8712" ht="16.5" customHeight="1">
      <c r="O8712" s="5" t="s">
        <v>355</v>
      </c>
      <c r="P8712" s="5" t="s">
        <v>355</v>
      </c>
      <c r="Q8712" s="5" t="s">
        <v>355</v>
      </c>
    </row>
    <row r="8713" ht="16.5" customHeight="1">
      <c r="O8713" s="5" t="s">
        <v>355</v>
      </c>
      <c r="P8713" s="5" t="s">
        <v>355</v>
      </c>
      <c r="Q8713" s="5" t="s">
        <v>355</v>
      </c>
    </row>
    <row r="8714" ht="16.5" customHeight="1">
      <c r="O8714" s="5" t="s">
        <v>355</v>
      </c>
      <c r="P8714" s="5" t="s">
        <v>355</v>
      </c>
      <c r="Q8714" s="5" t="s">
        <v>355</v>
      </c>
    </row>
    <row r="8715" ht="16.5" customHeight="1">
      <c r="O8715" s="5" t="s">
        <v>355</v>
      </c>
      <c r="P8715" s="5" t="s">
        <v>355</v>
      </c>
      <c r="Q8715" s="5" t="s">
        <v>355</v>
      </c>
    </row>
    <row r="8716" ht="16.5" customHeight="1">
      <c r="O8716" s="5" t="s">
        <v>355</v>
      </c>
      <c r="P8716" s="5" t="s">
        <v>355</v>
      </c>
      <c r="Q8716" s="5" t="s">
        <v>355</v>
      </c>
    </row>
    <row r="8717" ht="16.5" customHeight="1">
      <c r="O8717" s="5" t="s">
        <v>355</v>
      </c>
      <c r="P8717" s="5" t="s">
        <v>355</v>
      </c>
      <c r="Q8717" s="5" t="s">
        <v>355</v>
      </c>
    </row>
    <row r="8718" ht="16.5" customHeight="1">
      <c r="O8718" s="5" t="s">
        <v>355</v>
      </c>
      <c r="P8718" s="5" t="s">
        <v>355</v>
      </c>
      <c r="Q8718" s="5" t="s">
        <v>355</v>
      </c>
    </row>
    <row r="8719" ht="16.5" customHeight="1">
      <c r="O8719" s="5" t="s">
        <v>355</v>
      </c>
      <c r="P8719" s="5" t="s">
        <v>355</v>
      </c>
      <c r="Q8719" s="5" t="s">
        <v>355</v>
      </c>
    </row>
    <row r="8720" ht="16.5" customHeight="1">
      <c r="O8720" s="5" t="s">
        <v>355</v>
      </c>
      <c r="P8720" s="5" t="s">
        <v>355</v>
      </c>
      <c r="Q8720" s="5" t="s">
        <v>355</v>
      </c>
    </row>
    <row r="8721" ht="16.5" customHeight="1">
      <c r="O8721" s="5" t="s">
        <v>355</v>
      </c>
      <c r="P8721" s="5" t="s">
        <v>355</v>
      </c>
      <c r="Q8721" s="5" t="s">
        <v>355</v>
      </c>
    </row>
    <row r="8722" ht="16.5" customHeight="1">
      <c r="O8722" s="5" t="s">
        <v>355</v>
      </c>
      <c r="P8722" s="5" t="s">
        <v>355</v>
      </c>
      <c r="Q8722" s="5" t="s">
        <v>355</v>
      </c>
    </row>
    <row r="8723" ht="16.5" customHeight="1">
      <c r="O8723" s="5" t="s">
        <v>355</v>
      </c>
      <c r="P8723" s="5" t="s">
        <v>355</v>
      </c>
      <c r="Q8723" s="5" t="s">
        <v>355</v>
      </c>
    </row>
    <row r="8724" ht="16.5" customHeight="1">
      <c r="O8724" s="5" t="s">
        <v>355</v>
      </c>
      <c r="P8724" s="5" t="s">
        <v>355</v>
      </c>
      <c r="Q8724" s="5" t="s">
        <v>355</v>
      </c>
    </row>
    <row r="8725" ht="16.5" customHeight="1">
      <c r="O8725" s="5" t="s">
        <v>355</v>
      </c>
      <c r="P8725" s="5" t="s">
        <v>355</v>
      </c>
      <c r="Q8725" s="5" t="s">
        <v>355</v>
      </c>
    </row>
    <row r="8726" ht="16.5" customHeight="1">
      <c r="O8726" s="5" t="s">
        <v>355</v>
      </c>
      <c r="P8726" s="5" t="s">
        <v>355</v>
      </c>
      <c r="Q8726" s="5" t="s">
        <v>355</v>
      </c>
    </row>
    <row r="8727" ht="16.5" customHeight="1">
      <c r="O8727" s="5" t="s">
        <v>355</v>
      </c>
      <c r="P8727" s="5" t="s">
        <v>355</v>
      </c>
      <c r="Q8727" s="5" t="s">
        <v>355</v>
      </c>
    </row>
    <row r="8728" ht="16.5" customHeight="1">
      <c r="O8728" s="5" t="s">
        <v>355</v>
      </c>
      <c r="P8728" s="5" t="s">
        <v>355</v>
      </c>
      <c r="Q8728" s="5" t="s">
        <v>355</v>
      </c>
    </row>
    <row r="8729" ht="16.5" customHeight="1">
      <c r="O8729" s="5" t="s">
        <v>355</v>
      </c>
      <c r="P8729" s="5" t="s">
        <v>355</v>
      </c>
      <c r="Q8729" s="5" t="s">
        <v>355</v>
      </c>
    </row>
    <row r="8730" ht="16.5" customHeight="1">
      <c r="O8730" s="5" t="s">
        <v>355</v>
      </c>
      <c r="P8730" s="5" t="s">
        <v>355</v>
      </c>
      <c r="Q8730" s="5" t="s">
        <v>355</v>
      </c>
    </row>
    <row r="8731" ht="16.5" customHeight="1">
      <c r="O8731" s="5" t="s">
        <v>355</v>
      </c>
      <c r="P8731" s="5" t="s">
        <v>355</v>
      </c>
      <c r="Q8731" s="5" t="s">
        <v>355</v>
      </c>
    </row>
    <row r="8732" ht="16.5" customHeight="1">
      <c r="O8732" s="5" t="s">
        <v>355</v>
      </c>
      <c r="P8732" s="5" t="s">
        <v>355</v>
      </c>
      <c r="Q8732" s="5" t="s">
        <v>355</v>
      </c>
    </row>
    <row r="8733" ht="16.5" customHeight="1">
      <c r="O8733" s="5" t="s">
        <v>355</v>
      </c>
      <c r="P8733" s="5" t="s">
        <v>355</v>
      </c>
      <c r="Q8733" s="5" t="s">
        <v>355</v>
      </c>
    </row>
    <row r="8734" ht="16.5" customHeight="1">
      <c r="O8734" s="5" t="s">
        <v>355</v>
      </c>
      <c r="P8734" s="5" t="s">
        <v>355</v>
      </c>
      <c r="Q8734" s="5" t="s">
        <v>355</v>
      </c>
    </row>
    <row r="8735" ht="16.5" customHeight="1">
      <c r="O8735" s="5" t="s">
        <v>355</v>
      </c>
      <c r="P8735" s="5" t="s">
        <v>355</v>
      </c>
      <c r="Q8735" s="5" t="s">
        <v>355</v>
      </c>
    </row>
    <row r="8736" ht="16.5" customHeight="1">
      <c r="O8736" s="5" t="s">
        <v>355</v>
      </c>
      <c r="P8736" s="5" t="s">
        <v>355</v>
      </c>
      <c r="Q8736" s="5" t="s">
        <v>355</v>
      </c>
    </row>
    <row r="8737" ht="16.5" customHeight="1">
      <c r="O8737" s="5" t="s">
        <v>355</v>
      </c>
      <c r="P8737" s="5" t="s">
        <v>355</v>
      </c>
      <c r="Q8737" s="5" t="s">
        <v>355</v>
      </c>
    </row>
    <row r="8738" ht="16.5" customHeight="1">
      <c r="O8738" s="5" t="s">
        <v>355</v>
      </c>
      <c r="P8738" s="5" t="s">
        <v>355</v>
      </c>
      <c r="Q8738" s="5" t="s">
        <v>355</v>
      </c>
    </row>
    <row r="8739" ht="16.5" customHeight="1">
      <c r="O8739" s="5" t="s">
        <v>355</v>
      </c>
      <c r="P8739" s="5" t="s">
        <v>355</v>
      </c>
      <c r="Q8739" s="5" t="s">
        <v>355</v>
      </c>
    </row>
    <row r="8740" ht="16.5" customHeight="1">
      <c r="O8740" s="5" t="s">
        <v>355</v>
      </c>
      <c r="P8740" s="5" t="s">
        <v>355</v>
      </c>
      <c r="Q8740" s="5" t="s">
        <v>355</v>
      </c>
    </row>
    <row r="8741" ht="16.5" customHeight="1">
      <c r="O8741" s="5" t="s">
        <v>355</v>
      </c>
      <c r="P8741" s="5" t="s">
        <v>355</v>
      </c>
      <c r="Q8741" s="5" t="s">
        <v>355</v>
      </c>
    </row>
    <row r="8742" ht="16.5" customHeight="1">
      <c r="O8742" s="5" t="s">
        <v>355</v>
      </c>
      <c r="P8742" s="5" t="s">
        <v>355</v>
      </c>
      <c r="Q8742" s="5" t="s">
        <v>355</v>
      </c>
    </row>
    <row r="8743" ht="16.5" customHeight="1">
      <c r="O8743" s="5" t="s">
        <v>355</v>
      </c>
      <c r="P8743" s="5" t="s">
        <v>355</v>
      </c>
      <c r="Q8743" s="5" t="s">
        <v>355</v>
      </c>
    </row>
    <row r="8744" ht="16.5" customHeight="1">
      <c r="O8744" s="5" t="s">
        <v>355</v>
      </c>
      <c r="P8744" s="5" t="s">
        <v>355</v>
      </c>
      <c r="Q8744" s="5" t="s">
        <v>355</v>
      </c>
    </row>
    <row r="8745" ht="16.5" customHeight="1">
      <c r="O8745" s="5" t="s">
        <v>355</v>
      </c>
      <c r="P8745" s="5" t="s">
        <v>355</v>
      </c>
      <c r="Q8745" s="5" t="s">
        <v>355</v>
      </c>
    </row>
    <row r="8746" ht="16.5" customHeight="1">
      <c r="O8746" s="5" t="s">
        <v>355</v>
      </c>
      <c r="P8746" s="5" t="s">
        <v>355</v>
      </c>
      <c r="Q8746" s="5" t="s">
        <v>355</v>
      </c>
    </row>
    <row r="8747" ht="16.5" customHeight="1">
      <c r="O8747" s="5" t="s">
        <v>355</v>
      </c>
      <c r="P8747" s="5" t="s">
        <v>355</v>
      </c>
      <c r="Q8747" s="5" t="s">
        <v>355</v>
      </c>
    </row>
    <row r="8748" ht="16.5" customHeight="1">
      <c r="O8748" s="5" t="s">
        <v>355</v>
      </c>
      <c r="P8748" s="5" t="s">
        <v>355</v>
      </c>
      <c r="Q8748" s="5" t="s">
        <v>355</v>
      </c>
    </row>
    <row r="8749" ht="16.5" customHeight="1">
      <c r="O8749" s="5" t="s">
        <v>355</v>
      </c>
      <c r="P8749" s="5" t="s">
        <v>355</v>
      </c>
      <c r="Q8749" s="5" t="s">
        <v>355</v>
      </c>
    </row>
    <row r="8750" ht="16.5" customHeight="1">
      <c r="O8750" s="5" t="s">
        <v>355</v>
      </c>
      <c r="P8750" s="5" t="s">
        <v>355</v>
      </c>
      <c r="Q8750" s="5" t="s">
        <v>355</v>
      </c>
    </row>
    <row r="8751" ht="16.5" customHeight="1">
      <c r="O8751" s="5" t="s">
        <v>355</v>
      </c>
      <c r="P8751" s="5" t="s">
        <v>355</v>
      </c>
      <c r="Q8751" s="5" t="s">
        <v>355</v>
      </c>
    </row>
    <row r="8752" ht="16.5" customHeight="1">
      <c r="O8752" s="5" t="s">
        <v>355</v>
      </c>
      <c r="P8752" s="5" t="s">
        <v>355</v>
      </c>
      <c r="Q8752" s="5" t="s">
        <v>355</v>
      </c>
    </row>
    <row r="8753" ht="16.5" customHeight="1">
      <c r="O8753" s="5" t="s">
        <v>355</v>
      </c>
      <c r="P8753" s="5" t="s">
        <v>355</v>
      </c>
      <c r="Q8753" s="5" t="s">
        <v>355</v>
      </c>
    </row>
    <row r="8754" ht="16.5" customHeight="1">
      <c r="O8754" s="5" t="s">
        <v>355</v>
      </c>
      <c r="P8754" s="5" t="s">
        <v>355</v>
      </c>
      <c r="Q8754" s="5" t="s">
        <v>355</v>
      </c>
    </row>
    <row r="8755" ht="16.5" customHeight="1">
      <c r="O8755" s="5" t="s">
        <v>355</v>
      </c>
      <c r="P8755" s="5" t="s">
        <v>355</v>
      </c>
      <c r="Q8755" s="5" t="s">
        <v>355</v>
      </c>
    </row>
    <row r="8756" ht="16.5" customHeight="1">
      <c r="O8756" s="5" t="s">
        <v>355</v>
      </c>
      <c r="P8756" s="5" t="s">
        <v>355</v>
      </c>
      <c r="Q8756" s="5" t="s">
        <v>355</v>
      </c>
    </row>
    <row r="8757" ht="16.5" customHeight="1">
      <c r="O8757" s="5" t="s">
        <v>355</v>
      </c>
      <c r="P8757" s="5" t="s">
        <v>355</v>
      </c>
      <c r="Q8757" s="5" t="s">
        <v>355</v>
      </c>
    </row>
    <row r="8758" ht="16.5" customHeight="1">
      <c r="O8758" s="5" t="s">
        <v>355</v>
      </c>
      <c r="P8758" s="5" t="s">
        <v>355</v>
      </c>
      <c r="Q8758" s="5" t="s">
        <v>355</v>
      </c>
    </row>
    <row r="8759" ht="16.5" customHeight="1">
      <c r="O8759" s="5" t="s">
        <v>355</v>
      </c>
      <c r="P8759" s="5" t="s">
        <v>355</v>
      </c>
      <c r="Q8759" s="5" t="s">
        <v>355</v>
      </c>
    </row>
    <row r="8760" ht="16.5" customHeight="1">
      <c r="O8760" s="5" t="s">
        <v>355</v>
      </c>
      <c r="P8760" s="5" t="s">
        <v>355</v>
      </c>
      <c r="Q8760" s="5" t="s">
        <v>355</v>
      </c>
    </row>
    <row r="8761" ht="16.5" customHeight="1">
      <c r="O8761" s="5" t="s">
        <v>355</v>
      </c>
      <c r="P8761" s="5" t="s">
        <v>355</v>
      </c>
      <c r="Q8761" s="5" t="s">
        <v>355</v>
      </c>
    </row>
    <row r="8762" ht="16.5" customHeight="1">
      <c r="O8762" s="5" t="s">
        <v>355</v>
      </c>
      <c r="P8762" s="5" t="s">
        <v>355</v>
      </c>
      <c r="Q8762" s="5" t="s">
        <v>355</v>
      </c>
    </row>
    <row r="8763" ht="16.5" customHeight="1">
      <c r="O8763" s="5" t="s">
        <v>355</v>
      </c>
      <c r="P8763" s="5" t="s">
        <v>355</v>
      </c>
      <c r="Q8763" s="5" t="s">
        <v>355</v>
      </c>
    </row>
    <row r="8764" ht="16.5" customHeight="1">
      <c r="O8764" s="5" t="s">
        <v>355</v>
      </c>
      <c r="P8764" s="5" t="s">
        <v>355</v>
      </c>
      <c r="Q8764" s="5" t="s">
        <v>355</v>
      </c>
    </row>
    <row r="8765" ht="16.5" customHeight="1">
      <c r="O8765" s="5" t="s">
        <v>355</v>
      </c>
      <c r="P8765" s="5" t="s">
        <v>355</v>
      </c>
      <c r="Q8765" s="5" t="s">
        <v>355</v>
      </c>
    </row>
    <row r="8766" ht="16.5" customHeight="1">
      <c r="O8766" s="5" t="s">
        <v>355</v>
      </c>
      <c r="P8766" s="5" t="s">
        <v>355</v>
      </c>
      <c r="Q8766" s="5" t="s">
        <v>355</v>
      </c>
    </row>
    <row r="8767" ht="16.5" customHeight="1">
      <c r="O8767" s="5" t="s">
        <v>355</v>
      </c>
      <c r="P8767" s="5" t="s">
        <v>355</v>
      </c>
      <c r="Q8767" s="5" t="s">
        <v>355</v>
      </c>
    </row>
    <row r="8768" ht="16.5" customHeight="1">
      <c r="O8768" s="5" t="s">
        <v>355</v>
      </c>
      <c r="P8768" s="5" t="s">
        <v>355</v>
      </c>
      <c r="Q8768" s="5" t="s">
        <v>355</v>
      </c>
    </row>
    <row r="8769" ht="16.5" customHeight="1">
      <c r="O8769" s="5" t="s">
        <v>355</v>
      </c>
      <c r="P8769" s="5" t="s">
        <v>355</v>
      </c>
      <c r="Q8769" s="5" t="s">
        <v>355</v>
      </c>
    </row>
    <row r="8770" ht="16.5" customHeight="1">
      <c r="O8770" s="5" t="s">
        <v>355</v>
      </c>
      <c r="P8770" s="5" t="s">
        <v>355</v>
      </c>
      <c r="Q8770" s="5" t="s">
        <v>355</v>
      </c>
    </row>
    <row r="8771" ht="16.5" customHeight="1">
      <c r="O8771" s="5" t="s">
        <v>355</v>
      </c>
      <c r="P8771" s="5" t="s">
        <v>355</v>
      </c>
      <c r="Q8771" s="5" t="s">
        <v>355</v>
      </c>
    </row>
    <row r="8772" ht="16.5" customHeight="1">
      <c r="O8772" s="5" t="s">
        <v>355</v>
      </c>
      <c r="P8772" s="5" t="s">
        <v>355</v>
      </c>
      <c r="Q8772" s="5" t="s">
        <v>355</v>
      </c>
    </row>
    <row r="8773" ht="16.5" customHeight="1">
      <c r="O8773" s="5" t="s">
        <v>355</v>
      </c>
      <c r="P8773" s="5" t="s">
        <v>355</v>
      </c>
      <c r="Q8773" s="5" t="s">
        <v>355</v>
      </c>
    </row>
    <row r="8774" ht="16.5" customHeight="1">
      <c r="O8774" s="5" t="s">
        <v>355</v>
      </c>
      <c r="P8774" s="5" t="s">
        <v>355</v>
      </c>
      <c r="Q8774" s="5" t="s">
        <v>355</v>
      </c>
    </row>
    <row r="8775" ht="16.5" customHeight="1">
      <c r="O8775" s="5" t="s">
        <v>355</v>
      </c>
      <c r="P8775" s="5" t="s">
        <v>355</v>
      </c>
      <c r="Q8775" s="5" t="s">
        <v>355</v>
      </c>
    </row>
    <row r="8776" ht="16.5" customHeight="1">
      <c r="O8776" s="5" t="s">
        <v>355</v>
      </c>
      <c r="P8776" s="5" t="s">
        <v>355</v>
      </c>
      <c r="Q8776" s="5" t="s">
        <v>355</v>
      </c>
    </row>
    <row r="8777" ht="16.5" customHeight="1">
      <c r="O8777" s="5" t="s">
        <v>355</v>
      </c>
      <c r="P8777" s="5" t="s">
        <v>355</v>
      </c>
      <c r="Q8777" s="5" t="s">
        <v>355</v>
      </c>
    </row>
    <row r="8778" ht="16.5" customHeight="1">
      <c r="O8778" s="5" t="s">
        <v>355</v>
      </c>
      <c r="P8778" s="5" t="s">
        <v>355</v>
      </c>
      <c r="Q8778" s="5" t="s">
        <v>355</v>
      </c>
    </row>
    <row r="8779" ht="16.5" customHeight="1">
      <c r="O8779" s="5" t="s">
        <v>355</v>
      </c>
      <c r="P8779" s="5" t="s">
        <v>355</v>
      </c>
      <c r="Q8779" s="5" t="s">
        <v>355</v>
      </c>
    </row>
    <row r="8780" ht="16.5" customHeight="1">
      <c r="O8780" s="5" t="s">
        <v>355</v>
      </c>
      <c r="P8780" s="5" t="s">
        <v>355</v>
      </c>
      <c r="Q8780" s="5" t="s">
        <v>355</v>
      </c>
    </row>
    <row r="8781" ht="16.5" customHeight="1">
      <c r="O8781" s="5" t="s">
        <v>355</v>
      </c>
      <c r="P8781" s="5" t="s">
        <v>355</v>
      </c>
      <c r="Q8781" s="5" t="s">
        <v>355</v>
      </c>
    </row>
    <row r="8782" ht="16.5" customHeight="1">
      <c r="O8782" s="5" t="s">
        <v>355</v>
      </c>
      <c r="P8782" s="5" t="s">
        <v>355</v>
      </c>
      <c r="Q8782" s="5" t="s">
        <v>355</v>
      </c>
    </row>
    <row r="8783" ht="16.5" customHeight="1">
      <c r="O8783" s="5" t="s">
        <v>355</v>
      </c>
      <c r="P8783" s="5" t="s">
        <v>355</v>
      </c>
      <c r="Q8783" s="5" t="s">
        <v>355</v>
      </c>
    </row>
    <row r="8784" ht="16.5" customHeight="1">
      <c r="O8784" s="5" t="s">
        <v>355</v>
      </c>
      <c r="P8784" s="5" t="s">
        <v>355</v>
      </c>
      <c r="Q8784" s="5" t="s">
        <v>355</v>
      </c>
    </row>
    <row r="8785" ht="16.5" customHeight="1">
      <c r="O8785" s="5" t="s">
        <v>355</v>
      </c>
      <c r="P8785" s="5" t="s">
        <v>355</v>
      </c>
      <c r="Q8785" s="5" t="s">
        <v>355</v>
      </c>
    </row>
    <row r="8786" ht="16.5" customHeight="1">
      <c r="O8786" s="5" t="s">
        <v>355</v>
      </c>
      <c r="P8786" s="5" t="s">
        <v>355</v>
      </c>
      <c r="Q8786" s="5" t="s">
        <v>355</v>
      </c>
    </row>
    <row r="8787" ht="16.5" customHeight="1">
      <c r="O8787" s="5" t="s">
        <v>355</v>
      </c>
      <c r="P8787" s="5" t="s">
        <v>355</v>
      </c>
      <c r="Q8787" s="5" t="s">
        <v>355</v>
      </c>
    </row>
    <row r="8788" ht="16.5" customHeight="1">
      <c r="O8788" s="5" t="s">
        <v>355</v>
      </c>
      <c r="P8788" s="5" t="s">
        <v>355</v>
      </c>
      <c r="Q8788" s="5" t="s">
        <v>355</v>
      </c>
    </row>
    <row r="8789" ht="16.5" customHeight="1">
      <c r="O8789" s="5" t="s">
        <v>355</v>
      </c>
      <c r="P8789" s="5" t="s">
        <v>355</v>
      </c>
      <c r="Q8789" s="5" t="s">
        <v>355</v>
      </c>
    </row>
    <row r="8790" ht="16.5" customHeight="1">
      <c r="O8790" s="5" t="s">
        <v>355</v>
      </c>
      <c r="P8790" s="5" t="s">
        <v>355</v>
      </c>
      <c r="Q8790" s="5" t="s">
        <v>355</v>
      </c>
    </row>
    <row r="8791" ht="16.5" customHeight="1">
      <c r="O8791" s="5" t="s">
        <v>355</v>
      </c>
      <c r="P8791" s="5" t="s">
        <v>355</v>
      </c>
      <c r="Q8791" s="5" t="s">
        <v>355</v>
      </c>
    </row>
    <row r="8792" ht="16.5" customHeight="1">
      <c r="O8792" s="5" t="s">
        <v>355</v>
      </c>
      <c r="P8792" s="5" t="s">
        <v>355</v>
      </c>
      <c r="Q8792" s="5" t="s">
        <v>355</v>
      </c>
    </row>
    <row r="8793" ht="16.5" customHeight="1">
      <c r="O8793" s="5" t="s">
        <v>355</v>
      </c>
      <c r="P8793" s="5" t="s">
        <v>355</v>
      </c>
      <c r="Q8793" s="5" t="s">
        <v>355</v>
      </c>
    </row>
    <row r="8794" ht="16.5" customHeight="1">
      <c r="O8794" s="5" t="s">
        <v>355</v>
      </c>
      <c r="P8794" s="5" t="s">
        <v>355</v>
      </c>
      <c r="Q8794" s="5" t="s">
        <v>355</v>
      </c>
    </row>
    <row r="8795" ht="16.5" customHeight="1">
      <c r="O8795" s="5" t="s">
        <v>355</v>
      </c>
      <c r="P8795" s="5" t="s">
        <v>355</v>
      </c>
      <c r="Q8795" s="5" t="s">
        <v>355</v>
      </c>
    </row>
    <row r="8796" ht="16.5" customHeight="1">
      <c r="O8796" s="5" t="s">
        <v>355</v>
      </c>
      <c r="P8796" s="5" t="s">
        <v>355</v>
      </c>
      <c r="Q8796" s="5" t="s">
        <v>355</v>
      </c>
    </row>
    <row r="8797" ht="16.5" customHeight="1">
      <c r="O8797" s="5" t="s">
        <v>355</v>
      </c>
      <c r="P8797" s="5" t="s">
        <v>355</v>
      </c>
      <c r="Q8797" s="5" t="s">
        <v>355</v>
      </c>
    </row>
    <row r="8798" ht="16.5" customHeight="1">
      <c r="O8798" s="5" t="s">
        <v>355</v>
      </c>
      <c r="P8798" s="5" t="s">
        <v>355</v>
      </c>
      <c r="Q8798" s="5" t="s">
        <v>355</v>
      </c>
    </row>
    <row r="8799" ht="16.5" customHeight="1">
      <c r="O8799" s="5" t="s">
        <v>355</v>
      </c>
      <c r="P8799" s="5" t="s">
        <v>355</v>
      </c>
      <c r="Q8799" s="5" t="s">
        <v>355</v>
      </c>
    </row>
    <row r="8800" ht="16.5" customHeight="1">
      <c r="O8800" s="5" t="s">
        <v>355</v>
      </c>
      <c r="P8800" s="5" t="s">
        <v>355</v>
      </c>
      <c r="Q8800" s="5" t="s">
        <v>355</v>
      </c>
    </row>
    <row r="8801" ht="16.5" customHeight="1">
      <c r="O8801" s="5" t="s">
        <v>355</v>
      </c>
      <c r="P8801" s="5" t="s">
        <v>355</v>
      </c>
      <c r="Q8801" s="5" t="s">
        <v>355</v>
      </c>
    </row>
    <row r="8802" ht="16.5" customHeight="1">
      <c r="O8802" s="5" t="s">
        <v>355</v>
      </c>
      <c r="P8802" s="5" t="s">
        <v>355</v>
      </c>
      <c r="Q8802" s="5" t="s">
        <v>355</v>
      </c>
    </row>
    <row r="8803" ht="16.5" customHeight="1">
      <c r="O8803" s="5" t="s">
        <v>355</v>
      </c>
      <c r="P8803" s="5" t="s">
        <v>355</v>
      </c>
      <c r="Q8803" s="5" t="s">
        <v>355</v>
      </c>
    </row>
    <row r="8804" ht="16.5" customHeight="1">
      <c r="O8804" s="5" t="s">
        <v>355</v>
      </c>
      <c r="P8804" s="5" t="s">
        <v>355</v>
      </c>
      <c r="Q8804" s="5" t="s">
        <v>355</v>
      </c>
    </row>
    <row r="8805" ht="16.5" customHeight="1">
      <c r="O8805" s="5" t="s">
        <v>355</v>
      </c>
      <c r="P8805" s="5" t="s">
        <v>355</v>
      </c>
      <c r="Q8805" s="5" t="s">
        <v>355</v>
      </c>
    </row>
    <row r="8806" ht="16.5" customHeight="1">
      <c r="O8806" s="5" t="s">
        <v>355</v>
      </c>
      <c r="P8806" s="5" t="s">
        <v>355</v>
      </c>
      <c r="Q8806" s="5" t="s">
        <v>355</v>
      </c>
    </row>
    <row r="8807" ht="16.5" customHeight="1">
      <c r="O8807" s="5" t="s">
        <v>355</v>
      </c>
      <c r="P8807" s="5" t="s">
        <v>355</v>
      </c>
      <c r="Q8807" s="5" t="s">
        <v>355</v>
      </c>
    </row>
    <row r="8808" ht="16.5" customHeight="1">
      <c r="O8808" s="5" t="s">
        <v>355</v>
      </c>
      <c r="P8808" s="5" t="s">
        <v>355</v>
      </c>
      <c r="Q8808" s="5" t="s">
        <v>355</v>
      </c>
    </row>
    <row r="8809" ht="16.5" customHeight="1">
      <c r="O8809" s="5" t="s">
        <v>355</v>
      </c>
      <c r="P8809" s="5" t="s">
        <v>355</v>
      </c>
      <c r="Q8809" s="5" t="s">
        <v>355</v>
      </c>
    </row>
    <row r="8810" ht="16.5" customHeight="1">
      <c r="O8810" s="5" t="s">
        <v>355</v>
      </c>
      <c r="P8810" s="5" t="s">
        <v>355</v>
      </c>
      <c r="Q8810" s="5" t="s">
        <v>355</v>
      </c>
    </row>
    <row r="8811" ht="16.5" customHeight="1">
      <c r="O8811" s="5" t="s">
        <v>355</v>
      </c>
      <c r="P8811" s="5" t="s">
        <v>355</v>
      </c>
      <c r="Q8811" s="5" t="s">
        <v>355</v>
      </c>
    </row>
    <row r="8812" ht="16.5" customHeight="1">
      <c r="O8812" s="5" t="s">
        <v>355</v>
      </c>
      <c r="P8812" s="5" t="s">
        <v>355</v>
      </c>
      <c r="Q8812" s="5" t="s">
        <v>355</v>
      </c>
    </row>
    <row r="8813" ht="16.5" customHeight="1">
      <c r="O8813" s="5" t="s">
        <v>355</v>
      </c>
      <c r="P8813" s="5" t="s">
        <v>355</v>
      </c>
      <c r="Q8813" s="5" t="s">
        <v>355</v>
      </c>
    </row>
    <row r="8814" ht="16.5" customHeight="1">
      <c r="O8814" s="5" t="s">
        <v>355</v>
      </c>
      <c r="P8814" s="5" t="s">
        <v>355</v>
      </c>
      <c r="Q8814" s="5" t="s">
        <v>355</v>
      </c>
    </row>
    <row r="8815" ht="16.5" customHeight="1">
      <c r="O8815" s="5" t="s">
        <v>355</v>
      </c>
      <c r="P8815" s="5" t="s">
        <v>355</v>
      </c>
      <c r="Q8815" s="5" t="s">
        <v>355</v>
      </c>
    </row>
    <row r="8816" ht="16.5" customHeight="1">
      <c r="O8816" s="5" t="s">
        <v>355</v>
      </c>
      <c r="P8816" s="5" t="s">
        <v>355</v>
      </c>
      <c r="Q8816" s="5" t="s">
        <v>355</v>
      </c>
    </row>
    <row r="8817" ht="16.5" customHeight="1">
      <c r="O8817" s="5" t="s">
        <v>355</v>
      </c>
      <c r="P8817" s="5" t="s">
        <v>355</v>
      </c>
      <c r="Q8817" s="5" t="s">
        <v>355</v>
      </c>
    </row>
    <row r="8818" ht="16.5" customHeight="1">
      <c r="O8818" s="5" t="s">
        <v>355</v>
      </c>
      <c r="P8818" s="5" t="s">
        <v>355</v>
      </c>
      <c r="Q8818" s="5" t="s">
        <v>355</v>
      </c>
    </row>
    <row r="8819" ht="16.5" customHeight="1">
      <c r="O8819" s="5" t="s">
        <v>355</v>
      </c>
      <c r="P8819" s="5" t="s">
        <v>355</v>
      </c>
      <c r="Q8819" s="5" t="s">
        <v>355</v>
      </c>
    </row>
    <row r="8820" ht="16.5" customHeight="1">
      <c r="O8820" s="5" t="s">
        <v>355</v>
      </c>
      <c r="P8820" s="5" t="s">
        <v>355</v>
      </c>
      <c r="Q8820" s="5" t="s">
        <v>355</v>
      </c>
    </row>
    <row r="8821" ht="16.5" customHeight="1">
      <c r="O8821" s="5" t="s">
        <v>355</v>
      </c>
      <c r="P8821" s="5" t="s">
        <v>355</v>
      </c>
      <c r="Q8821" s="5" t="s">
        <v>355</v>
      </c>
    </row>
    <row r="8822" ht="16.5" customHeight="1">
      <c r="O8822" s="5" t="s">
        <v>355</v>
      </c>
      <c r="P8822" s="5" t="s">
        <v>355</v>
      </c>
      <c r="Q8822" s="5" t="s">
        <v>355</v>
      </c>
    </row>
    <row r="8823" ht="16.5" customHeight="1">
      <c r="O8823" s="5" t="s">
        <v>355</v>
      </c>
      <c r="P8823" s="5" t="s">
        <v>355</v>
      </c>
      <c r="Q8823" s="5" t="s">
        <v>355</v>
      </c>
    </row>
    <row r="8824" ht="16.5" customHeight="1">
      <c r="O8824" s="5" t="s">
        <v>355</v>
      </c>
      <c r="P8824" s="5" t="s">
        <v>355</v>
      </c>
      <c r="Q8824" s="5" t="s">
        <v>355</v>
      </c>
    </row>
    <row r="8825" ht="16.5" customHeight="1">
      <c r="O8825" s="5" t="s">
        <v>355</v>
      </c>
      <c r="P8825" s="5" t="s">
        <v>355</v>
      </c>
      <c r="Q8825" s="5" t="s">
        <v>355</v>
      </c>
    </row>
    <row r="8826" ht="16.5" customHeight="1">
      <c r="O8826" s="5" t="s">
        <v>355</v>
      </c>
      <c r="P8826" s="5" t="s">
        <v>355</v>
      </c>
      <c r="Q8826" s="5" t="s">
        <v>355</v>
      </c>
    </row>
    <row r="8827" ht="16.5" customHeight="1">
      <c r="O8827" s="5" t="s">
        <v>355</v>
      </c>
      <c r="P8827" s="5" t="s">
        <v>355</v>
      </c>
      <c r="Q8827" s="5" t="s">
        <v>355</v>
      </c>
    </row>
    <row r="8828" ht="16.5" customHeight="1">
      <c r="O8828" s="5" t="s">
        <v>355</v>
      </c>
      <c r="P8828" s="5" t="s">
        <v>355</v>
      </c>
      <c r="Q8828" s="5" t="s">
        <v>355</v>
      </c>
    </row>
    <row r="8829" ht="16.5" customHeight="1">
      <c r="O8829" s="5" t="s">
        <v>355</v>
      </c>
      <c r="P8829" s="5" t="s">
        <v>355</v>
      </c>
      <c r="Q8829" s="5" t="s">
        <v>355</v>
      </c>
    </row>
    <row r="8830" ht="16.5" customHeight="1">
      <c r="O8830" s="5" t="s">
        <v>355</v>
      </c>
      <c r="P8830" s="5" t="s">
        <v>355</v>
      </c>
      <c r="Q8830" s="5" t="s">
        <v>355</v>
      </c>
    </row>
    <row r="8831" ht="16.5" customHeight="1">
      <c r="O8831" s="5" t="s">
        <v>355</v>
      </c>
      <c r="P8831" s="5" t="s">
        <v>355</v>
      </c>
      <c r="Q8831" s="5" t="s">
        <v>355</v>
      </c>
    </row>
    <row r="8832" ht="16.5" customHeight="1">
      <c r="O8832" s="5" t="s">
        <v>355</v>
      </c>
      <c r="P8832" s="5" t="s">
        <v>355</v>
      </c>
      <c r="Q8832" s="5" t="s">
        <v>355</v>
      </c>
    </row>
    <row r="8833" ht="16.5" customHeight="1">
      <c r="O8833" s="5" t="s">
        <v>355</v>
      </c>
      <c r="P8833" s="5" t="s">
        <v>355</v>
      </c>
      <c r="Q8833" s="5" t="s">
        <v>355</v>
      </c>
    </row>
    <row r="8834" ht="16.5" customHeight="1">
      <c r="O8834" s="5" t="s">
        <v>355</v>
      </c>
      <c r="P8834" s="5" t="s">
        <v>355</v>
      </c>
      <c r="Q8834" s="5" t="s">
        <v>355</v>
      </c>
    </row>
    <row r="8835" ht="16.5" customHeight="1">
      <c r="O8835" s="5" t="s">
        <v>355</v>
      </c>
      <c r="P8835" s="5" t="s">
        <v>355</v>
      </c>
      <c r="Q8835" s="5" t="s">
        <v>355</v>
      </c>
    </row>
    <row r="8836" ht="16.5" customHeight="1">
      <c r="O8836" s="5" t="s">
        <v>355</v>
      </c>
      <c r="P8836" s="5" t="s">
        <v>355</v>
      </c>
      <c r="Q8836" s="5" t="s">
        <v>355</v>
      </c>
    </row>
    <row r="8837" ht="16.5" customHeight="1">
      <c r="O8837" s="5" t="s">
        <v>355</v>
      </c>
      <c r="P8837" s="5" t="s">
        <v>355</v>
      </c>
      <c r="Q8837" s="5" t="s">
        <v>355</v>
      </c>
    </row>
    <row r="8838" ht="16.5" customHeight="1">
      <c r="O8838" s="5" t="s">
        <v>355</v>
      </c>
      <c r="P8838" s="5" t="s">
        <v>355</v>
      </c>
      <c r="Q8838" s="5" t="s">
        <v>355</v>
      </c>
    </row>
    <row r="8839" ht="16.5" customHeight="1">
      <c r="O8839" s="5" t="s">
        <v>355</v>
      </c>
      <c r="P8839" s="5" t="s">
        <v>355</v>
      </c>
      <c r="Q8839" s="5" t="s">
        <v>355</v>
      </c>
    </row>
    <row r="8840" ht="16.5" customHeight="1">
      <c r="O8840" s="5" t="s">
        <v>355</v>
      </c>
      <c r="P8840" s="5" t="s">
        <v>355</v>
      </c>
      <c r="Q8840" s="5" t="s">
        <v>355</v>
      </c>
    </row>
    <row r="8841" ht="16.5" customHeight="1">
      <c r="O8841" s="5" t="s">
        <v>355</v>
      </c>
      <c r="P8841" s="5" t="s">
        <v>355</v>
      </c>
      <c r="Q8841" s="5" t="s">
        <v>355</v>
      </c>
    </row>
    <row r="8842" ht="16.5" customHeight="1">
      <c r="O8842" s="5" t="s">
        <v>355</v>
      </c>
      <c r="P8842" s="5" t="s">
        <v>355</v>
      </c>
      <c r="Q8842" s="5" t="s">
        <v>355</v>
      </c>
    </row>
    <row r="8843" ht="16.5" customHeight="1">
      <c r="O8843" s="5" t="s">
        <v>355</v>
      </c>
      <c r="P8843" s="5" t="s">
        <v>355</v>
      </c>
      <c r="Q8843" s="5" t="s">
        <v>355</v>
      </c>
    </row>
    <row r="8844" ht="16.5" customHeight="1">
      <c r="O8844" s="5" t="s">
        <v>355</v>
      </c>
      <c r="P8844" s="5" t="s">
        <v>355</v>
      </c>
      <c r="Q8844" s="5" t="s">
        <v>355</v>
      </c>
    </row>
    <row r="8845" ht="16.5" customHeight="1">
      <c r="O8845" s="5" t="s">
        <v>355</v>
      </c>
      <c r="P8845" s="5" t="s">
        <v>355</v>
      </c>
      <c r="Q8845" s="5" t="s">
        <v>355</v>
      </c>
    </row>
    <row r="8846" ht="16.5" customHeight="1">
      <c r="O8846" s="5" t="s">
        <v>355</v>
      </c>
      <c r="P8846" s="5" t="s">
        <v>355</v>
      </c>
      <c r="Q8846" s="5" t="s">
        <v>355</v>
      </c>
    </row>
    <row r="8847" ht="16.5" customHeight="1">
      <c r="O8847" s="5" t="s">
        <v>355</v>
      </c>
      <c r="P8847" s="5" t="s">
        <v>355</v>
      </c>
      <c r="Q8847" s="5" t="s">
        <v>355</v>
      </c>
    </row>
    <row r="8848" ht="16.5" customHeight="1">
      <c r="O8848" s="5" t="s">
        <v>355</v>
      </c>
      <c r="P8848" s="5" t="s">
        <v>355</v>
      </c>
      <c r="Q8848" s="5" t="s">
        <v>355</v>
      </c>
    </row>
    <row r="8849" ht="16.5" customHeight="1">
      <c r="O8849" s="5" t="s">
        <v>355</v>
      </c>
      <c r="P8849" s="5" t="s">
        <v>355</v>
      </c>
      <c r="Q8849" s="5" t="s">
        <v>355</v>
      </c>
    </row>
    <row r="8850" ht="16.5" customHeight="1">
      <c r="O8850" s="5" t="s">
        <v>355</v>
      </c>
      <c r="P8850" s="5" t="s">
        <v>355</v>
      </c>
      <c r="Q8850" s="5" t="s">
        <v>355</v>
      </c>
    </row>
    <row r="8851" ht="16.5" customHeight="1">
      <c r="O8851" s="5" t="s">
        <v>355</v>
      </c>
      <c r="P8851" s="5" t="s">
        <v>355</v>
      </c>
      <c r="Q8851" s="5" t="s">
        <v>355</v>
      </c>
    </row>
    <row r="8852" ht="16.5" customHeight="1">
      <c r="O8852" s="5" t="s">
        <v>355</v>
      </c>
      <c r="P8852" s="5" t="s">
        <v>355</v>
      </c>
      <c r="Q8852" s="5" t="s">
        <v>355</v>
      </c>
    </row>
    <row r="8853" ht="16.5" customHeight="1">
      <c r="O8853" s="5" t="s">
        <v>355</v>
      </c>
      <c r="P8853" s="5" t="s">
        <v>355</v>
      </c>
      <c r="Q8853" s="5" t="s">
        <v>355</v>
      </c>
    </row>
    <row r="8854" ht="16.5" customHeight="1">
      <c r="O8854" s="5" t="s">
        <v>355</v>
      </c>
      <c r="P8854" s="5" t="s">
        <v>355</v>
      </c>
      <c r="Q8854" s="5" t="s">
        <v>355</v>
      </c>
    </row>
    <row r="8855" ht="16.5" customHeight="1">
      <c r="O8855" s="5" t="s">
        <v>355</v>
      </c>
      <c r="P8855" s="5" t="s">
        <v>355</v>
      </c>
      <c r="Q8855" s="5" t="s">
        <v>355</v>
      </c>
    </row>
    <row r="8856" ht="16.5" customHeight="1">
      <c r="O8856" s="5" t="s">
        <v>355</v>
      </c>
      <c r="P8856" s="5" t="s">
        <v>355</v>
      </c>
      <c r="Q8856" s="5" t="s">
        <v>355</v>
      </c>
    </row>
    <row r="8857" ht="16.5" customHeight="1">
      <c r="O8857" s="5" t="s">
        <v>355</v>
      </c>
      <c r="P8857" s="5" t="s">
        <v>355</v>
      </c>
      <c r="Q8857" s="5" t="s">
        <v>355</v>
      </c>
    </row>
    <row r="8858" ht="16.5" customHeight="1">
      <c r="O8858" s="5" t="s">
        <v>355</v>
      </c>
      <c r="P8858" s="5" t="s">
        <v>355</v>
      </c>
      <c r="Q8858" s="5" t="s">
        <v>355</v>
      </c>
    </row>
    <row r="8859" ht="16.5" customHeight="1">
      <c r="O8859" s="5" t="s">
        <v>355</v>
      </c>
      <c r="P8859" s="5" t="s">
        <v>355</v>
      </c>
      <c r="Q8859" s="5" t="s">
        <v>355</v>
      </c>
    </row>
    <row r="8860" ht="16.5" customHeight="1">
      <c r="O8860" s="5" t="s">
        <v>355</v>
      </c>
      <c r="P8860" s="5" t="s">
        <v>355</v>
      </c>
      <c r="Q8860" s="5" t="s">
        <v>355</v>
      </c>
    </row>
    <row r="8861" ht="16.5" customHeight="1">
      <c r="O8861" s="5" t="s">
        <v>355</v>
      </c>
      <c r="P8861" s="5" t="s">
        <v>355</v>
      </c>
      <c r="Q8861" s="5" t="s">
        <v>355</v>
      </c>
    </row>
    <row r="8862" ht="16.5" customHeight="1">
      <c r="O8862" s="5" t="s">
        <v>355</v>
      </c>
      <c r="P8862" s="5" t="s">
        <v>355</v>
      </c>
      <c r="Q8862" s="5" t="s">
        <v>355</v>
      </c>
    </row>
    <row r="8863" ht="16.5" customHeight="1">
      <c r="O8863" s="5" t="s">
        <v>355</v>
      </c>
      <c r="P8863" s="5" t="s">
        <v>355</v>
      </c>
      <c r="Q8863" s="5" t="s">
        <v>355</v>
      </c>
    </row>
    <row r="8864" ht="16.5" customHeight="1">
      <c r="O8864" s="5" t="s">
        <v>355</v>
      </c>
      <c r="P8864" s="5" t="s">
        <v>355</v>
      </c>
      <c r="Q8864" s="5" t="s">
        <v>355</v>
      </c>
    </row>
    <row r="8865" ht="16.5" customHeight="1">
      <c r="O8865" s="5" t="s">
        <v>355</v>
      </c>
      <c r="P8865" s="5" t="s">
        <v>355</v>
      </c>
      <c r="Q8865" s="5" t="s">
        <v>355</v>
      </c>
    </row>
    <row r="8866" ht="16.5" customHeight="1">
      <c r="O8866" s="5" t="s">
        <v>355</v>
      </c>
      <c r="P8866" s="5" t="s">
        <v>355</v>
      </c>
      <c r="Q8866" s="5" t="s">
        <v>355</v>
      </c>
    </row>
    <row r="8867" ht="16.5" customHeight="1">
      <c r="O8867" s="5" t="s">
        <v>355</v>
      </c>
      <c r="P8867" s="5" t="s">
        <v>355</v>
      </c>
      <c r="Q8867" s="5" t="s">
        <v>355</v>
      </c>
    </row>
    <row r="8868" ht="16.5" customHeight="1">
      <c r="O8868" s="5" t="s">
        <v>355</v>
      </c>
      <c r="P8868" s="5" t="s">
        <v>355</v>
      </c>
      <c r="Q8868" s="5" t="s">
        <v>355</v>
      </c>
    </row>
    <row r="8869" ht="16.5" customHeight="1">
      <c r="O8869" s="5" t="s">
        <v>355</v>
      </c>
      <c r="P8869" s="5" t="s">
        <v>355</v>
      </c>
      <c r="Q8869" s="5" t="s">
        <v>355</v>
      </c>
    </row>
    <row r="8870" ht="16.5" customHeight="1">
      <c r="O8870" s="5" t="s">
        <v>355</v>
      </c>
      <c r="P8870" s="5" t="s">
        <v>355</v>
      </c>
      <c r="Q8870" s="5" t="s">
        <v>355</v>
      </c>
    </row>
    <row r="8871" ht="16.5" customHeight="1">
      <c r="O8871" s="5" t="s">
        <v>355</v>
      </c>
      <c r="P8871" s="5" t="s">
        <v>355</v>
      </c>
      <c r="Q8871" s="5" t="s">
        <v>355</v>
      </c>
    </row>
    <row r="8872" ht="16.5" customHeight="1">
      <c r="O8872" s="5" t="s">
        <v>355</v>
      </c>
      <c r="P8872" s="5" t="s">
        <v>355</v>
      </c>
      <c r="Q8872" s="5" t="s">
        <v>355</v>
      </c>
    </row>
    <row r="8873" ht="16.5" customHeight="1">
      <c r="O8873" s="5" t="s">
        <v>355</v>
      </c>
      <c r="P8873" s="5" t="s">
        <v>355</v>
      </c>
      <c r="Q8873" s="5" t="s">
        <v>355</v>
      </c>
    </row>
    <row r="8874" ht="16.5" customHeight="1">
      <c r="O8874" s="5" t="s">
        <v>355</v>
      </c>
      <c r="P8874" s="5" t="s">
        <v>355</v>
      </c>
      <c r="Q8874" s="5" t="s">
        <v>355</v>
      </c>
    </row>
    <row r="8875" ht="16.5" customHeight="1">
      <c r="O8875" s="5" t="s">
        <v>355</v>
      </c>
      <c r="P8875" s="5" t="s">
        <v>355</v>
      </c>
      <c r="Q8875" s="5" t="s">
        <v>355</v>
      </c>
    </row>
    <row r="8876" ht="16.5" customHeight="1">
      <c r="O8876" s="5" t="s">
        <v>355</v>
      </c>
      <c r="P8876" s="5" t="s">
        <v>355</v>
      </c>
      <c r="Q8876" s="5" t="s">
        <v>355</v>
      </c>
    </row>
    <row r="8877" ht="16.5" customHeight="1">
      <c r="O8877" s="5" t="s">
        <v>355</v>
      </c>
      <c r="P8877" s="5" t="s">
        <v>355</v>
      </c>
      <c r="Q8877" s="5" t="s">
        <v>355</v>
      </c>
    </row>
    <row r="8878" ht="16.5" customHeight="1">
      <c r="O8878" s="5" t="s">
        <v>355</v>
      </c>
      <c r="P8878" s="5" t="s">
        <v>355</v>
      </c>
      <c r="Q8878" s="5" t="s">
        <v>355</v>
      </c>
    </row>
    <row r="8879" ht="16.5" customHeight="1">
      <c r="O8879" s="5" t="s">
        <v>355</v>
      </c>
      <c r="P8879" s="5" t="s">
        <v>355</v>
      </c>
      <c r="Q8879" s="5" t="s">
        <v>355</v>
      </c>
    </row>
    <row r="8880" ht="16.5" customHeight="1">
      <c r="O8880" s="5" t="s">
        <v>355</v>
      </c>
      <c r="P8880" s="5" t="s">
        <v>355</v>
      </c>
      <c r="Q8880" s="5" t="s">
        <v>355</v>
      </c>
    </row>
    <row r="8881" ht="16.5" customHeight="1">
      <c r="O8881" s="5" t="s">
        <v>355</v>
      </c>
      <c r="P8881" s="5" t="s">
        <v>355</v>
      </c>
      <c r="Q8881" s="5" t="s">
        <v>355</v>
      </c>
    </row>
    <row r="8882" ht="16.5" customHeight="1">
      <c r="O8882" s="5" t="s">
        <v>355</v>
      </c>
      <c r="P8882" s="5" t="s">
        <v>355</v>
      </c>
      <c r="Q8882" s="5" t="s">
        <v>355</v>
      </c>
    </row>
    <row r="8883" ht="16.5" customHeight="1">
      <c r="O8883" s="5" t="s">
        <v>355</v>
      </c>
      <c r="P8883" s="5" t="s">
        <v>355</v>
      </c>
      <c r="Q8883" s="5" t="s">
        <v>355</v>
      </c>
    </row>
    <row r="8884" ht="16.5" customHeight="1">
      <c r="O8884" s="5" t="s">
        <v>355</v>
      </c>
      <c r="P8884" s="5" t="s">
        <v>355</v>
      </c>
      <c r="Q8884" s="5" t="s">
        <v>355</v>
      </c>
    </row>
    <row r="8885" ht="16.5" customHeight="1">
      <c r="O8885" s="5" t="s">
        <v>355</v>
      </c>
      <c r="P8885" s="5" t="s">
        <v>355</v>
      </c>
      <c r="Q8885" s="5" t="s">
        <v>355</v>
      </c>
    </row>
    <row r="8886" ht="16.5" customHeight="1">
      <c r="O8886" s="5" t="s">
        <v>355</v>
      </c>
      <c r="P8886" s="5" t="s">
        <v>355</v>
      </c>
      <c r="Q8886" s="5" t="s">
        <v>355</v>
      </c>
    </row>
    <row r="8887" ht="16.5" customHeight="1">
      <c r="O8887" s="5" t="s">
        <v>355</v>
      </c>
      <c r="P8887" s="5" t="s">
        <v>355</v>
      </c>
      <c r="Q8887" s="5" t="s">
        <v>355</v>
      </c>
    </row>
    <row r="8888" ht="16.5" customHeight="1">
      <c r="O8888" s="5" t="s">
        <v>355</v>
      </c>
      <c r="P8888" s="5" t="s">
        <v>355</v>
      </c>
      <c r="Q8888" s="5" t="s">
        <v>355</v>
      </c>
    </row>
    <row r="8889" ht="16.5" customHeight="1">
      <c r="O8889" s="5" t="s">
        <v>355</v>
      </c>
      <c r="P8889" s="5" t="s">
        <v>355</v>
      </c>
      <c r="Q8889" s="5" t="s">
        <v>355</v>
      </c>
    </row>
    <row r="8890" ht="16.5" customHeight="1">
      <c r="O8890" s="5" t="s">
        <v>355</v>
      </c>
      <c r="P8890" s="5" t="s">
        <v>355</v>
      </c>
      <c r="Q8890" s="5" t="s">
        <v>355</v>
      </c>
    </row>
    <row r="8891" ht="16.5" customHeight="1">
      <c r="O8891" s="5" t="s">
        <v>355</v>
      </c>
      <c r="P8891" s="5" t="s">
        <v>355</v>
      </c>
      <c r="Q8891" s="5" t="s">
        <v>355</v>
      </c>
    </row>
    <row r="8892" ht="16.5" customHeight="1">
      <c r="O8892" s="5" t="s">
        <v>355</v>
      </c>
      <c r="P8892" s="5" t="s">
        <v>355</v>
      </c>
      <c r="Q8892" s="5" t="s">
        <v>355</v>
      </c>
    </row>
    <row r="8893" ht="16.5" customHeight="1">
      <c r="O8893" s="5" t="s">
        <v>355</v>
      </c>
      <c r="P8893" s="5" t="s">
        <v>355</v>
      </c>
      <c r="Q8893" s="5" t="s">
        <v>355</v>
      </c>
    </row>
    <row r="8894" ht="16.5" customHeight="1">
      <c r="O8894" s="5" t="s">
        <v>355</v>
      </c>
      <c r="P8894" s="5" t="s">
        <v>355</v>
      </c>
      <c r="Q8894" s="5" t="s">
        <v>355</v>
      </c>
    </row>
    <row r="8895" ht="16.5" customHeight="1">
      <c r="O8895" s="5" t="s">
        <v>355</v>
      </c>
      <c r="P8895" s="5" t="s">
        <v>355</v>
      </c>
      <c r="Q8895" s="5" t="s">
        <v>355</v>
      </c>
    </row>
    <row r="8896" ht="16.5" customHeight="1">
      <c r="O8896" s="5" t="s">
        <v>355</v>
      </c>
      <c r="P8896" s="5" t="s">
        <v>355</v>
      </c>
      <c r="Q8896" s="5" t="s">
        <v>355</v>
      </c>
    </row>
    <row r="8897" ht="16.5" customHeight="1">
      <c r="O8897" s="5" t="s">
        <v>355</v>
      </c>
      <c r="P8897" s="5" t="s">
        <v>355</v>
      </c>
      <c r="Q8897" s="5" t="s">
        <v>355</v>
      </c>
    </row>
    <row r="8898" ht="16.5" customHeight="1">
      <c r="O8898" s="5" t="s">
        <v>355</v>
      </c>
      <c r="P8898" s="5" t="s">
        <v>355</v>
      </c>
      <c r="Q8898" s="5" t="s">
        <v>355</v>
      </c>
    </row>
    <row r="8899" ht="16.5" customHeight="1">
      <c r="O8899" s="5" t="s">
        <v>355</v>
      </c>
      <c r="P8899" s="5" t="s">
        <v>355</v>
      </c>
      <c r="Q8899" s="5" t="s">
        <v>355</v>
      </c>
    </row>
    <row r="8900" ht="16.5" customHeight="1">
      <c r="O8900" s="5" t="s">
        <v>355</v>
      </c>
      <c r="P8900" s="5" t="s">
        <v>355</v>
      </c>
      <c r="Q8900" s="5" t="s">
        <v>355</v>
      </c>
    </row>
    <row r="8901" ht="16.5" customHeight="1">
      <c r="O8901" s="5" t="s">
        <v>355</v>
      </c>
      <c r="P8901" s="5" t="s">
        <v>355</v>
      </c>
      <c r="Q8901" s="5" t="s">
        <v>355</v>
      </c>
    </row>
    <row r="8902" ht="16.5" customHeight="1">
      <c r="O8902" s="5" t="s">
        <v>355</v>
      </c>
      <c r="P8902" s="5" t="s">
        <v>355</v>
      </c>
      <c r="Q8902" s="5" t="s">
        <v>355</v>
      </c>
    </row>
    <row r="8903" ht="16.5" customHeight="1">
      <c r="O8903" s="5" t="s">
        <v>355</v>
      </c>
      <c r="P8903" s="5" t="s">
        <v>355</v>
      </c>
      <c r="Q8903" s="5" t="s">
        <v>355</v>
      </c>
    </row>
    <row r="8904" ht="16.5" customHeight="1">
      <c r="O8904" s="5" t="s">
        <v>355</v>
      </c>
      <c r="P8904" s="5" t="s">
        <v>355</v>
      </c>
      <c r="Q8904" s="5" t="s">
        <v>355</v>
      </c>
    </row>
    <row r="8905" ht="16.5" customHeight="1">
      <c r="O8905" s="5" t="s">
        <v>355</v>
      </c>
      <c r="P8905" s="5" t="s">
        <v>355</v>
      </c>
      <c r="Q8905" s="5" t="s">
        <v>355</v>
      </c>
    </row>
    <row r="8906" ht="16.5" customHeight="1">
      <c r="O8906" s="5" t="s">
        <v>355</v>
      </c>
      <c r="P8906" s="5" t="s">
        <v>355</v>
      </c>
      <c r="Q8906" s="5" t="s">
        <v>355</v>
      </c>
    </row>
    <row r="8907" ht="16.5" customHeight="1">
      <c r="O8907" s="5" t="s">
        <v>355</v>
      </c>
      <c r="P8907" s="5" t="s">
        <v>355</v>
      </c>
      <c r="Q8907" s="5" t="s">
        <v>355</v>
      </c>
    </row>
    <row r="8908" ht="16.5" customHeight="1">
      <c r="O8908" s="5" t="s">
        <v>355</v>
      </c>
      <c r="P8908" s="5" t="s">
        <v>355</v>
      </c>
      <c r="Q8908" s="5" t="s">
        <v>355</v>
      </c>
    </row>
    <row r="8909" ht="16.5" customHeight="1">
      <c r="O8909" s="5" t="s">
        <v>355</v>
      </c>
      <c r="P8909" s="5" t="s">
        <v>355</v>
      </c>
      <c r="Q8909" s="5" t="s">
        <v>355</v>
      </c>
    </row>
    <row r="8910" ht="16.5" customHeight="1">
      <c r="O8910" s="5" t="s">
        <v>355</v>
      </c>
      <c r="P8910" s="5" t="s">
        <v>355</v>
      </c>
      <c r="Q8910" s="5" t="s">
        <v>355</v>
      </c>
    </row>
    <row r="8911" ht="16.5" customHeight="1">
      <c r="O8911" s="5" t="s">
        <v>355</v>
      </c>
      <c r="P8911" s="5" t="s">
        <v>355</v>
      </c>
      <c r="Q8911" s="5" t="s">
        <v>355</v>
      </c>
    </row>
    <row r="8912" ht="16.5" customHeight="1">
      <c r="O8912" s="5" t="s">
        <v>355</v>
      </c>
      <c r="P8912" s="5" t="s">
        <v>355</v>
      </c>
      <c r="Q8912" s="5" t="s">
        <v>355</v>
      </c>
    </row>
    <row r="8913" ht="16.5" customHeight="1">
      <c r="O8913" s="5" t="s">
        <v>355</v>
      </c>
      <c r="P8913" s="5" t="s">
        <v>355</v>
      </c>
      <c r="Q8913" s="5" t="s">
        <v>355</v>
      </c>
    </row>
    <row r="8914" ht="16.5" customHeight="1">
      <c r="O8914" s="5" t="s">
        <v>355</v>
      </c>
      <c r="P8914" s="5" t="s">
        <v>355</v>
      </c>
      <c r="Q8914" s="5" t="s">
        <v>355</v>
      </c>
    </row>
    <row r="8915" ht="16.5" customHeight="1">
      <c r="O8915" s="5" t="s">
        <v>355</v>
      </c>
      <c r="P8915" s="5" t="s">
        <v>355</v>
      </c>
      <c r="Q8915" s="5" t="s">
        <v>355</v>
      </c>
    </row>
    <row r="8916" ht="16.5" customHeight="1">
      <c r="O8916" s="5" t="s">
        <v>355</v>
      </c>
      <c r="P8916" s="5" t="s">
        <v>355</v>
      </c>
      <c r="Q8916" s="5" t="s">
        <v>355</v>
      </c>
    </row>
    <row r="8917" ht="16.5" customHeight="1">
      <c r="O8917" s="5" t="s">
        <v>355</v>
      </c>
      <c r="P8917" s="5" t="s">
        <v>355</v>
      </c>
      <c r="Q8917" s="5" t="s">
        <v>355</v>
      </c>
    </row>
    <row r="8918" ht="16.5" customHeight="1">
      <c r="O8918" s="5" t="s">
        <v>355</v>
      </c>
      <c r="P8918" s="5" t="s">
        <v>355</v>
      </c>
      <c r="Q8918" s="5" t="s">
        <v>355</v>
      </c>
    </row>
    <row r="8919" ht="16.5" customHeight="1">
      <c r="O8919" s="5" t="s">
        <v>355</v>
      </c>
      <c r="P8919" s="5" t="s">
        <v>355</v>
      </c>
      <c r="Q8919" s="5" t="s">
        <v>355</v>
      </c>
    </row>
    <row r="8920" ht="16.5" customHeight="1">
      <c r="O8920" s="5" t="s">
        <v>355</v>
      </c>
      <c r="P8920" s="5" t="s">
        <v>355</v>
      </c>
      <c r="Q8920" s="5" t="s">
        <v>355</v>
      </c>
    </row>
    <row r="8921" ht="16.5" customHeight="1">
      <c r="O8921" s="5" t="s">
        <v>355</v>
      </c>
      <c r="P8921" s="5" t="s">
        <v>355</v>
      </c>
      <c r="Q8921" s="5" t="s">
        <v>355</v>
      </c>
    </row>
    <row r="8922" ht="16.5" customHeight="1">
      <c r="O8922" s="5" t="s">
        <v>355</v>
      </c>
      <c r="P8922" s="5" t="s">
        <v>355</v>
      </c>
      <c r="Q8922" s="5" t="s">
        <v>355</v>
      </c>
    </row>
    <row r="8923" ht="16.5" customHeight="1">
      <c r="O8923" s="5" t="s">
        <v>355</v>
      </c>
      <c r="P8923" s="5" t="s">
        <v>355</v>
      </c>
      <c r="Q8923" s="5" t="s">
        <v>355</v>
      </c>
    </row>
    <row r="8924" ht="16.5" customHeight="1">
      <c r="O8924" s="5" t="s">
        <v>355</v>
      </c>
      <c r="P8924" s="5" t="s">
        <v>355</v>
      </c>
      <c r="Q8924" s="5" t="s">
        <v>355</v>
      </c>
    </row>
    <row r="8925" ht="16.5" customHeight="1">
      <c r="O8925" s="5" t="s">
        <v>355</v>
      </c>
      <c r="P8925" s="5" t="s">
        <v>355</v>
      </c>
      <c r="Q8925" s="5" t="s">
        <v>355</v>
      </c>
    </row>
    <row r="8926" ht="16.5" customHeight="1">
      <c r="O8926" s="5" t="s">
        <v>355</v>
      </c>
      <c r="P8926" s="5" t="s">
        <v>355</v>
      </c>
      <c r="Q8926" s="5" t="s">
        <v>355</v>
      </c>
    </row>
    <row r="8927" ht="16.5" customHeight="1">
      <c r="O8927" s="5" t="s">
        <v>355</v>
      </c>
      <c r="P8927" s="5" t="s">
        <v>355</v>
      </c>
      <c r="Q8927" s="5" t="s">
        <v>355</v>
      </c>
    </row>
    <row r="8928" ht="16.5" customHeight="1">
      <c r="O8928" s="5" t="s">
        <v>355</v>
      </c>
      <c r="P8928" s="5" t="s">
        <v>355</v>
      </c>
      <c r="Q8928" s="5" t="s">
        <v>355</v>
      </c>
    </row>
    <row r="8929" ht="16.5" customHeight="1">
      <c r="O8929" s="5" t="s">
        <v>355</v>
      </c>
      <c r="P8929" s="5" t="s">
        <v>355</v>
      </c>
      <c r="Q8929" s="5" t="s">
        <v>355</v>
      </c>
    </row>
    <row r="8930" ht="16.5" customHeight="1">
      <c r="O8930" s="5" t="s">
        <v>355</v>
      </c>
      <c r="P8930" s="5" t="s">
        <v>355</v>
      </c>
      <c r="Q8930" s="5" t="s">
        <v>355</v>
      </c>
    </row>
    <row r="8931" ht="16.5" customHeight="1">
      <c r="O8931" s="5" t="s">
        <v>355</v>
      </c>
      <c r="P8931" s="5" t="s">
        <v>355</v>
      </c>
      <c r="Q8931" s="5" t="s">
        <v>355</v>
      </c>
    </row>
    <row r="8932" ht="16.5" customHeight="1">
      <c r="O8932" s="5" t="s">
        <v>355</v>
      </c>
      <c r="P8932" s="5" t="s">
        <v>355</v>
      </c>
      <c r="Q8932" s="5" t="s">
        <v>355</v>
      </c>
    </row>
    <row r="8933" ht="16.5" customHeight="1">
      <c r="O8933" s="5" t="s">
        <v>355</v>
      </c>
      <c r="P8933" s="5" t="s">
        <v>355</v>
      </c>
      <c r="Q8933" s="5" t="s">
        <v>355</v>
      </c>
    </row>
    <row r="8934" ht="16.5" customHeight="1">
      <c r="O8934" s="5" t="s">
        <v>355</v>
      </c>
      <c r="P8934" s="5" t="s">
        <v>355</v>
      </c>
      <c r="Q8934" s="5" t="s">
        <v>355</v>
      </c>
    </row>
    <row r="8935" ht="16.5" customHeight="1">
      <c r="O8935" s="5" t="s">
        <v>355</v>
      </c>
      <c r="P8935" s="5" t="s">
        <v>355</v>
      </c>
      <c r="Q8935" s="5" t="s">
        <v>355</v>
      </c>
    </row>
    <row r="8936" ht="16.5" customHeight="1">
      <c r="O8936" s="5" t="s">
        <v>355</v>
      </c>
      <c r="P8936" s="5" t="s">
        <v>355</v>
      </c>
      <c r="Q8936" s="5" t="s">
        <v>355</v>
      </c>
    </row>
    <row r="8937" ht="16.5" customHeight="1">
      <c r="O8937" s="5" t="s">
        <v>355</v>
      </c>
      <c r="P8937" s="5" t="s">
        <v>355</v>
      </c>
      <c r="Q8937" s="5" t="s">
        <v>355</v>
      </c>
    </row>
    <row r="8938" ht="16.5" customHeight="1">
      <c r="O8938" s="5" t="s">
        <v>355</v>
      </c>
      <c r="P8938" s="5" t="s">
        <v>355</v>
      </c>
      <c r="Q8938" s="5" t="s">
        <v>355</v>
      </c>
    </row>
    <row r="8939" ht="16.5" customHeight="1">
      <c r="O8939" s="5" t="s">
        <v>355</v>
      </c>
      <c r="P8939" s="5" t="s">
        <v>355</v>
      </c>
      <c r="Q8939" s="5" t="s">
        <v>355</v>
      </c>
    </row>
    <row r="8940" ht="16.5" customHeight="1">
      <c r="O8940" s="5" t="s">
        <v>355</v>
      </c>
      <c r="P8940" s="5" t="s">
        <v>355</v>
      </c>
      <c r="Q8940" s="5" t="s">
        <v>355</v>
      </c>
    </row>
    <row r="8941" ht="16.5" customHeight="1">
      <c r="O8941" s="5" t="s">
        <v>355</v>
      </c>
      <c r="P8941" s="5" t="s">
        <v>355</v>
      </c>
      <c r="Q8941" s="5" t="s">
        <v>355</v>
      </c>
    </row>
    <row r="8942" ht="16.5" customHeight="1">
      <c r="O8942" s="5" t="s">
        <v>355</v>
      </c>
      <c r="P8942" s="5" t="s">
        <v>355</v>
      </c>
      <c r="Q8942" s="5" t="s">
        <v>355</v>
      </c>
    </row>
    <row r="8943" ht="16.5" customHeight="1">
      <c r="O8943" s="5" t="s">
        <v>355</v>
      </c>
      <c r="P8943" s="5" t="s">
        <v>355</v>
      </c>
      <c r="Q8943" s="5" t="s">
        <v>355</v>
      </c>
    </row>
    <row r="8944" ht="16.5" customHeight="1">
      <c r="O8944" s="5" t="s">
        <v>355</v>
      </c>
      <c r="P8944" s="5" t="s">
        <v>355</v>
      </c>
      <c r="Q8944" s="5" t="s">
        <v>355</v>
      </c>
    </row>
    <row r="8945" ht="16.5" customHeight="1">
      <c r="O8945" s="5" t="s">
        <v>355</v>
      </c>
      <c r="P8945" s="5" t="s">
        <v>355</v>
      </c>
      <c r="Q8945" s="5" t="s">
        <v>355</v>
      </c>
    </row>
    <row r="8946" ht="16.5" customHeight="1">
      <c r="O8946" s="5" t="s">
        <v>355</v>
      </c>
      <c r="P8946" s="5" t="s">
        <v>355</v>
      </c>
      <c r="Q8946" s="5" t="s">
        <v>355</v>
      </c>
    </row>
    <row r="8947" ht="16.5" customHeight="1">
      <c r="O8947" s="5" t="s">
        <v>355</v>
      </c>
      <c r="P8947" s="5" t="s">
        <v>355</v>
      </c>
      <c r="Q8947" s="5" t="s">
        <v>355</v>
      </c>
    </row>
    <row r="8948" ht="16.5" customHeight="1">
      <c r="O8948" s="5" t="s">
        <v>355</v>
      </c>
      <c r="P8948" s="5" t="s">
        <v>355</v>
      </c>
      <c r="Q8948" s="5" t="s">
        <v>355</v>
      </c>
    </row>
    <row r="8949" ht="16.5" customHeight="1">
      <c r="O8949" s="5" t="s">
        <v>355</v>
      </c>
      <c r="P8949" s="5" t="s">
        <v>355</v>
      </c>
      <c r="Q8949" s="5" t="s">
        <v>355</v>
      </c>
    </row>
    <row r="8950" ht="16.5" customHeight="1">
      <c r="O8950" s="5" t="s">
        <v>355</v>
      </c>
      <c r="P8950" s="5" t="s">
        <v>355</v>
      </c>
      <c r="Q8950" s="5" t="s">
        <v>355</v>
      </c>
    </row>
    <row r="8951" ht="16.5" customHeight="1">
      <c r="O8951" s="5" t="s">
        <v>355</v>
      </c>
      <c r="P8951" s="5" t="s">
        <v>355</v>
      </c>
      <c r="Q8951" s="5" t="s">
        <v>355</v>
      </c>
    </row>
    <row r="8952" ht="16.5" customHeight="1">
      <c r="O8952" s="5" t="s">
        <v>355</v>
      </c>
      <c r="P8952" s="5" t="s">
        <v>355</v>
      </c>
      <c r="Q8952" s="5" t="s">
        <v>355</v>
      </c>
    </row>
    <row r="8953" ht="16.5" customHeight="1">
      <c r="O8953" s="5" t="s">
        <v>355</v>
      </c>
      <c r="P8953" s="5" t="s">
        <v>355</v>
      </c>
      <c r="Q8953" s="5" t="s">
        <v>355</v>
      </c>
    </row>
    <row r="8954" ht="16.5" customHeight="1">
      <c r="O8954" s="5" t="s">
        <v>355</v>
      </c>
      <c r="P8954" s="5" t="s">
        <v>355</v>
      </c>
      <c r="Q8954" s="5" t="s">
        <v>355</v>
      </c>
    </row>
    <row r="8955" ht="16.5" customHeight="1">
      <c r="O8955" s="5" t="s">
        <v>355</v>
      </c>
      <c r="P8955" s="5" t="s">
        <v>355</v>
      </c>
      <c r="Q8955" s="5" t="s">
        <v>355</v>
      </c>
    </row>
    <row r="8956" ht="16.5" customHeight="1">
      <c r="O8956" s="5" t="s">
        <v>355</v>
      </c>
      <c r="P8956" s="5" t="s">
        <v>355</v>
      </c>
      <c r="Q8956" s="5" t="s">
        <v>355</v>
      </c>
    </row>
    <row r="8957" ht="16.5" customHeight="1">
      <c r="O8957" s="5" t="s">
        <v>355</v>
      </c>
      <c r="P8957" s="5" t="s">
        <v>355</v>
      </c>
      <c r="Q8957" s="5" t="s">
        <v>355</v>
      </c>
    </row>
    <row r="8958" ht="16.5" customHeight="1">
      <c r="O8958" s="5" t="s">
        <v>355</v>
      </c>
      <c r="P8958" s="5" t="s">
        <v>355</v>
      </c>
      <c r="Q8958" s="5" t="s">
        <v>355</v>
      </c>
    </row>
    <row r="8959" ht="16.5" customHeight="1">
      <c r="O8959" s="5" t="s">
        <v>355</v>
      </c>
      <c r="P8959" s="5" t="s">
        <v>355</v>
      </c>
      <c r="Q8959" s="5" t="s">
        <v>355</v>
      </c>
    </row>
    <row r="8960" ht="16.5" customHeight="1">
      <c r="O8960" s="5" t="s">
        <v>355</v>
      </c>
      <c r="P8960" s="5" t="s">
        <v>355</v>
      </c>
      <c r="Q8960" s="5" t="s">
        <v>355</v>
      </c>
    </row>
    <row r="8961" ht="16.5" customHeight="1">
      <c r="O8961" s="5" t="s">
        <v>355</v>
      </c>
      <c r="P8961" s="5" t="s">
        <v>355</v>
      </c>
      <c r="Q8961" s="5" t="s">
        <v>355</v>
      </c>
    </row>
    <row r="8962" ht="16.5" customHeight="1">
      <c r="O8962" s="5" t="s">
        <v>355</v>
      </c>
      <c r="P8962" s="5" t="s">
        <v>355</v>
      </c>
      <c r="Q8962" s="5" t="s">
        <v>355</v>
      </c>
    </row>
    <row r="8963" ht="16.5" customHeight="1">
      <c r="O8963" s="5" t="s">
        <v>355</v>
      </c>
      <c r="P8963" s="5" t="s">
        <v>355</v>
      </c>
      <c r="Q8963" s="5" t="s">
        <v>355</v>
      </c>
    </row>
    <row r="8964" ht="16.5" customHeight="1">
      <c r="O8964" s="5" t="s">
        <v>355</v>
      </c>
      <c r="P8964" s="5" t="s">
        <v>355</v>
      </c>
      <c r="Q8964" s="5" t="s">
        <v>355</v>
      </c>
    </row>
    <row r="8965" ht="16.5" customHeight="1">
      <c r="O8965" s="5" t="s">
        <v>355</v>
      </c>
      <c r="P8965" s="5" t="s">
        <v>355</v>
      </c>
      <c r="Q8965" s="5" t="s">
        <v>355</v>
      </c>
    </row>
    <row r="8966" ht="16.5" customHeight="1">
      <c r="O8966" s="5" t="s">
        <v>355</v>
      </c>
      <c r="P8966" s="5" t="s">
        <v>355</v>
      </c>
      <c r="Q8966" s="5" t="s">
        <v>355</v>
      </c>
    </row>
    <row r="8967" ht="16.5" customHeight="1">
      <c r="O8967" s="5" t="s">
        <v>355</v>
      </c>
      <c r="P8967" s="5" t="s">
        <v>355</v>
      </c>
      <c r="Q8967" s="5" t="s">
        <v>355</v>
      </c>
    </row>
    <row r="8968" ht="16.5" customHeight="1">
      <c r="O8968" s="5" t="s">
        <v>355</v>
      </c>
      <c r="P8968" s="5" t="s">
        <v>355</v>
      </c>
      <c r="Q8968" s="5" t="s">
        <v>355</v>
      </c>
    </row>
    <row r="8969" ht="16.5" customHeight="1">
      <c r="O8969" s="5" t="s">
        <v>355</v>
      </c>
      <c r="P8969" s="5" t="s">
        <v>355</v>
      </c>
      <c r="Q8969" s="5" t="s">
        <v>355</v>
      </c>
    </row>
    <row r="8970" ht="16.5" customHeight="1">
      <c r="O8970" s="5" t="s">
        <v>355</v>
      </c>
      <c r="P8970" s="5" t="s">
        <v>355</v>
      </c>
      <c r="Q8970" s="5" t="s">
        <v>355</v>
      </c>
    </row>
    <row r="8971" ht="16.5" customHeight="1">
      <c r="O8971" s="5" t="s">
        <v>355</v>
      </c>
      <c r="P8971" s="5" t="s">
        <v>355</v>
      </c>
      <c r="Q8971" s="5" t="s">
        <v>355</v>
      </c>
    </row>
    <row r="8972" ht="16.5" customHeight="1">
      <c r="O8972" s="5" t="s">
        <v>355</v>
      </c>
      <c r="P8972" s="5" t="s">
        <v>355</v>
      </c>
      <c r="Q8972" s="5" t="s">
        <v>355</v>
      </c>
    </row>
    <row r="8973" ht="16.5" customHeight="1">
      <c r="O8973" s="5" t="s">
        <v>355</v>
      </c>
      <c r="P8973" s="5" t="s">
        <v>355</v>
      </c>
      <c r="Q8973" s="5" t="s">
        <v>355</v>
      </c>
    </row>
    <row r="8974" ht="16.5" customHeight="1">
      <c r="O8974" s="5" t="s">
        <v>355</v>
      </c>
      <c r="P8974" s="5" t="s">
        <v>355</v>
      </c>
      <c r="Q8974" s="5" t="s">
        <v>355</v>
      </c>
    </row>
    <row r="8975" ht="16.5" customHeight="1">
      <c r="O8975" s="5" t="s">
        <v>355</v>
      </c>
      <c r="P8975" s="5" t="s">
        <v>355</v>
      </c>
      <c r="Q8975" s="5" t="s">
        <v>355</v>
      </c>
    </row>
    <row r="8976" ht="16.5" customHeight="1">
      <c r="O8976" s="5" t="s">
        <v>355</v>
      </c>
      <c r="P8976" s="5" t="s">
        <v>355</v>
      </c>
      <c r="Q8976" s="5" t="s">
        <v>355</v>
      </c>
    </row>
    <row r="8977" ht="16.5" customHeight="1">
      <c r="O8977" s="5" t="s">
        <v>355</v>
      </c>
      <c r="P8977" s="5" t="s">
        <v>355</v>
      </c>
      <c r="Q8977" s="5" t="s">
        <v>355</v>
      </c>
    </row>
    <row r="8978" ht="16.5" customHeight="1">
      <c r="O8978" s="5" t="s">
        <v>355</v>
      </c>
      <c r="P8978" s="5" t="s">
        <v>355</v>
      </c>
      <c r="Q8978" s="5" t="s">
        <v>355</v>
      </c>
    </row>
    <row r="8979" ht="16.5" customHeight="1">
      <c r="O8979" s="5" t="s">
        <v>355</v>
      </c>
      <c r="P8979" s="5" t="s">
        <v>355</v>
      </c>
      <c r="Q8979" s="5" t="s">
        <v>355</v>
      </c>
    </row>
    <row r="8980" ht="16.5" customHeight="1">
      <c r="O8980" s="5" t="s">
        <v>355</v>
      </c>
      <c r="P8980" s="5" t="s">
        <v>355</v>
      </c>
      <c r="Q8980" s="5" t="s">
        <v>355</v>
      </c>
    </row>
    <row r="8981" ht="16.5" customHeight="1">
      <c r="O8981" s="5" t="s">
        <v>355</v>
      </c>
      <c r="P8981" s="5" t="s">
        <v>355</v>
      </c>
      <c r="Q8981" s="5" t="s">
        <v>355</v>
      </c>
    </row>
    <row r="8982" ht="16.5" customHeight="1">
      <c r="O8982" s="5" t="s">
        <v>355</v>
      </c>
      <c r="P8982" s="5" t="s">
        <v>355</v>
      </c>
      <c r="Q8982" s="5" t="s">
        <v>355</v>
      </c>
    </row>
    <row r="8983" ht="16.5" customHeight="1">
      <c r="O8983" s="5" t="s">
        <v>355</v>
      </c>
      <c r="P8983" s="5" t="s">
        <v>355</v>
      </c>
      <c r="Q8983" s="5" t="s">
        <v>355</v>
      </c>
    </row>
    <row r="8984" ht="16.5" customHeight="1">
      <c r="O8984" s="5" t="s">
        <v>355</v>
      </c>
      <c r="P8984" s="5" t="s">
        <v>355</v>
      </c>
      <c r="Q8984" s="5" t="s">
        <v>355</v>
      </c>
    </row>
    <row r="8985" ht="16.5" customHeight="1">
      <c r="O8985" s="5" t="s">
        <v>355</v>
      </c>
      <c r="P8985" s="5" t="s">
        <v>355</v>
      </c>
      <c r="Q8985" s="5" t="s">
        <v>355</v>
      </c>
    </row>
    <row r="8986" ht="16.5" customHeight="1">
      <c r="O8986" s="5" t="s">
        <v>355</v>
      </c>
      <c r="P8986" s="5" t="s">
        <v>355</v>
      </c>
      <c r="Q8986" s="5" t="s">
        <v>355</v>
      </c>
    </row>
    <row r="8987" ht="16.5" customHeight="1">
      <c r="O8987" s="5" t="s">
        <v>355</v>
      </c>
      <c r="P8987" s="5" t="s">
        <v>355</v>
      </c>
      <c r="Q8987" s="5" t="s">
        <v>355</v>
      </c>
    </row>
    <row r="8988" ht="16.5" customHeight="1">
      <c r="O8988" s="5" t="s">
        <v>355</v>
      </c>
      <c r="P8988" s="5" t="s">
        <v>355</v>
      </c>
      <c r="Q8988" s="5" t="s">
        <v>355</v>
      </c>
    </row>
    <row r="8989" ht="16.5" customHeight="1">
      <c r="O8989" s="5" t="s">
        <v>355</v>
      </c>
      <c r="P8989" s="5" t="s">
        <v>355</v>
      </c>
      <c r="Q8989" s="5" t="s">
        <v>355</v>
      </c>
    </row>
    <row r="8990" ht="16.5" customHeight="1">
      <c r="O8990" s="5" t="s">
        <v>355</v>
      </c>
      <c r="P8990" s="5" t="s">
        <v>355</v>
      </c>
      <c r="Q8990" s="5" t="s">
        <v>355</v>
      </c>
    </row>
    <row r="8991" ht="16.5" customHeight="1">
      <c r="O8991" s="5" t="s">
        <v>355</v>
      </c>
      <c r="P8991" s="5" t="s">
        <v>355</v>
      </c>
      <c r="Q8991" s="5" t="s">
        <v>355</v>
      </c>
    </row>
    <row r="8992" ht="16.5" customHeight="1">
      <c r="O8992" s="5" t="s">
        <v>355</v>
      </c>
      <c r="P8992" s="5" t="s">
        <v>355</v>
      </c>
      <c r="Q8992" s="5" t="s">
        <v>355</v>
      </c>
    </row>
    <row r="8993" ht="16.5" customHeight="1">
      <c r="O8993" s="5" t="s">
        <v>355</v>
      </c>
      <c r="P8993" s="5" t="s">
        <v>355</v>
      </c>
      <c r="Q8993" s="5" t="s">
        <v>355</v>
      </c>
    </row>
    <row r="8994" ht="16.5" customHeight="1">
      <c r="O8994" s="5" t="s">
        <v>355</v>
      </c>
      <c r="P8994" s="5" t="s">
        <v>355</v>
      </c>
      <c r="Q8994" s="5" t="s">
        <v>355</v>
      </c>
    </row>
    <row r="8995" ht="16.5" customHeight="1">
      <c r="O8995" s="5" t="s">
        <v>355</v>
      </c>
      <c r="P8995" s="5" t="s">
        <v>355</v>
      </c>
      <c r="Q8995" s="5" t="s">
        <v>355</v>
      </c>
    </row>
    <row r="8996" ht="16.5" customHeight="1">
      <c r="O8996" s="5" t="s">
        <v>355</v>
      </c>
      <c r="P8996" s="5" t="s">
        <v>355</v>
      </c>
      <c r="Q8996" s="5" t="s">
        <v>355</v>
      </c>
    </row>
    <row r="8997" ht="16.5" customHeight="1">
      <c r="O8997" s="5" t="s">
        <v>355</v>
      </c>
      <c r="P8997" s="5" t="s">
        <v>355</v>
      </c>
      <c r="Q8997" s="5" t="s">
        <v>355</v>
      </c>
    </row>
    <row r="8998" ht="16.5" customHeight="1">
      <c r="O8998" s="5" t="s">
        <v>355</v>
      </c>
      <c r="P8998" s="5" t="s">
        <v>355</v>
      </c>
      <c r="Q8998" s="5" t="s">
        <v>355</v>
      </c>
    </row>
    <row r="8999" ht="16.5" customHeight="1">
      <c r="O8999" s="5" t="s">
        <v>355</v>
      </c>
      <c r="P8999" s="5" t="s">
        <v>355</v>
      </c>
      <c r="Q8999" s="5" t="s">
        <v>355</v>
      </c>
    </row>
    <row r="9000" ht="16.5" customHeight="1">
      <c r="O9000" s="5" t="s">
        <v>355</v>
      </c>
      <c r="P9000" s="5" t="s">
        <v>355</v>
      </c>
      <c r="Q9000" s="5" t="s">
        <v>355</v>
      </c>
    </row>
    <row r="9001" ht="16.5" customHeight="1">
      <c r="O9001" s="5" t="s">
        <v>355</v>
      </c>
      <c r="P9001" s="5" t="s">
        <v>355</v>
      </c>
      <c r="Q9001" s="5" t="s">
        <v>355</v>
      </c>
    </row>
    <row r="9002" ht="16.5" customHeight="1">
      <c r="O9002" s="5" t="s">
        <v>355</v>
      </c>
      <c r="P9002" s="5" t="s">
        <v>355</v>
      </c>
      <c r="Q9002" s="5" t="s">
        <v>355</v>
      </c>
    </row>
    <row r="9003" ht="16.5" customHeight="1">
      <c r="O9003" s="5" t="s">
        <v>355</v>
      </c>
      <c r="P9003" s="5" t="s">
        <v>355</v>
      </c>
      <c r="Q9003" s="5" t="s">
        <v>355</v>
      </c>
    </row>
    <row r="9004" ht="16.5" customHeight="1">
      <c r="O9004" s="5" t="s">
        <v>355</v>
      </c>
      <c r="P9004" s="5" t="s">
        <v>355</v>
      </c>
      <c r="Q9004" s="5" t="s">
        <v>355</v>
      </c>
    </row>
    <row r="9005" ht="16.5" customHeight="1">
      <c r="O9005" s="5" t="s">
        <v>355</v>
      </c>
      <c r="P9005" s="5" t="s">
        <v>355</v>
      </c>
      <c r="Q9005" s="5" t="s">
        <v>355</v>
      </c>
    </row>
    <row r="9006" ht="16.5" customHeight="1">
      <c r="O9006" s="5" t="s">
        <v>355</v>
      </c>
      <c r="P9006" s="5" t="s">
        <v>355</v>
      </c>
      <c r="Q9006" s="5" t="s">
        <v>355</v>
      </c>
    </row>
    <row r="9007" ht="16.5" customHeight="1">
      <c r="O9007" s="5" t="s">
        <v>355</v>
      </c>
      <c r="P9007" s="5" t="s">
        <v>355</v>
      </c>
      <c r="Q9007" s="5" t="s">
        <v>355</v>
      </c>
    </row>
    <row r="9008" ht="16.5" customHeight="1">
      <c r="O9008" s="5" t="s">
        <v>355</v>
      </c>
      <c r="P9008" s="5" t="s">
        <v>355</v>
      </c>
      <c r="Q9008" s="5" t="s">
        <v>355</v>
      </c>
    </row>
    <row r="9009" ht="16.5" customHeight="1">
      <c r="O9009" s="5" t="s">
        <v>355</v>
      </c>
      <c r="P9009" s="5" t="s">
        <v>355</v>
      </c>
      <c r="Q9009" s="5" t="s">
        <v>355</v>
      </c>
    </row>
    <row r="9010" ht="16.5" customHeight="1">
      <c r="O9010" s="5" t="s">
        <v>355</v>
      </c>
      <c r="P9010" s="5" t="s">
        <v>355</v>
      </c>
      <c r="Q9010" s="5" t="s">
        <v>355</v>
      </c>
    </row>
    <row r="9011" ht="16.5" customHeight="1">
      <c r="O9011" s="5" t="s">
        <v>355</v>
      </c>
      <c r="P9011" s="5" t="s">
        <v>355</v>
      </c>
      <c r="Q9011" s="5" t="s">
        <v>355</v>
      </c>
    </row>
    <row r="9012" ht="16.5" customHeight="1">
      <c r="O9012" s="5" t="s">
        <v>355</v>
      </c>
      <c r="P9012" s="5" t="s">
        <v>355</v>
      </c>
      <c r="Q9012" s="5" t="s">
        <v>355</v>
      </c>
    </row>
    <row r="9013" ht="16.5" customHeight="1">
      <c r="O9013" s="5" t="s">
        <v>355</v>
      </c>
      <c r="P9013" s="5" t="s">
        <v>355</v>
      </c>
      <c r="Q9013" s="5" t="s">
        <v>355</v>
      </c>
    </row>
    <row r="9014" ht="16.5" customHeight="1">
      <c r="O9014" s="5" t="s">
        <v>355</v>
      </c>
      <c r="P9014" s="5" t="s">
        <v>355</v>
      </c>
      <c r="Q9014" s="5" t="s">
        <v>355</v>
      </c>
    </row>
    <row r="9015" ht="16.5" customHeight="1">
      <c r="O9015" s="5" t="s">
        <v>355</v>
      </c>
      <c r="P9015" s="5" t="s">
        <v>355</v>
      </c>
      <c r="Q9015" s="5" t="s">
        <v>355</v>
      </c>
    </row>
    <row r="9016" ht="16.5" customHeight="1">
      <c r="O9016" s="5" t="s">
        <v>355</v>
      </c>
      <c r="P9016" s="5" t="s">
        <v>355</v>
      </c>
      <c r="Q9016" s="5" t="s">
        <v>355</v>
      </c>
    </row>
    <row r="9017" ht="16.5" customHeight="1">
      <c r="O9017" s="5" t="s">
        <v>355</v>
      </c>
      <c r="P9017" s="5" t="s">
        <v>355</v>
      </c>
      <c r="Q9017" s="5" t="s">
        <v>355</v>
      </c>
    </row>
    <row r="9018" ht="16.5" customHeight="1">
      <c r="O9018" s="5" t="s">
        <v>355</v>
      </c>
      <c r="P9018" s="5" t="s">
        <v>355</v>
      </c>
      <c r="Q9018" s="5" t="s">
        <v>355</v>
      </c>
    </row>
    <row r="9019" ht="16.5" customHeight="1">
      <c r="O9019" s="5" t="s">
        <v>355</v>
      </c>
      <c r="P9019" s="5" t="s">
        <v>355</v>
      </c>
      <c r="Q9019" s="5" t="s">
        <v>355</v>
      </c>
    </row>
    <row r="9020" ht="16.5" customHeight="1">
      <c r="O9020" s="5" t="s">
        <v>355</v>
      </c>
      <c r="P9020" s="5" t="s">
        <v>355</v>
      </c>
      <c r="Q9020" s="5" t="s">
        <v>355</v>
      </c>
    </row>
    <row r="9021" ht="16.5" customHeight="1">
      <c r="O9021" s="5" t="s">
        <v>355</v>
      </c>
      <c r="P9021" s="5" t="s">
        <v>355</v>
      </c>
      <c r="Q9021" s="5" t="s">
        <v>355</v>
      </c>
    </row>
    <row r="9022" ht="16.5" customHeight="1">
      <c r="O9022" s="5" t="s">
        <v>355</v>
      </c>
      <c r="P9022" s="5" t="s">
        <v>355</v>
      </c>
      <c r="Q9022" s="5" t="s">
        <v>355</v>
      </c>
    </row>
    <row r="9023" ht="16.5" customHeight="1">
      <c r="O9023" s="5" t="s">
        <v>355</v>
      </c>
      <c r="P9023" s="5" t="s">
        <v>355</v>
      </c>
      <c r="Q9023" s="5" t="s">
        <v>355</v>
      </c>
    </row>
    <row r="9024" ht="16.5" customHeight="1">
      <c r="O9024" s="5" t="s">
        <v>355</v>
      </c>
      <c r="P9024" s="5" t="s">
        <v>355</v>
      </c>
      <c r="Q9024" s="5" t="s">
        <v>355</v>
      </c>
    </row>
    <row r="9025" ht="16.5" customHeight="1">
      <c r="O9025" s="5" t="s">
        <v>355</v>
      </c>
      <c r="P9025" s="5" t="s">
        <v>355</v>
      </c>
      <c r="Q9025" s="5" t="s">
        <v>355</v>
      </c>
    </row>
    <row r="9026" ht="16.5" customHeight="1">
      <c r="O9026" s="5" t="s">
        <v>355</v>
      </c>
      <c r="P9026" s="5" t="s">
        <v>355</v>
      </c>
      <c r="Q9026" s="5" t="s">
        <v>355</v>
      </c>
    </row>
    <row r="9027" ht="16.5" customHeight="1">
      <c r="O9027" s="5" t="s">
        <v>355</v>
      </c>
      <c r="P9027" s="5" t="s">
        <v>355</v>
      </c>
      <c r="Q9027" s="5" t="s">
        <v>355</v>
      </c>
    </row>
    <row r="9028" ht="16.5" customHeight="1">
      <c r="O9028" s="5" t="s">
        <v>355</v>
      </c>
      <c r="P9028" s="5" t="s">
        <v>355</v>
      </c>
      <c r="Q9028" s="5" t="s">
        <v>355</v>
      </c>
    </row>
    <row r="9029" ht="16.5" customHeight="1">
      <c r="O9029" s="5" t="s">
        <v>355</v>
      </c>
      <c r="P9029" s="5" t="s">
        <v>355</v>
      </c>
      <c r="Q9029" s="5" t="s">
        <v>355</v>
      </c>
    </row>
    <row r="9030" ht="16.5" customHeight="1">
      <c r="O9030" s="5" t="s">
        <v>355</v>
      </c>
      <c r="P9030" s="5" t="s">
        <v>355</v>
      </c>
      <c r="Q9030" s="5" t="s">
        <v>355</v>
      </c>
    </row>
    <row r="9031" ht="16.5" customHeight="1">
      <c r="O9031" s="5" t="s">
        <v>355</v>
      </c>
      <c r="P9031" s="5" t="s">
        <v>355</v>
      </c>
      <c r="Q9031" s="5" t="s">
        <v>355</v>
      </c>
    </row>
    <row r="9032" ht="16.5" customHeight="1">
      <c r="O9032" s="5" t="s">
        <v>355</v>
      </c>
      <c r="P9032" s="5" t="s">
        <v>355</v>
      </c>
      <c r="Q9032" s="5" t="s">
        <v>355</v>
      </c>
    </row>
    <row r="9033" ht="16.5" customHeight="1">
      <c r="O9033" s="5" t="s">
        <v>355</v>
      </c>
      <c r="P9033" s="5" t="s">
        <v>355</v>
      </c>
      <c r="Q9033" s="5" t="s">
        <v>355</v>
      </c>
    </row>
    <row r="9034" ht="16.5" customHeight="1">
      <c r="O9034" s="5" t="s">
        <v>355</v>
      </c>
      <c r="P9034" s="5" t="s">
        <v>355</v>
      </c>
      <c r="Q9034" s="5" t="s">
        <v>355</v>
      </c>
    </row>
    <row r="9035" ht="16.5" customHeight="1">
      <c r="O9035" s="5" t="s">
        <v>355</v>
      </c>
      <c r="P9035" s="5" t="s">
        <v>355</v>
      </c>
      <c r="Q9035" s="5" t="s">
        <v>355</v>
      </c>
    </row>
    <row r="9036" ht="16.5" customHeight="1">
      <c r="O9036" s="5" t="s">
        <v>355</v>
      </c>
      <c r="P9036" s="5" t="s">
        <v>355</v>
      </c>
      <c r="Q9036" s="5" t="s">
        <v>355</v>
      </c>
    </row>
    <row r="9037" ht="16.5" customHeight="1">
      <c r="O9037" s="5" t="s">
        <v>355</v>
      </c>
      <c r="P9037" s="5" t="s">
        <v>355</v>
      </c>
      <c r="Q9037" s="5" t="s">
        <v>355</v>
      </c>
    </row>
    <row r="9038" ht="16.5" customHeight="1">
      <c r="O9038" s="5" t="s">
        <v>355</v>
      </c>
      <c r="P9038" s="5" t="s">
        <v>355</v>
      </c>
      <c r="Q9038" s="5" t="s">
        <v>355</v>
      </c>
    </row>
    <row r="9039" ht="16.5" customHeight="1">
      <c r="O9039" s="5" t="s">
        <v>355</v>
      </c>
      <c r="P9039" s="5" t="s">
        <v>355</v>
      </c>
      <c r="Q9039" s="5" t="s">
        <v>355</v>
      </c>
    </row>
    <row r="9040" ht="16.5" customHeight="1">
      <c r="O9040" s="5" t="s">
        <v>355</v>
      </c>
      <c r="P9040" s="5" t="s">
        <v>355</v>
      </c>
      <c r="Q9040" s="5" t="s">
        <v>355</v>
      </c>
    </row>
    <row r="9041" ht="16.5" customHeight="1">
      <c r="O9041" s="5" t="s">
        <v>355</v>
      </c>
      <c r="P9041" s="5" t="s">
        <v>355</v>
      </c>
      <c r="Q9041" s="5" t="s">
        <v>355</v>
      </c>
    </row>
    <row r="9042" ht="16.5" customHeight="1">
      <c r="O9042" s="5" t="s">
        <v>355</v>
      </c>
      <c r="P9042" s="5" t="s">
        <v>355</v>
      </c>
      <c r="Q9042" s="5" t="s">
        <v>355</v>
      </c>
    </row>
    <row r="9043" ht="16.5" customHeight="1">
      <c r="O9043" s="5" t="s">
        <v>355</v>
      </c>
      <c r="P9043" s="5" t="s">
        <v>355</v>
      </c>
      <c r="Q9043" s="5" t="s">
        <v>355</v>
      </c>
    </row>
    <row r="9044" ht="16.5" customHeight="1">
      <c r="O9044" s="5" t="s">
        <v>355</v>
      </c>
      <c r="P9044" s="5" t="s">
        <v>355</v>
      </c>
      <c r="Q9044" s="5" t="s">
        <v>355</v>
      </c>
    </row>
    <row r="9045" ht="16.5" customHeight="1">
      <c r="O9045" s="5" t="s">
        <v>355</v>
      </c>
      <c r="P9045" s="5" t="s">
        <v>355</v>
      </c>
      <c r="Q9045" s="5" t="s">
        <v>355</v>
      </c>
    </row>
    <row r="9046" ht="16.5" customHeight="1">
      <c r="O9046" s="5" t="s">
        <v>355</v>
      </c>
      <c r="P9046" s="5" t="s">
        <v>355</v>
      </c>
      <c r="Q9046" s="5" t="s">
        <v>355</v>
      </c>
    </row>
    <row r="9047" ht="16.5" customHeight="1">
      <c r="O9047" s="5" t="s">
        <v>355</v>
      </c>
      <c r="P9047" s="5" t="s">
        <v>355</v>
      </c>
      <c r="Q9047" s="5" t="s">
        <v>355</v>
      </c>
    </row>
    <row r="9048" ht="16.5" customHeight="1">
      <c r="O9048" s="5" t="s">
        <v>355</v>
      </c>
      <c r="P9048" s="5" t="s">
        <v>355</v>
      </c>
      <c r="Q9048" s="5" t="s">
        <v>355</v>
      </c>
    </row>
    <row r="9049" ht="16.5" customHeight="1">
      <c r="O9049" s="5" t="s">
        <v>355</v>
      </c>
      <c r="P9049" s="5" t="s">
        <v>355</v>
      </c>
      <c r="Q9049" s="5" t="s">
        <v>355</v>
      </c>
    </row>
    <row r="9050" ht="16.5" customHeight="1">
      <c r="O9050" s="5" t="s">
        <v>355</v>
      </c>
      <c r="P9050" s="5" t="s">
        <v>355</v>
      </c>
      <c r="Q9050" s="5" t="s">
        <v>355</v>
      </c>
    </row>
    <row r="9051" ht="16.5" customHeight="1">
      <c r="O9051" s="5" t="s">
        <v>355</v>
      </c>
      <c r="P9051" s="5" t="s">
        <v>355</v>
      </c>
      <c r="Q9051" s="5" t="s">
        <v>355</v>
      </c>
    </row>
    <row r="9052" ht="16.5" customHeight="1">
      <c r="O9052" s="5" t="s">
        <v>355</v>
      </c>
      <c r="P9052" s="5" t="s">
        <v>355</v>
      </c>
      <c r="Q9052" s="5" t="s">
        <v>355</v>
      </c>
    </row>
    <row r="9053" ht="16.5" customHeight="1">
      <c r="O9053" s="5" t="s">
        <v>355</v>
      </c>
      <c r="P9053" s="5" t="s">
        <v>355</v>
      </c>
      <c r="Q9053" s="5" t="s">
        <v>355</v>
      </c>
    </row>
    <row r="9054" ht="16.5" customHeight="1">
      <c r="O9054" s="5" t="s">
        <v>355</v>
      </c>
      <c r="P9054" s="5" t="s">
        <v>355</v>
      </c>
      <c r="Q9054" s="5" t="s">
        <v>355</v>
      </c>
    </row>
    <row r="9055" ht="16.5" customHeight="1">
      <c r="O9055" s="5" t="s">
        <v>355</v>
      </c>
      <c r="P9055" s="5" t="s">
        <v>355</v>
      </c>
      <c r="Q9055" s="5" t="s">
        <v>355</v>
      </c>
    </row>
    <row r="9056" ht="16.5" customHeight="1">
      <c r="O9056" s="5" t="s">
        <v>355</v>
      </c>
      <c r="P9056" s="5" t="s">
        <v>355</v>
      </c>
      <c r="Q9056" s="5" t="s">
        <v>355</v>
      </c>
    </row>
    <row r="9057" ht="16.5" customHeight="1">
      <c r="O9057" s="5" t="s">
        <v>355</v>
      </c>
      <c r="P9057" s="5" t="s">
        <v>355</v>
      </c>
      <c r="Q9057" s="5" t="s">
        <v>355</v>
      </c>
    </row>
    <row r="9058" ht="16.5" customHeight="1">
      <c r="O9058" s="5" t="s">
        <v>355</v>
      </c>
      <c r="P9058" s="5" t="s">
        <v>355</v>
      </c>
      <c r="Q9058" s="5" t="s">
        <v>355</v>
      </c>
    </row>
    <row r="9059" ht="16.5" customHeight="1">
      <c r="O9059" s="5" t="s">
        <v>355</v>
      </c>
      <c r="P9059" s="5" t="s">
        <v>355</v>
      </c>
      <c r="Q9059" s="5" t="s">
        <v>355</v>
      </c>
    </row>
    <row r="9060" ht="16.5" customHeight="1">
      <c r="O9060" s="5" t="s">
        <v>355</v>
      </c>
      <c r="P9060" s="5" t="s">
        <v>355</v>
      </c>
      <c r="Q9060" s="5" t="s">
        <v>355</v>
      </c>
    </row>
    <row r="9061" ht="16.5" customHeight="1">
      <c r="O9061" s="5" t="s">
        <v>355</v>
      </c>
      <c r="P9061" s="5" t="s">
        <v>355</v>
      </c>
      <c r="Q9061" s="5" t="s">
        <v>355</v>
      </c>
    </row>
    <row r="9062" ht="16.5" customHeight="1">
      <c r="O9062" s="5" t="s">
        <v>355</v>
      </c>
      <c r="P9062" s="5" t="s">
        <v>355</v>
      </c>
      <c r="Q9062" s="5" t="s">
        <v>355</v>
      </c>
    </row>
    <row r="9063" ht="16.5" customHeight="1">
      <c r="O9063" s="5" t="s">
        <v>355</v>
      </c>
      <c r="P9063" s="5" t="s">
        <v>355</v>
      </c>
      <c r="Q9063" s="5" t="s">
        <v>355</v>
      </c>
    </row>
    <row r="9064" ht="16.5" customHeight="1">
      <c r="O9064" s="5" t="s">
        <v>355</v>
      </c>
      <c r="P9064" s="5" t="s">
        <v>355</v>
      </c>
      <c r="Q9064" s="5" t="s">
        <v>355</v>
      </c>
    </row>
    <row r="9065" ht="16.5" customHeight="1">
      <c r="O9065" s="5" t="s">
        <v>355</v>
      </c>
      <c r="P9065" s="5" t="s">
        <v>355</v>
      </c>
      <c r="Q9065" s="5" t="s">
        <v>355</v>
      </c>
    </row>
    <row r="9066" ht="16.5" customHeight="1">
      <c r="O9066" s="5" t="s">
        <v>355</v>
      </c>
      <c r="P9066" s="5" t="s">
        <v>355</v>
      </c>
      <c r="Q9066" s="5" t="s">
        <v>355</v>
      </c>
    </row>
    <row r="9067" ht="16.5" customHeight="1">
      <c r="O9067" s="5" t="s">
        <v>355</v>
      </c>
      <c r="P9067" s="5" t="s">
        <v>355</v>
      </c>
      <c r="Q9067" s="5" t="s">
        <v>355</v>
      </c>
    </row>
    <row r="9068" ht="16.5" customHeight="1">
      <c r="O9068" s="5" t="s">
        <v>355</v>
      </c>
      <c r="P9068" s="5" t="s">
        <v>355</v>
      </c>
      <c r="Q9068" s="5" t="s">
        <v>355</v>
      </c>
    </row>
    <row r="9069" ht="16.5" customHeight="1">
      <c r="O9069" s="5" t="s">
        <v>355</v>
      </c>
      <c r="P9069" s="5" t="s">
        <v>355</v>
      </c>
      <c r="Q9069" s="5" t="s">
        <v>355</v>
      </c>
    </row>
    <row r="9070" ht="16.5" customHeight="1">
      <c r="O9070" s="5" t="s">
        <v>355</v>
      </c>
      <c r="P9070" s="5" t="s">
        <v>355</v>
      </c>
      <c r="Q9070" s="5" t="s">
        <v>355</v>
      </c>
    </row>
    <row r="9071" ht="16.5" customHeight="1">
      <c r="O9071" s="5" t="s">
        <v>355</v>
      </c>
      <c r="P9071" s="5" t="s">
        <v>355</v>
      </c>
      <c r="Q9071" s="5" t="s">
        <v>355</v>
      </c>
    </row>
    <row r="9072" ht="16.5" customHeight="1">
      <c r="O9072" s="5" t="s">
        <v>355</v>
      </c>
      <c r="P9072" s="5" t="s">
        <v>355</v>
      </c>
      <c r="Q9072" s="5" t="s">
        <v>355</v>
      </c>
    </row>
    <row r="9073" ht="16.5" customHeight="1">
      <c r="O9073" s="5" t="s">
        <v>355</v>
      </c>
      <c r="P9073" s="5" t="s">
        <v>355</v>
      </c>
      <c r="Q9073" s="5" t="s">
        <v>355</v>
      </c>
    </row>
    <row r="9074" ht="16.5" customHeight="1">
      <c r="O9074" s="5" t="s">
        <v>355</v>
      </c>
      <c r="P9074" s="5" t="s">
        <v>355</v>
      </c>
      <c r="Q9074" s="5" t="s">
        <v>355</v>
      </c>
    </row>
    <row r="9075" ht="16.5" customHeight="1">
      <c r="O9075" s="5" t="s">
        <v>355</v>
      </c>
      <c r="P9075" s="5" t="s">
        <v>355</v>
      </c>
      <c r="Q9075" s="5" t="s">
        <v>355</v>
      </c>
    </row>
    <row r="9076" ht="16.5" customHeight="1">
      <c r="O9076" s="5" t="s">
        <v>355</v>
      </c>
      <c r="P9076" s="5" t="s">
        <v>355</v>
      </c>
      <c r="Q9076" s="5" t="s">
        <v>355</v>
      </c>
    </row>
    <row r="9077" ht="16.5" customHeight="1">
      <c r="O9077" s="5" t="s">
        <v>355</v>
      </c>
      <c r="P9077" s="5" t="s">
        <v>355</v>
      </c>
      <c r="Q9077" s="5" t="s">
        <v>355</v>
      </c>
    </row>
    <row r="9078" ht="16.5" customHeight="1">
      <c r="O9078" s="5" t="s">
        <v>355</v>
      </c>
      <c r="P9078" s="5" t="s">
        <v>355</v>
      </c>
      <c r="Q9078" s="5" t="s">
        <v>355</v>
      </c>
    </row>
    <row r="9079" ht="16.5" customHeight="1">
      <c r="O9079" s="5" t="s">
        <v>355</v>
      </c>
      <c r="P9079" s="5" t="s">
        <v>355</v>
      </c>
      <c r="Q9079" s="5" t="s">
        <v>355</v>
      </c>
    </row>
    <row r="9080" ht="16.5" customHeight="1">
      <c r="O9080" s="5" t="s">
        <v>355</v>
      </c>
      <c r="P9080" s="5" t="s">
        <v>355</v>
      </c>
      <c r="Q9080" s="5" t="s">
        <v>355</v>
      </c>
    </row>
    <row r="9081" ht="16.5" customHeight="1">
      <c r="O9081" s="5" t="s">
        <v>355</v>
      </c>
      <c r="P9081" s="5" t="s">
        <v>355</v>
      </c>
      <c r="Q9081" s="5" t="s">
        <v>355</v>
      </c>
    </row>
    <row r="9082" ht="16.5" customHeight="1">
      <c r="O9082" s="5" t="s">
        <v>355</v>
      </c>
      <c r="P9082" s="5" t="s">
        <v>355</v>
      </c>
      <c r="Q9082" s="5" t="s">
        <v>355</v>
      </c>
    </row>
    <row r="9083" ht="16.5" customHeight="1">
      <c r="O9083" s="5" t="s">
        <v>355</v>
      </c>
      <c r="P9083" s="5" t="s">
        <v>355</v>
      </c>
      <c r="Q9083" s="5" t="s">
        <v>355</v>
      </c>
    </row>
    <row r="9084" ht="16.5" customHeight="1">
      <c r="O9084" s="5" t="s">
        <v>355</v>
      </c>
      <c r="P9084" s="5" t="s">
        <v>355</v>
      </c>
      <c r="Q9084" s="5" t="s">
        <v>355</v>
      </c>
    </row>
    <row r="9085" ht="16.5" customHeight="1">
      <c r="O9085" s="5" t="s">
        <v>355</v>
      </c>
      <c r="P9085" s="5" t="s">
        <v>355</v>
      </c>
      <c r="Q9085" s="5" t="s">
        <v>355</v>
      </c>
    </row>
    <row r="9086" ht="16.5" customHeight="1">
      <c r="O9086" s="5" t="s">
        <v>355</v>
      </c>
      <c r="P9086" s="5" t="s">
        <v>355</v>
      </c>
      <c r="Q9086" s="5" t="s">
        <v>355</v>
      </c>
    </row>
    <row r="9087" ht="16.5" customHeight="1">
      <c r="O9087" s="5" t="s">
        <v>355</v>
      </c>
      <c r="P9087" s="5" t="s">
        <v>355</v>
      </c>
      <c r="Q9087" s="5" t="s">
        <v>355</v>
      </c>
    </row>
    <row r="9088" ht="16.5" customHeight="1">
      <c r="O9088" s="5" t="s">
        <v>355</v>
      </c>
      <c r="P9088" s="5" t="s">
        <v>355</v>
      </c>
      <c r="Q9088" s="5" t="s">
        <v>355</v>
      </c>
    </row>
    <row r="9089" ht="16.5" customHeight="1">
      <c r="O9089" s="5" t="s">
        <v>355</v>
      </c>
      <c r="P9089" s="5" t="s">
        <v>355</v>
      </c>
      <c r="Q9089" s="5" t="s">
        <v>355</v>
      </c>
    </row>
    <row r="9090" ht="16.5" customHeight="1">
      <c r="O9090" s="5" t="s">
        <v>355</v>
      </c>
      <c r="P9090" s="5" t="s">
        <v>355</v>
      </c>
      <c r="Q9090" s="5" t="s">
        <v>355</v>
      </c>
    </row>
    <row r="9091" ht="16.5" customHeight="1">
      <c r="O9091" s="5" t="s">
        <v>355</v>
      </c>
      <c r="P9091" s="5" t="s">
        <v>355</v>
      </c>
      <c r="Q9091" s="5" t="s">
        <v>355</v>
      </c>
    </row>
    <row r="9092" ht="16.5" customHeight="1">
      <c r="O9092" s="5" t="s">
        <v>355</v>
      </c>
      <c r="P9092" s="5" t="s">
        <v>355</v>
      </c>
      <c r="Q9092" s="5" t="s">
        <v>355</v>
      </c>
    </row>
    <row r="9093" ht="16.5" customHeight="1">
      <c r="O9093" s="5" t="s">
        <v>355</v>
      </c>
      <c r="P9093" s="5" t="s">
        <v>355</v>
      </c>
      <c r="Q9093" s="5" t="s">
        <v>355</v>
      </c>
    </row>
    <row r="9094" ht="16.5" customHeight="1">
      <c r="O9094" s="5" t="s">
        <v>355</v>
      </c>
      <c r="P9094" s="5" t="s">
        <v>355</v>
      </c>
      <c r="Q9094" s="5" t="s">
        <v>355</v>
      </c>
    </row>
    <row r="9095" ht="16.5" customHeight="1">
      <c r="O9095" s="5" t="s">
        <v>355</v>
      </c>
      <c r="P9095" s="5" t="s">
        <v>355</v>
      </c>
      <c r="Q9095" s="5" t="s">
        <v>355</v>
      </c>
    </row>
    <row r="9096" ht="16.5" customHeight="1">
      <c r="O9096" s="5" t="s">
        <v>355</v>
      </c>
      <c r="P9096" s="5" t="s">
        <v>355</v>
      </c>
      <c r="Q9096" s="5" t="s">
        <v>355</v>
      </c>
    </row>
    <row r="9097" ht="16.5" customHeight="1">
      <c r="O9097" s="5" t="s">
        <v>355</v>
      </c>
      <c r="P9097" s="5" t="s">
        <v>355</v>
      </c>
      <c r="Q9097" s="5" t="s">
        <v>355</v>
      </c>
    </row>
    <row r="9098" ht="16.5" customHeight="1">
      <c r="O9098" s="5" t="s">
        <v>355</v>
      </c>
      <c r="P9098" s="5" t="s">
        <v>355</v>
      </c>
      <c r="Q9098" s="5" t="s">
        <v>355</v>
      </c>
    </row>
    <row r="9099" ht="16.5" customHeight="1">
      <c r="O9099" s="5" t="s">
        <v>355</v>
      </c>
      <c r="P9099" s="5" t="s">
        <v>355</v>
      </c>
      <c r="Q9099" s="5" t="s">
        <v>355</v>
      </c>
    </row>
    <row r="9100" ht="16.5" customHeight="1">
      <c r="O9100" s="5" t="s">
        <v>355</v>
      </c>
      <c r="P9100" s="5" t="s">
        <v>355</v>
      </c>
      <c r="Q9100" s="5" t="s">
        <v>355</v>
      </c>
    </row>
    <row r="9101" ht="16.5" customHeight="1">
      <c r="O9101" s="5" t="s">
        <v>355</v>
      </c>
      <c r="P9101" s="5" t="s">
        <v>355</v>
      </c>
      <c r="Q9101" s="5" t="s">
        <v>355</v>
      </c>
    </row>
    <row r="9102" ht="16.5" customHeight="1">
      <c r="O9102" s="5" t="s">
        <v>355</v>
      </c>
      <c r="P9102" s="5" t="s">
        <v>355</v>
      </c>
      <c r="Q9102" s="5" t="s">
        <v>355</v>
      </c>
    </row>
    <row r="9103" ht="16.5" customHeight="1">
      <c r="O9103" s="5" t="s">
        <v>355</v>
      </c>
      <c r="P9103" s="5" t="s">
        <v>355</v>
      </c>
      <c r="Q9103" s="5" t="s">
        <v>355</v>
      </c>
    </row>
    <row r="9104" ht="16.5" customHeight="1">
      <c r="O9104" s="5" t="s">
        <v>355</v>
      </c>
      <c r="P9104" s="5" t="s">
        <v>355</v>
      </c>
      <c r="Q9104" s="5" t="s">
        <v>355</v>
      </c>
    </row>
    <row r="9105" ht="16.5" customHeight="1">
      <c r="O9105" s="5" t="s">
        <v>355</v>
      </c>
      <c r="P9105" s="5" t="s">
        <v>355</v>
      </c>
      <c r="Q9105" s="5" t="s">
        <v>355</v>
      </c>
    </row>
    <row r="9106" ht="16.5" customHeight="1">
      <c r="O9106" s="5" t="s">
        <v>355</v>
      </c>
      <c r="P9106" s="5" t="s">
        <v>355</v>
      </c>
      <c r="Q9106" s="5" t="s">
        <v>355</v>
      </c>
    </row>
    <row r="9107" ht="16.5" customHeight="1">
      <c r="O9107" s="5" t="s">
        <v>355</v>
      </c>
      <c r="P9107" s="5" t="s">
        <v>355</v>
      </c>
      <c r="Q9107" s="5" t="s">
        <v>355</v>
      </c>
    </row>
    <row r="9108" ht="16.5" customHeight="1">
      <c r="O9108" s="5" t="s">
        <v>355</v>
      </c>
      <c r="P9108" s="5" t="s">
        <v>355</v>
      </c>
      <c r="Q9108" s="5" t="s">
        <v>355</v>
      </c>
    </row>
    <row r="9109" ht="16.5" customHeight="1">
      <c r="O9109" s="5" t="s">
        <v>355</v>
      </c>
      <c r="P9109" s="5" t="s">
        <v>355</v>
      </c>
      <c r="Q9109" s="5" t="s">
        <v>355</v>
      </c>
    </row>
    <row r="9110" ht="16.5" customHeight="1">
      <c r="O9110" s="5" t="s">
        <v>355</v>
      </c>
      <c r="P9110" s="5" t="s">
        <v>355</v>
      </c>
      <c r="Q9110" s="5" t="s">
        <v>355</v>
      </c>
    </row>
    <row r="9111" ht="16.5" customHeight="1">
      <c r="O9111" s="5" t="s">
        <v>355</v>
      </c>
      <c r="P9111" s="5" t="s">
        <v>355</v>
      </c>
      <c r="Q9111" s="5" t="s">
        <v>355</v>
      </c>
    </row>
    <row r="9112" ht="16.5" customHeight="1">
      <c r="O9112" s="5" t="s">
        <v>355</v>
      </c>
      <c r="P9112" s="5" t="s">
        <v>355</v>
      </c>
      <c r="Q9112" s="5" t="s">
        <v>355</v>
      </c>
    </row>
    <row r="9113" ht="16.5" customHeight="1">
      <c r="O9113" s="5" t="s">
        <v>355</v>
      </c>
      <c r="P9113" s="5" t="s">
        <v>355</v>
      </c>
      <c r="Q9113" s="5" t="s">
        <v>355</v>
      </c>
    </row>
    <row r="9114" ht="16.5" customHeight="1">
      <c r="O9114" s="5" t="s">
        <v>355</v>
      </c>
      <c r="P9114" s="5" t="s">
        <v>355</v>
      </c>
      <c r="Q9114" s="5" t="s">
        <v>355</v>
      </c>
    </row>
    <row r="9115" ht="16.5" customHeight="1">
      <c r="O9115" s="5" t="s">
        <v>355</v>
      </c>
      <c r="P9115" s="5" t="s">
        <v>355</v>
      </c>
      <c r="Q9115" s="5" t="s">
        <v>355</v>
      </c>
    </row>
    <row r="9116" ht="16.5" customHeight="1">
      <c r="O9116" s="5" t="s">
        <v>355</v>
      </c>
      <c r="P9116" s="5" t="s">
        <v>355</v>
      </c>
      <c r="Q9116" s="5" t="s">
        <v>355</v>
      </c>
    </row>
    <row r="9117" ht="16.5" customHeight="1">
      <c r="O9117" s="5" t="s">
        <v>355</v>
      </c>
      <c r="P9117" s="5" t="s">
        <v>355</v>
      </c>
      <c r="Q9117" s="5" t="s">
        <v>355</v>
      </c>
    </row>
    <row r="9118" ht="16.5" customHeight="1">
      <c r="O9118" s="5" t="s">
        <v>355</v>
      </c>
      <c r="P9118" s="5" t="s">
        <v>355</v>
      </c>
      <c r="Q9118" s="5" t="s">
        <v>355</v>
      </c>
    </row>
    <row r="9119" ht="16.5" customHeight="1">
      <c r="O9119" s="5" t="s">
        <v>355</v>
      </c>
      <c r="P9119" s="5" t="s">
        <v>355</v>
      </c>
      <c r="Q9119" s="5" t="s">
        <v>355</v>
      </c>
    </row>
    <row r="9120" ht="16.5" customHeight="1">
      <c r="O9120" s="5" t="s">
        <v>355</v>
      </c>
      <c r="P9120" s="5" t="s">
        <v>355</v>
      </c>
      <c r="Q9120" s="5" t="s">
        <v>355</v>
      </c>
    </row>
    <row r="9121" ht="16.5" customHeight="1">
      <c r="O9121" s="5" t="s">
        <v>355</v>
      </c>
      <c r="P9121" s="5" t="s">
        <v>355</v>
      </c>
      <c r="Q9121" s="5" t="s">
        <v>355</v>
      </c>
    </row>
    <row r="9122" ht="16.5" customHeight="1">
      <c r="O9122" s="5" t="s">
        <v>355</v>
      </c>
      <c r="P9122" s="5" t="s">
        <v>355</v>
      </c>
      <c r="Q9122" s="5" t="s">
        <v>355</v>
      </c>
    </row>
    <row r="9123" ht="16.5" customHeight="1">
      <c r="O9123" s="5" t="s">
        <v>355</v>
      </c>
      <c r="P9123" s="5" t="s">
        <v>355</v>
      </c>
      <c r="Q9123" s="5" t="s">
        <v>355</v>
      </c>
    </row>
    <row r="9124" ht="16.5" customHeight="1">
      <c r="O9124" s="5" t="s">
        <v>355</v>
      </c>
      <c r="P9124" s="5" t="s">
        <v>355</v>
      </c>
      <c r="Q9124" s="5" t="s">
        <v>355</v>
      </c>
    </row>
    <row r="9125" ht="16.5" customHeight="1">
      <c r="O9125" s="5" t="s">
        <v>355</v>
      </c>
      <c r="P9125" s="5" t="s">
        <v>355</v>
      </c>
      <c r="Q9125" s="5" t="s">
        <v>355</v>
      </c>
    </row>
    <row r="9126" ht="16.5" customHeight="1">
      <c r="O9126" s="5" t="s">
        <v>355</v>
      </c>
      <c r="P9126" s="5" t="s">
        <v>355</v>
      </c>
      <c r="Q9126" s="5" t="s">
        <v>355</v>
      </c>
    </row>
    <row r="9127" ht="16.5" customHeight="1">
      <c r="O9127" s="5" t="s">
        <v>355</v>
      </c>
      <c r="P9127" s="5" t="s">
        <v>355</v>
      </c>
      <c r="Q9127" s="5" t="s">
        <v>355</v>
      </c>
    </row>
    <row r="9128" ht="16.5" customHeight="1">
      <c r="O9128" s="5" t="s">
        <v>355</v>
      </c>
      <c r="P9128" s="5" t="s">
        <v>355</v>
      </c>
      <c r="Q9128" s="5" t="s">
        <v>355</v>
      </c>
    </row>
    <row r="9129" ht="16.5" customHeight="1">
      <c r="O9129" s="5" t="s">
        <v>355</v>
      </c>
      <c r="P9129" s="5" t="s">
        <v>355</v>
      </c>
      <c r="Q9129" s="5" t="s">
        <v>355</v>
      </c>
    </row>
    <row r="9130" ht="16.5" customHeight="1">
      <c r="O9130" s="5" t="s">
        <v>355</v>
      </c>
      <c r="P9130" s="5" t="s">
        <v>355</v>
      </c>
      <c r="Q9130" s="5" t="s">
        <v>355</v>
      </c>
    </row>
    <row r="9131" ht="16.5" customHeight="1">
      <c r="O9131" s="5" t="s">
        <v>355</v>
      </c>
      <c r="P9131" s="5" t="s">
        <v>355</v>
      </c>
      <c r="Q9131" s="5" t="s">
        <v>355</v>
      </c>
    </row>
    <row r="9132" ht="16.5" customHeight="1">
      <c r="O9132" s="5" t="s">
        <v>355</v>
      </c>
      <c r="P9132" s="5" t="s">
        <v>355</v>
      </c>
      <c r="Q9132" s="5" t="s">
        <v>355</v>
      </c>
    </row>
    <row r="9133" ht="16.5" customHeight="1">
      <c r="O9133" s="5" t="s">
        <v>355</v>
      </c>
      <c r="P9133" s="5" t="s">
        <v>355</v>
      </c>
      <c r="Q9133" s="5" t="s">
        <v>355</v>
      </c>
    </row>
    <row r="9134" ht="16.5" customHeight="1">
      <c r="O9134" s="5" t="s">
        <v>355</v>
      </c>
      <c r="P9134" s="5" t="s">
        <v>355</v>
      </c>
      <c r="Q9134" s="5" t="s">
        <v>355</v>
      </c>
    </row>
    <row r="9135" ht="16.5" customHeight="1">
      <c r="O9135" s="5" t="s">
        <v>355</v>
      </c>
      <c r="P9135" s="5" t="s">
        <v>355</v>
      </c>
      <c r="Q9135" s="5" t="s">
        <v>355</v>
      </c>
    </row>
    <row r="9136" ht="16.5" customHeight="1">
      <c r="O9136" s="5" t="s">
        <v>355</v>
      </c>
      <c r="P9136" s="5" t="s">
        <v>355</v>
      </c>
      <c r="Q9136" s="5" t="s">
        <v>355</v>
      </c>
    </row>
    <row r="9137" ht="16.5" customHeight="1">
      <c r="O9137" s="5" t="s">
        <v>355</v>
      </c>
      <c r="P9137" s="5" t="s">
        <v>355</v>
      </c>
      <c r="Q9137" s="5" t="s">
        <v>355</v>
      </c>
    </row>
    <row r="9138" ht="16.5" customHeight="1">
      <c r="O9138" s="5" t="s">
        <v>355</v>
      </c>
      <c r="P9138" s="5" t="s">
        <v>355</v>
      </c>
      <c r="Q9138" s="5" t="s">
        <v>355</v>
      </c>
    </row>
    <row r="9139" ht="16.5" customHeight="1">
      <c r="O9139" s="5" t="s">
        <v>355</v>
      </c>
      <c r="P9139" s="5" t="s">
        <v>355</v>
      </c>
      <c r="Q9139" s="5" t="s">
        <v>355</v>
      </c>
    </row>
    <row r="9140" ht="16.5" customHeight="1">
      <c r="O9140" s="5" t="s">
        <v>355</v>
      </c>
      <c r="P9140" s="5" t="s">
        <v>355</v>
      </c>
      <c r="Q9140" s="5" t="s">
        <v>355</v>
      </c>
    </row>
    <row r="9141" ht="16.5" customHeight="1">
      <c r="O9141" s="5" t="s">
        <v>355</v>
      </c>
      <c r="P9141" s="5" t="s">
        <v>355</v>
      </c>
      <c r="Q9141" s="5" t="s">
        <v>355</v>
      </c>
    </row>
    <row r="9142" ht="16.5" customHeight="1">
      <c r="O9142" s="5" t="s">
        <v>355</v>
      </c>
      <c r="P9142" s="5" t="s">
        <v>355</v>
      </c>
      <c r="Q9142" s="5" t="s">
        <v>355</v>
      </c>
    </row>
    <row r="9143" ht="16.5" customHeight="1">
      <c r="O9143" s="5" t="s">
        <v>355</v>
      </c>
      <c r="P9143" s="5" t="s">
        <v>355</v>
      </c>
      <c r="Q9143" s="5" t="s">
        <v>355</v>
      </c>
    </row>
    <row r="9144" ht="16.5" customHeight="1">
      <c r="O9144" s="5" t="s">
        <v>355</v>
      </c>
      <c r="P9144" s="5" t="s">
        <v>355</v>
      </c>
      <c r="Q9144" s="5" t="s">
        <v>355</v>
      </c>
    </row>
    <row r="9145" ht="16.5" customHeight="1">
      <c r="O9145" s="5" t="s">
        <v>355</v>
      </c>
      <c r="P9145" s="5" t="s">
        <v>355</v>
      </c>
      <c r="Q9145" s="5" t="s">
        <v>355</v>
      </c>
    </row>
    <row r="9146" ht="16.5" customHeight="1">
      <c r="O9146" s="5" t="s">
        <v>355</v>
      </c>
      <c r="P9146" s="5" t="s">
        <v>355</v>
      </c>
      <c r="Q9146" s="5" t="s">
        <v>355</v>
      </c>
    </row>
    <row r="9147" ht="16.5" customHeight="1">
      <c r="O9147" s="5" t="s">
        <v>355</v>
      </c>
      <c r="P9147" s="5" t="s">
        <v>355</v>
      </c>
      <c r="Q9147" s="5" t="s">
        <v>355</v>
      </c>
    </row>
    <row r="9148" ht="16.5" customHeight="1">
      <c r="O9148" s="5" t="s">
        <v>355</v>
      </c>
      <c r="P9148" s="5" t="s">
        <v>355</v>
      </c>
      <c r="Q9148" s="5" t="s">
        <v>355</v>
      </c>
    </row>
    <row r="9149" ht="16.5" customHeight="1">
      <c r="O9149" s="5" t="s">
        <v>355</v>
      </c>
      <c r="P9149" s="5" t="s">
        <v>355</v>
      </c>
      <c r="Q9149" s="5" t="s">
        <v>355</v>
      </c>
    </row>
    <row r="9150" ht="16.5" customHeight="1">
      <c r="O9150" s="5" t="s">
        <v>355</v>
      </c>
      <c r="P9150" s="5" t="s">
        <v>355</v>
      </c>
      <c r="Q9150" s="5" t="s">
        <v>355</v>
      </c>
    </row>
    <row r="9151" ht="16.5" customHeight="1">
      <c r="O9151" s="5" t="s">
        <v>355</v>
      </c>
      <c r="P9151" s="5" t="s">
        <v>355</v>
      </c>
      <c r="Q9151" s="5" t="s">
        <v>355</v>
      </c>
    </row>
    <row r="9152" ht="16.5" customHeight="1">
      <c r="O9152" s="5" t="s">
        <v>355</v>
      </c>
      <c r="P9152" s="5" t="s">
        <v>355</v>
      </c>
      <c r="Q9152" s="5" t="s">
        <v>355</v>
      </c>
    </row>
    <row r="9153" ht="16.5" customHeight="1">
      <c r="O9153" s="5" t="s">
        <v>355</v>
      </c>
      <c r="P9153" s="5" t="s">
        <v>355</v>
      </c>
      <c r="Q9153" s="5" t="s">
        <v>355</v>
      </c>
    </row>
    <row r="9154" ht="16.5" customHeight="1">
      <c r="O9154" s="5" t="s">
        <v>355</v>
      </c>
      <c r="P9154" s="5" t="s">
        <v>355</v>
      </c>
      <c r="Q9154" s="5" t="s">
        <v>355</v>
      </c>
    </row>
    <row r="9155" ht="16.5" customHeight="1">
      <c r="O9155" s="5" t="s">
        <v>355</v>
      </c>
      <c r="P9155" s="5" t="s">
        <v>355</v>
      </c>
      <c r="Q9155" s="5" t="s">
        <v>355</v>
      </c>
    </row>
    <row r="9156" ht="16.5" customHeight="1">
      <c r="O9156" s="5" t="s">
        <v>355</v>
      </c>
      <c r="P9156" s="5" t="s">
        <v>355</v>
      </c>
      <c r="Q9156" s="5" t="s">
        <v>355</v>
      </c>
    </row>
    <row r="9157" ht="16.5" customHeight="1">
      <c r="O9157" s="5" t="s">
        <v>355</v>
      </c>
      <c r="P9157" s="5" t="s">
        <v>355</v>
      </c>
      <c r="Q9157" s="5" t="s">
        <v>355</v>
      </c>
    </row>
    <row r="9158" ht="16.5" customHeight="1">
      <c r="O9158" s="5" t="s">
        <v>355</v>
      </c>
      <c r="P9158" s="5" t="s">
        <v>355</v>
      </c>
      <c r="Q9158" s="5" t="s">
        <v>355</v>
      </c>
    </row>
    <row r="9159" ht="16.5" customHeight="1">
      <c r="O9159" s="5" t="s">
        <v>355</v>
      </c>
      <c r="P9159" s="5" t="s">
        <v>355</v>
      </c>
      <c r="Q9159" s="5" t="s">
        <v>355</v>
      </c>
    </row>
    <row r="9160" ht="16.5" customHeight="1">
      <c r="O9160" s="5" t="s">
        <v>355</v>
      </c>
      <c r="P9160" s="5" t="s">
        <v>355</v>
      </c>
      <c r="Q9160" s="5" t="s">
        <v>355</v>
      </c>
    </row>
    <row r="9161" ht="16.5" customHeight="1">
      <c r="O9161" s="5" t="s">
        <v>355</v>
      </c>
      <c r="P9161" s="5" t="s">
        <v>355</v>
      </c>
      <c r="Q9161" s="5" t="s">
        <v>355</v>
      </c>
    </row>
    <row r="9162" ht="16.5" customHeight="1">
      <c r="O9162" s="5" t="s">
        <v>355</v>
      </c>
      <c r="P9162" s="5" t="s">
        <v>355</v>
      </c>
      <c r="Q9162" s="5" t="s">
        <v>355</v>
      </c>
    </row>
    <row r="9163" ht="16.5" customHeight="1">
      <c r="O9163" s="5" t="s">
        <v>355</v>
      </c>
      <c r="P9163" s="5" t="s">
        <v>355</v>
      </c>
      <c r="Q9163" s="5" t="s">
        <v>355</v>
      </c>
    </row>
    <row r="9164" ht="16.5" customHeight="1">
      <c r="O9164" s="5" t="s">
        <v>355</v>
      </c>
      <c r="P9164" s="5" t="s">
        <v>355</v>
      </c>
      <c r="Q9164" s="5" t="s">
        <v>355</v>
      </c>
    </row>
    <row r="9165" ht="16.5" customHeight="1">
      <c r="O9165" s="5" t="s">
        <v>355</v>
      </c>
      <c r="P9165" s="5" t="s">
        <v>355</v>
      </c>
      <c r="Q9165" s="5" t="s">
        <v>355</v>
      </c>
    </row>
    <row r="9166" ht="16.5" customHeight="1">
      <c r="O9166" s="5" t="s">
        <v>355</v>
      </c>
      <c r="P9166" s="5" t="s">
        <v>355</v>
      </c>
      <c r="Q9166" s="5" t="s">
        <v>355</v>
      </c>
    </row>
    <row r="9167" ht="16.5" customHeight="1">
      <c r="O9167" s="5" t="s">
        <v>355</v>
      </c>
      <c r="P9167" s="5" t="s">
        <v>355</v>
      </c>
      <c r="Q9167" s="5" t="s">
        <v>355</v>
      </c>
    </row>
    <row r="9168" ht="16.5" customHeight="1">
      <c r="O9168" s="5" t="s">
        <v>355</v>
      </c>
      <c r="P9168" s="5" t="s">
        <v>355</v>
      </c>
      <c r="Q9168" s="5" t="s">
        <v>355</v>
      </c>
    </row>
    <row r="9169" ht="16.5" customHeight="1">
      <c r="O9169" s="5" t="s">
        <v>355</v>
      </c>
      <c r="P9169" s="5" t="s">
        <v>355</v>
      </c>
      <c r="Q9169" s="5" t="s">
        <v>355</v>
      </c>
    </row>
    <row r="9170" ht="16.5" customHeight="1">
      <c r="O9170" s="5" t="s">
        <v>355</v>
      </c>
      <c r="P9170" s="5" t="s">
        <v>355</v>
      </c>
      <c r="Q9170" s="5" t="s">
        <v>355</v>
      </c>
    </row>
    <row r="9171" ht="16.5" customHeight="1">
      <c r="O9171" s="5" t="s">
        <v>355</v>
      </c>
      <c r="P9171" s="5" t="s">
        <v>355</v>
      </c>
      <c r="Q9171" s="5" t="s">
        <v>355</v>
      </c>
    </row>
    <row r="9172" ht="16.5" customHeight="1">
      <c r="O9172" s="5" t="s">
        <v>355</v>
      </c>
      <c r="P9172" s="5" t="s">
        <v>355</v>
      </c>
      <c r="Q9172" s="5" t="s">
        <v>355</v>
      </c>
    </row>
    <row r="9173" ht="16.5" customHeight="1">
      <c r="O9173" s="5" t="s">
        <v>355</v>
      </c>
      <c r="P9173" s="5" t="s">
        <v>355</v>
      </c>
      <c r="Q9173" s="5" t="s">
        <v>355</v>
      </c>
    </row>
    <row r="9174" ht="16.5" customHeight="1">
      <c r="O9174" s="5" t="s">
        <v>355</v>
      </c>
      <c r="P9174" s="5" t="s">
        <v>355</v>
      </c>
      <c r="Q9174" s="5" t="s">
        <v>355</v>
      </c>
    </row>
    <row r="9175" ht="16.5" customHeight="1">
      <c r="O9175" s="5" t="s">
        <v>355</v>
      </c>
      <c r="P9175" s="5" t="s">
        <v>355</v>
      </c>
      <c r="Q9175" s="5" t="s">
        <v>355</v>
      </c>
    </row>
    <row r="9176" ht="16.5" customHeight="1">
      <c r="O9176" s="5" t="s">
        <v>355</v>
      </c>
      <c r="P9176" s="5" t="s">
        <v>355</v>
      </c>
      <c r="Q9176" s="5" t="s">
        <v>355</v>
      </c>
    </row>
    <row r="9177" ht="16.5" customHeight="1">
      <c r="O9177" s="5" t="s">
        <v>355</v>
      </c>
      <c r="P9177" s="5" t="s">
        <v>355</v>
      </c>
      <c r="Q9177" s="5" t="s">
        <v>355</v>
      </c>
    </row>
    <row r="9178" ht="16.5" customHeight="1">
      <c r="O9178" s="5" t="s">
        <v>355</v>
      </c>
      <c r="P9178" s="5" t="s">
        <v>355</v>
      </c>
      <c r="Q9178" s="5" t="s">
        <v>355</v>
      </c>
    </row>
    <row r="9179" ht="16.5" customHeight="1">
      <c r="O9179" s="5" t="s">
        <v>355</v>
      </c>
      <c r="P9179" s="5" t="s">
        <v>355</v>
      </c>
      <c r="Q9179" s="5" t="s">
        <v>355</v>
      </c>
    </row>
    <row r="9180" ht="16.5" customHeight="1">
      <c r="O9180" s="5" t="s">
        <v>355</v>
      </c>
      <c r="P9180" s="5" t="s">
        <v>355</v>
      </c>
      <c r="Q9180" s="5" t="s">
        <v>355</v>
      </c>
    </row>
    <row r="9181" ht="16.5" customHeight="1">
      <c r="O9181" s="5" t="s">
        <v>355</v>
      </c>
      <c r="P9181" s="5" t="s">
        <v>355</v>
      </c>
      <c r="Q9181" s="5" t="s">
        <v>355</v>
      </c>
    </row>
    <row r="9182" ht="16.5" customHeight="1">
      <c r="O9182" s="5" t="s">
        <v>355</v>
      </c>
      <c r="P9182" s="5" t="s">
        <v>355</v>
      </c>
      <c r="Q9182" s="5" t="s">
        <v>355</v>
      </c>
    </row>
    <row r="9183" ht="16.5" customHeight="1">
      <c r="O9183" s="5" t="s">
        <v>355</v>
      </c>
      <c r="P9183" s="5" t="s">
        <v>355</v>
      </c>
      <c r="Q9183" s="5" t="s">
        <v>355</v>
      </c>
    </row>
    <row r="9184" ht="16.5" customHeight="1">
      <c r="O9184" s="5" t="s">
        <v>355</v>
      </c>
      <c r="P9184" s="5" t="s">
        <v>355</v>
      </c>
      <c r="Q9184" s="5" t="s">
        <v>355</v>
      </c>
    </row>
    <row r="9185" ht="16.5" customHeight="1">
      <c r="O9185" s="5" t="s">
        <v>355</v>
      </c>
      <c r="P9185" s="5" t="s">
        <v>355</v>
      </c>
      <c r="Q9185" s="5" t="s">
        <v>355</v>
      </c>
    </row>
    <row r="9186" ht="16.5" customHeight="1">
      <c r="O9186" s="5" t="s">
        <v>355</v>
      </c>
      <c r="P9186" s="5" t="s">
        <v>355</v>
      </c>
      <c r="Q9186" s="5" t="s">
        <v>355</v>
      </c>
    </row>
    <row r="9187" ht="16.5" customHeight="1">
      <c r="O9187" s="5" t="s">
        <v>355</v>
      </c>
      <c r="P9187" s="5" t="s">
        <v>355</v>
      </c>
      <c r="Q9187" s="5" t="s">
        <v>355</v>
      </c>
    </row>
    <row r="9188" ht="16.5" customHeight="1">
      <c r="O9188" s="5" t="s">
        <v>355</v>
      </c>
      <c r="P9188" s="5" t="s">
        <v>355</v>
      </c>
      <c r="Q9188" s="5" t="s">
        <v>355</v>
      </c>
    </row>
    <row r="9189" ht="16.5" customHeight="1">
      <c r="O9189" s="5" t="s">
        <v>355</v>
      </c>
      <c r="P9189" s="5" t="s">
        <v>355</v>
      </c>
      <c r="Q9189" s="5" t="s">
        <v>355</v>
      </c>
    </row>
    <row r="9190" ht="16.5" customHeight="1">
      <c r="O9190" s="5" t="s">
        <v>355</v>
      </c>
      <c r="P9190" s="5" t="s">
        <v>355</v>
      </c>
      <c r="Q9190" s="5" t="s">
        <v>355</v>
      </c>
    </row>
    <row r="9191" ht="16.5" customHeight="1">
      <c r="O9191" s="5" t="s">
        <v>355</v>
      </c>
      <c r="P9191" s="5" t="s">
        <v>355</v>
      </c>
      <c r="Q9191" s="5" t="s">
        <v>355</v>
      </c>
    </row>
    <row r="9192" ht="16.5" customHeight="1">
      <c r="O9192" s="5" t="s">
        <v>355</v>
      </c>
      <c r="P9192" s="5" t="s">
        <v>355</v>
      </c>
      <c r="Q9192" s="5" t="s">
        <v>355</v>
      </c>
    </row>
    <row r="9193" ht="16.5" customHeight="1">
      <c r="O9193" s="5" t="s">
        <v>355</v>
      </c>
      <c r="P9193" s="5" t="s">
        <v>355</v>
      </c>
      <c r="Q9193" s="5" t="s">
        <v>355</v>
      </c>
    </row>
    <row r="9194" ht="16.5" customHeight="1">
      <c r="O9194" s="5" t="s">
        <v>355</v>
      </c>
      <c r="P9194" s="5" t="s">
        <v>355</v>
      </c>
      <c r="Q9194" s="5" t="s">
        <v>355</v>
      </c>
    </row>
    <row r="9195" ht="16.5" customHeight="1">
      <c r="O9195" s="5" t="s">
        <v>355</v>
      </c>
      <c r="P9195" s="5" t="s">
        <v>355</v>
      </c>
      <c r="Q9195" s="5" t="s">
        <v>355</v>
      </c>
    </row>
    <row r="9196" ht="16.5" customHeight="1">
      <c r="O9196" s="5" t="s">
        <v>355</v>
      </c>
      <c r="P9196" s="5" t="s">
        <v>355</v>
      </c>
      <c r="Q9196" s="5" t="s">
        <v>355</v>
      </c>
    </row>
    <row r="9197" ht="16.5" customHeight="1">
      <c r="O9197" s="5" t="s">
        <v>355</v>
      </c>
      <c r="P9197" s="5" t="s">
        <v>355</v>
      </c>
      <c r="Q9197" s="5" t="s">
        <v>355</v>
      </c>
    </row>
    <row r="9198" ht="16.5" customHeight="1">
      <c r="O9198" s="5" t="s">
        <v>355</v>
      </c>
      <c r="P9198" s="5" t="s">
        <v>355</v>
      </c>
      <c r="Q9198" s="5" t="s">
        <v>355</v>
      </c>
    </row>
    <row r="9199" ht="16.5" customHeight="1">
      <c r="O9199" s="5" t="s">
        <v>355</v>
      </c>
      <c r="P9199" s="5" t="s">
        <v>355</v>
      </c>
      <c r="Q9199" s="5" t="s">
        <v>355</v>
      </c>
    </row>
    <row r="9200" ht="16.5" customHeight="1">
      <c r="O9200" s="5" t="s">
        <v>355</v>
      </c>
      <c r="P9200" s="5" t="s">
        <v>355</v>
      </c>
      <c r="Q9200" s="5" t="s">
        <v>355</v>
      </c>
    </row>
    <row r="9201" ht="16.5" customHeight="1">
      <c r="O9201" s="5" t="s">
        <v>355</v>
      </c>
      <c r="P9201" s="5" t="s">
        <v>355</v>
      </c>
      <c r="Q9201" s="5" t="s">
        <v>355</v>
      </c>
    </row>
    <row r="9202" ht="16.5" customHeight="1">
      <c r="O9202" s="5" t="s">
        <v>355</v>
      </c>
      <c r="P9202" s="5" t="s">
        <v>355</v>
      </c>
      <c r="Q9202" s="5" t="s">
        <v>355</v>
      </c>
    </row>
    <row r="9203" ht="16.5" customHeight="1">
      <c r="O9203" s="5" t="s">
        <v>355</v>
      </c>
      <c r="P9203" s="5" t="s">
        <v>355</v>
      </c>
      <c r="Q9203" s="5" t="s">
        <v>355</v>
      </c>
    </row>
    <row r="9204" ht="16.5" customHeight="1">
      <c r="O9204" s="5" t="s">
        <v>355</v>
      </c>
      <c r="P9204" s="5" t="s">
        <v>355</v>
      </c>
      <c r="Q9204" s="5" t="s">
        <v>355</v>
      </c>
    </row>
    <row r="9205" ht="16.5" customHeight="1">
      <c r="O9205" s="5" t="s">
        <v>355</v>
      </c>
      <c r="P9205" s="5" t="s">
        <v>355</v>
      </c>
      <c r="Q9205" s="5" t="s">
        <v>355</v>
      </c>
    </row>
    <row r="9206" ht="16.5" customHeight="1">
      <c r="O9206" s="5" t="s">
        <v>355</v>
      </c>
      <c r="P9206" s="5" t="s">
        <v>355</v>
      </c>
      <c r="Q9206" s="5" t="s">
        <v>355</v>
      </c>
    </row>
    <row r="9207" ht="16.5" customHeight="1">
      <c r="O9207" s="5" t="s">
        <v>355</v>
      </c>
      <c r="P9207" s="5" t="s">
        <v>355</v>
      </c>
      <c r="Q9207" s="5" t="s">
        <v>355</v>
      </c>
    </row>
    <row r="9208" ht="16.5" customHeight="1">
      <c r="O9208" s="5" t="s">
        <v>355</v>
      </c>
      <c r="P9208" s="5" t="s">
        <v>355</v>
      </c>
      <c r="Q9208" s="5" t="s">
        <v>355</v>
      </c>
    </row>
    <row r="9209" ht="16.5" customHeight="1">
      <c r="O9209" s="5" t="s">
        <v>355</v>
      </c>
      <c r="P9209" s="5" t="s">
        <v>355</v>
      </c>
      <c r="Q9209" s="5" t="s">
        <v>355</v>
      </c>
    </row>
    <row r="9210" ht="16.5" customHeight="1">
      <c r="O9210" s="5" t="s">
        <v>355</v>
      </c>
      <c r="P9210" s="5" t="s">
        <v>355</v>
      </c>
      <c r="Q9210" s="5" t="s">
        <v>355</v>
      </c>
    </row>
    <row r="9211" ht="16.5" customHeight="1">
      <c r="O9211" s="5" t="s">
        <v>355</v>
      </c>
      <c r="P9211" s="5" t="s">
        <v>355</v>
      </c>
      <c r="Q9211" s="5" t="s">
        <v>355</v>
      </c>
    </row>
    <row r="9212" ht="16.5" customHeight="1">
      <c r="O9212" s="5" t="s">
        <v>355</v>
      </c>
      <c r="P9212" s="5" t="s">
        <v>355</v>
      </c>
      <c r="Q9212" s="5" t="s">
        <v>355</v>
      </c>
    </row>
    <row r="9213" ht="16.5" customHeight="1">
      <c r="O9213" s="5" t="s">
        <v>355</v>
      </c>
      <c r="P9213" s="5" t="s">
        <v>355</v>
      </c>
      <c r="Q9213" s="5" t="s">
        <v>355</v>
      </c>
    </row>
    <row r="9214" ht="16.5" customHeight="1">
      <c r="O9214" s="5" t="s">
        <v>355</v>
      </c>
      <c r="P9214" s="5" t="s">
        <v>355</v>
      </c>
      <c r="Q9214" s="5" t="s">
        <v>355</v>
      </c>
    </row>
    <row r="9215" ht="16.5" customHeight="1">
      <c r="O9215" s="5" t="s">
        <v>355</v>
      </c>
      <c r="P9215" s="5" t="s">
        <v>355</v>
      </c>
      <c r="Q9215" s="5" t="s">
        <v>355</v>
      </c>
    </row>
    <row r="9216" ht="16.5" customHeight="1">
      <c r="O9216" s="5" t="s">
        <v>355</v>
      </c>
      <c r="P9216" s="5" t="s">
        <v>355</v>
      </c>
      <c r="Q9216" s="5" t="s">
        <v>355</v>
      </c>
    </row>
    <row r="9217" ht="16.5" customHeight="1">
      <c r="O9217" s="5" t="s">
        <v>355</v>
      </c>
      <c r="P9217" s="5" t="s">
        <v>355</v>
      </c>
      <c r="Q9217" s="5" t="s">
        <v>355</v>
      </c>
    </row>
    <row r="9218" ht="16.5" customHeight="1">
      <c r="O9218" s="5" t="s">
        <v>355</v>
      </c>
      <c r="P9218" s="5" t="s">
        <v>355</v>
      </c>
      <c r="Q9218" s="5" t="s">
        <v>355</v>
      </c>
    </row>
    <row r="9219" ht="16.5" customHeight="1">
      <c r="O9219" s="5" t="s">
        <v>355</v>
      </c>
      <c r="P9219" s="5" t="s">
        <v>355</v>
      </c>
      <c r="Q9219" s="5" t="s">
        <v>355</v>
      </c>
    </row>
    <row r="9220" ht="16.5" customHeight="1">
      <c r="O9220" s="5" t="s">
        <v>355</v>
      </c>
      <c r="P9220" s="5" t="s">
        <v>355</v>
      </c>
      <c r="Q9220" s="5" t="s">
        <v>355</v>
      </c>
    </row>
    <row r="9221" ht="16.5" customHeight="1">
      <c r="O9221" s="5" t="s">
        <v>355</v>
      </c>
      <c r="P9221" s="5" t="s">
        <v>355</v>
      </c>
      <c r="Q9221" s="5" t="s">
        <v>355</v>
      </c>
    </row>
    <row r="9222" ht="16.5" customHeight="1">
      <c r="O9222" s="5" t="s">
        <v>355</v>
      </c>
      <c r="P9222" s="5" t="s">
        <v>355</v>
      </c>
      <c r="Q9222" s="5" t="s">
        <v>355</v>
      </c>
    </row>
    <row r="9223" ht="16.5" customHeight="1">
      <c r="O9223" s="5" t="s">
        <v>355</v>
      </c>
      <c r="P9223" s="5" t="s">
        <v>355</v>
      </c>
      <c r="Q9223" s="5" t="s">
        <v>355</v>
      </c>
    </row>
    <row r="9224" ht="16.5" customHeight="1">
      <c r="O9224" s="5" t="s">
        <v>355</v>
      </c>
      <c r="P9224" s="5" t="s">
        <v>355</v>
      </c>
      <c r="Q9224" s="5" t="s">
        <v>355</v>
      </c>
    </row>
    <row r="9225" ht="16.5" customHeight="1">
      <c r="O9225" s="5" t="s">
        <v>355</v>
      </c>
      <c r="P9225" s="5" t="s">
        <v>355</v>
      </c>
      <c r="Q9225" s="5" t="s">
        <v>355</v>
      </c>
    </row>
    <row r="9226" ht="16.5" customHeight="1">
      <c r="O9226" s="5" t="s">
        <v>355</v>
      </c>
      <c r="P9226" s="5" t="s">
        <v>355</v>
      </c>
      <c r="Q9226" s="5" t="s">
        <v>355</v>
      </c>
    </row>
    <row r="9227" ht="16.5" customHeight="1">
      <c r="O9227" s="5" t="s">
        <v>355</v>
      </c>
      <c r="P9227" s="5" t="s">
        <v>355</v>
      </c>
      <c r="Q9227" s="5" t="s">
        <v>355</v>
      </c>
    </row>
    <row r="9228" ht="16.5" customHeight="1">
      <c r="O9228" s="5" t="s">
        <v>355</v>
      </c>
      <c r="P9228" s="5" t="s">
        <v>355</v>
      </c>
      <c r="Q9228" s="5" t="s">
        <v>355</v>
      </c>
    </row>
    <row r="9229" ht="16.5" customHeight="1">
      <c r="O9229" s="5" t="s">
        <v>355</v>
      </c>
      <c r="P9229" s="5" t="s">
        <v>355</v>
      </c>
      <c r="Q9229" s="5" t="s">
        <v>355</v>
      </c>
    </row>
    <row r="9230" ht="16.5" customHeight="1">
      <c r="O9230" s="5" t="s">
        <v>355</v>
      </c>
      <c r="P9230" s="5" t="s">
        <v>355</v>
      </c>
      <c r="Q9230" s="5" t="s">
        <v>355</v>
      </c>
    </row>
    <row r="9231" ht="16.5" customHeight="1">
      <c r="O9231" s="5" t="s">
        <v>355</v>
      </c>
      <c r="P9231" s="5" t="s">
        <v>355</v>
      </c>
      <c r="Q9231" s="5" t="s">
        <v>355</v>
      </c>
    </row>
    <row r="9232" ht="16.5" customHeight="1">
      <c r="O9232" s="5" t="s">
        <v>355</v>
      </c>
      <c r="P9232" s="5" t="s">
        <v>355</v>
      </c>
      <c r="Q9232" s="5" t="s">
        <v>355</v>
      </c>
    </row>
    <row r="9233" ht="16.5" customHeight="1">
      <c r="O9233" s="5" t="s">
        <v>355</v>
      </c>
      <c r="P9233" s="5" t="s">
        <v>355</v>
      </c>
      <c r="Q9233" s="5" t="s">
        <v>355</v>
      </c>
    </row>
    <row r="9234" ht="16.5" customHeight="1">
      <c r="O9234" s="5" t="s">
        <v>355</v>
      </c>
      <c r="P9234" s="5" t="s">
        <v>355</v>
      </c>
      <c r="Q9234" s="5" t="s">
        <v>355</v>
      </c>
    </row>
    <row r="9235" ht="16.5" customHeight="1">
      <c r="O9235" s="5" t="s">
        <v>355</v>
      </c>
      <c r="P9235" s="5" t="s">
        <v>355</v>
      </c>
      <c r="Q9235" s="5" t="s">
        <v>355</v>
      </c>
    </row>
    <row r="9236" ht="16.5" customHeight="1">
      <c r="O9236" s="5" t="s">
        <v>355</v>
      </c>
      <c r="P9236" s="5" t="s">
        <v>355</v>
      </c>
      <c r="Q9236" s="5" t="s">
        <v>355</v>
      </c>
    </row>
    <row r="9237" ht="16.5" customHeight="1">
      <c r="O9237" s="5" t="s">
        <v>355</v>
      </c>
      <c r="P9237" s="5" t="s">
        <v>355</v>
      </c>
      <c r="Q9237" s="5" t="s">
        <v>355</v>
      </c>
    </row>
    <row r="9238" ht="16.5" customHeight="1">
      <c r="O9238" s="5" t="s">
        <v>355</v>
      </c>
      <c r="P9238" s="5" t="s">
        <v>355</v>
      </c>
      <c r="Q9238" s="5" t="s">
        <v>355</v>
      </c>
    </row>
    <row r="9239" ht="16.5" customHeight="1">
      <c r="O9239" s="5" t="s">
        <v>355</v>
      </c>
      <c r="P9239" s="5" t="s">
        <v>355</v>
      </c>
      <c r="Q9239" s="5" t="s">
        <v>355</v>
      </c>
    </row>
    <row r="9240" ht="16.5" customHeight="1">
      <c r="O9240" s="5" t="s">
        <v>355</v>
      </c>
      <c r="P9240" s="5" t="s">
        <v>355</v>
      </c>
      <c r="Q9240" s="5" t="s">
        <v>355</v>
      </c>
    </row>
    <row r="9241" ht="16.5" customHeight="1">
      <c r="O9241" s="5" t="s">
        <v>355</v>
      </c>
      <c r="P9241" s="5" t="s">
        <v>355</v>
      </c>
      <c r="Q9241" s="5" t="s">
        <v>355</v>
      </c>
    </row>
    <row r="9242" ht="16.5" customHeight="1">
      <c r="O9242" s="5" t="s">
        <v>355</v>
      </c>
      <c r="P9242" s="5" t="s">
        <v>355</v>
      </c>
      <c r="Q9242" s="5" t="s">
        <v>355</v>
      </c>
    </row>
    <row r="9243" ht="16.5" customHeight="1">
      <c r="O9243" s="5" t="s">
        <v>355</v>
      </c>
      <c r="P9243" s="5" t="s">
        <v>355</v>
      </c>
      <c r="Q9243" s="5" t="s">
        <v>355</v>
      </c>
    </row>
    <row r="9244" ht="16.5" customHeight="1">
      <c r="O9244" s="5" t="s">
        <v>355</v>
      </c>
      <c r="P9244" s="5" t="s">
        <v>355</v>
      </c>
      <c r="Q9244" s="5" t="s">
        <v>355</v>
      </c>
    </row>
    <row r="9245" ht="16.5" customHeight="1">
      <c r="O9245" s="5" t="s">
        <v>355</v>
      </c>
      <c r="P9245" s="5" t="s">
        <v>355</v>
      </c>
      <c r="Q9245" s="5" t="s">
        <v>355</v>
      </c>
    </row>
    <row r="9246" ht="16.5" customHeight="1">
      <c r="O9246" s="5" t="s">
        <v>355</v>
      </c>
      <c r="P9246" s="5" t="s">
        <v>355</v>
      </c>
      <c r="Q9246" s="5" t="s">
        <v>355</v>
      </c>
    </row>
    <row r="9247" ht="16.5" customHeight="1">
      <c r="O9247" s="5" t="s">
        <v>355</v>
      </c>
      <c r="P9247" s="5" t="s">
        <v>355</v>
      </c>
      <c r="Q9247" s="5" t="s">
        <v>355</v>
      </c>
    </row>
    <row r="9248" ht="16.5" customHeight="1">
      <c r="O9248" s="5" t="s">
        <v>355</v>
      </c>
      <c r="P9248" s="5" t="s">
        <v>355</v>
      </c>
      <c r="Q9248" s="5" t="s">
        <v>355</v>
      </c>
    </row>
    <row r="9249" ht="16.5" customHeight="1">
      <c r="O9249" s="5" t="s">
        <v>355</v>
      </c>
      <c r="P9249" s="5" t="s">
        <v>355</v>
      </c>
      <c r="Q9249" s="5" t="s">
        <v>355</v>
      </c>
    </row>
    <row r="9250" ht="16.5" customHeight="1">
      <c r="O9250" s="5" t="s">
        <v>355</v>
      </c>
      <c r="P9250" s="5" t="s">
        <v>355</v>
      </c>
      <c r="Q9250" s="5" t="s">
        <v>355</v>
      </c>
    </row>
    <row r="9251" ht="16.5" customHeight="1">
      <c r="O9251" s="5" t="s">
        <v>355</v>
      </c>
      <c r="P9251" s="5" t="s">
        <v>355</v>
      </c>
      <c r="Q9251" s="5" t="s">
        <v>355</v>
      </c>
    </row>
    <row r="9252" ht="16.5" customHeight="1">
      <c r="O9252" s="5" t="s">
        <v>355</v>
      </c>
      <c r="P9252" s="5" t="s">
        <v>355</v>
      </c>
      <c r="Q9252" s="5" t="s">
        <v>355</v>
      </c>
    </row>
    <row r="9253" ht="16.5" customHeight="1">
      <c r="O9253" s="5" t="s">
        <v>355</v>
      </c>
      <c r="P9253" s="5" t="s">
        <v>355</v>
      </c>
      <c r="Q9253" s="5" t="s">
        <v>355</v>
      </c>
    </row>
    <row r="9254" ht="16.5" customHeight="1">
      <c r="O9254" s="5" t="s">
        <v>355</v>
      </c>
      <c r="P9254" s="5" t="s">
        <v>355</v>
      </c>
      <c r="Q9254" s="5" t="s">
        <v>355</v>
      </c>
    </row>
    <row r="9255" ht="16.5" customHeight="1">
      <c r="O9255" s="5" t="s">
        <v>355</v>
      </c>
      <c r="P9255" s="5" t="s">
        <v>355</v>
      </c>
      <c r="Q9255" s="5" t="s">
        <v>355</v>
      </c>
    </row>
    <row r="9256" ht="16.5" customHeight="1">
      <c r="O9256" s="5" t="s">
        <v>355</v>
      </c>
      <c r="P9256" s="5" t="s">
        <v>355</v>
      </c>
      <c r="Q9256" s="5" t="s">
        <v>355</v>
      </c>
    </row>
    <row r="9257" ht="16.5" customHeight="1">
      <c r="O9257" s="5" t="s">
        <v>355</v>
      </c>
      <c r="P9257" s="5" t="s">
        <v>355</v>
      </c>
      <c r="Q9257" s="5" t="s">
        <v>355</v>
      </c>
    </row>
    <row r="9258" ht="16.5" customHeight="1">
      <c r="O9258" s="5" t="s">
        <v>355</v>
      </c>
      <c r="P9258" s="5" t="s">
        <v>355</v>
      </c>
      <c r="Q9258" s="5" t="s">
        <v>355</v>
      </c>
    </row>
    <row r="9259" ht="16.5" customHeight="1">
      <c r="O9259" s="5" t="s">
        <v>355</v>
      </c>
      <c r="P9259" s="5" t="s">
        <v>355</v>
      </c>
      <c r="Q9259" s="5" t="s">
        <v>355</v>
      </c>
    </row>
    <row r="9260" ht="16.5" customHeight="1">
      <c r="O9260" s="5" t="s">
        <v>355</v>
      </c>
      <c r="P9260" s="5" t="s">
        <v>355</v>
      </c>
      <c r="Q9260" s="5" t="s">
        <v>355</v>
      </c>
    </row>
    <row r="9261" ht="16.5" customHeight="1">
      <c r="O9261" s="5" t="s">
        <v>355</v>
      </c>
      <c r="P9261" s="5" t="s">
        <v>355</v>
      </c>
      <c r="Q9261" s="5" t="s">
        <v>355</v>
      </c>
    </row>
    <row r="9262" ht="16.5" customHeight="1">
      <c r="O9262" s="5" t="s">
        <v>355</v>
      </c>
      <c r="P9262" s="5" t="s">
        <v>355</v>
      </c>
      <c r="Q9262" s="5" t="s">
        <v>355</v>
      </c>
    </row>
    <row r="9263" ht="16.5" customHeight="1">
      <c r="O9263" s="5" t="s">
        <v>355</v>
      </c>
      <c r="P9263" s="5" t="s">
        <v>355</v>
      </c>
      <c r="Q9263" s="5" t="s">
        <v>355</v>
      </c>
    </row>
    <row r="9264" ht="16.5" customHeight="1">
      <c r="O9264" s="5" t="s">
        <v>355</v>
      </c>
      <c r="P9264" s="5" t="s">
        <v>355</v>
      </c>
      <c r="Q9264" s="5" t="s">
        <v>355</v>
      </c>
    </row>
    <row r="9265" ht="16.5" customHeight="1">
      <c r="O9265" s="5" t="s">
        <v>355</v>
      </c>
      <c r="P9265" s="5" t="s">
        <v>355</v>
      </c>
      <c r="Q9265" s="5" t="s">
        <v>355</v>
      </c>
    </row>
    <row r="9266" ht="16.5" customHeight="1">
      <c r="O9266" s="5" t="s">
        <v>355</v>
      </c>
      <c r="P9266" s="5" t="s">
        <v>355</v>
      </c>
      <c r="Q9266" s="5" t="s">
        <v>355</v>
      </c>
    </row>
    <row r="9267" ht="16.5" customHeight="1">
      <c r="O9267" s="5" t="s">
        <v>355</v>
      </c>
      <c r="P9267" s="5" t="s">
        <v>355</v>
      </c>
      <c r="Q9267" s="5" t="s">
        <v>355</v>
      </c>
    </row>
    <row r="9268" ht="16.5" customHeight="1">
      <c r="O9268" s="5" t="s">
        <v>355</v>
      </c>
      <c r="P9268" s="5" t="s">
        <v>355</v>
      </c>
      <c r="Q9268" s="5" t="s">
        <v>355</v>
      </c>
    </row>
    <row r="9269" ht="16.5" customHeight="1">
      <c r="O9269" s="5" t="s">
        <v>355</v>
      </c>
      <c r="P9269" s="5" t="s">
        <v>355</v>
      </c>
      <c r="Q9269" s="5" t="s">
        <v>355</v>
      </c>
    </row>
    <row r="9270" ht="16.5" customHeight="1">
      <c r="O9270" s="5" t="s">
        <v>355</v>
      </c>
      <c r="P9270" s="5" t="s">
        <v>355</v>
      </c>
      <c r="Q9270" s="5" t="s">
        <v>355</v>
      </c>
    </row>
    <row r="9271" ht="16.5" customHeight="1">
      <c r="O9271" s="5" t="s">
        <v>355</v>
      </c>
      <c r="P9271" s="5" t="s">
        <v>355</v>
      </c>
      <c r="Q9271" s="5" t="s">
        <v>355</v>
      </c>
    </row>
    <row r="9272" ht="16.5" customHeight="1">
      <c r="O9272" s="5" t="s">
        <v>355</v>
      </c>
      <c r="P9272" s="5" t="s">
        <v>355</v>
      </c>
      <c r="Q9272" s="5" t="s">
        <v>355</v>
      </c>
    </row>
    <row r="9273" ht="16.5" customHeight="1">
      <c r="O9273" s="5" t="s">
        <v>355</v>
      </c>
      <c r="P9273" s="5" t="s">
        <v>355</v>
      </c>
      <c r="Q9273" s="5" t="s">
        <v>355</v>
      </c>
    </row>
    <row r="9274" ht="16.5" customHeight="1">
      <c r="O9274" s="5" t="s">
        <v>355</v>
      </c>
      <c r="P9274" s="5" t="s">
        <v>355</v>
      </c>
      <c r="Q9274" s="5" t="s">
        <v>355</v>
      </c>
    </row>
    <row r="9275" ht="16.5" customHeight="1">
      <c r="O9275" s="5" t="s">
        <v>355</v>
      </c>
      <c r="P9275" s="5" t="s">
        <v>355</v>
      </c>
      <c r="Q9275" s="5" t="s">
        <v>355</v>
      </c>
    </row>
    <row r="9276" ht="16.5" customHeight="1">
      <c r="O9276" s="5" t="s">
        <v>355</v>
      </c>
      <c r="P9276" s="5" t="s">
        <v>355</v>
      </c>
      <c r="Q9276" s="5" t="s">
        <v>355</v>
      </c>
    </row>
    <row r="9277" ht="16.5" customHeight="1">
      <c r="O9277" s="5" t="s">
        <v>355</v>
      </c>
      <c r="P9277" s="5" t="s">
        <v>355</v>
      </c>
      <c r="Q9277" s="5" t="s">
        <v>355</v>
      </c>
    </row>
    <row r="9278" ht="16.5" customHeight="1">
      <c r="O9278" s="5" t="s">
        <v>355</v>
      </c>
      <c r="P9278" s="5" t="s">
        <v>355</v>
      </c>
      <c r="Q9278" s="5" t="s">
        <v>355</v>
      </c>
    </row>
    <row r="9279" ht="16.5" customHeight="1">
      <c r="O9279" s="5" t="s">
        <v>355</v>
      </c>
      <c r="P9279" s="5" t="s">
        <v>355</v>
      </c>
      <c r="Q9279" s="5" t="s">
        <v>355</v>
      </c>
    </row>
    <row r="9280" ht="16.5" customHeight="1">
      <c r="O9280" s="5" t="s">
        <v>355</v>
      </c>
      <c r="P9280" s="5" t="s">
        <v>355</v>
      </c>
      <c r="Q9280" s="5" t="s">
        <v>355</v>
      </c>
    </row>
    <row r="9281" ht="16.5" customHeight="1">
      <c r="O9281" s="5" t="s">
        <v>355</v>
      </c>
      <c r="P9281" s="5" t="s">
        <v>355</v>
      </c>
      <c r="Q9281" s="5" t="s">
        <v>355</v>
      </c>
    </row>
    <row r="9282" ht="16.5" customHeight="1">
      <c r="O9282" s="5" t="s">
        <v>355</v>
      </c>
      <c r="P9282" s="5" t="s">
        <v>355</v>
      </c>
      <c r="Q9282" s="5" t="s">
        <v>355</v>
      </c>
    </row>
    <row r="9283" ht="16.5" customHeight="1">
      <c r="O9283" s="5" t="s">
        <v>355</v>
      </c>
      <c r="P9283" s="5" t="s">
        <v>355</v>
      </c>
      <c r="Q9283" s="5" t="s">
        <v>355</v>
      </c>
    </row>
    <row r="9284" ht="16.5" customHeight="1">
      <c r="O9284" s="5" t="s">
        <v>355</v>
      </c>
      <c r="P9284" s="5" t="s">
        <v>355</v>
      </c>
      <c r="Q9284" s="5" t="s">
        <v>355</v>
      </c>
    </row>
    <row r="9285" ht="16.5" customHeight="1">
      <c r="O9285" s="5" t="s">
        <v>355</v>
      </c>
      <c r="P9285" s="5" t="s">
        <v>355</v>
      </c>
      <c r="Q9285" s="5" t="s">
        <v>355</v>
      </c>
    </row>
    <row r="9286" ht="16.5" customHeight="1">
      <c r="O9286" s="5" t="s">
        <v>355</v>
      </c>
      <c r="P9286" s="5" t="s">
        <v>355</v>
      </c>
      <c r="Q9286" s="5" t="s">
        <v>355</v>
      </c>
    </row>
    <row r="9287" ht="16.5" customHeight="1">
      <c r="O9287" s="5" t="s">
        <v>355</v>
      </c>
      <c r="P9287" s="5" t="s">
        <v>355</v>
      </c>
      <c r="Q9287" s="5" t="s">
        <v>355</v>
      </c>
    </row>
    <row r="9288" ht="16.5" customHeight="1">
      <c r="O9288" s="5" t="s">
        <v>355</v>
      </c>
      <c r="P9288" s="5" t="s">
        <v>355</v>
      </c>
      <c r="Q9288" s="5" t="s">
        <v>355</v>
      </c>
    </row>
    <row r="9289" ht="16.5" customHeight="1">
      <c r="O9289" s="5" t="s">
        <v>355</v>
      </c>
      <c r="P9289" s="5" t="s">
        <v>355</v>
      </c>
      <c r="Q9289" s="5" t="s">
        <v>355</v>
      </c>
    </row>
    <row r="9290" ht="16.5" customHeight="1">
      <c r="O9290" s="5" t="s">
        <v>355</v>
      </c>
      <c r="P9290" s="5" t="s">
        <v>355</v>
      </c>
      <c r="Q9290" s="5" t="s">
        <v>355</v>
      </c>
    </row>
    <row r="9291" ht="16.5" customHeight="1">
      <c r="O9291" s="5" t="s">
        <v>355</v>
      </c>
      <c r="P9291" s="5" t="s">
        <v>355</v>
      </c>
      <c r="Q9291" s="5" t="s">
        <v>355</v>
      </c>
    </row>
    <row r="9292" ht="16.5" customHeight="1">
      <c r="O9292" s="5" t="s">
        <v>355</v>
      </c>
      <c r="P9292" s="5" t="s">
        <v>355</v>
      </c>
      <c r="Q9292" s="5" t="s">
        <v>355</v>
      </c>
    </row>
    <row r="9293" ht="16.5" customHeight="1">
      <c r="O9293" s="5" t="s">
        <v>355</v>
      </c>
      <c r="P9293" s="5" t="s">
        <v>355</v>
      </c>
      <c r="Q9293" s="5" t="s">
        <v>355</v>
      </c>
    </row>
    <row r="9294" ht="16.5" customHeight="1">
      <c r="O9294" s="5" t="s">
        <v>355</v>
      </c>
      <c r="P9294" s="5" t="s">
        <v>355</v>
      </c>
      <c r="Q9294" s="5" t="s">
        <v>355</v>
      </c>
    </row>
    <row r="9295" ht="16.5" customHeight="1">
      <c r="O9295" s="5" t="s">
        <v>355</v>
      </c>
      <c r="P9295" s="5" t="s">
        <v>355</v>
      </c>
      <c r="Q9295" s="5" t="s">
        <v>355</v>
      </c>
    </row>
    <row r="9296" ht="16.5" customHeight="1">
      <c r="O9296" s="5" t="s">
        <v>355</v>
      </c>
      <c r="P9296" s="5" t="s">
        <v>355</v>
      </c>
      <c r="Q9296" s="5" t="s">
        <v>355</v>
      </c>
    </row>
    <row r="9297" ht="16.5" customHeight="1">
      <c r="O9297" s="5" t="s">
        <v>355</v>
      </c>
      <c r="P9297" s="5" t="s">
        <v>355</v>
      </c>
      <c r="Q9297" s="5" t="s">
        <v>355</v>
      </c>
    </row>
    <row r="9298" ht="16.5" customHeight="1">
      <c r="O9298" s="5" t="s">
        <v>355</v>
      </c>
      <c r="P9298" s="5" t="s">
        <v>355</v>
      </c>
      <c r="Q9298" s="5" t="s">
        <v>355</v>
      </c>
    </row>
    <row r="9299" ht="16.5" customHeight="1">
      <c r="O9299" s="5" t="s">
        <v>355</v>
      </c>
      <c r="P9299" s="5" t="s">
        <v>355</v>
      </c>
      <c r="Q9299" s="5" t="s">
        <v>355</v>
      </c>
    </row>
    <row r="9300" ht="16.5" customHeight="1">
      <c r="O9300" s="5" t="s">
        <v>355</v>
      </c>
      <c r="P9300" s="5" t="s">
        <v>355</v>
      </c>
      <c r="Q9300" s="5" t="s">
        <v>355</v>
      </c>
    </row>
    <row r="9301" ht="16.5" customHeight="1">
      <c r="O9301" s="5" t="s">
        <v>355</v>
      </c>
      <c r="P9301" s="5" t="s">
        <v>355</v>
      </c>
      <c r="Q9301" s="5" t="s">
        <v>355</v>
      </c>
    </row>
    <row r="9302" ht="16.5" customHeight="1">
      <c r="O9302" s="5" t="s">
        <v>355</v>
      </c>
      <c r="P9302" s="5" t="s">
        <v>355</v>
      </c>
      <c r="Q9302" s="5" t="s">
        <v>355</v>
      </c>
    </row>
    <row r="9303" ht="16.5" customHeight="1">
      <c r="O9303" s="5" t="s">
        <v>355</v>
      </c>
      <c r="P9303" s="5" t="s">
        <v>355</v>
      </c>
      <c r="Q9303" s="5" t="s">
        <v>355</v>
      </c>
    </row>
    <row r="9304" ht="16.5" customHeight="1">
      <c r="O9304" s="5" t="s">
        <v>355</v>
      </c>
      <c r="P9304" s="5" t="s">
        <v>355</v>
      </c>
      <c r="Q9304" s="5" t="s">
        <v>355</v>
      </c>
    </row>
    <row r="9305" ht="16.5" customHeight="1">
      <c r="O9305" s="5" t="s">
        <v>355</v>
      </c>
      <c r="P9305" s="5" t="s">
        <v>355</v>
      </c>
      <c r="Q9305" s="5" t="s">
        <v>355</v>
      </c>
    </row>
    <row r="9306" ht="16.5" customHeight="1">
      <c r="O9306" s="5" t="s">
        <v>355</v>
      </c>
      <c r="P9306" s="5" t="s">
        <v>355</v>
      </c>
      <c r="Q9306" s="5" t="s">
        <v>355</v>
      </c>
    </row>
    <row r="9307" ht="16.5" customHeight="1">
      <c r="O9307" s="5" t="s">
        <v>355</v>
      </c>
      <c r="P9307" s="5" t="s">
        <v>355</v>
      </c>
      <c r="Q9307" s="5" t="s">
        <v>355</v>
      </c>
    </row>
    <row r="9308" ht="16.5" customHeight="1">
      <c r="O9308" s="5" t="s">
        <v>355</v>
      </c>
      <c r="P9308" s="5" t="s">
        <v>355</v>
      </c>
      <c r="Q9308" s="5" t="s">
        <v>355</v>
      </c>
    </row>
    <row r="9309" ht="16.5" customHeight="1">
      <c r="O9309" s="5" t="s">
        <v>355</v>
      </c>
      <c r="P9309" s="5" t="s">
        <v>355</v>
      </c>
      <c r="Q9309" s="5" t="s">
        <v>355</v>
      </c>
    </row>
    <row r="9310" ht="16.5" customHeight="1">
      <c r="O9310" s="5" t="s">
        <v>355</v>
      </c>
      <c r="P9310" s="5" t="s">
        <v>355</v>
      </c>
      <c r="Q9310" s="5" t="s">
        <v>355</v>
      </c>
    </row>
    <row r="9311" ht="16.5" customHeight="1">
      <c r="O9311" s="5" t="s">
        <v>355</v>
      </c>
      <c r="P9311" s="5" t="s">
        <v>355</v>
      </c>
      <c r="Q9311" s="5" t="s">
        <v>355</v>
      </c>
    </row>
    <row r="9312" ht="16.5" customHeight="1">
      <c r="O9312" s="5" t="s">
        <v>355</v>
      </c>
      <c r="P9312" s="5" t="s">
        <v>355</v>
      </c>
      <c r="Q9312" s="5" t="s">
        <v>355</v>
      </c>
    </row>
    <row r="9313" ht="16.5" customHeight="1">
      <c r="O9313" s="5" t="s">
        <v>355</v>
      </c>
      <c r="P9313" s="5" t="s">
        <v>355</v>
      </c>
      <c r="Q9313" s="5" t="s">
        <v>355</v>
      </c>
    </row>
    <row r="9314" ht="16.5" customHeight="1">
      <c r="O9314" s="5" t="s">
        <v>355</v>
      </c>
      <c r="P9314" s="5" t="s">
        <v>355</v>
      </c>
      <c r="Q9314" s="5" t="s">
        <v>355</v>
      </c>
    </row>
    <row r="9315" ht="16.5" customHeight="1">
      <c r="O9315" s="5" t="s">
        <v>355</v>
      </c>
      <c r="P9315" s="5" t="s">
        <v>355</v>
      </c>
      <c r="Q9315" s="5" t="s">
        <v>355</v>
      </c>
    </row>
    <row r="9316" ht="16.5" customHeight="1">
      <c r="O9316" s="5" t="s">
        <v>355</v>
      </c>
      <c r="P9316" s="5" t="s">
        <v>355</v>
      </c>
      <c r="Q9316" s="5" t="s">
        <v>355</v>
      </c>
    </row>
    <row r="9317" ht="16.5" customHeight="1">
      <c r="O9317" s="5" t="s">
        <v>355</v>
      </c>
      <c r="P9317" s="5" t="s">
        <v>355</v>
      </c>
      <c r="Q9317" s="5" t="s">
        <v>355</v>
      </c>
    </row>
    <row r="9318" ht="16.5" customHeight="1">
      <c r="O9318" s="5" t="s">
        <v>355</v>
      </c>
      <c r="P9318" s="5" t="s">
        <v>355</v>
      </c>
      <c r="Q9318" s="5" t="s">
        <v>355</v>
      </c>
    </row>
    <row r="9319" ht="16.5" customHeight="1">
      <c r="O9319" s="5" t="s">
        <v>355</v>
      </c>
      <c r="P9319" s="5" t="s">
        <v>355</v>
      </c>
      <c r="Q9319" s="5" t="s">
        <v>355</v>
      </c>
    </row>
    <row r="9320" ht="16.5" customHeight="1">
      <c r="O9320" s="5" t="s">
        <v>355</v>
      </c>
      <c r="P9320" s="5" t="s">
        <v>355</v>
      </c>
      <c r="Q9320" s="5" t="s">
        <v>355</v>
      </c>
    </row>
    <row r="9321" ht="16.5" customHeight="1">
      <c r="O9321" s="5" t="s">
        <v>355</v>
      </c>
      <c r="P9321" s="5" t="s">
        <v>355</v>
      </c>
      <c r="Q9321" s="5" t="s">
        <v>355</v>
      </c>
    </row>
    <row r="9322" ht="16.5" customHeight="1">
      <c r="O9322" s="5" t="s">
        <v>355</v>
      </c>
      <c r="P9322" s="5" t="s">
        <v>355</v>
      </c>
      <c r="Q9322" s="5" t="s">
        <v>355</v>
      </c>
    </row>
    <row r="9323" ht="16.5" customHeight="1">
      <c r="O9323" s="5" t="s">
        <v>355</v>
      </c>
      <c r="P9323" s="5" t="s">
        <v>355</v>
      </c>
      <c r="Q9323" s="5" t="s">
        <v>355</v>
      </c>
    </row>
    <row r="9324" ht="16.5" customHeight="1">
      <c r="O9324" s="5" t="s">
        <v>355</v>
      </c>
      <c r="P9324" s="5" t="s">
        <v>355</v>
      </c>
      <c r="Q9324" s="5" t="s">
        <v>355</v>
      </c>
    </row>
    <row r="9325" ht="16.5" customHeight="1">
      <c r="O9325" s="5" t="s">
        <v>355</v>
      </c>
      <c r="P9325" s="5" t="s">
        <v>355</v>
      </c>
      <c r="Q9325" s="5" t="s">
        <v>355</v>
      </c>
    </row>
    <row r="9326" ht="16.5" customHeight="1">
      <c r="O9326" s="5" t="s">
        <v>355</v>
      </c>
      <c r="P9326" s="5" t="s">
        <v>355</v>
      </c>
      <c r="Q9326" s="5" t="s">
        <v>355</v>
      </c>
    </row>
    <row r="9327" ht="16.5" customHeight="1">
      <c r="O9327" s="5" t="s">
        <v>355</v>
      </c>
      <c r="P9327" s="5" t="s">
        <v>355</v>
      </c>
      <c r="Q9327" s="5" t="s">
        <v>355</v>
      </c>
    </row>
    <row r="9328" ht="16.5" customHeight="1">
      <c r="O9328" s="5" t="s">
        <v>355</v>
      </c>
      <c r="P9328" s="5" t="s">
        <v>355</v>
      </c>
      <c r="Q9328" s="5" t="s">
        <v>355</v>
      </c>
    </row>
    <row r="9329" ht="16.5" customHeight="1">
      <c r="O9329" s="5" t="s">
        <v>355</v>
      </c>
      <c r="P9329" s="5" t="s">
        <v>355</v>
      </c>
      <c r="Q9329" s="5" t="s">
        <v>355</v>
      </c>
    </row>
    <row r="9330" ht="16.5" customHeight="1">
      <c r="O9330" s="5" t="s">
        <v>355</v>
      </c>
      <c r="P9330" s="5" t="s">
        <v>355</v>
      </c>
      <c r="Q9330" s="5" t="s">
        <v>355</v>
      </c>
    </row>
    <row r="9331" ht="16.5" customHeight="1">
      <c r="O9331" s="5" t="s">
        <v>355</v>
      </c>
      <c r="P9331" s="5" t="s">
        <v>355</v>
      </c>
      <c r="Q9331" s="5" t="s">
        <v>355</v>
      </c>
    </row>
    <row r="9332" ht="16.5" customHeight="1">
      <c r="O9332" s="5" t="s">
        <v>355</v>
      </c>
      <c r="P9332" s="5" t="s">
        <v>355</v>
      </c>
      <c r="Q9332" s="5" t="s">
        <v>355</v>
      </c>
    </row>
    <row r="9333" ht="16.5" customHeight="1">
      <c r="O9333" s="5" t="s">
        <v>355</v>
      </c>
      <c r="P9333" s="5" t="s">
        <v>355</v>
      </c>
      <c r="Q9333" s="5" t="s">
        <v>355</v>
      </c>
    </row>
    <row r="9334" ht="16.5" customHeight="1">
      <c r="O9334" s="5" t="s">
        <v>355</v>
      </c>
      <c r="P9334" s="5" t="s">
        <v>355</v>
      </c>
      <c r="Q9334" s="5" t="s">
        <v>355</v>
      </c>
    </row>
    <row r="9335" ht="16.5" customHeight="1">
      <c r="O9335" s="5" t="s">
        <v>355</v>
      </c>
      <c r="P9335" s="5" t="s">
        <v>355</v>
      </c>
      <c r="Q9335" s="5" t="s">
        <v>355</v>
      </c>
    </row>
    <row r="9336" ht="16.5" customHeight="1">
      <c r="O9336" s="5" t="s">
        <v>355</v>
      </c>
      <c r="P9336" s="5" t="s">
        <v>355</v>
      </c>
      <c r="Q9336" s="5" t="s">
        <v>355</v>
      </c>
    </row>
    <row r="9337" ht="16.5" customHeight="1">
      <c r="O9337" s="5" t="s">
        <v>355</v>
      </c>
      <c r="P9337" s="5" t="s">
        <v>355</v>
      </c>
      <c r="Q9337" s="5" t="s">
        <v>355</v>
      </c>
    </row>
    <row r="9338" ht="16.5" customHeight="1">
      <c r="O9338" s="5" t="s">
        <v>355</v>
      </c>
      <c r="P9338" s="5" t="s">
        <v>355</v>
      </c>
      <c r="Q9338" s="5" t="s">
        <v>355</v>
      </c>
    </row>
    <row r="9339" ht="16.5" customHeight="1">
      <c r="O9339" s="5" t="s">
        <v>355</v>
      </c>
      <c r="P9339" s="5" t="s">
        <v>355</v>
      </c>
      <c r="Q9339" s="5" t="s">
        <v>355</v>
      </c>
    </row>
    <row r="9340" ht="16.5" customHeight="1">
      <c r="O9340" s="5" t="s">
        <v>355</v>
      </c>
      <c r="P9340" s="5" t="s">
        <v>355</v>
      </c>
      <c r="Q9340" s="5" t="s">
        <v>355</v>
      </c>
    </row>
    <row r="9341" ht="16.5" customHeight="1">
      <c r="O9341" s="5" t="s">
        <v>355</v>
      </c>
      <c r="P9341" s="5" t="s">
        <v>355</v>
      </c>
      <c r="Q9341" s="5" t="s">
        <v>355</v>
      </c>
    </row>
    <row r="9342" ht="16.5" customHeight="1">
      <c r="O9342" s="5" t="s">
        <v>355</v>
      </c>
      <c r="P9342" s="5" t="s">
        <v>355</v>
      </c>
      <c r="Q9342" s="5" t="s">
        <v>355</v>
      </c>
    </row>
    <row r="9343" ht="16.5" customHeight="1">
      <c r="O9343" s="5" t="s">
        <v>355</v>
      </c>
      <c r="P9343" s="5" t="s">
        <v>355</v>
      </c>
      <c r="Q9343" s="5" t="s">
        <v>355</v>
      </c>
    </row>
    <row r="9344" ht="16.5" customHeight="1">
      <c r="O9344" s="5" t="s">
        <v>355</v>
      </c>
      <c r="P9344" s="5" t="s">
        <v>355</v>
      </c>
      <c r="Q9344" s="5" t="s">
        <v>355</v>
      </c>
    </row>
    <row r="9345" ht="16.5" customHeight="1">
      <c r="O9345" s="5" t="s">
        <v>355</v>
      </c>
      <c r="P9345" s="5" t="s">
        <v>355</v>
      </c>
      <c r="Q9345" s="5" t="s">
        <v>355</v>
      </c>
    </row>
    <row r="9346" ht="16.5" customHeight="1">
      <c r="O9346" s="5" t="s">
        <v>355</v>
      </c>
      <c r="P9346" s="5" t="s">
        <v>355</v>
      </c>
      <c r="Q9346" s="5" t="s">
        <v>355</v>
      </c>
    </row>
    <row r="9347" ht="16.5" customHeight="1">
      <c r="O9347" s="5" t="s">
        <v>355</v>
      </c>
      <c r="P9347" s="5" t="s">
        <v>355</v>
      </c>
      <c r="Q9347" s="5" t="s">
        <v>355</v>
      </c>
    </row>
    <row r="9348" ht="16.5" customHeight="1">
      <c r="O9348" s="5" t="s">
        <v>355</v>
      </c>
      <c r="P9348" s="5" t="s">
        <v>355</v>
      </c>
      <c r="Q9348" s="5" t="s">
        <v>355</v>
      </c>
    </row>
    <row r="9349" ht="16.5" customHeight="1">
      <c r="O9349" s="5" t="s">
        <v>355</v>
      </c>
      <c r="P9349" s="5" t="s">
        <v>355</v>
      </c>
      <c r="Q9349" s="5" t="s">
        <v>355</v>
      </c>
    </row>
    <row r="9350" ht="16.5" customHeight="1">
      <c r="O9350" s="5" t="s">
        <v>355</v>
      </c>
      <c r="P9350" s="5" t="s">
        <v>355</v>
      </c>
      <c r="Q9350" s="5" t="s">
        <v>355</v>
      </c>
    </row>
    <row r="9351" ht="16.5" customHeight="1">
      <c r="O9351" s="5" t="s">
        <v>355</v>
      </c>
      <c r="P9351" s="5" t="s">
        <v>355</v>
      </c>
      <c r="Q9351" s="5" t="s">
        <v>355</v>
      </c>
    </row>
    <row r="9352" ht="16.5" customHeight="1">
      <c r="O9352" s="5" t="s">
        <v>355</v>
      </c>
      <c r="P9352" s="5" t="s">
        <v>355</v>
      </c>
      <c r="Q9352" s="5" t="s">
        <v>355</v>
      </c>
    </row>
    <row r="9353" ht="16.5" customHeight="1">
      <c r="O9353" s="5" t="s">
        <v>355</v>
      </c>
      <c r="P9353" s="5" t="s">
        <v>355</v>
      </c>
      <c r="Q9353" s="5" t="s">
        <v>355</v>
      </c>
    </row>
    <row r="9354" ht="16.5" customHeight="1">
      <c r="O9354" s="5" t="s">
        <v>355</v>
      </c>
      <c r="P9354" s="5" t="s">
        <v>355</v>
      </c>
      <c r="Q9354" s="5" t="s">
        <v>355</v>
      </c>
    </row>
    <row r="9355" ht="16.5" customHeight="1">
      <c r="O9355" s="5" t="s">
        <v>355</v>
      </c>
      <c r="P9355" s="5" t="s">
        <v>355</v>
      </c>
      <c r="Q9355" s="5" t="s">
        <v>355</v>
      </c>
    </row>
    <row r="9356" ht="16.5" customHeight="1">
      <c r="O9356" s="5" t="s">
        <v>355</v>
      </c>
      <c r="P9356" s="5" t="s">
        <v>355</v>
      </c>
      <c r="Q9356" s="5" t="s">
        <v>355</v>
      </c>
    </row>
    <row r="9357" ht="16.5" customHeight="1">
      <c r="O9357" s="5" t="s">
        <v>355</v>
      </c>
      <c r="P9357" s="5" t="s">
        <v>355</v>
      </c>
      <c r="Q9357" s="5" t="s">
        <v>355</v>
      </c>
    </row>
    <row r="9358" ht="16.5" customHeight="1">
      <c r="O9358" s="5" t="s">
        <v>355</v>
      </c>
      <c r="P9358" s="5" t="s">
        <v>355</v>
      </c>
      <c r="Q9358" s="5" t="s">
        <v>355</v>
      </c>
    </row>
    <row r="9359" ht="16.5" customHeight="1">
      <c r="O9359" s="5" t="s">
        <v>355</v>
      </c>
      <c r="P9359" s="5" t="s">
        <v>355</v>
      </c>
      <c r="Q9359" s="5" t="s">
        <v>355</v>
      </c>
    </row>
    <row r="9360" ht="16.5" customHeight="1">
      <c r="O9360" s="5" t="s">
        <v>355</v>
      </c>
      <c r="P9360" s="5" t="s">
        <v>355</v>
      </c>
      <c r="Q9360" s="5" t="s">
        <v>355</v>
      </c>
    </row>
    <row r="9361" ht="16.5" customHeight="1">
      <c r="O9361" s="5" t="s">
        <v>355</v>
      </c>
      <c r="P9361" s="5" t="s">
        <v>355</v>
      </c>
      <c r="Q9361" s="5" t="s">
        <v>355</v>
      </c>
    </row>
    <row r="9362" ht="16.5" customHeight="1">
      <c r="O9362" s="5" t="s">
        <v>355</v>
      </c>
      <c r="P9362" s="5" t="s">
        <v>355</v>
      </c>
      <c r="Q9362" s="5" t="s">
        <v>355</v>
      </c>
    </row>
    <row r="9363" ht="16.5" customHeight="1">
      <c r="O9363" s="5" t="s">
        <v>355</v>
      </c>
      <c r="P9363" s="5" t="s">
        <v>355</v>
      </c>
      <c r="Q9363" s="5" t="s">
        <v>355</v>
      </c>
    </row>
    <row r="9364" ht="16.5" customHeight="1">
      <c r="O9364" s="5" t="s">
        <v>355</v>
      </c>
      <c r="P9364" s="5" t="s">
        <v>355</v>
      </c>
      <c r="Q9364" s="5" t="s">
        <v>355</v>
      </c>
    </row>
    <row r="9365" ht="16.5" customHeight="1">
      <c r="O9365" s="5" t="s">
        <v>355</v>
      </c>
      <c r="P9365" s="5" t="s">
        <v>355</v>
      </c>
      <c r="Q9365" s="5" t="s">
        <v>355</v>
      </c>
    </row>
    <row r="9366" ht="16.5" customHeight="1">
      <c r="O9366" s="5" t="s">
        <v>355</v>
      </c>
      <c r="P9366" s="5" t="s">
        <v>355</v>
      </c>
      <c r="Q9366" s="5" t="s">
        <v>355</v>
      </c>
    </row>
    <row r="9367" ht="16.5" customHeight="1">
      <c r="O9367" s="5" t="s">
        <v>355</v>
      </c>
      <c r="P9367" s="5" t="s">
        <v>355</v>
      </c>
      <c r="Q9367" s="5" t="s">
        <v>355</v>
      </c>
    </row>
    <row r="9368" ht="16.5" customHeight="1">
      <c r="O9368" s="5" t="s">
        <v>355</v>
      </c>
      <c r="P9368" s="5" t="s">
        <v>355</v>
      </c>
      <c r="Q9368" s="5" t="s">
        <v>355</v>
      </c>
    </row>
    <row r="9369" ht="16.5" customHeight="1">
      <c r="O9369" s="5" t="s">
        <v>355</v>
      </c>
      <c r="P9369" s="5" t="s">
        <v>355</v>
      </c>
      <c r="Q9369" s="5" t="s">
        <v>355</v>
      </c>
    </row>
    <row r="9370" ht="16.5" customHeight="1">
      <c r="O9370" s="5" t="s">
        <v>355</v>
      </c>
      <c r="P9370" s="5" t="s">
        <v>355</v>
      </c>
      <c r="Q9370" s="5" t="s">
        <v>355</v>
      </c>
    </row>
    <row r="9371" ht="16.5" customHeight="1">
      <c r="O9371" s="5" t="s">
        <v>355</v>
      </c>
      <c r="P9371" s="5" t="s">
        <v>355</v>
      </c>
      <c r="Q9371" s="5" t="s">
        <v>355</v>
      </c>
    </row>
    <row r="9372" ht="16.5" customHeight="1">
      <c r="O9372" s="5" t="s">
        <v>355</v>
      </c>
      <c r="P9372" s="5" t="s">
        <v>355</v>
      </c>
      <c r="Q9372" s="5" t="s">
        <v>355</v>
      </c>
    </row>
    <row r="9373" ht="16.5" customHeight="1">
      <c r="O9373" s="5" t="s">
        <v>355</v>
      </c>
      <c r="P9373" s="5" t="s">
        <v>355</v>
      </c>
      <c r="Q9373" s="5" t="s">
        <v>355</v>
      </c>
    </row>
    <row r="9374" ht="16.5" customHeight="1">
      <c r="O9374" s="5" t="s">
        <v>355</v>
      </c>
      <c r="P9374" s="5" t="s">
        <v>355</v>
      </c>
      <c r="Q9374" s="5" t="s">
        <v>355</v>
      </c>
    </row>
    <row r="9375" ht="16.5" customHeight="1">
      <c r="O9375" s="5" t="s">
        <v>355</v>
      </c>
      <c r="P9375" s="5" t="s">
        <v>355</v>
      </c>
      <c r="Q9375" s="5" t="s">
        <v>355</v>
      </c>
    </row>
    <row r="9376" ht="16.5" customHeight="1">
      <c r="O9376" s="5" t="s">
        <v>355</v>
      </c>
      <c r="P9376" s="5" t="s">
        <v>355</v>
      </c>
      <c r="Q9376" s="5" t="s">
        <v>355</v>
      </c>
    </row>
    <row r="9377" ht="16.5" customHeight="1">
      <c r="O9377" s="5" t="s">
        <v>355</v>
      </c>
      <c r="P9377" s="5" t="s">
        <v>355</v>
      </c>
      <c r="Q9377" s="5" t="s">
        <v>355</v>
      </c>
    </row>
    <row r="9378" ht="16.5" customHeight="1">
      <c r="O9378" s="5" t="s">
        <v>355</v>
      </c>
      <c r="P9378" s="5" t="s">
        <v>355</v>
      </c>
      <c r="Q9378" s="5" t="s">
        <v>355</v>
      </c>
    </row>
    <row r="9379" ht="16.5" customHeight="1">
      <c r="O9379" s="5" t="s">
        <v>355</v>
      </c>
      <c r="P9379" s="5" t="s">
        <v>355</v>
      </c>
      <c r="Q9379" s="5" t="s">
        <v>355</v>
      </c>
    </row>
    <row r="9380" ht="16.5" customHeight="1">
      <c r="O9380" s="5" t="s">
        <v>355</v>
      </c>
      <c r="P9380" s="5" t="s">
        <v>355</v>
      </c>
      <c r="Q9380" s="5" t="s">
        <v>355</v>
      </c>
    </row>
    <row r="9381" ht="16.5" customHeight="1">
      <c r="O9381" s="5" t="s">
        <v>355</v>
      </c>
      <c r="P9381" s="5" t="s">
        <v>355</v>
      </c>
      <c r="Q9381" s="5" t="s">
        <v>355</v>
      </c>
    </row>
    <row r="9382" ht="16.5" customHeight="1">
      <c r="O9382" s="5" t="s">
        <v>355</v>
      </c>
      <c r="P9382" s="5" t="s">
        <v>355</v>
      </c>
      <c r="Q9382" s="5" t="s">
        <v>355</v>
      </c>
    </row>
    <row r="9383" ht="16.5" customHeight="1">
      <c r="O9383" s="5" t="s">
        <v>355</v>
      </c>
      <c r="P9383" s="5" t="s">
        <v>355</v>
      </c>
      <c r="Q9383" s="5" t="s">
        <v>355</v>
      </c>
    </row>
    <row r="9384" ht="16.5" customHeight="1">
      <c r="O9384" s="5" t="s">
        <v>355</v>
      </c>
      <c r="P9384" s="5" t="s">
        <v>355</v>
      </c>
      <c r="Q9384" s="5" t="s">
        <v>355</v>
      </c>
    </row>
    <row r="9385" ht="16.5" customHeight="1">
      <c r="O9385" s="5" t="s">
        <v>355</v>
      </c>
      <c r="P9385" s="5" t="s">
        <v>355</v>
      </c>
      <c r="Q9385" s="5" t="s">
        <v>355</v>
      </c>
    </row>
    <row r="9386" ht="16.5" customHeight="1">
      <c r="O9386" s="5" t="s">
        <v>355</v>
      </c>
      <c r="P9386" s="5" t="s">
        <v>355</v>
      </c>
      <c r="Q9386" s="5" t="s">
        <v>355</v>
      </c>
    </row>
    <row r="9387" ht="16.5" customHeight="1">
      <c r="O9387" s="5" t="s">
        <v>355</v>
      </c>
      <c r="P9387" s="5" t="s">
        <v>355</v>
      </c>
      <c r="Q9387" s="5" t="s">
        <v>355</v>
      </c>
    </row>
    <row r="9388" ht="16.5" customHeight="1">
      <c r="O9388" s="5" t="s">
        <v>355</v>
      </c>
      <c r="P9388" s="5" t="s">
        <v>355</v>
      </c>
      <c r="Q9388" s="5" t="s">
        <v>355</v>
      </c>
    </row>
    <row r="9389" ht="16.5" customHeight="1">
      <c r="O9389" s="5" t="s">
        <v>355</v>
      </c>
      <c r="P9389" s="5" t="s">
        <v>355</v>
      </c>
      <c r="Q9389" s="5" t="s">
        <v>355</v>
      </c>
    </row>
    <row r="9390" ht="16.5" customHeight="1">
      <c r="O9390" s="5" t="s">
        <v>355</v>
      </c>
      <c r="P9390" s="5" t="s">
        <v>355</v>
      </c>
      <c r="Q9390" s="5" t="s">
        <v>355</v>
      </c>
    </row>
    <row r="9391" ht="16.5" customHeight="1">
      <c r="O9391" s="5" t="s">
        <v>355</v>
      </c>
      <c r="P9391" s="5" t="s">
        <v>355</v>
      </c>
      <c r="Q9391" s="5" t="s">
        <v>355</v>
      </c>
    </row>
    <row r="9392" ht="16.5" customHeight="1">
      <c r="O9392" s="5" t="s">
        <v>355</v>
      </c>
      <c r="P9392" s="5" t="s">
        <v>355</v>
      </c>
      <c r="Q9392" s="5" t="s">
        <v>355</v>
      </c>
    </row>
    <row r="9393" ht="16.5" customHeight="1">
      <c r="O9393" s="5" t="s">
        <v>355</v>
      </c>
      <c r="P9393" s="5" t="s">
        <v>355</v>
      </c>
      <c r="Q9393" s="5" t="s">
        <v>355</v>
      </c>
    </row>
    <row r="9394" ht="16.5" customHeight="1">
      <c r="O9394" s="5" t="s">
        <v>355</v>
      </c>
      <c r="P9394" s="5" t="s">
        <v>355</v>
      </c>
      <c r="Q9394" s="5" t="s">
        <v>355</v>
      </c>
    </row>
    <row r="9395" ht="16.5" customHeight="1">
      <c r="O9395" s="5" t="s">
        <v>355</v>
      </c>
      <c r="P9395" s="5" t="s">
        <v>355</v>
      </c>
      <c r="Q9395" s="5" t="s">
        <v>355</v>
      </c>
    </row>
    <row r="9396" ht="16.5" customHeight="1">
      <c r="O9396" s="5" t="s">
        <v>355</v>
      </c>
      <c r="P9396" s="5" t="s">
        <v>355</v>
      </c>
      <c r="Q9396" s="5" t="s">
        <v>355</v>
      </c>
    </row>
    <row r="9397" ht="16.5" customHeight="1">
      <c r="O9397" s="5" t="s">
        <v>355</v>
      </c>
      <c r="P9397" s="5" t="s">
        <v>355</v>
      </c>
      <c r="Q9397" s="5" t="s">
        <v>355</v>
      </c>
    </row>
    <row r="9398" ht="16.5" customHeight="1">
      <c r="O9398" s="5" t="s">
        <v>355</v>
      </c>
      <c r="P9398" s="5" t="s">
        <v>355</v>
      </c>
      <c r="Q9398" s="5" t="s">
        <v>355</v>
      </c>
    </row>
    <row r="9399" ht="16.5" customHeight="1">
      <c r="O9399" s="5" t="s">
        <v>355</v>
      </c>
      <c r="P9399" s="5" t="s">
        <v>355</v>
      </c>
      <c r="Q9399" s="5" t="s">
        <v>355</v>
      </c>
    </row>
    <row r="9400" ht="16.5" customHeight="1">
      <c r="O9400" s="5" t="s">
        <v>355</v>
      </c>
      <c r="P9400" s="5" t="s">
        <v>355</v>
      </c>
      <c r="Q9400" s="5" t="s">
        <v>355</v>
      </c>
    </row>
    <row r="9401" ht="16.5" customHeight="1">
      <c r="O9401" s="5" t="s">
        <v>355</v>
      </c>
      <c r="P9401" s="5" t="s">
        <v>355</v>
      </c>
      <c r="Q9401" s="5" t="s">
        <v>355</v>
      </c>
    </row>
    <row r="9402" ht="16.5" customHeight="1">
      <c r="O9402" s="5" t="s">
        <v>355</v>
      </c>
      <c r="P9402" s="5" t="s">
        <v>355</v>
      </c>
      <c r="Q9402" s="5" t="s">
        <v>355</v>
      </c>
    </row>
    <row r="9403" ht="16.5" customHeight="1">
      <c r="O9403" s="5" t="s">
        <v>355</v>
      </c>
      <c r="P9403" s="5" t="s">
        <v>355</v>
      </c>
      <c r="Q9403" s="5" t="s">
        <v>355</v>
      </c>
    </row>
    <row r="9404" ht="16.5" customHeight="1">
      <c r="O9404" s="5" t="s">
        <v>355</v>
      </c>
      <c r="P9404" s="5" t="s">
        <v>355</v>
      </c>
      <c r="Q9404" s="5" t="s">
        <v>355</v>
      </c>
    </row>
    <row r="9405" ht="16.5" customHeight="1">
      <c r="O9405" s="5" t="s">
        <v>355</v>
      </c>
      <c r="P9405" s="5" t="s">
        <v>355</v>
      </c>
      <c r="Q9405" s="5" t="s">
        <v>355</v>
      </c>
    </row>
    <row r="9406" ht="16.5" customHeight="1">
      <c r="O9406" s="5" t="s">
        <v>355</v>
      </c>
      <c r="P9406" s="5" t="s">
        <v>355</v>
      </c>
      <c r="Q9406" s="5" t="s">
        <v>355</v>
      </c>
    </row>
    <row r="9407" ht="16.5" customHeight="1">
      <c r="O9407" s="5" t="s">
        <v>355</v>
      </c>
      <c r="P9407" s="5" t="s">
        <v>355</v>
      </c>
      <c r="Q9407" s="5" t="s">
        <v>355</v>
      </c>
    </row>
    <row r="9408" ht="16.5" customHeight="1">
      <c r="O9408" s="5" t="s">
        <v>355</v>
      </c>
      <c r="P9408" s="5" t="s">
        <v>355</v>
      </c>
      <c r="Q9408" s="5" t="s">
        <v>355</v>
      </c>
    </row>
    <row r="9409" ht="16.5" customHeight="1">
      <c r="O9409" s="5" t="s">
        <v>355</v>
      </c>
      <c r="P9409" s="5" t="s">
        <v>355</v>
      </c>
      <c r="Q9409" s="5" t="s">
        <v>355</v>
      </c>
    </row>
    <row r="9410" ht="16.5" customHeight="1">
      <c r="O9410" s="5" t="s">
        <v>355</v>
      </c>
      <c r="P9410" s="5" t="s">
        <v>355</v>
      </c>
      <c r="Q9410" s="5" t="s">
        <v>355</v>
      </c>
    </row>
    <row r="9411" ht="16.5" customHeight="1">
      <c r="O9411" s="5" t="s">
        <v>355</v>
      </c>
      <c r="P9411" s="5" t="s">
        <v>355</v>
      </c>
      <c r="Q9411" s="5" t="s">
        <v>355</v>
      </c>
    </row>
    <row r="9412" ht="16.5" customHeight="1">
      <c r="O9412" s="5" t="s">
        <v>355</v>
      </c>
      <c r="P9412" s="5" t="s">
        <v>355</v>
      </c>
      <c r="Q9412" s="5" t="s">
        <v>355</v>
      </c>
    </row>
    <row r="9413" ht="16.5" customHeight="1">
      <c r="O9413" s="5" t="s">
        <v>355</v>
      </c>
      <c r="P9413" s="5" t="s">
        <v>355</v>
      </c>
      <c r="Q9413" s="5" t="s">
        <v>355</v>
      </c>
    </row>
    <row r="9414" ht="16.5" customHeight="1">
      <c r="O9414" s="5" t="s">
        <v>355</v>
      </c>
      <c r="P9414" s="5" t="s">
        <v>355</v>
      </c>
      <c r="Q9414" s="5" t="s">
        <v>355</v>
      </c>
    </row>
    <row r="9415" ht="16.5" customHeight="1">
      <c r="O9415" s="5" t="s">
        <v>355</v>
      </c>
      <c r="P9415" s="5" t="s">
        <v>355</v>
      </c>
      <c r="Q9415" s="5" t="s">
        <v>355</v>
      </c>
    </row>
    <row r="9416" ht="16.5" customHeight="1">
      <c r="O9416" s="5" t="s">
        <v>355</v>
      </c>
      <c r="P9416" s="5" t="s">
        <v>355</v>
      </c>
      <c r="Q9416" s="5" t="s">
        <v>355</v>
      </c>
    </row>
    <row r="9417" ht="16.5" customHeight="1">
      <c r="O9417" s="5" t="s">
        <v>355</v>
      </c>
      <c r="P9417" s="5" t="s">
        <v>355</v>
      </c>
      <c r="Q9417" s="5" t="s">
        <v>355</v>
      </c>
    </row>
    <row r="9418" ht="16.5" customHeight="1">
      <c r="O9418" s="5" t="s">
        <v>355</v>
      </c>
      <c r="P9418" s="5" t="s">
        <v>355</v>
      </c>
      <c r="Q9418" s="5" t="s">
        <v>355</v>
      </c>
    </row>
    <row r="9419" ht="16.5" customHeight="1">
      <c r="O9419" s="5" t="s">
        <v>355</v>
      </c>
      <c r="P9419" s="5" t="s">
        <v>355</v>
      </c>
      <c r="Q9419" s="5" t="s">
        <v>355</v>
      </c>
    </row>
    <row r="9420" ht="16.5" customHeight="1">
      <c r="O9420" s="5" t="s">
        <v>355</v>
      </c>
      <c r="P9420" s="5" t="s">
        <v>355</v>
      </c>
      <c r="Q9420" s="5" t="s">
        <v>355</v>
      </c>
    </row>
    <row r="9421" ht="16.5" customHeight="1">
      <c r="O9421" s="5" t="s">
        <v>355</v>
      </c>
      <c r="P9421" s="5" t="s">
        <v>355</v>
      </c>
      <c r="Q9421" s="5" t="s">
        <v>355</v>
      </c>
    </row>
    <row r="9422" ht="16.5" customHeight="1">
      <c r="O9422" s="5" t="s">
        <v>355</v>
      </c>
      <c r="P9422" s="5" t="s">
        <v>355</v>
      </c>
      <c r="Q9422" s="5" t="s">
        <v>355</v>
      </c>
    </row>
    <row r="9423" ht="16.5" customHeight="1">
      <c r="O9423" s="5" t="s">
        <v>355</v>
      </c>
      <c r="P9423" s="5" t="s">
        <v>355</v>
      </c>
      <c r="Q9423" s="5" t="s">
        <v>355</v>
      </c>
    </row>
    <row r="9424" ht="16.5" customHeight="1">
      <c r="O9424" s="5" t="s">
        <v>355</v>
      </c>
      <c r="P9424" s="5" t="s">
        <v>355</v>
      </c>
      <c r="Q9424" s="5" t="s">
        <v>355</v>
      </c>
    </row>
    <row r="9425" ht="16.5" customHeight="1">
      <c r="O9425" s="5" t="s">
        <v>355</v>
      </c>
      <c r="P9425" s="5" t="s">
        <v>355</v>
      </c>
      <c r="Q9425" s="5" t="s">
        <v>355</v>
      </c>
    </row>
    <row r="9426" ht="16.5" customHeight="1">
      <c r="O9426" s="5" t="s">
        <v>355</v>
      </c>
      <c r="P9426" s="5" t="s">
        <v>355</v>
      </c>
      <c r="Q9426" s="5" t="s">
        <v>355</v>
      </c>
    </row>
    <row r="9427" ht="16.5" customHeight="1">
      <c r="O9427" s="5" t="s">
        <v>355</v>
      </c>
      <c r="P9427" s="5" t="s">
        <v>355</v>
      </c>
      <c r="Q9427" s="5" t="s">
        <v>355</v>
      </c>
    </row>
    <row r="9428" ht="16.5" customHeight="1">
      <c r="O9428" s="5" t="s">
        <v>355</v>
      </c>
      <c r="P9428" s="5" t="s">
        <v>355</v>
      </c>
      <c r="Q9428" s="5" t="s">
        <v>355</v>
      </c>
    </row>
    <row r="9429" ht="16.5" customHeight="1">
      <c r="O9429" s="5" t="s">
        <v>355</v>
      </c>
      <c r="P9429" s="5" t="s">
        <v>355</v>
      </c>
      <c r="Q9429" s="5" t="s">
        <v>355</v>
      </c>
    </row>
    <row r="9430" ht="16.5" customHeight="1">
      <c r="O9430" s="5" t="s">
        <v>355</v>
      </c>
      <c r="P9430" s="5" t="s">
        <v>355</v>
      </c>
      <c r="Q9430" s="5" t="s">
        <v>355</v>
      </c>
    </row>
    <row r="9431" ht="16.5" customHeight="1">
      <c r="O9431" s="5" t="s">
        <v>355</v>
      </c>
      <c r="P9431" s="5" t="s">
        <v>355</v>
      </c>
      <c r="Q9431" s="5" t="s">
        <v>355</v>
      </c>
    </row>
    <row r="9432" ht="16.5" customHeight="1">
      <c r="O9432" s="5" t="s">
        <v>355</v>
      </c>
      <c r="P9432" s="5" t="s">
        <v>355</v>
      </c>
      <c r="Q9432" s="5" t="s">
        <v>355</v>
      </c>
    </row>
    <row r="9433" ht="16.5" customHeight="1">
      <c r="O9433" s="5" t="s">
        <v>355</v>
      </c>
      <c r="P9433" s="5" t="s">
        <v>355</v>
      </c>
      <c r="Q9433" s="5" t="s">
        <v>355</v>
      </c>
    </row>
    <row r="9434" ht="16.5" customHeight="1">
      <c r="O9434" s="5" t="s">
        <v>355</v>
      </c>
      <c r="P9434" s="5" t="s">
        <v>355</v>
      </c>
      <c r="Q9434" s="5" t="s">
        <v>355</v>
      </c>
    </row>
    <row r="9435" ht="16.5" customHeight="1">
      <c r="O9435" s="5" t="s">
        <v>355</v>
      </c>
      <c r="P9435" s="5" t="s">
        <v>355</v>
      </c>
      <c r="Q9435" s="5" t="s">
        <v>355</v>
      </c>
    </row>
    <row r="9436" ht="16.5" customHeight="1">
      <c r="O9436" s="5" t="s">
        <v>355</v>
      </c>
      <c r="P9436" s="5" t="s">
        <v>355</v>
      </c>
      <c r="Q9436" s="5" t="s">
        <v>355</v>
      </c>
    </row>
    <row r="9437" ht="16.5" customHeight="1">
      <c r="O9437" s="5" t="s">
        <v>355</v>
      </c>
      <c r="P9437" s="5" t="s">
        <v>355</v>
      </c>
      <c r="Q9437" s="5" t="s">
        <v>355</v>
      </c>
    </row>
    <row r="9438" ht="16.5" customHeight="1">
      <c r="O9438" s="5" t="s">
        <v>355</v>
      </c>
      <c r="P9438" s="5" t="s">
        <v>355</v>
      </c>
      <c r="Q9438" s="5" t="s">
        <v>355</v>
      </c>
    </row>
    <row r="9439" ht="16.5" customHeight="1">
      <c r="O9439" s="5" t="s">
        <v>355</v>
      </c>
      <c r="P9439" s="5" t="s">
        <v>355</v>
      </c>
      <c r="Q9439" s="5" t="s">
        <v>355</v>
      </c>
    </row>
    <row r="9440" ht="16.5" customHeight="1">
      <c r="O9440" s="5" t="s">
        <v>355</v>
      </c>
      <c r="P9440" s="5" t="s">
        <v>355</v>
      </c>
      <c r="Q9440" s="5" t="s">
        <v>355</v>
      </c>
    </row>
    <row r="9441" ht="16.5" customHeight="1">
      <c r="O9441" s="5" t="s">
        <v>355</v>
      </c>
      <c r="P9441" s="5" t="s">
        <v>355</v>
      </c>
      <c r="Q9441" s="5" t="s">
        <v>355</v>
      </c>
    </row>
    <row r="9442" ht="16.5" customHeight="1">
      <c r="O9442" s="5" t="s">
        <v>355</v>
      </c>
      <c r="P9442" s="5" t="s">
        <v>355</v>
      </c>
      <c r="Q9442" s="5" t="s">
        <v>355</v>
      </c>
    </row>
    <row r="9443" ht="16.5" customHeight="1">
      <c r="O9443" s="5" t="s">
        <v>355</v>
      </c>
      <c r="P9443" s="5" t="s">
        <v>355</v>
      </c>
      <c r="Q9443" s="5" t="s">
        <v>355</v>
      </c>
    </row>
    <row r="9444" ht="16.5" customHeight="1">
      <c r="O9444" s="5" t="s">
        <v>355</v>
      </c>
      <c r="P9444" s="5" t="s">
        <v>355</v>
      </c>
      <c r="Q9444" s="5" t="s">
        <v>355</v>
      </c>
    </row>
    <row r="9445" ht="16.5" customHeight="1">
      <c r="O9445" s="5" t="s">
        <v>355</v>
      </c>
      <c r="P9445" s="5" t="s">
        <v>355</v>
      </c>
      <c r="Q9445" s="5" t="s">
        <v>355</v>
      </c>
    </row>
    <row r="9446" ht="16.5" customHeight="1">
      <c r="O9446" s="5" t="s">
        <v>355</v>
      </c>
      <c r="P9446" s="5" t="s">
        <v>355</v>
      </c>
      <c r="Q9446" s="5" t="s">
        <v>355</v>
      </c>
    </row>
    <row r="9447" ht="16.5" customHeight="1">
      <c r="O9447" s="5" t="s">
        <v>355</v>
      </c>
      <c r="P9447" s="5" t="s">
        <v>355</v>
      </c>
      <c r="Q9447" s="5" t="s">
        <v>355</v>
      </c>
    </row>
    <row r="9448" ht="16.5" customHeight="1">
      <c r="O9448" s="5" t="s">
        <v>355</v>
      </c>
      <c r="P9448" s="5" t="s">
        <v>355</v>
      </c>
      <c r="Q9448" s="5" t="s">
        <v>355</v>
      </c>
    </row>
    <row r="9449" ht="16.5" customHeight="1">
      <c r="O9449" s="5" t="s">
        <v>355</v>
      </c>
      <c r="P9449" s="5" t="s">
        <v>355</v>
      </c>
      <c r="Q9449" s="5" t="s">
        <v>355</v>
      </c>
    </row>
    <row r="9450" ht="16.5" customHeight="1">
      <c r="O9450" s="5" t="s">
        <v>355</v>
      </c>
      <c r="P9450" s="5" t="s">
        <v>355</v>
      </c>
      <c r="Q9450" s="5" t="s">
        <v>355</v>
      </c>
    </row>
    <row r="9451" ht="16.5" customHeight="1">
      <c r="O9451" s="5" t="s">
        <v>355</v>
      </c>
      <c r="P9451" s="5" t="s">
        <v>355</v>
      </c>
      <c r="Q9451" s="5" t="s">
        <v>355</v>
      </c>
    </row>
    <row r="9452" ht="16.5" customHeight="1">
      <c r="O9452" s="5" t="s">
        <v>355</v>
      </c>
      <c r="P9452" s="5" t="s">
        <v>355</v>
      </c>
      <c r="Q9452" s="5" t="s">
        <v>355</v>
      </c>
    </row>
    <row r="9453" ht="16.5" customHeight="1">
      <c r="O9453" s="5" t="s">
        <v>355</v>
      </c>
      <c r="P9453" s="5" t="s">
        <v>355</v>
      </c>
      <c r="Q9453" s="5" t="s">
        <v>355</v>
      </c>
    </row>
    <row r="9454" ht="16.5" customHeight="1">
      <c r="O9454" s="5" t="s">
        <v>355</v>
      </c>
      <c r="P9454" s="5" t="s">
        <v>355</v>
      </c>
      <c r="Q9454" s="5" t="s">
        <v>355</v>
      </c>
    </row>
    <row r="9455" ht="16.5" customHeight="1">
      <c r="O9455" s="5" t="s">
        <v>355</v>
      </c>
      <c r="P9455" s="5" t="s">
        <v>355</v>
      </c>
      <c r="Q9455" s="5" t="s">
        <v>355</v>
      </c>
    </row>
    <row r="9456" ht="16.5" customHeight="1">
      <c r="O9456" s="5" t="s">
        <v>355</v>
      </c>
      <c r="P9456" s="5" t="s">
        <v>355</v>
      </c>
      <c r="Q9456" s="5" t="s">
        <v>355</v>
      </c>
    </row>
    <row r="9457" ht="16.5" customHeight="1">
      <c r="O9457" s="5" t="s">
        <v>355</v>
      </c>
      <c r="P9457" s="5" t="s">
        <v>355</v>
      </c>
      <c r="Q9457" s="5" t="s">
        <v>355</v>
      </c>
    </row>
    <row r="9458" ht="16.5" customHeight="1">
      <c r="O9458" s="5" t="s">
        <v>355</v>
      </c>
      <c r="P9458" s="5" t="s">
        <v>355</v>
      </c>
      <c r="Q9458" s="5" t="s">
        <v>355</v>
      </c>
    </row>
    <row r="9459" ht="16.5" customHeight="1">
      <c r="O9459" s="5" t="s">
        <v>355</v>
      </c>
      <c r="P9459" s="5" t="s">
        <v>355</v>
      </c>
      <c r="Q9459" s="5" t="s">
        <v>355</v>
      </c>
    </row>
    <row r="9460" ht="16.5" customHeight="1">
      <c r="O9460" s="5" t="s">
        <v>355</v>
      </c>
      <c r="P9460" s="5" t="s">
        <v>355</v>
      </c>
      <c r="Q9460" s="5" t="s">
        <v>355</v>
      </c>
    </row>
    <row r="9461" ht="16.5" customHeight="1">
      <c r="O9461" s="5" t="s">
        <v>355</v>
      </c>
      <c r="P9461" s="5" t="s">
        <v>355</v>
      </c>
      <c r="Q9461" s="5" t="s">
        <v>355</v>
      </c>
    </row>
    <row r="9462" ht="16.5" customHeight="1">
      <c r="O9462" s="5" t="s">
        <v>355</v>
      </c>
      <c r="P9462" s="5" t="s">
        <v>355</v>
      </c>
      <c r="Q9462" s="5" t="s">
        <v>355</v>
      </c>
    </row>
    <row r="9463" ht="16.5" customHeight="1">
      <c r="O9463" s="5" t="s">
        <v>355</v>
      </c>
      <c r="P9463" s="5" t="s">
        <v>355</v>
      </c>
      <c r="Q9463" s="5" t="s">
        <v>355</v>
      </c>
    </row>
    <row r="9464" ht="16.5" customHeight="1">
      <c r="O9464" s="5" t="s">
        <v>355</v>
      </c>
      <c r="P9464" s="5" t="s">
        <v>355</v>
      </c>
      <c r="Q9464" s="5" t="s">
        <v>355</v>
      </c>
    </row>
    <row r="9465" ht="16.5" customHeight="1">
      <c r="O9465" s="5" t="s">
        <v>355</v>
      </c>
      <c r="P9465" s="5" t="s">
        <v>355</v>
      </c>
      <c r="Q9465" s="5" t="s">
        <v>355</v>
      </c>
    </row>
    <row r="9466" ht="16.5" customHeight="1">
      <c r="O9466" s="5" t="s">
        <v>355</v>
      </c>
      <c r="P9466" s="5" t="s">
        <v>355</v>
      </c>
      <c r="Q9466" s="5" t="s">
        <v>355</v>
      </c>
    </row>
    <row r="9467" ht="16.5" customHeight="1">
      <c r="O9467" s="5" t="s">
        <v>355</v>
      </c>
      <c r="P9467" s="5" t="s">
        <v>355</v>
      </c>
      <c r="Q9467" s="5" t="s">
        <v>355</v>
      </c>
    </row>
    <row r="9468" ht="16.5" customHeight="1">
      <c r="O9468" s="5" t="s">
        <v>355</v>
      </c>
      <c r="P9468" s="5" t="s">
        <v>355</v>
      </c>
      <c r="Q9468" s="5" t="s">
        <v>355</v>
      </c>
    </row>
    <row r="9469" ht="16.5" customHeight="1">
      <c r="O9469" s="5" t="s">
        <v>355</v>
      </c>
      <c r="P9469" s="5" t="s">
        <v>355</v>
      </c>
      <c r="Q9469" s="5" t="s">
        <v>355</v>
      </c>
    </row>
    <row r="9470" ht="16.5" customHeight="1">
      <c r="O9470" s="5" t="s">
        <v>355</v>
      </c>
      <c r="P9470" s="5" t="s">
        <v>355</v>
      </c>
      <c r="Q9470" s="5" t="s">
        <v>355</v>
      </c>
    </row>
    <row r="9471" ht="16.5" customHeight="1">
      <c r="O9471" s="5" t="s">
        <v>355</v>
      </c>
      <c r="P9471" s="5" t="s">
        <v>355</v>
      </c>
      <c r="Q9471" s="5" t="s">
        <v>355</v>
      </c>
    </row>
    <row r="9472" ht="16.5" customHeight="1">
      <c r="O9472" s="5" t="s">
        <v>355</v>
      </c>
      <c r="P9472" s="5" t="s">
        <v>355</v>
      </c>
      <c r="Q9472" s="5" t="s">
        <v>355</v>
      </c>
    </row>
    <row r="9473" ht="16.5" customHeight="1">
      <c r="O9473" s="5" t="s">
        <v>355</v>
      </c>
      <c r="P9473" s="5" t="s">
        <v>355</v>
      </c>
      <c r="Q9473" s="5" t="s">
        <v>355</v>
      </c>
    </row>
    <row r="9474" ht="16.5" customHeight="1">
      <c r="O9474" s="5" t="s">
        <v>355</v>
      </c>
      <c r="P9474" s="5" t="s">
        <v>355</v>
      </c>
      <c r="Q9474" s="5" t="s">
        <v>355</v>
      </c>
    </row>
    <row r="9475" ht="16.5" customHeight="1">
      <c r="O9475" s="5" t="s">
        <v>355</v>
      </c>
      <c r="P9475" s="5" t="s">
        <v>355</v>
      </c>
      <c r="Q9475" s="5" t="s">
        <v>355</v>
      </c>
    </row>
    <row r="9476" ht="16.5" customHeight="1">
      <c r="O9476" s="5" t="s">
        <v>355</v>
      </c>
      <c r="P9476" s="5" t="s">
        <v>355</v>
      </c>
      <c r="Q9476" s="5" t="s">
        <v>355</v>
      </c>
    </row>
    <row r="9477" ht="16.5" customHeight="1">
      <c r="O9477" s="5" t="s">
        <v>355</v>
      </c>
      <c r="P9477" s="5" t="s">
        <v>355</v>
      </c>
      <c r="Q9477" s="5" t="s">
        <v>355</v>
      </c>
    </row>
    <row r="9478" ht="16.5" customHeight="1">
      <c r="O9478" s="5" t="s">
        <v>355</v>
      </c>
      <c r="P9478" s="5" t="s">
        <v>355</v>
      </c>
      <c r="Q9478" s="5" t="s">
        <v>355</v>
      </c>
    </row>
    <row r="9479" ht="16.5" customHeight="1">
      <c r="O9479" s="5" t="s">
        <v>355</v>
      </c>
      <c r="P9479" s="5" t="s">
        <v>355</v>
      </c>
      <c r="Q9479" s="5" t="s">
        <v>355</v>
      </c>
    </row>
    <row r="9480" ht="16.5" customHeight="1">
      <c r="O9480" s="5" t="s">
        <v>355</v>
      </c>
      <c r="P9480" s="5" t="s">
        <v>355</v>
      </c>
      <c r="Q9480" s="5" t="s">
        <v>355</v>
      </c>
    </row>
    <row r="9481" ht="16.5" customHeight="1">
      <c r="O9481" s="5" t="s">
        <v>355</v>
      </c>
      <c r="P9481" s="5" t="s">
        <v>355</v>
      </c>
      <c r="Q9481" s="5" t="s">
        <v>355</v>
      </c>
    </row>
    <row r="9482" ht="16.5" customHeight="1">
      <c r="O9482" s="5" t="s">
        <v>355</v>
      </c>
      <c r="P9482" s="5" t="s">
        <v>355</v>
      </c>
      <c r="Q9482" s="5" t="s">
        <v>355</v>
      </c>
    </row>
    <row r="9483" ht="16.5" customHeight="1">
      <c r="O9483" s="5" t="s">
        <v>355</v>
      </c>
      <c r="P9483" s="5" t="s">
        <v>355</v>
      </c>
      <c r="Q9483" s="5" t="s">
        <v>355</v>
      </c>
    </row>
    <row r="9484" ht="16.5" customHeight="1">
      <c r="O9484" s="5" t="s">
        <v>355</v>
      </c>
      <c r="P9484" s="5" t="s">
        <v>355</v>
      </c>
      <c r="Q9484" s="5" t="s">
        <v>355</v>
      </c>
    </row>
    <row r="9485" ht="16.5" customHeight="1">
      <c r="O9485" s="5" t="s">
        <v>355</v>
      </c>
      <c r="P9485" s="5" t="s">
        <v>355</v>
      </c>
      <c r="Q9485" s="5" t="s">
        <v>355</v>
      </c>
    </row>
    <row r="9486" ht="16.5" customHeight="1">
      <c r="O9486" s="5" t="s">
        <v>355</v>
      </c>
      <c r="P9486" s="5" t="s">
        <v>355</v>
      </c>
      <c r="Q9486" s="5" t="s">
        <v>355</v>
      </c>
    </row>
    <row r="9487" ht="16.5" customHeight="1">
      <c r="O9487" s="5" t="s">
        <v>355</v>
      </c>
      <c r="P9487" s="5" t="s">
        <v>355</v>
      </c>
      <c r="Q9487" s="5" t="s">
        <v>355</v>
      </c>
    </row>
    <row r="9488" ht="16.5" customHeight="1">
      <c r="O9488" s="5" t="s">
        <v>355</v>
      </c>
      <c r="P9488" s="5" t="s">
        <v>355</v>
      </c>
      <c r="Q9488" s="5" t="s">
        <v>355</v>
      </c>
    </row>
    <row r="9489" ht="16.5" customHeight="1">
      <c r="O9489" s="5" t="s">
        <v>355</v>
      </c>
      <c r="P9489" s="5" t="s">
        <v>355</v>
      </c>
      <c r="Q9489" s="5" t="s">
        <v>355</v>
      </c>
    </row>
    <row r="9490" ht="16.5" customHeight="1">
      <c r="O9490" s="5" t="s">
        <v>355</v>
      </c>
      <c r="P9490" s="5" t="s">
        <v>355</v>
      </c>
      <c r="Q9490" s="5" t="s">
        <v>355</v>
      </c>
    </row>
    <row r="9491" ht="16.5" customHeight="1">
      <c r="O9491" s="5" t="s">
        <v>355</v>
      </c>
      <c r="P9491" s="5" t="s">
        <v>355</v>
      </c>
      <c r="Q9491" s="5" t="s">
        <v>355</v>
      </c>
    </row>
    <row r="9492" ht="16.5" customHeight="1">
      <c r="O9492" s="5" t="s">
        <v>355</v>
      </c>
      <c r="P9492" s="5" t="s">
        <v>355</v>
      </c>
      <c r="Q9492" s="5" t="s">
        <v>355</v>
      </c>
    </row>
    <row r="9493" ht="16.5" customHeight="1">
      <c r="O9493" s="5" t="s">
        <v>355</v>
      </c>
      <c r="P9493" s="5" t="s">
        <v>355</v>
      </c>
      <c r="Q9493" s="5" t="s">
        <v>355</v>
      </c>
    </row>
    <row r="9494" ht="16.5" customHeight="1">
      <c r="O9494" s="5" t="s">
        <v>355</v>
      </c>
      <c r="P9494" s="5" t="s">
        <v>355</v>
      </c>
      <c r="Q9494" s="5" t="s">
        <v>355</v>
      </c>
    </row>
    <row r="9495" ht="16.5" customHeight="1">
      <c r="O9495" s="5" t="s">
        <v>355</v>
      </c>
      <c r="P9495" s="5" t="s">
        <v>355</v>
      </c>
      <c r="Q9495" s="5" t="s">
        <v>355</v>
      </c>
    </row>
    <row r="9496" ht="16.5" customHeight="1">
      <c r="O9496" s="5" t="s">
        <v>355</v>
      </c>
      <c r="P9496" s="5" t="s">
        <v>355</v>
      </c>
      <c r="Q9496" s="5" t="s">
        <v>355</v>
      </c>
    </row>
    <row r="9497" ht="16.5" customHeight="1">
      <c r="O9497" s="5" t="s">
        <v>355</v>
      </c>
      <c r="P9497" s="5" t="s">
        <v>355</v>
      </c>
      <c r="Q9497" s="5" t="s">
        <v>355</v>
      </c>
    </row>
    <row r="9498" ht="16.5" customHeight="1">
      <c r="O9498" s="5" t="s">
        <v>355</v>
      </c>
      <c r="P9498" s="5" t="s">
        <v>355</v>
      </c>
      <c r="Q9498" s="5" t="s">
        <v>355</v>
      </c>
    </row>
    <row r="9499" ht="16.5" customHeight="1">
      <c r="O9499" s="5" t="s">
        <v>355</v>
      </c>
      <c r="P9499" s="5" t="s">
        <v>355</v>
      </c>
      <c r="Q9499" s="5" t="s">
        <v>355</v>
      </c>
    </row>
    <row r="9500" ht="16.5" customHeight="1">
      <c r="O9500" s="5" t="s">
        <v>355</v>
      </c>
      <c r="P9500" s="5" t="s">
        <v>355</v>
      </c>
      <c r="Q9500" s="5" t="s">
        <v>355</v>
      </c>
    </row>
    <row r="9501" ht="16.5" customHeight="1">
      <c r="O9501" s="5" t="s">
        <v>355</v>
      </c>
      <c r="P9501" s="5" t="s">
        <v>355</v>
      </c>
      <c r="Q9501" s="5" t="s">
        <v>355</v>
      </c>
    </row>
    <row r="9502" ht="16.5" customHeight="1">
      <c r="O9502" s="5" t="s">
        <v>355</v>
      </c>
      <c r="P9502" s="5" t="s">
        <v>355</v>
      </c>
      <c r="Q9502" s="5" t="s">
        <v>355</v>
      </c>
    </row>
    <row r="9503" ht="16.5" customHeight="1">
      <c r="O9503" s="5" t="s">
        <v>355</v>
      </c>
      <c r="P9503" s="5" t="s">
        <v>355</v>
      </c>
      <c r="Q9503" s="5" t="s">
        <v>355</v>
      </c>
    </row>
    <row r="9504" ht="16.5" customHeight="1">
      <c r="O9504" s="5" t="s">
        <v>355</v>
      </c>
      <c r="P9504" s="5" t="s">
        <v>355</v>
      </c>
      <c r="Q9504" s="5" t="s">
        <v>355</v>
      </c>
    </row>
    <row r="9505" ht="16.5" customHeight="1">
      <c r="O9505" s="5" t="s">
        <v>355</v>
      </c>
      <c r="P9505" s="5" t="s">
        <v>355</v>
      </c>
      <c r="Q9505" s="5" t="s">
        <v>355</v>
      </c>
    </row>
    <row r="9506" ht="16.5" customHeight="1">
      <c r="O9506" s="5" t="s">
        <v>355</v>
      </c>
      <c r="P9506" s="5" t="s">
        <v>355</v>
      </c>
      <c r="Q9506" s="5" t="s">
        <v>355</v>
      </c>
    </row>
    <row r="9507" ht="16.5" customHeight="1">
      <c r="O9507" s="5" t="s">
        <v>355</v>
      </c>
      <c r="P9507" s="5" t="s">
        <v>355</v>
      </c>
      <c r="Q9507" s="5" t="s">
        <v>355</v>
      </c>
    </row>
    <row r="9508" ht="16.5" customHeight="1">
      <c r="O9508" s="5" t="s">
        <v>355</v>
      </c>
      <c r="P9508" s="5" t="s">
        <v>355</v>
      </c>
      <c r="Q9508" s="5" t="s">
        <v>355</v>
      </c>
    </row>
    <row r="9509" ht="16.5" customHeight="1">
      <c r="O9509" s="5" t="s">
        <v>355</v>
      </c>
      <c r="P9509" s="5" t="s">
        <v>355</v>
      </c>
      <c r="Q9509" s="5" t="s">
        <v>355</v>
      </c>
    </row>
    <row r="9510" ht="16.5" customHeight="1">
      <c r="O9510" s="5" t="s">
        <v>355</v>
      </c>
      <c r="P9510" s="5" t="s">
        <v>355</v>
      </c>
      <c r="Q9510" s="5" t="s">
        <v>355</v>
      </c>
    </row>
    <row r="9511" ht="16.5" customHeight="1">
      <c r="O9511" s="5" t="s">
        <v>355</v>
      </c>
      <c r="P9511" s="5" t="s">
        <v>355</v>
      </c>
      <c r="Q9511" s="5" t="s">
        <v>355</v>
      </c>
    </row>
    <row r="9512" ht="16.5" customHeight="1">
      <c r="O9512" s="5" t="s">
        <v>355</v>
      </c>
      <c r="P9512" s="5" t="s">
        <v>355</v>
      </c>
      <c r="Q9512" s="5" t="s">
        <v>355</v>
      </c>
    </row>
    <row r="9513" ht="16.5" customHeight="1">
      <c r="O9513" s="5" t="s">
        <v>355</v>
      </c>
      <c r="P9513" s="5" t="s">
        <v>355</v>
      </c>
      <c r="Q9513" s="5" t="s">
        <v>355</v>
      </c>
    </row>
    <row r="9514" ht="16.5" customHeight="1">
      <c r="O9514" s="5" t="s">
        <v>355</v>
      </c>
      <c r="P9514" s="5" t="s">
        <v>355</v>
      </c>
      <c r="Q9514" s="5" t="s">
        <v>355</v>
      </c>
    </row>
    <row r="9515" ht="16.5" customHeight="1">
      <c r="O9515" s="5" t="s">
        <v>355</v>
      </c>
      <c r="P9515" s="5" t="s">
        <v>355</v>
      </c>
      <c r="Q9515" s="5" t="s">
        <v>355</v>
      </c>
    </row>
    <row r="9516" ht="16.5" customHeight="1">
      <c r="O9516" s="5" t="s">
        <v>355</v>
      </c>
      <c r="P9516" s="5" t="s">
        <v>355</v>
      </c>
      <c r="Q9516" s="5" t="s">
        <v>355</v>
      </c>
    </row>
    <row r="9517" ht="16.5" customHeight="1">
      <c r="O9517" s="5" t="s">
        <v>355</v>
      </c>
      <c r="P9517" s="5" t="s">
        <v>355</v>
      </c>
      <c r="Q9517" s="5" t="s">
        <v>355</v>
      </c>
    </row>
    <row r="9518" ht="16.5" customHeight="1">
      <c r="O9518" s="5" t="s">
        <v>355</v>
      </c>
      <c r="P9518" s="5" t="s">
        <v>355</v>
      </c>
      <c r="Q9518" s="5" t="s">
        <v>355</v>
      </c>
    </row>
    <row r="9519" ht="16.5" customHeight="1">
      <c r="O9519" s="5" t="s">
        <v>355</v>
      </c>
      <c r="P9519" s="5" t="s">
        <v>355</v>
      </c>
      <c r="Q9519" s="5" t="s">
        <v>355</v>
      </c>
    </row>
    <row r="9520" ht="16.5" customHeight="1">
      <c r="O9520" s="5" t="s">
        <v>355</v>
      </c>
      <c r="P9520" s="5" t="s">
        <v>355</v>
      </c>
      <c r="Q9520" s="5" t="s">
        <v>355</v>
      </c>
    </row>
    <row r="9521" ht="16.5" customHeight="1">
      <c r="O9521" s="5" t="s">
        <v>355</v>
      </c>
      <c r="P9521" s="5" t="s">
        <v>355</v>
      </c>
      <c r="Q9521" s="5" t="s">
        <v>355</v>
      </c>
    </row>
    <row r="9522" ht="16.5" customHeight="1">
      <c r="O9522" s="5" t="s">
        <v>355</v>
      </c>
      <c r="P9522" s="5" t="s">
        <v>355</v>
      </c>
      <c r="Q9522" s="5" t="s">
        <v>355</v>
      </c>
    </row>
    <row r="9523" ht="16.5" customHeight="1">
      <c r="O9523" s="5" t="s">
        <v>355</v>
      </c>
      <c r="P9523" s="5" t="s">
        <v>355</v>
      </c>
      <c r="Q9523" s="5" t="s">
        <v>355</v>
      </c>
    </row>
    <row r="9524" ht="16.5" customHeight="1">
      <c r="O9524" s="5" t="s">
        <v>355</v>
      </c>
      <c r="P9524" s="5" t="s">
        <v>355</v>
      </c>
      <c r="Q9524" s="5" t="s">
        <v>355</v>
      </c>
    </row>
    <row r="9525" ht="16.5" customHeight="1">
      <c r="O9525" s="5" t="s">
        <v>355</v>
      </c>
      <c r="P9525" s="5" t="s">
        <v>355</v>
      </c>
      <c r="Q9525" s="5" t="s">
        <v>355</v>
      </c>
    </row>
    <row r="9526" ht="16.5" customHeight="1">
      <c r="O9526" s="5" t="s">
        <v>355</v>
      </c>
      <c r="P9526" s="5" t="s">
        <v>355</v>
      </c>
      <c r="Q9526" s="5" t="s">
        <v>355</v>
      </c>
    </row>
    <row r="9527" ht="16.5" customHeight="1">
      <c r="O9527" s="5" t="s">
        <v>355</v>
      </c>
      <c r="P9527" s="5" t="s">
        <v>355</v>
      </c>
      <c r="Q9527" s="5" t="s">
        <v>355</v>
      </c>
    </row>
    <row r="9528" ht="16.5" customHeight="1">
      <c r="O9528" s="5" t="s">
        <v>355</v>
      </c>
      <c r="P9528" s="5" t="s">
        <v>355</v>
      </c>
      <c r="Q9528" s="5" t="s">
        <v>355</v>
      </c>
    </row>
    <row r="9529" ht="16.5" customHeight="1">
      <c r="O9529" s="5" t="s">
        <v>355</v>
      </c>
      <c r="P9529" s="5" t="s">
        <v>355</v>
      </c>
      <c r="Q9529" s="5" t="s">
        <v>355</v>
      </c>
    </row>
    <row r="9530" ht="16.5" customHeight="1">
      <c r="O9530" s="5" t="s">
        <v>355</v>
      </c>
      <c r="P9530" s="5" t="s">
        <v>355</v>
      </c>
      <c r="Q9530" s="5" t="s">
        <v>355</v>
      </c>
    </row>
    <row r="9531" ht="16.5" customHeight="1">
      <c r="O9531" s="5" t="s">
        <v>355</v>
      </c>
      <c r="P9531" s="5" t="s">
        <v>355</v>
      </c>
      <c r="Q9531" s="5" t="s">
        <v>355</v>
      </c>
    </row>
    <row r="9532" ht="16.5" customHeight="1">
      <c r="O9532" s="5" t="s">
        <v>355</v>
      </c>
      <c r="P9532" s="5" t="s">
        <v>355</v>
      </c>
      <c r="Q9532" s="5" t="s">
        <v>355</v>
      </c>
    </row>
    <row r="9533" ht="16.5" customHeight="1">
      <c r="O9533" s="5" t="s">
        <v>355</v>
      </c>
      <c r="P9533" s="5" t="s">
        <v>355</v>
      </c>
      <c r="Q9533" s="5" t="s">
        <v>355</v>
      </c>
    </row>
    <row r="9534" ht="16.5" customHeight="1">
      <c r="O9534" s="5" t="s">
        <v>355</v>
      </c>
      <c r="P9534" s="5" t="s">
        <v>355</v>
      </c>
      <c r="Q9534" s="5" t="s">
        <v>355</v>
      </c>
    </row>
    <row r="9535" ht="16.5" customHeight="1">
      <c r="O9535" s="5" t="s">
        <v>355</v>
      </c>
      <c r="P9535" s="5" t="s">
        <v>355</v>
      </c>
      <c r="Q9535" s="5" t="s">
        <v>355</v>
      </c>
    </row>
    <row r="9536" ht="16.5" customHeight="1">
      <c r="O9536" s="5" t="s">
        <v>355</v>
      </c>
      <c r="P9536" s="5" t="s">
        <v>355</v>
      </c>
      <c r="Q9536" s="5" t="s">
        <v>355</v>
      </c>
    </row>
    <row r="9537" ht="16.5" customHeight="1">
      <c r="O9537" s="5" t="s">
        <v>355</v>
      </c>
      <c r="P9537" s="5" t="s">
        <v>355</v>
      </c>
      <c r="Q9537" s="5" t="s">
        <v>355</v>
      </c>
    </row>
    <row r="9538" ht="16.5" customHeight="1">
      <c r="O9538" s="5" t="s">
        <v>355</v>
      </c>
      <c r="P9538" s="5" t="s">
        <v>355</v>
      </c>
      <c r="Q9538" s="5" t="s">
        <v>355</v>
      </c>
    </row>
    <row r="9539" ht="16.5" customHeight="1">
      <c r="O9539" s="5" t="s">
        <v>355</v>
      </c>
      <c r="P9539" s="5" t="s">
        <v>355</v>
      </c>
      <c r="Q9539" s="5" t="s">
        <v>355</v>
      </c>
    </row>
    <row r="9540" ht="16.5" customHeight="1">
      <c r="O9540" s="5" t="s">
        <v>355</v>
      </c>
      <c r="P9540" s="5" t="s">
        <v>355</v>
      </c>
      <c r="Q9540" s="5" t="s">
        <v>355</v>
      </c>
    </row>
    <row r="9541" ht="16.5" customHeight="1">
      <c r="O9541" s="5" t="s">
        <v>355</v>
      </c>
      <c r="P9541" s="5" t="s">
        <v>355</v>
      </c>
      <c r="Q9541" s="5" t="s">
        <v>355</v>
      </c>
    </row>
    <row r="9542" ht="16.5" customHeight="1">
      <c r="O9542" s="5" t="s">
        <v>355</v>
      </c>
      <c r="P9542" s="5" t="s">
        <v>355</v>
      </c>
      <c r="Q9542" s="5" t="s">
        <v>355</v>
      </c>
    </row>
    <row r="9543" ht="16.5" customHeight="1">
      <c r="O9543" s="5" t="s">
        <v>355</v>
      </c>
      <c r="P9543" s="5" t="s">
        <v>355</v>
      </c>
      <c r="Q9543" s="5" t="s">
        <v>355</v>
      </c>
    </row>
    <row r="9544" ht="16.5" customHeight="1">
      <c r="O9544" s="5" t="s">
        <v>355</v>
      </c>
      <c r="P9544" s="5" t="s">
        <v>355</v>
      </c>
      <c r="Q9544" s="5" t="s">
        <v>355</v>
      </c>
    </row>
    <row r="9545" ht="16.5" customHeight="1">
      <c r="O9545" s="5" t="s">
        <v>355</v>
      </c>
      <c r="P9545" s="5" t="s">
        <v>355</v>
      </c>
      <c r="Q9545" s="5" t="s">
        <v>355</v>
      </c>
    </row>
    <row r="9546" ht="16.5" customHeight="1">
      <c r="O9546" s="5" t="s">
        <v>355</v>
      </c>
      <c r="P9546" s="5" t="s">
        <v>355</v>
      </c>
      <c r="Q9546" s="5" t="s">
        <v>355</v>
      </c>
    </row>
    <row r="9547" ht="16.5" customHeight="1">
      <c r="O9547" s="5" t="s">
        <v>355</v>
      </c>
      <c r="P9547" s="5" t="s">
        <v>355</v>
      </c>
      <c r="Q9547" s="5" t="s">
        <v>355</v>
      </c>
    </row>
    <row r="9548" ht="16.5" customHeight="1">
      <c r="O9548" s="5" t="s">
        <v>355</v>
      </c>
      <c r="P9548" s="5" t="s">
        <v>355</v>
      </c>
      <c r="Q9548" s="5" t="s">
        <v>355</v>
      </c>
    </row>
    <row r="9549" ht="16.5" customHeight="1">
      <c r="O9549" s="5" t="s">
        <v>355</v>
      </c>
      <c r="P9549" s="5" t="s">
        <v>355</v>
      </c>
      <c r="Q9549" s="5" t="s">
        <v>355</v>
      </c>
    </row>
    <row r="9550" ht="16.5" customHeight="1">
      <c r="O9550" s="5" t="s">
        <v>355</v>
      </c>
      <c r="P9550" s="5" t="s">
        <v>355</v>
      </c>
      <c r="Q9550" s="5" t="s">
        <v>355</v>
      </c>
    </row>
    <row r="9551" ht="16.5" customHeight="1">
      <c r="O9551" s="5" t="s">
        <v>355</v>
      </c>
      <c r="P9551" s="5" t="s">
        <v>355</v>
      </c>
      <c r="Q9551" s="5" t="s">
        <v>355</v>
      </c>
    </row>
    <row r="9552" ht="16.5" customHeight="1">
      <c r="O9552" s="5" t="s">
        <v>355</v>
      </c>
      <c r="P9552" s="5" t="s">
        <v>355</v>
      </c>
      <c r="Q9552" s="5" t="s">
        <v>355</v>
      </c>
    </row>
    <row r="9553" ht="16.5" customHeight="1">
      <c r="O9553" s="5" t="s">
        <v>355</v>
      </c>
      <c r="P9553" s="5" t="s">
        <v>355</v>
      </c>
      <c r="Q9553" s="5" t="s">
        <v>355</v>
      </c>
    </row>
    <row r="9554" ht="16.5" customHeight="1">
      <c r="O9554" s="5" t="s">
        <v>355</v>
      </c>
      <c r="P9554" s="5" t="s">
        <v>355</v>
      </c>
      <c r="Q9554" s="5" t="s">
        <v>355</v>
      </c>
    </row>
    <row r="9555" ht="16.5" customHeight="1">
      <c r="O9555" s="5" t="s">
        <v>355</v>
      </c>
      <c r="P9555" s="5" t="s">
        <v>355</v>
      </c>
      <c r="Q9555" s="5" t="s">
        <v>355</v>
      </c>
    </row>
    <row r="9556" ht="16.5" customHeight="1">
      <c r="O9556" s="5" t="s">
        <v>355</v>
      </c>
      <c r="P9556" s="5" t="s">
        <v>355</v>
      </c>
      <c r="Q9556" s="5" t="s">
        <v>355</v>
      </c>
    </row>
    <row r="9557" ht="16.5" customHeight="1">
      <c r="O9557" s="5" t="s">
        <v>355</v>
      </c>
      <c r="P9557" s="5" t="s">
        <v>355</v>
      </c>
      <c r="Q9557" s="5" t="s">
        <v>355</v>
      </c>
    </row>
    <row r="9558" ht="16.5" customHeight="1">
      <c r="O9558" s="5" t="s">
        <v>355</v>
      </c>
      <c r="P9558" s="5" t="s">
        <v>355</v>
      </c>
      <c r="Q9558" s="5" t="s">
        <v>355</v>
      </c>
    </row>
    <row r="9559" ht="16.5" customHeight="1">
      <c r="O9559" s="5" t="s">
        <v>355</v>
      </c>
      <c r="P9559" s="5" t="s">
        <v>355</v>
      </c>
      <c r="Q9559" s="5" t="s">
        <v>355</v>
      </c>
    </row>
    <row r="9560" ht="16.5" customHeight="1">
      <c r="O9560" s="5" t="s">
        <v>355</v>
      </c>
      <c r="P9560" s="5" t="s">
        <v>355</v>
      </c>
      <c r="Q9560" s="5" t="s">
        <v>355</v>
      </c>
    </row>
    <row r="9561" ht="16.5" customHeight="1">
      <c r="O9561" s="5" t="s">
        <v>355</v>
      </c>
      <c r="P9561" s="5" t="s">
        <v>355</v>
      </c>
      <c r="Q9561" s="5" t="s">
        <v>355</v>
      </c>
    </row>
    <row r="9562" ht="16.5" customHeight="1">
      <c r="O9562" s="5" t="s">
        <v>355</v>
      </c>
      <c r="P9562" s="5" t="s">
        <v>355</v>
      </c>
      <c r="Q9562" s="5" t="s">
        <v>355</v>
      </c>
    </row>
    <row r="9563" ht="16.5" customHeight="1">
      <c r="O9563" s="5" t="s">
        <v>355</v>
      </c>
      <c r="P9563" s="5" t="s">
        <v>355</v>
      </c>
      <c r="Q9563" s="5" t="s">
        <v>355</v>
      </c>
    </row>
    <row r="9564" ht="16.5" customHeight="1">
      <c r="O9564" s="5" t="s">
        <v>355</v>
      </c>
      <c r="P9564" s="5" t="s">
        <v>355</v>
      </c>
      <c r="Q9564" s="5" t="s">
        <v>355</v>
      </c>
    </row>
    <row r="9565" ht="16.5" customHeight="1">
      <c r="O9565" s="5" t="s">
        <v>355</v>
      </c>
      <c r="P9565" s="5" t="s">
        <v>355</v>
      </c>
      <c r="Q9565" s="5" t="s">
        <v>355</v>
      </c>
    </row>
    <row r="9566" ht="16.5" customHeight="1">
      <c r="O9566" s="5" t="s">
        <v>355</v>
      </c>
      <c r="P9566" s="5" t="s">
        <v>355</v>
      </c>
      <c r="Q9566" s="5" t="s">
        <v>355</v>
      </c>
    </row>
    <row r="9567" ht="16.5" customHeight="1">
      <c r="O9567" s="5" t="s">
        <v>355</v>
      </c>
      <c r="P9567" s="5" t="s">
        <v>355</v>
      </c>
      <c r="Q9567" s="5" t="s">
        <v>355</v>
      </c>
    </row>
    <row r="9568" ht="16.5" customHeight="1">
      <c r="O9568" s="5" t="s">
        <v>355</v>
      </c>
      <c r="P9568" s="5" t="s">
        <v>355</v>
      </c>
      <c r="Q9568" s="5" t="s">
        <v>355</v>
      </c>
    </row>
    <row r="9569" ht="16.5" customHeight="1">
      <c r="O9569" s="5" t="s">
        <v>355</v>
      </c>
      <c r="P9569" s="5" t="s">
        <v>355</v>
      </c>
      <c r="Q9569" s="5" t="s">
        <v>355</v>
      </c>
    </row>
    <row r="9570" ht="16.5" customHeight="1">
      <c r="O9570" s="5" t="s">
        <v>355</v>
      </c>
      <c r="P9570" s="5" t="s">
        <v>355</v>
      </c>
      <c r="Q9570" s="5" t="s">
        <v>355</v>
      </c>
    </row>
    <row r="9571" ht="16.5" customHeight="1">
      <c r="O9571" s="5" t="s">
        <v>355</v>
      </c>
      <c r="P9571" s="5" t="s">
        <v>355</v>
      </c>
      <c r="Q9571" s="5" t="s">
        <v>355</v>
      </c>
    </row>
    <row r="9572" ht="16.5" customHeight="1">
      <c r="O9572" s="5" t="s">
        <v>355</v>
      </c>
      <c r="P9572" s="5" t="s">
        <v>355</v>
      </c>
      <c r="Q9572" s="5" t="s">
        <v>355</v>
      </c>
    </row>
    <row r="9573" ht="16.5" customHeight="1">
      <c r="O9573" s="5" t="s">
        <v>355</v>
      </c>
      <c r="P9573" s="5" t="s">
        <v>355</v>
      </c>
      <c r="Q9573" s="5" t="s">
        <v>355</v>
      </c>
    </row>
    <row r="9574" ht="16.5" customHeight="1">
      <c r="O9574" s="5" t="s">
        <v>355</v>
      </c>
      <c r="P9574" s="5" t="s">
        <v>355</v>
      </c>
      <c r="Q9574" s="5" t="s">
        <v>355</v>
      </c>
    </row>
    <row r="9575" ht="16.5" customHeight="1">
      <c r="O9575" s="5" t="s">
        <v>355</v>
      </c>
      <c r="P9575" s="5" t="s">
        <v>355</v>
      </c>
      <c r="Q9575" s="5" t="s">
        <v>355</v>
      </c>
    </row>
    <row r="9576" ht="16.5" customHeight="1">
      <c r="O9576" s="5" t="s">
        <v>355</v>
      </c>
      <c r="P9576" s="5" t="s">
        <v>355</v>
      </c>
      <c r="Q9576" s="5" t="s">
        <v>355</v>
      </c>
    </row>
    <row r="9577" ht="16.5" customHeight="1">
      <c r="O9577" s="5" t="s">
        <v>355</v>
      </c>
      <c r="P9577" s="5" t="s">
        <v>355</v>
      </c>
      <c r="Q9577" s="5" t="s">
        <v>355</v>
      </c>
    </row>
    <row r="9578" ht="16.5" customHeight="1">
      <c r="O9578" s="5" t="s">
        <v>355</v>
      </c>
      <c r="P9578" s="5" t="s">
        <v>355</v>
      </c>
      <c r="Q9578" s="5" t="s">
        <v>355</v>
      </c>
    </row>
    <row r="9579" ht="16.5" customHeight="1">
      <c r="O9579" s="5" t="s">
        <v>355</v>
      </c>
      <c r="P9579" s="5" t="s">
        <v>355</v>
      </c>
      <c r="Q9579" s="5" t="s">
        <v>355</v>
      </c>
    </row>
    <row r="9580" ht="16.5" customHeight="1">
      <c r="O9580" s="5" t="s">
        <v>355</v>
      </c>
      <c r="P9580" s="5" t="s">
        <v>355</v>
      </c>
      <c r="Q9580" s="5" t="s">
        <v>355</v>
      </c>
    </row>
    <row r="9581" ht="16.5" customHeight="1">
      <c r="O9581" s="5" t="s">
        <v>355</v>
      </c>
      <c r="P9581" s="5" t="s">
        <v>355</v>
      </c>
      <c r="Q9581" s="5" t="s">
        <v>355</v>
      </c>
    </row>
    <row r="9582" ht="16.5" customHeight="1">
      <c r="O9582" s="5" t="s">
        <v>355</v>
      </c>
      <c r="P9582" s="5" t="s">
        <v>355</v>
      </c>
      <c r="Q9582" s="5" t="s">
        <v>355</v>
      </c>
    </row>
    <row r="9583" ht="16.5" customHeight="1">
      <c r="O9583" s="5" t="s">
        <v>355</v>
      </c>
      <c r="P9583" s="5" t="s">
        <v>355</v>
      </c>
      <c r="Q9583" s="5" t="s">
        <v>355</v>
      </c>
    </row>
    <row r="9584" ht="16.5" customHeight="1">
      <c r="O9584" s="5" t="s">
        <v>355</v>
      </c>
      <c r="P9584" s="5" t="s">
        <v>355</v>
      </c>
      <c r="Q9584" s="5" t="s">
        <v>355</v>
      </c>
    </row>
    <row r="9585" ht="16.5" customHeight="1">
      <c r="O9585" s="5" t="s">
        <v>355</v>
      </c>
      <c r="P9585" s="5" t="s">
        <v>355</v>
      </c>
      <c r="Q9585" s="5" t="s">
        <v>355</v>
      </c>
    </row>
    <row r="9586" ht="16.5" customHeight="1">
      <c r="O9586" s="5" t="s">
        <v>355</v>
      </c>
      <c r="P9586" s="5" t="s">
        <v>355</v>
      </c>
      <c r="Q9586" s="5" t="s">
        <v>355</v>
      </c>
    </row>
    <row r="9587" ht="16.5" customHeight="1">
      <c r="O9587" s="5" t="s">
        <v>355</v>
      </c>
      <c r="P9587" s="5" t="s">
        <v>355</v>
      </c>
      <c r="Q9587" s="5" t="s">
        <v>355</v>
      </c>
    </row>
    <row r="9588" ht="16.5" customHeight="1">
      <c r="O9588" s="5" t="s">
        <v>355</v>
      </c>
      <c r="P9588" s="5" t="s">
        <v>355</v>
      </c>
      <c r="Q9588" s="5" t="s">
        <v>355</v>
      </c>
    </row>
    <row r="9589" ht="16.5" customHeight="1">
      <c r="O9589" s="5" t="s">
        <v>355</v>
      </c>
      <c r="P9589" s="5" t="s">
        <v>355</v>
      </c>
      <c r="Q9589" s="5" t="s">
        <v>355</v>
      </c>
    </row>
    <row r="9590" ht="16.5" customHeight="1">
      <c r="O9590" s="5" t="s">
        <v>355</v>
      </c>
      <c r="P9590" s="5" t="s">
        <v>355</v>
      </c>
      <c r="Q9590" s="5" t="s">
        <v>355</v>
      </c>
    </row>
    <row r="9591" ht="16.5" customHeight="1">
      <c r="O9591" s="5" t="s">
        <v>355</v>
      </c>
      <c r="P9591" s="5" t="s">
        <v>355</v>
      </c>
      <c r="Q9591" s="5" t="s">
        <v>355</v>
      </c>
    </row>
    <row r="9592" ht="16.5" customHeight="1">
      <c r="O9592" s="5" t="s">
        <v>355</v>
      </c>
      <c r="P9592" s="5" t="s">
        <v>355</v>
      </c>
      <c r="Q9592" s="5" t="s">
        <v>355</v>
      </c>
    </row>
    <row r="9593" ht="16.5" customHeight="1">
      <c r="O9593" s="5" t="s">
        <v>355</v>
      </c>
      <c r="P9593" s="5" t="s">
        <v>355</v>
      </c>
      <c r="Q9593" s="5" t="s">
        <v>355</v>
      </c>
    </row>
    <row r="9594" ht="16.5" customHeight="1">
      <c r="O9594" s="5" t="s">
        <v>355</v>
      </c>
      <c r="P9594" s="5" t="s">
        <v>355</v>
      </c>
      <c r="Q9594" s="5" t="s">
        <v>355</v>
      </c>
    </row>
    <row r="9595" ht="16.5" customHeight="1">
      <c r="O9595" s="5" t="s">
        <v>355</v>
      </c>
      <c r="P9595" s="5" t="s">
        <v>355</v>
      </c>
      <c r="Q9595" s="5" t="s">
        <v>355</v>
      </c>
    </row>
    <row r="9596" ht="16.5" customHeight="1">
      <c r="O9596" s="5" t="s">
        <v>355</v>
      </c>
      <c r="P9596" s="5" t="s">
        <v>355</v>
      </c>
      <c r="Q9596" s="5" t="s">
        <v>355</v>
      </c>
    </row>
    <row r="9597" ht="16.5" customHeight="1">
      <c r="O9597" s="5" t="s">
        <v>355</v>
      </c>
      <c r="P9597" s="5" t="s">
        <v>355</v>
      </c>
      <c r="Q9597" s="5" t="s">
        <v>355</v>
      </c>
    </row>
    <row r="9598" ht="16.5" customHeight="1">
      <c r="O9598" s="5" t="s">
        <v>355</v>
      </c>
      <c r="P9598" s="5" t="s">
        <v>355</v>
      </c>
      <c r="Q9598" s="5" t="s">
        <v>355</v>
      </c>
    </row>
    <row r="9599" ht="16.5" customHeight="1">
      <c r="O9599" s="5" t="s">
        <v>355</v>
      </c>
      <c r="P9599" s="5" t="s">
        <v>355</v>
      </c>
      <c r="Q9599" s="5" t="s">
        <v>355</v>
      </c>
    </row>
    <row r="9600" ht="16.5" customHeight="1">
      <c r="O9600" s="5" t="s">
        <v>355</v>
      </c>
      <c r="P9600" s="5" t="s">
        <v>355</v>
      </c>
      <c r="Q9600" s="5" t="s">
        <v>355</v>
      </c>
    </row>
    <row r="9601" ht="16.5" customHeight="1">
      <c r="O9601" s="5" t="s">
        <v>355</v>
      </c>
      <c r="P9601" s="5" t="s">
        <v>355</v>
      </c>
      <c r="Q9601" s="5" t="s">
        <v>355</v>
      </c>
    </row>
    <row r="9602" ht="16.5" customHeight="1">
      <c r="O9602" s="5" t="s">
        <v>355</v>
      </c>
      <c r="P9602" s="5" t="s">
        <v>355</v>
      </c>
      <c r="Q9602" s="5" t="s">
        <v>355</v>
      </c>
    </row>
    <row r="9603" ht="16.5" customHeight="1">
      <c r="O9603" s="5" t="s">
        <v>355</v>
      </c>
      <c r="P9603" s="5" t="s">
        <v>355</v>
      </c>
      <c r="Q9603" s="5" t="s">
        <v>355</v>
      </c>
    </row>
    <row r="9604" ht="16.5" customHeight="1">
      <c r="O9604" s="5" t="s">
        <v>355</v>
      </c>
      <c r="P9604" s="5" t="s">
        <v>355</v>
      </c>
      <c r="Q9604" s="5" t="s">
        <v>355</v>
      </c>
    </row>
    <row r="9605" ht="16.5" customHeight="1">
      <c r="O9605" s="5" t="s">
        <v>355</v>
      </c>
      <c r="P9605" s="5" t="s">
        <v>355</v>
      </c>
      <c r="Q9605" s="5" t="s">
        <v>355</v>
      </c>
    </row>
    <row r="9606" ht="16.5" customHeight="1">
      <c r="O9606" s="5" t="s">
        <v>355</v>
      </c>
      <c r="P9606" s="5" t="s">
        <v>355</v>
      </c>
      <c r="Q9606" s="5" t="s">
        <v>355</v>
      </c>
    </row>
    <row r="9607" ht="16.5" customHeight="1">
      <c r="O9607" s="5" t="s">
        <v>355</v>
      </c>
      <c r="P9607" s="5" t="s">
        <v>355</v>
      </c>
      <c r="Q9607" s="5" t="s">
        <v>355</v>
      </c>
    </row>
    <row r="9608" ht="16.5" customHeight="1">
      <c r="O9608" s="5" t="s">
        <v>355</v>
      </c>
      <c r="P9608" s="5" t="s">
        <v>355</v>
      </c>
      <c r="Q9608" s="5" t="s">
        <v>355</v>
      </c>
    </row>
    <row r="9609" ht="16.5" customHeight="1">
      <c r="O9609" s="5" t="s">
        <v>355</v>
      </c>
      <c r="P9609" s="5" t="s">
        <v>355</v>
      </c>
      <c r="Q9609" s="5" t="s">
        <v>355</v>
      </c>
    </row>
    <row r="9610" ht="16.5" customHeight="1">
      <c r="O9610" s="5" t="s">
        <v>355</v>
      </c>
      <c r="P9610" s="5" t="s">
        <v>355</v>
      </c>
      <c r="Q9610" s="5" t="s">
        <v>355</v>
      </c>
    </row>
    <row r="9611" ht="16.5" customHeight="1">
      <c r="O9611" s="5" t="s">
        <v>355</v>
      </c>
      <c r="P9611" s="5" t="s">
        <v>355</v>
      </c>
      <c r="Q9611" s="5" t="s">
        <v>355</v>
      </c>
    </row>
    <row r="9612" ht="16.5" customHeight="1">
      <c r="O9612" s="5" t="s">
        <v>355</v>
      </c>
      <c r="P9612" s="5" t="s">
        <v>355</v>
      </c>
      <c r="Q9612" s="5" t="s">
        <v>355</v>
      </c>
    </row>
    <row r="9613" ht="16.5" customHeight="1">
      <c r="O9613" s="5" t="s">
        <v>355</v>
      </c>
      <c r="P9613" s="5" t="s">
        <v>355</v>
      </c>
      <c r="Q9613" s="5" t="s">
        <v>355</v>
      </c>
    </row>
    <row r="9614" ht="16.5" customHeight="1">
      <c r="O9614" s="5" t="s">
        <v>355</v>
      </c>
      <c r="P9614" s="5" t="s">
        <v>355</v>
      </c>
      <c r="Q9614" s="5" t="s">
        <v>355</v>
      </c>
    </row>
    <row r="9615" ht="16.5" customHeight="1">
      <c r="O9615" s="5" t="s">
        <v>355</v>
      </c>
      <c r="P9615" s="5" t="s">
        <v>355</v>
      </c>
      <c r="Q9615" s="5" t="s">
        <v>355</v>
      </c>
    </row>
    <row r="9616" ht="16.5" customHeight="1">
      <c r="O9616" s="5" t="s">
        <v>355</v>
      </c>
      <c r="P9616" s="5" t="s">
        <v>355</v>
      </c>
      <c r="Q9616" s="5" t="s">
        <v>355</v>
      </c>
    </row>
    <row r="9617" ht="16.5" customHeight="1">
      <c r="O9617" s="5" t="s">
        <v>355</v>
      </c>
      <c r="P9617" s="5" t="s">
        <v>355</v>
      </c>
      <c r="Q9617" s="5" t="s">
        <v>355</v>
      </c>
    </row>
    <row r="9618" ht="16.5" customHeight="1">
      <c r="O9618" s="5" t="s">
        <v>355</v>
      </c>
      <c r="P9618" s="5" t="s">
        <v>355</v>
      </c>
      <c r="Q9618" s="5" t="s">
        <v>355</v>
      </c>
    </row>
    <row r="9619" ht="16.5" customHeight="1">
      <c r="O9619" s="5" t="s">
        <v>355</v>
      </c>
      <c r="P9619" s="5" t="s">
        <v>355</v>
      </c>
      <c r="Q9619" s="5" t="s">
        <v>355</v>
      </c>
    </row>
    <row r="9620" ht="16.5" customHeight="1">
      <c r="O9620" s="5" t="s">
        <v>355</v>
      </c>
      <c r="P9620" s="5" t="s">
        <v>355</v>
      </c>
      <c r="Q9620" s="5" t="s">
        <v>355</v>
      </c>
    </row>
    <row r="9621" ht="16.5" customHeight="1">
      <c r="O9621" s="5" t="s">
        <v>355</v>
      </c>
      <c r="P9621" s="5" t="s">
        <v>355</v>
      </c>
      <c r="Q9621" s="5" t="s">
        <v>355</v>
      </c>
    </row>
    <row r="9622" ht="16.5" customHeight="1">
      <c r="O9622" s="5" t="s">
        <v>355</v>
      </c>
      <c r="P9622" s="5" t="s">
        <v>355</v>
      </c>
      <c r="Q9622" s="5" t="s">
        <v>355</v>
      </c>
    </row>
    <row r="9623" ht="16.5" customHeight="1">
      <c r="O9623" s="5" t="s">
        <v>355</v>
      </c>
      <c r="P9623" s="5" t="s">
        <v>355</v>
      </c>
      <c r="Q9623" s="5" t="s">
        <v>355</v>
      </c>
    </row>
    <row r="9624" ht="16.5" customHeight="1">
      <c r="O9624" s="5" t="s">
        <v>355</v>
      </c>
      <c r="P9624" s="5" t="s">
        <v>355</v>
      </c>
      <c r="Q9624" s="5" t="s">
        <v>355</v>
      </c>
    </row>
    <row r="9625" ht="16.5" customHeight="1">
      <c r="O9625" s="5" t="s">
        <v>355</v>
      </c>
      <c r="P9625" s="5" t="s">
        <v>355</v>
      </c>
      <c r="Q9625" s="5" t="s">
        <v>355</v>
      </c>
    </row>
    <row r="9626" ht="16.5" customHeight="1">
      <c r="O9626" s="5" t="s">
        <v>355</v>
      </c>
      <c r="P9626" s="5" t="s">
        <v>355</v>
      </c>
      <c r="Q9626" s="5" t="s">
        <v>355</v>
      </c>
    </row>
    <row r="9627" ht="16.5" customHeight="1">
      <c r="O9627" s="5" t="s">
        <v>355</v>
      </c>
      <c r="P9627" s="5" t="s">
        <v>355</v>
      </c>
      <c r="Q9627" s="5" t="s">
        <v>355</v>
      </c>
    </row>
    <row r="9628" ht="16.5" customHeight="1">
      <c r="O9628" s="5" t="s">
        <v>355</v>
      </c>
      <c r="P9628" s="5" t="s">
        <v>355</v>
      </c>
      <c r="Q9628" s="5" t="s">
        <v>355</v>
      </c>
    </row>
    <row r="9629" ht="16.5" customHeight="1">
      <c r="O9629" s="5" t="s">
        <v>355</v>
      </c>
      <c r="P9629" s="5" t="s">
        <v>355</v>
      </c>
      <c r="Q9629" s="5" t="s">
        <v>355</v>
      </c>
    </row>
    <row r="9630" ht="16.5" customHeight="1">
      <c r="O9630" s="5" t="s">
        <v>355</v>
      </c>
      <c r="P9630" s="5" t="s">
        <v>355</v>
      </c>
      <c r="Q9630" s="5" t="s">
        <v>355</v>
      </c>
    </row>
    <row r="9631" ht="16.5" customHeight="1">
      <c r="O9631" s="5" t="s">
        <v>355</v>
      </c>
      <c r="P9631" s="5" t="s">
        <v>355</v>
      </c>
      <c r="Q9631" s="5" t="s">
        <v>355</v>
      </c>
    </row>
    <row r="9632" ht="16.5" customHeight="1">
      <c r="O9632" s="5" t="s">
        <v>355</v>
      </c>
      <c r="P9632" s="5" t="s">
        <v>355</v>
      </c>
      <c r="Q9632" s="5" t="s">
        <v>355</v>
      </c>
    </row>
    <row r="9633" ht="16.5" customHeight="1">
      <c r="O9633" s="5" t="s">
        <v>355</v>
      </c>
      <c r="P9633" s="5" t="s">
        <v>355</v>
      </c>
      <c r="Q9633" s="5" t="s">
        <v>355</v>
      </c>
    </row>
    <row r="9634" ht="16.5" customHeight="1">
      <c r="O9634" s="5" t="s">
        <v>355</v>
      </c>
      <c r="P9634" s="5" t="s">
        <v>355</v>
      </c>
      <c r="Q9634" s="5" t="s">
        <v>355</v>
      </c>
    </row>
    <row r="9635" ht="16.5" customHeight="1">
      <c r="O9635" s="5" t="s">
        <v>355</v>
      </c>
      <c r="P9635" s="5" t="s">
        <v>355</v>
      </c>
      <c r="Q9635" s="5" t="s">
        <v>355</v>
      </c>
    </row>
    <row r="9636" ht="16.5" customHeight="1">
      <c r="O9636" s="5" t="s">
        <v>355</v>
      </c>
      <c r="P9636" s="5" t="s">
        <v>355</v>
      </c>
      <c r="Q9636" s="5" t="s">
        <v>355</v>
      </c>
    </row>
    <row r="9637" ht="16.5" customHeight="1">
      <c r="O9637" s="5" t="s">
        <v>355</v>
      </c>
      <c r="P9637" s="5" t="s">
        <v>355</v>
      </c>
      <c r="Q9637" s="5" t="s">
        <v>355</v>
      </c>
    </row>
    <row r="9638" ht="16.5" customHeight="1">
      <c r="O9638" s="5" t="s">
        <v>355</v>
      </c>
      <c r="P9638" s="5" t="s">
        <v>355</v>
      </c>
      <c r="Q9638" s="5" t="s">
        <v>355</v>
      </c>
    </row>
    <row r="9639" ht="16.5" customHeight="1">
      <c r="O9639" s="5" t="s">
        <v>355</v>
      </c>
      <c r="P9639" s="5" t="s">
        <v>355</v>
      </c>
      <c r="Q9639" s="5" t="s">
        <v>355</v>
      </c>
    </row>
    <row r="9640" ht="16.5" customHeight="1">
      <c r="O9640" s="5" t="s">
        <v>355</v>
      </c>
      <c r="P9640" s="5" t="s">
        <v>355</v>
      </c>
      <c r="Q9640" s="5" t="s">
        <v>355</v>
      </c>
    </row>
    <row r="9641" ht="16.5" customHeight="1">
      <c r="O9641" s="5" t="s">
        <v>355</v>
      </c>
      <c r="P9641" s="5" t="s">
        <v>355</v>
      </c>
      <c r="Q9641" s="5" t="s">
        <v>355</v>
      </c>
    </row>
    <row r="9642" ht="16.5" customHeight="1">
      <c r="O9642" s="5" t="s">
        <v>355</v>
      </c>
      <c r="P9642" s="5" t="s">
        <v>355</v>
      </c>
      <c r="Q9642" s="5" t="s">
        <v>355</v>
      </c>
    </row>
    <row r="9643" ht="16.5" customHeight="1">
      <c r="O9643" s="5" t="s">
        <v>355</v>
      </c>
      <c r="P9643" s="5" t="s">
        <v>355</v>
      </c>
      <c r="Q9643" s="5" t="s">
        <v>355</v>
      </c>
    </row>
    <row r="9644" ht="16.5" customHeight="1">
      <c r="O9644" s="5" t="s">
        <v>355</v>
      </c>
      <c r="P9644" s="5" t="s">
        <v>355</v>
      </c>
      <c r="Q9644" s="5" t="s">
        <v>355</v>
      </c>
    </row>
    <row r="9645" ht="16.5" customHeight="1">
      <c r="O9645" s="5" t="s">
        <v>355</v>
      </c>
      <c r="P9645" s="5" t="s">
        <v>355</v>
      </c>
      <c r="Q9645" s="5" t="s">
        <v>355</v>
      </c>
    </row>
    <row r="9646" ht="16.5" customHeight="1">
      <c r="O9646" s="5" t="s">
        <v>355</v>
      </c>
      <c r="P9646" s="5" t="s">
        <v>355</v>
      </c>
      <c r="Q9646" s="5" t="s">
        <v>355</v>
      </c>
    </row>
    <row r="9647" ht="16.5" customHeight="1">
      <c r="O9647" s="5" t="s">
        <v>355</v>
      </c>
      <c r="P9647" s="5" t="s">
        <v>355</v>
      </c>
      <c r="Q9647" s="5" t="s">
        <v>355</v>
      </c>
    </row>
    <row r="9648" ht="16.5" customHeight="1">
      <c r="O9648" s="5" t="s">
        <v>355</v>
      </c>
      <c r="P9648" s="5" t="s">
        <v>355</v>
      </c>
      <c r="Q9648" s="5" t="s">
        <v>355</v>
      </c>
    </row>
    <row r="9649" ht="16.5" customHeight="1">
      <c r="O9649" s="5" t="s">
        <v>355</v>
      </c>
      <c r="P9649" s="5" t="s">
        <v>355</v>
      </c>
      <c r="Q9649" s="5" t="s">
        <v>355</v>
      </c>
    </row>
    <row r="9650" ht="16.5" customHeight="1">
      <c r="O9650" s="5" t="s">
        <v>355</v>
      </c>
      <c r="P9650" s="5" t="s">
        <v>355</v>
      </c>
      <c r="Q9650" s="5" t="s">
        <v>355</v>
      </c>
    </row>
    <row r="9651" ht="16.5" customHeight="1">
      <c r="O9651" s="5" t="s">
        <v>355</v>
      </c>
      <c r="P9651" s="5" t="s">
        <v>355</v>
      </c>
      <c r="Q9651" s="5" t="s">
        <v>355</v>
      </c>
    </row>
    <row r="9652" ht="16.5" customHeight="1">
      <c r="O9652" s="5" t="s">
        <v>355</v>
      </c>
      <c r="P9652" s="5" t="s">
        <v>355</v>
      </c>
      <c r="Q9652" s="5" t="s">
        <v>355</v>
      </c>
    </row>
    <row r="9653" ht="16.5" customHeight="1">
      <c r="O9653" s="5" t="s">
        <v>355</v>
      </c>
      <c r="P9653" s="5" t="s">
        <v>355</v>
      </c>
      <c r="Q9653" s="5" t="s">
        <v>355</v>
      </c>
    </row>
    <row r="9654" ht="16.5" customHeight="1">
      <c r="O9654" s="5" t="s">
        <v>355</v>
      </c>
      <c r="P9654" s="5" t="s">
        <v>355</v>
      </c>
      <c r="Q9654" s="5" t="s">
        <v>355</v>
      </c>
    </row>
    <row r="9655" ht="16.5" customHeight="1">
      <c r="O9655" s="5" t="s">
        <v>355</v>
      </c>
      <c r="P9655" s="5" t="s">
        <v>355</v>
      </c>
      <c r="Q9655" s="5" t="s">
        <v>355</v>
      </c>
    </row>
    <row r="9656" ht="16.5" customHeight="1">
      <c r="O9656" s="5" t="s">
        <v>355</v>
      </c>
      <c r="P9656" s="5" t="s">
        <v>355</v>
      </c>
      <c r="Q9656" s="5" t="s">
        <v>355</v>
      </c>
    </row>
    <row r="9657" ht="16.5" customHeight="1">
      <c r="O9657" s="5" t="s">
        <v>355</v>
      </c>
      <c r="P9657" s="5" t="s">
        <v>355</v>
      </c>
      <c r="Q9657" s="5" t="s">
        <v>355</v>
      </c>
    </row>
    <row r="9658" ht="16.5" customHeight="1">
      <c r="O9658" s="5" t="s">
        <v>355</v>
      </c>
      <c r="P9658" s="5" t="s">
        <v>355</v>
      </c>
      <c r="Q9658" s="5" t="s">
        <v>355</v>
      </c>
    </row>
    <row r="9659" ht="16.5" customHeight="1">
      <c r="O9659" s="5" t="s">
        <v>355</v>
      </c>
      <c r="P9659" s="5" t="s">
        <v>355</v>
      </c>
      <c r="Q9659" s="5" t="s">
        <v>355</v>
      </c>
    </row>
    <row r="9660" ht="16.5" customHeight="1">
      <c r="O9660" s="5" t="s">
        <v>355</v>
      </c>
      <c r="P9660" s="5" t="s">
        <v>355</v>
      </c>
      <c r="Q9660" s="5" t="s">
        <v>355</v>
      </c>
    </row>
    <row r="9661" ht="16.5" customHeight="1">
      <c r="O9661" s="5" t="s">
        <v>355</v>
      </c>
      <c r="P9661" s="5" t="s">
        <v>355</v>
      </c>
      <c r="Q9661" s="5" t="s">
        <v>355</v>
      </c>
    </row>
    <row r="9662" ht="16.5" customHeight="1">
      <c r="O9662" s="5" t="s">
        <v>355</v>
      </c>
      <c r="P9662" s="5" t="s">
        <v>355</v>
      </c>
      <c r="Q9662" s="5" t="s">
        <v>355</v>
      </c>
    </row>
    <row r="9663" ht="16.5" customHeight="1">
      <c r="O9663" s="5" t="s">
        <v>355</v>
      </c>
      <c r="P9663" s="5" t="s">
        <v>355</v>
      </c>
      <c r="Q9663" s="5" t="s">
        <v>355</v>
      </c>
    </row>
    <row r="9664" ht="16.5" customHeight="1">
      <c r="O9664" s="5" t="s">
        <v>355</v>
      </c>
      <c r="P9664" s="5" t="s">
        <v>355</v>
      </c>
      <c r="Q9664" s="5" t="s">
        <v>355</v>
      </c>
    </row>
    <row r="9665" ht="16.5" customHeight="1">
      <c r="O9665" s="5" t="s">
        <v>355</v>
      </c>
      <c r="P9665" s="5" t="s">
        <v>355</v>
      </c>
      <c r="Q9665" s="5" t="s">
        <v>355</v>
      </c>
    </row>
    <row r="9666" ht="16.5" customHeight="1">
      <c r="O9666" s="5" t="s">
        <v>355</v>
      </c>
      <c r="P9666" s="5" t="s">
        <v>355</v>
      </c>
      <c r="Q9666" s="5" t="s">
        <v>355</v>
      </c>
    </row>
    <row r="9667" ht="16.5" customHeight="1">
      <c r="O9667" s="5" t="s">
        <v>355</v>
      </c>
      <c r="P9667" s="5" t="s">
        <v>355</v>
      </c>
      <c r="Q9667" s="5" t="s">
        <v>355</v>
      </c>
    </row>
    <row r="9668" ht="16.5" customHeight="1">
      <c r="O9668" s="5" t="s">
        <v>355</v>
      </c>
      <c r="P9668" s="5" t="s">
        <v>355</v>
      </c>
      <c r="Q9668" s="5" t="s">
        <v>355</v>
      </c>
    </row>
    <row r="9669" ht="16.5" customHeight="1">
      <c r="O9669" s="5" t="s">
        <v>355</v>
      </c>
      <c r="P9669" s="5" t="s">
        <v>355</v>
      </c>
      <c r="Q9669" s="5" t="s">
        <v>355</v>
      </c>
    </row>
    <row r="9670" ht="16.5" customHeight="1">
      <c r="O9670" s="5" t="s">
        <v>355</v>
      </c>
      <c r="P9670" s="5" t="s">
        <v>355</v>
      </c>
      <c r="Q9670" s="5" t="s">
        <v>355</v>
      </c>
    </row>
    <row r="9671" ht="16.5" customHeight="1">
      <c r="O9671" s="5" t="s">
        <v>355</v>
      </c>
      <c r="P9671" s="5" t="s">
        <v>355</v>
      </c>
      <c r="Q9671" s="5" t="s">
        <v>355</v>
      </c>
    </row>
    <row r="9672" ht="16.5" customHeight="1">
      <c r="O9672" s="5" t="s">
        <v>355</v>
      </c>
      <c r="P9672" s="5" t="s">
        <v>355</v>
      </c>
      <c r="Q9672" s="5" t="s">
        <v>355</v>
      </c>
    </row>
    <row r="9673" ht="16.5" customHeight="1">
      <c r="O9673" s="5" t="s">
        <v>355</v>
      </c>
      <c r="P9673" s="5" t="s">
        <v>355</v>
      </c>
      <c r="Q9673" s="5" t="s">
        <v>355</v>
      </c>
    </row>
    <row r="9674" ht="16.5" customHeight="1">
      <c r="O9674" s="5" t="s">
        <v>355</v>
      </c>
      <c r="P9674" s="5" t="s">
        <v>355</v>
      </c>
      <c r="Q9674" s="5" t="s">
        <v>355</v>
      </c>
    </row>
    <row r="9675" ht="16.5" customHeight="1">
      <c r="O9675" s="5" t="s">
        <v>355</v>
      </c>
      <c r="P9675" s="5" t="s">
        <v>355</v>
      </c>
      <c r="Q9675" s="5" t="s">
        <v>355</v>
      </c>
    </row>
    <row r="9676" ht="16.5" customHeight="1">
      <c r="O9676" s="5" t="s">
        <v>355</v>
      </c>
      <c r="P9676" s="5" t="s">
        <v>355</v>
      </c>
      <c r="Q9676" s="5" t="s">
        <v>355</v>
      </c>
    </row>
    <row r="9677" ht="16.5" customHeight="1">
      <c r="O9677" s="5" t="s">
        <v>355</v>
      </c>
      <c r="P9677" s="5" t="s">
        <v>355</v>
      </c>
      <c r="Q9677" s="5" t="s">
        <v>355</v>
      </c>
    </row>
    <row r="9678" ht="16.5" customHeight="1">
      <c r="O9678" s="5" t="s">
        <v>355</v>
      </c>
      <c r="P9678" s="5" t="s">
        <v>355</v>
      </c>
      <c r="Q9678" s="5" t="s">
        <v>355</v>
      </c>
    </row>
    <row r="9679" ht="16.5" customHeight="1">
      <c r="O9679" s="5" t="s">
        <v>355</v>
      </c>
      <c r="P9679" s="5" t="s">
        <v>355</v>
      </c>
      <c r="Q9679" s="5" t="s">
        <v>355</v>
      </c>
    </row>
    <row r="9680" ht="16.5" customHeight="1">
      <c r="O9680" s="5" t="s">
        <v>355</v>
      </c>
      <c r="P9680" s="5" t="s">
        <v>355</v>
      </c>
      <c r="Q9680" s="5" t="s">
        <v>355</v>
      </c>
    </row>
    <row r="9681" ht="16.5" customHeight="1">
      <c r="O9681" s="5" t="s">
        <v>355</v>
      </c>
      <c r="P9681" s="5" t="s">
        <v>355</v>
      </c>
      <c r="Q9681" s="5" t="s">
        <v>355</v>
      </c>
    </row>
    <row r="9682" ht="16.5" customHeight="1">
      <c r="O9682" s="5" t="s">
        <v>355</v>
      </c>
      <c r="P9682" s="5" t="s">
        <v>355</v>
      </c>
      <c r="Q9682" s="5" t="s">
        <v>355</v>
      </c>
    </row>
    <row r="9683" ht="16.5" customHeight="1">
      <c r="O9683" s="5" t="s">
        <v>355</v>
      </c>
      <c r="P9683" s="5" t="s">
        <v>355</v>
      </c>
      <c r="Q9683" s="5" t="s">
        <v>355</v>
      </c>
    </row>
    <row r="9684" ht="16.5" customHeight="1">
      <c r="O9684" s="5" t="s">
        <v>355</v>
      </c>
      <c r="P9684" s="5" t="s">
        <v>355</v>
      </c>
      <c r="Q9684" s="5" t="s">
        <v>355</v>
      </c>
    </row>
    <row r="9685" ht="16.5" customHeight="1">
      <c r="O9685" s="5" t="s">
        <v>355</v>
      </c>
      <c r="P9685" s="5" t="s">
        <v>355</v>
      </c>
      <c r="Q9685" s="5" t="s">
        <v>355</v>
      </c>
    </row>
    <row r="9686" ht="16.5" customHeight="1">
      <c r="O9686" s="5" t="s">
        <v>355</v>
      </c>
      <c r="P9686" s="5" t="s">
        <v>355</v>
      </c>
      <c r="Q9686" s="5" t="s">
        <v>355</v>
      </c>
    </row>
    <row r="9687" ht="16.5" customHeight="1">
      <c r="O9687" s="5" t="s">
        <v>355</v>
      </c>
      <c r="P9687" s="5" t="s">
        <v>355</v>
      </c>
      <c r="Q9687" s="5" t="s">
        <v>355</v>
      </c>
    </row>
    <row r="9688" ht="16.5" customHeight="1">
      <c r="O9688" s="5" t="s">
        <v>355</v>
      </c>
      <c r="P9688" s="5" t="s">
        <v>355</v>
      </c>
      <c r="Q9688" s="5" t="s">
        <v>355</v>
      </c>
    </row>
    <row r="9689" ht="16.5" customHeight="1">
      <c r="O9689" s="5" t="s">
        <v>355</v>
      </c>
      <c r="P9689" s="5" t="s">
        <v>355</v>
      </c>
      <c r="Q9689" s="5" t="s">
        <v>355</v>
      </c>
    </row>
    <row r="9690" ht="16.5" customHeight="1">
      <c r="O9690" s="5" t="s">
        <v>355</v>
      </c>
      <c r="P9690" s="5" t="s">
        <v>355</v>
      </c>
      <c r="Q9690" s="5" t="s">
        <v>355</v>
      </c>
    </row>
    <row r="9691" ht="16.5" customHeight="1">
      <c r="O9691" s="5" t="s">
        <v>355</v>
      </c>
      <c r="P9691" s="5" t="s">
        <v>355</v>
      </c>
      <c r="Q9691" s="5" t="s">
        <v>355</v>
      </c>
    </row>
    <row r="9692" ht="16.5" customHeight="1">
      <c r="O9692" s="5" t="s">
        <v>355</v>
      </c>
      <c r="P9692" s="5" t="s">
        <v>355</v>
      </c>
      <c r="Q9692" s="5" t="s">
        <v>355</v>
      </c>
    </row>
    <row r="9693" ht="16.5" customHeight="1">
      <c r="O9693" s="5" t="s">
        <v>355</v>
      </c>
      <c r="P9693" s="5" t="s">
        <v>355</v>
      </c>
      <c r="Q9693" s="5" t="s">
        <v>355</v>
      </c>
    </row>
    <row r="9694" ht="16.5" customHeight="1">
      <c r="O9694" s="5" t="s">
        <v>355</v>
      </c>
      <c r="P9694" s="5" t="s">
        <v>355</v>
      </c>
      <c r="Q9694" s="5" t="s">
        <v>355</v>
      </c>
    </row>
    <row r="9695" ht="16.5" customHeight="1">
      <c r="O9695" s="5" t="s">
        <v>355</v>
      </c>
      <c r="P9695" s="5" t="s">
        <v>355</v>
      </c>
      <c r="Q9695" s="5" t="s">
        <v>355</v>
      </c>
    </row>
    <row r="9696" ht="16.5" customHeight="1">
      <c r="O9696" s="5" t="s">
        <v>355</v>
      </c>
      <c r="P9696" s="5" t="s">
        <v>355</v>
      </c>
      <c r="Q9696" s="5" t="s">
        <v>355</v>
      </c>
    </row>
    <row r="9697" ht="16.5" customHeight="1">
      <c r="O9697" s="5" t="s">
        <v>355</v>
      </c>
      <c r="P9697" s="5" t="s">
        <v>355</v>
      </c>
      <c r="Q9697" s="5" t="s">
        <v>355</v>
      </c>
    </row>
    <row r="9698" ht="16.5" customHeight="1">
      <c r="O9698" s="5" t="s">
        <v>355</v>
      </c>
      <c r="P9698" s="5" t="s">
        <v>355</v>
      </c>
      <c r="Q9698" s="5" t="s">
        <v>355</v>
      </c>
    </row>
    <row r="9699" ht="16.5" customHeight="1">
      <c r="O9699" s="5" t="s">
        <v>355</v>
      </c>
      <c r="P9699" s="5" t="s">
        <v>355</v>
      </c>
      <c r="Q9699" s="5" t="s">
        <v>355</v>
      </c>
    </row>
    <row r="9700" ht="16.5" customHeight="1">
      <c r="O9700" s="5" t="s">
        <v>355</v>
      </c>
      <c r="P9700" s="5" t="s">
        <v>355</v>
      </c>
      <c r="Q9700" s="5" t="s">
        <v>355</v>
      </c>
    </row>
    <row r="9701" ht="16.5" customHeight="1">
      <c r="O9701" s="5" t="s">
        <v>355</v>
      </c>
      <c r="P9701" s="5" t="s">
        <v>355</v>
      </c>
      <c r="Q9701" s="5" t="s">
        <v>355</v>
      </c>
    </row>
    <row r="9702" ht="16.5" customHeight="1">
      <c r="O9702" s="5" t="s">
        <v>355</v>
      </c>
      <c r="P9702" s="5" t="s">
        <v>355</v>
      </c>
      <c r="Q9702" s="5" t="s">
        <v>355</v>
      </c>
    </row>
    <row r="9703" ht="16.5" customHeight="1">
      <c r="O9703" s="5" t="s">
        <v>355</v>
      </c>
      <c r="P9703" s="5" t="s">
        <v>355</v>
      </c>
      <c r="Q9703" s="5" t="s">
        <v>355</v>
      </c>
    </row>
    <row r="9704" ht="16.5" customHeight="1">
      <c r="O9704" s="5" t="s">
        <v>355</v>
      </c>
      <c r="P9704" s="5" t="s">
        <v>355</v>
      </c>
      <c r="Q9704" s="5" t="s">
        <v>355</v>
      </c>
    </row>
    <row r="9705" ht="16.5" customHeight="1">
      <c r="O9705" s="5" t="s">
        <v>355</v>
      </c>
      <c r="P9705" s="5" t="s">
        <v>355</v>
      </c>
      <c r="Q9705" s="5" t="s">
        <v>355</v>
      </c>
    </row>
    <row r="9706" ht="16.5" customHeight="1">
      <c r="O9706" s="5" t="s">
        <v>355</v>
      </c>
      <c r="P9706" s="5" t="s">
        <v>355</v>
      </c>
      <c r="Q9706" s="5" t="s">
        <v>355</v>
      </c>
    </row>
    <row r="9707" ht="16.5" customHeight="1">
      <c r="O9707" s="5" t="s">
        <v>355</v>
      </c>
      <c r="P9707" s="5" t="s">
        <v>355</v>
      </c>
      <c r="Q9707" s="5" t="s">
        <v>355</v>
      </c>
    </row>
    <row r="9708" ht="16.5" customHeight="1">
      <c r="O9708" s="5" t="s">
        <v>355</v>
      </c>
      <c r="P9708" s="5" t="s">
        <v>355</v>
      </c>
      <c r="Q9708" s="5" t="s">
        <v>355</v>
      </c>
    </row>
    <row r="9709" ht="16.5" customHeight="1">
      <c r="O9709" s="5" t="s">
        <v>355</v>
      </c>
      <c r="P9709" s="5" t="s">
        <v>355</v>
      </c>
      <c r="Q9709" s="5" t="s">
        <v>355</v>
      </c>
    </row>
    <row r="9710" ht="16.5" customHeight="1">
      <c r="O9710" s="5" t="s">
        <v>355</v>
      </c>
      <c r="P9710" s="5" t="s">
        <v>355</v>
      </c>
      <c r="Q9710" s="5" t="s">
        <v>355</v>
      </c>
    </row>
    <row r="9711" ht="16.5" customHeight="1">
      <c r="O9711" s="5" t="s">
        <v>355</v>
      </c>
      <c r="P9711" s="5" t="s">
        <v>355</v>
      </c>
      <c r="Q9711" s="5" t="s">
        <v>355</v>
      </c>
    </row>
    <row r="9712" ht="16.5" customHeight="1">
      <c r="O9712" s="5" t="s">
        <v>355</v>
      </c>
      <c r="P9712" s="5" t="s">
        <v>355</v>
      </c>
      <c r="Q9712" s="5" t="s">
        <v>355</v>
      </c>
    </row>
    <row r="9713" ht="16.5" customHeight="1">
      <c r="O9713" s="5" t="s">
        <v>355</v>
      </c>
      <c r="P9713" s="5" t="s">
        <v>355</v>
      </c>
      <c r="Q9713" s="5" t="s">
        <v>355</v>
      </c>
    </row>
    <row r="9714" ht="16.5" customHeight="1">
      <c r="O9714" s="5" t="s">
        <v>355</v>
      </c>
      <c r="P9714" s="5" t="s">
        <v>355</v>
      </c>
      <c r="Q9714" s="5" t="s">
        <v>355</v>
      </c>
    </row>
    <row r="9715" ht="16.5" customHeight="1">
      <c r="O9715" s="5" t="s">
        <v>355</v>
      </c>
      <c r="P9715" s="5" t="s">
        <v>355</v>
      </c>
      <c r="Q9715" s="5" t="s">
        <v>355</v>
      </c>
    </row>
    <row r="9716" ht="16.5" customHeight="1">
      <c r="O9716" s="5" t="s">
        <v>355</v>
      </c>
      <c r="P9716" s="5" t="s">
        <v>355</v>
      </c>
      <c r="Q9716" s="5" t="s">
        <v>355</v>
      </c>
    </row>
    <row r="9717" ht="16.5" customHeight="1">
      <c r="O9717" s="5" t="s">
        <v>355</v>
      </c>
      <c r="P9717" s="5" t="s">
        <v>355</v>
      </c>
      <c r="Q9717" s="5" t="s">
        <v>355</v>
      </c>
    </row>
    <row r="9718" ht="16.5" customHeight="1">
      <c r="O9718" s="5" t="s">
        <v>355</v>
      </c>
      <c r="P9718" s="5" t="s">
        <v>355</v>
      </c>
      <c r="Q9718" s="5" t="s">
        <v>355</v>
      </c>
    </row>
    <row r="9719" ht="16.5" customHeight="1">
      <c r="O9719" s="5" t="s">
        <v>355</v>
      </c>
      <c r="P9719" s="5" t="s">
        <v>355</v>
      </c>
      <c r="Q9719" s="5" t="s">
        <v>355</v>
      </c>
    </row>
    <row r="9720" ht="16.5" customHeight="1">
      <c r="O9720" s="5" t="s">
        <v>355</v>
      </c>
      <c r="P9720" s="5" t="s">
        <v>355</v>
      </c>
      <c r="Q9720" s="5" t="s">
        <v>355</v>
      </c>
    </row>
    <row r="9721" ht="16.5" customHeight="1">
      <c r="O9721" s="5" t="s">
        <v>355</v>
      </c>
      <c r="P9721" s="5" t="s">
        <v>355</v>
      </c>
      <c r="Q9721" s="5" t="s">
        <v>355</v>
      </c>
    </row>
    <row r="9722" ht="16.5" customHeight="1">
      <c r="O9722" s="5" t="s">
        <v>355</v>
      </c>
      <c r="P9722" s="5" t="s">
        <v>355</v>
      </c>
      <c r="Q9722" s="5" t="s">
        <v>355</v>
      </c>
    </row>
    <row r="9723" ht="16.5" customHeight="1">
      <c r="O9723" s="5" t="s">
        <v>355</v>
      </c>
      <c r="P9723" s="5" t="s">
        <v>355</v>
      </c>
      <c r="Q9723" s="5" t="s">
        <v>355</v>
      </c>
    </row>
    <row r="9724" ht="16.5" customHeight="1">
      <c r="O9724" s="5" t="s">
        <v>355</v>
      </c>
      <c r="P9724" s="5" t="s">
        <v>355</v>
      </c>
      <c r="Q9724" s="5" t="s">
        <v>355</v>
      </c>
    </row>
    <row r="9725" ht="16.5" customHeight="1">
      <c r="O9725" s="5" t="s">
        <v>355</v>
      </c>
      <c r="P9725" s="5" t="s">
        <v>355</v>
      </c>
      <c r="Q9725" s="5" t="s">
        <v>355</v>
      </c>
    </row>
    <row r="9726" ht="16.5" customHeight="1">
      <c r="O9726" s="5" t="s">
        <v>355</v>
      </c>
      <c r="P9726" s="5" t="s">
        <v>355</v>
      </c>
      <c r="Q9726" s="5" t="s">
        <v>355</v>
      </c>
    </row>
    <row r="9727" ht="16.5" customHeight="1">
      <c r="O9727" s="5" t="s">
        <v>355</v>
      </c>
      <c r="P9727" s="5" t="s">
        <v>355</v>
      </c>
      <c r="Q9727" s="5" t="s">
        <v>355</v>
      </c>
    </row>
    <row r="9728" ht="16.5" customHeight="1">
      <c r="O9728" s="5" t="s">
        <v>355</v>
      </c>
      <c r="P9728" s="5" t="s">
        <v>355</v>
      </c>
      <c r="Q9728" s="5" t="s">
        <v>355</v>
      </c>
    </row>
    <row r="9729" ht="16.5" customHeight="1">
      <c r="O9729" s="5" t="s">
        <v>355</v>
      </c>
      <c r="P9729" s="5" t="s">
        <v>355</v>
      </c>
      <c r="Q9729" s="5" t="s">
        <v>355</v>
      </c>
    </row>
    <row r="9730" ht="16.5" customHeight="1">
      <c r="O9730" s="5" t="s">
        <v>355</v>
      </c>
      <c r="P9730" s="5" t="s">
        <v>355</v>
      </c>
      <c r="Q9730" s="5" t="s">
        <v>355</v>
      </c>
    </row>
    <row r="9731" ht="16.5" customHeight="1">
      <c r="O9731" s="5" t="s">
        <v>355</v>
      </c>
      <c r="P9731" s="5" t="s">
        <v>355</v>
      </c>
      <c r="Q9731" s="5" t="s">
        <v>355</v>
      </c>
    </row>
    <row r="9732" ht="16.5" customHeight="1">
      <c r="O9732" s="5" t="s">
        <v>355</v>
      </c>
      <c r="P9732" s="5" t="s">
        <v>355</v>
      </c>
      <c r="Q9732" s="5" t="s">
        <v>355</v>
      </c>
    </row>
    <row r="9733" ht="16.5" customHeight="1">
      <c r="O9733" s="5" t="s">
        <v>355</v>
      </c>
      <c r="P9733" s="5" t="s">
        <v>355</v>
      </c>
      <c r="Q9733" s="5" t="s">
        <v>355</v>
      </c>
    </row>
    <row r="9734" ht="16.5" customHeight="1">
      <c r="O9734" s="5" t="s">
        <v>355</v>
      </c>
      <c r="P9734" s="5" t="s">
        <v>355</v>
      </c>
      <c r="Q9734" s="5" t="s">
        <v>355</v>
      </c>
    </row>
    <row r="9735" ht="16.5" customHeight="1">
      <c r="O9735" s="5" t="s">
        <v>355</v>
      </c>
      <c r="P9735" s="5" t="s">
        <v>355</v>
      </c>
      <c r="Q9735" s="5" t="s">
        <v>355</v>
      </c>
    </row>
    <row r="9736" ht="16.5" customHeight="1">
      <c r="O9736" s="5" t="s">
        <v>355</v>
      </c>
      <c r="P9736" s="5" t="s">
        <v>355</v>
      </c>
      <c r="Q9736" s="5" t="s">
        <v>355</v>
      </c>
    </row>
    <row r="9737" ht="16.5" customHeight="1">
      <c r="O9737" s="5" t="s">
        <v>355</v>
      </c>
      <c r="P9737" s="5" t="s">
        <v>355</v>
      </c>
      <c r="Q9737" s="5" t="s">
        <v>355</v>
      </c>
    </row>
    <row r="9738" ht="16.5" customHeight="1">
      <c r="O9738" s="5" t="s">
        <v>355</v>
      </c>
      <c r="P9738" s="5" t="s">
        <v>355</v>
      </c>
      <c r="Q9738" s="5" t="s">
        <v>355</v>
      </c>
    </row>
    <row r="9739" ht="16.5" customHeight="1">
      <c r="O9739" s="5" t="s">
        <v>355</v>
      </c>
      <c r="P9739" s="5" t="s">
        <v>355</v>
      </c>
      <c r="Q9739" s="5" t="s">
        <v>355</v>
      </c>
    </row>
    <row r="9740" ht="16.5" customHeight="1">
      <c r="O9740" s="5" t="s">
        <v>355</v>
      </c>
      <c r="P9740" s="5" t="s">
        <v>355</v>
      </c>
      <c r="Q9740" s="5" t="s">
        <v>355</v>
      </c>
    </row>
    <row r="9741" ht="16.5" customHeight="1">
      <c r="O9741" s="5" t="s">
        <v>355</v>
      </c>
      <c r="P9741" s="5" t="s">
        <v>355</v>
      </c>
      <c r="Q9741" s="5" t="s">
        <v>355</v>
      </c>
    </row>
    <row r="9742" ht="16.5" customHeight="1">
      <c r="O9742" s="5" t="s">
        <v>355</v>
      </c>
      <c r="P9742" s="5" t="s">
        <v>355</v>
      </c>
      <c r="Q9742" s="5" t="s">
        <v>355</v>
      </c>
    </row>
    <row r="9743" ht="16.5" customHeight="1">
      <c r="O9743" s="5" t="s">
        <v>355</v>
      </c>
      <c r="P9743" s="5" t="s">
        <v>355</v>
      </c>
      <c r="Q9743" s="5" t="s">
        <v>355</v>
      </c>
    </row>
    <row r="9744" ht="16.5" customHeight="1">
      <c r="O9744" s="5" t="s">
        <v>355</v>
      </c>
      <c r="P9744" s="5" t="s">
        <v>355</v>
      </c>
      <c r="Q9744" s="5" t="s">
        <v>355</v>
      </c>
    </row>
    <row r="9745" ht="16.5" customHeight="1">
      <c r="O9745" s="5" t="s">
        <v>355</v>
      </c>
      <c r="P9745" s="5" t="s">
        <v>355</v>
      </c>
      <c r="Q9745" s="5" t="s">
        <v>355</v>
      </c>
    </row>
    <row r="9746" ht="16.5" customHeight="1">
      <c r="O9746" s="5" t="s">
        <v>355</v>
      </c>
      <c r="P9746" s="5" t="s">
        <v>355</v>
      </c>
      <c r="Q9746" s="5" t="s">
        <v>355</v>
      </c>
    </row>
    <row r="9747" ht="16.5" customHeight="1">
      <c r="O9747" s="5" t="s">
        <v>355</v>
      </c>
      <c r="P9747" s="5" t="s">
        <v>355</v>
      </c>
      <c r="Q9747" s="5" t="s">
        <v>355</v>
      </c>
    </row>
    <row r="9748" ht="16.5" customHeight="1">
      <c r="O9748" s="5" t="s">
        <v>355</v>
      </c>
      <c r="P9748" s="5" t="s">
        <v>355</v>
      </c>
      <c r="Q9748" s="5" t="s">
        <v>355</v>
      </c>
    </row>
    <row r="9749" ht="16.5" customHeight="1">
      <c r="O9749" s="5" t="s">
        <v>355</v>
      </c>
      <c r="P9749" s="5" t="s">
        <v>355</v>
      </c>
      <c r="Q9749" s="5" t="s">
        <v>355</v>
      </c>
    </row>
    <row r="9750" ht="16.5" customHeight="1">
      <c r="O9750" s="5" t="s">
        <v>355</v>
      </c>
      <c r="P9750" s="5" t="s">
        <v>355</v>
      </c>
      <c r="Q9750" s="5" t="s">
        <v>355</v>
      </c>
    </row>
    <row r="9751" ht="16.5" customHeight="1">
      <c r="O9751" s="5" t="s">
        <v>355</v>
      </c>
      <c r="P9751" s="5" t="s">
        <v>355</v>
      </c>
      <c r="Q9751" s="5" t="s">
        <v>355</v>
      </c>
    </row>
    <row r="9752" ht="16.5" customHeight="1">
      <c r="O9752" s="5" t="s">
        <v>355</v>
      </c>
      <c r="P9752" s="5" t="s">
        <v>355</v>
      </c>
      <c r="Q9752" s="5" t="s">
        <v>355</v>
      </c>
    </row>
    <row r="9753" ht="16.5" customHeight="1">
      <c r="O9753" s="5" t="s">
        <v>355</v>
      </c>
      <c r="P9753" s="5" t="s">
        <v>355</v>
      </c>
      <c r="Q9753" s="5" t="s">
        <v>355</v>
      </c>
    </row>
    <row r="9754" ht="16.5" customHeight="1">
      <c r="O9754" s="5" t="s">
        <v>355</v>
      </c>
      <c r="P9754" s="5" t="s">
        <v>355</v>
      </c>
      <c r="Q9754" s="5" t="s">
        <v>355</v>
      </c>
    </row>
    <row r="9755" ht="16.5" customHeight="1">
      <c r="O9755" s="5" t="s">
        <v>355</v>
      </c>
      <c r="P9755" s="5" t="s">
        <v>355</v>
      </c>
      <c r="Q9755" s="5" t="s">
        <v>355</v>
      </c>
    </row>
    <row r="9756" ht="16.5" customHeight="1">
      <c r="O9756" s="5" t="s">
        <v>355</v>
      </c>
      <c r="P9756" s="5" t="s">
        <v>355</v>
      </c>
      <c r="Q9756" s="5" t="s">
        <v>355</v>
      </c>
    </row>
    <row r="9757" ht="16.5" customHeight="1">
      <c r="O9757" s="5" t="s">
        <v>355</v>
      </c>
      <c r="P9757" s="5" t="s">
        <v>355</v>
      </c>
      <c r="Q9757" s="5" t="s">
        <v>355</v>
      </c>
    </row>
    <row r="9758" ht="16.5" customHeight="1">
      <c r="O9758" s="5" t="s">
        <v>355</v>
      </c>
      <c r="P9758" s="5" t="s">
        <v>355</v>
      </c>
      <c r="Q9758" s="5" t="s">
        <v>355</v>
      </c>
    </row>
    <row r="9759" ht="16.5" customHeight="1">
      <c r="O9759" s="5" t="s">
        <v>355</v>
      </c>
      <c r="P9759" s="5" t="s">
        <v>355</v>
      </c>
      <c r="Q9759" s="5" t="s">
        <v>355</v>
      </c>
    </row>
    <row r="9760" ht="16.5" customHeight="1">
      <c r="O9760" s="5" t="s">
        <v>355</v>
      </c>
      <c r="P9760" s="5" t="s">
        <v>355</v>
      </c>
      <c r="Q9760" s="5" t="s">
        <v>355</v>
      </c>
    </row>
    <row r="9761" ht="16.5" customHeight="1">
      <c r="O9761" s="5" t="s">
        <v>355</v>
      </c>
      <c r="P9761" s="5" t="s">
        <v>355</v>
      </c>
      <c r="Q9761" s="5" t="s">
        <v>355</v>
      </c>
    </row>
    <row r="9762" ht="16.5" customHeight="1">
      <c r="O9762" s="5" t="s">
        <v>355</v>
      </c>
      <c r="P9762" s="5" t="s">
        <v>355</v>
      </c>
      <c r="Q9762" s="5" t="s">
        <v>355</v>
      </c>
    </row>
    <row r="9763" ht="16.5" customHeight="1">
      <c r="O9763" s="5" t="s">
        <v>355</v>
      </c>
      <c r="P9763" s="5" t="s">
        <v>355</v>
      </c>
      <c r="Q9763" s="5" t="s">
        <v>355</v>
      </c>
    </row>
    <row r="9764" ht="16.5" customHeight="1">
      <c r="O9764" s="5" t="s">
        <v>355</v>
      </c>
      <c r="P9764" s="5" t="s">
        <v>355</v>
      </c>
      <c r="Q9764" s="5" t="s">
        <v>355</v>
      </c>
    </row>
    <row r="9765" ht="16.5" customHeight="1">
      <c r="O9765" s="5" t="s">
        <v>355</v>
      </c>
      <c r="P9765" s="5" t="s">
        <v>355</v>
      </c>
      <c r="Q9765" s="5" t="s">
        <v>355</v>
      </c>
    </row>
    <row r="9766" ht="16.5" customHeight="1">
      <c r="O9766" s="5" t="s">
        <v>355</v>
      </c>
      <c r="P9766" s="5" t="s">
        <v>355</v>
      </c>
      <c r="Q9766" s="5" t="s">
        <v>355</v>
      </c>
    </row>
    <row r="9767" ht="16.5" customHeight="1">
      <c r="O9767" s="5" t="s">
        <v>355</v>
      </c>
      <c r="P9767" s="5" t="s">
        <v>355</v>
      </c>
      <c r="Q9767" s="5" t="s">
        <v>355</v>
      </c>
    </row>
    <row r="9768" ht="16.5" customHeight="1">
      <c r="O9768" s="5" t="s">
        <v>355</v>
      </c>
      <c r="P9768" s="5" t="s">
        <v>355</v>
      </c>
      <c r="Q9768" s="5" t="s">
        <v>355</v>
      </c>
    </row>
    <row r="9769" ht="16.5" customHeight="1">
      <c r="O9769" s="5" t="s">
        <v>355</v>
      </c>
      <c r="P9769" s="5" t="s">
        <v>355</v>
      </c>
      <c r="Q9769" s="5" t="s">
        <v>355</v>
      </c>
    </row>
    <row r="9770" ht="16.5" customHeight="1">
      <c r="O9770" s="5" t="s">
        <v>355</v>
      </c>
      <c r="P9770" s="5" t="s">
        <v>355</v>
      </c>
      <c r="Q9770" s="5" t="s">
        <v>355</v>
      </c>
    </row>
    <row r="9771" ht="16.5" customHeight="1">
      <c r="O9771" s="5" t="s">
        <v>355</v>
      </c>
      <c r="P9771" s="5" t="s">
        <v>355</v>
      </c>
      <c r="Q9771" s="5" t="s">
        <v>355</v>
      </c>
    </row>
    <row r="9772" ht="16.5" customHeight="1">
      <c r="O9772" s="5" t="s">
        <v>355</v>
      </c>
      <c r="P9772" s="5" t="s">
        <v>355</v>
      </c>
      <c r="Q9772" s="5" t="s">
        <v>355</v>
      </c>
    </row>
    <row r="9773" ht="16.5" customHeight="1">
      <c r="O9773" s="5" t="s">
        <v>355</v>
      </c>
      <c r="P9773" s="5" t="s">
        <v>355</v>
      </c>
      <c r="Q9773" s="5" t="s">
        <v>355</v>
      </c>
    </row>
    <row r="9774" ht="16.5" customHeight="1">
      <c r="O9774" s="5" t="s">
        <v>355</v>
      </c>
      <c r="P9774" s="5" t="s">
        <v>355</v>
      </c>
      <c r="Q9774" s="5" t="s">
        <v>355</v>
      </c>
    </row>
    <row r="9775" ht="16.5" customHeight="1">
      <c r="O9775" s="5" t="s">
        <v>355</v>
      </c>
      <c r="P9775" s="5" t="s">
        <v>355</v>
      </c>
      <c r="Q9775" s="5" t="s">
        <v>355</v>
      </c>
    </row>
    <row r="9776" ht="16.5" customHeight="1">
      <c r="O9776" s="5" t="s">
        <v>355</v>
      </c>
      <c r="P9776" s="5" t="s">
        <v>355</v>
      </c>
      <c r="Q9776" s="5" t="s">
        <v>355</v>
      </c>
    </row>
    <row r="9777" ht="16.5" customHeight="1">
      <c r="O9777" s="5" t="s">
        <v>355</v>
      </c>
      <c r="P9777" s="5" t="s">
        <v>355</v>
      </c>
      <c r="Q9777" s="5" t="s">
        <v>355</v>
      </c>
    </row>
    <row r="9778" ht="16.5" customHeight="1">
      <c r="O9778" s="5" t="s">
        <v>355</v>
      </c>
      <c r="P9778" s="5" t="s">
        <v>355</v>
      </c>
      <c r="Q9778" s="5" t="s">
        <v>355</v>
      </c>
    </row>
    <row r="9779" ht="16.5" customHeight="1">
      <c r="O9779" s="5" t="s">
        <v>355</v>
      </c>
      <c r="P9779" s="5" t="s">
        <v>355</v>
      </c>
      <c r="Q9779" s="5" t="s">
        <v>355</v>
      </c>
    </row>
    <row r="9780" ht="16.5" customHeight="1">
      <c r="O9780" s="5" t="s">
        <v>355</v>
      </c>
      <c r="P9780" s="5" t="s">
        <v>355</v>
      </c>
      <c r="Q9780" s="5" t="s">
        <v>355</v>
      </c>
    </row>
    <row r="9781" ht="16.5" customHeight="1">
      <c r="O9781" s="5" t="s">
        <v>355</v>
      </c>
      <c r="P9781" s="5" t="s">
        <v>355</v>
      </c>
      <c r="Q9781" s="5" t="s">
        <v>355</v>
      </c>
    </row>
    <row r="9782" ht="16.5" customHeight="1">
      <c r="O9782" s="5" t="s">
        <v>355</v>
      </c>
      <c r="P9782" s="5" t="s">
        <v>355</v>
      </c>
      <c r="Q9782" s="5" t="s">
        <v>355</v>
      </c>
    </row>
    <row r="9783" ht="16.5" customHeight="1">
      <c r="O9783" s="5" t="s">
        <v>355</v>
      </c>
      <c r="P9783" s="5" t="s">
        <v>355</v>
      </c>
      <c r="Q9783" s="5" t="s">
        <v>355</v>
      </c>
    </row>
    <row r="9784" ht="16.5" customHeight="1">
      <c r="O9784" s="5" t="s">
        <v>355</v>
      </c>
      <c r="P9784" s="5" t="s">
        <v>355</v>
      </c>
      <c r="Q9784" s="5" t="s">
        <v>355</v>
      </c>
    </row>
    <row r="9785" ht="16.5" customHeight="1">
      <c r="O9785" s="5" t="s">
        <v>355</v>
      </c>
      <c r="P9785" s="5" t="s">
        <v>355</v>
      </c>
      <c r="Q9785" s="5" t="s">
        <v>355</v>
      </c>
    </row>
    <row r="9786" ht="16.5" customHeight="1">
      <c r="O9786" s="5" t="s">
        <v>355</v>
      </c>
      <c r="P9786" s="5" t="s">
        <v>355</v>
      </c>
      <c r="Q9786" s="5" t="s">
        <v>355</v>
      </c>
    </row>
    <row r="9787" ht="16.5" customHeight="1">
      <c r="O9787" s="5" t="s">
        <v>355</v>
      </c>
      <c r="P9787" s="5" t="s">
        <v>355</v>
      </c>
      <c r="Q9787" s="5" t="s">
        <v>355</v>
      </c>
    </row>
    <row r="9788" ht="16.5" customHeight="1">
      <c r="O9788" s="5" t="s">
        <v>355</v>
      </c>
      <c r="P9788" s="5" t="s">
        <v>355</v>
      </c>
      <c r="Q9788" s="5" t="s">
        <v>355</v>
      </c>
    </row>
    <row r="9789" ht="16.5" customHeight="1">
      <c r="O9789" s="5" t="s">
        <v>355</v>
      </c>
      <c r="P9789" s="5" t="s">
        <v>355</v>
      </c>
      <c r="Q9789" s="5" t="s">
        <v>355</v>
      </c>
    </row>
    <row r="9790" ht="16.5" customHeight="1">
      <c r="O9790" s="5" t="s">
        <v>355</v>
      </c>
      <c r="P9790" s="5" t="s">
        <v>355</v>
      </c>
      <c r="Q9790" s="5" t="s">
        <v>355</v>
      </c>
    </row>
    <row r="9791" ht="16.5" customHeight="1">
      <c r="O9791" s="5" t="s">
        <v>355</v>
      </c>
      <c r="P9791" s="5" t="s">
        <v>355</v>
      </c>
      <c r="Q9791" s="5" t="s">
        <v>355</v>
      </c>
    </row>
    <row r="9792" ht="16.5" customHeight="1">
      <c r="O9792" s="5" t="s">
        <v>355</v>
      </c>
      <c r="P9792" s="5" t="s">
        <v>355</v>
      </c>
      <c r="Q9792" s="5" t="s">
        <v>355</v>
      </c>
    </row>
    <row r="9793" ht="16.5" customHeight="1">
      <c r="O9793" s="5" t="s">
        <v>355</v>
      </c>
      <c r="P9793" s="5" t="s">
        <v>355</v>
      </c>
      <c r="Q9793" s="5" t="s">
        <v>355</v>
      </c>
    </row>
    <row r="9794" ht="16.5" customHeight="1">
      <c r="O9794" s="5" t="s">
        <v>355</v>
      </c>
      <c r="P9794" s="5" t="s">
        <v>355</v>
      </c>
      <c r="Q9794" s="5" t="s">
        <v>355</v>
      </c>
    </row>
    <row r="9795" ht="16.5" customHeight="1">
      <c r="O9795" s="5" t="s">
        <v>355</v>
      </c>
      <c r="P9795" s="5" t="s">
        <v>355</v>
      </c>
      <c r="Q9795" s="5" t="s">
        <v>355</v>
      </c>
    </row>
    <row r="9796" ht="16.5" customHeight="1">
      <c r="O9796" s="5" t="s">
        <v>355</v>
      </c>
      <c r="P9796" s="5" t="s">
        <v>355</v>
      </c>
      <c r="Q9796" s="5" t="s">
        <v>355</v>
      </c>
    </row>
    <row r="9797" ht="16.5" customHeight="1">
      <c r="O9797" s="5" t="s">
        <v>355</v>
      </c>
      <c r="P9797" s="5" t="s">
        <v>355</v>
      </c>
      <c r="Q9797" s="5" t="s">
        <v>355</v>
      </c>
    </row>
    <row r="9798" ht="16.5" customHeight="1">
      <c r="O9798" s="5" t="s">
        <v>355</v>
      </c>
      <c r="P9798" s="5" t="s">
        <v>355</v>
      </c>
      <c r="Q9798" s="5" t="s">
        <v>355</v>
      </c>
    </row>
    <row r="9799" ht="16.5" customHeight="1">
      <c r="O9799" s="5" t="s">
        <v>355</v>
      </c>
      <c r="P9799" s="5" t="s">
        <v>355</v>
      </c>
      <c r="Q9799" s="5" t="s">
        <v>355</v>
      </c>
    </row>
    <row r="9800" ht="16.5" customHeight="1">
      <c r="O9800" s="5" t="s">
        <v>355</v>
      </c>
      <c r="P9800" s="5" t="s">
        <v>355</v>
      </c>
      <c r="Q9800" s="5" t="s">
        <v>355</v>
      </c>
    </row>
    <row r="9801" ht="16.5" customHeight="1">
      <c r="O9801" s="5" t="s">
        <v>355</v>
      </c>
      <c r="P9801" s="5" t="s">
        <v>355</v>
      </c>
      <c r="Q9801" s="5" t="s">
        <v>355</v>
      </c>
    </row>
    <row r="9802" ht="16.5" customHeight="1">
      <c r="O9802" s="5" t="s">
        <v>355</v>
      </c>
      <c r="P9802" s="5" t="s">
        <v>355</v>
      </c>
      <c r="Q9802" s="5" t="s">
        <v>355</v>
      </c>
    </row>
    <row r="9803" ht="16.5" customHeight="1">
      <c r="O9803" s="5" t="s">
        <v>355</v>
      </c>
      <c r="P9803" s="5" t="s">
        <v>355</v>
      </c>
      <c r="Q9803" s="5" t="s">
        <v>355</v>
      </c>
    </row>
    <row r="9804" ht="16.5" customHeight="1">
      <c r="O9804" s="5" t="s">
        <v>355</v>
      </c>
      <c r="P9804" s="5" t="s">
        <v>355</v>
      </c>
      <c r="Q9804" s="5" t="s">
        <v>355</v>
      </c>
    </row>
    <row r="9805" ht="16.5" customHeight="1">
      <c r="O9805" s="5" t="s">
        <v>355</v>
      </c>
      <c r="P9805" s="5" t="s">
        <v>355</v>
      </c>
      <c r="Q9805" s="5" t="s">
        <v>355</v>
      </c>
    </row>
    <row r="9806" ht="16.5" customHeight="1">
      <c r="O9806" s="5" t="s">
        <v>355</v>
      </c>
      <c r="P9806" s="5" t="s">
        <v>355</v>
      </c>
      <c r="Q9806" s="5" t="s">
        <v>355</v>
      </c>
    </row>
    <row r="9807" ht="16.5" customHeight="1">
      <c r="O9807" s="5" t="s">
        <v>355</v>
      </c>
      <c r="P9807" s="5" t="s">
        <v>355</v>
      </c>
      <c r="Q9807" s="5" t="s">
        <v>355</v>
      </c>
    </row>
    <row r="9808" ht="16.5" customHeight="1">
      <c r="O9808" s="5" t="s">
        <v>355</v>
      </c>
      <c r="P9808" s="5" t="s">
        <v>355</v>
      </c>
      <c r="Q9808" s="5" t="s">
        <v>355</v>
      </c>
    </row>
    <row r="9809" ht="16.5" customHeight="1">
      <c r="O9809" s="5" t="s">
        <v>355</v>
      </c>
      <c r="P9809" s="5" t="s">
        <v>355</v>
      </c>
      <c r="Q9809" s="5" t="s">
        <v>355</v>
      </c>
    </row>
    <row r="9810" ht="16.5" customHeight="1">
      <c r="O9810" s="5" t="s">
        <v>355</v>
      </c>
      <c r="P9810" s="5" t="s">
        <v>355</v>
      </c>
      <c r="Q9810" s="5" t="s">
        <v>355</v>
      </c>
    </row>
    <row r="9811" ht="16.5" customHeight="1">
      <c r="O9811" s="5" t="s">
        <v>355</v>
      </c>
      <c r="P9811" s="5" t="s">
        <v>355</v>
      </c>
      <c r="Q9811" s="5" t="s">
        <v>355</v>
      </c>
    </row>
    <row r="9812" ht="16.5" customHeight="1">
      <c r="O9812" s="5" t="s">
        <v>355</v>
      </c>
      <c r="P9812" s="5" t="s">
        <v>355</v>
      </c>
      <c r="Q9812" s="5" t="s">
        <v>355</v>
      </c>
    </row>
    <row r="9813" ht="16.5" customHeight="1">
      <c r="O9813" s="5" t="s">
        <v>355</v>
      </c>
      <c r="P9813" s="5" t="s">
        <v>355</v>
      </c>
      <c r="Q9813" s="5" t="s">
        <v>355</v>
      </c>
    </row>
    <row r="9814" ht="16.5" customHeight="1">
      <c r="O9814" s="5" t="s">
        <v>355</v>
      </c>
      <c r="P9814" s="5" t="s">
        <v>355</v>
      </c>
      <c r="Q9814" s="5" t="s">
        <v>355</v>
      </c>
    </row>
    <row r="9815" ht="16.5" customHeight="1">
      <c r="O9815" s="5" t="s">
        <v>355</v>
      </c>
      <c r="P9815" s="5" t="s">
        <v>355</v>
      </c>
      <c r="Q9815" s="5" t="s">
        <v>355</v>
      </c>
    </row>
    <row r="9816" ht="16.5" customHeight="1">
      <c r="O9816" s="5" t="s">
        <v>355</v>
      </c>
      <c r="P9816" s="5" t="s">
        <v>355</v>
      </c>
      <c r="Q9816" s="5" t="s">
        <v>355</v>
      </c>
    </row>
    <row r="9817" ht="16.5" customHeight="1">
      <c r="O9817" s="5" t="s">
        <v>355</v>
      </c>
      <c r="P9817" s="5" t="s">
        <v>355</v>
      </c>
      <c r="Q9817" s="5" t="s">
        <v>355</v>
      </c>
    </row>
    <row r="9818" ht="16.5" customHeight="1">
      <c r="O9818" s="5" t="s">
        <v>355</v>
      </c>
      <c r="P9818" s="5" t="s">
        <v>355</v>
      </c>
      <c r="Q9818" s="5" t="s">
        <v>355</v>
      </c>
    </row>
    <row r="9819" ht="16.5" customHeight="1">
      <c r="O9819" s="5" t="s">
        <v>355</v>
      </c>
      <c r="P9819" s="5" t="s">
        <v>355</v>
      </c>
      <c r="Q9819" s="5" t="s">
        <v>355</v>
      </c>
    </row>
    <row r="9820" ht="16.5" customHeight="1">
      <c r="O9820" s="5" t="s">
        <v>355</v>
      </c>
      <c r="P9820" s="5" t="s">
        <v>355</v>
      </c>
      <c r="Q9820" s="5" t="s">
        <v>355</v>
      </c>
    </row>
    <row r="9821" ht="16.5" customHeight="1">
      <c r="O9821" s="5" t="s">
        <v>355</v>
      </c>
      <c r="P9821" s="5" t="s">
        <v>355</v>
      </c>
      <c r="Q9821" s="5" t="s">
        <v>355</v>
      </c>
    </row>
    <row r="9822" ht="16.5" customHeight="1">
      <c r="O9822" s="5" t="s">
        <v>355</v>
      </c>
      <c r="P9822" s="5" t="s">
        <v>355</v>
      </c>
      <c r="Q9822" s="5" t="s">
        <v>355</v>
      </c>
    </row>
    <row r="9823" ht="16.5" customHeight="1">
      <c r="O9823" s="5" t="s">
        <v>355</v>
      </c>
      <c r="P9823" s="5" t="s">
        <v>355</v>
      </c>
      <c r="Q9823" s="5" t="s">
        <v>355</v>
      </c>
    </row>
    <row r="9824" ht="16.5" customHeight="1">
      <c r="O9824" s="5" t="s">
        <v>355</v>
      </c>
      <c r="P9824" s="5" t="s">
        <v>355</v>
      </c>
      <c r="Q9824" s="5" t="s">
        <v>355</v>
      </c>
    </row>
    <row r="9825" ht="16.5" customHeight="1">
      <c r="O9825" s="5" t="s">
        <v>355</v>
      </c>
      <c r="P9825" s="5" t="s">
        <v>355</v>
      </c>
      <c r="Q9825" s="5" t="s">
        <v>355</v>
      </c>
    </row>
    <row r="9826" ht="16.5" customHeight="1">
      <c r="O9826" s="5" t="s">
        <v>355</v>
      </c>
      <c r="P9826" s="5" t="s">
        <v>355</v>
      </c>
      <c r="Q9826" s="5" t="s">
        <v>355</v>
      </c>
    </row>
    <row r="9827" ht="16.5" customHeight="1">
      <c r="O9827" s="5" t="s">
        <v>355</v>
      </c>
      <c r="P9827" s="5" t="s">
        <v>355</v>
      </c>
      <c r="Q9827" s="5" t="s">
        <v>355</v>
      </c>
    </row>
    <row r="9828" ht="16.5" customHeight="1">
      <c r="O9828" s="5" t="s">
        <v>355</v>
      </c>
      <c r="P9828" s="5" t="s">
        <v>355</v>
      </c>
      <c r="Q9828" s="5" t="s">
        <v>355</v>
      </c>
    </row>
    <row r="9829" ht="16.5" customHeight="1">
      <c r="O9829" s="5" t="s">
        <v>355</v>
      </c>
      <c r="P9829" s="5" t="s">
        <v>355</v>
      </c>
      <c r="Q9829" s="5" t="s">
        <v>355</v>
      </c>
    </row>
    <row r="9830" ht="16.5" customHeight="1">
      <c r="O9830" s="5" t="s">
        <v>355</v>
      </c>
      <c r="P9830" s="5" t="s">
        <v>355</v>
      </c>
      <c r="Q9830" s="5" t="s">
        <v>355</v>
      </c>
    </row>
    <row r="9831" ht="16.5" customHeight="1">
      <c r="O9831" s="5" t="s">
        <v>355</v>
      </c>
      <c r="P9831" s="5" t="s">
        <v>355</v>
      </c>
      <c r="Q9831" s="5" t="s">
        <v>355</v>
      </c>
    </row>
    <row r="9832" ht="16.5" customHeight="1">
      <c r="O9832" s="5" t="s">
        <v>355</v>
      </c>
      <c r="P9832" s="5" t="s">
        <v>355</v>
      </c>
      <c r="Q9832" s="5" t="s">
        <v>355</v>
      </c>
    </row>
    <row r="9833" ht="16.5" customHeight="1">
      <c r="O9833" s="5" t="s">
        <v>355</v>
      </c>
      <c r="P9833" s="5" t="s">
        <v>355</v>
      </c>
      <c r="Q9833" s="5" t="s">
        <v>355</v>
      </c>
    </row>
    <row r="9834" ht="16.5" customHeight="1">
      <c r="O9834" s="5" t="s">
        <v>355</v>
      </c>
      <c r="P9834" s="5" t="s">
        <v>355</v>
      </c>
      <c r="Q9834" s="5" t="s">
        <v>355</v>
      </c>
    </row>
    <row r="9835" ht="16.5" customHeight="1">
      <c r="O9835" s="5" t="s">
        <v>355</v>
      </c>
      <c r="P9835" s="5" t="s">
        <v>355</v>
      </c>
      <c r="Q9835" s="5" t="s">
        <v>355</v>
      </c>
    </row>
    <row r="9836" ht="16.5" customHeight="1">
      <c r="O9836" s="5" t="s">
        <v>355</v>
      </c>
      <c r="P9836" s="5" t="s">
        <v>355</v>
      </c>
      <c r="Q9836" s="5" t="s">
        <v>355</v>
      </c>
    </row>
    <row r="9837" ht="16.5" customHeight="1">
      <c r="O9837" s="5" t="s">
        <v>355</v>
      </c>
      <c r="P9837" s="5" t="s">
        <v>355</v>
      </c>
      <c r="Q9837" s="5" t="s">
        <v>355</v>
      </c>
    </row>
    <row r="9838" ht="16.5" customHeight="1">
      <c r="O9838" s="5" t="s">
        <v>355</v>
      </c>
      <c r="P9838" s="5" t="s">
        <v>355</v>
      </c>
      <c r="Q9838" s="5" t="s">
        <v>355</v>
      </c>
    </row>
    <row r="9839" ht="16.5" customHeight="1">
      <c r="O9839" s="5" t="s">
        <v>355</v>
      </c>
      <c r="P9839" s="5" t="s">
        <v>355</v>
      </c>
      <c r="Q9839" s="5" t="s">
        <v>355</v>
      </c>
    </row>
    <row r="9840" ht="16.5" customHeight="1">
      <c r="O9840" s="5" t="s">
        <v>355</v>
      </c>
      <c r="P9840" s="5" t="s">
        <v>355</v>
      </c>
      <c r="Q9840" s="5" t="s">
        <v>355</v>
      </c>
    </row>
    <row r="9841" ht="16.5" customHeight="1">
      <c r="O9841" s="5" t="s">
        <v>355</v>
      </c>
      <c r="P9841" s="5" t="s">
        <v>355</v>
      </c>
      <c r="Q9841" s="5" t="s">
        <v>355</v>
      </c>
    </row>
    <row r="9842" ht="16.5" customHeight="1">
      <c r="O9842" s="5" t="s">
        <v>355</v>
      </c>
      <c r="P9842" s="5" t="s">
        <v>355</v>
      </c>
      <c r="Q9842" s="5" t="s">
        <v>355</v>
      </c>
    </row>
    <row r="9843" ht="16.5" customHeight="1">
      <c r="O9843" s="5" t="s">
        <v>355</v>
      </c>
      <c r="P9843" s="5" t="s">
        <v>355</v>
      </c>
      <c r="Q9843" s="5" t="s">
        <v>355</v>
      </c>
    </row>
    <row r="9844" ht="16.5" customHeight="1">
      <c r="O9844" s="5" t="s">
        <v>355</v>
      </c>
      <c r="P9844" s="5" t="s">
        <v>355</v>
      </c>
      <c r="Q9844" s="5" t="s">
        <v>355</v>
      </c>
    </row>
    <row r="9845" ht="16.5" customHeight="1">
      <c r="O9845" s="5" t="s">
        <v>355</v>
      </c>
      <c r="P9845" s="5" t="s">
        <v>355</v>
      </c>
      <c r="Q9845" s="5" t="s">
        <v>355</v>
      </c>
    </row>
    <row r="9846" ht="16.5" customHeight="1">
      <c r="O9846" s="5" t="s">
        <v>355</v>
      </c>
      <c r="P9846" s="5" t="s">
        <v>355</v>
      </c>
      <c r="Q9846" s="5" t="s">
        <v>355</v>
      </c>
    </row>
    <row r="9847" ht="16.5" customHeight="1">
      <c r="O9847" s="5" t="s">
        <v>355</v>
      </c>
      <c r="P9847" s="5" t="s">
        <v>355</v>
      </c>
      <c r="Q9847" s="5" t="s">
        <v>355</v>
      </c>
    </row>
    <row r="9848" ht="16.5" customHeight="1">
      <c r="O9848" s="5" t="s">
        <v>355</v>
      </c>
      <c r="P9848" s="5" t="s">
        <v>355</v>
      </c>
      <c r="Q9848" s="5" t="s">
        <v>355</v>
      </c>
    </row>
    <row r="9849" ht="16.5" customHeight="1">
      <c r="O9849" s="5" t="s">
        <v>355</v>
      </c>
      <c r="P9849" s="5" t="s">
        <v>355</v>
      </c>
      <c r="Q9849" s="5" t="s">
        <v>355</v>
      </c>
    </row>
    <row r="9850" ht="16.5" customHeight="1">
      <c r="O9850" s="5" t="s">
        <v>355</v>
      </c>
      <c r="P9850" s="5" t="s">
        <v>355</v>
      </c>
      <c r="Q9850" s="5" t="s">
        <v>355</v>
      </c>
    </row>
    <row r="9851" ht="16.5" customHeight="1">
      <c r="O9851" s="5" t="s">
        <v>355</v>
      </c>
      <c r="P9851" s="5" t="s">
        <v>355</v>
      </c>
      <c r="Q9851" s="5" t="s">
        <v>355</v>
      </c>
    </row>
    <row r="9852" ht="16.5" customHeight="1">
      <c r="O9852" s="5" t="s">
        <v>355</v>
      </c>
      <c r="P9852" s="5" t="s">
        <v>355</v>
      </c>
      <c r="Q9852" s="5" t="s">
        <v>355</v>
      </c>
    </row>
    <row r="9853" ht="16.5" customHeight="1">
      <c r="O9853" s="5" t="s">
        <v>355</v>
      </c>
      <c r="P9853" s="5" t="s">
        <v>355</v>
      </c>
      <c r="Q9853" s="5" t="s">
        <v>355</v>
      </c>
    </row>
    <row r="9854" ht="16.5" customHeight="1">
      <c r="O9854" s="5" t="s">
        <v>355</v>
      </c>
      <c r="P9854" s="5" t="s">
        <v>355</v>
      </c>
      <c r="Q9854" s="5" t="s">
        <v>355</v>
      </c>
    </row>
    <row r="9855" ht="16.5" customHeight="1">
      <c r="O9855" s="5" t="s">
        <v>355</v>
      </c>
      <c r="P9855" s="5" t="s">
        <v>355</v>
      </c>
      <c r="Q9855" s="5" t="s">
        <v>355</v>
      </c>
    </row>
    <row r="9856" ht="16.5" customHeight="1">
      <c r="O9856" s="5" t="s">
        <v>355</v>
      </c>
      <c r="P9856" s="5" t="s">
        <v>355</v>
      </c>
      <c r="Q9856" s="5" t="s">
        <v>355</v>
      </c>
    </row>
    <row r="9857" ht="16.5" customHeight="1">
      <c r="O9857" s="5" t="s">
        <v>355</v>
      </c>
      <c r="P9857" s="5" t="s">
        <v>355</v>
      </c>
      <c r="Q9857" s="5" t="s">
        <v>355</v>
      </c>
    </row>
    <row r="9858" ht="16.5" customHeight="1">
      <c r="O9858" s="5" t="s">
        <v>355</v>
      </c>
      <c r="P9858" s="5" t="s">
        <v>355</v>
      </c>
      <c r="Q9858" s="5" t="s">
        <v>355</v>
      </c>
    </row>
    <row r="9859" ht="16.5" customHeight="1">
      <c r="O9859" s="5" t="s">
        <v>355</v>
      </c>
      <c r="P9859" s="5" t="s">
        <v>355</v>
      </c>
      <c r="Q9859" s="5" t="s">
        <v>355</v>
      </c>
    </row>
    <row r="9860" ht="16.5" customHeight="1">
      <c r="O9860" s="5" t="s">
        <v>355</v>
      </c>
      <c r="P9860" s="5" t="s">
        <v>355</v>
      </c>
      <c r="Q9860" s="5" t="s">
        <v>355</v>
      </c>
    </row>
    <row r="9861" ht="16.5" customHeight="1">
      <c r="O9861" s="5" t="s">
        <v>355</v>
      </c>
      <c r="P9861" s="5" t="s">
        <v>355</v>
      </c>
      <c r="Q9861" s="5" t="s">
        <v>355</v>
      </c>
    </row>
    <row r="9862" ht="16.5" customHeight="1">
      <c r="O9862" s="5" t="s">
        <v>355</v>
      </c>
      <c r="P9862" s="5" t="s">
        <v>355</v>
      </c>
      <c r="Q9862" s="5" t="s">
        <v>355</v>
      </c>
    </row>
    <row r="9863" ht="16.5" customHeight="1">
      <c r="O9863" s="5" t="s">
        <v>355</v>
      </c>
      <c r="P9863" s="5" t="s">
        <v>355</v>
      </c>
      <c r="Q9863" s="5" t="s">
        <v>355</v>
      </c>
    </row>
    <row r="9864" ht="16.5" customHeight="1">
      <c r="O9864" s="5" t="s">
        <v>355</v>
      </c>
      <c r="P9864" s="5" t="s">
        <v>355</v>
      </c>
      <c r="Q9864" s="5" t="s">
        <v>355</v>
      </c>
    </row>
    <row r="9865" ht="16.5" customHeight="1">
      <c r="O9865" s="5" t="s">
        <v>355</v>
      </c>
      <c r="P9865" s="5" t="s">
        <v>355</v>
      </c>
      <c r="Q9865" s="5" t="s">
        <v>355</v>
      </c>
    </row>
    <row r="9866" ht="16.5" customHeight="1">
      <c r="O9866" s="5" t="s">
        <v>355</v>
      </c>
      <c r="P9866" s="5" t="s">
        <v>355</v>
      </c>
      <c r="Q9866" s="5" t="s">
        <v>355</v>
      </c>
    </row>
    <row r="9867" ht="16.5" customHeight="1">
      <c r="O9867" s="5" t="s">
        <v>355</v>
      </c>
      <c r="P9867" s="5" t="s">
        <v>355</v>
      </c>
      <c r="Q9867" s="5" t="s">
        <v>355</v>
      </c>
    </row>
    <row r="9868" ht="16.5" customHeight="1">
      <c r="O9868" s="5" t="s">
        <v>355</v>
      </c>
      <c r="P9868" s="5" t="s">
        <v>355</v>
      </c>
      <c r="Q9868" s="5" t="s">
        <v>355</v>
      </c>
    </row>
    <row r="9869" ht="16.5" customHeight="1">
      <c r="O9869" s="5" t="s">
        <v>355</v>
      </c>
      <c r="P9869" s="5" t="s">
        <v>355</v>
      </c>
      <c r="Q9869" s="5" t="s">
        <v>355</v>
      </c>
    </row>
    <row r="9870" ht="16.5" customHeight="1">
      <c r="O9870" s="5" t="s">
        <v>355</v>
      </c>
      <c r="P9870" s="5" t="s">
        <v>355</v>
      </c>
      <c r="Q9870" s="5" t="s">
        <v>355</v>
      </c>
    </row>
    <row r="9871" ht="16.5" customHeight="1">
      <c r="O9871" s="5" t="s">
        <v>355</v>
      </c>
      <c r="P9871" s="5" t="s">
        <v>355</v>
      </c>
      <c r="Q9871" s="5" t="s">
        <v>355</v>
      </c>
    </row>
    <row r="9872" ht="16.5" customHeight="1">
      <c r="O9872" s="5" t="s">
        <v>355</v>
      </c>
      <c r="P9872" s="5" t="s">
        <v>355</v>
      </c>
      <c r="Q9872" s="5" t="s">
        <v>355</v>
      </c>
    </row>
    <row r="9873" ht="16.5" customHeight="1">
      <c r="O9873" s="5" t="s">
        <v>355</v>
      </c>
      <c r="P9873" s="5" t="s">
        <v>355</v>
      </c>
      <c r="Q9873" s="5" t="s">
        <v>355</v>
      </c>
    </row>
    <row r="9874" ht="16.5" customHeight="1">
      <c r="O9874" s="5" t="s">
        <v>355</v>
      </c>
      <c r="P9874" s="5" t="s">
        <v>355</v>
      </c>
      <c r="Q9874" s="5" t="s">
        <v>355</v>
      </c>
    </row>
    <row r="9875" ht="16.5" customHeight="1">
      <c r="O9875" s="5" t="s">
        <v>355</v>
      </c>
      <c r="P9875" s="5" t="s">
        <v>355</v>
      </c>
      <c r="Q9875" s="5" t="s">
        <v>355</v>
      </c>
    </row>
    <row r="9876" ht="16.5" customHeight="1">
      <c r="O9876" s="5" t="s">
        <v>355</v>
      </c>
      <c r="P9876" s="5" t="s">
        <v>355</v>
      </c>
      <c r="Q9876" s="5" t="s">
        <v>355</v>
      </c>
    </row>
    <row r="9877" ht="16.5" customHeight="1">
      <c r="O9877" s="5" t="s">
        <v>355</v>
      </c>
      <c r="P9877" s="5" t="s">
        <v>355</v>
      </c>
      <c r="Q9877" s="5" t="s">
        <v>355</v>
      </c>
    </row>
    <row r="9878" ht="16.5" customHeight="1">
      <c r="O9878" s="5" t="s">
        <v>355</v>
      </c>
      <c r="P9878" s="5" t="s">
        <v>355</v>
      </c>
      <c r="Q9878" s="5" t="s">
        <v>355</v>
      </c>
    </row>
    <row r="9879" ht="16.5" customHeight="1">
      <c r="O9879" s="5" t="s">
        <v>355</v>
      </c>
      <c r="P9879" s="5" t="s">
        <v>355</v>
      </c>
      <c r="Q9879" s="5" t="s">
        <v>355</v>
      </c>
    </row>
    <row r="9880" ht="16.5" customHeight="1">
      <c r="O9880" s="5" t="s">
        <v>355</v>
      </c>
      <c r="P9880" s="5" t="s">
        <v>355</v>
      </c>
      <c r="Q9880" s="5" t="s">
        <v>355</v>
      </c>
    </row>
    <row r="9881" ht="16.5" customHeight="1">
      <c r="O9881" s="5" t="s">
        <v>355</v>
      </c>
      <c r="P9881" s="5" t="s">
        <v>355</v>
      </c>
      <c r="Q9881" s="5" t="s">
        <v>355</v>
      </c>
    </row>
    <row r="9882" ht="16.5" customHeight="1">
      <c r="O9882" s="5" t="s">
        <v>355</v>
      </c>
      <c r="P9882" s="5" t="s">
        <v>355</v>
      </c>
      <c r="Q9882" s="5" t="s">
        <v>355</v>
      </c>
    </row>
    <row r="9883" ht="16.5" customHeight="1">
      <c r="O9883" s="5" t="s">
        <v>355</v>
      </c>
      <c r="P9883" s="5" t="s">
        <v>355</v>
      </c>
      <c r="Q9883" s="5" t="s">
        <v>355</v>
      </c>
    </row>
    <row r="9884" ht="16.5" customHeight="1">
      <c r="O9884" s="5" t="s">
        <v>355</v>
      </c>
      <c r="P9884" s="5" t="s">
        <v>355</v>
      </c>
      <c r="Q9884" s="5" t="s">
        <v>355</v>
      </c>
    </row>
    <row r="9885" ht="16.5" customHeight="1">
      <c r="O9885" s="5" t="s">
        <v>355</v>
      </c>
      <c r="P9885" s="5" t="s">
        <v>355</v>
      </c>
      <c r="Q9885" s="5" t="s">
        <v>355</v>
      </c>
    </row>
    <row r="9886" ht="16.5" customHeight="1">
      <c r="O9886" s="5" t="s">
        <v>355</v>
      </c>
      <c r="P9886" s="5" t="s">
        <v>355</v>
      </c>
      <c r="Q9886" s="5" t="s">
        <v>355</v>
      </c>
    </row>
    <row r="9887" ht="16.5" customHeight="1">
      <c r="O9887" s="5" t="s">
        <v>355</v>
      </c>
      <c r="P9887" s="5" t="s">
        <v>355</v>
      </c>
      <c r="Q9887" s="5" t="s">
        <v>355</v>
      </c>
    </row>
    <row r="9888" ht="16.5" customHeight="1">
      <c r="O9888" s="5" t="s">
        <v>355</v>
      </c>
      <c r="P9888" s="5" t="s">
        <v>355</v>
      </c>
      <c r="Q9888" s="5" t="s">
        <v>355</v>
      </c>
    </row>
    <row r="9889" ht="16.5" customHeight="1">
      <c r="O9889" s="5" t="s">
        <v>355</v>
      </c>
      <c r="P9889" s="5" t="s">
        <v>355</v>
      </c>
      <c r="Q9889" s="5" t="s">
        <v>355</v>
      </c>
    </row>
    <row r="9890" ht="16.5" customHeight="1">
      <c r="O9890" s="5" t="s">
        <v>355</v>
      </c>
      <c r="P9890" s="5" t="s">
        <v>355</v>
      </c>
      <c r="Q9890" s="5" t="s">
        <v>355</v>
      </c>
    </row>
    <row r="9891" ht="16.5" customHeight="1">
      <c r="O9891" s="5" t="s">
        <v>355</v>
      </c>
      <c r="P9891" s="5" t="s">
        <v>355</v>
      </c>
      <c r="Q9891" s="5" t="s">
        <v>355</v>
      </c>
    </row>
    <row r="9892" ht="16.5" customHeight="1">
      <c r="O9892" s="5" t="s">
        <v>355</v>
      </c>
      <c r="P9892" s="5" t="s">
        <v>355</v>
      </c>
      <c r="Q9892" s="5" t="s">
        <v>355</v>
      </c>
    </row>
    <row r="9893" ht="16.5" customHeight="1">
      <c r="O9893" s="5" t="s">
        <v>355</v>
      </c>
      <c r="P9893" s="5" t="s">
        <v>355</v>
      </c>
      <c r="Q9893" s="5" t="s">
        <v>355</v>
      </c>
    </row>
    <row r="9894" ht="16.5" customHeight="1">
      <c r="O9894" s="5" t="s">
        <v>355</v>
      </c>
      <c r="P9894" s="5" t="s">
        <v>355</v>
      </c>
      <c r="Q9894" s="5" t="s">
        <v>355</v>
      </c>
    </row>
    <row r="9895" ht="16.5" customHeight="1">
      <c r="O9895" s="5" t="s">
        <v>355</v>
      </c>
      <c r="P9895" s="5" t="s">
        <v>355</v>
      </c>
      <c r="Q9895" s="5" t="s">
        <v>355</v>
      </c>
    </row>
    <row r="9896" ht="16.5" customHeight="1">
      <c r="O9896" s="5" t="s">
        <v>355</v>
      </c>
      <c r="P9896" s="5" t="s">
        <v>355</v>
      </c>
      <c r="Q9896" s="5" t="s">
        <v>355</v>
      </c>
    </row>
    <row r="9897" ht="16.5" customHeight="1">
      <c r="O9897" s="5" t="s">
        <v>355</v>
      </c>
      <c r="P9897" s="5" t="s">
        <v>355</v>
      </c>
      <c r="Q9897" s="5" t="s">
        <v>355</v>
      </c>
    </row>
    <row r="9898" ht="16.5" customHeight="1">
      <c r="O9898" s="5" t="s">
        <v>355</v>
      </c>
      <c r="P9898" s="5" t="s">
        <v>355</v>
      </c>
      <c r="Q9898" s="5" t="s">
        <v>355</v>
      </c>
    </row>
    <row r="9899" ht="16.5" customHeight="1">
      <c r="O9899" s="5" t="s">
        <v>355</v>
      </c>
      <c r="P9899" s="5" t="s">
        <v>355</v>
      </c>
      <c r="Q9899" s="5" t="s">
        <v>355</v>
      </c>
    </row>
    <row r="9900" ht="16.5" customHeight="1">
      <c r="O9900" s="5" t="s">
        <v>355</v>
      </c>
      <c r="P9900" s="5" t="s">
        <v>355</v>
      </c>
      <c r="Q9900" s="5" t="s">
        <v>355</v>
      </c>
    </row>
    <row r="9901" ht="16.5" customHeight="1">
      <c r="O9901" s="5" t="s">
        <v>355</v>
      </c>
      <c r="P9901" s="5" t="s">
        <v>355</v>
      </c>
      <c r="Q9901" s="5" t="s">
        <v>355</v>
      </c>
    </row>
    <row r="9902" ht="16.5" customHeight="1">
      <c r="O9902" s="5" t="s">
        <v>355</v>
      </c>
      <c r="P9902" s="5" t="s">
        <v>355</v>
      </c>
      <c r="Q9902" s="5" t="s">
        <v>355</v>
      </c>
    </row>
    <row r="9903" ht="16.5" customHeight="1">
      <c r="O9903" s="5" t="s">
        <v>355</v>
      </c>
      <c r="P9903" s="5" t="s">
        <v>355</v>
      </c>
      <c r="Q9903" s="5" t="s">
        <v>355</v>
      </c>
    </row>
    <row r="9904" ht="16.5" customHeight="1">
      <c r="O9904" s="5" t="s">
        <v>355</v>
      </c>
      <c r="P9904" s="5" t="s">
        <v>355</v>
      </c>
      <c r="Q9904" s="5" t="s">
        <v>355</v>
      </c>
    </row>
    <row r="9905" ht="16.5" customHeight="1">
      <c r="O9905" s="5" t="s">
        <v>355</v>
      </c>
      <c r="P9905" s="5" t="s">
        <v>355</v>
      </c>
      <c r="Q9905" s="5" t="s">
        <v>355</v>
      </c>
    </row>
    <row r="9906" ht="16.5" customHeight="1">
      <c r="O9906" s="5" t="s">
        <v>355</v>
      </c>
      <c r="P9906" s="5" t="s">
        <v>355</v>
      </c>
      <c r="Q9906" s="5" t="s">
        <v>355</v>
      </c>
    </row>
    <row r="9907" ht="16.5" customHeight="1">
      <c r="O9907" s="5" t="s">
        <v>355</v>
      </c>
      <c r="P9907" s="5" t="s">
        <v>355</v>
      </c>
      <c r="Q9907" s="5" t="s">
        <v>355</v>
      </c>
    </row>
    <row r="9908" ht="16.5" customHeight="1">
      <c r="O9908" s="5" t="s">
        <v>355</v>
      </c>
      <c r="P9908" s="5" t="s">
        <v>355</v>
      </c>
      <c r="Q9908" s="5" t="s">
        <v>355</v>
      </c>
    </row>
    <row r="9909" ht="16.5" customHeight="1">
      <c r="O9909" s="5" t="s">
        <v>355</v>
      </c>
      <c r="P9909" s="5" t="s">
        <v>355</v>
      </c>
      <c r="Q9909" s="5" t="s">
        <v>355</v>
      </c>
    </row>
    <row r="9910" ht="16.5" customHeight="1">
      <c r="O9910" s="5" t="s">
        <v>355</v>
      </c>
      <c r="P9910" s="5" t="s">
        <v>355</v>
      </c>
      <c r="Q9910" s="5" t="s">
        <v>355</v>
      </c>
    </row>
    <row r="9911" ht="16.5" customHeight="1">
      <c r="O9911" s="5" t="s">
        <v>355</v>
      </c>
      <c r="P9911" s="5" t="s">
        <v>355</v>
      </c>
      <c r="Q9911" s="5" t="s">
        <v>355</v>
      </c>
    </row>
    <row r="9912" ht="16.5" customHeight="1">
      <c r="O9912" s="5" t="s">
        <v>355</v>
      </c>
      <c r="P9912" s="5" t="s">
        <v>355</v>
      </c>
      <c r="Q9912" s="5" t="s">
        <v>355</v>
      </c>
    </row>
    <row r="9913" ht="16.5" customHeight="1">
      <c r="O9913" s="5" t="s">
        <v>355</v>
      </c>
      <c r="P9913" s="5" t="s">
        <v>355</v>
      </c>
      <c r="Q9913" s="5" t="s">
        <v>355</v>
      </c>
    </row>
    <row r="9914" ht="16.5" customHeight="1">
      <c r="O9914" s="5" t="s">
        <v>355</v>
      </c>
      <c r="P9914" s="5" t="s">
        <v>355</v>
      </c>
      <c r="Q9914" s="5" t="s">
        <v>355</v>
      </c>
    </row>
    <row r="9915" ht="16.5" customHeight="1">
      <c r="O9915" s="5" t="s">
        <v>355</v>
      </c>
      <c r="P9915" s="5" t="s">
        <v>355</v>
      </c>
      <c r="Q9915" s="5" t="s">
        <v>355</v>
      </c>
    </row>
    <row r="9916" ht="16.5" customHeight="1">
      <c r="O9916" s="5" t="s">
        <v>355</v>
      </c>
      <c r="P9916" s="5" t="s">
        <v>355</v>
      </c>
      <c r="Q9916" s="5" t="s">
        <v>355</v>
      </c>
    </row>
    <row r="9917" ht="16.5" customHeight="1">
      <c r="O9917" s="5" t="s">
        <v>355</v>
      </c>
      <c r="P9917" s="5" t="s">
        <v>355</v>
      </c>
      <c r="Q9917" s="5" t="s">
        <v>355</v>
      </c>
    </row>
    <row r="9918" ht="16.5" customHeight="1">
      <c r="O9918" s="5" t="s">
        <v>355</v>
      </c>
      <c r="P9918" s="5" t="s">
        <v>355</v>
      </c>
      <c r="Q9918" s="5" t="s">
        <v>355</v>
      </c>
    </row>
    <row r="9919" ht="16.5" customHeight="1">
      <c r="O9919" s="5" t="s">
        <v>355</v>
      </c>
      <c r="P9919" s="5" t="s">
        <v>355</v>
      </c>
      <c r="Q9919" s="5" t="s">
        <v>355</v>
      </c>
    </row>
    <row r="9920" ht="16.5" customHeight="1">
      <c r="O9920" s="5" t="s">
        <v>355</v>
      </c>
      <c r="P9920" s="5" t="s">
        <v>355</v>
      </c>
      <c r="Q9920" s="5" t="s">
        <v>355</v>
      </c>
    </row>
    <row r="9921" ht="16.5" customHeight="1">
      <c r="O9921" s="5" t="s">
        <v>355</v>
      </c>
      <c r="P9921" s="5" t="s">
        <v>355</v>
      </c>
      <c r="Q9921" s="5" t="s">
        <v>355</v>
      </c>
    </row>
    <row r="9922" ht="16.5" customHeight="1">
      <c r="O9922" s="5" t="s">
        <v>355</v>
      </c>
      <c r="P9922" s="5" t="s">
        <v>355</v>
      </c>
      <c r="Q9922" s="5" t="s">
        <v>355</v>
      </c>
    </row>
    <row r="9923" ht="16.5" customHeight="1">
      <c r="O9923" s="5" t="s">
        <v>355</v>
      </c>
      <c r="P9923" s="5" t="s">
        <v>355</v>
      </c>
      <c r="Q9923" s="5" t="s">
        <v>355</v>
      </c>
    </row>
    <row r="9924" ht="16.5" customHeight="1">
      <c r="O9924" s="5" t="s">
        <v>355</v>
      </c>
      <c r="P9924" s="5" t="s">
        <v>355</v>
      </c>
      <c r="Q9924" s="5" t="s">
        <v>355</v>
      </c>
    </row>
    <row r="9925" ht="16.5" customHeight="1">
      <c r="O9925" s="5" t="s">
        <v>355</v>
      </c>
      <c r="P9925" s="5" t="s">
        <v>355</v>
      </c>
      <c r="Q9925" s="5" t="s">
        <v>355</v>
      </c>
    </row>
    <row r="9926" ht="16.5" customHeight="1">
      <c r="O9926" s="5" t="s">
        <v>355</v>
      </c>
      <c r="P9926" s="5" t="s">
        <v>355</v>
      </c>
      <c r="Q9926" s="5" t="s">
        <v>355</v>
      </c>
    </row>
    <row r="9927" ht="16.5" customHeight="1">
      <c r="O9927" s="5" t="s">
        <v>355</v>
      </c>
      <c r="P9927" s="5" t="s">
        <v>355</v>
      </c>
      <c r="Q9927" s="5" t="s">
        <v>355</v>
      </c>
    </row>
    <row r="9928" ht="16.5" customHeight="1">
      <c r="O9928" s="5" t="s">
        <v>355</v>
      </c>
      <c r="P9928" s="5" t="s">
        <v>355</v>
      </c>
      <c r="Q9928" s="5" t="s">
        <v>355</v>
      </c>
    </row>
    <row r="9929" ht="16.5" customHeight="1">
      <c r="O9929" s="5" t="s">
        <v>355</v>
      </c>
      <c r="P9929" s="5" t="s">
        <v>355</v>
      </c>
      <c r="Q9929" s="5" t="s">
        <v>355</v>
      </c>
    </row>
    <row r="9930" ht="16.5" customHeight="1">
      <c r="O9930" s="5" t="s">
        <v>355</v>
      </c>
      <c r="P9930" s="5" t="s">
        <v>355</v>
      </c>
      <c r="Q9930" s="5" t="s">
        <v>355</v>
      </c>
    </row>
    <row r="9931" ht="16.5" customHeight="1">
      <c r="O9931" s="5" t="s">
        <v>355</v>
      </c>
      <c r="P9931" s="5" t="s">
        <v>355</v>
      </c>
      <c r="Q9931" s="5" t="s">
        <v>355</v>
      </c>
    </row>
    <row r="9932" ht="16.5" customHeight="1">
      <c r="O9932" s="5" t="s">
        <v>355</v>
      </c>
      <c r="P9932" s="5" t="s">
        <v>355</v>
      </c>
      <c r="Q9932" s="5" t="s">
        <v>355</v>
      </c>
    </row>
    <row r="9933" ht="16.5" customHeight="1">
      <c r="O9933" s="5" t="s">
        <v>355</v>
      </c>
      <c r="P9933" s="5" t="s">
        <v>355</v>
      </c>
      <c r="Q9933" s="5" t="s">
        <v>355</v>
      </c>
    </row>
    <row r="9934" ht="16.5" customHeight="1">
      <c r="O9934" s="5" t="s">
        <v>355</v>
      </c>
      <c r="P9934" s="5" t="s">
        <v>355</v>
      </c>
      <c r="Q9934" s="5" t="s">
        <v>355</v>
      </c>
    </row>
    <row r="9935" ht="16.5" customHeight="1">
      <c r="O9935" s="5" t="s">
        <v>355</v>
      </c>
      <c r="P9935" s="5" t="s">
        <v>355</v>
      </c>
      <c r="Q9935" s="5" t="s">
        <v>355</v>
      </c>
    </row>
    <row r="9936" ht="16.5" customHeight="1">
      <c r="O9936" s="5" t="s">
        <v>355</v>
      </c>
      <c r="P9936" s="5" t="s">
        <v>355</v>
      </c>
      <c r="Q9936" s="5" t="s">
        <v>355</v>
      </c>
    </row>
    <row r="9937" ht="16.5" customHeight="1">
      <c r="O9937" s="5" t="s">
        <v>355</v>
      </c>
      <c r="P9937" s="5" t="s">
        <v>355</v>
      </c>
      <c r="Q9937" s="5" t="s">
        <v>355</v>
      </c>
    </row>
    <row r="9938" ht="16.5" customHeight="1">
      <c r="O9938" s="5" t="s">
        <v>355</v>
      </c>
      <c r="P9938" s="5" t="s">
        <v>355</v>
      </c>
      <c r="Q9938" s="5" t="s">
        <v>355</v>
      </c>
    </row>
    <row r="9939" ht="16.5" customHeight="1">
      <c r="O9939" s="5" t="s">
        <v>355</v>
      </c>
      <c r="P9939" s="5" t="s">
        <v>355</v>
      </c>
      <c r="Q9939" s="5" t="s">
        <v>355</v>
      </c>
    </row>
    <row r="9940" ht="16.5" customHeight="1">
      <c r="O9940" s="5" t="s">
        <v>355</v>
      </c>
      <c r="P9940" s="5" t="s">
        <v>355</v>
      </c>
      <c r="Q9940" s="5" t="s">
        <v>355</v>
      </c>
    </row>
    <row r="9941" ht="16.5" customHeight="1">
      <c r="O9941" s="5" t="s">
        <v>355</v>
      </c>
      <c r="P9941" s="5" t="s">
        <v>355</v>
      </c>
      <c r="Q9941" s="5" t="s">
        <v>355</v>
      </c>
    </row>
    <row r="9942" ht="16.5" customHeight="1">
      <c r="O9942" s="5" t="s">
        <v>355</v>
      </c>
      <c r="P9942" s="5" t="s">
        <v>355</v>
      </c>
      <c r="Q9942" s="5" t="s">
        <v>355</v>
      </c>
    </row>
    <row r="9943" ht="16.5" customHeight="1">
      <c r="O9943" s="5" t="s">
        <v>355</v>
      </c>
      <c r="P9943" s="5" t="s">
        <v>355</v>
      </c>
      <c r="Q9943" s="5" t="s">
        <v>355</v>
      </c>
    </row>
    <row r="9944" ht="16.5" customHeight="1">
      <c r="O9944" s="5" t="s">
        <v>355</v>
      </c>
      <c r="P9944" s="5" t="s">
        <v>355</v>
      </c>
      <c r="Q9944" s="5" t="s">
        <v>355</v>
      </c>
    </row>
    <row r="9945" ht="16.5" customHeight="1">
      <c r="O9945" s="5" t="s">
        <v>355</v>
      </c>
      <c r="P9945" s="5" t="s">
        <v>355</v>
      </c>
      <c r="Q9945" s="5" t="s">
        <v>355</v>
      </c>
    </row>
    <row r="9946" ht="16.5" customHeight="1">
      <c r="O9946" s="5" t="s">
        <v>355</v>
      </c>
      <c r="P9946" s="5" t="s">
        <v>355</v>
      </c>
      <c r="Q9946" s="5" t="s">
        <v>355</v>
      </c>
    </row>
    <row r="9947" ht="16.5" customHeight="1">
      <c r="O9947" s="5" t="s">
        <v>355</v>
      </c>
      <c r="P9947" s="5" t="s">
        <v>355</v>
      </c>
      <c r="Q9947" s="5" t="s">
        <v>355</v>
      </c>
    </row>
    <row r="9948" ht="16.5" customHeight="1">
      <c r="O9948" s="5" t="s">
        <v>355</v>
      </c>
      <c r="P9948" s="5" t="s">
        <v>355</v>
      </c>
      <c r="Q9948" s="5" t="s">
        <v>355</v>
      </c>
    </row>
    <row r="9949" ht="16.5" customHeight="1">
      <c r="O9949" s="5" t="s">
        <v>355</v>
      </c>
      <c r="P9949" s="5" t="s">
        <v>355</v>
      </c>
      <c r="Q9949" s="5" t="s">
        <v>355</v>
      </c>
    </row>
    <row r="9950" ht="16.5" customHeight="1">
      <c r="O9950" s="5" t="s">
        <v>355</v>
      </c>
      <c r="P9950" s="5" t="s">
        <v>355</v>
      </c>
      <c r="Q9950" s="5" t="s">
        <v>355</v>
      </c>
    </row>
    <row r="9951" ht="16.5" customHeight="1">
      <c r="O9951" s="5" t="s">
        <v>355</v>
      </c>
      <c r="P9951" s="5" t="s">
        <v>355</v>
      </c>
      <c r="Q9951" s="5" t="s">
        <v>355</v>
      </c>
    </row>
    <row r="9952" ht="16.5" customHeight="1">
      <c r="O9952" s="5" t="s">
        <v>355</v>
      </c>
      <c r="P9952" s="5" t="s">
        <v>355</v>
      </c>
      <c r="Q9952" s="5" t="s">
        <v>355</v>
      </c>
    </row>
    <row r="9953" ht="16.5" customHeight="1">
      <c r="O9953" s="5" t="s">
        <v>355</v>
      </c>
      <c r="P9953" s="5" t="s">
        <v>355</v>
      </c>
      <c r="Q9953" s="5" t="s">
        <v>355</v>
      </c>
    </row>
    <row r="9954" ht="16.5" customHeight="1">
      <c r="O9954" s="5" t="s">
        <v>355</v>
      </c>
      <c r="P9954" s="5" t="s">
        <v>355</v>
      </c>
      <c r="Q9954" s="5" t="s">
        <v>355</v>
      </c>
    </row>
    <row r="9955" ht="16.5" customHeight="1">
      <c r="O9955" s="5" t="s">
        <v>355</v>
      </c>
      <c r="P9955" s="5" t="s">
        <v>355</v>
      </c>
      <c r="Q9955" s="5" t="s">
        <v>355</v>
      </c>
    </row>
    <row r="9956" ht="16.5" customHeight="1">
      <c r="O9956" s="5" t="s">
        <v>355</v>
      </c>
      <c r="P9956" s="5" t="s">
        <v>355</v>
      </c>
      <c r="Q9956" s="5" t="s">
        <v>355</v>
      </c>
    </row>
    <row r="9957" ht="16.5" customHeight="1">
      <c r="O9957" s="5" t="s">
        <v>355</v>
      </c>
      <c r="P9957" s="5" t="s">
        <v>355</v>
      </c>
      <c r="Q9957" s="5" t="s">
        <v>355</v>
      </c>
    </row>
    <row r="9958" ht="16.5" customHeight="1">
      <c r="O9958" s="5" t="s">
        <v>355</v>
      </c>
      <c r="P9958" s="5" t="s">
        <v>355</v>
      </c>
      <c r="Q9958" s="5" t="s">
        <v>355</v>
      </c>
    </row>
    <row r="9959" ht="16.5" customHeight="1">
      <c r="O9959" s="5" t="s">
        <v>355</v>
      </c>
      <c r="P9959" s="5" t="s">
        <v>355</v>
      </c>
      <c r="Q9959" s="5" t="s">
        <v>355</v>
      </c>
    </row>
    <row r="9960" ht="16.5" customHeight="1">
      <c r="O9960" s="5" t="s">
        <v>355</v>
      </c>
      <c r="P9960" s="5" t="s">
        <v>355</v>
      </c>
      <c r="Q9960" s="5" t="s">
        <v>355</v>
      </c>
    </row>
    <row r="9961" ht="16.5" customHeight="1">
      <c r="O9961" s="5" t="s">
        <v>355</v>
      </c>
      <c r="P9961" s="5" t="s">
        <v>355</v>
      </c>
      <c r="Q9961" s="5" t="s">
        <v>355</v>
      </c>
    </row>
    <row r="9962" ht="16.5" customHeight="1">
      <c r="O9962" s="5" t="s">
        <v>355</v>
      </c>
      <c r="P9962" s="5" t="s">
        <v>355</v>
      </c>
      <c r="Q9962" s="5" t="s">
        <v>355</v>
      </c>
    </row>
    <row r="9963" ht="16.5" customHeight="1">
      <c r="O9963" s="5" t="s">
        <v>355</v>
      </c>
      <c r="P9963" s="5" t="s">
        <v>355</v>
      </c>
      <c r="Q9963" s="5" t="s">
        <v>355</v>
      </c>
    </row>
    <row r="9964" ht="16.5" customHeight="1">
      <c r="O9964" s="5" t="s">
        <v>355</v>
      </c>
      <c r="P9964" s="5" t="s">
        <v>355</v>
      </c>
      <c r="Q9964" s="5" t="s">
        <v>355</v>
      </c>
    </row>
    <row r="9965" ht="16.5" customHeight="1">
      <c r="O9965" s="5" t="s">
        <v>355</v>
      </c>
      <c r="P9965" s="5" t="s">
        <v>355</v>
      </c>
      <c r="Q9965" s="5" t="s">
        <v>355</v>
      </c>
    </row>
    <row r="9966" ht="16.5" customHeight="1">
      <c r="O9966" s="5" t="s">
        <v>355</v>
      </c>
      <c r="P9966" s="5" t="s">
        <v>355</v>
      </c>
      <c r="Q9966" s="5" t="s">
        <v>355</v>
      </c>
    </row>
    <row r="9967" ht="16.5" customHeight="1">
      <c r="O9967" s="5" t="s">
        <v>355</v>
      </c>
      <c r="P9967" s="5" t="s">
        <v>355</v>
      </c>
      <c r="Q9967" s="5" t="s">
        <v>355</v>
      </c>
    </row>
    <row r="9968" ht="16.5" customHeight="1">
      <c r="O9968" s="5" t="s">
        <v>355</v>
      </c>
      <c r="P9968" s="5" t="s">
        <v>355</v>
      </c>
      <c r="Q9968" s="5" t="s">
        <v>355</v>
      </c>
    </row>
    <row r="9969" ht="16.5" customHeight="1">
      <c r="O9969" s="5" t="s">
        <v>355</v>
      </c>
      <c r="P9969" s="5" t="s">
        <v>355</v>
      </c>
      <c r="Q9969" s="5" t="s">
        <v>355</v>
      </c>
    </row>
    <row r="9970" ht="16.5" customHeight="1">
      <c r="O9970" s="5" t="s">
        <v>355</v>
      </c>
      <c r="P9970" s="5" t="s">
        <v>355</v>
      </c>
      <c r="Q9970" s="5" t="s">
        <v>355</v>
      </c>
    </row>
    <row r="9971" ht="16.5" customHeight="1">
      <c r="O9971" s="5" t="s">
        <v>355</v>
      </c>
      <c r="P9971" s="5" t="s">
        <v>355</v>
      </c>
      <c r="Q9971" s="5" t="s">
        <v>355</v>
      </c>
    </row>
    <row r="9972" ht="16.5" customHeight="1">
      <c r="O9972" s="5" t="s">
        <v>355</v>
      </c>
      <c r="P9972" s="5" t="s">
        <v>355</v>
      </c>
      <c r="Q9972" s="5" t="s">
        <v>355</v>
      </c>
    </row>
    <row r="9973" ht="16.5" customHeight="1">
      <c r="O9973" s="5" t="s">
        <v>355</v>
      </c>
      <c r="P9973" s="5" t="s">
        <v>355</v>
      </c>
      <c r="Q9973" s="5" t="s">
        <v>355</v>
      </c>
    </row>
    <row r="9974" ht="16.5" customHeight="1">
      <c r="O9974" s="5" t="s">
        <v>355</v>
      </c>
      <c r="P9974" s="5" t="s">
        <v>355</v>
      </c>
      <c r="Q9974" s="5" t="s">
        <v>355</v>
      </c>
    </row>
    <row r="9975" ht="16.5" customHeight="1">
      <c r="O9975" s="5" t="s">
        <v>355</v>
      </c>
      <c r="P9975" s="5" t="s">
        <v>355</v>
      </c>
      <c r="Q9975" s="5" t="s">
        <v>355</v>
      </c>
    </row>
    <row r="9976" ht="16.5" customHeight="1">
      <c r="O9976" s="5" t="s">
        <v>355</v>
      </c>
      <c r="P9976" s="5" t="s">
        <v>355</v>
      </c>
      <c r="Q9976" s="5" t="s">
        <v>355</v>
      </c>
    </row>
    <row r="9977" ht="16.5" customHeight="1">
      <c r="O9977" s="5" t="s">
        <v>355</v>
      </c>
      <c r="P9977" s="5" t="s">
        <v>355</v>
      </c>
      <c r="Q9977" s="5" t="s">
        <v>355</v>
      </c>
    </row>
    <row r="9978" ht="16.5" customHeight="1">
      <c r="O9978" s="5" t="s">
        <v>355</v>
      </c>
      <c r="P9978" s="5" t="s">
        <v>355</v>
      </c>
      <c r="Q9978" s="5" t="s">
        <v>355</v>
      </c>
    </row>
    <row r="9979" ht="16.5" customHeight="1">
      <c r="O9979" s="5" t="s">
        <v>355</v>
      </c>
      <c r="P9979" s="5" t="s">
        <v>355</v>
      </c>
      <c r="Q9979" s="5" t="s">
        <v>355</v>
      </c>
    </row>
    <row r="9980" ht="16.5" customHeight="1">
      <c r="O9980" s="5" t="s">
        <v>355</v>
      </c>
      <c r="P9980" s="5" t="s">
        <v>355</v>
      </c>
      <c r="Q9980" s="5" t="s">
        <v>355</v>
      </c>
    </row>
    <row r="9981" ht="16.5" customHeight="1">
      <c r="O9981" s="5" t="s">
        <v>355</v>
      </c>
      <c r="P9981" s="5" t="s">
        <v>355</v>
      </c>
      <c r="Q9981" s="5" t="s">
        <v>355</v>
      </c>
    </row>
    <row r="9982" ht="16.5" customHeight="1">
      <c r="O9982" s="5" t="s">
        <v>355</v>
      </c>
      <c r="P9982" s="5" t="s">
        <v>355</v>
      </c>
      <c r="Q9982" s="5" t="s">
        <v>355</v>
      </c>
    </row>
    <row r="9983" ht="16.5" customHeight="1">
      <c r="O9983" s="5" t="s">
        <v>355</v>
      </c>
      <c r="P9983" s="5" t="s">
        <v>355</v>
      </c>
      <c r="Q9983" s="5" t="s">
        <v>355</v>
      </c>
    </row>
    <row r="9984" ht="16.5" customHeight="1">
      <c r="O9984" s="5" t="s">
        <v>355</v>
      </c>
      <c r="P9984" s="5" t="s">
        <v>355</v>
      </c>
      <c r="Q9984" s="5" t="s">
        <v>355</v>
      </c>
    </row>
    <row r="9985" ht="16.5" customHeight="1">
      <c r="O9985" s="5" t="s">
        <v>355</v>
      </c>
      <c r="P9985" s="5" t="s">
        <v>355</v>
      </c>
      <c r="Q9985" s="5" t="s">
        <v>355</v>
      </c>
    </row>
    <row r="9986" ht="16.5" customHeight="1">
      <c r="O9986" s="5" t="s">
        <v>355</v>
      </c>
      <c r="P9986" s="5" t="s">
        <v>355</v>
      </c>
      <c r="Q9986" s="5" t="s">
        <v>355</v>
      </c>
    </row>
    <row r="9987" ht="16.5" customHeight="1">
      <c r="O9987" s="5" t="s">
        <v>355</v>
      </c>
      <c r="P9987" s="5" t="s">
        <v>355</v>
      </c>
      <c r="Q9987" s="5" t="s">
        <v>355</v>
      </c>
    </row>
    <row r="9988" ht="16.5" customHeight="1">
      <c r="O9988" s="5" t="s">
        <v>355</v>
      </c>
      <c r="P9988" s="5" t="s">
        <v>355</v>
      </c>
      <c r="Q9988" s="5" t="s">
        <v>355</v>
      </c>
    </row>
    <row r="9989" ht="16.5" customHeight="1">
      <c r="O9989" s="5" t="s">
        <v>355</v>
      </c>
      <c r="P9989" s="5" t="s">
        <v>355</v>
      </c>
      <c r="Q9989" s="5" t="s">
        <v>355</v>
      </c>
    </row>
    <row r="9990" ht="16.5" customHeight="1">
      <c r="O9990" s="5" t="s">
        <v>355</v>
      </c>
      <c r="P9990" s="5" t="s">
        <v>355</v>
      </c>
      <c r="Q9990" s="5" t="s">
        <v>355</v>
      </c>
    </row>
    <row r="9991" ht="16.5" customHeight="1">
      <c r="O9991" s="5" t="s">
        <v>355</v>
      </c>
      <c r="P9991" s="5" t="s">
        <v>355</v>
      </c>
      <c r="Q9991" s="5" t="s">
        <v>355</v>
      </c>
    </row>
    <row r="9992" ht="16.5" customHeight="1">
      <c r="O9992" s="5" t="s">
        <v>355</v>
      </c>
      <c r="P9992" s="5" t="s">
        <v>355</v>
      </c>
      <c r="Q9992" s="5" t="s">
        <v>355</v>
      </c>
    </row>
    <row r="9993" ht="16.5" customHeight="1">
      <c r="O9993" s="5" t="s">
        <v>355</v>
      </c>
      <c r="P9993" s="5" t="s">
        <v>355</v>
      </c>
      <c r="Q9993" s="5" t="s">
        <v>355</v>
      </c>
    </row>
    <row r="9994" ht="16.5" customHeight="1">
      <c r="O9994" s="5" t="s">
        <v>355</v>
      </c>
      <c r="P9994" s="5" t="s">
        <v>355</v>
      </c>
      <c r="Q9994" s="5" t="s">
        <v>355</v>
      </c>
    </row>
    <row r="9995" ht="16.5" customHeight="1">
      <c r="O9995" s="5" t="s">
        <v>355</v>
      </c>
      <c r="P9995" s="5" t="s">
        <v>355</v>
      </c>
      <c r="Q9995" s="5" t="s">
        <v>355</v>
      </c>
    </row>
    <row r="9996" ht="16.5" customHeight="1">
      <c r="O9996" s="5" t="s">
        <v>355</v>
      </c>
      <c r="P9996" s="5" t="s">
        <v>355</v>
      </c>
      <c r="Q9996" s="5" t="s">
        <v>355</v>
      </c>
    </row>
    <row r="9997" ht="16.5" customHeight="1">
      <c r="O9997" s="5" t="s">
        <v>355</v>
      </c>
      <c r="P9997" s="5" t="s">
        <v>355</v>
      </c>
      <c r="Q9997" s="5" t="s">
        <v>355</v>
      </c>
    </row>
    <row r="9998" ht="16.5" customHeight="1">
      <c r="O9998" s="5" t="s">
        <v>355</v>
      </c>
      <c r="P9998" s="5" t="s">
        <v>355</v>
      </c>
      <c r="Q9998" s="5" t="s">
        <v>355</v>
      </c>
    </row>
    <row r="9999" ht="16.5" customHeight="1">
      <c r="O9999" s="5" t="s">
        <v>355</v>
      </c>
      <c r="P9999" s="5" t="s">
        <v>355</v>
      </c>
      <c r="Q9999" s="5" t="s">
        <v>355</v>
      </c>
    </row>
    <row r="10000" ht="16.5" customHeight="1">
      <c r="O10000" s="5" t="s">
        <v>355</v>
      </c>
      <c r="P10000" s="5" t="s">
        <v>355</v>
      </c>
      <c r="Q10000" s="5" t="s">
        <v>355</v>
      </c>
    </row>
    <row r="10001" ht="16.5" customHeight="1">
      <c r="O10001" s="5" t="s">
        <v>355</v>
      </c>
      <c r="P10001" s="5" t="s">
        <v>355</v>
      </c>
      <c r="Q10001" s="5" t="s">
        <v>355</v>
      </c>
    </row>
    <row r="10002" ht="16.5" customHeight="1">
      <c r="O10002" s="5" t="s">
        <v>355</v>
      </c>
      <c r="P10002" s="5" t="s">
        <v>355</v>
      </c>
      <c r="Q10002" s="5" t="s">
        <v>355</v>
      </c>
    </row>
    <row r="10003" ht="16.5" customHeight="1">
      <c r="O10003" s="5" t="s">
        <v>355</v>
      </c>
      <c r="P10003" s="5" t="s">
        <v>355</v>
      </c>
      <c r="Q10003" s="5" t="s">
        <v>355</v>
      </c>
    </row>
    <row r="10004" ht="16.5" customHeight="1">
      <c r="O10004" s="5" t="s">
        <v>355</v>
      </c>
      <c r="P10004" s="5" t="s">
        <v>355</v>
      </c>
      <c r="Q10004" s="5" t="s">
        <v>355</v>
      </c>
    </row>
    <row r="10005" ht="16.5" customHeight="1">
      <c r="O10005" s="5" t="s">
        <v>355</v>
      </c>
      <c r="P10005" s="5" t="s">
        <v>355</v>
      </c>
      <c r="Q10005" s="5" t="s">
        <v>355</v>
      </c>
    </row>
    <row r="10006" ht="16.5" customHeight="1">
      <c r="O10006" s="5" t="s">
        <v>355</v>
      </c>
      <c r="P10006" s="5" t="s">
        <v>355</v>
      </c>
      <c r="Q10006" s="5" t="s">
        <v>355</v>
      </c>
    </row>
    <row r="10007" ht="16.5" customHeight="1">
      <c r="O10007" s="5" t="s">
        <v>355</v>
      </c>
      <c r="P10007" s="5" t="s">
        <v>355</v>
      </c>
      <c r="Q10007" s="5" t="s">
        <v>355</v>
      </c>
    </row>
    <row r="10008" ht="16.5" customHeight="1">
      <c r="O10008" s="5" t="s">
        <v>355</v>
      </c>
      <c r="P10008" s="5" t="s">
        <v>355</v>
      </c>
      <c r="Q10008" s="5" t="s">
        <v>355</v>
      </c>
    </row>
    <row r="10009" ht="16.5" customHeight="1">
      <c r="O10009" s="5" t="s">
        <v>355</v>
      </c>
      <c r="P10009" s="5" t="s">
        <v>355</v>
      </c>
      <c r="Q10009" s="5" t="s">
        <v>355</v>
      </c>
    </row>
    <row r="10010" ht="16.5" customHeight="1">
      <c r="O10010" s="5" t="s">
        <v>355</v>
      </c>
      <c r="P10010" s="5" t="s">
        <v>355</v>
      </c>
      <c r="Q10010" s="5" t="s">
        <v>355</v>
      </c>
    </row>
    <row r="10011" ht="16.5" customHeight="1">
      <c r="O10011" s="5" t="s">
        <v>355</v>
      </c>
      <c r="P10011" s="5" t="s">
        <v>355</v>
      </c>
      <c r="Q10011" s="5" t="s">
        <v>355</v>
      </c>
    </row>
    <row r="10012" ht="16.5" customHeight="1">
      <c r="O10012" s="5" t="s">
        <v>355</v>
      </c>
      <c r="P10012" s="5" t="s">
        <v>355</v>
      </c>
      <c r="Q10012" s="5" t="s">
        <v>355</v>
      </c>
    </row>
    <row r="10013" ht="16.5" customHeight="1">
      <c r="O10013" s="5" t="s">
        <v>355</v>
      </c>
      <c r="P10013" s="5" t="s">
        <v>355</v>
      </c>
      <c r="Q10013" s="5" t="s">
        <v>355</v>
      </c>
    </row>
    <row r="10014" ht="16.5" customHeight="1">
      <c r="O10014" s="5" t="s">
        <v>355</v>
      </c>
      <c r="P10014" s="5" t="s">
        <v>355</v>
      </c>
      <c r="Q10014" s="5" t="s">
        <v>355</v>
      </c>
    </row>
    <row r="10015" ht="16.5" customHeight="1">
      <c r="O10015" s="5" t="s">
        <v>355</v>
      </c>
      <c r="P10015" s="5" t="s">
        <v>355</v>
      </c>
      <c r="Q10015" s="5" t="s">
        <v>355</v>
      </c>
    </row>
    <row r="10016" ht="16.5" customHeight="1">
      <c r="O10016" s="5" t="s">
        <v>355</v>
      </c>
      <c r="P10016" s="5" t="s">
        <v>355</v>
      </c>
      <c r="Q10016" s="5" t="s">
        <v>355</v>
      </c>
    </row>
    <row r="10017" ht="16.5" customHeight="1">
      <c r="O10017" s="5" t="s">
        <v>355</v>
      </c>
      <c r="P10017" s="5" t="s">
        <v>355</v>
      </c>
      <c r="Q10017" s="5" t="s">
        <v>355</v>
      </c>
    </row>
    <row r="10018" ht="16.5" customHeight="1">
      <c r="O10018" s="5" t="s">
        <v>355</v>
      </c>
      <c r="P10018" s="5" t="s">
        <v>355</v>
      </c>
      <c r="Q10018" s="5" t="s">
        <v>355</v>
      </c>
    </row>
    <row r="10019" ht="16.5" customHeight="1">
      <c r="O10019" s="5" t="s">
        <v>355</v>
      </c>
      <c r="P10019" s="5" t="s">
        <v>355</v>
      </c>
      <c r="Q10019" s="5" t="s">
        <v>355</v>
      </c>
    </row>
    <row r="10020" ht="16.5" customHeight="1">
      <c r="O10020" s="5" t="s">
        <v>355</v>
      </c>
      <c r="P10020" s="5" t="s">
        <v>355</v>
      </c>
      <c r="Q10020" s="5" t="s">
        <v>355</v>
      </c>
    </row>
    <row r="10021" ht="16.5" customHeight="1">
      <c r="O10021" s="5" t="s">
        <v>355</v>
      </c>
      <c r="P10021" s="5" t="s">
        <v>355</v>
      </c>
      <c r="Q10021" s="5" t="s">
        <v>355</v>
      </c>
    </row>
    <row r="10022" ht="16.5" customHeight="1">
      <c r="O10022" s="5" t="s">
        <v>355</v>
      </c>
      <c r="P10022" s="5" t="s">
        <v>355</v>
      </c>
      <c r="Q10022" s="5" t="s">
        <v>355</v>
      </c>
    </row>
    <row r="10023" ht="16.5" customHeight="1">
      <c r="O10023" s="5" t="s">
        <v>355</v>
      </c>
      <c r="P10023" s="5" t="s">
        <v>355</v>
      </c>
      <c r="Q10023" s="5" t="s">
        <v>355</v>
      </c>
    </row>
    <row r="10024" ht="16.5" customHeight="1">
      <c r="O10024" s="5" t="s">
        <v>355</v>
      </c>
      <c r="P10024" s="5" t="s">
        <v>355</v>
      </c>
      <c r="Q10024" s="5" t="s">
        <v>355</v>
      </c>
    </row>
    <row r="10025" ht="16.5" customHeight="1">
      <c r="O10025" s="5" t="s">
        <v>355</v>
      </c>
      <c r="P10025" s="5" t="s">
        <v>355</v>
      </c>
      <c r="Q10025" s="5" t="s">
        <v>355</v>
      </c>
    </row>
    <row r="10026" ht="16.5" customHeight="1">
      <c r="O10026" s="5" t="s">
        <v>355</v>
      </c>
      <c r="P10026" s="5" t="s">
        <v>355</v>
      </c>
      <c r="Q10026" s="5" t="s">
        <v>355</v>
      </c>
    </row>
    <row r="10027" ht="16.5" customHeight="1">
      <c r="O10027" s="5" t="s">
        <v>355</v>
      </c>
      <c r="P10027" s="5" t="s">
        <v>355</v>
      </c>
      <c r="Q10027" s="5" t="s">
        <v>355</v>
      </c>
    </row>
    <row r="10028" ht="16.5" customHeight="1">
      <c r="O10028" s="5" t="s">
        <v>355</v>
      </c>
      <c r="P10028" s="5" t="s">
        <v>355</v>
      </c>
      <c r="Q10028" s="5" t="s">
        <v>355</v>
      </c>
    </row>
    <row r="10029" ht="16.5" customHeight="1">
      <c r="O10029" s="5" t="s">
        <v>355</v>
      </c>
      <c r="P10029" s="5" t="s">
        <v>355</v>
      </c>
      <c r="Q10029" s="5" t="s">
        <v>355</v>
      </c>
    </row>
    <row r="10030" ht="16.5" customHeight="1">
      <c r="O10030" s="5" t="s">
        <v>355</v>
      </c>
      <c r="P10030" s="5" t="s">
        <v>355</v>
      </c>
      <c r="Q10030" s="5" t="s">
        <v>355</v>
      </c>
    </row>
    <row r="10031" ht="16.5" customHeight="1">
      <c r="O10031" s="5" t="s">
        <v>355</v>
      </c>
      <c r="P10031" s="5" t="s">
        <v>355</v>
      </c>
      <c r="Q10031" s="5" t="s">
        <v>355</v>
      </c>
    </row>
    <row r="10032" ht="16.5" customHeight="1">
      <c r="O10032" s="5" t="s">
        <v>355</v>
      </c>
      <c r="P10032" s="5" t="s">
        <v>355</v>
      </c>
      <c r="Q10032" s="5" t="s">
        <v>355</v>
      </c>
    </row>
    <row r="10033" ht="16.5" customHeight="1">
      <c r="O10033" s="5" t="s">
        <v>355</v>
      </c>
      <c r="P10033" s="5" t="s">
        <v>355</v>
      </c>
      <c r="Q10033" s="5" t="s">
        <v>355</v>
      </c>
    </row>
    <row r="10034" ht="16.5" customHeight="1">
      <c r="O10034" s="5" t="s">
        <v>355</v>
      </c>
      <c r="P10034" s="5" t="s">
        <v>355</v>
      </c>
      <c r="Q10034" s="5" t="s">
        <v>355</v>
      </c>
    </row>
    <row r="10035" ht="16.5" customHeight="1">
      <c r="O10035" s="5" t="s">
        <v>355</v>
      </c>
      <c r="P10035" s="5" t="s">
        <v>355</v>
      </c>
      <c r="Q10035" s="5" t="s">
        <v>355</v>
      </c>
    </row>
    <row r="10036" ht="16.5" customHeight="1">
      <c r="O10036" s="5" t="s">
        <v>355</v>
      </c>
      <c r="P10036" s="5" t="s">
        <v>355</v>
      </c>
      <c r="Q10036" s="5" t="s">
        <v>355</v>
      </c>
    </row>
    <row r="10037" ht="16.5" customHeight="1">
      <c r="O10037" s="5" t="s">
        <v>355</v>
      </c>
      <c r="P10037" s="5" t="s">
        <v>355</v>
      </c>
      <c r="Q10037" s="5" t="s">
        <v>355</v>
      </c>
    </row>
    <row r="10038" ht="16.5" customHeight="1">
      <c r="O10038" s="5" t="s">
        <v>355</v>
      </c>
      <c r="P10038" s="5" t="s">
        <v>355</v>
      </c>
      <c r="Q10038" s="5" t="s">
        <v>355</v>
      </c>
    </row>
    <row r="10039" ht="16.5" customHeight="1">
      <c r="O10039" s="5" t="s">
        <v>355</v>
      </c>
      <c r="P10039" s="5" t="s">
        <v>355</v>
      </c>
      <c r="Q10039" s="5" t="s">
        <v>355</v>
      </c>
    </row>
    <row r="10040" ht="16.5" customHeight="1">
      <c r="O10040" s="5" t="s">
        <v>355</v>
      </c>
      <c r="P10040" s="5" t="s">
        <v>355</v>
      </c>
      <c r="Q10040" s="5" t="s">
        <v>355</v>
      </c>
    </row>
    <row r="10041" ht="16.5" customHeight="1">
      <c r="O10041" s="5" t="s">
        <v>355</v>
      </c>
      <c r="P10041" s="5" t="s">
        <v>355</v>
      </c>
      <c r="Q10041" s="5" t="s">
        <v>355</v>
      </c>
    </row>
    <row r="10042" ht="16.5" customHeight="1">
      <c r="O10042" s="5" t="s">
        <v>355</v>
      </c>
      <c r="P10042" s="5" t="s">
        <v>355</v>
      </c>
      <c r="Q10042" s="5" t="s">
        <v>355</v>
      </c>
    </row>
    <row r="10043" ht="16.5" customHeight="1">
      <c r="O10043" s="5" t="s">
        <v>355</v>
      </c>
      <c r="P10043" s="5" t="s">
        <v>355</v>
      </c>
      <c r="Q10043" s="5" t="s">
        <v>355</v>
      </c>
    </row>
    <row r="10044" ht="16.5" customHeight="1">
      <c r="O10044" s="5" t="s">
        <v>355</v>
      </c>
      <c r="P10044" s="5" t="s">
        <v>355</v>
      </c>
      <c r="Q10044" s="5" t="s">
        <v>355</v>
      </c>
    </row>
    <row r="10045" ht="16.5" customHeight="1">
      <c r="O10045" s="5" t="s">
        <v>355</v>
      </c>
      <c r="P10045" s="5" t="s">
        <v>355</v>
      </c>
      <c r="Q10045" s="5" t="s">
        <v>355</v>
      </c>
    </row>
    <row r="10046" ht="16.5" customHeight="1">
      <c r="O10046" s="5" t="s">
        <v>355</v>
      </c>
      <c r="P10046" s="5" t="s">
        <v>355</v>
      </c>
      <c r="Q10046" s="5" t="s">
        <v>355</v>
      </c>
    </row>
    <row r="10047" ht="16.5" customHeight="1">
      <c r="O10047" s="5" t="s">
        <v>355</v>
      </c>
      <c r="P10047" s="5" t="s">
        <v>355</v>
      </c>
      <c r="Q10047" s="5" t="s">
        <v>355</v>
      </c>
    </row>
    <row r="10048" ht="16.5" customHeight="1">
      <c r="O10048" s="5" t="s">
        <v>355</v>
      </c>
      <c r="P10048" s="5" t="s">
        <v>355</v>
      </c>
      <c r="Q10048" s="5" t="s">
        <v>355</v>
      </c>
    </row>
    <row r="10049" ht="16.5" customHeight="1">
      <c r="O10049" s="5" t="s">
        <v>355</v>
      </c>
      <c r="P10049" s="5" t="s">
        <v>355</v>
      </c>
      <c r="Q10049" s="5" t="s">
        <v>355</v>
      </c>
    </row>
    <row r="10050" ht="16.5" customHeight="1">
      <c r="O10050" s="5" t="s">
        <v>355</v>
      </c>
      <c r="P10050" s="5" t="s">
        <v>355</v>
      </c>
      <c r="Q10050" s="5" t="s">
        <v>355</v>
      </c>
    </row>
    <row r="10051" ht="16.5" customHeight="1">
      <c r="O10051" s="5" t="s">
        <v>355</v>
      </c>
      <c r="P10051" s="5" t="s">
        <v>355</v>
      </c>
      <c r="Q10051" s="5" t="s">
        <v>355</v>
      </c>
    </row>
    <row r="10052" ht="16.5" customHeight="1">
      <c r="O10052" s="5" t="s">
        <v>355</v>
      </c>
      <c r="P10052" s="5" t="s">
        <v>355</v>
      </c>
      <c r="Q10052" s="5" t="s">
        <v>355</v>
      </c>
    </row>
    <row r="10053" ht="16.5" customHeight="1">
      <c r="O10053" s="5" t="s">
        <v>355</v>
      </c>
      <c r="P10053" s="5" t="s">
        <v>355</v>
      </c>
      <c r="Q10053" s="5" t="s">
        <v>355</v>
      </c>
    </row>
    <row r="10054" ht="16.5" customHeight="1">
      <c r="O10054" s="5" t="s">
        <v>355</v>
      </c>
      <c r="P10054" s="5" t="s">
        <v>355</v>
      </c>
      <c r="Q10054" s="5" t="s">
        <v>355</v>
      </c>
    </row>
    <row r="10055" ht="16.5" customHeight="1">
      <c r="O10055" s="5" t="s">
        <v>355</v>
      </c>
      <c r="P10055" s="5" t="s">
        <v>355</v>
      </c>
      <c r="Q10055" s="5" t="s">
        <v>355</v>
      </c>
    </row>
    <row r="10056" ht="16.5" customHeight="1">
      <c r="O10056" s="5" t="s">
        <v>355</v>
      </c>
      <c r="P10056" s="5" t="s">
        <v>355</v>
      </c>
      <c r="Q10056" s="5" t="s">
        <v>355</v>
      </c>
    </row>
    <row r="10057" ht="16.5" customHeight="1">
      <c r="O10057" s="5" t="s">
        <v>355</v>
      </c>
      <c r="P10057" s="5" t="s">
        <v>355</v>
      </c>
      <c r="Q10057" s="5" t="s">
        <v>355</v>
      </c>
    </row>
    <row r="10058" ht="16.5" customHeight="1">
      <c r="O10058" s="5" t="s">
        <v>355</v>
      </c>
      <c r="P10058" s="5" t="s">
        <v>355</v>
      </c>
      <c r="Q10058" s="5" t="s">
        <v>355</v>
      </c>
    </row>
    <row r="10059" ht="16.5" customHeight="1">
      <c r="O10059" s="5" t="s">
        <v>355</v>
      </c>
      <c r="P10059" s="5" t="s">
        <v>355</v>
      </c>
      <c r="Q10059" s="5" t="s">
        <v>355</v>
      </c>
    </row>
    <row r="10060" ht="16.5" customHeight="1">
      <c r="O10060" s="5" t="s">
        <v>355</v>
      </c>
      <c r="P10060" s="5" t="s">
        <v>355</v>
      </c>
      <c r="Q10060" s="5" t="s">
        <v>355</v>
      </c>
    </row>
    <row r="10061" ht="16.5" customHeight="1">
      <c r="O10061" s="5" t="s">
        <v>355</v>
      </c>
      <c r="P10061" s="5" t="s">
        <v>355</v>
      </c>
      <c r="Q10061" s="5" t="s">
        <v>355</v>
      </c>
    </row>
    <row r="10062" ht="16.5" customHeight="1">
      <c r="O10062" s="5" t="s">
        <v>355</v>
      </c>
      <c r="P10062" s="5" t="s">
        <v>355</v>
      </c>
      <c r="Q10062" s="5" t="s">
        <v>355</v>
      </c>
    </row>
    <row r="10063" ht="16.5" customHeight="1">
      <c r="O10063" s="5" t="s">
        <v>355</v>
      </c>
      <c r="P10063" s="5" t="s">
        <v>355</v>
      </c>
      <c r="Q10063" s="5" t="s">
        <v>355</v>
      </c>
    </row>
    <row r="10064" ht="16.5" customHeight="1">
      <c r="O10064" s="5" t="s">
        <v>355</v>
      </c>
      <c r="P10064" s="5" t="s">
        <v>355</v>
      </c>
      <c r="Q10064" s="5" t="s">
        <v>355</v>
      </c>
    </row>
    <row r="10065" ht="16.5" customHeight="1">
      <c r="O10065" s="5" t="s">
        <v>355</v>
      </c>
      <c r="P10065" s="5" t="s">
        <v>355</v>
      </c>
      <c r="Q10065" s="5" t="s">
        <v>355</v>
      </c>
    </row>
    <row r="10066" ht="16.5" customHeight="1">
      <c r="O10066" s="5" t="s">
        <v>355</v>
      </c>
      <c r="P10066" s="5" t="s">
        <v>355</v>
      </c>
      <c r="Q10066" s="5" t="s">
        <v>355</v>
      </c>
    </row>
    <row r="10067" ht="16.5" customHeight="1">
      <c r="O10067" s="5" t="s">
        <v>355</v>
      </c>
      <c r="P10067" s="5" t="s">
        <v>355</v>
      </c>
      <c r="Q10067" s="5" t="s">
        <v>355</v>
      </c>
    </row>
    <row r="10068" ht="16.5" customHeight="1">
      <c r="O10068" s="5" t="s">
        <v>355</v>
      </c>
      <c r="P10068" s="5" t="s">
        <v>355</v>
      </c>
      <c r="Q10068" s="5" t="s">
        <v>355</v>
      </c>
    </row>
    <row r="10069" ht="16.5" customHeight="1">
      <c r="O10069" s="5" t="s">
        <v>355</v>
      </c>
      <c r="P10069" s="5" t="s">
        <v>355</v>
      </c>
      <c r="Q10069" s="5" t="s">
        <v>355</v>
      </c>
    </row>
    <row r="10070" ht="16.5" customHeight="1">
      <c r="O10070" s="5" t="s">
        <v>355</v>
      </c>
      <c r="P10070" s="5" t="s">
        <v>355</v>
      </c>
      <c r="Q10070" s="5" t="s">
        <v>355</v>
      </c>
    </row>
    <row r="10071" ht="16.5" customHeight="1">
      <c r="O10071" s="5" t="s">
        <v>355</v>
      </c>
      <c r="P10071" s="5" t="s">
        <v>355</v>
      </c>
      <c r="Q10071" s="5" t="s">
        <v>355</v>
      </c>
    </row>
    <row r="10072" ht="16.5" customHeight="1">
      <c r="O10072" s="5" t="s">
        <v>355</v>
      </c>
      <c r="P10072" s="5" t="s">
        <v>355</v>
      </c>
      <c r="Q10072" s="5" t="s">
        <v>355</v>
      </c>
    </row>
    <row r="10073" ht="16.5" customHeight="1">
      <c r="O10073" s="5" t="s">
        <v>355</v>
      </c>
      <c r="P10073" s="5" t="s">
        <v>355</v>
      </c>
      <c r="Q10073" s="5" t="s">
        <v>355</v>
      </c>
    </row>
    <row r="10074" ht="16.5" customHeight="1">
      <c r="O10074" s="5" t="s">
        <v>355</v>
      </c>
      <c r="P10074" s="5" t="s">
        <v>355</v>
      </c>
      <c r="Q10074" s="5" t="s">
        <v>355</v>
      </c>
    </row>
    <row r="10075" ht="16.5" customHeight="1">
      <c r="O10075" s="5" t="s">
        <v>355</v>
      </c>
      <c r="P10075" s="5" t="s">
        <v>355</v>
      </c>
      <c r="Q10075" s="5" t="s">
        <v>355</v>
      </c>
    </row>
    <row r="10076" ht="16.5" customHeight="1">
      <c r="O10076" s="5" t="s">
        <v>355</v>
      </c>
      <c r="P10076" s="5" t="s">
        <v>355</v>
      </c>
      <c r="Q10076" s="5" t="s">
        <v>355</v>
      </c>
    </row>
    <row r="10077" ht="16.5" customHeight="1">
      <c r="O10077" s="5" t="s">
        <v>355</v>
      </c>
      <c r="P10077" s="5" t="s">
        <v>355</v>
      </c>
      <c r="Q10077" s="5" t="s">
        <v>355</v>
      </c>
    </row>
    <row r="10078" ht="16.5" customHeight="1">
      <c r="O10078" s="5" t="s">
        <v>355</v>
      </c>
      <c r="P10078" s="5" t="s">
        <v>355</v>
      </c>
      <c r="Q10078" s="5" t="s">
        <v>355</v>
      </c>
    </row>
    <row r="10079" ht="16.5" customHeight="1">
      <c r="O10079" s="5" t="s">
        <v>355</v>
      </c>
      <c r="P10079" s="5" t="s">
        <v>355</v>
      </c>
      <c r="Q10079" s="5" t="s">
        <v>355</v>
      </c>
    </row>
    <row r="10080" ht="16.5" customHeight="1">
      <c r="O10080" s="5" t="s">
        <v>355</v>
      </c>
      <c r="P10080" s="5" t="s">
        <v>355</v>
      </c>
      <c r="Q10080" s="5" t="s">
        <v>355</v>
      </c>
    </row>
    <row r="10081" ht="16.5" customHeight="1">
      <c r="O10081" s="5" t="s">
        <v>355</v>
      </c>
      <c r="P10081" s="5" t="s">
        <v>355</v>
      </c>
      <c r="Q10081" s="5" t="s">
        <v>355</v>
      </c>
    </row>
    <row r="10082" ht="16.5" customHeight="1">
      <c r="O10082" s="5" t="s">
        <v>355</v>
      </c>
      <c r="P10082" s="5" t="s">
        <v>355</v>
      </c>
      <c r="Q10082" s="5" t="s">
        <v>355</v>
      </c>
    </row>
    <row r="10083" ht="16.5" customHeight="1">
      <c r="O10083" s="5" t="s">
        <v>355</v>
      </c>
      <c r="P10083" s="5" t="s">
        <v>355</v>
      </c>
      <c r="Q10083" s="5" t="s">
        <v>355</v>
      </c>
    </row>
    <row r="10084" ht="16.5" customHeight="1">
      <c r="O10084" s="5" t="s">
        <v>355</v>
      </c>
      <c r="P10084" s="5" t="s">
        <v>355</v>
      </c>
      <c r="Q10084" s="5" t="s">
        <v>355</v>
      </c>
    </row>
    <row r="10085" ht="16.5" customHeight="1">
      <c r="O10085" s="5" t="s">
        <v>355</v>
      </c>
      <c r="P10085" s="5" t="s">
        <v>355</v>
      </c>
      <c r="Q10085" s="5" t="s">
        <v>355</v>
      </c>
    </row>
    <row r="10086" ht="16.5" customHeight="1">
      <c r="O10086" s="5" t="s">
        <v>355</v>
      </c>
      <c r="P10086" s="5" t="s">
        <v>355</v>
      </c>
      <c r="Q10086" s="5" t="s">
        <v>355</v>
      </c>
    </row>
    <row r="10087" ht="16.5" customHeight="1">
      <c r="O10087" s="5" t="s">
        <v>355</v>
      </c>
      <c r="P10087" s="5" t="s">
        <v>355</v>
      </c>
      <c r="Q10087" s="5" t="s">
        <v>355</v>
      </c>
    </row>
    <row r="10088" ht="16.5" customHeight="1">
      <c r="O10088" s="5" t="s">
        <v>355</v>
      </c>
      <c r="P10088" s="5" t="s">
        <v>355</v>
      </c>
      <c r="Q10088" s="5" t="s">
        <v>355</v>
      </c>
    </row>
    <row r="10089" ht="16.5" customHeight="1">
      <c r="O10089" s="5" t="s">
        <v>355</v>
      </c>
      <c r="P10089" s="5" t="s">
        <v>355</v>
      </c>
      <c r="Q10089" s="5" t="s">
        <v>355</v>
      </c>
    </row>
    <row r="10090" ht="16.5" customHeight="1">
      <c r="O10090" s="5" t="s">
        <v>355</v>
      </c>
      <c r="P10090" s="5" t="s">
        <v>355</v>
      </c>
      <c r="Q10090" s="5" t="s">
        <v>355</v>
      </c>
    </row>
    <row r="10091" ht="16.5" customHeight="1">
      <c r="O10091" s="5" t="s">
        <v>355</v>
      </c>
      <c r="P10091" s="5" t="s">
        <v>355</v>
      </c>
      <c r="Q10091" s="5" t="s">
        <v>355</v>
      </c>
    </row>
    <row r="10092" ht="16.5" customHeight="1">
      <c r="O10092" s="5" t="s">
        <v>355</v>
      </c>
      <c r="P10092" s="5" t="s">
        <v>355</v>
      </c>
      <c r="Q10092" s="5" t="s">
        <v>355</v>
      </c>
    </row>
    <row r="10093" ht="16.5" customHeight="1">
      <c r="O10093" s="5" t="s">
        <v>355</v>
      </c>
      <c r="P10093" s="5" t="s">
        <v>355</v>
      </c>
      <c r="Q10093" s="5" t="s">
        <v>355</v>
      </c>
    </row>
    <row r="10094" ht="16.5" customHeight="1">
      <c r="O10094" s="5" t="s">
        <v>355</v>
      </c>
      <c r="P10094" s="5" t="s">
        <v>355</v>
      </c>
      <c r="Q10094" s="5" t="s">
        <v>355</v>
      </c>
    </row>
    <row r="10095" ht="16.5" customHeight="1">
      <c r="O10095" s="5" t="s">
        <v>355</v>
      </c>
      <c r="P10095" s="5" t="s">
        <v>355</v>
      </c>
      <c r="Q10095" s="5" t="s">
        <v>355</v>
      </c>
    </row>
    <row r="10096" ht="16.5" customHeight="1">
      <c r="O10096" s="5" t="s">
        <v>355</v>
      </c>
      <c r="P10096" s="5" t="s">
        <v>355</v>
      </c>
      <c r="Q10096" s="5" t="s">
        <v>355</v>
      </c>
    </row>
    <row r="10097" ht="16.5" customHeight="1">
      <c r="O10097" s="5" t="s">
        <v>355</v>
      </c>
      <c r="P10097" s="5" t="s">
        <v>355</v>
      </c>
      <c r="Q10097" s="5" t="s">
        <v>355</v>
      </c>
    </row>
    <row r="10098" ht="16.5" customHeight="1">
      <c r="O10098" s="5" t="s">
        <v>355</v>
      </c>
      <c r="P10098" s="5" t="s">
        <v>355</v>
      </c>
      <c r="Q10098" s="5" t="s">
        <v>355</v>
      </c>
    </row>
    <row r="10099" ht="16.5" customHeight="1">
      <c r="O10099" s="5" t="s">
        <v>355</v>
      </c>
      <c r="P10099" s="5" t="s">
        <v>355</v>
      </c>
      <c r="Q10099" s="5" t="s">
        <v>355</v>
      </c>
    </row>
    <row r="10100" ht="16.5" customHeight="1">
      <c r="O10100" s="5" t="s">
        <v>355</v>
      </c>
      <c r="P10100" s="5" t="s">
        <v>355</v>
      </c>
      <c r="Q10100" s="5" t="s">
        <v>355</v>
      </c>
    </row>
    <row r="10101" ht="16.5" customHeight="1">
      <c r="O10101" s="5" t="s">
        <v>355</v>
      </c>
      <c r="P10101" s="5" t="s">
        <v>355</v>
      </c>
      <c r="Q10101" s="5" t="s">
        <v>355</v>
      </c>
    </row>
    <row r="10102" ht="16.5" customHeight="1">
      <c r="O10102" s="5" t="s">
        <v>355</v>
      </c>
      <c r="P10102" s="5" t="s">
        <v>355</v>
      </c>
      <c r="Q10102" s="5" t="s">
        <v>355</v>
      </c>
    </row>
    <row r="10103" ht="16.5" customHeight="1">
      <c r="O10103" s="5" t="s">
        <v>355</v>
      </c>
      <c r="P10103" s="5" t="s">
        <v>355</v>
      </c>
      <c r="Q10103" s="5" t="s">
        <v>355</v>
      </c>
    </row>
    <row r="10104" ht="16.5" customHeight="1">
      <c r="O10104" s="5" t="s">
        <v>355</v>
      </c>
      <c r="P10104" s="5" t="s">
        <v>355</v>
      </c>
      <c r="Q10104" s="5" t="s">
        <v>355</v>
      </c>
    </row>
    <row r="10105" ht="16.5" customHeight="1">
      <c r="O10105" s="5" t="s">
        <v>355</v>
      </c>
      <c r="P10105" s="5" t="s">
        <v>355</v>
      </c>
      <c r="Q10105" s="5" t="s">
        <v>355</v>
      </c>
    </row>
    <row r="10106" ht="16.5" customHeight="1">
      <c r="O10106" s="5" t="s">
        <v>355</v>
      </c>
      <c r="P10106" s="5" t="s">
        <v>355</v>
      </c>
      <c r="Q10106" s="5" t="s">
        <v>355</v>
      </c>
    </row>
    <row r="10107" ht="16.5" customHeight="1">
      <c r="O10107" s="5" t="s">
        <v>355</v>
      </c>
      <c r="P10107" s="5" t="s">
        <v>355</v>
      </c>
      <c r="Q10107" s="5" t="s">
        <v>355</v>
      </c>
    </row>
    <row r="10108" ht="16.5" customHeight="1">
      <c r="O10108" s="5" t="s">
        <v>355</v>
      </c>
      <c r="P10108" s="5" t="s">
        <v>355</v>
      </c>
      <c r="Q10108" s="5" t="s">
        <v>355</v>
      </c>
    </row>
    <row r="10109" ht="16.5" customHeight="1">
      <c r="O10109" s="5" t="s">
        <v>355</v>
      </c>
      <c r="P10109" s="5" t="s">
        <v>355</v>
      </c>
      <c r="Q10109" s="5" t="s">
        <v>355</v>
      </c>
    </row>
    <row r="10110" ht="16.5" customHeight="1">
      <c r="O10110" s="5" t="s">
        <v>355</v>
      </c>
      <c r="P10110" s="5" t="s">
        <v>355</v>
      </c>
      <c r="Q10110" s="5" t="s">
        <v>355</v>
      </c>
    </row>
    <row r="10111" ht="16.5" customHeight="1">
      <c r="O10111" s="5" t="s">
        <v>355</v>
      </c>
      <c r="P10111" s="5" t="s">
        <v>355</v>
      </c>
      <c r="Q10111" s="5" t="s">
        <v>355</v>
      </c>
    </row>
    <row r="10112" ht="16.5" customHeight="1">
      <c r="O10112" s="5" t="s">
        <v>355</v>
      </c>
      <c r="P10112" s="5" t="s">
        <v>355</v>
      </c>
      <c r="Q10112" s="5" t="s">
        <v>355</v>
      </c>
    </row>
    <row r="10113" ht="16.5" customHeight="1">
      <c r="O10113" s="5" t="s">
        <v>355</v>
      </c>
      <c r="P10113" s="5" t="s">
        <v>355</v>
      </c>
      <c r="Q10113" s="5" t="s">
        <v>355</v>
      </c>
    </row>
    <row r="10114" ht="16.5" customHeight="1">
      <c r="O10114" s="5" t="s">
        <v>355</v>
      </c>
      <c r="P10114" s="5" t="s">
        <v>355</v>
      </c>
      <c r="Q10114" s="5" t="s">
        <v>355</v>
      </c>
    </row>
    <row r="10115" ht="16.5" customHeight="1">
      <c r="O10115" s="5" t="s">
        <v>355</v>
      </c>
      <c r="P10115" s="5" t="s">
        <v>355</v>
      </c>
      <c r="Q10115" s="5" t="s">
        <v>355</v>
      </c>
    </row>
    <row r="10116" ht="16.5" customHeight="1">
      <c r="O10116" s="5" t="s">
        <v>355</v>
      </c>
      <c r="P10116" s="5" t="s">
        <v>355</v>
      </c>
      <c r="Q10116" s="5" t="s">
        <v>355</v>
      </c>
    </row>
    <row r="10117" ht="16.5" customHeight="1">
      <c r="O10117" s="5" t="s">
        <v>355</v>
      </c>
      <c r="P10117" s="5" t="s">
        <v>355</v>
      </c>
      <c r="Q10117" s="5" t="s">
        <v>355</v>
      </c>
    </row>
    <row r="10118" ht="16.5" customHeight="1">
      <c r="O10118" s="5" t="s">
        <v>355</v>
      </c>
      <c r="P10118" s="5" t="s">
        <v>355</v>
      </c>
      <c r="Q10118" s="5" t="s">
        <v>355</v>
      </c>
    </row>
    <row r="10119" ht="16.5" customHeight="1">
      <c r="O10119" s="5" t="s">
        <v>355</v>
      </c>
      <c r="P10119" s="5" t="s">
        <v>355</v>
      </c>
      <c r="Q10119" s="5" t="s">
        <v>355</v>
      </c>
    </row>
    <row r="10120" ht="16.5" customHeight="1">
      <c r="O10120" s="5" t="s">
        <v>355</v>
      </c>
      <c r="P10120" s="5" t="s">
        <v>355</v>
      </c>
      <c r="Q10120" s="5" t="s">
        <v>355</v>
      </c>
    </row>
    <row r="10121" ht="16.5" customHeight="1">
      <c r="O10121" s="5" t="s">
        <v>355</v>
      </c>
      <c r="P10121" s="5" t="s">
        <v>355</v>
      </c>
      <c r="Q10121" s="5" t="s">
        <v>355</v>
      </c>
    </row>
    <row r="10122" ht="16.5" customHeight="1">
      <c r="O10122" s="5" t="s">
        <v>355</v>
      </c>
      <c r="P10122" s="5" t="s">
        <v>355</v>
      </c>
      <c r="Q10122" s="5" t="s">
        <v>355</v>
      </c>
    </row>
    <row r="10123" ht="16.5" customHeight="1">
      <c r="O10123" s="5" t="s">
        <v>355</v>
      </c>
      <c r="P10123" s="5" t="s">
        <v>355</v>
      </c>
      <c r="Q10123" s="5" t="s">
        <v>355</v>
      </c>
    </row>
    <row r="10124" ht="16.5" customHeight="1">
      <c r="O10124" s="5" t="s">
        <v>355</v>
      </c>
      <c r="P10124" s="5" t="s">
        <v>355</v>
      </c>
      <c r="Q10124" s="5" t="s">
        <v>355</v>
      </c>
    </row>
    <row r="10125" ht="16.5" customHeight="1">
      <c r="O10125" s="5" t="s">
        <v>355</v>
      </c>
      <c r="P10125" s="5" t="s">
        <v>355</v>
      </c>
      <c r="Q10125" s="5" t="s">
        <v>355</v>
      </c>
    </row>
    <row r="10126" ht="16.5" customHeight="1">
      <c r="O10126" s="5" t="s">
        <v>355</v>
      </c>
      <c r="P10126" s="5" t="s">
        <v>355</v>
      </c>
      <c r="Q10126" s="5" t="s">
        <v>355</v>
      </c>
    </row>
    <row r="10127" ht="16.5" customHeight="1">
      <c r="O10127" s="5" t="s">
        <v>355</v>
      </c>
      <c r="P10127" s="5" t="s">
        <v>355</v>
      </c>
      <c r="Q10127" s="5" t="s">
        <v>355</v>
      </c>
    </row>
    <row r="10128" ht="16.5" customHeight="1">
      <c r="O10128" s="5" t="s">
        <v>355</v>
      </c>
      <c r="P10128" s="5" t="s">
        <v>355</v>
      </c>
      <c r="Q10128" s="5" t="s">
        <v>355</v>
      </c>
    </row>
    <row r="10129" ht="16.5" customHeight="1">
      <c r="O10129" s="5" t="s">
        <v>355</v>
      </c>
      <c r="P10129" s="5" t="s">
        <v>355</v>
      </c>
      <c r="Q10129" s="5" t="s">
        <v>355</v>
      </c>
    </row>
    <row r="10130" ht="16.5" customHeight="1">
      <c r="O10130" s="5" t="s">
        <v>355</v>
      </c>
      <c r="P10130" s="5" t="s">
        <v>355</v>
      </c>
      <c r="Q10130" s="5" t="s">
        <v>355</v>
      </c>
    </row>
    <row r="10131" ht="16.5" customHeight="1">
      <c r="O10131" s="5" t="s">
        <v>355</v>
      </c>
      <c r="P10131" s="5" t="s">
        <v>355</v>
      </c>
      <c r="Q10131" s="5" t="s">
        <v>355</v>
      </c>
    </row>
    <row r="10132" ht="16.5" customHeight="1">
      <c r="O10132" s="5" t="s">
        <v>355</v>
      </c>
      <c r="P10132" s="5" t="s">
        <v>355</v>
      </c>
      <c r="Q10132" s="5" t="s">
        <v>355</v>
      </c>
    </row>
    <row r="10133" ht="16.5" customHeight="1">
      <c r="O10133" s="5" t="s">
        <v>355</v>
      </c>
      <c r="P10133" s="5" t="s">
        <v>355</v>
      </c>
      <c r="Q10133" s="5" t="s">
        <v>355</v>
      </c>
    </row>
    <row r="10134" ht="16.5" customHeight="1">
      <c r="O10134" s="5" t="s">
        <v>355</v>
      </c>
      <c r="P10134" s="5" t="s">
        <v>355</v>
      </c>
      <c r="Q10134" s="5" t="s">
        <v>355</v>
      </c>
    </row>
    <row r="10135" ht="16.5" customHeight="1">
      <c r="O10135" s="5" t="s">
        <v>355</v>
      </c>
      <c r="P10135" s="5" t="s">
        <v>355</v>
      </c>
      <c r="Q10135" s="5" t="s">
        <v>355</v>
      </c>
    </row>
    <row r="10136" ht="16.5" customHeight="1">
      <c r="O10136" s="5" t="s">
        <v>355</v>
      </c>
      <c r="P10136" s="5" t="s">
        <v>355</v>
      </c>
      <c r="Q10136" s="5" t="s">
        <v>355</v>
      </c>
    </row>
    <row r="10137" ht="16.5" customHeight="1">
      <c r="O10137" s="5" t="s">
        <v>355</v>
      </c>
      <c r="P10137" s="5" t="s">
        <v>355</v>
      </c>
      <c r="Q10137" s="5" t="s">
        <v>355</v>
      </c>
    </row>
    <row r="10138" ht="16.5" customHeight="1">
      <c r="O10138" s="5" t="s">
        <v>355</v>
      </c>
      <c r="P10138" s="5" t="s">
        <v>355</v>
      </c>
      <c r="Q10138" s="5" t="s">
        <v>355</v>
      </c>
    </row>
    <row r="10139" ht="16.5" customHeight="1">
      <c r="O10139" s="5" t="s">
        <v>355</v>
      </c>
      <c r="P10139" s="5" t="s">
        <v>355</v>
      </c>
      <c r="Q10139" s="5" t="s">
        <v>355</v>
      </c>
    </row>
    <row r="10140" ht="16.5" customHeight="1">
      <c r="O10140" s="5" t="s">
        <v>355</v>
      </c>
      <c r="P10140" s="5" t="s">
        <v>355</v>
      </c>
      <c r="Q10140" s="5" t="s">
        <v>355</v>
      </c>
    </row>
    <row r="10141" ht="16.5" customHeight="1">
      <c r="O10141" s="5" t="s">
        <v>355</v>
      </c>
      <c r="P10141" s="5" t="s">
        <v>355</v>
      </c>
      <c r="Q10141" s="5" t="s">
        <v>355</v>
      </c>
    </row>
    <row r="10142" ht="16.5" customHeight="1">
      <c r="O10142" s="5" t="s">
        <v>355</v>
      </c>
      <c r="P10142" s="5" t="s">
        <v>355</v>
      </c>
      <c r="Q10142" s="5" t="s">
        <v>355</v>
      </c>
    </row>
    <row r="10143" ht="16.5" customHeight="1">
      <c r="O10143" s="5" t="s">
        <v>355</v>
      </c>
      <c r="P10143" s="5" t="s">
        <v>355</v>
      </c>
      <c r="Q10143" s="5" t="s">
        <v>355</v>
      </c>
    </row>
    <row r="10144" ht="16.5" customHeight="1">
      <c r="O10144" s="5" t="s">
        <v>355</v>
      </c>
      <c r="P10144" s="5" t="s">
        <v>355</v>
      </c>
      <c r="Q10144" s="5" t="s">
        <v>355</v>
      </c>
    </row>
    <row r="10145" ht="16.5" customHeight="1">
      <c r="O10145" s="5" t="s">
        <v>355</v>
      </c>
      <c r="P10145" s="5" t="s">
        <v>355</v>
      </c>
      <c r="Q10145" s="5" t="s">
        <v>355</v>
      </c>
    </row>
    <row r="10146" ht="16.5" customHeight="1">
      <c r="O10146" s="5" t="s">
        <v>355</v>
      </c>
      <c r="P10146" s="5" t="s">
        <v>355</v>
      </c>
      <c r="Q10146" s="5" t="s">
        <v>355</v>
      </c>
    </row>
    <row r="10147" ht="16.5" customHeight="1">
      <c r="O10147" s="5" t="s">
        <v>355</v>
      </c>
      <c r="P10147" s="5" t="s">
        <v>355</v>
      </c>
      <c r="Q10147" s="5" t="s">
        <v>355</v>
      </c>
    </row>
    <row r="10148" ht="16.5" customHeight="1">
      <c r="O10148" s="5" t="s">
        <v>355</v>
      </c>
      <c r="P10148" s="5" t="s">
        <v>355</v>
      </c>
      <c r="Q10148" s="5" t="s">
        <v>355</v>
      </c>
    </row>
    <row r="10149" ht="16.5" customHeight="1">
      <c r="O10149" s="5" t="s">
        <v>355</v>
      </c>
      <c r="P10149" s="5" t="s">
        <v>355</v>
      </c>
      <c r="Q10149" s="5" t="s">
        <v>355</v>
      </c>
    </row>
    <row r="10150" ht="16.5" customHeight="1">
      <c r="O10150" s="5" t="s">
        <v>355</v>
      </c>
      <c r="P10150" s="5" t="s">
        <v>355</v>
      </c>
      <c r="Q10150" s="5" t="s">
        <v>355</v>
      </c>
    </row>
    <row r="10151" ht="16.5" customHeight="1">
      <c r="O10151" s="5" t="s">
        <v>355</v>
      </c>
      <c r="P10151" s="5" t="s">
        <v>355</v>
      </c>
      <c r="Q10151" s="5" t="s">
        <v>355</v>
      </c>
    </row>
    <row r="10152" ht="16.5" customHeight="1">
      <c r="O10152" s="5" t="s">
        <v>355</v>
      </c>
      <c r="P10152" s="5" t="s">
        <v>355</v>
      </c>
      <c r="Q10152" s="5" t="s">
        <v>355</v>
      </c>
    </row>
    <row r="10153" ht="16.5" customHeight="1">
      <c r="O10153" s="5" t="s">
        <v>355</v>
      </c>
      <c r="P10153" s="5" t="s">
        <v>355</v>
      </c>
      <c r="Q10153" s="5" t="s">
        <v>355</v>
      </c>
    </row>
    <row r="10154" ht="16.5" customHeight="1">
      <c r="O10154" s="5" t="s">
        <v>355</v>
      </c>
      <c r="P10154" s="5" t="s">
        <v>355</v>
      </c>
      <c r="Q10154" s="5" t="s">
        <v>355</v>
      </c>
    </row>
    <row r="10155" ht="16.5" customHeight="1">
      <c r="O10155" s="5" t="s">
        <v>355</v>
      </c>
      <c r="P10155" s="5" t="s">
        <v>355</v>
      </c>
      <c r="Q10155" s="5" t="s">
        <v>355</v>
      </c>
    </row>
    <row r="10156" ht="16.5" customHeight="1">
      <c r="O10156" s="5" t="s">
        <v>355</v>
      </c>
      <c r="P10156" s="5" t="s">
        <v>355</v>
      </c>
      <c r="Q10156" s="5" t="s">
        <v>355</v>
      </c>
    </row>
    <row r="10157" ht="16.5" customHeight="1">
      <c r="O10157" s="5" t="s">
        <v>355</v>
      </c>
      <c r="P10157" s="5" t="s">
        <v>355</v>
      </c>
      <c r="Q10157" s="5" t="s">
        <v>355</v>
      </c>
    </row>
    <row r="10158" ht="16.5" customHeight="1">
      <c r="O10158" s="5" t="s">
        <v>355</v>
      </c>
      <c r="P10158" s="5" t="s">
        <v>355</v>
      </c>
      <c r="Q10158" s="5" t="s">
        <v>355</v>
      </c>
    </row>
    <row r="10159" ht="16.5" customHeight="1">
      <c r="O10159" s="5" t="s">
        <v>355</v>
      </c>
      <c r="P10159" s="5" t="s">
        <v>355</v>
      </c>
      <c r="Q10159" s="5" t="s">
        <v>355</v>
      </c>
    </row>
    <row r="10160" ht="16.5" customHeight="1">
      <c r="O10160" s="5" t="s">
        <v>355</v>
      </c>
      <c r="P10160" s="5" t="s">
        <v>355</v>
      </c>
      <c r="Q10160" s="5" t="s">
        <v>355</v>
      </c>
    </row>
    <row r="10161" ht="16.5" customHeight="1">
      <c r="O10161" s="5" t="s">
        <v>355</v>
      </c>
      <c r="P10161" s="5" t="s">
        <v>355</v>
      </c>
      <c r="Q10161" s="5" t="s">
        <v>355</v>
      </c>
    </row>
    <row r="10162" ht="16.5" customHeight="1">
      <c r="O10162" s="5" t="s">
        <v>355</v>
      </c>
      <c r="P10162" s="5" t="s">
        <v>355</v>
      </c>
      <c r="Q10162" s="5" t="s">
        <v>355</v>
      </c>
    </row>
    <row r="10163" ht="16.5" customHeight="1">
      <c r="O10163" s="5" t="s">
        <v>355</v>
      </c>
      <c r="P10163" s="5" t="s">
        <v>355</v>
      </c>
      <c r="Q10163" s="5" t="s">
        <v>355</v>
      </c>
    </row>
    <row r="10164" ht="16.5" customHeight="1">
      <c r="O10164" s="5" t="s">
        <v>355</v>
      </c>
      <c r="P10164" s="5" t="s">
        <v>355</v>
      </c>
      <c r="Q10164" s="5" t="s">
        <v>355</v>
      </c>
    </row>
    <row r="10165" ht="16.5" customHeight="1">
      <c r="O10165" s="5" t="s">
        <v>355</v>
      </c>
      <c r="P10165" s="5" t="s">
        <v>355</v>
      </c>
      <c r="Q10165" s="5" t="s">
        <v>355</v>
      </c>
    </row>
    <row r="10166" ht="16.5" customHeight="1">
      <c r="O10166" s="5" t="s">
        <v>355</v>
      </c>
      <c r="P10166" s="5" t="s">
        <v>355</v>
      </c>
      <c r="Q10166" s="5" t="s">
        <v>355</v>
      </c>
    </row>
    <row r="10167" ht="16.5" customHeight="1">
      <c r="O10167" s="5" t="s">
        <v>355</v>
      </c>
      <c r="P10167" s="5" t="s">
        <v>355</v>
      </c>
      <c r="Q10167" s="5" t="s">
        <v>355</v>
      </c>
    </row>
    <row r="10168" ht="16.5" customHeight="1">
      <c r="O10168" s="5" t="s">
        <v>355</v>
      </c>
      <c r="P10168" s="5" t="s">
        <v>355</v>
      </c>
      <c r="Q10168" s="5" t="s">
        <v>355</v>
      </c>
    </row>
    <row r="10169" ht="16.5" customHeight="1">
      <c r="O10169" s="5" t="s">
        <v>355</v>
      </c>
      <c r="P10169" s="5" t="s">
        <v>355</v>
      </c>
      <c r="Q10169" s="5" t="s">
        <v>355</v>
      </c>
    </row>
    <row r="10170" ht="16.5" customHeight="1">
      <c r="O10170" s="5" t="s">
        <v>355</v>
      </c>
      <c r="P10170" s="5" t="s">
        <v>355</v>
      </c>
      <c r="Q10170" s="5" t="s">
        <v>355</v>
      </c>
    </row>
    <row r="10171" ht="16.5" customHeight="1">
      <c r="O10171" s="5" t="s">
        <v>355</v>
      </c>
      <c r="P10171" s="5" t="s">
        <v>355</v>
      </c>
      <c r="Q10171" s="5" t="s">
        <v>355</v>
      </c>
    </row>
    <row r="10172" ht="16.5" customHeight="1">
      <c r="O10172" s="5" t="s">
        <v>355</v>
      </c>
      <c r="P10172" s="5" t="s">
        <v>355</v>
      </c>
      <c r="Q10172" s="5" t="s">
        <v>355</v>
      </c>
    </row>
    <row r="10173" ht="16.5" customHeight="1">
      <c r="O10173" s="5" t="s">
        <v>355</v>
      </c>
      <c r="P10173" s="5" t="s">
        <v>355</v>
      </c>
      <c r="Q10173" s="5" t="s">
        <v>355</v>
      </c>
    </row>
    <row r="10174" ht="16.5" customHeight="1">
      <c r="O10174" s="5" t="s">
        <v>355</v>
      </c>
      <c r="P10174" s="5" t="s">
        <v>355</v>
      </c>
      <c r="Q10174" s="5" t="s">
        <v>355</v>
      </c>
    </row>
    <row r="10175" ht="16.5" customHeight="1">
      <c r="O10175" s="5" t="s">
        <v>355</v>
      </c>
      <c r="P10175" s="5" t="s">
        <v>355</v>
      </c>
      <c r="Q10175" s="5" t="s">
        <v>355</v>
      </c>
    </row>
    <row r="10176" ht="16.5" customHeight="1">
      <c r="O10176" s="5" t="s">
        <v>355</v>
      </c>
      <c r="P10176" s="5" t="s">
        <v>355</v>
      </c>
      <c r="Q10176" s="5" t="s">
        <v>355</v>
      </c>
    </row>
    <row r="10177" ht="16.5" customHeight="1">
      <c r="O10177" s="5" t="s">
        <v>355</v>
      </c>
      <c r="P10177" s="5" t="s">
        <v>355</v>
      </c>
      <c r="Q10177" s="5" t="s">
        <v>355</v>
      </c>
    </row>
    <row r="10178" ht="16.5" customHeight="1">
      <c r="O10178" s="5" t="s">
        <v>355</v>
      </c>
      <c r="P10178" s="5" t="s">
        <v>355</v>
      </c>
      <c r="Q10178" s="5" t="s">
        <v>355</v>
      </c>
    </row>
    <row r="10179" ht="16.5" customHeight="1">
      <c r="O10179" s="5" t="s">
        <v>355</v>
      </c>
      <c r="P10179" s="5" t="s">
        <v>355</v>
      </c>
      <c r="Q10179" s="5" t="s">
        <v>355</v>
      </c>
    </row>
    <row r="10180" ht="16.5" customHeight="1">
      <c r="O10180" s="5" t="s">
        <v>355</v>
      </c>
      <c r="P10180" s="5" t="s">
        <v>355</v>
      </c>
      <c r="Q10180" s="5" t="s">
        <v>355</v>
      </c>
    </row>
    <row r="10181" ht="16.5" customHeight="1">
      <c r="O10181" s="5" t="s">
        <v>355</v>
      </c>
      <c r="P10181" s="5" t="s">
        <v>355</v>
      </c>
      <c r="Q10181" s="5" t="s">
        <v>355</v>
      </c>
    </row>
    <row r="10182" ht="16.5" customHeight="1">
      <c r="O10182" s="5" t="s">
        <v>355</v>
      </c>
      <c r="P10182" s="5" t="s">
        <v>355</v>
      </c>
      <c r="Q10182" s="5" t="s">
        <v>355</v>
      </c>
    </row>
    <row r="10183" ht="16.5" customHeight="1">
      <c r="O10183" s="5" t="s">
        <v>355</v>
      </c>
      <c r="P10183" s="5" t="s">
        <v>355</v>
      </c>
      <c r="Q10183" s="5" t="s">
        <v>355</v>
      </c>
    </row>
    <row r="10184" ht="16.5" customHeight="1">
      <c r="O10184" s="5" t="s">
        <v>355</v>
      </c>
      <c r="P10184" s="5" t="s">
        <v>355</v>
      </c>
      <c r="Q10184" s="5" t="s">
        <v>355</v>
      </c>
    </row>
    <row r="10185" ht="16.5" customHeight="1">
      <c r="O10185" s="5" t="s">
        <v>355</v>
      </c>
      <c r="P10185" s="5" t="s">
        <v>355</v>
      </c>
      <c r="Q10185" s="5" t="s">
        <v>355</v>
      </c>
    </row>
    <row r="10186" ht="16.5" customHeight="1">
      <c r="O10186" s="5" t="s">
        <v>355</v>
      </c>
      <c r="P10186" s="5" t="s">
        <v>355</v>
      </c>
      <c r="Q10186" s="5" t="s">
        <v>355</v>
      </c>
    </row>
    <row r="10187" ht="16.5" customHeight="1">
      <c r="O10187" s="5" t="s">
        <v>355</v>
      </c>
      <c r="P10187" s="5" t="s">
        <v>355</v>
      </c>
      <c r="Q10187" s="5" t="s">
        <v>355</v>
      </c>
    </row>
    <row r="10188" ht="16.5" customHeight="1">
      <c r="O10188" s="5" t="s">
        <v>355</v>
      </c>
      <c r="P10188" s="5" t="s">
        <v>355</v>
      </c>
      <c r="Q10188" s="5" t="s">
        <v>355</v>
      </c>
    </row>
    <row r="10189" ht="16.5" customHeight="1">
      <c r="O10189" s="5" t="s">
        <v>355</v>
      </c>
      <c r="P10189" s="5" t="s">
        <v>355</v>
      </c>
      <c r="Q10189" s="5" t="s">
        <v>355</v>
      </c>
    </row>
    <row r="10190" ht="16.5" customHeight="1">
      <c r="O10190" s="5" t="s">
        <v>355</v>
      </c>
      <c r="P10190" s="5" t="s">
        <v>355</v>
      </c>
      <c r="Q10190" s="5" t="s">
        <v>355</v>
      </c>
    </row>
    <row r="10191" ht="16.5" customHeight="1">
      <c r="O10191" s="5" t="s">
        <v>355</v>
      </c>
      <c r="P10191" s="5" t="s">
        <v>355</v>
      </c>
      <c r="Q10191" s="5" t="s">
        <v>355</v>
      </c>
    </row>
    <row r="10192" ht="16.5" customHeight="1">
      <c r="O10192" s="5" t="s">
        <v>355</v>
      </c>
      <c r="P10192" s="5" t="s">
        <v>355</v>
      </c>
      <c r="Q10192" s="5" t="s">
        <v>355</v>
      </c>
    </row>
    <row r="10193" ht="16.5" customHeight="1">
      <c r="O10193" s="5" t="s">
        <v>355</v>
      </c>
      <c r="P10193" s="5" t="s">
        <v>355</v>
      </c>
      <c r="Q10193" s="5" t="s">
        <v>355</v>
      </c>
    </row>
    <row r="10194" ht="16.5" customHeight="1">
      <c r="O10194" s="5" t="s">
        <v>355</v>
      </c>
      <c r="P10194" s="5" t="s">
        <v>355</v>
      </c>
      <c r="Q10194" s="5" t="s">
        <v>355</v>
      </c>
    </row>
    <row r="10195" ht="16.5" customHeight="1">
      <c r="O10195" s="5" t="s">
        <v>355</v>
      </c>
      <c r="P10195" s="5" t="s">
        <v>355</v>
      </c>
      <c r="Q10195" s="5" t="s">
        <v>355</v>
      </c>
    </row>
    <row r="10196" ht="16.5" customHeight="1">
      <c r="O10196" s="5" t="s">
        <v>355</v>
      </c>
      <c r="P10196" s="5" t="s">
        <v>355</v>
      </c>
      <c r="Q10196" s="5" t="s">
        <v>355</v>
      </c>
    </row>
    <row r="10197" ht="16.5" customHeight="1">
      <c r="O10197" s="5" t="s">
        <v>355</v>
      </c>
      <c r="P10197" s="5" t="s">
        <v>355</v>
      </c>
      <c r="Q10197" s="5" t="s">
        <v>355</v>
      </c>
    </row>
    <row r="10198" ht="16.5" customHeight="1">
      <c r="O10198" s="5" t="s">
        <v>355</v>
      </c>
      <c r="P10198" s="5" t="s">
        <v>355</v>
      </c>
      <c r="Q10198" s="5" t="s">
        <v>355</v>
      </c>
    </row>
    <row r="10199" ht="16.5" customHeight="1">
      <c r="O10199" s="5" t="s">
        <v>355</v>
      </c>
      <c r="P10199" s="5" t="s">
        <v>355</v>
      </c>
      <c r="Q10199" s="5" t="s">
        <v>355</v>
      </c>
    </row>
    <row r="10200" ht="16.5" customHeight="1">
      <c r="O10200" s="5" t="s">
        <v>355</v>
      </c>
      <c r="P10200" s="5" t="s">
        <v>355</v>
      </c>
      <c r="Q10200" s="5" t="s">
        <v>355</v>
      </c>
    </row>
    <row r="10201" ht="16.5" customHeight="1">
      <c r="O10201" s="5" t="s">
        <v>355</v>
      </c>
      <c r="P10201" s="5" t="s">
        <v>355</v>
      </c>
      <c r="Q10201" s="5" t="s">
        <v>355</v>
      </c>
    </row>
    <row r="10202" ht="16.5" customHeight="1">
      <c r="O10202" s="5" t="s">
        <v>355</v>
      </c>
      <c r="P10202" s="5" t="s">
        <v>355</v>
      </c>
      <c r="Q10202" s="5" t="s">
        <v>355</v>
      </c>
    </row>
    <row r="10203" ht="16.5" customHeight="1">
      <c r="O10203" s="5" t="s">
        <v>355</v>
      </c>
      <c r="P10203" s="5" t="s">
        <v>355</v>
      </c>
      <c r="Q10203" s="5" t="s">
        <v>355</v>
      </c>
    </row>
    <row r="10204" ht="16.5" customHeight="1">
      <c r="O10204" s="5" t="s">
        <v>355</v>
      </c>
      <c r="P10204" s="5" t="s">
        <v>355</v>
      </c>
      <c r="Q10204" s="5" t="s">
        <v>355</v>
      </c>
    </row>
    <row r="10205" ht="16.5" customHeight="1">
      <c r="O10205" s="5" t="s">
        <v>355</v>
      </c>
      <c r="P10205" s="5" t="s">
        <v>355</v>
      </c>
      <c r="Q10205" s="5" t="s">
        <v>355</v>
      </c>
    </row>
    <row r="10206" ht="16.5" customHeight="1">
      <c r="O10206" s="5" t="s">
        <v>355</v>
      </c>
      <c r="P10206" s="5" t="s">
        <v>355</v>
      </c>
      <c r="Q10206" s="5" t="s">
        <v>355</v>
      </c>
    </row>
    <row r="10207" ht="16.5" customHeight="1">
      <c r="O10207" s="5" t="s">
        <v>355</v>
      </c>
      <c r="P10207" s="5" t="s">
        <v>355</v>
      </c>
      <c r="Q10207" s="5" t="s">
        <v>355</v>
      </c>
    </row>
    <row r="10208" ht="16.5" customHeight="1">
      <c r="O10208" s="5" t="s">
        <v>355</v>
      </c>
      <c r="P10208" s="5" t="s">
        <v>355</v>
      </c>
      <c r="Q10208" s="5" t="s">
        <v>355</v>
      </c>
    </row>
    <row r="10209" ht="16.5" customHeight="1">
      <c r="O10209" s="5" t="s">
        <v>355</v>
      </c>
      <c r="P10209" s="5" t="s">
        <v>355</v>
      </c>
      <c r="Q10209" s="5" t="s">
        <v>355</v>
      </c>
    </row>
    <row r="10210" ht="16.5" customHeight="1">
      <c r="O10210" s="5" t="s">
        <v>355</v>
      </c>
      <c r="P10210" s="5" t="s">
        <v>355</v>
      </c>
      <c r="Q10210" s="5" t="s">
        <v>355</v>
      </c>
    </row>
    <row r="10211" ht="16.5" customHeight="1">
      <c r="O10211" s="5" t="s">
        <v>355</v>
      </c>
      <c r="P10211" s="5" t="s">
        <v>355</v>
      </c>
      <c r="Q10211" s="5" t="s">
        <v>355</v>
      </c>
    </row>
    <row r="10212" ht="16.5" customHeight="1">
      <c r="O10212" s="5" t="s">
        <v>355</v>
      </c>
      <c r="P10212" s="5" t="s">
        <v>355</v>
      </c>
      <c r="Q10212" s="5" t="s">
        <v>355</v>
      </c>
    </row>
    <row r="10213" ht="16.5" customHeight="1">
      <c r="O10213" s="5" t="s">
        <v>355</v>
      </c>
      <c r="P10213" s="5" t="s">
        <v>355</v>
      </c>
      <c r="Q10213" s="5" t="s">
        <v>355</v>
      </c>
    </row>
    <row r="10214" ht="16.5" customHeight="1">
      <c r="O10214" s="5" t="s">
        <v>355</v>
      </c>
      <c r="P10214" s="5" t="s">
        <v>355</v>
      </c>
      <c r="Q10214" s="5" t="s">
        <v>355</v>
      </c>
    </row>
    <row r="10215" ht="16.5" customHeight="1">
      <c r="O10215" s="5" t="s">
        <v>355</v>
      </c>
      <c r="P10215" s="5" t="s">
        <v>355</v>
      </c>
      <c r="Q10215" s="5" t="s">
        <v>355</v>
      </c>
    </row>
    <row r="10216" ht="16.5" customHeight="1">
      <c r="O10216" s="5" t="s">
        <v>355</v>
      </c>
      <c r="P10216" s="5" t="s">
        <v>355</v>
      </c>
      <c r="Q10216" s="5" t="s">
        <v>355</v>
      </c>
    </row>
    <row r="10217" ht="16.5" customHeight="1">
      <c r="O10217" s="5" t="s">
        <v>355</v>
      </c>
      <c r="P10217" s="5" t="s">
        <v>355</v>
      </c>
      <c r="Q10217" s="5" t="s">
        <v>355</v>
      </c>
    </row>
    <row r="10218" ht="16.5" customHeight="1">
      <c r="O10218" s="5" t="s">
        <v>355</v>
      </c>
      <c r="P10218" s="5" t="s">
        <v>355</v>
      </c>
      <c r="Q10218" s="5" t="s">
        <v>355</v>
      </c>
    </row>
    <row r="10219" ht="16.5" customHeight="1">
      <c r="O10219" s="5" t="s">
        <v>355</v>
      </c>
      <c r="P10219" s="5" t="s">
        <v>355</v>
      </c>
      <c r="Q10219" s="5" t="s">
        <v>355</v>
      </c>
    </row>
    <row r="10220" ht="16.5" customHeight="1">
      <c r="O10220" s="5" t="s">
        <v>355</v>
      </c>
      <c r="P10220" s="5" t="s">
        <v>355</v>
      </c>
      <c r="Q10220" s="5" t="s">
        <v>355</v>
      </c>
    </row>
    <row r="10221" ht="16.5" customHeight="1">
      <c r="O10221" s="5" t="s">
        <v>355</v>
      </c>
      <c r="P10221" s="5" t="s">
        <v>355</v>
      </c>
      <c r="Q10221" s="5" t="s">
        <v>355</v>
      </c>
    </row>
    <row r="10222" ht="16.5" customHeight="1">
      <c r="O10222" s="5" t="s">
        <v>355</v>
      </c>
      <c r="P10222" s="5" t="s">
        <v>355</v>
      </c>
      <c r="Q10222" s="5" t="s">
        <v>355</v>
      </c>
    </row>
    <row r="10223" ht="16.5" customHeight="1">
      <c r="O10223" s="5" t="s">
        <v>355</v>
      </c>
      <c r="P10223" s="5" t="s">
        <v>355</v>
      </c>
      <c r="Q10223" s="5" t="s">
        <v>355</v>
      </c>
    </row>
    <row r="10224" ht="16.5" customHeight="1">
      <c r="O10224" s="5" t="s">
        <v>355</v>
      </c>
      <c r="P10224" s="5" t="s">
        <v>355</v>
      </c>
      <c r="Q10224" s="5" t="s">
        <v>355</v>
      </c>
    </row>
    <row r="10225" ht="16.5" customHeight="1">
      <c r="O10225" s="5" t="s">
        <v>355</v>
      </c>
      <c r="P10225" s="5" t="s">
        <v>355</v>
      </c>
      <c r="Q10225" s="5" t="s">
        <v>355</v>
      </c>
    </row>
    <row r="10226" ht="16.5" customHeight="1">
      <c r="O10226" s="5" t="s">
        <v>355</v>
      </c>
      <c r="P10226" s="5" t="s">
        <v>355</v>
      </c>
      <c r="Q10226" s="5" t="s">
        <v>355</v>
      </c>
    </row>
    <row r="10227" ht="16.5" customHeight="1">
      <c r="O10227" s="5" t="s">
        <v>355</v>
      </c>
      <c r="P10227" s="5" t="s">
        <v>355</v>
      </c>
      <c r="Q10227" s="5" t="s">
        <v>355</v>
      </c>
    </row>
    <row r="10228" ht="16.5" customHeight="1">
      <c r="O10228" s="5" t="s">
        <v>355</v>
      </c>
      <c r="P10228" s="5" t="s">
        <v>355</v>
      </c>
      <c r="Q10228" s="5" t="s">
        <v>355</v>
      </c>
    </row>
    <row r="10229" ht="16.5" customHeight="1">
      <c r="O10229" s="5" t="s">
        <v>355</v>
      </c>
      <c r="P10229" s="5" t="s">
        <v>355</v>
      </c>
      <c r="Q10229" s="5" t="s">
        <v>355</v>
      </c>
    </row>
    <row r="10230" ht="16.5" customHeight="1">
      <c r="O10230" s="5" t="s">
        <v>355</v>
      </c>
      <c r="P10230" s="5" t="s">
        <v>355</v>
      </c>
      <c r="Q10230" s="5" t="s">
        <v>355</v>
      </c>
    </row>
    <row r="10231" ht="16.5" customHeight="1">
      <c r="O10231" s="5" t="s">
        <v>355</v>
      </c>
      <c r="P10231" s="5" t="s">
        <v>355</v>
      </c>
      <c r="Q10231" s="5" t="s">
        <v>355</v>
      </c>
    </row>
    <row r="10232" ht="16.5" customHeight="1">
      <c r="O10232" s="5" t="s">
        <v>355</v>
      </c>
      <c r="P10232" s="5" t="s">
        <v>355</v>
      </c>
      <c r="Q10232" s="5" t="s">
        <v>355</v>
      </c>
    </row>
    <row r="10233" ht="16.5" customHeight="1">
      <c r="O10233" s="5" t="s">
        <v>355</v>
      </c>
      <c r="P10233" s="5" t="s">
        <v>355</v>
      </c>
      <c r="Q10233" s="5" t="s">
        <v>355</v>
      </c>
    </row>
    <row r="10234" ht="16.5" customHeight="1">
      <c r="O10234" s="5" t="s">
        <v>355</v>
      </c>
      <c r="P10234" s="5" t="s">
        <v>355</v>
      </c>
      <c r="Q10234" s="5" t="s">
        <v>355</v>
      </c>
    </row>
    <row r="10235" ht="16.5" customHeight="1">
      <c r="O10235" s="5" t="s">
        <v>355</v>
      </c>
      <c r="P10235" s="5" t="s">
        <v>355</v>
      </c>
      <c r="Q10235" s="5" t="s">
        <v>355</v>
      </c>
    </row>
    <row r="10236" ht="16.5" customHeight="1">
      <c r="O10236" s="5" t="s">
        <v>355</v>
      </c>
      <c r="P10236" s="5" t="s">
        <v>355</v>
      </c>
      <c r="Q10236" s="5" t="s">
        <v>355</v>
      </c>
    </row>
    <row r="10237" ht="16.5" customHeight="1">
      <c r="O10237" s="5" t="s">
        <v>355</v>
      </c>
      <c r="P10237" s="5" t="s">
        <v>355</v>
      </c>
      <c r="Q10237" s="5" t="s">
        <v>355</v>
      </c>
    </row>
    <row r="10238" ht="16.5" customHeight="1">
      <c r="O10238" s="5" t="s">
        <v>355</v>
      </c>
      <c r="P10238" s="5" t="s">
        <v>355</v>
      </c>
      <c r="Q10238" s="5" t="s">
        <v>355</v>
      </c>
    </row>
    <row r="10239" ht="16.5" customHeight="1">
      <c r="O10239" s="5" t="s">
        <v>355</v>
      </c>
      <c r="P10239" s="5" t="s">
        <v>355</v>
      </c>
      <c r="Q10239" s="5" t="s">
        <v>355</v>
      </c>
    </row>
    <row r="10240" ht="16.5" customHeight="1">
      <c r="O10240" s="5" t="s">
        <v>355</v>
      </c>
      <c r="P10240" s="5" t="s">
        <v>355</v>
      </c>
      <c r="Q10240" s="5" t="s">
        <v>355</v>
      </c>
    </row>
    <row r="10241" ht="16.5" customHeight="1">
      <c r="O10241" s="5" t="s">
        <v>355</v>
      </c>
      <c r="P10241" s="5" t="s">
        <v>355</v>
      </c>
      <c r="Q10241" s="5" t="s">
        <v>355</v>
      </c>
    </row>
    <row r="10242" ht="16.5" customHeight="1">
      <c r="O10242" s="5" t="s">
        <v>355</v>
      </c>
      <c r="P10242" s="5" t="s">
        <v>355</v>
      </c>
      <c r="Q10242" s="5" t="s">
        <v>355</v>
      </c>
    </row>
    <row r="10243" ht="16.5" customHeight="1">
      <c r="O10243" s="5" t="s">
        <v>355</v>
      </c>
      <c r="P10243" s="5" t="s">
        <v>355</v>
      </c>
      <c r="Q10243" s="5" t="s">
        <v>355</v>
      </c>
    </row>
    <row r="10244" ht="16.5" customHeight="1">
      <c r="O10244" s="5" t="s">
        <v>355</v>
      </c>
      <c r="P10244" s="5" t="s">
        <v>355</v>
      </c>
      <c r="Q10244" s="5" t="s">
        <v>355</v>
      </c>
    </row>
    <row r="10245" ht="16.5" customHeight="1">
      <c r="O10245" s="5" t="s">
        <v>355</v>
      </c>
      <c r="P10245" s="5" t="s">
        <v>355</v>
      </c>
      <c r="Q10245" s="5" t="s">
        <v>355</v>
      </c>
    </row>
    <row r="10246" ht="16.5" customHeight="1">
      <c r="O10246" s="5" t="s">
        <v>355</v>
      </c>
      <c r="P10246" s="5" t="s">
        <v>355</v>
      </c>
      <c r="Q10246" s="5" t="s">
        <v>355</v>
      </c>
    </row>
    <row r="10247" ht="16.5" customHeight="1">
      <c r="O10247" s="5" t="s">
        <v>355</v>
      </c>
      <c r="P10247" s="5" t="s">
        <v>355</v>
      </c>
      <c r="Q10247" s="5" t="s">
        <v>355</v>
      </c>
    </row>
    <row r="10248" ht="16.5" customHeight="1">
      <c r="O10248" s="5" t="s">
        <v>355</v>
      </c>
      <c r="P10248" s="5" t="s">
        <v>355</v>
      </c>
      <c r="Q10248" s="5" t="s">
        <v>355</v>
      </c>
    </row>
    <row r="10249" ht="16.5" customHeight="1">
      <c r="O10249" s="5" t="s">
        <v>355</v>
      </c>
      <c r="P10249" s="5" t="s">
        <v>355</v>
      </c>
      <c r="Q10249" s="5" t="s">
        <v>355</v>
      </c>
    </row>
    <row r="10250" ht="16.5" customHeight="1">
      <c r="O10250" s="5" t="s">
        <v>355</v>
      </c>
      <c r="P10250" s="5" t="s">
        <v>355</v>
      </c>
      <c r="Q10250" s="5" t="s">
        <v>355</v>
      </c>
    </row>
    <row r="10251" ht="16.5" customHeight="1">
      <c r="O10251" s="5" t="s">
        <v>355</v>
      </c>
      <c r="P10251" s="5" t="s">
        <v>355</v>
      </c>
      <c r="Q10251" s="5" t="s">
        <v>355</v>
      </c>
    </row>
    <row r="10252" ht="16.5" customHeight="1">
      <c r="O10252" s="5" t="s">
        <v>355</v>
      </c>
      <c r="P10252" s="5" t="s">
        <v>355</v>
      </c>
      <c r="Q10252" s="5" t="s">
        <v>355</v>
      </c>
    </row>
    <row r="10253" ht="16.5" customHeight="1">
      <c r="O10253" s="5" t="s">
        <v>355</v>
      </c>
      <c r="P10253" s="5" t="s">
        <v>355</v>
      </c>
      <c r="Q10253" s="5" t="s">
        <v>355</v>
      </c>
    </row>
    <row r="10254" ht="16.5" customHeight="1">
      <c r="O10254" s="5" t="s">
        <v>355</v>
      </c>
      <c r="P10254" s="5" t="s">
        <v>355</v>
      </c>
      <c r="Q10254" s="5" t="s">
        <v>355</v>
      </c>
    </row>
    <row r="10255" ht="16.5" customHeight="1">
      <c r="O10255" s="5" t="s">
        <v>355</v>
      </c>
      <c r="P10255" s="5" t="s">
        <v>355</v>
      </c>
      <c r="Q10255" s="5" t="s">
        <v>355</v>
      </c>
    </row>
    <row r="10256" ht="16.5" customHeight="1">
      <c r="O10256" s="5" t="s">
        <v>355</v>
      </c>
      <c r="P10256" s="5" t="s">
        <v>355</v>
      </c>
      <c r="Q10256" s="5" t="s">
        <v>355</v>
      </c>
    </row>
    <row r="10257" ht="16.5" customHeight="1">
      <c r="O10257" s="5" t="s">
        <v>355</v>
      </c>
      <c r="P10257" s="5" t="s">
        <v>355</v>
      </c>
      <c r="Q10257" s="5" t="s">
        <v>355</v>
      </c>
    </row>
    <row r="10258" ht="16.5" customHeight="1">
      <c r="O10258" s="5" t="s">
        <v>355</v>
      </c>
      <c r="P10258" s="5" t="s">
        <v>355</v>
      </c>
      <c r="Q10258" s="5" t="s">
        <v>355</v>
      </c>
    </row>
    <row r="10259" ht="16.5" customHeight="1">
      <c r="O10259" s="5" t="s">
        <v>355</v>
      </c>
      <c r="P10259" s="5" t="s">
        <v>355</v>
      </c>
      <c r="Q10259" s="5" t="s">
        <v>355</v>
      </c>
    </row>
    <row r="10260" ht="16.5" customHeight="1">
      <c r="O10260" s="5" t="s">
        <v>355</v>
      </c>
      <c r="P10260" s="5" t="s">
        <v>355</v>
      </c>
      <c r="Q10260" s="5" t="s">
        <v>355</v>
      </c>
    </row>
    <row r="10261" ht="16.5" customHeight="1">
      <c r="O10261" s="5" t="s">
        <v>355</v>
      </c>
      <c r="P10261" s="5" t="s">
        <v>355</v>
      </c>
      <c r="Q10261" s="5" t="s">
        <v>355</v>
      </c>
    </row>
    <row r="10262" ht="16.5" customHeight="1">
      <c r="O10262" s="5" t="s">
        <v>355</v>
      </c>
      <c r="P10262" s="5" t="s">
        <v>355</v>
      </c>
      <c r="Q10262" s="5" t="s">
        <v>355</v>
      </c>
    </row>
    <row r="10263" ht="16.5" customHeight="1">
      <c r="O10263" s="5" t="s">
        <v>355</v>
      </c>
      <c r="P10263" s="5" t="s">
        <v>355</v>
      </c>
      <c r="Q10263" s="5" t="s">
        <v>355</v>
      </c>
    </row>
    <row r="10264" ht="16.5" customHeight="1">
      <c r="O10264" s="5" t="s">
        <v>355</v>
      </c>
      <c r="P10264" s="5" t="s">
        <v>355</v>
      </c>
      <c r="Q10264" s="5" t="s">
        <v>355</v>
      </c>
    </row>
    <row r="10265" ht="16.5" customHeight="1">
      <c r="O10265" s="5" t="s">
        <v>355</v>
      </c>
      <c r="P10265" s="5" t="s">
        <v>355</v>
      </c>
      <c r="Q10265" s="5" t="s">
        <v>355</v>
      </c>
    </row>
    <row r="10266" ht="16.5" customHeight="1">
      <c r="O10266" s="5" t="s">
        <v>355</v>
      </c>
      <c r="P10266" s="5" t="s">
        <v>355</v>
      </c>
      <c r="Q10266" s="5" t="s">
        <v>355</v>
      </c>
    </row>
    <row r="10267" ht="16.5" customHeight="1">
      <c r="O10267" s="5" t="s">
        <v>355</v>
      </c>
      <c r="P10267" s="5" t="s">
        <v>355</v>
      </c>
      <c r="Q10267" s="5" t="s">
        <v>355</v>
      </c>
    </row>
    <row r="10268" ht="16.5" customHeight="1">
      <c r="O10268" s="5" t="s">
        <v>355</v>
      </c>
      <c r="P10268" s="5" t="s">
        <v>355</v>
      </c>
      <c r="Q10268" s="5" t="s">
        <v>355</v>
      </c>
    </row>
    <row r="10269" ht="16.5" customHeight="1">
      <c r="O10269" s="5" t="s">
        <v>355</v>
      </c>
      <c r="P10269" s="5" t="s">
        <v>355</v>
      </c>
      <c r="Q10269" s="5" t="s">
        <v>355</v>
      </c>
    </row>
    <row r="10270" ht="16.5" customHeight="1">
      <c r="O10270" s="5" t="s">
        <v>355</v>
      </c>
      <c r="P10270" s="5" t="s">
        <v>355</v>
      </c>
      <c r="Q10270" s="5" t="s">
        <v>355</v>
      </c>
    </row>
    <row r="10271" ht="16.5" customHeight="1">
      <c r="O10271" s="5" t="s">
        <v>355</v>
      </c>
      <c r="P10271" s="5" t="s">
        <v>355</v>
      </c>
      <c r="Q10271" s="5" t="s">
        <v>355</v>
      </c>
    </row>
    <row r="10272" ht="16.5" customHeight="1">
      <c r="O10272" s="5" t="s">
        <v>355</v>
      </c>
      <c r="P10272" s="5" t="s">
        <v>355</v>
      </c>
      <c r="Q10272" s="5" t="s">
        <v>355</v>
      </c>
    </row>
    <row r="10273" ht="16.5" customHeight="1">
      <c r="O10273" s="5" t="s">
        <v>355</v>
      </c>
      <c r="P10273" s="5" t="s">
        <v>355</v>
      </c>
      <c r="Q10273" s="5" t="s">
        <v>355</v>
      </c>
    </row>
    <row r="10274" ht="16.5" customHeight="1">
      <c r="O10274" s="5" t="s">
        <v>355</v>
      </c>
      <c r="P10274" s="5" t="s">
        <v>355</v>
      </c>
      <c r="Q10274" s="5" t="s">
        <v>355</v>
      </c>
    </row>
    <row r="10275" ht="16.5" customHeight="1">
      <c r="O10275" s="5" t="s">
        <v>355</v>
      </c>
      <c r="P10275" s="5" t="s">
        <v>355</v>
      </c>
      <c r="Q10275" s="5" t="s">
        <v>355</v>
      </c>
    </row>
    <row r="10276" ht="16.5" customHeight="1">
      <c r="O10276" s="5" t="s">
        <v>355</v>
      </c>
      <c r="P10276" s="5" t="s">
        <v>355</v>
      </c>
      <c r="Q10276" s="5" t="s">
        <v>355</v>
      </c>
    </row>
    <row r="10277" ht="16.5" customHeight="1">
      <c r="O10277" s="5" t="s">
        <v>355</v>
      </c>
      <c r="P10277" s="5" t="s">
        <v>355</v>
      </c>
      <c r="Q10277" s="5" t="s">
        <v>355</v>
      </c>
    </row>
    <row r="10278" ht="16.5" customHeight="1">
      <c r="O10278" s="5" t="s">
        <v>355</v>
      </c>
      <c r="P10278" s="5" t="s">
        <v>355</v>
      </c>
      <c r="Q10278" s="5" t="s">
        <v>355</v>
      </c>
    </row>
    <row r="10279" ht="16.5" customHeight="1">
      <c r="O10279" s="5" t="s">
        <v>355</v>
      </c>
      <c r="P10279" s="5" t="s">
        <v>355</v>
      </c>
      <c r="Q10279" s="5" t="s">
        <v>355</v>
      </c>
    </row>
    <row r="10280" ht="16.5" customHeight="1">
      <c r="O10280" s="5" t="s">
        <v>355</v>
      </c>
      <c r="P10280" s="5" t="s">
        <v>355</v>
      </c>
      <c r="Q10280" s="5" t="s">
        <v>355</v>
      </c>
    </row>
    <row r="10281" ht="16.5" customHeight="1">
      <c r="O10281" s="5" t="s">
        <v>355</v>
      </c>
      <c r="P10281" s="5" t="s">
        <v>355</v>
      </c>
      <c r="Q10281" s="5" t="s">
        <v>355</v>
      </c>
    </row>
    <row r="10282" ht="16.5" customHeight="1">
      <c r="O10282" s="5" t="s">
        <v>355</v>
      </c>
      <c r="P10282" s="5" t="s">
        <v>355</v>
      </c>
      <c r="Q10282" s="5" t="s">
        <v>355</v>
      </c>
    </row>
    <row r="10283" ht="16.5" customHeight="1">
      <c r="O10283" s="5" t="s">
        <v>355</v>
      </c>
      <c r="P10283" s="5" t="s">
        <v>355</v>
      </c>
      <c r="Q10283" s="5" t="s">
        <v>355</v>
      </c>
    </row>
    <row r="10284" ht="16.5" customHeight="1">
      <c r="O10284" s="5" t="s">
        <v>355</v>
      </c>
      <c r="P10284" s="5" t="s">
        <v>355</v>
      </c>
      <c r="Q10284" s="5" t="s">
        <v>355</v>
      </c>
    </row>
    <row r="10285" ht="16.5" customHeight="1">
      <c r="O10285" s="5" t="s">
        <v>355</v>
      </c>
      <c r="P10285" s="5" t="s">
        <v>355</v>
      </c>
      <c r="Q10285" s="5" t="s">
        <v>355</v>
      </c>
    </row>
    <row r="10286" ht="16.5" customHeight="1">
      <c r="O10286" s="5" t="s">
        <v>355</v>
      </c>
      <c r="P10286" s="5" t="s">
        <v>355</v>
      </c>
      <c r="Q10286" s="5" t="s">
        <v>355</v>
      </c>
    </row>
    <row r="10287" ht="16.5" customHeight="1">
      <c r="O10287" s="5" t="s">
        <v>355</v>
      </c>
      <c r="P10287" s="5" t="s">
        <v>355</v>
      </c>
      <c r="Q10287" s="5" t="s">
        <v>355</v>
      </c>
    </row>
    <row r="10288" ht="16.5" customHeight="1">
      <c r="O10288" s="5" t="s">
        <v>355</v>
      </c>
      <c r="P10288" s="5" t="s">
        <v>355</v>
      </c>
      <c r="Q10288" s="5" t="s">
        <v>355</v>
      </c>
    </row>
    <row r="10289" ht="16.5" customHeight="1">
      <c r="O10289" s="5" t="s">
        <v>355</v>
      </c>
      <c r="P10289" s="5" t="s">
        <v>355</v>
      </c>
      <c r="Q10289" s="5" t="s">
        <v>355</v>
      </c>
    </row>
    <row r="10290" ht="16.5" customHeight="1">
      <c r="O10290" s="5" t="s">
        <v>355</v>
      </c>
      <c r="P10290" s="5" t="s">
        <v>355</v>
      </c>
      <c r="Q10290" s="5" t="s">
        <v>355</v>
      </c>
    </row>
    <row r="10291" ht="16.5" customHeight="1">
      <c r="O10291" s="5" t="s">
        <v>355</v>
      </c>
      <c r="P10291" s="5" t="s">
        <v>355</v>
      </c>
      <c r="Q10291" s="5" t="s">
        <v>355</v>
      </c>
    </row>
    <row r="10292" ht="16.5" customHeight="1">
      <c r="O10292" s="5" t="s">
        <v>355</v>
      </c>
      <c r="P10292" s="5" t="s">
        <v>355</v>
      </c>
      <c r="Q10292" s="5" t="s">
        <v>355</v>
      </c>
    </row>
    <row r="10293" ht="16.5" customHeight="1">
      <c r="O10293" s="5" t="s">
        <v>355</v>
      </c>
      <c r="P10293" s="5" t="s">
        <v>355</v>
      </c>
      <c r="Q10293" s="5" t="s">
        <v>355</v>
      </c>
    </row>
    <row r="10294" ht="16.5" customHeight="1">
      <c r="O10294" s="5" t="s">
        <v>355</v>
      </c>
      <c r="P10294" s="5" t="s">
        <v>355</v>
      </c>
      <c r="Q10294" s="5" t="s">
        <v>355</v>
      </c>
    </row>
    <row r="10295" ht="16.5" customHeight="1">
      <c r="O10295" s="5" t="s">
        <v>355</v>
      </c>
      <c r="P10295" s="5" t="s">
        <v>355</v>
      </c>
      <c r="Q10295" s="5" t="s">
        <v>355</v>
      </c>
    </row>
    <row r="10296" ht="16.5" customHeight="1">
      <c r="O10296" s="5" t="s">
        <v>355</v>
      </c>
      <c r="P10296" s="5" t="s">
        <v>355</v>
      </c>
      <c r="Q10296" s="5" t="s">
        <v>355</v>
      </c>
    </row>
    <row r="10297" ht="16.5" customHeight="1">
      <c r="O10297" s="5" t="s">
        <v>355</v>
      </c>
      <c r="P10297" s="5" t="s">
        <v>355</v>
      </c>
      <c r="Q10297" s="5" t="s">
        <v>355</v>
      </c>
    </row>
    <row r="10298" ht="16.5" customHeight="1">
      <c r="O10298" s="5" t="s">
        <v>355</v>
      </c>
      <c r="P10298" s="5" t="s">
        <v>355</v>
      </c>
      <c r="Q10298" s="5" t="s">
        <v>355</v>
      </c>
    </row>
    <row r="10299" ht="16.5" customHeight="1">
      <c r="O10299" s="5" t="s">
        <v>355</v>
      </c>
      <c r="P10299" s="5" t="s">
        <v>355</v>
      </c>
      <c r="Q10299" s="5" t="s">
        <v>355</v>
      </c>
    </row>
    <row r="10300" ht="16.5" customHeight="1">
      <c r="O10300" s="5" t="s">
        <v>355</v>
      </c>
      <c r="P10300" s="5" t="s">
        <v>355</v>
      </c>
      <c r="Q10300" s="5" t="s">
        <v>355</v>
      </c>
    </row>
    <row r="10301" ht="16.5" customHeight="1">
      <c r="O10301" s="5" t="s">
        <v>355</v>
      </c>
      <c r="P10301" s="5" t="s">
        <v>355</v>
      </c>
      <c r="Q10301" s="5" t="s">
        <v>355</v>
      </c>
    </row>
    <row r="10302" ht="16.5" customHeight="1">
      <c r="O10302" s="5" t="s">
        <v>355</v>
      </c>
      <c r="P10302" s="5" t="s">
        <v>355</v>
      </c>
      <c r="Q10302" s="5" t="s">
        <v>355</v>
      </c>
    </row>
    <row r="10303" ht="16.5" customHeight="1">
      <c r="O10303" s="5" t="s">
        <v>355</v>
      </c>
      <c r="P10303" s="5" t="s">
        <v>355</v>
      </c>
      <c r="Q10303" s="5" t="s">
        <v>355</v>
      </c>
    </row>
    <row r="10304" ht="16.5" customHeight="1">
      <c r="O10304" s="5" t="s">
        <v>355</v>
      </c>
      <c r="P10304" s="5" t="s">
        <v>355</v>
      </c>
      <c r="Q10304" s="5" t="s">
        <v>355</v>
      </c>
    </row>
    <row r="10305" ht="16.5" customHeight="1">
      <c r="O10305" s="5" t="s">
        <v>355</v>
      </c>
      <c r="P10305" s="5" t="s">
        <v>355</v>
      </c>
      <c r="Q10305" s="5" t="s">
        <v>355</v>
      </c>
    </row>
    <row r="10306" ht="16.5" customHeight="1">
      <c r="O10306" s="5" t="s">
        <v>355</v>
      </c>
      <c r="P10306" s="5" t="s">
        <v>355</v>
      </c>
      <c r="Q10306" s="5" t="s">
        <v>355</v>
      </c>
    </row>
    <row r="10307" ht="16.5" customHeight="1">
      <c r="O10307" s="5" t="s">
        <v>355</v>
      </c>
      <c r="P10307" s="5" t="s">
        <v>355</v>
      </c>
      <c r="Q10307" s="5" t="s">
        <v>355</v>
      </c>
    </row>
    <row r="10308" ht="16.5" customHeight="1">
      <c r="O10308" s="5" t="s">
        <v>355</v>
      </c>
      <c r="P10308" s="5" t="s">
        <v>355</v>
      </c>
      <c r="Q10308" s="5" t="s">
        <v>355</v>
      </c>
    </row>
    <row r="10309" ht="16.5" customHeight="1">
      <c r="O10309" s="5" t="s">
        <v>355</v>
      </c>
      <c r="P10309" s="5" t="s">
        <v>355</v>
      </c>
      <c r="Q10309" s="5" t="s">
        <v>355</v>
      </c>
    </row>
    <row r="10310" ht="16.5" customHeight="1">
      <c r="O10310" s="5" t="s">
        <v>355</v>
      </c>
      <c r="P10310" s="5" t="s">
        <v>355</v>
      </c>
      <c r="Q10310" s="5" t="s">
        <v>355</v>
      </c>
    </row>
    <row r="10311" ht="16.5" customHeight="1">
      <c r="O10311" s="5" t="s">
        <v>355</v>
      </c>
      <c r="P10311" s="5" t="s">
        <v>355</v>
      </c>
      <c r="Q10311" s="5" t="s">
        <v>355</v>
      </c>
    </row>
    <row r="10312" ht="16.5" customHeight="1">
      <c r="O10312" s="5" t="s">
        <v>355</v>
      </c>
      <c r="P10312" s="5" t="s">
        <v>355</v>
      </c>
      <c r="Q10312" s="5" t="s">
        <v>355</v>
      </c>
    </row>
    <row r="10313" ht="16.5" customHeight="1">
      <c r="O10313" s="5" t="s">
        <v>355</v>
      </c>
      <c r="P10313" s="5" t="s">
        <v>355</v>
      </c>
      <c r="Q10313" s="5" t="s">
        <v>355</v>
      </c>
    </row>
    <row r="10314" ht="16.5" customHeight="1">
      <c r="O10314" s="5" t="s">
        <v>355</v>
      </c>
      <c r="P10314" s="5" t="s">
        <v>355</v>
      </c>
      <c r="Q10314" s="5" t="s">
        <v>355</v>
      </c>
    </row>
    <row r="10315" ht="16.5" customHeight="1">
      <c r="O10315" s="5" t="s">
        <v>355</v>
      </c>
      <c r="P10315" s="5" t="s">
        <v>355</v>
      </c>
      <c r="Q10315" s="5" t="s">
        <v>355</v>
      </c>
    </row>
    <row r="10316" ht="16.5" customHeight="1">
      <c r="O10316" s="5" t="s">
        <v>355</v>
      </c>
      <c r="P10316" s="5" t="s">
        <v>355</v>
      </c>
      <c r="Q10316" s="5" t="s">
        <v>355</v>
      </c>
    </row>
    <row r="10317" ht="16.5" customHeight="1">
      <c r="O10317" s="5" t="s">
        <v>355</v>
      </c>
      <c r="P10317" s="5" t="s">
        <v>355</v>
      </c>
      <c r="Q10317" s="5" t="s">
        <v>355</v>
      </c>
    </row>
    <row r="10318" ht="16.5" customHeight="1">
      <c r="O10318" s="5" t="s">
        <v>355</v>
      </c>
      <c r="P10318" s="5" t="s">
        <v>355</v>
      </c>
      <c r="Q10318" s="5" t="s">
        <v>355</v>
      </c>
    </row>
    <row r="10319" ht="16.5" customHeight="1">
      <c r="O10319" s="5" t="s">
        <v>355</v>
      </c>
      <c r="P10319" s="5" t="s">
        <v>355</v>
      </c>
      <c r="Q10319" s="5" t="s">
        <v>355</v>
      </c>
    </row>
    <row r="10320" ht="16.5" customHeight="1">
      <c r="O10320" s="5" t="s">
        <v>355</v>
      </c>
      <c r="P10320" s="5" t="s">
        <v>355</v>
      </c>
      <c r="Q10320" s="5" t="s">
        <v>355</v>
      </c>
    </row>
    <row r="10321" ht="16.5" customHeight="1">
      <c r="O10321" s="5" t="s">
        <v>355</v>
      </c>
      <c r="P10321" s="5" t="s">
        <v>355</v>
      </c>
      <c r="Q10321" s="5" t="s">
        <v>355</v>
      </c>
    </row>
    <row r="10322" ht="16.5" customHeight="1">
      <c r="O10322" s="5" t="s">
        <v>355</v>
      </c>
      <c r="P10322" s="5" t="s">
        <v>355</v>
      </c>
      <c r="Q10322" s="5" t="s">
        <v>355</v>
      </c>
    </row>
    <row r="10323" ht="16.5" customHeight="1">
      <c r="O10323" s="5" t="s">
        <v>355</v>
      </c>
      <c r="P10323" s="5" t="s">
        <v>355</v>
      </c>
      <c r="Q10323" s="5" t="s">
        <v>355</v>
      </c>
    </row>
    <row r="10324" ht="16.5" customHeight="1">
      <c r="O10324" s="5" t="s">
        <v>355</v>
      </c>
      <c r="P10324" s="5" t="s">
        <v>355</v>
      </c>
      <c r="Q10324" s="5" t="s">
        <v>355</v>
      </c>
    </row>
    <row r="10325" ht="16.5" customHeight="1">
      <c r="O10325" s="5" t="s">
        <v>355</v>
      </c>
      <c r="P10325" s="5" t="s">
        <v>355</v>
      </c>
      <c r="Q10325" s="5" t="s">
        <v>355</v>
      </c>
    </row>
    <row r="10326" ht="16.5" customHeight="1">
      <c r="O10326" s="5" t="s">
        <v>355</v>
      </c>
      <c r="P10326" s="5" t="s">
        <v>355</v>
      </c>
      <c r="Q10326" s="5" t="s">
        <v>355</v>
      </c>
    </row>
    <row r="10327" ht="16.5" customHeight="1">
      <c r="O10327" s="5" t="s">
        <v>355</v>
      </c>
      <c r="P10327" s="5" t="s">
        <v>355</v>
      </c>
      <c r="Q10327" s="5" t="s">
        <v>355</v>
      </c>
    </row>
    <row r="10328" ht="16.5" customHeight="1">
      <c r="O10328" s="5" t="s">
        <v>355</v>
      </c>
      <c r="P10328" s="5" t="s">
        <v>355</v>
      </c>
      <c r="Q10328" s="5" t="s">
        <v>355</v>
      </c>
    </row>
    <row r="10329" ht="16.5" customHeight="1">
      <c r="O10329" s="5" t="s">
        <v>355</v>
      </c>
      <c r="P10329" s="5" t="s">
        <v>355</v>
      </c>
      <c r="Q10329" s="5" t="s">
        <v>355</v>
      </c>
    </row>
    <row r="10330" ht="16.5" customHeight="1">
      <c r="O10330" s="5" t="s">
        <v>355</v>
      </c>
      <c r="P10330" s="5" t="s">
        <v>355</v>
      </c>
      <c r="Q10330" s="5" t="s">
        <v>355</v>
      </c>
    </row>
    <row r="10331" ht="16.5" customHeight="1">
      <c r="O10331" s="5" t="s">
        <v>355</v>
      </c>
      <c r="P10331" s="5" t="s">
        <v>355</v>
      </c>
      <c r="Q10331" s="5" t="s">
        <v>355</v>
      </c>
    </row>
    <row r="10332" ht="16.5" customHeight="1">
      <c r="O10332" s="5" t="s">
        <v>355</v>
      </c>
      <c r="P10332" s="5" t="s">
        <v>355</v>
      </c>
      <c r="Q10332" s="5" t="s">
        <v>355</v>
      </c>
    </row>
    <row r="10333" ht="16.5" customHeight="1">
      <c r="O10333" s="5" t="s">
        <v>355</v>
      </c>
      <c r="P10333" s="5" t="s">
        <v>355</v>
      </c>
      <c r="Q10333" s="5" t="s">
        <v>355</v>
      </c>
    </row>
    <row r="10334" ht="16.5" customHeight="1">
      <c r="O10334" s="5" t="s">
        <v>355</v>
      </c>
      <c r="P10334" s="5" t="s">
        <v>355</v>
      </c>
      <c r="Q10334" s="5" t="s">
        <v>355</v>
      </c>
    </row>
    <row r="10335" ht="16.5" customHeight="1">
      <c r="O10335" s="5" t="s">
        <v>355</v>
      </c>
      <c r="P10335" s="5" t="s">
        <v>355</v>
      </c>
      <c r="Q10335" s="5" t="s">
        <v>355</v>
      </c>
    </row>
    <row r="10336" ht="16.5" customHeight="1">
      <c r="O10336" s="5" t="s">
        <v>355</v>
      </c>
      <c r="P10336" s="5" t="s">
        <v>355</v>
      </c>
      <c r="Q10336" s="5" t="s">
        <v>355</v>
      </c>
    </row>
    <row r="10337" ht="16.5" customHeight="1">
      <c r="O10337" s="5" t="s">
        <v>355</v>
      </c>
      <c r="P10337" s="5" t="s">
        <v>355</v>
      </c>
      <c r="Q10337" s="5" t="s">
        <v>355</v>
      </c>
    </row>
    <row r="10338" ht="16.5" customHeight="1">
      <c r="O10338" s="5" t="s">
        <v>355</v>
      </c>
      <c r="P10338" s="5" t="s">
        <v>355</v>
      </c>
      <c r="Q10338" s="5" t="s">
        <v>355</v>
      </c>
    </row>
    <row r="10339" ht="16.5" customHeight="1">
      <c r="O10339" s="5" t="s">
        <v>355</v>
      </c>
      <c r="P10339" s="5" t="s">
        <v>355</v>
      </c>
      <c r="Q10339" s="5" t="s">
        <v>355</v>
      </c>
    </row>
    <row r="10340" ht="16.5" customHeight="1">
      <c r="O10340" s="5" t="s">
        <v>355</v>
      </c>
      <c r="P10340" s="5" t="s">
        <v>355</v>
      </c>
      <c r="Q10340" s="5" t="s">
        <v>355</v>
      </c>
    </row>
    <row r="10341" ht="16.5" customHeight="1">
      <c r="O10341" s="5" t="s">
        <v>355</v>
      </c>
      <c r="P10341" s="5" t="s">
        <v>355</v>
      </c>
      <c r="Q10341" s="5" t="s">
        <v>355</v>
      </c>
    </row>
    <row r="10342" ht="16.5" customHeight="1">
      <c r="O10342" s="5" t="s">
        <v>355</v>
      </c>
      <c r="P10342" s="5" t="s">
        <v>355</v>
      </c>
      <c r="Q10342" s="5" t="s">
        <v>355</v>
      </c>
    </row>
    <row r="10343" ht="16.5" customHeight="1">
      <c r="O10343" s="5" t="s">
        <v>355</v>
      </c>
      <c r="P10343" s="5" t="s">
        <v>355</v>
      </c>
      <c r="Q10343" s="5" t="s">
        <v>355</v>
      </c>
    </row>
    <row r="10344" ht="16.5" customHeight="1">
      <c r="O10344" s="5" t="s">
        <v>355</v>
      </c>
      <c r="P10344" s="5" t="s">
        <v>355</v>
      </c>
      <c r="Q10344" s="5" t="s">
        <v>355</v>
      </c>
    </row>
    <row r="10345" ht="16.5" customHeight="1">
      <c r="O10345" s="5" t="s">
        <v>355</v>
      </c>
      <c r="P10345" s="5" t="s">
        <v>355</v>
      </c>
      <c r="Q10345" s="5" t="s">
        <v>355</v>
      </c>
    </row>
    <row r="10346" ht="16.5" customHeight="1">
      <c r="O10346" s="5" t="s">
        <v>355</v>
      </c>
      <c r="P10346" s="5" t="s">
        <v>355</v>
      </c>
      <c r="Q10346" s="5" t="s">
        <v>355</v>
      </c>
    </row>
    <row r="10347" ht="16.5" customHeight="1">
      <c r="O10347" s="5" t="s">
        <v>355</v>
      </c>
      <c r="P10347" s="5" t="s">
        <v>355</v>
      </c>
      <c r="Q10347" s="5" t="s">
        <v>355</v>
      </c>
    </row>
    <row r="10348" ht="16.5" customHeight="1">
      <c r="O10348" s="5" t="s">
        <v>355</v>
      </c>
      <c r="P10348" s="5" t="s">
        <v>355</v>
      </c>
      <c r="Q10348" s="5" t="s">
        <v>355</v>
      </c>
    </row>
    <row r="10349" ht="16.5" customHeight="1">
      <c r="O10349" s="5" t="s">
        <v>355</v>
      </c>
      <c r="P10349" s="5" t="s">
        <v>355</v>
      </c>
      <c r="Q10349" s="5" t="s">
        <v>355</v>
      </c>
    </row>
    <row r="10350" ht="16.5" customHeight="1">
      <c r="O10350" s="5" t="s">
        <v>355</v>
      </c>
      <c r="P10350" s="5" t="s">
        <v>355</v>
      </c>
      <c r="Q10350" s="5" t="s">
        <v>355</v>
      </c>
    </row>
    <row r="10351" ht="16.5" customHeight="1">
      <c r="O10351" s="5" t="s">
        <v>355</v>
      </c>
      <c r="P10351" s="5" t="s">
        <v>355</v>
      </c>
      <c r="Q10351" s="5" t="s">
        <v>355</v>
      </c>
    </row>
    <row r="10352" ht="16.5" customHeight="1">
      <c r="O10352" s="5" t="s">
        <v>355</v>
      </c>
      <c r="P10352" s="5" t="s">
        <v>355</v>
      </c>
      <c r="Q10352" s="5" t="s">
        <v>355</v>
      </c>
    </row>
    <row r="10353" ht="16.5" customHeight="1">
      <c r="O10353" s="5" t="s">
        <v>355</v>
      </c>
      <c r="P10353" s="5" t="s">
        <v>355</v>
      </c>
      <c r="Q10353" s="5" t="s">
        <v>355</v>
      </c>
    </row>
    <row r="10354" ht="16.5" customHeight="1">
      <c r="O10354" s="5" t="s">
        <v>355</v>
      </c>
      <c r="P10354" s="5" t="s">
        <v>355</v>
      </c>
      <c r="Q10354" s="5" t="s">
        <v>355</v>
      </c>
    </row>
    <row r="10355" ht="16.5" customHeight="1">
      <c r="O10355" s="5" t="s">
        <v>355</v>
      </c>
      <c r="P10355" s="5" t="s">
        <v>355</v>
      </c>
      <c r="Q10355" s="5" t="s">
        <v>355</v>
      </c>
    </row>
    <row r="10356" ht="16.5" customHeight="1">
      <c r="O10356" s="5" t="s">
        <v>355</v>
      </c>
      <c r="P10356" s="5" t="s">
        <v>355</v>
      </c>
      <c r="Q10356" s="5" t="s">
        <v>355</v>
      </c>
    </row>
    <row r="10357" ht="16.5" customHeight="1">
      <c r="O10357" s="5" t="s">
        <v>355</v>
      </c>
      <c r="P10357" s="5" t="s">
        <v>355</v>
      </c>
      <c r="Q10357" s="5" t="s">
        <v>355</v>
      </c>
    </row>
    <row r="10358" ht="16.5" customHeight="1">
      <c r="O10358" s="5" t="s">
        <v>355</v>
      </c>
      <c r="P10358" s="5" t="s">
        <v>355</v>
      </c>
      <c r="Q10358" s="5" t="s">
        <v>355</v>
      </c>
    </row>
    <row r="10359" ht="16.5" customHeight="1">
      <c r="O10359" s="5" t="s">
        <v>355</v>
      </c>
      <c r="P10359" s="5" t="s">
        <v>355</v>
      </c>
      <c r="Q10359" s="5" t="s">
        <v>355</v>
      </c>
    </row>
    <row r="10360" ht="16.5" customHeight="1">
      <c r="O10360" s="5" t="s">
        <v>355</v>
      </c>
      <c r="P10360" s="5" t="s">
        <v>355</v>
      </c>
      <c r="Q10360" s="5" t="s">
        <v>355</v>
      </c>
    </row>
    <row r="10361" ht="16.5" customHeight="1">
      <c r="O10361" s="5" t="s">
        <v>355</v>
      </c>
      <c r="P10361" s="5" t="s">
        <v>355</v>
      </c>
      <c r="Q10361" s="5" t="s">
        <v>355</v>
      </c>
    </row>
    <row r="10362" ht="16.5" customHeight="1">
      <c r="O10362" s="5" t="s">
        <v>355</v>
      </c>
      <c r="P10362" s="5" t="s">
        <v>355</v>
      </c>
      <c r="Q10362" s="5" t="s">
        <v>355</v>
      </c>
    </row>
    <row r="10363" ht="16.5" customHeight="1">
      <c r="O10363" s="5" t="s">
        <v>355</v>
      </c>
      <c r="P10363" s="5" t="s">
        <v>355</v>
      </c>
      <c r="Q10363" s="5" t="s">
        <v>355</v>
      </c>
    </row>
    <row r="10364" ht="16.5" customHeight="1">
      <c r="O10364" s="5" t="s">
        <v>355</v>
      </c>
      <c r="P10364" s="5" t="s">
        <v>355</v>
      </c>
      <c r="Q10364" s="5" t="s">
        <v>355</v>
      </c>
    </row>
    <row r="10365" ht="16.5" customHeight="1">
      <c r="O10365" s="5" t="s">
        <v>355</v>
      </c>
      <c r="P10365" s="5" t="s">
        <v>355</v>
      </c>
      <c r="Q10365" s="5" t="s">
        <v>355</v>
      </c>
    </row>
    <row r="10366" ht="16.5" customHeight="1">
      <c r="O10366" s="5" t="s">
        <v>355</v>
      </c>
      <c r="P10366" s="5" t="s">
        <v>355</v>
      </c>
      <c r="Q10366" s="5" t="s">
        <v>355</v>
      </c>
    </row>
    <row r="10367" ht="16.5" customHeight="1">
      <c r="O10367" s="5" t="s">
        <v>355</v>
      </c>
      <c r="P10367" s="5" t="s">
        <v>355</v>
      </c>
      <c r="Q10367" s="5" t="s">
        <v>355</v>
      </c>
    </row>
    <row r="10368" ht="16.5" customHeight="1">
      <c r="O10368" s="5" t="s">
        <v>355</v>
      </c>
      <c r="P10368" s="5" t="s">
        <v>355</v>
      </c>
      <c r="Q10368" s="5" t="s">
        <v>355</v>
      </c>
    </row>
    <row r="10369" ht="16.5" customHeight="1">
      <c r="O10369" s="5" t="s">
        <v>355</v>
      </c>
      <c r="P10369" s="5" t="s">
        <v>355</v>
      </c>
      <c r="Q10369" s="5" t="s">
        <v>355</v>
      </c>
    </row>
    <row r="10370" ht="16.5" customHeight="1">
      <c r="O10370" s="5" t="s">
        <v>355</v>
      </c>
      <c r="P10370" s="5" t="s">
        <v>355</v>
      </c>
      <c r="Q10370" s="5" t="s">
        <v>355</v>
      </c>
    </row>
    <row r="10371" ht="16.5" customHeight="1">
      <c r="O10371" s="5" t="s">
        <v>355</v>
      </c>
      <c r="P10371" s="5" t="s">
        <v>355</v>
      </c>
      <c r="Q10371" s="5" t="s">
        <v>355</v>
      </c>
    </row>
    <row r="10372" ht="16.5" customHeight="1">
      <c r="O10372" s="5" t="s">
        <v>355</v>
      </c>
      <c r="P10372" s="5" t="s">
        <v>355</v>
      </c>
      <c r="Q10372" s="5" t="s">
        <v>355</v>
      </c>
    </row>
    <row r="10373" ht="16.5" customHeight="1">
      <c r="O10373" s="5" t="s">
        <v>355</v>
      </c>
      <c r="P10373" s="5" t="s">
        <v>355</v>
      </c>
      <c r="Q10373" s="5" t="s">
        <v>355</v>
      </c>
    </row>
    <row r="10374" ht="16.5" customHeight="1">
      <c r="O10374" s="5" t="s">
        <v>355</v>
      </c>
      <c r="P10374" s="5" t="s">
        <v>355</v>
      </c>
      <c r="Q10374" s="5" t="s">
        <v>355</v>
      </c>
    </row>
    <row r="10375" ht="16.5" customHeight="1">
      <c r="O10375" s="5" t="s">
        <v>355</v>
      </c>
      <c r="P10375" s="5" t="s">
        <v>355</v>
      </c>
      <c r="Q10375" s="5" t="s">
        <v>355</v>
      </c>
    </row>
    <row r="10376" ht="16.5" customHeight="1">
      <c r="O10376" s="5" t="s">
        <v>355</v>
      </c>
      <c r="P10376" s="5" t="s">
        <v>355</v>
      </c>
      <c r="Q10376" s="5" t="s">
        <v>355</v>
      </c>
    </row>
    <row r="10377" ht="16.5" customHeight="1">
      <c r="O10377" s="5" t="s">
        <v>355</v>
      </c>
      <c r="P10377" s="5" t="s">
        <v>355</v>
      </c>
      <c r="Q10377" s="5" t="s">
        <v>355</v>
      </c>
    </row>
    <row r="10378" ht="16.5" customHeight="1">
      <c r="O10378" s="5" t="s">
        <v>355</v>
      </c>
      <c r="P10378" s="5" t="s">
        <v>355</v>
      </c>
      <c r="Q10378" s="5" t="s">
        <v>355</v>
      </c>
    </row>
    <row r="10379" ht="16.5" customHeight="1">
      <c r="O10379" s="5" t="s">
        <v>355</v>
      </c>
      <c r="P10379" s="5" t="s">
        <v>355</v>
      </c>
      <c r="Q10379" s="5" t="s">
        <v>355</v>
      </c>
    </row>
    <row r="10380" ht="16.5" customHeight="1">
      <c r="O10380" s="5" t="s">
        <v>355</v>
      </c>
      <c r="P10380" s="5" t="s">
        <v>355</v>
      </c>
      <c r="Q10380" s="5" t="s">
        <v>355</v>
      </c>
    </row>
    <row r="10381" ht="16.5" customHeight="1">
      <c r="O10381" s="5" t="s">
        <v>355</v>
      </c>
      <c r="P10381" s="5" t="s">
        <v>355</v>
      </c>
      <c r="Q10381" s="5" t="s">
        <v>355</v>
      </c>
    </row>
    <row r="10382" ht="16.5" customHeight="1">
      <c r="O10382" s="5" t="s">
        <v>355</v>
      </c>
      <c r="P10382" s="5" t="s">
        <v>355</v>
      </c>
      <c r="Q10382" s="5" t="s">
        <v>355</v>
      </c>
    </row>
    <row r="10383" ht="16.5" customHeight="1">
      <c r="O10383" s="5" t="s">
        <v>355</v>
      </c>
      <c r="P10383" s="5" t="s">
        <v>355</v>
      </c>
      <c r="Q10383" s="5" t="s">
        <v>355</v>
      </c>
    </row>
    <row r="10384" ht="16.5" customHeight="1">
      <c r="O10384" s="5" t="s">
        <v>355</v>
      </c>
      <c r="P10384" s="5" t="s">
        <v>355</v>
      </c>
      <c r="Q10384" s="5" t="s">
        <v>355</v>
      </c>
    </row>
    <row r="10385" ht="16.5" customHeight="1">
      <c r="O10385" s="5" t="s">
        <v>355</v>
      </c>
      <c r="P10385" s="5" t="s">
        <v>355</v>
      </c>
      <c r="Q10385" s="5" t="s">
        <v>355</v>
      </c>
    </row>
    <row r="10386" ht="16.5" customHeight="1">
      <c r="O10386" s="5" t="s">
        <v>355</v>
      </c>
      <c r="P10386" s="5" t="s">
        <v>355</v>
      </c>
      <c r="Q10386" s="5" t="s">
        <v>355</v>
      </c>
    </row>
    <row r="10387" ht="16.5" customHeight="1">
      <c r="O10387" s="5" t="s">
        <v>355</v>
      </c>
      <c r="P10387" s="5" t="s">
        <v>355</v>
      </c>
      <c r="Q10387" s="5" t="s">
        <v>355</v>
      </c>
    </row>
    <row r="10388" ht="16.5" customHeight="1">
      <c r="O10388" s="5" t="s">
        <v>355</v>
      </c>
      <c r="P10388" s="5" t="s">
        <v>355</v>
      </c>
      <c r="Q10388" s="5" t="s">
        <v>355</v>
      </c>
    </row>
    <row r="10389" ht="16.5" customHeight="1">
      <c r="O10389" s="5" t="s">
        <v>355</v>
      </c>
      <c r="P10389" s="5" t="s">
        <v>355</v>
      </c>
      <c r="Q10389" s="5" t="s">
        <v>355</v>
      </c>
    </row>
    <row r="10390" ht="16.5" customHeight="1">
      <c r="O10390" s="5" t="s">
        <v>355</v>
      </c>
      <c r="P10390" s="5" t="s">
        <v>355</v>
      </c>
      <c r="Q10390" s="5" t="s">
        <v>355</v>
      </c>
    </row>
    <row r="10391" ht="16.5" customHeight="1">
      <c r="O10391" s="5" t="s">
        <v>355</v>
      </c>
      <c r="P10391" s="5" t="s">
        <v>355</v>
      </c>
      <c r="Q10391" s="5" t="s">
        <v>355</v>
      </c>
    </row>
    <row r="10392" ht="16.5" customHeight="1">
      <c r="O10392" s="5" t="s">
        <v>355</v>
      </c>
      <c r="P10392" s="5" t="s">
        <v>355</v>
      </c>
      <c r="Q10392" s="5" t="s">
        <v>355</v>
      </c>
    </row>
    <row r="10393" ht="16.5" customHeight="1">
      <c r="O10393" s="5" t="s">
        <v>355</v>
      </c>
      <c r="P10393" s="5" t="s">
        <v>355</v>
      </c>
      <c r="Q10393" s="5" t="s">
        <v>355</v>
      </c>
    </row>
    <row r="10394" ht="16.5" customHeight="1">
      <c r="O10394" s="5" t="s">
        <v>355</v>
      </c>
      <c r="P10394" s="5" t="s">
        <v>355</v>
      </c>
      <c r="Q10394" s="5" t="s">
        <v>355</v>
      </c>
    </row>
    <row r="10395" ht="16.5" customHeight="1">
      <c r="O10395" s="5" t="s">
        <v>355</v>
      </c>
      <c r="P10395" s="5" t="s">
        <v>355</v>
      </c>
      <c r="Q10395" s="5" t="s">
        <v>355</v>
      </c>
    </row>
    <row r="10396" ht="16.5" customHeight="1">
      <c r="O10396" s="5" t="s">
        <v>355</v>
      </c>
      <c r="P10396" s="5" t="s">
        <v>355</v>
      </c>
      <c r="Q10396" s="5" t="s">
        <v>355</v>
      </c>
    </row>
    <row r="10397" ht="16.5" customHeight="1">
      <c r="O10397" s="5" t="s">
        <v>355</v>
      </c>
      <c r="P10397" s="5" t="s">
        <v>355</v>
      </c>
      <c r="Q10397" s="5" t="s">
        <v>355</v>
      </c>
    </row>
    <row r="10398" ht="16.5" customHeight="1">
      <c r="O10398" s="5" t="s">
        <v>355</v>
      </c>
      <c r="P10398" s="5" t="s">
        <v>355</v>
      </c>
      <c r="Q10398" s="5" t="s">
        <v>355</v>
      </c>
    </row>
    <row r="10399" ht="16.5" customHeight="1">
      <c r="O10399" s="5" t="s">
        <v>355</v>
      </c>
      <c r="P10399" s="5" t="s">
        <v>355</v>
      </c>
      <c r="Q10399" s="5" t="s">
        <v>355</v>
      </c>
    </row>
    <row r="10400" ht="16.5" customHeight="1">
      <c r="O10400" s="5" t="s">
        <v>355</v>
      </c>
      <c r="P10400" s="5" t="s">
        <v>355</v>
      </c>
      <c r="Q10400" s="5" t="s">
        <v>355</v>
      </c>
    </row>
    <row r="10401" ht="16.5" customHeight="1">
      <c r="O10401" s="5" t="s">
        <v>355</v>
      </c>
      <c r="P10401" s="5" t="s">
        <v>355</v>
      </c>
      <c r="Q10401" s="5" t="s">
        <v>355</v>
      </c>
    </row>
    <row r="10402" ht="16.5" customHeight="1">
      <c r="O10402" s="5" t="s">
        <v>355</v>
      </c>
      <c r="P10402" s="5" t="s">
        <v>355</v>
      </c>
      <c r="Q10402" s="5" t="s">
        <v>355</v>
      </c>
    </row>
    <row r="10403" ht="16.5" customHeight="1">
      <c r="O10403" s="5" t="s">
        <v>355</v>
      </c>
      <c r="P10403" s="5" t="s">
        <v>355</v>
      </c>
      <c r="Q10403" s="5" t="s">
        <v>355</v>
      </c>
    </row>
    <row r="10404" ht="16.5" customHeight="1">
      <c r="O10404" s="5" t="s">
        <v>355</v>
      </c>
      <c r="P10404" s="5" t="s">
        <v>355</v>
      </c>
      <c r="Q10404" s="5" t="s">
        <v>355</v>
      </c>
    </row>
    <row r="10405" ht="16.5" customHeight="1">
      <c r="O10405" s="5" t="s">
        <v>355</v>
      </c>
      <c r="P10405" s="5" t="s">
        <v>355</v>
      </c>
      <c r="Q10405" s="5" t="s">
        <v>355</v>
      </c>
    </row>
    <row r="10406" ht="16.5" customHeight="1">
      <c r="O10406" s="5" t="s">
        <v>355</v>
      </c>
      <c r="P10406" s="5" t="s">
        <v>355</v>
      </c>
      <c r="Q10406" s="5" t="s">
        <v>355</v>
      </c>
    </row>
    <row r="10407" ht="16.5" customHeight="1">
      <c r="O10407" s="5" t="s">
        <v>355</v>
      </c>
      <c r="P10407" s="5" t="s">
        <v>355</v>
      </c>
      <c r="Q10407" s="5" t="s">
        <v>355</v>
      </c>
    </row>
    <row r="10408" ht="16.5" customHeight="1">
      <c r="O10408" s="5" t="s">
        <v>355</v>
      </c>
      <c r="P10408" s="5" t="s">
        <v>355</v>
      </c>
      <c r="Q10408" s="5" t="s">
        <v>355</v>
      </c>
    </row>
    <row r="10409" ht="16.5" customHeight="1">
      <c r="O10409" s="5" t="s">
        <v>355</v>
      </c>
      <c r="P10409" s="5" t="s">
        <v>355</v>
      </c>
      <c r="Q10409" s="5" t="s">
        <v>355</v>
      </c>
    </row>
    <row r="10410" ht="16.5" customHeight="1">
      <c r="O10410" s="5" t="s">
        <v>355</v>
      </c>
      <c r="P10410" s="5" t="s">
        <v>355</v>
      </c>
      <c r="Q10410" s="5" t="s">
        <v>355</v>
      </c>
    </row>
    <row r="10411" ht="16.5" customHeight="1">
      <c r="O10411" s="5" t="s">
        <v>355</v>
      </c>
      <c r="P10411" s="5" t="s">
        <v>355</v>
      </c>
      <c r="Q10411" s="5" t="s">
        <v>355</v>
      </c>
    </row>
    <row r="10412" ht="16.5" customHeight="1">
      <c r="O10412" s="5" t="s">
        <v>355</v>
      </c>
      <c r="P10412" s="5" t="s">
        <v>355</v>
      </c>
      <c r="Q10412" s="5" t="s">
        <v>355</v>
      </c>
    </row>
    <row r="10413" ht="16.5" customHeight="1">
      <c r="O10413" s="5" t="s">
        <v>355</v>
      </c>
      <c r="P10413" s="5" t="s">
        <v>355</v>
      </c>
      <c r="Q10413" s="5" t="s">
        <v>355</v>
      </c>
    </row>
    <row r="10414" ht="16.5" customHeight="1">
      <c r="O10414" s="5" t="s">
        <v>355</v>
      </c>
      <c r="P10414" s="5" t="s">
        <v>355</v>
      </c>
      <c r="Q10414" s="5" t="s">
        <v>355</v>
      </c>
    </row>
    <row r="10415" ht="16.5" customHeight="1">
      <c r="O10415" s="5" t="s">
        <v>355</v>
      </c>
      <c r="P10415" s="5" t="s">
        <v>355</v>
      </c>
      <c r="Q10415" s="5" t="s">
        <v>355</v>
      </c>
    </row>
    <row r="10416" ht="16.5" customHeight="1">
      <c r="O10416" s="5" t="s">
        <v>355</v>
      </c>
      <c r="P10416" s="5" t="s">
        <v>355</v>
      </c>
      <c r="Q10416" s="5" t="s">
        <v>355</v>
      </c>
    </row>
    <row r="10417" ht="16.5" customHeight="1">
      <c r="O10417" s="5" t="s">
        <v>355</v>
      </c>
      <c r="P10417" s="5" t="s">
        <v>355</v>
      </c>
      <c r="Q10417" s="5" t="s">
        <v>355</v>
      </c>
    </row>
    <row r="10418" ht="16.5" customHeight="1">
      <c r="O10418" s="5" t="s">
        <v>355</v>
      </c>
      <c r="P10418" s="5" t="s">
        <v>355</v>
      </c>
      <c r="Q10418" s="5" t="s">
        <v>355</v>
      </c>
    </row>
    <row r="10419" ht="16.5" customHeight="1">
      <c r="O10419" s="5" t="s">
        <v>355</v>
      </c>
      <c r="P10419" s="5" t="s">
        <v>355</v>
      </c>
      <c r="Q10419" s="5" t="s">
        <v>355</v>
      </c>
    </row>
    <row r="10420" ht="16.5" customHeight="1">
      <c r="O10420" s="5" t="s">
        <v>355</v>
      </c>
      <c r="P10420" s="5" t="s">
        <v>355</v>
      </c>
      <c r="Q10420" s="5" t="s">
        <v>355</v>
      </c>
    </row>
    <row r="10421" ht="16.5" customHeight="1">
      <c r="O10421" s="5" t="s">
        <v>355</v>
      </c>
      <c r="P10421" s="5" t="s">
        <v>355</v>
      </c>
      <c r="Q10421" s="5" t="s">
        <v>355</v>
      </c>
    </row>
    <row r="10422" ht="16.5" customHeight="1">
      <c r="O10422" s="5" t="s">
        <v>355</v>
      </c>
      <c r="P10422" s="5" t="s">
        <v>355</v>
      </c>
      <c r="Q10422" s="5" t="s">
        <v>355</v>
      </c>
    </row>
    <row r="10423" ht="16.5" customHeight="1">
      <c r="O10423" s="5" t="s">
        <v>355</v>
      </c>
      <c r="P10423" s="5" t="s">
        <v>355</v>
      </c>
      <c r="Q10423" s="5" t="s">
        <v>355</v>
      </c>
    </row>
    <row r="10424" ht="16.5" customHeight="1">
      <c r="O10424" s="5" t="s">
        <v>355</v>
      </c>
      <c r="P10424" s="5" t="s">
        <v>355</v>
      </c>
      <c r="Q10424" s="5" t="s">
        <v>355</v>
      </c>
    </row>
    <row r="10425" ht="16.5" customHeight="1">
      <c r="O10425" s="5" t="s">
        <v>355</v>
      </c>
      <c r="P10425" s="5" t="s">
        <v>355</v>
      </c>
      <c r="Q10425" s="5" t="s">
        <v>355</v>
      </c>
    </row>
    <row r="10426" ht="16.5" customHeight="1">
      <c r="O10426" s="5" t="s">
        <v>355</v>
      </c>
      <c r="P10426" s="5" t="s">
        <v>355</v>
      </c>
      <c r="Q10426" s="5" t="s">
        <v>355</v>
      </c>
    </row>
    <row r="10427" ht="16.5" customHeight="1">
      <c r="O10427" s="5" t="s">
        <v>355</v>
      </c>
      <c r="P10427" s="5" t="s">
        <v>355</v>
      </c>
      <c r="Q10427" s="5" t="s">
        <v>355</v>
      </c>
    </row>
    <row r="10428" ht="16.5" customHeight="1">
      <c r="O10428" s="5" t="s">
        <v>355</v>
      </c>
      <c r="P10428" s="5" t="s">
        <v>355</v>
      </c>
      <c r="Q10428" s="5" t="s">
        <v>355</v>
      </c>
    </row>
    <row r="10429" ht="16.5" customHeight="1">
      <c r="O10429" s="5" t="s">
        <v>355</v>
      </c>
      <c r="P10429" s="5" t="s">
        <v>355</v>
      </c>
      <c r="Q10429" s="5" t="s">
        <v>355</v>
      </c>
    </row>
    <row r="10430" ht="16.5" customHeight="1">
      <c r="O10430" s="5" t="s">
        <v>355</v>
      </c>
      <c r="P10430" s="5" t="s">
        <v>355</v>
      </c>
      <c r="Q10430" s="5" t="s">
        <v>355</v>
      </c>
    </row>
    <row r="10431" ht="16.5" customHeight="1">
      <c r="O10431" s="5" t="s">
        <v>355</v>
      </c>
      <c r="P10431" s="5" t="s">
        <v>355</v>
      </c>
      <c r="Q10431" s="5" t="s">
        <v>355</v>
      </c>
    </row>
    <row r="10432" ht="16.5" customHeight="1">
      <c r="O10432" s="5" t="s">
        <v>355</v>
      </c>
      <c r="P10432" s="5" t="s">
        <v>355</v>
      </c>
      <c r="Q10432" s="5" t="s">
        <v>355</v>
      </c>
    </row>
    <row r="10433" ht="16.5" customHeight="1">
      <c r="O10433" s="5" t="s">
        <v>355</v>
      </c>
      <c r="P10433" s="5" t="s">
        <v>355</v>
      </c>
      <c r="Q10433" s="5" t="s">
        <v>355</v>
      </c>
    </row>
    <row r="10434" ht="16.5" customHeight="1">
      <c r="O10434" s="5" t="s">
        <v>355</v>
      </c>
      <c r="P10434" s="5" t="s">
        <v>355</v>
      </c>
      <c r="Q10434" s="5" t="s">
        <v>355</v>
      </c>
    </row>
    <row r="10435" ht="16.5" customHeight="1">
      <c r="O10435" s="5" t="s">
        <v>355</v>
      </c>
      <c r="P10435" s="5" t="s">
        <v>355</v>
      </c>
      <c r="Q10435" s="5" t="s">
        <v>355</v>
      </c>
    </row>
    <row r="10436" ht="16.5" customHeight="1">
      <c r="O10436" s="5" t="s">
        <v>355</v>
      </c>
      <c r="P10436" s="5" t="s">
        <v>355</v>
      </c>
      <c r="Q10436" s="5" t="s">
        <v>355</v>
      </c>
    </row>
    <row r="10437" ht="16.5" customHeight="1">
      <c r="O10437" s="5" t="s">
        <v>355</v>
      </c>
      <c r="P10437" s="5" t="s">
        <v>355</v>
      </c>
      <c r="Q10437" s="5" t="s">
        <v>355</v>
      </c>
    </row>
    <row r="10438" ht="16.5" customHeight="1">
      <c r="O10438" s="5" t="s">
        <v>355</v>
      </c>
      <c r="P10438" s="5" t="s">
        <v>355</v>
      </c>
      <c r="Q10438" s="5" t="s">
        <v>355</v>
      </c>
    </row>
    <row r="10439" ht="16.5" customHeight="1">
      <c r="O10439" s="5" t="s">
        <v>355</v>
      </c>
      <c r="P10439" s="5" t="s">
        <v>355</v>
      </c>
      <c r="Q10439" s="5" t="s">
        <v>355</v>
      </c>
    </row>
    <row r="10440" ht="16.5" customHeight="1">
      <c r="O10440" s="5" t="s">
        <v>355</v>
      </c>
      <c r="P10440" s="5" t="s">
        <v>355</v>
      </c>
      <c r="Q10440" s="5" t="s">
        <v>355</v>
      </c>
    </row>
    <row r="10441" ht="16.5" customHeight="1">
      <c r="O10441" s="5" t="s">
        <v>355</v>
      </c>
      <c r="P10441" s="5" t="s">
        <v>355</v>
      </c>
      <c r="Q10441" s="5" t="s">
        <v>355</v>
      </c>
    </row>
    <row r="10442" ht="16.5" customHeight="1">
      <c r="O10442" s="5" t="s">
        <v>355</v>
      </c>
      <c r="P10442" s="5" t="s">
        <v>355</v>
      </c>
      <c r="Q10442" s="5" t="s">
        <v>355</v>
      </c>
    </row>
    <row r="10443" ht="16.5" customHeight="1">
      <c r="O10443" s="5" t="s">
        <v>355</v>
      </c>
      <c r="P10443" s="5" t="s">
        <v>355</v>
      </c>
      <c r="Q10443" s="5" t="s">
        <v>355</v>
      </c>
    </row>
    <row r="10444" ht="16.5" customHeight="1">
      <c r="O10444" s="5" t="s">
        <v>355</v>
      </c>
      <c r="P10444" s="5" t="s">
        <v>355</v>
      </c>
      <c r="Q10444" s="5" t="s">
        <v>355</v>
      </c>
    </row>
    <row r="10445" ht="16.5" customHeight="1">
      <c r="O10445" s="5" t="s">
        <v>355</v>
      </c>
      <c r="P10445" s="5" t="s">
        <v>355</v>
      </c>
      <c r="Q10445" s="5" t="s">
        <v>355</v>
      </c>
    </row>
    <row r="10446" ht="16.5" customHeight="1">
      <c r="O10446" s="5" t="s">
        <v>355</v>
      </c>
      <c r="P10446" s="5" t="s">
        <v>355</v>
      </c>
      <c r="Q10446" s="5" t="s">
        <v>355</v>
      </c>
    </row>
    <row r="10447" ht="16.5" customHeight="1">
      <c r="O10447" s="5" t="s">
        <v>355</v>
      </c>
      <c r="P10447" s="5" t="s">
        <v>355</v>
      </c>
      <c r="Q10447" s="5" t="s">
        <v>355</v>
      </c>
    </row>
    <row r="10448" ht="16.5" customHeight="1">
      <c r="O10448" s="5" t="s">
        <v>355</v>
      </c>
      <c r="P10448" s="5" t="s">
        <v>355</v>
      </c>
      <c r="Q10448" s="5" t="s">
        <v>355</v>
      </c>
    </row>
    <row r="10449" ht="16.5" customHeight="1">
      <c r="O10449" s="5" t="s">
        <v>355</v>
      </c>
      <c r="P10449" s="5" t="s">
        <v>355</v>
      </c>
      <c r="Q10449" s="5" t="s">
        <v>355</v>
      </c>
    </row>
    <row r="10450" ht="16.5" customHeight="1">
      <c r="O10450" s="5" t="s">
        <v>355</v>
      </c>
      <c r="P10450" s="5" t="s">
        <v>355</v>
      </c>
      <c r="Q10450" s="5" t="s">
        <v>355</v>
      </c>
    </row>
    <row r="10451" ht="16.5" customHeight="1">
      <c r="O10451" s="5" t="s">
        <v>355</v>
      </c>
      <c r="P10451" s="5" t="s">
        <v>355</v>
      </c>
      <c r="Q10451" s="5" t="s">
        <v>355</v>
      </c>
    </row>
    <row r="10452" ht="16.5" customHeight="1">
      <c r="O10452" s="5" t="s">
        <v>355</v>
      </c>
      <c r="P10452" s="5" t="s">
        <v>355</v>
      </c>
      <c r="Q10452" s="5" t="s">
        <v>355</v>
      </c>
    </row>
    <row r="10453" ht="16.5" customHeight="1">
      <c r="O10453" s="5" t="s">
        <v>355</v>
      </c>
      <c r="P10453" s="5" t="s">
        <v>355</v>
      </c>
      <c r="Q10453" s="5" t="s">
        <v>355</v>
      </c>
    </row>
    <row r="10454" ht="16.5" customHeight="1">
      <c r="O10454" s="5" t="s">
        <v>355</v>
      </c>
      <c r="P10454" s="5" t="s">
        <v>355</v>
      </c>
      <c r="Q10454" s="5" t="s">
        <v>355</v>
      </c>
    </row>
    <row r="10455" ht="16.5" customHeight="1">
      <c r="O10455" s="5" t="s">
        <v>355</v>
      </c>
      <c r="P10455" s="5" t="s">
        <v>355</v>
      </c>
      <c r="Q10455" s="5" t="s">
        <v>355</v>
      </c>
    </row>
    <row r="10456" ht="16.5" customHeight="1">
      <c r="O10456" s="5" t="s">
        <v>355</v>
      </c>
      <c r="P10456" s="5" t="s">
        <v>355</v>
      </c>
      <c r="Q10456" s="5" t="s">
        <v>355</v>
      </c>
    </row>
    <row r="10457" ht="16.5" customHeight="1">
      <c r="O10457" s="5" t="s">
        <v>355</v>
      </c>
      <c r="P10457" s="5" t="s">
        <v>355</v>
      </c>
      <c r="Q10457" s="5" t="s">
        <v>355</v>
      </c>
    </row>
    <row r="10458" ht="16.5" customHeight="1">
      <c r="O10458" s="5" t="s">
        <v>355</v>
      </c>
      <c r="P10458" s="5" t="s">
        <v>355</v>
      </c>
      <c r="Q10458" s="5" t="s">
        <v>355</v>
      </c>
    </row>
    <row r="10459" ht="16.5" customHeight="1">
      <c r="O10459" s="5" t="s">
        <v>355</v>
      </c>
      <c r="P10459" s="5" t="s">
        <v>355</v>
      </c>
      <c r="Q10459" s="5" t="s">
        <v>355</v>
      </c>
    </row>
    <row r="10460" ht="16.5" customHeight="1">
      <c r="O10460" s="5" t="s">
        <v>355</v>
      </c>
      <c r="P10460" s="5" t="s">
        <v>355</v>
      </c>
      <c r="Q10460" s="5" t="s">
        <v>355</v>
      </c>
    </row>
    <row r="10461" ht="16.5" customHeight="1">
      <c r="O10461" s="5" t="s">
        <v>355</v>
      </c>
      <c r="P10461" s="5" t="s">
        <v>355</v>
      </c>
      <c r="Q10461" s="5" t="s">
        <v>355</v>
      </c>
    </row>
    <row r="10462" ht="16.5" customHeight="1">
      <c r="O10462" s="5" t="s">
        <v>355</v>
      </c>
      <c r="P10462" s="5" t="s">
        <v>355</v>
      </c>
      <c r="Q10462" s="5" t="s">
        <v>355</v>
      </c>
    </row>
    <row r="10463" ht="16.5" customHeight="1">
      <c r="O10463" s="5" t="s">
        <v>355</v>
      </c>
      <c r="P10463" s="5" t="s">
        <v>355</v>
      </c>
      <c r="Q10463" s="5" t="s">
        <v>355</v>
      </c>
    </row>
    <row r="10464" ht="16.5" customHeight="1">
      <c r="O10464" s="5" t="s">
        <v>355</v>
      </c>
      <c r="P10464" s="5" t="s">
        <v>355</v>
      </c>
      <c r="Q10464" s="5" t="s">
        <v>355</v>
      </c>
    </row>
    <row r="10465" ht="16.5" customHeight="1">
      <c r="O10465" s="5" t="s">
        <v>355</v>
      </c>
      <c r="P10465" s="5" t="s">
        <v>355</v>
      </c>
      <c r="Q10465" s="5" t="s">
        <v>355</v>
      </c>
    </row>
    <row r="10466" ht="16.5" customHeight="1">
      <c r="O10466" s="5" t="s">
        <v>355</v>
      </c>
      <c r="P10466" s="5" t="s">
        <v>355</v>
      </c>
      <c r="Q10466" s="5" t="s">
        <v>355</v>
      </c>
    </row>
    <row r="10467" ht="16.5" customHeight="1">
      <c r="O10467" s="5" t="s">
        <v>355</v>
      </c>
      <c r="P10467" s="5" t="s">
        <v>355</v>
      </c>
      <c r="Q10467" s="5" t="s">
        <v>355</v>
      </c>
    </row>
    <row r="10468" ht="16.5" customHeight="1">
      <c r="O10468" s="5" t="s">
        <v>355</v>
      </c>
      <c r="P10468" s="5" t="s">
        <v>355</v>
      </c>
      <c r="Q10468" s="5" t="s">
        <v>355</v>
      </c>
    </row>
    <row r="10469" ht="16.5" customHeight="1">
      <c r="O10469" s="5" t="s">
        <v>355</v>
      </c>
      <c r="P10469" s="5" t="s">
        <v>355</v>
      </c>
      <c r="Q10469" s="5" t="s">
        <v>355</v>
      </c>
    </row>
    <row r="10470" ht="16.5" customHeight="1">
      <c r="O10470" s="5" t="s">
        <v>355</v>
      </c>
      <c r="P10470" s="5" t="s">
        <v>355</v>
      </c>
      <c r="Q10470" s="5" t="s">
        <v>355</v>
      </c>
    </row>
    <row r="10471" ht="16.5" customHeight="1">
      <c r="O10471" s="5" t="s">
        <v>355</v>
      </c>
      <c r="P10471" s="5" t="s">
        <v>355</v>
      </c>
      <c r="Q10471" s="5" t="s">
        <v>355</v>
      </c>
    </row>
    <row r="10472" ht="16.5" customHeight="1">
      <c r="O10472" s="5" t="s">
        <v>355</v>
      </c>
      <c r="P10472" s="5" t="s">
        <v>355</v>
      </c>
      <c r="Q10472" s="5" t="s">
        <v>355</v>
      </c>
    </row>
    <row r="10473" ht="16.5" customHeight="1">
      <c r="O10473" s="5" t="s">
        <v>355</v>
      </c>
      <c r="P10473" s="5" t="s">
        <v>355</v>
      </c>
      <c r="Q10473" s="5" t="s">
        <v>355</v>
      </c>
    </row>
    <row r="10474" ht="16.5" customHeight="1">
      <c r="O10474" s="5" t="s">
        <v>355</v>
      </c>
      <c r="P10474" s="5" t="s">
        <v>355</v>
      </c>
      <c r="Q10474" s="5" t="s">
        <v>355</v>
      </c>
    </row>
    <row r="10475" ht="16.5" customHeight="1">
      <c r="O10475" s="5" t="s">
        <v>355</v>
      </c>
      <c r="P10475" s="5" t="s">
        <v>355</v>
      </c>
      <c r="Q10475" s="5" t="s">
        <v>355</v>
      </c>
    </row>
    <row r="10476" ht="16.5" customHeight="1">
      <c r="O10476" s="5" t="s">
        <v>355</v>
      </c>
      <c r="P10476" s="5" t="s">
        <v>355</v>
      </c>
      <c r="Q10476" s="5" t="s">
        <v>355</v>
      </c>
    </row>
    <row r="10477" ht="16.5" customHeight="1">
      <c r="O10477" s="5" t="s">
        <v>355</v>
      </c>
      <c r="P10477" s="5" t="s">
        <v>355</v>
      </c>
      <c r="Q10477" s="5" t="s">
        <v>355</v>
      </c>
    </row>
    <row r="10478" ht="16.5" customHeight="1">
      <c r="O10478" s="5" t="s">
        <v>355</v>
      </c>
      <c r="P10478" s="5" t="s">
        <v>355</v>
      </c>
      <c r="Q10478" s="5" t="s">
        <v>355</v>
      </c>
    </row>
    <row r="10479" ht="16.5" customHeight="1">
      <c r="O10479" s="5" t="s">
        <v>355</v>
      </c>
      <c r="P10479" s="5" t="s">
        <v>355</v>
      </c>
      <c r="Q10479" s="5" t="s">
        <v>355</v>
      </c>
    </row>
    <row r="10480" ht="16.5" customHeight="1">
      <c r="O10480" s="5" t="s">
        <v>355</v>
      </c>
      <c r="P10480" s="5" t="s">
        <v>355</v>
      </c>
      <c r="Q10480" s="5" t="s">
        <v>355</v>
      </c>
    </row>
    <row r="10481" ht="16.5" customHeight="1">
      <c r="O10481" s="5" t="s">
        <v>355</v>
      </c>
      <c r="P10481" s="5" t="s">
        <v>355</v>
      </c>
      <c r="Q10481" s="5" t="s">
        <v>355</v>
      </c>
    </row>
    <row r="10482" ht="16.5" customHeight="1">
      <c r="O10482" s="5" t="s">
        <v>355</v>
      </c>
      <c r="P10482" s="5" t="s">
        <v>355</v>
      </c>
      <c r="Q10482" s="5" t="s">
        <v>355</v>
      </c>
    </row>
    <row r="10483" ht="16.5" customHeight="1">
      <c r="O10483" s="5" t="s">
        <v>355</v>
      </c>
      <c r="P10483" s="5" t="s">
        <v>355</v>
      </c>
      <c r="Q10483" s="5" t="s">
        <v>355</v>
      </c>
    </row>
    <row r="10484" ht="16.5" customHeight="1">
      <c r="O10484" s="5" t="s">
        <v>355</v>
      </c>
      <c r="P10484" s="5" t="s">
        <v>355</v>
      </c>
      <c r="Q10484" s="5" t="s">
        <v>355</v>
      </c>
    </row>
    <row r="10485" ht="16.5" customHeight="1">
      <c r="O10485" s="5" t="s">
        <v>355</v>
      </c>
      <c r="P10485" s="5" t="s">
        <v>355</v>
      </c>
      <c r="Q10485" s="5" t="s">
        <v>355</v>
      </c>
    </row>
    <row r="10486" ht="16.5" customHeight="1">
      <c r="O10486" s="5" t="s">
        <v>355</v>
      </c>
      <c r="P10486" s="5" t="s">
        <v>355</v>
      </c>
      <c r="Q10486" s="5" t="s">
        <v>355</v>
      </c>
    </row>
    <row r="10487" ht="16.5" customHeight="1">
      <c r="O10487" s="5" t="s">
        <v>355</v>
      </c>
      <c r="P10487" s="5" t="s">
        <v>355</v>
      </c>
      <c r="Q10487" s="5" t="s">
        <v>355</v>
      </c>
    </row>
    <row r="10488" ht="16.5" customHeight="1">
      <c r="O10488" s="5" t="s">
        <v>355</v>
      </c>
      <c r="P10488" s="5" t="s">
        <v>355</v>
      </c>
      <c r="Q10488" s="5" t="s">
        <v>355</v>
      </c>
    </row>
    <row r="10489" ht="16.5" customHeight="1">
      <c r="O10489" s="5" t="s">
        <v>355</v>
      </c>
      <c r="P10489" s="5" t="s">
        <v>355</v>
      </c>
      <c r="Q10489" s="5" t="s">
        <v>355</v>
      </c>
    </row>
    <row r="10490" ht="16.5" customHeight="1">
      <c r="O10490" s="5" t="s">
        <v>355</v>
      </c>
      <c r="P10490" s="5" t="s">
        <v>355</v>
      </c>
      <c r="Q10490" s="5" t="s">
        <v>355</v>
      </c>
    </row>
    <row r="10491" ht="16.5" customHeight="1">
      <c r="O10491" s="5" t="s">
        <v>355</v>
      </c>
      <c r="P10491" s="5" t="s">
        <v>355</v>
      </c>
      <c r="Q10491" s="5" t="s">
        <v>355</v>
      </c>
    </row>
    <row r="10492" ht="16.5" customHeight="1">
      <c r="O10492" s="5" t="s">
        <v>355</v>
      </c>
      <c r="P10492" s="5" t="s">
        <v>355</v>
      </c>
      <c r="Q10492" s="5" t="s">
        <v>355</v>
      </c>
    </row>
    <row r="10493" ht="16.5" customHeight="1">
      <c r="O10493" s="5" t="s">
        <v>355</v>
      </c>
      <c r="P10493" s="5" t="s">
        <v>355</v>
      </c>
      <c r="Q10493" s="5" t="s">
        <v>355</v>
      </c>
    </row>
    <row r="10494" ht="16.5" customHeight="1">
      <c r="O10494" s="5" t="s">
        <v>355</v>
      </c>
      <c r="P10494" s="5" t="s">
        <v>355</v>
      </c>
      <c r="Q10494" s="5" t="s">
        <v>355</v>
      </c>
    </row>
    <row r="10495" ht="16.5" customHeight="1">
      <c r="O10495" s="5" t="s">
        <v>355</v>
      </c>
      <c r="P10495" s="5" t="s">
        <v>355</v>
      </c>
      <c r="Q10495" s="5" t="s">
        <v>355</v>
      </c>
    </row>
    <row r="10496" ht="16.5" customHeight="1">
      <c r="O10496" s="5" t="s">
        <v>355</v>
      </c>
      <c r="P10496" s="5" t="s">
        <v>355</v>
      </c>
      <c r="Q10496" s="5" t="s">
        <v>355</v>
      </c>
    </row>
    <row r="10497" ht="16.5" customHeight="1">
      <c r="O10497" s="5" t="s">
        <v>355</v>
      </c>
      <c r="P10497" s="5" t="s">
        <v>355</v>
      </c>
      <c r="Q10497" s="5" t="s">
        <v>355</v>
      </c>
    </row>
    <row r="10498" ht="16.5" customHeight="1">
      <c r="O10498" s="5" t="s">
        <v>355</v>
      </c>
      <c r="P10498" s="5" t="s">
        <v>355</v>
      </c>
      <c r="Q10498" s="5" t="s">
        <v>355</v>
      </c>
    </row>
    <row r="10499" ht="16.5" customHeight="1">
      <c r="O10499" s="5" t="s">
        <v>355</v>
      </c>
      <c r="P10499" s="5" t="s">
        <v>355</v>
      </c>
      <c r="Q10499" s="5" t="s">
        <v>355</v>
      </c>
    </row>
    <row r="10500" ht="16.5" customHeight="1">
      <c r="O10500" s="5" t="s">
        <v>355</v>
      </c>
      <c r="P10500" s="5" t="s">
        <v>355</v>
      </c>
      <c r="Q10500" s="5" t="s">
        <v>355</v>
      </c>
    </row>
    <row r="10501" ht="16.5" customHeight="1">
      <c r="O10501" s="5" t="s">
        <v>355</v>
      </c>
      <c r="P10501" s="5" t="s">
        <v>355</v>
      </c>
      <c r="Q10501" s="5" t="s">
        <v>355</v>
      </c>
    </row>
    <row r="10502" ht="16.5" customHeight="1">
      <c r="O10502" s="5" t="s">
        <v>355</v>
      </c>
      <c r="P10502" s="5" t="s">
        <v>355</v>
      </c>
      <c r="Q10502" s="5" t="s">
        <v>355</v>
      </c>
    </row>
    <row r="10503" ht="16.5" customHeight="1">
      <c r="O10503" s="5" t="s">
        <v>355</v>
      </c>
      <c r="P10503" s="5" t="s">
        <v>355</v>
      </c>
      <c r="Q10503" s="5" t="s">
        <v>355</v>
      </c>
    </row>
    <row r="10504" ht="16.5" customHeight="1">
      <c r="O10504" s="5" t="s">
        <v>355</v>
      </c>
      <c r="P10504" s="5" t="s">
        <v>355</v>
      </c>
      <c r="Q10504" s="5" t="s">
        <v>355</v>
      </c>
    </row>
    <row r="10505" ht="16.5" customHeight="1">
      <c r="O10505" s="5" t="s">
        <v>355</v>
      </c>
      <c r="P10505" s="5" t="s">
        <v>355</v>
      </c>
      <c r="Q10505" s="5" t="s">
        <v>355</v>
      </c>
    </row>
    <row r="10506" ht="16.5" customHeight="1">
      <c r="O10506" s="5" t="s">
        <v>355</v>
      </c>
      <c r="P10506" s="5" t="s">
        <v>355</v>
      </c>
      <c r="Q10506" s="5" t="s">
        <v>355</v>
      </c>
    </row>
    <row r="10507" ht="16.5" customHeight="1">
      <c r="O10507" s="5" t="s">
        <v>355</v>
      </c>
      <c r="P10507" s="5" t="s">
        <v>355</v>
      </c>
      <c r="Q10507" s="5" t="s">
        <v>355</v>
      </c>
    </row>
    <row r="10508" ht="16.5" customHeight="1">
      <c r="O10508" s="5" t="s">
        <v>355</v>
      </c>
      <c r="P10508" s="5" t="s">
        <v>355</v>
      </c>
      <c r="Q10508" s="5" t="s">
        <v>355</v>
      </c>
    </row>
    <row r="10509" ht="16.5" customHeight="1">
      <c r="O10509" s="5" t="s">
        <v>355</v>
      </c>
      <c r="P10509" s="5" t="s">
        <v>355</v>
      </c>
      <c r="Q10509" s="5" t="s">
        <v>355</v>
      </c>
    </row>
    <row r="10510" ht="16.5" customHeight="1">
      <c r="O10510" s="5" t="s">
        <v>355</v>
      </c>
      <c r="P10510" s="5" t="s">
        <v>355</v>
      </c>
      <c r="Q10510" s="5" t="s">
        <v>355</v>
      </c>
    </row>
    <row r="10511" ht="16.5" customHeight="1">
      <c r="O10511" s="5" t="s">
        <v>355</v>
      </c>
      <c r="P10511" s="5" t="s">
        <v>355</v>
      </c>
      <c r="Q10511" s="5" t="s">
        <v>355</v>
      </c>
    </row>
    <row r="10512" ht="16.5" customHeight="1">
      <c r="O10512" s="5" t="s">
        <v>355</v>
      </c>
      <c r="P10512" s="5" t="s">
        <v>355</v>
      </c>
      <c r="Q10512" s="5" t="s">
        <v>355</v>
      </c>
    </row>
    <row r="10513" ht="16.5" customHeight="1">
      <c r="O10513" s="5" t="s">
        <v>355</v>
      </c>
      <c r="P10513" s="5" t="s">
        <v>355</v>
      </c>
      <c r="Q10513" s="5" t="s">
        <v>355</v>
      </c>
    </row>
    <row r="10514" ht="16.5" customHeight="1">
      <c r="O10514" s="5" t="s">
        <v>355</v>
      </c>
      <c r="P10514" s="5" t="s">
        <v>355</v>
      </c>
      <c r="Q10514" s="5" t="s">
        <v>355</v>
      </c>
    </row>
    <row r="10515" ht="16.5" customHeight="1">
      <c r="O10515" s="5" t="s">
        <v>355</v>
      </c>
      <c r="P10515" s="5" t="s">
        <v>355</v>
      </c>
      <c r="Q10515" s="5" t="s">
        <v>355</v>
      </c>
    </row>
    <row r="10516" ht="16.5" customHeight="1">
      <c r="O10516" s="5" t="s">
        <v>355</v>
      </c>
      <c r="P10516" s="5" t="s">
        <v>355</v>
      </c>
      <c r="Q10516" s="5" t="s">
        <v>355</v>
      </c>
    </row>
    <row r="10517" ht="16.5" customHeight="1">
      <c r="O10517" s="5" t="s">
        <v>355</v>
      </c>
      <c r="P10517" s="5" t="s">
        <v>355</v>
      </c>
      <c r="Q10517" s="5" t="s">
        <v>355</v>
      </c>
    </row>
    <row r="10518" ht="16.5" customHeight="1">
      <c r="O10518" s="5" t="s">
        <v>355</v>
      </c>
      <c r="P10518" s="5" t="s">
        <v>355</v>
      </c>
      <c r="Q10518" s="5" t="s">
        <v>355</v>
      </c>
    </row>
    <row r="10519" ht="16.5" customHeight="1">
      <c r="O10519" s="5" t="s">
        <v>355</v>
      </c>
      <c r="P10519" s="5" t="s">
        <v>355</v>
      </c>
      <c r="Q10519" s="5" t="s">
        <v>355</v>
      </c>
    </row>
    <row r="10520" ht="16.5" customHeight="1">
      <c r="O10520" s="5" t="s">
        <v>355</v>
      </c>
      <c r="P10520" s="5" t="s">
        <v>355</v>
      </c>
      <c r="Q10520" s="5" t="s">
        <v>355</v>
      </c>
    </row>
    <row r="10521" ht="16.5" customHeight="1">
      <c r="O10521" s="5" t="s">
        <v>355</v>
      </c>
      <c r="P10521" s="5" t="s">
        <v>355</v>
      </c>
      <c r="Q10521" s="5" t="s">
        <v>355</v>
      </c>
    </row>
    <row r="10522" ht="16.5" customHeight="1">
      <c r="O10522" s="5" t="s">
        <v>355</v>
      </c>
      <c r="P10522" s="5" t="s">
        <v>355</v>
      </c>
      <c r="Q10522" s="5" t="s">
        <v>355</v>
      </c>
    </row>
    <row r="10523" ht="16.5" customHeight="1">
      <c r="O10523" s="5" t="s">
        <v>355</v>
      </c>
      <c r="P10523" s="5" t="s">
        <v>355</v>
      </c>
      <c r="Q10523" s="5" t="s">
        <v>355</v>
      </c>
    </row>
    <row r="10524" ht="16.5" customHeight="1">
      <c r="O10524" s="5" t="s">
        <v>355</v>
      </c>
      <c r="P10524" s="5" t="s">
        <v>355</v>
      </c>
      <c r="Q10524" s="5" t="s">
        <v>355</v>
      </c>
    </row>
    <row r="10525" ht="16.5" customHeight="1">
      <c r="O10525" s="5" t="s">
        <v>355</v>
      </c>
      <c r="P10525" s="5" t="s">
        <v>355</v>
      </c>
      <c r="Q10525" s="5" t="s">
        <v>355</v>
      </c>
    </row>
    <row r="10526" ht="16.5" customHeight="1">
      <c r="O10526" s="5" t="s">
        <v>355</v>
      </c>
      <c r="P10526" s="5" t="s">
        <v>355</v>
      </c>
      <c r="Q10526" s="5" t="s">
        <v>355</v>
      </c>
    </row>
    <row r="10527" ht="16.5" customHeight="1">
      <c r="O10527" s="5" t="s">
        <v>355</v>
      </c>
      <c r="P10527" s="5" t="s">
        <v>355</v>
      </c>
      <c r="Q10527" s="5" t="s">
        <v>355</v>
      </c>
    </row>
    <row r="10528" ht="16.5" customHeight="1">
      <c r="O10528" s="5" t="s">
        <v>355</v>
      </c>
      <c r="P10528" s="5" t="s">
        <v>355</v>
      </c>
      <c r="Q10528" s="5" t="s">
        <v>355</v>
      </c>
    </row>
    <row r="10529" ht="16.5" customHeight="1">
      <c r="O10529" s="5" t="s">
        <v>355</v>
      </c>
      <c r="P10529" s="5" t="s">
        <v>355</v>
      </c>
      <c r="Q10529" s="5" t="s">
        <v>355</v>
      </c>
    </row>
    <row r="10530" ht="16.5" customHeight="1">
      <c r="O10530" s="5" t="s">
        <v>355</v>
      </c>
      <c r="P10530" s="5" t="s">
        <v>355</v>
      </c>
      <c r="Q10530" s="5" t="s">
        <v>355</v>
      </c>
    </row>
    <row r="10531" ht="16.5" customHeight="1">
      <c r="O10531" s="5" t="s">
        <v>355</v>
      </c>
      <c r="P10531" s="5" t="s">
        <v>355</v>
      </c>
      <c r="Q10531" s="5" t="s">
        <v>355</v>
      </c>
    </row>
    <row r="10532" ht="16.5" customHeight="1">
      <c r="O10532" s="5" t="s">
        <v>355</v>
      </c>
      <c r="P10532" s="5" t="s">
        <v>355</v>
      </c>
      <c r="Q10532" s="5" t="s">
        <v>355</v>
      </c>
    </row>
    <row r="10533" ht="16.5" customHeight="1">
      <c r="O10533" s="5" t="s">
        <v>355</v>
      </c>
      <c r="P10533" s="5" t="s">
        <v>355</v>
      </c>
      <c r="Q10533" s="5" t="s">
        <v>355</v>
      </c>
    </row>
    <row r="10534" ht="16.5" customHeight="1">
      <c r="O10534" s="5" t="s">
        <v>355</v>
      </c>
      <c r="P10534" s="5" t="s">
        <v>355</v>
      </c>
      <c r="Q10534" s="5" t="s">
        <v>355</v>
      </c>
    </row>
    <row r="10535" ht="16.5" customHeight="1">
      <c r="O10535" s="5" t="s">
        <v>355</v>
      </c>
      <c r="P10535" s="5" t="s">
        <v>355</v>
      </c>
      <c r="Q10535" s="5" t="s">
        <v>355</v>
      </c>
    </row>
    <row r="10536" ht="16.5" customHeight="1">
      <c r="O10536" s="5" t="s">
        <v>355</v>
      </c>
      <c r="P10536" s="5" t="s">
        <v>355</v>
      </c>
      <c r="Q10536" s="5" t="s">
        <v>355</v>
      </c>
    </row>
    <row r="10537" ht="16.5" customHeight="1">
      <c r="O10537" s="5" t="s">
        <v>355</v>
      </c>
      <c r="P10537" s="5" t="s">
        <v>355</v>
      </c>
      <c r="Q10537" s="5" t="s">
        <v>355</v>
      </c>
    </row>
    <row r="10538" ht="16.5" customHeight="1">
      <c r="O10538" s="5" t="s">
        <v>355</v>
      </c>
      <c r="P10538" s="5" t="s">
        <v>355</v>
      </c>
      <c r="Q10538" s="5" t="s">
        <v>355</v>
      </c>
    </row>
    <row r="10539" ht="16.5" customHeight="1">
      <c r="O10539" s="5" t="s">
        <v>355</v>
      </c>
      <c r="P10539" s="5" t="s">
        <v>355</v>
      </c>
      <c r="Q10539" s="5" t="s">
        <v>355</v>
      </c>
    </row>
    <row r="10540" ht="16.5" customHeight="1">
      <c r="O10540" s="5" t="s">
        <v>355</v>
      </c>
      <c r="P10540" s="5" t="s">
        <v>355</v>
      </c>
      <c r="Q10540" s="5" t="s">
        <v>355</v>
      </c>
    </row>
    <row r="10541" ht="16.5" customHeight="1">
      <c r="O10541" s="5" t="s">
        <v>355</v>
      </c>
      <c r="P10541" s="5" t="s">
        <v>355</v>
      </c>
      <c r="Q10541" s="5" t="s">
        <v>355</v>
      </c>
    </row>
    <row r="10542" ht="16.5" customHeight="1">
      <c r="O10542" s="5" t="s">
        <v>355</v>
      </c>
      <c r="P10542" s="5" t="s">
        <v>355</v>
      </c>
      <c r="Q10542" s="5" t="s">
        <v>355</v>
      </c>
    </row>
    <row r="10543" ht="16.5" customHeight="1">
      <c r="O10543" s="5" t="s">
        <v>355</v>
      </c>
      <c r="P10543" s="5" t="s">
        <v>355</v>
      </c>
      <c r="Q10543" s="5" t="s">
        <v>355</v>
      </c>
    </row>
    <row r="10544" ht="16.5" customHeight="1">
      <c r="O10544" s="5" t="s">
        <v>355</v>
      </c>
      <c r="P10544" s="5" t="s">
        <v>355</v>
      </c>
      <c r="Q10544" s="5" t="s">
        <v>355</v>
      </c>
    </row>
    <row r="10545" ht="16.5" customHeight="1">
      <c r="O10545" s="5" t="s">
        <v>355</v>
      </c>
      <c r="P10545" s="5" t="s">
        <v>355</v>
      </c>
      <c r="Q10545" s="5" t="s">
        <v>355</v>
      </c>
    </row>
    <row r="10546" ht="16.5" customHeight="1">
      <c r="O10546" s="5" t="s">
        <v>355</v>
      </c>
      <c r="P10546" s="5" t="s">
        <v>355</v>
      </c>
      <c r="Q10546" s="5" t="s">
        <v>355</v>
      </c>
    </row>
    <row r="10547" ht="16.5" customHeight="1">
      <c r="O10547" s="5" t="s">
        <v>355</v>
      </c>
      <c r="P10547" s="5" t="s">
        <v>355</v>
      </c>
      <c r="Q10547" s="5" t="s">
        <v>355</v>
      </c>
    </row>
    <row r="10548" ht="16.5" customHeight="1">
      <c r="O10548" s="5" t="s">
        <v>355</v>
      </c>
      <c r="P10548" s="5" t="s">
        <v>355</v>
      </c>
      <c r="Q10548" s="5" t="s">
        <v>355</v>
      </c>
    </row>
    <row r="10549" ht="16.5" customHeight="1">
      <c r="O10549" s="5" t="s">
        <v>355</v>
      </c>
      <c r="P10549" s="5" t="s">
        <v>355</v>
      </c>
      <c r="Q10549" s="5" t="s">
        <v>355</v>
      </c>
    </row>
    <row r="10550" ht="16.5" customHeight="1">
      <c r="O10550" s="5" t="s">
        <v>355</v>
      </c>
      <c r="P10550" s="5" t="s">
        <v>355</v>
      </c>
      <c r="Q10550" s="5" t="s">
        <v>355</v>
      </c>
    </row>
    <row r="10551" ht="16.5" customHeight="1">
      <c r="O10551" s="5" t="s">
        <v>355</v>
      </c>
      <c r="P10551" s="5" t="s">
        <v>355</v>
      </c>
      <c r="Q10551" s="5" t="s">
        <v>355</v>
      </c>
    </row>
    <row r="10552" ht="16.5" customHeight="1">
      <c r="O10552" s="5" t="s">
        <v>355</v>
      </c>
      <c r="P10552" s="5" t="s">
        <v>355</v>
      </c>
      <c r="Q10552" s="5" t="s">
        <v>355</v>
      </c>
    </row>
    <row r="10553" ht="16.5" customHeight="1">
      <c r="O10553" s="5" t="s">
        <v>355</v>
      </c>
      <c r="P10553" s="5" t="s">
        <v>355</v>
      </c>
      <c r="Q10553" s="5" t="s">
        <v>355</v>
      </c>
    </row>
    <row r="10554" ht="16.5" customHeight="1">
      <c r="O10554" s="5" t="s">
        <v>355</v>
      </c>
      <c r="P10554" s="5" t="s">
        <v>355</v>
      </c>
      <c r="Q10554" s="5" t="s">
        <v>355</v>
      </c>
    </row>
    <row r="10555" ht="16.5" customHeight="1">
      <c r="O10555" s="5" t="s">
        <v>355</v>
      </c>
      <c r="P10555" s="5" t="s">
        <v>355</v>
      </c>
      <c r="Q10555" s="5" t="s">
        <v>355</v>
      </c>
    </row>
    <row r="10556" ht="16.5" customHeight="1">
      <c r="O10556" s="5" t="s">
        <v>355</v>
      </c>
      <c r="P10556" s="5" t="s">
        <v>355</v>
      </c>
      <c r="Q10556" s="5" t="s">
        <v>355</v>
      </c>
    </row>
    <row r="10557" ht="16.5" customHeight="1">
      <c r="O10557" s="5" t="s">
        <v>355</v>
      </c>
      <c r="P10557" s="5" t="s">
        <v>355</v>
      </c>
      <c r="Q10557" s="5" t="s">
        <v>355</v>
      </c>
    </row>
    <row r="10558" ht="16.5" customHeight="1">
      <c r="O10558" s="5" t="s">
        <v>355</v>
      </c>
      <c r="P10558" s="5" t="s">
        <v>355</v>
      </c>
      <c r="Q10558" s="5" t="s">
        <v>355</v>
      </c>
    </row>
    <row r="10559" ht="16.5" customHeight="1">
      <c r="O10559" s="5" t="s">
        <v>355</v>
      </c>
      <c r="P10559" s="5" t="s">
        <v>355</v>
      </c>
      <c r="Q10559" s="5" t="s">
        <v>355</v>
      </c>
    </row>
    <row r="10560" ht="16.5" customHeight="1">
      <c r="O10560" s="5" t="s">
        <v>355</v>
      </c>
      <c r="P10560" s="5" t="s">
        <v>355</v>
      </c>
      <c r="Q10560" s="5" t="s">
        <v>355</v>
      </c>
    </row>
    <row r="10561" ht="16.5" customHeight="1">
      <c r="O10561" s="5" t="s">
        <v>355</v>
      </c>
      <c r="P10561" s="5" t="s">
        <v>355</v>
      </c>
      <c r="Q10561" s="5" t="s">
        <v>355</v>
      </c>
    </row>
    <row r="10562" ht="16.5" customHeight="1">
      <c r="O10562" s="5" t="s">
        <v>355</v>
      </c>
      <c r="P10562" s="5" t="s">
        <v>355</v>
      </c>
      <c r="Q10562" s="5" t="s">
        <v>355</v>
      </c>
    </row>
    <row r="10563" ht="16.5" customHeight="1">
      <c r="O10563" s="5" t="s">
        <v>355</v>
      </c>
      <c r="P10563" s="5" t="s">
        <v>355</v>
      </c>
      <c r="Q10563" s="5" t="s">
        <v>355</v>
      </c>
    </row>
    <row r="10564" ht="16.5" customHeight="1">
      <c r="O10564" s="5" t="s">
        <v>355</v>
      </c>
      <c r="P10564" s="5" t="s">
        <v>355</v>
      </c>
      <c r="Q10564" s="5" t="s">
        <v>355</v>
      </c>
    </row>
    <row r="10565" ht="16.5" customHeight="1">
      <c r="O10565" s="5" t="s">
        <v>355</v>
      </c>
      <c r="P10565" s="5" t="s">
        <v>355</v>
      </c>
      <c r="Q10565" s="5" t="s">
        <v>355</v>
      </c>
    </row>
    <row r="10566" ht="16.5" customHeight="1">
      <c r="O10566" s="5" t="s">
        <v>355</v>
      </c>
      <c r="P10566" s="5" t="s">
        <v>355</v>
      </c>
      <c r="Q10566" s="5" t="s">
        <v>355</v>
      </c>
    </row>
    <row r="10567" ht="16.5" customHeight="1">
      <c r="O10567" s="5" t="s">
        <v>355</v>
      </c>
      <c r="P10567" s="5" t="s">
        <v>355</v>
      </c>
      <c r="Q10567" s="5" t="s">
        <v>355</v>
      </c>
    </row>
    <row r="10568" ht="16.5" customHeight="1">
      <c r="O10568" s="5" t="s">
        <v>355</v>
      </c>
      <c r="P10568" s="5" t="s">
        <v>355</v>
      </c>
      <c r="Q10568" s="5" t="s">
        <v>355</v>
      </c>
    </row>
    <row r="10569" ht="16.5" customHeight="1">
      <c r="O10569" s="5" t="s">
        <v>355</v>
      </c>
      <c r="P10569" s="5" t="s">
        <v>355</v>
      </c>
      <c r="Q10569" s="5" t="s">
        <v>355</v>
      </c>
    </row>
    <row r="10570" ht="16.5" customHeight="1">
      <c r="O10570" s="5" t="s">
        <v>355</v>
      </c>
      <c r="P10570" s="5" t="s">
        <v>355</v>
      </c>
      <c r="Q10570" s="5" t="s">
        <v>355</v>
      </c>
    </row>
    <row r="10571" ht="16.5" customHeight="1">
      <c r="O10571" s="5" t="s">
        <v>355</v>
      </c>
      <c r="P10571" s="5" t="s">
        <v>355</v>
      </c>
      <c r="Q10571" s="5" t="s">
        <v>355</v>
      </c>
    </row>
    <row r="10572" ht="16.5" customHeight="1">
      <c r="O10572" s="5" t="s">
        <v>355</v>
      </c>
      <c r="P10572" s="5" t="s">
        <v>355</v>
      </c>
      <c r="Q10572" s="5" t="s">
        <v>355</v>
      </c>
    </row>
    <row r="10573" ht="16.5" customHeight="1">
      <c r="O10573" s="5" t="s">
        <v>355</v>
      </c>
      <c r="P10573" s="5" t="s">
        <v>355</v>
      </c>
      <c r="Q10573" s="5" t="s">
        <v>355</v>
      </c>
    </row>
    <row r="10574" ht="16.5" customHeight="1">
      <c r="O10574" s="5" t="s">
        <v>355</v>
      </c>
      <c r="P10574" s="5" t="s">
        <v>355</v>
      </c>
      <c r="Q10574" s="5" t="s">
        <v>355</v>
      </c>
    </row>
    <row r="10575" ht="16.5" customHeight="1">
      <c r="O10575" s="5" t="s">
        <v>355</v>
      </c>
      <c r="P10575" s="5" t="s">
        <v>355</v>
      </c>
      <c r="Q10575" s="5" t="s">
        <v>355</v>
      </c>
    </row>
    <row r="10576" ht="16.5" customHeight="1">
      <c r="O10576" s="5" t="s">
        <v>355</v>
      </c>
      <c r="P10576" s="5" t="s">
        <v>355</v>
      </c>
      <c r="Q10576" s="5" t="s">
        <v>355</v>
      </c>
    </row>
    <row r="10577" ht="16.5" customHeight="1">
      <c r="O10577" s="5" t="s">
        <v>355</v>
      </c>
      <c r="P10577" s="5" t="s">
        <v>355</v>
      </c>
      <c r="Q10577" s="5" t="s">
        <v>355</v>
      </c>
    </row>
    <row r="10578" ht="16.5" customHeight="1">
      <c r="O10578" s="5" t="s">
        <v>355</v>
      </c>
      <c r="P10578" s="5" t="s">
        <v>355</v>
      </c>
      <c r="Q10578" s="5" t="s">
        <v>355</v>
      </c>
    </row>
    <row r="10579" ht="16.5" customHeight="1">
      <c r="O10579" s="5" t="s">
        <v>355</v>
      </c>
      <c r="P10579" s="5" t="s">
        <v>355</v>
      </c>
      <c r="Q10579" s="5" t="s">
        <v>355</v>
      </c>
    </row>
    <row r="10580" ht="16.5" customHeight="1">
      <c r="O10580" s="5" t="s">
        <v>355</v>
      </c>
      <c r="P10580" s="5" t="s">
        <v>355</v>
      </c>
      <c r="Q10580" s="5" t="s">
        <v>355</v>
      </c>
    </row>
    <row r="10581" ht="16.5" customHeight="1">
      <c r="O10581" s="5" t="s">
        <v>355</v>
      </c>
      <c r="P10581" s="5" t="s">
        <v>355</v>
      </c>
      <c r="Q10581" s="5" t="s">
        <v>355</v>
      </c>
    </row>
    <row r="10582" ht="16.5" customHeight="1">
      <c r="O10582" s="5" t="s">
        <v>355</v>
      </c>
      <c r="P10582" s="5" t="s">
        <v>355</v>
      </c>
      <c r="Q10582" s="5" t="s">
        <v>355</v>
      </c>
    </row>
    <row r="10583" ht="16.5" customHeight="1">
      <c r="O10583" s="5" t="s">
        <v>355</v>
      </c>
      <c r="P10583" s="5" t="s">
        <v>355</v>
      </c>
      <c r="Q10583" s="5" t="s">
        <v>355</v>
      </c>
    </row>
    <row r="10584" ht="16.5" customHeight="1">
      <c r="O10584" s="5" t="s">
        <v>355</v>
      </c>
      <c r="P10584" s="5" t="s">
        <v>355</v>
      </c>
      <c r="Q10584" s="5" t="s">
        <v>355</v>
      </c>
    </row>
    <row r="10585" ht="16.5" customHeight="1">
      <c r="O10585" s="5" t="s">
        <v>355</v>
      </c>
      <c r="P10585" s="5" t="s">
        <v>355</v>
      </c>
      <c r="Q10585" s="5" t="s">
        <v>355</v>
      </c>
    </row>
    <row r="10586" ht="16.5" customHeight="1">
      <c r="O10586" s="5" t="s">
        <v>355</v>
      </c>
      <c r="P10586" s="5" t="s">
        <v>355</v>
      </c>
      <c r="Q10586" s="5" t="s">
        <v>355</v>
      </c>
    </row>
    <row r="10587" ht="16.5" customHeight="1">
      <c r="O10587" s="5" t="s">
        <v>355</v>
      </c>
      <c r="P10587" s="5" t="s">
        <v>355</v>
      </c>
      <c r="Q10587" s="5" t="s">
        <v>355</v>
      </c>
    </row>
    <row r="10588" ht="16.5" customHeight="1">
      <c r="O10588" s="5" t="s">
        <v>355</v>
      </c>
      <c r="P10588" s="5" t="s">
        <v>355</v>
      </c>
      <c r="Q10588" s="5" t="s">
        <v>355</v>
      </c>
    </row>
    <row r="10589" ht="16.5" customHeight="1">
      <c r="O10589" s="5" t="s">
        <v>355</v>
      </c>
      <c r="P10589" s="5" t="s">
        <v>355</v>
      </c>
      <c r="Q10589" s="5" t="s">
        <v>355</v>
      </c>
    </row>
    <row r="10590" ht="16.5" customHeight="1">
      <c r="O10590" s="5" t="s">
        <v>355</v>
      </c>
      <c r="P10590" s="5" t="s">
        <v>355</v>
      </c>
      <c r="Q10590" s="5" t="s">
        <v>355</v>
      </c>
    </row>
    <row r="10591" ht="16.5" customHeight="1">
      <c r="O10591" s="5" t="s">
        <v>355</v>
      </c>
      <c r="P10591" s="5" t="s">
        <v>355</v>
      </c>
      <c r="Q10591" s="5" t="s">
        <v>355</v>
      </c>
    </row>
    <row r="10592" ht="16.5" customHeight="1">
      <c r="O10592" s="5" t="s">
        <v>355</v>
      </c>
      <c r="P10592" s="5" t="s">
        <v>355</v>
      </c>
      <c r="Q10592" s="5" t="s">
        <v>355</v>
      </c>
    </row>
    <row r="10593" ht="16.5" customHeight="1">
      <c r="O10593" s="5" t="s">
        <v>355</v>
      </c>
      <c r="P10593" s="5" t="s">
        <v>355</v>
      </c>
      <c r="Q10593" s="5" t="s">
        <v>355</v>
      </c>
    </row>
    <row r="10594" ht="16.5" customHeight="1">
      <c r="O10594" s="5" t="s">
        <v>355</v>
      </c>
      <c r="P10594" s="5" t="s">
        <v>355</v>
      </c>
      <c r="Q10594" s="5" t="s">
        <v>355</v>
      </c>
    </row>
    <row r="10595" ht="16.5" customHeight="1">
      <c r="O10595" s="5" t="s">
        <v>355</v>
      </c>
      <c r="P10595" s="5" t="s">
        <v>355</v>
      </c>
      <c r="Q10595" s="5" t="s">
        <v>355</v>
      </c>
    </row>
    <row r="10596" ht="16.5" customHeight="1">
      <c r="O10596" s="5" t="s">
        <v>355</v>
      </c>
      <c r="P10596" s="5" t="s">
        <v>355</v>
      </c>
      <c r="Q10596" s="5" t="s">
        <v>355</v>
      </c>
    </row>
    <row r="10597" ht="16.5" customHeight="1">
      <c r="O10597" s="5" t="s">
        <v>355</v>
      </c>
      <c r="P10597" s="5" t="s">
        <v>355</v>
      </c>
      <c r="Q10597" s="5" t="s">
        <v>355</v>
      </c>
    </row>
    <row r="10598" ht="16.5" customHeight="1">
      <c r="O10598" s="5" t="s">
        <v>355</v>
      </c>
      <c r="P10598" s="5" t="s">
        <v>355</v>
      </c>
      <c r="Q10598" s="5" t="s">
        <v>355</v>
      </c>
    </row>
    <row r="10599" ht="16.5" customHeight="1">
      <c r="O10599" s="5" t="s">
        <v>355</v>
      </c>
      <c r="P10599" s="5" t="s">
        <v>355</v>
      </c>
      <c r="Q10599" s="5" t="s">
        <v>355</v>
      </c>
    </row>
    <row r="10600" ht="16.5" customHeight="1">
      <c r="O10600" s="5" t="s">
        <v>355</v>
      </c>
      <c r="P10600" s="5" t="s">
        <v>355</v>
      </c>
      <c r="Q10600" s="5" t="s">
        <v>355</v>
      </c>
    </row>
    <row r="10601" ht="16.5" customHeight="1">
      <c r="O10601" s="5" t="s">
        <v>355</v>
      </c>
      <c r="P10601" s="5" t="s">
        <v>355</v>
      </c>
      <c r="Q10601" s="5" t="s">
        <v>355</v>
      </c>
    </row>
    <row r="10602" ht="16.5" customHeight="1">
      <c r="O10602" s="5" t="s">
        <v>355</v>
      </c>
      <c r="P10602" s="5" t="s">
        <v>355</v>
      </c>
      <c r="Q10602" s="5" t="s">
        <v>355</v>
      </c>
    </row>
    <row r="10603" ht="16.5" customHeight="1">
      <c r="O10603" s="5" t="s">
        <v>355</v>
      </c>
      <c r="P10603" s="5" t="s">
        <v>355</v>
      </c>
      <c r="Q10603" s="5" t="s">
        <v>355</v>
      </c>
    </row>
    <row r="10604" ht="16.5" customHeight="1">
      <c r="O10604" s="5" t="s">
        <v>355</v>
      </c>
      <c r="P10604" s="5" t="s">
        <v>355</v>
      </c>
      <c r="Q10604" s="5" t="s">
        <v>355</v>
      </c>
    </row>
    <row r="10605" ht="16.5" customHeight="1">
      <c r="O10605" s="5" t="s">
        <v>355</v>
      </c>
      <c r="P10605" s="5" t="s">
        <v>355</v>
      </c>
      <c r="Q10605" s="5" t="s">
        <v>355</v>
      </c>
    </row>
    <row r="10606" ht="16.5" customHeight="1">
      <c r="O10606" s="5" t="s">
        <v>355</v>
      </c>
      <c r="P10606" s="5" t="s">
        <v>355</v>
      </c>
      <c r="Q10606" s="5" t="s">
        <v>355</v>
      </c>
    </row>
    <row r="10607" ht="16.5" customHeight="1">
      <c r="O10607" s="5" t="s">
        <v>355</v>
      </c>
      <c r="P10607" s="5" t="s">
        <v>355</v>
      </c>
      <c r="Q10607" s="5" t="s">
        <v>355</v>
      </c>
    </row>
    <row r="10608" ht="16.5" customHeight="1">
      <c r="O10608" s="5" t="s">
        <v>355</v>
      </c>
      <c r="P10608" s="5" t="s">
        <v>355</v>
      </c>
      <c r="Q10608" s="5" t="s">
        <v>355</v>
      </c>
    </row>
    <row r="10609" ht="16.5" customHeight="1">
      <c r="O10609" s="5" t="s">
        <v>355</v>
      </c>
      <c r="P10609" s="5" t="s">
        <v>355</v>
      </c>
      <c r="Q10609" s="5" t="s">
        <v>355</v>
      </c>
    </row>
    <row r="10610" ht="16.5" customHeight="1">
      <c r="O10610" s="5" t="s">
        <v>355</v>
      </c>
      <c r="P10610" s="5" t="s">
        <v>355</v>
      </c>
      <c r="Q10610" s="5" t="s">
        <v>355</v>
      </c>
    </row>
    <row r="10611" ht="16.5" customHeight="1">
      <c r="O10611" s="5" t="s">
        <v>355</v>
      </c>
      <c r="P10611" s="5" t="s">
        <v>355</v>
      </c>
      <c r="Q10611" s="5" t="s">
        <v>355</v>
      </c>
    </row>
    <row r="10612" ht="16.5" customHeight="1">
      <c r="O10612" s="5" t="s">
        <v>355</v>
      </c>
      <c r="P10612" s="5" t="s">
        <v>355</v>
      </c>
      <c r="Q10612" s="5" t="s">
        <v>355</v>
      </c>
    </row>
    <row r="10613" ht="16.5" customHeight="1">
      <c r="O10613" s="5" t="s">
        <v>355</v>
      </c>
      <c r="P10613" s="5" t="s">
        <v>355</v>
      </c>
      <c r="Q10613" s="5" t="s">
        <v>355</v>
      </c>
    </row>
    <row r="10614" ht="16.5" customHeight="1">
      <c r="O10614" s="5" t="s">
        <v>355</v>
      </c>
      <c r="P10614" s="5" t="s">
        <v>355</v>
      </c>
      <c r="Q10614" s="5" t="s">
        <v>355</v>
      </c>
    </row>
    <row r="10615" ht="16.5" customHeight="1">
      <c r="O10615" s="5" t="s">
        <v>355</v>
      </c>
      <c r="P10615" s="5" t="s">
        <v>355</v>
      </c>
      <c r="Q10615" s="5" t="s">
        <v>355</v>
      </c>
    </row>
    <row r="10616" ht="16.5" customHeight="1">
      <c r="O10616" s="5" t="s">
        <v>355</v>
      </c>
      <c r="P10616" s="5" t="s">
        <v>355</v>
      </c>
      <c r="Q10616" s="5" t="s">
        <v>355</v>
      </c>
    </row>
    <row r="10617" ht="16.5" customHeight="1">
      <c r="O10617" s="5" t="s">
        <v>355</v>
      </c>
      <c r="P10617" s="5" t="s">
        <v>355</v>
      </c>
      <c r="Q10617" s="5" t="s">
        <v>355</v>
      </c>
    </row>
    <row r="10618" ht="16.5" customHeight="1">
      <c r="O10618" s="5" t="s">
        <v>355</v>
      </c>
      <c r="P10618" s="5" t="s">
        <v>355</v>
      </c>
      <c r="Q10618" s="5" t="s">
        <v>355</v>
      </c>
    </row>
    <row r="10619" ht="16.5" customHeight="1">
      <c r="O10619" s="5" t="s">
        <v>355</v>
      </c>
      <c r="P10619" s="5" t="s">
        <v>355</v>
      </c>
      <c r="Q10619" s="5" t="s">
        <v>355</v>
      </c>
    </row>
    <row r="10620" ht="16.5" customHeight="1">
      <c r="O10620" s="5" t="s">
        <v>355</v>
      </c>
      <c r="P10620" s="5" t="s">
        <v>355</v>
      </c>
      <c r="Q10620" s="5" t="s">
        <v>355</v>
      </c>
    </row>
    <row r="10621" ht="16.5" customHeight="1">
      <c r="O10621" s="5" t="s">
        <v>355</v>
      </c>
      <c r="P10621" s="5" t="s">
        <v>355</v>
      </c>
      <c r="Q10621" s="5" t="s">
        <v>355</v>
      </c>
    </row>
    <row r="10622" ht="16.5" customHeight="1">
      <c r="O10622" s="5" t="s">
        <v>355</v>
      </c>
      <c r="P10622" s="5" t="s">
        <v>355</v>
      </c>
      <c r="Q10622" s="5" t="s">
        <v>355</v>
      </c>
    </row>
    <row r="10623" ht="16.5" customHeight="1">
      <c r="O10623" s="5" t="s">
        <v>355</v>
      </c>
      <c r="P10623" s="5" t="s">
        <v>355</v>
      </c>
      <c r="Q10623" s="5" t="s">
        <v>355</v>
      </c>
    </row>
    <row r="10624" ht="16.5" customHeight="1">
      <c r="O10624" s="5" t="s">
        <v>355</v>
      </c>
      <c r="P10624" s="5" t="s">
        <v>355</v>
      </c>
      <c r="Q10624" s="5" t="s">
        <v>355</v>
      </c>
    </row>
    <row r="10625" ht="16.5" customHeight="1">
      <c r="O10625" s="5" t="s">
        <v>355</v>
      </c>
      <c r="P10625" s="5" t="s">
        <v>355</v>
      </c>
      <c r="Q10625" s="5" t="s">
        <v>355</v>
      </c>
    </row>
    <row r="10626" ht="16.5" customHeight="1">
      <c r="O10626" s="5" t="s">
        <v>355</v>
      </c>
      <c r="P10626" s="5" t="s">
        <v>355</v>
      </c>
      <c r="Q10626" s="5" t="s">
        <v>355</v>
      </c>
    </row>
    <row r="10627" ht="16.5" customHeight="1">
      <c r="O10627" s="5" t="s">
        <v>355</v>
      </c>
      <c r="P10627" s="5" t="s">
        <v>355</v>
      </c>
      <c r="Q10627" s="5" t="s">
        <v>355</v>
      </c>
    </row>
    <row r="10628" ht="16.5" customHeight="1">
      <c r="O10628" s="5" t="s">
        <v>355</v>
      </c>
      <c r="P10628" s="5" t="s">
        <v>355</v>
      </c>
      <c r="Q10628" s="5" t="s">
        <v>355</v>
      </c>
    </row>
    <row r="10629" ht="16.5" customHeight="1">
      <c r="O10629" s="5" t="s">
        <v>355</v>
      </c>
      <c r="P10629" s="5" t="s">
        <v>355</v>
      </c>
      <c r="Q10629" s="5" t="s">
        <v>355</v>
      </c>
    </row>
    <row r="10630" ht="16.5" customHeight="1">
      <c r="O10630" s="5" t="s">
        <v>355</v>
      </c>
      <c r="P10630" s="5" t="s">
        <v>355</v>
      </c>
      <c r="Q10630" s="5" t="s">
        <v>355</v>
      </c>
    </row>
    <row r="10631" ht="16.5" customHeight="1">
      <c r="O10631" s="5" t="s">
        <v>355</v>
      </c>
      <c r="P10631" s="5" t="s">
        <v>355</v>
      </c>
      <c r="Q10631" s="5" t="s">
        <v>355</v>
      </c>
    </row>
    <row r="10632" ht="16.5" customHeight="1">
      <c r="O10632" s="5" t="s">
        <v>355</v>
      </c>
      <c r="P10632" s="5" t="s">
        <v>355</v>
      </c>
      <c r="Q10632" s="5" t="s">
        <v>355</v>
      </c>
    </row>
    <row r="10633" ht="16.5" customHeight="1">
      <c r="O10633" s="5" t="s">
        <v>355</v>
      </c>
      <c r="P10633" s="5" t="s">
        <v>355</v>
      </c>
      <c r="Q10633" s="5" t="s">
        <v>355</v>
      </c>
    </row>
    <row r="10634" ht="16.5" customHeight="1">
      <c r="O10634" s="5" t="s">
        <v>355</v>
      </c>
      <c r="P10634" s="5" t="s">
        <v>355</v>
      </c>
      <c r="Q10634" s="5" t="s">
        <v>355</v>
      </c>
    </row>
    <row r="10635" ht="16.5" customHeight="1">
      <c r="O10635" s="5" t="s">
        <v>355</v>
      </c>
      <c r="P10635" s="5" t="s">
        <v>355</v>
      </c>
      <c r="Q10635" s="5" t="s">
        <v>355</v>
      </c>
    </row>
    <row r="10636" ht="16.5" customHeight="1">
      <c r="O10636" s="5" t="s">
        <v>355</v>
      </c>
      <c r="P10636" s="5" t="s">
        <v>355</v>
      </c>
      <c r="Q10636" s="5" t="s">
        <v>355</v>
      </c>
    </row>
    <row r="10637" ht="16.5" customHeight="1">
      <c r="O10637" s="5" t="s">
        <v>355</v>
      </c>
      <c r="P10637" s="5" t="s">
        <v>355</v>
      </c>
      <c r="Q10637" s="5" t="s">
        <v>355</v>
      </c>
    </row>
    <row r="10638" ht="16.5" customHeight="1">
      <c r="O10638" s="5" t="s">
        <v>355</v>
      </c>
      <c r="P10638" s="5" t="s">
        <v>355</v>
      </c>
      <c r="Q10638" s="5" t="s">
        <v>355</v>
      </c>
    </row>
    <row r="10639" ht="16.5" customHeight="1">
      <c r="O10639" s="5" t="s">
        <v>355</v>
      </c>
      <c r="P10639" s="5" t="s">
        <v>355</v>
      </c>
      <c r="Q10639" s="5" t="s">
        <v>355</v>
      </c>
    </row>
    <row r="10640" ht="16.5" customHeight="1">
      <c r="O10640" s="5" t="s">
        <v>355</v>
      </c>
      <c r="P10640" s="5" t="s">
        <v>355</v>
      </c>
      <c r="Q10640" s="5" t="s">
        <v>355</v>
      </c>
    </row>
    <row r="10641" ht="16.5" customHeight="1">
      <c r="O10641" s="5" t="s">
        <v>355</v>
      </c>
      <c r="P10641" s="5" t="s">
        <v>355</v>
      </c>
      <c r="Q10641" s="5" t="s">
        <v>355</v>
      </c>
    </row>
    <row r="10642" ht="16.5" customHeight="1">
      <c r="O10642" s="5" t="s">
        <v>355</v>
      </c>
      <c r="P10642" s="5" t="s">
        <v>355</v>
      </c>
      <c r="Q10642" s="5" t="s">
        <v>355</v>
      </c>
    </row>
    <row r="10643" ht="16.5" customHeight="1">
      <c r="O10643" s="5" t="s">
        <v>355</v>
      </c>
      <c r="P10643" s="5" t="s">
        <v>355</v>
      </c>
      <c r="Q10643" s="5" t="s">
        <v>355</v>
      </c>
    </row>
    <row r="10644" ht="16.5" customHeight="1">
      <c r="O10644" s="5" t="s">
        <v>355</v>
      </c>
      <c r="P10644" s="5" t="s">
        <v>355</v>
      </c>
      <c r="Q10644" s="5" t="s">
        <v>355</v>
      </c>
    </row>
    <row r="10645" ht="16.5" customHeight="1">
      <c r="O10645" s="5" t="s">
        <v>355</v>
      </c>
      <c r="P10645" s="5" t="s">
        <v>355</v>
      </c>
      <c r="Q10645" s="5" t="s">
        <v>355</v>
      </c>
    </row>
    <row r="10646" ht="16.5" customHeight="1">
      <c r="O10646" s="5" t="s">
        <v>355</v>
      </c>
      <c r="P10646" s="5" t="s">
        <v>355</v>
      </c>
      <c r="Q10646" s="5" t="s">
        <v>355</v>
      </c>
    </row>
    <row r="10647" ht="16.5" customHeight="1">
      <c r="O10647" s="5" t="s">
        <v>355</v>
      </c>
      <c r="P10647" s="5" t="s">
        <v>355</v>
      </c>
      <c r="Q10647" s="5" t="s">
        <v>355</v>
      </c>
    </row>
    <row r="10648" ht="16.5" customHeight="1">
      <c r="O10648" s="5" t="s">
        <v>355</v>
      </c>
      <c r="P10648" s="5" t="s">
        <v>355</v>
      </c>
      <c r="Q10648" s="5" t="s">
        <v>355</v>
      </c>
    </row>
    <row r="10649" ht="16.5" customHeight="1">
      <c r="O10649" s="5" t="s">
        <v>355</v>
      </c>
      <c r="P10649" s="5" t="s">
        <v>355</v>
      </c>
      <c r="Q10649" s="5" t="s">
        <v>355</v>
      </c>
    </row>
    <row r="10650" ht="16.5" customHeight="1">
      <c r="O10650" s="5" t="s">
        <v>355</v>
      </c>
      <c r="P10650" s="5" t="s">
        <v>355</v>
      </c>
      <c r="Q10650" s="5" t="s">
        <v>355</v>
      </c>
    </row>
    <row r="10651" ht="16.5" customHeight="1">
      <c r="O10651" s="5" t="s">
        <v>355</v>
      </c>
      <c r="P10651" s="5" t="s">
        <v>355</v>
      </c>
      <c r="Q10651" s="5" t="s">
        <v>355</v>
      </c>
    </row>
    <row r="10652" ht="16.5" customHeight="1">
      <c r="O10652" s="5" t="s">
        <v>355</v>
      </c>
      <c r="P10652" s="5" t="s">
        <v>355</v>
      </c>
      <c r="Q10652" s="5" t="s">
        <v>355</v>
      </c>
    </row>
    <row r="10653" ht="16.5" customHeight="1">
      <c r="O10653" s="5" t="s">
        <v>355</v>
      </c>
      <c r="P10653" s="5" t="s">
        <v>355</v>
      </c>
      <c r="Q10653" s="5" t="s">
        <v>355</v>
      </c>
    </row>
    <row r="10654" ht="16.5" customHeight="1">
      <c r="O10654" s="5" t="s">
        <v>355</v>
      </c>
      <c r="P10654" s="5" t="s">
        <v>355</v>
      </c>
      <c r="Q10654" s="5" t="s">
        <v>355</v>
      </c>
    </row>
    <row r="10655" ht="16.5" customHeight="1">
      <c r="O10655" s="5" t="s">
        <v>355</v>
      </c>
      <c r="P10655" s="5" t="s">
        <v>355</v>
      </c>
      <c r="Q10655" s="5" t="s">
        <v>355</v>
      </c>
    </row>
    <row r="10656" ht="16.5" customHeight="1">
      <c r="O10656" s="5" t="s">
        <v>355</v>
      </c>
      <c r="P10656" s="5" t="s">
        <v>355</v>
      </c>
      <c r="Q10656" s="5" t="s">
        <v>355</v>
      </c>
    </row>
    <row r="10657" ht="16.5" customHeight="1">
      <c r="O10657" s="5" t="s">
        <v>355</v>
      </c>
      <c r="P10657" s="5" t="s">
        <v>355</v>
      </c>
      <c r="Q10657" s="5" t="s">
        <v>355</v>
      </c>
    </row>
    <row r="10658" ht="16.5" customHeight="1">
      <c r="O10658" s="5" t="s">
        <v>355</v>
      </c>
      <c r="P10658" s="5" t="s">
        <v>355</v>
      </c>
      <c r="Q10658" s="5" t="s">
        <v>355</v>
      </c>
    </row>
    <row r="10659" ht="16.5" customHeight="1">
      <c r="O10659" s="5" t="s">
        <v>355</v>
      </c>
      <c r="P10659" s="5" t="s">
        <v>355</v>
      </c>
      <c r="Q10659" s="5" t="s">
        <v>355</v>
      </c>
    </row>
    <row r="10660" ht="16.5" customHeight="1">
      <c r="O10660" s="5" t="s">
        <v>355</v>
      </c>
      <c r="P10660" s="5" t="s">
        <v>355</v>
      </c>
      <c r="Q10660" s="5" t="s">
        <v>355</v>
      </c>
    </row>
    <row r="10661" ht="16.5" customHeight="1">
      <c r="O10661" s="5" t="s">
        <v>355</v>
      </c>
      <c r="P10661" s="5" t="s">
        <v>355</v>
      </c>
      <c r="Q10661" s="5" t="s">
        <v>355</v>
      </c>
    </row>
    <row r="10662" ht="16.5" customHeight="1">
      <c r="O10662" s="5" t="s">
        <v>355</v>
      </c>
      <c r="P10662" s="5" t="s">
        <v>355</v>
      </c>
      <c r="Q10662" s="5" t="s">
        <v>355</v>
      </c>
    </row>
    <row r="10663" ht="16.5" customHeight="1">
      <c r="O10663" s="5" t="s">
        <v>355</v>
      </c>
      <c r="P10663" s="5" t="s">
        <v>355</v>
      </c>
      <c r="Q10663" s="5" t="s">
        <v>355</v>
      </c>
    </row>
    <row r="10664" ht="16.5" customHeight="1">
      <c r="O10664" s="5" t="s">
        <v>355</v>
      </c>
      <c r="P10664" s="5" t="s">
        <v>355</v>
      </c>
      <c r="Q10664" s="5" t="s">
        <v>355</v>
      </c>
    </row>
    <row r="10665" ht="16.5" customHeight="1">
      <c r="O10665" s="5" t="s">
        <v>355</v>
      </c>
      <c r="P10665" s="5" t="s">
        <v>355</v>
      </c>
      <c r="Q10665" s="5" t="s">
        <v>355</v>
      </c>
    </row>
    <row r="10666" ht="16.5" customHeight="1">
      <c r="O10666" s="5" t="s">
        <v>355</v>
      </c>
      <c r="P10666" s="5" t="s">
        <v>355</v>
      </c>
      <c r="Q10666" s="5" t="s">
        <v>355</v>
      </c>
    </row>
    <row r="10667" ht="16.5" customHeight="1">
      <c r="O10667" s="5" t="s">
        <v>355</v>
      </c>
      <c r="P10667" s="5" t="s">
        <v>355</v>
      </c>
      <c r="Q10667" s="5" t="s">
        <v>355</v>
      </c>
    </row>
    <row r="10668" ht="16.5" customHeight="1">
      <c r="O10668" s="5" t="s">
        <v>355</v>
      </c>
      <c r="P10668" s="5" t="s">
        <v>355</v>
      </c>
      <c r="Q10668" s="5" t="s">
        <v>355</v>
      </c>
    </row>
    <row r="10669" ht="16.5" customHeight="1">
      <c r="O10669" s="5" t="s">
        <v>355</v>
      </c>
      <c r="P10669" s="5" t="s">
        <v>355</v>
      </c>
      <c r="Q10669" s="5" t="s">
        <v>355</v>
      </c>
    </row>
    <row r="10670" ht="16.5" customHeight="1">
      <c r="O10670" s="5" t="s">
        <v>355</v>
      </c>
      <c r="P10670" s="5" t="s">
        <v>355</v>
      </c>
      <c r="Q10670" s="5" t="s">
        <v>355</v>
      </c>
    </row>
    <row r="10671" ht="16.5" customHeight="1">
      <c r="O10671" s="5" t="s">
        <v>355</v>
      </c>
      <c r="P10671" s="5" t="s">
        <v>355</v>
      </c>
      <c r="Q10671" s="5" t="s">
        <v>355</v>
      </c>
    </row>
    <row r="10672" ht="16.5" customHeight="1">
      <c r="O10672" s="5" t="s">
        <v>355</v>
      </c>
      <c r="P10672" s="5" t="s">
        <v>355</v>
      </c>
      <c r="Q10672" s="5" t="s">
        <v>355</v>
      </c>
    </row>
    <row r="10673" ht="16.5" customHeight="1">
      <c r="O10673" s="5" t="s">
        <v>355</v>
      </c>
      <c r="P10673" s="5" t="s">
        <v>355</v>
      </c>
      <c r="Q10673" s="5" t="s">
        <v>355</v>
      </c>
    </row>
    <row r="10674" ht="16.5" customHeight="1">
      <c r="O10674" s="5" t="s">
        <v>355</v>
      </c>
      <c r="P10674" s="5" t="s">
        <v>355</v>
      </c>
      <c r="Q10674" s="5" t="s">
        <v>355</v>
      </c>
    </row>
    <row r="10675" ht="16.5" customHeight="1">
      <c r="O10675" s="5" t="s">
        <v>355</v>
      </c>
      <c r="P10675" s="5" t="s">
        <v>355</v>
      </c>
      <c r="Q10675" s="5" t="s">
        <v>355</v>
      </c>
    </row>
    <row r="10676" ht="16.5" customHeight="1">
      <c r="O10676" s="5" t="s">
        <v>355</v>
      </c>
      <c r="P10676" s="5" t="s">
        <v>355</v>
      </c>
      <c r="Q10676" s="5" t="s">
        <v>355</v>
      </c>
    </row>
    <row r="10677" ht="16.5" customHeight="1">
      <c r="O10677" s="5" t="s">
        <v>355</v>
      </c>
      <c r="P10677" s="5" t="s">
        <v>355</v>
      </c>
      <c r="Q10677" s="5" t="s">
        <v>355</v>
      </c>
    </row>
    <row r="10678" ht="16.5" customHeight="1">
      <c r="O10678" s="5" t="s">
        <v>355</v>
      </c>
      <c r="P10678" s="5" t="s">
        <v>355</v>
      </c>
      <c r="Q10678" s="5" t="s">
        <v>355</v>
      </c>
    </row>
    <row r="10679" ht="16.5" customHeight="1">
      <c r="O10679" s="5" t="s">
        <v>355</v>
      </c>
      <c r="P10679" s="5" t="s">
        <v>355</v>
      </c>
      <c r="Q10679" s="5" t="s">
        <v>355</v>
      </c>
    </row>
    <row r="10680" ht="16.5" customHeight="1">
      <c r="O10680" s="5" t="s">
        <v>355</v>
      </c>
      <c r="P10680" s="5" t="s">
        <v>355</v>
      </c>
      <c r="Q10680" s="5" t="s">
        <v>355</v>
      </c>
    </row>
    <row r="10681" ht="16.5" customHeight="1">
      <c r="O10681" s="5" t="s">
        <v>355</v>
      </c>
      <c r="P10681" s="5" t="s">
        <v>355</v>
      </c>
      <c r="Q10681" s="5" t="s">
        <v>355</v>
      </c>
    </row>
    <row r="10682" ht="16.5" customHeight="1">
      <c r="O10682" s="5" t="s">
        <v>355</v>
      </c>
      <c r="P10682" s="5" t="s">
        <v>355</v>
      </c>
      <c r="Q10682" s="5" t="s">
        <v>355</v>
      </c>
    </row>
    <row r="10683" ht="16.5" customHeight="1">
      <c r="O10683" s="5" t="s">
        <v>355</v>
      </c>
      <c r="P10683" s="5" t="s">
        <v>355</v>
      </c>
      <c r="Q10683" s="5" t="s">
        <v>355</v>
      </c>
    </row>
    <row r="10684" ht="16.5" customHeight="1">
      <c r="O10684" s="5" t="s">
        <v>355</v>
      </c>
      <c r="P10684" s="5" t="s">
        <v>355</v>
      </c>
      <c r="Q10684" s="5" t="s">
        <v>355</v>
      </c>
    </row>
    <row r="10685" ht="16.5" customHeight="1">
      <c r="O10685" s="5" t="s">
        <v>355</v>
      </c>
      <c r="P10685" s="5" t="s">
        <v>355</v>
      </c>
      <c r="Q10685" s="5" t="s">
        <v>355</v>
      </c>
    </row>
    <row r="10686" ht="16.5" customHeight="1">
      <c r="O10686" s="5" t="s">
        <v>355</v>
      </c>
      <c r="P10686" s="5" t="s">
        <v>355</v>
      </c>
      <c r="Q10686" s="5" t="s">
        <v>355</v>
      </c>
    </row>
    <row r="10687" ht="16.5" customHeight="1">
      <c r="O10687" s="5" t="s">
        <v>355</v>
      </c>
      <c r="P10687" s="5" t="s">
        <v>355</v>
      </c>
      <c r="Q10687" s="5" t="s">
        <v>355</v>
      </c>
    </row>
    <row r="10688" ht="16.5" customHeight="1">
      <c r="O10688" s="5" t="s">
        <v>355</v>
      </c>
      <c r="P10688" s="5" t="s">
        <v>355</v>
      </c>
      <c r="Q10688" s="5" t="s">
        <v>355</v>
      </c>
    </row>
    <row r="10689" ht="16.5" customHeight="1">
      <c r="O10689" s="5" t="s">
        <v>355</v>
      </c>
      <c r="P10689" s="5" t="s">
        <v>355</v>
      </c>
      <c r="Q10689" s="5" t="s">
        <v>355</v>
      </c>
    </row>
    <row r="10690" ht="16.5" customHeight="1">
      <c r="O10690" s="5" t="s">
        <v>355</v>
      </c>
      <c r="P10690" s="5" t="s">
        <v>355</v>
      </c>
      <c r="Q10690" s="5" t="s">
        <v>355</v>
      </c>
    </row>
    <row r="10691" ht="16.5" customHeight="1">
      <c r="O10691" s="5" t="s">
        <v>355</v>
      </c>
      <c r="P10691" s="5" t="s">
        <v>355</v>
      </c>
      <c r="Q10691" s="5" t="s">
        <v>355</v>
      </c>
    </row>
    <row r="10692" ht="16.5" customHeight="1">
      <c r="O10692" s="5" t="s">
        <v>355</v>
      </c>
      <c r="P10692" s="5" t="s">
        <v>355</v>
      </c>
      <c r="Q10692" s="5" t="s">
        <v>355</v>
      </c>
    </row>
    <row r="10693" ht="16.5" customHeight="1">
      <c r="O10693" s="5" t="s">
        <v>355</v>
      </c>
      <c r="P10693" s="5" t="s">
        <v>355</v>
      </c>
      <c r="Q10693" s="5" t="s">
        <v>355</v>
      </c>
    </row>
    <row r="10694" ht="16.5" customHeight="1">
      <c r="O10694" s="5" t="s">
        <v>355</v>
      </c>
      <c r="P10694" s="5" t="s">
        <v>355</v>
      </c>
      <c r="Q10694" s="5" t="s">
        <v>355</v>
      </c>
    </row>
    <row r="10695" ht="16.5" customHeight="1">
      <c r="O10695" s="5" t="s">
        <v>355</v>
      </c>
      <c r="P10695" s="5" t="s">
        <v>355</v>
      </c>
      <c r="Q10695" s="5" t="s">
        <v>355</v>
      </c>
    </row>
    <row r="10696" ht="16.5" customHeight="1">
      <c r="O10696" s="5" t="s">
        <v>355</v>
      </c>
      <c r="P10696" s="5" t="s">
        <v>355</v>
      </c>
      <c r="Q10696" s="5" t="s">
        <v>355</v>
      </c>
    </row>
    <row r="10697" ht="16.5" customHeight="1">
      <c r="O10697" s="5" t="s">
        <v>355</v>
      </c>
      <c r="P10697" s="5" t="s">
        <v>355</v>
      </c>
      <c r="Q10697" s="5" t="s">
        <v>355</v>
      </c>
    </row>
    <row r="10698" ht="16.5" customHeight="1">
      <c r="O10698" s="5" t="s">
        <v>355</v>
      </c>
      <c r="P10698" s="5" t="s">
        <v>355</v>
      </c>
      <c r="Q10698" s="5" t="s">
        <v>355</v>
      </c>
    </row>
    <row r="10699" ht="16.5" customHeight="1">
      <c r="O10699" s="5" t="s">
        <v>355</v>
      </c>
      <c r="P10699" s="5" t="s">
        <v>355</v>
      </c>
      <c r="Q10699" s="5" t="s">
        <v>355</v>
      </c>
    </row>
    <row r="10700" ht="16.5" customHeight="1">
      <c r="O10700" s="5" t="s">
        <v>355</v>
      </c>
      <c r="P10700" s="5" t="s">
        <v>355</v>
      </c>
      <c r="Q10700" s="5" t="s">
        <v>355</v>
      </c>
    </row>
    <row r="10701" ht="16.5" customHeight="1">
      <c r="O10701" s="5" t="s">
        <v>355</v>
      </c>
      <c r="P10701" s="5" t="s">
        <v>355</v>
      </c>
      <c r="Q10701" s="5" t="s">
        <v>355</v>
      </c>
    </row>
    <row r="10702" ht="16.5" customHeight="1">
      <c r="O10702" s="5" t="s">
        <v>355</v>
      </c>
      <c r="P10702" s="5" t="s">
        <v>355</v>
      </c>
      <c r="Q10702" s="5" t="s">
        <v>355</v>
      </c>
    </row>
    <row r="10703" ht="16.5" customHeight="1">
      <c r="O10703" s="5" t="s">
        <v>355</v>
      </c>
      <c r="P10703" s="5" t="s">
        <v>355</v>
      </c>
      <c r="Q10703" s="5" t="s">
        <v>355</v>
      </c>
    </row>
    <row r="10704" ht="16.5" customHeight="1">
      <c r="O10704" s="5" t="s">
        <v>355</v>
      </c>
      <c r="P10704" s="5" t="s">
        <v>355</v>
      </c>
      <c r="Q10704" s="5" t="s">
        <v>355</v>
      </c>
    </row>
    <row r="10705" ht="16.5" customHeight="1">
      <c r="O10705" s="5" t="s">
        <v>355</v>
      </c>
      <c r="P10705" s="5" t="s">
        <v>355</v>
      </c>
      <c r="Q10705" s="5" t="s">
        <v>355</v>
      </c>
    </row>
    <row r="10706" ht="16.5" customHeight="1">
      <c r="O10706" s="5" t="s">
        <v>355</v>
      </c>
      <c r="P10706" s="5" t="s">
        <v>355</v>
      </c>
      <c r="Q10706" s="5" t="s">
        <v>355</v>
      </c>
    </row>
    <row r="10707" ht="16.5" customHeight="1">
      <c r="O10707" s="5" t="s">
        <v>355</v>
      </c>
      <c r="P10707" s="5" t="s">
        <v>355</v>
      </c>
      <c r="Q10707" s="5" t="s">
        <v>355</v>
      </c>
    </row>
    <row r="10708" ht="16.5" customHeight="1">
      <c r="O10708" s="5" t="s">
        <v>355</v>
      </c>
      <c r="P10708" s="5" t="s">
        <v>355</v>
      </c>
      <c r="Q10708" s="5" t="s">
        <v>355</v>
      </c>
    </row>
    <row r="10709" ht="16.5" customHeight="1">
      <c r="O10709" s="5" t="s">
        <v>355</v>
      </c>
      <c r="P10709" s="5" t="s">
        <v>355</v>
      </c>
      <c r="Q10709" s="5" t="s">
        <v>355</v>
      </c>
    </row>
    <row r="10710" ht="16.5" customHeight="1">
      <c r="O10710" s="5" t="s">
        <v>355</v>
      </c>
      <c r="P10710" s="5" t="s">
        <v>355</v>
      </c>
      <c r="Q10710" s="5" t="s">
        <v>355</v>
      </c>
    </row>
    <row r="10711" ht="16.5" customHeight="1">
      <c r="O10711" s="5" t="s">
        <v>355</v>
      </c>
      <c r="P10711" s="5" t="s">
        <v>355</v>
      </c>
      <c r="Q10711" s="5" t="s">
        <v>355</v>
      </c>
    </row>
    <row r="10712" ht="16.5" customHeight="1">
      <c r="O10712" s="5" t="s">
        <v>355</v>
      </c>
      <c r="P10712" s="5" t="s">
        <v>355</v>
      </c>
      <c r="Q10712" s="5" t="s">
        <v>355</v>
      </c>
    </row>
    <row r="10713" ht="16.5" customHeight="1">
      <c r="O10713" s="5" t="s">
        <v>355</v>
      </c>
      <c r="P10713" s="5" t="s">
        <v>355</v>
      </c>
      <c r="Q10713" s="5" t="s">
        <v>355</v>
      </c>
    </row>
    <row r="10714" ht="16.5" customHeight="1">
      <c r="O10714" s="5" t="s">
        <v>355</v>
      </c>
      <c r="P10714" s="5" t="s">
        <v>355</v>
      </c>
      <c r="Q10714" s="5" t="s">
        <v>355</v>
      </c>
    </row>
    <row r="10715" ht="16.5" customHeight="1">
      <c r="O10715" s="5" t="s">
        <v>355</v>
      </c>
      <c r="P10715" s="5" t="s">
        <v>355</v>
      </c>
      <c r="Q10715" s="5" t="s">
        <v>355</v>
      </c>
    </row>
    <row r="10716" ht="16.5" customHeight="1">
      <c r="O10716" s="5" t="s">
        <v>355</v>
      </c>
      <c r="P10716" s="5" t="s">
        <v>355</v>
      </c>
      <c r="Q10716" s="5" t="s">
        <v>355</v>
      </c>
    </row>
    <row r="10717" ht="16.5" customHeight="1">
      <c r="O10717" s="5" t="s">
        <v>355</v>
      </c>
      <c r="P10717" s="5" t="s">
        <v>355</v>
      </c>
      <c r="Q10717" s="5" t="s">
        <v>355</v>
      </c>
    </row>
    <row r="10718" ht="16.5" customHeight="1">
      <c r="O10718" s="5" t="s">
        <v>355</v>
      </c>
      <c r="P10718" s="5" t="s">
        <v>355</v>
      </c>
      <c r="Q10718" s="5" t="s">
        <v>355</v>
      </c>
    </row>
    <row r="10719" ht="16.5" customHeight="1">
      <c r="O10719" s="5" t="s">
        <v>355</v>
      </c>
      <c r="P10719" s="5" t="s">
        <v>355</v>
      </c>
      <c r="Q10719" s="5" t="s">
        <v>355</v>
      </c>
    </row>
    <row r="10720" ht="16.5" customHeight="1">
      <c r="O10720" s="5" t="s">
        <v>355</v>
      </c>
      <c r="P10720" s="5" t="s">
        <v>355</v>
      </c>
      <c r="Q10720" s="5" t="s">
        <v>355</v>
      </c>
    </row>
    <row r="10721" ht="16.5" customHeight="1">
      <c r="O10721" s="5" t="s">
        <v>355</v>
      </c>
      <c r="P10721" s="5" t="s">
        <v>355</v>
      </c>
      <c r="Q10721" s="5" t="s">
        <v>355</v>
      </c>
    </row>
    <row r="10722" ht="16.5" customHeight="1">
      <c r="O10722" s="5" t="s">
        <v>355</v>
      </c>
      <c r="P10722" s="5" t="s">
        <v>355</v>
      </c>
      <c r="Q10722" s="5" t="s">
        <v>355</v>
      </c>
    </row>
    <row r="10723" ht="16.5" customHeight="1">
      <c r="O10723" s="5" t="s">
        <v>355</v>
      </c>
      <c r="P10723" s="5" t="s">
        <v>355</v>
      </c>
      <c r="Q10723" s="5" t="s">
        <v>355</v>
      </c>
    </row>
    <row r="10724" ht="16.5" customHeight="1">
      <c r="O10724" s="5" t="s">
        <v>355</v>
      </c>
      <c r="P10724" s="5" t="s">
        <v>355</v>
      </c>
      <c r="Q10724" s="5" t="s">
        <v>355</v>
      </c>
    </row>
    <row r="10725" ht="16.5" customHeight="1">
      <c r="O10725" s="5" t="s">
        <v>355</v>
      </c>
      <c r="P10725" s="5" t="s">
        <v>355</v>
      </c>
      <c r="Q10725" s="5" t="s">
        <v>355</v>
      </c>
    </row>
    <row r="10726" ht="16.5" customHeight="1">
      <c r="O10726" s="5" t="s">
        <v>355</v>
      </c>
      <c r="P10726" s="5" t="s">
        <v>355</v>
      </c>
      <c r="Q10726" s="5" t="s">
        <v>355</v>
      </c>
    </row>
    <row r="10727" ht="16.5" customHeight="1">
      <c r="O10727" s="5" t="s">
        <v>355</v>
      </c>
      <c r="P10727" s="5" t="s">
        <v>355</v>
      </c>
      <c r="Q10727" s="5" t="s">
        <v>355</v>
      </c>
    </row>
    <row r="10728" ht="16.5" customHeight="1">
      <c r="O10728" s="5" t="s">
        <v>355</v>
      </c>
      <c r="P10728" s="5" t="s">
        <v>355</v>
      </c>
      <c r="Q10728" s="5" t="s">
        <v>355</v>
      </c>
    </row>
    <row r="10729" ht="16.5" customHeight="1">
      <c r="O10729" s="5" t="s">
        <v>355</v>
      </c>
      <c r="P10729" s="5" t="s">
        <v>355</v>
      </c>
      <c r="Q10729" s="5" t="s">
        <v>355</v>
      </c>
    </row>
    <row r="10730" ht="16.5" customHeight="1">
      <c r="O10730" s="5" t="s">
        <v>355</v>
      </c>
      <c r="P10730" s="5" t="s">
        <v>355</v>
      </c>
      <c r="Q10730" s="5" t="s">
        <v>355</v>
      </c>
    </row>
    <row r="10731" ht="16.5" customHeight="1">
      <c r="O10731" s="5" t="s">
        <v>355</v>
      </c>
      <c r="P10731" s="5" t="s">
        <v>355</v>
      </c>
      <c r="Q10731" s="5" t="s">
        <v>355</v>
      </c>
    </row>
    <row r="10732" ht="16.5" customHeight="1">
      <c r="O10732" s="5" t="s">
        <v>355</v>
      </c>
      <c r="P10732" s="5" t="s">
        <v>355</v>
      </c>
      <c r="Q10732" s="5" t="s">
        <v>355</v>
      </c>
    </row>
    <row r="10733" ht="16.5" customHeight="1">
      <c r="O10733" s="5" t="s">
        <v>355</v>
      </c>
      <c r="P10733" s="5" t="s">
        <v>355</v>
      </c>
      <c r="Q10733" s="5" t="s">
        <v>355</v>
      </c>
    </row>
    <row r="10734" ht="16.5" customHeight="1">
      <c r="O10734" s="5" t="s">
        <v>355</v>
      </c>
      <c r="P10734" s="5" t="s">
        <v>355</v>
      </c>
      <c r="Q10734" s="5" t="s">
        <v>355</v>
      </c>
    </row>
    <row r="10735" ht="16.5" customHeight="1">
      <c r="O10735" s="5" t="s">
        <v>355</v>
      </c>
      <c r="P10735" s="5" t="s">
        <v>355</v>
      </c>
      <c r="Q10735" s="5" t="s">
        <v>355</v>
      </c>
    </row>
    <row r="10736" ht="16.5" customHeight="1">
      <c r="O10736" s="5" t="s">
        <v>355</v>
      </c>
      <c r="P10736" s="5" t="s">
        <v>355</v>
      </c>
      <c r="Q10736" s="5" t="s">
        <v>355</v>
      </c>
    </row>
    <row r="10737" ht="16.5" customHeight="1">
      <c r="O10737" s="5" t="s">
        <v>355</v>
      </c>
      <c r="P10737" s="5" t="s">
        <v>355</v>
      </c>
      <c r="Q10737" s="5" t="s">
        <v>355</v>
      </c>
    </row>
    <row r="10738" ht="16.5" customHeight="1">
      <c r="O10738" s="5" t="s">
        <v>355</v>
      </c>
      <c r="P10738" s="5" t="s">
        <v>355</v>
      </c>
      <c r="Q10738" s="5" t="s">
        <v>355</v>
      </c>
    </row>
    <row r="10739" ht="16.5" customHeight="1">
      <c r="O10739" s="5" t="s">
        <v>355</v>
      </c>
      <c r="P10739" s="5" t="s">
        <v>355</v>
      </c>
      <c r="Q10739" s="5" t="s">
        <v>355</v>
      </c>
    </row>
    <row r="10740" ht="16.5" customHeight="1">
      <c r="O10740" s="5" t="s">
        <v>355</v>
      </c>
      <c r="P10740" s="5" t="s">
        <v>355</v>
      </c>
      <c r="Q10740" s="5" t="s">
        <v>355</v>
      </c>
    </row>
    <row r="10741" ht="16.5" customHeight="1">
      <c r="O10741" s="5" t="s">
        <v>355</v>
      </c>
      <c r="P10741" s="5" t="s">
        <v>355</v>
      </c>
      <c r="Q10741" s="5" t="s">
        <v>355</v>
      </c>
    </row>
    <row r="10742" ht="16.5" customHeight="1">
      <c r="O10742" s="5" t="s">
        <v>355</v>
      </c>
      <c r="P10742" s="5" t="s">
        <v>355</v>
      </c>
      <c r="Q10742" s="5" t="s">
        <v>355</v>
      </c>
    </row>
    <row r="10743" ht="16.5" customHeight="1">
      <c r="O10743" s="5" t="s">
        <v>355</v>
      </c>
      <c r="P10743" s="5" t="s">
        <v>355</v>
      </c>
      <c r="Q10743" s="5" t="s">
        <v>355</v>
      </c>
    </row>
    <row r="10744" ht="16.5" customHeight="1">
      <c r="O10744" s="5" t="s">
        <v>355</v>
      </c>
      <c r="P10744" s="5" t="s">
        <v>355</v>
      </c>
      <c r="Q10744" s="5" t="s">
        <v>355</v>
      </c>
    </row>
    <row r="10745" ht="16.5" customHeight="1">
      <c r="O10745" s="5" t="s">
        <v>355</v>
      </c>
      <c r="P10745" s="5" t="s">
        <v>355</v>
      </c>
      <c r="Q10745" s="5" t="s">
        <v>355</v>
      </c>
    </row>
    <row r="10746" ht="16.5" customHeight="1">
      <c r="O10746" s="5" t="s">
        <v>355</v>
      </c>
      <c r="P10746" s="5" t="s">
        <v>355</v>
      </c>
      <c r="Q10746" s="5" t="s">
        <v>355</v>
      </c>
    </row>
    <row r="10747" ht="16.5" customHeight="1">
      <c r="O10747" s="5" t="s">
        <v>355</v>
      </c>
      <c r="P10747" s="5" t="s">
        <v>355</v>
      </c>
      <c r="Q10747" s="5" t="s">
        <v>355</v>
      </c>
    </row>
    <row r="10748" ht="16.5" customHeight="1">
      <c r="O10748" s="5" t="s">
        <v>355</v>
      </c>
      <c r="P10748" s="5" t="s">
        <v>355</v>
      </c>
      <c r="Q10748" s="5" t="s">
        <v>355</v>
      </c>
    </row>
    <row r="10749" ht="16.5" customHeight="1">
      <c r="O10749" s="5" t="s">
        <v>355</v>
      </c>
      <c r="P10749" s="5" t="s">
        <v>355</v>
      </c>
      <c r="Q10749" s="5" t="s">
        <v>355</v>
      </c>
    </row>
    <row r="10750" ht="16.5" customHeight="1">
      <c r="O10750" s="5" t="s">
        <v>355</v>
      </c>
      <c r="P10750" s="5" t="s">
        <v>355</v>
      </c>
      <c r="Q10750" s="5" t="s">
        <v>355</v>
      </c>
    </row>
    <row r="10751" ht="16.5" customHeight="1">
      <c r="O10751" s="5" t="s">
        <v>355</v>
      </c>
      <c r="P10751" s="5" t="s">
        <v>355</v>
      </c>
      <c r="Q10751" s="5" t="s">
        <v>355</v>
      </c>
    </row>
    <row r="10752" ht="16.5" customHeight="1">
      <c r="O10752" s="5" t="s">
        <v>355</v>
      </c>
      <c r="P10752" s="5" t="s">
        <v>355</v>
      </c>
      <c r="Q10752" s="5" t="s">
        <v>355</v>
      </c>
    </row>
    <row r="10753" ht="16.5" customHeight="1">
      <c r="O10753" s="5" t="s">
        <v>355</v>
      </c>
      <c r="P10753" s="5" t="s">
        <v>355</v>
      </c>
      <c r="Q10753" s="5" t="s">
        <v>355</v>
      </c>
    </row>
    <row r="10754" ht="16.5" customHeight="1">
      <c r="O10754" s="5" t="s">
        <v>355</v>
      </c>
      <c r="P10754" s="5" t="s">
        <v>355</v>
      </c>
      <c r="Q10754" s="5" t="s">
        <v>355</v>
      </c>
    </row>
    <row r="10755" ht="16.5" customHeight="1">
      <c r="O10755" s="5" t="s">
        <v>355</v>
      </c>
      <c r="P10755" s="5" t="s">
        <v>355</v>
      </c>
      <c r="Q10755" s="5" t="s">
        <v>355</v>
      </c>
    </row>
    <row r="10756" ht="16.5" customHeight="1">
      <c r="O10756" s="5" t="s">
        <v>355</v>
      </c>
      <c r="P10756" s="5" t="s">
        <v>355</v>
      </c>
      <c r="Q10756" s="5" t="s">
        <v>355</v>
      </c>
    </row>
    <row r="10757" ht="16.5" customHeight="1">
      <c r="O10757" s="5" t="s">
        <v>355</v>
      </c>
      <c r="P10757" s="5" t="s">
        <v>355</v>
      </c>
      <c r="Q10757" s="5" t="s">
        <v>355</v>
      </c>
    </row>
    <row r="10758" ht="16.5" customHeight="1">
      <c r="O10758" s="5" t="s">
        <v>355</v>
      </c>
      <c r="P10758" s="5" t="s">
        <v>355</v>
      </c>
      <c r="Q10758" s="5" t="s">
        <v>355</v>
      </c>
    </row>
    <row r="10759" ht="16.5" customHeight="1">
      <c r="O10759" s="5" t="s">
        <v>355</v>
      </c>
      <c r="P10759" s="5" t="s">
        <v>355</v>
      </c>
      <c r="Q10759" s="5" t="s">
        <v>355</v>
      </c>
    </row>
    <row r="10760" ht="16.5" customHeight="1">
      <c r="O10760" s="5" t="s">
        <v>355</v>
      </c>
      <c r="P10760" s="5" t="s">
        <v>355</v>
      </c>
      <c r="Q10760" s="5" t="s">
        <v>355</v>
      </c>
    </row>
    <row r="10761" ht="16.5" customHeight="1">
      <c r="O10761" s="5" t="s">
        <v>355</v>
      </c>
      <c r="P10761" s="5" t="s">
        <v>355</v>
      </c>
      <c r="Q10761" s="5" t="s">
        <v>355</v>
      </c>
    </row>
    <row r="10762" ht="16.5" customHeight="1">
      <c r="O10762" s="5" t="s">
        <v>355</v>
      </c>
      <c r="P10762" s="5" t="s">
        <v>355</v>
      </c>
      <c r="Q10762" s="5" t="s">
        <v>355</v>
      </c>
    </row>
    <row r="10763" ht="16.5" customHeight="1">
      <c r="O10763" s="5" t="s">
        <v>355</v>
      </c>
      <c r="P10763" s="5" t="s">
        <v>355</v>
      </c>
      <c r="Q10763" s="5" t="s">
        <v>355</v>
      </c>
    </row>
    <row r="10764" ht="16.5" customHeight="1">
      <c r="O10764" s="5" t="s">
        <v>355</v>
      </c>
      <c r="P10764" s="5" t="s">
        <v>355</v>
      </c>
      <c r="Q10764" s="5" t="s">
        <v>355</v>
      </c>
    </row>
    <row r="10765" ht="16.5" customHeight="1">
      <c r="O10765" s="5" t="s">
        <v>355</v>
      </c>
      <c r="P10765" s="5" t="s">
        <v>355</v>
      </c>
      <c r="Q10765" s="5" t="s">
        <v>355</v>
      </c>
    </row>
    <row r="10766" ht="16.5" customHeight="1">
      <c r="O10766" s="5" t="s">
        <v>355</v>
      </c>
      <c r="P10766" s="5" t="s">
        <v>355</v>
      </c>
      <c r="Q10766" s="5" t="s">
        <v>355</v>
      </c>
    </row>
    <row r="10767" ht="16.5" customHeight="1">
      <c r="O10767" s="5" t="s">
        <v>355</v>
      </c>
      <c r="P10767" s="5" t="s">
        <v>355</v>
      </c>
      <c r="Q10767" s="5" t="s">
        <v>355</v>
      </c>
    </row>
    <row r="10768" ht="16.5" customHeight="1">
      <c r="O10768" s="5" t="s">
        <v>355</v>
      </c>
      <c r="P10768" s="5" t="s">
        <v>355</v>
      </c>
      <c r="Q10768" s="5" t="s">
        <v>355</v>
      </c>
    </row>
    <row r="10769" ht="16.5" customHeight="1">
      <c r="O10769" s="5" t="s">
        <v>355</v>
      </c>
      <c r="P10769" s="5" t="s">
        <v>355</v>
      </c>
      <c r="Q10769" s="5" t="s">
        <v>355</v>
      </c>
    </row>
    <row r="10770" ht="16.5" customHeight="1">
      <c r="O10770" s="5" t="s">
        <v>355</v>
      </c>
      <c r="P10770" s="5" t="s">
        <v>355</v>
      </c>
      <c r="Q10770" s="5" t="s">
        <v>355</v>
      </c>
    </row>
    <row r="10771" ht="16.5" customHeight="1">
      <c r="O10771" s="5" t="s">
        <v>355</v>
      </c>
      <c r="P10771" s="5" t="s">
        <v>355</v>
      </c>
      <c r="Q10771" s="5" t="s">
        <v>355</v>
      </c>
    </row>
    <row r="10772" ht="16.5" customHeight="1">
      <c r="O10772" s="5" t="s">
        <v>355</v>
      </c>
      <c r="P10772" s="5" t="s">
        <v>355</v>
      </c>
      <c r="Q10772" s="5" t="s">
        <v>355</v>
      </c>
    </row>
    <row r="10773" ht="16.5" customHeight="1">
      <c r="O10773" s="5" t="s">
        <v>355</v>
      </c>
      <c r="P10773" s="5" t="s">
        <v>355</v>
      </c>
      <c r="Q10773" s="5" t="s">
        <v>355</v>
      </c>
    </row>
    <row r="10774" ht="16.5" customHeight="1">
      <c r="O10774" s="5" t="s">
        <v>355</v>
      </c>
      <c r="P10774" s="5" t="s">
        <v>355</v>
      </c>
      <c r="Q10774" s="5" t="s">
        <v>355</v>
      </c>
    </row>
    <row r="10775" ht="16.5" customHeight="1">
      <c r="O10775" s="5" t="s">
        <v>355</v>
      </c>
      <c r="P10775" s="5" t="s">
        <v>355</v>
      </c>
      <c r="Q10775" s="5" t="s">
        <v>355</v>
      </c>
    </row>
    <row r="10776" ht="16.5" customHeight="1">
      <c r="O10776" s="5" t="s">
        <v>355</v>
      </c>
      <c r="P10776" s="5" t="s">
        <v>355</v>
      </c>
      <c r="Q10776" s="5" t="s">
        <v>355</v>
      </c>
    </row>
    <row r="10777" ht="16.5" customHeight="1">
      <c r="O10777" s="5" t="s">
        <v>355</v>
      </c>
      <c r="P10777" s="5" t="s">
        <v>355</v>
      </c>
      <c r="Q10777" s="5" t="s">
        <v>355</v>
      </c>
    </row>
    <row r="10778" ht="16.5" customHeight="1">
      <c r="O10778" s="5" t="s">
        <v>355</v>
      </c>
      <c r="P10778" s="5" t="s">
        <v>355</v>
      </c>
      <c r="Q10778" s="5" t="s">
        <v>355</v>
      </c>
    </row>
    <row r="10779" ht="16.5" customHeight="1">
      <c r="O10779" s="5" t="s">
        <v>355</v>
      </c>
      <c r="P10779" s="5" t="s">
        <v>355</v>
      </c>
      <c r="Q10779" s="5" t="s">
        <v>355</v>
      </c>
    </row>
    <row r="10780" ht="16.5" customHeight="1">
      <c r="O10780" s="5" t="s">
        <v>355</v>
      </c>
      <c r="P10780" s="5" t="s">
        <v>355</v>
      </c>
      <c r="Q10780" s="5" t="s">
        <v>355</v>
      </c>
    </row>
    <row r="10781" ht="16.5" customHeight="1">
      <c r="O10781" s="5" t="s">
        <v>355</v>
      </c>
      <c r="P10781" s="5" t="s">
        <v>355</v>
      </c>
      <c r="Q10781" s="5" t="s">
        <v>355</v>
      </c>
    </row>
    <row r="10782" ht="16.5" customHeight="1">
      <c r="O10782" s="5" t="s">
        <v>355</v>
      </c>
      <c r="P10782" s="5" t="s">
        <v>355</v>
      </c>
      <c r="Q10782" s="5" t="s">
        <v>355</v>
      </c>
    </row>
    <row r="10783" ht="16.5" customHeight="1">
      <c r="O10783" s="5" t="s">
        <v>355</v>
      </c>
      <c r="P10783" s="5" t="s">
        <v>355</v>
      </c>
      <c r="Q10783" s="5" t="s">
        <v>355</v>
      </c>
    </row>
    <row r="10784" ht="16.5" customHeight="1">
      <c r="O10784" s="5" t="s">
        <v>355</v>
      </c>
      <c r="P10784" s="5" t="s">
        <v>355</v>
      </c>
      <c r="Q10784" s="5" t="s">
        <v>355</v>
      </c>
    </row>
    <row r="10785" ht="16.5" customHeight="1">
      <c r="O10785" s="5" t="s">
        <v>355</v>
      </c>
      <c r="P10785" s="5" t="s">
        <v>355</v>
      </c>
      <c r="Q10785" s="5" t="s">
        <v>355</v>
      </c>
    </row>
    <row r="10786" ht="16.5" customHeight="1">
      <c r="O10786" s="5" t="s">
        <v>355</v>
      </c>
      <c r="P10786" s="5" t="s">
        <v>355</v>
      </c>
      <c r="Q10786" s="5" t="s">
        <v>355</v>
      </c>
    </row>
    <row r="10787" ht="16.5" customHeight="1">
      <c r="O10787" s="5" t="s">
        <v>355</v>
      </c>
      <c r="P10787" s="5" t="s">
        <v>355</v>
      </c>
      <c r="Q10787" s="5" t="s">
        <v>355</v>
      </c>
    </row>
    <row r="10788" ht="16.5" customHeight="1">
      <c r="O10788" s="5" t="s">
        <v>355</v>
      </c>
      <c r="P10788" s="5" t="s">
        <v>355</v>
      </c>
      <c r="Q10788" s="5" t="s">
        <v>355</v>
      </c>
    </row>
    <row r="10789" ht="16.5" customHeight="1">
      <c r="O10789" s="5" t="s">
        <v>355</v>
      </c>
      <c r="P10789" s="5" t="s">
        <v>355</v>
      </c>
      <c r="Q10789" s="5" t="s">
        <v>355</v>
      </c>
    </row>
    <row r="10790" ht="16.5" customHeight="1">
      <c r="O10790" s="5" t="s">
        <v>355</v>
      </c>
      <c r="P10790" s="5" t="s">
        <v>355</v>
      </c>
      <c r="Q10790" s="5" t="s">
        <v>355</v>
      </c>
    </row>
    <row r="10791" ht="16.5" customHeight="1">
      <c r="O10791" s="5" t="s">
        <v>355</v>
      </c>
      <c r="P10791" s="5" t="s">
        <v>355</v>
      </c>
      <c r="Q10791" s="5" t="s">
        <v>355</v>
      </c>
    </row>
    <row r="10792" ht="16.5" customHeight="1">
      <c r="O10792" s="5" t="s">
        <v>355</v>
      </c>
      <c r="P10792" s="5" t="s">
        <v>355</v>
      </c>
      <c r="Q10792" s="5" t="s">
        <v>355</v>
      </c>
    </row>
    <row r="10793" ht="16.5" customHeight="1">
      <c r="O10793" s="5" t="s">
        <v>355</v>
      </c>
      <c r="P10793" s="5" t="s">
        <v>355</v>
      </c>
      <c r="Q10793" s="5" t="s">
        <v>355</v>
      </c>
    </row>
    <row r="10794" ht="16.5" customHeight="1">
      <c r="O10794" s="5" t="s">
        <v>355</v>
      </c>
      <c r="P10794" s="5" t="s">
        <v>355</v>
      </c>
      <c r="Q10794" s="5" t="s">
        <v>355</v>
      </c>
    </row>
    <row r="10795" ht="16.5" customHeight="1">
      <c r="O10795" s="5" t="s">
        <v>355</v>
      </c>
      <c r="P10795" s="5" t="s">
        <v>355</v>
      </c>
      <c r="Q10795" s="5" t="s">
        <v>355</v>
      </c>
    </row>
    <row r="10796" ht="16.5" customHeight="1">
      <c r="O10796" s="5" t="s">
        <v>355</v>
      </c>
      <c r="P10796" s="5" t="s">
        <v>355</v>
      </c>
      <c r="Q10796" s="5" t="s">
        <v>355</v>
      </c>
    </row>
    <row r="10797" ht="16.5" customHeight="1">
      <c r="O10797" s="5" t="s">
        <v>355</v>
      </c>
      <c r="P10797" s="5" t="s">
        <v>355</v>
      </c>
      <c r="Q10797" s="5" t="s">
        <v>355</v>
      </c>
    </row>
    <row r="10798" ht="16.5" customHeight="1">
      <c r="O10798" s="5" t="s">
        <v>355</v>
      </c>
      <c r="P10798" s="5" t="s">
        <v>355</v>
      </c>
      <c r="Q10798" s="5" t="s">
        <v>355</v>
      </c>
    </row>
    <row r="10799" ht="16.5" customHeight="1">
      <c r="O10799" s="5" t="s">
        <v>355</v>
      </c>
      <c r="P10799" s="5" t="s">
        <v>355</v>
      </c>
      <c r="Q10799" s="5" t="s">
        <v>355</v>
      </c>
    </row>
    <row r="10800" ht="16.5" customHeight="1">
      <c r="O10800" s="5" t="s">
        <v>355</v>
      </c>
      <c r="P10800" s="5" t="s">
        <v>355</v>
      </c>
      <c r="Q10800" s="5" t="s">
        <v>355</v>
      </c>
    </row>
    <row r="10801" ht="16.5" customHeight="1">
      <c r="O10801" s="5" t="s">
        <v>355</v>
      </c>
      <c r="P10801" s="5" t="s">
        <v>355</v>
      </c>
      <c r="Q10801" s="5" t="s">
        <v>355</v>
      </c>
    </row>
    <row r="10802" ht="16.5" customHeight="1">
      <c r="O10802" s="5" t="s">
        <v>355</v>
      </c>
      <c r="P10802" s="5" t="s">
        <v>355</v>
      </c>
      <c r="Q10802" s="5" t="s">
        <v>355</v>
      </c>
    </row>
    <row r="10803" ht="16.5" customHeight="1">
      <c r="O10803" s="5" t="s">
        <v>355</v>
      </c>
      <c r="P10803" s="5" t="s">
        <v>355</v>
      </c>
      <c r="Q10803" s="5" t="s">
        <v>355</v>
      </c>
    </row>
    <row r="10804" ht="16.5" customHeight="1">
      <c r="O10804" s="5" t="s">
        <v>355</v>
      </c>
      <c r="P10804" s="5" t="s">
        <v>355</v>
      </c>
      <c r="Q10804" s="5" t="s">
        <v>355</v>
      </c>
    </row>
    <row r="10805" ht="16.5" customHeight="1">
      <c r="O10805" s="5" t="s">
        <v>355</v>
      </c>
      <c r="P10805" s="5" t="s">
        <v>355</v>
      </c>
      <c r="Q10805" s="5" t="s">
        <v>355</v>
      </c>
    </row>
    <row r="10806" ht="16.5" customHeight="1">
      <c r="O10806" s="5" t="s">
        <v>355</v>
      </c>
      <c r="P10806" s="5" t="s">
        <v>355</v>
      </c>
      <c r="Q10806" s="5" t="s">
        <v>355</v>
      </c>
    </row>
    <row r="10807" ht="16.5" customHeight="1">
      <c r="O10807" s="5" t="s">
        <v>355</v>
      </c>
      <c r="P10807" s="5" t="s">
        <v>355</v>
      </c>
      <c r="Q10807" s="5" t="s">
        <v>355</v>
      </c>
    </row>
    <row r="10808" ht="16.5" customHeight="1">
      <c r="O10808" s="5" t="s">
        <v>355</v>
      </c>
      <c r="P10808" s="5" t="s">
        <v>355</v>
      </c>
      <c r="Q10808" s="5" t="s">
        <v>355</v>
      </c>
    </row>
    <row r="10809" ht="16.5" customHeight="1">
      <c r="O10809" s="5" t="s">
        <v>355</v>
      </c>
      <c r="P10809" s="5" t="s">
        <v>355</v>
      </c>
      <c r="Q10809" s="5" t="s">
        <v>355</v>
      </c>
    </row>
    <row r="10810" ht="16.5" customHeight="1">
      <c r="O10810" s="5" t="s">
        <v>355</v>
      </c>
      <c r="P10810" s="5" t="s">
        <v>355</v>
      </c>
      <c r="Q10810" s="5" t="s">
        <v>355</v>
      </c>
    </row>
    <row r="10811" ht="16.5" customHeight="1">
      <c r="O10811" s="5" t="s">
        <v>355</v>
      </c>
      <c r="P10811" s="5" t="s">
        <v>355</v>
      </c>
      <c r="Q10811" s="5" t="s">
        <v>355</v>
      </c>
    </row>
    <row r="10812" ht="16.5" customHeight="1">
      <c r="O10812" s="5" t="s">
        <v>355</v>
      </c>
      <c r="P10812" s="5" t="s">
        <v>355</v>
      </c>
      <c r="Q10812" s="5" t="s">
        <v>355</v>
      </c>
    </row>
    <row r="10813" ht="16.5" customHeight="1">
      <c r="O10813" s="5" t="s">
        <v>355</v>
      </c>
      <c r="P10813" s="5" t="s">
        <v>355</v>
      </c>
      <c r="Q10813" s="5" t="s">
        <v>355</v>
      </c>
    </row>
    <row r="10814" ht="16.5" customHeight="1">
      <c r="O10814" s="5" t="s">
        <v>355</v>
      </c>
      <c r="P10814" s="5" t="s">
        <v>355</v>
      </c>
      <c r="Q10814" s="5" t="s">
        <v>355</v>
      </c>
    </row>
    <row r="10815" ht="16.5" customHeight="1">
      <c r="O10815" s="5" t="s">
        <v>355</v>
      </c>
      <c r="P10815" s="5" t="s">
        <v>355</v>
      </c>
      <c r="Q10815" s="5" t="s">
        <v>355</v>
      </c>
    </row>
    <row r="10816" ht="16.5" customHeight="1">
      <c r="O10816" s="5" t="s">
        <v>355</v>
      </c>
      <c r="P10816" s="5" t="s">
        <v>355</v>
      </c>
      <c r="Q10816" s="5" t="s">
        <v>355</v>
      </c>
    </row>
    <row r="10817" ht="16.5" customHeight="1">
      <c r="O10817" s="5" t="s">
        <v>355</v>
      </c>
      <c r="P10817" s="5" t="s">
        <v>355</v>
      </c>
      <c r="Q10817" s="5" t="s">
        <v>355</v>
      </c>
    </row>
    <row r="10818" ht="16.5" customHeight="1">
      <c r="O10818" s="5" t="s">
        <v>355</v>
      </c>
      <c r="P10818" s="5" t="s">
        <v>355</v>
      </c>
      <c r="Q10818" s="5" t="s">
        <v>355</v>
      </c>
    </row>
    <row r="10819" ht="16.5" customHeight="1">
      <c r="O10819" s="5" t="s">
        <v>355</v>
      </c>
      <c r="P10819" s="5" t="s">
        <v>355</v>
      </c>
      <c r="Q10819" s="5" t="s">
        <v>355</v>
      </c>
    </row>
    <row r="10820" ht="16.5" customHeight="1">
      <c r="O10820" s="5" t="s">
        <v>355</v>
      </c>
      <c r="P10820" s="5" t="s">
        <v>355</v>
      </c>
      <c r="Q10820" s="5" t="s">
        <v>355</v>
      </c>
    </row>
    <row r="10821" ht="16.5" customHeight="1">
      <c r="O10821" s="5" t="s">
        <v>355</v>
      </c>
      <c r="P10821" s="5" t="s">
        <v>355</v>
      </c>
      <c r="Q10821" s="5" t="s">
        <v>355</v>
      </c>
    </row>
    <row r="10822" ht="16.5" customHeight="1">
      <c r="O10822" s="5" t="s">
        <v>355</v>
      </c>
      <c r="P10822" s="5" t="s">
        <v>355</v>
      </c>
      <c r="Q10822" s="5" t="s">
        <v>355</v>
      </c>
    </row>
    <row r="10823" ht="16.5" customHeight="1">
      <c r="O10823" s="5" t="s">
        <v>355</v>
      </c>
      <c r="P10823" s="5" t="s">
        <v>355</v>
      </c>
      <c r="Q10823" s="5" t="s">
        <v>355</v>
      </c>
    </row>
    <row r="10824" ht="16.5" customHeight="1">
      <c r="O10824" s="5" t="s">
        <v>355</v>
      </c>
      <c r="P10824" s="5" t="s">
        <v>355</v>
      </c>
      <c r="Q10824" s="5" t="s">
        <v>355</v>
      </c>
    </row>
    <row r="10825" ht="16.5" customHeight="1">
      <c r="O10825" s="5" t="s">
        <v>355</v>
      </c>
      <c r="P10825" s="5" t="s">
        <v>355</v>
      </c>
      <c r="Q10825" s="5" t="s">
        <v>355</v>
      </c>
    </row>
    <row r="10826" ht="16.5" customHeight="1">
      <c r="O10826" s="5" t="s">
        <v>355</v>
      </c>
      <c r="P10826" s="5" t="s">
        <v>355</v>
      </c>
      <c r="Q10826" s="5" t="s">
        <v>355</v>
      </c>
    </row>
    <row r="10827" ht="16.5" customHeight="1">
      <c r="O10827" s="5" t="s">
        <v>355</v>
      </c>
      <c r="P10827" s="5" t="s">
        <v>355</v>
      </c>
      <c r="Q10827" s="5" t="s">
        <v>355</v>
      </c>
    </row>
    <row r="10828" ht="16.5" customHeight="1">
      <c r="O10828" s="5" t="s">
        <v>355</v>
      </c>
      <c r="P10828" s="5" t="s">
        <v>355</v>
      </c>
      <c r="Q10828" s="5" t="s">
        <v>355</v>
      </c>
    </row>
    <row r="10829" ht="16.5" customHeight="1">
      <c r="O10829" s="5" t="s">
        <v>355</v>
      </c>
      <c r="P10829" s="5" t="s">
        <v>355</v>
      </c>
      <c r="Q10829" s="5" t="s">
        <v>355</v>
      </c>
    </row>
    <row r="10830" ht="16.5" customHeight="1">
      <c r="O10830" s="5" t="s">
        <v>355</v>
      </c>
      <c r="P10830" s="5" t="s">
        <v>355</v>
      </c>
      <c r="Q10830" s="5" t="s">
        <v>355</v>
      </c>
    </row>
    <row r="10831" ht="16.5" customHeight="1">
      <c r="O10831" s="5" t="s">
        <v>355</v>
      </c>
      <c r="P10831" s="5" t="s">
        <v>355</v>
      </c>
      <c r="Q10831" s="5" t="s">
        <v>355</v>
      </c>
    </row>
    <row r="10832" ht="16.5" customHeight="1">
      <c r="O10832" s="5" t="s">
        <v>355</v>
      </c>
      <c r="P10832" s="5" t="s">
        <v>355</v>
      </c>
      <c r="Q10832" s="5" t="s">
        <v>355</v>
      </c>
    </row>
    <row r="10833" ht="16.5" customHeight="1">
      <c r="O10833" s="5" t="s">
        <v>355</v>
      </c>
      <c r="P10833" s="5" t="s">
        <v>355</v>
      </c>
      <c r="Q10833" s="5" t="s">
        <v>355</v>
      </c>
    </row>
    <row r="10834" ht="16.5" customHeight="1">
      <c r="O10834" s="5" t="s">
        <v>355</v>
      </c>
      <c r="P10834" s="5" t="s">
        <v>355</v>
      </c>
      <c r="Q10834" s="5" t="s">
        <v>355</v>
      </c>
    </row>
    <row r="10835" ht="16.5" customHeight="1">
      <c r="O10835" s="5" t="s">
        <v>355</v>
      </c>
      <c r="P10835" s="5" t="s">
        <v>355</v>
      </c>
      <c r="Q10835" s="5" t="s">
        <v>355</v>
      </c>
    </row>
    <row r="10836" ht="16.5" customHeight="1">
      <c r="O10836" s="5" t="s">
        <v>355</v>
      </c>
      <c r="P10836" s="5" t="s">
        <v>355</v>
      </c>
      <c r="Q10836" s="5" t="s">
        <v>355</v>
      </c>
    </row>
    <row r="10837" ht="16.5" customHeight="1">
      <c r="O10837" s="5" t="s">
        <v>355</v>
      </c>
      <c r="P10837" s="5" t="s">
        <v>355</v>
      </c>
      <c r="Q10837" s="5" t="s">
        <v>355</v>
      </c>
    </row>
    <row r="10838" ht="16.5" customHeight="1">
      <c r="O10838" s="5" t="s">
        <v>355</v>
      </c>
      <c r="P10838" s="5" t="s">
        <v>355</v>
      </c>
      <c r="Q10838" s="5" t="s">
        <v>355</v>
      </c>
    </row>
    <row r="10839" ht="16.5" customHeight="1">
      <c r="O10839" s="5" t="s">
        <v>355</v>
      </c>
      <c r="P10839" s="5" t="s">
        <v>355</v>
      </c>
      <c r="Q10839" s="5" t="s">
        <v>355</v>
      </c>
    </row>
    <row r="10840" ht="16.5" customHeight="1">
      <c r="O10840" s="5" t="s">
        <v>355</v>
      </c>
      <c r="P10840" s="5" t="s">
        <v>355</v>
      </c>
      <c r="Q10840" s="5" t="s">
        <v>355</v>
      </c>
    </row>
    <row r="10841" ht="16.5" customHeight="1">
      <c r="O10841" s="5" t="s">
        <v>355</v>
      </c>
      <c r="P10841" s="5" t="s">
        <v>355</v>
      </c>
      <c r="Q10841" s="5" t="s">
        <v>355</v>
      </c>
    </row>
    <row r="10842" ht="16.5" customHeight="1">
      <c r="O10842" s="5" t="s">
        <v>355</v>
      </c>
      <c r="P10842" s="5" t="s">
        <v>355</v>
      </c>
      <c r="Q10842" s="5" t="s">
        <v>355</v>
      </c>
    </row>
    <row r="10843" ht="16.5" customHeight="1">
      <c r="O10843" s="5" t="s">
        <v>355</v>
      </c>
      <c r="P10843" s="5" t="s">
        <v>355</v>
      </c>
      <c r="Q10843" s="5" t="s">
        <v>355</v>
      </c>
    </row>
    <row r="10844" ht="16.5" customHeight="1">
      <c r="O10844" s="5" t="s">
        <v>355</v>
      </c>
      <c r="P10844" s="5" t="s">
        <v>355</v>
      </c>
      <c r="Q10844" s="5" t="s">
        <v>355</v>
      </c>
    </row>
    <row r="10845" ht="16.5" customHeight="1">
      <c r="O10845" s="5" t="s">
        <v>355</v>
      </c>
      <c r="P10845" s="5" t="s">
        <v>355</v>
      </c>
      <c r="Q10845" s="5" t="s">
        <v>355</v>
      </c>
    </row>
    <row r="10846" ht="16.5" customHeight="1">
      <c r="O10846" s="5" t="s">
        <v>355</v>
      </c>
      <c r="P10846" s="5" t="s">
        <v>355</v>
      </c>
      <c r="Q10846" s="5" t="s">
        <v>355</v>
      </c>
    </row>
    <row r="10847" ht="16.5" customHeight="1">
      <c r="O10847" s="5" t="s">
        <v>355</v>
      </c>
      <c r="P10847" s="5" t="s">
        <v>355</v>
      </c>
      <c r="Q10847" s="5" t="s">
        <v>355</v>
      </c>
    </row>
    <row r="10848" ht="16.5" customHeight="1">
      <c r="O10848" s="5" t="s">
        <v>355</v>
      </c>
      <c r="P10848" s="5" t="s">
        <v>355</v>
      </c>
      <c r="Q10848" s="5" t="s">
        <v>355</v>
      </c>
    </row>
    <row r="10849" ht="16.5" customHeight="1">
      <c r="O10849" s="5" t="s">
        <v>355</v>
      </c>
      <c r="P10849" s="5" t="s">
        <v>355</v>
      </c>
      <c r="Q10849" s="5" t="s">
        <v>355</v>
      </c>
    </row>
    <row r="10850" ht="16.5" customHeight="1">
      <c r="O10850" s="5" t="s">
        <v>355</v>
      </c>
      <c r="P10850" s="5" t="s">
        <v>355</v>
      </c>
      <c r="Q10850" s="5" t="s">
        <v>355</v>
      </c>
    </row>
    <row r="10851" ht="16.5" customHeight="1">
      <c r="O10851" s="5" t="s">
        <v>355</v>
      </c>
      <c r="P10851" s="5" t="s">
        <v>355</v>
      </c>
      <c r="Q10851" s="5" t="s">
        <v>355</v>
      </c>
    </row>
    <row r="10852" ht="16.5" customHeight="1">
      <c r="O10852" s="5" t="s">
        <v>355</v>
      </c>
      <c r="P10852" s="5" t="s">
        <v>355</v>
      </c>
      <c r="Q10852" s="5" t="s">
        <v>355</v>
      </c>
    </row>
    <row r="10853" ht="16.5" customHeight="1">
      <c r="O10853" s="5" t="s">
        <v>355</v>
      </c>
      <c r="P10853" s="5" t="s">
        <v>355</v>
      </c>
      <c r="Q10853" s="5" t="s">
        <v>355</v>
      </c>
    </row>
    <row r="10854" ht="16.5" customHeight="1">
      <c r="O10854" s="5" t="s">
        <v>355</v>
      </c>
      <c r="P10854" s="5" t="s">
        <v>355</v>
      </c>
      <c r="Q10854" s="5" t="s">
        <v>355</v>
      </c>
    </row>
    <row r="10855" ht="16.5" customHeight="1">
      <c r="O10855" s="5" t="s">
        <v>355</v>
      </c>
      <c r="P10855" s="5" t="s">
        <v>355</v>
      </c>
      <c r="Q10855" s="5" t="s">
        <v>355</v>
      </c>
    </row>
    <row r="10856" ht="16.5" customHeight="1">
      <c r="O10856" s="5" t="s">
        <v>355</v>
      </c>
      <c r="P10856" s="5" t="s">
        <v>355</v>
      </c>
      <c r="Q10856" s="5" t="s">
        <v>355</v>
      </c>
    </row>
    <row r="10857" ht="16.5" customHeight="1">
      <c r="O10857" s="5" t="s">
        <v>355</v>
      </c>
      <c r="P10857" s="5" t="s">
        <v>355</v>
      </c>
      <c r="Q10857" s="5" t="s">
        <v>355</v>
      </c>
    </row>
    <row r="10858" ht="16.5" customHeight="1">
      <c r="O10858" s="5" t="s">
        <v>355</v>
      </c>
      <c r="P10858" s="5" t="s">
        <v>355</v>
      </c>
      <c r="Q10858" s="5" t="s">
        <v>355</v>
      </c>
    </row>
    <row r="10859" ht="16.5" customHeight="1">
      <c r="O10859" s="5" t="s">
        <v>355</v>
      </c>
      <c r="P10859" s="5" t="s">
        <v>355</v>
      </c>
      <c r="Q10859" s="5" t="s">
        <v>355</v>
      </c>
    </row>
    <row r="10860" ht="16.5" customHeight="1">
      <c r="O10860" s="5" t="s">
        <v>355</v>
      </c>
      <c r="P10860" s="5" t="s">
        <v>355</v>
      </c>
      <c r="Q10860" s="5" t="s">
        <v>355</v>
      </c>
    </row>
    <row r="10861" ht="16.5" customHeight="1">
      <c r="O10861" s="5" t="s">
        <v>355</v>
      </c>
      <c r="P10861" s="5" t="s">
        <v>355</v>
      </c>
      <c r="Q10861" s="5" t="s">
        <v>355</v>
      </c>
    </row>
    <row r="10862" ht="16.5" customHeight="1">
      <c r="O10862" s="5" t="s">
        <v>355</v>
      </c>
      <c r="P10862" s="5" t="s">
        <v>355</v>
      </c>
      <c r="Q10862" s="5" t="s">
        <v>355</v>
      </c>
    </row>
    <row r="10863" ht="16.5" customHeight="1">
      <c r="O10863" s="5" t="s">
        <v>355</v>
      </c>
      <c r="P10863" s="5" t="s">
        <v>355</v>
      </c>
      <c r="Q10863" s="5" t="s">
        <v>355</v>
      </c>
    </row>
    <row r="10864" ht="16.5" customHeight="1">
      <c r="O10864" s="5" t="s">
        <v>355</v>
      </c>
      <c r="P10864" s="5" t="s">
        <v>355</v>
      </c>
      <c r="Q10864" s="5" t="s">
        <v>355</v>
      </c>
    </row>
    <row r="10865" ht="16.5" customHeight="1">
      <c r="O10865" s="5" t="s">
        <v>355</v>
      </c>
      <c r="P10865" s="5" t="s">
        <v>355</v>
      </c>
      <c r="Q10865" s="5" t="s">
        <v>355</v>
      </c>
    </row>
    <row r="10866" ht="16.5" customHeight="1">
      <c r="O10866" s="5" t="s">
        <v>355</v>
      </c>
      <c r="P10866" s="5" t="s">
        <v>355</v>
      </c>
      <c r="Q10866" s="5" t="s">
        <v>355</v>
      </c>
    </row>
    <row r="10867" ht="16.5" customHeight="1">
      <c r="O10867" s="5" t="s">
        <v>355</v>
      </c>
      <c r="P10867" s="5" t="s">
        <v>355</v>
      </c>
      <c r="Q10867" s="5" t="s">
        <v>355</v>
      </c>
    </row>
    <row r="10868" ht="16.5" customHeight="1">
      <c r="O10868" s="5" t="s">
        <v>355</v>
      </c>
      <c r="P10868" s="5" t="s">
        <v>355</v>
      </c>
      <c r="Q10868" s="5" t="s">
        <v>355</v>
      </c>
    </row>
    <row r="10869" ht="16.5" customHeight="1">
      <c r="O10869" s="5" t="s">
        <v>355</v>
      </c>
      <c r="P10869" s="5" t="s">
        <v>355</v>
      </c>
      <c r="Q10869" s="5" t="s">
        <v>355</v>
      </c>
    </row>
    <row r="10870" ht="16.5" customHeight="1">
      <c r="O10870" s="5" t="s">
        <v>355</v>
      </c>
      <c r="P10870" s="5" t="s">
        <v>355</v>
      </c>
      <c r="Q10870" s="5" t="s">
        <v>355</v>
      </c>
    </row>
    <row r="10871" ht="16.5" customHeight="1">
      <c r="O10871" s="5" t="s">
        <v>355</v>
      </c>
      <c r="P10871" s="5" t="s">
        <v>355</v>
      </c>
      <c r="Q10871" s="5" t="s">
        <v>355</v>
      </c>
    </row>
    <row r="10872" ht="16.5" customHeight="1">
      <c r="O10872" s="5" t="s">
        <v>355</v>
      </c>
      <c r="P10872" s="5" t="s">
        <v>355</v>
      </c>
      <c r="Q10872" s="5" t="s">
        <v>355</v>
      </c>
    </row>
    <row r="10873" ht="16.5" customHeight="1">
      <c r="O10873" s="5" t="s">
        <v>355</v>
      </c>
      <c r="P10873" s="5" t="s">
        <v>355</v>
      </c>
      <c r="Q10873" s="5" t="s">
        <v>355</v>
      </c>
    </row>
    <row r="10874" ht="16.5" customHeight="1">
      <c r="O10874" s="5" t="s">
        <v>355</v>
      </c>
      <c r="P10874" s="5" t="s">
        <v>355</v>
      </c>
      <c r="Q10874" s="5" t="s">
        <v>355</v>
      </c>
    </row>
    <row r="10875" ht="16.5" customHeight="1">
      <c r="O10875" s="5" t="s">
        <v>355</v>
      </c>
      <c r="P10875" s="5" t="s">
        <v>355</v>
      </c>
      <c r="Q10875" s="5" t="s">
        <v>355</v>
      </c>
    </row>
    <row r="10876" ht="16.5" customHeight="1">
      <c r="O10876" s="5" t="s">
        <v>355</v>
      </c>
      <c r="P10876" s="5" t="s">
        <v>355</v>
      </c>
      <c r="Q10876" s="5" t="s">
        <v>355</v>
      </c>
    </row>
    <row r="10877" ht="16.5" customHeight="1">
      <c r="O10877" s="5" t="s">
        <v>355</v>
      </c>
      <c r="P10877" s="5" t="s">
        <v>355</v>
      </c>
      <c r="Q10877" s="5" t="s">
        <v>355</v>
      </c>
    </row>
    <row r="10878" ht="16.5" customHeight="1">
      <c r="O10878" s="5" t="s">
        <v>355</v>
      </c>
      <c r="P10878" s="5" t="s">
        <v>355</v>
      </c>
      <c r="Q10878" s="5" t="s">
        <v>355</v>
      </c>
    </row>
    <row r="10879" ht="16.5" customHeight="1">
      <c r="O10879" s="5" t="s">
        <v>355</v>
      </c>
      <c r="P10879" s="5" t="s">
        <v>355</v>
      </c>
      <c r="Q10879" s="5" t="s">
        <v>355</v>
      </c>
    </row>
    <row r="10880" ht="16.5" customHeight="1">
      <c r="O10880" s="5" t="s">
        <v>355</v>
      </c>
      <c r="P10880" s="5" t="s">
        <v>355</v>
      </c>
      <c r="Q10880" s="5" t="s">
        <v>355</v>
      </c>
    </row>
    <row r="10881" ht="16.5" customHeight="1">
      <c r="O10881" s="5" t="s">
        <v>355</v>
      </c>
      <c r="P10881" s="5" t="s">
        <v>355</v>
      </c>
      <c r="Q10881" s="5" t="s">
        <v>355</v>
      </c>
    </row>
    <row r="10882" ht="16.5" customHeight="1">
      <c r="O10882" s="5" t="s">
        <v>355</v>
      </c>
      <c r="P10882" s="5" t="s">
        <v>355</v>
      </c>
      <c r="Q10882" s="5" t="s">
        <v>355</v>
      </c>
    </row>
    <row r="10883" ht="16.5" customHeight="1">
      <c r="O10883" s="5" t="s">
        <v>355</v>
      </c>
      <c r="P10883" s="5" t="s">
        <v>355</v>
      </c>
      <c r="Q10883" s="5" t="s">
        <v>355</v>
      </c>
    </row>
    <row r="10884" ht="16.5" customHeight="1">
      <c r="O10884" s="5" t="s">
        <v>355</v>
      </c>
      <c r="P10884" s="5" t="s">
        <v>355</v>
      </c>
      <c r="Q10884" s="5" t="s">
        <v>355</v>
      </c>
    </row>
    <row r="10885" ht="16.5" customHeight="1">
      <c r="O10885" s="5" t="s">
        <v>355</v>
      </c>
      <c r="P10885" s="5" t="s">
        <v>355</v>
      </c>
      <c r="Q10885" s="5" t="s">
        <v>355</v>
      </c>
    </row>
    <row r="10886" ht="16.5" customHeight="1">
      <c r="O10886" s="5" t="s">
        <v>355</v>
      </c>
      <c r="P10886" s="5" t="s">
        <v>355</v>
      </c>
      <c r="Q10886" s="5" t="s">
        <v>355</v>
      </c>
    </row>
    <row r="10887" ht="16.5" customHeight="1">
      <c r="O10887" s="5" t="s">
        <v>355</v>
      </c>
      <c r="P10887" s="5" t="s">
        <v>355</v>
      </c>
      <c r="Q10887" s="5" t="s">
        <v>355</v>
      </c>
    </row>
    <row r="10888" ht="16.5" customHeight="1">
      <c r="O10888" s="5" t="s">
        <v>355</v>
      </c>
      <c r="P10888" s="5" t="s">
        <v>355</v>
      </c>
      <c r="Q10888" s="5" t="s">
        <v>355</v>
      </c>
    </row>
    <row r="10889" ht="16.5" customHeight="1">
      <c r="O10889" s="5" t="s">
        <v>355</v>
      </c>
      <c r="P10889" s="5" t="s">
        <v>355</v>
      </c>
      <c r="Q10889" s="5" t="s">
        <v>355</v>
      </c>
    </row>
    <row r="10890" ht="16.5" customHeight="1">
      <c r="O10890" s="5" t="s">
        <v>355</v>
      </c>
      <c r="P10890" s="5" t="s">
        <v>355</v>
      </c>
      <c r="Q10890" s="5" t="s">
        <v>355</v>
      </c>
    </row>
    <row r="10891" ht="16.5" customHeight="1">
      <c r="O10891" s="5" t="s">
        <v>355</v>
      </c>
      <c r="P10891" s="5" t="s">
        <v>355</v>
      </c>
      <c r="Q10891" s="5" t="s">
        <v>355</v>
      </c>
    </row>
    <row r="10892" ht="16.5" customHeight="1">
      <c r="O10892" s="5" t="s">
        <v>355</v>
      </c>
      <c r="P10892" s="5" t="s">
        <v>355</v>
      </c>
      <c r="Q10892" s="5" t="s">
        <v>355</v>
      </c>
    </row>
    <row r="10893" ht="16.5" customHeight="1">
      <c r="O10893" s="5" t="s">
        <v>355</v>
      </c>
      <c r="P10893" s="5" t="s">
        <v>355</v>
      </c>
      <c r="Q10893" s="5" t="s">
        <v>355</v>
      </c>
    </row>
    <row r="10894" ht="16.5" customHeight="1">
      <c r="O10894" s="5" t="s">
        <v>355</v>
      </c>
      <c r="P10894" s="5" t="s">
        <v>355</v>
      </c>
      <c r="Q10894" s="5" t="s">
        <v>355</v>
      </c>
    </row>
    <row r="10895" ht="16.5" customHeight="1">
      <c r="O10895" s="5" t="s">
        <v>355</v>
      </c>
      <c r="P10895" s="5" t="s">
        <v>355</v>
      </c>
      <c r="Q10895" s="5" t="s">
        <v>355</v>
      </c>
    </row>
    <row r="10896" ht="16.5" customHeight="1">
      <c r="O10896" s="5" t="s">
        <v>355</v>
      </c>
      <c r="P10896" s="5" t="s">
        <v>355</v>
      </c>
      <c r="Q10896" s="5" t="s">
        <v>355</v>
      </c>
    </row>
    <row r="10897" ht="16.5" customHeight="1">
      <c r="O10897" s="5" t="s">
        <v>355</v>
      </c>
      <c r="P10897" s="5" t="s">
        <v>355</v>
      </c>
      <c r="Q10897" s="5" t="s">
        <v>355</v>
      </c>
    </row>
    <row r="10898" ht="16.5" customHeight="1">
      <c r="O10898" s="5" t="s">
        <v>355</v>
      </c>
      <c r="P10898" s="5" t="s">
        <v>355</v>
      </c>
      <c r="Q10898" s="5" t="s">
        <v>355</v>
      </c>
    </row>
    <row r="10899" ht="16.5" customHeight="1">
      <c r="O10899" s="5" t="s">
        <v>355</v>
      </c>
      <c r="P10899" s="5" t="s">
        <v>355</v>
      </c>
      <c r="Q10899" s="5" t="s">
        <v>355</v>
      </c>
    </row>
    <row r="10900" ht="16.5" customHeight="1">
      <c r="O10900" s="5" t="s">
        <v>355</v>
      </c>
      <c r="P10900" s="5" t="s">
        <v>355</v>
      </c>
      <c r="Q10900" s="5" t="s">
        <v>355</v>
      </c>
    </row>
    <row r="10901" ht="16.5" customHeight="1">
      <c r="O10901" s="5" t="s">
        <v>355</v>
      </c>
      <c r="P10901" s="5" t="s">
        <v>355</v>
      </c>
      <c r="Q10901" s="5" t="s">
        <v>355</v>
      </c>
    </row>
    <row r="10902" ht="16.5" customHeight="1">
      <c r="O10902" s="5" t="s">
        <v>355</v>
      </c>
      <c r="P10902" s="5" t="s">
        <v>355</v>
      </c>
      <c r="Q10902" s="5" t="s">
        <v>355</v>
      </c>
    </row>
    <row r="10903" ht="16.5" customHeight="1">
      <c r="O10903" s="5" t="s">
        <v>355</v>
      </c>
      <c r="P10903" s="5" t="s">
        <v>355</v>
      </c>
      <c r="Q10903" s="5" t="s">
        <v>355</v>
      </c>
    </row>
    <row r="10904" ht="16.5" customHeight="1">
      <c r="O10904" s="5" t="s">
        <v>355</v>
      </c>
      <c r="P10904" s="5" t="s">
        <v>355</v>
      </c>
      <c r="Q10904" s="5" t="s">
        <v>355</v>
      </c>
    </row>
    <row r="10905" ht="16.5" customHeight="1">
      <c r="O10905" s="5" t="s">
        <v>355</v>
      </c>
      <c r="P10905" s="5" t="s">
        <v>355</v>
      </c>
      <c r="Q10905" s="5" t="s">
        <v>355</v>
      </c>
    </row>
    <row r="10906" ht="16.5" customHeight="1">
      <c r="O10906" s="5" t="s">
        <v>355</v>
      </c>
      <c r="P10906" s="5" t="s">
        <v>355</v>
      </c>
      <c r="Q10906" s="5" t="s">
        <v>355</v>
      </c>
    </row>
    <row r="10907" ht="16.5" customHeight="1">
      <c r="O10907" s="5" t="s">
        <v>355</v>
      </c>
      <c r="P10907" s="5" t="s">
        <v>355</v>
      </c>
      <c r="Q10907" s="5" t="s">
        <v>355</v>
      </c>
    </row>
    <row r="10908" ht="16.5" customHeight="1">
      <c r="O10908" s="5" t="s">
        <v>355</v>
      </c>
      <c r="P10908" s="5" t="s">
        <v>355</v>
      </c>
      <c r="Q10908" s="5" t="s">
        <v>355</v>
      </c>
    </row>
    <row r="10909" ht="16.5" customHeight="1">
      <c r="O10909" s="5" t="s">
        <v>355</v>
      </c>
      <c r="P10909" s="5" t="s">
        <v>355</v>
      </c>
      <c r="Q10909" s="5" t="s">
        <v>355</v>
      </c>
    </row>
    <row r="10910" ht="16.5" customHeight="1">
      <c r="O10910" s="5" t="s">
        <v>355</v>
      </c>
      <c r="P10910" s="5" t="s">
        <v>355</v>
      </c>
      <c r="Q10910" s="5" t="s">
        <v>355</v>
      </c>
    </row>
    <row r="10911" ht="16.5" customHeight="1">
      <c r="O10911" s="5" t="s">
        <v>355</v>
      </c>
      <c r="P10911" s="5" t="s">
        <v>355</v>
      </c>
      <c r="Q10911" s="5" t="s">
        <v>355</v>
      </c>
    </row>
    <row r="10912" ht="16.5" customHeight="1">
      <c r="O10912" s="5" t="s">
        <v>355</v>
      </c>
      <c r="P10912" s="5" t="s">
        <v>355</v>
      </c>
      <c r="Q10912" s="5" t="s">
        <v>355</v>
      </c>
    </row>
    <row r="10913" ht="16.5" customHeight="1">
      <c r="O10913" s="5" t="s">
        <v>355</v>
      </c>
      <c r="P10913" s="5" t="s">
        <v>355</v>
      </c>
      <c r="Q10913" s="5" t="s">
        <v>355</v>
      </c>
    </row>
    <row r="10914" ht="16.5" customHeight="1">
      <c r="O10914" s="5" t="s">
        <v>355</v>
      </c>
      <c r="P10914" s="5" t="s">
        <v>355</v>
      </c>
      <c r="Q10914" s="5" t="s">
        <v>355</v>
      </c>
    </row>
    <row r="10915" ht="16.5" customHeight="1">
      <c r="O10915" s="5" t="s">
        <v>355</v>
      </c>
      <c r="P10915" s="5" t="s">
        <v>355</v>
      </c>
      <c r="Q10915" s="5" t="s">
        <v>355</v>
      </c>
    </row>
    <row r="10916" ht="16.5" customHeight="1">
      <c r="O10916" s="5" t="s">
        <v>355</v>
      </c>
      <c r="P10916" s="5" t="s">
        <v>355</v>
      </c>
      <c r="Q10916" s="5" t="s">
        <v>355</v>
      </c>
    </row>
    <row r="10917" ht="16.5" customHeight="1">
      <c r="O10917" s="5" t="s">
        <v>355</v>
      </c>
      <c r="P10917" s="5" t="s">
        <v>355</v>
      </c>
      <c r="Q10917" s="5" t="s">
        <v>355</v>
      </c>
    </row>
    <row r="10918" ht="16.5" customHeight="1">
      <c r="O10918" s="5" t="s">
        <v>355</v>
      </c>
      <c r="P10918" s="5" t="s">
        <v>355</v>
      </c>
      <c r="Q10918" s="5" t="s">
        <v>355</v>
      </c>
    </row>
    <row r="10919" ht="16.5" customHeight="1">
      <c r="O10919" s="5" t="s">
        <v>355</v>
      </c>
      <c r="P10919" s="5" t="s">
        <v>355</v>
      </c>
      <c r="Q10919" s="5" t="s">
        <v>355</v>
      </c>
    </row>
    <row r="10920" ht="16.5" customHeight="1">
      <c r="O10920" s="5" t="s">
        <v>355</v>
      </c>
      <c r="P10920" s="5" t="s">
        <v>355</v>
      </c>
      <c r="Q10920" s="5" t="s">
        <v>355</v>
      </c>
    </row>
    <row r="10921" ht="16.5" customHeight="1">
      <c r="O10921" s="5" t="s">
        <v>355</v>
      </c>
      <c r="P10921" s="5" t="s">
        <v>355</v>
      </c>
      <c r="Q10921" s="5" t="s">
        <v>355</v>
      </c>
    </row>
    <row r="10922" ht="16.5" customHeight="1">
      <c r="O10922" s="5" t="s">
        <v>355</v>
      </c>
      <c r="P10922" s="5" t="s">
        <v>355</v>
      </c>
      <c r="Q10922" s="5" t="s">
        <v>355</v>
      </c>
    </row>
    <row r="10923" ht="16.5" customHeight="1">
      <c r="O10923" s="5" t="s">
        <v>355</v>
      </c>
      <c r="P10923" s="5" t="s">
        <v>355</v>
      </c>
      <c r="Q10923" s="5" t="s">
        <v>355</v>
      </c>
    </row>
    <row r="10924" ht="16.5" customHeight="1">
      <c r="O10924" s="5" t="s">
        <v>355</v>
      </c>
      <c r="P10924" s="5" t="s">
        <v>355</v>
      </c>
      <c r="Q10924" s="5" t="s">
        <v>355</v>
      </c>
    </row>
    <row r="10925" ht="16.5" customHeight="1">
      <c r="O10925" s="5" t="s">
        <v>355</v>
      </c>
      <c r="P10925" s="5" t="s">
        <v>355</v>
      </c>
      <c r="Q10925" s="5" t="s">
        <v>355</v>
      </c>
    </row>
    <row r="10926" ht="16.5" customHeight="1">
      <c r="O10926" s="5" t="s">
        <v>355</v>
      </c>
      <c r="P10926" s="5" t="s">
        <v>355</v>
      </c>
      <c r="Q10926" s="5" t="s">
        <v>355</v>
      </c>
    </row>
    <row r="10927" ht="16.5" customHeight="1">
      <c r="O10927" s="5" t="s">
        <v>355</v>
      </c>
      <c r="P10927" s="5" t="s">
        <v>355</v>
      </c>
      <c r="Q10927" s="5" t="s">
        <v>355</v>
      </c>
    </row>
    <row r="10928" ht="16.5" customHeight="1">
      <c r="O10928" s="5" t="s">
        <v>355</v>
      </c>
      <c r="P10928" s="5" t="s">
        <v>355</v>
      </c>
      <c r="Q10928" s="5" t="s">
        <v>355</v>
      </c>
    </row>
    <row r="10929" ht="16.5" customHeight="1">
      <c r="O10929" s="5" t="s">
        <v>355</v>
      </c>
      <c r="P10929" s="5" t="s">
        <v>355</v>
      </c>
      <c r="Q10929" s="5" t="s">
        <v>355</v>
      </c>
    </row>
    <row r="10930" ht="16.5" customHeight="1">
      <c r="O10930" s="5" t="s">
        <v>355</v>
      </c>
      <c r="P10930" s="5" t="s">
        <v>355</v>
      </c>
      <c r="Q10930" s="5" t="s">
        <v>355</v>
      </c>
    </row>
    <row r="10931" ht="16.5" customHeight="1">
      <c r="O10931" s="5" t="s">
        <v>355</v>
      </c>
      <c r="P10931" s="5" t="s">
        <v>355</v>
      </c>
      <c r="Q10931" s="5" t="s">
        <v>355</v>
      </c>
    </row>
    <row r="10932" ht="16.5" customHeight="1">
      <c r="O10932" s="5" t="s">
        <v>355</v>
      </c>
      <c r="P10932" s="5" t="s">
        <v>355</v>
      </c>
      <c r="Q10932" s="5" t="s">
        <v>355</v>
      </c>
    </row>
    <row r="10933" ht="16.5" customHeight="1">
      <c r="O10933" s="5" t="s">
        <v>355</v>
      </c>
      <c r="P10933" s="5" t="s">
        <v>355</v>
      </c>
      <c r="Q10933" s="5" t="s">
        <v>355</v>
      </c>
    </row>
    <row r="10934" ht="16.5" customHeight="1">
      <c r="O10934" s="5" t="s">
        <v>355</v>
      </c>
      <c r="P10934" s="5" t="s">
        <v>355</v>
      </c>
      <c r="Q10934" s="5" t="s">
        <v>355</v>
      </c>
    </row>
    <row r="10935" ht="16.5" customHeight="1">
      <c r="O10935" s="5" t="s">
        <v>355</v>
      </c>
      <c r="P10935" s="5" t="s">
        <v>355</v>
      </c>
      <c r="Q10935" s="5" t="s">
        <v>355</v>
      </c>
    </row>
    <row r="10936" ht="16.5" customHeight="1">
      <c r="O10936" s="5" t="s">
        <v>355</v>
      </c>
      <c r="P10936" s="5" t="s">
        <v>355</v>
      </c>
      <c r="Q10936" s="5" t="s">
        <v>355</v>
      </c>
    </row>
    <row r="10937" ht="16.5" customHeight="1">
      <c r="O10937" s="5" t="s">
        <v>355</v>
      </c>
      <c r="P10937" s="5" t="s">
        <v>355</v>
      </c>
      <c r="Q10937" s="5" t="s">
        <v>355</v>
      </c>
    </row>
    <row r="10938" ht="16.5" customHeight="1">
      <c r="O10938" s="5" t="s">
        <v>355</v>
      </c>
      <c r="P10938" s="5" t="s">
        <v>355</v>
      </c>
      <c r="Q10938" s="5" t="s">
        <v>355</v>
      </c>
    </row>
    <row r="10939" ht="16.5" customHeight="1">
      <c r="O10939" s="5" t="s">
        <v>355</v>
      </c>
      <c r="P10939" s="5" t="s">
        <v>355</v>
      </c>
      <c r="Q10939" s="5" t="s">
        <v>355</v>
      </c>
    </row>
    <row r="10940" ht="16.5" customHeight="1">
      <c r="O10940" s="5" t="s">
        <v>355</v>
      </c>
      <c r="P10940" s="5" t="s">
        <v>355</v>
      </c>
      <c r="Q10940" s="5" t="s">
        <v>355</v>
      </c>
    </row>
    <row r="10941" ht="16.5" customHeight="1">
      <c r="O10941" s="5" t="s">
        <v>355</v>
      </c>
      <c r="P10941" s="5" t="s">
        <v>355</v>
      </c>
      <c r="Q10941" s="5" t="s">
        <v>355</v>
      </c>
    </row>
    <row r="10942" ht="16.5" customHeight="1">
      <c r="O10942" s="5" t="s">
        <v>355</v>
      </c>
      <c r="P10942" s="5" t="s">
        <v>355</v>
      </c>
      <c r="Q10942" s="5" t="s">
        <v>355</v>
      </c>
    </row>
    <row r="10943" ht="16.5" customHeight="1">
      <c r="O10943" s="5" t="s">
        <v>355</v>
      </c>
      <c r="P10943" s="5" t="s">
        <v>355</v>
      </c>
      <c r="Q10943" s="5" t="s">
        <v>355</v>
      </c>
    </row>
    <row r="10944" ht="16.5" customHeight="1">
      <c r="O10944" s="5" t="s">
        <v>355</v>
      </c>
      <c r="P10944" s="5" t="s">
        <v>355</v>
      </c>
      <c r="Q10944" s="5" t="s">
        <v>355</v>
      </c>
    </row>
    <row r="10945" ht="16.5" customHeight="1">
      <c r="O10945" s="5" t="s">
        <v>355</v>
      </c>
      <c r="P10945" s="5" t="s">
        <v>355</v>
      </c>
      <c r="Q10945" s="5" t="s">
        <v>355</v>
      </c>
    </row>
    <row r="10946" ht="16.5" customHeight="1">
      <c r="O10946" s="5" t="s">
        <v>355</v>
      </c>
      <c r="P10946" s="5" t="s">
        <v>355</v>
      </c>
      <c r="Q10946" s="5" t="s">
        <v>355</v>
      </c>
    </row>
    <row r="10947" ht="16.5" customHeight="1">
      <c r="O10947" s="5" t="s">
        <v>355</v>
      </c>
      <c r="P10947" s="5" t="s">
        <v>355</v>
      </c>
      <c r="Q10947" s="5" t="s">
        <v>355</v>
      </c>
    </row>
    <row r="10948" ht="16.5" customHeight="1">
      <c r="O10948" s="5" t="s">
        <v>355</v>
      </c>
      <c r="P10948" s="5" t="s">
        <v>355</v>
      </c>
      <c r="Q10948" s="5" t="s">
        <v>355</v>
      </c>
    </row>
    <row r="10949" ht="16.5" customHeight="1">
      <c r="O10949" s="5" t="s">
        <v>355</v>
      </c>
      <c r="P10949" s="5" t="s">
        <v>355</v>
      </c>
      <c r="Q10949" s="5" t="s">
        <v>355</v>
      </c>
    </row>
    <row r="10950" ht="16.5" customHeight="1">
      <c r="O10950" s="5" t="s">
        <v>355</v>
      </c>
      <c r="P10950" s="5" t="s">
        <v>355</v>
      </c>
      <c r="Q10950" s="5" t="s">
        <v>355</v>
      </c>
    </row>
    <row r="10951" ht="16.5" customHeight="1">
      <c r="O10951" s="5" t="s">
        <v>355</v>
      </c>
      <c r="P10951" s="5" t="s">
        <v>355</v>
      </c>
      <c r="Q10951" s="5" t="s">
        <v>355</v>
      </c>
    </row>
    <row r="10952" ht="16.5" customHeight="1">
      <c r="O10952" s="5" t="s">
        <v>355</v>
      </c>
      <c r="P10952" s="5" t="s">
        <v>355</v>
      </c>
      <c r="Q10952" s="5" t="s">
        <v>355</v>
      </c>
    </row>
    <row r="10953" ht="16.5" customHeight="1">
      <c r="O10953" s="5" t="s">
        <v>355</v>
      </c>
      <c r="P10953" s="5" t="s">
        <v>355</v>
      </c>
      <c r="Q10953" s="5" t="s">
        <v>355</v>
      </c>
    </row>
    <row r="10954" ht="16.5" customHeight="1">
      <c r="O10954" s="5" t="s">
        <v>355</v>
      </c>
      <c r="P10954" s="5" t="s">
        <v>355</v>
      </c>
      <c r="Q10954" s="5" t="s">
        <v>355</v>
      </c>
    </row>
    <row r="10955" ht="16.5" customHeight="1">
      <c r="O10955" s="5" t="s">
        <v>355</v>
      </c>
      <c r="P10955" s="5" t="s">
        <v>355</v>
      </c>
      <c r="Q10955" s="5" t="s">
        <v>355</v>
      </c>
    </row>
    <row r="10956" ht="16.5" customHeight="1">
      <c r="O10956" s="5" t="s">
        <v>355</v>
      </c>
      <c r="P10956" s="5" t="s">
        <v>355</v>
      </c>
      <c r="Q10956" s="5" t="s">
        <v>355</v>
      </c>
    </row>
    <row r="10957" ht="16.5" customHeight="1">
      <c r="O10957" s="5" t="s">
        <v>355</v>
      </c>
      <c r="P10957" s="5" t="s">
        <v>355</v>
      </c>
      <c r="Q10957" s="5" t="s">
        <v>355</v>
      </c>
    </row>
    <row r="10958" ht="16.5" customHeight="1">
      <c r="O10958" s="5" t="s">
        <v>355</v>
      </c>
      <c r="P10958" s="5" t="s">
        <v>355</v>
      </c>
      <c r="Q10958" s="5" t="s">
        <v>355</v>
      </c>
    </row>
    <row r="10959" ht="16.5" customHeight="1">
      <c r="O10959" s="5" t="s">
        <v>355</v>
      </c>
      <c r="P10959" s="5" t="s">
        <v>355</v>
      </c>
      <c r="Q10959" s="5" t="s">
        <v>355</v>
      </c>
    </row>
    <row r="10960" ht="16.5" customHeight="1">
      <c r="O10960" s="5" t="s">
        <v>355</v>
      </c>
      <c r="P10960" s="5" t="s">
        <v>355</v>
      </c>
      <c r="Q10960" s="5" t="s">
        <v>355</v>
      </c>
    </row>
    <row r="10961" ht="16.5" customHeight="1">
      <c r="O10961" s="5" t="s">
        <v>355</v>
      </c>
      <c r="P10961" s="5" t="s">
        <v>355</v>
      </c>
      <c r="Q10961" s="5" t="s">
        <v>355</v>
      </c>
    </row>
    <row r="10962" ht="16.5" customHeight="1">
      <c r="O10962" s="5" t="s">
        <v>355</v>
      </c>
      <c r="P10962" s="5" t="s">
        <v>355</v>
      </c>
      <c r="Q10962" s="5" t="s">
        <v>355</v>
      </c>
    </row>
    <row r="10963" ht="16.5" customHeight="1">
      <c r="O10963" s="5" t="s">
        <v>355</v>
      </c>
      <c r="P10963" s="5" t="s">
        <v>355</v>
      </c>
      <c r="Q10963" s="5" t="s">
        <v>355</v>
      </c>
    </row>
    <row r="10964" ht="16.5" customHeight="1">
      <c r="O10964" s="5" t="s">
        <v>355</v>
      </c>
      <c r="P10964" s="5" t="s">
        <v>355</v>
      </c>
      <c r="Q10964" s="5" t="s">
        <v>355</v>
      </c>
    </row>
    <row r="10965" ht="16.5" customHeight="1">
      <c r="O10965" s="5" t="s">
        <v>355</v>
      </c>
      <c r="P10965" s="5" t="s">
        <v>355</v>
      </c>
      <c r="Q10965" s="5" t="s">
        <v>355</v>
      </c>
    </row>
    <row r="10966" ht="16.5" customHeight="1">
      <c r="O10966" s="5" t="s">
        <v>355</v>
      </c>
      <c r="P10966" s="5" t="s">
        <v>355</v>
      </c>
      <c r="Q10966" s="5" t="s">
        <v>355</v>
      </c>
    </row>
    <row r="10967" ht="16.5" customHeight="1">
      <c r="O10967" s="5" t="s">
        <v>355</v>
      </c>
      <c r="P10967" s="5" t="s">
        <v>355</v>
      </c>
      <c r="Q10967" s="5" t="s">
        <v>355</v>
      </c>
    </row>
    <row r="10968" ht="16.5" customHeight="1">
      <c r="O10968" s="5" t="s">
        <v>355</v>
      </c>
      <c r="P10968" s="5" t="s">
        <v>355</v>
      </c>
      <c r="Q10968" s="5" t="s">
        <v>355</v>
      </c>
    </row>
    <row r="10969" ht="16.5" customHeight="1">
      <c r="O10969" s="5" t="s">
        <v>355</v>
      </c>
      <c r="P10969" s="5" t="s">
        <v>355</v>
      </c>
      <c r="Q10969" s="5" t="s">
        <v>355</v>
      </c>
    </row>
    <row r="10970" ht="16.5" customHeight="1">
      <c r="O10970" s="5" t="s">
        <v>355</v>
      </c>
      <c r="P10970" s="5" t="s">
        <v>355</v>
      </c>
      <c r="Q10970" s="5" t="s">
        <v>355</v>
      </c>
    </row>
    <row r="10971" ht="16.5" customHeight="1">
      <c r="O10971" s="5" t="s">
        <v>355</v>
      </c>
      <c r="P10971" s="5" t="s">
        <v>355</v>
      </c>
      <c r="Q10971" s="5" t="s">
        <v>355</v>
      </c>
    </row>
    <row r="10972" ht="16.5" customHeight="1">
      <c r="O10972" s="5" t="s">
        <v>355</v>
      </c>
      <c r="P10972" s="5" t="s">
        <v>355</v>
      </c>
      <c r="Q10972" s="5" t="s">
        <v>355</v>
      </c>
    </row>
    <row r="10973" ht="16.5" customHeight="1">
      <c r="O10973" s="5" t="s">
        <v>355</v>
      </c>
      <c r="P10973" s="5" t="s">
        <v>355</v>
      </c>
      <c r="Q10973" s="5" t="s">
        <v>355</v>
      </c>
    </row>
    <row r="10974" ht="16.5" customHeight="1">
      <c r="O10974" s="5" t="s">
        <v>355</v>
      </c>
      <c r="P10974" s="5" t="s">
        <v>355</v>
      </c>
      <c r="Q10974" s="5" t="s">
        <v>355</v>
      </c>
    </row>
    <row r="10975" ht="16.5" customHeight="1">
      <c r="O10975" s="5" t="s">
        <v>355</v>
      </c>
      <c r="P10975" s="5" t="s">
        <v>355</v>
      </c>
      <c r="Q10975" s="5" t="s">
        <v>355</v>
      </c>
    </row>
    <row r="10976" ht="16.5" customHeight="1">
      <c r="O10976" s="5" t="s">
        <v>355</v>
      </c>
      <c r="P10976" s="5" t="s">
        <v>355</v>
      </c>
      <c r="Q10976" s="5" t="s">
        <v>355</v>
      </c>
    </row>
    <row r="10977" ht="16.5" customHeight="1">
      <c r="O10977" s="5" t="s">
        <v>355</v>
      </c>
      <c r="P10977" s="5" t="s">
        <v>355</v>
      </c>
      <c r="Q10977" s="5" t="s">
        <v>355</v>
      </c>
    </row>
    <row r="10978" ht="16.5" customHeight="1">
      <c r="O10978" s="5" t="s">
        <v>355</v>
      </c>
      <c r="P10978" s="5" t="s">
        <v>355</v>
      </c>
      <c r="Q10978" s="5" t="s">
        <v>355</v>
      </c>
    </row>
    <row r="10979" ht="16.5" customHeight="1">
      <c r="O10979" s="5" t="s">
        <v>355</v>
      </c>
      <c r="P10979" s="5" t="s">
        <v>355</v>
      </c>
      <c r="Q10979" s="5" t="s">
        <v>355</v>
      </c>
    </row>
    <row r="10980" ht="16.5" customHeight="1">
      <c r="O10980" s="5" t="s">
        <v>355</v>
      </c>
      <c r="P10980" s="5" t="s">
        <v>355</v>
      </c>
      <c r="Q10980" s="5" t="s">
        <v>355</v>
      </c>
    </row>
    <row r="10981" ht="16.5" customHeight="1">
      <c r="O10981" s="5" t="s">
        <v>355</v>
      </c>
      <c r="P10981" s="5" t="s">
        <v>355</v>
      </c>
      <c r="Q10981" s="5" t="s">
        <v>355</v>
      </c>
    </row>
    <row r="10982" ht="16.5" customHeight="1">
      <c r="O10982" s="5" t="s">
        <v>355</v>
      </c>
      <c r="P10982" s="5" t="s">
        <v>355</v>
      </c>
      <c r="Q10982" s="5" t="s">
        <v>355</v>
      </c>
    </row>
    <row r="10983" ht="16.5" customHeight="1">
      <c r="O10983" s="5" t="s">
        <v>355</v>
      </c>
      <c r="P10983" s="5" t="s">
        <v>355</v>
      </c>
      <c r="Q10983" s="5" t="s">
        <v>355</v>
      </c>
    </row>
    <row r="10984" ht="16.5" customHeight="1">
      <c r="O10984" s="5" t="s">
        <v>355</v>
      </c>
      <c r="P10984" s="5" t="s">
        <v>355</v>
      </c>
      <c r="Q10984" s="5" t="s">
        <v>355</v>
      </c>
    </row>
    <row r="10985" ht="16.5" customHeight="1">
      <c r="O10985" s="5" t="s">
        <v>355</v>
      </c>
      <c r="P10985" s="5" t="s">
        <v>355</v>
      </c>
      <c r="Q10985" s="5" t="s">
        <v>355</v>
      </c>
    </row>
    <row r="10986" ht="16.5" customHeight="1">
      <c r="O10986" s="5" t="s">
        <v>355</v>
      </c>
      <c r="P10986" s="5" t="s">
        <v>355</v>
      </c>
      <c r="Q10986" s="5" t="s">
        <v>355</v>
      </c>
    </row>
    <row r="10987" ht="16.5" customHeight="1">
      <c r="O10987" s="5" t="s">
        <v>355</v>
      </c>
      <c r="P10987" s="5" t="s">
        <v>355</v>
      </c>
      <c r="Q10987" s="5" t="s">
        <v>355</v>
      </c>
    </row>
    <row r="10988" ht="16.5" customHeight="1">
      <c r="O10988" s="5" t="s">
        <v>355</v>
      </c>
      <c r="P10988" s="5" t="s">
        <v>355</v>
      </c>
      <c r="Q10988" s="5" t="s">
        <v>355</v>
      </c>
    </row>
    <row r="10989" ht="16.5" customHeight="1">
      <c r="O10989" s="5" t="s">
        <v>355</v>
      </c>
      <c r="P10989" s="5" t="s">
        <v>355</v>
      </c>
      <c r="Q10989" s="5" t="s">
        <v>355</v>
      </c>
    </row>
    <row r="10990" ht="16.5" customHeight="1">
      <c r="O10990" s="5" t="s">
        <v>355</v>
      </c>
      <c r="P10990" s="5" t="s">
        <v>355</v>
      </c>
      <c r="Q10990" s="5" t="s">
        <v>355</v>
      </c>
    </row>
    <row r="10991" ht="16.5" customHeight="1">
      <c r="O10991" s="5" t="s">
        <v>355</v>
      </c>
      <c r="P10991" s="5" t="s">
        <v>355</v>
      </c>
      <c r="Q10991" s="5" t="s">
        <v>355</v>
      </c>
    </row>
    <row r="10992" ht="16.5" customHeight="1">
      <c r="O10992" s="5" t="s">
        <v>355</v>
      </c>
      <c r="P10992" s="5" t="s">
        <v>355</v>
      </c>
      <c r="Q10992" s="5" t="s">
        <v>355</v>
      </c>
    </row>
    <row r="10993" ht="16.5" customHeight="1">
      <c r="O10993" s="5" t="s">
        <v>355</v>
      </c>
      <c r="P10993" s="5" t="s">
        <v>355</v>
      </c>
      <c r="Q10993" s="5" t="s">
        <v>355</v>
      </c>
    </row>
    <row r="10994" ht="16.5" customHeight="1">
      <c r="O10994" s="5" t="s">
        <v>355</v>
      </c>
      <c r="P10994" s="5" t="s">
        <v>355</v>
      </c>
      <c r="Q10994" s="5" t="s">
        <v>355</v>
      </c>
    </row>
    <row r="10995" ht="16.5" customHeight="1">
      <c r="O10995" s="5" t="s">
        <v>355</v>
      </c>
      <c r="P10995" s="5" t="s">
        <v>355</v>
      </c>
      <c r="Q10995" s="5" t="s">
        <v>355</v>
      </c>
    </row>
    <row r="10996" ht="16.5" customHeight="1">
      <c r="O10996" s="5" t="s">
        <v>355</v>
      </c>
      <c r="P10996" s="5" t="s">
        <v>355</v>
      </c>
      <c r="Q10996" s="5" t="s">
        <v>355</v>
      </c>
    </row>
    <row r="10997" ht="16.5" customHeight="1">
      <c r="O10997" s="5" t="s">
        <v>355</v>
      </c>
      <c r="P10997" s="5" t="s">
        <v>355</v>
      </c>
      <c r="Q10997" s="5" t="s">
        <v>355</v>
      </c>
    </row>
    <row r="10998" ht="16.5" customHeight="1">
      <c r="O10998" s="5" t="s">
        <v>355</v>
      </c>
      <c r="P10998" s="5" t="s">
        <v>355</v>
      </c>
      <c r="Q10998" s="5" t="s">
        <v>355</v>
      </c>
    </row>
    <row r="10999" ht="16.5" customHeight="1">
      <c r="O10999" s="5" t="s">
        <v>355</v>
      </c>
      <c r="P10999" s="5" t="s">
        <v>355</v>
      </c>
      <c r="Q10999" s="5" t="s">
        <v>355</v>
      </c>
    </row>
    <row r="11000" ht="16.5" customHeight="1">
      <c r="O11000" s="5" t="s">
        <v>355</v>
      </c>
      <c r="P11000" s="5" t="s">
        <v>355</v>
      </c>
      <c r="Q11000" s="5" t="s">
        <v>355</v>
      </c>
    </row>
    <row r="11001" ht="16.5" customHeight="1">
      <c r="O11001" s="5" t="s">
        <v>355</v>
      </c>
      <c r="P11001" s="5" t="s">
        <v>355</v>
      </c>
      <c r="Q11001" s="5" t="s">
        <v>355</v>
      </c>
    </row>
    <row r="11002" ht="16.5" customHeight="1">
      <c r="O11002" s="5" t="s">
        <v>355</v>
      </c>
      <c r="P11002" s="5" t="s">
        <v>355</v>
      </c>
      <c r="Q11002" s="5" t="s">
        <v>355</v>
      </c>
    </row>
    <row r="11003" ht="16.5" customHeight="1">
      <c r="O11003" s="5" t="s">
        <v>355</v>
      </c>
      <c r="P11003" s="5" t="s">
        <v>355</v>
      </c>
      <c r="Q11003" s="5" t="s">
        <v>355</v>
      </c>
    </row>
    <row r="11004" ht="16.5" customHeight="1">
      <c r="O11004" s="5" t="s">
        <v>355</v>
      </c>
      <c r="P11004" s="5" t="s">
        <v>355</v>
      </c>
      <c r="Q11004" s="5" t="s">
        <v>355</v>
      </c>
    </row>
    <row r="11005" ht="16.5" customHeight="1">
      <c r="O11005" s="5" t="s">
        <v>355</v>
      </c>
      <c r="P11005" s="5" t="s">
        <v>355</v>
      </c>
      <c r="Q11005" s="5" t="s">
        <v>355</v>
      </c>
    </row>
    <row r="11006" ht="16.5" customHeight="1">
      <c r="O11006" s="5" t="s">
        <v>355</v>
      </c>
      <c r="P11006" s="5" t="s">
        <v>355</v>
      </c>
      <c r="Q11006" s="5" t="s">
        <v>355</v>
      </c>
    </row>
    <row r="11007" ht="16.5" customHeight="1">
      <c r="O11007" s="5" t="s">
        <v>355</v>
      </c>
      <c r="P11007" s="5" t="s">
        <v>355</v>
      </c>
      <c r="Q11007" s="5" t="s">
        <v>355</v>
      </c>
    </row>
    <row r="11008" ht="16.5" customHeight="1">
      <c r="O11008" s="5" t="s">
        <v>355</v>
      </c>
      <c r="P11008" s="5" t="s">
        <v>355</v>
      </c>
      <c r="Q11008" s="5" t="s">
        <v>355</v>
      </c>
    </row>
    <row r="11009" ht="16.5" customHeight="1">
      <c r="O11009" s="5" t="s">
        <v>355</v>
      </c>
      <c r="P11009" s="5" t="s">
        <v>355</v>
      </c>
      <c r="Q11009" s="5" t="s">
        <v>355</v>
      </c>
    </row>
    <row r="11010" ht="16.5" customHeight="1">
      <c r="O11010" s="5" t="s">
        <v>355</v>
      </c>
      <c r="P11010" s="5" t="s">
        <v>355</v>
      </c>
      <c r="Q11010" s="5" t="s">
        <v>355</v>
      </c>
    </row>
    <row r="11011" ht="16.5" customHeight="1">
      <c r="O11011" s="5" t="s">
        <v>355</v>
      </c>
      <c r="P11011" s="5" t="s">
        <v>355</v>
      </c>
      <c r="Q11011" s="5" t="s">
        <v>355</v>
      </c>
    </row>
    <row r="11012" ht="16.5" customHeight="1">
      <c r="O11012" s="5" t="s">
        <v>355</v>
      </c>
      <c r="P11012" s="5" t="s">
        <v>355</v>
      </c>
      <c r="Q11012" s="5" t="s">
        <v>355</v>
      </c>
    </row>
    <row r="11013" ht="16.5" customHeight="1">
      <c r="O11013" s="5" t="s">
        <v>355</v>
      </c>
      <c r="P11013" s="5" t="s">
        <v>355</v>
      </c>
      <c r="Q11013" s="5" t="s">
        <v>355</v>
      </c>
    </row>
    <row r="11014" ht="16.5" customHeight="1">
      <c r="O11014" s="5" t="s">
        <v>355</v>
      </c>
      <c r="P11014" s="5" t="s">
        <v>355</v>
      </c>
      <c r="Q11014" s="5" t="s">
        <v>355</v>
      </c>
    </row>
    <row r="11015" ht="16.5" customHeight="1">
      <c r="O11015" s="5" t="s">
        <v>355</v>
      </c>
      <c r="P11015" s="5" t="s">
        <v>355</v>
      </c>
      <c r="Q11015" s="5" t="s">
        <v>355</v>
      </c>
    </row>
    <row r="11016" ht="16.5" customHeight="1">
      <c r="O11016" s="5" t="s">
        <v>355</v>
      </c>
      <c r="P11016" s="5" t="s">
        <v>355</v>
      </c>
      <c r="Q11016" s="5" t="s">
        <v>355</v>
      </c>
    </row>
    <row r="11017" ht="16.5" customHeight="1">
      <c r="O11017" s="5" t="s">
        <v>355</v>
      </c>
      <c r="P11017" s="5" t="s">
        <v>355</v>
      </c>
      <c r="Q11017" s="5" t="s">
        <v>355</v>
      </c>
    </row>
    <row r="11018" ht="16.5" customHeight="1">
      <c r="O11018" s="5" t="s">
        <v>355</v>
      </c>
      <c r="P11018" s="5" t="s">
        <v>355</v>
      </c>
      <c r="Q11018" s="5" t="s">
        <v>355</v>
      </c>
    </row>
    <row r="11019" ht="16.5" customHeight="1">
      <c r="O11019" s="5" t="s">
        <v>355</v>
      </c>
      <c r="P11019" s="5" t="s">
        <v>355</v>
      </c>
      <c r="Q11019" s="5" t="s">
        <v>355</v>
      </c>
    </row>
    <row r="11020" ht="16.5" customHeight="1">
      <c r="O11020" s="5" t="s">
        <v>355</v>
      </c>
      <c r="P11020" s="5" t="s">
        <v>355</v>
      </c>
      <c r="Q11020" s="5" t="s">
        <v>355</v>
      </c>
    </row>
    <row r="11021" ht="16.5" customHeight="1">
      <c r="O11021" s="5" t="s">
        <v>355</v>
      </c>
      <c r="P11021" s="5" t="s">
        <v>355</v>
      </c>
      <c r="Q11021" s="5" t="s">
        <v>355</v>
      </c>
    </row>
    <row r="11022" ht="16.5" customHeight="1">
      <c r="O11022" s="5" t="s">
        <v>355</v>
      </c>
      <c r="P11022" s="5" t="s">
        <v>355</v>
      </c>
      <c r="Q11022" s="5" t="s">
        <v>355</v>
      </c>
    </row>
    <row r="11023" ht="16.5" customHeight="1">
      <c r="O11023" s="5" t="s">
        <v>355</v>
      </c>
      <c r="P11023" s="5" t="s">
        <v>355</v>
      </c>
      <c r="Q11023" s="5" t="s">
        <v>355</v>
      </c>
    </row>
    <row r="11024" ht="16.5" customHeight="1">
      <c r="O11024" s="5" t="s">
        <v>355</v>
      </c>
      <c r="P11024" s="5" t="s">
        <v>355</v>
      </c>
      <c r="Q11024" s="5" t="s">
        <v>355</v>
      </c>
    </row>
    <row r="11025" ht="16.5" customHeight="1">
      <c r="O11025" s="5" t="s">
        <v>355</v>
      </c>
      <c r="P11025" s="5" t="s">
        <v>355</v>
      </c>
      <c r="Q11025" s="5" t="s">
        <v>355</v>
      </c>
    </row>
    <row r="11026" ht="16.5" customHeight="1">
      <c r="O11026" s="5" t="s">
        <v>355</v>
      </c>
      <c r="P11026" s="5" t="s">
        <v>355</v>
      </c>
      <c r="Q11026" s="5" t="s">
        <v>355</v>
      </c>
    </row>
    <row r="11027" ht="16.5" customHeight="1">
      <c r="O11027" s="5" t="s">
        <v>355</v>
      </c>
      <c r="P11027" s="5" t="s">
        <v>355</v>
      </c>
      <c r="Q11027" s="5" t="s">
        <v>355</v>
      </c>
    </row>
    <row r="11028" ht="16.5" customHeight="1">
      <c r="O11028" s="5" t="s">
        <v>355</v>
      </c>
      <c r="P11028" s="5" t="s">
        <v>355</v>
      </c>
      <c r="Q11028" s="5" t="s">
        <v>355</v>
      </c>
    </row>
    <row r="11029" ht="16.5" customHeight="1">
      <c r="O11029" s="5" t="s">
        <v>355</v>
      </c>
      <c r="P11029" s="5" t="s">
        <v>355</v>
      </c>
      <c r="Q11029" s="5" t="s">
        <v>355</v>
      </c>
    </row>
    <row r="11030" ht="16.5" customHeight="1">
      <c r="O11030" s="5" t="s">
        <v>355</v>
      </c>
      <c r="P11030" s="5" t="s">
        <v>355</v>
      </c>
      <c r="Q11030" s="5" t="s">
        <v>355</v>
      </c>
    </row>
    <row r="11031" ht="16.5" customHeight="1">
      <c r="O11031" s="5" t="s">
        <v>355</v>
      </c>
      <c r="P11031" s="5" t="s">
        <v>355</v>
      </c>
      <c r="Q11031" s="5" t="s">
        <v>355</v>
      </c>
    </row>
    <row r="11032" ht="16.5" customHeight="1">
      <c r="O11032" s="5" t="s">
        <v>355</v>
      </c>
      <c r="P11032" s="5" t="s">
        <v>355</v>
      </c>
      <c r="Q11032" s="5" t="s">
        <v>355</v>
      </c>
    </row>
    <row r="11033" ht="16.5" customHeight="1">
      <c r="O11033" s="5" t="s">
        <v>355</v>
      </c>
      <c r="P11033" s="5" t="s">
        <v>355</v>
      </c>
      <c r="Q11033" s="5" t="s">
        <v>355</v>
      </c>
    </row>
    <row r="11034" ht="16.5" customHeight="1">
      <c r="O11034" s="5" t="s">
        <v>355</v>
      </c>
      <c r="P11034" s="5" t="s">
        <v>355</v>
      </c>
      <c r="Q11034" s="5" t="s">
        <v>355</v>
      </c>
    </row>
    <row r="11035" ht="16.5" customHeight="1">
      <c r="O11035" s="5" t="s">
        <v>355</v>
      </c>
      <c r="P11035" s="5" t="s">
        <v>355</v>
      </c>
      <c r="Q11035" s="5" t="s">
        <v>355</v>
      </c>
    </row>
    <row r="11036" ht="16.5" customHeight="1">
      <c r="O11036" s="5" t="s">
        <v>355</v>
      </c>
      <c r="P11036" s="5" t="s">
        <v>355</v>
      </c>
      <c r="Q11036" s="5" t="s">
        <v>355</v>
      </c>
    </row>
    <row r="11037" ht="16.5" customHeight="1">
      <c r="O11037" s="5" t="s">
        <v>355</v>
      </c>
      <c r="P11037" s="5" t="s">
        <v>355</v>
      </c>
      <c r="Q11037" s="5" t="s">
        <v>355</v>
      </c>
    </row>
    <row r="11038" ht="16.5" customHeight="1">
      <c r="O11038" s="5" t="s">
        <v>355</v>
      </c>
      <c r="P11038" s="5" t="s">
        <v>355</v>
      </c>
      <c r="Q11038" s="5" t="s">
        <v>355</v>
      </c>
    </row>
    <row r="11039" ht="16.5" customHeight="1">
      <c r="O11039" s="5" t="s">
        <v>355</v>
      </c>
      <c r="P11039" s="5" t="s">
        <v>355</v>
      </c>
      <c r="Q11039" s="5" t="s">
        <v>355</v>
      </c>
    </row>
    <row r="11040" ht="16.5" customHeight="1">
      <c r="O11040" s="5" t="s">
        <v>355</v>
      </c>
      <c r="P11040" s="5" t="s">
        <v>355</v>
      </c>
      <c r="Q11040" s="5" t="s">
        <v>355</v>
      </c>
    </row>
    <row r="11041" ht="16.5" customHeight="1">
      <c r="O11041" s="5" t="s">
        <v>355</v>
      </c>
      <c r="P11041" s="5" t="s">
        <v>355</v>
      </c>
      <c r="Q11041" s="5" t="s">
        <v>355</v>
      </c>
    </row>
    <row r="11042" ht="16.5" customHeight="1">
      <c r="O11042" s="5" t="s">
        <v>355</v>
      </c>
      <c r="P11042" s="5" t="s">
        <v>355</v>
      </c>
      <c r="Q11042" s="5" t="s">
        <v>355</v>
      </c>
    </row>
    <row r="11043" ht="16.5" customHeight="1">
      <c r="O11043" s="5" t="s">
        <v>355</v>
      </c>
      <c r="P11043" s="5" t="s">
        <v>355</v>
      </c>
      <c r="Q11043" s="5" t="s">
        <v>355</v>
      </c>
    </row>
    <row r="11044" ht="16.5" customHeight="1">
      <c r="O11044" s="5" t="s">
        <v>355</v>
      </c>
      <c r="P11044" s="5" t="s">
        <v>355</v>
      </c>
      <c r="Q11044" s="5" t="s">
        <v>355</v>
      </c>
    </row>
    <row r="11045" ht="16.5" customHeight="1">
      <c r="O11045" s="5" t="s">
        <v>355</v>
      </c>
      <c r="P11045" s="5" t="s">
        <v>355</v>
      </c>
      <c r="Q11045" s="5" t="s">
        <v>355</v>
      </c>
    </row>
    <row r="11046" ht="16.5" customHeight="1">
      <c r="O11046" s="5" t="s">
        <v>355</v>
      </c>
      <c r="P11046" s="5" t="s">
        <v>355</v>
      </c>
      <c r="Q11046" s="5" t="s">
        <v>355</v>
      </c>
    </row>
    <row r="11047" ht="16.5" customHeight="1">
      <c r="O11047" s="5" t="s">
        <v>355</v>
      </c>
      <c r="P11047" s="5" t="s">
        <v>355</v>
      </c>
      <c r="Q11047" s="5" t="s">
        <v>355</v>
      </c>
    </row>
    <row r="11048" ht="16.5" customHeight="1">
      <c r="O11048" s="5" t="s">
        <v>355</v>
      </c>
      <c r="P11048" s="5" t="s">
        <v>355</v>
      </c>
      <c r="Q11048" s="5" t="s">
        <v>355</v>
      </c>
    </row>
    <row r="11049" ht="16.5" customHeight="1">
      <c r="O11049" s="5" t="s">
        <v>355</v>
      </c>
      <c r="P11049" s="5" t="s">
        <v>355</v>
      </c>
      <c r="Q11049" s="5" t="s">
        <v>355</v>
      </c>
    </row>
    <row r="11050" ht="16.5" customHeight="1">
      <c r="O11050" s="5" t="s">
        <v>355</v>
      </c>
      <c r="P11050" s="5" t="s">
        <v>355</v>
      </c>
      <c r="Q11050" s="5" t="s">
        <v>355</v>
      </c>
    </row>
    <row r="11051" ht="16.5" customHeight="1">
      <c r="O11051" s="5" t="s">
        <v>355</v>
      </c>
      <c r="P11051" s="5" t="s">
        <v>355</v>
      </c>
      <c r="Q11051" s="5" t="s">
        <v>355</v>
      </c>
    </row>
    <row r="11052" ht="16.5" customHeight="1">
      <c r="O11052" s="5" t="s">
        <v>355</v>
      </c>
      <c r="P11052" s="5" t="s">
        <v>355</v>
      </c>
      <c r="Q11052" s="5" t="s">
        <v>355</v>
      </c>
    </row>
    <row r="11053" ht="16.5" customHeight="1">
      <c r="O11053" s="5" t="s">
        <v>355</v>
      </c>
      <c r="P11053" s="5" t="s">
        <v>355</v>
      </c>
      <c r="Q11053" s="5" t="s">
        <v>355</v>
      </c>
    </row>
    <row r="11054" ht="16.5" customHeight="1">
      <c r="O11054" s="5" t="s">
        <v>355</v>
      </c>
      <c r="P11054" s="5" t="s">
        <v>355</v>
      </c>
      <c r="Q11054" s="5" t="s">
        <v>355</v>
      </c>
    </row>
    <row r="11055" ht="16.5" customHeight="1">
      <c r="O11055" s="5" t="s">
        <v>355</v>
      </c>
      <c r="P11055" s="5" t="s">
        <v>355</v>
      </c>
      <c r="Q11055" s="5" t="s">
        <v>355</v>
      </c>
    </row>
    <row r="11056" ht="16.5" customHeight="1">
      <c r="O11056" s="5" t="s">
        <v>355</v>
      </c>
      <c r="P11056" s="5" t="s">
        <v>355</v>
      </c>
      <c r="Q11056" s="5" t="s">
        <v>355</v>
      </c>
    </row>
    <row r="11057" ht="16.5" customHeight="1">
      <c r="O11057" s="5" t="s">
        <v>355</v>
      </c>
      <c r="P11057" s="5" t="s">
        <v>355</v>
      </c>
      <c r="Q11057" s="5" t="s">
        <v>355</v>
      </c>
    </row>
    <row r="11058" ht="16.5" customHeight="1">
      <c r="O11058" s="5" t="s">
        <v>355</v>
      </c>
      <c r="P11058" s="5" t="s">
        <v>355</v>
      </c>
      <c r="Q11058" s="5" t="s">
        <v>355</v>
      </c>
    </row>
    <row r="11059" ht="16.5" customHeight="1">
      <c r="O11059" s="5" t="s">
        <v>355</v>
      </c>
      <c r="P11059" s="5" t="s">
        <v>355</v>
      </c>
      <c r="Q11059" s="5" t="s">
        <v>355</v>
      </c>
    </row>
    <row r="11060" ht="16.5" customHeight="1">
      <c r="O11060" s="5" t="s">
        <v>355</v>
      </c>
      <c r="P11060" s="5" t="s">
        <v>355</v>
      </c>
      <c r="Q11060" s="5" t="s">
        <v>355</v>
      </c>
    </row>
    <row r="11061" ht="16.5" customHeight="1">
      <c r="O11061" s="5" t="s">
        <v>355</v>
      </c>
      <c r="P11061" s="5" t="s">
        <v>355</v>
      </c>
      <c r="Q11061" s="5" t="s">
        <v>355</v>
      </c>
    </row>
    <row r="11062" ht="16.5" customHeight="1">
      <c r="O11062" s="5" t="s">
        <v>355</v>
      </c>
      <c r="P11062" s="5" t="s">
        <v>355</v>
      </c>
      <c r="Q11062" s="5" t="s">
        <v>355</v>
      </c>
    </row>
    <row r="11063" ht="16.5" customHeight="1">
      <c r="O11063" s="5" t="s">
        <v>355</v>
      </c>
      <c r="P11063" s="5" t="s">
        <v>355</v>
      </c>
      <c r="Q11063" s="5" t="s">
        <v>355</v>
      </c>
    </row>
    <row r="11064" ht="16.5" customHeight="1">
      <c r="O11064" s="5" t="s">
        <v>355</v>
      </c>
      <c r="P11064" s="5" t="s">
        <v>355</v>
      </c>
      <c r="Q11064" s="5" t="s">
        <v>355</v>
      </c>
    </row>
    <row r="11065" ht="16.5" customHeight="1">
      <c r="O11065" s="5" t="s">
        <v>355</v>
      </c>
      <c r="P11065" s="5" t="s">
        <v>355</v>
      </c>
      <c r="Q11065" s="5" t="s">
        <v>355</v>
      </c>
    </row>
    <row r="11066" ht="16.5" customHeight="1">
      <c r="O11066" s="5" t="s">
        <v>355</v>
      </c>
      <c r="P11066" s="5" t="s">
        <v>355</v>
      </c>
      <c r="Q11066" s="5" t="s">
        <v>355</v>
      </c>
    </row>
    <row r="11067" ht="16.5" customHeight="1">
      <c r="O11067" s="5" t="s">
        <v>355</v>
      </c>
      <c r="P11067" s="5" t="s">
        <v>355</v>
      </c>
      <c r="Q11067" s="5" t="s">
        <v>355</v>
      </c>
    </row>
    <row r="11068" ht="16.5" customHeight="1">
      <c r="O11068" s="5" t="s">
        <v>355</v>
      </c>
      <c r="P11068" s="5" t="s">
        <v>355</v>
      </c>
      <c r="Q11068" s="5" t="s">
        <v>355</v>
      </c>
    </row>
    <row r="11069" ht="16.5" customHeight="1">
      <c r="O11069" s="5" t="s">
        <v>355</v>
      </c>
      <c r="P11069" s="5" t="s">
        <v>355</v>
      </c>
      <c r="Q11069" s="5" t="s">
        <v>355</v>
      </c>
    </row>
    <row r="11070" ht="16.5" customHeight="1">
      <c r="O11070" s="5" t="s">
        <v>355</v>
      </c>
      <c r="P11070" s="5" t="s">
        <v>355</v>
      </c>
      <c r="Q11070" s="5" t="s">
        <v>355</v>
      </c>
    </row>
    <row r="11071" ht="16.5" customHeight="1">
      <c r="O11071" s="5" t="s">
        <v>355</v>
      </c>
      <c r="P11071" s="5" t="s">
        <v>355</v>
      </c>
      <c r="Q11071" s="5" t="s">
        <v>355</v>
      </c>
    </row>
    <row r="11072" ht="16.5" customHeight="1">
      <c r="O11072" s="5" t="s">
        <v>355</v>
      </c>
      <c r="P11072" s="5" t="s">
        <v>355</v>
      </c>
      <c r="Q11072" s="5" t="s">
        <v>355</v>
      </c>
    </row>
    <row r="11073" ht="16.5" customHeight="1">
      <c r="O11073" s="5" t="s">
        <v>355</v>
      </c>
      <c r="P11073" s="5" t="s">
        <v>355</v>
      </c>
      <c r="Q11073" s="5" t="s">
        <v>355</v>
      </c>
    </row>
    <row r="11074" ht="16.5" customHeight="1">
      <c r="O11074" s="5" t="s">
        <v>355</v>
      </c>
      <c r="P11074" s="5" t="s">
        <v>355</v>
      </c>
      <c r="Q11074" s="5" t="s">
        <v>355</v>
      </c>
    </row>
    <row r="11075" ht="16.5" customHeight="1">
      <c r="O11075" s="5" t="s">
        <v>355</v>
      </c>
      <c r="P11075" s="5" t="s">
        <v>355</v>
      </c>
      <c r="Q11075" s="5" t="s">
        <v>355</v>
      </c>
    </row>
    <row r="11076" ht="16.5" customHeight="1">
      <c r="O11076" s="5" t="s">
        <v>355</v>
      </c>
      <c r="P11076" s="5" t="s">
        <v>355</v>
      </c>
      <c r="Q11076" s="5" t="s">
        <v>355</v>
      </c>
    </row>
    <row r="11077" ht="16.5" customHeight="1">
      <c r="O11077" s="5" t="s">
        <v>355</v>
      </c>
      <c r="P11077" s="5" t="s">
        <v>355</v>
      </c>
      <c r="Q11077" s="5" t="s">
        <v>355</v>
      </c>
    </row>
    <row r="11078" ht="16.5" customHeight="1">
      <c r="O11078" s="5" t="s">
        <v>355</v>
      </c>
      <c r="P11078" s="5" t="s">
        <v>355</v>
      </c>
      <c r="Q11078" s="5" t="s">
        <v>355</v>
      </c>
    </row>
    <row r="11079" ht="16.5" customHeight="1">
      <c r="O11079" s="5" t="s">
        <v>355</v>
      </c>
      <c r="P11079" s="5" t="s">
        <v>355</v>
      </c>
      <c r="Q11079" s="5" t="s">
        <v>355</v>
      </c>
    </row>
    <row r="11080" ht="16.5" customHeight="1">
      <c r="O11080" s="5" t="s">
        <v>355</v>
      </c>
      <c r="P11080" s="5" t="s">
        <v>355</v>
      </c>
      <c r="Q11080" s="5" t="s">
        <v>355</v>
      </c>
    </row>
    <row r="11081" ht="16.5" customHeight="1">
      <c r="O11081" s="5" t="s">
        <v>355</v>
      </c>
      <c r="P11081" s="5" t="s">
        <v>355</v>
      </c>
      <c r="Q11081" s="5" t="s">
        <v>355</v>
      </c>
    </row>
    <row r="11082" ht="16.5" customHeight="1">
      <c r="O11082" s="5" t="s">
        <v>355</v>
      </c>
      <c r="P11082" s="5" t="s">
        <v>355</v>
      </c>
      <c r="Q11082" s="5" t="s">
        <v>355</v>
      </c>
    </row>
    <row r="11083" ht="16.5" customHeight="1">
      <c r="O11083" s="5" t="s">
        <v>355</v>
      </c>
      <c r="P11083" s="5" t="s">
        <v>355</v>
      </c>
      <c r="Q11083" s="5" t="s">
        <v>355</v>
      </c>
    </row>
    <row r="11084" ht="16.5" customHeight="1">
      <c r="O11084" s="5" t="s">
        <v>355</v>
      </c>
      <c r="P11084" s="5" t="s">
        <v>355</v>
      </c>
      <c r="Q11084" s="5" t="s">
        <v>355</v>
      </c>
    </row>
    <row r="11085" ht="16.5" customHeight="1">
      <c r="O11085" s="5" t="s">
        <v>355</v>
      </c>
      <c r="P11085" s="5" t="s">
        <v>355</v>
      </c>
      <c r="Q11085" s="5" t="s">
        <v>355</v>
      </c>
    </row>
    <row r="11086" ht="16.5" customHeight="1">
      <c r="O11086" s="5" t="s">
        <v>355</v>
      </c>
      <c r="P11086" s="5" t="s">
        <v>355</v>
      </c>
      <c r="Q11086" s="5" t="s">
        <v>355</v>
      </c>
    </row>
    <row r="11087" ht="16.5" customHeight="1">
      <c r="O11087" s="5" t="s">
        <v>355</v>
      </c>
      <c r="P11087" s="5" t="s">
        <v>355</v>
      </c>
      <c r="Q11087" s="5" t="s">
        <v>355</v>
      </c>
    </row>
    <row r="11088" ht="16.5" customHeight="1">
      <c r="O11088" s="5" t="s">
        <v>355</v>
      </c>
      <c r="P11088" s="5" t="s">
        <v>355</v>
      </c>
      <c r="Q11088" s="5" t="s">
        <v>355</v>
      </c>
    </row>
    <row r="11089" ht="16.5" customHeight="1">
      <c r="O11089" s="5" t="s">
        <v>355</v>
      </c>
      <c r="P11089" s="5" t="s">
        <v>355</v>
      </c>
      <c r="Q11089" s="5" t="s">
        <v>355</v>
      </c>
    </row>
    <row r="11090" ht="16.5" customHeight="1">
      <c r="O11090" s="5" t="s">
        <v>355</v>
      </c>
      <c r="P11090" s="5" t="s">
        <v>355</v>
      </c>
      <c r="Q11090" s="5" t="s">
        <v>355</v>
      </c>
    </row>
    <row r="11091" ht="16.5" customHeight="1">
      <c r="O11091" s="5" t="s">
        <v>355</v>
      </c>
      <c r="P11091" s="5" t="s">
        <v>355</v>
      </c>
      <c r="Q11091" s="5" t="s">
        <v>355</v>
      </c>
    </row>
    <row r="11092" ht="16.5" customHeight="1">
      <c r="O11092" s="5" t="s">
        <v>355</v>
      </c>
      <c r="P11092" s="5" t="s">
        <v>355</v>
      </c>
      <c r="Q11092" s="5" t="s">
        <v>355</v>
      </c>
    </row>
    <row r="11093" ht="16.5" customHeight="1">
      <c r="O11093" s="5" t="s">
        <v>355</v>
      </c>
      <c r="P11093" s="5" t="s">
        <v>355</v>
      </c>
      <c r="Q11093" s="5" t="s">
        <v>355</v>
      </c>
    </row>
    <row r="11094" ht="16.5" customHeight="1">
      <c r="O11094" s="5" t="s">
        <v>355</v>
      </c>
      <c r="P11094" s="5" t="s">
        <v>355</v>
      </c>
      <c r="Q11094" s="5" t="s">
        <v>355</v>
      </c>
    </row>
    <row r="11095" ht="16.5" customHeight="1">
      <c r="O11095" s="5" t="s">
        <v>355</v>
      </c>
      <c r="P11095" s="5" t="s">
        <v>355</v>
      </c>
      <c r="Q11095" s="5" t="s">
        <v>355</v>
      </c>
    </row>
    <row r="11096" ht="16.5" customHeight="1">
      <c r="O11096" s="5" t="s">
        <v>355</v>
      </c>
      <c r="P11096" s="5" t="s">
        <v>355</v>
      </c>
      <c r="Q11096" s="5" t="s">
        <v>355</v>
      </c>
    </row>
    <row r="11097" ht="16.5" customHeight="1">
      <c r="O11097" s="5" t="s">
        <v>355</v>
      </c>
      <c r="P11097" s="5" t="s">
        <v>355</v>
      </c>
      <c r="Q11097" s="5" t="s">
        <v>355</v>
      </c>
    </row>
    <row r="11098" ht="16.5" customHeight="1">
      <c r="O11098" s="5" t="s">
        <v>355</v>
      </c>
      <c r="P11098" s="5" t="s">
        <v>355</v>
      </c>
      <c r="Q11098" s="5" t="s">
        <v>355</v>
      </c>
    </row>
    <row r="11099" ht="16.5" customHeight="1">
      <c r="O11099" s="5" t="s">
        <v>355</v>
      </c>
      <c r="P11099" s="5" t="s">
        <v>355</v>
      </c>
      <c r="Q11099" s="5" t="s">
        <v>355</v>
      </c>
    </row>
    <row r="11100" ht="16.5" customHeight="1">
      <c r="O11100" s="5" t="s">
        <v>355</v>
      </c>
      <c r="P11100" s="5" t="s">
        <v>355</v>
      </c>
      <c r="Q11100" s="5" t="s">
        <v>355</v>
      </c>
    </row>
    <row r="11101" ht="16.5" customHeight="1">
      <c r="O11101" s="5" t="s">
        <v>355</v>
      </c>
      <c r="P11101" s="5" t="s">
        <v>355</v>
      </c>
      <c r="Q11101" s="5" t="s">
        <v>355</v>
      </c>
    </row>
    <row r="11102" ht="16.5" customHeight="1">
      <c r="O11102" s="5" t="s">
        <v>355</v>
      </c>
      <c r="P11102" s="5" t="s">
        <v>355</v>
      </c>
      <c r="Q11102" s="5" t="s">
        <v>355</v>
      </c>
    </row>
    <row r="11103" ht="16.5" customHeight="1">
      <c r="O11103" s="5" t="s">
        <v>355</v>
      </c>
      <c r="P11103" s="5" t="s">
        <v>355</v>
      </c>
      <c r="Q11103" s="5" t="s">
        <v>355</v>
      </c>
    </row>
    <row r="11104" ht="16.5" customHeight="1">
      <c r="O11104" s="5" t="s">
        <v>355</v>
      </c>
      <c r="P11104" s="5" t="s">
        <v>355</v>
      </c>
      <c r="Q11104" s="5" t="s">
        <v>355</v>
      </c>
    </row>
    <row r="11105" ht="16.5" customHeight="1">
      <c r="O11105" s="5" t="s">
        <v>355</v>
      </c>
      <c r="P11105" s="5" t="s">
        <v>355</v>
      </c>
      <c r="Q11105" s="5" t="s">
        <v>355</v>
      </c>
    </row>
    <row r="11106" ht="16.5" customHeight="1">
      <c r="O11106" s="5" t="s">
        <v>355</v>
      </c>
      <c r="P11106" s="5" t="s">
        <v>355</v>
      </c>
      <c r="Q11106" s="5" t="s">
        <v>355</v>
      </c>
    </row>
    <row r="11107" ht="16.5" customHeight="1">
      <c r="O11107" s="5" t="s">
        <v>355</v>
      </c>
      <c r="P11107" s="5" t="s">
        <v>355</v>
      </c>
      <c r="Q11107" s="5" t="s">
        <v>355</v>
      </c>
    </row>
    <row r="11108" ht="16.5" customHeight="1">
      <c r="O11108" s="5" t="s">
        <v>355</v>
      </c>
      <c r="P11108" s="5" t="s">
        <v>355</v>
      </c>
      <c r="Q11108" s="5" t="s">
        <v>355</v>
      </c>
    </row>
    <row r="11109" ht="16.5" customHeight="1">
      <c r="O11109" s="5" t="s">
        <v>355</v>
      </c>
      <c r="P11109" s="5" t="s">
        <v>355</v>
      </c>
      <c r="Q11109" s="5" t="s">
        <v>355</v>
      </c>
    </row>
    <row r="11110" ht="16.5" customHeight="1">
      <c r="O11110" s="5" t="s">
        <v>355</v>
      </c>
      <c r="P11110" s="5" t="s">
        <v>355</v>
      </c>
      <c r="Q11110" s="5" t="s">
        <v>355</v>
      </c>
    </row>
    <row r="11111" ht="16.5" customHeight="1">
      <c r="O11111" s="5" t="s">
        <v>355</v>
      </c>
      <c r="P11111" s="5" t="s">
        <v>355</v>
      </c>
      <c r="Q11111" s="5" t="s">
        <v>355</v>
      </c>
    </row>
    <row r="11112" ht="16.5" customHeight="1">
      <c r="O11112" s="5" t="s">
        <v>355</v>
      </c>
      <c r="P11112" s="5" t="s">
        <v>355</v>
      </c>
      <c r="Q11112" s="5" t="s">
        <v>355</v>
      </c>
    </row>
    <row r="11113" ht="16.5" customHeight="1">
      <c r="O11113" s="5" t="s">
        <v>355</v>
      </c>
      <c r="P11113" s="5" t="s">
        <v>355</v>
      </c>
      <c r="Q11113" s="5" t="s">
        <v>355</v>
      </c>
    </row>
    <row r="11114" ht="16.5" customHeight="1">
      <c r="O11114" s="5" t="s">
        <v>355</v>
      </c>
      <c r="P11114" s="5" t="s">
        <v>355</v>
      </c>
      <c r="Q11114" s="5" t="s">
        <v>355</v>
      </c>
    </row>
    <row r="11115" ht="16.5" customHeight="1">
      <c r="O11115" s="5" t="s">
        <v>355</v>
      </c>
      <c r="P11115" s="5" t="s">
        <v>355</v>
      </c>
      <c r="Q11115" s="5" t="s">
        <v>355</v>
      </c>
    </row>
    <row r="11116" ht="16.5" customHeight="1">
      <c r="O11116" s="5" t="s">
        <v>355</v>
      </c>
      <c r="P11116" s="5" t="s">
        <v>355</v>
      </c>
      <c r="Q11116" s="5" t="s">
        <v>355</v>
      </c>
    </row>
    <row r="11117" ht="16.5" customHeight="1">
      <c r="O11117" s="5" t="s">
        <v>355</v>
      </c>
      <c r="P11117" s="5" t="s">
        <v>355</v>
      </c>
      <c r="Q11117" s="5" t="s">
        <v>355</v>
      </c>
    </row>
    <row r="11118" ht="16.5" customHeight="1">
      <c r="O11118" s="5" t="s">
        <v>355</v>
      </c>
      <c r="P11118" s="5" t="s">
        <v>355</v>
      </c>
      <c r="Q11118" s="5" t="s">
        <v>355</v>
      </c>
    </row>
    <row r="11119" ht="16.5" customHeight="1">
      <c r="O11119" s="5" t="s">
        <v>355</v>
      </c>
      <c r="P11119" s="5" t="s">
        <v>355</v>
      </c>
      <c r="Q11119" s="5" t="s">
        <v>355</v>
      </c>
    </row>
    <row r="11120" ht="16.5" customHeight="1">
      <c r="O11120" s="5" t="s">
        <v>355</v>
      </c>
      <c r="P11120" s="5" t="s">
        <v>355</v>
      </c>
      <c r="Q11120" s="5" t="s">
        <v>355</v>
      </c>
    </row>
    <row r="11121" ht="16.5" customHeight="1">
      <c r="O11121" s="5" t="s">
        <v>355</v>
      </c>
      <c r="P11121" s="5" t="s">
        <v>355</v>
      </c>
      <c r="Q11121" s="5" t="s">
        <v>355</v>
      </c>
    </row>
    <row r="11122" ht="16.5" customHeight="1">
      <c r="O11122" s="5" t="s">
        <v>355</v>
      </c>
      <c r="P11122" s="5" t="s">
        <v>355</v>
      </c>
      <c r="Q11122" s="5" t="s">
        <v>355</v>
      </c>
    </row>
    <row r="11123" ht="16.5" customHeight="1">
      <c r="O11123" s="5" t="s">
        <v>355</v>
      </c>
      <c r="P11123" s="5" t="s">
        <v>355</v>
      </c>
      <c r="Q11123" s="5" t="s">
        <v>355</v>
      </c>
    </row>
    <row r="11124" ht="16.5" customHeight="1">
      <c r="O11124" s="5" t="s">
        <v>355</v>
      </c>
      <c r="P11124" s="5" t="s">
        <v>355</v>
      </c>
      <c r="Q11124" s="5" t="s">
        <v>355</v>
      </c>
    </row>
    <row r="11125" ht="16.5" customHeight="1">
      <c r="O11125" s="5" t="s">
        <v>355</v>
      </c>
      <c r="P11125" s="5" t="s">
        <v>355</v>
      </c>
      <c r="Q11125" s="5" t="s">
        <v>355</v>
      </c>
    </row>
    <row r="11126" ht="16.5" customHeight="1">
      <c r="O11126" s="5" t="s">
        <v>355</v>
      </c>
      <c r="P11126" s="5" t="s">
        <v>355</v>
      </c>
      <c r="Q11126" s="5" t="s">
        <v>355</v>
      </c>
    </row>
    <row r="11127" ht="16.5" customHeight="1">
      <c r="O11127" s="5" t="s">
        <v>355</v>
      </c>
      <c r="P11127" s="5" t="s">
        <v>355</v>
      </c>
      <c r="Q11127" s="5" t="s">
        <v>355</v>
      </c>
    </row>
    <row r="11128" ht="16.5" customHeight="1">
      <c r="O11128" s="5" t="s">
        <v>355</v>
      </c>
      <c r="P11128" s="5" t="s">
        <v>355</v>
      </c>
      <c r="Q11128" s="5" t="s">
        <v>355</v>
      </c>
    </row>
    <row r="11129" ht="16.5" customHeight="1">
      <c r="O11129" s="5" t="s">
        <v>355</v>
      </c>
      <c r="P11129" s="5" t="s">
        <v>355</v>
      </c>
      <c r="Q11129" s="5" t="s">
        <v>355</v>
      </c>
    </row>
    <row r="11130" ht="16.5" customHeight="1">
      <c r="O11130" s="5" t="s">
        <v>355</v>
      </c>
      <c r="P11130" s="5" t="s">
        <v>355</v>
      </c>
      <c r="Q11130" s="5" t="s">
        <v>355</v>
      </c>
    </row>
    <row r="11131" ht="16.5" customHeight="1">
      <c r="O11131" s="5" t="s">
        <v>355</v>
      </c>
      <c r="P11131" s="5" t="s">
        <v>355</v>
      </c>
      <c r="Q11131" s="5" t="s">
        <v>355</v>
      </c>
    </row>
    <row r="11132" ht="16.5" customHeight="1">
      <c r="O11132" s="5" t="s">
        <v>355</v>
      </c>
      <c r="P11132" s="5" t="s">
        <v>355</v>
      </c>
      <c r="Q11132" s="5" t="s">
        <v>355</v>
      </c>
    </row>
    <row r="11133" ht="16.5" customHeight="1">
      <c r="O11133" s="5" t="s">
        <v>355</v>
      </c>
      <c r="P11133" s="5" t="s">
        <v>355</v>
      </c>
      <c r="Q11133" s="5" t="s">
        <v>355</v>
      </c>
    </row>
    <row r="11134" ht="16.5" customHeight="1">
      <c r="O11134" s="5" t="s">
        <v>355</v>
      </c>
      <c r="P11134" s="5" t="s">
        <v>355</v>
      </c>
      <c r="Q11134" s="5" t="s">
        <v>355</v>
      </c>
    </row>
    <row r="11135" ht="16.5" customHeight="1">
      <c r="O11135" s="5" t="s">
        <v>355</v>
      </c>
      <c r="P11135" s="5" t="s">
        <v>355</v>
      </c>
      <c r="Q11135" s="5" t="s">
        <v>355</v>
      </c>
    </row>
    <row r="11136" ht="16.5" customHeight="1">
      <c r="O11136" s="5" t="s">
        <v>355</v>
      </c>
      <c r="P11136" s="5" t="s">
        <v>355</v>
      </c>
      <c r="Q11136" s="5" t="s">
        <v>355</v>
      </c>
    </row>
    <row r="11137" ht="16.5" customHeight="1">
      <c r="O11137" s="5" t="s">
        <v>355</v>
      </c>
      <c r="P11137" s="5" t="s">
        <v>355</v>
      </c>
      <c r="Q11137" s="5" t="s">
        <v>355</v>
      </c>
    </row>
    <row r="11138" ht="16.5" customHeight="1">
      <c r="O11138" s="5" t="s">
        <v>355</v>
      </c>
      <c r="P11138" s="5" t="s">
        <v>355</v>
      </c>
      <c r="Q11138" s="5" t="s">
        <v>355</v>
      </c>
    </row>
    <row r="11139" ht="16.5" customHeight="1">
      <c r="O11139" s="5" t="s">
        <v>355</v>
      </c>
      <c r="P11139" s="5" t="s">
        <v>355</v>
      </c>
      <c r="Q11139" s="5" t="s">
        <v>355</v>
      </c>
    </row>
    <row r="11140" ht="16.5" customHeight="1">
      <c r="O11140" s="5" t="s">
        <v>355</v>
      </c>
      <c r="P11140" s="5" t="s">
        <v>355</v>
      </c>
      <c r="Q11140" s="5" t="s">
        <v>355</v>
      </c>
    </row>
    <row r="11141" ht="16.5" customHeight="1">
      <c r="O11141" s="5" t="s">
        <v>355</v>
      </c>
      <c r="P11141" s="5" t="s">
        <v>355</v>
      </c>
      <c r="Q11141" s="5" t="s">
        <v>355</v>
      </c>
    </row>
    <row r="11142" ht="16.5" customHeight="1">
      <c r="O11142" s="5" t="s">
        <v>355</v>
      </c>
      <c r="P11142" s="5" t="s">
        <v>355</v>
      </c>
      <c r="Q11142" s="5" t="s">
        <v>355</v>
      </c>
    </row>
    <row r="11143" ht="16.5" customHeight="1">
      <c r="O11143" s="5" t="s">
        <v>355</v>
      </c>
      <c r="P11143" s="5" t="s">
        <v>355</v>
      </c>
      <c r="Q11143" s="5" t="s">
        <v>355</v>
      </c>
    </row>
    <row r="11144" ht="16.5" customHeight="1">
      <c r="O11144" s="5" t="s">
        <v>355</v>
      </c>
      <c r="P11144" s="5" t="s">
        <v>355</v>
      </c>
      <c r="Q11144" s="5" t="s">
        <v>355</v>
      </c>
    </row>
    <row r="11145" ht="16.5" customHeight="1">
      <c r="O11145" s="5" t="s">
        <v>355</v>
      </c>
      <c r="P11145" s="5" t="s">
        <v>355</v>
      </c>
      <c r="Q11145" s="5" t="s">
        <v>355</v>
      </c>
    </row>
    <row r="11146" ht="16.5" customHeight="1">
      <c r="O11146" s="5" t="s">
        <v>355</v>
      </c>
      <c r="P11146" s="5" t="s">
        <v>355</v>
      </c>
      <c r="Q11146" s="5" t="s">
        <v>355</v>
      </c>
    </row>
    <row r="11147" ht="16.5" customHeight="1">
      <c r="O11147" s="5" t="s">
        <v>355</v>
      </c>
      <c r="P11147" s="5" t="s">
        <v>355</v>
      </c>
      <c r="Q11147" s="5" t="s">
        <v>355</v>
      </c>
    </row>
    <row r="11148" ht="16.5" customHeight="1">
      <c r="O11148" s="5" t="s">
        <v>355</v>
      </c>
      <c r="P11148" s="5" t="s">
        <v>355</v>
      </c>
      <c r="Q11148" s="5" t="s">
        <v>355</v>
      </c>
    </row>
    <row r="11149" ht="16.5" customHeight="1">
      <c r="O11149" s="5" t="s">
        <v>355</v>
      </c>
      <c r="P11149" s="5" t="s">
        <v>355</v>
      </c>
      <c r="Q11149" s="5" t="s">
        <v>355</v>
      </c>
    </row>
    <row r="11150" ht="16.5" customHeight="1">
      <c r="O11150" s="5" t="s">
        <v>355</v>
      </c>
      <c r="P11150" s="5" t="s">
        <v>355</v>
      </c>
      <c r="Q11150" s="5" t="s">
        <v>355</v>
      </c>
    </row>
    <row r="11151" ht="16.5" customHeight="1">
      <c r="O11151" s="5" t="s">
        <v>355</v>
      </c>
      <c r="P11151" s="5" t="s">
        <v>355</v>
      </c>
      <c r="Q11151" s="5" t="s">
        <v>355</v>
      </c>
    </row>
    <row r="11152" ht="16.5" customHeight="1">
      <c r="O11152" s="5" t="s">
        <v>355</v>
      </c>
      <c r="P11152" s="5" t="s">
        <v>355</v>
      </c>
      <c r="Q11152" s="5" t="s">
        <v>355</v>
      </c>
    </row>
    <row r="11153" ht="16.5" customHeight="1">
      <c r="O11153" s="5" t="s">
        <v>355</v>
      </c>
      <c r="P11153" s="5" t="s">
        <v>355</v>
      </c>
      <c r="Q11153" s="5" t="s">
        <v>355</v>
      </c>
    </row>
    <row r="11154" ht="16.5" customHeight="1">
      <c r="O11154" s="5" t="s">
        <v>355</v>
      </c>
      <c r="P11154" s="5" t="s">
        <v>355</v>
      </c>
      <c r="Q11154" s="5" t="s">
        <v>355</v>
      </c>
    </row>
    <row r="11155" ht="16.5" customHeight="1">
      <c r="O11155" s="5" t="s">
        <v>355</v>
      </c>
      <c r="P11155" s="5" t="s">
        <v>355</v>
      </c>
      <c r="Q11155" s="5" t="s">
        <v>355</v>
      </c>
    </row>
    <row r="11156" ht="16.5" customHeight="1">
      <c r="O11156" s="5" t="s">
        <v>355</v>
      </c>
      <c r="P11156" s="5" t="s">
        <v>355</v>
      </c>
      <c r="Q11156" s="5" t="s">
        <v>355</v>
      </c>
    </row>
    <row r="11157" ht="16.5" customHeight="1">
      <c r="O11157" s="5" t="s">
        <v>355</v>
      </c>
      <c r="P11157" s="5" t="s">
        <v>355</v>
      </c>
      <c r="Q11157" s="5" t="s">
        <v>355</v>
      </c>
    </row>
    <row r="11158" ht="16.5" customHeight="1">
      <c r="O11158" s="5" t="s">
        <v>355</v>
      </c>
      <c r="P11158" s="5" t="s">
        <v>355</v>
      </c>
      <c r="Q11158" s="5" t="s">
        <v>355</v>
      </c>
    </row>
    <row r="11159" ht="16.5" customHeight="1">
      <c r="O11159" s="5" t="s">
        <v>355</v>
      </c>
      <c r="P11159" s="5" t="s">
        <v>355</v>
      </c>
      <c r="Q11159" s="5" t="s">
        <v>355</v>
      </c>
    </row>
    <row r="11160" ht="16.5" customHeight="1">
      <c r="O11160" s="5" t="s">
        <v>355</v>
      </c>
      <c r="P11160" s="5" t="s">
        <v>355</v>
      </c>
      <c r="Q11160" s="5" t="s">
        <v>355</v>
      </c>
    </row>
    <row r="11161" ht="16.5" customHeight="1">
      <c r="O11161" s="5" t="s">
        <v>355</v>
      </c>
      <c r="P11161" s="5" t="s">
        <v>355</v>
      </c>
      <c r="Q11161" s="5" t="s">
        <v>355</v>
      </c>
    </row>
    <row r="11162" ht="16.5" customHeight="1">
      <c r="O11162" s="5" t="s">
        <v>355</v>
      </c>
      <c r="P11162" s="5" t="s">
        <v>355</v>
      </c>
      <c r="Q11162" s="5" t="s">
        <v>355</v>
      </c>
    </row>
    <row r="11163" ht="16.5" customHeight="1">
      <c r="O11163" s="5" t="s">
        <v>355</v>
      </c>
      <c r="P11163" s="5" t="s">
        <v>355</v>
      </c>
      <c r="Q11163" s="5" t="s">
        <v>355</v>
      </c>
    </row>
    <row r="11164" ht="16.5" customHeight="1">
      <c r="O11164" s="5" t="s">
        <v>355</v>
      </c>
      <c r="P11164" s="5" t="s">
        <v>355</v>
      </c>
      <c r="Q11164" s="5" t="s">
        <v>355</v>
      </c>
    </row>
    <row r="11165" ht="16.5" customHeight="1">
      <c r="O11165" s="5" t="s">
        <v>355</v>
      </c>
      <c r="P11165" s="5" t="s">
        <v>355</v>
      </c>
      <c r="Q11165" s="5" t="s">
        <v>355</v>
      </c>
    </row>
    <row r="11166" ht="16.5" customHeight="1">
      <c r="O11166" s="5" t="s">
        <v>355</v>
      </c>
      <c r="P11166" s="5" t="s">
        <v>355</v>
      </c>
      <c r="Q11166" s="5" t="s">
        <v>355</v>
      </c>
    </row>
    <row r="11167" ht="16.5" customHeight="1">
      <c r="O11167" s="5" t="s">
        <v>355</v>
      </c>
      <c r="P11167" s="5" t="s">
        <v>355</v>
      </c>
      <c r="Q11167" s="5" t="s">
        <v>355</v>
      </c>
    </row>
    <row r="11168" ht="16.5" customHeight="1">
      <c r="O11168" s="5" t="s">
        <v>355</v>
      </c>
      <c r="P11168" s="5" t="s">
        <v>355</v>
      </c>
      <c r="Q11168" s="5" t="s">
        <v>355</v>
      </c>
    </row>
    <row r="11169" ht="16.5" customHeight="1">
      <c r="O11169" s="5" t="s">
        <v>355</v>
      </c>
      <c r="P11169" s="5" t="s">
        <v>355</v>
      </c>
      <c r="Q11169" s="5" t="s">
        <v>355</v>
      </c>
    </row>
    <row r="11170" ht="16.5" customHeight="1">
      <c r="O11170" s="5" t="s">
        <v>355</v>
      </c>
      <c r="P11170" s="5" t="s">
        <v>355</v>
      </c>
      <c r="Q11170" s="5" t="s">
        <v>355</v>
      </c>
    </row>
    <row r="11171" ht="16.5" customHeight="1">
      <c r="O11171" s="5" t="s">
        <v>355</v>
      </c>
      <c r="P11171" s="5" t="s">
        <v>355</v>
      </c>
      <c r="Q11171" s="5" t="s">
        <v>355</v>
      </c>
    </row>
    <row r="11172" ht="16.5" customHeight="1">
      <c r="O11172" s="5" t="s">
        <v>355</v>
      </c>
      <c r="P11172" s="5" t="s">
        <v>355</v>
      </c>
      <c r="Q11172" s="5" t="s">
        <v>355</v>
      </c>
    </row>
    <row r="11173" ht="16.5" customHeight="1">
      <c r="O11173" s="5" t="s">
        <v>355</v>
      </c>
      <c r="P11173" s="5" t="s">
        <v>355</v>
      </c>
      <c r="Q11173" s="5" t="s">
        <v>355</v>
      </c>
    </row>
    <row r="11174" ht="16.5" customHeight="1">
      <c r="O11174" s="5" t="s">
        <v>355</v>
      </c>
      <c r="P11174" s="5" t="s">
        <v>355</v>
      </c>
      <c r="Q11174" s="5" t="s">
        <v>355</v>
      </c>
    </row>
    <row r="11175" ht="16.5" customHeight="1">
      <c r="O11175" s="5" t="s">
        <v>355</v>
      </c>
      <c r="P11175" s="5" t="s">
        <v>355</v>
      </c>
      <c r="Q11175" s="5" t="s">
        <v>355</v>
      </c>
    </row>
    <row r="11176" ht="16.5" customHeight="1">
      <c r="O11176" s="5" t="s">
        <v>355</v>
      </c>
      <c r="P11176" s="5" t="s">
        <v>355</v>
      </c>
      <c r="Q11176" s="5" t="s">
        <v>355</v>
      </c>
    </row>
    <row r="11177" ht="16.5" customHeight="1">
      <c r="O11177" s="5" t="s">
        <v>355</v>
      </c>
      <c r="P11177" s="5" t="s">
        <v>355</v>
      </c>
      <c r="Q11177" s="5" t="s">
        <v>355</v>
      </c>
    </row>
    <row r="11178" ht="16.5" customHeight="1">
      <c r="O11178" s="5" t="s">
        <v>355</v>
      </c>
      <c r="P11178" s="5" t="s">
        <v>355</v>
      </c>
      <c r="Q11178" s="5" t="s">
        <v>355</v>
      </c>
    </row>
    <row r="11179" ht="16.5" customHeight="1">
      <c r="O11179" s="5" t="s">
        <v>355</v>
      </c>
      <c r="P11179" s="5" t="s">
        <v>355</v>
      </c>
      <c r="Q11179" s="5" t="s">
        <v>355</v>
      </c>
    </row>
    <row r="11180" ht="16.5" customHeight="1">
      <c r="O11180" s="5" t="s">
        <v>355</v>
      </c>
      <c r="P11180" s="5" t="s">
        <v>355</v>
      </c>
      <c r="Q11180" s="5" t="s">
        <v>355</v>
      </c>
    </row>
    <row r="11181" ht="16.5" customHeight="1">
      <c r="O11181" s="5" t="s">
        <v>355</v>
      </c>
      <c r="P11181" s="5" t="s">
        <v>355</v>
      </c>
      <c r="Q11181" s="5" t="s">
        <v>355</v>
      </c>
    </row>
    <row r="11182" ht="16.5" customHeight="1">
      <c r="O11182" s="5" t="s">
        <v>355</v>
      </c>
      <c r="P11182" s="5" t="s">
        <v>355</v>
      </c>
      <c r="Q11182" s="5" t="s">
        <v>355</v>
      </c>
    </row>
    <row r="11183" ht="16.5" customHeight="1">
      <c r="O11183" s="5" t="s">
        <v>355</v>
      </c>
      <c r="P11183" s="5" t="s">
        <v>355</v>
      </c>
      <c r="Q11183" s="5" t="s">
        <v>355</v>
      </c>
    </row>
    <row r="11184" ht="16.5" customHeight="1">
      <c r="O11184" s="5" t="s">
        <v>355</v>
      </c>
      <c r="P11184" s="5" t="s">
        <v>355</v>
      </c>
      <c r="Q11184" s="5" t="s">
        <v>355</v>
      </c>
    </row>
    <row r="11185" ht="16.5" customHeight="1">
      <c r="O11185" s="5" t="s">
        <v>355</v>
      </c>
      <c r="P11185" s="5" t="s">
        <v>355</v>
      </c>
      <c r="Q11185" s="5" t="s">
        <v>355</v>
      </c>
    </row>
    <row r="11186" ht="16.5" customHeight="1">
      <c r="O11186" s="5" t="s">
        <v>355</v>
      </c>
      <c r="P11186" s="5" t="s">
        <v>355</v>
      </c>
      <c r="Q11186" s="5" t="s">
        <v>355</v>
      </c>
    </row>
    <row r="11187" ht="16.5" customHeight="1">
      <c r="O11187" s="5" t="s">
        <v>355</v>
      </c>
      <c r="P11187" s="5" t="s">
        <v>355</v>
      </c>
      <c r="Q11187" s="5" t="s">
        <v>355</v>
      </c>
    </row>
    <row r="11188" ht="16.5" customHeight="1">
      <c r="O11188" s="5" t="s">
        <v>355</v>
      </c>
      <c r="P11188" s="5" t="s">
        <v>355</v>
      </c>
      <c r="Q11188" s="5" t="s">
        <v>355</v>
      </c>
    </row>
    <row r="11189" ht="16.5" customHeight="1">
      <c r="O11189" s="5" t="s">
        <v>355</v>
      </c>
      <c r="P11189" s="5" t="s">
        <v>355</v>
      </c>
      <c r="Q11189" s="5" t="s">
        <v>355</v>
      </c>
    </row>
    <row r="11190" ht="16.5" customHeight="1">
      <c r="O11190" s="5" t="s">
        <v>355</v>
      </c>
      <c r="P11190" s="5" t="s">
        <v>355</v>
      </c>
      <c r="Q11190" s="5" t="s">
        <v>355</v>
      </c>
    </row>
    <row r="11191" ht="16.5" customHeight="1">
      <c r="O11191" s="5" t="s">
        <v>355</v>
      </c>
      <c r="P11191" s="5" t="s">
        <v>355</v>
      </c>
      <c r="Q11191" s="5" t="s">
        <v>355</v>
      </c>
    </row>
    <row r="11192" ht="16.5" customHeight="1">
      <c r="O11192" s="5" t="s">
        <v>355</v>
      </c>
      <c r="P11192" s="5" t="s">
        <v>355</v>
      </c>
      <c r="Q11192" s="5" t="s">
        <v>355</v>
      </c>
    </row>
    <row r="11193" ht="16.5" customHeight="1">
      <c r="O11193" s="5" t="s">
        <v>355</v>
      </c>
      <c r="P11193" s="5" t="s">
        <v>355</v>
      </c>
      <c r="Q11193" s="5" t="s">
        <v>355</v>
      </c>
    </row>
    <row r="11194" ht="16.5" customHeight="1">
      <c r="O11194" s="5" t="s">
        <v>355</v>
      </c>
      <c r="P11194" s="5" t="s">
        <v>355</v>
      </c>
      <c r="Q11194" s="5" t="s">
        <v>355</v>
      </c>
    </row>
    <row r="11195" ht="16.5" customHeight="1">
      <c r="O11195" s="5" t="s">
        <v>355</v>
      </c>
      <c r="P11195" s="5" t="s">
        <v>355</v>
      </c>
      <c r="Q11195" s="5" t="s">
        <v>355</v>
      </c>
    </row>
    <row r="11196" ht="16.5" customHeight="1">
      <c r="O11196" s="5" t="s">
        <v>355</v>
      </c>
      <c r="P11196" s="5" t="s">
        <v>355</v>
      </c>
      <c r="Q11196" s="5" t="s">
        <v>355</v>
      </c>
    </row>
    <row r="11197" ht="16.5" customHeight="1">
      <c r="O11197" s="5" t="s">
        <v>355</v>
      </c>
      <c r="P11197" s="5" t="s">
        <v>355</v>
      </c>
      <c r="Q11197" s="5" t="s">
        <v>355</v>
      </c>
    </row>
    <row r="11198" ht="16.5" customHeight="1">
      <c r="O11198" s="5" t="s">
        <v>355</v>
      </c>
      <c r="P11198" s="5" t="s">
        <v>355</v>
      </c>
      <c r="Q11198" s="5" t="s">
        <v>355</v>
      </c>
    </row>
    <row r="11199" ht="16.5" customHeight="1">
      <c r="O11199" s="5" t="s">
        <v>355</v>
      </c>
      <c r="P11199" s="5" t="s">
        <v>355</v>
      </c>
      <c r="Q11199" s="5" t="s">
        <v>355</v>
      </c>
    </row>
    <row r="11200" ht="16.5" customHeight="1">
      <c r="O11200" s="5" t="s">
        <v>355</v>
      </c>
      <c r="P11200" s="5" t="s">
        <v>355</v>
      </c>
      <c r="Q11200" s="5" t="s">
        <v>355</v>
      </c>
    </row>
    <row r="11201" ht="16.5" customHeight="1">
      <c r="O11201" s="5" t="s">
        <v>355</v>
      </c>
      <c r="P11201" s="5" t="s">
        <v>355</v>
      </c>
      <c r="Q11201" s="5" t="s">
        <v>355</v>
      </c>
    </row>
    <row r="11202" ht="16.5" customHeight="1">
      <c r="O11202" s="5" t="s">
        <v>355</v>
      </c>
      <c r="P11202" s="5" t="s">
        <v>355</v>
      </c>
      <c r="Q11202" s="5" t="s">
        <v>355</v>
      </c>
    </row>
    <row r="11203" ht="16.5" customHeight="1">
      <c r="O11203" s="5" t="s">
        <v>355</v>
      </c>
      <c r="P11203" s="5" t="s">
        <v>355</v>
      </c>
      <c r="Q11203" s="5" t="s">
        <v>355</v>
      </c>
    </row>
    <row r="11204" ht="16.5" customHeight="1">
      <c r="O11204" s="5" t="s">
        <v>355</v>
      </c>
      <c r="P11204" s="5" t="s">
        <v>355</v>
      </c>
      <c r="Q11204" s="5" t="s">
        <v>355</v>
      </c>
    </row>
    <row r="11205" ht="16.5" customHeight="1">
      <c r="O11205" s="5" t="s">
        <v>355</v>
      </c>
      <c r="P11205" s="5" t="s">
        <v>355</v>
      </c>
      <c r="Q11205" s="5" t="s">
        <v>355</v>
      </c>
    </row>
    <row r="11206" ht="16.5" customHeight="1">
      <c r="O11206" s="5" t="s">
        <v>355</v>
      </c>
      <c r="P11206" s="5" t="s">
        <v>355</v>
      </c>
      <c r="Q11206" s="5" t="s">
        <v>355</v>
      </c>
    </row>
    <row r="11207" ht="16.5" customHeight="1">
      <c r="O11207" s="5" t="s">
        <v>355</v>
      </c>
      <c r="P11207" s="5" t="s">
        <v>355</v>
      </c>
      <c r="Q11207" s="5" t="s">
        <v>355</v>
      </c>
    </row>
    <row r="11208" ht="16.5" customHeight="1">
      <c r="O11208" s="5" t="s">
        <v>355</v>
      </c>
      <c r="P11208" s="5" t="s">
        <v>355</v>
      </c>
      <c r="Q11208" s="5" t="s">
        <v>355</v>
      </c>
    </row>
    <row r="11209" ht="16.5" customHeight="1">
      <c r="O11209" s="5" t="s">
        <v>355</v>
      </c>
      <c r="P11209" s="5" t="s">
        <v>355</v>
      </c>
      <c r="Q11209" s="5" t="s">
        <v>355</v>
      </c>
    </row>
    <row r="11210" ht="16.5" customHeight="1">
      <c r="O11210" s="5" t="s">
        <v>355</v>
      </c>
      <c r="P11210" s="5" t="s">
        <v>355</v>
      </c>
      <c r="Q11210" s="5" t="s">
        <v>355</v>
      </c>
    </row>
    <row r="11211" ht="16.5" customHeight="1">
      <c r="O11211" s="5" t="s">
        <v>355</v>
      </c>
      <c r="P11211" s="5" t="s">
        <v>355</v>
      </c>
      <c r="Q11211" s="5" t="s">
        <v>355</v>
      </c>
    </row>
    <row r="11212" ht="16.5" customHeight="1">
      <c r="O11212" s="5" t="s">
        <v>355</v>
      </c>
      <c r="P11212" s="5" t="s">
        <v>355</v>
      </c>
      <c r="Q11212" s="5" t="s">
        <v>355</v>
      </c>
    </row>
    <row r="11213" ht="16.5" customHeight="1">
      <c r="O11213" s="5" t="s">
        <v>355</v>
      </c>
      <c r="P11213" s="5" t="s">
        <v>355</v>
      </c>
      <c r="Q11213" s="5" t="s">
        <v>355</v>
      </c>
    </row>
    <row r="11214" ht="16.5" customHeight="1">
      <c r="O11214" s="5" t="s">
        <v>355</v>
      </c>
      <c r="P11214" s="5" t="s">
        <v>355</v>
      </c>
      <c r="Q11214" s="5" t="s">
        <v>355</v>
      </c>
    </row>
    <row r="11215" ht="16.5" customHeight="1">
      <c r="O11215" s="5" t="s">
        <v>355</v>
      </c>
      <c r="P11215" s="5" t="s">
        <v>355</v>
      </c>
      <c r="Q11215" s="5" t="s">
        <v>355</v>
      </c>
    </row>
    <row r="11216" ht="16.5" customHeight="1">
      <c r="O11216" s="5" t="s">
        <v>355</v>
      </c>
      <c r="P11216" s="5" t="s">
        <v>355</v>
      </c>
      <c r="Q11216" s="5" t="s">
        <v>355</v>
      </c>
    </row>
    <row r="11217" ht="16.5" customHeight="1">
      <c r="O11217" s="5" t="s">
        <v>355</v>
      </c>
      <c r="P11217" s="5" t="s">
        <v>355</v>
      </c>
      <c r="Q11217" s="5" t="s">
        <v>355</v>
      </c>
    </row>
    <row r="11218" ht="16.5" customHeight="1">
      <c r="O11218" s="5" t="s">
        <v>355</v>
      </c>
      <c r="P11218" s="5" t="s">
        <v>355</v>
      </c>
      <c r="Q11218" s="5" t="s">
        <v>355</v>
      </c>
    </row>
    <row r="11219" ht="16.5" customHeight="1">
      <c r="O11219" s="5" t="s">
        <v>355</v>
      </c>
      <c r="P11219" s="5" t="s">
        <v>355</v>
      </c>
      <c r="Q11219" s="5" t="s">
        <v>355</v>
      </c>
    </row>
    <row r="11220" ht="16.5" customHeight="1">
      <c r="O11220" s="5" t="s">
        <v>355</v>
      </c>
      <c r="P11220" s="5" t="s">
        <v>355</v>
      </c>
      <c r="Q11220" s="5" t="s">
        <v>355</v>
      </c>
    </row>
    <row r="11221" ht="16.5" customHeight="1">
      <c r="O11221" s="5" t="s">
        <v>355</v>
      </c>
      <c r="P11221" s="5" t="s">
        <v>355</v>
      </c>
      <c r="Q11221" s="5" t="s">
        <v>355</v>
      </c>
    </row>
    <row r="11222" ht="16.5" customHeight="1">
      <c r="O11222" s="5" t="s">
        <v>355</v>
      </c>
      <c r="P11222" s="5" t="s">
        <v>355</v>
      </c>
      <c r="Q11222" s="5" t="s">
        <v>355</v>
      </c>
    </row>
    <row r="11223" ht="16.5" customHeight="1">
      <c r="O11223" s="5" t="s">
        <v>355</v>
      </c>
      <c r="P11223" s="5" t="s">
        <v>355</v>
      </c>
      <c r="Q11223" s="5" t="s">
        <v>355</v>
      </c>
    </row>
    <row r="11224" ht="16.5" customHeight="1">
      <c r="O11224" s="5" t="s">
        <v>355</v>
      </c>
      <c r="P11224" s="5" t="s">
        <v>355</v>
      </c>
      <c r="Q11224" s="5" t="s">
        <v>355</v>
      </c>
    </row>
    <row r="11225" ht="16.5" customHeight="1">
      <c r="O11225" s="5" t="s">
        <v>355</v>
      </c>
      <c r="P11225" s="5" t="s">
        <v>355</v>
      </c>
      <c r="Q11225" s="5" t="s">
        <v>355</v>
      </c>
    </row>
    <row r="11226" ht="16.5" customHeight="1">
      <c r="O11226" s="5" t="s">
        <v>355</v>
      </c>
      <c r="P11226" s="5" t="s">
        <v>355</v>
      </c>
      <c r="Q11226" s="5" t="s">
        <v>355</v>
      </c>
    </row>
    <row r="11227" ht="16.5" customHeight="1">
      <c r="O11227" s="5" t="s">
        <v>355</v>
      </c>
      <c r="P11227" s="5" t="s">
        <v>355</v>
      </c>
      <c r="Q11227" s="5" t="s">
        <v>355</v>
      </c>
    </row>
    <row r="11228" ht="16.5" customHeight="1">
      <c r="O11228" s="5" t="s">
        <v>355</v>
      </c>
      <c r="P11228" s="5" t="s">
        <v>355</v>
      </c>
      <c r="Q11228" s="5" t="s">
        <v>355</v>
      </c>
    </row>
    <row r="11229" ht="16.5" customHeight="1">
      <c r="O11229" s="5" t="s">
        <v>355</v>
      </c>
      <c r="P11229" s="5" t="s">
        <v>355</v>
      </c>
      <c r="Q11229" s="5" t="s">
        <v>355</v>
      </c>
    </row>
    <row r="11230" ht="16.5" customHeight="1">
      <c r="O11230" s="5" t="s">
        <v>355</v>
      </c>
      <c r="P11230" s="5" t="s">
        <v>355</v>
      </c>
      <c r="Q11230" s="5" t="s">
        <v>355</v>
      </c>
    </row>
    <row r="11231" ht="16.5" customHeight="1">
      <c r="O11231" s="5" t="s">
        <v>355</v>
      </c>
      <c r="P11231" s="5" t="s">
        <v>355</v>
      </c>
      <c r="Q11231" s="5" t="s">
        <v>355</v>
      </c>
    </row>
    <row r="11232" ht="16.5" customHeight="1">
      <c r="O11232" s="5" t="s">
        <v>355</v>
      </c>
      <c r="P11232" s="5" t="s">
        <v>355</v>
      </c>
      <c r="Q11232" s="5" t="s">
        <v>355</v>
      </c>
    </row>
    <row r="11233" ht="16.5" customHeight="1">
      <c r="O11233" s="5" t="s">
        <v>355</v>
      </c>
      <c r="P11233" s="5" t="s">
        <v>355</v>
      </c>
      <c r="Q11233" s="5" t="s">
        <v>355</v>
      </c>
    </row>
    <row r="11234" ht="16.5" customHeight="1">
      <c r="O11234" s="5" t="s">
        <v>355</v>
      </c>
      <c r="P11234" s="5" t="s">
        <v>355</v>
      </c>
      <c r="Q11234" s="5" t="s">
        <v>355</v>
      </c>
    </row>
    <row r="11235" ht="16.5" customHeight="1">
      <c r="O11235" s="5" t="s">
        <v>355</v>
      </c>
      <c r="P11235" s="5" t="s">
        <v>355</v>
      </c>
      <c r="Q11235" s="5" t="s">
        <v>355</v>
      </c>
    </row>
    <row r="11236" ht="16.5" customHeight="1">
      <c r="O11236" s="5" t="s">
        <v>355</v>
      </c>
      <c r="P11236" s="5" t="s">
        <v>355</v>
      </c>
      <c r="Q11236" s="5" t="s">
        <v>355</v>
      </c>
    </row>
    <row r="11237" ht="16.5" customHeight="1">
      <c r="O11237" s="5" t="s">
        <v>355</v>
      </c>
      <c r="P11237" s="5" t="s">
        <v>355</v>
      </c>
      <c r="Q11237" s="5" t="s">
        <v>355</v>
      </c>
    </row>
    <row r="11238" ht="16.5" customHeight="1">
      <c r="O11238" s="5" t="s">
        <v>355</v>
      </c>
      <c r="P11238" s="5" t="s">
        <v>355</v>
      </c>
      <c r="Q11238" s="5" t="s">
        <v>355</v>
      </c>
    </row>
    <row r="11239" ht="16.5" customHeight="1">
      <c r="O11239" s="5" t="s">
        <v>355</v>
      </c>
      <c r="P11239" s="5" t="s">
        <v>355</v>
      </c>
      <c r="Q11239" s="5" t="s">
        <v>355</v>
      </c>
    </row>
    <row r="11240" ht="16.5" customHeight="1">
      <c r="O11240" s="5" t="s">
        <v>355</v>
      </c>
      <c r="P11240" s="5" t="s">
        <v>355</v>
      </c>
      <c r="Q11240" s="5" t="s">
        <v>355</v>
      </c>
    </row>
    <row r="11241" ht="16.5" customHeight="1">
      <c r="O11241" s="5" t="s">
        <v>355</v>
      </c>
      <c r="P11241" s="5" t="s">
        <v>355</v>
      </c>
      <c r="Q11241" s="5" t="s">
        <v>355</v>
      </c>
    </row>
    <row r="11242" ht="16.5" customHeight="1">
      <c r="O11242" s="5" t="s">
        <v>355</v>
      </c>
      <c r="P11242" s="5" t="s">
        <v>355</v>
      </c>
      <c r="Q11242" s="5" t="s">
        <v>355</v>
      </c>
    </row>
    <row r="11243" ht="16.5" customHeight="1">
      <c r="O11243" s="5" t="s">
        <v>355</v>
      </c>
      <c r="P11243" s="5" t="s">
        <v>355</v>
      </c>
      <c r="Q11243" s="5" t="s">
        <v>355</v>
      </c>
    </row>
    <row r="11244" ht="16.5" customHeight="1">
      <c r="O11244" s="5" t="s">
        <v>355</v>
      </c>
      <c r="P11244" s="5" t="s">
        <v>355</v>
      </c>
      <c r="Q11244" s="5" t="s">
        <v>355</v>
      </c>
    </row>
    <row r="11245" ht="16.5" customHeight="1">
      <c r="O11245" s="5" t="s">
        <v>355</v>
      </c>
      <c r="P11245" s="5" t="s">
        <v>355</v>
      </c>
      <c r="Q11245" s="5" t="s">
        <v>355</v>
      </c>
    </row>
    <row r="11246" ht="16.5" customHeight="1">
      <c r="O11246" s="5" t="s">
        <v>355</v>
      </c>
      <c r="P11246" s="5" t="s">
        <v>355</v>
      </c>
      <c r="Q11246" s="5" t="s">
        <v>355</v>
      </c>
    </row>
    <row r="11247" ht="16.5" customHeight="1">
      <c r="O11247" s="5" t="s">
        <v>355</v>
      </c>
      <c r="P11247" s="5" t="s">
        <v>355</v>
      </c>
      <c r="Q11247" s="5" t="s">
        <v>355</v>
      </c>
    </row>
    <row r="11248" ht="16.5" customHeight="1">
      <c r="O11248" s="5" t="s">
        <v>355</v>
      </c>
      <c r="P11248" s="5" t="s">
        <v>355</v>
      </c>
      <c r="Q11248" s="5" t="s">
        <v>355</v>
      </c>
    </row>
    <row r="11249" ht="16.5" customHeight="1">
      <c r="O11249" s="5" t="s">
        <v>355</v>
      </c>
      <c r="P11249" s="5" t="s">
        <v>355</v>
      </c>
      <c r="Q11249" s="5" t="s">
        <v>355</v>
      </c>
    </row>
    <row r="11250" ht="16.5" customHeight="1">
      <c r="O11250" s="5" t="s">
        <v>355</v>
      </c>
      <c r="P11250" s="5" t="s">
        <v>355</v>
      </c>
      <c r="Q11250" s="5" t="s">
        <v>355</v>
      </c>
    </row>
    <row r="11251" ht="16.5" customHeight="1">
      <c r="O11251" s="5" t="s">
        <v>355</v>
      </c>
      <c r="P11251" s="5" t="s">
        <v>355</v>
      </c>
      <c r="Q11251" s="5" t="s">
        <v>355</v>
      </c>
    </row>
    <row r="11252" ht="16.5" customHeight="1">
      <c r="O11252" s="5" t="s">
        <v>355</v>
      </c>
      <c r="P11252" s="5" t="s">
        <v>355</v>
      </c>
      <c r="Q11252" s="5" t="s">
        <v>355</v>
      </c>
    </row>
    <row r="11253" ht="16.5" customHeight="1">
      <c r="O11253" s="5" t="s">
        <v>355</v>
      </c>
      <c r="P11253" s="5" t="s">
        <v>355</v>
      </c>
      <c r="Q11253" s="5" t="s">
        <v>355</v>
      </c>
    </row>
    <row r="11254" ht="16.5" customHeight="1">
      <c r="O11254" s="5" t="s">
        <v>355</v>
      </c>
      <c r="P11254" s="5" t="s">
        <v>355</v>
      </c>
      <c r="Q11254" s="5" t="s">
        <v>355</v>
      </c>
    </row>
    <row r="11255" ht="16.5" customHeight="1">
      <c r="O11255" s="5" t="s">
        <v>355</v>
      </c>
      <c r="P11255" s="5" t="s">
        <v>355</v>
      </c>
      <c r="Q11255" s="5" t="s">
        <v>355</v>
      </c>
    </row>
    <row r="11256" ht="16.5" customHeight="1">
      <c r="O11256" s="5" t="s">
        <v>355</v>
      </c>
      <c r="P11256" s="5" t="s">
        <v>355</v>
      </c>
      <c r="Q11256" s="5" t="s">
        <v>355</v>
      </c>
    </row>
    <row r="11257" ht="16.5" customHeight="1">
      <c r="O11257" s="5" t="s">
        <v>355</v>
      </c>
      <c r="P11257" s="5" t="s">
        <v>355</v>
      </c>
      <c r="Q11257" s="5" t="s">
        <v>355</v>
      </c>
    </row>
    <row r="11258" ht="16.5" customHeight="1">
      <c r="O11258" s="5" t="s">
        <v>355</v>
      </c>
      <c r="P11258" s="5" t="s">
        <v>355</v>
      </c>
      <c r="Q11258" s="5" t="s">
        <v>355</v>
      </c>
    </row>
    <row r="11259" ht="16.5" customHeight="1">
      <c r="O11259" s="5" t="s">
        <v>355</v>
      </c>
      <c r="P11259" s="5" t="s">
        <v>355</v>
      </c>
      <c r="Q11259" s="5" t="s">
        <v>355</v>
      </c>
    </row>
    <row r="11260" ht="16.5" customHeight="1">
      <c r="O11260" s="5" t="s">
        <v>355</v>
      </c>
      <c r="P11260" s="5" t="s">
        <v>355</v>
      </c>
      <c r="Q11260" s="5" t="s">
        <v>355</v>
      </c>
    </row>
    <row r="11261" ht="16.5" customHeight="1">
      <c r="O11261" s="5" t="s">
        <v>355</v>
      </c>
      <c r="P11261" s="5" t="s">
        <v>355</v>
      </c>
      <c r="Q11261" s="5" t="s">
        <v>355</v>
      </c>
    </row>
    <row r="11262" ht="16.5" customHeight="1">
      <c r="O11262" s="5" t="s">
        <v>355</v>
      </c>
      <c r="P11262" s="5" t="s">
        <v>355</v>
      </c>
      <c r="Q11262" s="5" t="s">
        <v>355</v>
      </c>
    </row>
    <row r="11263" ht="16.5" customHeight="1">
      <c r="O11263" s="5" t="s">
        <v>355</v>
      </c>
      <c r="P11263" s="5" t="s">
        <v>355</v>
      </c>
      <c r="Q11263" s="5" t="s">
        <v>355</v>
      </c>
    </row>
    <row r="11264" ht="16.5" customHeight="1">
      <c r="O11264" s="5" t="s">
        <v>355</v>
      </c>
      <c r="P11264" s="5" t="s">
        <v>355</v>
      </c>
      <c r="Q11264" s="5" t="s">
        <v>355</v>
      </c>
    </row>
    <row r="11265" ht="16.5" customHeight="1">
      <c r="O11265" s="5" t="s">
        <v>355</v>
      </c>
      <c r="P11265" s="5" t="s">
        <v>355</v>
      </c>
      <c r="Q11265" s="5" t="s">
        <v>355</v>
      </c>
    </row>
    <row r="11266" ht="16.5" customHeight="1">
      <c r="O11266" s="5" t="s">
        <v>355</v>
      </c>
      <c r="P11266" s="5" t="s">
        <v>355</v>
      </c>
      <c r="Q11266" s="5" t="s">
        <v>355</v>
      </c>
    </row>
    <row r="11267" ht="16.5" customHeight="1">
      <c r="O11267" s="5" t="s">
        <v>355</v>
      </c>
      <c r="P11267" s="5" t="s">
        <v>355</v>
      </c>
      <c r="Q11267" s="5" t="s">
        <v>355</v>
      </c>
    </row>
    <row r="11268" ht="16.5" customHeight="1">
      <c r="O11268" s="5" t="s">
        <v>355</v>
      </c>
      <c r="P11268" s="5" t="s">
        <v>355</v>
      </c>
      <c r="Q11268" s="5" t="s">
        <v>355</v>
      </c>
    </row>
    <row r="11269" ht="16.5" customHeight="1">
      <c r="O11269" s="5" t="s">
        <v>355</v>
      </c>
      <c r="P11269" s="5" t="s">
        <v>355</v>
      </c>
      <c r="Q11269" s="5" t="s">
        <v>355</v>
      </c>
    </row>
    <row r="11270" ht="16.5" customHeight="1">
      <c r="O11270" s="5" t="s">
        <v>355</v>
      </c>
      <c r="P11270" s="5" t="s">
        <v>355</v>
      </c>
      <c r="Q11270" s="5" t="s">
        <v>355</v>
      </c>
    </row>
    <row r="11271" ht="16.5" customHeight="1">
      <c r="O11271" s="5" t="s">
        <v>355</v>
      </c>
      <c r="P11271" s="5" t="s">
        <v>355</v>
      </c>
      <c r="Q11271" s="5" t="s">
        <v>355</v>
      </c>
    </row>
    <row r="11272" ht="16.5" customHeight="1">
      <c r="O11272" s="5" t="s">
        <v>355</v>
      </c>
      <c r="P11272" s="5" t="s">
        <v>355</v>
      </c>
      <c r="Q11272" s="5" t="s">
        <v>355</v>
      </c>
    </row>
    <row r="11273" ht="16.5" customHeight="1">
      <c r="O11273" s="5" t="s">
        <v>355</v>
      </c>
      <c r="P11273" s="5" t="s">
        <v>355</v>
      </c>
      <c r="Q11273" s="5" t="s">
        <v>355</v>
      </c>
    </row>
    <row r="11274" ht="16.5" customHeight="1">
      <c r="O11274" s="5" t="s">
        <v>355</v>
      </c>
      <c r="P11274" s="5" t="s">
        <v>355</v>
      </c>
      <c r="Q11274" s="5" t="s">
        <v>355</v>
      </c>
    </row>
    <row r="11275" ht="16.5" customHeight="1">
      <c r="O11275" s="5" t="s">
        <v>355</v>
      </c>
      <c r="P11275" s="5" t="s">
        <v>355</v>
      </c>
      <c r="Q11275" s="5" t="s">
        <v>355</v>
      </c>
    </row>
    <row r="11276" ht="16.5" customHeight="1">
      <c r="O11276" s="5" t="s">
        <v>355</v>
      </c>
      <c r="P11276" s="5" t="s">
        <v>355</v>
      </c>
      <c r="Q11276" s="5" t="s">
        <v>355</v>
      </c>
    </row>
    <row r="11277" ht="16.5" customHeight="1">
      <c r="O11277" s="5" t="s">
        <v>355</v>
      </c>
      <c r="P11277" s="5" t="s">
        <v>355</v>
      </c>
      <c r="Q11277" s="5" t="s">
        <v>355</v>
      </c>
    </row>
    <row r="11278" ht="16.5" customHeight="1">
      <c r="O11278" s="5" t="s">
        <v>355</v>
      </c>
      <c r="P11278" s="5" t="s">
        <v>355</v>
      </c>
      <c r="Q11278" s="5" t="s">
        <v>355</v>
      </c>
    </row>
    <row r="11279" ht="16.5" customHeight="1">
      <c r="O11279" s="5" t="s">
        <v>355</v>
      </c>
      <c r="P11279" s="5" t="s">
        <v>355</v>
      </c>
      <c r="Q11279" s="5" t="s">
        <v>355</v>
      </c>
    </row>
    <row r="11280" ht="16.5" customHeight="1">
      <c r="O11280" s="5" t="s">
        <v>355</v>
      </c>
      <c r="P11280" s="5" t="s">
        <v>355</v>
      </c>
      <c r="Q11280" s="5" t="s">
        <v>355</v>
      </c>
    </row>
    <row r="11281" ht="16.5" customHeight="1">
      <c r="O11281" s="5" t="s">
        <v>355</v>
      </c>
      <c r="P11281" s="5" t="s">
        <v>355</v>
      </c>
      <c r="Q11281" s="5" t="s">
        <v>355</v>
      </c>
    </row>
    <row r="11282" ht="16.5" customHeight="1">
      <c r="O11282" s="5" t="s">
        <v>355</v>
      </c>
      <c r="P11282" s="5" t="s">
        <v>355</v>
      </c>
      <c r="Q11282" s="5" t="s">
        <v>355</v>
      </c>
    </row>
    <row r="11283" ht="16.5" customHeight="1">
      <c r="O11283" s="5" t="s">
        <v>355</v>
      </c>
      <c r="P11283" s="5" t="s">
        <v>355</v>
      </c>
      <c r="Q11283" s="5" t="s">
        <v>355</v>
      </c>
    </row>
    <row r="11284" ht="16.5" customHeight="1">
      <c r="O11284" s="5" t="s">
        <v>355</v>
      </c>
      <c r="P11284" s="5" t="s">
        <v>355</v>
      </c>
      <c r="Q11284" s="5" t="s">
        <v>355</v>
      </c>
    </row>
    <row r="11285" ht="16.5" customHeight="1">
      <c r="O11285" s="5" t="s">
        <v>355</v>
      </c>
      <c r="P11285" s="5" t="s">
        <v>355</v>
      </c>
      <c r="Q11285" s="5" t="s">
        <v>355</v>
      </c>
    </row>
    <row r="11286" ht="16.5" customHeight="1">
      <c r="O11286" s="5" t="s">
        <v>355</v>
      </c>
      <c r="P11286" s="5" t="s">
        <v>355</v>
      </c>
      <c r="Q11286" s="5" t="s">
        <v>355</v>
      </c>
    </row>
    <row r="11287" ht="16.5" customHeight="1">
      <c r="O11287" s="5" t="s">
        <v>355</v>
      </c>
      <c r="P11287" s="5" t="s">
        <v>355</v>
      </c>
      <c r="Q11287" s="5" t="s">
        <v>355</v>
      </c>
    </row>
    <row r="11288" ht="16.5" customHeight="1">
      <c r="O11288" s="5" t="s">
        <v>355</v>
      </c>
      <c r="P11288" s="5" t="s">
        <v>355</v>
      </c>
      <c r="Q11288" s="5" t="s">
        <v>355</v>
      </c>
    </row>
    <row r="11289" ht="16.5" customHeight="1">
      <c r="O11289" s="5" t="s">
        <v>355</v>
      </c>
      <c r="P11289" s="5" t="s">
        <v>355</v>
      </c>
      <c r="Q11289" s="5" t="s">
        <v>355</v>
      </c>
    </row>
    <row r="11290" ht="16.5" customHeight="1">
      <c r="O11290" s="5" t="s">
        <v>355</v>
      </c>
      <c r="P11290" s="5" t="s">
        <v>355</v>
      </c>
      <c r="Q11290" s="5" t="s">
        <v>355</v>
      </c>
    </row>
    <row r="11291" ht="16.5" customHeight="1">
      <c r="O11291" s="5" t="s">
        <v>355</v>
      </c>
      <c r="P11291" s="5" t="s">
        <v>355</v>
      </c>
      <c r="Q11291" s="5" t="s">
        <v>355</v>
      </c>
    </row>
    <row r="11292" ht="16.5" customHeight="1">
      <c r="O11292" s="5" t="s">
        <v>355</v>
      </c>
      <c r="P11292" s="5" t="s">
        <v>355</v>
      </c>
      <c r="Q11292" s="5" t="s">
        <v>355</v>
      </c>
    </row>
    <row r="11293" ht="16.5" customHeight="1">
      <c r="O11293" s="5" t="s">
        <v>355</v>
      </c>
      <c r="P11293" s="5" t="s">
        <v>355</v>
      </c>
      <c r="Q11293" s="5" t="s">
        <v>355</v>
      </c>
    </row>
    <row r="11294" ht="16.5" customHeight="1">
      <c r="O11294" s="5" t="s">
        <v>355</v>
      </c>
      <c r="P11294" s="5" t="s">
        <v>355</v>
      </c>
      <c r="Q11294" s="5" t="s">
        <v>355</v>
      </c>
    </row>
    <row r="11295" ht="16.5" customHeight="1">
      <c r="O11295" s="5" t="s">
        <v>355</v>
      </c>
      <c r="P11295" s="5" t="s">
        <v>355</v>
      </c>
      <c r="Q11295" s="5" t="s">
        <v>355</v>
      </c>
    </row>
    <row r="11296" ht="16.5" customHeight="1">
      <c r="O11296" s="5" t="s">
        <v>355</v>
      </c>
      <c r="P11296" s="5" t="s">
        <v>355</v>
      </c>
      <c r="Q11296" s="5" t="s">
        <v>355</v>
      </c>
    </row>
    <row r="11297" ht="16.5" customHeight="1">
      <c r="O11297" s="5" t="s">
        <v>355</v>
      </c>
      <c r="P11297" s="5" t="s">
        <v>355</v>
      </c>
      <c r="Q11297" s="5" t="s">
        <v>355</v>
      </c>
    </row>
    <row r="11298" ht="16.5" customHeight="1">
      <c r="O11298" s="5" t="s">
        <v>355</v>
      </c>
      <c r="P11298" s="5" t="s">
        <v>355</v>
      </c>
      <c r="Q11298" s="5" t="s">
        <v>355</v>
      </c>
    </row>
    <row r="11299" ht="16.5" customHeight="1">
      <c r="O11299" s="5" t="s">
        <v>355</v>
      </c>
      <c r="P11299" s="5" t="s">
        <v>355</v>
      </c>
      <c r="Q11299" s="5" t="s">
        <v>355</v>
      </c>
    </row>
    <row r="11300" ht="16.5" customHeight="1">
      <c r="O11300" s="5" t="s">
        <v>355</v>
      </c>
      <c r="P11300" s="5" t="s">
        <v>355</v>
      </c>
      <c r="Q11300" s="5" t="s">
        <v>355</v>
      </c>
    </row>
    <row r="11301" ht="16.5" customHeight="1">
      <c r="O11301" s="5" t="s">
        <v>355</v>
      </c>
      <c r="P11301" s="5" t="s">
        <v>355</v>
      </c>
      <c r="Q11301" s="5" t="s">
        <v>355</v>
      </c>
    </row>
    <row r="11302" ht="16.5" customHeight="1">
      <c r="O11302" s="5" t="s">
        <v>355</v>
      </c>
      <c r="P11302" s="5" t="s">
        <v>355</v>
      </c>
      <c r="Q11302" s="5" t="s">
        <v>355</v>
      </c>
    </row>
    <row r="11303" ht="16.5" customHeight="1">
      <c r="O11303" s="5" t="s">
        <v>355</v>
      </c>
      <c r="P11303" s="5" t="s">
        <v>355</v>
      </c>
      <c r="Q11303" s="5" t="s">
        <v>355</v>
      </c>
    </row>
    <row r="11304" ht="16.5" customHeight="1">
      <c r="O11304" s="5" t="s">
        <v>355</v>
      </c>
      <c r="P11304" s="5" t="s">
        <v>355</v>
      </c>
      <c r="Q11304" s="5" t="s">
        <v>355</v>
      </c>
    </row>
    <row r="11305" ht="16.5" customHeight="1">
      <c r="O11305" s="5" t="s">
        <v>355</v>
      </c>
      <c r="P11305" s="5" t="s">
        <v>355</v>
      </c>
      <c r="Q11305" s="5" t="s">
        <v>355</v>
      </c>
    </row>
    <row r="11306" ht="16.5" customHeight="1">
      <c r="O11306" s="5" t="s">
        <v>355</v>
      </c>
      <c r="P11306" s="5" t="s">
        <v>355</v>
      </c>
      <c r="Q11306" s="5" t="s">
        <v>355</v>
      </c>
    </row>
    <row r="11307" ht="16.5" customHeight="1">
      <c r="O11307" s="5" t="s">
        <v>355</v>
      </c>
      <c r="P11307" s="5" t="s">
        <v>355</v>
      </c>
      <c r="Q11307" s="5" t="s">
        <v>355</v>
      </c>
    </row>
    <row r="11308" ht="16.5" customHeight="1">
      <c r="O11308" s="5" t="s">
        <v>355</v>
      </c>
      <c r="P11308" s="5" t="s">
        <v>355</v>
      </c>
      <c r="Q11308" s="5" t="s">
        <v>355</v>
      </c>
    </row>
    <row r="11309" ht="16.5" customHeight="1">
      <c r="O11309" s="5" t="s">
        <v>355</v>
      </c>
      <c r="P11309" s="5" t="s">
        <v>355</v>
      </c>
      <c r="Q11309" s="5" t="s">
        <v>355</v>
      </c>
    </row>
    <row r="11310" ht="16.5" customHeight="1">
      <c r="O11310" s="5" t="s">
        <v>355</v>
      </c>
      <c r="P11310" s="5" t="s">
        <v>355</v>
      </c>
      <c r="Q11310" s="5" t="s">
        <v>355</v>
      </c>
    </row>
    <row r="11311" ht="16.5" customHeight="1">
      <c r="O11311" s="5" t="s">
        <v>355</v>
      </c>
      <c r="P11311" s="5" t="s">
        <v>355</v>
      </c>
      <c r="Q11311" s="5" t="s">
        <v>355</v>
      </c>
    </row>
    <row r="11312" ht="16.5" customHeight="1">
      <c r="O11312" s="5" t="s">
        <v>355</v>
      </c>
      <c r="P11312" s="5" t="s">
        <v>355</v>
      </c>
      <c r="Q11312" s="5" t="s">
        <v>355</v>
      </c>
    </row>
    <row r="11313" ht="16.5" customHeight="1">
      <c r="O11313" s="5" t="s">
        <v>355</v>
      </c>
      <c r="P11313" s="5" t="s">
        <v>355</v>
      </c>
      <c r="Q11313" s="5" t="s">
        <v>355</v>
      </c>
    </row>
    <row r="11314" ht="16.5" customHeight="1">
      <c r="O11314" s="5" t="s">
        <v>355</v>
      </c>
      <c r="P11314" s="5" t="s">
        <v>355</v>
      </c>
      <c r="Q11314" s="5" t="s">
        <v>355</v>
      </c>
    </row>
    <row r="11315" ht="16.5" customHeight="1">
      <c r="O11315" s="5" t="s">
        <v>355</v>
      </c>
      <c r="P11315" s="5" t="s">
        <v>355</v>
      </c>
      <c r="Q11315" s="5" t="s">
        <v>355</v>
      </c>
    </row>
    <row r="11316" ht="16.5" customHeight="1">
      <c r="O11316" s="5" t="s">
        <v>355</v>
      </c>
      <c r="P11316" s="5" t="s">
        <v>355</v>
      </c>
      <c r="Q11316" s="5" t="s">
        <v>355</v>
      </c>
    </row>
    <row r="11317" ht="16.5" customHeight="1">
      <c r="O11317" s="5" t="s">
        <v>355</v>
      </c>
      <c r="P11317" s="5" t="s">
        <v>355</v>
      </c>
      <c r="Q11317" s="5" t="s">
        <v>355</v>
      </c>
    </row>
    <row r="11318" ht="16.5" customHeight="1">
      <c r="O11318" s="5" t="s">
        <v>355</v>
      </c>
      <c r="P11318" s="5" t="s">
        <v>355</v>
      </c>
      <c r="Q11318" s="5" t="s">
        <v>355</v>
      </c>
    </row>
    <row r="11319" ht="16.5" customHeight="1">
      <c r="O11319" s="5" t="s">
        <v>355</v>
      </c>
      <c r="P11319" s="5" t="s">
        <v>355</v>
      </c>
      <c r="Q11319" s="5" t="s">
        <v>355</v>
      </c>
    </row>
    <row r="11320" ht="16.5" customHeight="1">
      <c r="O11320" s="5" t="s">
        <v>355</v>
      </c>
      <c r="P11320" s="5" t="s">
        <v>355</v>
      </c>
      <c r="Q11320" s="5" t="s">
        <v>355</v>
      </c>
    </row>
    <row r="11321" ht="16.5" customHeight="1">
      <c r="O11321" s="5" t="s">
        <v>355</v>
      </c>
      <c r="P11321" s="5" t="s">
        <v>355</v>
      </c>
      <c r="Q11321" s="5" t="s">
        <v>355</v>
      </c>
    </row>
    <row r="11322" ht="16.5" customHeight="1">
      <c r="O11322" s="5" t="s">
        <v>355</v>
      </c>
      <c r="P11322" s="5" t="s">
        <v>355</v>
      </c>
      <c r="Q11322" s="5" t="s">
        <v>355</v>
      </c>
    </row>
    <row r="11323" ht="16.5" customHeight="1">
      <c r="O11323" s="5" t="s">
        <v>355</v>
      </c>
      <c r="P11323" s="5" t="s">
        <v>355</v>
      </c>
      <c r="Q11323" s="5" t="s">
        <v>355</v>
      </c>
    </row>
    <row r="11324" ht="16.5" customHeight="1">
      <c r="O11324" s="5" t="s">
        <v>355</v>
      </c>
      <c r="P11324" s="5" t="s">
        <v>355</v>
      </c>
      <c r="Q11324" s="5" t="s">
        <v>355</v>
      </c>
    </row>
    <row r="11325" ht="16.5" customHeight="1">
      <c r="O11325" s="5" t="s">
        <v>355</v>
      </c>
      <c r="P11325" s="5" t="s">
        <v>355</v>
      </c>
      <c r="Q11325" s="5" t="s">
        <v>355</v>
      </c>
    </row>
    <row r="11326" ht="16.5" customHeight="1">
      <c r="O11326" s="5" t="s">
        <v>355</v>
      </c>
      <c r="P11326" s="5" t="s">
        <v>355</v>
      </c>
      <c r="Q11326" s="5" t="s">
        <v>355</v>
      </c>
    </row>
    <row r="11327" ht="16.5" customHeight="1">
      <c r="O11327" s="5" t="s">
        <v>355</v>
      </c>
      <c r="P11327" s="5" t="s">
        <v>355</v>
      </c>
      <c r="Q11327" s="5" t="s">
        <v>355</v>
      </c>
    </row>
    <row r="11328" ht="16.5" customHeight="1">
      <c r="O11328" s="5" t="s">
        <v>355</v>
      </c>
      <c r="P11328" s="5" t="s">
        <v>355</v>
      </c>
      <c r="Q11328" s="5" t="s">
        <v>355</v>
      </c>
    </row>
    <row r="11329" ht="16.5" customHeight="1">
      <c r="O11329" s="5" t="s">
        <v>355</v>
      </c>
      <c r="P11329" s="5" t="s">
        <v>355</v>
      </c>
      <c r="Q11329" s="5" t="s">
        <v>355</v>
      </c>
    </row>
    <row r="11330" ht="16.5" customHeight="1">
      <c r="O11330" s="5" t="s">
        <v>355</v>
      </c>
      <c r="P11330" s="5" t="s">
        <v>355</v>
      </c>
      <c r="Q11330" s="5" t="s">
        <v>355</v>
      </c>
    </row>
    <row r="11331" ht="16.5" customHeight="1">
      <c r="O11331" s="5" t="s">
        <v>355</v>
      </c>
      <c r="P11331" s="5" t="s">
        <v>355</v>
      </c>
      <c r="Q11331" s="5" t="s">
        <v>355</v>
      </c>
    </row>
    <row r="11332" ht="16.5" customHeight="1">
      <c r="O11332" s="5" t="s">
        <v>355</v>
      </c>
      <c r="P11332" s="5" t="s">
        <v>355</v>
      </c>
      <c r="Q11332" s="5" t="s">
        <v>355</v>
      </c>
    </row>
    <row r="11333" ht="16.5" customHeight="1">
      <c r="O11333" s="5" t="s">
        <v>355</v>
      </c>
      <c r="P11333" s="5" t="s">
        <v>355</v>
      </c>
      <c r="Q11333" s="5" t="s">
        <v>355</v>
      </c>
    </row>
    <row r="11334" ht="16.5" customHeight="1">
      <c r="O11334" s="5" t="s">
        <v>355</v>
      </c>
      <c r="P11334" s="5" t="s">
        <v>355</v>
      </c>
      <c r="Q11334" s="5" t="s">
        <v>355</v>
      </c>
    </row>
    <row r="11335" ht="16.5" customHeight="1">
      <c r="O11335" s="5" t="s">
        <v>355</v>
      </c>
      <c r="P11335" s="5" t="s">
        <v>355</v>
      </c>
      <c r="Q11335" s="5" t="s">
        <v>355</v>
      </c>
    </row>
    <row r="11336" ht="16.5" customHeight="1">
      <c r="O11336" s="5" t="s">
        <v>355</v>
      </c>
      <c r="P11336" s="5" t="s">
        <v>355</v>
      </c>
      <c r="Q11336" s="5" t="s">
        <v>355</v>
      </c>
    </row>
    <row r="11337" ht="16.5" customHeight="1">
      <c r="O11337" s="5" t="s">
        <v>355</v>
      </c>
      <c r="P11337" s="5" t="s">
        <v>355</v>
      </c>
      <c r="Q11337" s="5" t="s">
        <v>355</v>
      </c>
    </row>
    <row r="11338" ht="16.5" customHeight="1">
      <c r="O11338" s="5" t="s">
        <v>355</v>
      </c>
      <c r="P11338" s="5" t="s">
        <v>355</v>
      </c>
      <c r="Q11338" s="5" t="s">
        <v>355</v>
      </c>
    </row>
    <row r="11339" ht="16.5" customHeight="1">
      <c r="O11339" s="5" t="s">
        <v>355</v>
      </c>
      <c r="P11339" s="5" t="s">
        <v>355</v>
      </c>
      <c r="Q11339" s="5" t="s">
        <v>355</v>
      </c>
    </row>
    <row r="11340" ht="16.5" customHeight="1">
      <c r="O11340" s="5" t="s">
        <v>355</v>
      </c>
      <c r="P11340" s="5" t="s">
        <v>355</v>
      </c>
      <c r="Q11340" s="5" t="s">
        <v>355</v>
      </c>
    </row>
    <row r="11341" ht="16.5" customHeight="1">
      <c r="O11341" s="5" t="s">
        <v>355</v>
      </c>
      <c r="P11341" s="5" t="s">
        <v>355</v>
      </c>
      <c r="Q11341" s="5" t="s">
        <v>355</v>
      </c>
    </row>
    <row r="11342" ht="16.5" customHeight="1">
      <c r="O11342" s="5" t="s">
        <v>355</v>
      </c>
      <c r="P11342" s="5" t="s">
        <v>355</v>
      </c>
      <c r="Q11342" s="5" t="s">
        <v>355</v>
      </c>
    </row>
    <row r="11343" ht="16.5" customHeight="1">
      <c r="O11343" s="5" t="s">
        <v>355</v>
      </c>
      <c r="P11343" s="5" t="s">
        <v>355</v>
      </c>
      <c r="Q11343" s="5" t="s">
        <v>355</v>
      </c>
    </row>
    <row r="11344" ht="16.5" customHeight="1">
      <c r="O11344" s="5" t="s">
        <v>355</v>
      </c>
      <c r="P11344" s="5" t="s">
        <v>355</v>
      </c>
      <c r="Q11344" s="5" t="s">
        <v>355</v>
      </c>
    </row>
    <row r="11345" ht="16.5" customHeight="1">
      <c r="O11345" s="5" t="s">
        <v>355</v>
      </c>
      <c r="P11345" s="5" t="s">
        <v>355</v>
      </c>
      <c r="Q11345" s="5" t="s">
        <v>355</v>
      </c>
    </row>
    <row r="11346" ht="16.5" customHeight="1">
      <c r="O11346" s="5" t="s">
        <v>355</v>
      </c>
      <c r="P11346" s="5" t="s">
        <v>355</v>
      </c>
      <c r="Q11346" s="5" t="s">
        <v>355</v>
      </c>
    </row>
    <row r="11347" ht="16.5" customHeight="1">
      <c r="O11347" s="5" t="s">
        <v>355</v>
      </c>
      <c r="P11347" s="5" t="s">
        <v>355</v>
      </c>
      <c r="Q11347" s="5" t="s">
        <v>355</v>
      </c>
    </row>
    <row r="11348" ht="16.5" customHeight="1">
      <c r="O11348" s="5" t="s">
        <v>355</v>
      </c>
      <c r="P11348" s="5" t="s">
        <v>355</v>
      </c>
      <c r="Q11348" s="5" t="s">
        <v>355</v>
      </c>
    </row>
    <row r="11349" ht="16.5" customHeight="1">
      <c r="O11349" s="5" t="s">
        <v>355</v>
      </c>
      <c r="P11349" s="5" t="s">
        <v>355</v>
      </c>
      <c r="Q11349" s="5" t="s">
        <v>355</v>
      </c>
    </row>
    <row r="11350" ht="16.5" customHeight="1">
      <c r="O11350" s="5" t="s">
        <v>355</v>
      </c>
      <c r="P11350" s="5" t="s">
        <v>355</v>
      </c>
      <c r="Q11350" s="5" t="s">
        <v>355</v>
      </c>
    </row>
    <row r="11351" ht="16.5" customHeight="1">
      <c r="O11351" s="5" t="s">
        <v>355</v>
      </c>
      <c r="P11351" s="5" t="s">
        <v>355</v>
      </c>
      <c r="Q11351" s="5" t="s">
        <v>355</v>
      </c>
    </row>
    <row r="11352" ht="16.5" customHeight="1">
      <c r="O11352" s="5" t="s">
        <v>355</v>
      </c>
      <c r="P11352" s="5" t="s">
        <v>355</v>
      </c>
      <c r="Q11352" s="5" t="s">
        <v>355</v>
      </c>
    </row>
    <row r="11353" ht="16.5" customHeight="1">
      <c r="O11353" s="5" t="s">
        <v>355</v>
      </c>
      <c r="P11353" s="5" t="s">
        <v>355</v>
      </c>
      <c r="Q11353" s="5" t="s">
        <v>355</v>
      </c>
    </row>
    <row r="11354" ht="16.5" customHeight="1">
      <c r="O11354" s="5" t="s">
        <v>355</v>
      </c>
      <c r="P11354" s="5" t="s">
        <v>355</v>
      </c>
      <c r="Q11354" s="5" t="s">
        <v>355</v>
      </c>
    </row>
    <row r="11355" ht="16.5" customHeight="1">
      <c r="O11355" s="5" t="s">
        <v>355</v>
      </c>
      <c r="P11355" s="5" t="s">
        <v>355</v>
      </c>
      <c r="Q11355" s="5" t="s">
        <v>355</v>
      </c>
    </row>
    <row r="11356" ht="16.5" customHeight="1">
      <c r="O11356" s="5" t="s">
        <v>355</v>
      </c>
      <c r="P11356" s="5" t="s">
        <v>355</v>
      </c>
      <c r="Q11356" s="5" t="s">
        <v>355</v>
      </c>
    </row>
    <row r="11357" ht="16.5" customHeight="1">
      <c r="O11357" s="5" t="s">
        <v>355</v>
      </c>
      <c r="P11357" s="5" t="s">
        <v>355</v>
      </c>
      <c r="Q11357" s="5" t="s">
        <v>355</v>
      </c>
    </row>
    <row r="11358" ht="16.5" customHeight="1">
      <c r="O11358" s="5" t="s">
        <v>355</v>
      </c>
      <c r="P11358" s="5" t="s">
        <v>355</v>
      </c>
      <c r="Q11358" s="5" t="s">
        <v>355</v>
      </c>
    </row>
    <row r="11359" ht="16.5" customHeight="1">
      <c r="O11359" s="5" t="s">
        <v>355</v>
      </c>
      <c r="P11359" s="5" t="s">
        <v>355</v>
      </c>
      <c r="Q11359" s="5" t="s">
        <v>355</v>
      </c>
    </row>
    <row r="11360" ht="16.5" customHeight="1">
      <c r="O11360" s="5" t="s">
        <v>355</v>
      </c>
      <c r="P11360" s="5" t="s">
        <v>355</v>
      </c>
      <c r="Q11360" s="5" t="s">
        <v>355</v>
      </c>
    </row>
    <row r="11361" ht="16.5" customHeight="1">
      <c r="O11361" s="5" t="s">
        <v>355</v>
      </c>
      <c r="P11361" s="5" t="s">
        <v>355</v>
      </c>
      <c r="Q11361" s="5" t="s">
        <v>355</v>
      </c>
    </row>
    <row r="11362" ht="16.5" customHeight="1">
      <c r="O11362" s="5" t="s">
        <v>355</v>
      </c>
      <c r="P11362" s="5" t="s">
        <v>355</v>
      </c>
      <c r="Q11362" s="5" t="s">
        <v>355</v>
      </c>
    </row>
    <row r="11363" ht="16.5" customHeight="1">
      <c r="O11363" s="5" t="s">
        <v>355</v>
      </c>
      <c r="P11363" s="5" t="s">
        <v>355</v>
      </c>
      <c r="Q11363" s="5" t="s">
        <v>355</v>
      </c>
    </row>
    <row r="11364" ht="16.5" customHeight="1">
      <c r="O11364" s="5" t="s">
        <v>355</v>
      </c>
      <c r="P11364" s="5" t="s">
        <v>355</v>
      </c>
      <c r="Q11364" s="5" t="s">
        <v>355</v>
      </c>
    </row>
    <row r="11365" ht="16.5" customHeight="1">
      <c r="O11365" s="5" t="s">
        <v>355</v>
      </c>
      <c r="P11365" s="5" t="s">
        <v>355</v>
      </c>
      <c r="Q11365" s="5" t="s">
        <v>355</v>
      </c>
    </row>
    <row r="11366" ht="16.5" customHeight="1">
      <c r="O11366" s="5" t="s">
        <v>355</v>
      </c>
      <c r="P11366" s="5" t="s">
        <v>355</v>
      </c>
      <c r="Q11366" s="5" t="s">
        <v>355</v>
      </c>
    </row>
    <row r="11367" ht="16.5" customHeight="1">
      <c r="O11367" s="5" t="s">
        <v>355</v>
      </c>
      <c r="P11367" s="5" t="s">
        <v>355</v>
      </c>
      <c r="Q11367" s="5" t="s">
        <v>355</v>
      </c>
    </row>
    <row r="11368" ht="16.5" customHeight="1">
      <c r="O11368" s="5" t="s">
        <v>355</v>
      </c>
      <c r="P11368" s="5" t="s">
        <v>355</v>
      </c>
      <c r="Q11368" s="5" t="s">
        <v>355</v>
      </c>
    </row>
    <row r="11369" ht="16.5" customHeight="1">
      <c r="O11369" s="5" t="s">
        <v>355</v>
      </c>
      <c r="P11369" s="5" t="s">
        <v>355</v>
      </c>
      <c r="Q11369" s="5" t="s">
        <v>355</v>
      </c>
    </row>
    <row r="11370" ht="16.5" customHeight="1">
      <c r="O11370" s="5" t="s">
        <v>355</v>
      </c>
      <c r="P11370" s="5" t="s">
        <v>355</v>
      </c>
      <c r="Q11370" s="5" t="s">
        <v>355</v>
      </c>
    </row>
    <row r="11371" ht="16.5" customHeight="1">
      <c r="O11371" s="5" t="s">
        <v>355</v>
      </c>
      <c r="P11371" s="5" t="s">
        <v>355</v>
      </c>
      <c r="Q11371" s="5" t="s">
        <v>355</v>
      </c>
    </row>
    <row r="11372" ht="16.5" customHeight="1">
      <c r="O11372" s="5" t="s">
        <v>355</v>
      </c>
      <c r="P11372" s="5" t="s">
        <v>355</v>
      </c>
      <c r="Q11372" s="5" t="s">
        <v>355</v>
      </c>
    </row>
    <row r="11373" ht="16.5" customHeight="1">
      <c r="O11373" s="5" t="s">
        <v>355</v>
      </c>
      <c r="P11373" s="5" t="s">
        <v>355</v>
      </c>
      <c r="Q11373" s="5" t="s">
        <v>355</v>
      </c>
    </row>
    <row r="11374" ht="16.5" customHeight="1">
      <c r="O11374" s="5" t="s">
        <v>355</v>
      </c>
      <c r="P11374" s="5" t="s">
        <v>355</v>
      </c>
      <c r="Q11374" s="5" t="s">
        <v>355</v>
      </c>
    </row>
    <row r="11375" ht="16.5" customHeight="1">
      <c r="O11375" s="5" t="s">
        <v>355</v>
      </c>
      <c r="P11375" s="5" t="s">
        <v>355</v>
      </c>
      <c r="Q11375" s="5" t="s">
        <v>355</v>
      </c>
    </row>
    <row r="11376" ht="16.5" customHeight="1">
      <c r="O11376" s="5" t="s">
        <v>355</v>
      </c>
      <c r="P11376" s="5" t="s">
        <v>355</v>
      </c>
      <c r="Q11376" s="5" t="s">
        <v>355</v>
      </c>
    </row>
    <row r="11377" ht="16.5" customHeight="1">
      <c r="O11377" s="5" t="s">
        <v>355</v>
      </c>
      <c r="P11377" s="5" t="s">
        <v>355</v>
      </c>
      <c r="Q11377" s="5" t="s">
        <v>355</v>
      </c>
    </row>
    <row r="11378" ht="16.5" customHeight="1">
      <c r="O11378" s="5" t="s">
        <v>355</v>
      </c>
      <c r="P11378" s="5" t="s">
        <v>355</v>
      </c>
      <c r="Q11378" s="5" t="s">
        <v>355</v>
      </c>
    </row>
    <row r="11379" ht="16.5" customHeight="1">
      <c r="O11379" s="5" t="s">
        <v>355</v>
      </c>
      <c r="P11379" s="5" t="s">
        <v>355</v>
      </c>
      <c r="Q11379" s="5" t="s">
        <v>355</v>
      </c>
    </row>
    <row r="11380" ht="16.5" customHeight="1">
      <c r="O11380" s="5" t="s">
        <v>355</v>
      </c>
      <c r="P11380" s="5" t="s">
        <v>355</v>
      </c>
      <c r="Q11380" s="5" t="s">
        <v>355</v>
      </c>
    </row>
    <row r="11381" ht="16.5" customHeight="1">
      <c r="O11381" s="5" t="s">
        <v>355</v>
      </c>
      <c r="P11381" s="5" t="s">
        <v>355</v>
      </c>
      <c r="Q11381" s="5" t="s">
        <v>355</v>
      </c>
    </row>
    <row r="11382" ht="16.5" customHeight="1">
      <c r="O11382" s="5" t="s">
        <v>355</v>
      </c>
      <c r="P11382" s="5" t="s">
        <v>355</v>
      </c>
      <c r="Q11382" s="5" t="s">
        <v>355</v>
      </c>
    </row>
    <row r="11383" ht="16.5" customHeight="1">
      <c r="O11383" s="5" t="s">
        <v>355</v>
      </c>
      <c r="P11383" s="5" t="s">
        <v>355</v>
      </c>
      <c r="Q11383" s="5" t="s">
        <v>355</v>
      </c>
    </row>
    <row r="11384" ht="16.5" customHeight="1">
      <c r="O11384" s="5" t="s">
        <v>355</v>
      </c>
      <c r="P11384" s="5" t="s">
        <v>355</v>
      </c>
      <c r="Q11384" s="5" t="s">
        <v>355</v>
      </c>
    </row>
    <row r="11385" ht="16.5" customHeight="1">
      <c r="O11385" s="5" t="s">
        <v>355</v>
      </c>
      <c r="P11385" s="5" t="s">
        <v>355</v>
      </c>
      <c r="Q11385" s="5" t="s">
        <v>355</v>
      </c>
    </row>
    <row r="11386" ht="16.5" customHeight="1">
      <c r="O11386" s="5" t="s">
        <v>355</v>
      </c>
      <c r="P11386" s="5" t="s">
        <v>355</v>
      </c>
      <c r="Q11386" s="5" t="s">
        <v>355</v>
      </c>
    </row>
    <row r="11387" ht="16.5" customHeight="1">
      <c r="O11387" s="5" t="s">
        <v>355</v>
      </c>
      <c r="P11387" s="5" t="s">
        <v>355</v>
      </c>
      <c r="Q11387" s="5" t="s">
        <v>355</v>
      </c>
    </row>
    <row r="11388" ht="16.5" customHeight="1">
      <c r="O11388" s="5" t="s">
        <v>355</v>
      </c>
      <c r="P11388" s="5" t="s">
        <v>355</v>
      </c>
      <c r="Q11388" s="5" t="s">
        <v>355</v>
      </c>
    </row>
    <row r="11389" ht="16.5" customHeight="1">
      <c r="O11389" s="5" t="s">
        <v>355</v>
      </c>
      <c r="P11389" s="5" t="s">
        <v>355</v>
      </c>
      <c r="Q11389" s="5" t="s">
        <v>355</v>
      </c>
    </row>
    <row r="11390" ht="16.5" customHeight="1">
      <c r="O11390" s="5" t="s">
        <v>355</v>
      </c>
      <c r="P11390" s="5" t="s">
        <v>355</v>
      </c>
      <c r="Q11390" s="5" t="s">
        <v>355</v>
      </c>
    </row>
    <row r="11391" ht="16.5" customHeight="1">
      <c r="O11391" s="5" t="s">
        <v>355</v>
      </c>
      <c r="P11391" s="5" t="s">
        <v>355</v>
      </c>
      <c r="Q11391" s="5" t="s">
        <v>355</v>
      </c>
    </row>
    <row r="11392" ht="16.5" customHeight="1">
      <c r="O11392" s="5" t="s">
        <v>355</v>
      </c>
      <c r="P11392" s="5" t="s">
        <v>355</v>
      </c>
      <c r="Q11392" s="5" t="s">
        <v>355</v>
      </c>
    </row>
    <row r="11393" ht="16.5" customHeight="1">
      <c r="O11393" s="5" t="s">
        <v>355</v>
      </c>
      <c r="P11393" s="5" t="s">
        <v>355</v>
      </c>
      <c r="Q11393" s="5" t="s">
        <v>355</v>
      </c>
    </row>
    <row r="11394" ht="16.5" customHeight="1">
      <c r="O11394" s="5" t="s">
        <v>355</v>
      </c>
      <c r="P11394" s="5" t="s">
        <v>355</v>
      </c>
      <c r="Q11394" s="5" t="s">
        <v>355</v>
      </c>
    </row>
    <row r="11395" ht="16.5" customHeight="1">
      <c r="O11395" s="5" t="s">
        <v>355</v>
      </c>
      <c r="P11395" s="5" t="s">
        <v>355</v>
      </c>
      <c r="Q11395" s="5" t="s">
        <v>355</v>
      </c>
    </row>
    <row r="11396" ht="16.5" customHeight="1">
      <c r="O11396" s="5" t="s">
        <v>355</v>
      </c>
      <c r="P11396" s="5" t="s">
        <v>355</v>
      </c>
      <c r="Q11396" s="5" t="s">
        <v>355</v>
      </c>
    </row>
    <row r="11397" ht="16.5" customHeight="1">
      <c r="O11397" s="5" t="s">
        <v>355</v>
      </c>
      <c r="P11397" s="5" t="s">
        <v>355</v>
      </c>
      <c r="Q11397" s="5" t="s">
        <v>355</v>
      </c>
    </row>
    <row r="11398" ht="16.5" customHeight="1">
      <c r="O11398" s="5" t="s">
        <v>355</v>
      </c>
      <c r="P11398" s="5" t="s">
        <v>355</v>
      </c>
      <c r="Q11398" s="5" t="s">
        <v>355</v>
      </c>
    </row>
    <row r="11399" ht="16.5" customHeight="1">
      <c r="O11399" s="5" t="s">
        <v>355</v>
      </c>
      <c r="P11399" s="5" t="s">
        <v>355</v>
      </c>
      <c r="Q11399" s="5" t="s">
        <v>355</v>
      </c>
    </row>
    <row r="11400" ht="16.5" customHeight="1">
      <c r="O11400" s="5" t="s">
        <v>355</v>
      </c>
      <c r="P11400" s="5" t="s">
        <v>355</v>
      </c>
      <c r="Q11400" s="5" t="s">
        <v>355</v>
      </c>
    </row>
    <row r="11401" ht="16.5" customHeight="1">
      <c r="O11401" s="5" t="s">
        <v>355</v>
      </c>
      <c r="P11401" s="5" t="s">
        <v>355</v>
      </c>
      <c r="Q11401" s="5" t="s">
        <v>355</v>
      </c>
    </row>
    <row r="11402" ht="16.5" customHeight="1">
      <c r="O11402" s="5" t="s">
        <v>355</v>
      </c>
      <c r="P11402" s="5" t="s">
        <v>355</v>
      </c>
      <c r="Q11402" s="5" t="s">
        <v>355</v>
      </c>
    </row>
    <row r="11403" ht="16.5" customHeight="1">
      <c r="O11403" s="5" t="s">
        <v>355</v>
      </c>
      <c r="P11403" s="5" t="s">
        <v>355</v>
      </c>
      <c r="Q11403" s="5" t="s">
        <v>355</v>
      </c>
    </row>
    <row r="11404" ht="16.5" customHeight="1">
      <c r="O11404" s="5" t="s">
        <v>355</v>
      </c>
      <c r="P11404" s="5" t="s">
        <v>355</v>
      </c>
      <c r="Q11404" s="5" t="s">
        <v>355</v>
      </c>
    </row>
    <row r="11405" ht="16.5" customHeight="1">
      <c r="O11405" s="5" t="s">
        <v>355</v>
      </c>
      <c r="P11405" s="5" t="s">
        <v>355</v>
      </c>
      <c r="Q11405" s="5" t="s">
        <v>355</v>
      </c>
    </row>
    <row r="11406" ht="16.5" customHeight="1">
      <c r="O11406" s="5" t="s">
        <v>355</v>
      </c>
      <c r="P11406" s="5" t="s">
        <v>355</v>
      </c>
      <c r="Q11406" s="5" t="s">
        <v>355</v>
      </c>
    </row>
    <row r="11407" ht="16.5" customHeight="1">
      <c r="O11407" s="5" t="s">
        <v>355</v>
      </c>
      <c r="P11407" s="5" t="s">
        <v>355</v>
      </c>
      <c r="Q11407" s="5" t="s">
        <v>355</v>
      </c>
    </row>
    <row r="11408" ht="16.5" customHeight="1">
      <c r="O11408" s="5" t="s">
        <v>355</v>
      </c>
      <c r="P11408" s="5" t="s">
        <v>355</v>
      </c>
      <c r="Q11408" s="5" t="s">
        <v>355</v>
      </c>
    </row>
    <row r="11409" ht="16.5" customHeight="1">
      <c r="O11409" s="5" t="s">
        <v>355</v>
      </c>
      <c r="P11409" s="5" t="s">
        <v>355</v>
      </c>
      <c r="Q11409" s="5" t="s">
        <v>355</v>
      </c>
    </row>
    <row r="11410" ht="16.5" customHeight="1">
      <c r="O11410" s="5" t="s">
        <v>355</v>
      </c>
      <c r="P11410" s="5" t="s">
        <v>355</v>
      </c>
      <c r="Q11410" s="5" t="s">
        <v>355</v>
      </c>
    </row>
    <row r="11411" ht="16.5" customHeight="1">
      <c r="O11411" s="5" t="s">
        <v>355</v>
      </c>
      <c r="P11411" s="5" t="s">
        <v>355</v>
      </c>
      <c r="Q11411" s="5" t="s">
        <v>355</v>
      </c>
    </row>
    <row r="11412" ht="16.5" customHeight="1">
      <c r="O11412" s="5" t="s">
        <v>355</v>
      </c>
      <c r="P11412" s="5" t="s">
        <v>355</v>
      </c>
      <c r="Q11412" s="5" t="s">
        <v>355</v>
      </c>
    </row>
    <row r="11413" ht="16.5" customHeight="1">
      <c r="O11413" s="5" t="s">
        <v>355</v>
      </c>
      <c r="P11413" s="5" t="s">
        <v>355</v>
      </c>
      <c r="Q11413" s="5" t="s">
        <v>355</v>
      </c>
    </row>
    <row r="11414" ht="16.5" customHeight="1">
      <c r="O11414" s="5" t="s">
        <v>355</v>
      </c>
      <c r="P11414" s="5" t="s">
        <v>355</v>
      </c>
      <c r="Q11414" s="5" t="s">
        <v>355</v>
      </c>
    </row>
    <row r="11415" ht="16.5" customHeight="1">
      <c r="O11415" s="5" t="s">
        <v>355</v>
      </c>
      <c r="P11415" s="5" t="s">
        <v>355</v>
      </c>
      <c r="Q11415" s="5" t="s">
        <v>355</v>
      </c>
    </row>
    <row r="11416" ht="16.5" customHeight="1">
      <c r="O11416" s="5" t="s">
        <v>355</v>
      </c>
      <c r="P11416" s="5" t="s">
        <v>355</v>
      </c>
      <c r="Q11416" s="5" t="s">
        <v>355</v>
      </c>
    </row>
    <row r="11417" ht="16.5" customHeight="1">
      <c r="O11417" s="5" t="s">
        <v>355</v>
      </c>
      <c r="P11417" s="5" t="s">
        <v>355</v>
      </c>
      <c r="Q11417" s="5" t="s">
        <v>355</v>
      </c>
    </row>
    <row r="11418" ht="16.5" customHeight="1">
      <c r="O11418" s="5" t="s">
        <v>355</v>
      </c>
      <c r="P11418" s="5" t="s">
        <v>355</v>
      </c>
      <c r="Q11418" s="5" t="s">
        <v>355</v>
      </c>
    </row>
    <row r="11419" ht="16.5" customHeight="1">
      <c r="O11419" s="5" t="s">
        <v>355</v>
      </c>
      <c r="P11419" s="5" t="s">
        <v>355</v>
      </c>
      <c r="Q11419" s="5" t="s">
        <v>355</v>
      </c>
    </row>
    <row r="11420" ht="16.5" customHeight="1">
      <c r="O11420" s="5" t="s">
        <v>355</v>
      </c>
      <c r="P11420" s="5" t="s">
        <v>355</v>
      </c>
      <c r="Q11420" s="5" t="s">
        <v>355</v>
      </c>
    </row>
    <row r="11421" ht="16.5" customHeight="1">
      <c r="O11421" s="5" t="s">
        <v>355</v>
      </c>
      <c r="P11421" s="5" t="s">
        <v>355</v>
      </c>
      <c r="Q11421" s="5" t="s">
        <v>355</v>
      </c>
    </row>
    <row r="11422" ht="16.5" customHeight="1">
      <c r="O11422" s="5" t="s">
        <v>355</v>
      </c>
      <c r="P11422" s="5" t="s">
        <v>355</v>
      </c>
      <c r="Q11422" s="5" t="s">
        <v>355</v>
      </c>
    </row>
    <row r="11423" ht="16.5" customHeight="1">
      <c r="O11423" s="5" t="s">
        <v>355</v>
      </c>
      <c r="P11423" s="5" t="s">
        <v>355</v>
      </c>
      <c r="Q11423" s="5" t="s">
        <v>355</v>
      </c>
    </row>
    <row r="11424" ht="16.5" customHeight="1">
      <c r="O11424" s="5" t="s">
        <v>355</v>
      </c>
      <c r="P11424" s="5" t="s">
        <v>355</v>
      </c>
      <c r="Q11424" s="5" t="s">
        <v>355</v>
      </c>
    </row>
    <row r="11425" ht="16.5" customHeight="1">
      <c r="O11425" s="5" t="s">
        <v>355</v>
      </c>
      <c r="P11425" s="5" t="s">
        <v>355</v>
      </c>
      <c r="Q11425" s="5" t="s">
        <v>355</v>
      </c>
    </row>
    <row r="11426" ht="16.5" customHeight="1">
      <c r="O11426" s="5" t="s">
        <v>355</v>
      </c>
      <c r="P11426" s="5" t="s">
        <v>355</v>
      </c>
      <c r="Q11426" s="5" t="s">
        <v>355</v>
      </c>
    </row>
    <row r="11427" ht="16.5" customHeight="1">
      <c r="O11427" s="5" t="s">
        <v>355</v>
      </c>
      <c r="P11427" s="5" t="s">
        <v>355</v>
      </c>
      <c r="Q11427" s="5" t="s">
        <v>355</v>
      </c>
    </row>
    <row r="11428" ht="16.5" customHeight="1">
      <c r="O11428" s="5" t="s">
        <v>355</v>
      </c>
      <c r="P11428" s="5" t="s">
        <v>355</v>
      </c>
      <c r="Q11428" s="5" t="s">
        <v>355</v>
      </c>
    </row>
    <row r="11429" ht="16.5" customHeight="1">
      <c r="O11429" s="5" t="s">
        <v>355</v>
      </c>
      <c r="P11429" s="5" t="s">
        <v>355</v>
      </c>
      <c r="Q11429" s="5" t="s">
        <v>355</v>
      </c>
    </row>
    <row r="11430" ht="16.5" customHeight="1">
      <c r="O11430" s="5" t="s">
        <v>355</v>
      </c>
      <c r="P11430" s="5" t="s">
        <v>355</v>
      </c>
      <c r="Q11430" s="5" t="s">
        <v>355</v>
      </c>
    </row>
    <row r="11431" ht="16.5" customHeight="1">
      <c r="O11431" s="5" t="s">
        <v>355</v>
      </c>
      <c r="P11431" s="5" t="s">
        <v>355</v>
      </c>
      <c r="Q11431" s="5" t="s">
        <v>355</v>
      </c>
    </row>
    <row r="11432" ht="16.5" customHeight="1">
      <c r="O11432" s="5" t="s">
        <v>355</v>
      </c>
      <c r="P11432" s="5" t="s">
        <v>355</v>
      </c>
      <c r="Q11432" s="5" t="s">
        <v>355</v>
      </c>
    </row>
    <row r="11433" ht="16.5" customHeight="1">
      <c r="O11433" s="5" t="s">
        <v>355</v>
      </c>
      <c r="P11433" s="5" t="s">
        <v>355</v>
      </c>
      <c r="Q11433" s="5" t="s">
        <v>355</v>
      </c>
    </row>
    <row r="11434" ht="16.5" customHeight="1">
      <c r="O11434" s="5" t="s">
        <v>355</v>
      </c>
      <c r="P11434" s="5" t="s">
        <v>355</v>
      </c>
      <c r="Q11434" s="5" t="s">
        <v>355</v>
      </c>
    </row>
    <row r="11435" ht="16.5" customHeight="1">
      <c r="O11435" s="5" t="s">
        <v>355</v>
      </c>
      <c r="P11435" s="5" t="s">
        <v>355</v>
      </c>
      <c r="Q11435" s="5" t="s">
        <v>355</v>
      </c>
    </row>
    <row r="11436" ht="16.5" customHeight="1">
      <c r="O11436" s="5" t="s">
        <v>355</v>
      </c>
      <c r="P11436" s="5" t="s">
        <v>355</v>
      </c>
      <c r="Q11436" s="5" t="s">
        <v>355</v>
      </c>
    </row>
    <row r="11437" ht="16.5" customHeight="1">
      <c r="O11437" s="5" t="s">
        <v>355</v>
      </c>
      <c r="P11437" s="5" t="s">
        <v>355</v>
      </c>
      <c r="Q11437" s="5" t="s">
        <v>355</v>
      </c>
    </row>
    <row r="11438" ht="16.5" customHeight="1">
      <c r="O11438" s="5" t="s">
        <v>355</v>
      </c>
      <c r="P11438" s="5" t="s">
        <v>355</v>
      </c>
      <c r="Q11438" s="5" t="s">
        <v>355</v>
      </c>
    </row>
    <row r="11439" ht="16.5" customHeight="1">
      <c r="O11439" s="5" t="s">
        <v>355</v>
      </c>
      <c r="P11439" s="5" t="s">
        <v>355</v>
      </c>
      <c r="Q11439" s="5" t="s">
        <v>355</v>
      </c>
    </row>
    <row r="11440" ht="16.5" customHeight="1">
      <c r="O11440" s="5" t="s">
        <v>355</v>
      </c>
      <c r="P11440" s="5" t="s">
        <v>355</v>
      </c>
      <c r="Q11440" s="5" t="s">
        <v>355</v>
      </c>
    </row>
    <row r="11441" ht="16.5" customHeight="1">
      <c r="O11441" s="5" t="s">
        <v>355</v>
      </c>
      <c r="P11441" s="5" t="s">
        <v>355</v>
      </c>
      <c r="Q11441" s="5" t="s">
        <v>355</v>
      </c>
    </row>
    <row r="11442" ht="16.5" customHeight="1">
      <c r="O11442" s="5" t="s">
        <v>355</v>
      </c>
      <c r="P11442" s="5" t="s">
        <v>355</v>
      </c>
      <c r="Q11442" s="5" t="s">
        <v>355</v>
      </c>
    </row>
    <row r="11443" ht="16.5" customHeight="1">
      <c r="O11443" s="5" t="s">
        <v>355</v>
      </c>
      <c r="P11443" s="5" t="s">
        <v>355</v>
      </c>
      <c r="Q11443" s="5" t="s">
        <v>355</v>
      </c>
    </row>
    <row r="11444" ht="16.5" customHeight="1">
      <c r="O11444" s="5" t="s">
        <v>355</v>
      </c>
      <c r="P11444" s="5" t="s">
        <v>355</v>
      </c>
      <c r="Q11444" s="5" t="s">
        <v>355</v>
      </c>
    </row>
    <row r="11445" ht="16.5" customHeight="1">
      <c r="O11445" s="5" t="s">
        <v>355</v>
      </c>
      <c r="P11445" s="5" t="s">
        <v>355</v>
      </c>
      <c r="Q11445" s="5" t="s">
        <v>355</v>
      </c>
    </row>
    <row r="11446" ht="16.5" customHeight="1">
      <c r="O11446" s="5" t="s">
        <v>355</v>
      </c>
      <c r="P11446" s="5" t="s">
        <v>355</v>
      </c>
      <c r="Q11446" s="5" t="s">
        <v>355</v>
      </c>
    </row>
    <row r="11447" ht="16.5" customHeight="1">
      <c r="O11447" s="5" t="s">
        <v>355</v>
      </c>
      <c r="P11447" s="5" t="s">
        <v>355</v>
      </c>
      <c r="Q11447" s="5" t="s">
        <v>355</v>
      </c>
    </row>
    <row r="11448" ht="16.5" customHeight="1">
      <c r="O11448" s="5" t="s">
        <v>355</v>
      </c>
      <c r="P11448" s="5" t="s">
        <v>355</v>
      </c>
      <c r="Q11448" s="5" t="s">
        <v>355</v>
      </c>
    </row>
    <row r="11449" ht="16.5" customHeight="1">
      <c r="O11449" s="5" t="s">
        <v>355</v>
      </c>
      <c r="P11449" s="5" t="s">
        <v>355</v>
      </c>
      <c r="Q11449" s="5" t="s">
        <v>355</v>
      </c>
    </row>
    <row r="11450" ht="16.5" customHeight="1">
      <c r="O11450" s="5" t="s">
        <v>355</v>
      </c>
      <c r="P11450" s="5" t="s">
        <v>355</v>
      </c>
      <c r="Q11450" s="5" t="s">
        <v>355</v>
      </c>
    </row>
    <row r="11451" ht="16.5" customHeight="1">
      <c r="O11451" s="5" t="s">
        <v>355</v>
      </c>
      <c r="P11451" s="5" t="s">
        <v>355</v>
      </c>
      <c r="Q11451" s="5" t="s">
        <v>355</v>
      </c>
    </row>
    <row r="11452" ht="16.5" customHeight="1">
      <c r="O11452" s="5" t="s">
        <v>355</v>
      </c>
      <c r="P11452" s="5" t="s">
        <v>355</v>
      </c>
      <c r="Q11452" s="5" t="s">
        <v>355</v>
      </c>
    </row>
    <row r="11453" ht="16.5" customHeight="1">
      <c r="O11453" s="5" t="s">
        <v>355</v>
      </c>
      <c r="P11453" s="5" t="s">
        <v>355</v>
      </c>
      <c r="Q11453" s="5" t="s">
        <v>355</v>
      </c>
    </row>
    <row r="11454" ht="16.5" customHeight="1">
      <c r="O11454" s="5" t="s">
        <v>355</v>
      </c>
      <c r="P11454" s="5" t="s">
        <v>355</v>
      </c>
      <c r="Q11454" s="5" t="s">
        <v>355</v>
      </c>
    </row>
    <row r="11455" ht="16.5" customHeight="1">
      <c r="O11455" s="5" t="s">
        <v>355</v>
      </c>
      <c r="P11455" s="5" t="s">
        <v>355</v>
      </c>
      <c r="Q11455" s="5" t="s">
        <v>355</v>
      </c>
    </row>
    <row r="11456" ht="16.5" customHeight="1">
      <c r="O11456" s="5" t="s">
        <v>355</v>
      </c>
      <c r="P11456" s="5" t="s">
        <v>355</v>
      </c>
      <c r="Q11456" s="5" t="s">
        <v>355</v>
      </c>
    </row>
    <row r="11457" ht="16.5" customHeight="1">
      <c r="O11457" s="5" t="s">
        <v>355</v>
      </c>
      <c r="P11457" s="5" t="s">
        <v>355</v>
      </c>
      <c r="Q11457" s="5" t="s">
        <v>355</v>
      </c>
    </row>
    <row r="11458" ht="16.5" customHeight="1">
      <c r="O11458" s="5" t="s">
        <v>355</v>
      </c>
      <c r="P11458" s="5" t="s">
        <v>355</v>
      </c>
      <c r="Q11458" s="5" t="s">
        <v>355</v>
      </c>
    </row>
    <row r="11459" ht="16.5" customHeight="1">
      <c r="O11459" s="5" t="s">
        <v>355</v>
      </c>
      <c r="P11459" s="5" t="s">
        <v>355</v>
      </c>
      <c r="Q11459" s="5" t="s">
        <v>355</v>
      </c>
    </row>
    <row r="11460" ht="16.5" customHeight="1">
      <c r="O11460" s="5" t="s">
        <v>355</v>
      </c>
      <c r="P11460" s="5" t="s">
        <v>355</v>
      </c>
      <c r="Q11460" s="5" t="s">
        <v>355</v>
      </c>
    </row>
    <row r="11461" ht="16.5" customHeight="1">
      <c r="O11461" s="5" t="s">
        <v>355</v>
      </c>
      <c r="P11461" s="5" t="s">
        <v>355</v>
      </c>
      <c r="Q11461" s="5" t="s">
        <v>355</v>
      </c>
    </row>
    <row r="11462" ht="16.5" customHeight="1">
      <c r="O11462" s="5" t="s">
        <v>355</v>
      </c>
      <c r="P11462" s="5" t="s">
        <v>355</v>
      </c>
      <c r="Q11462" s="5" t="s">
        <v>355</v>
      </c>
    </row>
    <row r="11463" ht="16.5" customHeight="1">
      <c r="O11463" s="5" t="s">
        <v>355</v>
      </c>
      <c r="P11463" s="5" t="s">
        <v>355</v>
      </c>
      <c r="Q11463" s="5" t="s">
        <v>355</v>
      </c>
    </row>
    <row r="11464" ht="16.5" customHeight="1">
      <c r="O11464" s="5" t="s">
        <v>355</v>
      </c>
      <c r="P11464" s="5" t="s">
        <v>355</v>
      </c>
      <c r="Q11464" s="5" t="s">
        <v>355</v>
      </c>
    </row>
    <row r="11465" ht="16.5" customHeight="1">
      <c r="O11465" s="5" t="s">
        <v>355</v>
      </c>
      <c r="P11465" s="5" t="s">
        <v>355</v>
      </c>
      <c r="Q11465" s="5" t="s">
        <v>355</v>
      </c>
    </row>
    <row r="11466" ht="16.5" customHeight="1">
      <c r="O11466" s="5" t="s">
        <v>355</v>
      </c>
      <c r="P11466" s="5" t="s">
        <v>355</v>
      </c>
      <c r="Q11466" s="5" t="s">
        <v>355</v>
      </c>
    </row>
    <row r="11467" ht="16.5" customHeight="1">
      <c r="O11467" s="5" t="s">
        <v>355</v>
      </c>
      <c r="P11467" s="5" t="s">
        <v>355</v>
      </c>
      <c r="Q11467" s="5" t="s">
        <v>355</v>
      </c>
    </row>
    <row r="11468" ht="16.5" customHeight="1">
      <c r="O11468" s="5" t="s">
        <v>355</v>
      </c>
      <c r="P11468" s="5" t="s">
        <v>355</v>
      </c>
      <c r="Q11468" s="5" t="s">
        <v>355</v>
      </c>
    </row>
    <row r="11469" ht="16.5" customHeight="1">
      <c r="O11469" s="5" t="s">
        <v>355</v>
      </c>
      <c r="P11469" s="5" t="s">
        <v>355</v>
      </c>
      <c r="Q11469" s="5" t="s">
        <v>355</v>
      </c>
    </row>
    <row r="11470" ht="16.5" customHeight="1">
      <c r="O11470" s="5" t="s">
        <v>355</v>
      </c>
      <c r="P11470" s="5" t="s">
        <v>355</v>
      </c>
      <c r="Q11470" s="5" t="s">
        <v>355</v>
      </c>
    </row>
    <row r="11471" ht="16.5" customHeight="1">
      <c r="O11471" s="5" t="s">
        <v>355</v>
      </c>
      <c r="P11471" s="5" t="s">
        <v>355</v>
      </c>
      <c r="Q11471" s="5" t="s">
        <v>355</v>
      </c>
    </row>
    <row r="11472" ht="16.5" customHeight="1">
      <c r="O11472" s="5" t="s">
        <v>355</v>
      </c>
      <c r="P11472" s="5" t="s">
        <v>355</v>
      </c>
      <c r="Q11472" s="5" t="s">
        <v>355</v>
      </c>
    </row>
    <row r="11473" ht="16.5" customHeight="1">
      <c r="O11473" s="5" t="s">
        <v>355</v>
      </c>
      <c r="P11473" s="5" t="s">
        <v>355</v>
      </c>
      <c r="Q11473" s="5" t="s">
        <v>355</v>
      </c>
    </row>
    <row r="11474" ht="16.5" customHeight="1">
      <c r="O11474" s="5" t="s">
        <v>355</v>
      </c>
      <c r="P11474" s="5" t="s">
        <v>355</v>
      </c>
      <c r="Q11474" s="5" t="s">
        <v>355</v>
      </c>
    </row>
    <row r="11475" ht="16.5" customHeight="1">
      <c r="O11475" s="5" t="s">
        <v>355</v>
      </c>
      <c r="P11475" s="5" t="s">
        <v>355</v>
      </c>
      <c r="Q11475" s="5" t="s">
        <v>355</v>
      </c>
    </row>
    <row r="11476" ht="16.5" customHeight="1">
      <c r="O11476" s="5" t="s">
        <v>355</v>
      </c>
      <c r="P11476" s="5" t="s">
        <v>355</v>
      </c>
      <c r="Q11476" s="5" t="s">
        <v>355</v>
      </c>
    </row>
    <row r="11477" ht="16.5" customHeight="1">
      <c r="O11477" s="5" t="s">
        <v>355</v>
      </c>
      <c r="P11477" s="5" t="s">
        <v>355</v>
      </c>
      <c r="Q11477" s="5" t="s">
        <v>355</v>
      </c>
    </row>
    <row r="11478" ht="16.5" customHeight="1">
      <c r="O11478" s="5" t="s">
        <v>355</v>
      </c>
      <c r="P11478" s="5" t="s">
        <v>355</v>
      </c>
      <c r="Q11478" s="5" t="s">
        <v>355</v>
      </c>
    </row>
    <row r="11479" ht="16.5" customHeight="1">
      <c r="O11479" s="5" t="s">
        <v>355</v>
      </c>
      <c r="P11479" s="5" t="s">
        <v>355</v>
      </c>
      <c r="Q11479" s="5" t="s">
        <v>355</v>
      </c>
    </row>
    <row r="11480" ht="16.5" customHeight="1">
      <c r="O11480" s="5" t="s">
        <v>355</v>
      </c>
      <c r="P11480" s="5" t="s">
        <v>355</v>
      </c>
      <c r="Q11480" s="5" t="s">
        <v>355</v>
      </c>
    </row>
    <row r="11481" ht="16.5" customHeight="1">
      <c r="O11481" s="5" t="s">
        <v>355</v>
      </c>
      <c r="P11481" s="5" t="s">
        <v>355</v>
      </c>
      <c r="Q11481" s="5" t="s">
        <v>355</v>
      </c>
    </row>
    <row r="11482" ht="16.5" customHeight="1">
      <c r="O11482" s="5" t="s">
        <v>355</v>
      </c>
      <c r="P11482" s="5" t="s">
        <v>355</v>
      </c>
      <c r="Q11482" s="5" t="s">
        <v>355</v>
      </c>
    </row>
    <row r="11483" ht="16.5" customHeight="1">
      <c r="O11483" s="5" t="s">
        <v>355</v>
      </c>
      <c r="P11483" s="5" t="s">
        <v>355</v>
      </c>
      <c r="Q11483" s="5" t="s">
        <v>355</v>
      </c>
    </row>
    <row r="11484" ht="16.5" customHeight="1">
      <c r="O11484" s="5" t="s">
        <v>355</v>
      </c>
      <c r="P11484" s="5" t="s">
        <v>355</v>
      </c>
      <c r="Q11484" s="5" t="s">
        <v>355</v>
      </c>
    </row>
    <row r="11485" ht="16.5" customHeight="1">
      <c r="O11485" s="5" t="s">
        <v>355</v>
      </c>
      <c r="P11485" s="5" t="s">
        <v>355</v>
      </c>
      <c r="Q11485" s="5" t="s">
        <v>355</v>
      </c>
    </row>
    <row r="11486" ht="16.5" customHeight="1">
      <c r="O11486" s="5" t="s">
        <v>355</v>
      </c>
      <c r="P11486" s="5" t="s">
        <v>355</v>
      </c>
      <c r="Q11486" s="5" t="s">
        <v>355</v>
      </c>
    </row>
    <row r="11487" ht="16.5" customHeight="1">
      <c r="O11487" s="5" t="s">
        <v>355</v>
      </c>
      <c r="P11487" s="5" t="s">
        <v>355</v>
      </c>
      <c r="Q11487" s="5" t="s">
        <v>355</v>
      </c>
    </row>
    <row r="11488" ht="16.5" customHeight="1">
      <c r="O11488" s="5" t="s">
        <v>355</v>
      </c>
      <c r="P11488" s="5" t="s">
        <v>355</v>
      </c>
      <c r="Q11488" s="5" t="s">
        <v>355</v>
      </c>
    </row>
    <row r="11489" ht="16.5" customHeight="1">
      <c r="O11489" s="5" t="s">
        <v>355</v>
      </c>
      <c r="P11489" s="5" t="s">
        <v>355</v>
      </c>
      <c r="Q11489" s="5" t="s">
        <v>355</v>
      </c>
    </row>
    <row r="11490" ht="16.5" customHeight="1">
      <c r="O11490" s="5" t="s">
        <v>355</v>
      </c>
      <c r="P11490" s="5" t="s">
        <v>355</v>
      </c>
      <c r="Q11490" s="5" t="s">
        <v>355</v>
      </c>
    </row>
    <row r="11491" ht="16.5" customHeight="1">
      <c r="O11491" s="5" t="s">
        <v>355</v>
      </c>
      <c r="P11491" s="5" t="s">
        <v>355</v>
      </c>
      <c r="Q11491" s="5" t="s">
        <v>355</v>
      </c>
    </row>
    <row r="11492" ht="16.5" customHeight="1">
      <c r="O11492" s="5" t="s">
        <v>355</v>
      </c>
      <c r="P11492" s="5" t="s">
        <v>355</v>
      </c>
      <c r="Q11492" s="5" t="s">
        <v>355</v>
      </c>
    </row>
    <row r="11493" ht="16.5" customHeight="1">
      <c r="O11493" s="5" t="s">
        <v>355</v>
      </c>
      <c r="P11493" s="5" t="s">
        <v>355</v>
      </c>
      <c r="Q11493" s="5" t="s">
        <v>355</v>
      </c>
    </row>
    <row r="11494" ht="16.5" customHeight="1">
      <c r="O11494" s="5" t="s">
        <v>355</v>
      </c>
      <c r="P11494" s="5" t="s">
        <v>355</v>
      </c>
      <c r="Q11494" s="5" t="s">
        <v>355</v>
      </c>
    </row>
    <row r="11495" ht="16.5" customHeight="1">
      <c r="O11495" s="5" t="s">
        <v>355</v>
      </c>
      <c r="P11495" s="5" t="s">
        <v>355</v>
      </c>
      <c r="Q11495" s="5" t="s">
        <v>355</v>
      </c>
    </row>
    <row r="11496" ht="16.5" customHeight="1">
      <c r="O11496" s="5" t="s">
        <v>355</v>
      </c>
      <c r="P11496" s="5" t="s">
        <v>355</v>
      </c>
      <c r="Q11496" s="5" t="s">
        <v>355</v>
      </c>
    </row>
    <row r="11497" ht="16.5" customHeight="1">
      <c r="O11497" s="5" t="s">
        <v>355</v>
      </c>
      <c r="P11497" s="5" t="s">
        <v>355</v>
      </c>
      <c r="Q11497" s="5" t="s">
        <v>355</v>
      </c>
    </row>
    <row r="11498" ht="16.5" customHeight="1">
      <c r="O11498" s="5" t="s">
        <v>355</v>
      </c>
      <c r="P11498" s="5" t="s">
        <v>355</v>
      </c>
      <c r="Q11498" s="5" t="s">
        <v>355</v>
      </c>
    </row>
    <row r="11499" ht="16.5" customHeight="1">
      <c r="O11499" s="5" t="s">
        <v>355</v>
      </c>
      <c r="P11499" s="5" t="s">
        <v>355</v>
      </c>
      <c r="Q11499" s="5" t="s">
        <v>355</v>
      </c>
    </row>
    <row r="11500" ht="16.5" customHeight="1">
      <c r="O11500" s="5" t="s">
        <v>355</v>
      </c>
      <c r="P11500" s="5" t="s">
        <v>355</v>
      </c>
      <c r="Q11500" s="5" t="s">
        <v>355</v>
      </c>
    </row>
    <row r="11501" ht="16.5" customHeight="1">
      <c r="O11501" s="5" t="s">
        <v>355</v>
      </c>
      <c r="P11501" s="5" t="s">
        <v>355</v>
      </c>
      <c r="Q11501" s="5" t="s">
        <v>355</v>
      </c>
    </row>
    <row r="11502" ht="16.5" customHeight="1">
      <c r="O11502" s="5" t="s">
        <v>355</v>
      </c>
      <c r="P11502" s="5" t="s">
        <v>355</v>
      </c>
      <c r="Q11502" s="5" t="s">
        <v>355</v>
      </c>
    </row>
    <row r="11503" ht="16.5" customHeight="1">
      <c r="O11503" s="5" t="s">
        <v>355</v>
      </c>
      <c r="P11503" s="5" t="s">
        <v>355</v>
      </c>
      <c r="Q11503" s="5" t="s">
        <v>355</v>
      </c>
    </row>
    <row r="11504" ht="16.5" customHeight="1">
      <c r="O11504" s="5" t="s">
        <v>355</v>
      </c>
      <c r="P11504" s="5" t="s">
        <v>355</v>
      </c>
      <c r="Q11504" s="5" t="s">
        <v>355</v>
      </c>
    </row>
    <row r="11505" ht="16.5" customHeight="1">
      <c r="O11505" s="5" t="s">
        <v>355</v>
      </c>
      <c r="P11505" s="5" t="s">
        <v>355</v>
      </c>
      <c r="Q11505" s="5" t="s">
        <v>355</v>
      </c>
    </row>
    <row r="11506" ht="16.5" customHeight="1">
      <c r="O11506" s="5" t="s">
        <v>355</v>
      </c>
      <c r="P11506" s="5" t="s">
        <v>355</v>
      </c>
      <c r="Q11506" s="5" t="s">
        <v>355</v>
      </c>
    </row>
    <row r="11507" ht="16.5" customHeight="1">
      <c r="O11507" s="5" t="s">
        <v>355</v>
      </c>
      <c r="P11507" s="5" t="s">
        <v>355</v>
      </c>
      <c r="Q11507" s="5" t="s">
        <v>355</v>
      </c>
    </row>
    <row r="11508" ht="16.5" customHeight="1">
      <c r="O11508" s="5" t="s">
        <v>355</v>
      </c>
      <c r="P11508" s="5" t="s">
        <v>355</v>
      </c>
      <c r="Q11508" s="5" t="s">
        <v>355</v>
      </c>
    </row>
    <row r="11509" ht="16.5" customHeight="1">
      <c r="O11509" s="5" t="s">
        <v>355</v>
      </c>
      <c r="P11509" s="5" t="s">
        <v>355</v>
      </c>
      <c r="Q11509" s="5" t="s">
        <v>355</v>
      </c>
    </row>
    <row r="11510" ht="16.5" customHeight="1">
      <c r="O11510" s="5" t="s">
        <v>355</v>
      </c>
      <c r="P11510" s="5" t="s">
        <v>355</v>
      </c>
      <c r="Q11510" s="5" t="s">
        <v>355</v>
      </c>
    </row>
    <row r="11511" ht="16.5" customHeight="1">
      <c r="O11511" s="5" t="s">
        <v>355</v>
      </c>
      <c r="P11511" s="5" t="s">
        <v>355</v>
      </c>
      <c r="Q11511" s="5" t="s">
        <v>355</v>
      </c>
    </row>
    <row r="11512" ht="16.5" customHeight="1">
      <c r="O11512" s="5" t="s">
        <v>355</v>
      </c>
      <c r="P11512" s="5" t="s">
        <v>355</v>
      </c>
      <c r="Q11512" s="5" t="s">
        <v>355</v>
      </c>
    </row>
    <row r="11513" ht="16.5" customHeight="1">
      <c r="O11513" s="5" t="s">
        <v>355</v>
      </c>
      <c r="P11513" s="5" t="s">
        <v>355</v>
      </c>
      <c r="Q11513" s="5" t="s">
        <v>355</v>
      </c>
    </row>
    <row r="11514" ht="16.5" customHeight="1">
      <c r="O11514" s="5" t="s">
        <v>355</v>
      </c>
      <c r="P11514" s="5" t="s">
        <v>355</v>
      </c>
      <c r="Q11514" s="5" t="s">
        <v>355</v>
      </c>
    </row>
    <row r="11515" ht="16.5" customHeight="1">
      <c r="O11515" s="5" t="s">
        <v>355</v>
      </c>
      <c r="P11515" s="5" t="s">
        <v>355</v>
      </c>
      <c r="Q11515" s="5" t="s">
        <v>355</v>
      </c>
    </row>
    <row r="11516" ht="16.5" customHeight="1">
      <c r="O11516" s="5" t="s">
        <v>355</v>
      </c>
      <c r="P11516" s="5" t="s">
        <v>355</v>
      </c>
      <c r="Q11516" s="5" t="s">
        <v>355</v>
      </c>
    </row>
    <row r="11517" ht="16.5" customHeight="1">
      <c r="O11517" s="5" t="s">
        <v>355</v>
      </c>
      <c r="P11517" s="5" t="s">
        <v>355</v>
      </c>
      <c r="Q11517" s="5" t="s">
        <v>355</v>
      </c>
    </row>
    <row r="11518" ht="16.5" customHeight="1">
      <c r="O11518" s="5" t="s">
        <v>355</v>
      </c>
      <c r="P11518" s="5" t="s">
        <v>355</v>
      </c>
      <c r="Q11518" s="5" t="s">
        <v>355</v>
      </c>
    </row>
    <row r="11519" ht="16.5" customHeight="1">
      <c r="O11519" s="5" t="s">
        <v>355</v>
      </c>
      <c r="P11519" s="5" t="s">
        <v>355</v>
      </c>
      <c r="Q11519" s="5" t="s">
        <v>355</v>
      </c>
    </row>
    <row r="11520" ht="16.5" customHeight="1">
      <c r="O11520" s="5" t="s">
        <v>355</v>
      </c>
      <c r="P11520" s="5" t="s">
        <v>355</v>
      </c>
      <c r="Q11520" s="5" t="s">
        <v>355</v>
      </c>
    </row>
    <row r="11521" ht="16.5" customHeight="1">
      <c r="O11521" s="5" t="s">
        <v>355</v>
      </c>
      <c r="P11521" s="5" t="s">
        <v>355</v>
      </c>
      <c r="Q11521" s="5" t="s">
        <v>355</v>
      </c>
    </row>
    <row r="11522" ht="16.5" customHeight="1">
      <c r="O11522" s="5" t="s">
        <v>355</v>
      </c>
      <c r="P11522" s="5" t="s">
        <v>355</v>
      </c>
      <c r="Q11522" s="5" t="s">
        <v>355</v>
      </c>
    </row>
    <row r="11523" ht="16.5" customHeight="1">
      <c r="O11523" s="5" t="s">
        <v>355</v>
      </c>
      <c r="P11523" s="5" t="s">
        <v>355</v>
      </c>
      <c r="Q11523" s="5" t="s">
        <v>355</v>
      </c>
    </row>
    <row r="11524" ht="16.5" customHeight="1">
      <c r="O11524" s="5" t="s">
        <v>355</v>
      </c>
      <c r="P11524" s="5" t="s">
        <v>355</v>
      </c>
      <c r="Q11524" s="5" t="s">
        <v>355</v>
      </c>
    </row>
    <row r="11525" ht="16.5" customHeight="1">
      <c r="O11525" s="5" t="s">
        <v>355</v>
      </c>
      <c r="P11525" s="5" t="s">
        <v>355</v>
      </c>
      <c r="Q11525" s="5" t="s">
        <v>355</v>
      </c>
    </row>
    <row r="11526" ht="16.5" customHeight="1">
      <c r="O11526" s="5" t="s">
        <v>355</v>
      </c>
      <c r="P11526" s="5" t="s">
        <v>355</v>
      </c>
      <c r="Q11526" s="5" t="s">
        <v>355</v>
      </c>
    </row>
    <row r="11527" ht="16.5" customHeight="1">
      <c r="O11527" s="5" t="s">
        <v>355</v>
      </c>
      <c r="P11527" s="5" t="s">
        <v>355</v>
      </c>
      <c r="Q11527" s="5" t="s">
        <v>355</v>
      </c>
    </row>
    <row r="11528" ht="16.5" customHeight="1">
      <c r="O11528" s="5" t="s">
        <v>355</v>
      </c>
      <c r="P11528" s="5" t="s">
        <v>355</v>
      </c>
      <c r="Q11528" s="5" t="s">
        <v>355</v>
      </c>
    </row>
    <row r="11529" ht="16.5" customHeight="1">
      <c r="O11529" s="5" t="s">
        <v>355</v>
      </c>
      <c r="P11529" s="5" t="s">
        <v>355</v>
      </c>
      <c r="Q11529" s="5" t="s">
        <v>355</v>
      </c>
    </row>
    <row r="11530" ht="16.5" customHeight="1">
      <c r="O11530" s="5" t="s">
        <v>355</v>
      </c>
      <c r="P11530" s="5" t="s">
        <v>355</v>
      </c>
      <c r="Q11530" s="5" t="s">
        <v>355</v>
      </c>
    </row>
    <row r="11531" ht="16.5" customHeight="1">
      <c r="O11531" s="5" t="s">
        <v>355</v>
      </c>
      <c r="P11531" s="5" t="s">
        <v>355</v>
      </c>
      <c r="Q11531" s="5" t="s">
        <v>355</v>
      </c>
    </row>
    <row r="11532" ht="16.5" customHeight="1">
      <c r="O11532" s="5" t="s">
        <v>355</v>
      </c>
      <c r="P11532" s="5" t="s">
        <v>355</v>
      </c>
      <c r="Q11532" s="5" t="s">
        <v>355</v>
      </c>
    </row>
    <row r="11533" ht="16.5" customHeight="1">
      <c r="O11533" s="5" t="s">
        <v>355</v>
      </c>
      <c r="P11533" s="5" t="s">
        <v>355</v>
      </c>
      <c r="Q11533" s="5" t="s">
        <v>355</v>
      </c>
    </row>
    <row r="11534" ht="16.5" customHeight="1">
      <c r="O11534" s="5" t="s">
        <v>355</v>
      </c>
      <c r="P11534" s="5" t="s">
        <v>355</v>
      </c>
      <c r="Q11534" s="5" t="s">
        <v>355</v>
      </c>
    </row>
    <row r="11535" ht="16.5" customHeight="1">
      <c r="O11535" s="5" t="s">
        <v>355</v>
      </c>
      <c r="P11535" s="5" t="s">
        <v>355</v>
      </c>
      <c r="Q11535" s="5" t="s">
        <v>355</v>
      </c>
    </row>
    <row r="11536" ht="16.5" customHeight="1">
      <c r="O11536" s="5" t="s">
        <v>355</v>
      </c>
      <c r="P11536" s="5" t="s">
        <v>355</v>
      </c>
      <c r="Q11536" s="5" t="s">
        <v>355</v>
      </c>
    </row>
    <row r="11537" ht="16.5" customHeight="1">
      <c r="O11537" s="5" t="s">
        <v>355</v>
      </c>
      <c r="P11537" s="5" t="s">
        <v>355</v>
      </c>
      <c r="Q11537" s="5" t="s">
        <v>355</v>
      </c>
    </row>
    <row r="11538" ht="16.5" customHeight="1">
      <c r="O11538" s="5" t="s">
        <v>355</v>
      </c>
      <c r="P11538" s="5" t="s">
        <v>355</v>
      </c>
      <c r="Q11538" s="5" t="s">
        <v>355</v>
      </c>
    </row>
    <row r="11539" ht="16.5" customHeight="1">
      <c r="O11539" s="5" t="s">
        <v>355</v>
      </c>
      <c r="P11539" s="5" t="s">
        <v>355</v>
      </c>
      <c r="Q11539" s="5" t="s">
        <v>355</v>
      </c>
    </row>
    <row r="11540" ht="16.5" customHeight="1">
      <c r="O11540" s="5" t="s">
        <v>355</v>
      </c>
      <c r="P11540" s="5" t="s">
        <v>355</v>
      </c>
      <c r="Q11540" s="5" t="s">
        <v>355</v>
      </c>
    </row>
    <row r="11541" ht="16.5" customHeight="1">
      <c r="O11541" s="5" t="s">
        <v>355</v>
      </c>
      <c r="P11541" s="5" t="s">
        <v>355</v>
      </c>
      <c r="Q11541" s="5" t="s">
        <v>355</v>
      </c>
    </row>
    <row r="11542" ht="16.5" customHeight="1">
      <c r="O11542" s="5" t="s">
        <v>355</v>
      </c>
      <c r="P11542" s="5" t="s">
        <v>355</v>
      </c>
      <c r="Q11542" s="5" t="s">
        <v>355</v>
      </c>
    </row>
    <row r="11543" ht="16.5" customHeight="1">
      <c r="O11543" s="5" t="s">
        <v>355</v>
      </c>
      <c r="P11543" s="5" t="s">
        <v>355</v>
      </c>
      <c r="Q11543" s="5" t="s">
        <v>355</v>
      </c>
    </row>
    <row r="11544" ht="16.5" customHeight="1">
      <c r="O11544" s="5" t="s">
        <v>355</v>
      </c>
      <c r="P11544" s="5" t="s">
        <v>355</v>
      </c>
      <c r="Q11544" s="5" t="s">
        <v>355</v>
      </c>
    </row>
    <row r="11545" ht="16.5" customHeight="1">
      <c r="O11545" s="5" t="s">
        <v>355</v>
      </c>
      <c r="P11545" s="5" t="s">
        <v>355</v>
      </c>
      <c r="Q11545" s="5" t="s">
        <v>355</v>
      </c>
    </row>
    <row r="11546" ht="16.5" customHeight="1">
      <c r="O11546" s="5" t="s">
        <v>355</v>
      </c>
      <c r="P11546" s="5" t="s">
        <v>355</v>
      </c>
      <c r="Q11546" s="5" t="s">
        <v>355</v>
      </c>
    </row>
    <row r="11547" ht="16.5" customHeight="1">
      <c r="O11547" s="5" t="s">
        <v>355</v>
      </c>
      <c r="P11547" s="5" t="s">
        <v>355</v>
      </c>
      <c r="Q11547" s="5" t="s">
        <v>355</v>
      </c>
    </row>
    <row r="11548" ht="16.5" customHeight="1">
      <c r="O11548" s="5" t="s">
        <v>355</v>
      </c>
      <c r="P11548" s="5" t="s">
        <v>355</v>
      </c>
      <c r="Q11548" s="5" t="s">
        <v>355</v>
      </c>
    </row>
    <row r="11549" ht="16.5" customHeight="1">
      <c r="O11549" s="5" t="s">
        <v>355</v>
      </c>
      <c r="P11549" s="5" t="s">
        <v>355</v>
      </c>
      <c r="Q11549" s="5" t="s">
        <v>355</v>
      </c>
    </row>
    <row r="11550" ht="16.5" customHeight="1">
      <c r="O11550" s="5" t="s">
        <v>355</v>
      </c>
      <c r="P11550" s="5" t="s">
        <v>355</v>
      </c>
      <c r="Q11550" s="5" t="s">
        <v>355</v>
      </c>
    </row>
    <row r="11551" ht="16.5" customHeight="1">
      <c r="O11551" s="5" t="s">
        <v>355</v>
      </c>
      <c r="P11551" s="5" t="s">
        <v>355</v>
      </c>
      <c r="Q11551" s="5" t="s">
        <v>355</v>
      </c>
    </row>
    <row r="11552" ht="16.5" customHeight="1">
      <c r="O11552" s="5" t="s">
        <v>355</v>
      </c>
      <c r="P11552" s="5" t="s">
        <v>355</v>
      </c>
      <c r="Q11552" s="5" t="s">
        <v>355</v>
      </c>
    </row>
    <row r="11553" ht="16.5" customHeight="1">
      <c r="O11553" s="5" t="s">
        <v>355</v>
      </c>
      <c r="P11553" s="5" t="s">
        <v>355</v>
      </c>
      <c r="Q11553" s="5" t="s">
        <v>355</v>
      </c>
    </row>
    <row r="11554" ht="16.5" customHeight="1">
      <c r="O11554" s="5" t="s">
        <v>355</v>
      </c>
      <c r="P11554" s="5" t="s">
        <v>355</v>
      </c>
      <c r="Q11554" s="5" t="s">
        <v>355</v>
      </c>
    </row>
    <row r="11555" ht="16.5" customHeight="1">
      <c r="O11555" s="5" t="s">
        <v>355</v>
      </c>
      <c r="P11555" s="5" t="s">
        <v>355</v>
      </c>
      <c r="Q11555" s="5" t="s">
        <v>355</v>
      </c>
    </row>
    <row r="11556" ht="16.5" customHeight="1">
      <c r="O11556" s="5" t="s">
        <v>355</v>
      </c>
      <c r="P11556" s="5" t="s">
        <v>355</v>
      </c>
      <c r="Q11556" s="5" t="s">
        <v>355</v>
      </c>
    </row>
    <row r="11557" ht="16.5" customHeight="1">
      <c r="O11557" s="5" t="s">
        <v>355</v>
      </c>
      <c r="P11557" s="5" t="s">
        <v>355</v>
      </c>
      <c r="Q11557" s="5" t="s">
        <v>355</v>
      </c>
    </row>
    <row r="11558" ht="16.5" customHeight="1">
      <c r="O11558" s="5" t="s">
        <v>355</v>
      </c>
      <c r="P11558" s="5" t="s">
        <v>355</v>
      </c>
      <c r="Q11558" s="5" t="s">
        <v>355</v>
      </c>
    </row>
    <row r="11559" ht="16.5" customHeight="1">
      <c r="O11559" s="5" t="s">
        <v>355</v>
      </c>
      <c r="P11559" s="5" t="s">
        <v>355</v>
      </c>
      <c r="Q11559" s="5" t="s">
        <v>355</v>
      </c>
    </row>
    <row r="11560" ht="16.5" customHeight="1">
      <c r="O11560" s="5" t="s">
        <v>355</v>
      </c>
      <c r="P11560" s="5" t="s">
        <v>355</v>
      </c>
      <c r="Q11560" s="5" t="s">
        <v>355</v>
      </c>
    </row>
    <row r="11561" ht="16.5" customHeight="1">
      <c r="O11561" s="5" t="s">
        <v>355</v>
      </c>
      <c r="P11561" s="5" t="s">
        <v>355</v>
      </c>
      <c r="Q11561" s="5" t="s">
        <v>355</v>
      </c>
    </row>
    <row r="11562" ht="16.5" customHeight="1">
      <c r="O11562" s="5" t="s">
        <v>355</v>
      </c>
      <c r="P11562" s="5" t="s">
        <v>355</v>
      </c>
      <c r="Q11562" s="5" t="s">
        <v>355</v>
      </c>
    </row>
    <row r="11563" ht="16.5" customHeight="1">
      <c r="O11563" s="5" t="s">
        <v>355</v>
      </c>
      <c r="P11563" s="5" t="s">
        <v>355</v>
      </c>
      <c r="Q11563" s="5" t="s">
        <v>355</v>
      </c>
    </row>
    <row r="11564" ht="16.5" customHeight="1">
      <c r="O11564" s="5" t="s">
        <v>355</v>
      </c>
      <c r="P11564" s="5" t="s">
        <v>355</v>
      </c>
      <c r="Q11564" s="5" t="s">
        <v>355</v>
      </c>
    </row>
    <row r="11565" ht="16.5" customHeight="1">
      <c r="O11565" s="5" t="s">
        <v>355</v>
      </c>
      <c r="P11565" s="5" t="s">
        <v>355</v>
      </c>
      <c r="Q11565" s="5" t="s">
        <v>355</v>
      </c>
    </row>
    <row r="11566" ht="16.5" customHeight="1">
      <c r="O11566" s="5" t="s">
        <v>355</v>
      </c>
      <c r="P11566" s="5" t="s">
        <v>355</v>
      </c>
      <c r="Q11566" s="5" t="s">
        <v>355</v>
      </c>
    </row>
    <row r="11567" ht="16.5" customHeight="1">
      <c r="O11567" s="5" t="s">
        <v>355</v>
      </c>
      <c r="P11567" s="5" t="s">
        <v>355</v>
      </c>
      <c r="Q11567" s="5" t="s">
        <v>355</v>
      </c>
    </row>
    <row r="11568" ht="16.5" customHeight="1">
      <c r="O11568" s="5" t="s">
        <v>355</v>
      </c>
      <c r="P11568" s="5" t="s">
        <v>355</v>
      </c>
      <c r="Q11568" s="5" t="s">
        <v>355</v>
      </c>
    </row>
    <row r="11569" ht="16.5" customHeight="1">
      <c r="O11569" s="5" t="s">
        <v>355</v>
      </c>
      <c r="P11569" s="5" t="s">
        <v>355</v>
      </c>
      <c r="Q11569" s="5" t="s">
        <v>355</v>
      </c>
    </row>
    <row r="11570" ht="16.5" customHeight="1">
      <c r="O11570" s="5" t="s">
        <v>355</v>
      </c>
      <c r="P11570" s="5" t="s">
        <v>355</v>
      </c>
      <c r="Q11570" s="5" t="s">
        <v>355</v>
      </c>
    </row>
    <row r="11571" ht="16.5" customHeight="1">
      <c r="O11571" s="5" t="s">
        <v>355</v>
      </c>
      <c r="P11571" s="5" t="s">
        <v>355</v>
      </c>
      <c r="Q11571" s="5" t="s">
        <v>355</v>
      </c>
    </row>
    <row r="11572" ht="16.5" customHeight="1">
      <c r="O11572" s="5" t="s">
        <v>355</v>
      </c>
      <c r="P11572" s="5" t="s">
        <v>355</v>
      </c>
      <c r="Q11572" s="5" t="s">
        <v>355</v>
      </c>
    </row>
    <row r="11573" ht="16.5" customHeight="1">
      <c r="O11573" s="5" t="s">
        <v>355</v>
      </c>
      <c r="P11573" s="5" t="s">
        <v>355</v>
      </c>
      <c r="Q11573" s="5" t="s">
        <v>355</v>
      </c>
    </row>
    <row r="11574" ht="16.5" customHeight="1">
      <c r="O11574" s="5" t="s">
        <v>355</v>
      </c>
      <c r="P11574" s="5" t="s">
        <v>355</v>
      </c>
      <c r="Q11574" s="5" t="s">
        <v>355</v>
      </c>
    </row>
    <row r="11575" ht="16.5" customHeight="1">
      <c r="O11575" s="5" t="s">
        <v>355</v>
      </c>
      <c r="P11575" s="5" t="s">
        <v>355</v>
      </c>
      <c r="Q11575" s="5" t="s">
        <v>355</v>
      </c>
    </row>
    <row r="11576" ht="16.5" customHeight="1">
      <c r="O11576" s="5" t="s">
        <v>355</v>
      </c>
      <c r="P11576" s="5" t="s">
        <v>355</v>
      </c>
      <c r="Q11576" s="5" t="s">
        <v>355</v>
      </c>
    </row>
    <row r="11577" ht="16.5" customHeight="1">
      <c r="O11577" s="5" t="s">
        <v>355</v>
      </c>
      <c r="P11577" s="5" t="s">
        <v>355</v>
      </c>
      <c r="Q11577" s="5" t="s">
        <v>355</v>
      </c>
    </row>
    <row r="11578" ht="16.5" customHeight="1">
      <c r="O11578" s="5" t="s">
        <v>355</v>
      </c>
      <c r="P11578" s="5" t="s">
        <v>355</v>
      </c>
      <c r="Q11578" s="5" t="s">
        <v>355</v>
      </c>
    </row>
    <row r="11579" ht="16.5" customHeight="1">
      <c r="O11579" s="5" t="s">
        <v>355</v>
      </c>
      <c r="P11579" s="5" t="s">
        <v>355</v>
      </c>
      <c r="Q11579" s="5" t="s">
        <v>355</v>
      </c>
    </row>
    <row r="11580" ht="16.5" customHeight="1">
      <c r="O11580" s="5" t="s">
        <v>355</v>
      </c>
      <c r="P11580" s="5" t="s">
        <v>355</v>
      </c>
      <c r="Q11580" s="5" t="s">
        <v>355</v>
      </c>
    </row>
    <row r="11581" ht="16.5" customHeight="1">
      <c r="O11581" s="5" t="s">
        <v>355</v>
      </c>
      <c r="P11581" s="5" t="s">
        <v>355</v>
      </c>
      <c r="Q11581" s="5" t="s">
        <v>355</v>
      </c>
    </row>
    <row r="11582" ht="16.5" customHeight="1">
      <c r="O11582" s="5" t="s">
        <v>355</v>
      </c>
      <c r="P11582" s="5" t="s">
        <v>355</v>
      </c>
      <c r="Q11582" s="5" t="s">
        <v>355</v>
      </c>
    </row>
    <row r="11583" ht="16.5" customHeight="1">
      <c r="O11583" s="5" t="s">
        <v>355</v>
      </c>
      <c r="P11583" s="5" t="s">
        <v>355</v>
      </c>
      <c r="Q11583" s="5" t="s">
        <v>355</v>
      </c>
    </row>
    <row r="11584" ht="16.5" customHeight="1">
      <c r="O11584" s="5" t="s">
        <v>355</v>
      </c>
      <c r="P11584" s="5" t="s">
        <v>355</v>
      </c>
      <c r="Q11584" s="5" t="s">
        <v>355</v>
      </c>
    </row>
    <row r="11585" ht="16.5" customHeight="1">
      <c r="O11585" s="5" t="s">
        <v>355</v>
      </c>
      <c r="P11585" s="5" t="s">
        <v>355</v>
      </c>
      <c r="Q11585" s="5" t="s">
        <v>355</v>
      </c>
    </row>
    <row r="11586" ht="16.5" customHeight="1">
      <c r="O11586" s="5" t="s">
        <v>355</v>
      </c>
      <c r="P11586" s="5" t="s">
        <v>355</v>
      </c>
      <c r="Q11586" s="5" t="s">
        <v>355</v>
      </c>
    </row>
    <row r="11587" ht="16.5" customHeight="1">
      <c r="O11587" s="5" t="s">
        <v>355</v>
      </c>
      <c r="P11587" s="5" t="s">
        <v>355</v>
      </c>
      <c r="Q11587" s="5" t="s">
        <v>355</v>
      </c>
    </row>
    <row r="11588" ht="16.5" customHeight="1">
      <c r="O11588" s="5" t="s">
        <v>355</v>
      </c>
      <c r="P11588" s="5" t="s">
        <v>355</v>
      </c>
      <c r="Q11588" s="5" t="s">
        <v>355</v>
      </c>
    </row>
    <row r="11589" ht="16.5" customHeight="1">
      <c r="O11589" s="5" t="s">
        <v>355</v>
      </c>
      <c r="P11589" s="5" t="s">
        <v>355</v>
      </c>
      <c r="Q11589" s="5" t="s">
        <v>355</v>
      </c>
    </row>
    <row r="11590" ht="16.5" customHeight="1">
      <c r="O11590" s="5" t="s">
        <v>355</v>
      </c>
      <c r="P11590" s="5" t="s">
        <v>355</v>
      </c>
      <c r="Q11590" s="5" t="s">
        <v>355</v>
      </c>
    </row>
    <row r="11591" ht="16.5" customHeight="1">
      <c r="O11591" s="5" t="s">
        <v>355</v>
      </c>
      <c r="P11591" s="5" t="s">
        <v>355</v>
      </c>
      <c r="Q11591" s="5" t="s">
        <v>355</v>
      </c>
    </row>
    <row r="11592" ht="16.5" customHeight="1">
      <c r="O11592" s="5" t="s">
        <v>355</v>
      </c>
      <c r="P11592" s="5" t="s">
        <v>355</v>
      </c>
      <c r="Q11592" s="5" t="s">
        <v>355</v>
      </c>
    </row>
    <row r="11593" ht="16.5" customHeight="1">
      <c r="O11593" s="5" t="s">
        <v>355</v>
      </c>
      <c r="P11593" s="5" t="s">
        <v>355</v>
      </c>
      <c r="Q11593" s="5" t="s">
        <v>355</v>
      </c>
    </row>
    <row r="11594" ht="16.5" customHeight="1">
      <c r="O11594" s="5" t="s">
        <v>355</v>
      </c>
      <c r="P11594" s="5" t="s">
        <v>355</v>
      </c>
      <c r="Q11594" s="5" t="s">
        <v>355</v>
      </c>
    </row>
    <row r="11595" ht="16.5" customHeight="1">
      <c r="O11595" s="5" t="s">
        <v>355</v>
      </c>
      <c r="P11595" s="5" t="s">
        <v>355</v>
      </c>
      <c r="Q11595" s="5" t="s">
        <v>355</v>
      </c>
    </row>
    <row r="11596" ht="16.5" customHeight="1">
      <c r="O11596" s="5" t="s">
        <v>355</v>
      </c>
      <c r="P11596" s="5" t="s">
        <v>355</v>
      </c>
      <c r="Q11596" s="5" t="s">
        <v>355</v>
      </c>
    </row>
    <row r="11597" ht="16.5" customHeight="1">
      <c r="O11597" s="5" t="s">
        <v>355</v>
      </c>
      <c r="P11597" s="5" t="s">
        <v>355</v>
      </c>
      <c r="Q11597" s="5" t="s">
        <v>355</v>
      </c>
    </row>
    <row r="11598" ht="16.5" customHeight="1">
      <c r="O11598" s="5" t="s">
        <v>355</v>
      </c>
      <c r="P11598" s="5" t="s">
        <v>355</v>
      </c>
      <c r="Q11598" s="5" t="s">
        <v>355</v>
      </c>
    </row>
    <row r="11599" ht="16.5" customHeight="1">
      <c r="O11599" s="5" t="s">
        <v>355</v>
      </c>
      <c r="P11599" s="5" t="s">
        <v>355</v>
      </c>
      <c r="Q11599" s="5" t="s">
        <v>355</v>
      </c>
    </row>
    <row r="11600" ht="16.5" customHeight="1">
      <c r="O11600" s="5" t="s">
        <v>355</v>
      </c>
      <c r="P11600" s="5" t="s">
        <v>355</v>
      </c>
      <c r="Q11600" s="5" t="s">
        <v>355</v>
      </c>
    </row>
    <row r="11601" ht="16.5" customHeight="1">
      <c r="O11601" s="5" t="s">
        <v>355</v>
      </c>
      <c r="P11601" s="5" t="s">
        <v>355</v>
      </c>
      <c r="Q11601" s="5" t="s">
        <v>355</v>
      </c>
    </row>
    <row r="11602" ht="16.5" customHeight="1">
      <c r="O11602" s="5" t="s">
        <v>355</v>
      </c>
      <c r="P11602" s="5" t="s">
        <v>355</v>
      </c>
      <c r="Q11602" s="5" t="s">
        <v>355</v>
      </c>
    </row>
    <row r="11603" ht="16.5" customHeight="1">
      <c r="O11603" s="5" t="s">
        <v>355</v>
      </c>
      <c r="P11603" s="5" t="s">
        <v>355</v>
      </c>
      <c r="Q11603" s="5" t="s">
        <v>355</v>
      </c>
    </row>
    <row r="11604" ht="16.5" customHeight="1">
      <c r="O11604" s="5" t="s">
        <v>355</v>
      </c>
      <c r="P11604" s="5" t="s">
        <v>355</v>
      </c>
      <c r="Q11604" s="5" t="s">
        <v>355</v>
      </c>
    </row>
    <row r="11605" ht="16.5" customHeight="1">
      <c r="O11605" s="5" t="s">
        <v>355</v>
      </c>
      <c r="P11605" s="5" t="s">
        <v>355</v>
      </c>
      <c r="Q11605" s="5" t="s">
        <v>355</v>
      </c>
    </row>
    <row r="11606" ht="16.5" customHeight="1">
      <c r="O11606" s="5" t="s">
        <v>355</v>
      </c>
      <c r="P11606" s="5" t="s">
        <v>355</v>
      </c>
      <c r="Q11606" s="5" t="s">
        <v>355</v>
      </c>
    </row>
    <row r="11607" ht="16.5" customHeight="1">
      <c r="O11607" s="5" t="s">
        <v>355</v>
      </c>
      <c r="P11607" s="5" t="s">
        <v>355</v>
      </c>
      <c r="Q11607" s="5" t="s">
        <v>355</v>
      </c>
    </row>
    <row r="11608" ht="16.5" customHeight="1">
      <c r="O11608" s="5" t="s">
        <v>355</v>
      </c>
      <c r="P11608" s="5" t="s">
        <v>355</v>
      </c>
      <c r="Q11608" s="5" t="s">
        <v>355</v>
      </c>
    </row>
    <row r="11609" ht="16.5" customHeight="1">
      <c r="O11609" s="5" t="s">
        <v>355</v>
      </c>
      <c r="P11609" s="5" t="s">
        <v>355</v>
      </c>
      <c r="Q11609" s="5" t="s">
        <v>355</v>
      </c>
    </row>
    <row r="11610" ht="16.5" customHeight="1">
      <c r="O11610" s="5" t="s">
        <v>355</v>
      </c>
      <c r="P11610" s="5" t="s">
        <v>355</v>
      </c>
      <c r="Q11610" s="5" t="s">
        <v>355</v>
      </c>
    </row>
    <row r="11611" ht="16.5" customHeight="1">
      <c r="O11611" s="5" t="s">
        <v>355</v>
      </c>
      <c r="P11611" s="5" t="s">
        <v>355</v>
      </c>
      <c r="Q11611" s="5" t="s">
        <v>355</v>
      </c>
    </row>
    <row r="11612" ht="16.5" customHeight="1">
      <c r="O11612" s="5" t="s">
        <v>355</v>
      </c>
      <c r="P11612" s="5" t="s">
        <v>355</v>
      </c>
      <c r="Q11612" s="5" t="s">
        <v>355</v>
      </c>
    </row>
    <row r="11613" ht="16.5" customHeight="1">
      <c r="O11613" s="5" t="s">
        <v>355</v>
      </c>
      <c r="P11613" s="5" t="s">
        <v>355</v>
      </c>
      <c r="Q11613" s="5" t="s">
        <v>355</v>
      </c>
    </row>
    <row r="11614" ht="16.5" customHeight="1">
      <c r="O11614" s="5" t="s">
        <v>355</v>
      </c>
      <c r="P11614" s="5" t="s">
        <v>355</v>
      </c>
      <c r="Q11614" s="5" t="s">
        <v>355</v>
      </c>
    </row>
    <row r="11615" ht="16.5" customHeight="1">
      <c r="O11615" s="5" t="s">
        <v>355</v>
      </c>
      <c r="P11615" s="5" t="s">
        <v>355</v>
      </c>
      <c r="Q11615" s="5" t="s">
        <v>355</v>
      </c>
    </row>
    <row r="11616" ht="16.5" customHeight="1">
      <c r="O11616" s="5" t="s">
        <v>355</v>
      </c>
      <c r="P11616" s="5" t="s">
        <v>355</v>
      </c>
      <c r="Q11616" s="5" t="s">
        <v>355</v>
      </c>
    </row>
    <row r="11617" ht="16.5" customHeight="1">
      <c r="O11617" s="5" t="s">
        <v>355</v>
      </c>
      <c r="P11617" s="5" t="s">
        <v>355</v>
      </c>
      <c r="Q11617" s="5" t="s">
        <v>355</v>
      </c>
    </row>
    <row r="11618" ht="16.5" customHeight="1">
      <c r="O11618" s="5" t="s">
        <v>355</v>
      </c>
      <c r="P11618" s="5" t="s">
        <v>355</v>
      </c>
      <c r="Q11618" s="5" t="s">
        <v>355</v>
      </c>
    </row>
    <row r="11619" ht="16.5" customHeight="1">
      <c r="O11619" s="5" t="s">
        <v>355</v>
      </c>
      <c r="P11619" s="5" t="s">
        <v>355</v>
      </c>
      <c r="Q11619" s="5" t="s">
        <v>355</v>
      </c>
    </row>
    <row r="11620" ht="16.5" customHeight="1">
      <c r="O11620" s="5" t="s">
        <v>355</v>
      </c>
      <c r="P11620" s="5" t="s">
        <v>355</v>
      </c>
      <c r="Q11620" s="5" t="s">
        <v>355</v>
      </c>
    </row>
    <row r="11621" ht="16.5" customHeight="1">
      <c r="O11621" s="5" t="s">
        <v>355</v>
      </c>
      <c r="P11621" s="5" t="s">
        <v>355</v>
      </c>
      <c r="Q11621" s="5" t="s">
        <v>355</v>
      </c>
    </row>
    <row r="11622" ht="16.5" customHeight="1">
      <c r="O11622" s="5" t="s">
        <v>355</v>
      </c>
      <c r="P11622" s="5" t="s">
        <v>355</v>
      </c>
      <c r="Q11622" s="5" t="s">
        <v>355</v>
      </c>
    </row>
    <row r="11623" ht="16.5" customHeight="1">
      <c r="O11623" s="5" t="s">
        <v>355</v>
      </c>
      <c r="P11623" s="5" t="s">
        <v>355</v>
      </c>
      <c r="Q11623" s="5" t="s">
        <v>355</v>
      </c>
    </row>
    <row r="11624" ht="16.5" customHeight="1">
      <c r="O11624" s="5" t="s">
        <v>355</v>
      </c>
      <c r="P11624" s="5" t="s">
        <v>355</v>
      </c>
      <c r="Q11624" s="5" t="s">
        <v>355</v>
      </c>
    </row>
    <row r="11625" ht="16.5" customHeight="1">
      <c r="O11625" s="5" t="s">
        <v>355</v>
      </c>
      <c r="P11625" s="5" t="s">
        <v>355</v>
      </c>
      <c r="Q11625" s="5" t="s">
        <v>355</v>
      </c>
    </row>
    <row r="11626" ht="16.5" customHeight="1">
      <c r="O11626" s="5" t="s">
        <v>355</v>
      </c>
      <c r="P11626" s="5" t="s">
        <v>355</v>
      </c>
      <c r="Q11626" s="5" t="s">
        <v>355</v>
      </c>
    </row>
    <row r="11627" ht="16.5" customHeight="1">
      <c r="O11627" s="5" t="s">
        <v>355</v>
      </c>
      <c r="P11627" s="5" t="s">
        <v>355</v>
      </c>
      <c r="Q11627" s="5" t="s">
        <v>355</v>
      </c>
    </row>
    <row r="11628" ht="16.5" customHeight="1">
      <c r="O11628" s="5" t="s">
        <v>355</v>
      </c>
      <c r="P11628" s="5" t="s">
        <v>355</v>
      </c>
      <c r="Q11628" s="5" t="s">
        <v>355</v>
      </c>
    </row>
    <row r="11629" ht="16.5" customHeight="1">
      <c r="O11629" s="5" t="s">
        <v>355</v>
      </c>
      <c r="P11629" s="5" t="s">
        <v>355</v>
      </c>
      <c r="Q11629" s="5" t="s">
        <v>355</v>
      </c>
    </row>
    <row r="11630" ht="16.5" customHeight="1">
      <c r="O11630" s="5" t="s">
        <v>355</v>
      </c>
      <c r="P11630" s="5" t="s">
        <v>355</v>
      </c>
      <c r="Q11630" s="5" t="s">
        <v>355</v>
      </c>
    </row>
    <row r="11631" ht="16.5" customHeight="1">
      <c r="O11631" s="5" t="s">
        <v>355</v>
      </c>
      <c r="P11631" s="5" t="s">
        <v>355</v>
      </c>
      <c r="Q11631" s="5" t="s">
        <v>355</v>
      </c>
    </row>
    <row r="11632" ht="16.5" customHeight="1">
      <c r="O11632" s="5" t="s">
        <v>355</v>
      </c>
      <c r="P11632" s="5" t="s">
        <v>355</v>
      </c>
      <c r="Q11632" s="5" t="s">
        <v>355</v>
      </c>
    </row>
    <row r="11633" ht="16.5" customHeight="1">
      <c r="O11633" s="5" t="s">
        <v>355</v>
      </c>
      <c r="P11633" s="5" t="s">
        <v>355</v>
      </c>
      <c r="Q11633" s="5" t="s">
        <v>355</v>
      </c>
    </row>
    <row r="11634" ht="16.5" customHeight="1">
      <c r="O11634" s="5" t="s">
        <v>355</v>
      </c>
      <c r="P11634" s="5" t="s">
        <v>355</v>
      </c>
      <c r="Q11634" s="5" t="s">
        <v>355</v>
      </c>
    </row>
    <row r="11635" ht="16.5" customHeight="1">
      <c r="O11635" s="5" t="s">
        <v>355</v>
      </c>
      <c r="P11635" s="5" t="s">
        <v>355</v>
      </c>
      <c r="Q11635" s="5" t="s">
        <v>355</v>
      </c>
    </row>
    <row r="11636" ht="16.5" customHeight="1">
      <c r="O11636" s="5" t="s">
        <v>355</v>
      </c>
      <c r="P11636" s="5" t="s">
        <v>355</v>
      </c>
      <c r="Q11636" s="5" t="s">
        <v>355</v>
      </c>
    </row>
    <row r="11637" ht="16.5" customHeight="1">
      <c r="O11637" s="5" t="s">
        <v>355</v>
      </c>
      <c r="P11637" s="5" t="s">
        <v>355</v>
      </c>
      <c r="Q11637" s="5" t="s">
        <v>355</v>
      </c>
    </row>
    <row r="11638" ht="16.5" customHeight="1">
      <c r="O11638" s="5" t="s">
        <v>355</v>
      </c>
      <c r="P11638" s="5" t="s">
        <v>355</v>
      </c>
      <c r="Q11638" s="5" t="s">
        <v>355</v>
      </c>
    </row>
    <row r="11639" ht="16.5" customHeight="1">
      <c r="O11639" s="5" t="s">
        <v>355</v>
      </c>
      <c r="P11639" s="5" t="s">
        <v>355</v>
      </c>
      <c r="Q11639" s="5" t="s">
        <v>355</v>
      </c>
    </row>
    <row r="11640" ht="16.5" customHeight="1">
      <c r="O11640" s="5" t="s">
        <v>355</v>
      </c>
      <c r="P11640" s="5" t="s">
        <v>355</v>
      </c>
      <c r="Q11640" s="5" t="s">
        <v>355</v>
      </c>
    </row>
    <row r="11641" ht="16.5" customHeight="1">
      <c r="O11641" s="5" t="s">
        <v>355</v>
      </c>
      <c r="P11641" s="5" t="s">
        <v>355</v>
      </c>
      <c r="Q11641" s="5" t="s">
        <v>355</v>
      </c>
    </row>
    <row r="11642" ht="16.5" customHeight="1">
      <c r="O11642" s="5" t="s">
        <v>355</v>
      </c>
      <c r="P11642" s="5" t="s">
        <v>355</v>
      </c>
      <c r="Q11642" s="5" t="s">
        <v>355</v>
      </c>
    </row>
    <row r="11643" ht="16.5" customHeight="1">
      <c r="O11643" s="5" t="s">
        <v>355</v>
      </c>
      <c r="P11643" s="5" t="s">
        <v>355</v>
      </c>
      <c r="Q11643" s="5" t="s">
        <v>355</v>
      </c>
    </row>
    <row r="11644" ht="16.5" customHeight="1">
      <c r="O11644" s="5" t="s">
        <v>355</v>
      </c>
      <c r="P11644" s="5" t="s">
        <v>355</v>
      </c>
      <c r="Q11644" s="5" t="s">
        <v>355</v>
      </c>
    </row>
    <row r="11645" ht="16.5" customHeight="1">
      <c r="O11645" s="5" t="s">
        <v>355</v>
      </c>
      <c r="P11645" s="5" t="s">
        <v>355</v>
      </c>
      <c r="Q11645" s="5" t="s">
        <v>355</v>
      </c>
    </row>
    <row r="11646" ht="16.5" customHeight="1">
      <c r="O11646" s="5" t="s">
        <v>355</v>
      </c>
      <c r="P11646" s="5" t="s">
        <v>355</v>
      </c>
      <c r="Q11646" s="5" t="s">
        <v>355</v>
      </c>
    </row>
    <row r="11647" ht="16.5" customHeight="1">
      <c r="O11647" s="5" t="s">
        <v>355</v>
      </c>
      <c r="P11647" s="5" t="s">
        <v>355</v>
      </c>
      <c r="Q11647" s="5" t="s">
        <v>355</v>
      </c>
    </row>
    <row r="11648" ht="16.5" customHeight="1">
      <c r="O11648" s="5" t="s">
        <v>355</v>
      </c>
      <c r="P11648" s="5" t="s">
        <v>355</v>
      </c>
      <c r="Q11648" s="5" t="s">
        <v>355</v>
      </c>
    </row>
    <row r="11649" ht="16.5" customHeight="1">
      <c r="O11649" s="5" t="s">
        <v>355</v>
      </c>
      <c r="P11649" s="5" t="s">
        <v>355</v>
      </c>
      <c r="Q11649" s="5" t="s">
        <v>355</v>
      </c>
    </row>
    <row r="11650" ht="16.5" customHeight="1">
      <c r="O11650" s="5" t="s">
        <v>355</v>
      </c>
      <c r="P11650" s="5" t="s">
        <v>355</v>
      </c>
      <c r="Q11650" s="5" t="s">
        <v>355</v>
      </c>
    </row>
    <row r="11651" ht="16.5" customHeight="1">
      <c r="O11651" s="5" t="s">
        <v>355</v>
      </c>
      <c r="P11651" s="5" t="s">
        <v>355</v>
      </c>
      <c r="Q11651" s="5" t="s">
        <v>355</v>
      </c>
    </row>
    <row r="11652" ht="16.5" customHeight="1">
      <c r="O11652" s="5" t="s">
        <v>355</v>
      </c>
      <c r="P11652" s="5" t="s">
        <v>355</v>
      </c>
      <c r="Q11652" s="5" t="s">
        <v>355</v>
      </c>
    </row>
    <row r="11653" ht="16.5" customHeight="1">
      <c r="O11653" s="5" t="s">
        <v>355</v>
      </c>
      <c r="P11653" s="5" t="s">
        <v>355</v>
      </c>
      <c r="Q11653" s="5" t="s">
        <v>355</v>
      </c>
    </row>
    <row r="11654" ht="16.5" customHeight="1">
      <c r="O11654" s="5" t="s">
        <v>355</v>
      </c>
      <c r="P11654" s="5" t="s">
        <v>355</v>
      </c>
      <c r="Q11654" s="5" t="s">
        <v>355</v>
      </c>
    </row>
    <row r="11655" ht="16.5" customHeight="1">
      <c r="O11655" s="5" t="s">
        <v>355</v>
      </c>
      <c r="P11655" s="5" t="s">
        <v>355</v>
      </c>
      <c r="Q11655" s="5" t="s">
        <v>355</v>
      </c>
    </row>
    <row r="11656" ht="16.5" customHeight="1">
      <c r="O11656" s="5" t="s">
        <v>355</v>
      </c>
      <c r="P11656" s="5" t="s">
        <v>355</v>
      </c>
      <c r="Q11656" s="5" t="s">
        <v>355</v>
      </c>
    </row>
    <row r="11657" ht="16.5" customHeight="1">
      <c r="O11657" s="5" t="s">
        <v>355</v>
      </c>
      <c r="P11657" s="5" t="s">
        <v>355</v>
      </c>
      <c r="Q11657" s="5" t="s">
        <v>355</v>
      </c>
    </row>
    <row r="11658" ht="16.5" customHeight="1">
      <c r="O11658" s="5" t="s">
        <v>355</v>
      </c>
      <c r="P11658" s="5" t="s">
        <v>355</v>
      </c>
      <c r="Q11658" s="5" t="s">
        <v>355</v>
      </c>
    </row>
    <row r="11659" ht="16.5" customHeight="1">
      <c r="O11659" s="5" t="s">
        <v>355</v>
      </c>
      <c r="P11659" s="5" t="s">
        <v>355</v>
      </c>
      <c r="Q11659" s="5" t="s">
        <v>355</v>
      </c>
    </row>
    <row r="11660" ht="16.5" customHeight="1">
      <c r="O11660" s="5" t="s">
        <v>355</v>
      </c>
      <c r="P11660" s="5" t="s">
        <v>355</v>
      </c>
      <c r="Q11660" s="5" t="s">
        <v>355</v>
      </c>
    </row>
    <row r="11661" ht="16.5" customHeight="1">
      <c r="O11661" s="5" t="s">
        <v>355</v>
      </c>
      <c r="P11661" s="5" t="s">
        <v>355</v>
      </c>
      <c r="Q11661" s="5" t="s">
        <v>355</v>
      </c>
    </row>
    <row r="11662" ht="16.5" customHeight="1">
      <c r="O11662" s="5" t="s">
        <v>355</v>
      </c>
      <c r="P11662" s="5" t="s">
        <v>355</v>
      </c>
      <c r="Q11662" s="5" t="s">
        <v>355</v>
      </c>
    </row>
    <row r="11663" ht="16.5" customHeight="1">
      <c r="O11663" s="5" t="s">
        <v>355</v>
      </c>
      <c r="P11663" s="5" t="s">
        <v>355</v>
      </c>
      <c r="Q11663" s="5" t="s">
        <v>355</v>
      </c>
    </row>
    <row r="11664" ht="16.5" customHeight="1">
      <c r="O11664" s="5" t="s">
        <v>355</v>
      </c>
      <c r="P11664" s="5" t="s">
        <v>355</v>
      </c>
      <c r="Q11664" s="5" t="s">
        <v>355</v>
      </c>
    </row>
    <row r="11665" ht="16.5" customHeight="1">
      <c r="O11665" s="5" t="s">
        <v>355</v>
      </c>
      <c r="P11665" s="5" t="s">
        <v>355</v>
      </c>
      <c r="Q11665" s="5" t="s">
        <v>355</v>
      </c>
    </row>
    <row r="11666" ht="16.5" customHeight="1">
      <c r="O11666" s="5" t="s">
        <v>355</v>
      </c>
      <c r="P11666" s="5" t="s">
        <v>355</v>
      </c>
      <c r="Q11666" s="5" t="s">
        <v>355</v>
      </c>
    </row>
    <row r="11667" ht="16.5" customHeight="1">
      <c r="O11667" s="5" t="s">
        <v>355</v>
      </c>
      <c r="P11667" s="5" t="s">
        <v>355</v>
      </c>
      <c r="Q11667" s="5" t="s">
        <v>355</v>
      </c>
    </row>
    <row r="11668" ht="16.5" customHeight="1">
      <c r="O11668" s="5" t="s">
        <v>355</v>
      </c>
      <c r="P11668" s="5" t="s">
        <v>355</v>
      </c>
      <c r="Q11668" s="5" t="s">
        <v>355</v>
      </c>
    </row>
    <row r="11669" ht="16.5" customHeight="1">
      <c r="O11669" s="5" t="s">
        <v>355</v>
      </c>
      <c r="P11669" s="5" t="s">
        <v>355</v>
      </c>
      <c r="Q11669" s="5" t="s">
        <v>355</v>
      </c>
    </row>
    <row r="11670" ht="16.5" customHeight="1">
      <c r="O11670" s="5" t="s">
        <v>355</v>
      </c>
      <c r="P11670" s="5" t="s">
        <v>355</v>
      </c>
      <c r="Q11670" s="5" t="s">
        <v>355</v>
      </c>
    </row>
    <row r="11671" ht="16.5" customHeight="1">
      <c r="O11671" s="5" t="s">
        <v>355</v>
      </c>
      <c r="P11671" s="5" t="s">
        <v>355</v>
      </c>
      <c r="Q11671" s="5" t="s">
        <v>355</v>
      </c>
    </row>
    <row r="11672" ht="16.5" customHeight="1">
      <c r="O11672" s="5" t="s">
        <v>355</v>
      </c>
      <c r="P11672" s="5" t="s">
        <v>355</v>
      </c>
      <c r="Q11672" s="5" t="s">
        <v>355</v>
      </c>
    </row>
    <row r="11673" ht="16.5" customHeight="1">
      <c r="O11673" s="5" t="s">
        <v>355</v>
      </c>
      <c r="P11673" s="5" t="s">
        <v>355</v>
      </c>
      <c r="Q11673" s="5" t="s">
        <v>355</v>
      </c>
    </row>
    <row r="11674" ht="16.5" customHeight="1">
      <c r="O11674" s="5" t="s">
        <v>355</v>
      </c>
      <c r="P11674" s="5" t="s">
        <v>355</v>
      </c>
      <c r="Q11674" s="5" t="s">
        <v>355</v>
      </c>
    </row>
    <row r="11675" ht="16.5" customHeight="1">
      <c r="O11675" s="5" t="s">
        <v>355</v>
      </c>
      <c r="P11675" s="5" t="s">
        <v>355</v>
      </c>
      <c r="Q11675" s="5" t="s">
        <v>355</v>
      </c>
    </row>
    <row r="11676" ht="16.5" customHeight="1">
      <c r="O11676" s="5" t="s">
        <v>355</v>
      </c>
      <c r="P11676" s="5" t="s">
        <v>355</v>
      </c>
      <c r="Q11676" s="5" t="s">
        <v>355</v>
      </c>
    </row>
    <row r="11677" ht="16.5" customHeight="1">
      <c r="O11677" s="5" t="s">
        <v>355</v>
      </c>
      <c r="P11677" s="5" t="s">
        <v>355</v>
      </c>
      <c r="Q11677" s="5" t="s">
        <v>355</v>
      </c>
    </row>
    <row r="11678" ht="16.5" customHeight="1">
      <c r="O11678" s="5" t="s">
        <v>355</v>
      </c>
      <c r="P11678" s="5" t="s">
        <v>355</v>
      </c>
      <c r="Q11678" s="5" t="s">
        <v>355</v>
      </c>
    </row>
    <row r="11679" ht="16.5" customHeight="1">
      <c r="O11679" s="5" t="s">
        <v>355</v>
      </c>
      <c r="P11679" s="5" t="s">
        <v>355</v>
      </c>
      <c r="Q11679" s="5" t="s">
        <v>355</v>
      </c>
    </row>
    <row r="11680" ht="16.5" customHeight="1">
      <c r="O11680" s="5" t="s">
        <v>355</v>
      </c>
      <c r="P11680" s="5" t="s">
        <v>355</v>
      </c>
      <c r="Q11680" s="5" t="s">
        <v>355</v>
      </c>
    </row>
    <row r="11681" ht="16.5" customHeight="1">
      <c r="O11681" s="5" t="s">
        <v>355</v>
      </c>
      <c r="P11681" s="5" t="s">
        <v>355</v>
      </c>
      <c r="Q11681" s="5" t="s">
        <v>355</v>
      </c>
    </row>
    <row r="11682" ht="16.5" customHeight="1">
      <c r="O11682" s="5" t="s">
        <v>355</v>
      </c>
      <c r="P11682" s="5" t="s">
        <v>355</v>
      </c>
      <c r="Q11682" s="5" t="s">
        <v>355</v>
      </c>
    </row>
    <row r="11683" ht="16.5" customHeight="1">
      <c r="O11683" s="5" t="s">
        <v>355</v>
      </c>
      <c r="P11683" s="5" t="s">
        <v>355</v>
      </c>
      <c r="Q11683" s="5" t="s">
        <v>355</v>
      </c>
    </row>
    <row r="11684" ht="16.5" customHeight="1">
      <c r="O11684" s="5" t="s">
        <v>355</v>
      </c>
      <c r="P11684" s="5" t="s">
        <v>355</v>
      </c>
      <c r="Q11684" s="5" t="s">
        <v>355</v>
      </c>
    </row>
    <row r="11685" ht="16.5" customHeight="1">
      <c r="O11685" s="5" t="s">
        <v>355</v>
      </c>
      <c r="P11685" s="5" t="s">
        <v>355</v>
      </c>
      <c r="Q11685" s="5" t="s">
        <v>355</v>
      </c>
    </row>
    <row r="11686" ht="16.5" customHeight="1">
      <c r="O11686" s="5" t="s">
        <v>355</v>
      </c>
      <c r="P11686" s="5" t="s">
        <v>355</v>
      </c>
      <c r="Q11686" s="5" t="s">
        <v>355</v>
      </c>
    </row>
    <row r="11687" ht="16.5" customHeight="1">
      <c r="O11687" s="5" t="s">
        <v>355</v>
      </c>
      <c r="P11687" s="5" t="s">
        <v>355</v>
      </c>
      <c r="Q11687" s="5" t="s">
        <v>355</v>
      </c>
    </row>
    <row r="11688" ht="16.5" customHeight="1">
      <c r="O11688" s="5" t="s">
        <v>355</v>
      </c>
      <c r="P11688" s="5" t="s">
        <v>355</v>
      </c>
      <c r="Q11688" s="5" t="s">
        <v>355</v>
      </c>
    </row>
    <row r="11689" ht="16.5" customHeight="1">
      <c r="O11689" s="5" t="s">
        <v>355</v>
      </c>
      <c r="P11689" s="5" t="s">
        <v>355</v>
      </c>
      <c r="Q11689" s="5" t="s">
        <v>355</v>
      </c>
    </row>
    <row r="11690" ht="16.5" customHeight="1">
      <c r="O11690" s="5" t="s">
        <v>355</v>
      </c>
      <c r="P11690" s="5" t="s">
        <v>355</v>
      </c>
      <c r="Q11690" s="5" t="s">
        <v>355</v>
      </c>
    </row>
    <row r="11691" ht="16.5" customHeight="1">
      <c r="O11691" s="5" t="s">
        <v>355</v>
      </c>
      <c r="P11691" s="5" t="s">
        <v>355</v>
      </c>
      <c r="Q11691" s="5" t="s">
        <v>355</v>
      </c>
    </row>
    <row r="11692" ht="16.5" customHeight="1">
      <c r="O11692" s="5" t="s">
        <v>355</v>
      </c>
      <c r="P11692" s="5" t="s">
        <v>355</v>
      </c>
      <c r="Q11692" s="5" t="s">
        <v>355</v>
      </c>
    </row>
    <row r="11693" ht="16.5" customHeight="1">
      <c r="O11693" s="5" t="s">
        <v>355</v>
      </c>
      <c r="P11693" s="5" t="s">
        <v>355</v>
      </c>
      <c r="Q11693" s="5" t="s">
        <v>355</v>
      </c>
    </row>
    <row r="11694" ht="16.5" customHeight="1">
      <c r="O11694" s="5" t="s">
        <v>355</v>
      </c>
      <c r="P11694" s="5" t="s">
        <v>355</v>
      </c>
      <c r="Q11694" s="5" t="s">
        <v>355</v>
      </c>
    </row>
    <row r="11695" ht="16.5" customHeight="1">
      <c r="O11695" s="5" t="s">
        <v>355</v>
      </c>
      <c r="P11695" s="5" t="s">
        <v>355</v>
      </c>
      <c r="Q11695" s="5" t="s">
        <v>355</v>
      </c>
    </row>
    <row r="11696" ht="16.5" customHeight="1">
      <c r="O11696" s="5" t="s">
        <v>355</v>
      </c>
      <c r="P11696" s="5" t="s">
        <v>355</v>
      </c>
      <c r="Q11696" s="5" t="s">
        <v>355</v>
      </c>
    </row>
    <row r="11697" ht="16.5" customHeight="1">
      <c r="O11697" s="5" t="s">
        <v>355</v>
      </c>
      <c r="P11697" s="5" t="s">
        <v>355</v>
      </c>
      <c r="Q11697" s="5" t="s">
        <v>355</v>
      </c>
    </row>
    <row r="11698" ht="16.5" customHeight="1">
      <c r="O11698" s="5" t="s">
        <v>355</v>
      </c>
      <c r="P11698" s="5" t="s">
        <v>355</v>
      </c>
      <c r="Q11698" s="5" t="s">
        <v>355</v>
      </c>
    </row>
    <row r="11699" ht="16.5" customHeight="1">
      <c r="O11699" s="5" t="s">
        <v>355</v>
      </c>
      <c r="P11699" s="5" t="s">
        <v>355</v>
      </c>
      <c r="Q11699" s="5" t="s">
        <v>355</v>
      </c>
    </row>
    <row r="11700" ht="16.5" customHeight="1">
      <c r="O11700" s="5" t="s">
        <v>355</v>
      </c>
      <c r="P11700" s="5" t="s">
        <v>355</v>
      </c>
      <c r="Q11700" s="5" t="s">
        <v>355</v>
      </c>
    </row>
    <row r="11701" ht="16.5" customHeight="1">
      <c r="O11701" s="5" t="s">
        <v>355</v>
      </c>
      <c r="P11701" s="5" t="s">
        <v>355</v>
      </c>
      <c r="Q11701" s="5" t="s">
        <v>355</v>
      </c>
    </row>
    <row r="11702" ht="16.5" customHeight="1">
      <c r="O11702" s="5" t="s">
        <v>355</v>
      </c>
      <c r="P11702" s="5" t="s">
        <v>355</v>
      </c>
      <c r="Q11702" s="5" t="s">
        <v>355</v>
      </c>
    </row>
    <row r="11703" ht="16.5" customHeight="1">
      <c r="O11703" s="5" t="s">
        <v>355</v>
      </c>
      <c r="P11703" s="5" t="s">
        <v>355</v>
      </c>
      <c r="Q11703" s="5" t="s">
        <v>355</v>
      </c>
    </row>
    <row r="11704" ht="16.5" customHeight="1">
      <c r="O11704" s="5" t="s">
        <v>355</v>
      </c>
      <c r="P11704" s="5" t="s">
        <v>355</v>
      </c>
      <c r="Q11704" s="5" t="s">
        <v>355</v>
      </c>
    </row>
    <row r="11705" ht="16.5" customHeight="1">
      <c r="O11705" s="5" t="s">
        <v>355</v>
      </c>
      <c r="P11705" s="5" t="s">
        <v>355</v>
      </c>
      <c r="Q11705" s="5" t="s">
        <v>355</v>
      </c>
    </row>
    <row r="11706" ht="16.5" customHeight="1">
      <c r="O11706" s="5" t="s">
        <v>355</v>
      </c>
      <c r="P11706" s="5" t="s">
        <v>355</v>
      </c>
      <c r="Q11706" s="5" t="s">
        <v>355</v>
      </c>
    </row>
    <row r="11707" ht="16.5" customHeight="1">
      <c r="O11707" s="5" t="s">
        <v>355</v>
      </c>
      <c r="P11707" s="5" t="s">
        <v>355</v>
      </c>
      <c r="Q11707" s="5" t="s">
        <v>355</v>
      </c>
    </row>
    <row r="11708" ht="16.5" customHeight="1">
      <c r="O11708" s="5" t="s">
        <v>355</v>
      </c>
      <c r="P11708" s="5" t="s">
        <v>355</v>
      </c>
      <c r="Q11708" s="5" t="s">
        <v>355</v>
      </c>
    </row>
    <row r="11709" ht="16.5" customHeight="1">
      <c r="O11709" s="5" t="s">
        <v>355</v>
      </c>
      <c r="P11709" s="5" t="s">
        <v>355</v>
      </c>
      <c r="Q11709" s="5" t="s">
        <v>355</v>
      </c>
    </row>
    <row r="11710" ht="16.5" customHeight="1">
      <c r="O11710" s="5" t="s">
        <v>355</v>
      </c>
      <c r="P11710" s="5" t="s">
        <v>355</v>
      </c>
      <c r="Q11710" s="5" t="s">
        <v>355</v>
      </c>
    </row>
    <row r="11711" ht="16.5" customHeight="1">
      <c r="O11711" s="5" t="s">
        <v>355</v>
      </c>
      <c r="P11711" s="5" t="s">
        <v>355</v>
      </c>
      <c r="Q11711" s="5" t="s">
        <v>355</v>
      </c>
    </row>
    <row r="11712" ht="16.5" customHeight="1">
      <c r="O11712" s="5" t="s">
        <v>355</v>
      </c>
      <c r="P11712" s="5" t="s">
        <v>355</v>
      </c>
      <c r="Q11712" s="5" t="s">
        <v>355</v>
      </c>
    </row>
    <row r="11713" ht="16.5" customHeight="1">
      <c r="O11713" s="5" t="s">
        <v>355</v>
      </c>
      <c r="P11713" s="5" t="s">
        <v>355</v>
      </c>
      <c r="Q11713" s="5" t="s">
        <v>355</v>
      </c>
    </row>
    <row r="11714" ht="16.5" customHeight="1">
      <c r="O11714" s="5" t="s">
        <v>355</v>
      </c>
      <c r="P11714" s="5" t="s">
        <v>355</v>
      </c>
      <c r="Q11714" s="5" t="s">
        <v>355</v>
      </c>
    </row>
    <row r="11715" ht="16.5" customHeight="1">
      <c r="O11715" s="5" t="s">
        <v>355</v>
      </c>
      <c r="P11715" s="5" t="s">
        <v>355</v>
      </c>
      <c r="Q11715" s="5" t="s">
        <v>355</v>
      </c>
    </row>
    <row r="11716" ht="16.5" customHeight="1">
      <c r="O11716" s="5" t="s">
        <v>355</v>
      </c>
      <c r="P11716" s="5" t="s">
        <v>355</v>
      </c>
      <c r="Q11716" s="5" t="s">
        <v>355</v>
      </c>
    </row>
    <row r="11717" ht="16.5" customHeight="1">
      <c r="O11717" s="5" t="s">
        <v>355</v>
      </c>
      <c r="P11717" s="5" t="s">
        <v>355</v>
      </c>
      <c r="Q11717" s="5" t="s">
        <v>355</v>
      </c>
    </row>
    <row r="11718" ht="16.5" customHeight="1">
      <c r="O11718" s="5" t="s">
        <v>355</v>
      </c>
      <c r="P11718" s="5" t="s">
        <v>355</v>
      </c>
      <c r="Q11718" s="5" t="s">
        <v>355</v>
      </c>
    </row>
    <row r="11719" ht="16.5" customHeight="1">
      <c r="O11719" s="5" t="s">
        <v>355</v>
      </c>
      <c r="P11719" s="5" t="s">
        <v>355</v>
      </c>
      <c r="Q11719" s="5" t="s">
        <v>355</v>
      </c>
    </row>
    <row r="11720" ht="16.5" customHeight="1">
      <c r="O11720" s="5" t="s">
        <v>355</v>
      </c>
      <c r="P11720" s="5" t="s">
        <v>355</v>
      </c>
      <c r="Q11720" s="5" t="s">
        <v>355</v>
      </c>
    </row>
    <row r="11721" ht="16.5" customHeight="1">
      <c r="O11721" s="5" t="s">
        <v>355</v>
      </c>
      <c r="P11721" s="5" t="s">
        <v>355</v>
      </c>
      <c r="Q11721" s="5" t="s">
        <v>355</v>
      </c>
    </row>
    <row r="11722" ht="16.5" customHeight="1">
      <c r="O11722" s="5" t="s">
        <v>355</v>
      </c>
      <c r="P11722" s="5" t="s">
        <v>355</v>
      </c>
      <c r="Q11722" s="5" t="s">
        <v>355</v>
      </c>
    </row>
    <row r="11723" ht="16.5" customHeight="1">
      <c r="O11723" s="5" t="s">
        <v>355</v>
      </c>
      <c r="P11723" s="5" t="s">
        <v>355</v>
      </c>
      <c r="Q11723" s="5" t="s">
        <v>355</v>
      </c>
    </row>
    <row r="11724" ht="16.5" customHeight="1">
      <c r="O11724" s="5" t="s">
        <v>355</v>
      </c>
      <c r="P11724" s="5" t="s">
        <v>355</v>
      </c>
      <c r="Q11724" s="5" t="s">
        <v>355</v>
      </c>
    </row>
    <row r="11725" ht="16.5" customHeight="1">
      <c r="O11725" s="5" t="s">
        <v>355</v>
      </c>
      <c r="P11725" s="5" t="s">
        <v>355</v>
      </c>
      <c r="Q11725" s="5" t="s">
        <v>355</v>
      </c>
    </row>
    <row r="11726" ht="16.5" customHeight="1">
      <c r="O11726" s="5" t="s">
        <v>355</v>
      </c>
      <c r="P11726" s="5" t="s">
        <v>355</v>
      </c>
      <c r="Q11726" s="5" t="s">
        <v>355</v>
      </c>
    </row>
    <row r="11727" ht="16.5" customHeight="1">
      <c r="O11727" s="5" t="s">
        <v>355</v>
      </c>
      <c r="P11727" s="5" t="s">
        <v>355</v>
      </c>
      <c r="Q11727" s="5" t="s">
        <v>355</v>
      </c>
    </row>
    <row r="11728" ht="16.5" customHeight="1">
      <c r="O11728" s="5" t="s">
        <v>355</v>
      </c>
      <c r="P11728" s="5" t="s">
        <v>355</v>
      </c>
      <c r="Q11728" s="5" t="s">
        <v>355</v>
      </c>
    </row>
    <row r="11729" ht="16.5" customHeight="1">
      <c r="O11729" s="5" t="s">
        <v>355</v>
      </c>
      <c r="P11729" s="5" t="s">
        <v>355</v>
      </c>
      <c r="Q11729" s="5" t="s">
        <v>355</v>
      </c>
    </row>
    <row r="11730" ht="16.5" customHeight="1">
      <c r="O11730" s="5" t="s">
        <v>355</v>
      </c>
      <c r="P11730" s="5" t="s">
        <v>355</v>
      </c>
      <c r="Q11730" s="5" t="s">
        <v>355</v>
      </c>
    </row>
    <row r="11731" ht="16.5" customHeight="1">
      <c r="O11731" s="5" t="s">
        <v>355</v>
      </c>
      <c r="P11731" s="5" t="s">
        <v>355</v>
      </c>
      <c r="Q11731" s="5" t="s">
        <v>355</v>
      </c>
    </row>
    <row r="11732" ht="16.5" customHeight="1">
      <c r="O11732" s="5" t="s">
        <v>355</v>
      </c>
      <c r="P11732" s="5" t="s">
        <v>355</v>
      </c>
      <c r="Q11732" s="5" t="s">
        <v>355</v>
      </c>
    </row>
    <row r="11733" ht="16.5" customHeight="1">
      <c r="O11733" s="5" t="s">
        <v>355</v>
      </c>
      <c r="P11733" s="5" t="s">
        <v>355</v>
      </c>
      <c r="Q11733" s="5" t="s">
        <v>355</v>
      </c>
    </row>
    <row r="11734" ht="16.5" customHeight="1">
      <c r="O11734" s="5" t="s">
        <v>355</v>
      </c>
      <c r="P11734" s="5" t="s">
        <v>355</v>
      </c>
      <c r="Q11734" s="5" t="s">
        <v>355</v>
      </c>
    </row>
    <row r="11735" ht="16.5" customHeight="1">
      <c r="O11735" s="5" t="s">
        <v>355</v>
      </c>
      <c r="P11735" s="5" t="s">
        <v>355</v>
      </c>
      <c r="Q11735" s="5" t="s">
        <v>355</v>
      </c>
    </row>
    <row r="11736" ht="16.5" customHeight="1">
      <c r="O11736" s="5" t="s">
        <v>355</v>
      </c>
      <c r="P11736" s="5" t="s">
        <v>355</v>
      </c>
      <c r="Q11736" s="5" t="s">
        <v>355</v>
      </c>
    </row>
    <row r="11737" ht="16.5" customHeight="1">
      <c r="O11737" s="5" t="s">
        <v>355</v>
      </c>
      <c r="P11737" s="5" t="s">
        <v>355</v>
      </c>
      <c r="Q11737" s="5" t="s">
        <v>355</v>
      </c>
    </row>
    <row r="11738" ht="16.5" customHeight="1">
      <c r="O11738" s="5" t="s">
        <v>355</v>
      </c>
      <c r="P11738" s="5" t="s">
        <v>355</v>
      </c>
      <c r="Q11738" s="5" t="s">
        <v>355</v>
      </c>
    </row>
    <row r="11739" ht="16.5" customHeight="1">
      <c r="O11739" s="5" t="s">
        <v>355</v>
      </c>
      <c r="P11739" s="5" t="s">
        <v>355</v>
      </c>
      <c r="Q11739" s="5" t="s">
        <v>355</v>
      </c>
    </row>
    <row r="11740" ht="16.5" customHeight="1">
      <c r="O11740" s="5" t="s">
        <v>355</v>
      </c>
      <c r="P11740" s="5" t="s">
        <v>355</v>
      </c>
      <c r="Q11740" s="5" t="s">
        <v>355</v>
      </c>
    </row>
    <row r="11741" ht="16.5" customHeight="1">
      <c r="O11741" s="5" t="s">
        <v>355</v>
      </c>
      <c r="P11741" s="5" t="s">
        <v>355</v>
      </c>
      <c r="Q11741" s="5" t="s">
        <v>355</v>
      </c>
    </row>
    <row r="11742" ht="16.5" customHeight="1">
      <c r="O11742" s="5" t="s">
        <v>355</v>
      </c>
      <c r="P11742" s="5" t="s">
        <v>355</v>
      </c>
      <c r="Q11742" s="5" t="s">
        <v>355</v>
      </c>
    </row>
    <row r="11743" ht="16.5" customHeight="1">
      <c r="O11743" s="5" t="s">
        <v>355</v>
      </c>
      <c r="P11743" s="5" t="s">
        <v>355</v>
      </c>
      <c r="Q11743" s="5" t="s">
        <v>355</v>
      </c>
    </row>
    <row r="11744" ht="16.5" customHeight="1">
      <c r="O11744" s="5" t="s">
        <v>355</v>
      </c>
      <c r="P11744" s="5" t="s">
        <v>355</v>
      </c>
      <c r="Q11744" s="5" t="s">
        <v>355</v>
      </c>
    </row>
    <row r="11745" ht="16.5" customHeight="1">
      <c r="O11745" s="5" t="s">
        <v>355</v>
      </c>
      <c r="P11745" s="5" t="s">
        <v>355</v>
      </c>
      <c r="Q11745" s="5" t="s">
        <v>355</v>
      </c>
    </row>
    <row r="11746" ht="16.5" customHeight="1">
      <c r="O11746" s="5" t="s">
        <v>355</v>
      </c>
      <c r="P11746" s="5" t="s">
        <v>355</v>
      </c>
      <c r="Q11746" s="5" t="s">
        <v>355</v>
      </c>
    </row>
    <row r="11747" ht="16.5" customHeight="1">
      <c r="O11747" s="5" t="s">
        <v>355</v>
      </c>
      <c r="P11747" s="5" t="s">
        <v>355</v>
      </c>
      <c r="Q11747" s="5" t="s">
        <v>355</v>
      </c>
    </row>
    <row r="11748" ht="16.5" customHeight="1">
      <c r="O11748" s="5" t="s">
        <v>355</v>
      </c>
      <c r="P11748" s="5" t="s">
        <v>355</v>
      </c>
      <c r="Q11748" s="5" t="s">
        <v>355</v>
      </c>
    </row>
    <row r="11749" ht="16.5" customHeight="1">
      <c r="O11749" s="5" t="s">
        <v>355</v>
      </c>
      <c r="P11749" s="5" t="s">
        <v>355</v>
      </c>
      <c r="Q11749" s="5" t="s">
        <v>355</v>
      </c>
    </row>
    <row r="11750" ht="16.5" customHeight="1">
      <c r="O11750" s="5" t="s">
        <v>355</v>
      </c>
      <c r="P11750" s="5" t="s">
        <v>355</v>
      </c>
      <c r="Q11750" s="5" t="s">
        <v>355</v>
      </c>
    </row>
    <row r="11751" ht="16.5" customHeight="1">
      <c r="O11751" s="5" t="s">
        <v>355</v>
      </c>
      <c r="P11751" s="5" t="s">
        <v>355</v>
      </c>
      <c r="Q11751" s="5" t="s">
        <v>355</v>
      </c>
    </row>
    <row r="11752" ht="16.5" customHeight="1">
      <c r="O11752" s="5" t="s">
        <v>355</v>
      </c>
      <c r="P11752" s="5" t="s">
        <v>355</v>
      </c>
      <c r="Q11752" s="5" t="s">
        <v>355</v>
      </c>
    </row>
    <row r="11753" ht="16.5" customHeight="1">
      <c r="O11753" s="5" t="s">
        <v>355</v>
      </c>
      <c r="P11753" s="5" t="s">
        <v>355</v>
      </c>
      <c r="Q11753" s="5" t="s">
        <v>355</v>
      </c>
    </row>
    <row r="11754" ht="16.5" customHeight="1">
      <c r="O11754" s="5" t="s">
        <v>355</v>
      </c>
      <c r="P11754" s="5" t="s">
        <v>355</v>
      </c>
      <c r="Q11754" s="5" t="s">
        <v>355</v>
      </c>
    </row>
    <row r="11755" ht="16.5" customHeight="1">
      <c r="O11755" s="5" t="s">
        <v>355</v>
      </c>
      <c r="P11755" s="5" t="s">
        <v>355</v>
      </c>
      <c r="Q11755" s="5" t="s">
        <v>355</v>
      </c>
    </row>
    <row r="11756" ht="16.5" customHeight="1">
      <c r="O11756" s="5" t="s">
        <v>355</v>
      </c>
      <c r="P11756" s="5" t="s">
        <v>355</v>
      </c>
      <c r="Q11756" s="5" t="s">
        <v>355</v>
      </c>
    </row>
    <row r="11757" ht="16.5" customHeight="1">
      <c r="O11757" s="5" t="s">
        <v>355</v>
      </c>
      <c r="P11757" s="5" t="s">
        <v>355</v>
      </c>
      <c r="Q11757" s="5" t="s">
        <v>355</v>
      </c>
    </row>
    <row r="11758" ht="16.5" customHeight="1">
      <c r="O11758" s="5" t="s">
        <v>355</v>
      </c>
      <c r="P11758" s="5" t="s">
        <v>355</v>
      </c>
      <c r="Q11758" s="5" t="s">
        <v>355</v>
      </c>
    </row>
    <row r="11759" ht="16.5" customHeight="1">
      <c r="O11759" s="5" t="s">
        <v>355</v>
      </c>
      <c r="P11759" s="5" t="s">
        <v>355</v>
      </c>
      <c r="Q11759" s="5" t="s">
        <v>355</v>
      </c>
    </row>
    <row r="11760" ht="16.5" customHeight="1">
      <c r="O11760" s="5" t="s">
        <v>355</v>
      </c>
      <c r="P11760" s="5" t="s">
        <v>355</v>
      </c>
      <c r="Q11760" s="5" t="s">
        <v>355</v>
      </c>
    </row>
    <row r="11761" ht="16.5" customHeight="1">
      <c r="O11761" s="5" t="s">
        <v>355</v>
      </c>
      <c r="P11761" s="5" t="s">
        <v>355</v>
      </c>
      <c r="Q11761" s="5" t="s">
        <v>355</v>
      </c>
    </row>
    <row r="11762" ht="16.5" customHeight="1">
      <c r="O11762" s="5" t="s">
        <v>355</v>
      </c>
      <c r="P11762" s="5" t="s">
        <v>355</v>
      </c>
      <c r="Q11762" s="5" t="s">
        <v>355</v>
      </c>
    </row>
    <row r="11763" ht="16.5" customHeight="1">
      <c r="O11763" s="5" t="s">
        <v>355</v>
      </c>
      <c r="P11763" s="5" t="s">
        <v>355</v>
      </c>
      <c r="Q11763" s="5" t="s">
        <v>355</v>
      </c>
    </row>
    <row r="11764" ht="16.5" customHeight="1">
      <c r="O11764" s="5" t="s">
        <v>355</v>
      </c>
      <c r="P11764" s="5" t="s">
        <v>355</v>
      </c>
      <c r="Q11764" s="5" t="s">
        <v>355</v>
      </c>
    </row>
    <row r="11765" ht="16.5" customHeight="1">
      <c r="O11765" s="5" t="s">
        <v>355</v>
      </c>
      <c r="P11765" s="5" t="s">
        <v>355</v>
      </c>
      <c r="Q11765" s="5" t="s">
        <v>355</v>
      </c>
    </row>
    <row r="11766" ht="16.5" customHeight="1">
      <c r="O11766" s="5" t="s">
        <v>355</v>
      </c>
      <c r="P11766" s="5" t="s">
        <v>355</v>
      </c>
      <c r="Q11766" s="5" t="s">
        <v>355</v>
      </c>
    </row>
    <row r="11767" ht="16.5" customHeight="1">
      <c r="O11767" s="5" t="s">
        <v>355</v>
      </c>
      <c r="P11767" s="5" t="s">
        <v>355</v>
      </c>
      <c r="Q11767" s="5" t="s">
        <v>355</v>
      </c>
    </row>
    <row r="11768" ht="16.5" customHeight="1">
      <c r="O11768" s="5" t="s">
        <v>355</v>
      </c>
      <c r="P11768" s="5" t="s">
        <v>355</v>
      </c>
      <c r="Q11768" s="5" t="s">
        <v>355</v>
      </c>
    </row>
    <row r="11769" ht="16.5" customHeight="1">
      <c r="O11769" s="5" t="s">
        <v>355</v>
      </c>
      <c r="P11769" s="5" t="s">
        <v>355</v>
      </c>
      <c r="Q11769" s="5" t="s">
        <v>355</v>
      </c>
    </row>
    <row r="11770" ht="16.5" customHeight="1">
      <c r="O11770" s="5" t="s">
        <v>355</v>
      </c>
      <c r="P11770" s="5" t="s">
        <v>355</v>
      </c>
      <c r="Q11770" s="5" t="s">
        <v>355</v>
      </c>
    </row>
    <row r="11771" ht="16.5" customHeight="1">
      <c r="O11771" s="5" t="s">
        <v>355</v>
      </c>
      <c r="P11771" s="5" t="s">
        <v>355</v>
      </c>
      <c r="Q11771" s="5" t="s">
        <v>355</v>
      </c>
    </row>
    <row r="11772" ht="16.5" customHeight="1">
      <c r="O11772" s="5" t="s">
        <v>355</v>
      </c>
      <c r="P11772" s="5" t="s">
        <v>355</v>
      </c>
      <c r="Q11772" s="5" t="s">
        <v>355</v>
      </c>
    </row>
    <row r="11773" ht="16.5" customHeight="1">
      <c r="O11773" s="5" t="s">
        <v>355</v>
      </c>
      <c r="P11773" s="5" t="s">
        <v>355</v>
      </c>
      <c r="Q11773" s="5" t="s">
        <v>355</v>
      </c>
    </row>
    <row r="11774" ht="16.5" customHeight="1">
      <c r="O11774" s="5" t="s">
        <v>355</v>
      </c>
      <c r="P11774" s="5" t="s">
        <v>355</v>
      </c>
      <c r="Q11774" s="5" t="s">
        <v>355</v>
      </c>
    </row>
    <row r="11775" ht="16.5" customHeight="1">
      <c r="O11775" s="5" t="s">
        <v>355</v>
      </c>
      <c r="P11775" s="5" t="s">
        <v>355</v>
      </c>
      <c r="Q11775" s="5" t="s">
        <v>355</v>
      </c>
    </row>
    <row r="11776" ht="16.5" customHeight="1">
      <c r="O11776" s="5" t="s">
        <v>355</v>
      </c>
      <c r="P11776" s="5" t="s">
        <v>355</v>
      </c>
      <c r="Q11776" s="5" t="s">
        <v>355</v>
      </c>
    </row>
    <row r="11777" ht="16.5" customHeight="1">
      <c r="O11777" s="5" t="s">
        <v>355</v>
      </c>
      <c r="P11777" s="5" t="s">
        <v>355</v>
      </c>
      <c r="Q11777" s="5" t="s">
        <v>355</v>
      </c>
    </row>
    <row r="11778" ht="16.5" customHeight="1">
      <c r="O11778" s="5" t="s">
        <v>355</v>
      </c>
      <c r="P11778" s="5" t="s">
        <v>355</v>
      </c>
      <c r="Q11778" s="5" t="s">
        <v>355</v>
      </c>
    </row>
    <row r="11779" ht="16.5" customHeight="1">
      <c r="O11779" s="5" t="s">
        <v>355</v>
      </c>
      <c r="P11779" s="5" t="s">
        <v>355</v>
      </c>
      <c r="Q11779" s="5" t="s">
        <v>355</v>
      </c>
    </row>
    <row r="11780" ht="16.5" customHeight="1">
      <c r="O11780" s="5" t="s">
        <v>355</v>
      </c>
      <c r="P11780" s="5" t="s">
        <v>355</v>
      </c>
      <c r="Q11780" s="5" t="s">
        <v>355</v>
      </c>
    </row>
    <row r="11781" ht="16.5" customHeight="1">
      <c r="O11781" s="5" t="s">
        <v>355</v>
      </c>
      <c r="P11781" s="5" t="s">
        <v>355</v>
      </c>
      <c r="Q11781" s="5" t="s">
        <v>355</v>
      </c>
    </row>
    <row r="11782" ht="16.5" customHeight="1">
      <c r="O11782" s="5" t="s">
        <v>355</v>
      </c>
      <c r="P11782" s="5" t="s">
        <v>355</v>
      </c>
      <c r="Q11782" s="5" t="s">
        <v>355</v>
      </c>
    </row>
    <row r="11783" ht="16.5" customHeight="1">
      <c r="O11783" s="5" t="s">
        <v>355</v>
      </c>
      <c r="P11783" s="5" t="s">
        <v>355</v>
      </c>
      <c r="Q11783" s="5" t="s">
        <v>355</v>
      </c>
    </row>
    <row r="11784" ht="16.5" customHeight="1">
      <c r="O11784" s="5" t="s">
        <v>355</v>
      </c>
      <c r="P11784" s="5" t="s">
        <v>355</v>
      </c>
      <c r="Q11784" s="5" t="s">
        <v>355</v>
      </c>
    </row>
    <row r="11785" ht="16.5" customHeight="1">
      <c r="O11785" s="5" t="s">
        <v>355</v>
      </c>
      <c r="P11785" s="5" t="s">
        <v>355</v>
      </c>
      <c r="Q11785" s="5" t="s">
        <v>355</v>
      </c>
    </row>
    <row r="11786" ht="16.5" customHeight="1">
      <c r="O11786" s="5" t="s">
        <v>355</v>
      </c>
      <c r="P11786" s="5" t="s">
        <v>355</v>
      </c>
      <c r="Q11786" s="5" t="s">
        <v>355</v>
      </c>
    </row>
    <row r="11787" ht="16.5" customHeight="1">
      <c r="O11787" s="5" t="s">
        <v>355</v>
      </c>
      <c r="P11787" s="5" t="s">
        <v>355</v>
      </c>
      <c r="Q11787" s="5" t="s">
        <v>355</v>
      </c>
    </row>
    <row r="11788" ht="16.5" customHeight="1">
      <c r="O11788" s="5" t="s">
        <v>355</v>
      </c>
      <c r="P11788" s="5" t="s">
        <v>355</v>
      </c>
      <c r="Q11788" s="5" t="s">
        <v>355</v>
      </c>
    </row>
    <row r="11789" ht="16.5" customHeight="1">
      <c r="O11789" s="5" t="s">
        <v>355</v>
      </c>
      <c r="P11789" s="5" t="s">
        <v>355</v>
      </c>
      <c r="Q11789" s="5" t="s">
        <v>355</v>
      </c>
    </row>
    <row r="11790" ht="16.5" customHeight="1">
      <c r="O11790" s="5" t="s">
        <v>355</v>
      </c>
      <c r="P11790" s="5" t="s">
        <v>355</v>
      </c>
      <c r="Q11790" s="5" t="s">
        <v>355</v>
      </c>
    </row>
    <row r="11791" ht="16.5" customHeight="1">
      <c r="O11791" s="5" t="s">
        <v>355</v>
      </c>
      <c r="P11791" s="5" t="s">
        <v>355</v>
      </c>
      <c r="Q11791" s="5" t="s">
        <v>355</v>
      </c>
    </row>
    <row r="11792" ht="16.5" customHeight="1">
      <c r="O11792" s="5" t="s">
        <v>355</v>
      </c>
      <c r="P11792" s="5" t="s">
        <v>355</v>
      </c>
      <c r="Q11792" s="5" t="s">
        <v>355</v>
      </c>
    </row>
    <row r="11793" ht="16.5" customHeight="1">
      <c r="O11793" s="5" t="s">
        <v>355</v>
      </c>
      <c r="P11793" s="5" t="s">
        <v>355</v>
      </c>
      <c r="Q11793" s="5" t="s">
        <v>355</v>
      </c>
    </row>
    <row r="11794" ht="16.5" customHeight="1">
      <c r="O11794" s="5" t="s">
        <v>355</v>
      </c>
      <c r="P11794" s="5" t="s">
        <v>355</v>
      </c>
      <c r="Q11794" s="5" t="s">
        <v>355</v>
      </c>
    </row>
    <row r="11795" ht="16.5" customHeight="1">
      <c r="O11795" s="5" t="s">
        <v>355</v>
      </c>
      <c r="P11795" s="5" t="s">
        <v>355</v>
      </c>
      <c r="Q11795" s="5" t="s">
        <v>355</v>
      </c>
    </row>
    <row r="11796" ht="16.5" customHeight="1">
      <c r="O11796" s="5" t="s">
        <v>355</v>
      </c>
      <c r="P11796" s="5" t="s">
        <v>355</v>
      </c>
      <c r="Q11796" s="5" t="s">
        <v>355</v>
      </c>
    </row>
    <row r="11797" ht="16.5" customHeight="1">
      <c r="O11797" s="5" t="s">
        <v>355</v>
      </c>
      <c r="P11797" s="5" t="s">
        <v>355</v>
      </c>
      <c r="Q11797" s="5" t="s">
        <v>355</v>
      </c>
    </row>
    <row r="11798" ht="16.5" customHeight="1">
      <c r="O11798" s="5" t="s">
        <v>355</v>
      </c>
      <c r="P11798" s="5" t="s">
        <v>355</v>
      </c>
      <c r="Q11798" s="5" t="s">
        <v>355</v>
      </c>
    </row>
    <row r="11799" ht="16.5" customHeight="1">
      <c r="O11799" s="5" t="s">
        <v>355</v>
      </c>
      <c r="P11799" s="5" t="s">
        <v>355</v>
      </c>
      <c r="Q11799" s="5" t="s">
        <v>355</v>
      </c>
    </row>
    <row r="11800" ht="16.5" customHeight="1">
      <c r="O11800" s="5" t="s">
        <v>355</v>
      </c>
      <c r="P11800" s="5" t="s">
        <v>355</v>
      </c>
      <c r="Q11800" s="5" t="s">
        <v>355</v>
      </c>
    </row>
    <row r="11801" ht="16.5" customHeight="1">
      <c r="O11801" s="5" t="s">
        <v>355</v>
      </c>
      <c r="P11801" s="5" t="s">
        <v>355</v>
      </c>
      <c r="Q11801" s="5" t="s">
        <v>355</v>
      </c>
    </row>
    <row r="11802" ht="16.5" customHeight="1">
      <c r="O11802" s="5" t="s">
        <v>355</v>
      </c>
      <c r="P11802" s="5" t="s">
        <v>355</v>
      </c>
      <c r="Q11802" s="5" t="s">
        <v>355</v>
      </c>
    </row>
    <row r="11803" ht="16.5" customHeight="1">
      <c r="O11803" s="5" t="s">
        <v>355</v>
      </c>
      <c r="P11803" s="5" t="s">
        <v>355</v>
      </c>
      <c r="Q11803" s="5" t="s">
        <v>355</v>
      </c>
    </row>
    <row r="11804" ht="16.5" customHeight="1">
      <c r="O11804" s="5" t="s">
        <v>355</v>
      </c>
      <c r="P11804" s="5" t="s">
        <v>355</v>
      </c>
      <c r="Q11804" s="5" t="s">
        <v>355</v>
      </c>
    </row>
    <row r="11805" ht="16.5" customHeight="1">
      <c r="O11805" s="5" t="s">
        <v>355</v>
      </c>
      <c r="P11805" s="5" t="s">
        <v>355</v>
      </c>
      <c r="Q11805" s="5" t="s">
        <v>355</v>
      </c>
    </row>
    <row r="11806" ht="16.5" customHeight="1">
      <c r="O11806" s="5" t="s">
        <v>355</v>
      </c>
      <c r="P11806" s="5" t="s">
        <v>355</v>
      </c>
      <c r="Q11806" s="5" t="s">
        <v>355</v>
      </c>
    </row>
    <row r="11807" ht="16.5" customHeight="1">
      <c r="O11807" s="5" t="s">
        <v>355</v>
      </c>
      <c r="P11807" s="5" t="s">
        <v>355</v>
      </c>
      <c r="Q11807" s="5" t="s">
        <v>355</v>
      </c>
    </row>
    <row r="11808" ht="16.5" customHeight="1">
      <c r="O11808" s="5" t="s">
        <v>355</v>
      </c>
      <c r="P11808" s="5" t="s">
        <v>355</v>
      </c>
      <c r="Q11808" s="5" t="s">
        <v>355</v>
      </c>
    </row>
    <row r="11809" ht="16.5" customHeight="1">
      <c r="O11809" s="5" t="s">
        <v>355</v>
      </c>
      <c r="P11809" s="5" t="s">
        <v>355</v>
      </c>
      <c r="Q11809" s="5" t="s">
        <v>355</v>
      </c>
    </row>
    <row r="11810" ht="16.5" customHeight="1">
      <c r="O11810" s="5" t="s">
        <v>355</v>
      </c>
      <c r="P11810" s="5" t="s">
        <v>355</v>
      </c>
      <c r="Q11810" s="5" t="s">
        <v>355</v>
      </c>
    </row>
    <row r="11811" ht="16.5" customHeight="1">
      <c r="O11811" s="5" t="s">
        <v>355</v>
      </c>
      <c r="P11811" s="5" t="s">
        <v>355</v>
      </c>
      <c r="Q11811" s="5" t="s">
        <v>355</v>
      </c>
    </row>
    <row r="11812" ht="16.5" customHeight="1">
      <c r="O11812" s="5" t="s">
        <v>355</v>
      </c>
      <c r="P11812" s="5" t="s">
        <v>355</v>
      </c>
      <c r="Q11812" s="5" t="s">
        <v>355</v>
      </c>
    </row>
    <row r="11813" ht="16.5" customHeight="1">
      <c r="O11813" s="5" t="s">
        <v>355</v>
      </c>
      <c r="P11813" s="5" t="s">
        <v>355</v>
      </c>
      <c r="Q11813" s="5" t="s">
        <v>355</v>
      </c>
    </row>
    <row r="11814" ht="16.5" customHeight="1">
      <c r="O11814" s="5" t="s">
        <v>355</v>
      </c>
      <c r="P11814" s="5" t="s">
        <v>355</v>
      </c>
      <c r="Q11814" s="5" t="s">
        <v>355</v>
      </c>
    </row>
    <row r="11815" ht="16.5" customHeight="1">
      <c r="O11815" s="5" t="s">
        <v>355</v>
      </c>
      <c r="P11815" s="5" t="s">
        <v>355</v>
      </c>
      <c r="Q11815" s="5" t="s">
        <v>355</v>
      </c>
    </row>
    <row r="11816" ht="16.5" customHeight="1">
      <c r="O11816" s="5" t="s">
        <v>355</v>
      </c>
      <c r="P11816" s="5" t="s">
        <v>355</v>
      </c>
      <c r="Q11816" s="5" t="s">
        <v>355</v>
      </c>
    </row>
    <row r="11817" ht="16.5" customHeight="1">
      <c r="O11817" s="5" t="s">
        <v>355</v>
      </c>
      <c r="P11817" s="5" t="s">
        <v>355</v>
      </c>
      <c r="Q11817" s="5" t="s">
        <v>355</v>
      </c>
    </row>
    <row r="11818" ht="16.5" customHeight="1">
      <c r="O11818" s="5" t="s">
        <v>355</v>
      </c>
      <c r="P11818" s="5" t="s">
        <v>355</v>
      </c>
      <c r="Q11818" s="5" t="s">
        <v>355</v>
      </c>
    </row>
    <row r="11819" ht="16.5" customHeight="1">
      <c r="O11819" s="5" t="s">
        <v>355</v>
      </c>
      <c r="P11819" s="5" t="s">
        <v>355</v>
      </c>
      <c r="Q11819" s="5" t="s">
        <v>355</v>
      </c>
    </row>
    <row r="11820" ht="16.5" customHeight="1">
      <c r="O11820" s="5" t="s">
        <v>355</v>
      </c>
      <c r="P11820" s="5" t="s">
        <v>355</v>
      </c>
      <c r="Q11820" s="5" t="s">
        <v>355</v>
      </c>
    </row>
    <row r="11821" ht="16.5" customHeight="1">
      <c r="O11821" s="5" t="s">
        <v>355</v>
      </c>
      <c r="P11821" s="5" t="s">
        <v>355</v>
      </c>
      <c r="Q11821" s="5" t="s">
        <v>355</v>
      </c>
    </row>
    <row r="11822" ht="16.5" customHeight="1">
      <c r="O11822" s="5" t="s">
        <v>355</v>
      </c>
      <c r="P11822" s="5" t="s">
        <v>355</v>
      </c>
      <c r="Q11822" s="5" t="s">
        <v>355</v>
      </c>
    </row>
    <row r="11823" ht="16.5" customHeight="1">
      <c r="O11823" s="5" t="s">
        <v>355</v>
      </c>
      <c r="P11823" s="5" t="s">
        <v>355</v>
      </c>
      <c r="Q11823" s="5" t="s">
        <v>355</v>
      </c>
    </row>
    <row r="11824" ht="16.5" customHeight="1">
      <c r="O11824" s="5" t="s">
        <v>355</v>
      </c>
      <c r="P11824" s="5" t="s">
        <v>355</v>
      </c>
      <c r="Q11824" s="5" t="s">
        <v>355</v>
      </c>
    </row>
    <row r="11825" ht="16.5" customHeight="1">
      <c r="O11825" s="5" t="s">
        <v>355</v>
      </c>
      <c r="P11825" s="5" t="s">
        <v>355</v>
      </c>
      <c r="Q11825" s="5" t="s">
        <v>355</v>
      </c>
    </row>
    <row r="11826" ht="16.5" customHeight="1">
      <c r="O11826" s="5" t="s">
        <v>355</v>
      </c>
      <c r="P11826" s="5" t="s">
        <v>355</v>
      </c>
      <c r="Q11826" s="5" t="s">
        <v>355</v>
      </c>
    </row>
    <row r="11827" ht="16.5" customHeight="1">
      <c r="O11827" s="5" t="s">
        <v>355</v>
      </c>
      <c r="P11827" s="5" t="s">
        <v>355</v>
      </c>
      <c r="Q11827" s="5" t="s">
        <v>355</v>
      </c>
    </row>
    <row r="11828" ht="16.5" customHeight="1">
      <c r="O11828" s="5" t="s">
        <v>355</v>
      </c>
      <c r="P11828" s="5" t="s">
        <v>355</v>
      </c>
      <c r="Q11828" s="5" t="s">
        <v>355</v>
      </c>
    </row>
    <row r="11829" ht="16.5" customHeight="1">
      <c r="O11829" s="5" t="s">
        <v>355</v>
      </c>
      <c r="P11829" s="5" t="s">
        <v>355</v>
      </c>
      <c r="Q11829" s="5" t="s">
        <v>355</v>
      </c>
    </row>
    <row r="11830" ht="16.5" customHeight="1">
      <c r="O11830" s="5" t="s">
        <v>355</v>
      </c>
      <c r="P11830" s="5" t="s">
        <v>355</v>
      </c>
      <c r="Q11830" s="5" t="s">
        <v>355</v>
      </c>
    </row>
    <row r="11831" ht="16.5" customHeight="1">
      <c r="O11831" s="5" t="s">
        <v>355</v>
      </c>
      <c r="P11831" s="5" t="s">
        <v>355</v>
      </c>
      <c r="Q11831" s="5" t="s">
        <v>355</v>
      </c>
    </row>
    <row r="11832" ht="16.5" customHeight="1">
      <c r="O11832" s="5" t="s">
        <v>355</v>
      </c>
      <c r="P11832" s="5" t="s">
        <v>355</v>
      </c>
      <c r="Q11832" s="5" t="s">
        <v>355</v>
      </c>
    </row>
    <row r="11833" ht="16.5" customHeight="1">
      <c r="O11833" s="5" t="s">
        <v>355</v>
      </c>
      <c r="P11833" s="5" t="s">
        <v>355</v>
      </c>
      <c r="Q11833" s="5" t="s">
        <v>355</v>
      </c>
    </row>
    <row r="11834" ht="16.5" customHeight="1">
      <c r="O11834" s="5" t="s">
        <v>355</v>
      </c>
      <c r="P11834" s="5" t="s">
        <v>355</v>
      </c>
      <c r="Q11834" s="5" t="s">
        <v>355</v>
      </c>
    </row>
    <row r="11835" ht="16.5" customHeight="1">
      <c r="O11835" s="5" t="s">
        <v>355</v>
      </c>
      <c r="P11835" s="5" t="s">
        <v>355</v>
      </c>
      <c r="Q11835" s="5" t="s">
        <v>355</v>
      </c>
    </row>
    <row r="11836" ht="16.5" customHeight="1">
      <c r="O11836" s="5" t="s">
        <v>355</v>
      </c>
      <c r="P11836" s="5" t="s">
        <v>355</v>
      </c>
      <c r="Q11836" s="5" t="s">
        <v>355</v>
      </c>
    </row>
    <row r="11837" ht="16.5" customHeight="1">
      <c r="O11837" s="5" t="s">
        <v>355</v>
      </c>
      <c r="P11837" s="5" t="s">
        <v>355</v>
      </c>
      <c r="Q11837" s="5" t="s">
        <v>355</v>
      </c>
    </row>
    <row r="11838" ht="16.5" customHeight="1">
      <c r="O11838" s="5" t="s">
        <v>355</v>
      </c>
      <c r="P11838" s="5" t="s">
        <v>355</v>
      </c>
      <c r="Q11838" s="5" t="s">
        <v>355</v>
      </c>
    </row>
    <row r="11839" ht="16.5" customHeight="1">
      <c r="O11839" s="5" t="s">
        <v>355</v>
      </c>
      <c r="P11839" s="5" t="s">
        <v>355</v>
      </c>
      <c r="Q11839" s="5" t="s">
        <v>355</v>
      </c>
    </row>
    <row r="11840" ht="16.5" customHeight="1">
      <c r="O11840" s="5" t="s">
        <v>355</v>
      </c>
      <c r="P11840" s="5" t="s">
        <v>355</v>
      </c>
      <c r="Q11840" s="5" t="s">
        <v>355</v>
      </c>
    </row>
    <row r="11841" ht="16.5" customHeight="1">
      <c r="O11841" s="5" t="s">
        <v>355</v>
      </c>
      <c r="P11841" s="5" t="s">
        <v>355</v>
      </c>
      <c r="Q11841" s="5" t="s">
        <v>355</v>
      </c>
    </row>
    <row r="11842" ht="16.5" customHeight="1">
      <c r="O11842" s="5" t="s">
        <v>355</v>
      </c>
      <c r="P11842" s="5" t="s">
        <v>355</v>
      </c>
      <c r="Q11842" s="5" t="s">
        <v>355</v>
      </c>
    </row>
    <row r="11843" ht="16.5" customHeight="1">
      <c r="O11843" s="5" t="s">
        <v>355</v>
      </c>
      <c r="P11843" s="5" t="s">
        <v>355</v>
      </c>
      <c r="Q11843" s="5" t="s">
        <v>355</v>
      </c>
    </row>
    <row r="11844" ht="16.5" customHeight="1">
      <c r="O11844" s="5" t="s">
        <v>355</v>
      </c>
      <c r="P11844" s="5" t="s">
        <v>355</v>
      </c>
      <c r="Q11844" s="5" t="s">
        <v>355</v>
      </c>
    </row>
    <row r="11845" ht="16.5" customHeight="1">
      <c r="O11845" s="5" t="s">
        <v>355</v>
      </c>
      <c r="P11845" s="5" t="s">
        <v>355</v>
      </c>
      <c r="Q11845" s="5" t="s">
        <v>355</v>
      </c>
    </row>
    <row r="11846" ht="16.5" customHeight="1">
      <c r="O11846" s="5" t="s">
        <v>355</v>
      </c>
      <c r="P11846" s="5" t="s">
        <v>355</v>
      </c>
      <c r="Q11846" s="5" t="s">
        <v>355</v>
      </c>
    </row>
    <row r="11847" ht="16.5" customHeight="1">
      <c r="O11847" s="5" t="s">
        <v>355</v>
      </c>
      <c r="P11847" s="5" t="s">
        <v>355</v>
      </c>
      <c r="Q11847" s="5" t="s">
        <v>355</v>
      </c>
    </row>
    <row r="11848" ht="16.5" customHeight="1">
      <c r="O11848" s="5" t="s">
        <v>355</v>
      </c>
      <c r="P11848" s="5" t="s">
        <v>355</v>
      </c>
      <c r="Q11848" s="5" t="s">
        <v>355</v>
      </c>
    </row>
    <row r="11849" ht="16.5" customHeight="1">
      <c r="O11849" s="5" t="s">
        <v>355</v>
      </c>
      <c r="P11849" s="5" t="s">
        <v>355</v>
      </c>
      <c r="Q11849" s="5" t="s">
        <v>355</v>
      </c>
    </row>
    <row r="11850" ht="16.5" customHeight="1">
      <c r="O11850" s="5" t="s">
        <v>355</v>
      </c>
      <c r="P11850" s="5" t="s">
        <v>355</v>
      </c>
      <c r="Q11850" s="5" t="s">
        <v>355</v>
      </c>
    </row>
    <row r="11851" ht="16.5" customHeight="1">
      <c r="O11851" s="5" t="s">
        <v>355</v>
      </c>
      <c r="P11851" s="5" t="s">
        <v>355</v>
      </c>
      <c r="Q11851" s="5" t="s">
        <v>355</v>
      </c>
    </row>
    <row r="11852" ht="16.5" customHeight="1">
      <c r="O11852" s="5" t="s">
        <v>355</v>
      </c>
      <c r="P11852" s="5" t="s">
        <v>355</v>
      </c>
      <c r="Q11852" s="5" t="s">
        <v>355</v>
      </c>
    </row>
    <row r="11853" ht="16.5" customHeight="1">
      <c r="O11853" s="5" t="s">
        <v>355</v>
      </c>
      <c r="P11853" s="5" t="s">
        <v>355</v>
      </c>
      <c r="Q11853" s="5" t="s">
        <v>355</v>
      </c>
    </row>
    <row r="11854" ht="16.5" customHeight="1">
      <c r="O11854" s="5" t="s">
        <v>355</v>
      </c>
      <c r="P11854" s="5" t="s">
        <v>355</v>
      </c>
      <c r="Q11854" s="5" t="s">
        <v>355</v>
      </c>
    </row>
    <row r="11855" ht="16.5" customHeight="1">
      <c r="O11855" s="5" t="s">
        <v>355</v>
      </c>
      <c r="P11855" s="5" t="s">
        <v>355</v>
      </c>
      <c r="Q11855" s="5" t="s">
        <v>355</v>
      </c>
    </row>
    <row r="11856" ht="16.5" customHeight="1">
      <c r="O11856" s="5" t="s">
        <v>355</v>
      </c>
      <c r="P11856" s="5" t="s">
        <v>355</v>
      </c>
      <c r="Q11856" s="5" t="s">
        <v>355</v>
      </c>
    </row>
    <row r="11857" ht="16.5" customHeight="1">
      <c r="O11857" s="5" t="s">
        <v>355</v>
      </c>
      <c r="P11857" s="5" t="s">
        <v>355</v>
      </c>
      <c r="Q11857" s="5" t="s">
        <v>355</v>
      </c>
    </row>
    <row r="11858" ht="16.5" customHeight="1">
      <c r="O11858" s="5" t="s">
        <v>355</v>
      </c>
      <c r="P11858" s="5" t="s">
        <v>355</v>
      </c>
      <c r="Q11858" s="5" t="s">
        <v>355</v>
      </c>
    </row>
    <row r="11859" ht="16.5" customHeight="1">
      <c r="O11859" s="5" t="s">
        <v>355</v>
      </c>
      <c r="P11859" s="5" t="s">
        <v>355</v>
      </c>
      <c r="Q11859" s="5" t="s">
        <v>355</v>
      </c>
    </row>
    <row r="11860" ht="16.5" customHeight="1">
      <c r="O11860" s="5" t="s">
        <v>355</v>
      </c>
      <c r="P11860" s="5" t="s">
        <v>355</v>
      </c>
      <c r="Q11860" s="5" t="s">
        <v>355</v>
      </c>
    </row>
    <row r="11861" ht="16.5" customHeight="1">
      <c r="O11861" s="5" t="s">
        <v>355</v>
      </c>
      <c r="P11861" s="5" t="s">
        <v>355</v>
      </c>
      <c r="Q11861" s="5" t="s">
        <v>355</v>
      </c>
    </row>
    <row r="11862" ht="16.5" customHeight="1">
      <c r="O11862" s="5" t="s">
        <v>355</v>
      </c>
      <c r="P11862" s="5" t="s">
        <v>355</v>
      </c>
      <c r="Q11862" s="5" t="s">
        <v>355</v>
      </c>
    </row>
    <row r="11863" ht="16.5" customHeight="1">
      <c r="O11863" s="5" t="s">
        <v>355</v>
      </c>
      <c r="P11863" s="5" t="s">
        <v>355</v>
      </c>
      <c r="Q11863" s="5" t="s">
        <v>355</v>
      </c>
    </row>
    <row r="11864" ht="16.5" customHeight="1">
      <c r="O11864" s="5" t="s">
        <v>355</v>
      </c>
      <c r="P11864" s="5" t="s">
        <v>355</v>
      </c>
      <c r="Q11864" s="5" t="s">
        <v>355</v>
      </c>
    </row>
    <row r="11865" ht="16.5" customHeight="1">
      <c r="O11865" s="5" t="s">
        <v>355</v>
      </c>
      <c r="P11865" s="5" t="s">
        <v>355</v>
      </c>
      <c r="Q11865" s="5" t="s">
        <v>355</v>
      </c>
    </row>
    <row r="11866" ht="16.5" customHeight="1">
      <c r="O11866" s="5" t="s">
        <v>355</v>
      </c>
      <c r="P11866" s="5" t="s">
        <v>355</v>
      </c>
      <c r="Q11866" s="5" t="s">
        <v>355</v>
      </c>
    </row>
    <row r="11867" ht="16.5" customHeight="1">
      <c r="O11867" s="5" t="s">
        <v>355</v>
      </c>
      <c r="P11867" s="5" t="s">
        <v>355</v>
      </c>
      <c r="Q11867" s="5" t="s">
        <v>355</v>
      </c>
    </row>
    <row r="11868" ht="16.5" customHeight="1">
      <c r="O11868" s="5" t="s">
        <v>355</v>
      </c>
      <c r="P11868" s="5" t="s">
        <v>355</v>
      </c>
      <c r="Q11868" s="5" t="s">
        <v>355</v>
      </c>
    </row>
    <row r="11869" ht="16.5" customHeight="1">
      <c r="O11869" s="5" t="s">
        <v>355</v>
      </c>
      <c r="P11869" s="5" t="s">
        <v>355</v>
      </c>
      <c r="Q11869" s="5" t="s">
        <v>355</v>
      </c>
    </row>
    <row r="11870" ht="16.5" customHeight="1">
      <c r="O11870" s="5" t="s">
        <v>355</v>
      </c>
      <c r="P11870" s="5" t="s">
        <v>355</v>
      </c>
      <c r="Q11870" s="5" t="s">
        <v>355</v>
      </c>
    </row>
    <row r="11871" ht="16.5" customHeight="1">
      <c r="O11871" s="5" t="s">
        <v>355</v>
      </c>
      <c r="P11871" s="5" t="s">
        <v>355</v>
      </c>
      <c r="Q11871" s="5" t="s">
        <v>355</v>
      </c>
    </row>
    <row r="11872" ht="16.5" customHeight="1">
      <c r="O11872" s="5" t="s">
        <v>355</v>
      </c>
      <c r="P11872" s="5" t="s">
        <v>355</v>
      </c>
      <c r="Q11872" s="5" t="s">
        <v>355</v>
      </c>
    </row>
    <row r="11873" ht="16.5" customHeight="1">
      <c r="O11873" s="5" t="s">
        <v>355</v>
      </c>
      <c r="P11873" s="5" t="s">
        <v>355</v>
      </c>
      <c r="Q11873" s="5" t="s">
        <v>355</v>
      </c>
    </row>
    <row r="11874" ht="16.5" customHeight="1">
      <c r="O11874" s="5" t="s">
        <v>355</v>
      </c>
      <c r="P11874" s="5" t="s">
        <v>355</v>
      </c>
      <c r="Q11874" s="5" t="s">
        <v>355</v>
      </c>
    </row>
    <row r="11875" ht="16.5" customHeight="1">
      <c r="O11875" s="5" t="s">
        <v>355</v>
      </c>
      <c r="P11875" s="5" t="s">
        <v>355</v>
      </c>
      <c r="Q11875" s="5" t="s">
        <v>355</v>
      </c>
    </row>
    <row r="11876" ht="16.5" customHeight="1">
      <c r="O11876" s="5" t="s">
        <v>355</v>
      </c>
      <c r="P11876" s="5" t="s">
        <v>355</v>
      </c>
      <c r="Q11876" s="5" t="s">
        <v>355</v>
      </c>
    </row>
    <row r="11877" ht="16.5" customHeight="1">
      <c r="O11877" s="5" t="s">
        <v>355</v>
      </c>
      <c r="P11877" s="5" t="s">
        <v>355</v>
      </c>
      <c r="Q11877" s="5" t="s">
        <v>355</v>
      </c>
    </row>
    <row r="11878" ht="16.5" customHeight="1">
      <c r="O11878" s="5" t="s">
        <v>355</v>
      </c>
      <c r="P11878" s="5" t="s">
        <v>355</v>
      </c>
      <c r="Q11878" s="5" t="s">
        <v>355</v>
      </c>
    </row>
    <row r="11879" ht="16.5" customHeight="1">
      <c r="O11879" s="5" t="s">
        <v>355</v>
      </c>
      <c r="P11879" s="5" t="s">
        <v>355</v>
      </c>
      <c r="Q11879" s="5" t="s">
        <v>355</v>
      </c>
    </row>
    <row r="11880" ht="16.5" customHeight="1">
      <c r="O11880" s="5" t="s">
        <v>355</v>
      </c>
      <c r="P11880" s="5" t="s">
        <v>355</v>
      </c>
      <c r="Q11880" s="5" t="s">
        <v>355</v>
      </c>
    </row>
    <row r="11881" ht="16.5" customHeight="1">
      <c r="O11881" s="5" t="s">
        <v>355</v>
      </c>
      <c r="P11881" s="5" t="s">
        <v>355</v>
      </c>
      <c r="Q11881" s="5" t="s">
        <v>355</v>
      </c>
    </row>
    <row r="11882" ht="16.5" customHeight="1">
      <c r="O11882" s="5" t="s">
        <v>355</v>
      </c>
      <c r="P11882" s="5" t="s">
        <v>355</v>
      </c>
      <c r="Q11882" s="5" t="s">
        <v>355</v>
      </c>
    </row>
    <row r="11883" ht="16.5" customHeight="1">
      <c r="O11883" s="5" t="s">
        <v>355</v>
      </c>
      <c r="P11883" s="5" t="s">
        <v>355</v>
      </c>
      <c r="Q11883" s="5" t="s">
        <v>355</v>
      </c>
    </row>
    <row r="11884" ht="16.5" customHeight="1">
      <c r="O11884" s="5" t="s">
        <v>355</v>
      </c>
      <c r="P11884" s="5" t="s">
        <v>355</v>
      </c>
      <c r="Q11884" s="5" t="s">
        <v>355</v>
      </c>
    </row>
    <row r="11885" ht="16.5" customHeight="1">
      <c r="O11885" s="5" t="s">
        <v>355</v>
      </c>
      <c r="P11885" s="5" t="s">
        <v>355</v>
      </c>
      <c r="Q11885" s="5" t="s">
        <v>355</v>
      </c>
    </row>
    <row r="11886" ht="16.5" customHeight="1">
      <c r="O11886" s="5" t="s">
        <v>355</v>
      </c>
      <c r="P11886" s="5" t="s">
        <v>355</v>
      </c>
      <c r="Q11886" s="5" t="s">
        <v>355</v>
      </c>
    </row>
    <row r="11887" ht="16.5" customHeight="1">
      <c r="O11887" s="5" t="s">
        <v>355</v>
      </c>
      <c r="P11887" s="5" t="s">
        <v>355</v>
      </c>
      <c r="Q11887" s="5" t="s">
        <v>355</v>
      </c>
    </row>
    <row r="11888" ht="16.5" customHeight="1">
      <c r="O11888" s="5" t="s">
        <v>355</v>
      </c>
      <c r="P11888" s="5" t="s">
        <v>355</v>
      </c>
      <c r="Q11888" s="5" t="s">
        <v>355</v>
      </c>
    </row>
    <row r="11889" ht="16.5" customHeight="1">
      <c r="O11889" s="5" t="s">
        <v>355</v>
      </c>
      <c r="P11889" s="5" t="s">
        <v>355</v>
      </c>
      <c r="Q11889" s="5" t="s">
        <v>355</v>
      </c>
    </row>
    <row r="11890" ht="16.5" customHeight="1">
      <c r="O11890" s="5" t="s">
        <v>355</v>
      </c>
      <c r="P11890" s="5" t="s">
        <v>355</v>
      </c>
      <c r="Q11890" s="5" t="s">
        <v>355</v>
      </c>
    </row>
    <row r="11891" ht="16.5" customHeight="1">
      <c r="O11891" s="5" t="s">
        <v>355</v>
      </c>
      <c r="P11891" s="5" t="s">
        <v>355</v>
      </c>
      <c r="Q11891" s="5" t="s">
        <v>355</v>
      </c>
    </row>
    <row r="11892" ht="16.5" customHeight="1">
      <c r="O11892" s="5" t="s">
        <v>355</v>
      </c>
      <c r="P11892" s="5" t="s">
        <v>355</v>
      </c>
      <c r="Q11892" s="5" t="s">
        <v>355</v>
      </c>
    </row>
    <row r="11893" ht="16.5" customHeight="1">
      <c r="O11893" s="5" t="s">
        <v>355</v>
      </c>
      <c r="P11893" s="5" t="s">
        <v>355</v>
      </c>
      <c r="Q11893" s="5" t="s">
        <v>355</v>
      </c>
    </row>
    <row r="11894" ht="16.5" customHeight="1">
      <c r="O11894" s="5" t="s">
        <v>355</v>
      </c>
      <c r="P11894" s="5" t="s">
        <v>355</v>
      </c>
      <c r="Q11894" s="5" t="s">
        <v>355</v>
      </c>
    </row>
    <row r="11895" ht="16.5" customHeight="1">
      <c r="O11895" s="5" t="s">
        <v>355</v>
      </c>
      <c r="P11895" s="5" t="s">
        <v>355</v>
      </c>
      <c r="Q11895" s="5" t="s">
        <v>355</v>
      </c>
    </row>
    <row r="11896" ht="16.5" customHeight="1">
      <c r="O11896" s="5" t="s">
        <v>355</v>
      </c>
      <c r="P11896" s="5" t="s">
        <v>355</v>
      </c>
      <c r="Q11896" s="5" t="s">
        <v>355</v>
      </c>
    </row>
    <row r="11897" ht="16.5" customHeight="1">
      <c r="O11897" s="5" t="s">
        <v>355</v>
      </c>
      <c r="P11897" s="5" t="s">
        <v>355</v>
      </c>
      <c r="Q11897" s="5" t="s">
        <v>355</v>
      </c>
    </row>
    <row r="11898" ht="16.5" customHeight="1">
      <c r="O11898" s="5" t="s">
        <v>355</v>
      </c>
      <c r="P11898" s="5" t="s">
        <v>355</v>
      </c>
      <c r="Q11898" s="5" t="s">
        <v>355</v>
      </c>
    </row>
    <row r="11899" ht="16.5" customHeight="1">
      <c r="O11899" s="5" t="s">
        <v>355</v>
      </c>
      <c r="P11899" s="5" t="s">
        <v>355</v>
      </c>
      <c r="Q11899" s="5" t="s">
        <v>355</v>
      </c>
    </row>
    <row r="11900" ht="16.5" customHeight="1">
      <c r="O11900" s="5" t="s">
        <v>355</v>
      </c>
      <c r="P11900" s="5" t="s">
        <v>355</v>
      </c>
      <c r="Q11900" s="5" t="s">
        <v>355</v>
      </c>
    </row>
    <row r="11901" ht="16.5" customHeight="1">
      <c r="O11901" s="5" t="s">
        <v>355</v>
      </c>
      <c r="P11901" s="5" t="s">
        <v>355</v>
      </c>
      <c r="Q11901" s="5" t="s">
        <v>355</v>
      </c>
    </row>
    <row r="11902" ht="16.5" customHeight="1">
      <c r="O11902" s="5" t="s">
        <v>355</v>
      </c>
      <c r="P11902" s="5" t="s">
        <v>355</v>
      </c>
      <c r="Q11902" s="5" t="s">
        <v>355</v>
      </c>
    </row>
    <row r="11903" ht="16.5" customHeight="1">
      <c r="O11903" s="5" t="s">
        <v>355</v>
      </c>
      <c r="P11903" s="5" t="s">
        <v>355</v>
      </c>
      <c r="Q11903" s="5" t="s">
        <v>355</v>
      </c>
    </row>
    <row r="11904" ht="16.5" customHeight="1">
      <c r="O11904" s="5" t="s">
        <v>355</v>
      </c>
      <c r="P11904" s="5" t="s">
        <v>355</v>
      </c>
      <c r="Q11904" s="5" t="s">
        <v>355</v>
      </c>
    </row>
    <row r="11905" ht="16.5" customHeight="1">
      <c r="O11905" s="5" t="s">
        <v>355</v>
      </c>
      <c r="P11905" s="5" t="s">
        <v>355</v>
      </c>
      <c r="Q11905" s="5" t="s">
        <v>355</v>
      </c>
    </row>
    <row r="11906" ht="16.5" customHeight="1">
      <c r="O11906" s="5" t="s">
        <v>355</v>
      </c>
      <c r="P11906" s="5" t="s">
        <v>355</v>
      </c>
      <c r="Q11906" s="5" t="s">
        <v>355</v>
      </c>
    </row>
    <row r="11907" ht="16.5" customHeight="1">
      <c r="O11907" s="5" t="s">
        <v>355</v>
      </c>
      <c r="P11907" s="5" t="s">
        <v>355</v>
      </c>
      <c r="Q11907" s="5" t="s">
        <v>355</v>
      </c>
    </row>
    <row r="11908" ht="16.5" customHeight="1">
      <c r="O11908" s="5" t="s">
        <v>355</v>
      </c>
      <c r="P11908" s="5" t="s">
        <v>355</v>
      </c>
      <c r="Q11908" s="5" t="s">
        <v>355</v>
      </c>
    </row>
    <row r="11909" ht="16.5" customHeight="1">
      <c r="O11909" s="5" t="s">
        <v>355</v>
      </c>
      <c r="P11909" s="5" t="s">
        <v>355</v>
      </c>
      <c r="Q11909" s="5" t="s">
        <v>355</v>
      </c>
    </row>
    <row r="11910" ht="16.5" customHeight="1">
      <c r="O11910" s="5" t="s">
        <v>355</v>
      </c>
      <c r="P11910" s="5" t="s">
        <v>355</v>
      </c>
      <c r="Q11910" s="5" t="s">
        <v>355</v>
      </c>
    </row>
    <row r="11911" ht="16.5" customHeight="1">
      <c r="O11911" s="5" t="s">
        <v>355</v>
      </c>
      <c r="P11911" s="5" t="s">
        <v>355</v>
      </c>
      <c r="Q11911" s="5" t="s">
        <v>355</v>
      </c>
    </row>
    <row r="11912" ht="16.5" customHeight="1">
      <c r="O11912" s="5" t="s">
        <v>355</v>
      </c>
      <c r="P11912" s="5" t="s">
        <v>355</v>
      </c>
      <c r="Q11912" s="5" t="s">
        <v>355</v>
      </c>
    </row>
    <row r="11913" ht="16.5" customHeight="1">
      <c r="O11913" s="5" t="s">
        <v>355</v>
      </c>
      <c r="P11913" s="5" t="s">
        <v>355</v>
      </c>
      <c r="Q11913" s="5" t="s">
        <v>355</v>
      </c>
    </row>
    <row r="11914" ht="16.5" customHeight="1">
      <c r="O11914" s="5" t="s">
        <v>355</v>
      </c>
      <c r="P11914" s="5" t="s">
        <v>355</v>
      </c>
      <c r="Q11914" s="5" t="s">
        <v>355</v>
      </c>
    </row>
    <row r="11915" ht="16.5" customHeight="1">
      <c r="O11915" s="5" t="s">
        <v>355</v>
      </c>
      <c r="P11915" s="5" t="s">
        <v>355</v>
      </c>
      <c r="Q11915" s="5" t="s">
        <v>355</v>
      </c>
    </row>
    <row r="11916" ht="16.5" customHeight="1">
      <c r="O11916" s="5" t="s">
        <v>355</v>
      </c>
      <c r="P11916" s="5" t="s">
        <v>355</v>
      </c>
      <c r="Q11916" s="5" t="s">
        <v>355</v>
      </c>
    </row>
    <row r="11917" ht="16.5" customHeight="1">
      <c r="O11917" s="5" t="s">
        <v>355</v>
      </c>
      <c r="P11917" s="5" t="s">
        <v>355</v>
      </c>
      <c r="Q11917" s="5" t="s">
        <v>355</v>
      </c>
    </row>
    <row r="11918" ht="16.5" customHeight="1">
      <c r="O11918" s="5" t="s">
        <v>355</v>
      </c>
      <c r="P11918" s="5" t="s">
        <v>355</v>
      </c>
      <c r="Q11918" s="5" t="s">
        <v>355</v>
      </c>
    </row>
    <row r="11919" ht="16.5" customHeight="1">
      <c r="O11919" s="5" t="s">
        <v>355</v>
      </c>
      <c r="P11919" s="5" t="s">
        <v>355</v>
      </c>
      <c r="Q11919" s="5" t="s">
        <v>355</v>
      </c>
    </row>
    <row r="11920" ht="16.5" customHeight="1">
      <c r="O11920" s="5" t="s">
        <v>355</v>
      </c>
      <c r="P11920" s="5" t="s">
        <v>355</v>
      </c>
      <c r="Q11920" s="5" t="s">
        <v>355</v>
      </c>
    </row>
    <row r="11921" ht="16.5" customHeight="1">
      <c r="O11921" s="5" t="s">
        <v>355</v>
      </c>
      <c r="P11921" s="5" t="s">
        <v>355</v>
      </c>
      <c r="Q11921" s="5" t="s">
        <v>355</v>
      </c>
    </row>
    <row r="11922" ht="16.5" customHeight="1">
      <c r="O11922" s="5" t="s">
        <v>355</v>
      </c>
      <c r="P11922" s="5" t="s">
        <v>355</v>
      </c>
      <c r="Q11922" s="5" t="s">
        <v>355</v>
      </c>
    </row>
    <row r="11923" ht="16.5" customHeight="1">
      <c r="O11923" s="5" t="s">
        <v>355</v>
      </c>
      <c r="P11923" s="5" t="s">
        <v>355</v>
      </c>
      <c r="Q11923" s="5" t="s">
        <v>355</v>
      </c>
    </row>
    <row r="11924" ht="16.5" customHeight="1">
      <c r="O11924" s="5" t="s">
        <v>355</v>
      </c>
      <c r="P11924" s="5" t="s">
        <v>355</v>
      </c>
      <c r="Q11924" s="5" t="s">
        <v>355</v>
      </c>
    </row>
    <row r="11925" ht="16.5" customHeight="1">
      <c r="O11925" s="5" t="s">
        <v>355</v>
      </c>
      <c r="P11925" s="5" t="s">
        <v>355</v>
      </c>
      <c r="Q11925" s="5" t="s">
        <v>355</v>
      </c>
    </row>
    <row r="11926" ht="16.5" customHeight="1">
      <c r="O11926" s="5" t="s">
        <v>355</v>
      </c>
      <c r="P11926" s="5" t="s">
        <v>355</v>
      </c>
      <c r="Q11926" s="5" t="s">
        <v>355</v>
      </c>
    </row>
    <row r="11927" ht="16.5" customHeight="1">
      <c r="O11927" s="5" t="s">
        <v>355</v>
      </c>
      <c r="P11927" s="5" t="s">
        <v>355</v>
      </c>
      <c r="Q11927" s="5" t="s">
        <v>355</v>
      </c>
    </row>
    <row r="11928" ht="16.5" customHeight="1">
      <c r="O11928" s="5" t="s">
        <v>355</v>
      </c>
      <c r="P11928" s="5" t="s">
        <v>355</v>
      </c>
      <c r="Q11928" s="5" t="s">
        <v>355</v>
      </c>
    </row>
    <row r="11929" ht="16.5" customHeight="1">
      <c r="O11929" s="5" t="s">
        <v>355</v>
      </c>
      <c r="P11929" s="5" t="s">
        <v>355</v>
      </c>
      <c r="Q11929" s="5" t="s">
        <v>355</v>
      </c>
    </row>
    <row r="11930" ht="16.5" customHeight="1">
      <c r="O11930" s="5" t="s">
        <v>355</v>
      </c>
      <c r="P11930" s="5" t="s">
        <v>355</v>
      </c>
      <c r="Q11930" s="5" t="s">
        <v>355</v>
      </c>
    </row>
    <row r="11931" ht="16.5" customHeight="1">
      <c r="O11931" s="5" t="s">
        <v>355</v>
      </c>
      <c r="P11931" s="5" t="s">
        <v>355</v>
      </c>
      <c r="Q11931" s="5" t="s">
        <v>355</v>
      </c>
    </row>
    <row r="11932" ht="16.5" customHeight="1">
      <c r="O11932" s="5" t="s">
        <v>355</v>
      </c>
      <c r="P11932" s="5" t="s">
        <v>355</v>
      </c>
      <c r="Q11932" s="5" t="s">
        <v>355</v>
      </c>
    </row>
    <row r="11933" ht="16.5" customHeight="1">
      <c r="O11933" s="5" t="s">
        <v>355</v>
      </c>
      <c r="P11933" s="5" t="s">
        <v>355</v>
      </c>
      <c r="Q11933" s="5" t="s">
        <v>355</v>
      </c>
    </row>
    <row r="11934" ht="16.5" customHeight="1">
      <c r="O11934" s="5" t="s">
        <v>355</v>
      </c>
      <c r="P11934" s="5" t="s">
        <v>355</v>
      </c>
      <c r="Q11934" s="5" t="s">
        <v>355</v>
      </c>
    </row>
    <row r="11935" ht="16.5" customHeight="1">
      <c r="O11935" s="5" t="s">
        <v>355</v>
      </c>
      <c r="P11935" s="5" t="s">
        <v>355</v>
      </c>
      <c r="Q11935" s="5" t="s">
        <v>355</v>
      </c>
    </row>
    <row r="11936" ht="16.5" customHeight="1">
      <c r="O11936" s="5" t="s">
        <v>355</v>
      </c>
      <c r="P11936" s="5" t="s">
        <v>355</v>
      </c>
      <c r="Q11936" s="5" t="s">
        <v>355</v>
      </c>
    </row>
    <row r="11937" ht="16.5" customHeight="1">
      <c r="O11937" s="5" t="s">
        <v>355</v>
      </c>
      <c r="P11937" s="5" t="s">
        <v>355</v>
      </c>
      <c r="Q11937" s="5" t="s">
        <v>355</v>
      </c>
    </row>
    <row r="11938" ht="16.5" customHeight="1">
      <c r="O11938" s="5" t="s">
        <v>355</v>
      </c>
      <c r="P11938" s="5" t="s">
        <v>355</v>
      </c>
      <c r="Q11938" s="5" t="s">
        <v>355</v>
      </c>
    </row>
    <row r="11939" ht="16.5" customHeight="1">
      <c r="O11939" s="5" t="s">
        <v>355</v>
      </c>
      <c r="P11939" s="5" t="s">
        <v>355</v>
      </c>
      <c r="Q11939" s="5" t="s">
        <v>355</v>
      </c>
    </row>
    <row r="11940" ht="16.5" customHeight="1">
      <c r="O11940" s="5" t="s">
        <v>355</v>
      </c>
      <c r="P11940" s="5" t="s">
        <v>355</v>
      </c>
      <c r="Q11940" s="5" t="s">
        <v>355</v>
      </c>
    </row>
    <row r="11941" ht="16.5" customHeight="1">
      <c r="O11941" s="5" t="s">
        <v>355</v>
      </c>
      <c r="P11941" s="5" t="s">
        <v>355</v>
      </c>
      <c r="Q11941" s="5" t="s">
        <v>355</v>
      </c>
    </row>
    <row r="11942" ht="16.5" customHeight="1">
      <c r="O11942" s="5" t="s">
        <v>355</v>
      </c>
      <c r="P11942" s="5" t="s">
        <v>355</v>
      </c>
      <c r="Q11942" s="5" t="s">
        <v>355</v>
      </c>
    </row>
    <row r="11943" ht="16.5" customHeight="1">
      <c r="O11943" s="5" t="s">
        <v>355</v>
      </c>
      <c r="P11943" s="5" t="s">
        <v>355</v>
      </c>
      <c r="Q11943" s="5" t="s">
        <v>355</v>
      </c>
    </row>
    <row r="11944" ht="16.5" customHeight="1">
      <c r="O11944" s="5" t="s">
        <v>355</v>
      </c>
      <c r="P11944" s="5" t="s">
        <v>355</v>
      </c>
      <c r="Q11944" s="5" t="s">
        <v>355</v>
      </c>
    </row>
    <row r="11945" ht="16.5" customHeight="1">
      <c r="O11945" s="5" t="s">
        <v>355</v>
      </c>
      <c r="P11945" s="5" t="s">
        <v>355</v>
      </c>
      <c r="Q11945" s="5" t="s">
        <v>355</v>
      </c>
    </row>
    <row r="11946" ht="16.5" customHeight="1">
      <c r="O11946" s="5" t="s">
        <v>355</v>
      </c>
      <c r="P11946" s="5" t="s">
        <v>355</v>
      </c>
      <c r="Q11946" s="5" t="s">
        <v>355</v>
      </c>
    </row>
    <row r="11947" ht="16.5" customHeight="1">
      <c r="O11947" s="5" t="s">
        <v>355</v>
      </c>
      <c r="P11947" s="5" t="s">
        <v>355</v>
      </c>
      <c r="Q11947" s="5" t="s">
        <v>355</v>
      </c>
    </row>
    <row r="11948" ht="16.5" customHeight="1">
      <c r="O11948" s="5" t="s">
        <v>355</v>
      </c>
      <c r="P11948" s="5" t="s">
        <v>355</v>
      </c>
      <c r="Q11948" s="5" t="s">
        <v>355</v>
      </c>
    </row>
    <row r="11949" ht="16.5" customHeight="1">
      <c r="O11949" s="5" t="s">
        <v>355</v>
      </c>
      <c r="P11949" s="5" t="s">
        <v>355</v>
      </c>
      <c r="Q11949" s="5" t="s">
        <v>355</v>
      </c>
    </row>
    <row r="11950" ht="16.5" customHeight="1">
      <c r="O11950" s="5" t="s">
        <v>355</v>
      </c>
      <c r="P11950" s="5" t="s">
        <v>355</v>
      </c>
      <c r="Q11950" s="5" t="s">
        <v>355</v>
      </c>
    </row>
    <row r="11951" ht="16.5" customHeight="1">
      <c r="O11951" s="5" t="s">
        <v>355</v>
      </c>
      <c r="P11951" s="5" t="s">
        <v>355</v>
      </c>
      <c r="Q11951" s="5" t="s">
        <v>355</v>
      </c>
    </row>
    <row r="11952" ht="16.5" customHeight="1">
      <c r="O11952" s="5" t="s">
        <v>355</v>
      </c>
      <c r="P11952" s="5" t="s">
        <v>355</v>
      </c>
      <c r="Q11952" s="5" t="s">
        <v>355</v>
      </c>
    </row>
    <row r="11953" ht="16.5" customHeight="1">
      <c r="O11953" s="5" t="s">
        <v>355</v>
      </c>
      <c r="P11953" s="5" t="s">
        <v>355</v>
      </c>
      <c r="Q11953" s="5" t="s">
        <v>355</v>
      </c>
    </row>
    <row r="11954" ht="16.5" customHeight="1">
      <c r="O11954" s="5" t="s">
        <v>355</v>
      </c>
      <c r="P11954" s="5" t="s">
        <v>355</v>
      </c>
      <c r="Q11954" s="5" t="s">
        <v>355</v>
      </c>
    </row>
    <row r="11955" ht="16.5" customHeight="1">
      <c r="O11955" s="5" t="s">
        <v>355</v>
      </c>
      <c r="P11955" s="5" t="s">
        <v>355</v>
      </c>
      <c r="Q11955" s="5" t="s">
        <v>355</v>
      </c>
    </row>
    <row r="11956" ht="16.5" customHeight="1">
      <c r="O11956" s="5" t="s">
        <v>355</v>
      </c>
      <c r="P11956" s="5" t="s">
        <v>355</v>
      </c>
      <c r="Q11956" s="5" t="s">
        <v>355</v>
      </c>
    </row>
    <row r="11957" ht="16.5" customHeight="1">
      <c r="O11957" s="5" t="s">
        <v>355</v>
      </c>
      <c r="P11957" s="5" t="s">
        <v>355</v>
      </c>
      <c r="Q11957" s="5" t="s">
        <v>355</v>
      </c>
    </row>
    <row r="11958" ht="16.5" customHeight="1">
      <c r="O11958" s="5" t="s">
        <v>355</v>
      </c>
      <c r="P11958" s="5" t="s">
        <v>355</v>
      </c>
      <c r="Q11958" s="5" t="s">
        <v>355</v>
      </c>
    </row>
    <row r="11959" ht="16.5" customHeight="1">
      <c r="O11959" s="5" t="s">
        <v>355</v>
      </c>
      <c r="P11959" s="5" t="s">
        <v>355</v>
      </c>
      <c r="Q11959" s="5" t="s">
        <v>355</v>
      </c>
    </row>
    <row r="11960" ht="16.5" customHeight="1">
      <c r="O11960" s="5" t="s">
        <v>355</v>
      </c>
      <c r="P11960" s="5" t="s">
        <v>355</v>
      </c>
      <c r="Q11960" s="5" t="s">
        <v>355</v>
      </c>
    </row>
    <row r="11961" ht="16.5" customHeight="1">
      <c r="O11961" s="5" t="s">
        <v>355</v>
      </c>
      <c r="P11961" s="5" t="s">
        <v>355</v>
      </c>
      <c r="Q11961" s="5" t="s">
        <v>355</v>
      </c>
    </row>
    <row r="11962" ht="16.5" customHeight="1">
      <c r="O11962" s="5" t="s">
        <v>355</v>
      </c>
      <c r="P11962" s="5" t="s">
        <v>355</v>
      </c>
      <c r="Q11962" s="5" t="s">
        <v>355</v>
      </c>
    </row>
    <row r="11963" ht="16.5" customHeight="1">
      <c r="O11963" s="5" t="s">
        <v>355</v>
      </c>
      <c r="P11963" s="5" t="s">
        <v>355</v>
      </c>
      <c r="Q11963" s="5" t="s">
        <v>355</v>
      </c>
    </row>
    <row r="11964" ht="16.5" customHeight="1">
      <c r="O11964" s="5" t="s">
        <v>355</v>
      </c>
      <c r="P11964" s="5" t="s">
        <v>355</v>
      </c>
      <c r="Q11964" s="5" t="s">
        <v>355</v>
      </c>
    </row>
    <row r="11965" ht="16.5" customHeight="1">
      <c r="O11965" s="5" t="s">
        <v>355</v>
      </c>
      <c r="P11965" s="5" t="s">
        <v>355</v>
      </c>
      <c r="Q11965" s="5" t="s">
        <v>355</v>
      </c>
    </row>
    <row r="11966" ht="16.5" customHeight="1">
      <c r="O11966" s="5" t="s">
        <v>355</v>
      </c>
      <c r="P11966" s="5" t="s">
        <v>355</v>
      </c>
      <c r="Q11966" s="5" t="s">
        <v>355</v>
      </c>
    </row>
    <row r="11967" ht="16.5" customHeight="1">
      <c r="O11967" s="5" t="s">
        <v>355</v>
      </c>
      <c r="P11967" s="5" t="s">
        <v>355</v>
      </c>
      <c r="Q11967" s="5" t="s">
        <v>355</v>
      </c>
    </row>
    <row r="11968" ht="16.5" customHeight="1">
      <c r="O11968" s="5" t="s">
        <v>355</v>
      </c>
      <c r="P11968" s="5" t="s">
        <v>355</v>
      </c>
      <c r="Q11968" s="5" t="s">
        <v>355</v>
      </c>
    </row>
    <row r="11969" ht="16.5" customHeight="1">
      <c r="O11969" s="5" t="s">
        <v>355</v>
      </c>
      <c r="P11969" s="5" t="s">
        <v>355</v>
      </c>
      <c r="Q11969" s="5" t="s">
        <v>355</v>
      </c>
    </row>
    <row r="11970" ht="16.5" customHeight="1">
      <c r="O11970" s="5" t="s">
        <v>355</v>
      </c>
      <c r="P11970" s="5" t="s">
        <v>355</v>
      </c>
      <c r="Q11970" s="5" t="s">
        <v>355</v>
      </c>
    </row>
    <row r="11971" ht="16.5" customHeight="1">
      <c r="O11971" s="5" t="s">
        <v>355</v>
      </c>
      <c r="P11971" s="5" t="s">
        <v>355</v>
      </c>
      <c r="Q11971" s="5" t="s">
        <v>355</v>
      </c>
    </row>
    <row r="11972" ht="16.5" customHeight="1">
      <c r="O11972" s="5" t="s">
        <v>355</v>
      </c>
      <c r="P11972" s="5" t="s">
        <v>355</v>
      </c>
      <c r="Q11972" s="5" t="s">
        <v>355</v>
      </c>
    </row>
    <row r="11973" ht="16.5" customHeight="1">
      <c r="O11973" s="5" t="s">
        <v>355</v>
      </c>
      <c r="P11973" s="5" t="s">
        <v>355</v>
      </c>
      <c r="Q11973" s="5" t="s">
        <v>355</v>
      </c>
    </row>
    <row r="11974" ht="16.5" customHeight="1">
      <c r="O11974" s="5" t="s">
        <v>355</v>
      </c>
      <c r="P11974" s="5" t="s">
        <v>355</v>
      </c>
      <c r="Q11974" s="5" t="s">
        <v>355</v>
      </c>
    </row>
    <row r="11975" ht="16.5" customHeight="1">
      <c r="O11975" s="5" t="s">
        <v>355</v>
      </c>
      <c r="P11975" s="5" t="s">
        <v>355</v>
      </c>
      <c r="Q11975" s="5" t="s">
        <v>355</v>
      </c>
    </row>
    <row r="11976" ht="16.5" customHeight="1">
      <c r="O11976" s="5" t="s">
        <v>355</v>
      </c>
      <c r="P11976" s="5" t="s">
        <v>355</v>
      </c>
      <c r="Q11976" s="5" t="s">
        <v>355</v>
      </c>
    </row>
    <row r="11977" ht="16.5" customHeight="1">
      <c r="O11977" s="5" t="s">
        <v>355</v>
      </c>
      <c r="P11977" s="5" t="s">
        <v>355</v>
      </c>
      <c r="Q11977" s="5" t="s">
        <v>355</v>
      </c>
    </row>
    <row r="11978" ht="16.5" customHeight="1">
      <c r="O11978" s="5" t="s">
        <v>355</v>
      </c>
      <c r="P11978" s="5" t="s">
        <v>355</v>
      </c>
      <c r="Q11978" s="5" t="s">
        <v>355</v>
      </c>
    </row>
    <row r="11979" ht="16.5" customHeight="1">
      <c r="O11979" s="5" t="s">
        <v>355</v>
      </c>
      <c r="P11979" s="5" t="s">
        <v>355</v>
      </c>
      <c r="Q11979" s="5" t="s">
        <v>355</v>
      </c>
    </row>
    <row r="11980" ht="16.5" customHeight="1">
      <c r="O11980" s="5" t="s">
        <v>355</v>
      </c>
      <c r="P11980" s="5" t="s">
        <v>355</v>
      </c>
      <c r="Q11980" s="5" t="s">
        <v>355</v>
      </c>
    </row>
    <row r="11981" ht="16.5" customHeight="1">
      <c r="O11981" s="5" t="s">
        <v>355</v>
      </c>
      <c r="P11981" s="5" t="s">
        <v>355</v>
      </c>
      <c r="Q11981" s="5" t="s">
        <v>355</v>
      </c>
    </row>
    <row r="11982" ht="16.5" customHeight="1">
      <c r="O11982" s="5" t="s">
        <v>355</v>
      </c>
      <c r="P11982" s="5" t="s">
        <v>355</v>
      </c>
      <c r="Q11982" s="5" t="s">
        <v>355</v>
      </c>
    </row>
    <row r="11983" ht="16.5" customHeight="1">
      <c r="O11983" s="5" t="s">
        <v>355</v>
      </c>
      <c r="P11983" s="5" t="s">
        <v>355</v>
      </c>
      <c r="Q11983" s="5" t="s">
        <v>355</v>
      </c>
    </row>
    <row r="11984" ht="16.5" customHeight="1">
      <c r="O11984" s="5" t="s">
        <v>355</v>
      </c>
      <c r="P11984" s="5" t="s">
        <v>355</v>
      </c>
      <c r="Q11984" s="5" t="s">
        <v>355</v>
      </c>
    </row>
    <row r="11985" ht="16.5" customHeight="1">
      <c r="O11985" s="5" t="s">
        <v>355</v>
      </c>
      <c r="P11985" s="5" t="s">
        <v>355</v>
      </c>
      <c r="Q11985" s="5" t="s">
        <v>355</v>
      </c>
    </row>
    <row r="11986" ht="16.5" customHeight="1">
      <c r="O11986" s="5" t="s">
        <v>355</v>
      </c>
      <c r="P11986" s="5" t="s">
        <v>355</v>
      </c>
      <c r="Q11986" s="5" t="s">
        <v>355</v>
      </c>
    </row>
    <row r="11987" ht="16.5" customHeight="1">
      <c r="O11987" s="5" t="s">
        <v>355</v>
      </c>
      <c r="P11987" s="5" t="s">
        <v>355</v>
      </c>
      <c r="Q11987" s="5" t="s">
        <v>355</v>
      </c>
    </row>
    <row r="11988" ht="16.5" customHeight="1">
      <c r="O11988" s="5" t="s">
        <v>355</v>
      </c>
      <c r="P11988" s="5" t="s">
        <v>355</v>
      </c>
      <c r="Q11988" s="5" t="s">
        <v>355</v>
      </c>
    </row>
    <row r="11989" ht="16.5" customHeight="1">
      <c r="O11989" s="5" t="s">
        <v>355</v>
      </c>
      <c r="P11989" s="5" t="s">
        <v>355</v>
      </c>
      <c r="Q11989" s="5" t="s">
        <v>355</v>
      </c>
    </row>
    <row r="11990" ht="16.5" customHeight="1">
      <c r="O11990" s="5" t="s">
        <v>355</v>
      </c>
      <c r="P11990" s="5" t="s">
        <v>355</v>
      </c>
      <c r="Q11990" s="5" t="s">
        <v>355</v>
      </c>
    </row>
    <row r="11991" ht="16.5" customHeight="1">
      <c r="O11991" s="5" t="s">
        <v>355</v>
      </c>
      <c r="P11991" s="5" t="s">
        <v>355</v>
      </c>
      <c r="Q11991" s="5" t="s">
        <v>355</v>
      </c>
    </row>
    <row r="11992" ht="16.5" customHeight="1">
      <c r="O11992" s="5" t="s">
        <v>355</v>
      </c>
      <c r="P11992" s="5" t="s">
        <v>355</v>
      </c>
      <c r="Q11992" s="5" t="s">
        <v>355</v>
      </c>
    </row>
    <row r="11993" ht="16.5" customHeight="1">
      <c r="O11993" s="5" t="s">
        <v>355</v>
      </c>
      <c r="P11993" s="5" t="s">
        <v>355</v>
      </c>
      <c r="Q11993" s="5" t="s">
        <v>355</v>
      </c>
    </row>
    <row r="11994" ht="16.5" customHeight="1">
      <c r="O11994" s="5" t="s">
        <v>355</v>
      </c>
      <c r="P11994" s="5" t="s">
        <v>355</v>
      </c>
      <c r="Q11994" s="5" t="s">
        <v>355</v>
      </c>
    </row>
    <row r="11995" ht="16.5" customHeight="1">
      <c r="O11995" s="5" t="s">
        <v>355</v>
      </c>
      <c r="P11995" s="5" t="s">
        <v>355</v>
      </c>
      <c r="Q11995" s="5" t="s">
        <v>355</v>
      </c>
    </row>
    <row r="11996" ht="16.5" customHeight="1">
      <c r="O11996" s="5" t="s">
        <v>355</v>
      </c>
      <c r="P11996" s="5" t="s">
        <v>355</v>
      </c>
      <c r="Q11996" s="5" t="s">
        <v>355</v>
      </c>
    </row>
    <row r="11997" ht="16.5" customHeight="1">
      <c r="O11997" s="5" t="s">
        <v>355</v>
      </c>
      <c r="P11997" s="5" t="s">
        <v>355</v>
      </c>
      <c r="Q11997" s="5" t="s">
        <v>355</v>
      </c>
    </row>
    <row r="11998" ht="16.5" customHeight="1">
      <c r="O11998" s="5" t="s">
        <v>355</v>
      </c>
      <c r="P11998" s="5" t="s">
        <v>355</v>
      </c>
      <c r="Q11998" s="5" t="s">
        <v>355</v>
      </c>
    </row>
    <row r="11999" ht="16.5" customHeight="1">
      <c r="O11999" s="5" t="s">
        <v>355</v>
      </c>
      <c r="P11999" s="5" t="s">
        <v>355</v>
      </c>
      <c r="Q11999" s="5" t="s">
        <v>355</v>
      </c>
    </row>
    <row r="12000" ht="16.5" customHeight="1">
      <c r="O12000" s="5" t="s">
        <v>355</v>
      </c>
      <c r="P12000" s="5" t="s">
        <v>355</v>
      </c>
      <c r="Q12000" s="5" t="s">
        <v>355</v>
      </c>
    </row>
    <row r="12001" ht="16.5" customHeight="1">
      <c r="O12001" s="5" t="s">
        <v>355</v>
      </c>
      <c r="P12001" s="5" t="s">
        <v>355</v>
      </c>
      <c r="Q12001" s="5" t="s">
        <v>355</v>
      </c>
    </row>
    <row r="12002" ht="16.5" customHeight="1">
      <c r="O12002" s="5" t="s">
        <v>355</v>
      </c>
      <c r="P12002" s="5" t="s">
        <v>355</v>
      </c>
      <c r="Q12002" s="5" t="s">
        <v>355</v>
      </c>
    </row>
    <row r="12003" ht="16.5" customHeight="1">
      <c r="O12003" s="5" t="s">
        <v>355</v>
      </c>
      <c r="P12003" s="5" t="s">
        <v>355</v>
      </c>
      <c r="Q12003" s="5" t="s">
        <v>355</v>
      </c>
    </row>
    <row r="12004" ht="16.5" customHeight="1">
      <c r="O12004" s="5" t="s">
        <v>355</v>
      </c>
      <c r="P12004" s="5" t="s">
        <v>355</v>
      </c>
      <c r="Q12004" s="5" t="s">
        <v>355</v>
      </c>
    </row>
    <row r="12005" ht="16.5" customHeight="1">
      <c r="O12005" s="5" t="s">
        <v>355</v>
      </c>
      <c r="P12005" s="5" t="s">
        <v>355</v>
      </c>
      <c r="Q12005" s="5" t="s">
        <v>355</v>
      </c>
    </row>
    <row r="12006" ht="16.5" customHeight="1">
      <c r="O12006" s="5" t="s">
        <v>355</v>
      </c>
      <c r="P12006" s="5" t="s">
        <v>355</v>
      </c>
      <c r="Q12006" s="5" t="s">
        <v>355</v>
      </c>
    </row>
    <row r="12007" ht="16.5" customHeight="1">
      <c r="O12007" s="5" t="s">
        <v>355</v>
      </c>
      <c r="P12007" s="5" t="s">
        <v>355</v>
      </c>
      <c r="Q12007" s="5" t="s">
        <v>355</v>
      </c>
    </row>
    <row r="12008" ht="16.5" customHeight="1">
      <c r="O12008" s="5" t="s">
        <v>355</v>
      </c>
      <c r="P12008" s="5" t="s">
        <v>355</v>
      </c>
      <c r="Q12008" s="5" t="s">
        <v>355</v>
      </c>
    </row>
    <row r="12009" ht="16.5" customHeight="1">
      <c r="O12009" s="5" t="s">
        <v>355</v>
      </c>
      <c r="P12009" s="5" t="s">
        <v>355</v>
      </c>
      <c r="Q12009" s="5" t="s">
        <v>355</v>
      </c>
    </row>
    <row r="12010" ht="16.5" customHeight="1">
      <c r="O12010" s="5" t="s">
        <v>355</v>
      </c>
      <c r="P12010" s="5" t="s">
        <v>355</v>
      </c>
      <c r="Q12010" s="5" t="s">
        <v>355</v>
      </c>
    </row>
    <row r="12011" ht="16.5" customHeight="1">
      <c r="O12011" s="5" t="s">
        <v>355</v>
      </c>
      <c r="P12011" s="5" t="s">
        <v>355</v>
      </c>
      <c r="Q12011" s="5" t="s">
        <v>355</v>
      </c>
    </row>
    <row r="12012" ht="16.5" customHeight="1">
      <c r="O12012" s="5" t="s">
        <v>355</v>
      </c>
      <c r="P12012" s="5" t="s">
        <v>355</v>
      </c>
      <c r="Q12012" s="5" t="s">
        <v>355</v>
      </c>
    </row>
    <row r="12013" ht="16.5" customHeight="1">
      <c r="O12013" s="5" t="s">
        <v>355</v>
      </c>
      <c r="P12013" s="5" t="s">
        <v>355</v>
      </c>
      <c r="Q12013" s="5" t="s">
        <v>355</v>
      </c>
    </row>
    <row r="12014" ht="16.5" customHeight="1">
      <c r="O12014" s="5" t="s">
        <v>355</v>
      </c>
      <c r="P12014" s="5" t="s">
        <v>355</v>
      </c>
      <c r="Q12014" s="5" t="s">
        <v>355</v>
      </c>
    </row>
    <row r="12015" ht="16.5" customHeight="1">
      <c r="O12015" s="5" t="s">
        <v>355</v>
      </c>
      <c r="P12015" s="5" t="s">
        <v>355</v>
      </c>
      <c r="Q12015" s="5" t="s">
        <v>355</v>
      </c>
    </row>
    <row r="12016" ht="16.5" customHeight="1">
      <c r="O12016" s="5" t="s">
        <v>355</v>
      </c>
      <c r="P12016" s="5" t="s">
        <v>355</v>
      </c>
      <c r="Q12016" s="5" t="s">
        <v>355</v>
      </c>
    </row>
    <row r="12017" ht="16.5" customHeight="1">
      <c r="O12017" s="5" t="s">
        <v>355</v>
      </c>
      <c r="P12017" s="5" t="s">
        <v>355</v>
      </c>
      <c r="Q12017" s="5" t="s">
        <v>355</v>
      </c>
    </row>
    <row r="12018" ht="16.5" customHeight="1">
      <c r="O12018" s="5" t="s">
        <v>355</v>
      </c>
      <c r="P12018" s="5" t="s">
        <v>355</v>
      </c>
      <c r="Q12018" s="5" t="s">
        <v>355</v>
      </c>
    </row>
    <row r="12019" ht="16.5" customHeight="1">
      <c r="O12019" s="5" t="s">
        <v>355</v>
      </c>
      <c r="P12019" s="5" t="s">
        <v>355</v>
      </c>
      <c r="Q12019" s="5" t="s">
        <v>355</v>
      </c>
    </row>
    <row r="12020" ht="16.5" customHeight="1">
      <c r="O12020" s="5" t="s">
        <v>355</v>
      </c>
      <c r="P12020" s="5" t="s">
        <v>355</v>
      </c>
      <c r="Q12020" s="5" t="s">
        <v>355</v>
      </c>
    </row>
    <row r="12021" ht="16.5" customHeight="1">
      <c r="O12021" s="5" t="s">
        <v>355</v>
      </c>
      <c r="P12021" s="5" t="s">
        <v>355</v>
      </c>
      <c r="Q12021" s="5" t="s">
        <v>355</v>
      </c>
    </row>
    <row r="12022" ht="16.5" customHeight="1">
      <c r="O12022" s="5" t="s">
        <v>355</v>
      </c>
      <c r="P12022" s="5" t="s">
        <v>355</v>
      </c>
      <c r="Q12022" s="5" t="s">
        <v>355</v>
      </c>
    </row>
    <row r="12023" ht="16.5" customHeight="1">
      <c r="O12023" s="5" t="s">
        <v>355</v>
      </c>
      <c r="P12023" s="5" t="s">
        <v>355</v>
      </c>
      <c r="Q12023" s="5" t="s">
        <v>355</v>
      </c>
    </row>
    <row r="12024" ht="16.5" customHeight="1">
      <c r="O12024" s="5" t="s">
        <v>355</v>
      </c>
      <c r="P12024" s="5" t="s">
        <v>355</v>
      </c>
      <c r="Q12024" s="5" t="s">
        <v>355</v>
      </c>
    </row>
    <row r="12025" ht="16.5" customHeight="1">
      <c r="O12025" s="5" t="s">
        <v>355</v>
      </c>
      <c r="P12025" s="5" t="s">
        <v>355</v>
      </c>
      <c r="Q12025" s="5" t="s">
        <v>355</v>
      </c>
    </row>
    <row r="12026" ht="16.5" customHeight="1">
      <c r="O12026" s="5" t="s">
        <v>355</v>
      </c>
      <c r="P12026" s="5" t="s">
        <v>355</v>
      </c>
      <c r="Q12026" s="5" t="s">
        <v>355</v>
      </c>
    </row>
    <row r="12027" ht="16.5" customHeight="1">
      <c r="O12027" s="5" t="s">
        <v>355</v>
      </c>
      <c r="P12027" s="5" t="s">
        <v>355</v>
      </c>
      <c r="Q12027" s="5" t="s">
        <v>355</v>
      </c>
    </row>
    <row r="12028" ht="16.5" customHeight="1">
      <c r="O12028" s="5" t="s">
        <v>355</v>
      </c>
      <c r="P12028" s="5" t="s">
        <v>355</v>
      </c>
      <c r="Q12028" s="5" t="s">
        <v>355</v>
      </c>
    </row>
    <row r="12029" ht="16.5" customHeight="1">
      <c r="O12029" s="5" t="s">
        <v>355</v>
      </c>
      <c r="P12029" s="5" t="s">
        <v>355</v>
      </c>
      <c r="Q12029" s="5" t="s">
        <v>355</v>
      </c>
    </row>
    <row r="12030" ht="16.5" customHeight="1">
      <c r="O12030" s="5" t="s">
        <v>355</v>
      </c>
      <c r="P12030" s="5" t="s">
        <v>355</v>
      </c>
      <c r="Q12030" s="5" t="s">
        <v>355</v>
      </c>
    </row>
    <row r="12031" ht="16.5" customHeight="1">
      <c r="O12031" s="5" t="s">
        <v>355</v>
      </c>
      <c r="P12031" s="5" t="s">
        <v>355</v>
      </c>
      <c r="Q12031" s="5" t="s">
        <v>355</v>
      </c>
    </row>
    <row r="12032" ht="16.5" customHeight="1">
      <c r="O12032" s="5" t="s">
        <v>355</v>
      </c>
      <c r="P12032" s="5" t="s">
        <v>355</v>
      </c>
      <c r="Q12032" s="5" t="s">
        <v>355</v>
      </c>
    </row>
    <row r="12033" ht="16.5" customHeight="1">
      <c r="O12033" s="5" t="s">
        <v>355</v>
      </c>
      <c r="P12033" s="5" t="s">
        <v>355</v>
      </c>
      <c r="Q12033" s="5" t="s">
        <v>355</v>
      </c>
    </row>
    <row r="12034" ht="16.5" customHeight="1">
      <c r="O12034" s="5" t="s">
        <v>355</v>
      </c>
      <c r="P12034" s="5" t="s">
        <v>355</v>
      </c>
      <c r="Q12034" s="5" t="s">
        <v>355</v>
      </c>
    </row>
    <row r="12035" ht="16.5" customHeight="1">
      <c r="O12035" s="5" t="s">
        <v>355</v>
      </c>
      <c r="P12035" s="5" t="s">
        <v>355</v>
      </c>
      <c r="Q12035" s="5" t="s">
        <v>355</v>
      </c>
    </row>
    <row r="12036" ht="16.5" customHeight="1">
      <c r="O12036" s="5" t="s">
        <v>355</v>
      </c>
      <c r="P12036" s="5" t="s">
        <v>355</v>
      </c>
      <c r="Q12036" s="5" t="s">
        <v>355</v>
      </c>
    </row>
    <row r="12037" ht="16.5" customHeight="1">
      <c r="O12037" s="5" t="s">
        <v>355</v>
      </c>
      <c r="P12037" s="5" t="s">
        <v>355</v>
      </c>
      <c r="Q12037" s="5" t="s">
        <v>355</v>
      </c>
    </row>
    <row r="12038" ht="16.5" customHeight="1">
      <c r="O12038" s="5" t="s">
        <v>355</v>
      </c>
      <c r="P12038" s="5" t="s">
        <v>355</v>
      </c>
      <c r="Q12038" s="5" t="s">
        <v>355</v>
      </c>
    </row>
    <row r="12039" ht="16.5" customHeight="1">
      <c r="O12039" s="5" t="s">
        <v>355</v>
      </c>
      <c r="P12039" s="5" t="s">
        <v>355</v>
      </c>
      <c r="Q12039" s="5" t="s">
        <v>355</v>
      </c>
    </row>
    <row r="12040" ht="16.5" customHeight="1">
      <c r="O12040" s="5" t="s">
        <v>355</v>
      </c>
      <c r="P12040" s="5" t="s">
        <v>355</v>
      </c>
      <c r="Q12040" s="5" t="s">
        <v>355</v>
      </c>
    </row>
    <row r="12041" ht="16.5" customHeight="1">
      <c r="O12041" s="5" t="s">
        <v>355</v>
      </c>
      <c r="P12041" s="5" t="s">
        <v>355</v>
      </c>
      <c r="Q12041" s="5" t="s">
        <v>355</v>
      </c>
    </row>
    <row r="12042" ht="16.5" customHeight="1">
      <c r="O12042" s="5" t="s">
        <v>355</v>
      </c>
      <c r="P12042" s="5" t="s">
        <v>355</v>
      </c>
      <c r="Q12042" s="5" t="s">
        <v>355</v>
      </c>
    </row>
    <row r="12043" ht="16.5" customHeight="1">
      <c r="O12043" s="5" t="s">
        <v>355</v>
      </c>
      <c r="P12043" s="5" t="s">
        <v>355</v>
      </c>
      <c r="Q12043" s="5" t="s">
        <v>355</v>
      </c>
    </row>
    <row r="12044" ht="16.5" customHeight="1">
      <c r="O12044" s="5" t="s">
        <v>355</v>
      </c>
      <c r="P12044" s="5" t="s">
        <v>355</v>
      </c>
      <c r="Q12044" s="5" t="s">
        <v>355</v>
      </c>
    </row>
    <row r="12045" ht="16.5" customHeight="1">
      <c r="O12045" s="5" t="s">
        <v>355</v>
      </c>
      <c r="P12045" s="5" t="s">
        <v>355</v>
      </c>
      <c r="Q12045" s="5" t="s">
        <v>355</v>
      </c>
    </row>
    <row r="12046" ht="16.5" customHeight="1">
      <c r="O12046" s="5" t="s">
        <v>355</v>
      </c>
      <c r="P12046" s="5" t="s">
        <v>355</v>
      </c>
      <c r="Q12046" s="5" t="s">
        <v>355</v>
      </c>
    </row>
    <row r="12047" ht="16.5" customHeight="1">
      <c r="O12047" s="5" t="s">
        <v>355</v>
      </c>
      <c r="P12047" s="5" t="s">
        <v>355</v>
      </c>
      <c r="Q12047" s="5" t="s">
        <v>355</v>
      </c>
    </row>
    <row r="12048" ht="16.5" customHeight="1">
      <c r="O12048" s="5" t="s">
        <v>355</v>
      </c>
      <c r="P12048" s="5" t="s">
        <v>355</v>
      </c>
      <c r="Q12048" s="5" t="s">
        <v>355</v>
      </c>
    </row>
    <row r="12049" ht="16.5" customHeight="1">
      <c r="O12049" s="5" t="s">
        <v>355</v>
      </c>
      <c r="P12049" s="5" t="s">
        <v>355</v>
      </c>
      <c r="Q12049" s="5" t="s">
        <v>355</v>
      </c>
    </row>
    <row r="12050" ht="16.5" customHeight="1">
      <c r="O12050" s="5" t="s">
        <v>355</v>
      </c>
      <c r="P12050" s="5" t="s">
        <v>355</v>
      </c>
      <c r="Q12050" s="5" t="s">
        <v>355</v>
      </c>
    </row>
    <row r="12051" ht="16.5" customHeight="1">
      <c r="O12051" s="5" t="s">
        <v>355</v>
      </c>
      <c r="P12051" s="5" t="s">
        <v>355</v>
      </c>
      <c r="Q12051" s="5" t="s">
        <v>355</v>
      </c>
    </row>
    <row r="12052" ht="16.5" customHeight="1">
      <c r="O12052" s="5" t="s">
        <v>355</v>
      </c>
      <c r="P12052" s="5" t="s">
        <v>355</v>
      </c>
      <c r="Q12052" s="5" t="s">
        <v>355</v>
      </c>
    </row>
    <row r="12053" ht="16.5" customHeight="1">
      <c r="O12053" s="5" t="s">
        <v>355</v>
      </c>
      <c r="P12053" s="5" t="s">
        <v>355</v>
      </c>
      <c r="Q12053" s="5" t="s">
        <v>355</v>
      </c>
    </row>
    <row r="12054" ht="16.5" customHeight="1">
      <c r="O12054" s="5" t="s">
        <v>355</v>
      </c>
      <c r="P12054" s="5" t="s">
        <v>355</v>
      </c>
      <c r="Q12054" s="5" t="s">
        <v>355</v>
      </c>
    </row>
    <row r="12055" ht="16.5" customHeight="1">
      <c r="O12055" s="5" t="s">
        <v>355</v>
      </c>
      <c r="P12055" s="5" t="s">
        <v>355</v>
      </c>
      <c r="Q12055" s="5" t="s">
        <v>355</v>
      </c>
    </row>
    <row r="12056" ht="16.5" customHeight="1">
      <c r="O12056" s="5" t="s">
        <v>355</v>
      </c>
      <c r="P12056" s="5" t="s">
        <v>355</v>
      </c>
      <c r="Q12056" s="5" t="s">
        <v>355</v>
      </c>
    </row>
    <row r="12057" ht="16.5" customHeight="1">
      <c r="O12057" s="5" t="s">
        <v>355</v>
      </c>
      <c r="P12057" s="5" t="s">
        <v>355</v>
      </c>
      <c r="Q12057" s="5" t="s">
        <v>355</v>
      </c>
    </row>
    <row r="12058" ht="16.5" customHeight="1">
      <c r="O12058" s="5" t="s">
        <v>355</v>
      </c>
      <c r="P12058" s="5" t="s">
        <v>355</v>
      </c>
      <c r="Q12058" s="5" t="s">
        <v>355</v>
      </c>
    </row>
    <row r="12059" ht="16.5" customHeight="1">
      <c r="O12059" s="5" t="s">
        <v>355</v>
      </c>
      <c r="P12059" s="5" t="s">
        <v>355</v>
      </c>
      <c r="Q12059" s="5" t="s">
        <v>355</v>
      </c>
    </row>
    <row r="12060" ht="16.5" customHeight="1">
      <c r="O12060" s="5" t="s">
        <v>355</v>
      </c>
      <c r="P12060" s="5" t="s">
        <v>355</v>
      </c>
      <c r="Q12060" s="5" t="s">
        <v>355</v>
      </c>
    </row>
    <row r="12061" ht="16.5" customHeight="1">
      <c r="O12061" s="5" t="s">
        <v>355</v>
      </c>
      <c r="P12061" s="5" t="s">
        <v>355</v>
      </c>
      <c r="Q12061" s="5" t="s">
        <v>355</v>
      </c>
    </row>
    <row r="12062" ht="16.5" customHeight="1">
      <c r="O12062" s="5" t="s">
        <v>355</v>
      </c>
      <c r="P12062" s="5" t="s">
        <v>355</v>
      </c>
      <c r="Q12062" s="5" t="s">
        <v>355</v>
      </c>
    </row>
    <row r="12063" ht="16.5" customHeight="1">
      <c r="O12063" s="5" t="s">
        <v>355</v>
      </c>
      <c r="P12063" s="5" t="s">
        <v>355</v>
      </c>
      <c r="Q12063" s="5" t="s">
        <v>355</v>
      </c>
    </row>
    <row r="12064" ht="16.5" customHeight="1">
      <c r="O12064" s="5" t="s">
        <v>355</v>
      </c>
      <c r="P12064" s="5" t="s">
        <v>355</v>
      </c>
      <c r="Q12064" s="5" t="s">
        <v>355</v>
      </c>
    </row>
    <row r="12065" ht="16.5" customHeight="1">
      <c r="O12065" s="5" t="s">
        <v>355</v>
      </c>
      <c r="P12065" s="5" t="s">
        <v>355</v>
      </c>
      <c r="Q12065" s="5" t="s">
        <v>355</v>
      </c>
    </row>
    <row r="12066" ht="16.5" customHeight="1">
      <c r="O12066" s="5" t="s">
        <v>355</v>
      </c>
      <c r="P12066" s="5" t="s">
        <v>355</v>
      </c>
      <c r="Q12066" s="5" t="s">
        <v>355</v>
      </c>
    </row>
    <row r="12067" ht="16.5" customHeight="1">
      <c r="O12067" s="5" t="s">
        <v>355</v>
      </c>
      <c r="P12067" s="5" t="s">
        <v>355</v>
      </c>
      <c r="Q12067" s="5" t="s">
        <v>355</v>
      </c>
    </row>
    <row r="12068" ht="16.5" customHeight="1">
      <c r="O12068" s="5" t="s">
        <v>355</v>
      </c>
      <c r="P12068" s="5" t="s">
        <v>355</v>
      </c>
      <c r="Q12068" s="5" t="s">
        <v>355</v>
      </c>
    </row>
    <row r="12069" ht="16.5" customHeight="1">
      <c r="O12069" s="5" t="s">
        <v>355</v>
      </c>
      <c r="P12069" s="5" t="s">
        <v>355</v>
      </c>
      <c r="Q12069" s="5" t="s">
        <v>355</v>
      </c>
    </row>
    <row r="12070" ht="16.5" customHeight="1">
      <c r="O12070" s="5" t="s">
        <v>355</v>
      </c>
      <c r="P12070" s="5" t="s">
        <v>355</v>
      </c>
      <c r="Q12070" s="5" t="s">
        <v>355</v>
      </c>
    </row>
    <row r="12071" ht="16.5" customHeight="1">
      <c r="O12071" s="5" t="s">
        <v>355</v>
      </c>
      <c r="P12071" s="5" t="s">
        <v>355</v>
      </c>
      <c r="Q12071" s="5" t="s">
        <v>355</v>
      </c>
    </row>
    <row r="12072" ht="16.5" customHeight="1">
      <c r="O12072" s="5" t="s">
        <v>355</v>
      </c>
      <c r="P12072" s="5" t="s">
        <v>355</v>
      </c>
      <c r="Q12072" s="5" t="s">
        <v>355</v>
      </c>
    </row>
    <row r="12073" ht="16.5" customHeight="1">
      <c r="O12073" s="5" t="s">
        <v>355</v>
      </c>
      <c r="P12073" s="5" t="s">
        <v>355</v>
      </c>
      <c r="Q12073" s="5" t="s">
        <v>355</v>
      </c>
    </row>
    <row r="12074" ht="16.5" customHeight="1">
      <c r="O12074" s="5" t="s">
        <v>355</v>
      </c>
      <c r="P12074" s="5" t="s">
        <v>355</v>
      </c>
      <c r="Q12074" s="5" t="s">
        <v>355</v>
      </c>
    </row>
    <row r="12075" ht="16.5" customHeight="1">
      <c r="O12075" s="5" t="s">
        <v>355</v>
      </c>
      <c r="P12075" s="5" t="s">
        <v>355</v>
      </c>
      <c r="Q12075" s="5" t="s">
        <v>355</v>
      </c>
    </row>
    <row r="12076" ht="16.5" customHeight="1">
      <c r="O12076" s="5" t="s">
        <v>355</v>
      </c>
      <c r="P12076" s="5" t="s">
        <v>355</v>
      </c>
      <c r="Q12076" s="5" t="s">
        <v>355</v>
      </c>
    </row>
    <row r="12077" ht="16.5" customHeight="1">
      <c r="O12077" s="5" t="s">
        <v>355</v>
      </c>
      <c r="P12077" s="5" t="s">
        <v>355</v>
      </c>
      <c r="Q12077" s="5" t="s">
        <v>355</v>
      </c>
    </row>
    <row r="12078" ht="16.5" customHeight="1">
      <c r="O12078" s="5" t="s">
        <v>355</v>
      </c>
      <c r="P12078" s="5" t="s">
        <v>355</v>
      </c>
      <c r="Q12078" s="5" t="s">
        <v>355</v>
      </c>
    </row>
    <row r="12079" ht="16.5" customHeight="1">
      <c r="O12079" s="5" t="s">
        <v>355</v>
      </c>
      <c r="P12079" s="5" t="s">
        <v>355</v>
      </c>
      <c r="Q12079" s="5" t="s">
        <v>355</v>
      </c>
    </row>
    <row r="12080" ht="16.5" customHeight="1">
      <c r="O12080" s="5" t="s">
        <v>355</v>
      </c>
      <c r="P12080" s="5" t="s">
        <v>355</v>
      </c>
      <c r="Q12080" s="5" t="s">
        <v>355</v>
      </c>
    </row>
    <row r="12081" ht="16.5" customHeight="1">
      <c r="O12081" s="5" t="s">
        <v>355</v>
      </c>
      <c r="P12081" s="5" t="s">
        <v>355</v>
      </c>
      <c r="Q12081" s="5" t="s">
        <v>355</v>
      </c>
    </row>
    <row r="12082" ht="16.5" customHeight="1">
      <c r="O12082" s="5" t="s">
        <v>355</v>
      </c>
      <c r="P12082" s="5" t="s">
        <v>355</v>
      </c>
      <c r="Q12082" s="5" t="s">
        <v>355</v>
      </c>
    </row>
    <row r="12083" ht="16.5" customHeight="1">
      <c r="O12083" s="5" t="s">
        <v>355</v>
      </c>
      <c r="P12083" s="5" t="s">
        <v>355</v>
      </c>
      <c r="Q12083" s="5" t="s">
        <v>355</v>
      </c>
    </row>
    <row r="12084" ht="16.5" customHeight="1">
      <c r="O12084" s="5" t="s">
        <v>355</v>
      </c>
      <c r="P12084" s="5" t="s">
        <v>355</v>
      </c>
      <c r="Q12084" s="5" t="s">
        <v>355</v>
      </c>
    </row>
    <row r="12085" ht="16.5" customHeight="1">
      <c r="O12085" s="5" t="s">
        <v>355</v>
      </c>
      <c r="P12085" s="5" t="s">
        <v>355</v>
      </c>
      <c r="Q12085" s="5" t="s">
        <v>355</v>
      </c>
    </row>
    <row r="12086" ht="16.5" customHeight="1">
      <c r="O12086" s="5" t="s">
        <v>355</v>
      </c>
      <c r="P12086" s="5" t="s">
        <v>355</v>
      </c>
      <c r="Q12086" s="5" t="s">
        <v>355</v>
      </c>
    </row>
    <row r="12087" ht="16.5" customHeight="1">
      <c r="O12087" s="5" t="s">
        <v>355</v>
      </c>
      <c r="P12087" s="5" t="s">
        <v>355</v>
      </c>
      <c r="Q12087" s="5" t="s">
        <v>355</v>
      </c>
    </row>
    <row r="12088" ht="16.5" customHeight="1">
      <c r="O12088" s="5" t="s">
        <v>355</v>
      </c>
      <c r="P12088" s="5" t="s">
        <v>355</v>
      </c>
      <c r="Q12088" s="5" t="s">
        <v>355</v>
      </c>
    </row>
    <row r="12089" ht="16.5" customHeight="1">
      <c r="O12089" s="5" t="s">
        <v>355</v>
      </c>
      <c r="P12089" s="5" t="s">
        <v>355</v>
      </c>
      <c r="Q12089" s="5" t="s">
        <v>355</v>
      </c>
    </row>
    <row r="12090" ht="16.5" customHeight="1">
      <c r="O12090" s="5" t="s">
        <v>355</v>
      </c>
      <c r="P12090" s="5" t="s">
        <v>355</v>
      </c>
      <c r="Q12090" s="5" t="s">
        <v>355</v>
      </c>
    </row>
    <row r="12091" ht="16.5" customHeight="1">
      <c r="O12091" s="5" t="s">
        <v>355</v>
      </c>
      <c r="P12091" s="5" t="s">
        <v>355</v>
      </c>
      <c r="Q12091" s="5" t="s">
        <v>355</v>
      </c>
    </row>
    <row r="12092" ht="16.5" customHeight="1">
      <c r="O12092" s="5" t="s">
        <v>355</v>
      </c>
      <c r="P12092" s="5" t="s">
        <v>355</v>
      </c>
      <c r="Q12092" s="5" t="s">
        <v>355</v>
      </c>
    </row>
    <row r="12093" ht="16.5" customHeight="1">
      <c r="O12093" s="5" t="s">
        <v>355</v>
      </c>
      <c r="P12093" s="5" t="s">
        <v>355</v>
      </c>
      <c r="Q12093" s="5" t="s">
        <v>355</v>
      </c>
    </row>
    <row r="12094" ht="16.5" customHeight="1">
      <c r="O12094" s="5" t="s">
        <v>355</v>
      </c>
      <c r="P12094" s="5" t="s">
        <v>355</v>
      </c>
      <c r="Q12094" s="5" t="s">
        <v>355</v>
      </c>
    </row>
    <row r="12095" ht="16.5" customHeight="1">
      <c r="O12095" s="5" t="s">
        <v>355</v>
      </c>
      <c r="P12095" s="5" t="s">
        <v>355</v>
      </c>
      <c r="Q12095" s="5" t="s">
        <v>355</v>
      </c>
    </row>
    <row r="12096" ht="16.5" customHeight="1">
      <c r="O12096" s="5" t="s">
        <v>355</v>
      </c>
      <c r="P12096" s="5" t="s">
        <v>355</v>
      </c>
      <c r="Q12096" s="5" t="s">
        <v>355</v>
      </c>
    </row>
    <row r="12097" ht="16.5" customHeight="1">
      <c r="O12097" s="5" t="s">
        <v>355</v>
      </c>
      <c r="P12097" s="5" t="s">
        <v>355</v>
      </c>
      <c r="Q12097" s="5" t="s">
        <v>355</v>
      </c>
    </row>
    <row r="12098" ht="16.5" customHeight="1">
      <c r="O12098" s="5" t="s">
        <v>355</v>
      </c>
      <c r="P12098" s="5" t="s">
        <v>355</v>
      </c>
      <c r="Q12098" s="5" t="s">
        <v>355</v>
      </c>
    </row>
    <row r="12099" ht="16.5" customHeight="1">
      <c r="O12099" s="5" t="s">
        <v>355</v>
      </c>
      <c r="P12099" s="5" t="s">
        <v>355</v>
      </c>
      <c r="Q12099" s="5" t="s">
        <v>355</v>
      </c>
    </row>
    <row r="12100" ht="16.5" customHeight="1">
      <c r="O12100" s="5" t="s">
        <v>355</v>
      </c>
      <c r="P12100" s="5" t="s">
        <v>355</v>
      </c>
      <c r="Q12100" s="5" t="s">
        <v>355</v>
      </c>
    </row>
    <row r="12101" ht="16.5" customHeight="1">
      <c r="O12101" s="5" t="s">
        <v>355</v>
      </c>
      <c r="P12101" s="5" t="s">
        <v>355</v>
      </c>
      <c r="Q12101" s="5" t="s">
        <v>355</v>
      </c>
    </row>
    <row r="12102" ht="16.5" customHeight="1">
      <c r="O12102" s="5" t="s">
        <v>355</v>
      </c>
      <c r="P12102" s="5" t="s">
        <v>355</v>
      </c>
      <c r="Q12102" s="5" t="s">
        <v>355</v>
      </c>
    </row>
    <row r="12103" ht="16.5" customHeight="1">
      <c r="O12103" s="5" t="s">
        <v>355</v>
      </c>
      <c r="P12103" s="5" t="s">
        <v>355</v>
      </c>
      <c r="Q12103" s="5" t="s">
        <v>355</v>
      </c>
    </row>
    <row r="12104" ht="16.5" customHeight="1">
      <c r="O12104" s="5" t="s">
        <v>355</v>
      </c>
      <c r="P12104" s="5" t="s">
        <v>355</v>
      </c>
      <c r="Q12104" s="5" t="s">
        <v>355</v>
      </c>
    </row>
    <row r="12105" ht="16.5" customHeight="1">
      <c r="O12105" s="5" t="s">
        <v>355</v>
      </c>
      <c r="P12105" s="5" t="s">
        <v>355</v>
      </c>
      <c r="Q12105" s="5" t="s">
        <v>355</v>
      </c>
    </row>
    <row r="12106" ht="16.5" customHeight="1">
      <c r="O12106" s="5" t="s">
        <v>355</v>
      </c>
      <c r="P12106" s="5" t="s">
        <v>355</v>
      </c>
      <c r="Q12106" s="5" t="s">
        <v>355</v>
      </c>
    </row>
    <row r="12107" ht="16.5" customHeight="1">
      <c r="O12107" s="5" t="s">
        <v>355</v>
      </c>
      <c r="P12107" s="5" t="s">
        <v>355</v>
      </c>
      <c r="Q12107" s="5" t="s">
        <v>355</v>
      </c>
    </row>
    <row r="12108" ht="16.5" customHeight="1">
      <c r="O12108" s="5" t="s">
        <v>355</v>
      </c>
      <c r="P12108" s="5" t="s">
        <v>355</v>
      </c>
      <c r="Q12108" s="5" t="s">
        <v>355</v>
      </c>
    </row>
    <row r="12109" ht="16.5" customHeight="1">
      <c r="O12109" s="5" t="s">
        <v>355</v>
      </c>
      <c r="P12109" s="5" t="s">
        <v>355</v>
      </c>
      <c r="Q12109" s="5" t="s">
        <v>355</v>
      </c>
    </row>
    <row r="12110" ht="16.5" customHeight="1">
      <c r="O12110" s="5" t="s">
        <v>355</v>
      </c>
      <c r="P12110" s="5" t="s">
        <v>355</v>
      </c>
      <c r="Q12110" s="5" t="s">
        <v>355</v>
      </c>
    </row>
    <row r="12111" ht="16.5" customHeight="1">
      <c r="O12111" s="5" t="s">
        <v>355</v>
      </c>
      <c r="P12111" s="5" t="s">
        <v>355</v>
      </c>
      <c r="Q12111" s="5" t="s">
        <v>355</v>
      </c>
    </row>
    <row r="12112" ht="16.5" customHeight="1">
      <c r="O12112" s="5" t="s">
        <v>355</v>
      </c>
      <c r="P12112" s="5" t="s">
        <v>355</v>
      </c>
      <c r="Q12112" s="5" t="s">
        <v>355</v>
      </c>
    </row>
    <row r="12113" ht="16.5" customHeight="1">
      <c r="O12113" s="5" t="s">
        <v>355</v>
      </c>
      <c r="P12113" s="5" t="s">
        <v>355</v>
      </c>
      <c r="Q12113" s="5" t="s">
        <v>355</v>
      </c>
    </row>
    <row r="12114" ht="16.5" customHeight="1">
      <c r="O12114" s="5" t="s">
        <v>355</v>
      </c>
      <c r="P12114" s="5" t="s">
        <v>355</v>
      </c>
      <c r="Q12114" s="5" t="s">
        <v>355</v>
      </c>
    </row>
    <row r="12115" ht="16.5" customHeight="1">
      <c r="O12115" s="5" t="s">
        <v>355</v>
      </c>
      <c r="P12115" s="5" t="s">
        <v>355</v>
      </c>
      <c r="Q12115" s="5" t="s">
        <v>355</v>
      </c>
    </row>
    <row r="12116" ht="16.5" customHeight="1">
      <c r="O12116" s="5" t="s">
        <v>355</v>
      </c>
      <c r="P12116" s="5" t="s">
        <v>355</v>
      </c>
      <c r="Q12116" s="5" t="s">
        <v>355</v>
      </c>
    </row>
    <row r="12117" ht="16.5" customHeight="1">
      <c r="O12117" s="5" t="s">
        <v>355</v>
      </c>
      <c r="P12117" s="5" t="s">
        <v>355</v>
      </c>
      <c r="Q12117" s="5" t="s">
        <v>355</v>
      </c>
    </row>
    <row r="12118" ht="16.5" customHeight="1">
      <c r="O12118" s="5" t="s">
        <v>355</v>
      </c>
      <c r="P12118" s="5" t="s">
        <v>355</v>
      </c>
      <c r="Q12118" s="5" t="s">
        <v>355</v>
      </c>
    </row>
    <row r="12119" ht="16.5" customHeight="1">
      <c r="O12119" s="5" t="s">
        <v>355</v>
      </c>
      <c r="P12119" s="5" t="s">
        <v>355</v>
      </c>
      <c r="Q12119" s="5" t="s">
        <v>355</v>
      </c>
    </row>
    <row r="12120" ht="16.5" customHeight="1">
      <c r="O12120" s="5" t="s">
        <v>355</v>
      </c>
      <c r="P12120" s="5" t="s">
        <v>355</v>
      </c>
      <c r="Q12120" s="5" t="s">
        <v>355</v>
      </c>
    </row>
    <row r="12121" ht="16.5" customHeight="1">
      <c r="O12121" s="5" t="s">
        <v>355</v>
      </c>
      <c r="P12121" s="5" t="s">
        <v>355</v>
      </c>
      <c r="Q12121" s="5" t="s">
        <v>355</v>
      </c>
    </row>
    <row r="12122" ht="16.5" customHeight="1">
      <c r="O12122" s="5" t="s">
        <v>355</v>
      </c>
      <c r="P12122" s="5" t="s">
        <v>355</v>
      </c>
      <c r="Q12122" s="5" t="s">
        <v>355</v>
      </c>
    </row>
    <row r="12123" ht="16.5" customHeight="1">
      <c r="O12123" s="5" t="s">
        <v>355</v>
      </c>
      <c r="P12123" s="5" t="s">
        <v>355</v>
      </c>
      <c r="Q12123" s="5" t="s">
        <v>355</v>
      </c>
    </row>
    <row r="12124" ht="16.5" customHeight="1">
      <c r="O12124" s="5" t="s">
        <v>355</v>
      </c>
      <c r="P12124" s="5" t="s">
        <v>355</v>
      </c>
      <c r="Q12124" s="5" t="s">
        <v>355</v>
      </c>
    </row>
    <row r="12125" ht="16.5" customHeight="1">
      <c r="O12125" s="5" t="s">
        <v>355</v>
      </c>
      <c r="P12125" s="5" t="s">
        <v>355</v>
      </c>
      <c r="Q12125" s="5" t="s">
        <v>355</v>
      </c>
    </row>
    <row r="12126" ht="16.5" customHeight="1">
      <c r="O12126" s="5" t="s">
        <v>355</v>
      </c>
      <c r="P12126" s="5" t="s">
        <v>355</v>
      </c>
      <c r="Q12126" s="5" t="s">
        <v>355</v>
      </c>
    </row>
    <row r="12127" ht="16.5" customHeight="1">
      <c r="O12127" s="5" t="s">
        <v>355</v>
      </c>
      <c r="P12127" s="5" t="s">
        <v>355</v>
      </c>
      <c r="Q12127" s="5" t="s">
        <v>355</v>
      </c>
    </row>
    <row r="12128" ht="16.5" customHeight="1">
      <c r="O12128" s="5" t="s">
        <v>355</v>
      </c>
      <c r="P12128" s="5" t="s">
        <v>355</v>
      </c>
      <c r="Q12128" s="5" t="s">
        <v>355</v>
      </c>
    </row>
    <row r="12129" ht="16.5" customHeight="1">
      <c r="O12129" s="5" t="s">
        <v>355</v>
      </c>
      <c r="P12129" s="5" t="s">
        <v>355</v>
      </c>
      <c r="Q12129" s="5" t="s">
        <v>355</v>
      </c>
    </row>
    <row r="12130" ht="16.5" customHeight="1">
      <c r="O12130" s="5" t="s">
        <v>355</v>
      </c>
      <c r="P12130" s="5" t="s">
        <v>355</v>
      </c>
      <c r="Q12130" s="5" t="s">
        <v>355</v>
      </c>
    </row>
    <row r="12131" ht="16.5" customHeight="1">
      <c r="O12131" s="5" t="s">
        <v>355</v>
      </c>
      <c r="P12131" s="5" t="s">
        <v>355</v>
      </c>
      <c r="Q12131" s="5" t="s">
        <v>355</v>
      </c>
    </row>
    <row r="12132" ht="16.5" customHeight="1">
      <c r="O12132" s="5" t="s">
        <v>355</v>
      </c>
      <c r="P12132" s="5" t="s">
        <v>355</v>
      </c>
      <c r="Q12132" s="5" t="s">
        <v>355</v>
      </c>
    </row>
    <row r="12133" ht="16.5" customHeight="1">
      <c r="O12133" s="5" t="s">
        <v>355</v>
      </c>
      <c r="P12133" s="5" t="s">
        <v>355</v>
      </c>
      <c r="Q12133" s="5" t="s">
        <v>355</v>
      </c>
    </row>
    <row r="12134" ht="16.5" customHeight="1">
      <c r="O12134" s="5" t="s">
        <v>355</v>
      </c>
      <c r="P12134" s="5" t="s">
        <v>355</v>
      </c>
      <c r="Q12134" s="5" t="s">
        <v>355</v>
      </c>
    </row>
    <row r="12135" ht="16.5" customHeight="1">
      <c r="O12135" s="5" t="s">
        <v>355</v>
      </c>
      <c r="P12135" s="5" t="s">
        <v>355</v>
      </c>
      <c r="Q12135" s="5" t="s">
        <v>355</v>
      </c>
    </row>
    <row r="12136" ht="16.5" customHeight="1">
      <c r="O12136" s="5" t="s">
        <v>355</v>
      </c>
      <c r="P12136" s="5" t="s">
        <v>355</v>
      </c>
      <c r="Q12136" s="5" t="s">
        <v>355</v>
      </c>
    </row>
    <row r="12137" ht="16.5" customHeight="1">
      <c r="O12137" s="5" t="s">
        <v>355</v>
      </c>
      <c r="P12137" s="5" t="s">
        <v>355</v>
      </c>
      <c r="Q12137" s="5" t="s">
        <v>355</v>
      </c>
    </row>
    <row r="12138" ht="16.5" customHeight="1">
      <c r="O12138" s="5" t="s">
        <v>355</v>
      </c>
      <c r="P12138" s="5" t="s">
        <v>355</v>
      </c>
      <c r="Q12138" s="5" t="s">
        <v>355</v>
      </c>
    </row>
    <row r="12139" ht="16.5" customHeight="1">
      <c r="O12139" s="5" t="s">
        <v>355</v>
      </c>
      <c r="P12139" s="5" t="s">
        <v>355</v>
      </c>
      <c r="Q12139" s="5" t="s">
        <v>355</v>
      </c>
    </row>
    <row r="12140" ht="16.5" customHeight="1">
      <c r="O12140" s="5" t="s">
        <v>355</v>
      </c>
      <c r="P12140" s="5" t="s">
        <v>355</v>
      </c>
      <c r="Q12140" s="5" t="s">
        <v>355</v>
      </c>
    </row>
    <row r="12141" ht="16.5" customHeight="1">
      <c r="O12141" s="5" t="s">
        <v>355</v>
      </c>
      <c r="P12141" s="5" t="s">
        <v>355</v>
      </c>
      <c r="Q12141" s="5" t="s">
        <v>355</v>
      </c>
    </row>
    <row r="12142" ht="16.5" customHeight="1">
      <c r="O12142" s="5" t="s">
        <v>355</v>
      </c>
      <c r="P12142" s="5" t="s">
        <v>355</v>
      </c>
      <c r="Q12142" s="5" t="s">
        <v>355</v>
      </c>
    </row>
    <row r="12143" ht="16.5" customHeight="1">
      <c r="O12143" s="5" t="s">
        <v>355</v>
      </c>
      <c r="P12143" s="5" t="s">
        <v>355</v>
      </c>
      <c r="Q12143" s="5" t="s">
        <v>355</v>
      </c>
    </row>
    <row r="12144" ht="16.5" customHeight="1">
      <c r="O12144" s="5" t="s">
        <v>355</v>
      </c>
      <c r="P12144" s="5" t="s">
        <v>355</v>
      </c>
      <c r="Q12144" s="5" t="s">
        <v>355</v>
      </c>
    </row>
    <row r="12145" ht="16.5" customHeight="1">
      <c r="O12145" s="5" t="s">
        <v>355</v>
      </c>
      <c r="P12145" s="5" t="s">
        <v>355</v>
      </c>
      <c r="Q12145" s="5" t="s">
        <v>355</v>
      </c>
    </row>
    <row r="12146" ht="16.5" customHeight="1">
      <c r="O12146" s="5" t="s">
        <v>355</v>
      </c>
      <c r="P12146" s="5" t="s">
        <v>355</v>
      </c>
      <c r="Q12146" s="5" t="s">
        <v>355</v>
      </c>
    </row>
    <row r="12147" ht="16.5" customHeight="1">
      <c r="O12147" s="5" t="s">
        <v>355</v>
      </c>
      <c r="P12147" s="5" t="s">
        <v>355</v>
      </c>
      <c r="Q12147" s="5" t="s">
        <v>355</v>
      </c>
    </row>
    <row r="12148" ht="16.5" customHeight="1">
      <c r="O12148" s="5" t="s">
        <v>355</v>
      </c>
      <c r="P12148" s="5" t="s">
        <v>355</v>
      </c>
      <c r="Q12148" s="5" t="s">
        <v>355</v>
      </c>
    </row>
    <row r="12149" ht="16.5" customHeight="1">
      <c r="O12149" s="5" t="s">
        <v>355</v>
      </c>
      <c r="P12149" s="5" t="s">
        <v>355</v>
      </c>
      <c r="Q12149" s="5" t="s">
        <v>355</v>
      </c>
    </row>
    <row r="12150" ht="16.5" customHeight="1">
      <c r="O12150" s="5" t="s">
        <v>355</v>
      </c>
      <c r="P12150" s="5" t="s">
        <v>355</v>
      </c>
      <c r="Q12150" s="5" t="s">
        <v>355</v>
      </c>
    </row>
    <row r="12151" ht="16.5" customHeight="1">
      <c r="O12151" s="5" t="s">
        <v>355</v>
      </c>
      <c r="P12151" s="5" t="s">
        <v>355</v>
      </c>
      <c r="Q12151" s="5" t="s">
        <v>355</v>
      </c>
    </row>
    <row r="12152" ht="16.5" customHeight="1">
      <c r="O12152" s="5" t="s">
        <v>355</v>
      </c>
      <c r="P12152" s="5" t="s">
        <v>355</v>
      </c>
      <c r="Q12152" s="5" t="s">
        <v>355</v>
      </c>
    </row>
    <row r="12153" ht="16.5" customHeight="1">
      <c r="O12153" s="5" t="s">
        <v>355</v>
      </c>
      <c r="P12153" s="5" t="s">
        <v>355</v>
      </c>
      <c r="Q12153" s="5" t="s">
        <v>355</v>
      </c>
    </row>
    <row r="12154" ht="16.5" customHeight="1">
      <c r="O12154" s="5" t="s">
        <v>355</v>
      </c>
      <c r="P12154" s="5" t="s">
        <v>355</v>
      </c>
      <c r="Q12154" s="5" t="s">
        <v>355</v>
      </c>
    </row>
    <row r="12155" ht="16.5" customHeight="1">
      <c r="O12155" s="5" t="s">
        <v>355</v>
      </c>
      <c r="P12155" s="5" t="s">
        <v>355</v>
      </c>
      <c r="Q12155" s="5" t="s">
        <v>355</v>
      </c>
    </row>
    <row r="12156" ht="16.5" customHeight="1">
      <c r="O12156" s="5" t="s">
        <v>355</v>
      </c>
      <c r="P12156" s="5" t="s">
        <v>355</v>
      </c>
      <c r="Q12156" s="5" t="s">
        <v>355</v>
      </c>
    </row>
    <row r="12157" ht="16.5" customHeight="1">
      <c r="O12157" s="5" t="s">
        <v>355</v>
      </c>
      <c r="P12157" s="5" t="s">
        <v>355</v>
      </c>
      <c r="Q12157" s="5" t="s">
        <v>355</v>
      </c>
    </row>
    <row r="12158" ht="16.5" customHeight="1">
      <c r="O12158" s="5" t="s">
        <v>355</v>
      </c>
      <c r="P12158" s="5" t="s">
        <v>355</v>
      </c>
      <c r="Q12158" s="5" t="s">
        <v>355</v>
      </c>
    </row>
    <row r="12159" ht="16.5" customHeight="1">
      <c r="O12159" s="5" t="s">
        <v>355</v>
      </c>
      <c r="P12159" s="5" t="s">
        <v>355</v>
      </c>
      <c r="Q12159" s="5" t="s">
        <v>355</v>
      </c>
    </row>
    <row r="12160" ht="16.5" customHeight="1">
      <c r="O12160" s="5" t="s">
        <v>355</v>
      </c>
      <c r="P12160" s="5" t="s">
        <v>355</v>
      </c>
      <c r="Q12160" s="5" t="s">
        <v>355</v>
      </c>
    </row>
    <row r="12161" ht="16.5" customHeight="1">
      <c r="O12161" s="5" t="s">
        <v>355</v>
      </c>
      <c r="P12161" s="5" t="s">
        <v>355</v>
      </c>
      <c r="Q12161" s="5" t="s">
        <v>355</v>
      </c>
    </row>
    <row r="12162" ht="16.5" customHeight="1">
      <c r="O12162" s="5" t="s">
        <v>355</v>
      </c>
      <c r="P12162" s="5" t="s">
        <v>355</v>
      </c>
      <c r="Q12162" s="5" t="s">
        <v>355</v>
      </c>
    </row>
    <row r="12163" ht="16.5" customHeight="1">
      <c r="O12163" s="5" t="s">
        <v>355</v>
      </c>
      <c r="P12163" s="5" t="s">
        <v>355</v>
      </c>
      <c r="Q12163" s="5" t="s">
        <v>355</v>
      </c>
    </row>
    <row r="12164" ht="16.5" customHeight="1">
      <c r="O12164" s="5" t="s">
        <v>355</v>
      </c>
      <c r="P12164" s="5" t="s">
        <v>355</v>
      </c>
      <c r="Q12164" s="5" t="s">
        <v>355</v>
      </c>
    </row>
    <row r="12165" ht="16.5" customHeight="1">
      <c r="O12165" s="5" t="s">
        <v>355</v>
      </c>
      <c r="P12165" s="5" t="s">
        <v>355</v>
      </c>
      <c r="Q12165" s="5" t="s">
        <v>355</v>
      </c>
    </row>
    <row r="12166" ht="16.5" customHeight="1">
      <c r="O12166" s="5" t="s">
        <v>355</v>
      </c>
      <c r="P12166" s="5" t="s">
        <v>355</v>
      </c>
      <c r="Q12166" s="5" t="s">
        <v>355</v>
      </c>
    </row>
    <row r="12167" ht="16.5" customHeight="1">
      <c r="O12167" s="5" t="s">
        <v>355</v>
      </c>
      <c r="P12167" s="5" t="s">
        <v>355</v>
      </c>
      <c r="Q12167" s="5" t="s">
        <v>355</v>
      </c>
    </row>
    <row r="12168" ht="16.5" customHeight="1">
      <c r="O12168" s="5" t="s">
        <v>355</v>
      </c>
      <c r="P12168" s="5" t="s">
        <v>355</v>
      </c>
      <c r="Q12168" s="5" t="s">
        <v>355</v>
      </c>
    </row>
    <row r="12169" ht="16.5" customHeight="1">
      <c r="O12169" s="5" t="s">
        <v>355</v>
      </c>
      <c r="P12169" s="5" t="s">
        <v>355</v>
      </c>
      <c r="Q12169" s="5" t="s">
        <v>355</v>
      </c>
    </row>
    <row r="12170" ht="16.5" customHeight="1">
      <c r="O12170" s="5" t="s">
        <v>355</v>
      </c>
      <c r="P12170" s="5" t="s">
        <v>355</v>
      </c>
      <c r="Q12170" s="5" t="s">
        <v>355</v>
      </c>
    </row>
    <row r="12171" ht="16.5" customHeight="1">
      <c r="O12171" s="5" t="s">
        <v>355</v>
      </c>
      <c r="P12171" s="5" t="s">
        <v>355</v>
      </c>
      <c r="Q12171" s="5" t="s">
        <v>355</v>
      </c>
    </row>
    <row r="12172" ht="16.5" customHeight="1">
      <c r="O12172" s="5" t="s">
        <v>355</v>
      </c>
      <c r="P12172" s="5" t="s">
        <v>355</v>
      </c>
      <c r="Q12172" s="5" t="s">
        <v>355</v>
      </c>
    </row>
    <row r="12173" ht="16.5" customHeight="1">
      <c r="O12173" s="5" t="s">
        <v>355</v>
      </c>
      <c r="P12173" s="5" t="s">
        <v>355</v>
      </c>
      <c r="Q12173" s="5" t="s">
        <v>355</v>
      </c>
    </row>
    <row r="12174" ht="16.5" customHeight="1">
      <c r="O12174" s="5" t="s">
        <v>355</v>
      </c>
      <c r="P12174" s="5" t="s">
        <v>355</v>
      </c>
      <c r="Q12174" s="5" t="s">
        <v>355</v>
      </c>
    </row>
    <row r="12175" ht="16.5" customHeight="1">
      <c r="O12175" s="5" t="s">
        <v>355</v>
      </c>
      <c r="P12175" s="5" t="s">
        <v>355</v>
      </c>
      <c r="Q12175" s="5" t="s">
        <v>355</v>
      </c>
    </row>
    <row r="12176" ht="16.5" customHeight="1">
      <c r="O12176" s="5" t="s">
        <v>355</v>
      </c>
      <c r="P12176" s="5" t="s">
        <v>355</v>
      </c>
      <c r="Q12176" s="5" t="s">
        <v>355</v>
      </c>
    </row>
    <row r="12177" ht="16.5" customHeight="1">
      <c r="O12177" s="5" t="s">
        <v>355</v>
      </c>
      <c r="P12177" s="5" t="s">
        <v>355</v>
      </c>
      <c r="Q12177" s="5" t="s">
        <v>355</v>
      </c>
    </row>
    <row r="12178" ht="16.5" customHeight="1">
      <c r="O12178" s="5" t="s">
        <v>355</v>
      </c>
      <c r="P12178" s="5" t="s">
        <v>355</v>
      </c>
      <c r="Q12178" s="5" t="s">
        <v>355</v>
      </c>
    </row>
    <row r="12179" ht="16.5" customHeight="1">
      <c r="O12179" s="5" t="s">
        <v>355</v>
      </c>
      <c r="P12179" s="5" t="s">
        <v>355</v>
      </c>
      <c r="Q12179" s="5" t="s">
        <v>355</v>
      </c>
    </row>
    <row r="12180" ht="16.5" customHeight="1">
      <c r="O12180" s="5" t="s">
        <v>355</v>
      </c>
      <c r="P12180" s="5" t="s">
        <v>355</v>
      </c>
      <c r="Q12180" s="5" t="s">
        <v>355</v>
      </c>
    </row>
    <row r="12181" ht="16.5" customHeight="1">
      <c r="O12181" s="5" t="s">
        <v>355</v>
      </c>
      <c r="P12181" s="5" t="s">
        <v>355</v>
      </c>
      <c r="Q12181" s="5" t="s">
        <v>355</v>
      </c>
    </row>
    <row r="12182" ht="16.5" customHeight="1">
      <c r="O12182" s="5" t="s">
        <v>355</v>
      </c>
      <c r="P12182" s="5" t="s">
        <v>355</v>
      </c>
      <c r="Q12182" s="5" t="s">
        <v>355</v>
      </c>
    </row>
    <row r="12183" ht="16.5" customHeight="1">
      <c r="O12183" s="5" t="s">
        <v>355</v>
      </c>
      <c r="P12183" s="5" t="s">
        <v>355</v>
      </c>
      <c r="Q12183" s="5" t="s">
        <v>355</v>
      </c>
    </row>
    <row r="12184" ht="16.5" customHeight="1">
      <c r="O12184" s="5" t="s">
        <v>355</v>
      </c>
      <c r="P12184" s="5" t="s">
        <v>355</v>
      </c>
      <c r="Q12184" s="5" t="s">
        <v>355</v>
      </c>
    </row>
    <row r="12185" ht="16.5" customHeight="1">
      <c r="O12185" s="5" t="s">
        <v>355</v>
      </c>
      <c r="P12185" s="5" t="s">
        <v>355</v>
      </c>
      <c r="Q12185" s="5" t="s">
        <v>355</v>
      </c>
    </row>
    <row r="12186" ht="16.5" customHeight="1">
      <c r="O12186" s="5" t="s">
        <v>355</v>
      </c>
      <c r="P12186" s="5" t="s">
        <v>355</v>
      </c>
      <c r="Q12186" s="5" t="s">
        <v>355</v>
      </c>
    </row>
    <row r="12187" ht="16.5" customHeight="1">
      <c r="O12187" s="5" t="s">
        <v>355</v>
      </c>
      <c r="P12187" s="5" t="s">
        <v>355</v>
      </c>
      <c r="Q12187" s="5" t="s">
        <v>355</v>
      </c>
    </row>
    <row r="12188" ht="16.5" customHeight="1">
      <c r="O12188" s="5" t="s">
        <v>355</v>
      </c>
      <c r="P12188" s="5" t="s">
        <v>355</v>
      </c>
      <c r="Q12188" s="5" t="s">
        <v>355</v>
      </c>
    </row>
    <row r="12189" ht="16.5" customHeight="1">
      <c r="O12189" s="5" t="s">
        <v>355</v>
      </c>
      <c r="P12189" s="5" t="s">
        <v>355</v>
      </c>
      <c r="Q12189" s="5" t="s">
        <v>355</v>
      </c>
    </row>
    <row r="12190" ht="16.5" customHeight="1">
      <c r="O12190" s="5" t="s">
        <v>355</v>
      </c>
      <c r="P12190" s="5" t="s">
        <v>355</v>
      </c>
      <c r="Q12190" s="5" t="s">
        <v>355</v>
      </c>
    </row>
    <row r="12191" ht="16.5" customHeight="1">
      <c r="O12191" s="5" t="s">
        <v>355</v>
      </c>
      <c r="P12191" s="5" t="s">
        <v>355</v>
      </c>
      <c r="Q12191" s="5" t="s">
        <v>355</v>
      </c>
    </row>
    <row r="12192" ht="16.5" customHeight="1">
      <c r="O12192" s="5" t="s">
        <v>355</v>
      </c>
      <c r="P12192" s="5" t="s">
        <v>355</v>
      </c>
      <c r="Q12192" s="5" t="s">
        <v>355</v>
      </c>
    </row>
    <row r="12193" ht="16.5" customHeight="1">
      <c r="O12193" s="5" t="s">
        <v>355</v>
      </c>
      <c r="P12193" s="5" t="s">
        <v>355</v>
      </c>
      <c r="Q12193" s="5" t="s">
        <v>355</v>
      </c>
    </row>
    <row r="12194" ht="16.5" customHeight="1">
      <c r="O12194" s="5" t="s">
        <v>355</v>
      </c>
      <c r="P12194" s="5" t="s">
        <v>355</v>
      </c>
      <c r="Q12194" s="5" t="s">
        <v>355</v>
      </c>
    </row>
    <row r="12195" ht="16.5" customHeight="1">
      <c r="O12195" s="5" t="s">
        <v>355</v>
      </c>
      <c r="P12195" s="5" t="s">
        <v>355</v>
      </c>
      <c r="Q12195" s="5" t="s">
        <v>355</v>
      </c>
    </row>
    <row r="12196" ht="16.5" customHeight="1">
      <c r="O12196" s="5" t="s">
        <v>355</v>
      </c>
      <c r="P12196" s="5" t="s">
        <v>355</v>
      </c>
      <c r="Q12196" s="5" t="s">
        <v>355</v>
      </c>
    </row>
    <row r="12197" ht="16.5" customHeight="1">
      <c r="O12197" s="5" t="s">
        <v>355</v>
      </c>
      <c r="P12197" s="5" t="s">
        <v>355</v>
      </c>
      <c r="Q12197" s="5" t="s">
        <v>355</v>
      </c>
    </row>
    <row r="12198" ht="16.5" customHeight="1">
      <c r="O12198" s="5" t="s">
        <v>355</v>
      </c>
      <c r="P12198" s="5" t="s">
        <v>355</v>
      </c>
      <c r="Q12198" s="5" t="s">
        <v>355</v>
      </c>
    </row>
    <row r="12199" ht="16.5" customHeight="1">
      <c r="O12199" s="5" t="s">
        <v>355</v>
      </c>
      <c r="P12199" s="5" t="s">
        <v>355</v>
      </c>
      <c r="Q12199" s="5" t="s">
        <v>355</v>
      </c>
    </row>
    <row r="12200" ht="16.5" customHeight="1">
      <c r="O12200" s="5" t="s">
        <v>355</v>
      </c>
      <c r="P12200" s="5" t="s">
        <v>355</v>
      </c>
      <c r="Q12200" s="5" t="s">
        <v>355</v>
      </c>
    </row>
    <row r="12201" ht="16.5" customHeight="1">
      <c r="O12201" s="5" t="s">
        <v>355</v>
      </c>
      <c r="P12201" s="5" t="s">
        <v>355</v>
      </c>
      <c r="Q12201" s="5" t="s">
        <v>355</v>
      </c>
    </row>
    <row r="12202" ht="16.5" customHeight="1">
      <c r="O12202" s="5" t="s">
        <v>355</v>
      </c>
      <c r="P12202" s="5" t="s">
        <v>355</v>
      </c>
      <c r="Q12202" s="5" t="s">
        <v>355</v>
      </c>
    </row>
    <row r="12203" ht="16.5" customHeight="1">
      <c r="O12203" s="5" t="s">
        <v>355</v>
      </c>
      <c r="P12203" s="5" t="s">
        <v>355</v>
      </c>
      <c r="Q12203" s="5" t="s">
        <v>355</v>
      </c>
    </row>
    <row r="12204" ht="16.5" customHeight="1">
      <c r="O12204" s="5" t="s">
        <v>355</v>
      </c>
      <c r="P12204" s="5" t="s">
        <v>355</v>
      </c>
      <c r="Q12204" s="5" t="s">
        <v>355</v>
      </c>
    </row>
    <row r="12205" ht="16.5" customHeight="1">
      <c r="O12205" s="5" t="s">
        <v>355</v>
      </c>
      <c r="P12205" s="5" t="s">
        <v>355</v>
      </c>
      <c r="Q12205" s="5" t="s">
        <v>355</v>
      </c>
    </row>
    <row r="12206" ht="16.5" customHeight="1">
      <c r="O12206" s="5" t="s">
        <v>355</v>
      </c>
      <c r="P12206" s="5" t="s">
        <v>355</v>
      </c>
      <c r="Q12206" s="5" t="s">
        <v>355</v>
      </c>
    </row>
    <row r="12207" ht="16.5" customHeight="1">
      <c r="O12207" s="5" t="s">
        <v>355</v>
      </c>
      <c r="P12207" s="5" t="s">
        <v>355</v>
      </c>
      <c r="Q12207" s="5" t="s">
        <v>355</v>
      </c>
    </row>
    <row r="12208" ht="16.5" customHeight="1">
      <c r="O12208" s="5" t="s">
        <v>355</v>
      </c>
      <c r="P12208" s="5" t="s">
        <v>355</v>
      </c>
      <c r="Q12208" s="5" t="s">
        <v>355</v>
      </c>
    </row>
    <row r="12209" ht="16.5" customHeight="1">
      <c r="O12209" s="5" t="s">
        <v>355</v>
      </c>
      <c r="P12209" s="5" t="s">
        <v>355</v>
      </c>
      <c r="Q12209" s="5" t="s">
        <v>355</v>
      </c>
    </row>
    <row r="12210" ht="16.5" customHeight="1">
      <c r="O12210" s="5" t="s">
        <v>355</v>
      </c>
      <c r="P12210" s="5" t="s">
        <v>355</v>
      </c>
      <c r="Q12210" s="5" t="s">
        <v>355</v>
      </c>
    </row>
    <row r="12211" ht="16.5" customHeight="1">
      <c r="O12211" s="5" t="s">
        <v>355</v>
      </c>
      <c r="P12211" s="5" t="s">
        <v>355</v>
      </c>
      <c r="Q12211" s="5" t="s">
        <v>355</v>
      </c>
    </row>
    <row r="12212" ht="16.5" customHeight="1">
      <c r="O12212" s="5" t="s">
        <v>355</v>
      </c>
      <c r="P12212" s="5" t="s">
        <v>355</v>
      </c>
      <c r="Q12212" s="5" t="s">
        <v>355</v>
      </c>
    </row>
    <row r="12213" ht="16.5" customHeight="1">
      <c r="O12213" s="5" t="s">
        <v>355</v>
      </c>
      <c r="P12213" s="5" t="s">
        <v>355</v>
      </c>
      <c r="Q12213" s="5" t="s">
        <v>355</v>
      </c>
    </row>
    <row r="12214" ht="16.5" customHeight="1">
      <c r="O12214" s="5" t="s">
        <v>355</v>
      </c>
      <c r="P12214" s="5" t="s">
        <v>355</v>
      </c>
      <c r="Q12214" s="5" t="s">
        <v>355</v>
      </c>
    </row>
    <row r="12215" ht="16.5" customHeight="1">
      <c r="O12215" s="5" t="s">
        <v>355</v>
      </c>
      <c r="P12215" s="5" t="s">
        <v>355</v>
      </c>
      <c r="Q12215" s="5" t="s">
        <v>355</v>
      </c>
    </row>
    <row r="12216" ht="16.5" customHeight="1">
      <c r="O12216" s="5" t="s">
        <v>355</v>
      </c>
      <c r="P12216" s="5" t="s">
        <v>355</v>
      </c>
      <c r="Q12216" s="5" t="s">
        <v>355</v>
      </c>
    </row>
    <row r="12217" ht="16.5" customHeight="1">
      <c r="O12217" s="5" t="s">
        <v>355</v>
      </c>
      <c r="P12217" s="5" t="s">
        <v>355</v>
      </c>
      <c r="Q12217" s="5" t="s">
        <v>355</v>
      </c>
    </row>
    <row r="12218" ht="16.5" customHeight="1">
      <c r="O12218" s="5" t="s">
        <v>355</v>
      </c>
      <c r="P12218" s="5" t="s">
        <v>355</v>
      </c>
      <c r="Q12218" s="5" t="s">
        <v>355</v>
      </c>
    </row>
    <row r="12219" ht="16.5" customHeight="1">
      <c r="O12219" s="5" t="s">
        <v>355</v>
      </c>
      <c r="P12219" s="5" t="s">
        <v>355</v>
      </c>
      <c r="Q12219" s="5" t="s">
        <v>355</v>
      </c>
    </row>
    <row r="12220" ht="16.5" customHeight="1">
      <c r="O12220" s="5" t="s">
        <v>355</v>
      </c>
      <c r="P12220" s="5" t="s">
        <v>355</v>
      </c>
      <c r="Q12220" s="5" t="s">
        <v>355</v>
      </c>
    </row>
    <row r="12221" ht="16.5" customHeight="1">
      <c r="O12221" s="5" t="s">
        <v>355</v>
      </c>
      <c r="P12221" s="5" t="s">
        <v>355</v>
      </c>
      <c r="Q12221" s="5" t="s">
        <v>355</v>
      </c>
    </row>
    <row r="12222" ht="16.5" customHeight="1">
      <c r="O12222" s="5" t="s">
        <v>355</v>
      </c>
      <c r="P12222" s="5" t="s">
        <v>355</v>
      </c>
      <c r="Q12222" s="5" t="s">
        <v>355</v>
      </c>
    </row>
    <row r="12223" ht="16.5" customHeight="1">
      <c r="O12223" s="5" t="s">
        <v>355</v>
      </c>
      <c r="P12223" s="5" t="s">
        <v>355</v>
      </c>
      <c r="Q12223" s="5" t="s">
        <v>355</v>
      </c>
    </row>
    <row r="12224" ht="16.5" customHeight="1">
      <c r="O12224" s="5" t="s">
        <v>355</v>
      </c>
      <c r="P12224" s="5" t="s">
        <v>355</v>
      </c>
      <c r="Q12224" s="5" t="s">
        <v>355</v>
      </c>
    </row>
    <row r="12225" ht="16.5" customHeight="1">
      <c r="O12225" s="5" t="s">
        <v>355</v>
      </c>
      <c r="P12225" s="5" t="s">
        <v>355</v>
      </c>
      <c r="Q12225" s="5" t="s">
        <v>355</v>
      </c>
    </row>
    <row r="12226" ht="16.5" customHeight="1">
      <c r="O12226" s="5" t="s">
        <v>355</v>
      </c>
      <c r="P12226" s="5" t="s">
        <v>355</v>
      </c>
      <c r="Q12226" s="5" t="s">
        <v>355</v>
      </c>
    </row>
    <row r="12227" ht="16.5" customHeight="1">
      <c r="O12227" s="5" t="s">
        <v>355</v>
      </c>
      <c r="P12227" s="5" t="s">
        <v>355</v>
      </c>
      <c r="Q12227" s="5" t="s">
        <v>355</v>
      </c>
    </row>
    <row r="12228" ht="16.5" customHeight="1">
      <c r="O12228" s="5" t="s">
        <v>355</v>
      </c>
      <c r="P12228" s="5" t="s">
        <v>355</v>
      </c>
      <c r="Q12228" s="5" t="s">
        <v>355</v>
      </c>
    </row>
    <row r="12229" ht="16.5" customHeight="1">
      <c r="O12229" s="5" t="s">
        <v>355</v>
      </c>
      <c r="P12229" s="5" t="s">
        <v>355</v>
      </c>
      <c r="Q12229" s="5" t="s">
        <v>355</v>
      </c>
    </row>
    <row r="12230" ht="16.5" customHeight="1">
      <c r="O12230" s="5" t="s">
        <v>355</v>
      </c>
      <c r="P12230" s="5" t="s">
        <v>355</v>
      </c>
      <c r="Q12230" s="5" t="s">
        <v>355</v>
      </c>
    </row>
    <row r="12231" ht="16.5" customHeight="1">
      <c r="O12231" s="5" t="s">
        <v>355</v>
      </c>
      <c r="P12231" s="5" t="s">
        <v>355</v>
      </c>
      <c r="Q12231" s="5" t="s">
        <v>355</v>
      </c>
    </row>
    <row r="12232" ht="16.5" customHeight="1">
      <c r="O12232" s="5" t="s">
        <v>355</v>
      </c>
      <c r="P12232" s="5" t="s">
        <v>355</v>
      </c>
      <c r="Q12232" s="5" t="s">
        <v>355</v>
      </c>
    </row>
    <row r="12233" ht="16.5" customHeight="1">
      <c r="O12233" s="5" t="s">
        <v>355</v>
      </c>
      <c r="P12233" s="5" t="s">
        <v>355</v>
      </c>
      <c r="Q12233" s="5" t="s">
        <v>355</v>
      </c>
    </row>
    <row r="12234" ht="16.5" customHeight="1">
      <c r="O12234" s="5" t="s">
        <v>355</v>
      </c>
      <c r="P12234" s="5" t="s">
        <v>355</v>
      </c>
      <c r="Q12234" s="5" t="s">
        <v>355</v>
      </c>
    </row>
    <row r="12235" ht="16.5" customHeight="1">
      <c r="O12235" s="5" t="s">
        <v>355</v>
      </c>
      <c r="P12235" s="5" t="s">
        <v>355</v>
      </c>
      <c r="Q12235" s="5" t="s">
        <v>355</v>
      </c>
    </row>
    <row r="12236" ht="16.5" customHeight="1">
      <c r="O12236" s="5" t="s">
        <v>355</v>
      </c>
      <c r="P12236" s="5" t="s">
        <v>355</v>
      </c>
      <c r="Q12236" s="5" t="s">
        <v>355</v>
      </c>
    </row>
    <row r="12237" ht="16.5" customHeight="1">
      <c r="O12237" s="5" t="s">
        <v>355</v>
      </c>
      <c r="P12237" s="5" t="s">
        <v>355</v>
      </c>
      <c r="Q12237" s="5" t="s">
        <v>355</v>
      </c>
    </row>
    <row r="12238" ht="16.5" customHeight="1">
      <c r="O12238" s="5" t="s">
        <v>355</v>
      </c>
      <c r="P12238" s="5" t="s">
        <v>355</v>
      </c>
      <c r="Q12238" s="5" t="s">
        <v>355</v>
      </c>
    </row>
    <row r="12239" ht="16.5" customHeight="1">
      <c r="O12239" s="5" t="s">
        <v>355</v>
      </c>
      <c r="P12239" s="5" t="s">
        <v>355</v>
      </c>
      <c r="Q12239" s="5" t="s">
        <v>355</v>
      </c>
    </row>
    <row r="12240" ht="16.5" customHeight="1">
      <c r="O12240" s="5" t="s">
        <v>355</v>
      </c>
      <c r="P12240" s="5" t="s">
        <v>355</v>
      </c>
      <c r="Q12240" s="5" t="s">
        <v>355</v>
      </c>
    </row>
    <row r="12241" ht="16.5" customHeight="1">
      <c r="O12241" s="5" t="s">
        <v>355</v>
      </c>
      <c r="P12241" s="5" t="s">
        <v>355</v>
      </c>
      <c r="Q12241" s="5" t="s">
        <v>355</v>
      </c>
    </row>
    <row r="12242" ht="16.5" customHeight="1">
      <c r="O12242" s="5" t="s">
        <v>355</v>
      </c>
      <c r="P12242" s="5" t="s">
        <v>355</v>
      </c>
      <c r="Q12242" s="5" t="s">
        <v>355</v>
      </c>
    </row>
    <row r="12243" ht="16.5" customHeight="1">
      <c r="O12243" s="5" t="s">
        <v>355</v>
      </c>
      <c r="P12243" s="5" t="s">
        <v>355</v>
      </c>
      <c r="Q12243" s="5" t="s">
        <v>355</v>
      </c>
    </row>
    <row r="12244" ht="16.5" customHeight="1">
      <c r="O12244" s="5" t="s">
        <v>355</v>
      </c>
      <c r="P12244" s="5" t="s">
        <v>355</v>
      </c>
      <c r="Q12244" s="5" t="s">
        <v>355</v>
      </c>
    </row>
    <row r="12245" ht="16.5" customHeight="1">
      <c r="O12245" s="5" t="s">
        <v>355</v>
      </c>
      <c r="P12245" s="5" t="s">
        <v>355</v>
      </c>
      <c r="Q12245" s="5" t="s">
        <v>355</v>
      </c>
    </row>
    <row r="12246" ht="16.5" customHeight="1">
      <c r="O12246" s="5" t="s">
        <v>355</v>
      </c>
      <c r="P12246" s="5" t="s">
        <v>355</v>
      </c>
      <c r="Q12246" s="5" t="s">
        <v>355</v>
      </c>
    </row>
    <row r="12247" ht="16.5" customHeight="1">
      <c r="O12247" s="5" t="s">
        <v>355</v>
      </c>
      <c r="P12247" s="5" t="s">
        <v>355</v>
      </c>
      <c r="Q12247" s="5" t="s">
        <v>355</v>
      </c>
    </row>
    <row r="12248" ht="16.5" customHeight="1">
      <c r="O12248" s="5" t="s">
        <v>355</v>
      </c>
      <c r="P12248" s="5" t="s">
        <v>355</v>
      </c>
      <c r="Q12248" s="5" t="s">
        <v>355</v>
      </c>
    </row>
    <row r="12249" ht="16.5" customHeight="1">
      <c r="O12249" s="5" t="s">
        <v>355</v>
      </c>
      <c r="P12249" s="5" t="s">
        <v>355</v>
      </c>
      <c r="Q12249" s="5" t="s">
        <v>355</v>
      </c>
    </row>
    <row r="12250" ht="16.5" customHeight="1">
      <c r="O12250" s="5" t="s">
        <v>355</v>
      </c>
      <c r="P12250" s="5" t="s">
        <v>355</v>
      </c>
      <c r="Q12250" s="5" t="s">
        <v>355</v>
      </c>
    </row>
    <row r="12251" ht="16.5" customHeight="1">
      <c r="O12251" s="5" t="s">
        <v>355</v>
      </c>
      <c r="P12251" s="5" t="s">
        <v>355</v>
      </c>
      <c r="Q12251" s="5" t="s">
        <v>355</v>
      </c>
    </row>
    <row r="12252" ht="16.5" customHeight="1">
      <c r="O12252" s="5" t="s">
        <v>355</v>
      </c>
      <c r="P12252" s="5" t="s">
        <v>355</v>
      </c>
      <c r="Q12252" s="5" t="s">
        <v>355</v>
      </c>
    </row>
    <row r="12253" ht="16.5" customHeight="1">
      <c r="O12253" s="5" t="s">
        <v>355</v>
      </c>
      <c r="P12253" s="5" t="s">
        <v>355</v>
      </c>
      <c r="Q12253" s="5" t="s">
        <v>355</v>
      </c>
    </row>
    <row r="12254" ht="16.5" customHeight="1">
      <c r="O12254" s="5" t="s">
        <v>355</v>
      </c>
      <c r="P12254" s="5" t="s">
        <v>355</v>
      </c>
      <c r="Q12254" s="5" t="s">
        <v>355</v>
      </c>
    </row>
    <row r="12255" ht="16.5" customHeight="1">
      <c r="O12255" s="5" t="s">
        <v>355</v>
      </c>
      <c r="P12255" s="5" t="s">
        <v>355</v>
      </c>
      <c r="Q12255" s="5" t="s">
        <v>355</v>
      </c>
    </row>
    <row r="12256" ht="16.5" customHeight="1">
      <c r="O12256" s="5" t="s">
        <v>355</v>
      </c>
      <c r="P12256" s="5" t="s">
        <v>355</v>
      </c>
      <c r="Q12256" s="5" t="s">
        <v>355</v>
      </c>
    </row>
    <row r="12257" ht="16.5" customHeight="1">
      <c r="O12257" s="5" t="s">
        <v>355</v>
      </c>
      <c r="P12257" s="5" t="s">
        <v>355</v>
      </c>
      <c r="Q12257" s="5" t="s">
        <v>355</v>
      </c>
    </row>
    <row r="12258" ht="16.5" customHeight="1">
      <c r="O12258" s="5" t="s">
        <v>355</v>
      </c>
      <c r="P12258" s="5" t="s">
        <v>355</v>
      </c>
      <c r="Q12258" s="5" t="s">
        <v>355</v>
      </c>
    </row>
    <row r="12259" ht="16.5" customHeight="1">
      <c r="O12259" s="5" t="s">
        <v>355</v>
      </c>
      <c r="P12259" s="5" t="s">
        <v>355</v>
      </c>
      <c r="Q12259" s="5" t="s">
        <v>355</v>
      </c>
    </row>
    <row r="12260" ht="16.5" customHeight="1">
      <c r="O12260" s="5" t="s">
        <v>355</v>
      </c>
      <c r="P12260" s="5" t="s">
        <v>355</v>
      </c>
      <c r="Q12260" s="5" t="s">
        <v>355</v>
      </c>
    </row>
    <row r="12261" ht="16.5" customHeight="1">
      <c r="O12261" s="5" t="s">
        <v>355</v>
      </c>
      <c r="P12261" s="5" t="s">
        <v>355</v>
      </c>
      <c r="Q12261" s="5" t="s">
        <v>355</v>
      </c>
    </row>
    <row r="12262" ht="16.5" customHeight="1">
      <c r="O12262" s="5" t="s">
        <v>355</v>
      </c>
      <c r="P12262" s="5" t="s">
        <v>355</v>
      </c>
      <c r="Q12262" s="5" t="s">
        <v>355</v>
      </c>
    </row>
    <row r="12263" ht="16.5" customHeight="1">
      <c r="O12263" s="5" t="s">
        <v>355</v>
      </c>
      <c r="P12263" s="5" t="s">
        <v>355</v>
      </c>
      <c r="Q12263" s="5" t="s">
        <v>355</v>
      </c>
    </row>
    <row r="12264" ht="16.5" customHeight="1">
      <c r="O12264" s="5" t="s">
        <v>355</v>
      </c>
      <c r="P12264" s="5" t="s">
        <v>355</v>
      </c>
      <c r="Q12264" s="5" t="s">
        <v>355</v>
      </c>
    </row>
    <row r="12265" ht="16.5" customHeight="1">
      <c r="O12265" s="5" t="s">
        <v>355</v>
      </c>
      <c r="P12265" s="5" t="s">
        <v>355</v>
      </c>
      <c r="Q12265" s="5" t="s">
        <v>355</v>
      </c>
    </row>
    <row r="12266" ht="16.5" customHeight="1">
      <c r="O12266" s="5" t="s">
        <v>355</v>
      </c>
      <c r="P12266" s="5" t="s">
        <v>355</v>
      </c>
      <c r="Q12266" s="5" t="s">
        <v>355</v>
      </c>
    </row>
    <row r="12267" ht="16.5" customHeight="1">
      <c r="O12267" s="5" t="s">
        <v>355</v>
      </c>
      <c r="P12267" s="5" t="s">
        <v>355</v>
      </c>
      <c r="Q12267" s="5" t="s">
        <v>355</v>
      </c>
    </row>
    <row r="12268" ht="16.5" customHeight="1">
      <c r="O12268" s="5" t="s">
        <v>355</v>
      </c>
      <c r="P12268" s="5" t="s">
        <v>355</v>
      </c>
      <c r="Q12268" s="5" t="s">
        <v>355</v>
      </c>
    </row>
    <row r="12269" ht="16.5" customHeight="1">
      <c r="O12269" s="5" t="s">
        <v>355</v>
      </c>
      <c r="P12269" s="5" t="s">
        <v>355</v>
      </c>
      <c r="Q12269" s="5" t="s">
        <v>355</v>
      </c>
    </row>
    <row r="12270" ht="16.5" customHeight="1">
      <c r="O12270" s="5" t="s">
        <v>355</v>
      </c>
      <c r="P12270" s="5" t="s">
        <v>355</v>
      </c>
      <c r="Q12270" s="5" t="s">
        <v>355</v>
      </c>
    </row>
    <row r="12271" ht="16.5" customHeight="1">
      <c r="O12271" s="5" t="s">
        <v>355</v>
      </c>
      <c r="P12271" s="5" t="s">
        <v>355</v>
      </c>
      <c r="Q12271" s="5" t="s">
        <v>355</v>
      </c>
    </row>
    <row r="12272" ht="16.5" customHeight="1">
      <c r="O12272" s="5" t="s">
        <v>355</v>
      </c>
      <c r="P12272" s="5" t="s">
        <v>355</v>
      </c>
      <c r="Q12272" s="5" t="s">
        <v>355</v>
      </c>
    </row>
    <row r="12273" ht="16.5" customHeight="1">
      <c r="O12273" s="5" t="s">
        <v>355</v>
      </c>
      <c r="P12273" s="5" t="s">
        <v>355</v>
      </c>
      <c r="Q12273" s="5" t="s">
        <v>355</v>
      </c>
    </row>
    <row r="12274" ht="16.5" customHeight="1">
      <c r="O12274" s="5" t="s">
        <v>355</v>
      </c>
      <c r="P12274" s="5" t="s">
        <v>355</v>
      </c>
      <c r="Q12274" s="5" t="s">
        <v>355</v>
      </c>
    </row>
    <row r="12275" ht="16.5" customHeight="1">
      <c r="O12275" s="5" t="s">
        <v>355</v>
      </c>
      <c r="P12275" s="5" t="s">
        <v>355</v>
      </c>
      <c r="Q12275" s="5" t="s">
        <v>355</v>
      </c>
    </row>
    <row r="12276" ht="16.5" customHeight="1">
      <c r="O12276" s="5" t="s">
        <v>355</v>
      </c>
      <c r="P12276" s="5" t="s">
        <v>355</v>
      </c>
      <c r="Q12276" s="5" t="s">
        <v>355</v>
      </c>
    </row>
    <row r="12277" ht="16.5" customHeight="1">
      <c r="O12277" s="5" t="s">
        <v>355</v>
      </c>
      <c r="P12277" s="5" t="s">
        <v>355</v>
      </c>
      <c r="Q12277" s="5" t="s">
        <v>355</v>
      </c>
    </row>
    <row r="12278" ht="16.5" customHeight="1">
      <c r="O12278" s="5" t="s">
        <v>355</v>
      </c>
      <c r="P12278" s="5" t="s">
        <v>355</v>
      </c>
      <c r="Q12278" s="5" t="s">
        <v>355</v>
      </c>
    </row>
    <row r="12279" ht="16.5" customHeight="1">
      <c r="O12279" s="5" t="s">
        <v>355</v>
      </c>
      <c r="P12279" s="5" t="s">
        <v>355</v>
      </c>
      <c r="Q12279" s="5" t="s">
        <v>355</v>
      </c>
    </row>
    <row r="12280" ht="16.5" customHeight="1">
      <c r="O12280" s="5" t="s">
        <v>355</v>
      </c>
      <c r="P12280" s="5" t="s">
        <v>355</v>
      </c>
      <c r="Q12280" s="5" t="s">
        <v>355</v>
      </c>
    </row>
    <row r="12281" ht="16.5" customHeight="1">
      <c r="O12281" s="5" t="s">
        <v>355</v>
      </c>
      <c r="P12281" s="5" t="s">
        <v>355</v>
      </c>
      <c r="Q12281" s="5" t="s">
        <v>355</v>
      </c>
    </row>
    <row r="12282" ht="16.5" customHeight="1">
      <c r="O12282" s="5" t="s">
        <v>355</v>
      </c>
      <c r="P12282" s="5" t="s">
        <v>355</v>
      </c>
      <c r="Q12282" s="5" t="s">
        <v>355</v>
      </c>
    </row>
    <row r="12283" ht="16.5" customHeight="1">
      <c r="O12283" s="5" t="s">
        <v>355</v>
      </c>
      <c r="P12283" s="5" t="s">
        <v>355</v>
      </c>
      <c r="Q12283" s="5" t="s">
        <v>355</v>
      </c>
    </row>
    <row r="12284" ht="16.5" customHeight="1">
      <c r="O12284" s="5" t="s">
        <v>355</v>
      </c>
      <c r="P12284" s="5" t="s">
        <v>355</v>
      </c>
      <c r="Q12284" s="5" t="s">
        <v>355</v>
      </c>
    </row>
    <row r="12285" ht="16.5" customHeight="1">
      <c r="O12285" s="5" t="s">
        <v>355</v>
      </c>
      <c r="P12285" s="5" t="s">
        <v>355</v>
      </c>
      <c r="Q12285" s="5" t="s">
        <v>355</v>
      </c>
    </row>
    <row r="12286" ht="16.5" customHeight="1">
      <c r="O12286" s="5" t="s">
        <v>355</v>
      </c>
      <c r="P12286" s="5" t="s">
        <v>355</v>
      </c>
      <c r="Q12286" s="5" t="s">
        <v>355</v>
      </c>
    </row>
    <row r="12287" ht="16.5" customHeight="1">
      <c r="O12287" s="5" t="s">
        <v>355</v>
      </c>
      <c r="P12287" s="5" t="s">
        <v>355</v>
      </c>
      <c r="Q12287" s="5" t="s">
        <v>355</v>
      </c>
    </row>
    <row r="12288" ht="16.5" customHeight="1">
      <c r="O12288" s="5" t="s">
        <v>355</v>
      </c>
      <c r="P12288" s="5" t="s">
        <v>355</v>
      </c>
      <c r="Q12288" s="5" t="s">
        <v>355</v>
      </c>
    </row>
    <row r="12289" ht="16.5" customHeight="1">
      <c r="O12289" s="5" t="s">
        <v>355</v>
      </c>
      <c r="P12289" s="5" t="s">
        <v>355</v>
      </c>
      <c r="Q12289" s="5" t="s">
        <v>355</v>
      </c>
    </row>
    <row r="12290" ht="16.5" customHeight="1">
      <c r="O12290" s="5" t="s">
        <v>355</v>
      </c>
      <c r="P12290" s="5" t="s">
        <v>355</v>
      </c>
      <c r="Q12290" s="5" t="s">
        <v>355</v>
      </c>
    </row>
    <row r="12291" ht="16.5" customHeight="1">
      <c r="O12291" s="5" t="s">
        <v>355</v>
      </c>
      <c r="P12291" s="5" t="s">
        <v>355</v>
      </c>
      <c r="Q12291" s="5" t="s">
        <v>355</v>
      </c>
    </row>
    <row r="12292" ht="16.5" customHeight="1">
      <c r="O12292" s="5" t="s">
        <v>355</v>
      </c>
      <c r="P12292" s="5" t="s">
        <v>355</v>
      </c>
      <c r="Q12292" s="5" t="s">
        <v>355</v>
      </c>
    </row>
    <row r="12293" ht="16.5" customHeight="1">
      <c r="O12293" s="5" t="s">
        <v>355</v>
      </c>
      <c r="P12293" s="5" t="s">
        <v>355</v>
      </c>
      <c r="Q12293" s="5" t="s">
        <v>355</v>
      </c>
    </row>
    <row r="12294" ht="16.5" customHeight="1">
      <c r="O12294" s="5" t="s">
        <v>355</v>
      </c>
      <c r="P12294" s="5" t="s">
        <v>355</v>
      </c>
      <c r="Q12294" s="5" t="s">
        <v>355</v>
      </c>
    </row>
    <row r="12295" ht="16.5" customHeight="1">
      <c r="O12295" s="5" t="s">
        <v>355</v>
      </c>
      <c r="P12295" s="5" t="s">
        <v>355</v>
      </c>
      <c r="Q12295" s="5" t="s">
        <v>355</v>
      </c>
    </row>
    <row r="12296" ht="16.5" customHeight="1">
      <c r="O12296" s="5" t="s">
        <v>355</v>
      </c>
      <c r="P12296" s="5" t="s">
        <v>355</v>
      </c>
      <c r="Q12296" s="5" t="s">
        <v>355</v>
      </c>
    </row>
    <row r="12297" ht="16.5" customHeight="1">
      <c r="O12297" s="5" t="s">
        <v>355</v>
      </c>
      <c r="P12297" s="5" t="s">
        <v>355</v>
      </c>
      <c r="Q12297" s="5" t="s">
        <v>355</v>
      </c>
    </row>
    <row r="12298" ht="16.5" customHeight="1">
      <c r="O12298" s="5" t="s">
        <v>355</v>
      </c>
      <c r="P12298" s="5" t="s">
        <v>355</v>
      </c>
      <c r="Q12298" s="5" t="s">
        <v>355</v>
      </c>
    </row>
    <row r="12299" ht="16.5" customHeight="1">
      <c r="O12299" s="5" t="s">
        <v>355</v>
      </c>
      <c r="P12299" s="5" t="s">
        <v>355</v>
      </c>
      <c r="Q12299" s="5" t="s">
        <v>355</v>
      </c>
    </row>
    <row r="12300" ht="16.5" customHeight="1">
      <c r="O12300" s="5" t="s">
        <v>355</v>
      </c>
      <c r="P12300" s="5" t="s">
        <v>355</v>
      </c>
      <c r="Q12300" s="5" t="s">
        <v>355</v>
      </c>
    </row>
    <row r="12301" ht="16.5" customHeight="1">
      <c r="O12301" s="5" t="s">
        <v>355</v>
      </c>
      <c r="P12301" s="5" t="s">
        <v>355</v>
      </c>
      <c r="Q12301" s="5" t="s">
        <v>355</v>
      </c>
    </row>
    <row r="12302" ht="16.5" customHeight="1">
      <c r="O12302" s="5" t="s">
        <v>355</v>
      </c>
      <c r="P12302" s="5" t="s">
        <v>355</v>
      </c>
      <c r="Q12302" s="5" t="s">
        <v>355</v>
      </c>
    </row>
    <row r="12303" ht="16.5" customHeight="1">
      <c r="O12303" s="5" t="s">
        <v>355</v>
      </c>
      <c r="P12303" s="5" t="s">
        <v>355</v>
      </c>
      <c r="Q12303" s="5" t="s">
        <v>355</v>
      </c>
    </row>
    <row r="12304" ht="16.5" customHeight="1">
      <c r="O12304" s="5" t="s">
        <v>355</v>
      </c>
      <c r="P12304" s="5" t="s">
        <v>355</v>
      </c>
      <c r="Q12304" s="5" t="s">
        <v>355</v>
      </c>
    </row>
    <row r="12305" ht="16.5" customHeight="1">
      <c r="O12305" s="5" t="s">
        <v>355</v>
      </c>
      <c r="P12305" s="5" t="s">
        <v>355</v>
      </c>
      <c r="Q12305" s="5" t="s">
        <v>355</v>
      </c>
    </row>
    <row r="12306" ht="16.5" customHeight="1">
      <c r="O12306" s="5" t="s">
        <v>355</v>
      </c>
      <c r="P12306" s="5" t="s">
        <v>355</v>
      </c>
      <c r="Q12306" s="5" t="s">
        <v>355</v>
      </c>
    </row>
    <row r="12307" ht="16.5" customHeight="1">
      <c r="O12307" s="5" t="s">
        <v>355</v>
      </c>
      <c r="P12307" s="5" t="s">
        <v>355</v>
      </c>
      <c r="Q12307" s="5" t="s">
        <v>355</v>
      </c>
    </row>
    <row r="12308" ht="16.5" customHeight="1">
      <c r="O12308" s="5" t="s">
        <v>355</v>
      </c>
      <c r="P12308" s="5" t="s">
        <v>355</v>
      </c>
      <c r="Q12308" s="5" t="s">
        <v>355</v>
      </c>
    </row>
    <row r="12309" ht="16.5" customHeight="1">
      <c r="O12309" s="5" t="s">
        <v>355</v>
      </c>
      <c r="P12309" s="5" t="s">
        <v>355</v>
      </c>
      <c r="Q12309" s="5" t="s">
        <v>355</v>
      </c>
    </row>
    <row r="12310" ht="16.5" customHeight="1">
      <c r="O12310" s="5" t="s">
        <v>355</v>
      </c>
      <c r="P12310" s="5" t="s">
        <v>355</v>
      </c>
      <c r="Q12310" s="5" t="s">
        <v>355</v>
      </c>
    </row>
    <row r="12311" ht="16.5" customHeight="1">
      <c r="O12311" s="5" t="s">
        <v>355</v>
      </c>
      <c r="P12311" s="5" t="s">
        <v>355</v>
      </c>
      <c r="Q12311" s="5" t="s">
        <v>355</v>
      </c>
    </row>
    <row r="12312" ht="16.5" customHeight="1">
      <c r="O12312" s="5" t="s">
        <v>355</v>
      </c>
      <c r="P12312" s="5" t="s">
        <v>355</v>
      </c>
      <c r="Q12312" s="5" t="s">
        <v>355</v>
      </c>
    </row>
    <row r="12313" ht="16.5" customHeight="1">
      <c r="O12313" s="5" t="s">
        <v>355</v>
      </c>
      <c r="P12313" s="5" t="s">
        <v>355</v>
      </c>
      <c r="Q12313" s="5" t="s">
        <v>355</v>
      </c>
    </row>
    <row r="12314" ht="16.5" customHeight="1">
      <c r="O12314" s="5" t="s">
        <v>355</v>
      </c>
      <c r="P12314" s="5" t="s">
        <v>355</v>
      </c>
      <c r="Q12314" s="5" t="s">
        <v>355</v>
      </c>
    </row>
    <row r="12315" ht="16.5" customHeight="1">
      <c r="O12315" s="5" t="s">
        <v>355</v>
      </c>
      <c r="P12315" s="5" t="s">
        <v>355</v>
      </c>
      <c r="Q12315" s="5" t="s">
        <v>355</v>
      </c>
    </row>
    <row r="12316" ht="16.5" customHeight="1">
      <c r="O12316" s="5" t="s">
        <v>355</v>
      </c>
      <c r="P12316" s="5" t="s">
        <v>355</v>
      </c>
      <c r="Q12316" s="5" t="s">
        <v>355</v>
      </c>
    </row>
    <row r="12317" ht="16.5" customHeight="1">
      <c r="O12317" s="5" t="s">
        <v>355</v>
      </c>
      <c r="P12317" s="5" t="s">
        <v>355</v>
      </c>
      <c r="Q12317" s="5" t="s">
        <v>355</v>
      </c>
    </row>
    <row r="12318" ht="16.5" customHeight="1">
      <c r="O12318" s="5" t="s">
        <v>355</v>
      </c>
      <c r="P12318" s="5" t="s">
        <v>355</v>
      </c>
      <c r="Q12318" s="5" t="s">
        <v>355</v>
      </c>
    </row>
    <row r="12319" ht="16.5" customHeight="1">
      <c r="O12319" s="5" t="s">
        <v>355</v>
      </c>
      <c r="P12319" s="5" t="s">
        <v>355</v>
      </c>
      <c r="Q12319" s="5" t="s">
        <v>355</v>
      </c>
    </row>
    <row r="12320" ht="16.5" customHeight="1">
      <c r="O12320" s="5" t="s">
        <v>355</v>
      </c>
      <c r="P12320" s="5" t="s">
        <v>355</v>
      </c>
      <c r="Q12320" s="5" t="s">
        <v>355</v>
      </c>
    </row>
    <row r="12321" ht="16.5" customHeight="1">
      <c r="O12321" s="5" t="s">
        <v>355</v>
      </c>
      <c r="P12321" s="5" t="s">
        <v>355</v>
      </c>
      <c r="Q12321" s="5" t="s">
        <v>355</v>
      </c>
    </row>
    <row r="12322" ht="16.5" customHeight="1">
      <c r="O12322" s="5" t="s">
        <v>355</v>
      </c>
      <c r="P12322" s="5" t="s">
        <v>355</v>
      </c>
      <c r="Q12322" s="5" t="s">
        <v>355</v>
      </c>
    </row>
    <row r="12323" ht="16.5" customHeight="1">
      <c r="O12323" s="5" t="s">
        <v>355</v>
      </c>
      <c r="P12323" s="5" t="s">
        <v>355</v>
      </c>
      <c r="Q12323" s="5" t="s">
        <v>355</v>
      </c>
    </row>
    <row r="12324" ht="16.5" customHeight="1">
      <c r="O12324" s="5" t="s">
        <v>355</v>
      </c>
      <c r="P12324" s="5" t="s">
        <v>355</v>
      </c>
      <c r="Q12324" s="5" t="s">
        <v>355</v>
      </c>
    </row>
    <row r="12325" ht="16.5" customHeight="1">
      <c r="O12325" s="5" t="s">
        <v>355</v>
      </c>
      <c r="P12325" s="5" t="s">
        <v>355</v>
      </c>
      <c r="Q12325" s="5" t="s">
        <v>355</v>
      </c>
    </row>
    <row r="12326" ht="16.5" customHeight="1">
      <c r="O12326" s="5" t="s">
        <v>355</v>
      </c>
      <c r="P12326" s="5" t="s">
        <v>355</v>
      </c>
      <c r="Q12326" s="5" t="s">
        <v>355</v>
      </c>
    </row>
    <row r="12327" ht="16.5" customHeight="1">
      <c r="O12327" s="5" t="s">
        <v>355</v>
      </c>
      <c r="P12327" s="5" t="s">
        <v>355</v>
      </c>
      <c r="Q12327" s="5" t="s">
        <v>355</v>
      </c>
    </row>
    <row r="12328" ht="16.5" customHeight="1">
      <c r="O12328" s="5" t="s">
        <v>355</v>
      </c>
      <c r="P12328" s="5" t="s">
        <v>355</v>
      </c>
      <c r="Q12328" s="5" t="s">
        <v>355</v>
      </c>
    </row>
    <row r="12329" ht="16.5" customHeight="1">
      <c r="O12329" s="5" t="s">
        <v>355</v>
      </c>
      <c r="P12329" s="5" t="s">
        <v>355</v>
      </c>
      <c r="Q12329" s="5" t="s">
        <v>355</v>
      </c>
    </row>
    <row r="12330" ht="16.5" customHeight="1">
      <c r="O12330" s="5" t="s">
        <v>355</v>
      </c>
      <c r="P12330" s="5" t="s">
        <v>355</v>
      </c>
      <c r="Q12330" s="5" t="s">
        <v>355</v>
      </c>
    </row>
    <row r="12331" ht="16.5" customHeight="1">
      <c r="O12331" s="5" t="s">
        <v>355</v>
      </c>
      <c r="P12331" s="5" t="s">
        <v>355</v>
      </c>
      <c r="Q12331" s="5" t="s">
        <v>355</v>
      </c>
    </row>
    <row r="12332" ht="16.5" customHeight="1">
      <c r="O12332" s="5" t="s">
        <v>355</v>
      </c>
      <c r="P12332" s="5" t="s">
        <v>355</v>
      </c>
      <c r="Q12332" s="5" t="s">
        <v>355</v>
      </c>
    </row>
    <row r="12333" ht="16.5" customHeight="1">
      <c r="O12333" s="5" t="s">
        <v>355</v>
      </c>
      <c r="P12333" s="5" t="s">
        <v>355</v>
      </c>
      <c r="Q12333" s="5" t="s">
        <v>355</v>
      </c>
    </row>
    <row r="12334" ht="16.5" customHeight="1">
      <c r="O12334" s="5" t="s">
        <v>355</v>
      </c>
      <c r="P12334" s="5" t="s">
        <v>355</v>
      </c>
      <c r="Q12334" s="5" t="s">
        <v>355</v>
      </c>
    </row>
    <row r="12335" ht="16.5" customHeight="1">
      <c r="O12335" s="5" t="s">
        <v>355</v>
      </c>
      <c r="P12335" s="5" t="s">
        <v>355</v>
      </c>
      <c r="Q12335" s="5" t="s">
        <v>355</v>
      </c>
    </row>
    <row r="12336" ht="16.5" customHeight="1">
      <c r="O12336" s="5" t="s">
        <v>355</v>
      </c>
      <c r="P12336" s="5" t="s">
        <v>355</v>
      </c>
      <c r="Q12336" s="5" t="s">
        <v>355</v>
      </c>
    </row>
    <row r="12337" ht="16.5" customHeight="1">
      <c r="O12337" s="5" t="s">
        <v>355</v>
      </c>
      <c r="P12337" s="5" t="s">
        <v>355</v>
      </c>
      <c r="Q12337" s="5" t="s">
        <v>355</v>
      </c>
    </row>
    <row r="12338" ht="16.5" customHeight="1">
      <c r="O12338" s="5" t="s">
        <v>355</v>
      </c>
      <c r="P12338" s="5" t="s">
        <v>355</v>
      </c>
      <c r="Q12338" s="5" t="s">
        <v>355</v>
      </c>
    </row>
    <row r="12339" ht="16.5" customHeight="1">
      <c r="O12339" s="5" t="s">
        <v>355</v>
      </c>
      <c r="P12339" s="5" t="s">
        <v>355</v>
      </c>
      <c r="Q12339" s="5" t="s">
        <v>355</v>
      </c>
    </row>
    <row r="12340" ht="16.5" customHeight="1">
      <c r="O12340" s="5" t="s">
        <v>355</v>
      </c>
      <c r="P12340" s="5" t="s">
        <v>355</v>
      </c>
      <c r="Q12340" s="5" t="s">
        <v>355</v>
      </c>
    </row>
    <row r="12341" ht="16.5" customHeight="1">
      <c r="O12341" s="5" t="s">
        <v>355</v>
      </c>
      <c r="P12341" s="5" t="s">
        <v>355</v>
      </c>
      <c r="Q12341" s="5" t="s">
        <v>355</v>
      </c>
    </row>
    <row r="12342" ht="16.5" customHeight="1">
      <c r="O12342" s="5" t="s">
        <v>355</v>
      </c>
      <c r="P12342" s="5" t="s">
        <v>355</v>
      </c>
      <c r="Q12342" s="5" t="s">
        <v>355</v>
      </c>
    </row>
    <row r="12343" ht="16.5" customHeight="1">
      <c r="O12343" s="5" t="s">
        <v>355</v>
      </c>
      <c r="P12343" s="5" t="s">
        <v>355</v>
      </c>
      <c r="Q12343" s="5" t="s">
        <v>355</v>
      </c>
    </row>
    <row r="12344" ht="16.5" customHeight="1">
      <c r="O12344" s="5" t="s">
        <v>355</v>
      </c>
      <c r="P12344" s="5" t="s">
        <v>355</v>
      </c>
      <c r="Q12344" s="5" t="s">
        <v>355</v>
      </c>
    </row>
    <row r="12345" ht="16.5" customHeight="1">
      <c r="O12345" s="5" t="s">
        <v>355</v>
      </c>
      <c r="P12345" s="5" t="s">
        <v>355</v>
      </c>
      <c r="Q12345" s="5" t="s">
        <v>355</v>
      </c>
    </row>
    <row r="12346" ht="16.5" customHeight="1">
      <c r="O12346" s="5" t="s">
        <v>355</v>
      </c>
      <c r="P12346" s="5" t="s">
        <v>355</v>
      </c>
      <c r="Q12346" s="5" t="s">
        <v>355</v>
      </c>
    </row>
    <row r="12347" ht="16.5" customHeight="1">
      <c r="O12347" s="5" t="s">
        <v>355</v>
      </c>
      <c r="P12347" s="5" t="s">
        <v>355</v>
      </c>
      <c r="Q12347" s="5" t="s">
        <v>355</v>
      </c>
    </row>
    <row r="12348" ht="16.5" customHeight="1">
      <c r="O12348" s="5" t="s">
        <v>355</v>
      </c>
      <c r="P12348" s="5" t="s">
        <v>355</v>
      </c>
      <c r="Q12348" s="5" t="s">
        <v>355</v>
      </c>
    </row>
    <row r="12349" ht="16.5" customHeight="1">
      <c r="O12349" s="5" t="s">
        <v>355</v>
      </c>
      <c r="P12349" s="5" t="s">
        <v>355</v>
      </c>
      <c r="Q12349" s="5" t="s">
        <v>355</v>
      </c>
    </row>
    <row r="12350" ht="16.5" customHeight="1">
      <c r="O12350" s="5" t="s">
        <v>355</v>
      </c>
      <c r="P12350" s="5" t="s">
        <v>355</v>
      </c>
      <c r="Q12350" s="5" t="s">
        <v>355</v>
      </c>
    </row>
    <row r="12351" ht="16.5" customHeight="1">
      <c r="O12351" s="5" t="s">
        <v>355</v>
      </c>
      <c r="P12351" s="5" t="s">
        <v>355</v>
      </c>
      <c r="Q12351" s="5" t="s">
        <v>355</v>
      </c>
    </row>
    <row r="12352" ht="16.5" customHeight="1">
      <c r="O12352" s="5" t="s">
        <v>355</v>
      </c>
      <c r="P12352" s="5" t="s">
        <v>355</v>
      </c>
      <c r="Q12352" s="5" t="s">
        <v>355</v>
      </c>
    </row>
    <row r="12353" ht="16.5" customHeight="1">
      <c r="O12353" s="5" t="s">
        <v>355</v>
      </c>
      <c r="P12353" s="5" t="s">
        <v>355</v>
      </c>
      <c r="Q12353" s="5" t="s">
        <v>355</v>
      </c>
    </row>
    <row r="12354" ht="16.5" customHeight="1">
      <c r="O12354" s="5" t="s">
        <v>355</v>
      </c>
      <c r="P12354" s="5" t="s">
        <v>355</v>
      </c>
      <c r="Q12354" s="5" t="s">
        <v>355</v>
      </c>
    </row>
    <row r="12355" ht="16.5" customHeight="1">
      <c r="O12355" s="5" t="s">
        <v>355</v>
      </c>
      <c r="P12355" s="5" t="s">
        <v>355</v>
      </c>
      <c r="Q12355" s="5" t="s">
        <v>355</v>
      </c>
    </row>
    <row r="12356" ht="16.5" customHeight="1">
      <c r="O12356" s="5" t="s">
        <v>355</v>
      </c>
      <c r="P12356" s="5" t="s">
        <v>355</v>
      </c>
      <c r="Q12356" s="5" t="s">
        <v>355</v>
      </c>
    </row>
    <row r="12357" ht="16.5" customHeight="1">
      <c r="O12357" s="5" t="s">
        <v>355</v>
      </c>
      <c r="P12357" s="5" t="s">
        <v>355</v>
      </c>
      <c r="Q12357" s="5" t="s">
        <v>355</v>
      </c>
    </row>
    <row r="12358" ht="16.5" customHeight="1">
      <c r="O12358" s="5" t="s">
        <v>355</v>
      </c>
      <c r="P12358" s="5" t="s">
        <v>355</v>
      </c>
      <c r="Q12358" s="5" t="s">
        <v>355</v>
      </c>
    </row>
    <row r="12359" ht="16.5" customHeight="1">
      <c r="O12359" s="5" t="s">
        <v>355</v>
      </c>
      <c r="P12359" s="5" t="s">
        <v>355</v>
      </c>
      <c r="Q12359" s="5" t="s">
        <v>355</v>
      </c>
    </row>
    <row r="12360" ht="16.5" customHeight="1">
      <c r="O12360" s="5" t="s">
        <v>355</v>
      </c>
      <c r="P12360" s="5" t="s">
        <v>355</v>
      </c>
      <c r="Q12360" s="5" t="s">
        <v>355</v>
      </c>
    </row>
    <row r="12361" ht="16.5" customHeight="1">
      <c r="O12361" s="5" t="s">
        <v>355</v>
      </c>
      <c r="P12361" s="5" t="s">
        <v>355</v>
      </c>
      <c r="Q12361" s="5" t="s">
        <v>355</v>
      </c>
    </row>
    <row r="12362" ht="16.5" customHeight="1">
      <c r="O12362" s="5" t="s">
        <v>355</v>
      </c>
      <c r="P12362" s="5" t="s">
        <v>355</v>
      </c>
      <c r="Q12362" s="5" t="s">
        <v>355</v>
      </c>
    </row>
    <row r="12363" ht="16.5" customHeight="1">
      <c r="O12363" s="5" t="s">
        <v>355</v>
      </c>
      <c r="P12363" s="5" t="s">
        <v>355</v>
      </c>
      <c r="Q12363" s="5" t="s">
        <v>355</v>
      </c>
    </row>
    <row r="12364" ht="16.5" customHeight="1">
      <c r="O12364" s="5" t="s">
        <v>355</v>
      </c>
      <c r="P12364" s="5" t="s">
        <v>355</v>
      </c>
      <c r="Q12364" s="5" t="s">
        <v>355</v>
      </c>
    </row>
    <row r="12365" ht="16.5" customHeight="1">
      <c r="O12365" s="5" t="s">
        <v>355</v>
      </c>
      <c r="P12365" s="5" t="s">
        <v>355</v>
      </c>
      <c r="Q12365" s="5" t="s">
        <v>355</v>
      </c>
    </row>
    <row r="12366" ht="16.5" customHeight="1">
      <c r="O12366" s="5" t="s">
        <v>355</v>
      </c>
      <c r="P12366" s="5" t="s">
        <v>355</v>
      </c>
      <c r="Q12366" s="5" t="s">
        <v>355</v>
      </c>
    </row>
    <row r="12367" ht="16.5" customHeight="1">
      <c r="O12367" s="5" t="s">
        <v>355</v>
      </c>
      <c r="P12367" s="5" t="s">
        <v>355</v>
      </c>
      <c r="Q12367" s="5" t="s">
        <v>355</v>
      </c>
    </row>
    <row r="12368" ht="16.5" customHeight="1">
      <c r="O12368" s="5" t="s">
        <v>355</v>
      </c>
      <c r="P12368" s="5" t="s">
        <v>355</v>
      </c>
      <c r="Q12368" s="5" t="s">
        <v>355</v>
      </c>
    </row>
    <row r="12369" ht="16.5" customHeight="1">
      <c r="O12369" s="5" t="s">
        <v>355</v>
      </c>
      <c r="P12369" s="5" t="s">
        <v>355</v>
      </c>
      <c r="Q12369" s="5" t="s">
        <v>355</v>
      </c>
    </row>
    <row r="12370" ht="16.5" customHeight="1">
      <c r="O12370" s="5" t="s">
        <v>355</v>
      </c>
      <c r="P12370" s="5" t="s">
        <v>355</v>
      </c>
      <c r="Q12370" s="5" t="s">
        <v>355</v>
      </c>
    </row>
    <row r="12371" ht="16.5" customHeight="1">
      <c r="O12371" s="5" t="s">
        <v>355</v>
      </c>
      <c r="P12371" s="5" t="s">
        <v>355</v>
      </c>
      <c r="Q12371" s="5" t="s">
        <v>355</v>
      </c>
    </row>
    <row r="12372" ht="16.5" customHeight="1">
      <c r="O12372" s="5" t="s">
        <v>355</v>
      </c>
      <c r="P12372" s="5" t="s">
        <v>355</v>
      </c>
      <c r="Q12372" s="5" t="s">
        <v>355</v>
      </c>
    </row>
    <row r="12373" ht="16.5" customHeight="1">
      <c r="O12373" s="5" t="s">
        <v>355</v>
      </c>
      <c r="P12373" s="5" t="s">
        <v>355</v>
      </c>
      <c r="Q12373" s="5" t="s">
        <v>355</v>
      </c>
    </row>
    <row r="12374" ht="16.5" customHeight="1">
      <c r="O12374" s="5" t="s">
        <v>355</v>
      </c>
      <c r="P12374" s="5" t="s">
        <v>355</v>
      </c>
      <c r="Q12374" s="5" t="s">
        <v>355</v>
      </c>
    </row>
    <row r="12375" ht="16.5" customHeight="1">
      <c r="O12375" s="5" t="s">
        <v>355</v>
      </c>
      <c r="P12375" s="5" t="s">
        <v>355</v>
      </c>
      <c r="Q12375" s="5" t="s">
        <v>355</v>
      </c>
    </row>
    <row r="12376" ht="16.5" customHeight="1">
      <c r="O12376" s="5" t="s">
        <v>355</v>
      </c>
      <c r="P12376" s="5" t="s">
        <v>355</v>
      </c>
      <c r="Q12376" s="5" t="s">
        <v>355</v>
      </c>
    </row>
    <row r="12377" ht="16.5" customHeight="1">
      <c r="O12377" s="5" t="s">
        <v>355</v>
      </c>
      <c r="P12377" s="5" t="s">
        <v>355</v>
      </c>
      <c r="Q12377" s="5" t="s">
        <v>355</v>
      </c>
    </row>
    <row r="12378" ht="16.5" customHeight="1">
      <c r="O12378" s="5" t="s">
        <v>355</v>
      </c>
      <c r="P12378" s="5" t="s">
        <v>355</v>
      </c>
      <c r="Q12378" s="5" t="s">
        <v>355</v>
      </c>
    </row>
    <row r="12379" ht="16.5" customHeight="1">
      <c r="O12379" s="5" t="s">
        <v>355</v>
      </c>
      <c r="P12379" s="5" t="s">
        <v>355</v>
      </c>
      <c r="Q12379" s="5" t="s">
        <v>355</v>
      </c>
    </row>
    <row r="12380" ht="16.5" customHeight="1">
      <c r="O12380" s="5" t="s">
        <v>355</v>
      </c>
      <c r="P12380" s="5" t="s">
        <v>355</v>
      </c>
      <c r="Q12380" s="5" t="s">
        <v>355</v>
      </c>
    </row>
    <row r="12381" ht="16.5" customHeight="1">
      <c r="O12381" s="5" t="s">
        <v>355</v>
      </c>
      <c r="P12381" s="5" t="s">
        <v>355</v>
      </c>
      <c r="Q12381" s="5" t="s">
        <v>355</v>
      </c>
    </row>
    <row r="12382" ht="16.5" customHeight="1">
      <c r="O12382" s="5" t="s">
        <v>355</v>
      </c>
      <c r="P12382" s="5" t="s">
        <v>355</v>
      </c>
      <c r="Q12382" s="5" t="s">
        <v>355</v>
      </c>
    </row>
    <row r="12383" ht="16.5" customHeight="1">
      <c r="O12383" s="5" t="s">
        <v>355</v>
      </c>
      <c r="P12383" s="5" t="s">
        <v>355</v>
      </c>
      <c r="Q12383" s="5" t="s">
        <v>355</v>
      </c>
    </row>
    <row r="12384" ht="16.5" customHeight="1">
      <c r="O12384" s="5" t="s">
        <v>355</v>
      </c>
      <c r="P12384" s="5" t="s">
        <v>355</v>
      </c>
      <c r="Q12384" s="5" t="s">
        <v>355</v>
      </c>
    </row>
    <row r="12385" ht="16.5" customHeight="1">
      <c r="O12385" s="5" t="s">
        <v>355</v>
      </c>
      <c r="P12385" s="5" t="s">
        <v>355</v>
      </c>
      <c r="Q12385" s="5" t="s">
        <v>355</v>
      </c>
    </row>
    <row r="12386" ht="16.5" customHeight="1">
      <c r="O12386" s="5" t="s">
        <v>355</v>
      </c>
      <c r="P12386" s="5" t="s">
        <v>355</v>
      </c>
      <c r="Q12386" s="5" t="s">
        <v>355</v>
      </c>
    </row>
    <row r="12387" ht="16.5" customHeight="1">
      <c r="O12387" s="5" t="s">
        <v>355</v>
      </c>
      <c r="P12387" s="5" t="s">
        <v>355</v>
      </c>
      <c r="Q12387" s="5" t="s">
        <v>355</v>
      </c>
    </row>
    <row r="12388" ht="16.5" customHeight="1">
      <c r="O12388" s="5" t="s">
        <v>355</v>
      </c>
      <c r="P12388" s="5" t="s">
        <v>355</v>
      </c>
      <c r="Q12388" s="5" t="s">
        <v>355</v>
      </c>
    </row>
    <row r="12389" ht="16.5" customHeight="1">
      <c r="O12389" s="5" t="s">
        <v>355</v>
      </c>
      <c r="P12389" s="5" t="s">
        <v>355</v>
      </c>
      <c r="Q12389" s="5" t="s">
        <v>355</v>
      </c>
    </row>
    <row r="12390" ht="16.5" customHeight="1">
      <c r="O12390" s="5" t="s">
        <v>355</v>
      </c>
      <c r="P12390" s="5" t="s">
        <v>355</v>
      </c>
      <c r="Q12390" s="5" t="s">
        <v>355</v>
      </c>
    </row>
    <row r="12391" ht="16.5" customHeight="1">
      <c r="O12391" s="5" t="s">
        <v>355</v>
      </c>
      <c r="P12391" s="5" t="s">
        <v>355</v>
      </c>
      <c r="Q12391" s="5" t="s">
        <v>355</v>
      </c>
    </row>
    <row r="12392" ht="16.5" customHeight="1">
      <c r="O12392" s="5" t="s">
        <v>355</v>
      </c>
      <c r="P12392" s="5" t="s">
        <v>355</v>
      </c>
      <c r="Q12392" s="5" t="s">
        <v>355</v>
      </c>
    </row>
    <row r="12393" ht="16.5" customHeight="1">
      <c r="O12393" s="5" t="s">
        <v>355</v>
      </c>
      <c r="P12393" s="5" t="s">
        <v>355</v>
      </c>
      <c r="Q12393" s="5" t="s">
        <v>355</v>
      </c>
    </row>
    <row r="12394" ht="16.5" customHeight="1">
      <c r="O12394" s="5" t="s">
        <v>355</v>
      </c>
      <c r="P12394" s="5" t="s">
        <v>355</v>
      </c>
      <c r="Q12394" s="5" t="s">
        <v>355</v>
      </c>
    </row>
    <row r="12395" ht="16.5" customHeight="1">
      <c r="O12395" s="5" t="s">
        <v>355</v>
      </c>
      <c r="P12395" s="5" t="s">
        <v>355</v>
      </c>
      <c r="Q12395" s="5" t="s">
        <v>355</v>
      </c>
    </row>
    <row r="12396" ht="16.5" customHeight="1">
      <c r="O12396" s="5" t="s">
        <v>355</v>
      </c>
      <c r="P12396" s="5" t="s">
        <v>355</v>
      </c>
      <c r="Q12396" s="5" t="s">
        <v>355</v>
      </c>
    </row>
    <row r="12397" ht="16.5" customHeight="1">
      <c r="O12397" s="5" t="s">
        <v>355</v>
      </c>
      <c r="P12397" s="5" t="s">
        <v>355</v>
      </c>
      <c r="Q12397" s="5" t="s">
        <v>355</v>
      </c>
    </row>
    <row r="12398" ht="16.5" customHeight="1">
      <c r="O12398" s="5" t="s">
        <v>355</v>
      </c>
      <c r="P12398" s="5" t="s">
        <v>355</v>
      </c>
      <c r="Q12398" s="5" t="s">
        <v>355</v>
      </c>
    </row>
    <row r="12399" ht="16.5" customHeight="1">
      <c r="O12399" s="5" t="s">
        <v>355</v>
      </c>
      <c r="P12399" s="5" t="s">
        <v>355</v>
      </c>
      <c r="Q12399" s="5" t="s">
        <v>355</v>
      </c>
    </row>
    <row r="12400" ht="16.5" customHeight="1">
      <c r="O12400" s="5" t="s">
        <v>355</v>
      </c>
      <c r="P12400" s="5" t="s">
        <v>355</v>
      </c>
      <c r="Q12400" s="5" t="s">
        <v>355</v>
      </c>
    </row>
    <row r="12401" ht="16.5" customHeight="1">
      <c r="O12401" s="5" t="s">
        <v>355</v>
      </c>
      <c r="P12401" s="5" t="s">
        <v>355</v>
      </c>
      <c r="Q12401" s="5" t="s">
        <v>355</v>
      </c>
    </row>
    <row r="12402" ht="16.5" customHeight="1">
      <c r="O12402" s="5" t="s">
        <v>355</v>
      </c>
      <c r="P12402" s="5" t="s">
        <v>355</v>
      </c>
      <c r="Q12402" s="5" t="s">
        <v>355</v>
      </c>
    </row>
    <row r="12403" ht="16.5" customHeight="1">
      <c r="O12403" s="5" t="s">
        <v>355</v>
      </c>
      <c r="P12403" s="5" t="s">
        <v>355</v>
      </c>
      <c r="Q12403" s="5" t="s">
        <v>355</v>
      </c>
    </row>
    <row r="12404" ht="16.5" customHeight="1">
      <c r="O12404" s="5" t="s">
        <v>355</v>
      </c>
      <c r="P12404" s="5" t="s">
        <v>355</v>
      </c>
      <c r="Q12404" s="5" t="s">
        <v>355</v>
      </c>
    </row>
    <row r="12405" ht="16.5" customHeight="1">
      <c r="O12405" s="5" t="s">
        <v>355</v>
      </c>
      <c r="P12405" s="5" t="s">
        <v>355</v>
      </c>
      <c r="Q12405" s="5" t="s">
        <v>355</v>
      </c>
    </row>
    <row r="12406" ht="16.5" customHeight="1">
      <c r="O12406" s="5" t="s">
        <v>355</v>
      </c>
      <c r="P12406" s="5" t="s">
        <v>355</v>
      </c>
      <c r="Q12406" s="5" t="s">
        <v>355</v>
      </c>
    </row>
    <row r="12407" ht="16.5" customHeight="1">
      <c r="O12407" s="5" t="s">
        <v>355</v>
      </c>
      <c r="P12407" s="5" t="s">
        <v>355</v>
      </c>
      <c r="Q12407" s="5" t="s">
        <v>355</v>
      </c>
    </row>
    <row r="12408" ht="16.5" customHeight="1">
      <c r="O12408" s="5" t="s">
        <v>355</v>
      </c>
      <c r="P12408" s="5" t="s">
        <v>355</v>
      </c>
      <c r="Q12408" s="5" t="s">
        <v>355</v>
      </c>
    </row>
    <row r="12409" ht="16.5" customHeight="1">
      <c r="O12409" s="5" t="s">
        <v>355</v>
      </c>
      <c r="P12409" s="5" t="s">
        <v>355</v>
      </c>
      <c r="Q12409" s="5" t="s">
        <v>355</v>
      </c>
    </row>
    <row r="12410" ht="16.5" customHeight="1">
      <c r="O12410" s="5" t="s">
        <v>355</v>
      </c>
      <c r="P12410" s="5" t="s">
        <v>355</v>
      </c>
      <c r="Q12410" s="5" t="s">
        <v>355</v>
      </c>
    </row>
    <row r="12411" ht="16.5" customHeight="1">
      <c r="O12411" s="5" t="s">
        <v>355</v>
      </c>
      <c r="P12411" s="5" t="s">
        <v>355</v>
      </c>
      <c r="Q12411" s="5" t="s">
        <v>355</v>
      </c>
    </row>
    <row r="12412" ht="16.5" customHeight="1">
      <c r="O12412" s="5" t="s">
        <v>355</v>
      </c>
      <c r="P12412" s="5" t="s">
        <v>355</v>
      </c>
      <c r="Q12412" s="5" t="s">
        <v>355</v>
      </c>
    </row>
    <row r="12413" ht="16.5" customHeight="1">
      <c r="O12413" s="5" t="s">
        <v>355</v>
      </c>
      <c r="P12413" s="5" t="s">
        <v>355</v>
      </c>
      <c r="Q12413" s="5" t="s">
        <v>355</v>
      </c>
    </row>
    <row r="12414" ht="16.5" customHeight="1">
      <c r="O12414" s="5" t="s">
        <v>355</v>
      </c>
      <c r="P12414" s="5" t="s">
        <v>355</v>
      </c>
      <c r="Q12414" s="5" t="s">
        <v>355</v>
      </c>
    </row>
    <row r="12415" ht="16.5" customHeight="1">
      <c r="O12415" s="5" t="s">
        <v>355</v>
      </c>
      <c r="P12415" s="5" t="s">
        <v>355</v>
      </c>
      <c r="Q12415" s="5" t="s">
        <v>355</v>
      </c>
    </row>
    <row r="12416" ht="16.5" customHeight="1">
      <c r="O12416" s="5" t="s">
        <v>355</v>
      </c>
      <c r="P12416" s="5" t="s">
        <v>355</v>
      </c>
      <c r="Q12416" s="5" t="s">
        <v>355</v>
      </c>
    </row>
    <row r="12417" ht="16.5" customHeight="1">
      <c r="O12417" s="5" t="s">
        <v>355</v>
      </c>
      <c r="P12417" s="5" t="s">
        <v>355</v>
      </c>
      <c r="Q12417" s="5" t="s">
        <v>355</v>
      </c>
    </row>
    <row r="12418" ht="16.5" customHeight="1">
      <c r="O12418" s="5" t="s">
        <v>355</v>
      </c>
      <c r="P12418" s="5" t="s">
        <v>355</v>
      </c>
      <c r="Q12418" s="5" t="s">
        <v>355</v>
      </c>
    </row>
    <row r="12419" ht="16.5" customHeight="1">
      <c r="O12419" s="5" t="s">
        <v>355</v>
      </c>
      <c r="P12419" s="5" t="s">
        <v>355</v>
      </c>
      <c r="Q12419" s="5" t="s">
        <v>355</v>
      </c>
    </row>
    <row r="12420" ht="16.5" customHeight="1">
      <c r="O12420" s="5" t="s">
        <v>355</v>
      </c>
      <c r="P12420" s="5" t="s">
        <v>355</v>
      </c>
      <c r="Q12420" s="5" t="s">
        <v>355</v>
      </c>
    </row>
    <row r="12421" ht="16.5" customHeight="1">
      <c r="O12421" s="5" t="s">
        <v>355</v>
      </c>
      <c r="P12421" s="5" t="s">
        <v>355</v>
      </c>
      <c r="Q12421" s="5" t="s">
        <v>355</v>
      </c>
    </row>
    <row r="12422" ht="16.5" customHeight="1">
      <c r="O12422" s="5" t="s">
        <v>355</v>
      </c>
      <c r="P12422" s="5" t="s">
        <v>355</v>
      </c>
      <c r="Q12422" s="5" t="s">
        <v>355</v>
      </c>
    </row>
    <row r="12423" ht="16.5" customHeight="1">
      <c r="O12423" s="5" t="s">
        <v>355</v>
      </c>
      <c r="P12423" s="5" t="s">
        <v>355</v>
      </c>
      <c r="Q12423" s="5" t="s">
        <v>355</v>
      </c>
    </row>
    <row r="12424" ht="16.5" customHeight="1">
      <c r="O12424" s="5" t="s">
        <v>355</v>
      </c>
      <c r="P12424" s="5" t="s">
        <v>355</v>
      </c>
      <c r="Q12424" s="5" t="s">
        <v>355</v>
      </c>
    </row>
    <row r="12425" ht="16.5" customHeight="1">
      <c r="O12425" s="5" t="s">
        <v>355</v>
      </c>
      <c r="P12425" s="5" t="s">
        <v>355</v>
      </c>
      <c r="Q12425" s="5" t="s">
        <v>355</v>
      </c>
    </row>
    <row r="12426" ht="16.5" customHeight="1">
      <c r="O12426" s="5" t="s">
        <v>355</v>
      </c>
      <c r="P12426" s="5" t="s">
        <v>355</v>
      </c>
      <c r="Q12426" s="5" t="s">
        <v>355</v>
      </c>
    </row>
    <row r="12427" ht="16.5" customHeight="1">
      <c r="O12427" s="5" t="s">
        <v>355</v>
      </c>
      <c r="P12427" s="5" t="s">
        <v>355</v>
      </c>
      <c r="Q12427" s="5" t="s">
        <v>355</v>
      </c>
    </row>
    <row r="12428" ht="16.5" customHeight="1">
      <c r="O12428" s="5" t="s">
        <v>355</v>
      </c>
      <c r="P12428" s="5" t="s">
        <v>355</v>
      </c>
      <c r="Q12428" s="5" t="s">
        <v>355</v>
      </c>
    </row>
    <row r="12429" ht="16.5" customHeight="1">
      <c r="O12429" s="5" t="s">
        <v>355</v>
      </c>
      <c r="P12429" s="5" t="s">
        <v>355</v>
      </c>
      <c r="Q12429" s="5" t="s">
        <v>355</v>
      </c>
    </row>
    <row r="12430" ht="16.5" customHeight="1">
      <c r="O12430" s="5" t="s">
        <v>355</v>
      </c>
      <c r="P12430" s="5" t="s">
        <v>355</v>
      </c>
      <c r="Q12430" s="5" t="s">
        <v>355</v>
      </c>
    </row>
    <row r="12431" ht="16.5" customHeight="1">
      <c r="O12431" s="5" t="s">
        <v>355</v>
      </c>
      <c r="P12431" s="5" t="s">
        <v>355</v>
      </c>
      <c r="Q12431" s="5" t="s">
        <v>355</v>
      </c>
    </row>
    <row r="12432" ht="16.5" customHeight="1">
      <c r="O12432" s="5" t="s">
        <v>355</v>
      </c>
      <c r="P12432" s="5" t="s">
        <v>355</v>
      </c>
      <c r="Q12432" s="5" t="s">
        <v>355</v>
      </c>
    </row>
    <row r="12433" ht="16.5" customHeight="1">
      <c r="O12433" s="5" t="s">
        <v>355</v>
      </c>
      <c r="P12433" s="5" t="s">
        <v>355</v>
      </c>
      <c r="Q12433" s="5" t="s">
        <v>355</v>
      </c>
    </row>
    <row r="12434" ht="16.5" customHeight="1">
      <c r="O12434" s="5" t="s">
        <v>355</v>
      </c>
      <c r="P12434" s="5" t="s">
        <v>355</v>
      </c>
      <c r="Q12434" s="5" t="s">
        <v>355</v>
      </c>
    </row>
    <row r="12435" ht="16.5" customHeight="1">
      <c r="O12435" s="5" t="s">
        <v>355</v>
      </c>
      <c r="P12435" s="5" t="s">
        <v>355</v>
      </c>
      <c r="Q12435" s="5" t="s">
        <v>355</v>
      </c>
    </row>
    <row r="12436" ht="16.5" customHeight="1">
      <c r="O12436" s="5" t="s">
        <v>355</v>
      </c>
      <c r="P12436" s="5" t="s">
        <v>355</v>
      </c>
      <c r="Q12436" s="5" t="s">
        <v>355</v>
      </c>
    </row>
    <row r="12437" ht="16.5" customHeight="1">
      <c r="O12437" s="5" t="s">
        <v>355</v>
      </c>
      <c r="P12437" s="5" t="s">
        <v>355</v>
      </c>
      <c r="Q12437" s="5" t="s">
        <v>355</v>
      </c>
    </row>
    <row r="12438" ht="16.5" customHeight="1">
      <c r="O12438" s="5" t="s">
        <v>355</v>
      </c>
      <c r="P12438" s="5" t="s">
        <v>355</v>
      </c>
      <c r="Q12438" s="5" t="s">
        <v>355</v>
      </c>
    </row>
    <row r="12439" ht="16.5" customHeight="1">
      <c r="O12439" s="5" t="s">
        <v>355</v>
      </c>
      <c r="P12439" s="5" t="s">
        <v>355</v>
      </c>
      <c r="Q12439" s="5" t="s">
        <v>355</v>
      </c>
    </row>
    <row r="12440" ht="16.5" customHeight="1">
      <c r="O12440" s="5" t="s">
        <v>355</v>
      </c>
      <c r="P12440" s="5" t="s">
        <v>355</v>
      </c>
      <c r="Q12440" s="5" t="s">
        <v>355</v>
      </c>
    </row>
    <row r="12441" ht="16.5" customHeight="1">
      <c r="O12441" s="5" t="s">
        <v>355</v>
      </c>
      <c r="P12441" s="5" t="s">
        <v>355</v>
      </c>
      <c r="Q12441" s="5" t="s">
        <v>355</v>
      </c>
    </row>
    <row r="12442" ht="16.5" customHeight="1">
      <c r="O12442" s="5" t="s">
        <v>355</v>
      </c>
      <c r="P12442" s="5" t="s">
        <v>355</v>
      </c>
      <c r="Q12442" s="5" t="s">
        <v>355</v>
      </c>
    </row>
    <row r="12443" ht="16.5" customHeight="1">
      <c r="O12443" s="5" t="s">
        <v>355</v>
      </c>
      <c r="P12443" s="5" t="s">
        <v>355</v>
      </c>
      <c r="Q12443" s="5" t="s">
        <v>355</v>
      </c>
    </row>
    <row r="12444" ht="16.5" customHeight="1">
      <c r="O12444" s="5" t="s">
        <v>355</v>
      </c>
      <c r="P12444" s="5" t="s">
        <v>355</v>
      </c>
      <c r="Q12444" s="5" t="s">
        <v>355</v>
      </c>
    </row>
    <row r="12445" ht="16.5" customHeight="1">
      <c r="O12445" s="5" t="s">
        <v>355</v>
      </c>
      <c r="P12445" s="5" t="s">
        <v>355</v>
      </c>
      <c r="Q12445" s="5" t="s">
        <v>355</v>
      </c>
    </row>
    <row r="12446" ht="16.5" customHeight="1">
      <c r="O12446" s="5" t="s">
        <v>355</v>
      </c>
      <c r="P12446" s="5" t="s">
        <v>355</v>
      </c>
      <c r="Q12446" s="5" t="s">
        <v>355</v>
      </c>
    </row>
    <row r="12447" ht="16.5" customHeight="1">
      <c r="O12447" s="5" t="s">
        <v>355</v>
      </c>
      <c r="P12447" s="5" t="s">
        <v>355</v>
      </c>
      <c r="Q12447" s="5" t="s">
        <v>355</v>
      </c>
    </row>
    <row r="12448" ht="16.5" customHeight="1">
      <c r="O12448" s="5" t="s">
        <v>355</v>
      </c>
      <c r="P12448" s="5" t="s">
        <v>355</v>
      </c>
      <c r="Q12448" s="5" t="s">
        <v>355</v>
      </c>
    </row>
    <row r="12449" ht="16.5" customHeight="1">
      <c r="O12449" s="5" t="s">
        <v>355</v>
      </c>
      <c r="P12449" s="5" t="s">
        <v>355</v>
      </c>
      <c r="Q12449" s="5" t="s">
        <v>355</v>
      </c>
    </row>
    <row r="12450" ht="16.5" customHeight="1">
      <c r="O12450" s="5" t="s">
        <v>355</v>
      </c>
      <c r="P12450" s="5" t="s">
        <v>355</v>
      </c>
      <c r="Q12450" s="5" t="s">
        <v>355</v>
      </c>
    </row>
    <row r="12451" ht="16.5" customHeight="1">
      <c r="O12451" s="5" t="s">
        <v>355</v>
      </c>
      <c r="P12451" s="5" t="s">
        <v>355</v>
      </c>
      <c r="Q12451" s="5" t="s">
        <v>355</v>
      </c>
    </row>
    <row r="12452" ht="16.5" customHeight="1">
      <c r="O12452" s="5" t="s">
        <v>355</v>
      </c>
      <c r="P12452" s="5" t="s">
        <v>355</v>
      </c>
      <c r="Q12452" s="5" t="s">
        <v>355</v>
      </c>
    </row>
    <row r="12453" ht="16.5" customHeight="1">
      <c r="O12453" s="5" t="s">
        <v>355</v>
      </c>
      <c r="P12453" s="5" t="s">
        <v>355</v>
      </c>
      <c r="Q12453" s="5" t="s">
        <v>355</v>
      </c>
    </row>
    <row r="12454" ht="16.5" customHeight="1">
      <c r="O12454" s="5" t="s">
        <v>355</v>
      </c>
      <c r="P12454" s="5" t="s">
        <v>355</v>
      </c>
      <c r="Q12454" s="5" t="s">
        <v>355</v>
      </c>
    </row>
    <row r="12455" ht="16.5" customHeight="1">
      <c r="O12455" s="5" t="s">
        <v>355</v>
      </c>
      <c r="P12455" s="5" t="s">
        <v>355</v>
      </c>
      <c r="Q12455" s="5" t="s">
        <v>355</v>
      </c>
    </row>
    <row r="12456" ht="16.5" customHeight="1">
      <c r="O12456" s="5" t="s">
        <v>355</v>
      </c>
      <c r="P12456" s="5" t="s">
        <v>355</v>
      </c>
      <c r="Q12456" s="5" t="s">
        <v>355</v>
      </c>
    </row>
    <row r="12457" ht="16.5" customHeight="1">
      <c r="O12457" s="5" t="s">
        <v>355</v>
      </c>
      <c r="P12457" s="5" t="s">
        <v>355</v>
      </c>
      <c r="Q12457" s="5" t="s">
        <v>355</v>
      </c>
    </row>
    <row r="12458" ht="16.5" customHeight="1">
      <c r="O12458" s="5" t="s">
        <v>355</v>
      </c>
      <c r="P12458" s="5" t="s">
        <v>355</v>
      </c>
      <c r="Q12458" s="5" t="s">
        <v>355</v>
      </c>
    </row>
    <row r="12459" ht="16.5" customHeight="1">
      <c r="O12459" s="5" t="s">
        <v>355</v>
      </c>
      <c r="P12459" s="5" t="s">
        <v>355</v>
      </c>
      <c r="Q12459" s="5" t="s">
        <v>355</v>
      </c>
    </row>
    <row r="12460" ht="16.5" customHeight="1">
      <c r="O12460" s="5" t="s">
        <v>355</v>
      </c>
      <c r="P12460" s="5" t="s">
        <v>355</v>
      </c>
      <c r="Q12460" s="5" t="s">
        <v>355</v>
      </c>
    </row>
    <row r="12461" ht="16.5" customHeight="1">
      <c r="O12461" s="5" t="s">
        <v>355</v>
      </c>
      <c r="P12461" s="5" t="s">
        <v>355</v>
      </c>
      <c r="Q12461" s="5" t="s">
        <v>355</v>
      </c>
    </row>
    <row r="12462" ht="16.5" customHeight="1">
      <c r="O12462" s="5" t="s">
        <v>355</v>
      </c>
      <c r="P12462" s="5" t="s">
        <v>355</v>
      </c>
      <c r="Q12462" s="5" t="s">
        <v>355</v>
      </c>
    </row>
    <row r="12463" ht="16.5" customHeight="1">
      <c r="O12463" s="5" t="s">
        <v>355</v>
      </c>
      <c r="P12463" s="5" t="s">
        <v>355</v>
      </c>
      <c r="Q12463" s="5" t="s">
        <v>355</v>
      </c>
    </row>
    <row r="12464" ht="16.5" customHeight="1">
      <c r="O12464" s="5" t="s">
        <v>355</v>
      </c>
      <c r="P12464" s="5" t="s">
        <v>355</v>
      </c>
      <c r="Q12464" s="5" t="s">
        <v>355</v>
      </c>
    </row>
    <row r="12465" ht="16.5" customHeight="1">
      <c r="O12465" s="5" t="s">
        <v>355</v>
      </c>
      <c r="P12465" s="5" t="s">
        <v>355</v>
      </c>
      <c r="Q12465" s="5" t="s">
        <v>355</v>
      </c>
    </row>
    <row r="12466" ht="16.5" customHeight="1">
      <c r="O12466" s="5" t="s">
        <v>355</v>
      </c>
      <c r="P12466" s="5" t="s">
        <v>355</v>
      </c>
      <c r="Q12466" s="5" t="s">
        <v>355</v>
      </c>
    </row>
    <row r="12467" ht="16.5" customHeight="1">
      <c r="O12467" s="5" t="s">
        <v>355</v>
      </c>
      <c r="P12467" s="5" t="s">
        <v>355</v>
      </c>
      <c r="Q12467" s="5" t="s">
        <v>355</v>
      </c>
    </row>
    <row r="12468" ht="16.5" customHeight="1">
      <c r="O12468" s="5" t="s">
        <v>355</v>
      </c>
      <c r="P12468" s="5" t="s">
        <v>355</v>
      </c>
      <c r="Q12468" s="5" t="s">
        <v>355</v>
      </c>
    </row>
    <row r="12469" ht="16.5" customHeight="1">
      <c r="O12469" s="5" t="s">
        <v>355</v>
      </c>
      <c r="P12469" s="5" t="s">
        <v>355</v>
      </c>
      <c r="Q12469" s="5" t="s">
        <v>355</v>
      </c>
    </row>
    <row r="12470" ht="16.5" customHeight="1">
      <c r="O12470" s="5" t="s">
        <v>355</v>
      </c>
      <c r="P12470" s="5" t="s">
        <v>355</v>
      </c>
      <c r="Q12470" s="5" t="s">
        <v>355</v>
      </c>
    </row>
    <row r="12471" ht="16.5" customHeight="1">
      <c r="O12471" s="5" t="s">
        <v>355</v>
      </c>
      <c r="P12471" s="5" t="s">
        <v>355</v>
      </c>
      <c r="Q12471" s="5" t="s">
        <v>355</v>
      </c>
    </row>
    <row r="12472" ht="16.5" customHeight="1">
      <c r="O12472" s="5" t="s">
        <v>355</v>
      </c>
      <c r="P12472" s="5" t="s">
        <v>355</v>
      </c>
      <c r="Q12472" s="5" t="s">
        <v>355</v>
      </c>
    </row>
    <row r="12473" ht="16.5" customHeight="1">
      <c r="O12473" s="5" t="s">
        <v>355</v>
      </c>
      <c r="P12473" s="5" t="s">
        <v>355</v>
      </c>
      <c r="Q12473" s="5" t="s">
        <v>355</v>
      </c>
    </row>
    <row r="12474" ht="16.5" customHeight="1">
      <c r="O12474" s="5" t="s">
        <v>355</v>
      </c>
      <c r="P12474" s="5" t="s">
        <v>355</v>
      </c>
      <c r="Q12474" s="5" t="s">
        <v>355</v>
      </c>
    </row>
    <row r="12475" ht="16.5" customHeight="1">
      <c r="O12475" s="5" t="s">
        <v>355</v>
      </c>
      <c r="P12475" s="5" t="s">
        <v>355</v>
      </c>
      <c r="Q12475" s="5" t="s">
        <v>355</v>
      </c>
    </row>
    <row r="12476" ht="16.5" customHeight="1">
      <c r="O12476" s="5" t="s">
        <v>355</v>
      </c>
      <c r="P12476" s="5" t="s">
        <v>355</v>
      </c>
      <c r="Q12476" s="5" t="s">
        <v>355</v>
      </c>
    </row>
    <row r="12477" ht="16.5" customHeight="1">
      <c r="O12477" s="5" t="s">
        <v>355</v>
      </c>
      <c r="P12477" s="5" t="s">
        <v>355</v>
      </c>
      <c r="Q12477" s="5" t="s">
        <v>355</v>
      </c>
    </row>
    <row r="12478" ht="16.5" customHeight="1">
      <c r="O12478" s="5" t="s">
        <v>355</v>
      </c>
      <c r="P12478" s="5" t="s">
        <v>355</v>
      </c>
      <c r="Q12478" s="5" t="s">
        <v>355</v>
      </c>
    </row>
    <row r="12479" ht="16.5" customHeight="1">
      <c r="O12479" s="5" t="s">
        <v>355</v>
      </c>
      <c r="P12479" s="5" t="s">
        <v>355</v>
      </c>
      <c r="Q12479" s="5" t="s">
        <v>355</v>
      </c>
    </row>
    <row r="12480" ht="16.5" customHeight="1">
      <c r="O12480" s="5" t="s">
        <v>355</v>
      </c>
      <c r="P12480" s="5" t="s">
        <v>355</v>
      </c>
      <c r="Q12480" s="5" t="s">
        <v>355</v>
      </c>
    </row>
    <row r="12481" ht="16.5" customHeight="1">
      <c r="O12481" s="5" t="s">
        <v>355</v>
      </c>
      <c r="P12481" s="5" t="s">
        <v>355</v>
      </c>
      <c r="Q12481" s="5" t="s">
        <v>355</v>
      </c>
    </row>
    <row r="12482" ht="16.5" customHeight="1">
      <c r="O12482" s="5" t="s">
        <v>355</v>
      </c>
      <c r="P12482" s="5" t="s">
        <v>355</v>
      </c>
      <c r="Q12482" s="5" t="s">
        <v>355</v>
      </c>
    </row>
    <row r="12483" ht="16.5" customHeight="1">
      <c r="O12483" s="5" t="s">
        <v>355</v>
      </c>
      <c r="P12483" s="5" t="s">
        <v>355</v>
      </c>
      <c r="Q12483" s="5" t="s">
        <v>355</v>
      </c>
    </row>
    <row r="12484" ht="16.5" customHeight="1">
      <c r="O12484" s="5" t="s">
        <v>355</v>
      </c>
      <c r="P12484" s="5" t="s">
        <v>355</v>
      </c>
      <c r="Q12484" s="5" t="s">
        <v>355</v>
      </c>
    </row>
    <row r="12485" ht="16.5" customHeight="1">
      <c r="O12485" s="5" t="s">
        <v>355</v>
      </c>
      <c r="P12485" s="5" t="s">
        <v>355</v>
      </c>
      <c r="Q12485" s="5" t="s">
        <v>355</v>
      </c>
    </row>
    <row r="12486" ht="16.5" customHeight="1">
      <c r="O12486" s="5" t="s">
        <v>355</v>
      </c>
      <c r="P12486" s="5" t="s">
        <v>355</v>
      </c>
      <c r="Q12486" s="5" t="s">
        <v>355</v>
      </c>
    </row>
    <row r="12487" ht="16.5" customHeight="1">
      <c r="O12487" s="5" t="s">
        <v>355</v>
      </c>
      <c r="P12487" s="5" t="s">
        <v>355</v>
      </c>
      <c r="Q12487" s="5" t="s">
        <v>355</v>
      </c>
    </row>
    <row r="12488" ht="16.5" customHeight="1">
      <c r="O12488" s="5" t="s">
        <v>355</v>
      </c>
      <c r="P12488" s="5" t="s">
        <v>355</v>
      </c>
      <c r="Q12488" s="5" t="s">
        <v>355</v>
      </c>
    </row>
    <row r="12489" ht="16.5" customHeight="1">
      <c r="O12489" s="5" t="s">
        <v>355</v>
      </c>
      <c r="P12489" s="5" t="s">
        <v>355</v>
      </c>
      <c r="Q12489" s="5" t="s">
        <v>355</v>
      </c>
    </row>
    <row r="12490" ht="16.5" customHeight="1">
      <c r="O12490" s="5" t="s">
        <v>355</v>
      </c>
      <c r="P12490" s="5" t="s">
        <v>355</v>
      </c>
      <c r="Q12490" s="5" t="s">
        <v>355</v>
      </c>
    </row>
    <row r="12491" ht="16.5" customHeight="1">
      <c r="O12491" s="5" t="s">
        <v>355</v>
      </c>
      <c r="P12491" s="5" t="s">
        <v>355</v>
      </c>
      <c r="Q12491" s="5" t="s">
        <v>355</v>
      </c>
    </row>
    <row r="12492" ht="16.5" customHeight="1">
      <c r="O12492" s="5" t="s">
        <v>355</v>
      </c>
      <c r="P12492" s="5" t="s">
        <v>355</v>
      </c>
      <c r="Q12492" s="5" t="s">
        <v>355</v>
      </c>
    </row>
    <row r="12493" ht="16.5" customHeight="1">
      <c r="O12493" s="5" t="s">
        <v>355</v>
      </c>
      <c r="P12493" s="5" t="s">
        <v>355</v>
      </c>
      <c r="Q12493" s="5" t="s">
        <v>355</v>
      </c>
    </row>
    <row r="12494" ht="16.5" customHeight="1">
      <c r="O12494" s="5" t="s">
        <v>355</v>
      </c>
      <c r="P12494" s="5" t="s">
        <v>355</v>
      </c>
      <c r="Q12494" s="5" t="s">
        <v>355</v>
      </c>
    </row>
    <row r="12495" ht="16.5" customHeight="1">
      <c r="O12495" s="5" t="s">
        <v>355</v>
      </c>
      <c r="P12495" s="5" t="s">
        <v>355</v>
      </c>
      <c r="Q12495" s="5" t="s">
        <v>355</v>
      </c>
    </row>
    <row r="12496" ht="16.5" customHeight="1">
      <c r="O12496" s="5" t="s">
        <v>355</v>
      </c>
      <c r="P12496" s="5" t="s">
        <v>355</v>
      </c>
      <c r="Q12496" s="5" t="s">
        <v>355</v>
      </c>
    </row>
    <row r="12497" ht="16.5" customHeight="1">
      <c r="O12497" s="5" t="s">
        <v>355</v>
      </c>
      <c r="P12497" s="5" t="s">
        <v>355</v>
      </c>
      <c r="Q12497" s="5" t="s">
        <v>355</v>
      </c>
    </row>
    <row r="12498" ht="16.5" customHeight="1">
      <c r="O12498" s="5" t="s">
        <v>355</v>
      </c>
      <c r="P12498" s="5" t="s">
        <v>355</v>
      </c>
      <c r="Q12498" s="5" t="s">
        <v>355</v>
      </c>
    </row>
    <row r="12499" ht="16.5" customHeight="1">
      <c r="O12499" s="5" t="s">
        <v>355</v>
      </c>
      <c r="P12499" s="5" t="s">
        <v>355</v>
      </c>
      <c r="Q12499" s="5" t="s">
        <v>355</v>
      </c>
    </row>
    <row r="12500" ht="16.5" customHeight="1">
      <c r="O12500" s="5" t="s">
        <v>355</v>
      </c>
      <c r="P12500" s="5" t="s">
        <v>355</v>
      </c>
      <c r="Q12500" s="5" t="s">
        <v>355</v>
      </c>
    </row>
    <row r="12501" ht="16.5" customHeight="1">
      <c r="O12501" s="5" t="s">
        <v>355</v>
      </c>
      <c r="P12501" s="5" t="s">
        <v>355</v>
      </c>
      <c r="Q12501" s="5" t="s">
        <v>355</v>
      </c>
    </row>
    <row r="12502" ht="16.5" customHeight="1">
      <c r="O12502" s="5" t="s">
        <v>355</v>
      </c>
      <c r="P12502" s="5" t="s">
        <v>355</v>
      </c>
      <c r="Q12502" s="5" t="s">
        <v>355</v>
      </c>
    </row>
    <row r="12503" ht="16.5" customHeight="1">
      <c r="O12503" s="5" t="s">
        <v>355</v>
      </c>
      <c r="P12503" s="5" t="s">
        <v>355</v>
      </c>
      <c r="Q12503" s="5" t="s">
        <v>355</v>
      </c>
    </row>
    <row r="12504" ht="16.5" customHeight="1">
      <c r="O12504" s="5" t="s">
        <v>355</v>
      </c>
      <c r="P12504" s="5" t="s">
        <v>355</v>
      </c>
      <c r="Q12504" s="5" t="s">
        <v>355</v>
      </c>
    </row>
    <row r="12505" ht="16.5" customHeight="1">
      <c r="O12505" s="5" t="s">
        <v>355</v>
      </c>
      <c r="P12505" s="5" t="s">
        <v>355</v>
      </c>
      <c r="Q12505" s="5" t="s">
        <v>355</v>
      </c>
    </row>
    <row r="12506" ht="16.5" customHeight="1">
      <c r="O12506" s="5" t="s">
        <v>355</v>
      </c>
      <c r="P12506" s="5" t="s">
        <v>355</v>
      </c>
      <c r="Q12506" s="5" t="s">
        <v>355</v>
      </c>
    </row>
    <row r="12507" ht="16.5" customHeight="1">
      <c r="O12507" s="5" t="s">
        <v>355</v>
      </c>
      <c r="P12507" s="5" t="s">
        <v>355</v>
      </c>
      <c r="Q12507" s="5" t="s">
        <v>355</v>
      </c>
    </row>
    <row r="12508" ht="16.5" customHeight="1">
      <c r="O12508" s="5" t="s">
        <v>355</v>
      </c>
      <c r="P12508" s="5" t="s">
        <v>355</v>
      </c>
      <c r="Q12508" s="5" t="s">
        <v>355</v>
      </c>
    </row>
    <row r="12509" ht="16.5" customHeight="1">
      <c r="O12509" s="5" t="s">
        <v>355</v>
      </c>
      <c r="P12509" s="5" t="s">
        <v>355</v>
      </c>
      <c r="Q12509" s="5" t="s">
        <v>355</v>
      </c>
    </row>
    <row r="12510" ht="16.5" customHeight="1">
      <c r="O12510" s="5" t="s">
        <v>355</v>
      </c>
      <c r="P12510" s="5" t="s">
        <v>355</v>
      </c>
      <c r="Q12510" s="5" t="s">
        <v>355</v>
      </c>
    </row>
    <row r="12511" ht="16.5" customHeight="1">
      <c r="O12511" s="5" t="s">
        <v>355</v>
      </c>
      <c r="P12511" s="5" t="s">
        <v>355</v>
      </c>
      <c r="Q12511" s="5" t="s">
        <v>355</v>
      </c>
    </row>
    <row r="12512" ht="16.5" customHeight="1">
      <c r="O12512" s="5" t="s">
        <v>355</v>
      </c>
      <c r="P12512" s="5" t="s">
        <v>355</v>
      </c>
      <c r="Q12512" s="5" t="s">
        <v>355</v>
      </c>
    </row>
    <row r="12513" ht="16.5" customHeight="1">
      <c r="O12513" s="5" t="s">
        <v>355</v>
      </c>
      <c r="P12513" s="5" t="s">
        <v>355</v>
      </c>
      <c r="Q12513" s="5" t="s">
        <v>355</v>
      </c>
    </row>
    <row r="12514" ht="16.5" customHeight="1">
      <c r="O12514" s="5" t="s">
        <v>355</v>
      </c>
      <c r="P12514" s="5" t="s">
        <v>355</v>
      </c>
      <c r="Q12514" s="5" t="s">
        <v>355</v>
      </c>
    </row>
    <row r="12515" ht="16.5" customHeight="1">
      <c r="O12515" s="5" t="s">
        <v>355</v>
      </c>
      <c r="P12515" s="5" t="s">
        <v>355</v>
      </c>
      <c r="Q12515" s="5" t="s">
        <v>355</v>
      </c>
    </row>
    <row r="12516" ht="16.5" customHeight="1">
      <c r="O12516" s="5" t="s">
        <v>355</v>
      </c>
      <c r="P12516" s="5" t="s">
        <v>355</v>
      </c>
      <c r="Q12516" s="5" t="s">
        <v>355</v>
      </c>
    </row>
    <row r="12517" ht="16.5" customHeight="1">
      <c r="O12517" s="5" t="s">
        <v>355</v>
      </c>
      <c r="P12517" s="5" t="s">
        <v>355</v>
      </c>
      <c r="Q12517" s="5" t="s">
        <v>355</v>
      </c>
    </row>
    <row r="12518" ht="16.5" customHeight="1">
      <c r="O12518" s="5" t="s">
        <v>355</v>
      </c>
      <c r="P12518" s="5" t="s">
        <v>355</v>
      </c>
      <c r="Q12518" s="5" t="s">
        <v>355</v>
      </c>
    </row>
    <row r="12519" ht="16.5" customHeight="1">
      <c r="O12519" s="5" t="s">
        <v>355</v>
      </c>
      <c r="P12519" s="5" t="s">
        <v>355</v>
      </c>
      <c r="Q12519" s="5" t="s">
        <v>355</v>
      </c>
    </row>
    <row r="12520" ht="16.5" customHeight="1">
      <c r="O12520" s="5" t="s">
        <v>355</v>
      </c>
      <c r="P12520" s="5" t="s">
        <v>355</v>
      </c>
      <c r="Q12520" s="5" t="s">
        <v>355</v>
      </c>
    </row>
    <row r="12521" ht="16.5" customHeight="1">
      <c r="O12521" s="5" t="s">
        <v>355</v>
      </c>
      <c r="P12521" s="5" t="s">
        <v>355</v>
      </c>
      <c r="Q12521" s="5" t="s">
        <v>355</v>
      </c>
    </row>
    <row r="12522" ht="16.5" customHeight="1">
      <c r="O12522" s="5" t="s">
        <v>355</v>
      </c>
      <c r="P12522" s="5" t="s">
        <v>355</v>
      </c>
      <c r="Q12522" s="5" t="s">
        <v>355</v>
      </c>
    </row>
    <row r="12523" ht="16.5" customHeight="1">
      <c r="O12523" s="5" t="s">
        <v>355</v>
      </c>
      <c r="P12523" s="5" t="s">
        <v>355</v>
      </c>
      <c r="Q12523" s="5" t="s">
        <v>355</v>
      </c>
    </row>
    <row r="12524" ht="16.5" customHeight="1">
      <c r="O12524" s="5" t="s">
        <v>355</v>
      </c>
      <c r="P12524" s="5" t="s">
        <v>355</v>
      </c>
      <c r="Q12524" s="5" t="s">
        <v>355</v>
      </c>
    </row>
    <row r="12525" ht="16.5" customHeight="1">
      <c r="O12525" s="5" t="s">
        <v>355</v>
      </c>
      <c r="P12525" s="5" t="s">
        <v>355</v>
      </c>
      <c r="Q12525" s="5" t="s">
        <v>355</v>
      </c>
    </row>
    <row r="12526" ht="16.5" customHeight="1">
      <c r="O12526" s="5" t="s">
        <v>355</v>
      </c>
      <c r="P12526" s="5" t="s">
        <v>355</v>
      </c>
      <c r="Q12526" s="5" t="s">
        <v>355</v>
      </c>
    </row>
    <row r="12527" ht="16.5" customHeight="1">
      <c r="O12527" s="5" t="s">
        <v>355</v>
      </c>
      <c r="P12527" s="5" t="s">
        <v>355</v>
      </c>
      <c r="Q12527" s="5" t="s">
        <v>355</v>
      </c>
    </row>
    <row r="12528" ht="16.5" customHeight="1">
      <c r="O12528" s="5" t="s">
        <v>355</v>
      </c>
      <c r="P12528" s="5" t="s">
        <v>355</v>
      </c>
      <c r="Q12528" s="5" t="s">
        <v>355</v>
      </c>
    </row>
    <row r="12529" ht="16.5" customHeight="1">
      <c r="O12529" s="5" t="s">
        <v>355</v>
      </c>
      <c r="P12529" s="5" t="s">
        <v>355</v>
      </c>
      <c r="Q12529" s="5" t="s">
        <v>355</v>
      </c>
    </row>
    <row r="12530" ht="16.5" customHeight="1">
      <c r="O12530" s="5" t="s">
        <v>355</v>
      </c>
      <c r="P12530" s="5" t="s">
        <v>355</v>
      </c>
      <c r="Q12530" s="5" t="s">
        <v>355</v>
      </c>
    </row>
    <row r="12531" ht="16.5" customHeight="1">
      <c r="O12531" s="5" t="s">
        <v>355</v>
      </c>
      <c r="P12531" s="5" t="s">
        <v>355</v>
      </c>
      <c r="Q12531" s="5" t="s">
        <v>355</v>
      </c>
    </row>
    <row r="12532" ht="16.5" customHeight="1">
      <c r="O12532" s="5" t="s">
        <v>355</v>
      </c>
      <c r="P12532" s="5" t="s">
        <v>355</v>
      </c>
      <c r="Q12532" s="5" t="s">
        <v>355</v>
      </c>
    </row>
    <row r="12533" ht="16.5" customHeight="1">
      <c r="O12533" s="5" t="s">
        <v>355</v>
      </c>
      <c r="P12533" s="5" t="s">
        <v>355</v>
      </c>
      <c r="Q12533" s="5" t="s">
        <v>355</v>
      </c>
    </row>
    <row r="12534" ht="16.5" customHeight="1">
      <c r="O12534" s="5" t="s">
        <v>355</v>
      </c>
      <c r="P12534" s="5" t="s">
        <v>355</v>
      </c>
      <c r="Q12534" s="5" t="s">
        <v>355</v>
      </c>
    </row>
    <row r="12535" ht="16.5" customHeight="1">
      <c r="O12535" s="5" t="s">
        <v>355</v>
      </c>
      <c r="P12535" s="5" t="s">
        <v>355</v>
      </c>
      <c r="Q12535" s="5" t="s">
        <v>355</v>
      </c>
    </row>
    <row r="12536" ht="16.5" customHeight="1">
      <c r="O12536" s="5" t="s">
        <v>355</v>
      </c>
      <c r="P12536" s="5" t="s">
        <v>355</v>
      </c>
      <c r="Q12536" s="5" t="s">
        <v>355</v>
      </c>
    </row>
    <row r="12537" ht="16.5" customHeight="1">
      <c r="O12537" s="5" t="s">
        <v>355</v>
      </c>
      <c r="P12537" s="5" t="s">
        <v>355</v>
      </c>
      <c r="Q12537" s="5" t="s">
        <v>355</v>
      </c>
    </row>
    <row r="12538" ht="16.5" customHeight="1">
      <c r="O12538" s="5" t="s">
        <v>355</v>
      </c>
      <c r="P12538" s="5" t="s">
        <v>355</v>
      </c>
      <c r="Q12538" s="5" t="s">
        <v>355</v>
      </c>
    </row>
    <row r="12539" ht="16.5" customHeight="1">
      <c r="O12539" s="5" t="s">
        <v>355</v>
      </c>
      <c r="P12539" s="5" t="s">
        <v>355</v>
      </c>
      <c r="Q12539" s="5" t="s">
        <v>355</v>
      </c>
    </row>
    <row r="12540" ht="16.5" customHeight="1">
      <c r="O12540" s="5" t="s">
        <v>355</v>
      </c>
      <c r="P12540" s="5" t="s">
        <v>355</v>
      </c>
      <c r="Q12540" s="5" t="s">
        <v>355</v>
      </c>
    </row>
    <row r="12541" ht="16.5" customHeight="1">
      <c r="O12541" s="5" t="s">
        <v>355</v>
      </c>
      <c r="P12541" s="5" t="s">
        <v>355</v>
      </c>
      <c r="Q12541" s="5" t="s">
        <v>355</v>
      </c>
    </row>
    <row r="12542" ht="16.5" customHeight="1">
      <c r="O12542" s="5" t="s">
        <v>355</v>
      </c>
      <c r="P12542" s="5" t="s">
        <v>355</v>
      </c>
      <c r="Q12542" s="5" t="s">
        <v>355</v>
      </c>
    </row>
    <row r="12543" ht="16.5" customHeight="1">
      <c r="O12543" s="5" t="s">
        <v>355</v>
      </c>
      <c r="P12543" s="5" t="s">
        <v>355</v>
      </c>
      <c r="Q12543" s="5" t="s">
        <v>355</v>
      </c>
    </row>
    <row r="12544" ht="16.5" customHeight="1">
      <c r="O12544" s="5" t="s">
        <v>355</v>
      </c>
      <c r="P12544" s="5" t="s">
        <v>355</v>
      </c>
      <c r="Q12544" s="5" t="s">
        <v>355</v>
      </c>
    </row>
    <row r="12545" ht="16.5" customHeight="1">
      <c r="O12545" s="5" t="s">
        <v>355</v>
      </c>
      <c r="P12545" s="5" t="s">
        <v>355</v>
      </c>
      <c r="Q12545" s="5" t="s">
        <v>355</v>
      </c>
    </row>
    <row r="12546" ht="16.5" customHeight="1">
      <c r="O12546" s="5" t="s">
        <v>355</v>
      </c>
      <c r="P12546" s="5" t="s">
        <v>355</v>
      </c>
      <c r="Q12546" s="5" t="s">
        <v>355</v>
      </c>
    </row>
    <row r="12547" ht="16.5" customHeight="1">
      <c r="O12547" s="5" t="s">
        <v>355</v>
      </c>
      <c r="P12547" s="5" t="s">
        <v>355</v>
      </c>
      <c r="Q12547" s="5" t="s">
        <v>355</v>
      </c>
    </row>
    <row r="12548" ht="16.5" customHeight="1">
      <c r="O12548" s="5" t="s">
        <v>355</v>
      </c>
      <c r="P12548" s="5" t="s">
        <v>355</v>
      </c>
      <c r="Q12548" s="5" t="s">
        <v>355</v>
      </c>
    </row>
    <row r="12549" ht="16.5" customHeight="1">
      <c r="O12549" s="5" t="s">
        <v>355</v>
      </c>
      <c r="P12549" s="5" t="s">
        <v>355</v>
      </c>
      <c r="Q12549" s="5" t="s">
        <v>355</v>
      </c>
    </row>
    <row r="12550" ht="16.5" customHeight="1">
      <c r="O12550" s="5" t="s">
        <v>355</v>
      </c>
      <c r="P12550" s="5" t="s">
        <v>355</v>
      </c>
      <c r="Q12550" s="5" t="s">
        <v>355</v>
      </c>
    </row>
    <row r="12551" ht="16.5" customHeight="1">
      <c r="O12551" s="5" t="s">
        <v>355</v>
      </c>
      <c r="P12551" s="5" t="s">
        <v>355</v>
      </c>
      <c r="Q12551" s="5" t="s">
        <v>355</v>
      </c>
    </row>
    <row r="12552" ht="16.5" customHeight="1">
      <c r="O12552" s="5" t="s">
        <v>355</v>
      </c>
      <c r="P12552" s="5" t="s">
        <v>355</v>
      </c>
      <c r="Q12552" s="5" t="s">
        <v>355</v>
      </c>
    </row>
    <row r="12553" ht="16.5" customHeight="1">
      <c r="O12553" s="5" t="s">
        <v>355</v>
      </c>
      <c r="P12553" s="5" t="s">
        <v>355</v>
      </c>
      <c r="Q12553" s="5" t="s">
        <v>355</v>
      </c>
    </row>
    <row r="12554" ht="16.5" customHeight="1">
      <c r="O12554" s="5" t="s">
        <v>355</v>
      </c>
      <c r="P12554" s="5" t="s">
        <v>355</v>
      </c>
      <c r="Q12554" s="5" t="s">
        <v>355</v>
      </c>
    </row>
    <row r="12555" ht="16.5" customHeight="1">
      <c r="O12555" s="5" t="s">
        <v>355</v>
      </c>
      <c r="P12555" s="5" t="s">
        <v>355</v>
      </c>
      <c r="Q12555" s="5" t="s">
        <v>355</v>
      </c>
    </row>
    <row r="12556" ht="16.5" customHeight="1">
      <c r="O12556" s="5" t="s">
        <v>355</v>
      </c>
      <c r="P12556" s="5" t="s">
        <v>355</v>
      </c>
      <c r="Q12556" s="5" t="s">
        <v>355</v>
      </c>
    </row>
    <row r="12557" ht="16.5" customHeight="1">
      <c r="O12557" s="5" t="s">
        <v>355</v>
      </c>
      <c r="P12557" s="5" t="s">
        <v>355</v>
      </c>
      <c r="Q12557" s="5" t="s">
        <v>355</v>
      </c>
    </row>
    <row r="12558" ht="16.5" customHeight="1">
      <c r="O12558" s="5" t="s">
        <v>355</v>
      </c>
      <c r="P12558" s="5" t="s">
        <v>355</v>
      </c>
      <c r="Q12558" s="5" t="s">
        <v>355</v>
      </c>
    </row>
    <row r="12559" ht="16.5" customHeight="1">
      <c r="O12559" s="5" t="s">
        <v>355</v>
      </c>
      <c r="P12559" s="5" t="s">
        <v>355</v>
      </c>
      <c r="Q12559" s="5" t="s">
        <v>355</v>
      </c>
    </row>
    <row r="12560" ht="16.5" customHeight="1">
      <c r="O12560" s="5" t="s">
        <v>355</v>
      </c>
      <c r="P12560" s="5" t="s">
        <v>355</v>
      </c>
      <c r="Q12560" s="5" t="s">
        <v>355</v>
      </c>
    </row>
    <row r="12561" ht="16.5" customHeight="1">
      <c r="O12561" s="5" t="s">
        <v>355</v>
      </c>
      <c r="P12561" s="5" t="s">
        <v>355</v>
      </c>
      <c r="Q12561" s="5" t="s">
        <v>355</v>
      </c>
    </row>
    <row r="12562" ht="16.5" customHeight="1">
      <c r="O12562" s="5" t="s">
        <v>355</v>
      </c>
      <c r="P12562" s="5" t="s">
        <v>355</v>
      </c>
      <c r="Q12562" s="5" t="s">
        <v>355</v>
      </c>
    </row>
    <row r="12563" ht="16.5" customHeight="1">
      <c r="O12563" s="5" t="s">
        <v>355</v>
      </c>
      <c r="P12563" s="5" t="s">
        <v>355</v>
      </c>
      <c r="Q12563" s="5" t="s">
        <v>355</v>
      </c>
    </row>
    <row r="12564" ht="16.5" customHeight="1">
      <c r="O12564" s="5" t="s">
        <v>355</v>
      </c>
      <c r="P12564" s="5" t="s">
        <v>355</v>
      </c>
      <c r="Q12564" s="5" t="s">
        <v>355</v>
      </c>
    </row>
    <row r="12565" ht="16.5" customHeight="1">
      <c r="O12565" s="5" t="s">
        <v>355</v>
      </c>
      <c r="P12565" s="5" t="s">
        <v>355</v>
      </c>
      <c r="Q12565" s="5" t="s">
        <v>355</v>
      </c>
    </row>
    <row r="12566" ht="16.5" customHeight="1">
      <c r="O12566" s="5" t="s">
        <v>355</v>
      </c>
      <c r="P12566" s="5" t="s">
        <v>355</v>
      </c>
      <c r="Q12566" s="5" t="s">
        <v>355</v>
      </c>
    </row>
    <row r="12567" ht="16.5" customHeight="1">
      <c r="O12567" s="5" t="s">
        <v>355</v>
      </c>
      <c r="P12567" s="5" t="s">
        <v>355</v>
      </c>
      <c r="Q12567" s="5" t="s">
        <v>355</v>
      </c>
    </row>
    <row r="12568" ht="16.5" customHeight="1">
      <c r="O12568" s="5" t="s">
        <v>355</v>
      </c>
      <c r="P12568" s="5" t="s">
        <v>355</v>
      </c>
      <c r="Q12568" s="5" t="s">
        <v>355</v>
      </c>
    </row>
    <row r="12569" ht="16.5" customHeight="1">
      <c r="O12569" s="5" t="s">
        <v>355</v>
      </c>
      <c r="P12569" s="5" t="s">
        <v>355</v>
      </c>
      <c r="Q12569" s="5" t="s">
        <v>355</v>
      </c>
    </row>
    <row r="12570" ht="16.5" customHeight="1">
      <c r="O12570" s="5" t="s">
        <v>355</v>
      </c>
      <c r="P12570" s="5" t="s">
        <v>355</v>
      </c>
      <c r="Q12570" s="5" t="s">
        <v>355</v>
      </c>
    </row>
    <row r="12571" ht="16.5" customHeight="1">
      <c r="O12571" s="5" t="s">
        <v>355</v>
      </c>
      <c r="P12571" s="5" t="s">
        <v>355</v>
      </c>
      <c r="Q12571" s="5" t="s">
        <v>355</v>
      </c>
    </row>
    <row r="12572" ht="16.5" customHeight="1">
      <c r="O12572" s="5" t="s">
        <v>355</v>
      </c>
      <c r="P12572" s="5" t="s">
        <v>355</v>
      </c>
      <c r="Q12572" s="5" t="s">
        <v>355</v>
      </c>
    </row>
    <row r="12573" ht="16.5" customHeight="1">
      <c r="O12573" s="5" t="s">
        <v>355</v>
      </c>
      <c r="P12573" s="5" t="s">
        <v>355</v>
      </c>
      <c r="Q12573" s="5" t="s">
        <v>355</v>
      </c>
    </row>
    <row r="12574" ht="16.5" customHeight="1">
      <c r="O12574" s="5" t="s">
        <v>355</v>
      </c>
      <c r="P12574" s="5" t="s">
        <v>355</v>
      </c>
      <c r="Q12574" s="5" t="s">
        <v>355</v>
      </c>
    </row>
    <row r="12575" ht="16.5" customHeight="1">
      <c r="O12575" s="5" t="s">
        <v>355</v>
      </c>
      <c r="P12575" s="5" t="s">
        <v>355</v>
      </c>
      <c r="Q12575" s="5" t="s">
        <v>355</v>
      </c>
    </row>
    <row r="12576" ht="16.5" customHeight="1">
      <c r="O12576" s="5" t="s">
        <v>355</v>
      </c>
      <c r="P12576" s="5" t="s">
        <v>355</v>
      </c>
      <c r="Q12576" s="5" t="s">
        <v>355</v>
      </c>
    </row>
    <row r="12577" ht="16.5" customHeight="1">
      <c r="O12577" s="5" t="s">
        <v>355</v>
      </c>
      <c r="P12577" s="5" t="s">
        <v>355</v>
      </c>
      <c r="Q12577" s="5" t="s">
        <v>355</v>
      </c>
    </row>
    <row r="12578" ht="16.5" customHeight="1">
      <c r="O12578" s="5" t="s">
        <v>355</v>
      </c>
      <c r="P12578" s="5" t="s">
        <v>355</v>
      </c>
      <c r="Q12578" s="5" t="s">
        <v>355</v>
      </c>
    </row>
    <row r="12579" ht="16.5" customHeight="1">
      <c r="O12579" s="5" t="s">
        <v>355</v>
      </c>
      <c r="P12579" s="5" t="s">
        <v>355</v>
      </c>
      <c r="Q12579" s="5" t="s">
        <v>355</v>
      </c>
    </row>
    <row r="12580" ht="16.5" customHeight="1">
      <c r="O12580" s="5" t="s">
        <v>355</v>
      </c>
      <c r="P12580" s="5" t="s">
        <v>355</v>
      </c>
      <c r="Q12580" s="5" t="s">
        <v>355</v>
      </c>
    </row>
    <row r="12581" ht="16.5" customHeight="1">
      <c r="O12581" s="5" t="s">
        <v>355</v>
      </c>
      <c r="P12581" s="5" t="s">
        <v>355</v>
      </c>
      <c r="Q12581" s="5" t="s">
        <v>355</v>
      </c>
    </row>
    <row r="12582" ht="16.5" customHeight="1">
      <c r="O12582" s="5" t="s">
        <v>355</v>
      </c>
      <c r="P12582" s="5" t="s">
        <v>355</v>
      </c>
      <c r="Q12582" s="5" t="s">
        <v>355</v>
      </c>
    </row>
    <row r="12583" ht="16.5" customHeight="1">
      <c r="O12583" s="5" t="s">
        <v>355</v>
      </c>
      <c r="P12583" s="5" t="s">
        <v>355</v>
      </c>
      <c r="Q12583" s="5" t="s">
        <v>355</v>
      </c>
    </row>
    <row r="12584" ht="16.5" customHeight="1">
      <c r="O12584" s="5" t="s">
        <v>355</v>
      </c>
      <c r="P12584" s="5" t="s">
        <v>355</v>
      </c>
      <c r="Q12584" s="5" t="s">
        <v>355</v>
      </c>
    </row>
    <row r="12585" ht="16.5" customHeight="1">
      <c r="O12585" s="5" t="s">
        <v>355</v>
      </c>
      <c r="P12585" s="5" t="s">
        <v>355</v>
      </c>
      <c r="Q12585" s="5" t="s">
        <v>355</v>
      </c>
    </row>
    <row r="12586" ht="16.5" customHeight="1">
      <c r="O12586" s="5" t="s">
        <v>355</v>
      </c>
      <c r="P12586" s="5" t="s">
        <v>355</v>
      </c>
      <c r="Q12586" s="5" t="s">
        <v>355</v>
      </c>
    </row>
    <row r="12587" ht="16.5" customHeight="1">
      <c r="O12587" s="5" t="s">
        <v>355</v>
      </c>
      <c r="P12587" s="5" t="s">
        <v>355</v>
      </c>
      <c r="Q12587" s="5" t="s">
        <v>355</v>
      </c>
    </row>
    <row r="12588" ht="16.5" customHeight="1">
      <c r="O12588" s="5" t="s">
        <v>355</v>
      </c>
      <c r="P12588" s="5" t="s">
        <v>355</v>
      </c>
      <c r="Q12588" s="5" t="s">
        <v>355</v>
      </c>
    </row>
    <row r="12589" ht="16.5" customHeight="1">
      <c r="O12589" s="5" t="s">
        <v>355</v>
      </c>
      <c r="P12589" s="5" t="s">
        <v>355</v>
      </c>
      <c r="Q12589" s="5" t="s">
        <v>355</v>
      </c>
    </row>
    <row r="12590" ht="16.5" customHeight="1">
      <c r="O12590" s="5" t="s">
        <v>355</v>
      </c>
      <c r="P12590" s="5" t="s">
        <v>355</v>
      </c>
      <c r="Q12590" s="5" t="s">
        <v>355</v>
      </c>
    </row>
    <row r="12591" ht="16.5" customHeight="1">
      <c r="O12591" s="5" t="s">
        <v>355</v>
      </c>
      <c r="P12591" s="5" t="s">
        <v>355</v>
      </c>
      <c r="Q12591" s="5" t="s">
        <v>355</v>
      </c>
    </row>
    <row r="12592" ht="16.5" customHeight="1">
      <c r="O12592" s="5" t="s">
        <v>355</v>
      </c>
      <c r="P12592" s="5" t="s">
        <v>355</v>
      </c>
      <c r="Q12592" s="5" t="s">
        <v>355</v>
      </c>
    </row>
    <row r="12593" ht="16.5" customHeight="1">
      <c r="O12593" s="5" t="s">
        <v>355</v>
      </c>
      <c r="P12593" s="5" t="s">
        <v>355</v>
      </c>
      <c r="Q12593" s="5" t="s">
        <v>355</v>
      </c>
    </row>
    <row r="12594" ht="16.5" customHeight="1">
      <c r="O12594" s="5" t="s">
        <v>355</v>
      </c>
      <c r="P12594" s="5" t="s">
        <v>355</v>
      </c>
      <c r="Q12594" s="5" t="s">
        <v>355</v>
      </c>
    </row>
    <row r="12595" ht="16.5" customHeight="1">
      <c r="O12595" s="5" t="s">
        <v>355</v>
      </c>
      <c r="P12595" s="5" t="s">
        <v>355</v>
      </c>
      <c r="Q12595" s="5" t="s">
        <v>355</v>
      </c>
    </row>
    <row r="12596" ht="16.5" customHeight="1">
      <c r="O12596" s="5" t="s">
        <v>355</v>
      </c>
      <c r="P12596" s="5" t="s">
        <v>355</v>
      </c>
      <c r="Q12596" s="5" t="s">
        <v>355</v>
      </c>
    </row>
    <row r="12597" ht="16.5" customHeight="1">
      <c r="O12597" s="5" t="s">
        <v>355</v>
      </c>
      <c r="P12597" s="5" t="s">
        <v>355</v>
      </c>
      <c r="Q12597" s="5" t="s">
        <v>355</v>
      </c>
    </row>
    <row r="12598" ht="16.5" customHeight="1">
      <c r="O12598" s="5" t="s">
        <v>355</v>
      </c>
      <c r="P12598" s="5" t="s">
        <v>355</v>
      </c>
      <c r="Q12598" s="5" t="s">
        <v>355</v>
      </c>
    </row>
    <row r="12599" ht="16.5" customHeight="1">
      <c r="O12599" s="5" t="s">
        <v>355</v>
      </c>
      <c r="P12599" s="5" t="s">
        <v>355</v>
      </c>
      <c r="Q12599" s="5" t="s">
        <v>355</v>
      </c>
    </row>
    <row r="12600" ht="16.5" customHeight="1">
      <c r="O12600" s="5" t="s">
        <v>355</v>
      </c>
      <c r="P12600" s="5" t="s">
        <v>355</v>
      </c>
      <c r="Q12600" s="5" t="s">
        <v>355</v>
      </c>
    </row>
    <row r="12601" ht="16.5" customHeight="1">
      <c r="O12601" s="5" t="s">
        <v>355</v>
      </c>
      <c r="P12601" s="5" t="s">
        <v>355</v>
      </c>
      <c r="Q12601" s="5" t="s">
        <v>355</v>
      </c>
    </row>
    <row r="12602" ht="16.5" customHeight="1">
      <c r="O12602" s="5" t="s">
        <v>355</v>
      </c>
      <c r="P12602" s="5" t="s">
        <v>355</v>
      </c>
      <c r="Q12602" s="5" t="s">
        <v>355</v>
      </c>
    </row>
    <row r="12603" ht="16.5" customHeight="1">
      <c r="O12603" s="5" t="s">
        <v>355</v>
      </c>
      <c r="P12603" s="5" t="s">
        <v>355</v>
      </c>
      <c r="Q12603" s="5" t="s">
        <v>355</v>
      </c>
    </row>
    <row r="12604" ht="16.5" customHeight="1">
      <c r="O12604" s="5" t="s">
        <v>355</v>
      </c>
      <c r="P12604" s="5" t="s">
        <v>355</v>
      </c>
      <c r="Q12604" s="5" t="s">
        <v>355</v>
      </c>
    </row>
    <row r="12605" ht="16.5" customHeight="1">
      <c r="O12605" s="5" t="s">
        <v>355</v>
      </c>
      <c r="P12605" s="5" t="s">
        <v>355</v>
      </c>
      <c r="Q12605" s="5" t="s">
        <v>355</v>
      </c>
    </row>
    <row r="12606" ht="16.5" customHeight="1">
      <c r="O12606" s="5" t="s">
        <v>355</v>
      </c>
      <c r="P12606" s="5" t="s">
        <v>355</v>
      </c>
      <c r="Q12606" s="5" t="s">
        <v>355</v>
      </c>
    </row>
    <row r="12607" ht="16.5" customHeight="1">
      <c r="O12607" s="5" t="s">
        <v>355</v>
      </c>
      <c r="P12607" s="5" t="s">
        <v>355</v>
      </c>
      <c r="Q12607" s="5" t="s">
        <v>355</v>
      </c>
    </row>
    <row r="12608" ht="16.5" customHeight="1">
      <c r="O12608" s="5" t="s">
        <v>355</v>
      </c>
      <c r="P12608" s="5" t="s">
        <v>355</v>
      </c>
      <c r="Q12608" s="5" t="s">
        <v>355</v>
      </c>
    </row>
    <row r="12609" ht="16.5" customHeight="1">
      <c r="O12609" s="5" t="s">
        <v>355</v>
      </c>
      <c r="P12609" s="5" t="s">
        <v>355</v>
      </c>
      <c r="Q12609" s="5" t="s">
        <v>355</v>
      </c>
    </row>
    <row r="12610" ht="16.5" customHeight="1">
      <c r="O12610" s="5" t="s">
        <v>355</v>
      </c>
      <c r="P12610" s="5" t="s">
        <v>355</v>
      </c>
      <c r="Q12610" s="5" t="s">
        <v>355</v>
      </c>
    </row>
    <row r="12611" ht="16.5" customHeight="1">
      <c r="O12611" s="5" t="s">
        <v>355</v>
      </c>
      <c r="P12611" s="5" t="s">
        <v>355</v>
      </c>
      <c r="Q12611" s="5" t="s">
        <v>355</v>
      </c>
    </row>
    <row r="12612" ht="16.5" customHeight="1">
      <c r="O12612" s="5" t="s">
        <v>355</v>
      </c>
      <c r="P12612" s="5" t="s">
        <v>355</v>
      </c>
      <c r="Q12612" s="5" t="s">
        <v>355</v>
      </c>
    </row>
    <row r="12613" ht="16.5" customHeight="1">
      <c r="O12613" s="5" t="s">
        <v>355</v>
      </c>
      <c r="P12613" s="5" t="s">
        <v>355</v>
      </c>
      <c r="Q12613" s="5" t="s">
        <v>355</v>
      </c>
    </row>
    <row r="12614" ht="16.5" customHeight="1">
      <c r="O12614" s="5" t="s">
        <v>355</v>
      </c>
      <c r="P12614" s="5" t="s">
        <v>355</v>
      </c>
      <c r="Q12614" s="5" t="s">
        <v>355</v>
      </c>
    </row>
    <row r="12615" ht="16.5" customHeight="1">
      <c r="O12615" s="5" t="s">
        <v>355</v>
      </c>
      <c r="P12615" s="5" t="s">
        <v>355</v>
      </c>
      <c r="Q12615" s="5" t="s">
        <v>355</v>
      </c>
    </row>
    <row r="12616" ht="16.5" customHeight="1">
      <c r="O12616" s="5" t="s">
        <v>355</v>
      </c>
      <c r="P12616" s="5" t="s">
        <v>355</v>
      </c>
      <c r="Q12616" s="5" t="s">
        <v>355</v>
      </c>
    </row>
    <row r="12617" ht="16.5" customHeight="1">
      <c r="O12617" s="5" t="s">
        <v>355</v>
      </c>
      <c r="P12617" s="5" t="s">
        <v>355</v>
      </c>
      <c r="Q12617" s="5" t="s">
        <v>355</v>
      </c>
    </row>
    <row r="12618" ht="16.5" customHeight="1">
      <c r="O12618" s="5" t="s">
        <v>355</v>
      </c>
      <c r="P12618" s="5" t="s">
        <v>355</v>
      </c>
      <c r="Q12618" s="5" t="s">
        <v>355</v>
      </c>
    </row>
    <row r="12619" ht="16.5" customHeight="1">
      <c r="O12619" s="5" t="s">
        <v>355</v>
      </c>
      <c r="P12619" s="5" t="s">
        <v>355</v>
      </c>
      <c r="Q12619" s="5" t="s">
        <v>355</v>
      </c>
    </row>
    <row r="12620" ht="16.5" customHeight="1">
      <c r="O12620" s="5" t="s">
        <v>355</v>
      </c>
      <c r="P12620" s="5" t="s">
        <v>355</v>
      </c>
      <c r="Q12620" s="5" t="s">
        <v>355</v>
      </c>
    </row>
    <row r="12621" ht="16.5" customHeight="1">
      <c r="O12621" s="5" t="s">
        <v>355</v>
      </c>
      <c r="P12621" s="5" t="s">
        <v>355</v>
      </c>
      <c r="Q12621" s="5" t="s">
        <v>355</v>
      </c>
    </row>
    <row r="12622" ht="16.5" customHeight="1">
      <c r="O12622" s="5" t="s">
        <v>355</v>
      </c>
      <c r="P12622" s="5" t="s">
        <v>355</v>
      </c>
      <c r="Q12622" s="5" t="s">
        <v>355</v>
      </c>
    </row>
    <row r="12623" ht="16.5" customHeight="1">
      <c r="O12623" s="5" t="s">
        <v>355</v>
      </c>
      <c r="P12623" s="5" t="s">
        <v>355</v>
      </c>
      <c r="Q12623" s="5" t="s">
        <v>355</v>
      </c>
    </row>
    <row r="12624" ht="16.5" customHeight="1">
      <c r="O12624" s="5" t="s">
        <v>355</v>
      </c>
      <c r="P12624" s="5" t="s">
        <v>355</v>
      </c>
      <c r="Q12624" s="5" t="s">
        <v>355</v>
      </c>
    </row>
    <row r="12625" ht="16.5" customHeight="1">
      <c r="O12625" s="5" t="s">
        <v>355</v>
      </c>
      <c r="P12625" s="5" t="s">
        <v>355</v>
      </c>
      <c r="Q12625" s="5" t="s">
        <v>355</v>
      </c>
    </row>
    <row r="12626" ht="16.5" customHeight="1">
      <c r="O12626" s="5" t="s">
        <v>355</v>
      </c>
      <c r="P12626" s="5" t="s">
        <v>355</v>
      </c>
      <c r="Q12626" s="5" t="s">
        <v>355</v>
      </c>
    </row>
    <row r="12627" ht="16.5" customHeight="1">
      <c r="O12627" s="5" t="s">
        <v>355</v>
      </c>
      <c r="P12627" s="5" t="s">
        <v>355</v>
      </c>
      <c r="Q12627" s="5" t="s">
        <v>355</v>
      </c>
    </row>
    <row r="12628" ht="16.5" customHeight="1">
      <c r="O12628" s="5" t="s">
        <v>355</v>
      </c>
      <c r="P12628" s="5" t="s">
        <v>355</v>
      </c>
      <c r="Q12628" s="5" t="s">
        <v>355</v>
      </c>
    </row>
    <row r="12629" ht="16.5" customHeight="1">
      <c r="O12629" s="5" t="s">
        <v>355</v>
      </c>
      <c r="P12629" s="5" t="s">
        <v>355</v>
      </c>
      <c r="Q12629" s="5" t="s">
        <v>355</v>
      </c>
    </row>
    <row r="12630" ht="16.5" customHeight="1">
      <c r="O12630" s="5" t="s">
        <v>355</v>
      </c>
      <c r="P12630" s="5" t="s">
        <v>355</v>
      </c>
      <c r="Q12630" s="5" t="s">
        <v>355</v>
      </c>
    </row>
    <row r="12631" ht="16.5" customHeight="1">
      <c r="O12631" s="5" t="s">
        <v>355</v>
      </c>
      <c r="P12631" s="5" t="s">
        <v>355</v>
      </c>
      <c r="Q12631" s="5" t="s">
        <v>355</v>
      </c>
    </row>
    <row r="12632" ht="16.5" customHeight="1">
      <c r="O12632" s="5" t="s">
        <v>355</v>
      </c>
      <c r="P12632" s="5" t="s">
        <v>355</v>
      </c>
      <c r="Q12632" s="5" t="s">
        <v>355</v>
      </c>
    </row>
    <row r="12633" ht="16.5" customHeight="1">
      <c r="O12633" s="5" t="s">
        <v>355</v>
      </c>
      <c r="P12633" s="5" t="s">
        <v>355</v>
      </c>
      <c r="Q12633" s="5" t="s">
        <v>355</v>
      </c>
    </row>
    <row r="12634" ht="16.5" customHeight="1">
      <c r="O12634" s="5" t="s">
        <v>355</v>
      </c>
      <c r="P12634" s="5" t="s">
        <v>355</v>
      </c>
      <c r="Q12634" s="5" t="s">
        <v>355</v>
      </c>
    </row>
    <row r="12635" ht="16.5" customHeight="1">
      <c r="O12635" s="5" t="s">
        <v>355</v>
      </c>
      <c r="P12635" s="5" t="s">
        <v>355</v>
      </c>
      <c r="Q12635" s="5" t="s">
        <v>355</v>
      </c>
    </row>
    <row r="12636" ht="16.5" customHeight="1">
      <c r="O12636" s="5" t="s">
        <v>355</v>
      </c>
      <c r="P12636" s="5" t="s">
        <v>355</v>
      </c>
      <c r="Q12636" s="5" t="s">
        <v>355</v>
      </c>
    </row>
    <row r="12637" ht="16.5" customHeight="1">
      <c r="O12637" s="5" t="s">
        <v>355</v>
      </c>
      <c r="P12637" s="5" t="s">
        <v>355</v>
      </c>
      <c r="Q12637" s="5" t="s">
        <v>355</v>
      </c>
    </row>
    <row r="12638" ht="16.5" customHeight="1">
      <c r="O12638" s="5" t="s">
        <v>355</v>
      </c>
      <c r="P12638" s="5" t="s">
        <v>355</v>
      </c>
      <c r="Q12638" s="5" t="s">
        <v>355</v>
      </c>
    </row>
    <row r="12639" ht="16.5" customHeight="1">
      <c r="O12639" s="5" t="s">
        <v>355</v>
      </c>
      <c r="P12639" s="5" t="s">
        <v>355</v>
      </c>
      <c r="Q12639" s="5" t="s">
        <v>355</v>
      </c>
    </row>
    <row r="12640" ht="16.5" customHeight="1">
      <c r="O12640" s="5" t="s">
        <v>355</v>
      </c>
      <c r="P12640" s="5" t="s">
        <v>355</v>
      </c>
      <c r="Q12640" s="5" t="s">
        <v>355</v>
      </c>
    </row>
    <row r="12641" ht="16.5" customHeight="1">
      <c r="O12641" s="5" t="s">
        <v>355</v>
      </c>
      <c r="P12641" s="5" t="s">
        <v>355</v>
      </c>
      <c r="Q12641" s="5" t="s">
        <v>355</v>
      </c>
    </row>
    <row r="12642" ht="16.5" customHeight="1">
      <c r="O12642" s="5" t="s">
        <v>355</v>
      </c>
      <c r="P12642" s="5" t="s">
        <v>355</v>
      </c>
      <c r="Q12642" s="5" t="s">
        <v>355</v>
      </c>
    </row>
    <row r="12643" ht="16.5" customHeight="1">
      <c r="O12643" s="5" t="s">
        <v>355</v>
      </c>
      <c r="P12643" s="5" t="s">
        <v>355</v>
      </c>
      <c r="Q12643" s="5" t="s">
        <v>355</v>
      </c>
    </row>
    <row r="12644" ht="16.5" customHeight="1">
      <c r="O12644" s="5" t="s">
        <v>355</v>
      </c>
      <c r="P12644" s="5" t="s">
        <v>355</v>
      </c>
      <c r="Q12644" s="5" t="s">
        <v>355</v>
      </c>
    </row>
    <row r="12645" ht="16.5" customHeight="1">
      <c r="O12645" s="5" t="s">
        <v>355</v>
      </c>
      <c r="P12645" s="5" t="s">
        <v>355</v>
      </c>
      <c r="Q12645" s="5" t="s">
        <v>355</v>
      </c>
    </row>
    <row r="12646" ht="16.5" customHeight="1">
      <c r="O12646" s="5" t="s">
        <v>355</v>
      </c>
      <c r="P12646" s="5" t="s">
        <v>355</v>
      </c>
      <c r="Q12646" s="5" t="s">
        <v>355</v>
      </c>
    </row>
    <row r="12647" ht="16.5" customHeight="1">
      <c r="O12647" s="5" t="s">
        <v>355</v>
      </c>
      <c r="P12647" s="5" t="s">
        <v>355</v>
      </c>
      <c r="Q12647" s="5" t="s">
        <v>355</v>
      </c>
    </row>
    <row r="12648" ht="16.5" customHeight="1">
      <c r="O12648" s="5" t="s">
        <v>355</v>
      </c>
      <c r="P12648" s="5" t="s">
        <v>355</v>
      </c>
      <c r="Q12648" s="5" t="s">
        <v>355</v>
      </c>
    </row>
    <row r="12649" ht="16.5" customHeight="1">
      <c r="O12649" s="5" t="s">
        <v>355</v>
      </c>
      <c r="P12649" s="5" t="s">
        <v>355</v>
      </c>
      <c r="Q12649" s="5" t="s">
        <v>355</v>
      </c>
    </row>
    <row r="12650" ht="16.5" customHeight="1">
      <c r="O12650" s="5" t="s">
        <v>355</v>
      </c>
      <c r="P12650" s="5" t="s">
        <v>355</v>
      </c>
      <c r="Q12650" s="5" t="s">
        <v>355</v>
      </c>
    </row>
    <row r="12651" ht="16.5" customHeight="1">
      <c r="O12651" s="5" t="s">
        <v>355</v>
      </c>
      <c r="P12651" s="5" t="s">
        <v>355</v>
      </c>
      <c r="Q12651" s="5" t="s">
        <v>355</v>
      </c>
    </row>
    <row r="12652" ht="16.5" customHeight="1">
      <c r="O12652" s="5" t="s">
        <v>355</v>
      </c>
      <c r="P12652" s="5" t="s">
        <v>355</v>
      </c>
      <c r="Q12652" s="5" t="s">
        <v>355</v>
      </c>
    </row>
    <row r="12653" ht="16.5" customHeight="1">
      <c r="O12653" s="5" t="s">
        <v>355</v>
      </c>
      <c r="P12653" s="5" t="s">
        <v>355</v>
      </c>
      <c r="Q12653" s="5" t="s">
        <v>355</v>
      </c>
    </row>
    <row r="12654" ht="16.5" customHeight="1">
      <c r="O12654" s="5" t="s">
        <v>355</v>
      </c>
      <c r="P12654" s="5" t="s">
        <v>355</v>
      </c>
      <c r="Q12654" s="5" t="s">
        <v>355</v>
      </c>
    </row>
    <row r="12655" ht="16.5" customHeight="1">
      <c r="O12655" s="5" t="s">
        <v>355</v>
      </c>
      <c r="P12655" s="5" t="s">
        <v>355</v>
      </c>
      <c r="Q12655" s="5" t="s">
        <v>355</v>
      </c>
    </row>
    <row r="12656" ht="16.5" customHeight="1">
      <c r="O12656" s="5" t="s">
        <v>355</v>
      </c>
      <c r="P12656" s="5" t="s">
        <v>355</v>
      </c>
      <c r="Q12656" s="5" t="s">
        <v>355</v>
      </c>
    </row>
    <row r="12657" ht="16.5" customHeight="1">
      <c r="O12657" s="5" t="s">
        <v>355</v>
      </c>
      <c r="P12657" s="5" t="s">
        <v>355</v>
      </c>
      <c r="Q12657" s="5" t="s">
        <v>355</v>
      </c>
    </row>
    <row r="12658" ht="16.5" customHeight="1">
      <c r="O12658" s="5" t="s">
        <v>355</v>
      </c>
      <c r="P12658" s="5" t="s">
        <v>355</v>
      </c>
      <c r="Q12658" s="5" t="s">
        <v>355</v>
      </c>
    </row>
    <row r="12659" ht="16.5" customHeight="1">
      <c r="O12659" s="5" t="s">
        <v>355</v>
      </c>
      <c r="P12659" s="5" t="s">
        <v>355</v>
      </c>
      <c r="Q12659" s="5" t="s">
        <v>355</v>
      </c>
    </row>
    <row r="12660" ht="16.5" customHeight="1">
      <c r="O12660" s="5" t="s">
        <v>355</v>
      </c>
      <c r="P12660" s="5" t="s">
        <v>355</v>
      </c>
      <c r="Q12660" s="5" t="s">
        <v>355</v>
      </c>
    </row>
    <row r="12661" ht="16.5" customHeight="1">
      <c r="O12661" s="5" t="s">
        <v>355</v>
      </c>
      <c r="P12661" s="5" t="s">
        <v>355</v>
      </c>
      <c r="Q12661" s="5" t="s">
        <v>355</v>
      </c>
    </row>
    <row r="12662" ht="16.5" customHeight="1">
      <c r="O12662" s="5" t="s">
        <v>355</v>
      </c>
      <c r="P12662" s="5" t="s">
        <v>355</v>
      </c>
      <c r="Q12662" s="5" t="s">
        <v>355</v>
      </c>
    </row>
    <row r="12663" ht="16.5" customHeight="1">
      <c r="O12663" s="5" t="s">
        <v>355</v>
      </c>
      <c r="P12663" s="5" t="s">
        <v>355</v>
      </c>
      <c r="Q12663" s="5" t="s">
        <v>355</v>
      </c>
    </row>
    <row r="12664" ht="16.5" customHeight="1">
      <c r="O12664" s="5" t="s">
        <v>355</v>
      </c>
      <c r="P12664" s="5" t="s">
        <v>355</v>
      </c>
      <c r="Q12664" s="5" t="s">
        <v>355</v>
      </c>
    </row>
    <row r="12665" ht="16.5" customHeight="1">
      <c r="O12665" s="5" t="s">
        <v>355</v>
      </c>
      <c r="P12665" s="5" t="s">
        <v>355</v>
      </c>
      <c r="Q12665" s="5" t="s">
        <v>355</v>
      </c>
    </row>
    <row r="12666" ht="16.5" customHeight="1">
      <c r="O12666" s="5" t="s">
        <v>355</v>
      </c>
      <c r="P12666" s="5" t="s">
        <v>355</v>
      </c>
      <c r="Q12666" s="5" t="s">
        <v>355</v>
      </c>
    </row>
    <row r="12667" ht="16.5" customHeight="1">
      <c r="O12667" s="5" t="s">
        <v>355</v>
      </c>
      <c r="P12667" s="5" t="s">
        <v>355</v>
      </c>
      <c r="Q12667" s="5" t="s">
        <v>355</v>
      </c>
    </row>
    <row r="12668" ht="16.5" customHeight="1">
      <c r="O12668" s="5" t="s">
        <v>355</v>
      </c>
      <c r="P12668" s="5" t="s">
        <v>355</v>
      </c>
      <c r="Q12668" s="5" t="s">
        <v>355</v>
      </c>
    </row>
    <row r="12669" ht="16.5" customHeight="1">
      <c r="O12669" s="5" t="s">
        <v>355</v>
      </c>
      <c r="P12669" s="5" t="s">
        <v>355</v>
      </c>
      <c r="Q12669" s="5" t="s">
        <v>355</v>
      </c>
    </row>
    <row r="12670" ht="16.5" customHeight="1">
      <c r="O12670" s="5" t="s">
        <v>355</v>
      </c>
      <c r="P12670" s="5" t="s">
        <v>355</v>
      </c>
      <c r="Q12670" s="5" t="s">
        <v>355</v>
      </c>
    </row>
    <row r="12671" ht="16.5" customHeight="1">
      <c r="O12671" s="5" t="s">
        <v>355</v>
      </c>
      <c r="P12671" s="5" t="s">
        <v>355</v>
      </c>
      <c r="Q12671" s="5" t="s">
        <v>355</v>
      </c>
    </row>
    <row r="12672" ht="16.5" customHeight="1">
      <c r="O12672" s="5" t="s">
        <v>355</v>
      </c>
      <c r="P12672" s="5" t="s">
        <v>355</v>
      </c>
      <c r="Q12672" s="5" t="s">
        <v>355</v>
      </c>
    </row>
    <row r="12673" ht="16.5" customHeight="1">
      <c r="O12673" s="5" t="s">
        <v>355</v>
      </c>
      <c r="P12673" s="5" t="s">
        <v>355</v>
      </c>
      <c r="Q12673" s="5" t="s">
        <v>355</v>
      </c>
    </row>
    <row r="12674" ht="16.5" customHeight="1">
      <c r="O12674" s="5" t="s">
        <v>355</v>
      </c>
      <c r="P12674" s="5" t="s">
        <v>355</v>
      </c>
      <c r="Q12674" s="5" t="s">
        <v>355</v>
      </c>
    </row>
    <row r="12675" ht="16.5" customHeight="1">
      <c r="O12675" s="5" t="s">
        <v>355</v>
      </c>
      <c r="P12675" s="5" t="s">
        <v>355</v>
      </c>
      <c r="Q12675" s="5" t="s">
        <v>355</v>
      </c>
    </row>
    <row r="12676" ht="16.5" customHeight="1">
      <c r="O12676" s="5" t="s">
        <v>355</v>
      </c>
      <c r="P12676" s="5" t="s">
        <v>355</v>
      </c>
      <c r="Q12676" s="5" t="s">
        <v>355</v>
      </c>
    </row>
    <row r="12677" ht="16.5" customHeight="1">
      <c r="O12677" s="5" t="s">
        <v>355</v>
      </c>
      <c r="P12677" s="5" t="s">
        <v>355</v>
      </c>
      <c r="Q12677" s="5" t="s">
        <v>355</v>
      </c>
    </row>
    <row r="12678" ht="16.5" customHeight="1">
      <c r="O12678" s="5" t="s">
        <v>355</v>
      </c>
      <c r="P12678" s="5" t="s">
        <v>355</v>
      </c>
      <c r="Q12678" s="5" t="s">
        <v>355</v>
      </c>
    </row>
    <row r="12679" ht="16.5" customHeight="1">
      <c r="O12679" s="5" t="s">
        <v>355</v>
      </c>
      <c r="P12679" s="5" t="s">
        <v>355</v>
      </c>
      <c r="Q12679" s="5" t="s">
        <v>355</v>
      </c>
    </row>
    <row r="12680" ht="16.5" customHeight="1">
      <c r="O12680" s="5" t="s">
        <v>355</v>
      </c>
      <c r="P12680" s="5" t="s">
        <v>355</v>
      </c>
      <c r="Q12680" s="5" t="s">
        <v>355</v>
      </c>
    </row>
    <row r="12681" ht="16.5" customHeight="1">
      <c r="O12681" s="5" t="s">
        <v>355</v>
      </c>
      <c r="P12681" s="5" t="s">
        <v>355</v>
      </c>
      <c r="Q12681" s="5" t="s">
        <v>355</v>
      </c>
    </row>
    <row r="12682" ht="16.5" customHeight="1">
      <c r="O12682" s="5" t="s">
        <v>355</v>
      </c>
      <c r="P12682" s="5" t="s">
        <v>355</v>
      </c>
      <c r="Q12682" s="5" t="s">
        <v>355</v>
      </c>
    </row>
    <row r="12683" ht="16.5" customHeight="1">
      <c r="O12683" s="5" t="s">
        <v>355</v>
      </c>
      <c r="P12683" s="5" t="s">
        <v>355</v>
      </c>
      <c r="Q12683" s="5" t="s">
        <v>355</v>
      </c>
    </row>
    <row r="12684" ht="16.5" customHeight="1">
      <c r="O12684" s="5" t="s">
        <v>355</v>
      </c>
      <c r="P12684" s="5" t="s">
        <v>355</v>
      </c>
      <c r="Q12684" s="5" t="s">
        <v>355</v>
      </c>
    </row>
    <row r="12685" ht="16.5" customHeight="1">
      <c r="O12685" s="5" t="s">
        <v>355</v>
      </c>
      <c r="P12685" s="5" t="s">
        <v>355</v>
      </c>
      <c r="Q12685" s="5" t="s">
        <v>355</v>
      </c>
    </row>
    <row r="12686" ht="16.5" customHeight="1">
      <c r="O12686" s="5" t="s">
        <v>355</v>
      </c>
      <c r="P12686" s="5" t="s">
        <v>355</v>
      </c>
      <c r="Q12686" s="5" t="s">
        <v>355</v>
      </c>
    </row>
    <row r="12687" ht="16.5" customHeight="1">
      <c r="O12687" s="5" t="s">
        <v>355</v>
      </c>
      <c r="P12687" s="5" t="s">
        <v>355</v>
      </c>
      <c r="Q12687" s="5" t="s">
        <v>355</v>
      </c>
    </row>
    <row r="12688" ht="16.5" customHeight="1">
      <c r="O12688" s="5" t="s">
        <v>355</v>
      </c>
      <c r="P12688" s="5" t="s">
        <v>355</v>
      </c>
      <c r="Q12688" s="5" t="s">
        <v>355</v>
      </c>
    </row>
    <row r="12689" ht="16.5" customHeight="1">
      <c r="O12689" s="5" t="s">
        <v>355</v>
      </c>
      <c r="P12689" s="5" t="s">
        <v>355</v>
      </c>
      <c r="Q12689" s="5" t="s">
        <v>355</v>
      </c>
    </row>
    <row r="12690" ht="16.5" customHeight="1">
      <c r="O12690" s="5" t="s">
        <v>355</v>
      </c>
      <c r="P12690" s="5" t="s">
        <v>355</v>
      </c>
      <c r="Q12690" s="5" t="s">
        <v>355</v>
      </c>
    </row>
    <row r="12691" ht="16.5" customHeight="1">
      <c r="O12691" s="5" t="s">
        <v>355</v>
      </c>
      <c r="P12691" s="5" t="s">
        <v>355</v>
      </c>
      <c r="Q12691" s="5" t="s">
        <v>355</v>
      </c>
    </row>
    <row r="12692" ht="16.5" customHeight="1">
      <c r="O12692" s="5" t="s">
        <v>355</v>
      </c>
      <c r="P12692" s="5" t="s">
        <v>355</v>
      </c>
      <c r="Q12692" s="5" t="s">
        <v>355</v>
      </c>
    </row>
    <row r="12693" ht="16.5" customHeight="1">
      <c r="O12693" s="5" t="s">
        <v>355</v>
      </c>
      <c r="P12693" s="5" t="s">
        <v>355</v>
      </c>
      <c r="Q12693" s="5" t="s">
        <v>355</v>
      </c>
    </row>
    <row r="12694" ht="16.5" customHeight="1">
      <c r="O12694" s="5" t="s">
        <v>355</v>
      </c>
      <c r="P12694" s="5" t="s">
        <v>355</v>
      </c>
      <c r="Q12694" s="5" t="s">
        <v>355</v>
      </c>
    </row>
    <row r="12695" ht="16.5" customHeight="1">
      <c r="O12695" s="5" t="s">
        <v>355</v>
      </c>
      <c r="P12695" s="5" t="s">
        <v>355</v>
      </c>
      <c r="Q12695" s="5" t="s">
        <v>355</v>
      </c>
    </row>
    <row r="12696" ht="16.5" customHeight="1">
      <c r="O12696" s="5" t="s">
        <v>355</v>
      </c>
      <c r="P12696" s="5" t="s">
        <v>355</v>
      </c>
      <c r="Q12696" s="5" t="s">
        <v>355</v>
      </c>
    </row>
    <row r="12697" ht="16.5" customHeight="1">
      <c r="O12697" s="5" t="s">
        <v>355</v>
      </c>
      <c r="P12697" s="5" t="s">
        <v>355</v>
      </c>
      <c r="Q12697" s="5" t="s">
        <v>355</v>
      </c>
    </row>
    <row r="12698" ht="16.5" customHeight="1">
      <c r="O12698" s="5" t="s">
        <v>355</v>
      </c>
      <c r="P12698" s="5" t="s">
        <v>355</v>
      </c>
      <c r="Q12698" s="5" t="s">
        <v>355</v>
      </c>
    </row>
    <row r="12699" ht="16.5" customHeight="1">
      <c r="O12699" s="5" t="s">
        <v>355</v>
      </c>
      <c r="P12699" s="5" t="s">
        <v>355</v>
      </c>
      <c r="Q12699" s="5" t="s">
        <v>355</v>
      </c>
    </row>
    <row r="12700" ht="16.5" customHeight="1">
      <c r="O12700" s="5" t="s">
        <v>355</v>
      </c>
      <c r="P12700" s="5" t="s">
        <v>355</v>
      </c>
      <c r="Q12700" s="5" t="s">
        <v>355</v>
      </c>
    </row>
    <row r="12701" ht="16.5" customHeight="1">
      <c r="O12701" s="5" t="s">
        <v>355</v>
      </c>
      <c r="P12701" s="5" t="s">
        <v>355</v>
      </c>
      <c r="Q12701" s="5" t="s">
        <v>355</v>
      </c>
    </row>
    <row r="12702" ht="16.5" customHeight="1">
      <c r="O12702" s="5" t="s">
        <v>355</v>
      </c>
      <c r="P12702" s="5" t="s">
        <v>355</v>
      </c>
      <c r="Q12702" s="5" t="s">
        <v>355</v>
      </c>
    </row>
    <row r="12703" ht="16.5" customHeight="1">
      <c r="O12703" s="5" t="s">
        <v>355</v>
      </c>
      <c r="P12703" s="5" t="s">
        <v>355</v>
      </c>
      <c r="Q12703" s="5" t="s">
        <v>355</v>
      </c>
    </row>
    <row r="12704" ht="16.5" customHeight="1">
      <c r="O12704" s="5" t="s">
        <v>355</v>
      </c>
      <c r="P12704" s="5" t="s">
        <v>355</v>
      </c>
      <c r="Q12704" s="5" t="s">
        <v>355</v>
      </c>
    </row>
    <row r="12705" ht="16.5" customHeight="1">
      <c r="O12705" s="5" t="s">
        <v>355</v>
      </c>
      <c r="P12705" s="5" t="s">
        <v>355</v>
      </c>
      <c r="Q12705" s="5" t="s">
        <v>355</v>
      </c>
    </row>
    <row r="12706" ht="16.5" customHeight="1">
      <c r="O12706" s="5" t="s">
        <v>355</v>
      </c>
      <c r="P12706" s="5" t="s">
        <v>355</v>
      </c>
      <c r="Q12706" s="5" t="s">
        <v>355</v>
      </c>
    </row>
    <row r="12707" ht="16.5" customHeight="1">
      <c r="O12707" s="5" t="s">
        <v>355</v>
      </c>
      <c r="P12707" s="5" t="s">
        <v>355</v>
      </c>
      <c r="Q12707" s="5" t="s">
        <v>355</v>
      </c>
    </row>
    <row r="12708" ht="16.5" customHeight="1">
      <c r="O12708" s="5" t="s">
        <v>355</v>
      </c>
      <c r="P12708" s="5" t="s">
        <v>355</v>
      </c>
      <c r="Q12708" s="5" t="s">
        <v>355</v>
      </c>
    </row>
    <row r="12709" ht="16.5" customHeight="1">
      <c r="O12709" s="5" t="s">
        <v>355</v>
      </c>
      <c r="P12709" s="5" t="s">
        <v>355</v>
      </c>
      <c r="Q12709" s="5" t="s">
        <v>355</v>
      </c>
    </row>
    <row r="12710" ht="16.5" customHeight="1">
      <c r="O12710" s="5" t="s">
        <v>355</v>
      </c>
      <c r="P12710" s="5" t="s">
        <v>355</v>
      </c>
      <c r="Q12710" s="5" t="s">
        <v>355</v>
      </c>
    </row>
    <row r="12711" ht="16.5" customHeight="1">
      <c r="O12711" s="5" t="s">
        <v>355</v>
      </c>
      <c r="P12711" s="5" t="s">
        <v>355</v>
      </c>
      <c r="Q12711" s="5" t="s">
        <v>355</v>
      </c>
    </row>
    <row r="12712" ht="16.5" customHeight="1">
      <c r="O12712" s="5" t="s">
        <v>355</v>
      </c>
      <c r="P12712" s="5" t="s">
        <v>355</v>
      </c>
      <c r="Q12712" s="5" t="s">
        <v>355</v>
      </c>
    </row>
    <row r="12713" ht="16.5" customHeight="1">
      <c r="O12713" s="5" t="s">
        <v>355</v>
      </c>
      <c r="P12713" s="5" t="s">
        <v>355</v>
      </c>
      <c r="Q12713" s="5" t="s">
        <v>355</v>
      </c>
    </row>
    <row r="12714" ht="16.5" customHeight="1">
      <c r="O12714" s="5" t="s">
        <v>355</v>
      </c>
      <c r="P12714" s="5" t="s">
        <v>355</v>
      </c>
      <c r="Q12714" s="5" t="s">
        <v>355</v>
      </c>
    </row>
    <row r="12715" ht="16.5" customHeight="1">
      <c r="O12715" s="5" t="s">
        <v>355</v>
      </c>
      <c r="P12715" s="5" t="s">
        <v>355</v>
      </c>
      <c r="Q12715" s="5" t="s">
        <v>355</v>
      </c>
    </row>
    <row r="12716" ht="16.5" customHeight="1">
      <c r="O12716" s="5" t="s">
        <v>355</v>
      </c>
      <c r="P12716" s="5" t="s">
        <v>355</v>
      </c>
      <c r="Q12716" s="5" t="s">
        <v>355</v>
      </c>
    </row>
    <row r="12717" ht="16.5" customHeight="1">
      <c r="O12717" s="5" t="s">
        <v>355</v>
      </c>
      <c r="P12717" s="5" t="s">
        <v>355</v>
      </c>
      <c r="Q12717" s="5" t="s">
        <v>355</v>
      </c>
    </row>
    <row r="12718" ht="16.5" customHeight="1">
      <c r="O12718" s="5" t="s">
        <v>355</v>
      </c>
      <c r="P12718" s="5" t="s">
        <v>355</v>
      </c>
      <c r="Q12718" s="5" t="s">
        <v>355</v>
      </c>
    </row>
    <row r="12719" ht="16.5" customHeight="1">
      <c r="O12719" s="5" t="s">
        <v>355</v>
      </c>
      <c r="P12719" s="5" t="s">
        <v>355</v>
      </c>
      <c r="Q12719" s="5" t="s">
        <v>355</v>
      </c>
    </row>
    <row r="12720" ht="16.5" customHeight="1">
      <c r="O12720" s="5" t="s">
        <v>355</v>
      </c>
      <c r="P12720" s="5" t="s">
        <v>355</v>
      </c>
      <c r="Q12720" s="5" t="s">
        <v>355</v>
      </c>
    </row>
    <row r="12721" ht="16.5" customHeight="1">
      <c r="O12721" s="5" t="s">
        <v>355</v>
      </c>
      <c r="P12721" s="5" t="s">
        <v>355</v>
      </c>
      <c r="Q12721" s="5" t="s">
        <v>355</v>
      </c>
    </row>
    <row r="12722" ht="16.5" customHeight="1">
      <c r="O12722" s="5" t="s">
        <v>355</v>
      </c>
      <c r="P12722" s="5" t="s">
        <v>355</v>
      </c>
      <c r="Q12722" s="5" t="s">
        <v>355</v>
      </c>
    </row>
    <row r="12723" ht="16.5" customHeight="1">
      <c r="O12723" s="5" t="s">
        <v>355</v>
      </c>
      <c r="P12723" s="5" t="s">
        <v>355</v>
      </c>
      <c r="Q12723" s="5" t="s">
        <v>355</v>
      </c>
    </row>
    <row r="12724" ht="16.5" customHeight="1">
      <c r="O12724" s="5" t="s">
        <v>355</v>
      </c>
      <c r="P12724" s="5" t="s">
        <v>355</v>
      </c>
      <c r="Q12724" s="5" t="s">
        <v>355</v>
      </c>
    </row>
    <row r="12725" ht="16.5" customHeight="1">
      <c r="O12725" s="5" t="s">
        <v>355</v>
      </c>
      <c r="P12725" s="5" t="s">
        <v>355</v>
      </c>
      <c r="Q12725" s="5" t="s">
        <v>355</v>
      </c>
    </row>
    <row r="12726" ht="16.5" customHeight="1">
      <c r="O12726" s="5" t="s">
        <v>355</v>
      </c>
      <c r="P12726" s="5" t="s">
        <v>355</v>
      </c>
      <c r="Q12726" s="5" t="s">
        <v>355</v>
      </c>
    </row>
    <row r="12727" ht="16.5" customHeight="1">
      <c r="O12727" s="5" t="s">
        <v>355</v>
      </c>
      <c r="P12727" s="5" t="s">
        <v>355</v>
      </c>
      <c r="Q12727" s="5" t="s">
        <v>355</v>
      </c>
    </row>
    <row r="12728" ht="16.5" customHeight="1">
      <c r="O12728" s="5" t="s">
        <v>355</v>
      </c>
      <c r="P12728" s="5" t="s">
        <v>355</v>
      </c>
      <c r="Q12728" s="5" t="s">
        <v>355</v>
      </c>
    </row>
    <row r="12729" ht="16.5" customHeight="1">
      <c r="O12729" s="5" t="s">
        <v>355</v>
      </c>
      <c r="P12729" s="5" t="s">
        <v>355</v>
      </c>
      <c r="Q12729" s="5" t="s">
        <v>355</v>
      </c>
    </row>
    <row r="12730" ht="16.5" customHeight="1">
      <c r="O12730" s="5" t="s">
        <v>355</v>
      </c>
      <c r="P12730" s="5" t="s">
        <v>355</v>
      </c>
      <c r="Q12730" s="5" t="s">
        <v>355</v>
      </c>
    </row>
    <row r="12731" ht="16.5" customHeight="1">
      <c r="O12731" s="5" t="s">
        <v>355</v>
      </c>
      <c r="P12731" s="5" t="s">
        <v>355</v>
      </c>
      <c r="Q12731" s="5" t="s">
        <v>355</v>
      </c>
    </row>
    <row r="12732" ht="16.5" customHeight="1">
      <c r="O12732" s="5" t="s">
        <v>355</v>
      </c>
      <c r="P12732" s="5" t="s">
        <v>355</v>
      </c>
      <c r="Q12732" s="5" t="s">
        <v>355</v>
      </c>
    </row>
    <row r="12733" ht="16.5" customHeight="1">
      <c r="O12733" s="5" t="s">
        <v>355</v>
      </c>
      <c r="P12733" s="5" t="s">
        <v>355</v>
      </c>
      <c r="Q12733" s="5" t="s">
        <v>355</v>
      </c>
    </row>
    <row r="12734" ht="16.5" customHeight="1">
      <c r="O12734" s="5" t="s">
        <v>355</v>
      </c>
      <c r="P12734" s="5" t="s">
        <v>355</v>
      </c>
      <c r="Q12734" s="5" t="s">
        <v>355</v>
      </c>
    </row>
    <row r="12735" ht="16.5" customHeight="1">
      <c r="O12735" s="5" t="s">
        <v>355</v>
      </c>
      <c r="P12735" s="5" t="s">
        <v>355</v>
      </c>
      <c r="Q12735" s="5" t="s">
        <v>355</v>
      </c>
    </row>
    <row r="12736" ht="16.5" customHeight="1">
      <c r="O12736" s="5" t="s">
        <v>355</v>
      </c>
      <c r="P12736" s="5" t="s">
        <v>355</v>
      </c>
      <c r="Q12736" s="5" t="s">
        <v>355</v>
      </c>
    </row>
    <row r="12737" ht="16.5" customHeight="1">
      <c r="O12737" s="5" t="s">
        <v>355</v>
      </c>
      <c r="P12737" s="5" t="s">
        <v>355</v>
      </c>
      <c r="Q12737" s="5" t="s">
        <v>355</v>
      </c>
    </row>
    <row r="12738" ht="16.5" customHeight="1">
      <c r="O12738" s="5" t="s">
        <v>355</v>
      </c>
      <c r="P12738" s="5" t="s">
        <v>355</v>
      </c>
      <c r="Q12738" s="5" t="s">
        <v>355</v>
      </c>
    </row>
    <row r="12739" ht="16.5" customHeight="1">
      <c r="O12739" s="5" t="s">
        <v>355</v>
      </c>
      <c r="P12739" s="5" t="s">
        <v>355</v>
      </c>
      <c r="Q12739" s="5" t="s">
        <v>355</v>
      </c>
    </row>
    <row r="12740" ht="16.5" customHeight="1">
      <c r="O12740" s="5" t="s">
        <v>355</v>
      </c>
      <c r="P12740" s="5" t="s">
        <v>355</v>
      </c>
      <c r="Q12740" s="5" t="s">
        <v>355</v>
      </c>
    </row>
    <row r="12741" ht="16.5" customHeight="1">
      <c r="O12741" s="5" t="s">
        <v>355</v>
      </c>
      <c r="P12741" s="5" t="s">
        <v>355</v>
      </c>
      <c r="Q12741" s="5" t="s">
        <v>355</v>
      </c>
    </row>
    <row r="12742" ht="16.5" customHeight="1">
      <c r="O12742" s="5" t="s">
        <v>355</v>
      </c>
      <c r="P12742" s="5" t="s">
        <v>355</v>
      </c>
      <c r="Q12742" s="5" t="s">
        <v>355</v>
      </c>
    </row>
    <row r="12743" ht="16.5" customHeight="1">
      <c r="O12743" s="5" t="s">
        <v>355</v>
      </c>
      <c r="P12743" s="5" t="s">
        <v>355</v>
      </c>
      <c r="Q12743" s="5" t="s">
        <v>355</v>
      </c>
    </row>
    <row r="12744" ht="16.5" customHeight="1">
      <c r="O12744" s="5" t="s">
        <v>355</v>
      </c>
      <c r="P12744" s="5" t="s">
        <v>355</v>
      </c>
      <c r="Q12744" s="5" t="s">
        <v>355</v>
      </c>
    </row>
    <row r="12745" ht="16.5" customHeight="1">
      <c r="O12745" s="5" t="s">
        <v>355</v>
      </c>
      <c r="P12745" s="5" t="s">
        <v>355</v>
      </c>
      <c r="Q12745" s="5" t="s">
        <v>355</v>
      </c>
    </row>
    <row r="12746" ht="16.5" customHeight="1">
      <c r="O12746" s="5" t="s">
        <v>355</v>
      </c>
      <c r="P12746" s="5" t="s">
        <v>355</v>
      </c>
      <c r="Q12746" s="5" t="s">
        <v>355</v>
      </c>
    </row>
    <row r="12747" ht="16.5" customHeight="1">
      <c r="O12747" s="5" t="s">
        <v>355</v>
      </c>
      <c r="P12747" s="5" t="s">
        <v>355</v>
      </c>
      <c r="Q12747" s="5" t="s">
        <v>355</v>
      </c>
    </row>
    <row r="12748" ht="16.5" customHeight="1">
      <c r="O12748" s="5" t="s">
        <v>355</v>
      </c>
      <c r="P12748" s="5" t="s">
        <v>355</v>
      </c>
      <c r="Q12748" s="5" t="s">
        <v>355</v>
      </c>
    </row>
    <row r="12749" ht="16.5" customHeight="1">
      <c r="O12749" s="5" t="s">
        <v>355</v>
      </c>
      <c r="P12749" s="5" t="s">
        <v>355</v>
      </c>
      <c r="Q12749" s="5" t="s">
        <v>355</v>
      </c>
    </row>
    <row r="12750" ht="16.5" customHeight="1">
      <c r="O12750" s="5" t="s">
        <v>355</v>
      </c>
      <c r="P12750" s="5" t="s">
        <v>355</v>
      </c>
      <c r="Q12750" s="5" t="s">
        <v>355</v>
      </c>
    </row>
    <row r="12751" ht="16.5" customHeight="1">
      <c r="O12751" s="5" t="s">
        <v>355</v>
      </c>
      <c r="P12751" s="5" t="s">
        <v>355</v>
      </c>
      <c r="Q12751" s="5" t="s">
        <v>355</v>
      </c>
    </row>
    <row r="12752" ht="16.5" customHeight="1">
      <c r="O12752" s="5" t="s">
        <v>355</v>
      </c>
      <c r="P12752" s="5" t="s">
        <v>355</v>
      </c>
      <c r="Q12752" s="5" t="s">
        <v>355</v>
      </c>
    </row>
    <row r="12753" ht="16.5" customHeight="1">
      <c r="O12753" s="5" t="s">
        <v>355</v>
      </c>
      <c r="P12753" s="5" t="s">
        <v>355</v>
      </c>
      <c r="Q12753" s="5" t="s">
        <v>355</v>
      </c>
    </row>
    <row r="12754" ht="16.5" customHeight="1">
      <c r="O12754" s="5" t="s">
        <v>355</v>
      </c>
      <c r="P12754" s="5" t="s">
        <v>355</v>
      </c>
      <c r="Q12754" s="5" t="s">
        <v>355</v>
      </c>
    </row>
    <row r="12755" ht="16.5" customHeight="1">
      <c r="O12755" s="5" t="s">
        <v>355</v>
      </c>
      <c r="P12755" s="5" t="s">
        <v>355</v>
      </c>
      <c r="Q12755" s="5" t="s">
        <v>355</v>
      </c>
    </row>
    <row r="12756" ht="16.5" customHeight="1">
      <c r="O12756" s="5" t="s">
        <v>355</v>
      </c>
      <c r="P12756" s="5" t="s">
        <v>355</v>
      </c>
      <c r="Q12756" s="5" t="s">
        <v>355</v>
      </c>
    </row>
    <row r="12757" ht="16.5" customHeight="1">
      <c r="O12757" s="5" t="s">
        <v>355</v>
      </c>
      <c r="P12757" s="5" t="s">
        <v>355</v>
      </c>
      <c r="Q12757" s="5" t="s">
        <v>355</v>
      </c>
    </row>
    <row r="12758" ht="16.5" customHeight="1">
      <c r="O12758" s="5" t="s">
        <v>355</v>
      </c>
      <c r="P12758" s="5" t="s">
        <v>355</v>
      </c>
      <c r="Q12758" s="5" t="s">
        <v>355</v>
      </c>
    </row>
    <row r="12759" ht="16.5" customHeight="1">
      <c r="O12759" s="5" t="s">
        <v>355</v>
      </c>
      <c r="P12759" s="5" t="s">
        <v>355</v>
      </c>
      <c r="Q12759" s="5" t="s">
        <v>355</v>
      </c>
    </row>
    <row r="12760" ht="16.5" customHeight="1">
      <c r="O12760" s="5" t="s">
        <v>355</v>
      </c>
      <c r="P12760" s="5" t="s">
        <v>355</v>
      </c>
      <c r="Q12760" s="5" t="s">
        <v>355</v>
      </c>
    </row>
    <row r="12761" ht="16.5" customHeight="1">
      <c r="O12761" s="5" t="s">
        <v>355</v>
      </c>
      <c r="P12761" s="5" t="s">
        <v>355</v>
      </c>
      <c r="Q12761" s="5" t="s">
        <v>355</v>
      </c>
    </row>
    <row r="12762" ht="16.5" customHeight="1">
      <c r="O12762" s="5" t="s">
        <v>355</v>
      </c>
      <c r="P12762" s="5" t="s">
        <v>355</v>
      </c>
      <c r="Q12762" s="5" t="s">
        <v>355</v>
      </c>
    </row>
    <row r="12763" ht="16.5" customHeight="1">
      <c r="O12763" s="5" t="s">
        <v>355</v>
      </c>
      <c r="P12763" s="5" t="s">
        <v>355</v>
      </c>
      <c r="Q12763" s="5" t="s">
        <v>355</v>
      </c>
    </row>
    <row r="12764" ht="16.5" customHeight="1">
      <c r="O12764" s="5" t="s">
        <v>355</v>
      </c>
      <c r="P12764" s="5" t="s">
        <v>355</v>
      </c>
      <c r="Q12764" s="5" t="s">
        <v>355</v>
      </c>
    </row>
    <row r="12765" ht="16.5" customHeight="1">
      <c r="O12765" s="5" t="s">
        <v>355</v>
      </c>
      <c r="P12765" s="5" t="s">
        <v>355</v>
      </c>
      <c r="Q12765" s="5" t="s">
        <v>355</v>
      </c>
    </row>
    <row r="12766" ht="16.5" customHeight="1">
      <c r="O12766" s="5" t="s">
        <v>355</v>
      </c>
      <c r="P12766" s="5" t="s">
        <v>355</v>
      </c>
      <c r="Q12766" s="5" t="s">
        <v>355</v>
      </c>
    </row>
    <row r="12767" ht="16.5" customHeight="1">
      <c r="O12767" s="5" t="s">
        <v>355</v>
      </c>
      <c r="P12767" s="5" t="s">
        <v>355</v>
      </c>
      <c r="Q12767" s="5" t="s">
        <v>355</v>
      </c>
    </row>
    <row r="12768" ht="16.5" customHeight="1">
      <c r="O12768" s="5" t="s">
        <v>355</v>
      </c>
      <c r="P12768" s="5" t="s">
        <v>355</v>
      </c>
      <c r="Q12768" s="5" t="s">
        <v>355</v>
      </c>
    </row>
    <row r="12769" ht="16.5" customHeight="1">
      <c r="O12769" s="5" t="s">
        <v>355</v>
      </c>
      <c r="P12769" s="5" t="s">
        <v>355</v>
      </c>
      <c r="Q12769" s="5" t="s">
        <v>355</v>
      </c>
    </row>
    <row r="12770" ht="16.5" customHeight="1">
      <c r="O12770" s="5" t="s">
        <v>355</v>
      </c>
      <c r="P12770" s="5" t="s">
        <v>355</v>
      </c>
      <c r="Q12770" s="5" t="s">
        <v>355</v>
      </c>
    </row>
    <row r="12771" ht="16.5" customHeight="1">
      <c r="O12771" s="5" t="s">
        <v>355</v>
      </c>
      <c r="P12771" s="5" t="s">
        <v>355</v>
      </c>
      <c r="Q12771" s="5" t="s">
        <v>355</v>
      </c>
    </row>
    <row r="12772" ht="16.5" customHeight="1">
      <c r="O12772" s="5" t="s">
        <v>355</v>
      </c>
      <c r="P12772" s="5" t="s">
        <v>355</v>
      </c>
      <c r="Q12772" s="5" t="s">
        <v>355</v>
      </c>
    </row>
    <row r="12773" ht="16.5" customHeight="1">
      <c r="O12773" s="5" t="s">
        <v>355</v>
      </c>
      <c r="P12773" s="5" t="s">
        <v>355</v>
      </c>
      <c r="Q12773" s="5" t="s">
        <v>355</v>
      </c>
    </row>
    <row r="12774" ht="16.5" customHeight="1">
      <c r="O12774" s="5" t="s">
        <v>355</v>
      </c>
      <c r="P12774" s="5" t="s">
        <v>355</v>
      </c>
      <c r="Q12774" s="5" t="s">
        <v>355</v>
      </c>
    </row>
    <row r="12775" ht="16.5" customHeight="1">
      <c r="O12775" s="5" t="s">
        <v>355</v>
      </c>
      <c r="P12775" s="5" t="s">
        <v>355</v>
      </c>
      <c r="Q12775" s="5" t="s">
        <v>355</v>
      </c>
    </row>
    <row r="12776" ht="16.5" customHeight="1">
      <c r="O12776" s="5" t="s">
        <v>355</v>
      </c>
      <c r="P12776" s="5" t="s">
        <v>355</v>
      </c>
      <c r="Q12776" s="5" t="s">
        <v>355</v>
      </c>
    </row>
    <row r="12777" ht="16.5" customHeight="1">
      <c r="O12777" s="5" t="s">
        <v>355</v>
      </c>
      <c r="P12777" s="5" t="s">
        <v>355</v>
      </c>
      <c r="Q12777" s="5" t="s">
        <v>355</v>
      </c>
    </row>
    <row r="12778" ht="16.5" customHeight="1">
      <c r="O12778" s="5" t="s">
        <v>355</v>
      </c>
      <c r="P12778" s="5" t="s">
        <v>355</v>
      </c>
      <c r="Q12778" s="5" t="s">
        <v>355</v>
      </c>
    </row>
    <row r="12779" ht="16.5" customHeight="1">
      <c r="O12779" s="5" t="s">
        <v>355</v>
      </c>
      <c r="P12779" s="5" t="s">
        <v>355</v>
      </c>
      <c r="Q12779" s="5" t="s">
        <v>355</v>
      </c>
    </row>
    <row r="12780" ht="16.5" customHeight="1">
      <c r="O12780" s="5" t="s">
        <v>355</v>
      </c>
      <c r="P12780" s="5" t="s">
        <v>355</v>
      </c>
      <c r="Q12780" s="5" t="s">
        <v>355</v>
      </c>
    </row>
    <row r="12781" ht="16.5" customHeight="1">
      <c r="O12781" s="5" t="s">
        <v>355</v>
      </c>
      <c r="P12781" s="5" t="s">
        <v>355</v>
      </c>
      <c r="Q12781" s="5" t="s">
        <v>355</v>
      </c>
    </row>
    <row r="12782" ht="16.5" customHeight="1">
      <c r="O12782" s="5" t="s">
        <v>355</v>
      </c>
      <c r="P12782" s="5" t="s">
        <v>355</v>
      </c>
      <c r="Q12782" s="5" t="s">
        <v>355</v>
      </c>
    </row>
    <row r="12783" ht="16.5" customHeight="1">
      <c r="O12783" s="5" t="s">
        <v>355</v>
      </c>
      <c r="P12783" s="5" t="s">
        <v>355</v>
      </c>
      <c r="Q12783" s="5" t="s">
        <v>355</v>
      </c>
    </row>
    <row r="12784" ht="16.5" customHeight="1">
      <c r="O12784" s="5" t="s">
        <v>355</v>
      </c>
      <c r="P12784" s="5" t="s">
        <v>355</v>
      </c>
      <c r="Q12784" s="5" t="s">
        <v>355</v>
      </c>
    </row>
    <row r="12785" ht="16.5" customHeight="1">
      <c r="O12785" s="5" t="s">
        <v>355</v>
      </c>
      <c r="P12785" s="5" t="s">
        <v>355</v>
      </c>
      <c r="Q12785" s="5" t="s">
        <v>355</v>
      </c>
    </row>
    <row r="12786" ht="16.5" customHeight="1">
      <c r="O12786" s="5" t="s">
        <v>355</v>
      </c>
      <c r="P12786" s="5" t="s">
        <v>355</v>
      </c>
      <c r="Q12786" s="5" t="s">
        <v>355</v>
      </c>
    </row>
    <row r="12787" ht="16.5" customHeight="1">
      <c r="O12787" s="5" t="s">
        <v>355</v>
      </c>
      <c r="P12787" s="5" t="s">
        <v>355</v>
      </c>
      <c r="Q12787" s="5" t="s">
        <v>355</v>
      </c>
    </row>
    <row r="12788" ht="16.5" customHeight="1">
      <c r="O12788" s="5" t="s">
        <v>355</v>
      </c>
      <c r="P12788" s="5" t="s">
        <v>355</v>
      </c>
      <c r="Q12788" s="5" t="s">
        <v>355</v>
      </c>
    </row>
    <row r="12789" ht="16.5" customHeight="1">
      <c r="O12789" s="5" t="s">
        <v>355</v>
      </c>
      <c r="P12789" s="5" t="s">
        <v>355</v>
      </c>
      <c r="Q12789" s="5" t="s">
        <v>355</v>
      </c>
    </row>
    <row r="12790" ht="16.5" customHeight="1">
      <c r="O12790" s="5" t="s">
        <v>355</v>
      </c>
      <c r="P12790" s="5" t="s">
        <v>355</v>
      </c>
      <c r="Q12790" s="5" t="s">
        <v>355</v>
      </c>
    </row>
    <row r="12791" ht="16.5" customHeight="1">
      <c r="O12791" s="5" t="s">
        <v>355</v>
      </c>
      <c r="P12791" s="5" t="s">
        <v>355</v>
      </c>
      <c r="Q12791" s="5" t="s">
        <v>355</v>
      </c>
    </row>
    <row r="12792" ht="16.5" customHeight="1">
      <c r="O12792" s="5" t="s">
        <v>355</v>
      </c>
      <c r="P12792" s="5" t="s">
        <v>355</v>
      </c>
      <c r="Q12792" s="5" t="s">
        <v>355</v>
      </c>
    </row>
    <row r="12793" ht="16.5" customHeight="1">
      <c r="O12793" s="5" t="s">
        <v>355</v>
      </c>
      <c r="P12793" s="5" t="s">
        <v>355</v>
      </c>
      <c r="Q12793" s="5" t="s">
        <v>355</v>
      </c>
    </row>
    <row r="12794" ht="16.5" customHeight="1">
      <c r="O12794" s="5" t="s">
        <v>355</v>
      </c>
      <c r="P12794" s="5" t="s">
        <v>355</v>
      </c>
      <c r="Q12794" s="5" t="s">
        <v>355</v>
      </c>
    </row>
    <row r="12795" ht="16.5" customHeight="1">
      <c r="O12795" s="5" t="s">
        <v>355</v>
      </c>
      <c r="P12795" s="5" t="s">
        <v>355</v>
      </c>
      <c r="Q12795" s="5" t="s">
        <v>355</v>
      </c>
    </row>
    <row r="12796" ht="16.5" customHeight="1">
      <c r="O12796" s="5" t="s">
        <v>355</v>
      </c>
      <c r="P12796" s="5" t="s">
        <v>355</v>
      </c>
      <c r="Q12796" s="5" t="s">
        <v>355</v>
      </c>
    </row>
    <row r="12797" ht="16.5" customHeight="1">
      <c r="O12797" s="5" t="s">
        <v>355</v>
      </c>
      <c r="P12797" s="5" t="s">
        <v>355</v>
      </c>
      <c r="Q12797" s="5" t="s">
        <v>355</v>
      </c>
    </row>
    <row r="12798" ht="16.5" customHeight="1">
      <c r="O12798" s="5" t="s">
        <v>355</v>
      </c>
      <c r="P12798" s="5" t="s">
        <v>355</v>
      </c>
      <c r="Q12798" s="5" t="s">
        <v>355</v>
      </c>
    </row>
    <row r="12799" ht="16.5" customHeight="1">
      <c r="O12799" s="5" t="s">
        <v>355</v>
      </c>
      <c r="P12799" s="5" t="s">
        <v>355</v>
      </c>
      <c r="Q12799" s="5" t="s">
        <v>355</v>
      </c>
    </row>
    <row r="12800" ht="16.5" customHeight="1">
      <c r="O12800" s="5" t="s">
        <v>355</v>
      </c>
      <c r="P12800" s="5" t="s">
        <v>355</v>
      </c>
      <c r="Q12800" s="5" t="s">
        <v>355</v>
      </c>
    </row>
    <row r="12801" ht="16.5" customHeight="1">
      <c r="O12801" s="5" t="s">
        <v>355</v>
      </c>
      <c r="P12801" s="5" t="s">
        <v>355</v>
      </c>
      <c r="Q12801" s="5" t="s">
        <v>355</v>
      </c>
    </row>
    <row r="12802" ht="16.5" customHeight="1">
      <c r="O12802" s="5" t="s">
        <v>355</v>
      </c>
      <c r="P12802" s="5" t="s">
        <v>355</v>
      </c>
      <c r="Q12802" s="5" t="s">
        <v>355</v>
      </c>
    </row>
    <row r="12803" ht="16.5" customHeight="1">
      <c r="O12803" s="5" t="s">
        <v>355</v>
      </c>
      <c r="P12803" s="5" t="s">
        <v>355</v>
      </c>
      <c r="Q12803" s="5" t="s">
        <v>355</v>
      </c>
    </row>
    <row r="12804" ht="16.5" customHeight="1">
      <c r="O12804" s="5" t="s">
        <v>355</v>
      </c>
      <c r="P12804" s="5" t="s">
        <v>355</v>
      </c>
      <c r="Q12804" s="5" t="s">
        <v>355</v>
      </c>
    </row>
    <row r="12805" ht="16.5" customHeight="1">
      <c r="O12805" s="5" t="s">
        <v>355</v>
      </c>
      <c r="P12805" s="5" t="s">
        <v>355</v>
      </c>
      <c r="Q12805" s="5" t="s">
        <v>355</v>
      </c>
    </row>
    <row r="12806" ht="16.5" customHeight="1">
      <c r="O12806" s="5" t="s">
        <v>355</v>
      </c>
      <c r="P12806" s="5" t="s">
        <v>355</v>
      </c>
      <c r="Q12806" s="5" t="s">
        <v>355</v>
      </c>
    </row>
    <row r="12807" ht="16.5" customHeight="1">
      <c r="O12807" s="5" t="s">
        <v>355</v>
      </c>
      <c r="P12807" s="5" t="s">
        <v>355</v>
      </c>
      <c r="Q12807" s="5" t="s">
        <v>355</v>
      </c>
    </row>
    <row r="12808" ht="16.5" customHeight="1">
      <c r="O12808" s="5" t="s">
        <v>355</v>
      </c>
      <c r="P12808" s="5" t="s">
        <v>355</v>
      </c>
      <c r="Q12808" s="5" t="s">
        <v>355</v>
      </c>
    </row>
    <row r="12809" ht="16.5" customHeight="1">
      <c r="O12809" s="5" t="s">
        <v>355</v>
      </c>
      <c r="P12809" s="5" t="s">
        <v>355</v>
      </c>
      <c r="Q12809" s="5" t="s">
        <v>355</v>
      </c>
    </row>
    <row r="12810" ht="16.5" customHeight="1">
      <c r="O12810" s="5" t="s">
        <v>355</v>
      </c>
      <c r="P12810" s="5" t="s">
        <v>355</v>
      </c>
      <c r="Q12810" s="5" t="s">
        <v>355</v>
      </c>
    </row>
    <row r="12811" ht="16.5" customHeight="1">
      <c r="O12811" s="5" t="s">
        <v>355</v>
      </c>
      <c r="P12811" s="5" t="s">
        <v>355</v>
      </c>
      <c r="Q12811" s="5" t="s">
        <v>355</v>
      </c>
    </row>
    <row r="12812" ht="16.5" customHeight="1">
      <c r="O12812" s="5" t="s">
        <v>355</v>
      </c>
      <c r="P12812" s="5" t="s">
        <v>355</v>
      </c>
      <c r="Q12812" s="5" t="s">
        <v>355</v>
      </c>
    </row>
    <row r="12813" ht="16.5" customHeight="1">
      <c r="O12813" s="5" t="s">
        <v>355</v>
      </c>
      <c r="P12813" s="5" t="s">
        <v>355</v>
      </c>
      <c r="Q12813" s="5" t="s">
        <v>355</v>
      </c>
    </row>
    <row r="12814" ht="16.5" customHeight="1">
      <c r="O12814" s="5" t="s">
        <v>355</v>
      </c>
      <c r="P12814" s="5" t="s">
        <v>355</v>
      </c>
      <c r="Q12814" s="5" t="s">
        <v>355</v>
      </c>
    </row>
    <row r="12815" ht="16.5" customHeight="1">
      <c r="O12815" s="5" t="s">
        <v>355</v>
      </c>
      <c r="P12815" s="5" t="s">
        <v>355</v>
      </c>
      <c r="Q12815" s="5" t="s">
        <v>355</v>
      </c>
    </row>
    <row r="12816" ht="16.5" customHeight="1">
      <c r="O12816" s="5" t="s">
        <v>355</v>
      </c>
      <c r="P12816" s="5" t="s">
        <v>355</v>
      </c>
      <c r="Q12816" s="5" t="s">
        <v>355</v>
      </c>
    </row>
    <row r="12817" ht="16.5" customHeight="1">
      <c r="O12817" s="5" t="s">
        <v>355</v>
      </c>
      <c r="P12817" s="5" t="s">
        <v>355</v>
      </c>
      <c r="Q12817" s="5" t="s">
        <v>355</v>
      </c>
    </row>
    <row r="12818" ht="16.5" customHeight="1">
      <c r="O12818" s="5" t="s">
        <v>355</v>
      </c>
      <c r="P12818" s="5" t="s">
        <v>355</v>
      </c>
      <c r="Q12818" s="5" t="s">
        <v>355</v>
      </c>
    </row>
    <row r="12819" ht="16.5" customHeight="1">
      <c r="O12819" s="5" t="s">
        <v>355</v>
      </c>
      <c r="P12819" s="5" t="s">
        <v>355</v>
      </c>
      <c r="Q12819" s="5" t="s">
        <v>355</v>
      </c>
    </row>
    <row r="12820" ht="16.5" customHeight="1">
      <c r="O12820" s="5" t="s">
        <v>355</v>
      </c>
      <c r="P12820" s="5" t="s">
        <v>355</v>
      </c>
      <c r="Q12820" s="5" t="s">
        <v>355</v>
      </c>
    </row>
    <row r="12821" ht="16.5" customHeight="1">
      <c r="O12821" s="5" t="s">
        <v>355</v>
      </c>
      <c r="P12821" s="5" t="s">
        <v>355</v>
      </c>
      <c r="Q12821" s="5" t="s">
        <v>355</v>
      </c>
    </row>
    <row r="12822" ht="16.5" customHeight="1">
      <c r="O12822" s="5" t="s">
        <v>355</v>
      </c>
      <c r="P12822" s="5" t="s">
        <v>355</v>
      </c>
      <c r="Q12822" s="5" t="s">
        <v>355</v>
      </c>
    </row>
    <row r="12823" ht="16.5" customHeight="1">
      <c r="O12823" s="5" t="s">
        <v>355</v>
      </c>
      <c r="P12823" s="5" t="s">
        <v>355</v>
      </c>
      <c r="Q12823" s="5" t="s">
        <v>355</v>
      </c>
    </row>
    <row r="12824" ht="16.5" customHeight="1">
      <c r="O12824" s="5" t="s">
        <v>355</v>
      </c>
      <c r="P12824" s="5" t="s">
        <v>355</v>
      </c>
      <c r="Q12824" s="5" t="s">
        <v>355</v>
      </c>
    </row>
    <row r="12825" ht="16.5" customHeight="1">
      <c r="O12825" s="5" t="s">
        <v>355</v>
      </c>
      <c r="P12825" s="5" t="s">
        <v>355</v>
      </c>
      <c r="Q12825" s="5" t="s">
        <v>355</v>
      </c>
    </row>
    <row r="12826" ht="16.5" customHeight="1">
      <c r="O12826" s="5" t="s">
        <v>355</v>
      </c>
      <c r="P12826" s="5" t="s">
        <v>355</v>
      </c>
      <c r="Q12826" s="5" t="s">
        <v>355</v>
      </c>
    </row>
    <row r="12827" ht="16.5" customHeight="1">
      <c r="O12827" s="5" t="s">
        <v>355</v>
      </c>
      <c r="P12827" s="5" t="s">
        <v>355</v>
      </c>
      <c r="Q12827" s="5" t="s">
        <v>355</v>
      </c>
    </row>
    <row r="12828" ht="16.5" customHeight="1">
      <c r="O12828" s="5" t="s">
        <v>355</v>
      </c>
      <c r="P12828" s="5" t="s">
        <v>355</v>
      </c>
      <c r="Q12828" s="5" t="s">
        <v>355</v>
      </c>
    </row>
    <row r="12829" ht="16.5" customHeight="1">
      <c r="O12829" s="5" t="s">
        <v>355</v>
      </c>
      <c r="P12829" s="5" t="s">
        <v>355</v>
      </c>
      <c r="Q12829" s="5" t="s">
        <v>355</v>
      </c>
    </row>
    <row r="12830" ht="16.5" customHeight="1">
      <c r="O12830" s="5" t="s">
        <v>355</v>
      </c>
      <c r="P12830" s="5" t="s">
        <v>355</v>
      </c>
      <c r="Q12830" s="5" t="s">
        <v>355</v>
      </c>
    </row>
    <row r="12831" ht="16.5" customHeight="1">
      <c r="O12831" s="5" t="s">
        <v>355</v>
      </c>
      <c r="P12831" s="5" t="s">
        <v>355</v>
      </c>
      <c r="Q12831" s="5" t="s">
        <v>355</v>
      </c>
    </row>
    <row r="12832" ht="16.5" customHeight="1">
      <c r="O12832" s="5" t="s">
        <v>355</v>
      </c>
      <c r="P12832" s="5" t="s">
        <v>355</v>
      </c>
      <c r="Q12832" s="5" t="s">
        <v>355</v>
      </c>
    </row>
    <row r="12833" ht="16.5" customHeight="1">
      <c r="O12833" s="5" t="s">
        <v>355</v>
      </c>
      <c r="P12833" s="5" t="s">
        <v>355</v>
      </c>
      <c r="Q12833" s="5" t="s">
        <v>355</v>
      </c>
    </row>
    <row r="12834" ht="16.5" customHeight="1">
      <c r="O12834" s="5" t="s">
        <v>355</v>
      </c>
      <c r="P12834" s="5" t="s">
        <v>355</v>
      </c>
      <c r="Q12834" s="5" t="s">
        <v>355</v>
      </c>
    </row>
    <row r="12835" ht="16.5" customHeight="1">
      <c r="O12835" s="5" t="s">
        <v>355</v>
      </c>
      <c r="P12835" s="5" t="s">
        <v>355</v>
      </c>
      <c r="Q12835" s="5" t="s">
        <v>355</v>
      </c>
    </row>
    <row r="12836" ht="16.5" customHeight="1">
      <c r="O12836" s="5" t="s">
        <v>355</v>
      </c>
      <c r="P12836" s="5" t="s">
        <v>355</v>
      </c>
      <c r="Q12836" s="5" t="s">
        <v>355</v>
      </c>
    </row>
    <row r="12837" ht="16.5" customHeight="1">
      <c r="O12837" s="5" t="s">
        <v>355</v>
      </c>
      <c r="P12837" s="5" t="s">
        <v>355</v>
      </c>
      <c r="Q12837" s="5" t="s">
        <v>355</v>
      </c>
    </row>
    <row r="12838" ht="16.5" customHeight="1">
      <c r="O12838" s="5" t="s">
        <v>355</v>
      </c>
      <c r="P12838" s="5" t="s">
        <v>355</v>
      </c>
      <c r="Q12838" s="5" t="s">
        <v>355</v>
      </c>
    </row>
    <row r="12839" ht="16.5" customHeight="1">
      <c r="O12839" s="5" t="s">
        <v>355</v>
      </c>
      <c r="P12839" s="5" t="s">
        <v>355</v>
      </c>
      <c r="Q12839" s="5" t="s">
        <v>355</v>
      </c>
    </row>
    <row r="12840" ht="16.5" customHeight="1">
      <c r="O12840" s="5" t="s">
        <v>355</v>
      </c>
      <c r="P12840" s="5" t="s">
        <v>355</v>
      </c>
      <c r="Q12840" s="5" t="s">
        <v>355</v>
      </c>
    </row>
    <row r="12841" ht="16.5" customHeight="1">
      <c r="O12841" s="5" t="s">
        <v>355</v>
      </c>
      <c r="P12841" s="5" t="s">
        <v>355</v>
      </c>
      <c r="Q12841" s="5" t="s">
        <v>355</v>
      </c>
    </row>
    <row r="12842" ht="16.5" customHeight="1">
      <c r="O12842" s="5" t="s">
        <v>355</v>
      </c>
      <c r="P12842" s="5" t="s">
        <v>355</v>
      </c>
      <c r="Q12842" s="5" t="s">
        <v>355</v>
      </c>
    </row>
    <row r="12843" ht="16.5" customHeight="1">
      <c r="O12843" s="5" t="s">
        <v>355</v>
      </c>
      <c r="P12843" s="5" t="s">
        <v>355</v>
      </c>
      <c r="Q12843" s="5" t="s">
        <v>355</v>
      </c>
    </row>
    <row r="12844" ht="16.5" customHeight="1">
      <c r="O12844" s="5" t="s">
        <v>355</v>
      </c>
      <c r="P12844" s="5" t="s">
        <v>355</v>
      </c>
      <c r="Q12844" s="5" t="s">
        <v>355</v>
      </c>
    </row>
    <row r="12845" ht="16.5" customHeight="1">
      <c r="O12845" s="5" t="s">
        <v>355</v>
      </c>
      <c r="P12845" s="5" t="s">
        <v>355</v>
      </c>
      <c r="Q12845" s="5" t="s">
        <v>355</v>
      </c>
    </row>
    <row r="12846" ht="16.5" customHeight="1">
      <c r="O12846" s="5" t="s">
        <v>355</v>
      </c>
      <c r="P12846" s="5" t="s">
        <v>355</v>
      </c>
      <c r="Q12846" s="5" t="s">
        <v>355</v>
      </c>
    </row>
    <row r="12847" ht="16.5" customHeight="1">
      <c r="O12847" s="5" t="s">
        <v>355</v>
      </c>
      <c r="P12847" s="5" t="s">
        <v>355</v>
      </c>
      <c r="Q12847" s="5" t="s">
        <v>355</v>
      </c>
    </row>
    <row r="12848" ht="16.5" customHeight="1">
      <c r="O12848" s="5" t="s">
        <v>355</v>
      </c>
      <c r="P12848" s="5" t="s">
        <v>355</v>
      </c>
      <c r="Q12848" s="5" t="s">
        <v>355</v>
      </c>
    </row>
    <row r="12849" ht="16.5" customHeight="1">
      <c r="O12849" s="5" t="s">
        <v>355</v>
      </c>
      <c r="P12849" s="5" t="s">
        <v>355</v>
      </c>
      <c r="Q12849" s="5" t="s">
        <v>355</v>
      </c>
    </row>
    <row r="12850" ht="16.5" customHeight="1">
      <c r="O12850" s="5" t="s">
        <v>355</v>
      </c>
      <c r="P12850" s="5" t="s">
        <v>355</v>
      </c>
      <c r="Q12850" s="5" t="s">
        <v>355</v>
      </c>
    </row>
    <row r="12851" ht="16.5" customHeight="1">
      <c r="O12851" s="5" t="s">
        <v>355</v>
      </c>
      <c r="P12851" s="5" t="s">
        <v>355</v>
      </c>
      <c r="Q12851" s="5" t="s">
        <v>355</v>
      </c>
    </row>
    <row r="12852" ht="16.5" customHeight="1">
      <c r="O12852" s="5" t="s">
        <v>355</v>
      </c>
      <c r="P12852" s="5" t="s">
        <v>355</v>
      </c>
      <c r="Q12852" s="5" t="s">
        <v>355</v>
      </c>
    </row>
    <row r="12853" ht="16.5" customHeight="1">
      <c r="O12853" s="5" t="s">
        <v>355</v>
      </c>
      <c r="P12853" s="5" t="s">
        <v>355</v>
      </c>
      <c r="Q12853" s="5" t="s">
        <v>355</v>
      </c>
    </row>
    <row r="12854" ht="16.5" customHeight="1">
      <c r="O12854" s="5" t="s">
        <v>355</v>
      </c>
      <c r="P12854" s="5" t="s">
        <v>355</v>
      </c>
      <c r="Q12854" s="5" t="s">
        <v>355</v>
      </c>
    </row>
    <row r="12855" ht="16.5" customHeight="1">
      <c r="O12855" s="5" t="s">
        <v>355</v>
      </c>
      <c r="P12855" s="5" t="s">
        <v>355</v>
      </c>
      <c r="Q12855" s="5" t="s">
        <v>355</v>
      </c>
    </row>
    <row r="12856" ht="16.5" customHeight="1">
      <c r="O12856" s="5" t="s">
        <v>355</v>
      </c>
      <c r="P12856" s="5" t="s">
        <v>355</v>
      </c>
      <c r="Q12856" s="5" t="s">
        <v>355</v>
      </c>
    </row>
    <row r="12857" ht="16.5" customHeight="1">
      <c r="O12857" s="5" t="s">
        <v>355</v>
      </c>
      <c r="P12857" s="5" t="s">
        <v>355</v>
      </c>
      <c r="Q12857" s="5" t="s">
        <v>355</v>
      </c>
    </row>
    <row r="12858" ht="16.5" customHeight="1">
      <c r="O12858" s="5" t="s">
        <v>355</v>
      </c>
      <c r="P12858" s="5" t="s">
        <v>355</v>
      </c>
      <c r="Q12858" s="5" t="s">
        <v>355</v>
      </c>
    </row>
    <row r="12859" ht="16.5" customHeight="1">
      <c r="O12859" s="5" t="s">
        <v>355</v>
      </c>
      <c r="P12859" s="5" t="s">
        <v>355</v>
      </c>
      <c r="Q12859" s="5" t="s">
        <v>355</v>
      </c>
    </row>
    <row r="12860" ht="16.5" customHeight="1">
      <c r="O12860" s="5" t="s">
        <v>355</v>
      </c>
      <c r="P12860" s="5" t="s">
        <v>355</v>
      </c>
      <c r="Q12860" s="5" t="s">
        <v>355</v>
      </c>
    </row>
    <row r="12861" ht="16.5" customHeight="1">
      <c r="O12861" s="5" t="s">
        <v>355</v>
      </c>
      <c r="P12861" s="5" t="s">
        <v>355</v>
      </c>
      <c r="Q12861" s="5" t="s">
        <v>355</v>
      </c>
    </row>
    <row r="12862" ht="16.5" customHeight="1">
      <c r="O12862" s="5" t="s">
        <v>355</v>
      </c>
      <c r="P12862" s="5" t="s">
        <v>355</v>
      </c>
      <c r="Q12862" s="5" t="s">
        <v>355</v>
      </c>
    </row>
    <row r="12863" ht="16.5" customHeight="1">
      <c r="O12863" s="5" t="s">
        <v>355</v>
      </c>
      <c r="P12863" s="5" t="s">
        <v>355</v>
      </c>
      <c r="Q12863" s="5" t="s">
        <v>355</v>
      </c>
    </row>
    <row r="12864" ht="16.5" customHeight="1">
      <c r="O12864" s="5" t="s">
        <v>355</v>
      </c>
      <c r="P12864" s="5" t="s">
        <v>355</v>
      </c>
      <c r="Q12864" s="5" t="s">
        <v>355</v>
      </c>
    </row>
    <row r="12865" ht="16.5" customHeight="1">
      <c r="O12865" s="5" t="s">
        <v>355</v>
      </c>
      <c r="P12865" s="5" t="s">
        <v>355</v>
      </c>
      <c r="Q12865" s="5" t="s">
        <v>355</v>
      </c>
    </row>
    <row r="12866" ht="16.5" customHeight="1">
      <c r="O12866" s="5" t="s">
        <v>355</v>
      </c>
      <c r="P12866" s="5" t="s">
        <v>355</v>
      </c>
      <c r="Q12866" s="5" t="s">
        <v>355</v>
      </c>
    </row>
    <row r="12867" ht="16.5" customHeight="1">
      <c r="O12867" s="5" t="s">
        <v>355</v>
      </c>
      <c r="P12867" s="5" t="s">
        <v>355</v>
      </c>
      <c r="Q12867" s="5" t="s">
        <v>355</v>
      </c>
    </row>
    <row r="12868" ht="16.5" customHeight="1">
      <c r="O12868" s="5" t="s">
        <v>355</v>
      </c>
      <c r="P12868" s="5" t="s">
        <v>355</v>
      </c>
      <c r="Q12868" s="5" t="s">
        <v>355</v>
      </c>
    </row>
    <row r="12869" ht="16.5" customHeight="1">
      <c r="O12869" s="5" t="s">
        <v>355</v>
      </c>
      <c r="P12869" s="5" t="s">
        <v>355</v>
      </c>
      <c r="Q12869" s="5" t="s">
        <v>355</v>
      </c>
    </row>
    <row r="12870" ht="16.5" customHeight="1">
      <c r="O12870" s="5" t="s">
        <v>355</v>
      </c>
      <c r="P12870" s="5" t="s">
        <v>355</v>
      </c>
      <c r="Q12870" s="5" t="s">
        <v>355</v>
      </c>
    </row>
    <row r="12871" ht="16.5" customHeight="1">
      <c r="O12871" s="5" t="s">
        <v>355</v>
      </c>
      <c r="P12871" s="5" t="s">
        <v>355</v>
      </c>
      <c r="Q12871" s="5" t="s">
        <v>355</v>
      </c>
    </row>
    <row r="12872" ht="16.5" customHeight="1">
      <c r="O12872" s="5" t="s">
        <v>355</v>
      </c>
      <c r="P12872" s="5" t="s">
        <v>355</v>
      </c>
      <c r="Q12872" s="5" t="s">
        <v>355</v>
      </c>
    </row>
    <row r="12873" ht="16.5" customHeight="1">
      <c r="O12873" s="5" t="s">
        <v>355</v>
      </c>
      <c r="P12873" s="5" t="s">
        <v>355</v>
      </c>
      <c r="Q12873" s="5" t="s">
        <v>355</v>
      </c>
    </row>
    <row r="12874" ht="16.5" customHeight="1">
      <c r="O12874" s="5" t="s">
        <v>355</v>
      </c>
      <c r="P12874" s="5" t="s">
        <v>355</v>
      </c>
      <c r="Q12874" s="5" t="s">
        <v>355</v>
      </c>
    </row>
    <row r="12875" ht="16.5" customHeight="1">
      <c r="O12875" s="5" t="s">
        <v>355</v>
      </c>
      <c r="P12875" s="5" t="s">
        <v>355</v>
      </c>
      <c r="Q12875" s="5" t="s">
        <v>355</v>
      </c>
    </row>
    <row r="12876" ht="16.5" customHeight="1">
      <c r="O12876" s="5" t="s">
        <v>355</v>
      </c>
      <c r="P12876" s="5" t="s">
        <v>355</v>
      </c>
      <c r="Q12876" s="5" t="s">
        <v>355</v>
      </c>
    </row>
    <row r="12877" ht="16.5" customHeight="1">
      <c r="O12877" s="5" t="s">
        <v>355</v>
      </c>
      <c r="P12877" s="5" t="s">
        <v>355</v>
      </c>
      <c r="Q12877" s="5" t="s">
        <v>355</v>
      </c>
    </row>
    <row r="12878" ht="16.5" customHeight="1">
      <c r="O12878" s="5" t="s">
        <v>355</v>
      </c>
      <c r="P12878" s="5" t="s">
        <v>355</v>
      </c>
      <c r="Q12878" s="5" t="s">
        <v>355</v>
      </c>
    </row>
    <row r="12879" ht="16.5" customHeight="1">
      <c r="O12879" s="5" t="s">
        <v>355</v>
      </c>
      <c r="P12879" s="5" t="s">
        <v>355</v>
      </c>
      <c r="Q12879" s="5" t="s">
        <v>355</v>
      </c>
    </row>
    <row r="12880" ht="16.5" customHeight="1">
      <c r="O12880" s="5" t="s">
        <v>355</v>
      </c>
      <c r="P12880" s="5" t="s">
        <v>355</v>
      </c>
      <c r="Q12880" s="5" t="s">
        <v>355</v>
      </c>
    </row>
    <row r="12881" ht="16.5" customHeight="1">
      <c r="O12881" s="5" t="s">
        <v>355</v>
      </c>
      <c r="P12881" s="5" t="s">
        <v>355</v>
      </c>
      <c r="Q12881" s="5" t="s">
        <v>355</v>
      </c>
    </row>
    <row r="12882" ht="16.5" customHeight="1">
      <c r="O12882" s="5" t="s">
        <v>355</v>
      </c>
      <c r="P12882" s="5" t="s">
        <v>355</v>
      </c>
      <c r="Q12882" s="5" t="s">
        <v>355</v>
      </c>
    </row>
    <row r="12883" ht="16.5" customHeight="1">
      <c r="O12883" s="5" t="s">
        <v>355</v>
      </c>
      <c r="P12883" s="5" t="s">
        <v>355</v>
      </c>
      <c r="Q12883" s="5" t="s">
        <v>355</v>
      </c>
    </row>
    <row r="12884" ht="16.5" customHeight="1">
      <c r="O12884" s="5" t="s">
        <v>355</v>
      </c>
      <c r="P12884" s="5" t="s">
        <v>355</v>
      </c>
      <c r="Q12884" s="5" t="s">
        <v>355</v>
      </c>
    </row>
    <row r="12885" ht="16.5" customHeight="1">
      <c r="O12885" s="5" t="s">
        <v>355</v>
      </c>
      <c r="P12885" s="5" t="s">
        <v>355</v>
      </c>
      <c r="Q12885" s="5" t="s">
        <v>355</v>
      </c>
    </row>
    <row r="12886" ht="16.5" customHeight="1">
      <c r="O12886" s="5" t="s">
        <v>355</v>
      </c>
      <c r="P12886" s="5" t="s">
        <v>355</v>
      </c>
      <c r="Q12886" s="5" t="s">
        <v>355</v>
      </c>
    </row>
    <row r="12887" ht="16.5" customHeight="1">
      <c r="O12887" s="5" t="s">
        <v>355</v>
      </c>
      <c r="P12887" s="5" t="s">
        <v>355</v>
      </c>
      <c r="Q12887" s="5" t="s">
        <v>355</v>
      </c>
    </row>
    <row r="12888" ht="16.5" customHeight="1">
      <c r="O12888" s="5" t="s">
        <v>355</v>
      </c>
      <c r="P12888" s="5" t="s">
        <v>355</v>
      </c>
      <c r="Q12888" s="5" t="s">
        <v>355</v>
      </c>
    </row>
    <row r="12889" ht="16.5" customHeight="1">
      <c r="O12889" s="5" t="s">
        <v>355</v>
      </c>
      <c r="P12889" s="5" t="s">
        <v>355</v>
      </c>
      <c r="Q12889" s="5" t="s">
        <v>355</v>
      </c>
    </row>
    <row r="12890" ht="16.5" customHeight="1">
      <c r="O12890" s="5" t="s">
        <v>355</v>
      </c>
      <c r="P12890" s="5" t="s">
        <v>355</v>
      </c>
      <c r="Q12890" s="5" t="s">
        <v>355</v>
      </c>
    </row>
    <row r="12891" ht="16.5" customHeight="1">
      <c r="O12891" s="5" t="s">
        <v>355</v>
      </c>
      <c r="P12891" s="5" t="s">
        <v>355</v>
      </c>
      <c r="Q12891" s="5" t="s">
        <v>355</v>
      </c>
    </row>
    <row r="12892" ht="16.5" customHeight="1">
      <c r="O12892" s="5" t="s">
        <v>355</v>
      </c>
      <c r="P12892" s="5" t="s">
        <v>355</v>
      </c>
      <c r="Q12892" s="5" t="s">
        <v>355</v>
      </c>
    </row>
    <row r="12893" ht="16.5" customHeight="1">
      <c r="O12893" s="5" t="s">
        <v>355</v>
      </c>
      <c r="P12893" s="5" t="s">
        <v>355</v>
      </c>
      <c r="Q12893" s="5" t="s">
        <v>355</v>
      </c>
    </row>
    <row r="12894" ht="16.5" customHeight="1">
      <c r="O12894" s="5" t="s">
        <v>355</v>
      </c>
      <c r="P12894" s="5" t="s">
        <v>355</v>
      </c>
      <c r="Q12894" s="5" t="s">
        <v>355</v>
      </c>
    </row>
    <row r="12895" ht="16.5" customHeight="1">
      <c r="O12895" s="5" t="s">
        <v>355</v>
      </c>
      <c r="P12895" s="5" t="s">
        <v>355</v>
      </c>
      <c r="Q12895" s="5" t="s">
        <v>355</v>
      </c>
    </row>
    <row r="12896" ht="16.5" customHeight="1">
      <c r="O12896" s="5" t="s">
        <v>355</v>
      </c>
      <c r="P12896" s="5" t="s">
        <v>355</v>
      </c>
      <c r="Q12896" s="5" t="s">
        <v>355</v>
      </c>
    </row>
    <row r="12897" ht="16.5" customHeight="1">
      <c r="O12897" s="5" t="s">
        <v>355</v>
      </c>
      <c r="P12897" s="5" t="s">
        <v>355</v>
      </c>
      <c r="Q12897" s="5" t="s">
        <v>355</v>
      </c>
    </row>
    <row r="12898" ht="16.5" customHeight="1">
      <c r="O12898" s="5" t="s">
        <v>355</v>
      </c>
      <c r="P12898" s="5" t="s">
        <v>355</v>
      </c>
      <c r="Q12898" s="5" t="s">
        <v>355</v>
      </c>
    </row>
    <row r="12899" ht="16.5" customHeight="1">
      <c r="O12899" s="5" t="s">
        <v>355</v>
      </c>
      <c r="P12899" s="5" t="s">
        <v>355</v>
      </c>
      <c r="Q12899" s="5" t="s">
        <v>355</v>
      </c>
    </row>
    <row r="12900" ht="16.5" customHeight="1">
      <c r="O12900" s="5" t="s">
        <v>355</v>
      </c>
      <c r="P12900" s="5" t="s">
        <v>355</v>
      </c>
      <c r="Q12900" s="5" t="s">
        <v>355</v>
      </c>
    </row>
    <row r="12901" ht="16.5" customHeight="1">
      <c r="O12901" s="5" t="s">
        <v>355</v>
      </c>
      <c r="P12901" s="5" t="s">
        <v>355</v>
      </c>
      <c r="Q12901" s="5" t="s">
        <v>355</v>
      </c>
    </row>
    <row r="12902" ht="16.5" customHeight="1">
      <c r="O12902" s="5" t="s">
        <v>355</v>
      </c>
      <c r="P12902" s="5" t="s">
        <v>355</v>
      </c>
      <c r="Q12902" s="5" t="s">
        <v>355</v>
      </c>
    </row>
    <row r="12903" ht="16.5" customHeight="1">
      <c r="O12903" s="5" t="s">
        <v>355</v>
      </c>
      <c r="P12903" s="5" t="s">
        <v>355</v>
      </c>
      <c r="Q12903" s="5" t="s">
        <v>355</v>
      </c>
    </row>
    <row r="12904" ht="16.5" customHeight="1">
      <c r="O12904" s="5" t="s">
        <v>355</v>
      </c>
      <c r="P12904" s="5" t="s">
        <v>355</v>
      </c>
      <c r="Q12904" s="5" t="s">
        <v>355</v>
      </c>
    </row>
    <row r="12905" ht="16.5" customHeight="1">
      <c r="O12905" s="5" t="s">
        <v>355</v>
      </c>
      <c r="P12905" s="5" t="s">
        <v>355</v>
      </c>
      <c r="Q12905" s="5" t="s">
        <v>355</v>
      </c>
    </row>
    <row r="12906" ht="16.5" customHeight="1">
      <c r="O12906" s="5" t="s">
        <v>355</v>
      </c>
      <c r="P12906" s="5" t="s">
        <v>355</v>
      </c>
      <c r="Q12906" s="5" t="s">
        <v>355</v>
      </c>
    </row>
    <row r="12907" ht="16.5" customHeight="1">
      <c r="O12907" s="5" t="s">
        <v>355</v>
      </c>
      <c r="P12907" s="5" t="s">
        <v>355</v>
      </c>
      <c r="Q12907" s="5" t="s">
        <v>355</v>
      </c>
    </row>
    <row r="12908" ht="16.5" customHeight="1">
      <c r="O12908" s="5" t="s">
        <v>355</v>
      </c>
      <c r="P12908" s="5" t="s">
        <v>355</v>
      </c>
      <c r="Q12908" s="5" t="s">
        <v>355</v>
      </c>
    </row>
    <row r="12909" ht="16.5" customHeight="1">
      <c r="O12909" s="5" t="s">
        <v>355</v>
      </c>
      <c r="P12909" s="5" t="s">
        <v>355</v>
      </c>
      <c r="Q12909" s="5" t="s">
        <v>355</v>
      </c>
    </row>
    <row r="12910" ht="16.5" customHeight="1">
      <c r="O12910" s="5" t="s">
        <v>355</v>
      </c>
      <c r="P12910" s="5" t="s">
        <v>355</v>
      </c>
      <c r="Q12910" s="5" t="s">
        <v>355</v>
      </c>
    </row>
    <row r="12911" ht="16.5" customHeight="1">
      <c r="O12911" s="5" t="s">
        <v>355</v>
      </c>
      <c r="P12911" s="5" t="s">
        <v>355</v>
      </c>
      <c r="Q12911" s="5" t="s">
        <v>355</v>
      </c>
    </row>
    <row r="12912" ht="16.5" customHeight="1">
      <c r="O12912" s="5" t="s">
        <v>355</v>
      </c>
      <c r="P12912" s="5" t="s">
        <v>355</v>
      </c>
      <c r="Q12912" s="5" t="s">
        <v>355</v>
      </c>
    </row>
    <row r="12913" ht="16.5" customHeight="1">
      <c r="O12913" s="5" t="s">
        <v>355</v>
      </c>
      <c r="P12913" s="5" t="s">
        <v>355</v>
      </c>
      <c r="Q12913" s="5" t="s">
        <v>355</v>
      </c>
    </row>
    <row r="12914" ht="16.5" customHeight="1">
      <c r="O12914" s="5" t="s">
        <v>355</v>
      </c>
      <c r="P12914" s="5" t="s">
        <v>355</v>
      </c>
      <c r="Q12914" s="5" t="s">
        <v>355</v>
      </c>
    </row>
    <row r="12915" ht="16.5" customHeight="1">
      <c r="O12915" s="5" t="s">
        <v>355</v>
      </c>
      <c r="P12915" s="5" t="s">
        <v>355</v>
      </c>
      <c r="Q12915" s="5" t="s">
        <v>355</v>
      </c>
    </row>
    <row r="12916" ht="16.5" customHeight="1">
      <c r="O12916" s="5" t="s">
        <v>355</v>
      </c>
      <c r="P12916" s="5" t="s">
        <v>355</v>
      </c>
      <c r="Q12916" s="5" t="s">
        <v>355</v>
      </c>
    </row>
    <row r="12917" ht="16.5" customHeight="1">
      <c r="O12917" s="5" t="s">
        <v>355</v>
      </c>
      <c r="P12917" s="5" t="s">
        <v>355</v>
      </c>
      <c r="Q12917" s="5" t="s">
        <v>355</v>
      </c>
    </row>
    <row r="12918" ht="16.5" customHeight="1">
      <c r="O12918" s="5" t="s">
        <v>355</v>
      </c>
      <c r="P12918" s="5" t="s">
        <v>355</v>
      </c>
      <c r="Q12918" s="5" t="s">
        <v>355</v>
      </c>
    </row>
    <row r="12919" ht="16.5" customHeight="1">
      <c r="O12919" s="5" t="s">
        <v>355</v>
      </c>
      <c r="P12919" s="5" t="s">
        <v>355</v>
      </c>
      <c r="Q12919" s="5" t="s">
        <v>355</v>
      </c>
    </row>
    <row r="12920" ht="16.5" customHeight="1">
      <c r="O12920" s="5" t="s">
        <v>355</v>
      </c>
      <c r="P12920" s="5" t="s">
        <v>355</v>
      </c>
      <c r="Q12920" s="5" t="s">
        <v>355</v>
      </c>
    </row>
    <row r="12921" ht="16.5" customHeight="1">
      <c r="O12921" s="5" t="s">
        <v>355</v>
      </c>
      <c r="P12921" s="5" t="s">
        <v>355</v>
      </c>
      <c r="Q12921" s="5" t="s">
        <v>355</v>
      </c>
    </row>
    <row r="12922" ht="16.5" customHeight="1">
      <c r="O12922" s="5" t="s">
        <v>355</v>
      </c>
      <c r="P12922" s="5" t="s">
        <v>355</v>
      </c>
      <c r="Q12922" s="5" t="s">
        <v>355</v>
      </c>
    </row>
    <row r="12923" ht="16.5" customHeight="1">
      <c r="O12923" s="5" t="s">
        <v>355</v>
      </c>
      <c r="P12923" s="5" t="s">
        <v>355</v>
      </c>
      <c r="Q12923" s="5" t="s">
        <v>355</v>
      </c>
    </row>
    <row r="12924" ht="16.5" customHeight="1">
      <c r="O12924" s="5" t="s">
        <v>355</v>
      </c>
      <c r="P12924" s="5" t="s">
        <v>355</v>
      </c>
      <c r="Q12924" s="5" t="s">
        <v>355</v>
      </c>
    </row>
    <row r="12925" ht="16.5" customHeight="1">
      <c r="O12925" s="5" t="s">
        <v>355</v>
      </c>
      <c r="P12925" s="5" t="s">
        <v>355</v>
      </c>
      <c r="Q12925" s="5" t="s">
        <v>355</v>
      </c>
    </row>
    <row r="12926" ht="16.5" customHeight="1">
      <c r="O12926" s="5" t="s">
        <v>355</v>
      </c>
      <c r="P12926" s="5" t="s">
        <v>355</v>
      </c>
      <c r="Q12926" s="5" t="s">
        <v>355</v>
      </c>
    </row>
    <row r="12927" ht="16.5" customHeight="1">
      <c r="O12927" s="5" t="s">
        <v>355</v>
      </c>
      <c r="P12927" s="5" t="s">
        <v>355</v>
      </c>
      <c r="Q12927" s="5" t="s">
        <v>355</v>
      </c>
    </row>
    <row r="12928" ht="16.5" customHeight="1">
      <c r="O12928" s="5" t="s">
        <v>355</v>
      </c>
      <c r="P12928" s="5" t="s">
        <v>355</v>
      </c>
      <c r="Q12928" s="5" t="s">
        <v>355</v>
      </c>
    </row>
    <row r="12929" ht="16.5" customHeight="1">
      <c r="O12929" s="5" t="s">
        <v>355</v>
      </c>
      <c r="P12929" s="5" t="s">
        <v>355</v>
      </c>
      <c r="Q12929" s="5" t="s">
        <v>355</v>
      </c>
    </row>
    <row r="12930" ht="16.5" customHeight="1">
      <c r="O12930" s="5" t="s">
        <v>355</v>
      </c>
      <c r="P12930" s="5" t="s">
        <v>355</v>
      </c>
      <c r="Q12930" s="5" t="s">
        <v>355</v>
      </c>
    </row>
    <row r="12931" ht="16.5" customHeight="1">
      <c r="O12931" s="5" t="s">
        <v>355</v>
      </c>
      <c r="P12931" s="5" t="s">
        <v>355</v>
      </c>
      <c r="Q12931" s="5" t="s">
        <v>355</v>
      </c>
    </row>
    <row r="12932" ht="16.5" customHeight="1">
      <c r="O12932" s="5" t="s">
        <v>355</v>
      </c>
      <c r="P12932" s="5" t="s">
        <v>355</v>
      </c>
      <c r="Q12932" s="5" t="s">
        <v>355</v>
      </c>
    </row>
    <row r="12933" ht="16.5" customHeight="1">
      <c r="O12933" s="5" t="s">
        <v>355</v>
      </c>
      <c r="P12933" s="5" t="s">
        <v>355</v>
      </c>
      <c r="Q12933" s="5" t="s">
        <v>355</v>
      </c>
    </row>
    <row r="12934" ht="16.5" customHeight="1">
      <c r="O12934" s="5" t="s">
        <v>355</v>
      </c>
      <c r="P12934" s="5" t="s">
        <v>355</v>
      </c>
      <c r="Q12934" s="5" t="s">
        <v>355</v>
      </c>
    </row>
    <row r="12935" ht="16.5" customHeight="1">
      <c r="O12935" s="5" t="s">
        <v>355</v>
      </c>
      <c r="P12935" s="5" t="s">
        <v>355</v>
      </c>
      <c r="Q12935" s="5" t="s">
        <v>355</v>
      </c>
    </row>
    <row r="12936" ht="16.5" customHeight="1">
      <c r="O12936" s="5" t="s">
        <v>355</v>
      </c>
      <c r="P12936" s="5" t="s">
        <v>355</v>
      </c>
      <c r="Q12936" s="5" t="s">
        <v>355</v>
      </c>
    </row>
    <row r="12937" ht="16.5" customHeight="1">
      <c r="O12937" s="5" t="s">
        <v>355</v>
      </c>
      <c r="P12937" s="5" t="s">
        <v>355</v>
      </c>
      <c r="Q12937" s="5" t="s">
        <v>355</v>
      </c>
    </row>
    <row r="12938" ht="16.5" customHeight="1">
      <c r="O12938" s="5" t="s">
        <v>355</v>
      </c>
      <c r="P12938" s="5" t="s">
        <v>355</v>
      </c>
      <c r="Q12938" s="5" t="s">
        <v>355</v>
      </c>
    </row>
    <row r="12939" ht="16.5" customHeight="1">
      <c r="O12939" s="5" t="s">
        <v>355</v>
      </c>
      <c r="P12939" s="5" t="s">
        <v>355</v>
      </c>
      <c r="Q12939" s="5" t="s">
        <v>355</v>
      </c>
    </row>
    <row r="12940" ht="16.5" customHeight="1">
      <c r="O12940" s="5" t="s">
        <v>355</v>
      </c>
      <c r="P12940" s="5" t="s">
        <v>355</v>
      </c>
      <c r="Q12940" s="5" t="s">
        <v>355</v>
      </c>
    </row>
    <row r="12941" ht="16.5" customHeight="1">
      <c r="O12941" s="5" t="s">
        <v>355</v>
      </c>
      <c r="P12941" s="5" t="s">
        <v>355</v>
      </c>
      <c r="Q12941" s="5" t="s">
        <v>355</v>
      </c>
    </row>
    <row r="12942" ht="16.5" customHeight="1">
      <c r="O12942" s="5" t="s">
        <v>355</v>
      </c>
      <c r="P12942" s="5" t="s">
        <v>355</v>
      </c>
      <c r="Q12942" s="5" t="s">
        <v>355</v>
      </c>
    </row>
    <row r="12943" ht="16.5" customHeight="1">
      <c r="O12943" s="5" t="s">
        <v>355</v>
      </c>
      <c r="P12943" s="5" t="s">
        <v>355</v>
      </c>
      <c r="Q12943" s="5" t="s">
        <v>355</v>
      </c>
    </row>
    <row r="12944" ht="16.5" customHeight="1">
      <c r="O12944" s="5" t="s">
        <v>355</v>
      </c>
      <c r="P12944" s="5" t="s">
        <v>355</v>
      </c>
      <c r="Q12944" s="5" t="s">
        <v>355</v>
      </c>
    </row>
    <row r="12945" ht="16.5" customHeight="1">
      <c r="O12945" s="5" t="s">
        <v>355</v>
      </c>
      <c r="P12945" s="5" t="s">
        <v>355</v>
      </c>
      <c r="Q12945" s="5" t="s">
        <v>355</v>
      </c>
    </row>
    <row r="12946" ht="16.5" customHeight="1">
      <c r="O12946" s="5" t="s">
        <v>355</v>
      </c>
      <c r="P12946" s="5" t="s">
        <v>355</v>
      </c>
      <c r="Q12946" s="5" t="s">
        <v>355</v>
      </c>
    </row>
    <row r="12947" ht="16.5" customHeight="1">
      <c r="O12947" s="5" t="s">
        <v>355</v>
      </c>
      <c r="P12947" s="5" t="s">
        <v>355</v>
      </c>
      <c r="Q12947" s="5" t="s">
        <v>355</v>
      </c>
    </row>
    <row r="12948" ht="16.5" customHeight="1">
      <c r="O12948" s="5" t="s">
        <v>355</v>
      </c>
      <c r="P12948" s="5" t="s">
        <v>355</v>
      </c>
      <c r="Q12948" s="5" t="s">
        <v>355</v>
      </c>
    </row>
    <row r="12949" ht="16.5" customHeight="1">
      <c r="O12949" s="5" t="s">
        <v>355</v>
      </c>
      <c r="P12949" s="5" t="s">
        <v>355</v>
      </c>
      <c r="Q12949" s="5" t="s">
        <v>355</v>
      </c>
    </row>
    <row r="12950" ht="16.5" customHeight="1">
      <c r="O12950" s="5" t="s">
        <v>355</v>
      </c>
      <c r="P12950" s="5" t="s">
        <v>355</v>
      </c>
      <c r="Q12950" s="5" t="s">
        <v>355</v>
      </c>
    </row>
    <row r="12951" ht="16.5" customHeight="1">
      <c r="O12951" s="5" t="s">
        <v>355</v>
      </c>
      <c r="P12951" s="5" t="s">
        <v>355</v>
      </c>
      <c r="Q12951" s="5" t="s">
        <v>355</v>
      </c>
    </row>
    <row r="12952" ht="16.5" customHeight="1">
      <c r="O12952" s="5" t="s">
        <v>355</v>
      </c>
      <c r="P12952" s="5" t="s">
        <v>355</v>
      </c>
      <c r="Q12952" s="5" t="s">
        <v>355</v>
      </c>
    </row>
    <row r="12953" ht="16.5" customHeight="1">
      <c r="O12953" s="5" t="s">
        <v>355</v>
      </c>
      <c r="P12953" s="5" t="s">
        <v>355</v>
      </c>
      <c r="Q12953" s="5" t="s">
        <v>355</v>
      </c>
    </row>
    <row r="12954" ht="16.5" customHeight="1">
      <c r="O12954" s="5" t="s">
        <v>355</v>
      </c>
      <c r="P12954" s="5" t="s">
        <v>355</v>
      </c>
      <c r="Q12954" s="5" t="s">
        <v>355</v>
      </c>
    </row>
    <row r="12955" ht="16.5" customHeight="1">
      <c r="O12955" s="5" t="s">
        <v>355</v>
      </c>
      <c r="P12955" s="5" t="s">
        <v>355</v>
      </c>
      <c r="Q12955" s="5" t="s">
        <v>355</v>
      </c>
    </row>
    <row r="12956" ht="16.5" customHeight="1">
      <c r="O12956" s="5" t="s">
        <v>355</v>
      </c>
      <c r="P12956" s="5" t="s">
        <v>355</v>
      </c>
      <c r="Q12956" s="5" t="s">
        <v>355</v>
      </c>
    </row>
    <row r="12957" ht="16.5" customHeight="1">
      <c r="O12957" s="5" t="s">
        <v>355</v>
      </c>
      <c r="P12957" s="5" t="s">
        <v>355</v>
      </c>
      <c r="Q12957" s="5" t="s">
        <v>355</v>
      </c>
    </row>
    <row r="12958" ht="16.5" customHeight="1">
      <c r="O12958" s="5" t="s">
        <v>355</v>
      </c>
      <c r="P12958" s="5" t="s">
        <v>355</v>
      </c>
      <c r="Q12958" s="5" t="s">
        <v>355</v>
      </c>
    </row>
    <row r="12959" ht="16.5" customHeight="1">
      <c r="O12959" s="5" t="s">
        <v>355</v>
      </c>
      <c r="P12959" s="5" t="s">
        <v>355</v>
      </c>
      <c r="Q12959" s="5" t="s">
        <v>355</v>
      </c>
    </row>
    <row r="12960" ht="16.5" customHeight="1">
      <c r="O12960" s="5" t="s">
        <v>355</v>
      </c>
      <c r="P12960" s="5" t="s">
        <v>355</v>
      </c>
      <c r="Q12960" s="5" t="s">
        <v>355</v>
      </c>
    </row>
    <row r="12961" ht="16.5" customHeight="1">
      <c r="O12961" s="5" t="s">
        <v>355</v>
      </c>
      <c r="P12961" s="5" t="s">
        <v>355</v>
      </c>
      <c r="Q12961" s="5" t="s">
        <v>355</v>
      </c>
    </row>
    <row r="12962" ht="16.5" customHeight="1">
      <c r="O12962" s="5" t="s">
        <v>355</v>
      </c>
      <c r="P12962" s="5" t="s">
        <v>355</v>
      </c>
      <c r="Q12962" s="5" t="s">
        <v>355</v>
      </c>
    </row>
    <row r="12963" ht="16.5" customHeight="1">
      <c r="O12963" s="5" t="s">
        <v>355</v>
      </c>
      <c r="P12963" s="5" t="s">
        <v>355</v>
      </c>
      <c r="Q12963" s="5" t="s">
        <v>355</v>
      </c>
    </row>
    <row r="12964" ht="16.5" customHeight="1">
      <c r="O12964" s="5" t="s">
        <v>355</v>
      </c>
      <c r="P12964" s="5" t="s">
        <v>355</v>
      </c>
      <c r="Q12964" s="5" t="s">
        <v>355</v>
      </c>
    </row>
    <row r="12965" ht="16.5" customHeight="1">
      <c r="O12965" s="5" t="s">
        <v>355</v>
      </c>
      <c r="P12965" s="5" t="s">
        <v>355</v>
      </c>
      <c r="Q12965" s="5" t="s">
        <v>355</v>
      </c>
    </row>
    <row r="12966" ht="16.5" customHeight="1">
      <c r="O12966" s="5" t="s">
        <v>355</v>
      </c>
      <c r="P12966" s="5" t="s">
        <v>355</v>
      </c>
      <c r="Q12966" s="5" t="s">
        <v>355</v>
      </c>
    </row>
    <row r="12967" ht="16.5" customHeight="1">
      <c r="O12967" s="5" t="s">
        <v>355</v>
      </c>
      <c r="P12967" s="5" t="s">
        <v>355</v>
      </c>
      <c r="Q12967" s="5" t="s">
        <v>355</v>
      </c>
    </row>
    <row r="12968" ht="16.5" customHeight="1">
      <c r="O12968" s="5" t="s">
        <v>355</v>
      </c>
      <c r="P12968" s="5" t="s">
        <v>355</v>
      </c>
      <c r="Q12968" s="5" t="s">
        <v>355</v>
      </c>
    </row>
    <row r="12969" ht="16.5" customHeight="1">
      <c r="O12969" s="5" t="s">
        <v>355</v>
      </c>
      <c r="P12969" s="5" t="s">
        <v>355</v>
      </c>
      <c r="Q12969" s="5" t="s">
        <v>355</v>
      </c>
    </row>
    <row r="12970" ht="16.5" customHeight="1">
      <c r="O12970" s="5" t="s">
        <v>355</v>
      </c>
      <c r="P12970" s="5" t="s">
        <v>355</v>
      </c>
      <c r="Q12970" s="5" t="s">
        <v>355</v>
      </c>
    </row>
    <row r="12971" ht="16.5" customHeight="1">
      <c r="O12971" s="5" t="s">
        <v>355</v>
      </c>
      <c r="P12971" s="5" t="s">
        <v>355</v>
      </c>
      <c r="Q12971" s="5" t="s">
        <v>355</v>
      </c>
    </row>
    <row r="12972" ht="16.5" customHeight="1">
      <c r="O12972" s="5" t="s">
        <v>355</v>
      </c>
      <c r="P12972" s="5" t="s">
        <v>355</v>
      </c>
      <c r="Q12972" s="5" t="s">
        <v>355</v>
      </c>
    </row>
    <row r="12973" ht="16.5" customHeight="1">
      <c r="O12973" s="5" t="s">
        <v>355</v>
      </c>
      <c r="P12973" s="5" t="s">
        <v>355</v>
      </c>
      <c r="Q12973" s="5" t="s">
        <v>355</v>
      </c>
    </row>
    <row r="12974" ht="16.5" customHeight="1">
      <c r="O12974" s="5" t="s">
        <v>355</v>
      </c>
      <c r="P12974" s="5" t="s">
        <v>355</v>
      </c>
      <c r="Q12974" s="5" t="s">
        <v>355</v>
      </c>
    </row>
    <row r="12975" ht="16.5" customHeight="1">
      <c r="O12975" s="5" t="s">
        <v>355</v>
      </c>
      <c r="P12975" s="5" t="s">
        <v>355</v>
      </c>
      <c r="Q12975" s="5" t="s">
        <v>355</v>
      </c>
    </row>
    <row r="12976" ht="16.5" customHeight="1">
      <c r="O12976" s="5" t="s">
        <v>355</v>
      </c>
      <c r="P12976" s="5" t="s">
        <v>355</v>
      </c>
      <c r="Q12976" s="5" t="s">
        <v>355</v>
      </c>
    </row>
    <row r="12977" ht="16.5" customHeight="1">
      <c r="O12977" s="5" t="s">
        <v>355</v>
      </c>
      <c r="P12977" s="5" t="s">
        <v>355</v>
      </c>
      <c r="Q12977" s="5" t="s">
        <v>355</v>
      </c>
    </row>
    <row r="12978" ht="16.5" customHeight="1">
      <c r="O12978" s="5" t="s">
        <v>355</v>
      </c>
      <c r="P12978" s="5" t="s">
        <v>355</v>
      </c>
      <c r="Q12978" s="5" t="s">
        <v>355</v>
      </c>
    </row>
    <row r="12979" ht="16.5" customHeight="1">
      <c r="O12979" s="5" t="s">
        <v>355</v>
      </c>
      <c r="P12979" s="5" t="s">
        <v>355</v>
      </c>
      <c r="Q12979" s="5" t="s">
        <v>355</v>
      </c>
    </row>
    <row r="12980" ht="16.5" customHeight="1">
      <c r="O12980" s="5" t="s">
        <v>355</v>
      </c>
      <c r="P12980" s="5" t="s">
        <v>355</v>
      </c>
      <c r="Q12980" s="5" t="s">
        <v>355</v>
      </c>
    </row>
    <row r="12981" ht="16.5" customHeight="1">
      <c r="O12981" s="5" t="s">
        <v>355</v>
      </c>
      <c r="P12981" s="5" t="s">
        <v>355</v>
      </c>
      <c r="Q12981" s="5" t="s">
        <v>355</v>
      </c>
    </row>
    <row r="12982" ht="16.5" customHeight="1">
      <c r="O12982" s="5" t="s">
        <v>355</v>
      </c>
      <c r="P12982" s="5" t="s">
        <v>355</v>
      </c>
      <c r="Q12982" s="5" t="s">
        <v>355</v>
      </c>
    </row>
    <row r="12983" ht="16.5" customHeight="1">
      <c r="O12983" s="5" t="s">
        <v>355</v>
      </c>
      <c r="P12983" s="5" t="s">
        <v>355</v>
      </c>
      <c r="Q12983" s="5" t="s">
        <v>355</v>
      </c>
    </row>
    <row r="12984" ht="16.5" customHeight="1">
      <c r="O12984" s="5" t="s">
        <v>355</v>
      </c>
      <c r="P12984" s="5" t="s">
        <v>355</v>
      </c>
      <c r="Q12984" s="5" t="s">
        <v>355</v>
      </c>
    </row>
    <row r="12985" ht="16.5" customHeight="1">
      <c r="O12985" s="5" t="s">
        <v>355</v>
      </c>
      <c r="P12985" s="5" t="s">
        <v>355</v>
      </c>
      <c r="Q12985" s="5" t="s">
        <v>355</v>
      </c>
    </row>
    <row r="12986" ht="16.5" customHeight="1">
      <c r="O12986" s="5" t="s">
        <v>355</v>
      </c>
      <c r="P12986" s="5" t="s">
        <v>355</v>
      </c>
      <c r="Q12986" s="5" t="s">
        <v>355</v>
      </c>
    </row>
    <row r="12987" ht="16.5" customHeight="1">
      <c r="O12987" s="5" t="s">
        <v>355</v>
      </c>
      <c r="P12987" s="5" t="s">
        <v>355</v>
      </c>
      <c r="Q12987" s="5" t="s">
        <v>355</v>
      </c>
    </row>
    <row r="12988" ht="16.5" customHeight="1">
      <c r="O12988" s="5" t="s">
        <v>355</v>
      </c>
      <c r="P12988" s="5" t="s">
        <v>355</v>
      </c>
      <c r="Q12988" s="5" t="s">
        <v>355</v>
      </c>
    </row>
    <row r="12989" ht="16.5" customHeight="1">
      <c r="O12989" s="5" t="s">
        <v>355</v>
      </c>
      <c r="P12989" s="5" t="s">
        <v>355</v>
      </c>
      <c r="Q12989" s="5" t="s">
        <v>355</v>
      </c>
    </row>
    <row r="12990" ht="16.5" customHeight="1">
      <c r="O12990" s="5" t="s">
        <v>355</v>
      </c>
      <c r="P12990" s="5" t="s">
        <v>355</v>
      </c>
      <c r="Q12990" s="5" t="s">
        <v>355</v>
      </c>
    </row>
    <row r="12991" ht="16.5" customHeight="1">
      <c r="O12991" s="5" t="s">
        <v>355</v>
      </c>
      <c r="P12991" s="5" t="s">
        <v>355</v>
      </c>
      <c r="Q12991" s="5" t="s">
        <v>355</v>
      </c>
    </row>
    <row r="12992" ht="16.5" customHeight="1">
      <c r="O12992" s="5" t="s">
        <v>355</v>
      </c>
      <c r="P12992" s="5" t="s">
        <v>355</v>
      </c>
      <c r="Q12992" s="5" t="s">
        <v>355</v>
      </c>
    </row>
    <row r="12993" ht="16.5" customHeight="1">
      <c r="O12993" s="5" t="s">
        <v>355</v>
      </c>
      <c r="P12993" s="5" t="s">
        <v>355</v>
      </c>
      <c r="Q12993" s="5" t="s">
        <v>355</v>
      </c>
    </row>
    <row r="12994" ht="16.5" customHeight="1">
      <c r="O12994" s="5" t="s">
        <v>355</v>
      </c>
      <c r="P12994" s="5" t="s">
        <v>355</v>
      </c>
      <c r="Q12994" s="5" t="s">
        <v>355</v>
      </c>
    </row>
    <row r="12995" ht="16.5" customHeight="1">
      <c r="O12995" s="5" t="s">
        <v>355</v>
      </c>
      <c r="P12995" s="5" t="s">
        <v>355</v>
      </c>
      <c r="Q12995" s="5" t="s">
        <v>355</v>
      </c>
    </row>
    <row r="12996" ht="16.5" customHeight="1">
      <c r="O12996" s="5" t="s">
        <v>355</v>
      </c>
      <c r="P12996" s="5" t="s">
        <v>355</v>
      </c>
      <c r="Q12996" s="5" t="s">
        <v>355</v>
      </c>
    </row>
    <row r="12997" ht="16.5" customHeight="1">
      <c r="O12997" s="5" t="s">
        <v>355</v>
      </c>
      <c r="P12997" s="5" t="s">
        <v>355</v>
      </c>
      <c r="Q12997" s="5" t="s">
        <v>355</v>
      </c>
    </row>
    <row r="12998" ht="16.5" customHeight="1">
      <c r="O12998" s="5" t="s">
        <v>355</v>
      </c>
      <c r="P12998" s="5" t="s">
        <v>355</v>
      </c>
      <c r="Q12998" s="5" t="s">
        <v>355</v>
      </c>
    </row>
    <row r="12999" ht="16.5" customHeight="1">
      <c r="O12999" s="5" t="s">
        <v>355</v>
      </c>
      <c r="P12999" s="5" t="s">
        <v>355</v>
      </c>
      <c r="Q12999" s="5" t="s">
        <v>355</v>
      </c>
    </row>
    <row r="13000" ht="16.5" customHeight="1">
      <c r="O13000" s="5" t="s">
        <v>355</v>
      </c>
      <c r="P13000" s="5" t="s">
        <v>355</v>
      </c>
      <c r="Q13000" s="5" t="s">
        <v>355</v>
      </c>
    </row>
    <row r="13001" ht="16.5" customHeight="1">
      <c r="O13001" s="5" t="s">
        <v>355</v>
      </c>
      <c r="P13001" s="5" t="s">
        <v>355</v>
      </c>
      <c r="Q13001" s="5" t="s">
        <v>355</v>
      </c>
    </row>
    <row r="13002" ht="16.5" customHeight="1">
      <c r="O13002" s="5" t="s">
        <v>355</v>
      </c>
      <c r="P13002" s="5" t="s">
        <v>355</v>
      </c>
      <c r="Q13002" s="5" t="s">
        <v>355</v>
      </c>
    </row>
    <row r="13003" ht="16.5" customHeight="1">
      <c r="O13003" s="5" t="s">
        <v>355</v>
      </c>
      <c r="P13003" s="5" t="s">
        <v>355</v>
      </c>
      <c r="Q13003" s="5" t="s">
        <v>355</v>
      </c>
    </row>
    <row r="13004" ht="16.5" customHeight="1">
      <c r="O13004" s="5" t="s">
        <v>355</v>
      </c>
      <c r="P13004" s="5" t="s">
        <v>355</v>
      </c>
      <c r="Q13004" s="5" t="s">
        <v>355</v>
      </c>
    </row>
    <row r="13005" ht="16.5" customHeight="1">
      <c r="O13005" s="5" t="s">
        <v>355</v>
      </c>
      <c r="P13005" s="5" t="s">
        <v>355</v>
      </c>
      <c r="Q13005" s="5" t="s">
        <v>355</v>
      </c>
    </row>
    <row r="13006" ht="16.5" customHeight="1">
      <c r="O13006" s="5" t="s">
        <v>355</v>
      </c>
      <c r="P13006" s="5" t="s">
        <v>355</v>
      </c>
      <c r="Q13006" s="5" t="s">
        <v>355</v>
      </c>
    </row>
    <row r="13007" ht="16.5" customHeight="1">
      <c r="O13007" s="5" t="s">
        <v>355</v>
      </c>
      <c r="P13007" s="5" t="s">
        <v>355</v>
      </c>
      <c r="Q13007" s="5" t="s">
        <v>355</v>
      </c>
    </row>
    <row r="13008" ht="16.5" customHeight="1">
      <c r="O13008" s="5" t="s">
        <v>355</v>
      </c>
      <c r="P13008" s="5" t="s">
        <v>355</v>
      </c>
      <c r="Q13008" s="5" t="s">
        <v>355</v>
      </c>
    </row>
    <row r="13009" ht="16.5" customHeight="1">
      <c r="O13009" s="5" t="s">
        <v>355</v>
      </c>
      <c r="P13009" s="5" t="s">
        <v>355</v>
      </c>
      <c r="Q13009" s="5" t="s">
        <v>355</v>
      </c>
    </row>
    <row r="13010" ht="16.5" customHeight="1">
      <c r="O13010" s="5" t="s">
        <v>355</v>
      </c>
      <c r="P13010" s="5" t="s">
        <v>355</v>
      </c>
      <c r="Q13010" s="5" t="s">
        <v>355</v>
      </c>
    </row>
    <row r="13011" ht="16.5" customHeight="1">
      <c r="O13011" s="5" t="s">
        <v>355</v>
      </c>
      <c r="P13011" s="5" t="s">
        <v>355</v>
      </c>
      <c r="Q13011" s="5" t="s">
        <v>355</v>
      </c>
    </row>
    <row r="13012" ht="16.5" customHeight="1">
      <c r="O13012" s="5" t="s">
        <v>355</v>
      </c>
      <c r="P13012" s="5" t="s">
        <v>355</v>
      </c>
      <c r="Q13012" s="5" t="s">
        <v>355</v>
      </c>
    </row>
    <row r="13013" ht="16.5" customHeight="1">
      <c r="O13013" s="5" t="s">
        <v>355</v>
      </c>
      <c r="P13013" s="5" t="s">
        <v>355</v>
      </c>
      <c r="Q13013" s="5" t="s">
        <v>355</v>
      </c>
    </row>
    <row r="13014" ht="16.5" customHeight="1">
      <c r="O13014" s="5" t="s">
        <v>355</v>
      </c>
      <c r="P13014" s="5" t="s">
        <v>355</v>
      </c>
      <c r="Q13014" s="5" t="s">
        <v>355</v>
      </c>
    </row>
    <row r="13015" ht="16.5" customHeight="1">
      <c r="O13015" s="5" t="s">
        <v>355</v>
      </c>
      <c r="P13015" s="5" t="s">
        <v>355</v>
      </c>
      <c r="Q13015" s="5" t="s">
        <v>355</v>
      </c>
    </row>
    <row r="13016" ht="16.5" customHeight="1">
      <c r="O13016" s="5" t="s">
        <v>355</v>
      </c>
      <c r="P13016" s="5" t="s">
        <v>355</v>
      </c>
      <c r="Q13016" s="5" t="s">
        <v>355</v>
      </c>
    </row>
    <row r="13017" ht="16.5" customHeight="1">
      <c r="O13017" s="5" t="s">
        <v>355</v>
      </c>
      <c r="P13017" s="5" t="s">
        <v>355</v>
      </c>
      <c r="Q13017" s="5" t="s">
        <v>355</v>
      </c>
    </row>
    <row r="13018" ht="16.5" customHeight="1">
      <c r="O13018" s="5" t="s">
        <v>355</v>
      </c>
      <c r="P13018" s="5" t="s">
        <v>355</v>
      </c>
      <c r="Q13018" s="5" t="s">
        <v>355</v>
      </c>
    </row>
    <row r="13019" ht="16.5" customHeight="1">
      <c r="O13019" s="5" t="s">
        <v>355</v>
      </c>
      <c r="P13019" s="5" t="s">
        <v>355</v>
      </c>
      <c r="Q13019" s="5" t="s">
        <v>355</v>
      </c>
    </row>
    <row r="13020" ht="16.5" customHeight="1">
      <c r="O13020" s="5" t="s">
        <v>355</v>
      </c>
      <c r="P13020" s="5" t="s">
        <v>355</v>
      </c>
      <c r="Q13020" s="5" t="s">
        <v>355</v>
      </c>
    </row>
    <row r="13021" ht="16.5" customHeight="1">
      <c r="O13021" s="5" t="s">
        <v>355</v>
      </c>
      <c r="P13021" s="5" t="s">
        <v>355</v>
      </c>
      <c r="Q13021" s="5" t="s">
        <v>355</v>
      </c>
    </row>
    <row r="13022" ht="16.5" customHeight="1">
      <c r="O13022" s="5" t="s">
        <v>355</v>
      </c>
      <c r="P13022" s="5" t="s">
        <v>355</v>
      </c>
      <c r="Q13022" s="5" t="s">
        <v>355</v>
      </c>
    </row>
    <row r="13023" ht="16.5" customHeight="1">
      <c r="O13023" s="5" t="s">
        <v>355</v>
      </c>
      <c r="P13023" s="5" t="s">
        <v>355</v>
      </c>
      <c r="Q13023" s="5" t="s">
        <v>355</v>
      </c>
    </row>
    <row r="13024" ht="16.5" customHeight="1">
      <c r="O13024" s="5" t="s">
        <v>355</v>
      </c>
      <c r="P13024" s="5" t="s">
        <v>355</v>
      </c>
      <c r="Q13024" s="5" t="s">
        <v>355</v>
      </c>
    </row>
    <row r="13025" ht="16.5" customHeight="1">
      <c r="O13025" s="5" t="s">
        <v>355</v>
      </c>
      <c r="P13025" s="5" t="s">
        <v>355</v>
      </c>
      <c r="Q13025" s="5" t="s">
        <v>355</v>
      </c>
    </row>
    <row r="13026" ht="16.5" customHeight="1">
      <c r="O13026" s="5" t="s">
        <v>355</v>
      </c>
      <c r="P13026" s="5" t="s">
        <v>355</v>
      </c>
      <c r="Q13026" s="5" t="s">
        <v>355</v>
      </c>
    </row>
    <row r="13027" ht="16.5" customHeight="1">
      <c r="O13027" s="5" t="s">
        <v>355</v>
      </c>
      <c r="P13027" s="5" t="s">
        <v>355</v>
      </c>
      <c r="Q13027" s="5" t="s">
        <v>355</v>
      </c>
    </row>
    <row r="13028" ht="16.5" customHeight="1">
      <c r="O13028" s="5" t="s">
        <v>355</v>
      </c>
      <c r="P13028" s="5" t="s">
        <v>355</v>
      </c>
      <c r="Q13028" s="5" t="s">
        <v>355</v>
      </c>
    </row>
    <row r="13029" ht="16.5" customHeight="1">
      <c r="O13029" s="5" t="s">
        <v>355</v>
      </c>
      <c r="P13029" s="5" t="s">
        <v>355</v>
      </c>
      <c r="Q13029" s="5" t="s">
        <v>355</v>
      </c>
    </row>
    <row r="13030" ht="16.5" customHeight="1">
      <c r="O13030" s="5" t="s">
        <v>355</v>
      </c>
      <c r="P13030" s="5" t="s">
        <v>355</v>
      </c>
      <c r="Q13030" s="5" t="s">
        <v>355</v>
      </c>
    </row>
    <row r="13031" ht="16.5" customHeight="1">
      <c r="O13031" s="5" t="s">
        <v>355</v>
      </c>
      <c r="P13031" s="5" t="s">
        <v>355</v>
      </c>
      <c r="Q13031" s="5" t="s">
        <v>355</v>
      </c>
    </row>
    <row r="13032" ht="16.5" customHeight="1">
      <c r="O13032" s="5" t="s">
        <v>355</v>
      </c>
      <c r="P13032" s="5" t="s">
        <v>355</v>
      </c>
      <c r="Q13032" s="5" t="s">
        <v>355</v>
      </c>
    </row>
    <row r="13033" ht="16.5" customHeight="1">
      <c r="O13033" s="5" t="s">
        <v>355</v>
      </c>
      <c r="P13033" s="5" t="s">
        <v>355</v>
      </c>
      <c r="Q13033" s="5" t="s">
        <v>355</v>
      </c>
    </row>
    <row r="13034" ht="16.5" customHeight="1">
      <c r="O13034" s="5" t="s">
        <v>355</v>
      </c>
      <c r="P13034" s="5" t="s">
        <v>355</v>
      </c>
      <c r="Q13034" s="5" t="s">
        <v>355</v>
      </c>
    </row>
    <row r="13035" ht="16.5" customHeight="1">
      <c r="O13035" s="5" t="s">
        <v>355</v>
      </c>
      <c r="P13035" s="5" t="s">
        <v>355</v>
      </c>
      <c r="Q13035" s="5" t="s">
        <v>355</v>
      </c>
    </row>
    <row r="13036" ht="16.5" customHeight="1">
      <c r="O13036" s="5" t="s">
        <v>355</v>
      </c>
      <c r="P13036" s="5" t="s">
        <v>355</v>
      </c>
      <c r="Q13036" s="5" t="s">
        <v>355</v>
      </c>
    </row>
    <row r="13037" ht="16.5" customHeight="1">
      <c r="O13037" s="5" t="s">
        <v>355</v>
      </c>
      <c r="P13037" s="5" t="s">
        <v>355</v>
      </c>
      <c r="Q13037" s="5" t="s">
        <v>355</v>
      </c>
    </row>
    <row r="13038" ht="16.5" customHeight="1">
      <c r="O13038" s="5" t="s">
        <v>355</v>
      </c>
      <c r="P13038" s="5" t="s">
        <v>355</v>
      </c>
      <c r="Q13038" s="5" t="s">
        <v>355</v>
      </c>
    </row>
    <row r="13039" ht="16.5" customHeight="1">
      <c r="O13039" s="5" t="s">
        <v>355</v>
      </c>
      <c r="P13039" s="5" t="s">
        <v>355</v>
      </c>
      <c r="Q13039" s="5" t="s">
        <v>355</v>
      </c>
    </row>
    <row r="13040" ht="16.5" customHeight="1">
      <c r="O13040" s="5" t="s">
        <v>355</v>
      </c>
      <c r="P13040" s="5" t="s">
        <v>355</v>
      </c>
      <c r="Q13040" s="5" t="s">
        <v>355</v>
      </c>
    </row>
    <row r="13041" ht="16.5" customHeight="1">
      <c r="O13041" s="5" t="s">
        <v>355</v>
      </c>
      <c r="P13041" s="5" t="s">
        <v>355</v>
      </c>
      <c r="Q13041" s="5" t="s">
        <v>355</v>
      </c>
    </row>
    <row r="13042" ht="16.5" customHeight="1">
      <c r="O13042" s="5" t="s">
        <v>355</v>
      </c>
      <c r="P13042" s="5" t="s">
        <v>355</v>
      </c>
      <c r="Q13042" s="5" t="s">
        <v>355</v>
      </c>
    </row>
    <row r="13043" ht="16.5" customHeight="1">
      <c r="O13043" s="5" t="s">
        <v>355</v>
      </c>
      <c r="P13043" s="5" t="s">
        <v>355</v>
      </c>
      <c r="Q13043" s="5" t="s">
        <v>355</v>
      </c>
    </row>
    <row r="13044" ht="16.5" customHeight="1">
      <c r="O13044" s="5" t="s">
        <v>355</v>
      </c>
      <c r="P13044" s="5" t="s">
        <v>355</v>
      </c>
      <c r="Q13044" s="5" t="s">
        <v>355</v>
      </c>
    </row>
    <row r="13045" ht="16.5" customHeight="1">
      <c r="O13045" s="5" t="s">
        <v>355</v>
      </c>
      <c r="P13045" s="5" t="s">
        <v>355</v>
      </c>
      <c r="Q13045" s="5" t="s">
        <v>355</v>
      </c>
    </row>
    <row r="13046" ht="16.5" customHeight="1">
      <c r="O13046" s="5" t="s">
        <v>355</v>
      </c>
      <c r="P13046" s="5" t="s">
        <v>355</v>
      </c>
      <c r="Q13046" s="5" t="s">
        <v>355</v>
      </c>
    </row>
    <row r="13047" ht="16.5" customHeight="1">
      <c r="O13047" s="5" t="s">
        <v>355</v>
      </c>
      <c r="P13047" s="5" t="s">
        <v>355</v>
      </c>
      <c r="Q13047" s="5" t="s">
        <v>355</v>
      </c>
    </row>
    <row r="13048" ht="16.5" customHeight="1">
      <c r="O13048" s="5" t="s">
        <v>355</v>
      </c>
      <c r="P13048" s="5" t="s">
        <v>355</v>
      </c>
      <c r="Q13048" s="5" t="s">
        <v>355</v>
      </c>
    </row>
    <row r="13049" ht="16.5" customHeight="1">
      <c r="O13049" s="5" t="s">
        <v>355</v>
      </c>
      <c r="P13049" s="5" t="s">
        <v>355</v>
      </c>
      <c r="Q13049" s="5" t="s">
        <v>355</v>
      </c>
    </row>
    <row r="13050" ht="16.5" customHeight="1">
      <c r="O13050" s="5" t="s">
        <v>355</v>
      </c>
      <c r="P13050" s="5" t="s">
        <v>355</v>
      </c>
      <c r="Q13050" s="5" t="s">
        <v>355</v>
      </c>
    </row>
    <row r="13051" ht="16.5" customHeight="1">
      <c r="O13051" s="5" t="s">
        <v>355</v>
      </c>
      <c r="P13051" s="5" t="s">
        <v>355</v>
      </c>
      <c r="Q13051" s="5" t="s">
        <v>355</v>
      </c>
    </row>
    <row r="13052" ht="16.5" customHeight="1">
      <c r="O13052" s="5" t="s">
        <v>355</v>
      </c>
      <c r="P13052" s="5" t="s">
        <v>355</v>
      </c>
      <c r="Q13052" s="5" t="s">
        <v>355</v>
      </c>
    </row>
    <row r="13053" ht="16.5" customHeight="1">
      <c r="O13053" s="5" t="s">
        <v>355</v>
      </c>
      <c r="P13053" s="5" t="s">
        <v>355</v>
      </c>
      <c r="Q13053" s="5" t="s">
        <v>355</v>
      </c>
    </row>
    <row r="13054" ht="16.5" customHeight="1">
      <c r="O13054" s="5" t="s">
        <v>355</v>
      </c>
      <c r="P13054" s="5" t="s">
        <v>355</v>
      </c>
      <c r="Q13054" s="5" t="s">
        <v>355</v>
      </c>
    </row>
    <row r="13055" ht="16.5" customHeight="1">
      <c r="O13055" s="5" t="s">
        <v>355</v>
      </c>
      <c r="P13055" s="5" t="s">
        <v>355</v>
      </c>
      <c r="Q13055" s="5" t="s">
        <v>355</v>
      </c>
    </row>
    <row r="13056" ht="16.5" customHeight="1">
      <c r="O13056" s="5" t="s">
        <v>355</v>
      </c>
      <c r="P13056" s="5" t="s">
        <v>355</v>
      </c>
      <c r="Q13056" s="5" t="s">
        <v>355</v>
      </c>
    </row>
    <row r="13057" ht="16.5" customHeight="1">
      <c r="O13057" s="5" t="s">
        <v>355</v>
      </c>
      <c r="P13057" s="5" t="s">
        <v>355</v>
      </c>
      <c r="Q13057" s="5" t="s">
        <v>355</v>
      </c>
    </row>
    <row r="13058" ht="16.5" customHeight="1">
      <c r="O13058" s="5" t="s">
        <v>355</v>
      </c>
      <c r="P13058" s="5" t="s">
        <v>355</v>
      </c>
      <c r="Q13058" s="5" t="s">
        <v>355</v>
      </c>
    </row>
    <row r="13059" ht="16.5" customHeight="1">
      <c r="O13059" s="5" t="s">
        <v>355</v>
      </c>
      <c r="P13059" s="5" t="s">
        <v>355</v>
      </c>
      <c r="Q13059" s="5" t="s">
        <v>355</v>
      </c>
    </row>
    <row r="13060" ht="16.5" customHeight="1">
      <c r="O13060" s="5" t="s">
        <v>355</v>
      </c>
      <c r="P13060" s="5" t="s">
        <v>355</v>
      </c>
      <c r="Q13060" s="5" t="s">
        <v>355</v>
      </c>
    </row>
    <row r="13061" ht="16.5" customHeight="1">
      <c r="O13061" s="5" t="s">
        <v>355</v>
      </c>
      <c r="P13061" s="5" t="s">
        <v>355</v>
      </c>
      <c r="Q13061" s="5" t="s">
        <v>355</v>
      </c>
    </row>
    <row r="13062" ht="16.5" customHeight="1">
      <c r="O13062" s="5" t="s">
        <v>355</v>
      </c>
      <c r="P13062" s="5" t="s">
        <v>355</v>
      </c>
      <c r="Q13062" s="5" t="s">
        <v>355</v>
      </c>
    </row>
    <row r="13063" ht="16.5" customHeight="1">
      <c r="O13063" s="5" t="s">
        <v>355</v>
      </c>
      <c r="P13063" s="5" t="s">
        <v>355</v>
      </c>
      <c r="Q13063" s="5" t="s">
        <v>355</v>
      </c>
    </row>
    <row r="13064" ht="16.5" customHeight="1">
      <c r="O13064" s="5" t="s">
        <v>355</v>
      </c>
      <c r="P13064" s="5" t="s">
        <v>355</v>
      </c>
      <c r="Q13064" s="5" t="s">
        <v>355</v>
      </c>
    </row>
    <row r="13065" ht="16.5" customHeight="1">
      <c r="O13065" s="5" t="s">
        <v>355</v>
      </c>
      <c r="P13065" s="5" t="s">
        <v>355</v>
      </c>
      <c r="Q13065" s="5" t="s">
        <v>355</v>
      </c>
    </row>
    <row r="13066" ht="16.5" customHeight="1">
      <c r="O13066" s="5" t="s">
        <v>355</v>
      </c>
      <c r="P13066" s="5" t="s">
        <v>355</v>
      </c>
      <c r="Q13066" s="5" t="s">
        <v>355</v>
      </c>
    </row>
    <row r="13067" ht="16.5" customHeight="1">
      <c r="O13067" s="5" t="s">
        <v>355</v>
      </c>
      <c r="P13067" s="5" t="s">
        <v>355</v>
      </c>
      <c r="Q13067" s="5" t="s">
        <v>355</v>
      </c>
    </row>
    <row r="13068" ht="16.5" customHeight="1">
      <c r="O13068" s="5" t="s">
        <v>355</v>
      </c>
      <c r="P13068" s="5" t="s">
        <v>355</v>
      </c>
      <c r="Q13068" s="5" t="s">
        <v>355</v>
      </c>
    </row>
    <row r="13069" ht="16.5" customHeight="1">
      <c r="O13069" s="5" t="s">
        <v>355</v>
      </c>
      <c r="P13069" s="5" t="s">
        <v>355</v>
      </c>
      <c r="Q13069" s="5" t="s">
        <v>355</v>
      </c>
    </row>
    <row r="13070" ht="16.5" customHeight="1">
      <c r="O13070" s="5" t="s">
        <v>355</v>
      </c>
      <c r="P13070" s="5" t="s">
        <v>355</v>
      </c>
      <c r="Q13070" s="5" t="s">
        <v>355</v>
      </c>
    </row>
    <row r="13071" ht="16.5" customHeight="1">
      <c r="O13071" s="5" t="s">
        <v>355</v>
      </c>
      <c r="P13071" s="5" t="s">
        <v>355</v>
      </c>
      <c r="Q13071" s="5" t="s">
        <v>355</v>
      </c>
    </row>
    <row r="13072" ht="16.5" customHeight="1">
      <c r="O13072" s="5" t="s">
        <v>355</v>
      </c>
      <c r="P13072" s="5" t="s">
        <v>355</v>
      </c>
      <c r="Q13072" s="5" t="s">
        <v>355</v>
      </c>
    </row>
    <row r="13073" ht="16.5" customHeight="1">
      <c r="O13073" s="5" t="s">
        <v>355</v>
      </c>
      <c r="P13073" s="5" t="s">
        <v>355</v>
      </c>
      <c r="Q13073" s="5" t="s">
        <v>355</v>
      </c>
    </row>
    <row r="13074" ht="16.5" customHeight="1">
      <c r="O13074" s="5" t="s">
        <v>355</v>
      </c>
      <c r="P13074" s="5" t="s">
        <v>355</v>
      </c>
      <c r="Q13074" s="5" t="s">
        <v>355</v>
      </c>
    </row>
    <row r="13075" ht="16.5" customHeight="1">
      <c r="O13075" s="5" t="s">
        <v>355</v>
      </c>
      <c r="P13075" s="5" t="s">
        <v>355</v>
      </c>
      <c r="Q13075" s="5" t="s">
        <v>355</v>
      </c>
    </row>
    <row r="13076" ht="16.5" customHeight="1">
      <c r="O13076" s="5" t="s">
        <v>355</v>
      </c>
      <c r="P13076" s="5" t="s">
        <v>355</v>
      </c>
      <c r="Q13076" s="5" t="s">
        <v>355</v>
      </c>
    </row>
    <row r="13077" ht="16.5" customHeight="1">
      <c r="O13077" s="5" t="s">
        <v>355</v>
      </c>
      <c r="P13077" s="5" t="s">
        <v>355</v>
      </c>
      <c r="Q13077" s="5" t="s">
        <v>355</v>
      </c>
    </row>
    <row r="13078" ht="16.5" customHeight="1">
      <c r="O13078" s="5" t="s">
        <v>355</v>
      </c>
      <c r="P13078" s="5" t="s">
        <v>355</v>
      </c>
      <c r="Q13078" s="5" t="s">
        <v>355</v>
      </c>
    </row>
    <row r="13079" ht="16.5" customHeight="1">
      <c r="O13079" s="5" t="s">
        <v>355</v>
      </c>
      <c r="P13079" s="5" t="s">
        <v>355</v>
      </c>
      <c r="Q13079" s="5" t="s">
        <v>355</v>
      </c>
    </row>
    <row r="13080" ht="16.5" customHeight="1">
      <c r="O13080" s="5" t="s">
        <v>355</v>
      </c>
      <c r="P13080" s="5" t="s">
        <v>355</v>
      </c>
      <c r="Q13080" s="5" t="s">
        <v>355</v>
      </c>
    </row>
    <row r="13081" ht="16.5" customHeight="1">
      <c r="O13081" s="5" t="s">
        <v>355</v>
      </c>
      <c r="P13081" s="5" t="s">
        <v>355</v>
      </c>
      <c r="Q13081" s="5" t="s">
        <v>355</v>
      </c>
    </row>
    <row r="13082" ht="16.5" customHeight="1">
      <c r="O13082" s="5" t="s">
        <v>355</v>
      </c>
      <c r="P13082" s="5" t="s">
        <v>355</v>
      </c>
      <c r="Q13082" s="5" t="s">
        <v>355</v>
      </c>
    </row>
    <row r="13083" ht="16.5" customHeight="1">
      <c r="O13083" s="5" t="s">
        <v>355</v>
      </c>
      <c r="P13083" s="5" t="s">
        <v>355</v>
      </c>
      <c r="Q13083" s="5" t="s">
        <v>355</v>
      </c>
    </row>
    <row r="13084" ht="16.5" customHeight="1">
      <c r="O13084" s="5" t="s">
        <v>355</v>
      </c>
      <c r="P13084" s="5" t="s">
        <v>355</v>
      </c>
      <c r="Q13084" s="5" t="s">
        <v>355</v>
      </c>
    </row>
    <row r="13085" ht="16.5" customHeight="1">
      <c r="O13085" s="5" t="s">
        <v>355</v>
      </c>
      <c r="P13085" s="5" t="s">
        <v>355</v>
      </c>
      <c r="Q13085" s="5" t="s">
        <v>355</v>
      </c>
    </row>
    <row r="13086" ht="16.5" customHeight="1">
      <c r="O13086" s="5" t="s">
        <v>355</v>
      </c>
      <c r="P13086" s="5" t="s">
        <v>355</v>
      </c>
      <c r="Q13086" s="5" t="s">
        <v>355</v>
      </c>
    </row>
    <row r="13087" ht="16.5" customHeight="1">
      <c r="O13087" s="5" t="s">
        <v>355</v>
      </c>
      <c r="P13087" s="5" t="s">
        <v>355</v>
      </c>
      <c r="Q13087" s="5" t="s">
        <v>355</v>
      </c>
    </row>
    <row r="13088" ht="16.5" customHeight="1">
      <c r="O13088" s="5" t="s">
        <v>355</v>
      </c>
      <c r="P13088" s="5" t="s">
        <v>355</v>
      </c>
      <c r="Q13088" s="5" t="s">
        <v>355</v>
      </c>
    </row>
    <row r="13089" ht="16.5" customHeight="1">
      <c r="O13089" s="5" t="s">
        <v>355</v>
      </c>
      <c r="P13089" s="5" t="s">
        <v>355</v>
      </c>
      <c r="Q13089" s="5" t="s">
        <v>355</v>
      </c>
    </row>
    <row r="13090" ht="16.5" customHeight="1">
      <c r="O13090" s="5" t="s">
        <v>355</v>
      </c>
      <c r="P13090" s="5" t="s">
        <v>355</v>
      </c>
      <c r="Q13090" s="5" t="s">
        <v>355</v>
      </c>
    </row>
    <row r="13091" ht="16.5" customHeight="1">
      <c r="O13091" s="5" t="s">
        <v>355</v>
      </c>
      <c r="P13091" s="5" t="s">
        <v>355</v>
      </c>
      <c r="Q13091" s="5" t="s">
        <v>355</v>
      </c>
    </row>
    <row r="13092" ht="16.5" customHeight="1">
      <c r="O13092" s="5" t="s">
        <v>355</v>
      </c>
      <c r="P13092" s="5" t="s">
        <v>355</v>
      </c>
      <c r="Q13092" s="5" t="s">
        <v>355</v>
      </c>
    </row>
    <row r="13093" ht="16.5" customHeight="1">
      <c r="O13093" s="5" t="s">
        <v>355</v>
      </c>
      <c r="P13093" s="5" t="s">
        <v>355</v>
      </c>
      <c r="Q13093" s="5" t="s">
        <v>355</v>
      </c>
    </row>
    <row r="13094" ht="16.5" customHeight="1">
      <c r="O13094" s="5" t="s">
        <v>355</v>
      </c>
      <c r="P13094" s="5" t="s">
        <v>355</v>
      </c>
      <c r="Q13094" s="5" t="s">
        <v>355</v>
      </c>
    </row>
    <row r="13095" ht="16.5" customHeight="1">
      <c r="O13095" s="5" t="s">
        <v>355</v>
      </c>
      <c r="P13095" s="5" t="s">
        <v>355</v>
      </c>
      <c r="Q13095" s="5" t="s">
        <v>355</v>
      </c>
    </row>
    <row r="13096" ht="16.5" customHeight="1">
      <c r="O13096" s="5" t="s">
        <v>355</v>
      </c>
      <c r="P13096" s="5" t="s">
        <v>355</v>
      </c>
      <c r="Q13096" s="5" t="s">
        <v>355</v>
      </c>
    </row>
    <row r="13097" ht="16.5" customHeight="1">
      <c r="O13097" s="5" t="s">
        <v>355</v>
      </c>
      <c r="P13097" s="5" t="s">
        <v>355</v>
      </c>
      <c r="Q13097" s="5" t="s">
        <v>355</v>
      </c>
    </row>
    <row r="13098" ht="16.5" customHeight="1">
      <c r="O13098" s="5" t="s">
        <v>355</v>
      </c>
      <c r="P13098" s="5" t="s">
        <v>355</v>
      </c>
      <c r="Q13098" s="5" t="s">
        <v>355</v>
      </c>
    </row>
    <row r="13099" ht="16.5" customHeight="1">
      <c r="O13099" s="5" t="s">
        <v>355</v>
      </c>
      <c r="P13099" s="5" t="s">
        <v>355</v>
      </c>
      <c r="Q13099" s="5" t="s">
        <v>355</v>
      </c>
    </row>
    <row r="13100" ht="16.5" customHeight="1">
      <c r="O13100" s="5" t="s">
        <v>355</v>
      </c>
      <c r="P13100" s="5" t="s">
        <v>355</v>
      </c>
      <c r="Q13100" s="5" t="s">
        <v>355</v>
      </c>
    </row>
    <row r="13101" ht="16.5" customHeight="1">
      <c r="O13101" s="5" t="s">
        <v>355</v>
      </c>
      <c r="P13101" s="5" t="s">
        <v>355</v>
      </c>
      <c r="Q13101" s="5" t="s">
        <v>355</v>
      </c>
    </row>
    <row r="13102" ht="16.5" customHeight="1">
      <c r="O13102" s="5" t="s">
        <v>355</v>
      </c>
      <c r="P13102" s="5" t="s">
        <v>355</v>
      </c>
      <c r="Q13102" s="5" t="s">
        <v>355</v>
      </c>
    </row>
    <row r="13103" ht="16.5" customHeight="1">
      <c r="O13103" s="5" t="s">
        <v>355</v>
      </c>
      <c r="P13103" s="5" t="s">
        <v>355</v>
      </c>
      <c r="Q13103" s="5" t="s">
        <v>355</v>
      </c>
    </row>
    <row r="13104" ht="16.5" customHeight="1">
      <c r="O13104" s="5" t="s">
        <v>355</v>
      </c>
      <c r="P13104" s="5" t="s">
        <v>355</v>
      </c>
      <c r="Q13104" s="5" t="s">
        <v>355</v>
      </c>
    </row>
    <row r="13105" ht="16.5" customHeight="1">
      <c r="O13105" s="5" t="s">
        <v>355</v>
      </c>
      <c r="P13105" s="5" t="s">
        <v>355</v>
      </c>
      <c r="Q13105" s="5" t="s">
        <v>355</v>
      </c>
    </row>
    <row r="13106" ht="16.5" customHeight="1">
      <c r="O13106" s="5" t="s">
        <v>355</v>
      </c>
      <c r="P13106" s="5" t="s">
        <v>355</v>
      </c>
      <c r="Q13106" s="5" t="s">
        <v>355</v>
      </c>
    </row>
    <row r="13107" ht="16.5" customHeight="1">
      <c r="O13107" s="5" t="s">
        <v>355</v>
      </c>
      <c r="P13107" s="5" t="s">
        <v>355</v>
      </c>
      <c r="Q13107" s="5" t="s">
        <v>355</v>
      </c>
    </row>
    <row r="13108" ht="16.5" customHeight="1">
      <c r="O13108" s="5" t="s">
        <v>355</v>
      </c>
      <c r="P13108" s="5" t="s">
        <v>355</v>
      </c>
      <c r="Q13108" s="5" t="s">
        <v>355</v>
      </c>
    </row>
    <row r="13109" ht="16.5" customHeight="1">
      <c r="O13109" s="5" t="s">
        <v>355</v>
      </c>
      <c r="P13109" s="5" t="s">
        <v>355</v>
      </c>
      <c r="Q13109" s="5" t="s">
        <v>355</v>
      </c>
    </row>
    <row r="13110" ht="16.5" customHeight="1">
      <c r="O13110" s="5" t="s">
        <v>355</v>
      </c>
      <c r="P13110" s="5" t="s">
        <v>355</v>
      </c>
      <c r="Q13110" s="5" t="s">
        <v>355</v>
      </c>
    </row>
    <row r="13111" ht="16.5" customHeight="1">
      <c r="O13111" s="5" t="s">
        <v>355</v>
      </c>
      <c r="P13111" s="5" t="s">
        <v>355</v>
      </c>
      <c r="Q13111" s="5" t="s">
        <v>355</v>
      </c>
    </row>
    <row r="13112" ht="16.5" customHeight="1">
      <c r="O13112" s="5" t="s">
        <v>355</v>
      </c>
      <c r="P13112" s="5" t="s">
        <v>355</v>
      </c>
      <c r="Q13112" s="5" t="s">
        <v>355</v>
      </c>
    </row>
    <row r="13113" ht="16.5" customHeight="1">
      <c r="O13113" s="5" t="s">
        <v>355</v>
      </c>
      <c r="P13113" s="5" t="s">
        <v>355</v>
      </c>
      <c r="Q13113" s="5" t="s">
        <v>355</v>
      </c>
    </row>
    <row r="13114" ht="16.5" customHeight="1">
      <c r="O13114" s="5" t="s">
        <v>355</v>
      </c>
      <c r="P13114" s="5" t="s">
        <v>355</v>
      </c>
      <c r="Q13114" s="5" t="s">
        <v>355</v>
      </c>
    </row>
    <row r="13115" ht="16.5" customHeight="1">
      <c r="O13115" s="5" t="s">
        <v>355</v>
      </c>
      <c r="P13115" s="5" t="s">
        <v>355</v>
      </c>
      <c r="Q13115" s="5" t="s">
        <v>355</v>
      </c>
    </row>
    <row r="13116" ht="16.5" customHeight="1">
      <c r="O13116" s="5" t="s">
        <v>355</v>
      </c>
      <c r="P13116" s="5" t="s">
        <v>355</v>
      </c>
      <c r="Q13116" s="5" t="s">
        <v>355</v>
      </c>
    </row>
    <row r="13117" ht="16.5" customHeight="1">
      <c r="O13117" s="5" t="s">
        <v>355</v>
      </c>
      <c r="P13117" s="5" t="s">
        <v>355</v>
      </c>
      <c r="Q13117" s="5" t="s">
        <v>355</v>
      </c>
    </row>
    <row r="13118" ht="16.5" customHeight="1">
      <c r="O13118" s="5" t="s">
        <v>355</v>
      </c>
      <c r="P13118" s="5" t="s">
        <v>355</v>
      </c>
      <c r="Q13118" s="5" t="s">
        <v>355</v>
      </c>
    </row>
    <row r="13119" ht="16.5" customHeight="1">
      <c r="O13119" s="5" t="s">
        <v>355</v>
      </c>
      <c r="P13119" s="5" t="s">
        <v>355</v>
      </c>
      <c r="Q13119" s="5" t="s">
        <v>355</v>
      </c>
    </row>
    <row r="13120" ht="16.5" customHeight="1">
      <c r="O13120" s="5" t="s">
        <v>355</v>
      </c>
      <c r="P13120" s="5" t="s">
        <v>355</v>
      </c>
      <c r="Q13120" s="5" t="s">
        <v>355</v>
      </c>
    </row>
    <row r="13121" ht="16.5" customHeight="1">
      <c r="O13121" s="5" t="s">
        <v>355</v>
      </c>
      <c r="P13121" s="5" t="s">
        <v>355</v>
      </c>
      <c r="Q13121" s="5" t="s">
        <v>355</v>
      </c>
    </row>
    <row r="13122" ht="16.5" customHeight="1">
      <c r="O13122" s="5" t="s">
        <v>355</v>
      </c>
      <c r="P13122" s="5" t="s">
        <v>355</v>
      </c>
      <c r="Q13122" s="5" t="s">
        <v>355</v>
      </c>
    </row>
    <row r="13123" ht="16.5" customHeight="1">
      <c r="O13123" s="5" t="s">
        <v>355</v>
      </c>
      <c r="P13123" s="5" t="s">
        <v>355</v>
      </c>
      <c r="Q13123" s="5" t="s">
        <v>355</v>
      </c>
    </row>
    <row r="13124" ht="16.5" customHeight="1">
      <c r="O13124" s="5" t="s">
        <v>355</v>
      </c>
      <c r="P13124" s="5" t="s">
        <v>355</v>
      </c>
      <c r="Q13124" s="5" t="s">
        <v>355</v>
      </c>
    </row>
    <row r="13125" ht="16.5" customHeight="1">
      <c r="O13125" s="5" t="s">
        <v>355</v>
      </c>
      <c r="P13125" s="5" t="s">
        <v>355</v>
      </c>
      <c r="Q13125" s="5" t="s">
        <v>355</v>
      </c>
    </row>
    <row r="13126" ht="16.5" customHeight="1">
      <c r="O13126" s="5" t="s">
        <v>355</v>
      </c>
      <c r="P13126" s="5" t="s">
        <v>355</v>
      </c>
      <c r="Q13126" s="5" t="s">
        <v>355</v>
      </c>
    </row>
    <row r="13127" ht="16.5" customHeight="1">
      <c r="O13127" s="5" t="s">
        <v>355</v>
      </c>
      <c r="P13127" s="5" t="s">
        <v>355</v>
      </c>
      <c r="Q13127" s="5" t="s">
        <v>355</v>
      </c>
    </row>
    <row r="13128" ht="16.5" customHeight="1">
      <c r="O13128" s="5" t="s">
        <v>355</v>
      </c>
      <c r="P13128" s="5" t="s">
        <v>355</v>
      </c>
      <c r="Q13128" s="5" t="s">
        <v>355</v>
      </c>
    </row>
    <row r="13129" ht="16.5" customHeight="1">
      <c r="O13129" s="5" t="s">
        <v>355</v>
      </c>
      <c r="P13129" s="5" t="s">
        <v>355</v>
      </c>
      <c r="Q13129" s="5" t="s">
        <v>355</v>
      </c>
    </row>
    <row r="13130" ht="16.5" customHeight="1">
      <c r="O13130" s="5" t="s">
        <v>355</v>
      </c>
      <c r="P13130" s="5" t="s">
        <v>355</v>
      </c>
      <c r="Q13130" s="5" t="s">
        <v>355</v>
      </c>
    </row>
    <row r="13131" ht="16.5" customHeight="1">
      <c r="O13131" s="5" t="s">
        <v>355</v>
      </c>
      <c r="P13131" s="5" t="s">
        <v>355</v>
      </c>
      <c r="Q13131" s="5" t="s">
        <v>355</v>
      </c>
    </row>
    <row r="13132" ht="16.5" customHeight="1">
      <c r="O13132" s="5" t="s">
        <v>355</v>
      </c>
      <c r="P13132" s="5" t="s">
        <v>355</v>
      </c>
      <c r="Q13132" s="5" t="s">
        <v>355</v>
      </c>
    </row>
    <row r="13133" ht="16.5" customHeight="1">
      <c r="O13133" s="5" t="s">
        <v>355</v>
      </c>
      <c r="P13133" s="5" t="s">
        <v>355</v>
      </c>
      <c r="Q13133" s="5" t="s">
        <v>355</v>
      </c>
    </row>
    <row r="13134" ht="16.5" customHeight="1">
      <c r="O13134" s="5" t="s">
        <v>355</v>
      </c>
      <c r="P13134" s="5" t="s">
        <v>355</v>
      </c>
      <c r="Q13134" s="5" t="s">
        <v>355</v>
      </c>
    </row>
    <row r="13135" ht="16.5" customHeight="1">
      <c r="O13135" s="5" t="s">
        <v>355</v>
      </c>
      <c r="P13135" s="5" t="s">
        <v>355</v>
      </c>
      <c r="Q13135" s="5" t="s">
        <v>355</v>
      </c>
    </row>
    <row r="13136" ht="16.5" customHeight="1">
      <c r="O13136" s="5" t="s">
        <v>355</v>
      </c>
      <c r="P13136" s="5" t="s">
        <v>355</v>
      </c>
      <c r="Q13136" s="5" t="s">
        <v>355</v>
      </c>
    </row>
    <row r="13137" ht="16.5" customHeight="1">
      <c r="O13137" s="5" t="s">
        <v>355</v>
      </c>
      <c r="P13137" s="5" t="s">
        <v>355</v>
      </c>
      <c r="Q13137" s="5" t="s">
        <v>355</v>
      </c>
    </row>
    <row r="13138" ht="16.5" customHeight="1">
      <c r="O13138" s="5" t="s">
        <v>355</v>
      </c>
      <c r="P13138" s="5" t="s">
        <v>355</v>
      </c>
      <c r="Q13138" s="5" t="s">
        <v>355</v>
      </c>
    </row>
    <row r="13139" ht="16.5" customHeight="1">
      <c r="O13139" s="5" t="s">
        <v>355</v>
      </c>
      <c r="P13139" s="5" t="s">
        <v>355</v>
      </c>
      <c r="Q13139" s="5" t="s">
        <v>355</v>
      </c>
    </row>
    <row r="13140" ht="16.5" customHeight="1">
      <c r="O13140" s="5" t="s">
        <v>355</v>
      </c>
      <c r="P13140" s="5" t="s">
        <v>355</v>
      </c>
      <c r="Q13140" s="5" t="s">
        <v>355</v>
      </c>
    </row>
    <row r="13141" ht="16.5" customHeight="1">
      <c r="O13141" s="5" t="s">
        <v>355</v>
      </c>
      <c r="P13141" s="5" t="s">
        <v>355</v>
      </c>
      <c r="Q13141" s="5" t="s">
        <v>355</v>
      </c>
    </row>
    <row r="13142" ht="16.5" customHeight="1">
      <c r="O13142" s="5" t="s">
        <v>355</v>
      </c>
      <c r="P13142" s="5" t="s">
        <v>355</v>
      </c>
      <c r="Q13142" s="5" t="s">
        <v>355</v>
      </c>
    </row>
    <row r="13143" ht="16.5" customHeight="1">
      <c r="O13143" s="5" t="s">
        <v>355</v>
      </c>
      <c r="P13143" s="5" t="s">
        <v>355</v>
      </c>
      <c r="Q13143" s="5" t="s">
        <v>355</v>
      </c>
    </row>
    <row r="13144" ht="16.5" customHeight="1">
      <c r="O13144" s="5" t="s">
        <v>355</v>
      </c>
      <c r="P13144" s="5" t="s">
        <v>355</v>
      </c>
      <c r="Q13144" s="5" t="s">
        <v>355</v>
      </c>
    </row>
    <row r="13145" ht="16.5" customHeight="1">
      <c r="O13145" s="5" t="s">
        <v>355</v>
      </c>
      <c r="P13145" s="5" t="s">
        <v>355</v>
      </c>
      <c r="Q13145" s="5" t="s">
        <v>355</v>
      </c>
    </row>
    <row r="13146" ht="16.5" customHeight="1">
      <c r="O13146" s="5" t="s">
        <v>355</v>
      </c>
      <c r="P13146" s="5" t="s">
        <v>355</v>
      </c>
      <c r="Q13146" s="5" t="s">
        <v>355</v>
      </c>
    </row>
    <row r="13147" ht="16.5" customHeight="1">
      <c r="O13147" s="5" t="s">
        <v>355</v>
      </c>
      <c r="P13147" s="5" t="s">
        <v>355</v>
      </c>
      <c r="Q13147" s="5" t="s">
        <v>355</v>
      </c>
    </row>
    <row r="13148" ht="16.5" customHeight="1">
      <c r="O13148" s="5" t="s">
        <v>355</v>
      </c>
      <c r="P13148" s="5" t="s">
        <v>355</v>
      </c>
      <c r="Q13148" s="5" t="s">
        <v>355</v>
      </c>
    </row>
    <row r="13149" ht="16.5" customHeight="1">
      <c r="O13149" s="5" t="s">
        <v>355</v>
      </c>
      <c r="P13149" s="5" t="s">
        <v>355</v>
      </c>
      <c r="Q13149" s="5" t="s">
        <v>355</v>
      </c>
    </row>
    <row r="13150" ht="16.5" customHeight="1">
      <c r="O13150" s="5" t="s">
        <v>355</v>
      </c>
      <c r="P13150" s="5" t="s">
        <v>355</v>
      </c>
      <c r="Q13150" s="5" t="s">
        <v>355</v>
      </c>
    </row>
    <row r="13151" ht="16.5" customHeight="1">
      <c r="O13151" s="5" t="s">
        <v>355</v>
      </c>
      <c r="P13151" s="5" t="s">
        <v>355</v>
      </c>
      <c r="Q13151" s="5" t="s">
        <v>355</v>
      </c>
    </row>
    <row r="13152" ht="16.5" customHeight="1">
      <c r="O13152" s="5" t="s">
        <v>355</v>
      </c>
      <c r="P13152" s="5" t="s">
        <v>355</v>
      </c>
      <c r="Q13152" s="5" t="s">
        <v>355</v>
      </c>
    </row>
    <row r="13153" ht="16.5" customHeight="1">
      <c r="O13153" s="5" t="s">
        <v>355</v>
      </c>
      <c r="P13153" s="5" t="s">
        <v>355</v>
      </c>
      <c r="Q13153" s="5" t="s">
        <v>355</v>
      </c>
    </row>
    <row r="13154" ht="16.5" customHeight="1">
      <c r="O13154" s="5" t="s">
        <v>355</v>
      </c>
      <c r="P13154" s="5" t="s">
        <v>355</v>
      </c>
      <c r="Q13154" s="5" t="s">
        <v>355</v>
      </c>
    </row>
    <row r="13155" ht="16.5" customHeight="1">
      <c r="O13155" s="5" t="s">
        <v>355</v>
      </c>
      <c r="P13155" s="5" t="s">
        <v>355</v>
      </c>
      <c r="Q13155" s="5" t="s">
        <v>355</v>
      </c>
    </row>
    <row r="13156" ht="16.5" customHeight="1">
      <c r="O13156" s="5" t="s">
        <v>355</v>
      </c>
      <c r="P13156" s="5" t="s">
        <v>355</v>
      </c>
      <c r="Q13156" s="5" t="s">
        <v>355</v>
      </c>
    </row>
    <row r="13157" ht="16.5" customHeight="1">
      <c r="O13157" s="5" t="s">
        <v>355</v>
      </c>
      <c r="P13157" s="5" t="s">
        <v>355</v>
      </c>
      <c r="Q13157" s="5" t="s">
        <v>355</v>
      </c>
    </row>
    <row r="13158" ht="16.5" customHeight="1">
      <c r="O13158" s="5" t="s">
        <v>355</v>
      </c>
      <c r="P13158" s="5" t="s">
        <v>355</v>
      </c>
      <c r="Q13158" s="5" t="s">
        <v>355</v>
      </c>
    </row>
    <row r="13159" ht="16.5" customHeight="1">
      <c r="O13159" s="5" t="s">
        <v>355</v>
      </c>
      <c r="P13159" s="5" t="s">
        <v>355</v>
      </c>
      <c r="Q13159" s="5" t="s">
        <v>355</v>
      </c>
    </row>
    <row r="13160" ht="16.5" customHeight="1">
      <c r="O13160" s="5" t="s">
        <v>355</v>
      </c>
      <c r="P13160" s="5" t="s">
        <v>355</v>
      </c>
      <c r="Q13160" s="5" t="s">
        <v>355</v>
      </c>
    </row>
    <row r="13161" ht="16.5" customHeight="1">
      <c r="O13161" s="5" t="s">
        <v>355</v>
      </c>
      <c r="P13161" s="5" t="s">
        <v>355</v>
      </c>
      <c r="Q13161" s="5" t="s">
        <v>355</v>
      </c>
    </row>
    <row r="13162" ht="16.5" customHeight="1">
      <c r="O13162" s="5" t="s">
        <v>355</v>
      </c>
      <c r="P13162" s="5" t="s">
        <v>355</v>
      </c>
      <c r="Q13162" s="5" t="s">
        <v>355</v>
      </c>
    </row>
    <row r="13163" ht="16.5" customHeight="1">
      <c r="O13163" s="5" t="s">
        <v>355</v>
      </c>
      <c r="P13163" s="5" t="s">
        <v>355</v>
      </c>
      <c r="Q13163" s="5" t="s">
        <v>355</v>
      </c>
    </row>
    <row r="13164" ht="16.5" customHeight="1">
      <c r="O13164" s="5" t="s">
        <v>355</v>
      </c>
      <c r="P13164" s="5" t="s">
        <v>355</v>
      </c>
      <c r="Q13164" s="5" t="s">
        <v>355</v>
      </c>
    </row>
    <row r="13165" ht="16.5" customHeight="1">
      <c r="O13165" s="5" t="s">
        <v>355</v>
      </c>
      <c r="P13165" s="5" t="s">
        <v>355</v>
      </c>
      <c r="Q13165" s="5" t="s">
        <v>355</v>
      </c>
    </row>
    <row r="13166" ht="16.5" customHeight="1">
      <c r="O13166" s="5" t="s">
        <v>355</v>
      </c>
      <c r="P13166" s="5" t="s">
        <v>355</v>
      </c>
      <c r="Q13166" s="5" t="s">
        <v>355</v>
      </c>
    </row>
    <row r="13167" ht="16.5" customHeight="1">
      <c r="O13167" s="5" t="s">
        <v>355</v>
      </c>
      <c r="P13167" s="5" t="s">
        <v>355</v>
      </c>
      <c r="Q13167" s="5" t="s">
        <v>355</v>
      </c>
    </row>
    <row r="13168" ht="16.5" customHeight="1">
      <c r="O13168" s="5" t="s">
        <v>355</v>
      </c>
      <c r="P13168" s="5" t="s">
        <v>355</v>
      </c>
      <c r="Q13168" s="5" t="s">
        <v>355</v>
      </c>
    </row>
    <row r="13169" ht="16.5" customHeight="1">
      <c r="O13169" s="5" t="s">
        <v>355</v>
      </c>
      <c r="P13169" s="5" t="s">
        <v>355</v>
      </c>
      <c r="Q13169" s="5" t="s">
        <v>355</v>
      </c>
    </row>
    <row r="13170" ht="16.5" customHeight="1">
      <c r="O13170" s="5" t="s">
        <v>355</v>
      </c>
      <c r="P13170" s="5" t="s">
        <v>355</v>
      </c>
      <c r="Q13170" s="5" t="s">
        <v>355</v>
      </c>
    </row>
    <row r="13171" ht="16.5" customHeight="1">
      <c r="O13171" s="5" t="s">
        <v>355</v>
      </c>
      <c r="P13171" s="5" t="s">
        <v>355</v>
      </c>
      <c r="Q13171" s="5" t="s">
        <v>355</v>
      </c>
    </row>
    <row r="13172" ht="16.5" customHeight="1">
      <c r="O13172" s="5" t="s">
        <v>355</v>
      </c>
      <c r="P13172" s="5" t="s">
        <v>355</v>
      </c>
      <c r="Q13172" s="5" t="s">
        <v>355</v>
      </c>
    </row>
    <row r="13173" ht="16.5" customHeight="1">
      <c r="O13173" s="5" t="s">
        <v>355</v>
      </c>
      <c r="P13173" s="5" t="s">
        <v>355</v>
      </c>
      <c r="Q13173" s="5" t="s">
        <v>355</v>
      </c>
    </row>
    <row r="13174" ht="16.5" customHeight="1">
      <c r="O13174" s="5" t="s">
        <v>355</v>
      </c>
      <c r="P13174" s="5" t="s">
        <v>355</v>
      </c>
      <c r="Q13174" s="5" t="s">
        <v>355</v>
      </c>
    </row>
    <row r="13175" ht="16.5" customHeight="1">
      <c r="O13175" s="5" t="s">
        <v>355</v>
      </c>
      <c r="P13175" s="5" t="s">
        <v>355</v>
      </c>
      <c r="Q13175" s="5" t="s">
        <v>355</v>
      </c>
    </row>
    <row r="13176" ht="16.5" customHeight="1">
      <c r="O13176" s="5" t="s">
        <v>355</v>
      </c>
      <c r="P13176" s="5" t="s">
        <v>355</v>
      </c>
      <c r="Q13176" s="5" t="s">
        <v>355</v>
      </c>
    </row>
    <row r="13177" ht="16.5" customHeight="1">
      <c r="O13177" s="5" t="s">
        <v>355</v>
      </c>
      <c r="P13177" s="5" t="s">
        <v>355</v>
      </c>
      <c r="Q13177" s="5" t="s">
        <v>355</v>
      </c>
    </row>
    <row r="13178" ht="16.5" customHeight="1">
      <c r="O13178" s="5" t="s">
        <v>355</v>
      </c>
      <c r="P13178" s="5" t="s">
        <v>355</v>
      </c>
      <c r="Q13178" s="5" t="s">
        <v>355</v>
      </c>
    </row>
    <row r="13179" ht="16.5" customHeight="1">
      <c r="O13179" s="5" t="s">
        <v>355</v>
      </c>
      <c r="P13179" s="5" t="s">
        <v>355</v>
      </c>
      <c r="Q13179" s="5" t="s">
        <v>355</v>
      </c>
    </row>
    <row r="13180" ht="16.5" customHeight="1">
      <c r="O13180" s="5" t="s">
        <v>355</v>
      </c>
      <c r="P13180" s="5" t="s">
        <v>355</v>
      </c>
      <c r="Q13180" s="5" t="s">
        <v>355</v>
      </c>
    </row>
    <row r="13181" ht="16.5" customHeight="1">
      <c r="O13181" s="5" t="s">
        <v>355</v>
      </c>
      <c r="P13181" s="5" t="s">
        <v>355</v>
      </c>
      <c r="Q13181" s="5" t="s">
        <v>355</v>
      </c>
    </row>
    <row r="13182" ht="16.5" customHeight="1">
      <c r="O13182" s="5" t="s">
        <v>355</v>
      </c>
      <c r="P13182" s="5" t="s">
        <v>355</v>
      </c>
      <c r="Q13182" s="5" t="s">
        <v>355</v>
      </c>
    </row>
    <row r="13183" ht="16.5" customHeight="1">
      <c r="O13183" s="5" t="s">
        <v>355</v>
      </c>
      <c r="P13183" s="5" t="s">
        <v>355</v>
      </c>
      <c r="Q13183" s="5" t="s">
        <v>355</v>
      </c>
    </row>
    <row r="13184" ht="16.5" customHeight="1">
      <c r="O13184" s="5" t="s">
        <v>355</v>
      </c>
      <c r="P13184" s="5" t="s">
        <v>355</v>
      </c>
      <c r="Q13184" s="5" t="s">
        <v>355</v>
      </c>
    </row>
    <row r="13185" ht="16.5" customHeight="1">
      <c r="O13185" s="5" t="s">
        <v>355</v>
      </c>
      <c r="P13185" s="5" t="s">
        <v>355</v>
      </c>
      <c r="Q13185" s="5" t="s">
        <v>355</v>
      </c>
    </row>
    <row r="13186" ht="16.5" customHeight="1">
      <c r="O13186" s="5" t="s">
        <v>355</v>
      </c>
      <c r="P13186" s="5" t="s">
        <v>355</v>
      </c>
      <c r="Q13186" s="5" t="s">
        <v>355</v>
      </c>
    </row>
    <row r="13187" ht="16.5" customHeight="1">
      <c r="O13187" s="5" t="s">
        <v>355</v>
      </c>
      <c r="P13187" s="5" t="s">
        <v>355</v>
      </c>
      <c r="Q13187" s="5" t="s">
        <v>355</v>
      </c>
    </row>
    <row r="13188" ht="16.5" customHeight="1">
      <c r="O13188" s="5" t="s">
        <v>355</v>
      </c>
      <c r="P13188" s="5" t="s">
        <v>355</v>
      </c>
      <c r="Q13188" s="5" t="s">
        <v>355</v>
      </c>
    </row>
    <row r="13189" ht="16.5" customHeight="1">
      <c r="O13189" s="5" t="s">
        <v>355</v>
      </c>
      <c r="P13189" s="5" t="s">
        <v>355</v>
      </c>
      <c r="Q13189" s="5" t="s">
        <v>355</v>
      </c>
    </row>
    <row r="13190" ht="16.5" customHeight="1">
      <c r="O13190" s="5" t="s">
        <v>355</v>
      </c>
      <c r="P13190" s="5" t="s">
        <v>355</v>
      </c>
      <c r="Q13190" s="5" t="s">
        <v>355</v>
      </c>
    </row>
    <row r="13191" ht="16.5" customHeight="1">
      <c r="O13191" s="5" t="s">
        <v>355</v>
      </c>
      <c r="P13191" s="5" t="s">
        <v>355</v>
      </c>
      <c r="Q13191" s="5" t="s">
        <v>355</v>
      </c>
    </row>
    <row r="13192" ht="16.5" customHeight="1">
      <c r="O13192" s="5" t="s">
        <v>355</v>
      </c>
      <c r="P13192" s="5" t="s">
        <v>355</v>
      </c>
      <c r="Q13192" s="5" t="s">
        <v>355</v>
      </c>
    </row>
    <row r="13193" ht="16.5" customHeight="1">
      <c r="O13193" s="5" t="s">
        <v>355</v>
      </c>
      <c r="P13193" s="5" t="s">
        <v>355</v>
      </c>
      <c r="Q13193" s="5" t="s">
        <v>355</v>
      </c>
    </row>
    <row r="13194" ht="16.5" customHeight="1">
      <c r="O13194" s="5" t="s">
        <v>355</v>
      </c>
      <c r="P13194" s="5" t="s">
        <v>355</v>
      </c>
      <c r="Q13194" s="5" t="s">
        <v>355</v>
      </c>
    </row>
    <row r="13195" ht="16.5" customHeight="1">
      <c r="O13195" s="5" t="s">
        <v>355</v>
      </c>
      <c r="P13195" s="5" t="s">
        <v>355</v>
      </c>
      <c r="Q13195" s="5" t="s">
        <v>355</v>
      </c>
    </row>
    <row r="13196" ht="16.5" customHeight="1">
      <c r="O13196" s="5" t="s">
        <v>355</v>
      </c>
      <c r="P13196" s="5" t="s">
        <v>355</v>
      </c>
      <c r="Q13196" s="5" t="s">
        <v>355</v>
      </c>
    </row>
    <row r="13197" ht="16.5" customHeight="1">
      <c r="O13197" s="5" t="s">
        <v>355</v>
      </c>
      <c r="P13197" s="5" t="s">
        <v>355</v>
      </c>
      <c r="Q13197" s="5" t="s">
        <v>355</v>
      </c>
    </row>
    <row r="13198" ht="16.5" customHeight="1">
      <c r="O13198" s="5" t="s">
        <v>355</v>
      </c>
      <c r="P13198" s="5" t="s">
        <v>355</v>
      </c>
      <c r="Q13198" s="5" t="s">
        <v>355</v>
      </c>
    </row>
    <row r="13199" ht="16.5" customHeight="1">
      <c r="O13199" s="5" t="s">
        <v>355</v>
      </c>
      <c r="P13199" s="5" t="s">
        <v>355</v>
      </c>
      <c r="Q13199" s="5" t="s">
        <v>355</v>
      </c>
    </row>
    <row r="13200" ht="16.5" customHeight="1">
      <c r="O13200" s="5" t="s">
        <v>355</v>
      </c>
      <c r="P13200" s="5" t="s">
        <v>355</v>
      </c>
      <c r="Q13200" s="5" t="s">
        <v>355</v>
      </c>
    </row>
    <row r="13201" ht="16.5" customHeight="1">
      <c r="O13201" s="5" t="s">
        <v>355</v>
      </c>
      <c r="P13201" s="5" t="s">
        <v>355</v>
      </c>
      <c r="Q13201" s="5" t="s">
        <v>355</v>
      </c>
    </row>
    <row r="13202" ht="16.5" customHeight="1">
      <c r="O13202" s="5" t="s">
        <v>355</v>
      </c>
      <c r="P13202" s="5" t="s">
        <v>355</v>
      </c>
      <c r="Q13202" s="5" t="s">
        <v>355</v>
      </c>
    </row>
    <row r="13203" ht="16.5" customHeight="1">
      <c r="O13203" s="5" t="s">
        <v>355</v>
      </c>
      <c r="P13203" s="5" t="s">
        <v>355</v>
      </c>
      <c r="Q13203" s="5" t="s">
        <v>355</v>
      </c>
    </row>
    <row r="13204" ht="16.5" customHeight="1">
      <c r="O13204" s="5" t="s">
        <v>355</v>
      </c>
      <c r="P13204" s="5" t="s">
        <v>355</v>
      </c>
      <c r="Q13204" s="5" t="s">
        <v>355</v>
      </c>
    </row>
    <row r="13205" ht="16.5" customHeight="1">
      <c r="O13205" s="5" t="s">
        <v>355</v>
      </c>
      <c r="P13205" s="5" t="s">
        <v>355</v>
      </c>
      <c r="Q13205" s="5" t="s">
        <v>355</v>
      </c>
    </row>
    <row r="13206" ht="16.5" customHeight="1">
      <c r="O13206" s="5" t="s">
        <v>355</v>
      </c>
      <c r="P13206" s="5" t="s">
        <v>355</v>
      </c>
      <c r="Q13206" s="5" t="s">
        <v>355</v>
      </c>
    </row>
    <row r="13207" ht="16.5" customHeight="1">
      <c r="O13207" s="5" t="s">
        <v>355</v>
      </c>
      <c r="P13207" s="5" t="s">
        <v>355</v>
      </c>
      <c r="Q13207" s="5" t="s">
        <v>355</v>
      </c>
    </row>
    <row r="13208" ht="16.5" customHeight="1">
      <c r="O13208" s="5" t="s">
        <v>355</v>
      </c>
      <c r="P13208" s="5" t="s">
        <v>355</v>
      </c>
      <c r="Q13208" s="5" t="s">
        <v>355</v>
      </c>
    </row>
    <row r="13209" ht="16.5" customHeight="1">
      <c r="O13209" s="5" t="s">
        <v>355</v>
      </c>
      <c r="P13209" s="5" t="s">
        <v>355</v>
      </c>
      <c r="Q13209" s="5" t="s">
        <v>355</v>
      </c>
    </row>
    <row r="13210" ht="16.5" customHeight="1">
      <c r="O13210" s="5" t="s">
        <v>355</v>
      </c>
      <c r="P13210" s="5" t="s">
        <v>355</v>
      </c>
      <c r="Q13210" s="5" t="s">
        <v>355</v>
      </c>
    </row>
    <row r="13211" ht="16.5" customHeight="1">
      <c r="O13211" s="5" t="s">
        <v>355</v>
      </c>
      <c r="P13211" s="5" t="s">
        <v>355</v>
      </c>
      <c r="Q13211" s="5" t="s">
        <v>355</v>
      </c>
    </row>
    <row r="13212" ht="16.5" customHeight="1">
      <c r="O13212" s="5" t="s">
        <v>355</v>
      </c>
      <c r="P13212" s="5" t="s">
        <v>355</v>
      </c>
      <c r="Q13212" s="5" t="s">
        <v>355</v>
      </c>
    </row>
    <row r="13213" ht="16.5" customHeight="1">
      <c r="O13213" s="5" t="s">
        <v>355</v>
      </c>
      <c r="P13213" s="5" t="s">
        <v>355</v>
      </c>
      <c r="Q13213" s="5" t="s">
        <v>355</v>
      </c>
    </row>
    <row r="13214" ht="16.5" customHeight="1">
      <c r="O13214" s="5" t="s">
        <v>355</v>
      </c>
      <c r="P13214" s="5" t="s">
        <v>355</v>
      </c>
      <c r="Q13214" s="5" t="s">
        <v>355</v>
      </c>
    </row>
    <row r="13215" ht="16.5" customHeight="1">
      <c r="O13215" s="5" t="s">
        <v>355</v>
      </c>
      <c r="P13215" s="5" t="s">
        <v>355</v>
      </c>
      <c r="Q13215" s="5" t="s">
        <v>355</v>
      </c>
    </row>
    <row r="13216" ht="16.5" customHeight="1">
      <c r="O13216" s="5" t="s">
        <v>355</v>
      </c>
      <c r="P13216" s="5" t="s">
        <v>355</v>
      </c>
      <c r="Q13216" s="5" t="s">
        <v>355</v>
      </c>
    </row>
    <row r="13217" ht="16.5" customHeight="1">
      <c r="O13217" s="5" t="s">
        <v>355</v>
      </c>
      <c r="P13217" s="5" t="s">
        <v>355</v>
      </c>
      <c r="Q13217" s="5" t="s">
        <v>355</v>
      </c>
    </row>
    <row r="13218" ht="16.5" customHeight="1">
      <c r="O13218" s="5" t="s">
        <v>355</v>
      </c>
      <c r="P13218" s="5" t="s">
        <v>355</v>
      </c>
      <c r="Q13218" s="5" t="s">
        <v>355</v>
      </c>
    </row>
    <row r="13219" ht="16.5" customHeight="1">
      <c r="O13219" s="5" t="s">
        <v>355</v>
      </c>
      <c r="P13219" s="5" t="s">
        <v>355</v>
      </c>
      <c r="Q13219" s="5" t="s">
        <v>355</v>
      </c>
    </row>
    <row r="13220" ht="16.5" customHeight="1">
      <c r="O13220" s="5" t="s">
        <v>355</v>
      </c>
      <c r="P13220" s="5" t="s">
        <v>355</v>
      </c>
      <c r="Q13220" s="5" t="s">
        <v>355</v>
      </c>
    </row>
    <row r="13221" ht="16.5" customHeight="1">
      <c r="O13221" s="5" t="s">
        <v>355</v>
      </c>
      <c r="P13221" s="5" t="s">
        <v>355</v>
      </c>
      <c r="Q13221" s="5" t="s">
        <v>355</v>
      </c>
    </row>
    <row r="13222" ht="16.5" customHeight="1">
      <c r="O13222" s="5" t="s">
        <v>355</v>
      </c>
      <c r="P13222" s="5" t="s">
        <v>355</v>
      </c>
      <c r="Q13222" s="5" t="s">
        <v>355</v>
      </c>
    </row>
    <row r="13223" ht="16.5" customHeight="1">
      <c r="O13223" s="5" t="s">
        <v>355</v>
      </c>
      <c r="P13223" s="5" t="s">
        <v>355</v>
      </c>
      <c r="Q13223" s="5" t="s">
        <v>355</v>
      </c>
    </row>
    <row r="13224" ht="16.5" customHeight="1">
      <c r="O13224" s="5" t="s">
        <v>355</v>
      </c>
      <c r="P13224" s="5" t="s">
        <v>355</v>
      </c>
      <c r="Q13224" s="5" t="s">
        <v>355</v>
      </c>
    </row>
    <row r="13225" ht="16.5" customHeight="1">
      <c r="O13225" s="5" t="s">
        <v>355</v>
      </c>
      <c r="P13225" s="5" t="s">
        <v>355</v>
      </c>
      <c r="Q13225" s="5" t="s">
        <v>355</v>
      </c>
    </row>
    <row r="13226" ht="16.5" customHeight="1">
      <c r="O13226" s="5" t="s">
        <v>355</v>
      </c>
      <c r="P13226" s="5" t="s">
        <v>355</v>
      </c>
      <c r="Q13226" s="5" t="s">
        <v>355</v>
      </c>
    </row>
    <row r="13227" ht="16.5" customHeight="1">
      <c r="O13227" s="5" t="s">
        <v>355</v>
      </c>
      <c r="P13227" s="5" t="s">
        <v>355</v>
      </c>
      <c r="Q13227" s="5" t="s">
        <v>355</v>
      </c>
    </row>
    <row r="13228" ht="16.5" customHeight="1">
      <c r="O13228" s="5" t="s">
        <v>355</v>
      </c>
      <c r="P13228" s="5" t="s">
        <v>355</v>
      </c>
      <c r="Q13228" s="5" t="s">
        <v>355</v>
      </c>
    </row>
    <row r="13229" ht="16.5" customHeight="1">
      <c r="O13229" s="5" t="s">
        <v>355</v>
      </c>
      <c r="P13229" s="5" t="s">
        <v>355</v>
      </c>
      <c r="Q13229" s="5" t="s">
        <v>355</v>
      </c>
    </row>
    <row r="13230" ht="16.5" customHeight="1">
      <c r="O13230" s="5" t="s">
        <v>355</v>
      </c>
      <c r="P13230" s="5" t="s">
        <v>355</v>
      </c>
      <c r="Q13230" s="5" t="s">
        <v>355</v>
      </c>
    </row>
    <row r="13231" ht="16.5" customHeight="1">
      <c r="O13231" s="5" t="s">
        <v>355</v>
      </c>
      <c r="P13231" s="5" t="s">
        <v>355</v>
      </c>
      <c r="Q13231" s="5" t="s">
        <v>355</v>
      </c>
    </row>
    <row r="13232" ht="16.5" customHeight="1">
      <c r="O13232" s="5" t="s">
        <v>355</v>
      </c>
      <c r="P13232" s="5" t="s">
        <v>355</v>
      </c>
      <c r="Q13232" s="5" t="s">
        <v>355</v>
      </c>
    </row>
    <row r="13233" ht="16.5" customHeight="1">
      <c r="O13233" s="5" t="s">
        <v>355</v>
      </c>
      <c r="P13233" s="5" t="s">
        <v>355</v>
      </c>
      <c r="Q13233" s="5" t="s">
        <v>355</v>
      </c>
    </row>
    <row r="13234" ht="16.5" customHeight="1">
      <c r="O13234" s="5" t="s">
        <v>355</v>
      </c>
      <c r="P13234" s="5" t="s">
        <v>355</v>
      </c>
      <c r="Q13234" s="5" t="s">
        <v>355</v>
      </c>
    </row>
    <row r="13235" ht="16.5" customHeight="1">
      <c r="O13235" s="5" t="s">
        <v>355</v>
      </c>
      <c r="P13235" s="5" t="s">
        <v>355</v>
      </c>
      <c r="Q13235" s="5" t="s">
        <v>355</v>
      </c>
    </row>
    <row r="13236" ht="16.5" customHeight="1">
      <c r="O13236" s="5" t="s">
        <v>355</v>
      </c>
      <c r="P13236" s="5" t="s">
        <v>355</v>
      </c>
      <c r="Q13236" s="5" t="s">
        <v>355</v>
      </c>
    </row>
    <row r="13237" ht="16.5" customHeight="1">
      <c r="O13237" s="5" t="s">
        <v>355</v>
      </c>
      <c r="P13237" s="5" t="s">
        <v>355</v>
      </c>
      <c r="Q13237" s="5" t="s">
        <v>355</v>
      </c>
    </row>
    <row r="13238" ht="16.5" customHeight="1">
      <c r="O13238" s="5" t="s">
        <v>355</v>
      </c>
      <c r="P13238" s="5" t="s">
        <v>355</v>
      </c>
      <c r="Q13238" s="5" t="s">
        <v>355</v>
      </c>
    </row>
    <row r="13239" ht="16.5" customHeight="1">
      <c r="O13239" s="5" t="s">
        <v>355</v>
      </c>
      <c r="P13239" s="5" t="s">
        <v>355</v>
      </c>
      <c r="Q13239" s="5" t="s">
        <v>355</v>
      </c>
    </row>
    <row r="13240" ht="16.5" customHeight="1">
      <c r="O13240" s="5" t="s">
        <v>355</v>
      </c>
      <c r="P13240" s="5" t="s">
        <v>355</v>
      </c>
      <c r="Q13240" s="5" t="s">
        <v>355</v>
      </c>
    </row>
    <row r="13241" ht="16.5" customHeight="1">
      <c r="O13241" s="5" t="s">
        <v>355</v>
      </c>
      <c r="P13241" s="5" t="s">
        <v>355</v>
      </c>
      <c r="Q13241" s="5" t="s">
        <v>355</v>
      </c>
    </row>
    <row r="13242" ht="16.5" customHeight="1">
      <c r="O13242" s="5" t="s">
        <v>355</v>
      </c>
      <c r="P13242" s="5" t="s">
        <v>355</v>
      </c>
      <c r="Q13242" s="5" t="s">
        <v>355</v>
      </c>
    </row>
    <row r="13243" ht="16.5" customHeight="1">
      <c r="O13243" s="5" t="s">
        <v>355</v>
      </c>
      <c r="P13243" s="5" t="s">
        <v>355</v>
      </c>
      <c r="Q13243" s="5" t="s">
        <v>355</v>
      </c>
    </row>
    <row r="13244" ht="16.5" customHeight="1">
      <c r="O13244" s="5" t="s">
        <v>355</v>
      </c>
      <c r="P13244" s="5" t="s">
        <v>355</v>
      </c>
      <c r="Q13244" s="5" t="s">
        <v>355</v>
      </c>
    </row>
    <row r="13245" ht="16.5" customHeight="1">
      <c r="O13245" s="5" t="s">
        <v>355</v>
      </c>
      <c r="P13245" s="5" t="s">
        <v>355</v>
      </c>
      <c r="Q13245" s="5" t="s">
        <v>355</v>
      </c>
    </row>
    <row r="13246" ht="16.5" customHeight="1">
      <c r="O13246" s="5" t="s">
        <v>355</v>
      </c>
      <c r="P13246" s="5" t="s">
        <v>355</v>
      </c>
      <c r="Q13246" s="5" t="s">
        <v>355</v>
      </c>
    </row>
    <row r="13247" ht="16.5" customHeight="1">
      <c r="O13247" s="5" t="s">
        <v>355</v>
      </c>
      <c r="P13247" s="5" t="s">
        <v>355</v>
      </c>
      <c r="Q13247" s="5" t="s">
        <v>355</v>
      </c>
    </row>
    <row r="13248" ht="16.5" customHeight="1">
      <c r="O13248" s="5" t="s">
        <v>355</v>
      </c>
      <c r="P13248" s="5" t="s">
        <v>355</v>
      </c>
      <c r="Q13248" s="5" t="s">
        <v>355</v>
      </c>
    </row>
    <row r="13249" ht="16.5" customHeight="1">
      <c r="O13249" s="5" t="s">
        <v>355</v>
      </c>
      <c r="P13249" s="5" t="s">
        <v>355</v>
      </c>
      <c r="Q13249" s="5" t="s">
        <v>355</v>
      </c>
    </row>
    <row r="13250" ht="16.5" customHeight="1">
      <c r="O13250" s="5" t="s">
        <v>355</v>
      </c>
      <c r="P13250" s="5" t="s">
        <v>355</v>
      </c>
      <c r="Q13250" s="5" t="s">
        <v>355</v>
      </c>
    </row>
    <row r="13251" ht="16.5" customHeight="1">
      <c r="O13251" s="5" t="s">
        <v>355</v>
      </c>
      <c r="P13251" s="5" t="s">
        <v>355</v>
      </c>
      <c r="Q13251" s="5" t="s">
        <v>355</v>
      </c>
    </row>
    <row r="13252" ht="16.5" customHeight="1">
      <c r="O13252" s="5" t="s">
        <v>355</v>
      </c>
      <c r="P13252" s="5" t="s">
        <v>355</v>
      </c>
      <c r="Q13252" s="5" t="s">
        <v>355</v>
      </c>
    </row>
    <row r="13253" ht="16.5" customHeight="1">
      <c r="O13253" s="5" t="s">
        <v>355</v>
      </c>
      <c r="P13253" s="5" t="s">
        <v>355</v>
      </c>
      <c r="Q13253" s="5" t="s">
        <v>355</v>
      </c>
    </row>
    <row r="13254" ht="16.5" customHeight="1">
      <c r="O13254" s="5" t="s">
        <v>355</v>
      </c>
      <c r="P13254" s="5" t="s">
        <v>355</v>
      </c>
      <c r="Q13254" s="5" t="s">
        <v>355</v>
      </c>
    </row>
    <row r="13255" ht="16.5" customHeight="1">
      <c r="O13255" s="5" t="s">
        <v>355</v>
      </c>
      <c r="P13255" s="5" t="s">
        <v>355</v>
      </c>
      <c r="Q13255" s="5" t="s">
        <v>355</v>
      </c>
    </row>
    <row r="13256" ht="16.5" customHeight="1">
      <c r="O13256" s="5" t="s">
        <v>355</v>
      </c>
      <c r="P13256" s="5" t="s">
        <v>355</v>
      </c>
      <c r="Q13256" s="5" t="s">
        <v>355</v>
      </c>
    </row>
    <row r="13257" ht="16.5" customHeight="1">
      <c r="O13257" s="5" t="s">
        <v>355</v>
      </c>
      <c r="P13257" s="5" t="s">
        <v>355</v>
      </c>
      <c r="Q13257" s="5" t="s">
        <v>355</v>
      </c>
    </row>
    <row r="13258" ht="16.5" customHeight="1">
      <c r="O13258" s="5" t="s">
        <v>355</v>
      </c>
      <c r="P13258" s="5" t="s">
        <v>355</v>
      </c>
      <c r="Q13258" s="5" t="s">
        <v>355</v>
      </c>
    </row>
    <row r="13259" ht="16.5" customHeight="1">
      <c r="O13259" s="5" t="s">
        <v>355</v>
      </c>
      <c r="P13259" s="5" t="s">
        <v>355</v>
      </c>
      <c r="Q13259" s="5" t="s">
        <v>355</v>
      </c>
    </row>
    <row r="13260" ht="16.5" customHeight="1">
      <c r="O13260" s="5" t="s">
        <v>355</v>
      </c>
      <c r="P13260" s="5" t="s">
        <v>355</v>
      </c>
      <c r="Q13260" s="5" t="s">
        <v>355</v>
      </c>
    </row>
    <row r="13261" ht="16.5" customHeight="1">
      <c r="O13261" s="5" t="s">
        <v>355</v>
      </c>
      <c r="P13261" s="5" t="s">
        <v>355</v>
      </c>
      <c r="Q13261" s="5" t="s">
        <v>355</v>
      </c>
    </row>
    <row r="13262" ht="16.5" customHeight="1">
      <c r="O13262" s="5" t="s">
        <v>355</v>
      </c>
      <c r="P13262" s="5" t="s">
        <v>355</v>
      </c>
      <c r="Q13262" s="5" t="s">
        <v>355</v>
      </c>
    </row>
    <row r="13263" ht="16.5" customHeight="1">
      <c r="O13263" s="5" t="s">
        <v>355</v>
      </c>
      <c r="P13263" s="5" t="s">
        <v>355</v>
      </c>
      <c r="Q13263" s="5" t="s">
        <v>355</v>
      </c>
    </row>
    <row r="13264" ht="16.5" customHeight="1">
      <c r="O13264" s="5" t="s">
        <v>355</v>
      </c>
      <c r="P13264" s="5" t="s">
        <v>355</v>
      </c>
      <c r="Q13264" s="5" t="s">
        <v>355</v>
      </c>
    </row>
    <row r="13265" ht="16.5" customHeight="1">
      <c r="O13265" s="5" t="s">
        <v>355</v>
      </c>
      <c r="P13265" s="5" t="s">
        <v>355</v>
      </c>
      <c r="Q13265" s="5" t="s">
        <v>355</v>
      </c>
    </row>
    <row r="13266" ht="16.5" customHeight="1">
      <c r="O13266" s="5" t="s">
        <v>355</v>
      </c>
      <c r="P13266" s="5" t="s">
        <v>355</v>
      </c>
      <c r="Q13266" s="5" t="s">
        <v>355</v>
      </c>
    </row>
    <row r="13267" ht="16.5" customHeight="1">
      <c r="O13267" s="5" t="s">
        <v>355</v>
      </c>
      <c r="P13267" s="5" t="s">
        <v>355</v>
      </c>
      <c r="Q13267" s="5" t="s">
        <v>355</v>
      </c>
    </row>
    <row r="13268" ht="16.5" customHeight="1">
      <c r="O13268" s="5" t="s">
        <v>355</v>
      </c>
      <c r="P13268" s="5" t="s">
        <v>355</v>
      </c>
      <c r="Q13268" s="5" t="s">
        <v>355</v>
      </c>
    </row>
    <row r="13269" ht="16.5" customHeight="1">
      <c r="O13269" s="5" t="s">
        <v>355</v>
      </c>
      <c r="P13269" s="5" t="s">
        <v>355</v>
      </c>
      <c r="Q13269" s="5" t="s">
        <v>355</v>
      </c>
    </row>
    <row r="13270" ht="16.5" customHeight="1">
      <c r="O13270" s="5" t="s">
        <v>355</v>
      </c>
      <c r="P13270" s="5" t="s">
        <v>355</v>
      </c>
      <c r="Q13270" s="5" t="s">
        <v>355</v>
      </c>
    </row>
    <row r="13271" ht="16.5" customHeight="1">
      <c r="O13271" s="5" t="s">
        <v>355</v>
      </c>
      <c r="P13271" s="5" t="s">
        <v>355</v>
      </c>
      <c r="Q13271" s="5" t="s">
        <v>355</v>
      </c>
    </row>
    <row r="13272" ht="16.5" customHeight="1">
      <c r="O13272" s="5" t="s">
        <v>355</v>
      </c>
      <c r="P13272" s="5" t="s">
        <v>355</v>
      </c>
      <c r="Q13272" s="5" t="s">
        <v>355</v>
      </c>
    </row>
    <row r="13273" ht="16.5" customHeight="1">
      <c r="O13273" s="5" t="s">
        <v>355</v>
      </c>
      <c r="P13273" s="5" t="s">
        <v>355</v>
      </c>
      <c r="Q13273" s="5" t="s">
        <v>355</v>
      </c>
    </row>
    <row r="13274" ht="16.5" customHeight="1">
      <c r="O13274" s="5" t="s">
        <v>355</v>
      </c>
      <c r="P13274" s="5" t="s">
        <v>355</v>
      </c>
      <c r="Q13274" s="5" t="s">
        <v>355</v>
      </c>
    </row>
    <row r="13275" ht="16.5" customHeight="1">
      <c r="O13275" s="5" t="s">
        <v>355</v>
      </c>
      <c r="P13275" s="5" t="s">
        <v>355</v>
      </c>
      <c r="Q13275" s="5" t="s">
        <v>355</v>
      </c>
    </row>
    <row r="13276" ht="16.5" customHeight="1">
      <c r="O13276" s="5" t="s">
        <v>355</v>
      </c>
      <c r="P13276" s="5" t="s">
        <v>355</v>
      </c>
      <c r="Q13276" s="5" t="s">
        <v>355</v>
      </c>
    </row>
    <row r="13277" ht="16.5" customHeight="1">
      <c r="O13277" s="5" t="s">
        <v>355</v>
      </c>
      <c r="P13277" s="5" t="s">
        <v>355</v>
      </c>
      <c r="Q13277" s="5" t="s">
        <v>355</v>
      </c>
    </row>
    <row r="13278" ht="16.5" customHeight="1">
      <c r="O13278" s="5" t="s">
        <v>355</v>
      </c>
      <c r="P13278" s="5" t="s">
        <v>355</v>
      </c>
      <c r="Q13278" s="5" t="s">
        <v>355</v>
      </c>
    </row>
    <row r="13279" ht="16.5" customHeight="1">
      <c r="O13279" s="5" t="s">
        <v>355</v>
      </c>
      <c r="P13279" s="5" t="s">
        <v>355</v>
      </c>
      <c r="Q13279" s="5" t="s">
        <v>355</v>
      </c>
    </row>
    <row r="13280" ht="16.5" customHeight="1">
      <c r="O13280" s="5" t="s">
        <v>355</v>
      </c>
      <c r="P13280" s="5" t="s">
        <v>355</v>
      </c>
      <c r="Q13280" s="5" t="s">
        <v>355</v>
      </c>
    </row>
    <row r="13281" ht="16.5" customHeight="1">
      <c r="O13281" s="5" t="s">
        <v>355</v>
      </c>
      <c r="P13281" s="5" t="s">
        <v>355</v>
      </c>
      <c r="Q13281" s="5" t="s">
        <v>355</v>
      </c>
    </row>
    <row r="13282" ht="16.5" customHeight="1">
      <c r="O13282" s="5" t="s">
        <v>355</v>
      </c>
      <c r="P13282" s="5" t="s">
        <v>355</v>
      </c>
      <c r="Q13282" s="5" t="s">
        <v>355</v>
      </c>
    </row>
    <row r="13283" ht="16.5" customHeight="1">
      <c r="O13283" s="5" t="s">
        <v>355</v>
      </c>
      <c r="P13283" s="5" t="s">
        <v>355</v>
      </c>
      <c r="Q13283" s="5" t="s">
        <v>355</v>
      </c>
    </row>
    <row r="13284" ht="16.5" customHeight="1">
      <c r="O13284" s="5" t="s">
        <v>355</v>
      </c>
      <c r="P13284" s="5" t="s">
        <v>355</v>
      </c>
      <c r="Q13284" s="5" t="s">
        <v>355</v>
      </c>
    </row>
    <row r="13285" ht="16.5" customHeight="1">
      <c r="O13285" s="5" t="s">
        <v>355</v>
      </c>
      <c r="P13285" s="5" t="s">
        <v>355</v>
      </c>
      <c r="Q13285" s="5" t="s">
        <v>355</v>
      </c>
    </row>
    <row r="13286" ht="16.5" customHeight="1">
      <c r="O13286" s="5" t="s">
        <v>355</v>
      </c>
      <c r="P13286" s="5" t="s">
        <v>355</v>
      </c>
      <c r="Q13286" s="5" t="s">
        <v>355</v>
      </c>
    </row>
    <row r="13287" ht="16.5" customHeight="1">
      <c r="O13287" s="5" t="s">
        <v>355</v>
      </c>
      <c r="P13287" s="5" t="s">
        <v>355</v>
      </c>
      <c r="Q13287" s="5" t="s">
        <v>355</v>
      </c>
    </row>
    <row r="13288" ht="16.5" customHeight="1">
      <c r="O13288" s="5" t="s">
        <v>355</v>
      </c>
      <c r="P13288" s="5" t="s">
        <v>355</v>
      </c>
      <c r="Q13288" s="5" t="s">
        <v>355</v>
      </c>
    </row>
    <row r="13289" ht="16.5" customHeight="1">
      <c r="O13289" s="5" t="s">
        <v>355</v>
      </c>
      <c r="P13289" s="5" t="s">
        <v>355</v>
      </c>
      <c r="Q13289" s="5" t="s">
        <v>355</v>
      </c>
    </row>
    <row r="13290" ht="16.5" customHeight="1">
      <c r="O13290" s="5" t="s">
        <v>355</v>
      </c>
      <c r="P13290" s="5" t="s">
        <v>355</v>
      </c>
      <c r="Q13290" s="5" t="s">
        <v>355</v>
      </c>
    </row>
    <row r="13291" ht="16.5" customHeight="1">
      <c r="O13291" s="5" t="s">
        <v>355</v>
      </c>
      <c r="P13291" s="5" t="s">
        <v>355</v>
      </c>
      <c r="Q13291" s="5" t="s">
        <v>355</v>
      </c>
    </row>
    <row r="13292" ht="16.5" customHeight="1">
      <c r="O13292" s="5" t="s">
        <v>355</v>
      </c>
      <c r="P13292" s="5" t="s">
        <v>355</v>
      </c>
      <c r="Q13292" s="5" t="s">
        <v>355</v>
      </c>
    </row>
    <row r="13293" ht="16.5" customHeight="1">
      <c r="O13293" s="5" t="s">
        <v>355</v>
      </c>
      <c r="P13293" s="5" t="s">
        <v>355</v>
      </c>
      <c r="Q13293" s="5" t="s">
        <v>355</v>
      </c>
    </row>
    <row r="13294" ht="16.5" customHeight="1">
      <c r="O13294" s="5" t="s">
        <v>355</v>
      </c>
      <c r="P13294" s="5" t="s">
        <v>355</v>
      </c>
      <c r="Q13294" s="5" t="s">
        <v>355</v>
      </c>
    </row>
    <row r="13295" ht="16.5" customHeight="1">
      <c r="O13295" s="5" t="s">
        <v>355</v>
      </c>
      <c r="P13295" s="5" t="s">
        <v>355</v>
      </c>
      <c r="Q13295" s="5" t="s">
        <v>355</v>
      </c>
    </row>
    <row r="13296" ht="16.5" customHeight="1">
      <c r="O13296" s="5" t="s">
        <v>355</v>
      </c>
      <c r="P13296" s="5" t="s">
        <v>355</v>
      </c>
      <c r="Q13296" s="5" t="s">
        <v>355</v>
      </c>
    </row>
    <row r="13297" ht="16.5" customHeight="1">
      <c r="O13297" s="5" t="s">
        <v>355</v>
      </c>
      <c r="P13297" s="5" t="s">
        <v>355</v>
      </c>
      <c r="Q13297" s="5" t="s">
        <v>355</v>
      </c>
    </row>
    <row r="13298" ht="16.5" customHeight="1">
      <c r="O13298" s="5" t="s">
        <v>355</v>
      </c>
      <c r="P13298" s="5" t="s">
        <v>355</v>
      </c>
      <c r="Q13298" s="5" t="s">
        <v>355</v>
      </c>
    </row>
    <row r="13299" ht="16.5" customHeight="1">
      <c r="O13299" s="5" t="s">
        <v>355</v>
      </c>
      <c r="P13299" s="5" t="s">
        <v>355</v>
      </c>
      <c r="Q13299" s="5" t="s">
        <v>355</v>
      </c>
    </row>
    <row r="13300" ht="16.5" customHeight="1">
      <c r="O13300" s="5" t="s">
        <v>355</v>
      </c>
      <c r="P13300" s="5" t="s">
        <v>355</v>
      </c>
      <c r="Q13300" s="5" t="s">
        <v>355</v>
      </c>
    </row>
    <row r="13301" ht="16.5" customHeight="1">
      <c r="O13301" s="5" t="s">
        <v>355</v>
      </c>
      <c r="P13301" s="5" t="s">
        <v>355</v>
      </c>
      <c r="Q13301" s="5" t="s">
        <v>355</v>
      </c>
    </row>
    <row r="13302" ht="16.5" customHeight="1">
      <c r="O13302" s="5" t="s">
        <v>355</v>
      </c>
      <c r="P13302" s="5" t="s">
        <v>355</v>
      </c>
      <c r="Q13302" s="5" t="s">
        <v>355</v>
      </c>
    </row>
    <row r="13303" ht="16.5" customHeight="1">
      <c r="O13303" s="5" t="s">
        <v>355</v>
      </c>
      <c r="P13303" s="5" t="s">
        <v>355</v>
      </c>
      <c r="Q13303" s="5" t="s">
        <v>355</v>
      </c>
    </row>
    <row r="13304" ht="16.5" customHeight="1">
      <c r="O13304" s="5" t="s">
        <v>355</v>
      </c>
      <c r="P13304" s="5" t="s">
        <v>355</v>
      </c>
      <c r="Q13304" s="5" t="s">
        <v>355</v>
      </c>
    </row>
    <row r="13305" ht="16.5" customHeight="1">
      <c r="O13305" s="5" t="s">
        <v>355</v>
      </c>
      <c r="P13305" s="5" t="s">
        <v>355</v>
      </c>
      <c r="Q13305" s="5" t="s">
        <v>355</v>
      </c>
    </row>
    <row r="13306" ht="16.5" customHeight="1">
      <c r="O13306" s="5" t="s">
        <v>355</v>
      </c>
      <c r="P13306" s="5" t="s">
        <v>355</v>
      </c>
      <c r="Q13306" s="5" t="s">
        <v>355</v>
      </c>
    </row>
    <row r="13307" ht="16.5" customHeight="1">
      <c r="O13307" s="5" t="s">
        <v>355</v>
      </c>
      <c r="P13307" s="5" t="s">
        <v>355</v>
      </c>
      <c r="Q13307" s="5" t="s">
        <v>355</v>
      </c>
    </row>
    <row r="13308" ht="16.5" customHeight="1">
      <c r="O13308" s="5" t="s">
        <v>355</v>
      </c>
      <c r="P13308" s="5" t="s">
        <v>355</v>
      </c>
      <c r="Q13308" s="5" t="s">
        <v>355</v>
      </c>
    </row>
    <row r="13309" ht="16.5" customHeight="1">
      <c r="O13309" s="5" t="s">
        <v>355</v>
      </c>
      <c r="P13309" s="5" t="s">
        <v>355</v>
      </c>
      <c r="Q13309" s="5" t="s">
        <v>355</v>
      </c>
    </row>
    <row r="13310" ht="16.5" customHeight="1">
      <c r="O13310" s="5" t="s">
        <v>355</v>
      </c>
      <c r="P13310" s="5" t="s">
        <v>355</v>
      </c>
      <c r="Q13310" s="5" t="s">
        <v>355</v>
      </c>
    </row>
    <row r="13311" ht="16.5" customHeight="1">
      <c r="O13311" s="5" t="s">
        <v>355</v>
      </c>
      <c r="P13311" s="5" t="s">
        <v>355</v>
      </c>
      <c r="Q13311" s="5" t="s">
        <v>355</v>
      </c>
    </row>
    <row r="13312" ht="16.5" customHeight="1">
      <c r="O13312" s="5" t="s">
        <v>355</v>
      </c>
      <c r="P13312" s="5" t="s">
        <v>355</v>
      </c>
      <c r="Q13312" s="5" t="s">
        <v>355</v>
      </c>
    </row>
    <row r="13313" ht="16.5" customHeight="1">
      <c r="O13313" s="5" t="s">
        <v>355</v>
      </c>
      <c r="P13313" s="5" t="s">
        <v>355</v>
      </c>
      <c r="Q13313" s="5" t="s">
        <v>355</v>
      </c>
    </row>
    <row r="13314" ht="16.5" customHeight="1">
      <c r="O13314" s="5" t="s">
        <v>355</v>
      </c>
      <c r="P13314" s="5" t="s">
        <v>355</v>
      </c>
      <c r="Q13314" s="5" t="s">
        <v>355</v>
      </c>
    </row>
    <row r="13315" ht="16.5" customHeight="1">
      <c r="O13315" s="5" t="s">
        <v>355</v>
      </c>
      <c r="P13315" s="5" t="s">
        <v>355</v>
      </c>
      <c r="Q13315" s="5" t="s">
        <v>355</v>
      </c>
    </row>
    <row r="13316" ht="16.5" customHeight="1">
      <c r="O13316" s="5" t="s">
        <v>355</v>
      </c>
      <c r="P13316" s="5" t="s">
        <v>355</v>
      </c>
      <c r="Q13316" s="5" t="s">
        <v>355</v>
      </c>
    </row>
    <row r="13317" ht="16.5" customHeight="1">
      <c r="O13317" s="5" t="s">
        <v>355</v>
      </c>
      <c r="P13317" s="5" t="s">
        <v>355</v>
      </c>
      <c r="Q13317" s="5" t="s">
        <v>355</v>
      </c>
    </row>
    <row r="13318" ht="16.5" customHeight="1">
      <c r="O13318" s="5" t="s">
        <v>355</v>
      </c>
      <c r="P13318" s="5" t="s">
        <v>355</v>
      </c>
      <c r="Q13318" s="5" t="s">
        <v>355</v>
      </c>
    </row>
    <row r="13319" ht="16.5" customHeight="1">
      <c r="O13319" s="5" t="s">
        <v>355</v>
      </c>
      <c r="P13319" s="5" t="s">
        <v>355</v>
      </c>
      <c r="Q13319" s="5" t="s">
        <v>355</v>
      </c>
    </row>
    <row r="13320" ht="16.5" customHeight="1">
      <c r="O13320" s="5" t="s">
        <v>355</v>
      </c>
      <c r="P13320" s="5" t="s">
        <v>355</v>
      </c>
      <c r="Q13320" s="5" t="s">
        <v>355</v>
      </c>
    </row>
    <row r="13321" ht="16.5" customHeight="1">
      <c r="O13321" s="5" t="s">
        <v>355</v>
      </c>
      <c r="P13321" s="5" t="s">
        <v>355</v>
      </c>
      <c r="Q13321" s="5" t="s">
        <v>355</v>
      </c>
    </row>
    <row r="13322" ht="16.5" customHeight="1">
      <c r="O13322" s="5" t="s">
        <v>355</v>
      </c>
      <c r="P13322" s="5" t="s">
        <v>355</v>
      </c>
      <c r="Q13322" s="5" t="s">
        <v>355</v>
      </c>
    </row>
    <row r="13323" ht="16.5" customHeight="1">
      <c r="O13323" s="5" t="s">
        <v>355</v>
      </c>
      <c r="P13323" s="5" t="s">
        <v>355</v>
      </c>
      <c r="Q13323" s="5" t="s">
        <v>355</v>
      </c>
    </row>
    <row r="13324" ht="16.5" customHeight="1">
      <c r="O13324" s="5" t="s">
        <v>355</v>
      </c>
      <c r="P13324" s="5" t="s">
        <v>355</v>
      </c>
      <c r="Q13324" s="5" t="s">
        <v>355</v>
      </c>
    </row>
    <row r="13325" ht="16.5" customHeight="1">
      <c r="O13325" s="5" t="s">
        <v>355</v>
      </c>
      <c r="P13325" s="5" t="s">
        <v>355</v>
      </c>
      <c r="Q13325" s="5" t="s">
        <v>355</v>
      </c>
    </row>
    <row r="13326" ht="16.5" customHeight="1">
      <c r="O13326" s="5" t="s">
        <v>355</v>
      </c>
      <c r="P13326" s="5" t="s">
        <v>355</v>
      </c>
      <c r="Q13326" s="5" t="s">
        <v>355</v>
      </c>
    </row>
    <row r="13327" ht="16.5" customHeight="1">
      <c r="O13327" s="5" t="s">
        <v>355</v>
      </c>
      <c r="P13327" s="5" t="s">
        <v>355</v>
      </c>
      <c r="Q13327" s="5" t="s">
        <v>355</v>
      </c>
    </row>
    <row r="13328" ht="16.5" customHeight="1">
      <c r="O13328" s="5" t="s">
        <v>355</v>
      </c>
      <c r="P13328" s="5" t="s">
        <v>355</v>
      </c>
      <c r="Q13328" s="5" t="s">
        <v>355</v>
      </c>
    </row>
    <row r="13329" ht="16.5" customHeight="1">
      <c r="O13329" s="5" t="s">
        <v>355</v>
      </c>
      <c r="P13329" s="5" t="s">
        <v>355</v>
      </c>
      <c r="Q13329" s="5" t="s">
        <v>355</v>
      </c>
    </row>
    <row r="13330" ht="16.5" customHeight="1">
      <c r="O13330" s="5" t="s">
        <v>355</v>
      </c>
      <c r="P13330" s="5" t="s">
        <v>355</v>
      </c>
      <c r="Q13330" s="5" t="s">
        <v>355</v>
      </c>
    </row>
    <row r="13331" ht="16.5" customHeight="1">
      <c r="O13331" s="5" t="s">
        <v>355</v>
      </c>
      <c r="P13331" s="5" t="s">
        <v>355</v>
      </c>
      <c r="Q13331" s="5" t="s">
        <v>355</v>
      </c>
    </row>
    <row r="13332" ht="16.5" customHeight="1">
      <c r="O13332" s="5" t="s">
        <v>355</v>
      </c>
      <c r="P13332" s="5" t="s">
        <v>355</v>
      </c>
      <c r="Q13332" s="5" t="s">
        <v>355</v>
      </c>
    </row>
    <row r="13333" ht="16.5" customHeight="1">
      <c r="O13333" s="5" t="s">
        <v>355</v>
      </c>
      <c r="P13333" s="5" t="s">
        <v>355</v>
      </c>
      <c r="Q13333" s="5" t="s">
        <v>355</v>
      </c>
    </row>
    <row r="13334" ht="16.5" customHeight="1">
      <c r="O13334" s="5" t="s">
        <v>355</v>
      </c>
      <c r="P13334" s="5" t="s">
        <v>355</v>
      </c>
      <c r="Q13334" s="5" t="s">
        <v>355</v>
      </c>
    </row>
    <row r="13335" ht="16.5" customHeight="1">
      <c r="O13335" s="5" t="s">
        <v>355</v>
      </c>
      <c r="P13335" s="5" t="s">
        <v>355</v>
      </c>
      <c r="Q13335" s="5" t="s">
        <v>355</v>
      </c>
    </row>
    <row r="13336" ht="16.5" customHeight="1">
      <c r="O13336" s="5" t="s">
        <v>355</v>
      </c>
      <c r="P13336" s="5" t="s">
        <v>355</v>
      </c>
      <c r="Q13336" s="5" t="s">
        <v>355</v>
      </c>
    </row>
    <row r="13337" ht="16.5" customHeight="1">
      <c r="O13337" s="5" t="s">
        <v>355</v>
      </c>
      <c r="P13337" s="5" t="s">
        <v>355</v>
      </c>
      <c r="Q13337" s="5" t="s">
        <v>355</v>
      </c>
    </row>
    <row r="13338" ht="16.5" customHeight="1">
      <c r="O13338" s="5" t="s">
        <v>355</v>
      </c>
      <c r="P13338" s="5" t="s">
        <v>355</v>
      </c>
      <c r="Q13338" s="5" t="s">
        <v>355</v>
      </c>
    </row>
    <row r="13339" ht="16.5" customHeight="1">
      <c r="O13339" s="5" t="s">
        <v>355</v>
      </c>
      <c r="P13339" s="5" t="s">
        <v>355</v>
      </c>
      <c r="Q13339" s="5" t="s">
        <v>355</v>
      </c>
    </row>
    <row r="13340" ht="16.5" customHeight="1">
      <c r="O13340" s="5" t="s">
        <v>355</v>
      </c>
      <c r="P13340" s="5" t="s">
        <v>355</v>
      </c>
      <c r="Q13340" s="5" t="s">
        <v>355</v>
      </c>
    </row>
    <row r="13341" ht="16.5" customHeight="1">
      <c r="O13341" s="5" t="s">
        <v>355</v>
      </c>
      <c r="P13341" s="5" t="s">
        <v>355</v>
      </c>
      <c r="Q13341" s="5" t="s">
        <v>355</v>
      </c>
    </row>
    <row r="13342" ht="16.5" customHeight="1">
      <c r="O13342" s="5" t="s">
        <v>355</v>
      </c>
      <c r="P13342" s="5" t="s">
        <v>355</v>
      </c>
      <c r="Q13342" s="5" t="s">
        <v>355</v>
      </c>
    </row>
    <row r="13343" ht="16.5" customHeight="1">
      <c r="O13343" s="5" t="s">
        <v>355</v>
      </c>
      <c r="P13343" s="5" t="s">
        <v>355</v>
      </c>
      <c r="Q13343" s="5" t="s">
        <v>355</v>
      </c>
    </row>
    <row r="13344" ht="16.5" customHeight="1">
      <c r="O13344" s="5" t="s">
        <v>355</v>
      </c>
      <c r="P13344" s="5" t="s">
        <v>355</v>
      </c>
      <c r="Q13344" s="5" t="s">
        <v>355</v>
      </c>
    </row>
    <row r="13345" ht="16.5" customHeight="1">
      <c r="O13345" s="5" t="s">
        <v>355</v>
      </c>
      <c r="P13345" s="5" t="s">
        <v>355</v>
      </c>
      <c r="Q13345" s="5" t="s">
        <v>355</v>
      </c>
    </row>
    <row r="13346" ht="16.5" customHeight="1">
      <c r="O13346" s="5" t="s">
        <v>355</v>
      </c>
      <c r="P13346" s="5" t="s">
        <v>355</v>
      </c>
      <c r="Q13346" s="5" t="s">
        <v>355</v>
      </c>
    </row>
    <row r="13347" ht="16.5" customHeight="1">
      <c r="O13347" s="5" t="s">
        <v>355</v>
      </c>
      <c r="P13347" s="5" t="s">
        <v>355</v>
      </c>
      <c r="Q13347" s="5" t="s">
        <v>355</v>
      </c>
    </row>
    <row r="13348" ht="16.5" customHeight="1">
      <c r="O13348" s="5" t="s">
        <v>355</v>
      </c>
      <c r="P13348" s="5" t="s">
        <v>355</v>
      </c>
      <c r="Q13348" s="5" t="s">
        <v>355</v>
      </c>
    </row>
    <row r="13349" ht="16.5" customHeight="1">
      <c r="O13349" s="5" t="s">
        <v>355</v>
      </c>
      <c r="P13349" s="5" t="s">
        <v>355</v>
      </c>
      <c r="Q13349" s="5" t="s">
        <v>355</v>
      </c>
    </row>
    <row r="13350" ht="16.5" customHeight="1">
      <c r="O13350" s="5" t="s">
        <v>355</v>
      </c>
      <c r="P13350" s="5" t="s">
        <v>355</v>
      </c>
      <c r="Q13350" s="5" t="s">
        <v>355</v>
      </c>
    </row>
    <row r="13351" ht="16.5" customHeight="1">
      <c r="O13351" s="5" t="s">
        <v>355</v>
      </c>
      <c r="P13351" s="5" t="s">
        <v>355</v>
      </c>
      <c r="Q13351" s="5" t="s">
        <v>355</v>
      </c>
    </row>
    <row r="13352" ht="16.5" customHeight="1">
      <c r="O13352" s="5" t="s">
        <v>355</v>
      </c>
      <c r="P13352" s="5" t="s">
        <v>355</v>
      </c>
      <c r="Q13352" s="5" t="s">
        <v>355</v>
      </c>
    </row>
    <row r="13353" ht="16.5" customHeight="1">
      <c r="O13353" s="5" t="s">
        <v>355</v>
      </c>
      <c r="P13353" s="5" t="s">
        <v>355</v>
      </c>
      <c r="Q13353" s="5" t="s">
        <v>355</v>
      </c>
    </row>
    <row r="13354" ht="16.5" customHeight="1">
      <c r="O13354" s="5" t="s">
        <v>355</v>
      </c>
      <c r="P13354" s="5" t="s">
        <v>355</v>
      </c>
      <c r="Q13354" s="5" t="s">
        <v>355</v>
      </c>
    </row>
    <row r="13355" ht="16.5" customHeight="1">
      <c r="O13355" s="5" t="s">
        <v>355</v>
      </c>
      <c r="P13355" s="5" t="s">
        <v>355</v>
      </c>
      <c r="Q13355" s="5" t="s">
        <v>355</v>
      </c>
    </row>
    <row r="13356" ht="16.5" customHeight="1">
      <c r="O13356" s="5" t="s">
        <v>355</v>
      </c>
      <c r="P13356" s="5" t="s">
        <v>355</v>
      </c>
      <c r="Q13356" s="5" t="s">
        <v>355</v>
      </c>
    </row>
    <row r="13357" ht="16.5" customHeight="1">
      <c r="O13357" s="5" t="s">
        <v>355</v>
      </c>
      <c r="P13357" s="5" t="s">
        <v>355</v>
      </c>
      <c r="Q13357" s="5" t="s">
        <v>355</v>
      </c>
    </row>
    <row r="13358" ht="16.5" customHeight="1">
      <c r="O13358" s="5" t="s">
        <v>355</v>
      </c>
      <c r="P13358" s="5" t="s">
        <v>355</v>
      </c>
      <c r="Q13358" s="5" t="s">
        <v>355</v>
      </c>
    </row>
    <row r="13359" ht="16.5" customHeight="1">
      <c r="O13359" s="5" t="s">
        <v>355</v>
      </c>
      <c r="P13359" s="5" t="s">
        <v>355</v>
      </c>
      <c r="Q13359" s="5" t="s">
        <v>355</v>
      </c>
    </row>
    <row r="13360" ht="16.5" customHeight="1">
      <c r="O13360" s="5" t="s">
        <v>355</v>
      </c>
      <c r="P13360" s="5" t="s">
        <v>355</v>
      </c>
      <c r="Q13360" s="5" t="s">
        <v>355</v>
      </c>
    </row>
    <row r="13361" ht="16.5" customHeight="1">
      <c r="O13361" s="5" t="s">
        <v>355</v>
      </c>
      <c r="P13361" s="5" t="s">
        <v>355</v>
      </c>
      <c r="Q13361" s="5" t="s">
        <v>355</v>
      </c>
    </row>
    <row r="13362" ht="16.5" customHeight="1">
      <c r="O13362" s="5" t="s">
        <v>355</v>
      </c>
      <c r="P13362" s="5" t="s">
        <v>355</v>
      </c>
      <c r="Q13362" s="5" t="s">
        <v>355</v>
      </c>
    </row>
    <row r="13363" ht="16.5" customHeight="1">
      <c r="O13363" s="5" t="s">
        <v>355</v>
      </c>
      <c r="P13363" s="5" t="s">
        <v>355</v>
      </c>
      <c r="Q13363" s="5" t="s">
        <v>355</v>
      </c>
    </row>
    <row r="13364" ht="16.5" customHeight="1">
      <c r="O13364" s="5" t="s">
        <v>355</v>
      </c>
      <c r="P13364" s="5" t="s">
        <v>355</v>
      </c>
      <c r="Q13364" s="5" t="s">
        <v>355</v>
      </c>
    </row>
    <row r="13365" ht="16.5" customHeight="1">
      <c r="O13365" s="5" t="s">
        <v>355</v>
      </c>
      <c r="P13365" s="5" t="s">
        <v>355</v>
      </c>
      <c r="Q13365" s="5" t="s">
        <v>355</v>
      </c>
    </row>
    <row r="13366" ht="16.5" customHeight="1">
      <c r="O13366" s="5" t="s">
        <v>355</v>
      </c>
      <c r="P13366" s="5" t="s">
        <v>355</v>
      </c>
      <c r="Q13366" s="5" t="s">
        <v>355</v>
      </c>
    </row>
    <row r="13367" ht="16.5" customHeight="1">
      <c r="O13367" s="5" t="s">
        <v>355</v>
      </c>
      <c r="P13367" s="5" t="s">
        <v>355</v>
      </c>
      <c r="Q13367" s="5" t="s">
        <v>355</v>
      </c>
    </row>
    <row r="13368" ht="16.5" customHeight="1">
      <c r="O13368" s="5" t="s">
        <v>355</v>
      </c>
      <c r="P13368" s="5" t="s">
        <v>355</v>
      </c>
      <c r="Q13368" s="5" t="s">
        <v>355</v>
      </c>
    </row>
    <row r="13369" ht="16.5" customHeight="1">
      <c r="O13369" s="5" t="s">
        <v>355</v>
      </c>
      <c r="P13369" s="5" t="s">
        <v>355</v>
      </c>
      <c r="Q13369" s="5" t="s">
        <v>355</v>
      </c>
    </row>
    <row r="13370" ht="16.5" customHeight="1">
      <c r="O13370" s="5" t="s">
        <v>355</v>
      </c>
      <c r="P13370" s="5" t="s">
        <v>355</v>
      </c>
      <c r="Q13370" s="5" t="s">
        <v>355</v>
      </c>
    </row>
    <row r="13371" ht="16.5" customHeight="1">
      <c r="O13371" s="5" t="s">
        <v>355</v>
      </c>
      <c r="P13371" s="5" t="s">
        <v>355</v>
      </c>
      <c r="Q13371" s="5" t="s">
        <v>355</v>
      </c>
    </row>
    <row r="13372" ht="16.5" customHeight="1">
      <c r="O13372" s="5" t="s">
        <v>355</v>
      </c>
      <c r="P13372" s="5" t="s">
        <v>355</v>
      </c>
      <c r="Q13372" s="5" t="s">
        <v>355</v>
      </c>
    </row>
    <row r="13373" ht="16.5" customHeight="1">
      <c r="O13373" s="5" t="s">
        <v>355</v>
      </c>
      <c r="P13373" s="5" t="s">
        <v>355</v>
      </c>
      <c r="Q13373" s="5" t="s">
        <v>355</v>
      </c>
    </row>
    <row r="13374" ht="16.5" customHeight="1">
      <c r="O13374" s="5" t="s">
        <v>355</v>
      </c>
      <c r="P13374" s="5" t="s">
        <v>355</v>
      </c>
      <c r="Q13374" s="5" t="s">
        <v>355</v>
      </c>
    </row>
    <row r="13375" ht="16.5" customHeight="1">
      <c r="O13375" s="5" t="s">
        <v>355</v>
      </c>
      <c r="P13375" s="5" t="s">
        <v>355</v>
      </c>
      <c r="Q13375" s="5" t="s">
        <v>355</v>
      </c>
    </row>
    <row r="13376" ht="16.5" customHeight="1">
      <c r="O13376" s="5" t="s">
        <v>355</v>
      </c>
      <c r="P13376" s="5" t="s">
        <v>355</v>
      </c>
      <c r="Q13376" s="5" t="s">
        <v>355</v>
      </c>
    </row>
    <row r="13377" ht="16.5" customHeight="1">
      <c r="O13377" s="5" t="s">
        <v>355</v>
      </c>
      <c r="P13377" s="5" t="s">
        <v>355</v>
      </c>
      <c r="Q13377" s="5" t="s">
        <v>355</v>
      </c>
    </row>
    <row r="13378" ht="16.5" customHeight="1">
      <c r="O13378" s="5" t="s">
        <v>355</v>
      </c>
      <c r="P13378" s="5" t="s">
        <v>355</v>
      </c>
      <c r="Q13378" s="5" t="s">
        <v>355</v>
      </c>
    </row>
    <row r="13379" ht="16.5" customHeight="1">
      <c r="O13379" s="5" t="s">
        <v>355</v>
      </c>
      <c r="P13379" s="5" t="s">
        <v>355</v>
      </c>
      <c r="Q13379" s="5" t="s">
        <v>355</v>
      </c>
    </row>
    <row r="13380" ht="16.5" customHeight="1">
      <c r="O13380" s="5" t="s">
        <v>355</v>
      </c>
      <c r="P13380" s="5" t="s">
        <v>355</v>
      </c>
      <c r="Q13380" s="5" t="s">
        <v>355</v>
      </c>
    </row>
    <row r="13381" ht="16.5" customHeight="1">
      <c r="O13381" s="5" t="s">
        <v>355</v>
      </c>
      <c r="P13381" s="5" t="s">
        <v>355</v>
      </c>
      <c r="Q13381" s="5" t="s">
        <v>355</v>
      </c>
    </row>
    <row r="13382" ht="16.5" customHeight="1">
      <c r="O13382" s="5" t="s">
        <v>355</v>
      </c>
      <c r="P13382" s="5" t="s">
        <v>355</v>
      </c>
      <c r="Q13382" s="5" t="s">
        <v>355</v>
      </c>
    </row>
    <row r="13383" ht="16.5" customHeight="1">
      <c r="O13383" s="5" t="s">
        <v>355</v>
      </c>
      <c r="P13383" s="5" t="s">
        <v>355</v>
      </c>
      <c r="Q13383" s="5" t="s">
        <v>355</v>
      </c>
    </row>
    <row r="13384" ht="16.5" customHeight="1">
      <c r="O13384" s="5" t="s">
        <v>355</v>
      </c>
      <c r="P13384" s="5" t="s">
        <v>355</v>
      </c>
      <c r="Q13384" s="5" t="s">
        <v>355</v>
      </c>
    </row>
    <row r="13385" ht="16.5" customHeight="1">
      <c r="O13385" s="5" t="s">
        <v>355</v>
      </c>
      <c r="P13385" s="5" t="s">
        <v>355</v>
      </c>
      <c r="Q13385" s="5" t="s">
        <v>355</v>
      </c>
    </row>
    <row r="13386" ht="16.5" customHeight="1">
      <c r="O13386" s="5" t="s">
        <v>355</v>
      </c>
      <c r="P13386" s="5" t="s">
        <v>355</v>
      </c>
      <c r="Q13386" s="5" t="s">
        <v>355</v>
      </c>
    </row>
    <row r="13387" ht="16.5" customHeight="1">
      <c r="O13387" s="5" t="s">
        <v>355</v>
      </c>
      <c r="P13387" s="5" t="s">
        <v>355</v>
      </c>
      <c r="Q13387" s="5" t="s">
        <v>355</v>
      </c>
    </row>
    <row r="13388" ht="16.5" customHeight="1">
      <c r="O13388" s="5" t="s">
        <v>355</v>
      </c>
      <c r="P13388" s="5" t="s">
        <v>355</v>
      </c>
      <c r="Q13388" s="5" t="s">
        <v>355</v>
      </c>
    </row>
    <row r="13389" ht="16.5" customHeight="1">
      <c r="O13389" s="5" t="s">
        <v>355</v>
      </c>
      <c r="P13389" s="5" t="s">
        <v>355</v>
      </c>
      <c r="Q13389" s="5" t="s">
        <v>355</v>
      </c>
    </row>
    <row r="13390" ht="16.5" customHeight="1">
      <c r="O13390" s="5" t="s">
        <v>355</v>
      </c>
      <c r="P13390" s="5" t="s">
        <v>355</v>
      </c>
      <c r="Q13390" s="5" t="s">
        <v>355</v>
      </c>
    </row>
    <row r="13391" ht="16.5" customHeight="1">
      <c r="O13391" s="5" t="s">
        <v>355</v>
      </c>
      <c r="P13391" s="5" t="s">
        <v>355</v>
      </c>
      <c r="Q13391" s="5" t="s">
        <v>355</v>
      </c>
    </row>
    <row r="13392" ht="16.5" customHeight="1">
      <c r="O13392" s="5" t="s">
        <v>355</v>
      </c>
      <c r="P13392" s="5" t="s">
        <v>355</v>
      </c>
      <c r="Q13392" s="5" t="s">
        <v>355</v>
      </c>
    </row>
    <row r="13393" ht="16.5" customHeight="1">
      <c r="O13393" s="5" t="s">
        <v>355</v>
      </c>
      <c r="P13393" s="5" t="s">
        <v>355</v>
      </c>
      <c r="Q13393" s="5" t="s">
        <v>355</v>
      </c>
    </row>
    <row r="13394" ht="16.5" customHeight="1">
      <c r="O13394" s="5" t="s">
        <v>355</v>
      </c>
      <c r="P13394" s="5" t="s">
        <v>355</v>
      </c>
      <c r="Q13394" s="5" t="s">
        <v>355</v>
      </c>
    </row>
    <row r="13395" ht="16.5" customHeight="1">
      <c r="O13395" s="5" t="s">
        <v>355</v>
      </c>
      <c r="P13395" s="5" t="s">
        <v>355</v>
      </c>
      <c r="Q13395" s="5" t="s">
        <v>355</v>
      </c>
    </row>
    <row r="13396" ht="16.5" customHeight="1">
      <c r="O13396" s="5" t="s">
        <v>355</v>
      </c>
      <c r="P13396" s="5" t="s">
        <v>355</v>
      </c>
      <c r="Q13396" s="5" t="s">
        <v>355</v>
      </c>
    </row>
    <row r="13397" ht="16.5" customHeight="1">
      <c r="O13397" s="5" t="s">
        <v>355</v>
      </c>
      <c r="P13397" s="5" t="s">
        <v>355</v>
      </c>
      <c r="Q13397" s="5" t="s">
        <v>355</v>
      </c>
    </row>
    <row r="13398" ht="16.5" customHeight="1">
      <c r="O13398" s="5" t="s">
        <v>355</v>
      </c>
      <c r="P13398" s="5" t="s">
        <v>355</v>
      </c>
      <c r="Q13398" s="5" t="s">
        <v>355</v>
      </c>
    </row>
    <row r="13399" ht="16.5" customHeight="1">
      <c r="O13399" s="5" t="s">
        <v>355</v>
      </c>
      <c r="P13399" s="5" t="s">
        <v>355</v>
      </c>
      <c r="Q13399" s="5" t="s">
        <v>355</v>
      </c>
    </row>
    <row r="13400" ht="16.5" customHeight="1">
      <c r="O13400" s="5" t="s">
        <v>355</v>
      </c>
      <c r="P13400" s="5" t="s">
        <v>355</v>
      </c>
      <c r="Q13400" s="5" t="s">
        <v>355</v>
      </c>
    </row>
    <row r="13401" ht="16.5" customHeight="1">
      <c r="O13401" s="5" t="s">
        <v>355</v>
      </c>
      <c r="P13401" s="5" t="s">
        <v>355</v>
      </c>
      <c r="Q13401" s="5" t="s">
        <v>355</v>
      </c>
    </row>
    <row r="13402" ht="16.5" customHeight="1">
      <c r="O13402" s="5" t="s">
        <v>355</v>
      </c>
      <c r="P13402" s="5" t="s">
        <v>355</v>
      </c>
      <c r="Q13402" s="5" t="s">
        <v>355</v>
      </c>
    </row>
    <row r="13403" ht="16.5" customHeight="1">
      <c r="O13403" s="5" t="s">
        <v>355</v>
      </c>
      <c r="P13403" s="5" t="s">
        <v>355</v>
      </c>
      <c r="Q13403" s="5" t="s">
        <v>355</v>
      </c>
    </row>
    <row r="13404" ht="16.5" customHeight="1">
      <c r="O13404" s="5" t="s">
        <v>355</v>
      </c>
      <c r="P13404" s="5" t="s">
        <v>355</v>
      </c>
      <c r="Q13404" s="5" t="s">
        <v>355</v>
      </c>
    </row>
    <row r="13405" ht="16.5" customHeight="1">
      <c r="O13405" s="5" t="s">
        <v>355</v>
      </c>
      <c r="P13405" s="5" t="s">
        <v>355</v>
      </c>
      <c r="Q13405" s="5" t="s">
        <v>355</v>
      </c>
    </row>
    <row r="13406" ht="16.5" customHeight="1">
      <c r="O13406" s="5" t="s">
        <v>355</v>
      </c>
      <c r="P13406" s="5" t="s">
        <v>355</v>
      </c>
      <c r="Q13406" s="5" t="s">
        <v>355</v>
      </c>
    </row>
    <row r="13407" ht="16.5" customHeight="1">
      <c r="O13407" s="5" t="s">
        <v>355</v>
      </c>
      <c r="P13407" s="5" t="s">
        <v>355</v>
      </c>
      <c r="Q13407" s="5" t="s">
        <v>355</v>
      </c>
    </row>
    <row r="13408" ht="16.5" customHeight="1">
      <c r="O13408" s="5" t="s">
        <v>355</v>
      </c>
      <c r="P13408" s="5" t="s">
        <v>355</v>
      </c>
      <c r="Q13408" s="5" t="s">
        <v>355</v>
      </c>
    </row>
    <row r="13409" ht="16.5" customHeight="1">
      <c r="O13409" s="5" t="s">
        <v>355</v>
      </c>
      <c r="P13409" s="5" t="s">
        <v>355</v>
      </c>
      <c r="Q13409" s="5" t="s">
        <v>355</v>
      </c>
    </row>
    <row r="13410" ht="16.5" customHeight="1">
      <c r="O13410" s="5" t="s">
        <v>355</v>
      </c>
      <c r="P13410" s="5" t="s">
        <v>355</v>
      </c>
      <c r="Q13410" s="5" t="s">
        <v>355</v>
      </c>
    </row>
    <row r="13411" ht="16.5" customHeight="1">
      <c r="O13411" s="5" t="s">
        <v>355</v>
      </c>
      <c r="P13411" s="5" t="s">
        <v>355</v>
      </c>
      <c r="Q13411" s="5" t="s">
        <v>355</v>
      </c>
    </row>
    <row r="13412" ht="16.5" customHeight="1">
      <c r="O13412" s="5" t="s">
        <v>355</v>
      </c>
      <c r="P13412" s="5" t="s">
        <v>355</v>
      </c>
      <c r="Q13412" s="5" t="s">
        <v>355</v>
      </c>
    </row>
    <row r="13413" ht="16.5" customHeight="1">
      <c r="O13413" s="5" t="s">
        <v>355</v>
      </c>
      <c r="P13413" s="5" t="s">
        <v>355</v>
      </c>
      <c r="Q13413" s="5" t="s">
        <v>355</v>
      </c>
    </row>
    <row r="13414" ht="16.5" customHeight="1">
      <c r="O13414" s="5" t="s">
        <v>355</v>
      </c>
      <c r="P13414" s="5" t="s">
        <v>355</v>
      </c>
      <c r="Q13414" s="5" t="s">
        <v>355</v>
      </c>
    </row>
    <row r="13415" ht="16.5" customHeight="1">
      <c r="O13415" s="5" t="s">
        <v>355</v>
      </c>
      <c r="P13415" s="5" t="s">
        <v>355</v>
      </c>
      <c r="Q13415" s="5" t="s">
        <v>355</v>
      </c>
    </row>
    <row r="13416" ht="16.5" customHeight="1">
      <c r="O13416" s="5" t="s">
        <v>355</v>
      </c>
      <c r="P13416" s="5" t="s">
        <v>355</v>
      </c>
      <c r="Q13416" s="5" t="s">
        <v>355</v>
      </c>
    </row>
    <row r="13417" ht="16.5" customHeight="1">
      <c r="O13417" s="5" t="s">
        <v>355</v>
      </c>
      <c r="P13417" s="5" t="s">
        <v>355</v>
      </c>
      <c r="Q13417" s="5" t="s">
        <v>355</v>
      </c>
    </row>
    <row r="13418" ht="16.5" customHeight="1">
      <c r="O13418" s="5" t="s">
        <v>355</v>
      </c>
      <c r="P13418" s="5" t="s">
        <v>355</v>
      </c>
      <c r="Q13418" s="5" t="s">
        <v>355</v>
      </c>
    </row>
    <row r="13419" ht="16.5" customHeight="1">
      <c r="O13419" s="5" t="s">
        <v>355</v>
      </c>
      <c r="P13419" s="5" t="s">
        <v>355</v>
      </c>
      <c r="Q13419" s="5" t="s">
        <v>355</v>
      </c>
    </row>
    <row r="13420" ht="16.5" customHeight="1">
      <c r="O13420" s="5" t="s">
        <v>355</v>
      </c>
      <c r="P13420" s="5" t="s">
        <v>355</v>
      </c>
      <c r="Q13420" s="5" t="s">
        <v>355</v>
      </c>
    </row>
    <row r="13421" ht="16.5" customHeight="1">
      <c r="O13421" s="5" t="s">
        <v>355</v>
      </c>
      <c r="P13421" s="5" t="s">
        <v>355</v>
      </c>
      <c r="Q13421" s="5" t="s">
        <v>355</v>
      </c>
    </row>
    <row r="13422" ht="16.5" customHeight="1">
      <c r="O13422" s="5" t="s">
        <v>355</v>
      </c>
      <c r="P13422" s="5" t="s">
        <v>355</v>
      </c>
      <c r="Q13422" s="5" t="s">
        <v>355</v>
      </c>
    </row>
    <row r="13423" ht="16.5" customHeight="1">
      <c r="O13423" s="5" t="s">
        <v>355</v>
      </c>
      <c r="P13423" s="5" t="s">
        <v>355</v>
      </c>
      <c r="Q13423" s="5" t="s">
        <v>355</v>
      </c>
    </row>
    <row r="13424" ht="16.5" customHeight="1">
      <c r="O13424" s="5" t="s">
        <v>355</v>
      </c>
      <c r="P13424" s="5" t="s">
        <v>355</v>
      </c>
      <c r="Q13424" s="5" t="s">
        <v>355</v>
      </c>
    </row>
    <row r="13425" ht="16.5" customHeight="1">
      <c r="O13425" s="5" t="s">
        <v>355</v>
      </c>
      <c r="P13425" s="5" t="s">
        <v>355</v>
      </c>
      <c r="Q13425" s="5" t="s">
        <v>355</v>
      </c>
    </row>
    <row r="13426" ht="16.5" customHeight="1">
      <c r="O13426" s="5" t="s">
        <v>355</v>
      </c>
      <c r="P13426" s="5" t="s">
        <v>355</v>
      </c>
      <c r="Q13426" s="5" t="s">
        <v>355</v>
      </c>
    </row>
    <row r="13427" ht="16.5" customHeight="1">
      <c r="O13427" s="5" t="s">
        <v>355</v>
      </c>
      <c r="P13427" s="5" t="s">
        <v>355</v>
      </c>
      <c r="Q13427" s="5" t="s">
        <v>355</v>
      </c>
    </row>
    <row r="13428" ht="16.5" customHeight="1">
      <c r="O13428" s="5" t="s">
        <v>355</v>
      </c>
      <c r="P13428" s="5" t="s">
        <v>355</v>
      </c>
      <c r="Q13428" s="5" t="s">
        <v>355</v>
      </c>
    </row>
    <row r="13429" ht="16.5" customHeight="1">
      <c r="O13429" s="5" t="s">
        <v>355</v>
      </c>
      <c r="P13429" s="5" t="s">
        <v>355</v>
      </c>
      <c r="Q13429" s="5" t="s">
        <v>355</v>
      </c>
    </row>
    <row r="13430" ht="16.5" customHeight="1">
      <c r="O13430" s="5" t="s">
        <v>355</v>
      </c>
      <c r="P13430" s="5" t="s">
        <v>355</v>
      </c>
      <c r="Q13430" s="5" t="s">
        <v>355</v>
      </c>
    </row>
    <row r="13431" ht="16.5" customHeight="1">
      <c r="O13431" s="5" t="s">
        <v>355</v>
      </c>
      <c r="P13431" s="5" t="s">
        <v>355</v>
      </c>
      <c r="Q13431" s="5" t="s">
        <v>355</v>
      </c>
    </row>
    <row r="13432" ht="16.5" customHeight="1">
      <c r="O13432" s="5" t="s">
        <v>355</v>
      </c>
      <c r="P13432" s="5" t="s">
        <v>355</v>
      </c>
      <c r="Q13432" s="5" t="s">
        <v>355</v>
      </c>
    </row>
    <row r="13433" ht="16.5" customHeight="1">
      <c r="O13433" s="5" t="s">
        <v>355</v>
      </c>
      <c r="P13433" s="5" t="s">
        <v>355</v>
      </c>
      <c r="Q13433" s="5" t="s">
        <v>355</v>
      </c>
    </row>
    <row r="13434" ht="16.5" customHeight="1">
      <c r="O13434" s="5" t="s">
        <v>355</v>
      </c>
      <c r="P13434" s="5" t="s">
        <v>355</v>
      </c>
      <c r="Q13434" s="5" t="s">
        <v>355</v>
      </c>
    </row>
    <row r="13435" ht="16.5" customHeight="1">
      <c r="O13435" s="5" t="s">
        <v>355</v>
      </c>
      <c r="P13435" s="5" t="s">
        <v>355</v>
      </c>
      <c r="Q13435" s="5" t="s">
        <v>355</v>
      </c>
    </row>
    <row r="13436" ht="16.5" customHeight="1">
      <c r="O13436" s="5" t="s">
        <v>355</v>
      </c>
      <c r="P13436" s="5" t="s">
        <v>355</v>
      </c>
      <c r="Q13436" s="5" t="s">
        <v>355</v>
      </c>
    </row>
    <row r="13437" ht="16.5" customHeight="1">
      <c r="O13437" s="5" t="s">
        <v>355</v>
      </c>
      <c r="P13437" s="5" t="s">
        <v>355</v>
      </c>
      <c r="Q13437" s="5" t="s">
        <v>355</v>
      </c>
    </row>
    <row r="13438" ht="16.5" customHeight="1">
      <c r="O13438" s="5" t="s">
        <v>355</v>
      </c>
      <c r="P13438" s="5" t="s">
        <v>355</v>
      </c>
      <c r="Q13438" s="5" t="s">
        <v>355</v>
      </c>
    </row>
    <row r="13439" ht="16.5" customHeight="1">
      <c r="O13439" s="5" t="s">
        <v>355</v>
      </c>
      <c r="P13439" s="5" t="s">
        <v>355</v>
      </c>
      <c r="Q13439" s="5" t="s">
        <v>355</v>
      </c>
    </row>
    <row r="13440" ht="16.5" customHeight="1">
      <c r="O13440" s="5" t="s">
        <v>355</v>
      </c>
      <c r="P13440" s="5" t="s">
        <v>355</v>
      </c>
      <c r="Q13440" s="5" t="s">
        <v>355</v>
      </c>
    </row>
    <row r="13441" ht="16.5" customHeight="1">
      <c r="O13441" s="5" t="s">
        <v>355</v>
      </c>
      <c r="P13441" s="5" t="s">
        <v>355</v>
      </c>
      <c r="Q13441" s="5" t="s">
        <v>355</v>
      </c>
    </row>
    <row r="13442" ht="16.5" customHeight="1">
      <c r="O13442" s="5" t="s">
        <v>355</v>
      </c>
      <c r="P13442" s="5" t="s">
        <v>355</v>
      </c>
      <c r="Q13442" s="5" t="s">
        <v>355</v>
      </c>
    </row>
    <row r="13443" ht="16.5" customHeight="1">
      <c r="O13443" s="5" t="s">
        <v>355</v>
      </c>
      <c r="P13443" s="5" t="s">
        <v>355</v>
      </c>
      <c r="Q13443" s="5" t="s">
        <v>355</v>
      </c>
    </row>
    <row r="13444" ht="16.5" customHeight="1">
      <c r="O13444" s="5" t="s">
        <v>355</v>
      </c>
      <c r="P13444" s="5" t="s">
        <v>355</v>
      </c>
      <c r="Q13444" s="5" t="s">
        <v>355</v>
      </c>
    </row>
    <row r="13445" ht="16.5" customHeight="1">
      <c r="O13445" s="5" t="s">
        <v>355</v>
      </c>
      <c r="P13445" s="5" t="s">
        <v>355</v>
      </c>
      <c r="Q13445" s="5" t="s">
        <v>355</v>
      </c>
    </row>
    <row r="13446" ht="16.5" customHeight="1">
      <c r="O13446" s="5" t="s">
        <v>355</v>
      </c>
      <c r="P13446" s="5" t="s">
        <v>355</v>
      </c>
      <c r="Q13446" s="5" t="s">
        <v>355</v>
      </c>
    </row>
    <row r="13447" ht="16.5" customHeight="1">
      <c r="O13447" s="5" t="s">
        <v>355</v>
      </c>
      <c r="P13447" s="5" t="s">
        <v>355</v>
      </c>
      <c r="Q13447" s="5" t="s">
        <v>355</v>
      </c>
    </row>
    <row r="13448" ht="16.5" customHeight="1">
      <c r="O13448" s="5" t="s">
        <v>355</v>
      </c>
      <c r="P13448" s="5" t="s">
        <v>355</v>
      </c>
      <c r="Q13448" s="5" t="s">
        <v>355</v>
      </c>
    </row>
    <row r="13449" ht="16.5" customHeight="1">
      <c r="O13449" s="5" t="s">
        <v>355</v>
      </c>
      <c r="P13449" s="5" t="s">
        <v>355</v>
      </c>
      <c r="Q13449" s="5" t="s">
        <v>355</v>
      </c>
    </row>
    <row r="13450" ht="16.5" customHeight="1">
      <c r="O13450" s="5" t="s">
        <v>355</v>
      </c>
      <c r="P13450" s="5" t="s">
        <v>355</v>
      </c>
      <c r="Q13450" s="5" t="s">
        <v>355</v>
      </c>
    </row>
    <row r="13451" ht="16.5" customHeight="1">
      <c r="O13451" s="5" t="s">
        <v>355</v>
      </c>
      <c r="P13451" s="5" t="s">
        <v>355</v>
      </c>
      <c r="Q13451" s="5" t="s">
        <v>355</v>
      </c>
    </row>
    <row r="13452" ht="16.5" customHeight="1">
      <c r="O13452" s="5" t="s">
        <v>355</v>
      </c>
      <c r="P13452" s="5" t="s">
        <v>355</v>
      </c>
      <c r="Q13452" s="5" t="s">
        <v>355</v>
      </c>
    </row>
    <row r="13453" ht="16.5" customHeight="1">
      <c r="O13453" s="5" t="s">
        <v>355</v>
      </c>
      <c r="P13453" s="5" t="s">
        <v>355</v>
      </c>
      <c r="Q13453" s="5" t="s">
        <v>355</v>
      </c>
    </row>
    <row r="13454" ht="16.5" customHeight="1">
      <c r="O13454" s="5" t="s">
        <v>355</v>
      </c>
      <c r="P13454" s="5" t="s">
        <v>355</v>
      </c>
      <c r="Q13454" s="5" t="s">
        <v>355</v>
      </c>
    </row>
    <row r="13455" ht="16.5" customHeight="1">
      <c r="O13455" s="5" t="s">
        <v>355</v>
      </c>
      <c r="P13455" s="5" t="s">
        <v>355</v>
      </c>
      <c r="Q13455" s="5" t="s">
        <v>355</v>
      </c>
    </row>
    <row r="13456" ht="16.5" customHeight="1">
      <c r="O13456" s="5" t="s">
        <v>355</v>
      </c>
      <c r="P13456" s="5" t="s">
        <v>355</v>
      </c>
      <c r="Q13456" s="5" t="s">
        <v>355</v>
      </c>
    </row>
    <row r="13457" ht="16.5" customHeight="1">
      <c r="O13457" s="5" t="s">
        <v>355</v>
      </c>
      <c r="P13457" s="5" t="s">
        <v>355</v>
      </c>
      <c r="Q13457" s="5" t="s">
        <v>355</v>
      </c>
    </row>
    <row r="13458" ht="16.5" customHeight="1">
      <c r="O13458" s="5" t="s">
        <v>355</v>
      </c>
      <c r="P13458" s="5" t="s">
        <v>355</v>
      </c>
      <c r="Q13458" s="5" t="s">
        <v>355</v>
      </c>
    </row>
    <row r="13459" ht="16.5" customHeight="1">
      <c r="O13459" s="5" t="s">
        <v>355</v>
      </c>
      <c r="P13459" s="5" t="s">
        <v>355</v>
      </c>
      <c r="Q13459" s="5" t="s">
        <v>355</v>
      </c>
    </row>
    <row r="13460" ht="16.5" customHeight="1">
      <c r="O13460" s="5" t="s">
        <v>355</v>
      </c>
      <c r="P13460" s="5" t="s">
        <v>355</v>
      </c>
      <c r="Q13460" s="5" t="s">
        <v>355</v>
      </c>
    </row>
    <row r="13461" ht="16.5" customHeight="1">
      <c r="O13461" s="5" t="s">
        <v>355</v>
      </c>
      <c r="P13461" s="5" t="s">
        <v>355</v>
      </c>
      <c r="Q13461" s="5" t="s">
        <v>355</v>
      </c>
    </row>
    <row r="13462" ht="16.5" customHeight="1">
      <c r="O13462" s="5" t="s">
        <v>355</v>
      </c>
      <c r="P13462" s="5" t="s">
        <v>355</v>
      </c>
      <c r="Q13462" s="5" t="s">
        <v>355</v>
      </c>
    </row>
    <row r="13463" ht="16.5" customHeight="1">
      <c r="O13463" s="5" t="s">
        <v>355</v>
      </c>
      <c r="P13463" s="5" t="s">
        <v>355</v>
      </c>
      <c r="Q13463" s="5" t="s">
        <v>355</v>
      </c>
    </row>
    <row r="13464" ht="16.5" customHeight="1">
      <c r="O13464" s="5" t="s">
        <v>355</v>
      </c>
      <c r="P13464" s="5" t="s">
        <v>355</v>
      </c>
      <c r="Q13464" s="5" t="s">
        <v>355</v>
      </c>
    </row>
    <row r="13465" ht="16.5" customHeight="1">
      <c r="O13465" s="5" t="s">
        <v>355</v>
      </c>
      <c r="P13465" s="5" t="s">
        <v>355</v>
      </c>
      <c r="Q13465" s="5" t="s">
        <v>355</v>
      </c>
    </row>
    <row r="13466" ht="16.5" customHeight="1">
      <c r="O13466" s="5" t="s">
        <v>355</v>
      </c>
      <c r="P13466" s="5" t="s">
        <v>355</v>
      </c>
      <c r="Q13466" s="5" t="s">
        <v>355</v>
      </c>
    </row>
    <row r="13467" ht="16.5" customHeight="1">
      <c r="O13467" s="5" t="s">
        <v>355</v>
      </c>
      <c r="P13467" s="5" t="s">
        <v>355</v>
      </c>
      <c r="Q13467" s="5" t="s">
        <v>355</v>
      </c>
    </row>
    <row r="13468" ht="16.5" customHeight="1">
      <c r="O13468" s="5" t="s">
        <v>355</v>
      </c>
      <c r="P13468" s="5" t="s">
        <v>355</v>
      </c>
      <c r="Q13468" s="5" t="s">
        <v>355</v>
      </c>
    </row>
    <row r="13469" ht="16.5" customHeight="1">
      <c r="O13469" s="5" t="s">
        <v>355</v>
      </c>
      <c r="P13469" s="5" t="s">
        <v>355</v>
      </c>
      <c r="Q13469" s="5" t="s">
        <v>355</v>
      </c>
    </row>
    <row r="13470" ht="16.5" customHeight="1">
      <c r="O13470" s="5" t="s">
        <v>355</v>
      </c>
      <c r="P13470" s="5" t="s">
        <v>355</v>
      </c>
      <c r="Q13470" s="5" t="s">
        <v>355</v>
      </c>
    </row>
    <row r="13471" ht="16.5" customHeight="1">
      <c r="O13471" s="5" t="s">
        <v>355</v>
      </c>
      <c r="P13471" s="5" t="s">
        <v>355</v>
      </c>
      <c r="Q13471" s="5" t="s">
        <v>355</v>
      </c>
    </row>
    <row r="13472" ht="16.5" customHeight="1">
      <c r="O13472" s="5" t="s">
        <v>355</v>
      </c>
      <c r="P13472" s="5" t="s">
        <v>355</v>
      </c>
      <c r="Q13472" s="5" t="s">
        <v>355</v>
      </c>
    </row>
    <row r="13473" ht="16.5" customHeight="1">
      <c r="O13473" s="5" t="s">
        <v>355</v>
      </c>
      <c r="P13473" s="5" t="s">
        <v>355</v>
      </c>
      <c r="Q13473" s="5" t="s">
        <v>355</v>
      </c>
    </row>
    <row r="13474" ht="16.5" customHeight="1">
      <c r="O13474" s="5" t="s">
        <v>355</v>
      </c>
      <c r="P13474" s="5" t="s">
        <v>355</v>
      </c>
      <c r="Q13474" s="5" t="s">
        <v>355</v>
      </c>
    </row>
    <row r="13475" ht="16.5" customHeight="1">
      <c r="O13475" s="5" t="s">
        <v>355</v>
      </c>
      <c r="P13475" s="5" t="s">
        <v>355</v>
      </c>
      <c r="Q13475" s="5" t="s">
        <v>355</v>
      </c>
    </row>
    <row r="13476" ht="16.5" customHeight="1">
      <c r="O13476" s="5" t="s">
        <v>355</v>
      </c>
      <c r="P13476" s="5" t="s">
        <v>355</v>
      </c>
      <c r="Q13476" s="5" t="s">
        <v>355</v>
      </c>
    </row>
    <row r="13477" ht="16.5" customHeight="1">
      <c r="O13477" s="5" t="s">
        <v>355</v>
      </c>
      <c r="P13477" s="5" t="s">
        <v>355</v>
      </c>
      <c r="Q13477" s="5" t="s">
        <v>355</v>
      </c>
    </row>
    <row r="13478" ht="16.5" customHeight="1">
      <c r="O13478" s="5" t="s">
        <v>355</v>
      </c>
      <c r="P13478" s="5" t="s">
        <v>355</v>
      </c>
      <c r="Q13478" s="5" t="s">
        <v>355</v>
      </c>
    </row>
    <row r="13479" ht="16.5" customHeight="1">
      <c r="O13479" s="5" t="s">
        <v>355</v>
      </c>
      <c r="P13479" s="5" t="s">
        <v>355</v>
      </c>
      <c r="Q13479" s="5" t="s">
        <v>355</v>
      </c>
    </row>
    <row r="13480" ht="16.5" customHeight="1">
      <c r="O13480" s="5" t="s">
        <v>355</v>
      </c>
      <c r="P13480" s="5" t="s">
        <v>355</v>
      </c>
      <c r="Q13480" s="5" t="s">
        <v>355</v>
      </c>
    </row>
    <row r="13481" ht="16.5" customHeight="1">
      <c r="O13481" s="5" t="s">
        <v>355</v>
      </c>
      <c r="P13481" s="5" t="s">
        <v>355</v>
      </c>
      <c r="Q13481" s="5" t="s">
        <v>355</v>
      </c>
    </row>
    <row r="13482" ht="16.5" customHeight="1">
      <c r="O13482" s="5" t="s">
        <v>355</v>
      </c>
      <c r="P13482" s="5" t="s">
        <v>355</v>
      </c>
      <c r="Q13482" s="5" t="s">
        <v>355</v>
      </c>
    </row>
    <row r="13483" ht="16.5" customHeight="1">
      <c r="O13483" s="5" t="s">
        <v>355</v>
      </c>
      <c r="P13483" s="5" t="s">
        <v>355</v>
      </c>
      <c r="Q13483" s="5" t="s">
        <v>355</v>
      </c>
    </row>
    <row r="13484" ht="16.5" customHeight="1">
      <c r="O13484" s="5" t="s">
        <v>355</v>
      </c>
      <c r="P13484" s="5" t="s">
        <v>355</v>
      </c>
      <c r="Q13484" s="5" t="s">
        <v>355</v>
      </c>
    </row>
    <row r="13485" ht="16.5" customHeight="1">
      <c r="O13485" s="5" t="s">
        <v>355</v>
      </c>
      <c r="P13485" s="5" t="s">
        <v>355</v>
      </c>
      <c r="Q13485" s="5" t="s">
        <v>355</v>
      </c>
    </row>
    <row r="13486" ht="16.5" customHeight="1">
      <c r="O13486" s="5" t="s">
        <v>355</v>
      </c>
      <c r="P13486" s="5" t="s">
        <v>355</v>
      </c>
      <c r="Q13486" s="5" t="s">
        <v>355</v>
      </c>
    </row>
    <row r="13487" ht="16.5" customHeight="1">
      <c r="O13487" s="5" t="s">
        <v>355</v>
      </c>
      <c r="P13487" s="5" t="s">
        <v>355</v>
      </c>
      <c r="Q13487" s="5" t="s">
        <v>355</v>
      </c>
    </row>
    <row r="13488" ht="16.5" customHeight="1">
      <c r="O13488" s="5" t="s">
        <v>355</v>
      </c>
      <c r="P13488" s="5" t="s">
        <v>355</v>
      </c>
      <c r="Q13488" s="5" t="s">
        <v>355</v>
      </c>
    </row>
    <row r="13489" ht="16.5" customHeight="1">
      <c r="O13489" s="5" t="s">
        <v>355</v>
      </c>
      <c r="P13489" s="5" t="s">
        <v>355</v>
      </c>
      <c r="Q13489" s="5" t="s">
        <v>355</v>
      </c>
    </row>
    <row r="13490" ht="16.5" customHeight="1">
      <c r="O13490" s="5" t="s">
        <v>355</v>
      </c>
      <c r="P13490" s="5" t="s">
        <v>355</v>
      </c>
      <c r="Q13490" s="5" t="s">
        <v>355</v>
      </c>
    </row>
    <row r="13491" ht="16.5" customHeight="1">
      <c r="O13491" s="5" t="s">
        <v>355</v>
      </c>
      <c r="P13491" s="5" t="s">
        <v>355</v>
      </c>
      <c r="Q13491" s="5" t="s">
        <v>355</v>
      </c>
    </row>
    <row r="13492" ht="16.5" customHeight="1">
      <c r="O13492" s="5" t="s">
        <v>355</v>
      </c>
      <c r="P13492" s="5" t="s">
        <v>355</v>
      </c>
      <c r="Q13492" s="5" t="s">
        <v>355</v>
      </c>
    </row>
    <row r="13493" ht="16.5" customHeight="1">
      <c r="O13493" s="5" t="s">
        <v>355</v>
      </c>
      <c r="P13493" s="5" t="s">
        <v>355</v>
      </c>
      <c r="Q13493" s="5" t="s">
        <v>355</v>
      </c>
    </row>
    <row r="13494" ht="16.5" customHeight="1">
      <c r="O13494" s="5" t="s">
        <v>355</v>
      </c>
      <c r="P13494" s="5" t="s">
        <v>355</v>
      </c>
      <c r="Q13494" s="5" t="s">
        <v>355</v>
      </c>
    </row>
    <row r="13495" ht="16.5" customHeight="1">
      <c r="O13495" s="5" t="s">
        <v>355</v>
      </c>
      <c r="P13495" s="5" t="s">
        <v>355</v>
      </c>
      <c r="Q13495" s="5" t="s">
        <v>355</v>
      </c>
    </row>
    <row r="13496" ht="16.5" customHeight="1">
      <c r="O13496" s="5" t="s">
        <v>355</v>
      </c>
      <c r="P13496" s="5" t="s">
        <v>355</v>
      </c>
      <c r="Q13496" s="5" t="s">
        <v>355</v>
      </c>
    </row>
    <row r="13497" ht="16.5" customHeight="1">
      <c r="O13497" s="5" t="s">
        <v>355</v>
      </c>
      <c r="P13497" s="5" t="s">
        <v>355</v>
      </c>
      <c r="Q13497" s="5" t="s">
        <v>355</v>
      </c>
    </row>
    <row r="13498" ht="16.5" customHeight="1">
      <c r="O13498" s="5" t="s">
        <v>355</v>
      </c>
      <c r="P13498" s="5" t="s">
        <v>355</v>
      </c>
      <c r="Q13498" s="5" t="s">
        <v>355</v>
      </c>
    </row>
    <row r="13499" ht="16.5" customHeight="1">
      <c r="O13499" s="5" t="s">
        <v>355</v>
      </c>
      <c r="P13499" s="5" t="s">
        <v>355</v>
      </c>
      <c r="Q13499" s="5" t="s">
        <v>355</v>
      </c>
    </row>
    <row r="13500" ht="16.5" customHeight="1">
      <c r="O13500" s="5" t="s">
        <v>355</v>
      </c>
      <c r="P13500" s="5" t="s">
        <v>355</v>
      </c>
      <c r="Q13500" s="5" t="s">
        <v>355</v>
      </c>
    </row>
    <row r="13501" ht="16.5" customHeight="1">
      <c r="O13501" s="5" t="s">
        <v>355</v>
      </c>
      <c r="P13501" s="5" t="s">
        <v>355</v>
      </c>
      <c r="Q13501" s="5" t="s">
        <v>355</v>
      </c>
    </row>
    <row r="13502" ht="16.5" customHeight="1">
      <c r="O13502" s="5" t="s">
        <v>355</v>
      </c>
      <c r="P13502" s="5" t="s">
        <v>355</v>
      </c>
      <c r="Q13502" s="5" t="s">
        <v>355</v>
      </c>
    </row>
    <row r="13503" ht="16.5" customHeight="1">
      <c r="O13503" s="5" t="s">
        <v>355</v>
      </c>
      <c r="P13503" s="5" t="s">
        <v>355</v>
      </c>
      <c r="Q13503" s="5" t="s">
        <v>355</v>
      </c>
    </row>
    <row r="13504" ht="16.5" customHeight="1">
      <c r="O13504" s="5" t="s">
        <v>355</v>
      </c>
      <c r="P13504" s="5" t="s">
        <v>355</v>
      </c>
      <c r="Q13504" s="5" t="s">
        <v>355</v>
      </c>
    </row>
    <row r="13505" ht="16.5" customHeight="1">
      <c r="O13505" s="5" t="s">
        <v>355</v>
      </c>
      <c r="P13505" s="5" t="s">
        <v>355</v>
      </c>
      <c r="Q13505" s="5" t="s">
        <v>355</v>
      </c>
    </row>
    <row r="13506" ht="16.5" customHeight="1">
      <c r="O13506" s="5" t="s">
        <v>355</v>
      </c>
      <c r="P13506" s="5" t="s">
        <v>355</v>
      </c>
      <c r="Q13506" s="5" t="s">
        <v>355</v>
      </c>
    </row>
    <row r="13507" ht="16.5" customHeight="1">
      <c r="O13507" s="5" t="s">
        <v>355</v>
      </c>
      <c r="P13507" s="5" t="s">
        <v>355</v>
      </c>
      <c r="Q13507" s="5" t="s">
        <v>355</v>
      </c>
    </row>
    <row r="13508" ht="16.5" customHeight="1">
      <c r="O13508" s="5" t="s">
        <v>355</v>
      </c>
      <c r="P13508" s="5" t="s">
        <v>355</v>
      </c>
      <c r="Q13508" s="5" t="s">
        <v>355</v>
      </c>
    </row>
    <row r="13509" ht="16.5" customHeight="1">
      <c r="O13509" s="5" t="s">
        <v>355</v>
      </c>
      <c r="P13509" s="5" t="s">
        <v>355</v>
      </c>
      <c r="Q13509" s="5" t="s">
        <v>355</v>
      </c>
    </row>
    <row r="13510" ht="16.5" customHeight="1">
      <c r="O13510" s="5" t="s">
        <v>355</v>
      </c>
      <c r="P13510" s="5" t="s">
        <v>355</v>
      </c>
      <c r="Q13510" s="5" t="s">
        <v>355</v>
      </c>
    </row>
    <row r="13511" ht="16.5" customHeight="1">
      <c r="O13511" s="5" t="s">
        <v>355</v>
      </c>
      <c r="P13511" s="5" t="s">
        <v>355</v>
      </c>
      <c r="Q13511" s="5" t="s">
        <v>355</v>
      </c>
    </row>
    <row r="13512" ht="16.5" customHeight="1">
      <c r="O13512" s="5" t="s">
        <v>355</v>
      </c>
      <c r="P13512" s="5" t="s">
        <v>355</v>
      </c>
      <c r="Q13512" s="5" t="s">
        <v>355</v>
      </c>
    </row>
    <row r="13513" ht="16.5" customHeight="1">
      <c r="O13513" s="5" t="s">
        <v>355</v>
      </c>
      <c r="P13513" s="5" t="s">
        <v>355</v>
      </c>
      <c r="Q13513" s="5" t="s">
        <v>355</v>
      </c>
    </row>
    <row r="13514" ht="16.5" customHeight="1">
      <c r="O13514" s="5" t="s">
        <v>355</v>
      </c>
      <c r="P13514" s="5" t="s">
        <v>355</v>
      </c>
      <c r="Q13514" s="5" t="s">
        <v>355</v>
      </c>
    </row>
    <row r="13515" ht="16.5" customHeight="1">
      <c r="O13515" s="5" t="s">
        <v>355</v>
      </c>
      <c r="P13515" s="5" t="s">
        <v>355</v>
      </c>
      <c r="Q13515" s="5" t="s">
        <v>355</v>
      </c>
    </row>
    <row r="13516" ht="16.5" customHeight="1">
      <c r="O13516" s="5" t="s">
        <v>355</v>
      </c>
      <c r="P13516" s="5" t="s">
        <v>355</v>
      </c>
      <c r="Q13516" s="5" t="s">
        <v>355</v>
      </c>
    </row>
    <row r="13517" ht="16.5" customHeight="1">
      <c r="O13517" s="5" t="s">
        <v>355</v>
      </c>
      <c r="P13517" s="5" t="s">
        <v>355</v>
      </c>
      <c r="Q13517" s="5" t="s">
        <v>355</v>
      </c>
    </row>
    <row r="13518" ht="16.5" customHeight="1">
      <c r="O13518" s="5" t="s">
        <v>355</v>
      </c>
      <c r="P13518" s="5" t="s">
        <v>355</v>
      </c>
      <c r="Q13518" s="5" t="s">
        <v>355</v>
      </c>
    </row>
    <row r="13519" ht="16.5" customHeight="1">
      <c r="O13519" s="5" t="s">
        <v>355</v>
      </c>
      <c r="P13519" s="5" t="s">
        <v>355</v>
      </c>
      <c r="Q13519" s="5" t="s">
        <v>355</v>
      </c>
    </row>
    <row r="13520" ht="16.5" customHeight="1">
      <c r="O13520" s="5" t="s">
        <v>355</v>
      </c>
      <c r="P13520" s="5" t="s">
        <v>355</v>
      </c>
      <c r="Q13520" s="5" t="s">
        <v>355</v>
      </c>
    </row>
    <row r="13521" ht="16.5" customHeight="1">
      <c r="O13521" s="5" t="s">
        <v>355</v>
      </c>
      <c r="P13521" s="5" t="s">
        <v>355</v>
      </c>
      <c r="Q13521" s="5" t="s">
        <v>355</v>
      </c>
    </row>
    <row r="13522" ht="16.5" customHeight="1">
      <c r="O13522" s="5" t="s">
        <v>355</v>
      </c>
      <c r="P13522" s="5" t="s">
        <v>355</v>
      </c>
      <c r="Q13522" s="5" t="s">
        <v>355</v>
      </c>
    </row>
    <row r="13523" ht="16.5" customHeight="1">
      <c r="O13523" s="5" t="s">
        <v>355</v>
      </c>
      <c r="P13523" s="5" t="s">
        <v>355</v>
      </c>
      <c r="Q13523" s="5" t="s">
        <v>355</v>
      </c>
    </row>
    <row r="13524" ht="16.5" customHeight="1">
      <c r="O13524" s="5" t="s">
        <v>355</v>
      </c>
      <c r="P13524" s="5" t="s">
        <v>355</v>
      </c>
      <c r="Q13524" s="5" t="s">
        <v>355</v>
      </c>
    </row>
    <row r="13525" ht="16.5" customHeight="1">
      <c r="O13525" s="5" t="s">
        <v>355</v>
      </c>
      <c r="P13525" s="5" t="s">
        <v>355</v>
      </c>
      <c r="Q13525" s="5" t="s">
        <v>355</v>
      </c>
    </row>
    <row r="13526" ht="16.5" customHeight="1">
      <c r="O13526" s="5" t="s">
        <v>355</v>
      </c>
      <c r="P13526" s="5" t="s">
        <v>355</v>
      </c>
      <c r="Q13526" s="5" t="s">
        <v>355</v>
      </c>
    </row>
    <row r="13527" ht="16.5" customHeight="1">
      <c r="O13527" s="5" t="s">
        <v>355</v>
      </c>
      <c r="P13527" s="5" t="s">
        <v>355</v>
      </c>
      <c r="Q13527" s="5" t="s">
        <v>355</v>
      </c>
    </row>
    <row r="13528" ht="16.5" customHeight="1">
      <c r="O13528" s="5" t="s">
        <v>355</v>
      </c>
      <c r="P13528" s="5" t="s">
        <v>355</v>
      </c>
      <c r="Q13528" s="5" t="s">
        <v>355</v>
      </c>
    </row>
    <row r="13529" ht="16.5" customHeight="1">
      <c r="O13529" s="5" t="s">
        <v>355</v>
      </c>
      <c r="P13529" s="5" t="s">
        <v>355</v>
      </c>
      <c r="Q13529" s="5" t="s">
        <v>355</v>
      </c>
    </row>
    <row r="13530" ht="16.5" customHeight="1">
      <c r="O13530" s="5" t="s">
        <v>355</v>
      </c>
      <c r="P13530" s="5" t="s">
        <v>355</v>
      </c>
      <c r="Q13530" s="5" t="s">
        <v>355</v>
      </c>
    </row>
    <row r="13531" ht="16.5" customHeight="1">
      <c r="O13531" s="5" t="s">
        <v>355</v>
      </c>
      <c r="P13531" s="5" t="s">
        <v>355</v>
      </c>
      <c r="Q13531" s="5" t="s">
        <v>355</v>
      </c>
    </row>
    <row r="13532" ht="16.5" customHeight="1">
      <c r="O13532" s="5" t="s">
        <v>355</v>
      </c>
      <c r="P13532" s="5" t="s">
        <v>355</v>
      </c>
      <c r="Q13532" s="5" t="s">
        <v>355</v>
      </c>
    </row>
    <row r="13533" ht="16.5" customHeight="1">
      <c r="O13533" s="5" t="s">
        <v>355</v>
      </c>
      <c r="P13533" s="5" t="s">
        <v>355</v>
      </c>
      <c r="Q13533" s="5" t="s">
        <v>355</v>
      </c>
    </row>
    <row r="13534" ht="16.5" customHeight="1">
      <c r="O13534" s="5" t="s">
        <v>355</v>
      </c>
      <c r="P13534" s="5" t="s">
        <v>355</v>
      </c>
      <c r="Q13534" s="5" t="s">
        <v>355</v>
      </c>
    </row>
    <row r="13535" ht="16.5" customHeight="1">
      <c r="O13535" s="5" t="s">
        <v>355</v>
      </c>
      <c r="P13535" s="5" t="s">
        <v>355</v>
      </c>
      <c r="Q13535" s="5" t="s">
        <v>355</v>
      </c>
    </row>
    <row r="13536" ht="16.5" customHeight="1">
      <c r="O13536" s="5" t="s">
        <v>355</v>
      </c>
      <c r="P13536" s="5" t="s">
        <v>355</v>
      </c>
      <c r="Q13536" s="5" t="s">
        <v>355</v>
      </c>
    </row>
    <row r="13537" ht="16.5" customHeight="1">
      <c r="O13537" s="5" t="s">
        <v>355</v>
      </c>
      <c r="P13537" s="5" t="s">
        <v>355</v>
      </c>
      <c r="Q13537" s="5" t="s">
        <v>355</v>
      </c>
    </row>
    <row r="13538" ht="16.5" customHeight="1">
      <c r="O13538" s="5" t="s">
        <v>355</v>
      </c>
      <c r="P13538" s="5" t="s">
        <v>355</v>
      </c>
      <c r="Q13538" s="5" t="s">
        <v>355</v>
      </c>
    </row>
    <row r="13539" ht="16.5" customHeight="1">
      <c r="O13539" s="5" t="s">
        <v>355</v>
      </c>
      <c r="P13539" s="5" t="s">
        <v>355</v>
      </c>
      <c r="Q13539" s="5" t="s">
        <v>355</v>
      </c>
    </row>
    <row r="13540" ht="16.5" customHeight="1">
      <c r="O13540" s="5" t="s">
        <v>355</v>
      </c>
      <c r="P13540" s="5" t="s">
        <v>355</v>
      </c>
      <c r="Q13540" s="5" t="s">
        <v>355</v>
      </c>
    </row>
    <row r="13541" ht="16.5" customHeight="1">
      <c r="O13541" s="5" t="s">
        <v>355</v>
      </c>
      <c r="P13541" s="5" t="s">
        <v>355</v>
      </c>
      <c r="Q13541" s="5" t="s">
        <v>355</v>
      </c>
    </row>
    <row r="13542" ht="16.5" customHeight="1">
      <c r="O13542" s="5" t="s">
        <v>355</v>
      </c>
      <c r="P13542" s="5" t="s">
        <v>355</v>
      </c>
      <c r="Q13542" s="5" t="s">
        <v>355</v>
      </c>
    </row>
    <row r="13543" ht="16.5" customHeight="1">
      <c r="O13543" s="5" t="s">
        <v>355</v>
      </c>
      <c r="P13543" s="5" t="s">
        <v>355</v>
      </c>
      <c r="Q13543" s="5" t="s">
        <v>355</v>
      </c>
    </row>
    <row r="13544" ht="16.5" customHeight="1">
      <c r="O13544" s="5" t="s">
        <v>355</v>
      </c>
      <c r="P13544" s="5" t="s">
        <v>355</v>
      </c>
      <c r="Q13544" s="5" t="s">
        <v>355</v>
      </c>
    </row>
    <row r="13545" ht="16.5" customHeight="1">
      <c r="O13545" s="5" t="s">
        <v>355</v>
      </c>
      <c r="P13545" s="5" t="s">
        <v>355</v>
      </c>
      <c r="Q13545" s="5" t="s">
        <v>355</v>
      </c>
    </row>
    <row r="13546" ht="16.5" customHeight="1">
      <c r="O13546" s="5" t="s">
        <v>355</v>
      </c>
      <c r="P13546" s="5" t="s">
        <v>355</v>
      </c>
      <c r="Q13546" s="5" t="s">
        <v>355</v>
      </c>
    </row>
    <row r="13547" ht="16.5" customHeight="1">
      <c r="O13547" s="5" t="s">
        <v>355</v>
      </c>
      <c r="P13547" s="5" t="s">
        <v>355</v>
      </c>
      <c r="Q13547" s="5" t="s">
        <v>355</v>
      </c>
    </row>
    <row r="13548" ht="16.5" customHeight="1">
      <c r="O13548" s="5" t="s">
        <v>355</v>
      </c>
      <c r="P13548" s="5" t="s">
        <v>355</v>
      </c>
      <c r="Q13548" s="5" t="s">
        <v>355</v>
      </c>
    </row>
    <row r="13549" ht="16.5" customHeight="1">
      <c r="O13549" s="5" t="s">
        <v>355</v>
      </c>
      <c r="P13549" s="5" t="s">
        <v>355</v>
      </c>
      <c r="Q13549" s="5" t="s">
        <v>355</v>
      </c>
    </row>
    <row r="13550" ht="16.5" customHeight="1">
      <c r="O13550" s="5" t="s">
        <v>355</v>
      </c>
      <c r="P13550" s="5" t="s">
        <v>355</v>
      </c>
      <c r="Q13550" s="5" t="s">
        <v>355</v>
      </c>
    </row>
    <row r="13551" ht="16.5" customHeight="1">
      <c r="O13551" s="5" t="s">
        <v>355</v>
      </c>
      <c r="P13551" s="5" t="s">
        <v>355</v>
      </c>
      <c r="Q13551" s="5" t="s">
        <v>355</v>
      </c>
    </row>
    <row r="13552" ht="16.5" customHeight="1">
      <c r="O13552" s="5" t="s">
        <v>355</v>
      </c>
      <c r="P13552" s="5" t="s">
        <v>355</v>
      </c>
      <c r="Q13552" s="5" t="s">
        <v>355</v>
      </c>
    </row>
    <row r="13553" ht="16.5" customHeight="1">
      <c r="O13553" s="5" t="s">
        <v>355</v>
      </c>
      <c r="P13553" s="5" t="s">
        <v>355</v>
      </c>
      <c r="Q13553" s="5" t="s">
        <v>355</v>
      </c>
    </row>
    <row r="13554" ht="16.5" customHeight="1">
      <c r="O13554" s="5" t="s">
        <v>355</v>
      </c>
      <c r="P13554" s="5" t="s">
        <v>355</v>
      </c>
      <c r="Q13554" s="5" t="s">
        <v>355</v>
      </c>
    </row>
    <row r="13555" ht="16.5" customHeight="1">
      <c r="O13555" s="5" t="s">
        <v>355</v>
      </c>
      <c r="P13555" s="5" t="s">
        <v>355</v>
      </c>
      <c r="Q13555" s="5" t="s">
        <v>355</v>
      </c>
    </row>
    <row r="13556" ht="16.5" customHeight="1">
      <c r="O13556" s="5" t="s">
        <v>355</v>
      </c>
      <c r="P13556" s="5" t="s">
        <v>355</v>
      </c>
      <c r="Q13556" s="5" t="s">
        <v>355</v>
      </c>
    </row>
    <row r="13557" ht="16.5" customHeight="1">
      <c r="O13557" s="5" t="s">
        <v>355</v>
      </c>
      <c r="P13557" s="5" t="s">
        <v>355</v>
      </c>
      <c r="Q13557" s="5" t="s">
        <v>355</v>
      </c>
    </row>
    <row r="13558" ht="16.5" customHeight="1">
      <c r="O13558" s="5" t="s">
        <v>355</v>
      </c>
      <c r="P13558" s="5" t="s">
        <v>355</v>
      </c>
      <c r="Q13558" s="5" t="s">
        <v>355</v>
      </c>
    </row>
    <row r="13559" ht="16.5" customHeight="1">
      <c r="O13559" s="5" t="s">
        <v>355</v>
      </c>
      <c r="P13559" s="5" t="s">
        <v>355</v>
      </c>
      <c r="Q13559" s="5" t="s">
        <v>355</v>
      </c>
    </row>
    <row r="13560" ht="16.5" customHeight="1">
      <c r="O13560" s="5" t="s">
        <v>355</v>
      </c>
      <c r="P13560" s="5" t="s">
        <v>355</v>
      </c>
      <c r="Q13560" s="5" t="s">
        <v>355</v>
      </c>
    </row>
    <row r="13561" ht="16.5" customHeight="1">
      <c r="O13561" s="5" t="s">
        <v>355</v>
      </c>
      <c r="P13561" s="5" t="s">
        <v>355</v>
      </c>
      <c r="Q13561" s="5" t="s">
        <v>355</v>
      </c>
    </row>
    <row r="13562" ht="16.5" customHeight="1">
      <c r="O13562" s="5" t="s">
        <v>355</v>
      </c>
      <c r="P13562" s="5" t="s">
        <v>355</v>
      </c>
      <c r="Q13562" s="5" t="s">
        <v>355</v>
      </c>
    </row>
    <row r="13563" ht="16.5" customHeight="1">
      <c r="O13563" s="5" t="s">
        <v>355</v>
      </c>
      <c r="P13563" s="5" t="s">
        <v>355</v>
      </c>
      <c r="Q13563" s="5" t="s">
        <v>355</v>
      </c>
    </row>
    <row r="13564" ht="16.5" customHeight="1">
      <c r="O13564" s="5" t="s">
        <v>355</v>
      </c>
      <c r="P13564" s="5" t="s">
        <v>355</v>
      </c>
      <c r="Q13564" s="5" t="s">
        <v>355</v>
      </c>
    </row>
    <row r="13565" ht="16.5" customHeight="1">
      <c r="O13565" s="5" t="s">
        <v>355</v>
      </c>
      <c r="P13565" s="5" t="s">
        <v>355</v>
      </c>
      <c r="Q13565" s="5" t="s">
        <v>355</v>
      </c>
    </row>
    <row r="13566" ht="16.5" customHeight="1">
      <c r="O13566" s="5" t="s">
        <v>355</v>
      </c>
      <c r="P13566" s="5" t="s">
        <v>355</v>
      </c>
      <c r="Q13566" s="5" t="s">
        <v>355</v>
      </c>
    </row>
    <row r="13567" ht="16.5" customHeight="1">
      <c r="O13567" s="5" t="s">
        <v>355</v>
      </c>
      <c r="P13567" s="5" t="s">
        <v>355</v>
      </c>
      <c r="Q13567" s="5" t="s">
        <v>355</v>
      </c>
    </row>
    <row r="13568" ht="16.5" customHeight="1">
      <c r="O13568" s="5" t="s">
        <v>355</v>
      </c>
      <c r="P13568" s="5" t="s">
        <v>355</v>
      </c>
      <c r="Q13568" s="5" t="s">
        <v>355</v>
      </c>
    </row>
    <row r="13569" ht="16.5" customHeight="1">
      <c r="O13569" s="5" t="s">
        <v>355</v>
      </c>
      <c r="P13569" s="5" t="s">
        <v>355</v>
      </c>
      <c r="Q13569" s="5" t="s">
        <v>355</v>
      </c>
    </row>
    <row r="13570" ht="16.5" customHeight="1">
      <c r="O13570" s="5" t="s">
        <v>355</v>
      </c>
      <c r="P13570" s="5" t="s">
        <v>355</v>
      </c>
      <c r="Q13570" s="5" t="s">
        <v>355</v>
      </c>
    </row>
    <row r="13571" ht="16.5" customHeight="1">
      <c r="O13571" s="5" t="s">
        <v>355</v>
      </c>
      <c r="P13571" s="5" t="s">
        <v>355</v>
      </c>
      <c r="Q13571" s="5" t="s">
        <v>355</v>
      </c>
    </row>
    <row r="13572" ht="16.5" customHeight="1">
      <c r="O13572" s="5" t="s">
        <v>355</v>
      </c>
      <c r="P13572" s="5" t="s">
        <v>355</v>
      </c>
      <c r="Q13572" s="5" t="s">
        <v>355</v>
      </c>
    </row>
    <row r="13573" ht="16.5" customHeight="1">
      <c r="O13573" s="5" t="s">
        <v>355</v>
      </c>
      <c r="P13573" s="5" t="s">
        <v>355</v>
      </c>
      <c r="Q13573" s="5" t="s">
        <v>355</v>
      </c>
    </row>
    <row r="13574" ht="16.5" customHeight="1">
      <c r="O13574" s="5" t="s">
        <v>355</v>
      </c>
      <c r="P13574" s="5" t="s">
        <v>355</v>
      </c>
      <c r="Q13574" s="5" t="s">
        <v>355</v>
      </c>
    </row>
    <row r="13575" ht="16.5" customHeight="1">
      <c r="O13575" s="5" t="s">
        <v>355</v>
      </c>
      <c r="P13575" s="5" t="s">
        <v>355</v>
      </c>
      <c r="Q13575" s="5" t="s">
        <v>355</v>
      </c>
    </row>
    <row r="13576" ht="16.5" customHeight="1">
      <c r="O13576" s="5" t="s">
        <v>355</v>
      </c>
      <c r="P13576" s="5" t="s">
        <v>355</v>
      </c>
      <c r="Q13576" s="5" t="s">
        <v>355</v>
      </c>
    </row>
    <row r="13577" ht="16.5" customHeight="1">
      <c r="O13577" s="5" t="s">
        <v>355</v>
      </c>
      <c r="P13577" s="5" t="s">
        <v>355</v>
      </c>
      <c r="Q13577" s="5" t="s">
        <v>355</v>
      </c>
    </row>
    <row r="13578" ht="16.5" customHeight="1">
      <c r="O13578" s="5" t="s">
        <v>355</v>
      </c>
      <c r="P13578" s="5" t="s">
        <v>355</v>
      </c>
      <c r="Q13578" s="5" t="s">
        <v>355</v>
      </c>
    </row>
    <row r="13579" ht="16.5" customHeight="1">
      <c r="O13579" s="5" t="s">
        <v>355</v>
      </c>
      <c r="P13579" s="5" t="s">
        <v>355</v>
      </c>
      <c r="Q13579" s="5" t="s">
        <v>355</v>
      </c>
    </row>
    <row r="13580" ht="16.5" customHeight="1">
      <c r="O13580" s="5" t="s">
        <v>355</v>
      </c>
      <c r="P13580" s="5" t="s">
        <v>355</v>
      </c>
      <c r="Q13580" s="5" t="s">
        <v>355</v>
      </c>
    </row>
    <row r="13581" ht="16.5" customHeight="1">
      <c r="O13581" s="5" t="s">
        <v>355</v>
      </c>
      <c r="P13581" s="5" t="s">
        <v>355</v>
      </c>
      <c r="Q13581" s="5" t="s">
        <v>355</v>
      </c>
    </row>
    <row r="13582" ht="16.5" customHeight="1">
      <c r="O13582" s="5" t="s">
        <v>355</v>
      </c>
      <c r="P13582" s="5" t="s">
        <v>355</v>
      </c>
      <c r="Q13582" s="5" t="s">
        <v>355</v>
      </c>
    </row>
    <row r="13583" ht="16.5" customHeight="1">
      <c r="O13583" s="5" t="s">
        <v>355</v>
      </c>
      <c r="P13583" s="5" t="s">
        <v>355</v>
      </c>
      <c r="Q13583" s="5" t="s">
        <v>355</v>
      </c>
    </row>
    <row r="13584" ht="16.5" customHeight="1">
      <c r="O13584" s="5" t="s">
        <v>355</v>
      </c>
      <c r="P13584" s="5" t="s">
        <v>355</v>
      </c>
      <c r="Q13584" s="5" t="s">
        <v>355</v>
      </c>
    </row>
    <row r="13585" ht="16.5" customHeight="1">
      <c r="O13585" s="5" t="s">
        <v>355</v>
      </c>
      <c r="P13585" s="5" t="s">
        <v>355</v>
      </c>
      <c r="Q13585" s="5" t="s">
        <v>355</v>
      </c>
    </row>
    <row r="13586" ht="16.5" customHeight="1">
      <c r="O13586" s="5" t="s">
        <v>355</v>
      </c>
      <c r="P13586" s="5" t="s">
        <v>355</v>
      </c>
      <c r="Q13586" s="5" t="s">
        <v>355</v>
      </c>
    </row>
    <row r="13587" ht="16.5" customHeight="1">
      <c r="O13587" s="5" t="s">
        <v>355</v>
      </c>
      <c r="P13587" s="5" t="s">
        <v>355</v>
      </c>
      <c r="Q13587" s="5" t="s">
        <v>355</v>
      </c>
    </row>
    <row r="13588" ht="16.5" customHeight="1">
      <c r="O13588" s="5" t="s">
        <v>355</v>
      </c>
      <c r="P13588" s="5" t="s">
        <v>355</v>
      </c>
      <c r="Q13588" s="5" t="s">
        <v>355</v>
      </c>
    </row>
    <row r="13589" ht="16.5" customHeight="1">
      <c r="O13589" s="5" t="s">
        <v>355</v>
      </c>
      <c r="P13589" s="5" t="s">
        <v>355</v>
      </c>
      <c r="Q13589" s="5" t="s">
        <v>355</v>
      </c>
    </row>
    <row r="13590" ht="16.5" customHeight="1">
      <c r="O13590" s="5" t="s">
        <v>355</v>
      </c>
      <c r="P13590" s="5" t="s">
        <v>355</v>
      </c>
      <c r="Q13590" s="5" t="s">
        <v>355</v>
      </c>
    </row>
    <row r="13591" ht="16.5" customHeight="1">
      <c r="O13591" s="5" t="s">
        <v>355</v>
      </c>
      <c r="P13591" s="5" t="s">
        <v>355</v>
      </c>
      <c r="Q13591" s="5" t="s">
        <v>355</v>
      </c>
    </row>
    <row r="13592" ht="16.5" customHeight="1">
      <c r="O13592" s="5" t="s">
        <v>355</v>
      </c>
      <c r="P13592" s="5" t="s">
        <v>355</v>
      </c>
      <c r="Q13592" s="5" t="s">
        <v>355</v>
      </c>
    </row>
    <row r="13593" ht="16.5" customHeight="1">
      <c r="O13593" s="5" t="s">
        <v>355</v>
      </c>
      <c r="P13593" s="5" t="s">
        <v>355</v>
      </c>
      <c r="Q13593" s="5" t="s">
        <v>355</v>
      </c>
    </row>
    <row r="13594" ht="16.5" customHeight="1">
      <c r="O13594" s="5" t="s">
        <v>355</v>
      </c>
      <c r="P13594" s="5" t="s">
        <v>355</v>
      </c>
      <c r="Q13594" s="5" t="s">
        <v>355</v>
      </c>
    </row>
    <row r="13595" ht="16.5" customHeight="1">
      <c r="O13595" s="5" t="s">
        <v>355</v>
      </c>
      <c r="P13595" s="5" t="s">
        <v>355</v>
      </c>
      <c r="Q13595" s="5" t="s">
        <v>355</v>
      </c>
    </row>
    <row r="13596" ht="16.5" customHeight="1">
      <c r="O13596" s="5" t="s">
        <v>355</v>
      </c>
      <c r="P13596" s="5" t="s">
        <v>355</v>
      </c>
      <c r="Q13596" s="5" t="s">
        <v>355</v>
      </c>
    </row>
    <row r="13597" ht="16.5" customHeight="1">
      <c r="O13597" s="5" t="s">
        <v>355</v>
      </c>
      <c r="P13597" s="5" t="s">
        <v>355</v>
      </c>
      <c r="Q13597" s="5" t="s">
        <v>355</v>
      </c>
    </row>
    <row r="13598" ht="16.5" customHeight="1">
      <c r="O13598" s="5" t="s">
        <v>355</v>
      </c>
      <c r="P13598" s="5" t="s">
        <v>355</v>
      </c>
      <c r="Q13598" s="5" t="s">
        <v>355</v>
      </c>
    </row>
    <row r="13599" ht="16.5" customHeight="1">
      <c r="O13599" s="5" t="s">
        <v>355</v>
      </c>
      <c r="P13599" s="5" t="s">
        <v>355</v>
      </c>
      <c r="Q13599" s="5" t="s">
        <v>355</v>
      </c>
    </row>
    <row r="13600" ht="16.5" customHeight="1">
      <c r="O13600" s="5" t="s">
        <v>355</v>
      </c>
      <c r="P13600" s="5" t="s">
        <v>355</v>
      </c>
      <c r="Q13600" s="5" t="s">
        <v>355</v>
      </c>
    </row>
    <row r="13601" ht="16.5" customHeight="1">
      <c r="O13601" s="5" t="s">
        <v>355</v>
      </c>
      <c r="P13601" s="5" t="s">
        <v>355</v>
      </c>
      <c r="Q13601" s="5" t="s">
        <v>355</v>
      </c>
    </row>
    <row r="13602" ht="16.5" customHeight="1">
      <c r="O13602" s="5" t="s">
        <v>355</v>
      </c>
      <c r="P13602" s="5" t="s">
        <v>355</v>
      </c>
      <c r="Q13602" s="5" t="s">
        <v>355</v>
      </c>
    </row>
    <row r="13603" ht="16.5" customHeight="1">
      <c r="O13603" s="5" t="s">
        <v>355</v>
      </c>
      <c r="P13603" s="5" t="s">
        <v>355</v>
      </c>
      <c r="Q13603" s="5" t="s">
        <v>355</v>
      </c>
    </row>
    <row r="13604" ht="16.5" customHeight="1">
      <c r="O13604" s="5" t="s">
        <v>355</v>
      </c>
      <c r="P13604" s="5" t="s">
        <v>355</v>
      </c>
      <c r="Q13604" s="5" t="s">
        <v>355</v>
      </c>
    </row>
    <row r="13605" ht="16.5" customHeight="1">
      <c r="O13605" s="5" t="s">
        <v>355</v>
      </c>
      <c r="P13605" s="5" t="s">
        <v>355</v>
      </c>
      <c r="Q13605" s="5" t="s">
        <v>355</v>
      </c>
    </row>
    <row r="13606" ht="16.5" customHeight="1">
      <c r="O13606" s="5" t="s">
        <v>355</v>
      </c>
      <c r="P13606" s="5" t="s">
        <v>355</v>
      </c>
      <c r="Q13606" s="5" t="s">
        <v>355</v>
      </c>
    </row>
    <row r="13607" ht="16.5" customHeight="1">
      <c r="O13607" s="5" t="s">
        <v>355</v>
      </c>
      <c r="P13607" s="5" t="s">
        <v>355</v>
      </c>
      <c r="Q13607" s="5" t="s">
        <v>355</v>
      </c>
    </row>
    <row r="13608" ht="16.5" customHeight="1">
      <c r="O13608" s="5" t="s">
        <v>355</v>
      </c>
      <c r="P13608" s="5" t="s">
        <v>355</v>
      </c>
      <c r="Q13608" s="5" t="s">
        <v>355</v>
      </c>
    </row>
    <row r="13609" ht="16.5" customHeight="1">
      <c r="O13609" s="5" t="s">
        <v>355</v>
      </c>
      <c r="P13609" s="5" t="s">
        <v>355</v>
      </c>
      <c r="Q13609" s="5" t="s">
        <v>355</v>
      </c>
    </row>
    <row r="13610" ht="16.5" customHeight="1">
      <c r="O13610" s="5" t="s">
        <v>355</v>
      </c>
      <c r="P13610" s="5" t="s">
        <v>355</v>
      </c>
      <c r="Q13610" s="5" t="s">
        <v>355</v>
      </c>
    </row>
    <row r="13611" ht="16.5" customHeight="1">
      <c r="O13611" s="5" t="s">
        <v>355</v>
      </c>
      <c r="P13611" s="5" t="s">
        <v>355</v>
      </c>
      <c r="Q13611" s="5" t="s">
        <v>355</v>
      </c>
    </row>
    <row r="13612" ht="16.5" customHeight="1">
      <c r="O13612" s="5" t="s">
        <v>355</v>
      </c>
      <c r="P13612" s="5" t="s">
        <v>355</v>
      </c>
      <c r="Q13612" s="5" t="s">
        <v>355</v>
      </c>
    </row>
    <row r="13613" ht="16.5" customHeight="1">
      <c r="O13613" s="5" t="s">
        <v>355</v>
      </c>
      <c r="P13613" s="5" t="s">
        <v>355</v>
      </c>
      <c r="Q13613" s="5" t="s">
        <v>355</v>
      </c>
    </row>
    <row r="13614" ht="16.5" customHeight="1">
      <c r="O13614" s="5" t="s">
        <v>355</v>
      </c>
      <c r="P13614" s="5" t="s">
        <v>355</v>
      </c>
      <c r="Q13614" s="5" t="s">
        <v>355</v>
      </c>
    </row>
    <row r="13615" ht="16.5" customHeight="1">
      <c r="O13615" s="5" t="s">
        <v>355</v>
      </c>
      <c r="P13615" s="5" t="s">
        <v>355</v>
      </c>
      <c r="Q13615" s="5" t="s">
        <v>355</v>
      </c>
    </row>
    <row r="13616" ht="16.5" customHeight="1">
      <c r="O13616" s="5" t="s">
        <v>355</v>
      </c>
      <c r="P13616" s="5" t="s">
        <v>355</v>
      </c>
      <c r="Q13616" s="5" t="s">
        <v>355</v>
      </c>
    </row>
    <row r="13617" ht="16.5" customHeight="1">
      <c r="O13617" s="5" t="s">
        <v>355</v>
      </c>
      <c r="P13617" s="5" t="s">
        <v>355</v>
      </c>
      <c r="Q13617" s="5" t="s">
        <v>355</v>
      </c>
    </row>
    <row r="13618" ht="16.5" customHeight="1">
      <c r="O13618" s="5" t="s">
        <v>355</v>
      </c>
      <c r="P13618" s="5" t="s">
        <v>355</v>
      </c>
      <c r="Q13618" s="5" t="s">
        <v>355</v>
      </c>
    </row>
    <row r="13619" ht="16.5" customHeight="1">
      <c r="O13619" s="5" t="s">
        <v>355</v>
      </c>
      <c r="P13619" s="5" t="s">
        <v>355</v>
      </c>
      <c r="Q13619" s="5" t="s">
        <v>355</v>
      </c>
    </row>
    <row r="13620" ht="16.5" customHeight="1">
      <c r="O13620" s="5" t="s">
        <v>355</v>
      </c>
      <c r="P13620" s="5" t="s">
        <v>355</v>
      </c>
      <c r="Q13620" s="5" t="s">
        <v>355</v>
      </c>
    </row>
    <row r="13621" ht="16.5" customHeight="1">
      <c r="O13621" s="5" t="s">
        <v>355</v>
      </c>
      <c r="P13621" s="5" t="s">
        <v>355</v>
      </c>
      <c r="Q13621" s="5" t="s">
        <v>355</v>
      </c>
    </row>
    <row r="13622" ht="16.5" customHeight="1">
      <c r="O13622" s="5" t="s">
        <v>355</v>
      </c>
      <c r="P13622" s="5" t="s">
        <v>355</v>
      </c>
      <c r="Q13622" s="5" t="s">
        <v>355</v>
      </c>
    </row>
    <row r="13623" ht="16.5" customHeight="1">
      <c r="O13623" s="5" t="s">
        <v>355</v>
      </c>
      <c r="P13623" s="5" t="s">
        <v>355</v>
      </c>
      <c r="Q13623" s="5" t="s">
        <v>355</v>
      </c>
    </row>
    <row r="13624" ht="16.5" customHeight="1">
      <c r="O13624" s="5" t="s">
        <v>355</v>
      </c>
      <c r="P13624" s="5" t="s">
        <v>355</v>
      </c>
      <c r="Q13624" s="5" t="s">
        <v>355</v>
      </c>
    </row>
    <row r="13625" ht="16.5" customHeight="1">
      <c r="O13625" s="5" t="s">
        <v>355</v>
      </c>
      <c r="P13625" s="5" t="s">
        <v>355</v>
      </c>
      <c r="Q13625" s="5" t="s">
        <v>355</v>
      </c>
    </row>
    <row r="13626" ht="16.5" customHeight="1">
      <c r="O13626" s="5" t="s">
        <v>355</v>
      </c>
      <c r="P13626" s="5" t="s">
        <v>355</v>
      </c>
      <c r="Q13626" s="5" t="s">
        <v>355</v>
      </c>
    </row>
    <row r="13627" ht="16.5" customHeight="1">
      <c r="O13627" s="5" t="s">
        <v>355</v>
      </c>
      <c r="P13627" s="5" t="s">
        <v>355</v>
      </c>
      <c r="Q13627" s="5" t="s">
        <v>355</v>
      </c>
    </row>
    <row r="13628" ht="16.5" customHeight="1">
      <c r="O13628" s="5" t="s">
        <v>355</v>
      </c>
      <c r="P13628" s="5" t="s">
        <v>355</v>
      </c>
      <c r="Q13628" s="5" t="s">
        <v>355</v>
      </c>
    </row>
    <row r="13629" ht="16.5" customHeight="1">
      <c r="O13629" s="5" t="s">
        <v>355</v>
      </c>
      <c r="P13629" s="5" t="s">
        <v>355</v>
      </c>
      <c r="Q13629" s="5" t="s">
        <v>355</v>
      </c>
    </row>
    <row r="13630" ht="16.5" customHeight="1">
      <c r="O13630" s="5" t="s">
        <v>355</v>
      </c>
      <c r="P13630" s="5" t="s">
        <v>355</v>
      </c>
      <c r="Q13630" s="5" t="s">
        <v>355</v>
      </c>
    </row>
    <row r="13631" ht="16.5" customHeight="1">
      <c r="O13631" s="5" t="s">
        <v>355</v>
      </c>
      <c r="P13631" s="5" t="s">
        <v>355</v>
      </c>
      <c r="Q13631" s="5" t="s">
        <v>355</v>
      </c>
    </row>
    <row r="13632" ht="16.5" customHeight="1">
      <c r="O13632" s="5" t="s">
        <v>355</v>
      </c>
      <c r="P13632" s="5" t="s">
        <v>355</v>
      </c>
      <c r="Q13632" s="5" t="s">
        <v>355</v>
      </c>
    </row>
    <row r="13633" ht="16.5" customHeight="1">
      <c r="O13633" s="5" t="s">
        <v>355</v>
      </c>
      <c r="P13633" s="5" t="s">
        <v>355</v>
      </c>
      <c r="Q13633" s="5" t="s">
        <v>355</v>
      </c>
    </row>
    <row r="13634" ht="16.5" customHeight="1">
      <c r="O13634" s="5" t="s">
        <v>355</v>
      </c>
      <c r="P13634" s="5" t="s">
        <v>355</v>
      </c>
      <c r="Q13634" s="5" t="s">
        <v>355</v>
      </c>
    </row>
    <row r="13635" ht="16.5" customHeight="1">
      <c r="O13635" s="5" t="s">
        <v>355</v>
      </c>
      <c r="P13635" s="5" t="s">
        <v>355</v>
      </c>
      <c r="Q13635" s="5" t="s">
        <v>355</v>
      </c>
    </row>
    <row r="13636" ht="16.5" customHeight="1">
      <c r="O13636" s="5" t="s">
        <v>355</v>
      </c>
      <c r="P13636" s="5" t="s">
        <v>355</v>
      </c>
      <c r="Q13636" s="5" t="s">
        <v>355</v>
      </c>
    </row>
    <row r="13637" ht="16.5" customHeight="1">
      <c r="O13637" s="5" t="s">
        <v>355</v>
      </c>
      <c r="P13637" s="5" t="s">
        <v>355</v>
      </c>
      <c r="Q13637" s="5" t="s">
        <v>355</v>
      </c>
    </row>
    <row r="13638" ht="16.5" customHeight="1">
      <c r="O13638" s="5" t="s">
        <v>355</v>
      </c>
      <c r="P13638" s="5" t="s">
        <v>355</v>
      </c>
      <c r="Q13638" s="5" t="s">
        <v>355</v>
      </c>
    </row>
    <row r="13639" ht="16.5" customHeight="1">
      <c r="O13639" s="5" t="s">
        <v>355</v>
      </c>
      <c r="P13639" s="5" t="s">
        <v>355</v>
      </c>
      <c r="Q13639" s="5" t="s">
        <v>355</v>
      </c>
    </row>
    <row r="13640" ht="16.5" customHeight="1">
      <c r="O13640" s="5" t="s">
        <v>355</v>
      </c>
      <c r="P13640" s="5" t="s">
        <v>355</v>
      </c>
      <c r="Q13640" s="5" t="s">
        <v>355</v>
      </c>
    </row>
    <row r="13641" ht="16.5" customHeight="1">
      <c r="O13641" s="5" t="s">
        <v>355</v>
      </c>
      <c r="P13641" s="5" t="s">
        <v>355</v>
      </c>
      <c r="Q13641" s="5" t="s">
        <v>355</v>
      </c>
    </row>
    <row r="13642" ht="16.5" customHeight="1">
      <c r="O13642" s="5" t="s">
        <v>355</v>
      </c>
      <c r="P13642" s="5" t="s">
        <v>355</v>
      </c>
      <c r="Q13642" s="5" t="s">
        <v>355</v>
      </c>
    </row>
    <row r="13643" ht="16.5" customHeight="1">
      <c r="O13643" s="5" t="s">
        <v>355</v>
      </c>
      <c r="P13643" s="5" t="s">
        <v>355</v>
      </c>
      <c r="Q13643" s="5" t="s">
        <v>355</v>
      </c>
    </row>
    <row r="13644" ht="16.5" customHeight="1">
      <c r="O13644" s="5" t="s">
        <v>355</v>
      </c>
      <c r="P13644" s="5" t="s">
        <v>355</v>
      </c>
      <c r="Q13644" s="5" t="s">
        <v>355</v>
      </c>
    </row>
    <row r="13645" ht="16.5" customHeight="1">
      <c r="O13645" s="5" t="s">
        <v>355</v>
      </c>
      <c r="P13645" s="5" t="s">
        <v>355</v>
      </c>
      <c r="Q13645" s="5" t="s">
        <v>355</v>
      </c>
    </row>
    <row r="13646" ht="16.5" customHeight="1">
      <c r="O13646" s="5" t="s">
        <v>355</v>
      </c>
      <c r="P13646" s="5" t="s">
        <v>355</v>
      </c>
      <c r="Q13646" s="5" t="s">
        <v>355</v>
      </c>
    </row>
    <row r="13647" ht="16.5" customHeight="1">
      <c r="O13647" s="5" t="s">
        <v>355</v>
      </c>
      <c r="P13647" s="5" t="s">
        <v>355</v>
      </c>
      <c r="Q13647" s="5" t="s">
        <v>355</v>
      </c>
    </row>
    <row r="13648" ht="16.5" customHeight="1">
      <c r="O13648" s="5" t="s">
        <v>355</v>
      </c>
      <c r="P13648" s="5" t="s">
        <v>355</v>
      </c>
      <c r="Q13648" s="5" t="s">
        <v>355</v>
      </c>
    </row>
    <row r="13649" ht="16.5" customHeight="1">
      <c r="O13649" s="5" t="s">
        <v>355</v>
      </c>
      <c r="P13649" s="5" t="s">
        <v>355</v>
      </c>
      <c r="Q13649" s="5" t="s">
        <v>355</v>
      </c>
    </row>
    <row r="13650" ht="16.5" customHeight="1">
      <c r="O13650" s="5" t="s">
        <v>355</v>
      </c>
      <c r="P13650" s="5" t="s">
        <v>355</v>
      </c>
      <c r="Q13650" s="5" t="s">
        <v>355</v>
      </c>
    </row>
    <row r="13651" ht="16.5" customHeight="1">
      <c r="O13651" s="5" t="s">
        <v>355</v>
      </c>
      <c r="P13651" s="5" t="s">
        <v>355</v>
      </c>
      <c r="Q13651" s="5" t="s">
        <v>355</v>
      </c>
    </row>
    <row r="13652" ht="16.5" customHeight="1">
      <c r="O13652" s="5" t="s">
        <v>355</v>
      </c>
      <c r="P13652" s="5" t="s">
        <v>355</v>
      </c>
      <c r="Q13652" s="5" t="s">
        <v>355</v>
      </c>
    </row>
    <row r="13653" ht="16.5" customHeight="1">
      <c r="O13653" s="5" t="s">
        <v>355</v>
      </c>
      <c r="P13653" s="5" t="s">
        <v>355</v>
      </c>
      <c r="Q13653" s="5" t="s">
        <v>355</v>
      </c>
    </row>
    <row r="13654" ht="16.5" customHeight="1">
      <c r="O13654" s="5" t="s">
        <v>355</v>
      </c>
      <c r="P13654" s="5" t="s">
        <v>355</v>
      </c>
      <c r="Q13654" s="5" t="s">
        <v>355</v>
      </c>
    </row>
    <row r="13655" ht="16.5" customHeight="1">
      <c r="O13655" s="5" t="s">
        <v>355</v>
      </c>
      <c r="P13655" s="5" t="s">
        <v>355</v>
      </c>
      <c r="Q13655" s="5" t="s">
        <v>355</v>
      </c>
    </row>
    <row r="13656" ht="16.5" customHeight="1">
      <c r="O13656" s="5" t="s">
        <v>355</v>
      </c>
      <c r="P13656" s="5" t="s">
        <v>355</v>
      </c>
      <c r="Q13656" s="5" t="s">
        <v>355</v>
      </c>
    </row>
    <row r="13657" ht="16.5" customHeight="1">
      <c r="O13657" s="5" t="s">
        <v>355</v>
      </c>
      <c r="P13657" s="5" t="s">
        <v>355</v>
      </c>
      <c r="Q13657" s="5" t="s">
        <v>355</v>
      </c>
    </row>
    <row r="13658" ht="16.5" customHeight="1">
      <c r="O13658" s="5" t="s">
        <v>355</v>
      </c>
      <c r="P13658" s="5" t="s">
        <v>355</v>
      </c>
      <c r="Q13658" s="5" t="s">
        <v>355</v>
      </c>
    </row>
    <row r="13659" ht="16.5" customHeight="1">
      <c r="O13659" s="5" t="s">
        <v>355</v>
      </c>
      <c r="P13659" s="5" t="s">
        <v>355</v>
      </c>
      <c r="Q13659" s="5" t="s">
        <v>355</v>
      </c>
    </row>
    <row r="13660" ht="16.5" customHeight="1">
      <c r="O13660" s="5" t="s">
        <v>355</v>
      </c>
      <c r="P13660" s="5" t="s">
        <v>355</v>
      </c>
      <c r="Q13660" s="5" t="s">
        <v>355</v>
      </c>
    </row>
    <row r="13661" ht="16.5" customHeight="1">
      <c r="O13661" s="5" t="s">
        <v>355</v>
      </c>
      <c r="P13661" s="5" t="s">
        <v>355</v>
      </c>
      <c r="Q13661" s="5" t="s">
        <v>355</v>
      </c>
    </row>
    <row r="13662" ht="16.5" customHeight="1">
      <c r="O13662" s="5" t="s">
        <v>355</v>
      </c>
      <c r="P13662" s="5" t="s">
        <v>355</v>
      </c>
      <c r="Q13662" s="5" t="s">
        <v>355</v>
      </c>
    </row>
    <row r="13663" ht="16.5" customHeight="1">
      <c r="O13663" s="5" t="s">
        <v>355</v>
      </c>
      <c r="P13663" s="5" t="s">
        <v>355</v>
      </c>
      <c r="Q13663" s="5" t="s">
        <v>355</v>
      </c>
    </row>
    <row r="13664" ht="16.5" customHeight="1">
      <c r="O13664" s="5" t="s">
        <v>355</v>
      </c>
      <c r="P13664" s="5" t="s">
        <v>355</v>
      </c>
      <c r="Q13664" s="5" t="s">
        <v>355</v>
      </c>
    </row>
    <row r="13665" ht="16.5" customHeight="1">
      <c r="O13665" s="5" t="s">
        <v>355</v>
      </c>
      <c r="P13665" s="5" t="s">
        <v>355</v>
      </c>
      <c r="Q13665" s="5" t="s">
        <v>355</v>
      </c>
    </row>
    <row r="13666" ht="16.5" customHeight="1">
      <c r="O13666" s="5" t="s">
        <v>355</v>
      </c>
      <c r="P13666" s="5" t="s">
        <v>355</v>
      </c>
      <c r="Q13666" s="5" t="s">
        <v>355</v>
      </c>
    </row>
    <row r="13667" ht="16.5" customHeight="1">
      <c r="O13667" s="5" t="s">
        <v>355</v>
      </c>
      <c r="P13667" s="5" t="s">
        <v>355</v>
      </c>
      <c r="Q13667" s="5" t="s">
        <v>355</v>
      </c>
    </row>
    <row r="13668" ht="16.5" customHeight="1">
      <c r="O13668" s="5" t="s">
        <v>355</v>
      </c>
      <c r="P13668" s="5" t="s">
        <v>355</v>
      </c>
      <c r="Q13668" s="5" t="s">
        <v>355</v>
      </c>
    </row>
    <row r="13669" ht="16.5" customHeight="1">
      <c r="O13669" s="5" t="s">
        <v>355</v>
      </c>
      <c r="P13669" s="5" t="s">
        <v>355</v>
      </c>
      <c r="Q13669" s="5" t="s">
        <v>355</v>
      </c>
    </row>
    <row r="13670" ht="16.5" customHeight="1">
      <c r="O13670" s="5" t="s">
        <v>355</v>
      </c>
      <c r="P13670" s="5" t="s">
        <v>355</v>
      </c>
      <c r="Q13670" s="5" t="s">
        <v>355</v>
      </c>
    </row>
    <row r="13671" ht="16.5" customHeight="1">
      <c r="O13671" s="5" t="s">
        <v>355</v>
      </c>
      <c r="P13671" s="5" t="s">
        <v>355</v>
      </c>
      <c r="Q13671" s="5" t="s">
        <v>355</v>
      </c>
    </row>
    <row r="13672" ht="16.5" customHeight="1">
      <c r="O13672" s="5" t="s">
        <v>355</v>
      </c>
      <c r="P13672" s="5" t="s">
        <v>355</v>
      </c>
      <c r="Q13672" s="5" t="s">
        <v>355</v>
      </c>
    </row>
    <row r="13673" ht="16.5" customHeight="1">
      <c r="O13673" s="5" t="s">
        <v>355</v>
      </c>
      <c r="P13673" s="5" t="s">
        <v>355</v>
      </c>
      <c r="Q13673" s="5" t="s">
        <v>355</v>
      </c>
    </row>
    <row r="13674" ht="16.5" customHeight="1">
      <c r="O13674" s="5" t="s">
        <v>355</v>
      </c>
      <c r="P13674" s="5" t="s">
        <v>355</v>
      </c>
      <c r="Q13674" s="5" t="s">
        <v>355</v>
      </c>
    </row>
    <row r="13675" ht="16.5" customHeight="1">
      <c r="O13675" s="5" t="s">
        <v>355</v>
      </c>
      <c r="P13675" s="5" t="s">
        <v>355</v>
      </c>
      <c r="Q13675" s="5" t="s">
        <v>355</v>
      </c>
    </row>
    <row r="13676" ht="16.5" customHeight="1">
      <c r="O13676" s="5" t="s">
        <v>355</v>
      </c>
      <c r="P13676" s="5" t="s">
        <v>355</v>
      </c>
      <c r="Q13676" s="5" t="s">
        <v>355</v>
      </c>
    </row>
    <row r="13677" ht="16.5" customHeight="1">
      <c r="O13677" s="5" t="s">
        <v>355</v>
      </c>
      <c r="P13677" s="5" t="s">
        <v>355</v>
      </c>
      <c r="Q13677" s="5" t="s">
        <v>355</v>
      </c>
    </row>
    <row r="13678" ht="16.5" customHeight="1">
      <c r="O13678" s="5" t="s">
        <v>355</v>
      </c>
      <c r="P13678" s="5" t="s">
        <v>355</v>
      </c>
      <c r="Q13678" s="5" t="s">
        <v>355</v>
      </c>
    </row>
    <row r="13679" ht="16.5" customHeight="1">
      <c r="O13679" s="5" t="s">
        <v>355</v>
      </c>
      <c r="P13679" s="5" t="s">
        <v>355</v>
      </c>
      <c r="Q13679" s="5" t="s">
        <v>355</v>
      </c>
    </row>
    <row r="13680" ht="16.5" customHeight="1">
      <c r="O13680" s="5" t="s">
        <v>355</v>
      </c>
      <c r="P13680" s="5" t="s">
        <v>355</v>
      </c>
      <c r="Q13680" s="5" t="s">
        <v>355</v>
      </c>
    </row>
    <row r="13681" ht="16.5" customHeight="1">
      <c r="O13681" s="5" t="s">
        <v>355</v>
      </c>
      <c r="P13681" s="5" t="s">
        <v>355</v>
      </c>
      <c r="Q13681" s="5" t="s">
        <v>355</v>
      </c>
    </row>
    <row r="13682" ht="16.5" customHeight="1">
      <c r="O13682" s="5" t="s">
        <v>355</v>
      </c>
      <c r="P13682" s="5" t="s">
        <v>355</v>
      </c>
      <c r="Q13682" s="5" t="s">
        <v>355</v>
      </c>
    </row>
    <row r="13683" ht="16.5" customHeight="1">
      <c r="O13683" s="5" t="s">
        <v>355</v>
      </c>
      <c r="P13683" s="5" t="s">
        <v>355</v>
      </c>
      <c r="Q13683" s="5" t="s">
        <v>355</v>
      </c>
    </row>
    <row r="13684" ht="16.5" customHeight="1">
      <c r="O13684" s="5" t="s">
        <v>355</v>
      </c>
      <c r="P13684" s="5" t="s">
        <v>355</v>
      </c>
      <c r="Q13684" s="5" t="s">
        <v>355</v>
      </c>
    </row>
    <row r="13685" ht="16.5" customHeight="1">
      <c r="O13685" s="5" t="s">
        <v>355</v>
      </c>
      <c r="P13685" s="5" t="s">
        <v>355</v>
      </c>
      <c r="Q13685" s="5" t="s">
        <v>355</v>
      </c>
    </row>
    <row r="13686" ht="16.5" customHeight="1">
      <c r="O13686" s="5" t="s">
        <v>355</v>
      </c>
      <c r="P13686" s="5" t="s">
        <v>355</v>
      </c>
      <c r="Q13686" s="5" t="s">
        <v>355</v>
      </c>
    </row>
    <row r="13687" ht="16.5" customHeight="1">
      <c r="O13687" s="5" t="s">
        <v>355</v>
      </c>
      <c r="P13687" s="5" t="s">
        <v>355</v>
      </c>
      <c r="Q13687" s="5" t="s">
        <v>355</v>
      </c>
    </row>
    <row r="13688" ht="16.5" customHeight="1">
      <c r="O13688" s="5" t="s">
        <v>355</v>
      </c>
      <c r="P13688" s="5" t="s">
        <v>355</v>
      </c>
      <c r="Q13688" s="5" t="s">
        <v>355</v>
      </c>
    </row>
    <row r="13689" ht="16.5" customHeight="1">
      <c r="O13689" s="5" t="s">
        <v>355</v>
      </c>
      <c r="P13689" s="5" t="s">
        <v>355</v>
      </c>
      <c r="Q13689" s="5" t="s">
        <v>355</v>
      </c>
    </row>
    <row r="13690" ht="16.5" customHeight="1">
      <c r="O13690" s="5" t="s">
        <v>355</v>
      </c>
      <c r="P13690" s="5" t="s">
        <v>355</v>
      </c>
      <c r="Q13690" s="5" t="s">
        <v>355</v>
      </c>
    </row>
    <row r="13691" ht="16.5" customHeight="1">
      <c r="O13691" s="5" t="s">
        <v>355</v>
      </c>
      <c r="P13691" s="5" t="s">
        <v>355</v>
      </c>
      <c r="Q13691" s="5" t="s">
        <v>355</v>
      </c>
    </row>
    <row r="13692" ht="16.5" customHeight="1">
      <c r="O13692" s="5" t="s">
        <v>355</v>
      </c>
      <c r="P13692" s="5" t="s">
        <v>355</v>
      </c>
      <c r="Q13692" s="5" t="s">
        <v>355</v>
      </c>
    </row>
    <row r="13693" ht="16.5" customHeight="1">
      <c r="O13693" s="5" t="s">
        <v>355</v>
      </c>
      <c r="P13693" s="5" t="s">
        <v>355</v>
      </c>
      <c r="Q13693" s="5" t="s">
        <v>355</v>
      </c>
    </row>
    <row r="13694" ht="16.5" customHeight="1">
      <c r="O13694" s="5" t="s">
        <v>355</v>
      </c>
      <c r="P13694" s="5" t="s">
        <v>355</v>
      </c>
      <c r="Q13694" s="5" t="s">
        <v>355</v>
      </c>
    </row>
    <row r="13695" ht="16.5" customHeight="1">
      <c r="O13695" s="5" t="s">
        <v>355</v>
      </c>
      <c r="P13695" s="5" t="s">
        <v>355</v>
      </c>
      <c r="Q13695" s="5" t="s">
        <v>355</v>
      </c>
    </row>
    <row r="13696" ht="16.5" customHeight="1">
      <c r="O13696" s="5" t="s">
        <v>355</v>
      </c>
      <c r="P13696" s="5" t="s">
        <v>355</v>
      </c>
      <c r="Q13696" s="5" t="s">
        <v>355</v>
      </c>
    </row>
    <row r="13697" ht="16.5" customHeight="1">
      <c r="O13697" s="5" t="s">
        <v>355</v>
      </c>
      <c r="P13697" s="5" t="s">
        <v>355</v>
      </c>
      <c r="Q13697" s="5" t="s">
        <v>355</v>
      </c>
    </row>
    <row r="13698" ht="16.5" customHeight="1">
      <c r="O13698" s="5" t="s">
        <v>355</v>
      </c>
      <c r="P13698" s="5" t="s">
        <v>355</v>
      </c>
      <c r="Q13698" s="5" t="s">
        <v>355</v>
      </c>
    </row>
    <row r="13699" ht="16.5" customHeight="1">
      <c r="O13699" s="5" t="s">
        <v>355</v>
      </c>
      <c r="P13699" s="5" t="s">
        <v>355</v>
      </c>
      <c r="Q13699" s="5" t="s">
        <v>355</v>
      </c>
    </row>
    <row r="13700" ht="16.5" customHeight="1">
      <c r="O13700" s="5" t="s">
        <v>355</v>
      </c>
      <c r="P13700" s="5" t="s">
        <v>355</v>
      </c>
      <c r="Q13700" s="5" t="s">
        <v>355</v>
      </c>
    </row>
    <row r="13701" ht="16.5" customHeight="1">
      <c r="O13701" s="5" t="s">
        <v>355</v>
      </c>
      <c r="P13701" s="5" t="s">
        <v>355</v>
      </c>
      <c r="Q13701" s="5" t="s">
        <v>355</v>
      </c>
    </row>
    <row r="13702" ht="16.5" customHeight="1">
      <c r="O13702" s="5" t="s">
        <v>355</v>
      </c>
      <c r="P13702" s="5" t="s">
        <v>355</v>
      </c>
      <c r="Q13702" s="5" t="s">
        <v>355</v>
      </c>
    </row>
    <row r="13703" ht="16.5" customHeight="1">
      <c r="O13703" s="5" t="s">
        <v>355</v>
      </c>
      <c r="P13703" s="5" t="s">
        <v>355</v>
      </c>
      <c r="Q13703" s="5" t="s">
        <v>355</v>
      </c>
    </row>
    <row r="13704" ht="16.5" customHeight="1">
      <c r="O13704" s="5" t="s">
        <v>355</v>
      </c>
      <c r="P13704" s="5" t="s">
        <v>355</v>
      </c>
      <c r="Q13704" s="5" t="s">
        <v>355</v>
      </c>
    </row>
    <row r="13705" ht="16.5" customHeight="1">
      <c r="O13705" s="5" t="s">
        <v>355</v>
      </c>
      <c r="P13705" s="5" t="s">
        <v>355</v>
      </c>
      <c r="Q13705" s="5" t="s">
        <v>355</v>
      </c>
    </row>
    <row r="13706" ht="16.5" customHeight="1">
      <c r="O13706" s="5" t="s">
        <v>355</v>
      </c>
      <c r="P13706" s="5" t="s">
        <v>355</v>
      </c>
      <c r="Q13706" s="5" t="s">
        <v>355</v>
      </c>
    </row>
    <row r="13707" ht="16.5" customHeight="1">
      <c r="O13707" s="5" t="s">
        <v>355</v>
      </c>
      <c r="P13707" s="5" t="s">
        <v>355</v>
      </c>
      <c r="Q13707" s="5" t="s">
        <v>355</v>
      </c>
    </row>
    <row r="13708" ht="16.5" customHeight="1">
      <c r="O13708" s="5" t="s">
        <v>355</v>
      </c>
      <c r="P13708" s="5" t="s">
        <v>355</v>
      </c>
      <c r="Q13708" s="5" t="s">
        <v>355</v>
      </c>
    </row>
    <row r="13709" ht="16.5" customHeight="1">
      <c r="O13709" s="5" t="s">
        <v>355</v>
      </c>
      <c r="P13709" s="5" t="s">
        <v>355</v>
      </c>
      <c r="Q13709" s="5" t="s">
        <v>355</v>
      </c>
    </row>
    <row r="13710" ht="16.5" customHeight="1">
      <c r="O13710" s="5" t="s">
        <v>355</v>
      </c>
      <c r="P13710" s="5" t="s">
        <v>355</v>
      </c>
      <c r="Q13710" s="5" t="s">
        <v>355</v>
      </c>
    </row>
    <row r="13711" ht="16.5" customHeight="1">
      <c r="O13711" s="5" t="s">
        <v>355</v>
      </c>
      <c r="P13711" s="5" t="s">
        <v>355</v>
      </c>
      <c r="Q13711" s="5" t="s">
        <v>355</v>
      </c>
    </row>
    <row r="13712" ht="16.5" customHeight="1">
      <c r="O13712" s="5" t="s">
        <v>355</v>
      </c>
      <c r="P13712" s="5" t="s">
        <v>355</v>
      </c>
      <c r="Q13712" s="5" t="s">
        <v>355</v>
      </c>
    </row>
    <row r="13713" ht="16.5" customHeight="1">
      <c r="O13713" s="5" t="s">
        <v>355</v>
      </c>
      <c r="P13713" s="5" t="s">
        <v>355</v>
      </c>
      <c r="Q13713" s="5" t="s">
        <v>355</v>
      </c>
    </row>
    <row r="13714" ht="16.5" customHeight="1">
      <c r="O13714" s="5" t="s">
        <v>355</v>
      </c>
      <c r="P13714" s="5" t="s">
        <v>355</v>
      </c>
      <c r="Q13714" s="5" t="s">
        <v>355</v>
      </c>
    </row>
    <row r="13715" ht="16.5" customHeight="1">
      <c r="O13715" s="5" t="s">
        <v>355</v>
      </c>
      <c r="P13715" s="5" t="s">
        <v>355</v>
      </c>
      <c r="Q13715" s="5" t="s">
        <v>355</v>
      </c>
    </row>
    <row r="13716" ht="16.5" customHeight="1">
      <c r="O13716" s="5" t="s">
        <v>355</v>
      </c>
      <c r="P13716" s="5" t="s">
        <v>355</v>
      </c>
      <c r="Q13716" s="5" t="s">
        <v>355</v>
      </c>
    </row>
    <row r="13717" ht="16.5" customHeight="1">
      <c r="O13717" s="5" t="s">
        <v>355</v>
      </c>
      <c r="P13717" s="5" t="s">
        <v>355</v>
      </c>
      <c r="Q13717" s="5" t="s">
        <v>355</v>
      </c>
    </row>
    <row r="13718" ht="16.5" customHeight="1">
      <c r="O13718" s="5" t="s">
        <v>355</v>
      </c>
      <c r="P13718" s="5" t="s">
        <v>355</v>
      </c>
      <c r="Q13718" s="5" t="s">
        <v>355</v>
      </c>
    </row>
    <row r="13719" ht="16.5" customHeight="1">
      <c r="O13719" s="5" t="s">
        <v>355</v>
      </c>
      <c r="P13719" s="5" t="s">
        <v>355</v>
      </c>
      <c r="Q13719" s="5" t="s">
        <v>355</v>
      </c>
    </row>
    <row r="13720" ht="16.5" customHeight="1">
      <c r="O13720" s="5" t="s">
        <v>355</v>
      </c>
      <c r="P13720" s="5" t="s">
        <v>355</v>
      </c>
      <c r="Q13720" s="5" t="s">
        <v>355</v>
      </c>
    </row>
    <row r="13721" ht="16.5" customHeight="1">
      <c r="O13721" s="5" t="s">
        <v>355</v>
      </c>
      <c r="P13721" s="5" t="s">
        <v>355</v>
      </c>
      <c r="Q13721" s="5" t="s">
        <v>355</v>
      </c>
    </row>
    <row r="13722" ht="16.5" customHeight="1">
      <c r="O13722" s="5" t="s">
        <v>355</v>
      </c>
      <c r="P13722" s="5" t="s">
        <v>355</v>
      </c>
      <c r="Q13722" s="5" t="s">
        <v>355</v>
      </c>
    </row>
    <row r="13723" ht="16.5" customHeight="1">
      <c r="O13723" s="5" t="s">
        <v>355</v>
      </c>
      <c r="P13723" s="5" t="s">
        <v>355</v>
      </c>
      <c r="Q13723" s="5" t="s">
        <v>355</v>
      </c>
    </row>
    <row r="13724" ht="16.5" customHeight="1">
      <c r="O13724" s="5" t="s">
        <v>355</v>
      </c>
      <c r="P13724" s="5" t="s">
        <v>355</v>
      </c>
      <c r="Q13724" s="5" t="s">
        <v>355</v>
      </c>
    </row>
    <row r="13725" ht="16.5" customHeight="1">
      <c r="O13725" s="5" t="s">
        <v>355</v>
      </c>
      <c r="P13725" s="5" t="s">
        <v>355</v>
      </c>
      <c r="Q13725" s="5" t="s">
        <v>355</v>
      </c>
    </row>
    <row r="13726" ht="16.5" customHeight="1">
      <c r="O13726" s="5" t="s">
        <v>355</v>
      </c>
      <c r="P13726" s="5" t="s">
        <v>355</v>
      </c>
      <c r="Q13726" s="5" t="s">
        <v>355</v>
      </c>
    </row>
    <row r="13727" ht="16.5" customHeight="1">
      <c r="O13727" s="5" t="s">
        <v>355</v>
      </c>
      <c r="P13727" s="5" t="s">
        <v>355</v>
      </c>
      <c r="Q13727" s="5" t="s">
        <v>355</v>
      </c>
    </row>
    <row r="13728" ht="16.5" customHeight="1">
      <c r="O13728" s="5" t="s">
        <v>355</v>
      </c>
      <c r="P13728" s="5" t="s">
        <v>355</v>
      </c>
      <c r="Q13728" s="5" t="s">
        <v>355</v>
      </c>
    </row>
    <row r="13729" ht="16.5" customHeight="1">
      <c r="O13729" s="5" t="s">
        <v>355</v>
      </c>
      <c r="P13729" s="5" t="s">
        <v>355</v>
      </c>
      <c r="Q13729" s="5" t="s">
        <v>355</v>
      </c>
    </row>
    <row r="13730" ht="16.5" customHeight="1">
      <c r="O13730" s="5" t="s">
        <v>355</v>
      </c>
      <c r="P13730" s="5" t="s">
        <v>355</v>
      </c>
      <c r="Q13730" s="5" t="s">
        <v>355</v>
      </c>
    </row>
    <row r="13731" ht="16.5" customHeight="1">
      <c r="O13731" s="5" t="s">
        <v>355</v>
      </c>
      <c r="P13731" s="5" t="s">
        <v>355</v>
      </c>
      <c r="Q13731" s="5" t="s">
        <v>355</v>
      </c>
    </row>
    <row r="13732" ht="16.5" customHeight="1">
      <c r="O13732" s="5" t="s">
        <v>355</v>
      </c>
      <c r="P13732" s="5" t="s">
        <v>355</v>
      </c>
      <c r="Q13732" s="5" t="s">
        <v>355</v>
      </c>
    </row>
    <row r="13733" ht="16.5" customHeight="1">
      <c r="O13733" s="5" t="s">
        <v>355</v>
      </c>
      <c r="P13733" s="5" t="s">
        <v>355</v>
      </c>
      <c r="Q13733" s="5" t="s">
        <v>355</v>
      </c>
    </row>
    <row r="13734" ht="16.5" customHeight="1">
      <c r="O13734" s="5" t="s">
        <v>355</v>
      </c>
      <c r="P13734" s="5" t="s">
        <v>355</v>
      </c>
      <c r="Q13734" s="5" t="s">
        <v>355</v>
      </c>
    </row>
    <row r="13735" ht="16.5" customHeight="1">
      <c r="O13735" s="5" t="s">
        <v>355</v>
      </c>
      <c r="P13735" s="5" t="s">
        <v>355</v>
      </c>
      <c r="Q13735" s="5" t="s">
        <v>355</v>
      </c>
    </row>
    <row r="13736" ht="16.5" customHeight="1">
      <c r="O13736" s="5" t="s">
        <v>355</v>
      </c>
      <c r="P13736" s="5" t="s">
        <v>355</v>
      </c>
      <c r="Q13736" s="5" t="s">
        <v>355</v>
      </c>
    </row>
    <row r="13737" ht="16.5" customHeight="1">
      <c r="O13737" s="5" t="s">
        <v>355</v>
      </c>
      <c r="P13737" s="5" t="s">
        <v>355</v>
      </c>
      <c r="Q13737" s="5" t="s">
        <v>355</v>
      </c>
    </row>
    <row r="13738" ht="16.5" customHeight="1">
      <c r="O13738" s="5" t="s">
        <v>355</v>
      </c>
      <c r="P13738" s="5" t="s">
        <v>355</v>
      </c>
      <c r="Q13738" s="5" t="s">
        <v>355</v>
      </c>
    </row>
    <row r="13739" ht="16.5" customHeight="1">
      <c r="O13739" s="5" t="s">
        <v>355</v>
      </c>
      <c r="P13739" s="5" t="s">
        <v>355</v>
      </c>
      <c r="Q13739" s="5" t="s">
        <v>355</v>
      </c>
    </row>
    <row r="13740" ht="16.5" customHeight="1">
      <c r="O13740" s="5" t="s">
        <v>355</v>
      </c>
      <c r="P13740" s="5" t="s">
        <v>355</v>
      </c>
      <c r="Q13740" s="5" t="s">
        <v>355</v>
      </c>
    </row>
    <row r="13741" ht="16.5" customHeight="1">
      <c r="O13741" s="5" t="s">
        <v>355</v>
      </c>
      <c r="P13741" s="5" t="s">
        <v>355</v>
      </c>
      <c r="Q13741" s="5" t="s">
        <v>355</v>
      </c>
    </row>
    <row r="13742" ht="16.5" customHeight="1">
      <c r="O13742" s="5" t="s">
        <v>355</v>
      </c>
      <c r="P13742" s="5" t="s">
        <v>355</v>
      </c>
      <c r="Q13742" s="5" t="s">
        <v>355</v>
      </c>
    </row>
    <row r="13743" ht="16.5" customHeight="1">
      <c r="O13743" s="5" t="s">
        <v>355</v>
      </c>
      <c r="P13743" s="5" t="s">
        <v>355</v>
      </c>
      <c r="Q13743" s="5" t="s">
        <v>355</v>
      </c>
    </row>
    <row r="13744" ht="16.5" customHeight="1">
      <c r="O13744" s="5" t="s">
        <v>355</v>
      </c>
      <c r="P13744" s="5" t="s">
        <v>355</v>
      </c>
      <c r="Q13744" s="5" t="s">
        <v>355</v>
      </c>
    </row>
    <row r="13745" ht="16.5" customHeight="1">
      <c r="O13745" s="5" t="s">
        <v>355</v>
      </c>
      <c r="P13745" s="5" t="s">
        <v>355</v>
      </c>
      <c r="Q13745" s="5" t="s">
        <v>355</v>
      </c>
    </row>
    <row r="13746" ht="16.5" customHeight="1">
      <c r="O13746" s="5" t="s">
        <v>355</v>
      </c>
      <c r="P13746" s="5" t="s">
        <v>355</v>
      </c>
      <c r="Q13746" s="5" t="s">
        <v>355</v>
      </c>
    </row>
    <row r="13747" ht="16.5" customHeight="1">
      <c r="O13747" s="5" t="s">
        <v>355</v>
      </c>
      <c r="P13747" s="5" t="s">
        <v>355</v>
      </c>
      <c r="Q13747" s="5" t="s">
        <v>355</v>
      </c>
    </row>
    <row r="13748" ht="16.5" customHeight="1">
      <c r="O13748" s="5" t="s">
        <v>355</v>
      </c>
      <c r="P13748" s="5" t="s">
        <v>355</v>
      </c>
      <c r="Q13748" s="5" t="s">
        <v>355</v>
      </c>
    </row>
    <row r="13749" ht="16.5" customHeight="1">
      <c r="O13749" s="5" t="s">
        <v>355</v>
      </c>
      <c r="P13749" s="5" t="s">
        <v>355</v>
      </c>
      <c r="Q13749" s="5" t="s">
        <v>355</v>
      </c>
    </row>
    <row r="13750" ht="16.5" customHeight="1">
      <c r="O13750" s="5" t="s">
        <v>355</v>
      </c>
      <c r="P13750" s="5" t="s">
        <v>355</v>
      </c>
      <c r="Q13750" s="5" t="s">
        <v>355</v>
      </c>
    </row>
    <row r="13751" ht="16.5" customHeight="1">
      <c r="O13751" s="5" t="s">
        <v>355</v>
      </c>
      <c r="P13751" s="5" t="s">
        <v>355</v>
      </c>
      <c r="Q13751" s="5" t="s">
        <v>355</v>
      </c>
    </row>
    <row r="13752" ht="16.5" customHeight="1">
      <c r="O13752" s="5" t="s">
        <v>355</v>
      </c>
      <c r="P13752" s="5" t="s">
        <v>355</v>
      </c>
      <c r="Q13752" s="5" t="s">
        <v>355</v>
      </c>
    </row>
    <row r="13753" ht="16.5" customHeight="1">
      <c r="O13753" s="5" t="s">
        <v>355</v>
      </c>
      <c r="P13753" s="5" t="s">
        <v>355</v>
      </c>
      <c r="Q13753" s="5" t="s">
        <v>355</v>
      </c>
    </row>
    <row r="13754" ht="16.5" customHeight="1">
      <c r="O13754" s="5" t="s">
        <v>355</v>
      </c>
      <c r="P13754" s="5" t="s">
        <v>355</v>
      </c>
      <c r="Q13754" s="5" t="s">
        <v>355</v>
      </c>
    </row>
    <row r="13755" ht="16.5" customHeight="1">
      <c r="O13755" s="5" t="s">
        <v>355</v>
      </c>
      <c r="P13755" s="5" t="s">
        <v>355</v>
      </c>
      <c r="Q13755" s="5" t="s">
        <v>355</v>
      </c>
    </row>
    <row r="13756" ht="16.5" customHeight="1">
      <c r="O13756" s="5" t="s">
        <v>355</v>
      </c>
      <c r="P13756" s="5" t="s">
        <v>355</v>
      </c>
      <c r="Q13756" s="5" t="s">
        <v>355</v>
      </c>
    </row>
    <row r="13757" ht="16.5" customHeight="1">
      <c r="O13757" s="5" t="s">
        <v>355</v>
      </c>
      <c r="P13757" s="5" t="s">
        <v>355</v>
      </c>
      <c r="Q13757" s="5" t="s">
        <v>355</v>
      </c>
    </row>
    <row r="13758" ht="16.5" customHeight="1">
      <c r="O13758" s="5" t="s">
        <v>355</v>
      </c>
      <c r="P13758" s="5" t="s">
        <v>355</v>
      </c>
      <c r="Q13758" s="5" t="s">
        <v>355</v>
      </c>
    </row>
    <row r="13759" ht="16.5" customHeight="1">
      <c r="O13759" s="5" t="s">
        <v>355</v>
      </c>
      <c r="P13759" s="5" t="s">
        <v>355</v>
      </c>
      <c r="Q13759" s="5" t="s">
        <v>355</v>
      </c>
    </row>
    <row r="13760" ht="16.5" customHeight="1">
      <c r="O13760" s="5" t="s">
        <v>355</v>
      </c>
      <c r="P13760" s="5" t="s">
        <v>355</v>
      </c>
      <c r="Q13760" s="5" t="s">
        <v>355</v>
      </c>
    </row>
    <row r="13761" ht="16.5" customHeight="1">
      <c r="O13761" s="5" t="s">
        <v>355</v>
      </c>
      <c r="P13761" s="5" t="s">
        <v>355</v>
      </c>
      <c r="Q13761" s="5" t="s">
        <v>355</v>
      </c>
    </row>
    <row r="13762" ht="16.5" customHeight="1">
      <c r="O13762" s="5" t="s">
        <v>355</v>
      </c>
      <c r="P13762" s="5" t="s">
        <v>355</v>
      </c>
      <c r="Q13762" s="5" t="s">
        <v>355</v>
      </c>
    </row>
    <row r="13763" ht="16.5" customHeight="1">
      <c r="O13763" s="5" t="s">
        <v>355</v>
      </c>
      <c r="P13763" s="5" t="s">
        <v>355</v>
      </c>
      <c r="Q13763" s="5" t="s">
        <v>355</v>
      </c>
    </row>
    <row r="13764" ht="16.5" customHeight="1">
      <c r="O13764" s="5" t="s">
        <v>355</v>
      </c>
      <c r="P13764" s="5" t="s">
        <v>355</v>
      </c>
      <c r="Q13764" s="5" t="s">
        <v>355</v>
      </c>
    </row>
    <row r="13765" ht="16.5" customHeight="1">
      <c r="O13765" s="5" t="s">
        <v>355</v>
      </c>
      <c r="P13765" s="5" t="s">
        <v>355</v>
      </c>
      <c r="Q13765" s="5" t="s">
        <v>355</v>
      </c>
    </row>
    <row r="13766" ht="16.5" customHeight="1">
      <c r="O13766" s="5" t="s">
        <v>355</v>
      </c>
      <c r="P13766" s="5" t="s">
        <v>355</v>
      </c>
      <c r="Q13766" s="5" t="s">
        <v>355</v>
      </c>
    </row>
    <row r="13767" ht="16.5" customHeight="1">
      <c r="O13767" s="5" t="s">
        <v>355</v>
      </c>
      <c r="P13767" s="5" t="s">
        <v>355</v>
      </c>
      <c r="Q13767" s="5" t="s">
        <v>355</v>
      </c>
    </row>
    <row r="13768" ht="16.5" customHeight="1">
      <c r="O13768" s="5" t="s">
        <v>355</v>
      </c>
      <c r="P13768" s="5" t="s">
        <v>355</v>
      </c>
      <c r="Q13768" s="5" t="s">
        <v>355</v>
      </c>
    </row>
    <row r="13769" ht="16.5" customHeight="1">
      <c r="O13769" s="5" t="s">
        <v>355</v>
      </c>
      <c r="P13769" s="5" t="s">
        <v>355</v>
      </c>
      <c r="Q13769" s="5" t="s">
        <v>355</v>
      </c>
    </row>
    <row r="13770" ht="16.5" customHeight="1">
      <c r="O13770" s="5" t="s">
        <v>355</v>
      </c>
      <c r="P13770" s="5" t="s">
        <v>355</v>
      </c>
      <c r="Q13770" s="5" t="s">
        <v>355</v>
      </c>
    </row>
    <row r="13771" ht="16.5" customHeight="1">
      <c r="O13771" s="5" t="s">
        <v>355</v>
      </c>
      <c r="P13771" s="5" t="s">
        <v>355</v>
      </c>
      <c r="Q13771" s="5" t="s">
        <v>355</v>
      </c>
    </row>
    <row r="13772" ht="16.5" customHeight="1">
      <c r="O13772" s="5" t="s">
        <v>355</v>
      </c>
      <c r="P13772" s="5" t="s">
        <v>355</v>
      </c>
      <c r="Q13772" s="5" t="s">
        <v>355</v>
      </c>
    </row>
    <row r="13773" ht="16.5" customHeight="1">
      <c r="O13773" s="5" t="s">
        <v>355</v>
      </c>
      <c r="P13773" s="5" t="s">
        <v>355</v>
      </c>
      <c r="Q13773" s="5" t="s">
        <v>355</v>
      </c>
    </row>
    <row r="13774" ht="16.5" customHeight="1">
      <c r="O13774" s="5" t="s">
        <v>355</v>
      </c>
      <c r="P13774" s="5" t="s">
        <v>355</v>
      </c>
      <c r="Q13774" s="5" t="s">
        <v>355</v>
      </c>
    </row>
    <row r="13775" ht="16.5" customHeight="1">
      <c r="O13775" s="5" t="s">
        <v>355</v>
      </c>
      <c r="P13775" s="5" t="s">
        <v>355</v>
      </c>
      <c r="Q13775" s="5" t="s">
        <v>355</v>
      </c>
    </row>
    <row r="13776" ht="16.5" customHeight="1">
      <c r="O13776" s="5" t="s">
        <v>355</v>
      </c>
      <c r="P13776" s="5" t="s">
        <v>355</v>
      </c>
      <c r="Q13776" s="5" t="s">
        <v>355</v>
      </c>
    </row>
    <row r="13777" ht="16.5" customHeight="1">
      <c r="O13777" s="5" t="s">
        <v>355</v>
      </c>
      <c r="P13777" s="5" t="s">
        <v>355</v>
      </c>
      <c r="Q13777" s="5" t="s">
        <v>355</v>
      </c>
    </row>
    <row r="13778" ht="16.5" customHeight="1">
      <c r="O13778" s="5" t="s">
        <v>355</v>
      </c>
      <c r="P13778" s="5" t="s">
        <v>355</v>
      </c>
      <c r="Q13778" s="5" t="s">
        <v>355</v>
      </c>
    </row>
    <row r="13779" ht="16.5" customHeight="1">
      <c r="O13779" s="5" t="s">
        <v>355</v>
      </c>
      <c r="P13779" s="5" t="s">
        <v>355</v>
      </c>
      <c r="Q13779" s="5" t="s">
        <v>355</v>
      </c>
    </row>
    <row r="13780" ht="16.5" customHeight="1">
      <c r="O13780" s="5" t="s">
        <v>355</v>
      </c>
      <c r="P13780" s="5" t="s">
        <v>355</v>
      </c>
      <c r="Q13780" s="5" t="s">
        <v>355</v>
      </c>
    </row>
    <row r="13781" ht="16.5" customHeight="1">
      <c r="O13781" s="5" t="s">
        <v>355</v>
      </c>
      <c r="P13781" s="5" t="s">
        <v>355</v>
      </c>
      <c r="Q13781" s="5" t="s">
        <v>355</v>
      </c>
    </row>
    <row r="13782" ht="16.5" customHeight="1">
      <c r="O13782" s="5" t="s">
        <v>355</v>
      </c>
      <c r="P13782" s="5" t="s">
        <v>355</v>
      </c>
      <c r="Q13782" s="5" t="s">
        <v>355</v>
      </c>
    </row>
    <row r="13783" ht="16.5" customHeight="1">
      <c r="O13783" s="5" t="s">
        <v>355</v>
      </c>
      <c r="P13783" s="5" t="s">
        <v>355</v>
      </c>
      <c r="Q13783" s="5" t="s">
        <v>355</v>
      </c>
    </row>
    <row r="13784" ht="16.5" customHeight="1">
      <c r="O13784" s="5" t="s">
        <v>355</v>
      </c>
      <c r="P13784" s="5" t="s">
        <v>355</v>
      </c>
      <c r="Q13784" s="5" t="s">
        <v>355</v>
      </c>
    </row>
    <row r="13785" ht="16.5" customHeight="1">
      <c r="O13785" s="5" t="s">
        <v>355</v>
      </c>
      <c r="P13785" s="5" t="s">
        <v>355</v>
      </c>
      <c r="Q13785" s="5" t="s">
        <v>355</v>
      </c>
    </row>
    <row r="13786" ht="16.5" customHeight="1">
      <c r="O13786" s="5" t="s">
        <v>355</v>
      </c>
      <c r="P13786" s="5" t="s">
        <v>355</v>
      </c>
      <c r="Q13786" s="5" t="s">
        <v>355</v>
      </c>
    </row>
    <row r="13787" ht="16.5" customHeight="1">
      <c r="O13787" s="5" t="s">
        <v>355</v>
      </c>
      <c r="P13787" s="5" t="s">
        <v>355</v>
      </c>
      <c r="Q13787" s="5" t="s">
        <v>355</v>
      </c>
    </row>
    <row r="13788" ht="16.5" customHeight="1">
      <c r="O13788" s="5" t="s">
        <v>355</v>
      </c>
      <c r="P13788" s="5" t="s">
        <v>355</v>
      </c>
      <c r="Q13788" s="5" t="s">
        <v>355</v>
      </c>
    </row>
    <row r="13789" ht="16.5" customHeight="1">
      <c r="O13789" s="5" t="s">
        <v>355</v>
      </c>
      <c r="P13789" s="5" t="s">
        <v>355</v>
      </c>
      <c r="Q13789" s="5" t="s">
        <v>355</v>
      </c>
    </row>
    <row r="13790" ht="16.5" customHeight="1">
      <c r="O13790" s="5" t="s">
        <v>355</v>
      </c>
      <c r="P13790" s="5" t="s">
        <v>355</v>
      </c>
      <c r="Q13790" s="5" t="s">
        <v>355</v>
      </c>
    </row>
    <row r="13791" ht="16.5" customHeight="1">
      <c r="O13791" s="5" t="s">
        <v>355</v>
      </c>
      <c r="P13791" s="5" t="s">
        <v>355</v>
      </c>
      <c r="Q13791" s="5" t="s">
        <v>355</v>
      </c>
    </row>
    <row r="13792" ht="16.5" customHeight="1">
      <c r="O13792" s="5" t="s">
        <v>355</v>
      </c>
      <c r="P13792" s="5" t="s">
        <v>355</v>
      </c>
      <c r="Q13792" s="5" t="s">
        <v>355</v>
      </c>
    </row>
    <row r="13793" ht="16.5" customHeight="1">
      <c r="O13793" s="5" t="s">
        <v>355</v>
      </c>
      <c r="P13793" s="5" t="s">
        <v>355</v>
      </c>
      <c r="Q13793" s="5" t="s">
        <v>355</v>
      </c>
    </row>
    <row r="13794" ht="16.5" customHeight="1">
      <c r="O13794" s="5" t="s">
        <v>355</v>
      </c>
      <c r="P13794" s="5" t="s">
        <v>355</v>
      </c>
      <c r="Q13794" s="5" t="s">
        <v>355</v>
      </c>
    </row>
    <row r="13795" ht="16.5" customHeight="1">
      <c r="O13795" s="5" t="s">
        <v>355</v>
      </c>
      <c r="P13795" s="5" t="s">
        <v>355</v>
      </c>
      <c r="Q13795" s="5" t="s">
        <v>355</v>
      </c>
    </row>
    <row r="13796" ht="16.5" customHeight="1">
      <c r="O13796" s="5" t="s">
        <v>355</v>
      </c>
      <c r="P13796" s="5" t="s">
        <v>355</v>
      </c>
      <c r="Q13796" s="5" t="s">
        <v>355</v>
      </c>
    </row>
    <row r="13797" ht="16.5" customHeight="1">
      <c r="O13797" s="5" t="s">
        <v>355</v>
      </c>
      <c r="P13797" s="5" t="s">
        <v>355</v>
      </c>
      <c r="Q13797" s="5" t="s">
        <v>355</v>
      </c>
    </row>
    <row r="13798" ht="16.5" customHeight="1">
      <c r="O13798" s="5" t="s">
        <v>355</v>
      </c>
      <c r="P13798" s="5" t="s">
        <v>355</v>
      </c>
      <c r="Q13798" s="5" t="s">
        <v>355</v>
      </c>
    </row>
    <row r="13799" ht="16.5" customHeight="1">
      <c r="O13799" s="5" t="s">
        <v>355</v>
      </c>
      <c r="P13799" s="5" t="s">
        <v>355</v>
      </c>
      <c r="Q13799" s="5" t="s">
        <v>355</v>
      </c>
    </row>
    <row r="13800" ht="16.5" customHeight="1">
      <c r="O13800" s="5" t="s">
        <v>355</v>
      </c>
      <c r="P13800" s="5" t="s">
        <v>355</v>
      </c>
      <c r="Q13800" s="5" t="s">
        <v>355</v>
      </c>
    </row>
    <row r="13801" ht="16.5" customHeight="1">
      <c r="O13801" s="5" t="s">
        <v>355</v>
      </c>
      <c r="P13801" s="5" t="s">
        <v>355</v>
      </c>
      <c r="Q13801" s="5" t="s">
        <v>355</v>
      </c>
    </row>
    <row r="13802" ht="16.5" customHeight="1">
      <c r="O13802" s="5" t="s">
        <v>355</v>
      </c>
      <c r="P13802" s="5" t="s">
        <v>355</v>
      </c>
      <c r="Q13802" s="5" t="s">
        <v>355</v>
      </c>
    </row>
    <row r="13803" ht="16.5" customHeight="1">
      <c r="O13803" s="5" t="s">
        <v>355</v>
      </c>
      <c r="P13803" s="5" t="s">
        <v>355</v>
      </c>
      <c r="Q13803" s="5" t="s">
        <v>355</v>
      </c>
    </row>
    <row r="13804" ht="16.5" customHeight="1">
      <c r="O13804" s="5" t="s">
        <v>355</v>
      </c>
      <c r="P13804" s="5" t="s">
        <v>355</v>
      </c>
      <c r="Q13804" s="5" t="s">
        <v>355</v>
      </c>
    </row>
    <row r="13805" ht="16.5" customHeight="1">
      <c r="O13805" s="5" t="s">
        <v>355</v>
      </c>
      <c r="P13805" s="5" t="s">
        <v>355</v>
      </c>
      <c r="Q13805" s="5" t="s">
        <v>355</v>
      </c>
    </row>
    <row r="13806" ht="16.5" customHeight="1">
      <c r="O13806" s="5" t="s">
        <v>355</v>
      </c>
      <c r="P13806" s="5" t="s">
        <v>355</v>
      </c>
      <c r="Q13806" s="5" t="s">
        <v>355</v>
      </c>
    </row>
    <row r="13807" ht="16.5" customHeight="1">
      <c r="O13807" s="5" t="s">
        <v>355</v>
      </c>
      <c r="P13807" s="5" t="s">
        <v>355</v>
      </c>
      <c r="Q13807" s="5" t="s">
        <v>355</v>
      </c>
    </row>
    <row r="13808" ht="16.5" customHeight="1">
      <c r="O13808" s="5" t="s">
        <v>355</v>
      </c>
      <c r="P13808" s="5" t="s">
        <v>355</v>
      </c>
      <c r="Q13808" s="5" t="s">
        <v>355</v>
      </c>
    </row>
    <row r="13809" ht="16.5" customHeight="1">
      <c r="O13809" s="5" t="s">
        <v>355</v>
      </c>
      <c r="P13809" s="5" t="s">
        <v>355</v>
      </c>
      <c r="Q13809" s="5" t="s">
        <v>355</v>
      </c>
    </row>
    <row r="13810" ht="16.5" customHeight="1">
      <c r="O13810" s="5" t="s">
        <v>355</v>
      </c>
      <c r="P13810" s="5" t="s">
        <v>355</v>
      </c>
      <c r="Q13810" s="5" t="s">
        <v>355</v>
      </c>
    </row>
    <row r="13811" ht="16.5" customHeight="1">
      <c r="O13811" s="5" t="s">
        <v>355</v>
      </c>
      <c r="P13811" s="5" t="s">
        <v>355</v>
      </c>
      <c r="Q13811" s="5" t="s">
        <v>355</v>
      </c>
    </row>
    <row r="13812" ht="16.5" customHeight="1">
      <c r="O13812" s="5" t="s">
        <v>355</v>
      </c>
      <c r="P13812" s="5" t="s">
        <v>355</v>
      </c>
      <c r="Q13812" s="5" t="s">
        <v>355</v>
      </c>
    </row>
    <row r="13813" ht="16.5" customHeight="1">
      <c r="O13813" s="5" t="s">
        <v>355</v>
      </c>
      <c r="P13813" s="5" t="s">
        <v>355</v>
      </c>
      <c r="Q13813" s="5" t="s">
        <v>355</v>
      </c>
    </row>
    <row r="13814" ht="16.5" customHeight="1">
      <c r="O13814" s="5" t="s">
        <v>355</v>
      </c>
      <c r="P13814" s="5" t="s">
        <v>355</v>
      </c>
      <c r="Q13814" s="5" t="s">
        <v>355</v>
      </c>
    </row>
    <row r="13815" ht="16.5" customHeight="1">
      <c r="O13815" s="5" t="s">
        <v>355</v>
      </c>
      <c r="P13815" s="5" t="s">
        <v>355</v>
      </c>
      <c r="Q13815" s="5" t="s">
        <v>355</v>
      </c>
    </row>
    <row r="13816" ht="16.5" customHeight="1">
      <c r="O13816" s="5" t="s">
        <v>355</v>
      </c>
      <c r="P13816" s="5" t="s">
        <v>355</v>
      </c>
      <c r="Q13816" s="5" t="s">
        <v>355</v>
      </c>
    </row>
    <row r="13817" ht="16.5" customHeight="1">
      <c r="O13817" s="5" t="s">
        <v>355</v>
      </c>
      <c r="P13817" s="5" t="s">
        <v>355</v>
      </c>
      <c r="Q13817" s="5" t="s">
        <v>355</v>
      </c>
    </row>
    <row r="13818" ht="16.5" customHeight="1">
      <c r="O13818" s="5" t="s">
        <v>355</v>
      </c>
      <c r="P13818" s="5" t="s">
        <v>355</v>
      </c>
      <c r="Q13818" s="5" t="s">
        <v>355</v>
      </c>
    </row>
    <row r="13819" ht="16.5" customHeight="1">
      <c r="O13819" s="5" t="s">
        <v>355</v>
      </c>
      <c r="P13819" s="5" t="s">
        <v>355</v>
      </c>
      <c r="Q13819" s="5" t="s">
        <v>355</v>
      </c>
    </row>
    <row r="13820" ht="16.5" customHeight="1">
      <c r="O13820" s="5" t="s">
        <v>355</v>
      </c>
      <c r="P13820" s="5" t="s">
        <v>355</v>
      </c>
      <c r="Q13820" s="5" t="s">
        <v>355</v>
      </c>
    </row>
    <row r="13821" ht="16.5" customHeight="1">
      <c r="O13821" s="5" t="s">
        <v>355</v>
      </c>
      <c r="P13821" s="5" t="s">
        <v>355</v>
      </c>
      <c r="Q13821" s="5" t="s">
        <v>355</v>
      </c>
    </row>
    <row r="13822" ht="16.5" customHeight="1">
      <c r="O13822" s="5" t="s">
        <v>355</v>
      </c>
      <c r="P13822" s="5" t="s">
        <v>355</v>
      </c>
      <c r="Q13822" s="5" t="s">
        <v>355</v>
      </c>
    </row>
    <row r="13823" ht="16.5" customHeight="1">
      <c r="O13823" s="5" t="s">
        <v>355</v>
      </c>
      <c r="P13823" s="5" t="s">
        <v>355</v>
      </c>
      <c r="Q13823" s="5" t="s">
        <v>355</v>
      </c>
    </row>
    <row r="13824" ht="16.5" customHeight="1">
      <c r="O13824" s="5" t="s">
        <v>355</v>
      </c>
      <c r="P13824" s="5" t="s">
        <v>355</v>
      </c>
      <c r="Q13824" s="5" t="s">
        <v>355</v>
      </c>
    </row>
    <row r="13825" ht="16.5" customHeight="1">
      <c r="O13825" s="5" t="s">
        <v>355</v>
      </c>
      <c r="P13825" s="5" t="s">
        <v>355</v>
      </c>
      <c r="Q13825" s="5" t="s">
        <v>355</v>
      </c>
    </row>
    <row r="13826" ht="16.5" customHeight="1">
      <c r="O13826" s="5" t="s">
        <v>355</v>
      </c>
      <c r="P13826" s="5" t="s">
        <v>355</v>
      </c>
      <c r="Q13826" s="5" t="s">
        <v>355</v>
      </c>
    </row>
    <row r="13827" ht="16.5" customHeight="1">
      <c r="O13827" s="5" t="s">
        <v>355</v>
      </c>
      <c r="P13827" s="5" t="s">
        <v>355</v>
      </c>
      <c r="Q13827" s="5" t="s">
        <v>355</v>
      </c>
    </row>
    <row r="13828" ht="16.5" customHeight="1">
      <c r="O13828" s="5" t="s">
        <v>355</v>
      </c>
      <c r="P13828" s="5" t="s">
        <v>355</v>
      </c>
      <c r="Q13828" s="5" t="s">
        <v>355</v>
      </c>
    </row>
    <row r="13829" ht="16.5" customHeight="1">
      <c r="O13829" s="5" t="s">
        <v>355</v>
      </c>
      <c r="P13829" s="5" t="s">
        <v>355</v>
      </c>
      <c r="Q13829" s="5" t="s">
        <v>355</v>
      </c>
    </row>
    <row r="13830" ht="16.5" customHeight="1">
      <c r="O13830" s="5" t="s">
        <v>355</v>
      </c>
      <c r="P13830" s="5" t="s">
        <v>355</v>
      </c>
      <c r="Q13830" s="5" t="s">
        <v>355</v>
      </c>
    </row>
    <row r="13831" ht="16.5" customHeight="1">
      <c r="O13831" s="5" t="s">
        <v>355</v>
      </c>
      <c r="P13831" s="5" t="s">
        <v>355</v>
      </c>
      <c r="Q13831" s="5" t="s">
        <v>355</v>
      </c>
    </row>
    <row r="13832" ht="16.5" customHeight="1">
      <c r="O13832" s="5" t="s">
        <v>355</v>
      </c>
      <c r="P13832" s="5" t="s">
        <v>355</v>
      </c>
      <c r="Q13832" s="5" t="s">
        <v>355</v>
      </c>
    </row>
    <row r="13833" ht="16.5" customHeight="1">
      <c r="O13833" s="5" t="s">
        <v>355</v>
      </c>
      <c r="P13833" s="5" t="s">
        <v>355</v>
      </c>
      <c r="Q13833" s="5" t="s">
        <v>355</v>
      </c>
    </row>
    <row r="13834" ht="16.5" customHeight="1">
      <c r="O13834" s="5" t="s">
        <v>355</v>
      </c>
      <c r="P13834" s="5" t="s">
        <v>355</v>
      </c>
      <c r="Q13834" s="5" t="s">
        <v>355</v>
      </c>
    </row>
    <row r="13835" ht="16.5" customHeight="1">
      <c r="O13835" s="5" t="s">
        <v>355</v>
      </c>
      <c r="P13835" s="5" t="s">
        <v>355</v>
      </c>
      <c r="Q13835" s="5" t="s">
        <v>355</v>
      </c>
    </row>
    <row r="13836" ht="16.5" customHeight="1">
      <c r="O13836" s="5" t="s">
        <v>355</v>
      </c>
      <c r="P13836" s="5" t="s">
        <v>355</v>
      </c>
      <c r="Q13836" s="5" t="s">
        <v>355</v>
      </c>
    </row>
    <row r="13837" ht="16.5" customHeight="1">
      <c r="O13837" s="5" t="s">
        <v>355</v>
      </c>
      <c r="P13837" s="5" t="s">
        <v>355</v>
      </c>
      <c r="Q13837" s="5" t="s">
        <v>355</v>
      </c>
    </row>
    <row r="13838" ht="16.5" customHeight="1">
      <c r="O13838" s="5" t="s">
        <v>355</v>
      </c>
      <c r="P13838" s="5" t="s">
        <v>355</v>
      </c>
      <c r="Q13838" s="5" t="s">
        <v>355</v>
      </c>
    </row>
    <row r="13839" ht="16.5" customHeight="1">
      <c r="O13839" s="5" t="s">
        <v>355</v>
      </c>
      <c r="P13839" s="5" t="s">
        <v>355</v>
      </c>
      <c r="Q13839" s="5" t="s">
        <v>355</v>
      </c>
    </row>
    <row r="13840" ht="16.5" customHeight="1">
      <c r="O13840" s="5" t="s">
        <v>355</v>
      </c>
      <c r="P13840" s="5" t="s">
        <v>355</v>
      </c>
      <c r="Q13840" s="5" t="s">
        <v>355</v>
      </c>
    </row>
    <row r="13841" ht="16.5" customHeight="1">
      <c r="O13841" s="5" t="s">
        <v>355</v>
      </c>
      <c r="P13841" s="5" t="s">
        <v>355</v>
      </c>
      <c r="Q13841" s="5" t="s">
        <v>355</v>
      </c>
    </row>
    <row r="13842" ht="16.5" customHeight="1">
      <c r="O13842" s="5" t="s">
        <v>355</v>
      </c>
      <c r="P13842" s="5" t="s">
        <v>355</v>
      </c>
      <c r="Q13842" s="5" t="s">
        <v>355</v>
      </c>
    </row>
    <row r="13843" ht="16.5" customHeight="1">
      <c r="O13843" s="5" t="s">
        <v>355</v>
      </c>
      <c r="P13843" s="5" t="s">
        <v>355</v>
      </c>
      <c r="Q13843" s="5" t="s">
        <v>355</v>
      </c>
    </row>
    <row r="13844" ht="16.5" customHeight="1">
      <c r="O13844" s="5" t="s">
        <v>355</v>
      </c>
      <c r="P13844" s="5" t="s">
        <v>355</v>
      </c>
      <c r="Q13844" s="5" t="s">
        <v>355</v>
      </c>
    </row>
    <row r="13845" ht="16.5" customHeight="1">
      <c r="O13845" s="5" t="s">
        <v>355</v>
      </c>
      <c r="P13845" s="5" t="s">
        <v>355</v>
      </c>
      <c r="Q13845" s="5" t="s">
        <v>355</v>
      </c>
    </row>
    <row r="13846" ht="16.5" customHeight="1">
      <c r="O13846" s="5" t="s">
        <v>355</v>
      </c>
      <c r="P13846" s="5" t="s">
        <v>355</v>
      </c>
      <c r="Q13846" s="5" t="s">
        <v>355</v>
      </c>
    </row>
    <row r="13847" ht="16.5" customHeight="1">
      <c r="O13847" s="5" t="s">
        <v>355</v>
      </c>
      <c r="P13847" s="5" t="s">
        <v>355</v>
      </c>
      <c r="Q13847" s="5" t="s">
        <v>355</v>
      </c>
    </row>
    <row r="13848" ht="16.5" customHeight="1">
      <c r="O13848" s="5" t="s">
        <v>355</v>
      </c>
      <c r="P13848" s="5" t="s">
        <v>355</v>
      </c>
      <c r="Q13848" s="5" t="s">
        <v>355</v>
      </c>
    </row>
    <row r="13849" ht="16.5" customHeight="1">
      <c r="O13849" s="5" t="s">
        <v>355</v>
      </c>
      <c r="P13849" s="5" t="s">
        <v>355</v>
      </c>
      <c r="Q13849" s="5" t="s">
        <v>355</v>
      </c>
    </row>
    <row r="13850" ht="16.5" customHeight="1">
      <c r="O13850" s="5" t="s">
        <v>355</v>
      </c>
      <c r="P13850" s="5" t="s">
        <v>355</v>
      </c>
      <c r="Q13850" s="5" t="s">
        <v>355</v>
      </c>
    </row>
    <row r="13851" ht="16.5" customHeight="1">
      <c r="O13851" s="5" t="s">
        <v>355</v>
      </c>
      <c r="P13851" s="5" t="s">
        <v>355</v>
      </c>
      <c r="Q13851" s="5" t="s">
        <v>355</v>
      </c>
    </row>
    <row r="13852" ht="16.5" customHeight="1">
      <c r="O13852" s="5" t="s">
        <v>355</v>
      </c>
      <c r="P13852" s="5" t="s">
        <v>355</v>
      </c>
      <c r="Q13852" s="5" t="s">
        <v>355</v>
      </c>
    </row>
    <row r="13853" ht="16.5" customHeight="1">
      <c r="O13853" s="5" t="s">
        <v>355</v>
      </c>
      <c r="P13853" s="5" t="s">
        <v>355</v>
      </c>
      <c r="Q13853" s="5" t="s">
        <v>355</v>
      </c>
    </row>
    <row r="13854" ht="16.5" customHeight="1">
      <c r="O13854" s="5" t="s">
        <v>355</v>
      </c>
      <c r="P13854" s="5" t="s">
        <v>355</v>
      </c>
      <c r="Q13854" s="5" t="s">
        <v>355</v>
      </c>
    </row>
    <row r="13855" ht="16.5" customHeight="1">
      <c r="O13855" s="5" t="s">
        <v>355</v>
      </c>
      <c r="P13855" s="5" t="s">
        <v>355</v>
      </c>
      <c r="Q13855" s="5" t="s">
        <v>355</v>
      </c>
    </row>
    <row r="13856" ht="16.5" customHeight="1">
      <c r="O13856" s="5" t="s">
        <v>355</v>
      </c>
      <c r="P13856" s="5" t="s">
        <v>355</v>
      </c>
      <c r="Q13856" s="5" t="s">
        <v>355</v>
      </c>
    </row>
    <row r="13857" ht="16.5" customHeight="1">
      <c r="O13857" s="5" t="s">
        <v>355</v>
      </c>
      <c r="P13857" s="5" t="s">
        <v>355</v>
      </c>
      <c r="Q13857" s="5" t="s">
        <v>355</v>
      </c>
    </row>
    <row r="13858" ht="16.5" customHeight="1">
      <c r="O13858" s="5" t="s">
        <v>355</v>
      </c>
      <c r="P13858" s="5" t="s">
        <v>355</v>
      </c>
      <c r="Q13858" s="5" t="s">
        <v>355</v>
      </c>
    </row>
    <row r="13859" ht="16.5" customHeight="1">
      <c r="O13859" s="5" t="s">
        <v>355</v>
      </c>
      <c r="P13859" s="5" t="s">
        <v>355</v>
      </c>
      <c r="Q13859" s="5" t="s">
        <v>355</v>
      </c>
    </row>
    <row r="13860" ht="16.5" customHeight="1">
      <c r="O13860" s="5" t="s">
        <v>355</v>
      </c>
      <c r="P13860" s="5" t="s">
        <v>355</v>
      </c>
      <c r="Q13860" s="5" t="s">
        <v>355</v>
      </c>
    </row>
    <row r="13861" ht="16.5" customHeight="1">
      <c r="O13861" s="5" t="s">
        <v>355</v>
      </c>
      <c r="P13861" s="5" t="s">
        <v>355</v>
      </c>
      <c r="Q13861" s="5" t="s">
        <v>355</v>
      </c>
    </row>
    <row r="13862" ht="16.5" customHeight="1">
      <c r="O13862" s="5" t="s">
        <v>355</v>
      </c>
      <c r="P13862" s="5" t="s">
        <v>355</v>
      </c>
      <c r="Q13862" s="5" t="s">
        <v>355</v>
      </c>
    </row>
    <row r="13863" ht="16.5" customHeight="1">
      <c r="O13863" s="5" t="s">
        <v>355</v>
      </c>
      <c r="P13863" s="5" t="s">
        <v>355</v>
      </c>
      <c r="Q13863" s="5" t="s">
        <v>355</v>
      </c>
    </row>
    <row r="13864" ht="16.5" customHeight="1">
      <c r="O13864" s="5" t="s">
        <v>355</v>
      </c>
      <c r="P13864" s="5" t="s">
        <v>355</v>
      </c>
      <c r="Q13864" s="5" t="s">
        <v>355</v>
      </c>
    </row>
    <row r="13865" ht="16.5" customHeight="1">
      <c r="O13865" s="5" t="s">
        <v>355</v>
      </c>
      <c r="P13865" s="5" t="s">
        <v>355</v>
      </c>
      <c r="Q13865" s="5" t="s">
        <v>355</v>
      </c>
    </row>
    <row r="13866" ht="16.5" customHeight="1">
      <c r="O13866" s="5" t="s">
        <v>355</v>
      </c>
      <c r="P13866" s="5" t="s">
        <v>355</v>
      </c>
      <c r="Q13866" s="5" t="s">
        <v>355</v>
      </c>
    </row>
    <row r="13867" ht="16.5" customHeight="1">
      <c r="O13867" s="5" t="s">
        <v>355</v>
      </c>
      <c r="P13867" s="5" t="s">
        <v>355</v>
      </c>
      <c r="Q13867" s="5" t="s">
        <v>355</v>
      </c>
    </row>
    <row r="13868" ht="16.5" customHeight="1">
      <c r="O13868" s="5" t="s">
        <v>355</v>
      </c>
      <c r="P13868" s="5" t="s">
        <v>355</v>
      </c>
      <c r="Q13868" s="5" t="s">
        <v>355</v>
      </c>
    </row>
    <row r="13869" ht="16.5" customHeight="1">
      <c r="O13869" s="5" t="s">
        <v>355</v>
      </c>
      <c r="P13869" s="5" t="s">
        <v>355</v>
      </c>
      <c r="Q13869" s="5" t="s">
        <v>355</v>
      </c>
    </row>
    <row r="13870" ht="16.5" customHeight="1">
      <c r="O13870" s="5" t="s">
        <v>355</v>
      </c>
      <c r="P13870" s="5" t="s">
        <v>355</v>
      </c>
      <c r="Q13870" s="5" t="s">
        <v>355</v>
      </c>
    </row>
    <row r="13871" ht="16.5" customHeight="1">
      <c r="O13871" s="5" t="s">
        <v>355</v>
      </c>
      <c r="P13871" s="5" t="s">
        <v>355</v>
      </c>
      <c r="Q13871" s="5" t="s">
        <v>355</v>
      </c>
    </row>
    <row r="13872" ht="16.5" customHeight="1">
      <c r="O13872" s="5" t="s">
        <v>355</v>
      </c>
      <c r="P13872" s="5" t="s">
        <v>355</v>
      </c>
      <c r="Q13872" s="5" t="s">
        <v>355</v>
      </c>
    </row>
    <row r="13873" ht="16.5" customHeight="1">
      <c r="O13873" s="5" t="s">
        <v>355</v>
      </c>
      <c r="P13873" s="5" t="s">
        <v>355</v>
      </c>
      <c r="Q13873" s="5" t="s">
        <v>355</v>
      </c>
    </row>
    <row r="13874" ht="16.5" customHeight="1">
      <c r="O13874" s="5" t="s">
        <v>355</v>
      </c>
      <c r="P13874" s="5" t="s">
        <v>355</v>
      </c>
      <c r="Q13874" s="5" t="s">
        <v>355</v>
      </c>
    </row>
    <row r="13875" ht="16.5" customHeight="1">
      <c r="O13875" s="5" t="s">
        <v>355</v>
      </c>
      <c r="P13875" s="5" t="s">
        <v>355</v>
      </c>
      <c r="Q13875" s="5" t="s">
        <v>355</v>
      </c>
    </row>
    <row r="13876" ht="16.5" customHeight="1">
      <c r="O13876" s="5" t="s">
        <v>355</v>
      </c>
      <c r="P13876" s="5" t="s">
        <v>355</v>
      </c>
      <c r="Q13876" s="5" t="s">
        <v>355</v>
      </c>
    </row>
    <row r="13877" ht="16.5" customHeight="1">
      <c r="O13877" s="5" t="s">
        <v>355</v>
      </c>
      <c r="P13877" s="5" t="s">
        <v>355</v>
      </c>
      <c r="Q13877" s="5" t="s">
        <v>355</v>
      </c>
    </row>
    <row r="13878" ht="16.5" customHeight="1">
      <c r="O13878" s="5" t="s">
        <v>355</v>
      </c>
      <c r="P13878" s="5" t="s">
        <v>355</v>
      </c>
      <c r="Q13878" s="5" t="s">
        <v>355</v>
      </c>
    </row>
    <row r="13879" ht="16.5" customHeight="1">
      <c r="O13879" s="5" t="s">
        <v>355</v>
      </c>
      <c r="P13879" s="5" t="s">
        <v>355</v>
      </c>
      <c r="Q13879" s="5" t="s">
        <v>355</v>
      </c>
    </row>
    <row r="13880" ht="16.5" customHeight="1">
      <c r="O13880" s="5" t="s">
        <v>355</v>
      </c>
      <c r="P13880" s="5" t="s">
        <v>355</v>
      </c>
      <c r="Q13880" s="5" t="s">
        <v>355</v>
      </c>
    </row>
    <row r="13881" ht="16.5" customHeight="1">
      <c r="O13881" s="5" t="s">
        <v>355</v>
      </c>
      <c r="P13881" s="5" t="s">
        <v>355</v>
      </c>
      <c r="Q13881" s="5" t="s">
        <v>355</v>
      </c>
    </row>
    <row r="13882" ht="16.5" customHeight="1">
      <c r="O13882" s="5" t="s">
        <v>355</v>
      </c>
      <c r="P13882" s="5" t="s">
        <v>355</v>
      </c>
      <c r="Q13882" s="5" t="s">
        <v>355</v>
      </c>
    </row>
    <row r="13883" ht="16.5" customHeight="1">
      <c r="O13883" s="5" t="s">
        <v>355</v>
      </c>
      <c r="P13883" s="5" t="s">
        <v>355</v>
      </c>
      <c r="Q13883" s="5" t="s">
        <v>355</v>
      </c>
    </row>
    <row r="13884" ht="16.5" customHeight="1">
      <c r="O13884" s="5" t="s">
        <v>355</v>
      </c>
      <c r="P13884" s="5" t="s">
        <v>355</v>
      </c>
      <c r="Q13884" s="5" t="s">
        <v>355</v>
      </c>
    </row>
    <row r="13885" ht="16.5" customHeight="1">
      <c r="O13885" s="5" t="s">
        <v>355</v>
      </c>
      <c r="P13885" s="5" t="s">
        <v>355</v>
      </c>
      <c r="Q13885" s="5" t="s">
        <v>355</v>
      </c>
    </row>
    <row r="13886" ht="16.5" customHeight="1">
      <c r="O13886" s="5" t="s">
        <v>355</v>
      </c>
      <c r="P13886" s="5" t="s">
        <v>355</v>
      </c>
      <c r="Q13886" s="5" t="s">
        <v>355</v>
      </c>
    </row>
    <row r="13887" ht="16.5" customHeight="1">
      <c r="O13887" s="5" t="s">
        <v>355</v>
      </c>
      <c r="P13887" s="5" t="s">
        <v>355</v>
      </c>
      <c r="Q13887" s="5" t="s">
        <v>355</v>
      </c>
    </row>
    <row r="13888" ht="16.5" customHeight="1">
      <c r="O13888" s="5" t="s">
        <v>355</v>
      </c>
      <c r="P13888" s="5" t="s">
        <v>355</v>
      </c>
      <c r="Q13888" s="5" t="s">
        <v>355</v>
      </c>
    </row>
    <row r="13889" ht="16.5" customHeight="1">
      <c r="O13889" s="5" t="s">
        <v>355</v>
      </c>
      <c r="P13889" s="5" t="s">
        <v>355</v>
      </c>
      <c r="Q13889" s="5" t="s">
        <v>355</v>
      </c>
    </row>
    <row r="13890" ht="16.5" customHeight="1">
      <c r="O13890" s="5" t="s">
        <v>355</v>
      </c>
      <c r="P13890" s="5" t="s">
        <v>355</v>
      </c>
      <c r="Q13890" s="5" t="s">
        <v>355</v>
      </c>
    </row>
    <row r="13891" ht="16.5" customHeight="1">
      <c r="O13891" s="5" t="s">
        <v>355</v>
      </c>
      <c r="P13891" s="5" t="s">
        <v>355</v>
      </c>
      <c r="Q13891" s="5" t="s">
        <v>355</v>
      </c>
    </row>
    <row r="13892" ht="16.5" customHeight="1">
      <c r="O13892" s="5" t="s">
        <v>355</v>
      </c>
      <c r="P13892" s="5" t="s">
        <v>355</v>
      </c>
      <c r="Q13892" s="5" t="s">
        <v>355</v>
      </c>
    </row>
    <row r="13893" ht="16.5" customHeight="1">
      <c r="O13893" s="5" t="s">
        <v>355</v>
      </c>
      <c r="P13893" s="5" t="s">
        <v>355</v>
      </c>
      <c r="Q13893" s="5" t="s">
        <v>355</v>
      </c>
    </row>
    <row r="13894" ht="16.5" customHeight="1">
      <c r="O13894" s="5" t="s">
        <v>355</v>
      </c>
      <c r="P13894" s="5" t="s">
        <v>355</v>
      </c>
      <c r="Q13894" s="5" t="s">
        <v>355</v>
      </c>
    </row>
    <row r="13895" ht="16.5" customHeight="1">
      <c r="O13895" s="5" t="s">
        <v>355</v>
      </c>
      <c r="P13895" s="5" t="s">
        <v>355</v>
      </c>
      <c r="Q13895" s="5" t="s">
        <v>355</v>
      </c>
    </row>
    <row r="13896" ht="16.5" customHeight="1">
      <c r="O13896" s="5" t="s">
        <v>355</v>
      </c>
      <c r="P13896" s="5" t="s">
        <v>355</v>
      </c>
      <c r="Q13896" s="5" t="s">
        <v>355</v>
      </c>
    </row>
    <row r="13897" ht="16.5" customHeight="1">
      <c r="O13897" s="5" t="s">
        <v>355</v>
      </c>
      <c r="P13897" s="5" t="s">
        <v>355</v>
      </c>
      <c r="Q13897" s="5" t="s">
        <v>355</v>
      </c>
    </row>
    <row r="13898" ht="16.5" customHeight="1">
      <c r="O13898" s="5" t="s">
        <v>355</v>
      </c>
      <c r="P13898" s="5" t="s">
        <v>355</v>
      </c>
      <c r="Q13898" s="5" t="s">
        <v>355</v>
      </c>
    </row>
    <row r="13899" ht="16.5" customHeight="1">
      <c r="O13899" s="5" t="s">
        <v>355</v>
      </c>
      <c r="P13899" s="5" t="s">
        <v>355</v>
      </c>
      <c r="Q13899" s="5" t="s">
        <v>355</v>
      </c>
    </row>
    <row r="13900" ht="16.5" customHeight="1">
      <c r="O13900" s="5" t="s">
        <v>355</v>
      </c>
      <c r="P13900" s="5" t="s">
        <v>355</v>
      </c>
      <c r="Q13900" s="5" t="s">
        <v>355</v>
      </c>
    </row>
    <row r="13901" ht="16.5" customHeight="1">
      <c r="O13901" s="5" t="s">
        <v>355</v>
      </c>
      <c r="P13901" s="5" t="s">
        <v>355</v>
      </c>
      <c r="Q13901" s="5" t="s">
        <v>355</v>
      </c>
    </row>
    <row r="13902" ht="16.5" customHeight="1">
      <c r="O13902" s="5" t="s">
        <v>355</v>
      </c>
      <c r="P13902" s="5" t="s">
        <v>355</v>
      </c>
      <c r="Q13902" s="5" t="s">
        <v>355</v>
      </c>
    </row>
    <row r="13903" ht="16.5" customHeight="1">
      <c r="O13903" s="5" t="s">
        <v>355</v>
      </c>
      <c r="P13903" s="5" t="s">
        <v>355</v>
      </c>
      <c r="Q13903" s="5" t="s">
        <v>355</v>
      </c>
    </row>
    <row r="13904" ht="16.5" customHeight="1">
      <c r="O13904" s="5" t="s">
        <v>355</v>
      </c>
      <c r="P13904" s="5" t="s">
        <v>355</v>
      </c>
      <c r="Q13904" s="5" t="s">
        <v>355</v>
      </c>
    </row>
    <row r="13905" ht="16.5" customHeight="1">
      <c r="O13905" s="5" t="s">
        <v>355</v>
      </c>
      <c r="P13905" s="5" t="s">
        <v>355</v>
      </c>
      <c r="Q13905" s="5" t="s">
        <v>355</v>
      </c>
    </row>
    <row r="13906" ht="16.5" customHeight="1">
      <c r="O13906" s="5" t="s">
        <v>355</v>
      </c>
      <c r="P13906" s="5" t="s">
        <v>355</v>
      </c>
      <c r="Q13906" s="5" t="s">
        <v>355</v>
      </c>
    </row>
    <row r="13907" ht="16.5" customHeight="1">
      <c r="O13907" s="5" t="s">
        <v>355</v>
      </c>
      <c r="P13907" s="5" t="s">
        <v>355</v>
      </c>
      <c r="Q13907" s="5" t="s">
        <v>355</v>
      </c>
    </row>
    <row r="13908" ht="16.5" customHeight="1">
      <c r="O13908" s="5" t="s">
        <v>355</v>
      </c>
      <c r="P13908" s="5" t="s">
        <v>355</v>
      </c>
      <c r="Q13908" s="5" t="s">
        <v>355</v>
      </c>
    </row>
    <row r="13909" ht="16.5" customHeight="1">
      <c r="O13909" s="5" t="s">
        <v>355</v>
      </c>
      <c r="P13909" s="5" t="s">
        <v>355</v>
      </c>
      <c r="Q13909" s="5" t="s">
        <v>355</v>
      </c>
    </row>
    <row r="13910" ht="16.5" customHeight="1">
      <c r="O13910" s="5" t="s">
        <v>355</v>
      </c>
      <c r="P13910" s="5" t="s">
        <v>355</v>
      </c>
      <c r="Q13910" s="5" t="s">
        <v>355</v>
      </c>
    </row>
    <row r="13911" ht="16.5" customHeight="1">
      <c r="O13911" s="5" t="s">
        <v>355</v>
      </c>
      <c r="P13911" s="5" t="s">
        <v>355</v>
      </c>
      <c r="Q13911" s="5" t="s">
        <v>355</v>
      </c>
    </row>
    <row r="13912" ht="16.5" customHeight="1">
      <c r="O13912" s="5" t="s">
        <v>355</v>
      </c>
      <c r="P13912" s="5" t="s">
        <v>355</v>
      </c>
      <c r="Q13912" s="5" t="s">
        <v>355</v>
      </c>
    </row>
    <row r="13913" ht="16.5" customHeight="1">
      <c r="O13913" s="5" t="s">
        <v>355</v>
      </c>
      <c r="P13913" s="5" t="s">
        <v>355</v>
      </c>
      <c r="Q13913" s="5" t="s">
        <v>355</v>
      </c>
    </row>
    <row r="13914" ht="16.5" customHeight="1">
      <c r="O13914" s="5" t="s">
        <v>355</v>
      </c>
      <c r="P13914" s="5" t="s">
        <v>355</v>
      </c>
      <c r="Q13914" s="5" t="s">
        <v>355</v>
      </c>
    </row>
    <row r="13915" ht="16.5" customHeight="1">
      <c r="O13915" s="5" t="s">
        <v>355</v>
      </c>
      <c r="P13915" s="5" t="s">
        <v>355</v>
      </c>
      <c r="Q13915" s="5" t="s">
        <v>355</v>
      </c>
    </row>
    <row r="13916" ht="16.5" customHeight="1">
      <c r="O13916" s="5" t="s">
        <v>355</v>
      </c>
      <c r="P13916" s="5" t="s">
        <v>355</v>
      </c>
      <c r="Q13916" s="5" t="s">
        <v>355</v>
      </c>
    </row>
    <row r="13917" ht="16.5" customHeight="1">
      <c r="O13917" s="5" t="s">
        <v>355</v>
      </c>
      <c r="P13917" s="5" t="s">
        <v>355</v>
      </c>
      <c r="Q13917" s="5" t="s">
        <v>355</v>
      </c>
    </row>
    <row r="13918" ht="16.5" customHeight="1">
      <c r="O13918" s="5" t="s">
        <v>355</v>
      </c>
      <c r="P13918" s="5" t="s">
        <v>355</v>
      </c>
      <c r="Q13918" s="5" t="s">
        <v>355</v>
      </c>
    </row>
    <row r="13919" ht="16.5" customHeight="1">
      <c r="O13919" s="5" t="s">
        <v>355</v>
      </c>
      <c r="P13919" s="5" t="s">
        <v>355</v>
      </c>
      <c r="Q13919" s="5" t="s">
        <v>355</v>
      </c>
    </row>
    <row r="13920" ht="16.5" customHeight="1">
      <c r="O13920" s="5" t="s">
        <v>355</v>
      </c>
      <c r="P13920" s="5" t="s">
        <v>355</v>
      </c>
      <c r="Q13920" s="5" t="s">
        <v>355</v>
      </c>
    </row>
    <row r="13921" ht="16.5" customHeight="1">
      <c r="O13921" s="5" t="s">
        <v>355</v>
      </c>
      <c r="P13921" s="5" t="s">
        <v>355</v>
      </c>
      <c r="Q13921" s="5" t="s">
        <v>355</v>
      </c>
    </row>
    <row r="13922" ht="16.5" customHeight="1">
      <c r="O13922" s="5" t="s">
        <v>355</v>
      </c>
      <c r="P13922" s="5" t="s">
        <v>355</v>
      </c>
      <c r="Q13922" s="5" t="s">
        <v>355</v>
      </c>
    </row>
    <row r="13923" ht="16.5" customHeight="1">
      <c r="O13923" s="5" t="s">
        <v>355</v>
      </c>
      <c r="P13923" s="5" t="s">
        <v>355</v>
      </c>
      <c r="Q13923" s="5" t="s">
        <v>355</v>
      </c>
    </row>
    <row r="13924" ht="16.5" customHeight="1">
      <c r="O13924" s="5" t="s">
        <v>355</v>
      </c>
      <c r="P13924" s="5" t="s">
        <v>355</v>
      </c>
      <c r="Q13924" s="5" t="s">
        <v>355</v>
      </c>
    </row>
    <row r="13925" ht="16.5" customHeight="1">
      <c r="O13925" s="5" t="s">
        <v>355</v>
      </c>
      <c r="P13925" s="5" t="s">
        <v>355</v>
      </c>
      <c r="Q13925" s="5" t="s">
        <v>355</v>
      </c>
    </row>
    <row r="13926" ht="16.5" customHeight="1">
      <c r="O13926" s="5" t="s">
        <v>355</v>
      </c>
      <c r="P13926" s="5" t="s">
        <v>355</v>
      </c>
      <c r="Q13926" s="5" t="s">
        <v>355</v>
      </c>
    </row>
    <row r="13927" ht="16.5" customHeight="1">
      <c r="O13927" s="5" t="s">
        <v>355</v>
      </c>
      <c r="P13927" s="5" t="s">
        <v>355</v>
      </c>
      <c r="Q13927" s="5" t="s">
        <v>355</v>
      </c>
    </row>
    <row r="13928" ht="16.5" customHeight="1">
      <c r="O13928" s="5" t="s">
        <v>355</v>
      </c>
      <c r="P13928" s="5" t="s">
        <v>355</v>
      </c>
      <c r="Q13928" s="5" t="s">
        <v>355</v>
      </c>
    </row>
    <row r="13929" ht="16.5" customHeight="1">
      <c r="O13929" s="5" t="s">
        <v>355</v>
      </c>
      <c r="P13929" s="5" t="s">
        <v>355</v>
      </c>
      <c r="Q13929" s="5" t="s">
        <v>355</v>
      </c>
    </row>
    <row r="13930" ht="16.5" customHeight="1">
      <c r="O13930" s="5" t="s">
        <v>355</v>
      </c>
      <c r="P13930" s="5" t="s">
        <v>355</v>
      </c>
      <c r="Q13930" s="5" t="s">
        <v>355</v>
      </c>
    </row>
    <row r="13931" ht="16.5" customHeight="1">
      <c r="O13931" s="5" t="s">
        <v>355</v>
      </c>
      <c r="P13931" s="5" t="s">
        <v>355</v>
      </c>
      <c r="Q13931" s="5" t="s">
        <v>355</v>
      </c>
    </row>
    <row r="13932" ht="16.5" customHeight="1">
      <c r="O13932" s="5" t="s">
        <v>355</v>
      </c>
      <c r="P13932" s="5" t="s">
        <v>355</v>
      </c>
      <c r="Q13932" s="5" t="s">
        <v>355</v>
      </c>
    </row>
    <row r="13933" ht="16.5" customHeight="1">
      <c r="O13933" s="5" t="s">
        <v>355</v>
      </c>
      <c r="P13933" s="5" t="s">
        <v>355</v>
      </c>
      <c r="Q13933" s="5" t="s">
        <v>355</v>
      </c>
    </row>
    <row r="13934" ht="16.5" customHeight="1">
      <c r="O13934" s="5" t="s">
        <v>355</v>
      </c>
      <c r="P13934" s="5" t="s">
        <v>355</v>
      </c>
      <c r="Q13934" s="5" t="s">
        <v>355</v>
      </c>
    </row>
    <row r="13935" ht="16.5" customHeight="1">
      <c r="O13935" s="5" t="s">
        <v>355</v>
      </c>
      <c r="P13935" s="5" t="s">
        <v>355</v>
      </c>
      <c r="Q13935" s="5" t="s">
        <v>355</v>
      </c>
    </row>
    <row r="13936" ht="16.5" customHeight="1">
      <c r="O13936" s="5" t="s">
        <v>355</v>
      </c>
      <c r="P13936" s="5" t="s">
        <v>355</v>
      </c>
      <c r="Q13936" s="5" t="s">
        <v>355</v>
      </c>
    </row>
    <row r="13937" ht="16.5" customHeight="1">
      <c r="O13937" s="5" t="s">
        <v>355</v>
      </c>
      <c r="P13937" s="5" t="s">
        <v>355</v>
      </c>
      <c r="Q13937" s="5" t="s">
        <v>355</v>
      </c>
    </row>
    <row r="13938" ht="16.5" customHeight="1">
      <c r="O13938" s="5" t="s">
        <v>355</v>
      </c>
      <c r="P13938" s="5" t="s">
        <v>355</v>
      </c>
      <c r="Q13938" s="5" t="s">
        <v>355</v>
      </c>
    </row>
    <row r="13939" ht="16.5" customHeight="1">
      <c r="O13939" s="5" t="s">
        <v>355</v>
      </c>
      <c r="P13939" s="5" t="s">
        <v>355</v>
      </c>
      <c r="Q13939" s="5" t="s">
        <v>355</v>
      </c>
    </row>
    <row r="13940" ht="16.5" customHeight="1">
      <c r="O13940" s="5" t="s">
        <v>355</v>
      </c>
      <c r="P13940" s="5" t="s">
        <v>355</v>
      </c>
      <c r="Q13940" s="5" t="s">
        <v>355</v>
      </c>
    </row>
    <row r="13941" ht="16.5" customHeight="1">
      <c r="O13941" s="5" t="s">
        <v>355</v>
      </c>
      <c r="P13941" s="5" t="s">
        <v>355</v>
      </c>
      <c r="Q13941" s="5" t="s">
        <v>355</v>
      </c>
    </row>
    <row r="13942" ht="16.5" customHeight="1">
      <c r="O13942" s="5" t="s">
        <v>355</v>
      </c>
      <c r="P13942" s="5" t="s">
        <v>355</v>
      </c>
      <c r="Q13942" s="5" t="s">
        <v>355</v>
      </c>
    </row>
    <row r="13943" ht="16.5" customHeight="1">
      <c r="O13943" s="5" t="s">
        <v>355</v>
      </c>
      <c r="P13943" s="5" t="s">
        <v>355</v>
      </c>
      <c r="Q13943" s="5" t="s">
        <v>355</v>
      </c>
    </row>
    <row r="13944" ht="16.5" customHeight="1">
      <c r="O13944" s="5" t="s">
        <v>355</v>
      </c>
      <c r="P13944" s="5" t="s">
        <v>355</v>
      </c>
      <c r="Q13944" s="5" t="s">
        <v>355</v>
      </c>
    </row>
    <row r="13945" ht="16.5" customHeight="1">
      <c r="O13945" s="5" t="s">
        <v>355</v>
      </c>
      <c r="P13945" s="5" t="s">
        <v>355</v>
      </c>
      <c r="Q13945" s="5" t="s">
        <v>355</v>
      </c>
    </row>
    <row r="13946" ht="16.5" customHeight="1">
      <c r="O13946" s="5" t="s">
        <v>355</v>
      </c>
      <c r="P13946" s="5" t="s">
        <v>355</v>
      </c>
      <c r="Q13946" s="5" t="s">
        <v>355</v>
      </c>
    </row>
    <row r="13947" ht="16.5" customHeight="1">
      <c r="O13947" s="5" t="s">
        <v>355</v>
      </c>
      <c r="P13947" s="5" t="s">
        <v>355</v>
      </c>
      <c r="Q13947" s="5" t="s">
        <v>355</v>
      </c>
    </row>
    <row r="13948" ht="16.5" customHeight="1">
      <c r="O13948" s="5" t="s">
        <v>355</v>
      </c>
      <c r="P13948" s="5" t="s">
        <v>355</v>
      </c>
      <c r="Q13948" s="5" t="s">
        <v>355</v>
      </c>
    </row>
    <row r="13949" ht="16.5" customHeight="1">
      <c r="O13949" s="5" t="s">
        <v>355</v>
      </c>
      <c r="P13949" s="5" t="s">
        <v>355</v>
      </c>
      <c r="Q13949" s="5" t="s">
        <v>355</v>
      </c>
    </row>
    <row r="13950" ht="16.5" customHeight="1">
      <c r="O13950" s="5" t="s">
        <v>355</v>
      </c>
      <c r="P13950" s="5" t="s">
        <v>355</v>
      </c>
      <c r="Q13950" s="5" t="s">
        <v>355</v>
      </c>
    </row>
    <row r="13951" ht="16.5" customHeight="1">
      <c r="O13951" s="5" t="s">
        <v>355</v>
      </c>
      <c r="P13951" s="5" t="s">
        <v>355</v>
      </c>
      <c r="Q13951" s="5" t="s">
        <v>355</v>
      </c>
    </row>
    <row r="13952" ht="16.5" customHeight="1">
      <c r="O13952" s="5" t="s">
        <v>355</v>
      </c>
      <c r="P13952" s="5" t="s">
        <v>355</v>
      </c>
      <c r="Q13952" s="5" t="s">
        <v>355</v>
      </c>
    </row>
    <row r="13953" ht="16.5" customHeight="1">
      <c r="O13953" s="5" t="s">
        <v>355</v>
      </c>
      <c r="P13953" s="5" t="s">
        <v>355</v>
      </c>
      <c r="Q13953" s="5" t="s">
        <v>355</v>
      </c>
    </row>
    <row r="13954" ht="16.5" customHeight="1">
      <c r="O13954" s="5" t="s">
        <v>355</v>
      </c>
      <c r="P13954" s="5" t="s">
        <v>355</v>
      </c>
      <c r="Q13954" s="5" t="s">
        <v>355</v>
      </c>
    </row>
    <row r="13955" ht="16.5" customHeight="1">
      <c r="O13955" s="5" t="s">
        <v>355</v>
      </c>
      <c r="P13955" s="5" t="s">
        <v>355</v>
      </c>
      <c r="Q13955" s="5" t="s">
        <v>355</v>
      </c>
    </row>
    <row r="13956" ht="16.5" customHeight="1">
      <c r="O13956" s="5" t="s">
        <v>355</v>
      </c>
      <c r="P13956" s="5" t="s">
        <v>355</v>
      </c>
      <c r="Q13956" s="5" t="s">
        <v>355</v>
      </c>
    </row>
    <row r="13957" ht="16.5" customHeight="1">
      <c r="O13957" s="5" t="s">
        <v>355</v>
      </c>
      <c r="P13957" s="5" t="s">
        <v>355</v>
      </c>
      <c r="Q13957" s="5" t="s">
        <v>355</v>
      </c>
    </row>
    <row r="13958" ht="16.5" customHeight="1">
      <c r="O13958" s="5" t="s">
        <v>355</v>
      </c>
      <c r="P13958" s="5" t="s">
        <v>355</v>
      </c>
      <c r="Q13958" s="5" t="s">
        <v>355</v>
      </c>
    </row>
    <row r="13959" ht="16.5" customHeight="1">
      <c r="O13959" s="5" t="s">
        <v>355</v>
      </c>
      <c r="P13959" s="5" t="s">
        <v>355</v>
      </c>
      <c r="Q13959" s="5" t="s">
        <v>355</v>
      </c>
    </row>
    <row r="13960" ht="16.5" customHeight="1">
      <c r="O13960" s="5" t="s">
        <v>355</v>
      </c>
      <c r="P13960" s="5" t="s">
        <v>355</v>
      </c>
      <c r="Q13960" s="5" t="s">
        <v>355</v>
      </c>
    </row>
    <row r="13961" ht="16.5" customHeight="1">
      <c r="O13961" s="5" t="s">
        <v>355</v>
      </c>
      <c r="P13961" s="5" t="s">
        <v>355</v>
      </c>
      <c r="Q13961" s="5" t="s">
        <v>355</v>
      </c>
    </row>
    <row r="13962" ht="16.5" customHeight="1">
      <c r="O13962" s="5" t="s">
        <v>355</v>
      </c>
      <c r="P13962" s="5" t="s">
        <v>355</v>
      </c>
      <c r="Q13962" s="5" t="s">
        <v>355</v>
      </c>
    </row>
    <row r="13963" ht="16.5" customHeight="1">
      <c r="O13963" s="5" t="s">
        <v>355</v>
      </c>
      <c r="P13963" s="5" t="s">
        <v>355</v>
      </c>
      <c r="Q13963" s="5" t="s">
        <v>355</v>
      </c>
    </row>
    <row r="13964" ht="16.5" customHeight="1">
      <c r="O13964" s="5" t="s">
        <v>355</v>
      </c>
      <c r="P13964" s="5" t="s">
        <v>355</v>
      </c>
      <c r="Q13964" s="5" t="s">
        <v>355</v>
      </c>
    </row>
    <row r="13965" ht="16.5" customHeight="1">
      <c r="O13965" s="5" t="s">
        <v>355</v>
      </c>
      <c r="P13965" s="5" t="s">
        <v>355</v>
      </c>
      <c r="Q13965" s="5" t="s">
        <v>355</v>
      </c>
    </row>
    <row r="13966" ht="16.5" customHeight="1">
      <c r="O13966" s="5" t="s">
        <v>355</v>
      </c>
      <c r="P13966" s="5" t="s">
        <v>355</v>
      </c>
      <c r="Q13966" s="5" t="s">
        <v>355</v>
      </c>
    </row>
    <row r="13967" ht="16.5" customHeight="1">
      <c r="O13967" s="5" t="s">
        <v>355</v>
      </c>
      <c r="P13967" s="5" t="s">
        <v>355</v>
      </c>
      <c r="Q13967" s="5" t="s">
        <v>355</v>
      </c>
    </row>
    <row r="13968" ht="16.5" customHeight="1">
      <c r="O13968" s="5" t="s">
        <v>355</v>
      </c>
      <c r="P13968" s="5" t="s">
        <v>355</v>
      </c>
      <c r="Q13968" s="5" t="s">
        <v>355</v>
      </c>
    </row>
    <row r="13969" ht="16.5" customHeight="1">
      <c r="O13969" s="5" t="s">
        <v>355</v>
      </c>
      <c r="P13969" s="5" t="s">
        <v>355</v>
      </c>
      <c r="Q13969" s="5" t="s">
        <v>355</v>
      </c>
    </row>
    <row r="13970" ht="16.5" customHeight="1">
      <c r="O13970" s="5" t="s">
        <v>355</v>
      </c>
      <c r="P13970" s="5" t="s">
        <v>355</v>
      </c>
      <c r="Q13970" s="5" t="s">
        <v>355</v>
      </c>
    </row>
    <row r="13971" ht="16.5" customHeight="1">
      <c r="O13971" s="5" t="s">
        <v>355</v>
      </c>
      <c r="P13971" s="5" t="s">
        <v>355</v>
      </c>
      <c r="Q13971" s="5" t="s">
        <v>355</v>
      </c>
    </row>
    <row r="13972" ht="16.5" customHeight="1">
      <c r="O13972" s="5" t="s">
        <v>355</v>
      </c>
      <c r="P13972" s="5" t="s">
        <v>355</v>
      </c>
      <c r="Q13972" s="5" t="s">
        <v>355</v>
      </c>
    </row>
    <row r="13973" ht="16.5" customHeight="1">
      <c r="O13973" s="5" t="s">
        <v>355</v>
      </c>
      <c r="P13973" s="5" t="s">
        <v>355</v>
      </c>
      <c r="Q13973" s="5" t="s">
        <v>355</v>
      </c>
    </row>
    <row r="13974" ht="16.5" customHeight="1">
      <c r="O13974" s="5" t="s">
        <v>355</v>
      </c>
      <c r="P13974" s="5" t="s">
        <v>355</v>
      </c>
      <c r="Q13974" s="5" t="s">
        <v>355</v>
      </c>
    </row>
    <row r="13975" ht="16.5" customHeight="1">
      <c r="O13975" s="5" t="s">
        <v>355</v>
      </c>
      <c r="P13975" s="5" t="s">
        <v>355</v>
      </c>
      <c r="Q13975" s="5" t="s">
        <v>355</v>
      </c>
    </row>
    <row r="13976" ht="16.5" customHeight="1">
      <c r="O13976" s="5" t="s">
        <v>355</v>
      </c>
      <c r="P13976" s="5" t="s">
        <v>355</v>
      </c>
      <c r="Q13976" s="5" t="s">
        <v>355</v>
      </c>
    </row>
    <row r="13977" ht="16.5" customHeight="1">
      <c r="O13977" s="5" t="s">
        <v>355</v>
      </c>
      <c r="P13977" s="5" t="s">
        <v>355</v>
      </c>
      <c r="Q13977" s="5" t="s">
        <v>355</v>
      </c>
    </row>
    <row r="13978" ht="16.5" customHeight="1">
      <c r="O13978" s="5" t="s">
        <v>355</v>
      </c>
      <c r="P13978" s="5" t="s">
        <v>355</v>
      </c>
      <c r="Q13978" s="5" t="s">
        <v>355</v>
      </c>
    </row>
    <row r="13979" ht="16.5" customHeight="1">
      <c r="O13979" s="5" t="s">
        <v>355</v>
      </c>
      <c r="P13979" s="5" t="s">
        <v>355</v>
      </c>
      <c r="Q13979" s="5" t="s">
        <v>355</v>
      </c>
    </row>
    <row r="13980" ht="16.5" customHeight="1">
      <c r="O13980" s="5" t="s">
        <v>355</v>
      </c>
      <c r="P13980" s="5" t="s">
        <v>355</v>
      </c>
      <c r="Q13980" s="5" t="s">
        <v>355</v>
      </c>
    </row>
    <row r="13981" ht="16.5" customHeight="1">
      <c r="O13981" s="5" t="s">
        <v>355</v>
      </c>
      <c r="P13981" s="5" t="s">
        <v>355</v>
      </c>
      <c r="Q13981" s="5" t="s">
        <v>355</v>
      </c>
    </row>
    <row r="13982" ht="16.5" customHeight="1">
      <c r="O13982" s="5" t="s">
        <v>355</v>
      </c>
      <c r="P13982" s="5" t="s">
        <v>355</v>
      </c>
      <c r="Q13982" s="5" t="s">
        <v>355</v>
      </c>
    </row>
    <row r="13983" ht="16.5" customHeight="1">
      <c r="O13983" s="5" t="s">
        <v>355</v>
      </c>
      <c r="P13983" s="5" t="s">
        <v>355</v>
      </c>
      <c r="Q13983" s="5" t="s">
        <v>355</v>
      </c>
    </row>
    <row r="13984" ht="16.5" customHeight="1">
      <c r="O13984" s="5" t="s">
        <v>355</v>
      </c>
      <c r="P13984" s="5" t="s">
        <v>355</v>
      </c>
      <c r="Q13984" s="5" t="s">
        <v>355</v>
      </c>
    </row>
    <row r="13985" ht="16.5" customHeight="1">
      <c r="O13985" s="5" t="s">
        <v>355</v>
      </c>
      <c r="P13985" s="5" t="s">
        <v>355</v>
      </c>
      <c r="Q13985" s="5" t="s">
        <v>355</v>
      </c>
    </row>
    <row r="13986" ht="16.5" customHeight="1">
      <c r="O13986" s="5" t="s">
        <v>355</v>
      </c>
      <c r="P13986" s="5" t="s">
        <v>355</v>
      </c>
      <c r="Q13986" s="5" t="s">
        <v>355</v>
      </c>
    </row>
    <row r="13987" ht="16.5" customHeight="1">
      <c r="O13987" s="5" t="s">
        <v>355</v>
      </c>
      <c r="P13987" s="5" t="s">
        <v>355</v>
      </c>
      <c r="Q13987" s="5" t="s">
        <v>355</v>
      </c>
    </row>
    <row r="13988" ht="16.5" customHeight="1">
      <c r="O13988" s="5" t="s">
        <v>355</v>
      </c>
      <c r="P13988" s="5" t="s">
        <v>355</v>
      </c>
      <c r="Q13988" s="5" t="s">
        <v>355</v>
      </c>
    </row>
    <row r="13989" ht="16.5" customHeight="1">
      <c r="O13989" s="5" t="s">
        <v>355</v>
      </c>
      <c r="P13989" s="5" t="s">
        <v>355</v>
      </c>
      <c r="Q13989" s="5" t="s">
        <v>355</v>
      </c>
    </row>
    <row r="13990" ht="16.5" customHeight="1">
      <c r="O13990" s="5" t="s">
        <v>355</v>
      </c>
      <c r="P13990" s="5" t="s">
        <v>355</v>
      </c>
      <c r="Q13990" s="5" t="s">
        <v>355</v>
      </c>
    </row>
    <row r="13991" ht="16.5" customHeight="1">
      <c r="O13991" s="5" t="s">
        <v>355</v>
      </c>
      <c r="P13991" s="5" t="s">
        <v>355</v>
      </c>
      <c r="Q13991" s="5" t="s">
        <v>355</v>
      </c>
    </row>
    <row r="13992" ht="16.5" customHeight="1">
      <c r="O13992" s="5" t="s">
        <v>355</v>
      </c>
      <c r="P13992" s="5" t="s">
        <v>355</v>
      </c>
      <c r="Q13992" s="5" t="s">
        <v>355</v>
      </c>
    </row>
    <row r="13993" ht="16.5" customHeight="1">
      <c r="O13993" s="5" t="s">
        <v>355</v>
      </c>
      <c r="P13993" s="5" t="s">
        <v>355</v>
      </c>
      <c r="Q13993" s="5" t="s">
        <v>355</v>
      </c>
    </row>
    <row r="13994" ht="16.5" customHeight="1">
      <c r="O13994" s="5" t="s">
        <v>355</v>
      </c>
      <c r="P13994" s="5" t="s">
        <v>355</v>
      </c>
      <c r="Q13994" s="5" t="s">
        <v>355</v>
      </c>
    </row>
    <row r="13995" ht="16.5" customHeight="1">
      <c r="O13995" s="5" t="s">
        <v>355</v>
      </c>
      <c r="P13995" s="5" t="s">
        <v>355</v>
      </c>
      <c r="Q13995" s="5" t="s">
        <v>355</v>
      </c>
    </row>
    <row r="13996" ht="16.5" customHeight="1">
      <c r="O13996" s="5" t="s">
        <v>355</v>
      </c>
      <c r="P13996" s="5" t="s">
        <v>355</v>
      </c>
      <c r="Q13996" s="5" t="s">
        <v>355</v>
      </c>
    </row>
    <row r="13997" ht="16.5" customHeight="1">
      <c r="O13997" s="5" t="s">
        <v>355</v>
      </c>
      <c r="P13997" s="5" t="s">
        <v>355</v>
      </c>
      <c r="Q13997" s="5" t="s">
        <v>355</v>
      </c>
    </row>
    <row r="13998" ht="16.5" customHeight="1">
      <c r="O13998" s="5" t="s">
        <v>355</v>
      </c>
      <c r="P13998" s="5" t="s">
        <v>355</v>
      </c>
      <c r="Q13998" s="5" t="s">
        <v>355</v>
      </c>
    </row>
    <row r="13999" ht="16.5" customHeight="1">
      <c r="O13999" s="5" t="s">
        <v>355</v>
      </c>
      <c r="P13999" s="5" t="s">
        <v>355</v>
      </c>
      <c r="Q13999" s="5" t="s">
        <v>355</v>
      </c>
    </row>
    <row r="14000" ht="16.5" customHeight="1">
      <c r="O14000" s="5" t="s">
        <v>355</v>
      </c>
      <c r="P14000" s="5" t="s">
        <v>355</v>
      </c>
      <c r="Q14000" s="5" t="s">
        <v>355</v>
      </c>
    </row>
    <row r="14001" ht="16.5" customHeight="1">
      <c r="O14001" s="5" t="s">
        <v>355</v>
      </c>
      <c r="P14001" s="5" t="s">
        <v>355</v>
      </c>
      <c r="Q14001" s="5" t="s">
        <v>355</v>
      </c>
    </row>
    <row r="14002" ht="16.5" customHeight="1">
      <c r="O14002" s="5" t="s">
        <v>355</v>
      </c>
      <c r="P14002" s="5" t="s">
        <v>355</v>
      </c>
      <c r="Q14002" s="5" t="s">
        <v>355</v>
      </c>
    </row>
    <row r="14003" ht="16.5" customHeight="1">
      <c r="O14003" s="5" t="s">
        <v>355</v>
      </c>
      <c r="P14003" s="5" t="s">
        <v>355</v>
      </c>
      <c r="Q14003" s="5" t="s">
        <v>355</v>
      </c>
    </row>
    <row r="14004" ht="16.5" customHeight="1">
      <c r="O14004" s="5" t="s">
        <v>355</v>
      </c>
      <c r="P14004" s="5" t="s">
        <v>355</v>
      </c>
      <c r="Q14004" s="5" t="s">
        <v>355</v>
      </c>
    </row>
    <row r="14005" ht="16.5" customHeight="1">
      <c r="O14005" s="5" t="s">
        <v>355</v>
      </c>
      <c r="P14005" s="5" t="s">
        <v>355</v>
      </c>
      <c r="Q14005" s="5" t="s">
        <v>355</v>
      </c>
    </row>
    <row r="14006" ht="16.5" customHeight="1">
      <c r="O14006" s="5" t="s">
        <v>355</v>
      </c>
      <c r="P14006" s="5" t="s">
        <v>355</v>
      </c>
      <c r="Q14006" s="5" t="s">
        <v>355</v>
      </c>
    </row>
    <row r="14007" ht="16.5" customHeight="1">
      <c r="O14007" s="5" t="s">
        <v>355</v>
      </c>
      <c r="P14007" s="5" t="s">
        <v>355</v>
      </c>
      <c r="Q14007" s="5" t="s">
        <v>355</v>
      </c>
    </row>
    <row r="14008" ht="16.5" customHeight="1">
      <c r="O14008" s="5" t="s">
        <v>355</v>
      </c>
      <c r="P14008" s="5" t="s">
        <v>355</v>
      </c>
      <c r="Q14008" s="5" t="s">
        <v>355</v>
      </c>
    </row>
    <row r="14009" ht="16.5" customHeight="1">
      <c r="O14009" s="5" t="s">
        <v>355</v>
      </c>
      <c r="P14009" s="5" t="s">
        <v>355</v>
      </c>
      <c r="Q14009" s="5" t="s">
        <v>355</v>
      </c>
    </row>
    <row r="14010" ht="16.5" customHeight="1">
      <c r="O14010" s="5" t="s">
        <v>355</v>
      </c>
      <c r="P14010" s="5" t="s">
        <v>355</v>
      </c>
      <c r="Q14010" s="5" t="s">
        <v>355</v>
      </c>
    </row>
    <row r="14011" ht="16.5" customHeight="1">
      <c r="O14011" s="5" t="s">
        <v>355</v>
      </c>
      <c r="P14011" s="5" t="s">
        <v>355</v>
      </c>
      <c r="Q14011" s="5" t="s">
        <v>355</v>
      </c>
    </row>
    <row r="14012" ht="16.5" customHeight="1">
      <c r="O14012" s="5" t="s">
        <v>355</v>
      </c>
      <c r="P14012" s="5" t="s">
        <v>355</v>
      </c>
      <c r="Q14012" s="5" t="s">
        <v>355</v>
      </c>
    </row>
    <row r="14013" ht="16.5" customHeight="1">
      <c r="O14013" s="5" t="s">
        <v>355</v>
      </c>
      <c r="P14013" s="5" t="s">
        <v>355</v>
      </c>
      <c r="Q14013" s="5" t="s">
        <v>355</v>
      </c>
    </row>
    <row r="14014" ht="16.5" customHeight="1">
      <c r="O14014" s="5" t="s">
        <v>355</v>
      </c>
      <c r="P14014" s="5" t="s">
        <v>355</v>
      </c>
      <c r="Q14014" s="5" t="s">
        <v>355</v>
      </c>
    </row>
    <row r="14015" ht="16.5" customHeight="1">
      <c r="O14015" s="5" t="s">
        <v>355</v>
      </c>
      <c r="P14015" s="5" t="s">
        <v>355</v>
      </c>
      <c r="Q14015" s="5" t="s">
        <v>355</v>
      </c>
    </row>
    <row r="14016" ht="16.5" customHeight="1">
      <c r="O14016" s="5" t="s">
        <v>355</v>
      </c>
      <c r="P14016" s="5" t="s">
        <v>355</v>
      </c>
      <c r="Q14016" s="5" t="s">
        <v>355</v>
      </c>
    </row>
    <row r="14017" ht="16.5" customHeight="1">
      <c r="O14017" s="5" t="s">
        <v>355</v>
      </c>
      <c r="P14017" s="5" t="s">
        <v>355</v>
      </c>
      <c r="Q14017" s="5" t="s">
        <v>355</v>
      </c>
    </row>
    <row r="14018" ht="16.5" customHeight="1">
      <c r="O14018" s="5" t="s">
        <v>355</v>
      </c>
      <c r="P14018" s="5" t="s">
        <v>355</v>
      </c>
      <c r="Q14018" s="5" t="s">
        <v>355</v>
      </c>
    </row>
    <row r="14019" ht="16.5" customHeight="1">
      <c r="O14019" s="5" t="s">
        <v>355</v>
      </c>
      <c r="P14019" s="5" t="s">
        <v>355</v>
      </c>
      <c r="Q14019" s="5" t="s">
        <v>355</v>
      </c>
    </row>
    <row r="14020" ht="16.5" customHeight="1">
      <c r="O14020" s="5" t="s">
        <v>355</v>
      </c>
      <c r="P14020" s="5" t="s">
        <v>355</v>
      </c>
      <c r="Q14020" s="5" t="s">
        <v>355</v>
      </c>
    </row>
    <row r="14021" ht="16.5" customHeight="1">
      <c r="O14021" s="5" t="s">
        <v>355</v>
      </c>
      <c r="P14021" s="5" t="s">
        <v>355</v>
      </c>
      <c r="Q14021" s="5" t="s">
        <v>355</v>
      </c>
    </row>
    <row r="14022" ht="16.5" customHeight="1">
      <c r="O14022" s="5" t="s">
        <v>355</v>
      </c>
      <c r="P14022" s="5" t="s">
        <v>355</v>
      </c>
      <c r="Q14022" s="5" t="s">
        <v>355</v>
      </c>
    </row>
    <row r="14023" ht="16.5" customHeight="1">
      <c r="O14023" s="5" t="s">
        <v>355</v>
      </c>
      <c r="P14023" s="5" t="s">
        <v>355</v>
      </c>
      <c r="Q14023" s="5" t="s">
        <v>355</v>
      </c>
    </row>
    <row r="14024" ht="16.5" customHeight="1">
      <c r="O14024" s="5" t="s">
        <v>355</v>
      </c>
      <c r="P14024" s="5" t="s">
        <v>355</v>
      </c>
      <c r="Q14024" s="5" t="s">
        <v>355</v>
      </c>
    </row>
    <row r="14025" ht="16.5" customHeight="1">
      <c r="O14025" s="5" t="s">
        <v>355</v>
      </c>
      <c r="P14025" s="5" t="s">
        <v>355</v>
      </c>
      <c r="Q14025" s="5" t="s">
        <v>355</v>
      </c>
    </row>
    <row r="14026" ht="16.5" customHeight="1">
      <c r="O14026" s="5" t="s">
        <v>355</v>
      </c>
      <c r="P14026" s="5" t="s">
        <v>355</v>
      </c>
      <c r="Q14026" s="5" t="s">
        <v>355</v>
      </c>
    </row>
    <row r="14027" ht="16.5" customHeight="1">
      <c r="O14027" s="5" t="s">
        <v>355</v>
      </c>
      <c r="P14027" s="5" t="s">
        <v>355</v>
      </c>
      <c r="Q14027" s="5" t="s">
        <v>355</v>
      </c>
    </row>
    <row r="14028" ht="16.5" customHeight="1">
      <c r="O14028" s="5" t="s">
        <v>355</v>
      </c>
      <c r="P14028" s="5" t="s">
        <v>355</v>
      </c>
      <c r="Q14028" s="5" t="s">
        <v>355</v>
      </c>
    </row>
    <row r="14029" ht="16.5" customHeight="1">
      <c r="O14029" s="5" t="s">
        <v>355</v>
      </c>
      <c r="P14029" s="5" t="s">
        <v>355</v>
      </c>
      <c r="Q14029" s="5" t="s">
        <v>355</v>
      </c>
    </row>
    <row r="14030" ht="16.5" customHeight="1">
      <c r="O14030" s="5" t="s">
        <v>355</v>
      </c>
      <c r="P14030" s="5" t="s">
        <v>355</v>
      </c>
      <c r="Q14030" s="5" t="s">
        <v>355</v>
      </c>
    </row>
    <row r="14031" ht="16.5" customHeight="1">
      <c r="O14031" s="5" t="s">
        <v>355</v>
      </c>
      <c r="P14031" s="5" t="s">
        <v>355</v>
      </c>
      <c r="Q14031" s="5" t="s">
        <v>355</v>
      </c>
    </row>
    <row r="14032" ht="16.5" customHeight="1">
      <c r="O14032" s="5" t="s">
        <v>355</v>
      </c>
      <c r="P14032" s="5" t="s">
        <v>355</v>
      </c>
      <c r="Q14032" s="5" t="s">
        <v>355</v>
      </c>
    </row>
    <row r="14033" ht="16.5" customHeight="1">
      <c r="O14033" s="5" t="s">
        <v>355</v>
      </c>
      <c r="P14033" s="5" t="s">
        <v>355</v>
      </c>
      <c r="Q14033" s="5" t="s">
        <v>355</v>
      </c>
    </row>
    <row r="14034" ht="16.5" customHeight="1">
      <c r="O14034" s="5" t="s">
        <v>355</v>
      </c>
      <c r="P14034" s="5" t="s">
        <v>355</v>
      </c>
      <c r="Q14034" s="5" t="s">
        <v>355</v>
      </c>
    </row>
    <row r="14035" ht="16.5" customHeight="1">
      <c r="O14035" s="5" t="s">
        <v>355</v>
      </c>
      <c r="P14035" s="5" t="s">
        <v>355</v>
      </c>
      <c r="Q14035" s="5" t="s">
        <v>355</v>
      </c>
    </row>
    <row r="14036" ht="16.5" customHeight="1">
      <c r="O14036" s="5" t="s">
        <v>355</v>
      </c>
      <c r="P14036" s="5" t="s">
        <v>355</v>
      </c>
      <c r="Q14036" s="5" t="s">
        <v>355</v>
      </c>
    </row>
    <row r="14037" ht="16.5" customHeight="1">
      <c r="O14037" s="5" t="s">
        <v>355</v>
      </c>
      <c r="P14037" s="5" t="s">
        <v>355</v>
      </c>
      <c r="Q14037" s="5" t="s">
        <v>355</v>
      </c>
    </row>
    <row r="14038" ht="16.5" customHeight="1">
      <c r="O14038" s="5" t="s">
        <v>355</v>
      </c>
      <c r="P14038" s="5" t="s">
        <v>355</v>
      </c>
      <c r="Q14038" s="5" t="s">
        <v>355</v>
      </c>
    </row>
    <row r="14039" ht="16.5" customHeight="1">
      <c r="O14039" s="5" t="s">
        <v>355</v>
      </c>
      <c r="P14039" s="5" t="s">
        <v>355</v>
      </c>
      <c r="Q14039" s="5" t="s">
        <v>355</v>
      </c>
    </row>
    <row r="14040" ht="16.5" customHeight="1">
      <c r="O14040" s="5" t="s">
        <v>355</v>
      </c>
      <c r="P14040" s="5" t="s">
        <v>355</v>
      </c>
      <c r="Q14040" s="5" t="s">
        <v>355</v>
      </c>
    </row>
    <row r="14041" ht="16.5" customHeight="1">
      <c r="O14041" s="5" t="s">
        <v>355</v>
      </c>
      <c r="P14041" s="5" t="s">
        <v>355</v>
      </c>
      <c r="Q14041" s="5" t="s">
        <v>355</v>
      </c>
    </row>
    <row r="14042" ht="16.5" customHeight="1">
      <c r="O14042" s="5" t="s">
        <v>355</v>
      </c>
      <c r="P14042" s="5" t="s">
        <v>355</v>
      </c>
      <c r="Q14042" s="5" t="s">
        <v>355</v>
      </c>
    </row>
    <row r="14043" ht="16.5" customHeight="1">
      <c r="O14043" s="5" t="s">
        <v>355</v>
      </c>
      <c r="P14043" s="5" t="s">
        <v>355</v>
      </c>
      <c r="Q14043" s="5" t="s">
        <v>355</v>
      </c>
    </row>
    <row r="14044" ht="16.5" customHeight="1">
      <c r="O14044" s="5" t="s">
        <v>355</v>
      </c>
      <c r="P14044" s="5" t="s">
        <v>355</v>
      </c>
      <c r="Q14044" s="5" t="s">
        <v>355</v>
      </c>
    </row>
    <row r="14045" ht="16.5" customHeight="1">
      <c r="O14045" s="5" t="s">
        <v>355</v>
      </c>
      <c r="P14045" s="5" t="s">
        <v>355</v>
      </c>
      <c r="Q14045" s="5" t="s">
        <v>355</v>
      </c>
    </row>
    <row r="14046" ht="16.5" customHeight="1">
      <c r="O14046" s="5" t="s">
        <v>355</v>
      </c>
      <c r="P14046" s="5" t="s">
        <v>355</v>
      </c>
      <c r="Q14046" s="5" t="s">
        <v>355</v>
      </c>
    </row>
    <row r="14047" ht="16.5" customHeight="1">
      <c r="O14047" s="5" t="s">
        <v>355</v>
      </c>
      <c r="P14047" s="5" t="s">
        <v>355</v>
      </c>
      <c r="Q14047" s="5" t="s">
        <v>355</v>
      </c>
    </row>
    <row r="14048" ht="16.5" customHeight="1">
      <c r="O14048" s="5" t="s">
        <v>355</v>
      </c>
      <c r="P14048" s="5" t="s">
        <v>355</v>
      </c>
      <c r="Q14048" s="5" t="s">
        <v>355</v>
      </c>
    </row>
    <row r="14049" ht="16.5" customHeight="1">
      <c r="O14049" s="5" t="s">
        <v>355</v>
      </c>
      <c r="P14049" s="5" t="s">
        <v>355</v>
      </c>
      <c r="Q14049" s="5" t="s">
        <v>355</v>
      </c>
    </row>
    <row r="14050" ht="16.5" customHeight="1">
      <c r="O14050" s="5" t="s">
        <v>355</v>
      </c>
      <c r="P14050" s="5" t="s">
        <v>355</v>
      </c>
      <c r="Q14050" s="5" t="s">
        <v>355</v>
      </c>
    </row>
    <row r="14051" ht="16.5" customHeight="1">
      <c r="O14051" s="5" t="s">
        <v>355</v>
      </c>
      <c r="P14051" s="5" t="s">
        <v>355</v>
      </c>
      <c r="Q14051" s="5" t="s">
        <v>355</v>
      </c>
    </row>
    <row r="14052" ht="16.5" customHeight="1">
      <c r="O14052" s="5" t="s">
        <v>355</v>
      </c>
      <c r="P14052" s="5" t="s">
        <v>355</v>
      </c>
      <c r="Q14052" s="5" t="s">
        <v>355</v>
      </c>
    </row>
    <row r="14053" ht="16.5" customHeight="1">
      <c r="O14053" s="5" t="s">
        <v>355</v>
      </c>
      <c r="P14053" s="5" t="s">
        <v>355</v>
      </c>
      <c r="Q14053" s="5" t="s">
        <v>355</v>
      </c>
    </row>
    <row r="14054" ht="16.5" customHeight="1">
      <c r="O14054" s="5" t="s">
        <v>355</v>
      </c>
      <c r="P14054" s="5" t="s">
        <v>355</v>
      </c>
      <c r="Q14054" s="5" t="s">
        <v>355</v>
      </c>
    </row>
    <row r="14055" ht="16.5" customHeight="1">
      <c r="O14055" s="5" t="s">
        <v>355</v>
      </c>
      <c r="P14055" s="5" t="s">
        <v>355</v>
      </c>
      <c r="Q14055" s="5" t="s">
        <v>355</v>
      </c>
    </row>
    <row r="14056" ht="16.5" customHeight="1">
      <c r="O14056" s="5" t="s">
        <v>355</v>
      </c>
      <c r="P14056" s="5" t="s">
        <v>355</v>
      </c>
      <c r="Q14056" s="5" t="s">
        <v>355</v>
      </c>
    </row>
    <row r="14057" ht="16.5" customHeight="1">
      <c r="O14057" s="5" t="s">
        <v>355</v>
      </c>
      <c r="P14057" s="5" t="s">
        <v>355</v>
      </c>
      <c r="Q14057" s="5" t="s">
        <v>355</v>
      </c>
    </row>
    <row r="14058" ht="16.5" customHeight="1">
      <c r="O14058" s="5" t="s">
        <v>355</v>
      </c>
      <c r="P14058" s="5" t="s">
        <v>355</v>
      </c>
      <c r="Q14058" s="5" t="s">
        <v>355</v>
      </c>
    </row>
    <row r="14059" ht="16.5" customHeight="1">
      <c r="O14059" s="5" t="s">
        <v>355</v>
      </c>
      <c r="P14059" s="5" t="s">
        <v>355</v>
      </c>
      <c r="Q14059" s="5" t="s">
        <v>355</v>
      </c>
    </row>
    <row r="14060" ht="16.5" customHeight="1">
      <c r="O14060" s="5" t="s">
        <v>355</v>
      </c>
      <c r="P14060" s="5" t="s">
        <v>355</v>
      </c>
      <c r="Q14060" s="5" t="s">
        <v>355</v>
      </c>
    </row>
    <row r="14061" ht="16.5" customHeight="1">
      <c r="O14061" s="5" t="s">
        <v>355</v>
      </c>
      <c r="P14061" s="5" t="s">
        <v>355</v>
      </c>
      <c r="Q14061" s="5" t="s">
        <v>355</v>
      </c>
    </row>
    <row r="14062" ht="16.5" customHeight="1">
      <c r="O14062" s="5" t="s">
        <v>355</v>
      </c>
      <c r="P14062" s="5" t="s">
        <v>355</v>
      </c>
      <c r="Q14062" s="5" t="s">
        <v>355</v>
      </c>
    </row>
    <row r="14063" ht="16.5" customHeight="1">
      <c r="O14063" s="5" t="s">
        <v>355</v>
      </c>
      <c r="P14063" s="5" t="s">
        <v>355</v>
      </c>
      <c r="Q14063" s="5" t="s">
        <v>355</v>
      </c>
    </row>
    <row r="14064" ht="16.5" customHeight="1">
      <c r="O14064" s="5" t="s">
        <v>355</v>
      </c>
      <c r="P14064" s="5" t="s">
        <v>355</v>
      </c>
      <c r="Q14064" s="5" t="s">
        <v>355</v>
      </c>
    </row>
    <row r="14065" ht="16.5" customHeight="1">
      <c r="O14065" s="5" t="s">
        <v>355</v>
      </c>
      <c r="P14065" s="5" t="s">
        <v>355</v>
      </c>
      <c r="Q14065" s="5" t="s">
        <v>355</v>
      </c>
    </row>
    <row r="14066" ht="16.5" customHeight="1">
      <c r="O14066" s="5" t="s">
        <v>355</v>
      </c>
      <c r="P14066" s="5" t="s">
        <v>355</v>
      </c>
      <c r="Q14066" s="5" t="s">
        <v>355</v>
      </c>
    </row>
    <row r="14067" ht="16.5" customHeight="1">
      <c r="O14067" s="5" t="s">
        <v>355</v>
      </c>
      <c r="P14067" s="5" t="s">
        <v>355</v>
      </c>
      <c r="Q14067" s="5" t="s">
        <v>355</v>
      </c>
    </row>
    <row r="14068" ht="16.5" customHeight="1">
      <c r="O14068" s="5" t="s">
        <v>355</v>
      </c>
      <c r="P14068" s="5" t="s">
        <v>355</v>
      </c>
      <c r="Q14068" s="5" t="s">
        <v>355</v>
      </c>
    </row>
    <row r="14069" ht="16.5" customHeight="1">
      <c r="O14069" s="5" t="s">
        <v>355</v>
      </c>
      <c r="P14069" s="5" t="s">
        <v>355</v>
      </c>
      <c r="Q14069" s="5" t="s">
        <v>355</v>
      </c>
    </row>
    <row r="14070" ht="16.5" customHeight="1">
      <c r="O14070" s="5" t="s">
        <v>355</v>
      </c>
      <c r="P14070" s="5" t="s">
        <v>355</v>
      </c>
      <c r="Q14070" s="5" t="s">
        <v>355</v>
      </c>
    </row>
    <row r="14071" ht="16.5" customHeight="1">
      <c r="O14071" s="5" t="s">
        <v>355</v>
      </c>
      <c r="P14071" s="5" t="s">
        <v>355</v>
      </c>
      <c r="Q14071" s="5" t="s">
        <v>355</v>
      </c>
    </row>
    <row r="14072" ht="16.5" customHeight="1">
      <c r="O14072" s="5" t="s">
        <v>355</v>
      </c>
      <c r="P14072" s="5" t="s">
        <v>355</v>
      </c>
      <c r="Q14072" s="5" t="s">
        <v>355</v>
      </c>
    </row>
    <row r="14073" ht="16.5" customHeight="1">
      <c r="O14073" s="5" t="s">
        <v>355</v>
      </c>
      <c r="P14073" s="5" t="s">
        <v>355</v>
      </c>
      <c r="Q14073" s="5" t="s">
        <v>355</v>
      </c>
    </row>
    <row r="14074" ht="16.5" customHeight="1">
      <c r="O14074" s="5" t="s">
        <v>355</v>
      </c>
      <c r="P14074" s="5" t="s">
        <v>355</v>
      </c>
      <c r="Q14074" s="5" t="s">
        <v>355</v>
      </c>
    </row>
    <row r="14075" ht="16.5" customHeight="1">
      <c r="O14075" s="5" t="s">
        <v>355</v>
      </c>
      <c r="P14075" s="5" t="s">
        <v>355</v>
      </c>
      <c r="Q14075" s="5" t="s">
        <v>355</v>
      </c>
    </row>
    <row r="14076" ht="16.5" customHeight="1">
      <c r="O14076" s="5" t="s">
        <v>355</v>
      </c>
      <c r="P14076" s="5" t="s">
        <v>355</v>
      </c>
      <c r="Q14076" s="5" t="s">
        <v>355</v>
      </c>
    </row>
    <row r="14077" ht="16.5" customHeight="1">
      <c r="O14077" s="5" t="s">
        <v>355</v>
      </c>
      <c r="P14077" s="5" t="s">
        <v>355</v>
      </c>
      <c r="Q14077" s="5" t="s">
        <v>355</v>
      </c>
    </row>
    <row r="14078" ht="16.5" customHeight="1">
      <c r="O14078" s="5" t="s">
        <v>355</v>
      </c>
      <c r="P14078" s="5" t="s">
        <v>355</v>
      </c>
      <c r="Q14078" s="5" t="s">
        <v>355</v>
      </c>
    </row>
    <row r="14079" ht="16.5" customHeight="1">
      <c r="O14079" s="5" t="s">
        <v>355</v>
      </c>
      <c r="P14079" s="5" t="s">
        <v>355</v>
      </c>
      <c r="Q14079" s="5" t="s">
        <v>355</v>
      </c>
    </row>
    <row r="14080" ht="16.5" customHeight="1">
      <c r="O14080" s="5" t="s">
        <v>355</v>
      </c>
      <c r="P14080" s="5" t="s">
        <v>355</v>
      </c>
      <c r="Q14080" s="5" t="s">
        <v>355</v>
      </c>
    </row>
    <row r="14081" ht="16.5" customHeight="1">
      <c r="O14081" s="5" t="s">
        <v>355</v>
      </c>
      <c r="P14081" s="5" t="s">
        <v>355</v>
      </c>
      <c r="Q14081" s="5" t="s">
        <v>355</v>
      </c>
    </row>
    <row r="14082" ht="16.5" customHeight="1">
      <c r="O14082" s="5" t="s">
        <v>355</v>
      </c>
      <c r="P14082" s="5" t="s">
        <v>355</v>
      </c>
      <c r="Q14082" s="5" t="s">
        <v>355</v>
      </c>
    </row>
    <row r="14083" ht="16.5" customHeight="1">
      <c r="O14083" s="5" t="s">
        <v>355</v>
      </c>
      <c r="P14083" s="5" t="s">
        <v>355</v>
      </c>
      <c r="Q14083" s="5" t="s">
        <v>355</v>
      </c>
    </row>
    <row r="14084" ht="16.5" customHeight="1">
      <c r="O14084" s="5" t="s">
        <v>355</v>
      </c>
      <c r="P14084" s="5" t="s">
        <v>355</v>
      </c>
      <c r="Q14084" s="5" t="s">
        <v>355</v>
      </c>
    </row>
    <row r="14085" ht="16.5" customHeight="1">
      <c r="O14085" s="5" t="s">
        <v>355</v>
      </c>
      <c r="P14085" s="5" t="s">
        <v>355</v>
      </c>
      <c r="Q14085" s="5" t="s">
        <v>355</v>
      </c>
    </row>
    <row r="14086" ht="16.5" customHeight="1">
      <c r="O14086" s="5" t="s">
        <v>355</v>
      </c>
      <c r="P14086" s="5" t="s">
        <v>355</v>
      </c>
      <c r="Q14086" s="5" t="s">
        <v>355</v>
      </c>
    </row>
    <row r="14087" ht="16.5" customHeight="1">
      <c r="O14087" s="5" t="s">
        <v>355</v>
      </c>
      <c r="P14087" s="5" t="s">
        <v>355</v>
      </c>
      <c r="Q14087" s="5" t="s">
        <v>355</v>
      </c>
    </row>
    <row r="14088" ht="16.5" customHeight="1">
      <c r="O14088" s="5" t="s">
        <v>355</v>
      </c>
      <c r="P14088" s="5" t="s">
        <v>355</v>
      </c>
      <c r="Q14088" s="5" t="s">
        <v>355</v>
      </c>
    </row>
    <row r="14089" ht="16.5" customHeight="1">
      <c r="O14089" s="5" t="s">
        <v>355</v>
      </c>
      <c r="P14089" s="5" t="s">
        <v>355</v>
      </c>
      <c r="Q14089" s="5" t="s">
        <v>355</v>
      </c>
    </row>
    <row r="14090" ht="16.5" customHeight="1">
      <c r="O14090" s="5" t="s">
        <v>355</v>
      </c>
      <c r="P14090" s="5" t="s">
        <v>355</v>
      </c>
      <c r="Q14090" s="5" t="s">
        <v>355</v>
      </c>
    </row>
    <row r="14091" ht="16.5" customHeight="1">
      <c r="O14091" s="5" t="s">
        <v>355</v>
      </c>
      <c r="P14091" s="5" t="s">
        <v>355</v>
      </c>
      <c r="Q14091" s="5" t="s">
        <v>355</v>
      </c>
    </row>
    <row r="14092" ht="16.5" customHeight="1">
      <c r="O14092" s="5" t="s">
        <v>355</v>
      </c>
      <c r="P14092" s="5" t="s">
        <v>355</v>
      </c>
      <c r="Q14092" s="5" t="s">
        <v>355</v>
      </c>
    </row>
    <row r="14093" ht="16.5" customHeight="1">
      <c r="O14093" s="5" t="s">
        <v>355</v>
      </c>
      <c r="P14093" s="5" t="s">
        <v>355</v>
      </c>
      <c r="Q14093" s="5" t="s">
        <v>355</v>
      </c>
    </row>
    <row r="14094" ht="16.5" customHeight="1">
      <c r="O14094" s="5" t="s">
        <v>355</v>
      </c>
      <c r="P14094" s="5" t="s">
        <v>355</v>
      </c>
      <c r="Q14094" s="5" t="s">
        <v>355</v>
      </c>
    </row>
    <row r="14095" ht="16.5" customHeight="1">
      <c r="O14095" s="5" t="s">
        <v>355</v>
      </c>
      <c r="P14095" s="5" t="s">
        <v>355</v>
      </c>
      <c r="Q14095" s="5" t="s">
        <v>355</v>
      </c>
    </row>
    <row r="14096" ht="16.5" customHeight="1">
      <c r="O14096" s="5" t="s">
        <v>355</v>
      </c>
      <c r="P14096" s="5" t="s">
        <v>355</v>
      </c>
      <c r="Q14096" s="5" t="s">
        <v>355</v>
      </c>
    </row>
    <row r="14097" ht="16.5" customHeight="1">
      <c r="O14097" s="5" t="s">
        <v>355</v>
      </c>
      <c r="P14097" s="5" t="s">
        <v>355</v>
      </c>
      <c r="Q14097" s="5" t="s">
        <v>355</v>
      </c>
    </row>
    <row r="14098" ht="16.5" customHeight="1">
      <c r="O14098" s="5" t="s">
        <v>355</v>
      </c>
      <c r="P14098" s="5" t="s">
        <v>355</v>
      </c>
      <c r="Q14098" s="5" t="s">
        <v>355</v>
      </c>
    </row>
    <row r="14099" ht="16.5" customHeight="1">
      <c r="O14099" s="5" t="s">
        <v>355</v>
      </c>
      <c r="P14099" s="5" t="s">
        <v>355</v>
      </c>
      <c r="Q14099" s="5" t="s">
        <v>355</v>
      </c>
    </row>
    <row r="14100" ht="16.5" customHeight="1">
      <c r="O14100" s="5" t="s">
        <v>355</v>
      </c>
      <c r="P14100" s="5" t="s">
        <v>355</v>
      </c>
      <c r="Q14100" s="5" t="s">
        <v>355</v>
      </c>
    </row>
    <row r="14101" ht="16.5" customHeight="1">
      <c r="O14101" s="5" t="s">
        <v>355</v>
      </c>
      <c r="P14101" s="5" t="s">
        <v>355</v>
      </c>
      <c r="Q14101" s="5" t="s">
        <v>355</v>
      </c>
    </row>
    <row r="14102" ht="16.5" customHeight="1">
      <c r="O14102" s="5" t="s">
        <v>355</v>
      </c>
      <c r="P14102" s="5" t="s">
        <v>355</v>
      </c>
      <c r="Q14102" s="5" t="s">
        <v>355</v>
      </c>
    </row>
    <row r="14103" ht="16.5" customHeight="1">
      <c r="O14103" s="5" t="s">
        <v>355</v>
      </c>
      <c r="P14103" s="5" t="s">
        <v>355</v>
      </c>
      <c r="Q14103" s="5" t="s">
        <v>355</v>
      </c>
    </row>
    <row r="14104" ht="16.5" customHeight="1">
      <c r="O14104" s="5" t="s">
        <v>355</v>
      </c>
      <c r="P14104" s="5" t="s">
        <v>355</v>
      </c>
      <c r="Q14104" s="5" t="s">
        <v>355</v>
      </c>
    </row>
    <row r="14105" ht="16.5" customHeight="1">
      <c r="O14105" s="5" t="s">
        <v>355</v>
      </c>
      <c r="P14105" s="5" t="s">
        <v>355</v>
      </c>
      <c r="Q14105" s="5" t="s">
        <v>355</v>
      </c>
    </row>
    <row r="14106" ht="16.5" customHeight="1">
      <c r="O14106" s="5" t="s">
        <v>355</v>
      </c>
      <c r="P14106" s="5" t="s">
        <v>355</v>
      </c>
      <c r="Q14106" s="5" t="s">
        <v>355</v>
      </c>
    </row>
    <row r="14107" ht="16.5" customHeight="1">
      <c r="O14107" s="5" t="s">
        <v>355</v>
      </c>
      <c r="P14107" s="5" t="s">
        <v>355</v>
      </c>
      <c r="Q14107" s="5" t="s">
        <v>355</v>
      </c>
    </row>
    <row r="14108" ht="16.5" customHeight="1">
      <c r="O14108" s="5" t="s">
        <v>355</v>
      </c>
      <c r="P14108" s="5" t="s">
        <v>355</v>
      </c>
      <c r="Q14108" s="5" t="s">
        <v>355</v>
      </c>
    </row>
    <row r="14109" ht="16.5" customHeight="1">
      <c r="O14109" s="5" t="s">
        <v>355</v>
      </c>
      <c r="P14109" s="5" t="s">
        <v>355</v>
      </c>
      <c r="Q14109" s="5" t="s">
        <v>355</v>
      </c>
    </row>
    <row r="14110" ht="16.5" customHeight="1">
      <c r="O14110" s="5" t="s">
        <v>355</v>
      </c>
      <c r="P14110" s="5" t="s">
        <v>355</v>
      </c>
      <c r="Q14110" s="5" t="s">
        <v>355</v>
      </c>
    </row>
    <row r="14111" ht="16.5" customHeight="1">
      <c r="O14111" s="5" t="s">
        <v>355</v>
      </c>
      <c r="P14111" s="5" t="s">
        <v>355</v>
      </c>
      <c r="Q14111" s="5" t="s">
        <v>355</v>
      </c>
    </row>
    <row r="14112" ht="16.5" customHeight="1">
      <c r="O14112" s="5" t="s">
        <v>355</v>
      </c>
      <c r="P14112" s="5" t="s">
        <v>355</v>
      </c>
      <c r="Q14112" s="5" t="s">
        <v>355</v>
      </c>
    </row>
    <row r="14113" ht="16.5" customHeight="1">
      <c r="O14113" s="5" t="s">
        <v>355</v>
      </c>
      <c r="P14113" s="5" t="s">
        <v>355</v>
      </c>
      <c r="Q14113" s="5" t="s">
        <v>355</v>
      </c>
    </row>
    <row r="14114" ht="16.5" customHeight="1">
      <c r="O14114" s="5" t="s">
        <v>355</v>
      </c>
      <c r="P14114" s="5" t="s">
        <v>355</v>
      </c>
      <c r="Q14114" s="5" t="s">
        <v>355</v>
      </c>
    </row>
    <row r="14115" ht="16.5" customHeight="1">
      <c r="O14115" s="5" t="s">
        <v>355</v>
      </c>
      <c r="P14115" s="5" t="s">
        <v>355</v>
      </c>
      <c r="Q14115" s="5" t="s">
        <v>355</v>
      </c>
    </row>
    <row r="14116" ht="16.5" customHeight="1">
      <c r="O14116" s="5" t="s">
        <v>355</v>
      </c>
      <c r="P14116" s="5" t="s">
        <v>355</v>
      </c>
      <c r="Q14116" s="5" t="s">
        <v>355</v>
      </c>
    </row>
    <row r="14117" ht="16.5" customHeight="1">
      <c r="O14117" s="5" t="s">
        <v>355</v>
      </c>
      <c r="P14117" s="5" t="s">
        <v>355</v>
      </c>
      <c r="Q14117" s="5" t="s">
        <v>355</v>
      </c>
    </row>
    <row r="14118" ht="16.5" customHeight="1">
      <c r="O14118" s="5" t="s">
        <v>355</v>
      </c>
      <c r="P14118" s="5" t="s">
        <v>355</v>
      </c>
      <c r="Q14118" s="5" t="s">
        <v>355</v>
      </c>
    </row>
    <row r="14119" ht="16.5" customHeight="1">
      <c r="O14119" s="5" t="s">
        <v>355</v>
      </c>
      <c r="P14119" s="5" t="s">
        <v>355</v>
      </c>
      <c r="Q14119" s="5" t="s">
        <v>355</v>
      </c>
    </row>
    <row r="14120" ht="16.5" customHeight="1">
      <c r="O14120" s="5" t="s">
        <v>355</v>
      </c>
      <c r="P14120" s="5" t="s">
        <v>355</v>
      </c>
      <c r="Q14120" s="5" t="s">
        <v>355</v>
      </c>
    </row>
    <row r="14121" ht="16.5" customHeight="1">
      <c r="O14121" s="5" t="s">
        <v>355</v>
      </c>
      <c r="P14121" s="5" t="s">
        <v>355</v>
      </c>
      <c r="Q14121" s="5" t="s">
        <v>355</v>
      </c>
    </row>
    <row r="14122" ht="16.5" customHeight="1">
      <c r="O14122" s="5" t="s">
        <v>355</v>
      </c>
      <c r="P14122" s="5" t="s">
        <v>355</v>
      </c>
      <c r="Q14122" s="5" t="s">
        <v>355</v>
      </c>
    </row>
    <row r="14123" ht="16.5" customHeight="1">
      <c r="O14123" s="5" t="s">
        <v>355</v>
      </c>
      <c r="P14123" s="5" t="s">
        <v>355</v>
      </c>
      <c r="Q14123" s="5" t="s">
        <v>355</v>
      </c>
    </row>
    <row r="14124" ht="16.5" customHeight="1">
      <c r="O14124" s="5" t="s">
        <v>355</v>
      </c>
      <c r="P14124" s="5" t="s">
        <v>355</v>
      </c>
      <c r="Q14124" s="5" t="s">
        <v>355</v>
      </c>
    </row>
    <row r="14125" ht="16.5" customHeight="1">
      <c r="O14125" s="5" t="s">
        <v>355</v>
      </c>
      <c r="P14125" s="5" t="s">
        <v>355</v>
      </c>
      <c r="Q14125" s="5" t="s">
        <v>355</v>
      </c>
    </row>
    <row r="14126" ht="16.5" customHeight="1">
      <c r="O14126" s="5" t="s">
        <v>355</v>
      </c>
      <c r="P14126" s="5" t="s">
        <v>355</v>
      </c>
      <c r="Q14126" s="5" t="s">
        <v>355</v>
      </c>
    </row>
    <row r="14127" ht="16.5" customHeight="1">
      <c r="O14127" s="5" t="s">
        <v>355</v>
      </c>
      <c r="P14127" s="5" t="s">
        <v>355</v>
      </c>
      <c r="Q14127" s="5" t="s">
        <v>355</v>
      </c>
    </row>
    <row r="14128" ht="16.5" customHeight="1">
      <c r="O14128" s="5" t="s">
        <v>355</v>
      </c>
      <c r="P14128" s="5" t="s">
        <v>355</v>
      </c>
      <c r="Q14128" s="5" t="s">
        <v>355</v>
      </c>
    </row>
    <row r="14129" ht="16.5" customHeight="1">
      <c r="O14129" s="5" t="s">
        <v>355</v>
      </c>
      <c r="P14129" s="5" t="s">
        <v>355</v>
      </c>
      <c r="Q14129" s="5" t="s">
        <v>355</v>
      </c>
    </row>
    <row r="14130" ht="16.5" customHeight="1">
      <c r="O14130" s="5" t="s">
        <v>355</v>
      </c>
      <c r="P14130" s="5" t="s">
        <v>355</v>
      </c>
      <c r="Q14130" s="5" t="s">
        <v>355</v>
      </c>
    </row>
    <row r="14131" ht="16.5" customHeight="1">
      <c r="O14131" s="5" t="s">
        <v>355</v>
      </c>
      <c r="P14131" s="5" t="s">
        <v>355</v>
      </c>
      <c r="Q14131" s="5" t="s">
        <v>355</v>
      </c>
    </row>
    <row r="14132" ht="16.5" customHeight="1">
      <c r="O14132" s="5" t="s">
        <v>355</v>
      </c>
      <c r="P14132" s="5" t="s">
        <v>355</v>
      </c>
      <c r="Q14132" s="5" t="s">
        <v>355</v>
      </c>
    </row>
    <row r="14133" ht="16.5" customHeight="1">
      <c r="O14133" s="5" t="s">
        <v>355</v>
      </c>
      <c r="P14133" s="5" t="s">
        <v>355</v>
      </c>
      <c r="Q14133" s="5" t="s">
        <v>355</v>
      </c>
    </row>
    <row r="14134" ht="16.5" customHeight="1">
      <c r="O14134" s="5" t="s">
        <v>355</v>
      </c>
      <c r="P14134" s="5" t="s">
        <v>355</v>
      </c>
      <c r="Q14134" s="5" t="s">
        <v>355</v>
      </c>
    </row>
    <row r="14135" ht="16.5" customHeight="1">
      <c r="O14135" s="5" t="s">
        <v>355</v>
      </c>
      <c r="P14135" s="5" t="s">
        <v>355</v>
      </c>
      <c r="Q14135" s="5" t="s">
        <v>355</v>
      </c>
    </row>
    <row r="14136" ht="16.5" customHeight="1">
      <c r="O14136" s="5" t="s">
        <v>355</v>
      </c>
      <c r="P14136" s="5" t="s">
        <v>355</v>
      </c>
      <c r="Q14136" s="5" t="s">
        <v>355</v>
      </c>
    </row>
    <row r="14137" ht="16.5" customHeight="1">
      <c r="O14137" s="5" t="s">
        <v>355</v>
      </c>
      <c r="P14137" s="5" t="s">
        <v>355</v>
      </c>
      <c r="Q14137" s="5" t="s">
        <v>355</v>
      </c>
    </row>
    <row r="14138" ht="16.5" customHeight="1">
      <c r="O14138" s="5" t="s">
        <v>355</v>
      </c>
      <c r="P14138" s="5" t="s">
        <v>355</v>
      </c>
      <c r="Q14138" s="5" t="s">
        <v>355</v>
      </c>
    </row>
    <row r="14139" ht="16.5" customHeight="1">
      <c r="O14139" s="5" t="s">
        <v>355</v>
      </c>
      <c r="P14139" s="5" t="s">
        <v>355</v>
      </c>
      <c r="Q14139" s="5" t="s">
        <v>355</v>
      </c>
    </row>
    <row r="14140" ht="16.5" customHeight="1">
      <c r="O14140" s="5" t="s">
        <v>355</v>
      </c>
      <c r="P14140" s="5" t="s">
        <v>355</v>
      </c>
      <c r="Q14140" s="5" t="s">
        <v>355</v>
      </c>
    </row>
    <row r="14141" ht="16.5" customHeight="1">
      <c r="O14141" s="5" t="s">
        <v>355</v>
      </c>
      <c r="P14141" s="5" t="s">
        <v>355</v>
      </c>
      <c r="Q14141" s="5" t="s">
        <v>355</v>
      </c>
    </row>
    <row r="14142" ht="16.5" customHeight="1">
      <c r="O14142" s="5" t="s">
        <v>355</v>
      </c>
      <c r="P14142" s="5" t="s">
        <v>355</v>
      </c>
      <c r="Q14142" s="5" t="s">
        <v>355</v>
      </c>
    </row>
    <row r="14143" ht="16.5" customHeight="1">
      <c r="O14143" s="5" t="s">
        <v>355</v>
      </c>
      <c r="P14143" s="5" t="s">
        <v>355</v>
      </c>
      <c r="Q14143" s="5" t="s">
        <v>355</v>
      </c>
    </row>
    <row r="14144" ht="16.5" customHeight="1">
      <c r="O14144" s="5" t="s">
        <v>355</v>
      </c>
      <c r="P14144" s="5" t="s">
        <v>355</v>
      </c>
      <c r="Q14144" s="5" t="s">
        <v>355</v>
      </c>
    </row>
    <row r="14145" ht="16.5" customHeight="1">
      <c r="O14145" s="5" t="s">
        <v>355</v>
      </c>
      <c r="P14145" s="5" t="s">
        <v>355</v>
      </c>
      <c r="Q14145" s="5" t="s">
        <v>355</v>
      </c>
    </row>
    <row r="14146" ht="16.5" customHeight="1">
      <c r="O14146" s="5" t="s">
        <v>355</v>
      </c>
      <c r="P14146" s="5" t="s">
        <v>355</v>
      </c>
      <c r="Q14146" s="5" t="s">
        <v>355</v>
      </c>
    </row>
    <row r="14147" ht="16.5" customHeight="1">
      <c r="O14147" s="5" t="s">
        <v>355</v>
      </c>
      <c r="P14147" s="5" t="s">
        <v>355</v>
      </c>
      <c r="Q14147" s="5" t="s">
        <v>355</v>
      </c>
    </row>
    <row r="14148" ht="16.5" customHeight="1">
      <c r="O14148" s="5" t="s">
        <v>355</v>
      </c>
      <c r="P14148" s="5" t="s">
        <v>355</v>
      </c>
      <c r="Q14148" s="5" t="s">
        <v>355</v>
      </c>
    </row>
    <row r="14149" ht="16.5" customHeight="1">
      <c r="O14149" s="5" t="s">
        <v>355</v>
      </c>
      <c r="P14149" s="5" t="s">
        <v>355</v>
      </c>
      <c r="Q14149" s="5" t="s">
        <v>355</v>
      </c>
    </row>
    <row r="14150" ht="16.5" customHeight="1">
      <c r="O14150" s="5" t="s">
        <v>355</v>
      </c>
      <c r="P14150" s="5" t="s">
        <v>355</v>
      </c>
      <c r="Q14150" s="5" t="s">
        <v>355</v>
      </c>
    </row>
    <row r="14151" ht="16.5" customHeight="1">
      <c r="O14151" s="5" t="s">
        <v>355</v>
      </c>
      <c r="P14151" s="5" t="s">
        <v>355</v>
      </c>
      <c r="Q14151" s="5" t="s">
        <v>355</v>
      </c>
    </row>
    <row r="14152" ht="16.5" customHeight="1">
      <c r="O14152" s="5" t="s">
        <v>355</v>
      </c>
      <c r="P14152" s="5" t="s">
        <v>355</v>
      </c>
      <c r="Q14152" s="5" t="s">
        <v>355</v>
      </c>
    </row>
    <row r="14153" ht="16.5" customHeight="1">
      <c r="O14153" s="5" t="s">
        <v>355</v>
      </c>
      <c r="P14153" s="5" t="s">
        <v>355</v>
      </c>
      <c r="Q14153" s="5" t="s">
        <v>355</v>
      </c>
    </row>
    <row r="14154" ht="16.5" customHeight="1">
      <c r="O14154" s="5" t="s">
        <v>355</v>
      </c>
      <c r="P14154" s="5" t="s">
        <v>355</v>
      </c>
      <c r="Q14154" s="5" t="s">
        <v>355</v>
      </c>
    </row>
    <row r="14155" ht="16.5" customHeight="1">
      <c r="O14155" s="5" t="s">
        <v>355</v>
      </c>
      <c r="P14155" s="5" t="s">
        <v>355</v>
      </c>
      <c r="Q14155" s="5" t="s">
        <v>355</v>
      </c>
    </row>
    <row r="14156" ht="16.5" customHeight="1">
      <c r="O14156" s="5" t="s">
        <v>355</v>
      </c>
      <c r="P14156" s="5" t="s">
        <v>355</v>
      </c>
      <c r="Q14156" s="5" t="s">
        <v>355</v>
      </c>
    </row>
    <row r="14157" ht="16.5" customHeight="1">
      <c r="O14157" s="5" t="s">
        <v>355</v>
      </c>
      <c r="P14157" s="5" t="s">
        <v>355</v>
      </c>
      <c r="Q14157" s="5" t="s">
        <v>355</v>
      </c>
    </row>
    <row r="14158" ht="16.5" customHeight="1">
      <c r="O14158" s="5" t="s">
        <v>355</v>
      </c>
      <c r="P14158" s="5" t="s">
        <v>355</v>
      </c>
      <c r="Q14158" s="5" t="s">
        <v>355</v>
      </c>
    </row>
    <row r="14159" ht="16.5" customHeight="1">
      <c r="O14159" s="5" t="s">
        <v>355</v>
      </c>
      <c r="P14159" s="5" t="s">
        <v>355</v>
      </c>
      <c r="Q14159" s="5" t="s">
        <v>355</v>
      </c>
    </row>
    <row r="14160" ht="16.5" customHeight="1">
      <c r="O14160" s="5" t="s">
        <v>355</v>
      </c>
      <c r="P14160" s="5" t="s">
        <v>355</v>
      </c>
      <c r="Q14160" s="5" t="s">
        <v>355</v>
      </c>
    </row>
    <row r="14161" ht="16.5" customHeight="1">
      <c r="O14161" s="5" t="s">
        <v>355</v>
      </c>
      <c r="P14161" s="5" t="s">
        <v>355</v>
      </c>
      <c r="Q14161" s="5" t="s">
        <v>355</v>
      </c>
    </row>
    <row r="14162" ht="16.5" customHeight="1">
      <c r="O14162" s="5" t="s">
        <v>355</v>
      </c>
      <c r="P14162" s="5" t="s">
        <v>355</v>
      </c>
      <c r="Q14162" s="5" t="s">
        <v>355</v>
      </c>
    </row>
    <row r="14163" ht="16.5" customHeight="1">
      <c r="O14163" s="5" t="s">
        <v>355</v>
      </c>
      <c r="P14163" s="5" t="s">
        <v>355</v>
      </c>
      <c r="Q14163" s="5" t="s">
        <v>355</v>
      </c>
    </row>
    <row r="14164" ht="16.5" customHeight="1">
      <c r="O14164" s="5" t="s">
        <v>355</v>
      </c>
      <c r="P14164" s="5" t="s">
        <v>355</v>
      </c>
      <c r="Q14164" s="5" t="s">
        <v>355</v>
      </c>
    </row>
    <row r="14165" ht="16.5" customHeight="1">
      <c r="O14165" s="5" t="s">
        <v>355</v>
      </c>
      <c r="P14165" s="5" t="s">
        <v>355</v>
      </c>
      <c r="Q14165" s="5" t="s">
        <v>355</v>
      </c>
    </row>
    <row r="14166" ht="16.5" customHeight="1">
      <c r="O14166" s="5" t="s">
        <v>355</v>
      </c>
      <c r="P14166" s="5" t="s">
        <v>355</v>
      </c>
      <c r="Q14166" s="5" t="s">
        <v>355</v>
      </c>
    </row>
    <row r="14167" ht="16.5" customHeight="1">
      <c r="O14167" s="5" t="s">
        <v>355</v>
      </c>
      <c r="P14167" s="5" t="s">
        <v>355</v>
      </c>
      <c r="Q14167" s="5" t="s">
        <v>355</v>
      </c>
    </row>
    <row r="14168" ht="16.5" customHeight="1">
      <c r="O14168" s="5" t="s">
        <v>355</v>
      </c>
      <c r="P14168" s="5" t="s">
        <v>355</v>
      </c>
      <c r="Q14168" s="5" t="s">
        <v>355</v>
      </c>
    </row>
    <row r="14169" ht="16.5" customHeight="1">
      <c r="O14169" s="5" t="s">
        <v>355</v>
      </c>
      <c r="P14169" s="5" t="s">
        <v>355</v>
      </c>
      <c r="Q14169" s="5" t="s">
        <v>355</v>
      </c>
    </row>
    <row r="14170" ht="16.5" customHeight="1">
      <c r="O14170" s="5" t="s">
        <v>355</v>
      </c>
      <c r="P14170" s="5" t="s">
        <v>355</v>
      </c>
      <c r="Q14170" s="5" t="s">
        <v>355</v>
      </c>
    </row>
    <row r="14171" ht="16.5" customHeight="1">
      <c r="O14171" s="5" t="s">
        <v>355</v>
      </c>
      <c r="P14171" s="5" t="s">
        <v>355</v>
      </c>
      <c r="Q14171" s="5" t="s">
        <v>355</v>
      </c>
    </row>
    <row r="14172" ht="16.5" customHeight="1">
      <c r="O14172" s="5" t="s">
        <v>355</v>
      </c>
      <c r="P14172" s="5" t="s">
        <v>355</v>
      </c>
      <c r="Q14172" s="5" t="s">
        <v>355</v>
      </c>
    </row>
    <row r="14173" ht="16.5" customHeight="1">
      <c r="O14173" s="5" t="s">
        <v>355</v>
      </c>
      <c r="P14173" s="5" t="s">
        <v>355</v>
      </c>
      <c r="Q14173" s="5" t="s">
        <v>355</v>
      </c>
    </row>
    <row r="14174" ht="16.5" customHeight="1">
      <c r="O14174" s="5" t="s">
        <v>355</v>
      </c>
      <c r="P14174" s="5" t="s">
        <v>355</v>
      </c>
      <c r="Q14174" s="5" t="s">
        <v>355</v>
      </c>
    </row>
    <row r="14175" ht="16.5" customHeight="1">
      <c r="O14175" s="5" t="s">
        <v>355</v>
      </c>
      <c r="P14175" s="5" t="s">
        <v>355</v>
      </c>
      <c r="Q14175" s="5" t="s">
        <v>355</v>
      </c>
    </row>
    <row r="14176" ht="16.5" customHeight="1">
      <c r="O14176" s="5" t="s">
        <v>355</v>
      </c>
      <c r="P14176" s="5" t="s">
        <v>355</v>
      </c>
      <c r="Q14176" s="5" t="s">
        <v>355</v>
      </c>
    </row>
    <row r="14177" ht="16.5" customHeight="1">
      <c r="O14177" s="5" t="s">
        <v>355</v>
      </c>
      <c r="P14177" s="5" t="s">
        <v>355</v>
      </c>
      <c r="Q14177" s="5" t="s">
        <v>355</v>
      </c>
    </row>
    <row r="14178" ht="16.5" customHeight="1">
      <c r="O14178" s="5" t="s">
        <v>355</v>
      </c>
      <c r="P14178" s="5" t="s">
        <v>355</v>
      </c>
      <c r="Q14178" s="5" t="s">
        <v>355</v>
      </c>
    </row>
    <row r="14179" ht="16.5" customHeight="1">
      <c r="O14179" s="5" t="s">
        <v>355</v>
      </c>
      <c r="P14179" s="5" t="s">
        <v>355</v>
      </c>
      <c r="Q14179" s="5" t="s">
        <v>355</v>
      </c>
    </row>
    <row r="14180" ht="16.5" customHeight="1">
      <c r="O14180" s="5" t="s">
        <v>355</v>
      </c>
      <c r="P14180" s="5" t="s">
        <v>355</v>
      </c>
      <c r="Q14180" s="5" t="s">
        <v>355</v>
      </c>
    </row>
    <row r="14181" ht="16.5" customHeight="1">
      <c r="O14181" s="5" t="s">
        <v>355</v>
      </c>
      <c r="P14181" s="5" t="s">
        <v>355</v>
      </c>
      <c r="Q14181" s="5" t="s">
        <v>355</v>
      </c>
    </row>
    <row r="14182" ht="16.5" customHeight="1">
      <c r="O14182" s="5" t="s">
        <v>355</v>
      </c>
      <c r="P14182" s="5" t="s">
        <v>355</v>
      </c>
      <c r="Q14182" s="5" t="s">
        <v>355</v>
      </c>
    </row>
    <row r="14183" ht="16.5" customHeight="1">
      <c r="O14183" s="5" t="s">
        <v>355</v>
      </c>
      <c r="P14183" s="5" t="s">
        <v>355</v>
      </c>
      <c r="Q14183" s="5" t="s">
        <v>355</v>
      </c>
    </row>
    <row r="14184" ht="16.5" customHeight="1">
      <c r="O14184" s="5" t="s">
        <v>355</v>
      </c>
      <c r="P14184" s="5" t="s">
        <v>355</v>
      </c>
      <c r="Q14184" s="5" t="s">
        <v>355</v>
      </c>
    </row>
    <row r="14185" ht="16.5" customHeight="1">
      <c r="O14185" s="5" t="s">
        <v>355</v>
      </c>
      <c r="P14185" s="5" t="s">
        <v>355</v>
      </c>
      <c r="Q14185" s="5" t="s">
        <v>355</v>
      </c>
    </row>
    <row r="14186" ht="16.5" customHeight="1">
      <c r="O14186" s="5" t="s">
        <v>355</v>
      </c>
      <c r="P14186" s="5" t="s">
        <v>355</v>
      </c>
      <c r="Q14186" s="5" t="s">
        <v>355</v>
      </c>
    </row>
    <row r="14187" ht="16.5" customHeight="1">
      <c r="O14187" s="5" t="s">
        <v>355</v>
      </c>
      <c r="P14187" s="5" t="s">
        <v>355</v>
      </c>
      <c r="Q14187" s="5" t="s">
        <v>355</v>
      </c>
    </row>
    <row r="14188" ht="16.5" customHeight="1">
      <c r="O14188" s="5" t="s">
        <v>355</v>
      </c>
      <c r="P14188" s="5" t="s">
        <v>355</v>
      </c>
      <c r="Q14188" s="5" t="s">
        <v>355</v>
      </c>
    </row>
    <row r="14189" ht="16.5" customHeight="1">
      <c r="O14189" s="5" t="s">
        <v>355</v>
      </c>
      <c r="P14189" s="5" t="s">
        <v>355</v>
      </c>
      <c r="Q14189" s="5" t="s">
        <v>355</v>
      </c>
    </row>
    <row r="14190" ht="16.5" customHeight="1">
      <c r="O14190" s="5" t="s">
        <v>355</v>
      </c>
      <c r="P14190" s="5" t="s">
        <v>355</v>
      </c>
      <c r="Q14190" s="5" t="s">
        <v>355</v>
      </c>
    </row>
    <row r="14191" ht="16.5" customHeight="1">
      <c r="O14191" s="5" t="s">
        <v>355</v>
      </c>
      <c r="P14191" s="5" t="s">
        <v>355</v>
      </c>
      <c r="Q14191" s="5" t="s">
        <v>355</v>
      </c>
    </row>
    <row r="14192" ht="16.5" customHeight="1">
      <c r="O14192" s="5" t="s">
        <v>355</v>
      </c>
      <c r="P14192" s="5" t="s">
        <v>355</v>
      </c>
      <c r="Q14192" s="5" t="s">
        <v>355</v>
      </c>
    </row>
    <row r="14193" ht="16.5" customHeight="1">
      <c r="O14193" s="5" t="s">
        <v>355</v>
      </c>
      <c r="P14193" s="5" t="s">
        <v>355</v>
      </c>
      <c r="Q14193" s="5" t="s">
        <v>355</v>
      </c>
    </row>
    <row r="14194" ht="16.5" customHeight="1">
      <c r="O14194" s="5" t="s">
        <v>355</v>
      </c>
      <c r="P14194" s="5" t="s">
        <v>355</v>
      </c>
      <c r="Q14194" s="5" t="s">
        <v>355</v>
      </c>
    </row>
    <row r="14195" ht="16.5" customHeight="1">
      <c r="O14195" s="5" t="s">
        <v>355</v>
      </c>
      <c r="P14195" s="5" t="s">
        <v>355</v>
      </c>
      <c r="Q14195" s="5" t="s">
        <v>355</v>
      </c>
    </row>
    <row r="14196" ht="16.5" customHeight="1">
      <c r="O14196" s="5" t="s">
        <v>355</v>
      </c>
      <c r="P14196" s="5" t="s">
        <v>355</v>
      </c>
      <c r="Q14196" s="5" t="s">
        <v>355</v>
      </c>
    </row>
    <row r="14197" ht="16.5" customHeight="1">
      <c r="O14197" s="5" t="s">
        <v>355</v>
      </c>
      <c r="P14197" s="5" t="s">
        <v>355</v>
      </c>
      <c r="Q14197" s="5" t="s">
        <v>355</v>
      </c>
    </row>
    <row r="14198" ht="16.5" customHeight="1">
      <c r="O14198" s="5" t="s">
        <v>355</v>
      </c>
      <c r="P14198" s="5" t="s">
        <v>355</v>
      </c>
      <c r="Q14198" s="5" t="s">
        <v>355</v>
      </c>
    </row>
    <row r="14199" ht="16.5" customHeight="1">
      <c r="O14199" s="5" t="s">
        <v>355</v>
      </c>
      <c r="P14199" s="5" t="s">
        <v>355</v>
      </c>
      <c r="Q14199" s="5" t="s">
        <v>355</v>
      </c>
    </row>
    <row r="14200" ht="16.5" customHeight="1">
      <c r="O14200" s="5" t="s">
        <v>355</v>
      </c>
      <c r="P14200" s="5" t="s">
        <v>355</v>
      </c>
      <c r="Q14200" s="5" t="s">
        <v>355</v>
      </c>
    </row>
    <row r="14201" ht="16.5" customHeight="1">
      <c r="O14201" s="5" t="s">
        <v>355</v>
      </c>
      <c r="P14201" s="5" t="s">
        <v>355</v>
      </c>
      <c r="Q14201" s="5" t="s">
        <v>355</v>
      </c>
    </row>
    <row r="14202" ht="16.5" customHeight="1">
      <c r="O14202" s="5" t="s">
        <v>355</v>
      </c>
      <c r="P14202" s="5" t="s">
        <v>355</v>
      </c>
      <c r="Q14202" s="5" t="s">
        <v>355</v>
      </c>
    </row>
    <row r="14203" ht="16.5" customHeight="1">
      <c r="O14203" s="5" t="s">
        <v>355</v>
      </c>
      <c r="P14203" s="5" t="s">
        <v>355</v>
      </c>
      <c r="Q14203" s="5" t="s">
        <v>355</v>
      </c>
    </row>
    <row r="14204" ht="16.5" customHeight="1">
      <c r="O14204" s="5" t="s">
        <v>355</v>
      </c>
      <c r="P14204" s="5" t="s">
        <v>355</v>
      </c>
      <c r="Q14204" s="5" t="s">
        <v>355</v>
      </c>
    </row>
    <row r="14205" ht="16.5" customHeight="1">
      <c r="O14205" s="5" t="s">
        <v>355</v>
      </c>
      <c r="P14205" s="5" t="s">
        <v>355</v>
      </c>
      <c r="Q14205" s="5" t="s">
        <v>355</v>
      </c>
    </row>
    <row r="14206" ht="16.5" customHeight="1">
      <c r="O14206" s="5" t="s">
        <v>355</v>
      </c>
      <c r="P14206" s="5" t="s">
        <v>355</v>
      </c>
      <c r="Q14206" s="5" t="s">
        <v>355</v>
      </c>
    </row>
    <row r="14207" ht="16.5" customHeight="1">
      <c r="O14207" s="5" t="s">
        <v>355</v>
      </c>
      <c r="P14207" s="5" t="s">
        <v>355</v>
      </c>
      <c r="Q14207" s="5" t="s">
        <v>355</v>
      </c>
    </row>
    <row r="14208" ht="16.5" customHeight="1">
      <c r="O14208" s="5" t="s">
        <v>355</v>
      </c>
      <c r="P14208" s="5" t="s">
        <v>355</v>
      </c>
      <c r="Q14208" s="5" t="s">
        <v>355</v>
      </c>
    </row>
    <row r="14209" ht="16.5" customHeight="1">
      <c r="O14209" s="5" t="s">
        <v>355</v>
      </c>
      <c r="P14209" s="5" t="s">
        <v>355</v>
      </c>
      <c r="Q14209" s="5" t="s">
        <v>355</v>
      </c>
    </row>
    <row r="14210" ht="16.5" customHeight="1">
      <c r="O14210" s="5" t="s">
        <v>355</v>
      </c>
      <c r="P14210" s="5" t="s">
        <v>355</v>
      </c>
      <c r="Q14210" s="5" t="s">
        <v>355</v>
      </c>
    </row>
    <row r="14211" ht="16.5" customHeight="1">
      <c r="O14211" s="5" t="s">
        <v>355</v>
      </c>
      <c r="P14211" s="5" t="s">
        <v>355</v>
      </c>
      <c r="Q14211" s="5" t="s">
        <v>355</v>
      </c>
    </row>
    <row r="14212" ht="16.5" customHeight="1">
      <c r="O14212" s="5" t="s">
        <v>355</v>
      </c>
      <c r="P14212" s="5" t="s">
        <v>355</v>
      </c>
      <c r="Q14212" s="5" t="s">
        <v>355</v>
      </c>
    </row>
    <row r="14213" ht="16.5" customHeight="1">
      <c r="O14213" s="5" t="s">
        <v>355</v>
      </c>
      <c r="P14213" s="5" t="s">
        <v>355</v>
      </c>
      <c r="Q14213" s="5" t="s">
        <v>355</v>
      </c>
    </row>
    <row r="14214" ht="16.5" customHeight="1">
      <c r="O14214" s="5" t="s">
        <v>355</v>
      </c>
      <c r="P14214" s="5" t="s">
        <v>355</v>
      </c>
      <c r="Q14214" s="5" t="s">
        <v>355</v>
      </c>
    </row>
    <row r="14215" ht="16.5" customHeight="1">
      <c r="O14215" s="5" t="s">
        <v>355</v>
      </c>
      <c r="P14215" s="5" t="s">
        <v>355</v>
      </c>
      <c r="Q14215" s="5" t="s">
        <v>355</v>
      </c>
    </row>
    <row r="14216" ht="16.5" customHeight="1">
      <c r="O14216" s="5" t="s">
        <v>355</v>
      </c>
      <c r="P14216" s="5" t="s">
        <v>355</v>
      </c>
      <c r="Q14216" s="5" t="s">
        <v>355</v>
      </c>
    </row>
    <row r="14217" ht="16.5" customHeight="1">
      <c r="O14217" s="5" t="s">
        <v>355</v>
      </c>
      <c r="P14217" s="5" t="s">
        <v>355</v>
      </c>
      <c r="Q14217" s="5" t="s">
        <v>355</v>
      </c>
    </row>
    <row r="14218" ht="16.5" customHeight="1">
      <c r="O14218" s="5" t="s">
        <v>355</v>
      </c>
      <c r="P14218" s="5" t="s">
        <v>355</v>
      </c>
      <c r="Q14218" s="5" t="s">
        <v>355</v>
      </c>
    </row>
    <row r="14219" ht="16.5" customHeight="1">
      <c r="O14219" s="5" t="s">
        <v>355</v>
      </c>
      <c r="P14219" s="5" t="s">
        <v>355</v>
      </c>
      <c r="Q14219" s="5" t="s">
        <v>355</v>
      </c>
    </row>
    <row r="14220" ht="16.5" customHeight="1">
      <c r="O14220" s="5" t="s">
        <v>355</v>
      </c>
      <c r="P14220" s="5" t="s">
        <v>355</v>
      </c>
      <c r="Q14220" s="5" t="s">
        <v>355</v>
      </c>
    </row>
    <row r="14221" ht="16.5" customHeight="1">
      <c r="O14221" s="5" t="s">
        <v>355</v>
      </c>
      <c r="P14221" s="5" t="s">
        <v>355</v>
      </c>
      <c r="Q14221" s="5" t="s">
        <v>355</v>
      </c>
    </row>
    <row r="14222" ht="16.5" customHeight="1">
      <c r="O14222" s="5" t="s">
        <v>355</v>
      </c>
      <c r="P14222" s="5" t="s">
        <v>355</v>
      </c>
      <c r="Q14222" s="5" t="s">
        <v>355</v>
      </c>
    </row>
    <row r="14223" ht="16.5" customHeight="1">
      <c r="O14223" s="5" t="s">
        <v>355</v>
      </c>
      <c r="P14223" s="5" t="s">
        <v>355</v>
      </c>
      <c r="Q14223" s="5" t="s">
        <v>355</v>
      </c>
    </row>
    <row r="14224" ht="16.5" customHeight="1">
      <c r="O14224" s="5" t="s">
        <v>355</v>
      </c>
      <c r="P14224" s="5" t="s">
        <v>355</v>
      </c>
      <c r="Q14224" s="5" t="s">
        <v>355</v>
      </c>
    </row>
    <row r="14225" ht="16.5" customHeight="1">
      <c r="O14225" s="5" t="s">
        <v>355</v>
      </c>
      <c r="P14225" s="5" t="s">
        <v>355</v>
      </c>
      <c r="Q14225" s="5" t="s">
        <v>355</v>
      </c>
    </row>
    <row r="14226" ht="16.5" customHeight="1">
      <c r="O14226" s="5" t="s">
        <v>355</v>
      </c>
      <c r="P14226" s="5" t="s">
        <v>355</v>
      </c>
      <c r="Q14226" s="5" t="s">
        <v>355</v>
      </c>
    </row>
    <row r="14227" ht="16.5" customHeight="1">
      <c r="O14227" s="5" t="s">
        <v>355</v>
      </c>
      <c r="P14227" s="5" t="s">
        <v>355</v>
      </c>
      <c r="Q14227" s="5" t="s">
        <v>355</v>
      </c>
    </row>
    <row r="14228" ht="16.5" customHeight="1">
      <c r="O14228" s="5" t="s">
        <v>355</v>
      </c>
      <c r="P14228" s="5" t="s">
        <v>355</v>
      </c>
      <c r="Q14228" s="5" t="s">
        <v>355</v>
      </c>
    </row>
    <row r="14229" ht="16.5" customHeight="1">
      <c r="O14229" s="5" t="s">
        <v>355</v>
      </c>
      <c r="P14229" s="5" t="s">
        <v>355</v>
      </c>
      <c r="Q14229" s="5" t="s">
        <v>355</v>
      </c>
    </row>
    <row r="14230" ht="16.5" customHeight="1">
      <c r="O14230" s="5" t="s">
        <v>355</v>
      </c>
      <c r="P14230" s="5" t="s">
        <v>355</v>
      </c>
      <c r="Q14230" s="5" t="s">
        <v>355</v>
      </c>
    </row>
    <row r="14231" ht="16.5" customHeight="1">
      <c r="O14231" s="5" t="s">
        <v>355</v>
      </c>
      <c r="P14231" s="5" t="s">
        <v>355</v>
      </c>
      <c r="Q14231" s="5" t="s">
        <v>355</v>
      </c>
    </row>
    <row r="14232" ht="16.5" customHeight="1">
      <c r="O14232" s="5" t="s">
        <v>355</v>
      </c>
      <c r="P14232" s="5" t="s">
        <v>355</v>
      </c>
      <c r="Q14232" s="5" t="s">
        <v>355</v>
      </c>
    </row>
    <row r="14233" ht="16.5" customHeight="1">
      <c r="O14233" s="5" t="s">
        <v>355</v>
      </c>
      <c r="P14233" s="5" t="s">
        <v>355</v>
      </c>
      <c r="Q14233" s="5" t="s">
        <v>355</v>
      </c>
    </row>
    <row r="14234" ht="16.5" customHeight="1">
      <c r="O14234" s="5" t="s">
        <v>355</v>
      </c>
      <c r="P14234" s="5" t="s">
        <v>355</v>
      </c>
      <c r="Q14234" s="5" t="s">
        <v>355</v>
      </c>
    </row>
    <row r="14235" ht="16.5" customHeight="1">
      <c r="O14235" s="5" t="s">
        <v>355</v>
      </c>
      <c r="P14235" s="5" t="s">
        <v>355</v>
      </c>
      <c r="Q14235" s="5" t="s">
        <v>355</v>
      </c>
    </row>
    <row r="14236" ht="16.5" customHeight="1">
      <c r="O14236" s="5" t="s">
        <v>355</v>
      </c>
      <c r="P14236" s="5" t="s">
        <v>355</v>
      </c>
      <c r="Q14236" s="5" t="s">
        <v>355</v>
      </c>
    </row>
    <row r="14237" ht="16.5" customHeight="1">
      <c r="O14237" s="5" t="s">
        <v>355</v>
      </c>
      <c r="P14237" s="5" t="s">
        <v>355</v>
      </c>
      <c r="Q14237" s="5" t="s">
        <v>355</v>
      </c>
    </row>
    <row r="14238" ht="16.5" customHeight="1">
      <c r="O14238" s="5" t="s">
        <v>355</v>
      </c>
      <c r="P14238" s="5" t="s">
        <v>355</v>
      </c>
      <c r="Q14238" s="5" t="s">
        <v>355</v>
      </c>
    </row>
    <row r="14239" ht="16.5" customHeight="1">
      <c r="O14239" s="5" t="s">
        <v>355</v>
      </c>
      <c r="P14239" s="5" t="s">
        <v>355</v>
      </c>
      <c r="Q14239" s="5" t="s">
        <v>355</v>
      </c>
    </row>
    <row r="14240" ht="16.5" customHeight="1">
      <c r="O14240" s="5" t="s">
        <v>355</v>
      </c>
      <c r="P14240" s="5" t="s">
        <v>355</v>
      </c>
      <c r="Q14240" s="5" t="s">
        <v>355</v>
      </c>
    </row>
    <row r="14241" ht="16.5" customHeight="1">
      <c r="O14241" s="5" t="s">
        <v>355</v>
      </c>
      <c r="P14241" s="5" t="s">
        <v>355</v>
      </c>
      <c r="Q14241" s="5" t="s">
        <v>355</v>
      </c>
    </row>
    <row r="14242" ht="16.5" customHeight="1">
      <c r="O14242" s="5" t="s">
        <v>355</v>
      </c>
      <c r="P14242" s="5" t="s">
        <v>355</v>
      </c>
      <c r="Q14242" s="5" t="s">
        <v>355</v>
      </c>
    </row>
    <row r="14243" ht="16.5" customHeight="1">
      <c r="O14243" s="5" t="s">
        <v>355</v>
      </c>
      <c r="P14243" s="5" t="s">
        <v>355</v>
      </c>
      <c r="Q14243" s="5" t="s">
        <v>355</v>
      </c>
    </row>
    <row r="14244" ht="16.5" customHeight="1">
      <c r="O14244" s="5" t="s">
        <v>355</v>
      </c>
      <c r="P14244" s="5" t="s">
        <v>355</v>
      </c>
      <c r="Q14244" s="5" t="s">
        <v>355</v>
      </c>
    </row>
    <row r="14245" ht="16.5" customHeight="1">
      <c r="O14245" s="5" t="s">
        <v>355</v>
      </c>
      <c r="P14245" s="5" t="s">
        <v>355</v>
      </c>
      <c r="Q14245" s="5" t="s">
        <v>355</v>
      </c>
    </row>
    <row r="14246" ht="16.5" customHeight="1">
      <c r="O14246" s="5" t="s">
        <v>355</v>
      </c>
      <c r="P14246" s="5" t="s">
        <v>355</v>
      </c>
      <c r="Q14246" s="5" t="s">
        <v>355</v>
      </c>
    </row>
    <row r="14247" ht="16.5" customHeight="1">
      <c r="O14247" s="5" t="s">
        <v>355</v>
      </c>
      <c r="P14247" s="5" t="s">
        <v>355</v>
      </c>
      <c r="Q14247" s="5" t="s">
        <v>355</v>
      </c>
    </row>
    <row r="14248" ht="16.5" customHeight="1">
      <c r="O14248" s="5" t="s">
        <v>355</v>
      </c>
      <c r="P14248" s="5" t="s">
        <v>355</v>
      </c>
      <c r="Q14248" s="5" t="s">
        <v>355</v>
      </c>
    </row>
    <row r="14249" ht="16.5" customHeight="1">
      <c r="O14249" s="5" t="s">
        <v>355</v>
      </c>
      <c r="P14249" s="5" t="s">
        <v>355</v>
      </c>
      <c r="Q14249" s="5" t="s">
        <v>355</v>
      </c>
    </row>
    <row r="14250" ht="16.5" customHeight="1">
      <c r="O14250" s="5" t="s">
        <v>355</v>
      </c>
      <c r="P14250" s="5" t="s">
        <v>355</v>
      </c>
      <c r="Q14250" s="5" t="s">
        <v>355</v>
      </c>
    </row>
    <row r="14251" ht="16.5" customHeight="1">
      <c r="O14251" s="5" t="s">
        <v>355</v>
      </c>
      <c r="P14251" s="5" t="s">
        <v>355</v>
      </c>
      <c r="Q14251" s="5" t="s">
        <v>355</v>
      </c>
    </row>
    <row r="14252" ht="16.5" customHeight="1">
      <c r="O14252" s="5" t="s">
        <v>355</v>
      </c>
      <c r="P14252" s="5" t="s">
        <v>355</v>
      </c>
      <c r="Q14252" s="5" t="s">
        <v>355</v>
      </c>
    </row>
    <row r="14253" ht="16.5" customHeight="1">
      <c r="O14253" s="5" t="s">
        <v>355</v>
      </c>
      <c r="P14253" s="5" t="s">
        <v>355</v>
      </c>
      <c r="Q14253" s="5" t="s">
        <v>355</v>
      </c>
    </row>
    <row r="14254" ht="16.5" customHeight="1">
      <c r="O14254" s="5" t="s">
        <v>355</v>
      </c>
      <c r="P14254" s="5" t="s">
        <v>355</v>
      </c>
      <c r="Q14254" s="5" t="s">
        <v>355</v>
      </c>
    </row>
    <row r="14255" ht="16.5" customHeight="1">
      <c r="O14255" s="5" t="s">
        <v>355</v>
      </c>
      <c r="P14255" s="5" t="s">
        <v>355</v>
      </c>
      <c r="Q14255" s="5" t="s">
        <v>355</v>
      </c>
    </row>
    <row r="14256" ht="16.5" customHeight="1">
      <c r="O14256" s="5" t="s">
        <v>355</v>
      </c>
      <c r="P14256" s="5" t="s">
        <v>355</v>
      </c>
      <c r="Q14256" s="5" t="s">
        <v>355</v>
      </c>
    </row>
    <row r="14257" ht="16.5" customHeight="1">
      <c r="O14257" s="5" t="s">
        <v>355</v>
      </c>
      <c r="P14257" s="5" t="s">
        <v>355</v>
      </c>
      <c r="Q14257" s="5" t="s">
        <v>355</v>
      </c>
    </row>
    <row r="14258" ht="16.5" customHeight="1">
      <c r="O14258" s="5" t="s">
        <v>355</v>
      </c>
      <c r="P14258" s="5" t="s">
        <v>355</v>
      </c>
      <c r="Q14258" s="5" t="s">
        <v>355</v>
      </c>
    </row>
    <row r="14259" ht="16.5" customHeight="1">
      <c r="O14259" s="5" t="s">
        <v>355</v>
      </c>
      <c r="P14259" s="5" t="s">
        <v>355</v>
      </c>
      <c r="Q14259" s="5" t="s">
        <v>355</v>
      </c>
    </row>
    <row r="14260" ht="16.5" customHeight="1">
      <c r="O14260" s="5" t="s">
        <v>355</v>
      </c>
      <c r="P14260" s="5" t="s">
        <v>355</v>
      </c>
      <c r="Q14260" s="5" t="s">
        <v>355</v>
      </c>
    </row>
    <row r="14261" ht="16.5" customHeight="1">
      <c r="O14261" s="5" t="s">
        <v>355</v>
      </c>
      <c r="P14261" s="5" t="s">
        <v>355</v>
      </c>
      <c r="Q14261" s="5" t="s">
        <v>355</v>
      </c>
    </row>
    <row r="14262" ht="16.5" customHeight="1">
      <c r="O14262" s="5" t="s">
        <v>355</v>
      </c>
      <c r="P14262" s="5" t="s">
        <v>355</v>
      </c>
      <c r="Q14262" s="5" t="s">
        <v>355</v>
      </c>
    </row>
    <row r="14263" ht="16.5" customHeight="1">
      <c r="O14263" s="5" t="s">
        <v>355</v>
      </c>
      <c r="P14263" s="5" t="s">
        <v>355</v>
      </c>
      <c r="Q14263" s="5" t="s">
        <v>355</v>
      </c>
    </row>
    <row r="14264" ht="16.5" customHeight="1">
      <c r="O14264" s="5" t="s">
        <v>355</v>
      </c>
      <c r="P14264" s="5" t="s">
        <v>355</v>
      </c>
      <c r="Q14264" s="5" t="s">
        <v>355</v>
      </c>
    </row>
    <row r="14265" ht="16.5" customHeight="1">
      <c r="O14265" s="5" t="s">
        <v>355</v>
      </c>
      <c r="P14265" s="5" t="s">
        <v>355</v>
      </c>
      <c r="Q14265" s="5" t="s">
        <v>355</v>
      </c>
    </row>
    <row r="14266" ht="16.5" customHeight="1">
      <c r="O14266" s="5" t="s">
        <v>355</v>
      </c>
      <c r="P14266" s="5" t="s">
        <v>355</v>
      </c>
      <c r="Q14266" s="5" t="s">
        <v>355</v>
      </c>
    </row>
    <row r="14267" ht="16.5" customHeight="1">
      <c r="O14267" s="5" t="s">
        <v>355</v>
      </c>
      <c r="P14267" s="5" t="s">
        <v>355</v>
      </c>
      <c r="Q14267" s="5" t="s">
        <v>355</v>
      </c>
    </row>
    <row r="14268" ht="16.5" customHeight="1">
      <c r="O14268" s="5" t="s">
        <v>355</v>
      </c>
      <c r="P14268" s="5" t="s">
        <v>355</v>
      </c>
      <c r="Q14268" s="5" t="s">
        <v>355</v>
      </c>
    </row>
    <row r="14269" ht="16.5" customHeight="1">
      <c r="O14269" s="5" t="s">
        <v>355</v>
      </c>
      <c r="P14269" s="5" t="s">
        <v>355</v>
      </c>
      <c r="Q14269" s="5" t="s">
        <v>355</v>
      </c>
    </row>
    <row r="14270" ht="16.5" customHeight="1">
      <c r="O14270" s="5" t="s">
        <v>355</v>
      </c>
      <c r="P14270" s="5" t="s">
        <v>355</v>
      </c>
      <c r="Q14270" s="5" t="s">
        <v>355</v>
      </c>
    </row>
    <row r="14271" ht="16.5" customHeight="1">
      <c r="O14271" s="5" t="s">
        <v>355</v>
      </c>
      <c r="P14271" s="5" t="s">
        <v>355</v>
      </c>
      <c r="Q14271" s="5" t="s">
        <v>355</v>
      </c>
    </row>
    <row r="14272" ht="16.5" customHeight="1">
      <c r="O14272" s="5" t="s">
        <v>355</v>
      </c>
      <c r="P14272" s="5" t="s">
        <v>355</v>
      </c>
      <c r="Q14272" s="5" t="s">
        <v>355</v>
      </c>
    </row>
    <row r="14273" ht="16.5" customHeight="1">
      <c r="O14273" s="5" t="s">
        <v>355</v>
      </c>
      <c r="P14273" s="5" t="s">
        <v>355</v>
      </c>
      <c r="Q14273" s="5" t="s">
        <v>355</v>
      </c>
    </row>
    <row r="14274" ht="16.5" customHeight="1">
      <c r="O14274" s="5" t="s">
        <v>355</v>
      </c>
      <c r="P14274" s="5" t="s">
        <v>355</v>
      </c>
      <c r="Q14274" s="5" t="s">
        <v>355</v>
      </c>
    </row>
    <row r="14275" ht="16.5" customHeight="1">
      <c r="O14275" s="5" t="s">
        <v>355</v>
      </c>
      <c r="P14275" s="5" t="s">
        <v>355</v>
      </c>
      <c r="Q14275" s="5" t="s">
        <v>355</v>
      </c>
    </row>
    <row r="14276" ht="16.5" customHeight="1">
      <c r="O14276" s="5" t="s">
        <v>355</v>
      </c>
      <c r="P14276" s="5" t="s">
        <v>355</v>
      </c>
      <c r="Q14276" s="5" t="s">
        <v>355</v>
      </c>
    </row>
    <row r="14277" ht="16.5" customHeight="1">
      <c r="O14277" s="5" t="s">
        <v>355</v>
      </c>
      <c r="P14277" s="5" t="s">
        <v>355</v>
      </c>
      <c r="Q14277" s="5" t="s">
        <v>355</v>
      </c>
    </row>
    <row r="14278" ht="16.5" customHeight="1">
      <c r="O14278" s="5" t="s">
        <v>355</v>
      </c>
      <c r="P14278" s="5" t="s">
        <v>355</v>
      </c>
      <c r="Q14278" s="5" t="s">
        <v>355</v>
      </c>
    </row>
    <row r="14279" ht="16.5" customHeight="1">
      <c r="O14279" s="5" t="s">
        <v>355</v>
      </c>
      <c r="P14279" s="5" t="s">
        <v>355</v>
      </c>
      <c r="Q14279" s="5" t="s">
        <v>355</v>
      </c>
    </row>
    <row r="14280" ht="16.5" customHeight="1">
      <c r="O14280" s="5" t="s">
        <v>355</v>
      </c>
      <c r="P14280" s="5" t="s">
        <v>355</v>
      </c>
      <c r="Q14280" s="5" t="s">
        <v>355</v>
      </c>
    </row>
    <row r="14281" ht="16.5" customHeight="1">
      <c r="O14281" s="5" t="s">
        <v>355</v>
      </c>
      <c r="P14281" s="5" t="s">
        <v>355</v>
      </c>
      <c r="Q14281" s="5" t="s">
        <v>355</v>
      </c>
    </row>
    <row r="14282" ht="16.5" customHeight="1">
      <c r="O14282" s="5" t="s">
        <v>355</v>
      </c>
      <c r="P14282" s="5" t="s">
        <v>355</v>
      </c>
      <c r="Q14282" s="5" t="s">
        <v>355</v>
      </c>
    </row>
    <row r="14283" ht="16.5" customHeight="1">
      <c r="O14283" s="5" t="s">
        <v>355</v>
      </c>
      <c r="P14283" s="5" t="s">
        <v>355</v>
      </c>
      <c r="Q14283" s="5" t="s">
        <v>355</v>
      </c>
    </row>
    <row r="14284" ht="16.5" customHeight="1">
      <c r="O14284" s="5" t="s">
        <v>355</v>
      </c>
      <c r="P14284" s="5" t="s">
        <v>355</v>
      </c>
      <c r="Q14284" s="5" t="s">
        <v>355</v>
      </c>
    </row>
    <row r="14285" ht="16.5" customHeight="1">
      <c r="O14285" s="5" t="s">
        <v>355</v>
      </c>
      <c r="P14285" s="5" t="s">
        <v>355</v>
      </c>
      <c r="Q14285" s="5" t="s">
        <v>355</v>
      </c>
    </row>
    <row r="14286" ht="16.5" customHeight="1">
      <c r="O14286" s="5" t="s">
        <v>355</v>
      </c>
      <c r="P14286" s="5" t="s">
        <v>355</v>
      </c>
      <c r="Q14286" s="5" t="s">
        <v>355</v>
      </c>
    </row>
    <row r="14287" ht="16.5" customHeight="1">
      <c r="O14287" s="5" t="s">
        <v>355</v>
      </c>
      <c r="P14287" s="5" t="s">
        <v>355</v>
      </c>
      <c r="Q14287" s="5" t="s">
        <v>355</v>
      </c>
    </row>
    <row r="14288" ht="16.5" customHeight="1">
      <c r="O14288" s="5" t="s">
        <v>355</v>
      </c>
      <c r="P14288" s="5" t="s">
        <v>355</v>
      </c>
      <c r="Q14288" s="5" t="s">
        <v>355</v>
      </c>
    </row>
    <row r="14289" ht="16.5" customHeight="1">
      <c r="O14289" s="5" t="s">
        <v>355</v>
      </c>
      <c r="P14289" s="5" t="s">
        <v>355</v>
      </c>
      <c r="Q14289" s="5" t="s">
        <v>355</v>
      </c>
    </row>
    <row r="14290" ht="16.5" customHeight="1">
      <c r="O14290" s="5" t="s">
        <v>355</v>
      </c>
      <c r="P14290" s="5" t="s">
        <v>355</v>
      </c>
      <c r="Q14290" s="5" t="s">
        <v>355</v>
      </c>
    </row>
    <row r="14291" ht="16.5" customHeight="1">
      <c r="O14291" s="5" t="s">
        <v>355</v>
      </c>
      <c r="P14291" s="5" t="s">
        <v>355</v>
      </c>
      <c r="Q14291" s="5" t="s">
        <v>355</v>
      </c>
    </row>
    <row r="14292" ht="16.5" customHeight="1">
      <c r="O14292" s="5" t="s">
        <v>355</v>
      </c>
      <c r="P14292" s="5" t="s">
        <v>355</v>
      </c>
      <c r="Q14292" s="5" t="s">
        <v>355</v>
      </c>
    </row>
    <row r="14293" ht="16.5" customHeight="1">
      <c r="O14293" s="5" t="s">
        <v>355</v>
      </c>
      <c r="P14293" s="5" t="s">
        <v>355</v>
      </c>
      <c r="Q14293" s="5" t="s">
        <v>355</v>
      </c>
    </row>
    <row r="14294" ht="16.5" customHeight="1">
      <c r="O14294" s="5" t="s">
        <v>355</v>
      </c>
      <c r="P14294" s="5" t="s">
        <v>355</v>
      </c>
      <c r="Q14294" s="5" t="s">
        <v>355</v>
      </c>
    </row>
    <row r="14295" ht="16.5" customHeight="1">
      <c r="O14295" s="5" t="s">
        <v>355</v>
      </c>
      <c r="P14295" s="5" t="s">
        <v>355</v>
      </c>
      <c r="Q14295" s="5" t="s">
        <v>355</v>
      </c>
    </row>
    <row r="14296" ht="16.5" customHeight="1">
      <c r="O14296" s="5" t="s">
        <v>355</v>
      </c>
      <c r="P14296" s="5" t="s">
        <v>355</v>
      </c>
      <c r="Q14296" s="5" t="s">
        <v>355</v>
      </c>
    </row>
    <row r="14297" ht="16.5" customHeight="1">
      <c r="O14297" s="5" t="s">
        <v>355</v>
      </c>
      <c r="P14297" s="5" t="s">
        <v>355</v>
      </c>
      <c r="Q14297" s="5" t="s">
        <v>355</v>
      </c>
    </row>
    <row r="14298" ht="16.5" customHeight="1">
      <c r="O14298" s="5" t="s">
        <v>355</v>
      </c>
      <c r="P14298" s="5" t="s">
        <v>355</v>
      </c>
      <c r="Q14298" s="5" t="s">
        <v>355</v>
      </c>
    </row>
    <row r="14299" ht="16.5" customHeight="1">
      <c r="O14299" s="5" t="s">
        <v>355</v>
      </c>
      <c r="P14299" s="5" t="s">
        <v>355</v>
      </c>
      <c r="Q14299" s="5" t="s">
        <v>355</v>
      </c>
    </row>
    <row r="14300" ht="16.5" customHeight="1">
      <c r="O14300" s="5" t="s">
        <v>355</v>
      </c>
      <c r="P14300" s="5" t="s">
        <v>355</v>
      </c>
      <c r="Q14300" s="5" t="s">
        <v>355</v>
      </c>
    </row>
    <row r="14301" ht="16.5" customHeight="1">
      <c r="O14301" s="5" t="s">
        <v>355</v>
      </c>
      <c r="P14301" s="5" t="s">
        <v>355</v>
      </c>
      <c r="Q14301" s="5" t="s">
        <v>355</v>
      </c>
    </row>
    <row r="14302" ht="16.5" customHeight="1">
      <c r="O14302" s="5" t="s">
        <v>355</v>
      </c>
      <c r="P14302" s="5" t="s">
        <v>355</v>
      </c>
      <c r="Q14302" s="5" t="s">
        <v>355</v>
      </c>
    </row>
    <row r="14303" ht="16.5" customHeight="1">
      <c r="O14303" s="5" t="s">
        <v>355</v>
      </c>
      <c r="P14303" s="5" t="s">
        <v>355</v>
      </c>
      <c r="Q14303" s="5" t="s">
        <v>355</v>
      </c>
    </row>
    <row r="14304" ht="16.5" customHeight="1">
      <c r="O14304" s="5" t="s">
        <v>355</v>
      </c>
      <c r="P14304" s="5" t="s">
        <v>355</v>
      </c>
      <c r="Q14304" s="5" t="s">
        <v>355</v>
      </c>
    </row>
    <row r="14305" ht="16.5" customHeight="1">
      <c r="O14305" s="5" t="s">
        <v>355</v>
      </c>
      <c r="P14305" s="5" t="s">
        <v>355</v>
      </c>
      <c r="Q14305" s="5" t="s">
        <v>355</v>
      </c>
    </row>
    <row r="14306" ht="16.5" customHeight="1">
      <c r="O14306" s="5" t="s">
        <v>355</v>
      </c>
      <c r="P14306" s="5" t="s">
        <v>355</v>
      </c>
      <c r="Q14306" s="5" t="s">
        <v>355</v>
      </c>
    </row>
    <row r="14307" ht="16.5" customHeight="1">
      <c r="O14307" s="5" t="s">
        <v>355</v>
      </c>
      <c r="P14307" s="5" t="s">
        <v>355</v>
      </c>
      <c r="Q14307" s="5" t="s">
        <v>355</v>
      </c>
    </row>
    <row r="14308" ht="16.5" customHeight="1">
      <c r="O14308" s="5" t="s">
        <v>355</v>
      </c>
      <c r="P14308" s="5" t="s">
        <v>355</v>
      </c>
      <c r="Q14308" s="5" t="s">
        <v>355</v>
      </c>
    </row>
    <row r="14309" ht="16.5" customHeight="1">
      <c r="O14309" s="5" t="s">
        <v>355</v>
      </c>
      <c r="P14309" s="5" t="s">
        <v>355</v>
      </c>
      <c r="Q14309" s="5" t="s">
        <v>355</v>
      </c>
    </row>
    <row r="14310" ht="16.5" customHeight="1">
      <c r="O14310" s="5" t="s">
        <v>355</v>
      </c>
      <c r="P14310" s="5" t="s">
        <v>355</v>
      </c>
      <c r="Q14310" s="5" t="s">
        <v>355</v>
      </c>
    </row>
    <row r="14311" ht="16.5" customHeight="1">
      <c r="O14311" s="5" t="s">
        <v>355</v>
      </c>
      <c r="P14311" s="5" t="s">
        <v>355</v>
      </c>
      <c r="Q14311" s="5" t="s">
        <v>355</v>
      </c>
    </row>
    <row r="14312" ht="16.5" customHeight="1">
      <c r="O14312" s="5" t="s">
        <v>355</v>
      </c>
      <c r="P14312" s="5" t="s">
        <v>355</v>
      </c>
      <c r="Q14312" s="5" t="s">
        <v>355</v>
      </c>
    </row>
    <row r="14313" ht="16.5" customHeight="1">
      <c r="O14313" s="5" t="s">
        <v>355</v>
      </c>
      <c r="P14313" s="5" t="s">
        <v>355</v>
      </c>
      <c r="Q14313" s="5" t="s">
        <v>355</v>
      </c>
    </row>
    <row r="14314" ht="16.5" customHeight="1">
      <c r="O14314" s="5" t="s">
        <v>355</v>
      </c>
      <c r="P14314" s="5" t="s">
        <v>355</v>
      </c>
      <c r="Q14314" s="5" t="s">
        <v>355</v>
      </c>
    </row>
    <row r="14315" ht="16.5" customHeight="1">
      <c r="O14315" s="5" t="s">
        <v>355</v>
      </c>
      <c r="P14315" s="5" t="s">
        <v>355</v>
      </c>
      <c r="Q14315" s="5" t="s">
        <v>355</v>
      </c>
    </row>
    <row r="14316" ht="16.5" customHeight="1">
      <c r="O14316" s="5" t="s">
        <v>355</v>
      </c>
      <c r="P14316" s="5" t="s">
        <v>355</v>
      </c>
      <c r="Q14316" s="5" t="s">
        <v>355</v>
      </c>
    </row>
    <row r="14317" ht="16.5" customHeight="1">
      <c r="O14317" s="5" t="s">
        <v>355</v>
      </c>
      <c r="P14317" s="5" t="s">
        <v>355</v>
      </c>
      <c r="Q14317" s="5" t="s">
        <v>355</v>
      </c>
    </row>
    <row r="14318" ht="16.5" customHeight="1">
      <c r="O14318" s="5" t="s">
        <v>355</v>
      </c>
      <c r="P14318" s="5" t="s">
        <v>355</v>
      </c>
      <c r="Q14318" s="5" t="s">
        <v>355</v>
      </c>
    </row>
    <row r="14319" ht="16.5" customHeight="1">
      <c r="O14319" s="5" t="s">
        <v>355</v>
      </c>
      <c r="P14319" s="5" t="s">
        <v>355</v>
      </c>
      <c r="Q14319" s="5" t="s">
        <v>355</v>
      </c>
    </row>
    <row r="14320" ht="16.5" customHeight="1">
      <c r="O14320" s="5" t="s">
        <v>355</v>
      </c>
      <c r="P14320" s="5" t="s">
        <v>355</v>
      </c>
      <c r="Q14320" s="5" t="s">
        <v>355</v>
      </c>
    </row>
    <row r="14321" ht="16.5" customHeight="1">
      <c r="O14321" s="5" t="s">
        <v>355</v>
      </c>
      <c r="P14321" s="5" t="s">
        <v>355</v>
      </c>
      <c r="Q14321" s="5" t="s">
        <v>355</v>
      </c>
    </row>
    <row r="14322" ht="16.5" customHeight="1">
      <c r="O14322" s="5" t="s">
        <v>355</v>
      </c>
      <c r="P14322" s="5" t="s">
        <v>355</v>
      </c>
      <c r="Q14322" s="5" t="s">
        <v>355</v>
      </c>
    </row>
    <row r="14323" ht="16.5" customHeight="1">
      <c r="O14323" s="5" t="s">
        <v>355</v>
      </c>
      <c r="P14323" s="5" t="s">
        <v>355</v>
      </c>
      <c r="Q14323" s="5" t="s">
        <v>355</v>
      </c>
    </row>
    <row r="14324" ht="16.5" customHeight="1">
      <c r="O14324" s="5" t="s">
        <v>355</v>
      </c>
      <c r="P14324" s="5" t="s">
        <v>355</v>
      </c>
      <c r="Q14324" s="5" t="s">
        <v>355</v>
      </c>
    </row>
    <row r="14325" ht="16.5" customHeight="1">
      <c r="O14325" s="5" t="s">
        <v>355</v>
      </c>
      <c r="P14325" s="5" t="s">
        <v>355</v>
      </c>
      <c r="Q14325" s="5" t="s">
        <v>355</v>
      </c>
    </row>
    <row r="14326" ht="16.5" customHeight="1">
      <c r="O14326" s="5" t="s">
        <v>355</v>
      </c>
      <c r="P14326" s="5" t="s">
        <v>355</v>
      </c>
      <c r="Q14326" s="5" t="s">
        <v>355</v>
      </c>
    </row>
    <row r="14327" ht="16.5" customHeight="1">
      <c r="O14327" s="5" t="s">
        <v>355</v>
      </c>
      <c r="P14327" s="5" t="s">
        <v>355</v>
      </c>
      <c r="Q14327" s="5" t="s">
        <v>355</v>
      </c>
    </row>
    <row r="14328" ht="16.5" customHeight="1">
      <c r="O14328" s="5" t="s">
        <v>355</v>
      </c>
      <c r="P14328" s="5" t="s">
        <v>355</v>
      </c>
      <c r="Q14328" s="5" t="s">
        <v>355</v>
      </c>
    </row>
    <row r="14329" ht="16.5" customHeight="1">
      <c r="O14329" s="5" t="s">
        <v>355</v>
      </c>
      <c r="P14329" s="5" t="s">
        <v>355</v>
      </c>
      <c r="Q14329" s="5" t="s">
        <v>355</v>
      </c>
    </row>
    <row r="14330" ht="16.5" customHeight="1">
      <c r="O14330" s="5" t="s">
        <v>355</v>
      </c>
      <c r="P14330" s="5" t="s">
        <v>355</v>
      </c>
      <c r="Q14330" s="5" t="s">
        <v>355</v>
      </c>
    </row>
    <row r="14331" ht="16.5" customHeight="1">
      <c r="O14331" s="5" t="s">
        <v>355</v>
      </c>
      <c r="P14331" s="5" t="s">
        <v>355</v>
      </c>
      <c r="Q14331" s="5" t="s">
        <v>355</v>
      </c>
    </row>
    <row r="14332" ht="16.5" customHeight="1">
      <c r="O14332" s="5" t="s">
        <v>355</v>
      </c>
      <c r="P14332" s="5" t="s">
        <v>355</v>
      </c>
      <c r="Q14332" s="5" t="s">
        <v>355</v>
      </c>
    </row>
    <row r="14333" ht="16.5" customHeight="1">
      <c r="O14333" s="5" t="s">
        <v>355</v>
      </c>
      <c r="P14333" s="5" t="s">
        <v>355</v>
      </c>
      <c r="Q14333" s="5" t="s">
        <v>355</v>
      </c>
    </row>
    <row r="14334" ht="16.5" customHeight="1">
      <c r="O14334" s="5" t="s">
        <v>355</v>
      </c>
      <c r="P14334" s="5" t="s">
        <v>355</v>
      </c>
      <c r="Q14334" s="5" t="s">
        <v>355</v>
      </c>
    </row>
    <row r="14335" ht="16.5" customHeight="1">
      <c r="O14335" s="5" t="s">
        <v>355</v>
      </c>
      <c r="P14335" s="5" t="s">
        <v>355</v>
      </c>
      <c r="Q14335" s="5" t="s">
        <v>355</v>
      </c>
    </row>
    <row r="14336" ht="16.5" customHeight="1">
      <c r="O14336" s="5" t="s">
        <v>355</v>
      </c>
      <c r="P14336" s="5" t="s">
        <v>355</v>
      </c>
      <c r="Q14336" s="5" t="s">
        <v>355</v>
      </c>
    </row>
    <row r="14337" ht="16.5" customHeight="1">
      <c r="O14337" s="5" t="s">
        <v>355</v>
      </c>
      <c r="P14337" s="5" t="s">
        <v>355</v>
      </c>
      <c r="Q14337" s="5" t="s">
        <v>355</v>
      </c>
    </row>
    <row r="14338" ht="16.5" customHeight="1">
      <c r="O14338" s="5" t="s">
        <v>355</v>
      </c>
      <c r="P14338" s="5" t="s">
        <v>355</v>
      </c>
      <c r="Q14338" s="5" t="s">
        <v>355</v>
      </c>
    </row>
    <row r="14339" ht="16.5" customHeight="1">
      <c r="O14339" s="5" t="s">
        <v>355</v>
      </c>
      <c r="P14339" s="5" t="s">
        <v>355</v>
      </c>
      <c r="Q14339" s="5" t="s">
        <v>355</v>
      </c>
    </row>
    <row r="14340" ht="16.5" customHeight="1">
      <c r="O14340" s="5" t="s">
        <v>355</v>
      </c>
      <c r="P14340" s="5" t="s">
        <v>355</v>
      </c>
      <c r="Q14340" s="5" t="s">
        <v>355</v>
      </c>
    </row>
    <row r="14341" ht="16.5" customHeight="1">
      <c r="O14341" s="5" t="s">
        <v>355</v>
      </c>
      <c r="P14341" s="5" t="s">
        <v>355</v>
      </c>
      <c r="Q14341" s="5" t="s">
        <v>355</v>
      </c>
    </row>
    <row r="14342" ht="16.5" customHeight="1">
      <c r="O14342" s="5" t="s">
        <v>355</v>
      </c>
      <c r="P14342" s="5" t="s">
        <v>355</v>
      </c>
      <c r="Q14342" s="5" t="s">
        <v>355</v>
      </c>
    </row>
    <row r="14343" ht="16.5" customHeight="1">
      <c r="O14343" s="5" t="s">
        <v>355</v>
      </c>
      <c r="P14343" s="5" t="s">
        <v>355</v>
      </c>
      <c r="Q14343" s="5" t="s">
        <v>355</v>
      </c>
    </row>
    <row r="14344" ht="16.5" customHeight="1">
      <c r="O14344" s="5" t="s">
        <v>355</v>
      </c>
      <c r="P14344" s="5" t="s">
        <v>355</v>
      </c>
      <c r="Q14344" s="5" t="s">
        <v>355</v>
      </c>
    </row>
    <row r="14345" ht="16.5" customHeight="1">
      <c r="O14345" s="5" t="s">
        <v>355</v>
      </c>
      <c r="P14345" s="5" t="s">
        <v>355</v>
      </c>
      <c r="Q14345" s="5" t="s">
        <v>355</v>
      </c>
    </row>
    <row r="14346" ht="16.5" customHeight="1">
      <c r="O14346" s="5" t="s">
        <v>355</v>
      </c>
      <c r="P14346" s="5" t="s">
        <v>355</v>
      </c>
      <c r="Q14346" s="5" t="s">
        <v>355</v>
      </c>
    </row>
    <row r="14347" ht="16.5" customHeight="1">
      <c r="O14347" s="5" t="s">
        <v>355</v>
      </c>
      <c r="P14347" s="5" t="s">
        <v>355</v>
      </c>
      <c r="Q14347" s="5" t="s">
        <v>355</v>
      </c>
    </row>
    <row r="14348" ht="16.5" customHeight="1">
      <c r="O14348" s="5" t="s">
        <v>355</v>
      </c>
      <c r="P14348" s="5" t="s">
        <v>355</v>
      </c>
      <c r="Q14348" s="5" t="s">
        <v>355</v>
      </c>
    </row>
    <row r="14349" ht="16.5" customHeight="1">
      <c r="O14349" s="5" t="s">
        <v>355</v>
      </c>
      <c r="P14349" s="5" t="s">
        <v>355</v>
      </c>
      <c r="Q14349" s="5" t="s">
        <v>355</v>
      </c>
    </row>
    <row r="14350" ht="16.5" customHeight="1">
      <c r="O14350" s="5" t="s">
        <v>355</v>
      </c>
      <c r="P14350" s="5" t="s">
        <v>355</v>
      </c>
      <c r="Q14350" s="5" t="s">
        <v>355</v>
      </c>
    </row>
    <row r="14351" ht="16.5" customHeight="1">
      <c r="O14351" s="5" t="s">
        <v>355</v>
      </c>
      <c r="P14351" s="5" t="s">
        <v>355</v>
      </c>
      <c r="Q14351" s="5" t="s">
        <v>355</v>
      </c>
    </row>
    <row r="14352" ht="16.5" customHeight="1">
      <c r="O14352" s="5" t="s">
        <v>355</v>
      </c>
      <c r="P14352" s="5" t="s">
        <v>355</v>
      </c>
      <c r="Q14352" s="5" t="s">
        <v>355</v>
      </c>
    </row>
    <row r="14353" ht="16.5" customHeight="1">
      <c r="O14353" s="5" t="s">
        <v>355</v>
      </c>
      <c r="P14353" s="5" t="s">
        <v>355</v>
      </c>
      <c r="Q14353" s="5" t="s">
        <v>355</v>
      </c>
    </row>
    <row r="14354" ht="16.5" customHeight="1">
      <c r="O14354" s="5" t="s">
        <v>355</v>
      </c>
      <c r="P14354" s="5" t="s">
        <v>355</v>
      </c>
      <c r="Q14354" s="5" t="s">
        <v>355</v>
      </c>
    </row>
    <row r="14355" ht="16.5" customHeight="1">
      <c r="O14355" s="5" t="s">
        <v>355</v>
      </c>
      <c r="P14355" s="5" t="s">
        <v>355</v>
      </c>
      <c r="Q14355" s="5" t="s">
        <v>355</v>
      </c>
    </row>
    <row r="14356" ht="16.5" customHeight="1">
      <c r="O14356" s="5" t="s">
        <v>355</v>
      </c>
      <c r="P14356" s="5" t="s">
        <v>355</v>
      </c>
      <c r="Q14356" s="5" t="s">
        <v>355</v>
      </c>
    </row>
    <row r="14357" ht="16.5" customHeight="1">
      <c r="O14357" s="5" t="s">
        <v>355</v>
      </c>
      <c r="P14357" s="5" t="s">
        <v>355</v>
      </c>
      <c r="Q14357" s="5" t="s">
        <v>355</v>
      </c>
    </row>
    <row r="14358" ht="16.5" customHeight="1">
      <c r="O14358" s="5" t="s">
        <v>355</v>
      </c>
      <c r="P14358" s="5" t="s">
        <v>355</v>
      </c>
      <c r="Q14358" s="5" t="s">
        <v>355</v>
      </c>
    </row>
    <row r="14359" ht="16.5" customHeight="1">
      <c r="O14359" s="5" t="s">
        <v>355</v>
      </c>
      <c r="P14359" s="5" t="s">
        <v>355</v>
      </c>
      <c r="Q14359" s="5" t="s">
        <v>355</v>
      </c>
    </row>
    <row r="14360" ht="16.5" customHeight="1">
      <c r="O14360" s="5" t="s">
        <v>355</v>
      </c>
      <c r="P14360" s="5" t="s">
        <v>355</v>
      </c>
      <c r="Q14360" s="5" t="s">
        <v>355</v>
      </c>
    </row>
    <row r="14361" ht="16.5" customHeight="1">
      <c r="O14361" s="5" t="s">
        <v>355</v>
      </c>
      <c r="P14361" s="5" t="s">
        <v>355</v>
      </c>
      <c r="Q14361" s="5" t="s">
        <v>355</v>
      </c>
    </row>
    <row r="14362" ht="16.5" customHeight="1">
      <c r="O14362" s="5" t="s">
        <v>355</v>
      </c>
      <c r="P14362" s="5" t="s">
        <v>355</v>
      </c>
      <c r="Q14362" s="5" t="s">
        <v>355</v>
      </c>
    </row>
    <row r="14363" ht="16.5" customHeight="1">
      <c r="O14363" s="5" t="s">
        <v>355</v>
      </c>
      <c r="P14363" s="5" t="s">
        <v>355</v>
      </c>
      <c r="Q14363" s="5" t="s">
        <v>355</v>
      </c>
    </row>
    <row r="14364" ht="16.5" customHeight="1">
      <c r="O14364" s="5" t="s">
        <v>355</v>
      </c>
      <c r="P14364" s="5" t="s">
        <v>355</v>
      </c>
      <c r="Q14364" s="5" t="s">
        <v>355</v>
      </c>
    </row>
    <row r="14365" ht="16.5" customHeight="1">
      <c r="O14365" s="5" t="s">
        <v>355</v>
      </c>
      <c r="P14365" s="5" t="s">
        <v>355</v>
      </c>
      <c r="Q14365" s="5" t="s">
        <v>355</v>
      </c>
    </row>
    <row r="14366" ht="16.5" customHeight="1">
      <c r="O14366" s="5" t="s">
        <v>355</v>
      </c>
      <c r="P14366" s="5" t="s">
        <v>355</v>
      </c>
      <c r="Q14366" s="5" t="s">
        <v>355</v>
      </c>
    </row>
    <row r="14367" ht="16.5" customHeight="1">
      <c r="O14367" s="5" t="s">
        <v>355</v>
      </c>
      <c r="P14367" s="5" t="s">
        <v>355</v>
      </c>
      <c r="Q14367" s="5" t="s">
        <v>355</v>
      </c>
    </row>
    <row r="14368" ht="16.5" customHeight="1">
      <c r="O14368" s="5" t="s">
        <v>355</v>
      </c>
      <c r="P14368" s="5" t="s">
        <v>355</v>
      </c>
      <c r="Q14368" s="5" t="s">
        <v>355</v>
      </c>
    </row>
    <row r="14369" ht="16.5" customHeight="1">
      <c r="O14369" s="5" t="s">
        <v>355</v>
      </c>
      <c r="P14369" s="5" t="s">
        <v>355</v>
      </c>
      <c r="Q14369" s="5" t="s">
        <v>355</v>
      </c>
    </row>
    <row r="14370" ht="16.5" customHeight="1">
      <c r="O14370" s="5" t="s">
        <v>355</v>
      </c>
      <c r="P14370" s="5" t="s">
        <v>355</v>
      </c>
      <c r="Q14370" s="5" t="s">
        <v>355</v>
      </c>
    </row>
    <row r="14371" ht="16.5" customHeight="1">
      <c r="O14371" s="5" t="s">
        <v>355</v>
      </c>
      <c r="P14371" s="5" t="s">
        <v>355</v>
      </c>
      <c r="Q14371" s="5" t="s">
        <v>355</v>
      </c>
    </row>
    <row r="14372" ht="16.5" customHeight="1">
      <c r="O14372" s="5" t="s">
        <v>355</v>
      </c>
      <c r="P14372" s="5" t="s">
        <v>355</v>
      </c>
      <c r="Q14372" s="5" t="s">
        <v>355</v>
      </c>
    </row>
    <row r="14373" ht="16.5" customHeight="1">
      <c r="O14373" s="5" t="s">
        <v>355</v>
      </c>
      <c r="P14373" s="5" t="s">
        <v>355</v>
      </c>
      <c r="Q14373" s="5" t="s">
        <v>355</v>
      </c>
    </row>
    <row r="14374" ht="16.5" customHeight="1">
      <c r="O14374" s="5" t="s">
        <v>355</v>
      </c>
      <c r="P14374" s="5" t="s">
        <v>355</v>
      </c>
      <c r="Q14374" s="5" t="s">
        <v>355</v>
      </c>
    </row>
    <row r="14375" ht="16.5" customHeight="1">
      <c r="O14375" s="5" t="s">
        <v>355</v>
      </c>
      <c r="P14375" s="5" t="s">
        <v>355</v>
      </c>
      <c r="Q14375" s="5" t="s">
        <v>355</v>
      </c>
    </row>
    <row r="14376" ht="16.5" customHeight="1">
      <c r="O14376" s="5" t="s">
        <v>355</v>
      </c>
      <c r="P14376" s="5" t="s">
        <v>355</v>
      </c>
      <c r="Q14376" s="5" t="s">
        <v>355</v>
      </c>
    </row>
    <row r="14377" ht="16.5" customHeight="1">
      <c r="O14377" s="5" t="s">
        <v>355</v>
      </c>
      <c r="P14377" s="5" t="s">
        <v>355</v>
      </c>
      <c r="Q14377" s="5" t="s">
        <v>355</v>
      </c>
    </row>
    <row r="14378" ht="16.5" customHeight="1">
      <c r="O14378" s="5" t="s">
        <v>355</v>
      </c>
      <c r="P14378" s="5" t="s">
        <v>355</v>
      </c>
      <c r="Q14378" s="5" t="s">
        <v>355</v>
      </c>
    </row>
    <row r="14379" ht="16.5" customHeight="1">
      <c r="O14379" s="5" t="s">
        <v>355</v>
      </c>
      <c r="P14379" s="5" t="s">
        <v>355</v>
      </c>
      <c r="Q14379" s="5" t="s">
        <v>355</v>
      </c>
    </row>
    <row r="14380" ht="16.5" customHeight="1">
      <c r="O14380" s="5" t="s">
        <v>355</v>
      </c>
      <c r="P14380" s="5" t="s">
        <v>355</v>
      </c>
      <c r="Q14380" s="5" t="s">
        <v>355</v>
      </c>
    </row>
    <row r="14381" ht="16.5" customHeight="1">
      <c r="O14381" s="5" t="s">
        <v>355</v>
      </c>
      <c r="P14381" s="5" t="s">
        <v>355</v>
      </c>
      <c r="Q14381" s="5" t="s">
        <v>355</v>
      </c>
    </row>
    <row r="14382" ht="16.5" customHeight="1">
      <c r="O14382" s="5" t="s">
        <v>355</v>
      </c>
      <c r="P14382" s="5" t="s">
        <v>355</v>
      </c>
      <c r="Q14382" s="5" t="s">
        <v>355</v>
      </c>
    </row>
    <row r="14383" ht="16.5" customHeight="1">
      <c r="O14383" s="5" t="s">
        <v>355</v>
      </c>
      <c r="P14383" s="5" t="s">
        <v>355</v>
      </c>
      <c r="Q14383" s="5" t="s">
        <v>355</v>
      </c>
    </row>
    <row r="14384" ht="16.5" customHeight="1">
      <c r="O14384" s="5" t="s">
        <v>355</v>
      </c>
      <c r="P14384" s="5" t="s">
        <v>355</v>
      </c>
      <c r="Q14384" s="5" t="s">
        <v>355</v>
      </c>
    </row>
    <row r="14385" ht="16.5" customHeight="1">
      <c r="O14385" s="5" t="s">
        <v>355</v>
      </c>
      <c r="P14385" s="5" t="s">
        <v>355</v>
      </c>
      <c r="Q14385" s="5" t="s">
        <v>355</v>
      </c>
    </row>
    <row r="14386" ht="16.5" customHeight="1">
      <c r="O14386" s="5" t="s">
        <v>355</v>
      </c>
      <c r="P14386" s="5" t="s">
        <v>355</v>
      </c>
      <c r="Q14386" s="5" t="s">
        <v>355</v>
      </c>
    </row>
    <row r="14387" ht="16.5" customHeight="1">
      <c r="O14387" s="5" t="s">
        <v>355</v>
      </c>
      <c r="P14387" s="5" t="s">
        <v>355</v>
      </c>
      <c r="Q14387" s="5" t="s">
        <v>355</v>
      </c>
    </row>
    <row r="14388" ht="16.5" customHeight="1">
      <c r="O14388" s="5" t="s">
        <v>355</v>
      </c>
      <c r="P14388" s="5" t="s">
        <v>355</v>
      </c>
      <c r="Q14388" s="5" t="s">
        <v>355</v>
      </c>
    </row>
    <row r="14389" ht="16.5" customHeight="1">
      <c r="O14389" s="5" t="s">
        <v>355</v>
      </c>
      <c r="P14389" s="5" t="s">
        <v>355</v>
      </c>
      <c r="Q14389" s="5" t="s">
        <v>355</v>
      </c>
    </row>
    <row r="14390" ht="16.5" customHeight="1">
      <c r="O14390" s="5" t="s">
        <v>355</v>
      </c>
      <c r="P14390" s="5" t="s">
        <v>355</v>
      </c>
      <c r="Q14390" s="5" t="s">
        <v>355</v>
      </c>
    </row>
    <row r="14391" ht="16.5" customHeight="1">
      <c r="O14391" s="5" t="s">
        <v>355</v>
      </c>
      <c r="P14391" s="5" t="s">
        <v>355</v>
      </c>
      <c r="Q14391" s="5" t="s">
        <v>355</v>
      </c>
    </row>
    <row r="14392" ht="16.5" customHeight="1">
      <c r="O14392" s="5" t="s">
        <v>355</v>
      </c>
      <c r="P14392" s="5" t="s">
        <v>355</v>
      </c>
      <c r="Q14392" s="5" t="s">
        <v>355</v>
      </c>
    </row>
    <row r="14393" ht="16.5" customHeight="1">
      <c r="O14393" s="5" t="s">
        <v>355</v>
      </c>
      <c r="P14393" s="5" t="s">
        <v>355</v>
      </c>
      <c r="Q14393" s="5" t="s">
        <v>355</v>
      </c>
    </row>
    <row r="14394" ht="16.5" customHeight="1">
      <c r="O14394" s="5" t="s">
        <v>355</v>
      </c>
      <c r="P14394" s="5" t="s">
        <v>355</v>
      </c>
      <c r="Q14394" s="5" t="s">
        <v>355</v>
      </c>
    </row>
    <row r="14395" ht="16.5" customHeight="1">
      <c r="O14395" s="5" t="s">
        <v>355</v>
      </c>
      <c r="P14395" s="5" t="s">
        <v>355</v>
      </c>
      <c r="Q14395" s="5" t="s">
        <v>355</v>
      </c>
    </row>
    <row r="14396" ht="16.5" customHeight="1">
      <c r="O14396" s="5" t="s">
        <v>355</v>
      </c>
      <c r="P14396" s="5" t="s">
        <v>355</v>
      </c>
      <c r="Q14396" s="5" t="s">
        <v>355</v>
      </c>
    </row>
    <row r="14397" ht="16.5" customHeight="1">
      <c r="O14397" s="5" t="s">
        <v>355</v>
      </c>
      <c r="P14397" s="5" t="s">
        <v>355</v>
      </c>
      <c r="Q14397" s="5" t="s">
        <v>355</v>
      </c>
    </row>
    <row r="14398" ht="16.5" customHeight="1">
      <c r="O14398" s="5" t="s">
        <v>355</v>
      </c>
      <c r="P14398" s="5" t="s">
        <v>355</v>
      </c>
      <c r="Q14398" s="5" t="s">
        <v>355</v>
      </c>
    </row>
    <row r="14399" ht="16.5" customHeight="1">
      <c r="O14399" s="5" t="s">
        <v>355</v>
      </c>
      <c r="P14399" s="5" t="s">
        <v>355</v>
      </c>
      <c r="Q14399" s="5" t="s">
        <v>355</v>
      </c>
    </row>
    <row r="14400" ht="16.5" customHeight="1">
      <c r="O14400" s="5" t="s">
        <v>355</v>
      </c>
      <c r="P14400" s="5" t="s">
        <v>355</v>
      </c>
      <c r="Q14400" s="5" t="s">
        <v>355</v>
      </c>
    </row>
    <row r="14401" ht="16.5" customHeight="1">
      <c r="O14401" s="5" t="s">
        <v>355</v>
      </c>
      <c r="P14401" s="5" t="s">
        <v>355</v>
      </c>
      <c r="Q14401" s="5" t="s">
        <v>355</v>
      </c>
    </row>
    <row r="14402" ht="16.5" customHeight="1">
      <c r="O14402" s="5" t="s">
        <v>355</v>
      </c>
      <c r="P14402" s="5" t="s">
        <v>355</v>
      </c>
      <c r="Q14402" s="5" t="s">
        <v>355</v>
      </c>
    </row>
    <row r="14403" ht="16.5" customHeight="1">
      <c r="O14403" s="5" t="s">
        <v>355</v>
      </c>
      <c r="P14403" s="5" t="s">
        <v>355</v>
      </c>
      <c r="Q14403" s="5" t="s">
        <v>355</v>
      </c>
    </row>
    <row r="14404" ht="16.5" customHeight="1">
      <c r="O14404" s="5" t="s">
        <v>355</v>
      </c>
      <c r="P14404" s="5" t="s">
        <v>355</v>
      </c>
      <c r="Q14404" s="5" t="s">
        <v>355</v>
      </c>
    </row>
    <row r="14405" ht="16.5" customHeight="1">
      <c r="O14405" s="5" t="s">
        <v>355</v>
      </c>
      <c r="P14405" s="5" t="s">
        <v>355</v>
      </c>
      <c r="Q14405" s="5" t="s">
        <v>355</v>
      </c>
    </row>
    <row r="14406" ht="16.5" customHeight="1">
      <c r="O14406" s="5" t="s">
        <v>355</v>
      </c>
      <c r="P14406" s="5" t="s">
        <v>355</v>
      </c>
      <c r="Q14406" s="5" t="s">
        <v>355</v>
      </c>
    </row>
    <row r="14407" ht="16.5" customHeight="1">
      <c r="O14407" s="5" t="s">
        <v>355</v>
      </c>
      <c r="P14407" s="5" t="s">
        <v>355</v>
      </c>
      <c r="Q14407" s="5" t="s">
        <v>355</v>
      </c>
    </row>
    <row r="14408" ht="16.5" customHeight="1">
      <c r="O14408" s="5" t="s">
        <v>355</v>
      </c>
      <c r="P14408" s="5" t="s">
        <v>355</v>
      </c>
      <c r="Q14408" s="5" t="s">
        <v>355</v>
      </c>
    </row>
    <row r="14409" ht="16.5" customHeight="1">
      <c r="O14409" s="5" t="s">
        <v>355</v>
      </c>
      <c r="P14409" s="5" t="s">
        <v>355</v>
      </c>
      <c r="Q14409" s="5" t="s">
        <v>355</v>
      </c>
    </row>
    <row r="14410" ht="16.5" customHeight="1">
      <c r="O14410" s="5" t="s">
        <v>355</v>
      </c>
      <c r="P14410" s="5" t="s">
        <v>355</v>
      </c>
      <c r="Q14410" s="5" t="s">
        <v>355</v>
      </c>
    </row>
    <row r="14411" ht="16.5" customHeight="1">
      <c r="O14411" s="5" t="s">
        <v>355</v>
      </c>
      <c r="P14411" s="5" t="s">
        <v>355</v>
      </c>
      <c r="Q14411" s="5" t="s">
        <v>355</v>
      </c>
    </row>
    <row r="14412" ht="16.5" customHeight="1">
      <c r="O14412" s="5" t="s">
        <v>355</v>
      </c>
      <c r="P14412" s="5" t="s">
        <v>355</v>
      </c>
      <c r="Q14412" s="5" t="s">
        <v>355</v>
      </c>
    </row>
    <row r="14413" ht="16.5" customHeight="1">
      <c r="O14413" s="5" t="s">
        <v>355</v>
      </c>
      <c r="P14413" s="5" t="s">
        <v>355</v>
      </c>
      <c r="Q14413" s="5" t="s">
        <v>355</v>
      </c>
    </row>
    <row r="14414" ht="16.5" customHeight="1">
      <c r="O14414" s="5" t="s">
        <v>355</v>
      </c>
      <c r="P14414" s="5" t="s">
        <v>355</v>
      </c>
      <c r="Q14414" s="5" t="s">
        <v>355</v>
      </c>
    </row>
    <row r="14415" ht="16.5" customHeight="1">
      <c r="O14415" s="5" t="s">
        <v>355</v>
      </c>
      <c r="P14415" s="5" t="s">
        <v>355</v>
      </c>
      <c r="Q14415" s="5" t="s">
        <v>355</v>
      </c>
    </row>
    <row r="14416" ht="16.5" customHeight="1">
      <c r="O14416" s="5" t="s">
        <v>355</v>
      </c>
      <c r="P14416" s="5" t="s">
        <v>355</v>
      </c>
      <c r="Q14416" s="5" t="s">
        <v>355</v>
      </c>
    </row>
    <row r="14417" ht="16.5" customHeight="1">
      <c r="O14417" s="5" t="s">
        <v>355</v>
      </c>
      <c r="P14417" s="5" t="s">
        <v>355</v>
      </c>
      <c r="Q14417" s="5" t="s">
        <v>355</v>
      </c>
    </row>
    <row r="14418" ht="16.5" customHeight="1">
      <c r="O14418" s="5" t="s">
        <v>355</v>
      </c>
      <c r="P14418" s="5" t="s">
        <v>355</v>
      </c>
      <c r="Q14418" s="5" t="s">
        <v>355</v>
      </c>
    </row>
    <row r="14419" ht="16.5" customHeight="1">
      <c r="O14419" s="5" t="s">
        <v>355</v>
      </c>
      <c r="P14419" s="5" t="s">
        <v>355</v>
      </c>
      <c r="Q14419" s="5" t="s">
        <v>355</v>
      </c>
    </row>
    <row r="14420" ht="16.5" customHeight="1">
      <c r="O14420" s="5" t="s">
        <v>355</v>
      </c>
      <c r="P14420" s="5" t="s">
        <v>355</v>
      </c>
      <c r="Q14420" s="5" t="s">
        <v>355</v>
      </c>
    </row>
    <row r="14421" ht="16.5" customHeight="1">
      <c r="O14421" s="5" t="s">
        <v>355</v>
      </c>
      <c r="P14421" s="5" t="s">
        <v>355</v>
      </c>
      <c r="Q14421" s="5" t="s">
        <v>355</v>
      </c>
    </row>
    <row r="14422" ht="16.5" customHeight="1">
      <c r="O14422" s="5" t="s">
        <v>355</v>
      </c>
      <c r="P14422" s="5" t="s">
        <v>355</v>
      </c>
      <c r="Q14422" s="5" t="s">
        <v>355</v>
      </c>
    </row>
    <row r="14423" ht="16.5" customHeight="1">
      <c r="O14423" s="5" t="s">
        <v>355</v>
      </c>
      <c r="P14423" s="5" t="s">
        <v>355</v>
      </c>
      <c r="Q14423" s="5" t="s">
        <v>355</v>
      </c>
    </row>
    <row r="14424" ht="16.5" customHeight="1">
      <c r="O14424" s="5" t="s">
        <v>355</v>
      </c>
      <c r="P14424" s="5" t="s">
        <v>355</v>
      </c>
      <c r="Q14424" s="5" t="s">
        <v>355</v>
      </c>
    </row>
    <row r="14425" ht="16.5" customHeight="1">
      <c r="O14425" s="5" t="s">
        <v>355</v>
      </c>
      <c r="P14425" s="5" t="s">
        <v>355</v>
      </c>
      <c r="Q14425" s="5" t="s">
        <v>355</v>
      </c>
    </row>
    <row r="14426" ht="16.5" customHeight="1">
      <c r="O14426" s="5" t="s">
        <v>355</v>
      </c>
      <c r="P14426" s="5" t="s">
        <v>355</v>
      </c>
      <c r="Q14426" s="5" t="s">
        <v>355</v>
      </c>
    </row>
    <row r="14427" ht="16.5" customHeight="1">
      <c r="O14427" s="5" t="s">
        <v>355</v>
      </c>
      <c r="P14427" s="5" t="s">
        <v>355</v>
      </c>
      <c r="Q14427" s="5" t="s">
        <v>355</v>
      </c>
    </row>
    <row r="14428" ht="16.5" customHeight="1">
      <c r="O14428" s="5" t="s">
        <v>355</v>
      </c>
      <c r="P14428" s="5" t="s">
        <v>355</v>
      </c>
      <c r="Q14428" s="5" t="s">
        <v>355</v>
      </c>
    </row>
    <row r="14429" ht="16.5" customHeight="1">
      <c r="O14429" s="5" t="s">
        <v>355</v>
      </c>
      <c r="P14429" s="5" t="s">
        <v>355</v>
      </c>
      <c r="Q14429" s="5" t="s">
        <v>355</v>
      </c>
    </row>
    <row r="14430" ht="16.5" customHeight="1">
      <c r="O14430" s="5" t="s">
        <v>355</v>
      </c>
      <c r="P14430" s="5" t="s">
        <v>355</v>
      </c>
      <c r="Q14430" s="5" t="s">
        <v>355</v>
      </c>
    </row>
    <row r="14431" ht="16.5" customHeight="1">
      <c r="O14431" s="5" t="s">
        <v>355</v>
      </c>
      <c r="P14431" s="5" t="s">
        <v>355</v>
      </c>
      <c r="Q14431" s="5" t="s">
        <v>355</v>
      </c>
    </row>
    <row r="14432" ht="16.5" customHeight="1">
      <c r="O14432" s="5" t="s">
        <v>355</v>
      </c>
      <c r="P14432" s="5" t="s">
        <v>355</v>
      </c>
      <c r="Q14432" s="5" t="s">
        <v>355</v>
      </c>
    </row>
    <row r="14433" ht="16.5" customHeight="1">
      <c r="O14433" s="5" t="s">
        <v>355</v>
      </c>
      <c r="P14433" s="5" t="s">
        <v>355</v>
      </c>
      <c r="Q14433" s="5" t="s">
        <v>355</v>
      </c>
    </row>
    <row r="14434" ht="16.5" customHeight="1">
      <c r="O14434" s="5" t="s">
        <v>355</v>
      </c>
      <c r="P14434" s="5" t="s">
        <v>355</v>
      </c>
      <c r="Q14434" s="5" t="s">
        <v>355</v>
      </c>
    </row>
    <row r="14435" ht="16.5" customHeight="1">
      <c r="O14435" s="5" t="s">
        <v>355</v>
      </c>
      <c r="P14435" s="5" t="s">
        <v>355</v>
      </c>
      <c r="Q14435" s="5" t="s">
        <v>355</v>
      </c>
    </row>
    <row r="14436" ht="16.5" customHeight="1">
      <c r="O14436" s="5" t="s">
        <v>355</v>
      </c>
      <c r="P14436" s="5" t="s">
        <v>355</v>
      </c>
      <c r="Q14436" s="5" t="s">
        <v>355</v>
      </c>
    </row>
    <row r="14437" ht="16.5" customHeight="1">
      <c r="O14437" s="5" t="s">
        <v>355</v>
      </c>
      <c r="P14437" s="5" t="s">
        <v>355</v>
      </c>
      <c r="Q14437" s="5" t="s">
        <v>355</v>
      </c>
    </row>
    <row r="14438" ht="16.5" customHeight="1">
      <c r="O14438" s="5" t="s">
        <v>355</v>
      </c>
      <c r="P14438" s="5" t="s">
        <v>355</v>
      </c>
      <c r="Q14438" s="5" t="s">
        <v>355</v>
      </c>
    </row>
    <row r="14439" ht="16.5" customHeight="1">
      <c r="O14439" s="5" t="s">
        <v>355</v>
      </c>
      <c r="P14439" s="5" t="s">
        <v>355</v>
      </c>
      <c r="Q14439" s="5" t="s">
        <v>355</v>
      </c>
    </row>
    <row r="14440" ht="16.5" customHeight="1">
      <c r="O14440" s="5" t="s">
        <v>355</v>
      </c>
      <c r="P14440" s="5" t="s">
        <v>355</v>
      </c>
      <c r="Q14440" s="5" t="s">
        <v>355</v>
      </c>
    </row>
    <row r="14441" ht="16.5" customHeight="1">
      <c r="O14441" s="5" t="s">
        <v>355</v>
      </c>
      <c r="P14441" s="5" t="s">
        <v>355</v>
      </c>
      <c r="Q14441" s="5" t="s">
        <v>355</v>
      </c>
    </row>
    <row r="14442" ht="16.5" customHeight="1">
      <c r="O14442" s="5" t="s">
        <v>355</v>
      </c>
      <c r="P14442" s="5" t="s">
        <v>355</v>
      </c>
      <c r="Q14442" s="5" t="s">
        <v>355</v>
      </c>
    </row>
    <row r="14443" ht="16.5" customHeight="1">
      <c r="O14443" s="5" t="s">
        <v>355</v>
      </c>
      <c r="P14443" s="5" t="s">
        <v>355</v>
      </c>
      <c r="Q14443" s="5" t="s">
        <v>355</v>
      </c>
    </row>
    <row r="14444" ht="16.5" customHeight="1">
      <c r="O14444" s="5" t="s">
        <v>355</v>
      </c>
      <c r="P14444" s="5" t="s">
        <v>355</v>
      </c>
      <c r="Q14444" s="5" t="s">
        <v>355</v>
      </c>
    </row>
    <row r="14445" ht="16.5" customHeight="1">
      <c r="O14445" s="5" t="s">
        <v>355</v>
      </c>
      <c r="P14445" s="5" t="s">
        <v>355</v>
      </c>
      <c r="Q14445" s="5" t="s">
        <v>355</v>
      </c>
    </row>
    <row r="14446" ht="16.5" customHeight="1">
      <c r="O14446" s="5" t="s">
        <v>355</v>
      </c>
      <c r="P14446" s="5" t="s">
        <v>355</v>
      </c>
      <c r="Q14446" s="5" t="s">
        <v>355</v>
      </c>
    </row>
    <row r="14447" ht="16.5" customHeight="1">
      <c r="O14447" s="5" t="s">
        <v>355</v>
      </c>
      <c r="P14447" s="5" t="s">
        <v>355</v>
      </c>
      <c r="Q14447" s="5" t="s">
        <v>355</v>
      </c>
    </row>
    <row r="14448" ht="16.5" customHeight="1">
      <c r="O14448" s="5" t="s">
        <v>355</v>
      </c>
      <c r="P14448" s="5" t="s">
        <v>355</v>
      </c>
      <c r="Q14448" s="5" t="s">
        <v>355</v>
      </c>
    </row>
    <row r="14449" ht="16.5" customHeight="1">
      <c r="O14449" s="5" t="s">
        <v>355</v>
      </c>
      <c r="P14449" s="5" t="s">
        <v>355</v>
      </c>
      <c r="Q14449" s="5" t="s">
        <v>355</v>
      </c>
    </row>
    <row r="14450" ht="16.5" customHeight="1">
      <c r="O14450" s="5" t="s">
        <v>355</v>
      </c>
      <c r="P14450" s="5" t="s">
        <v>355</v>
      </c>
      <c r="Q14450" s="5" t="s">
        <v>355</v>
      </c>
    </row>
    <row r="14451" ht="16.5" customHeight="1">
      <c r="O14451" s="5" t="s">
        <v>355</v>
      </c>
      <c r="P14451" s="5" t="s">
        <v>355</v>
      </c>
      <c r="Q14451" s="5" t="s">
        <v>355</v>
      </c>
    </row>
    <row r="14452" ht="16.5" customHeight="1">
      <c r="O14452" s="5" t="s">
        <v>355</v>
      </c>
      <c r="P14452" s="5" t="s">
        <v>355</v>
      </c>
      <c r="Q14452" s="5" t="s">
        <v>355</v>
      </c>
    </row>
    <row r="14453" ht="16.5" customHeight="1">
      <c r="O14453" s="5" t="s">
        <v>355</v>
      </c>
      <c r="P14453" s="5" t="s">
        <v>355</v>
      </c>
      <c r="Q14453" s="5" t="s">
        <v>355</v>
      </c>
    </row>
    <row r="14454" ht="16.5" customHeight="1">
      <c r="O14454" s="5" t="s">
        <v>355</v>
      </c>
      <c r="P14454" s="5" t="s">
        <v>355</v>
      </c>
      <c r="Q14454" s="5" t="s">
        <v>355</v>
      </c>
    </row>
    <row r="14455" ht="16.5" customHeight="1">
      <c r="O14455" s="5" t="s">
        <v>355</v>
      </c>
      <c r="P14455" s="5" t="s">
        <v>355</v>
      </c>
      <c r="Q14455" s="5" t="s">
        <v>355</v>
      </c>
    </row>
    <row r="14456" ht="16.5" customHeight="1">
      <c r="O14456" s="5" t="s">
        <v>355</v>
      </c>
      <c r="P14456" s="5" t="s">
        <v>355</v>
      </c>
      <c r="Q14456" s="5" t="s">
        <v>355</v>
      </c>
    </row>
    <row r="14457" ht="16.5" customHeight="1">
      <c r="O14457" s="5" t="s">
        <v>355</v>
      </c>
      <c r="P14457" s="5" t="s">
        <v>355</v>
      </c>
      <c r="Q14457" s="5" t="s">
        <v>355</v>
      </c>
    </row>
    <row r="14458" ht="16.5" customHeight="1">
      <c r="O14458" s="5" t="s">
        <v>355</v>
      </c>
      <c r="P14458" s="5" t="s">
        <v>355</v>
      </c>
      <c r="Q14458" s="5" t="s">
        <v>355</v>
      </c>
    </row>
    <row r="14459" ht="16.5" customHeight="1">
      <c r="O14459" s="5" t="s">
        <v>355</v>
      </c>
      <c r="P14459" s="5" t="s">
        <v>355</v>
      </c>
      <c r="Q14459" s="5" t="s">
        <v>355</v>
      </c>
    </row>
    <row r="14460" ht="16.5" customHeight="1">
      <c r="O14460" s="5" t="s">
        <v>355</v>
      </c>
      <c r="P14460" s="5" t="s">
        <v>355</v>
      </c>
      <c r="Q14460" s="5" t="s">
        <v>355</v>
      </c>
    </row>
    <row r="14461" ht="16.5" customHeight="1">
      <c r="O14461" s="5" t="s">
        <v>355</v>
      </c>
      <c r="P14461" s="5" t="s">
        <v>355</v>
      </c>
      <c r="Q14461" s="5" t="s">
        <v>355</v>
      </c>
    </row>
    <row r="14462" ht="16.5" customHeight="1">
      <c r="O14462" s="5" t="s">
        <v>355</v>
      </c>
      <c r="P14462" s="5" t="s">
        <v>355</v>
      </c>
      <c r="Q14462" s="5" t="s">
        <v>355</v>
      </c>
    </row>
    <row r="14463" ht="16.5" customHeight="1">
      <c r="O14463" s="5" t="s">
        <v>355</v>
      </c>
      <c r="P14463" s="5" t="s">
        <v>355</v>
      </c>
      <c r="Q14463" s="5" t="s">
        <v>355</v>
      </c>
    </row>
    <row r="14464" ht="16.5" customHeight="1">
      <c r="O14464" s="5" t="s">
        <v>355</v>
      </c>
      <c r="P14464" s="5" t="s">
        <v>355</v>
      </c>
      <c r="Q14464" s="5" t="s">
        <v>355</v>
      </c>
    </row>
    <row r="14465" ht="16.5" customHeight="1">
      <c r="O14465" s="5" t="s">
        <v>355</v>
      </c>
      <c r="P14465" s="5" t="s">
        <v>355</v>
      </c>
      <c r="Q14465" s="5" t="s">
        <v>355</v>
      </c>
    </row>
    <row r="14466" ht="16.5" customHeight="1">
      <c r="O14466" s="5" t="s">
        <v>355</v>
      </c>
      <c r="P14466" s="5" t="s">
        <v>355</v>
      </c>
      <c r="Q14466" s="5" t="s">
        <v>355</v>
      </c>
    </row>
    <row r="14467" ht="16.5" customHeight="1">
      <c r="O14467" s="5" t="s">
        <v>355</v>
      </c>
      <c r="P14467" s="5" t="s">
        <v>355</v>
      </c>
      <c r="Q14467" s="5" t="s">
        <v>355</v>
      </c>
    </row>
    <row r="14468" ht="16.5" customHeight="1">
      <c r="O14468" s="5" t="s">
        <v>355</v>
      </c>
      <c r="P14468" s="5" t="s">
        <v>355</v>
      </c>
      <c r="Q14468" s="5" t="s">
        <v>355</v>
      </c>
    </row>
    <row r="14469" ht="16.5" customHeight="1">
      <c r="O14469" s="5" t="s">
        <v>355</v>
      </c>
      <c r="P14469" s="5" t="s">
        <v>355</v>
      </c>
      <c r="Q14469" s="5" t="s">
        <v>355</v>
      </c>
    </row>
    <row r="14470" ht="16.5" customHeight="1">
      <c r="O14470" s="5" t="s">
        <v>355</v>
      </c>
      <c r="P14470" s="5" t="s">
        <v>355</v>
      </c>
      <c r="Q14470" s="5" t="s">
        <v>355</v>
      </c>
    </row>
    <row r="14471" ht="16.5" customHeight="1">
      <c r="O14471" s="5" t="s">
        <v>355</v>
      </c>
      <c r="P14471" s="5" t="s">
        <v>355</v>
      </c>
      <c r="Q14471" s="5" t="s">
        <v>355</v>
      </c>
    </row>
    <row r="14472" ht="16.5" customHeight="1">
      <c r="O14472" s="5" t="s">
        <v>355</v>
      </c>
      <c r="P14472" s="5" t="s">
        <v>355</v>
      </c>
      <c r="Q14472" s="5" t="s">
        <v>355</v>
      </c>
    </row>
    <row r="14473" ht="16.5" customHeight="1">
      <c r="O14473" s="5" t="s">
        <v>355</v>
      </c>
      <c r="P14473" s="5" t="s">
        <v>355</v>
      </c>
      <c r="Q14473" s="5" t="s">
        <v>355</v>
      </c>
    </row>
    <row r="14474" ht="16.5" customHeight="1">
      <c r="O14474" s="5" t="s">
        <v>355</v>
      </c>
      <c r="P14474" s="5" t="s">
        <v>355</v>
      </c>
      <c r="Q14474" s="5" t="s">
        <v>355</v>
      </c>
    </row>
    <row r="14475" ht="16.5" customHeight="1">
      <c r="O14475" s="5" t="s">
        <v>355</v>
      </c>
      <c r="P14475" s="5" t="s">
        <v>355</v>
      </c>
      <c r="Q14475" s="5" t="s">
        <v>355</v>
      </c>
    </row>
    <row r="14476" ht="16.5" customHeight="1">
      <c r="O14476" s="5" t="s">
        <v>355</v>
      </c>
      <c r="P14476" s="5" t="s">
        <v>355</v>
      </c>
      <c r="Q14476" s="5" t="s">
        <v>355</v>
      </c>
    </row>
    <row r="14477" ht="16.5" customHeight="1">
      <c r="O14477" s="5" t="s">
        <v>355</v>
      </c>
      <c r="P14477" s="5" t="s">
        <v>355</v>
      </c>
      <c r="Q14477" s="5" t="s">
        <v>355</v>
      </c>
    </row>
    <row r="14478" ht="16.5" customHeight="1">
      <c r="O14478" s="5" t="s">
        <v>355</v>
      </c>
      <c r="P14478" s="5" t="s">
        <v>355</v>
      </c>
      <c r="Q14478" s="5" t="s">
        <v>355</v>
      </c>
    </row>
    <row r="14479" ht="16.5" customHeight="1">
      <c r="O14479" s="5" t="s">
        <v>355</v>
      </c>
      <c r="P14479" s="5" t="s">
        <v>355</v>
      </c>
      <c r="Q14479" s="5" t="s">
        <v>355</v>
      </c>
    </row>
    <row r="14480" ht="16.5" customHeight="1">
      <c r="O14480" s="5" t="s">
        <v>355</v>
      </c>
      <c r="P14480" s="5" t="s">
        <v>355</v>
      </c>
      <c r="Q14480" s="5" t="s">
        <v>355</v>
      </c>
    </row>
    <row r="14481" ht="16.5" customHeight="1">
      <c r="O14481" s="5" t="s">
        <v>355</v>
      </c>
      <c r="P14481" s="5" t="s">
        <v>355</v>
      </c>
      <c r="Q14481" s="5" t="s">
        <v>355</v>
      </c>
    </row>
    <row r="14482" ht="16.5" customHeight="1">
      <c r="O14482" s="5" t="s">
        <v>355</v>
      </c>
      <c r="P14482" s="5" t="s">
        <v>355</v>
      </c>
      <c r="Q14482" s="5" t="s">
        <v>355</v>
      </c>
    </row>
    <row r="14483" ht="16.5" customHeight="1">
      <c r="O14483" s="5" t="s">
        <v>355</v>
      </c>
      <c r="P14483" s="5" t="s">
        <v>355</v>
      </c>
      <c r="Q14483" s="5" t="s">
        <v>355</v>
      </c>
    </row>
    <row r="14484" ht="16.5" customHeight="1">
      <c r="O14484" s="5" t="s">
        <v>355</v>
      </c>
      <c r="P14484" s="5" t="s">
        <v>355</v>
      </c>
      <c r="Q14484" s="5" t="s">
        <v>355</v>
      </c>
    </row>
    <row r="14485" ht="16.5" customHeight="1">
      <c r="O14485" s="5" t="s">
        <v>355</v>
      </c>
      <c r="P14485" s="5" t="s">
        <v>355</v>
      </c>
      <c r="Q14485" s="5" t="s">
        <v>355</v>
      </c>
    </row>
    <row r="14486" ht="16.5" customHeight="1">
      <c r="O14486" s="5" t="s">
        <v>355</v>
      </c>
      <c r="P14486" s="5" t="s">
        <v>355</v>
      </c>
      <c r="Q14486" s="5" t="s">
        <v>355</v>
      </c>
    </row>
    <row r="14487" ht="16.5" customHeight="1">
      <c r="O14487" s="5" t="s">
        <v>355</v>
      </c>
      <c r="P14487" s="5" t="s">
        <v>355</v>
      </c>
      <c r="Q14487" s="5" t="s">
        <v>355</v>
      </c>
    </row>
    <row r="14488" ht="16.5" customHeight="1">
      <c r="O14488" s="5" t="s">
        <v>355</v>
      </c>
      <c r="P14488" s="5" t="s">
        <v>355</v>
      </c>
      <c r="Q14488" s="5" t="s">
        <v>355</v>
      </c>
    </row>
    <row r="14489" ht="16.5" customHeight="1">
      <c r="O14489" s="5" t="s">
        <v>355</v>
      </c>
      <c r="P14489" s="5" t="s">
        <v>355</v>
      </c>
      <c r="Q14489" s="5" t="s">
        <v>355</v>
      </c>
    </row>
    <row r="14490" ht="16.5" customHeight="1">
      <c r="O14490" s="5" t="s">
        <v>355</v>
      </c>
      <c r="P14490" s="5" t="s">
        <v>355</v>
      </c>
      <c r="Q14490" s="5" t="s">
        <v>355</v>
      </c>
    </row>
    <row r="14491" ht="16.5" customHeight="1">
      <c r="O14491" s="5" t="s">
        <v>355</v>
      </c>
      <c r="P14491" s="5" t="s">
        <v>355</v>
      </c>
      <c r="Q14491" s="5" t="s">
        <v>355</v>
      </c>
    </row>
    <row r="14492" ht="16.5" customHeight="1">
      <c r="O14492" s="5" t="s">
        <v>355</v>
      </c>
      <c r="P14492" s="5" t="s">
        <v>355</v>
      </c>
      <c r="Q14492" s="5" t="s">
        <v>355</v>
      </c>
    </row>
    <row r="14493" ht="16.5" customHeight="1">
      <c r="O14493" s="5" t="s">
        <v>355</v>
      </c>
      <c r="P14493" s="5" t="s">
        <v>355</v>
      </c>
      <c r="Q14493" s="5" t="s">
        <v>355</v>
      </c>
    </row>
    <row r="14494" ht="16.5" customHeight="1">
      <c r="O14494" s="5" t="s">
        <v>355</v>
      </c>
      <c r="P14494" s="5" t="s">
        <v>355</v>
      </c>
      <c r="Q14494" s="5" t="s">
        <v>355</v>
      </c>
    </row>
    <row r="14495" ht="16.5" customHeight="1">
      <c r="O14495" s="5" t="s">
        <v>355</v>
      </c>
      <c r="P14495" s="5" t="s">
        <v>355</v>
      </c>
      <c r="Q14495" s="5" t="s">
        <v>355</v>
      </c>
    </row>
    <row r="14496" ht="16.5" customHeight="1">
      <c r="O14496" s="5" t="s">
        <v>355</v>
      </c>
      <c r="P14496" s="5" t="s">
        <v>355</v>
      </c>
      <c r="Q14496" s="5" t="s">
        <v>355</v>
      </c>
    </row>
    <row r="14497" ht="16.5" customHeight="1">
      <c r="O14497" s="5" t="s">
        <v>355</v>
      </c>
      <c r="P14497" s="5" t="s">
        <v>355</v>
      </c>
      <c r="Q14497" s="5" t="s">
        <v>355</v>
      </c>
    </row>
    <row r="14498" ht="16.5" customHeight="1">
      <c r="O14498" s="5" t="s">
        <v>355</v>
      </c>
      <c r="P14498" s="5" t="s">
        <v>355</v>
      </c>
      <c r="Q14498" s="5" t="s">
        <v>355</v>
      </c>
    </row>
    <row r="14499" ht="16.5" customHeight="1">
      <c r="O14499" s="5" t="s">
        <v>355</v>
      </c>
      <c r="P14499" s="5" t="s">
        <v>355</v>
      </c>
      <c r="Q14499" s="5" t="s">
        <v>355</v>
      </c>
    </row>
    <row r="14500" ht="16.5" customHeight="1">
      <c r="O14500" s="5" t="s">
        <v>355</v>
      </c>
      <c r="P14500" s="5" t="s">
        <v>355</v>
      </c>
      <c r="Q14500" s="5" t="s">
        <v>355</v>
      </c>
    </row>
    <row r="14501" ht="16.5" customHeight="1">
      <c r="O14501" s="5" t="s">
        <v>355</v>
      </c>
      <c r="P14501" s="5" t="s">
        <v>355</v>
      </c>
      <c r="Q14501" s="5" t="s">
        <v>355</v>
      </c>
    </row>
    <row r="14502" ht="16.5" customHeight="1">
      <c r="O14502" s="5" t="s">
        <v>355</v>
      </c>
      <c r="P14502" s="5" t="s">
        <v>355</v>
      </c>
      <c r="Q14502" s="5" t="s">
        <v>355</v>
      </c>
    </row>
    <row r="14503" ht="16.5" customHeight="1">
      <c r="O14503" s="5" t="s">
        <v>355</v>
      </c>
      <c r="P14503" s="5" t="s">
        <v>355</v>
      </c>
      <c r="Q14503" s="5" t="s">
        <v>355</v>
      </c>
    </row>
    <row r="14504" ht="16.5" customHeight="1">
      <c r="O14504" s="5" t="s">
        <v>355</v>
      </c>
      <c r="P14504" s="5" t="s">
        <v>355</v>
      </c>
      <c r="Q14504" s="5" t="s">
        <v>355</v>
      </c>
    </row>
    <row r="14505" ht="16.5" customHeight="1">
      <c r="O14505" s="5" t="s">
        <v>355</v>
      </c>
      <c r="P14505" s="5" t="s">
        <v>355</v>
      </c>
      <c r="Q14505" s="5" t="s">
        <v>355</v>
      </c>
    </row>
    <row r="14506" ht="16.5" customHeight="1">
      <c r="O14506" s="5" t="s">
        <v>355</v>
      </c>
      <c r="P14506" s="5" t="s">
        <v>355</v>
      </c>
      <c r="Q14506" s="5" t="s">
        <v>355</v>
      </c>
    </row>
    <row r="14507" ht="16.5" customHeight="1">
      <c r="O14507" s="5" t="s">
        <v>355</v>
      </c>
      <c r="P14507" s="5" t="s">
        <v>355</v>
      </c>
      <c r="Q14507" s="5" t="s">
        <v>355</v>
      </c>
    </row>
    <row r="14508" ht="16.5" customHeight="1">
      <c r="O14508" s="5" t="s">
        <v>355</v>
      </c>
      <c r="P14508" s="5" t="s">
        <v>355</v>
      </c>
      <c r="Q14508" s="5" t="s">
        <v>355</v>
      </c>
    </row>
    <row r="14509" ht="16.5" customHeight="1">
      <c r="O14509" s="5" t="s">
        <v>355</v>
      </c>
      <c r="P14509" s="5" t="s">
        <v>355</v>
      </c>
      <c r="Q14509" s="5" t="s">
        <v>355</v>
      </c>
    </row>
    <row r="14510" ht="16.5" customHeight="1">
      <c r="O14510" s="5" t="s">
        <v>355</v>
      </c>
      <c r="P14510" s="5" t="s">
        <v>355</v>
      </c>
      <c r="Q14510" s="5" t="s">
        <v>355</v>
      </c>
    </row>
    <row r="14511" ht="16.5" customHeight="1">
      <c r="O14511" s="5" t="s">
        <v>355</v>
      </c>
      <c r="P14511" s="5" t="s">
        <v>355</v>
      </c>
      <c r="Q14511" s="5" t="s">
        <v>355</v>
      </c>
    </row>
    <row r="14512" ht="16.5" customHeight="1">
      <c r="O14512" s="5" t="s">
        <v>355</v>
      </c>
      <c r="P14512" s="5" t="s">
        <v>355</v>
      </c>
      <c r="Q14512" s="5" t="s">
        <v>355</v>
      </c>
    </row>
    <row r="14513" ht="16.5" customHeight="1">
      <c r="O14513" s="5" t="s">
        <v>355</v>
      </c>
      <c r="P14513" s="5" t="s">
        <v>355</v>
      </c>
      <c r="Q14513" s="5" t="s">
        <v>355</v>
      </c>
    </row>
    <row r="14514" ht="16.5" customHeight="1">
      <c r="O14514" s="5" t="s">
        <v>355</v>
      </c>
      <c r="P14514" s="5" t="s">
        <v>355</v>
      </c>
      <c r="Q14514" s="5" t="s">
        <v>355</v>
      </c>
    </row>
    <row r="14515" ht="16.5" customHeight="1">
      <c r="O14515" s="5" t="s">
        <v>355</v>
      </c>
      <c r="P14515" s="5" t="s">
        <v>355</v>
      </c>
      <c r="Q14515" s="5" t="s">
        <v>355</v>
      </c>
    </row>
    <row r="14516" ht="16.5" customHeight="1">
      <c r="O14516" s="5" t="s">
        <v>355</v>
      </c>
      <c r="P14516" s="5" t="s">
        <v>355</v>
      </c>
      <c r="Q14516" s="5" t="s">
        <v>355</v>
      </c>
    </row>
    <row r="14517" ht="16.5" customHeight="1">
      <c r="O14517" s="5" t="s">
        <v>355</v>
      </c>
      <c r="P14517" s="5" t="s">
        <v>355</v>
      </c>
      <c r="Q14517" s="5" t="s">
        <v>355</v>
      </c>
    </row>
    <row r="14518" ht="16.5" customHeight="1">
      <c r="O14518" s="5" t="s">
        <v>355</v>
      </c>
      <c r="P14518" s="5" t="s">
        <v>355</v>
      </c>
      <c r="Q14518" s="5" t="s">
        <v>355</v>
      </c>
    </row>
    <row r="14519" ht="16.5" customHeight="1">
      <c r="O14519" s="5" t="s">
        <v>355</v>
      </c>
      <c r="P14519" s="5" t="s">
        <v>355</v>
      </c>
      <c r="Q14519" s="5" t="s">
        <v>355</v>
      </c>
    </row>
    <row r="14520" ht="16.5" customHeight="1">
      <c r="O14520" s="5" t="s">
        <v>355</v>
      </c>
      <c r="P14520" s="5" t="s">
        <v>355</v>
      </c>
      <c r="Q14520" s="5" t="s">
        <v>355</v>
      </c>
    </row>
    <row r="14521" ht="16.5" customHeight="1">
      <c r="O14521" s="5" t="s">
        <v>355</v>
      </c>
      <c r="P14521" s="5" t="s">
        <v>355</v>
      </c>
      <c r="Q14521" s="5" t="s">
        <v>355</v>
      </c>
    </row>
    <row r="14522" ht="16.5" customHeight="1">
      <c r="O14522" s="5" t="s">
        <v>355</v>
      </c>
      <c r="P14522" s="5" t="s">
        <v>355</v>
      </c>
      <c r="Q14522" s="5" t="s">
        <v>355</v>
      </c>
    </row>
    <row r="14523" ht="16.5" customHeight="1">
      <c r="O14523" s="5" t="s">
        <v>355</v>
      </c>
      <c r="P14523" s="5" t="s">
        <v>355</v>
      </c>
      <c r="Q14523" s="5" t="s">
        <v>355</v>
      </c>
    </row>
    <row r="14524" ht="16.5" customHeight="1">
      <c r="O14524" s="5" t="s">
        <v>355</v>
      </c>
      <c r="P14524" s="5" t="s">
        <v>355</v>
      </c>
      <c r="Q14524" s="5" t="s">
        <v>355</v>
      </c>
    </row>
    <row r="14525" ht="16.5" customHeight="1">
      <c r="O14525" s="5" t="s">
        <v>355</v>
      </c>
      <c r="P14525" s="5" t="s">
        <v>355</v>
      </c>
      <c r="Q14525" s="5" t="s">
        <v>355</v>
      </c>
    </row>
    <row r="14526" ht="16.5" customHeight="1">
      <c r="O14526" s="5" t="s">
        <v>355</v>
      </c>
      <c r="P14526" s="5" t="s">
        <v>355</v>
      </c>
      <c r="Q14526" s="5" t="s">
        <v>355</v>
      </c>
    </row>
    <row r="14527" ht="16.5" customHeight="1">
      <c r="O14527" s="5" t="s">
        <v>355</v>
      </c>
      <c r="P14527" s="5" t="s">
        <v>355</v>
      </c>
      <c r="Q14527" s="5" t="s">
        <v>355</v>
      </c>
    </row>
    <row r="14528" ht="16.5" customHeight="1">
      <c r="O14528" s="5" t="s">
        <v>355</v>
      </c>
      <c r="P14528" s="5" t="s">
        <v>355</v>
      </c>
      <c r="Q14528" s="5" t="s">
        <v>355</v>
      </c>
    </row>
    <row r="14529" ht="16.5" customHeight="1">
      <c r="O14529" s="5" t="s">
        <v>355</v>
      </c>
      <c r="P14529" s="5" t="s">
        <v>355</v>
      </c>
      <c r="Q14529" s="5" t="s">
        <v>355</v>
      </c>
    </row>
    <row r="14530" ht="16.5" customHeight="1">
      <c r="O14530" s="5" t="s">
        <v>355</v>
      </c>
      <c r="P14530" s="5" t="s">
        <v>355</v>
      </c>
      <c r="Q14530" s="5" t="s">
        <v>355</v>
      </c>
    </row>
    <row r="14531" ht="16.5" customHeight="1">
      <c r="O14531" s="5" t="s">
        <v>355</v>
      </c>
      <c r="P14531" s="5" t="s">
        <v>355</v>
      </c>
      <c r="Q14531" s="5" t="s">
        <v>355</v>
      </c>
    </row>
    <row r="14532" ht="16.5" customHeight="1">
      <c r="O14532" s="5" t="s">
        <v>355</v>
      </c>
      <c r="P14532" s="5" t="s">
        <v>355</v>
      </c>
      <c r="Q14532" s="5" t="s">
        <v>355</v>
      </c>
    </row>
    <row r="14533" ht="16.5" customHeight="1">
      <c r="O14533" s="5" t="s">
        <v>355</v>
      </c>
      <c r="P14533" s="5" t="s">
        <v>355</v>
      </c>
      <c r="Q14533" s="5" t="s">
        <v>355</v>
      </c>
    </row>
    <row r="14534" ht="16.5" customHeight="1">
      <c r="O14534" s="5" t="s">
        <v>355</v>
      </c>
      <c r="P14534" s="5" t="s">
        <v>355</v>
      </c>
      <c r="Q14534" s="5" t="s">
        <v>355</v>
      </c>
    </row>
    <row r="14535" ht="16.5" customHeight="1">
      <c r="O14535" s="5" t="s">
        <v>355</v>
      </c>
      <c r="P14535" s="5" t="s">
        <v>355</v>
      </c>
      <c r="Q14535" s="5" t="s">
        <v>355</v>
      </c>
    </row>
    <row r="14536" ht="16.5" customHeight="1">
      <c r="O14536" s="5" t="s">
        <v>355</v>
      </c>
      <c r="P14536" s="5" t="s">
        <v>355</v>
      </c>
      <c r="Q14536" s="5" t="s">
        <v>355</v>
      </c>
    </row>
    <row r="14537" ht="16.5" customHeight="1">
      <c r="O14537" s="5" t="s">
        <v>355</v>
      </c>
      <c r="P14537" s="5" t="s">
        <v>355</v>
      </c>
      <c r="Q14537" s="5" t="s">
        <v>355</v>
      </c>
    </row>
    <row r="14538" ht="16.5" customHeight="1">
      <c r="O14538" s="5" t="s">
        <v>355</v>
      </c>
      <c r="P14538" s="5" t="s">
        <v>355</v>
      </c>
      <c r="Q14538" s="5" t="s">
        <v>355</v>
      </c>
    </row>
    <row r="14539" ht="16.5" customHeight="1">
      <c r="O14539" s="5" t="s">
        <v>355</v>
      </c>
      <c r="P14539" s="5" t="s">
        <v>355</v>
      </c>
      <c r="Q14539" s="5" t="s">
        <v>355</v>
      </c>
    </row>
    <row r="14540" ht="16.5" customHeight="1">
      <c r="O14540" s="5" t="s">
        <v>355</v>
      </c>
      <c r="P14540" s="5" t="s">
        <v>355</v>
      </c>
      <c r="Q14540" s="5" t="s">
        <v>355</v>
      </c>
    </row>
    <row r="14541" ht="16.5" customHeight="1">
      <c r="O14541" s="5" t="s">
        <v>355</v>
      </c>
      <c r="P14541" s="5" t="s">
        <v>355</v>
      </c>
      <c r="Q14541" s="5" t="s">
        <v>355</v>
      </c>
    </row>
    <row r="14542" ht="16.5" customHeight="1">
      <c r="O14542" s="5" t="s">
        <v>355</v>
      </c>
      <c r="P14542" s="5" t="s">
        <v>355</v>
      </c>
      <c r="Q14542" s="5" t="s">
        <v>355</v>
      </c>
    </row>
    <row r="14543" ht="16.5" customHeight="1">
      <c r="O14543" s="5" t="s">
        <v>355</v>
      </c>
      <c r="P14543" s="5" t="s">
        <v>355</v>
      </c>
      <c r="Q14543" s="5" t="s">
        <v>355</v>
      </c>
    </row>
    <row r="14544" ht="16.5" customHeight="1">
      <c r="O14544" s="5" t="s">
        <v>355</v>
      </c>
      <c r="P14544" s="5" t="s">
        <v>355</v>
      </c>
      <c r="Q14544" s="5" t="s">
        <v>355</v>
      </c>
    </row>
    <row r="14545" ht="16.5" customHeight="1">
      <c r="O14545" s="5" t="s">
        <v>355</v>
      </c>
      <c r="P14545" s="5" t="s">
        <v>355</v>
      </c>
      <c r="Q14545" s="5" t="s">
        <v>355</v>
      </c>
    </row>
    <row r="14546" ht="16.5" customHeight="1">
      <c r="O14546" s="5" t="s">
        <v>355</v>
      </c>
      <c r="P14546" s="5" t="s">
        <v>355</v>
      </c>
      <c r="Q14546" s="5" t="s">
        <v>355</v>
      </c>
    </row>
    <row r="14547" ht="16.5" customHeight="1">
      <c r="O14547" s="5" t="s">
        <v>355</v>
      </c>
      <c r="P14547" s="5" t="s">
        <v>355</v>
      </c>
      <c r="Q14547" s="5" t="s">
        <v>355</v>
      </c>
    </row>
    <row r="14548" ht="16.5" customHeight="1">
      <c r="O14548" s="5" t="s">
        <v>355</v>
      </c>
      <c r="P14548" s="5" t="s">
        <v>355</v>
      </c>
      <c r="Q14548" s="5" t="s">
        <v>355</v>
      </c>
    </row>
    <row r="14549" ht="16.5" customHeight="1">
      <c r="O14549" s="5" t="s">
        <v>355</v>
      </c>
      <c r="P14549" s="5" t="s">
        <v>355</v>
      </c>
      <c r="Q14549" s="5" t="s">
        <v>355</v>
      </c>
    </row>
    <row r="14550" ht="16.5" customHeight="1">
      <c r="O14550" s="5" t="s">
        <v>355</v>
      </c>
      <c r="P14550" s="5" t="s">
        <v>355</v>
      </c>
      <c r="Q14550" s="5" t="s">
        <v>355</v>
      </c>
    </row>
    <row r="14551" ht="16.5" customHeight="1">
      <c r="O14551" s="5" t="s">
        <v>355</v>
      </c>
      <c r="P14551" s="5" t="s">
        <v>355</v>
      </c>
      <c r="Q14551" s="5" t="s">
        <v>355</v>
      </c>
    </row>
    <row r="14552" ht="16.5" customHeight="1">
      <c r="O14552" s="5" t="s">
        <v>355</v>
      </c>
      <c r="P14552" s="5" t="s">
        <v>355</v>
      </c>
      <c r="Q14552" s="5" t="s">
        <v>355</v>
      </c>
    </row>
    <row r="14553" ht="16.5" customHeight="1">
      <c r="O14553" s="5" t="s">
        <v>355</v>
      </c>
      <c r="P14553" s="5" t="s">
        <v>355</v>
      </c>
      <c r="Q14553" s="5" t="s">
        <v>355</v>
      </c>
    </row>
    <row r="14554" ht="16.5" customHeight="1">
      <c r="O14554" s="5" t="s">
        <v>355</v>
      </c>
      <c r="P14554" s="5" t="s">
        <v>355</v>
      </c>
      <c r="Q14554" s="5" t="s">
        <v>355</v>
      </c>
    </row>
    <row r="14555" ht="16.5" customHeight="1">
      <c r="O14555" s="5" t="s">
        <v>355</v>
      </c>
      <c r="P14555" s="5" t="s">
        <v>355</v>
      </c>
      <c r="Q14555" s="5" t="s">
        <v>355</v>
      </c>
    </row>
    <row r="14556" ht="16.5" customHeight="1">
      <c r="O14556" s="5" t="s">
        <v>355</v>
      </c>
      <c r="P14556" s="5" t="s">
        <v>355</v>
      </c>
      <c r="Q14556" s="5" t="s">
        <v>355</v>
      </c>
    </row>
    <row r="14557" ht="16.5" customHeight="1">
      <c r="O14557" s="5" t="s">
        <v>355</v>
      </c>
      <c r="P14557" s="5" t="s">
        <v>355</v>
      </c>
      <c r="Q14557" s="5" t="s">
        <v>355</v>
      </c>
    </row>
    <row r="14558" ht="16.5" customHeight="1">
      <c r="O14558" s="5" t="s">
        <v>355</v>
      </c>
      <c r="P14558" s="5" t="s">
        <v>355</v>
      </c>
      <c r="Q14558" s="5" t="s">
        <v>355</v>
      </c>
    </row>
    <row r="14559" ht="16.5" customHeight="1">
      <c r="O14559" s="5" t="s">
        <v>355</v>
      </c>
      <c r="P14559" s="5" t="s">
        <v>355</v>
      </c>
      <c r="Q14559" s="5" t="s">
        <v>355</v>
      </c>
    </row>
    <row r="14560" ht="16.5" customHeight="1">
      <c r="O14560" s="5" t="s">
        <v>355</v>
      </c>
      <c r="P14560" s="5" t="s">
        <v>355</v>
      </c>
      <c r="Q14560" s="5" t="s">
        <v>355</v>
      </c>
    </row>
    <row r="14561" ht="16.5" customHeight="1">
      <c r="O14561" s="5" t="s">
        <v>355</v>
      </c>
      <c r="P14561" s="5" t="s">
        <v>355</v>
      </c>
      <c r="Q14561" s="5" t="s">
        <v>355</v>
      </c>
    </row>
    <row r="14562" ht="16.5" customHeight="1">
      <c r="O14562" s="5" t="s">
        <v>355</v>
      </c>
      <c r="P14562" s="5" t="s">
        <v>355</v>
      </c>
      <c r="Q14562" s="5" t="s">
        <v>355</v>
      </c>
    </row>
    <row r="14563" ht="16.5" customHeight="1">
      <c r="O14563" s="5" t="s">
        <v>355</v>
      </c>
      <c r="P14563" s="5" t="s">
        <v>355</v>
      </c>
      <c r="Q14563" s="5" t="s">
        <v>355</v>
      </c>
    </row>
    <row r="14564" ht="16.5" customHeight="1">
      <c r="O14564" s="5" t="s">
        <v>355</v>
      </c>
      <c r="P14564" s="5" t="s">
        <v>355</v>
      </c>
      <c r="Q14564" s="5" t="s">
        <v>355</v>
      </c>
    </row>
    <row r="14565" ht="16.5" customHeight="1">
      <c r="O14565" s="5" t="s">
        <v>355</v>
      </c>
      <c r="P14565" s="5" t="s">
        <v>355</v>
      </c>
      <c r="Q14565" s="5" t="s">
        <v>355</v>
      </c>
    </row>
    <row r="14566" ht="16.5" customHeight="1">
      <c r="O14566" s="5" t="s">
        <v>355</v>
      </c>
      <c r="P14566" s="5" t="s">
        <v>355</v>
      </c>
      <c r="Q14566" s="5" t="s">
        <v>355</v>
      </c>
    </row>
    <row r="14567" ht="16.5" customHeight="1">
      <c r="O14567" s="5" t="s">
        <v>355</v>
      </c>
      <c r="P14567" s="5" t="s">
        <v>355</v>
      </c>
      <c r="Q14567" s="5" t="s">
        <v>355</v>
      </c>
    </row>
    <row r="14568" ht="16.5" customHeight="1">
      <c r="O14568" s="5" t="s">
        <v>355</v>
      </c>
      <c r="P14568" s="5" t="s">
        <v>355</v>
      </c>
      <c r="Q14568" s="5" t="s">
        <v>355</v>
      </c>
    </row>
    <row r="14569" ht="16.5" customHeight="1">
      <c r="O14569" s="5" t="s">
        <v>355</v>
      </c>
      <c r="P14569" s="5" t="s">
        <v>355</v>
      </c>
      <c r="Q14569" s="5" t="s">
        <v>355</v>
      </c>
    </row>
    <row r="14570" ht="16.5" customHeight="1">
      <c r="O14570" s="5" t="s">
        <v>355</v>
      </c>
      <c r="P14570" s="5" t="s">
        <v>355</v>
      </c>
      <c r="Q14570" s="5" t="s">
        <v>355</v>
      </c>
    </row>
    <row r="14571" ht="16.5" customHeight="1">
      <c r="O14571" s="5" t="s">
        <v>355</v>
      </c>
      <c r="P14571" s="5" t="s">
        <v>355</v>
      </c>
      <c r="Q14571" s="5" t="s">
        <v>355</v>
      </c>
    </row>
    <row r="14572" ht="16.5" customHeight="1">
      <c r="O14572" s="5" t="s">
        <v>355</v>
      </c>
      <c r="P14572" s="5" t="s">
        <v>355</v>
      </c>
      <c r="Q14572" s="5" t="s">
        <v>355</v>
      </c>
    </row>
    <row r="14573" ht="16.5" customHeight="1">
      <c r="O14573" s="5" t="s">
        <v>355</v>
      </c>
      <c r="P14573" s="5" t="s">
        <v>355</v>
      </c>
      <c r="Q14573" s="5" t="s">
        <v>355</v>
      </c>
    </row>
    <row r="14574" ht="16.5" customHeight="1">
      <c r="O14574" s="5" t="s">
        <v>355</v>
      </c>
      <c r="P14574" s="5" t="s">
        <v>355</v>
      </c>
      <c r="Q14574" s="5" t="s">
        <v>355</v>
      </c>
    </row>
    <row r="14575" ht="16.5" customHeight="1">
      <c r="O14575" s="5" t="s">
        <v>355</v>
      </c>
      <c r="P14575" s="5" t="s">
        <v>355</v>
      </c>
      <c r="Q14575" s="5" t="s">
        <v>355</v>
      </c>
    </row>
    <row r="14576" ht="16.5" customHeight="1">
      <c r="O14576" s="5" t="s">
        <v>355</v>
      </c>
      <c r="P14576" s="5" t="s">
        <v>355</v>
      </c>
      <c r="Q14576" s="5" t="s">
        <v>355</v>
      </c>
    </row>
    <row r="14577" ht="16.5" customHeight="1">
      <c r="O14577" s="5" t="s">
        <v>355</v>
      </c>
      <c r="P14577" s="5" t="s">
        <v>355</v>
      </c>
      <c r="Q14577" s="5" t="s">
        <v>355</v>
      </c>
    </row>
    <row r="14578" ht="16.5" customHeight="1">
      <c r="O14578" s="5" t="s">
        <v>355</v>
      </c>
      <c r="P14578" s="5" t="s">
        <v>355</v>
      </c>
      <c r="Q14578" s="5" t="s">
        <v>355</v>
      </c>
    </row>
    <row r="14579" ht="16.5" customHeight="1">
      <c r="O14579" s="5" t="s">
        <v>355</v>
      </c>
      <c r="P14579" s="5" t="s">
        <v>355</v>
      </c>
      <c r="Q14579" s="5" t="s">
        <v>355</v>
      </c>
    </row>
    <row r="14580" ht="16.5" customHeight="1">
      <c r="O14580" s="5" t="s">
        <v>355</v>
      </c>
      <c r="P14580" s="5" t="s">
        <v>355</v>
      </c>
      <c r="Q14580" s="5" t="s">
        <v>355</v>
      </c>
    </row>
    <row r="14581" ht="16.5" customHeight="1">
      <c r="O14581" s="5" t="s">
        <v>355</v>
      </c>
      <c r="P14581" s="5" t="s">
        <v>355</v>
      </c>
      <c r="Q14581" s="5" t="s">
        <v>355</v>
      </c>
    </row>
    <row r="14582" ht="16.5" customHeight="1">
      <c r="O14582" s="5" t="s">
        <v>355</v>
      </c>
      <c r="P14582" s="5" t="s">
        <v>355</v>
      </c>
      <c r="Q14582" s="5" t="s">
        <v>355</v>
      </c>
    </row>
    <row r="14583" ht="16.5" customHeight="1">
      <c r="O14583" s="5" t="s">
        <v>355</v>
      </c>
      <c r="P14583" s="5" t="s">
        <v>355</v>
      </c>
      <c r="Q14583" s="5" t="s">
        <v>355</v>
      </c>
    </row>
    <row r="14584" ht="16.5" customHeight="1">
      <c r="O14584" s="5" t="s">
        <v>355</v>
      </c>
      <c r="P14584" s="5" t="s">
        <v>355</v>
      </c>
      <c r="Q14584" s="5" t="s">
        <v>355</v>
      </c>
    </row>
    <row r="14585" ht="16.5" customHeight="1">
      <c r="O14585" s="5" t="s">
        <v>355</v>
      </c>
      <c r="P14585" s="5" t="s">
        <v>355</v>
      </c>
      <c r="Q14585" s="5" t="s">
        <v>355</v>
      </c>
    </row>
    <row r="14586" ht="16.5" customHeight="1">
      <c r="O14586" s="5" t="s">
        <v>355</v>
      </c>
      <c r="P14586" s="5" t="s">
        <v>355</v>
      </c>
      <c r="Q14586" s="5" t="s">
        <v>355</v>
      </c>
    </row>
    <row r="14587" ht="16.5" customHeight="1">
      <c r="O14587" s="5" t="s">
        <v>355</v>
      </c>
      <c r="P14587" s="5" t="s">
        <v>355</v>
      </c>
      <c r="Q14587" s="5" t="s">
        <v>355</v>
      </c>
    </row>
    <row r="14588" ht="16.5" customHeight="1">
      <c r="O14588" s="5" t="s">
        <v>355</v>
      </c>
      <c r="P14588" s="5" t="s">
        <v>355</v>
      </c>
      <c r="Q14588" s="5" t="s">
        <v>355</v>
      </c>
    </row>
    <row r="14589" ht="16.5" customHeight="1">
      <c r="O14589" s="5" t="s">
        <v>355</v>
      </c>
      <c r="P14589" s="5" t="s">
        <v>355</v>
      </c>
      <c r="Q14589" s="5" t="s">
        <v>355</v>
      </c>
    </row>
    <row r="14590" ht="16.5" customHeight="1">
      <c r="O14590" s="5" t="s">
        <v>355</v>
      </c>
      <c r="P14590" s="5" t="s">
        <v>355</v>
      </c>
      <c r="Q14590" s="5" t="s">
        <v>355</v>
      </c>
    </row>
    <row r="14591" ht="16.5" customHeight="1">
      <c r="O14591" s="5" t="s">
        <v>355</v>
      </c>
      <c r="P14591" s="5" t="s">
        <v>355</v>
      </c>
      <c r="Q14591" s="5" t="s">
        <v>355</v>
      </c>
    </row>
    <row r="14592" ht="16.5" customHeight="1">
      <c r="O14592" s="5" t="s">
        <v>355</v>
      </c>
      <c r="P14592" s="5" t="s">
        <v>355</v>
      </c>
      <c r="Q14592" s="5" t="s">
        <v>355</v>
      </c>
    </row>
    <row r="14593" ht="16.5" customHeight="1">
      <c r="O14593" s="5" t="s">
        <v>355</v>
      </c>
      <c r="P14593" s="5" t="s">
        <v>355</v>
      </c>
      <c r="Q14593" s="5" t="s">
        <v>355</v>
      </c>
    </row>
    <row r="14594" ht="16.5" customHeight="1">
      <c r="O14594" s="5" t="s">
        <v>355</v>
      </c>
      <c r="P14594" s="5" t="s">
        <v>355</v>
      </c>
      <c r="Q14594" s="5" t="s">
        <v>355</v>
      </c>
    </row>
    <row r="14595" ht="16.5" customHeight="1">
      <c r="O14595" s="5" t="s">
        <v>355</v>
      </c>
      <c r="P14595" s="5" t="s">
        <v>355</v>
      </c>
      <c r="Q14595" s="5" t="s">
        <v>355</v>
      </c>
    </row>
    <row r="14596" ht="16.5" customHeight="1">
      <c r="O14596" s="5" t="s">
        <v>355</v>
      </c>
      <c r="P14596" s="5" t="s">
        <v>355</v>
      </c>
      <c r="Q14596" s="5" t="s">
        <v>355</v>
      </c>
    </row>
    <row r="14597" ht="16.5" customHeight="1">
      <c r="O14597" s="5" t="s">
        <v>355</v>
      </c>
      <c r="P14597" s="5" t="s">
        <v>355</v>
      </c>
      <c r="Q14597" s="5" t="s">
        <v>355</v>
      </c>
    </row>
    <row r="14598" ht="16.5" customHeight="1">
      <c r="O14598" s="5" t="s">
        <v>355</v>
      </c>
      <c r="P14598" s="5" t="s">
        <v>355</v>
      </c>
      <c r="Q14598" s="5" t="s">
        <v>355</v>
      </c>
    </row>
    <row r="14599" ht="16.5" customHeight="1">
      <c r="O14599" s="5" t="s">
        <v>355</v>
      </c>
      <c r="P14599" s="5" t="s">
        <v>355</v>
      </c>
      <c r="Q14599" s="5" t="s">
        <v>355</v>
      </c>
    </row>
    <row r="14600" ht="16.5" customHeight="1">
      <c r="O14600" s="5" t="s">
        <v>355</v>
      </c>
      <c r="P14600" s="5" t="s">
        <v>355</v>
      </c>
      <c r="Q14600" s="5" t="s">
        <v>355</v>
      </c>
    </row>
    <row r="14601" ht="16.5" customHeight="1">
      <c r="O14601" s="5" t="s">
        <v>355</v>
      </c>
      <c r="P14601" s="5" t="s">
        <v>355</v>
      </c>
      <c r="Q14601" s="5" t="s">
        <v>355</v>
      </c>
    </row>
    <row r="14602" ht="16.5" customHeight="1">
      <c r="O14602" s="5" t="s">
        <v>355</v>
      </c>
      <c r="P14602" s="5" t="s">
        <v>355</v>
      </c>
      <c r="Q14602" s="5" t="s">
        <v>355</v>
      </c>
    </row>
    <row r="14603" ht="16.5" customHeight="1">
      <c r="O14603" s="5" t="s">
        <v>355</v>
      </c>
      <c r="P14603" s="5" t="s">
        <v>355</v>
      </c>
      <c r="Q14603" s="5" t="s">
        <v>355</v>
      </c>
    </row>
    <row r="14604" ht="16.5" customHeight="1">
      <c r="O14604" s="5" t="s">
        <v>355</v>
      </c>
      <c r="P14604" s="5" t="s">
        <v>355</v>
      </c>
      <c r="Q14604" s="5" t="s">
        <v>355</v>
      </c>
    </row>
    <row r="14605" ht="16.5" customHeight="1">
      <c r="O14605" s="5" t="s">
        <v>355</v>
      </c>
      <c r="P14605" s="5" t="s">
        <v>355</v>
      </c>
      <c r="Q14605" s="5" t="s">
        <v>355</v>
      </c>
    </row>
    <row r="14606" ht="16.5" customHeight="1">
      <c r="O14606" s="5" t="s">
        <v>355</v>
      </c>
      <c r="P14606" s="5" t="s">
        <v>355</v>
      </c>
      <c r="Q14606" s="5" t="s">
        <v>355</v>
      </c>
    </row>
    <row r="14607" ht="16.5" customHeight="1">
      <c r="O14607" s="5" t="s">
        <v>355</v>
      </c>
      <c r="P14607" s="5" t="s">
        <v>355</v>
      </c>
      <c r="Q14607" s="5" t="s">
        <v>355</v>
      </c>
    </row>
    <row r="14608" ht="16.5" customHeight="1">
      <c r="O14608" s="5" t="s">
        <v>355</v>
      </c>
      <c r="P14608" s="5" t="s">
        <v>355</v>
      </c>
      <c r="Q14608" s="5" t="s">
        <v>355</v>
      </c>
    </row>
    <row r="14609" ht="16.5" customHeight="1">
      <c r="O14609" s="5" t="s">
        <v>355</v>
      </c>
      <c r="P14609" s="5" t="s">
        <v>355</v>
      </c>
      <c r="Q14609" s="5" t="s">
        <v>355</v>
      </c>
    </row>
    <row r="14610" ht="16.5" customHeight="1">
      <c r="O14610" s="5" t="s">
        <v>355</v>
      </c>
      <c r="P14610" s="5" t="s">
        <v>355</v>
      </c>
      <c r="Q14610" s="5" t="s">
        <v>355</v>
      </c>
    </row>
    <row r="14611" ht="16.5" customHeight="1">
      <c r="O14611" s="5" t="s">
        <v>355</v>
      </c>
      <c r="P14611" s="5" t="s">
        <v>355</v>
      </c>
      <c r="Q14611" s="5" t="s">
        <v>355</v>
      </c>
    </row>
    <row r="14612" ht="16.5" customHeight="1">
      <c r="O14612" s="5" t="s">
        <v>355</v>
      </c>
      <c r="P14612" s="5" t="s">
        <v>355</v>
      </c>
      <c r="Q14612" s="5" t="s">
        <v>355</v>
      </c>
    </row>
    <row r="14613" ht="16.5" customHeight="1">
      <c r="O14613" s="5" t="s">
        <v>355</v>
      </c>
      <c r="P14613" s="5" t="s">
        <v>355</v>
      </c>
      <c r="Q14613" s="5" t="s">
        <v>355</v>
      </c>
    </row>
    <row r="14614" ht="16.5" customHeight="1">
      <c r="O14614" s="5" t="s">
        <v>355</v>
      </c>
      <c r="P14614" s="5" t="s">
        <v>355</v>
      </c>
      <c r="Q14614" s="5" t="s">
        <v>355</v>
      </c>
    </row>
    <row r="14615" ht="16.5" customHeight="1">
      <c r="O14615" s="5" t="s">
        <v>355</v>
      </c>
      <c r="P14615" s="5" t="s">
        <v>355</v>
      </c>
      <c r="Q14615" s="5" t="s">
        <v>355</v>
      </c>
    </row>
    <row r="14616" ht="16.5" customHeight="1">
      <c r="O14616" s="5" t="s">
        <v>355</v>
      </c>
      <c r="P14616" s="5" t="s">
        <v>355</v>
      </c>
      <c r="Q14616" s="5" t="s">
        <v>355</v>
      </c>
    </row>
    <row r="14617" ht="16.5" customHeight="1">
      <c r="O14617" s="5" t="s">
        <v>355</v>
      </c>
      <c r="P14617" s="5" t="s">
        <v>355</v>
      </c>
      <c r="Q14617" s="5" t="s">
        <v>355</v>
      </c>
    </row>
    <row r="14618" ht="16.5" customHeight="1">
      <c r="O14618" s="5" t="s">
        <v>355</v>
      </c>
      <c r="P14618" s="5" t="s">
        <v>355</v>
      </c>
      <c r="Q14618" s="5" t="s">
        <v>355</v>
      </c>
    </row>
    <row r="14619" ht="16.5" customHeight="1">
      <c r="O14619" s="5" t="s">
        <v>355</v>
      </c>
      <c r="P14619" s="5" t="s">
        <v>355</v>
      </c>
      <c r="Q14619" s="5" t="s">
        <v>355</v>
      </c>
    </row>
    <row r="14620" ht="16.5" customHeight="1">
      <c r="O14620" s="5" t="s">
        <v>355</v>
      </c>
      <c r="P14620" s="5" t="s">
        <v>355</v>
      </c>
      <c r="Q14620" s="5" t="s">
        <v>355</v>
      </c>
    </row>
    <row r="14621" ht="16.5" customHeight="1">
      <c r="O14621" s="5" t="s">
        <v>355</v>
      </c>
      <c r="P14621" s="5" t="s">
        <v>355</v>
      </c>
      <c r="Q14621" s="5" t="s">
        <v>355</v>
      </c>
    </row>
    <row r="14622" ht="16.5" customHeight="1">
      <c r="O14622" s="5" t="s">
        <v>355</v>
      </c>
      <c r="P14622" s="5" t="s">
        <v>355</v>
      </c>
      <c r="Q14622" s="5" t="s">
        <v>355</v>
      </c>
    </row>
    <row r="14623" ht="16.5" customHeight="1">
      <c r="O14623" s="5" t="s">
        <v>355</v>
      </c>
      <c r="P14623" s="5" t="s">
        <v>355</v>
      </c>
      <c r="Q14623" s="5" t="s">
        <v>355</v>
      </c>
    </row>
    <row r="14624" ht="16.5" customHeight="1">
      <c r="O14624" s="5" t="s">
        <v>355</v>
      </c>
      <c r="P14624" s="5" t="s">
        <v>355</v>
      </c>
      <c r="Q14624" s="5" t="s">
        <v>355</v>
      </c>
    </row>
    <row r="14625" ht="16.5" customHeight="1">
      <c r="O14625" s="5" t="s">
        <v>355</v>
      </c>
      <c r="P14625" s="5" t="s">
        <v>355</v>
      </c>
      <c r="Q14625" s="5" t="s">
        <v>355</v>
      </c>
    </row>
    <row r="14626" ht="16.5" customHeight="1">
      <c r="O14626" s="5" t="s">
        <v>355</v>
      </c>
      <c r="P14626" s="5" t="s">
        <v>355</v>
      </c>
      <c r="Q14626" s="5" t="s">
        <v>355</v>
      </c>
    </row>
    <row r="14627" ht="16.5" customHeight="1">
      <c r="O14627" s="5" t="s">
        <v>355</v>
      </c>
      <c r="P14627" s="5" t="s">
        <v>355</v>
      </c>
      <c r="Q14627" s="5" t="s">
        <v>355</v>
      </c>
    </row>
    <row r="14628" ht="16.5" customHeight="1">
      <c r="O14628" s="5" t="s">
        <v>355</v>
      </c>
      <c r="P14628" s="5" t="s">
        <v>355</v>
      </c>
      <c r="Q14628" s="5" t="s">
        <v>355</v>
      </c>
    </row>
    <row r="14629" ht="16.5" customHeight="1">
      <c r="O14629" s="5" t="s">
        <v>355</v>
      </c>
      <c r="P14629" s="5" t="s">
        <v>355</v>
      </c>
      <c r="Q14629" s="5" t="s">
        <v>355</v>
      </c>
    </row>
    <row r="14630" ht="16.5" customHeight="1">
      <c r="O14630" s="5" t="s">
        <v>355</v>
      </c>
      <c r="P14630" s="5" t="s">
        <v>355</v>
      </c>
      <c r="Q14630" s="5" t="s">
        <v>355</v>
      </c>
    </row>
    <row r="14631" ht="16.5" customHeight="1">
      <c r="O14631" s="5" t="s">
        <v>355</v>
      </c>
      <c r="P14631" s="5" t="s">
        <v>355</v>
      </c>
      <c r="Q14631" s="5" t="s">
        <v>355</v>
      </c>
    </row>
    <row r="14632" ht="16.5" customHeight="1">
      <c r="O14632" s="5" t="s">
        <v>355</v>
      </c>
      <c r="P14632" s="5" t="s">
        <v>355</v>
      </c>
      <c r="Q14632" s="5" t="s">
        <v>355</v>
      </c>
    </row>
    <row r="14633" ht="16.5" customHeight="1">
      <c r="O14633" s="5" t="s">
        <v>355</v>
      </c>
      <c r="P14633" s="5" t="s">
        <v>355</v>
      </c>
      <c r="Q14633" s="5" t="s">
        <v>355</v>
      </c>
    </row>
    <row r="14634" ht="16.5" customHeight="1">
      <c r="O14634" s="5" t="s">
        <v>355</v>
      </c>
      <c r="P14634" s="5" t="s">
        <v>355</v>
      </c>
      <c r="Q14634" s="5" t="s">
        <v>355</v>
      </c>
    </row>
    <row r="14635" ht="16.5" customHeight="1">
      <c r="O14635" s="5" t="s">
        <v>355</v>
      </c>
      <c r="P14635" s="5" t="s">
        <v>355</v>
      </c>
      <c r="Q14635" s="5" t="s">
        <v>355</v>
      </c>
    </row>
    <row r="14636" ht="16.5" customHeight="1">
      <c r="O14636" s="5" t="s">
        <v>355</v>
      </c>
      <c r="P14636" s="5" t="s">
        <v>355</v>
      </c>
      <c r="Q14636" s="5" t="s">
        <v>355</v>
      </c>
    </row>
    <row r="14637" ht="16.5" customHeight="1">
      <c r="O14637" s="5" t="s">
        <v>355</v>
      </c>
      <c r="P14637" s="5" t="s">
        <v>355</v>
      </c>
      <c r="Q14637" s="5" t="s">
        <v>355</v>
      </c>
    </row>
    <row r="14638" ht="16.5" customHeight="1">
      <c r="O14638" s="5" t="s">
        <v>355</v>
      </c>
      <c r="P14638" s="5" t="s">
        <v>355</v>
      </c>
      <c r="Q14638" s="5" t="s">
        <v>355</v>
      </c>
    </row>
    <row r="14639" ht="16.5" customHeight="1">
      <c r="O14639" s="5" t="s">
        <v>355</v>
      </c>
      <c r="P14639" s="5" t="s">
        <v>355</v>
      </c>
      <c r="Q14639" s="5" t="s">
        <v>355</v>
      </c>
    </row>
    <row r="14640" ht="16.5" customHeight="1">
      <c r="O14640" s="5" t="s">
        <v>355</v>
      </c>
      <c r="P14640" s="5" t="s">
        <v>355</v>
      </c>
      <c r="Q14640" s="5" t="s">
        <v>355</v>
      </c>
    </row>
    <row r="14641" ht="16.5" customHeight="1">
      <c r="O14641" s="5" t="s">
        <v>355</v>
      </c>
      <c r="P14641" s="5" t="s">
        <v>355</v>
      </c>
      <c r="Q14641" s="5" t="s">
        <v>355</v>
      </c>
    </row>
    <row r="14642" ht="16.5" customHeight="1">
      <c r="O14642" s="5" t="s">
        <v>355</v>
      </c>
      <c r="P14642" s="5" t="s">
        <v>355</v>
      </c>
      <c r="Q14642" s="5" t="s">
        <v>355</v>
      </c>
    </row>
    <row r="14643" ht="16.5" customHeight="1">
      <c r="O14643" s="5" t="s">
        <v>355</v>
      </c>
      <c r="P14643" s="5" t="s">
        <v>355</v>
      </c>
      <c r="Q14643" s="5" t="s">
        <v>355</v>
      </c>
    </row>
    <row r="14644" ht="16.5" customHeight="1">
      <c r="O14644" s="5" t="s">
        <v>355</v>
      </c>
      <c r="P14644" s="5" t="s">
        <v>355</v>
      </c>
      <c r="Q14644" s="5" t="s">
        <v>355</v>
      </c>
    </row>
    <row r="14645" ht="16.5" customHeight="1">
      <c r="O14645" s="5" t="s">
        <v>355</v>
      </c>
      <c r="P14645" s="5" t="s">
        <v>355</v>
      </c>
      <c r="Q14645" s="5" t="s">
        <v>355</v>
      </c>
    </row>
    <row r="14646" ht="16.5" customHeight="1">
      <c r="O14646" s="5" t="s">
        <v>355</v>
      </c>
      <c r="P14646" s="5" t="s">
        <v>355</v>
      </c>
      <c r="Q14646" s="5" t="s">
        <v>355</v>
      </c>
    </row>
    <row r="14647" ht="16.5" customHeight="1">
      <c r="O14647" s="5" t="s">
        <v>355</v>
      </c>
      <c r="P14647" s="5" t="s">
        <v>355</v>
      </c>
      <c r="Q14647" s="5" t="s">
        <v>355</v>
      </c>
    </row>
    <row r="14648" ht="16.5" customHeight="1">
      <c r="O14648" s="5" t="s">
        <v>355</v>
      </c>
      <c r="P14648" s="5" t="s">
        <v>355</v>
      </c>
      <c r="Q14648" s="5" t="s">
        <v>355</v>
      </c>
    </row>
    <row r="14649" ht="16.5" customHeight="1">
      <c r="O14649" s="5" t="s">
        <v>355</v>
      </c>
      <c r="P14649" s="5" t="s">
        <v>355</v>
      </c>
      <c r="Q14649" s="5" t="s">
        <v>355</v>
      </c>
    </row>
    <row r="14650" ht="16.5" customHeight="1">
      <c r="O14650" s="5" t="s">
        <v>355</v>
      </c>
      <c r="P14650" s="5" t="s">
        <v>355</v>
      </c>
      <c r="Q14650" s="5" t="s">
        <v>355</v>
      </c>
    </row>
    <row r="14651" ht="16.5" customHeight="1">
      <c r="O14651" s="5" t="s">
        <v>355</v>
      </c>
      <c r="P14651" s="5" t="s">
        <v>355</v>
      </c>
      <c r="Q14651" s="5" t="s">
        <v>355</v>
      </c>
    </row>
    <row r="14652" ht="16.5" customHeight="1">
      <c r="O14652" s="5" t="s">
        <v>355</v>
      </c>
      <c r="P14652" s="5" t="s">
        <v>355</v>
      </c>
      <c r="Q14652" s="5" t="s">
        <v>355</v>
      </c>
    </row>
    <row r="14653" ht="16.5" customHeight="1">
      <c r="O14653" s="5" t="s">
        <v>355</v>
      </c>
      <c r="P14653" s="5" t="s">
        <v>355</v>
      </c>
      <c r="Q14653" s="5" t="s">
        <v>355</v>
      </c>
    </row>
    <row r="14654" ht="16.5" customHeight="1">
      <c r="O14654" s="5" t="s">
        <v>355</v>
      </c>
      <c r="P14654" s="5" t="s">
        <v>355</v>
      </c>
      <c r="Q14654" s="5" t="s">
        <v>355</v>
      </c>
    </row>
    <row r="14655" ht="16.5" customHeight="1">
      <c r="O14655" s="5" t="s">
        <v>355</v>
      </c>
      <c r="P14655" s="5" t="s">
        <v>355</v>
      </c>
      <c r="Q14655" s="5" t="s">
        <v>355</v>
      </c>
    </row>
    <row r="14656" ht="16.5" customHeight="1">
      <c r="O14656" s="5" t="s">
        <v>355</v>
      </c>
      <c r="P14656" s="5" t="s">
        <v>355</v>
      </c>
      <c r="Q14656" s="5" t="s">
        <v>355</v>
      </c>
    </row>
    <row r="14657" ht="16.5" customHeight="1">
      <c r="O14657" s="5" t="s">
        <v>355</v>
      </c>
      <c r="P14657" s="5" t="s">
        <v>355</v>
      </c>
      <c r="Q14657" s="5" t="s">
        <v>355</v>
      </c>
    </row>
    <row r="14658" ht="16.5" customHeight="1">
      <c r="O14658" s="5" t="s">
        <v>355</v>
      </c>
      <c r="P14658" s="5" t="s">
        <v>355</v>
      </c>
      <c r="Q14658" s="5" t="s">
        <v>355</v>
      </c>
    </row>
    <row r="14659" ht="16.5" customHeight="1">
      <c r="O14659" s="5" t="s">
        <v>355</v>
      </c>
      <c r="P14659" s="5" t="s">
        <v>355</v>
      </c>
      <c r="Q14659" s="5" t="s">
        <v>355</v>
      </c>
    </row>
    <row r="14660" ht="16.5" customHeight="1">
      <c r="O14660" s="5" t="s">
        <v>355</v>
      </c>
      <c r="P14660" s="5" t="s">
        <v>355</v>
      </c>
      <c r="Q14660" s="5" t="s">
        <v>355</v>
      </c>
    </row>
    <row r="14661" ht="16.5" customHeight="1">
      <c r="O14661" s="5" t="s">
        <v>355</v>
      </c>
      <c r="P14661" s="5" t="s">
        <v>355</v>
      </c>
      <c r="Q14661" s="5" t="s">
        <v>355</v>
      </c>
    </row>
    <row r="14662" ht="16.5" customHeight="1">
      <c r="O14662" s="5" t="s">
        <v>355</v>
      </c>
      <c r="P14662" s="5" t="s">
        <v>355</v>
      </c>
      <c r="Q14662" s="5" t="s">
        <v>355</v>
      </c>
    </row>
    <row r="14663" ht="16.5" customHeight="1">
      <c r="O14663" s="5" t="s">
        <v>355</v>
      </c>
      <c r="P14663" s="5" t="s">
        <v>355</v>
      </c>
      <c r="Q14663" s="5" t="s">
        <v>355</v>
      </c>
    </row>
    <row r="14664" ht="16.5" customHeight="1">
      <c r="O14664" s="5" t="s">
        <v>355</v>
      </c>
      <c r="P14664" s="5" t="s">
        <v>355</v>
      </c>
      <c r="Q14664" s="5" t="s">
        <v>355</v>
      </c>
    </row>
    <row r="14665" ht="16.5" customHeight="1">
      <c r="O14665" s="5" t="s">
        <v>355</v>
      </c>
      <c r="P14665" s="5" t="s">
        <v>355</v>
      </c>
      <c r="Q14665" s="5" t="s">
        <v>355</v>
      </c>
    </row>
    <row r="14666" ht="16.5" customHeight="1">
      <c r="O14666" s="5" t="s">
        <v>355</v>
      </c>
      <c r="P14666" s="5" t="s">
        <v>355</v>
      </c>
      <c r="Q14666" s="5" t="s">
        <v>355</v>
      </c>
    </row>
    <row r="14667" ht="16.5" customHeight="1">
      <c r="O14667" s="5" t="s">
        <v>355</v>
      </c>
      <c r="P14667" s="5" t="s">
        <v>355</v>
      </c>
      <c r="Q14667" s="5" t="s">
        <v>355</v>
      </c>
    </row>
    <row r="14668" ht="16.5" customHeight="1">
      <c r="O14668" s="5" t="s">
        <v>355</v>
      </c>
      <c r="P14668" s="5" t="s">
        <v>355</v>
      </c>
      <c r="Q14668" s="5" t="s">
        <v>355</v>
      </c>
    </row>
    <row r="14669" ht="16.5" customHeight="1">
      <c r="O14669" s="5" t="s">
        <v>355</v>
      </c>
      <c r="P14669" s="5" t="s">
        <v>355</v>
      </c>
      <c r="Q14669" s="5" t="s">
        <v>355</v>
      </c>
    </row>
    <row r="14670" ht="16.5" customHeight="1">
      <c r="O14670" s="5" t="s">
        <v>355</v>
      </c>
      <c r="P14670" s="5" t="s">
        <v>355</v>
      </c>
      <c r="Q14670" s="5" t="s">
        <v>355</v>
      </c>
    </row>
    <row r="14671" ht="16.5" customHeight="1">
      <c r="O14671" s="5" t="s">
        <v>355</v>
      </c>
      <c r="P14671" s="5" t="s">
        <v>355</v>
      </c>
      <c r="Q14671" s="5" t="s">
        <v>355</v>
      </c>
    </row>
    <row r="14672" ht="16.5" customHeight="1">
      <c r="O14672" s="5" t="s">
        <v>355</v>
      </c>
      <c r="P14672" s="5" t="s">
        <v>355</v>
      </c>
      <c r="Q14672" s="5" t="s">
        <v>355</v>
      </c>
    </row>
    <row r="14673" ht="16.5" customHeight="1">
      <c r="O14673" s="5" t="s">
        <v>355</v>
      </c>
      <c r="P14673" s="5" t="s">
        <v>355</v>
      </c>
      <c r="Q14673" s="5" t="s">
        <v>355</v>
      </c>
    </row>
    <row r="14674" ht="16.5" customHeight="1">
      <c r="O14674" s="5" t="s">
        <v>355</v>
      </c>
      <c r="P14674" s="5" t="s">
        <v>355</v>
      </c>
      <c r="Q14674" s="5" t="s">
        <v>355</v>
      </c>
    </row>
    <row r="14675" ht="16.5" customHeight="1">
      <c r="O14675" s="5" t="s">
        <v>355</v>
      </c>
      <c r="P14675" s="5" t="s">
        <v>355</v>
      </c>
      <c r="Q14675" s="5" t="s">
        <v>355</v>
      </c>
    </row>
    <row r="14676" ht="16.5" customHeight="1">
      <c r="O14676" s="5" t="s">
        <v>355</v>
      </c>
      <c r="P14676" s="5" t="s">
        <v>355</v>
      </c>
      <c r="Q14676" s="5" t="s">
        <v>355</v>
      </c>
    </row>
    <row r="14677" ht="16.5" customHeight="1">
      <c r="O14677" s="5" t="s">
        <v>355</v>
      </c>
      <c r="P14677" s="5" t="s">
        <v>355</v>
      </c>
      <c r="Q14677" s="5" t="s">
        <v>355</v>
      </c>
    </row>
    <row r="14678" ht="16.5" customHeight="1">
      <c r="O14678" s="5" t="s">
        <v>355</v>
      </c>
      <c r="P14678" s="5" t="s">
        <v>355</v>
      </c>
      <c r="Q14678" s="5" t="s">
        <v>355</v>
      </c>
    </row>
    <row r="14679" ht="16.5" customHeight="1">
      <c r="O14679" s="5" t="s">
        <v>355</v>
      </c>
      <c r="P14679" s="5" t="s">
        <v>355</v>
      </c>
      <c r="Q14679" s="5" t="s">
        <v>355</v>
      </c>
    </row>
    <row r="14680" ht="16.5" customHeight="1">
      <c r="O14680" s="5" t="s">
        <v>355</v>
      </c>
      <c r="P14680" s="5" t="s">
        <v>355</v>
      </c>
      <c r="Q14680" s="5" t="s">
        <v>355</v>
      </c>
    </row>
    <row r="14681" ht="16.5" customHeight="1">
      <c r="O14681" s="5" t="s">
        <v>355</v>
      </c>
      <c r="P14681" s="5" t="s">
        <v>355</v>
      </c>
      <c r="Q14681" s="5" t="s">
        <v>355</v>
      </c>
    </row>
    <row r="14682" ht="16.5" customHeight="1">
      <c r="O14682" s="5" t="s">
        <v>355</v>
      </c>
      <c r="P14682" s="5" t="s">
        <v>355</v>
      </c>
      <c r="Q14682" s="5" t="s">
        <v>355</v>
      </c>
    </row>
    <row r="14683" ht="16.5" customHeight="1">
      <c r="O14683" s="5" t="s">
        <v>355</v>
      </c>
      <c r="P14683" s="5" t="s">
        <v>355</v>
      </c>
      <c r="Q14683" s="5" t="s">
        <v>355</v>
      </c>
    </row>
    <row r="14684" ht="16.5" customHeight="1">
      <c r="O14684" s="5" t="s">
        <v>355</v>
      </c>
      <c r="P14684" s="5" t="s">
        <v>355</v>
      </c>
      <c r="Q14684" s="5" t="s">
        <v>355</v>
      </c>
    </row>
    <row r="14685" ht="16.5" customHeight="1">
      <c r="O14685" s="5" t="s">
        <v>355</v>
      </c>
      <c r="P14685" s="5" t="s">
        <v>355</v>
      </c>
      <c r="Q14685" s="5" t="s">
        <v>355</v>
      </c>
    </row>
    <row r="14686" ht="16.5" customHeight="1">
      <c r="O14686" s="5" t="s">
        <v>355</v>
      </c>
      <c r="P14686" s="5" t="s">
        <v>355</v>
      </c>
      <c r="Q14686" s="5" t="s">
        <v>355</v>
      </c>
    </row>
    <row r="14687" ht="16.5" customHeight="1">
      <c r="O14687" s="5" t="s">
        <v>355</v>
      </c>
      <c r="P14687" s="5" t="s">
        <v>355</v>
      </c>
      <c r="Q14687" s="5" t="s">
        <v>355</v>
      </c>
    </row>
    <row r="14688" ht="16.5" customHeight="1">
      <c r="O14688" s="5" t="s">
        <v>355</v>
      </c>
      <c r="P14688" s="5" t="s">
        <v>355</v>
      </c>
      <c r="Q14688" s="5" t="s">
        <v>355</v>
      </c>
    </row>
    <row r="14689" ht="16.5" customHeight="1">
      <c r="O14689" s="5" t="s">
        <v>355</v>
      </c>
      <c r="P14689" s="5" t="s">
        <v>355</v>
      </c>
      <c r="Q14689" s="5" t="s">
        <v>355</v>
      </c>
    </row>
    <row r="14690" ht="16.5" customHeight="1">
      <c r="O14690" s="5" t="s">
        <v>355</v>
      </c>
      <c r="P14690" s="5" t="s">
        <v>355</v>
      </c>
      <c r="Q14690" s="5" t="s">
        <v>355</v>
      </c>
    </row>
    <row r="14691" ht="16.5" customHeight="1">
      <c r="O14691" s="5" t="s">
        <v>355</v>
      </c>
      <c r="P14691" s="5" t="s">
        <v>355</v>
      </c>
      <c r="Q14691" s="5" t="s">
        <v>355</v>
      </c>
    </row>
    <row r="14692" ht="16.5" customHeight="1">
      <c r="O14692" s="5" t="s">
        <v>355</v>
      </c>
      <c r="P14692" s="5" t="s">
        <v>355</v>
      </c>
      <c r="Q14692" s="5" t="s">
        <v>355</v>
      </c>
    </row>
    <row r="14693" ht="16.5" customHeight="1">
      <c r="O14693" s="5" t="s">
        <v>355</v>
      </c>
      <c r="P14693" s="5" t="s">
        <v>355</v>
      </c>
      <c r="Q14693" s="5" t="s">
        <v>355</v>
      </c>
    </row>
    <row r="14694" ht="16.5" customHeight="1">
      <c r="O14694" s="5" t="s">
        <v>355</v>
      </c>
      <c r="P14694" s="5" t="s">
        <v>355</v>
      </c>
      <c r="Q14694" s="5" t="s">
        <v>355</v>
      </c>
    </row>
    <row r="14695" ht="16.5" customHeight="1">
      <c r="O14695" s="5" t="s">
        <v>355</v>
      </c>
      <c r="P14695" s="5" t="s">
        <v>355</v>
      </c>
      <c r="Q14695" s="5" t="s">
        <v>355</v>
      </c>
    </row>
    <row r="14696" ht="16.5" customHeight="1">
      <c r="O14696" s="5" t="s">
        <v>355</v>
      </c>
      <c r="P14696" s="5" t="s">
        <v>355</v>
      </c>
      <c r="Q14696" s="5" t="s">
        <v>355</v>
      </c>
    </row>
    <row r="14697" ht="16.5" customHeight="1">
      <c r="O14697" s="5" t="s">
        <v>355</v>
      </c>
      <c r="P14697" s="5" t="s">
        <v>355</v>
      </c>
      <c r="Q14697" s="5" t="s">
        <v>355</v>
      </c>
    </row>
    <row r="14698" ht="16.5" customHeight="1">
      <c r="O14698" s="5" t="s">
        <v>355</v>
      </c>
      <c r="P14698" s="5" t="s">
        <v>355</v>
      </c>
      <c r="Q14698" s="5" t="s">
        <v>355</v>
      </c>
    </row>
    <row r="14699" ht="16.5" customHeight="1">
      <c r="O14699" s="5" t="s">
        <v>355</v>
      </c>
      <c r="P14699" s="5" t="s">
        <v>355</v>
      </c>
      <c r="Q14699" s="5" t="s">
        <v>355</v>
      </c>
    </row>
    <row r="14700" ht="16.5" customHeight="1">
      <c r="O14700" s="5" t="s">
        <v>355</v>
      </c>
      <c r="P14700" s="5" t="s">
        <v>355</v>
      </c>
      <c r="Q14700" s="5" t="s">
        <v>355</v>
      </c>
    </row>
    <row r="14701" ht="16.5" customHeight="1">
      <c r="O14701" s="5" t="s">
        <v>355</v>
      </c>
      <c r="P14701" s="5" t="s">
        <v>355</v>
      </c>
      <c r="Q14701" s="5" t="s">
        <v>355</v>
      </c>
    </row>
    <row r="14702" ht="16.5" customHeight="1">
      <c r="O14702" s="5" t="s">
        <v>355</v>
      </c>
      <c r="P14702" s="5" t="s">
        <v>355</v>
      </c>
      <c r="Q14702" s="5" t="s">
        <v>355</v>
      </c>
    </row>
    <row r="14703" ht="16.5" customHeight="1">
      <c r="O14703" s="5" t="s">
        <v>355</v>
      </c>
      <c r="P14703" s="5" t="s">
        <v>355</v>
      </c>
      <c r="Q14703" s="5" t="s">
        <v>355</v>
      </c>
    </row>
    <row r="14704" ht="16.5" customHeight="1">
      <c r="O14704" s="5" t="s">
        <v>355</v>
      </c>
      <c r="P14704" s="5" t="s">
        <v>355</v>
      </c>
      <c r="Q14704" s="5" t="s">
        <v>355</v>
      </c>
    </row>
    <row r="14705" ht="16.5" customHeight="1">
      <c r="O14705" s="5" t="s">
        <v>355</v>
      </c>
      <c r="P14705" s="5" t="s">
        <v>355</v>
      </c>
      <c r="Q14705" s="5" t="s">
        <v>355</v>
      </c>
    </row>
    <row r="14706" ht="16.5" customHeight="1">
      <c r="O14706" s="5" t="s">
        <v>355</v>
      </c>
      <c r="P14706" s="5" t="s">
        <v>355</v>
      </c>
      <c r="Q14706" s="5" t="s">
        <v>355</v>
      </c>
    </row>
    <row r="14707" ht="16.5" customHeight="1">
      <c r="O14707" s="5" t="s">
        <v>355</v>
      </c>
      <c r="P14707" s="5" t="s">
        <v>355</v>
      </c>
      <c r="Q14707" s="5" t="s">
        <v>355</v>
      </c>
    </row>
    <row r="14708" ht="16.5" customHeight="1">
      <c r="O14708" s="5" t="s">
        <v>355</v>
      </c>
      <c r="P14708" s="5" t="s">
        <v>355</v>
      </c>
      <c r="Q14708" s="5" t="s">
        <v>355</v>
      </c>
    </row>
    <row r="14709" ht="16.5" customHeight="1">
      <c r="O14709" s="5" t="s">
        <v>355</v>
      </c>
      <c r="P14709" s="5" t="s">
        <v>355</v>
      </c>
      <c r="Q14709" s="5" t="s">
        <v>355</v>
      </c>
    </row>
    <row r="14710" ht="16.5" customHeight="1">
      <c r="O14710" s="5" t="s">
        <v>355</v>
      </c>
      <c r="P14710" s="5" t="s">
        <v>355</v>
      </c>
      <c r="Q14710" s="5" t="s">
        <v>355</v>
      </c>
    </row>
    <row r="14711" ht="16.5" customHeight="1">
      <c r="O14711" s="5" t="s">
        <v>355</v>
      </c>
      <c r="P14711" s="5" t="s">
        <v>355</v>
      </c>
      <c r="Q14711" s="5" t="s">
        <v>355</v>
      </c>
    </row>
    <row r="14712" ht="16.5" customHeight="1">
      <c r="O14712" s="5" t="s">
        <v>355</v>
      </c>
      <c r="P14712" s="5" t="s">
        <v>355</v>
      </c>
      <c r="Q14712" s="5" t="s">
        <v>355</v>
      </c>
    </row>
    <row r="14713" ht="16.5" customHeight="1">
      <c r="O14713" s="5" t="s">
        <v>355</v>
      </c>
      <c r="P14713" s="5" t="s">
        <v>355</v>
      </c>
      <c r="Q14713" s="5" t="s">
        <v>355</v>
      </c>
    </row>
    <row r="14714" ht="16.5" customHeight="1">
      <c r="O14714" s="5" t="s">
        <v>355</v>
      </c>
      <c r="P14714" s="5" t="s">
        <v>355</v>
      </c>
      <c r="Q14714" s="5" t="s">
        <v>355</v>
      </c>
    </row>
    <row r="14715" ht="16.5" customHeight="1">
      <c r="O14715" s="5" t="s">
        <v>355</v>
      </c>
      <c r="P14715" s="5" t="s">
        <v>355</v>
      </c>
      <c r="Q14715" s="5" t="s">
        <v>355</v>
      </c>
    </row>
    <row r="14716" ht="16.5" customHeight="1">
      <c r="O14716" s="5" t="s">
        <v>355</v>
      </c>
      <c r="P14716" s="5" t="s">
        <v>355</v>
      </c>
      <c r="Q14716" s="5" t="s">
        <v>355</v>
      </c>
    </row>
    <row r="14717" ht="16.5" customHeight="1">
      <c r="O14717" s="5" t="s">
        <v>355</v>
      </c>
      <c r="P14717" s="5" t="s">
        <v>355</v>
      </c>
      <c r="Q14717" s="5" t="s">
        <v>355</v>
      </c>
    </row>
    <row r="14718" ht="16.5" customHeight="1">
      <c r="O14718" s="5" t="s">
        <v>355</v>
      </c>
      <c r="P14718" s="5" t="s">
        <v>355</v>
      </c>
      <c r="Q14718" s="5" t="s">
        <v>355</v>
      </c>
    </row>
    <row r="14719" ht="16.5" customHeight="1">
      <c r="O14719" s="5" t="s">
        <v>355</v>
      </c>
      <c r="P14719" s="5" t="s">
        <v>355</v>
      </c>
      <c r="Q14719" s="5" t="s">
        <v>355</v>
      </c>
    </row>
    <row r="14720" ht="16.5" customHeight="1">
      <c r="O14720" s="5" t="s">
        <v>355</v>
      </c>
      <c r="P14720" s="5" t="s">
        <v>355</v>
      </c>
      <c r="Q14720" s="5" t="s">
        <v>355</v>
      </c>
    </row>
    <row r="14721" ht="16.5" customHeight="1">
      <c r="O14721" s="5" t="s">
        <v>355</v>
      </c>
      <c r="P14721" s="5" t="s">
        <v>355</v>
      </c>
      <c r="Q14721" s="5" t="s">
        <v>355</v>
      </c>
    </row>
    <row r="14722" ht="16.5" customHeight="1">
      <c r="O14722" s="5" t="s">
        <v>355</v>
      </c>
      <c r="P14722" s="5" t="s">
        <v>355</v>
      </c>
      <c r="Q14722" s="5" t="s">
        <v>355</v>
      </c>
    </row>
    <row r="14723" ht="16.5" customHeight="1">
      <c r="O14723" s="5" t="s">
        <v>355</v>
      </c>
      <c r="P14723" s="5" t="s">
        <v>355</v>
      </c>
      <c r="Q14723" s="5" t="s">
        <v>355</v>
      </c>
    </row>
    <row r="14724" ht="16.5" customHeight="1">
      <c r="O14724" s="5" t="s">
        <v>355</v>
      </c>
      <c r="P14724" s="5" t="s">
        <v>355</v>
      </c>
      <c r="Q14724" s="5" t="s">
        <v>355</v>
      </c>
    </row>
    <row r="14725" ht="16.5" customHeight="1">
      <c r="O14725" s="5" t="s">
        <v>355</v>
      </c>
      <c r="P14725" s="5" t="s">
        <v>355</v>
      </c>
      <c r="Q14725" s="5" t="s">
        <v>355</v>
      </c>
    </row>
    <row r="14726" ht="16.5" customHeight="1">
      <c r="O14726" s="5" t="s">
        <v>355</v>
      </c>
      <c r="P14726" s="5" t="s">
        <v>355</v>
      </c>
      <c r="Q14726" s="5" t="s">
        <v>355</v>
      </c>
    </row>
    <row r="14727" ht="16.5" customHeight="1">
      <c r="O14727" s="5" t="s">
        <v>355</v>
      </c>
      <c r="P14727" s="5" t="s">
        <v>355</v>
      </c>
      <c r="Q14727" s="5" t="s">
        <v>355</v>
      </c>
    </row>
    <row r="14728" ht="16.5" customHeight="1">
      <c r="O14728" s="5" t="s">
        <v>355</v>
      </c>
      <c r="P14728" s="5" t="s">
        <v>355</v>
      </c>
      <c r="Q14728" s="5" t="s">
        <v>355</v>
      </c>
    </row>
    <row r="14729" ht="16.5" customHeight="1">
      <c r="O14729" s="5" t="s">
        <v>355</v>
      </c>
      <c r="P14729" s="5" t="s">
        <v>355</v>
      </c>
      <c r="Q14729" s="5" t="s">
        <v>355</v>
      </c>
    </row>
    <row r="14730" ht="16.5" customHeight="1">
      <c r="O14730" s="5" t="s">
        <v>355</v>
      </c>
      <c r="P14730" s="5" t="s">
        <v>355</v>
      </c>
      <c r="Q14730" s="5" t="s">
        <v>355</v>
      </c>
    </row>
    <row r="14731" ht="16.5" customHeight="1">
      <c r="O14731" s="5" t="s">
        <v>355</v>
      </c>
      <c r="P14731" s="5" t="s">
        <v>355</v>
      </c>
      <c r="Q14731" s="5" t="s">
        <v>355</v>
      </c>
    </row>
    <row r="14732" ht="16.5" customHeight="1">
      <c r="O14732" s="5" t="s">
        <v>355</v>
      </c>
      <c r="P14732" s="5" t="s">
        <v>355</v>
      </c>
      <c r="Q14732" s="5" t="s">
        <v>355</v>
      </c>
    </row>
    <row r="14733" ht="16.5" customHeight="1">
      <c r="O14733" s="5" t="s">
        <v>355</v>
      </c>
      <c r="P14733" s="5" t="s">
        <v>355</v>
      </c>
      <c r="Q14733" s="5" t="s">
        <v>355</v>
      </c>
    </row>
    <row r="14734" ht="16.5" customHeight="1">
      <c r="O14734" s="5" t="s">
        <v>355</v>
      </c>
      <c r="P14734" s="5" t="s">
        <v>355</v>
      </c>
      <c r="Q14734" s="5" t="s">
        <v>355</v>
      </c>
    </row>
    <row r="14735" ht="16.5" customHeight="1">
      <c r="O14735" s="5" t="s">
        <v>355</v>
      </c>
      <c r="P14735" s="5" t="s">
        <v>355</v>
      </c>
      <c r="Q14735" s="5" t="s">
        <v>355</v>
      </c>
    </row>
    <row r="14736" ht="16.5" customHeight="1">
      <c r="O14736" s="5" t="s">
        <v>355</v>
      </c>
      <c r="P14736" s="5" t="s">
        <v>355</v>
      </c>
      <c r="Q14736" s="5" t="s">
        <v>355</v>
      </c>
    </row>
    <row r="14737" ht="16.5" customHeight="1">
      <c r="O14737" s="5" t="s">
        <v>355</v>
      </c>
      <c r="P14737" s="5" t="s">
        <v>355</v>
      </c>
      <c r="Q14737" s="5" t="s">
        <v>355</v>
      </c>
    </row>
    <row r="14738" ht="16.5" customHeight="1">
      <c r="O14738" s="5" t="s">
        <v>355</v>
      </c>
      <c r="P14738" s="5" t="s">
        <v>355</v>
      </c>
      <c r="Q14738" s="5" t="s">
        <v>355</v>
      </c>
    </row>
    <row r="14739" ht="16.5" customHeight="1">
      <c r="O14739" s="5" t="s">
        <v>355</v>
      </c>
      <c r="P14739" s="5" t="s">
        <v>355</v>
      </c>
      <c r="Q14739" s="5" t="s">
        <v>355</v>
      </c>
    </row>
    <row r="14740" ht="16.5" customHeight="1">
      <c r="O14740" s="5" t="s">
        <v>355</v>
      </c>
      <c r="P14740" s="5" t="s">
        <v>355</v>
      </c>
      <c r="Q14740" s="5" t="s">
        <v>355</v>
      </c>
    </row>
    <row r="14741" ht="16.5" customHeight="1">
      <c r="O14741" s="5" t="s">
        <v>355</v>
      </c>
      <c r="P14741" s="5" t="s">
        <v>355</v>
      </c>
      <c r="Q14741" s="5" t="s">
        <v>355</v>
      </c>
    </row>
    <row r="14742" ht="16.5" customHeight="1">
      <c r="O14742" s="5" t="s">
        <v>355</v>
      </c>
      <c r="P14742" s="5" t="s">
        <v>355</v>
      </c>
      <c r="Q14742" s="5" t="s">
        <v>355</v>
      </c>
    </row>
    <row r="14743" ht="16.5" customHeight="1">
      <c r="O14743" s="5" t="s">
        <v>355</v>
      </c>
      <c r="P14743" s="5" t="s">
        <v>355</v>
      </c>
      <c r="Q14743" s="5" t="s">
        <v>355</v>
      </c>
    </row>
    <row r="14744" ht="16.5" customHeight="1">
      <c r="O14744" s="5" t="s">
        <v>355</v>
      </c>
      <c r="P14744" s="5" t="s">
        <v>355</v>
      </c>
      <c r="Q14744" s="5" t="s">
        <v>355</v>
      </c>
    </row>
    <row r="14745" ht="16.5" customHeight="1">
      <c r="O14745" s="5" t="s">
        <v>355</v>
      </c>
      <c r="P14745" s="5" t="s">
        <v>355</v>
      </c>
      <c r="Q14745" s="5" t="s">
        <v>355</v>
      </c>
    </row>
    <row r="14746" ht="16.5" customHeight="1">
      <c r="O14746" s="5" t="s">
        <v>355</v>
      </c>
      <c r="P14746" s="5" t="s">
        <v>355</v>
      </c>
      <c r="Q14746" s="5" t="s">
        <v>355</v>
      </c>
    </row>
    <row r="14747" ht="16.5" customHeight="1">
      <c r="O14747" s="5" t="s">
        <v>355</v>
      </c>
      <c r="P14747" s="5" t="s">
        <v>355</v>
      </c>
      <c r="Q14747" s="5" t="s">
        <v>355</v>
      </c>
    </row>
    <row r="14748" ht="16.5" customHeight="1">
      <c r="O14748" s="5" t="s">
        <v>355</v>
      </c>
      <c r="P14748" s="5" t="s">
        <v>355</v>
      </c>
      <c r="Q14748" s="5" t="s">
        <v>355</v>
      </c>
    </row>
    <row r="14749" ht="16.5" customHeight="1">
      <c r="O14749" s="5" t="s">
        <v>355</v>
      </c>
      <c r="P14749" s="5" t="s">
        <v>355</v>
      </c>
      <c r="Q14749" s="5" t="s">
        <v>355</v>
      </c>
    </row>
    <row r="14750" ht="16.5" customHeight="1">
      <c r="O14750" s="5" t="s">
        <v>355</v>
      </c>
      <c r="P14750" s="5" t="s">
        <v>355</v>
      </c>
      <c r="Q14750" s="5" t="s">
        <v>355</v>
      </c>
    </row>
    <row r="14751" ht="16.5" customHeight="1">
      <c r="O14751" s="5" t="s">
        <v>355</v>
      </c>
      <c r="P14751" s="5" t="s">
        <v>355</v>
      </c>
      <c r="Q14751" s="5" t="s">
        <v>355</v>
      </c>
    </row>
    <row r="14752" ht="16.5" customHeight="1">
      <c r="O14752" s="5" t="s">
        <v>355</v>
      </c>
      <c r="P14752" s="5" t="s">
        <v>355</v>
      </c>
      <c r="Q14752" s="5" t="s">
        <v>355</v>
      </c>
    </row>
    <row r="14753" ht="16.5" customHeight="1">
      <c r="O14753" s="5" t="s">
        <v>355</v>
      </c>
      <c r="P14753" s="5" t="s">
        <v>355</v>
      </c>
      <c r="Q14753" s="5" t="s">
        <v>355</v>
      </c>
    </row>
    <row r="14754" ht="16.5" customHeight="1">
      <c r="O14754" s="5" t="s">
        <v>355</v>
      </c>
      <c r="P14754" s="5" t="s">
        <v>355</v>
      </c>
      <c r="Q14754" s="5" t="s">
        <v>355</v>
      </c>
    </row>
    <row r="14755" ht="16.5" customHeight="1">
      <c r="O14755" s="5" t="s">
        <v>355</v>
      </c>
      <c r="P14755" s="5" t="s">
        <v>355</v>
      </c>
      <c r="Q14755" s="5" t="s">
        <v>355</v>
      </c>
    </row>
    <row r="14756" ht="16.5" customHeight="1">
      <c r="O14756" s="5" t="s">
        <v>355</v>
      </c>
      <c r="P14756" s="5" t="s">
        <v>355</v>
      </c>
      <c r="Q14756" s="5" t="s">
        <v>355</v>
      </c>
    </row>
    <row r="14757" ht="16.5" customHeight="1">
      <c r="O14757" s="5" t="s">
        <v>355</v>
      </c>
      <c r="P14757" s="5" t="s">
        <v>355</v>
      </c>
      <c r="Q14757" s="5" t="s">
        <v>355</v>
      </c>
    </row>
    <row r="14758" ht="16.5" customHeight="1">
      <c r="O14758" s="5" t="s">
        <v>355</v>
      </c>
      <c r="P14758" s="5" t="s">
        <v>355</v>
      </c>
      <c r="Q14758" s="5" t="s">
        <v>355</v>
      </c>
    </row>
    <row r="14759" ht="16.5" customHeight="1">
      <c r="O14759" s="5" t="s">
        <v>355</v>
      </c>
      <c r="P14759" s="5" t="s">
        <v>355</v>
      </c>
      <c r="Q14759" s="5" t="s">
        <v>355</v>
      </c>
    </row>
    <row r="14760" ht="16.5" customHeight="1">
      <c r="O14760" s="5" t="s">
        <v>355</v>
      </c>
      <c r="P14760" s="5" t="s">
        <v>355</v>
      </c>
      <c r="Q14760" s="5" t="s">
        <v>355</v>
      </c>
    </row>
    <row r="14761" ht="16.5" customHeight="1">
      <c r="O14761" s="5" t="s">
        <v>355</v>
      </c>
      <c r="P14761" s="5" t="s">
        <v>355</v>
      </c>
      <c r="Q14761" s="5" t="s">
        <v>355</v>
      </c>
    </row>
    <row r="14762" ht="16.5" customHeight="1">
      <c r="O14762" s="5" t="s">
        <v>355</v>
      </c>
      <c r="P14762" s="5" t="s">
        <v>355</v>
      </c>
      <c r="Q14762" s="5" t="s">
        <v>355</v>
      </c>
    </row>
    <row r="14763" ht="16.5" customHeight="1">
      <c r="O14763" s="5" t="s">
        <v>355</v>
      </c>
      <c r="P14763" s="5" t="s">
        <v>355</v>
      </c>
      <c r="Q14763" s="5" t="s">
        <v>355</v>
      </c>
    </row>
    <row r="14764" ht="16.5" customHeight="1">
      <c r="O14764" s="5" t="s">
        <v>355</v>
      </c>
      <c r="P14764" s="5" t="s">
        <v>355</v>
      </c>
      <c r="Q14764" s="5" t="s">
        <v>355</v>
      </c>
    </row>
    <row r="14765" ht="16.5" customHeight="1">
      <c r="O14765" s="5" t="s">
        <v>355</v>
      </c>
      <c r="P14765" s="5" t="s">
        <v>355</v>
      </c>
      <c r="Q14765" s="5" t="s">
        <v>355</v>
      </c>
    </row>
    <row r="14766" ht="16.5" customHeight="1">
      <c r="O14766" s="5" t="s">
        <v>355</v>
      </c>
      <c r="P14766" s="5" t="s">
        <v>355</v>
      </c>
      <c r="Q14766" s="5" t="s">
        <v>355</v>
      </c>
    </row>
    <row r="14767" ht="16.5" customHeight="1">
      <c r="O14767" s="5" t="s">
        <v>355</v>
      </c>
      <c r="P14767" s="5" t="s">
        <v>355</v>
      </c>
      <c r="Q14767" s="5" t="s">
        <v>355</v>
      </c>
    </row>
    <row r="14768" ht="16.5" customHeight="1">
      <c r="O14768" s="5" t="s">
        <v>355</v>
      </c>
      <c r="P14768" s="5" t="s">
        <v>355</v>
      </c>
      <c r="Q14768" s="5" t="s">
        <v>355</v>
      </c>
    </row>
    <row r="14769" ht="16.5" customHeight="1">
      <c r="O14769" s="5" t="s">
        <v>355</v>
      </c>
      <c r="P14769" s="5" t="s">
        <v>355</v>
      </c>
      <c r="Q14769" s="5" t="s">
        <v>355</v>
      </c>
    </row>
    <row r="14770" ht="16.5" customHeight="1">
      <c r="O14770" s="5" t="s">
        <v>355</v>
      </c>
      <c r="P14770" s="5" t="s">
        <v>355</v>
      </c>
      <c r="Q14770" s="5" t="s">
        <v>355</v>
      </c>
    </row>
    <row r="14771" ht="16.5" customHeight="1">
      <c r="O14771" s="5" t="s">
        <v>355</v>
      </c>
      <c r="P14771" s="5" t="s">
        <v>355</v>
      </c>
      <c r="Q14771" s="5" t="s">
        <v>355</v>
      </c>
    </row>
    <row r="14772" ht="16.5" customHeight="1">
      <c r="O14772" s="5" t="s">
        <v>355</v>
      </c>
      <c r="P14772" s="5" t="s">
        <v>355</v>
      </c>
      <c r="Q14772" s="5" t="s">
        <v>355</v>
      </c>
    </row>
    <row r="14773" ht="16.5" customHeight="1">
      <c r="O14773" s="5" t="s">
        <v>355</v>
      </c>
      <c r="P14773" s="5" t="s">
        <v>355</v>
      </c>
      <c r="Q14773" s="5" t="s">
        <v>355</v>
      </c>
    </row>
    <row r="14774" ht="16.5" customHeight="1">
      <c r="O14774" s="5" t="s">
        <v>355</v>
      </c>
      <c r="P14774" s="5" t="s">
        <v>355</v>
      </c>
      <c r="Q14774" s="5" t="s">
        <v>355</v>
      </c>
    </row>
    <row r="14775" ht="16.5" customHeight="1">
      <c r="O14775" s="5" t="s">
        <v>355</v>
      </c>
      <c r="P14775" s="5" t="s">
        <v>355</v>
      </c>
      <c r="Q14775" s="5" t="s">
        <v>355</v>
      </c>
    </row>
    <row r="14776" ht="16.5" customHeight="1">
      <c r="O14776" s="5" t="s">
        <v>355</v>
      </c>
      <c r="P14776" s="5" t="s">
        <v>355</v>
      </c>
      <c r="Q14776" s="5" t="s">
        <v>355</v>
      </c>
    </row>
    <row r="14777" ht="16.5" customHeight="1">
      <c r="O14777" s="5" t="s">
        <v>355</v>
      </c>
      <c r="P14777" s="5" t="s">
        <v>355</v>
      </c>
      <c r="Q14777" s="5" t="s">
        <v>355</v>
      </c>
    </row>
    <row r="14778" ht="16.5" customHeight="1">
      <c r="O14778" s="5" t="s">
        <v>355</v>
      </c>
      <c r="P14778" s="5" t="s">
        <v>355</v>
      </c>
      <c r="Q14778" s="5" t="s">
        <v>355</v>
      </c>
    </row>
    <row r="14779" ht="16.5" customHeight="1">
      <c r="O14779" s="5" t="s">
        <v>355</v>
      </c>
      <c r="P14779" s="5" t="s">
        <v>355</v>
      </c>
      <c r="Q14779" s="5" t="s">
        <v>355</v>
      </c>
    </row>
    <row r="14780" ht="16.5" customHeight="1">
      <c r="O14780" s="5" t="s">
        <v>355</v>
      </c>
      <c r="P14780" s="5" t="s">
        <v>355</v>
      </c>
      <c r="Q14780" s="5" t="s">
        <v>355</v>
      </c>
    </row>
    <row r="14781" ht="16.5" customHeight="1">
      <c r="O14781" s="5" t="s">
        <v>355</v>
      </c>
      <c r="P14781" s="5" t="s">
        <v>355</v>
      </c>
      <c r="Q14781" s="5" t="s">
        <v>355</v>
      </c>
    </row>
    <row r="14782" ht="16.5" customHeight="1">
      <c r="O14782" s="5" t="s">
        <v>355</v>
      </c>
      <c r="P14782" s="5" t="s">
        <v>355</v>
      </c>
      <c r="Q14782" s="5" t="s">
        <v>355</v>
      </c>
    </row>
    <row r="14783" ht="16.5" customHeight="1">
      <c r="O14783" s="5" t="s">
        <v>355</v>
      </c>
      <c r="P14783" s="5" t="s">
        <v>355</v>
      </c>
      <c r="Q14783" s="5" t="s">
        <v>355</v>
      </c>
    </row>
    <row r="14784" ht="16.5" customHeight="1">
      <c r="O14784" s="5" t="s">
        <v>355</v>
      </c>
      <c r="P14784" s="5" t="s">
        <v>355</v>
      </c>
      <c r="Q14784" s="5" t="s">
        <v>355</v>
      </c>
    </row>
    <row r="14785" ht="16.5" customHeight="1">
      <c r="O14785" s="5" t="s">
        <v>355</v>
      </c>
      <c r="P14785" s="5" t="s">
        <v>355</v>
      </c>
      <c r="Q14785" s="5" t="s">
        <v>355</v>
      </c>
    </row>
    <row r="14786" ht="16.5" customHeight="1">
      <c r="O14786" s="5" t="s">
        <v>355</v>
      </c>
      <c r="P14786" s="5" t="s">
        <v>355</v>
      </c>
      <c r="Q14786" s="5" t="s">
        <v>355</v>
      </c>
    </row>
    <row r="14787" ht="16.5" customHeight="1">
      <c r="O14787" s="5" t="s">
        <v>355</v>
      </c>
      <c r="P14787" s="5" t="s">
        <v>355</v>
      </c>
      <c r="Q14787" s="5" t="s">
        <v>355</v>
      </c>
    </row>
    <row r="14788" ht="16.5" customHeight="1">
      <c r="O14788" s="5" t="s">
        <v>355</v>
      </c>
      <c r="P14788" s="5" t="s">
        <v>355</v>
      </c>
      <c r="Q14788" s="5" t="s">
        <v>355</v>
      </c>
    </row>
    <row r="14789" ht="16.5" customHeight="1">
      <c r="O14789" s="5" t="s">
        <v>355</v>
      </c>
      <c r="P14789" s="5" t="s">
        <v>355</v>
      </c>
      <c r="Q14789" s="5" t="s">
        <v>355</v>
      </c>
    </row>
    <row r="14790" ht="16.5" customHeight="1">
      <c r="O14790" s="5" t="s">
        <v>355</v>
      </c>
      <c r="P14790" s="5" t="s">
        <v>355</v>
      </c>
      <c r="Q14790" s="5" t="s">
        <v>355</v>
      </c>
    </row>
    <row r="14791" ht="16.5" customHeight="1">
      <c r="O14791" s="5" t="s">
        <v>355</v>
      </c>
      <c r="P14791" s="5" t="s">
        <v>355</v>
      </c>
      <c r="Q14791" s="5" t="s">
        <v>355</v>
      </c>
    </row>
    <row r="14792" ht="16.5" customHeight="1">
      <c r="O14792" s="5" t="s">
        <v>355</v>
      </c>
      <c r="P14792" s="5" t="s">
        <v>355</v>
      </c>
      <c r="Q14792" s="5" t="s">
        <v>355</v>
      </c>
    </row>
    <row r="14793" ht="16.5" customHeight="1">
      <c r="O14793" s="5" t="s">
        <v>355</v>
      </c>
      <c r="P14793" s="5" t="s">
        <v>355</v>
      </c>
      <c r="Q14793" s="5" t="s">
        <v>355</v>
      </c>
    </row>
    <row r="14794" ht="16.5" customHeight="1">
      <c r="O14794" s="5" t="s">
        <v>355</v>
      </c>
      <c r="P14794" s="5" t="s">
        <v>355</v>
      </c>
      <c r="Q14794" s="5" t="s">
        <v>355</v>
      </c>
    </row>
    <row r="14795" ht="16.5" customHeight="1">
      <c r="O14795" s="5" t="s">
        <v>355</v>
      </c>
      <c r="P14795" s="5" t="s">
        <v>355</v>
      </c>
      <c r="Q14795" s="5" t="s">
        <v>355</v>
      </c>
    </row>
    <row r="14796" ht="16.5" customHeight="1">
      <c r="O14796" s="5" t="s">
        <v>355</v>
      </c>
      <c r="P14796" s="5" t="s">
        <v>355</v>
      </c>
      <c r="Q14796" s="5" t="s">
        <v>355</v>
      </c>
    </row>
    <row r="14797" ht="16.5" customHeight="1">
      <c r="O14797" s="5" t="s">
        <v>355</v>
      </c>
      <c r="P14797" s="5" t="s">
        <v>355</v>
      </c>
      <c r="Q14797" s="5" t="s">
        <v>355</v>
      </c>
    </row>
    <row r="14798" ht="16.5" customHeight="1">
      <c r="O14798" s="5" t="s">
        <v>355</v>
      </c>
      <c r="P14798" s="5" t="s">
        <v>355</v>
      </c>
      <c r="Q14798" s="5" t="s">
        <v>355</v>
      </c>
    </row>
    <row r="14799" ht="16.5" customHeight="1">
      <c r="O14799" s="5" t="s">
        <v>355</v>
      </c>
      <c r="P14799" s="5" t="s">
        <v>355</v>
      </c>
      <c r="Q14799" s="5" t="s">
        <v>355</v>
      </c>
    </row>
    <row r="14800" ht="16.5" customHeight="1">
      <c r="O14800" s="5" t="s">
        <v>355</v>
      </c>
      <c r="P14800" s="5" t="s">
        <v>355</v>
      </c>
      <c r="Q14800" s="5" t="s">
        <v>355</v>
      </c>
    </row>
    <row r="14801" ht="16.5" customHeight="1">
      <c r="O14801" s="5" t="s">
        <v>355</v>
      </c>
      <c r="P14801" s="5" t="s">
        <v>355</v>
      </c>
      <c r="Q14801" s="5" t="s">
        <v>355</v>
      </c>
    </row>
    <row r="14802" ht="16.5" customHeight="1">
      <c r="O14802" s="5" t="s">
        <v>355</v>
      </c>
      <c r="P14802" s="5" t="s">
        <v>355</v>
      </c>
      <c r="Q14802" s="5" t="s">
        <v>355</v>
      </c>
    </row>
    <row r="14803" ht="16.5" customHeight="1">
      <c r="O14803" s="5" t="s">
        <v>355</v>
      </c>
      <c r="P14803" s="5" t="s">
        <v>355</v>
      </c>
      <c r="Q14803" s="5" t="s">
        <v>355</v>
      </c>
    </row>
    <row r="14804" ht="16.5" customHeight="1">
      <c r="O14804" s="5" t="s">
        <v>355</v>
      </c>
      <c r="P14804" s="5" t="s">
        <v>355</v>
      </c>
      <c r="Q14804" s="5" t="s">
        <v>355</v>
      </c>
    </row>
    <row r="14805" ht="16.5" customHeight="1">
      <c r="O14805" s="5" t="s">
        <v>355</v>
      </c>
      <c r="P14805" s="5" t="s">
        <v>355</v>
      </c>
      <c r="Q14805" s="5" t="s">
        <v>355</v>
      </c>
    </row>
    <row r="14806" ht="16.5" customHeight="1">
      <c r="O14806" s="5" t="s">
        <v>355</v>
      </c>
      <c r="P14806" s="5" t="s">
        <v>355</v>
      </c>
      <c r="Q14806" s="5" t="s">
        <v>355</v>
      </c>
    </row>
    <row r="14807" ht="16.5" customHeight="1">
      <c r="O14807" s="5" t="s">
        <v>355</v>
      </c>
      <c r="P14807" s="5" t="s">
        <v>355</v>
      </c>
      <c r="Q14807" s="5" t="s">
        <v>355</v>
      </c>
    </row>
    <row r="14808" ht="16.5" customHeight="1">
      <c r="O14808" s="5" t="s">
        <v>355</v>
      </c>
      <c r="P14808" s="5" t="s">
        <v>355</v>
      </c>
      <c r="Q14808" s="5" t="s">
        <v>355</v>
      </c>
    </row>
    <row r="14809" ht="16.5" customHeight="1">
      <c r="O14809" s="5" t="s">
        <v>355</v>
      </c>
      <c r="P14809" s="5" t="s">
        <v>355</v>
      </c>
      <c r="Q14809" s="5" t="s">
        <v>355</v>
      </c>
    </row>
    <row r="14810" ht="16.5" customHeight="1">
      <c r="O14810" s="5" t="s">
        <v>355</v>
      </c>
      <c r="P14810" s="5" t="s">
        <v>355</v>
      </c>
      <c r="Q14810" s="5" t="s">
        <v>355</v>
      </c>
    </row>
    <row r="14811" ht="16.5" customHeight="1">
      <c r="O14811" s="5" t="s">
        <v>355</v>
      </c>
      <c r="P14811" s="5" t="s">
        <v>355</v>
      </c>
      <c r="Q14811" s="5" t="s">
        <v>355</v>
      </c>
    </row>
    <row r="14812" ht="16.5" customHeight="1">
      <c r="O14812" s="5" t="s">
        <v>355</v>
      </c>
      <c r="P14812" s="5" t="s">
        <v>355</v>
      </c>
      <c r="Q14812" s="5" t="s">
        <v>355</v>
      </c>
    </row>
    <row r="14813" ht="16.5" customHeight="1">
      <c r="O14813" s="5" t="s">
        <v>355</v>
      </c>
      <c r="P14813" s="5" t="s">
        <v>355</v>
      </c>
      <c r="Q14813" s="5" t="s">
        <v>355</v>
      </c>
    </row>
    <row r="14814" ht="16.5" customHeight="1">
      <c r="O14814" s="5" t="s">
        <v>355</v>
      </c>
      <c r="P14814" s="5" t="s">
        <v>355</v>
      </c>
      <c r="Q14814" s="5" t="s">
        <v>355</v>
      </c>
    </row>
    <row r="14815" ht="16.5" customHeight="1">
      <c r="O14815" s="5" t="s">
        <v>355</v>
      </c>
      <c r="P14815" s="5" t="s">
        <v>355</v>
      </c>
      <c r="Q14815" s="5" t="s">
        <v>355</v>
      </c>
    </row>
    <row r="14816" ht="16.5" customHeight="1">
      <c r="O14816" s="5" t="s">
        <v>355</v>
      </c>
      <c r="P14816" s="5" t="s">
        <v>355</v>
      </c>
      <c r="Q14816" s="5" t="s">
        <v>355</v>
      </c>
    </row>
    <row r="14817" ht="16.5" customHeight="1">
      <c r="O14817" s="5" t="s">
        <v>355</v>
      </c>
      <c r="P14817" s="5" t="s">
        <v>355</v>
      </c>
      <c r="Q14817" s="5" t="s">
        <v>355</v>
      </c>
    </row>
    <row r="14818" ht="16.5" customHeight="1">
      <c r="O14818" s="5" t="s">
        <v>355</v>
      </c>
      <c r="P14818" s="5" t="s">
        <v>355</v>
      </c>
      <c r="Q14818" s="5" t="s">
        <v>355</v>
      </c>
    </row>
    <row r="14819" ht="16.5" customHeight="1">
      <c r="O14819" s="5" t="s">
        <v>355</v>
      </c>
      <c r="P14819" s="5" t="s">
        <v>355</v>
      </c>
      <c r="Q14819" s="5" t="s">
        <v>355</v>
      </c>
    </row>
    <row r="14820" ht="16.5" customHeight="1">
      <c r="O14820" s="5" t="s">
        <v>355</v>
      </c>
      <c r="P14820" s="5" t="s">
        <v>355</v>
      </c>
      <c r="Q14820" s="5" t="s">
        <v>355</v>
      </c>
    </row>
    <row r="14821" ht="16.5" customHeight="1">
      <c r="O14821" s="5" t="s">
        <v>355</v>
      </c>
      <c r="P14821" s="5" t="s">
        <v>355</v>
      </c>
      <c r="Q14821" s="5" t="s">
        <v>355</v>
      </c>
    </row>
    <row r="14822" ht="16.5" customHeight="1">
      <c r="O14822" s="5" t="s">
        <v>355</v>
      </c>
      <c r="P14822" s="5" t="s">
        <v>355</v>
      </c>
      <c r="Q14822" s="5" t="s">
        <v>355</v>
      </c>
    </row>
    <row r="14823" ht="16.5" customHeight="1">
      <c r="O14823" s="5" t="s">
        <v>355</v>
      </c>
      <c r="P14823" s="5" t="s">
        <v>355</v>
      </c>
      <c r="Q14823" s="5" t="s">
        <v>355</v>
      </c>
    </row>
    <row r="14824" ht="16.5" customHeight="1">
      <c r="O14824" s="5" t="s">
        <v>355</v>
      </c>
      <c r="P14824" s="5" t="s">
        <v>355</v>
      </c>
      <c r="Q14824" s="5" t="s">
        <v>355</v>
      </c>
    </row>
    <row r="14825" ht="16.5" customHeight="1">
      <c r="O14825" s="5" t="s">
        <v>355</v>
      </c>
      <c r="P14825" s="5" t="s">
        <v>355</v>
      </c>
      <c r="Q14825" s="5" t="s">
        <v>355</v>
      </c>
    </row>
    <row r="14826" ht="16.5" customHeight="1">
      <c r="O14826" s="5" t="s">
        <v>355</v>
      </c>
      <c r="P14826" s="5" t="s">
        <v>355</v>
      </c>
      <c r="Q14826" s="5" t="s">
        <v>355</v>
      </c>
    </row>
    <row r="14827" ht="16.5" customHeight="1">
      <c r="O14827" s="5" t="s">
        <v>355</v>
      </c>
      <c r="P14827" s="5" t="s">
        <v>355</v>
      </c>
      <c r="Q14827" s="5" t="s">
        <v>355</v>
      </c>
    </row>
    <row r="14828" ht="16.5" customHeight="1">
      <c r="O14828" s="5" t="s">
        <v>355</v>
      </c>
      <c r="P14828" s="5" t="s">
        <v>355</v>
      </c>
      <c r="Q14828" s="5" t="s">
        <v>355</v>
      </c>
    </row>
    <row r="14829" ht="16.5" customHeight="1">
      <c r="O14829" s="5" t="s">
        <v>355</v>
      </c>
      <c r="P14829" s="5" t="s">
        <v>355</v>
      </c>
      <c r="Q14829" s="5" t="s">
        <v>355</v>
      </c>
    </row>
    <row r="14830" ht="16.5" customHeight="1">
      <c r="O14830" s="5" t="s">
        <v>355</v>
      </c>
      <c r="P14830" s="5" t="s">
        <v>355</v>
      </c>
      <c r="Q14830" s="5" t="s">
        <v>355</v>
      </c>
    </row>
    <row r="14831" ht="16.5" customHeight="1">
      <c r="O14831" s="5" t="s">
        <v>355</v>
      </c>
      <c r="P14831" s="5" t="s">
        <v>355</v>
      </c>
      <c r="Q14831" s="5" t="s">
        <v>355</v>
      </c>
    </row>
    <row r="14832" ht="16.5" customHeight="1">
      <c r="O14832" s="5" t="s">
        <v>355</v>
      </c>
      <c r="P14832" s="5" t="s">
        <v>355</v>
      </c>
      <c r="Q14832" s="5" t="s">
        <v>355</v>
      </c>
    </row>
    <row r="14833" ht="16.5" customHeight="1">
      <c r="O14833" s="5" t="s">
        <v>355</v>
      </c>
      <c r="P14833" s="5" t="s">
        <v>355</v>
      </c>
      <c r="Q14833" s="5" t="s">
        <v>355</v>
      </c>
    </row>
    <row r="14834" ht="16.5" customHeight="1">
      <c r="O14834" s="5" t="s">
        <v>355</v>
      </c>
      <c r="P14834" s="5" t="s">
        <v>355</v>
      </c>
      <c r="Q14834" s="5" t="s">
        <v>355</v>
      </c>
    </row>
    <row r="14835" ht="16.5" customHeight="1">
      <c r="O14835" s="5" t="s">
        <v>355</v>
      </c>
      <c r="P14835" s="5" t="s">
        <v>355</v>
      </c>
      <c r="Q14835" s="5" t="s">
        <v>355</v>
      </c>
    </row>
    <row r="14836" ht="16.5" customHeight="1">
      <c r="O14836" s="5" t="s">
        <v>355</v>
      </c>
      <c r="P14836" s="5" t="s">
        <v>355</v>
      </c>
      <c r="Q14836" s="5" t="s">
        <v>355</v>
      </c>
    </row>
    <row r="14837" ht="16.5" customHeight="1">
      <c r="O14837" s="5" t="s">
        <v>355</v>
      </c>
      <c r="P14837" s="5" t="s">
        <v>355</v>
      </c>
      <c r="Q14837" s="5" t="s">
        <v>355</v>
      </c>
    </row>
    <row r="14838" ht="16.5" customHeight="1">
      <c r="O14838" s="5" t="s">
        <v>355</v>
      </c>
      <c r="P14838" s="5" t="s">
        <v>355</v>
      </c>
      <c r="Q14838" s="5" t="s">
        <v>355</v>
      </c>
    </row>
    <row r="14839" ht="16.5" customHeight="1">
      <c r="O14839" s="5" t="s">
        <v>355</v>
      </c>
      <c r="P14839" s="5" t="s">
        <v>355</v>
      </c>
      <c r="Q14839" s="5" t="s">
        <v>355</v>
      </c>
    </row>
    <row r="14840" ht="16.5" customHeight="1">
      <c r="O14840" s="5" t="s">
        <v>355</v>
      </c>
      <c r="P14840" s="5" t="s">
        <v>355</v>
      </c>
      <c r="Q14840" s="5" t="s">
        <v>355</v>
      </c>
    </row>
    <row r="14841" ht="16.5" customHeight="1">
      <c r="O14841" s="5" t="s">
        <v>355</v>
      </c>
      <c r="P14841" s="5" t="s">
        <v>355</v>
      </c>
      <c r="Q14841" s="5" t="s">
        <v>355</v>
      </c>
    </row>
    <row r="14842" ht="16.5" customHeight="1">
      <c r="O14842" s="5" t="s">
        <v>355</v>
      </c>
      <c r="P14842" s="5" t="s">
        <v>355</v>
      </c>
      <c r="Q14842" s="5" t="s">
        <v>355</v>
      </c>
    </row>
    <row r="14843" ht="16.5" customHeight="1">
      <c r="O14843" s="5" t="s">
        <v>355</v>
      </c>
      <c r="P14843" s="5" t="s">
        <v>355</v>
      </c>
      <c r="Q14843" s="5" t="s">
        <v>355</v>
      </c>
    </row>
    <row r="14844" ht="16.5" customHeight="1">
      <c r="O14844" s="5" t="s">
        <v>355</v>
      </c>
      <c r="P14844" s="5" t="s">
        <v>355</v>
      </c>
      <c r="Q14844" s="5" t="s">
        <v>355</v>
      </c>
    </row>
    <row r="14845" ht="16.5" customHeight="1">
      <c r="O14845" s="5" t="s">
        <v>355</v>
      </c>
      <c r="P14845" s="5" t="s">
        <v>355</v>
      </c>
      <c r="Q14845" s="5" t="s">
        <v>355</v>
      </c>
    </row>
    <row r="14846" ht="16.5" customHeight="1">
      <c r="O14846" s="5" t="s">
        <v>355</v>
      </c>
      <c r="P14846" s="5" t="s">
        <v>355</v>
      </c>
      <c r="Q14846" s="5" t="s">
        <v>355</v>
      </c>
    </row>
    <row r="14847" ht="16.5" customHeight="1">
      <c r="O14847" s="5" t="s">
        <v>355</v>
      </c>
      <c r="P14847" s="5" t="s">
        <v>355</v>
      </c>
      <c r="Q14847" s="5" t="s">
        <v>355</v>
      </c>
    </row>
    <row r="14848" ht="16.5" customHeight="1">
      <c r="O14848" s="5" t="s">
        <v>355</v>
      </c>
      <c r="P14848" s="5" t="s">
        <v>355</v>
      </c>
      <c r="Q14848" s="5" t="s">
        <v>355</v>
      </c>
    </row>
    <row r="14849" ht="16.5" customHeight="1">
      <c r="O14849" s="5" t="s">
        <v>355</v>
      </c>
      <c r="P14849" s="5" t="s">
        <v>355</v>
      </c>
      <c r="Q14849" s="5" t="s">
        <v>355</v>
      </c>
    </row>
    <row r="14850" ht="16.5" customHeight="1">
      <c r="O14850" s="5" t="s">
        <v>355</v>
      </c>
      <c r="P14850" s="5" t="s">
        <v>355</v>
      </c>
      <c r="Q14850" s="5" t="s">
        <v>355</v>
      </c>
    </row>
    <row r="14851" ht="16.5" customHeight="1">
      <c r="O14851" s="5" t="s">
        <v>355</v>
      </c>
      <c r="P14851" s="5" t="s">
        <v>355</v>
      </c>
      <c r="Q14851" s="5" t="s">
        <v>355</v>
      </c>
    </row>
    <row r="14852" ht="16.5" customHeight="1">
      <c r="O14852" s="5" t="s">
        <v>355</v>
      </c>
      <c r="P14852" s="5" t="s">
        <v>355</v>
      </c>
      <c r="Q14852" s="5" t="s">
        <v>355</v>
      </c>
    </row>
    <row r="14853" ht="16.5" customHeight="1">
      <c r="O14853" s="5" t="s">
        <v>355</v>
      </c>
      <c r="P14853" s="5" t="s">
        <v>355</v>
      </c>
      <c r="Q14853" s="5" t="s">
        <v>355</v>
      </c>
    </row>
    <row r="14854" ht="16.5" customHeight="1">
      <c r="O14854" s="5" t="s">
        <v>355</v>
      </c>
      <c r="P14854" s="5" t="s">
        <v>355</v>
      </c>
      <c r="Q14854" s="5" t="s">
        <v>355</v>
      </c>
    </row>
    <row r="14855" ht="16.5" customHeight="1">
      <c r="O14855" s="5" t="s">
        <v>355</v>
      </c>
      <c r="P14855" s="5" t="s">
        <v>355</v>
      </c>
      <c r="Q14855" s="5" t="s">
        <v>355</v>
      </c>
    </row>
    <row r="14856" ht="16.5" customHeight="1">
      <c r="O14856" s="5" t="s">
        <v>355</v>
      </c>
      <c r="P14856" s="5" t="s">
        <v>355</v>
      </c>
      <c r="Q14856" s="5" t="s">
        <v>355</v>
      </c>
    </row>
    <row r="14857" ht="16.5" customHeight="1">
      <c r="O14857" s="5" t="s">
        <v>355</v>
      </c>
      <c r="P14857" s="5" t="s">
        <v>355</v>
      </c>
      <c r="Q14857" s="5" t="s">
        <v>355</v>
      </c>
    </row>
    <row r="14858" ht="16.5" customHeight="1">
      <c r="O14858" s="5" t="s">
        <v>355</v>
      </c>
      <c r="P14858" s="5" t="s">
        <v>355</v>
      </c>
      <c r="Q14858" s="5" t="s">
        <v>355</v>
      </c>
    </row>
    <row r="14859" ht="16.5" customHeight="1">
      <c r="O14859" s="5" t="s">
        <v>355</v>
      </c>
      <c r="P14859" s="5" t="s">
        <v>355</v>
      </c>
      <c r="Q14859" s="5" t="s">
        <v>355</v>
      </c>
    </row>
    <row r="14860" ht="16.5" customHeight="1">
      <c r="O14860" s="5" t="s">
        <v>355</v>
      </c>
      <c r="P14860" s="5" t="s">
        <v>355</v>
      </c>
      <c r="Q14860" s="5" t="s">
        <v>355</v>
      </c>
    </row>
    <row r="14861" ht="16.5" customHeight="1">
      <c r="O14861" s="5" t="s">
        <v>355</v>
      </c>
      <c r="P14861" s="5" t="s">
        <v>355</v>
      </c>
      <c r="Q14861" s="5" t="s">
        <v>355</v>
      </c>
    </row>
    <row r="14862" ht="16.5" customHeight="1">
      <c r="O14862" s="5" t="s">
        <v>355</v>
      </c>
      <c r="P14862" s="5" t="s">
        <v>355</v>
      </c>
      <c r="Q14862" s="5" t="s">
        <v>355</v>
      </c>
    </row>
    <row r="14863" ht="16.5" customHeight="1">
      <c r="O14863" s="5" t="s">
        <v>355</v>
      </c>
      <c r="P14863" s="5" t="s">
        <v>355</v>
      </c>
      <c r="Q14863" s="5" t="s">
        <v>355</v>
      </c>
    </row>
    <row r="14864" ht="16.5" customHeight="1">
      <c r="O14864" s="5" t="s">
        <v>355</v>
      </c>
      <c r="P14864" s="5" t="s">
        <v>355</v>
      </c>
      <c r="Q14864" s="5" t="s">
        <v>355</v>
      </c>
    </row>
    <row r="14865" ht="16.5" customHeight="1">
      <c r="O14865" s="5" t="s">
        <v>355</v>
      </c>
      <c r="P14865" s="5" t="s">
        <v>355</v>
      </c>
      <c r="Q14865" s="5" t="s">
        <v>355</v>
      </c>
    </row>
    <row r="14866" ht="16.5" customHeight="1">
      <c r="O14866" s="5" t="s">
        <v>355</v>
      </c>
      <c r="P14866" s="5" t="s">
        <v>355</v>
      </c>
      <c r="Q14866" s="5" t="s">
        <v>355</v>
      </c>
    </row>
    <row r="14867" ht="16.5" customHeight="1">
      <c r="O14867" s="5" t="s">
        <v>355</v>
      </c>
      <c r="P14867" s="5" t="s">
        <v>355</v>
      </c>
      <c r="Q14867" s="5" t="s">
        <v>355</v>
      </c>
    </row>
    <row r="14868" ht="16.5" customHeight="1">
      <c r="O14868" s="5" t="s">
        <v>355</v>
      </c>
      <c r="P14868" s="5" t="s">
        <v>355</v>
      </c>
      <c r="Q14868" s="5" t="s">
        <v>355</v>
      </c>
    </row>
    <row r="14869" ht="16.5" customHeight="1">
      <c r="O14869" s="5" t="s">
        <v>355</v>
      </c>
      <c r="P14869" s="5" t="s">
        <v>355</v>
      </c>
      <c r="Q14869" s="5" t="s">
        <v>355</v>
      </c>
    </row>
    <row r="14870" ht="16.5" customHeight="1">
      <c r="O14870" s="5" t="s">
        <v>355</v>
      </c>
      <c r="P14870" s="5" t="s">
        <v>355</v>
      </c>
      <c r="Q14870" s="5" t="s">
        <v>355</v>
      </c>
    </row>
    <row r="14871" ht="16.5" customHeight="1">
      <c r="O14871" s="5" t="s">
        <v>355</v>
      </c>
      <c r="P14871" s="5" t="s">
        <v>355</v>
      </c>
      <c r="Q14871" s="5" t="s">
        <v>355</v>
      </c>
    </row>
    <row r="14872" ht="16.5" customHeight="1">
      <c r="O14872" s="5" t="s">
        <v>355</v>
      </c>
      <c r="P14872" s="5" t="s">
        <v>355</v>
      </c>
      <c r="Q14872" s="5" t="s">
        <v>355</v>
      </c>
    </row>
    <row r="14873" ht="16.5" customHeight="1">
      <c r="O14873" s="5" t="s">
        <v>355</v>
      </c>
      <c r="P14873" s="5" t="s">
        <v>355</v>
      </c>
      <c r="Q14873" s="5" t="s">
        <v>355</v>
      </c>
    </row>
    <row r="14874" ht="16.5" customHeight="1">
      <c r="O14874" s="5" t="s">
        <v>355</v>
      </c>
      <c r="P14874" s="5" t="s">
        <v>355</v>
      </c>
      <c r="Q14874" s="5" t="s">
        <v>355</v>
      </c>
    </row>
    <row r="14875" ht="16.5" customHeight="1">
      <c r="O14875" s="5" t="s">
        <v>355</v>
      </c>
      <c r="P14875" s="5" t="s">
        <v>355</v>
      </c>
      <c r="Q14875" s="5" t="s">
        <v>355</v>
      </c>
    </row>
    <row r="14876" ht="16.5" customHeight="1">
      <c r="O14876" s="5" t="s">
        <v>355</v>
      </c>
      <c r="P14876" s="5" t="s">
        <v>355</v>
      </c>
      <c r="Q14876" s="5" t="s">
        <v>355</v>
      </c>
    </row>
    <row r="14877" ht="16.5" customHeight="1">
      <c r="O14877" s="5" t="s">
        <v>355</v>
      </c>
      <c r="P14877" s="5" t="s">
        <v>355</v>
      </c>
      <c r="Q14877" s="5" t="s">
        <v>355</v>
      </c>
    </row>
    <row r="14878" ht="16.5" customHeight="1">
      <c r="O14878" s="5" t="s">
        <v>355</v>
      </c>
      <c r="P14878" s="5" t="s">
        <v>355</v>
      </c>
      <c r="Q14878" s="5" t="s">
        <v>355</v>
      </c>
    </row>
    <row r="14879" ht="16.5" customHeight="1">
      <c r="O14879" s="5" t="s">
        <v>355</v>
      </c>
      <c r="P14879" s="5" t="s">
        <v>355</v>
      </c>
      <c r="Q14879" s="5" t="s">
        <v>355</v>
      </c>
    </row>
    <row r="14880" ht="16.5" customHeight="1">
      <c r="O14880" s="5" t="s">
        <v>355</v>
      </c>
      <c r="P14880" s="5" t="s">
        <v>355</v>
      </c>
      <c r="Q14880" s="5" t="s">
        <v>355</v>
      </c>
    </row>
    <row r="14881" ht="16.5" customHeight="1">
      <c r="O14881" s="5" t="s">
        <v>355</v>
      </c>
      <c r="P14881" s="5" t="s">
        <v>355</v>
      </c>
      <c r="Q14881" s="5" t="s">
        <v>355</v>
      </c>
    </row>
    <row r="14882" ht="16.5" customHeight="1">
      <c r="O14882" s="5" t="s">
        <v>355</v>
      </c>
      <c r="P14882" s="5" t="s">
        <v>355</v>
      </c>
      <c r="Q14882" s="5" t="s">
        <v>355</v>
      </c>
    </row>
    <row r="14883" ht="16.5" customHeight="1">
      <c r="O14883" s="5" t="s">
        <v>355</v>
      </c>
      <c r="P14883" s="5" t="s">
        <v>355</v>
      </c>
      <c r="Q14883" s="5" t="s">
        <v>355</v>
      </c>
    </row>
    <row r="14884" ht="16.5" customHeight="1">
      <c r="O14884" s="5" t="s">
        <v>355</v>
      </c>
      <c r="P14884" s="5" t="s">
        <v>355</v>
      </c>
      <c r="Q14884" s="5" t="s">
        <v>355</v>
      </c>
    </row>
    <row r="14885" ht="16.5" customHeight="1">
      <c r="O14885" s="5" t="s">
        <v>355</v>
      </c>
      <c r="P14885" s="5" t="s">
        <v>355</v>
      </c>
      <c r="Q14885" s="5" t="s">
        <v>355</v>
      </c>
    </row>
    <row r="14886" ht="16.5" customHeight="1">
      <c r="O14886" s="5" t="s">
        <v>355</v>
      </c>
      <c r="P14886" s="5" t="s">
        <v>355</v>
      </c>
      <c r="Q14886" s="5" t="s">
        <v>355</v>
      </c>
    </row>
    <row r="14887" ht="16.5" customHeight="1">
      <c r="O14887" s="5" t="s">
        <v>355</v>
      </c>
      <c r="P14887" s="5" t="s">
        <v>355</v>
      </c>
      <c r="Q14887" s="5" t="s">
        <v>355</v>
      </c>
    </row>
    <row r="14888" ht="16.5" customHeight="1">
      <c r="O14888" s="5" t="s">
        <v>355</v>
      </c>
      <c r="P14888" s="5" t="s">
        <v>355</v>
      </c>
      <c r="Q14888" s="5" t="s">
        <v>355</v>
      </c>
    </row>
    <row r="14889" ht="16.5" customHeight="1">
      <c r="O14889" s="5" t="s">
        <v>355</v>
      </c>
      <c r="P14889" s="5" t="s">
        <v>355</v>
      </c>
      <c r="Q14889" s="5" t="s">
        <v>355</v>
      </c>
    </row>
    <row r="14890" ht="16.5" customHeight="1">
      <c r="O14890" s="5" t="s">
        <v>355</v>
      </c>
      <c r="P14890" s="5" t="s">
        <v>355</v>
      </c>
      <c r="Q14890" s="5" t="s">
        <v>355</v>
      </c>
    </row>
    <row r="14891" ht="16.5" customHeight="1">
      <c r="O14891" s="5" t="s">
        <v>355</v>
      </c>
      <c r="P14891" s="5" t="s">
        <v>355</v>
      </c>
      <c r="Q14891" s="5" t="s">
        <v>355</v>
      </c>
    </row>
    <row r="14892" ht="16.5" customHeight="1">
      <c r="O14892" s="5" t="s">
        <v>355</v>
      </c>
      <c r="P14892" s="5" t="s">
        <v>355</v>
      </c>
      <c r="Q14892" s="5" t="s">
        <v>355</v>
      </c>
    </row>
    <row r="14893" ht="16.5" customHeight="1">
      <c r="O14893" s="5" t="s">
        <v>355</v>
      </c>
      <c r="P14893" s="5" t="s">
        <v>355</v>
      </c>
      <c r="Q14893" s="5" t="s">
        <v>355</v>
      </c>
    </row>
    <row r="14894" ht="16.5" customHeight="1">
      <c r="O14894" s="5" t="s">
        <v>355</v>
      </c>
      <c r="P14894" s="5" t="s">
        <v>355</v>
      </c>
      <c r="Q14894" s="5" t="s">
        <v>355</v>
      </c>
    </row>
    <row r="14895" ht="16.5" customHeight="1">
      <c r="O14895" s="5" t="s">
        <v>355</v>
      </c>
      <c r="P14895" s="5" t="s">
        <v>355</v>
      </c>
      <c r="Q14895" s="5" t="s">
        <v>355</v>
      </c>
    </row>
    <row r="14896" ht="16.5" customHeight="1">
      <c r="O14896" s="5" t="s">
        <v>355</v>
      </c>
      <c r="P14896" s="5" t="s">
        <v>355</v>
      </c>
      <c r="Q14896" s="5" t="s">
        <v>355</v>
      </c>
    </row>
    <row r="14897" ht="16.5" customHeight="1">
      <c r="O14897" s="5" t="s">
        <v>355</v>
      </c>
      <c r="P14897" s="5" t="s">
        <v>355</v>
      </c>
      <c r="Q14897" s="5" t="s">
        <v>355</v>
      </c>
    </row>
    <row r="14898" ht="16.5" customHeight="1">
      <c r="O14898" s="5" t="s">
        <v>355</v>
      </c>
      <c r="P14898" s="5" t="s">
        <v>355</v>
      </c>
      <c r="Q14898" s="5" t="s">
        <v>355</v>
      </c>
    </row>
    <row r="14899" ht="16.5" customHeight="1">
      <c r="O14899" s="5" t="s">
        <v>355</v>
      </c>
      <c r="P14899" s="5" t="s">
        <v>355</v>
      </c>
      <c r="Q14899" s="5" t="s">
        <v>355</v>
      </c>
    </row>
    <row r="14900" ht="16.5" customHeight="1">
      <c r="O14900" s="5" t="s">
        <v>355</v>
      </c>
      <c r="P14900" s="5" t="s">
        <v>355</v>
      </c>
      <c r="Q14900" s="5" t="s">
        <v>355</v>
      </c>
    </row>
    <row r="14901" ht="16.5" customHeight="1">
      <c r="O14901" s="5" t="s">
        <v>355</v>
      </c>
      <c r="P14901" s="5" t="s">
        <v>355</v>
      </c>
      <c r="Q14901" s="5" t="s">
        <v>355</v>
      </c>
    </row>
    <row r="14902" ht="16.5" customHeight="1">
      <c r="O14902" s="5" t="s">
        <v>355</v>
      </c>
      <c r="P14902" s="5" t="s">
        <v>355</v>
      </c>
      <c r="Q14902" s="5" t="s">
        <v>355</v>
      </c>
    </row>
    <row r="14903" ht="16.5" customHeight="1">
      <c r="O14903" s="5" t="s">
        <v>355</v>
      </c>
      <c r="P14903" s="5" t="s">
        <v>355</v>
      </c>
      <c r="Q14903" s="5" t="s">
        <v>355</v>
      </c>
    </row>
    <row r="14904" ht="16.5" customHeight="1">
      <c r="O14904" s="5" t="s">
        <v>355</v>
      </c>
      <c r="P14904" s="5" t="s">
        <v>355</v>
      </c>
      <c r="Q14904" s="5" t="s">
        <v>355</v>
      </c>
    </row>
    <row r="14905" ht="16.5" customHeight="1">
      <c r="O14905" s="5" t="s">
        <v>355</v>
      </c>
      <c r="P14905" s="5" t="s">
        <v>355</v>
      </c>
      <c r="Q14905" s="5" t="s">
        <v>355</v>
      </c>
    </row>
    <row r="14906" ht="16.5" customHeight="1">
      <c r="O14906" s="5" t="s">
        <v>355</v>
      </c>
      <c r="P14906" s="5" t="s">
        <v>355</v>
      </c>
      <c r="Q14906" s="5" t="s">
        <v>355</v>
      </c>
    </row>
    <row r="14907" ht="16.5" customHeight="1">
      <c r="O14907" s="5" t="s">
        <v>355</v>
      </c>
      <c r="P14907" s="5" t="s">
        <v>355</v>
      </c>
      <c r="Q14907" s="5" t="s">
        <v>355</v>
      </c>
    </row>
    <row r="14908" ht="16.5" customHeight="1">
      <c r="O14908" s="5" t="s">
        <v>355</v>
      </c>
      <c r="P14908" s="5" t="s">
        <v>355</v>
      </c>
      <c r="Q14908" s="5" t="s">
        <v>355</v>
      </c>
    </row>
    <row r="14909" ht="16.5" customHeight="1">
      <c r="O14909" s="5" t="s">
        <v>355</v>
      </c>
      <c r="P14909" s="5" t="s">
        <v>355</v>
      </c>
      <c r="Q14909" s="5" t="s">
        <v>355</v>
      </c>
    </row>
    <row r="14910" ht="16.5" customHeight="1">
      <c r="O14910" s="5" t="s">
        <v>355</v>
      </c>
      <c r="P14910" s="5" t="s">
        <v>355</v>
      </c>
      <c r="Q14910" s="5" t="s">
        <v>355</v>
      </c>
    </row>
    <row r="14911" ht="16.5" customHeight="1">
      <c r="O14911" s="5" t="s">
        <v>355</v>
      </c>
      <c r="P14911" s="5" t="s">
        <v>355</v>
      </c>
      <c r="Q14911" s="5" t="s">
        <v>355</v>
      </c>
    </row>
    <row r="14912" ht="16.5" customHeight="1">
      <c r="O14912" s="5" t="s">
        <v>355</v>
      </c>
      <c r="P14912" s="5" t="s">
        <v>355</v>
      </c>
      <c r="Q14912" s="5" t="s">
        <v>355</v>
      </c>
    </row>
    <row r="14913" ht="16.5" customHeight="1">
      <c r="O14913" s="5" t="s">
        <v>355</v>
      </c>
      <c r="P14913" s="5" t="s">
        <v>355</v>
      </c>
      <c r="Q14913" s="5" t="s">
        <v>355</v>
      </c>
    </row>
    <row r="14914" ht="16.5" customHeight="1">
      <c r="O14914" s="5" t="s">
        <v>355</v>
      </c>
      <c r="P14914" s="5" t="s">
        <v>355</v>
      </c>
      <c r="Q14914" s="5" t="s">
        <v>355</v>
      </c>
    </row>
    <row r="14915" ht="16.5" customHeight="1">
      <c r="O14915" s="5" t="s">
        <v>355</v>
      </c>
      <c r="P14915" s="5" t="s">
        <v>355</v>
      </c>
      <c r="Q14915" s="5" t="s">
        <v>355</v>
      </c>
    </row>
    <row r="14916" ht="16.5" customHeight="1">
      <c r="O14916" s="5" t="s">
        <v>355</v>
      </c>
      <c r="P14916" s="5" t="s">
        <v>355</v>
      </c>
      <c r="Q14916" s="5" t="s">
        <v>355</v>
      </c>
    </row>
    <row r="14917" ht="16.5" customHeight="1">
      <c r="O14917" s="5" t="s">
        <v>355</v>
      </c>
      <c r="P14917" s="5" t="s">
        <v>355</v>
      </c>
      <c r="Q14917" s="5" t="s">
        <v>355</v>
      </c>
    </row>
    <row r="14918" ht="16.5" customHeight="1">
      <c r="O14918" s="5" t="s">
        <v>355</v>
      </c>
      <c r="P14918" s="5" t="s">
        <v>355</v>
      </c>
      <c r="Q14918" s="5" t="s">
        <v>355</v>
      </c>
    </row>
    <row r="14919" ht="16.5" customHeight="1">
      <c r="O14919" s="5" t="s">
        <v>355</v>
      </c>
      <c r="P14919" s="5" t="s">
        <v>355</v>
      </c>
      <c r="Q14919" s="5" t="s">
        <v>355</v>
      </c>
    </row>
    <row r="14920" ht="16.5" customHeight="1">
      <c r="O14920" s="5" t="s">
        <v>355</v>
      </c>
      <c r="P14920" s="5" t="s">
        <v>355</v>
      </c>
      <c r="Q14920" s="5" t="s">
        <v>355</v>
      </c>
    </row>
    <row r="14921" ht="16.5" customHeight="1">
      <c r="O14921" s="5" t="s">
        <v>355</v>
      </c>
      <c r="P14921" s="5" t="s">
        <v>355</v>
      </c>
      <c r="Q14921" s="5" t="s">
        <v>355</v>
      </c>
    </row>
    <row r="14922" ht="16.5" customHeight="1">
      <c r="O14922" s="5" t="s">
        <v>355</v>
      </c>
      <c r="P14922" s="5" t="s">
        <v>355</v>
      </c>
      <c r="Q14922" s="5" t="s">
        <v>355</v>
      </c>
    </row>
    <row r="14923" ht="16.5" customHeight="1">
      <c r="O14923" s="5" t="s">
        <v>355</v>
      </c>
      <c r="P14923" s="5" t="s">
        <v>355</v>
      </c>
      <c r="Q14923" s="5" t="s">
        <v>355</v>
      </c>
    </row>
    <row r="14924" ht="16.5" customHeight="1">
      <c r="O14924" s="5" t="s">
        <v>355</v>
      </c>
      <c r="P14924" s="5" t="s">
        <v>355</v>
      </c>
      <c r="Q14924" s="5" t="s">
        <v>355</v>
      </c>
    </row>
    <row r="14925" ht="16.5" customHeight="1">
      <c r="O14925" s="5" t="s">
        <v>355</v>
      </c>
      <c r="P14925" s="5" t="s">
        <v>355</v>
      </c>
      <c r="Q14925" s="5" t="s">
        <v>355</v>
      </c>
    </row>
    <row r="14926" ht="16.5" customHeight="1">
      <c r="O14926" s="5" t="s">
        <v>355</v>
      </c>
      <c r="P14926" s="5" t="s">
        <v>355</v>
      </c>
      <c r="Q14926" s="5" t="s">
        <v>355</v>
      </c>
    </row>
    <row r="14927" ht="16.5" customHeight="1">
      <c r="O14927" s="5" t="s">
        <v>355</v>
      </c>
      <c r="P14927" s="5" t="s">
        <v>355</v>
      </c>
      <c r="Q14927" s="5" t="s">
        <v>355</v>
      </c>
    </row>
    <row r="14928" ht="16.5" customHeight="1">
      <c r="O14928" s="5" t="s">
        <v>355</v>
      </c>
      <c r="P14928" s="5" t="s">
        <v>355</v>
      </c>
      <c r="Q14928" s="5" t="s">
        <v>355</v>
      </c>
    </row>
    <row r="14929" ht="16.5" customHeight="1">
      <c r="O14929" s="5" t="s">
        <v>355</v>
      </c>
      <c r="P14929" s="5" t="s">
        <v>355</v>
      </c>
      <c r="Q14929" s="5" t="s">
        <v>355</v>
      </c>
    </row>
    <row r="14930" ht="16.5" customHeight="1">
      <c r="O14930" s="5" t="s">
        <v>355</v>
      </c>
      <c r="P14930" s="5" t="s">
        <v>355</v>
      </c>
      <c r="Q14930" s="5" t="s">
        <v>355</v>
      </c>
    </row>
    <row r="14931" ht="16.5" customHeight="1">
      <c r="O14931" s="5" t="s">
        <v>355</v>
      </c>
      <c r="P14931" s="5" t="s">
        <v>355</v>
      </c>
      <c r="Q14931" s="5" t="s">
        <v>355</v>
      </c>
    </row>
    <row r="14932" ht="16.5" customHeight="1">
      <c r="O14932" s="5" t="s">
        <v>355</v>
      </c>
      <c r="P14932" s="5" t="s">
        <v>355</v>
      </c>
      <c r="Q14932" s="5" t="s">
        <v>355</v>
      </c>
    </row>
    <row r="14933" ht="16.5" customHeight="1">
      <c r="O14933" s="5" t="s">
        <v>355</v>
      </c>
      <c r="P14933" s="5" t="s">
        <v>355</v>
      </c>
      <c r="Q14933" s="5" t="s">
        <v>355</v>
      </c>
    </row>
    <row r="14934" ht="16.5" customHeight="1">
      <c r="O14934" s="5" t="s">
        <v>355</v>
      </c>
      <c r="P14934" s="5" t="s">
        <v>355</v>
      </c>
      <c r="Q14934" s="5" t="s">
        <v>355</v>
      </c>
    </row>
    <row r="14935" ht="16.5" customHeight="1">
      <c r="O14935" s="5" t="s">
        <v>355</v>
      </c>
      <c r="P14935" s="5" t="s">
        <v>355</v>
      </c>
      <c r="Q14935" s="5" t="s">
        <v>355</v>
      </c>
    </row>
    <row r="14936" ht="16.5" customHeight="1">
      <c r="O14936" s="5" t="s">
        <v>355</v>
      </c>
      <c r="P14936" s="5" t="s">
        <v>355</v>
      </c>
      <c r="Q14936" s="5" t="s">
        <v>355</v>
      </c>
    </row>
    <row r="14937" ht="16.5" customHeight="1">
      <c r="O14937" s="5" t="s">
        <v>355</v>
      </c>
      <c r="P14937" s="5" t="s">
        <v>355</v>
      </c>
      <c r="Q14937" s="5" t="s">
        <v>355</v>
      </c>
    </row>
    <row r="14938" ht="16.5" customHeight="1">
      <c r="O14938" s="5" t="s">
        <v>355</v>
      </c>
      <c r="P14938" s="5" t="s">
        <v>355</v>
      </c>
      <c r="Q14938" s="5" t="s">
        <v>355</v>
      </c>
    </row>
    <row r="14939" ht="16.5" customHeight="1">
      <c r="O14939" s="5" t="s">
        <v>355</v>
      </c>
      <c r="P14939" s="5" t="s">
        <v>355</v>
      </c>
      <c r="Q14939" s="5" t="s">
        <v>355</v>
      </c>
    </row>
    <row r="14940" ht="16.5" customHeight="1">
      <c r="O14940" s="5" t="s">
        <v>355</v>
      </c>
      <c r="P14940" s="5" t="s">
        <v>355</v>
      </c>
      <c r="Q14940" s="5" t="s">
        <v>355</v>
      </c>
    </row>
    <row r="14941" ht="16.5" customHeight="1">
      <c r="O14941" s="5" t="s">
        <v>355</v>
      </c>
      <c r="P14941" s="5" t="s">
        <v>355</v>
      </c>
      <c r="Q14941" s="5" t="s">
        <v>355</v>
      </c>
    </row>
    <row r="14942" ht="16.5" customHeight="1">
      <c r="O14942" s="5" t="s">
        <v>355</v>
      </c>
      <c r="P14942" s="5" t="s">
        <v>355</v>
      </c>
      <c r="Q14942" s="5" t="s">
        <v>355</v>
      </c>
    </row>
    <row r="14943" ht="16.5" customHeight="1">
      <c r="O14943" s="5" t="s">
        <v>355</v>
      </c>
      <c r="P14943" s="5" t="s">
        <v>355</v>
      </c>
      <c r="Q14943" s="5" t="s">
        <v>355</v>
      </c>
    </row>
    <row r="14944" ht="16.5" customHeight="1">
      <c r="O14944" s="5" t="s">
        <v>355</v>
      </c>
      <c r="P14944" s="5" t="s">
        <v>355</v>
      </c>
      <c r="Q14944" s="5" t="s">
        <v>355</v>
      </c>
    </row>
    <row r="14945" ht="16.5" customHeight="1">
      <c r="O14945" s="5" t="s">
        <v>355</v>
      </c>
      <c r="P14945" s="5" t="s">
        <v>355</v>
      </c>
      <c r="Q14945" s="5" t="s">
        <v>355</v>
      </c>
    </row>
    <row r="14946" ht="16.5" customHeight="1">
      <c r="O14946" s="5" t="s">
        <v>355</v>
      </c>
      <c r="P14946" s="5" t="s">
        <v>355</v>
      </c>
      <c r="Q14946" s="5" t="s">
        <v>355</v>
      </c>
    </row>
    <row r="14947" ht="16.5" customHeight="1">
      <c r="O14947" s="5" t="s">
        <v>355</v>
      </c>
      <c r="P14947" s="5" t="s">
        <v>355</v>
      </c>
      <c r="Q14947" s="5" t="s">
        <v>355</v>
      </c>
    </row>
    <row r="14948" ht="16.5" customHeight="1">
      <c r="O14948" s="5" t="s">
        <v>355</v>
      </c>
      <c r="P14948" s="5" t="s">
        <v>355</v>
      </c>
      <c r="Q14948" s="5" t="s">
        <v>355</v>
      </c>
    </row>
    <row r="14949" ht="16.5" customHeight="1">
      <c r="O14949" s="5" t="s">
        <v>355</v>
      </c>
      <c r="P14949" s="5" t="s">
        <v>355</v>
      </c>
      <c r="Q14949" s="5" t="s">
        <v>355</v>
      </c>
    </row>
    <row r="14950" ht="16.5" customHeight="1">
      <c r="O14950" s="5" t="s">
        <v>355</v>
      </c>
      <c r="P14950" s="5" t="s">
        <v>355</v>
      </c>
      <c r="Q14950" s="5" t="s">
        <v>355</v>
      </c>
    </row>
    <row r="14951" ht="16.5" customHeight="1">
      <c r="O14951" s="5" t="s">
        <v>355</v>
      </c>
      <c r="P14951" s="5" t="s">
        <v>355</v>
      </c>
      <c r="Q14951" s="5" t="s">
        <v>355</v>
      </c>
    </row>
    <row r="14952" ht="16.5" customHeight="1">
      <c r="O14952" s="5" t="s">
        <v>355</v>
      </c>
      <c r="P14952" s="5" t="s">
        <v>355</v>
      </c>
      <c r="Q14952" s="5" t="s">
        <v>355</v>
      </c>
    </row>
    <row r="14953" ht="16.5" customHeight="1">
      <c r="O14953" s="5" t="s">
        <v>355</v>
      </c>
      <c r="P14953" s="5" t="s">
        <v>355</v>
      </c>
      <c r="Q14953" s="5" t="s">
        <v>355</v>
      </c>
    </row>
    <row r="14954" ht="16.5" customHeight="1">
      <c r="O14954" s="5" t="s">
        <v>355</v>
      </c>
      <c r="P14954" s="5" t="s">
        <v>355</v>
      </c>
      <c r="Q14954" s="5" t="s">
        <v>355</v>
      </c>
    </row>
    <row r="14955" ht="16.5" customHeight="1">
      <c r="O14955" s="5" t="s">
        <v>355</v>
      </c>
      <c r="P14955" s="5" t="s">
        <v>355</v>
      </c>
      <c r="Q14955" s="5" t="s">
        <v>355</v>
      </c>
    </row>
    <row r="14956" ht="16.5" customHeight="1">
      <c r="O14956" s="5" t="s">
        <v>355</v>
      </c>
      <c r="P14956" s="5" t="s">
        <v>355</v>
      </c>
      <c r="Q14956" s="5" t="s">
        <v>355</v>
      </c>
    </row>
    <row r="14957" ht="16.5" customHeight="1">
      <c r="O14957" s="5" t="s">
        <v>355</v>
      </c>
      <c r="P14957" s="5" t="s">
        <v>355</v>
      </c>
      <c r="Q14957" s="5" t="s">
        <v>355</v>
      </c>
    </row>
    <row r="14958" ht="16.5" customHeight="1">
      <c r="O14958" s="5" t="s">
        <v>355</v>
      </c>
      <c r="P14958" s="5" t="s">
        <v>355</v>
      </c>
      <c r="Q14958" s="5" t="s">
        <v>355</v>
      </c>
    </row>
    <row r="14959" ht="16.5" customHeight="1">
      <c r="O14959" s="5" t="s">
        <v>355</v>
      </c>
      <c r="P14959" s="5" t="s">
        <v>355</v>
      </c>
      <c r="Q14959" s="5" t="s">
        <v>355</v>
      </c>
    </row>
    <row r="14960" ht="16.5" customHeight="1">
      <c r="O14960" s="5" t="s">
        <v>355</v>
      </c>
      <c r="P14960" s="5" t="s">
        <v>355</v>
      </c>
      <c r="Q14960" s="5" t="s">
        <v>355</v>
      </c>
    </row>
    <row r="14961" ht="16.5" customHeight="1">
      <c r="O14961" s="5" t="s">
        <v>355</v>
      </c>
      <c r="P14961" s="5" t="s">
        <v>355</v>
      </c>
      <c r="Q14961" s="5" t="s">
        <v>355</v>
      </c>
    </row>
    <row r="14962" ht="16.5" customHeight="1">
      <c r="O14962" s="5" t="s">
        <v>355</v>
      </c>
      <c r="P14962" s="5" t="s">
        <v>355</v>
      </c>
      <c r="Q14962" s="5" t="s">
        <v>355</v>
      </c>
    </row>
    <row r="14963" ht="16.5" customHeight="1">
      <c r="O14963" s="5" t="s">
        <v>355</v>
      </c>
      <c r="P14963" s="5" t="s">
        <v>355</v>
      </c>
      <c r="Q14963" s="5" t="s">
        <v>355</v>
      </c>
    </row>
    <row r="14964" ht="16.5" customHeight="1">
      <c r="O14964" s="5" t="s">
        <v>355</v>
      </c>
      <c r="P14964" s="5" t="s">
        <v>355</v>
      </c>
      <c r="Q14964" s="5" t="s">
        <v>355</v>
      </c>
    </row>
    <row r="14965" ht="16.5" customHeight="1">
      <c r="O14965" s="5" t="s">
        <v>355</v>
      </c>
      <c r="P14965" s="5" t="s">
        <v>355</v>
      </c>
      <c r="Q14965" s="5" t="s">
        <v>355</v>
      </c>
    </row>
    <row r="14966" ht="16.5" customHeight="1">
      <c r="O14966" s="5" t="s">
        <v>355</v>
      </c>
      <c r="P14966" s="5" t="s">
        <v>355</v>
      </c>
      <c r="Q14966" s="5" t="s">
        <v>355</v>
      </c>
    </row>
    <row r="14967" ht="16.5" customHeight="1">
      <c r="O14967" s="5" t="s">
        <v>355</v>
      </c>
      <c r="P14967" s="5" t="s">
        <v>355</v>
      </c>
      <c r="Q14967" s="5" t="s">
        <v>355</v>
      </c>
    </row>
    <row r="14968" ht="16.5" customHeight="1">
      <c r="O14968" s="5" t="s">
        <v>355</v>
      </c>
      <c r="P14968" s="5" t="s">
        <v>355</v>
      </c>
      <c r="Q14968" s="5" t="s">
        <v>355</v>
      </c>
    </row>
    <row r="14969" ht="16.5" customHeight="1">
      <c r="O14969" s="5" t="s">
        <v>355</v>
      </c>
      <c r="P14969" s="5" t="s">
        <v>355</v>
      </c>
      <c r="Q14969" s="5" t="s">
        <v>355</v>
      </c>
    </row>
    <row r="14970" ht="16.5" customHeight="1">
      <c r="O14970" s="5" t="s">
        <v>355</v>
      </c>
      <c r="P14970" s="5" t="s">
        <v>355</v>
      </c>
      <c r="Q14970" s="5" t="s">
        <v>355</v>
      </c>
    </row>
    <row r="14971" ht="16.5" customHeight="1">
      <c r="O14971" s="5" t="s">
        <v>355</v>
      </c>
      <c r="P14971" s="5" t="s">
        <v>355</v>
      </c>
      <c r="Q14971" s="5" t="s">
        <v>355</v>
      </c>
    </row>
    <row r="14972" ht="16.5" customHeight="1">
      <c r="O14972" s="5" t="s">
        <v>355</v>
      </c>
      <c r="P14972" s="5" t="s">
        <v>355</v>
      </c>
      <c r="Q14972" s="5" t="s">
        <v>355</v>
      </c>
    </row>
    <row r="14973" ht="16.5" customHeight="1">
      <c r="O14973" s="5" t="s">
        <v>355</v>
      </c>
      <c r="P14973" s="5" t="s">
        <v>355</v>
      </c>
      <c r="Q14973" s="5" t="s">
        <v>355</v>
      </c>
    </row>
    <row r="14974" ht="16.5" customHeight="1">
      <c r="O14974" s="5" t="s">
        <v>355</v>
      </c>
      <c r="P14974" s="5" t="s">
        <v>355</v>
      </c>
      <c r="Q14974" s="5" t="s">
        <v>355</v>
      </c>
    </row>
    <row r="14975" ht="16.5" customHeight="1">
      <c r="O14975" s="5" t="s">
        <v>355</v>
      </c>
      <c r="P14975" s="5" t="s">
        <v>355</v>
      </c>
      <c r="Q14975" s="5" t="s">
        <v>355</v>
      </c>
    </row>
    <row r="14976" ht="16.5" customHeight="1">
      <c r="O14976" s="5" t="s">
        <v>355</v>
      </c>
      <c r="P14976" s="5" t="s">
        <v>355</v>
      </c>
      <c r="Q14976" s="5" t="s">
        <v>355</v>
      </c>
    </row>
    <row r="14977" ht="16.5" customHeight="1">
      <c r="O14977" s="5" t="s">
        <v>355</v>
      </c>
      <c r="P14977" s="5" t="s">
        <v>355</v>
      </c>
      <c r="Q14977" s="5" t="s">
        <v>355</v>
      </c>
    </row>
    <row r="14978" ht="16.5" customHeight="1">
      <c r="O14978" s="5" t="s">
        <v>355</v>
      </c>
      <c r="P14978" s="5" t="s">
        <v>355</v>
      </c>
      <c r="Q14978" s="5" t="s">
        <v>355</v>
      </c>
    </row>
    <row r="14979" ht="16.5" customHeight="1">
      <c r="O14979" s="5" t="s">
        <v>355</v>
      </c>
      <c r="P14979" s="5" t="s">
        <v>355</v>
      </c>
      <c r="Q14979" s="5" t="s">
        <v>355</v>
      </c>
    </row>
    <row r="14980" ht="16.5" customHeight="1">
      <c r="O14980" s="5" t="s">
        <v>355</v>
      </c>
      <c r="P14980" s="5" t="s">
        <v>355</v>
      </c>
      <c r="Q14980" s="5" t="s">
        <v>355</v>
      </c>
    </row>
    <row r="14981" ht="16.5" customHeight="1">
      <c r="O14981" s="5" t="s">
        <v>355</v>
      </c>
      <c r="P14981" s="5" t="s">
        <v>355</v>
      </c>
      <c r="Q14981" s="5" t="s">
        <v>355</v>
      </c>
    </row>
    <row r="14982" ht="16.5" customHeight="1">
      <c r="O14982" s="5" t="s">
        <v>355</v>
      </c>
      <c r="P14982" s="5" t="s">
        <v>355</v>
      </c>
      <c r="Q14982" s="5" t="s">
        <v>355</v>
      </c>
    </row>
    <row r="14983" ht="16.5" customHeight="1">
      <c r="O14983" s="5" t="s">
        <v>355</v>
      </c>
      <c r="P14983" s="5" t="s">
        <v>355</v>
      </c>
      <c r="Q14983" s="5" t="s">
        <v>355</v>
      </c>
    </row>
    <row r="14984" ht="16.5" customHeight="1">
      <c r="O14984" s="5" t="s">
        <v>355</v>
      </c>
      <c r="P14984" s="5" t="s">
        <v>355</v>
      </c>
      <c r="Q14984" s="5" t="s">
        <v>355</v>
      </c>
    </row>
    <row r="14985" ht="16.5" customHeight="1">
      <c r="O14985" s="5" t="s">
        <v>355</v>
      </c>
      <c r="P14985" s="5" t="s">
        <v>355</v>
      </c>
      <c r="Q14985" s="5" t="s">
        <v>355</v>
      </c>
    </row>
    <row r="14986" ht="16.5" customHeight="1">
      <c r="O14986" s="5" t="s">
        <v>355</v>
      </c>
      <c r="P14986" s="5" t="s">
        <v>355</v>
      </c>
      <c r="Q14986" s="5" t="s">
        <v>355</v>
      </c>
    </row>
    <row r="14987" ht="16.5" customHeight="1">
      <c r="O14987" s="5" t="s">
        <v>355</v>
      </c>
      <c r="P14987" s="5" t="s">
        <v>355</v>
      </c>
      <c r="Q14987" s="5" t="s">
        <v>355</v>
      </c>
    </row>
    <row r="14988" ht="16.5" customHeight="1">
      <c r="O14988" s="5" t="s">
        <v>355</v>
      </c>
      <c r="P14988" s="5" t="s">
        <v>355</v>
      </c>
      <c r="Q14988" s="5" t="s">
        <v>355</v>
      </c>
    </row>
    <row r="14989" ht="16.5" customHeight="1">
      <c r="O14989" s="5" t="s">
        <v>355</v>
      </c>
      <c r="P14989" s="5" t="s">
        <v>355</v>
      </c>
      <c r="Q14989" s="5" t="s">
        <v>355</v>
      </c>
    </row>
    <row r="14990" ht="16.5" customHeight="1">
      <c r="O14990" s="5" t="s">
        <v>355</v>
      </c>
      <c r="P14990" s="5" t="s">
        <v>355</v>
      </c>
      <c r="Q14990" s="5" t="s">
        <v>355</v>
      </c>
    </row>
    <row r="14991" ht="16.5" customHeight="1">
      <c r="O14991" s="5" t="s">
        <v>355</v>
      </c>
      <c r="P14991" s="5" t="s">
        <v>355</v>
      </c>
      <c r="Q14991" s="5" t="s">
        <v>355</v>
      </c>
    </row>
    <row r="14992" ht="16.5" customHeight="1">
      <c r="O14992" s="5" t="s">
        <v>355</v>
      </c>
      <c r="P14992" s="5" t="s">
        <v>355</v>
      </c>
      <c r="Q14992" s="5" t="s">
        <v>355</v>
      </c>
    </row>
    <row r="14993" ht="16.5" customHeight="1">
      <c r="O14993" s="5" t="s">
        <v>355</v>
      </c>
      <c r="P14993" s="5" t="s">
        <v>355</v>
      </c>
      <c r="Q14993" s="5" t="s">
        <v>355</v>
      </c>
    </row>
    <row r="14994" ht="16.5" customHeight="1">
      <c r="O14994" s="5" t="s">
        <v>355</v>
      </c>
      <c r="P14994" s="5" t="s">
        <v>355</v>
      </c>
      <c r="Q14994" s="5" t="s">
        <v>355</v>
      </c>
    </row>
    <row r="14995" ht="16.5" customHeight="1">
      <c r="O14995" s="5" t="s">
        <v>355</v>
      </c>
      <c r="P14995" s="5" t="s">
        <v>355</v>
      </c>
      <c r="Q14995" s="5" t="s">
        <v>355</v>
      </c>
    </row>
    <row r="14996" ht="16.5" customHeight="1">
      <c r="O14996" s="5" t="s">
        <v>355</v>
      </c>
      <c r="P14996" s="5" t="s">
        <v>355</v>
      </c>
      <c r="Q14996" s="5" t="s">
        <v>355</v>
      </c>
    </row>
    <row r="14997" ht="16.5" customHeight="1">
      <c r="O14997" s="5" t="s">
        <v>355</v>
      </c>
      <c r="P14997" s="5" t="s">
        <v>355</v>
      </c>
      <c r="Q14997" s="5" t="s">
        <v>355</v>
      </c>
    </row>
    <row r="14998" ht="16.5" customHeight="1">
      <c r="O14998" s="5" t="s">
        <v>355</v>
      </c>
      <c r="P14998" s="5" t="s">
        <v>355</v>
      </c>
      <c r="Q14998" s="5" t="s">
        <v>355</v>
      </c>
    </row>
    <row r="14999" ht="16.5" customHeight="1">
      <c r="O14999" s="5" t="s">
        <v>355</v>
      </c>
      <c r="P14999" s="5" t="s">
        <v>355</v>
      </c>
      <c r="Q14999" s="5" t="s">
        <v>355</v>
      </c>
    </row>
    <row r="15000" ht="16.5" customHeight="1">
      <c r="O15000" s="5" t="s">
        <v>355</v>
      </c>
      <c r="P15000" s="5" t="s">
        <v>355</v>
      </c>
      <c r="Q15000" s="5" t="s">
        <v>355</v>
      </c>
    </row>
    <row r="15001" ht="16.5" customHeight="1">
      <c r="O15001" s="5" t="s">
        <v>355</v>
      </c>
      <c r="P15001" s="5" t="s">
        <v>355</v>
      </c>
      <c r="Q15001" s="5" t="s">
        <v>355</v>
      </c>
    </row>
    <row r="15002" ht="16.5" customHeight="1">
      <c r="O15002" s="5" t="s">
        <v>355</v>
      </c>
      <c r="P15002" s="5" t="s">
        <v>355</v>
      </c>
      <c r="Q15002" s="5" t="s">
        <v>355</v>
      </c>
    </row>
    <row r="15003" ht="16.5" customHeight="1">
      <c r="O15003" s="5" t="s">
        <v>355</v>
      </c>
      <c r="P15003" s="5" t="s">
        <v>355</v>
      </c>
      <c r="Q15003" s="5" t="s">
        <v>355</v>
      </c>
    </row>
    <row r="15004" ht="16.5" customHeight="1">
      <c r="O15004" s="5" t="s">
        <v>355</v>
      </c>
      <c r="P15004" s="5" t="s">
        <v>355</v>
      </c>
      <c r="Q15004" s="5" t="s">
        <v>355</v>
      </c>
    </row>
    <row r="15005" ht="16.5" customHeight="1">
      <c r="O15005" s="5" t="s">
        <v>355</v>
      </c>
      <c r="P15005" s="5" t="s">
        <v>355</v>
      </c>
      <c r="Q15005" s="5" t="s">
        <v>355</v>
      </c>
    </row>
    <row r="15006" ht="16.5" customHeight="1">
      <c r="O15006" s="5" t="s">
        <v>355</v>
      </c>
      <c r="P15006" s="5" t="s">
        <v>355</v>
      </c>
      <c r="Q15006" s="5" t="s">
        <v>355</v>
      </c>
    </row>
    <row r="15007" ht="16.5" customHeight="1">
      <c r="O15007" s="5" t="s">
        <v>355</v>
      </c>
      <c r="P15007" s="5" t="s">
        <v>355</v>
      </c>
      <c r="Q15007" s="5" t="s">
        <v>355</v>
      </c>
    </row>
    <row r="15008" ht="16.5" customHeight="1">
      <c r="O15008" s="5" t="s">
        <v>355</v>
      </c>
      <c r="P15008" s="5" t="s">
        <v>355</v>
      </c>
      <c r="Q15008" s="5" t="s">
        <v>355</v>
      </c>
    </row>
    <row r="15009" ht="16.5" customHeight="1">
      <c r="O15009" s="5" t="s">
        <v>355</v>
      </c>
      <c r="P15009" s="5" t="s">
        <v>355</v>
      </c>
      <c r="Q15009" s="5" t="s">
        <v>355</v>
      </c>
    </row>
    <row r="15010" ht="16.5" customHeight="1">
      <c r="O15010" s="5" t="s">
        <v>355</v>
      </c>
      <c r="P15010" s="5" t="s">
        <v>355</v>
      </c>
      <c r="Q15010" s="5" t="s">
        <v>355</v>
      </c>
    </row>
    <row r="15011" ht="16.5" customHeight="1">
      <c r="O15011" s="5" t="s">
        <v>355</v>
      </c>
      <c r="P15011" s="5" t="s">
        <v>355</v>
      </c>
      <c r="Q15011" s="5" t="s">
        <v>355</v>
      </c>
    </row>
    <row r="15012" ht="16.5" customHeight="1">
      <c r="O15012" s="5" t="s">
        <v>355</v>
      </c>
      <c r="P15012" s="5" t="s">
        <v>355</v>
      </c>
      <c r="Q15012" s="5" t="s">
        <v>355</v>
      </c>
    </row>
    <row r="15013" ht="16.5" customHeight="1">
      <c r="O15013" s="5" t="s">
        <v>355</v>
      </c>
      <c r="P15013" s="5" t="s">
        <v>355</v>
      </c>
      <c r="Q15013" s="5" t="s">
        <v>355</v>
      </c>
    </row>
    <row r="15014" ht="16.5" customHeight="1">
      <c r="O15014" s="5" t="s">
        <v>355</v>
      </c>
      <c r="P15014" s="5" t="s">
        <v>355</v>
      </c>
      <c r="Q15014" s="5" t="s">
        <v>355</v>
      </c>
    </row>
    <row r="15015" ht="16.5" customHeight="1">
      <c r="O15015" s="5" t="s">
        <v>355</v>
      </c>
      <c r="P15015" s="5" t="s">
        <v>355</v>
      </c>
      <c r="Q15015" s="5" t="s">
        <v>355</v>
      </c>
    </row>
    <row r="15016" ht="16.5" customHeight="1">
      <c r="O15016" s="5" t="s">
        <v>355</v>
      </c>
      <c r="P15016" s="5" t="s">
        <v>355</v>
      </c>
      <c r="Q15016" s="5" t="s">
        <v>355</v>
      </c>
    </row>
    <row r="15017" ht="16.5" customHeight="1">
      <c r="O15017" s="5" t="s">
        <v>355</v>
      </c>
      <c r="P15017" s="5" t="s">
        <v>355</v>
      </c>
      <c r="Q15017" s="5" t="s">
        <v>355</v>
      </c>
    </row>
    <row r="15018" ht="16.5" customHeight="1">
      <c r="O15018" s="5" t="s">
        <v>355</v>
      </c>
      <c r="P15018" s="5" t="s">
        <v>355</v>
      </c>
      <c r="Q15018" s="5" t="s">
        <v>355</v>
      </c>
    </row>
    <row r="15019" ht="16.5" customHeight="1">
      <c r="O15019" s="5" t="s">
        <v>355</v>
      </c>
      <c r="P15019" s="5" t="s">
        <v>355</v>
      </c>
      <c r="Q15019" s="5" t="s">
        <v>355</v>
      </c>
    </row>
    <row r="15020" ht="16.5" customHeight="1">
      <c r="O15020" s="5" t="s">
        <v>355</v>
      </c>
      <c r="P15020" s="5" t="s">
        <v>355</v>
      </c>
      <c r="Q15020" s="5" t="s">
        <v>355</v>
      </c>
    </row>
    <row r="15021" ht="16.5" customHeight="1">
      <c r="O15021" s="5" t="s">
        <v>355</v>
      </c>
      <c r="P15021" s="5" t="s">
        <v>355</v>
      </c>
      <c r="Q15021" s="5" t="s">
        <v>355</v>
      </c>
    </row>
    <row r="15022" ht="16.5" customHeight="1">
      <c r="O15022" s="5" t="s">
        <v>355</v>
      </c>
      <c r="P15022" s="5" t="s">
        <v>355</v>
      </c>
      <c r="Q15022" s="5" t="s">
        <v>355</v>
      </c>
    </row>
    <row r="15023" ht="16.5" customHeight="1">
      <c r="O15023" s="5" t="s">
        <v>355</v>
      </c>
      <c r="P15023" s="5" t="s">
        <v>355</v>
      </c>
      <c r="Q15023" s="5" t="s">
        <v>355</v>
      </c>
    </row>
    <row r="15024" ht="16.5" customHeight="1">
      <c r="O15024" s="5" t="s">
        <v>355</v>
      </c>
      <c r="P15024" s="5" t="s">
        <v>355</v>
      </c>
      <c r="Q15024" s="5" t="s">
        <v>355</v>
      </c>
    </row>
    <row r="15025" ht="16.5" customHeight="1">
      <c r="O15025" s="5" t="s">
        <v>355</v>
      </c>
      <c r="P15025" s="5" t="s">
        <v>355</v>
      </c>
      <c r="Q15025" s="5" t="s">
        <v>355</v>
      </c>
    </row>
    <row r="15026" ht="16.5" customHeight="1">
      <c r="O15026" s="5" t="s">
        <v>355</v>
      </c>
      <c r="P15026" s="5" t="s">
        <v>355</v>
      </c>
      <c r="Q15026" s="5" t="s">
        <v>355</v>
      </c>
    </row>
    <row r="15027" ht="16.5" customHeight="1">
      <c r="O15027" s="5" t="s">
        <v>355</v>
      </c>
      <c r="P15027" s="5" t="s">
        <v>355</v>
      </c>
      <c r="Q15027" s="5" t="s">
        <v>355</v>
      </c>
    </row>
    <row r="15028" ht="16.5" customHeight="1">
      <c r="O15028" s="5" t="s">
        <v>355</v>
      </c>
      <c r="P15028" s="5" t="s">
        <v>355</v>
      </c>
      <c r="Q15028" s="5" t="s">
        <v>355</v>
      </c>
    </row>
    <row r="15029" ht="16.5" customHeight="1">
      <c r="O15029" s="5" t="s">
        <v>355</v>
      </c>
      <c r="P15029" s="5" t="s">
        <v>355</v>
      </c>
      <c r="Q15029" s="5" t="s">
        <v>355</v>
      </c>
    </row>
    <row r="15030" ht="16.5" customHeight="1">
      <c r="O15030" s="5" t="s">
        <v>355</v>
      </c>
      <c r="P15030" s="5" t="s">
        <v>355</v>
      </c>
      <c r="Q15030" s="5" t="s">
        <v>355</v>
      </c>
    </row>
    <row r="15031" ht="16.5" customHeight="1">
      <c r="O15031" s="5" t="s">
        <v>355</v>
      </c>
      <c r="P15031" s="5" t="s">
        <v>355</v>
      </c>
      <c r="Q15031" s="5" t="s">
        <v>355</v>
      </c>
    </row>
    <row r="15032" ht="16.5" customHeight="1">
      <c r="O15032" s="5" t="s">
        <v>355</v>
      </c>
      <c r="P15032" s="5" t="s">
        <v>355</v>
      </c>
      <c r="Q15032" s="5" t="s">
        <v>355</v>
      </c>
    </row>
    <row r="15033" ht="16.5" customHeight="1">
      <c r="O15033" s="5" t="s">
        <v>355</v>
      </c>
      <c r="P15033" s="5" t="s">
        <v>355</v>
      </c>
      <c r="Q15033" s="5" t="s">
        <v>355</v>
      </c>
    </row>
    <row r="15034" ht="16.5" customHeight="1">
      <c r="O15034" s="5" t="s">
        <v>355</v>
      </c>
      <c r="P15034" s="5" t="s">
        <v>355</v>
      </c>
      <c r="Q15034" s="5" t="s">
        <v>355</v>
      </c>
    </row>
    <row r="15035" ht="16.5" customHeight="1">
      <c r="O15035" s="5" t="s">
        <v>355</v>
      </c>
      <c r="P15035" s="5" t="s">
        <v>355</v>
      </c>
      <c r="Q15035" s="5" t="s">
        <v>355</v>
      </c>
    </row>
    <row r="15036" ht="16.5" customHeight="1">
      <c r="O15036" s="5" t="s">
        <v>355</v>
      </c>
      <c r="P15036" s="5" t="s">
        <v>355</v>
      </c>
      <c r="Q15036" s="5" t="s">
        <v>355</v>
      </c>
    </row>
    <row r="15037" ht="16.5" customHeight="1">
      <c r="O15037" s="5" t="s">
        <v>355</v>
      </c>
      <c r="P15037" s="5" t="s">
        <v>355</v>
      </c>
      <c r="Q15037" s="5" t="s">
        <v>355</v>
      </c>
    </row>
    <row r="15038" ht="16.5" customHeight="1">
      <c r="O15038" s="5" t="s">
        <v>355</v>
      </c>
      <c r="P15038" s="5" t="s">
        <v>355</v>
      </c>
      <c r="Q15038" s="5" t="s">
        <v>355</v>
      </c>
    </row>
    <row r="15039" ht="16.5" customHeight="1">
      <c r="O15039" s="5" t="s">
        <v>355</v>
      </c>
      <c r="P15039" s="5" t="s">
        <v>355</v>
      </c>
      <c r="Q15039" s="5" t="s">
        <v>355</v>
      </c>
    </row>
    <row r="15040" ht="16.5" customHeight="1">
      <c r="O15040" s="5" t="s">
        <v>355</v>
      </c>
      <c r="P15040" s="5" t="s">
        <v>355</v>
      </c>
      <c r="Q15040" s="5" t="s">
        <v>355</v>
      </c>
    </row>
    <row r="15041" ht="16.5" customHeight="1">
      <c r="O15041" s="5" t="s">
        <v>355</v>
      </c>
      <c r="P15041" s="5" t="s">
        <v>355</v>
      </c>
      <c r="Q15041" s="5" t="s">
        <v>355</v>
      </c>
    </row>
    <row r="15042" ht="16.5" customHeight="1">
      <c r="O15042" s="5" t="s">
        <v>355</v>
      </c>
      <c r="P15042" s="5" t="s">
        <v>355</v>
      </c>
      <c r="Q15042" s="5" t="s">
        <v>355</v>
      </c>
    </row>
    <row r="15043" ht="16.5" customHeight="1">
      <c r="O15043" s="5" t="s">
        <v>355</v>
      </c>
      <c r="P15043" s="5" t="s">
        <v>355</v>
      </c>
      <c r="Q15043" s="5" t="s">
        <v>355</v>
      </c>
    </row>
    <row r="15044" ht="16.5" customHeight="1">
      <c r="O15044" s="5" t="s">
        <v>355</v>
      </c>
      <c r="P15044" s="5" t="s">
        <v>355</v>
      </c>
      <c r="Q15044" s="5" t="s">
        <v>355</v>
      </c>
    </row>
    <row r="15045" ht="16.5" customHeight="1">
      <c r="O15045" s="5" t="s">
        <v>355</v>
      </c>
      <c r="P15045" s="5" t="s">
        <v>355</v>
      </c>
      <c r="Q15045" s="5" t="s">
        <v>355</v>
      </c>
    </row>
    <row r="15046" ht="16.5" customHeight="1">
      <c r="O15046" s="5" t="s">
        <v>355</v>
      </c>
      <c r="P15046" s="5" t="s">
        <v>355</v>
      </c>
      <c r="Q15046" s="5" t="s">
        <v>355</v>
      </c>
    </row>
    <row r="15047" ht="16.5" customHeight="1">
      <c r="O15047" s="5" t="s">
        <v>355</v>
      </c>
      <c r="P15047" s="5" t="s">
        <v>355</v>
      </c>
      <c r="Q15047" s="5" t="s">
        <v>355</v>
      </c>
    </row>
    <row r="15048" ht="16.5" customHeight="1">
      <c r="O15048" s="5" t="s">
        <v>355</v>
      </c>
      <c r="P15048" s="5" t="s">
        <v>355</v>
      </c>
      <c r="Q15048" s="5" t="s">
        <v>355</v>
      </c>
    </row>
    <row r="15049" ht="16.5" customHeight="1">
      <c r="O15049" s="5" t="s">
        <v>355</v>
      </c>
      <c r="P15049" s="5" t="s">
        <v>355</v>
      </c>
      <c r="Q15049" s="5" t="s">
        <v>355</v>
      </c>
    </row>
    <row r="15050" ht="16.5" customHeight="1">
      <c r="O15050" s="5" t="s">
        <v>355</v>
      </c>
      <c r="P15050" s="5" t="s">
        <v>355</v>
      </c>
      <c r="Q15050" s="5" t="s">
        <v>355</v>
      </c>
    </row>
    <row r="15051" ht="16.5" customHeight="1">
      <c r="O15051" s="5" t="s">
        <v>355</v>
      </c>
      <c r="P15051" s="5" t="s">
        <v>355</v>
      </c>
      <c r="Q15051" s="5" t="s">
        <v>355</v>
      </c>
    </row>
    <row r="15052" ht="16.5" customHeight="1">
      <c r="O15052" s="5" t="s">
        <v>355</v>
      </c>
      <c r="P15052" s="5" t="s">
        <v>355</v>
      </c>
      <c r="Q15052" s="5" t="s">
        <v>355</v>
      </c>
    </row>
    <row r="15053" ht="16.5" customHeight="1">
      <c r="O15053" s="5" t="s">
        <v>355</v>
      </c>
      <c r="P15053" s="5" t="s">
        <v>355</v>
      </c>
      <c r="Q15053" s="5" t="s">
        <v>355</v>
      </c>
    </row>
    <row r="15054" ht="16.5" customHeight="1">
      <c r="O15054" s="5" t="s">
        <v>355</v>
      </c>
      <c r="P15054" s="5" t="s">
        <v>355</v>
      </c>
      <c r="Q15054" s="5" t="s">
        <v>355</v>
      </c>
    </row>
    <row r="15055" ht="16.5" customHeight="1">
      <c r="O15055" s="5" t="s">
        <v>355</v>
      </c>
      <c r="P15055" s="5" t="s">
        <v>355</v>
      </c>
      <c r="Q15055" s="5" t="s">
        <v>355</v>
      </c>
    </row>
    <row r="15056" ht="16.5" customHeight="1">
      <c r="O15056" s="5" t="s">
        <v>355</v>
      </c>
      <c r="P15056" s="5" t="s">
        <v>355</v>
      </c>
      <c r="Q15056" s="5" t="s">
        <v>355</v>
      </c>
    </row>
    <row r="15057" ht="16.5" customHeight="1">
      <c r="O15057" s="5" t="s">
        <v>355</v>
      </c>
      <c r="P15057" s="5" t="s">
        <v>355</v>
      </c>
      <c r="Q15057" s="5" t="s">
        <v>355</v>
      </c>
    </row>
    <row r="15058" ht="16.5" customHeight="1">
      <c r="O15058" s="5" t="s">
        <v>355</v>
      </c>
      <c r="P15058" s="5" t="s">
        <v>355</v>
      </c>
      <c r="Q15058" s="5" t="s">
        <v>355</v>
      </c>
    </row>
    <row r="15059" ht="16.5" customHeight="1">
      <c r="O15059" s="5" t="s">
        <v>355</v>
      </c>
      <c r="P15059" s="5" t="s">
        <v>355</v>
      </c>
      <c r="Q15059" s="5" t="s">
        <v>355</v>
      </c>
    </row>
    <row r="15060" ht="16.5" customHeight="1">
      <c r="O15060" s="5" t="s">
        <v>355</v>
      </c>
      <c r="P15060" s="5" t="s">
        <v>355</v>
      </c>
      <c r="Q15060" s="5" t="s">
        <v>355</v>
      </c>
    </row>
    <row r="15061" ht="16.5" customHeight="1">
      <c r="O15061" s="5" t="s">
        <v>355</v>
      </c>
      <c r="P15061" s="5" t="s">
        <v>355</v>
      </c>
      <c r="Q15061" s="5" t="s">
        <v>355</v>
      </c>
    </row>
    <row r="15062" ht="16.5" customHeight="1">
      <c r="O15062" s="5" t="s">
        <v>355</v>
      </c>
      <c r="P15062" s="5" t="s">
        <v>355</v>
      </c>
      <c r="Q15062" s="5" t="s">
        <v>355</v>
      </c>
    </row>
    <row r="15063" ht="16.5" customHeight="1">
      <c r="O15063" s="5" t="s">
        <v>355</v>
      </c>
      <c r="P15063" s="5" t="s">
        <v>355</v>
      </c>
      <c r="Q15063" s="5" t="s">
        <v>355</v>
      </c>
    </row>
    <row r="15064" ht="16.5" customHeight="1">
      <c r="O15064" s="5" t="s">
        <v>355</v>
      </c>
      <c r="P15064" s="5" t="s">
        <v>355</v>
      </c>
      <c r="Q15064" s="5" t="s">
        <v>355</v>
      </c>
    </row>
    <row r="15065" ht="16.5" customHeight="1">
      <c r="O15065" s="5" t="s">
        <v>355</v>
      </c>
      <c r="P15065" s="5" t="s">
        <v>355</v>
      </c>
      <c r="Q15065" s="5" t="s">
        <v>355</v>
      </c>
    </row>
    <row r="15066" ht="16.5" customHeight="1">
      <c r="O15066" s="5" t="s">
        <v>355</v>
      </c>
      <c r="P15066" s="5" t="s">
        <v>355</v>
      </c>
      <c r="Q15066" s="5" t="s">
        <v>355</v>
      </c>
    </row>
    <row r="15067" ht="16.5" customHeight="1">
      <c r="O15067" s="5" t="s">
        <v>355</v>
      </c>
      <c r="P15067" s="5" t="s">
        <v>355</v>
      </c>
      <c r="Q15067" s="5" t="s">
        <v>355</v>
      </c>
    </row>
    <row r="15068" ht="16.5" customHeight="1">
      <c r="O15068" s="5" t="s">
        <v>355</v>
      </c>
      <c r="P15068" s="5" t="s">
        <v>355</v>
      </c>
      <c r="Q15068" s="5" t="s">
        <v>355</v>
      </c>
    </row>
    <row r="15069" ht="16.5" customHeight="1">
      <c r="O15069" s="5" t="s">
        <v>355</v>
      </c>
      <c r="P15069" s="5" t="s">
        <v>355</v>
      </c>
      <c r="Q15069" s="5" t="s">
        <v>355</v>
      </c>
    </row>
    <row r="15070" ht="16.5" customHeight="1">
      <c r="O15070" s="5" t="s">
        <v>355</v>
      </c>
      <c r="P15070" s="5" t="s">
        <v>355</v>
      </c>
      <c r="Q15070" s="5" t="s">
        <v>355</v>
      </c>
    </row>
    <row r="15071" ht="16.5" customHeight="1">
      <c r="O15071" s="5" t="s">
        <v>355</v>
      </c>
      <c r="P15071" s="5" t="s">
        <v>355</v>
      </c>
      <c r="Q15071" s="5" t="s">
        <v>355</v>
      </c>
    </row>
    <row r="15072" ht="16.5" customHeight="1">
      <c r="O15072" s="5" t="s">
        <v>355</v>
      </c>
      <c r="P15072" s="5" t="s">
        <v>355</v>
      </c>
      <c r="Q15072" s="5" t="s">
        <v>355</v>
      </c>
    </row>
    <row r="15073" ht="16.5" customHeight="1">
      <c r="O15073" s="5" t="s">
        <v>355</v>
      </c>
      <c r="P15073" s="5" t="s">
        <v>355</v>
      </c>
      <c r="Q15073" s="5" t="s">
        <v>355</v>
      </c>
    </row>
    <row r="15074" ht="16.5" customHeight="1">
      <c r="O15074" s="5" t="s">
        <v>355</v>
      </c>
      <c r="P15074" s="5" t="s">
        <v>355</v>
      </c>
      <c r="Q15074" s="5" t="s">
        <v>355</v>
      </c>
    </row>
    <row r="15075" ht="16.5" customHeight="1">
      <c r="O15075" s="5" t="s">
        <v>355</v>
      </c>
      <c r="P15075" s="5" t="s">
        <v>355</v>
      </c>
      <c r="Q15075" s="5" t="s">
        <v>355</v>
      </c>
    </row>
    <row r="15076" ht="16.5" customHeight="1">
      <c r="O15076" s="5" t="s">
        <v>355</v>
      </c>
      <c r="P15076" s="5" t="s">
        <v>355</v>
      </c>
      <c r="Q15076" s="5" t="s">
        <v>355</v>
      </c>
    </row>
    <row r="15077" ht="16.5" customHeight="1">
      <c r="O15077" s="5" t="s">
        <v>355</v>
      </c>
      <c r="P15077" s="5" t="s">
        <v>355</v>
      </c>
      <c r="Q15077" s="5" t="s">
        <v>355</v>
      </c>
    </row>
    <row r="15078" ht="16.5" customHeight="1">
      <c r="O15078" s="5" t="s">
        <v>355</v>
      </c>
      <c r="P15078" s="5" t="s">
        <v>355</v>
      </c>
      <c r="Q15078" s="5" t="s">
        <v>355</v>
      </c>
    </row>
    <row r="15079" ht="16.5" customHeight="1">
      <c r="O15079" s="5" t="s">
        <v>355</v>
      </c>
      <c r="P15079" s="5" t="s">
        <v>355</v>
      </c>
      <c r="Q15079" s="5" t="s">
        <v>355</v>
      </c>
    </row>
    <row r="15080" ht="16.5" customHeight="1">
      <c r="O15080" s="5" t="s">
        <v>355</v>
      </c>
      <c r="P15080" s="5" t="s">
        <v>355</v>
      </c>
      <c r="Q15080" s="5" t="s">
        <v>355</v>
      </c>
    </row>
    <row r="15081" ht="16.5" customHeight="1">
      <c r="O15081" s="5" t="s">
        <v>355</v>
      </c>
      <c r="P15081" s="5" t="s">
        <v>355</v>
      </c>
      <c r="Q15081" s="5" t="s">
        <v>355</v>
      </c>
    </row>
    <row r="15082" ht="16.5" customHeight="1">
      <c r="O15082" s="5" t="s">
        <v>355</v>
      </c>
      <c r="P15082" s="5" t="s">
        <v>355</v>
      </c>
      <c r="Q15082" s="5" t="s">
        <v>355</v>
      </c>
    </row>
    <row r="15083" ht="16.5" customHeight="1">
      <c r="O15083" s="5" t="s">
        <v>355</v>
      </c>
      <c r="P15083" s="5" t="s">
        <v>355</v>
      </c>
      <c r="Q15083" s="5" t="s">
        <v>355</v>
      </c>
    </row>
    <row r="15084" ht="16.5" customHeight="1">
      <c r="O15084" s="5" t="s">
        <v>355</v>
      </c>
      <c r="P15084" s="5" t="s">
        <v>355</v>
      </c>
      <c r="Q15084" s="5" t="s">
        <v>355</v>
      </c>
    </row>
    <row r="15085" ht="16.5" customHeight="1">
      <c r="O15085" s="5" t="s">
        <v>355</v>
      </c>
      <c r="P15085" s="5" t="s">
        <v>355</v>
      </c>
      <c r="Q15085" s="5" t="s">
        <v>355</v>
      </c>
    </row>
    <row r="15086" ht="16.5" customHeight="1">
      <c r="O15086" s="5" t="s">
        <v>355</v>
      </c>
      <c r="P15086" s="5" t="s">
        <v>355</v>
      </c>
      <c r="Q15086" s="5" t="s">
        <v>355</v>
      </c>
    </row>
    <row r="15087" ht="16.5" customHeight="1">
      <c r="O15087" s="5" t="s">
        <v>355</v>
      </c>
      <c r="P15087" s="5" t="s">
        <v>355</v>
      </c>
      <c r="Q15087" s="5" t="s">
        <v>355</v>
      </c>
    </row>
    <row r="15088" ht="16.5" customHeight="1">
      <c r="O15088" s="5" t="s">
        <v>355</v>
      </c>
      <c r="P15088" s="5" t="s">
        <v>355</v>
      </c>
      <c r="Q15088" s="5" t="s">
        <v>355</v>
      </c>
    </row>
    <row r="15089" ht="16.5" customHeight="1">
      <c r="O15089" s="5" t="s">
        <v>355</v>
      </c>
      <c r="P15089" s="5" t="s">
        <v>355</v>
      </c>
      <c r="Q15089" s="5" t="s">
        <v>355</v>
      </c>
    </row>
    <row r="15090" ht="16.5" customHeight="1">
      <c r="O15090" s="5" t="s">
        <v>355</v>
      </c>
      <c r="P15090" s="5" t="s">
        <v>355</v>
      </c>
      <c r="Q15090" s="5" t="s">
        <v>355</v>
      </c>
    </row>
    <row r="15091" ht="16.5" customHeight="1">
      <c r="O15091" s="5" t="s">
        <v>355</v>
      </c>
      <c r="P15091" s="5" t="s">
        <v>355</v>
      </c>
      <c r="Q15091" s="5" t="s">
        <v>355</v>
      </c>
    </row>
    <row r="15092" ht="16.5" customHeight="1">
      <c r="O15092" s="5" t="s">
        <v>355</v>
      </c>
      <c r="P15092" s="5" t="s">
        <v>355</v>
      </c>
      <c r="Q15092" s="5" t="s">
        <v>355</v>
      </c>
    </row>
    <row r="15093" ht="16.5" customHeight="1">
      <c r="O15093" s="5" t="s">
        <v>355</v>
      </c>
      <c r="P15093" s="5" t="s">
        <v>355</v>
      </c>
      <c r="Q15093" s="5" t="s">
        <v>355</v>
      </c>
    </row>
    <row r="15094" ht="16.5" customHeight="1">
      <c r="O15094" s="5" t="s">
        <v>355</v>
      </c>
      <c r="P15094" s="5" t="s">
        <v>355</v>
      </c>
      <c r="Q15094" s="5" t="s">
        <v>355</v>
      </c>
    </row>
    <row r="15095" ht="16.5" customHeight="1">
      <c r="O15095" s="5" t="s">
        <v>355</v>
      </c>
      <c r="P15095" s="5" t="s">
        <v>355</v>
      </c>
      <c r="Q15095" s="5" t="s">
        <v>355</v>
      </c>
    </row>
    <row r="15096" ht="16.5" customHeight="1">
      <c r="O15096" s="5" t="s">
        <v>355</v>
      </c>
      <c r="P15096" s="5" t="s">
        <v>355</v>
      </c>
      <c r="Q15096" s="5" t="s">
        <v>355</v>
      </c>
    </row>
    <row r="15097" ht="16.5" customHeight="1">
      <c r="O15097" s="5" t="s">
        <v>355</v>
      </c>
      <c r="P15097" s="5" t="s">
        <v>355</v>
      </c>
      <c r="Q15097" s="5" t="s">
        <v>355</v>
      </c>
    </row>
    <row r="15098" ht="16.5" customHeight="1">
      <c r="O15098" s="5" t="s">
        <v>355</v>
      </c>
      <c r="P15098" s="5" t="s">
        <v>355</v>
      </c>
      <c r="Q15098" s="5" t="s">
        <v>355</v>
      </c>
    </row>
    <row r="15099" ht="16.5" customHeight="1">
      <c r="O15099" s="5" t="s">
        <v>355</v>
      </c>
      <c r="P15099" s="5" t="s">
        <v>355</v>
      </c>
      <c r="Q15099" s="5" t="s">
        <v>355</v>
      </c>
    </row>
    <row r="15100" ht="16.5" customHeight="1">
      <c r="O15100" s="5" t="s">
        <v>355</v>
      </c>
      <c r="P15100" s="5" t="s">
        <v>355</v>
      </c>
      <c r="Q15100" s="5" t="s">
        <v>355</v>
      </c>
    </row>
    <row r="15101" ht="16.5" customHeight="1">
      <c r="O15101" s="5" t="s">
        <v>355</v>
      </c>
      <c r="P15101" s="5" t="s">
        <v>355</v>
      </c>
      <c r="Q15101" s="5" t="s">
        <v>355</v>
      </c>
    </row>
    <row r="15102" ht="16.5" customHeight="1">
      <c r="O15102" s="5" t="s">
        <v>355</v>
      </c>
      <c r="P15102" s="5" t="s">
        <v>355</v>
      </c>
      <c r="Q15102" s="5" t="s">
        <v>355</v>
      </c>
    </row>
    <row r="15103" ht="16.5" customHeight="1">
      <c r="O15103" s="5" t="s">
        <v>355</v>
      </c>
      <c r="P15103" s="5" t="s">
        <v>355</v>
      </c>
      <c r="Q15103" s="5" t="s">
        <v>355</v>
      </c>
    </row>
    <row r="15104" ht="16.5" customHeight="1">
      <c r="O15104" s="5" t="s">
        <v>355</v>
      </c>
      <c r="P15104" s="5" t="s">
        <v>355</v>
      </c>
      <c r="Q15104" s="5" t="s">
        <v>355</v>
      </c>
    </row>
    <row r="15105" ht="16.5" customHeight="1">
      <c r="O15105" s="5" t="s">
        <v>355</v>
      </c>
      <c r="P15105" s="5" t="s">
        <v>355</v>
      </c>
      <c r="Q15105" s="5" t="s">
        <v>355</v>
      </c>
    </row>
    <row r="15106" ht="16.5" customHeight="1">
      <c r="O15106" s="5" t="s">
        <v>355</v>
      </c>
      <c r="P15106" s="5" t="s">
        <v>355</v>
      </c>
      <c r="Q15106" s="5" t="s">
        <v>355</v>
      </c>
    </row>
    <row r="15107" ht="16.5" customHeight="1">
      <c r="O15107" s="5" t="s">
        <v>355</v>
      </c>
      <c r="P15107" s="5" t="s">
        <v>355</v>
      </c>
      <c r="Q15107" s="5" t="s">
        <v>355</v>
      </c>
    </row>
    <row r="15108" ht="16.5" customHeight="1">
      <c r="O15108" s="5" t="s">
        <v>355</v>
      </c>
      <c r="P15108" s="5" t="s">
        <v>355</v>
      </c>
      <c r="Q15108" s="5" t="s">
        <v>355</v>
      </c>
    </row>
    <row r="15109" ht="16.5" customHeight="1">
      <c r="O15109" s="5" t="s">
        <v>355</v>
      </c>
      <c r="P15109" s="5" t="s">
        <v>355</v>
      </c>
      <c r="Q15109" s="5" t="s">
        <v>355</v>
      </c>
    </row>
    <row r="15110" ht="16.5" customHeight="1">
      <c r="O15110" s="5" t="s">
        <v>355</v>
      </c>
      <c r="P15110" s="5" t="s">
        <v>355</v>
      </c>
      <c r="Q15110" s="5" t="s">
        <v>355</v>
      </c>
    </row>
    <row r="15111" ht="16.5" customHeight="1">
      <c r="O15111" s="5" t="s">
        <v>355</v>
      </c>
      <c r="P15111" s="5" t="s">
        <v>355</v>
      </c>
      <c r="Q15111" s="5" t="s">
        <v>355</v>
      </c>
    </row>
    <row r="15112" ht="16.5" customHeight="1">
      <c r="O15112" s="5" t="s">
        <v>355</v>
      </c>
      <c r="P15112" s="5" t="s">
        <v>355</v>
      </c>
      <c r="Q15112" s="5" t="s">
        <v>355</v>
      </c>
    </row>
    <row r="15113" ht="16.5" customHeight="1">
      <c r="O15113" s="5" t="s">
        <v>355</v>
      </c>
      <c r="P15113" s="5" t="s">
        <v>355</v>
      </c>
      <c r="Q15113" s="5" t="s">
        <v>355</v>
      </c>
    </row>
    <row r="15114" ht="16.5" customHeight="1">
      <c r="O15114" s="5" t="s">
        <v>355</v>
      </c>
      <c r="P15114" s="5" t="s">
        <v>355</v>
      </c>
      <c r="Q15114" s="5" t="s">
        <v>355</v>
      </c>
    </row>
    <row r="15115" ht="16.5" customHeight="1">
      <c r="O15115" s="5" t="s">
        <v>355</v>
      </c>
      <c r="P15115" s="5" t="s">
        <v>355</v>
      </c>
      <c r="Q15115" s="5" t="s">
        <v>355</v>
      </c>
    </row>
    <row r="15116" ht="16.5" customHeight="1">
      <c r="O15116" s="5" t="s">
        <v>355</v>
      </c>
      <c r="P15116" s="5" t="s">
        <v>355</v>
      </c>
      <c r="Q15116" s="5" t="s">
        <v>355</v>
      </c>
    </row>
    <row r="15117" ht="16.5" customHeight="1">
      <c r="O15117" s="5" t="s">
        <v>355</v>
      </c>
      <c r="P15117" s="5" t="s">
        <v>355</v>
      </c>
      <c r="Q15117" s="5" t="s">
        <v>355</v>
      </c>
    </row>
    <row r="15118" ht="16.5" customHeight="1">
      <c r="O15118" s="5" t="s">
        <v>355</v>
      </c>
      <c r="P15118" s="5" t="s">
        <v>355</v>
      </c>
      <c r="Q15118" s="5" t="s">
        <v>355</v>
      </c>
    </row>
    <row r="15119" ht="16.5" customHeight="1">
      <c r="O15119" s="5" t="s">
        <v>355</v>
      </c>
      <c r="P15119" s="5" t="s">
        <v>355</v>
      </c>
      <c r="Q15119" s="5" t="s">
        <v>355</v>
      </c>
    </row>
    <row r="15120" ht="16.5" customHeight="1">
      <c r="O15120" s="5" t="s">
        <v>355</v>
      </c>
      <c r="P15120" s="5" t="s">
        <v>355</v>
      </c>
      <c r="Q15120" s="5" t="s">
        <v>355</v>
      </c>
    </row>
    <row r="15121" ht="16.5" customHeight="1">
      <c r="O15121" s="5" t="s">
        <v>355</v>
      </c>
      <c r="P15121" s="5" t="s">
        <v>355</v>
      </c>
      <c r="Q15121" s="5" t="s">
        <v>355</v>
      </c>
    </row>
    <row r="15122" ht="16.5" customHeight="1">
      <c r="O15122" s="5" t="s">
        <v>355</v>
      </c>
      <c r="P15122" s="5" t="s">
        <v>355</v>
      </c>
      <c r="Q15122" s="5" t="s">
        <v>355</v>
      </c>
    </row>
    <row r="15123" ht="16.5" customHeight="1">
      <c r="O15123" s="5" t="s">
        <v>355</v>
      </c>
      <c r="P15123" s="5" t="s">
        <v>355</v>
      </c>
      <c r="Q15123" s="5" t="s">
        <v>355</v>
      </c>
    </row>
    <row r="15124" ht="16.5" customHeight="1">
      <c r="O15124" s="5" t="s">
        <v>355</v>
      </c>
      <c r="P15124" s="5" t="s">
        <v>355</v>
      </c>
      <c r="Q15124" s="5" t="s">
        <v>355</v>
      </c>
    </row>
    <row r="15125" ht="16.5" customHeight="1">
      <c r="O15125" s="5" t="s">
        <v>355</v>
      </c>
      <c r="P15125" s="5" t="s">
        <v>355</v>
      </c>
      <c r="Q15125" s="5" t="s">
        <v>355</v>
      </c>
    </row>
    <row r="15126" ht="16.5" customHeight="1">
      <c r="O15126" s="5" t="s">
        <v>355</v>
      </c>
      <c r="P15126" s="5" t="s">
        <v>355</v>
      </c>
      <c r="Q15126" s="5" t="s">
        <v>355</v>
      </c>
    </row>
    <row r="15127" ht="16.5" customHeight="1">
      <c r="O15127" s="5" t="s">
        <v>355</v>
      </c>
      <c r="P15127" s="5" t="s">
        <v>355</v>
      </c>
      <c r="Q15127" s="5" t="s">
        <v>355</v>
      </c>
    </row>
    <row r="15128" ht="16.5" customHeight="1">
      <c r="O15128" s="5" t="s">
        <v>355</v>
      </c>
      <c r="P15128" s="5" t="s">
        <v>355</v>
      </c>
      <c r="Q15128" s="5" t="s">
        <v>355</v>
      </c>
    </row>
    <row r="15129" ht="16.5" customHeight="1">
      <c r="O15129" s="5" t="s">
        <v>355</v>
      </c>
      <c r="P15129" s="5" t="s">
        <v>355</v>
      </c>
      <c r="Q15129" s="5" t="s">
        <v>355</v>
      </c>
    </row>
    <row r="15130" ht="16.5" customHeight="1">
      <c r="O15130" s="5" t="s">
        <v>355</v>
      </c>
      <c r="P15130" s="5" t="s">
        <v>355</v>
      </c>
      <c r="Q15130" s="5" t="s">
        <v>355</v>
      </c>
    </row>
    <row r="15131" ht="16.5" customHeight="1">
      <c r="O15131" s="5" t="s">
        <v>355</v>
      </c>
      <c r="P15131" s="5" t="s">
        <v>355</v>
      </c>
      <c r="Q15131" s="5" t="s">
        <v>355</v>
      </c>
    </row>
    <row r="15132" ht="16.5" customHeight="1">
      <c r="O15132" s="5" t="s">
        <v>355</v>
      </c>
      <c r="P15132" s="5" t="s">
        <v>355</v>
      </c>
      <c r="Q15132" s="5" t="s">
        <v>355</v>
      </c>
    </row>
    <row r="15133" ht="16.5" customHeight="1">
      <c r="O15133" s="5" t="s">
        <v>355</v>
      </c>
      <c r="P15133" s="5" t="s">
        <v>355</v>
      </c>
      <c r="Q15133" s="5" t="s">
        <v>355</v>
      </c>
    </row>
    <row r="15134" ht="16.5" customHeight="1">
      <c r="O15134" s="5" t="s">
        <v>355</v>
      </c>
      <c r="P15134" s="5" t="s">
        <v>355</v>
      </c>
      <c r="Q15134" s="5" t="s">
        <v>355</v>
      </c>
    </row>
    <row r="15135" ht="16.5" customHeight="1">
      <c r="O15135" s="5" t="s">
        <v>355</v>
      </c>
      <c r="P15135" s="5" t="s">
        <v>355</v>
      </c>
      <c r="Q15135" s="5" t="s">
        <v>355</v>
      </c>
    </row>
    <row r="15136" ht="16.5" customHeight="1">
      <c r="O15136" s="5" t="s">
        <v>355</v>
      </c>
      <c r="P15136" s="5" t="s">
        <v>355</v>
      </c>
      <c r="Q15136" s="5" t="s">
        <v>355</v>
      </c>
    </row>
    <row r="15137" ht="16.5" customHeight="1">
      <c r="O15137" s="5" t="s">
        <v>355</v>
      </c>
      <c r="P15137" s="5" t="s">
        <v>355</v>
      </c>
      <c r="Q15137" s="5" t="s">
        <v>355</v>
      </c>
    </row>
    <row r="15138" ht="16.5" customHeight="1">
      <c r="O15138" s="5" t="s">
        <v>355</v>
      </c>
      <c r="P15138" s="5" t="s">
        <v>355</v>
      </c>
      <c r="Q15138" s="5" t="s">
        <v>355</v>
      </c>
    </row>
    <row r="15139" ht="16.5" customHeight="1">
      <c r="O15139" s="5" t="s">
        <v>355</v>
      </c>
      <c r="P15139" s="5" t="s">
        <v>355</v>
      </c>
      <c r="Q15139" s="5" t="s">
        <v>355</v>
      </c>
    </row>
    <row r="15140" ht="16.5" customHeight="1">
      <c r="O15140" s="5" t="s">
        <v>355</v>
      </c>
      <c r="P15140" s="5" t="s">
        <v>355</v>
      </c>
      <c r="Q15140" s="5" t="s">
        <v>355</v>
      </c>
    </row>
    <row r="15141" ht="16.5" customHeight="1">
      <c r="O15141" s="5" t="s">
        <v>355</v>
      </c>
      <c r="P15141" s="5" t="s">
        <v>355</v>
      </c>
      <c r="Q15141" s="5" t="s">
        <v>355</v>
      </c>
    </row>
    <row r="15142" ht="16.5" customHeight="1">
      <c r="O15142" s="5" t="s">
        <v>355</v>
      </c>
      <c r="P15142" s="5" t="s">
        <v>355</v>
      </c>
      <c r="Q15142" s="5" t="s">
        <v>355</v>
      </c>
    </row>
    <row r="15143" ht="16.5" customHeight="1">
      <c r="O15143" s="5" t="s">
        <v>355</v>
      </c>
      <c r="P15143" s="5" t="s">
        <v>355</v>
      </c>
      <c r="Q15143" s="5" t="s">
        <v>355</v>
      </c>
    </row>
    <row r="15144" ht="16.5" customHeight="1">
      <c r="O15144" s="5" t="s">
        <v>355</v>
      </c>
      <c r="P15144" s="5" t="s">
        <v>355</v>
      </c>
      <c r="Q15144" s="5" t="s">
        <v>355</v>
      </c>
    </row>
    <row r="15145" ht="16.5" customHeight="1">
      <c r="O15145" s="5" t="s">
        <v>355</v>
      </c>
      <c r="P15145" s="5" t="s">
        <v>355</v>
      </c>
      <c r="Q15145" s="5" t="s">
        <v>355</v>
      </c>
    </row>
    <row r="15146" ht="16.5" customHeight="1">
      <c r="O15146" s="5" t="s">
        <v>355</v>
      </c>
      <c r="P15146" s="5" t="s">
        <v>355</v>
      </c>
      <c r="Q15146" s="5" t="s">
        <v>355</v>
      </c>
    </row>
    <row r="15147" ht="16.5" customHeight="1">
      <c r="O15147" s="5" t="s">
        <v>355</v>
      </c>
      <c r="P15147" s="5" t="s">
        <v>355</v>
      </c>
      <c r="Q15147" s="5" t="s">
        <v>355</v>
      </c>
    </row>
    <row r="15148" ht="16.5" customHeight="1">
      <c r="O15148" s="5" t="s">
        <v>355</v>
      </c>
      <c r="P15148" s="5" t="s">
        <v>355</v>
      </c>
      <c r="Q15148" s="5" t="s">
        <v>355</v>
      </c>
    </row>
    <row r="15149" ht="16.5" customHeight="1">
      <c r="O15149" s="5" t="s">
        <v>355</v>
      </c>
      <c r="P15149" s="5" t="s">
        <v>355</v>
      </c>
      <c r="Q15149" s="5" t="s">
        <v>355</v>
      </c>
    </row>
    <row r="15150" ht="16.5" customHeight="1">
      <c r="O15150" s="5" t="s">
        <v>355</v>
      </c>
      <c r="P15150" s="5" t="s">
        <v>355</v>
      </c>
      <c r="Q15150" s="5" t="s">
        <v>355</v>
      </c>
    </row>
    <row r="15151" ht="16.5" customHeight="1">
      <c r="O15151" s="5" t="s">
        <v>355</v>
      </c>
      <c r="P15151" s="5" t="s">
        <v>355</v>
      </c>
      <c r="Q15151" s="5" t="s">
        <v>355</v>
      </c>
    </row>
    <row r="15152" ht="16.5" customHeight="1">
      <c r="O15152" s="5" t="s">
        <v>355</v>
      </c>
      <c r="P15152" s="5" t="s">
        <v>355</v>
      </c>
      <c r="Q15152" s="5" t="s">
        <v>355</v>
      </c>
    </row>
    <row r="15153" ht="16.5" customHeight="1">
      <c r="O15153" s="5" t="s">
        <v>355</v>
      </c>
      <c r="P15153" s="5" t="s">
        <v>355</v>
      </c>
      <c r="Q15153" s="5" t="s">
        <v>355</v>
      </c>
    </row>
    <row r="15154" ht="16.5" customHeight="1">
      <c r="O15154" s="5" t="s">
        <v>355</v>
      </c>
      <c r="P15154" s="5" t="s">
        <v>355</v>
      </c>
      <c r="Q15154" s="5" t="s">
        <v>355</v>
      </c>
    </row>
    <row r="15155" ht="16.5" customHeight="1">
      <c r="O15155" s="5" t="s">
        <v>355</v>
      </c>
      <c r="P15155" s="5" t="s">
        <v>355</v>
      </c>
      <c r="Q15155" s="5" t="s">
        <v>355</v>
      </c>
    </row>
    <row r="15156" ht="16.5" customHeight="1">
      <c r="O15156" s="5" t="s">
        <v>355</v>
      </c>
      <c r="P15156" s="5" t="s">
        <v>355</v>
      </c>
      <c r="Q15156" s="5" t="s">
        <v>355</v>
      </c>
    </row>
    <row r="15157" ht="16.5" customHeight="1">
      <c r="O15157" s="5" t="s">
        <v>355</v>
      </c>
      <c r="P15157" s="5" t="s">
        <v>355</v>
      </c>
      <c r="Q15157" s="5" t="s">
        <v>355</v>
      </c>
    </row>
    <row r="15158" ht="16.5" customHeight="1">
      <c r="O15158" s="5" t="s">
        <v>355</v>
      </c>
      <c r="P15158" s="5" t="s">
        <v>355</v>
      </c>
      <c r="Q15158" s="5" t="s">
        <v>355</v>
      </c>
    </row>
    <row r="15159" ht="16.5" customHeight="1">
      <c r="O15159" s="5" t="s">
        <v>355</v>
      </c>
      <c r="P15159" s="5" t="s">
        <v>355</v>
      </c>
      <c r="Q15159" s="5" t="s">
        <v>355</v>
      </c>
    </row>
    <row r="15160" ht="16.5" customHeight="1">
      <c r="O15160" s="5" t="s">
        <v>355</v>
      </c>
      <c r="P15160" s="5" t="s">
        <v>355</v>
      </c>
      <c r="Q15160" s="5" t="s">
        <v>355</v>
      </c>
    </row>
    <row r="15161" ht="16.5" customHeight="1">
      <c r="O15161" s="5" t="s">
        <v>355</v>
      </c>
      <c r="P15161" s="5" t="s">
        <v>355</v>
      </c>
      <c r="Q15161" s="5" t="s">
        <v>355</v>
      </c>
    </row>
    <row r="15162" ht="16.5" customHeight="1">
      <c r="O15162" s="5" t="s">
        <v>355</v>
      </c>
      <c r="P15162" s="5" t="s">
        <v>355</v>
      </c>
      <c r="Q15162" s="5" t="s">
        <v>355</v>
      </c>
    </row>
    <row r="15163" ht="16.5" customHeight="1">
      <c r="O15163" s="5" t="s">
        <v>355</v>
      </c>
      <c r="P15163" s="5" t="s">
        <v>355</v>
      </c>
      <c r="Q15163" s="5" t="s">
        <v>355</v>
      </c>
    </row>
    <row r="15164" ht="16.5" customHeight="1">
      <c r="O15164" s="5" t="s">
        <v>355</v>
      </c>
      <c r="P15164" s="5" t="s">
        <v>355</v>
      </c>
      <c r="Q15164" s="5" t="s">
        <v>355</v>
      </c>
    </row>
    <row r="15165" ht="16.5" customHeight="1">
      <c r="O15165" s="5" t="s">
        <v>355</v>
      </c>
      <c r="P15165" s="5" t="s">
        <v>355</v>
      </c>
      <c r="Q15165" s="5" t="s">
        <v>355</v>
      </c>
    </row>
    <row r="15166" ht="16.5" customHeight="1">
      <c r="O15166" s="5" t="s">
        <v>355</v>
      </c>
      <c r="P15166" s="5" t="s">
        <v>355</v>
      </c>
      <c r="Q15166" s="5" t="s">
        <v>355</v>
      </c>
    </row>
    <row r="15167" ht="16.5" customHeight="1">
      <c r="O15167" s="5" t="s">
        <v>355</v>
      </c>
      <c r="P15167" s="5" t="s">
        <v>355</v>
      </c>
      <c r="Q15167" s="5" t="s">
        <v>355</v>
      </c>
    </row>
    <row r="15168" ht="16.5" customHeight="1">
      <c r="O15168" s="5" t="s">
        <v>355</v>
      </c>
      <c r="P15168" s="5" t="s">
        <v>355</v>
      </c>
      <c r="Q15168" s="5" t="s">
        <v>355</v>
      </c>
    </row>
    <row r="15169" ht="16.5" customHeight="1">
      <c r="O15169" s="5" t="s">
        <v>355</v>
      </c>
      <c r="P15169" s="5" t="s">
        <v>355</v>
      </c>
      <c r="Q15169" s="5" t="s">
        <v>355</v>
      </c>
    </row>
    <row r="15170" ht="16.5" customHeight="1">
      <c r="O15170" s="5" t="s">
        <v>355</v>
      </c>
      <c r="P15170" s="5" t="s">
        <v>355</v>
      </c>
      <c r="Q15170" s="5" t="s">
        <v>355</v>
      </c>
    </row>
    <row r="15171" ht="16.5" customHeight="1">
      <c r="O15171" s="5" t="s">
        <v>355</v>
      </c>
      <c r="P15171" s="5" t="s">
        <v>355</v>
      </c>
      <c r="Q15171" s="5" t="s">
        <v>355</v>
      </c>
    </row>
    <row r="15172" ht="16.5" customHeight="1">
      <c r="O15172" s="5" t="s">
        <v>355</v>
      </c>
      <c r="P15172" s="5" t="s">
        <v>355</v>
      </c>
      <c r="Q15172" s="5" t="s">
        <v>355</v>
      </c>
    </row>
    <row r="15173" ht="16.5" customHeight="1">
      <c r="O15173" s="5" t="s">
        <v>355</v>
      </c>
      <c r="P15173" s="5" t="s">
        <v>355</v>
      </c>
      <c r="Q15173" s="5" t="s">
        <v>355</v>
      </c>
    </row>
    <row r="15174" ht="16.5" customHeight="1">
      <c r="O15174" s="5" t="s">
        <v>355</v>
      </c>
      <c r="P15174" s="5" t="s">
        <v>355</v>
      </c>
      <c r="Q15174" s="5" t="s">
        <v>355</v>
      </c>
    </row>
    <row r="15175" ht="16.5" customHeight="1">
      <c r="O15175" s="5" t="s">
        <v>355</v>
      </c>
      <c r="P15175" s="5" t="s">
        <v>355</v>
      </c>
      <c r="Q15175" s="5" t="s">
        <v>355</v>
      </c>
    </row>
    <row r="15176" ht="16.5" customHeight="1">
      <c r="O15176" s="5" t="s">
        <v>355</v>
      </c>
      <c r="P15176" s="5" t="s">
        <v>355</v>
      </c>
      <c r="Q15176" s="5" t="s">
        <v>355</v>
      </c>
    </row>
    <row r="15177" ht="16.5" customHeight="1">
      <c r="O15177" s="5" t="s">
        <v>355</v>
      </c>
      <c r="P15177" s="5" t="s">
        <v>355</v>
      </c>
      <c r="Q15177" s="5" t="s">
        <v>355</v>
      </c>
    </row>
    <row r="15178" ht="16.5" customHeight="1">
      <c r="O15178" s="5" t="s">
        <v>355</v>
      </c>
      <c r="P15178" s="5" t="s">
        <v>355</v>
      </c>
      <c r="Q15178" s="5" t="s">
        <v>355</v>
      </c>
    </row>
    <row r="15179" ht="16.5" customHeight="1">
      <c r="O15179" s="5" t="s">
        <v>355</v>
      </c>
      <c r="P15179" s="5" t="s">
        <v>355</v>
      </c>
      <c r="Q15179" s="5" t="s">
        <v>355</v>
      </c>
    </row>
    <row r="15180" ht="16.5" customHeight="1">
      <c r="O15180" s="5" t="s">
        <v>355</v>
      </c>
      <c r="P15180" s="5" t="s">
        <v>355</v>
      </c>
      <c r="Q15180" s="5" t="s">
        <v>355</v>
      </c>
    </row>
    <row r="15181" ht="16.5" customHeight="1">
      <c r="O15181" s="5" t="s">
        <v>355</v>
      </c>
      <c r="P15181" s="5" t="s">
        <v>355</v>
      </c>
      <c r="Q15181" s="5" t="s">
        <v>355</v>
      </c>
    </row>
    <row r="15182" ht="16.5" customHeight="1">
      <c r="O15182" s="5" t="s">
        <v>355</v>
      </c>
      <c r="P15182" s="5" t="s">
        <v>355</v>
      </c>
      <c r="Q15182" s="5" t="s">
        <v>355</v>
      </c>
    </row>
    <row r="15183" ht="16.5" customHeight="1">
      <c r="O15183" s="5" t="s">
        <v>355</v>
      </c>
      <c r="P15183" s="5" t="s">
        <v>355</v>
      </c>
      <c r="Q15183" s="5" t="s">
        <v>355</v>
      </c>
    </row>
    <row r="15184" ht="16.5" customHeight="1">
      <c r="O15184" s="5" t="s">
        <v>355</v>
      </c>
      <c r="P15184" s="5" t="s">
        <v>355</v>
      </c>
      <c r="Q15184" s="5" t="s">
        <v>355</v>
      </c>
    </row>
    <row r="15185" ht="16.5" customHeight="1">
      <c r="O15185" s="5" t="s">
        <v>355</v>
      </c>
      <c r="P15185" s="5" t="s">
        <v>355</v>
      </c>
      <c r="Q15185" s="5" t="s">
        <v>355</v>
      </c>
    </row>
    <row r="15186" ht="16.5" customHeight="1">
      <c r="O15186" s="5" t="s">
        <v>355</v>
      </c>
      <c r="P15186" s="5" t="s">
        <v>355</v>
      </c>
      <c r="Q15186" s="5" t="s">
        <v>355</v>
      </c>
    </row>
    <row r="15187" ht="16.5" customHeight="1">
      <c r="O15187" s="5" t="s">
        <v>355</v>
      </c>
      <c r="P15187" s="5" t="s">
        <v>355</v>
      </c>
      <c r="Q15187" s="5" t="s">
        <v>355</v>
      </c>
    </row>
    <row r="15188" ht="16.5" customHeight="1">
      <c r="O15188" s="5" t="s">
        <v>355</v>
      </c>
      <c r="P15188" s="5" t="s">
        <v>355</v>
      </c>
      <c r="Q15188" s="5" t="s">
        <v>355</v>
      </c>
    </row>
    <row r="15189" ht="16.5" customHeight="1">
      <c r="O15189" s="5" t="s">
        <v>355</v>
      </c>
      <c r="P15189" s="5" t="s">
        <v>355</v>
      </c>
      <c r="Q15189" s="5" t="s">
        <v>355</v>
      </c>
    </row>
    <row r="15190" ht="16.5" customHeight="1">
      <c r="O15190" s="5" t="s">
        <v>355</v>
      </c>
      <c r="P15190" s="5" t="s">
        <v>355</v>
      </c>
      <c r="Q15190" s="5" t="s">
        <v>355</v>
      </c>
    </row>
    <row r="15191" ht="16.5" customHeight="1">
      <c r="O15191" s="5" t="s">
        <v>355</v>
      </c>
      <c r="P15191" s="5" t="s">
        <v>355</v>
      </c>
      <c r="Q15191" s="5" t="s">
        <v>355</v>
      </c>
    </row>
    <row r="15192" ht="16.5" customHeight="1">
      <c r="O15192" s="5" t="s">
        <v>355</v>
      </c>
      <c r="P15192" s="5" t="s">
        <v>355</v>
      </c>
      <c r="Q15192" s="5" t="s">
        <v>355</v>
      </c>
    </row>
    <row r="15193" ht="16.5" customHeight="1">
      <c r="O15193" s="5" t="s">
        <v>355</v>
      </c>
      <c r="P15193" s="5" t="s">
        <v>355</v>
      </c>
      <c r="Q15193" s="5" t="s">
        <v>355</v>
      </c>
    </row>
    <row r="15194" ht="16.5" customHeight="1">
      <c r="O15194" s="5" t="s">
        <v>355</v>
      </c>
      <c r="P15194" s="5" t="s">
        <v>355</v>
      </c>
      <c r="Q15194" s="5" t="s">
        <v>355</v>
      </c>
    </row>
    <row r="15195" ht="16.5" customHeight="1">
      <c r="O15195" s="5" t="s">
        <v>355</v>
      </c>
      <c r="P15195" s="5" t="s">
        <v>355</v>
      </c>
      <c r="Q15195" s="5" t="s">
        <v>355</v>
      </c>
    </row>
    <row r="15196" ht="16.5" customHeight="1">
      <c r="O15196" s="5" t="s">
        <v>355</v>
      </c>
      <c r="P15196" s="5" t="s">
        <v>355</v>
      </c>
      <c r="Q15196" s="5" t="s">
        <v>355</v>
      </c>
    </row>
    <row r="15197" ht="16.5" customHeight="1">
      <c r="O15197" s="5" t="s">
        <v>355</v>
      </c>
      <c r="P15197" s="5" t="s">
        <v>355</v>
      </c>
      <c r="Q15197" s="5" t="s">
        <v>355</v>
      </c>
    </row>
    <row r="15198" ht="16.5" customHeight="1">
      <c r="O15198" s="5" t="s">
        <v>355</v>
      </c>
      <c r="P15198" s="5" t="s">
        <v>355</v>
      </c>
      <c r="Q15198" s="5" t="s">
        <v>355</v>
      </c>
    </row>
    <row r="15199" ht="16.5" customHeight="1">
      <c r="O15199" s="5" t="s">
        <v>355</v>
      </c>
      <c r="P15199" s="5" t="s">
        <v>355</v>
      </c>
      <c r="Q15199" s="5" t="s">
        <v>355</v>
      </c>
    </row>
    <row r="15200" ht="16.5" customHeight="1">
      <c r="O15200" s="5" t="s">
        <v>355</v>
      </c>
      <c r="P15200" s="5" t="s">
        <v>355</v>
      </c>
      <c r="Q15200" s="5" t="s">
        <v>355</v>
      </c>
    </row>
    <row r="15201" ht="16.5" customHeight="1">
      <c r="O15201" s="5" t="s">
        <v>355</v>
      </c>
      <c r="P15201" s="5" t="s">
        <v>355</v>
      </c>
      <c r="Q15201" s="5" t="s">
        <v>355</v>
      </c>
    </row>
    <row r="15202" ht="16.5" customHeight="1">
      <c r="O15202" s="5" t="s">
        <v>355</v>
      </c>
      <c r="P15202" s="5" t="s">
        <v>355</v>
      </c>
      <c r="Q15202" s="5" t="s">
        <v>355</v>
      </c>
    </row>
    <row r="15203" ht="16.5" customHeight="1">
      <c r="O15203" s="5" t="s">
        <v>355</v>
      </c>
      <c r="P15203" s="5" t="s">
        <v>355</v>
      </c>
      <c r="Q15203" s="5" t="s">
        <v>355</v>
      </c>
    </row>
    <row r="15204" ht="16.5" customHeight="1">
      <c r="O15204" s="5" t="s">
        <v>355</v>
      </c>
      <c r="P15204" s="5" t="s">
        <v>355</v>
      </c>
      <c r="Q15204" s="5" t="s">
        <v>355</v>
      </c>
    </row>
    <row r="15205" ht="16.5" customHeight="1">
      <c r="O15205" s="5" t="s">
        <v>355</v>
      </c>
      <c r="P15205" s="5" t="s">
        <v>355</v>
      </c>
      <c r="Q15205" s="5" t="s">
        <v>355</v>
      </c>
    </row>
    <row r="15206" ht="16.5" customHeight="1">
      <c r="O15206" s="5" t="s">
        <v>355</v>
      </c>
      <c r="P15206" s="5" t="s">
        <v>355</v>
      </c>
      <c r="Q15206" s="5" t="s">
        <v>355</v>
      </c>
    </row>
    <row r="15207" ht="16.5" customHeight="1">
      <c r="O15207" s="5" t="s">
        <v>355</v>
      </c>
      <c r="P15207" s="5" t="s">
        <v>355</v>
      </c>
      <c r="Q15207" s="5" t="s">
        <v>355</v>
      </c>
    </row>
    <row r="15208" ht="16.5" customHeight="1">
      <c r="O15208" s="5" t="s">
        <v>355</v>
      </c>
      <c r="P15208" s="5" t="s">
        <v>355</v>
      </c>
      <c r="Q15208" s="5" t="s">
        <v>355</v>
      </c>
    </row>
    <row r="15209" ht="16.5" customHeight="1">
      <c r="O15209" s="5" t="s">
        <v>355</v>
      </c>
      <c r="P15209" s="5" t="s">
        <v>355</v>
      </c>
      <c r="Q15209" s="5" t="s">
        <v>355</v>
      </c>
    </row>
    <row r="15210" ht="16.5" customHeight="1">
      <c r="O15210" s="5" t="s">
        <v>355</v>
      </c>
      <c r="P15210" s="5" t="s">
        <v>355</v>
      </c>
      <c r="Q15210" s="5" t="s">
        <v>355</v>
      </c>
    </row>
    <row r="15211" ht="16.5" customHeight="1">
      <c r="O15211" s="5" t="s">
        <v>355</v>
      </c>
      <c r="P15211" s="5" t="s">
        <v>355</v>
      </c>
      <c r="Q15211" s="5" t="s">
        <v>355</v>
      </c>
    </row>
    <row r="15212" ht="16.5" customHeight="1">
      <c r="O15212" s="5" t="s">
        <v>355</v>
      </c>
      <c r="P15212" s="5" t="s">
        <v>355</v>
      </c>
      <c r="Q15212" s="5" t="s">
        <v>355</v>
      </c>
    </row>
    <row r="15213" ht="16.5" customHeight="1">
      <c r="O15213" s="5" t="s">
        <v>355</v>
      </c>
      <c r="P15213" s="5" t="s">
        <v>355</v>
      </c>
      <c r="Q15213" s="5" t="s">
        <v>355</v>
      </c>
    </row>
    <row r="15214" ht="16.5" customHeight="1">
      <c r="O15214" s="5" t="s">
        <v>355</v>
      </c>
      <c r="P15214" s="5" t="s">
        <v>355</v>
      </c>
      <c r="Q15214" s="5" t="s">
        <v>355</v>
      </c>
    </row>
    <row r="15215" ht="16.5" customHeight="1">
      <c r="O15215" s="5" t="s">
        <v>355</v>
      </c>
      <c r="P15215" s="5" t="s">
        <v>355</v>
      </c>
      <c r="Q15215" s="5" t="s">
        <v>355</v>
      </c>
    </row>
    <row r="15216" ht="16.5" customHeight="1">
      <c r="O15216" s="5" t="s">
        <v>355</v>
      </c>
      <c r="P15216" s="5" t="s">
        <v>355</v>
      </c>
      <c r="Q15216" s="5" t="s">
        <v>355</v>
      </c>
    </row>
    <row r="15217" ht="16.5" customHeight="1">
      <c r="O15217" s="5" t="s">
        <v>355</v>
      </c>
      <c r="P15217" s="5" t="s">
        <v>355</v>
      </c>
      <c r="Q15217" s="5" t="s">
        <v>355</v>
      </c>
    </row>
    <row r="15218" ht="16.5" customHeight="1">
      <c r="O15218" s="5" t="s">
        <v>355</v>
      </c>
      <c r="P15218" s="5" t="s">
        <v>355</v>
      </c>
      <c r="Q15218" s="5" t="s">
        <v>355</v>
      </c>
    </row>
    <row r="15219" ht="16.5" customHeight="1">
      <c r="O15219" s="5" t="s">
        <v>355</v>
      </c>
      <c r="P15219" s="5" t="s">
        <v>355</v>
      </c>
      <c r="Q15219" s="5" t="s">
        <v>355</v>
      </c>
    </row>
    <row r="15220" ht="16.5" customHeight="1">
      <c r="O15220" s="5" t="s">
        <v>355</v>
      </c>
      <c r="P15220" s="5" t="s">
        <v>355</v>
      </c>
      <c r="Q15220" s="5" t="s">
        <v>355</v>
      </c>
    </row>
    <row r="15221" ht="16.5" customHeight="1">
      <c r="O15221" s="5" t="s">
        <v>355</v>
      </c>
      <c r="P15221" s="5" t="s">
        <v>355</v>
      </c>
      <c r="Q15221" s="5" t="s">
        <v>355</v>
      </c>
    </row>
    <row r="15222" ht="16.5" customHeight="1">
      <c r="O15222" s="5" t="s">
        <v>355</v>
      </c>
      <c r="P15222" s="5" t="s">
        <v>355</v>
      </c>
      <c r="Q15222" s="5" t="s">
        <v>355</v>
      </c>
    </row>
    <row r="15223" ht="16.5" customHeight="1">
      <c r="O15223" s="5" t="s">
        <v>355</v>
      </c>
      <c r="P15223" s="5" t="s">
        <v>355</v>
      </c>
      <c r="Q15223" s="5" t="s">
        <v>355</v>
      </c>
    </row>
    <row r="15224" ht="16.5" customHeight="1">
      <c r="O15224" s="5" t="s">
        <v>355</v>
      </c>
      <c r="P15224" s="5" t="s">
        <v>355</v>
      </c>
      <c r="Q15224" s="5" t="s">
        <v>355</v>
      </c>
    </row>
    <row r="15225" ht="16.5" customHeight="1">
      <c r="O15225" s="5" t="s">
        <v>355</v>
      </c>
      <c r="P15225" s="5" t="s">
        <v>355</v>
      </c>
      <c r="Q15225" s="5" t="s">
        <v>355</v>
      </c>
    </row>
    <row r="15226" ht="16.5" customHeight="1">
      <c r="O15226" s="5" t="s">
        <v>355</v>
      </c>
      <c r="P15226" s="5" t="s">
        <v>355</v>
      </c>
      <c r="Q15226" s="5" t="s">
        <v>355</v>
      </c>
    </row>
    <row r="15227" ht="16.5" customHeight="1">
      <c r="O15227" s="5" t="s">
        <v>355</v>
      </c>
      <c r="P15227" s="5" t="s">
        <v>355</v>
      </c>
      <c r="Q15227" s="5" t="s">
        <v>355</v>
      </c>
    </row>
    <row r="15228" ht="16.5" customHeight="1">
      <c r="O15228" s="5" t="s">
        <v>355</v>
      </c>
      <c r="P15228" s="5" t="s">
        <v>355</v>
      </c>
      <c r="Q15228" s="5" t="s">
        <v>355</v>
      </c>
    </row>
    <row r="15229" ht="16.5" customHeight="1">
      <c r="O15229" s="5" t="s">
        <v>355</v>
      </c>
      <c r="P15229" s="5" t="s">
        <v>355</v>
      </c>
      <c r="Q15229" s="5" t="s">
        <v>355</v>
      </c>
    </row>
    <row r="15230" ht="16.5" customHeight="1">
      <c r="O15230" s="5" t="s">
        <v>355</v>
      </c>
      <c r="P15230" s="5" t="s">
        <v>355</v>
      </c>
      <c r="Q15230" s="5" t="s">
        <v>355</v>
      </c>
    </row>
    <row r="15231" ht="16.5" customHeight="1">
      <c r="O15231" s="5" t="s">
        <v>355</v>
      </c>
      <c r="P15231" s="5" t="s">
        <v>355</v>
      </c>
      <c r="Q15231" s="5" t="s">
        <v>355</v>
      </c>
    </row>
    <row r="15232" ht="16.5" customHeight="1">
      <c r="O15232" s="5" t="s">
        <v>355</v>
      </c>
      <c r="P15232" s="5" t="s">
        <v>355</v>
      </c>
      <c r="Q15232" s="5" t="s">
        <v>355</v>
      </c>
    </row>
    <row r="15233" ht="16.5" customHeight="1">
      <c r="O15233" s="5" t="s">
        <v>355</v>
      </c>
      <c r="P15233" s="5" t="s">
        <v>355</v>
      </c>
      <c r="Q15233" s="5" t="s">
        <v>355</v>
      </c>
    </row>
    <row r="15234" ht="16.5" customHeight="1">
      <c r="O15234" s="5" t="s">
        <v>355</v>
      </c>
      <c r="P15234" s="5" t="s">
        <v>355</v>
      </c>
      <c r="Q15234" s="5" t="s">
        <v>355</v>
      </c>
    </row>
    <row r="15235" ht="16.5" customHeight="1">
      <c r="O15235" s="5" t="s">
        <v>355</v>
      </c>
      <c r="P15235" s="5" t="s">
        <v>355</v>
      </c>
      <c r="Q15235" s="5" t="s">
        <v>355</v>
      </c>
    </row>
    <row r="15236" ht="16.5" customHeight="1">
      <c r="O15236" s="5" t="s">
        <v>355</v>
      </c>
      <c r="P15236" s="5" t="s">
        <v>355</v>
      </c>
      <c r="Q15236" s="5" t="s">
        <v>355</v>
      </c>
    </row>
    <row r="15237" ht="16.5" customHeight="1">
      <c r="O15237" s="5" t="s">
        <v>355</v>
      </c>
      <c r="P15237" s="5" t="s">
        <v>355</v>
      </c>
      <c r="Q15237" s="5" t="s">
        <v>355</v>
      </c>
    </row>
    <row r="15238" ht="16.5" customHeight="1">
      <c r="O15238" s="5" t="s">
        <v>355</v>
      </c>
      <c r="P15238" s="5" t="s">
        <v>355</v>
      </c>
      <c r="Q15238" s="5" t="s">
        <v>355</v>
      </c>
    </row>
    <row r="15239" ht="16.5" customHeight="1">
      <c r="O15239" s="5" t="s">
        <v>355</v>
      </c>
      <c r="P15239" s="5" t="s">
        <v>355</v>
      </c>
      <c r="Q15239" s="5" t="s">
        <v>355</v>
      </c>
    </row>
    <row r="15240" ht="16.5" customHeight="1">
      <c r="O15240" s="5" t="s">
        <v>355</v>
      </c>
      <c r="P15240" s="5" t="s">
        <v>355</v>
      </c>
      <c r="Q15240" s="5" t="s">
        <v>355</v>
      </c>
    </row>
    <row r="15241" ht="16.5" customHeight="1">
      <c r="O15241" s="5" t="s">
        <v>355</v>
      </c>
      <c r="P15241" s="5" t="s">
        <v>355</v>
      </c>
      <c r="Q15241" s="5" t="s">
        <v>355</v>
      </c>
    </row>
    <row r="15242" ht="16.5" customHeight="1">
      <c r="O15242" s="5" t="s">
        <v>355</v>
      </c>
      <c r="P15242" s="5" t="s">
        <v>355</v>
      </c>
      <c r="Q15242" s="5" t="s">
        <v>355</v>
      </c>
    </row>
    <row r="15243" ht="16.5" customHeight="1">
      <c r="O15243" s="5" t="s">
        <v>355</v>
      </c>
      <c r="P15243" s="5" t="s">
        <v>355</v>
      </c>
      <c r="Q15243" s="5" t="s">
        <v>355</v>
      </c>
    </row>
    <row r="15244" ht="16.5" customHeight="1">
      <c r="O15244" s="5" t="s">
        <v>355</v>
      </c>
      <c r="P15244" s="5" t="s">
        <v>355</v>
      </c>
      <c r="Q15244" s="5" t="s">
        <v>355</v>
      </c>
    </row>
    <row r="15245" ht="16.5" customHeight="1">
      <c r="O15245" s="5" t="s">
        <v>355</v>
      </c>
      <c r="P15245" s="5" t="s">
        <v>355</v>
      </c>
      <c r="Q15245" s="5" t="s">
        <v>355</v>
      </c>
    </row>
    <row r="15246" ht="16.5" customHeight="1">
      <c r="O15246" s="5" t="s">
        <v>355</v>
      </c>
      <c r="P15246" s="5" t="s">
        <v>355</v>
      </c>
      <c r="Q15246" s="5" t="s">
        <v>355</v>
      </c>
    </row>
    <row r="15247" ht="16.5" customHeight="1">
      <c r="O15247" s="5" t="s">
        <v>355</v>
      </c>
      <c r="P15247" s="5" t="s">
        <v>355</v>
      </c>
      <c r="Q15247" s="5" t="s">
        <v>355</v>
      </c>
    </row>
    <row r="15248" ht="16.5" customHeight="1">
      <c r="O15248" s="5" t="s">
        <v>355</v>
      </c>
      <c r="P15248" s="5" t="s">
        <v>355</v>
      </c>
      <c r="Q15248" s="5" t="s">
        <v>355</v>
      </c>
    </row>
    <row r="15249" ht="16.5" customHeight="1">
      <c r="O15249" s="5" t="s">
        <v>355</v>
      </c>
      <c r="P15249" s="5" t="s">
        <v>355</v>
      </c>
      <c r="Q15249" s="5" t="s">
        <v>355</v>
      </c>
    </row>
    <row r="15250" ht="16.5" customHeight="1">
      <c r="O15250" s="5" t="s">
        <v>355</v>
      </c>
      <c r="P15250" s="5" t="s">
        <v>355</v>
      </c>
      <c r="Q15250" s="5" t="s">
        <v>355</v>
      </c>
    </row>
    <row r="15251" ht="16.5" customHeight="1">
      <c r="O15251" s="5" t="s">
        <v>355</v>
      </c>
      <c r="P15251" s="5" t="s">
        <v>355</v>
      </c>
      <c r="Q15251" s="5" t="s">
        <v>355</v>
      </c>
    </row>
    <row r="15252" ht="16.5" customHeight="1">
      <c r="O15252" s="5" t="s">
        <v>355</v>
      </c>
      <c r="P15252" s="5" t="s">
        <v>355</v>
      </c>
      <c r="Q15252" s="5" t="s">
        <v>355</v>
      </c>
    </row>
    <row r="15253" ht="16.5" customHeight="1">
      <c r="O15253" s="5" t="s">
        <v>355</v>
      </c>
      <c r="P15253" s="5" t="s">
        <v>355</v>
      </c>
      <c r="Q15253" s="5" t="s">
        <v>355</v>
      </c>
    </row>
    <row r="15254" ht="16.5" customHeight="1">
      <c r="O15254" s="5" t="s">
        <v>355</v>
      </c>
      <c r="P15254" s="5" t="s">
        <v>355</v>
      </c>
      <c r="Q15254" s="5" t="s">
        <v>355</v>
      </c>
    </row>
    <row r="15255" ht="16.5" customHeight="1">
      <c r="O15255" s="5" t="s">
        <v>355</v>
      </c>
      <c r="P15255" s="5" t="s">
        <v>355</v>
      </c>
      <c r="Q15255" s="5" t="s">
        <v>355</v>
      </c>
    </row>
    <row r="15256" ht="16.5" customHeight="1">
      <c r="O15256" s="5" t="s">
        <v>355</v>
      </c>
      <c r="P15256" s="5" t="s">
        <v>355</v>
      </c>
      <c r="Q15256" s="5" t="s">
        <v>355</v>
      </c>
    </row>
    <row r="15257" ht="16.5" customHeight="1">
      <c r="O15257" s="5" t="s">
        <v>355</v>
      </c>
      <c r="P15257" s="5" t="s">
        <v>355</v>
      </c>
      <c r="Q15257" s="5" t="s">
        <v>355</v>
      </c>
    </row>
    <row r="15258" ht="16.5" customHeight="1">
      <c r="O15258" s="5" t="s">
        <v>355</v>
      </c>
      <c r="P15258" s="5" t="s">
        <v>355</v>
      </c>
      <c r="Q15258" s="5" t="s">
        <v>355</v>
      </c>
    </row>
    <row r="15259" ht="16.5" customHeight="1">
      <c r="O15259" s="5" t="s">
        <v>355</v>
      </c>
      <c r="P15259" s="5" t="s">
        <v>355</v>
      </c>
      <c r="Q15259" s="5" t="s">
        <v>355</v>
      </c>
    </row>
    <row r="15260" ht="16.5" customHeight="1">
      <c r="O15260" s="5" t="s">
        <v>355</v>
      </c>
      <c r="P15260" s="5" t="s">
        <v>355</v>
      </c>
      <c r="Q15260" s="5" t="s">
        <v>355</v>
      </c>
    </row>
    <row r="15261" ht="16.5" customHeight="1">
      <c r="O15261" s="5" t="s">
        <v>355</v>
      </c>
      <c r="P15261" s="5" t="s">
        <v>355</v>
      </c>
      <c r="Q15261" s="5" t="s">
        <v>355</v>
      </c>
    </row>
    <row r="15262" ht="16.5" customHeight="1">
      <c r="O15262" s="5" t="s">
        <v>355</v>
      </c>
      <c r="P15262" s="5" t="s">
        <v>355</v>
      </c>
      <c r="Q15262" s="5" t="s">
        <v>355</v>
      </c>
    </row>
    <row r="15263" ht="16.5" customHeight="1">
      <c r="O15263" s="5" t="s">
        <v>355</v>
      </c>
      <c r="P15263" s="5" t="s">
        <v>355</v>
      </c>
      <c r="Q15263" s="5" t="s">
        <v>355</v>
      </c>
    </row>
    <row r="15264" ht="16.5" customHeight="1">
      <c r="O15264" s="5" t="s">
        <v>355</v>
      </c>
      <c r="P15264" s="5" t="s">
        <v>355</v>
      </c>
      <c r="Q15264" s="5" t="s">
        <v>355</v>
      </c>
    </row>
    <row r="15265" ht="16.5" customHeight="1">
      <c r="O15265" s="5" t="s">
        <v>355</v>
      </c>
      <c r="P15265" s="5" t="s">
        <v>355</v>
      </c>
      <c r="Q15265" s="5" t="s">
        <v>355</v>
      </c>
    </row>
    <row r="15266" ht="16.5" customHeight="1">
      <c r="O15266" s="5" t="s">
        <v>355</v>
      </c>
      <c r="P15266" s="5" t="s">
        <v>355</v>
      </c>
      <c r="Q15266" s="5" t="s">
        <v>355</v>
      </c>
    </row>
    <row r="15267" ht="16.5" customHeight="1">
      <c r="O15267" s="5" t="s">
        <v>355</v>
      </c>
      <c r="P15267" s="5" t="s">
        <v>355</v>
      </c>
      <c r="Q15267" s="5" t="s">
        <v>355</v>
      </c>
    </row>
    <row r="15268" ht="16.5" customHeight="1">
      <c r="O15268" s="5" t="s">
        <v>355</v>
      </c>
      <c r="P15268" s="5" t="s">
        <v>355</v>
      </c>
      <c r="Q15268" s="5" t="s">
        <v>355</v>
      </c>
    </row>
    <row r="15269" ht="16.5" customHeight="1">
      <c r="O15269" s="5" t="s">
        <v>355</v>
      </c>
      <c r="P15269" s="5" t="s">
        <v>355</v>
      </c>
      <c r="Q15269" s="5" t="s">
        <v>355</v>
      </c>
    </row>
    <row r="15270" ht="16.5" customHeight="1">
      <c r="O15270" s="5" t="s">
        <v>355</v>
      </c>
      <c r="P15270" s="5" t="s">
        <v>355</v>
      </c>
      <c r="Q15270" s="5" t="s">
        <v>355</v>
      </c>
    </row>
    <row r="15271" ht="16.5" customHeight="1">
      <c r="O15271" s="5" t="s">
        <v>355</v>
      </c>
      <c r="P15271" s="5" t="s">
        <v>355</v>
      </c>
      <c r="Q15271" s="5" t="s">
        <v>355</v>
      </c>
    </row>
    <row r="15272" ht="16.5" customHeight="1">
      <c r="O15272" s="5" t="s">
        <v>355</v>
      </c>
      <c r="P15272" s="5" t="s">
        <v>355</v>
      </c>
      <c r="Q15272" s="5" t="s">
        <v>355</v>
      </c>
    </row>
    <row r="15273" ht="16.5" customHeight="1">
      <c r="O15273" s="5" t="s">
        <v>355</v>
      </c>
      <c r="P15273" s="5" t="s">
        <v>355</v>
      </c>
      <c r="Q15273" s="5" t="s">
        <v>355</v>
      </c>
    </row>
    <row r="15274" ht="16.5" customHeight="1">
      <c r="O15274" s="5" t="s">
        <v>355</v>
      </c>
      <c r="P15274" s="5" t="s">
        <v>355</v>
      </c>
      <c r="Q15274" s="5" t="s">
        <v>355</v>
      </c>
    </row>
    <row r="15275" ht="16.5" customHeight="1">
      <c r="O15275" s="5" t="s">
        <v>355</v>
      </c>
      <c r="P15275" s="5" t="s">
        <v>355</v>
      </c>
      <c r="Q15275" s="5" t="s">
        <v>355</v>
      </c>
    </row>
    <row r="15276" ht="16.5" customHeight="1">
      <c r="O15276" s="5" t="s">
        <v>355</v>
      </c>
      <c r="P15276" s="5" t="s">
        <v>355</v>
      </c>
      <c r="Q15276" s="5" t="s">
        <v>355</v>
      </c>
    </row>
    <row r="15277" ht="16.5" customHeight="1">
      <c r="O15277" s="5" t="s">
        <v>355</v>
      </c>
      <c r="P15277" s="5" t="s">
        <v>355</v>
      </c>
      <c r="Q15277" s="5" t="s">
        <v>355</v>
      </c>
    </row>
    <row r="15278" ht="16.5" customHeight="1">
      <c r="O15278" s="5" t="s">
        <v>355</v>
      </c>
      <c r="P15278" s="5" t="s">
        <v>355</v>
      </c>
      <c r="Q15278" s="5" t="s">
        <v>355</v>
      </c>
    </row>
    <row r="15279" ht="16.5" customHeight="1">
      <c r="O15279" s="5" t="s">
        <v>355</v>
      </c>
      <c r="P15279" s="5" t="s">
        <v>355</v>
      </c>
      <c r="Q15279" s="5" t="s">
        <v>355</v>
      </c>
    </row>
    <row r="15280" ht="16.5" customHeight="1">
      <c r="O15280" s="5" t="s">
        <v>355</v>
      </c>
      <c r="P15280" s="5" t="s">
        <v>355</v>
      </c>
      <c r="Q15280" s="5" t="s">
        <v>355</v>
      </c>
    </row>
    <row r="15281" ht="16.5" customHeight="1">
      <c r="O15281" s="5" t="s">
        <v>355</v>
      </c>
      <c r="P15281" s="5" t="s">
        <v>355</v>
      </c>
      <c r="Q15281" s="5" t="s">
        <v>355</v>
      </c>
    </row>
    <row r="15282" ht="16.5" customHeight="1">
      <c r="O15282" s="5" t="s">
        <v>355</v>
      </c>
      <c r="P15282" s="5" t="s">
        <v>355</v>
      </c>
      <c r="Q15282" s="5" t="s">
        <v>355</v>
      </c>
    </row>
    <row r="15283" ht="16.5" customHeight="1">
      <c r="O15283" s="5" t="s">
        <v>355</v>
      </c>
      <c r="P15283" s="5" t="s">
        <v>355</v>
      </c>
      <c r="Q15283" s="5" t="s">
        <v>355</v>
      </c>
    </row>
    <row r="15284" ht="16.5" customHeight="1">
      <c r="O15284" s="5" t="s">
        <v>355</v>
      </c>
      <c r="P15284" s="5" t="s">
        <v>355</v>
      </c>
      <c r="Q15284" s="5" t="s">
        <v>355</v>
      </c>
    </row>
    <row r="15285" ht="16.5" customHeight="1">
      <c r="O15285" s="5" t="s">
        <v>355</v>
      </c>
      <c r="P15285" s="5" t="s">
        <v>355</v>
      </c>
      <c r="Q15285" s="5" t="s">
        <v>355</v>
      </c>
    </row>
    <row r="15286" ht="16.5" customHeight="1">
      <c r="O15286" s="5" t="s">
        <v>355</v>
      </c>
      <c r="P15286" s="5" t="s">
        <v>355</v>
      </c>
      <c r="Q15286" s="5" t="s">
        <v>355</v>
      </c>
    </row>
    <row r="15287" ht="16.5" customHeight="1">
      <c r="O15287" s="5" t="s">
        <v>355</v>
      </c>
      <c r="P15287" s="5" t="s">
        <v>355</v>
      </c>
      <c r="Q15287" s="5" t="s">
        <v>355</v>
      </c>
    </row>
    <row r="15288" ht="16.5" customHeight="1">
      <c r="O15288" s="5" t="s">
        <v>355</v>
      </c>
      <c r="P15288" s="5" t="s">
        <v>355</v>
      </c>
      <c r="Q15288" s="5" t="s">
        <v>355</v>
      </c>
    </row>
    <row r="15289" ht="16.5" customHeight="1">
      <c r="O15289" s="5" t="s">
        <v>355</v>
      </c>
      <c r="P15289" s="5" t="s">
        <v>355</v>
      </c>
      <c r="Q15289" s="5" t="s">
        <v>355</v>
      </c>
    </row>
    <row r="15290" ht="16.5" customHeight="1">
      <c r="O15290" s="5" t="s">
        <v>355</v>
      </c>
      <c r="P15290" s="5" t="s">
        <v>355</v>
      </c>
      <c r="Q15290" s="5" t="s">
        <v>355</v>
      </c>
    </row>
    <row r="15291" ht="16.5" customHeight="1">
      <c r="O15291" s="5" t="s">
        <v>355</v>
      </c>
      <c r="P15291" s="5" t="s">
        <v>355</v>
      </c>
      <c r="Q15291" s="5" t="s">
        <v>355</v>
      </c>
    </row>
    <row r="15292" ht="16.5" customHeight="1">
      <c r="O15292" s="5" t="s">
        <v>355</v>
      </c>
      <c r="P15292" s="5" t="s">
        <v>355</v>
      </c>
      <c r="Q15292" s="5" t="s">
        <v>355</v>
      </c>
    </row>
    <row r="15293" ht="16.5" customHeight="1">
      <c r="O15293" s="5" t="s">
        <v>355</v>
      </c>
      <c r="P15293" s="5" t="s">
        <v>355</v>
      </c>
      <c r="Q15293" s="5" t="s">
        <v>355</v>
      </c>
    </row>
    <row r="15294" ht="16.5" customHeight="1">
      <c r="O15294" s="5" t="s">
        <v>355</v>
      </c>
      <c r="P15294" s="5" t="s">
        <v>355</v>
      </c>
      <c r="Q15294" s="5" t="s">
        <v>355</v>
      </c>
    </row>
    <row r="15295" ht="16.5" customHeight="1">
      <c r="O15295" s="5" t="s">
        <v>355</v>
      </c>
      <c r="P15295" s="5" t="s">
        <v>355</v>
      </c>
      <c r="Q15295" s="5" t="s">
        <v>355</v>
      </c>
    </row>
    <row r="15296" ht="16.5" customHeight="1">
      <c r="O15296" s="5" t="s">
        <v>355</v>
      </c>
      <c r="P15296" s="5" t="s">
        <v>355</v>
      </c>
      <c r="Q15296" s="5" t="s">
        <v>355</v>
      </c>
    </row>
    <row r="15297" ht="16.5" customHeight="1">
      <c r="O15297" s="5" t="s">
        <v>355</v>
      </c>
      <c r="P15297" s="5" t="s">
        <v>355</v>
      </c>
      <c r="Q15297" s="5" t="s">
        <v>355</v>
      </c>
    </row>
    <row r="15298" ht="16.5" customHeight="1">
      <c r="O15298" s="5" t="s">
        <v>355</v>
      </c>
      <c r="P15298" s="5" t="s">
        <v>355</v>
      </c>
      <c r="Q15298" s="5" t="s">
        <v>355</v>
      </c>
    </row>
    <row r="15299" ht="16.5" customHeight="1">
      <c r="O15299" s="5" t="s">
        <v>355</v>
      </c>
      <c r="P15299" s="5" t="s">
        <v>355</v>
      </c>
      <c r="Q15299" s="5" t="s">
        <v>355</v>
      </c>
    </row>
    <row r="15300" ht="16.5" customHeight="1">
      <c r="O15300" s="5" t="s">
        <v>355</v>
      </c>
      <c r="P15300" s="5" t="s">
        <v>355</v>
      </c>
      <c r="Q15300" s="5" t="s">
        <v>355</v>
      </c>
    </row>
    <row r="15301" ht="16.5" customHeight="1">
      <c r="O15301" s="5" t="s">
        <v>355</v>
      </c>
      <c r="P15301" s="5" t="s">
        <v>355</v>
      </c>
      <c r="Q15301" s="5" t="s">
        <v>355</v>
      </c>
    </row>
    <row r="15302" ht="16.5" customHeight="1">
      <c r="O15302" s="5" t="s">
        <v>355</v>
      </c>
      <c r="P15302" s="5" t="s">
        <v>355</v>
      </c>
      <c r="Q15302" s="5" t="s">
        <v>355</v>
      </c>
    </row>
    <row r="15303" ht="16.5" customHeight="1">
      <c r="O15303" s="5" t="s">
        <v>355</v>
      </c>
      <c r="P15303" s="5" t="s">
        <v>355</v>
      </c>
      <c r="Q15303" s="5" t="s">
        <v>355</v>
      </c>
    </row>
    <row r="15304" ht="16.5" customHeight="1">
      <c r="O15304" s="5" t="s">
        <v>355</v>
      </c>
      <c r="P15304" s="5" t="s">
        <v>355</v>
      </c>
      <c r="Q15304" s="5" t="s">
        <v>355</v>
      </c>
    </row>
    <row r="15305" ht="16.5" customHeight="1">
      <c r="O15305" s="5" t="s">
        <v>355</v>
      </c>
      <c r="P15305" s="5" t="s">
        <v>355</v>
      </c>
      <c r="Q15305" s="5" t="s">
        <v>355</v>
      </c>
    </row>
    <row r="15306" ht="16.5" customHeight="1">
      <c r="O15306" s="5" t="s">
        <v>355</v>
      </c>
      <c r="P15306" s="5" t="s">
        <v>355</v>
      </c>
      <c r="Q15306" s="5" t="s">
        <v>355</v>
      </c>
    </row>
    <row r="15307" ht="16.5" customHeight="1">
      <c r="O15307" s="5" t="s">
        <v>355</v>
      </c>
      <c r="P15307" s="5" t="s">
        <v>355</v>
      </c>
      <c r="Q15307" s="5" t="s">
        <v>355</v>
      </c>
    </row>
    <row r="15308" ht="16.5" customHeight="1">
      <c r="O15308" s="5" t="s">
        <v>355</v>
      </c>
      <c r="P15308" s="5" t="s">
        <v>355</v>
      </c>
      <c r="Q15308" s="5" t="s">
        <v>355</v>
      </c>
    </row>
    <row r="15309" ht="16.5" customHeight="1">
      <c r="O15309" s="5" t="s">
        <v>355</v>
      </c>
      <c r="P15309" s="5" t="s">
        <v>355</v>
      </c>
      <c r="Q15309" s="5" t="s">
        <v>355</v>
      </c>
    </row>
    <row r="15310" ht="16.5" customHeight="1">
      <c r="O15310" s="5" t="s">
        <v>355</v>
      </c>
      <c r="P15310" s="5" t="s">
        <v>355</v>
      </c>
      <c r="Q15310" s="5" t="s">
        <v>355</v>
      </c>
    </row>
    <row r="15311" ht="16.5" customHeight="1">
      <c r="O15311" s="5" t="s">
        <v>355</v>
      </c>
      <c r="P15311" s="5" t="s">
        <v>355</v>
      </c>
      <c r="Q15311" s="5" t="s">
        <v>355</v>
      </c>
    </row>
    <row r="15312" ht="16.5" customHeight="1">
      <c r="O15312" s="5" t="s">
        <v>355</v>
      </c>
      <c r="P15312" s="5" t="s">
        <v>355</v>
      </c>
      <c r="Q15312" s="5" t="s">
        <v>355</v>
      </c>
    </row>
    <row r="15313" ht="16.5" customHeight="1">
      <c r="O15313" s="5" t="s">
        <v>355</v>
      </c>
      <c r="P15313" s="5" t="s">
        <v>355</v>
      </c>
      <c r="Q15313" s="5" t="s">
        <v>355</v>
      </c>
    </row>
    <row r="15314" ht="16.5" customHeight="1">
      <c r="O15314" s="5" t="s">
        <v>355</v>
      </c>
      <c r="P15314" s="5" t="s">
        <v>355</v>
      </c>
      <c r="Q15314" s="5" t="s">
        <v>355</v>
      </c>
    </row>
    <row r="15315" ht="16.5" customHeight="1">
      <c r="O15315" s="5" t="s">
        <v>355</v>
      </c>
      <c r="P15315" s="5" t="s">
        <v>355</v>
      </c>
      <c r="Q15315" s="5" t="s">
        <v>355</v>
      </c>
    </row>
    <row r="15316" ht="16.5" customHeight="1">
      <c r="O15316" s="5" t="s">
        <v>355</v>
      </c>
      <c r="P15316" s="5" t="s">
        <v>355</v>
      </c>
      <c r="Q15316" s="5" t="s">
        <v>355</v>
      </c>
    </row>
    <row r="15317" ht="16.5" customHeight="1">
      <c r="O15317" s="5" t="s">
        <v>355</v>
      </c>
      <c r="P15317" s="5" t="s">
        <v>355</v>
      </c>
      <c r="Q15317" s="5" t="s">
        <v>355</v>
      </c>
    </row>
    <row r="15318" ht="16.5" customHeight="1">
      <c r="O15318" s="5" t="s">
        <v>355</v>
      </c>
      <c r="P15318" s="5" t="s">
        <v>355</v>
      </c>
      <c r="Q15318" s="5" t="s">
        <v>355</v>
      </c>
    </row>
    <row r="15319" ht="16.5" customHeight="1">
      <c r="O15319" s="5" t="s">
        <v>355</v>
      </c>
      <c r="P15319" s="5" t="s">
        <v>355</v>
      </c>
      <c r="Q15319" s="5" t="s">
        <v>355</v>
      </c>
    </row>
    <row r="15320" ht="16.5" customHeight="1">
      <c r="O15320" s="5" t="s">
        <v>355</v>
      </c>
      <c r="P15320" s="5" t="s">
        <v>355</v>
      </c>
      <c r="Q15320" s="5" t="s">
        <v>355</v>
      </c>
    </row>
    <row r="15321" ht="16.5" customHeight="1">
      <c r="O15321" s="5" t="s">
        <v>355</v>
      </c>
      <c r="P15321" s="5" t="s">
        <v>355</v>
      </c>
      <c r="Q15321" s="5" t="s">
        <v>355</v>
      </c>
    </row>
    <row r="15322" ht="16.5" customHeight="1">
      <c r="O15322" s="5" t="s">
        <v>355</v>
      </c>
      <c r="P15322" s="5" t="s">
        <v>355</v>
      </c>
      <c r="Q15322" s="5" t="s">
        <v>355</v>
      </c>
    </row>
    <row r="15323" ht="16.5" customHeight="1">
      <c r="O15323" s="5" t="s">
        <v>355</v>
      </c>
      <c r="P15323" s="5" t="s">
        <v>355</v>
      </c>
      <c r="Q15323" s="5" t="s">
        <v>355</v>
      </c>
    </row>
    <row r="15324" ht="16.5" customHeight="1">
      <c r="O15324" s="5" t="s">
        <v>355</v>
      </c>
      <c r="P15324" s="5" t="s">
        <v>355</v>
      </c>
      <c r="Q15324" s="5" t="s">
        <v>355</v>
      </c>
    </row>
    <row r="15325" ht="16.5" customHeight="1">
      <c r="O15325" s="5" t="s">
        <v>355</v>
      </c>
      <c r="P15325" s="5" t="s">
        <v>355</v>
      </c>
      <c r="Q15325" s="5" t="s">
        <v>355</v>
      </c>
    </row>
    <row r="15326" ht="16.5" customHeight="1">
      <c r="O15326" s="5" t="s">
        <v>355</v>
      </c>
      <c r="P15326" s="5" t="s">
        <v>355</v>
      </c>
      <c r="Q15326" s="5" t="s">
        <v>355</v>
      </c>
    </row>
    <row r="15327" ht="16.5" customHeight="1">
      <c r="O15327" s="5" t="s">
        <v>355</v>
      </c>
      <c r="P15327" s="5" t="s">
        <v>355</v>
      </c>
      <c r="Q15327" s="5" t="s">
        <v>355</v>
      </c>
    </row>
    <row r="15328" ht="16.5" customHeight="1">
      <c r="O15328" s="5" t="s">
        <v>355</v>
      </c>
      <c r="P15328" s="5" t="s">
        <v>355</v>
      </c>
      <c r="Q15328" s="5" t="s">
        <v>355</v>
      </c>
    </row>
    <row r="15329" ht="16.5" customHeight="1">
      <c r="O15329" s="5" t="s">
        <v>355</v>
      </c>
      <c r="P15329" s="5" t="s">
        <v>355</v>
      </c>
      <c r="Q15329" s="5" t="s">
        <v>355</v>
      </c>
    </row>
    <row r="15330" ht="16.5" customHeight="1">
      <c r="O15330" s="5" t="s">
        <v>355</v>
      </c>
      <c r="P15330" s="5" t="s">
        <v>355</v>
      </c>
      <c r="Q15330" s="5" t="s">
        <v>355</v>
      </c>
    </row>
    <row r="15331" ht="16.5" customHeight="1">
      <c r="O15331" s="5" t="s">
        <v>355</v>
      </c>
      <c r="P15331" s="5" t="s">
        <v>355</v>
      </c>
      <c r="Q15331" s="5" t="s">
        <v>355</v>
      </c>
    </row>
    <row r="15332" ht="16.5" customHeight="1">
      <c r="O15332" s="5" t="s">
        <v>355</v>
      </c>
      <c r="P15332" s="5" t="s">
        <v>355</v>
      </c>
      <c r="Q15332" s="5" t="s">
        <v>355</v>
      </c>
    </row>
    <row r="15333" ht="16.5" customHeight="1">
      <c r="O15333" s="5" t="s">
        <v>355</v>
      </c>
      <c r="P15333" s="5" t="s">
        <v>355</v>
      </c>
      <c r="Q15333" s="5" t="s">
        <v>355</v>
      </c>
    </row>
    <row r="15334" ht="16.5" customHeight="1">
      <c r="O15334" s="5" t="s">
        <v>355</v>
      </c>
      <c r="P15334" s="5" t="s">
        <v>355</v>
      </c>
      <c r="Q15334" s="5" t="s">
        <v>355</v>
      </c>
    </row>
    <row r="15335" ht="16.5" customHeight="1">
      <c r="O15335" s="5" t="s">
        <v>355</v>
      </c>
      <c r="P15335" s="5" t="s">
        <v>355</v>
      </c>
      <c r="Q15335" s="5" t="s">
        <v>355</v>
      </c>
    </row>
    <row r="15336" ht="16.5" customHeight="1">
      <c r="O15336" s="5" t="s">
        <v>355</v>
      </c>
      <c r="P15336" s="5" t="s">
        <v>355</v>
      </c>
      <c r="Q15336" s="5" t="s">
        <v>355</v>
      </c>
    </row>
    <row r="15337" ht="16.5" customHeight="1">
      <c r="O15337" s="5" t="s">
        <v>355</v>
      </c>
      <c r="P15337" s="5" t="s">
        <v>355</v>
      </c>
      <c r="Q15337" s="5" t="s">
        <v>355</v>
      </c>
    </row>
    <row r="15338" ht="16.5" customHeight="1">
      <c r="O15338" s="5" t="s">
        <v>355</v>
      </c>
      <c r="P15338" s="5" t="s">
        <v>355</v>
      </c>
      <c r="Q15338" s="5" t="s">
        <v>355</v>
      </c>
    </row>
    <row r="15339" ht="16.5" customHeight="1">
      <c r="O15339" s="5" t="s">
        <v>355</v>
      </c>
      <c r="P15339" s="5" t="s">
        <v>355</v>
      </c>
      <c r="Q15339" s="5" t="s">
        <v>355</v>
      </c>
    </row>
    <row r="15340" ht="16.5" customHeight="1">
      <c r="O15340" s="5" t="s">
        <v>355</v>
      </c>
      <c r="P15340" s="5" t="s">
        <v>355</v>
      </c>
      <c r="Q15340" s="5" t="s">
        <v>355</v>
      </c>
    </row>
    <row r="15341" ht="16.5" customHeight="1">
      <c r="O15341" s="5" t="s">
        <v>355</v>
      </c>
      <c r="P15341" s="5" t="s">
        <v>355</v>
      </c>
      <c r="Q15341" s="5" t="s">
        <v>355</v>
      </c>
    </row>
    <row r="15342" ht="16.5" customHeight="1">
      <c r="O15342" s="5" t="s">
        <v>355</v>
      </c>
      <c r="P15342" s="5" t="s">
        <v>355</v>
      </c>
      <c r="Q15342" s="5" t="s">
        <v>355</v>
      </c>
    </row>
    <row r="15343" ht="16.5" customHeight="1">
      <c r="O15343" s="5" t="s">
        <v>355</v>
      </c>
      <c r="P15343" s="5" t="s">
        <v>355</v>
      </c>
      <c r="Q15343" s="5" t="s">
        <v>355</v>
      </c>
    </row>
    <row r="15344" ht="16.5" customHeight="1">
      <c r="O15344" s="5" t="s">
        <v>355</v>
      </c>
      <c r="P15344" s="5" t="s">
        <v>355</v>
      </c>
      <c r="Q15344" s="5" t="s">
        <v>355</v>
      </c>
    </row>
    <row r="15345" ht="16.5" customHeight="1">
      <c r="O15345" s="5" t="s">
        <v>355</v>
      </c>
      <c r="P15345" s="5" t="s">
        <v>355</v>
      </c>
      <c r="Q15345" s="5" t="s">
        <v>355</v>
      </c>
    </row>
    <row r="15346" ht="16.5" customHeight="1">
      <c r="O15346" s="5" t="s">
        <v>355</v>
      </c>
      <c r="P15346" s="5" t="s">
        <v>355</v>
      </c>
      <c r="Q15346" s="5" t="s">
        <v>355</v>
      </c>
    </row>
    <row r="15347" ht="16.5" customHeight="1">
      <c r="O15347" s="5" t="s">
        <v>355</v>
      </c>
      <c r="P15347" s="5" t="s">
        <v>355</v>
      </c>
      <c r="Q15347" s="5" t="s">
        <v>355</v>
      </c>
    </row>
    <row r="15348" ht="16.5" customHeight="1">
      <c r="O15348" s="5" t="s">
        <v>355</v>
      </c>
      <c r="P15348" s="5" t="s">
        <v>355</v>
      </c>
      <c r="Q15348" s="5" t="s">
        <v>355</v>
      </c>
    </row>
    <row r="15349" ht="16.5" customHeight="1">
      <c r="O15349" s="5" t="s">
        <v>355</v>
      </c>
      <c r="P15349" s="5" t="s">
        <v>355</v>
      </c>
      <c r="Q15349" s="5" t="s">
        <v>355</v>
      </c>
    </row>
    <row r="15350" ht="16.5" customHeight="1">
      <c r="O15350" s="5" t="s">
        <v>355</v>
      </c>
      <c r="P15350" s="5" t="s">
        <v>355</v>
      </c>
      <c r="Q15350" s="5" t="s">
        <v>355</v>
      </c>
    </row>
    <row r="15351" ht="16.5" customHeight="1">
      <c r="O15351" s="5" t="s">
        <v>355</v>
      </c>
      <c r="P15351" s="5" t="s">
        <v>355</v>
      </c>
      <c r="Q15351" s="5" t="s">
        <v>355</v>
      </c>
    </row>
    <row r="15352" ht="16.5" customHeight="1">
      <c r="O15352" s="5" t="s">
        <v>355</v>
      </c>
      <c r="P15352" s="5" t="s">
        <v>355</v>
      </c>
      <c r="Q15352" s="5" t="s">
        <v>355</v>
      </c>
    </row>
    <row r="15353" ht="16.5" customHeight="1">
      <c r="O15353" s="5" t="s">
        <v>355</v>
      </c>
      <c r="P15353" s="5" t="s">
        <v>355</v>
      </c>
      <c r="Q15353" s="5" t="s">
        <v>355</v>
      </c>
    </row>
    <row r="15354" ht="16.5" customHeight="1">
      <c r="O15354" s="5" t="s">
        <v>355</v>
      </c>
      <c r="P15354" s="5" t="s">
        <v>355</v>
      </c>
      <c r="Q15354" s="5" t="s">
        <v>355</v>
      </c>
    </row>
    <row r="15355" ht="16.5" customHeight="1">
      <c r="O15355" s="5" t="s">
        <v>355</v>
      </c>
      <c r="P15355" s="5" t="s">
        <v>355</v>
      </c>
      <c r="Q15355" s="5" t="s">
        <v>355</v>
      </c>
    </row>
    <row r="15356" ht="16.5" customHeight="1">
      <c r="O15356" s="5" t="s">
        <v>355</v>
      </c>
      <c r="P15356" s="5" t="s">
        <v>355</v>
      </c>
      <c r="Q15356" s="5" t="s">
        <v>355</v>
      </c>
    </row>
    <row r="15357" ht="16.5" customHeight="1">
      <c r="O15357" s="5" t="s">
        <v>355</v>
      </c>
      <c r="P15357" s="5" t="s">
        <v>355</v>
      </c>
      <c r="Q15357" s="5" t="s">
        <v>355</v>
      </c>
    </row>
    <row r="15358" ht="16.5" customHeight="1">
      <c r="O15358" s="5" t="s">
        <v>355</v>
      </c>
      <c r="P15358" s="5" t="s">
        <v>355</v>
      </c>
      <c r="Q15358" s="5" t="s">
        <v>355</v>
      </c>
    </row>
    <row r="15359" ht="16.5" customHeight="1">
      <c r="O15359" s="5" t="s">
        <v>355</v>
      </c>
      <c r="P15359" s="5" t="s">
        <v>355</v>
      </c>
      <c r="Q15359" s="5" t="s">
        <v>355</v>
      </c>
    </row>
    <row r="15360" ht="16.5" customHeight="1">
      <c r="O15360" s="5" t="s">
        <v>355</v>
      </c>
      <c r="P15360" s="5" t="s">
        <v>355</v>
      </c>
      <c r="Q15360" s="5" t="s">
        <v>355</v>
      </c>
    </row>
    <row r="15361" ht="16.5" customHeight="1">
      <c r="O15361" s="5" t="s">
        <v>355</v>
      </c>
      <c r="P15361" s="5" t="s">
        <v>355</v>
      </c>
      <c r="Q15361" s="5" t="s">
        <v>355</v>
      </c>
    </row>
    <row r="15362" ht="16.5" customHeight="1">
      <c r="O15362" s="5" t="s">
        <v>355</v>
      </c>
      <c r="P15362" s="5" t="s">
        <v>355</v>
      </c>
      <c r="Q15362" s="5" t="s">
        <v>355</v>
      </c>
    </row>
    <row r="15363" ht="16.5" customHeight="1">
      <c r="O15363" s="5" t="s">
        <v>355</v>
      </c>
      <c r="P15363" s="5" t="s">
        <v>355</v>
      </c>
      <c r="Q15363" s="5" t="s">
        <v>355</v>
      </c>
    </row>
    <row r="15364" ht="16.5" customHeight="1">
      <c r="O15364" s="5" t="s">
        <v>355</v>
      </c>
      <c r="P15364" s="5" t="s">
        <v>355</v>
      </c>
      <c r="Q15364" s="5" t="s">
        <v>355</v>
      </c>
    </row>
    <row r="15365" ht="16.5" customHeight="1">
      <c r="O15365" s="5" t="s">
        <v>355</v>
      </c>
      <c r="P15365" s="5" t="s">
        <v>355</v>
      </c>
      <c r="Q15365" s="5" t="s">
        <v>355</v>
      </c>
    </row>
    <row r="15366" ht="16.5" customHeight="1">
      <c r="O15366" s="5" t="s">
        <v>355</v>
      </c>
      <c r="P15366" s="5" t="s">
        <v>355</v>
      </c>
      <c r="Q15366" s="5" t="s">
        <v>355</v>
      </c>
    </row>
    <row r="15367" ht="16.5" customHeight="1">
      <c r="O15367" s="5" t="s">
        <v>355</v>
      </c>
      <c r="P15367" s="5" t="s">
        <v>355</v>
      </c>
      <c r="Q15367" s="5" t="s">
        <v>355</v>
      </c>
    </row>
    <row r="15368" ht="16.5" customHeight="1">
      <c r="O15368" s="5" t="s">
        <v>355</v>
      </c>
      <c r="P15368" s="5" t="s">
        <v>355</v>
      </c>
      <c r="Q15368" s="5" t="s">
        <v>355</v>
      </c>
    </row>
    <row r="15369" ht="16.5" customHeight="1">
      <c r="O15369" s="5" t="s">
        <v>355</v>
      </c>
      <c r="P15369" s="5" t="s">
        <v>355</v>
      </c>
      <c r="Q15369" s="5" t="s">
        <v>355</v>
      </c>
    </row>
    <row r="15370" ht="16.5" customHeight="1">
      <c r="O15370" s="5" t="s">
        <v>355</v>
      </c>
      <c r="P15370" s="5" t="s">
        <v>355</v>
      </c>
      <c r="Q15370" s="5" t="s">
        <v>355</v>
      </c>
    </row>
    <row r="15371" ht="16.5" customHeight="1">
      <c r="O15371" s="5" t="s">
        <v>355</v>
      </c>
      <c r="P15371" s="5" t="s">
        <v>355</v>
      </c>
      <c r="Q15371" s="5" t="s">
        <v>355</v>
      </c>
    </row>
    <row r="15372" ht="16.5" customHeight="1">
      <c r="O15372" s="5" t="s">
        <v>355</v>
      </c>
      <c r="P15372" s="5" t="s">
        <v>355</v>
      </c>
      <c r="Q15372" s="5" t="s">
        <v>355</v>
      </c>
    </row>
    <row r="15373" ht="16.5" customHeight="1">
      <c r="O15373" s="5" t="s">
        <v>355</v>
      </c>
      <c r="P15373" s="5" t="s">
        <v>355</v>
      </c>
      <c r="Q15373" s="5" t="s">
        <v>355</v>
      </c>
    </row>
    <row r="15374" ht="16.5" customHeight="1">
      <c r="O15374" s="5" t="s">
        <v>355</v>
      </c>
      <c r="P15374" s="5" t="s">
        <v>355</v>
      </c>
      <c r="Q15374" s="5" t="s">
        <v>355</v>
      </c>
    </row>
    <row r="15375" ht="16.5" customHeight="1">
      <c r="O15375" s="5" t="s">
        <v>355</v>
      </c>
      <c r="P15375" s="5" t="s">
        <v>355</v>
      </c>
      <c r="Q15375" s="5" t="s">
        <v>355</v>
      </c>
    </row>
    <row r="15376" ht="16.5" customHeight="1">
      <c r="O15376" s="5" t="s">
        <v>355</v>
      </c>
      <c r="P15376" s="5" t="s">
        <v>355</v>
      </c>
      <c r="Q15376" s="5" t="s">
        <v>355</v>
      </c>
    </row>
    <row r="15377" ht="16.5" customHeight="1">
      <c r="O15377" s="5" t="s">
        <v>355</v>
      </c>
      <c r="P15377" s="5" t="s">
        <v>355</v>
      </c>
      <c r="Q15377" s="5" t="s">
        <v>355</v>
      </c>
    </row>
    <row r="15378" ht="16.5" customHeight="1">
      <c r="O15378" s="5" t="s">
        <v>355</v>
      </c>
      <c r="P15378" s="5" t="s">
        <v>355</v>
      </c>
      <c r="Q15378" s="5" t="s">
        <v>355</v>
      </c>
    </row>
    <row r="15379" ht="16.5" customHeight="1">
      <c r="O15379" s="5" t="s">
        <v>355</v>
      </c>
      <c r="P15379" s="5" t="s">
        <v>355</v>
      </c>
      <c r="Q15379" s="5" t="s">
        <v>355</v>
      </c>
    </row>
    <row r="15380" ht="16.5" customHeight="1">
      <c r="O15380" s="5" t="s">
        <v>355</v>
      </c>
      <c r="P15380" s="5" t="s">
        <v>355</v>
      </c>
      <c r="Q15380" s="5" t="s">
        <v>355</v>
      </c>
    </row>
    <row r="15381" ht="16.5" customHeight="1">
      <c r="O15381" s="5" t="s">
        <v>355</v>
      </c>
      <c r="P15381" s="5" t="s">
        <v>355</v>
      </c>
      <c r="Q15381" s="5" t="s">
        <v>355</v>
      </c>
    </row>
    <row r="15382" ht="16.5" customHeight="1">
      <c r="O15382" s="5" t="s">
        <v>355</v>
      </c>
      <c r="P15382" s="5" t="s">
        <v>355</v>
      </c>
      <c r="Q15382" s="5" t="s">
        <v>355</v>
      </c>
    </row>
    <row r="15383" ht="16.5" customHeight="1">
      <c r="O15383" s="5" t="s">
        <v>355</v>
      </c>
      <c r="P15383" s="5" t="s">
        <v>355</v>
      </c>
      <c r="Q15383" s="5" t="s">
        <v>355</v>
      </c>
    </row>
    <row r="15384" ht="16.5" customHeight="1">
      <c r="O15384" s="5" t="s">
        <v>355</v>
      </c>
      <c r="P15384" s="5" t="s">
        <v>355</v>
      </c>
      <c r="Q15384" s="5" t="s">
        <v>355</v>
      </c>
    </row>
    <row r="15385" ht="16.5" customHeight="1">
      <c r="O15385" s="5" t="s">
        <v>355</v>
      </c>
      <c r="P15385" s="5" t="s">
        <v>355</v>
      </c>
      <c r="Q15385" s="5" t="s">
        <v>355</v>
      </c>
    </row>
    <row r="15386" ht="16.5" customHeight="1">
      <c r="O15386" s="5" t="s">
        <v>355</v>
      </c>
      <c r="P15386" s="5" t="s">
        <v>355</v>
      </c>
      <c r="Q15386" s="5" t="s">
        <v>355</v>
      </c>
    </row>
    <row r="15387" ht="16.5" customHeight="1">
      <c r="O15387" s="5" t="s">
        <v>355</v>
      </c>
      <c r="P15387" s="5" t="s">
        <v>355</v>
      </c>
      <c r="Q15387" s="5" t="s">
        <v>355</v>
      </c>
    </row>
    <row r="15388" ht="16.5" customHeight="1">
      <c r="O15388" s="5" t="s">
        <v>355</v>
      </c>
      <c r="P15388" s="5" t="s">
        <v>355</v>
      </c>
      <c r="Q15388" s="5" t="s">
        <v>355</v>
      </c>
    </row>
    <row r="15389" ht="16.5" customHeight="1">
      <c r="O15389" s="5" t="s">
        <v>355</v>
      </c>
      <c r="P15389" s="5" t="s">
        <v>355</v>
      </c>
      <c r="Q15389" s="5" t="s">
        <v>355</v>
      </c>
    </row>
    <row r="15390" ht="16.5" customHeight="1">
      <c r="O15390" s="5" t="s">
        <v>355</v>
      </c>
      <c r="P15390" s="5" t="s">
        <v>355</v>
      </c>
      <c r="Q15390" s="5" t="s">
        <v>355</v>
      </c>
    </row>
    <row r="15391" ht="16.5" customHeight="1">
      <c r="O15391" s="5" t="s">
        <v>355</v>
      </c>
      <c r="P15391" s="5" t="s">
        <v>355</v>
      </c>
      <c r="Q15391" s="5" t="s">
        <v>355</v>
      </c>
    </row>
    <row r="15392" ht="16.5" customHeight="1">
      <c r="O15392" s="5" t="s">
        <v>355</v>
      </c>
      <c r="P15392" s="5" t="s">
        <v>355</v>
      </c>
      <c r="Q15392" s="5" t="s">
        <v>355</v>
      </c>
    </row>
    <row r="15393" ht="16.5" customHeight="1">
      <c r="O15393" s="5" t="s">
        <v>355</v>
      </c>
      <c r="P15393" s="5" t="s">
        <v>355</v>
      </c>
      <c r="Q15393" s="5" t="s">
        <v>355</v>
      </c>
    </row>
    <row r="15394" ht="16.5" customHeight="1">
      <c r="O15394" s="5" t="s">
        <v>355</v>
      </c>
      <c r="P15394" s="5" t="s">
        <v>355</v>
      </c>
      <c r="Q15394" s="5" t="s">
        <v>355</v>
      </c>
    </row>
    <row r="15395" ht="16.5" customHeight="1">
      <c r="O15395" s="5" t="s">
        <v>355</v>
      </c>
      <c r="P15395" s="5" t="s">
        <v>355</v>
      </c>
      <c r="Q15395" s="5" t="s">
        <v>355</v>
      </c>
    </row>
    <row r="15396" ht="16.5" customHeight="1">
      <c r="O15396" s="5" t="s">
        <v>355</v>
      </c>
      <c r="P15396" s="5" t="s">
        <v>355</v>
      </c>
      <c r="Q15396" s="5" t="s">
        <v>355</v>
      </c>
    </row>
    <row r="15397" ht="16.5" customHeight="1">
      <c r="O15397" s="5" t="s">
        <v>355</v>
      </c>
      <c r="P15397" s="5" t="s">
        <v>355</v>
      </c>
      <c r="Q15397" s="5" t="s">
        <v>355</v>
      </c>
    </row>
    <row r="15398" ht="16.5" customHeight="1">
      <c r="O15398" s="5" t="s">
        <v>355</v>
      </c>
      <c r="P15398" s="5" t="s">
        <v>355</v>
      </c>
      <c r="Q15398" s="5" t="s">
        <v>355</v>
      </c>
    </row>
    <row r="15399" ht="16.5" customHeight="1">
      <c r="O15399" s="5" t="s">
        <v>355</v>
      </c>
      <c r="P15399" s="5" t="s">
        <v>355</v>
      </c>
      <c r="Q15399" s="5" t="s">
        <v>355</v>
      </c>
    </row>
    <row r="15400" ht="16.5" customHeight="1">
      <c r="O15400" s="5" t="s">
        <v>355</v>
      </c>
      <c r="P15400" s="5" t="s">
        <v>355</v>
      </c>
      <c r="Q15400" s="5" t="s">
        <v>355</v>
      </c>
    </row>
    <row r="15401" ht="16.5" customHeight="1">
      <c r="O15401" s="5" t="s">
        <v>355</v>
      </c>
      <c r="P15401" s="5" t="s">
        <v>355</v>
      </c>
      <c r="Q15401" s="5" t="s">
        <v>355</v>
      </c>
    </row>
    <row r="15402" ht="16.5" customHeight="1">
      <c r="O15402" s="5" t="s">
        <v>355</v>
      </c>
      <c r="P15402" s="5" t="s">
        <v>355</v>
      </c>
      <c r="Q15402" s="5" t="s">
        <v>355</v>
      </c>
    </row>
    <row r="15403" ht="16.5" customHeight="1">
      <c r="O15403" s="5" t="s">
        <v>355</v>
      </c>
      <c r="P15403" s="5" t="s">
        <v>355</v>
      </c>
      <c r="Q15403" s="5" t="s">
        <v>355</v>
      </c>
    </row>
    <row r="15404" ht="16.5" customHeight="1">
      <c r="O15404" s="5" t="s">
        <v>355</v>
      </c>
      <c r="P15404" s="5" t="s">
        <v>355</v>
      </c>
      <c r="Q15404" s="5" t="s">
        <v>355</v>
      </c>
    </row>
    <row r="15405" ht="16.5" customHeight="1">
      <c r="O15405" s="5" t="s">
        <v>355</v>
      </c>
      <c r="P15405" s="5" t="s">
        <v>355</v>
      </c>
      <c r="Q15405" s="5" t="s">
        <v>355</v>
      </c>
    </row>
    <row r="15406" ht="16.5" customHeight="1">
      <c r="O15406" s="5" t="s">
        <v>355</v>
      </c>
      <c r="P15406" s="5" t="s">
        <v>355</v>
      </c>
      <c r="Q15406" s="5" t="s">
        <v>355</v>
      </c>
    </row>
    <row r="15407" ht="16.5" customHeight="1">
      <c r="O15407" s="5" t="s">
        <v>355</v>
      </c>
      <c r="P15407" s="5" t="s">
        <v>355</v>
      </c>
      <c r="Q15407" s="5" t="s">
        <v>355</v>
      </c>
    </row>
    <row r="15408" ht="16.5" customHeight="1">
      <c r="O15408" s="5" t="s">
        <v>355</v>
      </c>
      <c r="P15408" s="5" t="s">
        <v>355</v>
      </c>
      <c r="Q15408" s="5" t="s">
        <v>355</v>
      </c>
    </row>
    <row r="15409" ht="16.5" customHeight="1">
      <c r="O15409" s="5" t="s">
        <v>355</v>
      </c>
      <c r="P15409" s="5" t="s">
        <v>355</v>
      </c>
      <c r="Q15409" s="5" t="s">
        <v>355</v>
      </c>
    </row>
    <row r="15410" ht="16.5" customHeight="1">
      <c r="O15410" s="5" t="s">
        <v>355</v>
      </c>
      <c r="P15410" s="5" t="s">
        <v>355</v>
      </c>
      <c r="Q15410" s="5" t="s">
        <v>355</v>
      </c>
    </row>
    <row r="15411" ht="16.5" customHeight="1">
      <c r="O15411" s="5" t="s">
        <v>355</v>
      </c>
      <c r="P15411" s="5" t="s">
        <v>355</v>
      </c>
      <c r="Q15411" s="5" t="s">
        <v>355</v>
      </c>
    </row>
    <row r="15412" ht="16.5" customHeight="1">
      <c r="O15412" s="5" t="s">
        <v>355</v>
      </c>
      <c r="P15412" s="5" t="s">
        <v>355</v>
      </c>
      <c r="Q15412" s="5" t="s">
        <v>355</v>
      </c>
    </row>
    <row r="15413" ht="16.5" customHeight="1">
      <c r="O15413" s="5" t="s">
        <v>355</v>
      </c>
      <c r="P15413" s="5" t="s">
        <v>355</v>
      </c>
      <c r="Q15413" s="5" t="s">
        <v>355</v>
      </c>
    </row>
    <row r="15414" ht="16.5" customHeight="1">
      <c r="O15414" s="5" t="s">
        <v>355</v>
      </c>
      <c r="P15414" s="5" t="s">
        <v>355</v>
      </c>
      <c r="Q15414" s="5" t="s">
        <v>355</v>
      </c>
    </row>
    <row r="15415" ht="16.5" customHeight="1">
      <c r="O15415" s="5" t="s">
        <v>355</v>
      </c>
      <c r="P15415" s="5" t="s">
        <v>355</v>
      </c>
      <c r="Q15415" s="5" t="s">
        <v>355</v>
      </c>
    </row>
    <row r="15416" ht="16.5" customHeight="1">
      <c r="O15416" s="5" t="s">
        <v>355</v>
      </c>
      <c r="P15416" s="5" t="s">
        <v>355</v>
      </c>
      <c r="Q15416" s="5" t="s">
        <v>355</v>
      </c>
    </row>
    <row r="15417" ht="16.5" customHeight="1">
      <c r="O15417" s="5" t="s">
        <v>355</v>
      </c>
      <c r="P15417" s="5" t="s">
        <v>355</v>
      </c>
      <c r="Q15417" s="5" t="s">
        <v>355</v>
      </c>
    </row>
    <row r="15418" ht="16.5" customHeight="1">
      <c r="O15418" s="5" t="s">
        <v>355</v>
      </c>
      <c r="P15418" s="5" t="s">
        <v>355</v>
      </c>
      <c r="Q15418" s="5" t="s">
        <v>355</v>
      </c>
    </row>
    <row r="15419" ht="16.5" customHeight="1">
      <c r="O15419" s="5" t="s">
        <v>355</v>
      </c>
      <c r="P15419" s="5" t="s">
        <v>355</v>
      </c>
      <c r="Q15419" s="5" t="s">
        <v>355</v>
      </c>
    </row>
    <row r="15420" ht="16.5" customHeight="1">
      <c r="O15420" s="5" t="s">
        <v>355</v>
      </c>
      <c r="P15420" s="5" t="s">
        <v>355</v>
      </c>
      <c r="Q15420" s="5" t="s">
        <v>355</v>
      </c>
    </row>
    <row r="15421" ht="16.5" customHeight="1">
      <c r="O15421" s="5" t="s">
        <v>355</v>
      </c>
      <c r="P15421" s="5" t="s">
        <v>355</v>
      </c>
      <c r="Q15421" s="5" t="s">
        <v>355</v>
      </c>
    </row>
    <row r="15422" ht="16.5" customHeight="1">
      <c r="O15422" s="5" t="s">
        <v>355</v>
      </c>
      <c r="P15422" s="5" t="s">
        <v>355</v>
      </c>
      <c r="Q15422" s="5" t="s">
        <v>355</v>
      </c>
    </row>
    <row r="15423" ht="16.5" customHeight="1">
      <c r="O15423" s="5" t="s">
        <v>355</v>
      </c>
      <c r="P15423" s="5" t="s">
        <v>355</v>
      </c>
      <c r="Q15423" s="5" t="s">
        <v>355</v>
      </c>
    </row>
    <row r="15424" ht="16.5" customHeight="1">
      <c r="O15424" s="5" t="s">
        <v>355</v>
      </c>
      <c r="P15424" s="5" t="s">
        <v>355</v>
      </c>
      <c r="Q15424" s="5" t="s">
        <v>355</v>
      </c>
    </row>
    <row r="15425" ht="16.5" customHeight="1">
      <c r="O15425" s="5" t="s">
        <v>355</v>
      </c>
      <c r="P15425" s="5" t="s">
        <v>355</v>
      </c>
      <c r="Q15425" s="5" t="s">
        <v>355</v>
      </c>
    </row>
    <row r="15426" ht="16.5" customHeight="1">
      <c r="O15426" s="5" t="s">
        <v>355</v>
      </c>
      <c r="P15426" s="5" t="s">
        <v>355</v>
      </c>
      <c r="Q15426" s="5" t="s">
        <v>355</v>
      </c>
    </row>
    <row r="15427" ht="16.5" customHeight="1">
      <c r="O15427" s="5" t="s">
        <v>355</v>
      </c>
      <c r="P15427" s="5" t="s">
        <v>355</v>
      </c>
      <c r="Q15427" s="5" t="s">
        <v>355</v>
      </c>
    </row>
    <row r="15428" ht="16.5" customHeight="1">
      <c r="O15428" s="5" t="s">
        <v>355</v>
      </c>
      <c r="P15428" s="5" t="s">
        <v>355</v>
      </c>
      <c r="Q15428" s="5" t="s">
        <v>355</v>
      </c>
    </row>
    <row r="15429" ht="16.5" customHeight="1">
      <c r="O15429" s="5" t="s">
        <v>355</v>
      </c>
      <c r="P15429" s="5" t="s">
        <v>355</v>
      </c>
      <c r="Q15429" s="5" t="s">
        <v>355</v>
      </c>
    </row>
    <row r="15430" ht="16.5" customHeight="1">
      <c r="O15430" s="5" t="s">
        <v>355</v>
      </c>
      <c r="P15430" s="5" t="s">
        <v>355</v>
      </c>
      <c r="Q15430" s="5" t="s">
        <v>355</v>
      </c>
    </row>
    <row r="15431" ht="16.5" customHeight="1">
      <c r="O15431" s="5" t="s">
        <v>355</v>
      </c>
      <c r="P15431" s="5" t="s">
        <v>355</v>
      </c>
      <c r="Q15431" s="5" t="s">
        <v>355</v>
      </c>
    </row>
    <row r="15432" ht="16.5" customHeight="1">
      <c r="O15432" s="5" t="s">
        <v>355</v>
      </c>
      <c r="P15432" s="5" t="s">
        <v>355</v>
      </c>
      <c r="Q15432" s="5" t="s">
        <v>355</v>
      </c>
    </row>
    <row r="15433" ht="16.5" customHeight="1">
      <c r="O15433" s="5" t="s">
        <v>355</v>
      </c>
      <c r="P15433" s="5" t="s">
        <v>355</v>
      </c>
      <c r="Q15433" s="5" t="s">
        <v>355</v>
      </c>
    </row>
    <row r="15434" ht="16.5" customHeight="1">
      <c r="O15434" s="5" t="s">
        <v>355</v>
      </c>
      <c r="P15434" s="5" t="s">
        <v>355</v>
      </c>
      <c r="Q15434" s="5" t="s">
        <v>355</v>
      </c>
    </row>
    <row r="15435" ht="16.5" customHeight="1">
      <c r="O15435" s="5" t="s">
        <v>355</v>
      </c>
      <c r="P15435" s="5" t="s">
        <v>355</v>
      </c>
      <c r="Q15435" s="5" t="s">
        <v>355</v>
      </c>
    </row>
    <row r="15436" ht="16.5" customHeight="1">
      <c r="O15436" s="5" t="s">
        <v>355</v>
      </c>
      <c r="P15436" s="5" t="s">
        <v>355</v>
      </c>
      <c r="Q15436" s="5" t="s">
        <v>355</v>
      </c>
    </row>
    <row r="15437" ht="16.5" customHeight="1">
      <c r="O15437" s="5" t="s">
        <v>355</v>
      </c>
      <c r="P15437" s="5" t="s">
        <v>355</v>
      </c>
      <c r="Q15437" s="5" t="s">
        <v>355</v>
      </c>
    </row>
    <row r="15438" ht="16.5" customHeight="1">
      <c r="O15438" s="5" t="s">
        <v>355</v>
      </c>
      <c r="P15438" s="5" t="s">
        <v>355</v>
      </c>
      <c r="Q15438" s="5" t="s">
        <v>355</v>
      </c>
    </row>
    <row r="15439" ht="16.5" customHeight="1">
      <c r="O15439" s="5" t="s">
        <v>355</v>
      </c>
      <c r="P15439" s="5" t="s">
        <v>355</v>
      </c>
      <c r="Q15439" s="5" t="s">
        <v>355</v>
      </c>
    </row>
    <row r="15440" ht="16.5" customHeight="1">
      <c r="O15440" s="5" t="s">
        <v>355</v>
      </c>
      <c r="P15440" s="5" t="s">
        <v>355</v>
      </c>
      <c r="Q15440" s="5" t="s">
        <v>355</v>
      </c>
    </row>
    <row r="15441" ht="16.5" customHeight="1">
      <c r="O15441" s="5" t="s">
        <v>355</v>
      </c>
      <c r="P15441" s="5" t="s">
        <v>355</v>
      </c>
      <c r="Q15441" s="5" t="s">
        <v>355</v>
      </c>
    </row>
    <row r="15442" ht="16.5" customHeight="1">
      <c r="O15442" s="5" t="s">
        <v>355</v>
      </c>
      <c r="P15442" s="5" t="s">
        <v>355</v>
      </c>
      <c r="Q15442" s="5" t="s">
        <v>355</v>
      </c>
    </row>
    <row r="15443" ht="16.5" customHeight="1">
      <c r="O15443" s="5" t="s">
        <v>355</v>
      </c>
      <c r="P15443" s="5" t="s">
        <v>355</v>
      </c>
      <c r="Q15443" s="5" t="s">
        <v>355</v>
      </c>
    </row>
    <row r="15444" ht="16.5" customHeight="1">
      <c r="O15444" s="5" t="s">
        <v>355</v>
      </c>
      <c r="P15444" s="5" t="s">
        <v>355</v>
      </c>
      <c r="Q15444" s="5" t="s">
        <v>355</v>
      </c>
    </row>
    <row r="15445" ht="16.5" customHeight="1">
      <c r="O15445" s="5" t="s">
        <v>355</v>
      </c>
      <c r="P15445" s="5" t="s">
        <v>355</v>
      </c>
      <c r="Q15445" s="5" t="s">
        <v>355</v>
      </c>
    </row>
    <row r="15446" ht="16.5" customHeight="1">
      <c r="O15446" s="5" t="s">
        <v>355</v>
      </c>
      <c r="P15446" s="5" t="s">
        <v>355</v>
      </c>
      <c r="Q15446" s="5" t="s">
        <v>355</v>
      </c>
    </row>
    <row r="15447" ht="16.5" customHeight="1">
      <c r="O15447" s="5" t="s">
        <v>355</v>
      </c>
      <c r="P15447" s="5" t="s">
        <v>355</v>
      </c>
      <c r="Q15447" s="5" t="s">
        <v>355</v>
      </c>
    </row>
    <row r="15448" ht="16.5" customHeight="1">
      <c r="O15448" s="5" t="s">
        <v>355</v>
      </c>
      <c r="P15448" s="5" t="s">
        <v>355</v>
      </c>
      <c r="Q15448" s="5" t="s">
        <v>355</v>
      </c>
    </row>
    <row r="15449" ht="16.5" customHeight="1">
      <c r="O15449" s="5" t="s">
        <v>355</v>
      </c>
      <c r="P15449" s="5" t="s">
        <v>355</v>
      </c>
      <c r="Q15449" s="5" t="s">
        <v>355</v>
      </c>
    </row>
    <row r="15450" ht="16.5" customHeight="1">
      <c r="O15450" s="5" t="s">
        <v>355</v>
      </c>
      <c r="P15450" s="5" t="s">
        <v>355</v>
      </c>
      <c r="Q15450" s="5" t="s">
        <v>355</v>
      </c>
    </row>
    <row r="15451" ht="16.5" customHeight="1">
      <c r="O15451" s="5" t="s">
        <v>355</v>
      </c>
      <c r="P15451" s="5" t="s">
        <v>355</v>
      </c>
      <c r="Q15451" s="5" t="s">
        <v>355</v>
      </c>
    </row>
    <row r="15452" ht="16.5" customHeight="1">
      <c r="O15452" s="5" t="s">
        <v>355</v>
      </c>
      <c r="P15452" s="5" t="s">
        <v>355</v>
      </c>
      <c r="Q15452" s="5" t="s">
        <v>355</v>
      </c>
    </row>
    <row r="15453" ht="16.5" customHeight="1">
      <c r="O15453" s="5" t="s">
        <v>355</v>
      </c>
      <c r="P15453" s="5" t="s">
        <v>355</v>
      </c>
      <c r="Q15453" s="5" t="s">
        <v>355</v>
      </c>
    </row>
    <row r="15454" ht="16.5" customHeight="1">
      <c r="O15454" s="5" t="s">
        <v>355</v>
      </c>
      <c r="P15454" s="5" t="s">
        <v>355</v>
      </c>
      <c r="Q15454" s="5" t="s">
        <v>355</v>
      </c>
    </row>
    <row r="15455" ht="16.5" customHeight="1">
      <c r="O15455" s="5" t="s">
        <v>355</v>
      </c>
      <c r="P15455" s="5" t="s">
        <v>355</v>
      </c>
      <c r="Q15455" s="5" t="s">
        <v>355</v>
      </c>
    </row>
    <row r="15456" ht="16.5" customHeight="1">
      <c r="O15456" s="5" t="s">
        <v>355</v>
      </c>
      <c r="P15456" s="5" t="s">
        <v>355</v>
      </c>
      <c r="Q15456" s="5" t="s">
        <v>355</v>
      </c>
    </row>
    <row r="15457" ht="16.5" customHeight="1">
      <c r="O15457" s="5" t="s">
        <v>355</v>
      </c>
      <c r="P15457" s="5" t="s">
        <v>355</v>
      </c>
      <c r="Q15457" s="5" t="s">
        <v>355</v>
      </c>
    </row>
    <row r="15458" ht="16.5" customHeight="1">
      <c r="O15458" s="5" t="s">
        <v>355</v>
      </c>
      <c r="P15458" s="5" t="s">
        <v>355</v>
      </c>
      <c r="Q15458" s="5" t="s">
        <v>355</v>
      </c>
    </row>
    <row r="15459" ht="16.5" customHeight="1">
      <c r="O15459" s="5" t="s">
        <v>355</v>
      </c>
      <c r="P15459" s="5" t="s">
        <v>355</v>
      </c>
      <c r="Q15459" s="5" t="s">
        <v>355</v>
      </c>
    </row>
    <row r="15460" ht="16.5" customHeight="1">
      <c r="O15460" s="5" t="s">
        <v>355</v>
      </c>
      <c r="P15460" s="5" t="s">
        <v>355</v>
      </c>
      <c r="Q15460" s="5" t="s">
        <v>355</v>
      </c>
    </row>
    <row r="15461" ht="16.5" customHeight="1">
      <c r="O15461" s="5" t="s">
        <v>355</v>
      </c>
      <c r="P15461" s="5" t="s">
        <v>355</v>
      </c>
      <c r="Q15461" s="5" t="s">
        <v>355</v>
      </c>
    </row>
    <row r="15462" ht="16.5" customHeight="1">
      <c r="O15462" s="5" t="s">
        <v>355</v>
      </c>
      <c r="P15462" s="5" t="s">
        <v>355</v>
      </c>
      <c r="Q15462" s="5" t="s">
        <v>355</v>
      </c>
    </row>
    <row r="15463" ht="16.5" customHeight="1">
      <c r="O15463" s="5" t="s">
        <v>355</v>
      </c>
      <c r="P15463" s="5" t="s">
        <v>355</v>
      </c>
      <c r="Q15463" s="5" t="s">
        <v>355</v>
      </c>
    </row>
    <row r="15464" ht="16.5" customHeight="1">
      <c r="O15464" s="5" t="s">
        <v>355</v>
      </c>
      <c r="P15464" s="5" t="s">
        <v>355</v>
      </c>
      <c r="Q15464" s="5" t="s">
        <v>355</v>
      </c>
    </row>
    <row r="15465" ht="16.5" customHeight="1">
      <c r="O15465" s="5" t="s">
        <v>355</v>
      </c>
      <c r="P15465" s="5" t="s">
        <v>355</v>
      </c>
      <c r="Q15465" s="5" t="s">
        <v>355</v>
      </c>
    </row>
    <row r="15466" ht="16.5" customHeight="1">
      <c r="O15466" s="5" t="s">
        <v>355</v>
      </c>
      <c r="P15466" s="5" t="s">
        <v>355</v>
      </c>
      <c r="Q15466" s="5" t="s">
        <v>355</v>
      </c>
    </row>
    <row r="15467" ht="16.5" customHeight="1">
      <c r="O15467" s="5" t="s">
        <v>355</v>
      </c>
      <c r="P15467" s="5" t="s">
        <v>355</v>
      </c>
      <c r="Q15467" s="5" t="s">
        <v>355</v>
      </c>
    </row>
    <row r="15468" ht="16.5" customHeight="1">
      <c r="O15468" s="5" t="s">
        <v>355</v>
      </c>
      <c r="P15468" s="5" t="s">
        <v>355</v>
      </c>
      <c r="Q15468" s="5" t="s">
        <v>355</v>
      </c>
    </row>
    <row r="15469" ht="16.5" customHeight="1">
      <c r="O15469" s="5" t="s">
        <v>355</v>
      </c>
      <c r="P15469" s="5" t="s">
        <v>355</v>
      </c>
      <c r="Q15469" s="5" t="s">
        <v>355</v>
      </c>
    </row>
    <row r="15470" ht="16.5" customHeight="1">
      <c r="O15470" s="5" t="s">
        <v>355</v>
      </c>
      <c r="P15470" s="5" t="s">
        <v>355</v>
      </c>
      <c r="Q15470" s="5" t="s">
        <v>355</v>
      </c>
    </row>
    <row r="15471" ht="16.5" customHeight="1">
      <c r="O15471" s="5" t="s">
        <v>355</v>
      </c>
      <c r="P15471" s="5" t="s">
        <v>355</v>
      </c>
      <c r="Q15471" s="5" t="s">
        <v>355</v>
      </c>
    </row>
    <row r="15472" ht="16.5" customHeight="1">
      <c r="O15472" s="5" t="s">
        <v>355</v>
      </c>
      <c r="P15472" s="5" t="s">
        <v>355</v>
      </c>
      <c r="Q15472" s="5" t="s">
        <v>355</v>
      </c>
    </row>
    <row r="15473" ht="16.5" customHeight="1">
      <c r="O15473" s="5" t="s">
        <v>355</v>
      </c>
      <c r="P15473" s="5" t="s">
        <v>355</v>
      </c>
      <c r="Q15473" s="5" t="s">
        <v>355</v>
      </c>
    </row>
    <row r="15474" ht="16.5" customHeight="1">
      <c r="O15474" s="5" t="s">
        <v>355</v>
      </c>
      <c r="P15474" s="5" t="s">
        <v>355</v>
      </c>
      <c r="Q15474" s="5" t="s">
        <v>355</v>
      </c>
    </row>
    <row r="15475" ht="16.5" customHeight="1">
      <c r="O15475" s="5" t="s">
        <v>355</v>
      </c>
      <c r="P15475" s="5" t="s">
        <v>355</v>
      </c>
      <c r="Q15475" s="5" t="s">
        <v>355</v>
      </c>
    </row>
    <row r="15476" ht="16.5" customHeight="1">
      <c r="O15476" s="5" t="s">
        <v>355</v>
      </c>
      <c r="P15476" s="5" t="s">
        <v>355</v>
      </c>
      <c r="Q15476" s="5" t="s">
        <v>355</v>
      </c>
    </row>
    <row r="15477" ht="16.5" customHeight="1">
      <c r="O15477" s="5" t="s">
        <v>355</v>
      </c>
      <c r="P15477" s="5" t="s">
        <v>355</v>
      </c>
      <c r="Q15477" s="5" t="s">
        <v>355</v>
      </c>
    </row>
    <row r="15478" ht="16.5" customHeight="1">
      <c r="O15478" s="5" t="s">
        <v>355</v>
      </c>
      <c r="P15478" s="5" t="s">
        <v>355</v>
      </c>
      <c r="Q15478" s="5" t="s">
        <v>355</v>
      </c>
    </row>
    <row r="15479" ht="16.5" customHeight="1">
      <c r="O15479" s="5" t="s">
        <v>355</v>
      </c>
      <c r="P15479" s="5" t="s">
        <v>355</v>
      </c>
      <c r="Q15479" s="5" t="s">
        <v>355</v>
      </c>
    </row>
    <row r="15480" ht="16.5" customHeight="1">
      <c r="O15480" s="5" t="s">
        <v>355</v>
      </c>
      <c r="P15480" s="5" t="s">
        <v>355</v>
      </c>
      <c r="Q15480" s="5" t="s">
        <v>355</v>
      </c>
    </row>
    <row r="15481" ht="16.5" customHeight="1">
      <c r="O15481" s="5" t="s">
        <v>355</v>
      </c>
      <c r="P15481" s="5" t="s">
        <v>355</v>
      </c>
      <c r="Q15481" s="5" t="s">
        <v>355</v>
      </c>
    </row>
    <row r="15482" ht="16.5" customHeight="1">
      <c r="O15482" s="5" t="s">
        <v>355</v>
      </c>
      <c r="P15482" s="5" t="s">
        <v>355</v>
      </c>
      <c r="Q15482" s="5" t="s">
        <v>355</v>
      </c>
    </row>
    <row r="15483" ht="16.5" customHeight="1">
      <c r="O15483" s="5" t="s">
        <v>355</v>
      </c>
      <c r="P15483" s="5" t="s">
        <v>355</v>
      </c>
      <c r="Q15483" s="5" t="s">
        <v>355</v>
      </c>
    </row>
    <row r="15484" ht="16.5" customHeight="1">
      <c r="O15484" s="5" t="s">
        <v>355</v>
      </c>
      <c r="P15484" s="5" t="s">
        <v>355</v>
      </c>
      <c r="Q15484" s="5" t="s">
        <v>355</v>
      </c>
    </row>
    <row r="15485" ht="16.5" customHeight="1">
      <c r="O15485" s="5" t="s">
        <v>355</v>
      </c>
      <c r="P15485" s="5" t="s">
        <v>355</v>
      </c>
      <c r="Q15485" s="5" t="s">
        <v>355</v>
      </c>
    </row>
    <row r="15486" ht="16.5" customHeight="1">
      <c r="O15486" s="5" t="s">
        <v>355</v>
      </c>
      <c r="P15486" s="5" t="s">
        <v>355</v>
      </c>
      <c r="Q15486" s="5" t="s">
        <v>355</v>
      </c>
    </row>
    <row r="15487" ht="16.5" customHeight="1">
      <c r="O15487" s="5" t="s">
        <v>355</v>
      </c>
      <c r="P15487" s="5" t="s">
        <v>355</v>
      </c>
      <c r="Q15487" s="5" t="s">
        <v>355</v>
      </c>
    </row>
    <row r="15488" ht="16.5" customHeight="1">
      <c r="O15488" s="5" t="s">
        <v>355</v>
      </c>
      <c r="P15488" s="5" t="s">
        <v>355</v>
      </c>
      <c r="Q15488" s="5" t="s">
        <v>355</v>
      </c>
    </row>
    <row r="15489" ht="16.5" customHeight="1">
      <c r="O15489" s="5" t="s">
        <v>355</v>
      </c>
      <c r="P15489" s="5" t="s">
        <v>355</v>
      </c>
      <c r="Q15489" s="5" t="s">
        <v>355</v>
      </c>
    </row>
    <row r="15490" ht="16.5" customHeight="1">
      <c r="O15490" s="5" t="s">
        <v>355</v>
      </c>
      <c r="P15490" s="5" t="s">
        <v>355</v>
      </c>
      <c r="Q15490" s="5" t="s">
        <v>355</v>
      </c>
    </row>
    <row r="15491" ht="16.5" customHeight="1">
      <c r="O15491" s="5" t="s">
        <v>355</v>
      </c>
      <c r="P15491" s="5" t="s">
        <v>355</v>
      </c>
      <c r="Q15491" s="5" t="s">
        <v>355</v>
      </c>
    </row>
    <row r="15492" ht="16.5" customHeight="1">
      <c r="O15492" s="5" t="s">
        <v>355</v>
      </c>
      <c r="P15492" s="5" t="s">
        <v>355</v>
      </c>
      <c r="Q15492" s="5" t="s">
        <v>355</v>
      </c>
    </row>
    <row r="15493" ht="16.5" customHeight="1">
      <c r="O15493" s="5" t="s">
        <v>355</v>
      </c>
      <c r="P15493" s="5" t="s">
        <v>355</v>
      </c>
      <c r="Q15493" s="5" t="s">
        <v>355</v>
      </c>
    </row>
    <row r="15494" ht="16.5" customHeight="1">
      <c r="O15494" s="5" t="s">
        <v>355</v>
      </c>
      <c r="P15494" s="5" t="s">
        <v>355</v>
      </c>
      <c r="Q15494" s="5" t="s">
        <v>355</v>
      </c>
    </row>
    <row r="15495" ht="16.5" customHeight="1">
      <c r="O15495" s="5" t="s">
        <v>355</v>
      </c>
      <c r="P15495" s="5" t="s">
        <v>355</v>
      </c>
      <c r="Q15495" s="5" t="s">
        <v>355</v>
      </c>
    </row>
    <row r="15496" ht="16.5" customHeight="1">
      <c r="O15496" s="5" t="s">
        <v>355</v>
      </c>
      <c r="P15496" s="5" t="s">
        <v>355</v>
      </c>
      <c r="Q15496" s="5" t="s">
        <v>355</v>
      </c>
    </row>
    <row r="15497" ht="16.5" customHeight="1">
      <c r="O15497" s="5" t="s">
        <v>355</v>
      </c>
      <c r="P15497" s="5" t="s">
        <v>355</v>
      </c>
      <c r="Q15497" s="5" t="s">
        <v>355</v>
      </c>
    </row>
    <row r="15498" ht="16.5" customHeight="1">
      <c r="O15498" s="5" t="s">
        <v>355</v>
      </c>
      <c r="P15498" s="5" t="s">
        <v>355</v>
      </c>
      <c r="Q15498" s="5" t="s">
        <v>355</v>
      </c>
    </row>
    <row r="15499" ht="16.5" customHeight="1">
      <c r="O15499" s="5" t="s">
        <v>355</v>
      </c>
      <c r="P15499" s="5" t="s">
        <v>355</v>
      </c>
      <c r="Q15499" s="5" t="s">
        <v>355</v>
      </c>
    </row>
    <row r="15500" ht="16.5" customHeight="1">
      <c r="O15500" s="5" t="s">
        <v>355</v>
      </c>
      <c r="P15500" s="5" t="s">
        <v>355</v>
      </c>
      <c r="Q15500" s="5" t="s">
        <v>355</v>
      </c>
    </row>
    <row r="15501" ht="16.5" customHeight="1">
      <c r="O15501" s="5" t="s">
        <v>355</v>
      </c>
      <c r="P15501" s="5" t="s">
        <v>355</v>
      </c>
      <c r="Q15501" s="5" t="s">
        <v>355</v>
      </c>
    </row>
    <row r="15502" ht="16.5" customHeight="1">
      <c r="O15502" s="5" t="s">
        <v>355</v>
      </c>
      <c r="P15502" s="5" t="s">
        <v>355</v>
      </c>
      <c r="Q15502" s="5" t="s">
        <v>355</v>
      </c>
    </row>
    <row r="15503" ht="16.5" customHeight="1">
      <c r="O15503" s="5" t="s">
        <v>355</v>
      </c>
      <c r="P15503" s="5" t="s">
        <v>355</v>
      </c>
      <c r="Q15503" s="5" t="s">
        <v>355</v>
      </c>
    </row>
    <row r="15504" ht="16.5" customHeight="1">
      <c r="O15504" s="5" t="s">
        <v>355</v>
      </c>
      <c r="P15504" s="5" t="s">
        <v>355</v>
      </c>
      <c r="Q15504" s="5" t="s">
        <v>355</v>
      </c>
    </row>
    <row r="15505" ht="16.5" customHeight="1">
      <c r="O15505" s="5" t="s">
        <v>355</v>
      </c>
      <c r="P15505" s="5" t="s">
        <v>355</v>
      </c>
      <c r="Q15505" s="5" t="s">
        <v>355</v>
      </c>
    </row>
    <row r="15506" ht="16.5" customHeight="1">
      <c r="O15506" s="5" t="s">
        <v>355</v>
      </c>
      <c r="P15506" s="5" t="s">
        <v>355</v>
      </c>
      <c r="Q15506" s="5" t="s">
        <v>355</v>
      </c>
    </row>
    <row r="15507" ht="16.5" customHeight="1">
      <c r="O15507" s="5" t="s">
        <v>355</v>
      </c>
      <c r="P15507" s="5" t="s">
        <v>355</v>
      </c>
      <c r="Q15507" s="5" t="s">
        <v>355</v>
      </c>
    </row>
    <row r="15508" ht="16.5" customHeight="1">
      <c r="O15508" s="5" t="s">
        <v>355</v>
      </c>
      <c r="P15508" s="5" t="s">
        <v>355</v>
      </c>
      <c r="Q15508" s="5" t="s">
        <v>355</v>
      </c>
    </row>
    <row r="15509" ht="16.5" customHeight="1">
      <c r="O15509" s="5" t="s">
        <v>355</v>
      </c>
      <c r="P15509" s="5" t="s">
        <v>355</v>
      </c>
      <c r="Q15509" s="5" t="s">
        <v>355</v>
      </c>
    </row>
    <row r="15510" ht="16.5" customHeight="1">
      <c r="O15510" s="5" t="s">
        <v>355</v>
      </c>
      <c r="P15510" s="5" t="s">
        <v>355</v>
      </c>
      <c r="Q15510" s="5" t="s">
        <v>355</v>
      </c>
    </row>
    <row r="15511" ht="16.5" customHeight="1">
      <c r="O15511" s="5" t="s">
        <v>355</v>
      </c>
      <c r="P15511" s="5" t="s">
        <v>355</v>
      </c>
      <c r="Q15511" s="5" t="s">
        <v>355</v>
      </c>
    </row>
    <row r="15512" ht="16.5" customHeight="1">
      <c r="O15512" s="5" t="s">
        <v>355</v>
      </c>
      <c r="P15512" s="5" t="s">
        <v>355</v>
      </c>
      <c r="Q15512" s="5" t="s">
        <v>355</v>
      </c>
    </row>
    <row r="15513" ht="16.5" customHeight="1">
      <c r="O15513" s="5" t="s">
        <v>355</v>
      </c>
      <c r="P15513" s="5" t="s">
        <v>355</v>
      </c>
      <c r="Q15513" s="5" t="s">
        <v>355</v>
      </c>
    </row>
    <row r="15514" ht="16.5" customHeight="1">
      <c r="O15514" s="5" t="s">
        <v>355</v>
      </c>
      <c r="P15514" s="5" t="s">
        <v>355</v>
      </c>
      <c r="Q15514" s="5" t="s">
        <v>355</v>
      </c>
    </row>
    <row r="15515" ht="16.5" customHeight="1">
      <c r="O15515" s="5" t="s">
        <v>355</v>
      </c>
      <c r="P15515" s="5" t="s">
        <v>355</v>
      </c>
      <c r="Q15515" s="5" t="s">
        <v>355</v>
      </c>
    </row>
    <row r="15516" ht="16.5" customHeight="1">
      <c r="O15516" s="5" t="s">
        <v>355</v>
      </c>
      <c r="P15516" s="5" t="s">
        <v>355</v>
      </c>
      <c r="Q15516" s="5" t="s">
        <v>355</v>
      </c>
    </row>
    <row r="15517" ht="16.5" customHeight="1">
      <c r="O15517" s="5" t="s">
        <v>355</v>
      </c>
      <c r="P15517" s="5" t="s">
        <v>355</v>
      </c>
      <c r="Q15517" s="5" t="s">
        <v>355</v>
      </c>
    </row>
    <row r="15518" ht="16.5" customHeight="1">
      <c r="O15518" s="5" t="s">
        <v>355</v>
      </c>
      <c r="P15518" s="5" t="s">
        <v>355</v>
      </c>
      <c r="Q15518" s="5" t="s">
        <v>355</v>
      </c>
    </row>
    <row r="15519" ht="16.5" customHeight="1">
      <c r="O15519" s="5" t="s">
        <v>355</v>
      </c>
      <c r="P15519" s="5" t="s">
        <v>355</v>
      </c>
      <c r="Q15519" s="5" t="s">
        <v>355</v>
      </c>
    </row>
    <row r="15520" ht="16.5" customHeight="1">
      <c r="O15520" s="5" t="s">
        <v>355</v>
      </c>
      <c r="P15520" s="5" t="s">
        <v>355</v>
      </c>
      <c r="Q15520" s="5" t="s">
        <v>355</v>
      </c>
    </row>
    <row r="15521" ht="16.5" customHeight="1">
      <c r="O15521" s="5" t="s">
        <v>355</v>
      </c>
      <c r="P15521" s="5" t="s">
        <v>355</v>
      </c>
      <c r="Q15521" s="5" t="s">
        <v>355</v>
      </c>
    </row>
    <row r="15522" ht="16.5" customHeight="1">
      <c r="O15522" s="5" t="s">
        <v>355</v>
      </c>
      <c r="P15522" s="5" t="s">
        <v>355</v>
      </c>
      <c r="Q15522" s="5" t="s">
        <v>355</v>
      </c>
    </row>
    <row r="15523" ht="16.5" customHeight="1">
      <c r="O15523" s="5" t="s">
        <v>355</v>
      </c>
      <c r="P15523" s="5" t="s">
        <v>355</v>
      </c>
      <c r="Q15523" s="5" t="s">
        <v>355</v>
      </c>
    </row>
    <row r="15524" ht="16.5" customHeight="1">
      <c r="O15524" s="5" t="s">
        <v>355</v>
      </c>
      <c r="P15524" s="5" t="s">
        <v>355</v>
      </c>
      <c r="Q15524" s="5" t="s">
        <v>355</v>
      </c>
    </row>
    <row r="15525" ht="16.5" customHeight="1">
      <c r="O15525" s="5" t="s">
        <v>355</v>
      </c>
      <c r="P15525" s="5" t="s">
        <v>355</v>
      </c>
      <c r="Q15525" s="5" t="s">
        <v>355</v>
      </c>
    </row>
    <row r="15526" ht="16.5" customHeight="1">
      <c r="O15526" s="5" t="s">
        <v>355</v>
      </c>
      <c r="P15526" s="5" t="s">
        <v>355</v>
      </c>
      <c r="Q15526" s="5" t="s">
        <v>355</v>
      </c>
    </row>
    <row r="15527" ht="16.5" customHeight="1">
      <c r="O15527" s="5" t="s">
        <v>355</v>
      </c>
      <c r="P15527" s="5" t="s">
        <v>355</v>
      </c>
      <c r="Q15527" s="5" t="s">
        <v>355</v>
      </c>
    </row>
    <row r="15528" ht="16.5" customHeight="1">
      <c r="O15528" s="5" t="s">
        <v>355</v>
      </c>
      <c r="P15528" s="5" t="s">
        <v>355</v>
      </c>
      <c r="Q15528" s="5" t="s">
        <v>355</v>
      </c>
    </row>
    <row r="15529" ht="16.5" customHeight="1">
      <c r="O15529" s="5" t="s">
        <v>355</v>
      </c>
      <c r="P15529" s="5" t="s">
        <v>355</v>
      </c>
      <c r="Q15529" s="5" t="s">
        <v>355</v>
      </c>
    </row>
    <row r="15530" ht="16.5" customHeight="1">
      <c r="O15530" s="5" t="s">
        <v>355</v>
      </c>
      <c r="P15530" s="5" t="s">
        <v>355</v>
      </c>
      <c r="Q15530" s="5" t="s">
        <v>355</v>
      </c>
    </row>
    <row r="15531" ht="16.5" customHeight="1">
      <c r="O15531" s="5" t="s">
        <v>355</v>
      </c>
      <c r="P15531" s="5" t="s">
        <v>355</v>
      </c>
      <c r="Q15531" s="5" t="s">
        <v>355</v>
      </c>
    </row>
    <row r="15532" ht="16.5" customHeight="1">
      <c r="O15532" s="5" t="s">
        <v>355</v>
      </c>
      <c r="P15532" s="5" t="s">
        <v>355</v>
      </c>
      <c r="Q15532" s="5" t="s">
        <v>355</v>
      </c>
    </row>
    <row r="15533" ht="16.5" customHeight="1">
      <c r="O15533" s="5" t="s">
        <v>355</v>
      </c>
      <c r="P15533" s="5" t="s">
        <v>355</v>
      </c>
      <c r="Q15533" s="5" t="s">
        <v>355</v>
      </c>
    </row>
    <row r="15534" ht="16.5" customHeight="1">
      <c r="O15534" s="5" t="s">
        <v>355</v>
      </c>
      <c r="P15534" s="5" t="s">
        <v>355</v>
      </c>
      <c r="Q15534" s="5" t="s">
        <v>355</v>
      </c>
    </row>
    <row r="15535" ht="16.5" customHeight="1">
      <c r="O15535" s="5" t="s">
        <v>355</v>
      </c>
      <c r="P15535" s="5" t="s">
        <v>355</v>
      </c>
      <c r="Q15535" s="5" t="s">
        <v>355</v>
      </c>
    </row>
    <row r="15536" ht="16.5" customHeight="1">
      <c r="O15536" s="5" t="s">
        <v>355</v>
      </c>
      <c r="P15536" s="5" t="s">
        <v>355</v>
      </c>
      <c r="Q15536" s="5" t="s">
        <v>355</v>
      </c>
    </row>
    <row r="15537" ht="16.5" customHeight="1">
      <c r="O15537" s="5" t="s">
        <v>355</v>
      </c>
      <c r="P15537" s="5" t="s">
        <v>355</v>
      </c>
      <c r="Q15537" s="5" t="s">
        <v>355</v>
      </c>
    </row>
    <row r="15538" ht="16.5" customHeight="1">
      <c r="O15538" s="5" t="s">
        <v>355</v>
      </c>
      <c r="P15538" s="5" t="s">
        <v>355</v>
      </c>
      <c r="Q15538" s="5" t="s">
        <v>355</v>
      </c>
    </row>
    <row r="15539" ht="16.5" customHeight="1">
      <c r="O15539" s="5" t="s">
        <v>355</v>
      </c>
      <c r="P15539" s="5" t="s">
        <v>355</v>
      </c>
      <c r="Q15539" s="5" t="s">
        <v>355</v>
      </c>
    </row>
    <row r="15540" ht="16.5" customHeight="1">
      <c r="O15540" s="5" t="s">
        <v>355</v>
      </c>
      <c r="P15540" s="5" t="s">
        <v>355</v>
      </c>
      <c r="Q15540" s="5" t="s">
        <v>355</v>
      </c>
    </row>
    <row r="15541" ht="16.5" customHeight="1">
      <c r="O15541" s="5" t="s">
        <v>355</v>
      </c>
      <c r="P15541" s="5" t="s">
        <v>355</v>
      </c>
      <c r="Q15541" s="5" t="s">
        <v>355</v>
      </c>
    </row>
    <row r="15542" ht="16.5" customHeight="1">
      <c r="O15542" s="5" t="s">
        <v>355</v>
      </c>
      <c r="P15542" s="5" t="s">
        <v>355</v>
      </c>
      <c r="Q15542" s="5" t="s">
        <v>355</v>
      </c>
    </row>
    <row r="15543" ht="16.5" customHeight="1">
      <c r="O15543" s="5" t="s">
        <v>355</v>
      </c>
      <c r="P15543" s="5" t="s">
        <v>355</v>
      </c>
      <c r="Q15543" s="5" t="s">
        <v>355</v>
      </c>
    </row>
    <row r="15544" ht="16.5" customHeight="1">
      <c r="O15544" s="5" t="s">
        <v>355</v>
      </c>
      <c r="P15544" s="5" t="s">
        <v>355</v>
      </c>
      <c r="Q15544" s="5" t="s">
        <v>355</v>
      </c>
    </row>
    <row r="15545" ht="16.5" customHeight="1">
      <c r="O15545" s="5" t="s">
        <v>355</v>
      </c>
      <c r="P15545" s="5" t="s">
        <v>355</v>
      </c>
      <c r="Q15545" s="5" t="s">
        <v>355</v>
      </c>
    </row>
    <row r="15546" ht="16.5" customHeight="1">
      <c r="O15546" s="5" t="s">
        <v>355</v>
      </c>
      <c r="P15546" s="5" t="s">
        <v>355</v>
      </c>
      <c r="Q15546" s="5" t="s">
        <v>355</v>
      </c>
    </row>
    <row r="15547" ht="16.5" customHeight="1">
      <c r="O15547" s="5" t="s">
        <v>355</v>
      </c>
      <c r="P15547" s="5" t="s">
        <v>355</v>
      </c>
      <c r="Q15547" s="5" t="s">
        <v>355</v>
      </c>
    </row>
    <row r="15548" ht="16.5" customHeight="1">
      <c r="O15548" s="5" t="s">
        <v>355</v>
      </c>
      <c r="P15548" s="5" t="s">
        <v>355</v>
      </c>
      <c r="Q15548" s="5" t="s">
        <v>355</v>
      </c>
    </row>
    <row r="15549" ht="16.5" customHeight="1">
      <c r="O15549" s="5" t="s">
        <v>355</v>
      </c>
      <c r="P15549" s="5" t="s">
        <v>355</v>
      </c>
      <c r="Q15549" s="5" t="s">
        <v>355</v>
      </c>
    </row>
    <row r="15550" ht="16.5" customHeight="1">
      <c r="O15550" s="5" t="s">
        <v>355</v>
      </c>
      <c r="P15550" s="5" t="s">
        <v>355</v>
      </c>
      <c r="Q15550" s="5" t="s">
        <v>355</v>
      </c>
    </row>
    <row r="15551" ht="16.5" customHeight="1">
      <c r="O15551" s="5" t="s">
        <v>355</v>
      </c>
      <c r="P15551" s="5" t="s">
        <v>355</v>
      </c>
      <c r="Q15551" s="5" t="s">
        <v>355</v>
      </c>
    </row>
    <row r="15552" ht="16.5" customHeight="1">
      <c r="O15552" s="5" t="s">
        <v>355</v>
      </c>
      <c r="P15552" s="5" t="s">
        <v>355</v>
      </c>
      <c r="Q15552" s="5" t="s">
        <v>355</v>
      </c>
    </row>
    <row r="15553" ht="16.5" customHeight="1">
      <c r="O15553" s="5" t="s">
        <v>355</v>
      </c>
      <c r="P15553" s="5" t="s">
        <v>355</v>
      </c>
      <c r="Q15553" s="5" t="s">
        <v>355</v>
      </c>
    </row>
    <row r="15554" ht="16.5" customHeight="1">
      <c r="O15554" s="5" t="s">
        <v>355</v>
      </c>
      <c r="P15554" s="5" t="s">
        <v>355</v>
      </c>
      <c r="Q15554" s="5" t="s">
        <v>355</v>
      </c>
    </row>
    <row r="15555" ht="16.5" customHeight="1">
      <c r="O15555" s="5" t="s">
        <v>355</v>
      </c>
      <c r="P15555" s="5" t="s">
        <v>355</v>
      </c>
      <c r="Q15555" s="5" t="s">
        <v>355</v>
      </c>
    </row>
    <row r="15556" ht="16.5" customHeight="1">
      <c r="O15556" s="5" t="s">
        <v>355</v>
      </c>
      <c r="P15556" s="5" t="s">
        <v>355</v>
      </c>
      <c r="Q15556" s="5" t="s">
        <v>355</v>
      </c>
    </row>
    <row r="15557" ht="16.5" customHeight="1">
      <c r="O15557" s="5" t="s">
        <v>355</v>
      </c>
      <c r="P15557" s="5" t="s">
        <v>355</v>
      </c>
      <c r="Q15557" s="5" t="s">
        <v>355</v>
      </c>
    </row>
    <row r="15558" ht="16.5" customHeight="1">
      <c r="O15558" s="5" t="s">
        <v>355</v>
      </c>
      <c r="P15558" s="5" t="s">
        <v>355</v>
      </c>
      <c r="Q15558" s="5" t="s">
        <v>355</v>
      </c>
    </row>
    <row r="15559" ht="16.5" customHeight="1">
      <c r="O15559" s="5" t="s">
        <v>355</v>
      </c>
      <c r="P15559" s="5" t="s">
        <v>355</v>
      </c>
      <c r="Q15559" s="5" t="s">
        <v>355</v>
      </c>
    </row>
    <row r="15560" ht="16.5" customHeight="1">
      <c r="O15560" s="5" t="s">
        <v>355</v>
      </c>
      <c r="P15560" s="5" t="s">
        <v>355</v>
      </c>
      <c r="Q15560" s="5" t="s">
        <v>355</v>
      </c>
    </row>
    <row r="15561" ht="16.5" customHeight="1">
      <c r="O15561" s="5" t="s">
        <v>355</v>
      </c>
      <c r="P15561" s="5" t="s">
        <v>355</v>
      </c>
      <c r="Q15561" s="5" t="s">
        <v>355</v>
      </c>
    </row>
    <row r="15562" ht="16.5" customHeight="1">
      <c r="O15562" s="5" t="s">
        <v>355</v>
      </c>
      <c r="P15562" s="5" t="s">
        <v>355</v>
      </c>
      <c r="Q15562" s="5" t="s">
        <v>355</v>
      </c>
    </row>
    <row r="15563" ht="16.5" customHeight="1">
      <c r="O15563" s="5" t="s">
        <v>355</v>
      </c>
      <c r="P15563" s="5" t="s">
        <v>355</v>
      </c>
      <c r="Q15563" s="5" t="s">
        <v>355</v>
      </c>
    </row>
    <row r="15564" ht="16.5" customHeight="1">
      <c r="O15564" s="5" t="s">
        <v>355</v>
      </c>
      <c r="P15564" s="5" t="s">
        <v>355</v>
      </c>
      <c r="Q15564" s="5" t="s">
        <v>355</v>
      </c>
    </row>
    <row r="15565" ht="16.5" customHeight="1">
      <c r="O15565" s="5" t="s">
        <v>355</v>
      </c>
      <c r="P15565" s="5" t="s">
        <v>355</v>
      </c>
      <c r="Q15565" s="5" t="s">
        <v>355</v>
      </c>
    </row>
    <row r="15566" ht="16.5" customHeight="1">
      <c r="O15566" s="5" t="s">
        <v>355</v>
      </c>
      <c r="P15566" s="5" t="s">
        <v>355</v>
      </c>
      <c r="Q15566" s="5" t="s">
        <v>355</v>
      </c>
    </row>
    <row r="15567" ht="16.5" customHeight="1">
      <c r="O15567" s="5" t="s">
        <v>355</v>
      </c>
      <c r="P15567" s="5" t="s">
        <v>355</v>
      </c>
      <c r="Q15567" s="5" t="s">
        <v>355</v>
      </c>
    </row>
    <row r="15568" ht="16.5" customHeight="1">
      <c r="O15568" s="5" t="s">
        <v>355</v>
      </c>
      <c r="P15568" s="5" t="s">
        <v>355</v>
      </c>
      <c r="Q15568" s="5" t="s">
        <v>355</v>
      </c>
    </row>
    <row r="15569" ht="16.5" customHeight="1">
      <c r="O15569" s="5" t="s">
        <v>355</v>
      </c>
      <c r="P15569" s="5" t="s">
        <v>355</v>
      </c>
      <c r="Q15569" s="5" t="s">
        <v>355</v>
      </c>
    </row>
    <row r="15570" ht="16.5" customHeight="1">
      <c r="O15570" s="5" t="s">
        <v>355</v>
      </c>
      <c r="P15570" s="5" t="s">
        <v>355</v>
      </c>
      <c r="Q15570" s="5" t="s">
        <v>355</v>
      </c>
    </row>
    <row r="15571" ht="16.5" customHeight="1">
      <c r="O15571" s="5" t="s">
        <v>355</v>
      </c>
      <c r="P15571" s="5" t="s">
        <v>355</v>
      </c>
      <c r="Q15571" s="5" t="s">
        <v>355</v>
      </c>
    </row>
    <row r="15572" ht="16.5" customHeight="1">
      <c r="O15572" s="5" t="s">
        <v>355</v>
      </c>
      <c r="P15572" s="5" t="s">
        <v>355</v>
      </c>
      <c r="Q15572" s="5" t="s">
        <v>355</v>
      </c>
    </row>
    <row r="15573" ht="16.5" customHeight="1">
      <c r="O15573" s="5" t="s">
        <v>355</v>
      </c>
      <c r="P15573" s="5" t="s">
        <v>355</v>
      </c>
      <c r="Q15573" s="5" t="s">
        <v>355</v>
      </c>
    </row>
    <row r="15574" ht="16.5" customHeight="1">
      <c r="O15574" s="5" t="s">
        <v>355</v>
      </c>
      <c r="P15574" s="5" t="s">
        <v>355</v>
      </c>
      <c r="Q15574" s="5" t="s">
        <v>355</v>
      </c>
    </row>
    <row r="15575" ht="16.5" customHeight="1">
      <c r="O15575" s="5" t="s">
        <v>355</v>
      </c>
      <c r="P15575" s="5" t="s">
        <v>355</v>
      </c>
      <c r="Q15575" s="5" t="s">
        <v>355</v>
      </c>
    </row>
    <row r="15576" ht="16.5" customHeight="1">
      <c r="O15576" s="5" t="s">
        <v>355</v>
      </c>
      <c r="P15576" s="5" t="s">
        <v>355</v>
      </c>
      <c r="Q15576" s="5" t="s">
        <v>355</v>
      </c>
    </row>
    <row r="15577" ht="16.5" customHeight="1">
      <c r="O15577" s="5" t="s">
        <v>355</v>
      </c>
      <c r="P15577" s="5" t="s">
        <v>355</v>
      </c>
      <c r="Q15577" s="5" t="s">
        <v>355</v>
      </c>
    </row>
    <row r="15578" ht="16.5" customHeight="1">
      <c r="O15578" s="5" t="s">
        <v>355</v>
      </c>
      <c r="P15578" s="5" t="s">
        <v>355</v>
      </c>
      <c r="Q15578" s="5" t="s">
        <v>355</v>
      </c>
    </row>
    <row r="15579" ht="16.5" customHeight="1">
      <c r="O15579" s="5" t="s">
        <v>355</v>
      </c>
      <c r="P15579" s="5" t="s">
        <v>355</v>
      </c>
      <c r="Q15579" s="5" t="s">
        <v>355</v>
      </c>
    </row>
    <row r="15580" ht="16.5" customHeight="1">
      <c r="O15580" s="5" t="s">
        <v>355</v>
      </c>
      <c r="P15580" s="5" t="s">
        <v>355</v>
      </c>
      <c r="Q15580" s="5" t="s">
        <v>355</v>
      </c>
    </row>
    <row r="15581" ht="16.5" customHeight="1">
      <c r="O15581" s="5" t="s">
        <v>355</v>
      </c>
      <c r="P15581" s="5" t="s">
        <v>355</v>
      </c>
      <c r="Q15581" s="5" t="s">
        <v>355</v>
      </c>
    </row>
    <row r="15582" ht="16.5" customHeight="1">
      <c r="O15582" s="5" t="s">
        <v>355</v>
      </c>
      <c r="P15582" s="5" t="s">
        <v>355</v>
      </c>
      <c r="Q15582" s="5" t="s">
        <v>355</v>
      </c>
    </row>
    <row r="15583" ht="16.5" customHeight="1">
      <c r="O15583" s="5" t="s">
        <v>355</v>
      </c>
      <c r="P15583" s="5" t="s">
        <v>355</v>
      </c>
      <c r="Q15583" s="5" t="s">
        <v>355</v>
      </c>
    </row>
    <row r="15584" ht="16.5" customHeight="1">
      <c r="O15584" s="5" t="s">
        <v>355</v>
      </c>
      <c r="P15584" s="5" t="s">
        <v>355</v>
      </c>
      <c r="Q15584" s="5" t="s">
        <v>355</v>
      </c>
    </row>
    <row r="15585" ht="16.5" customHeight="1">
      <c r="O15585" s="5" t="s">
        <v>355</v>
      </c>
      <c r="P15585" s="5" t="s">
        <v>355</v>
      </c>
      <c r="Q15585" s="5" t="s">
        <v>355</v>
      </c>
    </row>
    <row r="15586" ht="16.5" customHeight="1">
      <c r="O15586" s="5" t="s">
        <v>355</v>
      </c>
      <c r="P15586" s="5" t="s">
        <v>355</v>
      </c>
      <c r="Q15586" s="5" t="s">
        <v>355</v>
      </c>
    </row>
    <row r="15587" ht="16.5" customHeight="1">
      <c r="O15587" s="5" t="s">
        <v>355</v>
      </c>
      <c r="P15587" s="5" t="s">
        <v>355</v>
      </c>
      <c r="Q15587" s="5" t="s">
        <v>355</v>
      </c>
    </row>
    <row r="15588" ht="16.5" customHeight="1">
      <c r="O15588" s="5" t="s">
        <v>355</v>
      </c>
      <c r="P15588" s="5" t="s">
        <v>355</v>
      </c>
      <c r="Q15588" s="5" t="s">
        <v>355</v>
      </c>
    </row>
    <row r="15589" ht="16.5" customHeight="1">
      <c r="O15589" s="5" t="s">
        <v>355</v>
      </c>
      <c r="P15589" s="5" t="s">
        <v>355</v>
      </c>
      <c r="Q15589" s="5" t="s">
        <v>355</v>
      </c>
    </row>
    <row r="15590" ht="16.5" customHeight="1">
      <c r="O15590" s="5" t="s">
        <v>355</v>
      </c>
      <c r="P15590" s="5" t="s">
        <v>355</v>
      </c>
      <c r="Q15590" s="5" t="s">
        <v>355</v>
      </c>
    </row>
    <row r="15591" ht="16.5" customHeight="1">
      <c r="O15591" s="5" t="s">
        <v>355</v>
      </c>
      <c r="P15591" s="5" t="s">
        <v>355</v>
      </c>
      <c r="Q15591" s="5" t="s">
        <v>355</v>
      </c>
    </row>
    <row r="15592" ht="16.5" customHeight="1">
      <c r="O15592" s="5" t="s">
        <v>355</v>
      </c>
      <c r="P15592" s="5" t="s">
        <v>355</v>
      </c>
      <c r="Q15592" s="5" t="s">
        <v>355</v>
      </c>
    </row>
    <row r="15593" ht="16.5" customHeight="1">
      <c r="O15593" s="5" t="s">
        <v>355</v>
      </c>
      <c r="P15593" s="5" t="s">
        <v>355</v>
      </c>
      <c r="Q15593" s="5" t="s">
        <v>355</v>
      </c>
    </row>
    <row r="15594" ht="16.5" customHeight="1">
      <c r="O15594" s="5" t="s">
        <v>355</v>
      </c>
      <c r="P15594" s="5" t="s">
        <v>355</v>
      </c>
      <c r="Q15594" s="5" t="s">
        <v>355</v>
      </c>
    </row>
    <row r="15595" ht="16.5" customHeight="1">
      <c r="O15595" s="5" t="s">
        <v>355</v>
      </c>
      <c r="P15595" s="5" t="s">
        <v>355</v>
      </c>
      <c r="Q15595" s="5" t="s">
        <v>355</v>
      </c>
    </row>
    <row r="15596" ht="16.5" customHeight="1">
      <c r="O15596" s="5" t="s">
        <v>355</v>
      </c>
      <c r="P15596" s="5" t="s">
        <v>355</v>
      </c>
      <c r="Q15596" s="5" t="s">
        <v>355</v>
      </c>
    </row>
    <row r="15597" ht="16.5" customHeight="1">
      <c r="O15597" s="5" t="s">
        <v>355</v>
      </c>
      <c r="P15597" s="5" t="s">
        <v>355</v>
      </c>
      <c r="Q15597" s="5" t="s">
        <v>355</v>
      </c>
    </row>
    <row r="15598" ht="16.5" customHeight="1">
      <c r="O15598" s="5" t="s">
        <v>355</v>
      </c>
      <c r="P15598" s="5" t="s">
        <v>355</v>
      </c>
      <c r="Q15598" s="5" t="s">
        <v>355</v>
      </c>
    </row>
    <row r="15599" ht="16.5" customHeight="1">
      <c r="O15599" s="5" t="s">
        <v>355</v>
      </c>
      <c r="P15599" s="5" t="s">
        <v>355</v>
      </c>
      <c r="Q15599" s="5" t="s">
        <v>355</v>
      </c>
    </row>
    <row r="15600" ht="16.5" customHeight="1">
      <c r="O15600" s="5" t="s">
        <v>355</v>
      </c>
      <c r="P15600" s="5" t="s">
        <v>355</v>
      </c>
      <c r="Q15600" s="5" t="s">
        <v>355</v>
      </c>
    </row>
    <row r="15601" ht="16.5" customHeight="1">
      <c r="O15601" s="5" t="s">
        <v>355</v>
      </c>
      <c r="P15601" s="5" t="s">
        <v>355</v>
      </c>
      <c r="Q15601" s="5" t="s">
        <v>355</v>
      </c>
    </row>
    <row r="15602" ht="16.5" customHeight="1">
      <c r="O15602" s="5" t="s">
        <v>355</v>
      </c>
      <c r="P15602" s="5" t="s">
        <v>355</v>
      </c>
      <c r="Q15602" s="5" t="s">
        <v>355</v>
      </c>
    </row>
    <row r="15603" ht="16.5" customHeight="1">
      <c r="O15603" s="5" t="s">
        <v>355</v>
      </c>
      <c r="P15603" s="5" t="s">
        <v>355</v>
      </c>
      <c r="Q15603" s="5" t="s">
        <v>355</v>
      </c>
    </row>
    <row r="15604" ht="16.5" customHeight="1">
      <c r="O15604" s="5" t="s">
        <v>355</v>
      </c>
      <c r="P15604" s="5" t="s">
        <v>355</v>
      </c>
      <c r="Q15604" s="5" t="s">
        <v>355</v>
      </c>
    </row>
    <row r="15605" ht="16.5" customHeight="1">
      <c r="O15605" s="5" t="s">
        <v>355</v>
      </c>
      <c r="P15605" s="5" t="s">
        <v>355</v>
      </c>
      <c r="Q15605" s="5" t="s">
        <v>355</v>
      </c>
    </row>
    <row r="15606" ht="16.5" customHeight="1">
      <c r="O15606" s="5" t="s">
        <v>355</v>
      </c>
      <c r="P15606" s="5" t="s">
        <v>355</v>
      </c>
      <c r="Q15606" s="5" t="s">
        <v>355</v>
      </c>
    </row>
    <row r="15607" ht="16.5" customHeight="1">
      <c r="O15607" s="5" t="s">
        <v>355</v>
      </c>
      <c r="P15607" s="5" t="s">
        <v>355</v>
      </c>
      <c r="Q15607" s="5" t="s">
        <v>355</v>
      </c>
    </row>
    <row r="15608" ht="16.5" customHeight="1">
      <c r="O15608" s="5" t="s">
        <v>355</v>
      </c>
      <c r="P15608" s="5" t="s">
        <v>355</v>
      </c>
      <c r="Q15608" s="5" t="s">
        <v>355</v>
      </c>
    </row>
    <row r="15609" ht="16.5" customHeight="1">
      <c r="O15609" s="5" t="s">
        <v>355</v>
      </c>
      <c r="P15609" s="5" t="s">
        <v>355</v>
      </c>
      <c r="Q15609" s="5" t="s">
        <v>355</v>
      </c>
    </row>
    <row r="15610" ht="16.5" customHeight="1">
      <c r="O15610" s="5" t="s">
        <v>355</v>
      </c>
      <c r="P15610" s="5" t="s">
        <v>355</v>
      </c>
      <c r="Q15610" s="5" t="s">
        <v>355</v>
      </c>
    </row>
    <row r="15611" ht="16.5" customHeight="1">
      <c r="O15611" s="5" t="s">
        <v>355</v>
      </c>
      <c r="P15611" s="5" t="s">
        <v>355</v>
      </c>
      <c r="Q15611" s="5" t="s">
        <v>355</v>
      </c>
    </row>
    <row r="15612" ht="16.5" customHeight="1">
      <c r="O15612" s="5" t="s">
        <v>355</v>
      </c>
      <c r="P15612" s="5" t="s">
        <v>355</v>
      </c>
      <c r="Q15612" s="5" t="s">
        <v>355</v>
      </c>
    </row>
    <row r="15613" ht="16.5" customHeight="1">
      <c r="O15613" s="5" t="s">
        <v>355</v>
      </c>
      <c r="P15613" s="5" t="s">
        <v>355</v>
      </c>
      <c r="Q15613" s="5" t="s">
        <v>355</v>
      </c>
    </row>
    <row r="15614" ht="16.5" customHeight="1">
      <c r="O15614" s="5" t="s">
        <v>355</v>
      </c>
      <c r="P15614" s="5" t="s">
        <v>355</v>
      </c>
      <c r="Q15614" s="5" t="s">
        <v>355</v>
      </c>
    </row>
    <row r="15615" ht="16.5" customHeight="1">
      <c r="O15615" s="5" t="s">
        <v>355</v>
      </c>
      <c r="P15615" s="5" t="s">
        <v>355</v>
      </c>
      <c r="Q15615" s="5" t="s">
        <v>355</v>
      </c>
    </row>
    <row r="15616" ht="16.5" customHeight="1">
      <c r="O15616" s="5" t="s">
        <v>355</v>
      </c>
      <c r="P15616" s="5" t="s">
        <v>355</v>
      </c>
      <c r="Q15616" s="5" t="s">
        <v>355</v>
      </c>
    </row>
    <row r="15617" ht="16.5" customHeight="1">
      <c r="O15617" s="5" t="s">
        <v>355</v>
      </c>
      <c r="P15617" s="5" t="s">
        <v>355</v>
      </c>
      <c r="Q15617" s="5" t="s">
        <v>355</v>
      </c>
    </row>
    <row r="15618" ht="16.5" customHeight="1">
      <c r="O15618" s="5" t="s">
        <v>355</v>
      </c>
      <c r="P15618" s="5" t="s">
        <v>355</v>
      </c>
      <c r="Q15618" s="5" t="s">
        <v>355</v>
      </c>
    </row>
    <row r="15619" ht="16.5" customHeight="1">
      <c r="O15619" s="5" t="s">
        <v>355</v>
      </c>
      <c r="P15619" s="5" t="s">
        <v>355</v>
      </c>
      <c r="Q15619" s="5" t="s">
        <v>355</v>
      </c>
    </row>
    <row r="15620" ht="16.5" customHeight="1">
      <c r="O15620" s="5" t="s">
        <v>355</v>
      </c>
      <c r="P15620" s="5" t="s">
        <v>355</v>
      </c>
      <c r="Q15620" s="5" t="s">
        <v>355</v>
      </c>
    </row>
    <row r="15621" ht="16.5" customHeight="1">
      <c r="O15621" s="5" t="s">
        <v>355</v>
      </c>
      <c r="P15621" s="5" t="s">
        <v>355</v>
      </c>
      <c r="Q15621" s="5" t="s">
        <v>355</v>
      </c>
    </row>
    <row r="15622" ht="16.5" customHeight="1">
      <c r="O15622" s="5" t="s">
        <v>355</v>
      </c>
      <c r="P15622" s="5" t="s">
        <v>355</v>
      </c>
      <c r="Q15622" s="5" t="s">
        <v>355</v>
      </c>
    </row>
    <row r="15623" ht="16.5" customHeight="1">
      <c r="O15623" s="5" t="s">
        <v>355</v>
      </c>
      <c r="P15623" s="5" t="s">
        <v>355</v>
      </c>
      <c r="Q15623" s="5" t="s">
        <v>355</v>
      </c>
    </row>
    <row r="15624" ht="16.5" customHeight="1">
      <c r="O15624" s="5" t="s">
        <v>355</v>
      </c>
      <c r="P15624" s="5" t="s">
        <v>355</v>
      </c>
      <c r="Q15624" s="5" t="s">
        <v>355</v>
      </c>
    </row>
    <row r="15625" ht="16.5" customHeight="1">
      <c r="O15625" s="5" t="s">
        <v>355</v>
      </c>
      <c r="P15625" s="5" t="s">
        <v>355</v>
      </c>
      <c r="Q15625" s="5" t="s">
        <v>355</v>
      </c>
    </row>
    <row r="15626" ht="16.5" customHeight="1">
      <c r="O15626" s="5" t="s">
        <v>355</v>
      </c>
      <c r="P15626" s="5" t="s">
        <v>355</v>
      </c>
      <c r="Q15626" s="5" t="s">
        <v>355</v>
      </c>
    </row>
    <row r="15627" ht="16.5" customHeight="1">
      <c r="O15627" s="5" t="s">
        <v>355</v>
      </c>
      <c r="P15627" s="5" t="s">
        <v>355</v>
      </c>
      <c r="Q15627" s="5" t="s">
        <v>355</v>
      </c>
    </row>
    <row r="15628" ht="16.5" customHeight="1">
      <c r="O15628" s="5" t="s">
        <v>355</v>
      </c>
      <c r="P15628" s="5" t="s">
        <v>355</v>
      </c>
      <c r="Q15628" s="5" t="s">
        <v>355</v>
      </c>
    </row>
    <row r="15629" ht="16.5" customHeight="1">
      <c r="O15629" s="5" t="s">
        <v>355</v>
      </c>
      <c r="P15629" s="5" t="s">
        <v>355</v>
      </c>
      <c r="Q15629" s="5" t="s">
        <v>355</v>
      </c>
    </row>
    <row r="15630" ht="16.5" customHeight="1">
      <c r="O15630" s="5" t="s">
        <v>355</v>
      </c>
      <c r="P15630" s="5" t="s">
        <v>355</v>
      </c>
      <c r="Q15630" s="5" t="s">
        <v>355</v>
      </c>
    </row>
    <row r="15631" ht="16.5" customHeight="1">
      <c r="O15631" s="5" t="s">
        <v>355</v>
      </c>
      <c r="P15631" s="5" t="s">
        <v>355</v>
      </c>
      <c r="Q15631" s="5" t="s">
        <v>355</v>
      </c>
    </row>
    <row r="15632" ht="16.5" customHeight="1">
      <c r="O15632" s="5" t="s">
        <v>355</v>
      </c>
      <c r="P15632" s="5" t="s">
        <v>355</v>
      </c>
      <c r="Q15632" s="5" t="s">
        <v>355</v>
      </c>
    </row>
    <row r="15633" ht="16.5" customHeight="1">
      <c r="O15633" s="5" t="s">
        <v>355</v>
      </c>
      <c r="P15633" s="5" t="s">
        <v>355</v>
      </c>
      <c r="Q15633" s="5" t="s">
        <v>355</v>
      </c>
    </row>
    <row r="15634" ht="16.5" customHeight="1">
      <c r="O15634" s="5" t="s">
        <v>355</v>
      </c>
      <c r="P15634" s="5" t="s">
        <v>355</v>
      </c>
      <c r="Q15634" s="5" t="s">
        <v>355</v>
      </c>
    </row>
    <row r="15635" ht="16.5" customHeight="1">
      <c r="O15635" s="5" t="s">
        <v>355</v>
      </c>
      <c r="P15635" s="5" t="s">
        <v>355</v>
      </c>
      <c r="Q15635" s="5" t="s">
        <v>355</v>
      </c>
    </row>
    <row r="15636" ht="16.5" customHeight="1">
      <c r="O15636" s="5" t="s">
        <v>355</v>
      </c>
      <c r="P15636" s="5" t="s">
        <v>355</v>
      </c>
      <c r="Q15636" s="5" t="s">
        <v>355</v>
      </c>
    </row>
    <row r="15637" ht="16.5" customHeight="1">
      <c r="O15637" s="5" t="s">
        <v>355</v>
      </c>
      <c r="P15637" s="5" t="s">
        <v>355</v>
      </c>
      <c r="Q15637" s="5" t="s">
        <v>355</v>
      </c>
    </row>
    <row r="15638" ht="16.5" customHeight="1">
      <c r="O15638" s="5" t="s">
        <v>355</v>
      </c>
      <c r="P15638" s="5" t="s">
        <v>355</v>
      </c>
      <c r="Q15638" s="5" t="s">
        <v>355</v>
      </c>
    </row>
    <row r="15639" ht="16.5" customHeight="1">
      <c r="O15639" s="5" t="s">
        <v>355</v>
      </c>
      <c r="P15639" s="5" t="s">
        <v>355</v>
      </c>
      <c r="Q15639" s="5" t="s">
        <v>355</v>
      </c>
    </row>
    <row r="15640" ht="16.5" customHeight="1">
      <c r="O15640" s="5" t="s">
        <v>355</v>
      </c>
      <c r="P15640" s="5" t="s">
        <v>355</v>
      </c>
      <c r="Q15640" s="5" t="s">
        <v>355</v>
      </c>
    </row>
    <row r="15641" ht="16.5" customHeight="1">
      <c r="O15641" s="5" t="s">
        <v>355</v>
      </c>
      <c r="P15641" s="5" t="s">
        <v>355</v>
      </c>
      <c r="Q15641" s="5" t="s">
        <v>355</v>
      </c>
    </row>
    <row r="15642" ht="16.5" customHeight="1">
      <c r="O15642" s="5" t="s">
        <v>355</v>
      </c>
      <c r="P15642" s="5" t="s">
        <v>355</v>
      </c>
      <c r="Q15642" s="5" t="s">
        <v>355</v>
      </c>
    </row>
    <row r="15643" ht="16.5" customHeight="1">
      <c r="O15643" s="5" t="s">
        <v>355</v>
      </c>
      <c r="P15643" s="5" t="s">
        <v>355</v>
      </c>
      <c r="Q15643" s="5" t="s">
        <v>355</v>
      </c>
    </row>
    <row r="15644" ht="16.5" customHeight="1">
      <c r="O15644" s="5" t="s">
        <v>355</v>
      </c>
      <c r="P15644" s="5" t="s">
        <v>355</v>
      </c>
      <c r="Q15644" s="5" t="s">
        <v>355</v>
      </c>
    </row>
    <row r="15645" ht="16.5" customHeight="1">
      <c r="O15645" s="5" t="s">
        <v>355</v>
      </c>
      <c r="P15645" s="5" t="s">
        <v>355</v>
      </c>
      <c r="Q15645" s="5" t="s">
        <v>355</v>
      </c>
    </row>
    <row r="15646" ht="16.5" customHeight="1">
      <c r="O15646" s="5" t="s">
        <v>355</v>
      </c>
      <c r="P15646" s="5" t="s">
        <v>355</v>
      </c>
      <c r="Q15646" s="5" t="s">
        <v>355</v>
      </c>
    </row>
    <row r="15647" ht="16.5" customHeight="1">
      <c r="O15647" s="5" t="s">
        <v>355</v>
      </c>
      <c r="P15647" s="5" t="s">
        <v>355</v>
      </c>
      <c r="Q15647" s="5" t="s">
        <v>355</v>
      </c>
    </row>
    <row r="15648" ht="16.5" customHeight="1">
      <c r="O15648" s="5" t="s">
        <v>355</v>
      </c>
      <c r="P15648" s="5" t="s">
        <v>355</v>
      </c>
      <c r="Q15648" s="5" t="s">
        <v>355</v>
      </c>
    </row>
    <row r="15649" ht="16.5" customHeight="1">
      <c r="O15649" s="5" t="s">
        <v>355</v>
      </c>
      <c r="P15649" s="5" t="s">
        <v>355</v>
      </c>
      <c r="Q15649" s="5" t="s">
        <v>355</v>
      </c>
    </row>
    <row r="15650" ht="16.5" customHeight="1">
      <c r="O15650" s="5" t="s">
        <v>355</v>
      </c>
      <c r="P15650" s="5" t="s">
        <v>355</v>
      </c>
      <c r="Q15650" s="5" t="s">
        <v>355</v>
      </c>
    </row>
    <row r="15651" ht="16.5" customHeight="1">
      <c r="O15651" s="5" t="s">
        <v>355</v>
      </c>
      <c r="P15651" s="5" t="s">
        <v>355</v>
      </c>
      <c r="Q15651" s="5" t="s">
        <v>355</v>
      </c>
    </row>
    <row r="15652" ht="16.5" customHeight="1">
      <c r="O15652" s="5" t="s">
        <v>355</v>
      </c>
      <c r="P15652" s="5" t="s">
        <v>355</v>
      </c>
      <c r="Q15652" s="5" t="s">
        <v>355</v>
      </c>
    </row>
    <row r="15653" ht="16.5" customHeight="1">
      <c r="O15653" s="5" t="s">
        <v>355</v>
      </c>
      <c r="P15653" s="5" t="s">
        <v>355</v>
      </c>
      <c r="Q15653" s="5" t="s">
        <v>355</v>
      </c>
    </row>
    <row r="15654" ht="16.5" customHeight="1">
      <c r="O15654" s="5" t="s">
        <v>355</v>
      </c>
      <c r="P15654" s="5" t="s">
        <v>355</v>
      </c>
      <c r="Q15654" s="5" t="s">
        <v>355</v>
      </c>
    </row>
    <row r="15655" ht="16.5" customHeight="1">
      <c r="O15655" s="5" t="s">
        <v>355</v>
      </c>
      <c r="P15655" s="5" t="s">
        <v>355</v>
      </c>
      <c r="Q15655" s="5" t="s">
        <v>355</v>
      </c>
    </row>
    <row r="15656" ht="16.5" customHeight="1">
      <c r="O15656" s="5" t="s">
        <v>355</v>
      </c>
      <c r="P15656" s="5" t="s">
        <v>355</v>
      </c>
      <c r="Q15656" s="5" t="s">
        <v>355</v>
      </c>
    </row>
    <row r="15657" ht="16.5" customHeight="1">
      <c r="O15657" s="5" t="s">
        <v>355</v>
      </c>
      <c r="P15657" s="5" t="s">
        <v>355</v>
      </c>
      <c r="Q15657" s="5" t="s">
        <v>355</v>
      </c>
    </row>
    <row r="15658" ht="16.5" customHeight="1">
      <c r="O15658" s="5" t="s">
        <v>355</v>
      </c>
      <c r="P15658" s="5" t="s">
        <v>355</v>
      </c>
      <c r="Q15658" s="5" t="s">
        <v>355</v>
      </c>
    </row>
    <row r="15659" ht="16.5" customHeight="1">
      <c r="O15659" s="5" t="s">
        <v>355</v>
      </c>
      <c r="P15659" s="5" t="s">
        <v>355</v>
      </c>
      <c r="Q15659" s="5" t="s">
        <v>355</v>
      </c>
    </row>
    <row r="15660" ht="16.5" customHeight="1">
      <c r="O15660" s="5" t="s">
        <v>355</v>
      </c>
      <c r="P15660" s="5" t="s">
        <v>355</v>
      </c>
      <c r="Q15660" s="5" t="s">
        <v>355</v>
      </c>
    </row>
    <row r="15661" ht="16.5" customHeight="1">
      <c r="O15661" s="5" t="s">
        <v>355</v>
      </c>
      <c r="P15661" s="5" t="s">
        <v>355</v>
      </c>
      <c r="Q15661" s="5" t="s">
        <v>355</v>
      </c>
    </row>
    <row r="15662" ht="16.5" customHeight="1">
      <c r="O15662" s="5" t="s">
        <v>355</v>
      </c>
      <c r="P15662" s="5" t="s">
        <v>355</v>
      </c>
      <c r="Q15662" s="5" t="s">
        <v>355</v>
      </c>
    </row>
    <row r="15663" ht="16.5" customHeight="1">
      <c r="O15663" s="5" t="s">
        <v>355</v>
      </c>
      <c r="P15663" s="5" t="s">
        <v>355</v>
      </c>
      <c r="Q15663" s="5" t="s">
        <v>355</v>
      </c>
    </row>
    <row r="15664" ht="16.5" customHeight="1">
      <c r="O15664" s="5" t="s">
        <v>355</v>
      </c>
      <c r="P15664" s="5" t="s">
        <v>355</v>
      </c>
      <c r="Q15664" s="5" t="s">
        <v>355</v>
      </c>
    </row>
    <row r="15665" ht="16.5" customHeight="1">
      <c r="O15665" s="5" t="s">
        <v>355</v>
      </c>
      <c r="P15665" s="5" t="s">
        <v>355</v>
      </c>
      <c r="Q15665" s="5" t="s">
        <v>355</v>
      </c>
    </row>
    <row r="15666" ht="16.5" customHeight="1">
      <c r="O15666" s="5" t="s">
        <v>355</v>
      </c>
      <c r="P15666" s="5" t="s">
        <v>355</v>
      </c>
      <c r="Q15666" s="5" t="s">
        <v>355</v>
      </c>
    </row>
    <row r="15667" ht="16.5" customHeight="1">
      <c r="O15667" s="5" t="s">
        <v>355</v>
      </c>
      <c r="P15667" s="5" t="s">
        <v>355</v>
      </c>
      <c r="Q15667" s="5" t="s">
        <v>355</v>
      </c>
    </row>
    <row r="15668" ht="16.5" customHeight="1">
      <c r="O15668" s="5" t="s">
        <v>355</v>
      </c>
      <c r="P15668" s="5" t="s">
        <v>355</v>
      </c>
      <c r="Q15668" s="5" t="s">
        <v>355</v>
      </c>
    </row>
    <row r="15669" ht="16.5" customHeight="1">
      <c r="O15669" s="5" t="s">
        <v>355</v>
      </c>
      <c r="P15669" s="5" t="s">
        <v>355</v>
      </c>
      <c r="Q15669" s="5" t="s">
        <v>355</v>
      </c>
    </row>
    <row r="15670" ht="16.5" customHeight="1">
      <c r="O15670" s="5" t="s">
        <v>355</v>
      </c>
      <c r="P15670" s="5" t="s">
        <v>355</v>
      </c>
      <c r="Q15670" s="5" t="s">
        <v>355</v>
      </c>
    </row>
    <row r="15671" ht="16.5" customHeight="1">
      <c r="O15671" s="5" t="s">
        <v>355</v>
      </c>
      <c r="P15671" s="5" t="s">
        <v>355</v>
      </c>
      <c r="Q15671" s="5" t="s">
        <v>355</v>
      </c>
    </row>
    <row r="15672" ht="16.5" customHeight="1">
      <c r="O15672" s="5" t="s">
        <v>355</v>
      </c>
      <c r="P15672" s="5" t="s">
        <v>355</v>
      </c>
      <c r="Q15672" s="5" t="s">
        <v>355</v>
      </c>
    </row>
    <row r="15673" ht="16.5" customHeight="1">
      <c r="O15673" s="5" t="s">
        <v>355</v>
      </c>
      <c r="P15673" s="5" t="s">
        <v>355</v>
      </c>
      <c r="Q15673" s="5" t="s">
        <v>355</v>
      </c>
    </row>
    <row r="15674" ht="16.5" customHeight="1">
      <c r="O15674" s="5" t="s">
        <v>355</v>
      </c>
      <c r="P15674" s="5" t="s">
        <v>355</v>
      </c>
      <c r="Q15674" s="5" t="s">
        <v>355</v>
      </c>
    </row>
    <row r="15675" ht="16.5" customHeight="1">
      <c r="O15675" s="5" t="s">
        <v>355</v>
      </c>
      <c r="P15675" s="5" t="s">
        <v>355</v>
      </c>
      <c r="Q15675" s="5" t="s">
        <v>355</v>
      </c>
    </row>
    <row r="15676" ht="16.5" customHeight="1">
      <c r="O15676" s="5" t="s">
        <v>355</v>
      </c>
      <c r="P15676" s="5" t="s">
        <v>355</v>
      </c>
      <c r="Q15676" s="5" t="s">
        <v>355</v>
      </c>
    </row>
    <row r="15677" ht="16.5" customHeight="1">
      <c r="O15677" s="5" t="s">
        <v>355</v>
      </c>
      <c r="P15677" s="5" t="s">
        <v>355</v>
      </c>
      <c r="Q15677" s="5" t="s">
        <v>355</v>
      </c>
    </row>
    <row r="15678" ht="16.5" customHeight="1">
      <c r="O15678" s="5" t="s">
        <v>355</v>
      </c>
      <c r="P15678" s="5" t="s">
        <v>355</v>
      </c>
      <c r="Q15678" s="5" t="s">
        <v>355</v>
      </c>
    </row>
    <row r="15679" ht="16.5" customHeight="1">
      <c r="O15679" s="5" t="s">
        <v>355</v>
      </c>
      <c r="P15679" s="5" t="s">
        <v>355</v>
      </c>
      <c r="Q15679" s="5" t="s">
        <v>355</v>
      </c>
    </row>
    <row r="15680" ht="16.5" customHeight="1">
      <c r="O15680" s="5" t="s">
        <v>355</v>
      </c>
      <c r="P15680" s="5" t="s">
        <v>355</v>
      </c>
      <c r="Q15680" s="5" t="s">
        <v>355</v>
      </c>
    </row>
    <row r="15681" ht="16.5" customHeight="1">
      <c r="O15681" s="5" t="s">
        <v>355</v>
      </c>
      <c r="P15681" s="5" t="s">
        <v>355</v>
      </c>
      <c r="Q15681" s="5" t="s">
        <v>355</v>
      </c>
    </row>
    <row r="15682" ht="16.5" customHeight="1">
      <c r="O15682" s="5" t="s">
        <v>355</v>
      </c>
      <c r="P15682" s="5" t="s">
        <v>355</v>
      </c>
      <c r="Q15682" s="5" t="s">
        <v>355</v>
      </c>
    </row>
    <row r="15683" ht="16.5" customHeight="1">
      <c r="O15683" s="5" t="s">
        <v>355</v>
      </c>
      <c r="P15683" s="5" t="s">
        <v>355</v>
      </c>
      <c r="Q15683" s="5" t="s">
        <v>355</v>
      </c>
    </row>
    <row r="15684" ht="16.5" customHeight="1">
      <c r="O15684" s="5" t="s">
        <v>355</v>
      </c>
      <c r="P15684" s="5" t="s">
        <v>355</v>
      </c>
      <c r="Q15684" s="5" t="s">
        <v>355</v>
      </c>
    </row>
    <row r="15685" ht="16.5" customHeight="1">
      <c r="O15685" s="5" t="s">
        <v>355</v>
      </c>
      <c r="P15685" s="5" t="s">
        <v>355</v>
      </c>
      <c r="Q15685" s="5" t="s">
        <v>355</v>
      </c>
    </row>
    <row r="15686" ht="16.5" customHeight="1">
      <c r="O15686" s="5" t="s">
        <v>355</v>
      </c>
      <c r="P15686" s="5" t="s">
        <v>355</v>
      </c>
      <c r="Q15686" s="5" t="s">
        <v>355</v>
      </c>
    </row>
    <row r="15687" ht="16.5" customHeight="1">
      <c r="O15687" s="5" t="s">
        <v>355</v>
      </c>
      <c r="P15687" s="5" t="s">
        <v>355</v>
      </c>
      <c r="Q15687" s="5" t="s">
        <v>355</v>
      </c>
    </row>
    <row r="15688" ht="16.5" customHeight="1">
      <c r="O15688" s="5" t="s">
        <v>355</v>
      </c>
      <c r="P15688" s="5" t="s">
        <v>355</v>
      </c>
      <c r="Q15688" s="5" t="s">
        <v>355</v>
      </c>
    </row>
    <row r="15689" ht="16.5" customHeight="1">
      <c r="O15689" s="5" t="s">
        <v>355</v>
      </c>
      <c r="P15689" s="5" t="s">
        <v>355</v>
      </c>
      <c r="Q15689" s="5" t="s">
        <v>355</v>
      </c>
    </row>
    <row r="15690" ht="16.5" customHeight="1">
      <c r="O15690" s="5" t="s">
        <v>355</v>
      </c>
      <c r="P15690" s="5" t="s">
        <v>355</v>
      </c>
      <c r="Q15690" s="5" t="s">
        <v>355</v>
      </c>
    </row>
    <row r="15691" ht="16.5" customHeight="1">
      <c r="O15691" s="5" t="s">
        <v>355</v>
      </c>
      <c r="P15691" s="5" t="s">
        <v>355</v>
      </c>
      <c r="Q15691" s="5" t="s">
        <v>355</v>
      </c>
    </row>
    <row r="15692" ht="16.5" customHeight="1">
      <c r="O15692" s="5" t="s">
        <v>355</v>
      </c>
      <c r="P15692" s="5" t="s">
        <v>355</v>
      </c>
      <c r="Q15692" s="5" t="s">
        <v>355</v>
      </c>
    </row>
    <row r="15693" ht="16.5" customHeight="1">
      <c r="O15693" s="5" t="s">
        <v>355</v>
      </c>
      <c r="P15693" s="5" t="s">
        <v>355</v>
      </c>
      <c r="Q15693" s="5" t="s">
        <v>355</v>
      </c>
    </row>
    <row r="15694" ht="16.5" customHeight="1">
      <c r="O15694" s="5" t="s">
        <v>355</v>
      </c>
      <c r="P15694" s="5" t="s">
        <v>355</v>
      </c>
      <c r="Q15694" s="5" t="s">
        <v>355</v>
      </c>
    </row>
    <row r="15695" ht="16.5" customHeight="1">
      <c r="O15695" s="5" t="s">
        <v>355</v>
      </c>
      <c r="P15695" s="5" t="s">
        <v>355</v>
      </c>
      <c r="Q15695" s="5" t="s">
        <v>355</v>
      </c>
    </row>
    <row r="15696" ht="16.5" customHeight="1">
      <c r="O15696" s="5" t="s">
        <v>355</v>
      </c>
      <c r="P15696" s="5" t="s">
        <v>355</v>
      </c>
      <c r="Q15696" s="5" t="s">
        <v>355</v>
      </c>
    </row>
    <row r="15697" ht="16.5" customHeight="1">
      <c r="O15697" s="5" t="s">
        <v>355</v>
      </c>
      <c r="P15697" s="5" t="s">
        <v>355</v>
      </c>
      <c r="Q15697" s="5" t="s">
        <v>355</v>
      </c>
    </row>
    <row r="15698" ht="16.5" customHeight="1">
      <c r="O15698" s="5" t="s">
        <v>355</v>
      </c>
      <c r="P15698" s="5" t="s">
        <v>355</v>
      </c>
      <c r="Q15698" s="5" t="s">
        <v>355</v>
      </c>
    </row>
    <row r="15699" ht="16.5" customHeight="1">
      <c r="O15699" s="5" t="s">
        <v>355</v>
      </c>
      <c r="P15699" s="5" t="s">
        <v>355</v>
      </c>
      <c r="Q15699" s="5" t="s">
        <v>355</v>
      </c>
    </row>
    <row r="15700" ht="16.5" customHeight="1">
      <c r="O15700" s="5" t="s">
        <v>355</v>
      </c>
      <c r="P15700" s="5" t="s">
        <v>355</v>
      </c>
      <c r="Q15700" s="5" t="s">
        <v>355</v>
      </c>
    </row>
    <row r="15701" ht="16.5" customHeight="1">
      <c r="O15701" s="5" t="s">
        <v>355</v>
      </c>
      <c r="P15701" s="5" t="s">
        <v>355</v>
      </c>
      <c r="Q15701" s="5" t="s">
        <v>355</v>
      </c>
    </row>
    <row r="15702" ht="16.5" customHeight="1">
      <c r="O15702" s="5" t="s">
        <v>355</v>
      </c>
      <c r="P15702" s="5" t="s">
        <v>355</v>
      </c>
      <c r="Q15702" s="5" t="s">
        <v>355</v>
      </c>
    </row>
    <row r="15703" ht="16.5" customHeight="1">
      <c r="O15703" s="5" t="s">
        <v>355</v>
      </c>
      <c r="P15703" s="5" t="s">
        <v>355</v>
      </c>
      <c r="Q15703" s="5" t="s">
        <v>355</v>
      </c>
    </row>
    <row r="15704" ht="16.5" customHeight="1">
      <c r="O15704" s="5" t="s">
        <v>355</v>
      </c>
      <c r="P15704" s="5" t="s">
        <v>355</v>
      </c>
      <c r="Q15704" s="5" t="s">
        <v>355</v>
      </c>
    </row>
    <row r="15705" ht="16.5" customHeight="1">
      <c r="O15705" s="5" t="s">
        <v>355</v>
      </c>
      <c r="P15705" s="5" t="s">
        <v>355</v>
      </c>
      <c r="Q15705" s="5" t="s">
        <v>355</v>
      </c>
    </row>
    <row r="15706" ht="16.5" customHeight="1">
      <c r="O15706" s="5" t="s">
        <v>355</v>
      </c>
      <c r="P15706" s="5" t="s">
        <v>355</v>
      </c>
      <c r="Q15706" s="5" t="s">
        <v>355</v>
      </c>
    </row>
    <row r="15707" ht="16.5" customHeight="1">
      <c r="O15707" s="5" t="s">
        <v>355</v>
      </c>
      <c r="P15707" s="5" t="s">
        <v>355</v>
      </c>
      <c r="Q15707" s="5" t="s">
        <v>355</v>
      </c>
    </row>
    <row r="15708" ht="16.5" customHeight="1">
      <c r="O15708" s="5" t="s">
        <v>355</v>
      </c>
      <c r="P15708" s="5" t="s">
        <v>355</v>
      </c>
      <c r="Q15708" s="5" t="s">
        <v>355</v>
      </c>
    </row>
    <row r="15709" ht="16.5" customHeight="1">
      <c r="O15709" s="5" t="s">
        <v>355</v>
      </c>
      <c r="P15709" s="5" t="s">
        <v>355</v>
      </c>
      <c r="Q15709" s="5" t="s">
        <v>355</v>
      </c>
    </row>
    <row r="15710" ht="16.5" customHeight="1">
      <c r="O15710" s="5" t="s">
        <v>355</v>
      </c>
      <c r="P15710" s="5" t="s">
        <v>355</v>
      </c>
      <c r="Q15710" s="5" t="s">
        <v>355</v>
      </c>
    </row>
    <row r="15711" ht="16.5" customHeight="1">
      <c r="O15711" s="5" t="s">
        <v>355</v>
      </c>
      <c r="P15711" s="5" t="s">
        <v>355</v>
      </c>
      <c r="Q15711" s="5" t="s">
        <v>355</v>
      </c>
    </row>
    <row r="15712" ht="16.5" customHeight="1">
      <c r="O15712" s="5" t="s">
        <v>355</v>
      </c>
      <c r="P15712" s="5" t="s">
        <v>355</v>
      </c>
      <c r="Q15712" s="5" t="s">
        <v>355</v>
      </c>
    </row>
    <row r="15713" ht="16.5" customHeight="1">
      <c r="O15713" s="5" t="s">
        <v>355</v>
      </c>
      <c r="P15713" s="5" t="s">
        <v>355</v>
      </c>
      <c r="Q15713" s="5" t="s">
        <v>355</v>
      </c>
    </row>
    <row r="15714" ht="16.5" customHeight="1">
      <c r="O15714" s="5" t="s">
        <v>355</v>
      </c>
      <c r="P15714" s="5" t="s">
        <v>355</v>
      </c>
      <c r="Q15714" s="5" t="s">
        <v>355</v>
      </c>
    </row>
    <row r="15715" ht="16.5" customHeight="1">
      <c r="O15715" s="5" t="s">
        <v>355</v>
      </c>
      <c r="P15715" s="5" t="s">
        <v>355</v>
      </c>
      <c r="Q15715" s="5" t="s">
        <v>355</v>
      </c>
    </row>
    <row r="15716" ht="16.5" customHeight="1">
      <c r="O15716" s="5" t="s">
        <v>355</v>
      </c>
      <c r="P15716" s="5" t="s">
        <v>355</v>
      </c>
      <c r="Q15716" s="5" t="s">
        <v>355</v>
      </c>
    </row>
    <row r="15717" ht="16.5" customHeight="1">
      <c r="O15717" s="5" t="s">
        <v>355</v>
      </c>
      <c r="P15717" s="5" t="s">
        <v>355</v>
      </c>
      <c r="Q15717" s="5" t="s">
        <v>355</v>
      </c>
    </row>
    <row r="15718" ht="16.5" customHeight="1">
      <c r="O15718" s="5" t="s">
        <v>355</v>
      </c>
      <c r="P15718" s="5" t="s">
        <v>355</v>
      </c>
      <c r="Q15718" s="5" t="s">
        <v>355</v>
      </c>
    </row>
    <row r="15719" ht="16.5" customHeight="1">
      <c r="O15719" s="5" t="s">
        <v>355</v>
      </c>
      <c r="P15719" s="5" t="s">
        <v>355</v>
      </c>
      <c r="Q15719" s="5" t="s">
        <v>355</v>
      </c>
    </row>
    <row r="15720" ht="16.5" customHeight="1">
      <c r="O15720" s="5" t="s">
        <v>355</v>
      </c>
      <c r="P15720" s="5" t="s">
        <v>355</v>
      </c>
      <c r="Q15720" s="5" t="s">
        <v>355</v>
      </c>
    </row>
    <row r="15721" ht="16.5" customHeight="1">
      <c r="O15721" s="5" t="s">
        <v>355</v>
      </c>
      <c r="P15721" s="5" t="s">
        <v>355</v>
      </c>
      <c r="Q15721" s="5" t="s">
        <v>355</v>
      </c>
    </row>
    <row r="15722" ht="16.5" customHeight="1">
      <c r="O15722" s="5" t="s">
        <v>355</v>
      </c>
      <c r="P15722" s="5" t="s">
        <v>355</v>
      </c>
      <c r="Q15722" s="5" t="s">
        <v>355</v>
      </c>
    </row>
    <row r="15723" ht="16.5" customHeight="1">
      <c r="O15723" s="5" t="s">
        <v>355</v>
      </c>
      <c r="P15723" s="5" t="s">
        <v>355</v>
      </c>
      <c r="Q15723" s="5" t="s">
        <v>355</v>
      </c>
    </row>
    <row r="15724" ht="16.5" customHeight="1">
      <c r="O15724" s="5" t="s">
        <v>355</v>
      </c>
      <c r="P15724" s="5" t="s">
        <v>355</v>
      </c>
      <c r="Q15724" s="5" t="s">
        <v>355</v>
      </c>
    </row>
    <row r="15725" ht="16.5" customHeight="1">
      <c r="O15725" s="5" t="s">
        <v>355</v>
      </c>
      <c r="P15725" s="5" t="s">
        <v>355</v>
      </c>
      <c r="Q15725" s="5" t="s">
        <v>355</v>
      </c>
    </row>
    <row r="15726" ht="16.5" customHeight="1">
      <c r="O15726" s="5" t="s">
        <v>355</v>
      </c>
      <c r="P15726" s="5" t="s">
        <v>355</v>
      </c>
      <c r="Q15726" s="5" t="s">
        <v>355</v>
      </c>
    </row>
    <row r="15727" ht="16.5" customHeight="1">
      <c r="O15727" s="5" t="s">
        <v>355</v>
      </c>
      <c r="P15727" s="5" t="s">
        <v>355</v>
      </c>
      <c r="Q15727" s="5" t="s">
        <v>355</v>
      </c>
    </row>
    <row r="15728" ht="16.5" customHeight="1">
      <c r="O15728" s="5" t="s">
        <v>355</v>
      </c>
      <c r="P15728" s="5" t="s">
        <v>355</v>
      </c>
      <c r="Q15728" s="5" t="s">
        <v>355</v>
      </c>
    </row>
    <row r="15729" ht="16.5" customHeight="1">
      <c r="O15729" s="5" t="s">
        <v>355</v>
      </c>
      <c r="P15729" s="5" t="s">
        <v>355</v>
      </c>
      <c r="Q15729" s="5" t="s">
        <v>355</v>
      </c>
    </row>
    <row r="15730" ht="16.5" customHeight="1">
      <c r="O15730" s="5" t="s">
        <v>355</v>
      </c>
      <c r="P15730" s="5" t="s">
        <v>355</v>
      </c>
      <c r="Q15730" s="5" t="s">
        <v>355</v>
      </c>
    </row>
    <row r="15731" ht="16.5" customHeight="1">
      <c r="O15731" s="5" t="s">
        <v>355</v>
      </c>
      <c r="P15731" s="5" t="s">
        <v>355</v>
      </c>
      <c r="Q15731" s="5" t="s">
        <v>355</v>
      </c>
    </row>
    <row r="15732" ht="16.5" customHeight="1">
      <c r="O15732" s="5" t="s">
        <v>355</v>
      </c>
      <c r="P15732" s="5" t="s">
        <v>355</v>
      </c>
      <c r="Q15732" s="5" t="s">
        <v>355</v>
      </c>
    </row>
    <row r="15733" ht="16.5" customHeight="1">
      <c r="O15733" s="5" t="s">
        <v>355</v>
      </c>
      <c r="P15733" s="5" t="s">
        <v>355</v>
      </c>
      <c r="Q15733" s="5" t="s">
        <v>355</v>
      </c>
    </row>
    <row r="15734" ht="16.5" customHeight="1">
      <c r="O15734" s="5" t="s">
        <v>355</v>
      </c>
      <c r="P15734" s="5" t="s">
        <v>355</v>
      </c>
      <c r="Q15734" s="5" t="s">
        <v>355</v>
      </c>
    </row>
    <row r="15735" ht="16.5" customHeight="1">
      <c r="O15735" s="5" t="s">
        <v>355</v>
      </c>
      <c r="P15735" s="5" t="s">
        <v>355</v>
      </c>
      <c r="Q15735" s="5" t="s">
        <v>355</v>
      </c>
    </row>
    <row r="15736" ht="16.5" customHeight="1">
      <c r="O15736" s="5" t="s">
        <v>355</v>
      </c>
      <c r="P15736" s="5" t="s">
        <v>355</v>
      </c>
      <c r="Q15736" s="5" t="s">
        <v>355</v>
      </c>
    </row>
    <row r="15737" ht="16.5" customHeight="1">
      <c r="O15737" s="5" t="s">
        <v>355</v>
      </c>
      <c r="P15737" s="5" t="s">
        <v>355</v>
      </c>
      <c r="Q15737" s="5" t="s">
        <v>355</v>
      </c>
    </row>
    <row r="15738" ht="16.5" customHeight="1">
      <c r="O15738" s="5" t="s">
        <v>355</v>
      </c>
      <c r="P15738" s="5" t="s">
        <v>355</v>
      </c>
      <c r="Q15738" s="5" t="s">
        <v>355</v>
      </c>
    </row>
    <row r="15739" ht="16.5" customHeight="1">
      <c r="O15739" s="5" t="s">
        <v>355</v>
      </c>
      <c r="P15739" s="5" t="s">
        <v>355</v>
      </c>
      <c r="Q15739" s="5" t="s">
        <v>355</v>
      </c>
    </row>
    <row r="15740" ht="16.5" customHeight="1">
      <c r="O15740" s="5" t="s">
        <v>355</v>
      </c>
      <c r="P15740" s="5" t="s">
        <v>355</v>
      </c>
      <c r="Q15740" s="5" t="s">
        <v>355</v>
      </c>
    </row>
    <row r="15741" ht="16.5" customHeight="1">
      <c r="O15741" s="5" t="s">
        <v>355</v>
      </c>
      <c r="P15741" s="5" t="s">
        <v>355</v>
      </c>
      <c r="Q15741" s="5" t="s">
        <v>355</v>
      </c>
    </row>
    <row r="15742" ht="16.5" customHeight="1">
      <c r="O15742" s="5" t="s">
        <v>355</v>
      </c>
      <c r="P15742" s="5" t="s">
        <v>355</v>
      </c>
      <c r="Q15742" s="5" t="s">
        <v>355</v>
      </c>
    </row>
    <row r="15743" ht="16.5" customHeight="1">
      <c r="O15743" s="5" t="s">
        <v>355</v>
      </c>
      <c r="P15743" s="5" t="s">
        <v>355</v>
      </c>
      <c r="Q15743" s="5" t="s">
        <v>355</v>
      </c>
    </row>
    <row r="15744" ht="16.5" customHeight="1">
      <c r="O15744" s="5" t="s">
        <v>355</v>
      </c>
      <c r="P15744" s="5" t="s">
        <v>355</v>
      </c>
      <c r="Q15744" s="5" t="s">
        <v>355</v>
      </c>
    </row>
    <row r="15745" ht="16.5" customHeight="1">
      <c r="O15745" s="5" t="s">
        <v>355</v>
      </c>
      <c r="P15745" s="5" t="s">
        <v>355</v>
      </c>
      <c r="Q15745" s="5" t="s">
        <v>355</v>
      </c>
    </row>
    <row r="15746" ht="16.5" customHeight="1">
      <c r="O15746" s="5" t="s">
        <v>355</v>
      </c>
      <c r="P15746" s="5" t="s">
        <v>355</v>
      </c>
      <c r="Q15746" s="5" t="s">
        <v>355</v>
      </c>
    </row>
    <row r="15747" ht="16.5" customHeight="1">
      <c r="O15747" s="5" t="s">
        <v>355</v>
      </c>
      <c r="P15747" s="5" t="s">
        <v>355</v>
      </c>
      <c r="Q15747" s="5" t="s">
        <v>355</v>
      </c>
    </row>
    <row r="15748" ht="16.5" customHeight="1">
      <c r="O15748" s="5" t="s">
        <v>355</v>
      </c>
      <c r="P15748" s="5" t="s">
        <v>355</v>
      </c>
      <c r="Q15748" s="5" t="s">
        <v>355</v>
      </c>
    </row>
    <row r="15749" ht="16.5" customHeight="1">
      <c r="O15749" s="5" t="s">
        <v>355</v>
      </c>
      <c r="P15749" s="5" t="s">
        <v>355</v>
      </c>
      <c r="Q15749" s="5" t="s">
        <v>355</v>
      </c>
    </row>
    <row r="15750" ht="16.5" customHeight="1">
      <c r="O15750" s="5" t="s">
        <v>355</v>
      </c>
      <c r="P15750" s="5" t="s">
        <v>355</v>
      </c>
      <c r="Q15750" s="5" t="s">
        <v>355</v>
      </c>
    </row>
    <row r="15751" ht="16.5" customHeight="1">
      <c r="O15751" s="5" t="s">
        <v>355</v>
      </c>
      <c r="P15751" s="5" t="s">
        <v>355</v>
      </c>
      <c r="Q15751" s="5" t="s">
        <v>355</v>
      </c>
    </row>
    <row r="15752" ht="16.5" customHeight="1">
      <c r="O15752" s="5" t="s">
        <v>355</v>
      </c>
      <c r="P15752" s="5" t="s">
        <v>355</v>
      </c>
      <c r="Q15752" s="5" t="s">
        <v>355</v>
      </c>
    </row>
    <row r="15753" ht="16.5" customHeight="1">
      <c r="O15753" s="5" t="s">
        <v>355</v>
      </c>
      <c r="P15753" s="5" t="s">
        <v>355</v>
      </c>
      <c r="Q15753" s="5" t="s">
        <v>355</v>
      </c>
    </row>
    <row r="15754" ht="16.5" customHeight="1">
      <c r="O15754" s="5" t="s">
        <v>355</v>
      </c>
      <c r="P15754" s="5" t="s">
        <v>355</v>
      </c>
      <c r="Q15754" s="5" t="s">
        <v>355</v>
      </c>
    </row>
    <row r="15755" ht="16.5" customHeight="1">
      <c r="O15755" s="5" t="s">
        <v>355</v>
      </c>
      <c r="P15755" s="5" t="s">
        <v>355</v>
      </c>
      <c r="Q15755" s="5" t="s">
        <v>355</v>
      </c>
    </row>
    <row r="15756" ht="16.5" customHeight="1">
      <c r="O15756" s="5" t="s">
        <v>355</v>
      </c>
      <c r="P15756" s="5" t="s">
        <v>355</v>
      </c>
      <c r="Q15756" s="5" t="s">
        <v>355</v>
      </c>
    </row>
    <row r="15757" ht="16.5" customHeight="1">
      <c r="O15757" s="5" t="s">
        <v>355</v>
      </c>
      <c r="P15757" s="5" t="s">
        <v>355</v>
      </c>
      <c r="Q15757" s="5" t="s">
        <v>355</v>
      </c>
    </row>
    <row r="15758" ht="16.5" customHeight="1">
      <c r="O15758" s="5" t="s">
        <v>355</v>
      </c>
      <c r="P15758" s="5" t="s">
        <v>355</v>
      </c>
      <c r="Q15758" s="5" t="s">
        <v>355</v>
      </c>
    </row>
    <row r="15759" ht="16.5" customHeight="1">
      <c r="O15759" s="5" t="s">
        <v>355</v>
      </c>
      <c r="P15759" s="5" t="s">
        <v>355</v>
      </c>
      <c r="Q15759" s="5" t="s">
        <v>355</v>
      </c>
    </row>
    <row r="15760" ht="16.5" customHeight="1">
      <c r="O15760" s="5" t="s">
        <v>355</v>
      </c>
      <c r="P15760" s="5" t="s">
        <v>355</v>
      </c>
      <c r="Q15760" s="5" t="s">
        <v>355</v>
      </c>
    </row>
    <row r="15761" ht="16.5" customHeight="1">
      <c r="O15761" s="5" t="s">
        <v>355</v>
      </c>
      <c r="P15761" s="5" t="s">
        <v>355</v>
      </c>
      <c r="Q15761" s="5" t="s">
        <v>355</v>
      </c>
    </row>
    <row r="15762" ht="16.5" customHeight="1">
      <c r="O15762" s="5" t="s">
        <v>355</v>
      </c>
      <c r="P15762" s="5" t="s">
        <v>355</v>
      </c>
      <c r="Q15762" s="5" t="s">
        <v>355</v>
      </c>
    </row>
    <row r="15763" ht="16.5" customHeight="1">
      <c r="O15763" s="5" t="s">
        <v>355</v>
      </c>
      <c r="P15763" s="5" t="s">
        <v>355</v>
      </c>
      <c r="Q15763" s="5" t="s">
        <v>355</v>
      </c>
    </row>
    <row r="15764" ht="16.5" customHeight="1">
      <c r="O15764" s="5" t="s">
        <v>355</v>
      </c>
      <c r="P15764" s="5" t="s">
        <v>355</v>
      </c>
      <c r="Q15764" s="5" t="s">
        <v>355</v>
      </c>
    </row>
    <row r="15765" ht="16.5" customHeight="1">
      <c r="O15765" s="5" t="s">
        <v>355</v>
      </c>
      <c r="P15765" s="5" t="s">
        <v>355</v>
      </c>
      <c r="Q15765" s="5" t="s">
        <v>355</v>
      </c>
    </row>
    <row r="15766" ht="16.5" customHeight="1">
      <c r="O15766" s="5" t="s">
        <v>355</v>
      </c>
      <c r="P15766" s="5" t="s">
        <v>355</v>
      </c>
      <c r="Q15766" s="5" t="s">
        <v>355</v>
      </c>
    </row>
    <row r="15767" ht="16.5" customHeight="1">
      <c r="O15767" s="5" t="s">
        <v>355</v>
      </c>
      <c r="P15767" s="5" t="s">
        <v>355</v>
      </c>
      <c r="Q15767" s="5" t="s">
        <v>355</v>
      </c>
    </row>
    <row r="15768" ht="16.5" customHeight="1">
      <c r="O15768" s="5" t="s">
        <v>355</v>
      </c>
      <c r="P15768" s="5" t="s">
        <v>355</v>
      </c>
      <c r="Q15768" s="5" t="s">
        <v>355</v>
      </c>
    </row>
    <row r="15769" ht="16.5" customHeight="1">
      <c r="O15769" s="5" t="s">
        <v>355</v>
      </c>
      <c r="P15769" s="5" t="s">
        <v>355</v>
      </c>
      <c r="Q15769" s="5" t="s">
        <v>355</v>
      </c>
    </row>
    <row r="15770" ht="16.5" customHeight="1">
      <c r="O15770" s="5" t="s">
        <v>355</v>
      </c>
      <c r="P15770" s="5" t="s">
        <v>355</v>
      </c>
      <c r="Q15770" s="5" t="s">
        <v>355</v>
      </c>
    </row>
    <row r="15771" ht="16.5" customHeight="1">
      <c r="O15771" s="5" t="s">
        <v>355</v>
      </c>
      <c r="P15771" s="5" t="s">
        <v>355</v>
      </c>
      <c r="Q15771" s="5" t="s">
        <v>355</v>
      </c>
    </row>
    <row r="15772" ht="16.5" customHeight="1">
      <c r="O15772" s="5" t="s">
        <v>355</v>
      </c>
      <c r="P15772" s="5" t="s">
        <v>355</v>
      </c>
      <c r="Q15772" s="5" t="s">
        <v>355</v>
      </c>
    </row>
    <row r="15773" ht="16.5" customHeight="1">
      <c r="O15773" s="5" t="s">
        <v>355</v>
      </c>
      <c r="P15773" s="5" t="s">
        <v>355</v>
      </c>
      <c r="Q15773" s="5" t="s">
        <v>355</v>
      </c>
    </row>
    <row r="15774" ht="16.5" customHeight="1">
      <c r="O15774" s="5" t="s">
        <v>355</v>
      </c>
      <c r="P15774" s="5" t="s">
        <v>355</v>
      </c>
      <c r="Q15774" s="5" t="s">
        <v>355</v>
      </c>
    </row>
    <row r="15775" ht="16.5" customHeight="1">
      <c r="O15775" s="5" t="s">
        <v>355</v>
      </c>
      <c r="P15775" s="5" t="s">
        <v>355</v>
      </c>
      <c r="Q15775" s="5" t="s">
        <v>355</v>
      </c>
    </row>
    <row r="15776" ht="16.5" customHeight="1">
      <c r="O15776" s="5" t="s">
        <v>355</v>
      </c>
      <c r="P15776" s="5" t="s">
        <v>355</v>
      </c>
      <c r="Q15776" s="5" t="s">
        <v>355</v>
      </c>
    </row>
    <row r="15777" ht="16.5" customHeight="1">
      <c r="O15777" s="5" t="s">
        <v>355</v>
      </c>
      <c r="P15777" s="5" t="s">
        <v>355</v>
      </c>
      <c r="Q15777" s="5" t="s">
        <v>355</v>
      </c>
    </row>
    <row r="15778" ht="16.5" customHeight="1">
      <c r="O15778" s="5" t="s">
        <v>355</v>
      </c>
      <c r="P15778" s="5" t="s">
        <v>355</v>
      </c>
      <c r="Q15778" s="5" t="s">
        <v>355</v>
      </c>
    </row>
    <row r="15779" ht="16.5" customHeight="1">
      <c r="O15779" s="5" t="s">
        <v>355</v>
      </c>
      <c r="P15779" s="5" t="s">
        <v>355</v>
      </c>
      <c r="Q15779" s="5" t="s">
        <v>355</v>
      </c>
    </row>
    <row r="15780" ht="16.5" customHeight="1">
      <c r="O15780" s="5" t="s">
        <v>355</v>
      </c>
      <c r="P15780" s="5" t="s">
        <v>355</v>
      </c>
      <c r="Q15780" s="5" t="s">
        <v>355</v>
      </c>
    </row>
    <row r="15781" ht="16.5" customHeight="1">
      <c r="O15781" s="5" t="s">
        <v>355</v>
      </c>
      <c r="P15781" s="5" t="s">
        <v>355</v>
      </c>
      <c r="Q15781" s="5" t="s">
        <v>355</v>
      </c>
    </row>
    <row r="15782" ht="16.5" customHeight="1">
      <c r="O15782" s="5" t="s">
        <v>355</v>
      </c>
      <c r="P15782" s="5" t="s">
        <v>355</v>
      </c>
      <c r="Q15782" s="5" t="s">
        <v>355</v>
      </c>
    </row>
    <row r="15783" ht="16.5" customHeight="1">
      <c r="O15783" s="5" t="s">
        <v>355</v>
      </c>
      <c r="P15783" s="5" t="s">
        <v>355</v>
      </c>
      <c r="Q15783" s="5" t="s">
        <v>355</v>
      </c>
    </row>
    <row r="15784" ht="16.5" customHeight="1">
      <c r="O15784" s="5" t="s">
        <v>355</v>
      </c>
      <c r="P15784" s="5" t="s">
        <v>355</v>
      </c>
      <c r="Q15784" s="5" t="s">
        <v>355</v>
      </c>
    </row>
    <row r="15785" ht="16.5" customHeight="1">
      <c r="O15785" s="5" t="s">
        <v>355</v>
      </c>
      <c r="P15785" s="5" t="s">
        <v>355</v>
      </c>
      <c r="Q15785" s="5" t="s">
        <v>355</v>
      </c>
    </row>
    <row r="15786" ht="16.5" customHeight="1">
      <c r="O15786" s="5" t="s">
        <v>355</v>
      </c>
      <c r="P15786" s="5" t="s">
        <v>355</v>
      </c>
      <c r="Q15786" s="5" t="s">
        <v>355</v>
      </c>
    </row>
    <row r="15787" ht="16.5" customHeight="1">
      <c r="O15787" s="5" t="s">
        <v>355</v>
      </c>
      <c r="P15787" s="5" t="s">
        <v>355</v>
      </c>
      <c r="Q15787" s="5" t="s">
        <v>355</v>
      </c>
    </row>
    <row r="15788" ht="16.5" customHeight="1">
      <c r="O15788" s="5" t="s">
        <v>355</v>
      </c>
      <c r="P15788" s="5" t="s">
        <v>355</v>
      </c>
      <c r="Q15788" s="5" t="s">
        <v>355</v>
      </c>
    </row>
    <row r="15789" ht="16.5" customHeight="1">
      <c r="O15789" s="5" t="s">
        <v>355</v>
      </c>
      <c r="P15789" s="5" t="s">
        <v>355</v>
      </c>
      <c r="Q15789" s="5" t="s">
        <v>355</v>
      </c>
    </row>
    <row r="15790" ht="16.5" customHeight="1">
      <c r="O15790" s="5" t="s">
        <v>355</v>
      </c>
      <c r="P15790" s="5" t="s">
        <v>355</v>
      </c>
      <c r="Q15790" s="5" t="s">
        <v>355</v>
      </c>
    </row>
    <row r="15791" ht="16.5" customHeight="1">
      <c r="O15791" s="5" t="s">
        <v>355</v>
      </c>
      <c r="P15791" s="5" t="s">
        <v>355</v>
      </c>
      <c r="Q15791" s="5" t="s">
        <v>355</v>
      </c>
    </row>
    <row r="15792" ht="16.5" customHeight="1">
      <c r="O15792" s="5" t="s">
        <v>355</v>
      </c>
      <c r="P15792" s="5" t="s">
        <v>355</v>
      </c>
      <c r="Q15792" s="5" t="s">
        <v>355</v>
      </c>
    </row>
    <row r="15793" ht="16.5" customHeight="1">
      <c r="O15793" s="5" t="s">
        <v>355</v>
      </c>
      <c r="P15793" s="5" t="s">
        <v>355</v>
      </c>
      <c r="Q15793" s="5" t="s">
        <v>355</v>
      </c>
    </row>
    <row r="15794" ht="16.5" customHeight="1">
      <c r="O15794" s="5" t="s">
        <v>355</v>
      </c>
      <c r="P15794" s="5" t="s">
        <v>355</v>
      </c>
      <c r="Q15794" s="5" t="s">
        <v>355</v>
      </c>
    </row>
    <row r="15795" ht="16.5" customHeight="1">
      <c r="O15795" s="5" t="s">
        <v>355</v>
      </c>
      <c r="P15795" s="5" t="s">
        <v>355</v>
      </c>
      <c r="Q15795" s="5" t="s">
        <v>355</v>
      </c>
    </row>
    <row r="15796" ht="16.5" customHeight="1">
      <c r="O15796" s="5" t="s">
        <v>355</v>
      </c>
      <c r="P15796" s="5" t="s">
        <v>355</v>
      </c>
      <c r="Q15796" s="5" t="s">
        <v>355</v>
      </c>
    </row>
    <row r="15797" ht="16.5" customHeight="1">
      <c r="O15797" s="5" t="s">
        <v>355</v>
      </c>
      <c r="P15797" s="5" t="s">
        <v>355</v>
      </c>
      <c r="Q15797" s="5" t="s">
        <v>355</v>
      </c>
    </row>
    <row r="15798" ht="16.5" customHeight="1">
      <c r="O15798" s="5" t="s">
        <v>355</v>
      </c>
      <c r="P15798" s="5" t="s">
        <v>355</v>
      </c>
      <c r="Q15798" s="5" t="s">
        <v>355</v>
      </c>
    </row>
    <row r="15799" ht="16.5" customHeight="1">
      <c r="O15799" s="5" t="s">
        <v>355</v>
      </c>
      <c r="P15799" s="5" t="s">
        <v>355</v>
      </c>
      <c r="Q15799" s="5" t="s">
        <v>355</v>
      </c>
    </row>
    <row r="15800" ht="16.5" customHeight="1">
      <c r="O15800" s="5" t="s">
        <v>355</v>
      </c>
      <c r="P15800" s="5" t="s">
        <v>355</v>
      </c>
      <c r="Q15800" s="5" t="s">
        <v>355</v>
      </c>
    </row>
    <row r="15801" ht="16.5" customHeight="1">
      <c r="O15801" s="5" t="s">
        <v>355</v>
      </c>
      <c r="P15801" s="5" t="s">
        <v>355</v>
      </c>
      <c r="Q15801" s="5" t="s">
        <v>355</v>
      </c>
    </row>
    <row r="15802" ht="16.5" customHeight="1">
      <c r="O15802" s="5" t="s">
        <v>355</v>
      </c>
      <c r="P15802" s="5" t="s">
        <v>355</v>
      </c>
      <c r="Q15802" s="5" t="s">
        <v>355</v>
      </c>
    </row>
    <row r="15803" ht="16.5" customHeight="1">
      <c r="O15803" s="5" t="s">
        <v>355</v>
      </c>
      <c r="P15803" s="5" t="s">
        <v>355</v>
      </c>
      <c r="Q15803" s="5" t="s">
        <v>355</v>
      </c>
    </row>
    <row r="15804" ht="16.5" customHeight="1">
      <c r="O15804" s="5" t="s">
        <v>355</v>
      </c>
      <c r="P15804" s="5" t="s">
        <v>355</v>
      </c>
      <c r="Q15804" s="5" t="s">
        <v>355</v>
      </c>
    </row>
    <row r="15805" ht="16.5" customHeight="1">
      <c r="O15805" s="5" t="s">
        <v>355</v>
      </c>
      <c r="P15805" s="5" t="s">
        <v>355</v>
      </c>
      <c r="Q15805" s="5" t="s">
        <v>355</v>
      </c>
    </row>
    <row r="15806" ht="16.5" customHeight="1">
      <c r="O15806" s="5" t="s">
        <v>355</v>
      </c>
      <c r="P15806" s="5" t="s">
        <v>355</v>
      </c>
      <c r="Q15806" s="5" t="s">
        <v>355</v>
      </c>
    </row>
    <row r="15807" ht="16.5" customHeight="1">
      <c r="O15807" s="5" t="s">
        <v>355</v>
      </c>
      <c r="P15807" s="5" t="s">
        <v>355</v>
      </c>
      <c r="Q15807" s="5" t="s">
        <v>355</v>
      </c>
    </row>
    <row r="15808" ht="16.5" customHeight="1">
      <c r="O15808" s="5" t="s">
        <v>355</v>
      </c>
      <c r="P15808" s="5" t="s">
        <v>355</v>
      </c>
      <c r="Q15808" s="5" t="s">
        <v>355</v>
      </c>
    </row>
    <row r="15809" ht="16.5" customHeight="1">
      <c r="O15809" s="5" t="s">
        <v>355</v>
      </c>
      <c r="P15809" s="5" t="s">
        <v>355</v>
      </c>
      <c r="Q15809" s="5" t="s">
        <v>355</v>
      </c>
    </row>
    <row r="15810" ht="16.5" customHeight="1">
      <c r="O15810" s="5" t="s">
        <v>355</v>
      </c>
      <c r="P15810" s="5" t="s">
        <v>355</v>
      </c>
      <c r="Q15810" s="5" t="s">
        <v>355</v>
      </c>
    </row>
    <row r="15811" ht="16.5" customHeight="1">
      <c r="O15811" s="5" t="s">
        <v>355</v>
      </c>
      <c r="P15811" s="5" t="s">
        <v>355</v>
      </c>
      <c r="Q15811" s="5" t="s">
        <v>355</v>
      </c>
    </row>
    <row r="15812" ht="16.5" customHeight="1">
      <c r="O15812" s="5" t="s">
        <v>355</v>
      </c>
      <c r="P15812" s="5" t="s">
        <v>355</v>
      </c>
      <c r="Q15812" s="5" t="s">
        <v>355</v>
      </c>
    </row>
    <row r="15813" ht="16.5" customHeight="1">
      <c r="O15813" s="5" t="s">
        <v>355</v>
      </c>
      <c r="P15813" s="5" t="s">
        <v>355</v>
      </c>
      <c r="Q15813" s="5" t="s">
        <v>355</v>
      </c>
    </row>
    <row r="15814" ht="16.5" customHeight="1">
      <c r="O15814" s="5" t="s">
        <v>355</v>
      </c>
      <c r="P15814" s="5" t="s">
        <v>355</v>
      </c>
      <c r="Q15814" s="5" t="s">
        <v>355</v>
      </c>
    </row>
    <row r="15815" ht="16.5" customHeight="1">
      <c r="O15815" s="5" t="s">
        <v>355</v>
      </c>
      <c r="P15815" s="5" t="s">
        <v>355</v>
      </c>
      <c r="Q15815" s="5" t="s">
        <v>355</v>
      </c>
    </row>
    <row r="15816" ht="16.5" customHeight="1">
      <c r="O15816" s="5" t="s">
        <v>355</v>
      </c>
      <c r="P15816" s="5" t="s">
        <v>355</v>
      </c>
      <c r="Q15816" s="5" t="s">
        <v>355</v>
      </c>
    </row>
    <row r="15817" ht="16.5" customHeight="1">
      <c r="O15817" s="5" t="s">
        <v>355</v>
      </c>
      <c r="P15817" s="5" t="s">
        <v>355</v>
      </c>
      <c r="Q15817" s="5" t="s">
        <v>355</v>
      </c>
    </row>
    <row r="15818" ht="16.5" customHeight="1">
      <c r="O15818" s="5" t="s">
        <v>355</v>
      </c>
      <c r="P15818" s="5" t="s">
        <v>355</v>
      </c>
      <c r="Q15818" s="5" t="s">
        <v>355</v>
      </c>
    </row>
    <row r="15819" ht="16.5" customHeight="1">
      <c r="O15819" s="5" t="s">
        <v>355</v>
      </c>
      <c r="P15819" s="5" t="s">
        <v>355</v>
      </c>
      <c r="Q15819" s="5" t="s">
        <v>355</v>
      </c>
    </row>
    <row r="15820" ht="16.5" customHeight="1">
      <c r="O15820" s="5" t="s">
        <v>355</v>
      </c>
      <c r="P15820" s="5" t="s">
        <v>355</v>
      </c>
      <c r="Q15820" s="5" t="s">
        <v>355</v>
      </c>
    </row>
    <row r="15821" ht="16.5" customHeight="1">
      <c r="O15821" s="5" t="s">
        <v>355</v>
      </c>
      <c r="P15821" s="5" t="s">
        <v>355</v>
      </c>
      <c r="Q15821" s="5" t="s">
        <v>355</v>
      </c>
    </row>
    <row r="15822" ht="16.5" customHeight="1">
      <c r="O15822" s="5" t="s">
        <v>355</v>
      </c>
      <c r="P15822" s="5" t="s">
        <v>355</v>
      </c>
      <c r="Q15822" s="5" t="s">
        <v>355</v>
      </c>
    </row>
    <row r="15823" ht="16.5" customHeight="1">
      <c r="O15823" s="5" t="s">
        <v>355</v>
      </c>
      <c r="P15823" s="5" t="s">
        <v>355</v>
      </c>
      <c r="Q15823" s="5" t="s">
        <v>355</v>
      </c>
    </row>
    <row r="15824" ht="16.5" customHeight="1">
      <c r="O15824" s="5" t="s">
        <v>355</v>
      </c>
      <c r="P15824" s="5" t="s">
        <v>355</v>
      </c>
      <c r="Q15824" s="5" t="s">
        <v>355</v>
      </c>
    </row>
    <row r="15825" ht="16.5" customHeight="1">
      <c r="O15825" s="5" t="s">
        <v>355</v>
      </c>
      <c r="P15825" s="5" t="s">
        <v>355</v>
      </c>
      <c r="Q15825" s="5" t="s">
        <v>355</v>
      </c>
    </row>
    <row r="15826" ht="16.5" customHeight="1">
      <c r="O15826" s="5" t="s">
        <v>355</v>
      </c>
      <c r="P15826" s="5" t="s">
        <v>355</v>
      </c>
      <c r="Q15826" s="5" t="s">
        <v>355</v>
      </c>
    </row>
    <row r="15827" ht="16.5" customHeight="1">
      <c r="O15827" s="5" t="s">
        <v>355</v>
      </c>
      <c r="P15827" s="5" t="s">
        <v>355</v>
      </c>
      <c r="Q15827" s="5" t="s">
        <v>355</v>
      </c>
    </row>
    <row r="15828" ht="16.5" customHeight="1">
      <c r="O15828" s="5" t="s">
        <v>355</v>
      </c>
      <c r="P15828" s="5" t="s">
        <v>355</v>
      </c>
      <c r="Q15828" s="5" t="s">
        <v>355</v>
      </c>
    </row>
    <row r="15829" ht="16.5" customHeight="1">
      <c r="O15829" s="5" t="s">
        <v>355</v>
      </c>
      <c r="P15829" s="5" t="s">
        <v>355</v>
      </c>
      <c r="Q15829" s="5" t="s">
        <v>355</v>
      </c>
    </row>
    <row r="15830" ht="16.5" customHeight="1">
      <c r="O15830" s="5" t="s">
        <v>355</v>
      </c>
      <c r="P15830" s="5" t="s">
        <v>355</v>
      </c>
      <c r="Q15830" s="5" t="s">
        <v>355</v>
      </c>
    </row>
    <row r="15831" ht="16.5" customHeight="1">
      <c r="O15831" s="5" t="s">
        <v>355</v>
      </c>
      <c r="P15831" s="5" t="s">
        <v>355</v>
      </c>
      <c r="Q15831" s="5" t="s">
        <v>355</v>
      </c>
    </row>
    <row r="15832" ht="16.5" customHeight="1">
      <c r="O15832" s="5" t="s">
        <v>355</v>
      </c>
      <c r="P15832" s="5" t="s">
        <v>355</v>
      </c>
      <c r="Q15832" s="5" t="s">
        <v>355</v>
      </c>
    </row>
    <row r="15833" ht="16.5" customHeight="1">
      <c r="O15833" s="5" t="s">
        <v>355</v>
      </c>
      <c r="P15833" s="5" t="s">
        <v>355</v>
      </c>
      <c r="Q15833" s="5" t="s">
        <v>355</v>
      </c>
    </row>
    <row r="15834" ht="16.5" customHeight="1">
      <c r="O15834" s="5" t="s">
        <v>355</v>
      </c>
      <c r="P15834" s="5" t="s">
        <v>355</v>
      </c>
      <c r="Q15834" s="5" t="s">
        <v>355</v>
      </c>
    </row>
    <row r="15835" ht="16.5" customHeight="1">
      <c r="O15835" s="5" t="s">
        <v>355</v>
      </c>
      <c r="P15835" s="5" t="s">
        <v>355</v>
      </c>
      <c r="Q15835" s="5" t="s">
        <v>355</v>
      </c>
    </row>
    <row r="15836" ht="16.5" customHeight="1">
      <c r="O15836" s="5" t="s">
        <v>355</v>
      </c>
      <c r="P15836" s="5" t="s">
        <v>355</v>
      </c>
      <c r="Q15836" s="5" t="s">
        <v>355</v>
      </c>
    </row>
    <row r="15837" ht="16.5" customHeight="1">
      <c r="O15837" s="5" t="s">
        <v>355</v>
      </c>
      <c r="P15837" s="5" t="s">
        <v>355</v>
      </c>
      <c r="Q15837" s="5" t="s">
        <v>355</v>
      </c>
    </row>
    <row r="15838" ht="16.5" customHeight="1">
      <c r="O15838" s="5" t="s">
        <v>355</v>
      </c>
      <c r="P15838" s="5" t="s">
        <v>355</v>
      </c>
      <c r="Q15838" s="5" t="s">
        <v>355</v>
      </c>
    </row>
    <row r="15839" ht="16.5" customHeight="1">
      <c r="O15839" s="5" t="s">
        <v>355</v>
      </c>
      <c r="P15839" s="5" t="s">
        <v>355</v>
      </c>
      <c r="Q15839" s="5" t="s">
        <v>355</v>
      </c>
    </row>
    <row r="15840" ht="16.5" customHeight="1">
      <c r="O15840" s="5" t="s">
        <v>355</v>
      </c>
      <c r="P15840" s="5" t="s">
        <v>355</v>
      </c>
      <c r="Q15840" s="5" t="s">
        <v>355</v>
      </c>
    </row>
    <row r="15841" ht="16.5" customHeight="1">
      <c r="O15841" s="5" t="s">
        <v>355</v>
      </c>
      <c r="P15841" s="5" t="s">
        <v>355</v>
      </c>
      <c r="Q15841" s="5" t="s">
        <v>355</v>
      </c>
    </row>
    <row r="15842" ht="16.5" customHeight="1">
      <c r="O15842" s="5" t="s">
        <v>355</v>
      </c>
      <c r="P15842" s="5" t="s">
        <v>355</v>
      </c>
      <c r="Q15842" s="5" t="s">
        <v>355</v>
      </c>
    </row>
    <row r="15843" ht="16.5" customHeight="1">
      <c r="O15843" s="5" t="s">
        <v>355</v>
      </c>
      <c r="P15843" s="5" t="s">
        <v>355</v>
      </c>
      <c r="Q15843" s="5" t="s">
        <v>355</v>
      </c>
    </row>
    <row r="15844" ht="16.5" customHeight="1">
      <c r="O15844" s="5" t="s">
        <v>355</v>
      </c>
      <c r="P15844" s="5" t="s">
        <v>355</v>
      </c>
      <c r="Q15844" s="5" t="s">
        <v>355</v>
      </c>
    </row>
    <row r="15845" ht="16.5" customHeight="1">
      <c r="O15845" s="5" t="s">
        <v>355</v>
      </c>
      <c r="P15845" s="5" t="s">
        <v>355</v>
      </c>
      <c r="Q15845" s="5" t="s">
        <v>355</v>
      </c>
    </row>
    <row r="15846" ht="16.5" customHeight="1">
      <c r="O15846" s="5" t="s">
        <v>355</v>
      </c>
      <c r="P15846" s="5" t="s">
        <v>355</v>
      </c>
      <c r="Q15846" s="5" t="s">
        <v>355</v>
      </c>
    </row>
    <row r="15847" ht="16.5" customHeight="1">
      <c r="O15847" s="5" t="s">
        <v>355</v>
      </c>
      <c r="P15847" s="5" t="s">
        <v>355</v>
      </c>
      <c r="Q15847" s="5" t="s">
        <v>355</v>
      </c>
    </row>
    <row r="15848" ht="16.5" customHeight="1">
      <c r="O15848" s="5" t="s">
        <v>355</v>
      </c>
      <c r="P15848" s="5" t="s">
        <v>355</v>
      </c>
      <c r="Q15848" s="5" t="s">
        <v>355</v>
      </c>
    </row>
    <row r="15849" ht="16.5" customHeight="1">
      <c r="O15849" s="5" t="s">
        <v>355</v>
      </c>
      <c r="P15849" s="5" t="s">
        <v>355</v>
      </c>
      <c r="Q15849" s="5" t="s">
        <v>355</v>
      </c>
    </row>
    <row r="15850" ht="16.5" customHeight="1">
      <c r="O15850" s="5" t="s">
        <v>355</v>
      </c>
      <c r="P15850" s="5" t="s">
        <v>355</v>
      </c>
      <c r="Q15850" s="5" t="s">
        <v>355</v>
      </c>
    </row>
    <row r="15851" ht="16.5" customHeight="1">
      <c r="O15851" s="5" t="s">
        <v>355</v>
      </c>
      <c r="P15851" s="5" t="s">
        <v>355</v>
      </c>
      <c r="Q15851" s="5" t="s">
        <v>355</v>
      </c>
    </row>
    <row r="15852" ht="16.5" customHeight="1">
      <c r="O15852" s="5" t="s">
        <v>355</v>
      </c>
      <c r="P15852" s="5" t="s">
        <v>355</v>
      </c>
      <c r="Q15852" s="5" t="s">
        <v>355</v>
      </c>
    </row>
    <row r="15853" ht="16.5" customHeight="1">
      <c r="O15853" s="5" t="s">
        <v>355</v>
      </c>
      <c r="P15853" s="5" t="s">
        <v>355</v>
      </c>
      <c r="Q15853" s="5" t="s">
        <v>355</v>
      </c>
    </row>
    <row r="15854" ht="16.5" customHeight="1">
      <c r="O15854" s="5" t="s">
        <v>355</v>
      </c>
      <c r="P15854" s="5" t="s">
        <v>355</v>
      </c>
      <c r="Q15854" s="5" t="s">
        <v>355</v>
      </c>
    </row>
    <row r="15855" ht="16.5" customHeight="1">
      <c r="O15855" s="5" t="s">
        <v>355</v>
      </c>
      <c r="P15855" s="5" t="s">
        <v>355</v>
      </c>
      <c r="Q15855" s="5" t="s">
        <v>355</v>
      </c>
    </row>
    <row r="15856" ht="16.5" customHeight="1">
      <c r="O15856" s="5" t="s">
        <v>355</v>
      </c>
      <c r="P15856" s="5" t="s">
        <v>355</v>
      </c>
      <c r="Q15856" s="5" t="s">
        <v>355</v>
      </c>
    </row>
    <row r="15857" ht="16.5" customHeight="1">
      <c r="O15857" s="5" t="s">
        <v>355</v>
      </c>
      <c r="P15857" s="5" t="s">
        <v>355</v>
      </c>
      <c r="Q15857" s="5" t="s">
        <v>355</v>
      </c>
    </row>
    <row r="15858" ht="16.5" customHeight="1">
      <c r="O15858" s="5" t="s">
        <v>355</v>
      </c>
      <c r="P15858" s="5" t="s">
        <v>355</v>
      </c>
      <c r="Q15858" s="5" t="s">
        <v>355</v>
      </c>
    </row>
    <row r="15859" ht="16.5" customHeight="1">
      <c r="O15859" s="5" t="s">
        <v>355</v>
      </c>
      <c r="P15859" s="5" t="s">
        <v>355</v>
      </c>
      <c r="Q15859" s="5" t="s">
        <v>355</v>
      </c>
    </row>
    <row r="15860" ht="16.5" customHeight="1">
      <c r="O15860" s="5" t="s">
        <v>355</v>
      </c>
      <c r="P15860" s="5" t="s">
        <v>355</v>
      </c>
      <c r="Q15860" s="5" t="s">
        <v>355</v>
      </c>
    </row>
    <row r="15861" ht="16.5" customHeight="1">
      <c r="O15861" s="5" t="s">
        <v>355</v>
      </c>
      <c r="P15861" s="5" t="s">
        <v>355</v>
      </c>
      <c r="Q15861" s="5" t="s">
        <v>355</v>
      </c>
    </row>
    <row r="15862" ht="16.5" customHeight="1">
      <c r="O15862" s="5" t="s">
        <v>355</v>
      </c>
      <c r="P15862" s="5" t="s">
        <v>355</v>
      </c>
      <c r="Q15862" s="5" t="s">
        <v>355</v>
      </c>
    </row>
    <row r="15863" ht="16.5" customHeight="1">
      <c r="O15863" s="5" t="s">
        <v>355</v>
      </c>
      <c r="P15863" s="5" t="s">
        <v>355</v>
      </c>
      <c r="Q15863" s="5" t="s">
        <v>355</v>
      </c>
    </row>
    <row r="15864" ht="16.5" customHeight="1">
      <c r="O15864" s="5" t="s">
        <v>355</v>
      </c>
      <c r="P15864" s="5" t="s">
        <v>355</v>
      </c>
      <c r="Q15864" s="5" t="s">
        <v>355</v>
      </c>
    </row>
    <row r="15865" ht="16.5" customHeight="1">
      <c r="O15865" s="5" t="s">
        <v>355</v>
      </c>
      <c r="P15865" s="5" t="s">
        <v>355</v>
      </c>
      <c r="Q15865" s="5" t="s">
        <v>355</v>
      </c>
    </row>
    <row r="15866" ht="16.5" customHeight="1">
      <c r="O15866" s="5" t="s">
        <v>355</v>
      </c>
      <c r="P15866" s="5" t="s">
        <v>355</v>
      </c>
      <c r="Q15866" s="5" t="s">
        <v>355</v>
      </c>
    </row>
    <row r="15867" ht="16.5" customHeight="1">
      <c r="O15867" s="5" t="s">
        <v>355</v>
      </c>
      <c r="P15867" s="5" t="s">
        <v>355</v>
      </c>
      <c r="Q15867" s="5" t="s">
        <v>355</v>
      </c>
    </row>
    <row r="15868" ht="16.5" customHeight="1">
      <c r="O15868" s="5" t="s">
        <v>355</v>
      </c>
      <c r="P15868" s="5" t="s">
        <v>355</v>
      </c>
      <c r="Q15868" s="5" t="s">
        <v>355</v>
      </c>
    </row>
    <row r="15869" ht="16.5" customHeight="1">
      <c r="O15869" s="5" t="s">
        <v>355</v>
      </c>
      <c r="P15869" s="5" t="s">
        <v>355</v>
      </c>
      <c r="Q15869" s="5" t="s">
        <v>355</v>
      </c>
    </row>
    <row r="15870" ht="16.5" customHeight="1">
      <c r="O15870" s="5" t="s">
        <v>355</v>
      </c>
      <c r="P15870" s="5" t="s">
        <v>355</v>
      </c>
      <c r="Q15870" s="5" t="s">
        <v>355</v>
      </c>
    </row>
    <row r="15871" ht="16.5" customHeight="1">
      <c r="O15871" s="5" t="s">
        <v>355</v>
      </c>
      <c r="P15871" s="5" t="s">
        <v>355</v>
      </c>
      <c r="Q15871" s="5" t="s">
        <v>355</v>
      </c>
    </row>
    <row r="15872" ht="16.5" customHeight="1">
      <c r="O15872" s="5" t="s">
        <v>355</v>
      </c>
      <c r="P15872" s="5" t="s">
        <v>355</v>
      </c>
      <c r="Q15872" s="5" t="s">
        <v>355</v>
      </c>
    </row>
    <row r="15873" ht="16.5" customHeight="1">
      <c r="O15873" s="5" t="s">
        <v>355</v>
      </c>
      <c r="P15873" s="5" t="s">
        <v>355</v>
      </c>
      <c r="Q15873" s="5" t="s">
        <v>355</v>
      </c>
    </row>
    <row r="15874" ht="16.5" customHeight="1">
      <c r="O15874" s="5" t="s">
        <v>355</v>
      </c>
      <c r="P15874" s="5" t="s">
        <v>355</v>
      </c>
      <c r="Q15874" s="5" t="s">
        <v>355</v>
      </c>
    </row>
    <row r="15875" ht="16.5" customHeight="1">
      <c r="O15875" s="5" t="s">
        <v>355</v>
      </c>
      <c r="P15875" s="5" t="s">
        <v>355</v>
      </c>
      <c r="Q15875" s="5" t="s">
        <v>355</v>
      </c>
    </row>
    <row r="15876" ht="16.5" customHeight="1">
      <c r="O15876" s="5" t="s">
        <v>355</v>
      </c>
      <c r="P15876" s="5" t="s">
        <v>355</v>
      </c>
      <c r="Q15876" s="5" t="s">
        <v>355</v>
      </c>
    </row>
    <row r="15877" ht="16.5" customHeight="1">
      <c r="O15877" s="5" t="s">
        <v>355</v>
      </c>
      <c r="P15877" s="5" t="s">
        <v>355</v>
      </c>
      <c r="Q15877" s="5" t="s">
        <v>355</v>
      </c>
    </row>
    <row r="15878" ht="16.5" customHeight="1">
      <c r="O15878" s="5" t="s">
        <v>355</v>
      </c>
      <c r="P15878" s="5" t="s">
        <v>355</v>
      </c>
      <c r="Q15878" s="5" t="s">
        <v>355</v>
      </c>
    </row>
    <row r="15879" ht="16.5" customHeight="1">
      <c r="O15879" s="5" t="s">
        <v>355</v>
      </c>
      <c r="P15879" s="5" t="s">
        <v>355</v>
      </c>
      <c r="Q15879" s="5" t="s">
        <v>355</v>
      </c>
    </row>
    <row r="15880" ht="16.5" customHeight="1">
      <c r="O15880" s="5" t="s">
        <v>355</v>
      </c>
      <c r="P15880" s="5" t="s">
        <v>355</v>
      </c>
      <c r="Q15880" s="5" t="s">
        <v>355</v>
      </c>
    </row>
    <row r="15881" ht="16.5" customHeight="1">
      <c r="O15881" s="5" t="s">
        <v>355</v>
      </c>
      <c r="P15881" s="5" t="s">
        <v>355</v>
      </c>
      <c r="Q15881" s="5" t="s">
        <v>355</v>
      </c>
    </row>
    <row r="15882" ht="16.5" customHeight="1">
      <c r="O15882" s="5" t="s">
        <v>355</v>
      </c>
      <c r="P15882" s="5" t="s">
        <v>355</v>
      </c>
      <c r="Q15882" s="5" t="s">
        <v>355</v>
      </c>
    </row>
    <row r="15883" ht="16.5" customHeight="1">
      <c r="O15883" s="5" t="s">
        <v>355</v>
      </c>
      <c r="P15883" s="5" t="s">
        <v>355</v>
      </c>
      <c r="Q15883" s="5" t="s">
        <v>355</v>
      </c>
    </row>
    <row r="15884" ht="16.5" customHeight="1">
      <c r="O15884" s="5" t="s">
        <v>355</v>
      </c>
      <c r="P15884" s="5" t="s">
        <v>355</v>
      </c>
      <c r="Q15884" s="5" t="s">
        <v>355</v>
      </c>
    </row>
    <row r="15885" ht="16.5" customHeight="1">
      <c r="O15885" s="5" t="s">
        <v>355</v>
      </c>
      <c r="P15885" s="5" t="s">
        <v>355</v>
      </c>
      <c r="Q15885" s="5" t="s">
        <v>355</v>
      </c>
    </row>
    <row r="15886" ht="16.5" customHeight="1">
      <c r="O15886" s="5" t="s">
        <v>355</v>
      </c>
      <c r="P15886" s="5" t="s">
        <v>355</v>
      </c>
      <c r="Q15886" s="5" t="s">
        <v>355</v>
      </c>
    </row>
    <row r="15887" ht="16.5" customHeight="1">
      <c r="O15887" s="5" t="s">
        <v>355</v>
      </c>
      <c r="P15887" s="5" t="s">
        <v>355</v>
      </c>
      <c r="Q15887" s="5" t="s">
        <v>355</v>
      </c>
    </row>
    <row r="15888" ht="16.5" customHeight="1">
      <c r="O15888" s="5" t="s">
        <v>355</v>
      </c>
      <c r="P15888" s="5" t="s">
        <v>355</v>
      </c>
      <c r="Q15888" s="5" t="s">
        <v>355</v>
      </c>
    </row>
    <row r="15889" ht="16.5" customHeight="1">
      <c r="O15889" s="5" t="s">
        <v>355</v>
      </c>
      <c r="P15889" s="5" t="s">
        <v>355</v>
      </c>
      <c r="Q15889" s="5" t="s">
        <v>355</v>
      </c>
    </row>
    <row r="15890" ht="16.5" customHeight="1">
      <c r="O15890" s="5" t="s">
        <v>355</v>
      </c>
      <c r="P15890" s="5" t="s">
        <v>355</v>
      </c>
      <c r="Q15890" s="5" t="s">
        <v>355</v>
      </c>
    </row>
    <row r="15891" ht="16.5" customHeight="1">
      <c r="O15891" s="5" t="s">
        <v>355</v>
      </c>
      <c r="P15891" s="5" t="s">
        <v>355</v>
      </c>
      <c r="Q15891" s="5" t="s">
        <v>355</v>
      </c>
    </row>
    <row r="15892" ht="16.5" customHeight="1">
      <c r="O15892" s="5" t="s">
        <v>355</v>
      </c>
      <c r="P15892" s="5" t="s">
        <v>355</v>
      </c>
      <c r="Q15892" s="5" t="s">
        <v>355</v>
      </c>
    </row>
    <row r="15893" ht="16.5" customHeight="1">
      <c r="O15893" s="5" t="s">
        <v>355</v>
      </c>
      <c r="P15893" s="5" t="s">
        <v>355</v>
      </c>
      <c r="Q15893" s="5" t="s">
        <v>355</v>
      </c>
    </row>
    <row r="15894" ht="16.5" customHeight="1">
      <c r="O15894" s="5" t="s">
        <v>355</v>
      </c>
      <c r="P15894" s="5" t="s">
        <v>355</v>
      </c>
      <c r="Q15894" s="5" t="s">
        <v>355</v>
      </c>
    </row>
    <row r="15895" ht="16.5" customHeight="1">
      <c r="O15895" s="5" t="s">
        <v>355</v>
      </c>
      <c r="P15895" s="5" t="s">
        <v>355</v>
      </c>
      <c r="Q15895" s="5" t="s">
        <v>355</v>
      </c>
    </row>
    <row r="15896" ht="16.5" customHeight="1">
      <c r="O15896" s="5" t="s">
        <v>355</v>
      </c>
      <c r="P15896" s="5" t="s">
        <v>355</v>
      </c>
      <c r="Q15896" s="5" t="s">
        <v>355</v>
      </c>
    </row>
    <row r="15897" ht="16.5" customHeight="1">
      <c r="O15897" s="5" t="s">
        <v>355</v>
      </c>
      <c r="P15897" s="5" t="s">
        <v>355</v>
      </c>
      <c r="Q15897" s="5" t="s">
        <v>355</v>
      </c>
    </row>
    <row r="15898" ht="16.5" customHeight="1">
      <c r="O15898" s="5" t="s">
        <v>355</v>
      </c>
      <c r="P15898" s="5" t="s">
        <v>355</v>
      </c>
      <c r="Q15898" s="5" t="s">
        <v>355</v>
      </c>
    </row>
    <row r="15899" ht="16.5" customHeight="1">
      <c r="O15899" s="5" t="s">
        <v>355</v>
      </c>
      <c r="P15899" s="5" t="s">
        <v>355</v>
      </c>
      <c r="Q15899" s="5" t="s">
        <v>355</v>
      </c>
    </row>
    <row r="15900" ht="16.5" customHeight="1">
      <c r="O15900" s="5" t="s">
        <v>355</v>
      </c>
      <c r="P15900" s="5" t="s">
        <v>355</v>
      </c>
      <c r="Q15900" s="5" t="s">
        <v>355</v>
      </c>
    </row>
    <row r="15901" ht="16.5" customHeight="1">
      <c r="O15901" s="5" t="s">
        <v>355</v>
      </c>
      <c r="P15901" s="5" t="s">
        <v>355</v>
      </c>
      <c r="Q15901" s="5" t="s">
        <v>355</v>
      </c>
    </row>
    <row r="15902" ht="16.5" customHeight="1">
      <c r="O15902" s="5" t="s">
        <v>355</v>
      </c>
      <c r="P15902" s="5" t="s">
        <v>355</v>
      </c>
      <c r="Q15902" s="5" t="s">
        <v>355</v>
      </c>
    </row>
    <row r="15903" ht="16.5" customHeight="1">
      <c r="O15903" s="5" t="s">
        <v>355</v>
      </c>
      <c r="P15903" s="5" t="s">
        <v>355</v>
      </c>
      <c r="Q15903" s="5" t="s">
        <v>355</v>
      </c>
    </row>
    <row r="15904" ht="16.5" customHeight="1">
      <c r="O15904" s="5" t="s">
        <v>355</v>
      </c>
      <c r="P15904" s="5" t="s">
        <v>355</v>
      </c>
      <c r="Q15904" s="5" t="s">
        <v>355</v>
      </c>
    </row>
    <row r="15905" ht="16.5" customHeight="1">
      <c r="O15905" s="5" t="s">
        <v>355</v>
      </c>
      <c r="P15905" s="5" t="s">
        <v>355</v>
      </c>
      <c r="Q15905" s="5" t="s">
        <v>355</v>
      </c>
    </row>
    <row r="15906" ht="16.5" customHeight="1">
      <c r="O15906" s="5" t="s">
        <v>355</v>
      </c>
      <c r="P15906" s="5" t="s">
        <v>355</v>
      </c>
      <c r="Q15906" s="5" t="s">
        <v>355</v>
      </c>
    </row>
    <row r="15907" ht="16.5" customHeight="1">
      <c r="O15907" s="5" t="s">
        <v>355</v>
      </c>
      <c r="P15907" s="5" t="s">
        <v>355</v>
      </c>
      <c r="Q15907" s="5" t="s">
        <v>355</v>
      </c>
    </row>
    <row r="15908" ht="16.5" customHeight="1">
      <c r="O15908" s="5" t="s">
        <v>355</v>
      </c>
      <c r="P15908" s="5" t="s">
        <v>355</v>
      </c>
      <c r="Q15908" s="5" t="s">
        <v>355</v>
      </c>
    </row>
    <row r="15909" ht="16.5" customHeight="1">
      <c r="O15909" s="5" t="s">
        <v>355</v>
      </c>
      <c r="P15909" s="5" t="s">
        <v>355</v>
      </c>
      <c r="Q15909" s="5" t="s">
        <v>355</v>
      </c>
    </row>
    <row r="15910" ht="16.5" customHeight="1">
      <c r="O15910" s="5" t="s">
        <v>355</v>
      </c>
      <c r="P15910" s="5" t="s">
        <v>355</v>
      </c>
      <c r="Q15910" s="5" t="s">
        <v>355</v>
      </c>
    </row>
    <row r="15911" ht="16.5" customHeight="1">
      <c r="O15911" s="5" t="s">
        <v>355</v>
      </c>
      <c r="P15911" s="5" t="s">
        <v>355</v>
      </c>
      <c r="Q15911" s="5" t="s">
        <v>355</v>
      </c>
    </row>
    <row r="15912" ht="16.5" customHeight="1">
      <c r="O15912" s="5" t="s">
        <v>355</v>
      </c>
      <c r="P15912" s="5" t="s">
        <v>355</v>
      </c>
      <c r="Q15912" s="5" t="s">
        <v>355</v>
      </c>
    </row>
    <row r="15913" ht="16.5" customHeight="1">
      <c r="O15913" s="5" t="s">
        <v>355</v>
      </c>
      <c r="P15913" s="5" t="s">
        <v>355</v>
      </c>
      <c r="Q15913" s="5" t="s">
        <v>355</v>
      </c>
    </row>
    <row r="15914" ht="16.5" customHeight="1">
      <c r="O15914" s="5" t="s">
        <v>355</v>
      </c>
      <c r="P15914" s="5" t="s">
        <v>355</v>
      </c>
      <c r="Q15914" s="5" t="s">
        <v>355</v>
      </c>
    </row>
    <row r="15915" ht="16.5" customHeight="1">
      <c r="O15915" s="5" t="s">
        <v>355</v>
      </c>
      <c r="P15915" s="5" t="s">
        <v>355</v>
      </c>
      <c r="Q15915" s="5" t="s">
        <v>355</v>
      </c>
    </row>
    <row r="15916" ht="16.5" customHeight="1">
      <c r="O15916" s="5" t="s">
        <v>355</v>
      </c>
      <c r="P15916" s="5" t="s">
        <v>355</v>
      </c>
      <c r="Q15916" s="5" t="s">
        <v>355</v>
      </c>
    </row>
    <row r="15917" ht="16.5" customHeight="1">
      <c r="O15917" s="5" t="s">
        <v>355</v>
      </c>
      <c r="P15917" s="5" t="s">
        <v>355</v>
      </c>
      <c r="Q15917" s="5" t="s">
        <v>355</v>
      </c>
    </row>
    <row r="15918" ht="16.5" customHeight="1">
      <c r="O15918" s="5" t="s">
        <v>355</v>
      </c>
      <c r="P15918" s="5" t="s">
        <v>355</v>
      </c>
      <c r="Q15918" s="5" t="s">
        <v>355</v>
      </c>
    </row>
    <row r="15919" ht="16.5" customHeight="1">
      <c r="O15919" s="5" t="s">
        <v>355</v>
      </c>
      <c r="P15919" s="5" t="s">
        <v>355</v>
      </c>
      <c r="Q15919" s="5" t="s">
        <v>355</v>
      </c>
    </row>
    <row r="15920" ht="16.5" customHeight="1">
      <c r="O15920" s="5" t="s">
        <v>355</v>
      </c>
      <c r="P15920" s="5" t="s">
        <v>355</v>
      </c>
      <c r="Q15920" s="5" t="s">
        <v>355</v>
      </c>
    </row>
    <row r="15921" ht="16.5" customHeight="1">
      <c r="O15921" s="5" t="s">
        <v>355</v>
      </c>
      <c r="P15921" s="5" t="s">
        <v>355</v>
      </c>
      <c r="Q15921" s="5" t="s">
        <v>355</v>
      </c>
    </row>
    <row r="15922" ht="16.5" customHeight="1">
      <c r="O15922" s="5" t="s">
        <v>355</v>
      </c>
      <c r="P15922" s="5" t="s">
        <v>355</v>
      </c>
      <c r="Q15922" s="5" t="s">
        <v>355</v>
      </c>
    </row>
    <row r="15923" ht="16.5" customHeight="1">
      <c r="O15923" s="5" t="s">
        <v>355</v>
      </c>
      <c r="P15923" s="5" t="s">
        <v>355</v>
      </c>
      <c r="Q15923" s="5" t="s">
        <v>355</v>
      </c>
    </row>
    <row r="15924" ht="16.5" customHeight="1">
      <c r="O15924" s="5" t="s">
        <v>355</v>
      </c>
      <c r="P15924" s="5" t="s">
        <v>355</v>
      </c>
      <c r="Q15924" s="5" t="s">
        <v>355</v>
      </c>
    </row>
    <row r="15925" ht="16.5" customHeight="1">
      <c r="O15925" s="5" t="s">
        <v>355</v>
      </c>
      <c r="P15925" s="5" t="s">
        <v>355</v>
      </c>
      <c r="Q15925" s="5" t="s">
        <v>355</v>
      </c>
    </row>
    <row r="15926" ht="16.5" customHeight="1">
      <c r="O15926" s="5" t="s">
        <v>355</v>
      </c>
      <c r="P15926" s="5" t="s">
        <v>355</v>
      </c>
      <c r="Q15926" s="5" t="s">
        <v>355</v>
      </c>
    </row>
    <row r="15927" ht="16.5" customHeight="1">
      <c r="O15927" s="5" t="s">
        <v>355</v>
      </c>
      <c r="P15927" s="5" t="s">
        <v>355</v>
      </c>
      <c r="Q15927" s="5" t="s">
        <v>355</v>
      </c>
    </row>
    <row r="15928" ht="16.5" customHeight="1">
      <c r="O15928" s="5" t="s">
        <v>355</v>
      </c>
      <c r="P15928" s="5" t="s">
        <v>355</v>
      </c>
      <c r="Q15928" s="5" t="s">
        <v>355</v>
      </c>
    </row>
    <row r="15929" ht="16.5" customHeight="1">
      <c r="O15929" s="5" t="s">
        <v>355</v>
      </c>
      <c r="P15929" s="5" t="s">
        <v>355</v>
      </c>
      <c r="Q15929" s="5" t="s">
        <v>355</v>
      </c>
    </row>
    <row r="15930" ht="16.5" customHeight="1">
      <c r="O15930" s="5" t="s">
        <v>355</v>
      </c>
      <c r="P15930" s="5" t="s">
        <v>355</v>
      </c>
      <c r="Q15930" s="5" t="s">
        <v>355</v>
      </c>
    </row>
    <row r="15931" ht="16.5" customHeight="1">
      <c r="O15931" s="5" t="s">
        <v>355</v>
      </c>
      <c r="P15931" s="5" t="s">
        <v>355</v>
      </c>
      <c r="Q15931" s="5" t="s">
        <v>355</v>
      </c>
    </row>
    <row r="15932" ht="16.5" customHeight="1">
      <c r="O15932" s="5" t="s">
        <v>355</v>
      </c>
      <c r="P15932" s="5" t="s">
        <v>355</v>
      </c>
      <c r="Q15932" s="5" t="s">
        <v>355</v>
      </c>
    </row>
    <row r="15933" ht="16.5" customHeight="1">
      <c r="O15933" s="5" t="s">
        <v>355</v>
      </c>
      <c r="P15933" s="5" t="s">
        <v>355</v>
      </c>
      <c r="Q15933" s="5" t="s">
        <v>355</v>
      </c>
    </row>
    <row r="15934" ht="16.5" customHeight="1">
      <c r="O15934" s="5" t="s">
        <v>355</v>
      </c>
      <c r="P15934" s="5" t="s">
        <v>355</v>
      </c>
      <c r="Q15934" s="5" t="s">
        <v>355</v>
      </c>
    </row>
    <row r="15935" ht="16.5" customHeight="1">
      <c r="O15935" s="5" t="s">
        <v>355</v>
      </c>
      <c r="P15935" s="5" t="s">
        <v>355</v>
      </c>
      <c r="Q15935" s="5" t="s">
        <v>355</v>
      </c>
    </row>
    <row r="15936" ht="16.5" customHeight="1">
      <c r="O15936" s="5" t="s">
        <v>355</v>
      </c>
      <c r="P15936" s="5" t="s">
        <v>355</v>
      </c>
      <c r="Q15936" s="5" t="s">
        <v>355</v>
      </c>
    </row>
    <row r="15937" ht="16.5" customHeight="1">
      <c r="O15937" s="5" t="s">
        <v>355</v>
      </c>
      <c r="P15937" s="5" t="s">
        <v>355</v>
      </c>
      <c r="Q15937" s="5" t="s">
        <v>355</v>
      </c>
    </row>
    <row r="15938" ht="16.5" customHeight="1">
      <c r="O15938" s="5" t="s">
        <v>355</v>
      </c>
      <c r="P15938" s="5" t="s">
        <v>355</v>
      </c>
      <c r="Q15938" s="5" t="s">
        <v>355</v>
      </c>
    </row>
    <row r="15939" ht="16.5" customHeight="1">
      <c r="O15939" s="5" t="s">
        <v>355</v>
      </c>
      <c r="P15939" s="5" t="s">
        <v>355</v>
      </c>
      <c r="Q15939" s="5" t="s">
        <v>355</v>
      </c>
    </row>
    <row r="15940" ht="16.5" customHeight="1">
      <c r="O15940" s="5" t="s">
        <v>355</v>
      </c>
      <c r="P15940" s="5" t="s">
        <v>355</v>
      </c>
      <c r="Q15940" s="5" t="s">
        <v>355</v>
      </c>
    </row>
    <row r="15941" ht="16.5" customHeight="1">
      <c r="O15941" s="5" t="s">
        <v>355</v>
      </c>
      <c r="P15941" s="5" t="s">
        <v>355</v>
      </c>
      <c r="Q15941" s="5" t="s">
        <v>355</v>
      </c>
    </row>
    <row r="15942" ht="16.5" customHeight="1">
      <c r="O15942" s="5" t="s">
        <v>355</v>
      </c>
      <c r="P15942" s="5" t="s">
        <v>355</v>
      </c>
      <c r="Q15942" s="5" t="s">
        <v>355</v>
      </c>
    </row>
    <row r="15943" ht="16.5" customHeight="1">
      <c r="O15943" s="5" t="s">
        <v>355</v>
      </c>
      <c r="P15943" s="5" t="s">
        <v>355</v>
      </c>
      <c r="Q15943" s="5" t="s">
        <v>355</v>
      </c>
    </row>
    <row r="15944" ht="16.5" customHeight="1">
      <c r="O15944" s="5" t="s">
        <v>355</v>
      </c>
      <c r="P15944" s="5" t="s">
        <v>355</v>
      </c>
      <c r="Q15944" s="5" t="s">
        <v>355</v>
      </c>
    </row>
    <row r="15945" ht="16.5" customHeight="1">
      <c r="O15945" s="5" t="s">
        <v>355</v>
      </c>
      <c r="P15945" s="5" t="s">
        <v>355</v>
      </c>
      <c r="Q15945" s="5" t="s">
        <v>355</v>
      </c>
    </row>
    <row r="15946" ht="16.5" customHeight="1">
      <c r="O15946" s="5" t="s">
        <v>355</v>
      </c>
      <c r="P15946" s="5" t="s">
        <v>355</v>
      </c>
      <c r="Q15946" s="5" t="s">
        <v>355</v>
      </c>
    </row>
    <row r="15947" ht="16.5" customHeight="1">
      <c r="O15947" s="5" t="s">
        <v>355</v>
      </c>
      <c r="P15947" s="5" t="s">
        <v>355</v>
      </c>
      <c r="Q15947" s="5" t="s">
        <v>355</v>
      </c>
    </row>
    <row r="15948" ht="16.5" customHeight="1">
      <c r="O15948" s="5" t="s">
        <v>355</v>
      </c>
      <c r="P15948" s="5" t="s">
        <v>355</v>
      </c>
      <c r="Q15948" s="5" t="s">
        <v>355</v>
      </c>
    </row>
    <row r="15949" ht="16.5" customHeight="1">
      <c r="O15949" s="5" t="s">
        <v>355</v>
      </c>
      <c r="P15949" s="5" t="s">
        <v>355</v>
      </c>
      <c r="Q15949" s="5" t="s">
        <v>355</v>
      </c>
    </row>
    <row r="15950" ht="16.5" customHeight="1">
      <c r="O15950" s="5" t="s">
        <v>355</v>
      </c>
      <c r="P15950" s="5" t="s">
        <v>355</v>
      </c>
      <c r="Q15950" s="5" t="s">
        <v>355</v>
      </c>
    </row>
    <row r="15951" ht="16.5" customHeight="1">
      <c r="O15951" s="5" t="s">
        <v>355</v>
      </c>
      <c r="P15951" s="5" t="s">
        <v>355</v>
      </c>
      <c r="Q15951" s="5" t="s">
        <v>355</v>
      </c>
    </row>
    <row r="15952" ht="16.5" customHeight="1">
      <c r="O15952" s="5" t="s">
        <v>355</v>
      </c>
      <c r="P15952" s="5" t="s">
        <v>355</v>
      </c>
      <c r="Q15952" s="5" t="s">
        <v>355</v>
      </c>
    </row>
    <row r="15953" ht="16.5" customHeight="1">
      <c r="O15953" s="5" t="s">
        <v>355</v>
      </c>
      <c r="P15953" s="5" t="s">
        <v>355</v>
      </c>
      <c r="Q15953" s="5" t="s">
        <v>355</v>
      </c>
    </row>
    <row r="15954" ht="16.5" customHeight="1">
      <c r="O15954" s="5" t="s">
        <v>355</v>
      </c>
      <c r="P15954" s="5" t="s">
        <v>355</v>
      </c>
      <c r="Q15954" s="5" t="s">
        <v>355</v>
      </c>
    </row>
    <row r="15955" ht="16.5" customHeight="1">
      <c r="O15955" s="5" t="s">
        <v>355</v>
      </c>
      <c r="P15955" s="5" t="s">
        <v>355</v>
      </c>
      <c r="Q15955" s="5" t="s">
        <v>355</v>
      </c>
    </row>
    <row r="15956" ht="16.5" customHeight="1">
      <c r="O15956" s="5" t="s">
        <v>355</v>
      </c>
      <c r="P15956" s="5" t="s">
        <v>355</v>
      </c>
      <c r="Q15956" s="5" t="s">
        <v>355</v>
      </c>
    </row>
    <row r="15957" ht="16.5" customHeight="1">
      <c r="O15957" s="5" t="s">
        <v>355</v>
      </c>
      <c r="P15957" s="5" t="s">
        <v>355</v>
      </c>
      <c r="Q15957" s="5" t="s">
        <v>355</v>
      </c>
    </row>
    <row r="15958" ht="16.5" customHeight="1">
      <c r="O15958" s="5" t="s">
        <v>355</v>
      </c>
      <c r="P15958" s="5" t="s">
        <v>355</v>
      </c>
      <c r="Q15958" s="5" t="s">
        <v>355</v>
      </c>
    </row>
    <row r="15959" ht="16.5" customHeight="1">
      <c r="O15959" s="5" t="s">
        <v>355</v>
      </c>
      <c r="P15959" s="5" t="s">
        <v>355</v>
      </c>
      <c r="Q15959" s="5" t="s">
        <v>355</v>
      </c>
    </row>
    <row r="15960" ht="16.5" customHeight="1">
      <c r="O15960" s="5" t="s">
        <v>355</v>
      </c>
      <c r="P15960" s="5" t="s">
        <v>355</v>
      </c>
      <c r="Q15960" s="5" t="s">
        <v>355</v>
      </c>
    </row>
    <row r="15961" ht="16.5" customHeight="1">
      <c r="O15961" s="5" t="s">
        <v>355</v>
      </c>
      <c r="P15961" s="5" t="s">
        <v>355</v>
      </c>
      <c r="Q15961" s="5" t="s">
        <v>355</v>
      </c>
    </row>
    <row r="15962" ht="16.5" customHeight="1">
      <c r="O15962" s="5" t="s">
        <v>355</v>
      </c>
      <c r="P15962" s="5" t="s">
        <v>355</v>
      </c>
      <c r="Q15962" s="5" t="s">
        <v>355</v>
      </c>
    </row>
    <row r="15963" ht="16.5" customHeight="1">
      <c r="O15963" s="5" t="s">
        <v>355</v>
      </c>
      <c r="P15963" s="5" t="s">
        <v>355</v>
      </c>
      <c r="Q15963" s="5" t="s">
        <v>355</v>
      </c>
    </row>
    <row r="15964" ht="16.5" customHeight="1">
      <c r="O15964" s="5" t="s">
        <v>355</v>
      </c>
      <c r="P15964" s="5" t="s">
        <v>355</v>
      </c>
      <c r="Q15964" s="5" t="s">
        <v>355</v>
      </c>
    </row>
    <row r="15965" ht="16.5" customHeight="1">
      <c r="O15965" s="5" t="s">
        <v>355</v>
      </c>
      <c r="P15965" s="5" t="s">
        <v>355</v>
      </c>
      <c r="Q15965" s="5" t="s">
        <v>355</v>
      </c>
    </row>
    <row r="15966" ht="16.5" customHeight="1">
      <c r="O15966" s="5" t="s">
        <v>355</v>
      </c>
      <c r="P15966" s="5" t="s">
        <v>355</v>
      </c>
      <c r="Q15966" s="5" t="s">
        <v>355</v>
      </c>
    </row>
    <row r="15967" ht="16.5" customHeight="1">
      <c r="O15967" s="5" t="s">
        <v>355</v>
      </c>
      <c r="P15967" s="5" t="s">
        <v>355</v>
      </c>
      <c r="Q15967" s="5" t="s">
        <v>355</v>
      </c>
    </row>
    <row r="15968" ht="16.5" customHeight="1">
      <c r="O15968" s="5" t="s">
        <v>355</v>
      </c>
      <c r="P15968" s="5" t="s">
        <v>355</v>
      </c>
      <c r="Q15968" s="5" t="s">
        <v>355</v>
      </c>
    </row>
    <row r="15969" ht="16.5" customHeight="1">
      <c r="O15969" s="5" t="s">
        <v>355</v>
      </c>
      <c r="P15969" s="5" t="s">
        <v>355</v>
      </c>
      <c r="Q15969" s="5" t="s">
        <v>355</v>
      </c>
    </row>
    <row r="15970" ht="16.5" customHeight="1">
      <c r="O15970" s="5" t="s">
        <v>355</v>
      </c>
      <c r="P15970" s="5" t="s">
        <v>355</v>
      </c>
      <c r="Q15970" s="5" t="s">
        <v>355</v>
      </c>
    </row>
    <row r="15971" ht="16.5" customHeight="1">
      <c r="O15971" s="5" t="s">
        <v>355</v>
      </c>
      <c r="P15971" s="5" t="s">
        <v>355</v>
      </c>
      <c r="Q15971" s="5" t="s">
        <v>355</v>
      </c>
    </row>
    <row r="15972" ht="16.5" customHeight="1">
      <c r="O15972" s="5" t="s">
        <v>355</v>
      </c>
      <c r="P15972" s="5" t="s">
        <v>355</v>
      </c>
      <c r="Q15972" s="5" t="s">
        <v>355</v>
      </c>
    </row>
    <row r="15973" ht="16.5" customHeight="1">
      <c r="O15973" s="5" t="s">
        <v>355</v>
      </c>
      <c r="P15973" s="5" t="s">
        <v>355</v>
      </c>
      <c r="Q15973" s="5" t="s">
        <v>355</v>
      </c>
    </row>
    <row r="15974" ht="16.5" customHeight="1">
      <c r="O15974" s="5" t="s">
        <v>355</v>
      </c>
      <c r="P15974" s="5" t="s">
        <v>355</v>
      </c>
      <c r="Q15974" s="5" t="s">
        <v>355</v>
      </c>
    </row>
    <row r="15975" ht="16.5" customHeight="1">
      <c r="O15975" s="5" t="s">
        <v>355</v>
      </c>
      <c r="P15975" s="5" t="s">
        <v>355</v>
      </c>
      <c r="Q15975" s="5" t="s">
        <v>355</v>
      </c>
    </row>
    <row r="15976" ht="16.5" customHeight="1">
      <c r="O15976" s="5" t="s">
        <v>355</v>
      </c>
      <c r="P15976" s="5" t="s">
        <v>355</v>
      </c>
      <c r="Q15976" s="5" t="s">
        <v>355</v>
      </c>
    </row>
    <row r="15977" ht="16.5" customHeight="1">
      <c r="O15977" s="5" t="s">
        <v>355</v>
      </c>
      <c r="P15977" s="5" t="s">
        <v>355</v>
      </c>
      <c r="Q15977" s="5" t="s">
        <v>355</v>
      </c>
    </row>
    <row r="15978" ht="16.5" customHeight="1">
      <c r="O15978" s="5" t="s">
        <v>355</v>
      </c>
      <c r="P15978" s="5" t="s">
        <v>355</v>
      </c>
      <c r="Q15978" s="5" t="s">
        <v>355</v>
      </c>
    </row>
    <row r="15979" ht="16.5" customHeight="1">
      <c r="O15979" s="5" t="s">
        <v>355</v>
      </c>
      <c r="P15979" s="5" t="s">
        <v>355</v>
      </c>
      <c r="Q15979" s="5" t="s">
        <v>355</v>
      </c>
    </row>
    <row r="15980" ht="16.5" customHeight="1">
      <c r="O15980" s="5" t="s">
        <v>355</v>
      </c>
      <c r="P15980" s="5" t="s">
        <v>355</v>
      </c>
      <c r="Q15980" s="5" t="s">
        <v>355</v>
      </c>
    </row>
    <row r="15981" ht="16.5" customHeight="1">
      <c r="O15981" s="5" t="s">
        <v>355</v>
      </c>
      <c r="P15981" s="5" t="s">
        <v>355</v>
      </c>
      <c r="Q15981" s="5" t="s">
        <v>355</v>
      </c>
    </row>
    <row r="15982" ht="16.5" customHeight="1">
      <c r="O15982" s="5" t="s">
        <v>355</v>
      </c>
      <c r="P15982" s="5" t="s">
        <v>355</v>
      </c>
      <c r="Q15982" s="5" t="s">
        <v>355</v>
      </c>
    </row>
    <row r="15983" ht="16.5" customHeight="1">
      <c r="O15983" s="5" t="s">
        <v>355</v>
      </c>
      <c r="P15983" s="5" t="s">
        <v>355</v>
      </c>
      <c r="Q15983" s="5" t="s">
        <v>355</v>
      </c>
    </row>
    <row r="15984" ht="16.5" customHeight="1">
      <c r="O15984" s="5" t="s">
        <v>355</v>
      </c>
      <c r="P15984" s="5" t="s">
        <v>355</v>
      </c>
      <c r="Q15984" s="5" t="s">
        <v>355</v>
      </c>
    </row>
    <row r="15985" ht="16.5" customHeight="1">
      <c r="O15985" s="5" t="s">
        <v>355</v>
      </c>
      <c r="P15985" s="5" t="s">
        <v>355</v>
      </c>
      <c r="Q15985" s="5" t="s">
        <v>355</v>
      </c>
    </row>
    <row r="15986" ht="16.5" customHeight="1">
      <c r="O15986" s="5" t="s">
        <v>355</v>
      </c>
      <c r="P15986" s="5" t="s">
        <v>355</v>
      </c>
      <c r="Q15986" s="5" t="s">
        <v>355</v>
      </c>
    </row>
    <row r="15987" ht="16.5" customHeight="1">
      <c r="O15987" s="5" t="s">
        <v>355</v>
      </c>
      <c r="P15987" s="5" t="s">
        <v>355</v>
      </c>
      <c r="Q15987" s="5" t="s">
        <v>355</v>
      </c>
    </row>
    <row r="15988" ht="16.5" customHeight="1">
      <c r="O15988" s="5" t="s">
        <v>355</v>
      </c>
      <c r="P15988" s="5" t="s">
        <v>355</v>
      </c>
      <c r="Q15988" s="5" t="s">
        <v>355</v>
      </c>
    </row>
    <row r="15989" ht="16.5" customHeight="1">
      <c r="O15989" s="5" t="s">
        <v>355</v>
      </c>
      <c r="P15989" s="5" t="s">
        <v>355</v>
      </c>
      <c r="Q15989" s="5" t="s">
        <v>355</v>
      </c>
    </row>
    <row r="15990" ht="16.5" customHeight="1">
      <c r="O15990" s="5" t="s">
        <v>355</v>
      </c>
      <c r="P15990" s="5" t="s">
        <v>355</v>
      </c>
      <c r="Q15990" s="5" t="s">
        <v>355</v>
      </c>
    </row>
    <row r="15991" ht="16.5" customHeight="1">
      <c r="O15991" s="5" t="s">
        <v>355</v>
      </c>
      <c r="P15991" s="5" t="s">
        <v>355</v>
      </c>
      <c r="Q15991" s="5" t="s">
        <v>355</v>
      </c>
    </row>
    <row r="15992" ht="16.5" customHeight="1">
      <c r="O15992" s="5" t="s">
        <v>355</v>
      </c>
      <c r="P15992" s="5" t="s">
        <v>355</v>
      </c>
      <c r="Q15992" s="5" t="s">
        <v>355</v>
      </c>
    </row>
    <row r="15993" ht="16.5" customHeight="1">
      <c r="O15993" s="5" t="s">
        <v>355</v>
      </c>
      <c r="P15993" s="5" t="s">
        <v>355</v>
      </c>
      <c r="Q15993" s="5" t="s">
        <v>355</v>
      </c>
    </row>
    <row r="15994" ht="16.5" customHeight="1">
      <c r="O15994" s="5" t="s">
        <v>355</v>
      </c>
      <c r="P15994" s="5" t="s">
        <v>355</v>
      </c>
      <c r="Q15994" s="5" t="s">
        <v>355</v>
      </c>
    </row>
    <row r="15995" ht="16.5" customHeight="1">
      <c r="O15995" s="5" t="s">
        <v>355</v>
      </c>
      <c r="P15995" s="5" t="s">
        <v>355</v>
      </c>
      <c r="Q15995" s="5" t="s">
        <v>355</v>
      </c>
    </row>
    <row r="15996" ht="16.5" customHeight="1">
      <c r="O15996" s="5" t="s">
        <v>355</v>
      </c>
      <c r="P15996" s="5" t="s">
        <v>355</v>
      </c>
      <c r="Q15996" s="5" t="s">
        <v>355</v>
      </c>
    </row>
    <row r="15997" ht="16.5" customHeight="1">
      <c r="O15997" s="5" t="s">
        <v>355</v>
      </c>
      <c r="P15997" s="5" t="s">
        <v>355</v>
      </c>
      <c r="Q15997" s="5" t="s">
        <v>355</v>
      </c>
    </row>
    <row r="15998" ht="16.5" customHeight="1">
      <c r="O15998" s="5" t="s">
        <v>355</v>
      </c>
      <c r="P15998" s="5" t="s">
        <v>355</v>
      </c>
      <c r="Q15998" s="5" t="s">
        <v>355</v>
      </c>
    </row>
    <row r="15999" ht="16.5" customHeight="1">
      <c r="O15999" s="5" t="s">
        <v>355</v>
      </c>
      <c r="P15999" s="5" t="s">
        <v>355</v>
      </c>
      <c r="Q15999" s="5" t="s">
        <v>355</v>
      </c>
    </row>
    <row r="16000" ht="16.5" customHeight="1">
      <c r="O16000" s="5" t="s">
        <v>355</v>
      </c>
      <c r="P16000" s="5" t="s">
        <v>355</v>
      </c>
      <c r="Q16000" s="5" t="s">
        <v>355</v>
      </c>
    </row>
    <row r="16001" ht="16.5" customHeight="1">
      <c r="O16001" s="5" t="s">
        <v>355</v>
      </c>
      <c r="P16001" s="5" t="s">
        <v>355</v>
      </c>
      <c r="Q16001" s="5" t="s">
        <v>355</v>
      </c>
    </row>
    <row r="16002" ht="16.5" customHeight="1">
      <c r="O16002" s="5" t="s">
        <v>355</v>
      </c>
      <c r="P16002" s="5" t="s">
        <v>355</v>
      </c>
      <c r="Q16002" s="5" t="s">
        <v>355</v>
      </c>
    </row>
    <row r="16003" ht="16.5" customHeight="1">
      <c r="O16003" s="5" t="s">
        <v>355</v>
      </c>
      <c r="P16003" s="5" t="s">
        <v>355</v>
      </c>
      <c r="Q16003" s="5" t="s">
        <v>355</v>
      </c>
    </row>
    <row r="16004" ht="16.5" customHeight="1">
      <c r="O16004" s="5" t="s">
        <v>355</v>
      </c>
      <c r="P16004" s="5" t="s">
        <v>355</v>
      </c>
      <c r="Q16004" s="5" t="s">
        <v>355</v>
      </c>
    </row>
    <row r="16005" ht="16.5" customHeight="1">
      <c r="O16005" s="5" t="s">
        <v>355</v>
      </c>
      <c r="P16005" s="5" t="s">
        <v>355</v>
      </c>
      <c r="Q16005" s="5" t="s">
        <v>355</v>
      </c>
    </row>
    <row r="16006" ht="16.5" customHeight="1">
      <c r="O16006" s="5" t="s">
        <v>355</v>
      </c>
      <c r="P16006" s="5" t="s">
        <v>355</v>
      </c>
      <c r="Q16006" s="5" t="s">
        <v>355</v>
      </c>
    </row>
    <row r="16007" ht="16.5" customHeight="1">
      <c r="O16007" s="5" t="s">
        <v>355</v>
      </c>
      <c r="P16007" s="5" t="s">
        <v>355</v>
      </c>
      <c r="Q16007" s="5" t="s">
        <v>355</v>
      </c>
    </row>
    <row r="16008" ht="16.5" customHeight="1">
      <c r="O16008" s="5" t="s">
        <v>355</v>
      </c>
      <c r="P16008" s="5" t="s">
        <v>355</v>
      </c>
      <c r="Q16008" s="5" t="s">
        <v>355</v>
      </c>
    </row>
    <row r="16009" ht="16.5" customHeight="1">
      <c r="O16009" s="5" t="s">
        <v>355</v>
      </c>
      <c r="P16009" s="5" t="s">
        <v>355</v>
      </c>
      <c r="Q16009" s="5" t="s">
        <v>355</v>
      </c>
    </row>
    <row r="16010" ht="16.5" customHeight="1">
      <c r="O16010" s="5" t="s">
        <v>355</v>
      </c>
      <c r="P16010" s="5" t="s">
        <v>355</v>
      </c>
      <c r="Q16010" s="5" t="s">
        <v>355</v>
      </c>
    </row>
    <row r="16011" ht="16.5" customHeight="1">
      <c r="O16011" s="5" t="s">
        <v>355</v>
      </c>
      <c r="P16011" s="5" t="s">
        <v>355</v>
      </c>
      <c r="Q16011" s="5" t="s">
        <v>355</v>
      </c>
    </row>
    <row r="16012" ht="16.5" customHeight="1">
      <c r="O16012" s="5" t="s">
        <v>355</v>
      </c>
      <c r="P16012" s="5" t="s">
        <v>355</v>
      </c>
      <c r="Q16012" s="5" t="s">
        <v>355</v>
      </c>
    </row>
    <row r="16013" ht="16.5" customHeight="1">
      <c r="O16013" s="5" t="s">
        <v>355</v>
      </c>
      <c r="P16013" s="5" t="s">
        <v>355</v>
      </c>
      <c r="Q16013" s="5" t="s">
        <v>355</v>
      </c>
    </row>
    <row r="16014" ht="16.5" customHeight="1">
      <c r="O16014" s="5" t="s">
        <v>355</v>
      </c>
      <c r="P16014" s="5" t="s">
        <v>355</v>
      </c>
      <c r="Q16014" s="5" t="s">
        <v>355</v>
      </c>
    </row>
    <row r="16015" ht="16.5" customHeight="1">
      <c r="O16015" s="5" t="s">
        <v>355</v>
      </c>
      <c r="P16015" s="5" t="s">
        <v>355</v>
      </c>
      <c r="Q16015" s="5" t="s">
        <v>355</v>
      </c>
    </row>
    <row r="16016" ht="16.5" customHeight="1">
      <c r="O16016" s="5" t="s">
        <v>355</v>
      </c>
      <c r="P16016" s="5" t="s">
        <v>355</v>
      </c>
      <c r="Q16016" s="5" t="s">
        <v>355</v>
      </c>
    </row>
    <row r="16017" ht="16.5" customHeight="1">
      <c r="O16017" s="5" t="s">
        <v>355</v>
      </c>
      <c r="P16017" s="5" t="s">
        <v>355</v>
      </c>
      <c r="Q16017" s="5" t="s">
        <v>355</v>
      </c>
    </row>
    <row r="16018" ht="16.5" customHeight="1">
      <c r="O16018" s="5" t="s">
        <v>355</v>
      </c>
      <c r="P16018" s="5" t="s">
        <v>355</v>
      </c>
      <c r="Q16018" s="5" t="s">
        <v>355</v>
      </c>
    </row>
    <row r="16019" ht="16.5" customHeight="1">
      <c r="O16019" s="5" t="s">
        <v>355</v>
      </c>
      <c r="P16019" s="5" t="s">
        <v>355</v>
      </c>
      <c r="Q16019" s="5" t="s">
        <v>355</v>
      </c>
    </row>
    <row r="16020" ht="16.5" customHeight="1">
      <c r="O16020" s="5" t="s">
        <v>355</v>
      </c>
      <c r="P16020" s="5" t="s">
        <v>355</v>
      </c>
      <c r="Q16020" s="5" t="s">
        <v>355</v>
      </c>
    </row>
    <row r="16021" ht="16.5" customHeight="1">
      <c r="O16021" s="5" t="s">
        <v>355</v>
      </c>
      <c r="P16021" s="5" t="s">
        <v>355</v>
      </c>
      <c r="Q16021" s="5" t="s">
        <v>355</v>
      </c>
    </row>
    <row r="16022" ht="16.5" customHeight="1">
      <c r="O16022" s="5" t="s">
        <v>355</v>
      </c>
      <c r="P16022" s="5" t="s">
        <v>355</v>
      </c>
      <c r="Q16022" s="5" t="s">
        <v>355</v>
      </c>
    </row>
    <row r="16023" ht="16.5" customHeight="1">
      <c r="O16023" s="5" t="s">
        <v>355</v>
      </c>
      <c r="P16023" s="5" t="s">
        <v>355</v>
      </c>
      <c r="Q16023" s="5" t="s">
        <v>355</v>
      </c>
    </row>
    <row r="16024" ht="16.5" customHeight="1">
      <c r="O16024" s="5" t="s">
        <v>355</v>
      </c>
      <c r="P16024" s="5" t="s">
        <v>355</v>
      </c>
      <c r="Q16024" s="5" t="s">
        <v>355</v>
      </c>
    </row>
    <row r="16025" ht="16.5" customHeight="1">
      <c r="O16025" s="5" t="s">
        <v>355</v>
      </c>
      <c r="P16025" s="5" t="s">
        <v>355</v>
      </c>
      <c r="Q16025" s="5" t="s">
        <v>355</v>
      </c>
    </row>
    <row r="16026" ht="16.5" customHeight="1">
      <c r="O16026" s="5" t="s">
        <v>355</v>
      </c>
      <c r="P16026" s="5" t="s">
        <v>355</v>
      </c>
      <c r="Q16026" s="5" t="s">
        <v>355</v>
      </c>
    </row>
    <row r="16027" ht="16.5" customHeight="1">
      <c r="O16027" s="5" t="s">
        <v>355</v>
      </c>
      <c r="P16027" s="5" t="s">
        <v>355</v>
      </c>
      <c r="Q16027" s="5" t="s">
        <v>355</v>
      </c>
    </row>
    <row r="16028" ht="16.5" customHeight="1">
      <c r="O16028" s="5" t="s">
        <v>355</v>
      </c>
      <c r="P16028" s="5" t="s">
        <v>355</v>
      </c>
      <c r="Q16028" s="5" t="s">
        <v>355</v>
      </c>
    </row>
    <row r="16029" ht="16.5" customHeight="1">
      <c r="O16029" s="5" t="s">
        <v>355</v>
      </c>
      <c r="P16029" s="5" t="s">
        <v>355</v>
      </c>
      <c r="Q16029" s="5" t="s">
        <v>355</v>
      </c>
    </row>
    <row r="16030" ht="16.5" customHeight="1">
      <c r="O16030" s="5" t="s">
        <v>355</v>
      </c>
      <c r="P16030" s="5" t="s">
        <v>355</v>
      </c>
      <c r="Q16030" s="5" t="s">
        <v>355</v>
      </c>
    </row>
    <row r="16031" ht="16.5" customHeight="1">
      <c r="O16031" s="5" t="s">
        <v>355</v>
      </c>
      <c r="P16031" s="5" t="s">
        <v>355</v>
      </c>
      <c r="Q16031" s="5" t="s">
        <v>355</v>
      </c>
    </row>
    <row r="16032" ht="16.5" customHeight="1">
      <c r="O16032" s="5" t="s">
        <v>355</v>
      </c>
      <c r="P16032" s="5" t="s">
        <v>355</v>
      </c>
      <c r="Q16032" s="5" t="s">
        <v>355</v>
      </c>
    </row>
    <row r="16033" ht="16.5" customHeight="1">
      <c r="O16033" s="5" t="s">
        <v>355</v>
      </c>
      <c r="P16033" s="5" t="s">
        <v>355</v>
      </c>
      <c r="Q16033" s="5" t="s">
        <v>355</v>
      </c>
    </row>
    <row r="16034" ht="16.5" customHeight="1">
      <c r="O16034" s="5" t="s">
        <v>355</v>
      </c>
      <c r="P16034" s="5" t="s">
        <v>355</v>
      </c>
      <c r="Q16034" s="5" t="s">
        <v>355</v>
      </c>
    </row>
    <row r="16035" ht="16.5" customHeight="1">
      <c r="O16035" s="5" t="s">
        <v>355</v>
      </c>
      <c r="P16035" s="5" t="s">
        <v>355</v>
      </c>
      <c r="Q16035" s="5" t="s">
        <v>355</v>
      </c>
    </row>
    <row r="16036" ht="16.5" customHeight="1">
      <c r="O16036" s="5" t="s">
        <v>355</v>
      </c>
      <c r="P16036" s="5" t="s">
        <v>355</v>
      </c>
      <c r="Q16036" s="5" t="s">
        <v>355</v>
      </c>
    </row>
    <row r="16037" ht="16.5" customHeight="1">
      <c r="O16037" s="5" t="s">
        <v>355</v>
      </c>
      <c r="P16037" s="5" t="s">
        <v>355</v>
      </c>
      <c r="Q16037" s="5" t="s">
        <v>355</v>
      </c>
    </row>
    <row r="16038" ht="16.5" customHeight="1">
      <c r="O16038" s="5" t="s">
        <v>355</v>
      </c>
      <c r="P16038" s="5" t="s">
        <v>355</v>
      </c>
      <c r="Q16038" s="5" t="s">
        <v>355</v>
      </c>
    </row>
    <row r="16039" ht="16.5" customHeight="1">
      <c r="O16039" s="5" t="s">
        <v>355</v>
      </c>
      <c r="P16039" s="5" t="s">
        <v>355</v>
      </c>
      <c r="Q16039" s="5" t="s">
        <v>355</v>
      </c>
    </row>
    <row r="16040" ht="16.5" customHeight="1">
      <c r="O16040" s="5" t="s">
        <v>355</v>
      </c>
      <c r="P16040" s="5" t="s">
        <v>355</v>
      </c>
      <c r="Q16040" s="5" t="s">
        <v>355</v>
      </c>
    </row>
    <row r="16041" ht="16.5" customHeight="1">
      <c r="O16041" s="5" t="s">
        <v>355</v>
      </c>
      <c r="P16041" s="5" t="s">
        <v>355</v>
      </c>
      <c r="Q16041" s="5" t="s">
        <v>355</v>
      </c>
    </row>
    <row r="16042" ht="16.5" customHeight="1">
      <c r="O16042" s="5" t="s">
        <v>355</v>
      </c>
      <c r="P16042" s="5" t="s">
        <v>355</v>
      </c>
      <c r="Q16042" s="5" t="s">
        <v>355</v>
      </c>
    </row>
    <row r="16043" ht="16.5" customHeight="1">
      <c r="O16043" s="5" t="s">
        <v>355</v>
      </c>
      <c r="P16043" s="5" t="s">
        <v>355</v>
      </c>
      <c r="Q16043" s="5" t="s">
        <v>355</v>
      </c>
    </row>
    <row r="16044" ht="16.5" customHeight="1">
      <c r="O16044" s="5" t="s">
        <v>355</v>
      </c>
      <c r="P16044" s="5" t="s">
        <v>355</v>
      </c>
      <c r="Q16044" s="5" t="s">
        <v>355</v>
      </c>
    </row>
    <row r="16045" ht="16.5" customHeight="1">
      <c r="O16045" s="5" t="s">
        <v>355</v>
      </c>
      <c r="P16045" s="5" t="s">
        <v>355</v>
      </c>
      <c r="Q16045" s="5" t="s">
        <v>355</v>
      </c>
    </row>
    <row r="16046" ht="16.5" customHeight="1">
      <c r="O16046" s="5" t="s">
        <v>355</v>
      </c>
      <c r="P16046" s="5" t="s">
        <v>355</v>
      </c>
      <c r="Q16046" s="5" t="s">
        <v>355</v>
      </c>
    </row>
    <row r="16047" ht="16.5" customHeight="1">
      <c r="O16047" s="5" t="s">
        <v>355</v>
      </c>
      <c r="P16047" s="5" t="s">
        <v>355</v>
      </c>
      <c r="Q16047" s="5" t="s">
        <v>355</v>
      </c>
    </row>
    <row r="16048" ht="16.5" customHeight="1">
      <c r="O16048" s="5" t="s">
        <v>355</v>
      </c>
      <c r="P16048" s="5" t="s">
        <v>355</v>
      </c>
      <c r="Q16048" s="5" t="s">
        <v>355</v>
      </c>
    </row>
    <row r="16049" ht="16.5" customHeight="1">
      <c r="O16049" s="5" t="s">
        <v>355</v>
      </c>
      <c r="P16049" s="5" t="s">
        <v>355</v>
      </c>
      <c r="Q16049" s="5" t="s">
        <v>355</v>
      </c>
    </row>
    <row r="16050" ht="16.5" customHeight="1">
      <c r="O16050" s="5" t="s">
        <v>355</v>
      </c>
      <c r="P16050" s="5" t="s">
        <v>355</v>
      </c>
      <c r="Q16050" s="5" t="s">
        <v>355</v>
      </c>
    </row>
    <row r="16051" ht="16.5" customHeight="1">
      <c r="O16051" s="5" t="s">
        <v>355</v>
      </c>
      <c r="P16051" s="5" t="s">
        <v>355</v>
      </c>
      <c r="Q16051" s="5" t="s">
        <v>355</v>
      </c>
    </row>
    <row r="16052" ht="16.5" customHeight="1">
      <c r="O16052" s="5" t="s">
        <v>355</v>
      </c>
      <c r="P16052" s="5" t="s">
        <v>355</v>
      </c>
      <c r="Q16052" s="5" t="s">
        <v>355</v>
      </c>
    </row>
    <row r="16053" ht="16.5" customHeight="1">
      <c r="O16053" s="5" t="s">
        <v>355</v>
      </c>
      <c r="P16053" s="5" t="s">
        <v>355</v>
      </c>
      <c r="Q16053" s="5" t="s">
        <v>355</v>
      </c>
    </row>
    <row r="16054" ht="16.5" customHeight="1">
      <c r="O16054" s="5" t="s">
        <v>355</v>
      </c>
      <c r="P16054" s="5" t="s">
        <v>355</v>
      </c>
      <c r="Q16054" s="5" t="s">
        <v>355</v>
      </c>
    </row>
    <row r="16055" ht="16.5" customHeight="1">
      <c r="O16055" s="5" t="s">
        <v>355</v>
      </c>
      <c r="P16055" s="5" t="s">
        <v>355</v>
      </c>
      <c r="Q16055" s="5" t="s">
        <v>355</v>
      </c>
    </row>
    <row r="16056" ht="16.5" customHeight="1">
      <c r="O16056" s="5" t="s">
        <v>355</v>
      </c>
      <c r="P16056" s="5" t="s">
        <v>355</v>
      </c>
      <c r="Q16056" s="5" t="s">
        <v>355</v>
      </c>
    </row>
    <row r="16057" ht="16.5" customHeight="1">
      <c r="O16057" s="5" t="s">
        <v>355</v>
      </c>
      <c r="P16057" s="5" t="s">
        <v>355</v>
      </c>
      <c r="Q16057" s="5" t="s">
        <v>355</v>
      </c>
    </row>
    <row r="16058" ht="16.5" customHeight="1">
      <c r="O16058" s="5" t="s">
        <v>355</v>
      </c>
      <c r="P16058" s="5" t="s">
        <v>355</v>
      </c>
      <c r="Q16058" s="5" t="s">
        <v>355</v>
      </c>
    </row>
    <row r="16059" ht="16.5" customHeight="1">
      <c r="O16059" s="5" t="s">
        <v>355</v>
      </c>
      <c r="P16059" s="5" t="s">
        <v>355</v>
      </c>
      <c r="Q16059" s="5" t="s">
        <v>355</v>
      </c>
    </row>
    <row r="16060" ht="16.5" customHeight="1">
      <c r="O16060" s="5" t="s">
        <v>355</v>
      </c>
      <c r="P16060" s="5" t="s">
        <v>355</v>
      </c>
      <c r="Q16060" s="5" t="s">
        <v>355</v>
      </c>
    </row>
    <row r="16061" ht="16.5" customHeight="1">
      <c r="O16061" s="5" t="s">
        <v>355</v>
      </c>
      <c r="P16061" s="5" t="s">
        <v>355</v>
      </c>
      <c r="Q16061" s="5" t="s">
        <v>355</v>
      </c>
    </row>
    <row r="16062" ht="16.5" customHeight="1">
      <c r="O16062" s="5" t="s">
        <v>355</v>
      </c>
      <c r="P16062" s="5" t="s">
        <v>355</v>
      </c>
      <c r="Q16062" s="5" t="s">
        <v>355</v>
      </c>
    </row>
    <row r="16063" ht="16.5" customHeight="1">
      <c r="O16063" s="5" t="s">
        <v>355</v>
      </c>
      <c r="P16063" s="5" t="s">
        <v>355</v>
      </c>
      <c r="Q16063" s="5" t="s">
        <v>355</v>
      </c>
    </row>
    <row r="16064" ht="16.5" customHeight="1">
      <c r="O16064" s="5" t="s">
        <v>355</v>
      </c>
      <c r="P16064" s="5" t="s">
        <v>355</v>
      </c>
      <c r="Q16064" s="5" t="s">
        <v>355</v>
      </c>
    </row>
    <row r="16065" ht="16.5" customHeight="1">
      <c r="O16065" s="5" t="s">
        <v>355</v>
      </c>
      <c r="P16065" s="5" t="s">
        <v>355</v>
      </c>
      <c r="Q16065" s="5" t="s">
        <v>355</v>
      </c>
    </row>
    <row r="16066" ht="16.5" customHeight="1">
      <c r="O16066" s="5" t="s">
        <v>355</v>
      </c>
      <c r="P16066" s="5" t="s">
        <v>355</v>
      </c>
      <c r="Q16066" s="5" t="s">
        <v>355</v>
      </c>
    </row>
    <row r="16067" ht="16.5" customHeight="1">
      <c r="O16067" s="5" t="s">
        <v>355</v>
      </c>
      <c r="P16067" s="5" t="s">
        <v>355</v>
      </c>
      <c r="Q16067" s="5" t="s">
        <v>355</v>
      </c>
    </row>
    <row r="16068" ht="16.5" customHeight="1">
      <c r="O16068" s="5" t="s">
        <v>355</v>
      </c>
      <c r="P16068" s="5" t="s">
        <v>355</v>
      </c>
      <c r="Q16068" s="5" t="s">
        <v>355</v>
      </c>
    </row>
    <row r="16069" ht="16.5" customHeight="1">
      <c r="O16069" s="5" t="s">
        <v>355</v>
      </c>
      <c r="P16069" s="5" t="s">
        <v>355</v>
      </c>
      <c r="Q16069" s="5" t="s">
        <v>355</v>
      </c>
    </row>
    <row r="16070" ht="16.5" customHeight="1">
      <c r="O16070" s="5" t="s">
        <v>355</v>
      </c>
      <c r="P16070" s="5" t="s">
        <v>355</v>
      </c>
      <c r="Q16070" s="5" t="s">
        <v>355</v>
      </c>
    </row>
    <row r="16071" ht="16.5" customHeight="1">
      <c r="O16071" s="5" t="s">
        <v>355</v>
      </c>
      <c r="P16071" s="5" t="s">
        <v>355</v>
      </c>
      <c r="Q16071" s="5" t="s">
        <v>355</v>
      </c>
    </row>
    <row r="16072" ht="16.5" customHeight="1">
      <c r="O16072" s="5" t="s">
        <v>355</v>
      </c>
      <c r="P16072" s="5" t="s">
        <v>355</v>
      </c>
      <c r="Q16072" s="5" t="s">
        <v>355</v>
      </c>
    </row>
    <row r="16073" ht="16.5" customHeight="1">
      <c r="O16073" s="5" t="s">
        <v>355</v>
      </c>
      <c r="P16073" s="5" t="s">
        <v>355</v>
      </c>
      <c r="Q16073" s="5" t="s">
        <v>355</v>
      </c>
    </row>
    <row r="16074" ht="16.5" customHeight="1">
      <c r="O16074" s="5" t="s">
        <v>355</v>
      </c>
      <c r="P16074" s="5" t="s">
        <v>355</v>
      </c>
      <c r="Q16074" s="5" t="s">
        <v>355</v>
      </c>
    </row>
    <row r="16075" ht="16.5" customHeight="1">
      <c r="O16075" s="5" t="s">
        <v>355</v>
      </c>
      <c r="P16075" s="5" t="s">
        <v>355</v>
      </c>
      <c r="Q16075" s="5" t="s">
        <v>355</v>
      </c>
    </row>
    <row r="16076" ht="16.5" customHeight="1">
      <c r="O16076" s="5" t="s">
        <v>355</v>
      </c>
      <c r="P16076" s="5" t="s">
        <v>355</v>
      </c>
      <c r="Q16076" s="5" t="s">
        <v>355</v>
      </c>
    </row>
    <row r="16077" ht="16.5" customHeight="1">
      <c r="O16077" s="5" t="s">
        <v>355</v>
      </c>
      <c r="P16077" s="5" t="s">
        <v>355</v>
      </c>
      <c r="Q16077" s="5" t="s">
        <v>355</v>
      </c>
    </row>
    <row r="16078" ht="16.5" customHeight="1">
      <c r="O16078" s="5" t="s">
        <v>355</v>
      </c>
      <c r="P16078" s="5" t="s">
        <v>355</v>
      </c>
      <c r="Q16078" s="5" t="s">
        <v>355</v>
      </c>
    </row>
    <row r="16079" ht="16.5" customHeight="1">
      <c r="O16079" s="5" t="s">
        <v>355</v>
      </c>
      <c r="P16079" s="5" t="s">
        <v>355</v>
      </c>
      <c r="Q16079" s="5" t="s">
        <v>355</v>
      </c>
    </row>
    <row r="16080" ht="16.5" customHeight="1">
      <c r="O16080" s="5" t="s">
        <v>355</v>
      </c>
      <c r="P16080" s="5" t="s">
        <v>355</v>
      </c>
      <c r="Q16080" s="5" t="s">
        <v>355</v>
      </c>
    </row>
    <row r="16081" ht="16.5" customHeight="1">
      <c r="O16081" s="5" t="s">
        <v>355</v>
      </c>
      <c r="P16081" s="5" t="s">
        <v>355</v>
      </c>
      <c r="Q16081" s="5" t="s">
        <v>355</v>
      </c>
    </row>
    <row r="16082" ht="16.5" customHeight="1">
      <c r="O16082" s="5" t="s">
        <v>355</v>
      </c>
      <c r="P16082" s="5" t="s">
        <v>355</v>
      </c>
      <c r="Q16082" s="5" t="s">
        <v>355</v>
      </c>
    </row>
    <row r="16083" ht="16.5" customHeight="1">
      <c r="O16083" s="5" t="s">
        <v>355</v>
      </c>
      <c r="P16083" s="5" t="s">
        <v>355</v>
      </c>
      <c r="Q16083" s="5" t="s">
        <v>355</v>
      </c>
    </row>
    <row r="16084" ht="16.5" customHeight="1">
      <c r="O16084" s="5" t="s">
        <v>355</v>
      </c>
      <c r="P16084" s="5" t="s">
        <v>355</v>
      </c>
      <c r="Q16084" s="5" t="s">
        <v>355</v>
      </c>
    </row>
    <row r="16085" ht="16.5" customHeight="1">
      <c r="O16085" s="5" t="s">
        <v>355</v>
      </c>
      <c r="P16085" s="5" t="s">
        <v>355</v>
      </c>
      <c r="Q16085" s="5" t="s">
        <v>355</v>
      </c>
    </row>
    <row r="16086" ht="16.5" customHeight="1">
      <c r="O16086" s="5" t="s">
        <v>355</v>
      </c>
      <c r="P16086" s="5" t="s">
        <v>355</v>
      </c>
      <c r="Q16086" s="5" t="s">
        <v>355</v>
      </c>
    </row>
    <row r="16087" ht="16.5" customHeight="1">
      <c r="O16087" s="5" t="s">
        <v>355</v>
      </c>
      <c r="P16087" s="5" t="s">
        <v>355</v>
      </c>
      <c r="Q16087" s="5" t="s">
        <v>355</v>
      </c>
    </row>
    <row r="16088" ht="16.5" customHeight="1">
      <c r="O16088" s="5" t="s">
        <v>355</v>
      </c>
      <c r="P16088" s="5" t="s">
        <v>355</v>
      </c>
      <c r="Q16088" s="5" t="s">
        <v>355</v>
      </c>
    </row>
    <row r="16089" ht="16.5" customHeight="1">
      <c r="O16089" s="5" t="s">
        <v>355</v>
      </c>
      <c r="P16089" s="5" t="s">
        <v>355</v>
      </c>
      <c r="Q16089" s="5" t="s">
        <v>355</v>
      </c>
    </row>
    <row r="16090" ht="16.5" customHeight="1">
      <c r="O16090" s="5" t="s">
        <v>355</v>
      </c>
      <c r="P16090" s="5" t="s">
        <v>355</v>
      </c>
      <c r="Q16090" s="5" t="s">
        <v>355</v>
      </c>
    </row>
    <row r="16091" ht="16.5" customHeight="1">
      <c r="O16091" s="5" t="s">
        <v>355</v>
      </c>
      <c r="P16091" s="5" t="s">
        <v>355</v>
      </c>
      <c r="Q16091" s="5" t="s">
        <v>355</v>
      </c>
    </row>
    <row r="16092" ht="16.5" customHeight="1">
      <c r="O16092" s="5" t="s">
        <v>355</v>
      </c>
      <c r="P16092" s="5" t="s">
        <v>355</v>
      </c>
      <c r="Q16092" s="5" t="s">
        <v>355</v>
      </c>
    </row>
    <row r="16093" ht="16.5" customHeight="1">
      <c r="O16093" s="5" t="s">
        <v>355</v>
      </c>
      <c r="P16093" s="5" t="s">
        <v>355</v>
      </c>
      <c r="Q16093" s="5" t="s">
        <v>355</v>
      </c>
    </row>
    <row r="16094" ht="16.5" customHeight="1">
      <c r="O16094" s="5" t="s">
        <v>355</v>
      </c>
      <c r="P16094" s="5" t="s">
        <v>355</v>
      </c>
      <c r="Q16094" s="5" t="s">
        <v>355</v>
      </c>
    </row>
    <row r="16095" ht="16.5" customHeight="1">
      <c r="O16095" s="5" t="s">
        <v>355</v>
      </c>
      <c r="P16095" s="5" t="s">
        <v>355</v>
      </c>
      <c r="Q16095" s="5" t="s">
        <v>355</v>
      </c>
    </row>
    <row r="16096" ht="16.5" customHeight="1">
      <c r="O16096" s="5" t="s">
        <v>355</v>
      </c>
      <c r="P16096" s="5" t="s">
        <v>355</v>
      </c>
      <c r="Q16096" s="5" t="s">
        <v>355</v>
      </c>
    </row>
    <row r="16097" ht="16.5" customHeight="1">
      <c r="O16097" s="5" t="s">
        <v>355</v>
      </c>
      <c r="P16097" s="5" t="s">
        <v>355</v>
      </c>
      <c r="Q16097" s="5" t="s">
        <v>355</v>
      </c>
    </row>
    <row r="16098" ht="16.5" customHeight="1">
      <c r="O16098" s="5" t="s">
        <v>355</v>
      </c>
      <c r="P16098" s="5" t="s">
        <v>355</v>
      </c>
      <c r="Q16098" s="5" t="s">
        <v>355</v>
      </c>
    </row>
    <row r="16099" ht="16.5" customHeight="1">
      <c r="O16099" s="5" t="s">
        <v>355</v>
      </c>
      <c r="P16099" s="5" t="s">
        <v>355</v>
      </c>
      <c r="Q16099" s="5" t="s">
        <v>355</v>
      </c>
    </row>
    <row r="16100" ht="16.5" customHeight="1">
      <c r="O16100" s="5" t="s">
        <v>355</v>
      </c>
      <c r="P16100" s="5" t="s">
        <v>355</v>
      </c>
      <c r="Q16100" s="5" t="s">
        <v>355</v>
      </c>
    </row>
    <row r="16101" ht="16.5" customHeight="1">
      <c r="O16101" s="5" t="s">
        <v>355</v>
      </c>
      <c r="P16101" s="5" t="s">
        <v>355</v>
      </c>
      <c r="Q16101" s="5" t="s">
        <v>355</v>
      </c>
    </row>
    <row r="16102" ht="16.5" customHeight="1">
      <c r="O16102" s="5" t="s">
        <v>355</v>
      </c>
      <c r="P16102" s="5" t="s">
        <v>355</v>
      </c>
      <c r="Q16102" s="5" t="s">
        <v>355</v>
      </c>
    </row>
    <row r="16103" ht="16.5" customHeight="1">
      <c r="O16103" s="5" t="s">
        <v>355</v>
      </c>
      <c r="P16103" s="5" t="s">
        <v>355</v>
      </c>
      <c r="Q16103" s="5" t="s">
        <v>355</v>
      </c>
    </row>
    <row r="16104" ht="16.5" customHeight="1">
      <c r="O16104" s="5" t="s">
        <v>355</v>
      </c>
      <c r="P16104" s="5" t="s">
        <v>355</v>
      </c>
      <c r="Q16104" s="5" t="s">
        <v>355</v>
      </c>
    </row>
    <row r="16105" ht="16.5" customHeight="1">
      <c r="O16105" s="5" t="s">
        <v>355</v>
      </c>
      <c r="P16105" s="5" t="s">
        <v>355</v>
      </c>
      <c r="Q16105" s="5" t="s">
        <v>355</v>
      </c>
    </row>
    <row r="16106" ht="16.5" customHeight="1">
      <c r="O16106" s="5" t="s">
        <v>355</v>
      </c>
      <c r="P16106" s="5" t="s">
        <v>355</v>
      </c>
      <c r="Q16106" s="5" t="s">
        <v>355</v>
      </c>
    </row>
    <row r="16107" ht="16.5" customHeight="1">
      <c r="O16107" s="5" t="s">
        <v>355</v>
      </c>
      <c r="P16107" s="5" t="s">
        <v>355</v>
      </c>
      <c r="Q16107" s="5" t="s">
        <v>355</v>
      </c>
    </row>
    <row r="16108" ht="16.5" customHeight="1">
      <c r="O16108" s="5" t="s">
        <v>355</v>
      </c>
      <c r="P16108" s="5" t="s">
        <v>355</v>
      </c>
      <c r="Q16108" s="5" t="s">
        <v>355</v>
      </c>
    </row>
    <row r="16109" ht="16.5" customHeight="1">
      <c r="O16109" s="5" t="s">
        <v>355</v>
      </c>
      <c r="P16109" s="5" t="s">
        <v>355</v>
      </c>
      <c r="Q16109" s="5" t="s">
        <v>355</v>
      </c>
    </row>
    <row r="16110" ht="16.5" customHeight="1">
      <c r="O16110" s="5" t="s">
        <v>355</v>
      </c>
      <c r="P16110" s="5" t="s">
        <v>355</v>
      </c>
      <c r="Q16110" s="5" t="s">
        <v>355</v>
      </c>
    </row>
    <row r="16111" ht="16.5" customHeight="1">
      <c r="O16111" s="5" t="s">
        <v>355</v>
      </c>
      <c r="P16111" s="5" t="s">
        <v>355</v>
      </c>
      <c r="Q16111" s="5" t="s">
        <v>355</v>
      </c>
    </row>
    <row r="16112" ht="16.5" customHeight="1">
      <c r="O16112" s="5" t="s">
        <v>355</v>
      </c>
      <c r="P16112" s="5" t="s">
        <v>355</v>
      </c>
      <c r="Q16112" s="5" t="s">
        <v>355</v>
      </c>
    </row>
    <row r="16113" ht="16.5" customHeight="1">
      <c r="O16113" s="5" t="s">
        <v>355</v>
      </c>
      <c r="P16113" s="5" t="s">
        <v>355</v>
      </c>
      <c r="Q16113" s="5" t="s">
        <v>355</v>
      </c>
    </row>
    <row r="16114" ht="16.5" customHeight="1">
      <c r="O16114" s="5" t="s">
        <v>355</v>
      </c>
      <c r="P16114" s="5" t="s">
        <v>355</v>
      </c>
      <c r="Q16114" s="5" t="s">
        <v>355</v>
      </c>
    </row>
    <row r="16115" ht="16.5" customHeight="1">
      <c r="O16115" s="5" t="s">
        <v>355</v>
      </c>
      <c r="P16115" s="5" t="s">
        <v>355</v>
      </c>
      <c r="Q16115" s="5" t="s">
        <v>355</v>
      </c>
    </row>
    <row r="16116" ht="16.5" customHeight="1">
      <c r="O16116" s="5" t="s">
        <v>355</v>
      </c>
      <c r="P16116" s="5" t="s">
        <v>355</v>
      </c>
      <c r="Q16116" s="5" t="s">
        <v>355</v>
      </c>
    </row>
    <row r="16117" ht="16.5" customHeight="1">
      <c r="O16117" s="5" t="s">
        <v>355</v>
      </c>
      <c r="P16117" s="5" t="s">
        <v>355</v>
      </c>
      <c r="Q16117" s="5" t="s">
        <v>355</v>
      </c>
    </row>
    <row r="16118" ht="16.5" customHeight="1">
      <c r="O16118" s="5" t="s">
        <v>355</v>
      </c>
      <c r="P16118" s="5" t="s">
        <v>355</v>
      </c>
      <c r="Q16118" s="5" t="s">
        <v>355</v>
      </c>
    </row>
    <row r="16119" ht="16.5" customHeight="1">
      <c r="O16119" s="5" t="s">
        <v>355</v>
      </c>
      <c r="P16119" s="5" t="s">
        <v>355</v>
      </c>
      <c r="Q16119" s="5" t="s">
        <v>355</v>
      </c>
    </row>
    <row r="16120" ht="16.5" customHeight="1">
      <c r="O16120" s="5" t="s">
        <v>355</v>
      </c>
      <c r="P16120" s="5" t="s">
        <v>355</v>
      </c>
      <c r="Q16120" s="5" t="s">
        <v>355</v>
      </c>
    </row>
    <row r="16121" ht="16.5" customHeight="1">
      <c r="O16121" s="5" t="s">
        <v>355</v>
      </c>
      <c r="P16121" s="5" t="s">
        <v>355</v>
      </c>
      <c r="Q16121" s="5" t="s">
        <v>355</v>
      </c>
    </row>
    <row r="16122" ht="16.5" customHeight="1">
      <c r="O16122" s="5" t="s">
        <v>355</v>
      </c>
      <c r="P16122" s="5" t="s">
        <v>355</v>
      </c>
      <c r="Q16122" s="5" t="s">
        <v>355</v>
      </c>
    </row>
    <row r="16123" ht="16.5" customHeight="1">
      <c r="O16123" s="5" t="s">
        <v>355</v>
      </c>
      <c r="P16123" s="5" t="s">
        <v>355</v>
      </c>
      <c r="Q16123" s="5" t="s">
        <v>355</v>
      </c>
    </row>
    <row r="16124" ht="16.5" customHeight="1">
      <c r="O16124" s="5" t="s">
        <v>355</v>
      </c>
      <c r="P16124" s="5" t="s">
        <v>355</v>
      </c>
      <c r="Q16124" s="5" t="s">
        <v>355</v>
      </c>
    </row>
    <row r="16125" ht="16.5" customHeight="1">
      <c r="O16125" s="5" t="s">
        <v>355</v>
      </c>
      <c r="P16125" s="5" t="s">
        <v>355</v>
      </c>
      <c r="Q16125" s="5" t="s">
        <v>355</v>
      </c>
    </row>
    <row r="16126" ht="16.5" customHeight="1">
      <c r="O16126" s="5" t="s">
        <v>355</v>
      </c>
      <c r="P16126" s="5" t="s">
        <v>355</v>
      </c>
      <c r="Q16126" s="5" t="s">
        <v>355</v>
      </c>
    </row>
    <row r="16127" ht="16.5" customHeight="1">
      <c r="O16127" s="5" t="s">
        <v>355</v>
      </c>
      <c r="P16127" s="5" t="s">
        <v>355</v>
      </c>
      <c r="Q16127" s="5" t="s">
        <v>355</v>
      </c>
    </row>
    <row r="16128" ht="16.5" customHeight="1">
      <c r="O16128" s="5" t="s">
        <v>355</v>
      </c>
      <c r="P16128" s="5" t="s">
        <v>355</v>
      </c>
      <c r="Q16128" s="5" t="s">
        <v>355</v>
      </c>
    </row>
    <row r="16129" ht="16.5" customHeight="1">
      <c r="O16129" s="5" t="s">
        <v>355</v>
      </c>
      <c r="P16129" s="5" t="s">
        <v>355</v>
      </c>
      <c r="Q16129" s="5" t="s">
        <v>355</v>
      </c>
    </row>
    <row r="16130" ht="16.5" customHeight="1">
      <c r="O16130" s="5" t="s">
        <v>355</v>
      </c>
      <c r="P16130" s="5" t="s">
        <v>355</v>
      </c>
      <c r="Q16130" s="5" t="s">
        <v>355</v>
      </c>
    </row>
    <row r="16131" ht="16.5" customHeight="1">
      <c r="O16131" s="5" t="s">
        <v>355</v>
      </c>
      <c r="P16131" s="5" t="s">
        <v>355</v>
      </c>
      <c r="Q16131" s="5" t="s">
        <v>355</v>
      </c>
    </row>
    <row r="16132" ht="16.5" customHeight="1">
      <c r="O16132" s="5" t="s">
        <v>355</v>
      </c>
      <c r="P16132" s="5" t="s">
        <v>355</v>
      </c>
      <c r="Q16132" s="5" t="s">
        <v>355</v>
      </c>
    </row>
    <row r="16133" ht="16.5" customHeight="1">
      <c r="O16133" s="5" t="s">
        <v>355</v>
      </c>
      <c r="P16133" s="5" t="s">
        <v>355</v>
      </c>
      <c r="Q16133" s="5" t="s">
        <v>355</v>
      </c>
    </row>
    <row r="16134" ht="16.5" customHeight="1">
      <c r="O16134" s="5" t="s">
        <v>355</v>
      </c>
      <c r="P16134" s="5" t="s">
        <v>355</v>
      </c>
      <c r="Q16134" s="5" t="s">
        <v>355</v>
      </c>
    </row>
    <row r="16135" ht="16.5" customHeight="1">
      <c r="O16135" s="5" t="s">
        <v>355</v>
      </c>
      <c r="P16135" s="5" t="s">
        <v>355</v>
      </c>
      <c r="Q16135" s="5" t="s">
        <v>355</v>
      </c>
    </row>
    <row r="16136" ht="16.5" customHeight="1">
      <c r="O16136" s="5" t="s">
        <v>355</v>
      </c>
      <c r="P16136" s="5" t="s">
        <v>355</v>
      </c>
      <c r="Q16136" s="5" t="s">
        <v>355</v>
      </c>
    </row>
    <row r="16137" ht="16.5" customHeight="1">
      <c r="O16137" s="5" t="s">
        <v>355</v>
      </c>
      <c r="P16137" s="5" t="s">
        <v>355</v>
      </c>
      <c r="Q16137" s="5" t="s">
        <v>355</v>
      </c>
    </row>
    <row r="16138" ht="16.5" customHeight="1">
      <c r="O16138" s="5" t="s">
        <v>355</v>
      </c>
      <c r="P16138" s="5" t="s">
        <v>355</v>
      </c>
      <c r="Q16138" s="5" t="s">
        <v>355</v>
      </c>
    </row>
    <row r="16139" ht="16.5" customHeight="1">
      <c r="O16139" s="5" t="s">
        <v>355</v>
      </c>
      <c r="P16139" s="5" t="s">
        <v>355</v>
      </c>
      <c r="Q16139" s="5" t="s">
        <v>355</v>
      </c>
    </row>
    <row r="16140" ht="16.5" customHeight="1">
      <c r="O16140" s="5" t="s">
        <v>355</v>
      </c>
      <c r="P16140" s="5" t="s">
        <v>355</v>
      </c>
      <c r="Q16140" s="5" t="s">
        <v>355</v>
      </c>
    </row>
    <row r="16141" ht="16.5" customHeight="1">
      <c r="O16141" s="5" t="s">
        <v>355</v>
      </c>
      <c r="P16141" s="5" t="s">
        <v>355</v>
      </c>
      <c r="Q16141" s="5" t="s">
        <v>355</v>
      </c>
    </row>
    <row r="16142" ht="16.5" customHeight="1">
      <c r="O16142" s="5" t="s">
        <v>355</v>
      </c>
      <c r="P16142" s="5" t="s">
        <v>355</v>
      </c>
      <c r="Q16142" s="5" t="s">
        <v>355</v>
      </c>
    </row>
    <row r="16143" ht="16.5" customHeight="1">
      <c r="O16143" s="5" t="s">
        <v>355</v>
      </c>
      <c r="P16143" s="5" t="s">
        <v>355</v>
      </c>
      <c r="Q16143" s="5" t="s">
        <v>355</v>
      </c>
    </row>
    <row r="16144" ht="16.5" customHeight="1">
      <c r="O16144" s="5" t="s">
        <v>355</v>
      </c>
      <c r="P16144" s="5" t="s">
        <v>355</v>
      </c>
      <c r="Q16144" s="5" t="s">
        <v>355</v>
      </c>
    </row>
    <row r="16145" ht="16.5" customHeight="1">
      <c r="O16145" s="5" t="s">
        <v>355</v>
      </c>
      <c r="P16145" s="5" t="s">
        <v>355</v>
      </c>
      <c r="Q16145" s="5" t="s">
        <v>355</v>
      </c>
    </row>
    <row r="16146" ht="16.5" customHeight="1">
      <c r="O16146" s="5" t="s">
        <v>355</v>
      </c>
      <c r="P16146" s="5" t="s">
        <v>355</v>
      </c>
      <c r="Q16146" s="5" t="s">
        <v>355</v>
      </c>
    </row>
    <row r="16147" ht="16.5" customHeight="1">
      <c r="O16147" s="5" t="s">
        <v>355</v>
      </c>
      <c r="P16147" s="5" t="s">
        <v>355</v>
      </c>
      <c r="Q16147" s="5" t="s">
        <v>355</v>
      </c>
    </row>
    <row r="16148" ht="16.5" customHeight="1">
      <c r="O16148" s="5" t="s">
        <v>355</v>
      </c>
      <c r="P16148" s="5" t="s">
        <v>355</v>
      </c>
      <c r="Q16148" s="5" t="s">
        <v>355</v>
      </c>
    </row>
    <row r="16149" ht="16.5" customHeight="1">
      <c r="O16149" s="5" t="s">
        <v>355</v>
      </c>
      <c r="P16149" s="5" t="s">
        <v>355</v>
      </c>
      <c r="Q16149" s="5" t="s">
        <v>355</v>
      </c>
    </row>
    <row r="16150" ht="16.5" customHeight="1">
      <c r="O16150" s="5" t="s">
        <v>355</v>
      </c>
      <c r="P16150" s="5" t="s">
        <v>355</v>
      </c>
      <c r="Q16150" s="5" t="s">
        <v>355</v>
      </c>
    </row>
    <row r="16151" ht="16.5" customHeight="1">
      <c r="O16151" s="5" t="s">
        <v>355</v>
      </c>
      <c r="P16151" s="5" t="s">
        <v>355</v>
      </c>
      <c r="Q16151" s="5" t="s">
        <v>355</v>
      </c>
    </row>
    <row r="16152" ht="16.5" customHeight="1">
      <c r="O16152" s="5" t="s">
        <v>355</v>
      </c>
      <c r="P16152" s="5" t="s">
        <v>355</v>
      </c>
      <c r="Q16152" s="5" t="s">
        <v>355</v>
      </c>
    </row>
    <row r="16153" ht="16.5" customHeight="1">
      <c r="O16153" s="5" t="s">
        <v>355</v>
      </c>
      <c r="P16153" s="5" t="s">
        <v>355</v>
      </c>
      <c r="Q16153" s="5" t="s">
        <v>355</v>
      </c>
    </row>
    <row r="16154" ht="16.5" customHeight="1">
      <c r="O16154" s="5" t="s">
        <v>355</v>
      </c>
      <c r="P16154" s="5" t="s">
        <v>355</v>
      </c>
      <c r="Q16154" s="5" t="s">
        <v>355</v>
      </c>
    </row>
    <row r="16155" ht="16.5" customHeight="1">
      <c r="O16155" s="5" t="s">
        <v>355</v>
      </c>
      <c r="P16155" s="5" t="s">
        <v>355</v>
      </c>
      <c r="Q16155" s="5" t="s">
        <v>355</v>
      </c>
    </row>
    <row r="16156" ht="16.5" customHeight="1">
      <c r="O16156" s="5" t="s">
        <v>355</v>
      </c>
      <c r="P16156" s="5" t="s">
        <v>355</v>
      </c>
      <c r="Q16156" s="5" t="s">
        <v>355</v>
      </c>
    </row>
    <row r="16157" ht="16.5" customHeight="1">
      <c r="O16157" s="5" t="s">
        <v>355</v>
      </c>
      <c r="P16157" s="5" t="s">
        <v>355</v>
      </c>
      <c r="Q16157" s="5" t="s">
        <v>355</v>
      </c>
    </row>
    <row r="16158" ht="16.5" customHeight="1">
      <c r="O16158" s="5" t="s">
        <v>355</v>
      </c>
      <c r="P16158" s="5" t="s">
        <v>355</v>
      </c>
      <c r="Q16158" s="5" t="s">
        <v>355</v>
      </c>
    </row>
    <row r="16159" ht="16.5" customHeight="1">
      <c r="O16159" s="5" t="s">
        <v>355</v>
      </c>
      <c r="P16159" s="5" t="s">
        <v>355</v>
      </c>
      <c r="Q16159" s="5" t="s">
        <v>355</v>
      </c>
    </row>
    <row r="16160" ht="16.5" customHeight="1">
      <c r="O16160" s="5" t="s">
        <v>355</v>
      </c>
      <c r="P16160" s="5" t="s">
        <v>355</v>
      </c>
      <c r="Q16160" s="5" t="s">
        <v>355</v>
      </c>
    </row>
    <row r="16161" ht="16.5" customHeight="1">
      <c r="O16161" s="5" t="s">
        <v>355</v>
      </c>
      <c r="P16161" s="5" t="s">
        <v>355</v>
      </c>
      <c r="Q16161" s="5" t="s">
        <v>355</v>
      </c>
    </row>
    <row r="16162" ht="16.5" customHeight="1">
      <c r="O16162" s="5" t="s">
        <v>355</v>
      </c>
      <c r="P16162" s="5" t="s">
        <v>355</v>
      </c>
      <c r="Q16162" s="5" t="s">
        <v>355</v>
      </c>
    </row>
    <row r="16163" ht="16.5" customHeight="1">
      <c r="O16163" s="5" t="s">
        <v>355</v>
      </c>
      <c r="P16163" s="5" t="s">
        <v>355</v>
      </c>
      <c r="Q16163" s="5" t="s">
        <v>355</v>
      </c>
    </row>
    <row r="16164" ht="16.5" customHeight="1">
      <c r="O16164" s="5" t="s">
        <v>355</v>
      </c>
      <c r="P16164" s="5" t="s">
        <v>355</v>
      </c>
      <c r="Q16164" s="5" t="s">
        <v>355</v>
      </c>
    </row>
    <row r="16165" ht="16.5" customHeight="1">
      <c r="O16165" s="5" t="s">
        <v>355</v>
      </c>
      <c r="P16165" s="5" t="s">
        <v>355</v>
      </c>
      <c r="Q16165" s="5" t="s">
        <v>355</v>
      </c>
    </row>
    <row r="16166" ht="16.5" customHeight="1">
      <c r="O16166" s="5" t="s">
        <v>355</v>
      </c>
      <c r="P16166" s="5" t="s">
        <v>355</v>
      </c>
      <c r="Q16166" s="5" t="s">
        <v>355</v>
      </c>
    </row>
    <row r="16167" ht="16.5" customHeight="1">
      <c r="O16167" s="5" t="s">
        <v>355</v>
      </c>
      <c r="P16167" s="5" t="s">
        <v>355</v>
      </c>
      <c r="Q16167" s="5" t="s">
        <v>355</v>
      </c>
    </row>
    <row r="16168" ht="16.5" customHeight="1">
      <c r="O16168" s="5" t="s">
        <v>355</v>
      </c>
      <c r="P16168" s="5" t="s">
        <v>355</v>
      </c>
      <c r="Q16168" s="5" t="s">
        <v>355</v>
      </c>
    </row>
    <row r="16169" ht="16.5" customHeight="1">
      <c r="O16169" s="5" t="s">
        <v>355</v>
      </c>
      <c r="P16169" s="5" t="s">
        <v>355</v>
      </c>
      <c r="Q16169" s="5" t="s">
        <v>355</v>
      </c>
    </row>
    <row r="16170" ht="16.5" customHeight="1">
      <c r="O16170" s="5" t="s">
        <v>355</v>
      </c>
      <c r="P16170" s="5" t="s">
        <v>355</v>
      </c>
      <c r="Q16170" s="5" t="s">
        <v>355</v>
      </c>
    </row>
    <row r="16171" ht="16.5" customHeight="1">
      <c r="O16171" s="5" t="s">
        <v>355</v>
      </c>
      <c r="P16171" s="5" t="s">
        <v>355</v>
      </c>
      <c r="Q16171" s="5" t="s">
        <v>355</v>
      </c>
    </row>
    <row r="16172" ht="16.5" customHeight="1">
      <c r="O16172" s="5" t="s">
        <v>355</v>
      </c>
      <c r="P16172" s="5" t="s">
        <v>355</v>
      </c>
      <c r="Q16172" s="5" t="s">
        <v>355</v>
      </c>
    </row>
    <row r="16173" ht="16.5" customHeight="1">
      <c r="O16173" s="5" t="s">
        <v>355</v>
      </c>
      <c r="P16173" s="5" t="s">
        <v>355</v>
      </c>
      <c r="Q16173" s="5" t="s">
        <v>355</v>
      </c>
    </row>
    <row r="16174" ht="16.5" customHeight="1">
      <c r="O16174" s="5" t="s">
        <v>355</v>
      </c>
      <c r="P16174" s="5" t="s">
        <v>355</v>
      </c>
      <c r="Q16174" s="5" t="s">
        <v>355</v>
      </c>
    </row>
    <row r="16175" ht="16.5" customHeight="1">
      <c r="O16175" s="5" t="s">
        <v>355</v>
      </c>
      <c r="P16175" s="5" t="s">
        <v>355</v>
      </c>
      <c r="Q16175" s="5" t="s">
        <v>355</v>
      </c>
    </row>
    <row r="16176" ht="16.5" customHeight="1">
      <c r="O16176" s="5" t="s">
        <v>355</v>
      </c>
      <c r="P16176" s="5" t="s">
        <v>355</v>
      </c>
      <c r="Q16176" s="5" t="s">
        <v>355</v>
      </c>
    </row>
    <row r="16177" ht="16.5" customHeight="1">
      <c r="O16177" s="5" t="s">
        <v>355</v>
      </c>
      <c r="P16177" s="5" t="s">
        <v>355</v>
      </c>
      <c r="Q16177" s="5" t="s">
        <v>355</v>
      </c>
    </row>
    <row r="16178" ht="16.5" customHeight="1">
      <c r="O16178" s="5" t="s">
        <v>355</v>
      </c>
      <c r="P16178" s="5" t="s">
        <v>355</v>
      </c>
      <c r="Q16178" s="5" t="s">
        <v>355</v>
      </c>
    </row>
    <row r="16179" ht="16.5" customHeight="1">
      <c r="O16179" s="5" t="s">
        <v>355</v>
      </c>
      <c r="P16179" s="5" t="s">
        <v>355</v>
      </c>
      <c r="Q16179" s="5" t="s">
        <v>355</v>
      </c>
    </row>
    <row r="16180" ht="16.5" customHeight="1">
      <c r="O16180" s="5" t="s">
        <v>355</v>
      </c>
      <c r="P16180" s="5" t="s">
        <v>355</v>
      </c>
      <c r="Q16180" s="5" t="s">
        <v>355</v>
      </c>
    </row>
    <row r="16181" ht="16.5" customHeight="1">
      <c r="O16181" s="5" t="s">
        <v>355</v>
      </c>
      <c r="P16181" s="5" t="s">
        <v>355</v>
      </c>
      <c r="Q16181" s="5" t="s">
        <v>355</v>
      </c>
    </row>
    <row r="16182" ht="16.5" customHeight="1">
      <c r="O16182" s="5" t="s">
        <v>355</v>
      </c>
      <c r="P16182" s="5" t="s">
        <v>355</v>
      </c>
      <c r="Q16182" s="5" t="s">
        <v>355</v>
      </c>
    </row>
    <row r="16183" ht="16.5" customHeight="1">
      <c r="O16183" s="5" t="s">
        <v>355</v>
      </c>
      <c r="P16183" s="5" t="s">
        <v>355</v>
      </c>
      <c r="Q16183" s="5" t="s">
        <v>355</v>
      </c>
    </row>
    <row r="16184" ht="16.5" customHeight="1">
      <c r="O16184" s="5" t="s">
        <v>355</v>
      </c>
      <c r="P16184" s="5" t="s">
        <v>355</v>
      </c>
      <c r="Q16184" s="5" t="s">
        <v>355</v>
      </c>
    </row>
    <row r="16185" ht="16.5" customHeight="1">
      <c r="O16185" s="5" t="s">
        <v>355</v>
      </c>
      <c r="P16185" s="5" t="s">
        <v>355</v>
      </c>
      <c r="Q16185" s="5" t="s">
        <v>355</v>
      </c>
    </row>
    <row r="16186" ht="16.5" customHeight="1">
      <c r="O16186" s="5" t="s">
        <v>355</v>
      </c>
      <c r="P16186" s="5" t="s">
        <v>355</v>
      </c>
      <c r="Q16186" s="5" t="s">
        <v>355</v>
      </c>
    </row>
    <row r="16187" ht="16.5" customHeight="1">
      <c r="O16187" s="5" t="s">
        <v>355</v>
      </c>
      <c r="P16187" s="5" t="s">
        <v>355</v>
      </c>
      <c r="Q16187" s="5" t="s">
        <v>355</v>
      </c>
    </row>
    <row r="16188" ht="16.5" customHeight="1">
      <c r="O16188" s="5" t="s">
        <v>355</v>
      </c>
      <c r="P16188" s="5" t="s">
        <v>355</v>
      </c>
      <c r="Q16188" s="5" t="s">
        <v>355</v>
      </c>
    </row>
    <row r="16189" ht="16.5" customHeight="1">
      <c r="O16189" s="5" t="s">
        <v>355</v>
      </c>
      <c r="P16189" s="5" t="s">
        <v>355</v>
      </c>
      <c r="Q16189" s="5" t="s">
        <v>355</v>
      </c>
    </row>
    <row r="16190" ht="16.5" customHeight="1">
      <c r="O16190" s="5" t="s">
        <v>355</v>
      </c>
      <c r="P16190" s="5" t="s">
        <v>355</v>
      </c>
      <c r="Q16190" s="5" t="s">
        <v>355</v>
      </c>
    </row>
    <row r="16191" ht="16.5" customHeight="1">
      <c r="O16191" s="5" t="s">
        <v>355</v>
      </c>
      <c r="P16191" s="5" t="s">
        <v>355</v>
      </c>
      <c r="Q16191" s="5" t="s">
        <v>355</v>
      </c>
    </row>
    <row r="16192" ht="16.5" customHeight="1">
      <c r="O16192" s="5" t="s">
        <v>355</v>
      </c>
      <c r="P16192" s="5" t="s">
        <v>355</v>
      </c>
      <c r="Q16192" s="5" t="s">
        <v>355</v>
      </c>
    </row>
    <row r="16193" ht="16.5" customHeight="1">
      <c r="O16193" s="5" t="s">
        <v>355</v>
      </c>
      <c r="P16193" s="5" t="s">
        <v>355</v>
      </c>
      <c r="Q16193" s="5" t="s">
        <v>355</v>
      </c>
    </row>
    <row r="16194" ht="16.5" customHeight="1">
      <c r="O16194" s="5" t="s">
        <v>355</v>
      </c>
      <c r="P16194" s="5" t="s">
        <v>355</v>
      </c>
      <c r="Q16194" s="5" t="s">
        <v>355</v>
      </c>
    </row>
    <row r="16195" ht="16.5" customHeight="1">
      <c r="O16195" s="5" t="s">
        <v>355</v>
      </c>
      <c r="P16195" s="5" t="s">
        <v>355</v>
      </c>
      <c r="Q16195" s="5" t="s">
        <v>355</v>
      </c>
    </row>
    <row r="16196" ht="16.5" customHeight="1">
      <c r="O16196" s="5" t="s">
        <v>355</v>
      </c>
      <c r="P16196" s="5" t="s">
        <v>355</v>
      </c>
      <c r="Q16196" s="5" t="s">
        <v>355</v>
      </c>
    </row>
    <row r="16197" ht="16.5" customHeight="1">
      <c r="O16197" s="5" t="s">
        <v>355</v>
      </c>
      <c r="P16197" s="5" t="s">
        <v>355</v>
      </c>
      <c r="Q16197" s="5" t="s">
        <v>355</v>
      </c>
    </row>
    <row r="16198" ht="16.5" customHeight="1">
      <c r="O16198" s="5" t="s">
        <v>355</v>
      </c>
      <c r="P16198" s="5" t="s">
        <v>355</v>
      </c>
      <c r="Q16198" s="5" t="s">
        <v>355</v>
      </c>
    </row>
    <row r="16199" ht="16.5" customHeight="1">
      <c r="O16199" s="5" t="s">
        <v>355</v>
      </c>
      <c r="P16199" s="5" t="s">
        <v>355</v>
      </c>
      <c r="Q16199" s="5" t="s">
        <v>355</v>
      </c>
    </row>
    <row r="16200" ht="16.5" customHeight="1">
      <c r="O16200" s="5" t="s">
        <v>355</v>
      </c>
      <c r="P16200" s="5" t="s">
        <v>355</v>
      </c>
      <c r="Q16200" s="5" t="s">
        <v>355</v>
      </c>
    </row>
    <row r="16201" ht="16.5" customHeight="1">
      <c r="O16201" s="5" t="s">
        <v>355</v>
      </c>
      <c r="P16201" s="5" t="s">
        <v>355</v>
      </c>
      <c r="Q16201" s="5" t="s">
        <v>355</v>
      </c>
    </row>
    <row r="16202" ht="16.5" customHeight="1">
      <c r="O16202" s="5" t="s">
        <v>355</v>
      </c>
      <c r="P16202" s="5" t="s">
        <v>355</v>
      </c>
      <c r="Q16202" s="5" t="s">
        <v>355</v>
      </c>
    </row>
    <row r="16203" ht="16.5" customHeight="1">
      <c r="O16203" s="5" t="s">
        <v>355</v>
      </c>
      <c r="P16203" s="5" t="s">
        <v>355</v>
      </c>
      <c r="Q16203" s="5" t="s">
        <v>355</v>
      </c>
    </row>
    <row r="16204" ht="16.5" customHeight="1">
      <c r="O16204" s="5" t="s">
        <v>355</v>
      </c>
      <c r="P16204" s="5" t="s">
        <v>355</v>
      </c>
      <c r="Q16204" s="5" t="s">
        <v>355</v>
      </c>
    </row>
    <row r="16205" ht="16.5" customHeight="1">
      <c r="O16205" s="5" t="s">
        <v>355</v>
      </c>
      <c r="P16205" s="5" t="s">
        <v>355</v>
      </c>
      <c r="Q16205" s="5" t="s">
        <v>355</v>
      </c>
    </row>
    <row r="16206" ht="16.5" customHeight="1">
      <c r="O16206" s="5" t="s">
        <v>355</v>
      </c>
      <c r="P16206" s="5" t="s">
        <v>355</v>
      </c>
      <c r="Q16206" s="5" t="s">
        <v>355</v>
      </c>
    </row>
    <row r="16207" ht="16.5" customHeight="1">
      <c r="O16207" s="5" t="s">
        <v>355</v>
      </c>
      <c r="P16207" s="5" t="s">
        <v>355</v>
      </c>
      <c r="Q16207" s="5" t="s">
        <v>355</v>
      </c>
    </row>
    <row r="16208" ht="16.5" customHeight="1">
      <c r="O16208" s="5" t="s">
        <v>355</v>
      </c>
      <c r="P16208" s="5" t="s">
        <v>355</v>
      </c>
      <c r="Q16208" s="5" t="s">
        <v>355</v>
      </c>
    </row>
    <row r="16209" ht="16.5" customHeight="1">
      <c r="O16209" s="5" t="s">
        <v>355</v>
      </c>
      <c r="P16209" s="5" t="s">
        <v>355</v>
      </c>
      <c r="Q16209" s="5" t="s">
        <v>355</v>
      </c>
    </row>
    <row r="16210" ht="16.5" customHeight="1">
      <c r="O16210" s="5" t="s">
        <v>355</v>
      </c>
      <c r="P16210" s="5" t="s">
        <v>355</v>
      </c>
      <c r="Q16210" s="5" t="s">
        <v>355</v>
      </c>
    </row>
    <row r="16211" ht="16.5" customHeight="1">
      <c r="O16211" s="5" t="s">
        <v>355</v>
      </c>
      <c r="P16211" s="5" t="s">
        <v>355</v>
      </c>
      <c r="Q16211" s="5" t="s">
        <v>355</v>
      </c>
    </row>
    <row r="16212" ht="16.5" customHeight="1">
      <c r="O16212" s="5" t="s">
        <v>355</v>
      </c>
      <c r="P16212" s="5" t="s">
        <v>355</v>
      </c>
      <c r="Q16212" s="5" t="s">
        <v>355</v>
      </c>
    </row>
    <row r="16213" ht="16.5" customHeight="1">
      <c r="O16213" s="5" t="s">
        <v>355</v>
      </c>
      <c r="P16213" s="5" t="s">
        <v>355</v>
      </c>
      <c r="Q16213" s="5" t="s">
        <v>355</v>
      </c>
    </row>
    <row r="16214" ht="16.5" customHeight="1">
      <c r="O16214" s="5" t="s">
        <v>355</v>
      </c>
      <c r="P16214" s="5" t="s">
        <v>355</v>
      </c>
      <c r="Q16214" s="5" t="s">
        <v>355</v>
      </c>
    </row>
    <row r="16215" ht="16.5" customHeight="1">
      <c r="O16215" s="5" t="s">
        <v>355</v>
      </c>
      <c r="P16215" s="5" t="s">
        <v>355</v>
      </c>
      <c r="Q16215" s="5" t="s">
        <v>355</v>
      </c>
    </row>
    <row r="16216" ht="16.5" customHeight="1">
      <c r="O16216" s="5" t="s">
        <v>355</v>
      </c>
      <c r="P16216" s="5" t="s">
        <v>355</v>
      </c>
      <c r="Q16216" s="5" t="s">
        <v>355</v>
      </c>
    </row>
    <row r="16217" ht="16.5" customHeight="1">
      <c r="O16217" s="5" t="s">
        <v>355</v>
      </c>
      <c r="P16217" s="5" t="s">
        <v>355</v>
      </c>
      <c r="Q16217" s="5" t="s">
        <v>355</v>
      </c>
    </row>
    <row r="16218" ht="16.5" customHeight="1">
      <c r="O16218" s="5" t="s">
        <v>355</v>
      </c>
      <c r="P16218" s="5" t="s">
        <v>355</v>
      </c>
      <c r="Q16218" s="5" t="s">
        <v>355</v>
      </c>
    </row>
    <row r="16219" ht="16.5" customHeight="1">
      <c r="O16219" s="5" t="s">
        <v>355</v>
      </c>
      <c r="P16219" s="5" t="s">
        <v>355</v>
      </c>
      <c r="Q16219" s="5" t="s">
        <v>355</v>
      </c>
    </row>
    <row r="16220" ht="16.5" customHeight="1">
      <c r="O16220" s="5" t="s">
        <v>355</v>
      </c>
      <c r="P16220" s="5" t="s">
        <v>355</v>
      </c>
      <c r="Q16220" s="5" t="s">
        <v>355</v>
      </c>
    </row>
    <row r="16221" ht="16.5" customHeight="1">
      <c r="O16221" s="5" t="s">
        <v>355</v>
      </c>
      <c r="P16221" s="5" t="s">
        <v>355</v>
      </c>
      <c r="Q16221" s="5" t="s">
        <v>355</v>
      </c>
    </row>
    <row r="16222" ht="16.5" customHeight="1">
      <c r="O16222" s="5" t="s">
        <v>355</v>
      </c>
      <c r="P16222" s="5" t="s">
        <v>355</v>
      </c>
      <c r="Q16222" s="5" t="s">
        <v>355</v>
      </c>
    </row>
    <row r="16223" ht="16.5" customHeight="1">
      <c r="O16223" s="5" t="s">
        <v>355</v>
      </c>
      <c r="P16223" s="5" t="s">
        <v>355</v>
      </c>
      <c r="Q16223" s="5" t="s">
        <v>355</v>
      </c>
    </row>
    <row r="16224" ht="16.5" customHeight="1">
      <c r="O16224" s="5" t="s">
        <v>355</v>
      </c>
      <c r="P16224" s="5" t="s">
        <v>355</v>
      </c>
      <c r="Q16224" s="5" t="s">
        <v>355</v>
      </c>
    </row>
    <row r="16225" ht="16.5" customHeight="1">
      <c r="O16225" s="5" t="s">
        <v>355</v>
      </c>
      <c r="P16225" s="5" t="s">
        <v>355</v>
      </c>
      <c r="Q16225" s="5" t="s">
        <v>355</v>
      </c>
    </row>
    <row r="16226" ht="16.5" customHeight="1">
      <c r="O16226" s="5" t="s">
        <v>355</v>
      </c>
      <c r="P16226" s="5" t="s">
        <v>355</v>
      </c>
      <c r="Q16226" s="5" t="s">
        <v>355</v>
      </c>
    </row>
    <row r="16227" ht="16.5" customHeight="1">
      <c r="O16227" s="5" t="s">
        <v>355</v>
      </c>
      <c r="P16227" s="5" t="s">
        <v>355</v>
      </c>
      <c r="Q16227" s="5" t="s">
        <v>355</v>
      </c>
    </row>
    <row r="16228" ht="16.5" customHeight="1">
      <c r="O16228" s="5" t="s">
        <v>355</v>
      </c>
      <c r="P16228" s="5" t="s">
        <v>355</v>
      </c>
      <c r="Q16228" s="5" t="s">
        <v>355</v>
      </c>
    </row>
    <row r="16229" ht="16.5" customHeight="1">
      <c r="O16229" s="5" t="s">
        <v>355</v>
      </c>
      <c r="P16229" s="5" t="s">
        <v>355</v>
      </c>
      <c r="Q16229" s="5" t="s">
        <v>355</v>
      </c>
    </row>
    <row r="16230" ht="16.5" customHeight="1">
      <c r="O16230" s="5" t="s">
        <v>355</v>
      </c>
      <c r="P16230" s="5" t="s">
        <v>355</v>
      </c>
      <c r="Q16230" s="5" t="s">
        <v>355</v>
      </c>
    </row>
    <row r="16231" ht="16.5" customHeight="1">
      <c r="O16231" s="5" t="s">
        <v>355</v>
      </c>
      <c r="P16231" s="5" t="s">
        <v>355</v>
      </c>
      <c r="Q16231" s="5" t="s">
        <v>355</v>
      </c>
    </row>
    <row r="16232" ht="16.5" customHeight="1">
      <c r="O16232" s="5" t="s">
        <v>355</v>
      </c>
      <c r="P16232" s="5" t="s">
        <v>355</v>
      </c>
      <c r="Q16232" s="5" t="s">
        <v>355</v>
      </c>
    </row>
    <row r="16233" ht="16.5" customHeight="1">
      <c r="O16233" s="5" t="s">
        <v>355</v>
      </c>
      <c r="P16233" s="5" t="s">
        <v>355</v>
      </c>
      <c r="Q16233" s="5" t="s">
        <v>355</v>
      </c>
    </row>
    <row r="16234" ht="16.5" customHeight="1">
      <c r="O16234" s="5" t="s">
        <v>355</v>
      </c>
      <c r="P16234" s="5" t="s">
        <v>355</v>
      </c>
      <c r="Q16234" s="5" t="s">
        <v>355</v>
      </c>
    </row>
    <row r="16235" ht="16.5" customHeight="1">
      <c r="O16235" s="5" t="s">
        <v>355</v>
      </c>
      <c r="P16235" s="5" t="s">
        <v>355</v>
      </c>
      <c r="Q16235" s="5" t="s">
        <v>355</v>
      </c>
    </row>
    <row r="16236" ht="16.5" customHeight="1">
      <c r="O16236" s="5" t="s">
        <v>355</v>
      </c>
      <c r="P16236" s="5" t="s">
        <v>355</v>
      </c>
      <c r="Q16236" s="5" t="s">
        <v>355</v>
      </c>
    </row>
    <row r="16237" ht="16.5" customHeight="1">
      <c r="O16237" s="5" t="s">
        <v>355</v>
      </c>
      <c r="P16237" s="5" t="s">
        <v>355</v>
      </c>
      <c r="Q16237" s="5" t="s">
        <v>355</v>
      </c>
    </row>
    <row r="16238" ht="16.5" customHeight="1">
      <c r="O16238" s="5" t="s">
        <v>355</v>
      </c>
      <c r="P16238" s="5" t="s">
        <v>355</v>
      </c>
      <c r="Q16238" s="5" t="s">
        <v>355</v>
      </c>
    </row>
    <row r="16239" ht="16.5" customHeight="1">
      <c r="O16239" s="5" t="s">
        <v>355</v>
      </c>
      <c r="P16239" s="5" t="s">
        <v>355</v>
      </c>
      <c r="Q16239" s="5" t="s">
        <v>355</v>
      </c>
    </row>
    <row r="16240" ht="16.5" customHeight="1">
      <c r="O16240" s="5" t="s">
        <v>355</v>
      </c>
      <c r="P16240" s="5" t="s">
        <v>355</v>
      </c>
      <c r="Q16240" s="5" t="s">
        <v>355</v>
      </c>
    </row>
    <row r="16241" ht="16.5" customHeight="1">
      <c r="O16241" s="5" t="s">
        <v>355</v>
      </c>
      <c r="P16241" s="5" t="s">
        <v>355</v>
      </c>
      <c r="Q16241" s="5" t="s">
        <v>355</v>
      </c>
    </row>
    <row r="16242" ht="16.5" customHeight="1">
      <c r="O16242" s="5" t="s">
        <v>355</v>
      </c>
      <c r="P16242" s="5" t="s">
        <v>355</v>
      </c>
      <c r="Q16242" s="5" t="s">
        <v>355</v>
      </c>
    </row>
    <row r="16243" ht="16.5" customHeight="1">
      <c r="O16243" s="5" t="s">
        <v>355</v>
      </c>
      <c r="P16243" s="5" t="s">
        <v>355</v>
      </c>
      <c r="Q16243" s="5" t="s">
        <v>355</v>
      </c>
    </row>
    <row r="16244" ht="16.5" customHeight="1">
      <c r="O16244" s="5" t="s">
        <v>355</v>
      </c>
      <c r="P16244" s="5" t="s">
        <v>355</v>
      </c>
      <c r="Q16244" s="5" t="s">
        <v>355</v>
      </c>
    </row>
    <row r="16245" ht="16.5" customHeight="1">
      <c r="O16245" s="5" t="s">
        <v>355</v>
      </c>
      <c r="P16245" s="5" t="s">
        <v>355</v>
      </c>
      <c r="Q16245" s="5" t="s">
        <v>355</v>
      </c>
    </row>
    <row r="16246" ht="16.5" customHeight="1">
      <c r="O16246" s="5" t="s">
        <v>355</v>
      </c>
      <c r="P16246" s="5" t="s">
        <v>355</v>
      </c>
      <c r="Q16246" s="5" t="s">
        <v>355</v>
      </c>
    </row>
    <row r="16247" ht="16.5" customHeight="1">
      <c r="O16247" s="5" t="s">
        <v>355</v>
      </c>
      <c r="P16247" s="5" t="s">
        <v>355</v>
      </c>
      <c r="Q16247" s="5" t="s">
        <v>355</v>
      </c>
    </row>
    <row r="16248" ht="16.5" customHeight="1">
      <c r="O16248" s="5" t="s">
        <v>355</v>
      </c>
      <c r="P16248" s="5" t="s">
        <v>355</v>
      </c>
      <c r="Q16248" s="5" t="s">
        <v>355</v>
      </c>
    </row>
    <row r="16249" ht="16.5" customHeight="1">
      <c r="O16249" s="5" t="s">
        <v>355</v>
      </c>
      <c r="P16249" s="5" t="s">
        <v>355</v>
      </c>
      <c r="Q16249" s="5" t="s">
        <v>355</v>
      </c>
    </row>
    <row r="16250" ht="16.5" customHeight="1">
      <c r="O16250" s="5" t="s">
        <v>355</v>
      </c>
      <c r="P16250" s="5" t="s">
        <v>355</v>
      </c>
      <c r="Q16250" s="5" t="s">
        <v>355</v>
      </c>
    </row>
    <row r="16251" ht="16.5" customHeight="1">
      <c r="O16251" s="5" t="s">
        <v>355</v>
      </c>
      <c r="P16251" s="5" t="s">
        <v>355</v>
      </c>
      <c r="Q16251" s="5" t="s">
        <v>355</v>
      </c>
    </row>
    <row r="16252" ht="16.5" customHeight="1">
      <c r="O16252" s="5" t="s">
        <v>355</v>
      </c>
      <c r="P16252" s="5" t="s">
        <v>355</v>
      </c>
      <c r="Q16252" s="5" t="s">
        <v>355</v>
      </c>
    </row>
    <row r="16253" ht="16.5" customHeight="1">
      <c r="O16253" s="5" t="s">
        <v>355</v>
      </c>
      <c r="P16253" s="5" t="s">
        <v>355</v>
      </c>
      <c r="Q16253" s="5" t="s">
        <v>355</v>
      </c>
    </row>
    <row r="16254" ht="16.5" customHeight="1">
      <c r="O16254" s="5" t="s">
        <v>355</v>
      </c>
      <c r="P16254" s="5" t="s">
        <v>355</v>
      </c>
      <c r="Q16254" s="5" t="s">
        <v>355</v>
      </c>
    </row>
    <row r="16255" ht="16.5" customHeight="1">
      <c r="O16255" s="5" t="s">
        <v>355</v>
      </c>
      <c r="P16255" s="5" t="s">
        <v>355</v>
      </c>
      <c r="Q16255" s="5" t="s">
        <v>355</v>
      </c>
    </row>
    <row r="16256" ht="16.5" customHeight="1">
      <c r="O16256" s="5" t="s">
        <v>355</v>
      </c>
      <c r="P16256" s="5" t="s">
        <v>355</v>
      </c>
      <c r="Q16256" s="5" t="s">
        <v>355</v>
      </c>
    </row>
    <row r="16257" ht="16.5" customHeight="1">
      <c r="O16257" s="5" t="s">
        <v>355</v>
      </c>
      <c r="P16257" s="5" t="s">
        <v>355</v>
      </c>
      <c r="Q16257" s="5" t="s">
        <v>355</v>
      </c>
    </row>
    <row r="16258" ht="16.5" customHeight="1">
      <c r="O16258" s="5" t="s">
        <v>355</v>
      </c>
      <c r="P16258" s="5" t="s">
        <v>355</v>
      </c>
      <c r="Q16258" s="5" t="s">
        <v>355</v>
      </c>
    </row>
    <row r="16259" ht="16.5" customHeight="1">
      <c r="O16259" s="5" t="s">
        <v>355</v>
      </c>
      <c r="P16259" s="5" t="s">
        <v>355</v>
      </c>
      <c r="Q16259" s="5" t="s">
        <v>355</v>
      </c>
    </row>
    <row r="16260" ht="16.5" customHeight="1">
      <c r="O16260" s="5" t="s">
        <v>355</v>
      </c>
      <c r="P16260" s="5" t="s">
        <v>355</v>
      </c>
      <c r="Q16260" s="5" t="s">
        <v>355</v>
      </c>
    </row>
    <row r="16261" ht="16.5" customHeight="1">
      <c r="O16261" s="5" t="s">
        <v>355</v>
      </c>
      <c r="P16261" s="5" t="s">
        <v>355</v>
      </c>
      <c r="Q16261" s="5" t="s">
        <v>355</v>
      </c>
    </row>
    <row r="16262" ht="16.5" customHeight="1">
      <c r="O16262" s="5" t="s">
        <v>355</v>
      </c>
      <c r="P16262" s="5" t="s">
        <v>355</v>
      </c>
      <c r="Q16262" s="5" t="s">
        <v>355</v>
      </c>
    </row>
    <row r="16263" ht="16.5" customHeight="1">
      <c r="O16263" s="5" t="s">
        <v>355</v>
      </c>
      <c r="P16263" s="5" t="s">
        <v>355</v>
      </c>
      <c r="Q16263" s="5" t="s">
        <v>355</v>
      </c>
    </row>
    <row r="16264" ht="16.5" customHeight="1">
      <c r="O16264" s="5" t="s">
        <v>355</v>
      </c>
      <c r="P16264" s="5" t="s">
        <v>355</v>
      </c>
      <c r="Q16264" s="5" t="s">
        <v>355</v>
      </c>
    </row>
    <row r="16265" ht="16.5" customHeight="1">
      <c r="O16265" s="5" t="s">
        <v>355</v>
      </c>
      <c r="P16265" s="5" t="s">
        <v>355</v>
      </c>
      <c r="Q16265" s="5" t="s">
        <v>355</v>
      </c>
    </row>
    <row r="16266" ht="16.5" customHeight="1">
      <c r="O16266" s="5" t="s">
        <v>355</v>
      </c>
      <c r="P16266" s="5" t="s">
        <v>355</v>
      </c>
      <c r="Q16266" s="5" t="s">
        <v>355</v>
      </c>
    </row>
    <row r="16267" ht="16.5" customHeight="1">
      <c r="O16267" s="5" t="s">
        <v>355</v>
      </c>
      <c r="P16267" s="5" t="s">
        <v>355</v>
      </c>
      <c r="Q16267" s="5" t="s">
        <v>355</v>
      </c>
    </row>
    <row r="16268" ht="16.5" customHeight="1">
      <c r="O16268" s="5" t="s">
        <v>355</v>
      </c>
      <c r="P16268" s="5" t="s">
        <v>355</v>
      </c>
      <c r="Q16268" s="5" t="s">
        <v>355</v>
      </c>
    </row>
    <row r="16269" ht="16.5" customHeight="1">
      <c r="O16269" s="5" t="s">
        <v>355</v>
      </c>
      <c r="P16269" s="5" t="s">
        <v>355</v>
      </c>
      <c r="Q16269" s="5" t="s">
        <v>355</v>
      </c>
    </row>
    <row r="16270" ht="16.5" customHeight="1">
      <c r="O16270" s="5" t="s">
        <v>355</v>
      </c>
      <c r="P16270" s="5" t="s">
        <v>355</v>
      </c>
      <c r="Q16270" s="5" t="s">
        <v>355</v>
      </c>
    </row>
    <row r="16271" ht="16.5" customHeight="1">
      <c r="O16271" s="5" t="s">
        <v>355</v>
      </c>
      <c r="P16271" s="5" t="s">
        <v>355</v>
      </c>
      <c r="Q16271" s="5" t="s">
        <v>355</v>
      </c>
    </row>
    <row r="16272" ht="16.5" customHeight="1">
      <c r="O16272" s="5" t="s">
        <v>355</v>
      </c>
      <c r="P16272" s="5" t="s">
        <v>355</v>
      </c>
      <c r="Q16272" s="5" t="s">
        <v>355</v>
      </c>
    </row>
    <row r="16273" ht="16.5" customHeight="1">
      <c r="O16273" s="5" t="s">
        <v>355</v>
      </c>
      <c r="P16273" s="5" t="s">
        <v>355</v>
      </c>
      <c r="Q16273" s="5" t="s">
        <v>355</v>
      </c>
    </row>
    <row r="16274" ht="16.5" customHeight="1">
      <c r="O16274" s="5" t="s">
        <v>355</v>
      </c>
      <c r="P16274" s="5" t="s">
        <v>355</v>
      </c>
      <c r="Q16274" s="5" t="s">
        <v>355</v>
      </c>
    </row>
    <row r="16275" ht="16.5" customHeight="1">
      <c r="O16275" s="5" t="s">
        <v>355</v>
      </c>
      <c r="P16275" s="5" t="s">
        <v>355</v>
      </c>
      <c r="Q16275" s="5" t="s">
        <v>355</v>
      </c>
    </row>
    <row r="16276" ht="16.5" customHeight="1">
      <c r="O16276" s="5" t="s">
        <v>355</v>
      </c>
      <c r="P16276" s="5" t="s">
        <v>355</v>
      </c>
      <c r="Q16276" s="5" t="s">
        <v>355</v>
      </c>
    </row>
    <row r="16277" ht="16.5" customHeight="1">
      <c r="O16277" s="5" t="s">
        <v>355</v>
      </c>
      <c r="P16277" s="5" t="s">
        <v>355</v>
      </c>
      <c r="Q16277" s="5" t="s">
        <v>355</v>
      </c>
    </row>
    <row r="16278" ht="16.5" customHeight="1">
      <c r="O16278" s="5" t="s">
        <v>355</v>
      </c>
      <c r="P16278" s="5" t="s">
        <v>355</v>
      </c>
      <c r="Q16278" s="5" t="s">
        <v>355</v>
      </c>
    </row>
    <row r="16279" ht="16.5" customHeight="1">
      <c r="O16279" s="5" t="s">
        <v>355</v>
      </c>
      <c r="P16279" s="5" t="s">
        <v>355</v>
      </c>
      <c r="Q16279" s="5" t="s">
        <v>355</v>
      </c>
    </row>
    <row r="16280" ht="16.5" customHeight="1">
      <c r="O16280" s="5" t="s">
        <v>355</v>
      </c>
      <c r="P16280" s="5" t="s">
        <v>355</v>
      </c>
      <c r="Q16280" s="5" t="s">
        <v>355</v>
      </c>
    </row>
    <row r="16281" ht="16.5" customHeight="1">
      <c r="O16281" s="5" t="s">
        <v>355</v>
      </c>
      <c r="P16281" s="5" t="s">
        <v>355</v>
      </c>
      <c r="Q16281" s="5" t="s">
        <v>355</v>
      </c>
    </row>
    <row r="16282" ht="16.5" customHeight="1">
      <c r="O16282" s="5" t="s">
        <v>355</v>
      </c>
      <c r="P16282" s="5" t="s">
        <v>355</v>
      </c>
      <c r="Q16282" s="5" t="s">
        <v>355</v>
      </c>
    </row>
    <row r="16283" ht="16.5" customHeight="1">
      <c r="O16283" s="5" t="s">
        <v>355</v>
      </c>
      <c r="P16283" s="5" t="s">
        <v>355</v>
      </c>
      <c r="Q16283" s="5" t="s">
        <v>355</v>
      </c>
    </row>
    <row r="16284" ht="16.5" customHeight="1">
      <c r="O16284" s="5" t="s">
        <v>355</v>
      </c>
      <c r="P16284" s="5" t="s">
        <v>355</v>
      </c>
      <c r="Q16284" s="5" t="s">
        <v>355</v>
      </c>
    </row>
    <row r="16285" ht="16.5" customHeight="1">
      <c r="O16285" s="5" t="s">
        <v>355</v>
      </c>
      <c r="P16285" s="5" t="s">
        <v>355</v>
      </c>
      <c r="Q16285" s="5" t="s">
        <v>355</v>
      </c>
    </row>
    <row r="16286" ht="16.5" customHeight="1">
      <c r="O16286" s="5" t="s">
        <v>355</v>
      </c>
      <c r="P16286" s="5" t="s">
        <v>355</v>
      </c>
      <c r="Q16286" s="5" t="s">
        <v>355</v>
      </c>
    </row>
    <row r="16287" ht="16.5" customHeight="1">
      <c r="O16287" s="5" t="s">
        <v>355</v>
      </c>
      <c r="P16287" s="5" t="s">
        <v>355</v>
      </c>
      <c r="Q16287" s="5" t="s">
        <v>355</v>
      </c>
    </row>
    <row r="16288" ht="16.5" customHeight="1">
      <c r="O16288" s="5" t="s">
        <v>355</v>
      </c>
      <c r="P16288" s="5" t="s">
        <v>355</v>
      </c>
      <c r="Q16288" s="5" t="s">
        <v>355</v>
      </c>
    </row>
    <row r="16289" ht="16.5" customHeight="1">
      <c r="O16289" s="5" t="s">
        <v>355</v>
      </c>
      <c r="P16289" s="5" t="s">
        <v>355</v>
      </c>
      <c r="Q16289" s="5" t="s">
        <v>355</v>
      </c>
    </row>
    <row r="16290" ht="16.5" customHeight="1">
      <c r="O16290" s="5" t="s">
        <v>355</v>
      </c>
      <c r="P16290" s="5" t="s">
        <v>355</v>
      </c>
      <c r="Q16290" s="5" t="s">
        <v>355</v>
      </c>
    </row>
    <row r="16291" ht="16.5" customHeight="1">
      <c r="O16291" s="5" t="s">
        <v>355</v>
      </c>
      <c r="P16291" s="5" t="s">
        <v>355</v>
      </c>
      <c r="Q16291" s="5" t="s">
        <v>355</v>
      </c>
    </row>
    <row r="16292" ht="16.5" customHeight="1">
      <c r="O16292" s="5" t="s">
        <v>355</v>
      </c>
      <c r="P16292" s="5" t="s">
        <v>355</v>
      </c>
      <c r="Q16292" s="5" t="s">
        <v>355</v>
      </c>
    </row>
    <row r="16293" ht="16.5" customHeight="1">
      <c r="O16293" s="5" t="s">
        <v>355</v>
      </c>
      <c r="P16293" s="5" t="s">
        <v>355</v>
      </c>
      <c r="Q16293" s="5" t="s">
        <v>355</v>
      </c>
    </row>
    <row r="16294" ht="16.5" customHeight="1">
      <c r="O16294" s="5" t="s">
        <v>355</v>
      </c>
      <c r="P16294" s="5" t="s">
        <v>355</v>
      </c>
      <c r="Q16294" s="5" t="s">
        <v>355</v>
      </c>
    </row>
    <row r="16295" ht="16.5" customHeight="1">
      <c r="O16295" s="5" t="s">
        <v>355</v>
      </c>
      <c r="P16295" s="5" t="s">
        <v>355</v>
      </c>
      <c r="Q16295" s="5" t="s">
        <v>355</v>
      </c>
    </row>
    <row r="16296" ht="16.5" customHeight="1">
      <c r="O16296" s="5" t="s">
        <v>355</v>
      </c>
      <c r="P16296" s="5" t="s">
        <v>355</v>
      </c>
      <c r="Q16296" s="5" t="s">
        <v>355</v>
      </c>
    </row>
    <row r="16297" ht="16.5" customHeight="1">
      <c r="O16297" s="5" t="s">
        <v>355</v>
      </c>
      <c r="P16297" s="5" t="s">
        <v>355</v>
      </c>
      <c r="Q16297" s="5" t="s">
        <v>355</v>
      </c>
    </row>
    <row r="16298" ht="16.5" customHeight="1">
      <c r="O16298" s="5" t="s">
        <v>355</v>
      </c>
      <c r="P16298" s="5" t="s">
        <v>355</v>
      </c>
      <c r="Q16298" s="5" t="s">
        <v>355</v>
      </c>
    </row>
    <row r="16299" ht="16.5" customHeight="1">
      <c r="O16299" s="5" t="s">
        <v>355</v>
      </c>
      <c r="P16299" s="5" t="s">
        <v>355</v>
      </c>
      <c r="Q16299" s="5" t="s">
        <v>355</v>
      </c>
    </row>
    <row r="16300" ht="16.5" customHeight="1">
      <c r="O16300" s="5" t="s">
        <v>355</v>
      </c>
      <c r="P16300" s="5" t="s">
        <v>355</v>
      </c>
      <c r="Q16300" s="5" t="s">
        <v>355</v>
      </c>
    </row>
    <row r="16301" ht="16.5" customHeight="1">
      <c r="O16301" s="5" t="s">
        <v>355</v>
      </c>
      <c r="P16301" s="5" t="s">
        <v>355</v>
      </c>
      <c r="Q16301" s="5" t="s">
        <v>355</v>
      </c>
    </row>
    <row r="16302" ht="16.5" customHeight="1">
      <c r="O16302" s="5" t="s">
        <v>355</v>
      </c>
      <c r="P16302" s="5" t="s">
        <v>355</v>
      </c>
      <c r="Q16302" s="5" t="s">
        <v>355</v>
      </c>
    </row>
    <row r="16303" ht="16.5" customHeight="1">
      <c r="O16303" s="5" t="s">
        <v>355</v>
      </c>
      <c r="P16303" s="5" t="s">
        <v>355</v>
      </c>
      <c r="Q16303" s="5" t="s">
        <v>355</v>
      </c>
    </row>
    <row r="16304" ht="16.5" customHeight="1">
      <c r="O16304" s="5" t="s">
        <v>355</v>
      </c>
      <c r="P16304" s="5" t="s">
        <v>355</v>
      </c>
      <c r="Q16304" s="5" t="s">
        <v>355</v>
      </c>
    </row>
    <row r="16305" ht="16.5" customHeight="1">
      <c r="O16305" s="5" t="s">
        <v>355</v>
      </c>
      <c r="P16305" s="5" t="s">
        <v>355</v>
      </c>
      <c r="Q16305" s="5" t="s">
        <v>355</v>
      </c>
    </row>
    <row r="16306" ht="16.5" customHeight="1">
      <c r="O16306" s="5" t="s">
        <v>355</v>
      </c>
      <c r="P16306" s="5" t="s">
        <v>355</v>
      </c>
      <c r="Q16306" s="5" t="s">
        <v>355</v>
      </c>
    </row>
    <row r="16307" ht="16.5" customHeight="1">
      <c r="O16307" s="5" t="s">
        <v>355</v>
      </c>
      <c r="P16307" s="5" t="s">
        <v>355</v>
      </c>
      <c r="Q16307" s="5" t="s">
        <v>355</v>
      </c>
    </row>
    <row r="16308" ht="16.5" customHeight="1">
      <c r="O16308" s="5" t="s">
        <v>355</v>
      </c>
      <c r="P16308" s="5" t="s">
        <v>355</v>
      </c>
      <c r="Q16308" s="5" t="s">
        <v>355</v>
      </c>
    </row>
    <row r="16309" ht="16.5" customHeight="1">
      <c r="O16309" s="5" t="s">
        <v>355</v>
      </c>
      <c r="P16309" s="5" t="s">
        <v>355</v>
      </c>
      <c r="Q16309" s="5" t="s">
        <v>355</v>
      </c>
    </row>
    <row r="16310" ht="16.5" customHeight="1">
      <c r="O16310" s="5" t="s">
        <v>355</v>
      </c>
      <c r="P16310" s="5" t="s">
        <v>355</v>
      </c>
      <c r="Q16310" s="5" t="s">
        <v>355</v>
      </c>
    </row>
    <row r="16311" ht="16.5" customHeight="1">
      <c r="O16311" s="5" t="s">
        <v>355</v>
      </c>
      <c r="P16311" s="5" t="s">
        <v>355</v>
      </c>
      <c r="Q16311" s="5" t="s">
        <v>355</v>
      </c>
    </row>
    <row r="16312" ht="16.5" customHeight="1">
      <c r="O16312" s="5" t="s">
        <v>355</v>
      </c>
      <c r="P16312" s="5" t="s">
        <v>355</v>
      </c>
      <c r="Q16312" s="5" t="s">
        <v>355</v>
      </c>
    </row>
    <row r="16313" ht="16.5" customHeight="1">
      <c r="O16313" s="5" t="s">
        <v>355</v>
      </c>
      <c r="P16313" s="5" t="s">
        <v>355</v>
      </c>
      <c r="Q16313" s="5" t="s">
        <v>355</v>
      </c>
    </row>
    <row r="16314" ht="16.5" customHeight="1">
      <c r="O16314" s="5" t="s">
        <v>355</v>
      </c>
      <c r="P16314" s="5" t="s">
        <v>355</v>
      </c>
      <c r="Q16314" s="5" t="s">
        <v>355</v>
      </c>
    </row>
    <row r="16315" ht="16.5" customHeight="1">
      <c r="O16315" s="5" t="s">
        <v>355</v>
      </c>
      <c r="P16315" s="5" t="s">
        <v>355</v>
      </c>
      <c r="Q16315" s="5" t="s">
        <v>355</v>
      </c>
    </row>
    <row r="16316" ht="16.5" customHeight="1">
      <c r="O16316" s="5" t="s">
        <v>355</v>
      </c>
      <c r="P16316" s="5" t="s">
        <v>355</v>
      </c>
      <c r="Q16316" s="5" t="s">
        <v>355</v>
      </c>
    </row>
    <row r="16317" ht="16.5" customHeight="1">
      <c r="O16317" s="5" t="s">
        <v>355</v>
      </c>
      <c r="P16317" s="5" t="s">
        <v>355</v>
      </c>
      <c r="Q16317" s="5" t="s">
        <v>355</v>
      </c>
    </row>
    <row r="16318" ht="16.5" customHeight="1">
      <c r="O16318" s="5" t="s">
        <v>355</v>
      </c>
      <c r="P16318" s="5" t="s">
        <v>355</v>
      </c>
      <c r="Q16318" s="5" t="s">
        <v>355</v>
      </c>
    </row>
    <row r="16319" ht="16.5" customHeight="1">
      <c r="O16319" s="5" t="s">
        <v>355</v>
      </c>
      <c r="P16319" s="5" t="s">
        <v>355</v>
      </c>
      <c r="Q16319" s="5" t="s">
        <v>355</v>
      </c>
    </row>
    <row r="16320" ht="16.5" customHeight="1">
      <c r="O16320" s="5" t="s">
        <v>355</v>
      </c>
      <c r="P16320" s="5" t="s">
        <v>355</v>
      </c>
      <c r="Q16320" s="5" t="s">
        <v>355</v>
      </c>
    </row>
    <row r="16321" ht="16.5" customHeight="1">
      <c r="O16321" s="5" t="s">
        <v>355</v>
      </c>
      <c r="P16321" s="5" t="s">
        <v>355</v>
      </c>
      <c r="Q16321" s="5" t="s">
        <v>355</v>
      </c>
    </row>
    <row r="16322" ht="16.5" customHeight="1">
      <c r="O16322" s="5" t="s">
        <v>355</v>
      </c>
      <c r="P16322" s="5" t="s">
        <v>355</v>
      </c>
      <c r="Q16322" s="5" t="s">
        <v>355</v>
      </c>
    </row>
    <row r="16323" ht="16.5" customHeight="1">
      <c r="O16323" s="5" t="s">
        <v>355</v>
      </c>
      <c r="P16323" s="5" t="s">
        <v>355</v>
      </c>
      <c r="Q16323" s="5" t="s">
        <v>355</v>
      </c>
    </row>
    <row r="16324" ht="16.5" customHeight="1">
      <c r="O16324" s="5" t="s">
        <v>355</v>
      </c>
      <c r="P16324" s="5" t="s">
        <v>355</v>
      </c>
      <c r="Q16324" s="5" t="s">
        <v>355</v>
      </c>
    </row>
    <row r="16325" ht="16.5" customHeight="1">
      <c r="O16325" s="5" t="s">
        <v>355</v>
      </c>
      <c r="P16325" s="5" t="s">
        <v>355</v>
      </c>
      <c r="Q16325" s="5" t="s">
        <v>355</v>
      </c>
    </row>
    <row r="16326" ht="16.5" customHeight="1">
      <c r="O16326" s="5" t="s">
        <v>355</v>
      </c>
      <c r="P16326" s="5" t="s">
        <v>355</v>
      </c>
      <c r="Q16326" s="5" t="s">
        <v>355</v>
      </c>
    </row>
    <row r="16327" ht="16.5" customHeight="1">
      <c r="O16327" s="5" t="s">
        <v>355</v>
      </c>
      <c r="P16327" s="5" t="s">
        <v>355</v>
      </c>
      <c r="Q16327" s="5" t="s">
        <v>355</v>
      </c>
    </row>
    <row r="16328" ht="16.5" customHeight="1">
      <c r="O16328" s="5" t="s">
        <v>355</v>
      </c>
      <c r="P16328" s="5" t="s">
        <v>355</v>
      </c>
      <c r="Q16328" s="5" t="s">
        <v>355</v>
      </c>
    </row>
    <row r="16329" ht="16.5" customHeight="1">
      <c r="O16329" s="5" t="s">
        <v>355</v>
      </c>
      <c r="P16329" s="5" t="s">
        <v>355</v>
      </c>
      <c r="Q16329" s="5" t="s">
        <v>355</v>
      </c>
    </row>
    <row r="16330" ht="16.5" customHeight="1">
      <c r="O16330" s="5" t="s">
        <v>355</v>
      </c>
      <c r="P16330" s="5" t="s">
        <v>355</v>
      </c>
      <c r="Q16330" s="5" t="s">
        <v>355</v>
      </c>
    </row>
    <row r="16331" ht="16.5" customHeight="1">
      <c r="O16331" s="5" t="s">
        <v>355</v>
      </c>
      <c r="P16331" s="5" t="s">
        <v>355</v>
      </c>
      <c r="Q16331" s="5" t="s">
        <v>355</v>
      </c>
    </row>
    <row r="16332" ht="16.5" customHeight="1">
      <c r="O16332" s="5" t="s">
        <v>355</v>
      </c>
      <c r="P16332" s="5" t="s">
        <v>355</v>
      </c>
      <c r="Q16332" s="5" t="s">
        <v>355</v>
      </c>
    </row>
    <row r="16333" ht="16.5" customHeight="1">
      <c r="O16333" s="5" t="s">
        <v>355</v>
      </c>
      <c r="P16333" s="5" t="s">
        <v>355</v>
      </c>
      <c r="Q16333" s="5" t="s">
        <v>355</v>
      </c>
    </row>
    <row r="16334" ht="16.5" customHeight="1">
      <c r="O16334" s="5" t="s">
        <v>355</v>
      </c>
      <c r="P16334" s="5" t="s">
        <v>355</v>
      </c>
      <c r="Q16334" s="5" t="s">
        <v>355</v>
      </c>
    </row>
    <row r="16335" ht="16.5" customHeight="1">
      <c r="O16335" s="5" t="s">
        <v>355</v>
      </c>
      <c r="P16335" s="5" t="s">
        <v>355</v>
      </c>
      <c r="Q16335" s="5" t="s">
        <v>355</v>
      </c>
    </row>
    <row r="16336" ht="16.5" customHeight="1">
      <c r="O16336" s="5" t="s">
        <v>355</v>
      </c>
      <c r="P16336" s="5" t="s">
        <v>355</v>
      </c>
      <c r="Q16336" s="5" t="s">
        <v>355</v>
      </c>
    </row>
    <row r="16337" ht="16.5" customHeight="1">
      <c r="O16337" s="5" t="s">
        <v>355</v>
      </c>
      <c r="P16337" s="5" t="s">
        <v>355</v>
      </c>
      <c r="Q16337" s="5" t="s">
        <v>355</v>
      </c>
    </row>
    <row r="16338" ht="16.5" customHeight="1">
      <c r="O16338" s="5" t="s">
        <v>355</v>
      </c>
      <c r="P16338" s="5" t="s">
        <v>355</v>
      </c>
      <c r="Q16338" s="5" t="s">
        <v>355</v>
      </c>
    </row>
    <row r="16339" ht="16.5" customHeight="1">
      <c r="O16339" s="5" t="s">
        <v>355</v>
      </c>
      <c r="P16339" s="5" t="s">
        <v>355</v>
      </c>
      <c r="Q16339" s="5" t="s">
        <v>355</v>
      </c>
    </row>
    <row r="16340" ht="16.5" customHeight="1">
      <c r="O16340" s="5" t="s">
        <v>355</v>
      </c>
      <c r="P16340" s="5" t="s">
        <v>355</v>
      </c>
      <c r="Q16340" s="5" t="s">
        <v>355</v>
      </c>
    </row>
    <row r="16341" ht="16.5" customHeight="1">
      <c r="O16341" s="5" t="s">
        <v>355</v>
      </c>
      <c r="P16341" s="5" t="s">
        <v>355</v>
      </c>
      <c r="Q16341" s="5" t="s">
        <v>355</v>
      </c>
    </row>
    <row r="16342" ht="16.5" customHeight="1">
      <c r="O16342" s="5" t="s">
        <v>355</v>
      </c>
      <c r="P16342" s="5" t="s">
        <v>355</v>
      </c>
      <c r="Q16342" s="5" t="s">
        <v>355</v>
      </c>
    </row>
    <row r="16343" ht="16.5" customHeight="1">
      <c r="O16343" s="5" t="s">
        <v>355</v>
      </c>
      <c r="P16343" s="5" t="s">
        <v>355</v>
      </c>
      <c r="Q16343" s="5" t="s">
        <v>355</v>
      </c>
    </row>
    <row r="16344" ht="16.5" customHeight="1">
      <c r="O16344" s="5" t="s">
        <v>355</v>
      </c>
      <c r="P16344" s="5" t="s">
        <v>355</v>
      </c>
      <c r="Q16344" s="5" t="s">
        <v>355</v>
      </c>
    </row>
    <row r="16345" ht="16.5" customHeight="1">
      <c r="O16345" s="5" t="s">
        <v>355</v>
      </c>
      <c r="P16345" s="5" t="s">
        <v>355</v>
      </c>
      <c r="Q16345" s="5" t="s">
        <v>355</v>
      </c>
    </row>
    <row r="16346" ht="16.5" customHeight="1">
      <c r="O16346" s="5" t="s">
        <v>355</v>
      </c>
      <c r="P16346" s="5" t="s">
        <v>355</v>
      </c>
      <c r="Q16346" s="5" t="s">
        <v>355</v>
      </c>
    </row>
    <row r="16347" ht="16.5" customHeight="1">
      <c r="O16347" s="5" t="s">
        <v>355</v>
      </c>
      <c r="P16347" s="5" t="s">
        <v>355</v>
      </c>
      <c r="Q16347" s="5" t="s">
        <v>355</v>
      </c>
    </row>
    <row r="16348" ht="16.5" customHeight="1">
      <c r="O16348" s="5" t="s">
        <v>355</v>
      </c>
      <c r="P16348" s="5" t="s">
        <v>355</v>
      </c>
      <c r="Q16348" s="5" t="s">
        <v>355</v>
      </c>
    </row>
    <row r="16349" ht="16.5" customHeight="1">
      <c r="O16349" s="5" t="s">
        <v>355</v>
      </c>
      <c r="P16349" s="5" t="s">
        <v>355</v>
      </c>
      <c r="Q16349" s="5" t="s">
        <v>355</v>
      </c>
    </row>
    <row r="16350" ht="16.5" customHeight="1">
      <c r="O16350" s="5" t="s">
        <v>355</v>
      </c>
      <c r="P16350" s="5" t="s">
        <v>355</v>
      </c>
      <c r="Q16350" s="5" t="s">
        <v>355</v>
      </c>
    </row>
    <row r="16351" ht="16.5" customHeight="1">
      <c r="O16351" s="5" t="s">
        <v>355</v>
      </c>
      <c r="P16351" s="5" t="s">
        <v>355</v>
      </c>
      <c r="Q16351" s="5" t="s">
        <v>355</v>
      </c>
    </row>
    <row r="16352" ht="16.5" customHeight="1">
      <c r="O16352" s="5" t="s">
        <v>355</v>
      </c>
      <c r="P16352" s="5" t="s">
        <v>355</v>
      </c>
      <c r="Q16352" s="5" t="s">
        <v>355</v>
      </c>
    </row>
    <row r="16353" ht="16.5" customHeight="1">
      <c r="O16353" s="5" t="s">
        <v>355</v>
      </c>
      <c r="P16353" s="5" t="s">
        <v>355</v>
      </c>
      <c r="Q16353" s="5" t="s">
        <v>355</v>
      </c>
    </row>
    <row r="16354" ht="16.5" customHeight="1">
      <c r="O16354" s="5" t="s">
        <v>355</v>
      </c>
      <c r="P16354" s="5" t="s">
        <v>355</v>
      </c>
      <c r="Q16354" s="5" t="s">
        <v>355</v>
      </c>
    </row>
    <row r="16355" ht="16.5" customHeight="1">
      <c r="O16355" s="5" t="s">
        <v>355</v>
      </c>
      <c r="P16355" s="5" t="s">
        <v>355</v>
      </c>
      <c r="Q16355" s="5" t="s">
        <v>355</v>
      </c>
    </row>
    <row r="16356" ht="16.5" customHeight="1">
      <c r="O16356" s="5" t="s">
        <v>355</v>
      </c>
      <c r="P16356" s="5" t="s">
        <v>355</v>
      </c>
      <c r="Q16356" s="5" t="s">
        <v>355</v>
      </c>
    </row>
    <row r="16357" ht="16.5" customHeight="1">
      <c r="O16357" s="5" t="s">
        <v>355</v>
      </c>
      <c r="P16357" s="5" t="s">
        <v>355</v>
      </c>
      <c r="Q16357" s="5" t="s">
        <v>355</v>
      </c>
    </row>
    <row r="16358" ht="16.5" customHeight="1">
      <c r="O16358" s="5" t="s">
        <v>355</v>
      </c>
      <c r="P16358" s="5" t="s">
        <v>355</v>
      </c>
      <c r="Q16358" s="5" t="s">
        <v>355</v>
      </c>
    </row>
    <row r="16359" ht="16.5" customHeight="1">
      <c r="O16359" s="5" t="s">
        <v>355</v>
      </c>
      <c r="P16359" s="5" t="s">
        <v>355</v>
      </c>
      <c r="Q16359" s="5" t="s">
        <v>355</v>
      </c>
    </row>
    <row r="16360" ht="16.5" customHeight="1">
      <c r="O16360" s="5" t="s">
        <v>355</v>
      </c>
      <c r="P16360" s="5" t="s">
        <v>355</v>
      </c>
      <c r="Q16360" s="5" t="s">
        <v>355</v>
      </c>
    </row>
    <row r="16361" ht="16.5" customHeight="1">
      <c r="O16361" s="5" t="s">
        <v>355</v>
      </c>
      <c r="P16361" s="5" t="s">
        <v>355</v>
      </c>
      <c r="Q16361" s="5" t="s">
        <v>355</v>
      </c>
    </row>
    <row r="16362" ht="16.5" customHeight="1">
      <c r="O16362" s="5" t="s">
        <v>355</v>
      </c>
      <c r="P16362" s="5" t="s">
        <v>355</v>
      </c>
      <c r="Q16362" s="5" t="s">
        <v>355</v>
      </c>
    </row>
    <row r="16363" ht="16.5" customHeight="1">
      <c r="O16363" s="5" t="s">
        <v>355</v>
      </c>
      <c r="P16363" s="5" t="s">
        <v>355</v>
      </c>
      <c r="Q16363" s="5" t="s">
        <v>355</v>
      </c>
    </row>
    <row r="16364" ht="16.5" customHeight="1">
      <c r="O16364" s="5" t="s">
        <v>355</v>
      </c>
      <c r="P16364" s="5" t="s">
        <v>355</v>
      </c>
      <c r="Q16364" s="5" t="s">
        <v>355</v>
      </c>
    </row>
    <row r="16365" ht="16.5" customHeight="1">
      <c r="O16365" s="5" t="s">
        <v>355</v>
      </c>
      <c r="P16365" s="5" t="s">
        <v>355</v>
      </c>
      <c r="Q16365" s="5" t="s">
        <v>355</v>
      </c>
    </row>
    <row r="16366" ht="16.5" customHeight="1">
      <c r="O16366" s="5" t="s">
        <v>355</v>
      </c>
      <c r="P16366" s="5" t="s">
        <v>355</v>
      </c>
      <c r="Q16366" s="5" t="s">
        <v>355</v>
      </c>
    </row>
    <row r="16367" ht="16.5" customHeight="1">
      <c r="O16367" s="5" t="s">
        <v>355</v>
      </c>
      <c r="P16367" s="5" t="s">
        <v>355</v>
      </c>
      <c r="Q16367" s="5" t="s">
        <v>355</v>
      </c>
    </row>
    <row r="16368" ht="16.5" customHeight="1">
      <c r="O16368" s="5" t="s">
        <v>355</v>
      </c>
      <c r="P16368" s="5" t="s">
        <v>355</v>
      </c>
      <c r="Q16368" s="5" t="s">
        <v>355</v>
      </c>
    </row>
    <row r="16369" ht="16.5" customHeight="1">
      <c r="O16369" s="5" t="s">
        <v>355</v>
      </c>
      <c r="P16369" s="5" t="s">
        <v>355</v>
      </c>
      <c r="Q16369" s="5" t="s">
        <v>355</v>
      </c>
    </row>
    <row r="16370" ht="16.5" customHeight="1">
      <c r="O16370" s="5" t="s">
        <v>355</v>
      </c>
      <c r="P16370" s="5" t="s">
        <v>355</v>
      </c>
      <c r="Q16370" s="5" t="s">
        <v>355</v>
      </c>
    </row>
    <row r="16371" ht="16.5" customHeight="1">
      <c r="O16371" s="5" t="s">
        <v>355</v>
      </c>
      <c r="P16371" s="5" t="s">
        <v>355</v>
      </c>
      <c r="Q16371" s="5" t="s">
        <v>355</v>
      </c>
    </row>
    <row r="16372" ht="16.5" customHeight="1">
      <c r="O16372" s="5" t="s">
        <v>355</v>
      </c>
      <c r="P16372" s="5" t="s">
        <v>355</v>
      </c>
      <c r="Q16372" s="5" t="s">
        <v>355</v>
      </c>
    </row>
    <row r="16373" ht="16.5" customHeight="1">
      <c r="O16373" s="5" t="s">
        <v>355</v>
      </c>
      <c r="P16373" s="5" t="s">
        <v>355</v>
      </c>
      <c r="Q16373" s="5" t="s">
        <v>355</v>
      </c>
    </row>
    <row r="16374" ht="16.5" customHeight="1">
      <c r="O16374" s="5" t="s">
        <v>355</v>
      </c>
      <c r="P16374" s="5" t="s">
        <v>355</v>
      </c>
      <c r="Q16374" s="5" t="s">
        <v>355</v>
      </c>
    </row>
    <row r="16375" ht="16.5" customHeight="1">
      <c r="O16375" s="5" t="s">
        <v>355</v>
      </c>
      <c r="P16375" s="5" t="s">
        <v>355</v>
      </c>
      <c r="Q16375" s="5" t="s">
        <v>355</v>
      </c>
    </row>
    <row r="16376" ht="16.5" customHeight="1">
      <c r="O16376" s="5" t="s">
        <v>355</v>
      </c>
      <c r="P16376" s="5" t="s">
        <v>355</v>
      </c>
      <c r="Q16376" s="5" t="s">
        <v>355</v>
      </c>
    </row>
    <row r="16377" ht="16.5" customHeight="1">
      <c r="O16377" s="5" t="s">
        <v>355</v>
      </c>
      <c r="P16377" s="5" t="s">
        <v>355</v>
      </c>
      <c r="Q16377" s="5" t="s">
        <v>355</v>
      </c>
    </row>
    <row r="16378" ht="16.5" customHeight="1">
      <c r="O16378" s="5" t="s">
        <v>355</v>
      </c>
      <c r="P16378" s="5" t="s">
        <v>355</v>
      </c>
      <c r="Q16378" s="5" t="s">
        <v>355</v>
      </c>
    </row>
    <row r="16379" ht="16.5" customHeight="1">
      <c r="O16379" s="5" t="s">
        <v>355</v>
      </c>
      <c r="P16379" s="5" t="s">
        <v>355</v>
      </c>
      <c r="Q16379" s="5" t="s">
        <v>355</v>
      </c>
    </row>
    <row r="16380" ht="16.5" customHeight="1">
      <c r="O16380" s="5" t="s">
        <v>355</v>
      </c>
      <c r="P16380" s="5" t="s">
        <v>355</v>
      </c>
      <c r="Q16380" s="5" t="s">
        <v>355</v>
      </c>
    </row>
    <row r="16381" ht="16.5" customHeight="1">
      <c r="O16381" s="5" t="s">
        <v>355</v>
      </c>
      <c r="P16381" s="5" t="s">
        <v>355</v>
      </c>
      <c r="Q16381" s="5" t="s">
        <v>355</v>
      </c>
    </row>
    <row r="16382" ht="16.5" customHeight="1">
      <c r="O16382" s="5" t="s">
        <v>355</v>
      </c>
      <c r="P16382" s="5" t="s">
        <v>355</v>
      </c>
      <c r="Q16382" s="5" t="s">
        <v>355</v>
      </c>
    </row>
    <row r="16383" ht="16.5" customHeight="1">
      <c r="O16383" s="5" t="s">
        <v>355</v>
      </c>
      <c r="P16383" s="5" t="s">
        <v>355</v>
      </c>
      <c r="Q16383" s="5" t="s">
        <v>355</v>
      </c>
    </row>
    <row r="16384" ht="16.5" customHeight="1">
      <c r="O16384" s="5" t="s">
        <v>355</v>
      </c>
      <c r="P16384" s="5" t="s">
        <v>355</v>
      </c>
      <c r="Q16384" s="5" t="s">
        <v>355</v>
      </c>
    </row>
    <row r="16385" ht="16.5" customHeight="1">
      <c r="O16385" s="5" t="s">
        <v>355</v>
      </c>
      <c r="P16385" s="5" t="s">
        <v>355</v>
      </c>
      <c r="Q16385" s="5" t="s">
        <v>355</v>
      </c>
    </row>
    <row r="16386" ht="16.5" customHeight="1">
      <c r="O16386" s="5" t="s">
        <v>355</v>
      </c>
      <c r="P16386" s="5" t="s">
        <v>355</v>
      </c>
      <c r="Q16386" s="5" t="s">
        <v>355</v>
      </c>
    </row>
    <row r="16387" ht="16.5" customHeight="1">
      <c r="O16387" s="5" t="s">
        <v>355</v>
      </c>
      <c r="P16387" s="5" t="s">
        <v>355</v>
      </c>
      <c r="Q16387" s="5" t="s">
        <v>355</v>
      </c>
    </row>
    <row r="16388" ht="16.5" customHeight="1">
      <c r="O16388" s="5" t="s">
        <v>355</v>
      </c>
      <c r="P16388" s="5" t="s">
        <v>355</v>
      </c>
      <c r="Q16388" s="5" t="s">
        <v>355</v>
      </c>
    </row>
    <row r="16389" ht="16.5" customHeight="1">
      <c r="O16389" s="5" t="s">
        <v>355</v>
      </c>
      <c r="P16389" s="5" t="s">
        <v>355</v>
      </c>
      <c r="Q16389" s="5" t="s">
        <v>355</v>
      </c>
    </row>
    <row r="16390" ht="16.5" customHeight="1">
      <c r="O16390" s="5" t="s">
        <v>355</v>
      </c>
      <c r="P16390" s="5" t="s">
        <v>355</v>
      </c>
      <c r="Q16390" s="5" t="s">
        <v>355</v>
      </c>
    </row>
    <row r="16391" ht="16.5" customHeight="1">
      <c r="O16391" s="5" t="s">
        <v>355</v>
      </c>
      <c r="P16391" s="5" t="s">
        <v>355</v>
      </c>
      <c r="Q16391" s="5" t="s">
        <v>355</v>
      </c>
    </row>
    <row r="16392" ht="16.5" customHeight="1">
      <c r="O16392" s="5" t="s">
        <v>355</v>
      </c>
      <c r="P16392" s="5" t="s">
        <v>355</v>
      </c>
      <c r="Q16392" s="5" t="s">
        <v>355</v>
      </c>
    </row>
    <row r="16393" ht="16.5" customHeight="1">
      <c r="O16393" s="5" t="s">
        <v>355</v>
      </c>
      <c r="P16393" s="5" t="s">
        <v>355</v>
      </c>
      <c r="Q16393" s="5" t="s">
        <v>355</v>
      </c>
    </row>
    <row r="16394" ht="16.5" customHeight="1">
      <c r="O16394" s="5" t="s">
        <v>355</v>
      </c>
      <c r="P16394" s="5" t="s">
        <v>355</v>
      </c>
      <c r="Q16394" s="5" t="s">
        <v>355</v>
      </c>
    </row>
    <row r="16395" ht="16.5" customHeight="1">
      <c r="O16395" s="5" t="s">
        <v>355</v>
      </c>
      <c r="P16395" s="5" t="s">
        <v>355</v>
      </c>
      <c r="Q16395" s="5" t="s">
        <v>355</v>
      </c>
    </row>
    <row r="16396" ht="16.5" customHeight="1">
      <c r="O16396" s="5" t="s">
        <v>355</v>
      </c>
      <c r="P16396" s="5" t="s">
        <v>355</v>
      </c>
      <c r="Q16396" s="5" t="s">
        <v>355</v>
      </c>
    </row>
    <row r="16397" ht="16.5" customHeight="1">
      <c r="O16397" s="5" t="s">
        <v>355</v>
      </c>
      <c r="P16397" s="5" t="s">
        <v>355</v>
      </c>
      <c r="Q16397" s="5" t="s">
        <v>355</v>
      </c>
    </row>
    <row r="16398" ht="16.5" customHeight="1">
      <c r="O16398" s="5" t="s">
        <v>355</v>
      </c>
      <c r="P16398" s="5" t="s">
        <v>355</v>
      </c>
      <c r="Q16398" s="5" t="s">
        <v>355</v>
      </c>
    </row>
    <row r="16399" ht="16.5" customHeight="1">
      <c r="O16399" s="5" t="s">
        <v>355</v>
      </c>
      <c r="P16399" s="5" t="s">
        <v>355</v>
      </c>
      <c r="Q16399" s="5" t="s">
        <v>355</v>
      </c>
    </row>
    <row r="16400" ht="16.5" customHeight="1">
      <c r="O16400" s="5" t="s">
        <v>355</v>
      </c>
      <c r="P16400" s="5" t="s">
        <v>355</v>
      </c>
      <c r="Q16400" s="5" t="s">
        <v>355</v>
      </c>
    </row>
    <row r="16401" ht="16.5" customHeight="1">
      <c r="O16401" s="5" t="s">
        <v>355</v>
      </c>
      <c r="P16401" s="5" t="s">
        <v>355</v>
      </c>
      <c r="Q16401" s="5" t="s">
        <v>355</v>
      </c>
    </row>
    <row r="16402" ht="16.5" customHeight="1">
      <c r="O16402" s="5" t="s">
        <v>355</v>
      </c>
      <c r="P16402" s="5" t="s">
        <v>355</v>
      </c>
      <c r="Q16402" s="5" t="s">
        <v>355</v>
      </c>
    </row>
    <row r="16403" ht="16.5" customHeight="1">
      <c r="O16403" s="5" t="s">
        <v>355</v>
      </c>
      <c r="P16403" s="5" t="s">
        <v>355</v>
      </c>
      <c r="Q16403" s="5" t="s">
        <v>355</v>
      </c>
    </row>
    <row r="16404" ht="16.5" customHeight="1">
      <c r="O16404" s="5" t="s">
        <v>355</v>
      </c>
      <c r="P16404" s="5" t="s">
        <v>355</v>
      </c>
      <c r="Q16404" s="5" t="s">
        <v>355</v>
      </c>
    </row>
    <row r="16405" ht="16.5" customHeight="1">
      <c r="O16405" s="5" t="s">
        <v>355</v>
      </c>
      <c r="P16405" s="5" t="s">
        <v>355</v>
      </c>
      <c r="Q16405" s="5" t="s">
        <v>355</v>
      </c>
    </row>
    <row r="16406" ht="16.5" customHeight="1">
      <c r="O16406" s="5" t="s">
        <v>355</v>
      </c>
      <c r="P16406" s="5" t="s">
        <v>355</v>
      </c>
      <c r="Q16406" s="5" t="s">
        <v>355</v>
      </c>
    </row>
    <row r="16407" ht="16.5" customHeight="1">
      <c r="O16407" s="5" t="s">
        <v>355</v>
      </c>
      <c r="P16407" s="5" t="s">
        <v>355</v>
      </c>
      <c r="Q16407" s="5" t="s">
        <v>355</v>
      </c>
    </row>
    <row r="16408" ht="16.5" customHeight="1">
      <c r="O16408" s="5" t="s">
        <v>355</v>
      </c>
      <c r="P16408" s="5" t="s">
        <v>355</v>
      </c>
      <c r="Q16408" s="5" t="s">
        <v>355</v>
      </c>
    </row>
    <row r="16409" ht="16.5" customHeight="1">
      <c r="O16409" s="5" t="s">
        <v>355</v>
      </c>
      <c r="P16409" s="5" t="s">
        <v>355</v>
      </c>
      <c r="Q16409" s="5" t="s">
        <v>355</v>
      </c>
    </row>
    <row r="16410" ht="16.5" customHeight="1">
      <c r="O16410" s="5" t="s">
        <v>355</v>
      </c>
      <c r="P16410" s="5" t="s">
        <v>355</v>
      </c>
      <c r="Q16410" s="5" t="s">
        <v>355</v>
      </c>
    </row>
    <row r="16411" ht="16.5" customHeight="1">
      <c r="O16411" s="5" t="s">
        <v>355</v>
      </c>
      <c r="P16411" s="5" t="s">
        <v>355</v>
      </c>
      <c r="Q16411" s="5" t="s">
        <v>355</v>
      </c>
    </row>
    <row r="16412" ht="16.5" customHeight="1">
      <c r="O16412" s="5" t="s">
        <v>355</v>
      </c>
      <c r="P16412" s="5" t="s">
        <v>355</v>
      </c>
      <c r="Q16412" s="5" t="s">
        <v>355</v>
      </c>
    </row>
    <row r="16413" ht="16.5" customHeight="1">
      <c r="O16413" s="5" t="s">
        <v>355</v>
      </c>
      <c r="P16413" s="5" t="s">
        <v>355</v>
      </c>
      <c r="Q16413" s="5" t="s">
        <v>355</v>
      </c>
    </row>
    <row r="16414" ht="16.5" customHeight="1">
      <c r="O16414" s="5" t="s">
        <v>355</v>
      </c>
      <c r="P16414" s="5" t="s">
        <v>355</v>
      </c>
      <c r="Q16414" s="5" t="s">
        <v>355</v>
      </c>
    </row>
    <row r="16415" ht="16.5" customHeight="1">
      <c r="O16415" s="5" t="s">
        <v>355</v>
      </c>
      <c r="P16415" s="5" t="s">
        <v>355</v>
      </c>
      <c r="Q16415" s="5" t="s">
        <v>355</v>
      </c>
    </row>
    <row r="16416" ht="16.5" customHeight="1">
      <c r="O16416" s="5" t="s">
        <v>355</v>
      </c>
      <c r="P16416" s="5" t="s">
        <v>355</v>
      </c>
      <c r="Q16416" s="5" t="s">
        <v>355</v>
      </c>
    </row>
    <row r="16417" ht="16.5" customHeight="1">
      <c r="O16417" s="5" t="s">
        <v>355</v>
      </c>
      <c r="P16417" s="5" t="s">
        <v>355</v>
      </c>
      <c r="Q16417" s="5" t="s">
        <v>355</v>
      </c>
    </row>
    <row r="16418" ht="16.5" customHeight="1">
      <c r="O16418" s="5" t="s">
        <v>355</v>
      </c>
      <c r="P16418" s="5" t="s">
        <v>355</v>
      </c>
      <c r="Q16418" s="5" t="s">
        <v>355</v>
      </c>
    </row>
    <row r="16419" ht="16.5" customHeight="1">
      <c r="O16419" s="5" t="s">
        <v>355</v>
      </c>
      <c r="P16419" s="5" t="s">
        <v>355</v>
      </c>
      <c r="Q16419" s="5" t="s">
        <v>355</v>
      </c>
    </row>
    <row r="16420" ht="16.5" customHeight="1">
      <c r="O16420" s="5" t="s">
        <v>355</v>
      </c>
      <c r="P16420" s="5" t="s">
        <v>355</v>
      </c>
      <c r="Q16420" s="5" t="s">
        <v>355</v>
      </c>
    </row>
    <row r="16421" ht="16.5" customHeight="1">
      <c r="O16421" s="5" t="s">
        <v>355</v>
      </c>
      <c r="P16421" s="5" t="s">
        <v>355</v>
      </c>
      <c r="Q16421" s="5" t="s">
        <v>355</v>
      </c>
    </row>
    <row r="16422" ht="16.5" customHeight="1">
      <c r="O16422" s="5" t="s">
        <v>355</v>
      </c>
      <c r="P16422" s="5" t="s">
        <v>355</v>
      </c>
      <c r="Q16422" s="5" t="s">
        <v>355</v>
      </c>
    </row>
    <row r="16423" ht="16.5" customHeight="1">
      <c r="O16423" s="5" t="s">
        <v>355</v>
      </c>
      <c r="P16423" s="5" t="s">
        <v>355</v>
      </c>
      <c r="Q16423" s="5" t="s">
        <v>355</v>
      </c>
    </row>
    <row r="16424" ht="16.5" customHeight="1">
      <c r="O16424" s="5" t="s">
        <v>355</v>
      </c>
      <c r="P16424" s="5" t="s">
        <v>355</v>
      </c>
      <c r="Q16424" s="5" t="s">
        <v>355</v>
      </c>
    </row>
    <row r="16425" ht="16.5" customHeight="1">
      <c r="O16425" s="5" t="s">
        <v>355</v>
      </c>
      <c r="P16425" s="5" t="s">
        <v>355</v>
      </c>
      <c r="Q16425" s="5" t="s">
        <v>355</v>
      </c>
    </row>
    <row r="16426" ht="16.5" customHeight="1">
      <c r="O16426" s="5" t="s">
        <v>355</v>
      </c>
      <c r="P16426" s="5" t="s">
        <v>355</v>
      </c>
      <c r="Q16426" s="5" t="s">
        <v>355</v>
      </c>
    </row>
    <row r="16427" ht="16.5" customHeight="1">
      <c r="O16427" s="5" t="s">
        <v>355</v>
      </c>
      <c r="P16427" s="5" t="s">
        <v>355</v>
      </c>
      <c r="Q16427" s="5" t="s">
        <v>355</v>
      </c>
    </row>
    <row r="16428" ht="16.5" customHeight="1">
      <c r="O16428" s="5" t="s">
        <v>355</v>
      </c>
      <c r="P16428" s="5" t="s">
        <v>355</v>
      </c>
      <c r="Q16428" s="5" t="s">
        <v>355</v>
      </c>
    </row>
    <row r="16429" ht="16.5" customHeight="1">
      <c r="O16429" s="5" t="s">
        <v>355</v>
      </c>
      <c r="P16429" s="5" t="s">
        <v>355</v>
      </c>
      <c r="Q16429" s="5" t="s">
        <v>355</v>
      </c>
    </row>
    <row r="16430" ht="16.5" customHeight="1">
      <c r="O16430" s="5" t="s">
        <v>355</v>
      </c>
      <c r="P16430" s="5" t="s">
        <v>355</v>
      </c>
      <c r="Q16430" s="5" t="s">
        <v>355</v>
      </c>
    </row>
    <row r="16431" ht="16.5" customHeight="1">
      <c r="O16431" s="5" t="s">
        <v>355</v>
      </c>
      <c r="P16431" s="5" t="s">
        <v>355</v>
      </c>
      <c r="Q16431" s="5" t="s">
        <v>355</v>
      </c>
    </row>
    <row r="16432" ht="16.5" customHeight="1">
      <c r="O16432" s="5" t="s">
        <v>355</v>
      </c>
      <c r="P16432" s="5" t="s">
        <v>355</v>
      </c>
      <c r="Q16432" s="5" t="s">
        <v>355</v>
      </c>
    </row>
    <row r="16433" ht="16.5" customHeight="1">
      <c r="O16433" s="5" t="s">
        <v>355</v>
      </c>
      <c r="P16433" s="5" t="s">
        <v>355</v>
      </c>
      <c r="Q16433" s="5" t="s">
        <v>355</v>
      </c>
    </row>
    <row r="16434" ht="16.5" customHeight="1">
      <c r="O16434" s="5" t="s">
        <v>355</v>
      </c>
      <c r="P16434" s="5" t="s">
        <v>355</v>
      </c>
      <c r="Q16434" s="5" t="s">
        <v>355</v>
      </c>
    </row>
    <row r="16435" ht="16.5" customHeight="1">
      <c r="O16435" s="5" t="s">
        <v>355</v>
      </c>
      <c r="P16435" s="5" t="s">
        <v>355</v>
      </c>
      <c r="Q16435" s="5" t="s">
        <v>355</v>
      </c>
    </row>
    <row r="16436" ht="16.5" customHeight="1">
      <c r="O16436" s="5" t="s">
        <v>355</v>
      </c>
      <c r="P16436" s="5" t="s">
        <v>355</v>
      </c>
      <c r="Q16436" s="5" t="s">
        <v>355</v>
      </c>
    </row>
    <row r="16437" ht="16.5" customHeight="1">
      <c r="O16437" s="5" t="s">
        <v>355</v>
      </c>
      <c r="P16437" s="5" t="s">
        <v>355</v>
      </c>
      <c r="Q16437" s="5" t="s">
        <v>355</v>
      </c>
    </row>
    <row r="16438" ht="16.5" customHeight="1">
      <c r="O16438" s="5" t="s">
        <v>355</v>
      </c>
      <c r="P16438" s="5" t="s">
        <v>355</v>
      </c>
      <c r="Q16438" s="5" t="s">
        <v>355</v>
      </c>
    </row>
    <row r="16439" ht="16.5" customHeight="1">
      <c r="O16439" s="5" t="s">
        <v>355</v>
      </c>
      <c r="P16439" s="5" t="s">
        <v>355</v>
      </c>
      <c r="Q16439" s="5" t="s">
        <v>355</v>
      </c>
    </row>
    <row r="16440" ht="16.5" customHeight="1">
      <c r="O16440" s="5" t="s">
        <v>355</v>
      </c>
      <c r="P16440" s="5" t="s">
        <v>355</v>
      </c>
      <c r="Q16440" s="5" t="s">
        <v>355</v>
      </c>
    </row>
    <row r="16441" ht="16.5" customHeight="1">
      <c r="O16441" s="5" t="s">
        <v>355</v>
      </c>
      <c r="P16441" s="5" t="s">
        <v>355</v>
      </c>
      <c r="Q16441" s="5" t="s">
        <v>355</v>
      </c>
    </row>
    <row r="16442" ht="16.5" customHeight="1">
      <c r="O16442" s="5" t="s">
        <v>355</v>
      </c>
      <c r="P16442" s="5" t="s">
        <v>355</v>
      </c>
      <c r="Q16442" s="5" t="s">
        <v>355</v>
      </c>
    </row>
    <row r="16443" ht="16.5" customHeight="1">
      <c r="O16443" s="5" t="s">
        <v>355</v>
      </c>
      <c r="P16443" s="5" t="s">
        <v>355</v>
      </c>
      <c r="Q16443" s="5" t="s">
        <v>355</v>
      </c>
    </row>
    <row r="16444" ht="16.5" customHeight="1">
      <c r="O16444" s="5" t="s">
        <v>355</v>
      </c>
      <c r="P16444" s="5" t="s">
        <v>355</v>
      </c>
      <c r="Q16444" s="5" t="s">
        <v>355</v>
      </c>
    </row>
    <row r="16445" ht="16.5" customHeight="1">
      <c r="O16445" s="5" t="s">
        <v>355</v>
      </c>
      <c r="P16445" s="5" t="s">
        <v>355</v>
      </c>
      <c r="Q16445" s="5" t="s">
        <v>355</v>
      </c>
    </row>
    <row r="16446" ht="16.5" customHeight="1">
      <c r="O16446" s="5" t="s">
        <v>355</v>
      </c>
      <c r="P16446" s="5" t="s">
        <v>355</v>
      </c>
      <c r="Q16446" s="5" t="s">
        <v>355</v>
      </c>
    </row>
    <row r="16447" ht="16.5" customHeight="1">
      <c r="O16447" s="5" t="s">
        <v>355</v>
      </c>
      <c r="P16447" s="5" t="s">
        <v>355</v>
      </c>
      <c r="Q16447" s="5" t="s">
        <v>355</v>
      </c>
    </row>
    <row r="16448" ht="16.5" customHeight="1">
      <c r="O16448" s="5" t="s">
        <v>355</v>
      </c>
      <c r="P16448" s="5" t="s">
        <v>355</v>
      </c>
      <c r="Q16448" s="5" t="s">
        <v>355</v>
      </c>
    </row>
    <row r="16449" ht="16.5" customHeight="1">
      <c r="O16449" s="5" t="s">
        <v>355</v>
      </c>
      <c r="P16449" s="5" t="s">
        <v>355</v>
      </c>
      <c r="Q16449" s="5" t="s">
        <v>355</v>
      </c>
    </row>
    <row r="16450" ht="16.5" customHeight="1">
      <c r="O16450" s="5" t="s">
        <v>355</v>
      </c>
      <c r="P16450" s="5" t="s">
        <v>355</v>
      </c>
      <c r="Q16450" s="5" t="s">
        <v>355</v>
      </c>
    </row>
    <row r="16451" ht="16.5" customHeight="1">
      <c r="O16451" s="5" t="s">
        <v>355</v>
      </c>
      <c r="P16451" s="5" t="s">
        <v>355</v>
      </c>
      <c r="Q16451" s="5" t="s">
        <v>355</v>
      </c>
    </row>
    <row r="16452" ht="16.5" customHeight="1">
      <c r="O16452" s="5" t="s">
        <v>355</v>
      </c>
      <c r="P16452" s="5" t="s">
        <v>355</v>
      </c>
      <c r="Q16452" s="5" t="s">
        <v>355</v>
      </c>
    </row>
    <row r="16453" ht="16.5" customHeight="1">
      <c r="O16453" s="5" t="s">
        <v>355</v>
      </c>
      <c r="P16453" s="5" t="s">
        <v>355</v>
      </c>
      <c r="Q16453" s="5" t="s">
        <v>355</v>
      </c>
    </row>
    <row r="16454" ht="16.5" customHeight="1">
      <c r="O16454" s="5" t="s">
        <v>355</v>
      </c>
      <c r="P16454" s="5" t="s">
        <v>355</v>
      </c>
      <c r="Q16454" s="5" t="s">
        <v>355</v>
      </c>
    </row>
    <row r="16455" ht="16.5" customHeight="1">
      <c r="O16455" s="5" t="s">
        <v>355</v>
      </c>
      <c r="P16455" s="5" t="s">
        <v>355</v>
      </c>
      <c r="Q16455" s="5" t="s">
        <v>355</v>
      </c>
    </row>
    <row r="16456" ht="16.5" customHeight="1">
      <c r="O16456" s="5" t="s">
        <v>355</v>
      </c>
      <c r="P16456" s="5" t="s">
        <v>355</v>
      </c>
      <c r="Q16456" s="5" t="s">
        <v>355</v>
      </c>
    </row>
    <row r="16457" ht="16.5" customHeight="1">
      <c r="O16457" s="5" t="s">
        <v>355</v>
      </c>
      <c r="P16457" s="5" t="s">
        <v>355</v>
      </c>
      <c r="Q16457" s="5" t="s">
        <v>355</v>
      </c>
    </row>
    <row r="16458" ht="16.5" customHeight="1">
      <c r="O16458" s="5" t="s">
        <v>355</v>
      </c>
      <c r="P16458" s="5" t="s">
        <v>355</v>
      </c>
      <c r="Q16458" s="5" t="s">
        <v>355</v>
      </c>
    </row>
    <row r="16459" ht="16.5" customHeight="1">
      <c r="O16459" s="5" t="s">
        <v>355</v>
      </c>
      <c r="P16459" s="5" t="s">
        <v>355</v>
      </c>
      <c r="Q16459" s="5" t="s">
        <v>355</v>
      </c>
    </row>
    <row r="16460" ht="16.5" customHeight="1">
      <c r="O16460" s="5" t="s">
        <v>355</v>
      </c>
      <c r="P16460" s="5" t="s">
        <v>355</v>
      </c>
      <c r="Q16460" s="5" t="s">
        <v>355</v>
      </c>
    </row>
    <row r="16461" ht="16.5" customHeight="1">
      <c r="O16461" s="5" t="s">
        <v>355</v>
      </c>
      <c r="P16461" s="5" t="s">
        <v>355</v>
      </c>
      <c r="Q16461" s="5" t="s">
        <v>355</v>
      </c>
    </row>
    <row r="16462" ht="16.5" customHeight="1">
      <c r="O16462" s="5" t="s">
        <v>355</v>
      </c>
      <c r="P16462" s="5" t="s">
        <v>355</v>
      </c>
      <c r="Q16462" s="5" t="s">
        <v>355</v>
      </c>
    </row>
    <row r="16463" ht="16.5" customHeight="1">
      <c r="O16463" s="5" t="s">
        <v>355</v>
      </c>
      <c r="P16463" s="5" t="s">
        <v>355</v>
      </c>
      <c r="Q16463" s="5" t="s">
        <v>355</v>
      </c>
    </row>
    <row r="16464" ht="16.5" customHeight="1">
      <c r="O16464" s="5" t="s">
        <v>355</v>
      </c>
      <c r="P16464" s="5" t="s">
        <v>355</v>
      </c>
      <c r="Q16464" s="5" t="s">
        <v>355</v>
      </c>
    </row>
    <row r="16465" ht="16.5" customHeight="1">
      <c r="O16465" s="5" t="s">
        <v>355</v>
      </c>
      <c r="P16465" s="5" t="s">
        <v>355</v>
      </c>
      <c r="Q16465" s="5" t="s">
        <v>355</v>
      </c>
    </row>
    <row r="16466" ht="16.5" customHeight="1">
      <c r="O16466" s="5" t="s">
        <v>355</v>
      </c>
      <c r="P16466" s="5" t="s">
        <v>355</v>
      </c>
      <c r="Q16466" s="5" t="s">
        <v>355</v>
      </c>
    </row>
    <row r="16467" ht="16.5" customHeight="1">
      <c r="O16467" s="5" t="s">
        <v>355</v>
      </c>
      <c r="P16467" s="5" t="s">
        <v>355</v>
      </c>
      <c r="Q16467" s="5" t="s">
        <v>355</v>
      </c>
    </row>
    <row r="16468" ht="16.5" customHeight="1">
      <c r="O16468" s="5" t="s">
        <v>355</v>
      </c>
      <c r="P16468" s="5" t="s">
        <v>355</v>
      </c>
      <c r="Q16468" s="5" t="s">
        <v>355</v>
      </c>
    </row>
    <row r="16469" ht="16.5" customHeight="1">
      <c r="O16469" s="5" t="s">
        <v>355</v>
      </c>
      <c r="P16469" s="5" t="s">
        <v>355</v>
      </c>
      <c r="Q16469" s="5" t="s">
        <v>355</v>
      </c>
    </row>
    <row r="16470" ht="16.5" customHeight="1">
      <c r="O16470" s="5" t="s">
        <v>355</v>
      </c>
      <c r="P16470" s="5" t="s">
        <v>355</v>
      </c>
      <c r="Q16470" s="5" t="s">
        <v>355</v>
      </c>
    </row>
    <row r="16471" ht="16.5" customHeight="1">
      <c r="O16471" s="5" t="s">
        <v>355</v>
      </c>
      <c r="P16471" s="5" t="s">
        <v>355</v>
      </c>
      <c r="Q16471" s="5" t="s">
        <v>355</v>
      </c>
    </row>
    <row r="16472" ht="16.5" customHeight="1">
      <c r="O16472" s="5" t="s">
        <v>355</v>
      </c>
      <c r="P16472" s="5" t="s">
        <v>355</v>
      </c>
      <c r="Q16472" s="5" t="s">
        <v>355</v>
      </c>
    </row>
    <row r="16473" ht="16.5" customHeight="1">
      <c r="O16473" s="5" t="s">
        <v>355</v>
      </c>
      <c r="P16473" s="5" t="s">
        <v>355</v>
      </c>
      <c r="Q16473" s="5" t="s">
        <v>355</v>
      </c>
    </row>
    <row r="16474" ht="16.5" customHeight="1">
      <c r="O16474" s="5" t="s">
        <v>355</v>
      </c>
      <c r="P16474" s="5" t="s">
        <v>355</v>
      </c>
      <c r="Q16474" s="5" t="s">
        <v>355</v>
      </c>
    </row>
    <row r="16475" ht="16.5" customHeight="1">
      <c r="O16475" s="5" t="s">
        <v>355</v>
      </c>
      <c r="P16475" s="5" t="s">
        <v>355</v>
      </c>
      <c r="Q16475" s="5" t="s">
        <v>355</v>
      </c>
    </row>
    <row r="16476" ht="16.5" customHeight="1">
      <c r="O16476" s="5" t="s">
        <v>355</v>
      </c>
      <c r="P16476" s="5" t="s">
        <v>355</v>
      </c>
      <c r="Q16476" s="5" t="s">
        <v>355</v>
      </c>
    </row>
    <row r="16477" ht="16.5" customHeight="1">
      <c r="O16477" s="5" t="s">
        <v>355</v>
      </c>
      <c r="P16477" s="5" t="s">
        <v>355</v>
      </c>
      <c r="Q16477" s="5" t="s">
        <v>355</v>
      </c>
    </row>
    <row r="16478" ht="16.5" customHeight="1">
      <c r="O16478" s="5" t="s">
        <v>355</v>
      </c>
      <c r="P16478" s="5" t="s">
        <v>355</v>
      </c>
      <c r="Q16478" s="5" t="s">
        <v>355</v>
      </c>
    </row>
    <row r="16479" ht="16.5" customHeight="1">
      <c r="O16479" s="5" t="s">
        <v>355</v>
      </c>
      <c r="P16479" s="5" t="s">
        <v>355</v>
      </c>
      <c r="Q16479" s="5" t="s">
        <v>355</v>
      </c>
    </row>
    <row r="16480" ht="16.5" customHeight="1">
      <c r="O16480" s="5" t="s">
        <v>355</v>
      </c>
      <c r="P16480" s="5" t="s">
        <v>355</v>
      </c>
      <c r="Q16480" s="5" t="s">
        <v>355</v>
      </c>
    </row>
    <row r="16481" ht="16.5" customHeight="1">
      <c r="O16481" s="5" t="s">
        <v>355</v>
      </c>
      <c r="P16481" s="5" t="s">
        <v>355</v>
      </c>
      <c r="Q16481" s="5" t="s">
        <v>355</v>
      </c>
    </row>
    <row r="16482" ht="16.5" customHeight="1">
      <c r="O16482" s="5" t="s">
        <v>355</v>
      </c>
      <c r="P16482" s="5" t="s">
        <v>355</v>
      </c>
      <c r="Q16482" s="5" t="s">
        <v>355</v>
      </c>
    </row>
    <row r="16483" ht="16.5" customHeight="1">
      <c r="O16483" s="5" t="s">
        <v>355</v>
      </c>
      <c r="P16483" s="5" t="s">
        <v>355</v>
      </c>
      <c r="Q16483" s="5" t="s">
        <v>355</v>
      </c>
    </row>
    <row r="16484" ht="16.5" customHeight="1">
      <c r="O16484" s="5" t="s">
        <v>355</v>
      </c>
      <c r="P16484" s="5" t="s">
        <v>355</v>
      </c>
      <c r="Q16484" s="5" t="s">
        <v>355</v>
      </c>
    </row>
    <row r="16485" ht="16.5" customHeight="1">
      <c r="O16485" s="5" t="s">
        <v>355</v>
      </c>
      <c r="P16485" s="5" t="s">
        <v>355</v>
      </c>
      <c r="Q16485" s="5" t="s">
        <v>355</v>
      </c>
    </row>
    <row r="16486" ht="16.5" customHeight="1">
      <c r="O16486" s="5" t="s">
        <v>355</v>
      </c>
      <c r="P16486" s="5" t="s">
        <v>355</v>
      </c>
      <c r="Q16486" s="5" t="s">
        <v>355</v>
      </c>
    </row>
    <row r="16487" ht="16.5" customHeight="1">
      <c r="O16487" s="5" t="s">
        <v>355</v>
      </c>
      <c r="P16487" s="5" t="s">
        <v>355</v>
      </c>
      <c r="Q16487" s="5" t="s">
        <v>355</v>
      </c>
    </row>
    <row r="16488" ht="16.5" customHeight="1">
      <c r="O16488" s="5" t="s">
        <v>355</v>
      </c>
      <c r="P16488" s="5" t="s">
        <v>355</v>
      </c>
      <c r="Q16488" s="5" t="s">
        <v>355</v>
      </c>
    </row>
    <row r="16489" ht="16.5" customHeight="1">
      <c r="O16489" s="5" t="s">
        <v>355</v>
      </c>
      <c r="P16489" s="5" t="s">
        <v>355</v>
      </c>
      <c r="Q16489" s="5" t="s">
        <v>355</v>
      </c>
    </row>
    <row r="16490" ht="16.5" customHeight="1">
      <c r="O16490" s="5" t="s">
        <v>355</v>
      </c>
      <c r="P16490" s="5" t="s">
        <v>355</v>
      </c>
      <c r="Q16490" s="5" t="s">
        <v>355</v>
      </c>
    </row>
    <row r="16491" ht="16.5" customHeight="1">
      <c r="O16491" s="5" t="s">
        <v>355</v>
      </c>
      <c r="P16491" s="5" t="s">
        <v>355</v>
      </c>
      <c r="Q16491" s="5" t="s">
        <v>355</v>
      </c>
    </row>
    <row r="16492" ht="16.5" customHeight="1">
      <c r="O16492" s="5" t="s">
        <v>355</v>
      </c>
      <c r="P16492" s="5" t="s">
        <v>355</v>
      </c>
      <c r="Q16492" s="5" t="s">
        <v>355</v>
      </c>
    </row>
    <row r="16493" ht="16.5" customHeight="1">
      <c r="O16493" s="5" t="s">
        <v>355</v>
      </c>
      <c r="P16493" s="5" t="s">
        <v>355</v>
      </c>
      <c r="Q16493" s="5" t="s">
        <v>355</v>
      </c>
    </row>
    <row r="16494" ht="16.5" customHeight="1">
      <c r="O16494" s="5" t="s">
        <v>355</v>
      </c>
      <c r="P16494" s="5" t="s">
        <v>355</v>
      </c>
      <c r="Q16494" s="5" t="s">
        <v>355</v>
      </c>
    </row>
    <row r="16495" ht="16.5" customHeight="1">
      <c r="O16495" s="5" t="s">
        <v>355</v>
      </c>
      <c r="P16495" s="5" t="s">
        <v>355</v>
      </c>
      <c r="Q16495" s="5" t="s">
        <v>355</v>
      </c>
    </row>
    <row r="16496" ht="16.5" customHeight="1">
      <c r="O16496" s="5" t="s">
        <v>355</v>
      </c>
      <c r="P16496" s="5" t="s">
        <v>355</v>
      </c>
      <c r="Q16496" s="5" t="s">
        <v>355</v>
      </c>
    </row>
    <row r="16497" ht="16.5" customHeight="1">
      <c r="O16497" s="5" t="s">
        <v>355</v>
      </c>
      <c r="P16497" s="5" t="s">
        <v>355</v>
      </c>
      <c r="Q16497" s="5" t="s">
        <v>355</v>
      </c>
    </row>
    <row r="16498" ht="16.5" customHeight="1">
      <c r="O16498" s="5" t="s">
        <v>355</v>
      </c>
      <c r="P16498" s="5" t="s">
        <v>355</v>
      </c>
      <c r="Q16498" s="5" t="s">
        <v>355</v>
      </c>
    </row>
    <row r="16499" ht="16.5" customHeight="1">
      <c r="O16499" s="5" t="s">
        <v>355</v>
      </c>
      <c r="P16499" s="5" t="s">
        <v>355</v>
      </c>
      <c r="Q16499" s="5" t="s">
        <v>355</v>
      </c>
    </row>
    <row r="16500" ht="16.5" customHeight="1">
      <c r="O16500" s="5" t="s">
        <v>355</v>
      </c>
      <c r="P16500" s="5" t="s">
        <v>355</v>
      </c>
      <c r="Q16500" s="5" t="s">
        <v>355</v>
      </c>
    </row>
    <row r="16501" ht="16.5" customHeight="1">
      <c r="O16501" s="5" t="s">
        <v>355</v>
      </c>
      <c r="P16501" s="5" t="s">
        <v>355</v>
      </c>
      <c r="Q16501" s="5" t="s">
        <v>355</v>
      </c>
    </row>
    <row r="16502" ht="16.5" customHeight="1">
      <c r="O16502" s="5" t="s">
        <v>355</v>
      </c>
      <c r="P16502" s="5" t="s">
        <v>355</v>
      </c>
      <c r="Q16502" s="5" t="s">
        <v>355</v>
      </c>
    </row>
    <row r="16503" ht="16.5" customHeight="1">
      <c r="O16503" s="5" t="s">
        <v>355</v>
      </c>
      <c r="P16503" s="5" t="s">
        <v>355</v>
      </c>
      <c r="Q16503" s="5" t="s">
        <v>355</v>
      </c>
    </row>
    <row r="16504" ht="16.5" customHeight="1">
      <c r="O16504" s="5" t="s">
        <v>355</v>
      </c>
      <c r="P16504" s="5" t="s">
        <v>355</v>
      </c>
      <c r="Q16504" s="5" t="s">
        <v>355</v>
      </c>
    </row>
    <row r="16505" ht="16.5" customHeight="1">
      <c r="O16505" s="5" t="s">
        <v>355</v>
      </c>
      <c r="P16505" s="5" t="s">
        <v>355</v>
      </c>
      <c r="Q16505" s="5" t="s">
        <v>355</v>
      </c>
    </row>
    <row r="16506" ht="16.5" customHeight="1">
      <c r="O16506" s="5" t="s">
        <v>355</v>
      </c>
      <c r="P16506" s="5" t="s">
        <v>355</v>
      </c>
      <c r="Q16506" s="5" t="s">
        <v>355</v>
      </c>
    </row>
    <row r="16507" ht="16.5" customHeight="1">
      <c r="O16507" s="5" t="s">
        <v>355</v>
      </c>
      <c r="P16507" s="5" t="s">
        <v>355</v>
      </c>
      <c r="Q16507" s="5" t="s">
        <v>355</v>
      </c>
    </row>
    <row r="16508" ht="16.5" customHeight="1">
      <c r="O16508" s="5" t="s">
        <v>355</v>
      </c>
      <c r="P16508" s="5" t="s">
        <v>355</v>
      </c>
      <c r="Q16508" s="5" t="s">
        <v>355</v>
      </c>
    </row>
    <row r="16509" ht="16.5" customHeight="1">
      <c r="O16509" s="5" t="s">
        <v>355</v>
      </c>
      <c r="P16509" s="5" t="s">
        <v>355</v>
      </c>
      <c r="Q16509" s="5" t="s">
        <v>355</v>
      </c>
    </row>
    <row r="16510" ht="16.5" customHeight="1">
      <c r="O16510" s="5" t="s">
        <v>355</v>
      </c>
      <c r="P16510" s="5" t="s">
        <v>355</v>
      </c>
      <c r="Q16510" s="5" t="s">
        <v>355</v>
      </c>
    </row>
    <row r="16511" ht="16.5" customHeight="1">
      <c r="O16511" s="5" t="s">
        <v>355</v>
      </c>
      <c r="P16511" s="5" t="s">
        <v>355</v>
      </c>
      <c r="Q16511" s="5" t="s">
        <v>355</v>
      </c>
    </row>
    <row r="16512" ht="16.5" customHeight="1">
      <c r="O16512" s="5" t="s">
        <v>355</v>
      </c>
      <c r="P16512" s="5" t="s">
        <v>355</v>
      </c>
      <c r="Q16512" s="5" t="s">
        <v>355</v>
      </c>
    </row>
    <row r="16513" ht="16.5" customHeight="1">
      <c r="O16513" s="5" t="s">
        <v>355</v>
      </c>
      <c r="P16513" s="5" t="s">
        <v>355</v>
      </c>
      <c r="Q16513" s="5" t="s">
        <v>355</v>
      </c>
    </row>
    <row r="16514" ht="16.5" customHeight="1">
      <c r="O16514" s="5" t="s">
        <v>355</v>
      </c>
      <c r="P16514" s="5" t="s">
        <v>355</v>
      </c>
      <c r="Q16514" s="5" t="s">
        <v>355</v>
      </c>
    </row>
    <row r="16515" ht="16.5" customHeight="1">
      <c r="O16515" s="5" t="s">
        <v>355</v>
      </c>
      <c r="P16515" s="5" t="s">
        <v>355</v>
      </c>
      <c r="Q16515" s="5" t="s">
        <v>355</v>
      </c>
    </row>
    <row r="16516" ht="16.5" customHeight="1">
      <c r="O16516" s="5" t="s">
        <v>355</v>
      </c>
      <c r="P16516" s="5" t="s">
        <v>355</v>
      </c>
      <c r="Q16516" s="5" t="s">
        <v>355</v>
      </c>
    </row>
    <row r="16517" ht="16.5" customHeight="1">
      <c r="O16517" s="5" t="s">
        <v>355</v>
      </c>
      <c r="P16517" s="5" t="s">
        <v>355</v>
      </c>
      <c r="Q16517" s="5" t="s">
        <v>355</v>
      </c>
    </row>
    <row r="16518" ht="16.5" customHeight="1">
      <c r="O16518" s="5" t="s">
        <v>355</v>
      </c>
      <c r="P16518" s="5" t="s">
        <v>355</v>
      </c>
      <c r="Q16518" s="5" t="s">
        <v>355</v>
      </c>
    </row>
    <row r="16519" ht="16.5" customHeight="1">
      <c r="O16519" s="5" t="s">
        <v>355</v>
      </c>
      <c r="P16519" s="5" t="s">
        <v>355</v>
      </c>
      <c r="Q16519" s="5" t="s">
        <v>355</v>
      </c>
    </row>
    <row r="16520" ht="16.5" customHeight="1">
      <c r="O16520" s="5" t="s">
        <v>355</v>
      </c>
      <c r="P16520" s="5" t="s">
        <v>355</v>
      </c>
      <c r="Q16520" s="5" t="s">
        <v>355</v>
      </c>
    </row>
    <row r="16521" ht="16.5" customHeight="1">
      <c r="O16521" s="5" t="s">
        <v>355</v>
      </c>
      <c r="P16521" s="5" t="s">
        <v>355</v>
      </c>
      <c r="Q16521" s="5" t="s">
        <v>355</v>
      </c>
    </row>
    <row r="16522" ht="16.5" customHeight="1">
      <c r="O16522" s="5" t="s">
        <v>355</v>
      </c>
      <c r="P16522" s="5" t="s">
        <v>355</v>
      </c>
      <c r="Q16522" s="5" t="s">
        <v>355</v>
      </c>
    </row>
    <row r="16523" ht="16.5" customHeight="1">
      <c r="O16523" s="5" t="s">
        <v>355</v>
      </c>
      <c r="P16523" s="5" t="s">
        <v>355</v>
      </c>
      <c r="Q16523" s="5" t="s">
        <v>355</v>
      </c>
    </row>
    <row r="16524" ht="16.5" customHeight="1">
      <c r="O16524" s="5" t="s">
        <v>355</v>
      </c>
      <c r="P16524" s="5" t="s">
        <v>355</v>
      </c>
      <c r="Q16524" s="5" t="s">
        <v>355</v>
      </c>
    </row>
    <row r="16525" ht="16.5" customHeight="1">
      <c r="O16525" s="5" t="s">
        <v>355</v>
      </c>
      <c r="P16525" s="5" t="s">
        <v>355</v>
      </c>
      <c r="Q16525" s="5" t="s">
        <v>355</v>
      </c>
    </row>
    <row r="16526" ht="16.5" customHeight="1">
      <c r="O16526" s="5" t="s">
        <v>355</v>
      </c>
      <c r="P16526" s="5" t="s">
        <v>355</v>
      </c>
      <c r="Q16526" s="5" t="s">
        <v>355</v>
      </c>
    </row>
    <row r="16527" ht="16.5" customHeight="1">
      <c r="O16527" s="5" t="s">
        <v>355</v>
      </c>
      <c r="P16527" s="5" t="s">
        <v>355</v>
      </c>
      <c r="Q16527" s="5" t="s">
        <v>355</v>
      </c>
    </row>
    <row r="16528" ht="16.5" customHeight="1">
      <c r="O16528" s="5" t="s">
        <v>355</v>
      </c>
      <c r="P16528" s="5" t="s">
        <v>355</v>
      </c>
      <c r="Q16528" s="5" t="s">
        <v>355</v>
      </c>
    </row>
    <row r="16529" ht="16.5" customHeight="1">
      <c r="O16529" s="5" t="s">
        <v>355</v>
      </c>
      <c r="P16529" s="5" t="s">
        <v>355</v>
      </c>
      <c r="Q16529" s="5" t="s">
        <v>355</v>
      </c>
    </row>
    <row r="16530" ht="16.5" customHeight="1">
      <c r="O16530" s="5" t="s">
        <v>355</v>
      </c>
      <c r="P16530" s="5" t="s">
        <v>355</v>
      </c>
      <c r="Q16530" s="5" t="s">
        <v>355</v>
      </c>
    </row>
    <row r="16531" ht="16.5" customHeight="1">
      <c r="O16531" s="5" t="s">
        <v>355</v>
      </c>
      <c r="P16531" s="5" t="s">
        <v>355</v>
      </c>
      <c r="Q16531" s="5" t="s">
        <v>355</v>
      </c>
    </row>
    <row r="16532" ht="16.5" customHeight="1">
      <c r="O16532" s="5" t="s">
        <v>355</v>
      </c>
      <c r="P16532" s="5" t="s">
        <v>355</v>
      </c>
      <c r="Q16532" s="5" t="s">
        <v>355</v>
      </c>
    </row>
    <row r="16533" ht="16.5" customHeight="1">
      <c r="O16533" s="5" t="s">
        <v>355</v>
      </c>
      <c r="P16533" s="5" t="s">
        <v>355</v>
      </c>
      <c r="Q16533" s="5" t="s">
        <v>355</v>
      </c>
    </row>
    <row r="16534" ht="16.5" customHeight="1">
      <c r="O16534" s="5" t="s">
        <v>355</v>
      </c>
      <c r="P16534" s="5" t="s">
        <v>355</v>
      </c>
      <c r="Q16534" s="5" t="s">
        <v>355</v>
      </c>
    </row>
    <row r="16535" ht="16.5" customHeight="1">
      <c r="O16535" s="5" t="s">
        <v>355</v>
      </c>
      <c r="P16535" s="5" t="s">
        <v>355</v>
      </c>
      <c r="Q16535" s="5" t="s">
        <v>355</v>
      </c>
    </row>
    <row r="16536" ht="16.5" customHeight="1">
      <c r="O16536" s="5" t="s">
        <v>355</v>
      </c>
      <c r="P16536" s="5" t="s">
        <v>355</v>
      </c>
      <c r="Q16536" s="5" t="s">
        <v>355</v>
      </c>
    </row>
    <row r="16537" ht="16.5" customHeight="1">
      <c r="O16537" s="5" t="s">
        <v>355</v>
      </c>
      <c r="P16537" s="5" t="s">
        <v>355</v>
      </c>
      <c r="Q16537" s="5" t="s">
        <v>355</v>
      </c>
    </row>
    <row r="16538" ht="16.5" customHeight="1">
      <c r="O16538" s="5" t="s">
        <v>355</v>
      </c>
      <c r="P16538" s="5" t="s">
        <v>355</v>
      </c>
      <c r="Q16538" s="5" t="s">
        <v>355</v>
      </c>
    </row>
    <row r="16539" ht="16.5" customHeight="1">
      <c r="O16539" s="5" t="s">
        <v>355</v>
      </c>
      <c r="P16539" s="5" t="s">
        <v>355</v>
      </c>
      <c r="Q16539" s="5" t="s">
        <v>355</v>
      </c>
    </row>
    <row r="16540" ht="16.5" customHeight="1">
      <c r="O16540" s="5" t="s">
        <v>355</v>
      </c>
      <c r="P16540" s="5" t="s">
        <v>355</v>
      </c>
      <c r="Q16540" s="5" t="s">
        <v>355</v>
      </c>
    </row>
    <row r="16541" ht="16.5" customHeight="1">
      <c r="O16541" s="5" t="s">
        <v>355</v>
      </c>
      <c r="P16541" s="5" t="s">
        <v>355</v>
      </c>
      <c r="Q16541" s="5" t="s">
        <v>355</v>
      </c>
    </row>
    <row r="16542" ht="16.5" customHeight="1">
      <c r="O16542" s="5" t="s">
        <v>355</v>
      </c>
      <c r="P16542" s="5" t="s">
        <v>355</v>
      </c>
      <c r="Q16542" s="5" t="s">
        <v>355</v>
      </c>
    </row>
    <row r="16543" ht="16.5" customHeight="1">
      <c r="O16543" s="5" t="s">
        <v>355</v>
      </c>
      <c r="P16543" s="5" t="s">
        <v>355</v>
      </c>
      <c r="Q16543" s="5" t="s">
        <v>355</v>
      </c>
    </row>
    <row r="16544" ht="16.5" customHeight="1">
      <c r="O16544" s="5" t="s">
        <v>355</v>
      </c>
      <c r="P16544" s="5" t="s">
        <v>355</v>
      </c>
      <c r="Q16544" s="5" t="s">
        <v>355</v>
      </c>
    </row>
    <row r="16545" ht="16.5" customHeight="1">
      <c r="O16545" s="5" t="s">
        <v>355</v>
      </c>
      <c r="P16545" s="5" t="s">
        <v>355</v>
      </c>
      <c r="Q16545" s="5" t="s">
        <v>355</v>
      </c>
    </row>
    <row r="16546" ht="16.5" customHeight="1">
      <c r="O16546" s="5" t="s">
        <v>355</v>
      </c>
      <c r="P16546" s="5" t="s">
        <v>355</v>
      </c>
      <c r="Q16546" s="5" t="s">
        <v>355</v>
      </c>
    </row>
    <row r="16547" ht="16.5" customHeight="1">
      <c r="O16547" s="5" t="s">
        <v>355</v>
      </c>
      <c r="P16547" s="5" t="s">
        <v>355</v>
      </c>
      <c r="Q16547" s="5" t="s">
        <v>355</v>
      </c>
    </row>
    <row r="16548" ht="16.5" customHeight="1">
      <c r="O16548" s="5" t="s">
        <v>355</v>
      </c>
      <c r="P16548" s="5" t="s">
        <v>355</v>
      </c>
      <c r="Q16548" s="5" t="s">
        <v>355</v>
      </c>
    </row>
    <row r="16549" ht="16.5" customHeight="1">
      <c r="O16549" s="5" t="s">
        <v>355</v>
      </c>
      <c r="P16549" s="5" t="s">
        <v>355</v>
      </c>
      <c r="Q16549" s="5" t="s">
        <v>355</v>
      </c>
    </row>
    <row r="16550" ht="16.5" customHeight="1">
      <c r="O16550" s="5" t="s">
        <v>355</v>
      </c>
      <c r="P16550" s="5" t="s">
        <v>355</v>
      </c>
      <c r="Q16550" s="5" t="s">
        <v>355</v>
      </c>
    </row>
    <row r="16551" ht="16.5" customHeight="1">
      <c r="O16551" s="5" t="s">
        <v>355</v>
      </c>
      <c r="P16551" s="5" t="s">
        <v>355</v>
      </c>
      <c r="Q16551" s="5" t="s">
        <v>355</v>
      </c>
    </row>
    <row r="16552" ht="16.5" customHeight="1">
      <c r="O16552" s="5" t="s">
        <v>355</v>
      </c>
      <c r="P16552" s="5" t="s">
        <v>355</v>
      </c>
      <c r="Q16552" s="5" t="s">
        <v>355</v>
      </c>
    </row>
    <row r="16553" ht="16.5" customHeight="1">
      <c r="O16553" s="5" t="s">
        <v>355</v>
      </c>
      <c r="P16553" s="5" t="s">
        <v>355</v>
      </c>
      <c r="Q16553" s="5" t="s">
        <v>355</v>
      </c>
    </row>
    <row r="16554" ht="16.5" customHeight="1">
      <c r="O16554" s="5" t="s">
        <v>355</v>
      </c>
      <c r="P16554" s="5" t="s">
        <v>355</v>
      </c>
      <c r="Q16554" s="5" t="s">
        <v>355</v>
      </c>
    </row>
    <row r="16555" ht="16.5" customHeight="1">
      <c r="O16555" s="5" t="s">
        <v>355</v>
      </c>
      <c r="P16555" s="5" t="s">
        <v>355</v>
      </c>
      <c r="Q16555" s="5" t="s">
        <v>355</v>
      </c>
    </row>
    <row r="16556" ht="16.5" customHeight="1">
      <c r="O16556" s="5" t="s">
        <v>355</v>
      </c>
      <c r="P16556" s="5" t="s">
        <v>355</v>
      </c>
      <c r="Q16556" s="5" t="s">
        <v>355</v>
      </c>
    </row>
    <row r="16557" ht="16.5" customHeight="1">
      <c r="O16557" s="5" t="s">
        <v>355</v>
      </c>
      <c r="P16557" s="5" t="s">
        <v>355</v>
      </c>
      <c r="Q16557" s="5" t="s">
        <v>355</v>
      </c>
    </row>
    <row r="16558" ht="16.5" customHeight="1">
      <c r="O16558" s="5" t="s">
        <v>355</v>
      </c>
      <c r="P16558" s="5" t="s">
        <v>355</v>
      </c>
      <c r="Q16558" s="5" t="s">
        <v>355</v>
      </c>
    </row>
    <row r="16559" ht="16.5" customHeight="1">
      <c r="O16559" s="5" t="s">
        <v>355</v>
      </c>
      <c r="P16559" s="5" t="s">
        <v>355</v>
      </c>
      <c r="Q16559" s="5" t="s">
        <v>355</v>
      </c>
    </row>
    <row r="16560" ht="16.5" customHeight="1">
      <c r="O16560" s="5" t="s">
        <v>355</v>
      </c>
      <c r="P16560" s="5" t="s">
        <v>355</v>
      </c>
      <c r="Q16560" s="5" t="s">
        <v>355</v>
      </c>
    </row>
    <row r="16561" ht="16.5" customHeight="1">
      <c r="O16561" s="5" t="s">
        <v>355</v>
      </c>
      <c r="P16561" s="5" t="s">
        <v>355</v>
      </c>
      <c r="Q16561" s="5" t="s">
        <v>355</v>
      </c>
    </row>
    <row r="16562" ht="16.5" customHeight="1">
      <c r="O16562" s="5" t="s">
        <v>355</v>
      </c>
      <c r="P16562" s="5" t="s">
        <v>355</v>
      </c>
      <c r="Q16562" s="5" t="s">
        <v>355</v>
      </c>
    </row>
    <row r="16563" ht="16.5" customHeight="1">
      <c r="O16563" s="5" t="s">
        <v>355</v>
      </c>
      <c r="P16563" s="5" t="s">
        <v>355</v>
      </c>
      <c r="Q16563" s="5" t="s">
        <v>355</v>
      </c>
    </row>
    <row r="16564" ht="16.5" customHeight="1">
      <c r="O16564" s="5" t="s">
        <v>355</v>
      </c>
      <c r="P16564" s="5" t="s">
        <v>355</v>
      </c>
      <c r="Q16564" s="5" t="s">
        <v>355</v>
      </c>
    </row>
    <row r="16565" ht="16.5" customHeight="1">
      <c r="O16565" s="5" t="s">
        <v>355</v>
      </c>
      <c r="P16565" s="5" t="s">
        <v>355</v>
      </c>
      <c r="Q16565" s="5" t="s">
        <v>355</v>
      </c>
    </row>
    <row r="16566" ht="16.5" customHeight="1">
      <c r="O16566" s="5" t="s">
        <v>355</v>
      </c>
      <c r="P16566" s="5" t="s">
        <v>355</v>
      </c>
      <c r="Q16566" s="5" t="s">
        <v>355</v>
      </c>
    </row>
    <row r="16567" ht="16.5" customHeight="1">
      <c r="O16567" s="5" t="s">
        <v>355</v>
      </c>
      <c r="P16567" s="5" t="s">
        <v>355</v>
      </c>
      <c r="Q16567" s="5" t="s">
        <v>355</v>
      </c>
    </row>
    <row r="16568" ht="16.5" customHeight="1">
      <c r="O16568" s="5" t="s">
        <v>355</v>
      </c>
      <c r="P16568" s="5" t="s">
        <v>355</v>
      </c>
      <c r="Q16568" s="5" t="s">
        <v>355</v>
      </c>
    </row>
    <row r="16569" ht="16.5" customHeight="1">
      <c r="O16569" s="5" t="s">
        <v>355</v>
      </c>
      <c r="P16569" s="5" t="s">
        <v>355</v>
      </c>
      <c r="Q16569" s="5" t="s">
        <v>355</v>
      </c>
    </row>
    <row r="16570" ht="16.5" customHeight="1">
      <c r="O16570" s="5" t="s">
        <v>355</v>
      </c>
      <c r="P16570" s="5" t="s">
        <v>355</v>
      </c>
      <c r="Q16570" s="5" t="s">
        <v>355</v>
      </c>
    </row>
    <row r="16571" ht="16.5" customHeight="1">
      <c r="O16571" s="5" t="s">
        <v>355</v>
      </c>
      <c r="P16571" s="5" t="s">
        <v>355</v>
      </c>
      <c r="Q16571" s="5" t="s">
        <v>355</v>
      </c>
    </row>
    <row r="16572" ht="16.5" customHeight="1">
      <c r="O16572" s="5" t="s">
        <v>355</v>
      </c>
      <c r="P16572" s="5" t="s">
        <v>355</v>
      </c>
      <c r="Q16572" s="5" t="s">
        <v>355</v>
      </c>
    </row>
    <row r="16573" ht="16.5" customHeight="1">
      <c r="O16573" s="5" t="s">
        <v>355</v>
      </c>
      <c r="P16573" s="5" t="s">
        <v>355</v>
      </c>
      <c r="Q16573" s="5" t="s">
        <v>355</v>
      </c>
    </row>
    <row r="16574" ht="16.5" customHeight="1">
      <c r="O16574" s="5" t="s">
        <v>355</v>
      </c>
      <c r="P16574" s="5" t="s">
        <v>355</v>
      </c>
      <c r="Q16574" s="5" t="s">
        <v>355</v>
      </c>
    </row>
    <row r="16575" ht="16.5" customHeight="1">
      <c r="O16575" s="5" t="s">
        <v>355</v>
      </c>
      <c r="P16575" s="5" t="s">
        <v>355</v>
      </c>
      <c r="Q16575" s="5" t="s">
        <v>355</v>
      </c>
    </row>
    <row r="16576" ht="16.5" customHeight="1">
      <c r="O16576" s="5" t="s">
        <v>355</v>
      </c>
      <c r="P16576" s="5" t="s">
        <v>355</v>
      </c>
      <c r="Q16576" s="5" t="s">
        <v>355</v>
      </c>
    </row>
    <row r="16577" ht="16.5" customHeight="1">
      <c r="O16577" s="5" t="s">
        <v>355</v>
      </c>
      <c r="P16577" s="5" t="s">
        <v>355</v>
      </c>
      <c r="Q16577" s="5" t="s">
        <v>355</v>
      </c>
    </row>
    <row r="16578" ht="16.5" customHeight="1">
      <c r="O16578" s="5" t="s">
        <v>355</v>
      </c>
      <c r="P16578" s="5" t="s">
        <v>355</v>
      </c>
      <c r="Q16578" s="5" t="s">
        <v>355</v>
      </c>
    </row>
    <row r="16579" ht="16.5" customHeight="1">
      <c r="O16579" s="5" t="s">
        <v>355</v>
      </c>
      <c r="P16579" s="5" t="s">
        <v>355</v>
      </c>
      <c r="Q16579" s="5" t="s">
        <v>355</v>
      </c>
    </row>
    <row r="16580" ht="16.5" customHeight="1">
      <c r="O16580" s="5" t="s">
        <v>355</v>
      </c>
      <c r="P16580" s="5" t="s">
        <v>355</v>
      </c>
      <c r="Q16580" s="5" t="s">
        <v>355</v>
      </c>
    </row>
    <row r="16581" ht="16.5" customHeight="1">
      <c r="O16581" s="5" t="s">
        <v>355</v>
      </c>
      <c r="P16581" s="5" t="s">
        <v>355</v>
      </c>
      <c r="Q16581" s="5" t="s">
        <v>355</v>
      </c>
    </row>
    <row r="16582" ht="16.5" customHeight="1">
      <c r="O16582" s="5" t="s">
        <v>355</v>
      </c>
      <c r="P16582" s="5" t="s">
        <v>355</v>
      </c>
      <c r="Q16582" s="5" t="s">
        <v>355</v>
      </c>
    </row>
    <row r="16583" ht="16.5" customHeight="1">
      <c r="O16583" s="5" t="s">
        <v>355</v>
      </c>
      <c r="P16583" s="5" t="s">
        <v>355</v>
      </c>
      <c r="Q16583" s="5" t="s">
        <v>355</v>
      </c>
    </row>
    <row r="16584" ht="16.5" customHeight="1">
      <c r="O16584" s="5" t="s">
        <v>355</v>
      </c>
      <c r="P16584" s="5" t="s">
        <v>355</v>
      </c>
      <c r="Q16584" s="5" t="s">
        <v>355</v>
      </c>
    </row>
    <row r="16585" ht="16.5" customHeight="1">
      <c r="O16585" s="5" t="s">
        <v>355</v>
      </c>
      <c r="P16585" s="5" t="s">
        <v>355</v>
      </c>
      <c r="Q16585" s="5" t="s">
        <v>355</v>
      </c>
    </row>
    <row r="16586" ht="16.5" customHeight="1">
      <c r="O16586" s="5" t="s">
        <v>355</v>
      </c>
      <c r="P16586" s="5" t="s">
        <v>355</v>
      </c>
      <c r="Q16586" s="5" t="s">
        <v>355</v>
      </c>
    </row>
    <row r="16587" ht="16.5" customHeight="1">
      <c r="O16587" s="5" t="s">
        <v>355</v>
      </c>
      <c r="P16587" s="5" t="s">
        <v>355</v>
      </c>
      <c r="Q16587" s="5" t="s">
        <v>355</v>
      </c>
    </row>
    <row r="16588" ht="16.5" customHeight="1">
      <c r="O16588" s="5" t="s">
        <v>355</v>
      </c>
      <c r="P16588" s="5" t="s">
        <v>355</v>
      </c>
      <c r="Q16588" s="5" t="s">
        <v>355</v>
      </c>
    </row>
    <row r="16589" ht="16.5" customHeight="1">
      <c r="O16589" s="5" t="s">
        <v>355</v>
      </c>
      <c r="P16589" s="5" t="s">
        <v>355</v>
      </c>
      <c r="Q16589" s="5" t="s">
        <v>355</v>
      </c>
    </row>
    <row r="16590" ht="16.5" customHeight="1">
      <c r="O16590" s="5" t="s">
        <v>355</v>
      </c>
      <c r="P16590" s="5" t="s">
        <v>355</v>
      </c>
      <c r="Q16590" s="5" t="s">
        <v>355</v>
      </c>
    </row>
    <row r="16591" ht="16.5" customHeight="1">
      <c r="O16591" s="5" t="s">
        <v>355</v>
      </c>
      <c r="P16591" s="5" t="s">
        <v>355</v>
      </c>
      <c r="Q16591" s="5" t="s">
        <v>355</v>
      </c>
    </row>
    <row r="16592" ht="16.5" customHeight="1">
      <c r="O16592" s="5" t="s">
        <v>355</v>
      </c>
      <c r="P16592" s="5" t="s">
        <v>355</v>
      </c>
      <c r="Q16592" s="5" t="s">
        <v>355</v>
      </c>
    </row>
    <row r="16593" ht="16.5" customHeight="1">
      <c r="O16593" s="5" t="s">
        <v>355</v>
      </c>
      <c r="P16593" s="5" t="s">
        <v>355</v>
      </c>
      <c r="Q16593" s="5" t="s">
        <v>355</v>
      </c>
    </row>
    <row r="16594" ht="16.5" customHeight="1">
      <c r="O16594" s="5" t="s">
        <v>355</v>
      </c>
      <c r="P16594" s="5" t="s">
        <v>355</v>
      </c>
      <c r="Q16594" s="5" t="s">
        <v>355</v>
      </c>
    </row>
    <row r="16595" ht="16.5" customHeight="1">
      <c r="O16595" s="5" t="s">
        <v>355</v>
      </c>
      <c r="P16595" s="5" t="s">
        <v>355</v>
      </c>
      <c r="Q16595" s="5" t="s">
        <v>355</v>
      </c>
    </row>
    <row r="16596" ht="16.5" customHeight="1">
      <c r="O16596" s="5" t="s">
        <v>355</v>
      </c>
      <c r="P16596" s="5" t="s">
        <v>355</v>
      </c>
      <c r="Q16596" s="5" t="s">
        <v>355</v>
      </c>
    </row>
    <row r="16597" ht="16.5" customHeight="1">
      <c r="O16597" s="5" t="s">
        <v>355</v>
      </c>
      <c r="P16597" s="5" t="s">
        <v>355</v>
      </c>
      <c r="Q16597" s="5" t="s">
        <v>355</v>
      </c>
    </row>
    <row r="16598" ht="16.5" customHeight="1">
      <c r="O16598" s="5" t="s">
        <v>355</v>
      </c>
      <c r="P16598" s="5" t="s">
        <v>355</v>
      </c>
      <c r="Q16598" s="5" t="s">
        <v>355</v>
      </c>
    </row>
    <row r="16599" ht="16.5" customHeight="1">
      <c r="O16599" s="5" t="s">
        <v>355</v>
      </c>
      <c r="P16599" s="5" t="s">
        <v>355</v>
      </c>
      <c r="Q16599" s="5" t="s">
        <v>355</v>
      </c>
    </row>
    <row r="16600" ht="16.5" customHeight="1">
      <c r="O16600" s="5" t="s">
        <v>355</v>
      </c>
      <c r="P16600" s="5" t="s">
        <v>355</v>
      </c>
      <c r="Q16600" s="5" t="s">
        <v>355</v>
      </c>
    </row>
    <row r="16601" ht="16.5" customHeight="1">
      <c r="O16601" s="5" t="s">
        <v>355</v>
      </c>
      <c r="P16601" s="5" t="s">
        <v>355</v>
      </c>
      <c r="Q16601" s="5" t="s">
        <v>355</v>
      </c>
    </row>
    <row r="16602" ht="16.5" customHeight="1">
      <c r="O16602" s="5" t="s">
        <v>355</v>
      </c>
      <c r="P16602" s="5" t="s">
        <v>355</v>
      </c>
      <c r="Q16602" s="5" t="s">
        <v>355</v>
      </c>
    </row>
    <row r="16603" ht="16.5" customHeight="1">
      <c r="O16603" s="5" t="s">
        <v>355</v>
      </c>
      <c r="P16603" s="5" t="s">
        <v>355</v>
      </c>
      <c r="Q16603" s="5" t="s">
        <v>355</v>
      </c>
    </row>
    <row r="16604" ht="16.5" customHeight="1">
      <c r="O16604" s="5" t="s">
        <v>355</v>
      </c>
      <c r="P16604" s="5" t="s">
        <v>355</v>
      </c>
      <c r="Q16604" s="5" t="s">
        <v>355</v>
      </c>
    </row>
    <row r="16605" ht="16.5" customHeight="1">
      <c r="O16605" s="5" t="s">
        <v>355</v>
      </c>
      <c r="P16605" s="5" t="s">
        <v>355</v>
      </c>
      <c r="Q16605" s="5" t="s">
        <v>355</v>
      </c>
    </row>
    <row r="16606" ht="16.5" customHeight="1">
      <c r="O16606" s="5" t="s">
        <v>355</v>
      </c>
      <c r="P16606" s="5" t="s">
        <v>355</v>
      </c>
      <c r="Q16606" s="5" t="s">
        <v>355</v>
      </c>
    </row>
    <row r="16607" ht="16.5" customHeight="1">
      <c r="O16607" s="5" t="s">
        <v>355</v>
      </c>
      <c r="P16607" s="5" t="s">
        <v>355</v>
      </c>
      <c r="Q16607" s="5" t="s">
        <v>355</v>
      </c>
    </row>
    <row r="16608" ht="16.5" customHeight="1">
      <c r="O16608" s="5" t="s">
        <v>355</v>
      </c>
      <c r="P16608" s="5" t="s">
        <v>355</v>
      </c>
      <c r="Q16608" s="5" t="s">
        <v>355</v>
      </c>
    </row>
    <row r="16609" ht="16.5" customHeight="1">
      <c r="O16609" s="5" t="s">
        <v>355</v>
      </c>
      <c r="P16609" s="5" t="s">
        <v>355</v>
      </c>
      <c r="Q16609" s="5" t="s">
        <v>355</v>
      </c>
    </row>
    <row r="16610" ht="16.5" customHeight="1">
      <c r="O16610" s="5" t="s">
        <v>355</v>
      </c>
      <c r="P16610" s="5" t="s">
        <v>355</v>
      </c>
      <c r="Q16610" s="5" t="s">
        <v>355</v>
      </c>
    </row>
    <row r="16611" ht="16.5" customHeight="1">
      <c r="O16611" s="5" t="s">
        <v>355</v>
      </c>
      <c r="P16611" s="5" t="s">
        <v>355</v>
      </c>
      <c r="Q16611" s="5" t="s">
        <v>355</v>
      </c>
    </row>
    <row r="16612" ht="16.5" customHeight="1">
      <c r="O16612" s="5" t="s">
        <v>355</v>
      </c>
      <c r="P16612" s="5" t="s">
        <v>355</v>
      </c>
      <c r="Q16612" s="5" t="s">
        <v>355</v>
      </c>
    </row>
    <row r="16613" ht="16.5" customHeight="1">
      <c r="O16613" s="5" t="s">
        <v>355</v>
      </c>
      <c r="P16613" s="5" t="s">
        <v>355</v>
      </c>
      <c r="Q16613" s="5" t="s">
        <v>355</v>
      </c>
    </row>
    <row r="16614" ht="16.5" customHeight="1">
      <c r="O16614" s="5" t="s">
        <v>355</v>
      </c>
      <c r="P16614" s="5" t="s">
        <v>355</v>
      </c>
      <c r="Q16614" s="5" t="s">
        <v>355</v>
      </c>
    </row>
    <row r="16615" ht="16.5" customHeight="1">
      <c r="O16615" s="5" t="s">
        <v>355</v>
      </c>
      <c r="P16615" s="5" t="s">
        <v>355</v>
      </c>
      <c r="Q16615" s="5" t="s">
        <v>355</v>
      </c>
    </row>
    <row r="16616" ht="16.5" customHeight="1">
      <c r="O16616" s="5" t="s">
        <v>355</v>
      </c>
      <c r="P16616" s="5" t="s">
        <v>355</v>
      </c>
      <c r="Q16616" s="5" t="s">
        <v>355</v>
      </c>
    </row>
    <row r="16617" ht="16.5" customHeight="1">
      <c r="O16617" s="5" t="s">
        <v>355</v>
      </c>
      <c r="P16617" s="5" t="s">
        <v>355</v>
      </c>
      <c r="Q16617" s="5" t="s">
        <v>355</v>
      </c>
    </row>
    <row r="16618" ht="16.5" customHeight="1">
      <c r="O16618" s="5" t="s">
        <v>355</v>
      </c>
      <c r="P16618" s="5" t="s">
        <v>355</v>
      </c>
      <c r="Q16618" s="5" t="s">
        <v>355</v>
      </c>
    </row>
    <row r="16619" ht="16.5" customHeight="1">
      <c r="O16619" s="5" t="s">
        <v>355</v>
      </c>
      <c r="P16619" s="5" t="s">
        <v>355</v>
      </c>
      <c r="Q16619" s="5" t="s">
        <v>355</v>
      </c>
    </row>
    <row r="16620" ht="16.5" customHeight="1">
      <c r="O16620" s="5" t="s">
        <v>355</v>
      </c>
      <c r="P16620" s="5" t="s">
        <v>355</v>
      </c>
      <c r="Q16620" s="5" t="s">
        <v>355</v>
      </c>
    </row>
    <row r="16621" ht="16.5" customHeight="1">
      <c r="O16621" s="5" t="s">
        <v>355</v>
      </c>
      <c r="P16621" s="5" t="s">
        <v>355</v>
      </c>
      <c r="Q16621" s="5" t="s">
        <v>355</v>
      </c>
    </row>
    <row r="16622" ht="16.5" customHeight="1">
      <c r="O16622" s="5" t="s">
        <v>355</v>
      </c>
      <c r="P16622" s="5" t="s">
        <v>355</v>
      </c>
      <c r="Q16622" s="5" t="s">
        <v>355</v>
      </c>
    </row>
    <row r="16623" ht="16.5" customHeight="1">
      <c r="O16623" s="5" t="s">
        <v>355</v>
      </c>
      <c r="P16623" s="5" t="s">
        <v>355</v>
      </c>
      <c r="Q16623" s="5" t="s">
        <v>355</v>
      </c>
    </row>
    <row r="16624" ht="16.5" customHeight="1">
      <c r="O16624" s="5" t="s">
        <v>355</v>
      </c>
      <c r="P16624" s="5" t="s">
        <v>355</v>
      </c>
      <c r="Q16624" s="5" t="s">
        <v>355</v>
      </c>
    </row>
    <row r="16625" ht="16.5" customHeight="1">
      <c r="O16625" s="5" t="s">
        <v>355</v>
      </c>
      <c r="P16625" s="5" t="s">
        <v>355</v>
      </c>
      <c r="Q16625" s="5" t="s">
        <v>355</v>
      </c>
    </row>
    <row r="16626" ht="16.5" customHeight="1">
      <c r="O16626" s="5" t="s">
        <v>355</v>
      </c>
      <c r="P16626" s="5" t="s">
        <v>355</v>
      </c>
      <c r="Q16626" s="5" t="s">
        <v>355</v>
      </c>
    </row>
    <row r="16627" ht="16.5" customHeight="1">
      <c r="O16627" s="5" t="s">
        <v>355</v>
      </c>
      <c r="P16627" s="5" t="s">
        <v>355</v>
      </c>
      <c r="Q16627" s="5" t="s">
        <v>355</v>
      </c>
    </row>
    <row r="16628" ht="16.5" customHeight="1">
      <c r="O16628" s="5" t="s">
        <v>355</v>
      </c>
      <c r="P16628" s="5" t="s">
        <v>355</v>
      </c>
      <c r="Q16628" s="5" t="s">
        <v>355</v>
      </c>
    </row>
    <row r="16629" ht="16.5" customHeight="1">
      <c r="O16629" s="5" t="s">
        <v>355</v>
      </c>
      <c r="P16629" s="5" t="s">
        <v>355</v>
      </c>
      <c r="Q16629" s="5" t="s">
        <v>355</v>
      </c>
    </row>
    <row r="16630" ht="16.5" customHeight="1">
      <c r="O16630" s="5" t="s">
        <v>355</v>
      </c>
      <c r="P16630" s="5" t="s">
        <v>355</v>
      </c>
      <c r="Q16630" s="5" t="s">
        <v>355</v>
      </c>
    </row>
    <row r="16631" ht="16.5" customHeight="1">
      <c r="O16631" s="5" t="s">
        <v>355</v>
      </c>
      <c r="P16631" s="5" t="s">
        <v>355</v>
      </c>
      <c r="Q16631" s="5" t="s">
        <v>355</v>
      </c>
    </row>
    <row r="16632" ht="16.5" customHeight="1">
      <c r="O16632" s="5" t="s">
        <v>355</v>
      </c>
      <c r="P16632" s="5" t="s">
        <v>355</v>
      </c>
      <c r="Q16632" s="5" t="s">
        <v>355</v>
      </c>
    </row>
    <row r="16633" ht="16.5" customHeight="1">
      <c r="O16633" s="5" t="s">
        <v>355</v>
      </c>
      <c r="P16633" s="5" t="s">
        <v>355</v>
      </c>
      <c r="Q16633" s="5" t="s">
        <v>355</v>
      </c>
    </row>
    <row r="16634" ht="16.5" customHeight="1">
      <c r="O16634" s="5" t="s">
        <v>355</v>
      </c>
      <c r="P16634" s="5" t="s">
        <v>355</v>
      </c>
      <c r="Q16634" s="5" t="s">
        <v>355</v>
      </c>
    </row>
    <row r="16635" ht="16.5" customHeight="1">
      <c r="O16635" s="5" t="s">
        <v>355</v>
      </c>
      <c r="P16635" s="5" t="s">
        <v>355</v>
      </c>
      <c r="Q16635" s="5" t="s">
        <v>355</v>
      </c>
    </row>
    <row r="16636" ht="16.5" customHeight="1">
      <c r="O16636" s="5" t="s">
        <v>355</v>
      </c>
      <c r="P16636" s="5" t="s">
        <v>355</v>
      </c>
      <c r="Q16636" s="5" t="s">
        <v>355</v>
      </c>
    </row>
    <row r="16637" ht="16.5" customHeight="1">
      <c r="O16637" s="5" t="s">
        <v>355</v>
      </c>
      <c r="P16637" s="5" t="s">
        <v>355</v>
      </c>
      <c r="Q16637" s="5" t="s">
        <v>355</v>
      </c>
    </row>
    <row r="16638" ht="16.5" customHeight="1">
      <c r="O16638" s="5" t="s">
        <v>355</v>
      </c>
      <c r="P16638" s="5" t="s">
        <v>355</v>
      </c>
      <c r="Q16638" s="5" t="s">
        <v>355</v>
      </c>
    </row>
    <row r="16639" ht="16.5" customHeight="1">
      <c r="O16639" s="5" t="s">
        <v>355</v>
      </c>
      <c r="P16639" s="5" t="s">
        <v>355</v>
      </c>
      <c r="Q16639" s="5" t="s">
        <v>355</v>
      </c>
    </row>
    <row r="16640" ht="16.5" customHeight="1">
      <c r="O16640" s="5" t="s">
        <v>355</v>
      </c>
      <c r="P16640" s="5" t="s">
        <v>355</v>
      </c>
      <c r="Q16640" s="5" t="s">
        <v>355</v>
      </c>
    </row>
    <row r="16641" ht="16.5" customHeight="1">
      <c r="O16641" s="5" t="s">
        <v>355</v>
      </c>
      <c r="P16641" s="5" t="s">
        <v>355</v>
      </c>
      <c r="Q16641" s="5" t="s">
        <v>355</v>
      </c>
    </row>
    <row r="16642" ht="16.5" customHeight="1">
      <c r="O16642" s="5" t="s">
        <v>355</v>
      </c>
      <c r="P16642" s="5" t="s">
        <v>355</v>
      </c>
      <c r="Q16642" s="5" t="s">
        <v>355</v>
      </c>
    </row>
    <row r="16643" ht="16.5" customHeight="1">
      <c r="O16643" s="5" t="s">
        <v>355</v>
      </c>
      <c r="P16643" s="5" t="s">
        <v>355</v>
      </c>
      <c r="Q16643" s="5" t="s">
        <v>355</v>
      </c>
    </row>
    <row r="16644" ht="16.5" customHeight="1">
      <c r="O16644" s="5" t="s">
        <v>355</v>
      </c>
      <c r="P16644" s="5" t="s">
        <v>355</v>
      </c>
      <c r="Q16644" s="5" t="s">
        <v>355</v>
      </c>
    </row>
    <row r="16645" ht="16.5" customHeight="1">
      <c r="O16645" s="5" t="s">
        <v>355</v>
      </c>
      <c r="P16645" s="5" t="s">
        <v>355</v>
      </c>
      <c r="Q16645" s="5" t="s">
        <v>355</v>
      </c>
    </row>
    <row r="16646" ht="16.5" customHeight="1">
      <c r="O16646" s="5" t="s">
        <v>355</v>
      </c>
      <c r="P16646" s="5" t="s">
        <v>355</v>
      </c>
      <c r="Q16646" s="5" t="s">
        <v>355</v>
      </c>
    </row>
    <row r="16647" ht="16.5" customHeight="1">
      <c r="O16647" s="5" t="s">
        <v>355</v>
      </c>
      <c r="P16647" s="5" t="s">
        <v>355</v>
      </c>
      <c r="Q16647" s="5" t="s">
        <v>355</v>
      </c>
    </row>
    <row r="16648" ht="16.5" customHeight="1">
      <c r="O16648" s="5" t="s">
        <v>355</v>
      </c>
      <c r="P16648" s="5" t="s">
        <v>355</v>
      </c>
      <c r="Q16648" s="5" t="s">
        <v>355</v>
      </c>
    </row>
    <row r="16649" ht="16.5" customHeight="1">
      <c r="O16649" s="5" t="s">
        <v>355</v>
      </c>
      <c r="P16649" s="5" t="s">
        <v>355</v>
      </c>
      <c r="Q16649" s="5" t="s">
        <v>355</v>
      </c>
    </row>
    <row r="16650" ht="16.5" customHeight="1">
      <c r="O16650" s="5" t="s">
        <v>355</v>
      </c>
      <c r="P16650" s="5" t="s">
        <v>355</v>
      </c>
      <c r="Q16650" s="5" t="s">
        <v>355</v>
      </c>
    </row>
    <row r="16651" ht="16.5" customHeight="1">
      <c r="O16651" s="5" t="s">
        <v>355</v>
      </c>
      <c r="P16651" s="5" t="s">
        <v>355</v>
      </c>
      <c r="Q16651" s="5" t="s">
        <v>355</v>
      </c>
    </row>
    <row r="16652" ht="16.5" customHeight="1">
      <c r="O16652" s="5" t="s">
        <v>355</v>
      </c>
      <c r="P16652" s="5" t="s">
        <v>355</v>
      </c>
      <c r="Q16652" s="5" t="s">
        <v>355</v>
      </c>
    </row>
    <row r="16653" ht="16.5" customHeight="1">
      <c r="O16653" s="5" t="s">
        <v>355</v>
      </c>
      <c r="P16653" s="5" t="s">
        <v>355</v>
      </c>
      <c r="Q16653" s="5" t="s">
        <v>355</v>
      </c>
    </row>
    <row r="16654" ht="16.5" customHeight="1">
      <c r="O16654" s="5" t="s">
        <v>355</v>
      </c>
      <c r="P16654" s="5" t="s">
        <v>355</v>
      </c>
      <c r="Q16654" s="5" t="s">
        <v>355</v>
      </c>
    </row>
    <row r="16655" ht="16.5" customHeight="1">
      <c r="O16655" s="5" t="s">
        <v>355</v>
      </c>
      <c r="P16655" s="5" t="s">
        <v>355</v>
      </c>
      <c r="Q16655" s="5" t="s">
        <v>355</v>
      </c>
    </row>
    <row r="16656" ht="16.5" customHeight="1">
      <c r="O16656" s="5" t="s">
        <v>355</v>
      </c>
      <c r="P16656" s="5" t="s">
        <v>355</v>
      </c>
      <c r="Q16656" s="5" t="s">
        <v>355</v>
      </c>
    </row>
    <row r="16657" ht="16.5" customHeight="1">
      <c r="O16657" s="5" t="s">
        <v>355</v>
      </c>
      <c r="P16657" s="5" t="s">
        <v>355</v>
      </c>
      <c r="Q16657" s="5" t="s">
        <v>355</v>
      </c>
    </row>
    <row r="16658" ht="16.5" customHeight="1">
      <c r="O16658" s="5" t="s">
        <v>355</v>
      </c>
      <c r="P16658" s="5" t="s">
        <v>355</v>
      </c>
      <c r="Q16658" s="5" t="s">
        <v>355</v>
      </c>
    </row>
    <row r="16659" ht="16.5" customHeight="1">
      <c r="O16659" s="5" t="s">
        <v>355</v>
      </c>
      <c r="P16659" s="5" t="s">
        <v>355</v>
      </c>
      <c r="Q16659" s="5" t="s">
        <v>355</v>
      </c>
    </row>
    <row r="16660" ht="16.5" customHeight="1">
      <c r="O16660" s="5" t="s">
        <v>355</v>
      </c>
      <c r="P16660" s="5" t="s">
        <v>355</v>
      </c>
      <c r="Q16660" s="5" t="s">
        <v>355</v>
      </c>
    </row>
    <row r="16661" ht="16.5" customHeight="1">
      <c r="O16661" s="5" t="s">
        <v>355</v>
      </c>
      <c r="P16661" s="5" t="s">
        <v>355</v>
      </c>
      <c r="Q16661" s="5" t="s">
        <v>355</v>
      </c>
    </row>
    <row r="16662" ht="16.5" customHeight="1">
      <c r="O16662" s="5" t="s">
        <v>355</v>
      </c>
      <c r="P16662" s="5" t="s">
        <v>355</v>
      </c>
      <c r="Q16662" s="5" t="s">
        <v>355</v>
      </c>
    </row>
    <row r="16663" ht="16.5" customHeight="1">
      <c r="O16663" s="5" t="s">
        <v>355</v>
      </c>
      <c r="P16663" s="5" t="s">
        <v>355</v>
      </c>
      <c r="Q16663" s="5" t="s">
        <v>355</v>
      </c>
    </row>
    <row r="16664" ht="16.5" customHeight="1">
      <c r="O16664" s="5" t="s">
        <v>355</v>
      </c>
      <c r="P16664" s="5" t="s">
        <v>355</v>
      </c>
      <c r="Q16664" s="5" t="s">
        <v>355</v>
      </c>
    </row>
    <row r="16665" ht="16.5" customHeight="1">
      <c r="O16665" s="5" t="s">
        <v>355</v>
      </c>
      <c r="P16665" s="5" t="s">
        <v>355</v>
      </c>
      <c r="Q16665" s="5" t="s">
        <v>355</v>
      </c>
    </row>
    <row r="16666" ht="16.5" customHeight="1">
      <c r="O16666" s="5" t="s">
        <v>355</v>
      </c>
      <c r="P16666" s="5" t="s">
        <v>355</v>
      </c>
      <c r="Q16666" s="5" t="s">
        <v>355</v>
      </c>
    </row>
    <row r="16667" ht="16.5" customHeight="1">
      <c r="O16667" s="5" t="s">
        <v>355</v>
      </c>
      <c r="P16667" s="5" t="s">
        <v>355</v>
      </c>
      <c r="Q16667" s="5" t="s">
        <v>355</v>
      </c>
    </row>
    <row r="16668" ht="16.5" customHeight="1">
      <c r="O16668" s="5" t="s">
        <v>355</v>
      </c>
      <c r="P16668" s="5" t="s">
        <v>355</v>
      </c>
      <c r="Q16668" s="5" t="s">
        <v>355</v>
      </c>
    </row>
    <row r="16669" ht="16.5" customHeight="1">
      <c r="O16669" s="5" t="s">
        <v>355</v>
      </c>
      <c r="P16669" s="5" t="s">
        <v>355</v>
      </c>
      <c r="Q16669" s="5" t="s">
        <v>355</v>
      </c>
    </row>
    <row r="16670" ht="16.5" customHeight="1">
      <c r="O16670" s="5" t="s">
        <v>355</v>
      </c>
      <c r="P16670" s="5" t="s">
        <v>355</v>
      </c>
      <c r="Q16670" s="5" t="s">
        <v>355</v>
      </c>
    </row>
    <row r="16671" ht="16.5" customHeight="1">
      <c r="O16671" s="5" t="s">
        <v>355</v>
      </c>
      <c r="P16671" s="5" t="s">
        <v>355</v>
      </c>
      <c r="Q16671" s="5" t="s">
        <v>355</v>
      </c>
    </row>
    <row r="16672" ht="16.5" customHeight="1">
      <c r="O16672" s="5" t="s">
        <v>355</v>
      </c>
      <c r="P16672" s="5" t="s">
        <v>355</v>
      </c>
      <c r="Q16672" s="5" t="s">
        <v>355</v>
      </c>
    </row>
    <row r="16673" ht="16.5" customHeight="1">
      <c r="O16673" s="5" t="s">
        <v>355</v>
      </c>
      <c r="P16673" s="5" t="s">
        <v>355</v>
      </c>
      <c r="Q16673" s="5" t="s">
        <v>355</v>
      </c>
    </row>
    <row r="16674" ht="16.5" customHeight="1">
      <c r="O16674" s="5" t="s">
        <v>355</v>
      </c>
      <c r="P16674" s="5" t="s">
        <v>355</v>
      </c>
      <c r="Q16674" s="5" t="s">
        <v>355</v>
      </c>
    </row>
    <row r="16675" ht="16.5" customHeight="1">
      <c r="O16675" s="5" t="s">
        <v>355</v>
      </c>
      <c r="P16675" s="5" t="s">
        <v>355</v>
      </c>
      <c r="Q16675" s="5" t="s">
        <v>355</v>
      </c>
    </row>
    <row r="16676" ht="16.5" customHeight="1">
      <c r="O16676" s="5" t="s">
        <v>355</v>
      </c>
      <c r="P16676" s="5" t="s">
        <v>355</v>
      </c>
      <c r="Q16676" s="5" t="s">
        <v>355</v>
      </c>
    </row>
    <row r="16677" ht="16.5" customHeight="1">
      <c r="O16677" s="5" t="s">
        <v>355</v>
      </c>
      <c r="P16677" s="5" t="s">
        <v>355</v>
      </c>
      <c r="Q16677" s="5" t="s">
        <v>355</v>
      </c>
    </row>
    <row r="16678" ht="16.5" customHeight="1">
      <c r="O16678" s="5" t="s">
        <v>355</v>
      </c>
      <c r="P16678" s="5" t="s">
        <v>355</v>
      </c>
      <c r="Q16678" s="5" t="s">
        <v>355</v>
      </c>
    </row>
    <row r="16679" ht="16.5" customHeight="1">
      <c r="O16679" s="5" t="s">
        <v>355</v>
      </c>
      <c r="P16679" s="5" t="s">
        <v>355</v>
      </c>
      <c r="Q16679" s="5" t="s">
        <v>355</v>
      </c>
    </row>
    <row r="16680" ht="16.5" customHeight="1">
      <c r="O16680" s="5" t="s">
        <v>355</v>
      </c>
      <c r="P16680" s="5" t="s">
        <v>355</v>
      </c>
      <c r="Q16680" s="5" t="s">
        <v>355</v>
      </c>
    </row>
    <row r="16681" ht="16.5" customHeight="1">
      <c r="O16681" s="5" t="s">
        <v>355</v>
      </c>
      <c r="P16681" s="5" t="s">
        <v>355</v>
      </c>
      <c r="Q16681" s="5" t="s">
        <v>355</v>
      </c>
    </row>
    <row r="16682" ht="16.5" customHeight="1">
      <c r="O16682" s="5" t="s">
        <v>355</v>
      </c>
      <c r="P16682" s="5" t="s">
        <v>355</v>
      </c>
      <c r="Q16682" s="5" t="s">
        <v>355</v>
      </c>
    </row>
    <row r="16683" ht="16.5" customHeight="1">
      <c r="O16683" s="5" t="s">
        <v>355</v>
      </c>
      <c r="P16683" s="5" t="s">
        <v>355</v>
      </c>
      <c r="Q16683" s="5" t="s">
        <v>355</v>
      </c>
    </row>
    <row r="16684" ht="16.5" customHeight="1">
      <c r="O16684" s="5" t="s">
        <v>355</v>
      </c>
      <c r="P16684" s="5" t="s">
        <v>355</v>
      </c>
      <c r="Q16684" s="5" t="s">
        <v>355</v>
      </c>
    </row>
    <row r="16685" ht="16.5" customHeight="1">
      <c r="O16685" s="5" t="s">
        <v>355</v>
      </c>
      <c r="P16685" s="5" t="s">
        <v>355</v>
      </c>
      <c r="Q16685" s="5" t="s">
        <v>355</v>
      </c>
    </row>
    <row r="16686" ht="16.5" customHeight="1">
      <c r="O16686" s="5" t="s">
        <v>355</v>
      </c>
      <c r="P16686" s="5" t="s">
        <v>355</v>
      </c>
      <c r="Q16686" s="5" t="s">
        <v>355</v>
      </c>
    </row>
    <row r="16687" ht="16.5" customHeight="1">
      <c r="O16687" s="5" t="s">
        <v>355</v>
      </c>
      <c r="P16687" s="5" t="s">
        <v>355</v>
      </c>
      <c r="Q16687" s="5" t="s">
        <v>355</v>
      </c>
    </row>
    <row r="16688" ht="16.5" customHeight="1">
      <c r="O16688" s="5" t="s">
        <v>355</v>
      </c>
      <c r="P16688" s="5" t="s">
        <v>355</v>
      </c>
      <c r="Q16688" s="5" t="s">
        <v>355</v>
      </c>
    </row>
    <row r="16689" ht="16.5" customHeight="1">
      <c r="O16689" s="5" t="s">
        <v>355</v>
      </c>
      <c r="P16689" s="5" t="s">
        <v>355</v>
      </c>
      <c r="Q16689" s="5" t="s">
        <v>355</v>
      </c>
    </row>
    <row r="16690" ht="16.5" customHeight="1">
      <c r="O16690" s="5" t="s">
        <v>355</v>
      </c>
      <c r="P16690" s="5" t="s">
        <v>355</v>
      </c>
      <c r="Q16690" s="5" t="s">
        <v>355</v>
      </c>
    </row>
    <row r="16691" ht="16.5" customHeight="1">
      <c r="O16691" s="5" t="s">
        <v>355</v>
      </c>
      <c r="P16691" s="5" t="s">
        <v>355</v>
      </c>
      <c r="Q16691" s="5" t="s">
        <v>355</v>
      </c>
    </row>
    <row r="16692" ht="16.5" customHeight="1">
      <c r="O16692" s="5" t="s">
        <v>355</v>
      </c>
      <c r="P16692" s="5" t="s">
        <v>355</v>
      </c>
      <c r="Q16692" s="5" t="s">
        <v>355</v>
      </c>
    </row>
    <row r="16693" ht="16.5" customHeight="1">
      <c r="O16693" s="5" t="s">
        <v>355</v>
      </c>
      <c r="P16693" s="5" t="s">
        <v>355</v>
      </c>
      <c r="Q16693" s="5" t="s">
        <v>355</v>
      </c>
    </row>
    <row r="16694" ht="16.5" customHeight="1">
      <c r="O16694" s="5" t="s">
        <v>355</v>
      </c>
      <c r="P16694" s="5" t="s">
        <v>355</v>
      </c>
      <c r="Q16694" s="5" t="s">
        <v>355</v>
      </c>
    </row>
    <row r="16695" ht="16.5" customHeight="1">
      <c r="O16695" s="5" t="s">
        <v>355</v>
      </c>
      <c r="P16695" s="5" t="s">
        <v>355</v>
      </c>
      <c r="Q16695" s="5" t="s">
        <v>355</v>
      </c>
    </row>
    <row r="16696" ht="16.5" customHeight="1">
      <c r="O16696" s="5" t="s">
        <v>355</v>
      </c>
      <c r="P16696" s="5" t="s">
        <v>355</v>
      </c>
      <c r="Q16696" s="5" t="s">
        <v>355</v>
      </c>
    </row>
    <row r="16697" ht="16.5" customHeight="1">
      <c r="O16697" s="5" t="s">
        <v>355</v>
      </c>
      <c r="P16697" s="5" t="s">
        <v>355</v>
      </c>
      <c r="Q16697" s="5" t="s">
        <v>355</v>
      </c>
    </row>
    <row r="16698" ht="16.5" customHeight="1">
      <c r="O16698" s="5" t="s">
        <v>355</v>
      </c>
      <c r="P16698" s="5" t="s">
        <v>355</v>
      </c>
      <c r="Q16698" s="5" t="s">
        <v>355</v>
      </c>
    </row>
    <row r="16699" ht="16.5" customHeight="1">
      <c r="O16699" s="5" t="s">
        <v>355</v>
      </c>
      <c r="P16699" s="5" t="s">
        <v>355</v>
      </c>
      <c r="Q16699" s="5" t="s">
        <v>355</v>
      </c>
    </row>
    <row r="16700" ht="16.5" customHeight="1">
      <c r="O16700" s="5" t="s">
        <v>355</v>
      </c>
      <c r="P16700" s="5" t="s">
        <v>355</v>
      </c>
      <c r="Q16700" s="5" t="s">
        <v>355</v>
      </c>
    </row>
    <row r="16701" ht="16.5" customHeight="1">
      <c r="O16701" s="5" t="s">
        <v>355</v>
      </c>
      <c r="P16701" s="5" t="s">
        <v>355</v>
      </c>
      <c r="Q16701" s="5" t="s">
        <v>355</v>
      </c>
    </row>
    <row r="16702" ht="16.5" customHeight="1">
      <c r="O16702" s="5" t="s">
        <v>355</v>
      </c>
      <c r="P16702" s="5" t="s">
        <v>355</v>
      </c>
      <c r="Q16702" s="5" t="s">
        <v>355</v>
      </c>
    </row>
    <row r="16703" ht="16.5" customHeight="1">
      <c r="O16703" s="5" t="s">
        <v>355</v>
      </c>
      <c r="P16703" s="5" t="s">
        <v>355</v>
      </c>
      <c r="Q16703" s="5" t="s">
        <v>355</v>
      </c>
    </row>
    <row r="16704" ht="16.5" customHeight="1">
      <c r="O16704" s="5" t="s">
        <v>355</v>
      </c>
      <c r="P16704" s="5" t="s">
        <v>355</v>
      </c>
      <c r="Q16704" s="5" t="s">
        <v>355</v>
      </c>
    </row>
    <row r="16705" ht="16.5" customHeight="1">
      <c r="O16705" s="5" t="s">
        <v>355</v>
      </c>
      <c r="P16705" s="5" t="s">
        <v>355</v>
      </c>
      <c r="Q16705" s="5" t="s">
        <v>355</v>
      </c>
    </row>
    <row r="16706" ht="16.5" customHeight="1">
      <c r="O16706" s="5" t="s">
        <v>355</v>
      </c>
      <c r="P16706" s="5" t="s">
        <v>355</v>
      </c>
      <c r="Q16706" s="5" t="s">
        <v>355</v>
      </c>
    </row>
    <row r="16707" ht="16.5" customHeight="1">
      <c r="O16707" s="5" t="s">
        <v>355</v>
      </c>
      <c r="P16707" s="5" t="s">
        <v>355</v>
      </c>
      <c r="Q16707" s="5" t="s">
        <v>355</v>
      </c>
    </row>
    <row r="16708" ht="16.5" customHeight="1">
      <c r="O16708" s="5" t="s">
        <v>355</v>
      </c>
      <c r="P16708" s="5" t="s">
        <v>355</v>
      </c>
      <c r="Q16708" s="5" t="s">
        <v>355</v>
      </c>
    </row>
    <row r="16709" ht="16.5" customHeight="1">
      <c r="O16709" s="5" t="s">
        <v>355</v>
      </c>
      <c r="P16709" s="5" t="s">
        <v>355</v>
      </c>
      <c r="Q16709" s="5" t="s">
        <v>355</v>
      </c>
    </row>
    <row r="16710" ht="16.5" customHeight="1">
      <c r="O16710" s="5" t="s">
        <v>355</v>
      </c>
      <c r="P16710" s="5" t="s">
        <v>355</v>
      </c>
      <c r="Q16710" s="5" t="s">
        <v>355</v>
      </c>
    </row>
    <row r="16711" ht="16.5" customHeight="1">
      <c r="O16711" s="5" t="s">
        <v>355</v>
      </c>
      <c r="P16711" s="5" t="s">
        <v>355</v>
      </c>
      <c r="Q16711" s="5" t="s">
        <v>355</v>
      </c>
    </row>
    <row r="16712" ht="16.5" customHeight="1">
      <c r="O16712" s="5" t="s">
        <v>355</v>
      </c>
      <c r="P16712" s="5" t="s">
        <v>355</v>
      </c>
      <c r="Q16712" s="5" t="s">
        <v>355</v>
      </c>
    </row>
    <row r="16713" ht="16.5" customHeight="1">
      <c r="O16713" s="5" t="s">
        <v>355</v>
      </c>
      <c r="P16713" s="5" t="s">
        <v>355</v>
      </c>
      <c r="Q16713" s="5" t="s">
        <v>355</v>
      </c>
    </row>
    <row r="16714" ht="16.5" customHeight="1">
      <c r="O16714" s="5" t="s">
        <v>355</v>
      </c>
      <c r="P16714" s="5" t="s">
        <v>355</v>
      </c>
      <c r="Q16714" s="5" t="s">
        <v>355</v>
      </c>
    </row>
    <row r="16715" ht="16.5" customHeight="1">
      <c r="O16715" s="5" t="s">
        <v>355</v>
      </c>
      <c r="P16715" s="5" t="s">
        <v>355</v>
      </c>
      <c r="Q16715" s="5" t="s">
        <v>355</v>
      </c>
    </row>
    <row r="16716" ht="16.5" customHeight="1">
      <c r="O16716" s="5" t="s">
        <v>355</v>
      </c>
      <c r="P16716" s="5" t="s">
        <v>355</v>
      </c>
      <c r="Q16716" s="5" t="s">
        <v>355</v>
      </c>
    </row>
    <row r="16717" ht="16.5" customHeight="1">
      <c r="O16717" s="5" t="s">
        <v>355</v>
      </c>
      <c r="P16717" s="5" t="s">
        <v>355</v>
      </c>
      <c r="Q16717" s="5" t="s">
        <v>355</v>
      </c>
    </row>
    <row r="16718" ht="16.5" customHeight="1">
      <c r="O16718" s="5" t="s">
        <v>355</v>
      </c>
      <c r="P16718" s="5" t="s">
        <v>355</v>
      </c>
      <c r="Q16718" s="5" t="s">
        <v>355</v>
      </c>
    </row>
    <row r="16719" ht="16.5" customHeight="1">
      <c r="O16719" s="5" t="s">
        <v>355</v>
      </c>
      <c r="P16719" s="5" t="s">
        <v>355</v>
      </c>
      <c r="Q16719" s="5" t="s">
        <v>355</v>
      </c>
    </row>
    <row r="16720" ht="16.5" customHeight="1">
      <c r="O16720" s="5" t="s">
        <v>355</v>
      </c>
      <c r="P16720" s="5" t="s">
        <v>355</v>
      </c>
      <c r="Q16720" s="5" t="s">
        <v>355</v>
      </c>
    </row>
    <row r="16721" ht="16.5" customHeight="1">
      <c r="O16721" s="5" t="s">
        <v>355</v>
      </c>
      <c r="P16721" s="5" t="s">
        <v>355</v>
      </c>
      <c r="Q16721" s="5" t="s">
        <v>355</v>
      </c>
    </row>
    <row r="16722" ht="16.5" customHeight="1">
      <c r="O16722" s="5" t="s">
        <v>355</v>
      </c>
      <c r="P16722" s="5" t="s">
        <v>355</v>
      </c>
      <c r="Q16722" s="5" t="s">
        <v>355</v>
      </c>
    </row>
    <row r="16723" ht="16.5" customHeight="1">
      <c r="O16723" s="5" t="s">
        <v>355</v>
      </c>
      <c r="P16723" s="5" t="s">
        <v>355</v>
      </c>
      <c r="Q16723" s="5" t="s">
        <v>355</v>
      </c>
    </row>
    <row r="16724" ht="16.5" customHeight="1">
      <c r="O16724" s="5" t="s">
        <v>355</v>
      </c>
      <c r="P16724" s="5" t="s">
        <v>355</v>
      </c>
      <c r="Q16724" s="5" t="s">
        <v>355</v>
      </c>
    </row>
    <row r="16725" ht="16.5" customHeight="1">
      <c r="O16725" s="5" t="s">
        <v>355</v>
      </c>
      <c r="P16725" s="5" t="s">
        <v>355</v>
      </c>
      <c r="Q16725" s="5" t="s">
        <v>355</v>
      </c>
    </row>
    <row r="16726" ht="16.5" customHeight="1">
      <c r="O16726" s="5" t="s">
        <v>355</v>
      </c>
      <c r="P16726" s="5" t="s">
        <v>355</v>
      </c>
      <c r="Q16726" s="5" t="s">
        <v>355</v>
      </c>
    </row>
    <row r="16727" ht="16.5" customHeight="1">
      <c r="O16727" s="5" t="s">
        <v>355</v>
      </c>
      <c r="P16727" s="5" t="s">
        <v>355</v>
      </c>
      <c r="Q16727" s="5" t="s">
        <v>355</v>
      </c>
    </row>
    <row r="16728" ht="16.5" customHeight="1">
      <c r="O16728" s="5" t="s">
        <v>355</v>
      </c>
      <c r="P16728" s="5" t="s">
        <v>355</v>
      </c>
      <c r="Q16728" s="5" t="s">
        <v>355</v>
      </c>
    </row>
    <row r="16729" ht="16.5" customHeight="1">
      <c r="O16729" s="5" t="s">
        <v>355</v>
      </c>
      <c r="P16729" s="5" t="s">
        <v>355</v>
      </c>
      <c r="Q16729" s="5" t="s">
        <v>355</v>
      </c>
    </row>
    <row r="16730" ht="16.5" customHeight="1">
      <c r="O16730" s="5" t="s">
        <v>355</v>
      </c>
      <c r="P16730" s="5" t="s">
        <v>355</v>
      </c>
      <c r="Q16730" s="5" t="s">
        <v>355</v>
      </c>
    </row>
    <row r="16731" ht="16.5" customHeight="1">
      <c r="O16731" s="5" t="s">
        <v>355</v>
      </c>
      <c r="P16731" s="5" t="s">
        <v>355</v>
      </c>
      <c r="Q16731" s="5" t="s">
        <v>355</v>
      </c>
    </row>
    <row r="16732" ht="16.5" customHeight="1">
      <c r="O16732" s="5" t="s">
        <v>355</v>
      </c>
      <c r="P16732" s="5" t="s">
        <v>355</v>
      </c>
      <c r="Q16732" s="5" t="s">
        <v>355</v>
      </c>
    </row>
    <row r="16733" ht="16.5" customHeight="1">
      <c r="O16733" s="5" t="s">
        <v>355</v>
      </c>
      <c r="P16733" s="5" t="s">
        <v>355</v>
      </c>
      <c r="Q16733" s="5" t="s">
        <v>355</v>
      </c>
    </row>
    <row r="16734" ht="16.5" customHeight="1">
      <c r="O16734" s="5" t="s">
        <v>355</v>
      </c>
      <c r="P16734" s="5" t="s">
        <v>355</v>
      </c>
      <c r="Q16734" s="5" t="s">
        <v>355</v>
      </c>
    </row>
    <row r="16735" ht="16.5" customHeight="1">
      <c r="O16735" s="5" t="s">
        <v>355</v>
      </c>
      <c r="P16735" s="5" t="s">
        <v>355</v>
      </c>
      <c r="Q16735" s="5" t="s">
        <v>355</v>
      </c>
    </row>
    <row r="16736" ht="16.5" customHeight="1">
      <c r="O16736" s="5" t="s">
        <v>355</v>
      </c>
      <c r="P16736" s="5" t="s">
        <v>355</v>
      </c>
      <c r="Q16736" s="5" t="s">
        <v>355</v>
      </c>
    </row>
    <row r="16737" ht="16.5" customHeight="1">
      <c r="O16737" s="5" t="s">
        <v>355</v>
      </c>
      <c r="P16737" s="5" t="s">
        <v>355</v>
      </c>
      <c r="Q16737" s="5" t="s">
        <v>355</v>
      </c>
    </row>
    <row r="16738" ht="16.5" customHeight="1">
      <c r="O16738" s="5" t="s">
        <v>355</v>
      </c>
      <c r="P16738" s="5" t="s">
        <v>355</v>
      </c>
      <c r="Q16738" s="5" t="s">
        <v>355</v>
      </c>
    </row>
    <row r="16739" ht="16.5" customHeight="1">
      <c r="O16739" s="5" t="s">
        <v>355</v>
      </c>
      <c r="P16739" s="5" t="s">
        <v>355</v>
      </c>
      <c r="Q16739" s="5" t="s">
        <v>355</v>
      </c>
    </row>
    <row r="16740" ht="16.5" customHeight="1">
      <c r="O16740" s="5" t="s">
        <v>355</v>
      </c>
      <c r="P16740" s="5" t="s">
        <v>355</v>
      </c>
      <c r="Q16740" s="5" t="s">
        <v>355</v>
      </c>
    </row>
    <row r="16741" ht="16.5" customHeight="1">
      <c r="O16741" s="5" t="s">
        <v>355</v>
      </c>
      <c r="P16741" s="5" t="s">
        <v>355</v>
      </c>
      <c r="Q16741" s="5" t="s">
        <v>355</v>
      </c>
    </row>
    <row r="16742" ht="16.5" customHeight="1">
      <c r="O16742" s="5" t="s">
        <v>355</v>
      </c>
      <c r="P16742" s="5" t="s">
        <v>355</v>
      </c>
      <c r="Q16742" s="5" t="s">
        <v>355</v>
      </c>
    </row>
    <row r="16743" ht="16.5" customHeight="1">
      <c r="O16743" s="5" t="s">
        <v>355</v>
      </c>
      <c r="P16743" s="5" t="s">
        <v>355</v>
      </c>
      <c r="Q16743" s="5" t="s">
        <v>355</v>
      </c>
    </row>
    <row r="16744" ht="16.5" customHeight="1">
      <c r="O16744" s="5" t="s">
        <v>355</v>
      </c>
      <c r="P16744" s="5" t="s">
        <v>355</v>
      </c>
      <c r="Q16744" s="5" t="s">
        <v>355</v>
      </c>
    </row>
    <row r="16745" ht="16.5" customHeight="1">
      <c r="O16745" s="5" t="s">
        <v>355</v>
      </c>
      <c r="P16745" s="5" t="s">
        <v>355</v>
      </c>
      <c r="Q16745" s="5" t="s">
        <v>355</v>
      </c>
    </row>
    <row r="16746" ht="16.5" customHeight="1">
      <c r="O16746" s="5" t="s">
        <v>355</v>
      </c>
      <c r="P16746" s="5" t="s">
        <v>355</v>
      </c>
      <c r="Q16746" s="5" t="s">
        <v>355</v>
      </c>
    </row>
    <row r="16747" ht="16.5" customHeight="1">
      <c r="O16747" s="5" t="s">
        <v>355</v>
      </c>
      <c r="P16747" s="5" t="s">
        <v>355</v>
      </c>
      <c r="Q16747" s="5" t="s">
        <v>355</v>
      </c>
    </row>
    <row r="16748" ht="16.5" customHeight="1">
      <c r="O16748" s="5" t="s">
        <v>355</v>
      </c>
      <c r="P16748" s="5" t="s">
        <v>355</v>
      </c>
      <c r="Q16748" s="5" t="s">
        <v>355</v>
      </c>
    </row>
    <row r="16749" ht="16.5" customHeight="1">
      <c r="O16749" s="5" t="s">
        <v>355</v>
      </c>
      <c r="P16749" s="5" t="s">
        <v>355</v>
      </c>
      <c r="Q16749" s="5" t="s">
        <v>355</v>
      </c>
    </row>
    <row r="16750" ht="16.5" customHeight="1">
      <c r="O16750" s="5" t="s">
        <v>355</v>
      </c>
      <c r="P16750" s="5" t="s">
        <v>355</v>
      </c>
      <c r="Q16750" s="5" t="s">
        <v>355</v>
      </c>
    </row>
    <row r="16751" ht="16.5" customHeight="1">
      <c r="O16751" s="5" t="s">
        <v>355</v>
      </c>
      <c r="P16751" s="5" t="s">
        <v>355</v>
      </c>
      <c r="Q16751" s="5" t="s">
        <v>355</v>
      </c>
    </row>
    <row r="16752" ht="16.5" customHeight="1">
      <c r="O16752" s="5" t="s">
        <v>355</v>
      </c>
      <c r="P16752" s="5" t="s">
        <v>355</v>
      </c>
      <c r="Q16752" s="5" t="s">
        <v>355</v>
      </c>
    </row>
    <row r="16753" ht="16.5" customHeight="1">
      <c r="O16753" s="5" t="s">
        <v>355</v>
      </c>
      <c r="P16753" s="5" t="s">
        <v>355</v>
      </c>
      <c r="Q16753" s="5" t="s">
        <v>355</v>
      </c>
    </row>
    <row r="16754" ht="16.5" customHeight="1">
      <c r="O16754" s="5" t="s">
        <v>355</v>
      </c>
      <c r="P16754" s="5" t="s">
        <v>355</v>
      </c>
      <c r="Q16754" s="5" t="s">
        <v>355</v>
      </c>
    </row>
    <row r="16755" ht="16.5" customHeight="1">
      <c r="O16755" s="5" t="s">
        <v>355</v>
      </c>
      <c r="P16755" s="5" t="s">
        <v>355</v>
      </c>
      <c r="Q16755" s="5" t="s">
        <v>355</v>
      </c>
    </row>
    <row r="16756" ht="16.5" customHeight="1">
      <c r="O16756" s="5" t="s">
        <v>355</v>
      </c>
      <c r="P16756" s="5" t="s">
        <v>355</v>
      </c>
      <c r="Q16756" s="5" t="s">
        <v>355</v>
      </c>
    </row>
    <row r="16757" ht="16.5" customHeight="1">
      <c r="O16757" s="5" t="s">
        <v>355</v>
      </c>
      <c r="P16757" s="5" t="s">
        <v>355</v>
      </c>
      <c r="Q16757" s="5" t="s">
        <v>355</v>
      </c>
    </row>
    <row r="16758" ht="16.5" customHeight="1">
      <c r="O16758" s="5" t="s">
        <v>355</v>
      </c>
      <c r="P16758" s="5" t="s">
        <v>355</v>
      </c>
      <c r="Q16758" s="5" t="s">
        <v>355</v>
      </c>
    </row>
    <row r="16759" ht="16.5" customHeight="1">
      <c r="O16759" s="5" t="s">
        <v>355</v>
      </c>
      <c r="P16759" s="5" t="s">
        <v>355</v>
      </c>
      <c r="Q16759" s="5" t="s">
        <v>355</v>
      </c>
    </row>
    <row r="16760" ht="16.5" customHeight="1">
      <c r="O16760" s="5" t="s">
        <v>355</v>
      </c>
      <c r="P16760" s="5" t="s">
        <v>355</v>
      </c>
      <c r="Q16760" s="5" t="s">
        <v>355</v>
      </c>
    </row>
    <row r="16761" ht="16.5" customHeight="1">
      <c r="O16761" s="5" t="s">
        <v>355</v>
      </c>
      <c r="P16761" s="5" t="s">
        <v>355</v>
      </c>
      <c r="Q16761" s="5" t="s">
        <v>355</v>
      </c>
    </row>
    <row r="16762" ht="16.5" customHeight="1">
      <c r="O16762" s="5" t="s">
        <v>355</v>
      </c>
      <c r="P16762" s="5" t="s">
        <v>355</v>
      </c>
      <c r="Q16762" s="5" t="s">
        <v>355</v>
      </c>
    </row>
    <row r="16763" ht="16.5" customHeight="1">
      <c r="O16763" s="5" t="s">
        <v>355</v>
      </c>
      <c r="P16763" s="5" t="s">
        <v>355</v>
      </c>
      <c r="Q16763" s="5" t="s">
        <v>355</v>
      </c>
    </row>
    <row r="16764" ht="16.5" customHeight="1">
      <c r="O16764" s="5" t="s">
        <v>355</v>
      </c>
      <c r="P16764" s="5" t="s">
        <v>355</v>
      </c>
      <c r="Q16764" s="5" t="s">
        <v>355</v>
      </c>
    </row>
    <row r="16765" ht="16.5" customHeight="1">
      <c r="O16765" s="5" t="s">
        <v>355</v>
      </c>
      <c r="P16765" s="5" t="s">
        <v>355</v>
      </c>
      <c r="Q16765" s="5" t="s">
        <v>355</v>
      </c>
    </row>
    <row r="16766" ht="16.5" customHeight="1">
      <c r="O16766" s="5" t="s">
        <v>355</v>
      </c>
      <c r="P16766" s="5" t="s">
        <v>355</v>
      </c>
      <c r="Q16766" s="5" t="s">
        <v>355</v>
      </c>
    </row>
    <row r="16767" ht="16.5" customHeight="1">
      <c r="O16767" s="5" t="s">
        <v>355</v>
      </c>
      <c r="P16767" s="5" t="s">
        <v>355</v>
      </c>
      <c r="Q16767" s="5" t="s">
        <v>355</v>
      </c>
    </row>
    <row r="16768" ht="16.5" customHeight="1">
      <c r="O16768" s="5" t="s">
        <v>355</v>
      </c>
      <c r="P16768" s="5" t="s">
        <v>355</v>
      </c>
      <c r="Q16768" s="5" t="s">
        <v>355</v>
      </c>
    </row>
    <row r="16769" ht="16.5" customHeight="1">
      <c r="O16769" s="5" t="s">
        <v>355</v>
      </c>
      <c r="P16769" s="5" t="s">
        <v>355</v>
      </c>
      <c r="Q16769" s="5" t="s">
        <v>355</v>
      </c>
    </row>
    <row r="16770" ht="16.5" customHeight="1">
      <c r="O16770" s="5" t="s">
        <v>355</v>
      </c>
      <c r="P16770" s="5" t="s">
        <v>355</v>
      </c>
      <c r="Q16770" s="5" t="s">
        <v>355</v>
      </c>
    </row>
    <row r="16771" ht="16.5" customHeight="1">
      <c r="O16771" s="5" t="s">
        <v>355</v>
      </c>
      <c r="P16771" s="5" t="s">
        <v>355</v>
      </c>
      <c r="Q16771" s="5" t="s">
        <v>355</v>
      </c>
    </row>
    <row r="16772" ht="16.5" customHeight="1">
      <c r="O16772" s="5" t="s">
        <v>355</v>
      </c>
      <c r="P16772" s="5" t="s">
        <v>355</v>
      </c>
      <c r="Q16772" s="5" t="s">
        <v>355</v>
      </c>
    </row>
    <row r="16773" ht="16.5" customHeight="1">
      <c r="O16773" s="5" t="s">
        <v>355</v>
      </c>
      <c r="P16773" s="5" t="s">
        <v>355</v>
      </c>
      <c r="Q16773" s="5" t="s">
        <v>355</v>
      </c>
    </row>
    <row r="16774" ht="16.5" customHeight="1">
      <c r="O16774" s="5" t="s">
        <v>355</v>
      </c>
      <c r="P16774" s="5" t="s">
        <v>355</v>
      </c>
      <c r="Q16774" s="5" t="s">
        <v>355</v>
      </c>
    </row>
    <row r="16775" ht="16.5" customHeight="1">
      <c r="O16775" s="5" t="s">
        <v>355</v>
      </c>
      <c r="P16775" s="5" t="s">
        <v>355</v>
      </c>
      <c r="Q16775" s="5" t="s">
        <v>355</v>
      </c>
    </row>
    <row r="16776" ht="16.5" customHeight="1">
      <c r="O16776" s="5" t="s">
        <v>355</v>
      </c>
      <c r="P16776" s="5" t="s">
        <v>355</v>
      </c>
      <c r="Q16776" s="5" t="s">
        <v>355</v>
      </c>
    </row>
    <row r="16777" ht="16.5" customHeight="1">
      <c r="O16777" s="5" t="s">
        <v>355</v>
      </c>
      <c r="P16777" s="5" t="s">
        <v>355</v>
      </c>
      <c r="Q16777" s="5" t="s">
        <v>355</v>
      </c>
    </row>
    <row r="16778" ht="16.5" customHeight="1">
      <c r="O16778" s="5" t="s">
        <v>355</v>
      </c>
      <c r="P16778" s="5" t="s">
        <v>355</v>
      </c>
      <c r="Q16778" s="5" t="s">
        <v>355</v>
      </c>
    </row>
    <row r="16779" ht="16.5" customHeight="1">
      <c r="O16779" s="5" t="s">
        <v>355</v>
      </c>
      <c r="P16779" s="5" t="s">
        <v>355</v>
      </c>
      <c r="Q16779" s="5" t="s">
        <v>355</v>
      </c>
    </row>
    <row r="16780" ht="16.5" customHeight="1">
      <c r="O16780" s="5" t="s">
        <v>355</v>
      </c>
      <c r="P16780" s="5" t="s">
        <v>355</v>
      </c>
      <c r="Q16780" s="5" t="s">
        <v>355</v>
      </c>
    </row>
    <row r="16781" ht="16.5" customHeight="1">
      <c r="O16781" s="5" t="s">
        <v>355</v>
      </c>
      <c r="P16781" s="5" t="s">
        <v>355</v>
      </c>
      <c r="Q16781" s="5" t="s">
        <v>355</v>
      </c>
    </row>
    <row r="16782" ht="16.5" customHeight="1">
      <c r="O16782" s="5" t="s">
        <v>355</v>
      </c>
      <c r="P16782" s="5" t="s">
        <v>355</v>
      </c>
      <c r="Q16782" s="5" t="s">
        <v>355</v>
      </c>
    </row>
    <row r="16783" ht="16.5" customHeight="1">
      <c r="O16783" s="5" t="s">
        <v>355</v>
      </c>
      <c r="P16783" s="5" t="s">
        <v>355</v>
      </c>
      <c r="Q16783" s="5" t="s">
        <v>355</v>
      </c>
    </row>
    <row r="16784" ht="16.5" customHeight="1">
      <c r="O16784" s="5" t="s">
        <v>355</v>
      </c>
      <c r="P16784" s="5" t="s">
        <v>355</v>
      </c>
      <c r="Q16784" s="5" t="s">
        <v>355</v>
      </c>
    </row>
    <row r="16785" ht="16.5" customHeight="1">
      <c r="O16785" s="5" t="s">
        <v>355</v>
      </c>
      <c r="P16785" s="5" t="s">
        <v>355</v>
      </c>
      <c r="Q16785" s="5" t="s">
        <v>355</v>
      </c>
    </row>
    <row r="16786" ht="16.5" customHeight="1">
      <c r="O16786" s="5" t="s">
        <v>355</v>
      </c>
      <c r="P16786" s="5" t="s">
        <v>355</v>
      </c>
      <c r="Q16786" s="5" t="s">
        <v>355</v>
      </c>
    </row>
    <row r="16787" ht="16.5" customHeight="1">
      <c r="O16787" s="5" t="s">
        <v>355</v>
      </c>
      <c r="P16787" s="5" t="s">
        <v>355</v>
      </c>
      <c r="Q16787" s="5" t="s">
        <v>355</v>
      </c>
    </row>
    <row r="16788" ht="16.5" customHeight="1">
      <c r="O16788" s="5" t="s">
        <v>355</v>
      </c>
      <c r="P16788" s="5" t="s">
        <v>355</v>
      </c>
      <c r="Q16788" s="5" t="s">
        <v>355</v>
      </c>
    </row>
    <row r="16789" ht="16.5" customHeight="1">
      <c r="O16789" s="5" t="s">
        <v>355</v>
      </c>
      <c r="P16789" s="5" t="s">
        <v>355</v>
      </c>
      <c r="Q16789" s="5" t="s">
        <v>355</v>
      </c>
    </row>
    <row r="16790" ht="16.5" customHeight="1">
      <c r="O16790" s="5" t="s">
        <v>355</v>
      </c>
      <c r="P16790" s="5" t="s">
        <v>355</v>
      </c>
      <c r="Q16790" s="5" t="s">
        <v>355</v>
      </c>
    </row>
    <row r="16791" ht="16.5" customHeight="1">
      <c r="O16791" s="5" t="s">
        <v>355</v>
      </c>
      <c r="P16791" s="5" t="s">
        <v>355</v>
      </c>
      <c r="Q16791" s="5" t="s">
        <v>355</v>
      </c>
    </row>
    <row r="16792" ht="16.5" customHeight="1">
      <c r="O16792" s="5" t="s">
        <v>355</v>
      </c>
      <c r="P16792" s="5" t="s">
        <v>355</v>
      </c>
      <c r="Q16792" s="5" t="s">
        <v>355</v>
      </c>
    </row>
    <row r="16793" ht="16.5" customHeight="1">
      <c r="O16793" s="5" t="s">
        <v>355</v>
      </c>
      <c r="P16793" s="5" t="s">
        <v>355</v>
      </c>
      <c r="Q16793" s="5" t="s">
        <v>355</v>
      </c>
    </row>
    <row r="16794" ht="16.5" customHeight="1">
      <c r="O16794" s="5" t="s">
        <v>355</v>
      </c>
      <c r="P16794" s="5" t="s">
        <v>355</v>
      </c>
      <c r="Q16794" s="5" t="s">
        <v>355</v>
      </c>
    </row>
    <row r="16795" ht="16.5" customHeight="1">
      <c r="O16795" s="5" t="s">
        <v>355</v>
      </c>
      <c r="P16795" s="5" t="s">
        <v>355</v>
      </c>
      <c r="Q16795" s="5" t="s">
        <v>355</v>
      </c>
    </row>
    <row r="16796" ht="16.5" customHeight="1">
      <c r="O16796" s="5" t="s">
        <v>355</v>
      </c>
      <c r="P16796" s="5" t="s">
        <v>355</v>
      </c>
      <c r="Q16796" s="5" t="s">
        <v>355</v>
      </c>
    </row>
    <row r="16797" ht="16.5" customHeight="1">
      <c r="O16797" s="5" t="s">
        <v>355</v>
      </c>
      <c r="P16797" s="5" t="s">
        <v>355</v>
      </c>
      <c r="Q16797" s="5" t="s">
        <v>355</v>
      </c>
    </row>
    <row r="16798" ht="16.5" customHeight="1">
      <c r="O16798" s="5" t="s">
        <v>355</v>
      </c>
      <c r="P16798" s="5" t="s">
        <v>355</v>
      </c>
      <c r="Q16798" s="5" t="s">
        <v>355</v>
      </c>
    </row>
    <row r="16799" ht="16.5" customHeight="1">
      <c r="O16799" s="5" t="s">
        <v>355</v>
      </c>
      <c r="P16799" s="5" t="s">
        <v>355</v>
      </c>
      <c r="Q16799" s="5" t="s">
        <v>355</v>
      </c>
    </row>
    <row r="16800" ht="16.5" customHeight="1">
      <c r="O16800" s="5" t="s">
        <v>355</v>
      </c>
      <c r="P16800" s="5" t="s">
        <v>355</v>
      </c>
      <c r="Q16800" s="5" t="s">
        <v>355</v>
      </c>
    </row>
    <row r="16801" ht="16.5" customHeight="1">
      <c r="O16801" s="5" t="s">
        <v>355</v>
      </c>
      <c r="P16801" s="5" t="s">
        <v>355</v>
      </c>
      <c r="Q16801" s="5" t="s">
        <v>355</v>
      </c>
    </row>
    <row r="16802" ht="16.5" customHeight="1">
      <c r="O16802" s="5" t="s">
        <v>355</v>
      </c>
      <c r="P16802" s="5" t="s">
        <v>355</v>
      </c>
      <c r="Q16802" s="5" t="s">
        <v>355</v>
      </c>
    </row>
    <row r="16803" ht="16.5" customHeight="1">
      <c r="O16803" s="5" t="s">
        <v>355</v>
      </c>
      <c r="P16803" s="5" t="s">
        <v>355</v>
      </c>
      <c r="Q16803" s="5" t="s">
        <v>355</v>
      </c>
    </row>
    <row r="16804" ht="16.5" customHeight="1">
      <c r="O16804" s="5" t="s">
        <v>355</v>
      </c>
      <c r="P16804" s="5" t="s">
        <v>355</v>
      </c>
      <c r="Q16804" s="5" t="s">
        <v>355</v>
      </c>
    </row>
    <row r="16805" ht="16.5" customHeight="1">
      <c r="O16805" s="5" t="s">
        <v>355</v>
      </c>
      <c r="P16805" s="5" t="s">
        <v>355</v>
      </c>
      <c r="Q16805" s="5" t="s">
        <v>355</v>
      </c>
    </row>
    <row r="16806" ht="16.5" customHeight="1">
      <c r="O16806" s="5" t="s">
        <v>355</v>
      </c>
      <c r="P16806" s="5" t="s">
        <v>355</v>
      </c>
      <c r="Q16806" s="5" t="s">
        <v>355</v>
      </c>
    </row>
    <row r="16807" ht="16.5" customHeight="1">
      <c r="O16807" s="5" t="s">
        <v>355</v>
      </c>
      <c r="P16807" s="5" t="s">
        <v>355</v>
      </c>
      <c r="Q16807" s="5" t="s">
        <v>355</v>
      </c>
    </row>
    <row r="16808" ht="16.5" customHeight="1">
      <c r="O16808" s="5" t="s">
        <v>355</v>
      </c>
      <c r="P16808" s="5" t="s">
        <v>355</v>
      </c>
      <c r="Q16808" s="5" t="s">
        <v>355</v>
      </c>
    </row>
    <row r="16809" ht="16.5" customHeight="1">
      <c r="O16809" s="5" t="s">
        <v>355</v>
      </c>
      <c r="P16809" s="5" t="s">
        <v>355</v>
      </c>
      <c r="Q16809" s="5" t="s">
        <v>355</v>
      </c>
    </row>
    <row r="16810" ht="16.5" customHeight="1">
      <c r="O16810" s="5" t="s">
        <v>355</v>
      </c>
      <c r="P16810" s="5" t="s">
        <v>355</v>
      </c>
      <c r="Q16810" s="5" t="s">
        <v>355</v>
      </c>
    </row>
    <row r="16811" ht="16.5" customHeight="1">
      <c r="O16811" s="5" t="s">
        <v>355</v>
      </c>
      <c r="P16811" s="5" t="s">
        <v>355</v>
      </c>
      <c r="Q16811" s="5" t="s">
        <v>355</v>
      </c>
    </row>
    <row r="16812" ht="16.5" customHeight="1">
      <c r="O16812" s="5" t="s">
        <v>355</v>
      </c>
      <c r="P16812" s="5" t="s">
        <v>355</v>
      </c>
      <c r="Q16812" s="5" t="s">
        <v>355</v>
      </c>
    </row>
    <row r="16813" ht="16.5" customHeight="1">
      <c r="O16813" s="5" t="s">
        <v>355</v>
      </c>
      <c r="P16813" s="5" t="s">
        <v>355</v>
      </c>
      <c r="Q16813" s="5" t="s">
        <v>355</v>
      </c>
    </row>
    <row r="16814" ht="16.5" customHeight="1">
      <c r="O16814" s="5" t="s">
        <v>355</v>
      </c>
      <c r="P16814" s="5" t="s">
        <v>355</v>
      </c>
      <c r="Q16814" s="5" t="s">
        <v>355</v>
      </c>
    </row>
    <row r="16815" ht="16.5" customHeight="1">
      <c r="O16815" s="5" t="s">
        <v>355</v>
      </c>
      <c r="P16815" s="5" t="s">
        <v>355</v>
      </c>
      <c r="Q16815" s="5" t="s">
        <v>355</v>
      </c>
    </row>
    <row r="16816" ht="16.5" customHeight="1">
      <c r="O16816" s="5" t="s">
        <v>355</v>
      </c>
      <c r="P16816" s="5" t="s">
        <v>355</v>
      </c>
      <c r="Q16816" s="5" t="s">
        <v>355</v>
      </c>
    </row>
    <row r="16817" ht="16.5" customHeight="1">
      <c r="O16817" s="5" t="s">
        <v>355</v>
      </c>
      <c r="P16817" s="5" t="s">
        <v>355</v>
      </c>
      <c r="Q16817" s="5" t="s">
        <v>355</v>
      </c>
    </row>
    <row r="16818" ht="16.5" customHeight="1">
      <c r="O16818" s="5" t="s">
        <v>355</v>
      </c>
      <c r="P16818" s="5" t="s">
        <v>355</v>
      </c>
      <c r="Q16818" s="5" t="s">
        <v>355</v>
      </c>
    </row>
    <row r="16819" ht="16.5" customHeight="1">
      <c r="O16819" s="5" t="s">
        <v>355</v>
      </c>
      <c r="P16819" s="5" t="s">
        <v>355</v>
      </c>
      <c r="Q16819" s="5" t="s">
        <v>355</v>
      </c>
    </row>
    <row r="16820" ht="16.5" customHeight="1">
      <c r="O16820" s="5" t="s">
        <v>355</v>
      </c>
      <c r="P16820" s="5" t="s">
        <v>355</v>
      </c>
      <c r="Q16820" s="5" t="s">
        <v>355</v>
      </c>
    </row>
    <row r="16821" ht="16.5" customHeight="1">
      <c r="O16821" s="5" t="s">
        <v>355</v>
      </c>
      <c r="P16821" s="5" t="s">
        <v>355</v>
      </c>
      <c r="Q16821" s="5" t="s">
        <v>355</v>
      </c>
    </row>
    <row r="16822" ht="16.5" customHeight="1">
      <c r="O16822" s="5" t="s">
        <v>355</v>
      </c>
      <c r="P16822" s="5" t="s">
        <v>355</v>
      </c>
      <c r="Q16822" s="5" t="s">
        <v>355</v>
      </c>
    </row>
    <row r="16823" ht="16.5" customHeight="1">
      <c r="O16823" s="5" t="s">
        <v>355</v>
      </c>
      <c r="P16823" s="5" t="s">
        <v>355</v>
      </c>
      <c r="Q16823" s="5" t="s">
        <v>355</v>
      </c>
    </row>
    <row r="16824" ht="16.5" customHeight="1">
      <c r="O16824" s="5" t="s">
        <v>355</v>
      </c>
      <c r="P16824" s="5" t="s">
        <v>355</v>
      </c>
      <c r="Q16824" s="5" t="s">
        <v>355</v>
      </c>
    </row>
    <row r="16825" ht="16.5" customHeight="1">
      <c r="O16825" s="5" t="s">
        <v>355</v>
      </c>
      <c r="P16825" s="5" t="s">
        <v>355</v>
      </c>
      <c r="Q16825" s="5" t="s">
        <v>355</v>
      </c>
    </row>
    <row r="16826" ht="16.5" customHeight="1">
      <c r="O16826" s="5" t="s">
        <v>355</v>
      </c>
      <c r="P16826" s="5" t="s">
        <v>355</v>
      </c>
      <c r="Q16826" s="5" t="s">
        <v>355</v>
      </c>
    </row>
    <row r="16827" ht="16.5" customHeight="1">
      <c r="O16827" s="5" t="s">
        <v>355</v>
      </c>
      <c r="P16827" s="5" t="s">
        <v>355</v>
      </c>
      <c r="Q16827" s="5" t="s">
        <v>355</v>
      </c>
    </row>
    <row r="16828" ht="16.5" customHeight="1">
      <c r="O16828" s="5" t="s">
        <v>355</v>
      </c>
      <c r="P16828" s="5" t="s">
        <v>355</v>
      </c>
      <c r="Q16828" s="5" t="s">
        <v>355</v>
      </c>
    </row>
    <row r="16829" ht="16.5" customHeight="1">
      <c r="O16829" s="5" t="s">
        <v>355</v>
      </c>
      <c r="P16829" s="5" t="s">
        <v>355</v>
      </c>
      <c r="Q16829" s="5" t="s">
        <v>355</v>
      </c>
    </row>
    <row r="16830" ht="16.5" customHeight="1">
      <c r="O16830" s="5" t="s">
        <v>355</v>
      </c>
      <c r="P16830" s="5" t="s">
        <v>355</v>
      </c>
      <c r="Q16830" s="5" t="s">
        <v>355</v>
      </c>
    </row>
    <row r="16831" ht="16.5" customHeight="1">
      <c r="O16831" s="5" t="s">
        <v>355</v>
      </c>
      <c r="P16831" s="5" t="s">
        <v>355</v>
      </c>
      <c r="Q16831" s="5" t="s">
        <v>355</v>
      </c>
    </row>
    <row r="16832" ht="16.5" customHeight="1">
      <c r="O16832" s="5" t="s">
        <v>355</v>
      </c>
      <c r="P16832" s="5" t="s">
        <v>355</v>
      </c>
      <c r="Q16832" s="5" t="s">
        <v>355</v>
      </c>
    </row>
    <row r="16833" ht="16.5" customHeight="1">
      <c r="O16833" s="5" t="s">
        <v>355</v>
      </c>
      <c r="P16833" s="5" t="s">
        <v>355</v>
      </c>
      <c r="Q16833" s="5" t="s">
        <v>355</v>
      </c>
    </row>
    <row r="16834" ht="16.5" customHeight="1">
      <c r="O16834" s="5" t="s">
        <v>355</v>
      </c>
      <c r="P16834" s="5" t="s">
        <v>355</v>
      </c>
      <c r="Q16834" s="5" t="s">
        <v>355</v>
      </c>
    </row>
    <row r="16835" ht="16.5" customHeight="1">
      <c r="O16835" s="5" t="s">
        <v>355</v>
      </c>
      <c r="P16835" s="5" t="s">
        <v>355</v>
      </c>
      <c r="Q16835" s="5" t="s">
        <v>355</v>
      </c>
    </row>
    <row r="16836" ht="16.5" customHeight="1">
      <c r="O16836" s="5" t="s">
        <v>355</v>
      </c>
      <c r="P16836" s="5" t="s">
        <v>355</v>
      </c>
      <c r="Q16836" s="5" t="s">
        <v>355</v>
      </c>
    </row>
    <row r="16837" ht="16.5" customHeight="1">
      <c r="O16837" s="5" t="s">
        <v>355</v>
      </c>
      <c r="P16837" s="5" t="s">
        <v>355</v>
      </c>
      <c r="Q16837" s="5" t="s">
        <v>355</v>
      </c>
    </row>
    <row r="16838" ht="16.5" customHeight="1">
      <c r="O16838" s="5" t="s">
        <v>355</v>
      </c>
      <c r="P16838" s="5" t="s">
        <v>355</v>
      </c>
      <c r="Q16838" s="5" t="s">
        <v>355</v>
      </c>
    </row>
    <row r="16839" ht="16.5" customHeight="1">
      <c r="O16839" s="5" t="s">
        <v>355</v>
      </c>
      <c r="P16839" s="5" t="s">
        <v>355</v>
      </c>
      <c r="Q16839" s="5" t="s">
        <v>355</v>
      </c>
    </row>
    <row r="16840" ht="16.5" customHeight="1">
      <c r="O16840" s="5" t="s">
        <v>355</v>
      </c>
      <c r="P16840" s="5" t="s">
        <v>355</v>
      </c>
      <c r="Q16840" s="5" t="s">
        <v>355</v>
      </c>
    </row>
    <row r="16841" ht="16.5" customHeight="1">
      <c r="O16841" s="5" t="s">
        <v>355</v>
      </c>
      <c r="P16841" s="5" t="s">
        <v>355</v>
      </c>
      <c r="Q16841" s="5" t="s">
        <v>355</v>
      </c>
    </row>
    <row r="16842" ht="16.5" customHeight="1">
      <c r="O16842" s="5" t="s">
        <v>355</v>
      </c>
      <c r="P16842" s="5" t="s">
        <v>355</v>
      </c>
      <c r="Q16842" s="5" t="s">
        <v>355</v>
      </c>
    </row>
    <row r="16843" ht="16.5" customHeight="1">
      <c r="O16843" s="5" t="s">
        <v>355</v>
      </c>
      <c r="P16843" s="5" t="s">
        <v>355</v>
      </c>
      <c r="Q16843" s="5" t="s">
        <v>355</v>
      </c>
    </row>
    <row r="16844" ht="16.5" customHeight="1">
      <c r="O16844" s="5" t="s">
        <v>355</v>
      </c>
      <c r="P16844" s="5" t="s">
        <v>355</v>
      </c>
      <c r="Q16844" s="5" t="s">
        <v>355</v>
      </c>
    </row>
    <row r="16845" ht="16.5" customHeight="1">
      <c r="O16845" s="5" t="s">
        <v>355</v>
      </c>
      <c r="P16845" s="5" t="s">
        <v>355</v>
      </c>
      <c r="Q16845" s="5" t="s">
        <v>355</v>
      </c>
    </row>
    <row r="16846" ht="16.5" customHeight="1">
      <c r="O16846" s="5" t="s">
        <v>355</v>
      </c>
      <c r="P16846" s="5" t="s">
        <v>355</v>
      </c>
      <c r="Q16846" s="5" t="s">
        <v>355</v>
      </c>
    </row>
    <row r="16847" ht="16.5" customHeight="1">
      <c r="O16847" s="5" t="s">
        <v>355</v>
      </c>
      <c r="P16847" s="5" t="s">
        <v>355</v>
      </c>
      <c r="Q16847" s="5" t="s">
        <v>355</v>
      </c>
    </row>
    <row r="16848" ht="16.5" customHeight="1">
      <c r="O16848" s="5" t="s">
        <v>355</v>
      </c>
      <c r="P16848" s="5" t="s">
        <v>355</v>
      </c>
      <c r="Q16848" s="5" t="s">
        <v>355</v>
      </c>
    </row>
    <row r="16849" ht="16.5" customHeight="1">
      <c r="O16849" s="5" t="s">
        <v>355</v>
      </c>
      <c r="P16849" s="5" t="s">
        <v>355</v>
      </c>
      <c r="Q16849" s="5" t="s">
        <v>355</v>
      </c>
    </row>
    <row r="16850" ht="16.5" customHeight="1">
      <c r="O16850" s="5" t="s">
        <v>355</v>
      </c>
      <c r="P16850" s="5" t="s">
        <v>355</v>
      </c>
      <c r="Q16850" s="5" t="s">
        <v>355</v>
      </c>
    </row>
    <row r="16851" ht="16.5" customHeight="1">
      <c r="O16851" s="5" t="s">
        <v>355</v>
      </c>
      <c r="P16851" s="5" t="s">
        <v>355</v>
      </c>
      <c r="Q16851" s="5" t="s">
        <v>355</v>
      </c>
    </row>
    <row r="16852" ht="16.5" customHeight="1">
      <c r="O16852" s="5" t="s">
        <v>355</v>
      </c>
      <c r="P16852" s="5" t="s">
        <v>355</v>
      </c>
      <c r="Q16852" s="5" t="s">
        <v>355</v>
      </c>
    </row>
    <row r="16853" ht="16.5" customHeight="1">
      <c r="O16853" s="5" t="s">
        <v>355</v>
      </c>
      <c r="P16853" s="5" t="s">
        <v>355</v>
      </c>
      <c r="Q16853" s="5" t="s">
        <v>355</v>
      </c>
    </row>
    <row r="16854" ht="16.5" customHeight="1">
      <c r="O16854" s="5" t="s">
        <v>355</v>
      </c>
      <c r="P16854" s="5" t="s">
        <v>355</v>
      </c>
      <c r="Q16854" s="5" t="s">
        <v>355</v>
      </c>
    </row>
    <row r="16855" ht="16.5" customHeight="1">
      <c r="O16855" s="5" t="s">
        <v>355</v>
      </c>
      <c r="P16855" s="5" t="s">
        <v>355</v>
      </c>
      <c r="Q16855" s="5" t="s">
        <v>355</v>
      </c>
    </row>
    <row r="16856" ht="16.5" customHeight="1">
      <c r="O16856" s="5" t="s">
        <v>355</v>
      </c>
      <c r="P16856" s="5" t="s">
        <v>355</v>
      </c>
      <c r="Q16856" s="5" t="s">
        <v>355</v>
      </c>
    </row>
    <row r="16857" ht="16.5" customHeight="1">
      <c r="O16857" s="5" t="s">
        <v>355</v>
      </c>
      <c r="P16857" s="5" t="s">
        <v>355</v>
      </c>
      <c r="Q16857" s="5" t="s">
        <v>355</v>
      </c>
    </row>
    <row r="16858" ht="16.5" customHeight="1">
      <c r="O16858" s="5" t="s">
        <v>355</v>
      </c>
      <c r="P16858" s="5" t="s">
        <v>355</v>
      </c>
      <c r="Q16858" s="5" t="s">
        <v>355</v>
      </c>
    </row>
    <row r="16859" ht="16.5" customHeight="1">
      <c r="O16859" s="5" t="s">
        <v>355</v>
      </c>
      <c r="P16859" s="5" t="s">
        <v>355</v>
      </c>
      <c r="Q16859" s="5" t="s">
        <v>355</v>
      </c>
    </row>
    <row r="16860" ht="16.5" customHeight="1">
      <c r="O16860" s="5" t="s">
        <v>355</v>
      </c>
      <c r="P16860" s="5" t="s">
        <v>355</v>
      </c>
      <c r="Q16860" s="5" t="s">
        <v>355</v>
      </c>
    </row>
    <row r="16861" ht="16.5" customHeight="1">
      <c r="O16861" s="5" t="s">
        <v>355</v>
      </c>
      <c r="P16861" s="5" t="s">
        <v>355</v>
      </c>
      <c r="Q16861" s="5" t="s">
        <v>355</v>
      </c>
    </row>
    <row r="16862" ht="16.5" customHeight="1">
      <c r="O16862" s="5" t="s">
        <v>355</v>
      </c>
      <c r="P16862" s="5" t="s">
        <v>355</v>
      </c>
      <c r="Q16862" s="5" t="s">
        <v>355</v>
      </c>
    </row>
    <row r="16863" ht="16.5" customHeight="1">
      <c r="O16863" s="5" t="s">
        <v>355</v>
      </c>
      <c r="P16863" s="5" t="s">
        <v>355</v>
      </c>
      <c r="Q16863" s="5" t="s">
        <v>355</v>
      </c>
    </row>
    <row r="16864" ht="16.5" customHeight="1">
      <c r="O16864" s="5" t="s">
        <v>355</v>
      </c>
      <c r="P16864" s="5" t="s">
        <v>355</v>
      </c>
      <c r="Q16864" s="5" t="s">
        <v>355</v>
      </c>
    </row>
    <row r="16865" ht="16.5" customHeight="1">
      <c r="O16865" s="5" t="s">
        <v>355</v>
      </c>
      <c r="P16865" s="5" t="s">
        <v>355</v>
      </c>
      <c r="Q16865" s="5" t="s">
        <v>355</v>
      </c>
    </row>
    <row r="16866" ht="16.5" customHeight="1">
      <c r="O16866" s="5" t="s">
        <v>355</v>
      </c>
      <c r="P16866" s="5" t="s">
        <v>355</v>
      </c>
      <c r="Q16866" s="5" t="s">
        <v>355</v>
      </c>
    </row>
    <row r="16867" ht="16.5" customHeight="1">
      <c r="O16867" s="5" t="s">
        <v>355</v>
      </c>
      <c r="P16867" s="5" t="s">
        <v>355</v>
      </c>
      <c r="Q16867" s="5" t="s">
        <v>355</v>
      </c>
    </row>
    <row r="16868" ht="16.5" customHeight="1">
      <c r="O16868" s="5" t="s">
        <v>355</v>
      </c>
      <c r="P16868" s="5" t="s">
        <v>355</v>
      </c>
      <c r="Q16868" s="5" t="s">
        <v>355</v>
      </c>
    </row>
    <row r="16869" ht="16.5" customHeight="1">
      <c r="O16869" s="5" t="s">
        <v>355</v>
      </c>
      <c r="P16869" s="5" t="s">
        <v>355</v>
      </c>
      <c r="Q16869" s="5" t="s">
        <v>355</v>
      </c>
    </row>
    <row r="16870" ht="16.5" customHeight="1">
      <c r="O16870" s="5" t="s">
        <v>355</v>
      </c>
      <c r="P16870" s="5" t="s">
        <v>355</v>
      </c>
      <c r="Q16870" s="5" t="s">
        <v>355</v>
      </c>
    </row>
    <row r="16871" ht="16.5" customHeight="1">
      <c r="O16871" s="5" t="s">
        <v>355</v>
      </c>
      <c r="P16871" s="5" t="s">
        <v>355</v>
      </c>
      <c r="Q16871" s="5" t="s">
        <v>355</v>
      </c>
    </row>
    <row r="16872" ht="16.5" customHeight="1">
      <c r="O16872" s="5" t="s">
        <v>355</v>
      </c>
      <c r="P16872" s="5" t="s">
        <v>355</v>
      </c>
      <c r="Q16872" s="5" t="s">
        <v>355</v>
      </c>
    </row>
    <row r="16873" ht="16.5" customHeight="1">
      <c r="O16873" s="5" t="s">
        <v>355</v>
      </c>
      <c r="P16873" s="5" t="s">
        <v>355</v>
      </c>
      <c r="Q16873" s="5" t="s">
        <v>355</v>
      </c>
    </row>
    <row r="16874" ht="16.5" customHeight="1">
      <c r="O16874" s="5" t="s">
        <v>355</v>
      </c>
      <c r="P16874" s="5" t="s">
        <v>355</v>
      </c>
      <c r="Q16874" s="5" t="s">
        <v>355</v>
      </c>
    </row>
    <row r="16875" ht="16.5" customHeight="1">
      <c r="O16875" s="5" t="s">
        <v>355</v>
      </c>
      <c r="P16875" s="5" t="s">
        <v>355</v>
      </c>
      <c r="Q16875" s="5" t="s">
        <v>355</v>
      </c>
    </row>
    <row r="16876" ht="16.5" customHeight="1">
      <c r="O16876" s="5" t="s">
        <v>355</v>
      </c>
      <c r="P16876" s="5" t="s">
        <v>355</v>
      </c>
      <c r="Q16876" s="5" t="s">
        <v>355</v>
      </c>
    </row>
    <row r="16877" ht="16.5" customHeight="1">
      <c r="O16877" s="5" t="s">
        <v>355</v>
      </c>
      <c r="P16877" s="5" t="s">
        <v>355</v>
      </c>
      <c r="Q16877" s="5" t="s">
        <v>355</v>
      </c>
    </row>
    <row r="16878" ht="16.5" customHeight="1">
      <c r="O16878" s="5" t="s">
        <v>355</v>
      </c>
      <c r="P16878" s="5" t="s">
        <v>355</v>
      </c>
      <c r="Q16878" s="5" t="s">
        <v>355</v>
      </c>
    </row>
    <row r="16879" ht="16.5" customHeight="1">
      <c r="O16879" s="5" t="s">
        <v>355</v>
      </c>
      <c r="P16879" s="5" t="s">
        <v>355</v>
      </c>
      <c r="Q16879" s="5" t="s">
        <v>355</v>
      </c>
    </row>
    <row r="16880" ht="16.5" customHeight="1">
      <c r="O16880" s="5" t="s">
        <v>355</v>
      </c>
      <c r="P16880" s="5" t="s">
        <v>355</v>
      </c>
      <c r="Q16880" s="5" t="s">
        <v>355</v>
      </c>
    </row>
    <row r="16881" ht="16.5" customHeight="1">
      <c r="O16881" s="5" t="s">
        <v>355</v>
      </c>
      <c r="P16881" s="5" t="s">
        <v>355</v>
      </c>
      <c r="Q16881" s="5" t="s">
        <v>355</v>
      </c>
    </row>
    <row r="16882" ht="16.5" customHeight="1">
      <c r="O16882" s="5" t="s">
        <v>355</v>
      </c>
      <c r="P16882" s="5" t="s">
        <v>355</v>
      </c>
      <c r="Q16882" s="5" t="s">
        <v>355</v>
      </c>
    </row>
    <row r="16883" ht="16.5" customHeight="1">
      <c r="O16883" s="5" t="s">
        <v>355</v>
      </c>
      <c r="P16883" s="5" t="s">
        <v>355</v>
      </c>
      <c r="Q16883" s="5" t="s">
        <v>355</v>
      </c>
    </row>
    <row r="16884" ht="16.5" customHeight="1">
      <c r="O16884" s="5" t="s">
        <v>355</v>
      </c>
      <c r="P16884" s="5" t="s">
        <v>355</v>
      </c>
      <c r="Q16884" s="5" t="s">
        <v>355</v>
      </c>
    </row>
    <row r="16885" ht="16.5" customHeight="1">
      <c r="O16885" s="5" t="s">
        <v>355</v>
      </c>
      <c r="P16885" s="5" t="s">
        <v>355</v>
      </c>
      <c r="Q16885" s="5" t="s">
        <v>355</v>
      </c>
    </row>
    <row r="16886" ht="16.5" customHeight="1">
      <c r="O16886" s="5" t="s">
        <v>355</v>
      </c>
      <c r="P16886" s="5" t="s">
        <v>355</v>
      </c>
      <c r="Q16886" s="5" t="s">
        <v>355</v>
      </c>
    </row>
    <row r="16887" ht="16.5" customHeight="1">
      <c r="O16887" s="5" t="s">
        <v>355</v>
      </c>
      <c r="P16887" s="5" t="s">
        <v>355</v>
      </c>
      <c r="Q16887" s="5" t="s">
        <v>355</v>
      </c>
    </row>
    <row r="16888" ht="16.5" customHeight="1">
      <c r="O16888" s="5" t="s">
        <v>355</v>
      </c>
      <c r="P16888" s="5" t="s">
        <v>355</v>
      </c>
      <c r="Q16888" s="5" t="s">
        <v>355</v>
      </c>
    </row>
    <row r="16889" ht="16.5" customHeight="1">
      <c r="O16889" s="5" t="s">
        <v>355</v>
      </c>
      <c r="P16889" s="5" t="s">
        <v>355</v>
      </c>
      <c r="Q16889" s="5" t="s">
        <v>355</v>
      </c>
    </row>
    <row r="16890" ht="16.5" customHeight="1">
      <c r="O16890" s="5" t="s">
        <v>355</v>
      </c>
      <c r="P16890" s="5" t="s">
        <v>355</v>
      </c>
      <c r="Q16890" s="5" t="s">
        <v>355</v>
      </c>
    </row>
    <row r="16891" ht="16.5" customHeight="1">
      <c r="O16891" s="5" t="s">
        <v>355</v>
      </c>
      <c r="P16891" s="5" t="s">
        <v>355</v>
      </c>
      <c r="Q16891" s="5" t="s">
        <v>355</v>
      </c>
    </row>
    <row r="16892" ht="16.5" customHeight="1">
      <c r="O16892" s="5" t="s">
        <v>355</v>
      </c>
      <c r="P16892" s="5" t="s">
        <v>355</v>
      </c>
      <c r="Q16892" s="5" t="s">
        <v>355</v>
      </c>
    </row>
    <row r="16893" ht="16.5" customHeight="1">
      <c r="O16893" s="5" t="s">
        <v>355</v>
      </c>
      <c r="P16893" s="5" t="s">
        <v>355</v>
      </c>
      <c r="Q16893" s="5" t="s">
        <v>355</v>
      </c>
    </row>
    <row r="16894" ht="16.5" customHeight="1">
      <c r="O16894" s="5" t="s">
        <v>355</v>
      </c>
      <c r="P16894" s="5" t="s">
        <v>355</v>
      </c>
      <c r="Q16894" s="5" t="s">
        <v>355</v>
      </c>
    </row>
    <row r="16895" ht="16.5" customHeight="1">
      <c r="O16895" s="5" t="s">
        <v>355</v>
      </c>
      <c r="P16895" s="5" t="s">
        <v>355</v>
      </c>
      <c r="Q16895" s="5" t="s">
        <v>355</v>
      </c>
    </row>
    <row r="16896" ht="16.5" customHeight="1">
      <c r="O16896" s="5" t="s">
        <v>355</v>
      </c>
      <c r="P16896" s="5" t="s">
        <v>355</v>
      </c>
      <c r="Q16896" s="5" t="s">
        <v>355</v>
      </c>
    </row>
    <row r="16897" ht="16.5" customHeight="1">
      <c r="O16897" s="5" t="s">
        <v>355</v>
      </c>
      <c r="P16897" s="5" t="s">
        <v>355</v>
      </c>
      <c r="Q16897" s="5" t="s">
        <v>355</v>
      </c>
    </row>
    <row r="16898" ht="16.5" customHeight="1">
      <c r="O16898" s="5" t="s">
        <v>355</v>
      </c>
      <c r="P16898" s="5" t="s">
        <v>355</v>
      </c>
      <c r="Q16898" s="5" t="s">
        <v>355</v>
      </c>
    </row>
    <row r="16899" ht="16.5" customHeight="1">
      <c r="O16899" s="5" t="s">
        <v>355</v>
      </c>
      <c r="P16899" s="5" t="s">
        <v>355</v>
      </c>
      <c r="Q16899" s="5" t="s">
        <v>355</v>
      </c>
    </row>
    <row r="16900" ht="16.5" customHeight="1">
      <c r="O16900" s="5" t="s">
        <v>355</v>
      </c>
      <c r="P16900" s="5" t="s">
        <v>355</v>
      </c>
      <c r="Q16900" s="5" t="s">
        <v>355</v>
      </c>
    </row>
    <row r="16901" ht="16.5" customHeight="1">
      <c r="O16901" s="5" t="s">
        <v>355</v>
      </c>
      <c r="P16901" s="5" t="s">
        <v>355</v>
      </c>
      <c r="Q16901" s="5" t="s">
        <v>355</v>
      </c>
    </row>
    <row r="16902" ht="16.5" customHeight="1">
      <c r="O16902" s="5" t="s">
        <v>355</v>
      </c>
      <c r="P16902" s="5" t="s">
        <v>355</v>
      </c>
      <c r="Q16902" s="5" t="s">
        <v>355</v>
      </c>
    </row>
    <row r="16903" ht="16.5" customHeight="1">
      <c r="O16903" s="5" t="s">
        <v>355</v>
      </c>
      <c r="P16903" s="5" t="s">
        <v>355</v>
      </c>
      <c r="Q16903" s="5" t="s">
        <v>355</v>
      </c>
    </row>
    <row r="16904" ht="16.5" customHeight="1">
      <c r="O16904" s="5" t="s">
        <v>355</v>
      </c>
      <c r="P16904" s="5" t="s">
        <v>355</v>
      </c>
      <c r="Q16904" s="5" t="s">
        <v>355</v>
      </c>
    </row>
    <row r="16905" ht="16.5" customHeight="1">
      <c r="O16905" s="5" t="s">
        <v>355</v>
      </c>
      <c r="P16905" s="5" t="s">
        <v>355</v>
      </c>
      <c r="Q16905" s="5" t="s">
        <v>355</v>
      </c>
    </row>
    <row r="16906" ht="16.5" customHeight="1">
      <c r="O16906" s="5" t="s">
        <v>355</v>
      </c>
      <c r="P16906" s="5" t="s">
        <v>355</v>
      </c>
      <c r="Q16906" s="5" t="s">
        <v>355</v>
      </c>
    </row>
    <row r="16907" ht="16.5" customHeight="1">
      <c r="O16907" s="5" t="s">
        <v>355</v>
      </c>
      <c r="P16907" s="5" t="s">
        <v>355</v>
      </c>
      <c r="Q16907" s="5" t="s">
        <v>355</v>
      </c>
    </row>
    <row r="16908" ht="16.5" customHeight="1">
      <c r="O16908" s="5" t="s">
        <v>355</v>
      </c>
      <c r="P16908" s="5" t="s">
        <v>355</v>
      </c>
      <c r="Q16908" s="5" t="s">
        <v>355</v>
      </c>
    </row>
    <row r="16909" ht="16.5" customHeight="1">
      <c r="O16909" s="5" t="s">
        <v>355</v>
      </c>
      <c r="P16909" s="5" t="s">
        <v>355</v>
      </c>
      <c r="Q16909" s="5" t="s">
        <v>355</v>
      </c>
    </row>
    <row r="16910" ht="16.5" customHeight="1">
      <c r="O16910" s="5" t="s">
        <v>355</v>
      </c>
      <c r="P16910" s="5" t="s">
        <v>355</v>
      </c>
      <c r="Q16910" s="5" t="s">
        <v>355</v>
      </c>
    </row>
    <row r="16911" ht="16.5" customHeight="1">
      <c r="O16911" s="5" t="s">
        <v>355</v>
      </c>
      <c r="P16911" s="5" t="s">
        <v>355</v>
      </c>
      <c r="Q16911" s="5" t="s">
        <v>355</v>
      </c>
    </row>
    <row r="16912" ht="16.5" customHeight="1">
      <c r="O16912" s="5" t="s">
        <v>355</v>
      </c>
      <c r="P16912" s="5" t="s">
        <v>355</v>
      </c>
      <c r="Q16912" s="5" t="s">
        <v>355</v>
      </c>
    </row>
    <row r="16913" ht="16.5" customHeight="1">
      <c r="O16913" s="5" t="s">
        <v>355</v>
      </c>
      <c r="P16913" s="5" t="s">
        <v>355</v>
      </c>
      <c r="Q16913" s="5" t="s">
        <v>355</v>
      </c>
    </row>
    <row r="16914" ht="16.5" customHeight="1">
      <c r="O16914" s="5" t="s">
        <v>355</v>
      </c>
      <c r="P16914" s="5" t="s">
        <v>355</v>
      </c>
      <c r="Q16914" s="5" t="s">
        <v>355</v>
      </c>
    </row>
    <row r="16915" ht="16.5" customHeight="1">
      <c r="O16915" s="5" t="s">
        <v>355</v>
      </c>
      <c r="P16915" s="5" t="s">
        <v>355</v>
      </c>
      <c r="Q16915" s="5" t="s">
        <v>355</v>
      </c>
    </row>
    <row r="16916" ht="16.5" customHeight="1">
      <c r="O16916" s="5" t="s">
        <v>355</v>
      </c>
      <c r="P16916" s="5" t="s">
        <v>355</v>
      </c>
      <c r="Q16916" s="5" t="s">
        <v>355</v>
      </c>
    </row>
    <row r="16917" ht="16.5" customHeight="1">
      <c r="O16917" s="5" t="s">
        <v>355</v>
      </c>
      <c r="P16917" s="5" t="s">
        <v>355</v>
      </c>
      <c r="Q16917" s="5" t="s">
        <v>355</v>
      </c>
    </row>
    <row r="16918" ht="16.5" customHeight="1">
      <c r="O16918" s="5" t="s">
        <v>355</v>
      </c>
      <c r="P16918" s="5" t="s">
        <v>355</v>
      </c>
      <c r="Q16918" s="5" t="s">
        <v>355</v>
      </c>
    </row>
    <row r="16919" ht="16.5" customHeight="1">
      <c r="O16919" s="5" t="s">
        <v>355</v>
      </c>
      <c r="P16919" s="5" t="s">
        <v>355</v>
      </c>
      <c r="Q16919" s="5" t="s">
        <v>355</v>
      </c>
    </row>
    <row r="16920" ht="16.5" customHeight="1">
      <c r="O16920" s="5" t="s">
        <v>355</v>
      </c>
      <c r="P16920" s="5" t="s">
        <v>355</v>
      </c>
      <c r="Q16920" s="5" t="s">
        <v>355</v>
      </c>
    </row>
    <row r="16921" ht="16.5" customHeight="1">
      <c r="O16921" s="5" t="s">
        <v>355</v>
      </c>
      <c r="P16921" s="5" t="s">
        <v>355</v>
      </c>
      <c r="Q16921" s="5" t="s">
        <v>355</v>
      </c>
    </row>
    <row r="16922" ht="16.5" customHeight="1">
      <c r="O16922" s="5" t="s">
        <v>355</v>
      </c>
      <c r="P16922" s="5" t="s">
        <v>355</v>
      </c>
      <c r="Q16922" s="5" t="s">
        <v>355</v>
      </c>
    </row>
    <row r="16923" ht="16.5" customHeight="1">
      <c r="O16923" s="5" t="s">
        <v>355</v>
      </c>
      <c r="P16923" s="5" t="s">
        <v>355</v>
      </c>
      <c r="Q16923" s="5" t="s">
        <v>355</v>
      </c>
    </row>
    <row r="16924" ht="16.5" customHeight="1">
      <c r="O16924" s="5" t="s">
        <v>355</v>
      </c>
      <c r="P16924" s="5" t="s">
        <v>355</v>
      </c>
      <c r="Q16924" s="5" t="s">
        <v>355</v>
      </c>
    </row>
    <row r="16925" ht="16.5" customHeight="1">
      <c r="O16925" s="5" t="s">
        <v>355</v>
      </c>
      <c r="P16925" s="5" t="s">
        <v>355</v>
      </c>
      <c r="Q16925" s="5" t="s">
        <v>355</v>
      </c>
    </row>
    <row r="16926" ht="16.5" customHeight="1">
      <c r="O16926" s="5" t="s">
        <v>355</v>
      </c>
      <c r="P16926" s="5" t="s">
        <v>355</v>
      </c>
      <c r="Q16926" s="5" t="s">
        <v>355</v>
      </c>
    </row>
    <row r="16927" ht="16.5" customHeight="1">
      <c r="O16927" s="5" t="s">
        <v>355</v>
      </c>
      <c r="P16927" s="5" t="s">
        <v>355</v>
      </c>
      <c r="Q16927" s="5" t="s">
        <v>355</v>
      </c>
    </row>
    <row r="16928" ht="16.5" customHeight="1">
      <c r="O16928" s="5" t="s">
        <v>355</v>
      </c>
      <c r="P16928" s="5" t="s">
        <v>355</v>
      </c>
      <c r="Q16928" s="5" t="s">
        <v>355</v>
      </c>
    </row>
    <row r="16929" ht="16.5" customHeight="1">
      <c r="O16929" s="5" t="s">
        <v>355</v>
      </c>
      <c r="P16929" s="5" t="s">
        <v>355</v>
      </c>
      <c r="Q16929" s="5" t="s">
        <v>355</v>
      </c>
    </row>
    <row r="16930" ht="16.5" customHeight="1">
      <c r="O16930" s="5" t="s">
        <v>355</v>
      </c>
      <c r="P16930" s="5" t="s">
        <v>355</v>
      </c>
      <c r="Q16930" s="5" t="s">
        <v>355</v>
      </c>
    </row>
    <row r="16931" ht="16.5" customHeight="1">
      <c r="O16931" s="5" t="s">
        <v>355</v>
      </c>
      <c r="P16931" s="5" t="s">
        <v>355</v>
      </c>
      <c r="Q16931" s="5" t="s">
        <v>355</v>
      </c>
    </row>
    <row r="16932" ht="16.5" customHeight="1">
      <c r="O16932" s="5" t="s">
        <v>355</v>
      </c>
      <c r="P16932" s="5" t="s">
        <v>355</v>
      </c>
      <c r="Q16932" s="5" t="s">
        <v>355</v>
      </c>
    </row>
    <row r="16933" ht="16.5" customHeight="1">
      <c r="O16933" s="5" t="s">
        <v>355</v>
      </c>
      <c r="P16933" s="5" t="s">
        <v>355</v>
      </c>
      <c r="Q16933" s="5" t="s">
        <v>355</v>
      </c>
    </row>
    <row r="16934" ht="16.5" customHeight="1">
      <c r="O16934" s="5" t="s">
        <v>355</v>
      </c>
      <c r="P16934" s="5" t="s">
        <v>355</v>
      </c>
      <c r="Q16934" s="5" t="s">
        <v>355</v>
      </c>
    </row>
    <row r="16935" ht="16.5" customHeight="1">
      <c r="O16935" s="5" t="s">
        <v>355</v>
      </c>
      <c r="P16935" s="5" t="s">
        <v>355</v>
      </c>
      <c r="Q16935" s="5" t="s">
        <v>355</v>
      </c>
    </row>
    <row r="16936" ht="16.5" customHeight="1">
      <c r="O16936" s="5" t="s">
        <v>355</v>
      </c>
      <c r="P16936" s="5" t="s">
        <v>355</v>
      </c>
      <c r="Q16936" s="5" t="s">
        <v>355</v>
      </c>
    </row>
    <row r="16937" ht="16.5" customHeight="1">
      <c r="O16937" s="5" t="s">
        <v>355</v>
      </c>
      <c r="P16937" s="5" t="s">
        <v>355</v>
      </c>
      <c r="Q16937" s="5" t="s">
        <v>355</v>
      </c>
    </row>
    <row r="16938" ht="16.5" customHeight="1">
      <c r="O16938" s="5" t="s">
        <v>355</v>
      </c>
      <c r="P16938" s="5" t="s">
        <v>355</v>
      </c>
      <c r="Q16938" s="5" t="s">
        <v>355</v>
      </c>
    </row>
    <row r="16939" ht="16.5" customHeight="1">
      <c r="O16939" s="5" t="s">
        <v>355</v>
      </c>
      <c r="P16939" s="5" t="s">
        <v>355</v>
      </c>
      <c r="Q16939" s="5" t="s">
        <v>355</v>
      </c>
    </row>
    <row r="16940" ht="16.5" customHeight="1">
      <c r="O16940" s="5" t="s">
        <v>355</v>
      </c>
      <c r="P16940" s="5" t="s">
        <v>355</v>
      </c>
      <c r="Q16940" s="5" t="s">
        <v>355</v>
      </c>
    </row>
    <row r="16941" ht="16.5" customHeight="1">
      <c r="O16941" s="5" t="s">
        <v>355</v>
      </c>
      <c r="P16941" s="5" t="s">
        <v>355</v>
      </c>
      <c r="Q16941" s="5" t="s">
        <v>355</v>
      </c>
    </row>
    <row r="16942" ht="16.5" customHeight="1">
      <c r="O16942" s="5" t="s">
        <v>355</v>
      </c>
      <c r="P16942" s="5" t="s">
        <v>355</v>
      </c>
      <c r="Q16942" s="5" t="s">
        <v>355</v>
      </c>
    </row>
    <row r="16943" ht="16.5" customHeight="1">
      <c r="O16943" s="5" t="s">
        <v>355</v>
      </c>
      <c r="P16943" s="5" t="s">
        <v>355</v>
      </c>
      <c r="Q16943" s="5" t="s">
        <v>355</v>
      </c>
    </row>
    <row r="16944" ht="16.5" customHeight="1">
      <c r="O16944" s="5" t="s">
        <v>355</v>
      </c>
      <c r="P16944" s="5" t="s">
        <v>355</v>
      </c>
      <c r="Q16944" s="5" t="s">
        <v>355</v>
      </c>
    </row>
    <row r="16945" ht="16.5" customHeight="1">
      <c r="O16945" s="5" t="s">
        <v>355</v>
      </c>
      <c r="P16945" s="5" t="s">
        <v>355</v>
      </c>
      <c r="Q16945" s="5" t="s">
        <v>355</v>
      </c>
    </row>
    <row r="16946" ht="16.5" customHeight="1">
      <c r="O16946" s="5" t="s">
        <v>355</v>
      </c>
      <c r="P16946" s="5" t="s">
        <v>355</v>
      </c>
      <c r="Q16946" s="5" t="s">
        <v>355</v>
      </c>
    </row>
    <row r="16947" ht="16.5" customHeight="1">
      <c r="O16947" s="5" t="s">
        <v>355</v>
      </c>
      <c r="P16947" s="5" t="s">
        <v>355</v>
      </c>
      <c r="Q16947" s="5" t="s">
        <v>355</v>
      </c>
    </row>
    <row r="16948" ht="16.5" customHeight="1">
      <c r="O16948" s="5" t="s">
        <v>355</v>
      </c>
      <c r="P16948" s="5" t="s">
        <v>355</v>
      </c>
      <c r="Q16948" s="5" t="s">
        <v>355</v>
      </c>
    </row>
    <row r="16949" ht="16.5" customHeight="1">
      <c r="O16949" s="5" t="s">
        <v>355</v>
      </c>
      <c r="P16949" s="5" t="s">
        <v>355</v>
      </c>
      <c r="Q16949" s="5" t="s">
        <v>355</v>
      </c>
    </row>
    <row r="16950" ht="16.5" customHeight="1">
      <c r="O16950" s="5" t="s">
        <v>355</v>
      </c>
      <c r="P16950" s="5" t="s">
        <v>355</v>
      </c>
      <c r="Q16950" s="5" t="s">
        <v>355</v>
      </c>
    </row>
    <row r="16951" ht="16.5" customHeight="1">
      <c r="O16951" s="5" t="s">
        <v>355</v>
      </c>
      <c r="P16951" s="5" t="s">
        <v>355</v>
      </c>
      <c r="Q16951" s="5" t="s">
        <v>355</v>
      </c>
    </row>
    <row r="16952" ht="16.5" customHeight="1">
      <c r="O16952" s="5" t="s">
        <v>355</v>
      </c>
      <c r="P16952" s="5" t="s">
        <v>355</v>
      </c>
      <c r="Q16952" s="5" t="s">
        <v>355</v>
      </c>
    </row>
    <row r="16953" ht="16.5" customHeight="1">
      <c r="O16953" s="5" t="s">
        <v>355</v>
      </c>
      <c r="P16953" s="5" t="s">
        <v>355</v>
      </c>
      <c r="Q16953" s="5" t="s">
        <v>355</v>
      </c>
    </row>
    <row r="16954" ht="16.5" customHeight="1">
      <c r="O16954" s="5" t="s">
        <v>355</v>
      </c>
      <c r="P16954" s="5" t="s">
        <v>355</v>
      </c>
      <c r="Q16954" s="5" t="s">
        <v>355</v>
      </c>
    </row>
    <row r="16955" ht="16.5" customHeight="1">
      <c r="O16955" s="5" t="s">
        <v>355</v>
      </c>
      <c r="P16955" s="5" t="s">
        <v>355</v>
      </c>
      <c r="Q16955" s="5" t="s">
        <v>355</v>
      </c>
    </row>
    <row r="16956" ht="16.5" customHeight="1">
      <c r="O16956" s="5" t="s">
        <v>355</v>
      </c>
      <c r="P16956" s="5" t="s">
        <v>355</v>
      </c>
      <c r="Q16956" s="5" t="s">
        <v>355</v>
      </c>
    </row>
    <row r="16957" ht="16.5" customHeight="1">
      <c r="O16957" s="5" t="s">
        <v>355</v>
      </c>
      <c r="P16957" s="5" t="s">
        <v>355</v>
      </c>
      <c r="Q16957" s="5" t="s">
        <v>355</v>
      </c>
    </row>
    <row r="16958" ht="16.5" customHeight="1">
      <c r="O16958" s="5" t="s">
        <v>355</v>
      </c>
      <c r="P16958" s="5" t="s">
        <v>355</v>
      </c>
      <c r="Q16958" s="5" t="s">
        <v>355</v>
      </c>
    </row>
    <row r="16959" ht="16.5" customHeight="1">
      <c r="O16959" s="5" t="s">
        <v>355</v>
      </c>
      <c r="P16959" s="5" t="s">
        <v>355</v>
      </c>
      <c r="Q16959" s="5" t="s">
        <v>355</v>
      </c>
    </row>
    <row r="16960" ht="16.5" customHeight="1">
      <c r="O16960" s="5" t="s">
        <v>355</v>
      </c>
      <c r="P16960" s="5" t="s">
        <v>355</v>
      </c>
      <c r="Q16960" s="5" t="s">
        <v>355</v>
      </c>
    </row>
    <row r="16961" ht="16.5" customHeight="1">
      <c r="O16961" s="5" t="s">
        <v>355</v>
      </c>
      <c r="P16961" s="5" t="s">
        <v>355</v>
      </c>
      <c r="Q16961" s="5" t="s">
        <v>355</v>
      </c>
    </row>
    <row r="16962" ht="16.5" customHeight="1">
      <c r="O16962" s="5" t="s">
        <v>355</v>
      </c>
      <c r="P16962" s="5" t="s">
        <v>355</v>
      </c>
      <c r="Q16962" s="5" t="s">
        <v>355</v>
      </c>
    </row>
    <row r="16963" ht="16.5" customHeight="1">
      <c r="O16963" s="5" t="s">
        <v>355</v>
      </c>
      <c r="P16963" s="5" t="s">
        <v>355</v>
      </c>
      <c r="Q16963" s="5" t="s">
        <v>355</v>
      </c>
    </row>
    <row r="16964" ht="16.5" customHeight="1">
      <c r="O16964" s="5" t="s">
        <v>355</v>
      </c>
      <c r="P16964" s="5" t="s">
        <v>355</v>
      </c>
      <c r="Q16964" s="5" t="s">
        <v>355</v>
      </c>
    </row>
    <row r="16965" ht="16.5" customHeight="1">
      <c r="O16965" s="5" t="s">
        <v>355</v>
      </c>
      <c r="P16965" s="5" t="s">
        <v>355</v>
      </c>
      <c r="Q16965" s="5" t="s">
        <v>355</v>
      </c>
    </row>
    <row r="16966" ht="16.5" customHeight="1">
      <c r="O16966" s="5" t="s">
        <v>355</v>
      </c>
      <c r="P16966" s="5" t="s">
        <v>355</v>
      </c>
      <c r="Q16966" s="5" t="s">
        <v>355</v>
      </c>
    </row>
    <row r="16967" ht="16.5" customHeight="1">
      <c r="O16967" s="5" t="s">
        <v>355</v>
      </c>
      <c r="P16967" s="5" t="s">
        <v>355</v>
      </c>
      <c r="Q16967" s="5" t="s">
        <v>355</v>
      </c>
    </row>
    <row r="16968" ht="16.5" customHeight="1">
      <c r="O16968" s="5" t="s">
        <v>355</v>
      </c>
      <c r="P16968" s="5" t="s">
        <v>355</v>
      </c>
      <c r="Q16968" s="5" t="s">
        <v>355</v>
      </c>
    </row>
    <row r="16969" ht="16.5" customHeight="1">
      <c r="O16969" s="5" t="s">
        <v>355</v>
      </c>
      <c r="P16969" s="5" t="s">
        <v>355</v>
      </c>
      <c r="Q16969" s="5" t="s">
        <v>355</v>
      </c>
    </row>
    <row r="16970" ht="16.5" customHeight="1">
      <c r="O16970" s="5" t="s">
        <v>355</v>
      </c>
      <c r="P16970" s="5" t="s">
        <v>355</v>
      </c>
      <c r="Q16970" s="5" t="s">
        <v>355</v>
      </c>
    </row>
    <row r="16971" ht="16.5" customHeight="1">
      <c r="O16971" s="5" t="s">
        <v>355</v>
      </c>
      <c r="P16971" s="5" t="s">
        <v>355</v>
      </c>
      <c r="Q16971" s="5" t="s">
        <v>355</v>
      </c>
    </row>
    <row r="16972" ht="16.5" customHeight="1">
      <c r="O16972" s="5" t="s">
        <v>355</v>
      </c>
      <c r="P16972" s="5" t="s">
        <v>355</v>
      </c>
      <c r="Q16972" s="5" t="s">
        <v>355</v>
      </c>
    </row>
    <row r="16973" ht="16.5" customHeight="1">
      <c r="O16973" s="5" t="s">
        <v>355</v>
      </c>
      <c r="P16973" s="5" t="s">
        <v>355</v>
      </c>
      <c r="Q16973" s="5" t="s">
        <v>355</v>
      </c>
    </row>
    <row r="16974" ht="16.5" customHeight="1">
      <c r="O16974" s="5" t="s">
        <v>355</v>
      </c>
      <c r="P16974" s="5" t="s">
        <v>355</v>
      </c>
      <c r="Q16974" s="5" t="s">
        <v>355</v>
      </c>
    </row>
    <row r="16975" ht="16.5" customHeight="1">
      <c r="O16975" s="5" t="s">
        <v>355</v>
      </c>
      <c r="P16975" s="5" t="s">
        <v>355</v>
      </c>
      <c r="Q16975" s="5" t="s">
        <v>355</v>
      </c>
    </row>
    <row r="16976" ht="16.5" customHeight="1">
      <c r="O16976" s="5" t="s">
        <v>355</v>
      </c>
      <c r="P16976" s="5" t="s">
        <v>355</v>
      </c>
      <c r="Q16976" s="5" t="s">
        <v>355</v>
      </c>
    </row>
    <row r="16977" ht="16.5" customHeight="1">
      <c r="O16977" s="5" t="s">
        <v>355</v>
      </c>
      <c r="P16977" s="5" t="s">
        <v>355</v>
      </c>
      <c r="Q16977" s="5" t="s">
        <v>355</v>
      </c>
    </row>
    <row r="16978" ht="16.5" customHeight="1">
      <c r="O16978" s="5" t="s">
        <v>355</v>
      </c>
      <c r="P16978" s="5" t="s">
        <v>355</v>
      </c>
      <c r="Q16978" s="5" t="s">
        <v>355</v>
      </c>
    </row>
    <row r="16979" ht="16.5" customHeight="1">
      <c r="O16979" s="5" t="s">
        <v>355</v>
      </c>
      <c r="P16979" s="5" t="s">
        <v>355</v>
      </c>
      <c r="Q16979" s="5" t="s">
        <v>355</v>
      </c>
    </row>
    <row r="16980" ht="16.5" customHeight="1">
      <c r="O16980" s="5" t="s">
        <v>355</v>
      </c>
      <c r="P16980" s="5" t="s">
        <v>355</v>
      </c>
      <c r="Q16980" s="5" t="s">
        <v>355</v>
      </c>
    </row>
    <row r="16981" ht="16.5" customHeight="1">
      <c r="O16981" s="5" t="s">
        <v>355</v>
      </c>
      <c r="P16981" s="5" t="s">
        <v>355</v>
      </c>
      <c r="Q16981" s="5" t="s">
        <v>355</v>
      </c>
    </row>
    <row r="16982" ht="16.5" customHeight="1">
      <c r="O16982" s="5" t="s">
        <v>355</v>
      </c>
      <c r="P16982" s="5" t="s">
        <v>355</v>
      </c>
      <c r="Q16982" s="5" t="s">
        <v>355</v>
      </c>
    </row>
    <row r="16983" ht="16.5" customHeight="1">
      <c r="O16983" s="5" t="s">
        <v>355</v>
      </c>
      <c r="P16983" s="5" t="s">
        <v>355</v>
      </c>
      <c r="Q16983" s="5" t="s">
        <v>355</v>
      </c>
    </row>
    <row r="16984" ht="16.5" customHeight="1">
      <c r="O16984" s="5" t="s">
        <v>355</v>
      </c>
      <c r="P16984" s="5" t="s">
        <v>355</v>
      </c>
      <c r="Q16984" s="5" t="s">
        <v>355</v>
      </c>
    </row>
    <row r="16985" ht="16.5" customHeight="1">
      <c r="O16985" s="5" t="s">
        <v>355</v>
      </c>
      <c r="P16985" s="5" t="s">
        <v>355</v>
      </c>
      <c r="Q16985" s="5" t="s">
        <v>355</v>
      </c>
    </row>
    <row r="16986" ht="16.5" customHeight="1">
      <c r="O16986" s="5" t="s">
        <v>355</v>
      </c>
      <c r="P16986" s="5" t="s">
        <v>355</v>
      </c>
      <c r="Q16986" s="5" t="s">
        <v>355</v>
      </c>
    </row>
    <row r="16987" ht="16.5" customHeight="1">
      <c r="O16987" s="5" t="s">
        <v>355</v>
      </c>
      <c r="P16987" s="5" t="s">
        <v>355</v>
      </c>
      <c r="Q16987" s="5" t="s">
        <v>355</v>
      </c>
    </row>
    <row r="16988" ht="16.5" customHeight="1">
      <c r="O16988" s="5" t="s">
        <v>355</v>
      </c>
      <c r="P16988" s="5" t="s">
        <v>355</v>
      </c>
      <c r="Q16988" s="5" t="s">
        <v>355</v>
      </c>
    </row>
    <row r="16989" ht="16.5" customHeight="1">
      <c r="O16989" s="5" t="s">
        <v>355</v>
      </c>
      <c r="P16989" s="5" t="s">
        <v>355</v>
      </c>
      <c r="Q16989" s="5" t="s">
        <v>355</v>
      </c>
    </row>
    <row r="16990" ht="16.5" customHeight="1">
      <c r="O16990" s="5" t="s">
        <v>355</v>
      </c>
      <c r="P16990" s="5" t="s">
        <v>355</v>
      </c>
      <c r="Q16990" s="5" t="s">
        <v>355</v>
      </c>
    </row>
    <row r="16991" ht="16.5" customHeight="1">
      <c r="O16991" s="5" t="s">
        <v>355</v>
      </c>
      <c r="P16991" s="5" t="s">
        <v>355</v>
      </c>
      <c r="Q16991" s="5" t="s">
        <v>355</v>
      </c>
    </row>
    <row r="16992" ht="16.5" customHeight="1">
      <c r="O16992" s="5" t="s">
        <v>355</v>
      </c>
      <c r="P16992" s="5" t="s">
        <v>355</v>
      </c>
      <c r="Q16992" s="5" t="s">
        <v>355</v>
      </c>
    </row>
    <row r="16993" ht="16.5" customHeight="1">
      <c r="O16993" s="5" t="s">
        <v>355</v>
      </c>
      <c r="P16993" s="5" t="s">
        <v>355</v>
      </c>
      <c r="Q16993" s="5" t="s">
        <v>355</v>
      </c>
    </row>
    <row r="16994" ht="16.5" customHeight="1">
      <c r="O16994" s="5" t="s">
        <v>355</v>
      </c>
      <c r="P16994" s="5" t="s">
        <v>355</v>
      </c>
      <c r="Q16994" s="5" t="s">
        <v>355</v>
      </c>
    </row>
    <row r="16995" ht="16.5" customHeight="1">
      <c r="O16995" s="5" t="s">
        <v>355</v>
      </c>
      <c r="P16995" s="5" t="s">
        <v>355</v>
      </c>
      <c r="Q16995" s="5" t="s">
        <v>355</v>
      </c>
    </row>
    <row r="16996" ht="16.5" customHeight="1">
      <c r="O16996" s="5" t="s">
        <v>355</v>
      </c>
      <c r="P16996" s="5" t="s">
        <v>355</v>
      </c>
      <c r="Q16996" s="5" t="s">
        <v>355</v>
      </c>
    </row>
    <row r="16997" ht="16.5" customHeight="1">
      <c r="O16997" s="5" t="s">
        <v>355</v>
      </c>
      <c r="P16997" s="5" t="s">
        <v>355</v>
      </c>
      <c r="Q16997" s="5" t="s">
        <v>355</v>
      </c>
    </row>
    <row r="16998" ht="16.5" customHeight="1">
      <c r="O16998" s="5" t="s">
        <v>355</v>
      </c>
      <c r="P16998" s="5" t="s">
        <v>355</v>
      </c>
      <c r="Q16998" s="5" t="s">
        <v>355</v>
      </c>
    </row>
    <row r="16999" ht="16.5" customHeight="1">
      <c r="O16999" s="5" t="s">
        <v>355</v>
      </c>
      <c r="P16999" s="5" t="s">
        <v>355</v>
      </c>
      <c r="Q16999" s="5" t="s">
        <v>355</v>
      </c>
    </row>
    <row r="17000" ht="16.5" customHeight="1">
      <c r="O17000" s="5" t="s">
        <v>355</v>
      </c>
      <c r="P17000" s="5" t="s">
        <v>355</v>
      </c>
      <c r="Q17000" s="5" t="s">
        <v>355</v>
      </c>
    </row>
    <row r="17001" ht="16.5" customHeight="1">
      <c r="O17001" s="5" t="s">
        <v>355</v>
      </c>
      <c r="P17001" s="5" t="s">
        <v>355</v>
      </c>
      <c r="Q17001" s="5" t="s">
        <v>355</v>
      </c>
    </row>
    <row r="17002" ht="16.5" customHeight="1">
      <c r="O17002" s="5" t="s">
        <v>355</v>
      </c>
      <c r="P17002" s="5" t="s">
        <v>355</v>
      </c>
      <c r="Q17002" s="5" t="s">
        <v>355</v>
      </c>
    </row>
    <row r="17003" ht="16.5" customHeight="1">
      <c r="O17003" s="5" t="s">
        <v>355</v>
      </c>
      <c r="P17003" s="5" t="s">
        <v>355</v>
      </c>
      <c r="Q17003" s="5" t="s">
        <v>355</v>
      </c>
    </row>
    <row r="17004" ht="16.5" customHeight="1">
      <c r="O17004" s="5" t="s">
        <v>355</v>
      </c>
      <c r="P17004" s="5" t="s">
        <v>355</v>
      </c>
      <c r="Q17004" s="5" t="s">
        <v>355</v>
      </c>
    </row>
    <row r="17005" ht="16.5" customHeight="1">
      <c r="O17005" s="5" t="s">
        <v>355</v>
      </c>
      <c r="P17005" s="5" t="s">
        <v>355</v>
      </c>
      <c r="Q17005" s="5" t="s">
        <v>355</v>
      </c>
    </row>
    <row r="17006" ht="16.5" customHeight="1">
      <c r="O17006" s="5" t="s">
        <v>355</v>
      </c>
      <c r="P17006" s="5" t="s">
        <v>355</v>
      </c>
      <c r="Q17006" s="5" t="s">
        <v>355</v>
      </c>
    </row>
    <row r="17007" ht="16.5" customHeight="1">
      <c r="O17007" s="5" t="s">
        <v>355</v>
      </c>
      <c r="P17007" s="5" t="s">
        <v>355</v>
      </c>
      <c r="Q17007" s="5" t="s">
        <v>355</v>
      </c>
    </row>
    <row r="17008" ht="16.5" customHeight="1">
      <c r="O17008" s="5" t="s">
        <v>355</v>
      </c>
      <c r="P17008" s="5" t="s">
        <v>355</v>
      </c>
      <c r="Q17008" s="5" t="s">
        <v>355</v>
      </c>
    </row>
    <row r="17009" ht="16.5" customHeight="1">
      <c r="O17009" s="5" t="s">
        <v>355</v>
      </c>
      <c r="P17009" s="5" t="s">
        <v>355</v>
      </c>
      <c r="Q17009" s="5" t="s">
        <v>355</v>
      </c>
    </row>
    <row r="17010" ht="16.5" customHeight="1">
      <c r="O17010" s="5" t="s">
        <v>355</v>
      </c>
      <c r="P17010" s="5" t="s">
        <v>355</v>
      </c>
      <c r="Q17010" s="5" t="s">
        <v>355</v>
      </c>
    </row>
    <row r="17011" ht="16.5" customHeight="1">
      <c r="O17011" s="5" t="s">
        <v>355</v>
      </c>
      <c r="P17011" s="5" t="s">
        <v>355</v>
      </c>
      <c r="Q17011" s="5" t="s">
        <v>355</v>
      </c>
    </row>
    <row r="17012" ht="16.5" customHeight="1">
      <c r="O17012" s="5" t="s">
        <v>355</v>
      </c>
      <c r="P17012" s="5" t="s">
        <v>355</v>
      </c>
      <c r="Q17012" s="5" t="s">
        <v>355</v>
      </c>
    </row>
    <row r="17013" ht="16.5" customHeight="1">
      <c r="O17013" s="5" t="s">
        <v>355</v>
      </c>
      <c r="P17013" s="5" t="s">
        <v>355</v>
      </c>
      <c r="Q17013" s="5" t="s">
        <v>355</v>
      </c>
    </row>
    <row r="17014" ht="16.5" customHeight="1">
      <c r="O17014" s="5" t="s">
        <v>355</v>
      </c>
      <c r="P17014" s="5" t="s">
        <v>355</v>
      </c>
      <c r="Q17014" s="5" t="s">
        <v>355</v>
      </c>
    </row>
    <row r="17015" ht="16.5" customHeight="1">
      <c r="O17015" s="5" t="s">
        <v>355</v>
      </c>
      <c r="P17015" s="5" t="s">
        <v>355</v>
      </c>
      <c r="Q17015" s="5" t="s">
        <v>355</v>
      </c>
    </row>
    <row r="17016" ht="16.5" customHeight="1">
      <c r="O17016" s="5" t="s">
        <v>355</v>
      </c>
      <c r="P17016" s="5" t="s">
        <v>355</v>
      </c>
      <c r="Q17016" s="5" t="s">
        <v>355</v>
      </c>
    </row>
    <row r="17017" ht="16.5" customHeight="1">
      <c r="O17017" s="5" t="s">
        <v>355</v>
      </c>
      <c r="P17017" s="5" t="s">
        <v>355</v>
      </c>
      <c r="Q17017" s="5" t="s">
        <v>355</v>
      </c>
    </row>
    <row r="17018" ht="16.5" customHeight="1">
      <c r="O17018" s="5" t="s">
        <v>355</v>
      </c>
      <c r="P17018" s="5" t="s">
        <v>355</v>
      </c>
      <c r="Q17018" s="5" t="s">
        <v>355</v>
      </c>
    </row>
    <row r="17019" ht="16.5" customHeight="1">
      <c r="O17019" s="5" t="s">
        <v>355</v>
      </c>
      <c r="P17019" s="5" t="s">
        <v>355</v>
      </c>
      <c r="Q17019" s="5" t="s">
        <v>355</v>
      </c>
    </row>
    <row r="17020" ht="16.5" customHeight="1">
      <c r="O17020" s="5" t="s">
        <v>355</v>
      </c>
      <c r="P17020" s="5" t="s">
        <v>355</v>
      </c>
      <c r="Q17020" s="5" t="s">
        <v>355</v>
      </c>
    </row>
    <row r="17021" ht="16.5" customHeight="1">
      <c r="O17021" s="5" t="s">
        <v>355</v>
      </c>
      <c r="P17021" s="5" t="s">
        <v>355</v>
      </c>
      <c r="Q17021" s="5" t="s">
        <v>355</v>
      </c>
    </row>
    <row r="17022" ht="16.5" customHeight="1">
      <c r="O17022" s="5" t="s">
        <v>355</v>
      </c>
      <c r="P17022" s="5" t="s">
        <v>355</v>
      </c>
      <c r="Q17022" s="5" t="s">
        <v>355</v>
      </c>
    </row>
    <row r="17023" ht="16.5" customHeight="1">
      <c r="O17023" s="5" t="s">
        <v>355</v>
      </c>
      <c r="P17023" s="5" t="s">
        <v>355</v>
      </c>
      <c r="Q17023" s="5" t="s">
        <v>355</v>
      </c>
    </row>
    <row r="17024" ht="16.5" customHeight="1">
      <c r="O17024" s="5" t="s">
        <v>355</v>
      </c>
      <c r="P17024" s="5" t="s">
        <v>355</v>
      </c>
      <c r="Q17024" s="5" t="s">
        <v>355</v>
      </c>
    </row>
    <row r="17025" ht="16.5" customHeight="1">
      <c r="O17025" s="5" t="s">
        <v>355</v>
      </c>
      <c r="P17025" s="5" t="s">
        <v>355</v>
      </c>
      <c r="Q17025" s="5" t="s">
        <v>355</v>
      </c>
    </row>
    <row r="17026" ht="16.5" customHeight="1">
      <c r="O17026" s="5" t="s">
        <v>355</v>
      </c>
      <c r="P17026" s="5" t="s">
        <v>355</v>
      </c>
      <c r="Q17026" s="5" t="s">
        <v>355</v>
      </c>
    </row>
    <row r="17027" ht="16.5" customHeight="1">
      <c r="O17027" s="5" t="s">
        <v>355</v>
      </c>
      <c r="P17027" s="5" t="s">
        <v>355</v>
      </c>
      <c r="Q17027" s="5" t="s">
        <v>355</v>
      </c>
    </row>
    <row r="17028" ht="16.5" customHeight="1">
      <c r="O17028" s="5" t="s">
        <v>355</v>
      </c>
      <c r="P17028" s="5" t="s">
        <v>355</v>
      </c>
      <c r="Q17028" s="5" t="s">
        <v>355</v>
      </c>
    </row>
    <row r="17029" ht="16.5" customHeight="1">
      <c r="O17029" s="5" t="s">
        <v>355</v>
      </c>
      <c r="P17029" s="5" t="s">
        <v>355</v>
      </c>
      <c r="Q17029" s="5" t="s">
        <v>355</v>
      </c>
    </row>
    <row r="17030" ht="16.5" customHeight="1">
      <c r="O17030" s="5" t="s">
        <v>355</v>
      </c>
      <c r="P17030" s="5" t="s">
        <v>355</v>
      </c>
      <c r="Q17030" s="5" t="s">
        <v>355</v>
      </c>
    </row>
    <row r="17031" ht="16.5" customHeight="1">
      <c r="O17031" s="5" t="s">
        <v>355</v>
      </c>
      <c r="P17031" s="5" t="s">
        <v>355</v>
      </c>
      <c r="Q17031" s="5" t="s">
        <v>355</v>
      </c>
    </row>
    <row r="17032" ht="16.5" customHeight="1">
      <c r="O17032" s="5" t="s">
        <v>355</v>
      </c>
      <c r="P17032" s="5" t="s">
        <v>355</v>
      </c>
      <c r="Q17032" s="5" t="s">
        <v>355</v>
      </c>
    </row>
    <row r="17033" ht="16.5" customHeight="1">
      <c r="O17033" s="5" t="s">
        <v>355</v>
      </c>
      <c r="P17033" s="5" t="s">
        <v>355</v>
      </c>
      <c r="Q17033" s="5" t="s">
        <v>355</v>
      </c>
    </row>
    <row r="17034" ht="16.5" customHeight="1">
      <c r="O17034" s="5" t="s">
        <v>355</v>
      </c>
      <c r="P17034" s="5" t="s">
        <v>355</v>
      </c>
      <c r="Q17034" s="5" t="s">
        <v>355</v>
      </c>
    </row>
    <row r="17035" ht="16.5" customHeight="1">
      <c r="O17035" s="5" t="s">
        <v>355</v>
      </c>
      <c r="P17035" s="5" t="s">
        <v>355</v>
      </c>
      <c r="Q17035" s="5" t="s">
        <v>355</v>
      </c>
    </row>
    <row r="17036" ht="16.5" customHeight="1">
      <c r="O17036" s="5" t="s">
        <v>355</v>
      </c>
      <c r="P17036" s="5" t="s">
        <v>355</v>
      </c>
      <c r="Q17036" s="5" t="s">
        <v>355</v>
      </c>
    </row>
    <row r="17037" ht="16.5" customHeight="1">
      <c r="O17037" s="5" t="s">
        <v>355</v>
      </c>
      <c r="P17037" s="5" t="s">
        <v>355</v>
      </c>
      <c r="Q17037" s="5" t="s">
        <v>355</v>
      </c>
    </row>
    <row r="17038" ht="16.5" customHeight="1">
      <c r="O17038" s="5" t="s">
        <v>355</v>
      </c>
      <c r="P17038" s="5" t="s">
        <v>355</v>
      </c>
      <c r="Q17038" s="5" t="s">
        <v>355</v>
      </c>
    </row>
    <row r="17039" ht="16.5" customHeight="1">
      <c r="O17039" s="5" t="s">
        <v>355</v>
      </c>
      <c r="P17039" s="5" t="s">
        <v>355</v>
      </c>
      <c r="Q17039" s="5" t="s">
        <v>355</v>
      </c>
    </row>
    <row r="17040" ht="16.5" customHeight="1">
      <c r="O17040" s="5" t="s">
        <v>355</v>
      </c>
      <c r="P17040" s="5" t="s">
        <v>355</v>
      </c>
      <c r="Q17040" s="5" t="s">
        <v>355</v>
      </c>
    </row>
    <row r="17041" ht="16.5" customHeight="1">
      <c r="O17041" s="5" t="s">
        <v>355</v>
      </c>
      <c r="P17041" s="5" t="s">
        <v>355</v>
      </c>
      <c r="Q17041" s="5" t="s">
        <v>355</v>
      </c>
    </row>
    <row r="17042" ht="16.5" customHeight="1">
      <c r="O17042" s="5" t="s">
        <v>355</v>
      </c>
      <c r="P17042" s="5" t="s">
        <v>355</v>
      </c>
      <c r="Q17042" s="5" t="s">
        <v>355</v>
      </c>
    </row>
    <row r="17043" ht="16.5" customHeight="1">
      <c r="O17043" s="5" t="s">
        <v>355</v>
      </c>
      <c r="P17043" s="5" t="s">
        <v>355</v>
      </c>
      <c r="Q17043" s="5" t="s">
        <v>355</v>
      </c>
    </row>
    <row r="17044" ht="16.5" customHeight="1">
      <c r="O17044" s="5" t="s">
        <v>355</v>
      </c>
      <c r="P17044" s="5" t="s">
        <v>355</v>
      </c>
      <c r="Q17044" s="5" t="s">
        <v>355</v>
      </c>
    </row>
    <row r="17045" ht="16.5" customHeight="1">
      <c r="O17045" s="5" t="s">
        <v>355</v>
      </c>
      <c r="P17045" s="5" t="s">
        <v>355</v>
      </c>
      <c r="Q17045" s="5" t="s">
        <v>355</v>
      </c>
    </row>
    <row r="17046" ht="16.5" customHeight="1">
      <c r="O17046" s="5" t="s">
        <v>355</v>
      </c>
      <c r="P17046" s="5" t="s">
        <v>355</v>
      </c>
      <c r="Q17046" s="5" t="s">
        <v>355</v>
      </c>
    </row>
    <row r="17047" ht="16.5" customHeight="1">
      <c r="O17047" s="5" t="s">
        <v>355</v>
      </c>
      <c r="P17047" s="5" t="s">
        <v>355</v>
      </c>
      <c r="Q17047" s="5" t="s">
        <v>355</v>
      </c>
    </row>
    <row r="17048" ht="16.5" customHeight="1">
      <c r="O17048" s="5" t="s">
        <v>355</v>
      </c>
      <c r="P17048" s="5" t="s">
        <v>355</v>
      </c>
      <c r="Q17048" s="5" t="s">
        <v>355</v>
      </c>
    </row>
    <row r="17049" ht="16.5" customHeight="1">
      <c r="O17049" s="5" t="s">
        <v>355</v>
      </c>
      <c r="P17049" s="5" t="s">
        <v>355</v>
      </c>
      <c r="Q17049" s="5" t="s">
        <v>355</v>
      </c>
    </row>
    <row r="17050" ht="16.5" customHeight="1">
      <c r="O17050" s="5" t="s">
        <v>355</v>
      </c>
      <c r="P17050" s="5" t="s">
        <v>355</v>
      </c>
      <c r="Q17050" s="5" t="s">
        <v>355</v>
      </c>
    </row>
    <row r="17051" ht="16.5" customHeight="1">
      <c r="O17051" s="5" t="s">
        <v>355</v>
      </c>
      <c r="P17051" s="5" t="s">
        <v>355</v>
      </c>
      <c r="Q17051" s="5" t="s">
        <v>355</v>
      </c>
    </row>
    <row r="17052" ht="16.5" customHeight="1">
      <c r="O17052" s="5" t="s">
        <v>355</v>
      </c>
      <c r="P17052" s="5" t="s">
        <v>355</v>
      </c>
      <c r="Q17052" s="5" t="s">
        <v>355</v>
      </c>
    </row>
    <row r="17053" ht="16.5" customHeight="1">
      <c r="O17053" s="5" t="s">
        <v>355</v>
      </c>
      <c r="P17053" s="5" t="s">
        <v>355</v>
      </c>
      <c r="Q17053" s="5" t="s">
        <v>355</v>
      </c>
    </row>
    <row r="17054" ht="16.5" customHeight="1">
      <c r="O17054" s="5" t="s">
        <v>355</v>
      </c>
      <c r="P17054" s="5" t="s">
        <v>355</v>
      </c>
      <c r="Q17054" s="5" t="s">
        <v>355</v>
      </c>
    </row>
    <row r="17055" ht="16.5" customHeight="1">
      <c r="O17055" s="5" t="s">
        <v>355</v>
      </c>
      <c r="P17055" s="5" t="s">
        <v>355</v>
      </c>
      <c r="Q17055" s="5" t="s">
        <v>355</v>
      </c>
    </row>
    <row r="17056" ht="16.5" customHeight="1">
      <c r="O17056" s="5" t="s">
        <v>355</v>
      </c>
      <c r="P17056" s="5" t="s">
        <v>355</v>
      </c>
      <c r="Q17056" s="5" t="s">
        <v>355</v>
      </c>
    </row>
    <row r="17057" ht="16.5" customHeight="1">
      <c r="O17057" s="5" t="s">
        <v>355</v>
      </c>
      <c r="P17057" s="5" t="s">
        <v>355</v>
      </c>
      <c r="Q17057" s="5" t="s">
        <v>355</v>
      </c>
    </row>
    <row r="17058" ht="16.5" customHeight="1">
      <c r="O17058" s="5" t="s">
        <v>355</v>
      </c>
      <c r="P17058" s="5" t="s">
        <v>355</v>
      </c>
      <c r="Q17058" s="5" t="s">
        <v>355</v>
      </c>
    </row>
    <row r="17059" ht="16.5" customHeight="1">
      <c r="O17059" s="5" t="s">
        <v>355</v>
      </c>
      <c r="P17059" s="5" t="s">
        <v>355</v>
      </c>
      <c r="Q17059" s="5" t="s">
        <v>355</v>
      </c>
    </row>
    <row r="17060" ht="16.5" customHeight="1">
      <c r="O17060" s="5" t="s">
        <v>355</v>
      </c>
      <c r="P17060" s="5" t="s">
        <v>355</v>
      </c>
      <c r="Q17060" s="5" t="s">
        <v>355</v>
      </c>
    </row>
    <row r="17061" ht="16.5" customHeight="1">
      <c r="O17061" s="5" t="s">
        <v>355</v>
      </c>
      <c r="P17061" s="5" t="s">
        <v>355</v>
      </c>
      <c r="Q17061" s="5" t="s">
        <v>355</v>
      </c>
    </row>
    <row r="17062" ht="16.5" customHeight="1">
      <c r="O17062" s="5" t="s">
        <v>355</v>
      </c>
      <c r="P17062" s="5" t="s">
        <v>355</v>
      </c>
      <c r="Q17062" s="5" t="s">
        <v>355</v>
      </c>
    </row>
    <row r="17063" ht="16.5" customHeight="1">
      <c r="O17063" s="5" t="s">
        <v>355</v>
      </c>
      <c r="P17063" s="5" t="s">
        <v>355</v>
      </c>
      <c r="Q17063" s="5" t="s">
        <v>355</v>
      </c>
    </row>
    <row r="17064" ht="16.5" customHeight="1">
      <c r="O17064" s="5" t="s">
        <v>355</v>
      </c>
      <c r="P17064" s="5" t="s">
        <v>355</v>
      </c>
      <c r="Q17064" s="5" t="s">
        <v>355</v>
      </c>
    </row>
    <row r="17065" ht="16.5" customHeight="1">
      <c r="O17065" s="5" t="s">
        <v>355</v>
      </c>
      <c r="P17065" s="5" t="s">
        <v>355</v>
      </c>
      <c r="Q17065" s="5" t="s">
        <v>355</v>
      </c>
    </row>
    <row r="17066" ht="16.5" customHeight="1">
      <c r="O17066" s="5" t="s">
        <v>355</v>
      </c>
      <c r="P17066" s="5" t="s">
        <v>355</v>
      </c>
      <c r="Q17066" s="5" t="s">
        <v>355</v>
      </c>
    </row>
    <row r="17067" ht="16.5" customHeight="1">
      <c r="O17067" s="5" t="s">
        <v>355</v>
      </c>
      <c r="P17067" s="5" t="s">
        <v>355</v>
      </c>
      <c r="Q17067" s="5" t="s">
        <v>355</v>
      </c>
    </row>
    <row r="17068" ht="16.5" customHeight="1">
      <c r="O17068" s="5" t="s">
        <v>355</v>
      </c>
      <c r="P17068" s="5" t="s">
        <v>355</v>
      </c>
      <c r="Q17068" s="5" t="s">
        <v>355</v>
      </c>
    </row>
    <row r="17069" ht="16.5" customHeight="1">
      <c r="O17069" s="5" t="s">
        <v>355</v>
      </c>
      <c r="P17069" s="5" t="s">
        <v>355</v>
      </c>
      <c r="Q17069" s="5" t="s">
        <v>355</v>
      </c>
    </row>
    <row r="17070" ht="16.5" customHeight="1">
      <c r="O17070" s="5" t="s">
        <v>355</v>
      </c>
      <c r="P17070" s="5" t="s">
        <v>355</v>
      </c>
      <c r="Q17070" s="5" t="s">
        <v>355</v>
      </c>
    </row>
    <row r="17071" ht="16.5" customHeight="1">
      <c r="O17071" s="5" t="s">
        <v>355</v>
      </c>
      <c r="P17071" s="5" t="s">
        <v>355</v>
      </c>
      <c r="Q17071" s="5" t="s">
        <v>355</v>
      </c>
    </row>
    <row r="17072" ht="16.5" customHeight="1">
      <c r="O17072" s="5" t="s">
        <v>355</v>
      </c>
      <c r="P17072" s="5" t="s">
        <v>355</v>
      </c>
      <c r="Q17072" s="5" t="s">
        <v>355</v>
      </c>
    </row>
    <row r="17073" ht="16.5" customHeight="1">
      <c r="O17073" s="5" t="s">
        <v>355</v>
      </c>
      <c r="P17073" s="5" t="s">
        <v>355</v>
      </c>
      <c r="Q17073" s="5" t="s">
        <v>355</v>
      </c>
    </row>
    <row r="17074" ht="16.5" customHeight="1">
      <c r="O17074" s="5" t="s">
        <v>355</v>
      </c>
      <c r="P17074" s="5" t="s">
        <v>355</v>
      </c>
      <c r="Q17074" s="5" t="s">
        <v>355</v>
      </c>
    </row>
    <row r="17075" ht="16.5" customHeight="1">
      <c r="O17075" s="5" t="s">
        <v>355</v>
      </c>
      <c r="P17075" s="5" t="s">
        <v>355</v>
      </c>
      <c r="Q17075" s="5" t="s">
        <v>355</v>
      </c>
    </row>
    <row r="17076" ht="16.5" customHeight="1">
      <c r="O17076" s="5" t="s">
        <v>355</v>
      </c>
      <c r="P17076" s="5" t="s">
        <v>355</v>
      </c>
      <c r="Q17076" s="5" t="s">
        <v>355</v>
      </c>
    </row>
    <row r="17077" ht="16.5" customHeight="1">
      <c r="O17077" s="5" t="s">
        <v>355</v>
      </c>
      <c r="P17077" s="5" t="s">
        <v>355</v>
      </c>
      <c r="Q17077" s="5" t="s">
        <v>355</v>
      </c>
    </row>
    <row r="17078" ht="16.5" customHeight="1">
      <c r="O17078" s="5" t="s">
        <v>355</v>
      </c>
      <c r="P17078" s="5" t="s">
        <v>355</v>
      </c>
      <c r="Q17078" s="5" t="s">
        <v>355</v>
      </c>
    </row>
    <row r="17079" ht="16.5" customHeight="1">
      <c r="O17079" s="5" t="s">
        <v>355</v>
      </c>
      <c r="P17079" s="5" t="s">
        <v>355</v>
      </c>
      <c r="Q17079" s="5" t="s">
        <v>355</v>
      </c>
    </row>
    <row r="17080" ht="16.5" customHeight="1">
      <c r="O17080" s="5" t="s">
        <v>355</v>
      </c>
      <c r="P17080" s="5" t="s">
        <v>355</v>
      </c>
      <c r="Q17080" s="5" t="s">
        <v>355</v>
      </c>
    </row>
    <row r="17081" ht="16.5" customHeight="1">
      <c r="O17081" s="5" t="s">
        <v>355</v>
      </c>
      <c r="P17081" s="5" t="s">
        <v>355</v>
      </c>
      <c r="Q17081" s="5" t="s">
        <v>355</v>
      </c>
    </row>
    <row r="17082" ht="16.5" customHeight="1">
      <c r="O17082" s="5" t="s">
        <v>355</v>
      </c>
      <c r="P17082" s="5" t="s">
        <v>355</v>
      </c>
      <c r="Q17082" s="5" t="s">
        <v>355</v>
      </c>
    </row>
    <row r="17083" ht="16.5" customHeight="1">
      <c r="O17083" s="5" t="s">
        <v>355</v>
      </c>
      <c r="P17083" s="5" t="s">
        <v>355</v>
      </c>
      <c r="Q17083" s="5" t="s">
        <v>355</v>
      </c>
    </row>
    <row r="17084" ht="16.5" customHeight="1">
      <c r="O17084" s="5" t="s">
        <v>355</v>
      </c>
      <c r="P17084" s="5" t="s">
        <v>355</v>
      </c>
      <c r="Q17084" s="5" t="s">
        <v>355</v>
      </c>
    </row>
    <row r="17085" ht="16.5" customHeight="1">
      <c r="O17085" s="5" t="s">
        <v>355</v>
      </c>
      <c r="P17085" s="5" t="s">
        <v>355</v>
      </c>
      <c r="Q17085" s="5" t="s">
        <v>355</v>
      </c>
    </row>
    <row r="17086" ht="16.5" customHeight="1">
      <c r="O17086" s="5" t="s">
        <v>355</v>
      </c>
      <c r="P17086" s="5" t="s">
        <v>355</v>
      </c>
      <c r="Q17086" s="5" t="s">
        <v>355</v>
      </c>
    </row>
    <row r="17087" ht="16.5" customHeight="1">
      <c r="O17087" s="5" t="s">
        <v>355</v>
      </c>
      <c r="P17087" s="5" t="s">
        <v>355</v>
      </c>
      <c r="Q17087" s="5" t="s">
        <v>355</v>
      </c>
    </row>
    <row r="17088" ht="16.5" customHeight="1">
      <c r="O17088" s="5" t="s">
        <v>355</v>
      </c>
      <c r="P17088" s="5" t="s">
        <v>355</v>
      </c>
      <c r="Q17088" s="5" t="s">
        <v>355</v>
      </c>
    </row>
    <row r="17089" ht="16.5" customHeight="1">
      <c r="O17089" s="5" t="s">
        <v>355</v>
      </c>
      <c r="P17089" s="5" t="s">
        <v>355</v>
      </c>
      <c r="Q17089" s="5" t="s">
        <v>355</v>
      </c>
    </row>
    <row r="17090" ht="16.5" customHeight="1">
      <c r="O17090" s="5" t="s">
        <v>355</v>
      </c>
      <c r="P17090" s="5" t="s">
        <v>355</v>
      </c>
      <c r="Q17090" s="5" t="s">
        <v>355</v>
      </c>
    </row>
    <row r="17091" ht="16.5" customHeight="1">
      <c r="O17091" s="5" t="s">
        <v>355</v>
      </c>
      <c r="P17091" s="5" t="s">
        <v>355</v>
      </c>
      <c r="Q17091" s="5" t="s">
        <v>355</v>
      </c>
    </row>
    <row r="17092" ht="16.5" customHeight="1">
      <c r="O17092" s="5" t="s">
        <v>355</v>
      </c>
      <c r="P17092" s="5" t="s">
        <v>355</v>
      </c>
      <c r="Q17092" s="5" t="s">
        <v>355</v>
      </c>
    </row>
    <row r="17093" ht="16.5" customHeight="1">
      <c r="O17093" s="5" t="s">
        <v>355</v>
      </c>
      <c r="P17093" s="5" t="s">
        <v>355</v>
      </c>
      <c r="Q17093" s="5" t="s">
        <v>355</v>
      </c>
    </row>
    <row r="17094" ht="16.5" customHeight="1">
      <c r="O17094" s="5" t="s">
        <v>355</v>
      </c>
      <c r="P17094" s="5" t="s">
        <v>355</v>
      </c>
      <c r="Q17094" s="5" t="s">
        <v>355</v>
      </c>
    </row>
    <row r="17095" ht="16.5" customHeight="1">
      <c r="O17095" s="5" t="s">
        <v>355</v>
      </c>
      <c r="P17095" s="5" t="s">
        <v>355</v>
      </c>
      <c r="Q17095" s="5" t="s">
        <v>355</v>
      </c>
    </row>
    <row r="17096" ht="16.5" customHeight="1">
      <c r="O17096" s="5" t="s">
        <v>355</v>
      </c>
      <c r="P17096" s="5" t="s">
        <v>355</v>
      </c>
      <c r="Q17096" s="5" t="s">
        <v>355</v>
      </c>
    </row>
    <row r="17097" ht="16.5" customHeight="1">
      <c r="O17097" s="5" t="s">
        <v>355</v>
      </c>
      <c r="P17097" s="5" t="s">
        <v>355</v>
      </c>
      <c r="Q17097" s="5" t="s">
        <v>355</v>
      </c>
    </row>
    <row r="17098" ht="16.5" customHeight="1">
      <c r="O17098" s="5" t="s">
        <v>355</v>
      </c>
      <c r="P17098" s="5" t="s">
        <v>355</v>
      </c>
      <c r="Q17098" s="5" t="s">
        <v>355</v>
      </c>
    </row>
    <row r="17099" ht="16.5" customHeight="1">
      <c r="O17099" s="5" t="s">
        <v>355</v>
      </c>
      <c r="P17099" s="5" t="s">
        <v>355</v>
      </c>
      <c r="Q17099" s="5" t="s">
        <v>355</v>
      </c>
    </row>
    <row r="17100" ht="16.5" customHeight="1">
      <c r="O17100" s="5" t="s">
        <v>355</v>
      </c>
      <c r="P17100" s="5" t="s">
        <v>355</v>
      </c>
      <c r="Q17100" s="5" t="s">
        <v>355</v>
      </c>
    </row>
    <row r="17101" ht="16.5" customHeight="1">
      <c r="O17101" s="5" t="s">
        <v>355</v>
      </c>
      <c r="P17101" s="5" t="s">
        <v>355</v>
      </c>
      <c r="Q17101" s="5" t="s">
        <v>355</v>
      </c>
    </row>
    <row r="17102" ht="16.5" customHeight="1">
      <c r="O17102" s="5" t="s">
        <v>355</v>
      </c>
      <c r="P17102" s="5" t="s">
        <v>355</v>
      </c>
      <c r="Q17102" s="5" t="s">
        <v>355</v>
      </c>
    </row>
    <row r="17103" ht="16.5" customHeight="1">
      <c r="O17103" s="5" t="s">
        <v>355</v>
      </c>
      <c r="P17103" s="5" t="s">
        <v>355</v>
      </c>
      <c r="Q17103" s="5" t="s">
        <v>355</v>
      </c>
    </row>
    <row r="17104" ht="16.5" customHeight="1">
      <c r="O17104" s="5" t="s">
        <v>355</v>
      </c>
      <c r="P17104" s="5" t="s">
        <v>355</v>
      </c>
      <c r="Q17104" s="5" t="s">
        <v>355</v>
      </c>
    </row>
    <row r="17105" ht="16.5" customHeight="1">
      <c r="O17105" s="5" t="s">
        <v>355</v>
      </c>
      <c r="P17105" s="5" t="s">
        <v>355</v>
      </c>
      <c r="Q17105" s="5" t="s">
        <v>355</v>
      </c>
    </row>
    <row r="17106" ht="16.5" customHeight="1">
      <c r="O17106" s="5" t="s">
        <v>355</v>
      </c>
      <c r="P17106" s="5" t="s">
        <v>355</v>
      </c>
      <c r="Q17106" s="5" t="s">
        <v>355</v>
      </c>
    </row>
    <row r="17107" ht="16.5" customHeight="1">
      <c r="O17107" s="5" t="s">
        <v>355</v>
      </c>
      <c r="P17107" s="5" t="s">
        <v>355</v>
      </c>
      <c r="Q17107" s="5" t="s">
        <v>355</v>
      </c>
    </row>
    <row r="17108" ht="16.5" customHeight="1">
      <c r="O17108" s="5" t="s">
        <v>355</v>
      </c>
      <c r="P17108" s="5" t="s">
        <v>355</v>
      </c>
      <c r="Q17108" s="5" t="s">
        <v>355</v>
      </c>
    </row>
    <row r="17109" ht="16.5" customHeight="1">
      <c r="O17109" s="5" t="s">
        <v>355</v>
      </c>
      <c r="P17109" s="5" t="s">
        <v>355</v>
      </c>
      <c r="Q17109" s="5" t="s">
        <v>355</v>
      </c>
    </row>
    <row r="17110" ht="16.5" customHeight="1">
      <c r="O17110" s="5" t="s">
        <v>355</v>
      </c>
      <c r="P17110" s="5" t="s">
        <v>355</v>
      </c>
      <c r="Q17110" s="5" t="s">
        <v>355</v>
      </c>
    </row>
    <row r="17111" ht="16.5" customHeight="1">
      <c r="O17111" s="5" t="s">
        <v>355</v>
      </c>
      <c r="P17111" s="5" t="s">
        <v>355</v>
      </c>
      <c r="Q17111" s="5" t="s">
        <v>355</v>
      </c>
    </row>
    <row r="17112" ht="16.5" customHeight="1">
      <c r="O17112" s="5" t="s">
        <v>355</v>
      </c>
      <c r="P17112" s="5" t="s">
        <v>355</v>
      </c>
      <c r="Q17112" s="5" t="s">
        <v>355</v>
      </c>
    </row>
    <row r="17113" ht="16.5" customHeight="1">
      <c r="O17113" s="5" t="s">
        <v>355</v>
      </c>
      <c r="P17113" s="5" t="s">
        <v>355</v>
      </c>
      <c r="Q17113" s="5" t="s">
        <v>355</v>
      </c>
    </row>
    <row r="17114" ht="16.5" customHeight="1">
      <c r="O17114" s="5" t="s">
        <v>355</v>
      </c>
      <c r="P17114" s="5" t="s">
        <v>355</v>
      </c>
      <c r="Q17114" s="5" t="s">
        <v>355</v>
      </c>
    </row>
    <row r="17115" ht="16.5" customHeight="1">
      <c r="O17115" s="5" t="s">
        <v>355</v>
      </c>
      <c r="P17115" s="5" t="s">
        <v>355</v>
      </c>
      <c r="Q17115" s="5" t="s">
        <v>355</v>
      </c>
    </row>
    <row r="17116" ht="16.5" customHeight="1">
      <c r="O17116" s="5" t="s">
        <v>355</v>
      </c>
      <c r="P17116" s="5" t="s">
        <v>355</v>
      </c>
      <c r="Q17116" s="5" t="s">
        <v>355</v>
      </c>
    </row>
    <row r="17117" ht="16.5" customHeight="1">
      <c r="O17117" s="5" t="s">
        <v>355</v>
      </c>
      <c r="P17117" s="5" t="s">
        <v>355</v>
      </c>
      <c r="Q17117" s="5" t="s">
        <v>355</v>
      </c>
    </row>
    <row r="17118" ht="16.5" customHeight="1">
      <c r="O17118" s="5" t="s">
        <v>355</v>
      </c>
      <c r="P17118" s="5" t="s">
        <v>355</v>
      </c>
      <c r="Q17118" s="5" t="s">
        <v>355</v>
      </c>
    </row>
    <row r="17119" ht="16.5" customHeight="1">
      <c r="O17119" s="5" t="s">
        <v>355</v>
      </c>
      <c r="P17119" s="5" t="s">
        <v>355</v>
      </c>
      <c r="Q17119" s="5" t="s">
        <v>355</v>
      </c>
    </row>
    <row r="17120" ht="16.5" customHeight="1">
      <c r="O17120" s="5" t="s">
        <v>355</v>
      </c>
      <c r="P17120" s="5" t="s">
        <v>355</v>
      </c>
      <c r="Q17120" s="5" t="s">
        <v>355</v>
      </c>
    </row>
    <row r="17121" ht="16.5" customHeight="1">
      <c r="O17121" s="5" t="s">
        <v>355</v>
      </c>
      <c r="P17121" s="5" t="s">
        <v>355</v>
      </c>
      <c r="Q17121" s="5" t="s">
        <v>355</v>
      </c>
    </row>
    <row r="17122" ht="16.5" customHeight="1">
      <c r="O17122" s="5" t="s">
        <v>355</v>
      </c>
      <c r="P17122" s="5" t="s">
        <v>355</v>
      </c>
      <c r="Q17122" s="5" t="s">
        <v>355</v>
      </c>
    </row>
    <row r="17123" ht="16.5" customHeight="1">
      <c r="O17123" s="5" t="s">
        <v>355</v>
      </c>
      <c r="P17123" s="5" t="s">
        <v>355</v>
      </c>
      <c r="Q17123" s="5" t="s">
        <v>355</v>
      </c>
    </row>
    <row r="17124" ht="16.5" customHeight="1">
      <c r="O17124" s="5" t="s">
        <v>355</v>
      </c>
      <c r="P17124" s="5" t="s">
        <v>355</v>
      </c>
      <c r="Q17124" s="5" t="s">
        <v>355</v>
      </c>
    </row>
    <row r="17125" ht="16.5" customHeight="1">
      <c r="O17125" s="5" t="s">
        <v>355</v>
      </c>
      <c r="P17125" s="5" t="s">
        <v>355</v>
      </c>
      <c r="Q17125" s="5" t="s">
        <v>355</v>
      </c>
    </row>
    <row r="17126" ht="16.5" customHeight="1">
      <c r="O17126" s="5" t="s">
        <v>355</v>
      </c>
      <c r="P17126" s="5" t="s">
        <v>355</v>
      </c>
      <c r="Q17126" s="5" t="s">
        <v>355</v>
      </c>
    </row>
    <row r="17127" ht="16.5" customHeight="1">
      <c r="O17127" s="5" t="s">
        <v>355</v>
      </c>
      <c r="P17127" s="5" t="s">
        <v>355</v>
      </c>
      <c r="Q17127" s="5" t="s">
        <v>355</v>
      </c>
    </row>
    <row r="17128" ht="16.5" customHeight="1">
      <c r="O17128" s="5" t="s">
        <v>355</v>
      </c>
      <c r="P17128" s="5" t="s">
        <v>355</v>
      </c>
      <c r="Q17128" s="5" t="s">
        <v>355</v>
      </c>
    </row>
    <row r="17129" ht="16.5" customHeight="1">
      <c r="O17129" s="5" t="s">
        <v>355</v>
      </c>
      <c r="P17129" s="5" t="s">
        <v>355</v>
      </c>
      <c r="Q17129" s="5" t="s">
        <v>355</v>
      </c>
    </row>
    <row r="17130" ht="16.5" customHeight="1">
      <c r="O17130" s="5" t="s">
        <v>355</v>
      </c>
      <c r="P17130" s="5" t="s">
        <v>355</v>
      </c>
      <c r="Q17130" s="5" t="s">
        <v>355</v>
      </c>
    </row>
    <row r="17131" ht="16.5" customHeight="1">
      <c r="O17131" s="5" t="s">
        <v>355</v>
      </c>
      <c r="P17131" s="5" t="s">
        <v>355</v>
      </c>
      <c r="Q17131" s="5" t="s">
        <v>355</v>
      </c>
    </row>
    <row r="17132" ht="16.5" customHeight="1">
      <c r="O17132" s="5" t="s">
        <v>355</v>
      </c>
      <c r="P17132" s="5" t="s">
        <v>355</v>
      </c>
      <c r="Q17132" s="5" t="s">
        <v>355</v>
      </c>
    </row>
    <row r="17133" ht="16.5" customHeight="1">
      <c r="O17133" s="5" t="s">
        <v>355</v>
      </c>
      <c r="P17133" s="5" t="s">
        <v>355</v>
      </c>
      <c r="Q17133" s="5" t="s">
        <v>355</v>
      </c>
    </row>
    <row r="17134" ht="16.5" customHeight="1">
      <c r="O17134" s="5" t="s">
        <v>355</v>
      </c>
      <c r="P17134" s="5" t="s">
        <v>355</v>
      </c>
      <c r="Q17134" s="5" t="s">
        <v>355</v>
      </c>
    </row>
    <row r="17135" ht="16.5" customHeight="1">
      <c r="O17135" s="5" t="s">
        <v>355</v>
      </c>
      <c r="P17135" s="5" t="s">
        <v>355</v>
      </c>
      <c r="Q17135" s="5" t="s">
        <v>355</v>
      </c>
    </row>
    <row r="17136" ht="16.5" customHeight="1">
      <c r="O17136" s="5" t="s">
        <v>355</v>
      </c>
      <c r="P17136" s="5" t="s">
        <v>355</v>
      </c>
      <c r="Q17136" s="5" t="s">
        <v>355</v>
      </c>
    </row>
    <row r="17137" ht="16.5" customHeight="1">
      <c r="O17137" s="5" t="s">
        <v>355</v>
      </c>
      <c r="P17137" s="5" t="s">
        <v>355</v>
      </c>
      <c r="Q17137" s="5" t="s">
        <v>355</v>
      </c>
    </row>
    <row r="17138" ht="16.5" customHeight="1">
      <c r="O17138" s="5" t="s">
        <v>355</v>
      </c>
      <c r="P17138" s="5" t="s">
        <v>355</v>
      </c>
      <c r="Q17138" s="5" t="s">
        <v>355</v>
      </c>
    </row>
    <row r="17139" ht="16.5" customHeight="1">
      <c r="O17139" s="5" t="s">
        <v>355</v>
      </c>
      <c r="P17139" s="5" t="s">
        <v>355</v>
      </c>
      <c r="Q17139" s="5" t="s">
        <v>355</v>
      </c>
    </row>
    <row r="17140" ht="16.5" customHeight="1">
      <c r="O17140" s="5" t="s">
        <v>355</v>
      </c>
      <c r="P17140" s="5" t="s">
        <v>355</v>
      </c>
      <c r="Q17140" s="5" t="s">
        <v>355</v>
      </c>
    </row>
    <row r="17141" ht="16.5" customHeight="1">
      <c r="O17141" s="5" t="s">
        <v>355</v>
      </c>
      <c r="P17141" s="5" t="s">
        <v>355</v>
      </c>
      <c r="Q17141" s="5" t="s">
        <v>355</v>
      </c>
    </row>
    <row r="17142" ht="16.5" customHeight="1">
      <c r="O17142" s="5" t="s">
        <v>355</v>
      </c>
      <c r="P17142" s="5" t="s">
        <v>355</v>
      </c>
      <c r="Q17142" s="5" t="s">
        <v>355</v>
      </c>
    </row>
    <row r="17143" ht="16.5" customHeight="1">
      <c r="O17143" s="5" t="s">
        <v>355</v>
      </c>
      <c r="P17143" s="5" t="s">
        <v>355</v>
      </c>
      <c r="Q17143" s="5" t="s">
        <v>355</v>
      </c>
    </row>
    <row r="17144" ht="16.5" customHeight="1">
      <c r="O17144" s="5" t="s">
        <v>355</v>
      </c>
      <c r="P17144" s="5" t="s">
        <v>355</v>
      </c>
      <c r="Q17144" s="5" t="s">
        <v>355</v>
      </c>
    </row>
    <row r="17145" ht="16.5" customHeight="1">
      <c r="O17145" s="5" t="s">
        <v>355</v>
      </c>
      <c r="P17145" s="5" t="s">
        <v>355</v>
      </c>
      <c r="Q17145" s="5" t="s">
        <v>355</v>
      </c>
    </row>
    <row r="17146" ht="16.5" customHeight="1">
      <c r="O17146" s="5" t="s">
        <v>355</v>
      </c>
      <c r="P17146" s="5" t="s">
        <v>355</v>
      </c>
      <c r="Q17146" s="5" t="s">
        <v>355</v>
      </c>
    </row>
    <row r="17147" ht="16.5" customHeight="1">
      <c r="O17147" s="5" t="s">
        <v>355</v>
      </c>
      <c r="P17147" s="5" t="s">
        <v>355</v>
      </c>
      <c r="Q17147" s="5" t="s">
        <v>355</v>
      </c>
    </row>
    <row r="17148" ht="16.5" customHeight="1">
      <c r="O17148" s="5" t="s">
        <v>355</v>
      </c>
      <c r="P17148" s="5" t="s">
        <v>355</v>
      </c>
      <c r="Q17148" s="5" t="s">
        <v>355</v>
      </c>
    </row>
    <row r="17149" ht="16.5" customHeight="1">
      <c r="O17149" s="5" t="s">
        <v>355</v>
      </c>
      <c r="P17149" s="5" t="s">
        <v>355</v>
      </c>
      <c r="Q17149" s="5" t="s">
        <v>355</v>
      </c>
    </row>
    <row r="17150" ht="16.5" customHeight="1">
      <c r="O17150" s="5" t="s">
        <v>355</v>
      </c>
      <c r="P17150" s="5" t="s">
        <v>355</v>
      </c>
      <c r="Q17150" s="5" t="s">
        <v>355</v>
      </c>
    </row>
    <row r="17151" ht="16.5" customHeight="1">
      <c r="O17151" s="5" t="s">
        <v>355</v>
      </c>
      <c r="P17151" s="5" t="s">
        <v>355</v>
      </c>
      <c r="Q17151" s="5" t="s">
        <v>355</v>
      </c>
    </row>
    <row r="17152" ht="16.5" customHeight="1">
      <c r="O17152" s="5" t="s">
        <v>355</v>
      </c>
      <c r="P17152" s="5" t="s">
        <v>355</v>
      </c>
      <c r="Q17152" s="5" t="s">
        <v>355</v>
      </c>
    </row>
    <row r="17153" ht="16.5" customHeight="1">
      <c r="O17153" s="5" t="s">
        <v>355</v>
      </c>
      <c r="P17153" s="5" t="s">
        <v>355</v>
      </c>
      <c r="Q17153" s="5" t="s">
        <v>355</v>
      </c>
    </row>
    <row r="17154" ht="16.5" customHeight="1">
      <c r="O17154" s="5" t="s">
        <v>355</v>
      </c>
      <c r="P17154" s="5" t="s">
        <v>355</v>
      </c>
      <c r="Q17154" s="5" t="s">
        <v>355</v>
      </c>
    </row>
    <row r="17155" ht="16.5" customHeight="1">
      <c r="O17155" s="5" t="s">
        <v>355</v>
      </c>
      <c r="P17155" s="5" t="s">
        <v>355</v>
      </c>
      <c r="Q17155" s="5" t="s">
        <v>355</v>
      </c>
    </row>
    <row r="17156" ht="16.5" customHeight="1">
      <c r="O17156" s="5" t="s">
        <v>355</v>
      </c>
      <c r="P17156" s="5" t="s">
        <v>355</v>
      </c>
      <c r="Q17156" s="5" t="s">
        <v>355</v>
      </c>
    </row>
    <row r="17157" ht="16.5" customHeight="1">
      <c r="O17157" s="5" t="s">
        <v>355</v>
      </c>
      <c r="P17157" s="5" t="s">
        <v>355</v>
      </c>
      <c r="Q17157" s="5" t="s">
        <v>355</v>
      </c>
    </row>
    <row r="17158" ht="16.5" customHeight="1">
      <c r="O17158" s="5" t="s">
        <v>355</v>
      </c>
      <c r="P17158" s="5" t="s">
        <v>355</v>
      </c>
      <c r="Q17158" s="5" t="s">
        <v>355</v>
      </c>
    </row>
    <row r="17159" ht="16.5" customHeight="1">
      <c r="O17159" s="5" t="s">
        <v>355</v>
      </c>
      <c r="P17159" s="5" t="s">
        <v>355</v>
      </c>
      <c r="Q17159" s="5" t="s">
        <v>355</v>
      </c>
    </row>
    <row r="17160" ht="16.5" customHeight="1">
      <c r="O17160" s="5" t="s">
        <v>355</v>
      </c>
      <c r="P17160" s="5" t="s">
        <v>355</v>
      </c>
      <c r="Q17160" s="5" t="s">
        <v>355</v>
      </c>
    </row>
    <row r="17161" ht="16.5" customHeight="1">
      <c r="O17161" s="5" t="s">
        <v>355</v>
      </c>
      <c r="P17161" s="5" t="s">
        <v>355</v>
      </c>
      <c r="Q17161" s="5" t="s">
        <v>355</v>
      </c>
    </row>
    <row r="17162" ht="16.5" customHeight="1">
      <c r="O17162" s="5" t="s">
        <v>355</v>
      </c>
      <c r="P17162" s="5" t="s">
        <v>355</v>
      </c>
      <c r="Q17162" s="5" t="s">
        <v>355</v>
      </c>
    </row>
    <row r="17163" ht="16.5" customHeight="1">
      <c r="O17163" s="5" t="s">
        <v>355</v>
      </c>
      <c r="P17163" s="5" t="s">
        <v>355</v>
      </c>
      <c r="Q17163" s="5" t="s">
        <v>355</v>
      </c>
    </row>
    <row r="17164" ht="16.5" customHeight="1">
      <c r="O17164" s="5" t="s">
        <v>355</v>
      </c>
      <c r="P17164" s="5" t="s">
        <v>355</v>
      </c>
      <c r="Q17164" s="5" t="s">
        <v>355</v>
      </c>
    </row>
    <row r="17165" ht="16.5" customHeight="1">
      <c r="O17165" s="5" t="s">
        <v>355</v>
      </c>
      <c r="P17165" s="5" t="s">
        <v>355</v>
      </c>
      <c r="Q17165" s="5" t="s">
        <v>355</v>
      </c>
    </row>
    <row r="17166" ht="16.5" customHeight="1">
      <c r="O17166" s="5" t="s">
        <v>355</v>
      </c>
      <c r="P17166" s="5" t="s">
        <v>355</v>
      </c>
      <c r="Q17166" s="5" t="s">
        <v>355</v>
      </c>
    </row>
    <row r="17167" ht="16.5" customHeight="1">
      <c r="O17167" s="5" t="s">
        <v>355</v>
      </c>
      <c r="P17167" s="5" t="s">
        <v>355</v>
      </c>
      <c r="Q17167" s="5" t="s">
        <v>355</v>
      </c>
    </row>
    <row r="17168" ht="16.5" customHeight="1">
      <c r="O17168" s="5" t="s">
        <v>355</v>
      </c>
      <c r="P17168" s="5" t="s">
        <v>355</v>
      </c>
      <c r="Q17168" s="5" t="s">
        <v>355</v>
      </c>
    </row>
    <row r="17169" ht="16.5" customHeight="1">
      <c r="O17169" s="5" t="s">
        <v>355</v>
      </c>
      <c r="P17169" s="5" t="s">
        <v>355</v>
      </c>
      <c r="Q17169" s="5" t="s">
        <v>355</v>
      </c>
    </row>
    <row r="17170" ht="16.5" customHeight="1">
      <c r="O17170" s="5" t="s">
        <v>355</v>
      </c>
      <c r="P17170" s="5" t="s">
        <v>355</v>
      </c>
      <c r="Q17170" s="5" t="s">
        <v>355</v>
      </c>
    </row>
    <row r="17171" ht="16.5" customHeight="1">
      <c r="O17171" s="5" t="s">
        <v>355</v>
      </c>
      <c r="P17171" s="5" t="s">
        <v>355</v>
      </c>
      <c r="Q17171" s="5" t="s">
        <v>355</v>
      </c>
    </row>
    <row r="17172" ht="16.5" customHeight="1">
      <c r="O17172" s="5" t="s">
        <v>355</v>
      </c>
      <c r="P17172" s="5" t="s">
        <v>355</v>
      </c>
      <c r="Q17172" s="5" t="s">
        <v>355</v>
      </c>
    </row>
    <row r="17173" ht="16.5" customHeight="1">
      <c r="O17173" s="5" t="s">
        <v>355</v>
      </c>
      <c r="P17173" s="5" t="s">
        <v>355</v>
      </c>
      <c r="Q17173" s="5" t="s">
        <v>355</v>
      </c>
    </row>
    <row r="17174" ht="16.5" customHeight="1">
      <c r="O17174" s="5" t="s">
        <v>355</v>
      </c>
      <c r="P17174" s="5" t="s">
        <v>355</v>
      </c>
      <c r="Q17174" s="5" t="s">
        <v>355</v>
      </c>
    </row>
    <row r="17175" ht="16.5" customHeight="1">
      <c r="O17175" s="5" t="s">
        <v>355</v>
      </c>
      <c r="P17175" s="5" t="s">
        <v>355</v>
      </c>
      <c r="Q17175" s="5" t="s">
        <v>355</v>
      </c>
    </row>
    <row r="17176" ht="16.5" customHeight="1">
      <c r="O17176" s="5" t="s">
        <v>355</v>
      </c>
      <c r="P17176" s="5" t="s">
        <v>355</v>
      </c>
      <c r="Q17176" s="5" t="s">
        <v>355</v>
      </c>
    </row>
    <row r="17177" ht="16.5" customHeight="1">
      <c r="O17177" s="5" t="s">
        <v>355</v>
      </c>
      <c r="P17177" s="5" t="s">
        <v>355</v>
      </c>
      <c r="Q17177" s="5" t="s">
        <v>355</v>
      </c>
    </row>
    <row r="17178" ht="16.5" customHeight="1">
      <c r="O17178" s="5" t="s">
        <v>355</v>
      </c>
      <c r="P17178" s="5" t="s">
        <v>355</v>
      </c>
      <c r="Q17178" s="5" t="s">
        <v>355</v>
      </c>
    </row>
    <row r="17179" ht="16.5" customHeight="1">
      <c r="O17179" s="5" t="s">
        <v>355</v>
      </c>
      <c r="P17179" s="5" t="s">
        <v>355</v>
      </c>
      <c r="Q17179" s="5" t="s">
        <v>355</v>
      </c>
    </row>
    <row r="17180" ht="16.5" customHeight="1">
      <c r="O17180" s="5" t="s">
        <v>355</v>
      </c>
      <c r="P17180" s="5" t="s">
        <v>355</v>
      </c>
      <c r="Q17180" s="5" t="s">
        <v>355</v>
      </c>
    </row>
    <row r="17181" ht="16.5" customHeight="1">
      <c r="O17181" s="5" t="s">
        <v>355</v>
      </c>
      <c r="P17181" s="5" t="s">
        <v>355</v>
      </c>
      <c r="Q17181" s="5" t="s">
        <v>355</v>
      </c>
    </row>
    <row r="17182" ht="16.5" customHeight="1">
      <c r="O17182" s="5" t="s">
        <v>355</v>
      </c>
      <c r="P17182" s="5" t="s">
        <v>355</v>
      </c>
      <c r="Q17182" s="5" t="s">
        <v>355</v>
      </c>
    </row>
    <row r="17183" ht="16.5" customHeight="1">
      <c r="O17183" s="5" t="s">
        <v>355</v>
      </c>
      <c r="P17183" s="5" t="s">
        <v>355</v>
      </c>
      <c r="Q17183" s="5" t="s">
        <v>355</v>
      </c>
    </row>
    <row r="17184" ht="16.5" customHeight="1">
      <c r="O17184" s="5" t="s">
        <v>355</v>
      </c>
      <c r="P17184" s="5" t="s">
        <v>355</v>
      </c>
      <c r="Q17184" s="5" t="s">
        <v>355</v>
      </c>
    </row>
    <row r="17185" ht="16.5" customHeight="1">
      <c r="O17185" s="5" t="s">
        <v>355</v>
      </c>
      <c r="P17185" s="5" t="s">
        <v>355</v>
      </c>
      <c r="Q17185" s="5" t="s">
        <v>355</v>
      </c>
    </row>
    <row r="17186" ht="16.5" customHeight="1">
      <c r="O17186" s="5" t="s">
        <v>355</v>
      </c>
      <c r="P17186" s="5" t="s">
        <v>355</v>
      </c>
      <c r="Q17186" s="5" t="s">
        <v>355</v>
      </c>
    </row>
    <row r="17187" ht="16.5" customHeight="1">
      <c r="O17187" s="5" t="s">
        <v>355</v>
      </c>
      <c r="P17187" s="5" t="s">
        <v>355</v>
      </c>
      <c r="Q17187" s="5" t="s">
        <v>355</v>
      </c>
    </row>
    <row r="17188" ht="16.5" customHeight="1">
      <c r="O17188" s="5" t="s">
        <v>355</v>
      </c>
      <c r="P17188" s="5" t="s">
        <v>355</v>
      </c>
      <c r="Q17188" s="5" t="s">
        <v>355</v>
      </c>
    </row>
    <row r="17189" ht="16.5" customHeight="1">
      <c r="O17189" s="5" t="s">
        <v>355</v>
      </c>
      <c r="P17189" s="5" t="s">
        <v>355</v>
      </c>
      <c r="Q17189" s="5" t="s">
        <v>355</v>
      </c>
    </row>
    <row r="17190" ht="16.5" customHeight="1">
      <c r="O17190" s="5" t="s">
        <v>355</v>
      </c>
      <c r="P17190" s="5" t="s">
        <v>355</v>
      </c>
      <c r="Q17190" s="5" t="s">
        <v>355</v>
      </c>
    </row>
    <row r="17191" ht="16.5" customHeight="1">
      <c r="O17191" s="5" t="s">
        <v>355</v>
      </c>
      <c r="P17191" s="5" t="s">
        <v>355</v>
      </c>
      <c r="Q17191" s="5" t="s">
        <v>355</v>
      </c>
    </row>
    <row r="17192" ht="16.5" customHeight="1">
      <c r="O17192" s="5" t="s">
        <v>355</v>
      </c>
      <c r="P17192" s="5" t="s">
        <v>355</v>
      </c>
      <c r="Q17192" s="5" t="s">
        <v>355</v>
      </c>
    </row>
    <row r="17193" ht="16.5" customHeight="1">
      <c r="O17193" s="5" t="s">
        <v>355</v>
      </c>
      <c r="P17193" s="5" t="s">
        <v>355</v>
      </c>
      <c r="Q17193" s="5" t="s">
        <v>355</v>
      </c>
    </row>
    <row r="17194" ht="16.5" customHeight="1">
      <c r="O17194" s="5" t="s">
        <v>355</v>
      </c>
      <c r="P17194" s="5" t="s">
        <v>355</v>
      </c>
      <c r="Q17194" s="5" t="s">
        <v>355</v>
      </c>
    </row>
    <row r="17195" ht="16.5" customHeight="1">
      <c r="O17195" s="5" t="s">
        <v>355</v>
      </c>
      <c r="P17195" s="5" t="s">
        <v>355</v>
      </c>
      <c r="Q17195" s="5" t="s">
        <v>355</v>
      </c>
    </row>
    <row r="17196" ht="16.5" customHeight="1">
      <c r="O17196" s="5" t="s">
        <v>355</v>
      </c>
      <c r="P17196" s="5" t="s">
        <v>355</v>
      </c>
      <c r="Q17196" s="5" t="s">
        <v>355</v>
      </c>
    </row>
    <row r="17197" ht="16.5" customHeight="1">
      <c r="O17197" s="5" t="s">
        <v>355</v>
      </c>
      <c r="P17197" s="5" t="s">
        <v>355</v>
      </c>
      <c r="Q17197" s="5" t="s">
        <v>355</v>
      </c>
    </row>
    <row r="17198" ht="16.5" customHeight="1">
      <c r="O17198" s="5" t="s">
        <v>355</v>
      </c>
      <c r="P17198" s="5" t="s">
        <v>355</v>
      </c>
      <c r="Q17198" s="5" t="s">
        <v>355</v>
      </c>
    </row>
    <row r="17199" ht="16.5" customHeight="1">
      <c r="O17199" s="5" t="s">
        <v>355</v>
      </c>
      <c r="P17199" s="5" t="s">
        <v>355</v>
      </c>
      <c r="Q17199" s="5" t="s">
        <v>355</v>
      </c>
    </row>
    <row r="17200" ht="16.5" customHeight="1">
      <c r="O17200" s="5" t="s">
        <v>355</v>
      </c>
      <c r="P17200" s="5" t="s">
        <v>355</v>
      </c>
      <c r="Q17200" s="5" t="s">
        <v>355</v>
      </c>
    </row>
    <row r="17201" ht="16.5" customHeight="1">
      <c r="O17201" s="5" t="s">
        <v>355</v>
      </c>
      <c r="P17201" s="5" t="s">
        <v>355</v>
      </c>
      <c r="Q17201" s="5" t="s">
        <v>355</v>
      </c>
    </row>
    <row r="17202" ht="16.5" customHeight="1">
      <c r="O17202" s="5" t="s">
        <v>355</v>
      </c>
      <c r="P17202" s="5" t="s">
        <v>355</v>
      </c>
      <c r="Q17202" s="5" t="s">
        <v>355</v>
      </c>
    </row>
    <row r="17203" ht="16.5" customHeight="1">
      <c r="O17203" s="5" t="s">
        <v>355</v>
      </c>
      <c r="P17203" s="5" t="s">
        <v>355</v>
      </c>
      <c r="Q17203" s="5" t="s">
        <v>355</v>
      </c>
    </row>
    <row r="17204" ht="16.5" customHeight="1">
      <c r="O17204" s="5" t="s">
        <v>355</v>
      </c>
      <c r="P17204" s="5" t="s">
        <v>355</v>
      </c>
      <c r="Q17204" s="5" t="s">
        <v>355</v>
      </c>
    </row>
    <row r="17205" ht="16.5" customHeight="1">
      <c r="O17205" s="5" t="s">
        <v>355</v>
      </c>
      <c r="P17205" s="5" t="s">
        <v>355</v>
      </c>
      <c r="Q17205" s="5" t="s">
        <v>355</v>
      </c>
    </row>
    <row r="17206" ht="16.5" customHeight="1">
      <c r="O17206" s="5" t="s">
        <v>355</v>
      </c>
      <c r="P17206" s="5" t="s">
        <v>355</v>
      </c>
      <c r="Q17206" s="5" t="s">
        <v>355</v>
      </c>
    </row>
    <row r="17207" ht="16.5" customHeight="1">
      <c r="O17207" s="5" t="s">
        <v>355</v>
      </c>
      <c r="P17207" s="5" t="s">
        <v>355</v>
      </c>
      <c r="Q17207" s="5" t="s">
        <v>355</v>
      </c>
    </row>
    <row r="17208" ht="16.5" customHeight="1">
      <c r="O17208" s="5" t="s">
        <v>355</v>
      </c>
      <c r="P17208" s="5" t="s">
        <v>355</v>
      </c>
      <c r="Q17208" s="5" t="s">
        <v>355</v>
      </c>
    </row>
    <row r="17209" ht="16.5" customHeight="1">
      <c r="O17209" s="5" t="s">
        <v>355</v>
      </c>
      <c r="P17209" s="5" t="s">
        <v>355</v>
      </c>
      <c r="Q17209" s="5" t="s">
        <v>355</v>
      </c>
    </row>
    <row r="17210" ht="16.5" customHeight="1">
      <c r="O17210" s="5" t="s">
        <v>355</v>
      </c>
      <c r="P17210" s="5" t="s">
        <v>355</v>
      </c>
      <c r="Q17210" s="5" t="s">
        <v>355</v>
      </c>
    </row>
    <row r="17211" ht="16.5" customHeight="1">
      <c r="O17211" s="5" t="s">
        <v>355</v>
      </c>
      <c r="P17211" s="5" t="s">
        <v>355</v>
      </c>
      <c r="Q17211" s="5" t="s">
        <v>355</v>
      </c>
    </row>
    <row r="17212" ht="16.5" customHeight="1">
      <c r="O17212" s="5" t="s">
        <v>355</v>
      </c>
      <c r="P17212" s="5" t="s">
        <v>355</v>
      </c>
      <c r="Q17212" s="5" t="s">
        <v>355</v>
      </c>
    </row>
    <row r="17213" ht="16.5" customHeight="1">
      <c r="O17213" s="5" t="s">
        <v>355</v>
      </c>
      <c r="P17213" s="5" t="s">
        <v>355</v>
      </c>
      <c r="Q17213" s="5" t="s">
        <v>355</v>
      </c>
    </row>
    <row r="17214" ht="16.5" customHeight="1">
      <c r="O17214" s="5" t="s">
        <v>355</v>
      </c>
      <c r="P17214" s="5" t="s">
        <v>355</v>
      </c>
      <c r="Q17214" s="5" t="s">
        <v>355</v>
      </c>
    </row>
    <row r="17215" ht="16.5" customHeight="1">
      <c r="O17215" s="5" t="s">
        <v>355</v>
      </c>
      <c r="P17215" s="5" t="s">
        <v>355</v>
      </c>
      <c r="Q17215" s="5" t="s">
        <v>355</v>
      </c>
    </row>
    <row r="17216" ht="16.5" customHeight="1">
      <c r="O17216" s="5" t="s">
        <v>355</v>
      </c>
      <c r="P17216" s="5" t="s">
        <v>355</v>
      </c>
      <c r="Q17216" s="5" t="s">
        <v>355</v>
      </c>
    </row>
    <row r="17217" ht="16.5" customHeight="1">
      <c r="O17217" s="5" t="s">
        <v>355</v>
      </c>
      <c r="P17217" s="5" t="s">
        <v>355</v>
      </c>
      <c r="Q17217" s="5" t="s">
        <v>355</v>
      </c>
    </row>
    <row r="17218" ht="16.5" customHeight="1">
      <c r="O17218" s="5" t="s">
        <v>355</v>
      </c>
      <c r="P17218" s="5" t="s">
        <v>355</v>
      </c>
      <c r="Q17218" s="5" t="s">
        <v>355</v>
      </c>
    </row>
    <row r="17219" ht="16.5" customHeight="1">
      <c r="O17219" s="5" t="s">
        <v>355</v>
      </c>
      <c r="P17219" s="5" t="s">
        <v>355</v>
      </c>
      <c r="Q17219" s="5" t="s">
        <v>355</v>
      </c>
    </row>
    <row r="17220" ht="16.5" customHeight="1">
      <c r="O17220" s="5" t="s">
        <v>355</v>
      </c>
      <c r="P17220" s="5" t="s">
        <v>355</v>
      </c>
      <c r="Q17220" s="5" t="s">
        <v>355</v>
      </c>
    </row>
    <row r="17221" ht="16.5" customHeight="1">
      <c r="O17221" s="5" t="s">
        <v>355</v>
      </c>
      <c r="P17221" s="5" t="s">
        <v>355</v>
      </c>
      <c r="Q17221" s="5" t="s">
        <v>355</v>
      </c>
    </row>
    <row r="17222" ht="16.5" customHeight="1">
      <c r="O17222" s="5" t="s">
        <v>355</v>
      </c>
      <c r="P17222" s="5" t="s">
        <v>355</v>
      </c>
      <c r="Q17222" s="5" t="s">
        <v>355</v>
      </c>
    </row>
    <row r="17223" ht="16.5" customHeight="1">
      <c r="O17223" s="5" t="s">
        <v>355</v>
      </c>
      <c r="P17223" s="5" t="s">
        <v>355</v>
      </c>
      <c r="Q17223" s="5" t="s">
        <v>355</v>
      </c>
    </row>
    <row r="17224" ht="16.5" customHeight="1">
      <c r="O17224" s="5" t="s">
        <v>355</v>
      </c>
      <c r="P17224" s="5" t="s">
        <v>355</v>
      </c>
      <c r="Q17224" s="5" t="s">
        <v>355</v>
      </c>
    </row>
    <row r="17225" ht="16.5" customHeight="1">
      <c r="O17225" s="5" t="s">
        <v>355</v>
      </c>
      <c r="P17225" s="5" t="s">
        <v>355</v>
      </c>
      <c r="Q17225" s="5" t="s">
        <v>355</v>
      </c>
    </row>
    <row r="17226" ht="16.5" customHeight="1">
      <c r="O17226" s="5" t="s">
        <v>355</v>
      </c>
      <c r="P17226" s="5" t="s">
        <v>355</v>
      </c>
      <c r="Q17226" s="5" t="s">
        <v>355</v>
      </c>
    </row>
    <row r="17227" ht="16.5" customHeight="1">
      <c r="O17227" s="5" t="s">
        <v>355</v>
      </c>
      <c r="P17227" s="5" t="s">
        <v>355</v>
      </c>
      <c r="Q17227" s="5" t="s">
        <v>355</v>
      </c>
    </row>
    <row r="17228" ht="16.5" customHeight="1">
      <c r="O17228" s="5" t="s">
        <v>355</v>
      </c>
      <c r="P17228" s="5" t="s">
        <v>355</v>
      </c>
      <c r="Q17228" s="5" t="s">
        <v>355</v>
      </c>
    </row>
    <row r="17229" ht="16.5" customHeight="1">
      <c r="O17229" s="5" t="s">
        <v>355</v>
      </c>
      <c r="P17229" s="5" t="s">
        <v>355</v>
      </c>
      <c r="Q17229" s="5" t="s">
        <v>355</v>
      </c>
    </row>
    <row r="17230" ht="16.5" customHeight="1">
      <c r="O17230" s="5" t="s">
        <v>355</v>
      </c>
      <c r="P17230" s="5" t="s">
        <v>355</v>
      </c>
      <c r="Q17230" s="5" t="s">
        <v>355</v>
      </c>
    </row>
    <row r="17231" ht="16.5" customHeight="1">
      <c r="O17231" s="5" t="s">
        <v>355</v>
      </c>
      <c r="P17231" s="5" t="s">
        <v>355</v>
      </c>
      <c r="Q17231" s="5" t="s">
        <v>355</v>
      </c>
    </row>
    <row r="17232" ht="16.5" customHeight="1">
      <c r="O17232" s="5" t="s">
        <v>355</v>
      </c>
      <c r="P17232" s="5" t="s">
        <v>355</v>
      </c>
      <c r="Q17232" s="5" t="s">
        <v>355</v>
      </c>
    </row>
    <row r="17233" ht="16.5" customHeight="1">
      <c r="O17233" s="5" t="s">
        <v>355</v>
      </c>
      <c r="P17233" s="5" t="s">
        <v>355</v>
      </c>
      <c r="Q17233" s="5" t="s">
        <v>355</v>
      </c>
    </row>
    <row r="17234" ht="16.5" customHeight="1">
      <c r="O17234" s="5" t="s">
        <v>355</v>
      </c>
      <c r="P17234" s="5" t="s">
        <v>355</v>
      </c>
      <c r="Q17234" s="5" t="s">
        <v>355</v>
      </c>
    </row>
    <row r="17235" ht="16.5" customHeight="1">
      <c r="O17235" s="5" t="s">
        <v>355</v>
      </c>
      <c r="P17235" s="5" t="s">
        <v>355</v>
      </c>
      <c r="Q17235" s="5" t="s">
        <v>355</v>
      </c>
    </row>
    <row r="17236" ht="16.5" customHeight="1">
      <c r="O17236" s="5" t="s">
        <v>355</v>
      </c>
      <c r="P17236" s="5" t="s">
        <v>355</v>
      </c>
      <c r="Q17236" s="5" t="s">
        <v>355</v>
      </c>
    </row>
    <row r="17237" ht="16.5" customHeight="1">
      <c r="O17237" s="5" t="s">
        <v>355</v>
      </c>
      <c r="P17237" s="5" t="s">
        <v>355</v>
      </c>
      <c r="Q17237" s="5" t="s">
        <v>355</v>
      </c>
    </row>
    <row r="17238" ht="16.5" customHeight="1">
      <c r="O17238" s="5" t="s">
        <v>355</v>
      </c>
      <c r="P17238" s="5" t="s">
        <v>355</v>
      </c>
      <c r="Q17238" s="5" t="s">
        <v>355</v>
      </c>
    </row>
    <row r="17239" ht="16.5" customHeight="1">
      <c r="O17239" s="5" t="s">
        <v>355</v>
      </c>
      <c r="P17239" s="5" t="s">
        <v>355</v>
      </c>
      <c r="Q17239" s="5" t="s">
        <v>355</v>
      </c>
    </row>
    <row r="17240" ht="16.5" customHeight="1">
      <c r="O17240" s="5" t="s">
        <v>355</v>
      </c>
      <c r="P17240" s="5" t="s">
        <v>355</v>
      </c>
      <c r="Q17240" s="5" t="s">
        <v>355</v>
      </c>
    </row>
    <row r="17241" ht="16.5" customHeight="1">
      <c r="O17241" s="5" t="s">
        <v>355</v>
      </c>
      <c r="P17241" s="5" t="s">
        <v>355</v>
      </c>
      <c r="Q17241" s="5" t="s">
        <v>355</v>
      </c>
    </row>
    <row r="17242" ht="16.5" customHeight="1">
      <c r="O17242" s="5" t="s">
        <v>355</v>
      </c>
      <c r="P17242" s="5" t="s">
        <v>355</v>
      </c>
      <c r="Q17242" s="5" t="s">
        <v>355</v>
      </c>
    </row>
    <row r="17243" ht="16.5" customHeight="1">
      <c r="O17243" s="5" t="s">
        <v>355</v>
      </c>
      <c r="P17243" s="5" t="s">
        <v>355</v>
      </c>
      <c r="Q17243" s="5" t="s">
        <v>355</v>
      </c>
    </row>
    <row r="17244" ht="16.5" customHeight="1">
      <c r="O17244" s="5" t="s">
        <v>355</v>
      </c>
      <c r="P17244" s="5" t="s">
        <v>355</v>
      </c>
      <c r="Q17244" s="5" t="s">
        <v>355</v>
      </c>
    </row>
    <row r="17245" ht="16.5" customHeight="1">
      <c r="O17245" s="5" t="s">
        <v>355</v>
      </c>
      <c r="P17245" s="5" t="s">
        <v>355</v>
      </c>
      <c r="Q17245" s="5" t="s">
        <v>355</v>
      </c>
    </row>
    <row r="17246" ht="16.5" customHeight="1">
      <c r="O17246" s="5" t="s">
        <v>355</v>
      </c>
      <c r="P17246" s="5" t="s">
        <v>355</v>
      </c>
      <c r="Q17246" s="5" t="s">
        <v>355</v>
      </c>
    </row>
    <row r="17247" ht="16.5" customHeight="1">
      <c r="O17247" s="5" t="s">
        <v>355</v>
      </c>
      <c r="P17247" s="5" t="s">
        <v>355</v>
      </c>
      <c r="Q17247" s="5" t="s">
        <v>355</v>
      </c>
    </row>
    <row r="17248" ht="16.5" customHeight="1">
      <c r="O17248" s="5" t="s">
        <v>355</v>
      </c>
      <c r="P17248" s="5" t="s">
        <v>355</v>
      </c>
      <c r="Q17248" s="5" t="s">
        <v>355</v>
      </c>
    </row>
    <row r="17249" ht="16.5" customHeight="1">
      <c r="O17249" s="5" t="s">
        <v>355</v>
      </c>
      <c r="P17249" s="5" t="s">
        <v>355</v>
      </c>
      <c r="Q17249" s="5" t="s">
        <v>355</v>
      </c>
    </row>
    <row r="17250" ht="16.5" customHeight="1">
      <c r="O17250" s="5" t="s">
        <v>355</v>
      </c>
      <c r="P17250" s="5" t="s">
        <v>355</v>
      </c>
      <c r="Q17250" s="5" t="s">
        <v>355</v>
      </c>
    </row>
    <row r="17251" ht="16.5" customHeight="1">
      <c r="O17251" s="5" t="s">
        <v>355</v>
      </c>
      <c r="P17251" s="5" t="s">
        <v>355</v>
      </c>
      <c r="Q17251" s="5" t="s">
        <v>355</v>
      </c>
    </row>
    <row r="17252" ht="16.5" customHeight="1">
      <c r="O17252" s="5" t="s">
        <v>355</v>
      </c>
      <c r="P17252" s="5" t="s">
        <v>355</v>
      </c>
      <c r="Q17252" s="5" t="s">
        <v>355</v>
      </c>
    </row>
    <row r="17253" ht="16.5" customHeight="1">
      <c r="O17253" s="5" t="s">
        <v>355</v>
      </c>
      <c r="P17253" s="5" t="s">
        <v>355</v>
      </c>
      <c r="Q17253" s="5" t="s">
        <v>355</v>
      </c>
    </row>
    <row r="17254" ht="16.5" customHeight="1">
      <c r="O17254" s="5" t="s">
        <v>355</v>
      </c>
      <c r="P17254" s="5" t="s">
        <v>355</v>
      </c>
      <c r="Q17254" s="5" t="s">
        <v>355</v>
      </c>
    </row>
    <row r="17255" ht="16.5" customHeight="1">
      <c r="O17255" s="5" t="s">
        <v>355</v>
      </c>
      <c r="P17255" s="5" t="s">
        <v>355</v>
      </c>
      <c r="Q17255" s="5" t="s">
        <v>355</v>
      </c>
    </row>
    <row r="17256" ht="16.5" customHeight="1">
      <c r="O17256" s="5" t="s">
        <v>355</v>
      </c>
      <c r="P17256" s="5" t="s">
        <v>355</v>
      </c>
      <c r="Q17256" s="5" t="s">
        <v>355</v>
      </c>
    </row>
    <row r="17257" ht="16.5" customHeight="1">
      <c r="O17257" s="5" t="s">
        <v>355</v>
      </c>
      <c r="P17257" s="5" t="s">
        <v>355</v>
      </c>
      <c r="Q17257" s="5" t="s">
        <v>355</v>
      </c>
    </row>
    <row r="17258" ht="16.5" customHeight="1">
      <c r="O17258" s="5" t="s">
        <v>355</v>
      </c>
      <c r="P17258" s="5" t="s">
        <v>355</v>
      </c>
      <c r="Q17258" s="5" t="s">
        <v>355</v>
      </c>
    </row>
    <row r="17259" ht="16.5" customHeight="1">
      <c r="O17259" s="5" t="s">
        <v>355</v>
      </c>
      <c r="P17259" s="5" t="s">
        <v>355</v>
      </c>
      <c r="Q17259" s="5" t="s">
        <v>355</v>
      </c>
    </row>
    <row r="17260" ht="16.5" customHeight="1">
      <c r="O17260" s="5" t="s">
        <v>355</v>
      </c>
      <c r="P17260" s="5" t="s">
        <v>355</v>
      </c>
      <c r="Q17260" s="5" t="s">
        <v>355</v>
      </c>
    </row>
    <row r="17261" ht="16.5" customHeight="1">
      <c r="O17261" s="5" t="s">
        <v>355</v>
      </c>
      <c r="P17261" s="5" t="s">
        <v>355</v>
      </c>
      <c r="Q17261" s="5" t="s">
        <v>355</v>
      </c>
    </row>
    <row r="17262" ht="16.5" customHeight="1">
      <c r="O17262" s="5" t="s">
        <v>355</v>
      </c>
      <c r="P17262" s="5" t="s">
        <v>355</v>
      </c>
      <c r="Q17262" s="5" t="s">
        <v>355</v>
      </c>
    </row>
    <row r="17263" ht="16.5" customHeight="1">
      <c r="O17263" s="5" t="s">
        <v>355</v>
      </c>
      <c r="P17263" s="5" t="s">
        <v>355</v>
      </c>
      <c r="Q17263" s="5" t="s">
        <v>355</v>
      </c>
    </row>
    <row r="17264" ht="16.5" customHeight="1">
      <c r="O17264" s="5" t="s">
        <v>355</v>
      </c>
      <c r="P17264" s="5" t="s">
        <v>355</v>
      </c>
      <c r="Q17264" s="5" t="s">
        <v>355</v>
      </c>
    </row>
    <row r="17265" ht="16.5" customHeight="1">
      <c r="O17265" s="5" t="s">
        <v>355</v>
      </c>
      <c r="P17265" s="5" t="s">
        <v>355</v>
      </c>
      <c r="Q17265" s="5" t="s">
        <v>355</v>
      </c>
    </row>
    <row r="17266" ht="16.5" customHeight="1">
      <c r="O17266" s="5" t="s">
        <v>355</v>
      </c>
      <c r="P17266" s="5" t="s">
        <v>355</v>
      </c>
      <c r="Q17266" s="5" t="s">
        <v>355</v>
      </c>
    </row>
    <row r="17267" ht="16.5" customHeight="1">
      <c r="O17267" s="5" t="s">
        <v>355</v>
      </c>
      <c r="P17267" s="5" t="s">
        <v>355</v>
      </c>
      <c r="Q17267" s="5" t="s">
        <v>355</v>
      </c>
    </row>
    <row r="17268" ht="16.5" customHeight="1">
      <c r="O17268" s="5" t="s">
        <v>355</v>
      </c>
      <c r="P17268" s="5" t="s">
        <v>355</v>
      </c>
      <c r="Q17268" s="5" t="s">
        <v>355</v>
      </c>
    </row>
    <row r="17269" ht="16.5" customHeight="1">
      <c r="O17269" s="5" t="s">
        <v>355</v>
      </c>
      <c r="P17269" s="5" t="s">
        <v>355</v>
      </c>
      <c r="Q17269" s="5" t="s">
        <v>355</v>
      </c>
    </row>
    <row r="17270" ht="16.5" customHeight="1">
      <c r="O17270" s="5" t="s">
        <v>355</v>
      </c>
      <c r="P17270" s="5" t="s">
        <v>355</v>
      </c>
      <c r="Q17270" s="5" t="s">
        <v>355</v>
      </c>
    </row>
    <row r="17271" ht="16.5" customHeight="1">
      <c r="O17271" s="5" t="s">
        <v>355</v>
      </c>
      <c r="P17271" s="5" t="s">
        <v>355</v>
      </c>
      <c r="Q17271" s="5" t="s">
        <v>355</v>
      </c>
    </row>
    <row r="17272" ht="16.5" customHeight="1">
      <c r="O17272" s="5" t="s">
        <v>355</v>
      </c>
      <c r="P17272" s="5" t="s">
        <v>355</v>
      </c>
      <c r="Q17272" s="5" t="s">
        <v>355</v>
      </c>
    </row>
    <row r="17273" ht="16.5" customHeight="1">
      <c r="O17273" s="5" t="s">
        <v>355</v>
      </c>
      <c r="P17273" s="5" t="s">
        <v>355</v>
      </c>
      <c r="Q17273" s="5" t="s">
        <v>355</v>
      </c>
    </row>
    <row r="17274" ht="16.5" customHeight="1">
      <c r="O17274" s="5" t="s">
        <v>355</v>
      </c>
      <c r="P17274" s="5" t="s">
        <v>355</v>
      </c>
      <c r="Q17274" s="5" t="s">
        <v>355</v>
      </c>
    </row>
    <row r="17275" ht="16.5" customHeight="1">
      <c r="O17275" s="5" t="s">
        <v>355</v>
      </c>
      <c r="P17275" s="5" t="s">
        <v>355</v>
      </c>
      <c r="Q17275" s="5" t="s">
        <v>355</v>
      </c>
    </row>
    <row r="17276" ht="16.5" customHeight="1">
      <c r="O17276" s="5" t="s">
        <v>355</v>
      </c>
      <c r="P17276" s="5" t="s">
        <v>355</v>
      </c>
      <c r="Q17276" s="5" t="s">
        <v>355</v>
      </c>
    </row>
    <row r="17277" ht="16.5" customHeight="1">
      <c r="O17277" s="5" t="s">
        <v>355</v>
      </c>
      <c r="P17277" s="5" t="s">
        <v>355</v>
      </c>
      <c r="Q17277" s="5" t="s">
        <v>355</v>
      </c>
    </row>
    <row r="17278" ht="16.5" customHeight="1">
      <c r="O17278" s="5" t="s">
        <v>355</v>
      </c>
      <c r="P17278" s="5" t="s">
        <v>355</v>
      </c>
      <c r="Q17278" s="5" t="s">
        <v>355</v>
      </c>
    </row>
    <row r="17279" ht="16.5" customHeight="1">
      <c r="O17279" s="5" t="s">
        <v>355</v>
      </c>
      <c r="P17279" s="5" t="s">
        <v>355</v>
      </c>
      <c r="Q17279" s="5" t="s">
        <v>355</v>
      </c>
    </row>
    <row r="17280" ht="16.5" customHeight="1">
      <c r="O17280" s="5" t="s">
        <v>355</v>
      </c>
      <c r="P17280" s="5" t="s">
        <v>355</v>
      </c>
      <c r="Q17280" s="5" t="s">
        <v>355</v>
      </c>
    </row>
    <row r="17281" ht="16.5" customHeight="1">
      <c r="O17281" s="5" t="s">
        <v>355</v>
      </c>
      <c r="P17281" s="5" t="s">
        <v>355</v>
      </c>
      <c r="Q17281" s="5" t="s">
        <v>355</v>
      </c>
    </row>
    <row r="17282" ht="16.5" customHeight="1">
      <c r="O17282" s="5" t="s">
        <v>355</v>
      </c>
      <c r="P17282" s="5" t="s">
        <v>355</v>
      </c>
      <c r="Q17282" s="5" t="s">
        <v>355</v>
      </c>
    </row>
    <row r="17283" ht="16.5" customHeight="1">
      <c r="O17283" s="5" t="s">
        <v>355</v>
      </c>
      <c r="P17283" s="5" t="s">
        <v>355</v>
      </c>
      <c r="Q17283" s="5" t="s">
        <v>355</v>
      </c>
    </row>
    <row r="17284" ht="16.5" customHeight="1">
      <c r="O17284" s="5" t="s">
        <v>355</v>
      </c>
      <c r="P17284" s="5" t="s">
        <v>355</v>
      </c>
      <c r="Q17284" s="5" t="s">
        <v>355</v>
      </c>
    </row>
    <row r="17285" ht="16.5" customHeight="1">
      <c r="O17285" s="5" t="s">
        <v>355</v>
      </c>
      <c r="P17285" s="5" t="s">
        <v>355</v>
      </c>
      <c r="Q17285" s="5" t="s">
        <v>355</v>
      </c>
    </row>
    <row r="17286" ht="16.5" customHeight="1">
      <c r="O17286" s="5" t="s">
        <v>355</v>
      </c>
      <c r="P17286" s="5" t="s">
        <v>355</v>
      </c>
      <c r="Q17286" s="5" t="s">
        <v>355</v>
      </c>
    </row>
    <row r="17287" ht="16.5" customHeight="1">
      <c r="O17287" s="5" t="s">
        <v>355</v>
      </c>
      <c r="P17287" s="5" t="s">
        <v>355</v>
      </c>
      <c r="Q17287" s="5" t="s">
        <v>355</v>
      </c>
    </row>
    <row r="17288" ht="16.5" customHeight="1">
      <c r="O17288" s="5" t="s">
        <v>355</v>
      </c>
      <c r="P17288" s="5" t="s">
        <v>355</v>
      </c>
      <c r="Q17288" s="5" t="s">
        <v>355</v>
      </c>
    </row>
    <row r="17289" ht="16.5" customHeight="1">
      <c r="O17289" s="5" t="s">
        <v>355</v>
      </c>
      <c r="P17289" s="5" t="s">
        <v>355</v>
      </c>
      <c r="Q17289" s="5" t="s">
        <v>355</v>
      </c>
    </row>
    <row r="17290" ht="16.5" customHeight="1">
      <c r="O17290" s="5" t="s">
        <v>355</v>
      </c>
      <c r="P17290" s="5" t="s">
        <v>355</v>
      </c>
      <c r="Q17290" s="5" t="s">
        <v>355</v>
      </c>
    </row>
    <row r="17291" ht="16.5" customHeight="1">
      <c r="O17291" s="5" t="s">
        <v>355</v>
      </c>
      <c r="P17291" s="5" t="s">
        <v>355</v>
      </c>
      <c r="Q17291" s="5" t="s">
        <v>355</v>
      </c>
    </row>
    <row r="17292" ht="16.5" customHeight="1">
      <c r="O17292" s="5" t="s">
        <v>355</v>
      </c>
      <c r="P17292" s="5" t="s">
        <v>355</v>
      </c>
      <c r="Q17292" s="5" t="s">
        <v>355</v>
      </c>
    </row>
    <row r="17293" ht="16.5" customHeight="1">
      <c r="O17293" s="5" t="s">
        <v>355</v>
      </c>
      <c r="P17293" s="5" t="s">
        <v>355</v>
      </c>
      <c r="Q17293" s="5" t="s">
        <v>355</v>
      </c>
    </row>
    <row r="17294" ht="16.5" customHeight="1">
      <c r="O17294" s="5" t="s">
        <v>355</v>
      </c>
      <c r="P17294" s="5" t="s">
        <v>355</v>
      </c>
      <c r="Q17294" s="5" t="s">
        <v>355</v>
      </c>
    </row>
    <row r="17295" ht="16.5" customHeight="1">
      <c r="O17295" s="5" t="s">
        <v>355</v>
      </c>
      <c r="P17295" s="5" t="s">
        <v>355</v>
      </c>
      <c r="Q17295" s="5" t="s">
        <v>355</v>
      </c>
    </row>
    <row r="17296" ht="16.5" customHeight="1">
      <c r="O17296" s="5" t="s">
        <v>355</v>
      </c>
      <c r="P17296" s="5" t="s">
        <v>355</v>
      </c>
      <c r="Q17296" s="5" t="s">
        <v>355</v>
      </c>
    </row>
    <row r="17297" ht="16.5" customHeight="1">
      <c r="O17297" s="5" t="s">
        <v>355</v>
      </c>
      <c r="P17297" s="5" t="s">
        <v>355</v>
      </c>
      <c r="Q17297" s="5" t="s">
        <v>355</v>
      </c>
    </row>
    <row r="17298" ht="16.5" customHeight="1">
      <c r="O17298" s="5" t="s">
        <v>355</v>
      </c>
      <c r="P17298" s="5" t="s">
        <v>355</v>
      </c>
      <c r="Q17298" s="5" t="s">
        <v>355</v>
      </c>
    </row>
    <row r="17299" ht="16.5" customHeight="1">
      <c r="O17299" s="5" t="s">
        <v>355</v>
      </c>
      <c r="P17299" s="5" t="s">
        <v>355</v>
      </c>
      <c r="Q17299" s="5" t="s">
        <v>355</v>
      </c>
    </row>
    <row r="17300" ht="16.5" customHeight="1">
      <c r="O17300" s="5" t="s">
        <v>355</v>
      </c>
      <c r="P17300" s="5" t="s">
        <v>355</v>
      </c>
      <c r="Q17300" s="5" t="s">
        <v>355</v>
      </c>
    </row>
    <row r="17301" ht="16.5" customHeight="1">
      <c r="O17301" s="5" t="s">
        <v>355</v>
      </c>
      <c r="P17301" s="5" t="s">
        <v>355</v>
      </c>
      <c r="Q17301" s="5" t="s">
        <v>355</v>
      </c>
    </row>
    <row r="17302" ht="16.5" customHeight="1">
      <c r="O17302" s="5" t="s">
        <v>355</v>
      </c>
      <c r="P17302" s="5" t="s">
        <v>355</v>
      </c>
      <c r="Q17302" s="5" t="s">
        <v>355</v>
      </c>
    </row>
    <row r="17303" ht="16.5" customHeight="1">
      <c r="O17303" s="5" t="s">
        <v>355</v>
      </c>
      <c r="P17303" s="5" t="s">
        <v>355</v>
      </c>
      <c r="Q17303" s="5" t="s">
        <v>355</v>
      </c>
    </row>
    <row r="17304" ht="16.5" customHeight="1">
      <c r="O17304" s="5" t="s">
        <v>355</v>
      </c>
      <c r="P17304" s="5" t="s">
        <v>355</v>
      </c>
      <c r="Q17304" s="5" t="s">
        <v>355</v>
      </c>
    </row>
    <row r="17305" ht="16.5" customHeight="1">
      <c r="O17305" s="5" t="s">
        <v>355</v>
      </c>
      <c r="P17305" s="5" t="s">
        <v>355</v>
      </c>
      <c r="Q17305" s="5" t="s">
        <v>355</v>
      </c>
    </row>
    <row r="17306" ht="16.5" customHeight="1">
      <c r="O17306" s="5" t="s">
        <v>355</v>
      </c>
      <c r="P17306" s="5" t="s">
        <v>355</v>
      </c>
      <c r="Q17306" s="5" t="s">
        <v>355</v>
      </c>
    </row>
    <row r="17307" ht="16.5" customHeight="1">
      <c r="O17307" s="5" t="s">
        <v>355</v>
      </c>
      <c r="P17307" s="5" t="s">
        <v>355</v>
      </c>
      <c r="Q17307" s="5" t="s">
        <v>355</v>
      </c>
    </row>
    <row r="17308" ht="16.5" customHeight="1">
      <c r="O17308" s="5" t="s">
        <v>355</v>
      </c>
      <c r="P17308" s="5" t="s">
        <v>355</v>
      </c>
      <c r="Q17308" s="5" t="s">
        <v>355</v>
      </c>
    </row>
    <row r="17309" ht="16.5" customHeight="1">
      <c r="O17309" s="5" t="s">
        <v>355</v>
      </c>
      <c r="P17309" s="5" t="s">
        <v>355</v>
      </c>
      <c r="Q17309" s="5" t="s">
        <v>355</v>
      </c>
    </row>
    <row r="17310" ht="16.5" customHeight="1">
      <c r="O17310" s="5" t="s">
        <v>355</v>
      </c>
      <c r="P17310" s="5" t="s">
        <v>355</v>
      </c>
      <c r="Q17310" s="5" t="s">
        <v>355</v>
      </c>
    </row>
    <row r="17311" ht="16.5" customHeight="1">
      <c r="O17311" s="5" t="s">
        <v>355</v>
      </c>
      <c r="P17311" s="5" t="s">
        <v>355</v>
      </c>
      <c r="Q17311" s="5" t="s">
        <v>355</v>
      </c>
    </row>
    <row r="17312" ht="16.5" customHeight="1">
      <c r="O17312" s="5" t="s">
        <v>355</v>
      </c>
      <c r="P17312" s="5" t="s">
        <v>355</v>
      </c>
      <c r="Q17312" s="5" t="s">
        <v>355</v>
      </c>
    </row>
    <row r="17313" ht="16.5" customHeight="1">
      <c r="O17313" s="5" t="s">
        <v>355</v>
      </c>
      <c r="P17313" s="5" t="s">
        <v>355</v>
      </c>
      <c r="Q17313" s="5" t="s">
        <v>355</v>
      </c>
    </row>
    <row r="17314" ht="16.5" customHeight="1">
      <c r="O17314" s="5" t="s">
        <v>355</v>
      </c>
      <c r="P17314" s="5" t="s">
        <v>355</v>
      </c>
      <c r="Q17314" s="5" t="s">
        <v>355</v>
      </c>
    </row>
    <row r="17315" ht="16.5" customHeight="1">
      <c r="O17315" s="5" t="s">
        <v>355</v>
      </c>
      <c r="P17315" s="5" t="s">
        <v>355</v>
      </c>
      <c r="Q17315" s="5" t="s">
        <v>355</v>
      </c>
    </row>
    <row r="17316" ht="16.5" customHeight="1">
      <c r="O17316" s="5" t="s">
        <v>355</v>
      </c>
      <c r="P17316" s="5" t="s">
        <v>355</v>
      </c>
      <c r="Q17316" s="5" t="s">
        <v>355</v>
      </c>
    </row>
    <row r="17317" ht="16.5" customHeight="1">
      <c r="O17317" s="5" t="s">
        <v>355</v>
      </c>
      <c r="P17317" s="5" t="s">
        <v>355</v>
      </c>
      <c r="Q17317" s="5" t="s">
        <v>355</v>
      </c>
    </row>
    <row r="17318" ht="16.5" customHeight="1">
      <c r="O17318" s="5" t="s">
        <v>355</v>
      </c>
      <c r="P17318" s="5" t="s">
        <v>355</v>
      </c>
      <c r="Q17318" s="5" t="s">
        <v>355</v>
      </c>
    </row>
    <row r="17319" ht="16.5" customHeight="1">
      <c r="O17319" s="5" t="s">
        <v>355</v>
      </c>
      <c r="P17319" s="5" t="s">
        <v>355</v>
      </c>
      <c r="Q17319" s="5" t="s">
        <v>355</v>
      </c>
    </row>
    <row r="17320" ht="16.5" customHeight="1">
      <c r="O17320" s="5" t="s">
        <v>355</v>
      </c>
      <c r="P17320" s="5" t="s">
        <v>355</v>
      </c>
      <c r="Q17320" s="5" t="s">
        <v>355</v>
      </c>
    </row>
    <row r="17321" ht="16.5" customHeight="1">
      <c r="O17321" s="5" t="s">
        <v>355</v>
      </c>
      <c r="P17321" s="5" t="s">
        <v>355</v>
      </c>
      <c r="Q17321" s="5" t="s">
        <v>355</v>
      </c>
    </row>
    <row r="17322" ht="16.5" customHeight="1">
      <c r="O17322" s="5" t="s">
        <v>355</v>
      </c>
      <c r="P17322" s="5" t="s">
        <v>355</v>
      </c>
      <c r="Q17322" s="5" t="s">
        <v>355</v>
      </c>
    </row>
    <row r="17323" ht="16.5" customHeight="1">
      <c r="O17323" s="5" t="s">
        <v>355</v>
      </c>
      <c r="P17323" s="5" t="s">
        <v>355</v>
      </c>
      <c r="Q17323" s="5" t="s">
        <v>355</v>
      </c>
    </row>
    <row r="17324" ht="16.5" customHeight="1">
      <c r="O17324" s="5" t="s">
        <v>355</v>
      </c>
      <c r="P17324" s="5" t="s">
        <v>355</v>
      </c>
      <c r="Q17324" s="5" t="s">
        <v>355</v>
      </c>
    </row>
    <row r="17325" ht="16.5" customHeight="1">
      <c r="O17325" s="5" t="s">
        <v>355</v>
      </c>
      <c r="P17325" s="5" t="s">
        <v>355</v>
      </c>
      <c r="Q17325" s="5" t="s">
        <v>355</v>
      </c>
    </row>
    <row r="17326" ht="16.5" customHeight="1">
      <c r="O17326" s="5" t="s">
        <v>355</v>
      </c>
      <c r="P17326" s="5" t="s">
        <v>355</v>
      </c>
      <c r="Q17326" s="5" t="s">
        <v>355</v>
      </c>
    </row>
    <row r="17327" ht="16.5" customHeight="1">
      <c r="O17327" s="5" t="s">
        <v>355</v>
      </c>
      <c r="P17327" s="5" t="s">
        <v>355</v>
      </c>
      <c r="Q17327" s="5" t="s">
        <v>355</v>
      </c>
    </row>
    <row r="17328" ht="16.5" customHeight="1">
      <c r="O17328" s="5" t="s">
        <v>355</v>
      </c>
      <c r="P17328" s="5" t="s">
        <v>355</v>
      </c>
      <c r="Q17328" s="5" t="s">
        <v>355</v>
      </c>
    </row>
    <row r="17329" ht="16.5" customHeight="1">
      <c r="O17329" s="5" t="s">
        <v>355</v>
      </c>
      <c r="P17329" s="5" t="s">
        <v>355</v>
      </c>
      <c r="Q17329" s="5" t="s">
        <v>355</v>
      </c>
    </row>
    <row r="17330" ht="16.5" customHeight="1">
      <c r="O17330" s="5" t="s">
        <v>355</v>
      </c>
      <c r="P17330" s="5" t="s">
        <v>355</v>
      </c>
      <c r="Q17330" s="5" t="s">
        <v>355</v>
      </c>
    </row>
    <row r="17331" ht="16.5" customHeight="1">
      <c r="O17331" s="5" t="s">
        <v>355</v>
      </c>
      <c r="P17331" s="5" t="s">
        <v>355</v>
      </c>
      <c r="Q17331" s="5" t="s">
        <v>355</v>
      </c>
    </row>
    <row r="17332" ht="16.5" customHeight="1">
      <c r="O17332" s="5" t="s">
        <v>355</v>
      </c>
      <c r="P17332" s="5" t="s">
        <v>355</v>
      </c>
      <c r="Q17332" s="5" t="s">
        <v>355</v>
      </c>
    </row>
    <row r="17333" ht="16.5" customHeight="1">
      <c r="O17333" s="5" t="s">
        <v>355</v>
      </c>
      <c r="P17333" s="5" t="s">
        <v>355</v>
      </c>
      <c r="Q17333" s="5" t="s">
        <v>355</v>
      </c>
    </row>
    <row r="17334" ht="16.5" customHeight="1">
      <c r="O17334" s="5" t="s">
        <v>355</v>
      </c>
      <c r="P17334" s="5" t="s">
        <v>355</v>
      </c>
      <c r="Q17334" s="5" t="s">
        <v>355</v>
      </c>
    </row>
    <row r="17335" ht="16.5" customHeight="1">
      <c r="O17335" s="5" t="s">
        <v>355</v>
      </c>
      <c r="P17335" s="5" t="s">
        <v>355</v>
      </c>
      <c r="Q17335" s="5" t="s">
        <v>355</v>
      </c>
    </row>
    <row r="17336" ht="16.5" customHeight="1">
      <c r="O17336" s="5" t="s">
        <v>355</v>
      </c>
      <c r="P17336" s="5" t="s">
        <v>355</v>
      </c>
      <c r="Q17336" s="5" t="s">
        <v>355</v>
      </c>
    </row>
    <row r="17337" ht="16.5" customHeight="1">
      <c r="O17337" s="5" t="s">
        <v>355</v>
      </c>
      <c r="P17337" s="5" t="s">
        <v>355</v>
      </c>
      <c r="Q17337" s="5" t="s">
        <v>355</v>
      </c>
    </row>
    <row r="17338" ht="16.5" customHeight="1">
      <c r="O17338" s="5" t="s">
        <v>355</v>
      </c>
      <c r="P17338" s="5" t="s">
        <v>355</v>
      </c>
      <c r="Q17338" s="5" t="s">
        <v>355</v>
      </c>
    </row>
    <row r="17339" ht="16.5" customHeight="1">
      <c r="O17339" s="5" t="s">
        <v>355</v>
      </c>
      <c r="P17339" s="5" t="s">
        <v>355</v>
      </c>
      <c r="Q17339" s="5" t="s">
        <v>355</v>
      </c>
    </row>
    <row r="17340" ht="16.5" customHeight="1">
      <c r="O17340" s="5" t="s">
        <v>355</v>
      </c>
      <c r="P17340" s="5" t="s">
        <v>355</v>
      </c>
      <c r="Q17340" s="5" t="s">
        <v>355</v>
      </c>
    </row>
    <row r="17341" ht="16.5" customHeight="1">
      <c r="O17341" s="5" t="s">
        <v>355</v>
      </c>
      <c r="P17341" s="5" t="s">
        <v>355</v>
      </c>
      <c r="Q17341" s="5" t="s">
        <v>355</v>
      </c>
    </row>
    <row r="17342" ht="16.5" customHeight="1">
      <c r="O17342" s="5" t="s">
        <v>355</v>
      </c>
      <c r="P17342" s="5" t="s">
        <v>355</v>
      </c>
      <c r="Q17342" s="5" t="s">
        <v>355</v>
      </c>
    </row>
    <row r="17343" ht="16.5" customHeight="1">
      <c r="O17343" s="5" t="s">
        <v>355</v>
      </c>
      <c r="P17343" s="5" t="s">
        <v>355</v>
      </c>
      <c r="Q17343" s="5" t="s">
        <v>355</v>
      </c>
    </row>
    <row r="17344" ht="16.5" customHeight="1">
      <c r="O17344" s="5" t="s">
        <v>355</v>
      </c>
      <c r="P17344" s="5" t="s">
        <v>355</v>
      </c>
      <c r="Q17344" s="5" t="s">
        <v>355</v>
      </c>
    </row>
    <row r="17345" ht="16.5" customHeight="1">
      <c r="O17345" s="5" t="s">
        <v>355</v>
      </c>
      <c r="P17345" s="5" t="s">
        <v>355</v>
      </c>
      <c r="Q17345" s="5" t="s">
        <v>355</v>
      </c>
    </row>
    <row r="17346" ht="16.5" customHeight="1">
      <c r="O17346" s="5" t="s">
        <v>355</v>
      </c>
      <c r="P17346" s="5" t="s">
        <v>355</v>
      </c>
      <c r="Q17346" s="5" t="s">
        <v>355</v>
      </c>
    </row>
    <row r="17347" ht="16.5" customHeight="1">
      <c r="O17347" s="5" t="s">
        <v>355</v>
      </c>
      <c r="P17347" s="5" t="s">
        <v>355</v>
      </c>
      <c r="Q17347" s="5" t="s">
        <v>355</v>
      </c>
    </row>
    <row r="17348" ht="16.5" customHeight="1">
      <c r="O17348" s="5" t="s">
        <v>355</v>
      </c>
      <c r="P17348" s="5" t="s">
        <v>355</v>
      </c>
      <c r="Q17348" s="5" t="s">
        <v>355</v>
      </c>
    </row>
    <row r="17349" ht="16.5" customHeight="1">
      <c r="O17349" s="5" t="s">
        <v>355</v>
      </c>
      <c r="P17349" s="5" t="s">
        <v>355</v>
      </c>
      <c r="Q17349" s="5" t="s">
        <v>355</v>
      </c>
    </row>
    <row r="17350" ht="16.5" customHeight="1">
      <c r="O17350" s="5" t="s">
        <v>355</v>
      </c>
      <c r="P17350" s="5" t="s">
        <v>355</v>
      </c>
      <c r="Q17350" s="5" t="s">
        <v>355</v>
      </c>
    </row>
    <row r="17351" ht="16.5" customHeight="1">
      <c r="O17351" s="5" t="s">
        <v>355</v>
      </c>
      <c r="P17351" s="5" t="s">
        <v>355</v>
      </c>
      <c r="Q17351" s="5" t="s">
        <v>355</v>
      </c>
    </row>
    <row r="17352" ht="16.5" customHeight="1">
      <c r="O17352" s="5" t="s">
        <v>355</v>
      </c>
      <c r="P17352" s="5" t="s">
        <v>355</v>
      </c>
      <c r="Q17352" s="5" t="s">
        <v>355</v>
      </c>
    </row>
    <row r="17353" ht="16.5" customHeight="1">
      <c r="O17353" s="5" t="s">
        <v>355</v>
      </c>
      <c r="P17353" s="5" t="s">
        <v>355</v>
      </c>
      <c r="Q17353" s="5" t="s">
        <v>355</v>
      </c>
    </row>
    <row r="17354" ht="16.5" customHeight="1">
      <c r="O17354" s="5" t="s">
        <v>355</v>
      </c>
      <c r="P17354" s="5" t="s">
        <v>355</v>
      </c>
      <c r="Q17354" s="5" t="s">
        <v>355</v>
      </c>
    </row>
    <row r="17355" ht="16.5" customHeight="1">
      <c r="O17355" s="5" t="s">
        <v>355</v>
      </c>
      <c r="P17355" s="5" t="s">
        <v>355</v>
      </c>
      <c r="Q17355" s="5" t="s">
        <v>355</v>
      </c>
    </row>
    <row r="17356" ht="16.5" customHeight="1">
      <c r="O17356" s="5" t="s">
        <v>355</v>
      </c>
      <c r="P17356" s="5" t="s">
        <v>355</v>
      </c>
      <c r="Q17356" s="5" t="s">
        <v>355</v>
      </c>
    </row>
    <row r="17357" ht="16.5" customHeight="1">
      <c r="O17357" s="5" t="s">
        <v>355</v>
      </c>
      <c r="P17357" s="5" t="s">
        <v>355</v>
      </c>
      <c r="Q17357" s="5" t="s">
        <v>355</v>
      </c>
    </row>
    <row r="17358" ht="16.5" customHeight="1">
      <c r="O17358" s="5" t="s">
        <v>355</v>
      </c>
      <c r="P17358" s="5" t="s">
        <v>355</v>
      </c>
      <c r="Q17358" s="5" t="s">
        <v>355</v>
      </c>
    </row>
    <row r="17359" ht="16.5" customHeight="1">
      <c r="O17359" s="5" t="s">
        <v>355</v>
      </c>
      <c r="P17359" s="5" t="s">
        <v>355</v>
      </c>
      <c r="Q17359" s="5" t="s">
        <v>355</v>
      </c>
    </row>
    <row r="17360" ht="16.5" customHeight="1">
      <c r="O17360" s="5" t="s">
        <v>355</v>
      </c>
      <c r="P17360" s="5" t="s">
        <v>355</v>
      </c>
      <c r="Q17360" s="5" t="s">
        <v>355</v>
      </c>
    </row>
    <row r="17361" ht="16.5" customHeight="1">
      <c r="O17361" s="5" t="s">
        <v>355</v>
      </c>
      <c r="P17361" s="5" t="s">
        <v>355</v>
      </c>
      <c r="Q17361" s="5" t="s">
        <v>355</v>
      </c>
    </row>
    <row r="17362" ht="16.5" customHeight="1">
      <c r="O17362" s="5" t="s">
        <v>355</v>
      </c>
      <c r="P17362" s="5" t="s">
        <v>355</v>
      </c>
      <c r="Q17362" s="5" t="s">
        <v>355</v>
      </c>
    </row>
    <row r="17363" ht="16.5" customHeight="1">
      <c r="O17363" s="5" t="s">
        <v>355</v>
      </c>
      <c r="P17363" s="5" t="s">
        <v>355</v>
      </c>
      <c r="Q17363" s="5" t="s">
        <v>355</v>
      </c>
    </row>
    <row r="17364" ht="16.5" customHeight="1">
      <c r="O17364" s="5" t="s">
        <v>355</v>
      </c>
      <c r="P17364" s="5" t="s">
        <v>355</v>
      </c>
      <c r="Q17364" s="5" t="s">
        <v>355</v>
      </c>
    </row>
    <row r="17365" ht="16.5" customHeight="1">
      <c r="O17365" s="5" t="s">
        <v>355</v>
      </c>
      <c r="P17365" s="5" t="s">
        <v>355</v>
      </c>
      <c r="Q17365" s="5" t="s">
        <v>355</v>
      </c>
    </row>
    <row r="17366" ht="16.5" customHeight="1">
      <c r="O17366" s="5" t="s">
        <v>355</v>
      </c>
      <c r="P17366" s="5" t="s">
        <v>355</v>
      </c>
      <c r="Q17366" s="5" t="s">
        <v>355</v>
      </c>
    </row>
    <row r="17367" ht="16.5" customHeight="1">
      <c r="O17367" s="5" t="s">
        <v>355</v>
      </c>
      <c r="P17367" s="5" t="s">
        <v>355</v>
      </c>
      <c r="Q17367" s="5" t="s">
        <v>355</v>
      </c>
    </row>
    <row r="17368" ht="16.5" customHeight="1">
      <c r="O17368" s="5" t="s">
        <v>355</v>
      </c>
      <c r="P17368" s="5" t="s">
        <v>355</v>
      </c>
      <c r="Q17368" s="5" t="s">
        <v>355</v>
      </c>
    </row>
    <row r="17369" ht="16.5" customHeight="1">
      <c r="O17369" s="5" t="s">
        <v>355</v>
      </c>
      <c r="P17369" s="5" t="s">
        <v>355</v>
      </c>
      <c r="Q17369" s="5" t="s">
        <v>355</v>
      </c>
    </row>
    <row r="17370" ht="16.5" customHeight="1">
      <c r="O17370" s="5" t="s">
        <v>355</v>
      </c>
      <c r="P17370" s="5" t="s">
        <v>355</v>
      </c>
      <c r="Q17370" s="5" t="s">
        <v>355</v>
      </c>
    </row>
    <row r="17371" ht="16.5" customHeight="1">
      <c r="O17371" s="5" t="s">
        <v>355</v>
      </c>
      <c r="P17371" s="5" t="s">
        <v>355</v>
      </c>
      <c r="Q17371" s="5" t="s">
        <v>355</v>
      </c>
    </row>
    <row r="17372" ht="16.5" customHeight="1">
      <c r="O17372" s="5" t="s">
        <v>355</v>
      </c>
      <c r="P17372" s="5" t="s">
        <v>355</v>
      </c>
      <c r="Q17372" s="5" t="s">
        <v>355</v>
      </c>
    </row>
    <row r="17373" ht="16.5" customHeight="1">
      <c r="O17373" s="5" t="s">
        <v>355</v>
      </c>
      <c r="P17373" s="5" t="s">
        <v>355</v>
      </c>
      <c r="Q17373" s="5" t="s">
        <v>355</v>
      </c>
    </row>
    <row r="17374" ht="16.5" customHeight="1">
      <c r="O17374" s="5" t="s">
        <v>355</v>
      </c>
      <c r="P17374" s="5" t="s">
        <v>355</v>
      </c>
      <c r="Q17374" s="5" t="s">
        <v>355</v>
      </c>
    </row>
    <row r="17375" ht="16.5" customHeight="1">
      <c r="O17375" s="5" t="s">
        <v>355</v>
      </c>
      <c r="P17375" s="5" t="s">
        <v>355</v>
      </c>
      <c r="Q17375" s="5" t="s">
        <v>355</v>
      </c>
    </row>
    <row r="17376" ht="16.5" customHeight="1">
      <c r="O17376" s="5" t="s">
        <v>355</v>
      </c>
      <c r="P17376" s="5" t="s">
        <v>355</v>
      </c>
      <c r="Q17376" s="5" t="s">
        <v>355</v>
      </c>
    </row>
    <row r="17377" ht="16.5" customHeight="1">
      <c r="O17377" s="5" t="s">
        <v>355</v>
      </c>
      <c r="P17377" s="5" t="s">
        <v>355</v>
      </c>
      <c r="Q17377" s="5" t="s">
        <v>355</v>
      </c>
    </row>
    <row r="17378" ht="16.5" customHeight="1">
      <c r="O17378" s="5" t="s">
        <v>355</v>
      </c>
      <c r="P17378" s="5" t="s">
        <v>355</v>
      </c>
      <c r="Q17378" s="5" t="s">
        <v>355</v>
      </c>
    </row>
    <row r="17379" ht="16.5" customHeight="1">
      <c r="O17379" s="5" t="s">
        <v>355</v>
      </c>
      <c r="P17379" s="5" t="s">
        <v>355</v>
      </c>
      <c r="Q17379" s="5" t="s">
        <v>355</v>
      </c>
    </row>
    <row r="17380" ht="16.5" customHeight="1">
      <c r="O17380" s="5" t="s">
        <v>355</v>
      </c>
      <c r="P17380" s="5" t="s">
        <v>355</v>
      </c>
      <c r="Q17380" s="5" t="s">
        <v>355</v>
      </c>
    </row>
    <row r="17381" ht="16.5" customHeight="1">
      <c r="O17381" s="5" t="s">
        <v>355</v>
      </c>
      <c r="P17381" s="5" t="s">
        <v>355</v>
      </c>
      <c r="Q17381" s="5" t="s">
        <v>355</v>
      </c>
    </row>
    <row r="17382" ht="16.5" customHeight="1">
      <c r="O17382" s="5" t="s">
        <v>355</v>
      </c>
      <c r="P17382" s="5" t="s">
        <v>355</v>
      </c>
      <c r="Q17382" s="5" t="s">
        <v>355</v>
      </c>
    </row>
    <row r="17383" ht="16.5" customHeight="1">
      <c r="O17383" s="5" t="s">
        <v>355</v>
      </c>
      <c r="P17383" s="5" t="s">
        <v>355</v>
      </c>
      <c r="Q17383" s="5" t="s">
        <v>355</v>
      </c>
    </row>
    <row r="17384" ht="16.5" customHeight="1">
      <c r="O17384" s="5" t="s">
        <v>355</v>
      </c>
      <c r="P17384" s="5" t="s">
        <v>355</v>
      </c>
      <c r="Q17384" s="5" t="s">
        <v>355</v>
      </c>
    </row>
    <row r="17385" ht="16.5" customHeight="1">
      <c r="O17385" s="5" t="s">
        <v>355</v>
      </c>
      <c r="P17385" s="5" t="s">
        <v>355</v>
      </c>
      <c r="Q17385" s="5" t="s">
        <v>355</v>
      </c>
    </row>
    <row r="17386" ht="16.5" customHeight="1">
      <c r="O17386" s="5" t="s">
        <v>355</v>
      </c>
      <c r="P17386" s="5" t="s">
        <v>355</v>
      </c>
      <c r="Q17386" s="5" t="s">
        <v>355</v>
      </c>
    </row>
    <row r="17387" ht="16.5" customHeight="1">
      <c r="O17387" s="5" t="s">
        <v>355</v>
      </c>
      <c r="P17387" s="5" t="s">
        <v>355</v>
      </c>
      <c r="Q17387" s="5" t="s">
        <v>355</v>
      </c>
    </row>
    <row r="17388" ht="16.5" customHeight="1">
      <c r="O17388" s="5" t="s">
        <v>355</v>
      </c>
      <c r="P17388" s="5" t="s">
        <v>355</v>
      </c>
      <c r="Q17388" s="5" t="s">
        <v>355</v>
      </c>
    </row>
    <row r="17389" ht="16.5" customHeight="1">
      <c r="O17389" s="5" t="s">
        <v>355</v>
      </c>
      <c r="P17389" s="5" t="s">
        <v>355</v>
      </c>
      <c r="Q17389" s="5" t="s">
        <v>355</v>
      </c>
    </row>
    <row r="17390" ht="16.5" customHeight="1">
      <c r="O17390" s="5" t="s">
        <v>355</v>
      </c>
      <c r="P17390" s="5" t="s">
        <v>355</v>
      </c>
      <c r="Q17390" s="5" t="s">
        <v>355</v>
      </c>
    </row>
    <row r="17391" ht="16.5" customHeight="1">
      <c r="O17391" s="5" t="s">
        <v>355</v>
      </c>
      <c r="P17391" s="5" t="s">
        <v>355</v>
      </c>
      <c r="Q17391" s="5" t="s">
        <v>355</v>
      </c>
    </row>
    <row r="17392" ht="16.5" customHeight="1">
      <c r="O17392" s="5" t="s">
        <v>355</v>
      </c>
      <c r="P17392" s="5" t="s">
        <v>355</v>
      </c>
      <c r="Q17392" s="5" t="s">
        <v>355</v>
      </c>
    </row>
    <row r="17393" ht="16.5" customHeight="1">
      <c r="O17393" s="5" t="s">
        <v>355</v>
      </c>
      <c r="P17393" s="5" t="s">
        <v>355</v>
      </c>
      <c r="Q17393" s="5" t="s">
        <v>355</v>
      </c>
    </row>
    <row r="17394" ht="16.5" customHeight="1">
      <c r="O17394" s="5" t="s">
        <v>355</v>
      </c>
      <c r="P17394" s="5" t="s">
        <v>355</v>
      </c>
      <c r="Q17394" s="5" t="s">
        <v>355</v>
      </c>
    </row>
    <row r="17395" ht="16.5" customHeight="1">
      <c r="O17395" s="5" t="s">
        <v>355</v>
      </c>
      <c r="P17395" s="5" t="s">
        <v>355</v>
      </c>
      <c r="Q17395" s="5" t="s">
        <v>355</v>
      </c>
    </row>
    <row r="17396" ht="16.5" customHeight="1">
      <c r="O17396" s="5" t="s">
        <v>355</v>
      </c>
      <c r="P17396" s="5" t="s">
        <v>355</v>
      </c>
      <c r="Q17396" s="5" t="s">
        <v>355</v>
      </c>
    </row>
    <row r="17397" ht="16.5" customHeight="1">
      <c r="O17397" s="5" t="s">
        <v>355</v>
      </c>
      <c r="P17397" s="5" t="s">
        <v>355</v>
      </c>
      <c r="Q17397" s="5" t="s">
        <v>355</v>
      </c>
    </row>
    <row r="17398" ht="16.5" customHeight="1">
      <c r="O17398" s="5" t="s">
        <v>355</v>
      </c>
      <c r="P17398" s="5" t="s">
        <v>355</v>
      </c>
      <c r="Q17398" s="5" t="s">
        <v>355</v>
      </c>
    </row>
    <row r="17399" ht="16.5" customHeight="1">
      <c r="O17399" s="5" t="s">
        <v>355</v>
      </c>
      <c r="P17399" s="5" t="s">
        <v>355</v>
      </c>
      <c r="Q17399" s="5" t="s">
        <v>355</v>
      </c>
    </row>
    <row r="17400" ht="16.5" customHeight="1">
      <c r="O17400" s="5" t="s">
        <v>355</v>
      </c>
      <c r="P17400" s="5" t="s">
        <v>355</v>
      </c>
      <c r="Q17400" s="5" t="s">
        <v>355</v>
      </c>
    </row>
    <row r="17401" ht="16.5" customHeight="1">
      <c r="O17401" s="5" t="s">
        <v>355</v>
      </c>
      <c r="P17401" s="5" t="s">
        <v>355</v>
      </c>
      <c r="Q17401" s="5" t="s">
        <v>355</v>
      </c>
    </row>
    <row r="17402" ht="16.5" customHeight="1">
      <c r="O17402" s="5" t="s">
        <v>355</v>
      </c>
      <c r="P17402" s="5" t="s">
        <v>355</v>
      </c>
      <c r="Q17402" s="5" t="s">
        <v>355</v>
      </c>
    </row>
    <row r="17403" ht="16.5" customHeight="1">
      <c r="O17403" s="5" t="s">
        <v>355</v>
      </c>
      <c r="P17403" s="5" t="s">
        <v>355</v>
      </c>
      <c r="Q17403" s="5" t="s">
        <v>355</v>
      </c>
    </row>
    <row r="17404" ht="16.5" customHeight="1">
      <c r="O17404" s="5" t="s">
        <v>355</v>
      </c>
      <c r="P17404" s="5" t="s">
        <v>355</v>
      </c>
      <c r="Q17404" s="5" t="s">
        <v>355</v>
      </c>
    </row>
    <row r="17405" ht="16.5" customHeight="1">
      <c r="O17405" s="5" t="s">
        <v>355</v>
      </c>
      <c r="P17405" s="5" t="s">
        <v>355</v>
      </c>
      <c r="Q17405" s="5" t="s">
        <v>355</v>
      </c>
    </row>
    <row r="17406" ht="16.5" customHeight="1">
      <c r="O17406" s="5" t="s">
        <v>355</v>
      </c>
      <c r="P17406" s="5" t="s">
        <v>355</v>
      </c>
      <c r="Q17406" s="5" t="s">
        <v>355</v>
      </c>
    </row>
    <row r="17407" ht="16.5" customHeight="1">
      <c r="O17407" s="5" t="s">
        <v>355</v>
      </c>
      <c r="P17407" s="5" t="s">
        <v>355</v>
      </c>
      <c r="Q17407" s="5" t="s">
        <v>355</v>
      </c>
    </row>
    <row r="17408" ht="16.5" customHeight="1">
      <c r="O17408" s="5" t="s">
        <v>355</v>
      </c>
      <c r="P17408" s="5" t="s">
        <v>355</v>
      </c>
      <c r="Q17408" s="5" t="s">
        <v>355</v>
      </c>
    </row>
    <row r="17409" ht="16.5" customHeight="1">
      <c r="O17409" s="5" t="s">
        <v>355</v>
      </c>
      <c r="P17409" s="5" t="s">
        <v>355</v>
      </c>
      <c r="Q17409" s="5" t="s">
        <v>355</v>
      </c>
    </row>
    <row r="17410" ht="16.5" customHeight="1">
      <c r="O17410" s="5" t="s">
        <v>355</v>
      </c>
      <c r="P17410" s="5" t="s">
        <v>355</v>
      </c>
      <c r="Q17410" s="5" t="s">
        <v>355</v>
      </c>
    </row>
    <row r="17411" ht="16.5" customHeight="1">
      <c r="O17411" s="5" t="s">
        <v>355</v>
      </c>
      <c r="P17411" s="5" t="s">
        <v>355</v>
      </c>
      <c r="Q17411" s="5" t="s">
        <v>355</v>
      </c>
    </row>
    <row r="17412" ht="16.5" customHeight="1">
      <c r="O17412" s="5" t="s">
        <v>355</v>
      </c>
      <c r="P17412" s="5" t="s">
        <v>355</v>
      </c>
      <c r="Q17412" s="5" t="s">
        <v>355</v>
      </c>
    </row>
    <row r="17413" ht="16.5" customHeight="1">
      <c r="O17413" s="5" t="s">
        <v>355</v>
      </c>
      <c r="P17413" s="5" t="s">
        <v>355</v>
      </c>
      <c r="Q17413" s="5" t="s">
        <v>355</v>
      </c>
    </row>
    <row r="17414" ht="16.5" customHeight="1">
      <c r="O17414" s="5" t="s">
        <v>355</v>
      </c>
      <c r="P17414" s="5" t="s">
        <v>355</v>
      </c>
      <c r="Q17414" s="5" t="s">
        <v>355</v>
      </c>
    </row>
    <row r="17415" ht="16.5" customHeight="1">
      <c r="O17415" s="5" t="s">
        <v>355</v>
      </c>
      <c r="P17415" s="5" t="s">
        <v>355</v>
      </c>
      <c r="Q17415" s="5" t="s">
        <v>355</v>
      </c>
    </row>
    <row r="17416" ht="16.5" customHeight="1">
      <c r="O17416" s="5" t="s">
        <v>355</v>
      </c>
      <c r="P17416" s="5" t="s">
        <v>355</v>
      </c>
      <c r="Q17416" s="5" t="s">
        <v>355</v>
      </c>
    </row>
    <row r="17417" ht="16.5" customHeight="1">
      <c r="O17417" s="5" t="s">
        <v>355</v>
      </c>
      <c r="P17417" s="5" t="s">
        <v>355</v>
      </c>
      <c r="Q17417" s="5" t="s">
        <v>355</v>
      </c>
    </row>
    <row r="17418" ht="16.5" customHeight="1">
      <c r="O17418" s="5" t="s">
        <v>355</v>
      </c>
      <c r="P17418" s="5" t="s">
        <v>355</v>
      </c>
      <c r="Q17418" s="5" t="s">
        <v>355</v>
      </c>
    </row>
    <row r="17419" ht="16.5" customHeight="1">
      <c r="O17419" s="5" t="s">
        <v>355</v>
      </c>
      <c r="P17419" s="5" t="s">
        <v>355</v>
      </c>
      <c r="Q17419" s="5" t="s">
        <v>355</v>
      </c>
    </row>
    <row r="17420" ht="16.5" customHeight="1">
      <c r="O17420" s="5" t="s">
        <v>355</v>
      </c>
      <c r="P17420" s="5" t="s">
        <v>355</v>
      </c>
      <c r="Q17420" s="5" t="s">
        <v>355</v>
      </c>
    </row>
    <row r="17421" ht="16.5" customHeight="1">
      <c r="O17421" s="5" t="s">
        <v>355</v>
      </c>
      <c r="P17421" s="5" t="s">
        <v>355</v>
      </c>
      <c r="Q17421" s="5" t="s">
        <v>355</v>
      </c>
    </row>
    <row r="17422" ht="16.5" customHeight="1">
      <c r="O17422" s="5" t="s">
        <v>355</v>
      </c>
      <c r="P17422" s="5" t="s">
        <v>355</v>
      </c>
      <c r="Q17422" s="5" t="s">
        <v>355</v>
      </c>
    </row>
    <row r="17423" ht="16.5" customHeight="1">
      <c r="O17423" s="5" t="s">
        <v>355</v>
      </c>
      <c r="P17423" s="5" t="s">
        <v>355</v>
      </c>
      <c r="Q17423" s="5" t="s">
        <v>355</v>
      </c>
    </row>
    <row r="17424" ht="16.5" customHeight="1">
      <c r="O17424" s="5" t="s">
        <v>355</v>
      </c>
      <c r="P17424" s="5" t="s">
        <v>355</v>
      </c>
      <c r="Q17424" s="5" t="s">
        <v>355</v>
      </c>
    </row>
    <row r="17425" ht="16.5" customHeight="1">
      <c r="O17425" s="5" t="s">
        <v>355</v>
      </c>
      <c r="P17425" s="5" t="s">
        <v>355</v>
      </c>
      <c r="Q17425" s="5" t="s">
        <v>355</v>
      </c>
    </row>
    <row r="17426" ht="16.5" customHeight="1">
      <c r="O17426" s="5" t="s">
        <v>355</v>
      </c>
      <c r="P17426" s="5" t="s">
        <v>355</v>
      </c>
      <c r="Q17426" s="5" t="s">
        <v>355</v>
      </c>
    </row>
    <row r="17427" ht="16.5" customHeight="1">
      <c r="O17427" s="5" t="s">
        <v>355</v>
      </c>
      <c r="P17427" s="5" t="s">
        <v>355</v>
      </c>
      <c r="Q17427" s="5" t="s">
        <v>355</v>
      </c>
    </row>
    <row r="17428" ht="16.5" customHeight="1">
      <c r="O17428" s="5" t="s">
        <v>355</v>
      </c>
      <c r="P17428" s="5" t="s">
        <v>355</v>
      </c>
      <c r="Q17428" s="5" t="s">
        <v>355</v>
      </c>
    </row>
    <row r="17429" ht="16.5" customHeight="1">
      <c r="O17429" s="5" t="s">
        <v>355</v>
      </c>
      <c r="P17429" s="5" t="s">
        <v>355</v>
      </c>
      <c r="Q17429" s="5" t="s">
        <v>355</v>
      </c>
    </row>
    <row r="17430" ht="16.5" customHeight="1">
      <c r="O17430" s="5" t="s">
        <v>355</v>
      </c>
      <c r="P17430" s="5" t="s">
        <v>355</v>
      </c>
      <c r="Q17430" s="5" t="s">
        <v>355</v>
      </c>
    </row>
    <row r="17431" ht="16.5" customHeight="1">
      <c r="O17431" s="5" t="s">
        <v>355</v>
      </c>
      <c r="P17431" s="5" t="s">
        <v>355</v>
      </c>
      <c r="Q17431" s="5" t="s">
        <v>355</v>
      </c>
    </row>
    <row r="17432" ht="16.5" customHeight="1">
      <c r="O17432" s="5" t="s">
        <v>355</v>
      </c>
      <c r="P17432" s="5" t="s">
        <v>355</v>
      </c>
      <c r="Q17432" s="5" t="s">
        <v>355</v>
      </c>
    </row>
    <row r="17433" ht="16.5" customHeight="1">
      <c r="O17433" s="5" t="s">
        <v>355</v>
      </c>
      <c r="P17433" s="5" t="s">
        <v>355</v>
      </c>
      <c r="Q17433" s="5" t="s">
        <v>355</v>
      </c>
    </row>
    <row r="17434" ht="16.5" customHeight="1">
      <c r="O17434" s="5" t="s">
        <v>355</v>
      </c>
      <c r="P17434" s="5" t="s">
        <v>355</v>
      </c>
      <c r="Q17434" s="5" t="s">
        <v>355</v>
      </c>
    </row>
    <row r="17435" ht="16.5" customHeight="1">
      <c r="O17435" s="5" t="s">
        <v>355</v>
      </c>
      <c r="P17435" s="5" t="s">
        <v>355</v>
      </c>
      <c r="Q17435" s="5" t="s">
        <v>355</v>
      </c>
    </row>
    <row r="17436" ht="16.5" customHeight="1">
      <c r="O17436" s="5" t="s">
        <v>355</v>
      </c>
      <c r="P17436" s="5" t="s">
        <v>355</v>
      </c>
      <c r="Q17436" s="5" t="s">
        <v>355</v>
      </c>
    </row>
    <row r="17437" ht="16.5" customHeight="1">
      <c r="O17437" s="5" t="s">
        <v>355</v>
      </c>
      <c r="P17437" s="5" t="s">
        <v>355</v>
      </c>
      <c r="Q17437" s="5" t="s">
        <v>355</v>
      </c>
    </row>
    <row r="17438" ht="16.5" customHeight="1">
      <c r="O17438" s="5" t="s">
        <v>355</v>
      </c>
      <c r="P17438" s="5" t="s">
        <v>355</v>
      </c>
      <c r="Q17438" s="5" t="s">
        <v>355</v>
      </c>
    </row>
    <row r="17439" ht="16.5" customHeight="1">
      <c r="O17439" s="5" t="s">
        <v>355</v>
      </c>
      <c r="P17439" s="5" t="s">
        <v>355</v>
      </c>
      <c r="Q17439" s="5" t="s">
        <v>355</v>
      </c>
    </row>
    <row r="17440" ht="16.5" customHeight="1">
      <c r="O17440" s="5" t="s">
        <v>355</v>
      </c>
      <c r="P17440" s="5" t="s">
        <v>355</v>
      </c>
      <c r="Q17440" s="5" t="s">
        <v>355</v>
      </c>
    </row>
    <row r="17441" ht="16.5" customHeight="1">
      <c r="O17441" s="5" t="s">
        <v>355</v>
      </c>
      <c r="P17441" s="5" t="s">
        <v>355</v>
      </c>
      <c r="Q17441" s="5" t="s">
        <v>355</v>
      </c>
    </row>
    <row r="17442" ht="16.5" customHeight="1">
      <c r="O17442" s="5" t="s">
        <v>355</v>
      </c>
      <c r="P17442" s="5" t="s">
        <v>355</v>
      </c>
      <c r="Q17442" s="5" t="s">
        <v>355</v>
      </c>
    </row>
    <row r="17443" ht="16.5" customHeight="1">
      <c r="O17443" s="5" t="s">
        <v>355</v>
      </c>
      <c r="P17443" s="5" t="s">
        <v>355</v>
      </c>
      <c r="Q17443" s="5" t="s">
        <v>355</v>
      </c>
    </row>
    <row r="17444" ht="16.5" customHeight="1">
      <c r="O17444" s="5" t="s">
        <v>355</v>
      </c>
      <c r="P17444" s="5" t="s">
        <v>355</v>
      </c>
      <c r="Q17444" s="5" t="s">
        <v>355</v>
      </c>
    </row>
    <row r="17445" ht="16.5" customHeight="1">
      <c r="O17445" s="5" t="s">
        <v>355</v>
      </c>
      <c r="P17445" s="5" t="s">
        <v>355</v>
      </c>
      <c r="Q17445" s="5" t="s">
        <v>355</v>
      </c>
    </row>
    <row r="17446" ht="16.5" customHeight="1">
      <c r="O17446" s="5" t="s">
        <v>355</v>
      </c>
      <c r="P17446" s="5" t="s">
        <v>355</v>
      </c>
      <c r="Q17446" s="5" t="s">
        <v>355</v>
      </c>
    </row>
    <row r="17447" ht="16.5" customHeight="1">
      <c r="O17447" s="5" t="s">
        <v>355</v>
      </c>
      <c r="P17447" s="5" t="s">
        <v>355</v>
      </c>
      <c r="Q17447" s="5" t="s">
        <v>355</v>
      </c>
    </row>
    <row r="17448" ht="16.5" customHeight="1">
      <c r="O17448" s="5" t="s">
        <v>355</v>
      </c>
      <c r="P17448" s="5" t="s">
        <v>355</v>
      </c>
      <c r="Q17448" s="5" t="s">
        <v>355</v>
      </c>
    </row>
    <row r="17449" ht="16.5" customHeight="1">
      <c r="O17449" s="5" t="s">
        <v>355</v>
      </c>
      <c r="P17449" s="5" t="s">
        <v>355</v>
      </c>
      <c r="Q17449" s="5" t="s">
        <v>355</v>
      </c>
    </row>
    <row r="17450" ht="16.5" customHeight="1">
      <c r="O17450" s="5" t="s">
        <v>355</v>
      </c>
      <c r="P17450" s="5" t="s">
        <v>355</v>
      </c>
      <c r="Q17450" s="5" t="s">
        <v>355</v>
      </c>
    </row>
    <row r="17451" ht="16.5" customHeight="1">
      <c r="O17451" s="5" t="s">
        <v>355</v>
      </c>
      <c r="P17451" s="5" t="s">
        <v>355</v>
      </c>
      <c r="Q17451" s="5" t="s">
        <v>355</v>
      </c>
    </row>
    <row r="17452" ht="16.5" customHeight="1">
      <c r="O17452" s="5" t="s">
        <v>355</v>
      </c>
      <c r="P17452" s="5" t="s">
        <v>355</v>
      </c>
      <c r="Q17452" s="5" t="s">
        <v>355</v>
      </c>
    </row>
    <row r="17453" ht="16.5" customHeight="1">
      <c r="O17453" s="5" t="s">
        <v>355</v>
      </c>
      <c r="P17453" s="5" t="s">
        <v>355</v>
      </c>
      <c r="Q17453" s="5" t="s">
        <v>355</v>
      </c>
    </row>
    <row r="17454" ht="16.5" customHeight="1">
      <c r="O17454" s="5" t="s">
        <v>355</v>
      </c>
      <c r="P17454" s="5" t="s">
        <v>355</v>
      </c>
      <c r="Q17454" s="5" t="s">
        <v>355</v>
      </c>
    </row>
    <row r="17455" ht="16.5" customHeight="1">
      <c r="O17455" s="5" t="s">
        <v>355</v>
      </c>
      <c r="P17455" s="5" t="s">
        <v>355</v>
      </c>
      <c r="Q17455" s="5" t="s">
        <v>355</v>
      </c>
    </row>
    <row r="17456" ht="16.5" customHeight="1">
      <c r="O17456" s="5" t="s">
        <v>355</v>
      </c>
      <c r="P17456" s="5" t="s">
        <v>355</v>
      </c>
      <c r="Q17456" s="5" t="s">
        <v>355</v>
      </c>
    </row>
    <row r="17457" ht="16.5" customHeight="1">
      <c r="O17457" s="5" t="s">
        <v>355</v>
      </c>
      <c r="P17457" s="5" t="s">
        <v>355</v>
      </c>
      <c r="Q17457" s="5" t="s">
        <v>355</v>
      </c>
    </row>
    <row r="17458" ht="16.5" customHeight="1">
      <c r="O17458" s="5" t="s">
        <v>355</v>
      </c>
      <c r="P17458" s="5" t="s">
        <v>355</v>
      </c>
      <c r="Q17458" s="5" t="s">
        <v>355</v>
      </c>
    </row>
    <row r="17459" ht="16.5" customHeight="1">
      <c r="O17459" s="5" t="s">
        <v>355</v>
      </c>
      <c r="P17459" s="5" t="s">
        <v>355</v>
      </c>
      <c r="Q17459" s="5" t="s">
        <v>355</v>
      </c>
    </row>
    <row r="17460" ht="16.5" customHeight="1">
      <c r="O17460" s="5" t="s">
        <v>355</v>
      </c>
      <c r="P17460" s="5" t="s">
        <v>355</v>
      </c>
      <c r="Q17460" s="5" t="s">
        <v>355</v>
      </c>
    </row>
    <row r="17461" ht="16.5" customHeight="1">
      <c r="O17461" s="5" t="s">
        <v>355</v>
      </c>
      <c r="P17461" s="5" t="s">
        <v>355</v>
      </c>
      <c r="Q17461" s="5" t="s">
        <v>355</v>
      </c>
    </row>
    <row r="17462" ht="16.5" customHeight="1">
      <c r="O17462" s="5" t="s">
        <v>355</v>
      </c>
      <c r="P17462" s="5" t="s">
        <v>355</v>
      </c>
      <c r="Q17462" s="5" t="s">
        <v>355</v>
      </c>
    </row>
    <row r="17463" ht="16.5" customHeight="1">
      <c r="O17463" s="5" t="s">
        <v>355</v>
      </c>
      <c r="P17463" s="5" t="s">
        <v>355</v>
      </c>
      <c r="Q17463" s="5" t="s">
        <v>355</v>
      </c>
    </row>
    <row r="17464" ht="16.5" customHeight="1">
      <c r="O17464" s="5" t="s">
        <v>355</v>
      </c>
      <c r="P17464" s="5" t="s">
        <v>355</v>
      </c>
      <c r="Q17464" s="5" t="s">
        <v>355</v>
      </c>
    </row>
    <row r="17465" ht="16.5" customHeight="1">
      <c r="O17465" s="5" t="s">
        <v>355</v>
      </c>
      <c r="P17465" s="5" t="s">
        <v>355</v>
      </c>
      <c r="Q17465" s="5" t="s">
        <v>355</v>
      </c>
    </row>
    <row r="17466" ht="16.5" customHeight="1">
      <c r="O17466" s="5" t="s">
        <v>355</v>
      </c>
      <c r="P17466" s="5" t="s">
        <v>355</v>
      </c>
      <c r="Q17466" s="5" t="s">
        <v>355</v>
      </c>
    </row>
    <row r="17467" ht="16.5" customHeight="1">
      <c r="O17467" s="5" t="s">
        <v>355</v>
      </c>
      <c r="P17467" s="5" t="s">
        <v>355</v>
      </c>
      <c r="Q17467" s="5" t="s">
        <v>355</v>
      </c>
    </row>
    <row r="17468" ht="16.5" customHeight="1">
      <c r="O17468" s="5" t="s">
        <v>355</v>
      </c>
      <c r="P17468" s="5" t="s">
        <v>355</v>
      </c>
      <c r="Q17468" s="5" t="s">
        <v>355</v>
      </c>
    </row>
    <row r="17469" ht="16.5" customHeight="1">
      <c r="O17469" s="5" t="s">
        <v>355</v>
      </c>
      <c r="P17469" s="5" t="s">
        <v>355</v>
      </c>
      <c r="Q17469" s="5" t="s">
        <v>355</v>
      </c>
    </row>
    <row r="17470" ht="16.5" customHeight="1">
      <c r="O17470" s="5" t="s">
        <v>355</v>
      </c>
      <c r="P17470" s="5" t="s">
        <v>355</v>
      </c>
      <c r="Q17470" s="5" t="s">
        <v>355</v>
      </c>
    </row>
    <row r="17471" ht="16.5" customHeight="1">
      <c r="O17471" s="5" t="s">
        <v>355</v>
      </c>
      <c r="P17471" s="5" t="s">
        <v>355</v>
      </c>
      <c r="Q17471" s="5" t="s">
        <v>355</v>
      </c>
    </row>
    <row r="17472" ht="16.5" customHeight="1">
      <c r="O17472" s="5" t="s">
        <v>355</v>
      </c>
      <c r="P17472" s="5" t="s">
        <v>355</v>
      </c>
      <c r="Q17472" s="5" t="s">
        <v>355</v>
      </c>
    </row>
    <row r="17473" ht="16.5" customHeight="1">
      <c r="O17473" s="5" t="s">
        <v>355</v>
      </c>
      <c r="P17473" s="5" t="s">
        <v>355</v>
      </c>
      <c r="Q17473" s="5" t="s">
        <v>355</v>
      </c>
    </row>
    <row r="17474" ht="16.5" customHeight="1">
      <c r="O17474" s="5" t="s">
        <v>355</v>
      </c>
      <c r="P17474" s="5" t="s">
        <v>355</v>
      </c>
      <c r="Q17474" s="5" t="s">
        <v>355</v>
      </c>
    </row>
    <row r="17475" ht="16.5" customHeight="1">
      <c r="O17475" s="5" t="s">
        <v>355</v>
      </c>
      <c r="P17475" s="5" t="s">
        <v>355</v>
      </c>
      <c r="Q17475" s="5" t="s">
        <v>355</v>
      </c>
    </row>
    <row r="17476" ht="16.5" customHeight="1">
      <c r="O17476" s="5" t="s">
        <v>355</v>
      </c>
      <c r="P17476" s="5" t="s">
        <v>355</v>
      </c>
      <c r="Q17476" s="5" t="s">
        <v>355</v>
      </c>
    </row>
    <row r="17477" ht="16.5" customHeight="1">
      <c r="O17477" s="5" t="s">
        <v>355</v>
      </c>
      <c r="P17477" s="5" t="s">
        <v>355</v>
      </c>
      <c r="Q17477" s="5" t="s">
        <v>355</v>
      </c>
    </row>
    <row r="17478" ht="16.5" customHeight="1">
      <c r="O17478" s="5" t="s">
        <v>355</v>
      </c>
      <c r="P17478" s="5" t="s">
        <v>355</v>
      </c>
      <c r="Q17478" s="5" t="s">
        <v>355</v>
      </c>
    </row>
    <row r="17479" ht="16.5" customHeight="1">
      <c r="O17479" s="5" t="s">
        <v>355</v>
      </c>
      <c r="P17479" s="5" t="s">
        <v>355</v>
      </c>
      <c r="Q17479" s="5" t="s">
        <v>355</v>
      </c>
    </row>
    <row r="17480" ht="16.5" customHeight="1">
      <c r="O17480" s="5" t="s">
        <v>355</v>
      </c>
      <c r="P17480" s="5" t="s">
        <v>355</v>
      </c>
      <c r="Q17480" s="5" t="s">
        <v>355</v>
      </c>
    </row>
    <row r="17481" ht="16.5" customHeight="1">
      <c r="O17481" s="5" t="s">
        <v>355</v>
      </c>
      <c r="P17481" s="5" t="s">
        <v>355</v>
      </c>
      <c r="Q17481" s="5" t="s">
        <v>355</v>
      </c>
    </row>
    <row r="17482" ht="16.5" customHeight="1">
      <c r="O17482" s="5" t="s">
        <v>355</v>
      </c>
      <c r="P17482" s="5" t="s">
        <v>355</v>
      </c>
      <c r="Q17482" s="5" t="s">
        <v>355</v>
      </c>
    </row>
    <row r="17483" ht="16.5" customHeight="1">
      <c r="O17483" s="5" t="s">
        <v>355</v>
      </c>
      <c r="P17483" s="5" t="s">
        <v>355</v>
      </c>
      <c r="Q17483" s="5" t="s">
        <v>355</v>
      </c>
    </row>
    <row r="17484" ht="16.5" customHeight="1">
      <c r="O17484" s="5" t="s">
        <v>355</v>
      </c>
      <c r="P17484" s="5" t="s">
        <v>355</v>
      </c>
      <c r="Q17484" s="5" t="s">
        <v>355</v>
      </c>
    </row>
    <row r="17485" ht="16.5" customHeight="1">
      <c r="O17485" s="5" t="s">
        <v>355</v>
      </c>
      <c r="P17485" s="5" t="s">
        <v>355</v>
      </c>
      <c r="Q17485" s="5" t="s">
        <v>355</v>
      </c>
    </row>
    <row r="17486" ht="16.5" customHeight="1">
      <c r="O17486" s="5" t="s">
        <v>355</v>
      </c>
      <c r="P17486" s="5" t="s">
        <v>355</v>
      </c>
      <c r="Q17486" s="5" t="s">
        <v>355</v>
      </c>
    </row>
    <row r="17487" ht="16.5" customHeight="1">
      <c r="O17487" s="5" t="s">
        <v>355</v>
      </c>
      <c r="P17487" s="5" t="s">
        <v>355</v>
      </c>
      <c r="Q17487" s="5" t="s">
        <v>355</v>
      </c>
    </row>
    <row r="17488" ht="16.5" customHeight="1">
      <c r="O17488" s="5" t="s">
        <v>355</v>
      </c>
      <c r="P17488" s="5" t="s">
        <v>355</v>
      </c>
      <c r="Q17488" s="5" t="s">
        <v>355</v>
      </c>
    </row>
    <row r="17489" ht="16.5" customHeight="1">
      <c r="O17489" s="5" t="s">
        <v>355</v>
      </c>
      <c r="P17489" s="5" t="s">
        <v>355</v>
      </c>
      <c r="Q17489" s="5" t="s">
        <v>355</v>
      </c>
    </row>
    <row r="17490" ht="16.5" customHeight="1">
      <c r="O17490" s="5" t="s">
        <v>355</v>
      </c>
      <c r="P17490" s="5" t="s">
        <v>355</v>
      </c>
      <c r="Q17490" s="5" t="s">
        <v>355</v>
      </c>
    </row>
    <row r="17491" ht="16.5" customHeight="1">
      <c r="O17491" s="5" t="s">
        <v>355</v>
      </c>
      <c r="P17491" s="5" t="s">
        <v>355</v>
      </c>
      <c r="Q17491" s="5" t="s">
        <v>355</v>
      </c>
    </row>
    <row r="17492" ht="16.5" customHeight="1">
      <c r="O17492" s="5" t="s">
        <v>355</v>
      </c>
      <c r="P17492" s="5" t="s">
        <v>355</v>
      </c>
      <c r="Q17492" s="5" t="s">
        <v>355</v>
      </c>
    </row>
    <row r="17493" ht="16.5" customHeight="1">
      <c r="O17493" s="5" t="s">
        <v>355</v>
      </c>
      <c r="P17493" s="5" t="s">
        <v>355</v>
      </c>
      <c r="Q17493" s="5" t="s">
        <v>355</v>
      </c>
    </row>
    <row r="17494" ht="16.5" customHeight="1">
      <c r="O17494" s="5" t="s">
        <v>355</v>
      </c>
      <c r="P17494" s="5" t="s">
        <v>355</v>
      </c>
      <c r="Q17494" s="5" t="s">
        <v>355</v>
      </c>
    </row>
    <row r="17495" ht="16.5" customHeight="1">
      <c r="O17495" s="5" t="s">
        <v>355</v>
      </c>
      <c r="P17495" s="5" t="s">
        <v>355</v>
      </c>
      <c r="Q17495" s="5" t="s">
        <v>355</v>
      </c>
    </row>
    <row r="17496" ht="16.5" customHeight="1">
      <c r="O17496" s="5" t="s">
        <v>355</v>
      </c>
      <c r="P17496" s="5" t="s">
        <v>355</v>
      </c>
      <c r="Q17496" s="5" t="s">
        <v>355</v>
      </c>
    </row>
    <row r="17497" ht="16.5" customHeight="1">
      <c r="O17497" s="5" t="s">
        <v>355</v>
      </c>
      <c r="P17497" s="5" t="s">
        <v>355</v>
      </c>
      <c r="Q17497" s="5" t="s">
        <v>355</v>
      </c>
    </row>
    <row r="17498" ht="16.5" customHeight="1">
      <c r="O17498" s="5" t="s">
        <v>355</v>
      </c>
      <c r="P17498" s="5" t="s">
        <v>355</v>
      </c>
      <c r="Q17498" s="5" t="s">
        <v>355</v>
      </c>
    </row>
    <row r="17499" ht="16.5" customHeight="1">
      <c r="O17499" s="5" t="s">
        <v>355</v>
      </c>
      <c r="P17499" s="5" t="s">
        <v>355</v>
      </c>
      <c r="Q17499" s="5" t="s">
        <v>355</v>
      </c>
    </row>
    <row r="17500" ht="16.5" customHeight="1">
      <c r="O17500" s="5" t="s">
        <v>355</v>
      </c>
      <c r="P17500" s="5" t="s">
        <v>355</v>
      </c>
      <c r="Q17500" s="5" t="s">
        <v>355</v>
      </c>
    </row>
    <row r="17501" ht="16.5" customHeight="1">
      <c r="O17501" s="5" t="s">
        <v>355</v>
      </c>
      <c r="P17501" s="5" t="s">
        <v>355</v>
      </c>
      <c r="Q17501" s="5" t="s">
        <v>355</v>
      </c>
    </row>
    <row r="17502" ht="16.5" customHeight="1">
      <c r="O17502" s="5" t="s">
        <v>355</v>
      </c>
      <c r="P17502" s="5" t="s">
        <v>355</v>
      </c>
      <c r="Q17502" s="5" t="s">
        <v>355</v>
      </c>
    </row>
    <row r="17503" ht="16.5" customHeight="1">
      <c r="O17503" s="5" t="s">
        <v>355</v>
      </c>
      <c r="P17503" s="5" t="s">
        <v>355</v>
      </c>
      <c r="Q17503" s="5" t="s">
        <v>355</v>
      </c>
    </row>
    <row r="17504" ht="16.5" customHeight="1">
      <c r="O17504" s="5" t="s">
        <v>355</v>
      </c>
      <c r="P17504" s="5" t="s">
        <v>355</v>
      </c>
      <c r="Q17504" s="5" t="s">
        <v>355</v>
      </c>
    </row>
    <row r="17505" ht="16.5" customHeight="1">
      <c r="O17505" s="5" t="s">
        <v>355</v>
      </c>
      <c r="P17505" s="5" t="s">
        <v>355</v>
      </c>
      <c r="Q17505" s="5" t="s">
        <v>355</v>
      </c>
    </row>
    <row r="17506" ht="16.5" customHeight="1">
      <c r="O17506" s="5" t="s">
        <v>355</v>
      </c>
      <c r="P17506" s="5" t="s">
        <v>355</v>
      </c>
      <c r="Q17506" s="5" t="s">
        <v>355</v>
      </c>
    </row>
    <row r="17507" ht="16.5" customHeight="1">
      <c r="O17507" s="5" t="s">
        <v>355</v>
      </c>
      <c r="P17507" s="5" t="s">
        <v>355</v>
      </c>
      <c r="Q17507" s="5" t="s">
        <v>355</v>
      </c>
    </row>
    <row r="17508" ht="16.5" customHeight="1">
      <c r="O17508" s="5" t="s">
        <v>355</v>
      </c>
      <c r="P17508" s="5" t="s">
        <v>355</v>
      </c>
      <c r="Q17508" s="5" t="s">
        <v>355</v>
      </c>
    </row>
    <row r="17509" ht="16.5" customHeight="1">
      <c r="O17509" s="5" t="s">
        <v>355</v>
      </c>
      <c r="P17509" s="5" t="s">
        <v>355</v>
      </c>
      <c r="Q17509" s="5" t="s">
        <v>355</v>
      </c>
    </row>
    <row r="17510" ht="16.5" customHeight="1">
      <c r="O17510" s="5" t="s">
        <v>355</v>
      </c>
      <c r="P17510" s="5" t="s">
        <v>355</v>
      </c>
      <c r="Q17510" s="5" t="s">
        <v>355</v>
      </c>
    </row>
    <row r="17511" ht="16.5" customHeight="1">
      <c r="O17511" s="5" t="s">
        <v>355</v>
      </c>
      <c r="P17511" s="5" t="s">
        <v>355</v>
      </c>
      <c r="Q17511" s="5" t="s">
        <v>355</v>
      </c>
    </row>
    <row r="17512" ht="16.5" customHeight="1">
      <c r="O17512" s="5" t="s">
        <v>355</v>
      </c>
      <c r="P17512" s="5" t="s">
        <v>355</v>
      </c>
      <c r="Q17512" s="5" t="s">
        <v>355</v>
      </c>
    </row>
    <row r="17513" ht="16.5" customHeight="1">
      <c r="O17513" s="5" t="s">
        <v>355</v>
      </c>
      <c r="P17513" s="5" t="s">
        <v>355</v>
      </c>
      <c r="Q17513" s="5" t="s">
        <v>355</v>
      </c>
    </row>
    <row r="17514" ht="16.5" customHeight="1">
      <c r="O17514" s="5" t="s">
        <v>355</v>
      </c>
      <c r="P17514" s="5" t="s">
        <v>355</v>
      </c>
      <c r="Q17514" s="5" t="s">
        <v>355</v>
      </c>
    </row>
    <row r="17515" ht="16.5" customHeight="1">
      <c r="O17515" s="5" t="s">
        <v>355</v>
      </c>
      <c r="P17515" s="5" t="s">
        <v>355</v>
      </c>
      <c r="Q17515" s="5" t="s">
        <v>355</v>
      </c>
    </row>
    <row r="17516" ht="16.5" customHeight="1">
      <c r="O17516" s="5" t="s">
        <v>355</v>
      </c>
      <c r="P17516" s="5" t="s">
        <v>355</v>
      </c>
      <c r="Q17516" s="5" t="s">
        <v>355</v>
      </c>
    </row>
    <row r="17517" ht="16.5" customHeight="1">
      <c r="O17517" s="5" t="s">
        <v>355</v>
      </c>
      <c r="P17517" s="5" t="s">
        <v>355</v>
      </c>
      <c r="Q17517" s="5" t="s">
        <v>355</v>
      </c>
    </row>
    <row r="17518" ht="16.5" customHeight="1">
      <c r="O17518" s="5" t="s">
        <v>355</v>
      </c>
      <c r="P17518" s="5" t="s">
        <v>355</v>
      </c>
      <c r="Q17518" s="5" t="s">
        <v>355</v>
      </c>
    </row>
    <row r="17519" ht="16.5" customHeight="1">
      <c r="O17519" s="5" t="s">
        <v>355</v>
      </c>
      <c r="P17519" s="5" t="s">
        <v>355</v>
      </c>
      <c r="Q17519" s="5" t="s">
        <v>355</v>
      </c>
    </row>
    <row r="17520" ht="16.5" customHeight="1">
      <c r="O17520" s="5" t="s">
        <v>355</v>
      </c>
      <c r="P17520" s="5" t="s">
        <v>355</v>
      </c>
      <c r="Q17520" s="5" t="s">
        <v>355</v>
      </c>
    </row>
    <row r="17521" ht="16.5" customHeight="1">
      <c r="O17521" s="5" t="s">
        <v>355</v>
      </c>
      <c r="P17521" s="5" t="s">
        <v>355</v>
      </c>
      <c r="Q17521" s="5" t="s">
        <v>355</v>
      </c>
    </row>
    <row r="17522" ht="16.5" customHeight="1">
      <c r="O17522" s="5" t="s">
        <v>355</v>
      </c>
      <c r="P17522" s="5" t="s">
        <v>355</v>
      </c>
      <c r="Q17522" s="5" t="s">
        <v>355</v>
      </c>
    </row>
    <row r="17523" ht="16.5" customHeight="1">
      <c r="O17523" s="5" t="s">
        <v>355</v>
      </c>
      <c r="P17523" s="5" t="s">
        <v>355</v>
      </c>
      <c r="Q17523" s="5" t="s">
        <v>355</v>
      </c>
    </row>
    <row r="17524" ht="16.5" customHeight="1">
      <c r="O17524" s="5" t="s">
        <v>355</v>
      </c>
      <c r="P17524" s="5" t="s">
        <v>355</v>
      </c>
      <c r="Q17524" s="5" t="s">
        <v>355</v>
      </c>
    </row>
    <row r="17525" ht="16.5" customHeight="1">
      <c r="O17525" s="5" t="s">
        <v>355</v>
      </c>
      <c r="P17525" s="5" t="s">
        <v>355</v>
      </c>
      <c r="Q17525" s="5" t="s">
        <v>355</v>
      </c>
    </row>
    <row r="17526" ht="16.5" customHeight="1">
      <c r="O17526" s="5" t="s">
        <v>355</v>
      </c>
      <c r="P17526" s="5" t="s">
        <v>355</v>
      </c>
      <c r="Q17526" s="5" t="s">
        <v>355</v>
      </c>
    </row>
    <row r="17527" ht="16.5" customHeight="1">
      <c r="O17527" s="5" t="s">
        <v>355</v>
      </c>
      <c r="P17527" s="5" t="s">
        <v>355</v>
      </c>
      <c r="Q17527" s="5" t="s">
        <v>355</v>
      </c>
    </row>
    <row r="17528" ht="16.5" customHeight="1">
      <c r="O17528" s="5" t="s">
        <v>355</v>
      </c>
      <c r="P17528" s="5" t="s">
        <v>355</v>
      </c>
      <c r="Q17528" s="5" t="s">
        <v>355</v>
      </c>
    </row>
    <row r="17529" ht="16.5" customHeight="1">
      <c r="O17529" s="5" t="s">
        <v>355</v>
      </c>
      <c r="P17529" s="5" t="s">
        <v>355</v>
      </c>
      <c r="Q17529" s="5" t="s">
        <v>355</v>
      </c>
    </row>
    <row r="17530" ht="16.5" customHeight="1">
      <c r="O17530" s="5" t="s">
        <v>355</v>
      </c>
      <c r="P17530" s="5" t="s">
        <v>355</v>
      </c>
      <c r="Q17530" s="5" t="s">
        <v>355</v>
      </c>
    </row>
    <row r="17531" ht="16.5" customHeight="1">
      <c r="O17531" s="5" t="s">
        <v>355</v>
      </c>
      <c r="P17531" s="5" t="s">
        <v>355</v>
      </c>
      <c r="Q17531" s="5" t="s">
        <v>355</v>
      </c>
    </row>
    <row r="17532" ht="16.5" customHeight="1">
      <c r="O17532" s="5" t="s">
        <v>355</v>
      </c>
      <c r="P17532" s="5" t="s">
        <v>355</v>
      </c>
      <c r="Q17532" s="5" t="s">
        <v>355</v>
      </c>
    </row>
    <row r="17533" ht="16.5" customHeight="1">
      <c r="O17533" s="5" t="s">
        <v>355</v>
      </c>
      <c r="P17533" s="5" t="s">
        <v>355</v>
      </c>
      <c r="Q17533" s="5" t="s">
        <v>355</v>
      </c>
    </row>
    <row r="17534" ht="16.5" customHeight="1">
      <c r="O17534" s="5" t="s">
        <v>355</v>
      </c>
      <c r="P17534" s="5" t="s">
        <v>355</v>
      </c>
      <c r="Q17534" s="5" t="s">
        <v>355</v>
      </c>
    </row>
    <row r="17535" ht="16.5" customHeight="1">
      <c r="O17535" s="5" t="s">
        <v>355</v>
      </c>
      <c r="P17535" s="5" t="s">
        <v>355</v>
      </c>
      <c r="Q17535" s="5" t="s">
        <v>355</v>
      </c>
    </row>
    <row r="17536" ht="16.5" customHeight="1">
      <c r="O17536" s="5" t="s">
        <v>355</v>
      </c>
      <c r="P17536" s="5" t="s">
        <v>355</v>
      </c>
      <c r="Q17536" s="5" t="s">
        <v>355</v>
      </c>
    </row>
    <row r="17537" ht="16.5" customHeight="1">
      <c r="O17537" s="5" t="s">
        <v>355</v>
      </c>
      <c r="P17537" s="5" t="s">
        <v>355</v>
      </c>
      <c r="Q17537" s="5" t="s">
        <v>355</v>
      </c>
    </row>
    <row r="17538" ht="16.5" customHeight="1">
      <c r="O17538" s="5" t="s">
        <v>355</v>
      </c>
      <c r="P17538" s="5" t="s">
        <v>355</v>
      </c>
      <c r="Q17538" s="5" t="s">
        <v>355</v>
      </c>
    </row>
    <row r="17539" ht="16.5" customHeight="1">
      <c r="O17539" s="5" t="s">
        <v>355</v>
      </c>
      <c r="P17539" s="5" t="s">
        <v>355</v>
      </c>
      <c r="Q17539" s="5" t="s">
        <v>355</v>
      </c>
    </row>
    <row r="17540" ht="16.5" customHeight="1">
      <c r="O17540" s="5" t="s">
        <v>355</v>
      </c>
      <c r="P17540" s="5" t="s">
        <v>355</v>
      </c>
      <c r="Q17540" s="5" t="s">
        <v>355</v>
      </c>
    </row>
    <row r="17541" ht="16.5" customHeight="1">
      <c r="O17541" s="5" t="s">
        <v>355</v>
      </c>
      <c r="P17541" s="5" t="s">
        <v>355</v>
      </c>
      <c r="Q17541" s="5" t="s">
        <v>355</v>
      </c>
    </row>
    <row r="17542" ht="16.5" customHeight="1">
      <c r="O17542" s="5" t="s">
        <v>355</v>
      </c>
      <c r="P17542" s="5" t="s">
        <v>355</v>
      </c>
      <c r="Q17542" s="5" t="s">
        <v>355</v>
      </c>
    </row>
    <row r="17543" ht="16.5" customHeight="1">
      <c r="O17543" s="5" t="s">
        <v>355</v>
      </c>
      <c r="P17543" s="5" t="s">
        <v>355</v>
      </c>
      <c r="Q17543" s="5" t="s">
        <v>355</v>
      </c>
    </row>
    <row r="17544" ht="16.5" customHeight="1">
      <c r="O17544" s="5" t="s">
        <v>355</v>
      </c>
      <c r="P17544" s="5" t="s">
        <v>355</v>
      </c>
      <c r="Q17544" s="5" t="s">
        <v>355</v>
      </c>
    </row>
    <row r="17545" ht="16.5" customHeight="1">
      <c r="O17545" s="5" t="s">
        <v>355</v>
      </c>
      <c r="P17545" s="5" t="s">
        <v>355</v>
      </c>
      <c r="Q17545" s="5" t="s">
        <v>355</v>
      </c>
    </row>
    <row r="17546" ht="16.5" customHeight="1">
      <c r="O17546" s="5" t="s">
        <v>355</v>
      </c>
      <c r="P17546" s="5" t="s">
        <v>355</v>
      </c>
      <c r="Q17546" s="5" t="s">
        <v>355</v>
      </c>
    </row>
    <row r="17547" ht="16.5" customHeight="1">
      <c r="O17547" s="5" t="s">
        <v>355</v>
      </c>
      <c r="P17547" s="5" t="s">
        <v>355</v>
      </c>
      <c r="Q17547" s="5" t="s">
        <v>355</v>
      </c>
    </row>
    <row r="17548" ht="16.5" customHeight="1">
      <c r="O17548" s="5" t="s">
        <v>355</v>
      </c>
      <c r="P17548" s="5" t="s">
        <v>355</v>
      </c>
      <c r="Q17548" s="5" t="s">
        <v>355</v>
      </c>
    </row>
    <row r="17549" ht="16.5" customHeight="1">
      <c r="O17549" s="5" t="s">
        <v>355</v>
      </c>
      <c r="P17549" s="5" t="s">
        <v>355</v>
      </c>
      <c r="Q17549" s="5" t="s">
        <v>355</v>
      </c>
    </row>
    <row r="17550" ht="16.5" customHeight="1">
      <c r="O17550" s="5" t="s">
        <v>355</v>
      </c>
      <c r="P17550" s="5" t="s">
        <v>355</v>
      </c>
      <c r="Q17550" s="5" t="s">
        <v>355</v>
      </c>
    </row>
    <row r="17551" ht="16.5" customHeight="1">
      <c r="O17551" s="5" t="s">
        <v>355</v>
      </c>
      <c r="P17551" s="5" t="s">
        <v>355</v>
      </c>
      <c r="Q17551" s="5" t="s">
        <v>355</v>
      </c>
    </row>
    <row r="17552" ht="16.5" customHeight="1">
      <c r="O17552" s="5" t="s">
        <v>355</v>
      </c>
      <c r="P17552" s="5" t="s">
        <v>355</v>
      </c>
      <c r="Q17552" s="5" t="s">
        <v>355</v>
      </c>
    </row>
    <row r="17553" ht="16.5" customHeight="1">
      <c r="O17553" s="5" t="s">
        <v>355</v>
      </c>
      <c r="P17553" s="5" t="s">
        <v>355</v>
      </c>
      <c r="Q17553" s="5" t="s">
        <v>355</v>
      </c>
    </row>
    <row r="17554" ht="16.5" customHeight="1">
      <c r="O17554" s="5" t="s">
        <v>355</v>
      </c>
      <c r="P17554" s="5" t="s">
        <v>355</v>
      </c>
      <c r="Q17554" s="5" t="s">
        <v>355</v>
      </c>
    </row>
    <row r="17555" ht="16.5" customHeight="1">
      <c r="O17555" s="5" t="s">
        <v>355</v>
      </c>
      <c r="P17555" s="5" t="s">
        <v>355</v>
      </c>
      <c r="Q17555" s="5" t="s">
        <v>355</v>
      </c>
    </row>
    <row r="17556" ht="16.5" customHeight="1">
      <c r="O17556" s="5" t="s">
        <v>355</v>
      </c>
      <c r="P17556" s="5" t="s">
        <v>355</v>
      </c>
      <c r="Q17556" s="5" t="s">
        <v>355</v>
      </c>
    </row>
    <row r="17557" ht="16.5" customHeight="1">
      <c r="O17557" s="5" t="s">
        <v>355</v>
      </c>
      <c r="P17557" s="5" t="s">
        <v>355</v>
      </c>
      <c r="Q17557" s="5" t="s">
        <v>355</v>
      </c>
    </row>
    <row r="17558" ht="16.5" customHeight="1">
      <c r="O17558" s="5" t="s">
        <v>355</v>
      </c>
      <c r="P17558" s="5" t="s">
        <v>355</v>
      </c>
      <c r="Q17558" s="5" t="s">
        <v>355</v>
      </c>
    </row>
    <row r="17559" ht="16.5" customHeight="1">
      <c r="O17559" s="5" t="s">
        <v>355</v>
      </c>
      <c r="P17559" s="5" t="s">
        <v>355</v>
      </c>
      <c r="Q17559" s="5" t="s">
        <v>355</v>
      </c>
    </row>
    <row r="17560" ht="16.5" customHeight="1">
      <c r="O17560" s="5" t="s">
        <v>355</v>
      </c>
      <c r="P17560" s="5" t="s">
        <v>355</v>
      </c>
      <c r="Q17560" s="5" t="s">
        <v>355</v>
      </c>
    </row>
    <row r="17561" ht="16.5" customHeight="1">
      <c r="O17561" s="5" t="s">
        <v>355</v>
      </c>
      <c r="P17561" s="5" t="s">
        <v>355</v>
      </c>
      <c r="Q17561" s="5" t="s">
        <v>355</v>
      </c>
    </row>
    <row r="17562" ht="16.5" customHeight="1">
      <c r="O17562" s="5" t="s">
        <v>355</v>
      </c>
      <c r="P17562" s="5" t="s">
        <v>355</v>
      </c>
      <c r="Q17562" s="5" t="s">
        <v>355</v>
      </c>
    </row>
    <row r="17563" ht="16.5" customHeight="1">
      <c r="O17563" s="5" t="s">
        <v>355</v>
      </c>
      <c r="P17563" s="5" t="s">
        <v>355</v>
      </c>
      <c r="Q17563" s="5" t="s">
        <v>355</v>
      </c>
    </row>
    <row r="17564" ht="16.5" customHeight="1">
      <c r="O17564" s="5" t="s">
        <v>355</v>
      </c>
      <c r="P17564" s="5" t="s">
        <v>355</v>
      </c>
      <c r="Q17564" s="5" t="s">
        <v>355</v>
      </c>
    </row>
    <row r="17565" ht="16.5" customHeight="1">
      <c r="O17565" s="5" t="s">
        <v>355</v>
      </c>
      <c r="P17565" s="5" t="s">
        <v>355</v>
      </c>
      <c r="Q17565" s="5" t="s">
        <v>355</v>
      </c>
    </row>
    <row r="17566" ht="16.5" customHeight="1">
      <c r="O17566" s="5" t="s">
        <v>355</v>
      </c>
      <c r="P17566" s="5" t="s">
        <v>355</v>
      </c>
      <c r="Q17566" s="5" t="s">
        <v>355</v>
      </c>
    </row>
    <row r="17567" ht="16.5" customHeight="1">
      <c r="O17567" s="5" t="s">
        <v>355</v>
      </c>
      <c r="P17567" s="5" t="s">
        <v>355</v>
      </c>
      <c r="Q17567" s="5" t="s">
        <v>355</v>
      </c>
    </row>
    <row r="17568" ht="16.5" customHeight="1">
      <c r="O17568" s="5" t="s">
        <v>355</v>
      </c>
      <c r="P17568" s="5" t="s">
        <v>355</v>
      </c>
      <c r="Q17568" s="5" t="s">
        <v>355</v>
      </c>
    </row>
    <row r="17569" ht="16.5" customHeight="1">
      <c r="O17569" s="5" t="s">
        <v>355</v>
      </c>
      <c r="P17569" s="5" t="s">
        <v>355</v>
      </c>
      <c r="Q17569" s="5" t="s">
        <v>355</v>
      </c>
    </row>
    <row r="17570" ht="16.5" customHeight="1">
      <c r="O17570" s="5" t="s">
        <v>355</v>
      </c>
      <c r="P17570" s="5" t="s">
        <v>355</v>
      </c>
      <c r="Q17570" s="5" t="s">
        <v>355</v>
      </c>
    </row>
    <row r="17571" ht="16.5" customHeight="1">
      <c r="O17571" s="5" t="s">
        <v>355</v>
      </c>
      <c r="P17571" s="5" t="s">
        <v>355</v>
      </c>
      <c r="Q17571" s="5" t="s">
        <v>355</v>
      </c>
    </row>
    <row r="17572" ht="16.5" customHeight="1">
      <c r="O17572" s="5" t="s">
        <v>355</v>
      </c>
      <c r="P17572" s="5" t="s">
        <v>355</v>
      </c>
      <c r="Q17572" s="5" t="s">
        <v>355</v>
      </c>
    </row>
    <row r="17573" ht="16.5" customHeight="1">
      <c r="O17573" s="5" t="s">
        <v>355</v>
      </c>
      <c r="P17573" s="5" t="s">
        <v>355</v>
      </c>
      <c r="Q17573" s="5" t="s">
        <v>355</v>
      </c>
    </row>
    <row r="17574" ht="16.5" customHeight="1">
      <c r="O17574" s="5" t="s">
        <v>355</v>
      </c>
      <c r="P17574" s="5" t="s">
        <v>355</v>
      </c>
      <c r="Q17574" s="5" t="s">
        <v>355</v>
      </c>
    </row>
    <row r="17575" ht="16.5" customHeight="1">
      <c r="O17575" s="5" t="s">
        <v>355</v>
      </c>
      <c r="P17575" s="5" t="s">
        <v>355</v>
      </c>
      <c r="Q17575" s="5" t="s">
        <v>355</v>
      </c>
    </row>
    <row r="17576" ht="16.5" customHeight="1">
      <c r="O17576" s="5" t="s">
        <v>355</v>
      </c>
      <c r="P17576" s="5" t="s">
        <v>355</v>
      </c>
      <c r="Q17576" s="5" t="s">
        <v>355</v>
      </c>
    </row>
    <row r="17577" ht="16.5" customHeight="1">
      <c r="O17577" s="5" t="s">
        <v>355</v>
      </c>
      <c r="P17577" s="5" t="s">
        <v>355</v>
      </c>
      <c r="Q17577" s="5" t="s">
        <v>355</v>
      </c>
    </row>
    <row r="17578" ht="16.5" customHeight="1">
      <c r="O17578" s="5" t="s">
        <v>355</v>
      </c>
      <c r="P17578" s="5" t="s">
        <v>355</v>
      </c>
      <c r="Q17578" s="5" t="s">
        <v>355</v>
      </c>
    </row>
    <row r="17579" ht="16.5" customHeight="1">
      <c r="O17579" s="5" t="s">
        <v>355</v>
      </c>
      <c r="P17579" s="5" t="s">
        <v>355</v>
      </c>
      <c r="Q17579" s="5" t="s">
        <v>355</v>
      </c>
    </row>
    <row r="17580" ht="16.5" customHeight="1">
      <c r="O17580" s="5" t="s">
        <v>355</v>
      </c>
      <c r="P17580" s="5" t="s">
        <v>355</v>
      </c>
      <c r="Q17580" s="5" t="s">
        <v>355</v>
      </c>
    </row>
    <row r="17581" ht="16.5" customHeight="1">
      <c r="O17581" s="5" t="s">
        <v>355</v>
      </c>
      <c r="P17581" s="5" t="s">
        <v>355</v>
      </c>
      <c r="Q17581" s="5" t="s">
        <v>355</v>
      </c>
    </row>
    <row r="17582" ht="16.5" customHeight="1">
      <c r="O17582" s="5" t="s">
        <v>355</v>
      </c>
      <c r="P17582" s="5" t="s">
        <v>355</v>
      </c>
      <c r="Q17582" s="5" t="s">
        <v>355</v>
      </c>
    </row>
    <row r="17583" ht="16.5" customHeight="1">
      <c r="O17583" s="5" t="s">
        <v>355</v>
      </c>
      <c r="P17583" s="5" t="s">
        <v>355</v>
      </c>
      <c r="Q17583" s="5" t="s">
        <v>355</v>
      </c>
    </row>
    <row r="17584" ht="16.5" customHeight="1">
      <c r="O17584" s="5" t="s">
        <v>355</v>
      </c>
      <c r="P17584" s="5" t="s">
        <v>355</v>
      </c>
      <c r="Q17584" s="5" t="s">
        <v>355</v>
      </c>
    </row>
    <row r="17585" ht="16.5" customHeight="1">
      <c r="O17585" s="5" t="s">
        <v>355</v>
      </c>
      <c r="P17585" s="5" t="s">
        <v>355</v>
      </c>
      <c r="Q17585" s="5" t="s">
        <v>355</v>
      </c>
    </row>
    <row r="17586" ht="16.5" customHeight="1">
      <c r="O17586" s="5" t="s">
        <v>355</v>
      </c>
      <c r="P17586" s="5" t="s">
        <v>355</v>
      </c>
      <c r="Q17586" s="5" t="s">
        <v>355</v>
      </c>
    </row>
    <row r="17587" ht="16.5" customHeight="1">
      <c r="O17587" s="5" t="s">
        <v>355</v>
      </c>
      <c r="P17587" s="5" t="s">
        <v>355</v>
      </c>
      <c r="Q17587" s="5" t="s">
        <v>355</v>
      </c>
    </row>
    <row r="17588" ht="16.5" customHeight="1">
      <c r="O17588" s="5" t="s">
        <v>355</v>
      </c>
      <c r="P17588" s="5" t="s">
        <v>355</v>
      </c>
      <c r="Q17588" s="5" t="s">
        <v>355</v>
      </c>
    </row>
    <row r="17589" ht="16.5" customHeight="1">
      <c r="O17589" s="5" t="s">
        <v>355</v>
      </c>
      <c r="P17589" s="5" t="s">
        <v>355</v>
      </c>
      <c r="Q17589" s="5" t="s">
        <v>355</v>
      </c>
    </row>
    <row r="17590" ht="16.5" customHeight="1">
      <c r="O17590" s="5" t="s">
        <v>355</v>
      </c>
      <c r="P17590" s="5" t="s">
        <v>355</v>
      </c>
      <c r="Q17590" s="5" t="s">
        <v>355</v>
      </c>
    </row>
    <row r="17591" ht="16.5" customHeight="1">
      <c r="O17591" s="5" t="s">
        <v>355</v>
      </c>
      <c r="P17591" s="5" t="s">
        <v>355</v>
      </c>
      <c r="Q17591" s="5" t="s">
        <v>355</v>
      </c>
    </row>
    <row r="17592" ht="16.5" customHeight="1">
      <c r="O17592" s="5" t="s">
        <v>355</v>
      </c>
      <c r="P17592" s="5" t="s">
        <v>355</v>
      </c>
      <c r="Q17592" s="5" t="s">
        <v>355</v>
      </c>
    </row>
    <row r="17593" ht="16.5" customHeight="1">
      <c r="O17593" s="5" t="s">
        <v>355</v>
      </c>
      <c r="P17593" s="5" t="s">
        <v>355</v>
      </c>
      <c r="Q17593" s="5" t="s">
        <v>355</v>
      </c>
    </row>
    <row r="17594" ht="16.5" customHeight="1">
      <c r="O17594" s="5" t="s">
        <v>355</v>
      </c>
      <c r="P17594" s="5" t="s">
        <v>355</v>
      </c>
      <c r="Q17594" s="5" t="s">
        <v>355</v>
      </c>
    </row>
    <row r="17595" ht="16.5" customHeight="1">
      <c r="O17595" s="5" t="s">
        <v>355</v>
      </c>
      <c r="P17595" s="5" t="s">
        <v>355</v>
      </c>
      <c r="Q17595" s="5" t="s">
        <v>355</v>
      </c>
    </row>
    <row r="17596" ht="16.5" customHeight="1">
      <c r="O17596" s="5" t="s">
        <v>355</v>
      </c>
      <c r="P17596" s="5" t="s">
        <v>355</v>
      </c>
      <c r="Q17596" s="5" t="s">
        <v>355</v>
      </c>
    </row>
    <row r="17597" ht="16.5" customHeight="1">
      <c r="O17597" s="5" t="s">
        <v>355</v>
      </c>
      <c r="P17597" s="5" t="s">
        <v>355</v>
      </c>
      <c r="Q17597" s="5" t="s">
        <v>355</v>
      </c>
    </row>
    <row r="17598" ht="16.5" customHeight="1">
      <c r="O17598" s="5" t="s">
        <v>355</v>
      </c>
      <c r="P17598" s="5" t="s">
        <v>355</v>
      </c>
      <c r="Q17598" s="5" t="s">
        <v>355</v>
      </c>
    </row>
    <row r="17599" ht="16.5" customHeight="1">
      <c r="O17599" s="5" t="s">
        <v>355</v>
      </c>
      <c r="P17599" s="5" t="s">
        <v>355</v>
      </c>
      <c r="Q17599" s="5" t="s">
        <v>355</v>
      </c>
    </row>
    <row r="17600" ht="16.5" customHeight="1">
      <c r="O17600" s="5" t="s">
        <v>355</v>
      </c>
      <c r="P17600" s="5" t="s">
        <v>355</v>
      </c>
      <c r="Q17600" s="5" t="s">
        <v>355</v>
      </c>
    </row>
    <row r="17601" ht="16.5" customHeight="1">
      <c r="O17601" s="5" t="s">
        <v>355</v>
      </c>
      <c r="P17601" s="5" t="s">
        <v>355</v>
      </c>
      <c r="Q17601" s="5" t="s">
        <v>355</v>
      </c>
    </row>
    <row r="17602" ht="16.5" customHeight="1">
      <c r="O17602" s="5" t="s">
        <v>355</v>
      </c>
      <c r="P17602" s="5" t="s">
        <v>355</v>
      </c>
      <c r="Q17602" s="5" t="s">
        <v>355</v>
      </c>
    </row>
    <row r="17603" ht="16.5" customHeight="1">
      <c r="O17603" s="5" t="s">
        <v>355</v>
      </c>
      <c r="P17603" s="5" t="s">
        <v>355</v>
      </c>
      <c r="Q17603" s="5" t="s">
        <v>355</v>
      </c>
    </row>
    <row r="17604" ht="16.5" customHeight="1">
      <c r="O17604" s="5" t="s">
        <v>355</v>
      </c>
      <c r="P17604" s="5" t="s">
        <v>355</v>
      </c>
      <c r="Q17604" s="5" t="s">
        <v>355</v>
      </c>
    </row>
    <row r="17605" ht="16.5" customHeight="1">
      <c r="O17605" s="5" t="s">
        <v>355</v>
      </c>
      <c r="P17605" s="5" t="s">
        <v>355</v>
      </c>
      <c r="Q17605" s="5" t="s">
        <v>355</v>
      </c>
    </row>
    <row r="17606" ht="16.5" customHeight="1">
      <c r="O17606" s="5" t="s">
        <v>355</v>
      </c>
      <c r="P17606" s="5" t="s">
        <v>355</v>
      </c>
      <c r="Q17606" s="5" t="s">
        <v>355</v>
      </c>
    </row>
    <row r="17607" ht="16.5" customHeight="1">
      <c r="O17607" s="5" t="s">
        <v>355</v>
      </c>
      <c r="P17607" s="5" t="s">
        <v>355</v>
      </c>
      <c r="Q17607" s="5" t="s">
        <v>355</v>
      </c>
    </row>
    <row r="17608" ht="16.5" customHeight="1">
      <c r="O17608" s="5" t="s">
        <v>355</v>
      </c>
      <c r="P17608" s="5" t="s">
        <v>355</v>
      </c>
      <c r="Q17608" s="5" t="s">
        <v>355</v>
      </c>
    </row>
    <row r="17609" ht="16.5" customHeight="1">
      <c r="O17609" s="5" t="s">
        <v>355</v>
      </c>
      <c r="P17609" s="5" t="s">
        <v>355</v>
      </c>
      <c r="Q17609" s="5" t="s">
        <v>355</v>
      </c>
    </row>
    <row r="17610" ht="16.5" customHeight="1">
      <c r="O17610" s="5" t="s">
        <v>355</v>
      </c>
      <c r="P17610" s="5" t="s">
        <v>355</v>
      </c>
      <c r="Q17610" s="5" t="s">
        <v>355</v>
      </c>
    </row>
    <row r="17611" ht="16.5" customHeight="1">
      <c r="O17611" s="5" t="s">
        <v>355</v>
      </c>
      <c r="P17611" s="5" t="s">
        <v>355</v>
      </c>
      <c r="Q17611" s="5" t="s">
        <v>355</v>
      </c>
    </row>
    <row r="17612" ht="16.5" customHeight="1">
      <c r="O17612" s="5" t="s">
        <v>355</v>
      </c>
      <c r="P17612" s="5" t="s">
        <v>355</v>
      </c>
      <c r="Q17612" s="5" t="s">
        <v>355</v>
      </c>
    </row>
    <row r="17613" ht="16.5" customHeight="1">
      <c r="O17613" s="5" t="s">
        <v>355</v>
      </c>
      <c r="P17613" s="5" t="s">
        <v>355</v>
      </c>
      <c r="Q17613" s="5" t="s">
        <v>355</v>
      </c>
    </row>
    <row r="17614" ht="16.5" customHeight="1">
      <c r="O17614" s="5" t="s">
        <v>355</v>
      </c>
      <c r="P17614" s="5" t="s">
        <v>355</v>
      </c>
      <c r="Q17614" s="5" t="s">
        <v>355</v>
      </c>
    </row>
    <row r="17615" ht="16.5" customHeight="1">
      <c r="O17615" s="5" t="s">
        <v>355</v>
      </c>
      <c r="P17615" s="5" t="s">
        <v>355</v>
      </c>
      <c r="Q17615" s="5" t="s">
        <v>355</v>
      </c>
    </row>
    <row r="17616" ht="16.5" customHeight="1">
      <c r="O17616" s="5" t="s">
        <v>355</v>
      </c>
      <c r="P17616" s="5" t="s">
        <v>355</v>
      </c>
      <c r="Q17616" s="5" t="s">
        <v>355</v>
      </c>
    </row>
    <row r="17617" ht="16.5" customHeight="1">
      <c r="O17617" s="5" t="s">
        <v>355</v>
      </c>
      <c r="P17617" s="5" t="s">
        <v>355</v>
      </c>
      <c r="Q17617" s="5" t="s">
        <v>355</v>
      </c>
    </row>
    <row r="17618" ht="16.5" customHeight="1">
      <c r="O17618" s="5" t="s">
        <v>355</v>
      </c>
      <c r="P17618" s="5" t="s">
        <v>355</v>
      </c>
      <c r="Q17618" s="5" t="s">
        <v>355</v>
      </c>
    </row>
    <row r="17619" ht="16.5" customHeight="1">
      <c r="O17619" s="5" t="s">
        <v>355</v>
      </c>
      <c r="P17619" s="5" t="s">
        <v>355</v>
      </c>
      <c r="Q17619" s="5" t="s">
        <v>355</v>
      </c>
    </row>
    <row r="17620" ht="16.5" customHeight="1">
      <c r="O17620" s="5" t="s">
        <v>355</v>
      </c>
      <c r="P17620" s="5" t="s">
        <v>355</v>
      </c>
      <c r="Q17620" s="5" t="s">
        <v>355</v>
      </c>
    </row>
    <row r="17621" ht="16.5" customHeight="1">
      <c r="O17621" s="5" t="s">
        <v>355</v>
      </c>
      <c r="P17621" s="5" t="s">
        <v>355</v>
      </c>
      <c r="Q17621" s="5" t="s">
        <v>355</v>
      </c>
    </row>
    <row r="17622" ht="16.5" customHeight="1">
      <c r="O17622" s="5" t="s">
        <v>355</v>
      </c>
      <c r="P17622" s="5" t="s">
        <v>355</v>
      </c>
      <c r="Q17622" s="5" t="s">
        <v>355</v>
      </c>
    </row>
    <row r="17623" ht="16.5" customHeight="1">
      <c r="O17623" s="5" t="s">
        <v>355</v>
      </c>
      <c r="P17623" s="5" t="s">
        <v>355</v>
      </c>
      <c r="Q17623" s="5" t="s">
        <v>355</v>
      </c>
    </row>
    <row r="17624" ht="16.5" customHeight="1">
      <c r="O17624" s="5" t="s">
        <v>355</v>
      </c>
      <c r="P17624" s="5" t="s">
        <v>355</v>
      </c>
      <c r="Q17624" s="5" t="s">
        <v>355</v>
      </c>
    </row>
    <row r="17625" ht="16.5" customHeight="1">
      <c r="O17625" s="5" t="s">
        <v>355</v>
      </c>
      <c r="P17625" s="5" t="s">
        <v>355</v>
      </c>
      <c r="Q17625" s="5" t="s">
        <v>355</v>
      </c>
    </row>
    <row r="17626" ht="16.5" customHeight="1">
      <c r="O17626" s="5" t="s">
        <v>355</v>
      </c>
      <c r="P17626" s="5" t="s">
        <v>355</v>
      </c>
      <c r="Q17626" s="5" t="s">
        <v>355</v>
      </c>
    </row>
    <row r="17627" ht="16.5" customHeight="1">
      <c r="O17627" s="5" t="s">
        <v>355</v>
      </c>
      <c r="P17627" s="5" t="s">
        <v>355</v>
      </c>
      <c r="Q17627" s="5" t="s">
        <v>355</v>
      </c>
    </row>
    <row r="17628" ht="16.5" customHeight="1">
      <c r="O17628" s="5" t="s">
        <v>355</v>
      </c>
      <c r="P17628" s="5" t="s">
        <v>355</v>
      </c>
      <c r="Q17628" s="5" t="s">
        <v>355</v>
      </c>
    </row>
    <row r="17629" ht="16.5" customHeight="1">
      <c r="O17629" s="5" t="s">
        <v>355</v>
      </c>
      <c r="P17629" s="5" t="s">
        <v>355</v>
      </c>
      <c r="Q17629" s="5" t="s">
        <v>355</v>
      </c>
    </row>
    <row r="17630" ht="16.5" customHeight="1">
      <c r="O17630" s="5" t="s">
        <v>355</v>
      </c>
      <c r="P17630" s="5" t="s">
        <v>355</v>
      </c>
      <c r="Q17630" s="5" t="s">
        <v>355</v>
      </c>
    </row>
    <row r="17631" ht="16.5" customHeight="1">
      <c r="O17631" s="5" t="s">
        <v>355</v>
      </c>
      <c r="P17631" s="5" t="s">
        <v>355</v>
      </c>
      <c r="Q17631" s="5" t="s">
        <v>355</v>
      </c>
    </row>
    <row r="17632" ht="16.5" customHeight="1">
      <c r="O17632" s="5" t="s">
        <v>355</v>
      </c>
      <c r="P17632" s="5" t="s">
        <v>355</v>
      </c>
      <c r="Q17632" s="5" t="s">
        <v>355</v>
      </c>
    </row>
    <row r="17633" ht="16.5" customHeight="1">
      <c r="O17633" s="5" t="s">
        <v>355</v>
      </c>
      <c r="P17633" s="5" t="s">
        <v>355</v>
      </c>
      <c r="Q17633" s="5" t="s">
        <v>355</v>
      </c>
    </row>
    <row r="17634" ht="16.5" customHeight="1">
      <c r="O17634" s="5" t="s">
        <v>355</v>
      </c>
      <c r="P17634" s="5" t="s">
        <v>355</v>
      </c>
      <c r="Q17634" s="5" t="s">
        <v>355</v>
      </c>
    </row>
    <row r="17635" ht="16.5" customHeight="1">
      <c r="O17635" s="5" t="s">
        <v>355</v>
      </c>
      <c r="P17635" s="5" t="s">
        <v>355</v>
      </c>
      <c r="Q17635" s="5" t="s">
        <v>355</v>
      </c>
    </row>
    <row r="17636" ht="16.5" customHeight="1">
      <c r="O17636" s="5" t="s">
        <v>355</v>
      </c>
      <c r="P17636" s="5" t="s">
        <v>355</v>
      </c>
      <c r="Q17636" s="5" t="s">
        <v>355</v>
      </c>
    </row>
    <row r="17637" ht="16.5" customHeight="1">
      <c r="O17637" s="5" t="s">
        <v>355</v>
      </c>
      <c r="P17637" s="5" t="s">
        <v>355</v>
      </c>
      <c r="Q17637" s="5" t="s">
        <v>355</v>
      </c>
    </row>
    <row r="17638" ht="16.5" customHeight="1">
      <c r="O17638" s="5" t="s">
        <v>355</v>
      </c>
      <c r="P17638" s="5" t="s">
        <v>355</v>
      </c>
      <c r="Q17638" s="5" t="s">
        <v>355</v>
      </c>
    </row>
    <row r="17639" ht="16.5" customHeight="1">
      <c r="O17639" s="5" t="s">
        <v>355</v>
      </c>
      <c r="P17639" s="5" t="s">
        <v>355</v>
      </c>
      <c r="Q17639" s="5" t="s">
        <v>355</v>
      </c>
    </row>
    <row r="17640" ht="16.5" customHeight="1">
      <c r="O17640" s="5" t="s">
        <v>355</v>
      </c>
      <c r="P17640" s="5" t="s">
        <v>355</v>
      </c>
      <c r="Q17640" s="5" t="s">
        <v>355</v>
      </c>
    </row>
    <row r="17641" ht="16.5" customHeight="1">
      <c r="O17641" s="5" t="s">
        <v>355</v>
      </c>
      <c r="P17641" s="5" t="s">
        <v>355</v>
      </c>
      <c r="Q17641" s="5" t="s">
        <v>355</v>
      </c>
    </row>
    <row r="17642" ht="16.5" customHeight="1">
      <c r="O17642" s="5" t="s">
        <v>355</v>
      </c>
      <c r="P17642" s="5" t="s">
        <v>355</v>
      </c>
      <c r="Q17642" s="5" t="s">
        <v>355</v>
      </c>
    </row>
    <row r="17643" ht="16.5" customHeight="1">
      <c r="O17643" s="5" t="s">
        <v>355</v>
      </c>
      <c r="P17643" s="5" t="s">
        <v>355</v>
      </c>
      <c r="Q17643" s="5" t="s">
        <v>355</v>
      </c>
    </row>
    <row r="17644" ht="16.5" customHeight="1">
      <c r="O17644" s="5" t="s">
        <v>355</v>
      </c>
      <c r="P17644" s="5" t="s">
        <v>355</v>
      </c>
      <c r="Q17644" s="5" t="s">
        <v>355</v>
      </c>
    </row>
    <row r="17645" ht="16.5" customHeight="1">
      <c r="O17645" s="5" t="s">
        <v>355</v>
      </c>
      <c r="P17645" s="5" t="s">
        <v>355</v>
      </c>
      <c r="Q17645" s="5" t="s">
        <v>355</v>
      </c>
    </row>
    <row r="17646" ht="16.5" customHeight="1">
      <c r="O17646" s="5" t="s">
        <v>355</v>
      </c>
      <c r="P17646" s="5" t="s">
        <v>355</v>
      </c>
      <c r="Q17646" s="5" t="s">
        <v>355</v>
      </c>
    </row>
    <row r="17647" ht="16.5" customHeight="1">
      <c r="O17647" s="5" t="s">
        <v>355</v>
      </c>
      <c r="P17647" s="5" t="s">
        <v>355</v>
      </c>
      <c r="Q17647" s="5" t="s">
        <v>355</v>
      </c>
    </row>
    <row r="17648" ht="16.5" customHeight="1">
      <c r="O17648" s="5" t="s">
        <v>355</v>
      </c>
      <c r="P17648" s="5" t="s">
        <v>355</v>
      </c>
      <c r="Q17648" s="5" t="s">
        <v>355</v>
      </c>
    </row>
    <row r="17649" ht="16.5" customHeight="1">
      <c r="O17649" s="5" t="s">
        <v>355</v>
      </c>
      <c r="P17649" s="5" t="s">
        <v>355</v>
      </c>
      <c r="Q17649" s="5" t="s">
        <v>355</v>
      </c>
    </row>
    <row r="17650" ht="16.5" customHeight="1">
      <c r="O17650" s="5" t="s">
        <v>355</v>
      </c>
      <c r="P17650" s="5" t="s">
        <v>355</v>
      </c>
      <c r="Q17650" s="5" t="s">
        <v>355</v>
      </c>
    </row>
    <row r="17651" ht="16.5" customHeight="1">
      <c r="O17651" s="5" t="s">
        <v>355</v>
      </c>
      <c r="P17651" s="5" t="s">
        <v>355</v>
      </c>
      <c r="Q17651" s="5" t="s">
        <v>355</v>
      </c>
    </row>
    <row r="17652" ht="16.5" customHeight="1">
      <c r="O17652" s="5" t="s">
        <v>355</v>
      </c>
      <c r="P17652" s="5" t="s">
        <v>355</v>
      </c>
      <c r="Q17652" s="5" t="s">
        <v>355</v>
      </c>
    </row>
    <row r="17653" ht="16.5" customHeight="1">
      <c r="O17653" s="5" t="s">
        <v>355</v>
      </c>
      <c r="P17653" s="5" t="s">
        <v>355</v>
      </c>
      <c r="Q17653" s="5" t="s">
        <v>355</v>
      </c>
    </row>
    <row r="17654" ht="16.5" customHeight="1">
      <c r="O17654" s="5" t="s">
        <v>355</v>
      </c>
      <c r="P17654" s="5" t="s">
        <v>355</v>
      </c>
      <c r="Q17654" s="5" t="s">
        <v>355</v>
      </c>
    </row>
    <row r="17655" ht="16.5" customHeight="1">
      <c r="O17655" s="5" t="s">
        <v>355</v>
      </c>
      <c r="P17655" s="5" t="s">
        <v>355</v>
      </c>
      <c r="Q17655" s="5" t="s">
        <v>355</v>
      </c>
    </row>
    <row r="17656" ht="16.5" customHeight="1">
      <c r="O17656" s="5" t="s">
        <v>355</v>
      </c>
      <c r="P17656" s="5" t="s">
        <v>355</v>
      </c>
      <c r="Q17656" s="5" t="s">
        <v>355</v>
      </c>
    </row>
    <row r="17657" ht="16.5" customHeight="1">
      <c r="O17657" s="5" t="s">
        <v>355</v>
      </c>
      <c r="P17657" s="5" t="s">
        <v>355</v>
      </c>
      <c r="Q17657" s="5" t="s">
        <v>355</v>
      </c>
    </row>
    <row r="17658" ht="16.5" customHeight="1">
      <c r="O17658" s="5" t="s">
        <v>355</v>
      </c>
      <c r="P17658" s="5" t="s">
        <v>355</v>
      </c>
      <c r="Q17658" s="5" t="s">
        <v>355</v>
      </c>
    </row>
    <row r="17659" ht="16.5" customHeight="1">
      <c r="O17659" s="5" t="s">
        <v>355</v>
      </c>
      <c r="P17659" s="5" t="s">
        <v>355</v>
      </c>
      <c r="Q17659" s="5" t="s">
        <v>355</v>
      </c>
    </row>
    <row r="17660" ht="16.5" customHeight="1">
      <c r="O17660" s="5" t="s">
        <v>355</v>
      </c>
      <c r="P17660" s="5" t="s">
        <v>355</v>
      </c>
      <c r="Q17660" s="5" t="s">
        <v>355</v>
      </c>
    </row>
    <row r="17661" ht="16.5" customHeight="1">
      <c r="O17661" s="5" t="s">
        <v>355</v>
      </c>
      <c r="P17661" s="5" t="s">
        <v>355</v>
      </c>
      <c r="Q17661" s="5" t="s">
        <v>355</v>
      </c>
    </row>
    <row r="17662" ht="16.5" customHeight="1">
      <c r="O17662" s="5" t="s">
        <v>355</v>
      </c>
      <c r="P17662" s="5" t="s">
        <v>355</v>
      </c>
      <c r="Q17662" s="5" t="s">
        <v>355</v>
      </c>
    </row>
    <row r="17663" ht="16.5" customHeight="1">
      <c r="O17663" s="5" t="s">
        <v>355</v>
      </c>
      <c r="P17663" s="5" t="s">
        <v>355</v>
      </c>
      <c r="Q17663" s="5" t="s">
        <v>355</v>
      </c>
    </row>
    <row r="17664" ht="16.5" customHeight="1">
      <c r="O17664" s="5" t="s">
        <v>355</v>
      </c>
      <c r="P17664" s="5" t="s">
        <v>355</v>
      </c>
      <c r="Q17664" s="5" t="s">
        <v>355</v>
      </c>
    </row>
    <row r="17665" ht="16.5" customHeight="1">
      <c r="O17665" s="5" t="s">
        <v>355</v>
      </c>
      <c r="P17665" s="5" t="s">
        <v>355</v>
      </c>
      <c r="Q17665" s="5" t="s">
        <v>355</v>
      </c>
    </row>
    <row r="17666" ht="16.5" customHeight="1">
      <c r="O17666" s="5" t="s">
        <v>355</v>
      </c>
      <c r="P17666" s="5" t="s">
        <v>355</v>
      </c>
      <c r="Q17666" s="5" t="s">
        <v>355</v>
      </c>
    </row>
    <row r="17667" ht="16.5" customHeight="1">
      <c r="O17667" s="5" t="s">
        <v>355</v>
      </c>
      <c r="P17667" s="5" t="s">
        <v>355</v>
      </c>
      <c r="Q17667" s="5" t="s">
        <v>355</v>
      </c>
    </row>
    <row r="17668" ht="16.5" customHeight="1">
      <c r="O17668" s="5" t="s">
        <v>355</v>
      </c>
      <c r="P17668" s="5" t="s">
        <v>355</v>
      </c>
      <c r="Q17668" s="5" t="s">
        <v>355</v>
      </c>
    </row>
    <row r="17669" ht="16.5" customHeight="1">
      <c r="O17669" s="5" t="s">
        <v>355</v>
      </c>
      <c r="P17669" s="5" t="s">
        <v>355</v>
      </c>
      <c r="Q17669" s="5" t="s">
        <v>355</v>
      </c>
    </row>
    <row r="17670" ht="16.5" customHeight="1">
      <c r="O17670" s="5" t="s">
        <v>355</v>
      </c>
      <c r="P17670" s="5" t="s">
        <v>355</v>
      </c>
      <c r="Q17670" s="5" t="s">
        <v>355</v>
      </c>
    </row>
    <row r="17671" ht="16.5" customHeight="1">
      <c r="O17671" s="5" t="s">
        <v>355</v>
      </c>
      <c r="P17671" s="5" t="s">
        <v>355</v>
      </c>
      <c r="Q17671" s="5" t="s">
        <v>355</v>
      </c>
    </row>
    <row r="17672" ht="16.5" customHeight="1">
      <c r="O17672" s="5" t="s">
        <v>355</v>
      </c>
      <c r="P17672" s="5" t="s">
        <v>355</v>
      </c>
      <c r="Q17672" s="5" t="s">
        <v>355</v>
      </c>
    </row>
    <row r="17673" ht="16.5" customHeight="1">
      <c r="O17673" s="5" t="s">
        <v>355</v>
      </c>
      <c r="P17673" s="5" t="s">
        <v>355</v>
      </c>
      <c r="Q17673" s="5" t="s">
        <v>355</v>
      </c>
    </row>
    <row r="17674" ht="16.5" customHeight="1">
      <c r="O17674" s="5" t="s">
        <v>355</v>
      </c>
      <c r="P17674" s="5" t="s">
        <v>355</v>
      </c>
      <c r="Q17674" s="5" t="s">
        <v>355</v>
      </c>
    </row>
    <row r="17675" ht="16.5" customHeight="1">
      <c r="O17675" s="5" t="s">
        <v>355</v>
      </c>
      <c r="P17675" s="5" t="s">
        <v>355</v>
      </c>
      <c r="Q17675" s="5" t="s">
        <v>355</v>
      </c>
    </row>
    <row r="17676" ht="16.5" customHeight="1">
      <c r="O17676" s="5" t="s">
        <v>355</v>
      </c>
      <c r="P17676" s="5" t="s">
        <v>355</v>
      </c>
      <c r="Q17676" s="5" t="s">
        <v>355</v>
      </c>
    </row>
    <row r="17677" ht="16.5" customHeight="1">
      <c r="O17677" s="5" t="s">
        <v>355</v>
      </c>
      <c r="P17677" s="5" t="s">
        <v>355</v>
      </c>
      <c r="Q17677" s="5" t="s">
        <v>355</v>
      </c>
    </row>
    <row r="17678" ht="16.5" customHeight="1">
      <c r="O17678" s="5" t="s">
        <v>355</v>
      </c>
      <c r="P17678" s="5" t="s">
        <v>355</v>
      </c>
      <c r="Q17678" s="5" t="s">
        <v>355</v>
      </c>
    </row>
    <row r="17679" ht="16.5" customHeight="1">
      <c r="O17679" s="5" t="s">
        <v>355</v>
      </c>
      <c r="P17679" s="5" t="s">
        <v>355</v>
      </c>
      <c r="Q17679" s="5" t="s">
        <v>355</v>
      </c>
    </row>
    <row r="17680" ht="16.5" customHeight="1">
      <c r="O17680" s="5" t="s">
        <v>355</v>
      </c>
      <c r="P17680" s="5" t="s">
        <v>355</v>
      </c>
      <c r="Q17680" s="5" t="s">
        <v>355</v>
      </c>
    </row>
    <row r="17681" ht="16.5" customHeight="1">
      <c r="O17681" s="5" t="s">
        <v>355</v>
      </c>
      <c r="P17681" s="5" t="s">
        <v>355</v>
      </c>
      <c r="Q17681" s="5" t="s">
        <v>355</v>
      </c>
    </row>
    <row r="17682" ht="16.5" customHeight="1">
      <c r="O17682" s="5" t="s">
        <v>355</v>
      </c>
      <c r="P17682" s="5" t="s">
        <v>355</v>
      </c>
      <c r="Q17682" s="5" t="s">
        <v>355</v>
      </c>
    </row>
    <row r="17683" ht="16.5" customHeight="1">
      <c r="O17683" s="5" t="s">
        <v>355</v>
      </c>
      <c r="P17683" s="5" t="s">
        <v>355</v>
      </c>
      <c r="Q17683" s="5" t="s">
        <v>355</v>
      </c>
    </row>
    <row r="17684" ht="16.5" customHeight="1">
      <c r="O17684" s="5" t="s">
        <v>355</v>
      </c>
      <c r="P17684" s="5" t="s">
        <v>355</v>
      </c>
      <c r="Q17684" s="5" t="s">
        <v>355</v>
      </c>
    </row>
    <row r="17685" ht="16.5" customHeight="1">
      <c r="O17685" s="5" t="s">
        <v>355</v>
      </c>
      <c r="P17685" s="5" t="s">
        <v>355</v>
      </c>
      <c r="Q17685" s="5" t="s">
        <v>355</v>
      </c>
    </row>
    <row r="17686" ht="16.5" customHeight="1">
      <c r="O17686" s="5" t="s">
        <v>355</v>
      </c>
      <c r="P17686" s="5" t="s">
        <v>355</v>
      </c>
      <c r="Q17686" s="5" t="s">
        <v>355</v>
      </c>
    </row>
    <row r="17687" ht="16.5" customHeight="1">
      <c r="O17687" s="5" t="s">
        <v>355</v>
      </c>
      <c r="P17687" s="5" t="s">
        <v>355</v>
      </c>
      <c r="Q17687" s="5" t="s">
        <v>355</v>
      </c>
    </row>
    <row r="17688" ht="16.5" customHeight="1">
      <c r="O17688" s="5" t="s">
        <v>355</v>
      </c>
      <c r="P17688" s="5" t="s">
        <v>355</v>
      </c>
      <c r="Q17688" s="5" t="s">
        <v>355</v>
      </c>
    </row>
    <row r="17689" ht="16.5" customHeight="1">
      <c r="O17689" s="5" t="s">
        <v>355</v>
      </c>
      <c r="P17689" s="5" t="s">
        <v>355</v>
      </c>
      <c r="Q17689" s="5" t="s">
        <v>355</v>
      </c>
    </row>
    <row r="17690" ht="16.5" customHeight="1">
      <c r="O17690" s="5" t="s">
        <v>355</v>
      </c>
      <c r="P17690" s="5" t="s">
        <v>355</v>
      </c>
      <c r="Q17690" s="5" t="s">
        <v>355</v>
      </c>
    </row>
    <row r="17691" ht="16.5" customHeight="1">
      <c r="O17691" s="5" t="s">
        <v>355</v>
      </c>
      <c r="P17691" s="5" t="s">
        <v>355</v>
      </c>
      <c r="Q17691" s="5" t="s">
        <v>355</v>
      </c>
    </row>
    <row r="17692" ht="16.5" customHeight="1">
      <c r="O17692" s="5" t="s">
        <v>355</v>
      </c>
      <c r="P17692" s="5" t="s">
        <v>355</v>
      </c>
      <c r="Q17692" s="5" t="s">
        <v>355</v>
      </c>
    </row>
    <row r="17693" ht="16.5" customHeight="1">
      <c r="O17693" s="5" t="s">
        <v>355</v>
      </c>
      <c r="P17693" s="5" t="s">
        <v>355</v>
      </c>
      <c r="Q17693" s="5" t="s">
        <v>355</v>
      </c>
    </row>
    <row r="17694" ht="16.5" customHeight="1">
      <c r="O17694" s="5" t="s">
        <v>355</v>
      </c>
      <c r="P17694" s="5" t="s">
        <v>355</v>
      </c>
      <c r="Q17694" s="5" t="s">
        <v>355</v>
      </c>
    </row>
    <row r="17695" ht="16.5" customHeight="1">
      <c r="O17695" s="5" t="s">
        <v>355</v>
      </c>
      <c r="P17695" s="5" t="s">
        <v>355</v>
      </c>
      <c r="Q17695" s="5" t="s">
        <v>355</v>
      </c>
    </row>
    <row r="17696" ht="16.5" customHeight="1">
      <c r="O17696" s="5" t="s">
        <v>355</v>
      </c>
      <c r="P17696" s="5" t="s">
        <v>355</v>
      </c>
      <c r="Q17696" s="5" t="s">
        <v>355</v>
      </c>
    </row>
    <row r="17697" ht="16.5" customHeight="1">
      <c r="O17697" s="5" t="s">
        <v>355</v>
      </c>
      <c r="P17697" s="5" t="s">
        <v>355</v>
      </c>
      <c r="Q17697" s="5" t="s">
        <v>355</v>
      </c>
    </row>
    <row r="17698" ht="16.5" customHeight="1">
      <c r="O17698" s="5" t="s">
        <v>355</v>
      </c>
      <c r="P17698" s="5" t="s">
        <v>355</v>
      </c>
      <c r="Q17698" s="5" t="s">
        <v>355</v>
      </c>
    </row>
    <row r="17699" ht="16.5" customHeight="1">
      <c r="O17699" s="5" t="s">
        <v>355</v>
      </c>
      <c r="P17699" s="5" t="s">
        <v>355</v>
      </c>
      <c r="Q17699" s="5" t="s">
        <v>355</v>
      </c>
    </row>
    <row r="17700" ht="16.5" customHeight="1">
      <c r="O17700" s="5" t="s">
        <v>355</v>
      </c>
      <c r="P17700" s="5" t="s">
        <v>355</v>
      </c>
      <c r="Q17700" s="5" t="s">
        <v>355</v>
      </c>
    </row>
    <row r="17701" ht="16.5" customHeight="1">
      <c r="O17701" s="5" t="s">
        <v>355</v>
      </c>
      <c r="P17701" s="5" t="s">
        <v>355</v>
      </c>
      <c r="Q17701" s="5" t="s">
        <v>355</v>
      </c>
    </row>
    <row r="17702" ht="16.5" customHeight="1">
      <c r="O17702" s="5" t="s">
        <v>355</v>
      </c>
      <c r="P17702" s="5" t="s">
        <v>355</v>
      </c>
      <c r="Q17702" s="5" t="s">
        <v>355</v>
      </c>
    </row>
    <row r="17703" ht="16.5" customHeight="1">
      <c r="O17703" s="5" t="s">
        <v>355</v>
      </c>
      <c r="P17703" s="5" t="s">
        <v>355</v>
      </c>
      <c r="Q17703" s="5" t="s">
        <v>355</v>
      </c>
    </row>
    <row r="17704" ht="16.5" customHeight="1">
      <c r="O17704" s="5" t="s">
        <v>355</v>
      </c>
      <c r="P17704" s="5" t="s">
        <v>355</v>
      </c>
      <c r="Q17704" s="5" t="s">
        <v>355</v>
      </c>
    </row>
    <row r="17705" ht="16.5" customHeight="1">
      <c r="O17705" s="5" t="s">
        <v>355</v>
      </c>
      <c r="P17705" s="5" t="s">
        <v>355</v>
      </c>
      <c r="Q17705" s="5" t="s">
        <v>355</v>
      </c>
    </row>
    <row r="17706" ht="16.5" customHeight="1">
      <c r="O17706" s="5" t="s">
        <v>355</v>
      </c>
      <c r="P17706" s="5" t="s">
        <v>355</v>
      </c>
      <c r="Q17706" s="5" t="s">
        <v>355</v>
      </c>
    </row>
    <row r="17707" ht="16.5" customHeight="1">
      <c r="O17707" s="5" t="s">
        <v>355</v>
      </c>
      <c r="P17707" s="5" t="s">
        <v>355</v>
      </c>
      <c r="Q17707" s="5" t="s">
        <v>355</v>
      </c>
    </row>
    <row r="17708" ht="16.5" customHeight="1">
      <c r="O17708" s="5" t="s">
        <v>355</v>
      </c>
      <c r="P17708" s="5" t="s">
        <v>355</v>
      </c>
      <c r="Q17708" s="5" t="s">
        <v>355</v>
      </c>
    </row>
    <row r="17709" ht="16.5" customHeight="1">
      <c r="O17709" s="5" t="s">
        <v>355</v>
      </c>
      <c r="P17709" s="5" t="s">
        <v>355</v>
      </c>
      <c r="Q17709" s="5" t="s">
        <v>355</v>
      </c>
    </row>
    <row r="17710" ht="16.5" customHeight="1">
      <c r="O17710" s="5" t="s">
        <v>355</v>
      </c>
      <c r="P17710" s="5" t="s">
        <v>355</v>
      </c>
      <c r="Q17710" s="5" t="s">
        <v>355</v>
      </c>
    </row>
    <row r="17711" ht="16.5" customHeight="1">
      <c r="O17711" s="5" t="s">
        <v>355</v>
      </c>
      <c r="P17711" s="5" t="s">
        <v>355</v>
      </c>
      <c r="Q17711" s="5" t="s">
        <v>355</v>
      </c>
    </row>
    <row r="17712" ht="16.5" customHeight="1">
      <c r="O17712" s="5" t="s">
        <v>355</v>
      </c>
      <c r="P17712" s="5" t="s">
        <v>355</v>
      </c>
      <c r="Q17712" s="5" t="s">
        <v>355</v>
      </c>
    </row>
    <row r="17713" ht="16.5" customHeight="1">
      <c r="O17713" s="5" t="s">
        <v>355</v>
      </c>
      <c r="P17713" s="5" t="s">
        <v>355</v>
      </c>
      <c r="Q17713" s="5" t="s">
        <v>355</v>
      </c>
    </row>
    <row r="17714" ht="16.5" customHeight="1">
      <c r="O17714" s="5" t="s">
        <v>355</v>
      </c>
      <c r="P17714" s="5" t="s">
        <v>355</v>
      </c>
      <c r="Q17714" s="5" t="s">
        <v>355</v>
      </c>
    </row>
    <row r="17715" ht="16.5" customHeight="1">
      <c r="O17715" s="5" t="s">
        <v>355</v>
      </c>
      <c r="P17715" s="5" t="s">
        <v>355</v>
      </c>
      <c r="Q17715" s="5" t="s">
        <v>355</v>
      </c>
    </row>
    <row r="17716" ht="16.5" customHeight="1">
      <c r="O17716" s="5" t="s">
        <v>355</v>
      </c>
      <c r="P17716" s="5" t="s">
        <v>355</v>
      </c>
      <c r="Q17716" s="5" t="s">
        <v>355</v>
      </c>
    </row>
    <row r="17717" ht="16.5" customHeight="1">
      <c r="O17717" s="5" t="s">
        <v>355</v>
      </c>
      <c r="P17717" s="5" t="s">
        <v>355</v>
      </c>
      <c r="Q17717" s="5" t="s">
        <v>355</v>
      </c>
    </row>
    <row r="17718" ht="16.5" customHeight="1">
      <c r="O17718" s="5" t="s">
        <v>355</v>
      </c>
      <c r="P17718" s="5" t="s">
        <v>355</v>
      </c>
      <c r="Q17718" s="5" t="s">
        <v>355</v>
      </c>
    </row>
    <row r="17719" ht="16.5" customHeight="1">
      <c r="O17719" s="5" t="s">
        <v>355</v>
      </c>
      <c r="P17719" s="5" t="s">
        <v>355</v>
      </c>
      <c r="Q17719" s="5" t="s">
        <v>355</v>
      </c>
    </row>
    <row r="17720" ht="16.5" customHeight="1">
      <c r="O17720" s="5" t="s">
        <v>355</v>
      </c>
      <c r="P17720" s="5" t="s">
        <v>355</v>
      </c>
      <c r="Q17720" s="5" t="s">
        <v>355</v>
      </c>
    </row>
    <row r="17721" ht="16.5" customHeight="1">
      <c r="O17721" s="5" t="s">
        <v>355</v>
      </c>
      <c r="P17721" s="5" t="s">
        <v>355</v>
      </c>
      <c r="Q17721" s="5" t="s">
        <v>355</v>
      </c>
    </row>
    <row r="17722" ht="16.5" customHeight="1">
      <c r="O17722" s="5" t="s">
        <v>355</v>
      </c>
      <c r="P17722" s="5" t="s">
        <v>355</v>
      </c>
      <c r="Q17722" s="5" t="s">
        <v>355</v>
      </c>
    </row>
    <row r="17723" ht="16.5" customHeight="1">
      <c r="O17723" s="5" t="s">
        <v>355</v>
      </c>
      <c r="P17723" s="5" t="s">
        <v>355</v>
      </c>
      <c r="Q17723" s="5" t="s">
        <v>355</v>
      </c>
    </row>
    <row r="17724" ht="16.5" customHeight="1">
      <c r="O17724" s="5" t="s">
        <v>355</v>
      </c>
      <c r="P17724" s="5" t="s">
        <v>355</v>
      </c>
      <c r="Q17724" s="5" t="s">
        <v>355</v>
      </c>
    </row>
    <row r="17725" ht="16.5" customHeight="1">
      <c r="O17725" s="5" t="s">
        <v>355</v>
      </c>
      <c r="P17725" s="5" t="s">
        <v>355</v>
      </c>
      <c r="Q17725" s="5" t="s">
        <v>355</v>
      </c>
    </row>
    <row r="17726" ht="16.5" customHeight="1">
      <c r="O17726" s="5" t="s">
        <v>355</v>
      </c>
      <c r="P17726" s="5" t="s">
        <v>355</v>
      </c>
      <c r="Q17726" s="5" t="s">
        <v>355</v>
      </c>
    </row>
    <row r="17727" ht="16.5" customHeight="1">
      <c r="O17727" s="5" t="s">
        <v>355</v>
      </c>
      <c r="P17727" s="5" t="s">
        <v>355</v>
      </c>
      <c r="Q17727" s="5" t="s">
        <v>355</v>
      </c>
    </row>
    <row r="17728" ht="16.5" customHeight="1">
      <c r="O17728" s="5" t="s">
        <v>355</v>
      </c>
      <c r="P17728" s="5" t="s">
        <v>355</v>
      </c>
      <c r="Q17728" s="5" t="s">
        <v>355</v>
      </c>
    </row>
    <row r="17729" ht="16.5" customHeight="1">
      <c r="O17729" s="5" t="s">
        <v>355</v>
      </c>
      <c r="P17729" s="5" t="s">
        <v>355</v>
      </c>
      <c r="Q17729" s="5" t="s">
        <v>355</v>
      </c>
    </row>
    <row r="17730" ht="16.5" customHeight="1">
      <c r="O17730" s="5" t="s">
        <v>355</v>
      </c>
      <c r="P17730" s="5" t="s">
        <v>355</v>
      </c>
      <c r="Q17730" s="5" t="s">
        <v>355</v>
      </c>
    </row>
    <row r="17731" ht="16.5" customHeight="1">
      <c r="O17731" s="5" t="s">
        <v>355</v>
      </c>
      <c r="P17731" s="5" t="s">
        <v>355</v>
      </c>
      <c r="Q17731" s="5" t="s">
        <v>355</v>
      </c>
    </row>
    <row r="17732" ht="16.5" customHeight="1">
      <c r="O17732" s="5" t="s">
        <v>355</v>
      </c>
      <c r="P17732" s="5" t="s">
        <v>355</v>
      </c>
      <c r="Q17732" s="5" t="s">
        <v>355</v>
      </c>
    </row>
    <row r="17733" ht="16.5" customHeight="1">
      <c r="O17733" s="5" t="s">
        <v>355</v>
      </c>
      <c r="P17733" s="5" t="s">
        <v>355</v>
      </c>
      <c r="Q17733" s="5" t="s">
        <v>355</v>
      </c>
    </row>
    <row r="17734" ht="16.5" customHeight="1">
      <c r="O17734" s="5" t="s">
        <v>355</v>
      </c>
      <c r="P17734" s="5" t="s">
        <v>355</v>
      </c>
      <c r="Q17734" s="5" t="s">
        <v>355</v>
      </c>
    </row>
    <row r="17735" ht="16.5" customHeight="1">
      <c r="O17735" s="5" t="s">
        <v>355</v>
      </c>
      <c r="P17735" s="5" t="s">
        <v>355</v>
      </c>
      <c r="Q17735" s="5" t="s">
        <v>355</v>
      </c>
    </row>
    <row r="17736" ht="16.5" customHeight="1">
      <c r="O17736" s="5" t="s">
        <v>355</v>
      </c>
      <c r="P17736" s="5" t="s">
        <v>355</v>
      </c>
      <c r="Q17736" s="5" t="s">
        <v>355</v>
      </c>
    </row>
    <row r="17737" ht="16.5" customHeight="1">
      <c r="O17737" s="5" t="s">
        <v>355</v>
      </c>
      <c r="P17737" s="5" t="s">
        <v>355</v>
      </c>
      <c r="Q17737" s="5" t="s">
        <v>355</v>
      </c>
    </row>
    <row r="17738" ht="16.5" customHeight="1">
      <c r="O17738" s="5" t="s">
        <v>355</v>
      </c>
      <c r="P17738" s="5" t="s">
        <v>355</v>
      </c>
      <c r="Q17738" s="5" t="s">
        <v>355</v>
      </c>
    </row>
    <row r="17739" ht="16.5" customHeight="1">
      <c r="O17739" s="5" t="s">
        <v>355</v>
      </c>
      <c r="P17739" s="5" t="s">
        <v>355</v>
      </c>
      <c r="Q17739" s="5" t="s">
        <v>355</v>
      </c>
    </row>
    <row r="17740" ht="16.5" customHeight="1">
      <c r="O17740" s="5" t="s">
        <v>355</v>
      </c>
      <c r="P17740" s="5" t="s">
        <v>355</v>
      </c>
      <c r="Q17740" s="5" t="s">
        <v>355</v>
      </c>
    </row>
    <row r="17741" ht="16.5" customHeight="1">
      <c r="O17741" s="5" t="s">
        <v>355</v>
      </c>
      <c r="P17741" s="5" t="s">
        <v>355</v>
      </c>
      <c r="Q17741" s="5" t="s">
        <v>355</v>
      </c>
    </row>
    <row r="17742" ht="16.5" customHeight="1">
      <c r="O17742" s="5" t="s">
        <v>355</v>
      </c>
      <c r="P17742" s="5" t="s">
        <v>355</v>
      </c>
      <c r="Q17742" s="5" t="s">
        <v>355</v>
      </c>
    </row>
    <row r="17743" ht="16.5" customHeight="1">
      <c r="O17743" s="5" t="s">
        <v>355</v>
      </c>
      <c r="P17743" s="5" t="s">
        <v>355</v>
      </c>
      <c r="Q17743" s="5" t="s">
        <v>355</v>
      </c>
    </row>
    <row r="17744" ht="16.5" customHeight="1">
      <c r="O17744" s="5" t="s">
        <v>355</v>
      </c>
      <c r="P17744" s="5" t="s">
        <v>355</v>
      </c>
      <c r="Q17744" s="5" t="s">
        <v>355</v>
      </c>
    </row>
    <row r="17745" ht="16.5" customHeight="1">
      <c r="O17745" s="5" t="s">
        <v>355</v>
      </c>
      <c r="P17745" s="5" t="s">
        <v>355</v>
      </c>
      <c r="Q17745" s="5" t="s">
        <v>355</v>
      </c>
    </row>
    <row r="17746" ht="16.5" customHeight="1">
      <c r="O17746" s="5" t="s">
        <v>355</v>
      </c>
      <c r="P17746" s="5" t="s">
        <v>355</v>
      </c>
      <c r="Q17746" s="5" t="s">
        <v>355</v>
      </c>
    </row>
    <row r="17747" ht="16.5" customHeight="1">
      <c r="O17747" s="5" t="s">
        <v>355</v>
      </c>
      <c r="P17747" s="5" t="s">
        <v>355</v>
      </c>
      <c r="Q17747" s="5" t="s">
        <v>355</v>
      </c>
    </row>
    <row r="17748" ht="16.5" customHeight="1">
      <c r="O17748" s="5" t="s">
        <v>355</v>
      </c>
      <c r="P17748" s="5" t="s">
        <v>355</v>
      </c>
      <c r="Q17748" s="5" t="s">
        <v>355</v>
      </c>
    </row>
    <row r="17749" ht="16.5" customHeight="1">
      <c r="O17749" s="5" t="s">
        <v>355</v>
      </c>
      <c r="P17749" s="5" t="s">
        <v>355</v>
      </c>
      <c r="Q17749" s="5" t="s">
        <v>355</v>
      </c>
    </row>
    <row r="17750" ht="16.5" customHeight="1">
      <c r="O17750" s="5" t="s">
        <v>355</v>
      </c>
      <c r="P17750" s="5" t="s">
        <v>355</v>
      </c>
      <c r="Q17750" s="5" t="s">
        <v>355</v>
      </c>
    </row>
    <row r="17751" ht="16.5" customHeight="1">
      <c r="O17751" s="5" t="s">
        <v>355</v>
      </c>
      <c r="P17751" s="5" t="s">
        <v>355</v>
      </c>
      <c r="Q17751" s="5" t="s">
        <v>355</v>
      </c>
    </row>
    <row r="17752" ht="16.5" customHeight="1">
      <c r="O17752" s="5" t="s">
        <v>355</v>
      </c>
      <c r="P17752" s="5" t="s">
        <v>355</v>
      </c>
      <c r="Q17752" s="5" t="s">
        <v>355</v>
      </c>
    </row>
    <row r="17753" ht="16.5" customHeight="1">
      <c r="O17753" s="5" t="s">
        <v>355</v>
      </c>
      <c r="P17753" s="5" t="s">
        <v>355</v>
      </c>
      <c r="Q17753" s="5" t="s">
        <v>355</v>
      </c>
    </row>
    <row r="17754" ht="16.5" customHeight="1">
      <c r="O17754" s="5" t="s">
        <v>355</v>
      </c>
      <c r="P17754" s="5" t="s">
        <v>355</v>
      </c>
      <c r="Q17754" s="5" t="s">
        <v>355</v>
      </c>
    </row>
    <row r="17755" ht="16.5" customHeight="1">
      <c r="O17755" s="5" t="s">
        <v>355</v>
      </c>
      <c r="P17755" s="5" t="s">
        <v>355</v>
      </c>
      <c r="Q17755" s="5" t="s">
        <v>355</v>
      </c>
    </row>
    <row r="17756" ht="16.5" customHeight="1">
      <c r="O17756" s="5" t="s">
        <v>355</v>
      </c>
      <c r="P17756" s="5" t="s">
        <v>355</v>
      </c>
      <c r="Q17756" s="5" t="s">
        <v>355</v>
      </c>
    </row>
    <row r="17757" ht="16.5" customHeight="1">
      <c r="O17757" s="5" t="s">
        <v>355</v>
      </c>
      <c r="P17757" s="5" t="s">
        <v>355</v>
      </c>
      <c r="Q17757" s="5" t="s">
        <v>355</v>
      </c>
    </row>
    <row r="17758" ht="16.5" customHeight="1">
      <c r="O17758" s="5" t="s">
        <v>355</v>
      </c>
      <c r="P17758" s="5" t="s">
        <v>355</v>
      </c>
      <c r="Q17758" s="5" t="s">
        <v>355</v>
      </c>
    </row>
    <row r="17759" ht="16.5" customHeight="1">
      <c r="O17759" s="5" t="s">
        <v>355</v>
      </c>
      <c r="P17759" s="5" t="s">
        <v>355</v>
      </c>
      <c r="Q17759" s="5" t="s">
        <v>355</v>
      </c>
    </row>
    <row r="17760" ht="16.5" customHeight="1">
      <c r="O17760" s="5" t="s">
        <v>355</v>
      </c>
      <c r="P17760" s="5" t="s">
        <v>355</v>
      </c>
      <c r="Q17760" s="5" t="s">
        <v>355</v>
      </c>
    </row>
    <row r="17761" ht="16.5" customHeight="1">
      <c r="O17761" s="5" t="s">
        <v>355</v>
      </c>
      <c r="P17761" s="5" t="s">
        <v>355</v>
      </c>
      <c r="Q17761" s="5" t="s">
        <v>355</v>
      </c>
    </row>
    <row r="17762" ht="16.5" customHeight="1">
      <c r="O17762" s="5" t="s">
        <v>355</v>
      </c>
      <c r="P17762" s="5" t="s">
        <v>355</v>
      </c>
      <c r="Q17762" s="5" t="s">
        <v>355</v>
      </c>
    </row>
    <row r="17763" ht="16.5" customHeight="1">
      <c r="O17763" s="5" t="s">
        <v>355</v>
      </c>
      <c r="P17763" s="5" t="s">
        <v>355</v>
      </c>
      <c r="Q17763" s="5" t="s">
        <v>355</v>
      </c>
    </row>
    <row r="17764" ht="16.5" customHeight="1">
      <c r="O17764" s="5" t="s">
        <v>355</v>
      </c>
      <c r="P17764" s="5" t="s">
        <v>355</v>
      </c>
      <c r="Q17764" s="5" t="s">
        <v>355</v>
      </c>
    </row>
    <row r="17765" ht="16.5" customHeight="1">
      <c r="O17765" s="5" t="s">
        <v>355</v>
      </c>
      <c r="P17765" s="5" t="s">
        <v>355</v>
      </c>
      <c r="Q17765" s="5" t="s">
        <v>355</v>
      </c>
    </row>
    <row r="17766" ht="16.5" customHeight="1">
      <c r="O17766" s="5" t="s">
        <v>355</v>
      </c>
      <c r="P17766" s="5" t="s">
        <v>355</v>
      </c>
      <c r="Q17766" s="5" t="s">
        <v>355</v>
      </c>
    </row>
    <row r="17767" ht="16.5" customHeight="1">
      <c r="O17767" s="5" t="s">
        <v>355</v>
      </c>
      <c r="P17767" s="5" t="s">
        <v>355</v>
      </c>
      <c r="Q17767" s="5" t="s">
        <v>355</v>
      </c>
    </row>
    <row r="17768" ht="16.5" customHeight="1">
      <c r="O17768" s="5" t="s">
        <v>355</v>
      </c>
      <c r="P17768" s="5" t="s">
        <v>355</v>
      </c>
      <c r="Q17768" s="5" t="s">
        <v>355</v>
      </c>
    </row>
    <row r="17769" ht="16.5" customHeight="1">
      <c r="O17769" s="5" t="s">
        <v>355</v>
      </c>
      <c r="P17769" s="5" t="s">
        <v>355</v>
      </c>
      <c r="Q17769" s="5" t="s">
        <v>355</v>
      </c>
    </row>
    <row r="17770" ht="16.5" customHeight="1">
      <c r="O17770" s="5" t="s">
        <v>355</v>
      </c>
      <c r="P17770" s="5" t="s">
        <v>355</v>
      </c>
      <c r="Q17770" s="5" t="s">
        <v>355</v>
      </c>
    </row>
    <row r="17771" ht="16.5" customHeight="1">
      <c r="O17771" s="5" t="s">
        <v>355</v>
      </c>
      <c r="P17771" s="5" t="s">
        <v>355</v>
      </c>
      <c r="Q17771" s="5" t="s">
        <v>355</v>
      </c>
    </row>
    <row r="17772" ht="16.5" customHeight="1">
      <c r="O17772" s="5" t="s">
        <v>355</v>
      </c>
      <c r="P17772" s="5" t="s">
        <v>355</v>
      </c>
      <c r="Q17772" s="5" t="s">
        <v>355</v>
      </c>
    </row>
    <row r="17773" ht="16.5" customHeight="1">
      <c r="O17773" s="5" t="s">
        <v>355</v>
      </c>
      <c r="P17773" s="5" t="s">
        <v>355</v>
      </c>
      <c r="Q17773" s="5" t="s">
        <v>355</v>
      </c>
    </row>
    <row r="17774" ht="16.5" customHeight="1">
      <c r="O17774" s="5" t="s">
        <v>355</v>
      </c>
      <c r="P17774" s="5" t="s">
        <v>355</v>
      </c>
      <c r="Q17774" s="5" t="s">
        <v>355</v>
      </c>
    </row>
    <row r="17775" ht="16.5" customHeight="1">
      <c r="O17775" s="5" t="s">
        <v>355</v>
      </c>
      <c r="P17775" s="5" t="s">
        <v>355</v>
      </c>
      <c r="Q17775" s="5" t="s">
        <v>355</v>
      </c>
    </row>
    <row r="17776" ht="16.5" customHeight="1">
      <c r="O17776" s="5" t="s">
        <v>355</v>
      </c>
      <c r="P17776" s="5" t="s">
        <v>355</v>
      </c>
      <c r="Q17776" s="5" t="s">
        <v>355</v>
      </c>
    </row>
    <row r="17777" ht="16.5" customHeight="1">
      <c r="O17777" s="5" t="s">
        <v>355</v>
      </c>
      <c r="P17777" s="5" t="s">
        <v>355</v>
      </c>
      <c r="Q17777" s="5" t="s">
        <v>355</v>
      </c>
    </row>
    <row r="17778" ht="16.5" customHeight="1">
      <c r="O17778" s="5" t="s">
        <v>355</v>
      </c>
      <c r="P17778" s="5" t="s">
        <v>355</v>
      </c>
      <c r="Q17778" s="5" t="s">
        <v>355</v>
      </c>
    </row>
    <row r="17779" ht="16.5" customHeight="1">
      <c r="O17779" s="5" t="s">
        <v>355</v>
      </c>
      <c r="P17779" s="5" t="s">
        <v>355</v>
      </c>
      <c r="Q17779" s="5" t="s">
        <v>355</v>
      </c>
    </row>
    <row r="17780" ht="16.5" customHeight="1">
      <c r="O17780" s="5" t="s">
        <v>355</v>
      </c>
      <c r="P17780" s="5" t="s">
        <v>355</v>
      </c>
      <c r="Q17780" s="5" t="s">
        <v>355</v>
      </c>
    </row>
    <row r="17781" ht="16.5" customHeight="1">
      <c r="O17781" s="5" t="s">
        <v>355</v>
      </c>
      <c r="P17781" s="5" t="s">
        <v>355</v>
      </c>
      <c r="Q17781" s="5" t="s">
        <v>355</v>
      </c>
    </row>
    <row r="17782" ht="16.5" customHeight="1">
      <c r="O17782" s="5" t="s">
        <v>355</v>
      </c>
      <c r="P17782" s="5" t="s">
        <v>355</v>
      </c>
      <c r="Q17782" s="5" t="s">
        <v>355</v>
      </c>
    </row>
    <row r="17783" ht="16.5" customHeight="1">
      <c r="O17783" s="5" t="s">
        <v>355</v>
      </c>
      <c r="P17783" s="5" t="s">
        <v>355</v>
      </c>
      <c r="Q17783" s="5" t="s">
        <v>355</v>
      </c>
    </row>
    <row r="17784" ht="16.5" customHeight="1">
      <c r="O17784" s="5" t="s">
        <v>355</v>
      </c>
      <c r="P17784" s="5" t="s">
        <v>355</v>
      </c>
      <c r="Q17784" s="5" t="s">
        <v>355</v>
      </c>
    </row>
    <row r="17785" ht="16.5" customHeight="1">
      <c r="O17785" s="5" t="s">
        <v>355</v>
      </c>
      <c r="P17785" s="5" t="s">
        <v>355</v>
      </c>
      <c r="Q17785" s="5" t="s">
        <v>355</v>
      </c>
    </row>
    <row r="17786" ht="16.5" customHeight="1">
      <c r="O17786" s="5" t="s">
        <v>355</v>
      </c>
      <c r="P17786" s="5" t="s">
        <v>355</v>
      </c>
      <c r="Q17786" s="5" t="s">
        <v>355</v>
      </c>
    </row>
    <row r="17787" ht="16.5" customHeight="1">
      <c r="O17787" s="5" t="s">
        <v>355</v>
      </c>
      <c r="P17787" s="5" t="s">
        <v>355</v>
      </c>
      <c r="Q17787" s="5" t="s">
        <v>355</v>
      </c>
    </row>
    <row r="17788" ht="16.5" customHeight="1">
      <c r="O17788" s="5" t="s">
        <v>355</v>
      </c>
      <c r="P17788" s="5" t="s">
        <v>355</v>
      </c>
      <c r="Q17788" s="5" t="s">
        <v>355</v>
      </c>
    </row>
    <row r="17789" ht="16.5" customHeight="1">
      <c r="O17789" s="5" t="s">
        <v>355</v>
      </c>
      <c r="P17789" s="5" t="s">
        <v>355</v>
      </c>
      <c r="Q17789" s="5" t="s">
        <v>355</v>
      </c>
    </row>
    <row r="17790" ht="16.5" customHeight="1">
      <c r="O17790" s="5" t="s">
        <v>355</v>
      </c>
      <c r="P17790" s="5" t="s">
        <v>355</v>
      </c>
      <c r="Q17790" s="5" t="s">
        <v>355</v>
      </c>
    </row>
    <row r="17791" ht="16.5" customHeight="1">
      <c r="O17791" s="5" t="s">
        <v>355</v>
      </c>
      <c r="P17791" s="5" t="s">
        <v>355</v>
      </c>
      <c r="Q17791" s="5" t="s">
        <v>355</v>
      </c>
    </row>
    <row r="17792" ht="16.5" customHeight="1">
      <c r="O17792" s="5" t="s">
        <v>355</v>
      </c>
      <c r="P17792" s="5" t="s">
        <v>355</v>
      </c>
      <c r="Q17792" s="5" t="s">
        <v>355</v>
      </c>
    </row>
    <row r="17793" ht="16.5" customHeight="1">
      <c r="O17793" s="5" t="s">
        <v>355</v>
      </c>
      <c r="P17793" s="5" t="s">
        <v>355</v>
      </c>
      <c r="Q17793" s="5" t="s">
        <v>355</v>
      </c>
    </row>
    <row r="17794" ht="16.5" customHeight="1">
      <c r="O17794" s="5" t="s">
        <v>355</v>
      </c>
      <c r="P17794" s="5" t="s">
        <v>355</v>
      </c>
      <c r="Q17794" s="5" t="s">
        <v>355</v>
      </c>
    </row>
    <row r="17795" ht="16.5" customHeight="1">
      <c r="O17795" s="5" t="s">
        <v>355</v>
      </c>
      <c r="P17795" s="5" t="s">
        <v>355</v>
      </c>
      <c r="Q17795" s="5" t="s">
        <v>355</v>
      </c>
    </row>
    <row r="17796" ht="16.5" customHeight="1">
      <c r="O17796" s="5" t="s">
        <v>355</v>
      </c>
      <c r="P17796" s="5" t="s">
        <v>355</v>
      </c>
      <c r="Q17796" s="5" t="s">
        <v>355</v>
      </c>
    </row>
    <row r="17797" ht="16.5" customHeight="1">
      <c r="O17797" s="5" t="s">
        <v>355</v>
      </c>
      <c r="P17797" s="5" t="s">
        <v>355</v>
      </c>
      <c r="Q17797" s="5" t="s">
        <v>355</v>
      </c>
    </row>
    <row r="17798" ht="16.5" customHeight="1">
      <c r="O17798" s="5" t="s">
        <v>355</v>
      </c>
      <c r="P17798" s="5" t="s">
        <v>355</v>
      </c>
      <c r="Q17798" s="5" t="s">
        <v>355</v>
      </c>
    </row>
    <row r="17799" ht="16.5" customHeight="1">
      <c r="O17799" s="5" t="s">
        <v>355</v>
      </c>
      <c r="P17799" s="5" t="s">
        <v>355</v>
      </c>
      <c r="Q17799" s="5" t="s">
        <v>355</v>
      </c>
    </row>
    <row r="17800" ht="16.5" customHeight="1">
      <c r="O17800" s="5" t="s">
        <v>355</v>
      </c>
      <c r="P17800" s="5" t="s">
        <v>355</v>
      </c>
      <c r="Q17800" s="5" t="s">
        <v>355</v>
      </c>
    </row>
    <row r="17801" ht="16.5" customHeight="1">
      <c r="O17801" s="5" t="s">
        <v>355</v>
      </c>
      <c r="P17801" s="5" t="s">
        <v>355</v>
      </c>
      <c r="Q17801" s="5" t="s">
        <v>355</v>
      </c>
    </row>
    <row r="17802" ht="16.5" customHeight="1">
      <c r="O17802" s="5" t="s">
        <v>355</v>
      </c>
      <c r="P17802" s="5" t="s">
        <v>355</v>
      </c>
      <c r="Q17802" s="5" t="s">
        <v>355</v>
      </c>
    </row>
    <row r="17803" ht="16.5" customHeight="1">
      <c r="O17803" s="5" t="s">
        <v>355</v>
      </c>
      <c r="P17803" s="5" t="s">
        <v>355</v>
      </c>
      <c r="Q17803" s="5" t="s">
        <v>355</v>
      </c>
    </row>
    <row r="17804" ht="16.5" customHeight="1">
      <c r="O17804" s="5" t="s">
        <v>355</v>
      </c>
      <c r="P17804" s="5" t="s">
        <v>355</v>
      </c>
      <c r="Q17804" s="5" t="s">
        <v>355</v>
      </c>
    </row>
    <row r="17805" ht="16.5" customHeight="1">
      <c r="O17805" s="5" t="s">
        <v>355</v>
      </c>
      <c r="P17805" s="5" t="s">
        <v>355</v>
      </c>
      <c r="Q17805" s="5" t="s">
        <v>355</v>
      </c>
    </row>
    <row r="17806" ht="16.5" customHeight="1">
      <c r="O17806" s="5" t="s">
        <v>355</v>
      </c>
      <c r="P17806" s="5" t="s">
        <v>355</v>
      </c>
      <c r="Q17806" s="5" t="s">
        <v>355</v>
      </c>
    </row>
    <row r="17807" ht="16.5" customHeight="1">
      <c r="O17807" s="5" t="s">
        <v>355</v>
      </c>
      <c r="P17807" s="5" t="s">
        <v>355</v>
      </c>
      <c r="Q17807" s="5" t="s">
        <v>355</v>
      </c>
    </row>
    <row r="17808" ht="16.5" customHeight="1">
      <c r="O17808" s="5" t="s">
        <v>355</v>
      </c>
      <c r="P17808" s="5" t="s">
        <v>355</v>
      </c>
      <c r="Q17808" s="5" t="s">
        <v>355</v>
      </c>
    </row>
    <row r="17809" ht="16.5" customHeight="1">
      <c r="O17809" s="5" t="s">
        <v>355</v>
      </c>
      <c r="P17809" s="5" t="s">
        <v>355</v>
      </c>
      <c r="Q17809" s="5" t="s">
        <v>355</v>
      </c>
    </row>
    <row r="17810" ht="16.5" customHeight="1">
      <c r="O17810" s="5" t="s">
        <v>355</v>
      </c>
      <c r="P17810" s="5" t="s">
        <v>355</v>
      </c>
      <c r="Q17810" s="5" t="s">
        <v>355</v>
      </c>
    </row>
    <row r="17811" ht="16.5" customHeight="1">
      <c r="O17811" s="5" t="s">
        <v>355</v>
      </c>
      <c r="P17811" s="5" t="s">
        <v>355</v>
      </c>
      <c r="Q17811" s="5" t="s">
        <v>355</v>
      </c>
    </row>
    <row r="17812" ht="16.5" customHeight="1">
      <c r="O17812" s="5" t="s">
        <v>355</v>
      </c>
      <c r="P17812" s="5" t="s">
        <v>355</v>
      </c>
      <c r="Q17812" s="5" t="s">
        <v>355</v>
      </c>
    </row>
    <row r="17813" ht="16.5" customHeight="1">
      <c r="O17813" s="5" t="s">
        <v>355</v>
      </c>
      <c r="P17813" s="5" t="s">
        <v>355</v>
      </c>
      <c r="Q17813" s="5" t="s">
        <v>355</v>
      </c>
    </row>
    <row r="17814" ht="16.5" customHeight="1">
      <c r="O17814" s="5" t="s">
        <v>355</v>
      </c>
      <c r="P17814" s="5" t="s">
        <v>355</v>
      </c>
      <c r="Q17814" s="5" t="s">
        <v>355</v>
      </c>
    </row>
    <row r="17815" ht="16.5" customHeight="1">
      <c r="O17815" s="5" t="s">
        <v>355</v>
      </c>
      <c r="P17815" s="5" t="s">
        <v>355</v>
      </c>
      <c r="Q17815" s="5" t="s">
        <v>355</v>
      </c>
    </row>
    <row r="17816" ht="16.5" customHeight="1">
      <c r="O17816" s="5" t="s">
        <v>355</v>
      </c>
      <c r="P17816" s="5" t="s">
        <v>355</v>
      </c>
      <c r="Q17816" s="5" t="s">
        <v>355</v>
      </c>
    </row>
    <row r="17817" ht="16.5" customHeight="1">
      <c r="O17817" s="5" t="s">
        <v>355</v>
      </c>
      <c r="P17817" s="5" t="s">
        <v>355</v>
      </c>
      <c r="Q17817" s="5" t="s">
        <v>355</v>
      </c>
    </row>
    <row r="17818" ht="16.5" customHeight="1">
      <c r="O17818" s="5" t="s">
        <v>355</v>
      </c>
      <c r="P17818" s="5" t="s">
        <v>355</v>
      </c>
      <c r="Q17818" s="5" t="s">
        <v>355</v>
      </c>
    </row>
    <row r="17819" ht="16.5" customHeight="1">
      <c r="O17819" s="5" t="s">
        <v>355</v>
      </c>
      <c r="P17819" s="5" t="s">
        <v>355</v>
      </c>
      <c r="Q17819" s="5" t="s">
        <v>355</v>
      </c>
    </row>
    <row r="17820" ht="16.5" customHeight="1">
      <c r="O17820" s="5" t="s">
        <v>355</v>
      </c>
      <c r="P17820" s="5" t="s">
        <v>355</v>
      </c>
      <c r="Q17820" s="5" t="s">
        <v>355</v>
      </c>
    </row>
    <row r="17821" ht="16.5" customHeight="1">
      <c r="O17821" s="5" t="s">
        <v>355</v>
      </c>
      <c r="P17821" s="5" t="s">
        <v>355</v>
      </c>
      <c r="Q17821" s="5" t="s">
        <v>355</v>
      </c>
    </row>
    <row r="17822" ht="16.5" customHeight="1">
      <c r="O17822" s="5" t="s">
        <v>355</v>
      </c>
      <c r="P17822" s="5" t="s">
        <v>355</v>
      </c>
      <c r="Q17822" s="5" t="s">
        <v>355</v>
      </c>
    </row>
    <row r="17823" ht="16.5" customHeight="1">
      <c r="O17823" s="5" t="s">
        <v>355</v>
      </c>
      <c r="P17823" s="5" t="s">
        <v>355</v>
      </c>
      <c r="Q17823" s="5" t="s">
        <v>355</v>
      </c>
    </row>
    <row r="17824" ht="16.5" customHeight="1">
      <c r="O17824" s="5" t="s">
        <v>355</v>
      </c>
      <c r="P17824" s="5" t="s">
        <v>355</v>
      </c>
      <c r="Q17824" s="5" t="s">
        <v>355</v>
      </c>
    </row>
    <row r="17825" ht="16.5" customHeight="1">
      <c r="O17825" s="5" t="s">
        <v>355</v>
      </c>
      <c r="P17825" s="5" t="s">
        <v>355</v>
      </c>
      <c r="Q17825" s="5" t="s">
        <v>355</v>
      </c>
    </row>
    <row r="17826" ht="16.5" customHeight="1">
      <c r="O17826" s="5" t="s">
        <v>355</v>
      </c>
      <c r="P17826" s="5" t="s">
        <v>355</v>
      </c>
      <c r="Q17826" s="5" t="s">
        <v>355</v>
      </c>
    </row>
    <row r="17827" ht="16.5" customHeight="1">
      <c r="O17827" s="5" t="s">
        <v>355</v>
      </c>
      <c r="P17827" s="5" t="s">
        <v>355</v>
      </c>
      <c r="Q17827" s="5" t="s">
        <v>355</v>
      </c>
    </row>
    <row r="17828" ht="16.5" customHeight="1">
      <c r="O17828" s="5" t="s">
        <v>355</v>
      </c>
      <c r="P17828" s="5" t="s">
        <v>355</v>
      </c>
      <c r="Q17828" s="5" t="s">
        <v>355</v>
      </c>
    </row>
    <row r="17829" ht="16.5" customHeight="1">
      <c r="O17829" s="5" t="s">
        <v>355</v>
      </c>
      <c r="P17829" s="5" t="s">
        <v>355</v>
      </c>
      <c r="Q17829" s="5" t="s">
        <v>355</v>
      </c>
    </row>
    <row r="17830" ht="16.5" customHeight="1">
      <c r="O17830" s="5" t="s">
        <v>355</v>
      </c>
      <c r="P17830" s="5" t="s">
        <v>355</v>
      </c>
      <c r="Q17830" s="5" t="s">
        <v>355</v>
      </c>
    </row>
    <row r="17831" ht="16.5" customHeight="1">
      <c r="O17831" s="5" t="s">
        <v>355</v>
      </c>
      <c r="P17831" s="5" t="s">
        <v>355</v>
      </c>
      <c r="Q17831" s="5" t="s">
        <v>355</v>
      </c>
    </row>
    <row r="17832" ht="16.5" customHeight="1">
      <c r="O17832" s="5" t="s">
        <v>355</v>
      </c>
      <c r="P17832" s="5" t="s">
        <v>355</v>
      </c>
      <c r="Q17832" s="5" t="s">
        <v>355</v>
      </c>
    </row>
    <row r="17833" ht="16.5" customHeight="1">
      <c r="O17833" s="5" t="s">
        <v>355</v>
      </c>
      <c r="P17833" s="5" t="s">
        <v>355</v>
      </c>
      <c r="Q17833" s="5" t="s">
        <v>355</v>
      </c>
    </row>
    <row r="17834" ht="16.5" customHeight="1">
      <c r="O17834" s="5" t="s">
        <v>355</v>
      </c>
      <c r="P17834" s="5" t="s">
        <v>355</v>
      </c>
      <c r="Q17834" s="5" t="s">
        <v>355</v>
      </c>
    </row>
    <row r="17835" ht="16.5" customHeight="1">
      <c r="O17835" s="5" t="s">
        <v>355</v>
      </c>
      <c r="P17835" s="5" t="s">
        <v>355</v>
      </c>
      <c r="Q17835" s="5" t="s">
        <v>355</v>
      </c>
    </row>
    <row r="17836" ht="16.5" customHeight="1">
      <c r="O17836" s="5" t="s">
        <v>355</v>
      </c>
      <c r="P17836" s="5" t="s">
        <v>355</v>
      </c>
      <c r="Q17836" s="5" t="s">
        <v>355</v>
      </c>
    </row>
    <row r="17837" ht="16.5" customHeight="1">
      <c r="O17837" s="5" t="s">
        <v>355</v>
      </c>
      <c r="P17837" s="5" t="s">
        <v>355</v>
      </c>
      <c r="Q17837" s="5" t="s">
        <v>355</v>
      </c>
    </row>
    <row r="17838" ht="16.5" customHeight="1">
      <c r="O17838" s="5" t="s">
        <v>355</v>
      </c>
      <c r="P17838" s="5" t="s">
        <v>355</v>
      </c>
      <c r="Q17838" s="5" t="s">
        <v>355</v>
      </c>
    </row>
    <row r="17839" ht="16.5" customHeight="1">
      <c r="O17839" s="5" t="s">
        <v>355</v>
      </c>
      <c r="P17839" s="5" t="s">
        <v>355</v>
      </c>
      <c r="Q17839" s="5" t="s">
        <v>355</v>
      </c>
    </row>
    <row r="17840" ht="16.5" customHeight="1">
      <c r="O17840" s="5" t="s">
        <v>355</v>
      </c>
      <c r="P17840" s="5" t="s">
        <v>355</v>
      </c>
      <c r="Q17840" s="5" t="s">
        <v>355</v>
      </c>
    </row>
    <row r="17841" ht="16.5" customHeight="1">
      <c r="O17841" s="5" t="s">
        <v>355</v>
      </c>
      <c r="P17841" s="5" t="s">
        <v>355</v>
      </c>
      <c r="Q17841" s="5" t="s">
        <v>355</v>
      </c>
    </row>
    <row r="17842" ht="16.5" customHeight="1">
      <c r="O17842" s="5" t="s">
        <v>355</v>
      </c>
      <c r="P17842" s="5" t="s">
        <v>355</v>
      </c>
      <c r="Q17842" s="5" t="s">
        <v>355</v>
      </c>
    </row>
    <row r="17843" ht="16.5" customHeight="1">
      <c r="O17843" s="5" t="s">
        <v>355</v>
      </c>
      <c r="P17843" s="5" t="s">
        <v>355</v>
      </c>
      <c r="Q17843" s="5" t="s">
        <v>355</v>
      </c>
    </row>
    <row r="17844" ht="16.5" customHeight="1">
      <c r="O17844" s="5" t="s">
        <v>355</v>
      </c>
      <c r="P17844" s="5" t="s">
        <v>355</v>
      </c>
      <c r="Q17844" s="5" t="s">
        <v>355</v>
      </c>
    </row>
    <row r="17845" ht="16.5" customHeight="1">
      <c r="O17845" s="5" t="s">
        <v>355</v>
      </c>
      <c r="P17845" s="5" t="s">
        <v>355</v>
      </c>
      <c r="Q17845" s="5" t="s">
        <v>355</v>
      </c>
    </row>
    <row r="17846" ht="16.5" customHeight="1">
      <c r="O17846" s="5" t="s">
        <v>355</v>
      </c>
      <c r="P17846" s="5" t="s">
        <v>355</v>
      </c>
      <c r="Q17846" s="5" t="s">
        <v>355</v>
      </c>
    </row>
    <row r="17847" ht="16.5" customHeight="1">
      <c r="O17847" s="5" t="s">
        <v>355</v>
      </c>
      <c r="P17847" s="5" t="s">
        <v>355</v>
      </c>
      <c r="Q17847" s="5" t="s">
        <v>355</v>
      </c>
    </row>
    <row r="17848" ht="16.5" customHeight="1">
      <c r="O17848" s="5" t="s">
        <v>355</v>
      </c>
      <c r="P17848" s="5" t="s">
        <v>355</v>
      </c>
      <c r="Q17848" s="5" t="s">
        <v>355</v>
      </c>
    </row>
    <row r="17849" ht="16.5" customHeight="1">
      <c r="O17849" s="5" t="s">
        <v>355</v>
      </c>
      <c r="P17849" s="5" t="s">
        <v>355</v>
      </c>
      <c r="Q17849" s="5" t="s">
        <v>355</v>
      </c>
    </row>
    <row r="17850" ht="16.5" customHeight="1">
      <c r="O17850" s="5" t="s">
        <v>355</v>
      </c>
      <c r="P17850" s="5" t="s">
        <v>355</v>
      </c>
      <c r="Q17850" s="5" t="s">
        <v>355</v>
      </c>
    </row>
    <row r="17851" ht="16.5" customHeight="1">
      <c r="O17851" s="5" t="s">
        <v>355</v>
      </c>
      <c r="P17851" s="5" t="s">
        <v>355</v>
      </c>
      <c r="Q17851" s="5" t="s">
        <v>355</v>
      </c>
    </row>
    <row r="17852" ht="16.5" customHeight="1">
      <c r="O17852" s="5" t="s">
        <v>355</v>
      </c>
      <c r="P17852" s="5" t="s">
        <v>355</v>
      </c>
      <c r="Q17852" s="5" t="s">
        <v>355</v>
      </c>
    </row>
    <row r="17853" ht="16.5" customHeight="1">
      <c r="O17853" s="5" t="s">
        <v>355</v>
      </c>
      <c r="P17853" s="5" t="s">
        <v>355</v>
      </c>
      <c r="Q17853" s="5" t="s">
        <v>355</v>
      </c>
    </row>
    <row r="17854" ht="16.5" customHeight="1">
      <c r="O17854" s="5" t="s">
        <v>355</v>
      </c>
      <c r="P17854" s="5" t="s">
        <v>355</v>
      </c>
      <c r="Q17854" s="5" t="s">
        <v>355</v>
      </c>
    </row>
    <row r="17855" ht="16.5" customHeight="1">
      <c r="O17855" s="5" t="s">
        <v>355</v>
      </c>
      <c r="P17855" s="5" t="s">
        <v>355</v>
      </c>
      <c r="Q17855" s="5" t="s">
        <v>355</v>
      </c>
    </row>
    <row r="17856" ht="16.5" customHeight="1">
      <c r="O17856" s="5" t="s">
        <v>355</v>
      </c>
      <c r="P17856" s="5" t="s">
        <v>355</v>
      </c>
      <c r="Q17856" s="5" t="s">
        <v>355</v>
      </c>
    </row>
    <row r="17857" ht="16.5" customHeight="1">
      <c r="O17857" s="5" t="s">
        <v>355</v>
      </c>
      <c r="P17857" s="5" t="s">
        <v>355</v>
      </c>
      <c r="Q17857" s="5" t="s">
        <v>355</v>
      </c>
    </row>
    <row r="17858" ht="16.5" customHeight="1">
      <c r="O17858" s="5" t="s">
        <v>355</v>
      </c>
      <c r="P17858" s="5" t="s">
        <v>355</v>
      </c>
      <c r="Q17858" s="5" t="s">
        <v>355</v>
      </c>
    </row>
    <row r="17859" ht="16.5" customHeight="1">
      <c r="O17859" s="5" t="s">
        <v>355</v>
      </c>
      <c r="P17859" s="5" t="s">
        <v>355</v>
      </c>
      <c r="Q17859" s="5" t="s">
        <v>355</v>
      </c>
    </row>
    <row r="17860" ht="16.5" customHeight="1">
      <c r="O17860" s="5" t="s">
        <v>355</v>
      </c>
      <c r="P17860" s="5" t="s">
        <v>355</v>
      </c>
      <c r="Q17860" s="5" t="s">
        <v>355</v>
      </c>
    </row>
    <row r="17861" ht="16.5" customHeight="1">
      <c r="O17861" s="5" t="s">
        <v>355</v>
      </c>
      <c r="P17861" s="5" t="s">
        <v>355</v>
      </c>
      <c r="Q17861" s="5" t="s">
        <v>355</v>
      </c>
    </row>
    <row r="17862" ht="16.5" customHeight="1">
      <c r="O17862" s="5" t="s">
        <v>355</v>
      </c>
      <c r="P17862" s="5" t="s">
        <v>355</v>
      </c>
      <c r="Q17862" s="5" t="s">
        <v>355</v>
      </c>
    </row>
    <row r="17863" ht="16.5" customHeight="1">
      <c r="O17863" s="5" t="s">
        <v>355</v>
      </c>
      <c r="P17863" s="5" t="s">
        <v>355</v>
      </c>
      <c r="Q17863" s="5" t="s">
        <v>355</v>
      </c>
    </row>
    <row r="17864" ht="16.5" customHeight="1">
      <c r="O17864" s="5" t="s">
        <v>355</v>
      </c>
      <c r="P17864" s="5" t="s">
        <v>355</v>
      </c>
      <c r="Q17864" s="5" t="s">
        <v>355</v>
      </c>
    </row>
    <row r="17865" ht="16.5" customHeight="1">
      <c r="O17865" s="5" t="s">
        <v>355</v>
      </c>
      <c r="P17865" s="5" t="s">
        <v>355</v>
      </c>
      <c r="Q17865" s="5" t="s">
        <v>355</v>
      </c>
    </row>
    <row r="17866" ht="16.5" customHeight="1">
      <c r="O17866" s="5" t="s">
        <v>355</v>
      </c>
      <c r="P17866" s="5" t="s">
        <v>355</v>
      </c>
      <c r="Q17866" s="5" t="s">
        <v>355</v>
      </c>
    </row>
    <row r="17867" ht="16.5" customHeight="1">
      <c r="O17867" s="5" t="s">
        <v>355</v>
      </c>
      <c r="P17867" s="5" t="s">
        <v>355</v>
      </c>
      <c r="Q17867" s="5" t="s">
        <v>355</v>
      </c>
    </row>
    <row r="17868" ht="16.5" customHeight="1">
      <c r="O17868" s="5" t="s">
        <v>355</v>
      </c>
      <c r="P17868" s="5" t="s">
        <v>355</v>
      </c>
      <c r="Q17868" s="5" t="s">
        <v>355</v>
      </c>
    </row>
    <row r="17869" ht="16.5" customHeight="1">
      <c r="O17869" s="5" t="s">
        <v>355</v>
      </c>
      <c r="P17869" s="5" t="s">
        <v>355</v>
      </c>
      <c r="Q17869" s="5" t="s">
        <v>355</v>
      </c>
    </row>
    <row r="17870" ht="16.5" customHeight="1">
      <c r="O17870" s="5" t="s">
        <v>355</v>
      </c>
      <c r="P17870" s="5" t="s">
        <v>355</v>
      </c>
      <c r="Q17870" s="5" t="s">
        <v>355</v>
      </c>
    </row>
    <row r="17871" ht="16.5" customHeight="1">
      <c r="O17871" s="5" t="s">
        <v>355</v>
      </c>
      <c r="P17871" s="5" t="s">
        <v>355</v>
      </c>
      <c r="Q17871" s="5" t="s">
        <v>355</v>
      </c>
    </row>
    <row r="17872" ht="16.5" customHeight="1">
      <c r="O17872" s="5" t="s">
        <v>355</v>
      </c>
      <c r="P17872" s="5" t="s">
        <v>355</v>
      </c>
      <c r="Q17872" s="5" t="s">
        <v>355</v>
      </c>
    </row>
    <row r="17873" ht="16.5" customHeight="1">
      <c r="O17873" s="5" t="s">
        <v>355</v>
      </c>
      <c r="P17873" s="5" t="s">
        <v>355</v>
      </c>
      <c r="Q17873" s="5" t="s">
        <v>355</v>
      </c>
    </row>
    <row r="17874" ht="16.5" customHeight="1">
      <c r="O17874" s="5" t="s">
        <v>355</v>
      </c>
      <c r="P17874" s="5" t="s">
        <v>355</v>
      </c>
      <c r="Q17874" s="5" t="s">
        <v>355</v>
      </c>
    </row>
    <row r="17875" ht="16.5" customHeight="1">
      <c r="O17875" s="5" t="s">
        <v>355</v>
      </c>
      <c r="P17875" s="5" t="s">
        <v>355</v>
      </c>
      <c r="Q17875" s="5" t="s">
        <v>355</v>
      </c>
    </row>
    <row r="17876" ht="16.5" customHeight="1">
      <c r="O17876" s="5" t="s">
        <v>355</v>
      </c>
      <c r="P17876" s="5" t="s">
        <v>355</v>
      </c>
      <c r="Q17876" s="5" t="s">
        <v>355</v>
      </c>
    </row>
    <row r="17877" ht="16.5" customHeight="1">
      <c r="O17877" s="5" t="s">
        <v>355</v>
      </c>
      <c r="P17877" s="5" t="s">
        <v>355</v>
      </c>
      <c r="Q17877" s="5" t="s">
        <v>355</v>
      </c>
    </row>
    <row r="17878" ht="16.5" customHeight="1">
      <c r="O17878" s="5" t="s">
        <v>355</v>
      </c>
      <c r="P17878" s="5" t="s">
        <v>355</v>
      </c>
      <c r="Q17878" s="5" t="s">
        <v>355</v>
      </c>
    </row>
    <row r="17879" ht="16.5" customHeight="1">
      <c r="O17879" s="5" t="s">
        <v>355</v>
      </c>
      <c r="P17879" s="5" t="s">
        <v>355</v>
      </c>
      <c r="Q17879" s="5" t="s">
        <v>355</v>
      </c>
    </row>
    <row r="17880" ht="16.5" customHeight="1">
      <c r="O17880" s="5" t="s">
        <v>355</v>
      </c>
      <c r="P17880" s="5" t="s">
        <v>355</v>
      </c>
      <c r="Q17880" s="5" t="s">
        <v>355</v>
      </c>
    </row>
    <row r="17881" ht="16.5" customHeight="1">
      <c r="O17881" s="5" t="s">
        <v>355</v>
      </c>
      <c r="P17881" s="5" t="s">
        <v>355</v>
      </c>
      <c r="Q17881" s="5" t="s">
        <v>355</v>
      </c>
    </row>
    <row r="17882" ht="16.5" customHeight="1">
      <c r="O17882" s="5" t="s">
        <v>355</v>
      </c>
      <c r="P17882" s="5" t="s">
        <v>355</v>
      </c>
      <c r="Q17882" s="5" t="s">
        <v>355</v>
      </c>
    </row>
    <row r="17883" ht="16.5" customHeight="1">
      <c r="O17883" s="5" t="s">
        <v>355</v>
      </c>
      <c r="P17883" s="5" t="s">
        <v>355</v>
      </c>
      <c r="Q17883" s="5" t="s">
        <v>355</v>
      </c>
    </row>
    <row r="17884" ht="16.5" customHeight="1">
      <c r="O17884" s="5" t="s">
        <v>355</v>
      </c>
      <c r="P17884" s="5" t="s">
        <v>355</v>
      </c>
      <c r="Q17884" s="5" t="s">
        <v>355</v>
      </c>
    </row>
    <row r="17885" ht="16.5" customHeight="1">
      <c r="O17885" s="5" t="s">
        <v>355</v>
      </c>
      <c r="P17885" s="5" t="s">
        <v>355</v>
      </c>
      <c r="Q17885" s="5" t="s">
        <v>355</v>
      </c>
    </row>
    <row r="17886" ht="16.5" customHeight="1">
      <c r="O17886" s="5" t="s">
        <v>355</v>
      </c>
      <c r="P17886" s="5" t="s">
        <v>355</v>
      </c>
      <c r="Q17886" s="5" t="s">
        <v>355</v>
      </c>
    </row>
    <row r="17887" ht="16.5" customHeight="1">
      <c r="O17887" s="5" t="s">
        <v>355</v>
      </c>
      <c r="P17887" s="5" t="s">
        <v>355</v>
      </c>
      <c r="Q17887" s="5" t="s">
        <v>355</v>
      </c>
    </row>
    <row r="17888" ht="16.5" customHeight="1">
      <c r="O17888" s="5" t="s">
        <v>355</v>
      </c>
      <c r="P17888" s="5" t="s">
        <v>355</v>
      </c>
      <c r="Q17888" s="5" t="s">
        <v>355</v>
      </c>
    </row>
    <row r="17889" ht="16.5" customHeight="1">
      <c r="O17889" s="5" t="s">
        <v>355</v>
      </c>
      <c r="P17889" s="5" t="s">
        <v>355</v>
      </c>
      <c r="Q17889" s="5" t="s">
        <v>355</v>
      </c>
    </row>
    <row r="17890" ht="16.5" customHeight="1">
      <c r="O17890" s="5" t="s">
        <v>355</v>
      </c>
      <c r="P17890" s="5" t="s">
        <v>355</v>
      </c>
      <c r="Q17890" s="5" t="s">
        <v>355</v>
      </c>
    </row>
    <row r="17891" ht="16.5" customHeight="1">
      <c r="O17891" s="5" t="s">
        <v>355</v>
      </c>
      <c r="P17891" s="5" t="s">
        <v>355</v>
      </c>
      <c r="Q17891" s="5" t="s">
        <v>355</v>
      </c>
    </row>
    <row r="17892" ht="16.5" customHeight="1">
      <c r="O17892" s="5" t="s">
        <v>355</v>
      </c>
      <c r="P17892" s="5" t="s">
        <v>355</v>
      </c>
      <c r="Q17892" s="5" t="s">
        <v>355</v>
      </c>
    </row>
    <row r="17893" ht="16.5" customHeight="1">
      <c r="O17893" s="5" t="s">
        <v>355</v>
      </c>
      <c r="P17893" s="5" t="s">
        <v>355</v>
      </c>
      <c r="Q17893" s="5" t="s">
        <v>355</v>
      </c>
    </row>
    <row r="17894" ht="16.5" customHeight="1">
      <c r="O17894" s="5" t="s">
        <v>355</v>
      </c>
      <c r="P17894" s="5" t="s">
        <v>355</v>
      </c>
      <c r="Q17894" s="5" t="s">
        <v>355</v>
      </c>
    </row>
    <row r="17895" ht="16.5" customHeight="1">
      <c r="O17895" s="5" t="s">
        <v>355</v>
      </c>
      <c r="P17895" s="5" t="s">
        <v>355</v>
      </c>
      <c r="Q17895" s="5" t="s">
        <v>355</v>
      </c>
    </row>
    <row r="17896" ht="16.5" customHeight="1">
      <c r="O17896" s="5" t="s">
        <v>355</v>
      </c>
      <c r="P17896" s="5" t="s">
        <v>355</v>
      </c>
      <c r="Q17896" s="5" t="s">
        <v>355</v>
      </c>
    </row>
    <row r="17897" ht="16.5" customHeight="1">
      <c r="O17897" s="5" t="s">
        <v>355</v>
      </c>
      <c r="P17897" s="5" t="s">
        <v>355</v>
      </c>
      <c r="Q17897" s="5" t="s">
        <v>355</v>
      </c>
    </row>
    <row r="17898" ht="16.5" customHeight="1">
      <c r="O17898" s="5" t="s">
        <v>355</v>
      </c>
      <c r="P17898" s="5" t="s">
        <v>355</v>
      </c>
      <c r="Q17898" s="5" t="s">
        <v>355</v>
      </c>
    </row>
    <row r="17899" ht="16.5" customHeight="1">
      <c r="O17899" s="5" t="s">
        <v>355</v>
      </c>
      <c r="P17899" s="5" t="s">
        <v>355</v>
      </c>
      <c r="Q17899" s="5" t="s">
        <v>355</v>
      </c>
    </row>
    <row r="17900" ht="16.5" customHeight="1">
      <c r="O17900" s="5" t="s">
        <v>355</v>
      </c>
      <c r="P17900" s="5" t="s">
        <v>355</v>
      </c>
      <c r="Q17900" s="5" t="s">
        <v>355</v>
      </c>
    </row>
    <row r="17901" ht="16.5" customHeight="1">
      <c r="O17901" s="5" t="s">
        <v>355</v>
      </c>
      <c r="P17901" s="5" t="s">
        <v>355</v>
      </c>
      <c r="Q17901" s="5" t="s">
        <v>355</v>
      </c>
    </row>
    <row r="17902" ht="16.5" customHeight="1">
      <c r="O17902" s="5" t="s">
        <v>355</v>
      </c>
      <c r="P17902" s="5" t="s">
        <v>355</v>
      </c>
      <c r="Q17902" s="5" t="s">
        <v>355</v>
      </c>
    </row>
    <row r="17903" ht="16.5" customHeight="1">
      <c r="O17903" s="5" t="s">
        <v>355</v>
      </c>
      <c r="P17903" s="5" t="s">
        <v>355</v>
      </c>
      <c r="Q17903" s="5" t="s">
        <v>355</v>
      </c>
    </row>
    <row r="17904" ht="16.5" customHeight="1">
      <c r="O17904" s="5" t="s">
        <v>355</v>
      </c>
      <c r="P17904" s="5" t="s">
        <v>355</v>
      </c>
      <c r="Q17904" s="5" t="s">
        <v>355</v>
      </c>
    </row>
    <row r="17905" ht="16.5" customHeight="1">
      <c r="O17905" s="5" t="s">
        <v>355</v>
      </c>
      <c r="P17905" s="5" t="s">
        <v>355</v>
      </c>
      <c r="Q17905" s="5" t="s">
        <v>355</v>
      </c>
    </row>
    <row r="17906" ht="16.5" customHeight="1">
      <c r="O17906" s="5" t="s">
        <v>355</v>
      </c>
      <c r="P17906" s="5" t="s">
        <v>355</v>
      </c>
      <c r="Q17906" s="5" t="s">
        <v>355</v>
      </c>
    </row>
    <row r="17907" ht="16.5" customHeight="1">
      <c r="O17907" s="5" t="s">
        <v>355</v>
      </c>
      <c r="P17907" s="5" t="s">
        <v>355</v>
      </c>
      <c r="Q17907" s="5" t="s">
        <v>355</v>
      </c>
    </row>
    <row r="17908" ht="16.5" customHeight="1">
      <c r="O17908" s="5" t="s">
        <v>355</v>
      </c>
      <c r="P17908" s="5" t="s">
        <v>355</v>
      </c>
      <c r="Q17908" s="5" t="s">
        <v>355</v>
      </c>
    </row>
    <row r="17909" ht="16.5" customHeight="1">
      <c r="O17909" s="5" t="s">
        <v>355</v>
      </c>
      <c r="P17909" s="5" t="s">
        <v>355</v>
      </c>
      <c r="Q17909" s="5" t="s">
        <v>355</v>
      </c>
    </row>
    <row r="17910" ht="16.5" customHeight="1">
      <c r="O17910" s="5" t="s">
        <v>355</v>
      </c>
      <c r="P17910" s="5" t="s">
        <v>355</v>
      </c>
      <c r="Q17910" s="5" t="s">
        <v>355</v>
      </c>
    </row>
    <row r="17911" ht="16.5" customHeight="1">
      <c r="O17911" s="5" t="s">
        <v>355</v>
      </c>
      <c r="P17911" s="5" t="s">
        <v>355</v>
      </c>
      <c r="Q17911" s="5" t="s">
        <v>355</v>
      </c>
    </row>
    <row r="17912" ht="16.5" customHeight="1">
      <c r="O17912" s="5" t="s">
        <v>355</v>
      </c>
      <c r="P17912" s="5" t="s">
        <v>355</v>
      </c>
      <c r="Q17912" s="5" t="s">
        <v>355</v>
      </c>
    </row>
    <row r="17913" ht="16.5" customHeight="1">
      <c r="O17913" s="5" t="s">
        <v>355</v>
      </c>
      <c r="P17913" s="5" t="s">
        <v>355</v>
      </c>
      <c r="Q17913" s="5" t="s">
        <v>355</v>
      </c>
    </row>
    <row r="17914" ht="16.5" customHeight="1">
      <c r="O17914" s="5" t="s">
        <v>355</v>
      </c>
      <c r="P17914" s="5" t="s">
        <v>355</v>
      </c>
      <c r="Q17914" s="5" t="s">
        <v>355</v>
      </c>
    </row>
    <row r="17915" ht="16.5" customHeight="1">
      <c r="O17915" s="5" t="s">
        <v>355</v>
      </c>
      <c r="P17915" s="5" t="s">
        <v>355</v>
      </c>
      <c r="Q17915" s="5" t="s">
        <v>355</v>
      </c>
    </row>
    <row r="17916" ht="16.5" customHeight="1">
      <c r="O17916" s="5" t="s">
        <v>355</v>
      </c>
      <c r="P17916" s="5" t="s">
        <v>355</v>
      </c>
      <c r="Q17916" s="5" t="s">
        <v>355</v>
      </c>
    </row>
    <row r="17917" ht="16.5" customHeight="1">
      <c r="O17917" s="5" t="s">
        <v>355</v>
      </c>
      <c r="P17917" s="5" t="s">
        <v>355</v>
      </c>
      <c r="Q17917" s="5" t="s">
        <v>355</v>
      </c>
    </row>
    <row r="17918" ht="16.5" customHeight="1">
      <c r="O17918" s="5" t="s">
        <v>355</v>
      </c>
      <c r="P17918" s="5" t="s">
        <v>355</v>
      </c>
      <c r="Q17918" s="5" t="s">
        <v>355</v>
      </c>
    </row>
    <row r="17919" ht="16.5" customHeight="1">
      <c r="O17919" s="5" t="s">
        <v>355</v>
      </c>
      <c r="P17919" s="5" t="s">
        <v>355</v>
      </c>
      <c r="Q17919" s="5" t="s">
        <v>355</v>
      </c>
    </row>
    <row r="17920" ht="16.5" customHeight="1">
      <c r="O17920" s="5" t="s">
        <v>355</v>
      </c>
      <c r="P17920" s="5" t="s">
        <v>355</v>
      </c>
      <c r="Q17920" s="5" t="s">
        <v>355</v>
      </c>
    </row>
    <row r="17921" ht="16.5" customHeight="1">
      <c r="O17921" s="5" t="s">
        <v>355</v>
      </c>
      <c r="P17921" s="5" t="s">
        <v>355</v>
      </c>
      <c r="Q17921" s="5" t="s">
        <v>355</v>
      </c>
    </row>
    <row r="17922" ht="16.5" customHeight="1">
      <c r="O17922" s="5" t="s">
        <v>355</v>
      </c>
      <c r="P17922" s="5" t="s">
        <v>355</v>
      </c>
      <c r="Q17922" s="5" t="s">
        <v>355</v>
      </c>
    </row>
    <row r="17923" ht="16.5" customHeight="1">
      <c r="O17923" s="5" t="s">
        <v>355</v>
      </c>
      <c r="P17923" s="5" t="s">
        <v>355</v>
      </c>
      <c r="Q17923" s="5" t="s">
        <v>355</v>
      </c>
    </row>
    <row r="17924" ht="16.5" customHeight="1">
      <c r="O17924" s="5" t="s">
        <v>355</v>
      </c>
      <c r="P17924" s="5" t="s">
        <v>355</v>
      </c>
      <c r="Q17924" s="5" t="s">
        <v>355</v>
      </c>
    </row>
    <row r="17925" ht="16.5" customHeight="1">
      <c r="O17925" s="5" t="s">
        <v>355</v>
      </c>
      <c r="P17925" s="5" t="s">
        <v>355</v>
      </c>
      <c r="Q17925" s="5" t="s">
        <v>355</v>
      </c>
    </row>
    <row r="17926" ht="16.5" customHeight="1">
      <c r="O17926" s="5" t="s">
        <v>355</v>
      </c>
      <c r="P17926" s="5" t="s">
        <v>355</v>
      </c>
      <c r="Q17926" s="5" t="s">
        <v>355</v>
      </c>
    </row>
    <row r="17927" ht="16.5" customHeight="1">
      <c r="O17927" s="5" t="s">
        <v>355</v>
      </c>
      <c r="P17927" s="5" t="s">
        <v>355</v>
      </c>
      <c r="Q17927" s="5" t="s">
        <v>355</v>
      </c>
    </row>
    <row r="17928" ht="16.5" customHeight="1">
      <c r="O17928" s="5" t="s">
        <v>355</v>
      </c>
      <c r="P17928" s="5" t="s">
        <v>355</v>
      </c>
      <c r="Q17928" s="5" t="s">
        <v>355</v>
      </c>
    </row>
    <row r="17929" ht="16.5" customHeight="1">
      <c r="O17929" s="5" t="s">
        <v>355</v>
      </c>
      <c r="P17929" s="5" t="s">
        <v>355</v>
      </c>
      <c r="Q17929" s="5" t="s">
        <v>355</v>
      </c>
    </row>
    <row r="17930" ht="16.5" customHeight="1">
      <c r="O17930" s="5" t="s">
        <v>355</v>
      </c>
      <c r="P17930" s="5" t="s">
        <v>355</v>
      </c>
      <c r="Q17930" s="5" t="s">
        <v>355</v>
      </c>
    </row>
    <row r="17931" ht="16.5" customHeight="1">
      <c r="O17931" s="5" t="s">
        <v>355</v>
      </c>
      <c r="P17931" s="5" t="s">
        <v>355</v>
      </c>
      <c r="Q17931" s="5" t="s">
        <v>355</v>
      </c>
    </row>
    <row r="17932" ht="16.5" customHeight="1">
      <c r="O17932" s="5" t="s">
        <v>355</v>
      </c>
      <c r="P17932" s="5" t="s">
        <v>355</v>
      </c>
      <c r="Q17932" s="5" t="s">
        <v>355</v>
      </c>
    </row>
    <row r="17933" ht="16.5" customHeight="1">
      <c r="O17933" s="5" t="s">
        <v>355</v>
      </c>
      <c r="P17933" s="5" t="s">
        <v>355</v>
      </c>
      <c r="Q17933" s="5" t="s">
        <v>355</v>
      </c>
    </row>
    <row r="17934" ht="16.5" customHeight="1">
      <c r="O17934" s="5" t="s">
        <v>355</v>
      </c>
      <c r="P17934" s="5" t="s">
        <v>355</v>
      </c>
      <c r="Q17934" s="5" t="s">
        <v>355</v>
      </c>
    </row>
    <row r="17935" ht="16.5" customHeight="1">
      <c r="O17935" s="5" t="s">
        <v>355</v>
      </c>
      <c r="P17935" s="5" t="s">
        <v>355</v>
      </c>
      <c r="Q17935" s="5" t="s">
        <v>355</v>
      </c>
    </row>
    <row r="17936" ht="16.5" customHeight="1">
      <c r="O17936" s="5" t="s">
        <v>355</v>
      </c>
      <c r="P17936" s="5" t="s">
        <v>355</v>
      </c>
      <c r="Q17936" s="5" t="s">
        <v>355</v>
      </c>
    </row>
    <row r="17937" ht="16.5" customHeight="1">
      <c r="O17937" s="5" t="s">
        <v>355</v>
      </c>
      <c r="P17937" s="5" t="s">
        <v>355</v>
      </c>
      <c r="Q17937" s="5" t="s">
        <v>355</v>
      </c>
    </row>
    <row r="17938" ht="16.5" customHeight="1">
      <c r="O17938" s="5" t="s">
        <v>355</v>
      </c>
      <c r="P17938" s="5" t="s">
        <v>355</v>
      </c>
      <c r="Q17938" s="5" t="s">
        <v>355</v>
      </c>
    </row>
    <row r="17939" ht="16.5" customHeight="1">
      <c r="O17939" s="5" t="s">
        <v>355</v>
      </c>
      <c r="P17939" s="5" t="s">
        <v>355</v>
      </c>
      <c r="Q17939" s="5" t="s">
        <v>355</v>
      </c>
    </row>
    <row r="17940" ht="16.5" customHeight="1">
      <c r="O17940" s="5" t="s">
        <v>355</v>
      </c>
      <c r="P17940" s="5" t="s">
        <v>355</v>
      </c>
      <c r="Q17940" s="5" t="s">
        <v>355</v>
      </c>
    </row>
    <row r="17941" ht="16.5" customHeight="1">
      <c r="O17941" s="5" t="s">
        <v>355</v>
      </c>
      <c r="P17941" s="5" t="s">
        <v>355</v>
      </c>
      <c r="Q17941" s="5" t="s">
        <v>355</v>
      </c>
    </row>
    <row r="17942" ht="16.5" customHeight="1">
      <c r="O17942" s="5" t="s">
        <v>355</v>
      </c>
      <c r="P17942" s="5" t="s">
        <v>355</v>
      </c>
      <c r="Q17942" s="5" t="s">
        <v>355</v>
      </c>
    </row>
    <row r="17943" ht="16.5" customHeight="1">
      <c r="O17943" s="5" t="s">
        <v>355</v>
      </c>
      <c r="P17943" s="5" t="s">
        <v>355</v>
      </c>
      <c r="Q17943" s="5" t="s">
        <v>355</v>
      </c>
    </row>
    <row r="17944" ht="16.5" customHeight="1">
      <c r="O17944" s="5" t="s">
        <v>355</v>
      </c>
      <c r="P17944" s="5" t="s">
        <v>355</v>
      </c>
      <c r="Q17944" s="5" t="s">
        <v>355</v>
      </c>
    </row>
    <row r="17945" ht="16.5" customHeight="1">
      <c r="O17945" s="5" t="s">
        <v>355</v>
      </c>
      <c r="P17945" s="5" t="s">
        <v>355</v>
      </c>
      <c r="Q17945" s="5" t="s">
        <v>355</v>
      </c>
    </row>
    <row r="17946" ht="16.5" customHeight="1">
      <c r="O17946" s="5" t="s">
        <v>355</v>
      </c>
      <c r="P17946" s="5" t="s">
        <v>355</v>
      </c>
      <c r="Q17946" s="5" t="s">
        <v>355</v>
      </c>
    </row>
    <row r="17947" ht="16.5" customHeight="1">
      <c r="O17947" s="5" t="s">
        <v>355</v>
      </c>
      <c r="P17947" s="5" t="s">
        <v>355</v>
      </c>
      <c r="Q17947" s="5" t="s">
        <v>355</v>
      </c>
    </row>
    <row r="17948" ht="16.5" customHeight="1">
      <c r="O17948" s="5" t="s">
        <v>355</v>
      </c>
      <c r="P17948" s="5" t="s">
        <v>355</v>
      </c>
      <c r="Q17948" s="5" t="s">
        <v>355</v>
      </c>
    </row>
    <row r="17949" ht="16.5" customHeight="1">
      <c r="O17949" s="5" t="s">
        <v>355</v>
      </c>
      <c r="P17949" s="5" t="s">
        <v>355</v>
      </c>
      <c r="Q17949" s="5" t="s">
        <v>355</v>
      </c>
    </row>
    <row r="17950" ht="16.5" customHeight="1">
      <c r="O17950" s="5" t="s">
        <v>355</v>
      </c>
      <c r="P17950" s="5" t="s">
        <v>355</v>
      </c>
      <c r="Q17950" s="5" t="s">
        <v>355</v>
      </c>
    </row>
    <row r="17951" ht="16.5" customHeight="1">
      <c r="O17951" s="5" t="s">
        <v>355</v>
      </c>
      <c r="P17951" s="5" t="s">
        <v>355</v>
      </c>
      <c r="Q17951" s="5" t="s">
        <v>355</v>
      </c>
    </row>
    <row r="17952" ht="16.5" customHeight="1">
      <c r="O17952" s="5" t="s">
        <v>355</v>
      </c>
      <c r="P17952" s="5" t="s">
        <v>355</v>
      </c>
      <c r="Q17952" s="5" t="s">
        <v>355</v>
      </c>
    </row>
    <row r="17953" ht="16.5" customHeight="1">
      <c r="O17953" s="5" t="s">
        <v>355</v>
      </c>
      <c r="P17953" s="5" t="s">
        <v>355</v>
      </c>
      <c r="Q17953" s="5" t="s">
        <v>355</v>
      </c>
    </row>
    <row r="17954" ht="16.5" customHeight="1">
      <c r="O17954" s="5" t="s">
        <v>355</v>
      </c>
      <c r="P17954" s="5" t="s">
        <v>355</v>
      </c>
      <c r="Q17954" s="5" t="s">
        <v>355</v>
      </c>
    </row>
    <row r="17955" ht="16.5" customHeight="1">
      <c r="O17955" s="5" t="s">
        <v>355</v>
      </c>
      <c r="P17955" s="5" t="s">
        <v>355</v>
      </c>
      <c r="Q17955" s="5" t="s">
        <v>355</v>
      </c>
    </row>
    <row r="17956" ht="16.5" customHeight="1">
      <c r="O17956" s="5" t="s">
        <v>355</v>
      </c>
      <c r="P17956" s="5" t="s">
        <v>355</v>
      </c>
      <c r="Q17956" s="5" t="s">
        <v>355</v>
      </c>
    </row>
    <row r="17957" ht="16.5" customHeight="1">
      <c r="O17957" s="5" t="s">
        <v>355</v>
      </c>
      <c r="P17957" s="5" t="s">
        <v>355</v>
      </c>
      <c r="Q17957" s="5" t="s">
        <v>355</v>
      </c>
    </row>
    <row r="17958" ht="16.5" customHeight="1">
      <c r="O17958" s="5" t="s">
        <v>355</v>
      </c>
      <c r="P17958" s="5" t="s">
        <v>355</v>
      </c>
      <c r="Q17958" s="5" t="s">
        <v>355</v>
      </c>
    </row>
    <row r="17959" ht="16.5" customHeight="1">
      <c r="O17959" s="5" t="s">
        <v>355</v>
      </c>
      <c r="P17959" s="5" t="s">
        <v>355</v>
      </c>
      <c r="Q17959" s="5" t="s">
        <v>355</v>
      </c>
    </row>
    <row r="17960" ht="16.5" customHeight="1">
      <c r="O17960" s="5" t="s">
        <v>355</v>
      </c>
      <c r="P17960" s="5" t="s">
        <v>355</v>
      </c>
      <c r="Q17960" s="5" t="s">
        <v>355</v>
      </c>
    </row>
    <row r="17961" ht="16.5" customHeight="1">
      <c r="O17961" s="5" t="s">
        <v>355</v>
      </c>
      <c r="P17961" s="5" t="s">
        <v>355</v>
      </c>
      <c r="Q17961" s="5" t="s">
        <v>355</v>
      </c>
    </row>
    <row r="17962" ht="16.5" customHeight="1">
      <c r="O17962" s="5" t="s">
        <v>355</v>
      </c>
      <c r="P17962" s="5" t="s">
        <v>355</v>
      </c>
      <c r="Q17962" s="5" t="s">
        <v>355</v>
      </c>
    </row>
    <row r="17963" ht="16.5" customHeight="1">
      <c r="O17963" s="5" t="s">
        <v>355</v>
      </c>
      <c r="P17963" s="5" t="s">
        <v>355</v>
      </c>
      <c r="Q17963" s="5" t="s">
        <v>355</v>
      </c>
    </row>
    <row r="17964" ht="16.5" customHeight="1">
      <c r="O17964" s="5" t="s">
        <v>355</v>
      </c>
      <c r="P17964" s="5" t="s">
        <v>355</v>
      </c>
      <c r="Q17964" s="5" t="s">
        <v>355</v>
      </c>
    </row>
    <row r="17965" ht="16.5" customHeight="1">
      <c r="O17965" s="5" t="s">
        <v>355</v>
      </c>
      <c r="P17965" s="5" t="s">
        <v>355</v>
      </c>
      <c r="Q17965" s="5" t="s">
        <v>355</v>
      </c>
    </row>
    <row r="17966" ht="16.5" customHeight="1">
      <c r="O17966" s="5" t="s">
        <v>355</v>
      </c>
      <c r="P17966" s="5" t="s">
        <v>355</v>
      </c>
      <c r="Q17966" s="5" t="s">
        <v>355</v>
      </c>
    </row>
    <row r="17967" ht="16.5" customHeight="1">
      <c r="O17967" s="5" t="s">
        <v>355</v>
      </c>
      <c r="P17967" s="5" t="s">
        <v>355</v>
      </c>
      <c r="Q17967" s="5" t="s">
        <v>355</v>
      </c>
    </row>
    <row r="17968" ht="16.5" customHeight="1">
      <c r="O17968" s="5" t="s">
        <v>355</v>
      </c>
      <c r="P17968" s="5" t="s">
        <v>355</v>
      </c>
      <c r="Q17968" s="5" t="s">
        <v>355</v>
      </c>
    </row>
    <row r="17969" ht="16.5" customHeight="1">
      <c r="O17969" s="5" t="s">
        <v>355</v>
      </c>
      <c r="P17969" s="5" t="s">
        <v>355</v>
      </c>
      <c r="Q17969" s="5" t="s">
        <v>355</v>
      </c>
    </row>
    <row r="17970" ht="16.5" customHeight="1">
      <c r="O17970" s="5" t="s">
        <v>355</v>
      </c>
      <c r="P17970" s="5" t="s">
        <v>355</v>
      </c>
      <c r="Q17970" s="5" t="s">
        <v>355</v>
      </c>
    </row>
    <row r="17971" ht="16.5" customHeight="1">
      <c r="O17971" s="5" t="s">
        <v>355</v>
      </c>
      <c r="P17971" s="5" t="s">
        <v>355</v>
      </c>
      <c r="Q17971" s="5" t="s">
        <v>355</v>
      </c>
    </row>
    <row r="17972" ht="16.5" customHeight="1">
      <c r="O17972" s="5" t="s">
        <v>355</v>
      </c>
      <c r="P17972" s="5" t="s">
        <v>355</v>
      </c>
      <c r="Q17972" s="5" t="s">
        <v>355</v>
      </c>
    </row>
    <row r="17973" ht="16.5" customHeight="1">
      <c r="O17973" s="5" t="s">
        <v>355</v>
      </c>
      <c r="P17973" s="5" t="s">
        <v>355</v>
      </c>
      <c r="Q17973" s="5" t="s">
        <v>355</v>
      </c>
    </row>
    <row r="17974" ht="16.5" customHeight="1">
      <c r="O17974" s="5" t="s">
        <v>355</v>
      </c>
      <c r="P17974" s="5" t="s">
        <v>355</v>
      </c>
      <c r="Q17974" s="5" t="s">
        <v>355</v>
      </c>
    </row>
    <row r="17975" ht="16.5" customHeight="1">
      <c r="O17975" s="5" t="s">
        <v>355</v>
      </c>
      <c r="P17975" s="5" t="s">
        <v>355</v>
      </c>
      <c r="Q17975" s="5" t="s">
        <v>355</v>
      </c>
    </row>
    <row r="17976" ht="16.5" customHeight="1">
      <c r="O17976" s="5" t="s">
        <v>355</v>
      </c>
      <c r="P17976" s="5" t="s">
        <v>355</v>
      </c>
      <c r="Q17976" s="5" t="s">
        <v>355</v>
      </c>
    </row>
    <row r="17977" ht="16.5" customHeight="1">
      <c r="O17977" s="5" t="s">
        <v>355</v>
      </c>
      <c r="P17977" s="5" t="s">
        <v>355</v>
      </c>
      <c r="Q17977" s="5" t="s">
        <v>355</v>
      </c>
    </row>
    <row r="17978" ht="16.5" customHeight="1">
      <c r="O17978" s="5" t="s">
        <v>355</v>
      </c>
      <c r="P17978" s="5" t="s">
        <v>355</v>
      </c>
      <c r="Q17978" s="5" t="s">
        <v>355</v>
      </c>
    </row>
    <row r="17979" ht="16.5" customHeight="1">
      <c r="O17979" s="5" t="s">
        <v>355</v>
      </c>
      <c r="P17979" s="5" t="s">
        <v>355</v>
      </c>
      <c r="Q17979" s="5" t="s">
        <v>355</v>
      </c>
    </row>
    <row r="17980" ht="16.5" customHeight="1">
      <c r="O17980" s="5" t="s">
        <v>355</v>
      </c>
      <c r="P17980" s="5" t="s">
        <v>355</v>
      </c>
      <c r="Q17980" s="5" t="s">
        <v>355</v>
      </c>
    </row>
    <row r="17981" ht="16.5" customHeight="1">
      <c r="O17981" s="5" t="s">
        <v>355</v>
      </c>
      <c r="P17981" s="5" t="s">
        <v>355</v>
      </c>
      <c r="Q17981" s="5" t="s">
        <v>355</v>
      </c>
    </row>
    <row r="17982" ht="16.5" customHeight="1">
      <c r="O17982" s="5" t="s">
        <v>355</v>
      </c>
      <c r="P17982" s="5" t="s">
        <v>355</v>
      </c>
      <c r="Q17982" s="5" t="s">
        <v>355</v>
      </c>
    </row>
    <row r="17983" ht="16.5" customHeight="1">
      <c r="O17983" s="5" t="s">
        <v>355</v>
      </c>
      <c r="P17983" s="5" t="s">
        <v>355</v>
      </c>
      <c r="Q17983" s="5" t="s">
        <v>355</v>
      </c>
    </row>
    <row r="17984" ht="16.5" customHeight="1">
      <c r="O17984" s="5" t="s">
        <v>355</v>
      </c>
      <c r="P17984" s="5" t="s">
        <v>355</v>
      </c>
      <c r="Q17984" s="5" t="s">
        <v>355</v>
      </c>
    </row>
    <row r="17985" ht="16.5" customHeight="1">
      <c r="O17985" s="5" t="s">
        <v>355</v>
      </c>
      <c r="P17985" s="5" t="s">
        <v>355</v>
      </c>
      <c r="Q17985" s="5" t="s">
        <v>355</v>
      </c>
    </row>
    <row r="17986" ht="16.5" customHeight="1">
      <c r="O17986" s="5" t="s">
        <v>355</v>
      </c>
      <c r="P17986" s="5" t="s">
        <v>355</v>
      </c>
      <c r="Q17986" s="5" t="s">
        <v>355</v>
      </c>
    </row>
    <row r="17987" ht="16.5" customHeight="1">
      <c r="O17987" s="5" t="s">
        <v>355</v>
      </c>
      <c r="P17987" s="5" t="s">
        <v>355</v>
      </c>
      <c r="Q17987" s="5" t="s">
        <v>355</v>
      </c>
    </row>
    <row r="17988" ht="16.5" customHeight="1">
      <c r="O17988" s="5" t="s">
        <v>355</v>
      </c>
      <c r="P17988" s="5" t="s">
        <v>355</v>
      </c>
      <c r="Q17988" s="5" t="s">
        <v>355</v>
      </c>
    </row>
    <row r="17989" ht="16.5" customHeight="1">
      <c r="O17989" s="5" t="s">
        <v>355</v>
      </c>
      <c r="P17989" s="5" t="s">
        <v>355</v>
      </c>
      <c r="Q17989" s="5" t="s">
        <v>355</v>
      </c>
    </row>
    <row r="17990" ht="16.5" customHeight="1">
      <c r="O17990" s="5" t="s">
        <v>355</v>
      </c>
      <c r="P17990" s="5" t="s">
        <v>355</v>
      </c>
      <c r="Q17990" s="5" t="s">
        <v>355</v>
      </c>
    </row>
    <row r="17991" ht="16.5" customHeight="1">
      <c r="O17991" s="5" t="s">
        <v>355</v>
      </c>
      <c r="P17991" s="5" t="s">
        <v>355</v>
      </c>
      <c r="Q17991" s="5" t="s">
        <v>355</v>
      </c>
    </row>
    <row r="17992" ht="16.5" customHeight="1">
      <c r="O17992" s="5" t="s">
        <v>355</v>
      </c>
      <c r="P17992" s="5" t="s">
        <v>355</v>
      </c>
      <c r="Q17992" s="5" t="s">
        <v>355</v>
      </c>
    </row>
    <row r="17993" ht="16.5" customHeight="1">
      <c r="O17993" s="5" t="s">
        <v>355</v>
      </c>
      <c r="P17993" s="5" t="s">
        <v>355</v>
      </c>
      <c r="Q17993" s="5" t="s">
        <v>355</v>
      </c>
    </row>
    <row r="17994" ht="16.5" customHeight="1">
      <c r="O17994" s="5" t="s">
        <v>355</v>
      </c>
      <c r="P17994" s="5" t="s">
        <v>355</v>
      </c>
      <c r="Q17994" s="5" t="s">
        <v>355</v>
      </c>
    </row>
    <row r="17995" ht="16.5" customHeight="1">
      <c r="O17995" s="5" t="s">
        <v>355</v>
      </c>
      <c r="P17995" s="5" t="s">
        <v>355</v>
      </c>
      <c r="Q17995" s="5" t="s">
        <v>355</v>
      </c>
    </row>
    <row r="17996" ht="16.5" customHeight="1">
      <c r="O17996" s="5" t="s">
        <v>355</v>
      </c>
      <c r="P17996" s="5" t="s">
        <v>355</v>
      </c>
      <c r="Q17996" s="5" t="s">
        <v>355</v>
      </c>
    </row>
    <row r="17997" ht="16.5" customHeight="1">
      <c r="O17997" s="5" t="s">
        <v>355</v>
      </c>
      <c r="P17997" s="5" t="s">
        <v>355</v>
      </c>
      <c r="Q17997" s="5" t="s">
        <v>355</v>
      </c>
    </row>
    <row r="17998" ht="16.5" customHeight="1">
      <c r="O17998" s="5" t="s">
        <v>355</v>
      </c>
      <c r="P17998" s="5" t="s">
        <v>355</v>
      </c>
      <c r="Q17998" s="5" t="s">
        <v>355</v>
      </c>
    </row>
    <row r="17999" ht="16.5" customHeight="1">
      <c r="O17999" s="5" t="s">
        <v>355</v>
      </c>
      <c r="P17999" s="5" t="s">
        <v>355</v>
      </c>
      <c r="Q17999" s="5" t="s">
        <v>355</v>
      </c>
    </row>
    <row r="18000" ht="16.5" customHeight="1">
      <c r="O18000" s="5" t="s">
        <v>355</v>
      </c>
      <c r="P18000" s="5" t="s">
        <v>355</v>
      </c>
      <c r="Q18000" s="5" t="s">
        <v>355</v>
      </c>
    </row>
    <row r="18001" ht="16.5" customHeight="1">
      <c r="O18001" s="5" t="s">
        <v>355</v>
      </c>
      <c r="P18001" s="5" t="s">
        <v>355</v>
      </c>
      <c r="Q18001" s="5" t="s">
        <v>355</v>
      </c>
    </row>
    <row r="18002" ht="16.5" customHeight="1">
      <c r="O18002" s="5" t="s">
        <v>355</v>
      </c>
      <c r="P18002" s="5" t="s">
        <v>355</v>
      </c>
      <c r="Q18002" s="5" t="s">
        <v>355</v>
      </c>
    </row>
    <row r="18003" ht="16.5" customHeight="1">
      <c r="O18003" s="5" t="s">
        <v>355</v>
      </c>
      <c r="P18003" s="5" t="s">
        <v>355</v>
      </c>
      <c r="Q18003" s="5" t="s">
        <v>355</v>
      </c>
    </row>
    <row r="18004" ht="16.5" customHeight="1">
      <c r="O18004" s="5" t="s">
        <v>355</v>
      </c>
      <c r="P18004" s="5" t="s">
        <v>355</v>
      </c>
      <c r="Q18004" s="5" t="s">
        <v>355</v>
      </c>
    </row>
    <row r="18005" ht="16.5" customHeight="1">
      <c r="O18005" s="5" t="s">
        <v>355</v>
      </c>
      <c r="P18005" s="5" t="s">
        <v>355</v>
      </c>
      <c r="Q18005" s="5" t="s">
        <v>355</v>
      </c>
    </row>
    <row r="18006" ht="16.5" customHeight="1">
      <c r="O18006" s="5" t="s">
        <v>355</v>
      </c>
      <c r="P18006" s="5" t="s">
        <v>355</v>
      </c>
      <c r="Q18006" s="5" t="s">
        <v>355</v>
      </c>
    </row>
    <row r="18007" ht="16.5" customHeight="1">
      <c r="O18007" s="5" t="s">
        <v>355</v>
      </c>
      <c r="P18007" s="5" t="s">
        <v>355</v>
      </c>
      <c r="Q18007" s="5" t="s">
        <v>355</v>
      </c>
    </row>
    <row r="18008" ht="16.5" customHeight="1">
      <c r="O18008" s="5" t="s">
        <v>355</v>
      </c>
      <c r="P18008" s="5" t="s">
        <v>355</v>
      </c>
      <c r="Q18008" s="5" t="s">
        <v>355</v>
      </c>
    </row>
    <row r="18009" ht="16.5" customHeight="1">
      <c r="O18009" s="5" t="s">
        <v>355</v>
      </c>
      <c r="P18009" s="5" t="s">
        <v>355</v>
      </c>
      <c r="Q18009" s="5" t="s">
        <v>355</v>
      </c>
    </row>
    <row r="18010" ht="16.5" customHeight="1">
      <c r="O18010" s="5" t="s">
        <v>355</v>
      </c>
      <c r="P18010" s="5" t="s">
        <v>355</v>
      </c>
      <c r="Q18010" s="5" t="s">
        <v>355</v>
      </c>
    </row>
    <row r="18011" ht="16.5" customHeight="1">
      <c r="O18011" s="5" t="s">
        <v>355</v>
      </c>
      <c r="P18011" s="5" t="s">
        <v>355</v>
      </c>
      <c r="Q18011" s="5" t="s">
        <v>355</v>
      </c>
    </row>
    <row r="18012" ht="16.5" customHeight="1">
      <c r="O18012" s="5" t="s">
        <v>355</v>
      </c>
      <c r="P18012" s="5" t="s">
        <v>355</v>
      </c>
      <c r="Q18012" s="5" t="s">
        <v>355</v>
      </c>
    </row>
    <row r="18013" ht="16.5" customHeight="1">
      <c r="O18013" s="5" t="s">
        <v>355</v>
      </c>
      <c r="P18013" s="5" t="s">
        <v>355</v>
      </c>
      <c r="Q18013" s="5" t="s">
        <v>355</v>
      </c>
    </row>
    <row r="18014" ht="16.5" customHeight="1">
      <c r="O18014" s="5" t="s">
        <v>355</v>
      </c>
      <c r="P18014" s="5" t="s">
        <v>355</v>
      </c>
      <c r="Q18014" s="5" t="s">
        <v>355</v>
      </c>
    </row>
    <row r="18015" ht="16.5" customHeight="1">
      <c r="O18015" s="5" t="s">
        <v>355</v>
      </c>
      <c r="P18015" s="5" t="s">
        <v>355</v>
      </c>
      <c r="Q18015" s="5" t="s">
        <v>355</v>
      </c>
    </row>
    <row r="18016" ht="16.5" customHeight="1">
      <c r="O18016" s="5" t="s">
        <v>355</v>
      </c>
      <c r="P18016" s="5" t="s">
        <v>355</v>
      </c>
      <c r="Q18016" s="5" t="s">
        <v>355</v>
      </c>
    </row>
    <row r="18017" ht="16.5" customHeight="1">
      <c r="O18017" s="5" t="s">
        <v>355</v>
      </c>
      <c r="P18017" s="5" t="s">
        <v>355</v>
      </c>
      <c r="Q18017" s="5" t="s">
        <v>355</v>
      </c>
    </row>
    <row r="18018" ht="16.5" customHeight="1">
      <c r="O18018" s="5" t="s">
        <v>355</v>
      </c>
      <c r="P18018" s="5" t="s">
        <v>355</v>
      </c>
      <c r="Q18018" s="5" t="s">
        <v>355</v>
      </c>
    </row>
    <row r="18019" ht="16.5" customHeight="1">
      <c r="O18019" s="5" t="s">
        <v>355</v>
      </c>
      <c r="P18019" s="5" t="s">
        <v>355</v>
      </c>
      <c r="Q18019" s="5" t="s">
        <v>355</v>
      </c>
    </row>
    <row r="18020" ht="16.5" customHeight="1">
      <c r="O18020" s="5" t="s">
        <v>355</v>
      </c>
      <c r="P18020" s="5" t="s">
        <v>355</v>
      </c>
      <c r="Q18020" s="5" t="s">
        <v>355</v>
      </c>
    </row>
    <row r="18021" ht="16.5" customHeight="1">
      <c r="O18021" s="5" t="s">
        <v>355</v>
      </c>
      <c r="P18021" s="5" t="s">
        <v>355</v>
      </c>
      <c r="Q18021" s="5" t="s">
        <v>355</v>
      </c>
    </row>
    <row r="18022" ht="16.5" customHeight="1">
      <c r="O18022" s="5" t="s">
        <v>355</v>
      </c>
      <c r="P18022" s="5" t="s">
        <v>355</v>
      </c>
      <c r="Q18022" s="5" t="s">
        <v>355</v>
      </c>
    </row>
    <row r="18023" ht="16.5" customHeight="1">
      <c r="O18023" s="5" t="s">
        <v>355</v>
      </c>
      <c r="P18023" s="5" t="s">
        <v>355</v>
      </c>
      <c r="Q18023" s="5" t="s">
        <v>355</v>
      </c>
    </row>
    <row r="18024" ht="16.5" customHeight="1">
      <c r="O18024" s="5" t="s">
        <v>355</v>
      </c>
      <c r="P18024" s="5" t="s">
        <v>355</v>
      </c>
      <c r="Q18024" s="5" t="s">
        <v>355</v>
      </c>
    </row>
    <row r="18025" ht="16.5" customHeight="1">
      <c r="O18025" s="5" t="s">
        <v>355</v>
      </c>
      <c r="P18025" s="5" t="s">
        <v>355</v>
      </c>
      <c r="Q18025" s="5" t="s">
        <v>355</v>
      </c>
    </row>
    <row r="18026" ht="16.5" customHeight="1">
      <c r="O18026" s="5" t="s">
        <v>355</v>
      </c>
      <c r="P18026" s="5" t="s">
        <v>355</v>
      </c>
      <c r="Q18026" s="5" t="s">
        <v>355</v>
      </c>
    </row>
    <row r="18027" ht="16.5" customHeight="1">
      <c r="O18027" s="5" t="s">
        <v>355</v>
      </c>
      <c r="P18027" s="5" t="s">
        <v>355</v>
      </c>
      <c r="Q18027" s="5" t="s">
        <v>355</v>
      </c>
    </row>
    <row r="18028" ht="16.5" customHeight="1">
      <c r="O18028" s="5" t="s">
        <v>355</v>
      </c>
      <c r="P18028" s="5" t="s">
        <v>355</v>
      </c>
      <c r="Q18028" s="5" t="s">
        <v>355</v>
      </c>
    </row>
    <row r="18029" ht="16.5" customHeight="1">
      <c r="O18029" s="5" t="s">
        <v>355</v>
      </c>
      <c r="P18029" s="5" t="s">
        <v>355</v>
      </c>
      <c r="Q18029" s="5" t="s">
        <v>355</v>
      </c>
    </row>
    <row r="18030" ht="16.5" customHeight="1">
      <c r="O18030" s="5" t="s">
        <v>355</v>
      </c>
      <c r="P18030" s="5" t="s">
        <v>355</v>
      </c>
      <c r="Q18030" s="5" t="s">
        <v>355</v>
      </c>
    </row>
    <row r="18031" ht="16.5" customHeight="1">
      <c r="O18031" s="5" t="s">
        <v>355</v>
      </c>
      <c r="P18031" s="5" t="s">
        <v>355</v>
      </c>
      <c r="Q18031" s="5" t="s">
        <v>355</v>
      </c>
    </row>
    <row r="18032" ht="16.5" customHeight="1">
      <c r="O18032" s="5" t="s">
        <v>355</v>
      </c>
      <c r="P18032" s="5" t="s">
        <v>355</v>
      </c>
      <c r="Q18032" s="5" t="s">
        <v>355</v>
      </c>
    </row>
    <row r="18033" ht="16.5" customHeight="1">
      <c r="O18033" s="5" t="s">
        <v>355</v>
      </c>
      <c r="P18033" s="5" t="s">
        <v>355</v>
      </c>
      <c r="Q18033" s="5" t="s">
        <v>355</v>
      </c>
    </row>
    <row r="18034" ht="16.5" customHeight="1">
      <c r="O18034" s="5" t="s">
        <v>355</v>
      </c>
      <c r="P18034" s="5" t="s">
        <v>355</v>
      </c>
      <c r="Q18034" s="5" t="s">
        <v>355</v>
      </c>
    </row>
    <row r="18035" ht="16.5" customHeight="1">
      <c r="O18035" s="5" t="s">
        <v>355</v>
      </c>
      <c r="P18035" s="5" t="s">
        <v>355</v>
      </c>
      <c r="Q18035" s="5" t="s">
        <v>355</v>
      </c>
    </row>
    <row r="18036" ht="16.5" customHeight="1">
      <c r="O18036" s="5" t="s">
        <v>355</v>
      </c>
      <c r="P18036" s="5" t="s">
        <v>355</v>
      </c>
      <c r="Q18036" s="5" t="s">
        <v>355</v>
      </c>
    </row>
    <row r="18037" ht="16.5" customHeight="1">
      <c r="O18037" s="5" t="s">
        <v>355</v>
      </c>
      <c r="P18037" s="5" t="s">
        <v>355</v>
      </c>
      <c r="Q18037" s="5" t="s">
        <v>355</v>
      </c>
    </row>
    <row r="18038" ht="16.5" customHeight="1">
      <c r="O18038" s="5" t="s">
        <v>355</v>
      </c>
      <c r="P18038" s="5" t="s">
        <v>355</v>
      </c>
      <c r="Q18038" s="5" t="s">
        <v>355</v>
      </c>
    </row>
    <row r="18039" ht="16.5" customHeight="1">
      <c r="O18039" s="5" t="s">
        <v>355</v>
      </c>
      <c r="P18039" s="5" t="s">
        <v>355</v>
      </c>
      <c r="Q18039" s="5" t="s">
        <v>355</v>
      </c>
    </row>
    <row r="18040" ht="16.5" customHeight="1">
      <c r="O18040" s="5" t="s">
        <v>355</v>
      </c>
      <c r="P18040" s="5" t="s">
        <v>355</v>
      </c>
      <c r="Q18040" s="5" t="s">
        <v>355</v>
      </c>
    </row>
    <row r="18041" ht="16.5" customHeight="1">
      <c r="O18041" s="5" t="s">
        <v>355</v>
      </c>
      <c r="P18041" s="5" t="s">
        <v>355</v>
      </c>
      <c r="Q18041" s="5" t="s">
        <v>355</v>
      </c>
    </row>
    <row r="18042" ht="16.5" customHeight="1">
      <c r="O18042" s="5" t="s">
        <v>355</v>
      </c>
      <c r="P18042" s="5" t="s">
        <v>355</v>
      </c>
      <c r="Q18042" s="5" t="s">
        <v>355</v>
      </c>
    </row>
    <row r="18043" ht="16.5" customHeight="1">
      <c r="O18043" s="5" t="s">
        <v>355</v>
      </c>
      <c r="P18043" s="5" t="s">
        <v>355</v>
      </c>
      <c r="Q18043" s="5" t="s">
        <v>355</v>
      </c>
    </row>
    <row r="18044" ht="16.5" customHeight="1">
      <c r="O18044" s="5" t="s">
        <v>355</v>
      </c>
      <c r="P18044" s="5" t="s">
        <v>355</v>
      </c>
      <c r="Q18044" s="5" t="s">
        <v>355</v>
      </c>
    </row>
    <row r="18045" ht="16.5" customHeight="1">
      <c r="O18045" s="5" t="s">
        <v>355</v>
      </c>
      <c r="P18045" s="5" t="s">
        <v>355</v>
      </c>
      <c r="Q18045" s="5" t="s">
        <v>355</v>
      </c>
    </row>
    <row r="18046" ht="16.5" customHeight="1">
      <c r="O18046" s="5" t="s">
        <v>355</v>
      </c>
      <c r="P18046" s="5" t="s">
        <v>355</v>
      </c>
      <c r="Q18046" s="5" t="s">
        <v>355</v>
      </c>
    </row>
    <row r="18047" ht="16.5" customHeight="1">
      <c r="O18047" s="5" t="s">
        <v>355</v>
      </c>
      <c r="P18047" s="5" t="s">
        <v>355</v>
      </c>
      <c r="Q18047" s="5" t="s">
        <v>355</v>
      </c>
    </row>
    <row r="18048" ht="16.5" customHeight="1">
      <c r="O18048" s="5" t="s">
        <v>355</v>
      </c>
      <c r="P18048" s="5" t="s">
        <v>355</v>
      </c>
      <c r="Q18048" s="5" t="s">
        <v>355</v>
      </c>
    </row>
    <row r="18049" ht="16.5" customHeight="1">
      <c r="O18049" s="5" t="s">
        <v>355</v>
      </c>
      <c r="P18049" s="5" t="s">
        <v>355</v>
      </c>
      <c r="Q18049" s="5" t="s">
        <v>355</v>
      </c>
    </row>
    <row r="18050" ht="16.5" customHeight="1">
      <c r="O18050" s="5" t="s">
        <v>355</v>
      </c>
      <c r="P18050" s="5" t="s">
        <v>355</v>
      </c>
      <c r="Q18050" s="5" t="s">
        <v>355</v>
      </c>
    </row>
    <row r="18051" ht="16.5" customHeight="1">
      <c r="O18051" s="5" t="s">
        <v>355</v>
      </c>
      <c r="P18051" s="5" t="s">
        <v>355</v>
      </c>
      <c r="Q18051" s="5" t="s">
        <v>355</v>
      </c>
    </row>
    <row r="18052" ht="16.5" customHeight="1">
      <c r="O18052" s="5" t="s">
        <v>355</v>
      </c>
      <c r="P18052" s="5" t="s">
        <v>355</v>
      </c>
      <c r="Q18052" s="5" t="s">
        <v>355</v>
      </c>
    </row>
    <row r="18053" ht="16.5" customHeight="1">
      <c r="O18053" s="5" t="s">
        <v>355</v>
      </c>
      <c r="P18053" s="5" t="s">
        <v>355</v>
      </c>
      <c r="Q18053" s="5" t="s">
        <v>355</v>
      </c>
    </row>
    <row r="18054" ht="16.5" customHeight="1">
      <c r="O18054" s="5" t="s">
        <v>355</v>
      </c>
      <c r="P18054" s="5" t="s">
        <v>355</v>
      </c>
      <c r="Q18054" s="5" t="s">
        <v>355</v>
      </c>
    </row>
    <row r="18055" ht="16.5" customHeight="1">
      <c r="O18055" s="5" t="s">
        <v>355</v>
      </c>
      <c r="P18055" s="5" t="s">
        <v>355</v>
      </c>
      <c r="Q18055" s="5" t="s">
        <v>355</v>
      </c>
    </row>
    <row r="18056" ht="16.5" customHeight="1">
      <c r="O18056" s="5" t="s">
        <v>355</v>
      </c>
      <c r="P18056" s="5" t="s">
        <v>355</v>
      </c>
      <c r="Q18056" s="5" t="s">
        <v>355</v>
      </c>
    </row>
    <row r="18057" ht="16.5" customHeight="1">
      <c r="O18057" s="5" t="s">
        <v>355</v>
      </c>
      <c r="P18057" s="5" t="s">
        <v>355</v>
      </c>
      <c r="Q18057" s="5" t="s">
        <v>355</v>
      </c>
    </row>
    <row r="18058" ht="16.5" customHeight="1">
      <c r="O18058" s="5" t="s">
        <v>355</v>
      </c>
      <c r="P18058" s="5" t="s">
        <v>355</v>
      </c>
      <c r="Q18058" s="5" t="s">
        <v>355</v>
      </c>
    </row>
    <row r="18059" ht="16.5" customHeight="1">
      <c r="O18059" s="5" t="s">
        <v>355</v>
      </c>
      <c r="P18059" s="5" t="s">
        <v>355</v>
      </c>
      <c r="Q18059" s="5" t="s">
        <v>355</v>
      </c>
    </row>
    <row r="18060" ht="16.5" customHeight="1">
      <c r="O18060" s="5" t="s">
        <v>355</v>
      </c>
      <c r="P18060" s="5" t="s">
        <v>355</v>
      </c>
      <c r="Q18060" s="5" t="s">
        <v>355</v>
      </c>
    </row>
    <row r="18061" ht="16.5" customHeight="1">
      <c r="O18061" s="5" t="s">
        <v>355</v>
      </c>
      <c r="P18061" s="5" t="s">
        <v>355</v>
      </c>
      <c r="Q18061" s="5" t="s">
        <v>355</v>
      </c>
    </row>
    <row r="18062" ht="16.5" customHeight="1">
      <c r="O18062" s="5" t="s">
        <v>355</v>
      </c>
      <c r="P18062" s="5" t="s">
        <v>355</v>
      </c>
      <c r="Q18062" s="5" t="s">
        <v>355</v>
      </c>
    </row>
    <row r="18063" ht="16.5" customHeight="1">
      <c r="O18063" s="5" t="s">
        <v>355</v>
      </c>
      <c r="P18063" s="5" t="s">
        <v>355</v>
      </c>
      <c r="Q18063" s="5" t="s">
        <v>355</v>
      </c>
    </row>
    <row r="18064" ht="16.5" customHeight="1">
      <c r="O18064" s="5" t="s">
        <v>355</v>
      </c>
      <c r="P18064" s="5" t="s">
        <v>355</v>
      </c>
      <c r="Q18064" s="5" t="s">
        <v>355</v>
      </c>
    </row>
    <row r="18065" ht="16.5" customHeight="1">
      <c r="O18065" s="5" t="s">
        <v>355</v>
      </c>
      <c r="P18065" s="5" t="s">
        <v>355</v>
      </c>
      <c r="Q18065" s="5" t="s">
        <v>355</v>
      </c>
    </row>
    <row r="18066" ht="16.5" customHeight="1">
      <c r="O18066" s="5" t="s">
        <v>355</v>
      </c>
      <c r="P18066" s="5" t="s">
        <v>355</v>
      </c>
      <c r="Q18066" s="5" t="s">
        <v>355</v>
      </c>
    </row>
    <row r="18067" ht="16.5" customHeight="1">
      <c r="O18067" s="5" t="s">
        <v>355</v>
      </c>
      <c r="P18067" s="5" t="s">
        <v>355</v>
      </c>
      <c r="Q18067" s="5" t="s">
        <v>355</v>
      </c>
    </row>
    <row r="18068" ht="16.5" customHeight="1">
      <c r="O18068" s="5" t="s">
        <v>355</v>
      </c>
      <c r="P18068" s="5" t="s">
        <v>355</v>
      </c>
      <c r="Q18068" s="5" t="s">
        <v>355</v>
      </c>
    </row>
    <row r="18069" ht="16.5" customHeight="1">
      <c r="O18069" s="5" t="s">
        <v>355</v>
      </c>
      <c r="P18069" s="5" t="s">
        <v>355</v>
      </c>
      <c r="Q18069" s="5" t="s">
        <v>355</v>
      </c>
    </row>
    <row r="18070" ht="16.5" customHeight="1">
      <c r="O18070" s="5" t="s">
        <v>355</v>
      </c>
      <c r="P18070" s="5" t="s">
        <v>355</v>
      </c>
      <c r="Q18070" s="5" t="s">
        <v>355</v>
      </c>
    </row>
    <row r="18071" ht="16.5" customHeight="1">
      <c r="O18071" s="5" t="s">
        <v>355</v>
      </c>
      <c r="P18071" s="5" t="s">
        <v>355</v>
      </c>
      <c r="Q18071" s="5" t="s">
        <v>355</v>
      </c>
    </row>
    <row r="18072" ht="16.5" customHeight="1">
      <c r="O18072" s="5" t="s">
        <v>355</v>
      </c>
      <c r="P18072" s="5" t="s">
        <v>355</v>
      </c>
      <c r="Q18072" s="5" t="s">
        <v>355</v>
      </c>
    </row>
    <row r="18073" ht="16.5" customHeight="1">
      <c r="O18073" s="5" t="s">
        <v>355</v>
      </c>
      <c r="P18073" s="5" t="s">
        <v>355</v>
      </c>
      <c r="Q18073" s="5" t="s">
        <v>355</v>
      </c>
    </row>
    <row r="18074" ht="16.5" customHeight="1">
      <c r="O18074" s="5" t="s">
        <v>355</v>
      </c>
      <c r="P18074" s="5" t="s">
        <v>355</v>
      </c>
      <c r="Q18074" s="5" t="s">
        <v>355</v>
      </c>
    </row>
    <row r="18075" ht="16.5" customHeight="1">
      <c r="O18075" s="5" t="s">
        <v>355</v>
      </c>
      <c r="P18075" s="5" t="s">
        <v>355</v>
      </c>
      <c r="Q18075" s="5" t="s">
        <v>355</v>
      </c>
    </row>
    <row r="18076" ht="16.5" customHeight="1">
      <c r="O18076" s="5" t="s">
        <v>355</v>
      </c>
      <c r="P18076" s="5" t="s">
        <v>355</v>
      </c>
      <c r="Q18076" s="5" t="s">
        <v>355</v>
      </c>
    </row>
    <row r="18077" ht="16.5" customHeight="1">
      <c r="O18077" s="5" t="s">
        <v>355</v>
      </c>
      <c r="P18077" s="5" t="s">
        <v>355</v>
      </c>
      <c r="Q18077" s="5" t="s">
        <v>355</v>
      </c>
    </row>
    <row r="18078" ht="16.5" customHeight="1">
      <c r="O18078" s="5" t="s">
        <v>355</v>
      </c>
      <c r="P18078" s="5" t="s">
        <v>355</v>
      </c>
      <c r="Q18078" s="5" t="s">
        <v>355</v>
      </c>
    </row>
    <row r="18079" ht="16.5" customHeight="1">
      <c r="O18079" s="5" t="s">
        <v>355</v>
      </c>
      <c r="P18079" s="5" t="s">
        <v>355</v>
      </c>
      <c r="Q18079" s="5" t="s">
        <v>355</v>
      </c>
    </row>
    <row r="18080" ht="16.5" customHeight="1">
      <c r="O18080" s="5" t="s">
        <v>355</v>
      </c>
      <c r="P18080" s="5" t="s">
        <v>355</v>
      </c>
      <c r="Q18080" s="5" t="s">
        <v>355</v>
      </c>
    </row>
    <row r="18081" ht="16.5" customHeight="1">
      <c r="O18081" s="5" t="s">
        <v>355</v>
      </c>
      <c r="P18081" s="5" t="s">
        <v>355</v>
      </c>
      <c r="Q18081" s="5" t="s">
        <v>355</v>
      </c>
    </row>
    <row r="18082" ht="16.5" customHeight="1">
      <c r="O18082" s="5" t="s">
        <v>355</v>
      </c>
      <c r="P18082" s="5" t="s">
        <v>355</v>
      </c>
      <c r="Q18082" s="5" t="s">
        <v>355</v>
      </c>
    </row>
    <row r="18083" ht="16.5" customHeight="1">
      <c r="O18083" s="5" t="s">
        <v>355</v>
      </c>
      <c r="P18083" s="5" t="s">
        <v>355</v>
      </c>
      <c r="Q18083" s="5" t="s">
        <v>355</v>
      </c>
    </row>
    <row r="18084" ht="16.5" customHeight="1">
      <c r="O18084" s="5" t="s">
        <v>355</v>
      </c>
      <c r="P18084" s="5" t="s">
        <v>355</v>
      </c>
      <c r="Q18084" s="5" t="s">
        <v>355</v>
      </c>
    </row>
    <row r="18085" ht="16.5" customHeight="1">
      <c r="O18085" s="5" t="s">
        <v>355</v>
      </c>
      <c r="P18085" s="5" t="s">
        <v>355</v>
      </c>
      <c r="Q18085" s="5" t="s">
        <v>355</v>
      </c>
    </row>
    <row r="18086" ht="16.5" customHeight="1">
      <c r="O18086" s="5" t="s">
        <v>355</v>
      </c>
      <c r="P18086" s="5" t="s">
        <v>355</v>
      </c>
      <c r="Q18086" s="5" t="s">
        <v>355</v>
      </c>
    </row>
    <row r="18087" ht="16.5" customHeight="1">
      <c r="O18087" s="5" t="s">
        <v>355</v>
      </c>
      <c r="P18087" s="5" t="s">
        <v>355</v>
      </c>
      <c r="Q18087" s="5" t="s">
        <v>355</v>
      </c>
    </row>
    <row r="18088" ht="16.5" customHeight="1">
      <c r="O18088" s="5" t="s">
        <v>355</v>
      </c>
      <c r="P18088" s="5" t="s">
        <v>355</v>
      </c>
      <c r="Q18088" s="5" t="s">
        <v>355</v>
      </c>
    </row>
    <row r="18089" ht="16.5" customHeight="1">
      <c r="O18089" s="5" t="s">
        <v>355</v>
      </c>
      <c r="P18089" s="5" t="s">
        <v>355</v>
      </c>
      <c r="Q18089" s="5" t="s">
        <v>355</v>
      </c>
    </row>
    <row r="18090" ht="16.5" customHeight="1">
      <c r="O18090" s="5" t="s">
        <v>355</v>
      </c>
      <c r="P18090" s="5" t="s">
        <v>355</v>
      </c>
      <c r="Q18090" s="5" t="s">
        <v>355</v>
      </c>
    </row>
    <row r="18091" ht="16.5" customHeight="1">
      <c r="O18091" s="5" t="s">
        <v>355</v>
      </c>
      <c r="P18091" s="5" t="s">
        <v>355</v>
      </c>
      <c r="Q18091" s="5" t="s">
        <v>355</v>
      </c>
    </row>
    <row r="18092" ht="16.5" customHeight="1">
      <c r="O18092" s="5" t="s">
        <v>355</v>
      </c>
      <c r="P18092" s="5" t="s">
        <v>355</v>
      </c>
      <c r="Q18092" s="5" t="s">
        <v>355</v>
      </c>
    </row>
    <row r="18093" ht="16.5" customHeight="1">
      <c r="O18093" s="5" t="s">
        <v>355</v>
      </c>
      <c r="P18093" s="5" t="s">
        <v>355</v>
      </c>
      <c r="Q18093" s="5" t="s">
        <v>355</v>
      </c>
    </row>
    <row r="18094" ht="16.5" customHeight="1">
      <c r="O18094" s="5" t="s">
        <v>355</v>
      </c>
      <c r="P18094" s="5" t="s">
        <v>355</v>
      </c>
      <c r="Q18094" s="5" t="s">
        <v>355</v>
      </c>
    </row>
    <row r="18095" ht="16.5" customHeight="1">
      <c r="O18095" s="5" t="s">
        <v>355</v>
      </c>
      <c r="P18095" s="5" t="s">
        <v>355</v>
      </c>
      <c r="Q18095" s="5" t="s">
        <v>355</v>
      </c>
    </row>
    <row r="18096" ht="16.5" customHeight="1">
      <c r="O18096" s="5" t="s">
        <v>355</v>
      </c>
      <c r="P18096" s="5" t="s">
        <v>355</v>
      </c>
      <c r="Q18096" s="5" t="s">
        <v>355</v>
      </c>
    </row>
    <row r="18097" ht="16.5" customHeight="1">
      <c r="O18097" s="5" t="s">
        <v>355</v>
      </c>
      <c r="P18097" s="5" t="s">
        <v>355</v>
      </c>
      <c r="Q18097" s="5" t="s">
        <v>355</v>
      </c>
    </row>
    <row r="18098" ht="16.5" customHeight="1">
      <c r="O18098" s="5" t="s">
        <v>355</v>
      </c>
      <c r="P18098" s="5" t="s">
        <v>355</v>
      </c>
      <c r="Q18098" s="5" t="s">
        <v>355</v>
      </c>
    </row>
    <row r="18099" ht="16.5" customHeight="1">
      <c r="O18099" s="5" t="s">
        <v>355</v>
      </c>
      <c r="P18099" s="5" t="s">
        <v>355</v>
      </c>
      <c r="Q18099" s="5" t="s">
        <v>355</v>
      </c>
    </row>
    <row r="18100" ht="16.5" customHeight="1">
      <c r="O18100" s="5" t="s">
        <v>355</v>
      </c>
      <c r="P18100" s="5" t="s">
        <v>355</v>
      </c>
      <c r="Q18100" s="5" t="s">
        <v>355</v>
      </c>
    </row>
    <row r="18101" ht="16.5" customHeight="1">
      <c r="O18101" s="5" t="s">
        <v>355</v>
      </c>
      <c r="P18101" s="5" t="s">
        <v>355</v>
      </c>
      <c r="Q18101" s="5" t="s">
        <v>355</v>
      </c>
    </row>
    <row r="18102" ht="16.5" customHeight="1">
      <c r="O18102" s="5" t="s">
        <v>355</v>
      </c>
      <c r="P18102" s="5" t="s">
        <v>355</v>
      </c>
      <c r="Q18102" s="5" t="s">
        <v>355</v>
      </c>
    </row>
    <row r="18103" ht="16.5" customHeight="1">
      <c r="O18103" s="5" t="s">
        <v>355</v>
      </c>
      <c r="P18103" s="5" t="s">
        <v>355</v>
      </c>
      <c r="Q18103" s="5" t="s">
        <v>355</v>
      </c>
    </row>
    <row r="18104" ht="16.5" customHeight="1">
      <c r="O18104" s="5" t="s">
        <v>355</v>
      </c>
      <c r="P18104" s="5" t="s">
        <v>355</v>
      </c>
      <c r="Q18104" s="5" t="s">
        <v>355</v>
      </c>
    </row>
    <row r="18105" ht="16.5" customHeight="1">
      <c r="O18105" s="5" t="s">
        <v>355</v>
      </c>
      <c r="P18105" s="5" t="s">
        <v>355</v>
      </c>
      <c r="Q18105" s="5" t="s">
        <v>355</v>
      </c>
    </row>
    <row r="18106" ht="16.5" customHeight="1">
      <c r="O18106" s="5" t="s">
        <v>355</v>
      </c>
      <c r="P18106" s="5" t="s">
        <v>355</v>
      </c>
      <c r="Q18106" s="5" t="s">
        <v>355</v>
      </c>
    </row>
    <row r="18107" ht="16.5" customHeight="1">
      <c r="O18107" s="5" t="s">
        <v>355</v>
      </c>
      <c r="P18107" s="5" t="s">
        <v>355</v>
      </c>
      <c r="Q18107" s="5" t="s">
        <v>355</v>
      </c>
    </row>
    <row r="18108" ht="16.5" customHeight="1">
      <c r="O18108" s="5" t="s">
        <v>355</v>
      </c>
      <c r="P18108" s="5" t="s">
        <v>355</v>
      </c>
      <c r="Q18108" s="5" t="s">
        <v>355</v>
      </c>
    </row>
    <row r="18109" ht="16.5" customHeight="1">
      <c r="O18109" s="5" t="s">
        <v>355</v>
      </c>
      <c r="P18109" s="5" t="s">
        <v>355</v>
      </c>
      <c r="Q18109" s="5" t="s">
        <v>355</v>
      </c>
    </row>
    <row r="18110" ht="16.5" customHeight="1">
      <c r="O18110" s="5" t="s">
        <v>355</v>
      </c>
      <c r="P18110" s="5" t="s">
        <v>355</v>
      </c>
      <c r="Q18110" s="5" t="s">
        <v>355</v>
      </c>
    </row>
    <row r="18111" ht="16.5" customHeight="1">
      <c r="O18111" s="5" t="s">
        <v>355</v>
      </c>
      <c r="P18111" s="5" t="s">
        <v>355</v>
      </c>
      <c r="Q18111" s="5" t="s">
        <v>355</v>
      </c>
    </row>
    <row r="18112" ht="16.5" customHeight="1">
      <c r="O18112" s="5" t="s">
        <v>355</v>
      </c>
      <c r="P18112" s="5" t="s">
        <v>355</v>
      </c>
      <c r="Q18112" s="5" t="s">
        <v>355</v>
      </c>
    </row>
    <row r="18113" ht="16.5" customHeight="1">
      <c r="O18113" s="5" t="s">
        <v>355</v>
      </c>
      <c r="P18113" s="5" t="s">
        <v>355</v>
      </c>
      <c r="Q18113" s="5" t="s">
        <v>355</v>
      </c>
    </row>
    <row r="18114" ht="16.5" customHeight="1">
      <c r="O18114" s="5" t="s">
        <v>355</v>
      </c>
      <c r="P18114" s="5" t="s">
        <v>355</v>
      </c>
      <c r="Q18114" s="5" t="s">
        <v>355</v>
      </c>
    </row>
    <row r="18115" ht="16.5" customHeight="1">
      <c r="O18115" s="5" t="s">
        <v>355</v>
      </c>
      <c r="P18115" s="5" t="s">
        <v>355</v>
      </c>
      <c r="Q18115" s="5" t="s">
        <v>355</v>
      </c>
    </row>
    <row r="18116" ht="16.5" customHeight="1">
      <c r="O18116" s="5" t="s">
        <v>355</v>
      </c>
      <c r="P18116" s="5" t="s">
        <v>355</v>
      </c>
      <c r="Q18116" s="5" t="s">
        <v>355</v>
      </c>
    </row>
    <row r="18117" ht="16.5" customHeight="1">
      <c r="O18117" s="5" t="s">
        <v>355</v>
      </c>
      <c r="P18117" s="5" t="s">
        <v>355</v>
      </c>
      <c r="Q18117" s="5" t="s">
        <v>355</v>
      </c>
    </row>
    <row r="18118" ht="16.5" customHeight="1">
      <c r="O18118" s="5" t="s">
        <v>355</v>
      </c>
      <c r="P18118" s="5" t="s">
        <v>355</v>
      </c>
      <c r="Q18118" s="5" t="s">
        <v>355</v>
      </c>
    </row>
    <row r="18119" ht="16.5" customHeight="1">
      <c r="O18119" s="5" t="s">
        <v>355</v>
      </c>
      <c r="P18119" s="5" t="s">
        <v>355</v>
      </c>
      <c r="Q18119" s="5" t="s">
        <v>355</v>
      </c>
    </row>
    <row r="18120" ht="16.5" customHeight="1">
      <c r="O18120" s="5" t="s">
        <v>355</v>
      </c>
      <c r="P18120" s="5" t="s">
        <v>355</v>
      </c>
      <c r="Q18120" s="5" t="s">
        <v>355</v>
      </c>
    </row>
    <row r="18121" ht="16.5" customHeight="1">
      <c r="O18121" s="5" t="s">
        <v>355</v>
      </c>
      <c r="P18121" s="5" t="s">
        <v>355</v>
      </c>
      <c r="Q18121" s="5" t="s">
        <v>355</v>
      </c>
    </row>
    <row r="18122" ht="16.5" customHeight="1">
      <c r="O18122" s="5" t="s">
        <v>355</v>
      </c>
      <c r="P18122" s="5" t="s">
        <v>355</v>
      </c>
      <c r="Q18122" s="5" t="s">
        <v>355</v>
      </c>
    </row>
    <row r="18123" ht="16.5" customHeight="1">
      <c r="O18123" s="5" t="s">
        <v>355</v>
      </c>
      <c r="P18123" s="5" t="s">
        <v>355</v>
      </c>
      <c r="Q18123" s="5" t="s">
        <v>355</v>
      </c>
    </row>
    <row r="18124" ht="16.5" customHeight="1">
      <c r="O18124" s="5" t="s">
        <v>355</v>
      </c>
      <c r="P18124" s="5" t="s">
        <v>355</v>
      </c>
      <c r="Q18124" s="5" t="s">
        <v>355</v>
      </c>
    </row>
    <row r="18125" ht="16.5" customHeight="1">
      <c r="O18125" s="5" t="s">
        <v>355</v>
      </c>
      <c r="P18125" s="5" t="s">
        <v>355</v>
      </c>
      <c r="Q18125" s="5" t="s">
        <v>355</v>
      </c>
    </row>
    <row r="18126" ht="16.5" customHeight="1">
      <c r="O18126" s="5" t="s">
        <v>355</v>
      </c>
      <c r="P18126" s="5" t="s">
        <v>355</v>
      </c>
      <c r="Q18126" s="5" t="s">
        <v>355</v>
      </c>
    </row>
    <row r="18127" ht="16.5" customHeight="1">
      <c r="O18127" s="5" t="s">
        <v>355</v>
      </c>
      <c r="P18127" s="5" t="s">
        <v>355</v>
      </c>
      <c r="Q18127" s="5" t="s">
        <v>355</v>
      </c>
    </row>
    <row r="18128" ht="16.5" customHeight="1">
      <c r="O18128" s="5" t="s">
        <v>355</v>
      </c>
      <c r="P18128" s="5" t="s">
        <v>355</v>
      </c>
      <c r="Q18128" s="5" t="s">
        <v>355</v>
      </c>
    </row>
    <row r="18129" ht="16.5" customHeight="1">
      <c r="O18129" s="5" t="s">
        <v>355</v>
      </c>
      <c r="P18129" s="5" t="s">
        <v>355</v>
      </c>
      <c r="Q18129" s="5" t="s">
        <v>355</v>
      </c>
    </row>
    <row r="18130" ht="16.5" customHeight="1">
      <c r="O18130" s="5" t="s">
        <v>355</v>
      </c>
      <c r="P18130" s="5" t="s">
        <v>355</v>
      </c>
      <c r="Q18130" s="5" t="s">
        <v>355</v>
      </c>
    </row>
    <row r="18131" ht="16.5" customHeight="1">
      <c r="O18131" s="5" t="s">
        <v>355</v>
      </c>
      <c r="P18131" s="5" t="s">
        <v>355</v>
      </c>
      <c r="Q18131" s="5" t="s">
        <v>355</v>
      </c>
    </row>
    <row r="18132" ht="16.5" customHeight="1">
      <c r="O18132" s="5" t="s">
        <v>355</v>
      </c>
      <c r="P18132" s="5" t="s">
        <v>355</v>
      </c>
      <c r="Q18132" s="5" t="s">
        <v>355</v>
      </c>
    </row>
    <row r="18133" ht="16.5" customHeight="1">
      <c r="O18133" s="5" t="s">
        <v>355</v>
      </c>
      <c r="P18133" s="5" t="s">
        <v>355</v>
      </c>
      <c r="Q18133" s="5" t="s">
        <v>355</v>
      </c>
    </row>
    <row r="18134" ht="16.5" customHeight="1">
      <c r="O18134" s="5" t="s">
        <v>355</v>
      </c>
      <c r="P18134" s="5" t="s">
        <v>355</v>
      </c>
      <c r="Q18134" s="5" t="s">
        <v>355</v>
      </c>
    </row>
    <row r="18135" ht="16.5" customHeight="1">
      <c r="O18135" s="5" t="s">
        <v>355</v>
      </c>
      <c r="P18135" s="5" t="s">
        <v>355</v>
      </c>
      <c r="Q18135" s="5" t="s">
        <v>355</v>
      </c>
    </row>
    <row r="18136" ht="16.5" customHeight="1">
      <c r="O18136" s="5" t="s">
        <v>355</v>
      </c>
      <c r="P18136" s="5" t="s">
        <v>355</v>
      </c>
      <c r="Q18136" s="5" t="s">
        <v>355</v>
      </c>
    </row>
    <row r="18137" ht="16.5" customHeight="1">
      <c r="O18137" s="5" t="s">
        <v>355</v>
      </c>
      <c r="P18137" s="5" t="s">
        <v>355</v>
      </c>
      <c r="Q18137" s="5" t="s">
        <v>355</v>
      </c>
    </row>
    <row r="18138" ht="16.5" customHeight="1">
      <c r="O18138" s="5" t="s">
        <v>355</v>
      </c>
      <c r="P18138" s="5" t="s">
        <v>355</v>
      </c>
      <c r="Q18138" s="5" t="s">
        <v>355</v>
      </c>
    </row>
    <row r="18139" ht="16.5" customHeight="1">
      <c r="O18139" s="5" t="s">
        <v>355</v>
      </c>
      <c r="P18139" s="5" t="s">
        <v>355</v>
      </c>
      <c r="Q18139" s="5" t="s">
        <v>355</v>
      </c>
    </row>
    <row r="18140" ht="16.5" customHeight="1">
      <c r="O18140" s="5" t="s">
        <v>355</v>
      </c>
      <c r="P18140" s="5" t="s">
        <v>355</v>
      </c>
      <c r="Q18140" s="5" t="s">
        <v>355</v>
      </c>
    </row>
    <row r="18141" ht="16.5" customHeight="1">
      <c r="O18141" s="5" t="s">
        <v>355</v>
      </c>
      <c r="P18141" s="5" t="s">
        <v>355</v>
      </c>
      <c r="Q18141" s="5" t="s">
        <v>355</v>
      </c>
    </row>
    <row r="18142" ht="16.5" customHeight="1">
      <c r="O18142" s="5" t="s">
        <v>355</v>
      </c>
      <c r="P18142" s="5" t="s">
        <v>355</v>
      </c>
      <c r="Q18142" s="5" t="s">
        <v>355</v>
      </c>
    </row>
    <row r="18143" ht="16.5" customHeight="1">
      <c r="O18143" s="5" t="s">
        <v>355</v>
      </c>
      <c r="P18143" s="5" t="s">
        <v>355</v>
      </c>
      <c r="Q18143" s="5" t="s">
        <v>355</v>
      </c>
    </row>
    <row r="18144" ht="16.5" customHeight="1">
      <c r="O18144" s="5" t="s">
        <v>355</v>
      </c>
      <c r="P18144" s="5" t="s">
        <v>355</v>
      </c>
      <c r="Q18144" s="5" t="s">
        <v>355</v>
      </c>
    </row>
    <row r="18145" ht="16.5" customHeight="1">
      <c r="O18145" s="5" t="s">
        <v>355</v>
      </c>
      <c r="P18145" s="5" t="s">
        <v>355</v>
      </c>
      <c r="Q18145" s="5" t="s">
        <v>355</v>
      </c>
    </row>
    <row r="18146" ht="16.5" customHeight="1">
      <c r="O18146" s="5" t="s">
        <v>355</v>
      </c>
      <c r="P18146" s="5" t="s">
        <v>355</v>
      </c>
      <c r="Q18146" s="5" t="s">
        <v>355</v>
      </c>
    </row>
    <row r="18147" ht="16.5" customHeight="1">
      <c r="O18147" s="5" t="s">
        <v>355</v>
      </c>
      <c r="P18147" s="5" t="s">
        <v>355</v>
      </c>
      <c r="Q18147" s="5" t="s">
        <v>355</v>
      </c>
    </row>
    <row r="18148" ht="16.5" customHeight="1">
      <c r="O18148" s="5" t="s">
        <v>355</v>
      </c>
      <c r="P18148" s="5" t="s">
        <v>355</v>
      </c>
      <c r="Q18148" s="5" t="s">
        <v>355</v>
      </c>
    </row>
    <row r="18149" ht="16.5" customHeight="1">
      <c r="O18149" s="5" t="s">
        <v>355</v>
      </c>
      <c r="P18149" s="5" t="s">
        <v>355</v>
      </c>
      <c r="Q18149" s="5" t="s">
        <v>355</v>
      </c>
    </row>
    <row r="18150" ht="16.5" customHeight="1">
      <c r="O18150" s="5" t="s">
        <v>355</v>
      </c>
      <c r="P18150" s="5" t="s">
        <v>355</v>
      </c>
      <c r="Q18150" s="5" t="s">
        <v>355</v>
      </c>
    </row>
    <row r="18151" ht="16.5" customHeight="1">
      <c r="O18151" s="5" t="s">
        <v>355</v>
      </c>
      <c r="P18151" s="5" t="s">
        <v>355</v>
      </c>
      <c r="Q18151" s="5" t="s">
        <v>355</v>
      </c>
    </row>
    <row r="18152" ht="16.5" customHeight="1">
      <c r="O18152" s="5" t="s">
        <v>355</v>
      </c>
      <c r="P18152" s="5" t="s">
        <v>355</v>
      </c>
      <c r="Q18152" s="5" t="s">
        <v>355</v>
      </c>
    </row>
    <row r="18153" ht="16.5" customHeight="1">
      <c r="O18153" s="5" t="s">
        <v>355</v>
      </c>
      <c r="P18153" s="5" t="s">
        <v>355</v>
      </c>
      <c r="Q18153" s="5" t="s">
        <v>355</v>
      </c>
    </row>
    <row r="18154" ht="16.5" customHeight="1">
      <c r="O18154" s="5" t="s">
        <v>355</v>
      </c>
      <c r="P18154" s="5" t="s">
        <v>355</v>
      </c>
      <c r="Q18154" s="5" t="s">
        <v>355</v>
      </c>
    </row>
    <row r="18155" ht="16.5" customHeight="1">
      <c r="O18155" s="5" t="s">
        <v>355</v>
      </c>
      <c r="P18155" s="5" t="s">
        <v>355</v>
      </c>
      <c r="Q18155" s="5" t="s">
        <v>355</v>
      </c>
    </row>
    <row r="18156" ht="16.5" customHeight="1">
      <c r="O18156" s="5" t="s">
        <v>355</v>
      </c>
      <c r="P18156" s="5" t="s">
        <v>355</v>
      </c>
      <c r="Q18156" s="5" t="s">
        <v>355</v>
      </c>
    </row>
    <row r="18157" ht="16.5" customHeight="1">
      <c r="O18157" s="5" t="s">
        <v>355</v>
      </c>
      <c r="P18157" s="5" t="s">
        <v>355</v>
      </c>
      <c r="Q18157" s="5" t="s">
        <v>355</v>
      </c>
    </row>
    <row r="18158" ht="16.5" customHeight="1">
      <c r="O18158" s="5" t="s">
        <v>355</v>
      </c>
      <c r="P18158" s="5" t="s">
        <v>355</v>
      </c>
      <c r="Q18158" s="5" t="s">
        <v>355</v>
      </c>
    </row>
    <row r="18159" ht="16.5" customHeight="1">
      <c r="O18159" s="5" t="s">
        <v>355</v>
      </c>
      <c r="P18159" s="5" t="s">
        <v>355</v>
      </c>
      <c r="Q18159" s="5" t="s">
        <v>355</v>
      </c>
    </row>
    <row r="18160" ht="16.5" customHeight="1">
      <c r="O18160" s="5" t="s">
        <v>355</v>
      </c>
      <c r="P18160" s="5" t="s">
        <v>355</v>
      </c>
      <c r="Q18160" s="5" t="s">
        <v>355</v>
      </c>
    </row>
    <row r="18161" ht="16.5" customHeight="1">
      <c r="O18161" s="5" t="s">
        <v>355</v>
      </c>
      <c r="P18161" s="5" t="s">
        <v>355</v>
      </c>
      <c r="Q18161" s="5" t="s">
        <v>355</v>
      </c>
    </row>
    <row r="18162" ht="16.5" customHeight="1">
      <c r="O18162" s="5" t="s">
        <v>355</v>
      </c>
      <c r="P18162" s="5" t="s">
        <v>355</v>
      </c>
      <c r="Q18162" s="5" t="s">
        <v>355</v>
      </c>
    </row>
    <row r="18163" ht="16.5" customHeight="1">
      <c r="O18163" s="5" t="s">
        <v>355</v>
      </c>
      <c r="P18163" s="5" t="s">
        <v>355</v>
      </c>
      <c r="Q18163" s="5" t="s">
        <v>355</v>
      </c>
    </row>
    <row r="18164" ht="16.5" customHeight="1">
      <c r="O18164" s="5" t="s">
        <v>355</v>
      </c>
      <c r="P18164" s="5" t="s">
        <v>355</v>
      </c>
      <c r="Q18164" s="5" t="s">
        <v>355</v>
      </c>
    </row>
    <row r="18165" ht="16.5" customHeight="1">
      <c r="O18165" s="5" t="s">
        <v>355</v>
      </c>
      <c r="P18165" s="5" t="s">
        <v>355</v>
      </c>
      <c r="Q18165" s="5" t="s">
        <v>355</v>
      </c>
    </row>
    <row r="18166" ht="16.5" customHeight="1">
      <c r="O18166" s="5" t="s">
        <v>355</v>
      </c>
      <c r="P18166" s="5" t="s">
        <v>355</v>
      </c>
      <c r="Q18166" s="5" t="s">
        <v>355</v>
      </c>
    </row>
    <row r="18167" ht="16.5" customHeight="1">
      <c r="O18167" s="5" t="s">
        <v>355</v>
      </c>
      <c r="P18167" s="5" t="s">
        <v>355</v>
      </c>
      <c r="Q18167" s="5" t="s">
        <v>355</v>
      </c>
    </row>
    <row r="18168" ht="16.5" customHeight="1">
      <c r="O18168" s="5" t="s">
        <v>355</v>
      </c>
      <c r="P18168" s="5" t="s">
        <v>355</v>
      </c>
      <c r="Q18168" s="5" t="s">
        <v>355</v>
      </c>
    </row>
    <row r="18169" ht="16.5" customHeight="1">
      <c r="O18169" s="5" t="s">
        <v>355</v>
      </c>
      <c r="P18169" s="5" t="s">
        <v>355</v>
      </c>
      <c r="Q18169" s="5" t="s">
        <v>355</v>
      </c>
    </row>
    <row r="18170" ht="16.5" customHeight="1">
      <c r="O18170" s="5" t="s">
        <v>355</v>
      </c>
      <c r="P18170" s="5" t="s">
        <v>355</v>
      </c>
      <c r="Q18170" s="5" t="s">
        <v>355</v>
      </c>
    </row>
    <row r="18171" ht="16.5" customHeight="1">
      <c r="O18171" s="5" t="s">
        <v>355</v>
      </c>
      <c r="P18171" s="5" t="s">
        <v>355</v>
      </c>
      <c r="Q18171" s="5" t="s">
        <v>355</v>
      </c>
    </row>
    <row r="18172" ht="16.5" customHeight="1">
      <c r="O18172" s="5" t="s">
        <v>355</v>
      </c>
      <c r="P18172" s="5" t="s">
        <v>355</v>
      </c>
      <c r="Q18172" s="5" t="s">
        <v>355</v>
      </c>
    </row>
    <row r="18173" ht="16.5" customHeight="1">
      <c r="O18173" s="5" t="s">
        <v>355</v>
      </c>
      <c r="P18173" s="5" t="s">
        <v>355</v>
      </c>
      <c r="Q18173" s="5" t="s">
        <v>355</v>
      </c>
    </row>
    <row r="18174" ht="16.5" customHeight="1">
      <c r="O18174" s="5" t="s">
        <v>355</v>
      </c>
      <c r="P18174" s="5" t="s">
        <v>355</v>
      </c>
      <c r="Q18174" s="5" t="s">
        <v>355</v>
      </c>
    </row>
    <row r="18175" ht="16.5" customHeight="1">
      <c r="O18175" s="5" t="s">
        <v>355</v>
      </c>
      <c r="P18175" s="5" t="s">
        <v>355</v>
      </c>
      <c r="Q18175" s="5" t="s">
        <v>355</v>
      </c>
    </row>
    <row r="18176" ht="16.5" customHeight="1">
      <c r="O18176" s="5" t="s">
        <v>355</v>
      </c>
      <c r="P18176" s="5" t="s">
        <v>355</v>
      </c>
      <c r="Q18176" s="5" t="s">
        <v>355</v>
      </c>
    </row>
    <row r="18177" ht="16.5" customHeight="1">
      <c r="O18177" s="5" t="s">
        <v>355</v>
      </c>
      <c r="P18177" s="5" t="s">
        <v>355</v>
      </c>
      <c r="Q18177" s="5" t="s">
        <v>355</v>
      </c>
    </row>
    <row r="18178" ht="16.5" customHeight="1">
      <c r="O18178" s="5" t="s">
        <v>355</v>
      </c>
      <c r="P18178" s="5" t="s">
        <v>355</v>
      </c>
      <c r="Q18178" s="5" t="s">
        <v>355</v>
      </c>
    </row>
    <row r="18179" ht="16.5" customHeight="1">
      <c r="O18179" s="5" t="s">
        <v>355</v>
      </c>
      <c r="P18179" s="5" t="s">
        <v>355</v>
      </c>
      <c r="Q18179" s="5" t="s">
        <v>355</v>
      </c>
    </row>
    <row r="18180" ht="16.5" customHeight="1">
      <c r="O18180" s="5" t="s">
        <v>355</v>
      </c>
      <c r="P18180" s="5" t="s">
        <v>355</v>
      </c>
      <c r="Q18180" s="5" t="s">
        <v>355</v>
      </c>
    </row>
    <row r="18181" ht="16.5" customHeight="1">
      <c r="O18181" s="5" t="s">
        <v>355</v>
      </c>
      <c r="P18181" s="5" t="s">
        <v>355</v>
      </c>
      <c r="Q18181" s="5" t="s">
        <v>355</v>
      </c>
    </row>
    <row r="18182" ht="16.5" customHeight="1">
      <c r="O18182" s="5" t="s">
        <v>355</v>
      </c>
      <c r="P18182" s="5" t="s">
        <v>355</v>
      </c>
      <c r="Q18182" s="5" t="s">
        <v>355</v>
      </c>
    </row>
    <row r="18183" ht="16.5" customHeight="1">
      <c r="O18183" s="5" t="s">
        <v>355</v>
      </c>
      <c r="P18183" s="5" t="s">
        <v>355</v>
      </c>
      <c r="Q18183" s="5" t="s">
        <v>355</v>
      </c>
    </row>
    <row r="18184" ht="16.5" customHeight="1">
      <c r="O18184" s="5" t="s">
        <v>355</v>
      </c>
      <c r="P18184" s="5" t="s">
        <v>355</v>
      </c>
      <c r="Q18184" s="5" t="s">
        <v>355</v>
      </c>
    </row>
    <row r="18185" ht="16.5" customHeight="1">
      <c r="O18185" s="5" t="s">
        <v>355</v>
      </c>
      <c r="P18185" s="5" t="s">
        <v>355</v>
      </c>
      <c r="Q18185" s="5" t="s">
        <v>355</v>
      </c>
    </row>
    <row r="18186" ht="16.5" customHeight="1">
      <c r="O18186" s="5" t="s">
        <v>355</v>
      </c>
      <c r="P18186" s="5" t="s">
        <v>355</v>
      </c>
      <c r="Q18186" s="5" t="s">
        <v>355</v>
      </c>
    </row>
    <row r="18187" ht="16.5" customHeight="1">
      <c r="O18187" s="5" t="s">
        <v>355</v>
      </c>
      <c r="P18187" s="5" t="s">
        <v>355</v>
      </c>
      <c r="Q18187" s="5" t="s">
        <v>355</v>
      </c>
    </row>
    <row r="18188" ht="16.5" customHeight="1">
      <c r="O18188" s="5" t="s">
        <v>355</v>
      </c>
      <c r="P18188" s="5" t="s">
        <v>355</v>
      </c>
      <c r="Q18188" s="5" t="s">
        <v>355</v>
      </c>
    </row>
    <row r="18189" ht="16.5" customHeight="1">
      <c r="O18189" s="5" t="s">
        <v>355</v>
      </c>
      <c r="P18189" s="5" t="s">
        <v>355</v>
      </c>
      <c r="Q18189" s="5" t="s">
        <v>355</v>
      </c>
    </row>
    <row r="18190" ht="16.5" customHeight="1">
      <c r="O18190" s="5" t="s">
        <v>355</v>
      </c>
      <c r="P18190" s="5" t="s">
        <v>355</v>
      </c>
      <c r="Q18190" s="5" t="s">
        <v>355</v>
      </c>
    </row>
    <row r="18191" ht="16.5" customHeight="1">
      <c r="O18191" s="5" t="s">
        <v>355</v>
      </c>
      <c r="P18191" s="5" t="s">
        <v>355</v>
      </c>
      <c r="Q18191" s="5" t="s">
        <v>355</v>
      </c>
    </row>
    <row r="18192" ht="16.5" customHeight="1">
      <c r="O18192" s="5" t="s">
        <v>355</v>
      </c>
      <c r="P18192" s="5" t="s">
        <v>355</v>
      </c>
      <c r="Q18192" s="5" t="s">
        <v>355</v>
      </c>
    </row>
    <row r="18193" ht="16.5" customHeight="1">
      <c r="O18193" s="5" t="s">
        <v>355</v>
      </c>
      <c r="P18193" s="5" t="s">
        <v>355</v>
      </c>
      <c r="Q18193" s="5" t="s">
        <v>355</v>
      </c>
    </row>
    <row r="18194" ht="16.5" customHeight="1">
      <c r="O18194" s="5" t="s">
        <v>355</v>
      </c>
      <c r="P18194" s="5" t="s">
        <v>355</v>
      </c>
      <c r="Q18194" s="5" t="s">
        <v>355</v>
      </c>
    </row>
    <row r="18195" ht="16.5" customHeight="1">
      <c r="O18195" s="5" t="s">
        <v>355</v>
      </c>
      <c r="P18195" s="5" t="s">
        <v>355</v>
      </c>
      <c r="Q18195" s="5" t="s">
        <v>355</v>
      </c>
    </row>
    <row r="18196" ht="16.5" customHeight="1">
      <c r="O18196" s="5" t="s">
        <v>355</v>
      </c>
      <c r="P18196" s="5" t="s">
        <v>355</v>
      </c>
      <c r="Q18196" s="5" t="s">
        <v>355</v>
      </c>
    </row>
    <row r="18197" ht="16.5" customHeight="1">
      <c r="O18197" s="5" t="s">
        <v>355</v>
      </c>
      <c r="P18197" s="5" t="s">
        <v>355</v>
      </c>
      <c r="Q18197" s="5" t="s">
        <v>355</v>
      </c>
    </row>
    <row r="18198" ht="16.5" customHeight="1">
      <c r="O18198" s="5" t="s">
        <v>355</v>
      </c>
      <c r="P18198" s="5" t="s">
        <v>355</v>
      </c>
      <c r="Q18198" s="5" t="s">
        <v>355</v>
      </c>
    </row>
    <row r="18199" ht="16.5" customHeight="1">
      <c r="O18199" s="5" t="s">
        <v>355</v>
      </c>
      <c r="P18199" s="5" t="s">
        <v>355</v>
      </c>
      <c r="Q18199" s="5" t="s">
        <v>355</v>
      </c>
    </row>
    <row r="18200" ht="16.5" customHeight="1">
      <c r="O18200" s="5" t="s">
        <v>355</v>
      </c>
      <c r="P18200" s="5" t="s">
        <v>355</v>
      </c>
      <c r="Q18200" s="5" t="s">
        <v>355</v>
      </c>
    </row>
    <row r="18201" ht="16.5" customHeight="1">
      <c r="O18201" s="5" t="s">
        <v>355</v>
      </c>
      <c r="P18201" s="5" t="s">
        <v>355</v>
      </c>
      <c r="Q18201" s="5" t="s">
        <v>355</v>
      </c>
    </row>
    <row r="18202" ht="16.5" customHeight="1">
      <c r="O18202" s="5" t="s">
        <v>355</v>
      </c>
      <c r="P18202" s="5" t="s">
        <v>355</v>
      </c>
      <c r="Q18202" s="5" t="s">
        <v>355</v>
      </c>
    </row>
    <row r="18203" ht="16.5" customHeight="1">
      <c r="O18203" s="5" t="s">
        <v>355</v>
      </c>
      <c r="P18203" s="5" t="s">
        <v>355</v>
      </c>
      <c r="Q18203" s="5" t="s">
        <v>355</v>
      </c>
    </row>
    <row r="18204" ht="16.5" customHeight="1">
      <c r="O18204" s="5" t="s">
        <v>355</v>
      </c>
      <c r="P18204" s="5" t="s">
        <v>355</v>
      </c>
      <c r="Q18204" s="5" t="s">
        <v>355</v>
      </c>
    </row>
    <row r="18205" ht="16.5" customHeight="1">
      <c r="O18205" s="5" t="s">
        <v>355</v>
      </c>
      <c r="P18205" s="5" t="s">
        <v>355</v>
      </c>
      <c r="Q18205" s="5" t="s">
        <v>355</v>
      </c>
    </row>
    <row r="18206" ht="16.5" customHeight="1">
      <c r="O18206" s="5" t="s">
        <v>355</v>
      </c>
      <c r="P18206" s="5" t="s">
        <v>355</v>
      </c>
      <c r="Q18206" s="5" t="s">
        <v>355</v>
      </c>
    </row>
    <row r="18207" ht="16.5" customHeight="1">
      <c r="O18207" s="5" t="s">
        <v>355</v>
      </c>
      <c r="P18207" s="5" t="s">
        <v>355</v>
      </c>
      <c r="Q18207" s="5" t="s">
        <v>355</v>
      </c>
    </row>
    <row r="18208" ht="16.5" customHeight="1">
      <c r="O18208" s="5" t="s">
        <v>355</v>
      </c>
      <c r="P18208" s="5" t="s">
        <v>355</v>
      </c>
      <c r="Q18208" s="5" t="s">
        <v>355</v>
      </c>
    </row>
    <row r="18209" ht="16.5" customHeight="1">
      <c r="O18209" s="5" t="s">
        <v>355</v>
      </c>
      <c r="P18209" s="5" t="s">
        <v>355</v>
      </c>
      <c r="Q18209" s="5" t="s">
        <v>355</v>
      </c>
    </row>
    <row r="18210" ht="16.5" customHeight="1">
      <c r="O18210" s="5" t="s">
        <v>355</v>
      </c>
      <c r="P18210" s="5" t="s">
        <v>355</v>
      </c>
      <c r="Q18210" s="5" t="s">
        <v>355</v>
      </c>
    </row>
    <row r="18211" ht="16.5" customHeight="1">
      <c r="O18211" s="5" t="s">
        <v>355</v>
      </c>
      <c r="P18211" s="5" t="s">
        <v>355</v>
      </c>
      <c r="Q18211" s="5" t="s">
        <v>355</v>
      </c>
    </row>
    <row r="18212" ht="16.5" customHeight="1">
      <c r="O18212" s="5" t="s">
        <v>355</v>
      </c>
      <c r="P18212" s="5" t="s">
        <v>355</v>
      </c>
      <c r="Q18212" s="5" t="s">
        <v>355</v>
      </c>
    </row>
    <row r="18213" ht="16.5" customHeight="1">
      <c r="O18213" s="5" t="s">
        <v>355</v>
      </c>
      <c r="P18213" s="5" t="s">
        <v>355</v>
      </c>
      <c r="Q18213" s="5" t="s">
        <v>355</v>
      </c>
    </row>
    <row r="18214" ht="16.5" customHeight="1">
      <c r="O18214" s="5" t="s">
        <v>355</v>
      </c>
      <c r="P18214" s="5" t="s">
        <v>355</v>
      </c>
      <c r="Q18214" s="5" t="s">
        <v>355</v>
      </c>
    </row>
    <row r="18215" ht="16.5" customHeight="1">
      <c r="O18215" s="5" t="s">
        <v>355</v>
      </c>
      <c r="P18215" s="5" t="s">
        <v>355</v>
      </c>
      <c r="Q18215" s="5" t="s">
        <v>355</v>
      </c>
    </row>
    <row r="18216" ht="16.5" customHeight="1">
      <c r="O18216" s="5" t="s">
        <v>355</v>
      </c>
      <c r="P18216" s="5" t="s">
        <v>355</v>
      </c>
      <c r="Q18216" s="5" t="s">
        <v>355</v>
      </c>
    </row>
    <row r="18217" ht="16.5" customHeight="1">
      <c r="O18217" s="5" t="s">
        <v>355</v>
      </c>
      <c r="P18217" s="5" t="s">
        <v>355</v>
      </c>
      <c r="Q18217" s="5" t="s">
        <v>355</v>
      </c>
    </row>
    <row r="18218" ht="16.5" customHeight="1">
      <c r="O18218" s="5" t="s">
        <v>355</v>
      </c>
      <c r="P18218" s="5" t="s">
        <v>355</v>
      </c>
      <c r="Q18218" s="5" t="s">
        <v>355</v>
      </c>
    </row>
    <row r="18219" ht="16.5" customHeight="1">
      <c r="O18219" s="5" t="s">
        <v>355</v>
      </c>
      <c r="P18219" s="5" t="s">
        <v>355</v>
      </c>
      <c r="Q18219" s="5" t="s">
        <v>355</v>
      </c>
    </row>
    <row r="18220" ht="16.5" customHeight="1">
      <c r="O18220" s="5" t="s">
        <v>355</v>
      </c>
      <c r="P18220" s="5" t="s">
        <v>355</v>
      </c>
      <c r="Q18220" s="5" t="s">
        <v>355</v>
      </c>
    </row>
    <row r="18221" ht="16.5" customHeight="1">
      <c r="O18221" s="5" t="s">
        <v>355</v>
      </c>
      <c r="P18221" s="5" t="s">
        <v>355</v>
      </c>
      <c r="Q18221" s="5" t="s">
        <v>355</v>
      </c>
    </row>
    <row r="18222" ht="16.5" customHeight="1">
      <c r="O18222" s="5" t="s">
        <v>355</v>
      </c>
      <c r="P18222" s="5" t="s">
        <v>355</v>
      </c>
      <c r="Q18222" s="5" t="s">
        <v>355</v>
      </c>
    </row>
    <row r="18223" ht="16.5" customHeight="1">
      <c r="O18223" s="5" t="s">
        <v>355</v>
      </c>
      <c r="P18223" s="5" t="s">
        <v>355</v>
      </c>
      <c r="Q18223" s="5" t="s">
        <v>355</v>
      </c>
    </row>
    <row r="18224" ht="16.5" customHeight="1">
      <c r="O18224" s="5" t="s">
        <v>355</v>
      </c>
      <c r="P18224" s="5" t="s">
        <v>355</v>
      </c>
      <c r="Q18224" s="5" t="s">
        <v>355</v>
      </c>
    </row>
    <row r="18225" ht="16.5" customHeight="1">
      <c r="O18225" s="5" t="s">
        <v>355</v>
      </c>
      <c r="P18225" s="5" t="s">
        <v>355</v>
      </c>
      <c r="Q18225" s="5" t="s">
        <v>355</v>
      </c>
    </row>
    <row r="18226" ht="16.5" customHeight="1">
      <c r="O18226" s="5" t="s">
        <v>355</v>
      </c>
      <c r="P18226" s="5" t="s">
        <v>355</v>
      </c>
      <c r="Q18226" s="5" t="s">
        <v>355</v>
      </c>
    </row>
    <row r="18227" ht="16.5" customHeight="1">
      <c r="O18227" s="5" t="s">
        <v>355</v>
      </c>
      <c r="P18227" s="5" t="s">
        <v>355</v>
      </c>
      <c r="Q18227" s="5" t="s">
        <v>355</v>
      </c>
    </row>
    <row r="18228" ht="16.5" customHeight="1">
      <c r="O18228" s="5" t="s">
        <v>355</v>
      </c>
      <c r="P18228" s="5" t="s">
        <v>355</v>
      </c>
      <c r="Q18228" s="5" t="s">
        <v>355</v>
      </c>
    </row>
    <row r="18229" ht="16.5" customHeight="1">
      <c r="O18229" s="5" t="s">
        <v>355</v>
      </c>
      <c r="P18229" s="5" t="s">
        <v>355</v>
      </c>
      <c r="Q18229" s="5" t="s">
        <v>355</v>
      </c>
    </row>
    <row r="18230" ht="16.5" customHeight="1">
      <c r="O18230" s="5" t="s">
        <v>355</v>
      </c>
      <c r="P18230" s="5" t="s">
        <v>355</v>
      </c>
      <c r="Q18230" s="5" t="s">
        <v>355</v>
      </c>
    </row>
    <row r="18231" ht="16.5" customHeight="1">
      <c r="O18231" s="5" t="s">
        <v>355</v>
      </c>
      <c r="P18231" s="5" t="s">
        <v>355</v>
      </c>
      <c r="Q18231" s="5" t="s">
        <v>355</v>
      </c>
    </row>
    <row r="18232" ht="16.5" customHeight="1">
      <c r="O18232" s="5" t="s">
        <v>355</v>
      </c>
      <c r="P18232" s="5" t="s">
        <v>355</v>
      </c>
      <c r="Q18232" s="5" t="s">
        <v>355</v>
      </c>
    </row>
    <row r="18233" ht="16.5" customHeight="1">
      <c r="O18233" s="5" t="s">
        <v>355</v>
      </c>
      <c r="P18233" s="5" t="s">
        <v>355</v>
      </c>
      <c r="Q18233" s="5" t="s">
        <v>355</v>
      </c>
    </row>
    <row r="18234" ht="16.5" customHeight="1">
      <c r="O18234" s="5" t="s">
        <v>355</v>
      </c>
      <c r="P18234" s="5" t="s">
        <v>355</v>
      </c>
      <c r="Q18234" s="5" t="s">
        <v>355</v>
      </c>
    </row>
    <row r="18235" ht="16.5" customHeight="1">
      <c r="O18235" s="5" t="s">
        <v>355</v>
      </c>
      <c r="P18235" s="5" t="s">
        <v>355</v>
      </c>
      <c r="Q18235" s="5" t="s">
        <v>355</v>
      </c>
    </row>
    <row r="18236" ht="16.5" customHeight="1">
      <c r="O18236" s="5" t="s">
        <v>355</v>
      </c>
      <c r="P18236" s="5" t="s">
        <v>355</v>
      </c>
      <c r="Q18236" s="5" t="s">
        <v>355</v>
      </c>
    </row>
    <row r="18237" ht="16.5" customHeight="1">
      <c r="O18237" s="5" t="s">
        <v>355</v>
      </c>
      <c r="P18237" s="5" t="s">
        <v>355</v>
      </c>
      <c r="Q18237" s="5" t="s">
        <v>355</v>
      </c>
    </row>
    <row r="18238" ht="16.5" customHeight="1">
      <c r="O18238" s="5" t="s">
        <v>355</v>
      </c>
      <c r="P18238" s="5" t="s">
        <v>355</v>
      </c>
      <c r="Q18238" s="5" t="s">
        <v>355</v>
      </c>
    </row>
    <row r="18239" ht="16.5" customHeight="1">
      <c r="O18239" s="5" t="s">
        <v>355</v>
      </c>
      <c r="P18239" s="5" t="s">
        <v>355</v>
      </c>
      <c r="Q18239" s="5" t="s">
        <v>355</v>
      </c>
    </row>
    <row r="18240" ht="16.5" customHeight="1">
      <c r="O18240" s="5" t="s">
        <v>355</v>
      </c>
      <c r="P18240" s="5" t="s">
        <v>355</v>
      </c>
      <c r="Q18240" s="5" t="s">
        <v>355</v>
      </c>
    </row>
    <row r="18241" ht="16.5" customHeight="1">
      <c r="O18241" s="5" t="s">
        <v>355</v>
      </c>
      <c r="P18241" s="5" t="s">
        <v>355</v>
      </c>
      <c r="Q18241" s="5" t="s">
        <v>355</v>
      </c>
    </row>
    <row r="18242" ht="16.5" customHeight="1">
      <c r="O18242" s="5" t="s">
        <v>355</v>
      </c>
      <c r="P18242" s="5" t="s">
        <v>355</v>
      </c>
      <c r="Q18242" s="5" t="s">
        <v>355</v>
      </c>
    </row>
    <row r="18243" ht="16.5" customHeight="1">
      <c r="O18243" s="5" t="s">
        <v>355</v>
      </c>
      <c r="P18243" s="5" t="s">
        <v>355</v>
      </c>
      <c r="Q18243" s="5" t="s">
        <v>355</v>
      </c>
    </row>
    <row r="18244" ht="16.5" customHeight="1">
      <c r="O18244" s="5" t="s">
        <v>355</v>
      </c>
      <c r="P18244" s="5" t="s">
        <v>355</v>
      </c>
      <c r="Q18244" s="5" t="s">
        <v>355</v>
      </c>
    </row>
    <row r="18245" ht="16.5" customHeight="1">
      <c r="O18245" s="5" t="s">
        <v>355</v>
      </c>
      <c r="P18245" s="5" t="s">
        <v>355</v>
      </c>
      <c r="Q18245" s="5" t="s">
        <v>355</v>
      </c>
    </row>
    <row r="18246" ht="16.5" customHeight="1">
      <c r="O18246" s="5" t="s">
        <v>355</v>
      </c>
      <c r="P18246" s="5" t="s">
        <v>355</v>
      </c>
      <c r="Q18246" s="5" t="s">
        <v>355</v>
      </c>
    </row>
    <row r="18247" ht="16.5" customHeight="1">
      <c r="O18247" s="5" t="s">
        <v>355</v>
      </c>
      <c r="P18247" s="5" t="s">
        <v>355</v>
      </c>
      <c r="Q18247" s="5" t="s">
        <v>355</v>
      </c>
    </row>
    <row r="18248" ht="16.5" customHeight="1">
      <c r="O18248" s="5" t="s">
        <v>355</v>
      </c>
      <c r="P18248" s="5" t="s">
        <v>355</v>
      </c>
      <c r="Q18248" s="5" t="s">
        <v>355</v>
      </c>
    </row>
    <row r="18249" ht="16.5" customHeight="1">
      <c r="O18249" s="5" t="s">
        <v>355</v>
      </c>
      <c r="P18249" s="5" t="s">
        <v>355</v>
      </c>
      <c r="Q18249" s="5" t="s">
        <v>355</v>
      </c>
    </row>
    <row r="18250" ht="16.5" customHeight="1">
      <c r="O18250" s="5" t="s">
        <v>355</v>
      </c>
      <c r="P18250" s="5" t="s">
        <v>355</v>
      </c>
      <c r="Q18250" s="5" t="s">
        <v>355</v>
      </c>
    </row>
    <row r="18251" ht="16.5" customHeight="1">
      <c r="O18251" s="5" t="s">
        <v>355</v>
      </c>
      <c r="P18251" s="5" t="s">
        <v>355</v>
      </c>
      <c r="Q18251" s="5" t="s">
        <v>355</v>
      </c>
    </row>
    <row r="18252" ht="16.5" customHeight="1">
      <c r="O18252" s="5" t="s">
        <v>355</v>
      </c>
      <c r="P18252" s="5" t="s">
        <v>355</v>
      </c>
      <c r="Q18252" s="5" t="s">
        <v>355</v>
      </c>
    </row>
    <row r="18253" ht="16.5" customHeight="1">
      <c r="O18253" s="5" t="s">
        <v>355</v>
      </c>
      <c r="P18253" s="5" t="s">
        <v>355</v>
      </c>
      <c r="Q18253" s="5" t="s">
        <v>355</v>
      </c>
    </row>
    <row r="18254" ht="16.5" customHeight="1">
      <c r="O18254" s="5" t="s">
        <v>355</v>
      </c>
      <c r="P18254" s="5" t="s">
        <v>355</v>
      </c>
      <c r="Q18254" s="5" t="s">
        <v>355</v>
      </c>
    </row>
    <row r="18255" ht="16.5" customHeight="1">
      <c r="O18255" s="5" t="s">
        <v>355</v>
      </c>
      <c r="P18255" s="5" t="s">
        <v>355</v>
      </c>
      <c r="Q18255" s="5" t="s">
        <v>355</v>
      </c>
    </row>
    <row r="18256" ht="16.5" customHeight="1">
      <c r="O18256" s="5" t="s">
        <v>355</v>
      </c>
      <c r="P18256" s="5" t="s">
        <v>355</v>
      </c>
      <c r="Q18256" s="5" t="s">
        <v>355</v>
      </c>
    </row>
    <row r="18257" ht="16.5" customHeight="1">
      <c r="O18257" s="5" t="s">
        <v>355</v>
      </c>
      <c r="P18257" s="5" t="s">
        <v>355</v>
      </c>
      <c r="Q18257" s="5" t="s">
        <v>355</v>
      </c>
    </row>
    <row r="18258" ht="16.5" customHeight="1">
      <c r="O18258" s="5" t="s">
        <v>355</v>
      </c>
      <c r="P18258" s="5" t="s">
        <v>355</v>
      </c>
      <c r="Q18258" s="5" t="s">
        <v>355</v>
      </c>
    </row>
    <row r="18259" ht="16.5" customHeight="1">
      <c r="O18259" s="5" t="s">
        <v>355</v>
      </c>
      <c r="P18259" s="5" t="s">
        <v>355</v>
      </c>
      <c r="Q18259" s="5" t="s">
        <v>355</v>
      </c>
    </row>
    <row r="18260" ht="16.5" customHeight="1">
      <c r="O18260" s="5" t="s">
        <v>355</v>
      </c>
      <c r="P18260" s="5" t="s">
        <v>355</v>
      </c>
      <c r="Q18260" s="5" t="s">
        <v>355</v>
      </c>
    </row>
    <row r="18261" ht="16.5" customHeight="1">
      <c r="O18261" s="5" t="s">
        <v>355</v>
      </c>
      <c r="P18261" s="5" t="s">
        <v>355</v>
      </c>
      <c r="Q18261" s="5" t="s">
        <v>355</v>
      </c>
    </row>
    <row r="18262" ht="16.5" customHeight="1">
      <c r="O18262" s="5" t="s">
        <v>355</v>
      </c>
      <c r="P18262" s="5" t="s">
        <v>355</v>
      </c>
      <c r="Q18262" s="5" t="s">
        <v>355</v>
      </c>
    </row>
    <row r="18263" ht="16.5" customHeight="1">
      <c r="O18263" s="5" t="s">
        <v>355</v>
      </c>
      <c r="P18263" s="5" t="s">
        <v>355</v>
      </c>
      <c r="Q18263" s="5" t="s">
        <v>355</v>
      </c>
    </row>
    <row r="18264" ht="16.5" customHeight="1">
      <c r="O18264" s="5" t="s">
        <v>355</v>
      </c>
      <c r="P18264" s="5" t="s">
        <v>355</v>
      </c>
      <c r="Q18264" s="5" t="s">
        <v>355</v>
      </c>
    </row>
    <row r="18265" ht="16.5" customHeight="1">
      <c r="O18265" s="5" t="s">
        <v>355</v>
      </c>
      <c r="P18265" s="5" t="s">
        <v>355</v>
      </c>
      <c r="Q18265" s="5" t="s">
        <v>355</v>
      </c>
    </row>
    <row r="18266" ht="16.5" customHeight="1">
      <c r="O18266" s="5" t="s">
        <v>355</v>
      </c>
      <c r="P18266" s="5" t="s">
        <v>355</v>
      </c>
      <c r="Q18266" s="5" t="s">
        <v>355</v>
      </c>
    </row>
    <row r="18267" ht="16.5" customHeight="1">
      <c r="O18267" s="5" t="s">
        <v>355</v>
      </c>
      <c r="P18267" s="5" t="s">
        <v>355</v>
      </c>
      <c r="Q18267" s="5" t="s">
        <v>355</v>
      </c>
    </row>
    <row r="18268" ht="16.5" customHeight="1">
      <c r="O18268" s="5" t="s">
        <v>355</v>
      </c>
      <c r="P18268" s="5" t="s">
        <v>355</v>
      </c>
      <c r="Q18268" s="5" t="s">
        <v>355</v>
      </c>
    </row>
    <row r="18269" ht="16.5" customHeight="1">
      <c r="O18269" s="5" t="s">
        <v>355</v>
      </c>
      <c r="P18269" s="5" t="s">
        <v>355</v>
      </c>
      <c r="Q18269" s="5" t="s">
        <v>355</v>
      </c>
    </row>
    <row r="18270" ht="16.5" customHeight="1">
      <c r="O18270" s="5" t="s">
        <v>355</v>
      </c>
      <c r="P18270" s="5" t="s">
        <v>355</v>
      </c>
      <c r="Q18270" s="5" t="s">
        <v>355</v>
      </c>
    </row>
    <row r="18271" ht="16.5" customHeight="1">
      <c r="O18271" s="5" t="s">
        <v>355</v>
      </c>
      <c r="P18271" s="5" t="s">
        <v>355</v>
      </c>
      <c r="Q18271" s="5" t="s">
        <v>355</v>
      </c>
    </row>
    <row r="18272" ht="16.5" customHeight="1">
      <c r="O18272" s="5" t="s">
        <v>355</v>
      </c>
      <c r="P18272" s="5" t="s">
        <v>355</v>
      </c>
      <c r="Q18272" s="5" t="s">
        <v>355</v>
      </c>
    </row>
    <row r="18273" ht="16.5" customHeight="1">
      <c r="O18273" s="5" t="s">
        <v>355</v>
      </c>
      <c r="P18273" s="5" t="s">
        <v>355</v>
      </c>
      <c r="Q18273" s="5" t="s">
        <v>355</v>
      </c>
    </row>
    <row r="18274" ht="16.5" customHeight="1">
      <c r="O18274" s="5" t="s">
        <v>355</v>
      </c>
      <c r="P18274" s="5" t="s">
        <v>355</v>
      </c>
      <c r="Q18274" s="5" t="s">
        <v>355</v>
      </c>
    </row>
    <row r="18275" ht="16.5" customHeight="1">
      <c r="O18275" s="5" t="s">
        <v>355</v>
      </c>
      <c r="P18275" s="5" t="s">
        <v>355</v>
      </c>
      <c r="Q18275" s="5" t="s">
        <v>355</v>
      </c>
    </row>
    <row r="18276" ht="16.5" customHeight="1">
      <c r="O18276" s="5" t="s">
        <v>355</v>
      </c>
      <c r="P18276" s="5" t="s">
        <v>355</v>
      </c>
      <c r="Q18276" s="5" t="s">
        <v>355</v>
      </c>
    </row>
    <row r="18277" ht="16.5" customHeight="1">
      <c r="O18277" s="5" t="s">
        <v>355</v>
      </c>
      <c r="P18277" s="5" t="s">
        <v>355</v>
      </c>
      <c r="Q18277" s="5" t="s">
        <v>355</v>
      </c>
    </row>
    <row r="18278" ht="16.5" customHeight="1">
      <c r="O18278" s="5" t="s">
        <v>355</v>
      </c>
      <c r="P18278" s="5" t="s">
        <v>355</v>
      </c>
      <c r="Q18278" s="5" t="s">
        <v>355</v>
      </c>
    </row>
    <row r="18279" ht="16.5" customHeight="1">
      <c r="O18279" s="5" t="s">
        <v>355</v>
      </c>
      <c r="P18279" s="5" t="s">
        <v>355</v>
      </c>
      <c r="Q18279" s="5" t="s">
        <v>355</v>
      </c>
    </row>
    <row r="18280" ht="16.5" customHeight="1">
      <c r="O18280" s="5" t="s">
        <v>355</v>
      </c>
      <c r="P18280" s="5" t="s">
        <v>355</v>
      </c>
      <c r="Q18280" s="5" t="s">
        <v>355</v>
      </c>
    </row>
    <row r="18281" ht="16.5" customHeight="1">
      <c r="O18281" s="5" t="s">
        <v>355</v>
      </c>
      <c r="P18281" s="5" t="s">
        <v>355</v>
      </c>
      <c r="Q18281" s="5" t="s">
        <v>355</v>
      </c>
    </row>
    <row r="18282" ht="16.5" customHeight="1">
      <c r="O18282" s="5" t="s">
        <v>355</v>
      </c>
      <c r="P18282" s="5" t="s">
        <v>355</v>
      </c>
      <c r="Q18282" s="5" t="s">
        <v>355</v>
      </c>
    </row>
    <row r="18283" ht="16.5" customHeight="1">
      <c r="O18283" s="5" t="s">
        <v>355</v>
      </c>
      <c r="P18283" s="5" t="s">
        <v>355</v>
      </c>
      <c r="Q18283" s="5" t="s">
        <v>355</v>
      </c>
    </row>
    <row r="18284" ht="16.5" customHeight="1">
      <c r="O18284" s="5" t="s">
        <v>355</v>
      </c>
      <c r="P18284" s="5" t="s">
        <v>355</v>
      </c>
      <c r="Q18284" s="5" t="s">
        <v>355</v>
      </c>
    </row>
    <row r="18285" ht="16.5" customHeight="1">
      <c r="O18285" s="5" t="s">
        <v>355</v>
      </c>
      <c r="P18285" s="5" t="s">
        <v>355</v>
      </c>
      <c r="Q18285" s="5" t="s">
        <v>355</v>
      </c>
    </row>
    <row r="18286" ht="16.5" customHeight="1">
      <c r="O18286" s="5" t="s">
        <v>355</v>
      </c>
      <c r="P18286" s="5" t="s">
        <v>355</v>
      </c>
      <c r="Q18286" s="5" t="s">
        <v>355</v>
      </c>
    </row>
    <row r="18287" ht="16.5" customHeight="1">
      <c r="O18287" s="5" t="s">
        <v>355</v>
      </c>
      <c r="P18287" s="5" t="s">
        <v>355</v>
      </c>
      <c r="Q18287" s="5" t="s">
        <v>355</v>
      </c>
    </row>
    <row r="18288" ht="16.5" customHeight="1">
      <c r="O18288" s="5" t="s">
        <v>355</v>
      </c>
      <c r="P18288" s="5" t="s">
        <v>355</v>
      </c>
      <c r="Q18288" s="5" t="s">
        <v>355</v>
      </c>
    </row>
    <row r="18289" ht="16.5" customHeight="1">
      <c r="O18289" s="5" t="s">
        <v>355</v>
      </c>
      <c r="P18289" s="5" t="s">
        <v>355</v>
      </c>
      <c r="Q18289" s="5" t="s">
        <v>355</v>
      </c>
    </row>
    <row r="18290" ht="16.5" customHeight="1">
      <c r="O18290" s="5" t="s">
        <v>355</v>
      </c>
      <c r="P18290" s="5" t="s">
        <v>355</v>
      </c>
      <c r="Q18290" s="5" t="s">
        <v>355</v>
      </c>
    </row>
    <row r="18291" ht="16.5" customHeight="1">
      <c r="O18291" s="5" t="s">
        <v>355</v>
      </c>
      <c r="P18291" s="5" t="s">
        <v>355</v>
      </c>
      <c r="Q18291" s="5" t="s">
        <v>355</v>
      </c>
    </row>
    <row r="18292" ht="16.5" customHeight="1">
      <c r="O18292" s="5" t="s">
        <v>355</v>
      </c>
      <c r="P18292" s="5" t="s">
        <v>355</v>
      </c>
      <c r="Q18292" s="5" t="s">
        <v>355</v>
      </c>
    </row>
    <row r="18293" ht="16.5" customHeight="1">
      <c r="O18293" s="5" t="s">
        <v>355</v>
      </c>
      <c r="P18293" s="5" t="s">
        <v>355</v>
      </c>
      <c r="Q18293" s="5" t="s">
        <v>355</v>
      </c>
    </row>
    <row r="18294" ht="16.5" customHeight="1">
      <c r="O18294" s="5" t="s">
        <v>355</v>
      </c>
      <c r="P18294" s="5" t="s">
        <v>355</v>
      </c>
      <c r="Q18294" s="5" t="s">
        <v>355</v>
      </c>
    </row>
    <row r="18295" ht="16.5" customHeight="1">
      <c r="O18295" s="5" t="s">
        <v>355</v>
      </c>
      <c r="P18295" s="5" t="s">
        <v>355</v>
      </c>
      <c r="Q18295" s="5" t="s">
        <v>355</v>
      </c>
    </row>
    <row r="18296" ht="16.5" customHeight="1">
      <c r="O18296" s="5" t="s">
        <v>355</v>
      </c>
      <c r="P18296" s="5" t="s">
        <v>355</v>
      </c>
      <c r="Q18296" s="5" t="s">
        <v>355</v>
      </c>
    </row>
    <row r="18297" ht="16.5" customHeight="1">
      <c r="O18297" s="5" t="s">
        <v>355</v>
      </c>
      <c r="P18297" s="5" t="s">
        <v>355</v>
      </c>
      <c r="Q18297" s="5" t="s">
        <v>355</v>
      </c>
    </row>
    <row r="18298" ht="16.5" customHeight="1">
      <c r="O18298" s="5" t="s">
        <v>355</v>
      </c>
      <c r="P18298" s="5" t="s">
        <v>355</v>
      </c>
      <c r="Q18298" s="5" t="s">
        <v>355</v>
      </c>
    </row>
    <row r="18299" ht="16.5" customHeight="1">
      <c r="O18299" s="5" t="s">
        <v>355</v>
      </c>
      <c r="P18299" s="5" t="s">
        <v>355</v>
      </c>
      <c r="Q18299" s="5" t="s">
        <v>355</v>
      </c>
    </row>
    <row r="18300" ht="16.5" customHeight="1">
      <c r="O18300" s="5" t="s">
        <v>355</v>
      </c>
      <c r="P18300" s="5" t="s">
        <v>355</v>
      </c>
      <c r="Q18300" s="5" t="s">
        <v>355</v>
      </c>
    </row>
    <row r="18301" ht="16.5" customHeight="1">
      <c r="O18301" s="5" t="s">
        <v>355</v>
      </c>
      <c r="P18301" s="5" t="s">
        <v>355</v>
      </c>
      <c r="Q18301" s="5" t="s">
        <v>355</v>
      </c>
    </row>
    <row r="18302" ht="16.5" customHeight="1">
      <c r="O18302" s="5" t="s">
        <v>355</v>
      </c>
      <c r="P18302" s="5" t="s">
        <v>355</v>
      </c>
      <c r="Q18302" s="5" t="s">
        <v>355</v>
      </c>
    </row>
    <row r="18303" ht="16.5" customHeight="1">
      <c r="O18303" s="5" t="s">
        <v>355</v>
      </c>
      <c r="P18303" s="5" t="s">
        <v>355</v>
      </c>
      <c r="Q18303" s="5" t="s">
        <v>355</v>
      </c>
    </row>
    <row r="18304" ht="16.5" customHeight="1">
      <c r="O18304" s="5" t="s">
        <v>355</v>
      </c>
      <c r="P18304" s="5" t="s">
        <v>355</v>
      </c>
      <c r="Q18304" s="5" t="s">
        <v>355</v>
      </c>
    </row>
    <row r="18305" ht="16.5" customHeight="1">
      <c r="O18305" s="5" t="s">
        <v>355</v>
      </c>
      <c r="P18305" s="5" t="s">
        <v>355</v>
      </c>
      <c r="Q18305" s="5" t="s">
        <v>355</v>
      </c>
    </row>
    <row r="18306" ht="16.5" customHeight="1">
      <c r="O18306" s="5" t="s">
        <v>355</v>
      </c>
      <c r="P18306" s="5" t="s">
        <v>355</v>
      </c>
      <c r="Q18306" s="5" t="s">
        <v>355</v>
      </c>
    </row>
    <row r="18307" ht="16.5" customHeight="1">
      <c r="O18307" s="5" t="s">
        <v>355</v>
      </c>
      <c r="P18307" s="5" t="s">
        <v>355</v>
      </c>
      <c r="Q18307" s="5" t="s">
        <v>355</v>
      </c>
    </row>
    <row r="18308" ht="16.5" customHeight="1">
      <c r="O18308" s="5" t="s">
        <v>355</v>
      </c>
      <c r="P18308" s="5" t="s">
        <v>355</v>
      </c>
      <c r="Q18308" s="5" t="s">
        <v>355</v>
      </c>
    </row>
    <row r="18309" ht="16.5" customHeight="1">
      <c r="O18309" s="5" t="s">
        <v>355</v>
      </c>
      <c r="P18309" s="5" t="s">
        <v>355</v>
      </c>
      <c r="Q18309" s="5" t="s">
        <v>355</v>
      </c>
    </row>
    <row r="18310" ht="16.5" customHeight="1">
      <c r="O18310" s="5" t="s">
        <v>355</v>
      </c>
      <c r="P18310" s="5" t="s">
        <v>355</v>
      </c>
      <c r="Q18310" s="5" t="s">
        <v>355</v>
      </c>
    </row>
    <row r="18311" ht="16.5" customHeight="1">
      <c r="O18311" s="5" t="s">
        <v>355</v>
      </c>
      <c r="P18311" s="5" t="s">
        <v>355</v>
      </c>
      <c r="Q18311" s="5" t="s">
        <v>355</v>
      </c>
    </row>
    <row r="18312" ht="16.5" customHeight="1">
      <c r="O18312" s="5" t="s">
        <v>355</v>
      </c>
      <c r="P18312" s="5" t="s">
        <v>355</v>
      </c>
      <c r="Q18312" s="5" t="s">
        <v>355</v>
      </c>
    </row>
    <row r="18313" ht="16.5" customHeight="1">
      <c r="O18313" s="5" t="s">
        <v>355</v>
      </c>
      <c r="P18313" s="5" t="s">
        <v>355</v>
      </c>
      <c r="Q18313" s="5" t="s">
        <v>355</v>
      </c>
    </row>
    <row r="18314" ht="16.5" customHeight="1">
      <c r="O18314" s="5" t="s">
        <v>355</v>
      </c>
      <c r="P18314" s="5" t="s">
        <v>355</v>
      </c>
      <c r="Q18314" s="5" t="s">
        <v>355</v>
      </c>
    </row>
    <row r="18315" ht="16.5" customHeight="1">
      <c r="O18315" s="5" t="s">
        <v>355</v>
      </c>
      <c r="P18315" s="5" t="s">
        <v>355</v>
      </c>
      <c r="Q18315" s="5" t="s">
        <v>355</v>
      </c>
    </row>
    <row r="18316" ht="16.5" customHeight="1">
      <c r="O18316" s="5" t="s">
        <v>355</v>
      </c>
      <c r="P18316" s="5" t="s">
        <v>355</v>
      </c>
      <c r="Q18316" s="5" t="s">
        <v>355</v>
      </c>
    </row>
    <row r="18317" ht="16.5" customHeight="1">
      <c r="O18317" s="5" t="s">
        <v>355</v>
      </c>
      <c r="P18317" s="5" t="s">
        <v>355</v>
      </c>
      <c r="Q18317" s="5" t="s">
        <v>355</v>
      </c>
    </row>
    <row r="18318" ht="16.5" customHeight="1">
      <c r="O18318" s="5" t="s">
        <v>355</v>
      </c>
      <c r="P18318" s="5" t="s">
        <v>355</v>
      </c>
      <c r="Q18318" s="5" t="s">
        <v>355</v>
      </c>
    </row>
    <row r="18319" ht="16.5" customHeight="1">
      <c r="O18319" s="5" t="s">
        <v>355</v>
      </c>
      <c r="P18319" s="5" t="s">
        <v>355</v>
      </c>
      <c r="Q18319" s="5" t="s">
        <v>355</v>
      </c>
    </row>
    <row r="18320" ht="16.5" customHeight="1">
      <c r="O18320" s="5" t="s">
        <v>355</v>
      </c>
      <c r="P18320" s="5" t="s">
        <v>355</v>
      </c>
      <c r="Q18320" s="5" t="s">
        <v>355</v>
      </c>
    </row>
    <row r="18321" ht="16.5" customHeight="1">
      <c r="O18321" s="5" t="s">
        <v>355</v>
      </c>
      <c r="P18321" s="5" t="s">
        <v>355</v>
      </c>
      <c r="Q18321" s="5" t="s">
        <v>355</v>
      </c>
    </row>
    <row r="18322" ht="16.5" customHeight="1">
      <c r="O18322" s="5" t="s">
        <v>355</v>
      </c>
      <c r="P18322" s="5" t="s">
        <v>355</v>
      </c>
      <c r="Q18322" s="5" t="s">
        <v>355</v>
      </c>
    </row>
    <row r="18323" ht="16.5" customHeight="1">
      <c r="O18323" s="5" t="s">
        <v>355</v>
      </c>
      <c r="P18323" s="5" t="s">
        <v>355</v>
      </c>
      <c r="Q18323" s="5" t="s">
        <v>355</v>
      </c>
    </row>
    <row r="18324" ht="16.5" customHeight="1">
      <c r="O18324" s="5" t="s">
        <v>355</v>
      </c>
      <c r="P18324" s="5" t="s">
        <v>355</v>
      </c>
      <c r="Q18324" s="5" t="s">
        <v>355</v>
      </c>
    </row>
    <row r="18325" ht="16.5" customHeight="1">
      <c r="O18325" s="5" t="s">
        <v>355</v>
      </c>
      <c r="P18325" s="5" t="s">
        <v>355</v>
      </c>
      <c r="Q18325" s="5" t="s">
        <v>355</v>
      </c>
    </row>
    <row r="18326" ht="16.5" customHeight="1">
      <c r="O18326" s="5" t="s">
        <v>355</v>
      </c>
      <c r="P18326" s="5" t="s">
        <v>355</v>
      </c>
      <c r="Q18326" s="5" t="s">
        <v>355</v>
      </c>
    </row>
    <row r="18327" ht="16.5" customHeight="1">
      <c r="O18327" s="5" t="s">
        <v>355</v>
      </c>
      <c r="P18327" s="5" t="s">
        <v>355</v>
      </c>
      <c r="Q18327" s="5" t="s">
        <v>355</v>
      </c>
    </row>
    <row r="18328" ht="16.5" customHeight="1">
      <c r="O18328" s="5" t="s">
        <v>355</v>
      </c>
      <c r="P18328" s="5" t="s">
        <v>355</v>
      </c>
      <c r="Q18328" s="5" t="s">
        <v>355</v>
      </c>
    </row>
    <row r="18329" ht="16.5" customHeight="1">
      <c r="O18329" s="5" t="s">
        <v>355</v>
      </c>
      <c r="P18329" s="5" t="s">
        <v>355</v>
      </c>
      <c r="Q18329" s="5" t="s">
        <v>355</v>
      </c>
    </row>
    <row r="18330" ht="16.5" customHeight="1">
      <c r="O18330" s="5" t="s">
        <v>355</v>
      </c>
      <c r="P18330" s="5" t="s">
        <v>355</v>
      </c>
      <c r="Q18330" s="5" t="s">
        <v>355</v>
      </c>
    </row>
    <row r="18331" ht="16.5" customHeight="1">
      <c r="O18331" s="5" t="s">
        <v>355</v>
      </c>
      <c r="P18331" s="5" t="s">
        <v>355</v>
      </c>
      <c r="Q18331" s="5" t="s">
        <v>355</v>
      </c>
    </row>
    <row r="18332" ht="16.5" customHeight="1">
      <c r="O18332" s="5" t="s">
        <v>355</v>
      </c>
      <c r="P18332" s="5" t="s">
        <v>355</v>
      </c>
      <c r="Q18332" s="5" t="s">
        <v>355</v>
      </c>
    </row>
    <row r="18333" ht="16.5" customHeight="1">
      <c r="O18333" s="5" t="s">
        <v>355</v>
      </c>
      <c r="P18333" s="5" t="s">
        <v>355</v>
      </c>
      <c r="Q18333" s="5" t="s">
        <v>355</v>
      </c>
    </row>
    <row r="18334" ht="16.5" customHeight="1">
      <c r="O18334" s="5" t="s">
        <v>355</v>
      </c>
      <c r="P18334" s="5" t="s">
        <v>355</v>
      </c>
      <c r="Q18334" s="5" t="s">
        <v>355</v>
      </c>
    </row>
    <row r="18335" ht="16.5" customHeight="1">
      <c r="O18335" s="5" t="s">
        <v>355</v>
      </c>
      <c r="P18335" s="5" t="s">
        <v>355</v>
      </c>
      <c r="Q18335" s="5" t="s">
        <v>355</v>
      </c>
    </row>
    <row r="18336" ht="16.5" customHeight="1">
      <c r="O18336" s="5" t="s">
        <v>355</v>
      </c>
      <c r="P18336" s="5" t="s">
        <v>355</v>
      </c>
      <c r="Q18336" s="5" t="s">
        <v>355</v>
      </c>
    </row>
    <row r="18337" ht="16.5" customHeight="1">
      <c r="O18337" s="5" t="s">
        <v>355</v>
      </c>
      <c r="P18337" s="5" t="s">
        <v>355</v>
      </c>
      <c r="Q18337" s="5" t="s">
        <v>355</v>
      </c>
    </row>
    <row r="18338" ht="16.5" customHeight="1">
      <c r="O18338" s="5" t="s">
        <v>355</v>
      </c>
      <c r="P18338" s="5" t="s">
        <v>355</v>
      </c>
      <c r="Q18338" s="5" t="s">
        <v>355</v>
      </c>
    </row>
    <row r="18339" ht="16.5" customHeight="1">
      <c r="O18339" s="5" t="s">
        <v>355</v>
      </c>
      <c r="P18339" s="5" t="s">
        <v>355</v>
      </c>
      <c r="Q18339" s="5" t="s">
        <v>355</v>
      </c>
    </row>
    <row r="18340" ht="16.5" customHeight="1">
      <c r="O18340" s="5" t="s">
        <v>355</v>
      </c>
      <c r="P18340" s="5" t="s">
        <v>355</v>
      </c>
      <c r="Q18340" s="5" t="s">
        <v>355</v>
      </c>
    </row>
    <row r="18341" ht="16.5" customHeight="1">
      <c r="O18341" s="5" t="s">
        <v>355</v>
      </c>
      <c r="P18341" s="5" t="s">
        <v>355</v>
      </c>
      <c r="Q18341" s="5" t="s">
        <v>355</v>
      </c>
    </row>
    <row r="18342" ht="16.5" customHeight="1">
      <c r="O18342" s="5" t="s">
        <v>355</v>
      </c>
      <c r="P18342" s="5" t="s">
        <v>355</v>
      </c>
      <c r="Q18342" s="5" t="s">
        <v>355</v>
      </c>
    </row>
    <row r="18343" ht="16.5" customHeight="1">
      <c r="O18343" s="5" t="s">
        <v>355</v>
      </c>
      <c r="P18343" s="5" t="s">
        <v>355</v>
      </c>
      <c r="Q18343" s="5" t="s">
        <v>355</v>
      </c>
    </row>
    <row r="18344" ht="16.5" customHeight="1">
      <c r="O18344" s="5" t="s">
        <v>355</v>
      </c>
      <c r="P18344" s="5" t="s">
        <v>355</v>
      </c>
      <c r="Q18344" s="5" t="s">
        <v>355</v>
      </c>
    </row>
    <row r="18345" ht="16.5" customHeight="1">
      <c r="O18345" s="5" t="s">
        <v>355</v>
      </c>
      <c r="P18345" s="5" t="s">
        <v>355</v>
      </c>
      <c r="Q18345" s="5" t="s">
        <v>355</v>
      </c>
    </row>
    <row r="18346" ht="16.5" customHeight="1">
      <c r="O18346" s="5" t="s">
        <v>355</v>
      </c>
      <c r="P18346" s="5" t="s">
        <v>355</v>
      </c>
      <c r="Q18346" s="5" t="s">
        <v>355</v>
      </c>
    </row>
    <row r="18347" ht="16.5" customHeight="1">
      <c r="O18347" s="5" t="s">
        <v>355</v>
      </c>
      <c r="P18347" s="5" t="s">
        <v>355</v>
      </c>
      <c r="Q18347" s="5" t="s">
        <v>355</v>
      </c>
    </row>
    <row r="18348" ht="16.5" customHeight="1">
      <c r="O18348" s="5" t="s">
        <v>355</v>
      </c>
      <c r="P18348" s="5" t="s">
        <v>355</v>
      </c>
      <c r="Q18348" s="5" t="s">
        <v>355</v>
      </c>
    </row>
    <row r="18349" ht="16.5" customHeight="1">
      <c r="O18349" s="5" t="s">
        <v>355</v>
      </c>
      <c r="P18349" s="5" t="s">
        <v>355</v>
      </c>
      <c r="Q18349" s="5" t="s">
        <v>355</v>
      </c>
    </row>
    <row r="18350" ht="16.5" customHeight="1">
      <c r="O18350" s="5" t="s">
        <v>355</v>
      </c>
      <c r="P18350" s="5" t="s">
        <v>355</v>
      </c>
      <c r="Q18350" s="5" t="s">
        <v>355</v>
      </c>
    </row>
    <row r="18351" ht="16.5" customHeight="1">
      <c r="O18351" s="5" t="s">
        <v>355</v>
      </c>
      <c r="P18351" s="5" t="s">
        <v>355</v>
      </c>
      <c r="Q18351" s="5" t="s">
        <v>355</v>
      </c>
    </row>
    <row r="18352" ht="16.5" customHeight="1">
      <c r="O18352" s="5" t="s">
        <v>355</v>
      </c>
      <c r="P18352" s="5" t="s">
        <v>355</v>
      </c>
      <c r="Q18352" s="5" t="s">
        <v>355</v>
      </c>
    </row>
    <row r="18353" ht="16.5" customHeight="1">
      <c r="O18353" s="5" t="s">
        <v>355</v>
      </c>
      <c r="P18353" s="5" t="s">
        <v>355</v>
      </c>
      <c r="Q18353" s="5" t="s">
        <v>355</v>
      </c>
    </row>
    <row r="18354" ht="16.5" customHeight="1">
      <c r="O18354" s="5" t="s">
        <v>355</v>
      </c>
      <c r="P18354" s="5" t="s">
        <v>355</v>
      </c>
      <c r="Q18354" s="5" t="s">
        <v>355</v>
      </c>
    </row>
    <row r="18355" ht="16.5" customHeight="1">
      <c r="O18355" s="5" t="s">
        <v>355</v>
      </c>
      <c r="P18355" s="5" t="s">
        <v>355</v>
      </c>
      <c r="Q18355" s="5" t="s">
        <v>355</v>
      </c>
    </row>
    <row r="18356" ht="16.5" customHeight="1">
      <c r="O18356" s="5" t="s">
        <v>355</v>
      </c>
      <c r="P18356" s="5" t="s">
        <v>355</v>
      </c>
      <c r="Q18356" s="5" t="s">
        <v>355</v>
      </c>
    </row>
    <row r="18357" ht="16.5" customHeight="1">
      <c r="O18357" s="5" t="s">
        <v>355</v>
      </c>
      <c r="P18357" s="5" t="s">
        <v>355</v>
      </c>
      <c r="Q18357" s="5" t="s">
        <v>355</v>
      </c>
    </row>
    <row r="18358" ht="16.5" customHeight="1">
      <c r="O18358" s="5" t="s">
        <v>355</v>
      </c>
      <c r="P18358" s="5" t="s">
        <v>355</v>
      </c>
      <c r="Q18358" s="5" t="s">
        <v>355</v>
      </c>
    </row>
    <row r="18359" ht="16.5" customHeight="1">
      <c r="O18359" s="5" t="s">
        <v>355</v>
      </c>
      <c r="P18359" s="5" t="s">
        <v>355</v>
      </c>
      <c r="Q18359" s="5" t="s">
        <v>355</v>
      </c>
    </row>
    <row r="18360" ht="16.5" customHeight="1">
      <c r="O18360" s="5" t="s">
        <v>355</v>
      </c>
      <c r="P18360" s="5" t="s">
        <v>355</v>
      </c>
      <c r="Q18360" s="5" t="s">
        <v>355</v>
      </c>
    </row>
    <row r="18361" ht="16.5" customHeight="1">
      <c r="O18361" s="5" t="s">
        <v>355</v>
      </c>
      <c r="P18361" s="5" t="s">
        <v>355</v>
      </c>
      <c r="Q18361" s="5" t="s">
        <v>355</v>
      </c>
    </row>
    <row r="18362" ht="16.5" customHeight="1">
      <c r="O18362" s="5" t="s">
        <v>355</v>
      </c>
      <c r="P18362" s="5" t="s">
        <v>355</v>
      </c>
      <c r="Q18362" s="5" t="s">
        <v>355</v>
      </c>
    </row>
    <row r="18363" ht="16.5" customHeight="1">
      <c r="O18363" s="5" t="s">
        <v>355</v>
      </c>
      <c r="P18363" s="5" t="s">
        <v>355</v>
      </c>
      <c r="Q18363" s="5" t="s">
        <v>355</v>
      </c>
    </row>
    <row r="18364" ht="16.5" customHeight="1">
      <c r="O18364" s="5" t="s">
        <v>355</v>
      </c>
      <c r="P18364" s="5" t="s">
        <v>355</v>
      </c>
      <c r="Q18364" s="5" t="s">
        <v>355</v>
      </c>
    </row>
    <row r="18365" ht="16.5" customHeight="1">
      <c r="O18365" s="5" t="s">
        <v>355</v>
      </c>
      <c r="P18365" s="5" t="s">
        <v>355</v>
      </c>
      <c r="Q18365" s="5" t="s">
        <v>355</v>
      </c>
    </row>
    <row r="18366" ht="16.5" customHeight="1">
      <c r="O18366" s="5" t="s">
        <v>355</v>
      </c>
      <c r="P18366" s="5" t="s">
        <v>355</v>
      </c>
      <c r="Q18366" s="5" t="s">
        <v>355</v>
      </c>
    </row>
    <row r="18367" ht="16.5" customHeight="1">
      <c r="O18367" s="5" t="s">
        <v>355</v>
      </c>
      <c r="P18367" s="5" t="s">
        <v>355</v>
      </c>
      <c r="Q18367" s="5" t="s">
        <v>355</v>
      </c>
    </row>
    <row r="18368" ht="16.5" customHeight="1">
      <c r="O18368" s="5" t="s">
        <v>355</v>
      </c>
      <c r="P18368" s="5" t="s">
        <v>355</v>
      </c>
      <c r="Q18368" s="5" t="s">
        <v>355</v>
      </c>
    </row>
    <row r="18369" ht="16.5" customHeight="1">
      <c r="O18369" s="5" t="s">
        <v>355</v>
      </c>
      <c r="P18369" s="5" t="s">
        <v>355</v>
      </c>
      <c r="Q18369" s="5" t="s">
        <v>355</v>
      </c>
    </row>
    <row r="18370" ht="16.5" customHeight="1">
      <c r="O18370" s="5" t="s">
        <v>355</v>
      </c>
      <c r="P18370" s="5" t="s">
        <v>355</v>
      </c>
      <c r="Q18370" s="5" t="s">
        <v>355</v>
      </c>
    </row>
    <row r="18371" ht="16.5" customHeight="1">
      <c r="O18371" s="5" t="s">
        <v>355</v>
      </c>
      <c r="P18371" s="5" t="s">
        <v>355</v>
      </c>
      <c r="Q18371" s="5" t="s">
        <v>355</v>
      </c>
    </row>
    <row r="18372" ht="16.5" customHeight="1">
      <c r="O18372" s="5" t="s">
        <v>355</v>
      </c>
      <c r="P18372" s="5" t="s">
        <v>355</v>
      </c>
      <c r="Q18372" s="5" t="s">
        <v>355</v>
      </c>
    </row>
    <row r="18373" ht="16.5" customHeight="1">
      <c r="O18373" s="5" t="s">
        <v>355</v>
      </c>
      <c r="P18373" s="5" t="s">
        <v>355</v>
      </c>
      <c r="Q18373" s="5" t="s">
        <v>355</v>
      </c>
    </row>
    <row r="18374" ht="16.5" customHeight="1">
      <c r="O18374" s="5" t="s">
        <v>355</v>
      </c>
      <c r="P18374" s="5" t="s">
        <v>355</v>
      </c>
      <c r="Q18374" s="5" t="s">
        <v>355</v>
      </c>
    </row>
    <row r="18375" ht="16.5" customHeight="1">
      <c r="O18375" s="5" t="s">
        <v>355</v>
      </c>
      <c r="P18375" s="5" t="s">
        <v>355</v>
      </c>
      <c r="Q18375" s="5" t="s">
        <v>355</v>
      </c>
    </row>
    <row r="18376" ht="16.5" customHeight="1">
      <c r="O18376" s="5" t="s">
        <v>355</v>
      </c>
      <c r="P18376" s="5" t="s">
        <v>355</v>
      </c>
      <c r="Q18376" s="5" t="s">
        <v>355</v>
      </c>
    </row>
    <row r="18377" ht="16.5" customHeight="1">
      <c r="O18377" s="5" t="s">
        <v>355</v>
      </c>
      <c r="P18377" s="5" t="s">
        <v>355</v>
      </c>
      <c r="Q18377" s="5" t="s">
        <v>355</v>
      </c>
    </row>
    <row r="18378" ht="16.5" customHeight="1">
      <c r="O18378" s="5" t="s">
        <v>355</v>
      </c>
      <c r="P18378" s="5" t="s">
        <v>355</v>
      </c>
      <c r="Q18378" s="5" t="s">
        <v>355</v>
      </c>
    </row>
    <row r="18379" ht="16.5" customHeight="1">
      <c r="O18379" s="5" t="s">
        <v>355</v>
      </c>
      <c r="P18379" s="5" t="s">
        <v>355</v>
      </c>
      <c r="Q18379" s="5" t="s">
        <v>355</v>
      </c>
    </row>
    <row r="18380" ht="16.5" customHeight="1">
      <c r="O18380" s="5" t="s">
        <v>355</v>
      </c>
      <c r="P18380" s="5" t="s">
        <v>355</v>
      </c>
      <c r="Q18380" s="5" t="s">
        <v>355</v>
      </c>
    </row>
    <row r="18381" ht="16.5" customHeight="1">
      <c r="O18381" s="5" t="s">
        <v>355</v>
      </c>
      <c r="P18381" s="5" t="s">
        <v>355</v>
      </c>
      <c r="Q18381" s="5" t="s">
        <v>355</v>
      </c>
    </row>
    <row r="18382" ht="16.5" customHeight="1">
      <c r="O18382" s="5" t="s">
        <v>355</v>
      </c>
      <c r="P18382" s="5" t="s">
        <v>355</v>
      </c>
      <c r="Q18382" s="5" t="s">
        <v>355</v>
      </c>
    </row>
    <row r="18383" ht="16.5" customHeight="1">
      <c r="O18383" s="5" t="s">
        <v>355</v>
      </c>
      <c r="P18383" s="5" t="s">
        <v>355</v>
      </c>
      <c r="Q18383" s="5" t="s">
        <v>355</v>
      </c>
    </row>
    <row r="18384" ht="16.5" customHeight="1">
      <c r="O18384" s="5" t="s">
        <v>355</v>
      </c>
      <c r="P18384" s="5" t="s">
        <v>355</v>
      </c>
      <c r="Q18384" s="5" t="s">
        <v>355</v>
      </c>
    </row>
    <row r="18385" ht="16.5" customHeight="1">
      <c r="O18385" s="5" t="s">
        <v>355</v>
      </c>
      <c r="P18385" s="5" t="s">
        <v>355</v>
      </c>
      <c r="Q18385" s="5" t="s">
        <v>355</v>
      </c>
    </row>
    <row r="18386" ht="16.5" customHeight="1">
      <c r="O18386" s="5" t="s">
        <v>355</v>
      </c>
      <c r="P18386" s="5" t="s">
        <v>355</v>
      </c>
      <c r="Q18386" s="5" t="s">
        <v>355</v>
      </c>
    </row>
    <row r="18387" ht="16.5" customHeight="1">
      <c r="O18387" s="5" t="s">
        <v>355</v>
      </c>
      <c r="P18387" s="5" t="s">
        <v>355</v>
      </c>
      <c r="Q18387" s="5" t="s">
        <v>355</v>
      </c>
    </row>
    <row r="18388" ht="16.5" customHeight="1">
      <c r="O18388" s="5" t="s">
        <v>355</v>
      </c>
      <c r="P18388" s="5" t="s">
        <v>355</v>
      </c>
      <c r="Q18388" s="5" t="s">
        <v>355</v>
      </c>
    </row>
    <row r="18389" ht="16.5" customHeight="1">
      <c r="O18389" s="5" t="s">
        <v>355</v>
      </c>
      <c r="P18389" s="5" t="s">
        <v>355</v>
      </c>
      <c r="Q18389" s="5" t="s">
        <v>355</v>
      </c>
    </row>
    <row r="18390" ht="16.5" customHeight="1">
      <c r="O18390" s="5" t="s">
        <v>355</v>
      </c>
      <c r="P18390" s="5" t="s">
        <v>355</v>
      </c>
      <c r="Q18390" s="5" t="s">
        <v>355</v>
      </c>
    </row>
    <row r="18391" ht="16.5" customHeight="1">
      <c r="O18391" s="5" t="s">
        <v>355</v>
      </c>
      <c r="P18391" s="5" t="s">
        <v>355</v>
      </c>
      <c r="Q18391" s="5" t="s">
        <v>355</v>
      </c>
    </row>
    <row r="18392" ht="16.5" customHeight="1">
      <c r="O18392" s="5" t="s">
        <v>355</v>
      </c>
      <c r="P18392" s="5" t="s">
        <v>355</v>
      </c>
      <c r="Q18392" s="5" t="s">
        <v>355</v>
      </c>
    </row>
    <row r="18393" ht="16.5" customHeight="1">
      <c r="O18393" s="5" t="s">
        <v>355</v>
      </c>
      <c r="P18393" s="5" t="s">
        <v>355</v>
      </c>
      <c r="Q18393" s="5" t="s">
        <v>355</v>
      </c>
    </row>
    <row r="18394" ht="16.5" customHeight="1">
      <c r="O18394" s="5" t="s">
        <v>355</v>
      </c>
      <c r="P18394" s="5" t="s">
        <v>355</v>
      </c>
      <c r="Q18394" s="5" t="s">
        <v>355</v>
      </c>
    </row>
    <row r="18395" ht="16.5" customHeight="1">
      <c r="O18395" s="5" t="s">
        <v>355</v>
      </c>
      <c r="P18395" s="5" t="s">
        <v>355</v>
      </c>
      <c r="Q18395" s="5" t="s">
        <v>355</v>
      </c>
    </row>
    <row r="18396" ht="16.5" customHeight="1">
      <c r="O18396" s="5" t="s">
        <v>355</v>
      </c>
      <c r="P18396" s="5" t="s">
        <v>355</v>
      </c>
      <c r="Q18396" s="5" t="s">
        <v>355</v>
      </c>
    </row>
    <row r="18397" ht="16.5" customHeight="1">
      <c r="O18397" s="5" t="s">
        <v>355</v>
      </c>
      <c r="P18397" s="5" t="s">
        <v>355</v>
      </c>
      <c r="Q18397" s="5" t="s">
        <v>355</v>
      </c>
    </row>
    <row r="18398" ht="16.5" customHeight="1">
      <c r="O18398" s="5" t="s">
        <v>355</v>
      </c>
      <c r="P18398" s="5" t="s">
        <v>355</v>
      </c>
      <c r="Q18398" s="5" t="s">
        <v>355</v>
      </c>
    </row>
    <row r="18399" ht="16.5" customHeight="1">
      <c r="O18399" s="5" t="s">
        <v>355</v>
      </c>
      <c r="P18399" s="5" t="s">
        <v>355</v>
      </c>
      <c r="Q18399" s="5" t="s">
        <v>355</v>
      </c>
    </row>
    <row r="18400" ht="16.5" customHeight="1">
      <c r="O18400" s="5" t="s">
        <v>355</v>
      </c>
      <c r="P18400" s="5" t="s">
        <v>355</v>
      </c>
      <c r="Q18400" s="5" t="s">
        <v>355</v>
      </c>
    </row>
    <row r="18401" ht="16.5" customHeight="1">
      <c r="O18401" s="5" t="s">
        <v>355</v>
      </c>
      <c r="P18401" s="5" t="s">
        <v>355</v>
      </c>
      <c r="Q18401" s="5" t="s">
        <v>355</v>
      </c>
    </row>
    <row r="18402" ht="16.5" customHeight="1">
      <c r="O18402" s="5" t="s">
        <v>355</v>
      </c>
      <c r="P18402" s="5" t="s">
        <v>355</v>
      </c>
      <c r="Q18402" s="5" t="s">
        <v>355</v>
      </c>
    </row>
    <row r="18403" ht="16.5" customHeight="1">
      <c r="O18403" s="5" t="s">
        <v>355</v>
      </c>
      <c r="P18403" s="5" t="s">
        <v>355</v>
      </c>
      <c r="Q18403" s="5" t="s">
        <v>355</v>
      </c>
    </row>
    <row r="18404" ht="16.5" customHeight="1">
      <c r="O18404" s="5" t="s">
        <v>355</v>
      </c>
      <c r="P18404" s="5" t="s">
        <v>355</v>
      </c>
      <c r="Q18404" s="5" t="s">
        <v>355</v>
      </c>
    </row>
    <row r="18405" ht="16.5" customHeight="1">
      <c r="O18405" s="5" t="s">
        <v>355</v>
      </c>
      <c r="P18405" s="5" t="s">
        <v>355</v>
      </c>
      <c r="Q18405" s="5" t="s">
        <v>355</v>
      </c>
    </row>
    <row r="18406" ht="16.5" customHeight="1">
      <c r="O18406" s="5" t="s">
        <v>355</v>
      </c>
      <c r="P18406" s="5" t="s">
        <v>355</v>
      </c>
      <c r="Q18406" s="5" t="s">
        <v>355</v>
      </c>
    </row>
    <row r="18407" ht="16.5" customHeight="1">
      <c r="O18407" s="5" t="s">
        <v>355</v>
      </c>
      <c r="P18407" s="5" t="s">
        <v>355</v>
      </c>
      <c r="Q18407" s="5" t="s">
        <v>355</v>
      </c>
    </row>
    <row r="18408" ht="16.5" customHeight="1">
      <c r="O18408" s="5" t="s">
        <v>355</v>
      </c>
      <c r="P18408" s="5" t="s">
        <v>355</v>
      </c>
      <c r="Q18408" s="5" t="s">
        <v>355</v>
      </c>
    </row>
    <row r="18409" ht="16.5" customHeight="1">
      <c r="O18409" s="5" t="s">
        <v>355</v>
      </c>
      <c r="P18409" s="5" t="s">
        <v>355</v>
      </c>
      <c r="Q18409" s="5" t="s">
        <v>355</v>
      </c>
    </row>
    <row r="18410" ht="16.5" customHeight="1">
      <c r="O18410" s="5" t="s">
        <v>355</v>
      </c>
      <c r="P18410" s="5" t="s">
        <v>355</v>
      </c>
      <c r="Q18410" s="5" t="s">
        <v>355</v>
      </c>
    </row>
    <row r="18411" ht="16.5" customHeight="1">
      <c r="O18411" s="5" t="s">
        <v>355</v>
      </c>
      <c r="P18411" s="5" t="s">
        <v>355</v>
      </c>
      <c r="Q18411" s="5" t="s">
        <v>355</v>
      </c>
    </row>
    <row r="18412" ht="16.5" customHeight="1">
      <c r="O18412" s="5" t="s">
        <v>355</v>
      </c>
      <c r="P18412" s="5" t="s">
        <v>355</v>
      </c>
      <c r="Q18412" s="5" t="s">
        <v>355</v>
      </c>
    </row>
    <row r="18413" ht="16.5" customHeight="1">
      <c r="O18413" s="5" t="s">
        <v>355</v>
      </c>
      <c r="P18413" s="5" t="s">
        <v>355</v>
      </c>
      <c r="Q18413" s="5" t="s">
        <v>355</v>
      </c>
    </row>
    <row r="18414" ht="16.5" customHeight="1">
      <c r="O18414" s="5" t="s">
        <v>355</v>
      </c>
      <c r="P18414" s="5" t="s">
        <v>355</v>
      </c>
      <c r="Q18414" s="5" t="s">
        <v>355</v>
      </c>
    </row>
    <row r="18415" ht="16.5" customHeight="1">
      <c r="O18415" s="5" t="s">
        <v>355</v>
      </c>
      <c r="P18415" s="5" t="s">
        <v>355</v>
      </c>
      <c r="Q18415" s="5" t="s">
        <v>355</v>
      </c>
    </row>
    <row r="18416" ht="16.5" customHeight="1">
      <c r="O18416" s="5" t="s">
        <v>355</v>
      </c>
      <c r="P18416" s="5" t="s">
        <v>355</v>
      </c>
      <c r="Q18416" s="5" t="s">
        <v>355</v>
      </c>
    </row>
    <row r="18417" ht="16.5" customHeight="1">
      <c r="O18417" s="5" t="s">
        <v>355</v>
      </c>
      <c r="P18417" s="5" t="s">
        <v>355</v>
      </c>
      <c r="Q18417" s="5" t="s">
        <v>355</v>
      </c>
    </row>
    <row r="18418" ht="16.5" customHeight="1">
      <c r="O18418" s="5" t="s">
        <v>355</v>
      </c>
      <c r="P18418" s="5" t="s">
        <v>355</v>
      </c>
      <c r="Q18418" s="5" t="s">
        <v>355</v>
      </c>
    </row>
    <row r="18419" ht="16.5" customHeight="1">
      <c r="O18419" s="5" t="s">
        <v>355</v>
      </c>
      <c r="P18419" s="5" t="s">
        <v>355</v>
      </c>
      <c r="Q18419" s="5" t="s">
        <v>355</v>
      </c>
    </row>
    <row r="18420" ht="16.5" customHeight="1">
      <c r="O18420" s="5" t="s">
        <v>355</v>
      </c>
      <c r="P18420" s="5" t="s">
        <v>355</v>
      </c>
      <c r="Q18420" s="5" t="s">
        <v>355</v>
      </c>
    </row>
    <row r="18421" ht="16.5" customHeight="1">
      <c r="O18421" s="5" t="s">
        <v>355</v>
      </c>
      <c r="P18421" s="5" t="s">
        <v>355</v>
      </c>
      <c r="Q18421" s="5" t="s">
        <v>355</v>
      </c>
    </row>
    <row r="18422" ht="16.5" customHeight="1">
      <c r="O18422" s="5" t="s">
        <v>355</v>
      </c>
      <c r="P18422" s="5" t="s">
        <v>355</v>
      </c>
      <c r="Q18422" s="5" t="s">
        <v>355</v>
      </c>
    </row>
    <row r="18423" ht="16.5" customHeight="1">
      <c r="O18423" s="5" t="s">
        <v>355</v>
      </c>
      <c r="P18423" s="5" t="s">
        <v>355</v>
      </c>
      <c r="Q18423" s="5" t="s">
        <v>355</v>
      </c>
    </row>
    <row r="18424" ht="16.5" customHeight="1">
      <c r="O18424" s="5" t="s">
        <v>355</v>
      </c>
      <c r="P18424" s="5" t="s">
        <v>355</v>
      </c>
      <c r="Q18424" s="5" t="s">
        <v>355</v>
      </c>
    </row>
    <row r="18425" ht="16.5" customHeight="1">
      <c r="O18425" s="5" t="s">
        <v>355</v>
      </c>
      <c r="P18425" s="5" t="s">
        <v>355</v>
      </c>
      <c r="Q18425" s="5" t="s">
        <v>355</v>
      </c>
    </row>
    <row r="18426" ht="16.5" customHeight="1">
      <c r="O18426" s="5" t="s">
        <v>355</v>
      </c>
      <c r="P18426" s="5" t="s">
        <v>355</v>
      </c>
      <c r="Q18426" s="5" t="s">
        <v>355</v>
      </c>
    </row>
    <row r="18427" ht="16.5" customHeight="1">
      <c r="O18427" s="5" t="s">
        <v>355</v>
      </c>
      <c r="P18427" s="5" t="s">
        <v>355</v>
      </c>
      <c r="Q18427" s="5" t="s">
        <v>355</v>
      </c>
    </row>
    <row r="18428" ht="16.5" customHeight="1">
      <c r="O18428" s="5" t="s">
        <v>355</v>
      </c>
      <c r="P18428" s="5" t="s">
        <v>355</v>
      </c>
      <c r="Q18428" s="5" t="s">
        <v>355</v>
      </c>
    </row>
    <row r="18429" ht="16.5" customHeight="1">
      <c r="O18429" s="5" t="s">
        <v>355</v>
      </c>
      <c r="P18429" s="5" t="s">
        <v>355</v>
      </c>
      <c r="Q18429" s="5" t="s">
        <v>355</v>
      </c>
    </row>
    <row r="18430" ht="16.5" customHeight="1">
      <c r="O18430" s="5" t="s">
        <v>355</v>
      </c>
      <c r="P18430" s="5" t="s">
        <v>355</v>
      </c>
      <c r="Q18430" s="5" t="s">
        <v>355</v>
      </c>
    </row>
    <row r="18431" ht="16.5" customHeight="1">
      <c r="O18431" s="5" t="s">
        <v>355</v>
      </c>
      <c r="P18431" s="5" t="s">
        <v>355</v>
      </c>
      <c r="Q18431" s="5" t="s">
        <v>355</v>
      </c>
    </row>
    <row r="18432" ht="16.5" customHeight="1">
      <c r="O18432" s="5" t="s">
        <v>355</v>
      </c>
      <c r="P18432" s="5" t="s">
        <v>355</v>
      </c>
      <c r="Q18432" s="5" t="s">
        <v>355</v>
      </c>
    </row>
    <row r="18433" ht="16.5" customHeight="1">
      <c r="O18433" s="5" t="s">
        <v>355</v>
      </c>
      <c r="P18433" s="5" t="s">
        <v>355</v>
      </c>
      <c r="Q18433" s="5" t="s">
        <v>355</v>
      </c>
    </row>
    <row r="18434" ht="16.5" customHeight="1">
      <c r="O18434" s="5" t="s">
        <v>355</v>
      </c>
      <c r="P18434" s="5" t="s">
        <v>355</v>
      </c>
      <c r="Q18434" s="5" t="s">
        <v>355</v>
      </c>
    </row>
    <row r="18435" ht="16.5" customHeight="1">
      <c r="O18435" s="5" t="s">
        <v>355</v>
      </c>
      <c r="P18435" s="5" t="s">
        <v>355</v>
      </c>
      <c r="Q18435" s="5" t="s">
        <v>355</v>
      </c>
    </row>
    <row r="18436" ht="16.5" customHeight="1">
      <c r="O18436" s="5" t="s">
        <v>355</v>
      </c>
      <c r="P18436" s="5" t="s">
        <v>355</v>
      </c>
      <c r="Q18436" s="5" t="s">
        <v>355</v>
      </c>
    </row>
    <row r="18437" ht="16.5" customHeight="1">
      <c r="O18437" s="5" t="s">
        <v>355</v>
      </c>
      <c r="P18437" s="5" t="s">
        <v>355</v>
      </c>
      <c r="Q18437" s="5" t="s">
        <v>355</v>
      </c>
    </row>
    <row r="18438" ht="16.5" customHeight="1">
      <c r="O18438" s="5" t="s">
        <v>355</v>
      </c>
      <c r="P18438" s="5" t="s">
        <v>355</v>
      </c>
      <c r="Q18438" s="5" t="s">
        <v>355</v>
      </c>
    </row>
    <row r="18439" ht="16.5" customHeight="1">
      <c r="O18439" s="5" t="s">
        <v>355</v>
      </c>
      <c r="P18439" s="5" t="s">
        <v>355</v>
      </c>
      <c r="Q18439" s="5" t="s">
        <v>355</v>
      </c>
    </row>
    <row r="18440" ht="16.5" customHeight="1">
      <c r="O18440" s="5" t="s">
        <v>355</v>
      </c>
      <c r="P18440" s="5" t="s">
        <v>355</v>
      </c>
      <c r="Q18440" s="5" t="s">
        <v>355</v>
      </c>
    </row>
    <row r="18441" ht="16.5" customHeight="1">
      <c r="O18441" s="5" t="s">
        <v>355</v>
      </c>
      <c r="P18441" s="5" t="s">
        <v>355</v>
      </c>
      <c r="Q18441" s="5" t="s">
        <v>355</v>
      </c>
    </row>
    <row r="18442" ht="16.5" customHeight="1">
      <c r="O18442" s="5" t="s">
        <v>355</v>
      </c>
      <c r="P18442" s="5" t="s">
        <v>355</v>
      </c>
      <c r="Q18442" s="5" t="s">
        <v>355</v>
      </c>
    </row>
    <row r="18443" ht="16.5" customHeight="1">
      <c r="O18443" s="5" t="s">
        <v>355</v>
      </c>
      <c r="P18443" s="5" t="s">
        <v>355</v>
      </c>
      <c r="Q18443" s="5" t="s">
        <v>355</v>
      </c>
    </row>
    <row r="18444" ht="16.5" customHeight="1">
      <c r="O18444" s="5" t="s">
        <v>355</v>
      </c>
      <c r="P18444" s="5" t="s">
        <v>355</v>
      </c>
      <c r="Q18444" s="5" t="s">
        <v>355</v>
      </c>
    </row>
    <row r="18445" ht="16.5" customHeight="1">
      <c r="O18445" s="5" t="s">
        <v>355</v>
      </c>
      <c r="P18445" s="5" t="s">
        <v>355</v>
      </c>
      <c r="Q18445" s="5" t="s">
        <v>355</v>
      </c>
    </row>
    <row r="18446" ht="16.5" customHeight="1">
      <c r="O18446" s="5" t="s">
        <v>355</v>
      </c>
      <c r="P18446" s="5" t="s">
        <v>355</v>
      </c>
      <c r="Q18446" s="5" t="s">
        <v>355</v>
      </c>
    </row>
    <row r="18447" ht="16.5" customHeight="1">
      <c r="O18447" s="5" t="s">
        <v>355</v>
      </c>
      <c r="P18447" s="5" t="s">
        <v>355</v>
      </c>
      <c r="Q18447" s="5" t="s">
        <v>355</v>
      </c>
    </row>
    <row r="18448" ht="16.5" customHeight="1">
      <c r="O18448" s="5" t="s">
        <v>355</v>
      </c>
      <c r="P18448" s="5" t="s">
        <v>355</v>
      </c>
      <c r="Q18448" s="5" t="s">
        <v>355</v>
      </c>
    </row>
    <row r="18449" ht="16.5" customHeight="1">
      <c r="O18449" s="5" t="s">
        <v>355</v>
      </c>
      <c r="P18449" s="5" t="s">
        <v>355</v>
      </c>
      <c r="Q18449" s="5" t="s">
        <v>355</v>
      </c>
    </row>
    <row r="18450" ht="16.5" customHeight="1">
      <c r="O18450" s="5" t="s">
        <v>355</v>
      </c>
      <c r="P18450" s="5" t="s">
        <v>355</v>
      </c>
      <c r="Q18450" s="5" t="s">
        <v>355</v>
      </c>
    </row>
    <row r="18451" ht="16.5" customHeight="1">
      <c r="O18451" s="5" t="s">
        <v>355</v>
      </c>
      <c r="P18451" s="5" t="s">
        <v>355</v>
      </c>
      <c r="Q18451" s="5" t="s">
        <v>355</v>
      </c>
    </row>
    <row r="18452" ht="16.5" customHeight="1">
      <c r="O18452" s="5" t="s">
        <v>355</v>
      </c>
      <c r="P18452" s="5" t="s">
        <v>355</v>
      </c>
      <c r="Q18452" s="5" t="s">
        <v>355</v>
      </c>
    </row>
    <row r="18453" ht="16.5" customHeight="1">
      <c r="O18453" s="5" t="s">
        <v>355</v>
      </c>
      <c r="P18453" s="5" t="s">
        <v>355</v>
      </c>
      <c r="Q18453" s="5" t="s">
        <v>355</v>
      </c>
    </row>
    <row r="18454" ht="16.5" customHeight="1">
      <c r="O18454" s="5" t="s">
        <v>355</v>
      </c>
      <c r="P18454" s="5" t="s">
        <v>355</v>
      </c>
      <c r="Q18454" s="5" t="s">
        <v>355</v>
      </c>
    </row>
    <row r="18455" ht="16.5" customHeight="1">
      <c r="O18455" s="5" t="s">
        <v>355</v>
      </c>
      <c r="P18455" s="5" t="s">
        <v>355</v>
      </c>
      <c r="Q18455" s="5" t="s">
        <v>355</v>
      </c>
    </row>
    <row r="18456" ht="16.5" customHeight="1">
      <c r="O18456" s="5" t="s">
        <v>355</v>
      </c>
      <c r="P18456" s="5" t="s">
        <v>355</v>
      </c>
      <c r="Q18456" s="5" t="s">
        <v>355</v>
      </c>
    </row>
    <row r="18457" ht="16.5" customHeight="1">
      <c r="O18457" s="5" t="s">
        <v>355</v>
      </c>
      <c r="P18457" s="5" t="s">
        <v>355</v>
      </c>
      <c r="Q18457" s="5" t="s">
        <v>355</v>
      </c>
    </row>
    <row r="18458" ht="16.5" customHeight="1">
      <c r="O18458" s="5" t="s">
        <v>355</v>
      </c>
      <c r="P18458" s="5" t="s">
        <v>355</v>
      </c>
      <c r="Q18458" s="5" t="s">
        <v>355</v>
      </c>
    </row>
    <row r="18459" ht="16.5" customHeight="1">
      <c r="O18459" s="5" t="s">
        <v>355</v>
      </c>
      <c r="P18459" s="5" t="s">
        <v>355</v>
      </c>
      <c r="Q18459" s="5" t="s">
        <v>355</v>
      </c>
    </row>
    <row r="18460" ht="16.5" customHeight="1">
      <c r="O18460" s="5" t="s">
        <v>355</v>
      </c>
      <c r="P18460" s="5" t="s">
        <v>355</v>
      </c>
      <c r="Q18460" s="5" t="s">
        <v>355</v>
      </c>
    </row>
    <row r="18461" ht="16.5" customHeight="1">
      <c r="O18461" s="5" t="s">
        <v>355</v>
      </c>
      <c r="P18461" s="5" t="s">
        <v>355</v>
      </c>
      <c r="Q18461" s="5" t="s">
        <v>355</v>
      </c>
    </row>
    <row r="18462" ht="16.5" customHeight="1">
      <c r="O18462" s="5" t="s">
        <v>355</v>
      </c>
      <c r="P18462" s="5" t="s">
        <v>355</v>
      </c>
      <c r="Q18462" s="5" t="s">
        <v>355</v>
      </c>
    </row>
    <row r="18463" ht="16.5" customHeight="1">
      <c r="O18463" s="5" t="s">
        <v>355</v>
      </c>
      <c r="P18463" s="5" t="s">
        <v>355</v>
      </c>
      <c r="Q18463" s="5" t="s">
        <v>355</v>
      </c>
    </row>
    <row r="18464" ht="16.5" customHeight="1">
      <c r="O18464" s="5" t="s">
        <v>355</v>
      </c>
      <c r="P18464" s="5" t="s">
        <v>355</v>
      </c>
      <c r="Q18464" s="5" t="s">
        <v>355</v>
      </c>
    </row>
    <row r="18465" ht="16.5" customHeight="1">
      <c r="O18465" s="5" t="s">
        <v>355</v>
      </c>
      <c r="P18465" s="5" t="s">
        <v>355</v>
      </c>
      <c r="Q18465" s="5" t="s">
        <v>355</v>
      </c>
    </row>
    <row r="18466" ht="16.5" customHeight="1">
      <c r="O18466" s="5" t="s">
        <v>355</v>
      </c>
      <c r="P18466" s="5" t="s">
        <v>355</v>
      </c>
      <c r="Q18466" s="5" t="s">
        <v>355</v>
      </c>
    </row>
    <row r="18467" ht="16.5" customHeight="1">
      <c r="O18467" s="5" t="s">
        <v>355</v>
      </c>
      <c r="P18467" s="5" t="s">
        <v>355</v>
      </c>
      <c r="Q18467" s="5" t="s">
        <v>355</v>
      </c>
    </row>
    <row r="18468" ht="16.5" customHeight="1">
      <c r="O18468" s="5" t="s">
        <v>355</v>
      </c>
      <c r="P18468" s="5" t="s">
        <v>355</v>
      </c>
      <c r="Q18468" s="5" t="s">
        <v>355</v>
      </c>
    </row>
    <row r="18469" ht="16.5" customHeight="1">
      <c r="O18469" s="5" t="s">
        <v>355</v>
      </c>
      <c r="P18469" s="5" t="s">
        <v>355</v>
      </c>
      <c r="Q18469" s="5" t="s">
        <v>355</v>
      </c>
    </row>
    <row r="18470" ht="16.5" customHeight="1">
      <c r="O18470" s="5" t="s">
        <v>355</v>
      </c>
      <c r="P18470" s="5" t="s">
        <v>355</v>
      </c>
      <c r="Q18470" s="5" t="s">
        <v>355</v>
      </c>
    </row>
    <row r="18471" ht="16.5" customHeight="1">
      <c r="O18471" s="5" t="s">
        <v>355</v>
      </c>
      <c r="P18471" s="5" t="s">
        <v>355</v>
      </c>
      <c r="Q18471" s="5" t="s">
        <v>355</v>
      </c>
    </row>
    <row r="18472" ht="16.5" customHeight="1">
      <c r="O18472" s="5" t="s">
        <v>355</v>
      </c>
      <c r="P18472" s="5" t="s">
        <v>355</v>
      </c>
      <c r="Q18472" s="5" t="s">
        <v>355</v>
      </c>
    </row>
    <row r="18473" ht="16.5" customHeight="1">
      <c r="O18473" s="5" t="s">
        <v>355</v>
      </c>
      <c r="P18473" s="5" t="s">
        <v>355</v>
      </c>
      <c r="Q18473" s="5" t="s">
        <v>355</v>
      </c>
    </row>
    <row r="18474" ht="16.5" customHeight="1">
      <c r="O18474" s="5" t="s">
        <v>355</v>
      </c>
      <c r="P18474" s="5" t="s">
        <v>355</v>
      </c>
      <c r="Q18474" s="5" t="s">
        <v>355</v>
      </c>
    </row>
    <row r="18475" ht="16.5" customHeight="1">
      <c r="O18475" s="5" t="s">
        <v>355</v>
      </c>
      <c r="P18475" s="5" t="s">
        <v>355</v>
      </c>
      <c r="Q18475" s="5" t="s">
        <v>355</v>
      </c>
    </row>
    <row r="18476" ht="16.5" customHeight="1">
      <c r="O18476" s="5" t="s">
        <v>355</v>
      </c>
      <c r="P18476" s="5" t="s">
        <v>355</v>
      </c>
      <c r="Q18476" s="5" t="s">
        <v>355</v>
      </c>
    </row>
    <row r="18477" ht="16.5" customHeight="1">
      <c r="O18477" s="5" t="s">
        <v>355</v>
      </c>
      <c r="P18477" s="5" t="s">
        <v>355</v>
      </c>
      <c r="Q18477" s="5" t="s">
        <v>355</v>
      </c>
    </row>
    <row r="18478" ht="16.5" customHeight="1">
      <c r="O18478" s="5" t="s">
        <v>355</v>
      </c>
      <c r="P18478" s="5" t="s">
        <v>355</v>
      </c>
      <c r="Q18478" s="5" t="s">
        <v>355</v>
      </c>
    </row>
    <row r="18479" ht="16.5" customHeight="1">
      <c r="O18479" s="5" t="s">
        <v>355</v>
      </c>
      <c r="P18479" s="5" t="s">
        <v>355</v>
      </c>
      <c r="Q18479" s="5" t="s">
        <v>355</v>
      </c>
    </row>
    <row r="18480" ht="16.5" customHeight="1">
      <c r="O18480" s="5" t="s">
        <v>355</v>
      </c>
      <c r="P18480" s="5" t="s">
        <v>355</v>
      </c>
      <c r="Q18480" s="5" t="s">
        <v>355</v>
      </c>
    </row>
    <row r="18481" ht="16.5" customHeight="1">
      <c r="O18481" s="5" t="s">
        <v>355</v>
      </c>
      <c r="P18481" s="5" t="s">
        <v>355</v>
      </c>
      <c r="Q18481" s="5" t="s">
        <v>355</v>
      </c>
    </row>
    <row r="18482" ht="16.5" customHeight="1">
      <c r="O18482" s="5" t="s">
        <v>355</v>
      </c>
      <c r="P18482" s="5" t="s">
        <v>355</v>
      </c>
      <c r="Q18482" s="5" t="s">
        <v>355</v>
      </c>
    </row>
    <row r="18483" ht="16.5" customHeight="1">
      <c r="O18483" s="5" t="s">
        <v>355</v>
      </c>
      <c r="P18483" s="5" t="s">
        <v>355</v>
      </c>
      <c r="Q18483" s="5" t="s">
        <v>355</v>
      </c>
    </row>
    <row r="18484" ht="16.5" customHeight="1">
      <c r="O18484" s="5" t="s">
        <v>355</v>
      </c>
      <c r="P18484" s="5" t="s">
        <v>355</v>
      </c>
      <c r="Q18484" s="5" t="s">
        <v>355</v>
      </c>
    </row>
    <row r="18485" ht="16.5" customHeight="1">
      <c r="O18485" s="5" t="s">
        <v>355</v>
      </c>
      <c r="P18485" s="5" t="s">
        <v>355</v>
      </c>
      <c r="Q18485" s="5" t="s">
        <v>355</v>
      </c>
    </row>
    <row r="18486" ht="16.5" customHeight="1">
      <c r="O18486" s="5" t="s">
        <v>355</v>
      </c>
      <c r="P18486" s="5" t="s">
        <v>355</v>
      </c>
      <c r="Q18486" s="5" t="s">
        <v>355</v>
      </c>
    </row>
    <row r="18487" ht="16.5" customHeight="1">
      <c r="O18487" s="5" t="s">
        <v>355</v>
      </c>
      <c r="P18487" s="5" t="s">
        <v>355</v>
      </c>
      <c r="Q18487" s="5" t="s">
        <v>355</v>
      </c>
    </row>
    <row r="18488" ht="16.5" customHeight="1">
      <c r="O18488" s="5" t="s">
        <v>355</v>
      </c>
      <c r="P18488" s="5" t="s">
        <v>355</v>
      </c>
      <c r="Q18488" s="5" t="s">
        <v>355</v>
      </c>
    </row>
    <row r="18489" ht="16.5" customHeight="1">
      <c r="O18489" s="5" t="s">
        <v>355</v>
      </c>
      <c r="P18489" s="5" t="s">
        <v>355</v>
      </c>
      <c r="Q18489" s="5" t="s">
        <v>355</v>
      </c>
    </row>
    <row r="18490" ht="16.5" customHeight="1">
      <c r="O18490" s="5" t="s">
        <v>355</v>
      </c>
      <c r="P18490" s="5" t="s">
        <v>355</v>
      </c>
      <c r="Q18490" s="5" t="s">
        <v>355</v>
      </c>
    </row>
    <row r="18491" ht="16.5" customHeight="1">
      <c r="O18491" s="5" t="s">
        <v>355</v>
      </c>
      <c r="P18491" s="5" t="s">
        <v>355</v>
      </c>
      <c r="Q18491" s="5" t="s">
        <v>355</v>
      </c>
    </row>
    <row r="18492" ht="16.5" customHeight="1">
      <c r="O18492" s="5" t="s">
        <v>355</v>
      </c>
      <c r="P18492" s="5" t="s">
        <v>355</v>
      </c>
      <c r="Q18492" s="5" t="s">
        <v>355</v>
      </c>
    </row>
    <row r="18493" ht="16.5" customHeight="1">
      <c r="O18493" s="5" t="s">
        <v>355</v>
      </c>
      <c r="P18493" s="5" t="s">
        <v>355</v>
      </c>
      <c r="Q18493" s="5" t="s">
        <v>355</v>
      </c>
    </row>
    <row r="18494" ht="16.5" customHeight="1">
      <c r="O18494" s="5" t="s">
        <v>355</v>
      </c>
      <c r="P18494" s="5" t="s">
        <v>355</v>
      </c>
      <c r="Q18494" s="5" t="s">
        <v>355</v>
      </c>
    </row>
    <row r="18495" ht="16.5" customHeight="1">
      <c r="O18495" s="5" t="s">
        <v>355</v>
      </c>
      <c r="P18495" s="5" t="s">
        <v>355</v>
      </c>
      <c r="Q18495" s="5" t="s">
        <v>355</v>
      </c>
    </row>
    <row r="18496" ht="16.5" customHeight="1">
      <c r="O18496" s="5" t="s">
        <v>355</v>
      </c>
      <c r="P18496" s="5" t="s">
        <v>355</v>
      </c>
      <c r="Q18496" s="5" t="s">
        <v>355</v>
      </c>
    </row>
    <row r="18497" ht="16.5" customHeight="1">
      <c r="O18497" s="5" t="s">
        <v>355</v>
      </c>
      <c r="P18497" s="5" t="s">
        <v>355</v>
      </c>
      <c r="Q18497" s="5" t="s">
        <v>355</v>
      </c>
    </row>
    <row r="18498" ht="16.5" customHeight="1">
      <c r="O18498" s="5" t="s">
        <v>355</v>
      </c>
      <c r="P18498" s="5" t="s">
        <v>355</v>
      </c>
      <c r="Q18498" s="5" t="s">
        <v>355</v>
      </c>
    </row>
    <row r="18499" ht="16.5" customHeight="1">
      <c r="O18499" s="5" t="s">
        <v>355</v>
      </c>
      <c r="P18499" s="5" t="s">
        <v>355</v>
      </c>
      <c r="Q18499" s="5" t="s">
        <v>355</v>
      </c>
    </row>
    <row r="18500" ht="16.5" customHeight="1">
      <c r="O18500" s="5" t="s">
        <v>355</v>
      </c>
      <c r="P18500" s="5" t="s">
        <v>355</v>
      </c>
      <c r="Q18500" s="5" t="s">
        <v>355</v>
      </c>
    </row>
    <row r="18501" ht="16.5" customHeight="1">
      <c r="O18501" s="5" t="s">
        <v>355</v>
      </c>
      <c r="P18501" s="5" t="s">
        <v>355</v>
      </c>
      <c r="Q18501" s="5" t="s">
        <v>355</v>
      </c>
    </row>
    <row r="18502" ht="16.5" customHeight="1">
      <c r="O18502" s="5" t="s">
        <v>355</v>
      </c>
      <c r="P18502" s="5" t="s">
        <v>355</v>
      </c>
      <c r="Q18502" s="5" t="s">
        <v>355</v>
      </c>
    </row>
    <row r="18503" ht="16.5" customHeight="1">
      <c r="O18503" s="5" t="s">
        <v>355</v>
      </c>
      <c r="P18503" s="5" t="s">
        <v>355</v>
      </c>
      <c r="Q18503" s="5" t="s">
        <v>355</v>
      </c>
    </row>
    <row r="18504" ht="16.5" customHeight="1">
      <c r="O18504" s="5" t="s">
        <v>355</v>
      </c>
      <c r="P18504" s="5" t="s">
        <v>355</v>
      </c>
      <c r="Q18504" s="5" t="s">
        <v>355</v>
      </c>
    </row>
    <row r="18505" ht="16.5" customHeight="1">
      <c r="O18505" s="5" t="s">
        <v>355</v>
      </c>
      <c r="P18505" s="5" t="s">
        <v>355</v>
      </c>
      <c r="Q18505" s="5" t="s">
        <v>355</v>
      </c>
    </row>
    <row r="18506" ht="16.5" customHeight="1">
      <c r="O18506" s="5" t="s">
        <v>355</v>
      </c>
      <c r="P18506" s="5" t="s">
        <v>355</v>
      </c>
      <c r="Q18506" s="5" t="s">
        <v>355</v>
      </c>
    </row>
    <row r="18507" ht="16.5" customHeight="1">
      <c r="O18507" s="5" t="s">
        <v>355</v>
      </c>
      <c r="P18507" s="5" t="s">
        <v>355</v>
      </c>
      <c r="Q18507" s="5" t="s">
        <v>355</v>
      </c>
    </row>
    <row r="18508" ht="16.5" customHeight="1">
      <c r="O18508" s="5" t="s">
        <v>355</v>
      </c>
      <c r="P18508" s="5" t="s">
        <v>355</v>
      </c>
      <c r="Q18508" s="5" t="s">
        <v>355</v>
      </c>
    </row>
    <row r="18509" ht="16.5" customHeight="1">
      <c r="O18509" s="5" t="s">
        <v>355</v>
      </c>
      <c r="P18509" s="5" t="s">
        <v>355</v>
      </c>
      <c r="Q18509" s="5" t="s">
        <v>355</v>
      </c>
    </row>
    <row r="18510" ht="16.5" customHeight="1">
      <c r="O18510" s="5" t="s">
        <v>355</v>
      </c>
      <c r="P18510" s="5" t="s">
        <v>355</v>
      </c>
      <c r="Q18510" s="5" t="s">
        <v>355</v>
      </c>
    </row>
    <row r="18511" ht="16.5" customHeight="1">
      <c r="O18511" s="5" t="s">
        <v>355</v>
      </c>
      <c r="P18511" s="5" t="s">
        <v>355</v>
      </c>
      <c r="Q18511" s="5" t="s">
        <v>355</v>
      </c>
    </row>
    <row r="18512" ht="16.5" customHeight="1">
      <c r="O18512" s="5" t="s">
        <v>355</v>
      </c>
      <c r="P18512" s="5" t="s">
        <v>355</v>
      </c>
      <c r="Q18512" s="5" t="s">
        <v>355</v>
      </c>
    </row>
    <row r="18513" ht="16.5" customHeight="1">
      <c r="O18513" s="5" t="s">
        <v>355</v>
      </c>
      <c r="P18513" s="5" t="s">
        <v>355</v>
      </c>
      <c r="Q18513" s="5" t="s">
        <v>355</v>
      </c>
    </row>
    <row r="18514" ht="16.5" customHeight="1">
      <c r="O18514" s="5" t="s">
        <v>355</v>
      </c>
      <c r="P18514" s="5" t="s">
        <v>355</v>
      </c>
      <c r="Q18514" s="5" t="s">
        <v>355</v>
      </c>
    </row>
    <row r="18515" ht="16.5" customHeight="1">
      <c r="O18515" s="5" t="s">
        <v>355</v>
      </c>
      <c r="P18515" s="5" t="s">
        <v>355</v>
      </c>
      <c r="Q18515" s="5" t="s">
        <v>355</v>
      </c>
    </row>
    <row r="18516" ht="16.5" customHeight="1">
      <c r="O18516" s="5" t="s">
        <v>355</v>
      </c>
      <c r="P18516" s="5" t="s">
        <v>355</v>
      </c>
      <c r="Q18516" s="5" t="s">
        <v>355</v>
      </c>
    </row>
    <row r="18517" ht="16.5" customHeight="1">
      <c r="O18517" s="5" t="s">
        <v>355</v>
      </c>
      <c r="P18517" s="5" t="s">
        <v>355</v>
      </c>
      <c r="Q18517" s="5" t="s">
        <v>355</v>
      </c>
    </row>
    <row r="18518" ht="16.5" customHeight="1">
      <c r="O18518" s="5" t="s">
        <v>355</v>
      </c>
      <c r="P18518" s="5" t="s">
        <v>355</v>
      </c>
      <c r="Q18518" s="5" t="s">
        <v>355</v>
      </c>
    </row>
    <row r="18519" ht="16.5" customHeight="1">
      <c r="O18519" s="5" t="s">
        <v>355</v>
      </c>
      <c r="P18519" s="5" t="s">
        <v>355</v>
      </c>
      <c r="Q18519" s="5" t="s">
        <v>355</v>
      </c>
    </row>
    <row r="18520" ht="16.5" customHeight="1">
      <c r="O18520" s="5" t="s">
        <v>355</v>
      </c>
      <c r="P18520" s="5" t="s">
        <v>355</v>
      </c>
      <c r="Q18520" s="5" t="s">
        <v>355</v>
      </c>
    </row>
    <row r="18521" ht="16.5" customHeight="1">
      <c r="O18521" s="5" t="s">
        <v>355</v>
      </c>
      <c r="P18521" s="5" t="s">
        <v>355</v>
      </c>
      <c r="Q18521" s="5" t="s">
        <v>355</v>
      </c>
    </row>
    <row r="18522" ht="16.5" customHeight="1">
      <c r="O18522" s="5" t="s">
        <v>355</v>
      </c>
      <c r="P18522" s="5" t="s">
        <v>355</v>
      </c>
      <c r="Q18522" s="5" t="s">
        <v>355</v>
      </c>
    </row>
    <row r="18523" ht="16.5" customHeight="1">
      <c r="O18523" s="5" t="s">
        <v>355</v>
      </c>
      <c r="P18523" s="5" t="s">
        <v>355</v>
      </c>
      <c r="Q18523" s="5" t="s">
        <v>355</v>
      </c>
    </row>
    <row r="18524" ht="16.5" customHeight="1">
      <c r="O18524" s="5" t="s">
        <v>355</v>
      </c>
      <c r="P18524" s="5" t="s">
        <v>355</v>
      </c>
      <c r="Q18524" s="5" t="s">
        <v>355</v>
      </c>
    </row>
    <row r="18525" ht="16.5" customHeight="1">
      <c r="O18525" s="5" t="s">
        <v>355</v>
      </c>
      <c r="P18525" s="5" t="s">
        <v>355</v>
      </c>
      <c r="Q18525" s="5" t="s">
        <v>355</v>
      </c>
    </row>
    <row r="18526" ht="16.5" customHeight="1">
      <c r="O18526" s="5" t="s">
        <v>355</v>
      </c>
      <c r="P18526" s="5" t="s">
        <v>355</v>
      </c>
      <c r="Q18526" s="5" t="s">
        <v>355</v>
      </c>
    </row>
    <row r="18527" ht="16.5" customHeight="1">
      <c r="O18527" s="5" t="s">
        <v>355</v>
      </c>
      <c r="P18527" s="5" t="s">
        <v>355</v>
      </c>
      <c r="Q18527" s="5" t="s">
        <v>355</v>
      </c>
    </row>
    <row r="18528" ht="16.5" customHeight="1">
      <c r="O18528" s="5" t="s">
        <v>355</v>
      </c>
      <c r="P18528" s="5" t="s">
        <v>355</v>
      </c>
      <c r="Q18528" s="5" t="s">
        <v>355</v>
      </c>
    </row>
    <row r="18529" ht="16.5" customHeight="1">
      <c r="O18529" s="5" t="s">
        <v>355</v>
      </c>
      <c r="P18529" s="5" t="s">
        <v>355</v>
      </c>
      <c r="Q18529" s="5" t="s">
        <v>355</v>
      </c>
    </row>
    <row r="18530" ht="16.5" customHeight="1">
      <c r="O18530" s="5" t="s">
        <v>355</v>
      </c>
      <c r="P18530" s="5" t="s">
        <v>355</v>
      </c>
      <c r="Q18530" s="5" t="s">
        <v>355</v>
      </c>
    </row>
    <row r="18531" ht="16.5" customHeight="1">
      <c r="O18531" s="5" t="s">
        <v>355</v>
      </c>
      <c r="P18531" s="5" t="s">
        <v>355</v>
      </c>
      <c r="Q18531" s="5" t="s">
        <v>355</v>
      </c>
    </row>
    <row r="18532" ht="16.5" customHeight="1">
      <c r="O18532" s="5" t="s">
        <v>355</v>
      </c>
      <c r="P18532" s="5" t="s">
        <v>355</v>
      </c>
      <c r="Q18532" s="5" t="s">
        <v>355</v>
      </c>
    </row>
    <row r="18533" ht="16.5" customHeight="1">
      <c r="O18533" s="5" t="s">
        <v>355</v>
      </c>
      <c r="P18533" s="5" t="s">
        <v>355</v>
      </c>
      <c r="Q18533" s="5" t="s">
        <v>355</v>
      </c>
    </row>
    <row r="18534" ht="16.5" customHeight="1">
      <c r="O18534" s="5" t="s">
        <v>355</v>
      </c>
      <c r="P18534" s="5" t="s">
        <v>355</v>
      </c>
      <c r="Q18534" s="5" t="s">
        <v>355</v>
      </c>
    </row>
    <row r="18535" ht="16.5" customHeight="1">
      <c r="O18535" s="5" t="s">
        <v>355</v>
      </c>
      <c r="P18535" s="5" t="s">
        <v>355</v>
      </c>
      <c r="Q18535" s="5" t="s">
        <v>355</v>
      </c>
    </row>
    <row r="18536" ht="16.5" customHeight="1">
      <c r="O18536" s="5" t="s">
        <v>355</v>
      </c>
      <c r="P18536" s="5" t="s">
        <v>355</v>
      </c>
      <c r="Q18536" s="5" t="s">
        <v>355</v>
      </c>
    </row>
    <row r="18537" ht="16.5" customHeight="1">
      <c r="O18537" s="5" t="s">
        <v>355</v>
      </c>
      <c r="P18537" s="5" t="s">
        <v>355</v>
      </c>
      <c r="Q18537" s="5" t="s">
        <v>355</v>
      </c>
    </row>
    <row r="18538" ht="16.5" customHeight="1">
      <c r="O18538" s="5" t="s">
        <v>355</v>
      </c>
      <c r="P18538" s="5" t="s">
        <v>355</v>
      </c>
      <c r="Q18538" s="5" t="s">
        <v>355</v>
      </c>
    </row>
    <row r="18539" ht="16.5" customHeight="1">
      <c r="O18539" s="5" t="s">
        <v>355</v>
      </c>
      <c r="P18539" s="5" t="s">
        <v>355</v>
      </c>
      <c r="Q18539" s="5" t="s">
        <v>355</v>
      </c>
    </row>
    <row r="18540" ht="16.5" customHeight="1">
      <c r="O18540" s="5" t="s">
        <v>355</v>
      </c>
      <c r="P18540" s="5" t="s">
        <v>355</v>
      </c>
      <c r="Q18540" s="5" t="s">
        <v>355</v>
      </c>
    </row>
    <row r="18541" ht="16.5" customHeight="1">
      <c r="O18541" s="5" t="s">
        <v>355</v>
      </c>
      <c r="P18541" s="5" t="s">
        <v>355</v>
      </c>
      <c r="Q18541" s="5" t="s">
        <v>355</v>
      </c>
    </row>
    <row r="18542" ht="16.5" customHeight="1">
      <c r="O18542" s="5" t="s">
        <v>355</v>
      </c>
      <c r="P18542" s="5" t="s">
        <v>355</v>
      </c>
      <c r="Q18542" s="5" t="s">
        <v>355</v>
      </c>
    </row>
    <row r="18543" ht="16.5" customHeight="1">
      <c r="O18543" s="5" t="s">
        <v>355</v>
      </c>
      <c r="P18543" s="5" t="s">
        <v>355</v>
      </c>
      <c r="Q18543" s="5" t="s">
        <v>355</v>
      </c>
    </row>
    <row r="18544" ht="16.5" customHeight="1">
      <c r="O18544" s="5" t="s">
        <v>355</v>
      </c>
      <c r="P18544" s="5" t="s">
        <v>355</v>
      </c>
      <c r="Q18544" s="5" t="s">
        <v>355</v>
      </c>
    </row>
    <row r="18545" ht="16.5" customHeight="1">
      <c r="O18545" s="5" t="s">
        <v>355</v>
      </c>
      <c r="P18545" s="5" t="s">
        <v>355</v>
      </c>
      <c r="Q18545" s="5" t="s">
        <v>355</v>
      </c>
    </row>
    <row r="18546" ht="16.5" customHeight="1">
      <c r="O18546" s="5" t="s">
        <v>355</v>
      </c>
      <c r="P18546" s="5" t="s">
        <v>355</v>
      </c>
      <c r="Q18546" s="5" t="s">
        <v>355</v>
      </c>
    </row>
    <row r="18547" ht="16.5" customHeight="1">
      <c r="O18547" s="5" t="s">
        <v>355</v>
      </c>
      <c r="P18547" s="5" t="s">
        <v>355</v>
      </c>
      <c r="Q18547" s="5" t="s">
        <v>355</v>
      </c>
    </row>
    <row r="18548" ht="16.5" customHeight="1">
      <c r="O18548" s="5" t="s">
        <v>355</v>
      </c>
      <c r="P18548" s="5" t="s">
        <v>355</v>
      </c>
      <c r="Q18548" s="5" t="s">
        <v>355</v>
      </c>
    </row>
    <row r="18549" ht="16.5" customHeight="1">
      <c r="O18549" s="5" t="s">
        <v>355</v>
      </c>
      <c r="P18549" s="5" t="s">
        <v>355</v>
      </c>
      <c r="Q18549" s="5" t="s">
        <v>355</v>
      </c>
    </row>
    <row r="18550" ht="16.5" customHeight="1">
      <c r="O18550" s="5" t="s">
        <v>355</v>
      </c>
      <c r="P18550" s="5" t="s">
        <v>355</v>
      </c>
      <c r="Q18550" s="5" t="s">
        <v>355</v>
      </c>
    </row>
    <row r="18551" ht="16.5" customHeight="1">
      <c r="O18551" s="5" t="s">
        <v>355</v>
      </c>
      <c r="P18551" s="5" t="s">
        <v>355</v>
      </c>
      <c r="Q18551" s="5" t="s">
        <v>355</v>
      </c>
    </row>
    <row r="18552" ht="16.5" customHeight="1">
      <c r="O18552" s="5" t="s">
        <v>355</v>
      </c>
      <c r="P18552" s="5" t="s">
        <v>355</v>
      </c>
      <c r="Q18552" s="5" t="s">
        <v>355</v>
      </c>
    </row>
    <row r="18553" ht="16.5" customHeight="1">
      <c r="O18553" s="5" t="s">
        <v>355</v>
      </c>
      <c r="P18553" s="5" t="s">
        <v>355</v>
      </c>
      <c r="Q18553" s="5" t="s">
        <v>355</v>
      </c>
    </row>
    <row r="18554" ht="16.5" customHeight="1">
      <c r="O18554" s="5" t="s">
        <v>355</v>
      </c>
      <c r="P18554" s="5" t="s">
        <v>355</v>
      </c>
      <c r="Q18554" s="5" t="s">
        <v>355</v>
      </c>
    </row>
    <row r="18555" ht="16.5" customHeight="1">
      <c r="O18555" s="5" t="s">
        <v>355</v>
      </c>
      <c r="P18555" s="5" t="s">
        <v>355</v>
      </c>
      <c r="Q18555" s="5" t="s">
        <v>355</v>
      </c>
    </row>
    <row r="18556" ht="16.5" customHeight="1">
      <c r="O18556" s="5" t="s">
        <v>355</v>
      </c>
      <c r="P18556" s="5" t="s">
        <v>355</v>
      </c>
      <c r="Q18556" s="5" t="s">
        <v>355</v>
      </c>
    </row>
    <row r="18557" ht="16.5" customHeight="1">
      <c r="O18557" s="5" t="s">
        <v>355</v>
      </c>
      <c r="P18557" s="5" t="s">
        <v>355</v>
      </c>
      <c r="Q18557" s="5" t="s">
        <v>355</v>
      </c>
    </row>
    <row r="18558" ht="16.5" customHeight="1">
      <c r="O18558" s="5" t="s">
        <v>355</v>
      </c>
      <c r="P18558" s="5" t="s">
        <v>355</v>
      </c>
      <c r="Q18558" s="5" t="s">
        <v>355</v>
      </c>
    </row>
    <row r="18559" ht="16.5" customHeight="1">
      <c r="O18559" s="5" t="s">
        <v>355</v>
      </c>
      <c r="P18559" s="5" t="s">
        <v>355</v>
      </c>
      <c r="Q18559" s="5" t="s">
        <v>355</v>
      </c>
    </row>
    <row r="18560" ht="16.5" customHeight="1">
      <c r="O18560" s="5" t="s">
        <v>355</v>
      </c>
      <c r="P18560" s="5" t="s">
        <v>355</v>
      </c>
      <c r="Q18560" s="5" t="s">
        <v>355</v>
      </c>
    </row>
    <row r="18561" ht="16.5" customHeight="1">
      <c r="O18561" s="5" t="s">
        <v>355</v>
      </c>
      <c r="P18561" s="5" t="s">
        <v>355</v>
      </c>
      <c r="Q18561" s="5" t="s">
        <v>355</v>
      </c>
    </row>
    <row r="18562" ht="16.5" customHeight="1">
      <c r="O18562" s="5" t="s">
        <v>355</v>
      </c>
      <c r="P18562" s="5" t="s">
        <v>355</v>
      </c>
      <c r="Q18562" s="5" t="s">
        <v>355</v>
      </c>
    </row>
    <row r="18563" ht="16.5" customHeight="1">
      <c r="O18563" s="5" t="s">
        <v>355</v>
      </c>
      <c r="P18563" s="5" t="s">
        <v>355</v>
      </c>
      <c r="Q18563" s="5" t="s">
        <v>355</v>
      </c>
    </row>
    <row r="18564" ht="16.5" customHeight="1">
      <c r="O18564" s="5" t="s">
        <v>355</v>
      </c>
      <c r="P18564" s="5" t="s">
        <v>355</v>
      </c>
      <c r="Q18564" s="5" t="s">
        <v>355</v>
      </c>
    </row>
    <row r="18565" ht="16.5" customHeight="1">
      <c r="O18565" s="5" t="s">
        <v>355</v>
      </c>
      <c r="P18565" s="5" t="s">
        <v>355</v>
      </c>
      <c r="Q18565" s="5" t="s">
        <v>355</v>
      </c>
    </row>
    <row r="18566" ht="16.5" customHeight="1">
      <c r="O18566" s="5" t="s">
        <v>355</v>
      </c>
      <c r="P18566" s="5" t="s">
        <v>355</v>
      </c>
      <c r="Q18566" s="5" t="s">
        <v>355</v>
      </c>
    </row>
    <row r="18567" ht="16.5" customHeight="1">
      <c r="O18567" s="5" t="s">
        <v>355</v>
      </c>
      <c r="P18567" s="5" t="s">
        <v>355</v>
      </c>
      <c r="Q18567" s="5" t="s">
        <v>355</v>
      </c>
    </row>
    <row r="18568" ht="16.5" customHeight="1">
      <c r="O18568" s="5" t="s">
        <v>355</v>
      </c>
      <c r="P18568" s="5" t="s">
        <v>355</v>
      </c>
      <c r="Q18568" s="5" t="s">
        <v>355</v>
      </c>
    </row>
    <row r="18569" ht="16.5" customHeight="1">
      <c r="O18569" s="5" t="s">
        <v>355</v>
      </c>
      <c r="P18569" s="5" t="s">
        <v>355</v>
      </c>
      <c r="Q18569" s="5" t="s">
        <v>355</v>
      </c>
    </row>
    <row r="18570" ht="16.5" customHeight="1">
      <c r="O18570" s="5" t="s">
        <v>355</v>
      </c>
      <c r="P18570" s="5" t="s">
        <v>355</v>
      </c>
      <c r="Q18570" s="5" t="s">
        <v>355</v>
      </c>
    </row>
    <row r="18571" ht="16.5" customHeight="1">
      <c r="O18571" s="5" t="s">
        <v>355</v>
      </c>
      <c r="P18571" s="5" t="s">
        <v>355</v>
      </c>
      <c r="Q18571" s="5" t="s">
        <v>355</v>
      </c>
    </row>
    <row r="18572" ht="16.5" customHeight="1">
      <c r="O18572" s="5" t="s">
        <v>355</v>
      </c>
      <c r="P18572" s="5" t="s">
        <v>355</v>
      </c>
      <c r="Q18572" s="5" t="s">
        <v>355</v>
      </c>
    </row>
    <row r="18573" ht="16.5" customHeight="1">
      <c r="O18573" s="5" t="s">
        <v>355</v>
      </c>
      <c r="P18573" s="5" t="s">
        <v>355</v>
      </c>
      <c r="Q18573" s="5" t="s">
        <v>355</v>
      </c>
    </row>
    <row r="18574" ht="16.5" customHeight="1">
      <c r="O18574" s="5" t="s">
        <v>355</v>
      </c>
      <c r="P18574" s="5" t="s">
        <v>355</v>
      </c>
      <c r="Q18574" s="5" t="s">
        <v>355</v>
      </c>
    </row>
    <row r="18575" ht="16.5" customHeight="1">
      <c r="O18575" s="5" t="s">
        <v>355</v>
      </c>
      <c r="P18575" s="5" t="s">
        <v>355</v>
      </c>
      <c r="Q18575" s="5" t="s">
        <v>355</v>
      </c>
    </row>
    <row r="18576" ht="16.5" customHeight="1">
      <c r="O18576" s="5" t="s">
        <v>355</v>
      </c>
      <c r="P18576" s="5" t="s">
        <v>355</v>
      </c>
      <c r="Q18576" s="5" t="s">
        <v>355</v>
      </c>
    </row>
    <row r="18577" ht="16.5" customHeight="1">
      <c r="O18577" s="5" t="s">
        <v>355</v>
      </c>
      <c r="P18577" s="5" t="s">
        <v>355</v>
      </c>
      <c r="Q18577" s="5" t="s">
        <v>355</v>
      </c>
    </row>
    <row r="18578" ht="16.5" customHeight="1">
      <c r="O18578" s="5" t="s">
        <v>355</v>
      </c>
      <c r="P18578" s="5" t="s">
        <v>355</v>
      </c>
      <c r="Q18578" s="5" t="s">
        <v>355</v>
      </c>
    </row>
    <row r="18579" ht="16.5" customHeight="1">
      <c r="O18579" s="5" t="s">
        <v>355</v>
      </c>
      <c r="P18579" s="5" t="s">
        <v>355</v>
      </c>
      <c r="Q18579" s="5" t="s">
        <v>355</v>
      </c>
    </row>
    <row r="18580" ht="16.5" customHeight="1">
      <c r="O18580" s="5" t="s">
        <v>355</v>
      </c>
      <c r="P18580" s="5" t="s">
        <v>355</v>
      </c>
      <c r="Q18580" s="5" t="s">
        <v>355</v>
      </c>
    </row>
    <row r="18581" ht="16.5" customHeight="1">
      <c r="O18581" s="5" t="s">
        <v>355</v>
      </c>
      <c r="P18581" s="5" t="s">
        <v>355</v>
      </c>
      <c r="Q18581" s="5" t="s">
        <v>355</v>
      </c>
    </row>
    <row r="18582" ht="16.5" customHeight="1">
      <c r="O18582" s="5" t="s">
        <v>355</v>
      </c>
      <c r="P18582" s="5" t="s">
        <v>355</v>
      </c>
      <c r="Q18582" s="5" t="s">
        <v>355</v>
      </c>
    </row>
    <row r="18583" ht="16.5" customHeight="1">
      <c r="O18583" s="5" t="s">
        <v>355</v>
      </c>
      <c r="P18583" s="5" t="s">
        <v>355</v>
      </c>
      <c r="Q18583" s="5" t="s">
        <v>355</v>
      </c>
    </row>
    <row r="18584" ht="16.5" customHeight="1">
      <c r="O18584" s="5" t="s">
        <v>355</v>
      </c>
      <c r="P18584" s="5" t="s">
        <v>355</v>
      </c>
      <c r="Q18584" s="5" t="s">
        <v>355</v>
      </c>
    </row>
    <row r="18585" ht="16.5" customHeight="1">
      <c r="O18585" s="5" t="s">
        <v>355</v>
      </c>
      <c r="P18585" s="5" t="s">
        <v>355</v>
      </c>
      <c r="Q18585" s="5" t="s">
        <v>355</v>
      </c>
    </row>
    <row r="18586" ht="16.5" customHeight="1">
      <c r="O18586" s="5" t="s">
        <v>355</v>
      </c>
      <c r="P18586" s="5" t="s">
        <v>355</v>
      </c>
      <c r="Q18586" s="5" t="s">
        <v>355</v>
      </c>
    </row>
    <row r="18587" ht="16.5" customHeight="1">
      <c r="O18587" s="5" t="s">
        <v>355</v>
      </c>
      <c r="P18587" s="5" t="s">
        <v>355</v>
      </c>
      <c r="Q18587" s="5" t="s">
        <v>355</v>
      </c>
    </row>
    <row r="18588" ht="16.5" customHeight="1">
      <c r="O18588" s="5" t="s">
        <v>355</v>
      </c>
      <c r="P18588" s="5" t="s">
        <v>355</v>
      </c>
      <c r="Q18588" s="5" t="s">
        <v>355</v>
      </c>
    </row>
    <row r="18589" ht="16.5" customHeight="1">
      <c r="O18589" s="5" t="s">
        <v>355</v>
      </c>
      <c r="P18589" s="5" t="s">
        <v>355</v>
      </c>
      <c r="Q18589" s="5" t="s">
        <v>355</v>
      </c>
    </row>
    <row r="18590" ht="16.5" customHeight="1">
      <c r="O18590" s="5" t="s">
        <v>355</v>
      </c>
      <c r="P18590" s="5" t="s">
        <v>355</v>
      </c>
      <c r="Q18590" s="5" t="s">
        <v>355</v>
      </c>
    </row>
    <row r="18591" ht="16.5" customHeight="1">
      <c r="O18591" s="5" t="s">
        <v>355</v>
      </c>
      <c r="P18591" s="5" t="s">
        <v>355</v>
      </c>
      <c r="Q18591" s="5" t="s">
        <v>355</v>
      </c>
    </row>
    <row r="18592" ht="16.5" customHeight="1">
      <c r="O18592" s="5" t="s">
        <v>355</v>
      </c>
      <c r="P18592" s="5" t="s">
        <v>355</v>
      </c>
      <c r="Q18592" s="5" t="s">
        <v>355</v>
      </c>
    </row>
    <row r="18593" ht="16.5" customHeight="1">
      <c r="O18593" s="5" t="s">
        <v>355</v>
      </c>
      <c r="P18593" s="5" t="s">
        <v>355</v>
      </c>
      <c r="Q18593" s="5" t="s">
        <v>355</v>
      </c>
    </row>
    <row r="18594" ht="16.5" customHeight="1">
      <c r="O18594" s="5" t="s">
        <v>355</v>
      </c>
      <c r="P18594" s="5" t="s">
        <v>355</v>
      </c>
      <c r="Q18594" s="5" t="s">
        <v>355</v>
      </c>
    </row>
    <row r="18595" ht="16.5" customHeight="1">
      <c r="O18595" s="5" t="s">
        <v>355</v>
      </c>
      <c r="P18595" s="5" t="s">
        <v>355</v>
      </c>
      <c r="Q18595" s="5" t="s">
        <v>355</v>
      </c>
    </row>
    <row r="18596" ht="16.5" customHeight="1">
      <c r="O18596" s="5" t="s">
        <v>355</v>
      </c>
      <c r="P18596" s="5" t="s">
        <v>355</v>
      </c>
      <c r="Q18596" s="5" t="s">
        <v>355</v>
      </c>
    </row>
    <row r="18597" ht="16.5" customHeight="1">
      <c r="O18597" s="5" t="s">
        <v>355</v>
      </c>
      <c r="P18597" s="5" t="s">
        <v>355</v>
      </c>
      <c r="Q18597" s="5" t="s">
        <v>355</v>
      </c>
    </row>
    <row r="18598" ht="16.5" customHeight="1">
      <c r="O18598" s="5" t="s">
        <v>355</v>
      </c>
      <c r="P18598" s="5" t="s">
        <v>355</v>
      </c>
      <c r="Q18598" s="5" t="s">
        <v>355</v>
      </c>
    </row>
    <row r="18599" ht="16.5" customHeight="1">
      <c r="O18599" s="5" t="s">
        <v>355</v>
      </c>
      <c r="P18599" s="5" t="s">
        <v>355</v>
      </c>
      <c r="Q18599" s="5" t="s">
        <v>355</v>
      </c>
    </row>
    <row r="18600" ht="16.5" customHeight="1">
      <c r="O18600" s="5" t="s">
        <v>355</v>
      </c>
      <c r="P18600" s="5" t="s">
        <v>355</v>
      </c>
      <c r="Q18600" s="5" t="s">
        <v>355</v>
      </c>
    </row>
    <row r="18601" ht="16.5" customHeight="1">
      <c r="O18601" s="5" t="s">
        <v>355</v>
      </c>
      <c r="P18601" s="5" t="s">
        <v>355</v>
      </c>
      <c r="Q18601" s="5" t="s">
        <v>355</v>
      </c>
    </row>
    <row r="18602" ht="16.5" customHeight="1">
      <c r="O18602" s="5" t="s">
        <v>355</v>
      </c>
      <c r="P18602" s="5" t="s">
        <v>355</v>
      </c>
      <c r="Q18602" s="5" t="s">
        <v>355</v>
      </c>
    </row>
    <row r="18603" ht="16.5" customHeight="1">
      <c r="O18603" s="5" t="s">
        <v>355</v>
      </c>
      <c r="P18603" s="5" t="s">
        <v>355</v>
      </c>
      <c r="Q18603" s="5" t="s">
        <v>355</v>
      </c>
    </row>
    <row r="18604" ht="16.5" customHeight="1">
      <c r="O18604" s="5" t="s">
        <v>355</v>
      </c>
      <c r="P18604" s="5" t="s">
        <v>355</v>
      </c>
      <c r="Q18604" s="5" t="s">
        <v>355</v>
      </c>
    </row>
    <row r="18605" ht="16.5" customHeight="1">
      <c r="O18605" s="5" t="s">
        <v>355</v>
      </c>
      <c r="P18605" s="5" t="s">
        <v>355</v>
      </c>
      <c r="Q18605" s="5" t="s">
        <v>355</v>
      </c>
    </row>
    <row r="18606" ht="16.5" customHeight="1">
      <c r="O18606" s="5" t="s">
        <v>355</v>
      </c>
      <c r="P18606" s="5" t="s">
        <v>355</v>
      </c>
      <c r="Q18606" s="5" t="s">
        <v>355</v>
      </c>
    </row>
    <row r="18607" ht="16.5" customHeight="1">
      <c r="O18607" s="5" t="s">
        <v>355</v>
      </c>
      <c r="P18607" s="5" t="s">
        <v>355</v>
      </c>
      <c r="Q18607" s="5" t="s">
        <v>355</v>
      </c>
    </row>
    <row r="18608" ht="16.5" customHeight="1">
      <c r="O18608" s="5" t="s">
        <v>355</v>
      </c>
      <c r="P18608" s="5" t="s">
        <v>355</v>
      </c>
      <c r="Q18608" s="5" t="s">
        <v>355</v>
      </c>
    </row>
    <row r="18609" ht="16.5" customHeight="1">
      <c r="O18609" s="5" t="s">
        <v>355</v>
      </c>
      <c r="P18609" s="5" t="s">
        <v>355</v>
      </c>
      <c r="Q18609" s="5" t="s">
        <v>355</v>
      </c>
    </row>
    <row r="18610" ht="16.5" customHeight="1">
      <c r="O18610" s="5" t="s">
        <v>355</v>
      </c>
      <c r="P18610" s="5" t="s">
        <v>355</v>
      </c>
      <c r="Q18610" s="5" t="s">
        <v>355</v>
      </c>
    </row>
    <row r="18611" ht="16.5" customHeight="1">
      <c r="O18611" s="5" t="s">
        <v>355</v>
      </c>
      <c r="P18611" s="5" t="s">
        <v>355</v>
      </c>
      <c r="Q18611" s="5" t="s">
        <v>355</v>
      </c>
    </row>
    <row r="18612" ht="16.5" customHeight="1">
      <c r="O18612" s="5" t="s">
        <v>355</v>
      </c>
      <c r="P18612" s="5" t="s">
        <v>355</v>
      </c>
      <c r="Q18612" s="5" t="s">
        <v>355</v>
      </c>
    </row>
    <row r="18613" ht="16.5" customHeight="1">
      <c r="O18613" s="5" t="s">
        <v>355</v>
      </c>
      <c r="P18613" s="5" t="s">
        <v>355</v>
      </c>
      <c r="Q18613" s="5" t="s">
        <v>355</v>
      </c>
    </row>
    <row r="18614" ht="16.5" customHeight="1">
      <c r="O18614" s="5" t="s">
        <v>355</v>
      </c>
      <c r="P18614" s="5" t="s">
        <v>355</v>
      </c>
      <c r="Q18614" s="5" t="s">
        <v>355</v>
      </c>
    </row>
    <row r="18615" ht="16.5" customHeight="1">
      <c r="O18615" s="5" t="s">
        <v>355</v>
      </c>
      <c r="P18615" s="5" t="s">
        <v>355</v>
      </c>
      <c r="Q18615" s="5" t="s">
        <v>355</v>
      </c>
    </row>
    <row r="18616" ht="16.5" customHeight="1">
      <c r="O18616" s="5" t="s">
        <v>355</v>
      </c>
      <c r="P18616" s="5" t="s">
        <v>355</v>
      </c>
      <c r="Q18616" s="5" t="s">
        <v>355</v>
      </c>
    </row>
    <row r="18617" ht="16.5" customHeight="1">
      <c r="O18617" s="5" t="s">
        <v>355</v>
      </c>
      <c r="P18617" s="5" t="s">
        <v>355</v>
      </c>
      <c r="Q18617" s="5" t="s">
        <v>355</v>
      </c>
    </row>
    <row r="18618" ht="16.5" customHeight="1">
      <c r="O18618" s="5" t="s">
        <v>355</v>
      </c>
      <c r="P18618" s="5" t="s">
        <v>355</v>
      </c>
      <c r="Q18618" s="5" t="s">
        <v>355</v>
      </c>
    </row>
    <row r="18619" ht="16.5" customHeight="1">
      <c r="O18619" s="5" t="s">
        <v>355</v>
      </c>
      <c r="P18619" s="5" t="s">
        <v>355</v>
      </c>
      <c r="Q18619" s="5" t="s">
        <v>355</v>
      </c>
    </row>
    <row r="18620" ht="16.5" customHeight="1">
      <c r="O18620" s="5" t="s">
        <v>355</v>
      </c>
      <c r="P18620" s="5" t="s">
        <v>355</v>
      </c>
      <c r="Q18620" s="5" t="s">
        <v>355</v>
      </c>
    </row>
    <row r="18621" ht="16.5" customHeight="1">
      <c r="O18621" s="5" t="s">
        <v>355</v>
      </c>
      <c r="P18621" s="5" t="s">
        <v>355</v>
      </c>
      <c r="Q18621" s="5" t="s">
        <v>355</v>
      </c>
    </row>
    <row r="18622" ht="16.5" customHeight="1">
      <c r="O18622" s="5" t="s">
        <v>355</v>
      </c>
      <c r="P18622" s="5" t="s">
        <v>355</v>
      </c>
      <c r="Q18622" s="5" t="s">
        <v>355</v>
      </c>
    </row>
    <row r="18623" ht="16.5" customHeight="1">
      <c r="O18623" s="5" t="s">
        <v>355</v>
      </c>
      <c r="P18623" s="5" t="s">
        <v>355</v>
      </c>
      <c r="Q18623" s="5" t="s">
        <v>355</v>
      </c>
    </row>
    <row r="18624" ht="16.5" customHeight="1">
      <c r="O18624" s="5" t="s">
        <v>355</v>
      </c>
      <c r="P18624" s="5" t="s">
        <v>355</v>
      </c>
      <c r="Q18624" s="5" t="s">
        <v>355</v>
      </c>
    </row>
    <row r="18625" ht="16.5" customHeight="1">
      <c r="O18625" s="5" t="s">
        <v>355</v>
      </c>
      <c r="P18625" s="5" t="s">
        <v>355</v>
      </c>
      <c r="Q18625" s="5" t="s">
        <v>355</v>
      </c>
    </row>
    <row r="18626" ht="16.5" customHeight="1">
      <c r="O18626" s="5" t="s">
        <v>355</v>
      </c>
      <c r="P18626" s="5" t="s">
        <v>355</v>
      </c>
      <c r="Q18626" s="5" t="s">
        <v>355</v>
      </c>
    </row>
    <row r="18627" ht="16.5" customHeight="1">
      <c r="O18627" s="5" t="s">
        <v>355</v>
      </c>
      <c r="P18627" s="5" t="s">
        <v>355</v>
      </c>
      <c r="Q18627" s="5" t="s">
        <v>355</v>
      </c>
    </row>
    <row r="18628" ht="16.5" customHeight="1">
      <c r="O18628" s="5" t="s">
        <v>355</v>
      </c>
      <c r="P18628" s="5" t="s">
        <v>355</v>
      </c>
      <c r="Q18628" s="5" t="s">
        <v>355</v>
      </c>
    </row>
    <row r="18629" ht="16.5" customHeight="1">
      <c r="O18629" s="5" t="s">
        <v>355</v>
      </c>
      <c r="P18629" s="5" t="s">
        <v>355</v>
      </c>
      <c r="Q18629" s="5" t="s">
        <v>355</v>
      </c>
    </row>
    <row r="18630" ht="16.5" customHeight="1">
      <c r="O18630" s="5" t="s">
        <v>355</v>
      </c>
      <c r="P18630" s="5" t="s">
        <v>355</v>
      </c>
      <c r="Q18630" s="5" t="s">
        <v>355</v>
      </c>
    </row>
    <row r="18631" ht="16.5" customHeight="1">
      <c r="O18631" s="5" t="s">
        <v>355</v>
      </c>
      <c r="P18631" s="5" t="s">
        <v>355</v>
      </c>
      <c r="Q18631" s="5" t="s">
        <v>355</v>
      </c>
    </row>
    <row r="18632" ht="16.5" customHeight="1">
      <c r="O18632" s="5" t="s">
        <v>355</v>
      </c>
      <c r="P18632" s="5" t="s">
        <v>355</v>
      </c>
      <c r="Q18632" s="5" t="s">
        <v>355</v>
      </c>
    </row>
    <row r="18633" ht="16.5" customHeight="1">
      <c r="O18633" s="5" t="s">
        <v>355</v>
      </c>
      <c r="P18633" s="5" t="s">
        <v>355</v>
      </c>
      <c r="Q18633" s="5" t="s">
        <v>355</v>
      </c>
    </row>
    <row r="18634" ht="16.5" customHeight="1">
      <c r="O18634" s="5" t="s">
        <v>355</v>
      </c>
      <c r="P18634" s="5" t="s">
        <v>355</v>
      </c>
      <c r="Q18634" s="5" t="s">
        <v>355</v>
      </c>
    </row>
    <row r="18635" ht="16.5" customHeight="1">
      <c r="O18635" s="5" t="s">
        <v>355</v>
      </c>
      <c r="P18635" s="5" t="s">
        <v>355</v>
      </c>
      <c r="Q18635" s="5" t="s">
        <v>355</v>
      </c>
    </row>
    <row r="18636" ht="16.5" customHeight="1">
      <c r="O18636" s="5" t="s">
        <v>355</v>
      </c>
      <c r="P18636" s="5" t="s">
        <v>355</v>
      </c>
      <c r="Q18636" s="5" t="s">
        <v>355</v>
      </c>
    </row>
    <row r="18637" ht="16.5" customHeight="1">
      <c r="O18637" s="5" t="s">
        <v>355</v>
      </c>
      <c r="P18637" s="5" t="s">
        <v>355</v>
      </c>
      <c r="Q18637" s="5" t="s">
        <v>355</v>
      </c>
    </row>
    <row r="18638" ht="16.5" customHeight="1">
      <c r="O18638" s="5" t="s">
        <v>355</v>
      </c>
      <c r="P18638" s="5" t="s">
        <v>355</v>
      </c>
      <c r="Q18638" s="5" t="s">
        <v>355</v>
      </c>
    </row>
    <row r="18639" ht="16.5" customHeight="1">
      <c r="O18639" s="5" t="s">
        <v>355</v>
      </c>
      <c r="P18639" s="5" t="s">
        <v>355</v>
      </c>
      <c r="Q18639" s="5" t="s">
        <v>355</v>
      </c>
    </row>
    <row r="18640" ht="16.5" customHeight="1">
      <c r="O18640" s="5" t="s">
        <v>355</v>
      </c>
      <c r="P18640" s="5" t="s">
        <v>355</v>
      </c>
      <c r="Q18640" s="5" t="s">
        <v>355</v>
      </c>
    </row>
    <row r="18641" ht="16.5" customHeight="1">
      <c r="O18641" s="5" t="s">
        <v>355</v>
      </c>
      <c r="P18641" s="5" t="s">
        <v>355</v>
      </c>
      <c r="Q18641" s="5" t="s">
        <v>355</v>
      </c>
    </row>
    <row r="18642" ht="16.5" customHeight="1">
      <c r="O18642" s="5" t="s">
        <v>355</v>
      </c>
      <c r="P18642" s="5" t="s">
        <v>355</v>
      </c>
      <c r="Q18642" s="5" t="s">
        <v>355</v>
      </c>
    </row>
    <row r="18643" ht="16.5" customHeight="1">
      <c r="O18643" s="5" t="s">
        <v>355</v>
      </c>
      <c r="P18643" s="5" t="s">
        <v>355</v>
      </c>
      <c r="Q18643" s="5" t="s">
        <v>355</v>
      </c>
    </row>
    <row r="18644" ht="16.5" customHeight="1">
      <c r="O18644" s="5" t="s">
        <v>355</v>
      </c>
      <c r="P18644" s="5" t="s">
        <v>355</v>
      </c>
      <c r="Q18644" s="5" t="s">
        <v>355</v>
      </c>
    </row>
    <row r="18645" ht="16.5" customHeight="1">
      <c r="O18645" s="5" t="s">
        <v>355</v>
      </c>
      <c r="P18645" s="5" t="s">
        <v>355</v>
      </c>
      <c r="Q18645" s="5" t="s">
        <v>355</v>
      </c>
    </row>
    <row r="18646" ht="16.5" customHeight="1">
      <c r="O18646" s="5" t="s">
        <v>355</v>
      </c>
      <c r="P18646" s="5" t="s">
        <v>355</v>
      </c>
      <c r="Q18646" s="5" t="s">
        <v>355</v>
      </c>
    </row>
    <row r="18647" ht="16.5" customHeight="1">
      <c r="O18647" s="5" t="s">
        <v>355</v>
      </c>
      <c r="P18647" s="5" t="s">
        <v>355</v>
      </c>
      <c r="Q18647" s="5" t="s">
        <v>355</v>
      </c>
    </row>
    <row r="18648" ht="16.5" customHeight="1">
      <c r="O18648" s="5" t="s">
        <v>355</v>
      </c>
      <c r="P18648" s="5" t="s">
        <v>355</v>
      </c>
      <c r="Q18648" s="5" t="s">
        <v>355</v>
      </c>
    </row>
    <row r="18649" ht="16.5" customHeight="1">
      <c r="O18649" s="5" t="s">
        <v>355</v>
      </c>
      <c r="P18649" s="5" t="s">
        <v>355</v>
      </c>
      <c r="Q18649" s="5" t="s">
        <v>355</v>
      </c>
    </row>
    <row r="18650" ht="16.5" customHeight="1">
      <c r="O18650" s="5" t="s">
        <v>355</v>
      </c>
      <c r="P18650" s="5" t="s">
        <v>355</v>
      </c>
      <c r="Q18650" s="5" t="s">
        <v>355</v>
      </c>
    </row>
    <row r="18651" ht="16.5" customHeight="1">
      <c r="O18651" s="5" t="s">
        <v>355</v>
      </c>
      <c r="P18651" s="5" t="s">
        <v>355</v>
      </c>
      <c r="Q18651" s="5" t="s">
        <v>355</v>
      </c>
    </row>
    <row r="18652" ht="16.5" customHeight="1">
      <c r="O18652" s="5" t="s">
        <v>355</v>
      </c>
      <c r="P18652" s="5" t="s">
        <v>355</v>
      </c>
      <c r="Q18652" s="5" t="s">
        <v>355</v>
      </c>
    </row>
    <row r="18653" ht="16.5" customHeight="1">
      <c r="O18653" s="5" t="s">
        <v>355</v>
      </c>
      <c r="P18653" s="5" t="s">
        <v>355</v>
      </c>
      <c r="Q18653" s="5" t="s">
        <v>355</v>
      </c>
    </row>
    <row r="18654" ht="16.5" customHeight="1">
      <c r="O18654" s="5" t="s">
        <v>355</v>
      </c>
      <c r="P18654" s="5" t="s">
        <v>355</v>
      </c>
      <c r="Q18654" s="5" t="s">
        <v>355</v>
      </c>
    </row>
    <row r="18655" ht="16.5" customHeight="1">
      <c r="O18655" s="5" t="s">
        <v>355</v>
      </c>
      <c r="P18655" s="5" t="s">
        <v>355</v>
      </c>
      <c r="Q18655" s="5" t="s">
        <v>355</v>
      </c>
    </row>
    <row r="18656" ht="16.5" customHeight="1">
      <c r="O18656" s="5" t="s">
        <v>355</v>
      </c>
      <c r="P18656" s="5" t="s">
        <v>355</v>
      </c>
      <c r="Q18656" s="5" t="s">
        <v>355</v>
      </c>
    </row>
    <row r="18657" ht="16.5" customHeight="1">
      <c r="O18657" s="5" t="s">
        <v>355</v>
      </c>
      <c r="P18657" s="5" t="s">
        <v>355</v>
      </c>
      <c r="Q18657" s="5" t="s">
        <v>355</v>
      </c>
    </row>
    <row r="18658" ht="16.5" customHeight="1">
      <c r="O18658" s="5" t="s">
        <v>355</v>
      </c>
      <c r="P18658" s="5" t="s">
        <v>355</v>
      </c>
      <c r="Q18658" s="5" t="s">
        <v>355</v>
      </c>
    </row>
    <row r="18659" ht="16.5" customHeight="1">
      <c r="O18659" s="5" t="s">
        <v>355</v>
      </c>
      <c r="P18659" s="5" t="s">
        <v>355</v>
      </c>
      <c r="Q18659" s="5" t="s">
        <v>355</v>
      </c>
    </row>
    <row r="18660" ht="16.5" customHeight="1">
      <c r="O18660" s="5" t="s">
        <v>355</v>
      </c>
      <c r="P18660" s="5" t="s">
        <v>355</v>
      </c>
      <c r="Q18660" s="5" t="s">
        <v>355</v>
      </c>
    </row>
    <row r="18661" ht="16.5" customHeight="1">
      <c r="O18661" s="5" t="s">
        <v>355</v>
      </c>
      <c r="P18661" s="5" t="s">
        <v>355</v>
      </c>
      <c r="Q18661" s="5" t="s">
        <v>355</v>
      </c>
    </row>
    <row r="18662" ht="16.5" customHeight="1">
      <c r="O18662" s="5" t="s">
        <v>355</v>
      </c>
      <c r="P18662" s="5" t="s">
        <v>355</v>
      </c>
      <c r="Q18662" s="5" t="s">
        <v>355</v>
      </c>
    </row>
    <row r="18663" ht="16.5" customHeight="1">
      <c r="O18663" s="5" t="s">
        <v>355</v>
      </c>
      <c r="P18663" s="5" t="s">
        <v>355</v>
      </c>
      <c r="Q18663" s="5" t="s">
        <v>355</v>
      </c>
    </row>
    <row r="18664" ht="16.5" customHeight="1">
      <c r="O18664" s="5" t="s">
        <v>355</v>
      </c>
      <c r="P18664" s="5" t="s">
        <v>355</v>
      </c>
      <c r="Q18664" s="5" t="s">
        <v>355</v>
      </c>
    </row>
    <row r="18665" ht="16.5" customHeight="1">
      <c r="O18665" s="5" t="s">
        <v>355</v>
      </c>
      <c r="P18665" s="5" t="s">
        <v>355</v>
      </c>
      <c r="Q18665" s="5" t="s">
        <v>355</v>
      </c>
    </row>
    <row r="18666" ht="16.5" customHeight="1">
      <c r="O18666" s="5" t="s">
        <v>355</v>
      </c>
      <c r="P18666" s="5" t="s">
        <v>355</v>
      </c>
      <c r="Q18666" s="5" t="s">
        <v>355</v>
      </c>
    </row>
    <row r="18667" ht="16.5" customHeight="1">
      <c r="O18667" s="5" t="s">
        <v>355</v>
      </c>
      <c r="P18667" s="5" t="s">
        <v>355</v>
      </c>
      <c r="Q18667" s="5" t="s">
        <v>355</v>
      </c>
    </row>
    <row r="18668" ht="16.5" customHeight="1">
      <c r="O18668" s="5" t="s">
        <v>355</v>
      </c>
      <c r="P18668" s="5" t="s">
        <v>355</v>
      </c>
      <c r="Q18668" s="5" t="s">
        <v>355</v>
      </c>
    </row>
    <row r="18669" ht="16.5" customHeight="1">
      <c r="O18669" s="5" t="s">
        <v>355</v>
      </c>
      <c r="P18669" s="5" t="s">
        <v>355</v>
      </c>
      <c r="Q18669" s="5" t="s">
        <v>355</v>
      </c>
    </row>
    <row r="18670" ht="16.5" customHeight="1">
      <c r="O18670" s="5" t="s">
        <v>355</v>
      </c>
      <c r="P18670" s="5" t="s">
        <v>355</v>
      </c>
      <c r="Q18670" s="5" t="s">
        <v>355</v>
      </c>
    </row>
    <row r="18671" ht="16.5" customHeight="1">
      <c r="O18671" s="5" t="s">
        <v>355</v>
      </c>
      <c r="P18671" s="5" t="s">
        <v>355</v>
      </c>
      <c r="Q18671" s="5" t="s">
        <v>355</v>
      </c>
    </row>
    <row r="18672" ht="16.5" customHeight="1">
      <c r="O18672" s="5" t="s">
        <v>355</v>
      </c>
      <c r="P18672" s="5" t="s">
        <v>355</v>
      </c>
      <c r="Q18672" s="5" t="s">
        <v>355</v>
      </c>
    </row>
    <row r="18673" ht="16.5" customHeight="1">
      <c r="O18673" s="5" t="s">
        <v>355</v>
      </c>
      <c r="P18673" s="5" t="s">
        <v>355</v>
      </c>
      <c r="Q18673" s="5" t="s">
        <v>355</v>
      </c>
    </row>
    <row r="18674" ht="16.5" customHeight="1">
      <c r="O18674" s="5" t="s">
        <v>355</v>
      </c>
      <c r="P18674" s="5" t="s">
        <v>355</v>
      </c>
      <c r="Q18674" s="5" t="s">
        <v>355</v>
      </c>
    </row>
    <row r="18675" ht="16.5" customHeight="1">
      <c r="O18675" s="5" t="s">
        <v>355</v>
      </c>
      <c r="P18675" s="5" t="s">
        <v>355</v>
      </c>
      <c r="Q18675" s="5" t="s">
        <v>355</v>
      </c>
    </row>
    <row r="18676" ht="16.5" customHeight="1">
      <c r="O18676" s="5" t="s">
        <v>355</v>
      </c>
      <c r="P18676" s="5" t="s">
        <v>355</v>
      </c>
      <c r="Q18676" s="5" t="s">
        <v>355</v>
      </c>
    </row>
    <row r="18677" ht="16.5" customHeight="1">
      <c r="O18677" s="5" t="s">
        <v>355</v>
      </c>
      <c r="P18677" s="5" t="s">
        <v>355</v>
      </c>
      <c r="Q18677" s="5" t="s">
        <v>355</v>
      </c>
    </row>
    <row r="18678" ht="16.5" customHeight="1">
      <c r="O18678" s="5" t="s">
        <v>355</v>
      </c>
      <c r="P18678" s="5" t="s">
        <v>355</v>
      </c>
      <c r="Q18678" s="5" t="s">
        <v>355</v>
      </c>
    </row>
    <row r="18679" ht="16.5" customHeight="1">
      <c r="O18679" s="5" t="s">
        <v>355</v>
      </c>
      <c r="P18679" s="5" t="s">
        <v>355</v>
      </c>
      <c r="Q18679" s="5" t="s">
        <v>355</v>
      </c>
    </row>
    <row r="18680" ht="16.5" customHeight="1">
      <c r="O18680" s="5" t="s">
        <v>355</v>
      </c>
      <c r="P18680" s="5" t="s">
        <v>355</v>
      </c>
      <c r="Q18680" s="5" t="s">
        <v>355</v>
      </c>
    </row>
    <row r="18681" ht="16.5" customHeight="1">
      <c r="O18681" s="5" t="s">
        <v>355</v>
      </c>
      <c r="P18681" s="5" t="s">
        <v>355</v>
      </c>
      <c r="Q18681" s="5" t="s">
        <v>355</v>
      </c>
    </row>
    <row r="18682" ht="16.5" customHeight="1">
      <c r="O18682" s="5" t="s">
        <v>355</v>
      </c>
      <c r="P18682" s="5" t="s">
        <v>355</v>
      </c>
      <c r="Q18682" s="5" t="s">
        <v>355</v>
      </c>
    </row>
    <row r="18683" ht="16.5" customHeight="1">
      <c r="O18683" s="5" t="s">
        <v>355</v>
      </c>
      <c r="P18683" s="5" t="s">
        <v>355</v>
      </c>
      <c r="Q18683" s="5" t="s">
        <v>355</v>
      </c>
    </row>
    <row r="18684" ht="16.5" customHeight="1">
      <c r="O18684" s="5" t="s">
        <v>355</v>
      </c>
      <c r="P18684" s="5" t="s">
        <v>355</v>
      </c>
      <c r="Q18684" s="5" t="s">
        <v>355</v>
      </c>
    </row>
    <row r="18685" ht="16.5" customHeight="1">
      <c r="O18685" s="5" t="s">
        <v>355</v>
      </c>
      <c r="P18685" s="5" t="s">
        <v>355</v>
      </c>
      <c r="Q18685" s="5" t="s">
        <v>355</v>
      </c>
    </row>
    <row r="18686" ht="16.5" customHeight="1">
      <c r="O18686" s="5" t="s">
        <v>355</v>
      </c>
      <c r="P18686" s="5" t="s">
        <v>355</v>
      </c>
      <c r="Q18686" s="5" t="s">
        <v>355</v>
      </c>
    </row>
    <row r="18687" ht="16.5" customHeight="1">
      <c r="O18687" s="5" t="s">
        <v>355</v>
      </c>
      <c r="P18687" s="5" t="s">
        <v>355</v>
      </c>
      <c r="Q18687" s="5" t="s">
        <v>355</v>
      </c>
    </row>
    <row r="18688" ht="16.5" customHeight="1">
      <c r="O18688" s="5" t="s">
        <v>355</v>
      </c>
      <c r="P18688" s="5" t="s">
        <v>355</v>
      </c>
      <c r="Q18688" s="5" t="s">
        <v>355</v>
      </c>
    </row>
    <row r="18689" ht="16.5" customHeight="1">
      <c r="O18689" s="5" t="s">
        <v>355</v>
      </c>
      <c r="P18689" s="5" t="s">
        <v>355</v>
      </c>
      <c r="Q18689" s="5" t="s">
        <v>355</v>
      </c>
    </row>
    <row r="18690" ht="16.5" customHeight="1">
      <c r="O18690" s="5" t="s">
        <v>355</v>
      </c>
      <c r="P18690" s="5" t="s">
        <v>355</v>
      </c>
      <c r="Q18690" s="5" t="s">
        <v>355</v>
      </c>
    </row>
    <row r="18691" ht="16.5" customHeight="1">
      <c r="O18691" s="5" t="s">
        <v>355</v>
      </c>
      <c r="P18691" s="5" t="s">
        <v>355</v>
      </c>
      <c r="Q18691" s="5" t="s">
        <v>355</v>
      </c>
    </row>
    <row r="18692" ht="16.5" customHeight="1">
      <c r="O18692" s="5" t="s">
        <v>355</v>
      </c>
      <c r="P18692" s="5" t="s">
        <v>355</v>
      </c>
      <c r="Q18692" s="5" t="s">
        <v>355</v>
      </c>
    </row>
    <row r="18693" ht="16.5" customHeight="1">
      <c r="O18693" s="5" t="s">
        <v>355</v>
      </c>
      <c r="P18693" s="5" t="s">
        <v>355</v>
      </c>
      <c r="Q18693" s="5" t="s">
        <v>355</v>
      </c>
    </row>
    <row r="18694" ht="16.5" customHeight="1">
      <c r="O18694" s="5" t="s">
        <v>355</v>
      </c>
      <c r="P18694" s="5" t="s">
        <v>355</v>
      </c>
      <c r="Q18694" s="5" t="s">
        <v>355</v>
      </c>
    </row>
    <row r="18695" ht="16.5" customHeight="1">
      <c r="O18695" s="5" t="s">
        <v>355</v>
      </c>
      <c r="P18695" s="5" t="s">
        <v>355</v>
      </c>
      <c r="Q18695" s="5" t="s">
        <v>355</v>
      </c>
    </row>
    <row r="18696" ht="16.5" customHeight="1">
      <c r="O18696" s="5" t="s">
        <v>355</v>
      </c>
      <c r="P18696" s="5" t="s">
        <v>355</v>
      </c>
      <c r="Q18696" s="5" t="s">
        <v>355</v>
      </c>
    </row>
    <row r="18697" ht="16.5" customHeight="1">
      <c r="O18697" s="5" t="s">
        <v>355</v>
      </c>
      <c r="P18697" s="5" t="s">
        <v>355</v>
      </c>
      <c r="Q18697" s="5" t="s">
        <v>355</v>
      </c>
    </row>
    <row r="18698" ht="16.5" customHeight="1">
      <c r="O18698" s="5" t="s">
        <v>355</v>
      </c>
      <c r="P18698" s="5" t="s">
        <v>355</v>
      </c>
      <c r="Q18698" s="5" t="s">
        <v>355</v>
      </c>
    </row>
    <row r="18699" ht="16.5" customHeight="1">
      <c r="O18699" s="5" t="s">
        <v>355</v>
      </c>
      <c r="P18699" s="5" t="s">
        <v>355</v>
      </c>
      <c r="Q18699" s="5" t="s">
        <v>355</v>
      </c>
    </row>
    <row r="18700" ht="16.5" customHeight="1">
      <c r="O18700" s="5" t="s">
        <v>355</v>
      </c>
      <c r="P18700" s="5" t="s">
        <v>355</v>
      </c>
      <c r="Q18700" s="5" t="s">
        <v>355</v>
      </c>
    </row>
    <row r="18701" ht="16.5" customHeight="1">
      <c r="O18701" s="5" t="s">
        <v>355</v>
      </c>
      <c r="P18701" s="5" t="s">
        <v>355</v>
      </c>
      <c r="Q18701" s="5" t="s">
        <v>355</v>
      </c>
    </row>
    <row r="18702" ht="16.5" customHeight="1">
      <c r="O18702" s="5" t="s">
        <v>355</v>
      </c>
      <c r="P18702" s="5" t="s">
        <v>355</v>
      </c>
      <c r="Q18702" s="5" t="s">
        <v>355</v>
      </c>
    </row>
    <row r="18703" ht="16.5" customHeight="1">
      <c r="O18703" s="5" t="s">
        <v>355</v>
      </c>
      <c r="P18703" s="5" t="s">
        <v>355</v>
      </c>
      <c r="Q18703" s="5" t="s">
        <v>355</v>
      </c>
    </row>
    <row r="18704" ht="16.5" customHeight="1">
      <c r="O18704" s="5" t="s">
        <v>355</v>
      </c>
      <c r="P18704" s="5" t="s">
        <v>355</v>
      </c>
      <c r="Q18704" s="5" t="s">
        <v>355</v>
      </c>
    </row>
    <row r="18705" ht="16.5" customHeight="1">
      <c r="O18705" s="5" t="s">
        <v>355</v>
      </c>
      <c r="P18705" s="5" t="s">
        <v>355</v>
      </c>
      <c r="Q18705" s="5" t="s">
        <v>355</v>
      </c>
    </row>
    <row r="18706" ht="16.5" customHeight="1">
      <c r="O18706" s="5" t="s">
        <v>355</v>
      </c>
      <c r="P18706" s="5" t="s">
        <v>355</v>
      </c>
      <c r="Q18706" s="5" t="s">
        <v>355</v>
      </c>
    </row>
    <row r="18707" ht="16.5" customHeight="1">
      <c r="O18707" s="5" t="s">
        <v>355</v>
      </c>
      <c r="P18707" s="5" t="s">
        <v>355</v>
      </c>
      <c r="Q18707" s="5" t="s">
        <v>355</v>
      </c>
    </row>
    <row r="18708" ht="16.5" customHeight="1">
      <c r="O18708" s="5" t="s">
        <v>355</v>
      </c>
      <c r="P18708" s="5" t="s">
        <v>355</v>
      </c>
      <c r="Q18708" s="5" t="s">
        <v>355</v>
      </c>
    </row>
    <row r="18709" ht="16.5" customHeight="1">
      <c r="O18709" s="5" t="s">
        <v>355</v>
      </c>
      <c r="P18709" s="5" t="s">
        <v>355</v>
      </c>
      <c r="Q18709" s="5" t="s">
        <v>355</v>
      </c>
    </row>
    <row r="18710" ht="16.5" customHeight="1">
      <c r="O18710" s="5" t="s">
        <v>355</v>
      </c>
      <c r="P18710" s="5" t="s">
        <v>355</v>
      </c>
      <c r="Q18710" s="5" t="s">
        <v>355</v>
      </c>
    </row>
    <row r="18711" ht="16.5" customHeight="1">
      <c r="O18711" s="5" t="s">
        <v>355</v>
      </c>
      <c r="P18711" s="5" t="s">
        <v>355</v>
      </c>
      <c r="Q18711" s="5" t="s">
        <v>355</v>
      </c>
    </row>
    <row r="18712" ht="16.5" customHeight="1">
      <c r="O18712" s="5" t="s">
        <v>355</v>
      </c>
      <c r="P18712" s="5" t="s">
        <v>355</v>
      </c>
      <c r="Q18712" s="5" t="s">
        <v>355</v>
      </c>
    </row>
    <row r="18713" ht="16.5" customHeight="1">
      <c r="O18713" s="5" t="s">
        <v>355</v>
      </c>
      <c r="P18713" s="5" t="s">
        <v>355</v>
      </c>
      <c r="Q18713" s="5" t="s">
        <v>355</v>
      </c>
    </row>
    <row r="18714" ht="16.5" customHeight="1">
      <c r="O18714" s="5" t="s">
        <v>355</v>
      </c>
      <c r="P18714" s="5" t="s">
        <v>355</v>
      </c>
      <c r="Q18714" s="5" t="s">
        <v>355</v>
      </c>
    </row>
    <row r="18715" ht="16.5" customHeight="1">
      <c r="O18715" s="5" t="s">
        <v>355</v>
      </c>
      <c r="P18715" s="5" t="s">
        <v>355</v>
      </c>
      <c r="Q18715" s="5" t="s">
        <v>355</v>
      </c>
    </row>
    <row r="18716" ht="16.5" customHeight="1">
      <c r="O18716" s="5" t="s">
        <v>355</v>
      </c>
      <c r="P18716" s="5" t="s">
        <v>355</v>
      </c>
      <c r="Q18716" s="5" t="s">
        <v>355</v>
      </c>
    </row>
    <row r="18717" ht="16.5" customHeight="1">
      <c r="O18717" s="5" t="s">
        <v>355</v>
      </c>
      <c r="P18717" s="5" t="s">
        <v>355</v>
      </c>
      <c r="Q18717" s="5" t="s">
        <v>355</v>
      </c>
    </row>
    <row r="18718" ht="16.5" customHeight="1">
      <c r="O18718" s="5" t="s">
        <v>355</v>
      </c>
      <c r="P18718" s="5" t="s">
        <v>355</v>
      </c>
      <c r="Q18718" s="5" t="s">
        <v>355</v>
      </c>
    </row>
    <row r="18719" ht="16.5" customHeight="1">
      <c r="O18719" s="5" t="s">
        <v>355</v>
      </c>
      <c r="P18719" s="5" t="s">
        <v>355</v>
      </c>
      <c r="Q18719" s="5" t="s">
        <v>355</v>
      </c>
    </row>
    <row r="18720" ht="16.5" customHeight="1">
      <c r="O18720" s="5" t="s">
        <v>355</v>
      </c>
      <c r="P18720" s="5" t="s">
        <v>355</v>
      </c>
      <c r="Q18720" s="5" t="s">
        <v>355</v>
      </c>
    </row>
    <row r="18721" ht="16.5" customHeight="1">
      <c r="O18721" s="5" t="s">
        <v>355</v>
      </c>
      <c r="P18721" s="5" t="s">
        <v>355</v>
      </c>
      <c r="Q18721" s="5" t="s">
        <v>355</v>
      </c>
    </row>
    <row r="18722" ht="16.5" customHeight="1">
      <c r="O18722" s="5" t="s">
        <v>355</v>
      </c>
      <c r="P18722" s="5" t="s">
        <v>355</v>
      </c>
      <c r="Q18722" s="5" t="s">
        <v>355</v>
      </c>
    </row>
    <row r="18723" ht="16.5" customHeight="1">
      <c r="O18723" s="5" t="s">
        <v>355</v>
      </c>
      <c r="P18723" s="5" t="s">
        <v>355</v>
      </c>
      <c r="Q18723" s="5" t="s">
        <v>355</v>
      </c>
    </row>
    <row r="18724" ht="16.5" customHeight="1">
      <c r="O18724" s="5" t="s">
        <v>355</v>
      </c>
      <c r="P18724" s="5" t="s">
        <v>355</v>
      </c>
      <c r="Q18724" s="5" t="s">
        <v>355</v>
      </c>
    </row>
    <row r="18725" ht="16.5" customHeight="1">
      <c r="O18725" s="5" t="s">
        <v>355</v>
      </c>
      <c r="P18725" s="5" t="s">
        <v>355</v>
      </c>
      <c r="Q18725" s="5" t="s">
        <v>355</v>
      </c>
    </row>
    <row r="18726" ht="16.5" customHeight="1">
      <c r="O18726" s="5" t="s">
        <v>355</v>
      </c>
      <c r="P18726" s="5" t="s">
        <v>355</v>
      </c>
      <c r="Q18726" s="5" t="s">
        <v>355</v>
      </c>
    </row>
    <row r="18727" ht="16.5" customHeight="1">
      <c r="O18727" s="5" t="s">
        <v>355</v>
      </c>
      <c r="P18727" s="5" t="s">
        <v>355</v>
      </c>
      <c r="Q18727" s="5" t="s">
        <v>355</v>
      </c>
    </row>
    <row r="18728" ht="16.5" customHeight="1">
      <c r="O18728" s="5" t="s">
        <v>355</v>
      </c>
      <c r="P18728" s="5" t="s">
        <v>355</v>
      </c>
      <c r="Q18728" s="5" t="s">
        <v>355</v>
      </c>
    </row>
    <row r="18729" ht="16.5" customHeight="1">
      <c r="O18729" s="5" t="s">
        <v>355</v>
      </c>
      <c r="P18729" s="5" t="s">
        <v>355</v>
      </c>
      <c r="Q18729" s="5" t="s">
        <v>355</v>
      </c>
    </row>
    <row r="18730" ht="16.5" customHeight="1">
      <c r="O18730" s="5" t="s">
        <v>355</v>
      </c>
      <c r="P18730" s="5" t="s">
        <v>355</v>
      </c>
      <c r="Q18730" s="5" t="s">
        <v>355</v>
      </c>
    </row>
    <row r="18731" ht="16.5" customHeight="1">
      <c r="O18731" s="5" t="s">
        <v>355</v>
      </c>
      <c r="P18731" s="5" t="s">
        <v>355</v>
      </c>
      <c r="Q18731" s="5" t="s">
        <v>355</v>
      </c>
    </row>
    <row r="18732" ht="16.5" customHeight="1">
      <c r="O18732" s="5" t="s">
        <v>355</v>
      </c>
      <c r="P18732" s="5" t="s">
        <v>355</v>
      </c>
      <c r="Q18732" s="5" t="s">
        <v>355</v>
      </c>
    </row>
    <row r="18733" ht="16.5" customHeight="1">
      <c r="O18733" s="5" t="s">
        <v>355</v>
      </c>
      <c r="P18733" s="5" t="s">
        <v>355</v>
      </c>
      <c r="Q18733" s="5" t="s">
        <v>355</v>
      </c>
    </row>
    <row r="18734" ht="16.5" customHeight="1">
      <c r="O18734" s="5" t="s">
        <v>355</v>
      </c>
      <c r="P18734" s="5" t="s">
        <v>355</v>
      </c>
      <c r="Q18734" s="5" t="s">
        <v>355</v>
      </c>
    </row>
    <row r="18735" ht="16.5" customHeight="1">
      <c r="O18735" s="5" t="s">
        <v>355</v>
      </c>
      <c r="P18735" s="5" t="s">
        <v>355</v>
      </c>
      <c r="Q18735" s="5" t="s">
        <v>355</v>
      </c>
    </row>
    <row r="18736" ht="16.5" customHeight="1">
      <c r="O18736" s="5" t="s">
        <v>355</v>
      </c>
      <c r="P18736" s="5" t="s">
        <v>355</v>
      </c>
      <c r="Q18736" s="5" t="s">
        <v>355</v>
      </c>
    </row>
    <row r="18737" ht="16.5" customHeight="1">
      <c r="O18737" s="5" t="s">
        <v>355</v>
      </c>
      <c r="P18737" s="5" t="s">
        <v>355</v>
      </c>
      <c r="Q18737" s="5" t="s">
        <v>355</v>
      </c>
    </row>
    <row r="18738" ht="16.5" customHeight="1">
      <c r="O18738" s="5" t="s">
        <v>355</v>
      </c>
      <c r="P18738" s="5" t="s">
        <v>355</v>
      </c>
      <c r="Q18738" s="5" t="s">
        <v>355</v>
      </c>
    </row>
    <row r="18739" ht="16.5" customHeight="1">
      <c r="O18739" s="5" t="s">
        <v>355</v>
      </c>
      <c r="P18739" s="5" t="s">
        <v>355</v>
      </c>
      <c r="Q18739" s="5" t="s">
        <v>355</v>
      </c>
    </row>
    <row r="18740" ht="16.5" customHeight="1">
      <c r="O18740" s="5" t="s">
        <v>355</v>
      </c>
      <c r="P18740" s="5" t="s">
        <v>355</v>
      </c>
      <c r="Q18740" s="5" t="s">
        <v>355</v>
      </c>
    </row>
    <row r="18741" ht="16.5" customHeight="1">
      <c r="O18741" s="5" t="s">
        <v>355</v>
      </c>
      <c r="P18741" s="5" t="s">
        <v>355</v>
      </c>
      <c r="Q18741" s="5" t="s">
        <v>355</v>
      </c>
    </row>
    <row r="18742" ht="16.5" customHeight="1">
      <c r="O18742" s="5" t="s">
        <v>355</v>
      </c>
      <c r="P18742" s="5" t="s">
        <v>355</v>
      </c>
      <c r="Q18742" s="5" t="s">
        <v>355</v>
      </c>
    </row>
    <row r="18743" ht="16.5" customHeight="1">
      <c r="O18743" s="5" t="s">
        <v>355</v>
      </c>
      <c r="P18743" s="5" t="s">
        <v>355</v>
      </c>
      <c r="Q18743" s="5" t="s">
        <v>355</v>
      </c>
    </row>
    <row r="18744" ht="16.5" customHeight="1">
      <c r="O18744" s="5" t="s">
        <v>355</v>
      </c>
      <c r="P18744" s="5" t="s">
        <v>355</v>
      </c>
      <c r="Q18744" s="5" t="s">
        <v>355</v>
      </c>
    </row>
    <row r="18745" ht="16.5" customHeight="1">
      <c r="O18745" s="5" t="s">
        <v>355</v>
      </c>
      <c r="P18745" s="5" t="s">
        <v>355</v>
      </c>
      <c r="Q18745" s="5" t="s">
        <v>355</v>
      </c>
    </row>
    <row r="18746" ht="16.5" customHeight="1">
      <c r="O18746" s="5" t="s">
        <v>355</v>
      </c>
      <c r="P18746" s="5" t="s">
        <v>355</v>
      </c>
      <c r="Q18746" s="5" t="s">
        <v>355</v>
      </c>
    </row>
    <row r="18747" ht="16.5" customHeight="1">
      <c r="O18747" s="5" t="s">
        <v>355</v>
      </c>
      <c r="P18747" s="5" t="s">
        <v>355</v>
      </c>
      <c r="Q18747" s="5" t="s">
        <v>355</v>
      </c>
    </row>
    <row r="18748" ht="16.5" customHeight="1">
      <c r="O18748" s="5" t="s">
        <v>355</v>
      </c>
      <c r="P18748" s="5" t="s">
        <v>355</v>
      </c>
      <c r="Q18748" s="5" t="s">
        <v>355</v>
      </c>
    </row>
    <row r="18749" ht="16.5" customHeight="1">
      <c r="O18749" s="5" t="s">
        <v>355</v>
      </c>
      <c r="P18749" s="5" t="s">
        <v>355</v>
      </c>
      <c r="Q18749" s="5" t="s">
        <v>355</v>
      </c>
    </row>
    <row r="18750" ht="16.5" customHeight="1">
      <c r="O18750" s="5" t="s">
        <v>355</v>
      </c>
      <c r="P18750" s="5" t="s">
        <v>355</v>
      </c>
      <c r="Q18750" s="5" t="s">
        <v>355</v>
      </c>
    </row>
    <row r="18751" ht="16.5" customHeight="1">
      <c r="O18751" s="5" t="s">
        <v>355</v>
      </c>
      <c r="P18751" s="5" t="s">
        <v>355</v>
      </c>
      <c r="Q18751" s="5" t="s">
        <v>355</v>
      </c>
    </row>
    <row r="18752" ht="16.5" customHeight="1">
      <c r="O18752" s="5" t="s">
        <v>355</v>
      </c>
      <c r="P18752" s="5" t="s">
        <v>355</v>
      </c>
      <c r="Q18752" s="5" t="s">
        <v>355</v>
      </c>
    </row>
    <row r="18753" ht="16.5" customHeight="1">
      <c r="O18753" s="5" t="s">
        <v>355</v>
      </c>
      <c r="P18753" s="5" t="s">
        <v>355</v>
      </c>
      <c r="Q18753" s="5" t="s">
        <v>355</v>
      </c>
    </row>
    <row r="18754" ht="16.5" customHeight="1">
      <c r="O18754" s="5" t="s">
        <v>355</v>
      </c>
      <c r="P18754" s="5" t="s">
        <v>355</v>
      </c>
      <c r="Q18754" s="5" t="s">
        <v>355</v>
      </c>
    </row>
    <row r="18755" ht="16.5" customHeight="1">
      <c r="O18755" s="5" t="s">
        <v>355</v>
      </c>
      <c r="P18755" s="5" t="s">
        <v>355</v>
      </c>
      <c r="Q18755" s="5" t="s">
        <v>355</v>
      </c>
    </row>
    <row r="18756" ht="16.5" customHeight="1">
      <c r="O18756" s="5" t="s">
        <v>355</v>
      </c>
      <c r="P18756" s="5" t="s">
        <v>355</v>
      </c>
      <c r="Q18756" s="5" t="s">
        <v>355</v>
      </c>
    </row>
    <row r="18757" ht="16.5" customHeight="1">
      <c r="O18757" s="5" t="s">
        <v>355</v>
      </c>
      <c r="P18757" s="5" t="s">
        <v>355</v>
      </c>
      <c r="Q18757" s="5" t="s">
        <v>355</v>
      </c>
    </row>
    <row r="18758" ht="16.5" customHeight="1">
      <c r="O18758" s="5" t="s">
        <v>355</v>
      </c>
      <c r="P18758" s="5" t="s">
        <v>355</v>
      </c>
      <c r="Q18758" s="5" t="s">
        <v>355</v>
      </c>
    </row>
    <row r="18759" ht="16.5" customHeight="1">
      <c r="O18759" s="5" t="s">
        <v>355</v>
      </c>
      <c r="P18759" s="5" t="s">
        <v>355</v>
      </c>
      <c r="Q18759" s="5" t="s">
        <v>355</v>
      </c>
    </row>
    <row r="18760" ht="16.5" customHeight="1">
      <c r="O18760" s="5" t="s">
        <v>355</v>
      </c>
      <c r="P18760" s="5" t="s">
        <v>355</v>
      </c>
      <c r="Q18760" s="5" t="s">
        <v>355</v>
      </c>
    </row>
    <row r="18761" ht="16.5" customHeight="1">
      <c r="O18761" s="5" t="s">
        <v>355</v>
      </c>
      <c r="P18761" s="5" t="s">
        <v>355</v>
      </c>
      <c r="Q18761" s="5" t="s">
        <v>355</v>
      </c>
    </row>
    <row r="18762" ht="16.5" customHeight="1">
      <c r="O18762" s="5" t="s">
        <v>355</v>
      </c>
      <c r="P18762" s="5" t="s">
        <v>355</v>
      </c>
      <c r="Q18762" s="5" t="s">
        <v>355</v>
      </c>
    </row>
    <row r="18763" ht="16.5" customHeight="1">
      <c r="O18763" s="5" t="s">
        <v>355</v>
      </c>
      <c r="P18763" s="5" t="s">
        <v>355</v>
      </c>
      <c r="Q18763" s="5" t="s">
        <v>355</v>
      </c>
    </row>
    <row r="18764" ht="16.5" customHeight="1">
      <c r="O18764" s="5" t="s">
        <v>355</v>
      </c>
      <c r="P18764" s="5" t="s">
        <v>355</v>
      </c>
      <c r="Q18764" s="5" t="s">
        <v>355</v>
      </c>
    </row>
    <row r="18765" ht="16.5" customHeight="1">
      <c r="O18765" s="5" t="s">
        <v>355</v>
      </c>
      <c r="P18765" s="5" t="s">
        <v>355</v>
      </c>
      <c r="Q18765" s="5" t="s">
        <v>355</v>
      </c>
    </row>
    <row r="18766" ht="16.5" customHeight="1">
      <c r="O18766" s="5" t="s">
        <v>355</v>
      </c>
      <c r="P18766" s="5" t="s">
        <v>355</v>
      </c>
      <c r="Q18766" s="5" t="s">
        <v>355</v>
      </c>
    </row>
    <row r="18767" ht="16.5" customHeight="1">
      <c r="O18767" s="5" t="s">
        <v>355</v>
      </c>
      <c r="P18767" s="5" t="s">
        <v>355</v>
      </c>
      <c r="Q18767" s="5" t="s">
        <v>355</v>
      </c>
    </row>
    <row r="18768" ht="16.5" customHeight="1">
      <c r="O18768" s="5" t="s">
        <v>355</v>
      </c>
      <c r="P18768" s="5" t="s">
        <v>355</v>
      </c>
      <c r="Q18768" s="5" t="s">
        <v>355</v>
      </c>
    </row>
    <row r="18769" ht="16.5" customHeight="1">
      <c r="O18769" s="5" t="s">
        <v>355</v>
      </c>
      <c r="P18769" s="5" t="s">
        <v>355</v>
      </c>
      <c r="Q18769" s="5" t="s">
        <v>355</v>
      </c>
    </row>
    <row r="18770" ht="16.5" customHeight="1">
      <c r="O18770" s="5" t="s">
        <v>355</v>
      </c>
      <c r="P18770" s="5" t="s">
        <v>355</v>
      </c>
      <c r="Q18770" s="5" t="s">
        <v>355</v>
      </c>
    </row>
    <row r="18771" ht="16.5" customHeight="1">
      <c r="O18771" s="5" t="s">
        <v>355</v>
      </c>
      <c r="P18771" s="5" t="s">
        <v>355</v>
      </c>
      <c r="Q18771" s="5" t="s">
        <v>355</v>
      </c>
    </row>
    <row r="18772" ht="16.5" customHeight="1">
      <c r="O18772" s="5" t="s">
        <v>355</v>
      </c>
      <c r="P18772" s="5" t="s">
        <v>355</v>
      </c>
      <c r="Q18772" s="5" t="s">
        <v>355</v>
      </c>
    </row>
    <row r="18773" ht="16.5" customHeight="1">
      <c r="O18773" s="5" t="s">
        <v>355</v>
      </c>
      <c r="P18773" s="5" t="s">
        <v>355</v>
      </c>
      <c r="Q18773" s="5" t="s">
        <v>355</v>
      </c>
    </row>
    <row r="18774" ht="16.5" customHeight="1">
      <c r="O18774" s="5" t="s">
        <v>355</v>
      </c>
      <c r="P18774" s="5" t="s">
        <v>355</v>
      </c>
      <c r="Q18774" s="5" t="s">
        <v>355</v>
      </c>
    </row>
    <row r="18775" ht="16.5" customHeight="1">
      <c r="O18775" s="5" t="s">
        <v>355</v>
      </c>
      <c r="P18775" s="5" t="s">
        <v>355</v>
      </c>
      <c r="Q18775" s="5" t="s">
        <v>355</v>
      </c>
    </row>
    <row r="18776" ht="16.5" customHeight="1">
      <c r="O18776" s="5" t="s">
        <v>355</v>
      </c>
      <c r="P18776" s="5" t="s">
        <v>355</v>
      </c>
      <c r="Q18776" s="5" t="s">
        <v>355</v>
      </c>
    </row>
    <row r="18777" ht="16.5" customHeight="1">
      <c r="O18777" s="5" t="s">
        <v>355</v>
      </c>
      <c r="P18777" s="5" t="s">
        <v>355</v>
      </c>
      <c r="Q18777" s="5" t="s">
        <v>355</v>
      </c>
    </row>
    <row r="18778" ht="16.5" customHeight="1">
      <c r="O18778" s="5" t="s">
        <v>355</v>
      </c>
      <c r="P18778" s="5" t="s">
        <v>355</v>
      </c>
      <c r="Q18778" s="5" t="s">
        <v>355</v>
      </c>
    </row>
    <row r="18779" ht="16.5" customHeight="1">
      <c r="O18779" s="5" t="s">
        <v>355</v>
      </c>
      <c r="P18779" s="5" t="s">
        <v>355</v>
      </c>
      <c r="Q18779" s="5" t="s">
        <v>355</v>
      </c>
    </row>
    <row r="18780" ht="16.5" customHeight="1">
      <c r="O18780" s="5" t="s">
        <v>355</v>
      </c>
      <c r="P18780" s="5" t="s">
        <v>355</v>
      </c>
      <c r="Q18780" s="5" t="s">
        <v>355</v>
      </c>
    </row>
    <row r="18781" ht="16.5" customHeight="1">
      <c r="O18781" s="5" t="s">
        <v>355</v>
      </c>
      <c r="P18781" s="5" t="s">
        <v>355</v>
      </c>
      <c r="Q18781" s="5" t="s">
        <v>355</v>
      </c>
    </row>
    <row r="18782" ht="16.5" customHeight="1">
      <c r="O18782" s="5" t="s">
        <v>355</v>
      </c>
      <c r="P18782" s="5" t="s">
        <v>355</v>
      </c>
      <c r="Q18782" s="5" t="s">
        <v>355</v>
      </c>
    </row>
    <row r="18783" ht="16.5" customHeight="1">
      <c r="O18783" s="5" t="s">
        <v>355</v>
      </c>
      <c r="P18783" s="5" t="s">
        <v>355</v>
      </c>
      <c r="Q18783" s="5" t="s">
        <v>355</v>
      </c>
    </row>
    <row r="18784" ht="16.5" customHeight="1">
      <c r="O18784" s="5" t="s">
        <v>355</v>
      </c>
      <c r="P18784" s="5" t="s">
        <v>355</v>
      </c>
      <c r="Q18784" s="5" t="s">
        <v>355</v>
      </c>
    </row>
    <row r="18785" ht="16.5" customHeight="1">
      <c r="O18785" s="5" t="s">
        <v>355</v>
      </c>
      <c r="P18785" s="5" t="s">
        <v>355</v>
      </c>
      <c r="Q18785" s="5" t="s">
        <v>355</v>
      </c>
    </row>
    <row r="18786" ht="16.5" customHeight="1">
      <c r="O18786" s="5" t="s">
        <v>355</v>
      </c>
      <c r="P18786" s="5" t="s">
        <v>355</v>
      </c>
      <c r="Q18786" s="5" t="s">
        <v>355</v>
      </c>
    </row>
    <row r="18787" ht="16.5" customHeight="1">
      <c r="O18787" s="5" t="s">
        <v>355</v>
      </c>
      <c r="P18787" s="5" t="s">
        <v>355</v>
      </c>
      <c r="Q18787" s="5" t="s">
        <v>355</v>
      </c>
    </row>
    <row r="18788" ht="16.5" customHeight="1">
      <c r="O18788" s="5" t="s">
        <v>355</v>
      </c>
      <c r="P18788" s="5" t="s">
        <v>355</v>
      </c>
      <c r="Q18788" s="5" t="s">
        <v>355</v>
      </c>
    </row>
    <row r="18789" ht="16.5" customHeight="1">
      <c r="O18789" s="5" t="s">
        <v>355</v>
      </c>
      <c r="P18789" s="5" t="s">
        <v>355</v>
      </c>
      <c r="Q18789" s="5" t="s">
        <v>355</v>
      </c>
    </row>
    <row r="18790" ht="16.5" customHeight="1">
      <c r="O18790" s="5" t="s">
        <v>355</v>
      </c>
      <c r="P18790" s="5" t="s">
        <v>355</v>
      </c>
      <c r="Q18790" s="5" t="s">
        <v>355</v>
      </c>
    </row>
    <row r="18791" ht="16.5" customHeight="1">
      <c r="O18791" s="5" t="s">
        <v>355</v>
      </c>
      <c r="P18791" s="5" t="s">
        <v>355</v>
      </c>
      <c r="Q18791" s="5" t="s">
        <v>355</v>
      </c>
    </row>
    <row r="18792" ht="16.5" customHeight="1">
      <c r="O18792" s="5" t="s">
        <v>355</v>
      </c>
      <c r="P18792" s="5" t="s">
        <v>355</v>
      </c>
      <c r="Q18792" s="5" t="s">
        <v>355</v>
      </c>
    </row>
    <row r="18793" ht="16.5" customHeight="1">
      <c r="O18793" s="5" t="s">
        <v>355</v>
      </c>
      <c r="P18793" s="5" t="s">
        <v>355</v>
      </c>
      <c r="Q18793" s="5" t="s">
        <v>355</v>
      </c>
    </row>
    <row r="18794" ht="16.5" customHeight="1">
      <c r="O18794" s="5" t="s">
        <v>355</v>
      </c>
      <c r="P18794" s="5" t="s">
        <v>355</v>
      </c>
      <c r="Q18794" s="5" t="s">
        <v>355</v>
      </c>
    </row>
    <row r="18795" ht="16.5" customHeight="1">
      <c r="O18795" s="5" t="s">
        <v>355</v>
      </c>
      <c r="P18795" s="5" t="s">
        <v>355</v>
      </c>
      <c r="Q18795" s="5" t="s">
        <v>355</v>
      </c>
    </row>
    <row r="18796" ht="16.5" customHeight="1">
      <c r="O18796" s="5" t="s">
        <v>355</v>
      </c>
      <c r="P18796" s="5" t="s">
        <v>355</v>
      </c>
      <c r="Q18796" s="5" t="s">
        <v>355</v>
      </c>
    </row>
    <row r="18797" ht="16.5" customHeight="1">
      <c r="O18797" s="5" t="s">
        <v>355</v>
      </c>
      <c r="P18797" s="5" t="s">
        <v>355</v>
      </c>
      <c r="Q18797" s="5" t="s">
        <v>355</v>
      </c>
    </row>
    <row r="18798" ht="16.5" customHeight="1">
      <c r="O18798" s="5" t="s">
        <v>355</v>
      </c>
      <c r="P18798" s="5" t="s">
        <v>355</v>
      </c>
      <c r="Q18798" s="5" t="s">
        <v>355</v>
      </c>
    </row>
    <row r="18799" ht="16.5" customHeight="1">
      <c r="O18799" s="5" t="s">
        <v>355</v>
      </c>
      <c r="P18799" s="5" t="s">
        <v>355</v>
      </c>
      <c r="Q18799" s="5" t="s">
        <v>355</v>
      </c>
    </row>
    <row r="18800" ht="16.5" customHeight="1">
      <c r="O18800" s="5" t="s">
        <v>355</v>
      </c>
      <c r="P18800" s="5" t="s">
        <v>355</v>
      </c>
      <c r="Q18800" s="5" t="s">
        <v>355</v>
      </c>
    </row>
    <row r="18801" ht="16.5" customHeight="1">
      <c r="O18801" s="5" t="s">
        <v>355</v>
      </c>
      <c r="P18801" s="5" t="s">
        <v>355</v>
      </c>
      <c r="Q18801" s="5" t="s">
        <v>355</v>
      </c>
    </row>
    <row r="18802" ht="16.5" customHeight="1">
      <c r="O18802" s="5" t="s">
        <v>355</v>
      </c>
      <c r="P18802" s="5" t="s">
        <v>355</v>
      </c>
      <c r="Q18802" s="5" t="s">
        <v>355</v>
      </c>
    </row>
    <row r="18803" ht="16.5" customHeight="1">
      <c r="O18803" s="5" t="s">
        <v>355</v>
      </c>
      <c r="P18803" s="5" t="s">
        <v>355</v>
      </c>
      <c r="Q18803" s="5" t="s">
        <v>355</v>
      </c>
    </row>
    <row r="18804" ht="16.5" customHeight="1">
      <c r="O18804" s="5" t="s">
        <v>355</v>
      </c>
      <c r="P18804" s="5" t="s">
        <v>355</v>
      </c>
      <c r="Q18804" s="5" t="s">
        <v>355</v>
      </c>
    </row>
    <row r="18805" ht="16.5" customHeight="1">
      <c r="O18805" s="5" t="s">
        <v>355</v>
      </c>
      <c r="P18805" s="5" t="s">
        <v>355</v>
      </c>
      <c r="Q18805" s="5" t="s">
        <v>355</v>
      </c>
    </row>
    <row r="18806" ht="16.5" customHeight="1">
      <c r="O18806" s="5" t="s">
        <v>355</v>
      </c>
      <c r="P18806" s="5" t="s">
        <v>355</v>
      </c>
      <c r="Q18806" s="5" t="s">
        <v>355</v>
      </c>
    </row>
    <row r="18807" ht="16.5" customHeight="1">
      <c r="O18807" s="5" t="s">
        <v>355</v>
      </c>
      <c r="P18807" s="5" t="s">
        <v>355</v>
      </c>
      <c r="Q18807" s="5" t="s">
        <v>355</v>
      </c>
    </row>
    <row r="18808" ht="16.5" customHeight="1">
      <c r="O18808" s="5" t="s">
        <v>355</v>
      </c>
      <c r="P18808" s="5" t="s">
        <v>355</v>
      </c>
      <c r="Q18808" s="5" t="s">
        <v>355</v>
      </c>
    </row>
    <row r="18809" ht="16.5" customHeight="1">
      <c r="O18809" s="5" t="s">
        <v>355</v>
      </c>
      <c r="P18809" s="5" t="s">
        <v>355</v>
      </c>
      <c r="Q18809" s="5" t="s">
        <v>355</v>
      </c>
    </row>
    <row r="18810" ht="16.5" customHeight="1">
      <c r="O18810" s="5" t="s">
        <v>355</v>
      </c>
      <c r="P18810" s="5" t="s">
        <v>355</v>
      </c>
      <c r="Q18810" s="5" t="s">
        <v>355</v>
      </c>
    </row>
    <row r="18811" ht="16.5" customHeight="1">
      <c r="O18811" s="5" t="s">
        <v>355</v>
      </c>
      <c r="P18811" s="5" t="s">
        <v>355</v>
      </c>
      <c r="Q18811" s="5" t="s">
        <v>355</v>
      </c>
    </row>
    <row r="18812" ht="16.5" customHeight="1">
      <c r="O18812" s="5" t="s">
        <v>355</v>
      </c>
      <c r="P18812" s="5" t="s">
        <v>355</v>
      </c>
      <c r="Q18812" s="5" t="s">
        <v>355</v>
      </c>
    </row>
    <row r="18813" ht="16.5" customHeight="1">
      <c r="O18813" s="5" t="s">
        <v>355</v>
      </c>
      <c r="P18813" s="5" t="s">
        <v>355</v>
      </c>
      <c r="Q18813" s="5" t="s">
        <v>355</v>
      </c>
    </row>
    <row r="18814" ht="16.5" customHeight="1">
      <c r="O18814" s="5" t="s">
        <v>355</v>
      </c>
      <c r="P18814" s="5" t="s">
        <v>355</v>
      </c>
      <c r="Q18814" s="5" t="s">
        <v>355</v>
      </c>
    </row>
    <row r="18815" ht="16.5" customHeight="1">
      <c r="O18815" s="5" t="s">
        <v>355</v>
      </c>
      <c r="P18815" s="5" t="s">
        <v>355</v>
      </c>
      <c r="Q18815" s="5" t="s">
        <v>355</v>
      </c>
    </row>
    <row r="18816" ht="16.5" customHeight="1">
      <c r="O18816" s="5" t="s">
        <v>355</v>
      </c>
      <c r="P18816" s="5" t="s">
        <v>355</v>
      </c>
      <c r="Q18816" s="5" t="s">
        <v>355</v>
      </c>
    </row>
    <row r="18817" ht="16.5" customHeight="1">
      <c r="O18817" s="5" t="s">
        <v>355</v>
      </c>
      <c r="P18817" s="5" t="s">
        <v>355</v>
      </c>
      <c r="Q18817" s="5" t="s">
        <v>355</v>
      </c>
    </row>
    <row r="18818" ht="16.5" customHeight="1">
      <c r="O18818" s="5" t="s">
        <v>355</v>
      </c>
      <c r="P18818" s="5" t="s">
        <v>355</v>
      </c>
      <c r="Q18818" s="5" t="s">
        <v>355</v>
      </c>
    </row>
    <row r="18819" ht="16.5" customHeight="1">
      <c r="O18819" s="5" t="s">
        <v>355</v>
      </c>
      <c r="P18819" s="5" t="s">
        <v>355</v>
      </c>
      <c r="Q18819" s="5" t="s">
        <v>355</v>
      </c>
    </row>
    <row r="18820" ht="16.5" customHeight="1">
      <c r="O18820" s="5" t="s">
        <v>355</v>
      </c>
      <c r="P18820" s="5" t="s">
        <v>355</v>
      </c>
      <c r="Q18820" s="5" t="s">
        <v>355</v>
      </c>
    </row>
    <row r="18821" ht="16.5" customHeight="1">
      <c r="O18821" s="5" t="s">
        <v>355</v>
      </c>
      <c r="P18821" s="5" t="s">
        <v>355</v>
      </c>
      <c r="Q18821" s="5" t="s">
        <v>355</v>
      </c>
    </row>
    <row r="18822" ht="16.5" customHeight="1">
      <c r="O18822" s="5" t="s">
        <v>355</v>
      </c>
      <c r="P18822" s="5" t="s">
        <v>355</v>
      </c>
      <c r="Q18822" s="5" t="s">
        <v>355</v>
      </c>
    </row>
    <row r="18823" ht="16.5" customHeight="1">
      <c r="O18823" s="5" t="s">
        <v>355</v>
      </c>
      <c r="P18823" s="5" t="s">
        <v>355</v>
      </c>
      <c r="Q18823" s="5" t="s">
        <v>355</v>
      </c>
    </row>
    <row r="18824" ht="16.5" customHeight="1">
      <c r="O18824" s="5" t="s">
        <v>355</v>
      </c>
      <c r="P18824" s="5" t="s">
        <v>355</v>
      </c>
      <c r="Q18824" s="5" t="s">
        <v>355</v>
      </c>
    </row>
    <row r="18825" ht="16.5" customHeight="1">
      <c r="O18825" s="5" t="s">
        <v>355</v>
      </c>
      <c r="P18825" s="5" t="s">
        <v>355</v>
      </c>
      <c r="Q18825" s="5" t="s">
        <v>355</v>
      </c>
    </row>
    <row r="18826" ht="16.5" customHeight="1">
      <c r="O18826" s="5" t="s">
        <v>355</v>
      </c>
      <c r="P18826" s="5" t="s">
        <v>355</v>
      </c>
      <c r="Q18826" s="5" t="s">
        <v>355</v>
      </c>
    </row>
    <row r="18827" ht="16.5" customHeight="1">
      <c r="O18827" s="5" t="s">
        <v>355</v>
      </c>
      <c r="P18827" s="5" t="s">
        <v>355</v>
      </c>
      <c r="Q18827" s="5" t="s">
        <v>355</v>
      </c>
    </row>
    <row r="18828" ht="16.5" customHeight="1">
      <c r="O18828" s="5" t="s">
        <v>355</v>
      </c>
      <c r="P18828" s="5" t="s">
        <v>355</v>
      </c>
      <c r="Q18828" s="5" t="s">
        <v>355</v>
      </c>
    </row>
    <row r="18829" ht="16.5" customHeight="1">
      <c r="O18829" s="5" t="s">
        <v>355</v>
      </c>
      <c r="P18829" s="5" t="s">
        <v>355</v>
      </c>
      <c r="Q18829" s="5" t="s">
        <v>355</v>
      </c>
    </row>
    <row r="18830" ht="16.5" customHeight="1">
      <c r="O18830" s="5" t="s">
        <v>355</v>
      </c>
      <c r="P18830" s="5" t="s">
        <v>355</v>
      </c>
      <c r="Q18830" s="5" t="s">
        <v>355</v>
      </c>
    </row>
    <row r="18831" ht="16.5" customHeight="1">
      <c r="O18831" s="5" t="s">
        <v>355</v>
      </c>
      <c r="P18831" s="5" t="s">
        <v>355</v>
      </c>
      <c r="Q18831" s="5" t="s">
        <v>355</v>
      </c>
    </row>
    <row r="18832" ht="16.5" customHeight="1">
      <c r="O18832" s="5" t="s">
        <v>355</v>
      </c>
      <c r="P18832" s="5" t="s">
        <v>355</v>
      </c>
      <c r="Q18832" s="5" t="s">
        <v>355</v>
      </c>
    </row>
    <row r="18833" ht="16.5" customHeight="1">
      <c r="O18833" s="5" t="s">
        <v>355</v>
      </c>
      <c r="P18833" s="5" t="s">
        <v>355</v>
      </c>
      <c r="Q18833" s="5" t="s">
        <v>355</v>
      </c>
    </row>
    <row r="18834" ht="16.5" customHeight="1">
      <c r="O18834" s="5" t="s">
        <v>355</v>
      </c>
      <c r="P18834" s="5" t="s">
        <v>355</v>
      </c>
      <c r="Q18834" s="5" t="s">
        <v>355</v>
      </c>
    </row>
    <row r="18835" ht="16.5" customHeight="1">
      <c r="O18835" s="5" t="s">
        <v>355</v>
      </c>
      <c r="P18835" s="5" t="s">
        <v>355</v>
      </c>
      <c r="Q18835" s="5" t="s">
        <v>355</v>
      </c>
    </row>
    <row r="18836" ht="16.5" customHeight="1">
      <c r="O18836" s="5" t="s">
        <v>355</v>
      </c>
      <c r="P18836" s="5" t="s">
        <v>355</v>
      </c>
      <c r="Q18836" s="5" t="s">
        <v>355</v>
      </c>
    </row>
    <row r="18837" ht="16.5" customHeight="1">
      <c r="O18837" s="5" t="s">
        <v>355</v>
      </c>
      <c r="P18837" s="5" t="s">
        <v>355</v>
      </c>
      <c r="Q18837" s="5" t="s">
        <v>355</v>
      </c>
    </row>
    <row r="18838" ht="16.5" customHeight="1">
      <c r="O18838" s="5" t="s">
        <v>355</v>
      </c>
      <c r="P18838" s="5" t="s">
        <v>355</v>
      </c>
      <c r="Q18838" s="5" t="s">
        <v>355</v>
      </c>
    </row>
    <row r="18839" ht="16.5" customHeight="1">
      <c r="O18839" s="5" t="s">
        <v>355</v>
      </c>
      <c r="P18839" s="5" t="s">
        <v>355</v>
      </c>
      <c r="Q18839" s="5" t="s">
        <v>355</v>
      </c>
    </row>
    <row r="18840" ht="16.5" customHeight="1">
      <c r="O18840" s="5" t="s">
        <v>355</v>
      </c>
      <c r="P18840" s="5" t="s">
        <v>355</v>
      </c>
      <c r="Q18840" s="5" t="s">
        <v>355</v>
      </c>
    </row>
    <row r="18841" ht="16.5" customHeight="1">
      <c r="O18841" s="5" t="s">
        <v>355</v>
      </c>
      <c r="P18841" s="5" t="s">
        <v>355</v>
      </c>
      <c r="Q18841" s="5" t="s">
        <v>355</v>
      </c>
    </row>
    <row r="18842" ht="16.5" customHeight="1">
      <c r="O18842" s="5" t="s">
        <v>355</v>
      </c>
      <c r="P18842" s="5" t="s">
        <v>355</v>
      </c>
      <c r="Q18842" s="5" t="s">
        <v>355</v>
      </c>
    </row>
    <row r="18843" ht="16.5" customHeight="1">
      <c r="O18843" s="5" t="s">
        <v>355</v>
      </c>
      <c r="P18843" s="5" t="s">
        <v>355</v>
      </c>
      <c r="Q18843" s="5" t="s">
        <v>355</v>
      </c>
    </row>
    <row r="18844" ht="16.5" customHeight="1">
      <c r="O18844" s="5" t="s">
        <v>355</v>
      </c>
      <c r="P18844" s="5" t="s">
        <v>355</v>
      </c>
      <c r="Q18844" s="5" t="s">
        <v>355</v>
      </c>
    </row>
    <row r="18845" ht="16.5" customHeight="1">
      <c r="O18845" s="5" t="s">
        <v>355</v>
      </c>
      <c r="P18845" s="5" t="s">
        <v>355</v>
      </c>
      <c r="Q18845" s="5" t="s">
        <v>355</v>
      </c>
    </row>
    <row r="18846" ht="16.5" customHeight="1">
      <c r="O18846" s="5" t="s">
        <v>355</v>
      </c>
      <c r="P18846" s="5" t="s">
        <v>355</v>
      </c>
      <c r="Q18846" s="5" t="s">
        <v>355</v>
      </c>
    </row>
    <row r="18847" ht="16.5" customHeight="1">
      <c r="O18847" s="5" t="s">
        <v>355</v>
      </c>
      <c r="P18847" s="5" t="s">
        <v>355</v>
      </c>
      <c r="Q18847" s="5" t="s">
        <v>355</v>
      </c>
    </row>
    <row r="18848" ht="16.5" customHeight="1">
      <c r="O18848" s="5" t="s">
        <v>355</v>
      </c>
      <c r="P18848" s="5" t="s">
        <v>355</v>
      </c>
      <c r="Q18848" s="5" t="s">
        <v>355</v>
      </c>
    </row>
    <row r="18849" ht="16.5" customHeight="1">
      <c r="O18849" s="5" t="s">
        <v>355</v>
      </c>
      <c r="P18849" s="5" t="s">
        <v>355</v>
      </c>
      <c r="Q18849" s="5" t="s">
        <v>355</v>
      </c>
    </row>
    <row r="18850" ht="16.5" customHeight="1">
      <c r="O18850" s="5" t="s">
        <v>355</v>
      </c>
      <c r="P18850" s="5" t="s">
        <v>355</v>
      </c>
      <c r="Q18850" s="5" t="s">
        <v>355</v>
      </c>
    </row>
    <row r="18851" ht="16.5" customHeight="1">
      <c r="O18851" s="5" t="s">
        <v>355</v>
      </c>
      <c r="P18851" s="5" t="s">
        <v>355</v>
      </c>
      <c r="Q18851" s="5" t="s">
        <v>355</v>
      </c>
    </row>
    <row r="18852" ht="16.5" customHeight="1">
      <c r="O18852" s="5" t="s">
        <v>355</v>
      </c>
      <c r="P18852" s="5" t="s">
        <v>355</v>
      </c>
      <c r="Q18852" s="5" t="s">
        <v>355</v>
      </c>
    </row>
    <row r="18853" ht="16.5" customHeight="1">
      <c r="O18853" s="5" t="s">
        <v>355</v>
      </c>
      <c r="P18853" s="5" t="s">
        <v>355</v>
      </c>
      <c r="Q18853" s="5" t="s">
        <v>355</v>
      </c>
    </row>
    <row r="18854" ht="16.5" customHeight="1">
      <c r="O18854" s="5" t="s">
        <v>355</v>
      </c>
      <c r="P18854" s="5" t="s">
        <v>355</v>
      </c>
      <c r="Q18854" s="5" t="s">
        <v>355</v>
      </c>
    </row>
    <row r="18855" ht="16.5" customHeight="1">
      <c r="O18855" s="5" t="s">
        <v>355</v>
      </c>
      <c r="P18855" s="5" t="s">
        <v>355</v>
      </c>
      <c r="Q18855" s="5" t="s">
        <v>355</v>
      </c>
    </row>
    <row r="18856" ht="16.5" customHeight="1">
      <c r="O18856" s="5" t="s">
        <v>355</v>
      </c>
      <c r="P18856" s="5" t="s">
        <v>355</v>
      </c>
      <c r="Q18856" s="5" t="s">
        <v>355</v>
      </c>
    </row>
    <row r="18857" ht="16.5" customHeight="1">
      <c r="O18857" s="5" t="s">
        <v>355</v>
      </c>
      <c r="P18857" s="5" t="s">
        <v>355</v>
      </c>
      <c r="Q18857" s="5" t="s">
        <v>355</v>
      </c>
    </row>
    <row r="18858" ht="16.5" customHeight="1">
      <c r="O18858" s="5" t="s">
        <v>355</v>
      </c>
      <c r="P18858" s="5" t="s">
        <v>355</v>
      </c>
      <c r="Q18858" s="5" t="s">
        <v>355</v>
      </c>
    </row>
    <row r="18859" ht="16.5" customHeight="1">
      <c r="O18859" s="5" t="s">
        <v>355</v>
      </c>
      <c r="P18859" s="5" t="s">
        <v>355</v>
      </c>
      <c r="Q18859" s="5" t="s">
        <v>355</v>
      </c>
    </row>
    <row r="18860" ht="16.5" customHeight="1">
      <c r="O18860" s="5" t="s">
        <v>355</v>
      </c>
      <c r="P18860" s="5" t="s">
        <v>355</v>
      </c>
      <c r="Q18860" s="5" t="s">
        <v>355</v>
      </c>
    </row>
    <row r="18861" ht="16.5" customHeight="1">
      <c r="O18861" s="5" t="s">
        <v>355</v>
      </c>
      <c r="P18861" s="5" t="s">
        <v>355</v>
      </c>
      <c r="Q18861" s="5" t="s">
        <v>355</v>
      </c>
    </row>
    <row r="18862" ht="16.5" customHeight="1">
      <c r="O18862" s="5" t="s">
        <v>355</v>
      </c>
      <c r="P18862" s="5" t="s">
        <v>355</v>
      </c>
      <c r="Q18862" s="5" t="s">
        <v>355</v>
      </c>
    </row>
    <row r="18863" ht="16.5" customHeight="1">
      <c r="O18863" s="5" t="s">
        <v>355</v>
      </c>
      <c r="P18863" s="5" t="s">
        <v>355</v>
      </c>
      <c r="Q18863" s="5" t="s">
        <v>355</v>
      </c>
    </row>
    <row r="18864" ht="16.5" customHeight="1">
      <c r="O18864" s="5" t="s">
        <v>355</v>
      </c>
      <c r="P18864" s="5" t="s">
        <v>355</v>
      </c>
      <c r="Q18864" s="5" t="s">
        <v>355</v>
      </c>
    </row>
    <row r="18865" ht="16.5" customHeight="1">
      <c r="O18865" s="5" t="s">
        <v>355</v>
      </c>
      <c r="P18865" s="5" t="s">
        <v>355</v>
      </c>
      <c r="Q18865" s="5" t="s">
        <v>355</v>
      </c>
    </row>
    <row r="18866" ht="16.5" customHeight="1">
      <c r="O18866" s="5" t="s">
        <v>355</v>
      </c>
      <c r="P18866" s="5" t="s">
        <v>355</v>
      </c>
      <c r="Q18866" s="5" t="s">
        <v>355</v>
      </c>
    </row>
    <row r="18867" ht="16.5" customHeight="1">
      <c r="O18867" s="5" t="s">
        <v>355</v>
      </c>
      <c r="P18867" s="5" t="s">
        <v>355</v>
      </c>
      <c r="Q18867" s="5" t="s">
        <v>355</v>
      </c>
    </row>
    <row r="18868" ht="16.5" customHeight="1">
      <c r="O18868" s="5" t="s">
        <v>355</v>
      </c>
      <c r="P18868" s="5" t="s">
        <v>355</v>
      </c>
      <c r="Q18868" s="5" t="s">
        <v>355</v>
      </c>
    </row>
    <row r="18869" ht="16.5" customHeight="1">
      <c r="O18869" s="5" t="s">
        <v>355</v>
      </c>
      <c r="P18869" s="5" t="s">
        <v>355</v>
      </c>
      <c r="Q18869" s="5" t="s">
        <v>355</v>
      </c>
    </row>
    <row r="18870" ht="16.5" customHeight="1">
      <c r="O18870" s="5" t="s">
        <v>355</v>
      </c>
      <c r="P18870" s="5" t="s">
        <v>355</v>
      </c>
      <c r="Q18870" s="5" t="s">
        <v>355</v>
      </c>
    </row>
    <row r="18871" ht="16.5" customHeight="1">
      <c r="O18871" s="5" t="s">
        <v>355</v>
      </c>
      <c r="P18871" s="5" t="s">
        <v>355</v>
      </c>
      <c r="Q18871" s="5" t="s">
        <v>355</v>
      </c>
    </row>
    <row r="18872" ht="16.5" customHeight="1">
      <c r="O18872" s="5" t="s">
        <v>355</v>
      </c>
      <c r="P18872" s="5" t="s">
        <v>355</v>
      </c>
      <c r="Q18872" s="5" t="s">
        <v>355</v>
      </c>
    </row>
    <row r="18873" ht="16.5" customHeight="1">
      <c r="O18873" s="5" t="s">
        <v>355</v>
      </c>
      <c r="P18873" s="5" t="s">
        <v>355</v>
      </c>
      <c r="Q18873" s="5" t="s">
        <v>355</v>
      </c>
    </row>
    <row r="18874" ht="16.5" customHeight="1">
      <c r="O18874" s="5" t="s">
        <v>355</v>
      </c>
      <c r="P18874" s="5" t="s">
        <v>355</v>
      </c>
      <c r="Q18874" s="5" t="s">
        <v>355</v>
      </c>
    </row>
    <row r="18875" ht="16.5" customHeight="1">
      <c r="O18875" s="5" t="s">
        <v>355</v>
      </c>
      <c r="P18875" s="5" t="s">
        <v>355</v>
      </c>
      <c r="Q18875" s="5" t="s">
        <v>355</v>
      </c>
    </row>
    <row r="18876" ht="16.5" customHeight="1">
      <c r="O18876" s="5" t="s">
        <v>355</v>
      </c>
      <c r="P18876" s="5" t="s">
        <v>355</v>
      </c>
      <c r="Q18876" s="5" t="s">
        <v>355</v>
      </c>
    </row>
    <row r="18877" ht="16.5" customHeight="1">
      <c r="O18877" s="5" t="s">
        <v>355</v>
      </c>
      <c r="P18877" s="5" t="s">
        <v>355</v>
      </c>
      <c r="Q18877" s="5" t="s">
        <v>355</v>
      </c>
    </row>
    <row r="18878" ht="16.5" customHeight="1">
      <c r="O18878" s="5" t="s">
        <v>355</v>
      </c>
      <c r="P18878" s="5" t="s">
        <v>355</v>
      </c>
      <c r="Q18878" s="5" t="s">
        <v>355</v>
      </c>
    </row>
    <row r="18879" ht="16.5" customHeight="1">
      <c r="O18879" s="5" t="s">
        <v>355</v>
      </c>
      <c r="P18879" s="5" t="s">
        <v>355</v>
      </c>
      <c r="Q18879" s="5" t="s">
        <v>355</v>
      </c>
    </row>
    <row r="18880" ht="16.5" customHeight="1">
      <c r="O18880" s="5" t="s">
        <v>355</v>
      </c>
      <c r="P18880" s="5" t="s">
        <v>355</v>
      </c>
      <c r="Q18880" s="5" t="s">
        <v>355</v>
      </c>
    </row>
    <row r="18881" ht="16.5" customHeight="1">
      <c r="O18881" s="5" t="s">
        <v>355</v>
      </c>
      <c r="P18881" s="5" t="s">
        <v>355</v>
      </c>
      <c r="Q18881" s="5" t="s">
        <v>355</v>
      </c>
    </row>
    <row r="18882" ht="16.5" customHeight="1">
      <c r="O18882" s="5" t="s">
        <v>355</v>
      </c>
      <c r="P18882" s="5" t="s">
        <v>355</v>
      </c>
      <c r="Q18882" s="5" t="s">
        <v>355</v>
      </c>
    </row>
    <row r="18883" ht="16.5" customHeight="1">
      <c r="O18883" s="5" t="s">
        <v>355</v>
      </c>
      <c r="P18883" s="5" t="s">
        <v>355</v>
      </c>
      <c r="Q18883" s="5" t="s">
        <v>355</v>
      </c>
    </row>
    <row r="18884" ht="16.5" customHeight="1">
      <c r="O18884" s="5" t="s">
        <v>355</v>
      </c>
      <c r="P18884" s="5" t="s">
        <v>355</v>
      </c>
      <c r="Q18884" s="5" t="s">
        <v>355</v>
      </c>
    </row>
    <row r="18885" ht="16.5" customHeight="1">
      <c r="O18885" s="5" t="s">
        <v>355</v>
      </c>
      <c r="P18885" s="5" t="s">
        <v>355</v>
      </c>
      <c r="Q18885" s="5" t="s">
        <v>355</v>
      </c>
    </row>
    <row r="18886" ht="16.5" customHeight="1">
      <c r="O18886" s="5" t="s">
        <v>355</v>
      </c>
      <c r="P18886" s="5" t="s">
        <v>355</v>
      </c>
      <c r="Q18886" s="5" t="s">
        <v>355</v>
      </c>
    </row>
    <row r="18887" ht="16.5" customHeight="1">
      <c r="O18887" s="5" t="s">
        <v>355</v>
      </c>
      <c r="P18887" s="5" t="s">
        <v>355</v>
      </c>
      <c r="Q18887" s="5" t="s">
        <v>355</v>
      </c>
    </row>
    <row r="18888" ht="16.5" customHeight="1">
      <c r="O18888" s="5" t="s">
        <v>355</v>
      </c>
      <c r="P18888" s="5" t="s">
        <v>355</v>
      </c>
      <c r="Q18888" s="5" t="s">
        <v>355</v>
      </c>
    </row>
    <row r="18889" ht="16.5" customHeight="1">
      <c r="O18889" s="5" t="s">
        <v>355</v>
      </c>
      <c r="P18889" s="5" t="s">
        <v>355</v>
      </c>
      <c r="Q18889" s="5" t="s">
        <v>355</v>
      </c>
    </row>
    <row r="18890" ht="16.5" customHeight="1">
      <c r="O18890" s="5" t="s">
        <v>355</v>
      </c>
      <c r="P18890" s="5" t="s">
        <v>355</v>
      </c>
      <c r="Q18890" s="5" t="s">
        <v>355</v>
      </c>
    </row>
    <row r="18891" ht="16.5" customHeight="1">
      <c r="O18891" s="5" t="s">
        <v>355</v>
      </c>
      <c r="P18891" s="5" t="s">
        <v>355</v>
      </c>
      <c r="Q18891" s="5" t="s">
        <v>355</v>
      </c>
    </row>
    <row r="18892" ht="16.5" customHeight="1">
      <c r="O18892" s="5" t="s">
        <v>355</v>
      </c>
      <c r="P18892" s="5" t="s">
        <v>355</v>
      </c>
      <c r="Q18892" s="5" t="s">
        <v>355</v>
      </c>
    </row>
    <row r="18893" ht="16.5" customHeight="1">
      <c r="O18893" s="5" t="s">
        <v>355</v>
      </c>
      <c r="P18893" s="5" t="s">
        <v>355</v>
      </c>
      <c r="Q18893" s="5" t="s">
        <v>355</v>
      </c>
    </row>
    <row r="18894" ht="16.5" customHeight="1">
      <c r="O18894" s="5" t="s">
        <v>355</v>
      </c>
      <c r="P18894" s="5" t="s">
        <v>355</v>
      </c>
      <c r="Q18894" s="5" t="s">
        <v>355</v>
      </c>
    </row>
    <row r="18895" ht="16.5" customHeight="1">
      <c r="O18895" s="5" t="s">
        <v>355</v>
      </c>
      <c r="P18895" s="5" t="s">
        <v>355</v>
      </c>
      <c r="Q18895" s="5" t="s">
        <v>355</v>
      </c>
    </row>
    <row r="18896" ht="16.5" customHeight="1">
      <c r="O18896" s="5" t="s">
        <v>355</v>
      </c>
      <c r="P18896" s="5" t="s">
        <v>355</v>
      </c>
      <c r="Q18896" s="5" t="s">
        <v>355</v>
      </c>
    </row>
    <row r="18897" ht="16.5" customHeight="1">
      <c r="O18897" s="5" t="s">
        <v>355</v>
      </c>
      <c r="P18897" s="5" t="s">
        <v>355</v>
      </c>
      <c r="Q18897" s="5" t="s">
        <v>355</v>
      </c>
    </row>
    <row r="18898" ht="16.5" customHeight="1">
      <c r="O18898" s="5" t="s">
        <v>355</v>
      </c>
      <c r="P18898" s="5" t="s">
        <v>355</v>
      </c>
      <c r="Q18898" s="5" t="s">
        <v>355</v>
      </c>
    </row>
    <row r="18899" ht="16.5" customHeight="1">
      <c r="O18899" s="5" t="s">
        <v>355</v>
      </c>
      <c r="P18899" s="5" t="s">
        <v>355</v>
      </c>
      <c r="Q18899" s="5" t="s">
        <v>355</v>
      </c>
    </row>
    <row r="18900" ht="16.5" customHeight="1">
      <c r="O18900" s="5" t="s">
        <v>355</v>
      </c>
      <c r="P18900" s="5" t="s">
        <v>355</v>
      </c>
      <c r="Q18900" s="5" t="s">
        <v>355</v>
      </c>
    </row>
    <row r="18901" ht="16.5" customHeight="1">
      <c r="O18901" s="5" t="s">
        <v>355</v>
      </c>
      <c r="P18901" s="5" t="s">
        <v>355</v>
      </c>
      <c r="Q18901" s="5" t="s">
        <v>355</v>
      </c>
    </row>
    <row r="18902" ht="16.5" customHeight="1">
      <c r="O18902" s="5" t="s">
        <v>355</v>
      </c>
      <c r="P18902" s="5" t="s">
        <v>355</v>
      </c>
      <c r="Q18902" s="5" t="s">
        <v>355</v>
      </c>
    </row>
    <row r="18903" ht="16.5" customHeight="1">
      <c r="O18903" s="5" t="s">
        <v>355</v>
      </c>
      <c r="P18903" s="5" t="s">
        <v>355</v>
      </c>
      <c r="Q18903" s="5" t="s">
        <v>355</v>
      </c>
    </row>
    <row r="18904" ht="16.5" customHeight="1">
      <c r="O18904" s="5" t="s">
        <v>355</v>
      </c>
      <c r="P18904" s="5" t="s">
        <v>355</v>
      </c>
      <c r="Q18904" s="5" t="s">
        <v>355</v>
      </c>
    </row>
    <row r="18905" ht="16.5" customHeight="1">
      <c r="O18905" s="5" t="s">
        <v>355</v>
      </c>
      <c r="P18905" s="5" t="s">
        <v>355</v>
      </c>
      <c r="Q18905" s="5" t="s">
        <v>355</v>
      </c>
    </row>
    <row r="18906" ht="16.5" customHeight="1">
      <c r="O18906" s="5" t="s">
        <v>355</v>
      </c>
      <c r="P18906" s="5" t="s">
        <v>355</v>
      </c>
      <c r="Q18906" s="5" t="s">
        <v>355</v>
      </c>
    </row>
    <row r="18907" ht="16.5" customHeight="1">
      <c r="O18907" s="5" t="s">
        <v>355</v>
      </c>
      <c r="P18907" s="5" t="s">
        <v>355</v>
      </c>
      <c r="Q18907" s="5" t="s">
        <v>355</v>
      </c>
    </row>
    <row r="18908" ht="16.5" customHeight="1">
      <c r="O18908" s="5" t="s">
        <v>355</v>
      </c>
      <c r="P18908" s="5" t="s">
        <v>355</v>
      </c>
      <c r="Q18908" s="5" t="s">
        <v>355</v>
      </c>
    </row>
    <row r="18909" ht="16.5" customHeight="1">
      <c r="O18909" s="5" t="s">
        <v>355</v>
      </c>
      <c r="P18909" s="5" t="s">
        <v>355</v>
      </c>
      <c r="Q18909" s="5" t="s">
        <v>355</v>
      </c>
    </row>
    <row r="18910" ht="16.5" customHeight="1">
      <c r="O18910" s="5" t="s">
        <v>355</v>
      </c>
      <c r="P18910" s="5" t="s">
        <v>355</v>
      </c>
      <c r="Q18910" s="5" t="s">
        <v>355</v>
      </c>
    </row>
    <row r="18911" ht="16.5" customHeight="1">
      <c r="O18911" s="5" t="s">
        <v>355</v>
      </c>
      <c r="P18911" s="5" t="s">
        <v>355</v>
      </c>
      <c r="Q18911" s="5" t="s">
        <v>355</v>
      </c>
    </row>
    <row r="18912" ht="16.5" customHeight="1">
      <c r="O18912" s="5" t="s">
        <v>355</v>
      </c>
      <c r="P18912" s="5" t="s">
        <v>355</v>
      </c>
      <c r="Q18912" s="5" t="s">
        <v>355</v>
      </c>
    </row>
    <row r="18913" ht="16.5" customHeight="1">
      <c r="O18913" s="5" t="s">
        <v>355</v>
      </c>
      <c r="P18913" s="5" t="s">
        <v>355</v>
      </c>
      <c r="Q18913" s="5" t="s">
        <v>355</v>
      </c>
    </row>
    <row r="18914" ht="16.5" customHeight="1">
      <c r="O18914" s="5" t="s">
        <v>355</v>
      </c>
      <c r="P18914" s="5" t="s">
        <v>355</v>
      </c>
      <c r="Q18914" s="5" t="s">
        <v>355</v>
      </c>
    </row>
    <row r="18915" ht="16.5" customHeight="1">
      <c r="O18915" s="5" t="s">
        <v>355</v>
      </c>
      <c r="P18915" s="5" t="s">
        <v>355</v>
      </c>
      <c r="Q18915" s="5" t="s">
        <v>355</v>
      </c>
    </row>
    <row r="18916" ht="16.5" customHeight="1">
      <c r="O18916" s="5" t="s">
        <v>355</v>
      </c>
      <c r="P18916" s="5" t="s">
        <v>355</v>
      </c>
      <c r="Q18916" s="5" t="s">
        <v>355</v>
      </c>
    </row>
    <row r="18917" ht="16.5" customHeight="1">
      <c r="O18917" s="5" t="s">
        <v>355</v>
      </c>
      <c r="P18917" s="5" t="s">
        <v>355</v>
      </c>
      <c r="Q18917" s="5" t="s">
        <v>355</v>
      </c>
    </row>
    <row r="18918" ht="16.5" customHeight="1">
      <c r="O18918" s="5" t="s">
        <v>355</v>
      </c>
      <c r="P18918" s="5" t="s">
        <v>355</v>
      </c>
      <c r="Q18918" s="5" t="s">
        <v>355</v>
      </c>
    </row>
    <row r="18919" ht="16.5" customHeight="1">
      <c r="O18919" s="5" t="s">
        <v>355</v>
      </c>
      <c r="P18919" s="5" t="s">
        <v>355</v>
      </c>
      <c r="Q18919" s="5" t="s">
        <v>355</v>
      </c>
    </row>
    <row r="18920" ht="16.5" customHeight="1">
      <c r="O18920" s="5" t="s">
        <v>355</v>
      </c>
      <c r="P18920" s="5" t="s">
        <v>355</v>
      </c>
      <c r="Q18920" s="5" t="s">
        <v>355</v>
      </c>
    </row>
    <row r="18921" ht="16.5" customHeight="1">
      <c r="O18921" s="5" t="s">
        <v>355</v>
      </c>
      <c r="P18921" s="5" t="s">
        <v>355</v>
      </c>
      <c r="Q18921" s="5" t="s">
        <v>355</v>
      </c>
    </row>
    <row r="18922" ht="16.5" customHeight="1">
      <c r="O18922" s="5" t="s">
        <v>355</v>
      </c>
      <c r="P18922" s="5" t="s">
        <v>355</v>
      </c>
      <c r="Q18922" s="5" t="s">
        <v>355</v>
      </c>
    </row>
    <row r="18923" ht="16.5" customHeight="1">
      <c r="O18923" s="5" t="s">
        <v>355</v>
      </c>
      <c r="P18923" s="5" t="s">
        <v>355</v>
      </c>
      <c r="Q18923" s="5" t="s">
        <v>355</v>
      </c>
    </row>
    <row r="18924" ht="16.5" customHeight="1">
      <c r="O18924" s="5" t="s">
        <v>355</v>
      </c>
      <c r="P18924" s="5" t="s">
        <v>355</v>
      </c>
      <c r="Q18924" s="5" t="s">
        <v>355</v>
      </c>
    </row>
    <row r="18925" ht="16.5" customHeight="1">
      <c r="O18925" s="5" t="s">
        <v>355</v>
      </c>
      <c r="P18925" s="5" t="s">
        <v>355</v>
      </c>
      <c r="Q18925" s="5" t="s">
        <v>355</v>
      </c>
    </row>
    <row r="18926" ht="16.5" customHeight="1">
      <c r="O18926" s="5" t="s">
        <v>355</v>
      </c>
      <c r="P18926" s="5" t="s">
        <v>355</v>
      </c>
      <c r="Q18926" s="5" t="s">
        <v>355</v>
      </c>
    </row>
    <row r="18927" ht="16.5" customHeight="1">
      <c r="O18927" s="5" t="s">
        <v>355</v>
      </c>
      <c r="P18927" s="5" t="s">
        <v>355</v>
      </c>
      <c r="Q18927" s="5" t="s">
        <v>355</v>
      </c>
    </row>
    <row r="18928" ht="16.5" customHeight="1">
      <c r="O18928" s="5" t="s">
        <v>355</v>
      </c>
      <c r="P18928" s="5" t="s">
        <v>355</v>
      </c>
      <c r="Q18928" s="5" t="s">
        <v>355</v>
      </c>
    </row>
    <row r="18929" ht="16.5" customHeight="1">
      <c r="O18929" s="5" t="s">
        <v>355</v>
      </c>
      <c r="P18929" s="5" t="s">
        <v>355</v>
      </c>
      <c r="Q18929" s="5" t="s">
        <v>355</v>
      </c>
    </row>
    <row r="18930" ht="16.5" customHeight="1">
      <c r="O18930" s="5" t="s">
        <v>355</v>
      </c>
      <c r="P18930" s="5" t="s">
        <v>355</v>
      </c>
      <c r="Q18930" s="5" t="s">
        <v>355</v>
      </c>
    </row>
    <row r="18931" ht="16.5" customHeight="1">
      <c r="O18931" s="5" t="s">
        <v>355</v>
      </c>
      <c r="P18931" s="5" t="s">
        <v>355</v>
      </c>
      <c r="Q18931" s="5" t="s">
        <v>355</v>
      </c>
    </row>
    <row r="18932" ht="16.5" customHeight="1">
      <c r="O18932" s="5" t="s">
        <v>355</v>
      </c>
      <c r="P18932" s="5" t="s">
        <v>355</v>
      </c>
      <c r="Q18932" s="5" t="s">
        <v>355</v>
      </c>
    </row>
    <row r="18933" ht="16.5" customHeight="1">
      <c r="O18933" s="5" t="s">
        <v>355</v>
      </c>
      <c r="P18933" s="5" t="s">
        <v>355</v>
      </c>
      <c r="Q18933" s="5" t="s">
        <v>355</v>
      </c>
    </row>
    <row r="18934" ht="16.5" customHeight="1">
      <c r="O18934" s="5" t="s">
        <v>355</v>
      </c>
      <c r="P18934" s="5" t="s">
        <v>355</v>
      </c>
      <c r="Q18934" s="5" t="s">
        <v>355</v>
      </c>
    </row>
    <row r="18935" ht="16.5" customHeight="1">
      <c r="O18935" s="5" t="s">
        <v>355</v>
      </c>
      <c r="P18935" s="5" t="s">
        <v>355</v>
      </c>
      <c r="Q18935" s="5" t="s">
        <v>355</v>
      </c>
    </row>
    <row r="18936" ht="16.5" customHeight="1">
      <c r="O18936" s="5" t="s">
        <v>355</v>
      </c>
      <c r="P18936" s="5" t="s">
        <v>355</v>
      </c>
      <c r="Q18936" s="5" t="s">
        <v>355</v>
      </c>
    </row>
    <row r="18937" ht="16.5" customHeight="1">
      <c r="O18937" s="5" t="s">
        <v>355</v>
      </c>
      <c r="P18937" s="5" t="s">
        <v>355</v>
      </c>
      <c r="Q18937" s="5" t="s">
        <v>355</v>
      </c>
    </row>
    <row r="18938" ht="16.5" customHeight="1">
      <c r="O18938" s="5" t="s">
        <v>355</v>
      </c>
      <c r="P18938" s="5" t="s">
        <v>355</v>
      </c>
      <c r="Q18938" s="5" t="s">
        <v>355</v>
      </c>
    </row>
    <row r="18939" ht="16.5" customHeight="1">
      <c r="O18939" s="5" t="s">
        <v>355</v>
      </c>
      <c r="P18939" s="5" t="s">
        <v>355</v>
      </c>
      <c r="Q18939" s="5" t="s">
        <v>355</v>
      </c>
    </row>
    <row r="18940" ht="16.5" customHeight="1">
      <c r="O18940" s="5" t="s">
        <v>355</v>
      </c>
      <c r="P18940" s="5" t="s">
        <v>355</v>
      </c>
      <c r="Q18940" s="5" t="s">
        <v>355</v>
      </c>
    </row>
    <row r="18941" ht="16.5" customHeight="1">
      <c r="O18941" s="5" t="s">
        <v>355</v>
      </c>
      <c r="P18941" s="5" t="s">
        <v>355</v>
      </c>
      <c r="Q18941" s="5" t="s">
        <v>355</v>
      </c>
    </row>
    <row r="18942" ht="16.5" customHeight="1">
      <c r="O18942" s="5" t="s">
        <v>355</v>
      </c>
      <c r="P18942" s="5" t="s">
        <v>355</v>
      </c>
      <c r="Q18942" s="5" t="s">
        <v>355</v>
      </c>
    </row>
    <row r="18943" ht="16.5" customHeight="1">
      <c r="O18943" s="5" t="s">
        <v>355</v>
      </c>
      <c r="P18943" s="5" t="s">
        <v>355</v>
      </c>
      <c r="Q18943" s="5" t="s">
        <v>355</v>
      </c>
    </row>
    <row r="18944" ht="16.5" customHeight="1">
      <c r="O18944" s="5" t="s">
        <v>355</v>
      </c>
      <c r="P18944" s="5" t="s">
        <v>355</v>
      </c>
      <c r="Q18944" s="5" t="s">
        <v>355</v>
      </c>
    </row>
    <row r="18945" ht="16.5" customHeight="1">
      <c r="O18945" s="5" t="s">
        <v>355</v>
      </c>
      <c r="P18945" s="5" t="s">
        <v>355</v>
      </c>
      <c r="Q18945" s="5" t="s">
        <v>355</v>
      </c>
    </row>
    <row r="18946" ht="16.5" customHeight="1">
      <c r="O18946" s="5" t="s">
        <v>355</v>
      </c>
      <c r="P18946" s="5" t="s">
        <v>355</v>
      </c>
      <c r="Q18946" s="5" t="s">
        <v>355</v>
      </c>
    </row>
    <row r="18947" ht="16.5" customHeight="1">
      <c r="O18947" s="5" t="s">
        <v>355</v>
      </c>
      <c r="P18947" s="5" t="s">
        <v>355</v>
      </c>
      <c r="Q18947" s="5" t="s">
        <v>355</v>
      </c>
    </row>
    <row r="18948" ht="16.5" customHeight="1">
      <c r="O18948" s="5" t="s">
        <v>355</v>
      </c>
      <c r="P18948" s="5" t="s">
        <v>355</v>
      </c>
      <c r="Q18948" s="5" t="s">
        <v>355</v>
      </c>
    </row>
    <row r="18949" ht="16.5" customHeight="1">
      <c r="O18949" s="5" t="s">
        <v>355</v>
      </c>
      <c r="P18949" s="5" t="s">
        <v>355</v>
      </c>
      <c r="Q18949" s="5" t="s">
        <v>355</v>
      </c>
    </row>
    <row r="18950" ht="16.5" customHeight="1">
      <c r="O18950" s="5" t="s">
        <v>355</v>
      </c>
      <c r="P18950" s="5" t="s">
        <v>355</v>
      </c>
      <c r="Q18950" s="5" t="s">
        <v>355</v>
      </c>
    </row>
    <row r="18951" ht="16.5" customHeight="1">
      <c r="O18951" s="5" t="s">
        <v>355</v>
      </c>
      <c r="P18951" s="5" t="s">
        <v>355</v>
      </c>
      <c r="Q18951" s="5" t="s">
        <v>355</v>
      </c>
    </row>
    <row r="18952" ht="16.5" customHeight="1">
      <c r="O18952" s="5" t="s">
        <v>355</v>
      </c>
      <c r="P18952" s="5" t="s">
        <v>355</v>
      </c>
      <c r="Q18952" s="5" t="s">
        <v>355</v>
      </c>
    </row>
    <row r="18953" ht="16.5" customHeight="1">
      <c r="O18953" s="5" t="s">
        <v>355</v>
      </c>
      <c r="P18953" s="5" t="s">
        <v>355</v>
      </c>
      <c r="Q18953" s="5" t="s">
        <v>355</v>
      </c>
    </row>
    <row r="18954" ht="16.5" customHeight="1">
      <c r="O18954" s="5" t="s">
        <v>355</v>
      </c>
      <c r="P18954" s="5" t="s">
        <v>355</v>
      </c>
      <c r="Q18954" s="5" t="s">
        <v>355</v>
      </c>
    </row>
    <row r="18955" ht="16.5" customHeight="1">
      <c r="O18955" s="5" t="s">
        <v>355</v>
      </c>
      <c r="P18955" s="5" t="s">
        <v>355</v>
      </c>
      <c r="Q18955" s="5" t="s">
        <v>355</v>
      </c>
    </row>
    <row r="18956" ht="16.5" customHeight="1">
      <c r="O18956" s="5" t="s">
        <v>355</v>
      </c>
      <c r="P18956" s="5" t="s">
        <v>355</v>
      </c>
      <c r="Q18956" s="5" t="s">
        <v>355</v>
      </c>
    </row>
    <row r="18957" ht="16.5" customHeight="1">
      <c r="O18957" s="5" t="s">
        <v>355</v>
      </c>
      <c r="P18957" s="5" t="s">
        <v>355</v>
      </c>
      <c r="Q18957" s="5" t="s">
        <v>355</v>
      </c>
    </row>
    <row r="18958" ht="16.5" customHeight="1">
      <c r="O18958" s="5" t="s">
        <v>355</v>
      </c>
      <c r="P18958" s="5" t="s">
        <v>355</v>
      </c>
      <c r="Q18958" s="5" t="s">
        <v>355</v>
      </c>
    </row>
    <row r="18959" ht="16.5" customHeight="1">
      <c r="O18959" s="5" t="s">
        <v>355</v>
      </c>
      <c r="P18959" s="5" t="s">
        <v>355</v>
      </c>
      <c r="Q18959" s="5" t="s">
        <v>355</v>
      </c>
    </row>
    <row r="18960" ht="16.5" customHeight="1">
      <c r="O18960" s="5" t="s">
        <v>355</v>
      </c>
      <c r="P18960" s="5" t="s">
        <v>355</v>
      </c>
      <c r="Q18960" s="5" t="s">
        <v>355</v>
      </c>
    </row>
    <row r="18961" ht="16.5" customHeight="1">
      <c r="O18961" s="5" t="s">
        <v>355</v>
      </c>
      <c r="P18961" s="5" t="s">
        <v>355</v>
      </c>
      <c r="Q18961" s="5" t="s">
        <v>355</v>
      </c>
    </row>
    <row r="18962" ht="16.5" customHeight="1">
      <c r="O18962" s="5" t="s">
        <v>355</v>
      </c>
      <c r="P18962" s="5" t="s">
        <v>355</v>
      </c>
      <c r="Q18962" s="5" t="s">
        <v>355</v>
      </c>
    </row>
    <row r="18963" ht="16.5" customHeight="1">
      <c r="O18963" s="5" t="s">
        <v>355</v>
      </c>
      <c r="P18963" s="5" t="s">
        <v>355</v>
      </c>
      <c r="Q18963" s="5" t="s">
        <v>355</v>
      </c>
    </row>
    <row r="18964" ht="16.5" customHeight="1">
      <c r="O18964" s="5" t="s">
        <v>355</v>
      </c>
      <c r="P18964" s="5" t="s">
        <v>355</v>
      </c>
      <c r="Q18964" s="5" t="s">
        <v>355</v>
      </c>
    </row>
    <row r="18965" ht="16.5" customHeight="1">
      <c r="O18965" s="5" t="s">
        <v>355</v>
      </c>
      <c r="P18965" s="5" t="s">
        <v>355</v>
      </c>
      <c r="Q18965" s="5" t="s">
        <v>355</v>
      </c>
    </row>
    <row r="18966" ht="16.5" customHeight="1">
      <c r="O18966" s="5" t="s">
        <v>355</v>
      </c>
      <c r="P18966" s="5" t="s">
        <v>355</v>
      </c>
      <c r="Q18966" s="5" t="s">
        <v>355</v>
      </c>
    </row>
    <row r="18967" ht="16.5" customHeight="1">
      <c r="O18967" s="5" t="s">
        <v>355</v>
      </c>
      <c r="P18967" s="5" t="s">
        <v>355</v>
      </c>
      <c r="Q18967" s="5" t="s">
        <v>355</v>
      </c>
    </row>
    <row r="18968" ht="16.5" customHeight="1">
      <c r="O18968" s="5" t="s">
        <v>355</v>
      </c>
      <c r="P18968" s="5" t="s">
        <v>355</v>
      </c>
      <c r="Q18968" s="5" t="s">
        <v>355</v>
      </c>
    </row>
    <row r="18969" ht="16.5" customHeight="1">
      <c r="O18969" s="5" t="s">
        <v>355</v>
      </c>
      <c r="P18969" s="5" t="s">
        <v>355</v>
      </c>
      <c r="Q18969" s="5" t="s">
        <v>355</v>
      </c>
    </row>
    <row r="18970" ht="16.5" customHeight="1">
      <c r="O18970" s="5" t="s">
        <v>355</v>
      </c>
      <c r="P18970" s="5" t="s">
        <v>355</v>
      </c>
      <c r="Q18970" s="5" t="s">
        <v>355</v>
      </c>
    </row>
    <row r="18971" ht="16.5" customHeight="1">
      <c r="O18971" s="5" t="s">
        <v>355</v>
      </c>
      <c r="P18971" s="5" t="s">
        <v>355</v>
      </c>
      <c r="Q18971" s="5" t="s">
        <v>355</v>
      </c>
    </row>
    <row r="18972" ht="16.5" customHeight="1">
      <c r="O18972" s="5" t="s">
        <v>355</v>
      </c>
      <c r="P18972" s="5" t="s">
        <v>355</v>
      </c>
      <c r="Q18972" s="5" t="s">
        <v>355</v>
      </c>
    </row>
    <row r="18973" ht="16.5" customHeight="1">
      <c r="O18973" s="5" t="s">
        <v>355</v>
      </c>
      <c r="P18973" s="5" t="s">
        <v>355</v>
      </c>
      <c r="Q18973" s="5" t="s">
        <v>355</v>
      </c>
    </row>
    <row r="18974" ht="16.5" customHeight="1">
      <c r="O18974" s="5" t="s">
        <v>355</v>
      </c>
      <c r="P18974" s="5" t="s">
        <v>355</v>
      </c>
      <c r="Q18974" s="5" t="s">
        <v>355</v>
      </c>
    </row>
    <row r="18975" ht="16.5" customHeight="1">
      <c r="O18975" s="5" t="s">
        <v>355</v>
      </c>
      <c r="P18975" s="5" t="s">
        <v>355</v>
      </c>
      <c r="Q18975" s="5" t="s">
        <v>355</v>
      </c>
    </row>
    <row r="18976" ht="16.5" customHeight="1">
      <c r="O18976" s="5" t="s">
        <v>355</v>
      </c>
      <c r="P18976" s="5" t="s">
        <v>355</v>
      </c>
      <c r="Q18976" s="5" t="s">
        <v>355</v>
      </c>
    </row>
    <row r="18977" ht="16.5" customHeight="1">
      <c r="O18977" s="5" t="s">
        <v>355</v>
      </c>
      <c r="P18977" s="5" t="s">
        <v>355</v>
      </c>
      <c r="Q18977" s="5" t="s">
        <v>355</v>
      </c>
    </row>
    <row r="18978" ht="16.5" customHeight="1">
      <c r="O18978" s="5" t="s">
        <v>355</v>
      </c>
      <c r="P18978" s="5" t="s">
        <v>355</v>
      </c>
      <c r="Q18978" s="5" t="s">
        <v>355</v>
      </c>
    </row>
    <row r="18979" ht="16.5" customHeight="1">
      <c r="O18979" s="5" t="s">
        <v>355</v>
      </c>
      <c r="P18979" s="5" t="s">
        <v>355</v>
      </c>
      <c r="Q18979" s="5" t="s">
        <v>355</v>
      </c>
    </row>
    <row r="18980" ht="16.5" customHeight="1">
      <c r="O18980" s="5" t="s">
        <v>355</v>
      </c>
      <c r="P18980" s="5" t="s">
        <v>355</v>
      </c>
      <c r="Q18980" s="5" t="s">
        <v>355</v>
      </c>
    </row>
    <row r="18981" ht="16.5" customHeight="1">
      <c r="O18981" s="5" t="s">
        <v>355</v>
      </c>
      <c r="P18981" s="5" t="s">
        <v>355</v>
      </c>
      <c r="Q18981" s="5" t="s">
        <v>355</v>
      </c>
    </row>
    <row r="18982" ht="16.5" customHeight="1">
      <c r="O18982" s="5" t="s">
        <v>355</v>
      </c>
      <c r="P18982" s="5" t="s">
        <v>355</v>
      </c>
      <c r="Q18982" s="5" t="s">
        <v>355</v>
      </c>
    </row>
    <row r="18983" ht="16.5" customHeight="1">
      <c r="O18983" s="5" t="s">
        <v>355</v>
      </c>
      <c r="P18983" s="5" t="s">
        <v>355</v>
      </c>
      <c r="Q18983" s="5" t="s">
        <v>355</v>
      </c>
    </row>
    <row r="18984" ht="16.5" customHeight="1">
      <c r="O18984" s="5" t="s">
        <v>355</v>
      </c>
      <c r="P18984" s="5" t="s">
        <v>355</v>
      </c>
      <c r="Q18984" s="5" t="s">
        <v>355</v>
      </c>
    </row>
    <row r="18985" ht="16.5" customHeight="1">
      <c r="O18985" s="5" t="s">
        <v>355</v>
      </c>
      <c r="P18985" s="5" t="s">
        <v>355</v>
      </c>
      <c r="Q18985" s="5" t="s">
        <v>355</v>
      </c>
    </row>
    <row r="18986" ht="16.5" customHeight="1">
      <c r="O18986" s="5" t="s">
        <v>355</v>
      </c>
      <c r="P18986" s="5" t="s">
        <v>355</v>
      </c>
      <c r="Q18986" s="5" t="s">
        <v>355</v>
      </c>
    </row>
    <row r="18987" ht="16.5" customHeight="1">
      <c r="O18987" s="5" t="s">
        <v>355</v>
      </c>
      <c r="P18987" s="5" t="s">
        <v>355</v>
      </c>
      <c r="Q18987" s="5" t="s">
        <v>355</v>
      </c>
    </row>
    <row r="18988" ht="16.5" customHeight="1">
      <c r="O18988" s="5" t="s">
        <v>355</v>
      </c>
      <c r="P18988" s="5" t="s">
        <v>355</v>
      </c>
      <c r="Q18988" s="5" t="s">
        <v>355</v>
      </c>
    </row>
    <row r="18989" ht="16.5" customHeight="1">
      <c r="O18989" s="5" t="s">
        <v>355</v>
      </c>
      <c r="P18989" s="5" t="s">
        <v>355</v>
      </c>
      <c r="Q18989" s="5" t="s">
        <v>355</v>
      </c>
    </row>
    <row r="18990" ht="16.5" customHeight="1">
      <c r="O18990" s="5" t="s">
        <v>355</v>
      </c>
      <c r="P18990" s="5" t="s">
        <v>355</v>
      </c>
      <c r="Q18990" s="5" t="s">
        <v>355</v>
      </c>
    </row>
    <row r="18991" ht="16.5" customHeight="1">
      <c r="O18991" s="5" t="s">
        <v>355</v>
      </c>
      <c r="P18991" s="5" t="s">
        <v>355</v>
      </c>
      <c r="Q18991" s="5" t="s">
        <v>355</v>
      </c>
    </row>
    <row r="18992" ht="16.5" customHeight="1">
      <c r="O18992" s="5" t="s">
        <v>355</v>
      </c>
      <c r="P18992" s="5" t="s">
        <v>355</v>
      </c>
      <c r="Q18992" s="5" t="s">
        <v>355</v>
      </c>
    </row>
    <row r="18993" ht="16.5" customHeight="1">
      <c r="O18993" s="5" t="s">
        <v>355</v>
      </c>
      <c r="P18993" s="5" t="s">
        <v>355</v>
      </c>
      <c r="Q18993" s="5" t="s">
        <v>355</v>
      </c>
    </row>
    <row r="18994" ht="16.5" customHeight="1">
      <c r="O18994" s="5" t="s">
        <v>355</v>
      </c>
      <c r="P18994" s="5" t="s">
        <v>355</v>
      </c>
      <c r="Q18994" s="5" t="s">
        <v>355</v>
      </c>
    </row>
    <row r="18995" ht="16.5" customHeight="1">
      <c r="O18995" s="5" t="s">
        <v>355</v>
      </c>
      <c r="P18995" s="5" t="s">
        <v>355</v>
      </c>
      <c r="Q18995" s="5" t="s">
        <v>355</v>
      </c>
    </row>
    <row r="18996" ht="16.5" customHeight="1">
      <c r="O18996" s="5" t="s">
        <v>355</v>
      </c>
      <c r="P18996" s="5" t="s">
        <v>355</v>
      </c>
      <c r="Q18996" s="5" t="s">
        <v>355</v>
      </c>
    </row>
    <row r="18997" ht="16.5" customHeight="1">
      <c r="O18997" s="5" t="s">
        <v>355</v>
      </c>
      <c r="P18997" s="5" t="s">
        <v>355</v>
      </c>
      <c r="Q18997" s="5" t="s">
        <v>355</v>
      </c>
    </row>
    <row r="18998" ht="16.5" customHeight="1">
      <c r="O18998" s="5" t="s">
        <v>355</v>
      </c>
      <c r="P18998" s="5" t="s">
        <v>355</v>
      </c>
      <c r="Q18998" s="5" t="s">
        <v>355</v>
      </c>
    </row>
    <row r="18999" ht="16.5" customHeight="1">
      <c r="O18999" s="5" t="s">
        <v>355</v>
      </c>
      <c r="P18999" s="5" t="s">
        <v>355</v>
      </c>
      <c r="Q18999" s="5" t="s">
        <v>355</v>
      </c>
    </row>
    <row r="19000" ht="16.5" customHeight="1">
      <c r="O19000" s="5" t="s">
        <v>355</v>
      </c>
      <c r="P19000" s="5" t="s">
        <v>355</v>
      </c>
      <c r="Q19000" s="5" t="s">
        <v>355</v>
      </c>
    </row>
    <row r="19001" ht="16.5" customHeight="1">
      <c r="O19001" s="5" t="s">
        <v>355</v>
      </c>
      <c r="P19001" s="5" t="s">
        <v>355</v>
      </c>
      <c r="Q19001" s="5" t="s">
        <v>355</v>
      </c>
    </row>
    <row r="19002" ht="16.5" customHeight="1">
      <c r="O19002" s="5" t="s">
        <v>355</v>
      </c>
      <c r="P19002" s="5" t="s">
        <v>355</v>
      </c>
      <c r="Q19002" s="5" t="s">
        <v>355</v>
      </c>
    </row>
    <row r="19003" ht="16.5" customHeight="1">
      <c r="O19003" s="5" t="s">
        <v>355</v>
      </c>
      <c r="P19003" s="5" t="s">
        <v>355</v>
      </c>
      <c r="Q19003" s="5" t="s">
        <v>355</v>
      </c>
    </row>
    <row r="19004" ht="16.5" customHeight="1">
      <c r="O19004" s="5" t="s">
        <v>355</v>
      </c>
      <c r="P19004" s="5" t="s">
        <v>355</v>
      </c>
      <c r="Q19004" s="5" t="s">
        <v>355</v>
      </c>
    </row>
    <row r="19005" ht="16.5" customHeight="1">
      <c r="O19005" s="5" t="s">
        <v>355</v>
      </c>
      <c r="P19005" s="5" t="s">
        <v>355</v>
      </c>
      <c r="Q19005" s="5" t="s">
        <v>355</v>
      </c>
    </row>
    <row r="19006" ht="16.5" customHeight="1">
      <c r="O19006" s="5" t="s">
        <v>355</v>
      </c>
      <c r="P19006" s="5" t="s">
        <v>355</v>
      </c>
      <c r="Q19006" s="5" t="s">
        <v>355</v>
      </c>
    </row>
    <row r="19007" ht="16.5" customHeight="1">
      <c r="O19007" s="5" t="s">
        <v>355</v>
      </c>
      <c r="P19007" s="5" t="s">
        <v>355</v>
      </c>
      <c r="Q19007" s="5" t="s">
        <v>355</v>
      </c>
    </row>
    <row r="19008" ht="16.5" customHeight="1">
      <c r="O19008" s="5" t="s">
        <v>355</v>
      </c>
      <c r="P19008" s="5" t="s">
        <v>355</v>
      </c>
      <c r="Q19008" s="5" t="s">
        <v>355</v>
      </c>
    </row>
    <row r="19009" ht="16.5" customHeight="1">
      <c r="O19009" s="5" t="s">
        <v>355</v>
      </c>
      <c r="P19009" s="5" t="s">
        <v>355</v>
      </c>
      <c r="Q19009" s="5" t="s">
        <v>355</v>
      </c>
    </row>
    <row r="19010" ht="16.5" customHeight="1">
      <c r="O19010" s="5" t="s">
        <v>355</v>
      </c>
      <c r="P19010" s="5" t="s">
        <v>355</v>
      </c>
      <c r="Q19010" s="5" t="s">
        <v>355</v>
      </c>
    </row>
    <row r="19011" ht="16.5" customHeight="1">
      <c r="O19011" s="5" t="s">
        <v>355</v>
      </c>
      <c r="P19011" s="5" t="s">
        <v>355</v>
      </c>
      <c r="Q19011" s="5" t="s">
        <v>355</v>
      </c>
    </row>
    <row r="19012" ht="16.5" customHeight="1">
      <c r="O19012" s="5" t="s">
        <v>355</v>
      </c>
      <c r="P19012" s="5" t="s">
        <v>355</v>
      </c>
      <c r="Q19012" s="5" t="s">
        <v>355</v>
      </c>
    </row>
    <row r="19013" ht="16.5" customHeight="1">
      <c r="O19013" s="5" t="s">
        <v>355</v>
      </c>
      <c r="P19013" s="5" t="s">
        <v>355</v>
      </c>
      <c r="Q19013" s="5" t="s">
        <v>355</v>
      </c>
    </row>
    <row r="19014" ht="16.5" customHeight="1">
      <c r="O19014" s="5" t="s">
        <v>355</v>
      </c>
      <c r="P19014" s="5" t="s">
        <v>355</v>
      </c>
      <c r="Q19014" s="5" t="s">
        <v>355</v>
      </c>
    </row>
    <row r="19015" ht="16.5" customHeight="1">
      <c r="O19015" s="5" t="s">
        <v>355</v>
      </c>
      <c r="P19015" s="5" t="s">
        <v>355</v>
      </c>
      <c r="Q19015" s="5" t="s">
        <v>355</v>
      </c>
    </row>
    <row r="19016" ht="16.5" customHeight="1">
      <c r="O19016" s="5" t="s">
        <v>355</v>
      </c>
      <c r="P19016" s="5" t="s">
        <v>355</v>
      </c>
      <c r="Q19016" s="5" t="s">
        <v>355</v>
      </c>
    </row>
    <row r="19017" ht="16.5" customHeight="1">
      <c r="O19017" s="5" t="s">
        <v>355</v>
      </c>
      <c r="P19017" s="5" t="s">
        <v>355</v>
      </c>
      <c r="Q19017" s="5" t="s">
        <v>355</v>
      </c>
    </row>
    <row r="19018" ht="16.5" customHeight="1">
      <c r="O19018" s="5" t="s">
        <v>355</v>
      </c>
      <c r="P19018" s="5" t="s">
        <v>355</v>
      </c>
      <c r="Q19018" s="5" t="s">
        <v>355</v>
      </c>
    </row>
    <row r="19019" ht="16.5" customHeight="1">
      <c r="O19019" s="5" t="s">
        <v>355</v>
      </c>
      <c r="P19019" s="5" t="s">
        <v>355</v>
      </c>
      <c r="Q19019" s="5" t="s">
        <v>355</v>
      </c>
    </row>
    <row r="19020" ht="16.5" customHeight="1">
      <c r="O19020" s="5" t="s">
        <v>355</v>
      </c>
      <c r="P19020" s="5" t="s">
        <v>355</v>
      </c>
      <c r="Q19020" s="5" t="s">
        <v>355</v>
      </c>
    </row>
    <row r="19021" ht="16.5" customHeight="1">
      <c r="O19021" s="5" t="s">
        <v>355</v>
      </c>
      <c r="P19021" s="5" t="s">
        <v>355</v>
      </c>
      <c r="Q19021" s="5" t="s">
        <v>355</v>
      </c>
    </row>
    <row r="19022" ht="16.5" customHeight="1">
      <c r="O19022" s="5" t="s">
        <v>355</v>
      </c>
      <c r="P19022" s="5" t="s">
        <v>355</v>
      </c>
      <c r="Q19022" s="5" t="s">
        <v>355</v>
      </c>
    </row>
    <row r="19023" ht="16.5" customHeight="1">
      <c r="O19023" s="5" t="s">
        <v>355</v>
      </c>
      <c r="P19023" s="5" t="s">
        <v>355</v>
      </c>
      <c r="Q19023" s="5" t="s">
        <v>355</v>
      </c>
    </row>
    <row r="19024" ht="16.5" customHeight="1">
      <c r="O19024" s="5" t="s">
        <v>355</v>
      </c>
      <c r="P19024" s="5" t="s">
        <v>355</v>
      </c>
      <c r="Q19024" s="5" t="s">
        <v>355</v>
      </c>
    </row>
    <row r="19025" ht="16.5" customHeight="1">
      <c r="O19025" s="5" t="s">
        <v>355</v>
      </c>
      <c r="P19025" s="5" t="s">
        <v>355</v>
      </c>
      <c r="Q19025" s="5" t="s">
        <v>355</v>
      </c>
    </row>
    <row r="19026" ht="16.5" customHeight="1">
      <c r="O19026" s="5" t="s">
        <v>355</v>
      </c>
      <c r="P19026" s="5" t="s">
        <v>355</v>
      </c>
      <c r="Q19026" s="5" t="s">
        <v>355</v>
      </c>
    </row>
    <row r="19027" ht="16.5" customHeight="1">
      <c r="O19027" s="5" t="s">
        <v>355</v>
      </c>
      <c r="P19027" s="5" t="s">
        <v>355</v>
      </c>
      <c r="Q19027" s="5" t="s">
        <v>355</v>
      </c>
    </row>
    <row r="19028" ht="16.5" customHeight="1">
      <c r="O19028" s="5" t="s">
        <v>355</v>
      </c>
      <c r="P19028" s="5" t="s">
        <v>355</v>
      </c>
      <c r="Q19028" s="5" t="s">
        <v>355</v>
      </c>
    </row>
    <row r="19029" ht="16.5" customHeight="1">
      <c r="O19029" s="5" t="s">
        <v>355</v>
      </c>
      <c r="P19029" s="5" t="s">
        <v>355</v>
      </c>
      <c r="Q19029" s="5" t="s">
        <v>355</v>
      </c>
    </row>
    <row r="19030" ht="16.5" customHeight="1">
      <c r="O19030" s="5" t="s">
        <v>355</v>
      </c>
      <c r="P19030" s="5" t="s">
        <v>355</v>
      </c>
      <c r="Q19030" s="5" t="s">
        <v>355</v>
      </c>
    </row>
    <row r="19031" ht="16.5" customHeight="1">
      <c r="O19031" s="5" t="s">
        <v>355</v>
      </c>
      <c r="P19031" s="5" t="s">
        <v>355</v>
      </c>
      <c r="Q19031" s="5" t="s">
        <v>355</v>
      </c>
    </row>
    <row r="19032" ht="16.5" customHeight="1">
      <c r="O19032" s="5" t="s">
        <v>355</v>
      </c>
      <c r="P19032" s="5" t="s">
        <v>355</v>
      </c>
      <c r="Q19032" s="5" t="s">
        <v>355</v>
      </c>
    </row>
    <row r="19033" ht="16.5" customHeight="1">
      <c r="O19033" s="5" t="s">
        <v>355</v>
      </c>
      <c r="P19033" s="5" t="s">
        <v>355</v>
      </c>
      <c r="Q19033" s="5" t="s">
        <v>355</v>
      </c>
    </row>
    <row r="19034" ht="16.5" customHeight="1">
      <c r="O19034" s="5" t="s">
        <v>355</v>
      </c>
      <c r="P19034" s="5" t="s">
        <v>355</v>
      </c>
      <c r="Q19034" s="5" t="s">
        <v>355</v>
      </c>
    </row>
    <row r="19035" ht="16.5" customHeight="1">
      <c r="O19035" s="5" t="s">
        <v>355</v>
      </c>
      <c r="P19035" s="5" t="s">
        <v>355</v>
      </c>
      <c r="Q19035" s="5" t="s">
        <v>355</v>
      </c>
    </row>
    <row r="19036" ht="16.5" customHeight="1">
      <c r="O19036" s="5" t="s">
        <v>355</v>
      </c>
      <c r="P19036" s="5" t="s">
        <v>355</v>
      </c>
      <c r="Q19036" s="5" t="s">
        <v>355</v>
      </c>
    </row>
    <row r="19037" ht="16.5" customHeight="1">
      <c r="O19037" s="5" t="s">
        <v>355</v>
      </c>
      <c r="P19037" s="5" t="s">
        <v>355</v>
      </c>
      <c r="Q19037" s="5" t="s">
        <v>355</v>
      </c>
    </row>
    <row r="19038" ht="16.5" customHeight="1">
      <c r="O19038" s="5" t="s">
        <v>355</v>
      </c>
      <c r="P19038" s="5" t="s">
        <v>355</v>
      </c>
      <c r="Q19038" s="5" t="s">
        <v>355</v>
      </c>
    </row>
    <row r="19039" ht="16.5" customHeight="1">
      <c r="O19039" s="5" t="s">
        <v>355</v>
      </c>
      <c r="P19039" s="5" t="s">
        <v>355</v>
      </c>
      <c r="Q19039" s="5" t="s">
        <v>355</v>
      </c>
    </row>
    <row r="19040" ht="16.5" customHeight="1">
      <c r="O19040" s="5" t="s">
        <v>355</v>
      </c>
      <c r="P19040" s="5" t="s">
        <v>355</v>
      </c>
      <c r="Q19040" s="5" t="s">
        <v>355</v>
      </c>
    </row>
    <row r="19041" ht="16.5" customHeight="1">
      <c r="O19041" s="5" t="s">
        <v>355</v>
      </c>
      <c r="P19041" s="5" t="s">
        <v>355</v>
      </c>
      <c r="Q19041" s="5" t="s">
        <v>355</v>
      </c>
    </row>
    <row r="19042" ht="16.5" customHeight="1">
      <c r="O19042" s="5" t="s">
        <v>355</v>
      </c>
      <c r="P19042" s="5" t="s">
        <v>355</v>
      </c>
      <c r="Q19042" s="5" t="s">
        <v>355</v>
      </c>
    </row>
    <row r="19043" ht="16.5" customHeight="1">
      <c r="O19043" s="5" t="s">
        <v>355</v>
      </c>
      <c r="P19043" s="5" t="s">
        <v>355</v>
      </c>
      <c r="Q19043" s="5" t="s">
        <v>355</v>
      </c>
    </row>
    <row r="19044" ht="16.5" customHeight="1">
      <c r="O19044" s="5" t="s">
        <v>355</v>
      </c>
      <c r="P19044" s="5" t="s">
        <v>355</v>
      </c>
      <c r="Q19044" s="5" t="s">
        <v>355</v>
      </c>
    </row>
    <row r="19045" ht="16.5" customHeight="1">
      <c r="O19045" s="5" t="s">
        <v>355</v>
      </c>
      <c r="P19045" s="5" t="s">
        <v>355</v>
      </c>
      <c r="Q19045" s="5" t="s">
        <v>355</v>
      </c>
    </row>
    <row r="19046" ht="16.5" customHeight="1">
      <c r="O19046" s="5" t="s">
        <v>355</v>
      </c>
      <c r="P19046" s="5" t="s">
        <v>355</v>
      </c>
      <c r="Q19046" s="5" t="s">
        <v>355</v>
      </c>
    </row>
    <row r="19047" ht="16.5" customHeight="1">
      <c r="O19047" s="5" t="s">
        <v>355</v>
      </c>
      <c r="P19047" s="5" t="s">
        <v>355</v>
      </c>
      <c r="Q19047" s="5" t="s">
        <v>355</v>
      </c>
    </row>
    <row r="19048" ht="16.5" customHeight="1">
      <c r="O19048" s="5" t="s">
        <v>355</v>
      </c>
      <c r="P19048" s="5" t="s">
        <v>355</v>
      </c>
      <c r="Q19048" s="5" t="s">
        <v>355</v>
      </c>
    </row>
    <row r="19049" ht="16.5" customHeight="1">
      <c r="O19049" s="5" t="s">
        <v>355</v>
      </c>
      <c r="P19049" s="5" t="s">
        <v>355</v>
      </c>
      <c r="Q19049" s="5" t="s">
        <v>355</v>
      </c>
    </row>
    <row r="19050" ht="16.5" customHeight="1">
      <c r="O19050" s="5" t="s">
        <v>355</v>
      </c>
      <c r="P19050" s="5" t="s">
        <v>355</v>
      </c>
      <c r="Q19050" s="5" t="s">
        <v>355</v>
      </c>
    </row>
    <row r="19051" ht="16.5" customHeight="1">
      <c r="O19051" s="5" t="s">
        <v>355</v>
      </c>
      <c r="P19051" s="5" t="s">
        <v>355</v>
      </c>
      <c r="Q19051" s="5" t="s">
        <v>355</v>
      </c>
    </row>
    <row r="19052" ht="16.5" customHeight="1">
      <c r="O19052" s="5" t="s">
        <v>355</v>
      </c>
      <c r="P19052" s="5" t="s">
        <v>355</v>
      </c>
      <c r="Q19052" s="5" t="s">
        <v>355</v>
      </c>
    </row>
    <row r="19053" ht="16.5" customHeight="1">
      <c r="O19053" s="5" t="s">
        <v>355</v>
      </c>
      <c r="P19053" s="5" t="s">
        <v>355</v>
      </c>
      <c r="Q19053" s="5" t="s">
        <v>355</v>
      </c>
    </row>
    <row r="19054" ht="16.5" customHeight="1">
      <c r="O19054" s="5" t="s">
        <v>355</v>
      </c>
      <c r="P19054" s="5" t="s">
        <v>355</v>
      </c>
      <c r="Q19054" s="5" t="s">
        <v>355</v>
      </c>
    </row>
    <row r="19055" ht="16.5" customHeight="1">
      <c r="O19055" s="5" t="s">
        <v>355</v>
      </c>
      <c r="P19055" s="5" t="s">
        <v>355</v>
      </c>
      <c r="Q19055" s="5" t="s">
        <v>355</v>
      </c>
    </row>
    <row r="19056" ht="16.5" customHeight="1">
      <c r="O19056" s="5" t="s">
        <v>355</v>
      </c>
      <c r="P19056" s="5" t="s">
        <v>355</v>
      </c>
      <c r="Q19056" s="5" t="s">
        <v>355</v>
      </c>
    </row>
    <row r="19057" ht="16.5" customHeight="1">
      <c r="O19057" s="5" t="s">
        <v>355</v>
      </c>
      <c r="P19057" s="5" t="s">
        <v>355</v>
      </c>
      <c r="Q19057" s="5" t="s">
        <v>355</v>
      </c>
    </row>
    <row r="19058" ht="16.5" customHeight="1">
      <c r="O19058" s="5" t="s">
        <v>355</v>
      </c>
      <c r="P19058" s="5" t="s">
        <v>355</v>
      </c>
      <c r="Q19058" s="5" t="s">
        <v>355</v>
      </c>
    </row>
    <row r="19059" ht="16.5" customHeight="1">
      <c r="O19059" s="5" t="s">
        <v>355</v>
      </c>
      <c r="P19059" s="5" t="s">
        <v>355</v>
      </c>
      <c r="Q19059" s="5" t="s">
        <v>355</v>
      </c>
    </row>
    <row r="19060" ht="16.5" customHeight="1">
      <c r="O19060" s="5" t="s">
        <v>355</v>
      </c>
      <c r="P19060" s="5" t="s">
        <v>355</v>
      </c>
      <c r="Q19060" s="5" t="s">
        <v>355</v>
      </c>
    </row>
    <row r="19061" ht="16.5" customHeight="1">
      <c r="O19061" s="5" t="s">
        <v>355</v>
      </c>
      <c r="P19061" s="5" t="s">
        <v>355</v>
      </c>
      <c r="Q19061" s="5" t="s">
        <v>355</v>
      </c>
    </row>
    <row r="19062" ht="16.5" customHeight="1">
      <c r="O19062" s="5" t="s">
        <v>355</v>
      </c>
      <c r="P19062" s="5" t="s">
        <v>355</v>
      </c>
      <c r="Q19062" s="5" t="s">
        <v>355</v>
      </c>
    </row>
    <row r="19063" ht="16.5" customHeight="1">
      <c r="O19063" s="5" t="s">
        <v>355</v>
      </c>
      <c r="P19063" s="5" t="s">
        <v>355</v>
      </c>
      <c r="Q19063" s="5" t="s">
        <v>355</v>
      </c>
    </row>
    <row r="19064" ht="16.5" customHeight="1">
      <c r="O19064" s="5" t="s">
        <v>355</v>
      </c>
      <c r="P19064" s="5" t="s">
        <v>355</v>
      </c>
      <c r="Q19064" s="5" t="s">
        <v>355</v>
      </c>
    </row>
    <row r="19065" ht="16.5" customHeight="1">
      <c r="O19065" s="5" t="s">
        <v>355</v>
      </c>
      <c r="P19065" s="5" t="s">
        <v>355</v>
      </c>
      <c r="Q19065" s="5" t="s">
        <v>355</v>
      </c>
    </row>
    <row r="19066" ht="16.5" customHeight="1">
      <c r="O19066" s="5" t="s">
        <v>355</v>
      </c>
      <c r="P19066" s="5" t="s">
        <v>355</v>
      </c>
      <c r="Q19066" s="5" t="s">
        <v>355</v>
      </c>
    </row>
    <row r="19067" ht="16.5" customHeight="1">
      <c r="O19067" s="5" t="s">
        <v>355</v>
      </c>
      <c r="P19067" s="5" t="s">
        <v>355</v>
      </c>
      <c r="Q19067" s="5" t="s">
        <v>355</v>
      </c>
    </row>
    <row r="19068" ht="16.5" customHeight="1">
      <c r="O19068" s="5" t="s">
        <v>355</v>
      </c>
      <c r="P19068" s="5" t="s">
        <v>355</v>
      </c>
      <c r="Q19068" s="5" t="s">
        <v>355</v>
      </c>
    </row>
    <row r="19069" ht="16.5" customHeight="1">
      <c r="O19069" s="5" t="s">
        <v>355</v>
      </c>
      <c r="P19069" s="5" t="s">
        <v>355</v>
      </c>
      <c r="Q19069" s="5" t="s">
        <v>355</v>
      </c>
    </row>
    <row r="19070" ht="16.5" customHeight="1">
      <c r="O19070" s="5" t="s">
        <v>355</v>
      </c>
      <c r="P19070" s="5" t="s">
        <v>355</v>
      </c>
      <c r="Q19070" s="5" t="s">
        <v>355</v>
      </c>
    </row>
    <row r="19071" ht="16.5" customHeight="1">
      <c r="O19071" s="5" t="s">
        <v>355</v>
      </c>
      <c r="P19071" s="5" t="s">
        <v>355</v>
      </c>
      <c r="Q19071" s="5" t="s">
        <v>355</v>
      </c>
    </row>
    <row r="19072" ht="16.5" customHeight="1">
      <c r="O19072" s="5" t="s">
        <v>355</v>
      </c>
      <c r="P19072" s="5" t="s">
        <v>355</v>
      </c>
      <c r="Q19072" s="5" t="s">
        <v>355</v>
      </c>
    </row>
    <row r="19073" ht="16.5" customHeight="1">
      <c r="O19073" s="5" t="s">
        <v>355</v>
      </c>
      <c r="P19073" s="5" t="s">
        <v>355</v>
      </c>
      <c r="Q19073" s="5" t="s">
        <v>355</v>
      </c>
    </row>
    <row r="19074" ht="16.5" customHeight="1">
      <c r="O19074" s="5" t="s">
        <v>355</v>
      </c>
      <c r="P19074" s="5" t="s">
        <v>355</v>
      </c>
      <c r="Q19074" s="5" t="s">
        <v>355</v>
      </c>
    </row>
    <row r="19075" ht="16.5" customHeight="1">
      <c r="O19075" s="5" t="s">
        <v>355</v>
      </c>
      <c r="P19075" s="5" t="s">
        <v>355</v>
      </c>
      <c r="Q19075" s="5" t="s">
        <v>355</v>
      </c>
    </row>
    <row r="19076" ht="16.5" customHeight="1">
      <c r="O19076" s="5" t="s">
        <v>355</v>
      </c>
      <c r="P19076" s="5" t="s">
        <v>355</v>
      </c>
      <c r="Q19076" s="5" t="s">
        <v>355</v>
      </c>
    </row>
    <row r="19077" ht="16.5" customHeight="1">
      <c r="O19077" s="5" t="s">
        <v>355</v>
      </c>
      <c r="P19077" s="5" t="s">
        <v>355</v>
      </c>
      <c r="Q19077" s="5" t="s">
        <v>355</v>
      </c>
    </row>
    <row r="19078" ht="16.5" customHeight="1">
      <c r="O19078" s="5" t="s">
        <v>355</v>
      </c>
      <c r="P19078" s="5" t="s">
        <v>355</v>
      </c>
      <c r="Q19078" s="5" t="s">
        <v>355</v>
      </c>
    </row>
    <row r="19079" ht="16.5" customHeight="1">
      <c r="O19079" s="5" t="s">
        <v>355</v>
      </c>
      <c r="P19079" s="5" t="s">
        <v>355</v>
      </c>
      <c r="Q19079" s="5" t="s">
        <v>355</v>
      </c>
    </row>
    <row r="19080" ht="16.5" customHeight="1">
      <c r="O19080" s="5" t="s">
        <v>355</v>
      </c>
      <c r="P19080" s="5" t="s">
        <v>355</v>
      </c>
      <c r="Q19080" s="5" t="s">
        <v>355</v>
      </c>
    </row>
    <row r="19081" ht="16.5" customHeight="1">
      <c r="O19081" s="5" t="s">
        <v>355</v>
      </c>
      <c r="P19081" s="5" t="s">
        <v>355</v>
      </c>
      <c r="Q19081" s="5" t="s">
        <v>355</v>
      </c>
    </row>
    <row r="19082" ht="16.5" customHeight="1">
      <c r="O19082" s="5" t="s">
        <v>355</v>
      </c>
      <c r="P19082" s="5" t="s">
        <v>355</v>
      </c>
      <c r="Q19082" s="5" t="s">
        <v>355</v>
      </c>
    </row>
    <row r="19083" ht="16.5" customHeight="1">
      <c r="O19083" s="5" t="s">
        <v>355</v>
      </c>
      <c r="P19083" s="5" t="s">
        <v>355</v>
      </c>
      <c r="Q19083" s="5" t="s">
        <v>355</v>
      </c>
    </row>
    <row r="19084" ht="16.5" customHeight="1">
      <c r="O19084" s="5" t="s">
        <v>355</v>
      </c>
      <c r="P19084" s="5" t="s">
        <v>355</v>
      </c>
      <c r="Q19084" s="5" t="s">
        <v>355</v>
      </c>
    </row>
    <row r="19085" ht="16.5" customHeight="1">
      <c r="O19085" s="5" t="s">
        <v>355</v>
      </c>
      <c r="P19085" s="5" t="s">
        <v>355</v>
      </c>
      <c r="Q19085" s="5" t="s">
        <v>355</v>
      </c>
    </row>
    <row r="19086" ht="16.5" customHeight="1">
      <c r="O19086" s="5" t="s">
        <v>355</v>
      </c>
      <c r="P19086" s="5" t="s">
        <v>355</v>
      </c>
      <c r="Q19086" s="5" t="s">
        <v>355</v>
      </c>
    </row>
    <row r="19087" ht="16.5" customHeight="1">
      <c r="O19087" s="5" t="s">
        <v>355</v>
      </c>
      <c r="P19087" s="5" t="s">
        <v>355</v>
      </c>
      <c r="Q19087" s="5" t="s">
        <v>355</v>
      </c>
    </row>
    <row r="19088" ht="16.5" customHeight="1">
      <c r="O19088" s="5" t="s">
        <v>355</v>
      </c>
      <c r="P19088" s="5" t="s">
        <v>355</v>
      </c>
      <c r="Q19088" s="5" t="s">
        <v>355</v>
      </c>
    </row>
    <row r="19089" ht="16.5" customHeight="1">
      <c r="O19089" s="5" t="s">
        <v>355</v>
      </c>
      <c r="P19089" s="5" t="s">
        <v>355</v>
      </c>
      <c r="Q19089" s="5" t="s">
        <v>355</v>
      </c>
    </row>
    <row r="19090" ht="16.5" customHeight="1">
      <c r="O19090" s="5" t="s">
        <v>355</v>
      </c>
      <c r="P19090" s="5" t="s">
        <v>355</v>
      </c>
      <c r="Q19090" s="5" t="s">
        <v>355</v>
      </c>
    </row>
    <row r="19091" ht="16.5" customHeight="1">
      <c r="O19091" s="5" t="s">
        <v>355</v>
      </c>
      <c r="P19091" s="5" t="s">
        <v>355</v>
      </c>
      <c r="Q19091" s="5" t="s">
        <v>355</v>
      </c>
    </row>
    <row r="19092" ht="16.5" customHeight="1">
      <c r="O19092" s="5" t="s">
        <v>355</v>
      </c>
      <c r="P19092" s="5" t="s">
        <v>355</v>
      </c>
      <c r="Q19092" s="5" t="s">
        <v>355</v>
      </c>
    </row>
    <row r="19093" ht="16.5" customHeight="1">
      <c r="O19093" s="5" t="s">
        <v>355</v>
      </c>
      <c r="P19093" s="5" t="s">
        <v>355</v>
      </c>
      <c r="Q19093" s="5" t="s">
        <v>355</v>
      </c>
    </row>
    <row r="19094" ht="16.5" customHeight="1">
      <c r="O19094" s="5" t="s">
        <v>355</v>
      </c>
      <c r="P19094" s="5" t="s">
        <v>355</v>
      </c>
      <c r="Q19094" s="5" t="s">
        <v>355</v>
      </c>
    </row>
    <row r="19095" ht="16.5" customHeight="1">
      <c r="O19095" s="5" t="s">
        <v>355</v>
      </c>
      <c r="P19095" s="5" t="s">
        <v>355</v>
      </c>
      <c r="Q19095" s="5" t="s">
        <v>355</v>
      </c>
    </row>
    <row r="19096" ht="16.5" customHeight="1">
      <c r="O19096" s="5" t="s">
        <v>355</v>
      </c>
      <c r="P19096" s="5" t="s">
        <v>355</v>
      </c>
      <c r="Q19096" s="5" t="s">
        <v>355</v>
      </c>
    </row>
    <row r="19097" ht="16.5" customHeight="1">
      <c r="O19097" s="5" t="s">
        <v>355</v>
      </c>
      <c r="P19097" s="5" t="s">
        <v>355</v>
      </c>
      <c r="Q19097" s="5" t="s">
        <v>355</v>
      </c>
    </row>
    <row r="19098" ht="16.5" customHeight="1">
      <c r="O19098" s="5" t="s">
        <v>355</v>
      </c>
      <c r="P19098" s="5" t="s">
        <v>355</v>
      </c>
      <c r="Q19098" s="5" t="s">
        <v>355</v>
      </c>
    </row>
    <row r="19099" ht="16.5" customHeight="1">
      <c r="O19099" s="5" t="s">
        <v>355</v>
      </c>
      <c r="P19099" s="5" t="s">
        <v>355</v>
      </c>
      <c r="Q19099" s="5" t="s">
        <v>355</v>
      </c>
    </row>
    <row r="19100" ht="16.5" customHeight="1">
      <c r="O19100" s="5" t="s">
        <v>355</v>
      </c>
      <c r="P19100" s="5" t="s">
        <v>355</v>
      </c>
      <c r="Q19100" s="5" t="s">
        <v>355</v>
      </c>
    </row>
    <row r="19101" ht="16.5" customHeight="1">
      <c r="O19101" s="5" t="s">
        <v>355</v>
      </c>
      <c r="P19101" s="5" t="s">
        <v>355</v>
      </c>
      <c r="Q19101" s="5" t="s">
        <v>355</v>
      </c>
    </row>
    <row r="19102" ht="16.5" customHeight="1">
      <c r="O19102" s="5" t="s">
        <v>355</v>
      </c>
      <c r="P19102" s="5" t="s">
        <v>355</v>
      </c>
      <c r="Q19102" s="5" t="s">
        <v>355</v>
      </c>
    </row>
    <row r="19103" ht="16.5" customHeight="1">
      <c r="O19103" s="5" t="s">
        <v>355</v>
      </c>
      <c r="P19103" s="5" t="s">
        <v>355</v>
      </c>
      <c r="Q19103" s="5" t="s">
        <v>355</v>
      </c>
    </row>
    <row r="19104" ht="16.5" customHeight="1">
      <c r="O19104" s="5" t="s">
        <v>355</v>
      </c>
      <c r="P19104" s="5" t="s">
        <v>355</v>
      </c>
      <c r="Q19104" s="5" t="s">
        <v>355</v>
      </c>
    </row>
    <row r="19105" ht="16.5" customHeight="1">
      <c r="O19105" s="5" t="s">
        <v>355</v>
      </c>
      <c r="P19105" s="5" t="s">
        <v>355</v>
      </c>
      <c r="Q19105" s="5" t="s">
        <v>355</v>
      </c>
    </row>
    <row r="19106" ht="16.5" customHeight="1">
      <c r="O19106" s="5" t="s">
        <v>355</v>
      </c>
      <c r="P19106" s="5" t="s">
        <v>355</v>
      </c>
      <c r="Q19106" s="5" t="s">
        <v>355</v>
      </c>
    </row>
    <row r="19107" ht="16.5" customHeight="1">
      <c r="O19107" s="5" t="s">
        <v>355</v>
      </c>
      <c r="P19107" s="5" t="s">
        <v>355</v>
      </c>
      <c r="Q19107" s="5" t="s">
        <v>355</v>
      </c>
    </row>
    <row r="19108" ht="16.5" customHeight="1">
      <c r="O19108" s="5" t="s">
        <v>355</v>
      </c>
      <c r="P19108" s="5" t="s">
        <v>355</v>
      </c>
      <c r="Q19108" s="5" t="s">
        <v>355</v>
      </c>
    </row>
    <row r="19109" ht="16.5" customHeight="1">
      <c r="O19109" s="5" t="s">
        <v>355</v>
      </c>
      <c r="P19109" s="5" t="s">
        <v>355</v>
      </c>
      <c r="Q19109" s="5" t="s">
        <v>355</v>
      </c>
    </row>
    <row r="19110" ht="16.5" customHeight="1">
      <c r="O19110" s="5" t="s">
        <v>355</v>
      </c>
      <c r="P19110" s="5" t="s">
        <v>355</v>
      </c>
      <c r="Q19110" s="5" t="s">
        <v>355</v>
      </c>
    </row>
    <row r="19111" ht="16.5" customHeight="1">
      <c r="O19111" s="5" t="s">
        <v>355</v>
      </c>
      <c r="P19111" s="5" t="s">
        <v>355</v>
      </c>
      <c r="Q19111" s="5" t="s">
        <v>355</v>
      </c>
    </row>
    <row r="19112" ht="16.5" customHeight="1">
      <c r="O19112" s="5" t="s">
        <v>355</v>
      </c>
      <c r="P19112" s="5" t="s">
        <v>355</v>
      </c>
      <c r="Q19112" s="5" t="s">
        <v>355</v>
      </c>
    </row>
    <row r="19113" ht="16.5" customHeight="1">
      <c r="O19113" s="5" t="s">
        <v>355</v>
      </c>
      <c r="P19113" s="5" t="s">
        <v>355</v>
      </c>
      <c r="Q19113" s="5" t="s">
        <v>355</v>
      </c>
    </row>
    <row r="19114" ht="16.5" customHeight="1">
      <c r="O19114" s="5" t="s">
        <v>355</v>
      </c>
      <c r="P19114" s="5" t="s">
        <v>355</v>
      </c>
      <c r="Q19114" s="5" t="s">
        <v>355</v>
      </c>
    </row>
    <row r="19115" ht="16.5" customHeight="1">
      <c r="O19115" s="5" t="s">
        <v>355</v>
      </c>
      <c r="P19115" s="5" t="s">
        <v>355</v>
      </c>
      <c r="Q19115" s="5" t="s">
        <v>355</v>
      </c>
    </row>
    <row r="19116" ht="16.5" customHeight="1">
      <c r="O19116" s="5" t="s">
        <v>355</v>
      </c>
      <c r="P19116" s="5" t="s">
        <v>355</v>
      </c>
      <c r="Q19116" s="5" t="s">
        <v>355</v>
      </c>
    </row>
    <row r="19117" ht="16.5" customHeight="1">
      <c r="O19117" s="5" t="s">
        <v>355</v>
      </c>
      <c r="P19117" s="5" t="s">
        <v>355</v>
      </c>
      <c r="Q19117" s="5" t="s">
        <v>355</v>
      </c>
    </row>
    <row r="19118" ht="16.5" customHeight="1">
      <c r="O19118" s="5" t="s">
        <v>355</v>
      </c>
      <c r="P19118" s="5" t="s">
        <v>355</v>
      </c>
      <c r="Q19118" s="5" t="s">
        <v>355</v>
      </c>
    </row>
    <row r="19119" ht="16.5" customHeight="1">
      <c r="O19119" s="5" t="s">
        <v>355</v>
      </c>
      <c r="P19119" s="5" t="s">
        <v>355</v>
      </c>
      <c r="Q19119" s="5" t="s">
        <v>355</v>
      </c>
    </row>
    <row r="19120" ht="16.5" customHeight="1">
      <c r="O19120" s="5" t="s">
        <v>355</v>
      </c>
      <c r="P19120" s="5" t="s">
        <v>355</v>
      </c>
      <c r="Q19120" s="5" t="s">
        <v>355</v>
      </c>
    </row>
    <row r="19121" ht="16.5" customHeight="1">
      <c r="O19121" s="5" t="s">
        <v>355</v>
      </c>
      <c r="P19121" s="5" t="s">
        <v>355</v>
      </c>
      <c r="Q19121" s="5" t="s">
        <v>355</v>
      </c>
    </row>
    <row r="19122" ht="16.5" customHeight="1">
      <c r="O19122" s="5" t="s">
        <v>355</v>
      </c>
      <c r="P19122" s="5" t="s">
        <v>355</v>
      </c>
      <c r="Q19122" s="5" t="s">
        <v>355</v>
      </c>
    </row>
    <row r="19123" ht="16.5" customHeight="1">
      <c r="O19123" s="5" t="s">
        <v>355</v>
      </c>
      <c r="P19123" s="5" t="s">
        <v>355</v>
      </c>
      <c r="Q19123" s="5" t="s">
        <v>355</v>
      </c>
    </row>
    <row r="19124" ht="16.5" customHeight="1">
      <c r="O19124" s="5" t="s">
        <v>355</v>
      </c>
      <c r="P19124" s="5" t="s">
        <v>355</v>
      </c>
      <c r="Q19124" s="5" t="s">
        <v>355</v>
      </c>
    </row>
    <row r="19125" ht="16.5" customHeight="1">
      <c r="O19125" s="5" t="s">
        <v>355</v>
      </c>
      <c r="P19125" s="5" t="s">
        <v>355</v>
      </c>
      <c r="Q19125" s="5" t="s">
        <v>355</v>
      </c>
    </row>
    <row r="19126" ht="16.5" customHeight="1">
      <c r="O19126" s="5" t="s">
        <v>355</v>
      </c>
      <c r="P19126" s="5" t="s">
        <v>355</v>
      </c>
      <c r="Q19126" s="5" t="s">
        <v>355</v>
      </c>
    </row>
    <row r="19127" ht="16.5" customHeight="1">
      <c r="O19127" s="5" t="s">
        <v>355</v>
      </c>
      <c r="P19127" s="5" t="s">
        <v>355</v>
      </c>
      <c r="Q19127" s="5" t="s">
        <v>355</v>
      </c>
    </row>
    <row r="19128" ht="16.5" customHeight="1">
      <c r="O19128" s="5" t="s">
        <v>355</v>
      </c>
      <c r="P19128" s="5" t="s">
        <v>355</v>
      </c>
      <c r="Q19128" s="5" t="s">
        <v>355</v>
      </c>
    </row>
    <row r="19129" ht="16.5" customHeight="1">
      <c r="O19129" s="5" t="s">
        <v>355</v>
      </c>
      <c r="P19129" s="5" t="s">
        <v>355</v>
      </c>
      <c r="Q19129" s="5" t="s">
        <v>355</v>
      </c>
    </row>
    <row r="19130" ht="16.5" customHeight="1">
      <c r="O19130" s="5" t="s">
        <v>355</v>
      </c>
      <c r="P19130" s="5" t="s">
        <v>355</v>
      </c>
      <c r="Q19130" s="5" t="s">
        <v>355</v>
      </c>
    </row>
    <row r="19131" ht="16.5" customHeight="1">
      <c r="O19131" s="5" t="s">
        <v>355</v>
      </c>
      <c r="P19131" s="5" t="s">
        <v>355</v>
      </c>
      <c r="Q19131" s="5" t="s">
        <v>355</v>
      </c>
    </row>
    <row r="19132" ht="16.5" customHeight="1">
      <c r="O19132" s="5" t="s">
        <v>355</v>
      </c>
      <c r="P19132" s="5" t="s">
        <v>355</v>
      </c>
      <c r="Q19132" s="5" t="s">
        <v>355</v>
      </c>
    </row>
    <row r="19133" ht="16.5" customHeight="1">
      <c r="O19133" s="5" t="s">
        <v>355</v>
      </c>
      <c r="P19133" s="5" t="s">
        <v>355</v>
      </c>
      <c r="Q19133" s="5" t="s">
        <v>355</v>
      </c>
    </row>
    <row r="19134" ht="16.5" customHeight="1">
      <c r="O19134" s="5" t="s">
        <v>355</v>
      </c>
      <c r="P19134" s="5" t="s">
        <v>355</v>
      </c>
      <c r="Q19134" s="5" t="s">
        <v>355</v>
      </c>
    </row>
    <row r="19135" ht="16.5" customHeight="1">
      <c r="O19135" s="5" t="s">
        <v>355</v>
      </c>
      <c r="P19135" s="5" t="s">
        <v>355</v>
      </c>
      <c r="Q19135" s="5" t="s">
        <v>355</v>
      </c>
    </row>
    <row r="19136" ht="16.5" customHeight="1">
      <c r="O19136" s="5" t="s">
        <v>355</v>
      </c>
      <c r="P19136" s="5" t="s">
        <v>355</v>
      </c>
      <c r="Q19136" s="5" t="s">
        <v>355</v>
      </c>
    </row>
    <row r="19137" ht="16.5" customHeight="1">
      <c r="O19137" s="5" t="s">
        <v>355</v>
      </c>
      <c r="P19137" s="5" t="s">
        <v>355</v>
      </c>
      <c r="Q19137" s="5" t="s">
        <v>355</v>
      </c>
    </row>
    <row r="19138" ht="16.5" customHeight="1">
      <c r="O19138" s="5" t="s">
        <v>355</v>
      </c>
      <c r="P19138" s="5" t="s">
        <v>355</v>
      </c>
      <c r="Q19138" s="5" t="s">
        <v>355</v>
      </c>
    </row>
    <row r="19139" ht="16.5" customHeight="1">
      <c r="O19139" s="5" t="s">
        <v>355</v>
      </c>
      <c r="P19139" s="5" t="s">
        <v>355</v>
      </c>
      <c r="Q19139" s="5" t="s">
        <v>355</v>
      </c>
    </row>
    <row r="19140" ht="16.5" customHeight="1">
      <c r="O19140" s="5" t="s">
        <v>355</v>
      </c>
      <c r="P19140" s="5" t="s">
        <v>355</v>
      </c>
      <c r="Q19140" s="5" t="s">
        <v>355</v>
      </c>
    </row>
    <row r="19141" ht="16.5" customHeight="1">
      <c r="O19141" s="5" t="s">
        <v>355</v>
      </c>
      <c r="P19141" s="5" t="s">
        <v>355</v>
      </c>
      <c r="Q19141" s="5" t="s">
        <v>355</v>
      </c>
    </row>
    <row r="19142" ht="16.5" customHeight="1">
      <c r="O19142" s="5" t="s">
        <v>355</v>
      </c>
      <c r="P19142" s="5" t="s">
        <v>355</v>
      </c>
      <c r="Q19142" s="5" t="s">
        <v>355</v>
      </c>
    </row>
    <row r="19143" ht="16.5" customHeight="1">
      <c r="O19143" s="5" t="s">
        <v>355</v>
      </c>
      <c r="P19143" s="5" t="s">
        <v>355</v>
      </c>
      <c r="Q19143" s="5" t="s">
        <v>355</v>
      </c>
    </row>
    <row r="19144" ht="16.5" customHeight="1">
      <c r="O19144" s="5" t="s">
        <v>355</v>
      </c>
      <c r="P19144" s="5" t="s">
        <v>355</v>
      </c>
      <c r="Q19144" s="5" t="s">
        <v>355</v>
      </c>
    </row>
    <row r="19145" ht="16.5" customHeight="1">
      <c r="O19145" s="5" t="s">
        <v>355</v>
      </c>
      <c r="P19145" s="5" t="s">
        <v>355</v>
      </c>
      <c r="Q19145" s="5" t="s">
        <v>355</v>
      </c>
    </row>
    <row r="19146" ht="16.5" customHeight="1">
      <c r="O19146" s="5" t="s">
        <v>355</v>
      </c>
      <c r="P19146" s="5" t="s">
        <v>355</v>
      </c>
      <c r="Q19146" s="5" t="s">
        <v>355</v>
      </c>
    </row>
    <row r="19147" ht="16.5" customHeight="1">
      <c r="O19147" s="5" t="s">
        <v>355</v>
      </c>
      <c r="P19147" s="5" t="s">
        <v>355</v>
      </c>
      <c r="Q19147" s="5" t="s">
        <v>355</v>
      </c>
    </row>
    <row r="19148" ht="16.5" customHeight="1">
      <c r="O19148" s="5" t="s">
        <v>355</v>
      </c>
      <c r="P19148" s="5" t="s">
        <v>355</v>
      </c>
      <c r="Q19148" s="5" t="s">
        <v>355</v>
      </c>
    </row>
    <row r="19149" ht="16.5" customHeight="1">
      <c r="O19149" s="5" t="s">
        <v>355</v>
      </c>
      <c r="P19149" s="5" t="s">
        <v>355</v>
      </c>
      <c r="Q19149" s="5" t="s">
        <v>355</v>
      </c>
    </row>
    <row r="19150" ht="16.5" customHeight="1">
      <c r="O19150" s="5" t="s">
        <v>355</v>
      </c>
      <c r="P19150" s="5" t="s">
        <v>355</v>
      </c>
      <c r="Q19150" s="5" t="s">
        <v>355</v>
      </c>
    </row>
    <row r="19151" ht="16.5" customHeight="1">
      <c r="O19151" s="5" t="s">
        <v>355</v>
      </c>
      <c r="P19151" s="5" t="s">
        <v>355</v>
      </c>
      <c r="Q19151" s="5" t="s">
        <v>355</v>
      </c>
    </row>
    <row r="19152" ht="16.5" customHeight="1">
      <c r="O19152" s="5" t="s">
        <v>355</v>
      </c>
      <c r="P19152" s="5" t="s">
        <v>355</v>
      </c>
      <c r="Q19152" s="5" t="s">
        <v>355</v>
      </c>
    </row>
    <row r="19153" ht="16.5" customHeight="1">
      <c r="O19153" s="5" t="s">
        <v>355</v>
      </c>
      <c r="P19153" s="5" t="s">
        <v>355</v>
      </c>
      <c r="Q19153" s="5" t="s">
        <v>355</v>
      </c>
    </row>
    <row r="19154" ht="16.5" customHeight="1">
      <c r="O19154" s="5" t="s">
        <v>355</v>
      </c>
      <c r="P19154" s="5" t="s">
        <v>355</v>
      </c>
      <c r="Q19154" s="5" t="s">
        <v>355</v>
      </c>
    </row>
    <row r="19155" ht="16.5" customHeight="1">
      <c r="O19155" s="5" t="s">
        <v>355</v>
      </c>
      <c r="P19155" s="5" t="s">
        <v>355</v>
      </c>
      <c r="Q19155" s="5" t="s">
        <v>355</v>
      </c>
    </row>
    <row r="19156" ht="16.5" customHeight="1">
      <c r="O19156" s="5" t="s">
        <v>355</v>
      </c>
      <c r="P19156" s="5" t="s">
        <v>355</v>
      </c>
      <c r="Q19156" s="5" t="s">
        <v>355</v>
      </c>
    </row>
    <row r="19157" ht="16.5" customHeight="1">
      <c r="O19157" s="5" t="s">
        <v>355</v>
      </c>
      <c r="P19157" s="5" t="s">
        <v>355</v>
      </c>
      <c r="Q19157" s="5" t="s">
        <v>355</v>
      </c>
    </row>
    <row r="19158" ht="16.5" customHeight="1">
      <c r="O19158" s="5" t="s">
        <v>355</v>
      </c>
      <c r="P19158" s="5" t="s">
        <v>355</v>
      </c>
      <c r="Q19158" s="5" t="s">
        <v>355</v>
      </c>
    </row>
    <row r="19159" ht="16.5" customHeight="1">
      <c r="O19159" s="5" t="s">
        <v>355</v>
      </c>
      <c r="P19159" s="5" t="s">
        <v>355</v>
      </c>
      <c r="Q19159" s="5" t="s">
        <v>355</v>
      </c>
    </row>
    <row r="19160" ht="16.5" customHeight="1">
      <c r="O19160" s="5" t="s">
        <v>355</v>
      </c>
      <c r="P19160" s="5" t="s">
        <v>355</v>
      </c>
      <c r="Q19160" s="5" t="s">
        <v>355</v>
      </c>
    </row>
    <row r="19161" ht="16.5" customHeight="1">
      <c r="O19161" s="5" t="s">
        <v>355</v>
      </c>
      <c r="P19161" s="5" t="s">
        <v>355</v>
      </c>
      <c r="Q19161" s="5" t="s">
        <v>355</v>
      </c>
    </row>
    <row r="19162" ht="16.5" customHeight="1">
      <c r="O19162" s="5" t="s">
        <v>355</v>
      </c>
      <c r="P19162" s="5" t="s">
        <v>355</v>
      </c>
      <c r="Q19162" s="5" t="s">
        <v>355</v>
      </c>
    </row>
    <row r="19163" ht="16.5" customHeight="1">
      <c r="O19163" s="5" t="s">
        <v>355</v>
      </c>
      <c r="P19163" s="5" t="s">
        <v>355</v>
      </c>
      <c r="Q19163" s="5" t="s">
        <v>355</v>
      </c>
    </row>
    <row r="19164" ht="16.5" customHeight="1">
      <c r="O19164" s="5" t="s">
        <v>355</v>
      </c>
      <c r="P19164" s="5" t="s">
        <v>355</v>
      </c>
      <c r="Q19164" s="5" t="s">
        <v>355</v>
      </c>
    </row>
    <row r="19165" ht="16.5" customHeight="1">
      <c r="O19165" s="5" t="s">
        <v>355</v>
      </c>
      <c r="P19165" s="5" t="s">
        <v>355</v>
      </c>
      <c r="Q19165" s="5" t="s">
        <v>355</v>
      </c>
    </row>
    <row r="19166" ht="16.5" customHeight="1">
      <c r="O19166" s="5" t="s">
        <v>355</v>
      </c>
      <c r="P19166" s="5" t="s">
        <v>355</v>
      </c>
      <c r="Q19166" s="5" t="s">
        <v>355</v>
      </c>
    </row>
    <row r="19167" ht="16.5" customHeight="1">
      <c r="O19167" s="5" t="s">
        <v>355</v>
      </c>
      <c r="P19167" s="5" t="s">
        <v>355</v>
      </c>
      <c r="Q19167" s="5" t="s">
        <v>355</v>
      </c>
    </row>
    <row r="19168" ht="16.5" customHeight="1">
      <c r="O19168" s="5" t="s">
        <v>355</v>
      </c>
      <c r="P19168" s="5" t="s">
        <v>355</v>
      </c>
      <c r="Q19168" s="5" t="s">
        <v>355</v>
      </c>
    </row>
    <row r="19169" ht="16.5" customHeight="1">
      <c r="O19169" s="5" t="s">
        <v>355</v>
      </c>
      <c r="P19169" s="5" t="s">
        <v>355</v>
      </c>
      <c r="Q19169" s="5" t="s">
        <v>355</v>
      </c>
    </row>
    <row r="19170" ht="16.5" customHeight="1">
      <c r="O19170" s="5" t="s">
        <v>355</v>
      </c>
      <c r="P19170" s="5" t="s">
        <v>355</v>
      </c>
      <c r="Q19170" s="5" t="s">
        <v>355</v>
      </c>
    </row>
    <row r="19171" ht="16.5" customHeight="1">
      <c r="O19171" s="5" t="s">
        <v>355</v>
      </c>
      <c r="P19171" s="5" t="s">
        <v>355</v>
      </c>
      <c r="Q19171" s="5" t="s">
        <v>355</v>
      </c>
    </row>
    <row r="19172" ht="16.5" customHeight="1">
      <c r="O19172" s="5" t="s">
        <v>355</v>
      </c>
      <c r="P19172" s="5" t="s">
        <v>355</v>
      </c>
      <c r="Q19172" s="5" t="s">
        <v>355</v>
      </c>
    </row>
    <row r="19173" ht="16.5" customHeight="1">
      <c r="O19173" s="5" t="s">
        <v>355</v>
      </c>
      <c r="P19173" s="5" t="s">
        <v>355</v>
      </c>
      <c r="Q19173" s="5" t="s">
        <v>355</v>
      </c>
    </row>
    <row r="19174" ht="16.5" customHeight="1">
      <c r="O19174" s="5" t="s">
        <v>355</v>
      </c>
      <c r="P19174" s="5" t="s">
        <v>355</v>
      </c>
      <c r="Q19174" s="5" t="s">
        <v>355</v>
      </c>
    </row>
    <row r="19175" ht="16.5" customHeight="1">
      <c r="O19175" s="5" t="s">
        <v>355</v>
      </c>
      <c r="P19175" s="5" t="s">
        <v>355</v>
      </c>
      <c r="Q19175" s="5" t="s">
        <v>355</v>
      </c>
    </row>
    <row r="19176" ht="16.5" customHeight="1">
      <c r="O19176" s="5" t="s">
        <v>355</v>
      </c>
      <c r="P19176" s="5" t="s">
        <v>355</v>
      </c>
      <c r="Q19176" s="5" t="s">
        <v>355</v>
      </c>
    </row>
    <row r="19177" ht="16.5" customHeight="1">
      <c r="O19177" s="5" t="s">
        <v>355</v>
      </c>
      <c r="P19177" s="5" t="s">
        <v>355</v>
      </c>
      <c r="Q19177" s="5" t="s">
        <v>355</v>
      </c>
    </row>
    <row r="19178" ht="16.5" customHeight="1">
      <c r="O19178" s="5" t="s">
        <v>355</v>
      </c>
      <c r="P19178" s="5" t="s">
        <v>355</v>
      </c>
      <c r="Q19178" s="5" t="s">
        <v>355</v>
      </c>
    </row>
    <row r="19179" ht="16.5" customHeight="1">
      <c r="O19179" s="5" t="s">
        <v>355</v>
      </c>
      <c r="P19179" s="5" t="s">
        <v>355</v>
      </c>
      <c r="Q19179" s="5" t="s">
        <v>355</v>
      </c>
    </row>
    <row r="19180" ht="16.5" customHeight="1">
      <c r="O19180" s="5" t="s">
        <v>355</v>
      </c>
      <c r="P19180" s="5" t="s">
        <v>355</v>
      </c>
      <c r="Q19180" s="5" t="s">
        <v>355</v>
      </c>
    </row>
    <row r="19181" ht="16.5" customHeight="1">
      <c r="O19181" s="5" t="s">
        <v>355</v>
      </c>
      <c r="P19181" s="5" t="s">
        <v>355</v>
      </c>
      <c r="Q19181" s="5" t="s">
        <v>355</v>
      </c>
    </row>
    <row r="19182" ht="16.5" customHeight="1">
      <c r="O19182" s="5" t="s">
        <v>355</v>
      </c>
      <c r="P19182" s="5" t="s">
        <v>355</v>
      </c>
      <c r="Q19182" s="5" t="s">
        <v>355</v>
      </c>
    </row>
    <row r="19183" ht="16.5" customHeight="1">
      <c r="O19183" s="5" t="s">
        <v>355</v>
      </c>
      <c r="P19183" s="5" t="s">
        <v>355</v>
      </c>
      <c r="Q19183" s="5" t="s">
        <v>355</v>
      </c>
    </row>
    <row r="19184" ht="16.5" customHeight="1">
      <c r="O19184" s="5" t="s">
        <v>355</v>
      </c>
      <c r="P19184" s="5" t="s">
        <v>355</v>
      </c>
      <c r="Q19184" s="5" t="s">
        <v>355</v>
      </c>
    </row>
    <row r="19185" ht="16.5" customHeight="1">
      <c r="O19185" s="5" t="s">
        <v>355</v>
      </c>
      <c r="P19185" s="5" t="s">
        <v>355</v>
      </c>
      <c r="Q19185" s="5" t="s">
        <v>355</v>
      </c>
    </row>
    <row r="19186" ht="16.5" customHeight="1">
      <c r="O19186" s="5" t="s">
        <v>355</v>
      </c>
      <c r="P19186" s="5" t="s">
        <v>355</v>
      </c>
      <c r="Q19186" s="5" t="s">
        <v>355</v>
      </c>
    </row>
    <row r="19187" ht="16.5" customHeight="1">
      <c r="O19187" s="5" t="s">
        <v>355</v>
      </c>
      <c r="P19187" s="5" t="s">
        <v>355</v>
      </c>
      <c r="Q19187" s="5" t="s">
        <v>355</v>
      </c>
    </row>
    <row r="19188" ht="16.5" customHeight="1">
      <c r="O19188" s="5" t="s">
        <v>355</v>
      </c>
      <c r="P19188" s="5" t="s">
        <v>355</v>
      </c>
      <c r="Q19188" s="5" t="s">
        <v>355</v>
      </c>
    </row>
    <row r="19189" ht="16.5" customHeight="1">
      <c r="O19189" s="5" t="s">
        <v>355</v>
      </c>
      <c r="P19189" s="5" t="s">
        <v>355</v>
      </c>
      <c r="Q19189" s="5" t="s">
        <v>355</v>
      </c>
    </row>
    <row r="19190" ht="16.5" customHeight="1">
      <c r="O19190" s="5" t="s">
        <v>355</v>
      </c>
      <c r="P19190" s="5" t="s">
        <v>355</v>
      </c>
      <c r="Q19190" s="5" t="s">
        <v>355</v>
      </c>
    </row>
    <row r="19191" ht="16.5" customHeight="1">
      <c r="O19191" s="5" t="s">
        <v>355</v>
      </c>
      <c r="P19191" s="5" t="s">
        <v>355</v>
      </c>
      <c r="Q19191" s="5" t="s">
        <v>355</v>
      </c>
    </row>
    <row r="19192" ht="16.5" customHeight="1">
      <c r="O19192" s="5" t="s">
        <v>355</v>
      </c>
      <c r="P19192" s="5" t="s">
        <v>355</v>
      </c>
      <c r="Q19192" s="5" t="s">
        <v>355</v>
      </c>
    </row>
    <row r="19193" ht="16.5" customHeight="1">
      <c r="O19193" s="5" t="s">
        <v>355</v>
      </c>
      <c r="P19193" s="5" t="s">
        <v>355</v>
      </c>
      <c r="Q19193" s="5" t="s">
        <v>355</v>
      </c>
    </row>
    <row r="19194" ht="16.5" customHeight="1">
      <c r="O19194" s="5" t="s">
        <v>355</v>
      </c>
      <c r="P19194" s="5" t="s">
        <v>355</v>
      </c>
      <c r="Q19194" s="5" t="s">
        <v>355</v>
      </c>
    </row>
    <row r="19195" ht="16.5" customHeight="1">
      <c r="O19195" s="5" t="s">
        <v>355</v>
      </c>
      <c r="P19195" s="5" t="s">
        <v>355</v>
      </c>
      <c r="Q19195" s="5" t="s">
        <v>355</v>
      </c>
    </row>
    <row r="19196" ht="16.5" customHeight="1">
      <c r="O19196" s="5" t="s">
        <v>355</v>
      </c>
      <c r="P19196" s="5" t="s">
        <v>355</v>
      </c>
      <c r="Q19196" s="5" t="s">
        <v>355</v>
      </c>
    </row>
    <row r="19197" ht="16.5" customHeight="1">
      <c r="O19197" s="5" t="s">
        <v>355</v>
      </c>
      <c r="P19197" s="5" t="s">
        <v>355</v>
      </c>
      <c r="Q19197" s="5" t="s">
        <v>355</v>
      </c>
    </row>
    <row r="19198" ht="16.5" customHeight="1">
      <c r="O19198" s="5" t="s">
        <v>355</v>
      </c>
      <c r="P19198" s="5" t="s">
        <v>355</v>
      </c>
      <c r="Q19198" s="5" t="s">
        <v>355</v>
      </c>
    </row>
    <row r="19199" ht="16.5" customHeight="1">
      <c r="O19199" s="5" t="s">
        <v>355</v>
      </c>
      <c r="P19199" s="5" t="s">
        <v>355</v>
      </c>
      <c r="Q19199" s="5" t="s">
        <v>355</v>
      </c>
    </row>
    <row r="19200" ht="16.5" customHeight="1">
      <c r="O19200" s="5" t="s">
        <v>355</v>
      </c>
      <c r="P19200" s="5" t="s">
        <v>355</v>
      </c>
      <c r="Q19200" s="5" t="s">
        <v>355</v>
      </c>
    </row>
    <row r="19201" ht="16.5" customHeight="1">
      <c r="O19201" s="5" t="s">
        <v>355</v>
      </c>
      <c r="P19201" s="5" t="s">
        <v>355</v>
      </c>
      <c r="Q19201" s="5" t="s">
        <v>355</v>
      </c>
    </row>
    <row r="19202" ht="16.5" customHeight="1">
      <c r="O19202" s="5" t="s">
        <v>355</v>
      </c>
      <c r="P19202" s="5" t="s">
        <v>355</v>
      </c>
      <c r="Q19202" s="5" t="s">
        <v>355</v>
      </c>
    </row>
    <row r="19203" ht="16.5" customHeight="1">
      <c r="O19203" s="5" t="s">
        <v>355</v>
      </c>
      <c r="P19203" s="5" t="s">
        <v>355</v>
      </c>
      <c r="Q19203" s="5" t="s">
        <v>355</v>
      </c>
    </row>
    <row r="19204" ht="16.5" customHeight="1">
      <c r="O19204" s="5" t="s">
        <v>355</v>
      </c>
      <c r="P19204" s="5" t="s">
        <v>355</v>
      </c>
      <c r="Q19204" s="5" t="s">
        <v>355</v>
      </c>
    </row>
    <row r="19205" ht="16.5" customHeight="1">
      <c r="O19205" s="5" t="s">
        <v>355</v>
      </c>
      <c r="P19205" s="5" t="s">
        <v>355</v>
      </c>
      <c r="Q19205" s="5" t="s">
        <v>355</v>
      </c>
    </row>
    <row r="19206" ht="16.5" customHeight="1">
      <c r="O19206" s="5" t="s">
        <v>355</v>
      </c>
      <c r="P19206" s="5" t="s">
        <v>355</v>
      </c>
      <c r="Q19206" s="5" t="s">
        <v>355</v>
      </c>
    </row>
    <row r="19207" ht="16.5" customHeight="1">
      <c r="O19207" s="5" t="s">
        <v>355</v>
      </c>
      <c r="P19207" s="5" t="s">
        <v>355</v>
      </c>
      <c r="Q19207" s="5" t="s">
        <v>355</v>
      </c>
    </row>
    <row r="19208" ht="16.5" customHeight="1">
      <c r="O19208" s="5" t="s">
        <v>355</v>
      </c>
      <c r="P19208" s="5" t="s">
        <v>355</v>
      </c>
      <c r="Q19208" s="5" t="s">
        <v>355</v>
      </c>
    </row>
    <row r="19209" ht="16.5" customHeight="1">
      <c r="O19209" s="5" t="s">
        <v>355</v>
      </c>
      <c r="P19209" s="5" t="s">
        <v>355</v>
      </c>
      <c r="Q19209" s="5" t="s">
        <v>355</v>
      </c>
    </row>
    <row r="19210" ht="16.5" customHeight="1">
      <c r="O19210" s="5" t="s">
        <v>355</v>
      </c>
      <c r="P19210" s="5" t="s">
        <v>355</v>
      </c>
      <c r="Q19210" s="5" t="s">
        <v>355</v>
      </c>
    </row>
    <row r="19211" ht="16.5" customHeight="1">
      <c r="O19211" s="5" t="s">
        <v>355</v>
      </c>
      <c r="P19211" s="5" t="s">
        <v>355</v>
      </c>
      <c r="Q19211" s="5" t="s">
        <v>355</v>
      </c>
    </row>
    <row r="19212" ht="16.5" customHeight="1">
      <c r="O19212" s="5" t="s">
        <v>355</v>
      </c>
      <c r="P19212" s="5" t="s">
        <v>355</v>
      </c>
      <c r="Q19212" s="5" t="s">
        <v>355</v>
      </c>
    </row>
    <row r="19213" ht="16.5" customHeight="1">
      <c r="O19213" s="5" t="s">
        <v>355</v>
      </c>
      <c r="P19213" s="5" t="s">
        <v>355</v>
      </c>
      <c r="Q19213" s="5" t="s">
        <v>355</v>
      </c>
    </row>
    <row r="19214" ht="16.5" customHeight="1">
      <c r="O19214" s="5" t="s">
        <v>355</v>
      </c>
      <c r="P19214" s="5" t="s">
        <v>355</v>
      </c>
      <c r="Q19214" s="5" t="s">
        <v>355</v>
      </c>
    </row>
    <row r="19215" ht="16.5" customHeight="1">
      <c r="O19215" s="5" t="s">
        <v>355</v>
      </c>
      <c r="P19215" s="5" t="s">
        <v>355</v>
      </c>
      <c r="Q19215" s="5" t="s">
        <v>355</v>
      </c>
    </row>
    <row r="19216" ht="16.5" customHeight="1">
      <c r="O19216" s="5" t="s">
        <v>355</v>
      </c>
      <c r="P19216" s="5" t="s">
        <v>355</v>
      </c>
      <c r="Q19216" s="5" t="s">
        <v>355</v>
      </c>
    </row>
    <row r="19217" ht="16.5" customHeight="1">
      <c r="O19217" s="5" t="s">
        <v>355</v>
      </c>
      <c r="P19217" s="5" t="s">
        <v>355</v>
      </c>
      <c r="Q19217" s="5" t="s">
        <v>355</v>
      </c>
    </row>
    <row r="19218" ht="16.5" customHeight="1">
      <c r="O19218" s="5" t="s">
        <v>355</v>
      </c>
      <c r="P19218" s="5" t="s">
        <v>355</v>
      </c>
      <c r="Q19218" s="5" t="s">
        <v>355</v>
      </c>
    </row>
    <row r="19219" ht="16.5" customHeight="1">
      <c r="O19219" s="5" t="s">
        <v>355</v>
      </c>
      <c r="P19219" s="5" t="s">
        <v>355</v>
      </c>
      <c r="Q19219" s="5" t="s">
        <v>355</v>
      </c>
    </row>
    <row r="19220" ht="16.5" customHeight="1">
      <c r="O19220" s="5" t="s">
        <v>355</v>
      </c>
      <c r="P19220" s="5" t="s">
        <v>355</v>
      </c>
      <c r="Q19220" s="5" t="s">
        <v>355</v>
      </c>
    </row>
    <row r="19221" ht="16.5" customHeight="1">
      <c r="O19221" s="5" t="s">
        <v>355</v>
      </c>
      <c r="P19221" s="5" t="s">
        <v>355</v>
      </c>
      <c r="Q19221" s="5" t="s">
        <v>355</v>
      </c>
    </row>
    <row r="19222" ht="16.5" customHeight="1">
      <c r="O19222" s="5" t="s">
        <v>355</v>
      </c>
      <c r="P19222" s="5" t="s">
        <v>355</v>
      </c>
      <c r="Q19222" s="5" t="s">
        <v>355</v>
      </c>
    </row>
    <row r="19223" ht="16.5" customHeight="1">
      <c r="O19223" s="5" t="s">
        <v>355</v>
      </c>
      <c r="P19223" s="5" t="s">
        <v>355</v>
      </c>
      <c r="Q19223" s="5" t="s">
        <v>355</v>
      </c>
    </row>
    <row r="19224" ht="16.5" customHeight="1">
      <c r="O19224" s="5" t="s">
        <v>355</v>
      </c>
      <c r="P19224" s="5" t="s">
        <v>355</v>
      </c>
      <c r="Q19224" s="5" t="s">
        <v>355</v>
      </c>
    </row>
    <row r="19225" ht="16.5" customHeight="1">
      <c r="O19225" s="5" t="s">
        <v>355</v>
      </c>
      <c r="P19225" s="5" t="s">
        <v>355</v>
      </c>
      <c r="Q19225" s="5" t="s">
        <v>355</v>
      </c>
    </row>
    <row r="19226" ht="16.5" customHeight="1">
      <c r="O19226" s="5" t="s">
        <v>355</v>
      </c>
      <c r="P19226" s="5" t="s">
        <v>355</v>
      </c>
      <c r="Q19226" s="5" t="s">
        <v>355</v>
      </c>
    </row>
    <row r="19227" ht="16.5" customHeight="1">
      <c r="O19227" s="5" t="s">
        <v>355</v>
      </c>
      <c r="P19227" s="5" t="s">
        <v>355</v>
      </c>
      <c r="Q19227" s="5" t="s">
        <v>355</v>
      </c>
    </row>
    <row r="19228" ht="16.5" customHeight="1">
      <c r="O19228" s="5" t="s">
        <v>355</v>
      </c>
      <c r="P19228" s="5" t="s">
        <v>355</v>
      </c>
      <c r="Q19228" s="5" t="s">
        <v>355</v>
      </c>
    </row>
    <row r="19229" ht="16.5" customHeight="1">
      <c r="O19229" s="5" t="s">
        <v>355</v>
      </c>
      <c r="P19229" s="5" t="s">
        <v>355</v>
      </c>
      <c r="Q19229" s="5" t="s">
        <v>355</v>
      </c>
    </row>
    <row r="19230" ht="16.5" customHeight="1">
      <c r="O19230" s="5" t="s">
        <v>355</v>
      </c>
      <c r="P19230" s="5" t="s">
        <v>355</v>
      </c>
      <c r="Q19230" s="5" t="s">
        <v>355</v>
      </c>
    </row>
    <row r="19231" ht="16.5" customHeight="1">
      <c r="O19231" s="5" t="s">
        <v>355</v>
      </c>
      <c r="P19231" s="5" t="s">
        <v>355</v>
      </c>
      <c r="Q19231" s="5" t="s">
        <v>355</v>
      </c>
    </row>
    <row r="19232" ht="16.5" customHeight="1">
      <c r="O19232" s="5" t="s">
        <v>355</v>
      </c>
      <c r="P19232" s="5" t="s">
        <v>355</v>
      </c>
      <c r="Q19232" s="5" t="s">
        <v>355</v>
      </c>
    </row>
    <row r="19233" ht="16.5" customHeight="1">
      <c r="O19233" s="5" t="s">
        <v>355</v>
      </c>
      <c r="P19233" s="5" t="s">
        <v>355</v>
      </c>
      <c r="Q19233" s="5" t="s">
        <v>355</v>
      </c>
    </row>
    <row r="19234" ht="16.5" customHeight="1">
      <c r="O19234" s="5" t="s">
        <v>355</v>
      </c>
      <c r="P19234" s="5" t="s">
        <v>355</v>
      </c>
      <c r="Q19234" s="5" t="s">
        <v>355</v>
      </c>
    </row>
    <row r="19235" ht="16.5" customHeight="1">
      <c r="O19235" s="5" t="s">
        <v>355</v>
      </c>
      <c r="P19235" s="5" t="s">
        <v>355</v>
      </c>
      <c r="Q19235" s="5" t="s">
        <v>355</v>
      </c>
    </row>
    <row r="19236" ht="16.5" customHeight="1">
      <c r="O19236" s="5" t="s">
        <v>355</v>
      </c>
      <c r="P19236" s="5" t="s">
        <v>355</v>
      </c>
      <c r="Q19236" s="5" t="s">
        <v>355</v>
      </c>
    </row>
    <row r="19237" ht="16.5" customHeight="1">
      <c r="O19237" s="5" t="s">
        <v>355</v>
      </c>
      <c r="P19237" s="5" t="s">
        <v>355</v>
      </c>
      <c r="Q19237" s="5" t="s">
        <v>355</v>
      </c>
    </row>
    <row r="19238" ht="16.5" customHeight="1">
      <c r="O19238" s="5" t="s">
        <v>355</v>
      </c>
      <c r="P19238" s="5" t="s">
        <v>355</v>
      </c>
      <c r="Q19238" s="5" t="s">
        <v>355</v>
      </c>
    </row>
    <row r="19239" ht="16.5" customHeight="1">
      <c r="O19239" s="5" t="s">
        <v>355</v>
      </c>
      <c r="P19239" s="5" t="s">
        <v>355</v>
      </c>
      <c r="Q19239" s="5" t="s">
        <v>355</v>
      </c>
    </row>
    <row r="19240" ht="16.5" customHeight="1">
      <c r="O19240" s="5" t="s">
        <v>355</v>
      </c>
      <c r="P19240" s="5" t="s">
        <v>355</v>
      </c>
      <c r="Q19240" s="5" t="s">
        <v>355</v>
      </c>
    </row>
    <row r="19241" ht="16.5" customHeight="1">
      <c r="O19241" s="5" t="s">
        <v>355</v>
      </c>
      <c r="P19241" s="5" t="s">
        <v>355</v>
      </c>
      <c r="Q19241" s="5" t="s">
        <v>355</v>
      </c>
    </row>
    <row r="19242" ht="16.5" customHeight="1">
      <c r="O19242" s="5" t="s">
        <v>355</v>
      </c>
      <c r="P19242" s="5" t="s">
        <v>355</v>
      </c>
      <c r="Q19242" s="5" t="s">
        <v>355</v>
      </c>
    </row>
    <row r="19243" ht="16.5" customHeight="1">
      <c r="O19243" s="5" t="s">
        <v>355</v>
      </c>
      <c r="P19243" s="5" t="s">
        <v>355</v>
      </c>
      <c r="Q19243" s="5" t="s">
        <v>355</v>
      </c>
    </row>
    <row r="19244" ht="16.5" customHeight="1">
      <c r="O19244" s="5" t="s">
        <v>355</v>
      </c>
      <c r="P19244" s="5" t="s">
        <v>355</v>
      </c>
      <c r="Q19244" s="5" t="s">
        <v>355</v>
      </c>
    </row>
    <row r="19245" ht="16.5" customHeight="1">
      <c r="O19245" s="5" t="s">
        <v>355</v>
      </c>
      <c r="P19245" s="5" t="s">
        <v>355</v>
      </c>
      <c r="Q19245" s="5" t="s">
        <v>355</v>
      </c>
    </row>
    <row r="19246" ht="16.5" customHeight="1">
      <c r="O19246" s="5" t="s">
        <v>355</v>
      </c>
      <c r="P19246" s="5" t="s">
        <v>355</v>
      </c>
      <c r="Q19246" s="5" t="s">
        <v>355</v>
      </c>
    </row>
    <row r="19247" ht="16.5" customHeight="1">
      <c r="O19247" s="5" t="s">
        <v>355</v>
      </c>
      <c r="P19247" s="5" t="s">
        <v>355</v>
      </c>
      <c r="Q19247" s="5" t="s">
        <v>355</v>
      </c>
    </row>
    <row r="19248" ht="16.5" customHeight="1">
      <c r="O19248" s="5" t="s">
        <v>355</v>
      </c>
      <c r="P19248" s="5" t="s">
        <v>355</v>
      </c>
      <c r="Q19248" s="5" t="s">
        <v>355</v>
      </c>
    </row>
    <row r="19249" ht="16.5" customHeight="1">
      <c r="O19249" s="5" t="s">
        <v>355</v>
      </c>
      <c r="P19249" s="5" t="s">
        <v>355</v>
      </c>
      <c r="Q19249" s="5" t="s">
        <v>355</v>
      </c>
    </row>
    <row r="19250" ht="16.5" customHeight="1">
      <c r="O19250" s="5" t="s">
        <v>355</v>
      </c>
      <c r="P19250" s="5" t="s">
        <v>355</v>
      </c>
      <c r="Q19250" s="5" t="s">
        <v>355</v>
      </c>
    </row>
    <row r="19251" ht="16.5" customHeight="1">
      <c r="O19251" s="5" t="s">
        <v>355</v>
      </c>
      <c r="P19251" s="5" t="s">
        <v>355</v>
      </c>
      <c r="Q19251" s="5" t="s">
        <v>355</v>
      </c>
    </row>
    <row r="19252" ht="16.5" customHeight="1">
      <c r="O19252" s="5" t="s">
        <v>355</v>
      </c>
      <c r="P19252" s="5" t="s">
        <v>355</v>
      </c>
      <c r="Q19252" s="5" t="s">
        <v>355</v>
      </c>
    </row>
    <row r="19253" ht="16.5" customHeight="1">
      <c r="O19253" s="5" t="s">
        <v>355</v>
      </c>
      <c r="P19253" s="5" t="s">
        <v>355</v>
      </c>
      <c r="Q19253" s="5" t="s">
        <v>355</v>
      </c>
    </row>
    <row r="19254" ht="16.5" customHeight="1">
      <c r="O19254" s="5" t="s">
        <v>355</v>
      </c>
      <c r="P19254" s="5" t="s">
        <v>355</v>
      </c>
      <c r="Q19254" s="5" t="s">
        <v>355</v>
      </c>
    </row>
    <row r="19255" ht="16.5" customHeight="1">
      <c r="O19255" s="5" t="s">
        <v>355</v>
      </c>
      <c r="P19255" s="5" t="s">
        <v>355</v>
      </c>
      <c r="Q19255" s="5" t="s">
        <v>355</v>
      </c>
    </row>
    <row r="19256" ht="16.5" customHeight="1">
      <c r="O19256" s="5" t="s">
        <v>355</v>
      </c>
      <c r="P19256" s="5" t="s">
        <v>355</v>
      </c>
      <c r="Q19256" s="5" t="s">
        <v>355</v>
      </c>
    </row>
    <row r="19257" ht="16.5" customHeight="1">
      <c r="O19257" s="5" t="s">
        <v>355</v>
      </c>
      <c r="P19257" s="5" t="s">
        <v>355</v>
      </c>
      <c r="Q19257" s="5" t="s">
        <v>355</v>
      </c>
    </row>
    <row r="19258" ht="16.5" customHeight="1">
      <c r="O19258" s="5" t="s">
        <v>355</v>
      </c>
      <c r="P19258" s="5" t="s">
        <v>355</v>
      </c>
      <c r="Q19258" s="5" t="s">
        <v>355</v>
      </c>
    </row>
    <row r="19259" ht="16.5" customHeight="1">
      <c r="O19259" s="5" t="s">
        <v>355</v>
      </c>
      <c r="P19259" s="5" t="s">
        <v>355</v>
      </c>
      <c r="Q19259" s="5" t="s">
        <v>355</v>
      </c>
    </row>
    <row r="19260" ht="16.5" customHeight="1">
      <c r="O19260" s="5" t="s">
        <v>355</v>
      </c>
      <c r="P19260" s="5" t="s">
        <v>355</v>
      </c>
      <c r="Q19260" s="5" t="s">
        <v>355</v>
      </c>
    </row>
    <row r="19261" ht="16.5" customHeight="1">
      <c r="O19261" s="5" t="s">
        <v>355</v>
      </c>
      <c r="P19261" s="5" t="s">
        <v>355</v>
      </c>
      <c r="Q19261" s="5" t="s">
        <v>355</v>
      </c>
    </row>
    <row r="19262" ht="16.5" customHeight="1">
      <c r="O19262" s="5" t="s">
        <v>355</v>
      </c>
      <c r="P19262" s="5" t="s">
        <v>355</v>
      </c>
      <c r="Q19262" s="5" t="s">
        <v>355</v>
      </c>
    </row>
    <row r="19263" ht="16.5" customHeight="1">
      <c r="O19263" s="5" t="s">
        <v>355</v>
      </c>
      <c r="P19263" s="5" t="s">
        <v>355</v>
      </c>
      <c r="Q19263" s="5" t="s">
        <v>355</v>
      </c>
    </row>
    <row r="19264" ht="16.5" customHeight="1">
      <c r="O19264" s="5" t="s">
        <v>355</v>
      </c>
      <c r="P19264" s="5" t="s">
        <v>355</v>
      </c>
      <c r="Q19264" s="5" t="s">
        <v>355</v>
      </c>
    </row>
    <row r="19265" ht="16.5" customHeight="1">
      <c r="O19265" s="5" t="s">
        <v>355</v>
      </c>
      <c r="P19265" s="5" t="s">
        <v>355</v>
      </c>
      <c r="Q19265" s="5" t="s">
        <v>355</v>
      </c>
    </row>
    <row r="19266" ht="16.5" customHeight="1">
      <c r="O19266" s="5" t="s">
        <v>355</v>
      </c>
      <c r="P19266" s="5" t="s">
        <v>355</v>
      </c>
      <c r="Q19266" s="5" t="s">
        <v>355</v>
      </c>
    </row>
    <row r="19267" ht="16.5" customHeight="1">
      <c r="O19267" s="5" t="s">
        <v>355</v>
      </c>
      <c r="P19267" s="5" t="s">
        <v>355</v>
      </c>
      <c r="Q19267" s="5" t="s">
        <v>355</v>
      </c>
    </row>
    <row r="19268" ht="16.5" customHeight="1">
      <c r="O19268" s="5" t="s">
        <v>355</v>
      </c>
      <c r="P19268" s="5" t="s">
        <v>355</v>
      </c>
      <c r="Q19268" s="5" t="s">
        <v>355</v>
      </c>
    </row>
    <row r="19269" ht="16.5" customHeight="1">
      <c r="O19269" s="5" t="s">
        <v>355</v>
      </c>
      <c r="P19269" s="5" t="s">
        <v>355</v>
      </c>
      <c r="Q19269" s="5" t="s">
        <v>355</v>
      </c>
    </row>
    <row r="19270" ht="16.5" customHeight="1">
      <c r="O19270" s="5" t="s">
        <v>355</v>
      </c>
      <c r="P19270" s="5" t="s">
        <v>355</v>
      </c>
      <c r="Q19270" s="5" t="s">
        <v>355</v>
      </c>
    </row>
    <row r="19271" ht="16.5" customHeight="1">
      <c r="O19271" s="5" t="s">
        <v>355</v>
      </c>
      <c r="P19271" s="5" t="s">
        <v>355</v>
      </c>
      <c r="Q19271" s="5" t="s">
        <v>355</v>
      </c>
    </row>
    <row r="19272" ht="16.5" customHeight="1">
      <c r="O19272" s="5" t="s">
        <v>355</v>
      </c>
      <c r="P19272" s="5" t="s">
        <v>355</v>
      </c>
      <c r="Q19272" s="5" t="s">
        <v>355</v>
      </c>
    </row>
    <row r="19273" ht="16.5" customHeight="1">
      <c r="O19273" s="5" t="s">
        <v>355</v>
      </c>
      <c r="P19273" s="5" t="s">
        <v>355</v>
      </c>
      <c r="Q19273" s="5" t="s">
        <v>355</v>
      </c>
    </row>
    <row r="19274" ht="16.5" customHeight="1">
      <c r="O19274" s="5" t="s">
        <v>355</v>
      </c>
      <c r="P19274" s="5" t="s">
        <v>355</v>
      </c>
      <c r="Q19274" s="5" t="s">
        <v>355</v>
      </c>
    </row>
    <row r="19275" ht="16.5" customHeight="1">
      <c r="O19275" s="5" t="s">
        <v>355</v>
      </c>
      <c r="P19275" s="5" t="s">
        <v>355</v>
      </c>
      <c r="Q19275" s="5" t="s">
        <v>355</v>
      </c>
    </row>
    <row r="19276" ht="16.5" customHeight="1">
      <c r="O19276" s="5" t="s">
        <v>355</v>
      </c>
      <c r="P19276" s="5" t="s">
        <v>355</v>
      </c>
      <c r="Q19276" s="5" t="s">
        <v>355</v>
      </c>
    </row>
    <row r="19277" ht="16.5" customHeight="1">
      <c r="O19277" s="5" t="s">
        <v>355</v>
      </c>
      <c r="P19277" s="5" t="s">
        <v>355</v>
      </c>
      <c r="Q19277" s="5" t="s">
        <v>355</v>
      </c>
    </row>
    <row r="19278" ht="16.5" customHeight="1">
      <c r="O19278" s="5" t="s">
        <v>355</v>
      </c>
      <c r="P19278" s="5" t="s">
        <v>355</v>
      </c>
      <c r="Q19278" s="5" t="s">
        <v>355</v>
      </c>
    </row>
    <row r="19279" ht="16.5" customHeight="1">
      <c r="O19279" s="5" t="s">
        <v>355</v>
      </c>
      <c r="P19279" s="5" t="s">
        <v>355</v>
      </c>
      <c r="Q19279" s="5" t="s">
        <v>355</v>
      </c>
    </row>
    <row r="19280" ht="16.5" customHeight="1">
      <c r="O19280" s="5" t="s">
        <v>355</v>
      </c>
      <c r="P19280" s="5" t="s">
        <v>355</v>
      </c>
      <c r="Q19280" s="5" t="s">
        <v>355</v>
      </c>
    </row>
    <row r="19281" ht="16.5" customHeight="1">
      <c r="O19281" s="5" t="s">
        <v>355</v>
      </c>
      <c r="P19281" s="5" t="s">
        <v>355</v>
      </c>
      <c r="Q19281" s="5" t="s">
        <v>355</v>
      </c>
    </row>
    <row r="19282" ht="16.5" customHeight="1">
      <c r="O19282" s="5" t="s">
        <v>355</v>
      </c>
      <c r="P19282" s="5" t="s">
        <v>355</v>
      </c>
      <c r="Q19282" s="5" t="s">
        <v>355</v>
      </c>
    </row>
    <row r="19283" ht="16.5" customHeight="1">
      <c r="O19283" s="5" t="s">
        <v>355</v>
      </c>
      <c r="P19283" s="5" t="s">
        <v>355</v>
      </c>
      <c r="Q19283" s="5" t="s">
        <v>355</v>
      </c>
    </row>
    <row r="19284" ht="16.5" customHeight="1">
      <c r="O19284" s="5" t="s">
        <v>355</v>
      </c>
      <c r="P19284" s="5" t="s">
        <v>355</v>
      </c>
      <c r="Q19284" s="5" t="s">
        <v>355</v>
      </c>
    </row>
    <row r="19285" ht="16.5" customHeight="1">
      <c r="O19285" s="5" t="s">
        <v>355</v>
      </c>
      <c r="P19285" s="5" t="s">
        <v>355</v>
      </c>
      <c r="Q19285" s="5" t="s">
        <v>355</v>
      </c>
    </row>
    <row r="19286" ht="16.5" customHeight="1">
      <c r="O19286" s="5" t="s">
        <v>355</v>
      </c>
      <c r="P19286" s="5" t="s">
        <v>355</v>
      </c>
      <c r="Q19286" s="5" t="s">
        <v>355</v>
      </c>
    </row>
    <row r="19287" ht="16.5" customHeight="1">
      <c r="O19287" s="5" t="s">
        <v>355</v>
      </c>
      <c r="P19287" s="5" t="s">
        <v>355</v>
      </c>
      <c r="Q19287" s="5" t="s">
        <v>355</v>
      </c>
    </row>
    <row r="19288" ht="16.5" customHeight="1">
      <c r="O19288" s="5" t="s">
        <v>355</v>
      </c>
      <c r="P19288" s="5" t="s">
        <v>355</v>
      </c>
      <c r="Q19288" s="5" t="s">
        <v>355</v>
      </c>
    </row>
    <row r="19289" ht="16.5" customHeight="1">
      <c r="O19289" s="5" t="s">
        <v>355</v>
      </c>
      <c r="P19289" s="5" t="s">
        <v>355</v>
      </c>
      <c r="Q19289" s="5" t="s">
        <v>355</v>
      </c>
    </row>
    <row r="19290" ht="16.5" customHeight="1">
      <c r="O19290" s="5" t="s">
        <v>355</v>
      </c>
      <c r="P19290" s="5" t="s">
        <v>355</v>
      </c>
      <c r="Q19290" s="5" t="s">
        <v>355</v>
      </c>
    </row>
    <row r="19291" ht="16.5" customHeight="1">
      <c r="O19291" s="5" t="s">
        <v>355</v>
      </c>
      <c r="P19291" s="5" t="s">
        <v>355</v>
      </c>
      <c r="Q19291" s="5" t="s">
        <v>355</v>
      </c>
    </row>
    <row r="19292" ht="16.5" customHeight="1">
      <c r="O19292" s="5" t="s">
        <v>355</v>
      </c>
      <c r="P19292" s="5" t="s">
        <v>355</v>
      </c>
      <c r="Q19292" s="5" t="s">
        <v>355</v>
      </c>
    </row>
    <row r="19293" ht="16.5" customHeight="1">
      <c r="O19293" s="5" t="s">
        <v>355</v>
      </c>
      <c r="P19293" s="5" t="s">
        <v>355</v>
      </c>
      <c r="Q19293" s="5" t="s">
        <v>355</v>
      </c>
    </row>
    <row r="19294" ht="16.5" customHeight="1">
      <c r="O19294" s="5" t="s">
        <v>355</v>
      </c>
      <c r="P19294" s="5" t="s">
        <v>355</v>
      </c>
      <c r="Q19294" s="5" t="s">
        <v>355</v>
      </c>
    </row>
    <row r="19295" ht="16.5" customHeight="1">
      <c r="O19295" s="5" t="s">
        <v>355</v>
      </c>
      <c r="P19295" s="5" t="s">
        <v>355</v>
      </c>
      <c r="Q19295" s="5" t="s">
        <v>355</v>
      </c>
    </row>
    <row r="19296" ht="16.5" customHeight="1">
      <c r="O19296" s="5" t="s">
        <v>355</v>
      </c>
      <c r="P19296" s="5" t="s">
        <v>355</v>
      </c>
      <c r="Q19296" s="5" t="s">
        <v>355</v>
      </c>
    </row>
    <row r="19297" ht="16.5" customHeight="1">
      <c r="O19297" s="5" t="s">
        <v>355</v>
      </c>
      <c r="P19297" s="5" t="s">
        <v>355</v>
      </c>
      <c r="Q19297" s="5" t="s">
        <v>355</v>
      </c>
    </row>
    <row r="19298" ht="16.5" customHeight="1">
      <c r="O19298" s="5" t="s">
        <v>355</v>
      </c>
      <c r="P19298" s="5" t="s">
        <v>355</v>
      </c>
      <c r="Q19298" s="5" t="s">
        <v>355</v>
      </c>
    </row>
    <row r="19299" ht="16.5" customHeight="1">
      <c r="O19299" s="5" t="s">
        <v>355</v>
      </c>
      <c r="P19299" s="5" t="s">
        <v>355</v>
      </c>
      <c r="Q19299" s="5" t="s">
        <v>355</v>
      </c>
    </row>
    <row r="19300" ht="16.5" customHeight="1">
      <c r="O19300" s="5" t="s">
        <v>355</v>
      </c>
      <c r="P19300" s="5" t="s">
        <v>355</v>
      </c>
      <c r="Q19300" s="5" t="s">
        <v>355</v>
      </c>
    </row>
    <row r="19301" ht="16.5" customHeight="1">
      <c r="O19301" s="5" t="s">
        <v>355</v>
      </c>
      <c r="P19301" s="5" t="s">
        <v>355</v>
      </c>
      <c r="Q19301" s="5" t="s">
        <v>355</v>
      </c>
    </row>
    <row r="19302" ht="16.5" customHeight="1">
      <c r="O19302" s="5" t="s">
        <v>355</v>
      </c>
      <c r="P19302" s="5" t="s">
        <v>355</v>
      </c>
      <c r="Q19302" s="5" t="s">
        <v>355</v>
      </c>
    </row>
    <row r="19303" ht="16.5" customHeight="1">
      <c r="O19303" s="5" t="s">
        <v>355</v>
      </c>
      <c r="P19303" s="5" t="s">
        <v>355</v>
      </c>
      <c r="Q19303" s="5" t="s">
        <v>355</v>
      </c>
    </row>
    <row r="19304" ht="16.5" customHeight="1">
      <c r="O19304" s="5" t="s">
        <v>355</v>
      </c>
      <c r="P19304" s="5" t="s">
        <v>355</v>
      </c>
      <c r="Q19304" s="5" t="s">
        <v>355</v>
      </c>
    </row>
    <row r="19305" ht="16.5" customHeight="1">
      <c r="O19305" s="5" t="s">
        <v>355</v>
      </c>
      <c r="P19305" s="5" t="s">
        <v>355</v>
      </c>
      <c r="Q19305" s="5" t="s">
        <v>355</v>
      </c>
    </row>
    <row r="19306" ht="16.5" customHeight="1">
      <c r="O19306" s="5" t="s">
        <v>355</v>
      </c>
      <c r="P19306" s="5" t="s">
        <v>355</v>
      </c>
      <c r="Q19306" s="5" t="s">
        <v>355</v>
      </c>
    </row>
    <row r="19307" ht="16.5" customHeight="1">
      <c r="O19307" s="5" t="s">
        <v>355</v>
      </c>
      <c r="P19307" s="5" t="s">
        <v>355</v>
      </c>
      <c r="Q19307" s="5" t="s">
        <v>355</v>
      </c>
    </row>
    <row r="19308" ht="16.5" customHeight="1">
      <c r="O19308" s="5" t="s">
        <v>355</v>
      </c>
      <c r="P19308" s="5" t="s">
        <v>355</v>
      </c>
      <c r="Q19308" s="5" t="s">
        <v>355</v>
      </c>
    </row>
    <row r="19309" ht="16.5" customHeight="1">
      <c r="O19309" s="5" t="s">
        <v>355</v>
      </c>
      <c r="P19309" s="5" t="s">
        <v>355</v>
      </c>
      <c r="Q19309" s="5" t="s">
        <v>355</v>
      </c>
    </row>
    <row r="19310" ht="16.5" customHeight="1">
      <c r="O19310" s="5" t="s">
        <v>355</v>
      </c>
      <c r="P19310" s="5" t="s">
        <v>355</v>
      </c>
      <c r="Q19310" s="5" t="s">
        <v>355</v>
      </c>
    </row>
    <row r="19311" ht="16.5" customHeight="1">
      <c r="O19311" s="5" t="s">
        <v>355</v>
      </c>
      <c r="P19311" s="5" t="s">
        <v>355</v>
      </c>
      <c r="Q19311" s="5" t="s">
        <v>355</v>
      </c>
    </row>
    <row r="19312" ht="16.5" customHeight="1">
      <c r="O19312" s="5" t="s">
        <v>355</v>
      </c>
      <c r="P19312" s="5" t="s">
        <v>355</v>
      </c>
      <c r="Q19312" s="5" t="s">
        <v>355</v>
      </c>
    </row>
    <row r="19313" ht="16.5" customHeight="1">
      <c r="O19313" s="5" t="s">
        <v>355</v>
      </c>
      <c r="P19313" s="5" t="s">
        <v>355</v>
      </c>
      <c r="Q19313" s="5" t="s">
        <v>355</v>
      </c>
    </row>
    <row r="19314" ht="16.5" customHeight="1">
      <c r="O19314" s="5" t="s">
        <v>355</v>
      </c>
      <c r="P19314" s="5" t="s">
        <v>355</v>
      </c>
      <c r="Q19314" s="5" t="s">
        <v>355</v>
      </c>
    </row>
    <row r="19315" ht="16.5" customHeight="1">
      <c r="O19315" s="5" t="s">
        <v>355</v>
      </c>
      <c r="P19315" s="5" t="s">
        <v>355</v>
      </c>
      <c r="Q19315" s="5" t="s">
        <v>355</v>
      </c>
    </row>
    <row r="19316" ht="16.5" customHeight="1">
      <c r="O19316" s="5" t="s">
        <v>355</v>
      </c>
      <c r="P19316" s="5" t="s">
        <v>355</v>
      </c>
      <c r="Q19316" s="5" t="s">
        <v>355</v>
      </c>
    </row>
    <row r="19317" ht="16.5" customHeight="1">
      <c r="O19317" s="5" t="s">
        <v>355</v>
      </c>
      <c r="P19317" s="5" t="s">
        <v>355</v>
      </c>
      <c r="Q19317" s="5" t="s">
        <v>355</v>
      </c>
    </row>
    <row r="19318" ht="16.5" customHeight="1">
      <c r="O19318" s="5" t="s">
        <v>355</v>
      </c>
      <c r="P19318" s="5" t="s">
        <v>355</v>
      </c>
      <c r="Q19318" s="5" t="s">
        <v>355</v>
      </c>
    </row>
    <row r="19319" ht="16.5" customHeight="1">
      <c r="O19319" s="5" t="s">
        <v>355</v>
      </c>
      <c r="P19319" s="5" t="s">
        <v>355</v>
      </c>
      <c r="Q19319" s="5" t="s">
        <v>355</v>
      </c>
    </row>
    <row r="19320" ht="16.5" customHeight="1">
      <c r="O19320" s="5" t="s">
        <v>355</v>
      </c>
      <c r="P19320" s="5" t="s">
        <v>355</v>
      </c>
      <c r="Q19320" s="5" t="s">
        <v>355</v>
      </c>
    </row>
    <row r="19321" ht="16.5" customHeight="1">
      <c r="O19321" s="5" t="s">
        <v>355</v>
      </c>
      <c r="P19321" s="5" t="s">
        <v>355</v>
      </c>
      <c r="Q19321" s="5" t="s">
        <v>355</v>
      </c>
    </row>
    <row r="19322" ht="16.5" customHeight="1">
      <c r="O19322" s="5" t="s">
        <v>355</v>
      </c>
      <c r="P19322" s="5" t="s">
        <v>355</v>
      </c>
      <c r="Q19322" s="5" t="s">
        <v>355</v>
      </c>
    </row>
    <row r="19323" ht="16.5" customHeight="1">
      <c r="O19323" s="5" t="s">
        <v>355</v>
      </c>
      <c r="P19323" s="5" t="s">
        <v>355</v>
      </c>
      <c r="Q19323" s="5" t="s">
        <v>355</v>
      </c>
    </row>
    <row r="19324" ht="16.5" customHeight="1">
      <c r="O19324" s="5" t="s">
        <v>355</v>
      </c>
      <c r="P19324" s="5" t="s">
        <v>355</v>
      </c>
      <c r="Q19324" s="5" t="s">
        <v>355</v>
      </c>
    </row>
    <row r="19325" ht="16.5" customHeight="1">
      <c r="O19325" s="5" t="s">
        <v>355</v>
      </c>
      <c r="P19325" s="5" t="s">
        <v>355</v>
      </c>
      <c r="Q19325" s="5" t="s">
        <v>355</v>
      </c>
    </row>
    <row r="19326" ht="16.5" customHeight="1">
      <c r="O19326" s="5" t="s">
        <v>355</v>
      </c>
      <c r="P19326" s="5" t="s">
        <v>355</v>
      </c>
      <c r="Q19326" s="5" t="s">
        <v>355</v>
      </c>
    </row>
    <row r="19327" ht="16.5" customHeight="1">
      <c r="O19327" s="5" t="s">
        <v>355</v>
      </c>
      <c r="P19327" s="5" t="s">
        <v>355</v>
      </c>
      <c r="Q19327" s="5" t="s">
        <v>355</v>
      </c>
    </row>
    <row r="19328" ht="16.5" customHeight="1">
      <c r="O19328" s="5" t="s">
        <v>355</v>
      </c>
      <c r="P19328" s="5" t="s">
        <v>355</v>
      </c>
      <c r="Q19328" s="5" t="s">
        <v>355</v>
      </c>
    </row>
    <row r="19329" ht="16.5" customHeight="1">
      <c r="O19329" s="5" t="s">
        <v>355</v>
      </c>
      <c r="P19329" s="5" t="s">
        <v>355</v>
      </c>
      <c r="Q19329" s="5" t="s">
        <v>355</v>
      </c>
    </row>
    <row r="19330" ht="16.5" customHeight="1">
      <c r="O19330" s="5" t="s">
        <v>355</v>
      </c>
      <c r="P19330" s="5" t="s">
        <v>355</v>
      </c>
      <c r="Q19330" s="5" t="s">
        <v>355</v>
      </c>
    </row>
    <row r="19331" ht="16.5" customHeight="1">
      <c r="O19331" s="5" t="s">
        <v>355</v>
      </c>
      <c r="P19331" s="5" t="s">
        <v>355</v>
      </c>
      <c r="Q19331" s="5" t="s">
        <v>355</v>
      </c>
    </row>
    <row r="19332" ht="16.5" customHeight="1">
      <c r="O19332" s="5" t="s">
        <v>355</v>
      </c>
      <c r="P19332" s="5" t="s">
        <v>355</v>
      </c>
      <c r="Q19332" s="5" t="s">
        <v>355</v>
      </c>
    </row>
    <row r="19333" ht="16.5" customHeight="1">
      <c r="O19333" s="5" t="s">
        <v>355</v>
      </c>
      <c r="P19333" s="5" t="s">
        <v>355</v>
      </c>
      <c r="Q19333" s="5" t="s">
        <v>355</v>
      </c>
    </row>
    <row r="19334" ht="16.5" customHeight="1">
      <c r="O19334" s="5" t="s">
        <v>355</v>
      </c>
      <c r="P19334" s="5" t="s">
        <v>355</v>
      </c>
      <c r="Q19334" s="5" t="s">
        <v>355</v>
      </c>
    </row>
    <row r="19335" ht="16.5" customHeight="1">
      <c r="O19335" s="5" t="s">
        <v>355</v>
      </c>
      <c r="P19335" s="5" t="s">
        <v>355</v>
      </c>
      <c r="Q19335" s="5" t="s">
        <v>355</v>
      </c>
    </row>
    <row r="19336" ht="16.5" customHeight="1">
      <c r="O19336" s="5" t="s">
        <v>355</v>
      </c>
      <c r="P19336" s="5" t="s">
        <v>355</v>
      </c>
      <c r="Q19336" s="5" t="s">
        <v>355</v>
      </c>
    </row>
    <row r="19337" ht="16.5" customHeight="1">
      <c r="O19337" s="5" t="s">
        <v>355</v>
      </c>
      <c r="P19337" s="5" t="s">
        <v>355</v>
      </c>
      <c r="Q19337" s="5" t="s">
        <v>355</v>
      </c>
    </row>
    <row r="19338" ht="16.5" customHeight="1">
      <c r="O19338" s="5" t="s">
        <v>355</v>
      </c>
      <c r="P19338" s="5" t="s">
        <v>355</v>
      </c>
      <c r="Q19338" s="5" t="s">
        <v>355</v>
      </c>
    </row>
    <row r="19339" ht="16.5" customHeight="1">
      <c r="O19339" s="5" t="s">
        <v>355</v>
      </c>
      <c r="P19339" s="5" t="s">
        <v>355</v>
      </c>
      <c r="Q19339" s="5" t="s">
        <v>355</v>
      </c>
    </row>
    <row r="19340" ht="16.5" customHeight="1">
      <c r="O19340" s="5" t="s">
        <v>355</v>
      </c>
      <c r="P19340" s="5" t="s">
        <v>355</v>
      </c>
      <c r="Q19340" s="5" t="s">
        <v>355</v>
      </c>
    </row>
    <row r="19341" ht="16.5" customHeight="1">
      <c r="O19341" s="5" t="s">
        <v>355</v>
      </c>
      <c r="P19341" s="5" t="s">
        <v>355</v>
      </c>
      <c r="Q19341" s="5" t="s">
        <v>355</v>
      </c>
    </row>
    <row r="19342" ht="16.5" customHeight="1">
      <c r="O19342" s="5" t="s">
        <v>355</v>
      </c>
      <c r="P19342" s="5" t="s">
        <v>355</v>
      </c>
      <c r="Q19342" s="5" t="s">
        <v>355</v>
      </c>
    </row>
    <row r="19343" ht="16.5" customHeight="1">
      <c r="O19343" s="5" t="s">
        <v>355</v>
      </c>
      <c r="P19343" s="5" t="s">
        <v>355</v>
      </c>
      <c r="Q19343" s="5" t="s">
        <v>355</v>
      </c>
    </row>
    <row r="19344" ht="16.5" customHeight="1">
      <c r="O19344" s="5" t="s">
        <v>355</v>
      </c>
      <c r="P19344" s="5" t="s">
        <v>355</v>
      </c>
      <c r="Q19344" s="5" t="s">
        <v>355</v>
      </c>
    </row>
    <row r="19345" ht="16.5" customHeight="1">
      <c r="O19345" s="5" t="s">
        <v>355</v>
      </c>
      <c r="P19345" s="5" t="s">
        <v>355</v>
      </c>
      <c r="Q19345" s="5" t="s">
        <v>355</v>
      </c>
    </row>
    <row r="19346" ht="16.5" customHeight="1">
      <c r="O19346" s="5" t="s">
        <v>355</v>
      </c>
      <c r="P19346" s="5" t="s">
        <v>355</v>
      </c>
      <c r="Q19346" s="5" t="s">
        <v>355</v>
      </c>
    </row>
    <row r="19347" ht="16.5" customHeight="1">
      <c r="O19347" s="5" t="s">
        <v>355</v>
      </c>
      <c r="P19347" s="5" t="s">
        <v>355</v>
      </c>
      <c r="Q19347" s="5" t="s">
        <v>355</v>
      </c>
    </row>
    <row r="19348" ht="16.5" customHeight="1">
      <c r="O19348" s="5" t="s">
        <v>355</v>
      </c>
      <c r="P19348" s="5" t="s">
        <v>355</v>
      </c>
      <c r="Q19348" s="5" t="s">
        <v>355</v>
      </c>
    </row>
    <row r="19349" ht="16.5" customHeight="1">
      <c r="O19349" s="5" t="s">
        <v>355</v>
      </c>
      <c r="P19349" s="5" t="s">
        <v>355</v>
      </c>
      <c r="Q19349" s="5" t="s">
        <v>355</v>
      </c>
    </row>
    <row r="19350" ht="16.5" customHeight="1">
      <c r="O19350" s="5" t="s">
        <v>355</v>
      </c>
      <c r="P19350" s="5" t="s">
        <v>355</v>
      </c>
      <c r="Q19350" s="5" t="s">
        <v>355</v>
      </c>
    </row>
    <row r="19351" ht="16.5" customHeight="1">
      <c r="O19351" s="5" t="s">
        <v>355</v>
      </c>
      <c r="P19351" s="5" t="s">
        <v>355</v>
      </c>
      <c r="Q19351" s="5" t="s">
        <v>355</v>
      </c>
    </row>
    <row r="19352" ht="16.5" customHeight="1">
      <c r="O19352" s="5" t="s">
        <v>355</v>
      </c>
      <c r="P19352" s="5" t="s">
        <v>355</v>
      </c>
      <c r="Q19352" s="5" t="s">
        <v>355</v>
      </c>
    </row>
    <row r="19353" ht="16.5" customHeight="1">
      <c r="O19353" s="5" t="s">
        <v>355</v>
      </c>
      <c r="P19353" s="5" t="s">
        <v>355</v>
      </c>
      <c r="Q19353" s="5" t="s">
        <v>355</v>
      </c>
    </row>
    <row r="19354" ht="16.5" customHeight="1">
      <c r="O19354" s="5" t="s">
        <v>355</v>
      </c>
      <c r="P19354" s="5" t="s">
        <v>355</v>
      </c>
      <c r="Q19354" s="5" t="s">
        <v>355</v>
      </c>
    </row>
    <row r="19355" ht="16.5" customHeight="1">
      <c r="O19355" s="5" t="s">
        <v>355</v>
      </c>
      <c r="P19355" s="5" t="s">
        <v>355</v>
      </c>
      <c r="Q19355" s="5" t="s">
        <v>355</v>
      </c>
    </row>
    <row r="19356" ht="16.5" customHeight="1">
      <c r="O19356" s="5" t="s">
        <v>355</v>
      </c>
      <c r="P19356" s="5" t="s">
        <v>355</v>
      </c>
      <c r="Q19356" s="5" t="s">
        <v>355</v>
      </c>
    </row>
    <row r="19357" ht="16.5" customHeight="1">
      <c r="O19357" s="5" t="s">
        <v>355</v>
      </c>
      <c r="P19357" s="5" t="s">
        <v>355</v>
      </c>
      <c r="Q19357" s="5" t="s">
        <v>355</v>
      </c>
    </row>
    <row r="19358" ht="16.5" customHeight="1">
      <c r="O19358" s="5" t="s">
        <v>355</v>
      </c>
      <c r="P19358" s="5" t="s">
        <v>355</v>
      </c>
      <c r="Q19358" s="5" t="s">
        <v>355</v>
      </c>
    </row>
    <row r="19359" ht="16.5" customHeight="1">
      <c r="O19359" s="5" t="s">
        <v>355</v>
      </c>
      <c r="P19359" s="5" t="s">
        <v>355</v>
      </c>
      <c r="Q19359" s="5" t="s">
        <v>355</v>
      </c>
    </row>
    <row r="19360" ht="16.5" customHeight="1">
      <c r="O19360" s="5" t="s">
        <v>355</v>
      </c>
      <c r="P19360" s="5" t="s">
        <v>355</v>
      </c>
      <c r="Q19360" s="5" t="s">
        <v>355</v>
      </c>
    </row>
    <row r="19361" ht="16.5" customHeight="1">
      <c r="O19361" s="5" t="s">
        <v>355</v>
      </c>
      <c r="P19361" s="5" t="s">
        <v>355</v>
      </c>
      <c r="Q19361" s="5" t="s">
        <v>355</v>
      </c>
    </row>
    <row r="19362" ht="16.5" customHeight="1">
      <c r="O19362" s="5" t="s">
        <v>355</v>
      </c>
      <c r="P19362" s="5" t="s">
        <v>355</v>
      </c>
      <c r="Q19362" s="5" t="s">
        <v>355</v>
      </c>
    </row>
    <row r="19363" ht="16.5" customHeight="1">
      <c r="O19363" s="5" t="s">
        <v>355</v>
      </c>
      <c r="P19363" s="5" t="s">
        <v>355</v>
      </c>
      <c r="Q19363" s="5" t="s">
        <v>355</v>
      </c>
    </row>
    <row r="19364" ht="16.5" customHeight="1">
      <c r="O19364" s="5" t="s">
        <v>355</v>
      </c>
      <c r="P19364" s="5" t="s">
        <v>355</v>
      </c>
      <c r="Q19364" s="5" t="s">
        <v>355</v>
      </c>
    </row>
    <row r="19365" ht="16.5" customHeight="1">
      <c r="O19365" s="5" t="s">
        <v>355</v>
      </c>
      <c r="P19365" s="5" t="s">
        <v>355</v>
      </c>
      <c r="Q19365" s="5" t="s">
        <v>355</v>
      </c>
    </row>
    <row r="19366" ht="16.5" customHeight="1">
      <c r="O19366" s="5" t="s">
        <v>355</v>
      </c>
      <c r="P19366" s="5" t="s">
        <v>355</v>
      </c>
      <c r="Q19366" s="5" t="s">
        <v>355</v>
      </c>
    </row>
    <row r="19367" ht="16.5" customHeight="1">
      <c r="O19367" s="5" t="s">
        <v>355</v>
      </c>
      <c r="P19367" s="5" t="s">
        <v>355</v>
      </c>
      <c r="Q19367" s="5" t="s">
        <v>355</v>
      </c>
    </row>
    <row r="19368" ht="16.5" customHeight="1">
      <c r="O19368" s="5" t="s">
        <v>355</v>
      </c>
      <c r="P19368" s="5" t="s">
        <v>355</v>
      </c>
      <c r="Q19368" s="5" t="s">
        <v>355</v>
      </c>
    </row>
    <row r="19369" ht="16.5" customHeight="1">
      <c r="O19369" s="5" t="s">
        <v>355</v>
      </c>
      <c r="P19369" s="5" t="s">
        <v>355</v>
      </c>
      <c r="Q19369" s="5" t="s">
        <v>355</v>
      </c>
    </row>
    <row r="19370" ht="16.5" customHeight="1">
      <c r="O19370" s="5" t="s">
        <v>355</v>
      </c>
      <c r="P19370" s="5" t="s">
        <v>355</v>
      </c>
      <c r="Q19370" s="5" t="s">
        <v>355</v>
      </c>
    </row>
    <row r="19371" ht="16.5" customHeight="1">
      <c r="O19371" s="5" t="s">
        <v>355</v>
      </c>
      <c r="P19371" s="5" t="s">
        <v>355</v>
      </c>
      <c r="Q19371" s="5" t="s">
        <v>355</v>
      </c>
    </row>
    <row r="19372" ht="16.5" customHeight="1">
      <c r="O19372" s="5" t="s">
        <v>355</v>
      </c>
      <c r="P19372" s="5" t="s">
        <v>355</v>
      </c>
      <c r="Q19372" s="5" t="s">
        <v>355</v>
      </c>
    </row>
    <row r="19373" ht="16.5" customHeight="1">
      <c r="O19373" s="5" t="s">
        <v>355</v>
      </c>
      <c r="P19373" s="5" t="s">
        <v>355</v>
      </c>
      <c r="Q19373" s="5" t="s">
        <v>355</v>
      </c>
    </row>
    <row r="19374" ht="16.5" customHeight="1">
      <c r="O19374" s="5" t="s">
        <v>355</v>
      </c>
      <c r="P19374" s="5" t="s">
        <v>355</v>
      </c>
      <c r="Q19374" s="5" t="s">
        <v>355</v>
      </c>
    </row>
    <row r="19375" ht="16.5" customHeight="1">
      <c r="O19375" s="5" t="s">
        <v>355</v>
      </c>
      <c r="P19375" s="5" t="s">
        <v>355</v>
      </c>
      <c r="Q19375" s="5" t="s">
        <v>355</v>
      </c>
    </row>
    <row r="19376" ht="16.5" customHeight="1">
      <c r="O19376" s="5" t="s">
        <v>355</v>
      </c>
      <c r="P19376" s="5" t="s">
        <v>355</v>
      </c>
      <c r="Q19376" s="5" t="s">
        <v>355</v>
      </c>
    </row>
    <row r="19377" ht="16.5" customHeight="1">
      <c r="O19377" s="5" t="s">
        <v>355</v>
      </c>
      <c r="P19377" s="5" t="s">
        <v>355</v>
      </c>
      <c r="Q19377" s="5" t="s">
        <v>355</v>
      </c>
    </row>
    <row r="19378" ht="16.5" customHeight="1">
      <c r="O19378" s="5" t="s">
        <v>355</v>
      </c>
      <c r="P19378" s="5" t="s">
        <v>355</v>
      </c>
      <c r="Q19378" s="5" t="s">
        <v>355</v>
      </c>
    </row>
    <row r="19379" ht="16.5" customHeight="1">
      <c r="O19379" s="5" t="s">
        <v>355</v>
      </c>
      <c r="P19379" s="5" t="s">
        <v>355</v>
      </c>
      <c r="Q19379" s="5" t="s">
        <v>355</v>
      </c>
    </row>
    <row r="19380" ht="16.5" customHeight="1">
      <c r="O19380" s="5" t="s">
        <v>355</v>
      </c>
      <c r="P19380" s="5" t="s">
        <v>355</v>
      </c>
      <c r="Q19380" s="5" t="s">
        <v>355</v>
      </c>
    </row>
    <row r="19381" ht="16.5" customHeight="1">
      <c r="O19381" s="5" t="s">
        <v>355</v>
      </c>
      <c r="P19381" s="5" t="s">
        <v>355</v>
      </c>
      <c r="Q19381" s="5" t="s">
        <v>355</v>
      </c>
    </row>
    <row r="19382" ht="16.5" customHeight="1">
      <c r="O19382" s="5" t="s">
        <v>355</v>
      </c>
      <c r="P19382" s="5" t="s">
        <v>355</v>
      </c>
      <c r="Q19382" s="5" t="s">
        <v>355</v>
      </c>
    </row>
    <row r="19383" ht="16.5" customHeight="1">
      <c r="O19383" s="5" t="s">
        <v>355</v>
      </c>
      <c r="P19383" s="5" t="s">
        <v>355</v>
      </c>
      <c r="Q19383" s="5" t="s">
        <v>355</v>
      </c>
    </row>
    <row r="19384" ht="16.5" customHeight="1">
      <c r="O19384" s="5" t="s">
        <v>355</v>
      </c>
      <c r="P19384" s="5" t="s">
        <v>355</v>
      </c>
      <c r="Q19384" s="5" t="s">
        <v>355</v>
      </c>
    </row>
    <row r="19385" ht="16.5" customHeight="1">
      <c r="O19385" s="5" t="s">
        <v>355</v>
      </c>
      <c r="P19385" s="5" t="s">
        <v>355</v>
      </c>
      <c r="Q19385" s="5" t="s">
        <v>355</v>
      </c>
    </row>
    <row r="19386" ht="16.5" customHeight="1">
      <c r="O19386" s="5" t="s">
        <v>355</v>
      </c>
      <c r="P19386" s="5" t="s">
        <v>355</v>
      </c>
      <c r="Q19386" s="5" t="s">
        <v>355</v>
      </c>
    </row>
    <row r="19387" ht="16.5" customHeight="1">
      <c r="O19387" s="5" t="s">
        <v>355</v>
      </c>
      <c r="P19387" s="5" t="s">
        <v>355</v>
      </c>
      <c r="Q19387" s="5" t="s">
        <v>355</v>
      </c>
    </row>
    <row r="19388" ht="16.5" customHeight="1">
      <c r="O19388" s="5" t="s">
        <v>355</v>
      </c>
      <c r="P19388" s="5" t="s">
        <v>355</v>
      </c>
      <c r="Q19388" s="5" t="s">
        <v>355</v>
      </c>
    </row>
    <row r="19389" ht="16.5" customHeight="1">
      <c r="O19389" s="5" t="s">
        <v>355</v>
      </c>
      <c r="P19389" s="5" t="s">
        <v>355</v>
      </c>
      <c r="Q19389" s="5" t="s">
        <v>355</v>
      </c>
    </row>
    <row r="19390" ht="16.5" customHeight="1">
      <c r="O19390" s="5" t="s">
        <v>355</v>
      </c>
      <c r="P19390" s="5" t="s">
        <v>355</v>
      </c>
      <c r="Q19390" s="5" t="s">
        <v>355</v>
      </c>
    </row>
    <row r="19391" ht="16.5" customHeight="1">
      <c r="O19391" s="5" t="s">
        <v>355</v>
      </c>
      <c r="P19391" s="5" t="s">
        <v>355</v>
      </c>
      <c r="Q19391" s="5" t="s">
        <v>355</v>
      </c>
    </row>
    <row r="19392" ht="16.5" customHeight="1">
      <c r="O19392" s="5" t="s">
        <v>355</v>
      </c>
      <c r="P19392" s="5" t="s">
        <v>355</v>
      </c>
      <c r="Q19392" s="5" t="s">
        <v>355</v>
      </c>
    </row>
    <row r="19393" ht="16.5" customHeight="1">
      <c r="O19393" s="5" t="s">
        <v>355</v>
      </c>
      <c r="P19393" s="5" t="s">
        <v>355</v>
      </c>
      <c r="Q19393" s="5" t="s">
        <v>355</v>
      </c>
    </row>
    <row r="19394" ht="16.5" customHeight="1">
      <c r="O19394" s="5" t="s">
        <v>355</v>
      </c>
      <c r="P19394" s="5" t="s">
        <v>355</v>
      </c>
      <c r="Q19394" s="5" t="s">
        <v>355</v>
      </c>
    </row>
    <row r="19395" ht="16.5" customHeight="1">
      <c r="O19395" s="5" t="s">
        <v>355</v>
      </c>
      <c r="P19395" s="5" t="s">
        <v>355</v>
      </c>
      <c r="Q19395" s="5" t="s">
        <v>355</v>
      </c>
    </row>
    <row r="19396" ht="16.5" customHeight="1">
      <c r="O19396" s="5" t="s">
        <v>355</v>
      </c>
      <c r="P19396" s="5" t="s">
        <v>355</v>
      </c>
      <c r="Q19396" s="5" t="s">
        <v>355</v>
      </c>
    </row>
    <row r="19397" ht="16.5" customHeight="1">
      <c r="O19397" s="5" t="s">
        <v>355</v>
      </c>
      <c r="P19397" s="5" t="s">
        <v>355</v>
      </c>
      <c r="Q19397" s="5" t="s">
        <v>355</v>
      </c>
    </row>
    <row r="19398" ht="16.5" customHeight="1">
      <c r="O19398" s="5" t="s">
        <v>355</v>
      </c>
      <c r="P19398" s="5" t="s">
        <v>355</v>
      </c>
      <c r="Q19398" s="5" t="s">
        <v>355</v>
      </c>
    </row>
    <row r="19399" ht="16.5" customHeight="1">
      <c r="O19399" s="5" t="s">
        <v>355</v>
      </c>
      <c r="P19399" s="5" t="s">
        <v>355</v>
      </c>
      <c r="Q19399" s="5" t="s">
        <v>355</v>
      </c>
    </row>
    <row r="19400" ht="16.5" customHeight="1">
      <c r="O19400" s="5" t="s">
        <v>355</v>
      </c>
      <c r="P19400" s="5" t="s">
        <v>355</v>
      </c>
      <c r="Q19400" s="5" t="s">
        <v>355</v>
      </c>
    </row>
    <row r="19401" ht="16.5" customHeight="1">
      <c r="O19401" s="5" t="s">
        <v>355</v>
      </c>
      <c r="P19401" s="5" t="s">
        <v>355</v>
      </c>
      <c r="Q19401" s="5" t="s">
        <v>355</v>
      </c>
    </row>
    <row r="19402" ht="16.5" customHeight="1">
      <c r="O19402" s="5" t="s">
        <v>355</v>
      </c>
      <c r="P19402" s="5" t="s">
        <v>355</v>
      </c>
      <c r="Q19402" s="5" t="s">
        <v>355</v>
      </c>
    </row>
    <row r="19403" ht="16.5" customHeight="1">
      <c r="O19403" s="5" t="s">
        <v>355</v>
      </c>
      <c r="P19403" s="5" t="s">
        <v>355</v>
      </c>
      <c r="Q19403" s="5" t="s">
        <v>355</v>
      </c>
    </row>
    <row r="19404" ht="16.5" customHeight="1">
      <c r="O19404" s="5" t="s">
        <v>355</v>
      </c>
      <c r="P19404" s="5" t="s">
        <v>355</v>
      </c>
      <c r="Q19404" s="5" t="s">
        <v>355</v>
      </c>
    </row>
    <row r="19405" ht="16.5" customHeight="1">
      <c r="O19405" s="5" t="s">
        <v>355</v>
      </c>
      <c r="P19405" s="5" t="s">
        <v>355</v>
      </c>
      <c r="Q19405" s="5" t="s">
        <v>355</v>
      </c>
    </row>
    <row r="19406" ht="16.5" customHeight="1">
      <c r="O19406" s="5" t="s">
        <v>355</v>
      </c>
      <c r="P19406" s="5" t="s">
        <v>355</v>
      </c>
      <c r="Q19406" s="5" t="s">
        <v>355</v>
      </c>
    </row>
    <row r="19407" ht="16.5" customHeight="1">
      <c r="O19407" s="5" t="s">
        <v>355</v>
      </c>
      <c r="P19407" s="5" t="s">
        <v>355</v>
      </c>
      <c r="Q19407" s="5" t="s">
        <v>355</v>
      </c>
    </row>
    <row r="19408" ht="16.5" customHeight="1">
      <c r="O19408" s="5" t="s">
        <v>355</v>
      </c>
      <c r="P19408" s="5" t="s">
        <v>355</v>
      </c>
      <c r="Q19408" s="5" t="s">
        <v>355</v>
      </c>
    </row>
    <row r="19409" ht="16.5" customHeight="1">
      <c r="O19409" s="5" t="s">
        <v>355</v>
      </c>
      <c r="P19409" s="5" t="s">
        <v>355</v>
      </c>
      <c r="Q19409" s="5" t="s">
        <v>355</v>
      </c>
    </row>
    <row r="19410" ht="16.5" customHeight="1">
      <c r="O19410" s="5" t="s">
        <v>355</v>
      </c>
      <c r="P19410" s="5" t="s">
        <v>355</v>
      </c>
      <c r="Q19410" s="5" t="s">
        <v>355</v>
      </c>
    </row>
    <row r="19411" ht="16.5" customHeight="1">
      <c r="O19411" s="5" t="s">
        <v>355</v>
      </c>
      <c r="P19411" s="5" t="s">
        <v>355</v>
      </c>
      <c r="Q19411" s="5" t="s">
        <v>355</v>
      </c>
    </row>
    <row r="19412" ht="16.5" customHeight="1">
      <c r="O19412" s="5" t="s">
        <v>355</v>
      </c>
      <c r="P19412" s="5" t="s">
        <v>355</v>
      </c>
      <c r="Q19412" s="5" t="s">
        <v>355</v>
      </c>
    </row>
    <row r="19413" ht="16.5" customHeight="1">
      <c r="O19413" s="5" t="s">
        <v>355</v>
      </c>
      <c r="P19413" s="5" t="s">
        <v>355</v>
      </c>
      <c r="Q19413" s="5" t="s">
        <v>355</v>
      </c>
    </row>
    <row r="19414" ht="16.5" customHeight="1">
      <c r="O19414" s="5" t="s">
        <v>355</v>
      </c>
      <c r="P19414" s="5" t="s">
        <v>355</v>
      </c>
      <c r="Q19414" s="5" t="s">
        <v>355</v>
      </c>
    </row>
    <row r="19415" ht="16.5" customHeight="1">
      <c r="O19415" s="5" t="s">
        <v>355</v>
      </c>
      <c r="P19415" s="5" t="s">
        <v>355</v>
      </c>
      <c r="Q19415" s="5" t="s">
        <v>355</v>
      </c>
    </row>
    <row r="19416" ht="16.5" customHeight="1">
      <c r="O19416" s="5" t="s">
        <v>355</v>
      </c>
      <c r="P19416" s="5" t="s">
        <v>355</v>
      </c>
      <c r="Q19416" s="5" t="s">
        <v>355</v>
      </c>
    </row>
    <row r="19417" ht="16.5" customHeight="1">
      <c r="O19417" s="5" t="s">
        <v>355</v>
      </c>
      <c r="P19417" s="5" t="s">
        <v>355</v>
      </c>
      <c r="Q19417" s="5" t="s">
        <v>355</v>
      </c>
    </row>
    <row r="19418" ht="16.5" customHeight="1">
      <c r="O19418" s="5" t="s">
        <v>355</v>
      </c>
      <c r="P19418" s="5" t="s">
        <v>355</v>
      </c>
      <c r="Q19418" s="5" t="s">
        <v>355</v>
      </c>
    </row>
    <row r="19419" ht="16.5" customHeight="1">
      <c r="O19419" s="5" t="s">
        <v>355</v>
      </c>
      <c r="P19419" s="5" t="s">
        <v>355</v>
      </c>
      <c r="Q19419" s="5" t="s">
        <v>355</v>
      </c>
    </row>
    <row r="19420" ht="16.5" customHeight="1">
      <c r="O19420" s="5" t="s">
        <v>355</v>
      </c>
      <c r="P19420" s="5" t="s">
        <v>355</v>
      </c>
      <c r="Q19420" s="5" t="s">
        <v>355</v>
      </c>
    </row>
    <row r="19421" ht="16.5" customHeight="1">
      <c r="O19421" s="5" t="s">
        <v>355</v>
      </c>
      <c r="P19421" s="5" t="s">
        <v>355</v>
      </c>
      <c r="Q19421" s="5" t="s">
        <v>355</v>
      </c>
    </row>
    <row r="19422" ht="16.5" customHeight="1">
      <c r="O19422" s="5" t="s">
        <v>355</v>
      </c>
      <c r="P19422" s="5" t="s">
        <v>355</v>
      </c>
      <c r="Q19422" s="5" t="s">
        <v>355</v>
      </c>
    </row>
    <row r="19423" ht="16.5" customHeight="1">
      <c r="O19423" s="5" t="s">
        <v>355</v>
      </c>
      <c r="P19423" s="5" t="s">
        <v>355</v>
      </c>
      <c r="Q19423" s="5" t="s">
        <v>355</v>
      </c>
    </row>
    <row r="19424" ht="16.5" customHeight="1">
      <c r="O19424" s="5" t="s">
        <v>355</v>
      </c>
      <c r="P19424" s="5" t="s">
        <v>355</v>
      </c>
      <c r="Q19424" s="5" t="s">
        <v>355</v>
      </c>
    </row>
    <row r="19425" ht="16.5" customHeight="1">
      <c r="O19425" s="5" t="s">
        <v>355</v>
      </c>
      <c r="P19425" s="5" t="s">
        <v>355</v>
      </c>
      <c r="Q19425" s="5" t="s">
        <v>355</v>
      </c>
    </row>
    <row r="19426" ht="16.5" customHeight="1">
      <c r="O19426" s="5" t="s">
        <v>355</v>
      </c>
      <c r="P19426" s="5" t="s">
        <v>355</v>
      </c>
      <c r="Q19426" s="5" t="s">
        <v>355</v>
      </c>
    </row>
    <row r="19427" ht="16.5" customHeight="1">
      <c r="O19427" s="5" t="s">
        <v>355</v>
      </c>
      <c r="P19427" s="5" t="s">
        <v>355</v>
      </c>
      <c r="Q19427" s="5" t="s">
        <v>355</v>
      </c>
    </row>
    <row r="19428" ht="16.5" customHeight="1">
      <c r="O19428" s="5" t="s">
        <v>355</v>
      </c>
      <c r="P19428" s="5" t="s">
        <v>355</v>
      </c>
      <c r="Q19428" s="5" t="s">
        <v>355</v>
      </c>
    </row>
    <row r="19429" ht="16.5" customHeight="1">
      <c r="O19429" s="5" t="s">
        <v>355</v>
      </c>
      <c r="P19429" s="5" t="s">
        <v>355</v>
      </c>
      <c r="Q19429" s="5" t="s">
        <v>355</v>
      </c>
    </row>
    <row r="19430" ht="16.5" customHeight="1">
      <c r="O19430" s="5" t="s">
        <v>355</v>
      </c>
      <c r="P19430" s="5" t="s">
        <v>355</v>
      </c>
      <c r="Q19430" s="5" t="s">
        <v>355</v>
      </c>
    </row>
    <row r="19431" ht="16.5" customHeight="1">
      <c r="O19431" s="5" t="s">
        <v>355</v>
      </c>
      <c r="P19431" s="5" t="s">
        <v>355</v>
      </c>
      <c r="Q19431" s="5" t="s">
        <v>355</v>
      </c>
    </row>
    <row r="19432" ht="16.5" customHeight="1">
      <c r="O19432" s="5" t="s">
        <v>355</v>
      </c>
      <c r="P19432" s="5" t="s">
        <v>355</v>
      </c>
      <c r="Q19432" s="5" t="s">
        <v>355</v>
      </c>
    </row>
    <row r="19433" ht="16.5" customHeight="1">
      <c r="O19433" s="5" t="s">
        <v>355</v>
      </c>
      <c r="P19433" s="5" t="s">
        <v>355</v>
      </c>
      <c r="Q19433" s="5" t="s">
        <v>355</v>
      </c>
    </row>
    <row r="19434" ht="16.5" customHeight="1">
      <c r="O19434" s="5" t="s">
        <v>355</v>
      </c>
      <c r="P19434" s="5" t="s">
        <v>355</v>
      </c>
      <c r="Q19434" s="5" t="s">
        <v>355</v>
      </c>
    </row>
    <row r="19435" ht="16.5" customHeight="1">
      <c r="O19435" s="5" t="s">
        <v>355</v>
      </c>
      <c r="P19435" s="5" t="s">
        <v>355</v>
      </c>
      <c r="Q19435" s="5" t="s">
        <v>355</v>
      </c>
    </row>
    <row r="19436" ht="16.5" customHeight="1">
      <c r="O19436" s="5" t="s">
        <v>355</v>
      </c>
      <c r="P19436" s="5" t="s">
        <v>355</v>
      </c>
      <c r="Q19436" s="5" t="s">
        <v>355</v>
      </c>
    </row>
    <row r="19437" ht="16.5" customHeight="1">
      <c r="O19437" s="5" t="s">
        <v>355</v>
      </c>
      <c r="P19437" s="5" t="s">
        <v>355</v>
      </c>
      <c r="Q19437" s="5" t="s">
        <v>355</v>
      </c>
    </row>
    <row r="19438" ht="16.5" customHeight="1">
      <c r="O19438" s="5" t="s">
        <v>355</v>
      </c>
      <c r="P19438" s="5" t="s">
        <v>355</v>
      </c>
      <c r="Q19438" s="5" t="s">
        <v>355</v>
      </c>
    </row>
    <row r="19439" ht="16.5" customHeight="1">
      <c r="O19439" s="5" t="s">
        <v>355</v>
      </c>
      <c r="P19439" s="5" t="s">
        <v>355</v>
      </c>
      <c r="Q19439" s="5" t="s">
        <v>355</v>
      </c>
    </row>
    <row r="19440" ht="16.5" customHeight="1">
      <c r="O19440" s="5" t="s">
        <v>355</v>
      </c>
      <c r="P19440" s="5" t="s">
        <v>355</v>
      </c>
      <c r="Q19440" s="5" t="s">
        <v>355</v>
      </c>
    </row>
    <row r="19441" ht="16.5" customHeight="1">
      <c r="O19441" s="5" t="s">
        <v>355</v>
      </c>
      <c r="P19441" s="5" t="s">
        <v>355</v>
      </c>
      <c r="Q19441" s="5" t="s">
        <v>355</v>
      </c>
    </row>
    <row r="19442" ht="16.5" customHeight="1">
      <c r="O19442" s="5" t="s">
        <v>355</v>
      </c>
      <c r="P19442" s="5" t="s">
        <v>355</v>
      </c>
      <c r="Q19442" s="5" t="s">
        <v>355</v>
      </c>
    </row>
    <row r="19443" ht="16.5" customHeight="1">
      <c r="O19443" s="5" t="s">
        <v>355</v>
      </c>
      <c r="P19443" s="5" t="s">
        <v>355</v>
      </c>
      <c r="Q19443" s="5" t="s">
        <v>355</v>
      </c>
    </row>
    <row r="19444" ht="16.5" customHeight="1">
      <c r="O19444" s="5" t="s">
        <v>355</v>
      </c>
      <c r="P19444" s="5" t="s">
        <v>355</v>
      </c>
      <c r="Q19444" s="5" t="s">
        <v>355</v>
      </c>
    </row>
    <row r="19445" ht="16.5" customHeight="1">
      <c r="O19445" s="5" t="s">
        <v>355</v>
      </c>
      <c r="P19445" s="5" t="s">
        <v>355</v>
      </c>
      <c r="Q19445" s="5" t="s">
        <v>355</v>
      </c>
    </row>
    <row r="19446" ht="16.5" customHeight="1">
      <c r="O19446" s="5" t="s">
        <v>355</v>
      </c>
      <c r="P19446" s="5" t="s">
        <v>355</v>
      </c>
      <c r="Q19446" s="5" t="s">
        <v>355</v>
      </c>
    </row>
    <row r="19447" ht="16.5" customHeight="1">
      <c r="O19447" s="5" t="s">
        <v>355</v>
      </c>
      <c r="P19447" s="5" t="s">
        <v>355</v>
      </c>
      <c r="Q19447" s="5" t="s">
        <v>355</v>
      </c>
    </row>
    <row r="19448" ht="16.5" customHeight="1">
      <c r="O19448" s="5" t="s">
        <v>355</v>
      </c>
      <c r="P19448" s="5" t="s">
        <v>355</v>
      </c>
      <c r="Q19448" s="5" t="s">
        <v>355</v>
      </c>
    </row>
    <row r="19449" ht="16.5" customHeight="1">
      <c r="O19449" s="5" t="s">
        <v>355</v>
      </c>
      <c r="P19449" s="5" t="s">
        <v>355</v>
      </c>
      <c r="Q19449" s="5" t="s">
        <v>355</v>
      </c>
    </row>
    <row r="19450" ht="16.5" customHeight="1">
      <c r="O19450" s="5" t="s">
        <v>355</v>
      </c>
      <c r="P19450" s="5" t="s">
        <v>355</v>
      </c>
      <c r="Q19450" s="5" t="s">
        <v>355</v>
      </c>
    </row>
    <row r="19451" ht="16.5" customHeight="1">
      <c r="O19451" s="5" t="s">
        <v>355</v>
      </c>
      <c r="P19451" s="5" t="s">
        <v>355</v>
      </c>
      <c r="Q19451" s="5" t="s">
        <v>355</v>
      </c>
    </row>
    <row r="19452" ht="16.5" customHeight="1">
      <c r="O19452" s="5" t="s">
        <v>355</v>
      </c>
      <c r="P19452" s="5" t="s">
        <v>355</v>
      </c>
      <c r="Q19452" s="5" t="s">
        <v>355</v>
      </c>
    </row>
    <row r="19453" ht="16.5" customHeight="1">
      <c r="O19453" s="5" t="s">
        <v>355</v>
      </c>
      <c r="P19453" s="5" t="s">
        <v>355</v>
      </c>
      <c r="Q19453" s="5" t="s">
        <v>355</v>
      </c>
    </row>
    <row r="19454" ht="16.5" customHeight="1">
      <c r="O19454" s="5" t="s">
        <v>355</v>
      </c>
      <c r="P19454" s="5" t="s">
        <v>355</v>
      </c>
      <c r="Q19454" s="5" t="s">
        <v>355</v>
      </c>
    </row>
    <row r="19455" ht="16.5" customHeight="1">
      <c r="O19455" s="5" t="s">
        <v>355</v>
      </c>
      <c r="P19455" s="5" t="s">
        <v>355</v>
      </c>
      <c r="Q19455" s="5" t="s">
        <v>355</v>
      </c>
    </row>
    <row r="19456" ht="16.5" customHeight="1">
      <c r="O19456" s="5" t="s">
        <v>355</v>
      </c>
      <c r="P19456" s="5" t="s">
        <v>355</v>
      </c>
      <c r="Q19456" s="5" t="s">
        <v>355</v>
      </c>
    </row>
    <row r="19457" ht="16.5" customHeight="1">
      <c r="O19457" s="5" t="s">
        <v>355</v>
      </c>
      <c r="P19457" s="5" t="s">
        <v>355</v>
      </c>
      <c r="Q19457" s="5" t="s">
        <v>355</v>
      </c>
    </row>
    <row r="19458" ht="16.5" customHeight="1">
      <c r="O19458" s="5" t="s">
        <v>355</v>
      </c>
      <c r="P19458" s="5" t="s">
        <v>355</v>
      </c>
      <c r="Q19458" s="5" t="s">
        <v>355</v>
      </c>
    </row>
    <row r="19459" ht="16.5" customHeight="1">
      <c r="O19459" s="5" t="s">
        <v>355</v>
      </c>
      <c r="P19459" s="5" t="s">
        <v>355</v>
      </c>
      <c r="Q19459" s="5" t="s">
        <v>355</v>
      </c>
    </row>
    <row r="19460" ht="16.5" customHeight="1">
      <c r="O19460" s="5" t="s">
        <v>355</v>
      </c>
      <c r="P19460" s="5" t="s">
        <v>355</v>
      </c>
      <c r="Q19460" s="5" t="s">
        <v>355</v>
      </c>
    </row>
    <row r="19461" ht="16.5" customHeight="1">
      <c r="O19461" s="5" t="s">
        <v>355</v>
      </c>
      <c r="P19461" s="5" t="s">
        <v>355</v>
      </c>
      <c r="Q19461" s="5" t="s">
        <v>355</v>
      </c>
    </row>
    <row r="19462" ht="16.5" customHeight="1">
      <c r="O19462" s="5" t="s">
        <v>355</v>
      </c>
      <c r="P19462" s="5" t="s">
        <v>355</v>
      </c>
      <c r="Q19462" s="5" t="s">
        <v>355</v>
      </c>
    </row>
    <row r="19463" ht="16.5" customHeight="1">
      <c r="O19463" s="5" t="s">
        <v>355</v>
      </c>
      <c r="P19463" s="5" t="s">
        <v>355</v>
      </c>
      <c r="Q19463" s="5" t="s">
        <v>355</v>
      </c>
    </row>
    <row r="19464" ht="16.5" customHeight="1">
      <c r="O19464" s="5" t="s">
        <v>355</v>
      </c>
      <c r="P19464" s="5" t="s">
        <v>355</v>
      </c>
      <c r="Q19464" s="5" t="s">
        <v>355</v>
      </c>
    </row>
    <row r="19465" ht="16.5" customHeight="1">
      <c r="O19465" s="5" t="s">
        <v>355</v>
      </c>
      <c r="P19465" s="5" t="s">
        <v>355</v>
      </c>
      <c r="Q19465" s="5" t="s">
        <v>355</v>
      </c>
    </row>
    <row r="19466" ht="16.5" customHeight="1">
      <c r="O19466" s="5" t="s">
        <v>355</v>
      </c>
      <c r="P19466" s="5" t="s">
        <v>355</v>
      </c>
      <c r="Q19466" s="5" t="s">
        <v>355</v>
      </c>
    </row>
    <row r="19467" ht="16.5" customHeight="1">
      <c r="O19467" s="5" t="s">
        <v>355</v>
      </c>
      <c r="P19467" s="5" t="s">
        <v>355</v>
      </c>
      <c r="Q19467" s="5" t="s">
        <v>355</v>
      </c>
    </row>
    <row r="19468" ht="16.5" customHeight="1">
      <c r="O19468" s="5" t="s">
        <v>355</v>
      </c>
      <c r="P19468" s="5" t="s">
        <v>355</v>
      </c>
      <c r="Q19468" s="5" t="s">
        <v>355</v>
      </c>
    </row>
    <row r="19469" ht="16.5" customHeight="1">
      <c r="O19469" s="5" t="s">
        <v>355</v>
      </c>
      <c r="P19469" s="5" t="s">
        <v>355</v>
      </c>
      <c r="Q19469" s="5" t="s">
        <v>355</v>
      </c>
    </row>
    <row r="19470" ht="16.5" customHeight="1">
      <c r="O19470" s="5" t="s">
        <v>355</v>
      </c>
      <c r="P19470" s="5" t="s">
        <v>355</v>
      </c>
      <c r="Q19470" s="5" t="s">
        <v>355</v>
      </c>
    </row>
    <row r="19471" ht="16.5" customHeight="1">
      <c r="O19471" s="5" t="s">
        <v>355</v>
      </c>
      <c r="P19471" s="5" t="s">
        <v>355</v>
      </c>
      <c r="Q19471" s="5" t="s">
        <v>355</v>
      </c>
    </row>
    <row r="19472" ht="16.5" customHeight="1">
      <c r="O19472" s="5" t="s">
        <v>355</v>
      </c>
      <c r="P19472" s="5" t="s">
        <v>355</v>
      </c>
      <c r="Q19472" s="5" t="s">
        <v>355</v>
      </c>
    </row>
    <row r="19473" ht="16.5" customHeight="1">
      <c r="O19473" s="5" t="s">
        <v>355</v>
      </c>
      <c r="P19473" s="5" t="s">
        <v>355</v>
      </c>
      <c r="Q19473" s="5" t="s">
        <v>355</v>
      </c>
    </row>
    <row r="19474" ht="16.5" customHeight="1">
      <c r="O19474" s="5" t="s">
        <v>355</v>
      </c>
      <c r="P19474" s="5" t="s">
        <v>355</v>
      </c>
      <c r="Q19474" s="5" t="s">
        <v>355</v>
      </c>
    </row>
    <row r="19475" ht="16.5" customHeight="1">
      <c r="O19475" s="5" t="s">
        <v>355</v>
      </c>
      <c r="P19475" s="5" t="s">
        <v>355</v>
      </c>
      <c r="Q19475" s="5" t="s">
        <v>355</v>
      </c>
    </row>
    <row r="19476" ht="16.5" customHeight="1">
      <c r="O19476" s="5" t="s">
        <v>355</v>
      </c>
      <c r="P19476" s="5" t="s">
        <v>355</v>
      </c>
      <c r="Q19476" s="5" t="s">
        <v>355</v>
      </c>
    </row>
    <row r="19477" ht="16.5" customHeight="1">
      <c r="O19477" s="5" t="s">
        <v>355</v>
      </c>
      <c r="P19477" s="5" t="s">
        <v>355</v>
      </c>
      <c r="Q19477" s="5" t="s">
        <v>355</v>
      </c>
    </row>
    <row r="19478" ht="16.5" customHeight="1">
      <c r="O19478" s="5" t="s">
        <v>355</v>
      </c>
      <c r="P19478" s="5" t="s">
        <v>355</v>
      </c>
      <c r="Q19478" s="5" t="s">
        <v>355</v>
      </c>
    </row>
    <row r="19479" ht="16.5" customHeight="1">
      <c r="O19479" s="5" t="s">
        <v>355</v>
      </c>
      <c r="P19479" s="5" t="s">
        <v>355</v>
      </c>
      <c r="Q19479" s="5" t="s">
        <v>355</v>
      </c>
    </row>
    <row r="19480" ht="16.5" customHeight="1">
      <c r="O19480" s="5" t="s">
        <v>355</v>
      </c>
      <c r="P19480" s="5" t="s">
        <v>355</v>
      </c>
      <c r="Q19480" s="5" t="s">
        <v>355</v>
      </c>
    </row>
    <row r="19481" ht="16.5" customHeight="1">
      <c r="O19481" s="5" t="s">
        <v>355</v>
      </c>
      <c r="P19481" s="5" t="s">
        <v>355</v>
      </c>
      <c r="Q19481" s="5" t="s">
        <v>355</v>
      </c>
    </row>
    <row r="19482" ht="16.5" customHeight="1">
      <c r="O19482" s="5" t="s">
        <v>355</v>
      </c>
      <c r="P19482" s="5" t="s">
        <v>355</v>
      </c>
      <c r="Q19482" s="5" t="s">
        <v>355</v>
      </c>
    </row>
    <row r="19483" ht="16.5" customHeight="1">
      <c r="O19483" s="5" t="s">
        <v>355</v>
      </c>
      <c r="P19483" s="5" t="s">
        <v>355</v>
      </c>
      <c r="Q19483" s="5" t="s">
        <v>355</v>
      </c>
    </row>
    <row r="19484" ht="16.5" customHeight="1">
      <c r="O19484" s="5" t="s">
        <v>355</v>
      </c>
      <c r="P19484" s="5" t="s">
        <v>355</v>
      </c>
      <c r="Q19484" s="5" t="s">
        <v>355</v>
      </c>
    </row>
    <row r="19485" ht="16.5" customHeight="1">
      <c r="O19485" s="5" t="s">
        <v>355</v>
      </c>
      <c r="P19485" s="5" t="s">
        <v>355</v>
      </c>
      <c r="Q19485" s="5" t="s">
        <v>355</v>
      </c>
    </row>
    <row r="19486" ht="16.5" customHeight="1">
      <c r="O19486" s="5" t="s">
        <v>355</v>
      </c>
      <c r="P19486" s="5" t="s">
        <v>355</v>
      </c>
      <c r="Q19486" s="5" t="s">
        <v>355</v>
      </c>
    </row>
    <row r="19487" ht="16.5" customHeight="1">
      <c r="O19487" s="5" t="s">
        <v>355</v>
      </c>
      <c r="P19487" s="5" t="s">
        <v>355</v>
      </c>
      <c r="Q19487" s="5" t="s">
        <v>355</v>
      </c>
    </row>
    <row r="19488" ht="16.5" customHeight="1">
      <c r="O19488" s="5" t="s">
        <v>355</v>
      </c>
      <c r="P19488" s="5" t="s">
        <v>355</v>
      </c>
      <c r="Q19488" s="5" t="s">
        <v>355</v>
      </c>
    </row>
    <row r="19489" ht="16.5" customHeight="1">
      <c r="O19489" s="5" t="s">
        <v>355</v>
      </c>
      <c r="P19489" s="5" t="s">
        <v>355</v>
      </c>
      <c r="Q19489" s="5" t="s">
        <v>355</v>
      </c>
    </row>
    <row r="19490" ht="16.5" customHeight="1">
      <c r="O19490" s="5" t="s">
        <v>355</v>
      </c>
      <c r="P19490" s="5" t="s">
        <v>355</v>
      </c>
      <c r="Q19490" s="5" t="s">
        <v>355</v>
      </c>
    </row>
    <row r="19491" ht="16.5" customHeight="1">
      <c r="O19491" s="5" t="s">
        <v>355</v>
      </c>
      <c r="P19491" s="5" t="s">
        <v>355</v>
      </c>
      <c r="Q19491" s="5" t="s">
        <v>355</v>
      </c>
    </row>
    <row r="19492" ht="16.5" customHeight="1">
      <c r="O19492" s="5" t="s">
        <v>355</v>
      </c>
      <c r="P19492" s="5" t="s">
        <v>355</v>
      </c>
      <c r="Q19492" s="5" t="s">
        <v>355</v>
      </c>
    </row>
    <row r="19493" ht="16.5" customHeight="1">
      <c r="O19493" s="5" t="s">
        <v>355</v>
      </c>
      <c r="P19493" s="5" t="s">
        <v>355</v>
      </c>
      <c r="Q19493" s="5" t="s">
        <v>355</v>
      </c>
    </row>
    <row r="19494" ht="16.5" customHeight="1">
      <c r="O19494" s="5" t="s">
        <v>355</v>
      </c>
      <c r="P19494" s="5" t="s">
        <v>355</v>
      </c>
      <c r="Q19494" s="5" t="s">
        <v>355</v>
      </c>
    </row>
    <row r="19495" ht="16.5" customHeight="1">
      <c r="O19495" s="5" t="s">
        <v>355</v>
      </c>
      <c r="P19495" s="5" t="s">
        <v>355</v>
      </c>
      <c r="Q19495" s="5" t="s">
        <v>355</v>
      </c>
    </row>
    <row r="19496" ht="16.5" customHeight="1">
      <c r="O19496" s="5" t="s">
        <v>355</v>
      </c>
      <c r="P19496" s="5" t="s">
        <v>355</v>
      </c>
      <c r="Q19496" s="5" t="s">
        <v>355</v>
      </c>
    </row>
    <row r="19497" ht="16.5" customHeight="1">
      <c r="O19497" s="5" t="s">
        <v>355</v>
      </c>
      <c r="P19497" s="5" t="s">
        <v>355</v>
      </c>
      <c r="Q19497" s="5" t="s">
        <v>355</v>
      </c>
    </row>
    <row r="19498" ht="16.5" customHeight="1">
      <c r="O19498" s="5" t="s">
        <v>355</v>
      </c>
      <c r="P19498" s="5" t="s">
        <v>355</v>
      </c>
      <c r="Q19498" s="5" t="s">
        <v>355</v>
      </c>
    </row>
    <row r="19499" ht="16.5" customHeight="1">
      <c r="O19499" s="5" t="s">
        <v>355</v>
      </c>
      <c r="P19499" s="5" t="s">
        <v>355</v>
      </c>
      <c r="Q19499" s="5" t="s">
        <v>355</v>
      </c>
    </row>
    <row r="19500" ht="16.5" customHeight="1">
      <c r="O19500" s="5" t="s">
        <v>355</v>
      </c>
      <c r="P19500" s="5" t="s">
        <v>355</v>
      </c>
      <c r="Q19500" s="5" t="s">
        <v>355</v>
      </c>
    </row>
    <row r="19501" ht="16.5" customHeight="1">
      <c r="O19501" s="5" t="s">
        <v>355</v>
      </c>
      <c r="P19501" s="5" t="s">
        <v>355</v>
      </c>
      <c r="Q19501" s="5" t="s">
        <v>355</v>
      </c>
    </row>
    <row r="19502" ht="16.5" customHeight="1">
      <c r="O19502" s="5" t="s">
        <v>355</v>
      </c>
      <c r="P19502" s="5" t="s">
        <v>355</v>
      </c>
      <c r="Q19502" s="5" t="s">
        <v>355</v>
      </c>
    </row>
    <row r="19503" ht="16.5" customHeight="1">
      <c r="O19503" s="5" t="s">
        <v>355</v>
      </c>
      <c r="P19503" s="5" t="s">
        <v>355</v>
      </c>
      <c r="Q19503" s="5" t="s">
        <v>355</v>
      </c>
    </row>
    <row r="19504" ht="16.5" customHeight="1">
      <c r="O19504" s="5" t="s">
        <v>355</v>
      </c>
      <c r="P19504" s="5" t="s">
        <v>355</v>
      </c>
      <c r="Q19504" s="5" t="s">
        <v>355</v>
      </c>
    </row>
    <row r="19505" ht="16.5" customHeight="1">
      <c r="O19505" s="5" t="s">
        <v>355</v>
      </c>
      <c r="P19505" s="5" t="s">
        <v>355</v>
      </c>
      <c r="Q19505" s="5" t="s">
        <v>355</v>
      </c>
    </row>
    <row r="19506" ht="16.5" customHeight="1">
      <c r="O19506" s="5" t="s">
        <v>355</v>
      </c>
      <c r="P19506" s="5" t="s">
        <v>355</v>
      </c>
      <c r="Q19506" s="5" t="s">
        <v>355</v>
      </c>
    </row>
    <row r="19507" ht="16.5" customHeight="1">
      <c r="O19507" s="5" t="s">
        <v>355</v>
      </c>
      <c r="P19507" s="5" t="s">
        <v>355</v>
      </c>
      <c r="Q19507" s="5" t="s">
        <v>355</v>
      </c>
    </row>
    <row r="19508" ht="16.5" customHeight="1">
      <c r="O19508" s="5" t="s">
        <v>355</v>
      </c>
      <c r="P19508" s="5" t="s">
        <v>355</v>
      </c>
      <c r="Q19508" s="5" t="s">
        <v>355</v>
      </c>
    </row>
    <row r="19509" ht="16.5" customHeight="1">
      <c r="O19509" s="5" t="s">
        <v>355</v>
      </c>
      <c r="P19509" s="5" t="s">
        <v>355</v>
      </c>
      <c r="Q19509" s="5" t="s">
        <v>355</v>
      </c>
    </row>
    <row r="19510" ht="16.5" customHeight="1">
      <c r="O19510" s="5" t="s">
        <v>355</v>
      </c>
      <c r="P19510" s="5" t="s">
        <v>355</v>
      </c>
      <c r="Q19510" s="5" t="s">
        <v>355</v>
      </c>
    </row>
    <row r="19511" ht="16.5" customHeight="1">
      <c r="O19511" s="5" t="s">
        <v>355</v>
      </c>
      <c r="P19511" s="5" t="s">
        <v>355</v>
      </c>
      <c r="Q19511" s="5" t="s">
        <v>355</v>
      </c>
    </row>
    <row r="19512" ht="16.5" customHeight="1">
      <c r="O19512" s="5" t="s">
        <v>355</v>
      </c>
      <c r="P19512" s="5" t="s">
        <v>355</v>
      </c>
      <c r="Q19512" s="5" t="s">
        <v>355</v>
      </c>
    </row>
    <row r="19513" ht="16.5" customHeight="1">
      <c r="O19513" s="5" t="s">
        <v>355</v>
      </c>
      <c r="P19513" s="5" t="s">
        <v>355</v>
      </c>
      <c r="Q19513" s="5" t="s">
        <v>355</v>
      </c>
    </row>
    <row r="19514" ht="16.5" customHeight="1">
      <c r="O19514" s="5" t="s">
        <v>355</v>
      </c>
      <c r="P19514" s="5" t="s">
        <v>355</v>
      </c>
      <c r="Q19514" s="5" t="s">
        <v>355</v>
      </c>
    </row>
    <row r="19515" ht="16.5" customHeight="1">
      <c r="O19515" s="5" t="s">
        <v>355</v>
      </c>
      <c r="P19515" s="5" t="s">
        <v>355</v>
      </c>
      <c r="Q19515" s="5" t="s">
        <v>355</v>
      </c>
    </row>
    <row r="19516" ht="16.5" customHeight="1">
      <c r="O19516" s="5" t="s">
        <v>355</v>
      </c>
      <c r="P19516" s="5" t="s">
        <v>355</v>
      </c>
      <c r="Q19516" s="5" t="s">
        <v>355</v>
      </c>
    </row>
    <row r="19517" ht="16.5" customHeight="1">
      <c r="O19517" s="5" t="s">
        <v>355</v>
      </c>
      <c r="P19517" s="5" t="s">
        <v>355</v>
      </c>
      <c r="Q19517" s="5" t="s">
        <v>355</v>
      </c>
    </row>
    <row r="19518" ht="16.5" customHeight="1">
      <c r="O19518" s="5" t="s">
        <v>355</v>
      </c>
      <c r="P19518" s="5" t="s">
        <v>355</v>
      </c>
      <c r="Q19518" s="5" t="s">
        <v>355</v>
      </c>
    </row>
    <row r="19519" ht="16.5" customHeight="1">
      <c r="O19519" s="5" t="s">
        <v>355</v>
      </c>
      <c r="P19519" s="5" t="s">
        <v>355</v>
      </c>
      <c r="Q19519" s="5" t="s">
        <v>355</v>
      </c>
    </row>
    <row r="19520" ht="16.5" customHeight="1">
      <c r="O19520" s="5" t="s">
        <v>355</v>
      </c>
      <c r="P19520" s="5" t="s">
        <v>355</v>
      </c>
      <c r="Q19520" s="5" t="s">
        <v>355</v>
      </c>
    </row>
    <row r="19521" ht="16.5" customHeight="1">
      <c r="O19521" s="5" t="s">
        <v>355</v>
      </c>
      <c r="P19521" s="5" t="s">
        <v>355</v>
      </c>
      <c r="Q19521" s="5" t="s">
        <v>355</v>
      </c>
    </row>
    <row r="19522" ht="16.5" customHeight="1">
      <c r="O19522" s="5" t="s">
        <v>355</v>
      </c>
      <c r="P19522" s="5" t="s">
        <v>355</v>
      </c>
      <c r="Q19522" s="5" t="s">
        <v>355</v>
      </c>
    </row>
    <row r="19523" ht="16.5" customHeight="1">
      <c r="O19523" s="5" t="s">
        <v>355</v>
      </c>
      <c r="P19523" s="5" t="s">
        <v>355</v>
      </c>
      <c r="Q19523" s="5" t="s">
        <v>355</v>
      </c>
    </row>
    <row r="19524" ht="16.5" customHeight="1">
      <c r="O19524" s="5" t="s">
        <v>355</v>
      </c>
      <c r="P19524" s="5" t="s">
        <v>355</v>
      </c>
      <c r="Q19524" s="5" t="s">
        <v>355</v>
      </c>
    </row>
    <row r="19525" ht="16.5" customHeight="1">
      <c r="O19525" s="5" t="s">
        <v>355</v>
      </c>
      <c r="P19525" s="5" t="s">
        <v>355</v>
      </c>
      <c r="Q19525" s="5" t="s">
        <v>355</v>
      </c>
    </row>
    <row r="19526" ht="16.5" customHeight="1">
      <c r="O19526" s="5" t="s">
        <v>355</v>
      </c>
      <c r="P19526" s="5" t="s">
        <v>355</v>
      </c>
      <c r="Q19526" s="5" t="s">
        <v>355</v>
      </c>
    </row>
    <row r="19527" ht="16.5" customHeight="1">
      <c r="O19527" s="5" t="s">
        <v>355</v>
      </c>
      <c r="P19527" s="5" t="s">
        <v>355</v>
      </c>
      <c r="Q19527" s="5" t="s">
        <v>355</v>
      </c>
    </row>
    <row r="19528" ht="16.5" customHeight="1">
      <c r="O19528" s="5" t="s">
        <v>355</v>
      </c>
      <c r="P19528" s="5" t="s">
        <v>355</v>
      </c>
      <c r="Q19528" s="5" t="s">
        <v>355</v>
      </c>
    </row>
    <row r="19529" ht="16.5" customHeight="1">
      <c r="O19529" s="5" t="s">
        <v>355</v>
      </c>
      <c r="P19529" s="5" t="s">
        <v>355</v>
      </c>
      <c r="Q19529" s="5" t="s">
        <v>355</v>
      </c>
    </row>
    <row r="19530" ht="16.5" customHeight="1">
      <c r="O19530" s="5" t="s">
        <v>355</v>
      </c>
      <c r="P19530" s="5" t="s">
        <v>355</v>
      </c>
      <c r="Q19530" s="5" t="s">
        <v>355</v>
      </c>
    </row>
    <row r="19531" ht="16.5" customHeight="1">
      <c r="O19531" s="5" t="s">
        <v>355</v>
      </c>
      <c r="P19531" s="5" t="s">
        <v>355</v>
      </c>
      <c r="Q19531" s="5" t="s">
        <v>355</v>
      </c>
    </row>
    <row r="19532" ht="16.5" customHeight="1">
      <c r="O19532" s="5" t="s">
        <v>355</v>
      </c>
      <c r="P19532" s="5" t="s">
        <v>355</v>
      </c>
      <c r="Q19532" s="5" t="s">
        <v>355</v>
      </c>
    </row>
    <row r="19533" ht="16.5" customHeight="1">
      <c r="O19533" s="5" t="s">
        <v>355</v>
      </c>
      <c r="P19533" s="5" t="s">
        <v>355</v>
      </c>
      <c r="Q19533" s="5" t="s">
        <v>355</v>
      </c>
    </row>
    <row r="19534" ht="16.5" customHeight="1">
      <c r="O19534" s="5" t="s">
        <v>355</v>
      </c>
      <c r="P19534" s="5" t="s">
        <v>355</v>
      </c>
      <c r="Q19534" s="5" t="s">
        <v>355</v>
      </c>
    </row>
    <row r="19535" ht="16.5" customHeight="1">
      <c r="O19535" s="5" t="s">
        <v>355</v>
      </c>
      <c r="P19535" s="5" t="s">
        <v>355</v>
      </c>
      <c r="Q19535" s="5" t="s">
        <v>355</v>
      </c>
    </row>
    <row r="19536" ht="16.5" customHeight="1">
      <c r="O19536" s="5" t="s">
        <v>355</v>
      </c>
      <c r="P19536" s="5" t="s">
        <v>355</v>
      </c>
      <c r="Q19536" s="5" t="s">
        <v>355</v>
      </c>
    </row>
    <row r="19537" ht="16.5" customHeight="1">
      <c r="O19537" s="5" t="s">
        <v>355</v>
      </c>
      <c r="P19537" s="5" t="s">
        <v>355</v>
      </c>
      <c r="Q19537" s="5" t="s">
        <v>355</v>
      </c>
    </row>
    <row r="19538" ht="16.5" customHeight="1">
      <c r="O19538" s="5" t="s">
        <v>355</v>
      </c>
      <c r="P19538" s="5" t="s">
        <v>355</v>
      </c>
      <c r="Q19538" s="5" t="s">
        <v>355</v>
      </c>
    </row>
    <row r="19539" ht="16.5" customHeight="1">
      <c r="O19539" s="5" t="s">
        <v>355</v>
      </c>
      <c r="P19539" s="5" t="s">
        <v>355</v>
      </c>
      <c r="Q19539" s="5" t="s">
        <v>355</v>
      </c>
    </row>
    <row r="19540" ht="16.5" customHeight="1">
      <c r="O19540" s="5" t="s">
        <v>355</v>
      </c>
      <c r="P19540" s="5" t="s">
        <v>355</v>
      </c>
      <c r="Q19540" s="5" t="s">
        <v>355</v>
      </c>
    </row>
    <row r="19541" ht="16.5" customHeight="1">
      <c r="O19541" s="5" t="s">
        <v>355</v>
      </c>
      <c r="P19541" s="5" t="s">
        <v>355</v>
      </c>
      <c r="Q19541" s="5" t="s">
        <v>355</v>
      </c>
    </row>
    <row r="19542" ht="16.5" customHeight="1">
      <c r="O19542" s="5" t="s">
        <v>355</v>
      </c>
      <c r="P19542" s="5" t="s">
        <v>355</v>
      </c>
      <c r="Q19542" s="5" t="s">
        <v>355</v>
      </c>
    </row>
    <row r="19543" ht="16.5" customHeight="1">
      <c r="O19543" s="5" t="s">
        <v>355</v>
      </c>
      <c r="P19543" s="5" t="s">
        <v>355</v>
      </c>
      <c r="Q19543" s="5" t="s">
        <v>355</v>
      </c>
    </row>
    <row r="19544" ht="16.5" customHeight="1">
      <c r="O19544" s="5" t="s">
        <v>355</v>
      </c>
      <c r="P19544" s="5" t="s">
        <v>355</v>
      </c>
      <c r="Q19544" s="5" t="s">
        <v>355</v>
      </c>
    </row>
    <row r="19545" ht="16.5" customHeight="1">
      <c r="O19545" s="5" t="s">
        <v>355</v>
      </c>
      <c r="P19545" s="5" t="s">
        <v>355</v>
      </c>
      <c r="Q19545" s="5" t="s">
        <v>355</v>
      </c>
    </row>
    <row r="19546" ht="16.5" customHeight="1">
      <c r="O19546" s="5" t="s">
        <v>355</v>
      </c>
      <c r="P19546" s="5" t="s">
        <v>355</v>
      </c>
      <c r="Q19546" s="5" t="s">
        <v>355</v>
      </c>
    </row>
    <row r="19547" ht="16.5" customHeight="1">
      <c r="O19547" s="5" t="s">
        <v>355</v>
      </c>
      <c r="P19547" s="5" t="s">
        <v>355</v>
      </c>
      <c r="Q19547" s="5" t="s">
        <v>355</v>
      </c>
    </row>
    <row r="19548" ht="16.5" customHeight="1">
      <c r="O19548" s="5" t="s">
        <v>355</v>
      </c>
      <c r="P19548" s="5" t="s">
        <v>355</v>
      </c>
      <c r="Q19548" s="5" t="s">
        <v>355</v>
      </c>
    </row>
    <row r="19549" ht="16.5" customHeight="1">
      <c r="O19549" s="5" t="s">
        <v>355</v>
      </c>
      <c r="P19549" s="5" t="s">
        <v>355</v>
      </c>
      <c r="Q19549" s="5" t="s">
        <v>355</v>
      </c>
    </row>
    <row r="19550" ht="16.5" customHeight="1">
      <c r="O19550" s="5" t="s">
        <v>355</v>
      </c>
      <c r="P19550" s="5" t="s">
        <v>355</v>
      </c>
      <c r="Q19550" s="5" t="s">
        <v>355</v>
      </c>
    </row>
    <row r="19551" ht="16.5" customHeight="1">
      <c r="O19551" s="5" t="s">
        <v>355</v>
      </c>
      <c r="P19551" s="5" t="s">
        <v>355</v>
      </c>
      <c r="Q19551" s="5" t="s">
        <v>355</v>
      </c>
    </row>
    <row r="19552" ht="16.5" customHeight="1">
      <c r="O19552" s="5" t="s">
        <v>355</v>
      </c>
      <c r="P19552" s="5" t="s">
        <v>355</v>
      </c>
      <c r="Q19552" s="5" t="s">
        <v>355</v>
      </c>
    </row>
    <row r="19553" ht="16.5" customHeight="1">
      <c r="O19553" s="5" t="s">
        <v>355</v>
      </c>
      <c r="P19553" s="5" t="s">
        <v>355</v>
      </c>
      <c r="Q19553" s="5" t="s">
        <v>355</v>
      </c>
    </row>
    <row r="19554" ht="16.5" customHeight="1">
      <c r="O19554" s="5" t="s">
        <v>355</v>
      </c>
      <c r="P19554" s="5" t="s">
        <v>355</v>
      </c>
      <c r="Q19554" s="5" t="s">
        <v>355</v>
      </c>
    </row>
    <row r="19555" ht="16.5" customHeight="1">
      <c r="O19555" s="5" t="s">
        <v>355</v>
      </c>
      <c r="P19555" s="5" t="s">
        <v>355</v>
      </c>
      <c r="Q19555" s="5" t="s">
        <v>355</v>
      </c>
    </row>
    <row r="19556" ht="16.5" customHeight="1">
      <c r="O19556" s="5" t="s">
        <v>355</v>
      </c>
      <c r="P19556" s="5" t="s">
        <v>355</v>
      </c>
      <c r="Q19556" s="5" t="s">
        <v>355</v>
      </c>
    </row>
    <row r="19557" ht="16.5" customHeight="1">
      <c r="O19557" s="5" t="s">
        <v>355</v>
      </c>
      <c r="P19557" s="5" t="s">
        <v>355</v>
      </c>
      <c r="Q19557" s="5" t="s">
        <v>355</v>
      </c>
    </row>
    <row r="19558" ht="16.5" customHeight="1">
      <c r="O19558" s="5" t="s">
        <v>355</v>
      </c>
      <c r="P19558" s="5" t="s">
        <v>355</v>
      </c>
      <c r="Q19558" s="5" t="s">
        <v>355</v>
      </c>
    </row>
    <row r="19559" ht="16.5" customHeight="1">
      <c r="O19559" s="5" t="s">
        <v>355</v>
      </c>
      <c r="P19559" s="5" t="s">
        <v>355</v>
      </c>
      <c r="Q19559" s="5" t="s">
        <v>355</v>
      </c>
    </row>
    <row r="19560" ht="16.5" customHeight="1">
      <c r="O19560" s="5" t="s">
        <v>355</v>
      </c>
      <c r="P19560" s="5" t="s">
        <v>355</v>
      </c>
      <c r="Q19560" s="5" t="s">
        <v>355</v>
      </c>
    </row>
    <row r="19561" ht="16.5" customHeight="1">
      <c r="O19561" s="5" t="s">
        <v>355</v>
      </c>
      <c r="P19561" s="5" t="s">
        <v>355</v>
      </c>
      <c r="Q19561" s="5" t="s">
        <v>355</v>
      </c>
    </row>
    <row r="19562" ht="16.5" customHeight="1">
      <c r="O19562" s="5" t="s">
        <v>355</v>
      </c>
      <c r="P19562" s="5" t="s">
        <v>355</v>
      </c>
      <c r="Q19562" s="5" t="s">
        <v>355</v>
      </c>
    </row>
    <row r="19563" ht="16.5" customHeight="1">
      <c r="O19563" s="5" t="s">
        <v>355</v>
      </c>
      <c r="P19563" s="5" t="s">
        <v>355</v>
      </c>
      <c r="Q19563" s="5" t="s">
        <v>355</v>
      </c>
    </row>
    <row r="19564" ht="16.5" customHeight="1">
      <c r="O19564" s="5" t="s">
        <v>355</v>
      </c>
      <c r="P19564" s="5" t="s">
        <v>355</v>
      </c>
      <c r="Q19564" s="5" t="s">
        <v>355</v>
      </c>
    </row>
    <row r="19565" ht="16.5" customHeight="1">
      <c r="O19565" s="5" t="s">
        <v>355</v>
      </c>
      <c r="P19565" s="5" t="s">
        <v>355</v>
      </c>
      <c r="Q19565" s="5" t="s">
        <v>355</v>
      </c>
    </row>
    <row r="19566" ht="16.5" customHeight="1">
      <c r="O19566" s="5" t="s">
        <v>355</v>
      </c>
      <c r="P19566" s="5" t="s">
        <v>355</v>
      </c>
      <c r="Q19566" s="5" t="s">
        <v>355</v>
      </c>
    </row>
    <row r="19567" ht="16.5" customHeight="1">
      <c r="O19567" s="5" t="s">
        <v>355</v>
      </c>
      <c r="P19567" s="5" t="s">
        <v>355</v>
      </c>
      <c r="Q19567" s="5" t="s">
        <v>355</v>
      </c>
    </row>
    <row r="19568" ht="16.5" customHeight="1">
      <c r="O19568" s="5" t="s">
        <v>355</v>
      </c>
      <c r="P19568" s="5" t="s">
        <v>355</v>
      </c>
      <c r="Q19568" s="5" t="s">
        <v>355</v>
      </c>
    </row>
    <row r="19569" ht="16.5" customHeight="1">
      <c r="O19569" s="5" t="s">
        <v>355</v>
      </c>
      <c r="P19569" s="5" t="s">
        <v>355</v>
      </c>
      <c r="Q19569" s="5" t="s">
        <v>355</v>
      </c>
    </row>
    <row r="19570" ht="16.5" customHeight="1">
      <c r="O19570" s="5" t="s">
        <v>355</v>
      </c>
      <c r="P19570" s="5" t="s">
        <v>355</v>
      </c>
      <c r="Q19570" s="5" t="s">
        <v>355</v>
      </c>
    </row>
    <row r="19571" ht="16.5" customHeight="1">
      <c r="O19571" s="5" t="s">
        <v>355</v>
      </c>
      <c r="P19571" s="5" t="s">
        <v>355</v>
      </c>
      <c r="Q19571" s="5" t="s">
        <v>355</v>
      </c>
    </row>
    <row r="19572" ht="16.5" customHeight="1">
      <c r="O19572" s="5" t="s">
        <v>355</v>
      </c>
      <c r="P19572" s="5" t="s">
        <v>355</v>
      </c>
      <c r="Q19572" s="5" t="s">
        <v>355</v>
      </c>
    </row>
    <row r="19573" ht="16.5" customHeight="1">
      <c r="O19573" s="5" t="s">
        <v>355</v>
      </c>
      <c r="P19573" s="5" t="s">
        <v>355</v>
      </c>
      <c r="Q19573" s="5" t="s">
        <v>355</v>
      </c>
    </row>
    <row r="19574" ht="16.5" customHeight="1">
      <c r="O19574" s="5" t="s">
        <v>355</v>
      </c>
      <c r="P19574" s="5" t="s">
        <v>355</v>
      </c>
      <c r="Q19574" s="5" t="s">
        <v>355</v>
      </c>
    </row>
    <row r="19575" ht="16.5" customHeight="1">
      <c r="O19575" s="5" t="s">
        <v>355</v>
      </c>
      <c r="P19575" s="5" t="s">
        <v>355</v>
      </c>
      <c r="Q19575" s="5" t="s">
        <v>355</v>
      </c>
    </row>
    <row r="19576" ht="16.5" customHeight="1">
      <c r="O19576" s="5" t="s">
        <v>355</v>
      </c>
      <c r="P19576" s="5" t="s">
        <v>355</v>
      </c>
      <c r="Q19576" s="5" t="s">
        <v>355</v>
      </c>
    </row>
    <row r="19577" ht="16.5" customHeight="1">
      <c r="O19577" s="5" t="s">
        <v>355</v>
      </c>
      <c r="P19577" s="5" t="s">
        <v>355</v>
      </c>
      <c r="Q19577" s="5" t="s">
        <v>355</v>
      </c>
    </row>
    <row r="19578" ht="16.5" customHeight="1">
      <c r="O19578" s="5" t="s">
        <v>355</v>
      </c>
      <c r="P19578" s="5" t="s">
        <v>355</v>
      </c>
      <c r="Q19578" s="5" t="s">
        <v>355</v>
      </c>
    </row>
    <row r="19579" ht="16.5" customHeight="1">
      <c r="O19579" s="5" t="s">
        <v>355</v>
      </c>
      <c r="P19579" s="5" t="s">
        <v>355</v>
      </c>
      <c r="Q19579" s="5" t="s">
        <v>355</v>
      </c>
    </row>
    <row r="19580" ht="16.5" customHeight="1">
      <c r="O19580" s="5" t="s">
        <v>355</v>
      </c>
      <c r="P19580" s="5" t="s">
        <v>355</v>
      </c>
      <c r="Q19580" s="5" t="s">
        <v>355</v>
      </c>
    </row>
    <row r="19581" ht="16.5" customHeight="1">
      <c r="O19581" s="5" t="s">
        <v>355</v>
      </c>
      <c r="P19581" s="5" t="s">
        <v>355</v>
      </c>
      <c r="Q19581" s="5" t="s">
        <v>355</v>
      </c>
    </row>
    <row r="19582" ht="16.5" customHeight="1">
      <c r="O19582" s="5" t="s">
        <v>355</v>
      </c>
      <c r="P19582" s="5" t="s">
        <v>355</v>
      </c>
      <c r="Q19582" s="5" t="s">
        <v>355</v>
      </c>
    </row>
    <row r="19583" ht="16.5" customHeight="1">
      <c r="O19583" s="5" t="s">
        <v>355</v>
      </c>
      <c r="P19583" s="5" t="s">
        <v>355</v>
      </c>
      <c r="Q19583" s="5" t="s">
        <v>355</v>
      </c>
    </row>
    <row r="19584" ht="16.5" customHeight="1">
      <c r="O19584" s="5" t="s">
        <v>355</v>
      </c>
      <c r="P19584" s="5" t="s">
        <v>355</v>
      </c>
      <c r="Q19584" s="5" t="s">
        <v>355</v>
      </c>
    </row>
    <row r="19585" ht="16.5" customHeight="1">
      <c r="O19585" s="5" t="s">
        <v>355</v>
      </c>
      <c r="P19585" s="5" t="s">
        <v>355</v>
      </c>
      <c r="Q19585" s="5" t="s">
        <v>355</v>
      </c>
    </row>
    <row r="19586" ht="16.5" customHeight="1">
      <c r="O19586" s="5" t="s">
        <v>355</v>
      </c>
      <c r="P19586" s="5" t="s">
        <v>355</v>
      </c>
      <c r="Q19586" s="5" t="s">
        <v>355</v>
      </c>
    </row>
    <row r="19587" ht="16.5" customHeight="1">
      <c r="O19587" s="5" t="s">
        <v>355</v>
      </c>
      <c r="P19587" s="5" t="s">
        <v>355</v>
      </c>
      <c r="Q19587" s="5" t="s">
        <v>355</v>
      </c>
    </row>
    <row r="19588" ht="16.5" customHeight="1">
      <c r="O19588" s="5" t="s">
        <v>355</v>
      </c>
      <c r="P19588" s="5" t="s">
        <v>355</v>
      </c>
      <c r="Q19588" s="5" t="s">
        <v>355</v>
      </c>
    </row>
    <row r="19589" ht="16.5" customHeight="1">
      <c r="O19589" s="5" t="s">
        <v>355</v>
      </c>
      <c r="P19589" s="5" t="s">
        <v>355</v>
      </c>
      <c r="Q19589" s="5" t="s">
        <v>355</v>
      </c>
    </row>
    <row r="19590" ht="16.5" customHeight="1">
      <c r="O19590" s="5" t="s">
        <v>355</v>
      </c>
      <c r="P19590" s="5" t="s">
        <v>355</v>
      </c>
      <c r="Q19590" s="5" t="s">
        <v>355</v>
      </c>
    </row>
    <row r="19591" ht="16.5" customHeight="1">
      <c r="O19591" s="5" t="s">
        <v>355</v>
      </c>
      <c r="P19591" s="5" t="s">
        <v>355</v>
      </c>
      <c r="Q19591" s="5" t="s">
        <v>355</v>
      </c>
    </row>
    <row r="19592" ht="16.5" customHeight="1">
      <c r="O19592" s="5" t="s">
        <v>355</v>
      </c>
      <c r="P19592" s="5" t="s">
        <v>355</v>
      </c>
      <c r="Q19592" s="5" t="s">
        <v>355</v>
      </c>
    </row>
    <row r="19593" ht="16.5" customHeight="1">
      <c r="O19593" s="5" t="s">
        <v>355</v>
      </c>
      <c r="P19593" s="5" t="s">
        <v>355</v>
      </c>
      <c r="Q19593" s="5" t="s">
        <v>355</v>
      </c>
    </row>
    <row r="19594" ht="16.5" customHeight="1">
      <c r="O19594" s="5" t="s">
        <v>355</v>
      </c>
      <c r="P19594" s="5" t="s">
        <v>355</v>
      </c>
      <c r="Q19594" s="5" t="s">
        <v>355</v>
      </c>
    </row>
    <row r="19595" ht="16.5" customHeight="1">
      <c r="O19595" s="5" t="s">
        <v>355</v>
      </c>
      <c r="P19595" s="5" t="s">
        <v>355</v>
      </c>
      <c r="Q19595" s="5" t="s">
        <v>355</v>
      </c>
    </row>
    <row r="19596" ht="16.5" customHeight="1">
      <c r="O19596" s="5" t="s">
        <v>355</v>
      </c>
      <c r="P19596" s="5" t="s">
        <v>355</v>
      </c>
      <c r="Q19596" s="5" t="s">
        <v>355</v>
      </c>
    </row>
    <row r="19597" ht="16.5" customHeight="1">
      <c r="O19597" s="5" t="s">
        <v>355</v>
      </c>
      <c r="P19597" s="5" t="s">
        <v>355</v>
      </c>
      <c r="Q19597" s="5" t="s">
        <v>355</v>
      </c>
    </row>
    <row r="19598" ht="16.5" customHeight="1">
      <c r="O19598" s="5" t="s">
        <v>355</v>
      </c>
      <c r="P19598" s="5" t="s">
        <v>355</v>
      </c>
      <c r="Q19598" s="5" t="s">
        <v>355</v>
      </c>
    </row>
    <row r="19599" ht="16.5" customHeight="1">
      <c r="O19599" s="5" t="s">
        <v>355</v>
      </c>
      <c r="P19599" s="5" t="s">
        <v>355</v>
      </c>
      <c r="Q19599" s="5" t="s">
        <v>355</v>
      </c>
    </row>
    <row r="19600" ht="16.5" customHeight="1">
      <c r="O19600" s="5" t="s">
        <v>355</v>
      </c>
      <c r="P19600" s="5" t="s">
        <v>355</v>
      </c>
      <c r="Q19600" s="5" t="s">
        <v>355</v>
      </c>
    </row>
    <row r="19601" ht="16.5" customHeight="1">
      <c r="O19601" s="5" t="s">
        <v>355</v>
      </c>
      <c r="P19601" s="5" t="s">
        <v>355</v>
      </c>
      <c r="Q19601" s="5" t="s">
        <v>355</v>
      </c>
    </row>
    <row r="19602" ht="16.5" customHeight="1">
      <c r="O19602" s="5" t="s">
        <v>355</v>
      </c>
      <c r="P19602" s="5" t="s">
        <v>355</v>
      </c>
      <c r="Q19602" s="5" t="s">
        <v>355</v>
      </c>
    </row>
    <row r="19603" ht="16.5" customHeight="1">
      <c r="O19603" s="5" t="s">
        <v>355</v>
      </c>
      <c r="P19603" s="5" t="s">
        <v>355</v>
      </c>
      <c r="Q19603" s="5" t="s">
        <v>355</v>
      </c>
    </row>
    <row r="19604" ht="16.5" customHeight="1">
      <c r="O19604" s="5" t="s">
        <v>355</v>
      </c>
      <c r="P19604" s="5" t="s">
        <v>355</v>
      </c>
      <c r="Q19604" s="5" t="s">
        <v>355</v>
      </c>
    </row>
    <row r="19605" ht="16.5" customHeight="1">
      <c r="O19605" s="5" t="s">
        <v>355</v>
      </c>
      <c r="P19605" s="5" t="s">
        <v>355</v>
      </c>
      <c r="Q19605" s="5" t="s">
        <v>355</v>
      </c>
    </row>
    <row r="19606" ht="16.5" customHeight="1">
      <c r="O19606" s="5" t="s">
        <v>355</v>
      </c>
      <c r="P19606" s="5" t="s">
        <v>355</v>
      </c>
      <c r="Q19606" s="5" t="s">
        <v>355</v>
      </c>
    </row>
    <row r="19607" ht="16.5" customHeight="1">
      <c r="O19607" s="5" t="s">
        <v>355</v>
      </c>
      <c r="P19607" s="5" t="s">
        <v>355</v>
      </c>
      <c r="Q19607" s="5" t="s">
        <v>355</v>
      </c>
    </row>
    <row r="19608" ht="16.5" customHeight="1">
      <c r="O19608" s="5" t="s">
        <v>355</v>
      </c>
      <c r="P19608" s="5" t="s">
        <v>355</v>
      </c>
      <c r="Q19608" s="5" t="s">
        <v>355</v>
      </c>
    </row>
    <row r="19609" ht="16.5" customHeight="1">
      <c r="O19609" s="5" t="s">
        <v>355</v>
      </c>
      <c r="P19609" s="5" t="s">
        <v>355</v>
      </c>
      <c r="Q19609" s="5" t="s">
        <v>355</v>
      </c>
    </row>
    <row r="19610" ht="16.5" customHeight="1">
      <c r="O19610" s="5" t="s">
        <v>355</v>
      </c>
      <c r="P19610" s="5" t="s">
        <v>355</v>
      </c>
      <c r="Q19610" s="5" t="s">
        <v>355</v>
      </c>
    </row>
    <row r="19611" ht="16.5" customHeight="1">
      <c r="O19611" s="5" t="s">
        <v>355</v>
      </c>
      <c r="P19611" s="5" t="s">
        <v>355</v>
      </c>
      <c r="Q19611" s="5" t="s">
        <v>355</v>
      </c>
    </row>
    <row r="19612" ht="16.5" customHeight="1">
      <c r="O19612" s="5" t="s">
        <v>355</v>
      </c>
      <c r="P19612" s="5" t="s">
        <v>355</v>
      </c>
      <c r="Q19612" s="5" t="s">
        <v>355</v>
      </c>
    </row>
    <row r="19613" ht="16.5" customHeight="1">
      <c r="O19613" s="5" t="s">
        <v>355</v>
      </c>
      <c r="P19613" s="5" t="s">
        <v>355</v>
      </c>
      <c r="Q19613" s="5" t="s">
        <v>355</v>
      </c>
    </row>
    <row r="19614" ht="16.5" customHeight="1">
      <c r="O19614" s="5" t="s">
        <v>355</v>
      </c>
      <c r="P19614" s="5" t="s">
        <v>355</v>
      </c>
      <c r="Q19614" s="5" t="s">
        <v>355</v>
      </c>
    </row>
    <row r="19615" ht="16.5" customHeight="1">
      <c r="O19615" s="5" t="s">
        <v>355</v>
      </c>
      <c r="P19615" s="5" t="s">
        <v>355</v>
      </c>
      <c r="Q19615" s="5" t="s">
        <v>355</v>
      </c>
    </row>
    <row r="19616" ht="16.5" customHeight="1">
      <c r="O19616" s="5" t="s">
        <v>355</v>
      </c>
      <c r="P19616" s="5" t="s">
        <v>355</v>
      </c>
      <c r="Q19616" s="5" t="s">
        <v>355</v>
      </c>
    </row>
    <row r="19617" ht="16.5" customHeight="1">
      <c r="O19617" s="5" t="s">
        <v>355</v>
      </c>
      <c r="P19617" s="5" t="s">
        <v>355</v>
      </c>
      <c r="Q19617" s="5" t="s">
        <v>355</v>
      </c>
    </row>
    <row r="19618" ht="16.5" customHeight="1">
      <c r="O19618" s="5" t="s">
        <v>355</v>
      </c>
      <c r="P19618" s="5" t="s">
        <v>355</v>
      </c>
      <c r="Q19618" s="5" t="s">
        <v>355</v>
      </c>
    </row>
    <row r="19619" ht="16.5" customHeight="1">
      <c r="O19619" s="5" t="s">
        <v>355</v>
      </c>
      <c r="P19619" s="5" t="s">
        <v>355</v>
      </c>
      <c r="Q19619" s="5" t="s">
        <v>355</v>
      </c>
    </row>
    <row r="19620" ht="16.5" customHeight="1">
      <c r="O19620" s="5" t="s">
        <v>355</v>
      </c>
      <c r="P19620" s="5" t="s">
        <v>355</v>
      </c>
      <c r="Q19620" s="5" t="s">
        <v>355</v>
      </c>
    </row>
    <row r="19621" ht="16.5" customHeight="1">
      <c r="O19621" s="5" t="s">
        <v>355</v>
      </c>
      <c r="P19621" s="5" t="s">
        <v>355</v>
      </c>
      <c r="Q19621" s="5" t="s">
        <v>355</v>
      </c>
    </row>
    <row r="19622" ht="16.5" customHeight="1">
      <c r="O19622" s="5" t="s">
        <v>355</v>
      </c>
      <c r="P19622" s="5" t="s">
        <v>355</v>
      </c>
      <c r="Q19622" s="5" t="s">
        <v>355</v>
      </c>
    </row>
    <row r="19623" ht="16.5" customHeight="1">
      <c r="O19623" s="5" t="s">
        <v>355</v>
      </c>
      <c r="P19623" s="5" t="s">
        <v>355</v>
      </c>
      <c r="Q19623" s="5" t="s">
        <v>355</v>
      </c>
    </row>
    <row r="19624" ht="16.5" customHeight="1">
      <c r="O19624" s="5" t="s">
        <v>355</v>
      </c>
      <c r="P19624" s="5" t="s">
        <v>355</v>
      </c>
      <c r="Q19624" s="5" t="s">
        <v>355</v>
      </c>
    </row>
    <row r="19625" ht="16.5" customHeight="1">
      <c r="O19625" s="5" t="s">
        <v>355</v>
      </c>
      <c r="P19625" s="5" t="s">
        <v>355</v>
      </c>
      <c r="Q19625" s="5" t="s">
        <v>355</v>
      </c>
    </row>
    <row r="19626" ht="16.5" customHeight="1">
      <c r="O19626" s="5" t="s">
        <v>355</v>
      </c>
      <c r="P19626" s="5" t="s">
        <v>355</v>
      </c>
      <c r="Q19626" s="5" t="s">
        <v>355</v>
      </c>
    </row>
    <row r="19627" ht="16.5" customHeight="1">
      <c r="O19627" s="5" t="s">
        <v>355</v>
      </c>
      <c r="P19627" s="5" t="s">
        <v>355</v>
      </c>
      <c r="Q19627" s="5" t="s">
        <v>355</v>
      </c>
    </row>
    <row r="19628" ht="16.5" customHeight="1">
      <c r="O19628" s="5" t="s">
        <v>355</v>
      </c>
      <c r="P19628" s="5" t="s">
        <v>355</v>
      </c>
      <c r="Q19628" s="5" t="s">
        <v>355</v>
      </c>
    </row>
    <row r="19629" ht="16.5" customHeight="1">
      <c r="O19629" s="5" t="s">
        <v>355</v>
      </c>
      <c r="P19629" s="5" t="s">
        <v>355</v>
      </c>
      <c r="Q19629" s="5" t="s">
        <v>355</v>
      </c>
    </row>
    <row r="19630" ht="16.5" customHeight="1">
      <c r="O19630" s="5" t="s">
        <v>355</v>
      </c>
      <c r="P19630" s="5" t="s">
        <v>355</v>
      </c>
      <c r="Q19630" s="5" t="s">
        <v>355</v>
      </c>
    </row>
    <row r="19631" ht="16.5" customHeight="1">
      <c r="O19631" s="5" t="s">
        <v>355</v>
      </c>
      <c r="P19631" s="5" t="s">
        <v>355</v>
      </c>
      <c r="Q19631" s="5" t="s">
        <v>355</v>
      </c>
    </row>
    <row r="19632" ht="16.5" customHeight="1">
      <c r="O19632" s="5" t="s">
        <v>355</v>
      </c>
      <c r="P19632" s="5" t="s">
        <v>355</v>
      </c>
      <c r="Q19632" s="5" t="s">
        <v>355</v>
      </c>
    </row>
    <row r="19633" ht="16.5" customHeight="1">
      <c r="O19633" s="5" t="s">
        <v>355</v>
      </c>
      <c r="P19633" s="5" t="s">
        <v>355</v>
      </c>
      <c r="Q19633" s="5" t="s">
        <v>355</v>
      </c>
    </row>
    <row r="19634" ht="16.5" customHeight="1">
      <c r="O19634" s="5" t="s">
        <v>355</v>
      </c>
      <c r="P19634" s="5" t="s">
        <v>355</v>
      </c>
      <c r="Q19634" s="5" t="s">
        <v>355</v>
      </c>
    </row>
    <row r="19635" ht="16.5" customHeight="1">
      <c r="O19635" s="5" t="s">
        <v>355</v>
      </c>
      <c r="P19635" s="5" t="s">
        <v>355</v>
      </c>
      <c r="Q19635" s="5" t="s">
        <v>355</v>
      </c>
    </row>
    <row r="19636" ht="16.5" customHeight="1">
      <c r="O19636" s="5" t="s">
        <v>355</v>
      </c>
      <c r="P19636" s="5" t="s">
        <v>355</v>
      </c>
      <c r="Q19636" s="5" t="s">
        <v>355</v>
      </c>
    </row>
    <row r="19637" ht="16.5" customHeight="1">
      <c r="O19637" s="5" t="s">
        <v>355</v>
      </c>
      <c r="P19637" s="5" t="s">
        <v>355</v>
      </c>
      <c r="Q19637" s="5" t="s">
        <v>355</v>
      </c>
    </row>
    <row r="19638" ht="16.5" customHeight="1">
      <c r="O19638" s="5" t="s">
        <v>355</v>
      </c>
      <c r="P19638" s="5" t="s">
        <v>355</v>
      </c>
      <c r="Q19638" s="5" t="s">
        <v>355</v>
      </c>
    </row>
    <row r="19639" ht="16.5" customHeight="1">
      <c r="O19639" s="5" t="s">
        <v>355</v>
      </c>
      <c r="P19639" s="5" t="s">
        <v>355</v>
      </c>
      <c r="Q19639" s="5" t="s">
        <v>355</v>
      </c>
    </row>
    <row r="19640" ht="16.5" customHeight="1">
      <c r="O19640" s="5" t="s">
        <v>355</v>
      </c>
      <c r="P19640" s="5" t="s">
        <v>355</v>
      </c>
      <c r="Q19640" s="5" t="s">
        <v>355</v>
      </c>
    </row>
    <row r="19641" ht="16.5" customHeight="1">
      <c r="O19641" s="5" t="s">
        <v>355</v>
      </c>
      <c r="P19641" s="5" t="s">
        <v>355</v>
      </c>
      <c r="Q19641" s="5" t="s">
        <v>355</v>
      </c>
    </row>
    <row r="19642" ht="16.5" customHeight="1">
      <c r="O19642" s="5" t="s">
        <v>355</v>
      </c>
      <c r="P19642" s="5" t="s">
        <v>355</v>
      </c>
      <c r="Q19642" s="5" t="s">
        <v>355</v>
      </c>
    </row>
    <row r="19643" ht="16.5" customHeight="1">
      <c r="O19643" s="5" t="s">
        <v>355</v>
      </c>
      <c r="P19643" s="5" t="s">
        <v>355</v>
      </c>
      <c r="Q19643" s="5" t="s">
        <v>355</v>
      </c>
    </row>
    <row r="19644" ht="16.5" customHeight="1">
      <c r="O19644" s="5" t="s">
        <v>355</v>
      </c>
      <c r="P19644" s="5" t="s">
        <v>355</v>
      </c>
      <c r="Q19644" s="5" t="s">
        <v>355</v>
      </c>
    </row>
    <row r="19645" ht="16.5" customHeight="1">
      <c r="O19645" s="5" t="s">
        <v>355</v>
      </c>
      <c r="P19645" s="5" t="s">
        <v>355</v>
      </c>
      <c r="Q19645" s="5" t="s">
        <v>355</v>
      </c>
    </row>
    <row r="19646" ht="16.5" customHeight="1">
      <c r="O19646" s="5" t="s">
        <v>355</v>
      </c>
      <c r="P19646" s="5" t="s">
        <v>355</v>
      </c>
      <c r="Q19646" s="5" t="s">
        <v>355</v>
      </c>
    </row>
    <row r="19647" ht="16.5" customHeight="1">
      <c r="O19647" s="5" t="s">
        <v>355</v>
      </c>
      <c r="P19647" s="5" t="s">
        <v>355</v>
      </c>
      <c r="Q19647" s="5" t="s">
        <v>355</v>
      </c>
    </row>
    <row r="19648" ht="16.5" customHeight="1">
      <c r="O19648" s="5" t="s">
        <v>355</v>
      </c>
      <c r="P19648" s="5" t="s">
        <v>355</v>
      </c>
      <c r="Q19648" s="5" t="s">
        <v>355</v>
      </c>
    </row>
    <row r="19649" ht="16.5" customHeight="1">
      <c r="O19649" s="5" t="s">
        <v>355</v>
      </c>
      <c r="P19649" s="5" t="s">
        <v>355</v>
      </c>
      <c r="Q19649" s="5" t="s">
        <v>355</v>
      </c>
    </row>
    <row r="19650" ht="16.5" customHeight="1">
      <c r="O19650" s="5" t="s">
        <v>355</v>
      </c>
      <c r="P19650" s="5" t="s">
        <v>355</v>
      </c>
      <c r="Q19650" s="5" t="s">
        <v>355</v>
      </c>
    </row>
    <row r="19651" ht="16.5" customHeight="1">
      <c r="O19651" s="5" t="s">
        <v>355</v>
      </c>
      <c r="P19651" s="5" t="s">
        <v>355</v>
      </c>
      <c r="Q19651" s="5" t="s">
        <v>355</v>
      </c>
    </row>
    <row r="19652" ht="16.5" customHeight="1">
      <c r="O19652" s="5" t="s">
        <v>355</v>
      </c>
      <c r="P19652" s="5" t="s">
        <v>355</v>
      </c>
      <c r="Q19652" s="5" t="s">
        <v>355</v>
      </c>
    </row>
    <row r="19653" ht="16.5" customHeight="1">
      <c r="O19653" s="5" t="s">
        <v>355</v>
      </c>
      <c r="P19653" s="5" t="s">
        <v>355</v>
      </c>
      <c r="Q19653" s="5" t="s">
        <v>355</v>
      </c>
    </row>
    <row r="19654" ht="16.5" customHeight="1">
      <c r="O19654" s="5" t="s">
        <v>355</v>
      </c>
      <c r="P19654" s="5" t="s">
        <v>355</v>
      </c>
      <c r="Q19654" s="5" t="s">
        <v>355</v>
      </c>
    </row>
    <row r="19655" ht="16.5" customHeight="1">
      <c r="O19655" s="5" t="s">
        <v>355</v>
      </c>
      <c r="P19655" s="5" t="s">
        <v>355</v>
      </c>
      <c r="Q19655" s="5" t="s">
        <v>355</v>
      </c>
    </row>
    <row r="19656" ht="16.5" customHeight="1">
      <c r="O19656" s="5" t="s">
        <v>355</v>
      </c>
      <c r="P19656" s="5" t="s">
        <v>355</v>
      </c>
      <c r="Q19656" s="5" t="s">
        <v>355</v>
      </c>
    </row>
    <row r="19657" ht="16.5" customHeight="1">
      <c r="O19657" s="5" t="s">
        <v>355</v>
      </c>
      <c r="P19657" s="5" t="s">
        <v>355</v>
      </c>
      <c r="Q19657" s="5" t="s">
        <v>355</v>
      </c>
    </row>
    <row r="19658" ht="16.5" customHeight="1">
      <c r="O19658" s="5" t="s">
        <v>355</v>
      </c>
      <c r="P19658" s="5" t="s">
        <v>355</v>
      </c>
      <c r="Q19658" s="5" t="s">
        <v>355</v>
      </c>
    </row>
    <row r="19659" ht="16.5" customHeight="1">
      <c r="O19659" s="5" t="s">
        <v>355</v>
      </c>
      <c r="P19659" s="5" t="s">
        <v>355</v>
      </c>
      <c r="Q19659" s="5" t="s">
        <v>355</v>
      </c>
    </row>
    <row r="19660" ht="16.5" customHeight="1">
      <c r="O19660" s="5" t="s">
        <v>355</v>
      </c>
      <c r="P19660" s="5" t="s">
        <v>355</v>
      </c>
      <c r="Q19660" s="5" t="s">
        <v>355</v>
      </c>
    </row>
    <row r="19661" ht="16.5" customHeight="1">
      <c r="O19661" s="5" t="s">
        <v>355</v>
      </c>
      <c r="P19661" s="5" t="s">
        <v>355</v>
      </c>
      <c r="Q19661" s="5" t="s">
        <v>355</v>
      </c>
    </row>
    <row r="19662" ht="16.5" customHeight="1">
      <c r="O19662" s="5" t="s">
        <v>355</v>
      </c>
      <c r="P19662" s="5" t="s">
        <v>355</v>
      </c>
      <c r="Q19662" s="5" t="s">
        <v>355</v>
      </c>
    </row>
    <row r="19663" ht="16.5" customHeight="1">
      <c r="O19663" s="5" t="s">
        <v>355</v>
      </c>
      <c r="P19663" s="5" t="s">
        <v>355</v>
      </c>
      <c r="Q19663" s="5" t="s">
        <v>355</v>
      </c>
    </row>
    <row r="19664" ht="16.5" customHeight="1">
      <c r="O19664" s="5" t="s">
        <v>355</v>
      </c>
      <c r="P19664" s="5" t="s">
        <v>355</v>
      </c>
      <c r="Q19664" s="5" t="s">
        <v>355</v>
      </c>
    </row>
    <row r="19665" ht="16.5" customHeight="1">
      <c r="O19665" s="5" t="s">
        <v>355</v>
      </c>
      <c r="P19665" s="5" t="s">
        <v>355</v>
      </c>
      <c r="Q19665" s="5" t="s">
        <v>355</v>
      </c>
    </row>
    <row r="19666" ht="16.5" customHeight="1">
      <c r="O19666" s="5" t="s">
        <v>355</v>
      </c>
      <c r="P19666" s="5" t="s">
        <v>355</v>
      </c>
      <c r="Q19666" s="5" t="s">
        <v>355</v>
      </c>
    </row>
    <row r="19667" ht="16.5" customHeight="1">
      <c r="O19667" s="5" t="s">
        <v>355</v>
      </c>
      <c r="P19667" s="5" t="s">
        <v>355</v>
      </c>
      <c r="Q19667" s="5" t="s">
        <v>355</v>
      </c>
    </row>
    <row r="19668" ht="16.5" customHeight="1">
      <c r="O19668" s="5" t="s">
        <v>355</v>
      </c>
      <c r="P19668" s="5" t="s">
        <v>355</v>
      </c>
      <c r="Q19668" s="5" t="s">
        <v>355</v>
      </c>
    </row>
    <row r="19669" ht="16.5" customHeight="1">
      <c r="O19669" s="5" t="s">
        <v>355</v>
      </c>
      <c r="P19669" s="5" t="s">
        <v>355</v>
      </c>
      <c r="Q19669" s="5" t="s">
        <v>355</v>
      </c>
    </row>
    <row r="19670" ht="16.5" customHeight="1">
      <c r="O19670" s="5" t="s">
        <v>355</v>
      </c>
      <c r="P19670" s="5" t="s">
        <v>355</v>
      </c>
      <c r="Q19670" s="5" t="s">
        <v>355</v>
      </c>
    </row>
    <row r="19671" ht="16.5" customHeight="1">
      <c r="O19671" s="5" t="s">
        <v>355</v>
      </c>
      <c r="P19671" s="5" t="s">
        <v>355</v>
      </c>
      <c r="Q19671" s="5" t="s">
        <v>355</v>
      </c>
    </row>
    <row r="19672" ht="16.5" customHeight="1">
      <c r="O19672" s="5" t="s">
        <v>355</v>
      </c>
      <c r="P19672" s="5" t="s">
        <v>355</v>
      </c>
      <c r="Q19672" s="5" t="s">
        <v>355</v>
      </c>
    </row>
    <row r="19673" ht="16.5" customHeight="1">
      <c r="O19673" s="5" t="s">
        <v>355</v>
      </c>
      <c r="P19673" s="5" t="s">
        <v>355</v>
      </c>
      <c r="Q19673" s="5" t="s">
        <v>355</v>
      </c>
    </row>
    <row r="19674" ht="16.5" customHeight="1">
      <c r="O19674" s="5" t="s">
        <v>355</v>
      </c>
      <c r="P19674" s="5" t="s">
        <v>355</v>
      </c>
      <c r="Q19674" s="5" t="s">
        <v>355</v>
      </c>
    </row>
    <row r="19675" ht="16.5" customHeight="1">
      <c r="O19675" s="5" t="s">
        <v>355</v>
      </c>
      <c r="P19675" s="5" t="s">
        <v>355</v>
      </c>
      <c r="Q19675" s="5" t="s">
        <v>355</v>
      </c>
    </row>
    <row r="19676" ht="16.5" customHeight="1">
      <c r="O19676" s="5" t="s">
        <v>355</v>
      </c>
      <c r="P19676" s="5" t="s">
        <v>355</v>
      </c>
      <c r="Q19676" s="5" t="s">
        <v>355</v>
      </c>
    </row>
    <row r="19677" ht="16.5" customHeight="1">
      <c r="O19677" s="5" t="s">
        <v>355</v>
      </c>
      <c r="P19677" s="5" t="s">
        <v>355</v>
      </c>
      <c r="Q19677" s="5" t="s">
        <v>355</v>
      </c>
    </row>
    <row r="19678" ht="16.5" customHeight="1">
      <c r="O19678" s="5" t="s">
        <v>355</v>
      </c>
      <c r="P19678" s="5" t="s">
        <v>355</v>
      </c>
      <c r="Q19678" s="5" t="s">
        <v>355</v>
      </c>
    </row>
    <row r="19679" ht="16.5" customHeight="1">
      <c r="O19679" s="5" t="s">
        <v>355</v>
      </c>
      <c r="P19679" s="5" t="s">
        <v>355</v>
      </c>
      <c r="Q19679" s="5" t="s">
        <v>355</v>
      </c>
    </row>
    <row r="19680" ht="16.5" customHeight="1">
      <c r="O19680" s="5" t="s">
        <v>355</v>
      </c>
      <c r="P19680" s="5" t="s">
        <v>355</v>
      </c>
      <c r="Q19680" s="5" t="s">
        <v>355</v>
      </c>
    </row>
    <row r="19681" ht="16.5" customHeight="1">
      <c r="O19681" s="5" t="s">
        <v>355</v>
      </c>
      <c r="P19681" s="5" t="s">
        <v>355</v>
      </c>
      <c r="Q19681" s="5" t="s">
        <v>355</v>
      </c>
    </row>
    <row r="19682" ht="16.5" customHeight="1">
      <c r="O19682" s="5" t="s">
        <v>355</v>
      </c>
      <c r="P19682" s="5" t="s">
        <v>355</v>
      </c>
      <c r="Q19682" s="5" t="s">
        <v>355</v>
      </c>
    </row>
    <row r="19683" ht="16.5" customHeight="1">
      <c r="O19683" s="5" t="s">
        <v>355</v>
      </c>
      <c r="P19683" s="5" t="s">
        <v>355</v>
      </c>
      <c r="Q19683" s="5" t="s">
        <v>355</v>
      </c>
    </row>
    <row r="19684" ht="16.5" customHeight="1">
      <c r="O19684" s="5" t="s">
        <v>355</v>
      </c>
      <c r="P19684" s="5" t="s">
        <v>355</v>
      </c>
      <c r="Q19684" s="5" t="s">
        <v>355</v>
      </c>
    </row>
    <row r="19685" ht="16.5" customHeight="1">
      <c r="O19685" s="5" t="s">
        <v>355</v>
      </c>
      <c r="P19685" s="5" t="s">
        <v>355</v>
      </c>
      <c r="Q19685" s="5" t="s">
        <v>355</v>
      </c>
    </row>
    <row r="19686" ht="16.5" customHeight="1">
      <c r="O19686" s="5" t="s">
        <v>355</v>
      </c>
      <c r="P19686" s="5" t="s">
        <v>355</v>
      </c>
      <c r="Q19686" s="5" t="s">
        <v>355</v>
      </c>
    </row>
    <row r="19687" ht="16.5" customHeight="1">
      <c r="O19687" s="5" t="s">
        <v>355</v>
      </c>
      <c r="P19687" s="5" t="s">
        <v>355</v>
      </c>
      <c r="Q19687" s="5" t="s">
        <v>355</v>
      </c>
    </row>
    <row r="19688" ht="16.5" customHeight="1">
      <c r="O19688" s="5" t="s">
        <v>355</v>
      </c>
      <c r="P19688" s="5" t="s">
        <v>355</v>
      </c>
      <c r="Q19688" s="5" t="s">
        <v>355</v>
      </c>
    </row>
    <row r="19689" ht="16.5" customHeight="1">
      <c r="O19689" s="5" t="s">
        <v>355</v>
      </c>
      <c r="P19689" s="5" t="s">
        <v>355</v>
      </c>
      <c r="Q19689" s="5" t="s">
        <v>355</v>
      </c>
    </row>
    <row r="19690" ht="16.5" customHeight="1">
      <c r="O19690" s="5" t="s">
        <v>355</v>
      </c>
      <c r="P19690" s="5" t="s">
        <v>355</v>
      </c>
      <c r="Q19690" s="5" t="s">
        <v>355</v>
      </c>
    </row>
    <row r="19691" ht="16.5" customHeight="1">
      <c r="O19691" s="5" t="s">
        <v>355</v>
      </c>
      <c r="P19691" s="5" t="s">
        <v>355</v>
      </c>
      <c r="Q19691" s="5" t="s">
        <v>355</v>
      </c>
    </row>
    <row r="19692" ht="16.5" customHeight="1">
      <c r="O19692" s="5" t="s">
        <v>355</v>
      </c>
      <c r="P19692" s="5" t="s">
        <v>355</v>
      </c>
      <c r="Q19692" s="5" t="s">
        <v>355</v>
      </c>
    </row>
    <row r="19693" ht="16.5" customHeight="1">
      <c r="O19693" s="5" t="s">
        <v>355</v>
      </c>
      <c r="P19693" s="5" t="s">
        <v>355</v>
      </c>
      <c r="Q19693" s="5" t="s">
        <v>355</v>
      </c>
    </row>
    <row r="19694" ht="16.5" customHeight="1">
      <c r="O19694" s="5" t="s">
        <v>355</v>
      </c>
      <c r="P19694" s="5" t="s">
        <v>355</v>
      </c>
      <c r="Q19694" s="5" t="s">
        <v>355</v>
      </c>
    </row>
    <row r="19695" ht="16.5" customHeight="1">
      <c r="O19695" s="5" t="s">
        <v>355</v>
      </c>
      <c r="P19695" s="5" t="s">
        <v>355</v>
      </c>
      <c r="Q19695" s="5" t="s">
        <v>355</v>
      </c>
    </row>
    <row r="19696" ht="16.5" customHeight="1">
      <c r="O19696" s="5" t="s">
        <v>355</v>
      </c>
      <c r="P19696" s="5" t="s">
        <v>355</v>
      </c>
      <c r="Q19696" s="5" t="s">
        <v>355</v>
      </c>
    </row>
    <row r="19697" ht="16.5" customHeight="1">
      <c r="O19697" s="5" t="s">
        <v>355</v>
      </c>
      <c r="P19697" s="5" t="s">
        <v>355</v>
      </c>
      <c r="Q19697" s="5" t="s">
        <v>355</v>
      </c>
    </row>
    <row r="19698" ht="16.5" customHeight="1">
      <c r="O19698" s="5" t="s">
        <v>355</v>
      </c>
      <c r="P19698" s="5" t="s">
        <v>355</v>
      </c>
      <c r="Q19698" s="5" t="s">
        <v>355</v>
      </c>
    </row>
    <row r="19699" ht="16.5" customHeight="1">
      <c r="O19699" s="5" t="s">
        <v>355</v>
      </c>
      <c r="P19699" s="5" t="s">
        <v>355</v>
      </c>
      <c r="Q19699" s="5" t="s">
        <v>355</v>
      </c>
    </row>
    <row r="19700" ht="16.5" customHeight="1">
      <c r="O19700" s="5" t="s">
        <v>355</v>
      </c>
      <c r="P19700" s="5" t="s">
        <v>355</v>
      </c>
      <c r="Q19700" s="5" t="s">
        <v>355</v>
      </c>
    </row>
    <row r="19701" ht="16.5" customHeight="1">
      <c r="O19701" s="5" t="s">
        <v>355</v>
      </c>
      <c r="P19701" s="5" t="s">
        <v>355</v>
      </c>
      <c r="Q19701" s="5" t="s">
        <v>355</v>
      </c>
    </row>
    <row r="19702" ht="16.5" customHeight="1">
      <c r="O19702" s="5" t="s">
        <v>355</v>
      </c>
      <c r="P19702" s="5" t="s">
        <v>355</v>
      </c>
      <c r="Q19702" s="5" t="s">
        <v>355</v>
      </c>
    </row>
    <row r="19703" ht="16.5" customHeight="1">
      <c r="O19703" s="5" t="s">
        <v>355</v>
      </c>
      <c r="P19703" s="5" t="s">
        <v>355</v>
      </c>
      <c r="Q19703" s="5" t="s">
        <v>355</v>
      </c>
    </row>
    <row r="19704" ht="16.5" customHeight="1">
      <c r="O19704" s="5" t="s">
        <v>355</v>
      </c>
      <c r="P19704" s="5" t="s">
        <v>355</v>
      </c>
      <c r="Q19704" s="5" t="s">
        <v>355</v>
      </c>
    </row>
    <row r="19705" ht="16.5" customHeight="1">
      <c r="O19705" s="5" t="s">
        <v>355</v>
      </c>
      <c r="P19705" s="5" t="s">
        <v>355</v>
      </c>
      <c r="Q19705" s="5" t="s">
        <v>355</v>
      </c>
    </row>
    <row r="19706" ht="16.5" customHeight="1">
      <c r="O19706" s="5" t="s">
        <v>355</v>
      </c>
      <c r="P19706" s="5" t="s">
        <v>355</v>
      </c>
      <c r="Q19706" s="5" t="s">
        <v>355</v>
      </c>
    </row>
    <row r="19707" ht="16.5" customHeight="1">
      <c r="O19707" s="5" t="s">
        <v>355</v>
      </c>
      <c r="P19707" s="5" t="s">
        <v>355</v>
      </c>
      <c r="Q19707" s="5" t="s">
        <v>355</v>
      </c>
    </row>
    <row r="19708" ht="16.5" customHeight="1">
      <c r="O19708" s="5" t="s">
        <v>355</v>
      </c>
      <c r="P19708" s="5" t="s">
        <v>355</v>
      </c>
      <c r="Q19708" s="5" t="s">
        <v>355</v>
      </c>
    </row>
    <row r="19709" ht="16.5" customHeight="1">
      <c r="O19709" s="5" t="s">
        <v>355</v>
      </c>
      <c r="P19709" s="5" t="s">
        <v>355</v>
      </c>
      <c r="Q19709" s="5" t="s">
        <v>355</v>
      </c>
    </row>
    <row r="19710" ht="16.5" customHeight="1">
      <c r="O19710" s="5" t="s">
        <v>355</v>
      </c>
      <c r="P19710" s="5" t="s">
        <v>355</v>
      </c>
      <c r="Q19710" s="5" t="s">
        <v>355</v>
      </c>
    </row>
    <row r="19711" ht="16.5" customHeight="1">
      <c r="O19711" s="5" t="s">
        <v>355</v>
      </c>
      <c r="P19711" s="5" t="s">
        <v>355</v>
      </c>
      <c r="Q19711" s="5" t="s">
        <v>355</v>
      </c>
    </row>
    <row r="19712" ht="16.5" customHeight="1">
      <c r="O19712" s="5" t="s">
        <v>355</v>
      </c>
      <c r="P19712" s="5" t="s">
        <v>355</v>
      </c>
      <c r="Q19712" s="5" t="s">
        <v>355</v>
      </c>
    </row>
    <row r="19713" ht="16.5" customHeight="1">
      <c r="O19713" s="5" t="s">
        <v>355</v>
      </c>
      <c r="P19713" s="5" t="s">
        <v>355</v>
      </c>
      <c r="Q19713" s="5" t="s">
        <v>355</v>
      </c>
    </row>
    <row r="19714" ht="16.5" customHeight="1">
      <c r="O19714" s="5" t="s">
        <v>355</v>
      </c>
      <c r="P19714" s="5" t="s">
        <v>355</v>
      </c>
      <c r="Q19714" s="5" t="s">
        <v>355</v>
      </c>
    </row>
    <row r="19715" ht="16.5" customHeight="1">
      <c r="O19715" s="5" t="s">
        <v>355</v>
      </c>
      <c r="P19715" s="5" t="s">
        <v>355</v>
      </c>
      <c r="Q19715" s="5" t="s">
        <v>355</v>
      </c>
    </row>
    <row r="19716" ht="16.5" customHeight="1">
      <c r="O19716" s="5" t="s">
        <v>355</v>
      </c>
      <c r="P19716" s="5" t="s">
        <v>355</v>
      </c>
      <c r="Q19716" s="5" t="s">
        <v>355</v>
      </c>
    </row>
    <row r="19717" ht="16.5" customHeight="1">
      <c r="O19717" s="5" t="s">
        <v>355</v>
      </c>
      <c r="P19717" s="5" t="s">
        <v>355</v>
      </c>
      <c r="Q19717" s="5" t="s">
        <v>355</v>
      </c>
    </row>
    <row r="19718" ht="16.5" customHeight="1">
      <c r="O19718" s="5" t="s">
        <v>355</v>
      </c>
      <c r="P19718" s="5" t="s">
        <v>355</v>
      </c>
      <c r="Q19718" s="5" t="s">
        <v>355</v>
      </c>
    </row>
    <row r="19719" ht="16.5" customHeight="1">
      <c r="O19719" s="5" t="s">
        <v>355</v>
      </c>
      <c r="P19719" s="5" t="s">
        <v>355</v>
      </c>
      <c r="Q19719" s="5" t="s">
        <v>355</v>
      </c>
    </row>
    <row r="19720" ht="16.5" customHeight="1">
      <c r="O19720" s="5" t="s">
        <v>355</v>
      </c>
      <c r="P19720" s="5" t="s">
        <v>355</v>
      </c>
      <c r="Q19720" s="5" t="s">
        <v>355</v>
      </c>
    </row>
    <row r="19721" ht="16.5" customHeight="1">
      <c r="O19721" s="5" t="s">
        <v>355</v>
      </c>
      <c r="P19721" s="5" t="s">
        <v>355</v>
      </c>
      <c r="Q19721" s="5" t="s">
        <v>355</v>
      </c>
    </row>
    <row r="19722" ht="16.5" customHeight="1">
      <c r="O19722" s="5" t="s">
        <v>355</v>
      </c>
      <c r="P19722" s="5" t="s">
        <v>355</v>
      </c>
      <c r="Q19722" s="5" t="s">
        <v>355</v>
      </c>
    </row>
    <row r="19723" ht="16.5" customHeight="1">
      <c r="O19723" s="5" t="s">
        <v>355</v>
      </c>
      <c r="P19723" s="5" t="s">
        <v>355</v>
      </c>
      <c r="Q19723" s="5" t="s">
        <v>355</v>
      </c>
    </row>
    <row r="19724" ht="16.5" customHeight="1">
      <c r="O19724" s="5" t="s">
        <v>355</v>
      </c>
      <c r="P19724" s="5" t="s">
        <v>355</v>
      </c>
      <c r="Q19724" s="5" t="s">
        <v>355</v>
      </c>
    </row>
    <row r="19725" ht="16.5" customHeight="1">
      <c r="O19725" s="5" t="s">
        <v>355</v>
      </c>
      <c r="P19725" s="5" t="s">
        <v>355</v>
      </c>
      <c r="Q19725" s="5" t="s">
        <v>355</v>
      </c>
    </row>
    <row r="19726" ht="16.5" customHeight="1">
      <c r="O19726" s="5" t="s">
        <v>355</v>
      </c>
      <c r="P19726" s="5" t="s">
        <v>355</v>
      </c>
      <c r="Q19726" s="5" t="s">
        <v>355</v>
      </c>
    </row>
    <row r="19727" ht="16.5" customHeight="1">
      <c r="O19727" s="5" t="s">
        <v>355</v>
      </c>
      <c r="P19727" s="5" t="s">
        <v>355</v>
      </c>
      <c r="Q19727" s="5" t="s">
        <v>355</v>
      </c>
    </row>
    <row r="19728" ht="16.5" customHeight="1">
      <c r="O19728" s="5" t="s">
        <v>355</v>
      </c>
      <c r="P19728" s="5" t="s">
        <v>355</v>
      </c>
      <c r="Q19728" s="5" t="s">
        <v>355</v>
      </c>
    </row>
    <row r="19729" ht="16.5" customHeight="1">
      <c r="O19729" s="5" t="s">
        <v>355</v>
      </c>
      <c r="P19729" s="5" t="s">
        <v>355</v>
      </c>
      <c r="Q19729" s="5" t="s">
        <v>355</v>
      </c>
    </row>
    <row r="19730" ht="16.5" customHeight="1">
      <c r="O19730" s="5" t="s">
        <v>355</v>
      </c>
      <c r="P19730" s="5" t="s">
        <v>355</v>
      </c>
      <c r="Q19730" s="5" t="s">
        <v>355</v>
      </c>
    </row>
    <row r="19731" ht="16.5" customHeight="1">
      <c r="O19731" s="5" t="s">
        <v>355</v>
      </c>
      <c r="P19731" s="5" t="s">
        <v>355</v>
      </c>
      <c r="Q19731" s="5" t="s">
        <v>355</v>
      </c>
    </row>
    <row r="19732" ht="16.5" customHeight="1">
      <c r="O19732" s="5" t="s">
        <v>355</v>
      </c>
      <c r="P19732" s="5" t="s">
        <v>355</v>
      </c>
      <c r="Q19732" s="5" t="s">
        <v>355</v>
      </c>
    </row>
    <row r="19733" ht="16.5" customHeight="1">
      <c r="O19733" s="5" t="s">
        <v>355</v>
      </c>
      <c r="P19733" s="5" t="s">
        <v>355</v>
      </c>
      <c r="Q19733" s="5" t="s">
        <v>355</v>
      </c>
    </row>
    <row r="19734" ht="16.5" customHeight="1">
      <c r="O19734" s="5" t="s">
        <v>355</v>
      </c>
      <c r="P19734" s="5" t="s">
        <v>355</v>
      </c>
      <c r="Q19734" s="5" t="s">
        <v>355</v>
      </c>
    </row>
    <row r="19735" ht="16.5" customHeight="1">
      <c r="O19735" s="5" t="s">
        <v>355</v>
      </c>
      <c r="P19735" s="5" t="s">
        <v>355</v>
      </c>
      <c r="Q19735" s="5" t="s">
        <v>355</v>
      </c>
    </row>
    <row r="19736" ht="16.5" customHeight="1">
      <c r="O19736" s="5" t="s">
        <v>355</v>
      </c>
      <c r="P19736" s="5" t="s">
        <v>355</v>
      </c>
      <c r="Q19736" s="5" t="s">
        <v>355</v>
      </c>
    </row>
    <row r="19737" ht="16.5" customHeight="1">
      <c r="O19737" s="5" t="s">
        <v>355</v>
      </c>
      <c r="P19737" s="5" t="s">
        <v>355</v>
      </c>
      <c r="Q19737" s="5" t="s">
        <v>355</v>
      </c>
    </row>
    <row r="19738" ht="16.5" customHeight="1">
      <c r="O19738" s="5" t="s">
        <v>355</v>
      </c>
      <c r="P19738" s="5" t="s">
        <v>355</v>
      </c>
      <c r="Q19738" s="5" t="s">
        <v>355</v>
      </c>
    </row>
    <row r="19739" ht="16.5" customHeight="1">
      <c r="O19739" s="5" t="s">
        <v>355</v>
      </c>
      <c r="P19739" s="5" t="s">
        <v>355</v>
      </c>
      <c r="Q19739" s="5" t="s">
        <v>355</v>
      </c>
    </row>
    <row r="19740" ht="16.5" customHeight="1">
      <c r="O19740" s="5" t="s">
        <v>355</v>
      </c>
      <c r="P19740" s="5" t="s">
        <v>355</v>
      </c>
      <c r="Q19740" s="5" t="s">
        <v>355</v>
      </c>
    </row>
    <row r="19741" ht="16.5" customHeight="1">
      <c r="O19741" s="5" t="s">
        <v>355</v>
      </c>
      <c r="P19741" s="5" t="s">
        <v>355</v>
      </c>
      <c r="Q19741" s="5" t="s">
        <v>355</v>
      </c>
    </row>
    <row r="19742" ht="16.5" customHeight="1">
      <c r="O19742" s="5" t="s">
        <v>355</v>
      </c>
      <c r="P19742" s="5" t="s">
        <v>355</v>
      </c>
      <c r="Q19742" s="5" t="s">
        <v>355</v>
      </c>
    </row>
    <row r="19743" ht="16.5" customHeight="1">
      <c r="O19743" s="5" t="s">
        <v>355</v>
      </c>
      <c r="P19743" s="5" t="s">
        <v>355</v>
      </c>
      <c r="Q19743" s="5" t="s">
        <v>355</v>
      </c>
    </row>
    <row r="19744" ht="16.5" customHeight="1">
      <c r="O19744" s="5" t="s">
        <v>355</v>
      </c>
      <c r="P19744" s="5" t="s">
        <v>355</v>
      </c>
      <c r="Q19744" s="5" t="s">
        <v>355</v>
      </c>
    </row>
    <row r="19745" ht="16.5" customHeight="1">
      <c r="O19745" s="5" t="s">
        <v>355</v>
      </c>
      <c r="P19745" s="5" t="s">
        <v>355</v>
      </c>
      <c r="Q19745" s="5" t="s">
        <v>355</v>
      </c>
    </row>
    <row r="19746" ht="16.5" customHeight="1">
      <c r="O19746" s="5" t="s">
        <v>355</v>
      </c>
      <c r="P19746" s="5" t="s">
        <v>355</v>
      </c>
      <c r="Q19746" s="5" t="s">
        <v>355</v>
      </c>
    </row>
    <row r="19747" ht="16.5" customHeight="1">
      <c r="O19747" s="5" t="s">
        <v>355</v>
      </c>
      <c r="P19747" s="5" t="s">
        <v>355</v>
      </c>
      <c r="Q19747" s="5" t="s">
        <v>355</v>
      </c>
    </row>
    <row r="19748" ht="16.5" customHeight="1">
      <c r="O19748" s="5" t="s">
        <v>355</v>
      </c>
      <c r="P19748" s="5" t="s">
        <v>355</v>
      </c>
      <c r="Q19748" s="5" t="s">
        <v>355</v>
      </c>
    </row>
    <row r="19749" ht="16.5" customHeight="1">
      <c r="O19749" s="5" t="s">
        <v>355</v>
      </c>
      <c r="P19749" s="5" t="s">
        <v>355</v>
      </c>
      <c r="Q19749" s="5" t="s">
        <v>355</v>
      </c>
    </row>
    <row r="19750" ht="16.5" customHeight="1">
      <c r="O19750" s="5" t="s">
        <v>355</v>
      </c>
      <c r="P19750" s="5" t="s">
        <v>355</v>
      </c>
      <c r="Q19750" s="5" t="s">
        <v>355</v>
      </c>
    </row>
    <row r="19751" ht="16.5" customHeight="1">
      <c r="O19751" s="5" t="s">
        <v>355</v>
      </c>
      <c r="P19751" s="5" t="s">
        <v>355</v>
      </c>
      <c r="Q19751" s="5" t="s">
        <v>355</v>
      </c>
    </row>
    <row r="19752" ht="16.5" customHeight="1">
      <c r="O19752" s="5" t="s">
        <v>355</v>
      </c>
      <c r="P19752" s="5" t="s">
        <v>355</v>
      </c>
      <c r="Q19752" s="5" t="s">
        <v>355</v>
      </c>
    </row>
    <row r="19753" ht="16.5" customHeight="1">
      <c r="O19753" s="5" t="s">
        <v>355</v>
      </c>
      <c r="P19753" s="5" t="s">
        <v>355</v>
      </c>
      <c r="Q19753" s="5" t="s">
        <v>355</v>
      </c>
    </row>
    <row r="19754" ht="16.5" customHeight="1">
      <c r="O19754" s="5" t="s">
        <v>355</v>
      </c>
      <c r="P19754" s="5" t="s">
        <v>355</v>
      </c>
      <c r="Q19754" s="5" t="s">
        <v>355</v>
      </c>
    </row>
    <row r="19755" ht="16.5" customHeight="1">
      <c r="O19755" s="5" t="s">
        <v>355</v>
      </c>
      <c r="P19755" s="5" t="s">
        <v>355</v>
      </c>
      <c r="Q19755" s="5" t="s">
        <v>355</v>
      </c>
    </row>
    <row r="19756" ht="16.5" customHeight="1">
      <c r="O19756" s="5" t="s">
        <v>355</v>
      </c>
      <c r="P19756" s="5" t="s">
        <v>355</v>
      </c>
      <c r="Q19756" s="5" t="s">
        <v>355</v>
      </c>
    </row>
    <row r="19757" ht="16.5" customHeight="1">
      <c r="O19757" s="5" t="s">
        <v>355</v>
      </c>
      <c r="P19757" s="5" t="s">
        <v>355</v>
      </c>
      <c r="Q19757" s="5" t="s">
        <v>355</v>
      </c>
    </row>
    <row r="19758" ht="16.5" customHeight="1">
      <c r="O19758" s="5" t="s">
        <v>355</v>
      </c>
      <c r="P19758" s="5" t="s">
        <v>355</v>
      </c>
      <c r="Q19758" s="5" t="s">
        <v>355</v>
      </c>
    </row>
    <row r="19759" ht="16.5" customHeight="1">
      <c r="O19759" s="5" t="s">
        <v>355</v>
      </c>
      <c r="P19759" s="5" t="s">
        <v>355</v>
      </c>
      <c r="Q19759" s="5" t="s">
        <v>355</v>
      </c>
    </row>
    <row r="19760" ht="16.5" customHeight="1">
      <c r="O19760" s="5" t="s">
        <v>355</v>
      </c>
      <c r="P19760" s="5" t="s">
        <v>355</v>
      </c>
      <c r="Q19760" s="5" t="s">
        <v>355</v>
      </c>
    </row>
    <row r="19761" ht="16.5" customHeight="1">
      <c r="O19761" s="5" t="s">
        <v>355</v>
      </c>
      <c r="P19761" s="5" t="s">
        <v>355</v>
      </c>
      <c r="Q19761" s="5" t="s">
        <v>355</v>
      </c>
    </row>
    <row r="19762" ht="16.5" customHeight="1">
      <c r="O19762" s="5" t="s">
        <v>355</v>
      </c>
      <c r="P19762" s="5" t="s">
        <v>355</v>
      </c>
      <c r="Q19762" s="5" t="s">
        <v>355</v>
      </c>
    </row>
    <row r="19763" ht="16.5" customHeight="1">
      <c r="O19763" s="5" t="s">
        <v>355</v>
      </c>
      <c r="P19763" s="5" t="s">
        <v>355</v>
      </c>
      <c r="Q19763" s="5" t="s">
        <v>355</v>
      </c>
    </row>
    <row r="19764" ht="16.5" customHeight="1">
      <c r="O19764" s="5" t="s">
        <v>355</v>
      </c>
      <c r="P19764" s="5" t="s">
        <v>355</v>
      </c>
      <c r="Q19764" s="5" t="s">
        <v>355</v>
      </c>
    </row>
    <row r="19765" ht="16.5" customHeight="1">
      <c r="O19765" s="5" t="s">
        <v>355</v>
      </c>
      <c r="P19765" s="5" t="s">
        <v>355</v>
      </c>
      <c r="Q19765" s="5" t="s">
        <v>355</v>
      </c>
    </row>
    <row r="19766" ht="16.5" customHeight="1">
      <c r="O19766" s="5" t="s">
        <v>355</v>
      </c>
      <c r="P19766" s="5" t="s">
        <v>355</v>
      </c>
      <c r="Q19766" s="5" t="s">
        <v>355</v>
      </c>
    </row>
    <row r="19767" ht="16.5" customHeight="1">
      <c r="O19767" s="5" t="s">
        <v>355</v>
      </c>
      <c r="P19767" s="5" t="s">
        <v>355</v>
      </c>
      <c r="Q19767" s="5" t="s">
        <v>355</v>
      </c>
    </row>
    <row r="19768" ht="16.5" customHeight="1">
      <c r="O19768" s="5" t="s">
        <v>355</v>
      </c>
      <c r="P19768" s="5" t="s">
        <v>355</v>
      </c>
      <c r="Q19768" s="5" t="s">
        <v>355</v>
      </c>
    </row>
    <row r="19769" ht="16.5" customHeight="1">
      <c r="O19769" s="5" t="s">
        <v>355</v>
      </c>
      <c r="P19769" s="5" t="s">
        <v>355</v>
      </c>
      <c r="Q19769" s="5" t="s">
        <v>355</v>
      </c>
    </row>
    <row r="19770" ht="16.5" customHeight="1">
      <c r="O19770" s="5" t="s">
        <v>355</v>
      </c>
      <c r="P19770" s="5" t="s">
        <v>355</v>
      </c>
      <c r="Q19770" s="5" t="s">
        <v>355</v>
      </c>
    </row>
    <row r="19771" ht="16.5" customHeight="1">
      <c r="O19771" s="5" t="s">
        <v>355</v>
      </c>
      <c r="P19771" s="5" t="s">
        <v>355</v>
      </c>
      <c r="Q19771" s="5" t="s">
        <v>355</v>
      </c>
    </row>
    <row r="19772" ht="16.5" customHeight="1">
      <c r="O19772" s="5" t="s">
        <v>355</v>
      </c>
      <c r="P19772" s="5" t="s">
        <v>355</v>
      </c>
      <c r="Q19772" s="5" t="s">
        <v>355</v>
      </c>
    </row>
    <row r="19773" ht="16.5" customHeight="1">
      <c r="O19773" s="5" t="s">
        <v>355</v>
      </c>
      <c r="P19773" s="5" t="s">
        <v>355</v>
      </c>
      <c r="Q19773" s="5" t="s">
        <v>355</v>
      </c>
    </row>
    <row r="19774" ht="16.5" customHeight="1">
      <c r="O19774" s="5" t="s">
        <v>355</v>
      </c>
      <c r="P19774" s="5" t="s">
        <v>355</v>
      </c>
      <c r="Q19774" s="5" t="s">
        <v>355</v>
      </c>
    </row>
    <row r="19775" ht="16.5" customHeight="1">
      <c r="O19775" s="5" t="s">
        <v>355</v>
      </c>
      <c r="P19775" s="5" t="s">
        <v>355</v>
      </c>
      <c r="Q19775" s="5" t="s">
        <v>355</v>
      </c>
    </row>
    <row r="19776" ht="16.5" customHeight="1">
      <c r="O19776" s="5" t="s">
        <v>355</v>
      </c>
      <c r="P19776" s="5" t="s">
        <v>355</v>
      </c>
      <c r="Q19776" s="5" t="s">
        <v>355</v>
      </c>
    </row>
    <row r="19777" ht="16.5" customHeight="1">
      <c r="O19777" s="5" t="s">
        <v>355</v>
      </c>
      <c r="P19777" s="5" t="s">
        <v>355</v>
      </c>
      <c r="Q19777" s="5" t="s">
        <v>355</v>
      </c>
    </row>
    <row r="19778" ht="16.5" customHeight="1">
      <c r="O19778" s="5" t="s">
        <v>355</v>
      </c>
      <c r="P19778" s="5" t="s">
        <v>355</v>
      </c>
      <c r="Q19778" s="5" t="s">
        <v>355</v>
      </c>
    </row>
    <row r="19779" ht="16.5" customHeight="1">
      <c r="O19779" s="5" t="s">
        <v>355</v>
      </c>
      <c r="P19779" s="5" t="s">
        <v>355</v>
      </c>
      <c r="Q19779" s="5" t="s">
        <v>355</v>
      </c>
    </row>
    <row r="19780" ht="16.5" customHeight="1">
      <c r="O19780" s="5" t="s">
        <v>355</v>
      </c>
      <c r="P19780" s="5" t="s">
        <v>355</v>
      </c>
      <c r="Q19780" s="5" t="s">
        <v>355</v>
      </c>
    </row>
    <row r="19781" ht="16.5" customHeight="1">
      <c r="O19781" s="5" t="s">
        <v>355</v>
      </c>
      <c r="P19781" s="5" t="s">
        <v>355</v>
      </c>
      <c r="Q19781" s="5" t="s">
        <v>355</v>
      </c>
    </row>
    <row r="19782" ht="16.5" customHeight="1">
      <c r="O19782" s="5" t="s">
        <v>355</v>
      </c>
      <c r="P19782" s="5" t="s">
        <v>355</v>
      </c>
      <c r="Q19782" s="5" t="s">
        <v>355</v>
      </c>
    </row>
    <row r="19783" ht="16.5" customHeight="1">
      <c r="O19783" s="5" t="s">
        <v>355</v>
      </c>
      <c r="P19783" s="5" t="s">
        <v>355</v>
      </c>
      <c r="Q19783" s="5" t="s">
        <v>355</v>
      </c>
    </row>
    <row r="19784" ht="16.5" customHeight="1">
      <c r="O19784" s="5" t="s">
        <v>355</v>
      </c>
      <c r="P19784" s="5" t="s">
        <v>355</v>
      </c>
      <c r="Q19784" s="5" t="s">
        <v>355</v>
      </c>
    </row>
    <row r="19785" ht="16.5" customHeight="1">
      <c r="O19785" s="5" t="s">
        <v>355</v>
      </c>
      <c r="P19785" s="5" t="s">
        <v>355</v>
      </c>
      <c r="Q19785" s="5" t="s">
        <v>355</v>
      </c>
    </row>
    <row r="19786" ht="16.5" customHeight="1">
      <c r="O19786" s="5" t="s">
        <v>355</v>
      </c>
      <c r="P19786" s="5" t="s">
        <v>355</v>
      </c>
      <c r="Q19786" s="5" t="s">
        <v>355</v>
      </c>
    </row>
    <row r="19787" ht="16.5" customHeight="1">
      <c r="O19787" s="5" t="s">
        <v>355</v>
      </c>
      <c r="P19787" s="5" t="s">
        <v>355</v>
      </c>
      <c r="Q19787" s="5" t="s">
        <v>355</v>
      </c>
    </row>
    <row r="19788" ht="16.5" customHeight="1">
      <c r="O19788" s="5" t="s">
        <v>355</v>
      </c>
      <c r="P19788" s="5" t="s">
        <v>355</v>
      </c>
      <c r="Q19788" s="5" t="s">
        <v>355</v>
      </c>
    </row>
    <row r="19789" ht="16.5" customHeight="1">
      <c r="O19789" s="5" t="s">
        <v>355</v>
      </c>
      <c r="P19789" s="5" t="s">
        <v>355</v>
      </c>
      <c r="Q19789" s="5" t="s">
        <v>355</v>
      </c>
    </row>
    <row r="19790" ht="16.5" customHeight="1">
      <c r="O19790" s="5" t="s">
        <v>355</v>
      </c>
      <c r="P19790" s="5" t="s">
        <v>355</v>
      </c>
      <c r="Q19790" s="5" t="s">
        <v>355</v>
      </c>
    </row>
    <row r="19791" ht="16.5" customHeight="1">
      <c r="O19791" s="5" t="s">
        <v>355</v>
      </c>
      <c r="P19791" s="5" t="s">
        <v>355</v>
      </c>
      <c r="Q19791" s="5" t="s">
        <v>355</v>
      </c>
    </row>
    <row r="19792" ht="16.5" customHeight="1">
      <c r="O19792" s="5" t="s">
        <v>355</v>
      </c>
      <c r="P19792" s="5" t="s">
        <v>355</v>
      </c>
      <c r="Q19792" s="5" t="s">
        <v>355</v>
      </c>
    </row>
    <row r="19793" ht="16.5" customHeight="1">
      <c r="O19793" s="5" t="s">
        <v>355</v>
      </c>
      <c r="P19793" s="5" t="s">
        <v>355</v>
      </c>
      <c r="Q19793" s="5" t="s">
        <v>355</v>
      </c>
    </row>
    <row r="19794" ht="16.5" customHeight="1">
      <c r="O19794" s="5" t="s">
        <v>355</v>
      </c>
      <c r="P19794" s="5" t="s">
        <v>355</v>
      </c>
      <c r="Q19794" s="5" t="s">
        <v>355</v>
      </c>
    </row>
    <row r="19795" ht="16.5" customHeight="1">
      <c r="O19795" s="5" t="s">
        <v>355</v>
      </c>
      <c r="P19795" s="5" t="s">
        <v>355</v>
      </c>
      <c r="Q19795" s="5" t="s">
        <v>355</v>
      </c>
    </row>
    <row r="19796" ht="16.5" customHeight="1">
      <c r="O19796" s="5" t="s">
        <v>355</v>
      </c>
      <c r="P19796" s="5" t="s">
        <v>355</v>
      </c>
      <c r="Q19796" s="5" t="s">
        <v>355</v>
      </c>
    </row>
    <row r="19797" ht="16.5" customHeight="1">
      <c r="O19797" s="5" t="s">
        <v>355</v>
      </c>
      <c r="P19797" s="5" t="s">
        <v>355</v>
      </c>
      <c r="Q19797" s="5" t="s">
        <v>355</v>
      </c>
    </row>
    <row r="19798" ht="16.5" customHeight="1">
      <c r="O19798" s="5" t="s">
        <v>355</v>
      </c>
      <c r="P19798" s="5" t="s">
        <v>355</v>
      </c>
      <c r="Q19798" s="5" t="s">
        <v>355</v>
      </c>
    </row>
    <row r="19799" ht="16.5" customHeight="1">
      <c r="O19799" s="5" t="s">
        <v>355</v>
      </c>
      <c r="P19799" s="5" t="s">
        <v>355</v>
      </c>
      <c r="Q19799" s="5" t="s">
        <v>355</v>
      </c>
    </row>
    <row r="19800" ht="16.5" customHeight="1">
      <c r="O19800" s="5" t="s">
        <v>355</v>
      </c>
      <c r="P19800" s="5" t="s">
        <v>355</v>
      </c>
      <c r="Q19800" s="5" t="s">
        <v>355</v>
      </c>
    </row>
    <row r="19801" ht="16.5" customHeight="1">
      <c r="O19801" s="5" t="s">
        <v>355</v>
      </c>
      <c r="P19801" s="5" t="s">
        <v>355</v>
      </c>
      <c r="Q19801" s="5" t="s">
        <v>355</v>
      </c>
    </row>
    <row r="19802" ht="16.5" customHeight="1">
      <c r="O19802" s="5" t="s">
        <v>355</v>
      </c>
      <c r="P19802" s="5" t="s">
        <v>355</v>
      </c>
      <c r="Q19802" s="5" t="s">
        <v>355</v>
      </c>
    </row>
    <row r="19803" ht="16.5" customHeight="1">
      <c r="O19803" s="5" t="s">
        <v>355</v>
      </c>
      <c r="P19803" s="5" t="s">
        <v>355</v>
      </c>
      <c r="Q19803" s="5" t="s">
        <v>355</v>
      </c>
    </row>
    <row r="19804" ht="16.5" customHeight="1">
      <c r="O19804" s="5" t="s">
        <v>355</v>
      </c>
      <c r="P19804" s="5" t="s">
        <v>355</v>
      </c>
      <c r="Q19804" s="5" t="s">
        <v>355</v>
      </c>
    </row>
    <row r="19805" ht="16.5" customHeight="1">
      <c r="O19805" s="5" t="s">
        <v>355</v>
      </c>
      <c r="P19805" s="5" t="s">
        <v>355</v>
      </c>
      <c r="Q19805" s="5" t="s">
        <v>355</v>
      </c>
    </row>
    <row r="19806" ht="16.5" customHeight="1">
      <c r="O19806" s="5" t="s">
        <v>355</v>
      </c>
      <c r="P19806" s="5" t="s">
        <v>355</v>
      </c>
      <c r="Q19806" s="5" t="s">
        <v>355</v>
      </c>
    </row>
    <row r="19807" ht="16.5" customHeight="1">
      <c r="O19807" s="5" t="s">
        <v>355</v>
      </c>
      <c r="P19807" s="5" t="s">
        <v>355</v>
      </c>
      <c r="Q19807" s="5" t="s">
        <v>355</v>
      </c>
    </row>
    <row r="19808" ht="16.5" customHeight="1">
      <c r="O19808" s="5" t="s">
        <v>355</v>
      </c>
      <c r="P19808" s="5" t="s">
        <v>355</v>
      </c>
      <c r="Q19808" s="5" t="s">
        <v>355</v>
      </c>
    </row>
    <row r="19809" ht="16.5" customHeight="1">
      <c r="O19809" s="5" t="s">
        <v>355</v>
      </c>
      <c r="P19809" s="5" t="s">
        <v>355</v>
      </c>
      <c r="Q19809" s="5" t="s">
        <v>355</v>
      </c>
    </row>
    <row r="19810" ht="16.5" customHeight="1">
      <c r="O19810" s="5" t="s">
        <v>355</v>
      </c>
      <c r="P19810" s="5" t="s">
        <v>355</v>
      </c>
      <c r="Q19810" s="5" t="s">
        <v>355</v>
      </c>
    </row>
    <row r="19811" ht="16.5" customHeight="1">
      <c r="O19811" s="5" t="s">
        <v>355</v>
      </c>
      <c r="P19811" s="5" t="s">
        <v>355</v>
      </c>
      <c r="Q19811" s="5" t="s">
        <v>355</v>
      </c>
    </row>
    <row r="19812" ht="16.5" customHeight="1">
      <c r="O19812" s="5" t="s">
        <v>355</v>
      </c>
      <c r="P19812" s="5" t="s">
        <v>355</v>
      </c>
      <c r="Q19812" s="5" t="s">
        <v>355</v>
      </c>
    </row>
    <row r="19813" ht="16.5" customHeight="1">
      <c r="O19813" s="5" t="s">
        <v>355</v>
      </c>
      <c r="P19813" s="5" t="s">
        <v>355</v>
      </c>
      <c r="Q19813" s="5" t="s">
        <v>355</v>
      </c>
    </row>
    <row r="19814" ht="16.5" customHeight="1">
      <c r="O19814" s="5" t="s">
        <v>355</v>
      </c>
      <c r="P19814" s="5" t="s">
        <v>355</v>
      </c>
      <c r="Q19814" s="5" t="s">
        <v>355</v>
      </c>
    </row>
    <row r="19815" ht="16.5" customHeight="1">
      <c r="O19815" s="5" t="s">
        <v>355</v>
      </c>
      <c r="P19815" s="5" t="s">
        <v>355</v>
      </c>
      <c r="Q19815" s="5" t="s">
        <v>355</v>
      </c>
    </row>
    <row r="19816" ht="16.5" customHeight="1">
      <c r="O19816" s="5" t="s">
        <v>355</v>
      </c>
      <c r="P19816" s="5" t="s">
        <v>355</v>
      </c>
      <c r="Q19816" s="5" t="s">
        <v>355</v>
      </c>
    </row>
    <row r="19817" ht="16.5" customHeight="1">
      <c r="O19817" s="5" t="s">
        <v>355</v>
      </c>
      <c r="P19817" s="5" t="s">
        <v>355</v>
      </c>
      <c r="Q19817" s="5" t="s">
        <v>355</v>
      </c>
    </row>
    <row r="19818" ht="16.5" customHeight="1">
      <c r="O19818" s="5" t="s">
        <v>355</v>
      </c>
      <c r="P19818" s="5" t="s">
        <v>355</v>
      </c>
      <c r="Q19818" s="5" t="s">
        <v>355</v>
      </c>
    </row>
    <row r="19819" ht="16.5" customHeight="1">
      <c r="O19819" s="5" t="s">
        <v>355</v>
      </c>
      <c r="P19819" s="5" t="s">
        <v>355</v>
      </c>
      <c r="Q19819" s="5" t="s">
        <v>355</v>
      </c>
    </row>
    <row r="19820" ht="16.5" customHeight="1">
      <c r="O19820" s="5" t="s">
        <v>355</v>
      </c>
      <c r="P19820" s="5" t="s">
        <v>355</v>
      </c>
      <c r="Q19820" s="5" t="s">
        <v>355</v>
      </c>
    </row>
    <row r="19821" ht="16.5" customHeight="1">
      <c r="O19821" s="5" t="s">
        <v>355</v>
      </c>
      <c r="P19821" s="5" t="s">
        <v>355</v>
      </c>
      <c r="Q19821" s="5" t="s">
        <v>355</v>
      </c>
    </row>
    <row r="19822" ht="16.5" customHeight="1">
      <c r="O19822" s="5" t="s">
        <v>355</v>
      </c>
      <c r="P19822" s="5" t="s">
        <v>355</v>
      </c>
      <c r="Q19822" s="5" t="s">
        <v>355</v>
      </c>
    </row>
    <row r="19823" ht="16.5" customHeight="1">
      <c r="O19823" s="5" t="s">
        <v>355</v>
      </c>
      <c r="P19823" s="5" t="s">
        <v>355</v>
      </c>
      <c r="Q19823" s="5" t="s">
        <v>355</v>
      </c>
    </row>
    <row r="19824" ht="16.5" customHeight="1">
      <c r="O19824" s="5" t="s">
        <v>355</v>
      </c>
      <c r="P19824" s="5" t="s">
        <v>355</v>
      </c>
      <c r="Q19824" s="5" t="s">
        <v>355</v>
      </c>
    </row>
    <row r="19825" ht="16.5" customHeight="1">
      <c r="O19825" s="5" t="s">
        <v>355</v>
      </c>
      <c r="P19825" s="5" t="s">
        <v>355</v>
      </c>
      <c r="Q19825" s="5" t="s">
        <v>355</v>
      </c>
    </row>
    <row r="19826" ht="16.5" customHeight="1">
      <c r="O19826" s="5" t="s">
        <v>355</v>
      </c>
      <c r="P19826" s="5" t="s">
        <v>355</v>
      </c>
      <c r="Q19826" s="5" t="s">
        <v>355</v>
      </c>
    </row>
    <row r="19827" ht="16.5" customHeight="1">
      <c r="O19827" s="5" t="s">
        <v>355</v>
      </c>
      <c r="P19827" s="5" t="s">
        <v>355</v>
      </c>
      <c r="Q19827" s="5" t="s">
        <v>355</v>
      </c>
    </row>
    <row r="19828" ht="16.5" customHeight="1">
      <c r="O19828" s="5" t="s">
        <v>355</v>
      </c>
      <c r="P19828" s="5" t="s">
        <v>355</v>
      </c>
      <c r="Q19828" s="5" t="s">
        <v>355</v>
      </c>
    </row>
    <row r="19829" ht="16.5" customHeight="1">
      <c r="O19829" s="5" t="s">
        <v>355</v>
      </c>
      <c r="P19829" s="5" t="s">
        <v>355</v>
      </c>
      <c r="Q19829" s="5" t="s">
        <v>355</v>
      </c>
    </row>
    <row r="19830" ht="16.5" customHeight="1">
      <c r="O19830" s="5" t="s">
        <v>355</v>
      </c>
      <c r="P19830" s="5" t="s">
        <v>355</v>
      </c>
      <c r="Q19830" s="5" t="s">
        <v>355</v>
      </c>
    </row>
    <row r="19831" ht="16.5" customHeight="1">
      <c r="O19831" s="5" t="s">
        <v>355</v>
      </c>
      <c r="P19831" s="5" t="s">
        <v>355</v>
      </c>
      <c r="Q19831" s="5" t="s">
        <v>355</v>
      </c>
    </row>
    <row r="19832" ht="16.5" customHeight="1">
      <c r="O19832" s="5" t="s">
        <v>355</v>
      </c>
      <c r="P19832" s="5" t="s">
        <v>355</v>
      </c>
      <c r="Q19832" s="5" t="s">
        <v>355</v>
      </c>
    </row>
    <row r="19833" ht="16.5" customHeight="1">
      <c r="O19833" s="5" t="s">
        <v>355</v>
      </c>
      <c r="P19833" s="5" t="s">
        <v>355</v>
      </c>
      <c r="Q19833" s="5" t="s">
        <v>355</v>
      </c>
    </row>
    <row r="19834" ht="16.5" customHeight="1">
      <c r="O19834" s="5" t="s">
        <v>355</v>
      </c>
      <c r="P19834" s="5" t="s">
        <v>355</v>
      </c>
      <c r="Q19834" s="5" t="s">
        <v>355</v>
      </c>
    </row>
    <row r="19835" ht="16.5" customHeight="1">
      <c r="O19835" s="5" t="s">
        <v>355</v>
      </c>
      <c r="P19835" s="5" t="s">
        <v>355</v>
      </c>
      <c r="Q19835" s="5" t="s">
        <v>355</v>
      </c>
    </row>
    <row r="19836" ht="16.5" customHeight="1">
      <c r="O19836" s="5" t="s">
        <v>355</v>
      </c>
      <c r="P19836" s="5" t="s">
        <v>355</v>
      </c>
      <c r="Q19836" s="5" t="s">
        <v>355</v>
      </c>
    </row>
    <row r="19837" ht="16.5" customHeight="1">
      <c r="O19837" s="5" t="s">
        <v>355</v>
      </c>
      <c r="P19837" s="5" t="s">
        <v>355</v>
      </c>
      <c r="Q19837" s="5" t="s">
        <v>355</v>
      </c>
    </row>
    <row r="19838" ht="16.5" customHeight="1">
      <c r="O19838" s="5" t="s">
        <v>355</v>
      </c>
      <c r="P19838" s="5" t="s">
        <v>355</v>
      </c>
      <c r="Q19838" s="5" t="s">
        <v>355</v>
      </c>
    </row>
    <row r="19839" ht="16.5" customHeight="1">
      <c r="O19839" s="5" t="s">
        <v>355</v>
      </c>
      <c r="P19839" s="5" t="s">
        <v>355</v>
      </c>
      <c r="Q19839" s="5" t="s">
        <v>355</v>
      </c>
    </row>
    <row r="19840" ht="16.5" customHeight="1">
      <c r="O19840" s="5" t="s">
        <v>355</v>
      </c>
      <c r="P19840" s="5" t="s">
        <v>355</v>
      </c>
      <c r="Q19840" s="5" t="s">
        <v>355</v>
      </c>
    </row>
    <row r="19841" ht="16.5" customHeight="1">
      <c r="O19841" s="5" t="s">
        <v>355</v>
      </c>
      <c r="P19841" s="5" t="s">
        <v>355</v>
      </c>
      <c r="Q19841" s="5" t="s">
        <v>355</v>
      </c>
    </row>
    <row r="19842" ht="16.5" customHeight="1">
      <c r="O19842" s="5" t="s">
        <v>355</v>
      </c>
      <c r="P19842" s="5" t="s">
        <v>355</v>
      </c>
      <c r="Q19842" s="5" t="s">
        <v>355</v>
      </c>
    </row>
    <row r="19843" ht="16.5" customHeight="1">
      <c r="O19843" s="5" t="s">
        <v>355</v>
      </c>
      <c r="P19843" s="5" t="s">
        <v>355</v>
      </c>
      <c r="Q19843" s="5" t="s">
        <v>355</v>
      </c>
    </row>
    <row r="19844" ht="16.5" customHeight="1">
      <c r="O19844" s="5" t="s">
        <v>355</v>
      </c>
      <c r="P19844" s="5" t="s">
        <v>355</v>
      </c>
      <c r="Q19844" s="5" t="s">
        <v>355</v>
      </c>
    </row>
    <row r="19845" ht="16.5" customHeight="1">
      <c r="O19845" s="5" t="s">
        <v>355</v>
      </c>
      <c r="P19845" s="5" t="s">
        <v>355</v>
      </c>
      <c r="Q19845" s="5" t="s">
        <v>355</v>
      </c>
    </row>
    <row r="19846" ht="16.5" customHeight="1">
      <c r="O19846" s="5" t="s">
        <v>355</v>
      </c>
      <c r="P19846" s="5" t="s">
        <v>355</v>
      </c>
      <c r="Q19846" s="5" t="s">
        <v>355</v>
      </c>
    </row>
    <row r="19847" ht="16.5" customHeight="1">
      <c r="O19847" s="5" t="s">
        <v>355</v>
      </c>
      <c r="P19847" s="5" t="s">
        <v>355</v>
      </c>
      <c r="Q19847" s="5" t="s">
        <v>355</v>
      </c>
    </row>
    <row r="19848" ht="16.5" customHeight="1">
      <c r="O19848" s="5" t="s">
        <v>355</v>
      </c>
      <c r="P19848" s="5" t="s">
        <v>355</v>
      </c>
      <c r="Q19848" s="5" t="s">
        <v>355</v>
      </c>
    </row>
    <row r="19849" ht="16.5" customHeight="1">
      <c r="O19849" s="5" t="s">
        <v>355</v>
      </c>
      <c r="P19849" s="5" t="s">
        <v>355</v>
      </c>
      <c r="Q19849" s="5" t="s">
        <v>355</v>
      </c>
    </row>
    <row r="19850" ht="16.5" customHeight="1">
      <c r="O19850" s="5" t="s">
        <v>355</v>
      </c>
      <c r="P19850" s="5" t="s">
        <v>355</v>
      </c>
      <c r="Q19850" s="5" t="s">
        <v>355</v>
      </c>
    </row>
    <row r="19851" ht="16.5" customHeight="1">
      <c r="O19851" s="5" t="s">
        <v>355</v>
      </c>
      <c r="P19851" s="5" t="s">
        <v>355</v>
      </c>
      <c r="Q19851" s="5" t="s">
        <v>355</v>
      </c>
    </row>
    <row r="19852" ht="16.5" customHeight="1">
      <c r="O19852" s="5" t="s">
        <v>355</v>
      </c>
      <c r="P19852" s="5" t="s">
        <v>355</v>
      </c>
      <c r="Q19852" s="5" t="s">
        <v>355</v>
      </c>
    </row>
    <row r="19853" ht="16.5" customHeight="1">
      <c r="O19853" s="5" t="s">
        <v>355</v>
      </c>
      <c r="P19853" s="5" t="s">
        <v>355</v>
      </c>
      <c r="Q19853" s="5" t="s">
        <v>355</v>
      </c>
    </row>
    <row r="19854" ht="16.5" customHeight="1">
      <c r="O19854" s="5" t="s">
        <v>355</v>
      </c>
      <c r="P19854" s="5" t="s">
        <v>355</v>
      </c>
      <c r="Q19854" s="5" t="s">
        <v>355</v>
      </c>
    </row>
    <row r="19855" ht="16.5" customHeight="1">
      <c r="O19855" s="5" t="s">
        <v>355</v>
      </c>
      <c r="P19855" s="5" t="s">
        <v>355</v>
      </c>
      <c r="Q19855" s="5" t="s">
        <v>355</v>
      </c>
    </row>
    <row r="19856" ht="16.5" customHeight="1">
      <c r="O19856" s="5" t="s">
        <v>355</v>
      </c>
      <c r="P19856" s="5" t="s">
        <v>355</v>
      </c>
      <c r="Q19856" s="5" t="s">
        <v>355</v>
      </c>
    </row>
    <row r="19857" ht="16.5" customHeight="1">
      <c r="O19857" s="5" t="s">
        <v>355</v>
      </c>
      <c r="P19857" s="5" t="s">
        <v>355</v>
      </c>
      <c r="Q19857" s="5" t="s">
        <v>355</v>
      </c>
    </row>
    <row r="19858" ht="16.5" customHeight="1">
      <c r="O19858" s="5" t="s">
        <v>355</v>
      </c>
      <c r="P19858" s="5" t="s">
        <v>355</v>
      </c>
      <c r="Q19858" s="5" t="s">
        <v>355</v>
      </c>
    </row>
    <row r="19859" ht="16.5" customHeight="1">
      <c r="O19859" s="5" t="s">
        <v>355</v>
      </c>
      <c r="P19859" s="5" t="s">
        <v>355</v>
      </c>
      <c r="Q19859" s="5" t="s">
        <v>355</v>
      </c>
    </row>
    <row r="19860" ht="16.5" customHeight="1">
      <c r="O19860" s="5" t="s">
        <v>355</v>
      </c>
      <c r="P19860" s="5" t="s">
        <v>355</v>
      </c>
      <c r="Q19860" s="5" t="s">
        <v>355</v>
      </c>
    </row>
    <row r="19861" ht="16.5" customHeight="1">
      <c r="O19861" s="5" t="s">
        <v>355</v>
      </c>
      <c r="P19861" s="5" t="s">
        <v>355</v>
      </c>
      <c r="Q19861" s="5" t="s">
        <v>355</v>
      </c>
    </row>
    <row r="19862" ht="16.5" customHeight="1">
      <c r="O19862" s="5" t="s">
        <v>355</v>
      </c>
      <c r="P19862" s="5" t="s">
        <v>355</v>
      </c>
      <c r="Q19862" s="5" t="s">
        <v>355</v>
      </c>
    </row>
    <row r="19863" ht="16.5" customHeight="1">
      <c r="O19863" s="5" t="s">
        <v>355</v>
      </c>
      <c r="P19863" s="5" t="s">
        <v>355</v>
      </c>
      <c r="Q19863" s="5" t="s">
        <v>355</v>
      </c>
    </row>
    <row r="19864" ht="16.5" customHeight="1">
      <c r="O19864" s="5" t="s">
        <v>355</v>
      </c>
      <c r="P19864" s="5" t="s">
        <v>355</v>
      </c>
      <c r="Q19864" s="5" t="s">
        <v>355</v>
      </c>
    </row>
    <row r="19865" ht="16.5" customHeight="1">
      <c r="O19865" s="5" t="s">
        <v>355</v>
      </c>
      <c r="P19865" s="5" t="s">
        <v>355</v>
      </c>
      <c r="Q19865" s="5" t="s">
        <v>355</v>
      </c>
    </row>
    <row r="19866" ht="16.5" customHeight="1">
      <c r="O19866" s="5" t="s">
        <v>355</v>
      </c>
      <c r="P19866" s="5" t="s">
        <v>355</v>
      </c>
      <c r="Q19866" s="5" t="s">
        <v>355</v>
      </c>
    </row>
    <row r="19867" ht="16.5" customHeight="1">
      <c r="O19867" s="5" t="s">
        <v>355</v>
      </c>
      <c r="P19867" s="5" t="s">
        <v>355</v>
      </c>
      <c r="Q19867" s="5" t="s">
        <v>355</v>
      </c>
    </row>
    <row r="19868" ht="16.5" customHeight="1">
      <c r="O19868" s="5" t="s">
        <v>355</v>
      </c>
      <c r="P19868" s="5" t="s">
        <v>355</v>
      </c>
      <c r="Q19868" s="5" t="s">
        <v>355</v>
      </c>
    </row>
    <row r="19869" ht="16.5" customHeight="1">
      <c r="O19869" s="5" t="s">
        <v>355</v>
      </c>
      <c r="P19869" s="5" t="s">
        <v>355</v>
      </c>
      <c r="Q19869" s="5" t="s">
        <v>355</v>
      </c>
    </row>
    <row r="19870" ht="16.5" customHeight="1">
      <c r="O19870" s="5" t="s">
        <v>355</v>
      </c>
      <c r="P19870" s="5" t="s">
        <v>355</v>
      </c>
      <c r="Q19870" s="5" t="s">
        <v>355</v>
      </c>
    </row>
    <row r="19871" ht="16.5" customHeight="1">
      <c r="O19871" s="5" t="s">
        <v>355</v>
      </c>
      <c r="P19871" s="5" t="s">
        <v>355</v>
      </c>
      <c r="Q19871" s="5" t="s">
        <v>355</v>
      </c>
    </row>
    <row r="19872" ht="16.5" customHeight="1">
      <c r="O19872" s="5" t="s">
        <v>355</v>
      </c>
      <c r="P19872" s="5" t="s">
        <v>355</v>
      </c>
      <c r="Q19872" s="5" t="s">
        <v>355</v>
      </c>
    </row>
    <row r="19873" ht="16.5" customHeight="1">
      <c r="O19873" s="5" t="s">
        <v>355</v>
      </c>
      <c r="P19873" s="5" t="s">
        <v>355</v>
      </c>
      <c r="Q19873" s="5" t="s">
        <v>355</v>
      </c>
    </row>
    <row r="19874" ht="16.5" customHeight="1">
      <c r="O19874" s="5" t="s">
        <v>355</v>
      </c>
      <c r="P19874" s="5" t="s">
        <v>355</v>
      </c>
      <c r="Q19874" s="5" t="s">
        <v>355</v>
      </c>
    </row>
    <row r="19875" ht="16.5" customHeight="1">
      <c r="O19875" s="5" t="s">
        <v>355</v>
      </c>
      <c r="P19875" s="5" t="s">
        <v>355</v>
      </c>
      <c r="Q19875" s="5" t="s">
        <v>355</v>
      </c>
    </row>
    <row r="19876" ht="16.5" customHeight="1">
      <c r="O19876" s="5" t="s">
        <v>355</v>
      </c>
      <c r="P19876" s="5" t="s">
        <v>355</v>
      </c>
      <c r="Q19876" s="5" t="s">
        <v>355</v>
      </c>
    </row>
    <row r="19877" ht="16.5" customHeight="1">
      <c r="O19877" s="5" t="s">
        <v>355</v>
      </c>
      <c r="P19877" s="5" t="s">
        <v>355</v>
      </c>
      <c r="Q19877" s="5" t="s">
        <v>355</v>
      </c>
    </row>
    <row r="19878" ht="16.5" customHeight="1">
      <c r="O19878" s="5" t="s">
        <v>355</v>
      </c>
      <c r="P19878" s="5" t="s">
        <v>355</v>
      </c>
      <c r="Q19878" s="5" t="s">
        <v>355</v>
      </c>
    </row>
    <row r="19879" ht="16.5" customHeight="1">
      <c r="O19879" s="5" t="s">
        <v>355</v>
      </c>
      <c r="P19879" s="5" t="s">
        <v>355</v>
      </c>
      <c r="Q19879" s="5" t="s">
        <v>355</v>
      </c>
    </row>
    <row r="19880" ht="16.5" customHeight="1">
      <c r="O19880" s="5" t="s">
        <v>355</v>
      </c>
      <c r="P19880" s="5" t="s">
        <v>355</v>
      </c>
      <c r="Q19880" s="5" t="s">
        <v>355</v>
      </c>
    </row>
    <row r="19881" ht="16.5" customHeight="1">
      <c r="O19881" s="5" t="s">
        <v>355</v>
      </c>
      <c r="P19881" s="5" t="s">
        <v>355</v>
      </c>
      <c r="Q19881" s="5" t="s">
        <v>355</v>
      </c>
    </row>
    <row r="19882" ht="16.5" customHeight="1">
      <c r="O19882" s="5" t="s">
        <v>355</v>
      </c>
      <c r="P19882" s="5" t="s">
        <v>355</v>
      </c>
      <c r="Q19882" s="5" t="s">
        <v>355</v>
      </c>
    </row>
    <row r="19883" ht="16.5" customHeight="1">
      <c r="O19883" s="5" t="s">
        <v>355</v>
      </c>
      <c r="P19883" s="5" t="s">
        <v>355</v>
      </c>
      <c r="Q19883" s="5" t="s">
        <v>355</v>
      </c>
    </row>
    <row r="19884" ht="16.5" customHeight="1">
      <c r="O19884" s="5" t="s">
        <v>355</v>
      </c>
      <c r="P19884" s="5" t="s">
        <v>355</v>
      </c>
      <c r="Q19884" s="5" t="s">
        <v>355</v>
      </c>
    </row>
    <row r="19885" ht="16.5" customHeight="1">
      <c r="O19885" s="5" t="s">
        <v>355</v>
      </c>
      <c r="P19885" s="5" t="s">
        <v>355</v>
      </c>
      <c r="Q19885" s="5" t="s">
        <v>355</v>
      </c>
    </row>
    <row r="19886" ht="16.5" customHeight="1">
      <c r="O19886" s="5" t="s">
        <v>355</v>
      </c>
      <c r="P19886" s="5" t="s">
        <v>355</v>
      </c>
      <c r="Q19886" s="5" t="s">
        <v>355</v>
      </c>
    </row>
    <row r="19887" ht="16.5" customHeight="1">
      <c r="O19887" s="5" t="s">
        <v>355</v>
      </c>
      <c r="P19887" s="5" t="s">
        <v>355</v>
      </c>
      <c r="Q19887" s="5" t="s">
        <v>355</v>
      </c>
    </row>
    <row r="19888" ht="16.5" customHeight="1">
      <c r="O19888" s="5" t="s">
        <v>355</v>
      </c>
      <c r="P19888" s="5" t="s">
        <v>355</v>
      </c>
      <c r="Q19888" s="5" t="s">
        <v>355</v>
      </c>
    </row>
    <row r="19889" ht="16.5" customHeight="1">
      <c r="O19889" s="5" t="s">
        <v>355</v>
      </c>
      <c r="P19889" s="5" t="s">
        <v>355</v>
      </c>
      <c r="Q19889" s="5" t="s">
        <v>355</v>
      </c>
    </row>
    <row r="19890" ht="16.5" customHeight="1">
      <c r="O19890" s="5" t="s">
        <v>355</v>
      </c>
      <c r="P19890" s="5" t="s">
        <v>355</v>
      </c>
      <c r="Q19890" s="5" t="s">
        <v>355</v>
      </c>
    </row>
    <row r="19891" ht="16.5" customHeight="1">
      <c r="O19891" s="5" t="s">
        <v>355</v>
      </c>
      <c r="P19891" s="5" t="s">
        <v>355</v>
      </c>
      <c r="Q19891" s="5" t="s">
        <v>355</v>
      </c>
    </row>
    <row r="19892" ht="16.5" customHeight="1">
      <c r="O19892" s="5" t="s">
        <v>355</v>
      </c>
      <c r="P19892" s="5" t="s">
        <v>355</v>
      </c>
      <c r="Q19892" s="5" t="s">
        <v>355</v>
      </c>
    </row>
    <row r="19893" ht="16.5" customHeight="1">
      <c r="O19893" s="5" t="s">
        <v>355</v>
      </c>
      <c r="P19893" s="5" t="s">
        <v>355</v>
      </c>
      <c r="Q19893" s="5" t="s">
        <v>355</v>
      </c>
    </row>
    <row r="19894" ht="16.5" customHeight="1">
      <c r="O19894" s="5" t="s">
        <v>355</v>
      </c>
      <c r="P19894" s="5" t="s">
        <v>355</v>
      </c>
      <c r="Q19894" s="5" t="s">
        <v>355</v>
      </c>
    </row>
    <row r="19895" ht="16.5" customHeight="1">
      <c r="O19895" s="5" t="s">
        <v>355</v>
      </c>
      <c r="P19895" s="5" t="s">
        <v>355</v>
      </c>
      <c r="Q19895" s="5" t="s">
        <v>355</v>
      </c>
    </row>
    <row r="19896" ht="16.5" customHeight="1">
      <c r="O19896" s="5" t="s">
        <v>355</v>
      </c>
      <c r="P19896" s="5" t="s">
        <v>355</v>
      </c>
      <c r="Q19896" s="5" t="s">
        <v>355</v>
      </c>
    </row>
    <row r="19897" ht="16.5" customHeight="1">
      <c r="O19897" s="5" t="s">
        <v>355</v>
      </c>
      <c r="P19897" s="5" t="s">
        <v>355</v>
      </c>
      <c r="Q19897" s="5" t="s">
        <v>355</v>
      </c>
    </row>
    <row r="19898" ht="16.5" customHeight="1">
      <c r="O19898" s="5" t="s">
        <v>355</v>
      </c>
      <c r="P19898" s="5" t="s">
        <v>355</v>
      </c>
      <c r="Q19898" s="5" t="s">
        <v>355</v>
      </c>
    </row>
    <row r="19899" ht="16.5" customHeight="1">
      <c r="O19899" s="5" t="s">
        <v>355</v>
      </c>
      <c r="P19899" s="5" t="s">
        <v>355</v>
      </c>
      <c r="Q19899" s="5" t="s">
        <v>355</v>
      </c>
    </row>
    <row r="19900" ht="16.5" customHeight="1">
      <c r="O19900" s="5" t="s">
        <v>355</v>
      </c>
      <c r="P19900" s="5" t="s">
        <v>355</v>
      </c>
      <c r="Q19900" s="5" t="s">
        <v>355</v>
      </c>
    </row>
    <row r="19901" ht="16.5" customHeight="1">
      <c r="O19901" s="5" t="s">
        <v>355</v>
      </c>
      <c r="P19901" s="5" t="s">
        <v>355</v>
      </c>
      <c r="Q19901" s="5" t="s">
        <v>355</v>
      </c>
    </row>
    <row r="19902" ht="16.5" customHeight="1">
      <c r="O19902" s="5" t="s">
        <v>355</v>
      </c>
      <c r="P19902" s="5" t="s">
        <v>355</v>
      </c>
      <c r="Q19902" s="5" t="s">
        <v>355</v>
      </c>
    </row>
    <row r="19903" ht="16.5" customHeight="1">
      <c r="O19903" s="5" t="s">
        <v>355</v>
      </c>
      <c r="P19903" s="5" t="s">
        <v>355</v>
      </c>
      <c r="Q19903" s="5" t="s">
        <v>355</v>
      </c>
    </row>
    <row r="19904" ht="16.5" customHeight="1">
      <c r="O19904" s="5" t="s">
        <v>355</v>
      </c>
      <c r="P19904" s="5" t="s">
        <v>355</v>
      </c>
      <c r="Q19904" s="5" t="s">
        <v>355</v>
      </c>
    </row>
    <row r="19905" ht="16.5" customHeight="1">
      <c r="O19905" s="5" t="s">
        <v>355</v>
      </c>
      <c r="P19905" s="5" t="s">
        <v>355</v>
      </c>
      <c r="Q19905" s="5" t="s">
        <v>355</v>
      </c>
    </row>
    <row r="19906" ht="16.5" customHeight="1">
      <c r="O19906" s="5" t="s">
        <v>355</v>
      </c>
      <c r="P19906" s="5" t="s">
        <v>355</v>
      </c>
      <c r="Q19906" s="5" t="s">
        <v>355</v>
      </c>
    </row>
    <row r="19907" ht="16.5" customHeight="1">
      <c r="O19907" s="5" t="s">
        <v>355</v>
      </c>
      <c r="P19907" s="5" t="s">
        <v>355</v>
      </c>
      <c r="Q19907" s="5" t="s">
        <v>355</v>
      </c>
    </row>
    <row r="19908" ht="16.5" customHeight="1">
      <c r="O19908" s="5" t="s">
        <v>355</v>
      </c>
      <c r="P19908" s="5" t="s">
        <v>355</v>
      </c>
      <c r="Q19908" s="5" t="s">
        <v>355</v>
      </c>
    </row>
    <row r="19909" ht="16.5" customHeight="1">
      <c r="O19909" s="5" t="s">
        <v>355</v>
      </c>
      <c r="P19909" s="5" t="s">
        <v>355</v>
      </c>
      <c r="Q19909" s="5" t="s">
        <v>355</v>
      </c>
    </row>
    <row r="19910" ht="16.5" customHeight="1">
      <c r="O19910" s="5" t="s">
        <v>355</v>
      </c>
      <c r="P19910" s="5" t="s">
        <v>355</v>
      </c>
      <c r="Q19910" s="5" t="s">
        <v>355</v>
      </c>
    </row>
    <row r="19911" ht="16.5" customHeight="1">
      <c r="O19911" s="5" t="s">
        <v>355</v>
      </c>
      <c r="P19911" s="5" t="s">
        <v>355</v>
      </c>
      <c r="Q19911" s="5" t="s">
        <v>355</v>
      </c>
    </row>
    <row r="19912" ht="16.5" customHeight="1">
      <c r="O19912" s="5" t="s">
        <v>355</v>
      </c>
      <c r="P19912" s="5" t="s">
        <v>355</v>
      </c>
      <c r="Q19912" s="5" t="s">
        <v>355</v>
      </c>
    </row>
    <row r="19913" ht="16.5" customHeight="1">
      <c r="O19913" s="5" t="s">
        <v>355</v>
      </c>
      <c r="P19913" s="5" t="s">
        <v>355</v>
      </c>
      <c r="Q19913" s="5" t="s">
        <v>355</v>
      </c>
    </row>
    <row r="19914" ht="16.5" customHeight="1">
      <c r="O19914" s="5" t="s">
        <v>355</v>
      </c>
      <c r="P19914" s="5" t="s">
        <v>355</v>
      </c>
      <c r="Q19914" s="5" t="s">
        <v>355</v>
      </c>
    </row>
    <row r="19915" ht="16.5" customHeight="1">
      <c r="O19915" s="5" t="s">
        <v>355</v>
      </c>
      <c r="P19915" s="5" t="s">
        <v>355</v>
      </c>
      <c r="Q19915" s="5" t="s">
        <v>355</v>
      </c>
    </row>
    <row r="19916" ht="16.5" customHeight="1">
      <c r="O19916" s="5" t="s">
        <v>355</v>
      </c>
      <c r="P19916" s="5" t="s">
        <v>355</v>
      </c>
      <c r="Q19916" s="5" t="s">
        <v>355</v>
      </c>
    </row>
    <row r="19917" ht="16.5" customHeight="1">
      <c r="O19917" s="5" t="s">
        <v>355</v>
      </c>
      <c r="P19917" s="5" t="s">
        <v>355</v>
      </c>
      <c r="Q19917" s="5" t="s">
        <v>355</v>
      </c>
    </row>
    <row r="19918" ht="16.5" customHeight="1">
      <c r="O19918" s="5" t="s">
        <v>355</v>
      </c>
      <c r="P19918" s="5" t="s">
        <v>355</v>
      </c>
      <c r="Q19918" s="5" t="s">
        <v>355</v>
      </c>
    </row>
    <row r="19919" ht="16.5" customHeight="1">
      <c r="O19919" s="5" t="s">
        <v>355</v>
      </c>
      <c r="P19919" s="5" t="s">
        <v>355</v>
      </c>
      <c r="Q19919" s="5" t="s">
        <v>355</v>
      </c>
    </row>
    <row r="19920" ht="16.5" customHeight="1">
      <c r="O19920" s="5" t="s">
        <v>355</v>
      </c>
      <c r="P19920" s="5" t="s">
        <v>355</v>
      </c>
      <c r="Q19920" s="5" t="s">
        <v>355</v>
      </c>
    </row>
    <row r="19921" ht="16.5" customHeight="1">
      <c r="O19921" s="5" t="s">
        <v>355</v>
      </c>
      <c r="P19921" s="5" t="s">
        <v>355</v>
      </c>
      <c r="Q19921" s="5" t="s">
        <v>355</v>
      </c>
    </row>
    <row r="19922" ht="16.5" customHeight="1">
      <c r="O19922" s="5" t="s">
        <v>355</v>
      </c>
      <c r="P19922" s="5" t="s">
        <v>355</v>
      </c>
      <c r="Q19922" s="5" t="s">
        <v>355</v>
      </c>
    </row>
    <row r="19923" ht="16.5" customHeight="1">
      <c r="O19923" s="5" t="s">
        <v>355</v>
      </c>
      <c r="P19923" s="5" t="s">
        <v>355</v>
      </c>
      <c r="Q19923" s="5" t="s">
        <v>355</v>
      </c>
    </row>
    <row r="19924" ht="16.5" customHeight="1">
      <c r="O19924" s="5" t="s">
        <v>355</v>
      </c>
      <c r="P19924" s="5" t="s">
        <v>355</v>
      </c>
      <c r="Q19924" s="5" t="s">
        <v>355</v>
      </c>
    </row>
    <row r="19925" ht="16.5" customHeight="1">
      <c r="O19925" s="5" t="s">
        <v>355</v>
      </c>
      <c r="P19925" s="5" t="s">
        <v>355</v>
      </c>
      <c r="Q19925" s="5" t="s">
        <v>355</v>
      </c>
    </row>
    <row r="19926" ht="16.5" customHeight="1">
      <c r="O19926" s="5" t="s">
        <v>355</v>
      </c>
      <c r="P19926" s="5" t="s">
        <v>355</v>
      </c>
      <c r="Q19926" s="5" t="s">
        <v>355</v>
      </c>
    </row>
    <row r="19927" ht="16.5" customHeight="1">
      <c r="O19927" s="5" t="s">
        <v>355</v>
      </c>
      <c r="P19927" s="5" t="s">
        <v>355</v>
      </c>
      <c r="Q19927" s="5" t="s">
        <v>355</v>
      </c>
    </row>
    <row r="19928" ht="16.5" customHeight="1">
      <c r="O19928" s="5" t="s">
        <v>355</v>
      </c>
      <c r="P19928" s="5" t="s">
        <v>355</v>
      </c>
      <c r="Q19928" s="5" t="s">
        <v>355</v>
      </c>
    </row>
    <row r="19929" ht="16.5" customHeight="1">
      <c r="O19929" s="5" t="s">
        <v>355</v>
      </c>
      <c r="P19929" s="5" t="s">
        <v>355</v>
      </c>
      <c r="Q19929" s="5" t="s">
        <v>355</v>
      </c>
    </row>
    <row r="19930" ht="16.5" customHeight="1">
      <c r="O19930" s="5" t="s">
        <v>355</v>
      </c>
      <c r="P19930" s="5" t="s">
        <v>355</v>
      </c>
      <c r="Q19930" s="5" t="s">
        <v>355</v>
      </c>
    </row>
    <row r="19931" ht="16.5" customHeight="1">
      <c r="O19931" s="5" t="s">
        <v>355</v>
      </c>
      <c r="P19931" s="5" t="s">
        <v>355</v>
      </c>
      <c r="Q19931" s="5" t="s">
        <v>355</v>
      </c>
    </row>
    <row r="19932" ht="16.5" customHeight="1">
      <c r="O19932" s="5" t="s">
        <v>355</v>
      </c>
      <c r="P19932" s="5" t="s">
        <v>355</v>
      </c>
      <c r="Q19932" s="5" t="s">
        <v>355</v>
      </c>
    </row>
    <row r="19933" ht="16.5" customHeight="1">
      <c r="O19933" s="5" t="s">
        <v>355</v>
      </c>
      <c r="P19933" s="5" t="s">
        <v>355</v>
      </c>
      <c r="Q19933" s="5" t="s">
        <v>355</v>
      </c>
    </row>
    <row r="19934" ht="16.5" customHeight="1">
      <c r="O19934" s="5" t="s">
        <v>355</v>
      </c>
      <c r="P19934" s="5" t="s">
        <v>355</v>
      </c>
      <c r="Q19934" s="5" t="s">
        <v>355</v>
      </c>
    </row>
    <row r="19935" ht="16.5" customHeight="1">
      <c r="O19935" s="5" t="s">
        <v>355</v>
      </c>
      <c r="P19935" s="5" t="s">
        <v>355</v>
      </c>
      <c r="Q19935" s="5" t="s">
        <v>355</v>
      </c>
    </row>
    <row r="19936" ht="16.5" customHeight="1">
      <c r="O19936" s="5" t="s">
        <v>355</v>
      </c>
      <c r="P19936" s="5" t="s">
        <v>355</v>
      </c>
      <c r="Q19936" s="5" t="s">
        <v>355</v>
      </c>
    </row>
    <row r="19937" ht="16.5" customHeight="1">
      <c r="O19937" s="5" t="s">
        <v>355</v>
      </c>
      <c r="P19937" s="5" t="s">
        <v>355</v>
      </c>
      <c r="Q19937" s="5" t="s">
        <v>355</v>
      </c>
    </row>
    <row r="19938" ht="16.5" customHeight="1">
      <c r="O19938" s="5" t="s">
        <v>355</v>
      </c>
      <c r="P19938" s="5" t="s">
        <v>355</v>
      </c>
      <c r="Q19938" s="5" t="s">
        <v>355</v>
      </c>
    </row>
    <row r="19939" ht="16.5" customHeight="1">
      <c r="O19939" s="5" t="s">
        <v>355</v>
      </c>
      <c r="P19939" s="5" t="s">
        <v>355</v>
      </c>
      <c r="Q19939" s="5" t="s">
        <v>355</v>
      </c>
    </row>
    <row r="19940" ht="16.5" customHeight="1">
      <c r="O19940" s="5" t="s">
        <v>355</v>
      </c>
      <c r="P19940" s="5" t="s">
        <v>355</v>
      </c>
      <c r="Q19940" s="5" t="s">
        <v>355</v>
      </c>
    </row>
    <row r="19941" ht="16.5" customHeight="1">
      <c r="O19941" s="5" t="s">
        <v>355</v>
      </c>
      <c r="P19941" s="5" t="s">
        <v>355</v>
      </c>
      <c r="Q19941" s="5" t="s">
        <v>355</v>
      </c>
    </row>
    <row r="19942" ht="16.5" customHeight="1">
      <c r="O19942" s="5" t="s">
        <v>355</v>
      </c>
      <c r="P19942" s="5" t="s">
        <v>355</v>
      </c>
      <c r="Q19942" s="5" t="s">
        <v>355</v>
      </c>
    </row>
    <row r="19943" ht="16.5" customHeight="1">
      <c r="O19943" s="5" t="s">
        <v>355</v>
      </c>
      <c r="P19943" s="5" t="s">
        <v>355</v>
      </c>
      <c r="Q19943" s="5" t="s">
        <v>355</v>
      </c>
    </row>
    <row r="19944" ht="16.5" customHeight="1">
      <c r="O19944" s="5" t="s">
        <v>355</v>
      </c>
      <c r="P19944" s="5" t="s">
        <v>355</v>
      </c>
      <c r="Q19944" s="5" t="s">
        <v>355</v>
      </c>
    </row>
    <row r="19945" ht="16.5" customHeight="1">
      <c r="O19945" s="5" t="s">
        <v>355</v>
      </c>
      <c r="P19945" s="5" t="s">
        <v>355</v>
      </c>
      <c r="Q19945" s="5" t="s">
        <v>355</v>
      </c>
    </row>
    <row r="19946" ht="16.5" customHeight="1">
      <c r="O19946" s="5" t="s">
        <v>355</v>
      </c>
      <c r="P19946" s="5" t="s">
        <v>355</v>
      </c>
      <c r="Q19946" s="5" t="s">
        <v>355</v>
      </c>
    </row>
    <row r="19947" ht="16.5" customHeight="1">
      <c r="O19947" s="5" t="s">
        <v>355</v>
      </c>
      <c r="P19947" s="5" t="s">
        <v>355</v>
      </c>
      <c r="Q19947" s="5" t="s">
        <v>355</v>
      </c>
    </row>
    <row r="19948" ht="16.5" customHeight="1">
      <c r="O19948" s="5" t="s">
        <v>355</v>
      </c>
      <c r="P19948" s="5" t="s">
        <v>355</v>
      </c>
      <c r="Q19948" s="5" t="s">
        <v>355</v>
      </c>
    </row>
    <row r="19949" ht="16.5" customHeight="1">
      <c r="O19949" s="5" t="s">
        <v>355</v>
      </c>
      <c r="P19949" s="5" t="s">
        <v>355</v>
      </c>
      <c r="Q19949" s="5" t="s">
        <v>355</v>
      </c>
    </row>
    <row r="19950" ht="16.5" customHeight="1">
      <c r="O19950" s="5" t="s">
        <v>355</v>
      </c>
      <c r="P19950" s="5" t="s">
        <v>355</v>
      </c>
      <c r="Q19950" s="5" t="s">
        <v>355</v>
      </c>
    </row>
    <row r="19951" ht="16.5" customHeight="1">
      <c r="O19951" s="5" t="s">
        <v>355</v>
      </c>
      <c r="P19951" s="5" t="s">
        <v>355</v>
      </c>
      <c r="Q19951" s="5" t="s">
        <v>355</v>
      </c>
    </row>
    <row r="19952" ht="16.5" customHeight="1">
      <c r="O19952" s="5" t="s">
        <v>355</v>
      </c>
      <c r="P19952" s="5" t="s">
        <v>355</v>
      </c>
      <c r="Q19952" s="5" t="s">
        <v>355</v>
      </c>
    </row>
    <row r="19953" ht="16.5" customHeight="1">
      <c r="O19953" s="5" t="s">
        <v>355</v>
      </c>
      <c r="P19953" s="5" t="s">
        <v>355</v>
      </c>
      <c r="Q19953" s="5" t="s">
        <v>355</v>
      </c>
    </row>
    <row r="19954" ht="16.5" customHeight="1">
      <c r="O19954" s="5" t="s">
        <v>355</v>
      </c>
      <c r="P19954" s="5" t="s">
        <v>355</v>
      </c>
      <c r="Q19954" s="5" t="s">
        <v>355</v>
      </c>
    </row>
    <row r="19955" ht="16.5" customHeight="1">
      <c r="O19955" s="5" t="s">
        <v>355</v>
      </c>
      <c r="P19955" s="5" t="s">
        <v>355</v>
      </c>
      <c r="Q19955" s="5" t="s">
        <v>355</v>
      </c>
    </row>
    <row r="19956" ht="16.5" customHeight="1">
      <c r="O19956" s="5" t="s">
        <v>355</v>
      </c>
      <c r="P19956" s="5" t="s">
        <v>355</v>
      </c>
      <c r="Q19956" s="5" t="s">
        <v>355</v>
      </c>
    </row>
    <row r="19957" ht="16.5" customHeight="1">
      <c r="O19957" s="5" t="s">
        <v>355</v>
      </c>
      <c r="P19957" s="5" t="s">
        <v>355</v>
      </c>
      <c r="Q19957" s="5" t="s">
        <v>355</v>
      </c>
    </row>
    <row r="19958" ht="16.5" customHeight="1">
      <c r="O19958" s="5" t="s">
        <v>355</v>
      </c>
      <c r="P19958" s="5" t="s">
        <v>355</v>
      </c>
      <c r="Q19958" s="5" t="s">
        <v>355</v>
      </c>
    </row>
    <row r="19959" ht="16.5" customHeight="1">
      <c r="O19959" s="5" t="s">
        <v>355</v>
      </c>
      <c r="P19959" s="5" t="s">
        <v>355</v>
      </c>
      <c r="Q19959" s="5" t="s">
        <v>355</v>
      </c>
    </row>
    <row r="19960" ht="16.5" customHeight="1">
      <c r="O19960" s="5" t="s">
        <v>355</v>
      </c>
      <c r="P19960" s="5" t="s">
        <v>355</v>
      </c>
      <c r="Q19960" s="5" t="s">
        <v>355</v>
      </c>
    </row>
    <row r="19961" ht="16.5" customHeight="1">
      <c r="O19961" s="5" t="s">
        <v>355</v>
      </c>
      <c r="P19961" s="5" t="s">
        <v>355</v>
      </c>
      <c r="Q19961" s="5" t="s">
        <v>355</v>
      </c>
    </row>
    <row r="19962" ht="16.5" customHeight="1">
      <c r="O19962" s="5" t="s">
        <v>355</v>
      </c>
      <c r="P19962" s="5" t="s">
        <v>355</v>
      </c>
      <c r="Q19962" s="5" t="s">
        <v>355</v>
      </c>
    </row>
    <row r="19963" ht="16.5" customHeight="1">
      <c r="O19963" s="5" t="s">
        <v>355</v>
      </c>
      <c r="P19963" s="5" t="s">
        <v>355</v>
      </c>
      <c r="Q19963" s="5" t="s">
        <v>355</v>
      </c>
    </row>
    <row r="19964" ht="16.5" customHeight="1">
      <c r="O19964" s="5" t="s">
        <v>355</v>
      </c>
      <c r="P19964" s="5" t="s">
        <v>355</v>
      </c>
      <c r="Q19964" s="5" t="s">
        <v>355</v>
      </c>
    </row>
    <row r="19965" ht="16.5" customHeight="1">
      <c r="O19965" s="5" t="s">
        <v>355</v>
      </c>
      <c r="P19965" s="5" t="s">
        <v>355</v>
      </c>
      <c r="Q19965" s="5" t="s">
        <v>355</v>
      </c>
    </row>
    <row r="19966" ht="16.5" customHeight="1">
      <c r="O19966" s="5" t="s">
        <v>355</v>
      </c>
      <c r="P19966" s="5" t="s">
        <v>355</v>
      </c>
      <c r="Q19966" s="5" t="s">
        <v>355</v>
      </c>
    </row>
    <row r="19967" ht="16.5" customHeight="1">
      <c r="O19967" s="5" t="s">
        <v>355</v>
      </c>
      <c r="P19967" s="5" t="s">
        <v>355</v>
      </c>
      <c r="Q19967" s="5" t="s">
        <v>355</v>
      </c>
    </row>
    <row r="19968" ht="16.5" customHeight="1">
      <c r="O19968" s="5" t="s">
        <v>355</v>
      </c>
      <c r="P19968" s="5" t="s">
        <v>355</v>
      </c>
      <c r="Q19968" s="5" t="s">
        <v>355</v>
      </c>
    </row>
    <row r="19969" ht="16.5" customHeight="1">
      <c r="O19969" s="5" t="s">
        <v>355</v>
      </c>
      <c r="P19969" s="5" t="s">
        <v>355</v>
      </c>
      <c r="Q19969" s="5" t="s">
        <v>355</v>
      </c>
    </row>
    <row r="19970" ht="16.5" customHeight="1">
      <c r="O19970" s="5" t="s">
        <v>355</v>
      </c>
      <c r="P19970" s="5" t="s">
        <v>355</v>
      </c>
      <c r="Q19970" s="5" t="s">
        <v>355</v>
      </c>
    </row>
    <row r="19971" ht="16.5" customHeight="1">
      <c r="O19971" s="5" t="s">
        <v>355</v>
      </c>
      <c r="P19971" s="5" t="s">
        <v>355</v>
      </c>
      <c r="Q19971" s="5" t="s">
        <v>355</v>
      </c>
    </row>
    <row r="19972" ht="16.5" customHeight="1">
      <c r="O19972" s="5" t="s">
        <v>355</v>
      </c>
      <c r="P19972" s="5" t="s">
        <v>355</v>
      </c>
      <c r="Q19972" s="5" t="s">
        <v>355</v>
      </c>
    </row>
    <row r="19973" ht="16.5" customHeight="1">
      <c r="O19973" s="5" t="s">
        <v>355</v>
      </c>
      <c r="P19973" s="5" t="s">
        <v>355</v>
      </c>
      <c r="Q19973" s="5" t="s">
        <v>355</v>
      </c>
    </row>
    <row r="19974" ht="16.5" customHeight="1">
      <c r="O19974" s="5" t="s">
        <v>355</v>
      </c>
      <c r="P19974" s="5" t="s">
        <v>355</v>
      </c>
      <c r="Q19974" s="5" t="s">
        <v>355</v>
      </c>
    </row>
    <row r="19975" ht="16.5" customHeight="1">
      <c r="O19975" s="5" t="s">
        <v>355</v>
      </c>
      <c r="P19975" s="5" t="s">
        <v>355</v>
      </c>
      <c r="Q19975" s="5" t="s">
        <v>355</v>
      </c>
    </row>
    <row r="19976" ht="16.5" customHeight="1">
      <c r="O19976" s="5" t="s">
        <v>355</v>
      </c>
      <c r="P19976" s="5" t="s">
        <v>355</v>
      </c>
      <c r="Q19976" s="5" t="s">
        <v>355</v>
      </c>
    </row>
    <row r="19977" ht="16.5" customHeight="1">
      <c r="O19977" s="5" t="s">
        <v>355</v>
      </c>
      <c r="P19977" s="5" t="s">
        <v>355</v>
      </c>
      <c r="Q19977" s="5" t="s">
        <v>355</v>
      </c>
    </row>
    <row r="19978" ht="16.5" customHeight="1">
      <c r="O19978" s="5" t="s">
        <v>355</v>
      </c>
      <c r="P19978" s="5" t="s">
        <v>355</v>
      </c>
      <c r="Q19978" s="5" t="s">
        <v>355</v>
      </c>
    </row>
    <row r="19979" ht="16.5" customHeight="1">
      <c r="O19979" s="5" t="s">
        <v>355</v>
      </c>
      <c r="P19979" s="5" t="s">
        <v>355</v>
      </c>
      <c r="Q19979" s="5" t="s">
        <v>355</v>
      </c>
    </row>
    <row r="19980" ht="16.5" customHeight="1">
      <c r="O19980" s="5" t="s">
        <v>355</v>
      </c>
      <c r="P19980" s="5" t="s">
        <v>355</v>
      </c>
      <c r="Q19980" s="5" t="s">
        <v>355</v>
      </c>
    </row>
    <row r="19981" ht="16.5" customHeight="1">
      <c r="O19981" s="5" t="s">
        <v>355</v>
      </c>
      <c r="P19981" s="5" t="s">
        <v>355</v>
      </c>
      <c r="Q19981" s="5" t="s">
        <v>355</v>
      </c>
    </row>
    <row r="19982" ht="16.5" customHeight="1">
      <c r="O19982" s="5" t="s">
        <v>355</v>
      </c>
      <c r="P19982" s="5" t="s">
        <v>355</v>
      </c>
      <c r="Q19982" s="5" t="s">
        <v>355</v>
      </c>
    </row>
    <row r="19983" ht="16.5" customHeight="1">
      <c r="O19983" s="5" t="s">
        <v>355</v>
      </c>
      <c r="P19983" s="5" t="s">
        <v>355</v>
      </c>
      <c r="Q19983" s="5" t="s">
        <v>355</v>
      </c>
    </row>
    <row r="19984" ht="16.5" customHeight="1">
      <c r="O19984" s="5" t="s">
        <v>355</v>
      </c>
      <c r="P19984" s="5" t="s">
        <v>355</v>
      </c>
      <c r="Q19984" s="5" t="s">
        <v>355</v>
      </c>
    </row>
    <row r="19985" ht="16.5" customHeight="1">
      <c r="O19985" s="5" t="s">
        <v>355</v>
      </c>
      <c r="P19985" s="5" t="s">
        <v>355</v>
      </c>
      <c r="Q19985" s="5" t="s">
        <v>355</v>
      </c>
    </row>
    <row r="19986" ht="16.5" customHeight="1">
      <c r="O19986" s="5" t="s">
        <v>355</v>
      </c>
      <c r="P19986" s="5" t="s">
        <v>355</v>
      </c>
      <c r="Q19986" s="5" t="s">
        <v>355</v>
      </c>
    </row>
    <row r="19987" ht="16.5" customHeight="1">
      <c r="O19987" s="5" t="s">
        <v>355</v>
      </c>
      <c r="P19987" s="5" t="s">
        <v>355</v>
      </c>
      <c r="Q19987" s="5" t="s">
        <v>355</v>
      </c>
    </row>
    <row r="19988" ht="16.5" customHeight="1">
      <c r="O19988" s="5" t="s">
        <v>355</v>
      </c>
      <c r="P19988" s="5" t="s">
        <v>355</v>
      </c>
      <c r="Q19988" s="5" t="s">
        <v>355</v>
      </c>
    </row>
    <row r="19989" ht="16.5" customHeight="1">
      <c r="O19989" s="5" t="s">
        <v>355</v>
      </c>
      <c r="P19989" s="5" t="s">
        <v>355</v>
      </c>
      <c r="Q19989" s="5" t="s">
        <v>355</v>
      </c>
    </row>
    <row r="19990" ht="16.5" customHeight="1">
      <c r="O19990" s="5" t="s">
        <v>355</v>
      </c>
      <c r="P19990" s="5" t="s">
        <v>355</v>
      </c>
      <c r="Q19990" s="5" t="s">
        <v>355</v>
      </c>
    </row>
    <row r="19991" ht="16.5" customHeight="1">
      <c r="O19991" s="5" t="s">
        <v>355</v>
      </c>
      <c r="P19991" s="5" t="s">
        <v>355</v>
      </c>
      <c r="Q19991" s="5" t="s">
        <v>355</v>
      </c>
    </row>
    <row r="19992" ht="16.5" customHeight="1">
      <c r="O19992" s="5" t="s">
        <v>355</v>
      </c>
      <c r="P19992" s="5" t="s">
        <v>355</v>
      </c>
      <c r="Q19992" s="5" t="s">
        <v>355</v>
      </c>
    </row>
    <row r="19993" ht="16.5" customHeight="1">
      <c r="O19993" s="5" t="s">
        <v>355</v>
      </c>
      <c r="P19993" s="5" t="s">
        <v>355</v>
      </c>
      <c r="Q19993" s="5" t="s">
        <v>355</v>
      </c>
    </row>
    <row r="19994" ht="16.5" customHeight="1">
      <c r="O19994" s="5" t="s">
        <v>355</v>
      </c>
      <c r="P19994" s="5" t="s">
        <v>355</v>
      </c>
      <c r="Q19994" s="5" t="s">
        <v>355</v>
      </c>
    </row>
    <row r="19995" ht="16.5" customHeight="1">
      <c r="O19995" s="5" t="s">
        <v>355</v>
      </c>
      <c r="P19995" s="5" t="s">
        <v>355</v>
      </c>
      <c r="Q19995" s="5" t="s">
        <v>355</v>
      </c>
    </row>
    <row r="19996" ht="16.5" customHeight="1">
      <c r="O19996" s="5" t="s">
        <v>355</v>
      </c>
      <c r="P19996" s="5" t="s">
        <v>355</v>
      </c>
      <c r="Q19996" s="5" t="s">
        <v>355</v>
      </c>
    </row>
    <row r="19997" ht="16.5" customHeight="1">
      <c r="O19997" s="5" t="s">
        <v>355</v>
      </c>
      <c r="P19997" s="5" t="s">
        <v>355</v>
      </c>
      <c r="Q19997" s="5" t="s">
        <v>355</v>
      </c>
    </row>
    <row r="19998" ht="16.5" customHeight="1">
      <c r="O19998" s="5" t="s">
        <v>355</v>
      </c>
      <c r="P19998" s="5" t="s">
        <v>355</v>
      </c>
      <c r="Q19998" s="5" t="s">
        <v>355</v>
      </c>
    </row>
    <row r="19999" ht="16.5" customHeight="1">
      <c r="O19999" s="5" t="s">
        <v>355</v>
      </c>
      <c r="P19999" s="5" t="s">
        <v>355</v>
      </c>
      <c r="Q19999" s="5" t="s">
        <v>355</v>
      </c>
    </row>
    <row r="20000" ht="16.5" customHeight="1">
      <c r="O20000" s="5" t="s">
        <v>355</v>
      </c>
      <c r="P20000" s="5" t="s">
        <v>355</v>
      </c>
      <c r="Q20000" s="5" t="s">
        <v>355</v>
      </c>
    </row>
    <row r="20001" ht="16.5" customHeight="1">
      <c r="O20001" s="5" t="s">
        <v>355</v>
      </c>
      <c r="P20001" s="5" t="s">
        <v>355</v>
      </c>
      <c r="Q20001" s="5" t="s">
        <v>355</v>
      </c>
    </row>
    <row r="20002" ht="16.5" customHeight="1">
      <c r="O20002" s="5" t="s">
        <v>355</v>
      </c>
      <c r="P20002" s="5" t="s">
        <v>355</v>
      </c>
      <c r="Q20002" s="5" t="s">
        <v>355</v>
      </c>
    </row>
    <row r="20003" ht="16.5" customHeight="1">
      <c r="O20003" s="5" t="s">
        <v>355</v>
      </c>
      <c r="P20003" s="5" t="s">
        <v>355</v>
      </c>
      <c r="Q20003" s="5" t="s">
        <v>355</v>
      </c>
    </row>
    <row r="20004" ht="16.5" customHeight="1">
      <c r="O20004" s="5" t="s">
        <v>355</v>
      </c>
      <c r="P20004" s="5" t="s">
        <v>355</v>
      </c>
      <c r="Q20004" s="5" t="s">
        <v>355</v>
      </c>
    </row>
    <row r="20005" ht="16.5" customHeight="1">
      <c r="O20005" s="5" t="s">
        <v>355</v>
      </c>
      <c r="P20005" s="5" t="s">
        <v>355</v>
      </c>
      <c r="Q20005" s="5" t="s">
        <v>355</v>
      </c>
    </row>
    <row r="20006" ht="16.5" customHeight="1">
      <c r="O20006" s="5" t="s">
        <v>355</v>
      </c>
      <c r="P20006" s="5" t="s">
        <v>355</v>
      </c>
      <c r="Q20006" s="5" t="s">
        <v>355</v>
      </c>
    </row>
    <row r="20007" ht="16.5" customHeight="1">
      <c r="O20007" s="5" t="s">
        <v>355</v>
      </c>
      <c r="P20007" s="5" t="s">
        <v>355</v>
      </c>
      <c r="Q20007" s="5" t="s">
        <v>355</v>
      </c>
    </row>
    <row r="20008" ht="16.5" customHeight="1">
      <c r="O20008" s="5" t="s">
        <v>355</v>
      </c>
      <c r="P20008" s="5" t="s">
        <v>355</v>
      </c>
      <c r="Q20008" s="5" t="s">
        <v>355</v>
      </c>
    </row>
    <row r="20009" ht="16.5" customHeight="1">
      <c r="O20009" s="5" t="s">
        <v>355</v>
      </c>
      <c r="P20009" s="5" t="s">
        <v>355</v>
      </c>
      <c r="Q20009" s="5" t="s">
        <v>355</v>
      </c>
    </row>
    <row r="20010" ht="16.5" customHeight="1">
      <c r="O20010" s="5" t="s">
        <v>355</v>
      </c>
      <c r="P20010" s="5" t="s">
        <v>355</v>
      </c>
      <c r="Q20010" s="5" t="s">
        <v>355</v>
      </c>
    </row>
    <row r="20011" ht="16.5" customHeight="1">
      <c r="O20011" s="5" t="s">
        <v>355</v>
      </c>
      <c r="P20011" s="5" t="s">
        <v>355</v>
      </c>
      <c r="Q20011" s="5" t="s">
        <v>355</v>
      </c>
    </row>
    <row r="20012" ht="16.5" customHeight="1">
      <c r="O20012" s="5" t="s">
        <v>355</v>
      </c>
      <c r="P20012" s="5" t="s">
        <v>355</v>
      </c>
      <c r="Q20012" s="5" t="s">
        <v>355</v>
      </c>
    </row>
    <row r="20013" ht="16.5" customHeight="1">
      <c r="O20013" s="5" t="s">
        <v>355</v>
      </c>
      <c r="P20013" s="5" t="s">
        <v>355</v>
      </c>
      <c r="Q20013" s="5" t="s">
        <v>355</v>
      </c>
    </row>
    <row r="20014" ht="16.5" customHeight="1">
      <c r="O20014" s="5" t="s">
        <v>355</v>
      </c>
      <c r="P20014" s="5" t="s">
        <v>355</v>
      </c>
      <c r="Q20014" s="5" t="s">
        <v>355</v>
      </c>
    </row>
    <row r="20015" ht="16.5" customHeight="1">
      <c r="O20015" s="5" t="s">
        <v>355</v>
      </c>
      <c r="P20015" s="5" t="s">
        <v>355</v>
      </c>
      <c r="Q20015" s="5" t="s">
        <v>355</v>
      </c>
    </row>
    <row r="20016" ht="16.5" customHeight="1">
      <c r="O20016" s="5" t="s">
        <v>355</v>
      </c>
      <c r="P20016" s="5" t="s">
        <v>355</v>
      </c>
      <c r="Q20016" s="5" t="s">
        <v>355</v>
      </c>
    </row>
    <row r="20017" ht="16.5" customHeight="1">
      <c r="O20017" s="5" t="s">
        <v>355</v>
      </c>
      <c r="P20017" s="5" t="s">
        <v>355</v>
      </c>
      <c r="Q20017" s="5" t="s">
        <v>355</v>
      </c>
    </row>
    <row r="20018" ht="16.5" customHeight="1">
      <c r="O20018" s="5" t="s">
        <v>355</v>
      </c>
      <c r="P20018" s="5" t="s">
        <v>355</v>
      </c>
      <c r="Q20018" s="5" t="s">
        <v>355</v>
      </c>
    </row>
    <row r="20019" ht="16.5" customHeight="1">
      <c r="O20019" s="5" t="s">
        <v>355</v>
      </c>
      <c r="P20019" s="5" t="s">
        <v>355</v>
      </c>
      <c r="Q20019" s="5" t="s">
        <v>355</v>
      </c>
    </row>
    <row r="20020" ht="16.5" customHeight="1">
      <c r="O20020" s="5" t="s">
        <v>355</v>
      </c>
      <c r="P20020" s="5" t="s">
        <v>355</v>
      </c>
      <c r="Q20020" s="5" t="s">
        <v>355</v>
      </c>
    </row>
    <row r="20021" ht="16.5" customHeight="1">
      <c r="O20021" s="5" t="s">
        <v>355</v>
      </c>
      <c r="P20021" s="5" t="s">
        <v>355</v>
      </c>
      <c r="Q20021" s="5" t="s">
        <v>355</v>
      </c>
    </row>
    <row r="20022" ht="16.5" customHeight="1">
      <c r="O20022" s="5" t="s">
        <v>355</v>
      </c>
      <c r="P20022" s="5" t="s">
        <v>355</v>
      </c>
      <c r="Q20022" s="5" t="s">
        <v>355</v>
      </c>
    </row>
    <row r="20023" ht="16.5" customHeight="1">
      <c r="O20023" s="5" t="s">
        <v>355</v>
      </c>
      <c r="P20023" s="5" t="s">
        <v>355</v>
      </c>
      <c r="Q20023" s="5" t="s">
        <v>355</v>
      </c>
    </row>
    <row r="20024" ht="16.5" customHeight="1">
      <c r="O20024" s="5" t="s">
        <v>355</v>
      </c>
      <c r="P20024" s="5" t="s">
        <v>355</v>
      </c>
      <c r="Q20024" s="5" t="s">
        <v>355</v>
      </c>
    </row>
    <row r="20025" ht="16.5" customHeight="1">
      <c r="O20025" s="5" t="s">
        <v>355</v>
      </c>
      <c r="P20025" s="5" t="s">
        <v>355</v>
      </c>
      <c r="Q20025" s="5" t="s">
        <v>355</v>
      </c>
    </row>
    <row r="20026" ht="16.5" customHeight="1">
      <c r="O20026" s="5" t="s">
        <v>355</v>
      </c>
      <c r="P20026" s="5" t="s">
        <v>355</v>
      </c>
      <c r="Q20026" s="5" t="s">
        <v>355</v>
      </c>
    </row>
    <row r="20027" ht="16.5" customHeight="1">
      <c r="O20027" s="5" t="s">
        <v>355</v>
      </c>
      <c r="P20027" s="5" t="s">
        <v>355</v>
      </c>
      <c r="Q20027" s="5" t="s">
        <v>355</v>
      </c>
    </row>
    <row r="20028" ht="16.5" customHeight="1">
      <c r="O20028" s="5" t="s">
        <v>355</v>
      </c>
      <c r="P20028" s="5" t="s">
        <v>355</v>
      </c>
      <c r="Q20028" s="5" t="s">
        <v>355</v>
      </c>
    </row>
    <row r="20029" ht="16.5" customHeight="1">
      <c r="O20029" s="5" t="s">
        <v>355</v>
      </c>
      <c r="P20029" s="5" t="s">
        <v>355</v>
      </c>
      <c r="Q20029" s="5" t="s">
        <v>355</v>
      </c>
    </row>
    <row r="20030" ht="16.5" customHeight="1">
      <c r="O20030" s="5" t="s">
        <v>355</v>
      </c>
      <c r="P20030" s="5" t="s">
        <v>355</v>
      </c>
      <c r="Q20030" s="5" t="s">
        <v>355</v>
      </c>
    </row>
    <row r="20031" ht="16.5" customHeight="1">
      <c r="O20031" s="5" t="s">
        <v>355</v>
      </c>
      <c r="P20031" s="5" t="s">
        <v>355</v>
      </c>
      <c r="Q20031" s="5" t="s">
        <v>355</v>
      </c>
    </row>
    <row r="20032" ht="16.5" customHeight="1">
      <c r="O20032" s="5" t="s">
        <v>355</v>
      </c>
      <c r="P20032" s="5" t="s">
        <v>355</v>
      </c>
      <c r="Q20032" s="5" t="s">
        <v>355</v>
      </c>
    </row>
    <row r="20033" ht="16.5" customHeight="1">
      <c r="O20033" s="5" t="s">
        <v>355</v>
      </c>
      <c r="P20033" s="5" t="s">
        <v>355</v>
      </c>
      <c r="Q20033" s="5" t="s">
        <v>355</v>
      </c>
    </row>
    <row r="20034" ht="16.5" customHeight="1">
      <c r="O20034" s="5" t="s">
        <v>355</v>
      </c>
      <c r="P20034" s="5" t="s">
        <v>355</v>
      </c>
      <c r="Q20034" s="5" t="s">
        <v>355</v>
      </c>
    </row>
    <row r="20035" ht="16.5" customHeight="1">
      <c r="O20035" s="5" t="s">
        <v>355</v>
      </c>
      <c r="P20035" s="5" t="s">
        <v>355</v>
      </c>
      <c r="Q20035" s="5" t="s">
        <v>355</v>
      </c>
    </row>
    <row r="20036" ht="16.5" customHeight="1">
      <c r="O20036" s="5" t="s">
        <v>355</v>
      </c>
      <c r="P20036" s="5" t="s">
        <v>355</v>
      </c>
      <c r="Q20036" s="5" t="s">
        <v>355</v>
      </c>
    </row>
    <row r="20037" ht="16.5" customHeight="1">
      <c r="O20037" s="5" t="s">
        <v>355</v>
      </c>
      <c r="P20037" s="5" t="s">
        <v>355</v>
      </c>
      <c r="Q20037" s="5" t="s">
        <v>355</v>
      </c>
    </row>
    <row r="20038" ht="16.5" customHeight="1">
      <c r="O20038" s="5" t="s">
        <v>355</v>
      </c>
      <c r="P20038" s="5" t="s">
        <v>355</v>
      </c>
      <c r="Q20038" s="5" t="s">
        <v>355</v>
      </c>
    </row>
    <row r="20039" ht="16.5" customHeight="1">
      <c r="O20039" s="5" t="s">
        <v>355</v>
      </c>
      <c r="P20039" s="5" t="s">
        <v>355</v>
      </c>
      <c r="Q20039" s="5" t="s">
        <v>355</v>
      </c>
    </row>
    <row r="20040" ht="16.5" customHeight="1">
      <c r="O20040" s="5" t="s">
        <v>355</v>
      </c>
      <c r="P20040" s="5" t="s">
        <v>355</v>
      </c>
      <c r="Q20040" s="5" t="s">
        <v>355</v>
      </c>
    </row>
    <row r="20041" ht="16.5" customHeight="1">
      <c r="O20041" s="5" t="s">
        <v>355</v>
      </c>
      <c r="P20041" s="5" t="s">
        <v>355</v>
      </c>
      <c r="Q20041" s="5" t="s">
        <v>355</v>
      </c>
    </row>
    <row r="20042" ht="16.5" customHeight="1">
      <c r="O20042" s="5" t="s">
        <v>355</v>
      </c>
      <c r="P20042" s="5" t="s">
        <v>355</v>
      </c>
      <c r="Q20042" s="5" t="s">
        <v>355</v>
      </c>
    </row>
    <row r="20043" ht="16.5" customHeight="1">
      <c r="O20043" s="5" t="s">
        <v>355</v>
      </c>
      <c r="P20043" s="5" t="s">
        <v>355</v>
      </c>
      <c r="Q20043" s="5" t="s">
        <v>355</v>
      </c>
    </row>
    <row r="20044" ht="16.5" customHeight="1">
      <c r="O20044" s="5" t="s">
        <v>355</v>
      </c>
      <c r="P20044" s="5" t="s">
        <v>355</v>
      </c>
      <c r="Q20044" s="5" t="s">
        <v>355</v>
      </c>
    </row>
    <row r="20045" ht="16.5" customHeight="1">
      <c r="O20045" s="5" t="s">
        <v>355</v>
      </c>
      <c r="P20045" s="5" t="s">
        <v>355</v>
      </c>
      <c r="Q20045" s="5" t="s">
        <v>355</v>
      </c>
    </row>
    <row r="20046" ht="16.5" customHeight="1">
      <c r="O20046" s="5" t="s">
        <v>355</v>
      </c>
      <c r="P20046" s="5" t="s">
        <v>355</v>
      </c>
      <c r="Q20046" s="5" t="s">
        <v>355</v>
      </c>
    </row>
    <row r="20047" ht="16.5" customHeight="1">
      <c r="O20047" s="5" t="s">
        <v>355</v>
      </c>
      <c r="P20047" s="5" t="s">
        <v>355</v>
      </c>
      <c r="Q20047" s="5" t="s">
        <v>355</v>
      </c>
    </row>
    <row r="20048" ht="16.5" customHeight="1">
      <c r="O20048" s="5" t="s">
        <v>355</v>
      </c>
      <c r="P20048" s="5" t="s">
        <v>355</v>
      </c>
      <c r="Q20048" s="5" t="s">
        <v>355</v>
      </c>
    </row>
    <row r="20049" ht="16.5" customHeight="1">
      <c r="O20049" s="5" t="s">
        <v>355</v>
      </c>
      <c r="P20049" s="5" t="s">
        <v>355</v>
      </c>
      <c r="Q20049" s="5" t="s">
        <v>355</v>
      </c>
    </row>
    <row r="20050" ht="16.5" customHeight="1">
      <c r="O20050" s="5" t="s">
        <v>355</v>
      </c>
      <c r="P20050" s="5" t="s">
        <v>355</v>
      </c>
      <c r="Q20050" s="5" t="s">
        <v>355</v>
      </c>
    </row>
    <row r="20051" ht="16.5" customHeight="1">
      <c r="O20051" s="5" t="s">
        <v>355</v>
      </c>
      <c r="P20051" s="5" t="s">
        <v>355</v>
      </c>
      <c r="Q20051" s="5" t="s">
        <v>355</v>
      </c>
    </row>
    <row r="20052" ht="16.5" customHeight="1">
      <c r="O20052" s="5" t="s">
        <v>355</v>
      </c>
      <c r="P20052" s="5" t="s">
        <v>355</v>
      </c>
      <c r="Q20052" s="5" t="s">
        <v>355</v>
      </c>
    </row>
    <row r="20053" ht="16.5" customHeight="1">
      <c r="O20053" s="5" t="s">
        <v>355</v>
      </c>
      <c r="P20053" s="5" t="s">
        <v>355</v>
      </c>
      <c r="Q20053" s="5" t="s">
        <v>355</v>
      </c>
    </row>
    <row r="20054" ht="16.5" customHeight="1">
      <c r="O20054" s="5" t="s">
        <v>355</v>
      </c>
      <c r="P20054" s="5" t="s">
        <v>355</v>
      </c>
      <c r="Q20054" s="5" t="s">
        <v>355</v>
      </c>
    </row>
    <row r="20055" ht="16.5" customHeight="1">
      <c r="O20055" s="5" t="s">
        <v>355</v>
      </c>
      <c r="P20055" s="5" t="s">
        <v>355</v>
      </c>
      <c r="Q20055" s="5" t="s">
        <v>355</v>
      </c>
    </row>
    <row r="20056" ht="16.5" customHeight="1">
      <c r="O20056" s="5" t="s">
        <v>355</v>
      </c>
      <c r="P20056" s="5" t="s">
        <v>355</v>
      </c>
      <c r="Q20056" s="5" t="s">
        <v>355</v>
      </c>
    </row>
    <row r="20057" ht="16.5" customHeight="1">
      <c r="O20057" s="5" t="s">
        <v>355</v>
      </c>
      <c r="P20057" s="5" t="s">
        <v>355</v>
      </c>
      <c r="Q20057" s="5" t="s">
        <v>355</v>
      </c>
    </row>
    <row r="20058" ht="16.5" customHeight="1">
      <c r="O20058" s="5" t="s">
        <v>355</v>
      </c>
      <c r="P20058" s="5" t="s">
        <v>355</v>
      </c>
      <c r="Q20058" s="5" t="s">
        <v>355</v>
      </c>
    </row>
    <row r="20059" ht="16.5" customHeight="1">
      <c r="O20059" s="5" t="s">
        <v>355</v>
      </c>
      <c r="P20059" s="5" t="s">
        <v>355</v>
      </c>
      <c r="Q20059" s="5" t="s">
        <v>355</v>
      </c>
    </row>
    <row r="20060" ht="16.5" customHeight="1">
      <c r="O20060" s="5" t="s">
        <v>355</v>
      </c>
      <c r="P20060" s="5" t="s">
        <v>355</v>
      </c>
      <c r="Q20060" s="5" t="s">
        <v>355</v>
      </c>
    </row>
    <row r="20061" ht="16.5" customHeight="1">
      <c r="O20061" s="5" t="s">
        <v>355</v>
      </c>
      <c r="P20061" s="5" t="s">
        <v>355</v>
      </c>
      <c r="Q20061" s="5" t="s">
        <v>355</v>
      </c>
    </row>
    <row r="20062" ht="16.5" customHeight="1">
      <c r="O20062" s="5" t="s">
        <v>355</v>
      </c>
      <c r="P20062" s="5" t="s">
        <v>355</v>
      </c>
      <c r="Q20062" s="5" t="s">
        <v>355</v>
      </c>
    </row>
    <row r="20063" ht="16.5" customHeight="1">
      <c r="O20063" s="5" t="s">
        <v>355</v>
      </c>
      <c r="P20063" s="5" t="s">
        <v>355</v>
      </c>
      <c r="Q20063" s="5" t="s">
        <v>355</v>
      </c>
    </row>
    <row r="20064" ht="16.5" customHeight="1">
      <c r="O20064" s="5" t="s">
        <v>355</v>
      </c>
      <c r="P20064" s="5" t="s">
        <v>355</v>
      </c>
      <c r="Q20064" s="5" t="s">
        <v>355</v>
      </c>
    </row>
    <row r="20065" ht="16.5" customHeight="1">
      <c r="O20065" s="5" t="s">
        <v>355</v>
      </c>
      <c r="P20065" s="5" t="s">
        <v>355</v>
      </c>
      <c r="Q20065" s="5" t="s">
        <v>355</v>
      </c>
    </row>
    <row r="20066" ht="16.5" customHeight="1">
      <c r="O20066" s="5" t="s">
        <v>355</v>
      </c>
      <c r="P20066" s="5" t="s">
        <v>355</v>
      </c>
      <c r="Q20066" s="5" t="s">
        <v>355</v>
      </c>
    </row>
    <row r="20067" ht="16.5" customHeight="1">
      <c r="O20067" s="5" t="s">
        <v>355</v>
      </c>
      <c r="P20067" s="5" t="s">
        <v>355</v>
      </c>
      <c r="Q20067" s="5" t="s">
        <v>355</v>
      </c>
    </row>
    <row r="20068" ht="16.5" customHeight="1">
      <c r="O20068" s="5" t="s">
        <v>355</v>
      </c>
      <c r="P20068" s="5" t="s">
        <v>355</v>
      </c>
      <c r="Q20068" s="5" t="s">
        <v>355</v>
      </c>
    </row>
    <row r="20069" ht="16.5" customHeight="1">
      <c r="O20069" s="5" t="s">
        <v>355</v>
      </c>
      <c r="P20069" s="5" t="s">
        <v>355</v>
      </c>
      <c r="Q20069" s="5" t="s">
        <v>355</v>
      </c>
    </row>
    <row r="20070" ht="16.5" customHeight="1">
      <c r="O20070" s="5" t="s">
        <v>355</v>
      </c>
      <c r="P20070" s="5" t="s">
        <v>355</v>
      </c>
      <c r="Q20070" s="5" t="s">
        <v>355</v>
      </c>
    </row>
    <row r="20071" ht="16.5" customHeight="1">
      <c r="O20071" s="5" t="s">
        <v>355</v>
      </c>
      <c r="P20071" s="5" t="s">
        <v>355</v>
      </c>
      <c r="Q20071" s="5" t="s">
        <v>355</v>
      </c>
    </row>
    <row r="20072" ht="16.5" customHeight="1">
      <c r="O20072" s="5" t="s">
        <v>355</v>
      </c>
      <c r="P20072" s="5" t="s">
        <v>355</v>
      </c>
      <c r="Q20072" s="5" t="s">
        <v>355</v>
      </c>
    </row>
    <row r="20073" ht="16.5" customHeight="1">
      <c r="O20073" s="5" t="s">
        <v>355</v>
      </c>
      <c r="P20073" s="5" t="s">
        <v>355</v>
      </c>
      <c r="Q20073" s="5" t="s">
        <v>355</v>
      </c>
    </row>
    <row r="20074" ht="16.5" customHeight="1">
      <c r="O20074" s="5" t="s">
        <v>355</v>
      </c>
      <c r="P20074" s="5" t="s">
        <v>355</v>
      </c>
      <c r="Q20074" s="5" t="s">
        <v>355</v>
      </c>
    </row>
    <row r="20075" ht="16.5" customHeight="1">
      <c r="O20075" s="5" t="s">
        <v>355</v>
      </c>
      <c r="P20075" s="5" t="s">
        <v>355</v>
      </c>
      <c r="Q20075" s="5" t="s">
        <v>355</v>
      </c>
    </row>
    <row r="20076" ht="16.5" customHeight="1">
      <c r="O20076" s="5" t="s">
        <v>355</v>
      </c>
      <c r="P20076" s="5" t="s">
        <v>355</v>
      </c>
      <c r="Q20076" s="5" t="s">
        <v>355</v>
      </c>
    </row>
    <row r="20077" ht="16.5" customHeight="1">
      <c r="O20077" s="5" t="s">
        <v>355</v>
      </c>
      <c r="P20077" s="5" t="s">
        <v>355</v>
      </c>
      <c r="Q20077" s="5" t="s">
        <v>355</v>
      </c>
    </row>
    <row r="20078" ht="16.5" customHeight="1">
      <c r="O20078" s="5" t="s">
        <v>355</v>
      </c>
      <c r="P20078" s="5" t="s">
        <v>355</v>
      </c>
      <c r="Q20078" s="5" t="s">
        <v>355</v>
      </c>
    </row>
    <row r="20079" ht="16.5" customHeight="1">
      <c r="O20079" s="5" t="s">
        <v>355</v>
      </c>
      <c r="P20079" s="5" t="s">
        <v>355</v>
      </c>
      <c r="Q20079" s="5" t="s">
        <v>355</v>
      </c>
    </row>
    <row r="20080" ht="16.5" customHeight="1">
      <c r="O20080" s="5" t="s">
        <v>355</v>
      </c>
      <c r="P20080" s="5" t="s">
        <v>355</v>
      </c>
      <c r="Q20080" s="5" t="s">
        <v>355</v>
      </c>
    </row>
    <row r="20081" ht="16.5" customHeight="1">
      <c r="O20081" s="5" t="s">
        <v>355</v>
      </c>
      <c r="P20081" s="5" t="s">
        <v>355</v>
      </c>
      <c r="Q20081" s="5" t="s">
        <v>355</v>
      </c>
    </row>
    <row r="20082" ht="16.5" customHeight="1">
      <c r="O20082" s="5" t="s">
        <v>355</v>
      </c>
      <c r="P20082" s="5" t="s">
        <v>355</v>
      </c>
      <c r="Q20082" s="5" t="s">
        <v>355</v>
      </c>
    </row>
    <row r="20083" ht="16.5" customHeight="1">
      <c r="O20083" s="5" t="s">
        <v>355</v>
      </c>
      <c r="P20083" s="5" t="s">
        <v>355</v>
      </c>
      <c r="Q20083" s="5" t="s">
        <v>355</v>
      </c>
    </row>
    <row r="20084" ht="16.5" customHeight="1">
      <c r="O20084" s="5" t="s">
        <v>355</v>
      </c>
      <c r="P20084" s="5" t="s">
        <v>355</v>
      </c>
      <c r="Q20084" s="5" t="s">
        <v>355</v>
      </c>
    </row>
    <row r="20085" ht="16.5" customHeight="1">
      <c r="O20085" s="5" t="s">
        <v>355</v>
      </c>
      <c r="P20085" s="5" t="s">
        <v>355</v>
      </c>
      <c r="Q20085" s="5" t="s">
        <v>355</v>
      </c>
    </row>
    <row r="20086" ht="16.5" customHeight="1">
      <c r="O20086" s="5" t="s">
        <v>355</v>
      </c>
      <c r="P20086" s="5" t="s">
        <v>355</v>
      </c>
      <c r="Q20086" s="5" t="s">
        <v>355</v>
      </c>
    </row>
    <row r="20087" ht="16.5" customHeight="1">
      <c r="O20087" s="5" t="s">
        <v>355</v>
      </c>
      <c r="P20087" s="5" t="s">
        <v>355</v>
      </c>
      <c r="Q20087" s="5" t="s">
        <v>355</v>
      </c>
    </row>
    <row r="20088" ht="16.5" customHeight="1">
      <c r="O20088" s="5" t="s">
        <v>355</v>
      </c>
      <c r="P20088" s="5" t="s">
        <v>355</v>
      </c>
      <c r="Q20088" s="5" t="s">
        <v>355</v>
      </c>
    </row>
    <row r="20089" ht="16.5" customHeight="1">
      <c r="O20089" s="5" t="s">
        <v>355</v>
      </c>
      <c r="P20089" s="5" t="s">
        <v>355</v>
      </c>
      <c r="Q20089" s="5" t="s">
        <v>355</v>
      </c>
    </row>
    <row r="20090" ht="16.5" customHeight="1">
      <c r="O20090" s="5" t="s">
        <v>355</v>
      </c>
      <c r="P20090" s="5" t="s">
        <v>355</v>
      </c>
      <c r="Q20090" s="5" t="s">
        <v>355</v>
      </c>
    </row>
    <row r="20091" ht="16.5" customHeight="1">
      <c r="O20091" s="5" t="s">
        <v>355</v>
      </c>
      <c r="P20091" s="5" t="s">
        <v>355</v>
      </c>
      <c r="Q20091" s="5" t="s">
        <v>355</v>
      </c>
    </row>
    <row r="20092" ht="16.5" customHeight="1">
      <c r="O20092" s="5" t="s">
        <v>355</v>
      </c>
      <c r="P20092" s="5" t="s">
        <v>355</v>
      </c>
      <c r="Q20092" s="5" t="s">
        <v>355</v>
      </c>
    </row>
    <row r="20093" ht="16.5" customHeight="1">
      <c r="O20093" s="5" t="s">
        <v>355</v>
      </c>
      <c r="P20093" s="5" t="s">
        <v>355</v>
      </c>
      <c r="Q20093" s="5" t="s">
        <v>355</v>
      </c>
    </row>
    <row r="20094" ht="16.5" customHeight="1">
      <c r="O20094" s="5" t="s">
        <v>355</v>
      </c>
      <c r="P20094" s="5" t="s">
        <v>355</v>
      </c>
      <c r="Q20094" s="5" t="s">
        <v>355</v>
      </c>
    </row>
    <row r="20095" ht="16.5" customHeight="1">
      <c r="O20095" s="5" t="s">
        <v>355</v>
      </c>
      <c r="P20095" s="5" t="s">
        <v>355</v>
      </c>
      <c r="Q20095" s="5" t="s">
        <v>355</v>
      </c>
    </row>
    <row r="20096" ht="16.5" customHeight="1">
      <c r="O20096" s="5" t="s">
        <v>355</v>
      </c>
      <c r="P20096" s="5" t="s">
        <v>355</v>
      </c>
      <c r="Q20096" s="5" t="s">
        <v>355</v>
      </c>
    </row>
    <row r="20097" ht="16.5" customHeight="1">
      <c r="O20097" s="5" t="s">
        <v>355</v>
      </c>
      <c r="P20097" s="5" t="s">
        <v>355</v>
      </c>
      <c r="Q20097" s="5" t="s">
        <v>355</v>
      </c>
    </row>
    <row r="20098" ht="16.5" customHeight="1">
      <c r="O20098" s="5" t="s">
        <v>355</v>
      </c>
      <c r="P20098" s="5" t="s">
        <v>355</v>
      </c>
      <c r="Q20098" s="5" t="s">
        <v>355</v>
      </c>
    </row>
    <row r="20099" ht="16.5" customHeight="1">
      <c r="O20099" s="5" t="s">
        <v>355</v>
      </c>
      <c r="P20099" s="5" t="s">
        <v>355</v>
      </c>
      <c r="Q20099" s="5" t="s">
        <v>355</v>
      </c>
    </row>
    <row r="20100" ht="16.5" customHeight="1">
      <c r="O20100" s="5" t="s">
        <v>355</v>
      </c>
      <c r="P20100" s="5" t="s">
        <v>355</v>
      </c>
      <c r="Q20100" s="5" t="s">
        <v>355</v>
      </c>
    </row>
    <row r="20101" ht="16.5" customHeight="1">
      <c r="O20101" s="5" t="s">
        <v>355</v>
      </c>
      <c r="P20101" s="5" t="s">
        <v>355</v>
      </c>
      <c r="Q20101" s="5" t="s">
        <v>355</v>
      </c>
    </row>
    <row r="20102" ht="16.5" customHeight="1">
      <c r="O20102" s="5" t="s">
        <v>355</v>
      </c>
      <c r="P20102" s="5" t="s">
        <v>355</v>
      </c>
      <c r="Q20102" s="5" t="s">
        <v>355</v>
      </c>
    </row>
    <row r="20103" ht="16.5" customHeight="1">
      <c r="O20103" s="5" t="s">
        <v>355</v>
      </c>
      <c r="P20103" s="5" t="s">
        <v>355</v>
      </c>
      <c r="Q20103" s="5" t="s">
        <v>355</v>
      </c>
    </row>
    <row r="20104" ht="16.5" customHeight="1">
      <c r="O20104" s="5" t="s">
        <v>355</v>
      </c>
      <c r="P20104" s="5" t="s">
        <v>355</v>
      </c>
      <c r="Q20104" s="5" t="s">
        <v>355</v>
      </c>
    </row>
    <row r="20105" ht="16.5" customHeight="1">
      <c r="O20105" s="5" t="s">
        <v>355</v>
      </c>
      <c r="P20105" s="5" t="s">
        <v>355</v>
      </c>
      <c r="Q20105" s="5" t="s">
        <v>355</v>
      </c>
    </row>
    <row r="20106" ht="16.5" customHeight="1">
      <c r="O20106" s="5" t="s">
        <v>355</v>
      </c>
      <c r="P20106" s="5" t="s">
        <v>355</v>
      </c>
      <c r="Q20106" s="5" t="s">
        <v>355</v>
      </c>
    </row>
    <row r="20107" ht="16.5" customHeight="1">
      <c r="O20107" s="5" t="s">
        <v>355</v>
      </c>
      <c r="P20107" s="5" t="s">
        <v>355</v>
      </c>
      <c r="Q20107" s="5" t="s">
        <v>355</v>
      </c>
    </row>
    <row r="20108" ht="16.5" customHeight="1">
      <c r="O20108" s="5" t="s">
        <v>355</v>
      </c>
      <c r="P20108" s="5" t="s">
        <v>355</v>
      </c>
      <c r="Q20108" s="5" t="s">
        <v>355</v>
      </c>
    </row>
    <row r="20109" ht="16.5" customHeight="1">
      <c r="O20109" s="5" t="s">
        <v>355</v>
      </c>
      <c r="P20109" s="5" t="s">
        <v>355</v>
      </c>
      <c r="Q20109" s="5" t="s">
        <v>355</v>
      </c>
    </row>
    <row r="20110" ht="16.5" customHeight="1">
      <c r="O20110" s="5" t="s">
        <v>355</v>
      </c>
      <c r="P20110" s="5" t="s">
        <v>355</v>
      </c>
      <c r="Q20110" s="5" t="s">
        <v>355</v>
      </c>
    </row>
    <row r="20111" ht="16.5" customHeight="1">
      <c r="O20111" s="5" t="s">
        <v>355</v>
      </c>
      <c r="P20111" s="5" t="s">
        <v>355</v>
      </c>
      <c r="Q20111" s="5" t="s">
        <v>355</v>
      </c>
    </row>
    <row r="20112" ht="16.5" customHeight="1">
      <c r="O20112" s="5" t="s">
        <v>355</v>
      </c>
      <c r="P20112" s="5" t="s">
        <v>355</v>
      </c>
      <c r="Q20112" s="5" t="s">
        <v>355</v>
      </c>
    </row>
    <row r="20113" ht="16.5" customHeight="1">
      <c r="O20113" s="5" t="s">
        <v>355</v>
      </c>
      <c r="P20113" s="5" t="s">
        <v>355</v>
      </c>
      <c r="Q20113" s="5" t="s">
        <v>355</v>
      </c>
    </row>
    <row r="20114" ht="16.5" customHeight="1">
      <c r="O20114" s="5" t="s">
        <v>355</v>
      </c>
      <c r="P20114" s="5" t="s">
        <v>355</v>
      </c>
      <c r="Q20114" s="5" t="s">
        <v>355</v>
      </c>
    </row>
    <row r="20115" ht="16.5" customHeight="1">
      <c r="O20115" s="5" t="s">
        <v>355</v>
      </c>
      <c r="P20115" s="5" t="s">
        <v>355</v>
      </c>
      <c r="Q20115" s="5" t="s">
        <v>355</v>
      </c>
    </row>
    <row r="20116" ht="16.5" customHeight="1">
      <c r="O20116" s="5" t="s">
        <v>355</v>
      </c>
      <c r="P20116" s="5" t="s">
        <v>355</v>
      </c>
      <c r="Q20116" s="5" t="s">
        <v>355</v>
      </c>
    </row>
    <row r="20117" ht="16.5" customHeight="1">
      <c r="O20117" s="5" t="s">
        <v>355</v>
      </c>
      <c r="P20117" s="5" t="s">
        <v>355</v>
      </c>
      <c r="Q20117" s="5" t="s">
        <v>355</v>
      </c>
    </row>
    <row r="20118" ht="16.5" customHeight="1">
      <c r="O20118" s="5" t="s">
        <v>355</v>
      </c>
      <c r="P20118" s="5" t="s">
        <v>355</v>
      </c>
      <c r="Q20118" s="5" t="s">
        <v>355</v>
      </c>
    </row>
    <row r="20119" ht="16.5" customHeight="1">
      <c r="O20119" s="5" t="s">
        <v>355</v>
      </c>
      <c r="P20119" s="5" t="s">
        <v>355</v>
      </c>
      <c r="Q20119" s="5" t="s">
        <v>355</v>
      </c>
    </row>
    <row r="20120" ht="16.5" customHeight="1">
      <c r="O20120" s="5" t="s">
        <v>355</v>
      </c>
      <c r="P20120" s="5" t="s">
        <v>355</v>
      </c>
      <c r="Q20120" s="5" t="s">
        <v>355</v>
      </c>
    </row>
    <row r="20121" ht="16.5" customHeight="1">
      <c r="O20121" s="5" t="s">
        <v>355</v>
      </c>
      <c r="P20121" s="5" t="s">
        <v>355</v>
      </c>
      <c r="Q20121" s="5" t="s">
        <v>355</v>
      </c>
    </row>
    <row r="20122" ht="16.5" customHeight="1">
      <c r="O20122" s="5" t="s">
        <v>355</v>
      </c>
      <c r="P20122" s="5" t="s">
        <v>355</v>
      </c>
      <c r="Q20122" s="5" t="s">
        <v>355</v>
      </c>
    </row>
    <row r="20123" ht="16.5" customHeight="1">
      <c r="O20123" s="5" t="s">
        <v>355</v>
      </c>
      <c r="P20123" s="5" t="s">
        <v>355</v>
      </c>
      <c r="Q20123" s="5" t="s">
        <v>355</v>
      </c>
    </row>
    <row r="20124" ht="16.5" customHeight="1">
      <c r="O20124" s="5" t="s">
        <v>355</v>
      </c>
      <c r="P20124" s="5" t="s">
        <v>355</v>
      </c>
      <c r="Q20124" s="5" t="s">
        <v>355</v>
      </c>
    </row>
    <row r="20125" ht="16.5" customHeight="1">
      <c r="O20125" s="5" t="s">
        <v>355</v>
      </c>
      <c r="P20125" s="5" t="s">
        <v>355</v>
      </c>
      <c r="Q20125" s="5" t="s">
        <v>355</v>
      </c>
    </row>
    <row r="20126" ht="16.5" customHeight="1">
      <c r="O20126" s="5" t="s">
        <v>355</v>
      </c>
      <c r="P20126" s="5" t="s">
        <v>355</v>
      </c>
      <c r="Q20126" s="5" t="s">
        <v>355</v>
      </c>
    </row>
    <row r="20127" ht="16.5" customHeight="1">
      <c r="O20127" s="5" t="s">
        <v>355</v>
      </c>
      <c r="P20127" s="5" t="s">
        <v>355</v>
      </c>
      <c r="Q20127" s="5" t="s">
        <v>355</v>
      </c>
    </row>
    <row r="20128" ht="16.5" customHeight="1">
      <c r="O20128" s="5" t="s">
        <v>355</v>
      </c>
      <c r="P20128" s="5" t="s">
        <v>355</v>
      </c>
      <c r="Q20128" s="5" t="s">
        <v>355</v>
      </c>
    </row>
    <row r="20129" ht="16.5" customHeight="1">
      <c r="O20129" s="5" t="s">
        <v>355</v>
      </c>
      <c r="P20129" s="5" t="s">
        <v>355</v>
      </c>
      <c r="Q20129" s="5" t="s">
        <v>355</v>
      </c>
    </row>
    <row r="20130" ht="16.5" customHeight="1">
      <c r="O20130" s="5" t="s">
        <v>355</v>
      </c>
      <c r="P20130" s="5" t="s">
        <v>355</v>
      </c>
      <c r="Q20130" s="5" t="s">
        <v>355</v>
      </c>
    </row>
    <row r="20131" ht="16.5" customHeight="1">
      <c r="O20131" s="5" t="s">
        <v>355</v>
      </c>
      <c r="P20131" s="5" t="s">
        <v>355</v>
      </c>
      <c r="Q20131" s="5" t="s">
        <v>355</v>
      </c>
    </row>
    <row r="20132" ht="16.5" customHeight="1">
      <c r="O20132" s="5" t="s">
        <v>355</v>
      </c>
      <c r="P20132" s="5" t="s">
        <v>355</v>
      </c>
      <c r="Q20132" s="5" t="s">
        <v>355</v>
      </c>
    </row>
    <row r="20133" ht="16.5" customHeight="1">
      <c r="O20133" s="5" t="s">
        <v>355</v>
      </c>
      <c r="P20133" s="5" t="s">
        <v>355</v>
      </c>
      <c r="Q20133" s="5" t="s">
        <v>355</v>
      </c>
    </row>
    <row r="20134" ht="16.5" customHeight="1">
      <c r="O20134" s="5" t="s">
        <v>355</v>
      </c>
      <c r="P20134" s="5" t="s">
        <v>355</v>
      </c>
      <c r="Q20134" s="5" t="s">
        <v>355</v>
      </c>
    </row>
    <row r="20135" ht="16.5" customHeight="1">
      <c r="O20135" s="5" t="s">
        <v>355</v>
      </c>
      <c r="P20135" s="5" t="s">
        <v>355</v>
      </c>
      <c r="Q20135" s="5" t="s">
        <v>355</v>
      </c>
    </row>
    <row r="20136" ht="16.5" customHeight="1">
      <c r="O20136" s="5" t="s">
        <v>355</v>
      </c>
      <c r="P20136" s="5" t="s">
        <v>355</v>
      </c>
      <c r="Q20136" s="5" t="s">
        <v>355</v>
      </c>
    </row>
    <row r="20137" ht="16.5" customHeight="1">
      <c r="O20137" s="5" t="s">
        <v>355</v>
      </c>
      <c r="P20137" s="5" t="s">
        <v>355</v>
      </c>
      <c r="Q20137" s="5" t="s">
        <v>355</v>
      </c>
    </row>
    <row r="20138" ht="16.5" customHeight="1">
      <c r="O20138" s="5" t="s">
        <v>355</v>
      </c>
      <c r="P20138" s="5" t="s">
        <v>355</v>
      </c>
      <c r="Q20138" s="5" t="s">
        <v>355</v>
      </c>
    </row>
    <row r="20139" ht="16.5" customHeight="1">
      <c r="O20139" s="5" t="s">
        <v>355</v>
      </c>
      <c r="P20139" s="5" t="s">
        <v>355</v>
      </c>
      <c r="Q20139" s="5" t="s">
        <v>355</v>
      </c>
    </row>
    <row r="20140" ht="16.5" customHeight="1">
      <c r="O20140" s="5" t="s">
        <v>355</v>
      </c>
      <c r="P20140" s="5" t="s">
        <v>355</v>
      </c>
      <c r="Q20140" s="5" t="s">
        <v>355</v>
      </c>
    </row>
    <row r="20141" ht="16.5" customHeight="1">
      <c r="O20141" s="5" t="s">
        <v>355</v>
      </c>
      <c r="P20141" s="5" t="s">
        <v>355</v>
      </c>
      <c r="Q20141" s="5" t="s">
        <v>355</v>
      </c>
    </row>
    <row r="20142" ht="16.5" customHeight="1">
      <c r="O20142" s="5" t="s">
        <v>355</v>
      </c>
      <c r="P20142" s="5" t="s">
        <v>355</v>
      </c>
      <c r="Q20142" s="5" t="s">
        <v>355</v>
      </c>
    </row>
    <row r="20143" ht="16.5" customHeight="1">
      <c r="O20143" s="5" t="s">
        <v>355</v>
      </c>
      <c r="P20143" s="5" t="s">
        <v>355</v>
      </c>
      <c r="Q20143" s="5" t="s">
        <v>355</v>
      </c>
    </row>
    <row r="20144" ht="16.5" customHeight="1">
      <c r="O20144" s="5" t="s">
        <v>355</v>
      </c>
      <c r="P20144" s="5" t="s">
        <v>355</v>
      </c>
      <c r="Q20144" s="5" t="s">
        <v>355</v>
      </c>
    </row>
    <row r="20145" ht="16.5" customHeight="1">
      <c r="O20145" s="5" t="s">
        <v>355</v>
      </c>
      <c r="P20145" s="5" t="s">
        <v>355</v>
      </c>
      <c r="Q20145" s="5" t="s">
        <v>355</v>
      </c>
    </row>
    <row r="20146" ht="16.5" customHeight="1">
      <c r="O20146" s="5" t="s">
        <v>355</v>
      </c>
      <c r="P20146" s="5" t="s">
        <v>355</v>
      </c>
      <c r="Q20146" s="5" t="s">
        <v>355</v>
      </c>
    </row>
    <row r="20147" ht="16.5" customHeight="1">
      <c r="O20147" s="5" t="s">
        <v>355</v>
      </c>
      <c r="P20147" s="5" t="s">
        <v>355</v>
      </c>
      <c r="Q20147" s="5" t="s">
        <v>355</v>
      </c>
    </row>
    <row r="20148" ht="16.5" customHeight="1">
      <c r="O20148" s="5" t="s">
        <v>355</v>
      </c>
      <c r="P20148" s="5" t="s">
        <v>355</v>
      </c>
      <c r="Q20148" s="5" t="s">
        <v>355</v>
      </c>
    </row>
    <row r="20149" ht="16.5" customHeight="1">
      <c r="O20149" s="5" t="s">
        <v>355</v>
      </c>
      <c r="P20149" s="5" t="s">
        <v>355</v>
      </c>
      <c r="Q20149" s="5" t="s">
        <v>355</v>
      </c>
    </row>
    <row r="20150" ht="16.5" customHeight="1">
      <c r="O20150" s="5" t="s">
        <v>355</v>
      </c>
      <c r="P20150" s="5" t="s">
        <v>355</v>
      </c>
      <c r="Q20150" s="5" t="s">
        <v>355</v>
      </c>
    </row>
    <row r="20151" ht="16.5" customHeight="1">
      <c r="O20151" s="5" t="s">
        <v>355</v>
      </c>
      <c r="P20151" s="5" t="s">
        <v>355</v>
      </c>
      <c r="Q20151" s="5" t="s">
        <v>355</v>
      </c>
    </row>
    <row r="20152" ht="16.5" customHeight="1">
      <c r="O20152" s="5" t="s">
        <v>355</v>
      </c>
      <c r="P20152" s="5" t="s">
        <v>355</v>
      </c>
      <c r="Q20152" s="5" t="s">
        <v>355</v>
      </c>
    </row>
    <row r="20153" ht="16.5" customHeight="1">
      <c r="O20153" s="5" t="s">
        <v>355</v>
      </c>
      <c r="P20153" s="5" t="s">
        <v>355</v>
      </c>
      <c r="Q20153" s="5" t="s">
        <v>355</v>
      </c>
    </row>
    <row r="20154" ht="16.5" customHeight="1">
      <c r="O20154" s="5" t="s">
        <v>355</v>
      </c>
      <c r="P20154" s="5" t="s">
        <v>355</v>
      </c>
      <c r="Q20154" s="5" t="s">
        <v>355</v>
      </c>
    </row>
    <row r="20155" ht="16.5" customHeight="1">
      <c r="O20155" s="5" t="s">
        <v>355</v>
      </c>
      <c r="P20155" s="5" t="s">
        <v>355</v>
      </c>
      <c r="Q20155" s="5" t="s">
        <v>355</v>
      </c>
    </row>
    <row r="20156" ht="16.5" customHeight="1">
      <c r="O20156" s="5" t="s">
        <v>355</v>
      </c>
      <c r="P20156" s="5" t="s">
        <v>355</v>
      </c>
      <c r="Q20156" s="5" t="s">
        <v>355</v>
      </c>
    </row>
    <row r="20157" ht="16.5" customHeight="1">
      <c r="O20157" s="5" t="s">
        <v>355</v>
      </c>
      <c r="P20157" s="5" t="s">
        <v>355</v>
      </c>
      <c r="Q20157" s="5" t="s">
        <v>355</v>
      </c>
    </row>
    <row r="20158" ht="16.5" customHeight="1">
      <c r="O20158" s="5" t="s">
        <v>355</v>
      </c>
      <c r="P20158" s="5" t="s">
        <v>355</v>
      </c>
      <c r="Q20158" s="5" t="s">
        <v>355</v>
      </c>
    </row>
    <row r="20159" ht="16.5" customHeight="1">
      <c r="O20159" s="5" t="s">
        <v>355</v>
      </c>
      <c r="P20159" s="5" t="s">
        <v>355</v>
      </c>
      <c r="Q20159" s="5" t="s">
        <v>355</v>
      </c>
    </row>
    <row r="20160" ht="16.5" customHeight="1">
      <c r="O20160" s="5" t="s">
        <v>355</v>
      </c>
      <c r="P20160" s="5" t="s">
        <v>355</v>
      </c>
      <c r="Q20160" s="5" t="s">
        <v>355</v>
      </c>
    </row>
    <row r="20161" ht="16.5" customHeight="1">
      <c r="O20161" s="5" t="s">
        <v>355</v>
      </c>
      <c r="P20161" s="5" t="s">
        <v>355</v>
      </c>
      <c r="Q20161" s="5" t="s">
        <v>355</v>
      </c>
    </row>
    <row r="20162" ht="16.5" customHeight="1">
      <c r="O20162" s="5" t="s">
        <v>355</v>
      </c>
      <c r="P20162" s="5" t="s">
        <v>355</v>
      </c>
      <c r="Q20162" s="5" t="s">
        <v>355</v>
      </c>
    </row>
    <row r="20163" ht="16.5" customHeight="1">
      <c r="O20163" s="5" t="s">
        <v>355</v>
      </c>
      <c r="P20163" s="5" t="s">
        <v>355</v>
      </c>
      <c r="Q20163" s="5" t="s">
        <v>355</v>
      </c>
    </row>
    <row r="20164" ht="16.5" customHeight="1">
      <c r="O20164" s="5" t="s">
        <v>355</v>
      </c>
      <c r="P20164" s="5" t="s">
        <v>355</v>
      </c>
      <c r="Q20164" s="5" t="s">
        <v>355</v>
      </c>
    </row>
    <row r="20165" ht="16.5" customHeight="1">
      <c r="O20165" s="5" t="s">
        <v>355</v>
      </c>
      <c r="P20165" s="5" t="s">
        <v>355</v>
      </c>
      <c r="Q20165" s="5" t="s">
        <v>355</v>
      </c>
    </row>
    <row r="20166" ht="16.5" customHeight="1">
      <c r="O20166" s="5" t="s">
        <v>355</v>
      </c>
      <c r="P20166" s="5" t="s">
        <v>355</v>
      </c>
      <c r="Q20166" s="5" t="s">
        <v>355</v>
      </c>
    </row>
    <row r="20167" ht="16.5" customHeight="1">
      <c r="O20167" s="5" t="s">
        <v>355</v>
      </c>
      <c r="P20167" s="5" t="s">
        <v>355</v>
      </c>
      <c r="Q20167" s="5" t="s">
        <v>355</v>
      </c>
    </row>
    <row r="20168" ht="16.5" customHeight="1">
      <c r="O20168" s="5" t="s">
        <v>355</v>
      </c>
      <c r="P20168" s="5" t="s">
        <v>355</v>
      </c>
      <c r="Q20168" s="5" t="s">
        <v>355</v>
      </c>
    </row>
    <row r="20169" ht="16.5" customHeight="1">
      <c r="O20169" s="5" t="s">
        <v>355</v>
      </c>
      <c r="P20169" s="5" t="s">
        <v>355</v>
      </c>
      <c r="Q20169" s="5" t="s">
        <v>355</v>
      </c>
    </row>
    <row r="20170" ht="16.5" customHeight="1">
      <c r="O20170" s="5" t="s">
        <v>355</v>
      </c>
      <c r="P20170" s="5" t="s">
        <v>355</v>
      </c>
      <c r="Q20170" s="5" t="s">
        <v>355</v>
      </c>
    </row>
    <row r="20171" ht="16.5" customHeight="1">
      <c r="O20171" s="5" t="s">
        <v>355</v>
      </c>
      <c r="P20171" s="5" t="s">
        <v>355</v>
      </c>
      <c r="Q20171" s="5" t="s">
        <v>355</v>
      </c>
    </row>
    <row r="20172" ht="16.5" customHeight="1">
      <c r="O20172" s="5" t="s">
        <v>355</v>
      </c>
      <c r="P20172" s="5" t="s">
        <v>355</v>
      </c>
      <c r="Q20172" s="5" t="s">
        <v>355</v>
      </c>
    </row>
    <row r="20173" ht="16.5" customHeight="1">
      <c r="O20173" s="5" t="s">
        <v>355</v>
      </c>
      <c r="P20173" s="5" t="s">
        <v>355</v>
      </c>
      <c r="Q20173" s="5" t="s">
        <v>355</v>
      </c>
    </row>
    <row r="20174" ht="16.5" customHeight="1">
      <c r="O20174" s="5" t="s">
        <v>355</v>
      </c>
      <c r="P20174" s="5" t="s">
        <v>355</v>
      </c>
      <c r="Q20174" s="5" t="s">
        <v>355</v>
      </c>
    </row>
    <row r="20175" ht="16.5" customHeight="1">
      <c r="O20175" s="5" t="s">
        <v>355</v>
      </c>
      <c r="P20175" s="5" t="s">
        <v>355</v>
      </c>
      <c r="Q20175" s="5" t="s">
        <v>355</v>
      </c>
    </row>
    <row r="20176" ht="16.5" customHeight="1">
      <c r="O20176" s="5" t="s">
        <v>355</v>
      </c>
      <c r="P20176" s="5" t="s">
        <v>355</v>
      </c>
      <c r="Q20176" s="5" t="s">
        <v>355</v>
      </c>
    </row>
    <row r="20177" ht="16.5" customHeight="1">
      <c r="O20177" s="5" t="s">
        <v>355</v>
      </c>
      <c r="P20177" s="5" t="s">
        <v>355</v>
      </c>
      <c r="Q20177" s="5" t="s">
        <v>355</v>
      </c>
    </row>
    <row r="20178" ht="16.5" customHeight="1">
      <c r="O20178" s="5" t="s">
        <v>355</v>
      </c>
      <c r="P20178" s="5" t="s">
        <v>355</v>
      </c>
      <c r="Q20178" s="5" t="s">
        <v>355</v>
      </c>
    </row>
    <row r="20179" ht="16.5" customHeight="1">
      <c r="O20179" s="5" t="s">
        <v>355</v>
      </c>
      <c r="P20179" s="5" t="s">
        <v>355</v>
      </c>
      <c r="Q20179" s="5" t="s">
        <v>355</v>
      </c>
    </row>
    <row r="20180" ht="16.5" customHeight="1">
      <c r="O20180" s="5" t="s">
        <v>355</v>
      </c>
      <c r="P20180" s="5" t="s">
        <v>355</v>
      </c>
      <c r="Q20180" s="5" t="s">
        <v>355</v>
      </c>
    </row>
    <row r="20181" ht="16.5" customHeight="1">
      <c r="O20181" s="5" t="s">
        <v>355</v>
      </c>
      <c r="P20181" s="5" t="s">
        <v>355</v>
      </c>
      <c r="Q20181" s="5" t="s">
        <v>355</v>
      </c>
    </row>
    <row r="20182" ht="16.5" customHeight="1">
      <c r="O20182" s="5" t="s">
        <v>355</v>
      </c>
      <c r="P20182" s="5" t="s">
        <v>355</v>
      </c>
      <c r="Q20182" s="5" t="s">
        <v>355</v>
      </c>
    </row>
    <row r="20183" ht="16.5" customHeight="1">
      <c r="O20183" s="5" t="s">
        <v>355</v>
      </c>
      <c r="P20183" s="5" t="s">
        <v>355</v>
      </c>
      <c r="Q20183" s="5" t="s">
        <v>355</v>
      </c>
    </row>
    <row r="20184" ht="16.5" customHeight="1">
      <c r="O20184" s="5" t="s">
        <v>355</v>
      </c>
      <c r="P20184" s="5" t="s">
        <v>355</v>
      </c>
      <c r="Q20184" s="5" t="s">
        <v>355</v>
      </c>
    </row>
    <row r="20185" ht="16.5" customHeight="1">
      <c r="O20185" s="5" t="s">
        <v>355</v>
      </c>
      <c r="P20185" s="5" t="s">
        <v>355</v>
      </c>
      <c r="Q20185" s="5" t="s">
        <v>355</v>
      </c>
    </row>
    <row r="20186" ht="16.5" customHeight="1">
      <c r="O20186" s="5" t="s">
        <v>355</v>
      </c>
      <c r="P20186" s="5" t="s">
        <v>355</v>
      </c>
      <c r="Q20186" s="5" t="s">
        <v>355</v>
      </c>
    </row>
    <row r="20187" ht="16.5" customHeight="1">
      <c r="O20187" s="5" t="s">
        <v>355</v>
      </c>
      <c r="P20187" s="5" t="s">
        <v>355</v>
      </c>
      <c r="Q20187" s="5" t="s">
        <v>355</v>
      </c>
    </row>
    <row r="20188" ht="16.5" customHeight="1">
      <c r="O20188" s="5" t="s">
        <v>355</v>
      </c>
      <c r="P20188" s="5" t="s">
        <v>355</v>
      </c>
      <c r="Q20188" s="5" t="s">
        <v>355</v>
      </c>
    </row>
    <row r="20189" ht="16.5" customHeight="1">
      <c r="O20189" s="5" t="s">
        <v>355</v>
      </c>
      <c r="P20189" s="5" t="s">
        <v>355</v>
      </c>
      <c r="Q20189" s="5" t="s">
        <v>355</v>
      </c>
    </row>
    <row r="20190" ht="16.5" customHeight="1">
      <c r="O20190" s="5" t="s">
        <v>355</v>
      </c>
      <c r="P20190" s="5" t="s">
        <v>355</v>
      </c>
      <c r="Q20190" s="5" t="s">
        <v>355</v>
      </c>
    </row>
    <row r="20191" ht="16.5" customHeight="1">
      <c r="O20191" s="5" t="s">
        <v>355</v>
      </c>
      <c r="P20191" s="5" t="s">
        <v>355</v>
      </c>
      <c r="Q20191" s="5" t="s">
        <v>355</v>
      </c>
    </row>
    <row r="20192" ht="16.5" customHeight="1">
      <c r="O20192" s="5" t="s">
        <v>355</v>
      </c>
      <c r="P20192" s="5" t="s">
        <v>355</v>
      </c>
      <c r="Q20192" s="5" t="s">
        <v>355</v>
      </c>
    </row>
    <row r="20193" ht="16.5" customHeight="1">
      <c r="O20193" s="5" t="s">
        <v>355</v>
      </c>
      <c r="P20193" s="5" t="s">
        <v>355</v>
      </c>
      <c r="Q20193" s="5" t="s">
        <v>355</v>
      </c>
    </row>
    <row r="20194" ht="16.5" customHeight="1">
      <c r="O20194" s="5" t="s">
        <v>355</v>
      </c>
      <c r="P20194" s="5" t="s">
        <v>355</v>
      </c>
      <c r="Q20194" s="5" t="s">
        <v>355</v>
      </c>
    </row>
    <row r="20195" ht="16.5" customHeight="1">
      <c r="O20195" s="5" t="s">
        <v>355</v>
      </c>
      <c r="P20195" s="5" t="s">
        <v>355</v>
      </c>
      <c r="Q20195" s="5" t="s">
        <v>355</v>
      </c>
    </row>
    <row r="20196" ht="16.5" customHeight="1">
      <c r="O20196" s="5" t="s">
        <v>355</v>
      </c>
      <c r="P20196" s="5" t="s">
        <v>355</v>
      </c>
      <c r="Q20196" s="5" t="s">
        <v>355</v>
      </c>
    </row>
    <row r="20197" ht="16.5" customHeight="1">
      <c r="O20197" s="5" t="s">
        <v>355</v>
      </c>
      <c r="P20197" s="5" t="s">
        <v>355</v>
      </c>
      <c r="Q20197" s="5" t="s">
        <v>355</v>
      </c>
    </row>
    <row r="20198" ht="16.5" customHeight="1">
      <c r="O20198" s="5" t="s">
        <v>355</v>
      </c>
      <c r="P20198" s="5" t="s">
        <v>355</v>
      </c>
      <c r="Q20198" s="5" t="s">
        <v>355</v>
      </c>
    </row>
    <row r="20199" ht="16.5" customHeight="1">
      <c r="O20199" s="5" t="s">
        <v>355</v>
      </c>
      <c r="P20199" s="5" t="s">
        <v>355</v>
      </c>
      <c r="Q20199" s="5" t="s">
        <v>355</v>
      </c>
    </row>
    <row r="20200" ht="16.5" customHeight="1">
      <c r="O20200" s="5" t="s">
        <v>355</v>
      </c>
      <c r="P20200" s="5" t="s">
        <v>355</v>
      </c>
      <c r="Q20200" s="5" t="s">
        <v>355</v>
      </c>
    </row>
    <row r="20201" ht="16.5" customHeight="1">
      <c r="O20201" s="5" t="s">
        <v>355</v>
      </c>
      <c r="P20201" s="5" t="s">
        <v>355</v>
      </c>
      <c r="Q20201" s="5" t="s">
        <v>355</v>
      </c>
    </row>
    <row r="20202" ht="16.5" customHeight="1">
      <c r="O20202" s="5" t="s">
        <v>355</v>
      </c>
      <c r="P20202" s="5" t="s">
        <v>355</v>
      </c>
      <c r="Q20202" s="5" t="s">
        <v>355</v>
      </c>
    </row>
    <row r="20203" ht="16.5" customHeight="1">
      <c r="O20203" s="5" t="s">
        <v>355</v>
      </c>
      <c r="P20203" s="5" t="s">
        <v>355</v>
      </c>
      <c r="Q20203" s="5" t="s">
        <v>355</v>
      </c>
    </row>
    <row r="20204" ht="16.5" customHeight="1">
      <c r="O20204" s="5" t="s">
        <v>355</v>
      </c>
      <c r="P20204" s="5" t="s">
        <v>355</v>
      </c>
      <c r="Q20204" s="5" t="s">
        <v>355</v>
      </c>
    </row>
    <row r="20205" ht="16.5" customHeight="1">
      <c r="O20205" s="5" t="s">
        <v>355</v>
      </c>
      <c r="P20205" s="5" t="s">
        <v>355</v>
      </c>
      <c r="Q20205" s="5" t="s">
        <v>355</v>
      </c>
    </row>
    <row r="20206" ht="16.5" customHeight="1">
      <c r="O20206" s="5" t="s">
        <v>355</v>
      </c>
      <c r="P20206" s="5" t="s">
        <v>355</v>
      </c>
      <c r="Q20206" s="5" t="s">
        <v>355</v>
      </c>
    </row>
    <row r="20207" ht="16.5" customHeight="1">
      <c r="O20207" s="5" t="s">
        <v>355</v>
      </c>
      <c r="P20207" s="5" t="s">
        <v>355</v>
      </c>
      <c r="Q20207" s="5" t="s">
        <v>355</v>
      </c>
    </row>
    <row r="20208" ht="16.5" customHeight="1">
      <c r="O20208" s="5" t="s">
        <v>355</v>
      </c>
      <c r="P20208" s="5" t="s">
        <v>355</v>
      </c>
      <c r="Q20208" s="5" t="s">
        <v>355</v>
      </c>
    </row>
    <row r="20209" ht="16.5" customHeight="1">
      <c r="O20209" s="5" t="s">
        <v>355</v>
      </c>
      <c r="P20209" s="5" t="s">
        <v>355</v>
      </c>
      <c r="Q20209" s="5" t="s">
        <v>355</v>
      </c>
    </row>
    <row r="20210" ht="16.5" customHeight="1">
      <c r="O20210" s="5" t="s">
        <v>355</v>
      </c>
      <c r="P20210" s="5" t="s">
        <v>355</v>
      </c>
      <c r="Q20210" s="5" t="s">
        <v>355</v>
      </c>
    </row>
    <row r="20211" ht="16.5" customHeight="1">
      <c r="O20211" s="5" t="s">
        <v>355</v>
      </c>
      <c r="P20211" s="5" t="s">
        <v>355</v>
      </c>
      <c r="Q20211" s="5" t="s">
        <v>355</v>
      </c>
    </row>
    <row r="20212" ht="16.5" customHeight="1">
      <c r="O20212" s="5" t="s">
        <v>355</v>
      </c>
      <c r="P20212" s="5" t="s">
        <v>355</v>
      </c>
      <c r="Q20212" s="5" t="s">
        <v>355</v>
      </c>
    </row>
    <row r="20213" ht="16.5" customHeight="1">
      <c r="O20213" s="5" t="s">
        <v>355</v>
      </c>
      <c r="P20213" s="5" t="s">
        <v>355</v>
      </c>
      <c r="Q20213" s="5" t="s">
        <v>355</v>
      </c>
    </row>
    <row r="20214" ht="16.5" customHeight="1">
      <c r="O20214" s="5" t="s">
        <v>355</v>
      </c>
      <c r="P20214" s="5" t="s">
        <v>355</v>
      </c>
      <c r="Q20214" s="5" t="s">
        <v>355</v>
      </c>
    </row>
    <row r="20215" ht="16.5" customHeight="1">
      <c r="O20215" s="5" t="s">
        <v>355</v>
      </c>
      <c r="P20215" s="5" t="s">
        <v>355</v>
      </c>
      <c r="Q20215" s="5" t="s">
        <v>355</v>
      </c>
    </row>
    <row r="20216" ht="16.5" customHeight="1">
      <c r="O20216" s="5" t="s">
        <v>355</v>
      </c>
      <c r="P20216" s="5" t="s">
        <v>355</v>
      </c>
      <c r="Q20216" s="5" t="s">
        <v>355</v>
      </c>
    </row>
    <row r="20217" ht="16.5" customHeight="1">
      <c r="O20217" s="5" t="s">
        <v>355</v>
      </c>
      <c r="P20217" s="5" t="s">
        <v>355</v>
      </c>
      <c r="Q20217" s="5" t="s">
        <v>355</v>
      </c>
    </row>
    <row r="20218" ht="16.5" customHeight="1">
      <c r="O20218" s="5" t="s">
        <v>355</v>
      </c>
      <c r="P20218" s="5" t="s">
        <v>355</v>
      </c>
      <c r="Q20218" s="5" t="s">
        <v>355</v>
      </c>
    </row>
    <row r="20219" ht="16.5" customHeight="1">
      <c r="O20219" s="5" t="s">
        <v>355</v>
      </c>
      <c r="P20219" s="5" t="s">
        <v>355</v>
      </c>
      <c r="Q20219" s="5" t="s">
        <v>355</v>
      </c>
    </row>
    <row r="20220" ht="16.5" customHeight="1">
      <c r="O20220" s="5" t="s">
        <v>355</v>
      </c>
      <c r="P20220" s="5" t="s">
        <v>355</v>
      </c>
      <c r="Q20220" s="5" t="s">
        <v>355</v>
      </c>
    </row>
    <row r="20221" ht="16.5" customHeight="1">
      <c r="O20221" s="5" t="s">
        <v>355</v>
      </c>
      <c r="P20221" s="5" t="s">
        <v>355</v>
      </c>
      <c r="Q20221" s="5" t="s">
        <v>355</v>
      </c>
    </row>
    <row r="20222" ht="16.5" customHeight="1">
      <c r="O20222" s="5" t="s">
        <v>355</v>
      </c>
      <c r="P20222" s="5" t="s">
        <v>355</v>
      </c>
      <c r="Q20222" s="5" t="s">
        <v>355</v>
      </c>
    </row>
    <row r="20223" ht="16.5" customHeight="1">
      <c r="O20223" s="5" t="s">
        <v>355</v>
      </c>
      <c r="P20223" s="5" t="s">
        <v>355</v>
      </c>
      <c r="Q20223" s="5" t="s">
        <v>355</v>
      </c>
    </row>
    <row r="20224" ht="16.5" customHeight="1">
      <c r="O20224" s="5" t="s">
        <v>355</v>
      </c>
      <c r="P20224" s="5" t="s">
        <v>355</v>
      </c>
      <c r="Q20224" s="5" t="s">
        <v>355</v>
      </c>
    </row>
    <row r="20225" ht="16.5" customHeight="1">
      <c r="O20225" s="5" t="s">
        <v>355</v>
      </c>
      <c r="P20225" s="5" t="s">
        <v>355</v>
      </c>
      <c r="Q20225" s="5" t="s">
        <v>355</v>
      </c>
    </row>
    <row r="20226" ht="16.5" customHeight="1">
      <c r="O20226" s="5" t="s">
        <v>355</v>
      </c>
      <c r="P20226" s="5" t="s">
        <v>355</v>
      </c>
      <c r="Q20226" s="5" t="s">
        <v>355</v>
      </c>
    </row>
    <row r="20227" ht="16.5" customHeight="1">
      <c r="O20227" s="5" t="s">
        <v>355</v>
      </c>
      <c r="P20227" s="5" t="s">
        <v>355</v>
      </c>
      <c r="Q20227" s="5" t="s">
        <v>355</v>
      </c>
    </row>
    <row r="20228" ht="16.5" customHeight="1">
      <c r="O20228" s="5" t="s">
        <v>355</v>
      </c>
      <c r="P20228" s="5" t="s">
        <v>355</v>
      </c>
      <c r="Q20228" s="5" t="s">
        <v>355</v>
      </c>
    </row>
    <row r="20229" ht="16.5" customHeight="1">
      <c r="O20229" s="5" t="s">
        <v>355</v>
      </c>
      <c r="P20229" s="5" t="s">
        <v>355</v>
      </c>
      <c r="Q20229" s="5" t="s">
        <v>355</v>
      </c>
    </row>
    <row r="20230" ht="16.5" customHeight="1">
      <c r="O20230" s="5" t="s">
        <v>355</v>
      </c>
      <c r="P20230" s="5" t="s">
        <v>355</v>
      </c>
      <c r="Q20230" s="5" t="s">
        <v>355</v>
      </c>
    </row>
    <row r="20231" ht="16.5" customHeight="1">
      <c r="O20231" s="5" t="s">
        <v>355</v>
      </c>
      <c r="P20231" s="5" t="s">
        <v>355</v>
      </c>
      <c r="Q20231" s="5" t="s">
        <v>355</v>
      </c>
    </row>
    <row r="20232" ht="16.5" customHeight="1">
      <c r="O20232" s="5" t="s">
        <v>355</v>
      </c>
      <c r="P20232" s="5" t="s">
        <v>355</v>
      </c>
      <c r="Q20232" s="5" t="s">
        <v>355</v>
      </c>
    </row>
    <row r="20233" ht="16.5" customHeight="1">
      <c r="O20233" s="5" t="s">
        <v>355</v>
      </c>
      <c r="P20233" s="5" t="s">
        <v>355</v>
      </c>
      <c r="Q20233" s="5" t="s">
        <v>355</v>
      </c>
    </row>
    <row r="20234" ht="16.5" customHeight="1">
      <c r="O20234" s="5" t="s">
        <v>355</v>
      </c>
      <c r="P20234" s="5" t="s">
        <v>355</v>
      </c>
      <c r="Q20234" s="5" t="s">
        <v>355</v>
      </c>
    </row>
    <row r="20235" ht="16.5" customHeight="1">
      <c r="O20235" s="5" t="s">
        <v>355</v>
      </c>
      <c r="P20235" s="5" t="s">
        <v>355</v>
      </c>
      <c r="Q20235" s="5" t="s">
        <v>355</v>
      </c>
    </row>
    <row r="20236" ht="16.5" customHeight="1">
      <c r="O20236" s="5" t="s">
        <v>355</v>
      </c>
      <c r="P20236" s="5" t="s">
        <v>355</v>
      </c>
      <c r="Q20236" s="5" t="s">
        <v>355</v>
      </c>
    </row>
    <row r="20237" ht="16.5" customHeight="1">
      <c r="O20237" s="5" t="s">
        <v>355</v>
      </c>
      <c r="P20237" s="5" t="s">
        <v>355</v>
      </c>
      <c r="Q20237" s="5" t="s">
        <v>355</v>
      </c>
    </row>
    <row r="20238" ht="16.5" customHeight="1">
      <c r="O20238" s="5" t="s">
        <v>355</v>
      </c>
      <c r="P20238" s="5" t="s">
        <v>355</v>
      </c>
      <c r="Q20238" s="5" t="s">
        <v>355</v>
      </c>
    </row>
    <row r="20239" ht="16.5" customHeight="1">
      <c r="O20239" s="5" t="s">
        <v>355</v>
      </c>
      <c r="P20239" s="5" t="s">
        <v>355</v>
      </c>
      <c r="Q20239" s="5" t="s">
        <v>355</v>
      </c>
    </row>
    <row r="20240" ht="16.5" customHeight="1">
      <c r="O20240" s="5" t="s">
        <v>355</v>
      </c>
      <c r="P20240" s="5" t="s">
        <v>355</v>
      </c>
      <c r="Q20240" s="5" t="s">
        <v>355</v>
      </c>
    </row>
    <row r="20241" ht="16.5" customHeight="1">
      <c r="O20241" s="5" t="s">
        <v>355</v>
      </c>
      <c r="P20241" s="5" t="s">
        <v>355</v>
      </c>
      <c r="Q20241" s="5" t="s">
        <v>355</v>
      </c>
    </row>
    <row r="20242" ht="16.5" customHeight="1">
      <c r="O20242" s="5" t="s">
        <v>355</v>
      </c>
      <c r="P20242" s="5" t="s">
        <v>355</v>
      </c>
      <c r="Q20242" s="5" t="s">
        <v>355</v>
      </c>
    </row>
    <row r="20243" ht="16.5" customHeight="1">
      <c r="O20243" s="5" t="s">
        <v>355</v>
      </c>
      <c r="P20243" s="5" t="s">
        <v>355</v>
      </c>
      <c r="Q20243" s="5" t="s">
        <v>355</v>
      </c>
    </row>
    <row r="20244" ht="16.5" customHeight="1">
      <c r="O20244" s="5" t="s">
        <v>355</v>
      </c>
      <c r="P20244" s="5" t="s">
        <v>355</v>
      </c>
      <c r="Q20244" s="5" t="s">
        <v>355</v>
      </c>
    </row>
    <row r="20245" ht="16.5" customHeight="1">
      <c r="O20245" s="5" t="s">
        <v>355</v>
      </c>
      <c r="P20245" s="5" t="s">
        <v>355</v>
      </c>
      <c r="Q20245" s="5" t="s">
        <v>355</v>
      </c>
    </row>
    <row r="20246" ht="16.5" customHeight="1">
      <c r="O20246" s="5" t="s">
        <v>355</v>
      </c>
      <c r="P20246" s="5" t="s">
        <v>355</v>
      </c>
      <c r="Q20246" s="5" t="s">
        <v>355</v>
      </c>
    </row>
    <row r="20247" ht="16.5" customHeight="1">
      <c r="O20247" s="5" t="s">
        <v>355</v>
      </c>
      <c r="P20247" s="5" t="s">
        <v>355</v>
      </c>
      <c r="Q20247" s="5" t="s">
        <v>355</v>
      </c>
    </row>
    <row r="20248" ht="16.5" customHeight="1">
      <c r="O20248" s="5" t="s">
        <v>355</v>
      </c>
      <c r="P20248" s="5" t="s">
        <v>355</v>
      </c>
      <c r="Q20248" s="5" t="s">
        <v>355</v>
      </c>
    </row>
    <row r="20249" ht="16.5" customHeight="1">
      <c r="O20249" s="5" t="s">
        <v>355</v>
      </c>
      <c r="P20249" s="5" t="s">
        <v>355</v>
      </c>
      <c r="Q20249" s="5" t="s">
        <v>355</v>
      </c>
    </row>
    <row r="20250" ht="16.5" customHeight="1">
      <c r="O20250" s="5" t="s">
        <v>355</v>
      </c>
      <c r="P20250" s="5" t="s">
        <v>355</v>
      </c>
      <c r="Q20250" s="5" t="s">
        <v>355</v>
      </c>
    </row>
    <row r="20251" ht="16.5" customHeight="1">
      <c r="O20251" s="5" t="s">
        <v>355</v>
      </c>
      <c r="P20251" s="5" t="s">
        <v>355</v>
      </c>
      <c r="Q20251" s="5" t="s">
        <v>355</v>
      </c>
    </row>
    <row r="20252" ht="16.5" customHeight="1">
      <c r="O20252" s="5" t="s">
        <v>355</v>
      </c>
      <c r="P20252" s="5" t="s">
        <v>355</v>
      </c>
      <c r="Q20252" s="5" t="s">
        <v>355</v>
      </c>
    </row>
    <row r="20253" ht="16.5" customHeight="1">
      <c r="O20253" s="5" t="s">
        <v>355</v>
      </c>
      <c r="P20253" s="5" t="s">
        <v>355</v>
      </c>
      <c r="Q20253" s="5" t="s">
        <v>355</v>
      </c>
    </row>
    <row r="20254" ht="16.5" customHeight="1">
      <c r="O20254" s="5" t="s">
        <v>355</v>
      </c>
      <c r="P20254" s="5" t="s">
        <v>355</v>
      </c>
      <c r="Q20254" s="5" t="s">
        <v>355</v>
      </c>
    </row>
    <row r="20255" ht="16.5" customHeight="1">
      <c r="O20255" s="5" t="s">
        <v>355</v>
      </c>
      <c r="P20255" s="5" t="s">
        <v>355</v>
      </c>
      <c r="Q20255" s="5" t="s">
        <v>355</v>
      </c>
    </row>
    <row r="20256" ht="16.5" customHeight="1">
      <c r="O20256" s="5" t="s">
        <v>355</v>
      </c>
      <c r="P20256" s="5" t="s">
        <v>355</v>
      </c>
      <c r="Q20256" s="5" t="s">
        <v>355</v>
      </c>
    </row>
    <row r="20257" ht="16.5" customHeight="1">
      <c r="O20257" s="5" t="s">
        <v>355</v>
      </c>
      <c r="P20257" s="5" t="s">
        <v>355</v>
      </c>
      <c r="Q20257" s="5" t="s">
        <v>355</v>
      </c>
    </row>
    <row r="20258" ht="16.5" customHeight="1">
      <c r="O20258" s="5" t="s">
        <v>355</v>
      </c>
      <c r="P20258" s="5" t="s">
        <v>355</v>
      </c>
      <c r="Q20258" s="5" t="s">
        <v>355</v>
      </c>
    </row>
    <row r="20259" ht="16.5" customHeight="1">
      <c r="O20259" s="5" t="s">
        <v>355</v>
      </c>
      <c r="P20259" s="5" t="s">
        <v>355</v>
      </c>
      <c r="Q20259" s="5" t="s">
        <v>355</v>
      </c>
    </row>
    <row r="20260" ht="16.5" customHeight="1">
      <c r="O20260" s="5" t="s">
        <v>355</v>
      </c>
      <c r="P20260" s="5" t="s">
        <v>355</v>
      </c>
      <c r="Q20260" s="5" t="s">
        <v>355</v>
      </c>
    </row>
    <row r="20261" ht="16.5" customHeight="1">
      <c r="O20261" s="5" t="s">
        <v>355</v>
      </c>
      <c r="P20261" s="5" t="s">
        <v>355</v>
      </c>
      <c r="Q20261" s="5" t="s">
        <v>355</v>
      </c>
    </row>
    <row r="20262" ht="16.5" customHeight="1">
      <c r="O20262" s="5" t="s">
        <v>355</v>
      </c>
      <c r="P20262" s="5" t="s">
        <v>355</v>
      </c>
      <c r="Q20262" s="5" t="s">
        <v>355</v>
      </c>
    </row>
    <row r="20263" ht="16.5" customHeight="1">
      <c r="O20263" s="5" t="s">
        <v>355</v>
      </c>
      <c r="P20263" s="5" t="s">
        <v>355</v>
      </c>
      <c r="Q20263" s="5" t="s">
        <v>355</v>
      </c>
    </row>
    <row r="20264" ht="16.5" customHeight="1">
      <c r="O20264" s="5" t="s">
        <v>355</v>
      </c>
      <c r="P20264" s="5" t="s">
        <v>355</v>
      </c>
      <c r="Q20264" s="5" t="s">
        <v>355</v>
      </c>
    </row>
    <row r="20265" ht="16.5" customHeight="1">
      <c r="O20265" s="5" t="s">
        <v>355</v>
      </c>
      <c r="P20265" s="5" t="s">
        <v>355</v>
      </c>
      <c r="Q20265" s="5" t="s">
        <v>355</v>
      </c>
    </row>
    <row r="20266" ht="16.5" customHeight="1">
      <c r="O20266" s="5" t="s">
        <v>355</v>
      </c>
      <c r="P20266" s="5" t="s">
        <v>355</v>
      </c>
      <c r="Q20266" s="5" t="s">
        <v>355</v>
      </c>
    </row>
    <row r="20267" ht="16.5" customHeight="1">
      <c r="O20267" s="5" t="s">
        <v>355</v>
      </c>
      <c r="P20267" s="5" t="s">
        <v>355</v>
      </c>
      <c r="Q20267" s="5" t="s">
        <v>355</v>
      </c>
    </row>
    <row r="20268" ht="16.5" customHeight="1">
      <c r="O20268" s="5" t="s">
        <v>355</v>
      </c>
      <c r="P20268" s="5" t="s">
        <v>355</v>
      </c>
      <c r="Q20268" s="5" t="s">
        <v>355</v>
      </c>
    </row>
    <row r="20269" ht="16.5" customHeight="1">
      <c r="O20269" s="5" t="s">
        <v>355</v>
      </c>
      <c r="P20269" s="5" t="s">
        <v>355</v>
      </c>
      <c r="Q20269" s="5" t="s">
        <v>355</v>
      </c>
    </row>
    <row r="20270" ht="16.5" customHeight="1">
      <c r="O20270" s="5" t="s">
        <v>355</v>
      </c>
      <c r="P20270" s="5" t="s">
        <v>355</v>
      </c>
      <c r="Q20270" s="5" t="s">
        <v>355</v>
      </c>
    </row>
    <row r="20271" ht="16.5" customHeight="1">
      <c r="O20271" s="5" t="s">
        <v>355</v>
      </c>
      <c r="P20271" s="5" t="s">
        <v>355</v>
      </c>
      <c r="Q20271" s="5" t="s">
        <v>355</v>
      </c>
    </row>
    <row r="20272" ht="16.5" customHeight="1">
      <c r="O20272" s="5" t="s">
        <v>355</v>
      </c>
      <c r="P20272" s="5" t="s">
        <v>355</v>
      </c>
      <c r="Q20272" s="5" t="s">
        <v>355</v>
      </c>
    </row>
    <row r="20273" ht="16.5" customHeight="1">
      <c r="O20273" s="5" t="s">
        <v>355</v>
      </c>
      <c r="P20273" s="5" t="s">
        <v>355</v>
      </c>
      <c r="Q20273" s="5" t="s">
        <v>355</v>
      </c>
    </row>
    <row r="20274" ht="16.5" customHeight="1">
      <c r="O20274" s="5" t="s">
        <v>355</v>
      </c>
      <c r="P20274" s="5" t="s">
        <v>355</v>
      </c>
      <c r="Q20274" s="5" t="s">
        <v>355</v>
      </c>
    </row>
    <row r="20275" ht="16.5" customHeight="1">
      <c r="O20275" s="5" t="s">
        <v>355</v>
      </c>
      <c r="P20275" s="5" t="s">
        <v>355</v>
      </c>
      <c r="Q20275" s="5" t="s">
        <v>355</v>
      </c>
    </row>
    <row r="20276" ht="16.5" customHeight="1">
      <c r="O20276" s="5" t="s">
        <v>355</v>
      </c>
      <c r="P20276" s="5" t="s">
        <v>355</v>
      </c>
      <c r="Q20276" s="5" t="s">
        <v>355</v>
      </c>
    </row>
    <row r="20277" ht="16.5" customHeight="1">
      <c r="O20277" s="5" t="s">
        <v>355</v>
      </c>
      <c r="P20277" s="5" t="s">
        <v>355</v>
      </c>
      <c r="Q20277" s="5" t="s">
        <v>355</v>
      </c>
    </row>
    <row r="20278" ht="16.5" customHeight="1">
      <c r="O20278" s="5" t="s">
        <v>355</v>
      </c>
      <c r="P20278" s="5" t="s">
        <v>355</v>
      </c>
      <c r="Q20278" s="5" t="s">
        <v>355</v>
      </c>
    </row>
    <row r="20279" ht="16.5" customHeight="1">
      <c r="O20279" s="5" t="s">
        <v>355</v>
      </c>
      <c r="P20279" s="5" t="s">
        <v>355</v>
      </c>
      <c r="Q20279" s="5" t="s">
        <v>355</v>
      </c>
    </row>
    <row r="20280" ht="16.5" customHeight="1">
      <c r="O20280" s="5" t="s">
        <v>355</v>
      </c>
      <c r="P20280" s="5" t="s">
        <v>355</v>
      </c>
      <c r="Q20280" s="5" t="s">
        <v>355</v>
      </c>
    </row>
    <row r="20281" ht="16.5" customHeight="1">
      <c r="O20281" s="5" t="s">
        <v>355</v>
      </c>
      <c r="P20281" s="5" t="s">
        <v>355</v>
      </c>
      <c r="Q20281" s="5" t="s">
        <v>355</v>
      </c>
    </row>
    <row r="20282" ht="16.5" customHeight="1">
      <c r="O20282" s="5" t="s">
        <v>355</v>
      </c>
      <c r="P20282" s="5" t="s">
        <v>355</v>
      </c>
      <c r="Q20282" s="5" t="s">
        <v>355</v>
      </c>
    </row>
    <row r="20283" ht="16.5" customHeight="1">
      <c r="O20283" s="5" t="s">
        <v>355</v>
      </c>
      <c r="P20283" s="5" t="s">
        <v>355</v>
      </c>
      <c r="Q20283" s="5" t="s">
        <v>355</v>
      </c>
    </row>
    <row r="20284" ht="16.5" customHeight="1">
      <c r="O20284" s="5" t="s">
        <v>355</v>
      </c>
      <c r="P20284" s="5" t="s">
        <v>355</v>
      </c>
      <c r="Q20284" s="5" t="s">
        <v>355</v>
      </c>
    </row>
    <row r="20285" ht="16.5" customHeight="1">
      <c r="O20285" s="5" t="s">
        <v>355</v>
      </c>
      <c r="P20285" s="5" t="s">
        <v>355</v>
      </c>
      <c r="Q20285" s="5" t="s">
        <v>355</v>
      </c>
    </row>
    <row r="20286" ht="16.5" customHeight="1">
      <c r="O20286" s="5" t="s">
        <v>355</v>
      </c>
      <c r="P20286" s="5" t="s">
        <v>355</v>
      </c>
      <c r="Q20286" s="5" t="s">
        <v>355</v>
      </c>
    </row>
    <row r="20287" ht="16.5" customHeight="1">
      <c r="O20287" s="5" t="s">
        <v>355</v>
      </c>
      <c r="P20287" s="5" t="s">
        <v>355</v>
      </c>
      <c r="Q20287" s="5" t="s">
        <v>355</v>
      </c>
    </row>
    <row r="20288" ht="16.5" customHeight="1">
      <c r="O20288" s="5" t="s">
        <v>355</v>
      </c>
      <c r="P20288" s="5" t="s">
        <v>355</v>
      </c>
      <c r="Q20288" s="5" t="s">
        <v>355</v>
      </c>
    </row>
    <row r="20289" ht="16.5" customHeight="1">
      <c r="O20289" s="5" t="s">
        <v>355</v>
      </c>
      <c r="P20289" s="5" t="s">
        <v>355</v>
      </c>
      <c r="Q20289" s="5" t="s">
        <v>355</v>
      </c>
    </row>
    <row r="20290" ht="16.5" customHeight="1">
      <c r="O20290" s="5" t="s">
        <v>355</v>
      </c>
      <c r="P20290" s="5" t="s">
        <v>355</v>
      </c>
      <c r="Q20290" s="5" t="s">
        <v>355</v>
      </c>
    </row>
    <row r="20291" ht="16.5" customHeight="1">
      <c r="O20291" s="5" t="s">
        <v>355</v>
      </c>
      <c r="P20291" s="5" t="s">
        <v>355</v>
      </c>
      <c r="Q20291" s="5" t="s">
        <v>355</v>
      </c>
    </row>
    <row r="20292" ht="16.5" customHeight="1">
      <c r="O20292" s="5" t="s">
        <v>355</v>
      </c>
      <c r="P20292" s="5" t="s">
        <v>355</v>
      </c>
      <c r="Q20292" s="5" t="s">
        <v>355</v>
      </c>
    </row>
    <row r="20293" ht="16.5" customHeight="1">
      <c r="O20293" s="5" t="s">
        <v>355</v>
      </c>
      <c r="P20293" s="5" t="s">
        <v>355</v>
      </c>
      <c r="Q20293" s="5" t="s">
        <v>355</v>
      </c>
    </row>
    <row r="20294" ht="16.5" customHeight="1">
      <c r="O20294" s="5" t="s">
        <v>355</v>
      </c>
      <c r="P20294" s="5" t="s">
        <v>355</v>
      </c>
      <c r="Q20294" s="5" t="s">
        <v>355</v>
      </c>
    </row>
    <row r="20295" ht="16.5" customHeight="1">
      <c r="O20295" s="5" t="s">
        <v>355</v>
      </c>
      <c r="P20295" s="5" t="s">
        <v>355</v>
      </c>
      <c r="Q20295" s="5" t="s">
        <v>355</v>
      </c>
    </row>
    <row r="20296" ht="16.5" customHeight="1">
      <c r="O20296" s="5" t="s">
        <v>355</v>
      </c>
      <c r="P20296" s="5" t="s">
        <v>355</v>
      </c>
      <c r="Q20296" s="5" t="s">
        <v>355</v>
      </c>
    </row>
    <row r="20297" ht="16.5" customHeight="1">
      <c r="O20297" s="5" t="s">
        <v>355</v>
      </c>
      <c r="P20297" s="5" t="s">
        <v>355</v>
      </c>
      <c r="Q20297" s="5" t="s">
        <v>355</v>
      </c>
    </row>
    <row r="20298" ht="16.5" customHeight="1">
      <c r="O20298" s="5" t="s">
        <v>355</v>
      </c>
      <c r="P20298" s="5" t="s">
        <v>355</v>
      </c>
      <c r="Q20298" s="5" t="s">
        <v>355</v>
      </c>
    </row>
    <row r="20299" ht="16.5" customHeight="1">
      <c r="O20299" s="5" t="s">
        <v>355</v>
      </c>
      <c r="P20299" s="5" t="s">
        <v>355</v>
      </c>
      <c r="Q20299" s="5" t="s">
        <v>355</v>
      </c>
    </row>
    <row r="20300" ht="16.5" customHeight="1">
      <c r="O20300" s="5" t="s">
        <v>355</v>
      </c>
      <c r="P20300" s="5" t="s">
        <v>355</v>
      </c>
      <c r="Q20300" s="5" t="s">
        <v>355</v>
      </c>
    </row>
    <row r="20301" ht="16.5" customHeight="1">
      <c r="O20301" s="5" t="s">
        <v>355</v>
      </c>
      <c r="P20301" s="5" t="s">
        <v>355</v>
      </c>
      <c r="Q20301" s="5" t="s">
        <v>355</v>
      </c>
    </row>
    <row r="20302" ht="16.5" customHeight="1">
      <c r="O20302" s="5" t="s">
        <v>355</v>
      </c>
      <c r="P20302" s="5" t="s">
        <v>355</v>
      </c>
      <c r="Q20302" s="5" t="s">
        <v>355</v>
      </c>
    </row>
    <row r="20303" ht="16.5" customHeight="1">
      <c r="O20303" s="5" t="s">
        <v>355</v>
      </c>
      <c r="P20303" s="5" t="s">
        <v>355</v>
      </c>
      <c r="Q20303" s="5" t="s">
        <v>355</v>
      </c>
    </row>
    <row r="20304" ht="16.5" customHeight="1">
      <c r="O20304" s="5" t="s">
        <v>355</v>
      </c>
      <c r="P20304" s="5" t="s">
        <v>355</v>
      </c>
      <c r="Q20304" s="5" t="s">
        <v>355</v>
      </c>
    </row>
    <row r="20305" ht="16.5" customHeight="1">
      <c r="O20305" s="5" t="s">
        <v>355</v>
      </c>
      <c r="P20305" s="5" t="s">
        <v>355</v>
      </c>
      <c r="Q20305" s="5" t="s">
        <v>355</v>
      </c>
    </row>
    <row r="20306" ht="16.5" customHeight="1">
      <c r="O20306" s="5" t="s">
        <v>355</v>
      </c>
      <c r="P20306" s="5" t="s">
        <v>355</v>
      </c>
      <c r="Q20306" s="5" t="s">
        <v>355</v>
      </c>
    </row>
    <row r="20307" ht="16.5" customHeight="1">
      <c r="O20307" s="5" t="s">
        <v>355</v>
      </c>
      <c r="P20307" s="5" t="s">
        <v>355</v>
      </c>
      <c r="Q20307" s="5" t="s">
        <v>355</v>
      </c>
    </row>
    <row r="20308" ht="16.5" customHeight="1">
      <c r="O20308" s="5" t="s">
        <v>355</v>
      </c>
      <c r="P20308" s="5" t="s">
        <v>355</v>
      </c>
      <c r="Q20308" s="5" t="s">
        <v>355</v>
      </c>
    </row>
    <row r="20309" ht="16.5" customHeight="1">
      <c r="O20309" s="5" t="s">
        <v>355</v>
      </c>
      <c r="P20309" s="5" t="s">
        <v>355</v>
      </c>
      <c r="Q20309" s="5" t="s">
        <v>355</v>
      </c>
    </row>
    <row r="20310" ht="16.5" customHeight="1">
      <c r="O20310" s="5" t="s">
        <v>355</v>
      </c>
      <c r="P20310" s="5" t="s">
        <v>355</v>
      </c>
      <c r="Q20310" s="5" t="s">
        <v>355</v>
      </c>
    </row>
    <row r="20311" ht="16.5" customHeight="1">
      <c r="O20311" s="5" t="s">
        <v>355</v>
      </c>
      <c r="P20311" s="5" t="s">
        <v>355</v>
      </c>
      <c r="Q20311" s="5" t="s">
        <v>355</v>
      </c>
    </row>
    <row r="20312" ht="16.5" customHeight="1">
      <c r="O20312" s="5" t="s">
        <v>355</v>
      </c>
      <c r="P20312" s="5" t="s">
        <v>355</v>
      </c>
      <c r="Q20312" s="5" t="s">
        <v>355</v>
      </c>
    </row>
    <row r="20313" ht="16.5" customHeight="1">
      <c r="O20313" s="5" t="s">
        <v>355</v>
      </c>
      <c r="P20313" s="5" t="s">
        <v>355</v>
      </c>
      <c r="Q20313" s="5" t="s">
        <v>355</v>
      </c>
    </row>
    <row r="20314" ht="16.5" customHeight="1">
      <c r="O20314" s="5" t="s">
        <v>355</v>
      </c>
      <c r="P20314" s="5" t="s">
        <v>355</v>
      </c>
      <c r="Q20314" s="5" t="s">
        <v>355</v>
      </c>
    </row>
    <row r="20315" ht="16.5" customHeight="1">
      <c r="O20315" s="5" t="s">
        <v>355</v>
      </c>
      <c r="P20315" s="5" t="s">
        <v>355</v>
      </c>
      <c r="Q20315" s="5" t="s">
        <v>355</v>
      </c>
    </row>
    <row r="20316" ht="16.5" customHeight="1">
      <c r="O20316" s="5" t="s">
        <v>355</v>
      </c>
      <c r="P20316" s="5" t="s">
        <v>355</v>
      </c>
      <c r="Q20316" s="5" t="s">
        <v>355</v>
      </c>
    </row>
    <row r="20317" ht="16.5" customHeight="1">
      <c r="O20317" s="5" t="s">
        <v>355</v>
      </c>
      <c r="P20317" s="5" t="s">
        <v>355</v>
      </c>
      <c r="Q20317" s="5" t="s">
        <v>355</v>
      </c>
    </row>
    <row r="20318" ht="16.5" customHeight="1">
      <c r="O20318" s="5" t="s">
        <v>355</v>
      </c>
      <c r="P20318" s="5" t="s">
        <v>355</v>
      </c>
      <c r="Q20318" s="5" t="s">
        <v>355</v>
      </c>
    </row>
    <row r="20319" ht="16.5" customHeight="1">
      <c r="O20319" s="5" t="s">
        <v>355</v>
      </c>
      <c r="P20319" s="5" t="s">
        <v>355</v>
      </c>
      <c r="Q20319" s="5" t="s">
        <v>355</v>
      </c>
    </row>
    <row r="20320" ht="16.5" customHeight="1">
      <c r="O20320" s="5" t="s">
        <v>355</v>
      </c>
      <c r="P20320" s="5" t="s">
        <v>355</v>
      </c>
      <c r="Q20320" s="5" t="s">
        <v>355</v>
      </c>
    </row>
    <row r="20321" ht="16.5" customHeight="1">
      <c r="O20321" s="5" t="s">
        <v>355</v>
      </c>
      <c r="P20321" s="5" t="s">
        <v>355</v>
      </c>
      <c r="Q20321" s="5" t="s">
        <v>355</v>
      </c>
    </row>
    <row r="20322" ht="16.5" customHeight="1">
      <c r="O20322" s="5" t="s">
        <v>355</v>
      </c>
      <c r="P20322" s="5" t="s">
        <v>355</v>
      </c>
      <c r="Q20322" s="5" t="s">
        <v>355</v>
      </c>
    </row>
    <row r="20323" ht="16.5" customHeight="1">
      <c r="O20323" s="5" t="s">
        <v>355</v>
      </c>
      <c r="P20323" s="5" t="s">
        <v>355</v>
      </c>
      <c r="Q20323" s="5" t="s">
        <v>355</v>
      </c>
    </row>
    <row r="20324" ht="16.5" customHeight="1">
      <c r="O20324" s="5" t="s">
        <v>355</v>
      </c>
      <c r="P20324" s="5" t="s">
        <v>355</v>
      </c>
      <c r="Q20324" s="5" t="s">
        <v>355</v>
      </c>
    </row>
    <row r="20325" ht="16.5" customHeight="1">
      <c r="O20325" s="5" t="s">
        <v>355</v>
      </c>
      <c r="P20325" s="5" t="s">
        <v>355</v>
      </c>
      <c r="Q20325" s="5" t="s">
        <v>355</v>
      </c>
    </row>
    <row r="20326" ht="16.5" customHeight="1">
      <c r="O20326" s="5" t="s">
        <v>355</v>
      </c>
      <c r="P20326" s="5" t="s">
        <v>355</v>
      </c>
      <c r="Q20326" s="5" t="s">
        <v>355</v>
      </c>
    </row>
    <row r="20327" ht="16.5" customHeight="1">
      <c r="O20327" s="5" t="s">
        <v>355</v>
      </c>
      <c r="P20327" s="5" t="s">
        <v>355</v>
      </c>
      <c r="Q20327" s="5" t="s">
        <v>355</v>
      </c>
    </row>
    <row r="20328" ht="16.5" customHeight="1">
      <c r="O20328" s="5" t="s">
        <v>355</v>
      </c>
      <c r="P20328" s="5" t="s">
        <v>355</v>
      </c>
      <c r="Q20328" s="5" t="s">
        <v>355</v>
      </c>
    </row>
    <row r="20329" ht="16.5" customHeight="1">
      <c r="O20329" s="5" t="s">
        <v>355</v>
      </c>
      <c r="P20329" s="5" t="s">
        <v>355</v>
      </c>
      <c r="Q20329" s="5" t="s">
        <v>355</v>
      </c>
    </row>
    <row r="20330" ht="16.5" customHeight="1">
      <c r="O20330" s="5" t="s">
        <v>355</v>
      </c>
      <c r="P20330" s="5" t="s">
        <v>355</v>
      </c>
      <c r="Q20330" s="5" t="s">
        <v>355</v>
      </c>
    </row>
    <row r="20331" ht="16.5" customHeight="1">
      <c r="O20331" s="5" t="s">
        <v>355</v>
      </c>
      <c r="P20331" s="5" t="s">
        <v>355</v>
      </c>
      <c r="Q20331" s="5" t="s">
        <v>355</v>
      </c>
    </row>
    <row r="20332" ht="16.5" customHeight="1">
      <c r="O20332" s="5" t="s">
        <v>355</v>
      </c>
      <c r="P20332" s="5" t="s">
        <v>355</v>
      </c>
      <c r="Q20332" s="5" t="s">
        <v>355</v>
      </c>
    </row>
    <row r="20333" ht="16.5" customHeight="1">
      <c r="O20333" s="5" t="s">
        <v>355</v>
      </c>
      <c r="P20333" s="5" t="s">
        <v>355</v>
      </c>
      <c r="Q20333" s="5" t="s">
        <v>355</v>
      </c>
    </row>
    <row r="20334" ht="16.5" customHeight="1">
      <c r="O20334" s="5" t="s">
        <v>355</v>
      </c>
      <c r="P20334" s="5" t="s">
        <v>355</v>
      </c>
      <c r="Q20334" s="5" t="s">
        <v>355</v>
      </c>
    </row>
    <row r="20335" ht="16.5" customHeight="1">
      <c r="O20335" s="5" t="s">
        <v>355</v>
      </c>
      <c r="P20335" s="5" t="s">
        <v>355</v>
      </c>
      <c r="Q20335" s="5" t="s">
        <v>355</v>
      </c>
    </row>
    <row r="20336" ht="16.5" customHeight="1">
      <c r="O20336" s="5" t="s">
        <v>355</v>
      </c>
      <c r="P20336" s="5" t="s">
        <v>355</v>
      </c>
      <c r="Q20336" s="5" t="s">
        <v>355</v>
      </c>
    </row>
    <row r="20337" ht="16.5" customHeight="1">
      <c r="O20337" s="5" t="s">
        <v>355</v>
      </c>
      <c r="P20337" s="5" t="s">
        <v>355</v>
      </c>
      <c r="Q20337" s="5" t="s">
        <v>355</v>
      </c>
    </row>
    <row r="20338" ht="16.5" customHeight="1">
      <c r="O20338" s="5" t="s">
        <v>355</v>
      </c>
      <c r="P20338" s="5" t="s">
        <v>355</v>
      </c>
      <c r="Q20338" s="5" t="s">
        <v>355</v>
      </c>
    </row>
    <row r="20339" ht="16.5" customHeight="1">
      <c r="O20339" s="5" t="s">
        <v>355</v>
      </c>
      <c r="P20339" s="5" t="s">
        <v>355</v>
      </c>
      <c r="Q20339" s="5" t="s">
        <v>355</v>
      </c>
    </row>
    <row r="20340" ht="16.5" customHeight="1">
      <c r="O20340" s="5" t="s">
        <v>355</v>
      </c>
      <c r="P20340" s="5" t="s">
        <v>355</v>
      </c>
      <c r="Q20340" s="5" t="s">
        <v>355</v>
      </c>
    </row>
    <row r="20341" ht="16.5" customHeight="1">
      <c r="O20341" s="5" t="s">
        <v>355</v>
      </c>
      <c r="P20341" s="5" t="s">
        <v>355</v>
      </c>
      <c r="Q20341" s="5" t="s">
        <v>355</v>
      </c>
    </row>
    <row r="20342" ht="16.5" customHeight="1">
      <c r="O20342" s="5" t="s">
        <v>355</v>
      </c>
      <c r="P20342" s="5" t="s">
        <v>355</v>
      </c>
      <c r="Q20342" s="5" t="s">
        <v>355</v>
      </c>
    </row>
    <row r="20343" ht="16.5" customHeight="1">
      <c r="O20343" s="5" t="s">
        <v>355</v>
      </c>
      <c r="P20343" s="5" t="s">
        <v>355</v>
      </c>
      <c r="Q20343" s="5" t="s">
        <v>355</v>
      </c>
    </row>
    <row r="20344" ht="16.5" customHeight="1">
      <c r="O20344" s="5" t="s">
        <v>355</v>
      </c>
      <c r="P20344" s="5" t="s">
        <v>355</v>
      </c>
      <c r="Q20344" s="5" t="s">
        <v>355</v>
      </c>
    </row>
    <row r="20345" ht="16.5" customHeight="1">
      <c r="O20345" s="5" t="s">
        <v>355</v>
      </c>
      <c r="P20345" s="5" t="s">
        <v>355</v>
      </c>
      <c r="Q20345" s="5" t="s">
        <v>355</v>
      </c>
    </row>
    <row r="20346" ht="16.5" customHeight="1">
      <c r="O20346" s="5" t="s">
        <v>355</v>
      </c>
      <c r="P20346" s="5" t="s">
        <v>355</v>
      </c>
      <c r="Q20346" s="5" t="s">
        <v>355</v>
      </c>
    </row>
    <row r="20347" ht="16.5" customHeight="1">
      <c r="O20347" s="5" t="s">
        <v>355</v>
      </c>
      <c r="P20347" s="5" t="s">
        <v>355</v>
      </c>
      <c r="Q20347" s="5" t="s">
        <v>355</v>
      </c>
    </row>
    <row r="20348" ht="16.5" customHeight="1">
      <c r="O20348" s="5" t="s">
        <v>355</v>
      </c>
      <c r="P20348" s="5" t="s">
        <v>355</v>
      </c>
      <c r="Q20348" s="5" t="s">
        <v>355</v>
      </c>
    </row>
    <row r="20349" ht="16.5" customHeight="1">
      <c r="O20349" s="5" t="s">
        <v>355</v>
      </c>
      <c r="P20349" s="5" t="s">
        <v>355</v>
      </c>
      <c r="Q20349" s="5" t="s">
        <v>355</v>
      </c>
    </row>
    <row r="20350" ht="16.5" customHeight="1">
      <c r="O20350" s="5" t="s">
        <v>355</v>
      </c>
      <c r="P20350" s="5" t="s">
        <v>355</v>
      </c>
      <c r="Q20350" s="5" t="s">
        <v>355</v>
      </c>
    </row>
    <row r="20351" ht="16.5" customHeight="1">
      <c r="O20351" s="5" t="s">
        <v>355</v>
      </c>
      <c r="P20351" s="5" t="s">
        <v>355</v>
      </c>
      <c r="Q20351" s="5" t="s">
        <v>355</v>
      </c>
    </row>
    <row r="20352" ht="16.5" customHeight="1">
      <c r="O20352" s="5" t="s">
        <v>355</v>
      </c>
      <c r="P20352" s="5" t="s">
        <v>355</v>
      </c>
      <c r="Q20352" s="5" t="s">
        <v>355</v>
      </c>
    </row>
    <row r="20353" ht="16.5" customHeight="1">
      <c r="O20353" s="5" t="s">
        <v>355</v>
      </c>
      <c r="P20353" s="5" t="s">
        <v>355</v>
      </c>
      <c r="Q20353" s="5" t="s">
        <v>355</v>
      </c>
    </row>
    <row r="20354" ht="16.5" customHeight="1">
      <c r="O20354" s="5" t="s">
        <v>355</v>
      </c>
      <c r="P20354" s="5" t="s">
        <v>355</v>
      </c>
      <c r="Q20354" s="5" t="s">
        <v>355</v>
      </c>
    </row>
    <row r="20355" ht="16.5" customHeight="1">
      <c r="O20355" s="5" t="s">
        <v>355</v>
      </c>
      <c r="P20355" s="5" t="s">
        <v>355</v>
      </c>
      <c r="Q20355" s="5" t="s">
        <v>355</v>
      </c>
    </row>
    <row r="20356" ht="16.5" customHeight="1">
      <c r="O20356" s="5" t="s">
        <v>355</v>
      </c>
      <c r="P20356" s="5" t="s">
        <v>355</v>
      </c>
      <c r="Q20356" s="5" t="s">
        <v>355</v>
      </c>
    </row>
    <row r="20357" ht="16.5" customHeight="1">
      <c r="O20357" s="5" t="s">
        <v>355</v>
      </c>
      <c r="P20357" s="5" t="s">
        <v>355</v>
      </c>
      <c r="Q20357" s="5" t="s">
        <v>355</v>
      </c>
    </row>
    <row r="20358" ht="16.5" customHeight="1">
      <c r="O20358" s="5" t="s">
        <v>355</v>
      </c>
      <c r="P20358" s="5" t="s">
        <v>355</v>
      </c>
      <c r="Q20358" s="5" t="s">
        <v>355</v>
      </c>
    </row>
    <row r="20359" ht="16.5" customHeight="1">
      <c r="O20359" s="5" t="s">
        <v>355</v>
      </c>
      <c r="P20359" s="5" t="s">
        <v>355</v>
      </c>
      <c r="Q20359" s="5" t="s">
        <v>355</v>
      </c>
    </row>
    <row r="20360" ht="16.5" customHeight="1">
      <c r="O20360" s="5" t="s">
        <v>355</v>
      </c>
      <c r="P20360" s="5" t="s">
        <v>355</v>
      </c>
      <c r="Q20360" s="5" t="s">
        <v>355</v>
      </c>
    </row>
    <row r="20361" ht="16.5" customHeight="1">
      <c r="O20361" s="5" t="s">
        <v>355</v>
      </c>
      <c r="P20361" s="5" t="s">
        <v>355</v>
      </c>
      <c r="Q20361" s="5" t="s">
        <v>355</v>
      </c>
    </row>
    <row r="20362" ht="16.5" customHeight="1">
      <c r="O20362" s="5" t="s">
        <v>355</v>
      </c>
      <c r="P20362" s="5" t="s">
        <v>355</v>
      </c>
      <c r="Q20362" s="5" t="s">
        <v>355</v>
      </c>
    </row>
    <row r="20363" ht="16.5" customHeight="1">
      <c r="O20363" s="5" t="s">
        <v>355</v>
      </c>
      <c r="P20363" s="5" t="s">
        <v>355</v>
      </c>
      <c r="Q20363" s="5" t="s">
        <v>355</v>
      </c>
    </row>
    <row r="20364" ht="16.5" customHeight="1">
      <c r="O20364" s="5" t="s">
        <v>355</v>
      </c>
      <c r="P20364" s="5" t="s">
        <v>355</v>
      </c>
      <c r="Q20364" s="5" t="s">
        <v>355</v>
      </c>
    </row>
    <row r="20365" ht="16.5" customHeight="1">
      <c r="O20365" s="5" t="s">
        <v>355</v>
      </c>
      <c r="P20365" s="5" t="s">
        <v>355</v>
      </c>
      <c r="Q20365" s="5" t="s">
        <v>355</v>
      </c>
    </row>
    <row r="20366" ht="16.5" customHeight="1">
      <c r="O20366" s="5" t="s">
        <v>355</v>
      </c>
      <c r="P20366" s="5" t="s">
        <v>355</v>
      </c>
      <c r="Q20366" s="5" t="s">
        <v>355</v>
      </c>
    </row>
    <row r="20367" ht="16.5" customHeight="1">
      <c r="O20367" s="5" t="s">
        <v>355</v>
      </c>
      <c r="P20367" s="5" t="s">
        <v>355</v>
      </c>
      <c r="Q20367" s="5" t="s">
        <v>355</v>
      </c>
    </row>
    <row r="20368" ht="16.5" customHeight="1">
      <c r="O20368" s="5" t="s">
        <v>355</v>
      </c>
      <c r="P20368" s="5" t="s">
        <v>355</v>
      </c>
      <c r="Q20368" s="5" t="s">
        <v>355</v>
      </c>
    </row>
    <row r="20369" ht="16.5" customHeight="1">
      <c r="O20369" s="5" t="s">
        <v>355</v>
      </c>
      <c r="P20369" s="5" t="s">
        <v>355</v>
      </c>
      <c r="Q20369" s="5" t="s">
        <v>355</v>
      </c>
    </row>
    <row r="20370" ht="16.5" customHeight="1">
      <c r="O20370" s="5" t="s">
        <v>355</v>
      </c>
      <c r="P20370" s="5" t="s">
        <v>355</v>
      </c>
      <c r="Q20370" s="5" t="s">
        <v>355</v>
      </c>
    </row>
    <row r="20371" ht="16.5" customHeight="1">
      <c r="O20371" s="5" t="s">
        <v>355</v>
      </c>
      <c r="P20371" s="5" t="s">
        <v>355</v>
      </c>
      <c r="Q20371" s="5" t="s">
        <v>355</v>
      </c>
    </row>
    <row r="20372" ht="16.5" customHeight="1">
      <c r="O20372" s="5" t="s">
        <v>355</v>
      </c>
      <c r="P20372" s="5" t="s">
        <v>355</v>
      </c>
      <c r="Q20372" s="5" t="s">
        <v>355</v>
      </c>
    </row>
    <row r="20373" ht="16.5" customHeight="1">
      <c r="O20373" s="5" t="s">
        <v>355</v>
      </c>
      <c r="P20373" s="5" t="s">
        <v>355</v>
      </c>
      <c r="Q20373" s="5" t="s">
        <v>355</v>
      </c>
    </row>
    <row r="20374" ht="16.5" customHeight="1">
      <c r="O20374" s="5" t="s">
        <v>355</v>
      </c>
      <c r="P20374" s="5" t="s">
        <v>355</v>
      </c>
      <c r="Q20374" s="5" t="s">
        <v>355</v>
      </c>
    </row>
    <row r="20375" ht="16.5" customHeight="1">
      <c r="O20375" s="5" t="s">
        <v>355</v>
      </c>
      <c r="P20375" s="5" t="s">
        <v>355</v>
      </c>
      <c r="Q20375" s="5" t="s">
        <v>355</v>
      </c>
    </row>
    <row r="20376" ht="16.5" customHeight="1">
      <c r="O20376" s="5" t="s">
        <v>355</v>
      </c>
      <c r="P20376" s="5" t="s">
        <v>355</v>
      </c>
      <c r="Q20376" s="5" t="s">
        <v>355</v>
      </c>
    </row>
    <row r="20377" ht="16.5" customHeight="1">
      <c r="O20377" s="5" t="s">
        <v>355</v>
      </c>
      <c r="P20377" s="5" t="s">
        <v>355</v>
      </c>
      <c r="Q20377" s="5" t="s">
        <v>355</v>
      </c>
    </row>
    <row r="20378" ht="16.5" customHeight="1">
      <c r="O20378" s="5" t="s">
        <v>355</v>
      </c>
      <c r="P20378" s="5" t="s">
        <v>355</v>
      </c>
      <c r="Q20378" s="5" t="s">
        <v>355</v>
      </c>
    </row>
    <row r="20379" ht="16.5" customHeight="1">
      <c r="O20379" s="5" t="s">
        <v>355</v>
      </c>
      <c r="P20379" s="5" t="s">
        <v>355</v>
      </c>
      <c r="Q20379" s="5" t="s">
        <v>355</v>
      </c>
    </row>
    <row r="20380" ht="16.5" customHeight="1">
      <c r="O20380" s="5" t="s">
        <v>355</v>
      </c>
      <c r="P20380" s="5" t="s">
        <v>355</v>
      </c>
      <c r="Q20380" s="5" t="s">
        <v>355</v>
      </c>
    </row>
    <row r="20381" ht="16.5" customHeight="1">
      <c r="O20381" s="5" t="s">
        <v>355</v>
      </c>
      <c r="P20381" s="5" t="s">
        <v>355</v>
      </c>
      <c r="Q20381" s="5" t="s">
        <v>355</v>
      </c>
    </row>
    <row r="20382" ht="16.5" customHeight="1">
      <c r="O20382" s="5" t="s">
        <v>355</v>
      </c>
      <c r="P20382" s="5" t="s">
        <v>355</v>
      </c>
      <c r="Q20382" s="5" t="s">
        <v>355</v>
      </c>
    </row>
    <row r="20383" ht="16.5" customHeight="1">
      <c r="O20383" s="5" t="s">
        <v>355</v>
      </c>
      <c r="P20383" s="5" t="s">
        <v>355</v>
      </c>
      <c r="Q20383" s="5" t="s">
        <v>355</v>
      </c>
    </row>
    <row r="20384" ht="16.5" customHeight="1">
      <c r="O20384" s="5" t="s">
        <v>355</v>
      </c>
      <c r="P20384" s="5" t="s">
        <v>355</v>
      </c>
      <c r="Q20384" s="5" t="s">
        <v>355</v>
      </c>
    </row>
    <row r="20385" ht="16.5" customHeight="1">
      <c r="O20385" s="5" t="s">
        <v>355</v>
      </c>
      <c r="P20385" s="5" t="s">
        <v>355</v>
      </c>
      <c r="Q20385" s="5" t="s">
        <v>355</v>
      </c>
    </row>
    <row r="20386" ht="16.5" customHeight="1">
      <c r="O20386" s="5" t="s">
        <v>355</v>
      </c>
      <c r="P20386" s="5" t="s">
        <v>355</v>
      </c>
      <c r="Q20386" s="5" t="s">
        <v>355</v>
      </c>
    </row>
    <row r="20387" ht="16.5" customHeight="1">
      <c r="O20387" s="5" t="s">
        <v>355</v>
      </c>
      <c r="P20387" s="5" t="s">
        <v>355</v>
      </c>
      <c r="Q20387" s="5" t="s">
        <v>355</v>
      </c>
    </row>
    <row r="20388" ht="16.5" customHeight="1">
      <c r="O20388" s="5" t="s">
        <v>355</v>
      </c>
      <c r="P20388" s="5" t="s">
        <v>355</v>
      </c>
      <c r="Q20388" s="5" t="s">
        <v>355</v>
      </c>
    </row>
    <row r="20389" ht="16.5" customHeight="1">
      <c r="O20389" s="5" t="s">
        <v>355</v>
      </c>
      <c r="P20389" s="5" t="s">
        <v>355</v>
      </c>
      <c r="Q20389" s="5" t="s">
        <v>355</v>
      </c>
    </row>
    <row r="20390" ht="16.5" customHeight="1">
      <c r="O20390" s="5" t="s">
        <v>355</v>
      </c>
      <c r="P20390" s="5" t="s">
        <v>355</v>
      </c>
      <c r="Q20390" s="5" t="s">
        <v>355</v>
      </c>
    </row>
    <row r="20391" ht="16.5" customHeight="1">
      <c r="O20391" s="5" t="s">
        <v>355</v>
      </c>
      <c r="P20391" s="5" t="s">
        <v>355</v>
      </c>
      <c r="Q20391" s="5" t="s">
        <v>355</v>
      </c>
    </row>
    <row r="20392" ht="16.5" customHeight="1">
      <c r="O20392" s="5" t="s">
        <v>355</v>
      </c>
      <c r="P20392" s="5" t="s">
        <v>355</v>
      </c>
      <c r="Q20392" s="5" t="s">
        <v>355</v>
      </c>
    </row>
    <row r="20393" ht="16.5" customHeight="1">
      <c r="O20393" s="5" t="s">
        <v>355</v>
      </c>
      <c r="P20393" s="5" t="s">
        <v>355</v>
      </c>
      <c r="Q20393" s="5" t="s">
        <v>355</v>
      </c>
    </row>
    <row r="20394" ht="16.5" customHeight="1">
      <c r="O20394" s="5" t="s">
        <v>355</v>
      </c>
      <c r="P20394" s="5" t="s">
        <v>355</v>
      </c>
      <c r="Q20394" s="5" t="s">
        <v>355</v>
      </c>
    </row>
    <row r="20395" ht="16.5" customHeight="1">
      <c r="O20395" s="5" t="s">
        <v>355</v>
      </c>
      <c r="P20395" s="5" t="s">
        <v>355</v>
      </c>
      <c r="Q20395" s="5" t="s">
        <v>355</v>
      </c>
    </row>
    <row r="20396" ht="16.5" customHeight="1">
      <c r="O20396" s="5" t="s">
        <v>355</v>
      </c>
      <c r="P20396" s="5" t="s">
        <v>355</v>
      </c>
      <c r="Q20396" s="5" t="s">
        <v>355</v>
      </c>
    </row>
    <row r="20397" ht="16.5" customHeight="1">
      <c r="O20397" s="5" t="s">
        <v>355</v>
      </c>
      <c r="P20397" s="5" t="s">
        <v>355</v>
      </c>
      <c r="Q20397" s="5" t="s">
        <v>355</v>
      </c>
    </row>
    <row r="20398" ht="16.5" customHeight="1">
      <c r="O20398" s="5" t="s">
        <v>355</v>
      </c>
      <c r="P20398" s="5" t="s">
        <v>355</v>
      </c>
      <c r="Q20398" s="5" t="s">
        <v>355</v>
      </c>
    </row>
    <row r="20399" ht="16.5" customHeight="1">
      <c r="O20399" s="5" t="s">
        <v>355</v>
      </c>
      <c r="P20399" s="5" t="s">
        <v>355</v>
      </c>
      <c r="Q20399" s="5" t="s">
        <v>355</v>
      </c>
    </row>
    <row r="20400" ht="16.5" customHeight="1">
      <c r="O20400" s="5" t="s">
        <v>355</v>
      </c>
      <c r="P20400" s="5" t="s">
        <v>355</v>
      </c>
      <c r="Q20400" s="5" t="s">
        <v>355</v>
      </c>
    </row>
    <row r="20401" ht="16.5" customHeight="1">
      <c r="O20401" s="5" t="s">
        <v>355</v>
      </c>
      <c r="P20401" s="5" t="s">
        <v>355</v>
      </c>
      <c r="Q20401" s="5" t="s">
        <v>355</v>
      </c>
    </row>
    <row r="20402" ht="16.5" customHeight="1">
      <c r="O20402" s="5" t="s">
        <v>355</v>
      </c>
      <c r="P20402" s="5" t="s">
        <v>355</v>
      </c>
      <c r="Q20402" s="5" t="s">
        <v>355</v>
      </c>
    </row>
    <row r="20403" ht="16.5" customHeight="1">
      <c r="O20403" s="5" t="s">
        <v>355</v>
      </c>
      <c r="P20403" s="5" t="s">
        <v>355</v>
      </c>
      <c r="Q20403" s="5" t="s">
        <v>355</v>
      </c>
    </row>
    <row r="20404" ht="16.5" customHeight="1">
      <c r="O20404" s="5" t="s">
        <v>355</v>
      </c>
      <c r="P20404" s="5" t="s">
        <v>355</v>
      </c>
      <c r="Q20404" s="5" t="s">
        <v>355</v>
      </c>
    </row>
    <row r="20405" ht="16.5" customHeight="1">
      <c r="O20405" s="5" t="s">
        <v>355</v>
      </c>
      <c r="P20405" s="5" t="s">
        <v>355</v>
      </c>
      <c r="Q20405" s="5" t="s">
        <v>355</v>
      </c>
    </row>
    <row r="20406" ht="16.5" customHeight="1">
      <c r="O20406" s="5" t="s">
        <v>355</v>
      </c>
      <c r="P20406" s="5" t="s">
        <v>355</v>
      </c>
      <c r="Q20406" s="5" t="s">
        <v>355</v>
      </c>
    </row>
    <row r="20407" ht="16.5" customHeight="1">
      <c r="O20407" s="5" t="s">
        <v>355</v>
      </c>
      <c r="P20407" s="5" t="s">
        <v>355</v>
      </c>
      <c r="Q20407" s="5" t="s">
        <v>355</v>
      </c>
    </row>
    <row r="20408" ht="16.5" customHeight="1">
      <c r="O20408" s="5" t="s">
        <v>355</v>
      </c>
      <c r="P20408" s="5" t="s">
        <v>355</v>
      </c>
      <c r="Q20408" s="5" t="s">
        <v>355</v>
      </c>
    </row>
    <row r="20409" ht="16.5" customHeight="1">
      <c r="O20409" s="5" t="s">
        <v>355</v>
      </c>
      <c r="P20409" s="5" t="s">
        <v>355</v>
      </c>
      <c r="Q20409" s="5" t="s">
        <v>355</v>
      </c>
    </row>
    <row r="20410" ht="16.5" customHeight="1">
      <c r="O20410" s="5" t="s">
        <v>355</v>
      </c>
      <c r="P20410" s="5" t="s">
        <v>355</v>
      </c>
      <c r="Q20410" s="5" t="s">
        <v>355</v>
      </c>
    </row>
    <row r="20411" ht="16.5" customHeight="1">
      <c r="O20411" s="5" t="s">
        <v>355</v>
      </c>
      <c r="P20411" s="5" t="s">
        <v>355</v>
      </c>
      <c r="Q20411" s="5" t="s">
        <v>355</v>
      </c>
    </row>
    <row r="20412" ht="16.5" customHeight="1">
      <c r="O20412" s="5" t="s">
        <v>355</v>
      </c>
      <c r="P20412" s="5" t="s">
        <v>355</v>
      </c>
      <c r="Q20412" s="5" t="s">
        <v>355</v>
      </c>
    </row>
    <row r="20413" ht="16.5" customHeight="1">
      <c r="O20413" s="5" t="s">
        <v>355</v>
      </c>
      <c r="P20413" s="5" t="s">
        <v>355</v>
      </c>
      <c r="Q20413" s="5" t="s">
        <v>355</v>
      </c>
    </row>
    <row r="20414" ht="16.5" customHeight="1">
      <c r="O20414" s="5" t="s">
        <v>355</v>
      </c>
      <c r="P20414" s="5" t="s">
        <v>355</v>
      </c>
      <c r="Q20414" s="5" t="s">
        <v>355</v>
      </c>
    </row>
    <row r="20415" ht="16.5" customHeight="1">
      <c r="O20415" s="5" t="s">
        <v>355</v>
      </c>
      <c r="P20415" s="5" t="s">
        <v>355</v>
      </c>
      <c r="Q20415" s="5" t="s">
        <v>355</v>
      </c>
    </row>
    <row r="20416" ht="16.5" customHeight="1">
      <c r="O20416" s="5" t="s">
        <v>355</v>
      </c>
      <c r="P20416" s="5" t="s">
        <v>355</v>
      </c>
      <c r="Q20416" s="5" t="s">
        <v>355</v>
      </c>
    </row>
    <row r="20417" ht="16.5" customHeight="1">
      <c r="O20417" s="5" t="s">
        <v>355</v>
      </c>
      <c r="P20417" s="5" t="s">
        <v>355</v>
      </c>
      <c r="Q20417" s="5" t="s">
        <v>355</v>
      </c>
    </row>
    <row r="20418" ht="16.5" customHeight="1">
      <c r="O20418" s="5" t="s">
        <v>355</v>
      </c>
      <c r="P20418" s="5" t="s">
        <v>355</v>
      </c>
      <c r="Q20418" s="5" t="s">
        <v>355</v>
      </c>
    </row>
    <row r="20419" ht="16.5" customHeight="1">
      <c r="O20419" s="5" t="s">
        <v>355</v>
      </c>
      <c r="P20419" s="5" t="s">
        <v>355</v>
      </c>
      <c r="Q20419" s="5" t="s">
        <v>355</v>
      </c>
    </row>
    <row r="20420" ht="16.5" customHeight="1">
      <c r="O20420" s="5" t="s">
        <v>355</v>
      </c>
      <c r="P20420" s="5" t="s">
        <v>355</v>
      </c>
      <c r="Q20420" s="5" t="s">
        <v>355</v>
      </c>
    </row>
    <row r="20421" ht="16.5" customHeight="1">
      <c r="O20421" s="5" t="s">
        <v>355</v>
      </c>
      <c r="P20421" s="5" t="s">
        <v>355</v>
      </c>
      <c r="Q20421" s="5" t="s">
        <v>355</v>
      </c>
    </row>
    <row r="20422" ht="16.5" customHeight="1">
      <c r="O20422" s="5" t="s">
        <v>355</v>
      </c>
      <c r="P20422" s="5" t="s">
        <v>355</v>
      </c>
      <c r="Q20422" s="5" t="s">
        <v>355</v>
      </c>
    </row>
    <row r="20423" ht="16.5" customHeight="1">
      <c r="O20423" s="5" t="s">
        <v>355</v>
      </c>
      <c r="P20423" s="5" t="s">
        <v>355</v>
      </c>
      <c r="Q20423" s="5" t="s">
        <v>355</v>
      </c>
    </row>
    <row r="20424" ht="16.5" customHeight="1">
      <c r="O20424" s="5" t="s">
        <v>355</v>
      </c>
      <c r="P20424" s="5" t="s">
        <v>355</v>
      </c>
      <c r="Q20424" s="5" t="s">
        <v>355</v>
      </c>
    </row>
    <row r="20425" ht="16.5" customHeight="1">
      <c r="O20425" s="5" t="s">
        <v>355</v>
      </c>
      <c r="P20425" s="5" t="s">
        <v>355</v>
      </c>
      <c r="Q20425" s="5" t="s">
        <v>355</v>
      </c>
    </row>
    <row r="20426" ht="16.5" customHeight="1">
      <c r="O20426" s="5" t="s">
        <v>355</v>
      </c>
      <c r="P20426" s="5" t="s">
        <v>355</v>
      </c>
      <c r="Q20426" s="5" t="s">
        <v>355</v>
      </c>
    </row>
    <row r="20427" ht="16.5" customHeight="1">
      <c r="O20427" s="5" t="s">
        <v>355</v>
      </c>
      <c r="P20427" s="5" t="s">
        <v>355</v>
      </c>
      <c r="Q20427" s="5" t="s">
        <v>355</v>
      </c>
    </row>
    <row r="20428" ht="16.5" customHeight="1">
      <c r="O20428" s="5" t="s">
        <v>355</v>
      </c>
      <c r="P20428" s="5" t="s">
        <v>355</v>
      </c>
      <c r="Q20428" s="5" t="s">
        <v>355</v>
      </c>
    </row>
    <row r="20429" ht="16.5" customHeight="1">
      <c r="O20429" s="5" t="s">
        <v>355</v>
      </c>
      <c r="P20429" s="5" t="s">
        <v>355</v>
      </c>
      <c r="Q20429" s="5" t="s">
        <v>355</v>
      </c>
    </row>
    <row r="20430" ht="16.5" customHeight="1">
      <c r="O20430" s="5" t="s">
        <v>355</v>
      </c>
      <c r="P20430" s="5" t="s">
        <v>355</v>
      </c>
      <c r="Q20430" s="5" t="s">
        <v>355</v>
      </c>
    </row>
    <row r="20431" ht="16.5" customHeight="1">
      <c r="O20431" s="5" t="s">
        <v>355</v>
      </c>
      <c r="P20431" s="5" t="s">
        <v>355</v>
      </c>
      <c r="Q20431" s="5" t="s">
        <v>355</v>
      </c>
    </row>
    <row r="20432" ht="16.5" customHeight="1">
      <c r="O20432" s="5" t="s">
        <v>355</v>
      </c>
      <c r="P20432" s="5" t="s">
        <v>355</v>
      </c>
      <c r="Q20432" s="5" t="s">
        <v>355</v>
      </c>
    </row>
    <row r="20433" ht="16.5" customHeight="1">
      <c r="O20433" s="5" t="s">
        <v>355</v>
      </c>
      <c r="P20433" s="5" t="s">
        <v>355</v>
      </c>
      <c r="Q20433" s="5" t="s">
        <v>355</v>
      </c>
    </row>
    <row r="20434" ht="16.5" customHeight="1">
      <c r="O20434" s="5" t="s">
        <v>355</v>
      </c>
      <c r="P20434" s="5" t="s">
        <v>355</v>
      </c>
      <c r="Q20434" s="5" t="s">
        <v>355</v>
      </c>
    </row>
    <row r="20435" ht="16.5" customHeight="1">
      <c r="O20435" s="5" t="s">
        <v>355</v>
      </c>
      <c r="P20435" s="5" t="s">
        <v>355</v>
      </c>
      <c r="Q20435" s="5" t="s">
        <v>355</v>
      </c>
    </row>
    <row r="20436" ht="16.5" customHeight="1">
      <c r="O20436" s="5" t="s">
        <v>355</v>
      </c>
      <c r="P20436" s="5" t="s">
        <v>355</v>
      </c>
      <c r="Q20436" s="5" t="s">
        <v>355</v>
      </c>
    </row>
    <row r="20437" ht="16.5" customHeight="1">
      <c r="O20437" s="5" t="s">
        <v>355</v>
      </c>
      <c r="P20437" s="5" t="s">
        <v>355</v>
      </c>
      <c r="Q20437" s="5" t="s">
        <v>355</v>
      </c>
    </row>
    <row r="20438" ht="16.5" customHeight="1">
      <c r="O20438" s="5" t="s">
        <v>355</v>
      </c>
      <c r="P20438" s="5" t="s">
        <v>355</v>
      </c>
      <c r="Q20438" s="5" t="s">
        <v>355</v>
      </c>
    </row>
    <row r="20439" ht="16.5" customHeight="1">
      <c r="O20439" s="5" t="s">
        <v>355</v>
      </c>
      <c r="P20439" s="5" t="s">
        <v>355</v>
      </c>
      <c r="Q20439" s="5" t="s">
        <v>355</v>
      </c>
    </row>
    <row r="20440" ht="16.5" customHeight="1">
      <c r="O20440" s="5" t="s">
        <v>355</v>
      </c>
      <c r="P20440" s="5" t="s">
        <v>355</v>
      </c>
      <c r="Q20440" s="5" t="s">
        <v>355</v>
      </c>
    </row>
    <row r="20441" ht="16.5" customHeight="1">
      <c r="O20441" s="5" t="s">
        <v>355</v>
      </c>
      <c r="P20441" s="5" t="s">
        <v>355</v>
      </c>
      <c r="Q20441" s="5" t="s">
        <v>355</v>
      </c>
    </row>
    <row r="20442" ht="16.5" customHeight="1">
      <c r="O20442" s="5" t="s">
        <v>355</v>
      </c>
      <c r="P20442" s="5" t="s">
        <v>355</v>
      </c>
      <c r="Q20442" s="5" t="s">
        <v>355</v>
      </c>
    </row>
    <row r="20443" ht="16.5" customHeight="1">
      <c r="O20443" s="5" t="s">
        <v>355</v>
      </c>
      <c r="P20443" s="5" t="s">
        <v>355</v>
      </c>
      <c r="Q20443" s="5" t="s">
        <v>355</v>
      </c>
    </row>
    <row r="20444" ht="16.5" customHeight="1">
      <c r="O20444" s="5" t="s">
        <v>355</v>
      </c>
      <c r="P20444" s="5" t="s">
        <v>355</v>
      </c>
      <c r="Q20444" s="5" t="s">
        <v>355</v>
      </c>
    </row>
    <row r="20445" ht="16.5" customHeight="1">
      <c r="O20445" s="5" t="s">
        <v>355</v>
      </c>
      <c r="P20445" s="5" t="s">
        <v>355</v>
      </c>
      <c r="Q20445" s="5" t="s">
        <v>355</v>
      </c>
    </row>
    <row r="20446" ht="16.5" customHeight="1">
      <c r="O20446" s="5" t="s">
        <v>355</v>
      </c>
      <c r="P20446" s="5" t="s">
        <v>355</v>
      </c>
      <c r="Q20446" s="5" t="s">
        <v>355</v>
      </c>
    </row>
    <row r="20447" ht="16.5" customHeight="1">
      <c r="O20447" s="5" t="s">
        <v>355</v>
      </c>
      <c r="P20447" s="5" t="s">
        <v>355</v>
      </c>
      <c r="Q20447" s="5" t="s">
        <v>355</v>
      </c>
    </row>
    <row r="20448" ht="16.5" customHeight="1">
      <c r="O20448" s="5" t="s">
        <v>355</v>
      </c>
      <c r="P20448" s="5" t="s">
        <v>355</v>
      </c>
      <c r="Q20448" s="5" t="s">
        <v>355</v>
      </c>
    </row>
    <row r="20449" ht="16.5" customHeight="1">
      <c r="O20449" s="5" t="s">
        <v>355</v>
      </c>
      <c r="P20449" s="5" t="s">
        <v>355</v>
      </c>
      <c r="Q20449" s="5" t="s">
        <v>355</v>
      </c>
    </row>
    <row r="20450" ht="16.5" customHeight="1">
      <c r="O20450" s="5" t="s">
        <v>355</v>
      </c>
      <c r="P20450" s="5" t="s">
        <v>355</v>
      </c>
      <c r="Q20450" s="5" t="s">
        <v>355</v>
      </c>
    </row>
    <row r="20451" ht="16.5" customHeight="1">
      <c r="O20451" s="5" t="s">
        <v>355</v>
      </c>
      <c r="P20451" s="5" t="s">
        <v>355</v>
      </c>
      <c r="Q20451" s="5" t="s">
        <v>355</v>
      </c>
    </row>
    <row r="20452" ht="16.5" customHeight="1">
      <c r="O20452" s="5" t="s">
        <v>355</v>
      </c>
      <c r="P20452" s="5" t="s">
        <v>355</v>
      </c>
      <c r="Q20452" s="5" t="s">
        <v>355</v>
      </c>
    </row>
    <row r="20453" ht="16.5" customHeight="1">
      <c r="O20453" s="5" t="s">
        <v>355</v>
      </c>
      <c r="P20453" s="5" t="s">
        <v>355</v>
      </c>
      <c r="Q20453" s="5" t="s">
        <v>355</v>
      </c>
    </row>
    <row r="20454" ht="16.5" customHeight="1">
      <c r="O20454" s="5" t="s">
        <v>355</v>
      </c>
      <c r="P20454" s="5" t="s">
        <v>355</v>
      </c>
      <c r="Q20454" s="5" t="s">
        <v>355</v>
      </c>
    </row>
    <row r="20455" ht="16.5" customHeight="1">
      <c r="O20455" s="5" t="s">
        <v>355</v>
      </c>
      <c r="P20455" s="5" t="s">
        <v>355</v>
      </c>
      <c r="Q20455" s="5" t="s">
        <v>355</v>
      </c>
    </row>
    <row r="20456" ht="16.5" customHeight="1">
      <c r="O20456" s="5" t="s">
        <v>355</v>
      </c>
      <c r="P20456" s="5" t="s">
        <v>355</v>
      </c>
      <c r="Q20456" s="5" t="s">
        <v>355</v>
      </c>
    </row>
    <row r="20457" ht="16.5" customHeight="1">
      <c r="O20457" s="5" t="s">
        <v>355</v>
      </c>
      <c r="P20457" s="5" t="s">
        <v>355</v>
      </c>
      <c r="Q20457" s="5" t="s">
        <v>355</v>
      </c>
    </row>
    <row r="20458" ht="16.5" customHeight="1">
      <c r="O20458" s="5" t="s">
        <v>355</v>
      </c>
      <c r="P20458" s="5" t="s">
        <v>355</v>
      </c>
      <c r="Q20458" s="5" t="s">
        <v>355</v>
      </c>
    </row>
    <row r="20459" ht="16.5" customHeight="1">
      <c r="O20459" s="5" t="s">
        <v>355</v>
      </c>
      <c r="P20459" s="5" t="s">
        <v>355</v>
      </c>
      <c r="Q20459" s="5" t="s">
        <v>355</v>
      </c>
    </row>
    <row r="20460" ht="16.5" customHeight="1">
      <c r="O20460" s="5" t="s">
        <v>355</v>
      </c>
      <c r="P20460" s="5" t="s">
        <v>355</v>
      </c>
      <c r="Q20460" s="5" t="s">
        <v>355</v>
      </c>
    </row>
    <row r="20461" ht="16.5" customHeight="1">
      <c r="O20461" s="5" t="s">
        <v>355</v>
      </c>
      <c r="P20461" s="5" t="s">
        <v>355</v>
      </c>
      <c r="Q20461" s="5" t="s">
        <v>355</v>
      </c>
    </row>
    <row r="20462" ht="16.5" customHeight="1">
      <c r="O20462" s="5" t="s">
        <v>355</v>
      </c>
      <c r="P20462" s="5" t="s">
        <v>355</v>
      </c>
      <c r="Q20462" s="5" t="s">
        <v>355</v>
      </c>
    </row>
    <row r="20463" ht="16.5" customHeight="1">
      <c r="O20463" s="5" t="s">
        <v>355</v>
      </c>
      <c r="P20463" s="5" t="s">
        <v>355</v>
      </c>
      <c r="Q20463" s="5" t="s">
        <v>355</v>
      </c>
    </row>
    <row r="20464" ht="16.5" customHeight="1">
      <c r="O20464" s="5" t="s">
        <v>355</v>
      </c>
      <c r="P20464" s="5" t="s">
        <v>355</v>
      </c>
      <c r="Q20464" s="5" t="s">
        <v>355</v>
      </c>
    </row>
    <row r="20465" ht="16.5" customHeight="1">
      <c r="O20465" s="5" t="s">
        <v>355</v>
      </c>
      <c r="P20465" s="5" t="s">
        <v>355</v>
      </c>
      <c r="Q20465" s="5" t="s">
        <v>355</v>
      </c>
    </row>
    <row r="20466" ht="16.5" customHeight="1">
      <c r="O20466" s="5" t="s">
        <v>355</v>
      </c>
      <c r="P20466" s="5" t="s">
        <v>355</v>
      </c>
      <c r="Q20466" s="5" t="s">
        <v>355</v>
      </c>
    </row>
    <row r="20467" ht="16.5" customHeight="1">
      <c r="O20467" s="5" t="s">
        <v>355</v>
      </c>
      <c r="P20467" s="5" t="s">
        <v>355</v>
      </c>
      <c r="Q20467" s="5" t="s">
        <v>355</v>
      </c>
    </row>
    <row r="20468" ht="16.5" customHeight="1">
      <c r="O20468" s="5" t="s">
        <v>355</v>
      </c>
      <c r="P20468" s="5" t="s">
        <v>355</v>
      </c>
      <c r="Q20468" s="5" t="s">
        <v>355</v>
      </c>
    </row>
    <row r="20469" ht="16.5" customHeight="1">
      <c r="O20469" s="5" t="s">
        <v>355</v>
      </c>
      <c r="P20469" s="5" t="s">
        <v>355</v>
      </c>
      <c r="Q20469" s="5" t="s">
        <v>355</v>
      </c>
    </row>
    <row r="20470" ht="16.5" customHeight="1">
      <c r="O20470" s="5" t="s">
        <v>355</v>
      </c>
      <c r="P20470" s="5" t="s">
        <v>355</v>
      </c>
      <c r="Q20470" s="5" t="s">
        <v>355</v>
      </c>
    </row>
    <row r="20471" ht="16.5" customHeight="1">
      <c r="O20471" s="5" t="s">
        <v>355</v>
      </c>
      <c r="P20471" s="5" t="s">
        <v>355</v>
      </c>
      <c r="Q20471" s="5" t="s">
        <v>355</v>
      </c>
    </row>
    <row r="20472" ht="16.5" customHeight="1">
      <c r="O20472" s="5" t="s">
        <v>355</v>
      </c>
      <c r="P20472" s="5" t="s">
        <v>355</v>
      </c>
      <c r="Q20472" s="5" t="s">
        <v>355</v>
      </c>
    </row>
    <row r="20473" ht="16.5" customHeight="1">
      <c r="O20473" s="5" t="s">
        <v>355</v>
      </c>
      <c r="P20473" s="5" t="s">
        <v>355</v>
      </c>
      <c r="Q20473" s="5" t="s">
        <v>355</v>
      </c>
    </row>
    <row r="20474" ht="16.5" customHeight="1">
      <c r="O20474" s="5" t="s">
        <v>355</v>
      </c>
      <c r="P20474" s="5" t="s">
        <v>355</v>
      </c>
      <c r="Q20474" s="5" t="s">
        <v>355</v>
      </c>
    </row>
    <row r="20475" ht="16.5" customHeight="1">
      <c r="O20475" s="5" t="s">
        <v>355</v>
      </c>
      <c r="P20475" s="5" t="s">
        <v>355</v>
      </c>
      <c r="Q20475" s="5" t="s">
        <v>355</v>
      </c>
    </row>
    <row r="20476" ht="16.5" customHeight="1">
      <c r="O20476" s="5" t="s">
        <v>355</v>
      </c>
      <c r="P20476" s="5" t="s">
        <v>355</v>
      </c>
      <c r="Q20476" s="5" t="s">
        <v>355</v>
      </c>
    </row>
    <row r="20477" ht="16.5" customHeight="1">
      <c r="O20477" s="5" t="s">
        <v>355</v>
      </c>
      <c r="P20477" s="5" t="s">
        <v>355</v>
      </c>
      <c r="Q20477" s="5" t="s">
        <v>355</v>
      </c>
    </row>
    <row r="20478" ht="16.5" customHeight="1">
      <c r="O20478" s="5" t="s">
        <v>355</v>
      </c>
      <c r="P20478" s="5" t="s">
        <v>355</v>
      </c>
      <c r="Q20478" s="5" t="s">
        <v>355</v>
      </c>
    </row>
    <row r="20479" ht="16.5" customHeight="1">
      <c r="O20479" s="5" t="s">
        <v>355</v>
      </c>
      <c r="P20479" s="5" t="s">
        <v>355</v>
      </c>
      <c r="Q20479" s="5" t="s">
        <v>355</v>
      </c>
    </row>
    <row r="20480" ht="16.5" customHeight="1">
      <c r="O20480" s="5" t="s">
        <v>355</v>
      </c>
      <c r="P20480" s="5" t="s">
        <v>355</v>
      </c>
      <c r="Q20480" s="5" t="s">
        <v>355</v>
      </c>
    </row>
    <row r="20481" ht="16.5" customHeight="1">
      <c r="O20481" s="5" t="s">
        <v>355</v>
      </c>
      <c r="P20481" s="5" t="s">
        <v>355</v>
      </c>
      <c r="Q20481" s="5" t="s">
        <v>355</v>
      </c>
    </row>
    <row r="20482" ht="16.5" customHeight="1">
      <c r="O20482" s="5" t="s">
        <v>355</v>
      </c>
      <c r="P20482" s="5" t="s">
        <v>355</v>
      </c>
      <c r="Q20482" s="5" t="s">
        <v>355</v>
      </c>
    </row>
    <row r="20483" ht="16.5" customHeight="1">
      <c r="O20483" s="5" t="s">
        <v>355</v>
      </c>
      <c r="P20483" s="5" t="s">
        <v>355</v>
      </c>
      <c r="Q20483" s="5" t="s">
        <v>355</v>
      </c>
    </row>
    <row r="20484" ht="16.5" customHeight="1">
      <c r="O20484" s="5" t="s">
        <v>355</v>
      </c>
      <c r="P20484" s="5" t="s">
        <v>355</v>
      </c>
      <c r="Q20484" s="5" t="s">
        <v>355</v>
      </c>
    </row>
    <row r="20485" ht="16.5" customHeight="1">
      <c r="O20485" s="5" t="s">
        <v>355</v>
      </c>
      <c r="P20485" s="5" t="s">
        <v>355</v>
      </c>
      <c r="Q20485" s="5" t="s">
        <v>355</v>
      </c>
    </row>
    <row r="20486" ht="16.5" customHeight="1">
      <c r="O20486" s="5" t="s">
        <v>355</v>
      </c>
      <c r="P20486" s="5" t="s">
        <v>355</v>
      </c>
      <c r="Q20486" s="5" t="s">
        <v>355</v>
      </c>
    </row>
    <row r="20487" ht="16.5" customHeight="1">
      <c r="O20487" s="5" t="s">
        <v>355</v>
      </c>
      <c r="P20487" s="5" t="s">
        <v>355</v>
      </c>
      <c r="Q20487" s="5" t="s">
        <v>355</v>
      </c>
    </row>
    <row r="20488" ht="16.5" customHeight="1">
      <c r="O20488" s="5" t="s">
        <v>355</v>
      </c>
      <c r="P20488" s="5" t="s">
        <v>355</v>
      </c>
      <c r="Q20488" s="5" t="s">
        <v>355</v>
      </c>
    </row>
    <row r="20489" ht="16.5" customHeight="1">
      <c r="O20489" s="5" t="s">
        <v>355</v>
      </c>
      <c r="P20489" s="5" t="s">
        <v>355</v>
      </c>
      <c r="Q20489" s="5" t="s">
        <v>355</v>
      </c>
    </row>
    <row r="20490" ht="16.5" customHeight="1">
      <c r="O20490" s="5" t="s">
        <v>355</v>
      </c>
      <c r="P20490" s="5" t="s">
        <v>355</v>
      </c>
      <c r="Q20490" s="5" t="s">
        <v>355</v>
      </c>
    </row>
    <row r="20491" ht="16.5" customHeight="1">
      <c r="O20491" s="5" t="s">
        <v>355</v>
      </c>
      <c r="P20491" s="5" t="s">
        <v>355</v>
      </c>
      <c r="Q20491" s="5" t="s">
        <v>355</v>
      </c>
    </row>
    <row r="20492" ht="16.5" customHeight="1">
      <c r="O20492" s="5" t="s">
        <v>355</v>
      </c>
      <c r="P20492" s="5" t="s">
        <v>355</v>
      </c>
      <c r="Q20492" s="5" t="s">
        <v>355</v>
      </c>
    </row>
    <row r="20493" ht="16.5" customHeight="1">
      <c r="O20493" s="5" t="s">
        <v>355</v>
      </c>
      <c r="P20493" s="5" t="s">
        <v>355</v>
      </c>
      <c r="Q20493" s="5" t="s">
        <v>355</v>
      </c>
    </row>
    <row r="20494" ht="16.5" customHeight="1">
      <c r="O20494" s="5" t="s">
        <v>355</v>
      </c>
      <c r="P20494" s="5" t="s">
        <v>355</v>
      </c>
      <c r="Q20494" s="5" t="s">
        <v>355</v>
      </c>
    </row>
    <row r="20495" ht="16.5" customHeight="1">
      <c r="O20495" s="5" t="s">
        <v>355</v>
      </c>
      <c r="P20495" s="5" t="s">
        <v>355</v>
      </c>
      <c r="Q20495" s="5" t="s">
        <v>355</v>
      </c>
    </row>
    <row r="20496" ht="16.5" customHeight="1">
      <c r="O20496" s="5" t="s">
        <v>355</v>
      </c>
      <c r="P20496" s="5" t="s">
        <v>355</v>
      </c>
      <c r="Q20496" s="5" t="s">
        <v>355</v>
      </c>
    </row>
    <row r="20497" ht="16.5" customHeight="1">
      <c r="O20497" s="5" t="s">
        <v>355</v>
      </c>
      <c r="P20497" s="5" t="s">
        <v>355</v>
      </c>
      <c r="Q20497" s="5" t="s">
        <v>355</v>
      </c>
    </row>
    <row r="20498" ht="16.5" customHeight="1">
      <c r="O20498" s="5" t="s">
        <v>355</v>
      </c>
      <c r="P20498" s="5" t="s">
        <v>355</v>
      </c>
      <c r="Q20498" s="5" t="s">
        <v>355</v>
      </c>
    </row>
    <row r="20499" ht="16.5" customHeight="1">
      <c r="O20499" s="5" t="s">
        <v>355</v>
      </c>
      <c r="P20499" s="5" t="s">
        <v>355</v>
      </c>
      <c r="Q20499" s="5" t="s">
        <v>355</v>
      </c>
    </row>
    <row r="20500" ht="16.5" customHeight="1">
      <c r="O20500" s="5" t="s">
        <v>355</v>
      </c>
      <c r="P20500" s="5" t="s">
        <v>355</v>
      </c>
      <c r="Q20500" s="5" t="s">
        <v>355</v>
      </c>
    </row>
    <row r="20501" ht="16.5" customHeight="1">
      <c r="O20501" s="5" t="s">
        <v>355</v>
      </c>
      <c r="P20501" s="5" t="s">
        <v>355</v>
      </c>
      <c r="Q20501" s="5" t="s">
        <v>355</v>
      </c>
    </row>
    <row r="20502" ht="16.5" customHeight="1">
      <c r="O20502" s="5" t="s">
        <v>355</v>
      </c>
      <c r="P20502" s="5" t="s">
        <v>355</v>
      </c>
      <c r="Q20502" s="5" t="s">
        <v>355</v>
      </c>
    </row>
    <row r="20503" ht="16.5" customHeight="1">
      <c r="O20503" s="5" t="s">
        <v>355</v>
      </c>
      <c r="P20503" s="5" t="s">
        <v>355</v>
      </c>
      <c r="Q20503" s="5" t="s">
        <v>355</v>
      </c>
    </row>
    <row r="20504" ht="16.5" customHeight="1">
      <c r="O20504" s="5" t="s">
        <v>355</v>
      </c>
      <c r="P20504" s="5" t="s">
        <v>355</v>
      </c>
      <c r="Q20504" s="5" t="s">
        <v>355</v>
      </c>
    </row>
    <row r="20505" ht="16.5" customHeight="1">
      <c r="O20505" s="5" t="s">
        <v>355</v>
      </c>
      <c r="P20505" s="5" t="s">
        <v>355</v>
      </c>
      <c r="Q20505" s="5" t="s">
        <v>355</v>
      </c>
    </row>
    <row r="20506" ht="16.5" customHeight="1">
      <c r="O20506" s="5" t="s">
        <v>355</v>
      </c>
      <c r="P20506" s="5" t="s">
        <v>355</v>
      </c>
      <c r="Q20506" s="5" t="s">
        <v>355</v>
      </c>
    </row>
    <row r="20507" ht="16.5" customHeight="1">
      <c r="O20507" s="5" t="s">
        <v>355</v>
      </c>
      <c r="P20507" s="5" t="s">
        <v>355</v>
      </c>
      <c r="Q20507" s="5" t="s">
        <v>355</v>
      </c>
    </row>
    <row r="20508" ht="16.5" customHeight="1">
      <c r="O20508" s="5" t="s">
        <v>355</v>
      </c>
      <c r="P20508" s="5" t="s">
        <v>355</v>
      </c>
      <c r="Q20508" s="5" t="s">
        <v>355</v>
      </c>
    </row>
    <row r="20509" ht="16.5" customHeight="1">
      <c r="O20509" s="5" t="s">
        <v>355</v>
      </c>
      <c r="P20509" s="5" t="s">
        <v>355</v>
      </c>
      <c r="Q20509" s="5" t="s">
        <v>355</v>
      </c>
    </row>
    <row r="20510" ht="16.5" customHeight="1">
      <c r="O20510" s="5" t="s">
        <v>355</v>
      </c>
      <c r="P20510" s="5" t="s">
        <v>355</v>
      </c>
      <c r="Q20510" s="5" t="s">
        <v>355</v>
      </c>
    </row>
    <row r="20511" ht="16.5" customHeight="1">
      <c r="O20511" s="5" t="s">
        <v>355</v>
      </c>
      <c r="P20511" s="5" t="s">
        <v>355</v>
      </c>
      <c r="Q20511" s="5" t="s">
        <v>355</v>
      </c>
    </row>
    <row r="20512" ht="16.5" customHeight="1">
      <c r="O20512" s="5" t="s">
        <v>355</v>
      </c>
      <c r="P20512" s="5" t="s">
        <v>355</v>
      </c>
      <c r="Q20512" s="5" t="s">
        <v>355</v>
      </c>
    </row>
    <row r="20513" ht="16.5" customHeight="1">
      <c r="O20513" s="5" t="s">
        <v>355</v>
      </c>
      <c r="P20513" s="5" t="s">
        <v>355</v>
      </c>
      <c r="Q20513" s="5" t="s">
        <v>355</v>
      </c>
    </row>
    <row r="20514" ht="16.5" customHeight="1">
      <c r="O20514" s="5" t="s">
        <v>355</v>
      </c>
      <c r="P20514" s="5" t="s">
        <v>355</v>
      </c>
      <c r="Q20514" s="5" t="s">
        <v>355</v>
      </c>
    </row>
    <row r="20515" ht="16.5" customHeight="1">
      <c r="O20515" s="5" t="s">
        <v>355</v>
      </c>
      <c r="P20515" s="5" t="s">
        <v>355</v>
      </c>
      <c r="Q20515" s="5" t="s">
        <v>355</v>
      </c>
    </row>
    <row r="20516" ht="16.5" customHeight="1">
      <c r="O20516" s="5" t="s">
        <v>355</v>
      </c>
      <c r="P20516" s="5" t="s">
        <v>355</v>
      </c>
      <c r="Q20516" s="5" t="s">
        <v>355</v>
      </c>
    </row>
    <row r="20517" ht="16.5" customHeight="1">
      <c r="O20517" s="5" t="s">
        <v>355</v>
      </c>
      <c r="P20517" s="5" t="s">
        <v>355</v>
      </c>
      <c r="Q20517" s="5" t="s">
        <v>355</v>
      </c>
    </row>
    <row r="20518" ht="16.5" customHeight="1">
      <c r="O20518" s="5" t="s">
        <v>355</v>
      </c>
      <c r="P20518" s="5" t="s">
        <v>355</v>
      </c>
      <c r="Q20518" s="5" t="s">
        <v>355</v>
      </c>
    </row>
    <row r="20519" ht="16.5" customHeight="1">
      <c r="O20519" s="5" t="s">
        <v>355</v>
      </c>
      <c r="P20519" s="5" t="s">
        <v>355</v>
      </c>
      <c r="Q20519" s="5" t="s">
        <v>355</v>
      </c>
    </row>
    <row r="20520" ht="16.5" customHeight="1">
      <c r="O20520" s="5" t="s">
        <v>355</v>
      </c>
      <c r="P20520" s="5" t="s">
        <v>355</v>
      </c>
      <c r="Q20520" s="5" t="s">
        <v>355</v>
      </c>
    </row>
    <row r="20521" ht="16.5" customHeight="1">
      <c r="O20521" s="5" t="s">
        <v>355</v>
      </c>
      <c r="P20521" s="5" t="s">
        <v>355</v>
      </c>
      <c r="Q20521" s="5" t="s">
        <v>355</v>
      </c>
    </row>
    <row r="20522" ht="16.5" customHeight="1">
      <c r="O20522" s="5" t="s">
        <v>355</v>
      </c>
      <c r="P20522" s="5" t="s">
        <v>355</v>
      </c>
      <c r="Q20522" s="5" t="s">
        <v>355</v>
      </c>
    </row>
    <row r="20523" ht="16.5" customHeight="1">
      <c r="O20523" s="5" t="s">
        <v>355</v>
      </c>
      <c r="P20523" s="5" t="s">
        <v>355</v>
      </c>
      <c r="Q20523" s="5" t="s">
        <v>355</v>
      </c>
    </row>
    <row r="20524" ht="16.5" customHeight="1">
      <c r="O20524" s="5" t="s">
        <v>355</v>
      </c>
      <c r="P20524" s="5" t="s">
        <v>355</v>
      </c>
      <c r="Q20524" s="5" t="s">
        <v>355</v>
      </c>
    </row>
    <row r="20525" ht="16.5" customHeight="1">
      <c r="O20525" s="5" t="s">
        <v>355</v>
      </c>
      <c r="P20525" s="5" t="s">
        <v>355</v>
      </c>
      <c r="Q20525" s="5" t="s">
        <v>355</v>
      </c>
    </row>
    <row r="20526" ht="16.5" customHeight="1">
      <c r="O20526" s="5" t="s">
        <v>355</v>
      </c>
      <c r="P20526" s="5" t="s">
        <v>355</v>
      </c>
      <c r="Q20526" s="5" t="s">
        <v>355</v>
      </c>
    </row>
    <row r="20527" ht="16.5" customHeight="1">
      <c r="O20527" s="5" t="s">
        <v>355</v>
      </c>
      <c r="P20527" s="5" t="s">
        <v>355</v>
      </c>
      <c r="Q20527" s="5" t="s">
        <v>355</v>
      </c>
    </row>
    <row r="20528" ht="16.5" customHeight="1">
      <c r="O20528" s="5" t="s">
        <v>355</v>
      </c>
      <c r="P20528" s="5" t="s">
        <v>355</v>
      </c>
      <c r="Q20528" s="5" t="s">
        <v>355</v>
      </c>
    </row>
    <row r="20529" ht="16.5" customHeight="1">
      <c r="O20529" s="5" t="s">
        <v>355</v>
      </c>
      <c r="P20529" s="5" t="s">
        <v>355</v>
      </c>
      <c r="Q20529" s="5" t="s">
        <v>355</v>
      </c>
    </row>
    <row r="20530" ht="16.5" customHeight="1">
      <c r="O20530" s="5" t="s">
        <v>355</v>
      </c>
      <c r="P20530" s="5" t="s">
        <v>355</v>
      </c>
      <c r="Q20530" s="5" t="s">
        <v>355</v>
      </c>
    </row>
    <row r="20531" ht="16.5" customHeight="1">
      <c r="O20531" s="5" t="s">
        <v>355</v>
      </c>
      <c r="P20531" s="5" t="s">
        <v>355</v>
      </c>
      <c r="Q20531" s="5" t="s">
        <v>355</v>
      </c>
    </row>
    <row r="20532" ht="16.5" customHeight="1">
      <c r="O20532" s="5" t="s">
        <v>355</v>
      </c>
      <c r="P20532" s="5" t="s">
        <v>355</v>
      </c>
      <c r="Q20532" s="5" t="s">
        <v>355</v>
      </c>
    </row>
    <row r="20533" ht="16.5" customHeight="1">
      <c r="O20533" s="5" t="s">
        <v>355</v>
      </c>
      <c r="P20533" s="5" t="s">
        <v>355</v>
      </c>
      <c r="Q20533" s="5" t="s">
        <v>355</v>
      </c>
    </row>
    <row r="20534" ht="16.5" customHeight="1">
      <c r="O20534" s="5" t="s">
        <v>355</v>
      </c>
      <c r="P20534" s="5" t="s">
        <v>355</v>
      </c>
      <c r="Q20534" s="5" t="s">
        <v>355</v>
      </c>
    </row>
    <row r="20535" ht="16.5" customHeight="1">
      <c r="O20535" s="5" t="s">
        <v>355</v>
      </c>
      <c r="P20535" s="5" t="s">
        <v>355</v>
      </c>
      <c r="Q20535" s="5" t="s">
        <v>355</v>
      </c>
    </row>
    <row r="20536" ht="16.5" customHeight="1">
      <c r="O20536" s="5" t="s">
        <v>355</v>
      </c>
      <c r="P20536" s="5" t="s">
        <v>355</v>
      </c>
      <c r="Q20536" s="5" t="s">
        <v>355</v>
      </c>
    </row>
    <row r="20537" ht="16.5" customHeight="1">
      <c r="O20537" s="5" t="s">
        <v>355</v>
      </c>
      <c r="P20537" s="5" t="s">
        <v>355</v>
      </c>
      <c r="Q20537" s="5" t="s">
        <v>355</v>
      </c>
    </row>
    <row r="20538" ht="16.5" customHeight="1">
      <c r="O20538" s="5" t="s">
        <v>355</v>
      </c>
      <c r="P20538" s="5" t="s">
        <v>355</v>
      </c>
      <c r="Q20538" s="5" t="s">
        <v>355</v>
      </c>
    </row>
    <row r="20539" ht="16.5" customHeight="1">
      <c r="O20539" s="5" t="s">
        <v>355</v>
      </c>
      <c r="P20539" s="5" t="s">
        <v>355</v>
      </c>
      <c r="Q20539" s="5" t="s">
        <v>355</v>
      </c>
    </row>
    <row r="20540" ht="16.5" customHeight="1">
      <c r="O20540" s="5" t="s">
        <v>355</v>
      </c>
      <c r="P20540" s="5" t="s">
        <v>355</v>
      </c>
      <c r="Q20540" s="5" t="s">
        <v>355</v>
      </c>
    </row>
    <row r="20541" ht="16.5" customHeight="1">
      <c r="O20541" s="5" t="s">
        <v>355</v>
      </c>
      <c r="P20541" s="5" t="s">
        <v>355</v>
      </c>
      <c r="Q20541" s="5" t="s">
        <v>355</v>
      </c>
    </row>
    <row r="20542" ht="16.5" customHeight="1">
      <c r="O20542" s="5" t="s">
        <v>355</v>
      </c>
      <c r="P20542" s="5" t="s">
        <v>355</v>
      </c>
      <c r="Q20542" s="5" t="s">
        <v>355</v>
      </c>
    </row>
    <row r="20543" ht="16.5" customHeight="1">
      <c r="O20543" s="5" t="s">
        <v>355</v>
      </c>
      <c r="P20543" s="5" t="s">
        <v>355</v>
      </c>
      <c r="Q20543" s="5" t="s">
        <v>355</v>
      </c>
    </row>
    <row r="20544" ht="16.5" customHeight="1">
      <c r="O20544" s="5" t="s">
        <v>355</v>
      </c>
      <c r="P20544" s="5" t="s">
        <v>355</v>
      </c>
      <c r="Q20544" s="5" t="s">
        <v>355</v>
      </c>
    </row>
    <row r="20545" ht="16.5" customHeight="1">
      <c r="O20545" s="5" t="s">
        <v>355</v>
      </c>
      <c r="P20545" s="5" t="s">
        <v>355</v>
      </c>
      <c r="Q20545" s="5" t="s">
        <v>355</v>
      </c>
    </row>
    <row r="20546" ht="16.5" customHeight="1">
      <c r="O20546" s="5" t="s">
        <v>355</v>
      </c>
      <c r="P20546" s="5" t="s">
        <v>355</v>
      </c>
      <c r="Q20546" s="5" t="s">
        <v>355</v>
      </c>
    </row>
    <row r="20547" ht="16.5" customHeight="1">
      <c r="O20547" s="5" t="s">
        <v>355</v>
      </c>
      <c r="P20547" s="5" t="s">
        <v>355</v>
      </c>
      <c r="Q20547" s="5" t="s">
        <v>355</v>
      </c>
    </row>
    <row r="20548" ht="16.5" customHeight="1">
      <c r="O20548" s="5" t="s">
        <v>355</v>
      </c>
      <c r="P20548" s="5" t="s">
        <v>355</v>
      </c>
      <c r="Q20548" s="5" t="s">
        <v>355</v>
      </c>
    </row>
    <row r="20549" ht="16.5" customHeight="1">
      <c r="O20549" s="5" t="s">
        <v>355</v>
      </c>
      <c r="P20549" s="5" t="s">
        <v>355</v>
      </c>
      <c r="Q20549" s="5" t="s">
        <v>355</v>
      </c>
    </row>
    <row r="20550" ht="16.5" customHeight="1">
      <c r="O20550" s="5" t="s">
        <v>355</v>
      </c>
      <c r="P20550" s="5" t="s">
        <v>355</v>
      </c>
      <c r="Q20550" s="5" t="s">
        <v>355</v>
      </c>
    </row>
    <row r="20551" ht="16.5" customHeight="1">
      <c r="O20551" s="5" t="s">
        <v>355</v>
      </c>
      <c r="P20551" s="5" t="s">
        <v>355</v>
      </c>
      <c r="Q20551" s="5" t="s">
        <v>355</v>
      </c>
    </row>
    <row r="20552" ht="16.5" customHeight="1">
      <c r="O20552" s="5" t="s">
        <v>355</v>
      </c>
      <c r="P20552" s="5" t="s">
        <v>355</v>
      </c>
      <c r="Q20552" s="5" t="s">
        <v>355</v>
      </c>
    </row>
    <row r="20553" ht="16.5" customHeight="1">
      <c r="O20553" s="5" t="s">
        <v>355</v>
      </c>
      <c r="P20553" s="5" t="s">
        <v>355</v>
      </c>
      <c r="Q20553" s="5" t="s">
        <v>355</v>
      </c>
    </row>
    <row r="20554" ht="16.5" customHeight="1">
      <c r="O20554" s="5" t="s">
        <v>355</v>
      </c>
      <c r="P20554" s="5" t="s">
        <v>355</v>
      </c>
      <c r="Q20554" s="5" t="s">
        <v>355</v>
      </c>
    </row>
    <row r="20555" ht="16.5" customHeight="1">
      <c r="O20555" s="5" t="s">
        <v>355</v>
      </c>
      <c r="P20555" s="5" t="s">
        <v>355</v>
      </c>
      <c r="Q20555" s="5" t="s">
        <v>355</v>
      </c>
    </row>
    <row r="20556" ht="16.5" customHeight="1">
      <c r="O20556" s="5" t="s">
        <v>355</v>
      </c>
      <c r="P20556" s="5" t="s">
        <v>355</v>
      </c>
      <c r="Q20556" s="5" t="s">
        <v>355</v>
      </c>
    </row>
    <row r="20557" ht="16.5" customHeight="1">
      <c r="O20557" s="5" t="s">
        <v>355</v>
      </c>
      <c r="P20557" s="5" t="s">
        <v>355</v>
      </c>
      <c r="Q20557" s="5" t="s">
        <v>355</v>
      </c>
    </row>
    <row r="20558" ht="16.5" customHeight="1">
      <c r="O20558" s="5" t="s">
        <v>355</v>
      </c>
      <c r="P20558" s="5" t="s">
        <v>355</v>
      </c>
      <c r="Q20558" s="5" t="s">
        <v>355</v>
      </c>
    </row>
    <row r="20559" ht="16.5" customHeight="1">
      <c r="O20559" s="5" t="s">
        <v>355</v>
      </c>
      <c r="P20559" s="5" t="s">
        <v>355</v>
      </c>
      <c r="Q20559" s="5" t="s">
        <v>355</v>
      </c>
    </row>
    <row r="20560" ht="16.5" customHeight="1">
      <c r="O20560" s="5" t="s">
        <v>355</v>
      </c>
      <c r="P20560" s="5" t="s">
        <v>355</v>
      </c>
      <c r="Q20560" s="5" t="s">
        <v>355</v>
      </c>
    </row>
    <row r="20561" ht="16.5" customHeight="1">
      <c r="O20561" s="5" t="s">
        <v>355</v>
      </c>
      <c r="P20561" s="5" t="s">
        <v>355</v>
      </c>
      <c r="Q20561" s="5" t="s">
        <v>355</v>
      </c>
    </row>
    <row r="20562" ht="16.5" customHeight="1">
      <c r="O20562" s="5" t="s">
        <v>355</v>
      </c>
      <c r="P20562" s="5" t="s">
        <v>355</v>
      </c>
      <c r="Q20562" s="5" t="s">
        <v>355</v>
      </c>
    </row>
    <row r="20563" ht="16.5" customHeight="1">
      <c r="O20563" s="5" t="s">
        <v>355</v>
      </c>
      <c r="P20563" s="5" t="s">
        <v>355</v>
      </c>
      <c r="Q20563" s="5" t="s">
        <v>355</v>
      </c>
    </row>
    <row r="20564" ht="16.5" customHeight="1">
      <c r="O20564" s="5" t="s">
        <v>355</v>
      </c>
      <c r="P20564" s="5" t="s">
        <v>355</v>
      </c>
      <c r="Q20564" s="5" t="s">
        <v>355</v>
      </c>
    </row>
    <row r="20565" ht="16.5" customHeight="1">
      <c r="O20565" s="5" t="s">
        <v>355</v>
      </c>
      <c r="P20565" s="5" t="s">
        <v>355</v>
      </c>
      <c r="Q20565" s="5" t="s">
        <v>355</v>
      </c>
    </row>
    <row r="20566" ht="16.5" customHeight="1">
      <c r="O20566" s="5" t="s">
        <v>355</v>
      </c>
      <c r="P20566" s="5" t="s">
        <v>355</v>
      </c>
      <c r="Q20566" s="5" t="s">
        <v>355</v>
      </c>
    </row>
    <row r="20567" ht="16.5" customHeight="1">
      <c r="O20567" s="5" t="s">
        <v>355</v>
      </c>
      <c r="P20567" s="5" t="s">
        <v>355</v>
      </c>
      <c r="Q20567" s="5" t="s">
        <v>355</v>
      </c>
    </row>
    <row r="20568" ht="16.5" customHeight="1">
      <c r="O20568" s="5" t="s">
        <v>355</v>
      </c>
      <c r="P20568" s="5" t="s">
        <v>355</v>
      </c>
      <c r="Q20568" s="5" t="s">
        <v>355</v>
      </c>
    </row>
    <row r="20569" ht="16.5" customHeight="1">
      <c r="O20569" s="5" t="s">
        <v>355</v>
      </c>
      <c r="P20569" s="5" t="s">
        <v>355</v>
      </c>
      <c r="Q20569" s="5" t="s">
        <v>355</v>
      </c>
    </row>
    <row r="20570" ht="16.5" customHeight="1">
      <c r="O20570" s="5" t="s">
        <v>355</v>
      </c>
      <c r="P20570" s="5" t="s">
        <v>355</v>
      </c>
      <c r="Q20570" s="5" t="s">
        <v>355</v>
      </c>
    </row>
    <row r="20571" ht="16.5" customHeight="1">
      <c r="O20571" s="5" t="s">
        <v>355</v>
      </c>
      <c r="P20571" s="5" t="s">
        <v>355</v>
      </c>
      <c r="Q20571" s="5" t="s">
        <v>355</v>
      </c>
    </row>
    <row r="20572" ht="16.5" customHeight="1">
      <c r="O20572" s="5" t="s">
        <v>355</v>
      </c>
      <c r="P20572" s="5" t="s">
        <v>355</v>
      </c>
      <c r="Q20572" s="5" t="s">
        <v>355</v>
      </c>
    </row>
    <row r="20573" ht="16.5" customHeight="1">
      <c r="O20573" s="5" t="s">
        <v>355</v>
      </c>
      <c r="P20573" s="5" t="s">
        <v>355</v>
      </c>
      <c r="Q20573" s="5" t="s">
        <v>355</v>
      </c>
    </row>
    <row r="20574" ht="16.5" customHeight="1">
      <c r="O20574" s="5" t="s">
        <v>355</v>
      </c>
      <c r="P20574" s="5" t="s">
        <v>355</v>
      </c>
      <c r="Q20574" s="5" t="s">
        <v>355</v>
      </c>
    </row>
    <row r="20575" ht="16.5" customHeight="1">
      <c r="O20575" s="5" t="s">
        <v>355</v>
      </c>
      <c r="P20575" s="5" t="s">
        <v>355</v>
      </c>
      <c r="Q20575" s="5" t="s">
        <v>355</v>
      </c>
    </row>
    <row r="20576" ht="16.5" customHeight="1">
      <c r="O20576" s="5" t="s">
        <v>355</v>
      </c>
      <c r="P20576" s="5" t="s">
        <v>355</v>
      </c>
      <c r="Q20576" s="5" t="s">
        <v>355</v>
      </c>
    </row>
    <row r="20577" ht="16.5" customHeight="1">
      <c r="O20577" s="5" t="s">
        <v>355</v>
      </c>
      <c r="P20577" s="5" t="s">
        <v>355</v>
      </c>
      <c r="Q20577" s="5" t="s">
        <v>355</v>
      </c>
    </row>
    <row r="20578" ht="16.5" customHeight="1">
      <c r="O20578" s="5" t="s">
        <v>355</v>
      </c>
      <c r="P20578" s="5" t="s">
        <v>355</v>
      </c>
      <c r="Q20578" s="5" t="s">
        <v>355</v>
      </c>
    </row>
    <row r="20579" ht="16.5" customHeight="1">
      <c r="O20579" s="5" t="s">
        <v>355</v>
      </c>
      <c r="P20579" s="5" t="s">
        <v>355</v>
      </c>
      <c r="Q20579" s="5" t="s">
        <v>355</v>
      </c>
    </row>
    <row r="20580" ht="16.5" customHeight="1">
      <c r="O20580" s="5" t="s">
        <v>355</v>
      </c>
      <c r="P20580" s="5" t="s">
        <v>355</v>
      </c>
      <c r="Q20580" s="5" t="s">
        <v>355</v>
      </c>
    </row>
    <row r="20581" ht="16.5" customHeight="1">
      <c r="O20581" s="5" t="s">
        <v>355</v>
      </c>
      <c r="P20581" s="5" t="s">
        <v>355</v>
      </c>
      <c r="Q20581" s="5" t="s">
        <v>355</v>
      </c>
    </row>
    <row r="20582" ht="16.5" customHeight="1">
      <c r="O20582" s="5" t="s">
        <v>355</v>
      </c>
      <c r="P20582" s="5" t="s">
        <v>355</v>
      </c>
      <c r="Q20582" s="5" t="s">
        <v>355</v>
      </c>
    </row>
    <row r="20583" ht="16.5" customHeight="1">
      <c r="O20583" s="5" t="s">
        <v>355</v>
      </c>
      <c r="P20583" s="5" t="s">
        <v>355</v>
      </c>
      <c r="Q20583" s="5" t="s">
        <v>355</v>
      </c>
    </row>
    <row r="20584" ht="16.5" customHeight="1">
      <c r="O20584" s="5" t="s">
        <v>355</v>
      </c>
      <c r="P20584" s="5" t="s">
        <v>355</v>
      </c>
      <c r="Q20584" s="5" t="s">
        <v>355</v>
      </c>
    </row>
    <row r="20585" ht="16.5" customHeight="1">
      <c r="O20585" s="5" t="s">
        <v>355</v>
      </c>
      <c r="P20585" s="5" t="s">
        <v>355</v>
      </c>
      <c r="Q20585" s="5" t="s">
        <v>355</v>
      </c>
    </row>
    <row r="20586" ht="16.5" customHeight="1">
      <c r="O20586" s="5" t="s">
        <v>355</v>
      </c>
      <c r="P20586" s="5" t="s">
        <v>355</v>
      </c>
      <c r="Q20586" s="5" t="s">
        <v>355</v>
      </c>
    </row>
    <row r="20587" ht="16.5" customHeight="1">
      <c r="O20587" s="5" t="s">
        <v>355</v>
      </c>
      <c r="P20587" s="5" t="s">
        <v>355</v>
      </c>
      <c r="Q20587" s="5" t="s">
        <v>355</v>
      </c>
    </row>
    <row r="20588" ht="16.5" customHeight="1">
      <c r="O20588" s="5" t="s">
        <v>355</v>
      </c>
      <c r="P20588" s="5" t="s">
        <v>355</v>
      </c>
      <c r="Q20588" s="5" t="s">
        <v>355</v>
      </c>
    </row>
    <row r="20589" ht="16.5" customHeight="1">
      <c r="O20589" s="5" t="s">
        <v>355</v>
      </c>
      <c r="P20589" s="5" t="s">
        <v>355</v>
      </c>
      <c r="Q20589" s="5" t="s">
        <v>355</v>
      </c>
    </row>
    <row r="20590" ht="16.5" customHeight="1">
      <c r="O20590" s="5" t="s">
        <v>355</v>
      </c>
      <c r="P20590" s="5" t="s">
        <v>355</v>
      </c>
      <c r="Q20590" s="5" t="s">
        <v>355</v>
      </c>
    </row>
    <row r="20591" ht="16.5" customHeight="1">
      <c r="O20591" s="5" t="s">
        <v>355</v>
      </c>
      <c r="P20591" s="5" t="s">
        <v>355</v>
      </c>
      <c r="Q20591" s="5" t="s">
        <v>355</v>
      </c>
    </row>
    <row r="20592" ht="16.5" customHeight="1">
      <c r="O20592" s="5" t="s">
        <v>355</v>
      </c>
      <c r="P20592" s="5" t="s">
        <v>355</v>
      </c>
      <c r="Q20592" s="5" t="s">
        <v>355</v>
      </c>
    </row>
    <row r="20593" ht="16.5" customHeight="1">
      <c r="O20593" s="5" t="s">
        <v>355</v>
      </c>
      <c r="P20593" s="5" t="s">
        <v>355</v>
      </c>
      <c r="Q20593" s="5" t="s">
        <v>355</v>
      </c>
    </row>
    <row r="20594" ht="16.5" customHeight="1">
      <c r="O20594" s="5" t="s">
        <v>355</v>
      </c>
      <c r="P20594" s="5" t="s">
        <v>355</v>
      </c>
      <c r="Q20594" s="5" t="s">
        <v>355</v>
      </c>
    </row>
    <row r="20595" ht="16.5" customHeight="1">
      <c r="O20595" s="5" t="s">
        <v>355</v>
      </c>
      <c r="P20595" s="5" t="s">
        <v>355</v>
      </c>
      <c r="Q20595" s="5" t="s">
        <v>355</v>
      </c>
    </row>
    <row r="20596" ht="16.5" customHeight="1">
      <c r="O20596" s="5" t="s">
        <v>355</v>
      </c>
      <c r="P20596" s="5" t="s">
        <v>355</v>
      </c>
      <c r="Q20596" s="5" t="s">
        <v>355</v>
      </c>
    </row>
    <row r="20597" ht="16.5" customHeight="1">
      <c r="O20597" s="5" t="s">
        <v>355</v>
      </c>
      <c r="P20597" s="5" t="s">
        <v>355</v>
      </c>
      <c r="Q20597" s="5" t="s">
        <v>355</v>
      </c>
    </row>
    <row r="20598" ht="16.5" customHeight="1">
      <c r="O20598" s="5" t="s">
        <v>355</v>
      </c>
      <c r="P20598" s="5" t="s">
        <v>355</v>
      </c>
      <c r="Q20598" s="5" t="s">
        <v>355</v>
      </c>
    </row>
    <row r="20599" ht="16.5" customHeight="1">
      <c r="O20599" s="5" t="s">
        <v>355</v>
      </c>
      <c r="P20599" s="5" t="s">
        <v>355</v>
      </c>
      <c r="Q20599" s="5" t="s">
        <v>355</v>
      </c>
    </row>
    <row r="20600" ht="16.5" customHeight="1">
      <c r="O20600" s="5" t="s">
        <v>355</v>
      </c>
      <c r="P20600" s="5" t="s">
        <v>355</v>
      </c>
      <c r="Q20600" s="5" t="s">
        <v>355</v>
      </c>
    </row>
    <row r="20601" ht="16.5" customHeight="1">
      <c r="O20601" s="5" t="s">
        <v>355</v>
      </c>
      <c r="P20601" s="5" t="s">
        <v>355</v>
      </c>
      <c r="Q20601" s="5" t="s">
        <v>355</v>
      </c>
    </row>
    <row r="20602" ht="16.5" customHeight="1">
      <c r="O20602" s="5" t="s">
        <v>355</v>
      </c>
      <c r="P20602" s="5" t="s">
        <v>355</v>
      </c>
      <c r="Q20602" s="5" t="s">
        <v>355</v>
      </c>
    </row>
    <row r="20603" ht="16.5" customHeight="1">
      <c r="O20603" s="5" t="s">
        <v>355</v>
      </c>
      <c r="P20603" s="5" t="s">
        <v>355</v>
      </c>
      <c r="Q20603" s="5" t="s">
        <v>355</v>
      </c>
    </row>
    <row r="20604" ht="16.5" customHeight="1">
      <c r="O20604" s="5" t="s">
        <v>355</v>
      </c>
      <c r="P20604" s="5" t="s">
        <v>355</v>
      </c>
      <c r="Q20604" s="5" t="s">
        <v>355</v>
      </c>
    </row>
    <row r="20605" ht="16.5" customHeight="1">
      <c r="O20605" s="5" t="s">
        <v>355</v>
      </c>
      <c r="P20605" s="5" t="s">
        <v>355</v>
      </c>
      <c r="Q20605" s="5" t="s">
        <v>355</v>
      </c>
    </row>
    <row r="20606" ht="16.5" customHeight="1">
      <c r="O20606" s="5" t="s">
        <v>355</v>
      </c>
      <c r="P20606" s="5" t="s">
        <v>355</v>
      </c>
      <c r="Q20606" s="5" t="s">
        <v>355</v>
      </c>
    </row>
    <row r="20607" ht="16.5" customHeight="1">
      <c r="O20607" s="5" t="s">
        <v>355</v>
      </c>
      <c r="P20607" s="5" t="s">
        <v>355</v>
      </c>
      <c r="Q20607" s="5" t="s">
        <v>355</v>
      </c>
    </row>
    <row r="20608" ht="16.5" customHeight="1">
      <c r="O20608" s="5" t="s">
        <v>355</v>
      </c>
      <c r="P20608" s="5" t="s">
        <v>355</v>
      </c>
      <c r="Q20608" s="5" t="s">
        <v>355</v>
      </c>
    </row>
    <row r="20609" ht="16.5" customHeight="1">
      <c r="O20609" s="5" t="s">
        <v>355</v>
      </c>
      <c r="P20609" s="5" t="s">
        <v>355</v>
      </c>
      <c r="Q20609" s="5" t="s">
        <v>355</v>
      </c>
    </row>
    <row r="20610" ht="16.5" customHeight="1">
      <c r="O20610" s="5" t="s">
        <v>355</v>
      </c>
      <c r="P20610" s="5" t="s">
        <v>355</v>
      </c>
      <c r="Q20610" s="5" t="s">
        <v>355</v>
      </c>
    </row>
    <row r="20611" ht="16.5" customHeight="1">
      <c r="O20611" s="5" t="s">
        <v>355</v>
      </c>
      <c r="P20611" s="5" t="s">
        <v>355</v>
      </c>
      <c r="Q20611" s="5" t="s">
        <v>355</v>
      </c>
    </row>
    <row r="20612" ht="16.5" customHeight="1">
      <c r="O20612" s="5" t="s">
        <v>355</v>
      </c>
      <c r="P20612" s="5" t="s">
        <v>355</v>
      </c>
      <c r="Q20612" s="5" t="s">
        <v>355</v>
      </c>
    </row>
    <row r="20613" ht="16.5" customHeight="1">
      <c r="O20613" s="5" t="s">
        <v>355</v>
      </c>
      <c r="P20613" s="5" t="s">
        <v>355</v>
      </c>
      <c r="Q20613" s="5" t="s">
        <v>355</v>
      </c>
    </row>
    <row r="20614" ht="16.5" customHeight="1">
      <c r="O20614" s="5" t="s">
        <v>355</v>
      </c>
      <c r="P20614" s="5" t="s">
        <v>355</v>
      </c>
      <c r="Q20614" s="5" t="s">
        <v>355</v>
      </c>
    </row>
    <row r="20615" ht="16.5" customHeight="1">
      <c r="O20615" s="5" t="s">
        <v>355</v>
      </c>
      <c r="P20615" s="5" t="s">
        <v>355</v>
      </c>
      <c r="Q20615" s="5" t="s">
        <v>355</v>
      </c>
    </row>
    <row r="20616" ht="16.5" customHeight="1">
      <c r="O20616" s="5" t="s">
        <v>355</v>
      </c>
      <c r="P20616" s="5" t="s">
        <v>355</v>
      </c>
      <c r="Q20616" s="5" t="s">
        <v>355</v>
      </c>
    </row>
    <row r="20617" ht="16.5" customHeight="1">
      <c r="O20617" s="5" t="s">
        <v>355</v>
      </c>
      <c r="P20617" s="5" t="s">
        <v>355</v>
      </c>
      <c r="Q20617" s="5" t="s">
        <v>355</v>
      </c>
    </row>
    <row r="20618" ht="16.5" customHeight="1">
      <c r="O20618" s="5" t="s">
        <v>355</v>
      </c>
      <c r="P20618" s="5" t="s">
        <v>355</v>
      </c>
      <c r="Q20618" s="5" t="s">
        <v>355</v>
      </c>
    </row>
    <row r="20619" ht="16.5" customHeight="1">
      <c r="O20619" s="5" t="s">
        <v>355</v>
      </c>
      <c r="P20619" s="5" t="s">
        <v>355</v>
      </c>
      <c r="Q20619" s="5" t="s">
        <v>355</v>
      </c>
    </row>
    <row r="20620" ht="16.5" customHeight="1">
      <c r="O20620" s="5" t="s">
        <v>355</v>
      </c>
      <c r="P20620" s="5" t="s">
        <v>355</v>
      </c>
      <c r="Q20620" s="5" t="s">
        <v>355</v>
      </c>
    </row>
    <row r="20621" ht="16.5" customHeight="1">
      <c r="O20621" s="5" t="s">
        <v>355</v>
      </c>
      <c r="P20621" s="5" t="s">
        <v>355</v>
      </c>
      <c r="Q20621" s="5" t="s">
        <v>355</v>
      </c>
    </row>
    <row r="20622" ht="16.5" customHeight="1">
      <c r="O20622" s="5" t="s">
        <v>355</v>
      </c>
      <c r="P20622" s="5" t="s">
        <v>355</v>
      </c>
      <c r="Q20622" s="5" t="s">
        <v>355</v>
      </c>
    </row>
    <row r="20623" ht="16.5" customHeight="1">
      <c r="O20623" s="5" t="s">
        <v>355</v>
      </c>
      <c r="P20623" s="5" t="s">
        <v>355</v>
      </c>
      <c r="Q20623" s="5" t="s">
        <v>355</v>
      </c>
    </row>
    <row r="20624" ht="16.5" customHeight="1">
      <c r="O20624" s="5" t="s">
        <v>355</v>
      </c>
      <c r="P20624" s="5" t="s">
        <v>355</v>
      </c>
      <c r="Q20624" s="5" t="s">
        <v>355</v>
      </c>
    </row>
    <row r="20625" ht="16.5" customHeight="1">
      <c r="O20625" s="5" t="s">
        <v>355</v>
      </c>
      <c r="P20625" s="5" t="s">
        <v>355</v>
      </c>
      <c r="Q20625" s="5" t="s">
        <v>355</v>
      </c>
    </row>
    <row r="20626" ht="16.5" customHeight="1">
      <c r="O20626" s="5" t="s">
        <v>355</v>
      </c>
      <c r="P20626" s="5" t="s">
        <v>355</v>
      </c>
      <c r="Q20626" s="5" t="s">
        <v>355</v>
      </c>
    </row>
    <row r="20627" ht="16.5" customHeight="1">
      <c r="O20627" s="5" t="s">
        <v>355</v>
      </c>
      <c r="P20627" s="5" t="s">
        <v>355</v>
      </c>
      <c r="Q20627" s="5" t="s">
        <v>355</v>
      </c>
    </row>
    <row r="20628" ht="16.5" customHeight="1">
      <c r="O20628" s="5" t="s">
        <v>355</v>
      </c>
      <c r="P20628" s="5" t="s">
        <v>355</v>
      </c>
      <c r="Q20628" s="5" t="s">
        <v>355</v>
      </c>
    </row>
    <row r="20629" ht="16.5" customHeight="1">
      <c r="O20629" s="5" t="s">
        <v>355</v>
      </c>
      <c r="P20629" s="5" t="s">
        <v>355</v>
      </c>
      <c r="Q20629" s="5" t="s">
        <v>355</v>
      </c>
    </row>
    <row r="20630" ht="16.5" customHeight="1">
      <c r="O20630" s="5" t="s">
        <v>355</v>
      </c>
      <c r="P20630" s="5" t="s">
        <v>355</v>
      </c>
      <c r="Q20630" s="5" t="s">
        <v>355</v>
      </c>
    </row>
    <row r="20631" ht="16.5" customHeight="1">
      <c r="O20631" s="5" t="s">
        <v>355</v>
      </c>
      <c r="P20631" s="5" t="s">
        <v>355</v>
      </c>
      <c r="Q20631" s="5" t="s">
        <v>355</v>
      </c>
    </row>
    <row r="20632" ht="16.5" customHeight="1">
      <c r="O20632" s="5" t="s">
        <v>355</v>
      </c>
      <c r="P20632" s="5" t="s">
        <v>355</v>
      </c>
      <c r="Q20632" s="5" t="s">
        <v>355</v>
      </c>
    </row>
    <row r="20633" ht="16.5" customHeight="1">
      <c r="O20633" s="5" t="s">
        <v>355</v>
      </c>
      <c r="P20633" s="5" t="s">
        <v>355</v>
      </c>
      <c r="Q20633" s="5" t="s">
        <v>355</v>
      </c>
    </row>
    <row r="20634" ht="16.5" customHeight="1">
      <c r="O20634" s="5" t="s">
        <v>355</v>
      </c>
      <c r="P20634" s="5" t="s">
        <v>355</v>
      </c>
      <c r="Q20634" s="5" t="s">
        <v>355</v>
      </c>
    </row>
    <row r="20635" ht="16.5" customHeight="1">
      <c r="O20635" s="5" t="s">
        <v>355</v>
      </c>
      <c r="P20635" s="5" t="s">
        <v>355</v>
      </c>
      <c r="Q20635" s="5" t="s">
        <v>355</v>
      </c>
    </row>
    <row r="20636" ht="16.5" customHeight="1">
      <c r="O20636" s="5" t="s">
        <v>355</v>
      </c>
      <c r="P20636" s="5" t="s">
        <v>355</v>
      </c>
      <c r="Q20636" s="5" t="s">
        <v>355</v>
      </c>
    </row>
    <row r="20637" ht="16.5" customHeight="1">
      <c r="O20637" s="5" t="s">
        <v>355</v>
      </c>
      <c r="P20637" s="5" t="s">
        <v>355</v>
      </c>
      <c r="Q20637" s="5" t="s">
        <v>355</v>
      </c>
    </row>
    <row r="20638" ht="16.5" customHeight="1">
      <c r="O20638" s="5" t="s">
        <v>355</v>
      </c>
      <c r="P20638" s="5" t="s">
        <v>355</v>
      </c>
      <c r="Q20638" s="5" t="s">
        <v>355</v>
      </c>
    </row>
    <row r="20639" ht="16.5" customHeight="1">
      <c r="O20639" s="5" t="s">
        <v>355</v>
      </c>
      <c r="P20639" s="5" t="s">
        <v>355</v>
      </c>
      <c r="Q20639" s="5" t="s">
        <v>355</v>
      </c>
    </row>
    <row r="20640" ht="16.5" customHeight="1">
      <c r="O20640" s="5" t="s">
        <v>355</v>
      </c>
      <c r="P20640" s="5" t="s">
        <v>355</v>
      </c>
      <c r="Q20640" s="5" t="s">
        <v>355</v>
      </c>
    </row>
    <row r="20641" ht="16.5" customHeight="1">
      <c r="O20641" s="5" t="s">
        <v>355</v>
      </c>
      <c r="P20641" s="5" t="s">
        <v>355</v>
      </c>
      <c r="Q20641" s="5" t="s">
        <v>355</v>
      </c>
    </row>
    <row r="20642" ht="16.5" customHeight="1">
      <c r="O20642" s="5" t="s">
        <v>355</v>
      </c>
      <c r="P20642" s="5" t="s">
        <v>355</v>
      </c>
      <c r="Q20642" s="5" t="s">
        <v>355</v>
      </c>
    </row>
    <row r="20643" ht="16.5" customHeight="1">
      <c r="O20643" s="5" t="s">
        <v>355</v>
      </c>
      <c r="P20643" s="5" t="s">
        <v>355</v>
      </c>
      <c r="Q20643" s="5" t="s">
        <v>355</v>
      </c>
    </row>
    <row r="20644" ht="16.5" customHeight="1">
      <c r="O20644" s="5" t="s">
        <v>355</v>
      </c>
      <c r="P20644" s="5" t="s">
        <v>355</v>
      </c>
      <c r="Q20644" s="5" t="s">
        <v>355</v>
      </c>
    </row>
    <row r="20645" ht="16.5" customHeight="1">
      <c r="O20645" s="5" t="s">
        <v>355</v>
      </c>
      <c r="P20645" s="5" t="s">
        <v>355</v>
      </c>
      <c r="Q20645" s="5" t="s">
        <v>355</v>
      </c>
    </row>
    <row r="20646" ht="16.5" customHeight="1">
      <c r="O20646" s="5" t="s">
        <v>355</v>
      </c>
      <c r="P20646" s="5" t="s">
        <v>355</v>
      </c>
      <c r="Q20646" s="5" t="s">
        <v>355</v>
      </c>
    </row>
    <row r="20647" ht="16.5" customHeight="1">
      <c r="O20647" s="5" t="s">
        <v>355</v>
      </c>
      <c r="P20647" s="5" t="s">
        <v>355</v>
      </c>
      <c r="Q20647" s="5" t="s">
        <v>355</v>
      </c>
    </row>
    <row r="20648" ht="16.5" customHeight="1">
      <c r="O20648" s="5" t="s">
        <v>355</v>
      </c>
      <c r="P20648" s="5" t="s">
        <v>355</v>
      </c>
      <c r="Q20648" s="5" t="s">
        <v>355</v>
      </c>
    </row>
    <row r="20649" ht="16.5" customHeight="1">
      <c r="O20649" s="5" t="s">
        <v>355</v>
      </c>
      <c r="P20649" s="5" t="s">
        <v>355</v>
      </c>
      <c r="Q20649" s="5" t="s">
        <v>355</v>
      </c>
    </row>
    <row r="20650" ht="16.5" customHeight="1">
      <c r="O20650" s="5" t="s">
        <v>355</v>
      </c>
      <c r="P20650" s="5" t="s">
        <v>355</v>
      </c>
      <c r="Q20650" s="5" t="s">
        <v>355</v>
      </c>
    </row>
    <row r="20651" ht="16.5" customHeight="1">
      <c r="O20651" s="5" t="s">
        <v>355</v>
      </c>
      <c r="P20651" s="5" t="s">
        <v>355</v>
      </c>
      <c r="Q20651" s="5" t="s">
        <v>355</v>
      </c>
    </row>
    <row r="20652" ht="16.5" customHeight="1">
      <c r="O20652" s="5" t="s">
        <v>355</v>
      </c>
      <c r="P20652" s="5" t="s">
        <v>355</v>
      </c>
      <c r="Q20652" s="5" t="s">
        <v>355</v>
      </c>
    </row>
    <row r="20653" ht="16.5" customHeight="1">
      <c r="O20653" s="5" t="s">
        <v>355</v>
      </c>
      <c r="P20653" s="5" t="s">
        <v>355</v>
      </c>
      <c r="Q20653" s="5" t="s">
        <v>355</v>
      </c>
    </row>
    <row r="20654" ht="16.5" customHeight="1">
      <c r="O20654" s="5" t="s">
        <v>355</v>
      </c>
      <c r="P20654" s="5" t="s">
        <v>355</v>
      </c>
      <c r="Q20654" s="5" t="s">
        <v>355</v>
      </c>
    </row>
    <row r="20655" ht="16.5" customHeight="1">
      <c r="O20655" s="5" t="s">
        <v>355</v>
      </c>
      <c r="P20655" s="5" t="s">
        <v>355</v>
      </c>
      <c r="Q20655" s="5" t="s">
        <v>355</v>
      </c>
    </row>
    <row r="20656" ht="16.5" customHeight="1">
      <c r="O20656" s="5" t="s">
        <v>355</v>
      </c>
      <c r="P20656" s="5" t="s">
        <v>355</v>
      </c>
      <c r="Q20656" s="5" t="s">
        <v>355</v>
      </c>
    </row>
    <row r="20657" ht="16.5" customHeight="1">
      <c r="O20657" s="5" t="s">
        <v>355</v>
      </c>
      <c r="P20657" s="5" t="s">
        <v>355</v>
      </c>
      <c r="Q20657" s="5" t="s">
        <v>355</v>
      </c>
    </row>
    <row r="20658" ht="16.5" customHeight="1">
      <c r="O20658" s="5" t="s">
        <v>355</v>
      </c>
      <c r="P20658" s="5" t="s">
        <v>355</v>
      </c>
      <c r="Q20658" s="5" t="s">
        <v>355</v>
      </c>
    </row>
    <row r="20659" ht="16.5" customHeight="1">
      <c r="O20659" s="5" t="s">
        <v>355</v>
      </c>
      <c r="P20659" s="5" t="s">
        <v>355</v>
      </c>
      <c r="Q20659" s="5" t="s">
        <v>355</v>
      </c>
    </row>
    <row r="20660" ht="16.5" customHeight="1">
      <c r="O20660" s="5" t="s">
        <v>355</v>
      </c>
      <c r="P20660" s="5" t="s">
        <v>355</v>
      </c>
      <c r="Q20660" s="5" t="s">
        <v>355</v>
      </c>
    </row>
    <row r="20661" ht="16.5" customHeight="1">
      <c r="O20661" s="5" t="s">
        <v>355</v>
      </c>
      <c r="P20661" s="5" t="s">
        <v>355</v>
      </c>
      <c r="Q20661" s="5" t="s">
        <v>355</v>
      </c>
    </row>
    <row r="20662" ht="16.5" customHeight="1">
      <c r="O20662" s="5" t="s">
        <v>355</v>
      </c>
      <c r="P20662" s="5" t="s">
        <v>355</v>
      </c>
      <c r="Q20662" s="5" t="s">
        <v>355</v>
      </c>
    </row>
    <row r="20663" ht="16.5" customHeight="1">
      <c r="O20663" s="5" t="s">
        <v>355</v>
      </c>
      <c r="P20663" s="5" t="s">
        <v>355</v>
      </c>
      <c r="Q20663" s="5" t="s">
        <v>355</v>
      </c>
    </row>
    <row r="20664" ht="16.5" customHeight="1">
      <c r="O20664" s="5" t="s">
        <v>355</v>
      </c>
      <c r="P20664" s="5" t="s">
        <v>355</v>
      </c>
      <c r="Q20664" s="5" t="s">
        <v>355</v>
      </c>
    </row>
    <row r="20665" ht="16.5" customHeight="1">
      <c r="O20665" s="5" t="s">
        <v>355</v>
      </c>
      <c r="P20665" s="5" t="s">
        <v>355</v>
      </c>
      <c r="Q20665" s="5" t="s">
        <v>355</v>
      </c>
    </row>
    <row r="20666" ht="16.5" customHeight="1">
      <c r="O20666" s="5" t="s">
        <v>355</v>
      </c>
      <c r="P20666" s="5" t="s">
        <v>355</v>
      </c>
      <c r="Q20666" s="5" t="s">
        <v>355</v>
      </c>
    </row>
    <row r="20667" ht="16.5" customHeight="1">
      <c r="O20667" s="5" t="s">
        <v>355</v>
      </c>
      <c r="P20667" s="5" t="s">
        <v>355</v>
      </c>
      <c r="Q20667" s="5" t="s">
        <v>355</v>
      </c>
    </row>
    <row r="20668" ht="16.5" customHeight="1">
      <c r="O20668" s="5" t="s">
        <v>355</v>
      </c>
      <c r="P20668" s="5" t="s">
        <v>355</v>
      </c>
      <c r="Q20668" s="5" t="s">
        <v>355</v>
      </c>
    </row>
    <row r="20669" ht="16.5" customHeight="1">
      <c r="O20669" s="5" t="s">
        <v>355</v>
      </c>
      <c r="P20669" s="5" t="s">
        <v>355</v>
      </c>
      <c r="Q20669" s="5" t="s">
        <v>355</v>
      </c>
    </row>
    <row r="20670" ht="16.5" customHeight="1">
      <c r="O20670" s="5" t="s">
        <v>355</v>
      </c>
      <c r="P20670" s="5" t="s">
        <v>355</v>
      </c>
      <c r="Q20670" s="5" t="s">
        <v>355</v>
      </c>
    </row>
    <row r="20671" ht="16.5" customHeight="1">
      <c r="O20671" s="5" t="s">
        <v>355</v>
      </c>
      <c r="P20671" s="5" t="s">
        <v>355</v>
      </c>
      <c r="Q20671" s="5" t="s">
        <v>355</v>
      </c>
    </row>
    <row r="20672" ht="16.5" customHeight="1">
      <c r="O20672" s="5" t="s">
        <v>355</v>
      </c>
      <c r="P20672" s="5" t="s">
        <v>355</v>
      </c>
      <c r="Q20672" s="5" t="s">
        <v>355</v>
      </c>
    </row>
    <row r="20673" ht="16.5" customHeight="1">
      <c r="O20673" s="5" t="s">
        <v>355</v>
      </c>
      <c r="P20673" s="5" t="s">
        <v>355</v>
      </c>
      <c r="Q20673" s="5" t="s">
        <v>355</v>
      </c>
    </row>
    <row r="20674" ht="16.5" customHeight="1">
      <c r="O20674" s="5" t="s">
        <v>355</v>
      </c>
      <c r="P20674" s="5" t="s">
        <v>355</v>
      </c>
      <c r="Q20674" s="5" t="s">
        <v>355</v>
      </c>
    </row>
    <row r="20675" ht="16.5" customHeight="1">
      <c r="O20675" s="5" t="s">
        <v>355</v>
      </c>
      <c r="P20675" s="5" t="s">
        <v>355</v>
      </c>
      <c r="Q20675" s="5" t="s">
        <v>355</v>
      </c>
    </row>
    <row r="20676" ht="16.5" customHeight="1">
      <c r="O20676" s="5" t="s">
        <v>355</v>
      </c>
      <c r="P20676" s="5" t="s">
        <v>355</v>
      </c>
      <c r="Q20676" s="5" t="s">
        <v>355</v>
      </c>
    </row>
    <row r="20677" ht="16.5" customHeight="1">
      <c r="O20677" s="5" t="s">
        <v>355</v>
      </c>
      <c r="P20677" s="5" t="s">
        <v>355</v>
      </c>
      <c r="Q20677" s="5" t="s">
        <v>355</v>
      </c>
    </row>
    <row r="20678" ht="16.5" customHeight="1">
      <c r="O20678" s="5" t="s">
        <v>355</v>
      </c>
      <c r="P20678" s="5" t="s">
        <v>355</v>
      </c>
      <c r="Q20678" s="5" t="s">
        <v>355</v>
      </c>
    </row>
    <row r="20679" ht="16.5" customHeight="1">
      <c r="O20679" s="5" t="s">
        <v>355</v>
      </c>
      <c r="P20679" s="5" t="s">
        <v>355</v>
      </c>
      <c r="Q20679" s="5" t="s">
        <v>355</v>
      </c>
    </row>
    <row r="20680" ht="16.5" customHeight="1">
      <c r="O20680" s="5" t="s">
        <v>355</v>
      </c>
      <c r="P20680" s="5" t="s">
        <v>355</v>
      </c>
      <c r="Q20680" s="5" t="s">
        <v>355</v>
      </c>
    </row>
    <row r="20681" ht="16.5" customHeight="1">
      <c r="O20681" s="5" t="s">
        <v>355</v>
      </c>
      <c r="P20681" s="5" t="s">
        <v>355</v>
      </c>
      <c r="Q20681" s="5" t="s">
        <v>355</v>
      </c>
    </row>
    <row r="20682" ht="16.5" customHeight="1">
      <c r="O20682" s="5" t="s">
        <v>355</v>
      </c>
      <c r="P20682" s="5" t="s">
        <v>355</v>
      </c>
      <c r="Q20682" s="5" t="s">
        <v>355</v>
      </c>
    </row>
    <row r="20683" ht="16.5" customHeight="1">
      <c r="O20683" s="5" t="s">
        <v>355</v>
      </c>
      <c r="P20683" s="5" t="s">
        <v>355</v>
      </c>
      <c r="Q20683" s="5" t="s">
        <v>355</v>
      </c>
    </row>
    <row r="20684" ht="16.5" customHeight="1">
      <c r="O20684" s="5" t="s">
        <v>355</v>
      </c>
      <c r="P20684" s="5" t="s">
        <v>355</v>
      </c>
      <c r="Q20684" s="5" t="s">
        <v>355</v>
      </c>
    </row>
    <row r="20685" ht="16.5" customHeight="1">
      <c r="O20685" s="5" t="s">
        <v>355</v>
      </c>
      <c r="P20685" s="5" t="s">
        <v>355</v>
      </c>
      <c r="Q20685" s="5" t="s">
        <v>355</v>
      </c>
    </row>
    <row r="20686" ht="16.5" customHeight="1">
      <c r="O20686" s="5" t="s">
        <v>355</v>
      </c>
      <c r="P20686" s="5" t="s">
        <v>355</v>
      </c>
      <c r="Q20686" s="5" t="s">
        <v>355</v>
      </c>
    </row>
    <row r="20687" ht="16.5" customHeight="1">
      <c r="O20687" s="5" t="s">
        <v>355</v>
      </c>
      <c r="P20687" s="5" t="s">
        <v>355</v>
      </c>
      <c r="Q20687" s="5" t="s">
        <v>355</v>
      </c>
    </row>
    <row r="20688" ht="16.5" customHeight="1">
      <c r="O20688" s="5" t="s">
        <v>355</v>
      </c>
      <c r="P20688" s="5" t="s">
        <v>355</v>
      </c>
      <c r="Q20688" s="5" t="s">
        <v>355</v>
      </c>
    </row>
    <row r="20689" ht="16.5" customHeight="1">
      <c r="O20689" s="5" t="s">
        <v>355</v>
      </c>
      <c r="P20689" s="5" t="s">
        <v>355</v>
      </c>
      <c r="Q20689" s="5" t="s">
        <v>355</v>
      </c>
    </row>
    <row r="20690" ht="16.5" customHeight="1">
      <c r="O20690" s="5" t="s">
        <v>355</v>
      </c>
      <c r="P20690" s="5" t="s">
        <v>355</v>
      </c>
      <c r="Q20690" s="5" t="s">
        <v>355</v>
      </c>
    </row>
    <row r="20691" ht="16.5" customHeight="1">
      <c r="O20691" s="5" t="s">
        <v>355</v>
      </c>
      <c r="P20691" s="5" t="s">
        <v>355</v>
      </c>
      <c r="Q20691" s="5" t="s">
        <v>355</v>
      </c>
    </row>
    <row r="20692" ht="16.5" customHeight="1">
      <c r="O20692" s="5" t="s">
        <v>355</v>
      </c>
      <c r="P20692" s="5" t="s">
        <v>355</v>
      </c>
      <c r="Q20692" s="5" t="s">
        <v>355</v>
      </c>
    </row>
    <row r="20693" ht="16.5" customHeight="1">
      <c r="O20693" s="5" t="s">
        <v>355</v>
      </c>
      <c r="P20693" s="5" t="s">
        <v>355</v>
      </c>
      <c r="Q20693" s="5" t="s">
        <v>355</v>
      </c>
    </row>
    <row r="20694" ht="16.5" customHeight="1">
      <c r="O20694" s="5" t="s">
        <v>355</v>
      </c>
      <c r="P20694" s="5" t="s">
        <v>355</v>
      </c>
      <c r="Q20694" s="5" t="s">
        <v>355</v>
      </c>
    </row>
    <row r="20695" ht="16.5" customHeight="1">
      <c r="O20695" s="5" t="s">
        <v>355</v>
      </c>
      <c r="P20695" s="5" t="s">
        <v>355</v>
      </c>
      <c r="Q20695" s="5" t="s">
        <v>355</v>
      </c>
    </row>
    <row r="20696" ht="16.5" customHeight="1">
      <c r="O20696" s="5" t="s">
        <v>355</v>
      </c>
      <c r="P20696" s="5" t="s">
        <v>355</v>
      </c>
      <c r="Q20696" s="5" t="s">
        <v>355</v>
      </c>
    </row>
    <row r="20697" ht="16.5" customHeight="1">
      <c r="O20697" s="5" t="s">
        <v>355</v>
      </c>
      <c r="P20697" s="5" t="s">
        <v>355</v>
      </c>
      <c r="Q20697" s="5" t="s">
        <v>355</v>
      </c>
    </row>
    <row r="20698" ht="16.5" customHeight="1">
      <c r="O20698" s="5" t="s">
        <v>355</v>
      </c>
      <c r="P20698" s="5" t="s">
        <v>355</v>
      </c>
      <c r="Q20698" s="5" t="s">
        <v>355</v>
      </c>
    </row>
    <row r="20699" ht="16.5" customHeight="1">
      <c r="O20699" s="5" t="s">
        <v>355</v>
      </c>
      <c r="P20699" s="5" t="s">
        <v>355</v>
      </c>
      <c r="Q20699" s="5" t="s">
        <v>355</v>
      </c>
    </row>
    <row r="20700" ht="16.5" customHeight="1">
      <c r="O20700" s="5" t="s">
        <v>355</v>
      </c>
      <c r="P20700" s="5" t="s">
        <v>355</v>
      </c>
      <c r="Q20700" s="5" t="s">
        <v>355</v>
      </c>
    </row>
    <row r="20701" ht="16.5" customHeight="1">
      <c r="O20701" s="5" t="s">
        <v>355</v>
      </c>
      <c r="P20701" s="5" t="s">
        <v>355</v>
      </c>
      <c r="Q20701" s="5" t="s">
        <v>355</v>
      </c>
    </row>
    <row r="20702" ht="16.5" customHeight="1">
      <c r="O20702" s="5" t="s">
        <v>355</v>
      </c>
      <c r="P20702" s="5" t="s">
        <v>355</v>
      </c>
      <c r="Q20702" s="5" t="s">
        <v>355</v>
      </c>
    </row>
    <row r="20703" ht="16.5" customHeight="1">
      <c r="O20703" s="5" t="s">
        <v>355</v>
      </c>
      <c r="P20703" s="5" t="s">
        <v>355</v>
      </c>
      <c r="Q20703" s="5" t="s">
        <v>355</v>
      </c>
    </row>
    <row r="20704" ht="16.5" customHeight="1">
      <c r="O20704" s="5" t="s">
        <v>355</v>
      </c>
      <c r="P20704" s="5" t="s">
        <v>355</v>
      </c>
      <c r="Q20704" s="5" t="s">
        <v>355</v>
      </c>
    </row>
    <row r="20705" ht="16.5" customHeight="1">
      <c r="O20705" s="5" t="s">
        <v>355</v>
      </c>
      <c r="P20705" s="5" t="s">
        <v>355</v>
      </c>
      <c r="Q20705" s="5" t="s">
        <v>355</v>
      </c>
    </row>
    <row r="20706" ht="16.5" customHeight="1">
      <c r="O20706" s="5" t="s">
        <v>355</v>
      </c>
      <c r="P20706" s="5" t="s">
        <v>355</v>
      </c>
      <c r="Q20706" s="5" t="s">
        <v>355</v>
      </c>
    </row>
    <row r="20707" ht="16.5" customHeight="1">
      <c r="O20707" s="5" t="s">
        <v>355</v>
      </c>
      <c r="P20707" s="5" t="s">
        <v>355</v>
      </c>
      <c r="Q20707" s="5" t="s">
        <v>355</v>
      </c>
    </row>
    <row r="20708" ht="16.5" customHeight="1">
      <c r="O20708" s="5" t="s">
        <v>355</v>
      </c>
      <c r="P20708" s="5" t="s">
        <v>355</v>
      </c>
      <c r="Q20708" s="5" t="s">
        <v>355</v>
      </c>
    </row>
    <row r="20709" ht="16.5" customHeight="1">
      <c r="O20709" s="5" t="s">
        <v>355</v>
      </c>
      <c r="P20709" s="5" t="s">
        <v>355</v>
      </c>
      <c r="Q20709" s="5" t="s">
        <v>355</v>
      </c>
    </row>
    <row r="20710" ht="16.5" customHeight="1">
      <c r="O20710" s="5" t="s">
        <v>355</v>
      </c>
      <c r="P20710" s="5" t="s">
        <v>355</v>
      </c>
      <c r="Q20710" s="5" t="s">
        <v>355</v>
      </c>
    </row>
    <row r="20711" ht="16.5" customHeight="1">
      <c r="O20711" s="5" t="s">
        <v>355</v>
      </c>
      <c r="P20711" s="5" t="s">
        <v>355</v>
      </c>
      <c r="Q20711" s="5" t="s">
        <v>355</v>
      </c>
    </row>
    <row r="20712" ht="16.5" customHeight="1">
      <c r="O20712" s="5" t="s">
        <v>355</v>
      </c>
      <c r="P20712" s="5" t="s">
        <v>355</v>
      </c>
      <c r="Q20712" s="5" t="s">
        <v>355</v>
      </c>
    </row>
    <row r="20713" ht="16.5" customHeight="1">
      <c r="O20713" s="5" t="s">
        <v>355</v>
      </c>
      <c r="P20713" s="5" t="s">
        <v>355</v>
      </c>
      <c r="Q20713" s="5" t="s">
        <v>355</v>
      </c>
    </row>
    <row r="20714" ht="16.5" customHeight="1">
      <c r="O20714" s="5" t="s">
        <v>355</v>
      </c>
      <c r="P20714" s="5" t="s">
        <v>355</v>
      </c>
      <c r="Q20714" s="5" t="s">
        <v>355</v>
      </c>
    </row>
    <row r="20715" ht="16.5" customHeight="1">
      <c r="O20715" s="5" t="s">
        <v>355</v>
      </c>
      <c r="P20715" s="5" t="s">
        <v>355</v>
      </c>
      <c r="Q20715" s="5" t="s">
        <v>355</v>
      </c>
    </row>
    <row r="20716" ht="16.5" customHeight="1">
      <c r="O20716" s="5" t="s">
        <v>355</v>
      </c>
      <c r="P20716" s="5" t="s">
        <v>355</v>
      </c>
      <c r="Q20716" s="5" t="s">
        <v>355</v>
      </c>
    </row>
    <row r="20717" ht="16.5" customHeight="1">
      <c r="O20717" s="5" t="s">
        <v>355</v>
      </c>
      <c r="P20717" s="5" t="s">
        <v>355</v>
      </c>
      <c r="Q20717" s="5" t="s">
        <v>355</v>
      </c>
    </row>
    <row r="20718" ht="16.5" customHeight="1">
      <c r="O20718" s="5" t="s">
        <v>355</v>
      </c>
      <c r="P20718" s="5" t="s">
        <v>355</v>
      </c>
      <c r="Q20718" s="5" t="s">
        <v>355</v>
      </c>
    </row>
    <row r="20719" ht="16.5" customHeight="1">
      <c r="O20719" s="5" t="s">
        <v>355</v>
      </c>
      <c r="P20719" s="5" t="s">
        <v>355</v>
      </c>
      <c r="Q20719" s="5" t="s">
        <v>355</v>
      </c>
    </row>
    <row r="20720" ht="16.5" customHeight="1">
      <c r="O20720" s="5" t="s">
        <v>355</v>
      </c>
      <c r="P20720" s="5" t="s">
        <v>355</v>
      </c>
      <c r="Q20720" s="5" t="s">
        <v>355</v>
      </c>
    </row>
    <row r="20721" ht="16.5" customHeight="1">
      <c r="O20721" s="5" t="s">
        <v>355</v>
      </c>
      <c r="P20721" s="5" t="s">
        <v>355</v>
      </c>
      <c r="Q20721" s="5" t="s">
        <v>355</v>
      </c>
    </row>
    <row r="20722" ht="16.5" customHeight="1">
      <c r="O20722" s="5" t="s">
        <v>355</v>
      </c>
      <c r="P20722" s="5" t="s">
        <v>355</v>
      </c>
      <c r="Q20722" s="5" t="s">
        <v>355</v>
      </c>
    </row>
    <row r="20723" ht="16.5" customHeight="1">
      <c r="O20723" s="5" t="s">
        <v>355</v>
      </c>
      <c r="P20723" s="5" t="s">
        <v>355</v>
      </c>
      <c r="Q20723" s="5" t="s">
        <v>355</v>
      </c>
    </row>
    <row r="20724" ht="16.5" customHeight="1">
      <c r="O20724" s="5" t="s">
        <v>355</v>
      </c>
      <c r="P20724" s="5" t="s">
        <v>355</v>
      </c>
      <c r="Q20724" s="5" t="s">
        <v>355</v>
      </c>
    </row>
    <row r="20725" ht="16.5" customHeight="1">
      <c r="O20725" s="5" t="s">
        <v>355</v>
      </c>
      <c r="P20725" s="5" t="s">
        <v>355</v>
      </c>
      <c r="Q20725" s="5" t="s">
        <v>355</v>
      </c>
    </row>
    <row r="20726" ht="16.5" customHeight="1">
      <c r="O20726" s="5" t="s">
        <v>355</v>
      </c>
      <c r="P20726" s="5" t="s">
        <v>355</v>
      </c>
      <c r="Q20726" s="5" t="s">
        <v>355</v>
      </c>
    </row>
    <row r="20727" ht="16.5" customHeight="1">
      <c r="O20727" s="5" t="s">
        <v>355</v>
      </c>
      <c r="P20727" s="5" t="s">
        <v>355</v>
      </c>
      <c r="Q20727" s="5" t="s">
        <v>355</v>
      </c>
    </row>
    <row r="20728" ht="16.5" customHeight="1">
      <c r="O20728" s="5" t="s">
        <v>355</v>
      </c>
      <c r="P20728" s="5" t="s">
        <v>355</v>
      </c>
      <c r="Q20728" s="5" t="s">
        <v>355</v>
      </c>
    </row>
    <row r="20729" ht="16.5" customHeight="1">
      <c r="O20729" s="5" t="s">
        <v>355</v>
      </c>
      <c r="P20729" s="5" t="s">
        <v>355</v>
      </c>
      <c r="Q20729" s="5" t="s">
        <v>355</v>
      </c>
    </row>
    <row r="20730" ht="16.5" customHeight="1">
      <c r="O20730" s="5" t="s">
        <v>355</v>
      </c>
      <c r="P20730" s="5" t="s">
        <v>355</v>
      </c>
      <c r="Q20730" s="5" t="s">
        <v>355</v>
      </c>
    </row>
    <row r="20731" ht="16.5" customHeight="1">
      <c r="O20731" s="5" t="s">
        <v>355</v>
      </c>
      <c r="P20731" s="5" t="s">
        <v>355</v>
      </c>
      <c r="Q20731" s="5" t="s">
        <v>355</v>
      </c>
    </row>
    <row r="20732" ht="16.5" customHeight="1">
      <c r="O20732" s="5" t="s">
        <v>355</v>
      </c>
      <c r="P20732" s="5" t="s">
        <v>355</v>
      </c>
      <c r="Q20732" s="5" t="s">
        <v>355</v>
      </c>
    </row>
    <row r="20733" ht="16.5" customHeight="1">
      <c r="O20733" s="5" t="s">
        <v>355</v>
      </c>
      <c r="P20733" s="5" t="s">
        <v>355</v>
      </c>
      <c r="Q20733" s="5" t="s">
        <v>355</v>
      </c>
    </row>
    <row r="20734" ht="16.5" customHeight="1">
      <c r="O20734" s="5" t="s">
        <v>355</v>
      </c>
      <c r="P20734" s="5" t="s">
        <v>355</v>
      </c>
      <c r="Q20734" s="5" t="s">
        <v>355</v>
      </c>
    </row>
    <row r="20735" ht="16.5" customHeight="1">
      <c r="O20735" s="5" t="s">
        <v>355</v>
      </c>
      <c r="P20735" s="5" t="s">
        <v>355</v>
      </c>
      <c r="Q20735" s="5" t="s">
        <v>355</v>
      </c>
    </row>
    <row r="20736" ht="16.5" customHeight="1">
      <c r="O20736" s="5" t="s">
        <v>355</v>
      </c>
      <c r="P20736" s="5" t="s">
        <v>355</v>
      </c>
      <c r="Q20736" s="5" t="s">
        <v>355</v>
      </c>
    </row>
    <row r="20737" ht="16.5" customHeight="1">
      <c r="O20737" s="5" t="s">
        <v>355</v>
      </c>
      <c r="P20737" s="5" t="s">
        <v>355</v>
      </c>
      <c r="Q20737" s="5" t="s">
        <v>355</v>
      </c>
    </row>
    <row r="20738" ht="16.5" customHeight="1">
      <c r="O20738" s="5" t="s">
        <v>355</v>
      </c>
      <c r="P20738" s="5" t="s">
        <v>355</v>
      </c>
      <c r="Q20738" s="5" t="s">
        <v>355</v>
      </c>
    </row>
    <row r="20739" ht="16.5" customHeight="1">
      <c r="O20739" s="5" t="s">
        <v>355</v>
      </c>
      <c r="P20739" s="5" t="s">
        <v>355</v>
      </c>
      <c r="Q20739" s="5" t="s">
        <v>355</v>
      </c>
    </row>
    <row r="20740" ht="16.5" customHeight="1">
      <c r="O20740" s="5" t="s">
        <v>355</v>
      </c>
      <c r="P20740" s="5" t="s">
        <v>355</v>
      </c>
      <c r="Q20740" s="5" t="s">
        <v>355</v>
      </c>
    </row>
    <row r="20741" ht="16.5" customHeight="1">
      <c r="O20741" s="5" t="s">
        <v>355</v>
      </c>
      <c r="P20741" s="5" t="s">
        <v>355</v>
      </c>
      <c r="Q20741" s="5" t="s">
        <v>355</v>
      </c>
    </row>
    <row r="20742" ht="16.5" customHeight="1">
      <c r="O20742" s="5" t="s">
        <v>355</v>
      </c>
      <c r="P20742" s="5" t="s">
        <v>355</v>
      </c>
      <c r="Q20742" s="5" t="s">
        <v>355</v>
      </c>
    </row>
    <row r="20743" ht="16.5" customHeight="1">
      <c r="O20743" s="5" t="s">
        <v>355</v>
      </c>
      <c r="P20743" s="5" t="s">
        <v>355</v>
      </c>
      <c r="Q20743" s="5" t="s">
        <v>355</v>
      </c>
    </row>
    <row r="20744" ht="16.5" customHeight="1">
      <c r="O20744" s="5" t="s">
        <v>355</v>
      </c>
      <c r="P20744" s="5" t="s">
        <v>355</v>
      </c>
      <c r="Q20744" s="5" t="s">
        <v>355</v>
      </c>
    </row>
    <row r="20745" ht="16.5" customHeight="1">
      <c r="O20745" s="5" t="s">
        <v>355</v>
      </c>
      <c r="P20745" s="5" t="s">
        <v>355</v>
      </c>
      <c r="Q20745" s="5" t="s">
        <v>355</v>
      </c>
    </row>
    <row r="20746" ht="16.5" customHeight="1">
      <c r="O20746" s="5" t="s">
        <v>355</v>
      </c>
      <c r="P20746" s="5" t="s">
        <v>355</v>
      </c>
      <c r="Q20746" s="5" t="s">
        <v>355</v>
      </c>
    </row>
    <row r="20747" ht="16.5" customHeight="1">
      <c r="O20747" s="5" t="s">
        <v>355</v>
      </c>
      <c r="P20747" s="5" t="s">
        <v>355</v>
      </c>
      <c r="Q20747" s="5" t="s">
        <v>355</v>
      </c>
    </row>
    <row r="20748" ht="16.5" customHeight="1">
      <c r="O20748" s="5" t="s">
        <v>355</v>
      </c>
      <c r="P20748" s="5" t="s">
        <v>355</v>
      </c>
      <c r="Q20748" s="5" t="s">
        <v>355</v>
      </c>
    </row>
    <row r="20749" ht="16.5" customHeight="1">
      <c r="O20749" s="5" t="s">
        <v>355</v>
      </c>
      <c r="P20749" s="5" t="s">
        <v>355</v>
      </c>
      <c r="Q20749" s="5" t="s">
        <v>355</v>
      </c>
    </row>
    <row r="20750" ht="16.5" customHeight="1">
      <c r="O20750" s="5" t="s">
        <v>355</v>
      </c>
      <c r="P20750" s="5" t="s">
        <v>355</v>
      </c>
      <c r="Q20750" s="5" t="s">
        <v>355</v>
      </c>
    </row>
    <row r="20751" ht="16.5" customHeight="1">
      <c r="O20751" s="5" t="s">
        <v>355</v>
      </c>
      <c r="P20751" s="5" t="s">
        <v>355</v>
      </c>
      <c r="Q20751" s="5" t="s">
        <v>355</v>
      </c>
    </row>
    <row r="20752" ht="16.5" customHeight="1">
      <c r="O20752" s="5" t="s">
        <v>355</v>
      </c>
      <c r="P20752" s="5" t="s">
        <v>355</v>
      </c>
      <c r="Q20752" s="5" t="s">
        <v>355</v>
      </c>
    </row>
    <row r="20753" ht="16.5" customHeight="1">
      <c r="O20753" s="5" t="s">
        <v>355</v>
      </c>
      <c r="P20753" s="5" t="s">
        <v>355</v>
      </c>
      <c r="Q20753" s="5" t="s">
        <v>355</v>
      </c>
    </row>
    <row r="20754" ht="16.5" customHeight="1">
      <c r="O20754" s="5" t="s">
        <v>355</v>
      </c>
      <c r="P20754" s="5" t="s">
        <v>355</v>
      </c>
      <c r="Q20754" s="5" t="s">
        <v>355</v>
      </c>
    </row>
    <row r="20755" ht="16.5" customHeight="1">
      <c r="O20755" s="5" t="s">
        <v>355</v>
      </c>
      <c r="P20755" s="5" t="s">
        <v>355</v>
      </c>
      <c r="Q20755" s="5" t="s">
        <v>355</v>
      </c>
    </row>
    <row r="20756" ht="16.5" customHeight="1">
      <c r="O20756" s="5" t="s">
        <v>355</v>
      </c>
      <c r="P20756" s="5" t="s">
        <v>355</v>
      </c>
      <c r="Q20756" s="5" t="s">
        <v>355</v>
      </c>
    </row>
    <row r="20757" ht="16.5" customHeight="1">
      <c r="O20757" s="5" t="s">
        <v>355</v>
      </c>
      <c r="P20757" s="5" t="s">
        <v>355</v>
      </c>
      <c r="Q20757" s="5" t="s">
        <v>355</v>
      </c>
    </row>
    <row r="20758" ht="16.5" customHeight="1">
      <c r="O20758" s="5" t="s">
        <v>355</v>
      </c>
      <c r="P20758" s="5" t="s">
        <v>355</v>
      </c>
      <c r="Q20758" s="5" t="s">
        <v>355</v>
      </c>
    </row>
    <row r="20759" ht="16.5" customHeight="1">
      <c r="O20759" s="5" t="s">
        <v>355</v>
      </c>
      <c r="P20759" s="5" t="s">
        <v>355</v>
      </c>
      <c r="Q20759" s="5" t="s">
        <v>355</v>
      </c>
    </row>
    <row r="20760" ht="16.5" customHeight="1">
      <c r="O20760" s="5" t="s">
        <v>355</v>
      </c>
      <c r="P20760" s="5" t="s">
        <v>355</v>
      </c>
      <c r="Q20760" s="5" t="s">
        <v>355</v>
      </c>
    </row>
    <row r="20761" ht="16.5" customHeight="1">
      <c r="O20761" s="5" t="s">
        <v>355</v>
      </c>
      <c r="P20761" s="5" t="s">
        <v>355</v>
      </c>
      <c r="Q20761" s="5" t="s">
        <v>355</v>
      </c>
    </row>
    <row r="20762" ht="16.5" customHeight="1">
      <c r="O20762" s="5" t="s">
        <v>355</v>
      </c>
      <c r="P20762" s="5" t="s">
        <v>355</v>
      </c>
      <c r="Q20762" s="5" t="s">
        <v>355</v>
      </c>
    </row>
    <row r="20763" ht="16.5" customHeight="1">
      <c r="O20763" s="5" t="s">
        <v>355</v>
      </c>
      <c r="P20763" s="5" t="s">
        <v>355</v>
      </c>
      <c r="Q20763" s="5" t="s">
        <v>355</v>
      </c>
    </row>
    <row r="20764" ht="16.5" customHeight="1">
      <c r="O20764" s="5" t="s">
        <v>355</v>
      </c>
      <c r="P20764" s="5" t="s">
        <v>355</v>
      </c>
      <c r="Q20764" s="5" t="s">
        <v>355</v>
      </c>
    </row>
    <row r="20765" ht="16.5" customHeight="1">
      <c r="O20765" s="5" t="s">
        <v>355</v>
      </c>
      <c r="P20765" s="5" t="s">
        <v>355</v>
      </c>
      <c r="Q20765" s="5" t="s">
        <v>355</v>
      </c>
    </row>
    <row r="20766" ht="16.5" customHeight="1">
      <c r="O20766" s="5" t="s">
        <v>355</v>
      </c>
      <c r="P20766" s="5" t="s">
        <v>355</v>
      </c>
      <c r="Q20766" s="5" t="s">
        <v>355</v>
      </c>
    </row>
    <row r="20767" ht="16.5" customHeight="1">
      <c r="O20767" s="5" t="s">
        <v>355</v>
      </c>
      <c r="P20767" s="5" t="s">
        <v>355</v>
      </c>
      <c r="Q20767" s="5" t="s">
        <v>355</v>
      </c>
    </row>
    <row r="20768" ht="16.5" customHeight="1">
      <c r="O20768" s="5" t="s">
        <v>355</v>
      </c>
      <c r="P20768" s="5" t="s">
        <v>355</v>
      </c>
      <c r="Q20768" s="5" t="s">
        <v>355</v>
      </c>
    </row>
    <row r="20769" ht="16.5" customHeight="1">
      <c r="O20769" s="5" t="s">
        <v>355</v>
      </c>
      <c r="P20769" s="5" t="s">
        <v>355</v>
      </c>
      <c r="Q20769" s="5" t="s">
        <v>355</v>
      </c>
    </row>
    <row r="20770" ht="16.5" customHeight="1">
      <c r="O20770" s="5" t="s">
        <v>355</v>
      </c>
      <c r="P20770" s="5" t="s">
        <v>355</v>
      </c>
      <c r="Q20770" s="5" t="s">
        <v>355</v>
      </c>
    </row>
    <row r="20771" ht="16.5" customHeight="1">
      <c r="O20771" s="5" t="s">
        <v>355</v>
      </c>
      <c r="P20771" s="5" t="s">
        <v>355</v>
      </c>
      <c r="Q20771" s="5" t="s">
        <v>355</v>
      </c>
    </row>
    <row r="20772" ht="16.5" customHeight="1">
      <c r="O20772" s="5" t="s">
        <v>355</v>
      </c>
      <c r="P20772" s="5" t="s">
        <v>355</v>
      </c>
      <c r="Q20772" s="5" t="s">
        <v>355</v>
      </c>
    </row>
    <row r="20773" ht="16.5" customHeight="1">
      <c r="O20773" s="5" t="s">
        <v>355</v>
      </c>
      <c r="P20773" s="5" t="s">
        <v>355</v>
      </c>
      <c r="Q20773" s="5" t="s">
        <v>355</v>
      </c>
    </row>
    <row r="20774" ht="16.5" customHeight="1">
      <c r="O20774" s="5" t="s">
        <v>355</v>
      </c>
      <c r="P20774" s="5" t="s">
        <v>355</v>
      </c>
      <c r="Q20774" s="5" t="s">
        <v>355</v>
      </c>
    </row>
    <row r="20775" ht="16.5" customHeight="1">
      <c r="O20775" s="5" t="s">
        <v>355</v>
      </c>
      <c r="P20775" s="5" t="s">
        <v>355</v>
      </c>
      <c r="Q20775" s="5" t="s">
        <v>355</v>
      </c>
    </row>
    <row r="20776" ht="16.5" customHeight="1">
      <c r="O20776" s="5" t="s">
        <v>355</v>
      </c>
      <c r="P20776" s="5" t="s">
        <v>355</v>
      </c>
      <c r="Q20776" s="5" t="s">
        <v>355</v>
      </c>
    </row>
    <row r="20777" ht="16.5" customHeight="1">
      <c r="O20777" s="5" t="s">
        <v>355</v>
      </c>
      <c r="P20777" s="5" t="s">
        <v>355</v>
      </c>
      <c r="Q20777" s="5" t="s">
        <v>355</v>
      </c>
    </row>
    <row r="20778" ht="16.5" customHeight="1">
      <c r="O20778" s="5" t="s">
        <v>355</v>
      </c>
      <c r="P20778" s="5" t="s">
        <v>355</v>
      </c>
      <c r="Q20778" s="5" t="s">
        <v>355</v>
      </c>
    </row>
    <row r="20779" ht="16.5" customHeight="1">
      <c r="O20779" s="5" t="s">
        <v>355</v>
      </c>
      <c r="P20779" s="5" t="s">
        <v>355</v>
      </c>
      <c r="Q20779" s="5" t="s">
        <v>355</v>
      </c>
    </row>
    <row r="20780" ht="16.5" customHeight="1">
      <c r="O20780" s="5" t="s">
        <v>355</v>
      </c>
      <c r="P20780" s="5" t="s">
        <v>355</v>
      </c>
      <c r="Q20780" s="5" t="s">
        <v>355</v>
      </c>
    </row>
    <row r="20781" ht="16.5" customHeight="1">
      <c r="O20781" s="5" t="s">
        <v>355</v>
      </c>
      <c r="P20781" s="5" t="s">
        <v>355</v>
      </c>
      <c r="Q20781" s="5" t="s">
        <v>355</v>
      </c>
    </row>
    <row r="20782" ht="16.5" customHeight="1">
      <c r="O20782" s="5" t="s">
        <v>355</v>
      </c>
      <c r="P20782" s="5" t="s">
        <v>355</v>
      </c>
      <c r="Q20782" s="5" t="s">
        <v>355</v>
      </c>
    </row>
    <row r="20783" ht="16.5" customHeight="1">
      <c r="O20783" s="5" t="s">
        <v>355</v>
      </c>
      <c r="P20783" s="5" t="s">
        <v>355</v>
      </c>
      <c r="Q20783" s="5" t="s">
        <v>355</v>
      </c>
    </row>
    <row r="20784" ht="16.5" customHeight="1">
      <c r="O20784" s="5" t="s">
        <v>355</v>
      </c>
      <c r="P20784" s="5" t="s">
        <v>355</v>
      </c>
      <c r="Q20784" s="5" t="s">
        <v>355</v>
      </c>
    </row>
    <row r="20785" ht="16.5" customHeight="1">
      <c r="O20785" s="5" t="s">
        <v>355</v>
      </c>
      <c r="P20785" s="5" t="s">
        <v>355</v>
      </c>
      <c r="Q20785" s="5" t="s">
        <v>355</v>
      </c>
    </row>
    <row r="20786" ht="16.5" customHeight="1">
      <c r="O20786" s="5" t="s">
        <v>355</v>
      </c>
      <c r="P20786" s="5" t="s">
        <v>355</v>
      </c>
      <c r="Q20786" s="5" t="s">
        <v>355</v>
      </c>
    </row>
    <row r="20787" ht="16.5" customHeight="1">
      <c r="O20787" s="5" t="s">
        <v>355</v>
      </c>
      <c r="P20787" s="5" t="s">
        <v>355</v>
      </c>
      <c r="Q20787" s="5" t="s">
        <v>355</v>
      </c>
    </row>
    <row r="20788" ht="16.5" customHeight="1">
      <c r="O20788" s="5" t="s">
        <v>355</v>
      </c>
      <c r="P20788" s="5" t="s">
        <v>355</v>
      </c>
      <c r="Q20788" s="5" t="s">
        <v>355</v>
      </c>
    </row>
    <row r="20789" ht="16.5" customHeight="1">
      <c r="O20789" s="5" t="s">
        <v>355</v>
      </c>
      <c r="P20789" s="5" t="s">
        <v>355</v>
      </c>
      <c r="Q20789" s="5" t="s">
        <v>355</v>
      </c>
    </row>
    <row r="20790" ht="16.5" customHeight="1">
      <c r="O20790" s="5" t="s">
        <v>355</v>
      </c>
      <c r="P20790" s="5" t="s">
        <v>355</v>
      </c>
      <c r="Q20790" s="5" t="s">
        <v>355</v>
      </c>
    </row>
    <row r="20791" ht="16.5" customHeight="1">
      <c r="O20791" s="5" t="s">
        <v>355</v>
      </c>
      <c r="P20791" s="5" t="s">
        <v>355</v>
      </c>
      <c r="Q20791" s="5" t="s">
        <v>355</v>
      </c>
    </row>
    <row r="20792" ht="16.5" customHeight="1">
      <c r="O20792" s="5" t="s">
        <v>355</v>
      </c>
      <c r="P20792" s="5" t="s">
        <v>355</v>
      </c>
      <c r="Q20792" s="5" t="s">
        <v>355</v>
      </c>
    </row>
    <row r="20793" ht="16.5" customHeight="1">
      <c r="O20793" s="5" t="s">
        <v>355</v>
      </c>
      <c r="P20793" s="5" t="s">
        <v>355</v>
      </c>
      <c r="Q20793" s="5" t="s">
        <v>355</v>
      </c>
    </row>
    <row r="20794" ht="16.5" customHeight="1">
      <c r="O20794" s="5" t="s">
        <v>355</v>
      </c>
      <c r="P20794" s="5" t="s">
        <v>355</v>
      </c>
      <c r="Q20794" s="5" t="s">
        <v>355</v>
      </c>
    </row>
    <row r="20795" ht="16.5" customHeight="1">
      <c r="O20795" s="5" t="s">
        <v>355</v>
      </c>
      <c r="P20795" s="5" t="s">
        <v>355</v>
      </c>
      <c r="Q20795" s="5" t="s">
        <v>355</v>
      </c>
    </row>
    <row r="20796" ht="16.5" customHeight="1">
      <c r="O20796" s="5" t="s">
        <v>355</v>
      </c>
      <c r="P20796" s="5" t="s">
        <v>355</v>
      </c>
      <c r="Q20796" s="5" t="s">
        <v>355</v>
      </c>
    </row>
    <row r="20797" ht="16.5" customHeight="1">
      <c r="O20797" s="5" t="s">
        <v>355</v>
      </c>
      <c r="P20797" s="5" t="s">
        <v>355</v>
      </c>
      <c r="Q20797" s="5" t="s">
        <v>355</v>
      </c>
    </row>
    <row r="20798" ht="16.5" customHeight="1">
      <c r="O20798" s="5" t="s">
        <v>355</v>
      </c>
      <c r="P20798" s="5" t="s">
        <v>355</v>
      </c>
      <c r="Q20798" s="5" t="s">
        <v>355</v>
      </c>
    </row>
    <row r="20799" ht="16.5" customHeight="1">
      <c r="O20799" s="5" t="s">
        <v>355</v>
      </c>
      <c r="P20799" s="5" t="s">
        <v>355</v>
      </c>
      <c r="Q20799" s="5" t="s">
        <v>355</v>
      </c>
    </row>
    <row r="20800" ht="16.5" customHeight="1">
      <c r="O20800" s="5" t="s">
        <v>355</v>
      </c>
      <c r="P20800" s="5" t="s">
        <v>355</v>
      </c>
      <c r="Q20800" s="5" t="s">
        <v>355</v>
      </c>
    </row>
    <row r="20801" ht="16.5" customHeight="1">
      <c r="O20801" s="5" t="s">
        <v>355</v>
      </c>
      <c r="P20801" s="5" t="s">
        <v>355</v>
      </c>
      <c r="Q20801" s="5" t="s">
        <v>355</v>
      </c>
    </row>
    <row r="20802" ht="16.5" customHeight="1">
      <c r="O20802" s="5" t="s">
        <v>355</v>
      </c>
      <c r="P20802" s="5" t="s">
        <v>355</v>
      </c>
      <c r="Q20802" s="5" t="s">
        <v>355</v>
      </c>
    </row>
    <row r="20803" ht="16.5" customHeight="1">
      <c r="O20803" s="5" t="s">
        <v>355</v>
      </c>
      <c r="P20803" s="5" t="s">
        <v>355</v>
      </c>
      <c r="Q20803" s="5" t="s">
        <v>355</v>
      </c>
    </row>
    <row r="20804" ht="16.5" customHeight="1">
      <c r="O20804" s="5" t="s">
        <v>355</v>
      </c>
      <c r="P20804" s="5" t="s">
        <v>355</v>
      </c>
      <c r="Q20804" s="5" t="s">
        <v>355</v>
      </c>
    </row>
    <row r="20805" ht="16.5" customHeight="1">
      <c r="O20805" s="5" t="s">
        <v>355</v>
      </c>
      <c r="P20805" s="5" t="s">
        <v>355</v>
      </c>
      <c r="Q20805" s="5" t="s">
        <v>355</v>
      </c>
    </row>
    <row r="20806" ht="16.5" customHeight="1">
      <c r="O20806" s="5" t="s">
        <v>355</v>
      </c>
      <c r="P20806" s="5" t="s">
        <v>355</v>
      </c>
      <c r="Q20806" s="5" t="s">
        <v>355</v>
      </c>
    </row>
    <row r="20807" ht="16.5" customHeight="1">
      <c r="O20807" s="5" t="s">
        <v>355</v>
      </c>
      <c r="P20807" s="5" t="s">
        <v>355</v>
      </c>
      <c r="Q20807" s="5" t="s">
        <v>355</v>
      </c>
    </row>
    <row r="20808" ht="16.5" customHeight="1">
      <c r="O20808" s="5" t="s">
        <v>355</v>
      </c>
      <c r="P20808" s="5" t="s">
        <v>355</v>
      </c>
      <c r="Q20808" s="5" t="s">
        <v>355</v>
      </c>
    </row>
    <row r="20809" ht="16.5" customHeight="1">
      <c r="O20809" s="5" t="s">
        <v>355</v>
      </c>
      <c r="P20809" s="5" t="s">
        <v>355</v>
      </c>
      <c r="Q20809" s="5" t="s">
        <v>355</v>
      </c>
    </row>
    <row r="20810" ht="16.5" customHeight="1">
      <c r="O20810" s="5" t="s">
        <v>355</v>
      </c>
      <c r="P20810" s="5" t="s">
        <v>355</v>
      </c>
      <c r="Q20810" s="5" t="s">
        <v>355</v>
      </c>
    </row>
    <row r="20811" ht="16.5" customHeight="1">
      <c r="O20811" s="5" t="s">
        <v>355</v>
      </c>
      <c r="P20811" s="5" t="s">
        <v>355</v>
      </c>
      <c r="Q20811" s="5" t="s">
        <v>355</v>
      </c>
    </row>
    <row r="20812" ht="16.5" customHeight="1">
      <c r="O20812" s="5" t="s">
        <v>355</v>
      </c>
      <c r="P20812" s="5" t="s">
        <v>355</v>
      </c>
      <c r="Q20812" s="5" t="s">
        <v>355</v>
      </c>
    </row>
    <row r="20813" ht="16.5" customHeight="1">
      <c r="O20813" s="5" t="s">
        <v>355</v>
      </c>
      <c r="P20813" s="5" t="s">
        <v>355</v>
      </c>
      <c r="Q20813" s="5" t="s">
        <v>355</v>
      </c>
    </row>
    <row r="20814" ht="16.5" customHeight="1">
      <c r="O20814" s="5" t="s">
        <v>355</v>
      </c>
      <c r="P20814" s="5" t="s">
        <v>355</v>
      </c>
      <c r="Q20814" s="5" t="s">
        <v>355</v>
      </c>
    </row>
    <row r="20815" ht="16.5" customHeight="1">
      <c r="O20815" s="5" t="s">
        <v>355</v>
      </c>
      <c r="P20815" s="5" t="s">
        <v>355</v>
      </c>
      <c r="Q20815" s="5" t="s">
        <v>355</v>
      </c>
    </row>
    <row r="20816" ht="16.5" customHeight="1">
      <c r="O20816" s="5" t="s">
        <v>355</v>
      </c>
      <c r="P20816" s="5" t="s">
        <v>355</v>
      </c>
      <c r="Q20816" s="5" t="s">
        <v>355</v>
      </c>
    </row>
    <row r="20817" ht="16.5" customHeight="1">
      <c r="O20817" s="5" t="s">
        <v>355</v>
      </c>
      <c r="P20817" s="5" t="s">
        <v>355</v>
      </c>
      <c r="Q20817" s="5" t="s">
        <v>355</v>
      </c>
    </row>
    <row r="20818" ht="16.5" customHeight="1">
      <c r="O20818" s="5" t="s">
        <v>355</v>
      </c>
      <c r="P20818" s="5" t="s">
        <v>355</v>
      </c>
      <c r="Q20818" s="5" t="s">
        <v>355</v>
      </c>
    </row>
    <row r="20819" ht="16.5" customHeight="1">
      <c r="O20819" s="5" t="s">
        <v>355</v>
      </c>
      <c r="P20819" s="5" t="s">
        <v>355</v>
      </c>
      <c r="Q20819" s="5" t="s">
        <v>355</v>
      </c>
    </row>
    <row r="20820" ht="16.5" customHeight="1">
      <c r="O20820" s="5" t="s">
        <v>355</v>
      </c>
      <c r="P20820" s="5" t="s">
        <v>355</v>
      </c>
      <c r="Q20820" s="5" t="s">
        <v>355</v>
      </c>
    </row>
    <row r="20821" ht="16.5" customHeight="1">
      <c r="O20821" s="5" t="s">
        <v>355</v>
      </c>
      <c r="P20821" s="5" t="s">
        <v>355</v>
      </c>
      <c r="Q20821" s="5" t="s">
        <v>355</v>
      </c>
    </row>
    <row r="20822" ht="16.5" customHeight="1">
      <c r="O20822" s="5" t="s">
        <v>355</v>
      </c>
      <c r="P20822" s="5" t="s">
        <v>355</v>
      </c>
      <c r="Q20822" s="5" t="s">
        <v>355</v>
      </c>
    </row>
    <row r="20823" ht="16.5" customHeight="1">
      <c r="O20823" s="5" t="s">
        <v>355</v>
      </c>
      <c r="P20823" s="5" t="s">
        <v>355</v>
      </c>
      <c r="Q20823" s="5" t="s">
        <v>355</v>
      </c>
    </row>
    <row r="20824" ht="16.5" customHeight="1">
      <c r="O20824" s="5" t="s">
        <v>355</v>
      </c>
      <c r="P20824" s="5" t="s">
        <v>355</v>
      </c>
      <c r="Q20824" s="5" t="s">
        <v>355</v>
      </c>
    </row>
    <row r="20825" ht="16.5" customHeight="1">
      <c r="O20825" s="5" t="s">
        <v>355</v>
      </c>
      <c r="P20825" s="5" t="s">
        <v>355</v>
      </c>
      <c r="Q20825" s="5" t="s">
        <v>355</v>
      </c>
    </row>
    <row r="20826" ht="16.5" customHeight="1">
      <c r="O20826" s="5" t="s">
        <v>355</v>
      </c>
      <c r="P20826" s="5" t="s">
        <v>355</v>
      </c>
      <c r="Q20826" s="5" t="s">
        <v>355</v>
      </c>
    </row>
    <row r="20827" ht="16.5" customHeight="1">
      <c r="O20827" s="5" t="s">
        <v>355</v>
      </c>
      <c r="P20827" s="5" t="s">
        <v>355</v>
      </c>
      <c r="Q20827" s="5" t="s">
        <v>355</v>
      </c>
    </row>
    <row r="20828" ht="16.5" customHeight="1">
      <c r="O20828" s="5" t="s">
        <v>355</v>
      </c>
      <c r="P20828" s="5" t="s">
        <v>355</v>
      </c>
      <c r="Q20828" s="5" t="s">
        <v>355</v>
      </c>
    </row>
    <row r="20829" ht="16.5" customHeight="1">
      <c r="O20829" s="5" t="s">
        <v>355</v>
      </c>
      <c r="P20829" s="5" t="s">
        <v>355</v>
      </c>
      <c r="Q20829" s="5" t="s">
        <v>355</v>
      </c>
    </row>
    <row r="20830" ht="16.5" customHeight="1">
      <c r="O20830" s="5" t="s">
        <v>355</v>
      </c>
      <c r="P20830" s="5" t="s">
        <v>355</v>
      </c>
      <c r="Q20830" s="5" t="s">
        <v>355</v>
      </c>
    </row>
    <row r="20831" ht="16.5" customHeight="1">
      <c r="O20831" s="5" t="s">
        <v>355</v>
      </c>
      <c r="P20831" s="5" t="s">
        <v>355</v>
      </c>
      <c r="Q20831" s="5" t="s">
        <v>355</v>
      </c>
    </row>
    <row r="20832" ht="16.5" customHeight="1">
      <c r="O20832" s="5" t="s">
        <v>355</v>
      </c>
      <c r="P20832" s="5" t="s">
        <v>355</v>
      </c>
      <c r="Q20832" s="5" t="s">
        <v>355</v>
      </c>
    </row>
    <row r="20833" ht="16.5" customHeight="1">
      <c r="O20833" s="5" t="s">
        <v>355</v>
      </c>
      <c r="P20833" s="5" t="s">
        <v>355</v>
      </c>
      <c r="Q20833" s="5" t="s">
        <v>355</v>
      </c>
    </row>
    <row r="20834" ht="16.5" customHeight="1">
      <c r="O20834" s="5" t="s">
        <v>355</v>
      </c>
      <c r="P20834" s="5" t="s">
        <v>355</v>
      </c>
      <c r="Q20834" s="5" t="s">
        <v>355</v>
      </c>
    </row>
    <row r="20835" ht="16.5" customHeight="1">
      <c r="O20835" s="5" t="s">
        <v>355</v>
      </c>
      <c r="P20835" s="5" t="s">
        <v>355</v>
      </c>
      <c r="Q20835" s="5" t="s">
        <v>355</v>
      </c>
    </row>
    <row r="20836" ht="16.5" customHeight="1">
      <c r="O20836" s="5" t="s">
        <v>355</v>
      </c>
      <c r="P20836" s="5" t="s">
        <v>355</v>
      </c>
      <c r="Q20836" s="5" t="s">
        <v>355</v>
      </c>
    </row>
    <row r="20837" ht="16.5" customHeight="1">
      <c r="O20837" s="5" t="s">
        <v>355</v>
      </c>
      <c r="P20837" s="5" t="s">
        <v>355</v>
      </c>
      <c r="Q20837" s="5" t="s">
        <v>355</v>
      </c>
    </row>
    <row r="20838" ht="16.5" customHeight="1">
      <c r="O20838" s="5" t="s">
        <v>355</v>
      </c>
      <c r="P20838" s="5" t="s">
        <v>355</v>
      </c>
      <c r="Q20838" s="5" t="s">
        <v>355</v>
      </c>
    </row>
    <row r="20839" ht="16.5" customHeight="1">
      <c r="O20839" s="5" t="s">
        <v>355</v>
      </c>
      <c r="P20839" s="5" t="s">
        <v>355</v>
      </c>
      <c r="Q20839" s="5" t="s">
        <v>355</v>
      </c>
    </row>
    <row r="20840" ht="16.5" customHeight="1">
      <c r="O20840" s="5" t="s">
        <v>355</v>
      </c>
      <c r="P20840" s="5" t="s">
        <v>355</v>
      </c>
      <c r="Q20840" s="5" t="s">
        <v>355</v>
      </c>
    </row>
    <row r="20841" ht="16.5" customHeight="1">
      <c r="O20841" s="5" t="s">
        <v>355</v>
      </c>
      <c r="P20841" s="5" t="s">
        <v>355</v>
      </c>
      <c r="Q20841" s="5" t="s">
        <v>355</v>
      </c>
    </row>
    <row r="20842" ht="16.5" customHeight="1">
      <c r="O20842" s="5" t="s">
        <v>355</v>
      </c>
      <c r="P20842" s="5" t="s">
        <v>355</v>
      </c>
      <c r="Q20842" s="5" t="s">
        <v>355</v>
      </c>
    </row>
    <row r="20843" ht="16.5" customHeight="1">
      <c r="O20843" s="5" t="s">
        <v>355</v>
      </c>
      <c r="P20843" s="5" t="s">
        <v>355</v>
      </c>
      <c r="Q20843" s="5" t="s">
        <v>355</v>
      </c>
    </row>
    <row r="20844" ht="16.5" customHeight="1">
      <c r="O20844" s="5" t="s">
        <v>355</v>
      </c>
      <c r="P20844" s="5" t="s">
        <v>355</v>
      </c>
      <c r="Q20844" s="5" t="s">
        <v>355</v>
      </c>
    </row>
    <row r="20845" ht="16.5" customHeight="1">
      <c r="O20845" s="5" t="s">
        <v>355</v>
      </c>
      <c r="P20845" s="5" t="s">
        <v>355</v>
      </c>
      <c r="Q20845" s="5" t="s">
        <v>355</v>
      </c>
    </row>
    <row r="20846" ht="16.5" customHeight="1">
      <c r="O20846" s="5" t="s">
        <v>355</v>
      </c>
      <c r="P20846" s="5" t="s">
        <v>355</v>
      </c>
      <c r="Q20846" s="5" t="s">
        <v>355</v>
      </c>
    </row>
    <row r="20847" ht="16.5" customHeight="1">
      <c r="O20847" s="5" t="s">
        <v>355</v>
      </c>
      <c r="P20847" s="5" t="s">
        <v>355</v>
      </c>
      <c r="Q20847" s="5" t="s">
        <v>355</v>
      </c>
    </row>
    <row r="20848" ht="16.5" customHeight="1">
      <c r="O20848" s="5" t="s">
        <v>355</v>
      </c>
      <c r="P20848" s="5" t="s">
        <v>355</v>
      </c>
      <c r="Q20848" s="5" t="s">
        <v>355</v>
      </c>
    </row>
    <row r="20849" ht="16.5" customHeight="1">
      <c r="O20849" s="5" t="s">
        <v>355</v>
      </c>
      <c r="P20849" s="5" t="s">
        <v>355</v>
      </c>
      <c r="Q20849" s="5" t="s">
        <v>355</v>
      </c>
    </row>
    <row r="20850" ht="16.5" customHeight="1">
      <c r="O20850" s="5" t="s">
        <v>355</v>
      </c>
      <c r="P20850" s="5" t="s">
        <v>355</v>
      </c>
      <c r="Q20850" s="5" t="s">
        <v>355</v>
      </c>
    </row>
    <row r="20851" ht="16.5" customHeight="1">
      <c r="O20851" s="5" t="s">
        <v>355</v>
      </c>
      <c r="P20851" s="5" t="s">
        <v>355</v>
      </c>
      <c r="Q20851" s="5" t="s">
        <v>355</v>
      </c>
    </row>
    <row r="20852" ht="16.5" customHeight="1">
      <c r="O20852" s="5" t="s">
        <v>355</v>
      </c>
      <c r="P20852" s="5" t="s">
        <v>355</v>
      </c>
      <c r="Q20852" s="5" t="s">
        <v>355</v>
      </c>
    </row>
    <row r="20853" ht="16.5" customHeight="1">
      <c r="O20853" s="5" t="s">
        <v>355</v>
      </c>
      <c r="P20853" s="5" t="s">
        <v>355</v>
      </c>
      <c r="Q20853" s="5" t="s">
        <v>355</v>
      </c>
    </row>
    <row r="20854" ht="16.5" customHeight="1">
      <c r="O20854" s="5" t="s">
        <v>355</v>
      </c>
      <c r="P20854" s="5" t="s">
        <v>355</v>
      </c>
      <c r="Q20854" s="5" t="s">
        <v>355</v>
      </c>
    </row>
    <row r="20855" ht="16.5" customHeight="1">
      <c r="O20855" s="5" t="s">
        <v>355</v>
      </c>
      <c r="P20855" s="5" t="s">
        <v>355</v>
      </c>
      <c r="Q20855" s="5" t="s">
        <v>355</v>
      </c>
    </row>
    <row r="20856" ht="16.5" customHeight="1">
      <c r="O20856" s="5" t="s">
        <v>355</v>
      </c>
      <c r="P20856" s="5" t="s">
        <v>355</v>
      </c>
      <c r="Q20856" s="5" t="s">
        <v>355</v>
      </c>
    </row>
    <row r="20857" ht="16.5" customHeight="1">
      <c r="O20857" s="5" t="s">
        <v>355</v>
      </c>
      <c r="P20857" s="5" t="s">
        <v>355</v>
      </c>
      <c r="Q20857" s="5" t="s">
        <v>355</v>
      </c>
    </row>
    <row r="20858" ht="16.5" customHeight="1">
      <c r="O20858" s="5" t="s">
        <v>355</v>
      </c>
      <c r="P20858" s="5" t="s">
        <v>355</v>
      </c>
      <c r="Q20858" s="5" t="s">
        <v>355</v>
      </c>
    </row>
    <row r="20859" ht="16.5" customHeight="1">
      <c r="O20859" s="5" t="s">
        <v>355</v>
      </c>
      <c r="P20859" s="5" t="s">
        <v>355</v>
      </c>
      <c r="Q20859" s="5" t="s">
        <v>355</v>
      </c>
    </row>
    <row r="20860" ht="16.5" customHeight="1">
      <c r="O20860" s="5" t="s">
        <v>355</v>
      </c>
      <c r="P20860" s="5" t="s">
        <v>355</v>
      </c>
      <c r="Q20860" s="5" t="s">
        <v>355</v>
      </c>
    </row>
    <row r="20861" ht="16.5" customHeight="1">
      <c r="O20861" s="5" t="s">
        <v>355</v>
      </c>
      <c r="P20861" s="5" t="s">
        <v>355</v>
      </c>
      <c r="Q20861" s="5" t="s">
        <v>355</v>
      </c>
    </row>
    <row r="20862" ht="16.5" customHeight="1">
      <c r="O20862" s="5" t="s">
        <v>355</v>
      </c>
      <c r="P20862" s="5" t="s">
        <v>355</v>
      </c>
      <c r="Q20862" s="5" t="s">
        <v>355</v>
      </c>
    </row>
    <row r="20863" ht="16.5" customHeight="1">
      <c r="O20863" s="5" t="s">
        <v>355</v>
      </c>
      <c r="P20863" s="5" t="s">
        <v>355</v>
      </c>
      <c r="Q20863" s="5" t="s">
        <v>355</v>
      </c>
    </row>
    <row r="20864" ht="16.5" customHeight="1">
      <c r="O20864" s="5" t="s">
        <v>355</v>
      </c>
      <c r="P20864" s="5" t="s">
        <v>355</v>
      </c>
      <c r="Q20864" s="5" t="s">
        <v>355</v>
      </c>
    </row>
    <row r="20865" ht="16.5" customHeight="1">
      <c r="O20865" s="5" t="s">
        <v>355</v>
      </c>
      <c r="P20865" s="5" t="s">
        <v>355</v>
      </c>
      <c r="Q20865" s="5" t="s">
        <v>355</v>
      </c>
    </row>
    <row r="20866" ht="16.5" customHeight="1">
      <c r="O20866" s="5" t="s">
        <v>355</v>
      </c>
      <c r="P20866" s="5" t="s">
        <v>355</v>
      </c>
      <c r="Q20866" s="5" t="s">
        <v>355</v>
      </c>
    </row>
    <row r="20867" ht="16.5" customHeight="1">
      <c r="O20867" s="5" t="s">
        <v>355</v>
      </c>
      <c r="P20867" s="5" t="s">
        <v>355</v>
      </c>
      <c r="Q20867" s="5" t="s">
        <v>355</v>
      </c>
    </row>
    <row r="20868" ht="16.5" customHeight="1">
      <c r="O20868" s="5" t="s">
        <v>355</v>
      </c>
      <c r="P20868" s="5" t="s">
        <v>355</v>
      </c>
      <c r="Q20868" s="5" t="s">
        <v>355</v>
      </c>
    </row>
    <row r="20869" ht="16.5" customHeight="1">
      <c r="O20869" s="5" t="s">
        <v>355</v>
      </c>
      <c r="P20869" s="5" t="s">
        <v>355</v>
      </c>
      <c r="Q20869" s="5" t="s">
        <v>355</v>
      </c>
    </row>
    <row r="20870" ht="16.5" customHeight="1">
      <c r="O20870" s="5" t="s">
        <v>355</v>
      </c>
      <c r="P20870" s="5" t="s">
        <v>355</v>
      </c>
      <c r="Q20870" s="5" t="s">
        <v>355</v>
      </c>
    </row>
    <row r="20871" ht="16.5" customHeight="1">
      <c r="O20871" s="5" t="s">
        <v>355</v>
      </c>
      <c r="P20871" s="5" t="s">
        <v>355</v>
      </c>
      <c r="Q20871" s="5" t="s">
        <v>355</v>
      </c>
    </row>
    <row r="20872" ht="16.5" customHeight="1">
      <c r="O20872" s="5" t="s">
        <v>355</v>
      </c>
      <c r="P20872" s="5" t="s">
        <v>355</v>
      </c>
      <c r="Q20872" s="5" t="s">
        <v>355</v>
      </c>
    </row>
    <row r="20873" ht="16.5" customHeight="1">
      <c r="O20873" s="5" t="s">
        <v>355</v>
      </c>
      <c r="P20873" s="5" t="s">
        <v>355</v>
      </c>
      <c r="Q20873" s="5" t="s">
        <v>355</v>
      </c>
    </row>
    <row r="20874" ht="16.5" customHeight="1">
      <c r="O20874" s="5" t="s">
        <v>355</v>
      </c>
      <c r="P20874" s="5" t="s">
        <v>355</v>
      </c>
      <c r="Q20874" s="5" t="s">
        <v>355</v>
      </c>
    </row>
    <row r="20875" ht="16.5" customHeight="1">
      <c r="O20875" s="5" t="s">
        <v>355</v>
      </c>
      <c r="P20875" s="5" t="s">
        <v>355</v>
      </c>
      <c r="Q20875" s="5" t="s">
        <v>355</v>
      </c>
    </row>
    <row r="20876" ht="16.5" customHeight="1">
      <c r="O20876" s="5" t="s">
        <v>355</v>
      </c>
      <c r="P20876" s="5" t="s">
        <v>355</v>
      </c>
      <c r="Q20876" s="5" t="s">
        <v>355</v>
      </c>
    </row>
    <row r="20877" ht="16.5" customHeight="1">
      <c r="O20877" s="5" t="s">
        <v>355</v>
      </c>
      <c r="P20877" s="5" t="s">
        <v>355</v>
      </c>
      <c r="Q20877" s="5" t="s">
        <v>355</v>
      </c>
    </row>
    <row r="20878" ht="16.5" customHeight="1">
      <c r="O20878" s="5" t="s">
        <v>355</v>
      </c>
      <c r="P20878" s="5" t="s">
        <v>355</v>
      </c>
      <c r="Q20878" s="5" t="s">
        <v>355</v>
      </c>
    </row>
    <row r="20879" ht="16.5" customHeight="1">
      <c r="O20879" s="5" t="s">
        <v>355</v>
      </c>
      <c r="P20879" s="5" t="s">
        <v>355</v>
      </c>
      <c r="Q20879" s="5" t="s">
        <v>355</v>
      </c>
    </row>
    <row r="20880" ht="16.5" customHeight="1">
      <c r="O20880" s="5" t="s">
        <v>355</v>
      </c>
      <c r="P20880" s="5" t="s">
        <v>355</v>
      </c>
      <c r="Q20880" s="5" t="s">
        <v>355</v>
      </c>
    </row>
    <row r="20881" ht="16.5" customHeight="1">
      <c r="O20881" s="5" t="s">
        <v>355</v>
      </c>
      <c r="P20881" s="5" t="s">
        <v>355</v>
      </c>
      <c r="Q20881" s="5" t="s">
        <v>355</v>
      </c>
    </row>
    <row r="20882" ht="16.5" customHeight="1">
      <c r="O20882" s="5" t="s">
        <v>355</v>
      </c>
      <c r="P20882" s="5" t="s">
        <v>355</v>
      </c>
      <c r="Q20882" s="5" t="s">
        <v>355</v>
      </c>
    </row>
    <row r="20883" ht="16.5" customHeight="1">
      <c r="O20883" s="5" t="s">
        <v>355</v>
      </c>
      <c r="P20883" s="5" t="s">
        <v>355</v>
      </c>
      <c r="Q20883" s="5" t="s">
        <v>355</v>
      </c>
    </row>
    <row r="20884" ht="16.5" customHeight="1">
      <c r="O20884" s="5" t="s">
        <v>355</v>
      </c>
      <c r="P20884" s="5" t="s">
        <v>355</v>
      </c>
      <c r="Q20884" s="5" t="s">
        <v>355</v>
      </c>
    </row>
    <row r="20885" ht="16.5" customHeight="1">
      <c r="O20885" s="5" t="s">
        <v>355</v>
      </c>
      <c r="P20885" s="5" t="s">
        <v>355</v>
      </c>
      <c r="Q20885" s="5" t="s">
        <v>355</v>
      </c>
    </row>
    <row r="20886" ht="16.5" customHeight="1">
      <c r="O20886" s="5" t="s">
        <v>355</v>
      </c>
      <c r="P20886" s="5" t="s">
        <v>355</v>
      </c>
      <c r="Q20886" s="5" t="s">
        <v>355</v>
      </c>
    </row>
    <row r="20887" ht="16.5" customHeight="1">
      <c r="O20887" s="5" t="s">
        <v>355</v>
      </c>
      <c r="P20887" s="5" t="s">
        <v>355</v>
      </c>
      <c r="Q20887" s="5" t="s">
        <v>355</v>
      </c>
    </row>
    <row r="20888" ht="16.5" customHeight="1">
      <c r="O20888" s="5" t="s">
        <v>355</v>
      </c>
      <c r="P20888" s="5" t="s">
        <v>355</v>
      </c>
      <c r="Q20888" s="5" t="s">
        <v>355</v>
      </c>
    </row>
    <row r="20889" ht="16.5" customHeight="1">
      <c r="O20889" s="5" t="s">
        <v>355</v>
      </c>
      <c r="P20889" s="5" t="s">
        <v>355</v>
      </c>
      <c r="Q20889" s="5" t="s">
        <v>355</v>
      </c>
    </row>
    <row r="20890" ht="16.5" customHeight="1">
      <c r="O20890" s="5" t="s">
        <v>355</v>
      </c>
      <c r="P20890" s="5" t="s">
        <v>355</v>
      </c>
      <c r="Q20890" s="5" t="s">
        <v>355</v>
      </c>
    </row>
    <row r="20891" ht="16.5" customHeight="1">
      <c r="O20891" s="5" t="s">
        <v>355</v>
      </c>
      <c r="P20891" s="5" t="s">
        <v>355</v>
      </c>
      <c r="Q20891" s="5" t="s">
        <v>355</v>
      </c>
    </row>
    <row r="20892" ht="16.5" customHeight="1">
      <c r="O20892" s="5" t="s">
        <v>355</v>
      </c>
      <c r="P20892" s="5" t="s">
        <v>355</v>
      </c>
      <c r="Q20892" s="5" t="s">
        <v>355</v>
      </c>
    </row>
    <row r="20893" ht="16.5" customHeight="1">
      <c r="O20893" s="5" t="s">
        <v>355</v>
      </c>
      <c r="P20893" s="5" t="s">
        <v>355</v>
      </c>
      <c r="Q20893" s="5" t="s">
        <v>355</v>
      </c>
    </row>
    <row r="20894" ht="16.5" customHeight="1">
      <c r="O20894" s="5" t="s">
        <v>355</v>
      </c>
      <c r="P20894" s="5" t="s">
        <v>355</v>
      </c>
      <c r="Q20894" s="5" t="s">
        <v>355</v>
      </c>
    </row>
    <row r="20895" ht="16.5" customHeight="1">
      <c r="O20895" s="5" t="s">
        <v>355</v>
      </c>
      <c r="P20895" s="5" t="s">
        <v>355</v>
      </c>
      <c r="Q20895" s="5" t="s">
        <v>355</v>
      </c>
    </row>
    <row r="20896" ht="16.5" customHeight="1">
      <c r="O20896" s="5" t="s">
        <v>355</v>
      </c>
      <c r="P20896" s="5" t="s">
        <v>355</v>
      </c>
      <c r="Q20896" s="5" t="s">
        <v>355</v>
      </c>
    </row>
    <row r="20897" ht="16.5" customHeight="1">
      <c r="O20897" s="5" t="s">
        <v>355</v>
      </c>
      <c r="P20897" s="5" t="s">
        <v>355</v>
      </c>
      <c r="Q20897" s="5" t="s">
        <v>355</v>
      </c>
    </row>
    <row r="20898" ht="16.5" customHeight="1">
      <c r="O20898" s="5" t="s">
        <v>355</v>
      </c>
      <c r="P20898" s="5" t="s">
        <v>355</v>
      </c>
      <c r="Q20898" s="5" t="s">
        <v>355</v>
      </c>
    </row>
    <row r="20899" ht="16.5" customHeight="1">
      <c r="O20899" s="5" t="s">
        <v>355</v>
      </c>
      <c r="P20899" s="5" t="s">
        <v>355</v>
      </c>
      <c r="Q20899" s="5" t="s">
        <v>355</v>
      </c>
    </row>
    <row r="20900" ht="16.5" customHeight="1">
      <c r="O20900" s="5" t="s">
        <v>355</v>
      </c>
      <c r="P20900" s="5" t="s">
        <v>355</v>
      </c>
      <c r="Q20900" s="5" t="s">
        <v>355</v>
      </c>
    </row>
    <row r="20901" ht="16.5" customHeight="1">
      <c r="O20901" s="5" t="s">
        <v>355</v>
      </c>
      <c r="P20901" s="5" t="s">
        <v>355</v>
      </c>
      <c r="Q20901" s="5" t="s">
        <v>355</v>
      </c>
    </row>
    <row r="20902" ht="16.5" customHeight="1">
      <c r="O20902" s="5" t="s">
        <v>355</v>
      </c>
      <c r="P20902" s="5" t="s">
        <v>355</v>
      </c>
      <c r="Q20902" s="5" t="s">
        <v>355</v>
      </c>
    </row>
    <row r="20903" ht="16.5" customHeight="1">
      <c r="O20903" s="5" t="s">
        <v>355</v>
      </c>
      <c r="P20903" s="5" t="s">
        <v>355</v>
      </c>
      <c r="Q20903" s="5" t="s">
        <v>355</v>
      </c>
    </row>
    <row r="20904" ht="16.5" customHeight="1">
      <c r="O20904" s="5" t="s">
        <v>355</v>
      </c>
      <c r="P20904" s="5" t="s">
        <v>355</v>
      </c>
      <c r="Q20904" s="5" t="s">
        <v>355</v>
      </c>
    </row>
    <row r="20905" ht="16.5" customHeight="1">
      <c r="O20905" s="5" t="s">
        <v>355</v>
      </c>
      <c r="P20905" s="5" t="s">
        <v>355</v>
      </c>
      <c r="Q20905" s="5" t="s">
        <v>355</v>
      </c>
    </row>
    <row r="20906" ht="16.5" customHeight="1">
      <c r="O20906" s="5" t="s">
        <v>355</v>
      </c>
      <c r="P20906" s="5" t="s">
        <v>355</v>
      </c>
      <c r="Q20906" s="5" t="s">
        <v>355</v>
      </c>
    </row>
    <row r="20907" ht="16.5" customHeight="1">
      <c r="O20907" s="5" t="s">
        <v>355</v>
      </c>
      <c r="P20907" s="5" t="s">
        <v>355</v>
      </c>
      <c r="Q20907" s="5" t="s">
        <v>355</v>
      </c>
    </row>
    <row r="20908" ht="16.5" customHeight="1">
      <c r="O20908" s="5" t="s">
        <v>355</v>
      </c>
      <c r="P20908" s="5" t="s">
        <v>355</v>
      </c>
      <c r="Q20908" s="5" t="s">
        <v>355</v>
      </c>
    </row>
    <row r="20909" ht="16.5" customHeight="1">
      <c r="O20909" s="5" t="s">
        <v>355</v>
      </c>
      <c r="P20909" s="5" t="s">
        <v>355</v>
      </c>
      <c r="Q20909" s="5" t="s">
        <v>355</v>
      </c>
    </row>
    <row r="20910" ht="16.5" customHeight="1">
      <c r="O20910" s="5" t="s">
        <v>355</v>
      </c>
      <c r="P20910" s="5" t="s">
        <v>355</v>
      </c>
      <c r="Q20910" s="5" t="s">
        <v>355</v>
      </c>
    </row>
    <row r="20911" ht="16.5" customHeight="1">
      <c r="O20911" s="5" t="s">
        <v>355</v>
      </c>
      <c r="P20911" s="5" t="s">
        <v>355</v>
      </c>
      <c r="Q20911" s="5" t="s">
        <v>355</v>
      </c>
    </row>
    <row r="20912" ht="16.5" customHeight="1">
      <c r="O20912" s="5" t="s">
        <v>355</v>
      </c>
      <c r="P20912" s="5" t="s">
        <v>355</v>
      </c>
      <c r="Q20912" s="5" t="s">
        <v>355</v>
      </c>
    </row>
    <row r="20913" ht="16.5" customHeight="1">
      <c r="O20913" s="5" t="s">
        <v>355</v>
      </c>
      <c r="P20913" s="5" t="s">
        <v>355</v>
      </c>
      <c r="Q20913" s="5" t="s">
        <v>355</v>
      </c>
    </row>
    <row r="20914" ht="16.5" customHeight="1">
      <c r="O20914" s="5" t="s">
        <v>355</v>
      </c>
      <c r="P20914" s="5" t="s">
        <v>355</v>
      </c>
      <c r="Q20914" s="5" t="s">
        <v>355</v>
      </c>
    </row>
    <row r="20915" ht="16.5" customHeight="1">
      <c r="O20915" s="5" t="s">
        <v>355</v>
      </c>
      <c r="P20915" s="5" t="s">
        <v>355</v>
      </c>
      <c r="Q20915" s="5" t="s">
        <v>355</v>
      </c>
    </row>
    <row r="20916" ht="16.5" customHeight="1">
      <c r="O20916" s="5" t="s">
        <v>355</v>
      </c>
      <c r="P20916" s="5" t="s">
        <v>355</v>
      </c>
      <c r="Q20916" s="5" t="s">
        <v>355</v>
      </c>
    </row>
    <row r="20917" ht="16.5" customHeight="1">
      <c r="O20917" s="5" t="s">
        <v>355</v>
      </c>
      <c r="P20917" s="5" t="s">
        <v>355</v>
      </c>
      <c r="Q20917" s="5" t="s">
        <v>355</v>
      </c>
    </row>
    <row r="20918" ht="16.5" customHeight="1">
      <c r="O20918" s="5" t="s">
        <v>355</v>
      </c>
      <c r="P20918" s="5" t="s">
        <v>355</v>
      </c>
      <c r="Q20918" s="5" t="s">
        <v>355</v>
      </c>
    </row>
    <row r="20919" ht="16.5" customHeight="1">
      <c r="O20919" s="5" t="s">
        <v>355</v>
      </c>
      <c r="P20919" s="5" t="s">
        <v>355</v>
      </c>
      <c r="Q20919" s="5" t="s">
        <v>355</v>
      </c>
    </row>
    <row r="20920" ht="16.5" customHeight="1">
      <c r="O20920" s="5" t="s">
        <v>355</v>
      </c>
      <c r="P20920" s="5" t="s">
        <v>355</v>
      </c>
      <c r="Q20920" s="5" t="s">
        <v>355</v>
      </c>
    </row>
    <row r="20921" ht="16.5" customHeight="1">
      <c r="O20921" s="5" t="s">
        <v>355</v>
      </c>
      <c r="P20921" s="5" t="s">
        <v>355</v>
      </c>
      <c r="Q20921" s="5" t="s">
        <v>355</v>
      </c>
    </row>
    <row r="20922" ht="16.5" customHeight="1">
      <c r="O20922" s="5" t="s">
        <v>355</v>
      </c>
      <c r="P20922" s="5" t="s">
        <v>355</v>
      </c>
      <c r="Q20922" s="5" t="s">
        <v>355</v>
      </c>
    </row>
    <row r="20923" ht="16.5" customHeight="1">
      <c r="O20923" s="5" t="s">
        <v>355</v>
      </c>
      <c r="P20923" s="5" t="s">
        <v>355</v>
      </c>
      <c r="Q20923" s="5" t="s">
        <v>355</v>
      </c>
    </row>
    <row r="20924" ht="16.5" customHeight="1">
      <c r="O20924" s="5" t="s">
        <v>355</v>
      </c>
      <c r="P20924" s="5" t="s">
        <v>355</v>
      </c>
      <c r="Q20924" s="5" t="s">
        <v>355</v>
      </c>
    </row>
    <row r="20925" ht="16.5" customHeight="1">
      <c r="O20925" s="5" t="s">
        <v>355</v>
      </c>
      <c r="P20925" s="5" t="s">
        <v>355</v>
      </c>
      <c r="Q20925" s="5" t="s">
        <v>355</v>
      </c>
    </row>
    <row r="20926" ht="16.5" customHeight="1">
      <c r="O20926" s="5" t="s">
        <v>355</v>
      </c>
      <c r="P20926" s="5" t="s">
        <v>355</v>
      </c>
      <c r="Q20926" s="5" t="s">
        <v>355</v>
      </c>
    </row>
    <row r="20927" ht="16.5" customHeight="1">
      <c r="O20927" s="5" t="s">
        <v>355</v>
      </c>
      <c r="P20927" s="5" t="s">
        <v>355</v>
      </c>
      <c r="Q20927" s="5" t="s">
        <v>355</v>
      </c>
    </row>
    <row r="20928" ht="16.5" customHeight="1">
      <c r="O20928" s="5" t="s">
        <v>355</v>
      </c>
      <c r="P20928" s="5" t="s">
        <v>355</v>
      </c>
      <c r="Q20928" s="5" t="s">
        <v>355</v>
      </c>
    </row>
    <row r="20929" ht="16.5" customHeight="1">
      <c r="O20929" s="5" t="s">
        <v>355</v>
      </c>
      <c r="P20929" s="5" t="s">
        <v>355</v>
      </c>
      <c r="Q20929" s="5" t="s">
        <v>355</v>
      </c>
    </row>
    <row r="20930" ht="16.5" customHeight="1">
      <c r="O20930" s="5" t="s">
        <v>355</v>
      </c>
      <c r="P20930" s="5" t="s">
        <v>355</v>
      </c>
      <c r="Q20930" s="5" t="s">
        <v>355</v>
      </c>
    </row>
    <row r="20931" ht="16.5" customHeight="1">
      <c r="O20931" s="5" t="s">
        <v>355</v>
      </c>
      <c r="P20931" s="5" t="s">
        <v>355</v>
      </c>
      <c r="Q20931" s="5" t="s">
        <v>355</v>
      </c>
    </row>
    <row r="20932" ht="16.5" customHeight="1">
      <c r="O20932" s="5" t="s">
        <v>355</v>
      </c>
      <c r="P20932" s="5" t="s">
        <v>355</v>
      </c>
      <c r="Q20932" s="5" t="s">
        <v>355</v>
      </c>
    </row>
    <row r="20933" ht="16.5" customHeight="1">
      <c r="O20933" s="5" t="s">
        <v>355</v>
      </c>
      <c r="P20933" s="5" t="s">
        <v>355</v>
      </c>
      <c r="Q20933" s="5" t="s">
        <v>355</v>
      </c>
    </row>
    <row r="20934" ht="16.5" customHeight="1">
      <c r="O20934" s="5" t="s">
        <v>355</v>
      </c>
      <c r="P20934" s="5" t="s">
        <v>355</v>
      </c>
      <c r="Q20934" s="5" t="s">
        <v>355</v>
      </c>
    </row>
    <row r="20935" ht="16.5" customHeight="1">
      <c r="O20935" s="5" t="s">
        <v>355</v>
      </c>
      <c r="P20935" s="5" t="s">
        <v>355</v>
      </c>
      <c r="Q20935" s="5" t="s">
        <v>355</v>
      </c>
    </row>
    <row r="20936" ht="16.5" customHeight="1">
      <c r="O20936" s="5" t="s">
        <v>355</v>
      </c>
      <c r="P20936" s="5" t="s">
        <v>355</v>
      </c>
      <c r="Q20936" s="5" t="s">
        <v>355</v>
      </c>
    </row>
    <row r="20937" ht="16.5" customHeight="1">
      <c r="O20937" s="5" t="s">
        <v>355</v>
      </c>
      <c r="P20937" s="5" t="s">
        <v>355</v>
      </c>
      <c r="Q20937" s="5" t="s">
        <v>355</v>
      </c>
    </row>
    <row r="20938" ht="16.5" customHeight="1">
      <c r="O20938" s="5" t="s">
        <v>355</v>
      </c>
      <c r="P20938" s="5" t="s">
        <v>355</v>
      </c>
      <c r="Q20938" s="5" t="s">
        <v>355</v>
      </c>
    </row>
    <row r="20939" ht="16.5" customHeight="1">
      <c r="O20939" s="5" t="s">
        <v>355</v>
      </c>
      <c r="P20939" s="5" t="s">
        <v>355</v>
      </c>
      <c r="Q20939" s="5" t="s">
        <v>355</v>
      </c>
    </row>
    <row r="20940" ht="16.5" customHeight="1">
      <c r="O20940" s="5" t="s">
        <v>355</v>
      </c>
      <c r="P20940" s="5" t="s">
        <v>355</v>
      </c>
      <c r="Q20940" s="5" t="s">
        <v>355</v>
      </c>
    </row>
    <row r="20941" ht="16.5" customHeight="1">
      <c r="O20941" s="5" t="s">
        <v>355</v>
      </c>
      <c r="P20941" s="5" t="s">
        <v>355</v>
      </c>
      <c r="Q20941" s="5" t="s">
        <v>355</v>
      </c>
    </row>
    <row r="20942" ht="16.5" customHeight="1">
      <c r="O20942" s="5" t="s">
        <v>355</v>
      </c>
      <c r="P20942" s="5" t="s">
        <v>355</v>
      </c>
      <c r="Q20942" s="5" t="s">
        <v>355</v>
      </c>
    </row>
    <row r="20943" ht="16.5" customHeight="1">
      <c r="O20943" s="5" t="s">
        <v>355</v>
      </c>
      <c r="P20943" s="5" t="s">
        <v>355</v>
      </c>
      <c r="Q20943" s="5" t="s">
        <v>355</v>
      </c>
    </row>
    <row r="20944" ht="16.5" customHeight="1">
      <c r="O20944" s="5" t="s">
        <v>355</v>
      </c>
      <c r="P20944" s="5" t="s">
        <v>355</v>
      </c>
      <c r="Q20944" s="5" t="s">
        <v>355</v>
      </c>
    </row>
    <row r="20945" ht="16.5" customHeight="1">
      <c r="O20945" s="5" t="s">
        <v>355</v>
      </c>
      <c r="P20945" s="5" t="s">
        <v>355</v>
      </c>
      <c r="Q20945" s="5" t="s">
        <v>355</v>
      </c>
    </row>
    <row r="20946" ht="16.5" customHeight="1">
      <c r="O20946" s="5" t="s">
        <v>355</v>
      </c>
      <c r="P20946" s="5" t="s">
        <v>355</v>
      </c>
      <c r="Q20946" s="5" t="s">
        <v>355</v>
      </c>
    </row>
    <row r="20947" ht="16.5" customHeight="1">
      <c r="O20947" s="5" t="s">
        <v>355</v>
      </c>
      <c r="P20947" s="5" t="s">
        <v>355</v>
      </c>
      <c r="Q20947" s="5" t="s">
        <v>355</v>
      </c>
    </row>
    <row r="20948" ht="16.5" customHeight="1">
      <c r="O20948" s="5" t="s">
        <v>355</v>
      </c>
      <c r="P20948" s="5" t="s">
        <v>355</v>
      </c>
      <c r="Q20948" s="5" t="s">
        <v>355</v>
      </c>
    </row>
    <row r="20949" ht="16.5" customHeight="1">
      <c r="O20949" s="5" t="s">
        <v>355</v>
      </c>
      <c r="P20949" s="5" t="s">
        <v>355</v>
      </c>
      <c r="Q20949" s="5" t="s">
        <v>355</v>
      </c>
    </row>
    <row r="20950" ht="16.5" customHeight="1">
      <c r="O20950" s="5" t="s">
        <v>355</v>
      </c>
      <c r="P20950" s="5" t="s">
        <v>355</v>
      </c>
      <c r="Q20950" s="5" t="s">
        <v>355</v>
      </c>
    </row>
    <row r="20951" ht="16.5" customHeight="1">
      <c r="O20951" s="5" t="s">
        <v>355</v>
      </c>
      <c r="P20951" s="5" t="s">
        <v>355</v>
      </c>
      <c r="Q20951" s="5" t="s">
        <v>355</v>
      </c>
    </row>
    <row r="20952" ht="16.5" customHeight="1">
      <c r="O20952" s="5" t="s">
        <v>355</v>
      </c>
      <c r="P20952" s="5" t="s">
        <v>355</v>
      </c>
      <c r="Q20952" s="5" t="s">
        <v>355</v>
      </c>
    </row>
    <row r="20953" ht="16.5" customHeight="1">
      <c r="O20953" s="5" t="s">
        <v>355</v>
      </c>
      <c r="P20953" s="5" t="s">
        <v>355</v>
      </c>
      <c r="Q20953" s="5" t="s">
        <v>355</v>
      </c>
    </row>
    <row r="20954" ht="16.5" customHeight="1">
      <c r="O20954" s="5" t="s">
        <v>355</v>
      </c>
      <c r="P20954" s="5" t="s">
        <v>355</v>
      </c>
      <c r="Q20954" s="5" t="s">
        <v>355</v>
      </c>
    </row>
    <row r="20955" ht="16.5" customHeight="1">
      <c r="O20955" s="5" t="s">
        <v>355</v>
      </c>
      <c r="P20955" s="5" t="s">
        <v>355</v>
      </c>
      <c r="Q20955" s="5" t="s">
        <v>355</v>
      </c>
    </row>
    <row r="20956" ht="16.5" customHeight="1">
      <c r="O20956" s="5" t="s">
        <v>355</v>
      </c>
      <c r="P20956" s="5" t="s">
        <v>355</v>
      </c>
      <c r="Q20956" s="5" t="s">
        <v>355</v>
      </c>
    </row>
    <row r="20957" ht="16.5" customHeight="1">
      <c r="O20957" s="5" t="s">
        <v>355</v>
      </c>
      <c r="P20957" s="5" t="s">
        <v>355</v>
      </c>
      <c r="Q20957" s="5" t="s">
        <v>355</v>
      </c>
    </row>
    <row r="20958" ht="16.5" customHeight="1">
      <c r="O20958" s="5" t="s">
        <v>355</v>
      </c>
      <c r="P20958" s="5" t="s">
        <v>355</v>
      </c>
      <c r="Q20958" s="5" t="s">
        <v>355</v>
      </c>
    </row>
    <row r="20959" ht="16.5" customHeight="1">
      <c r="O20959" s="5" t="s">
        <v>355</v>
      </c>
      <c r="P20959" s="5" t="s">
        <v>355</v>
      </c>
      <c r="Q20959" s="5" t="s">
        <v>355</v>
      </c>
    </row>
    <row r="20960" ht="16.5" customHeight="1">
      <c r="O20960" s="5" t="s">
        <v>355</v>
      </c>
      <c r="P20960" s="5" t="s">
        <v>355</v>
      </c>
      <c r="Q20960" s="5" t="s">
        <v>355</v>
      </c>
    </row>
    <row r="20961" ht="16.5" customHeight="1">
      <c r="O20961" s="5" t="s">
        <v>355</v>
      </c>
      <c r="P20961" s="5" t="s">
        <v>355</v>
      </c>
      <c r="Q20961" s="5" t="s">
        <v>355</v>
      </c>
    </row>
    <row r="20962" ht="16.5" customHeight="1">
      <c r="O20962" s="5" t="s">
        <v>355</v>
      </c>
      <c r="P20962" s="5" t="s">
        <v>355</v>
      </c>
      <c r="Q20962" s="5" t="s">
        <v>355</v>
      </c>
    </row>
    <row r="20963" ht="16.5" customHeight="1">
      <c r="O20963" s="5" t="s">
        <v>355</v>
      </c>
      <c r="P20963" s="5" t="s">
        <v>355</v>
      </c>
      <c r="Q20963" s="5" t="s">
        <v>355</v>
      </c>
    </row>
    <row r="20964" ht="16.5" customHeight="1">
      <c r="O20964" s="5" t="s">
        <v>355</v>
      </c>
      <c r="P20964" s="5" t="s">
        <v>355</v>
      </c>
      <c r="Q20964" s="5" t="s">
        <v>355</v>
      </c>
    </row>
    <row r="20965" ht="16.5" customHeight="1">
      <c r="O20965" s="5" t="s">
        <v>355</v>
      </c>
      <c r="P20965" s="5" t="s">
        <v>355</v>
      </c>
      <c r="Q20965" s="5" t="s">
        <v>355</v>
      </c>
    </row>
    <row r="20966" ht="16.5" customHeight="1">
      <c r="O20966" s="5" t="s">
        <v>355</v>
      </c>
      <c r="P20966" s="5" t="s">
        <v>355</v>
      </c>
      <c r="Q20966" s="5" t="s">
        <v>355</v>
      </c>
    </row>
    <row r="20967" ht="16.5" customHeight="1">
      <c r="O20967" s="5" t="s">
        <v>355</v>
      </c>
      <c r="P20967" s="5" t="s">
        <v>355</v>
      </c>
      <c r="Q20967" s="5" t="s">
        <v>355</v>
      </c>
    </row>
    <row r="20968" ht="16.5" customHeight="1">
      <c r="O20968" s="5" t="s">
        <v>355</v>
      </c>
      <c r="P20968" s="5" t="s">
        <v>355</v>
      </c>
      <c r="Q20968" s="5" t="s">
        <v>355</v>
      </c>
    </row>
    <row r="20969" ht="16.5" customHeight="1">
      <c r="O20969" s="5" t="s">
        <v>355</v>
      </c>
      <c r="P20969" s="5" t="s">
        <v>355</v>
      </c>
      <c r="Q20969" s="5" t="s">
        <v>355</v>
      </c>
    </row>
    <row r="20970" ht="16.5" customHeight="1">
      <c r="O20970" s="5" t="s">
        <v>355</v>
      </c>
      <c r="P20970" s="5" t="s">
        <v>355</v>
      </c>
      <c r="Q20970" s="5" t="s">
        <v>355</v>
      </c>
    </row>
    <row r="20971" ht="16.5" customHeight="1">
      <c r="O20971" s="5" t="s">
        <v>355</v>
      </c>
      <c r="P20971" s="5" t="s">
        <v>355</v>
      </c>
      <c r="Q20971" s="5" t="s">
        <v>355</v>
      </c>
    </row>
    <row r="20972" ht="16.5" customHeight="1">
      <c r="O20972" s="5" t="s">
        <v>355</v>
      </c>
      <c r="P20972" s="5" t="s">
        <v>355</v>
      </c>
      <c r="Q20972" s="5" t="s">
        <v>355</v>
      </c>
    </row>
    <row r="20973" ht="16.5" customHeight="1">
      <c r="O20973" s="5" t="s">
        <v>355</v>
      </c>
      <c r="P20973" s="5" t="s">
        <v>355</v>
      </c>
      <c r="Q20973" s="5" t="s">
        <v>355</v>
      </c>
    </row>
    <row r="20974" ht="16.5" customHeight="1">
      <c r="O20974" s="5" t="s">
        <v>355</v>
      </c>
      <c r="P20974" s="5" t="s">
        <v>355</v>
      </c>
      <c r="Q20974" s="5" t="s">
        <v>355</v>
      </c>
    </row>
    <row r="20975" ht="16.5" customHeight="1">
      <c r="O20975" s="5" t="s">
        <v>355</v>
      </c>
      <c r="P20975" s="5" t="s">
        <v>355</v>
      </c>
      <c r="Q20975" s="5" t="s">
        <v>355</v>
      </c>
    </row>
    <row r="20976" ht="16.5" customHeight="1">
      <c r="O20976" s="5" t="s">
        <v>355</v>
      </c>
      <c r="P20976" s="5" t="s">
        <v>355</v>
      </c>
      <c r="Q20976" s="5" t="s">
        <v>355</v>
      </c>
    </row>
    <row r="20977" ht="16.5" customHeight="1">
      <c r="O20977" s="5" t="s">
        <v>355</v>
      </c>
      <c r="P20977" s="5" t="s">
        <v>355</v>
      </c>
      <c r="Q20977" s="5" t="s">
        <v>355</v>
      </c>
    </row>
    <row r="20978" ht="16.5" customHeight="1">
      <c r="O20978" s="5" t="s">
        <v>355</v>
      </c>
      <c r="P20978" s="5" t="s">
        <v>355</v>
      </c>
      <c r="Q20978" s="5" t="s">
        <v>355</v>
      </c>
    </row>
    <row r="20979" ht="16.5" customHeight="1">
      <c r="O20979" s="5" t="s">
        <v>355</v>
      </c>
      <c r="P20979" s="5" t="s">
        <v>355</v>
      </c>
      <c r="Q20979" s="5" t="s">
        <v>355</v>
      </c>
    </row>
    <row r="20980" ht="16.5" customHeight="1">
      <c r="O20980" s="5" t="s">
        <v>355</v>
      </c>
      <c r="P20980" s="5" t="s">
        <v>355</v>
      </c>
      <c r="Q20980" s="5" t="s">
        <v>355</v>
      </c>
    </row>
    <row r="20981" ht="16.5" customHeight="1">
      <c r="O20981" s="5" t="s">
        <v>355</v>
      </c>
      <c r="P20981" s="5" t="s">
        <v>355</v>
      </c>
      <c r="Q20981" s="5" t="s">
        <v>355</v>
      </c>
    </row>
    <row r="20982" ht="16.5" customHeight="1">
      <c r="O20982" s="5" t="s">
        <v>355</v>
      </c>
      <c r="P20982" s="5" t="s">
        <v>355</v>
      </c>
      <c r="Q20982" s="5" t="s">
        <v>355</v>
      </c>
    </row>
    <row r="20983" ht="16.5" customHeight="1">
      <c r="O20983" s="5" t="s">
        <v>355</v>
      </c>
      <c r="P20983" s="5" t="s">
        <v>355</v>
      </c>
      <c r="Q20983" s="5" t="s">
        <v>355</v>
      </c>
    </row>
    <row r="20984" ht="16.5" customHeight="1">
      <c r="O20984" s="5" t="s">
        <v>355</v>
      </c>
      <c r="P20984" s="5" t="s">
        <v>355</v>
      </c>
      <c r="Q20984" s="5" t="s">
        <v>355</v>
      </c>
    </row>
    <row r="20985" ht="16.5" customHeight="1">
      <c r="O20985" s="5" t="s">
        <v>355</v>
      </c>
      <c r="P20985" s="5" t="s">
        <v>355</v>
      </c>
      <c r="Q20985" s="5" t="s">
        <v>355</v>
      </c>
    </row>
    <row r="20986" ht="16.5" customHeight="1">
      <c r="O20986" s="5" t="s">
        <v>355</v>
      </c>
      <c r="P20986" s="5" t="s">
        <v>355</v>
      </c>
      <c r="Q20986" s="5" t="s">
        <v>355</v>
      </c>
    </row>
    <row r="20987" ht="16.5" customHeight="1">
      <c r="O20987" s="5" t="s">
        <v>355</v>
      </c>
      <c r="P20987" s="5" t="s">
        <v>355</v>
      </c>
      <c r="Q20987" s="5" t="s">
        <v>355</v>
      </c>
    </row>
    <row r="20988" ht="16.5" customHeight="1">
      <c r="O20988" s="5" t="s">
        <v>355</v>
      </c>
      <c r="P20988" s="5" t="s">
        <v>355</v>
      </c>
      <c r="Q20988" s="5" t="s">
        <v>355</v>
      </c>
    </row>
    <row r="20989" ht="16.5" customHeight="1">
      <c r="O20989" s="5" t="s">
        <v>355</v>
      </c>
      <c r="P20989" s="5" t="s">
        <v>355</v>
      </c>
      <c r="Q20989" s="5" t="s">
        <v>355</v>
      </c>
    </row>
    <row r="20990" ht="16.5" customHeight="1">
      <c r="O20990" s="5" t="s">
        <v>355</v>
      </c>
      <c r="P20990" s="5" t="s">
        <v>355</v>
      </c>
      <c r="Q20990" s="5" t="s">
        <v>355</v>
      </c>
    </row>
    <row r="20991" ht="16.5" customHeight="1">
      <c r="O20991" s="5" t="s">
        <v>355</v>
      </c>
      <c r="P20991" s="5" t="s">
        <v>355</v>
      </c>
      <c r="Q20991" s="5" t="s">
        <v>355</v>
      </c>
    </row>
    <row r="20992" ht="16.5" customHeight="1">
      <c r="O20992" s="5" t="s">
        <v>355</v>
      </c>
      <c r="P20992" s="5" t="s">
        <v>355</v>
      </c>
      <c r="Q20992" s="5" t="s">
        <v>355</v>
      </c>
    </row>
    <row r="20993" ht="16.5" customHeight="1">
      <c r="O20993" s="5" t="s">
        <v>355</v>
      </c>
      <c r="P20993" s="5" t="s">
        <v>355</v>
      </c>
      <c r="Q20993" s="5" t="s">
        <v>355</v>
      </c>
    </row>
    <row r="20994" ht="16.5" customHeight="1">
      <c r="O20994" s="5" t="s">
        <v>355</v>
      </c>
      <c r="P20994" s="5" t="s">
        <v>355</v>
      </c>
      <c r="Q20994" s="5" t="s">
        <v>355</v>
      </c>
    </row>
    <row r="20995" ht="16.5" customHeight="1">
      <c r="O20995" s="5" t="s">
        <v>355</v>
      </c>
      <c r="P20995" s="5" t="s">
        <v>355</v>
      </c>
      <c r="Q20995" s="5" t="s">
        <v>355</v>
      </c>
    </row>
    <row r="20996" ht="16.5" customHeight="1">
      <c r="O20996" s="5" t="s">
        <v>355</v>
      </c>
      <c r="P20996" s="5" t="s">
        <v>355</v>
      </c>
      <c r="Q20996" s="5" t="s">
        <v>355</v>
      </c>
    </row>
    <row r="20997" ht="16.5" customHeight="1">
      <c r="O20997" s="5" t="s">
        <v>355</v>
      </c>
      <c r="P20997" s="5" t="s">
        <v>355</v>
      </c>
      <c r="Q20997" s="5" t="s">
        <v>355</v>
      </c>
    </row>
    <row r="20998" ht="16.5" customHeight="1">
      <c r="O20998" s="5" t="s">
        <v>355</v>
      </c>
      <c r="P20998" s="5" t="s">
        <v>355</v>
      </c>
      <c r="Q20998" s="5" t="s">
        <v>355</v>
      </c>
    </row>
    <row r="20999" ht="16.5" customHeight="1">
      <c r="O20999" s="5" t="s">
        <v>355</v>
      </c>
      <c r="P20999" s="5" t="s">
        <v>355</v>
      </c>
      <c r="Q20999" s="5" t="s">
        <v>355</v>
      </c>
    </row>
    <row r="21000" ht="16.5" customHeight="1">
      <c r="O21000" s="5" t="s">
        <v>355</v>
      </c>
      <c r="P21000" s="5" t="s">
        <v>355</v>
      </c>
      <c r="Q21000" s="5" t="s">
        <v>355</v>
      </c>
    </row>
    <row r="21001" ht="16.5" customHeight="1">
      <c r="O21001" s="5" t="s">
        <v>355</v>
      </c>
      <c r="P21001" s="5" t="s">
        <v>355</v>
      </c>
      <c r="Q21001" s="5" t="s">
        <v>355</v>
      </c>
    </row>
    <row r="21002" ht="16.5" customHeight="1">
      <c r="O21002" s="5" t="s">
        <v>355</v>
      </c>
      <c r="P21002" s="5" t="s">
        <v>355</v>
      </c>
      <c r="Q21002" s="5" t="s">
        <v>355</v>
      </c>
    </row>
    <row r="21003" ht="16.5" customHeight="1">
      <c r="O21003" s="5" t="s">
        <v>355</v>
      </c>
      <c r="P21003" s="5" t="s">
        <v>355</v>
      </c>
      <c r="Q21003" s="5" t="s">
        <v>355</v>
      </c>
    </row>
    <row r="21004" ht="16.5" customHeight="1">
      <c r="O21004" s="5" t="s">
        <v>355</v>
      </c>
      <c r="P21004" s="5" t="s">
        <v>355</v>
      </c>
      <c r="Q21004" s="5" t="s">
        <v>355</v>
      </c>
    </row>
    <row r="21005" ht="16.5" customHeight="1">
      <c r="O21005" s="5" t="s">
        <v>355</v>
      </c>
      <c r="P21005" s="5" t="s">
        <v>355</v>
      </c>
      <c r="Q21005" s="5" t="s">
        <v>355</v>
      </c>
    </row>
    <row r="21006" ht="16.5" customHeight="1">
      <c r="O21006" s="5" t="s">
        <v>355</v>
      </c>
      <c r="P21006" s="5" t="s">
        <v>355</v>
      </c>
      <c r="Q21006" s="5" t="s">
        <v>355</v>
      </c>
    </row>
    <row r="21007" ht="16.5" customHeight="1">
      <c r="O21007" s="5" t="s">
        <v>355</v>
      </c>
      <c r="P21007" s="5" t="s">
        <v>355</v>
      </c>
      <c r="Q21007" s="5" t="s">
        <v>355</v>
      </c>
    </row>
    <row r="21008" ht="16.5" customHeight="1">
      <c r="O21008" s="5" t="s">
        <v>355</v>
      </c>
      <c r="P21008" s="5" t="s">
        <v>355</v>
      </c>
      <c r="Q21008" s="5" t="s">
        <v>355</v>
      </c>
    </row>
    <row r="21009" ht="16.5" customHeight="1">
      <c r="O21009" s="5" t="s">
        <v>355</v>
      </c>
      <c r="P21009" s="5" t="s">
        <v>355</v>
      </c>
      <c r="Q21009" s="5" t="s">
        <v>355</v>
      </c>
    </row>
    <row r="21010" ht="16.5" customHeight="1">
      <c r="O21010" s="5" t="s">
        <v>355</v>
      </c>
      <c r="P21010" s="5" t="s">
        <v>355</v>
      </c>
      <c r="Q21010" s="5" t="s">
        <v>355</v>
      </c>
    </row>
    <row r="21011" ht="16.5" customHeight="1">
      <c r="O21011" s="5" t="s">
        <v>355</v>
      </c>
      <c r="P21011" s="5" t="s">
        <v>355</v>
      </c>
      <c r="Q21011" s="5" t="s">
        <v>355</v>
      </c>
    </row>
    <row r="21012" ht="16.5" customHeight="1">
      <c r="O21012" s="5" t="s">
        <v>355</v>
      </c>
      <c r="P21012" s="5" t="s">
        <v>355</v>
      </c>
      <c r="Q21012" s="5" t="s">
        <v>355</v>
      </c>
    </row>
    <row r="21013" ht="16.5" customHeight="1">
      <c r="O21013" s="5" t="s">
        <v>355</v>
      </c>
      <c r="P21013" s="5" t="s">
        <v>355</v>
      </c>
      <c r="Q21013" s="5" t="s">
        <v>355</v>
      </c>
    </row>
    <row r="21014" ht="16.5" customHeight="1">
      <c r="O21014" s="5" t="s">
        <v>355</v>
      </c>
      <c r="P21014" s="5" t="s">
        <v>355</v>
      </c>
      <c r="Q21014" s="5" t="s">
        <v>355</v>
      </c>
    </row>
    <row r="21015" ht="16.5" customHeight="1">
      <c r="O21015" s="5" t="s">
        <v>355</v>
      </c>
      <c r="P21015" s="5" t="s">
        <v>355</v>
      </c>
      <c r="Q21015" s="5" t="s">
        <v>355</v>
      </c>
    </row>
    <row r="21016" ht="16.5" customHeight="1">
      <c r="O21016" s="5" t="s">
        <v>355</v>
      </c>
      <c r="P21016" s="5" t="s">
        <v>355</v>
      </c>
      <c r="Q21016" s="5" t="s">
        <v>355</v>
      </c>
    </row>
    <row r="21017" ht="16.5" customHeight="1">
      <c r="O21017" s="5" t="s">
        <v>355</v>
      </c>
      <c r="P21017" s="5" t="s">
        <v>355</v>
      </c>
      <c r="Q21017" s="5" t="s">
        <v>355</v>
      </c>
    </row>
    <row r="21018" ht="16.5" customHeight="1">
      <c r="O21018" s="5" t="s">
        <v>355</v>
      </c>
      <c r="P21018" s="5" t="s">
        <v>355</v>
      </c>
      <c r="Q21018" s="5" t="s">
        <v>355</v>
      </c>
    </row>
    <row r="21019" ht="16.5" customHeight="1">
      <c r="O21019" s="5" t="s">
        <v>355</v>
      </c>
      <c r="P21019" s="5" t="s">
        <v>355</v>
      </c>
      <c r="Q21019" s="5" t="s">
        <v>355</v>
      </c>
    </row>
    <row r="21020" ht="16.5" customHeight="1">
      <c r="O21020" s="5" t="s">
        <v>355</v>
      </c>
      <c r="P21020" s="5" t="s">
        <v>355</v>
      </c>
      <c r="Q21020" s="5" t="s">
        <v>355</v>
      </c>
    </row>
    <row r="21021" ht="16.5" customHeight="1">
      <c r="O21021" s="5" t="s">
        <v>355</v>
      </c>
      <c r="P21021" s="5" t="s">
        <v>355</v>
      </c>
      <c r="Q21021" s="5" t="s">
        <v>355</v>
      </c>
    </row>
    <row r="21022" ht="16.5" customHeight="1">
      <c r="O21022" s="5" t="s">
        <v>355</v>
      </c>
      <c r="P21022" s="5" t="s">
        <v>355</v>
      </c>
      <c r="Q21022" s="5" t="s">
        <v>355</v>
      </c>
    </row>
    <row r="21023" ht="16.5" customHeight="1">
      <c r="O21023" s="5" t="s">
        <v>355</v>
      </c>
      <c r="P21023" s="5" t="s">
        <v>355</v>
      </c>
      <c r="Q21023" s="5" t="s">
        <v>355</v>
      </c>
    </row>
    <row r="21024" ht="16.5" customHeight="1">
      <c r="O21024" s="5" t="s">
        <v>355</v>
      </c>
      <c r="P21024" s="5" t="s">
        <v>355</v>
      </c>
      <c r="Q21024" s="5" t="s">
        <v>355</v>
      </c>
    </row>
    <row r="21025" ht="16.5" customHeight="1">
      <c r="O21025" s="5" t="s">
        <v>355</v>
      </c>
      <c r="P21025" s="5" t="s">
        <v>355</v>
      </c>
      <c r="Q21025" s="5" t="s">
        <v>355</v>
      </c>
    </row>
    <row r="21026" ht="16.5" customHeight="1">
      <c r="O21026" s="5" t="s">
        <v>355</v>
      </c>
      <c r="P21026" s="5" t="s">
        <v>355</v>
      </c>
      <c r="Q21026" s="5" t="s">
        <v>355</v>
      </c>
    </row>
    <row r="21027" ht="16.5" customHeight="1">
      <c r="O21027" s="5" t="s">
        <v>355</v>
      </c>
      <c r="P21027" s="5" t="s">
        <v>355</v>
      </c>
      <c r="Q21027" s="5" t="s">
        <v>355</v>
      </c>
    </row>
    <row r="21028" ht="16.5" customHeight="1">
      <c r="O21028" s="5" t="s">
        <v>355</v>
      </c>
      <c r="P21028" s="5" t="s">
        <v>355</v>
      </c>
      <c r="Q21028" s="5" t="s">
        <v>355</v>
      </c>
    </row>
    <row r="21029" ht="16.5" customHeight="1">
      <c r="O21029" s="5" t="s">
        <v>355</v>
      </c>
      <c r="P21029" s="5" t="s">
        <v>355</v>
      </c>
      <c r="Q21029" s="5" t="s">
        <v>355</v>
      </c>
    </row>
    <row r="21030" ht="16.5" customHeight="1">
      <c r="O21030" s="5" t="s">
        <v>355</v>
      </c>
      <c r="P21030" s="5" t="s">
        <v>355</v>
      </c>
      <c r="Q21030" s="5" t="s">
        <v>355</v>
      </c>
    </row>
    <row r="21031" ht="16.5" customHeight="1">
      <c r="O21031" s="5" t="s">
        <v>355</v>
      </c>
      <c r="P21031" s="5" t="s">
        <v>355</v>
      </c>
      <c r="Q21031" s="5" t="s">
        <v>355</v>
      </c>
    </row>
    <row r="21032" ht="16.5" customHeight="1">
      <c r="O21032" s="5" t="s">
        <v>355</v>
      </c>
      <c r="P21032" s="5" t="s">
        <v>355</v>
      </c>
      <c r="Q21032" s="5" t="s">
        <v>355</v>
      </c>
    </row>
    <row r="21033" ht="16.5" customHeight="1">
      <c r="O21033" s="5" t="s">
        <v>355</v>
      </c>
      <c r="P21033" s="5" t="s">
        <v>355</v>
      </c>
      <c r="Q21033" s="5" t="s">
        <v>355</v>
      </c>
    </row>
    <row r="21034" ht="16.5" customHeight="1">
      <c r="O21034" s="5" t="s">
        <v>355</v>
      </c>
      <c r="P21034" s="5" t="s">
        <v>355</v>
      </c>
      <c r="Q21034" s="5" t="s">
        <v>355</v>
      </c>
    </row>
    <row r="21035" ht="16.5" customHeight="1">
      <c r="O21035" s="5" t="s">
        <v>355</v>
      </c>
      <c r="P21035" s="5" t="s">
        <v>355</v>
      </c>
      <c r="Q21035" s="5" t="s">
        <v>355</v>
      </c>
    </row>
    <row r="21036" ht="16.5" customHeight="1">
      <c r="O21036" s="5" t="s">
        <v>355</v>
      </c>
      <c r="P21036" s="5" t="s">
        <v>355</v>
      </c>
      <c r="Q21036" s="5" t="s">
        <v>355</v>
      </c>
    </row>
    <row r="21037" ht="16.5" customHeight="1">
      <c r="O21037" s="5" t="s">
        <v>355</v>
      </c>
      <c r="P21037" s="5" t="s">
        <v>355</v>
      </c>
      <c r="Q21037" s="5" t="s">
        <v>355</v>
      </c>
    </row>
    <row r="21038" ht="16.5" customHeight="1">
      <c r="O21038" s="5" t="s">
        <v>355</v>
      </c>
      <c r="P21038" s="5" t="s">
        <v>355</v>
      </c>
      <c r="Q21038" s="5" t="s">
        <v>355</v>
      </c>
    </row>
    <row r="21039" ht="16.5" customHeight="1">
      <c r="O21039" s="5" t="s">
        <v>355</v>
      </c>
      <c r="P21039" s="5" t="s">
        <v>355</v>
      </c>
      <c r="Q21039" s="5" t="s">
        <v>355</v>
      </c>
    </row>
    <row r="21040" ht="16.5" customHeight="1">
      <c r="O21040" s="5" t="s">
        <v>355</v>
      </c>
      <c r="P21040" s="5" t="s">
        <v>355</v>
      </c>
      <c r="Q21040" s="5" t="s">
        <v>355</v>
      </c>
    </row>
    <row r="21041" ht="16.5" customHeight="1">
      <c r="O21041" s="5" t="s">
        <v>355</v>
      </c>
      <c r="P21041" s="5" t="s">
        <v>355</v>
      </c>
      <c r="Q21041" s="5" t="s">
        <v>355</v>
      </c>
    </row>
    <row r="21042" ht="16.5" customHeight="1">
      <c r="O21042" s="5" t="s">
        <v>355</v>
      </c>
      <c r="P21042" s="5" t="s">
        <v>355</v>
      </c>
      <c r="Q21042" s="5" t="s">
        <v>355</v>
      </c>
    </row>
    <row r="21043" ht="16.5" customHeight="1">
      <c r="O21043" s="5" t="s">
        <v>355</v>
      </c>
      <c r="P21043" s="5" t="s">
        <v>355</v>
      </c>
      <c r="Q21043" s="5" t="s">
        <v>355</v>
      </c>
    </row>
    <row r="21044" ht="16.5" customHeight="1">
      <c r="O21044" s="5" t="s">
        <v>355</v>
      </c>
      <c r="P21044" s="5" t="s">
        <v>355</v>
      </c>
      <c r="Q21044" s="5" t="s">
        <v>355</v>
      </c>
    </row>
    <row r="21045" ht="16.5" customHeight="1">
      <c r="O21045" s="5" t="s">
        <v>355</v>
      </c>
      <c r="P21045" s="5" t="s">
        <v>355</v>
      </c>
      <c r="Q21045" s="5" t="s">
        <v>355</v>
      </c>
    </row>
    <row r="21046" ht="16.5" customHeight="1">
      <c r="O21046" s="5" t="s">
        <v>355</v>
      </c>
      <c r="P21046" s="5" t="s">
        <v>355</v>
      </c>
      <c r="Q21046" s="5" t="s">
        <v>355</v>
      </c>
    </row>
    <row r="21047" ht="16.5" customHeight="1">
      <c r="O21047" s="5" t="s">
        <v>355</v>
      </c>
      <c r="P21047" s="5" t="s">
        <v>355</v>
      </c>
      <c r="Q21047" s="5" t="s">
        <v>355</v>
      </c>
    </row>
    <row r="21048" ht="16.5" customHeight="1">
      <c r="O21048" s="5" t="s">
        <v>355</v>
      </c>
      <c r="P21048" s="5" t="s">
        <v>355</v>
      </c>
      <c r="Q21048" s="5" t="s">
        <v>355</v>
      </c>
    </row>
    <row r="21049" ht="16.5" customHeight="1">
      <c r="O21049" s="5" t="s">
        <v>355</v>
      </c>
      <c r="P21049" s="5" t="s">
        <v>355</v>
      </c>
      <c r="Q21049" s="5" t="s">
        <v>355</v>
      </c>
    </row>
    <row r="21050" ht="16.5" customHeight="1">
      <c r="O21050" s="5" t="s">
        <v>355</v>
      </c>
      <c r="P21050" s="5" t="s">
        <v>355</v>
      </c>
      <c r="Q21050" s="5" t="s">
        <v>355</v>
      </c>
    </row>
    <row r="21051" ht="16.5" customHeight="1">
      <c r="O21051" s="5" t="s">
        <v>355</v>
      </c>
      <c r="P21051" s="5" t="s">
        <v>355</v>
      </c>
      <c r="Q21051" s="5" t="s">
        <v>355</v>
      </c>
    </row>
    <row r="21052" ht="16.5" customHeight="1">
      <c r="O21052" s="5" t="s">
        <v>355</v>
      </c>
      <c r="P21052" s="5" t="s">
        <v>355</v>
      </c>
      <c r="Q21052" s="5" t="s">
        <v>355</v>
      </c>
    </row>
    <row r="21053" ht="16.5" customHeight="1">
      <c r="O21053" s="5" t="s">
        <v>355</v>
      </c>
      <c r="P21053" s="5" t="s">
        <v>355</v>
      </c>
      <c r="Q21053" s="5" t="s">
        <v>355</v>
      </c>
    </row>
    <row r="21054" ht="16.5" customHeight="1">
      <c r="O21054" s="5" t="s">
        <v>355</v>
      </c>
      <c r="P21054" s="5" t="s">
        <v>355</v>
      </c>
      <c r="Q21054" s="5" t="s">
        <v>355</v>
      </c>
    </row>
    <row r="21055" ht="16.5" customHeight="1">
      <c r="O21055" s="5" t="s">
        <v>355</v>
      </c>
      <c r="P21055" s="5" t="s">
        <v>355</v>
      </c>
      <c r="Q21055" s="5" t="s">
        <v>355</v>
      </c>
    </row>
    <row r="21056" ht="16.5" customHeight="1">
      <c r="O21056" s="5" t="s">
        <v>355</v>
      </c>
      <c r="P21056" s="5" t="s">
        <v>355</v>
      </c>
      <c r="Q21056" s="5" t="s">
        <v>355</v>
      </c>
    </row>
    <row r="21057" ht="16.5" customHeight="1">
      <c r="O21057" s="5" t="s">
        <v>355</v>
      </c>
      <c r="P21057" s="5" t="s">
        <v>355</v>
      </c>
      <c r="Q21057" s="5" t="s">
        <v>355</v>
      </c>
    </row>
    <row r="21058" ht="16.5" customHeight="1">
      <c r="O21058" s="5" t="s">
        <v>355</v>
      </c>
      <c r="P21058" s="5" t="s">
        <v>355</v>
      </c>
      <c r="Q21058" s="5" t="s">
        <v>355</v>
      </c>
    </row>
    <row r="21059" ht="16.5" customHeight="1">
      <c r="O21059" s="5" t="s">
        <v>355</v>
      </c>
      <c r="P21059" s="5" t="s">
        <v>355</v>
      </c>
      <c r="Q21059" s="5" t="s">
        <v>355</v>
      </c>
    </row>
    <row r="21060" ht="16.5" customHeight="1">
      <c r="O21060" s="5" t="s">
        <v>355</v>
      </c>
      <c r="P21060" s="5" t="s">
        <v>355</v>
      </c>
      <c r="Q21060" s="5" t="s">
        <v>355</v>
      </c>
    </row>
    <row r="21061" ht="16.5" customHeight="1">
      <c r="O21061" s="5" t="s">
        <v>355</v>
      </c>
      <c r="P21061" s="5" t="s">
        <v>355</v>
      </c>
      <c r="Q21061" s="5" t="s">
        <v>355</v>
      </c>
    </row>
    <row r="21062" ht="16.5" customHeight="1">
      <c r="O21062" s="5" t="s">
        <v>355</v>
      </c>
      <c r="P21062" s="5" t="s">
        <v>355</v>
      </c>
      <c r="Q21062" s="5" t="s">
        <v>355</v>
      </c>
    </row>
    <row r="21063" ht="16.5" customHeight="1">
      <c r="O21063" s="5" t="s">
        <v>355</v>
      </c>
      <c r="P21063" s="5" t="s">
        <v>355</v>
      </c>
      <c r="Q21063" s="5" t="s">
        <v>355</v>
      </c>
    </row>
    <row r="21064" ht="16.5" customHeight="1">
      <c r="O21064" s="5" t="s">
        <v>355</v>
      </c>
      <c r="P21064" s="5" t="s">
        <v>355</v>
      </c>
      <c r="Q21064" s="5" t="s">
        <v>355</v>
      </c>
    </row>
    <row r="21065" ht="16.5" customHeight="1">
      <c r="O21065" s="5" t="s">
        <v>355</v>
      </c>
      <c r="P21065" s="5" t="s">
        <v>355</v>
      </c>
      <c r="Q21065" s="5" t="s">
        <v>355</v>
      </c>
    </row>
    <row r="21066" ht="16.5" customHeight="1">
      <c r="O21066" s="5" t="s">
        <v>355</v>
      </c>
      <c r="P21066" s="5" t="s">
        <v>355</v>
      </c>
      <c r="Q21066" s="5" t="s">
        <v>355</v>
      </c>
    </row>
    <row r="21067" ht="16.5" customHeight="1">
      <c r="O21067" s="5" t="s">
        <v>355</v>
      </c>
      <c r="P21067" s="5" t="s">
        <v>355</v>
      </c>
      <c r="Q21067" s="5" t="s">
        <v>355</v>
      </c>
    </row>
    <row r="21068" ht="16.5" customHeight="1">
      <c r="O21068" s="5" t="s">
        <v>355</v>
      </c>
      <c r="P21068" s="5" t="s">
        <v>355</v>
      </c>
      <c r="Q21068" s="5" t="s">
        <v>355</v>
      </c>
    </row>
    <row r="21069" ht="16.5" customHeight="1">
      <c r="O21069" s="5" t="s">
        <v>355</v>
      </c>
      <c r="P21069" s="5" t="s">
        <v>355</v>
      </c>
      <c r="Q21069" s="5" t="s">
        <v>355</v>
      </c>
    </row>
    <row r="21070" ht="16.5" customHeight="1">
      <c r="O21070" s="5" t="s">
        <v>355</v>
      </c>
      <c r="P21070" s="5" t="s">
        <v>355</v>
      </c>
      <c r="Q21070" s="5" t="s">
        <v>355</v>
      </c>
    </row>
    <row r="21071" ht="16.5" customHeight="1">
      <c r="O21071" s="5" t="s">
        <v>355</v>
      </c>
      <c r="P21071" s="5" t="s">
        <v>355</v>
      </c>
      <c r="Q21071" s="5" t="s">
        <v>355</v>
      </c>
    </row>
    <row r="21072" ht="16.5" customHeight="1">
      <c r="O21072" s="5" t="s">
        <v>355</v>
      </c>
      <c r="P21072" s="5" t="s">
        <v>355</v>
      </c>
      <c r="Q21072" s="5" t="s">
        <v>355</v>
      </c>
    </row>
    <row r="21073" ht="16.5" customHeight="1">
      <c r="O21073" s="5" t="s">
        <v>355</v>
      </c>
      <c r="P21073" s="5" t="s">
        <v>355</v>
      </c>
      <c r="Q21073" s="5" t="s">
        <v>355</v>
      </c>
    </row>
    <row r="21074" ht="16.5" customHeight="1">
      <c r="O21074" s="5" t="s">
        <v>355</v>
      </c>
      <c r="P21074" s="5" t="s">
        <v>355</v>
      </c>
      <c r="Q21074" s="5" t="s">
        <v>355</v>
      </c>
    </row>
    <row r="21075" ht="16.5" customHeight="1">
      <c r="O21075" s="5" t="s">
        <v>355</v>
      </c>
      <c r="P21075" s="5" t="s">
        <v>355</v>
      </c>
      <c r="Q21075" s="5" t="s">
        <v>355</v>
      </c>
    </row>
    <row r="21076" ht="16.5" customHeight="1">
      <c r="O21076" s="5" t="s">
        <v>355</v>
      </c>
      <c r="P21076" s="5" t="s">
        <v>355</v>
      </c>
      <c r="Q21076" s="5" t="s">
        <v>355</v>
      </c>
    </row>
    <row r="21077" ht="16.5" customHeight="1">
      <c r="O21077" s="5" t="s">
        <v>355</v>
      </c>
      <c r="P21077" s="5" t="s">
        <v>355</v>
      </c>
      <c r="Q21077" s="5" t="s">
        <v>355</v>
      </c>
    </row>
    <row r="21078" ht="16.5" customHeight="1">
      <c r="O21078" s="5" t="s">
        <v>355</v>
      </c>
      <c r="P21078" s="5" t="s">
        <v>355</v>
      </c>
      <c r="Q21078" s="5" t="s">
        <v>355</v>
      </c>
    </row>
    <row r="21079" ht="16.5" customHeight="1">
      <c r="O21079" s="5" t="s">
        <v>355</v>
      </c>
      <c r="P21079" s="5" t="s">
        <v>355</v>
      </c>
      <c r="Q21079" s="5" t="s">
        <v>355</v>
      </c>
    </row>
    <row r="21080" ht="16.5" customHeight="1">
      <c r="O21080" s="5" t="s">
        <v>355</v>
      </c>
      <c r="P21080" s="5" t="s">
        <v>355</v>
      </c>
      <c r="Q21080" s="5" t="s">
        <v>355</v>
      </c>
    </row>
    <row r="21081" ht="16.5" customHeight="1">
      <c r="O21081" s="5" t="s">
        <v>355</v>
      </c>
      <c r="P21081" s="5" t="s">
        <v>355</v>
      </c>
      <c r="Q21081" s="5" t="s">
        <v>355</v>
      </c>
    </row>
    <row r="21082" ht="16.5" customHeight="1">
      <c r="O21082" s="5" t="s">
        <v>355</v>
      </c>
      <c r="P21082" s="5" t="s">
        <v>355</v>
      </c>
      <c r="Q21082" s="5" t="s">
        <v>355</v>
      </c>
    </row>
    <row r="21083" ht="16.5" customHeight="1">
      <c r="O21083" s="5" t="s">
        <v>355</v>
      </c>
      <c r="P21083" s="5" t="s">
        <v>355</v>
      </c>
      <c r="Q21083" s="5" t="s">
        <v>355</v>
      </c>
    </row>
    <row r="21084" ht="16.5" customHeight="1">
      <c r="O21084" s="5" t="s">
        <v>355</v>
      </c>
      <c r="P21084" s="5" t="s">
        <v>355</v>
      </c>
      <c r="Q21084" s="5" t="s">
        <v>355</v>
      </c>
    </row>
    <row r="21085" ht="16.5" customHeight="1">
      <c r="O21085" s="5" t="s">
        <v>355</v>
      </c>
      <c r="P21085" s="5" t="s">
        <v>355</v>
      </c>
      <c r="Q21085" s="5" t="s">
        <v>355</v>
      </c>
    </row>
    <row r="21086" ht="16.5" customHeight="1">
      <c r="O21086" s="5" t="s">
        <v>355</v>
      </c>
      <c r="P21086" s="5" t="s">
        <v>355</v>
      </c>
      <c r="Q21086" s="5" t="s">
        <v>355</v>
      </c>
    </row>
    <row r="21087" ht="16.5" customHeight="1">
      <c r="O21087" s="5" t="s">
        <v>355</v>
      </c>
      <c r="P21087" s="5" t="s">
        <v>355</v>
      </c>
      <c r="Q21087" s="5" t="s">
        <v>355</v>
      </c>
    </row>
    <row r="21088" ht="16.5" customHeight="1">
      <c r="O21088" s="5" t="s">
        <v>355</v>
      </c>
      <c r="P21088" s="5" t="s">
        <v>355</v>
      </c>
      <c r="Q21088" s="5" t="s">
        <v>355</v>
      </c>
    </row>
    <row r="21089" ht="16.5" customHeight="1">
      <c r="O21089" s="5" t="s">
        <v>355</v>
      </c>
      <c r="P21089" s="5" t="s">
        <v>355</v>
      </c>
      <c r="Q21089" s="5" t="s">
        <v>355</v>
      </c>
    </row>
    <row r="21090" ht="16.5" customHeight="1">
      <c r="O21090" s="5" t="s">
        <v>355</v>
      </c>
      <c r="P21090" s="5" t="s">
        <v>355</v>
      </c>
      <c r="Q21090" s="5" t="s">
        <v>355</v>
      </c>
    </row>
    <row r="21091" ht="16.5" customHeight="1">
      <c r="O21091" s="5" t="s">
        <v>355</v>
      </c>
      <c r="P21091" s="5" t="s">
        <v>355</v>
      </c>
      <c r="Q21091" s="5" t="s">
        <v>355</v>
      </c>
    </row>
    <row r="21092" ht="16.5" customHeight="1">
      <c r="O21092" s="5" t="s">
        <v>355</v>
      </c>
      <c r="P21092" s="5" t="s">
        <v>355</v>
      </c>
      <c r="Q21092" s="5" t="s">
        <v>355</v>
      </c>
    </row>
    <row r="21093" ht="16.5" customHeight="1">
      <c r="O21093" s="5" t="s">
        <v>355</v>
      </c>
      <c r="P21093" s="5" t="s">
        <v>355</v>
      </c>
      <c r="Q21093" s="5" t="s">
        <v>355</v>
      </c>
    </row>
    <row r="21094" ht="16.5" customHeight="1">
      <c r="O21094" s="5" t="s">
        <v>355</v>
      </c>
      <c r="P21094" s="5" t="s">
        <v>355</v>
      </c>
      <c r="Q21094" s="5" t="s">
        <v>355</v>
      </c>
    </row>
    <row r="21095" ht="16.5" customHeight="1">
      <c r="O21095" s="5" t="s">
        <v>355</v>
      </c>
      <c r="P21095" s="5" t="s">
        <v>355</v>
      </c>
      <c r="Q21095" s="5" t="s">
        <v>355</v>
      </c>
    </row>
    <row r="21096" ht="16.5" customHeight="1">
      <c r="O21096" s="5" t="s">
        <v>355</v>
      </c>
      <c r="P21096" s="5" t="s">
        <v>355</v>
      </c>
      <c r="Q21096" s="5" t="s">
        <v>355</v>
      </c>
    </row>
    <row r="21097" ht="16.5" customHeight="1">
      <c r="O21097" s="5" t="s">
        <v>355</v>
      </c>
      <c r="P21097" s="5" t="s">
        <v>355</v>
      </c>
      <c r="Q21097" s="5" t="s">
        <v>355</v>
      </c>
    </row>
    <row r="21098" ht="16.5" customHeight="1">
      <c r="O21098" s="5" t="s">
        <v>355</v>
      </c>
      <c r="P21098" s="5" t="s">
        <v>355</v>
      </c>
      <c r="Q21098" s="5" t="s">
        <v>355</v>
      </c>
    </row>
    <row r="21099" ht="16.5" customHeight="1">
      <c r="O21099" s="5" t="s">
        <v>355</v>
      </c>
      <c r="P21099" s="5" t="s">
        <v>355</v>
      </c>
      <c r="Q21099" s="5" t="s">
        <v>355</v>
      </c>
    </row>
    <row r="21100" ht="16.5" customHeight="1">
      <c r="O21100" s="5" t="s">
        <v>355</v>
      </c>
      <c r="P21100" s="5" t="s">
        <v>355</v>
      </c>
      <c r="Q21100" s="5" t="s">
        <v>355</v>
      </c>
    </row>
    <row r="21101" ht="16.5" customHeight="1">
      <c r="O21101" s="5" t="s">
        <v>355</v>
      </c>
      <c r="P21101" s="5" t="s">
        <v>355</v>
      </c>
      <c r="Q21101" s="5" t="s">
        <v>355</v>
      </c>
    </row>
    <row r="21102" ht="16.5" customHeight="1">
      <c r="O21102" s="5" t="s">
        <v>355</v>
      </c>
      <c r="P21102" s="5" t="s">
        <v>355</v>
      </c>
      <c r="Q21102" s="5" t="s">
        <v>355</v>
      </c>
    </row>
    <row r="21103" ht="16.5" customHeight="1">
      <c r="O21103" s="5" t="s">
        <v>355</v>
      </c>
      <c r="P21103" s="5" t="s">
        <v>355</v>
      </c>
      <c r="Q21103" s="5" t="s">
        <v>355</v>
      </c>
    </row>
    <row r="21104" ht="16.5" customHeight="1">
      <c r="O21104" s="5" t="s">
        <v>355</v>
      </c>
      <c r="P21104" s="5" t="s">
        <v>355</v>
      </c>
      <c r="Q21104" s="5" t="s">
        <v>355</v>
      </c>
    </row>
    <row r="21105" ht="16.5" customHeight="1">
      <c r="O21105" s="5" t="s">
        <v>355</v>
      </c>
      <c r="P21105" s="5" t="s">
        <v>355</v>
      </c>
      <c r="Q21105" s="5" t="s">
        <v>355</v>
      </c>
    </row>
    <row r="21106" ht="16.5" customHeight="1">
      <c r="O21106" s="5" t="s">
        <v>355</v>
      </c>
      <c r="P21106" s="5" t="s">
        <v>355</v>
      </c>
      <c r="Q21106" s="5" t="s">
        <v>355</v>
      </c>
    </row>
    <row r="21107" ht="16.5" customHeight="1">
      <c r="O21107" s="5" t="s">
        <v>355</v>
      </c>
      <c r="P21107" s="5" t="s">
        <v>355</v>
      </c>
      <c r="Q21107" s="5" t="s">
        <v>355</v>
      </c>
    </row>
    <row r="21108" ht="16.5" customHeight="1">
      <c r="O21108" s="5" t="s">
        <v>355</v>
      </c>
      <c r="P21108" s="5" t="s">
        <v>355</v>
      </c>
      <c r="Q21108" s="5" t="s">
        <v>355</v>
      </c>
    </row>
    <row r="21109" ht="16.5" customHeight="1">
      <c r="O21109" s="5" t="s">
        <v>355</v>
      </c>
      <c r="P21109" s="5" t="s">
        <v>355</v>
      </c>
      <c r="Q21109" s="5" t="s">
        <v>355</v>
      </c>
    </row>
    <row r="21110" ht="16.5" customHeight="1">
      <c r="O21110" s="5" t="s">
        <v>355</v>
      </c>
      <c r="P21110" s="5" t="s">
        <v>355</v>
      </c>
      <c r="Q21110" s="5" t="s">
        <v>355</v>
      </c>
    </row>
    <row r="21111" ht="16.5" customHeight="1">
      <c r="O21111" s="5" t="s">
        <v>355</v>
      </c>
      <c r="P21111" s="5" t="s">
        <v>355</v>
      </c>
      <c r="Q21111" s="5" t="s">
        <v>355</v>
      </c>
    </row>
    <row r="21112" ht="16.5" customHeight="1">
      <c r="O21112" s="5" t="s">
        <v>355</v>
      </c>
      <c r="P21112" s="5" t="s">
        <v>355</v>
      </c>
      <c r="Q21112" s="5" t="s">
        <v>355</v>
      </c>
    </row>
    <row r="21113" ht="16.5" customHeight="1">
      <c r="O21113" s="5" t="s">
        <v>355</v>
      </c>
      <c r="P21113" s="5" t="s">
        <v>355</v>
      </c>
      <c r="Q21113" s="5" t="s">
        <v>355</v>
      </c>
    </row>
    <row r="21114" ht="16.5" customHeight="1">
      <c r="O21114" s="5" t="s">
        <v>355</v>
      </c>
      <c r="P21114" s="5" t="s">
        <v>355</v>
      </c>
      <c r="Q21114" s="5" t="s">
        <v>355</v>
      </c>
    </row>
    <row r="21115" ht="16.5" customHeight="1">
      <c r="O21115" s="5" t="s">
        <v>355</v>
      </c>
      <c r="P21115" s="5" t="s">
        <v>355</v>
      </c>
      <c r="Q21115" s="5" t="s">
        <v>355</v>
      </c>
    </row>
    <row r="21116" ht="16.5" customHeight="1">
      <c r="O21116" s="5" t="s">
        <v>355</v>
      </c>
      <c r="P21116" s="5" t="s">
        <v>355</v>
      </c>
      <c r="Q21116" s="5" t="s">
        <v>355</v>
      </c>
    </row>
    <row r="21117" ht="16.5" customHeight="1">
      <c r="O21117" s="5" t="s">
        <v>355</v>
      </c>
      <c r="P21117" s="5" t="s">
        <v>355</v>
      </c>
      <c r="Q21117" s="5" t="s">
        <v>355</v>
      </c>
    </row>
    <row r="21118" ht="16.5" customHeight="1">
      <c r="O21118" s="5" t="s">
        <v>355</v>
      </c>
      <c r="P21118" s="5" t="s">
        <v>355</v>
      </c>
      <c r="Q21118" s="5" t="s">
        <v>355</v>
      </c>
    </row>
    <row r="21119" ht="16.5" customHeight="1">
      <c r="O21119" s="5" t="s">
        <v>355</v>
      </c>
      <c r="P21119" s="5" t="s">
        <v>355</v>
      </c>
      <c r="Q21119" s="5" t="s">
        <v>355</v>
      </c>
    </row>
    <row r="21120" ht="16.5" customHeight="1">
      <c r="O21120" s="5" t="s">
        <v>355</v>
      </c>
      <c r="P21120" s="5" t="s">
        <v>355</v>
      </c>
      <c r="Q21120" s="5" t="s">
        <v>355</v>
      </c>
    </row>
    <row r="21121" ht="16.5" customHeight="1">
      <c r="O21121" s="5" t="s">
        <v>355</v>
      </c>
      <c r="P21121" s="5" t="s">
        <v>355</v>
      </c>
      <c r="Q21121" s="5" t="s">
        <v>355</v>
      </c>
    </row>
    <row r="21122" ht="16.5" customHeight="1">
      <c r="O21122" s="5" t="s">
        <v>355</v>
      </c>
      <c r="P21122" s="5" t="s">
        <v>355</v>
      </c>
      <c r="Q21122" s="5" t="s">
        <v>355</v>
      </c>
    </row>
    <row r="21123" ht="16.5" customHeight="1">
      <c r="O21123" s="5" t="s">
        <v>355</v>
      </c>
      <c r="P21123" s="5" t="s">
        <v>355</v>
      </c>
      <c r="Q21123" s="5" t="s">
        <v>355</v>
      </c>
    </row>
    <row r="21124" ht="16.5" customHeight="1">
      <c r="O21124" s="5" t="s">
        <v>355</v>
      </c>
      <c r="P21124" s="5" t="s">
        <v>355</v>
      </c>
      <c r="Q21124" s="5" t="s">
        <v>355</v>
      </c>
    </row>
    <row r="21125" ht="16.5" customHeight="1">
      <c r="O21125" s="5" t="s">
        <v>355</v>
      </c>
      <c r="P21125" s="5" t="s">
        <v>355</v>
      </c>
      <c r="Q21125" s="5" t="s">
        <v>355</v>
      </c>
    </row>
    <row r="21126" ht="16.5" customHeight="1">
      <c r="O21126" s="5" t="s">
        <v>355</v>
      </c>
      <c r="P21126" s="5" t="s">
        <v>355</v>
      </c>
      <c r="Q21126" s="5" t="s">
        <v>355</v>
      </c>
    </row>
    <row r="21127" ht="16.5" customHeight="1">
      <c r="O21127" s="5" t="s">
        <v>355</v>
      </c>
      <c r="P21127" s="5" t="s">
        <v>355</v>
      </c>
      <c r="Q21127" s="5" t="s">
        <v>355</v>
      </c>
    </row>
    <row r="21128" ht="16.5" customHeight="1">
      <c r="O21128" s="5" t="s">
        <v>355</v>
      </c>
      <c r="P21128" s="5" t="s">
        <v>355</v>
      </c>
      <c r="Q21128" s="5" t="s">
        <v>355</v>
      </c>
    </row>
    <row r="21129" ht="16.5" customHeight="1">
      <c r="O21129" s="5" t="s">
        <v>355</v>
      </c>
      <c r="P21129" s="5" t="s">
        <v>355</v>
      </c>
      <c r="Q21129" s="5" t="s">
        <v>355</v>
      </c>
    </row>
    <row r="21130" ht="16.5" customHeight="1">
      <c r="O21130" s="5" t="s">
        <v>355</v>
      </c>
      <c r="P21130" s="5" t="s">
        <v>355</v>
      </c>
      <c r="Q21130" s="5" t="s">
        <v>355</v>
      </c>
    </row>
    <row r="21131" ht="16.5" customHeight="1">
      <c r="O21131" s="5" t="s">
        <v>355</v>
      </c>
      <c r="P21131" s="5" t="s">
        <v>355</v>
      </c>
      <c r="Q21131" s="5" t="s">
        <v>355</v>
      </c>
    </row>
    <row r="21132" ht="16.5" customHeight="1">
      <c r="O21132" s="5" t="s">
        <v>355</v>
      </c>
      <c r="P21132" s="5" t="s">
        <v>355</v>
      </c>
      <c r="Q21132" s="5" t="s">
        <v>355</v>
      </c>
    </row>
    <row r="21133" ht="16.5" customHeight="1">
      <c r="O21133" s="5" t="s">
        <v>355</v>
      </c>
      <c r="P21133" s="5" t="s">
        <v>355</v>
      </c>
      <c r="Q21133" s="5" t="s">
        <v>355</v>
      </c>
    </row>
    <row r="21134" ht="16.5" customHeight="1">
      <c r="O21134" s="5" t="s">
        <v>355</v>
      </c>
      <c r="P21134" s="5" t="s">
        <v>355</v>
      </c>
      <c r="Q21134" s="5" t="s">
        <v>355</v>
      </c>
    </row>
    <row r="21135" ht="16.5" customHeight="1">
      <c r="O21135" s="5" t="s">
        <v>355</v>
      </c>
      <c r="P21135" s="5" t="s">
        <v>355</v>
      </c>
      <c r="Q21135" s="5" t="s">
        <v>355</v>
      </c>
    </row>
    <row r="21136" ht="16.5" customHeight="1">
      <c r="O21136" s="5" t="s">
        <v>355</v>
      </c>
      <c r="P21136" s="5" t="s">
        <v>355</v>
      </c>
      <c r="Q21136" s="5" t="s">
        <v>355</v>
      </c>
    </row>
    <row r="21137" ht="16.5" customHeight="1">
      <c r="O21137" s="5" t="s">
        <v>355</v>
      </c>
      <c r="P21137" s="5" t="s">
        <v>355</v>
      </c>
      <c r="Q21137" s="5" t="s">
        <v>355</v>
      </c>
    </row>
    <row r="21138" ht="16.5" customHeight="1">
      <c r="O21138" s="5" t="s">
        <v>355</v>
      </c>
      <c r="P21138" s="5" t="s">
        <v>355</v>
      </c>
      <c r="Q21138" s="5" t="s">
        <v>355</v>
      </c>
    </row>
    <row r="21139" ht="16.5" customHeight="1">
      <c r="O21139" s="5" t="s">
        <v>355</v>
      </c>
      <c r="P21139" s="5" t="s">
        <v>355</v>
      </c>
      <c r="Q21139" s="5" t="s">
        <v>355</v>
      </c>
    </row>
    <row r="21140" ht="16.5" customHeight="1">
      <c r="O21140" s="5" t="s">
        <v>355</v>
      </c>
      <c r="P21140" s="5" t="s">
        <v>355</v>
      </c>
      <c r="Q21140" s="5" t="s">
        <v>355</v>
      </c>
    </row>
    <row r="21141" ht="16.5" customHeight="1">
      <c r="O21141" s="5" t="s">
        <v>355</v>
      </c>
      <c r="P21141" s="5" t="s">
        <v>355</v>
      </c>
      <c r="Q21141" s="5" t="s">
        <v>355</v>
      </c>
    </row>
    <row r="21142" ht="16.5" customHeight="1">
      <c r="O21142" s="5" t="s">
        <v>355</v>
      </c>
      <c r="P21142" s="5" t="s">
        <v>355</v>
      </c>
      <c r="Q21142" s="5" t="s">
        <v>355</v>
      </c>
    </row>
    <row r="21143" ht="16.5" customHeight="1">
      <c r="O21143" s="5" t="s">
        <v>355</v>
      </c>
      <c r="P21143" s="5" t="s">
        <v>355</v>
      </c>
      <c r="Q21143" s="5" t="s">
        <v>355</v>
      </c>
    </row>
    <row r="21144" ht="16.5" customHeight="1">
      <c r="O21144" s="5" t="s">
        <v>355</v>
      </c>
      <c r="P21144" s="5" t="s">
        <v>355</v>
      </c>
      <c r="Q21144" s="5" t="s">
        <v>355</v>
      </c>
    </row>
    <row r="21145" ht="16.5" customHeight="1">
      <c r="O21145" s="5" t="s">
        <v>355</v>
      </c>
      <c r="P21145" s="5" t="s">
        <v>355</v>
      </c>
      <c r="Q21145" s="5" t="s">
        <v>355</v>
      </c>
    </row>
    <row r="21146" ht="16.5" customHeight="1">
      <c r="O21146" s="5" t="s">
        <v>355</v>
      </c>
      <c r="P21146" s="5" t="s">
        <v>355</v>
      </c>
      <c r="Q21146" s="5" t="s">
        <v>355</v>
      </c>
    </row>
    <row r="21147" ht="16.5" customHeight="1">
      <c r="O21147" s="5" t="s">
        <v>355</v>
      </c>
      <c r="P21147" s="5" t="s">
        <v>355</v>
      </c>
      <c r="Q21147" s="5" t="s">
        <v>355</v>
      </c>
    </row>
    <row r="21148" ht="16.5" customHeight="1">
      <c r="O21148" s="5" t="s">
        <v>355</v>
      </c>
      <c r="P21148" s="5" t="s">
        <v>355</v>
      </c>
      <c r="Q21148" s="5" t="s">
        <v>355</v>
      </c>
    </row>
    <row r="21149" ht="16.5" customHeight="1">
      <c r="O21149" s="5" t="s">
        <v>355</v>
      </c>
      <c r="P21149" s="5" t="s">
        <v>355</v>
      </c>
      <c r="Q21149" s="5" t="s">
        <v>355</v>
      </c>
    </row>
    <row r="21150" ht="16.5" customHeight="1">
      <c r="O21150" s="5" t="s">
        <v>355</v>
      </c>
      <c r="P21150" s="5" t="s">
        <v>355</v>
      </c>
      <c r="Q21150" s="5" t="s">
        <v>355</v>
      </c>
    </row>
    <row r="21151" ht="16.5" customHeight="1">
      <c r="O21151" s="5" t="s">
        <v>355</v>
      </c>
      <c r="P21151" s="5" t="s">
        <v>355</v>
      </c>
      <c r="Q21151" s="5" t="s">
        <v>355</v>
      </c>
    </row>
    <row r="21152" ht="16.5" customHeight="1">
      <c r="O21152" s="5" t="s">
        <v>355</v>
      </c>
      <c r="P21152" s="5" t="s">
        <v>355</v>
      </c>
      <c r="Q21152" s="5" t="s">
        <v>355</v>
      </c>
    </row>
    <row r="21153" ht="16.5" customHeight="1">
      <c r="O21153" s="5" t="s">
        <v>355</v>
      </c>
      <c r="P21153" s="5" t="s">
        <v>355</v>
      </c>
      <c r="Q21153" s="5" t="s">
        <v>355</v>
      </c>
    </row>
    <row r="21154" ht="16.5" customHeight="1">
      <c r="O21154" s="5" t="s">
        <v>355</v>
      </c>
      <c r="P21154" s="5" t="s">
        <v>355</v>
      </c>
      <c r="Q21154" s="5" t="s">
        <v>355</v>
      </c>
    </row>
    <row r="21155" ht="16.5" customHeight="1">
      <c r="O21155" s="5" t="s">
        <v>355</v>
      </c>
      <c r="P21155" s="5" t="s">
        <v>355</v>
      </c>
      <c r="Q21155" s="5" t="s">
        <v>355</v>
      </c>
    </row>
    <row r="21156" ht="16.5" customHeight="1">
      <c r="O21156" s="5" t="s">
        <v>355</v>
      </c>
      <c r="P21156" s="5" t="s">
        <v>355</v>
      </c>
      <c r="Q21156" s="5" t="s">
        <v>355</v>
      </c>
    </row>
    <row r="21157" ht="16.5" customHeight="1">
      <c r="O21157" s="5" t="s">
        <v>355</v>
      </c>
      <c r="P21157" s="5" t="s">
        <v>355</v>
      </c>
      <c r="Q21157" s="5" t="s">
        <v>355</v>
      </c>
    </row>
    <row r="21158" ht="16.5" customHeight="1">
      <c r="O21158" s="5" t="s">
        <v>355</v>
      </c>
      <c r="P21158" s="5" t="s">
        <v>355</v>
      </c>
      <c r="Q21158" s="5" t="s">
        <v>355</v>
      </c>
    </row>
    <row r="21159" ht="16.5" customHeight="1">
      <c r="O21159" s="5" t="s">
        <v>355</v>
      </c>
      <c r="P21159" s="5" t="s">
        <v>355</v>
      </c>
      <c r="Q21159" s="5" t="s">
        <v>355</v>
      </c>
    </row>
    <row r="21160" ht="16.5" customHeight="1">
      <c r="O21160" s="5" t="s">
        <v>355</v>
      </c>
      <c r="P21160" s="5" t="s">
        <v>355</v>
      </c>
      <c r="Q21160" s="5" t="s">
        <v>355</v>
      </c>
    </row>
    <row r="21161" ht="16.5" customHeight="1">
      <c r="O21161" s="5" t="s">
        <v>355</v>
      </c>
      <c r="P21161" s="5" t="s">
        <v>355</v>
      </c>
      <c r="Q21161" s="5" t="s">
        <v>355</v>
      </c>
    </row>
    <row r="21162" ht="16.5" customHeight="1">
      <c r="O21162" s="5" t="s">
        <v>355</v>
      </c>
      <c r="P21162" s="5" t="s">
        <v>355</v>
      </c>
      <c r="Q21162" s="5" t="s">
        <v>355</v>
      </c>
    </row>
    <row r="21163" ht="16.5" customHeight="1">
      <c r="O21163" s="5" t="s">
        <v>355</v>
      </c>
      <c r="P21163" s="5" t="s">
        <v>355</v>
      </c>
      <c r="Q21163" s="5" t="s">
        <v>355</v>
      </c>
    </row>
    <row r="21164" ht="16.5" customHeight="1">
      <c r="O21164" s="5" t="s">
        <v>355</v>
      </c>
      <c r="P21164" s="5" t="s">
        <v>355</v>
      </c>
      <c r="Q21164" s="5" t="s">
        <v>355</v>
      </c>
    </row>
    <row r="21165" ht="16.5" customHeight="1">
      <c r="O21165" s="5" t="s">
        <v>355</v>
      </c>
      <c r="P21165" s="5" t="s">
        <v>355</v>
      </c>
      <c r="Q21165" s="5" t="s">
        <v>355</v>
      </c>
    </row>
    <row r="21166" ht="16.5" customHeight="1">
      <c r="O21166" s="5" t="s">
        <v>355</v>
      </c>
      <c r="P21166" s="5" t="s">
        <v>355</v>
      </c>
      <c r="Q21166" s="5" t="s">
        <v>355</v>
      </c>
    </row>
    <row r="21167" ht="16.5" customHeight="1">
      <c r="O21167" s="5" t="s">
        <v>355</v>
      </c>
      <c r="P21167" s="5" t="s">
        <v>355</v>
      </c>
      <c r="Q21167" s="5" t="s">
        <v>355</v>
      </c>
    </row>
    <row r="21168" ht="16.5" customHeight="1">
      <c r="O21168" s="5" t="s">
        <v>355</v>
      </c>
      <c r="P21168" s="5" t="s">
        <v>355</v>
      </c>
      <c r="Q21168" s="5" t="s">
        <v>355</v>
      </c>
    </row>
    <row r="21169" ht="16.5" customHeight="1">
      <c r="O21169" s="5" t="s">
        <v>355</v>
      </c>
      <c r="P21169" s="5" t="s">
        <v>355</v>
      </c>
      <c r="Q21169" s="5" t="s">
        <v>355</v>
      </c>
    </row>
    <row r="21170" ht="16.5" customHeight="1">
      <c r="O21170" s="5" t="s">
        <v>355</v>
      </c>
      <c r="P21170" s="5" t="s">
        <v>355</v>
      </c>
      <c r="Q21170" s="5" t="s">
        <v>355</v>
      </c>
    </row>
    <row r="21171" ht="16.5" customHeight="1">
      <c r="O21171" s="5" t="s">
        <v>355</v>
      </c>
      <c r="P21171" s="5" t="s">
        <v>355</v>
      </c>
      <c r="Q21171" s="5" t="s">
        <v>355</v>
      </c>
    </row>
    <row r="21172" ht="16.5" customHeight="1">
      <c r="O21172" s="5" t="s">
        <v>355</v>
      </c>
      <c r="P21172" s="5" t="s">
        <v>355</v>
      </c>
      <c r="Q21172" s="5" t="s">
        <v>355</v>
      </c>
    </row>
    <row r="21173" ht="16.5" customHeight="1">
      <c r="O21173" s="5" t="s">
        <v>355</v>
      </c>
      <c r="P21173" s="5" t="s">
        <v>355</v>
      </c>
      <c r="Q21173" s="5" t="s">
        <v>355</v>
      </c>
    </row>
    <row r="21174" ht="16.5" customHeight="1">
      <c r="O21174" s="5" t="s">
        <v>355</v>
      </c>
      <c r="P21174" s="5" t="s">
        <v>355</v>
      </c>
      <c r="Q21174" s="5" t="s">
        <v>355</v>
      </c>
    </row>
    <row r="21175" ht="16.5" customHeight="1">
      <c r="O21175" s="5" t="s">
        <v>355</v>
      </c>
      <c r="P21175" s="5" t="s">
        <v>355</v>
      </c>
      <c r="Q21175" s="5" t="s">
        <v>355</v>
      </c>
    </row>
    <row r="21176" ht="16.5" customHeight="1">
      <c r="O21176" s="5" t="s">
        <v>355</v>
      </c>
      <c r="P21176" s="5" t="s">
        <v>355</v>
      </c>
      <c r="Q21176" s="5" t="s">
        <v>355</v>
      </c>
    </row>
    <row r="21177" ht="16.5" customHeight="1">
      <c r="O21177" s="5" t="s">
        <v>355</v>
      </c>
      <c r="P21177" s="5" t="s">
        <v>355</v>
      </c>
      <c r="Q21177" s="5" t="s">
        <v>355</v>
      </c>
    </row>
    <row r="21178" ht="16.5" customHeight="1">
      <c r="O21178" s="5" t="s">
        <v>355</v>
      </c>
      <c r="P21178" s="5" t="s">
        <v>355</v>
      </c>
      <c r="Q21178" s="5" t="s">
        <v>355</v>
      </c>
    </row>
    <row r="21179" ht="16.5" customHeight="1">
      <c r="O21179" s="5" t="s">
        <v>355</v>
      </c>
      <c r="P21179" s="5" t="s">
        <v>355</v>
      </c>
      <c r="Q21179" s="5" t="s">
        <v>355</v>
      </c>
    </row>
    <row r="21180" ht="16.5" customHeight="1">
      <c r="O21180" s="5" t="s">
        <v>355</v>
      </c>
      <c r="P21180" s="5" t="s">
        <v>355</v>
      </c>
      <c r="Q21180" s="5" t="s">
        <v>355</v>
      </c>
    </row>
    <row r="21181" ht="16.5" customHeight="1">
      <c r="O21181" s="5" t="s">
        <v>355</v>
      </c>
      <c r="P21181" s="5" t="s">
        <v>355</v>
      </c>
      <c r="Q21181" s="5" t="s">
        <v>355</v>
      </c>
    </row>
    <row r="21182" ht="16.5" customHeight="1">
      <c r="O21182" s="5" t="s">
        <v>355</v>
      </c>
      <c r="P21182" s="5" t="s">
        <v>355</v>
      </c>
      <c r="Q21182" s="5" t="s">
        <v>355</v>
      </c>
    </row>
    <row r="21183" ht="16.5" customHeight="1">
      <c r="O21183" s="5" t="s">
        <v>355</v>
      </c>
      <c r="P21183" s="5" t="s">
        <v>355</v>
      </c>
      <c r="Q21183" s="5" t="s">
        <v>355</v>
      </c>
    </row>
    <row r="21184" ht="16.5" customHeight="1">
      <c r="O21184" s="5" t="s">
        <v>355</v>
      </c>
      <c r="P21184" s="5" t="s">
        <v>355</v>
      </c>
      <c r="Q21184" s="5" t="s">
        <v>355</v>
      </c>
    </row>
    <row r="21185" ht="16.5" customHeight="1">
      <c r="O21185" s="5" t="s">
        <v>355</v>
      </c>
      <c r="P21185" s="5" t="s">
        <v>355</v>
      </c>
      <c r="Q21185" s="5" t="s">
        <v>355</v>
      </c>
    </row>
    <row r="21186" ht="16.5" customHeight="1">
      <c r="O21186" s="5" t="s">
        <v>355</v>
      </c>
      <c r="P21186" s="5" t="s">
        <v>355</v>
      </c>
      <c r="Q21186" s="5" t="s">
        <v>355</v>
      </c>
    </row>
    <row r="21187" ht="16.5" customHeight="1">
      <c r="O21187" s="5" t="s">
        <v>355</v>
      </c>
      <c r="P21187" s="5" t="s">
        <v>355</v>
      </c>
      <c r="Q21187" s="5" t="s">
        <v>355</v>
      </c>
    </row>
    <row r="21188" ht="16.5" customHeight="1">
      <c r="O21188" s="5" t="s">
        <v>355</v>
      </c>
      <c r="P21188" s="5" t="s">
        <v>355</v>
      </c>
      <c r="Q21188" s="5" t="s">
        <v>355</v>
      </c>
    </row>
    <row r="21189" ht="16.5" customHeight="1">
      <c r="O21189" s="5" t="s">
        <v>355</v>
      </c>
      <c r="P21189" s="5" t="s">
        <v>355</v>
      </c>
      <c r="Q21189" s="5" t="s">
        <v>355</v>
      </c>
    </row>
    <row r="21190" ht="16.5" customHeight="1">
      <c r="O21190" s="5" t="s">
        <v>355</v>
      </c>
      <c r="P21190" s="5" t="s">
        <v>355</v>
      </c>
      <c r="Q21190" s="5" t="s">
        <v>355</v>
      </c>
    </row>
    <row r="21191" ht="16.5" customHeight="1">
      <c r="O21191" s="5" t="s">
        <v>355</v>
      </c>
      <c r="P21191" s="5" t="s">
        <v>355</v>
      </c>
      <c r="Q21191" s="5" t="s">
        <v>355</v>
      </c>
    </row>
    <row r="21192" ht="16.5" customHeight="1">
      <c r="O21192" s="5" t="s">
        <v>355</v>
      </c>
      <c r="P21192" s="5" t="s">
        <v>355</v>
      </c>
      <c r="Q21192" s="5" t="s">
        <v>355</v>
      </c>
    </row>
    <row r="21193" ht="16.5" customHeight="1">
      <c r="O21193" s="5" t="s">
        <v>355</v>
      </c>
      <c r="P21193" s="5" t="s">
        <v>355</v>
      </c>
      <c r="Q21193" s="5" t="s">
        <v>355</v>
      </c>
    </row>
    <row r="21194" ht="16.5" customHeight="1">
      <c r="O21194" s="5" t="s">
        <v>355</v>
      </c>
      <c r="P21194" s="5" t="s">
        <v>355</v>
      </c>
      <c r="Q21194" s="5" t="s">
        <v>355</v>
      </c>
    </row>
    <row r="21195" ht="16.5" customHeight="1">
      <c r="O21195" s="5" t="s">
        <v>355</v>
      </c>
      <c r="P21195" s="5" t="s">
        <v>355</v>
      </c>
      <c r="Q21195" s="5" t="s">
        <v>355</v>
      </c>
    </row>
    <row r="21196" ht="16.5" customHeight="1">
      <c r="O21196" s="5" t="s">
        <v>355</v>
      </c>
      <c r="P21196" s="5" t="s">
        <v>355</v>
      </c>
      <c r="Q21196" s="5" t="s">
        <v>355</v>
      </c>
    </row>
    <row r="21197" ht="16.5" customHeight="1">
      <c r="O21197" s="5" t="s">
        <v>355</v>
      </c>
      <c r="P21197" s="5" t="s">
        <v>355</v>
      </c>
      <c r="Q21197" s="5" t="s">
        <v>355</v>
      </c>
    </row>
    <row r="21198" ht="16.5" customHeight="1">
      <c r="O21198" s="5" t="s">
        <v>355</v>
      </c>
      <c r="P21198" s="5" t="s">
        <v>355</v>
      </c>
      <c r="Q21198" s="5" t="s">
        <v>355</v>
      </c>
    </row>
    <row r="21199" ht="16.5" customHeight="1">
      <c r="O21199" s="5" t="s">
        <v>355</v>
      </c>
      <c r="P21199" s="5" t="s">
        <v>355</v>
      </c>
      <c r="Q21199" s="5" t="s">
        <v>355</v>
      </c>
    </row>
    <row r="21200" ht="16.5" customHeight="1">
      <c r="O21200" s="5" t="s">
        <v>355</v>
      </c>
      <c r="P21200" s="5" t="s">
        <v>355</v>
      </c>
      <c r="Q21200" s="5" t="s">
        <v>355</v>
      </c>
    </row>
    <row r="21201" ht="16.5" customHeight="1">
      <c r="O21201" s="5" t="s">
        <v>355</v>
      </c>
      <c r="P21201" s="5" t="s">
        <v>355</v>
      </c>
      <c r="Q21201" s="5" t="s">
        <v>355</v>
      </c>
    </row>
    <row r="21202" ht="16.5" customHeight="1">
      <c r="O21202" s="5" t="s">
        <v>355</v>
      </c>
      <c r="P21202" s="5" t="s">
        <v>355</v>
      </c>
      <c r="Q21202" s="5" t="s">
        <v>355</v>
      </c>
    </row>
    <row r="21203" ht="16.5" customHeight="1">
      <c r="O21203" s="5" t="s">
        <v>355</v>
      </c>
      <c r="P21203" s="5" t="s">
        <v>355</v>
      </c>
      <c r="Q21203" s="5" t="s">
        <v>355</v>
      </c>
    </row>
    <row r="21204" ht="16.5" customHeight="1">
      <c r="O21204" s="5" t="s">
        <v>355</v>
      </c>
      <c r="P21204" s="5" t="s">
        <v>355</v>
      </c>
      <c r="Q21204" s="5" t="s">
        <v>355</v>
      </c>
    </row>
    <row r="21205" ht="16.5" customHeight="1">
      <c r="O21205" s="5" t="s">
        <v>355</v>
      </c>
      <c r="P21205" s="5" t="s">
        <v>355</v>
      </c>
      <c r="Q21205" s="5" t="s">
        <v>355</v>
      </c>
    </row>
    <row r="21206" ht="16.5" customHeight="1">
      <c r="O21206" s="5" t="s">
        <v>355</v>
      </c>
      <c r="P21206" s="5" t="s">
        <v>355</v>
      </c>
      <c r="Q21206" s="5" t="s">
        <v>355</v>
      </c>
    </row>
    <row r="21207" ht="16.5" customHeight="1">
      <c r="O21207" s="5" t="s">
        <v>355</v>
      </c>
      <c r="P21207" s="5" t="s">
        <v>355</v>
      </c>
      <c r="Q21207" s="5" t="s">
        <v>355</v>
      </c>
    </row>
    <row r="21208" ht="16.5" customHeight="1">
      <c r="O21208" s="5" t="s">
        <v>355</v>
      </c>
      <c r="P21208" s="5" t="s">
        <v>355</v>
      </c>
      <c r="Q21208" s="5" t="s">
        <v>355</v>
      </c>
    </row>
    <row r="21209" ht="16.5" customHeight="1">
      <c r="O21209" s="5" t="s">
        <v>355</v>
      </c>
      <c r="P21209" s="5" t="s">
        <v>355</v>
      </c>
      <c r="Q21209" s="5" t="s">
        <v>355</v>
      </c>
    </row>
    <row r="21210" ht="16.5" customHeight="1">
      <c r="O21210" s="5" t="s">
        <v>355</v>
      </c>
      <c r="P21210" s="5" t="s">
        <v>355</v>
      </c>
      <c r="Q21210" s="5" t="s">
        <v>355</v>
      </c>
    </row>
    <row r="21211" ht="16.5" customHeight="1">
      <c r="O21211" s="5" t="s">
        <v>355</v>
      </c>
      <c r="P21211" s="5" t="s">
        <v>355</v>
      </c>
      <c r="Q21211" s="5" t="s">
        <v>355</v>
      </c>
    </row>
    <row r="21212" ht="16.5" customHeight="1">
      <c r="O21212" s="5" t="s">
        <v>355</v>
      </c>
      <c r="P21212" s="5" t="s">
        <v>355</v>
      </c>
      <c r="Q21212" s="5" t="s">
        <v>355</v>
      </c>
    </row>
    <row r="21213" ht="16.5" customHeight="1">
      <c r="O21213" s="5" t="s">
        <v>355</v>
      </c>
      <c r="P21213" s="5" t="s">
        <v>355</v>
      </c>
      <c r="Q21213" s="5" t="s">
        <v>355</v>
      </c>
    </row>
    <row r="21214" ht="16.5" customHeight="1">
      <c r="O21214" s="5" t="s">
        <v>355</v>
      </c>
      <c r="P21214" s="5" t="s">
        <v>355</v>
      </c>
      <c r="Q21214" s="5" t="s">
        <v>355</v>
      </c>
    </row>
    <row r="21215" ht="16.5" customHeight="1">
      <c r="O21215" s="5" t="s">
        <v>355</v>
      </c>
      <c r="P21215" s="5" t="s">
        <v>355</v>
      </c>
      <c r="Q21215" s="5" t="s">
        <v>355</v>
      </c>
    </row>
    <row r="21216" ht="16.5" customHeight="1">
      <c r="O21216" s="5" t="s">
        <v>355</v>
      </c>
      <c r="P21216" s="5" t="s">
        <v>355</v>
      </c>
      <c r="Q21216" s="5" t="s">
        <v>355</v>
      </c>
    </row>
    <row r="21217" ht="16.5" customHeight="1">
      <c r="O21217" s="5" t="s">
        <v>355</v>
      </c>
      <c r="P21217" s="5" t="s">
        <v>355</v>
      </c>
      <c r="Q21217" s="5" t="s">
        <v>355</v>
      </c>
    </row>
    <row r="21218" ht="16.5" customHeight="1">
      <c r="O21218" s="5" t="s">
        <v>355</v>
      </c>
      <c r="P21218" s="5" t="s">
        <v>355</v>
      </c>
      <c r="Q21218" s="5" t="s">
        <v>355</v>
      </c>
    </row>
    <row r="21219" ht="16.5" customHeight="1">
      <c r="O21219" s="5" t="s">
        <v>355</v>
      </c>
      <c r="P21219" s="5" t="s">
        <v>355</v>
      </c>
      <c r="Q21219" s="5" t="s">
        <v>355</v>
      </c>
    </row>
    <row r="21220" ht="16.5" customHeight="1">
      <c r="O21220" s="5" t="s">
        <v>355</v>
      </c>
      <c r="P21220" s="5" t="s">
        <v>355</v>
      </c>
      <c r="Q21220" s="5" t="s">
        <v>355</v>
      </c>
    </row>
    <row r="21221" ht="16.5" customHeight="1">
      <c r="O21221" s="5" t="s">
        <v>355</v>
      </c>
      <c r="P21221" s="5" t="s">
        <v>355</v>
      </c>
      <c r="Q21221" s="5" t="s">
        <v>355</v>
      </c>
    </row>
    <row r="21222" ht="16.5" customHeight="1">
      <c r="O21222" s="5" t="s">
        <v>355</v>
      </c>
      <c r="P21222" s="5" t="s">
        <v>355</v>
      </c>
      <c r="Q21222" s="5" t="s">
        <v>355</v>
      </c>
    </row>
    <row r="21223" ht="16.5" customHeight="1">
      <c r="O21223" s="5" t="s">
        <v>355</v>
      </c>
      <c r="P21223" s="5" t="s">
        <v>355</v>
      </c>
      <c r="Q21223" s="5" t="s">
        <v>355</v>
      </c>
    </row>
    <row r="21224" ht="16.5" customHeight="1">
      <c r="O21224" s="5" t="s">
        <v>355</v>
      </c>
      <c r="P21224" s="5" t="s">
        <v>355</v>
      </c>
      <c r="Q21224" s="5" t="s">
        <v>355</v>
      </c>
    </row>
    <row r="21225" ht="16.5" customHeight="1">
      <c r="O21225" s="5" t="s">
        <v>355</v>
      </c>
      <c r="P21225" s="5" t="s">
        <v>355</v>
      </c>
      <c r="Q21225" s="5" t="s">
        <v>355</v>
      </c>
    </row>
    <row r="21226" ht="16.5" customHeight="1">
      <c r="O21226" s="5" t="s">
        <v>355</v>
      </c>
      <c r="P21226" s="5" t="s">
        <v>355</v>
      </c>
      <c r="Q21226" s="5" t="s">
        <v>355</v>
      </c>
    </row>
    <row r="21227" ht="16.5" customHeight="1">
      <c r="O21227" s="5" t="s">
        <v>355</v>
      </c>
      <c r="P21227" s="5" t="s">
        <v>355</v>
      </c>
      <c r="Q21227" s="5" t="s">
        <v>355</v>
      </c>
    </row>
    <row r="21228" ht="16.5" customHeight="1">
      <c r="O21228" s="5" t="s">
        <v>355</v>
      </c>
      <c r="P21228" s="5" t="s">
        <v>355</v>
      </c>
      <c r="Q21228" s="5" t="s">
        <v>355</v>
      </c>
    </row>
    <row r="21229" ht="16.5" customHeight="1">
      <c r="O21229" s="5" t="s">
        <v>355</v>
      </c>
      <c r="P21229" s="5" t="s">
        <v>355</v>
      </c>
      <c r="Q21229" s="5" t="s">
        <v>355</v>
      </c>
    </row>
    <row r="21230" ht="16.5" customHeight="1">
      <c r="O21230" s="5" t="s">
        <v>355</v>
      </c>
      <c r="P21230" s="5" t="s">
        <v>355</v>
      </c>
      <c r="Q21230" s="5" t="s">
        <v>355</v>
      </c>
    </row>
    <row r="21231" ht="16.5" customHeight="1">
      <c r="O21231" s="5" t="s">
        <v>355</v>
      </c>
      <c r="P21231" s="5" t="s">
        <v>355</v>
      </c>
      <c r="Q21231" s="5" t="s">
        <v>355</v>
      </c>
    </row>
    <row r="21232" ht="16.5" customHeight="1">
      <c r="O21232" s="5" t="s">
        <v>355</v>
      </c>
      <c r="P21232" s="5" t="s">
        <v>355</v>
      </c>
      <c r="Q21232" s="5" t="s">
        <v>355</v>
      </c>
    </row>
    <row r="21233" ht="16.5" customHeight="1">
      <c r="O21233" s="5" t="s">
        <v>355</v>
      </c>
      <c r="P21233" s="5" t="s">
        <v>355</v>
      </c>
      <c r="Q21233" s="5" t="s">
        <v>355</v>
      </c>
    </row>
    <row r="21234" ht="16.5" customHeight="1">
      <c r="O21234" s="5" t="s">
        <v>355</v>
      </c>
      <c r="P21234" s="5" t="s">
        <v>355</v>
      </c>
      <c r="Q21234" s="5" t="s">
        <v>355</v>
      </c>
    </row>
    <row r="21235" ht="16.5" customHeight="1">
      <c r="O21235" s="5" t="s">
        <v>355</v>
      </c>
      <c r="P21235" s="5" t="s">
        <v>355</v>
      </c>
      <c r="Q21235" s="5" t="s">
        <v>355</v>
      </c>
    </row>
    <row r="21236" ht="16.5" customHeight="1">
      <c r="O21236" s="5" t="s">
        <v>355</v>
      </c>
      <c r="P21236" s="5" t="s">
        <v>355</v>
      </c>
      <c r="Q21236" s="5" t="s">
        <v>355</v>
      </c>
    </row>
    <row r="21237" ht="16.5" customHeight="1">
      <c r="O21237" s="5" t="s">
        <v>355</v>
      </c>
      <c r="P21237" s="5" t="s">
        <v>355</v>
      </c>
      <c r="Q21237" s="5" t="s">
        <v>355</v>
      </c>
    </row>
    <row r="21238" ht="16.5" customHeight="1">
      <c r="O21238" s="5" t="s">
        <v>355</v>
      </c>
      <c r="P21238" s="5" t="s">
        <v>355</v>
      </c>
      <c r="Q21238" s="5" t="s">
        <v>355</v>
      </c>
    </row>
    <row r="21239" ht="16.5" customHeight="1">
      <c r="O21239" s="5" t="s">
        <v>355</v>
      </c>
      <c r="P21239" s="5" t="s">
        <v>355</v>
      </c>
      <c r="Q21239" s="5" t="s">
        <v>355</v>
      </c>
    </row>
    <row r="21240" ht="16.5" customHeight="1">
      <c r="O21240" s="5" t="s">
        <v>355</v>
      </c>
      <c r="P21240" s="5" t="s">
        <v>355</v>
      </c>
      <c r="Q21240" s="5" t="s">
        <v>355</v>
      </c>
    </row>
    <row r="21241" ht="16.5" customHeight="1">
      <c r="O21241" s="5" t="s">
        <v>355</v>
      </c>
      <c r="P21241" s="5" t="s">
        <v>355</v>
      </c>
      <c r="Q21241" s="5" t="s">
        <v>355</v>
      </c>
    </row>
    <row r="21242" ht="16.5" customHeight="1">
      <c r="O21242" s="5" t="s">
        <v>355</v>
      </c>
      <c r="P21242" s="5" t="s">
        <v>355</v>
      </c>
      <c r="Q21242" s="5" t="s">
        <v>355</v>
      </c>
    </row>
    <row r="21243" ht="16.5" customHeight="1">
      <c r="O21243" s="5" t="s">
        <v>355</v>
      </c>
      <c r="P21243" s="5" t="s">
        <v>355</v>
      </c>
      <c r="Q21243" s="5" t="s">
        <v>355</v>
      </c>
    </row>
    <row r="21244" ht="16.5" customHeight="1">
      <c r="O21244" s="5" t="s">
        <v>355</v>
      </c>
      <c r="P21244" s="5" t="s">
        <v>355</v>
      </c>
      <c r="Q21244" s="5" t="s">
        <v>355</v>
      </c>
    </row>
    <row r="21245" ht="16.5" customHeight="1">
      <c r="O21245" s="5" t="s">
        <v>355</v>
      </c>
      <c r="P21245" s="5" t="s">
        <v>355</v>
      </c>
      <c r="Q21245" s="5" t="s">
        <v>355</v>
      </c>
    </row>
    <row r="21246" ht="16.5" customHeight="1">
      <c r="O21246" s="5" t="s">
        <v>355</v>
      </c>
      <c r="P21246" s="5" t="s">
        <v>355</v>
      </c>
      <c r="Q21246" s="5" t="s">
        <v>355</v>
      </c>
    </row>
    <row r="21247" ht="16.5" customHeight="1">
      <c r="O21247" s="5" t="s">
        <v>355</v>
      </c>
      <c r="P21247" s="5" t="s">
        <v>355</v>
      </c>
      <c r="Q21247" s="5" t="s">
        <v>355</v>
      </c>
    </row>
    <row r="21248" ht="16.5" customHeight="1">
      <c r="O21248" s="5" t="s">
        <v>355</v>
      </c>
      <c r="P21248" s="5" t="s">
        <v>355</v>
      </c>
      <c r="Q21248" s="5" t="s">
        <v>355</v>
      </c>
    </row>
    <row r="21249" ht="16.5" customHeight="1">
      <c r="O21249" s="5" t="s">
        <v>355</v>
      </c>
      <c r="P21249" s="5" t="s">
        <v>355</v>
      </c>
      <c r="Q21249" s="5" t="s">
        <v>355</v>
      </c>
    </row>
    <row r="21250" ht="16.5" customHeight="1">
      <c r="O21250" s="5" t="s">
        <v>355</v>
      </c>
      <c r="P21250" s="5" t="s">
        <v>355</v>
      </c>
      <c r="Q21250" s="5" t="s">
        <v>355</v>
      </c>
    </row>
    <row r="21251" ht="16.5" customHeight="1">
      <c r="O21251" s="5" t="s">
        <v>355</v>
      </c>
      <c r="P21251" s="5" t="s">
        <v>355</v>
      </c>
      <c r="Q21251" s="5" t="s">
        <v>355</v>
      </c>
    </row>
    <row r="21252" ht="16.5" customHeight="1">
      <c r="O21252" s="5" t="s">
        <v>355</v>
      </c>
      <c r="P21252" s="5" t="s">
        <v>355</v>
      </c>
      <c r="Q21252" s="5" t="s">
        <v>355</v>
      </c>
    </row>
    <row r="21253" ht="16.5" customHeight="1">
      <c r="O21253" s="5" t="s">
        <v>355</v>
      </c>
      <c r="P21253" s="5" t="s">
        <v>355</v>
      </c>
      <c r="Q21253" s="5" t="s">
        <v>355</v>
      </c>
    </row>
    <row r="21254" ht="16.5" customHeight="1">
      <c r="O21254" s="5" t="s">
        <v>355</v>
      </c>
      <c r="P21254" s="5" t="s">
        <v>355</v>
      </c>
      <c r="Q21254" s="5" t="s">
        <v>355</v>
      </c>
    </row>
    <row r="21255" ht="16.5" customHeight="1">
      <c r="O21255" s="5" t="s">
        <v>355</v>
      </c>
      <c r="P21255" s="5" t="s">
        <v>355</v>
      </c>
      <c r="Q21255" s="5" t="s">
        <v>355</v>
      </c>
    </row>
    <row r="21256" ht="16.5" customHeight="1">
      <c r="O21256" s="5" t="s">
        <v>355</v>
      </c>
      <c r="P21256" s="5" t="s">
        <v>355</v>
      </c>
      <c r="Q21256" s="5" t="s">
        <v>355</v>
      </c>
    </row>
    <row r="21257" ht="16.5" customHeight="1">
      <c r="O21257" s="5" t="s">
        <v>355</v>
      </c>
      <c r="P21257" s="5" t="s">
        <v>355</v>
      </c>
      <c r="Q21257" s="5" t="s">
        <v>355</v>
      </c>
    </row>
    <row r="21258" ht="16.5" customHeight="1">
      <c r="O21258" s="5" t="s">
        <v>355</v>
      </c>
      <c r="P21258" s="5" t="s">
        <v>355</v>
      </c>
      <c r="Q21258" s="5" t="s">
        <v>355</v>
      </c>
    </row>
    <row r="21259" ht="16.5" customHeight="1">
      <c r="O21259" s="5" t="s">
        <v>355</v>
      </c>
      <c r="P21259" s="5" t="s">
        <v>355</v>
      </c>
      <c r="Q21259" s="5" t="s">
        <v>355</v>
      </c>
    </row>
    <row r="21260" ht="16.5" customHeight="1">
      <c r="O21260" s="5" t="s">
        <v>355</v>
      </c>
      <c r="P21260" s="5" t="s">
        <v>355</v>
      </c>
      <c r="Q21260" s="5" t="s">
        <v>355</v>
      </c>
    </row>
    <row r="21261" ht="16.5" customHeight="1">
      <c r="O21261" s="5" t="s">
        <v>355</v>
      </c>
      <c r="P21261" s="5" t="s">
        <v>355</v>
      </c>
      <c r="Q21261" s="5" t="s">
        <v>355</v>
      </c>
    </row>
    <row r="21262" ht="16.5" customHeight="1">
      <c r="O21262" s="5" t="s">
        <v>355</v>
      </c>
      <c r="P21262" s="5" t="s">
        <v>355</v>
      </c>
      <c r="Q21262" s="5" t="s">
        <v>355</v>
      </c>
    </row>
    <row r="21263" ht="16.5" customHeight="1">
      <c r="O21263" s="5" t="s">
        <v>355</v>
      </c>
      <c r="P21263" s="5" t="s">
        <v>355</v>
      </c>
      <c r="Q21263" s="5" t="s">
        <v>355</v>
      </c>
    </row>
    <row r="21264" ht="16.5" customHeight="1">
      <c r="O21264" s="5" t="s">
        <v>355</v>
      </c>
      <c r="P21264" s="5" t="s">
        <v>355</v>
      </c>
      <c r="Q21264" s="5" t="s">
        <v>355</v>
      </c>
    </row>
    <row r="21265" ht="16.5" customHeight="1">
      <c r="O21265" s="5" t="s">
        <v>355</v>
      </c>
      <c r="P21265" s="5" t="s">
        <v>355</v>
      </c>
      <c r="Q21265" s="5" t="s">
        <v>355</v>
      </c>
    </row>
    <row r="21266" ht="16.5" customHeight="1">
      <c r="O21266" s="5" t="s">
        <v>355</v>
      </c>
      <c r="P21266" s="5" t="s">
        <v>355</v>
      </c>
      <c r="Q21266" s="5" t="s">
        <v>355</v>
      </c>
    </row>
    <row r="21267" ht="16.5" customHeight="1">
      <c r="O21267" s="5" t="s">
        <v>355</v>
      </c>
      <c r="P21267" s="5" t="s">
        <v>355</v>
      </c>
      <c r="Q21267" s="5" t="s">
        <v>355</v>
      </c>
    </row>
    <row r="21268" ht="16.5" customHeight="1">
      <c r="O21268" s="5" t="s">
        <v>355</v>
      </c>
      <c r="P21268" s="5" t="s">
        <v>355</v>
      </c>
      <c r="Q21268" s="5" t="s">
        <v>355</v>
      </c>
    </row>
    <row r="21269" ht="16.5" customHeight="1">
      <c r="O21269" s="5" t="s">
        <v>355</v>
      </c>
      <c r="P21269" s="5" t="s">
        <v>355</v>
      </c>
      <c r="Q21269" s="5" t="s">
        <v>355</v>
      </c>
    </row>
    <row r="21270" ht="16.5" customHeight="1">
      <c r="O21270" s="5" t="s">
        <v>355</v>
      </c>
      <c r="P21270" s="5" t="s">
        <v>355</v>
      </c>
      <c r="Q21270" s="5" t="s">
        <v>355</v>
      </c>
    </row>
    <row r="21271" ht="16.5" customHeight="1">
      <c r="O21271" s="5" t="s">
        <v>355</v>
      </c>
      <c r="P21271" s="5" t="s">
        <v>355</v>
      </c>
      <c r="Q21271" s="5" t="s">
        <v>355</v>
      </c>
    </row>
    <row r="21272" ht="16.5" customHeight="1">
      <c r="O21272" s="5" t="s">
        <v>355</v>
      </c>
      <c r="P21272" s="5" t="s">
        <v>355</v>
      </c>
      <c r="Q21272" s="5" t="s">
        <v>355</v>
      </c>
    </row>
    <row r="21273" ht="16.5" customHeight="1">
      <c r="O21273" s="5" t="s">
        <v>355</v>
      </c>
      <c r="P21273" s="5" t="s">
        <v>355</v>
      </c>
      <c r="Q21273" s="5" t="s">
        <v>355</v>
      </c>
    </row>
    <row r="21274" ht="16.5" customHeight="1">
      <c r="O21274" s="5" t="s">
        <v>355</v>
      </c>
      <c r="P21274" s="5" t="s">
        <v>355</v>
      </c>
      <c r="Q21274" s="5" t="s">
        <v>355</v>
      </c>
    </row>
    <row r="21275" ht="16.5" customHeight="1">
      <c r="O21275" s="5" t="s">
        <v>355</v>
      </c>
      <c r="P21275" s="5" t="s">
        <v>355</v>
      </c>
      <c r="Q21275" s="5" t="s">
        <v>355</v>
      </c>
    </row>
    <row r="21276" ht="16.5" customHeight="1">
      <c r="O21276" s="5" t="s">
        <v>355</v>
      </c>
      <c r="P21276" s="5" t="s">
        <v>355</v>
      </c>
      <c r="Q21276" s="5" t="s">
        <v>355</v>
      </c>
    </row>
    <row r="21277" ht="16.5" customHeight="1">
      <c r="O21277" s="5" t="s">
        <v>355</v>
      </c>
      <c r="P21277" s="5" t="s">
        <v>355</v>
      </c>
      <c r="Q21277" s="5" t="s">
        <v>355</v>
      </c>
    </row>
    <row r="21278" ht="16.5" customHeight="1">
      <c r="O21278" s="5" t="s">
        <v>355</v>
      </c>
      <c r="P21278" s="5" t="s">
        <v>355</v>
      </c>
      <c r="Q21278" s="5" t="s">
        <v>355</v>
      </c>
    </row>
    <row r="21279" ht="16.5" customHeight="1">
      <c r="O21279" s="5" t="s">
        <v>355</v>
      </c>
      <c r="P21279" s="5" t="s">
        <v>355</v>
      </c>
      <c r="Q21279" s="5" t="s">
        <v>355</v>
      </c>
    </row>
    <row r="21280" ht="16.5" customHeight="1">
      <c r="O21280" s="5" t="s">
        <v>355</v>
      </c>
      <c r="P21280" s="5" t="s">
        <v>355</v>
      </c>
      <c r="Q21280" s="5" t="s">
        <v>355</v>
      </c>
    </row>
    <row r="21281" ht="16.5" customHeight="1">
      <c r="O21281" s="5" t="s">
        <v>355</v>
      </c>
      <c r="P21281" s="5" t="s">
        <v>355</v>
      </c>
      <c r="Q21281" s="5" t="s">
        <v>355</v>
      </c>
    </row>
    <row r="21282" ht="16.5" customHeight="1">
      <c r="O21282" s="5" t="s">
        <v>355</v>
      </c>
      <c r="P21282" s="5" t="s">
        <v>355</v>
      </c>
      <c r="Q21282" s="5" t="s">
        <v>355</v>
      </c>
    </row>
    <row r="21283" ht="16.5" customHeight="1">
      <c r="O21283" s="5" t="s">
        <v>355</v>
      </c>
      <c r="P21283" s="5" t="s">
        <v>355</v>
      </c>
      <c r="Q21283" s="5" t="s">
        <v>355</v>
      </c>
    </row>
    <row r="21284" ht="16.5" customHeight="1">
      <c r="O21284" s="5" t="s">
        <v>355</v>
      </c>
      <c r="P21284" s="5" t="s">
        <v>355</v>
      </c>
      <c r="Q21284" s="5" t="s">
        <v>355</v>
      </c>
    </row>
    <row r="21285" ht="16.5" customHeight="1">
      <c r="O21285" s="5" t="s">
        <v>355</v>
      </c>
      <c r="P21285" s="5" t="s">
        <v>355</v>
      </c>
      <c r="Q21285" s="5" t="s">
        <v>355</v>
      </c>
    </row>
    <row r="21286" ht="16.5" customHeight="1">
      <c r="O21286" s="5" t="s">
        <v>355</v>
      </c>
      <c r="P21286" s="5" t="s">
        <v>355</v>
      </c>
      <c r="Q21286" s="5" t="s">
        <v>355</v>
      </c>
    </row>
    <row r="21287" ht="16.5" customHeight="1">
      <c r="O21287" s="5" t="s">
        <v>355</v>
      </c>
      <c r="P21287" s="5" t="s">
        <v>355</v>
      </c>
      <c r="Q21287" s="5" t="s">
        <v>355</v>
      </c>
    </row>
    <row r="21288" ht="16.5" customHeight="1">
      <c r="O21288" s="5" t="s">
        <v>355</v>
      </c>
      <c r="P21288" s="5" t="s">
        <v>355</v>
      </c>
      <c r="Q21288" s="5" t="s">
        <v>355</v>
      </c>
    </row>
    <row r="21289" ht="16.5" customHeight="1">
      <c r="O21289" s="5" t="s">
        <v>355</v>
      </c>
      <c r="P21289" s="5" t="s">
        <v>355</v>
      </c>
      <c r="Q21289" s="5" t="s">
        <v>355</v>
      </c>
    </row>
    <row r="21290" ht="16.5" customHeight="1">
      <c r="O21290" s="5" t="s">
        <v>355</v>
      </c>
      <c r="P21290" s="5" t="s">
        <v>355</v>
      </c>
      <c r="Q21290" s="5" t="s">
        <v>355</v>
      </c>
    </row>
    <row r="21291" ht="16.5" customHeight="1">
      <c r="O21291" s="5" t="s">
        <v>355</v>
      </c>
      <c r="P21291" s="5" t="s">
        <v>355</v>
      </c>
      <c r="Q21291" s="5" t="s">
        <v>355</v>
      </c>
    </row>
    <row r="21292" ht="16.5" customHeight="1">
      <c r="O21292" s="5" t="s">
        <v>355</v>
      </c>
      <c r="P21292" s="5" t="s">
        <v>355</v>
      </c>
      <c r="Q21292" s="5" t="s">
        <v>355</v>
      </c>
    </row>
    <row r="21293" ht="16.5" customHeight="1">
      <c r="O21293" s="5" t="s">
        <v>355</v>
      </c>
      <c r="P21293" s="5" t="s">
        <v>355</v>
      </c>
      <c r="Q21293" s="5" t="s">
        <v>355</v>
      </c>
    </row>
    <row r="21294" ht="16.5" customHeight="1">
      <c r="O21294" s="5" t="s">
        <v>355</v>
      </c>
      <c r="P21294" s="5" t="s">
        <v>355</v>
      </c>
      <c r="Q21294" s="5" t="s">
        <v>355</v>
      </c>
    </row>
    <row r="21295" ht="16.5" customHeight="1">
      <c r="O21295" s="5" t="s">
        <v>355</v>
      </c>
      <c r="P21295" s="5" t="s">
        <v>355</v>
      </c>
      <c r="Q21295" s="5" t="s">
        <v>355</v>
      </c>
    </row>
    <row r="21296" ht="16.5" customHeight="1">
      <c r="O21296" s="5" t="s">
        <v>355</v>
      </c>
      <c r="P21296" s="5" t="s">
        <v>355</v>
      </c>
      <c r="Q21296" s="5" t="s">
        <v>355</v>
      </c>
    </row>
    <row r="21297" ht="16.5" customHeight="1">
      <c r="O21297" s="5" t="s">
        <v>355</v>
      </c>
      <c r="P21297" s="5" t="s">
        <v>355</v>
      </c>
      <c r="Q21297" s="5" t="s">
        <v>355</v>
      </c>
    </row>
    <row r="21298" ht="16.5" customHeight="1">
      <c r="O21298" s="5" t="s">
        <v>355</v>
      </c>
      <c r="P21298" s="5" t="s">
        <v>355</v>
      </c>
      <c r="Q21298" s="5" t="s">
        <v>355</v>
      </c>
    </row>
    <row r="21299" ht="16.5" customHeight="1">
      <c r="O21299" s="5" t="s">
        <v>355</v>
      </c>
      <c r="P21299" s="5" t="s">
        <v>355</v>
      </c>
      <c r="Q21299" s="5" t="s">
        <v>355</v>
      </c>
    </row>
    <row r="21300" ht="16.5" customHeight="1">
      <c r="O21300" s="5" t="s">
        <v>355</v>
      </c>
      <c r="P21300" s="5" t="s">
        <v>355</v>
      </c>
      <c r="Q21300" s="5" t="s">
        <v>355</v>
      </c>
    </row>
    <row r="21301" ht="16.5" customHeight="1">
      <c r="O21301" s="5" t="s">
        <v>355</v>
      </c>
      <c r="P21301" s="5" t="s">
        <v>355</v>
      </c>
      <c r="Q21301" s="5" t="s">
        <v>355</v>
      </c>
    </row>
    <row r="21302" ht="16.5" customHeight="1">
      <c r="O21302" s="5" t="s">
        <v>355</v>
      </c>
      <c r="P21302" s="5" t="s">
        <v>355</v>
      </c>
      <c r="Q21302" s="5" t="s">
        <v>355</v>
      </c>
    </row>
    <row r="21303" ht="16.5" customHeight="1">
      <c r="O21303" s="5" t="s">
        <v>355</v>
      </c>
      <c r="P21303" s="5" t="s">
        <v>355</v>
      </c>
      <c r="Q21303" s="5" t="s">
        <v>355</v>
      </c>
    </row>
    <row r="21304" ht="16.5" customHeight="1">
      <c r="O21304" s="5" t="s">
        <v>355</v>
      </c>
      <c r="P21304" s="5" t="s">
        <v>355</v>
      </c>
      <c r="Q21304" s="5" t="s">
        <v>355</v>
      </c>
    </row>
    <row r="21305" ht="16.5" customHeight="1">
      <c r="O21305" s="5" t="s">
        <v>355</v>
      </c>
      <c r="P21305" s="5" t="s">
        <v>355</v>
      </c>
      <c r="Q21305" s="5" t="s">
        <v>355</v>
      </c>
    </row>
    <row r="21306" ht="16.5" customHeight="1">
      <c r="O21306" s="5" t="s">
        <v>355</v>
      </c>
      <c r="P21306" s="5" t="s">
        <v>355</v>
      </c>
      <c r="Q21306" s="5" t="s">
        <v>355</v>
      </c>
    </row>
    <row r="21307" ht="16.5" customHeight="1">
      <c r="O21307" s="5" t="s">
        <v>355</v>
      </c>
      <c r="P21307" s="5" t="s">
        <v>355</v>
      </c>
      <c r="Q21307" s="5" t="s">
        <v>355</v>
      </c>
    </row>
    <row r="21308" ht="16.5" customHeight="1">
      <c r="O21308" s="5" t="s">
        <v>355</v>
      </c>
      <c r="P21308" s="5" t="s">
        <v>355</v>
      </c>
      <c r="Q21308" s="5" t="s">
        <v>355</v>
      </c>
    </row>
    <row r="21309" ht="16.5" customHeight="1">
      <c r="O21309" s="5" t="s">
        <v>355</v>
      </c>
      <c r="P21309" s="5" t="s">
        <v>355</v>
      </c>
      <c r="Q21309" s="5" t="s">
        <v>355</v>
      </c>
    </row>
    <row r="21310" ht="16.5" customHeight="1">
      <c r="O21310" s="5" t="s">
        <v>355</v>
      </c>
      <c r="P21310" s="5" t="s">
        <v>355</v>
      </c>
      <c r="Q21310" s="5" t="s">
        <v>355</v>
      </c>
    </row>
    <row r="21311" ht="16.5" customHeight="1">
      <c r="O21311" s="5" t="s">
        <v>355</v>
      </c>
      <c r="P21311" s="5" t="s">
        <v>355</v>
      </c>
      <c r="Q21311" s="5" t="s">
        <v>355</v>
      </c>
    </row>
    <row r="21312" ht="16.5" customHeight="1">
      <c r="O21312" s="5" t="s">
        <v>355</v>
      </c>
      <c r="P21312" s="5" t="s">
        <v>355</v>
      </c>
      <c r="Q21312" s="5" t="s">
        <v>355</v>
      </c>
    </row>
    <row r="21313" ht="16.5" customHeight="1">
      <c r="O21313" s="5" t="s">
        <v>355</v>
      </c>
      <c r="P21313" s="5" t="s">
        <v>355</v>
      </c>
      <c r="Q21313" s="5" t="s">
        <v>355</v>
      </c>
    </row>
    <row r="21314" ht="16.5" customHeight="1">
      <c r="O21314" s="5" t="s">
        <v>355</v>
      </c>
      <c r="P21314" s="5" t="s">
        <v>355</v>
      </c>
      <c r="Q21314" s="5" t="s">
        <v>355</v>
      </c>
    </row>
    <row r="21315" ht="16.5" customHeight="1">
      <c r="O21315" s="5" t="s">
        <v>355</v>
      </c>
      <c r="P21315" s="5" t="s">
        <v>355</v>
      </c>
      <c r="Q21315" s="5" t="s">
        <v>355</v>
      </c>
    </row>
    <row r="21316" ht="16.5" customHeight="1">
      <c r="O21316" s="5" t="s">
        <v>355</v>
      </c>
      <c r="P21316" s="5" t="s">
        <v>355</v>
      </c>
      <c r="Q21316" s="5" t="s">
        <v>355</v>
      </c>
    </row>
    <row r="21317" ht="16.5" customHeight="1">
      <c r="O21317" s="5" t="s">
        <v>355</v>
      </c>
      <c r="P21317" s="5" t="s">
        <v>355</v>
      </c>
      <c r="Q21317" s="5" t="s">
        <v>355</v>
      </c>
    </row>
    <row r="21318" ht="16.5" customHeight="1">
      <c r="O21318" s="5" t="s">
        <v>355</v>
      </c>
      <c r="P21318" s="5" t="s">
        <v>355</v>
      </c>
      <c r="Q21318" s="5" t="s">
        <v>355</v>
      </c>
    </row>
    <row r="21319" ht="16.5" customHeight="1">
      <c r="O21319" s="5" t="s">
        <v>355</v>
      </c>
      <c r="P21319" s="5" t="s">
        <v>355</v>
      </c>
      <c r="Q21319" s="5" t="s">
        <v>355</v>
      </c>
    </row>
    <row r="21320" ht="16.5" customHeight="1">
      <c r="O21320" s="5" t="s">
        <v>355</v>
      </c>
      <c r="P21320" s="5" t="s">
        <v>355</v>
      </c>
      <c r="Q21320" s="5" t="s">
        <v>355</v>
      </c>
    </row>
    <row r="21321" ht="16.5" customHeight="1">
      <c r="O21321" s="5" t="s">
        <v>355</v>
      </c>
      <c r="P21321" s="5" t="s">
        <v>355</v>
      </c>
      <c r="Q21321" s="5" t="s">
        <v>355</v>
      </c>
    </row>
    <row r="21322" ht="16.5" customHeight="1">
      <c r="O21322" s="5" t="s">
        <v>355</v>
      </c>
      <c r="P21322" s="5" t="s">
        <v>355</v>
      </c>
      <c r="Q21322" s="5" t="s">
        <v>355</v>
      </c>
    </row>
    <row r="21323" ht="16.5" customHeight="1">
      <c r="O21323" s="5" t="s">
        <v>355</v>
      </c>
      <c r="P21323" s="5" t="s">
        <v>355</v>
      </c>
      <c r="Q21323" s="5" t="s">
        <v>355</v>
      </c>
    </row>
    <row r="21324" ht="16.5" customHeight="1">
      <c r="O21324" s="5" t="s">
        <v>355</v>
      </c>
      <c r="P21324" s="5" t="s">
        <v>355</v>
      </c>
      <c r="Q21324" s="5" t="s">
        <v>355</v>
      </c>
    </row>
    <row r="21325" ht="16.5" customHeight="1">
      <c r="O21325" s="5" t="s">
        <v>355</v>
      </c>
      <c r="P21325" s="5" t="s">
        <v>355</v>
      </c>
      <c r="Q21325" s="5" t="s">
        <v>355</v>
      </c>
    </row>
    <row r="21326" ht="16.5" customHeight="1">
      <c r="O21326" s="5" t="s">
        <v>355</v>
      </c>
      <c r="P21326" s="5" t="s">
        <v>355</v>
      </c>
      <c r="Q21326" s="5" t="s">
        <v>355</v>
      </c>
    </row>
    <row r="21327" ht="16.5" customHeight="1">
      <c r="O21327" s="5" t="s">
        <v>355</v>
      </c>
      <c r="P21327" s="5" t="s">
        <v>355</v>
      </c>
      <c r="Q21327" s="5" t="s">
        <v>355</v>
      </c>
    </row>
    <row r="21328" ht="16.5" customHeight="1">
      <c r="O21328" s="5" t="s">
        <v>355</v>
      </c>
      <c r="P21328" s="5" t="s">
        <v>355</v>
      </c>
      <c r="Q21328" s="5" t="s">
        <v>355</v>
      </c>
    </row>
    <row r="21329" ht="16.5" customHeight="1">
      <c r="O21329" s="5" t="s">
        <v>355</v>
      </c>
      <c r="P21329" s="5" t="s">
        <v>355</v>
      </c>
      <c r="Q21329" s="5" t="s">
        <v>355</v>
      </c>
    </row>
    <row r="21330" ht="16.5" customHeight="1">
      <c r="O21330" s="5" t="s">
        <v>355</v>
      </c>
      <c r="P21330" s="5" t="s">
        <v>355</v>
      </c>
      <c r="Q21330" s="5" t="s">
        <v>355</v>
      </c>
    </row>
    <row r="21331" ht="16.5" customHeight="1">
      <c r="O21331" s="5" t="s">
        <v>355</v>
      </c>
      <c r="P21331" s="5" t="s">
        <v>355</v>
      </c>
      <c r="Q21331" s="5" t="s">
        <v>355</v>
      </c>
    </row>
    <row r="21332" ht="16.5" customHeight="1">
      <c r="O21332" s="5" t="s">
        <v>355</v>
      </c>
      <c r="P21332" s="5" t="s">
        <v>355</v>
      </c>
      <c r="Q21332" s="5" t="s">
        <v>355</v>
      </c>
    </row>
    <row r="21333" ht="16.5" customHeight="1">
      <c r="O21333" s="5" t="s">
        <v>355</v>
      </c>
      <c r="P21333" s="5" t="s">
        <v>355</v>
      </c>
      <c r="Q21333" s="5" t="s">
        <v>355</v>
      </c>
    </row>
    <row r="21334" ht="16.5" customHeight="1">
      <c r="O21334" s="5" t="s">
        <v>355</v>
      </c>
      <c r="P21334" s="5" t="s">
        <v>355</v>
      </c>
      <c r="Q21334" s="5" t="s">
        <v>355</v>
      </c>
    </row>
    <row r="21335" ht="16.5" customHeight="1">
      <c r="O21335" s="5" t="s">
        <v>355</v>
      </c>
      <c r="P21335" s="5" t="s">
        <v>355</v>
      </c>
      <c r="Q21335" s="5" t="s">
        <v>355</v>
      </c>
    </row>
    <row r="21336" ht="16.5" customHeight="1">
      <c r="O21336" s="5" t="s">
        <v>355</v>
      </c>
      <c r="P21336" s="5" t="s">
        <v>355</v>
      </c>
      <c r="Q21336" s="5" t="s">
        <v>355</v>
      </c>
    </row>
    <row r="21337" ht="16.5" customHeight="1">
      <c r="O21337" s="5" t="s">
        <v>355</v>
      </c>
      <c r="P21337" s="5" t="s">
        <v>355</v>
      </c>
      <c r="Q21337" s="5" t="s">
        <v>355</v>
      </c>
    </row>
    <row r="21338" ht="16.5" customHeight="1">
      <c r="O21338" s="5" t="s">
        <v>355</v>
      </c>
      <c r="P21338" s="5" t="s">
        <v>355</v>
      </c>
      <c r="Q21338" s="5" t="s">
        <v>355</v>
      </c>
    </row>
    <row r="21339" ht="16.5" customHeight="1">
      <c r="O21339" s="5" t="s">
        <v>355</v>
      </c>
      <c r="P21339" s="5" t="s">
        <v>355</v>
      </c>
      <c r="Q21339" s="5" t="s">
        <v>355</v>
      </c>
    </row>
    <row r="21340" ht="16.5" customHeight="1">
      <c r="O21340" s="5" t="s">
        <v>355</v>
      </c>
      <c r="P21340" s="5" t="s">
        <v>355</v>
      </c>
      <c r="Q21340" s="5" t="s">
        <v>355</v>
      </c>
    </row>
    <row r="21341" ht="16.5" customHeight="1">
      <c r="O21341" s="5" t="s">
        <v>355</v>
      </c>
      <c r="P21341" s="5" t="s">
        <v>355</v>
      </c>
      <c r="Q21341" s="5" t="s">
        <v>355</v>
      </c>
    </row>
    <row r="21342" ht="16.5" customHeight="1">
      <c r="O21342" s="5" t="s">
        <v>355</v>
      </c>
      <c r="P21342" s="5" t="s">
        <v>355</v>
      </c>
      <c r="Q21342" s="5" t="s">
        <v>355</v>
      </c>
    </row>
    <row r="21343" ht="16.5" customHeight="1">
      <c r="O21343" s="5" t="s">
        <v>355</v>
      </c>
      <c r="P21343" s="5" t="s">
        <v>355</v>
      </c>
      <c r="Q21343" s="5" t="s">
        <v>355</v>
      </c>
    </row>
    <row r="21344" ht="16.5" customHeight="1">
      <c r="O21344" s="5" t="s">
        <v>355</v>
      </c>
      <c r="P21344" s="5" t="s">
        <v>355</v>
      </c>
      <c r="Q21344" s="5" t="s">
        <v>355</v>
      </c>
    </row>
    <row r="21345" ht="16.5" customHeight="1">
      <c r="O21345" s="5" t="s">
        <v>355</v>
      </c>
      <c r="P21345" s="5" t="s">
        <v>355</v>
      </c>
      <c r="Q21345" s="5" t="s">
        <v>355</v>
      </c>
    </row>
    <row r="21346" ht="16.5" customHeight="1">
      <c r="O21346" s="5" t="s">
        <v>355</v>
      </c>
      <c r="P21346" s="5" t="s">
        <v>355</v>
      </c>
      <c r="Q21346" s="5" t="s">
        <v>355</v>
      </c>
    </row>
    <row r="21347" ht="16.5" customHeight="1">
      <c r="O21347" s="5" t="s">
        <v>355</v>
      </c>
      <c r="P21347" s="5" t="s">
        <v>355</v>
      </c>
      <c r="Q21347" s="5" t="s">
        <v>355</v>
      </c>
    </row>
    <row r="21348" ht="16.5" customHeight="1">
      <c r="O21348" s="5" t="s">
        <v>355</v>
      </c>
      <c r="P21348" s="5" t="s">
        <v>355</v>
      </c>
      <c r="Q21348" s="5" t="s">
        <v>355</v>
      </c>
    </row>
    <row r="21349" ht="16.5" customHeight="1">
      <c r="O21349" s="5" t="s">
        <v>355</v>
      </c>
      <c r="P21349" s="5" t="s">
        <v>355</v>
      </c>
      <c r="Q21349" s="5" t="s">
        <v>355</v>
      </c>
    </row>
    <row r="21350" ht="16.5" customHeight="1">
      <c r="O21350" s="5" t="s">
        <v>355</v>
      </c>
      <c r="P21350" s="5" t="s">
        <v>355</v>
      </c>
      <c r="Q21350" s="5" t="s">
        <v>355</v>
      </c>
    </row>
    <row r="21351" ht="16.5" customHeight="1">
      <c r="O21351" s="5" t="s">
        <v>355</v>
      </c>
      <c r="P21351" s="5" t="s">
        <v>355</v>
      </c>
      <c r="Q21351" s="5" t="s">
        <v>355</v>
      </c>
    </row>
    <row r="21352" ht="16.5" customHeight="1">
      <c r="O21352" s="5" t="s">
        <v>355</v>
      </c>
      <c r="P21352" s="5" t="s">
        <v>355</v>
      </c>
      <c r="Q21352" s="5" t="s">
        <v>355</v>
      </c>
    </row>
    <row r="21353" ht="16.5" customHeight="1">
      <c r="O21353" s="5" t="s">
        <v>355</v>
      </c>
      <c r="P21353" s="5" t="s">
        <v>355</v>
      </c>
      <c r="Q21353" s="5" t="s">
        <v>355</v>
      </c>
    </row>
    <row r="21354" ht="16.5" customHeight="1">
      <c r="O21354" s="5" t="s">
        <v>355</v>
      </c>
      <c r="P21354" s="5" t="s">
        <v>355</v>
      </c>
      <c r="Q21354" s="5" t="s">
        <v>355</v>
      </c>
    </row>
    <row r="21355" ht="16.5" customHeight="1">
      <c r="O21355" s="5" t="s">
        <v>355</v>
      </c>
      <c r="P21355" s="5" t="s">
        <v>355</v>
      </c>
      <c r="Q21355" s="5" t="s">
        <v>355</v>
      </c>
    </row>
    <row r="21356" ht="16.5" customHeight="1">
      <c r="O21356" s="5" t="s">
        <v>355</v>
      </c>
      <c r="P21356" s="5" t="s">
        <v>355</v>
      </c>
      <c r="Q21356" s="5" t="s">
        <v>355</v>
      </c>
    </row>
    <row r="21357" ht="16.5" customHeight="1">
      <c r="O21357" s="5" t="s">
        <v>355</v>
      </c>
      <c r="P21357" s="5" t="s">
        <v>355</v>
      </c>
      <c r="Q21357" s="5" t="s">
        <v>355</v>
      </c>
    </row>
    <row r="21358" ht="16.5" customHeight="1">
      <c r="O21358" s="5" t="s">
        <v>355</v>
      </c>
      <c r="P21358" s="5" t="s">
        <v>355</v>
      </c>
      <c r="Q21358" s="5" t="s">
        <v>355</v>
      </c>
    </row>
    <row r="21359" ht="16.5" customHeight="1">
      <c r="O21359" s="5" t="s">
        <v>355</v>
      </c>
      <c r="P21359" s="5" t="s">
        <v>355</v>
      </c>
      <c r="Q21359" s="5" t="s">
        <v>355</v>
      </c>
    </row>
    <row r="21360" ht="16.5" customHeight="1">
      <c r="O21360" s="5" t="s">
        <v>355</v>
      </c>
      <c r="P21360" s="5" t="s">
        <v>355</v>
      </c>
      <c r="Q21360" s="5" t="s">
        <v>355</v>
      </c>
    </row>
    <row r="21361" ht="16.5" customHeight="1">
      <c r="O21361" s="5" t="s">
        <v>355</v>
      </c>
      <c r="P21361" s="5" t="s">
        <v>355</v>
      </c>
      <c r="Q21361" s="5" t="s">
        <v>355</v>
      </c>
    </row>
    <row r="21362" ht="16.5" customHeight="1">
      <c r="O21362" s="5" t="s">
        <v>355</v>
      </c>
      <c r="P21362" s="5" t="s">
        <v>355</v>
      </c>
      <c r="Q21362" s="5" t="s">
        <v>355</v>
      </c>
    </row>
    <row r="21363" ht="16.5" customHeight="1">
      <c r="O21363" s="5" t="s">
        <v>355</v>
      </c>
      <c r="P21363" s="5" t="s">
        <v>355</v>
      </c>
      <c r="Q21363" s="5" t="s">
        <v>355</v>
      </c>
    </row>
    <row r="21364" ht="16.5" customHeight="1">
      <c r="O21364" s="5" t="s">
        <v>355</v>
      </c>
      <c r="P21364" s="5" t="s">
        <v>355</v>
      </c>
      <c r="Q21364" s="5" t="s">
        <v>355</v>
      </c>
    </row>
    <row r="21365" ht="16.5" customHeight="1">
      <c r="O21365" s="5" t="s">
        <v>355</v>
      </c>
      <c r="P21365" s="5" t="s">
        <v>355</v>
      </c>
      <c r="Q21365" s="5" t="s">
        <v>355</v>
      </c>
    </row>
    <row r="21366" ht="16.5" customHeight="1">
      <c r="O21366" s="5" t="s">
        <v>355</v>
      </c>
      <c r="P21366" s="5" t="s">
        <v>355</v>
      </c>
      <c r="Q21366" s="5" t="s">
        <v>355</v>
      </c>
    </row>
    <row r="21367" ht="16.5" customHeight="1">
      <c r="O21367" s="5" t="s">
        <v>355</v>
      </c>
      <c r="P21367" s="5" t="s">
        <v>355</v>
      </c>
      <c r="Q21367" s="5" t="s">
        <v>355</v>
      </c>
    </row>
    <row r="21368" ht="16.5" customHeight="1">
      <c r="O21368" s="5" t="s">
        <v>355</v>
      </c>
      <c r="P21368" s="5" t="s">
        <v>355</v>
      </c>
      <c r="Q21368" s="5" t="s">
        <v>355</v>
      </c>
    </row>
    <row r="21369" ht="16.5" customHeight="1">
      <c r="O21369" s="5" t="s">
        <v>355</v>
      </c>
      <c r="P21369" s="5" t="s">
        <v>355</v>
      </c>
      <c r="Q21369" s="5" t="s">
        <v>355</v>
      </c>
    </row>
    <row r="21370" ht="16.5" customHeight="1">
      <c r="O21370" s="5" t="s">
        <v>355</v>
      </c>
      <c r="P21370" s="5" t="s">
        <v>355</v>
      </c>
      <c r="Q21370" s="5" t="s">
        <v>355</v>
      </c>
    </row>
    <row r="21371" ht="16.5" customHeight="1">
      <c r="O21371" s="5" t="s">
        <v>355</v>
      </c>
      <c r="P21371" s="5" t="s">
        <v>355</v>
      </c>
      <c r="Q21371" s="5" t="s">
        <v>355</v>
      </c>
    </row>
    <row r="21372" ht="16.5" customHeight="1">
      <c r="O21372" s="5" t="s">
        <v>355</v>
      </c>
      <c r="P21372" s="5" t="s">
        <v>355</v>
      </c>
      <c r="Q21372" s="5" t="s">
        <v>355</v>
      </c>
    </row>
    <row r="21373" ht="16.5" customHeight="1">
      <c r="O21373" s="5" t="s">
        <v>355</v>
      </c>
      <c r="P21373" s="5" t="s">
        <v>355</v>
      </c>
      <c r="Q21373" s="5" t="s">
        <v>355</v>
      </c>
    </row>
    <row r="21374" ht="16.5" customHeight="1">
      <c r="O21374" s="5" t="s">
        <v>355</v>
      </c>
      <c r="P21374" s="5" t="s">
        <v>355</v>
      </c>
      <c r="Q21374" s="5" t="s">
        <v>355</v>
      </c>
    </row>
    <row r="21375" ht="16.5" customHeight="1">
      <c r="O21375" s="5" t="s">
        <v>355</v>
      </c>
      <c r="P21375" s="5" t="s">
        <v>355</v>
      </c>
      <c r="Q21375" s="5" t="s">
        <v>355</v>
      </c>
    </row>
    <row r="21376" ht="16.5" customHeight="1">
      <c r="O21376" s="5" t="s">
        <v>355</v>
      </c>
      <c r="P21376" s="5" t="s">
        <v>355</v>
      </c>
      <c r="Q21376" s="5" t="s">
        <v>355</v>
      </c>
    </row>
    <row r="21377" ht="16.5" customHeight="1">
      <c r="O21377" s="5" t="s">
        <v>355</v>
      </c>
      <c r="P21377" s="5" t="s">
        <v>355</v>
      </c>
      <c r="Q21377" s="5" t="s">
        <v>355</v>
      </c>
    </row>
    <row r="21378" ht="16.5" customHeight="1">
      <c r="O21378" s="5" t="s">
        <v>355</v>
      </c>
      <c r="P21378" s="5" t="s">
        <v>355</v>
      </c>
      <c r="Q21378" s="5" t="s">
        <v>355</v>
      </c>
    </row>
    <row r="21379" ht="16.5" customHeight="1">
      <c r="O21379" s="5" t="s">
        <v>355</v>
      </c>
      <c r="P21379" s="5" t="s">
        <v>355</v>
      </c>
      <c r="Q21379" s="5" t="s">
        <v>355</v>
      </c>
    </row>
    <row r="21380" ht="16.5" customHeight="1">
      <c r="O21380" s="5" t="s">
        <v>355</v>
      </c>
      <c r="P21380" s="5" t="s">
        <v>355</v>
      </c>
      <c r="Q21380" s="5" t="s">
        <v>355</v>
      </c>
    </row>
    <row r="21381" ht="16.5" customHeight="1">
      <c r="O21381" s="5" t="s">
        <v>355</v>
      </c>
      <c r="P21381" s="5" t="s">
        <v>355</v>
      </c>
      <c r="Q21381" s="5" t="s">
        <v>355</v>
      </c>
    </row>
    <row r="21382" ht="16.5" customHeight="1">
      <c r="O21382" s="5" t="s">
        <v>355</v>
      </c>
      <c r="P21382" s="5" t="s">
        <v>355</v>
      </c>
      <c r="Q21382" s="5" t="s">
        <v>355</v>
      </c>
    </row>
    <row r="21383" ht="16.5" customHeight="1">
      <c r="O21383" s="5" t="s">
        <v>355</v>
      </c>
      <c r="P21383" s="5" t="s">
        <v>355</v>
      </c>
      <c r="Q21383" s="5" t="s">
        <v>355</v>
      </c>
    </row>
    <row r="21384" ht="16.5" customHeight="1">
      <c r="O21384" s="5" t="s">
        <v>355</v>
      </c>
      <c r="P21384" s="5" t="s">
        <v>355</v>
      </c>
      <c r="Q21384" s="5" t="s">
        <v>355</v>
      </c>
    </row>
    <row r="21385" ht="16.5" customHeight="1">
      <c r="O21385" s="5" t="s">
        <v>355</v>
      </c>
      <c r="P21385" s="5" t="s">
        <v>355</v>
      </c>
      <c r="Q21385" s="5" t="s">
        <v>355</v>
      </c>
    </row>
    <row r="21386" ht="16.5" customHeight="1">
      <c r="O21386" s="5" t="s">
        <v>355</v>
      </c>
      <c r="P21386" s="5" t="s">
        <v>355</v>
      </c>
      <c r="Q21386" s="5" t="s">
        <v>355</v>
      </c>
    </row>
    <row r="21387" ht="16.5" customHeight="1">
      <c r="O21387" s="5" t="s">
        <v>355</v>
      </c>
      <c r="P21387" s="5" t="s">
        <v>355</v>
      </c>
      <c r="Q21387" s="5" t="s">
        <v>355</v>
      </c>
    </row>
    <row r="21388" ht="16.5" customHeight="1">
      <c r="O21388" s="5" t="s">
        <v>355</v>
      </c>
      <c r="P21388" s="5" t="s">
        <v>355</v>
      </c>
      <c r="Q21388" s="5" t="s">
        <v>355</v>
      </c>
    </row>
    <row r="21389" ht="16.5" customHeight="1">
      <c r="O21389" s="5" t="s">
        <v>355</v>
      </c>
      <c r="P21389" s="5" t="s">
        <v>355</v>
      </c>
      <c r="Q21389" s="5" t="s">
        <v>355</v>
      </c>
    </row>
    <row r="21390" ht="16.5" customHeight="1">
      <c r="O21390" s="5" t="s">
        <v>355</v>
      </c>
      <c r="P21390" s="5" t="s">
        <v>355</v>
      </c>
      <c r="Q21390" s="5" t="s">
        <v>355</v>
      </c>
    </row>
    <row r="21391" ht="16.5" customHeight="1">
      <c r="O21391" s="5" t="s">
        <v>355</v>
      </c>
      <c r="P21391" s="5" t="s">
        <v>355</v>
      </c>
      <c r="Q21391" s="5" t="s">
        <v>355</v>
      </c>
    </row>
    <row r="21392" ht="16.5" customHeight="1">
      <c r="O21392" s="5" t="s">
        <v>355</v>
      </c>
      <c r="P21392" s="5" t="s">
        <v>355</v>
      </c>
      <c r="Q21392" s="5" t="s">
        <v>355</v>
      </c>
    </row>
    <row r="21393" ht="16.5" customHeight="1">
      <c r="O21393" s="5" t="s">
        <v>355</v>
      </c>
      <c r="P21393" s="5" t="s">
        <v>355</v>
      </c>
      <c r="Q21393" s="5" t="s">
        <v>355</v>
      </c>
    </row>
    <row r="21394" ht="16.5" customHeight="1">
      <c r="O21394" s="5" t="s">
        <v>355</v>
      </c>
      <c r="P21394" s="5" t="s">
        <v>355</v>
      </c>
      <c r="Q21394" s="5" t="s">
        <v>355</v>
      </c>
    </row>
    <row r="21395" ht="16.5" customHeight="1">
      <c r="O21395" s="5" t="s">
        <v>355</v>
      </c>
      <c r="P21395" s="5" t="s">
        <v>355</v>
      </c>
      <c r="Q21395" s="5" t="s">
        <v>355</v>
      </c>
    </row>
    <row r="21396" ht="16.5" customHeight="1">
      <c r="O21396" s="5" t="s">
        <v>355</v>
      </c>
      <c r="P21396" s="5" t="s">
        <v>355</v>
      </c>
      <c r="Q21396" s="5" t="s">
        <v>355</v>
      </c>
    </row>
    <row r="21397" ht="16.5" customHeight="1">
      <c r="O21397" s="5" t="s">
        <v>355</v>
      </c>
      <c r="P21397" s="5" t="s">
        <v>355</v>
      </c>
      <c r="Q21397" s="5" t="s">
        <v>355</v>
      </c>
    </row>
    <row r="21398" ht="16.5" customHeight="1">
      <c r="O21398" s="5" t="s">
        <v>355</v>
      </c>
      <c r="P21398" s="5" t="s">
        <v>355</v>
      </c>
      <c r="Q21398" s="5" t="s">
        <v>355</v>
      </c>
    </row>
    <row r="21399" ht="16.5" customHeight="1">
      <c r="O21399" s="5" t="s">
        <v>355</v>
      </c>
      <c r="P21399" s="5" t="s">
        <v>355</v>
      </c>
      <c r="Q21399" s="5" t="s">
        <v>355</v>
      </c>
    </row>
    <row r="21400" ht="16.5" customHeight="1">
      <c r="O21400" s="5" t="s">
        <v>355</v>
      </c>
      <c r="P21400" s="5" t="s">
        <v>355</v>
      </c>
      <c r="Q21400" s="5" t="s">
        <v>355</v>
      </c>
    </row>
    <row r="21401" ht="16.5" customHeight="1">
      <c r="O21401" s="5" t="s">
        <v>355</v>
      </c>
      <c r="P21401" s="5" t="s">
        <v>355</v>
      </c>
      <c r="Q21401" s="5" t="s">
        <v>355</v>
      </c>
    </row>
    <row r="21402" ht="16.5" customHeight="1">
      <c r="O21402" s="5" t="s">
        <v>355</v>
      </c>
      <c r="P21402" s="5" t="s">
        <v>355</v>
      </c>
      <c r="Q21402" s="5" t="s">
        <v>355</v>
      </c>
    </row>
    <row r="21403" ht="16.5" customHeight="1">
      <c r="O21403" s="5" t="s">
        <v>355</v>
      </c>
      <c r="P21403" s="5" t="s">
        <v>355</v>
      </c>
      <c r="Q21403" s="5" t="s">
        <v>355</v>
      </c>
    </row>
    <row r="21404" ht="16.5" customHeight="1">
      <c r="O21404" s="5" t="s">
        <v>355</v>
      </c>
      <c r="P21404" s="5" t="s">
        <v>355</v>
      </c>
      <c r="Q21404" s="5" t="s">
        <v>355</v>
      </c>
    </row>
    <row r="21405" ht="16.5" customHeight="1">
      <c r="O21405" s="5" t="s">
        <v>355</v>
      </c>
      <c r="P21405" s="5" t="s">
        <v>355</v>
      </c>
      <c r="Q21405" s="5" t="s">
        <v>355</v>
      </c>
    </row>
    <row r="21406" ht="16.5" customHeight="1">
      <c r="O21406" s="5" t="s">
        <v>355</v>
      </c>
      <c r="P21406" s="5" t="s">
        <v>355</v>
      </c>
      <c r="Q21406" s="5" t="s">
        <v>355</v>
      </c>
    </row>
    <row r="21407" ht="16.5" customHeight="1">
      <c r="O21407" s="5" t="s">
        <v>355</v>
      </c>
      <c r="P21407" s="5" t="s">
        <v>355</v>
      </c>
      <c r="Q21407" s="5" t="s">
        <v>355</v>
      </c>
    </row>
    <row r="21408" ht="16.5" customHeight="1">
      <c r="O21408" s="5" t="s">
        <v>355</v>
      </c>
      <c r="P21408" s="5" t="s">
        <v>355</v>
      </c>
      <c r="Q21408" s="5" t="s">
        <v>355</v>
      </c>
    </row>
    <row r="21409" ht="16.5" customHeight="1">
      <c r="O21409" s="5" t="s">
        <v>355</v>
      </c>
      <c r="P21409" s="5" t="s">
        <v>355</v>
      </c>
      <c r="Q21409" s="5" t="s">
        <v>355</v>
      </c>
    </row>
    <row r="21410" ht="16.5" customHeight="1">
      <c r="O21410" s="5" t="s">
        <v>355</v>
      </c>
      <c r="P21410" s="5" t="s">
        <v>355</v>
      </c>
      <c r="Q21410" s="5" t="s">
        <v>355</v>
      </c>
    </row>
    <row r="21411" ht="16.5" customHeight="1">
      <c r="O21411" s="5" t="s">
        <v>355</v>
      </c>
      <c r="P21411" s="5" t="s">
        <v>355</v>
      </c>
      <c r="Q21411" s="5" t="s">
        <v>355</v>
      </c>
    </row>
    <row r="21412" ht="16.5" customHeight="1">
      <c r="O21412" s="5" t="s">
        <v>355</v>
      </c>
      <c r="P21412" s="5" t="s">
        <v>355</v>
      </c>
      <c r="Q21412" s="5" t="s">
        <v>355</v>
      </c>
    </row>
    <row r="21413" ht="16.5" customHeight="1">
      <c r="O21413" s="5" t="s">
        <v>355</v>
      </c>
      <c r="P21413" s="5" t="s">
        <v>355</v>
      </c>
      <c r="Q21413" s="5" t="s">
        <v>355</v>
      </c>
    </row>
    <row r="21414" ht="16.5" customHeight="1">
      <c r="O21414" s="5" t="s">
        <v>355</v>
      </c>
      <c r="P21414" s="5" t="s">
        <v>355</v>
      </c>
      <c r="Q21414" s="5" t="s">
        <v>355</v>
      </c>
    </row>
    <row r="21415" ht="16.5" customHeight="1">
      <c r="O21415" s="5" t="s">
        <v>355</v>
      </c>
      <c r="P21415" s="5" t="s">
        <v>355</v>
      </c>
      <c r="Q21415" s="5" t="s">
        <v>355</v>
      </c>
    </row>
    <row r="21416" ht="16.5" customHeight="1">
      <c r="O21416" s="5" t="s">
        <v>355</v>
      </c>
      <c r="P21416" s="5" t="s">
        <v>355</v>
      </c>
      <c r="Q21416" s="5" t="s">
        <v>355</v>
      </c>
    </row>
    <row r="21417" ht="16.5" customHeight="1">
      <c r="O21417" s="5" t="s">
        <v>355</v>
      </c>
      <c r="P21417" s="5" t="s">
        <v>355</v>
      </c>
      <c r="Q21417" s="5" t="s">
        <v>355</v>
      </c>
    </row>
    <row r="21418" ht="16.5" customHeight="1">
      <c r="O21418" s="5" t="s">
        <v>355</v>
      </c>
      <c r="P21418" s="5" t="s">
        <v>355</v>
      </c>
      <c r="Q21418" s="5" t="s">
        <v>355</v>
      </c>
    </row>
    <row r="21419" ht="16.5" customHeight="1">
      <c r="O21419" s="5" t="s">
        <v>355</v>
      </c>
      <c r="P21419" s="5" t="s">
        <v>355</v>
      </c>
      <c r="Q21419" s="5" t="s">
        <v>355</v>
      </c>
    </row>
    <row r="21420" ht="16.5" customHeight="1">
      <c r="O21420" s="5" t="s">
        <v>355</v>
      </c>
      <c r="P21420" s="5" t="s">
        <v>355</v>
      </c>
      <c r="Q21420" s="5" t="s">
        <v>355</v>
      </c>
    </row>
    <row r="21421" ht="16.5" customHeight="1">
      <c r="O21421" s="5" t="s">
        <v>355</v>
      </c>
      <c r="P21421" s="5" t="s">
        <v>355</v>
      </c>
      <c r="Q21421" s="5" t="s">
        <v>355</v>
      </c>
    </row>
    <row r="21422" ht="16.5" customHeight="1">
      <c r="O21422" s="5" t="s">
        <v>355</v>
      </c>
      <c r="P21422" s="5" t="s">
        <v>355</v>
      </c>
      <c r="Q21422" s="5" t="s">
        <v>355</v>
      </c>
    </row>
    <row r="21423" ht="16.5" customHeight="1">
      <c r="O21423" s="5" t="s">
        <v>355</v>
      </c>
      <c r="P21423" s="5" t="s">
        <v>355</v>
      </c>
      <c r="Q21423" s="5" t="s">
        <v>355</v>
      </c>
    </row>
    <row r="21424" ht="16.5" customHeight="1">
      <c r="O21424" s="5" t="s">
        <v>355</v>
      </c>
      <c r="P21424" s="5" t="s">
        <v>355</v>
      </c>
      <c r="Q21424" s="5" t="s">
        <v>355</v>
      </c>
    </row>
    <row r="21425" ht="16.5" customHeight="1">
      <c r="O21425" s="5" t="s">
        <v>355</v>
      </c>
      <c r="P21425" s="5" t="s">
        <v>355</v>
      </c>
      <c r="Q21425" s="5" t="s">
        <v>355</v>
      </c>
    </row>
    <row r="21426" ht="16.5" customHeight="1">
      <c r="O21426" s="5" t="s">
        <v>355</v>
      </c>
      <c r="P21426" s="5" t="s">
        <v>355</v>
      </c>
      <c r="Q21426" s="5" t="s">
        <v>355</v>
      </c>
    </row>
    <row r="21427" ht="16.5" customHeight="1">
      <c r="O21427" s="5" t="s">
        <v>355</v>
      </c>
      <c r="P21427" s="5" t="s">
        <v>355</v>
      </c>
      <c r="Q21427" s="5" t="s">
        <v>355</v>
      </c>
    </row>
    <row r="21428" ht="16.5" customHeight="1">
      <c r="O21428" s="5" t="s">
        <v>355</v>
      </c>
      <c r="P21428" s="5" t="s">
        <v>355</v>
      </c>
      <c r="Q21428" s="5" t="s">
        <v>355</v>
      </c>
    </row>
    <row r="21429" ht="16.5" customHeight="1">
      <c r="O21429" s="5" t="s">
        <v>355</v>
      </c>
      <c r="P21429" s="5" t="s">
        <v>355</v>
      </c>
      <c r="Q21429" s="5" t="s">
        <v>355</v>
      </c>
    </row>
    <row r="21430" ht="16.5" customHeight="1">
      <c r="O21430" s="5" t="s">
        <v>355</v>
      </c>
      <c r="P21430" s="5" t="s">
        <v>355</v>
      </c>
      <c r="Q21430" s="5" t="s">
        <v>355</v>
      </c>
    </row>
    <row r="21431" ht="16.5" customHeight="1">
      <c r="O21431" s="5" t="s">
        <v>355</v>
      </c>
      <c r="P21431" s="5" t="s">
        <v>355</v>
      </c>
      <c r="Q21431" s="5" t="s">
        <v>355</v>
      </c>
    </row>
    <row r="21432" ht="16.5" customHeight="1">
      <c r="O21432" s="5" t="s">
        <v>355</v>
      </c>
      <c r="P21432" s="5" t="s">
        <v>355</v>
      </c>
      <c r="Q21432" s="5" t="s">
        <v>355</v>
      </c>
    </row>
    <row r="21433" ht="16.5" customHeight="1">
      <c r="O21433" s="5" t="s">
        <v>355</v>
      </c>
      <c r="P21433" s="5" t="s">
        <v>355</v>
      </c>
      <c r="Q21433" s="5" t="s">
        <v>355</v>
      </c>
    </row>
    <row r="21434" ht="16.5" customHeight="1">
      <c r="O21434" s="5" t="s">
        <v>355</v>
      </c>
      <c r="P21434" s="5" t="s">
        <v>355</v>
      </c>
      <c r="Q21434" s="5" t="s">
        <v>355</v>
      </c>
    </row>
    <row r="21435" ht="16.5" customHeight="1">
      <c r="O21435" s="5" t="s">
        <v>355</v>
      </c>
      <c r="P21435" s="5" t="s">
        <v>355</v>
      </c>
      <c r="Q21435" s="5" t="s">
        <v>355</v>
      </c>
    </row>
    <row r="21436" ht="16.5" customHeight="1">
      <c r="O21436" s="5" t="s">
        <v>355</v>
      </c>
      <c r="P21436" s="5" t="s">
        <v>355</v>
      </c>
      <c r="Q21436" s="5" t="s">
        <v>355</v>
      </c>
    </row>
    <row r="21437" ht="16.5" customHeight="1">
      <c r="O21437" s="5" t="s">
        <v>355</v>
      </c>
      <c r="P21437" s="5" t="s">
        <v>355</v>
      </c>
      <c r="Q21437" s="5" t="s">
        <v>355</v>
      </c>
    </row>
    <row r="21438" ht="16.5" customHeight="1">
      <c r="O21438" s="5" t="s">
        <v>355</v>
      </c>
      <c r="P21438" s="5" t="s">
        <v>355</v>
      </c>
      <c r="Q21438" s="5" t="s">
        <v>355</v>
      </c>
    </row>
    <row r="21439" ht="16.5" customHeight="1">
      <c r="O21439" s="5" t="s">
        <v>355</v>
      </c>
      <c r="P21439" s="5" t="s">
        <v>355</v>
      </c>
      <c r="Q21439" s="5" t="s">
        <v>355</v>
      </c>
    </row>
    <row r="21440" ht="16.5" customHeight="1">
      <c r="O21440" s="5" t="s">
        <v>355</v>
      </c>
      <c r="P21440" s="5" t="s">
        <v>355</v>
      </c>
      <c r="Q21440" s="5" t="s">
        <v>355</v>
      </c>
    </row>
    <row r="21441" ht="16.5" customHeight="1">
      <c r="O21441" s="5" t="s">
        <v>355</v>
      </c>
      <c r="P21441" s="5" t="s">
        <v>355</v>
      </c>
      <c r="Q21441" s="5" t="s">
        <v>355</v>
      </c>
    </row>
    <row r="21442" ht="16.5" customHeight="1">
      <c r="O21442" s="5" t="s">
        <v>355</v>
      </c>
      <c r="P21442" s="5" t="s">
        <v>355</v>
      </c>
      <c r="Q21442" s="5" t="s">
        <v>355</v>
      </c>
    </row>
    <row r="21443" ht="16.5" customHeight="1">
      <c r="O21443" s="5" t="s">
        <v>355</v>
      </c>
      <c r="P21443" s="5" t="s">
        <v>355</v>
      </c>
      <c r="Q21443" s="5" t="s">
        <v>355</v>
      </c>
    </row>
    <row r="21444" ht="16.5" customHeight="1">
      <c r="O21444" s="5" t="s">
        <v>355</v>
      </c>
      <c r="P21444" s="5" t="s">
        <v>355</v>
      </c>
      <c r="Q21444" s="5" t="s">
        <v>355</v>
      </c>
    </row>
    <row r="21445" ht="16.5" customHeight="1">
      <c r="O21445" s="5" t="s">
        <v>355</v>
      </c>
      <c r="P21445" s="5" t="s">
        <v>355</v>
      </c>
      <c r="Q21445" s="5" t="s">
        <v>355</v>
      </c>
    </row>
    <row r="21446" ht="16.5" customHeight="1">
      <c r="O21446" s="5" t="s">
        <v>355</v>
      </c>
      <c r="P21446" s="5" t="s">
        <v>355</v>
      </c>
      <c r="Q21446" s="5" t="s">
        <v>355</v>
      </c>
    </row>
    <row r="21447" ht="16.5" customHeight="1">
      <c r="O21447" s="5" t="s">
        <v>355</v>
      </c>
      <c r="P21447" s="5" t="s">
        <v>355</v>
      </c>
      <c r="Q21447" s="5" t="s">
        <v>355</v>
      </c>
    </row>
    <row r="21448" ht="16.5" customHeight="1">
      <c r="O21448" s="5" t="s">
        <v>355</v>
      </c>
      <c r="P21448" s="5" t="s">
        <v>355</v>
      </c>
      <c r="Q21448" s="5" t="s">
        <v>355</v>
      </c>
    </row>
    <row r="21449" ht="16.5" customHeight="1">
      <c r="O21449" s="5" t="s">
        <v>355</v>
      </c>
      <c r="P21449" s="5" t="s">
        <v>355</v>
      </c>
      <c r="Q21449" s="5" t="s">
        <v>355</v>
      </c>
    </row>
    <row r="21450" ht="16.5" customHeight="1">
      <c r="O21450" s="5" t="s">
        <v>355</v>
      </c>
      <c r="P21450" s="5" t="s">
        <v>355</v>
      </c>
      <c r="Q21450" s="5" t="s">
        <v>355</v>
      </c>
    </row>
    <row r="21451" ht="16.5" customHeight="1">
      <c r="O21451" s="5" t="s">
        <v>355</v>
      </c>
      <c r="P21451" s="5" t="s">
        <v>355</v>
      </c>
      <c r="Q21451" s="5" t="s">
        <v>355</v>
      </c>
    </row>
    <row r="21452" ht="16.5" customHeight="1">
      <c r="O21452" s="5" t="s">
        <v>355</v>
      </c>
      <c r="P21452" s="5" t="s">
        <v>355</v>
      </c>
      <c r="Q21452" s="5" t="s">
        <v>355</v>
      </c>
    </row>
    <row r="21453" ht="16.5" customHeight="1">
      <c r="O21453" s="5" t="s">
        <v>355</v>
      </c>
      <c r="P21453" s="5" t="s">
        <v>355</v>
      </c>
      <c r="Q21453" s="5" t="s">
        <v>355</v>
      </c>
    </row>
    <row r="21454" ht="16.5" customHeight="1">
      <c r="O21454" s="5" t="s">
        <v>355</v>
      </c>
      <c r="P21454" s="5" t="s">
        <v>355</v>
      </c>
      <c r="Q21454" s="5" t="s">
        <v>355</v>
      </c>
    </row>
    <row r="21455" ht="16.5" customHeight="1">
      <c r="O21455" s="5" t="s">
        <v>355</v>
      </c>
      <c r="P21455" s="5" t="s">
        <v>355</v>
      </c>
      <c r="Q21455" s="5" t="s">
        <v>355</v>
      </c>
    </row>
    <row r="21456" ht="16.5" customHeight="1">
      <c r="O21456" s="5" t="s">
        <v>355</v>
      </c>
      <c r="P21456" s="5" t="s">
        <v>355</v>
      </c>
      <c r="Q21456" s="5" t="s">
        <v>355</v>
      </c>
    </row>
    <row r="21457" ht="16.5" customHeight="1">
      <c r="O21457" s="5" t="s">
        <v>355</v>
      </c>
      <c r="P21457" s="5" t="s">
        <v>355</v>
      </c>
      <c r="Q21457" s="5" t="s">
        <v>355</v>
      </c>
    </row>
    <row r="21458" ht="16.5" customHeight="1">
      <c r="O21458" s="5" t="s">
        <v>355</v>
      </c>
      <c r="P21458" s="5" t="s">
        <v>355</v>
      </c>
      <c r="Q21458" s="5" t="s">
        <v>355</v>
      </c>
    </row>
    <row r="21459" ht="16.5" customHeight="1">
      <c r="O21459" s="5" t="s">
        <v>355</v>
      </c>
      <c r="P21459" s="5" t="s">
        <v>355</v>
      </c>
      <c r="Q21459" s="5" t="s">
        <v>355</v>
      </c>
    </row>
    <row r="21460" ht="16.5" customHeight="1">
      <c r="O21460" s="5" t="s">
        <v>355</v>
      </c>
      <c r="P21460" s="5" t="s">
        <v>355</v>
      </c>
      <c r="Q21460" s="5" t="s">
        <v>355</v>
      </c>
    </row>
    <row r="21461" ht="16.5" customHeight="1">
      <c r="O21461" s="5" t="s">
        <v>355</v>
      </c>
      <c r="P21461" s="5" t="s">
        <v>355</v>
      </c>
      <c r="Q21461" s="5" t="s">
        <v>355</v>
      </c>
    </row>
    <row r="21462" ht="16.5" customHeight="1">
      <c r="O21462" s="5" t="s">
        <v>355</v>
      </c>
      <c r="P21462" s="5" t="s">
        <v>355</v>
      </c>
      <c r="Q21462" s="5" t="s">
        <v>355</v>
      </c>
    </row>
    <row r="21463" ht="16.5" customHeight="1">
      <c r="O21463" s="5" t="s">
        <v>355</v>
      </c>
      <c r="P21463" s="5" t="s">
        <v>355</v>
      </c>
      <c r="Q21463" s="5" t="s">
        <v>355</v>
      </c>
    </row>
    <row r="21464" ht="16.5" customHeight="1">
      <c r="O21464" s="5" t="s">
        <v>355</v>
      </c>
      <c r="P21464" s="5" t="s">
        <v>355</v>
      </c>
      <c r="Q21464" s="5" t="s">
        <v>355</v>
      </c>
    </row>
    <row r="21465" ht="16.5" customHeight="1">
      <c r="O21465" s="5" t="s">
        <v>355</v>
      </c>
      <c r="P21465" s="5" t="s">
        <v>355</v>
      </c>
      <c r="Q21465" s="5" t="s">
        <v>355</v>
      </c>
    </row>
    <row r="21466" ht="16.5" customHeight="1">
      <c r="O21466" s="5" t="s">
        <v>355</v>
      </c>
      <c r="P21466" s="5" t="s">
        <v>355</v>
      </c>
      <c r="Q21466" s="5" t="s">
        <v>355</v>
      </c>
    </row>
    <row r="21467" ht="16.5" customHeight="1">
      <c r="O21467" s="5" t="s">
        <v>355</v>
      </c>
      <c r="P21467" s="5" t="s">
        <v>355</v>
      </c>
      <c r="Q21467" s="5" t="s">
        <v>355</v>
      </c>
    </row>
    <row r="21468" ht="16.5" customHeight="1">
      <c r="O21468" s="5" t="s">
        <v>355</v>
      </c>
      <c r="P21468" s="5" t="s">
        <v>355</v>
      </c>
      <c r="Q21468" s="5" t="s">
        <v>355</v>
      </c>
    </row>
    <row r="21469" ht="16.5" customHeight="1">
      <c r="O21469" s="5" t="s">
        <v>355</v>
      </c>
      <c r="P21469" s="5" t="s">
        <v>355</v>
      </c>
      <c r="Q21469" s="5" t="s">
        <v>355</v>
      </c>
    </row>
    <row r="21470" ht="16.5" customHeight="1">
      <c r="O21470" s="5" t="s">
        <v>355</v>
      </c>
      <c r="P21470" s="5" t="s">
        <v>355</v>
      </c>
      <c r="Q21470" s="5" t="s">
        <v>355</v>
      </c>
    </row>
    <row r="21471" ht="16.5" customHeight="1">
      <c r="O21471" s="5" t="s">
        <v>355</v>
      </c>
      <c r="P21471" s="5" t="s">
        <v>355</v>
      </c>
      <c r="Q21471" s="5" t="s">
        <v>355</v>
      </c>
    </row>
    <row r="21472" ht="16.5" customHeight="1">
      <c r="O21472" s="5" t="s">
        <v>355</v>
      </c>
      <c r="P21472" s="5" t="s">
        <v>355</v>
      </c>
      <c r="Q21472" s="5" t="s">
        <v>355</v>
      </c>
    </row>
    <row r="21473" ht="16.5" customHeight="1">
      <c r="O21473" s="5" t="s">
        <v>355</v>
      </c>
      <c r="P21473" s="5" t="s">
        <v>355</v>
      </c>
      <c r="Q21473" s="5" t="s">
        <v>355</v>
      </c>
    </row>
    <row r="21474" ht="16.5" customHeight="1">
      <c r="O21474" s="5" t="s">
        <v>355</v>
      </c>
      <c r="P21474" s="5" t="s">
        <v>355</v>
      </c>
      <c r="Q21474" s="5" t="s">
        <v>355</v>
      </c>
    </row>
    <row r="21475" ht="16.5" customHeight="1">
      <c r="O21475" s="5" t="s">
        <v>355</v>
      </c>
      <c r="P21475" s="5" t="s">
        <v>355</v>
      </c>
      <c r="Q21475" s="5" t="s">
        <v>355</v>
      </c>
    </row>
    <row r="21476" ht="16.5" customHeight="1">
      <c r="O21476" s="5" t="s">
        <v>355</v>
      </c>
      <c r="P21476" s="5" t="s">
        <v>355</v>
      </c>
      <c r="Q21476" s="5" t="s">
        <v>355</v>
      </c>
    </row>
    <row r="21477" ht="16.5" customHeight="1">
      <c r="O21477" s="5" t="s">
        <v>355</v>
      </c>
      <c r="P21477" s="5" t="s">
        <v>355</v>
      </c>
      <c r="Q21477" s="5" t="s">
        <v>355</v>
      </c>
    </row>
    <row r="21478" ht="16.5" customHeight="1">
      <c r="O21478" s="5" t="s">
        <v>355</v>
      </c>
      <c r="P21478" s="5" t="s">
        <v>355</v>
      </c>
      <c r="Q21478" s="5" t="s">
        <v>355</v>
      </c>
    </row>
    <row r="21479" ht="16.5" customHeight="1">
      <c r="O21479" s="5" t="s">
        <v>355</v>
      </c>
      <c r="P21479" s="5" t="s">
        <v>355</v>
      </c>
      <c r="Q21479" s="5" t="s">
        <v>355</v>
      </c>
    </row>
    <row r="21480" ht="16.5" customHeight="1">
      <c r="O21480" s="5" t="s">
        <v>355</v>
      </c>
      <c r="P21480" s="5" t="s">
        <v>355</v>
      </c>
      <c r="Q21480" s="5" t="s">
        <v>355</v>
      </c>
    </row>
    <row r="21481" ht="16.5" customHeight="1">
      <c r="O21481" s="5" t="s">
        <v>355</v>
      </c>
      <c r="P21481" s="5" t="s">
        <v>355</v>
      </c>
      <c r="Q21481" s="5" t="s">
        <v>355</v>
      </c>
    </row>
    <row r="21482" ht="16.5" customHeight="1">
      <c r="O21482" s="5" t="s">
        <v>355</v>
      </c>
      <c r="P21482" s="5" t="s">
        <v>355</v>
      </c>
      <c r="Q21482" s="5" t="s">
        <v>355</v>
      </c>
    </row>
    <row r="21483" ht="16.5" customHeight="1">
      <c r="O21483" s="5" t="s">
        <v>355</v>
      </c>
      <c r="P21483" s="5" t="s">
        <v>355</v>
      </c>
      <c r="Q21483" s="5" t="s">
        <v>355</v>
      </c>
    </row>
    <row r="21484" ht="16.5" customHeight="1">
      <c r="O21484" s="5" t="s">
        <v>355</v>
      </c>
      <c r="P21484" s="5" t="s">
        <v>355</v>
      </c>
      <c r="Q21484" s="5" t="s">
        <v>355</v>
      </c>
    </row>
    <row r="21485" ht="16.5" customHeight="1">
      <c r="O21485" s="5" t="s">
        <v>355</v>
      </c>
      <c r="P21485" s="5" t="s">
        <v>355</v>
      </c>
      <c r="Q21485" s="5" t="s">
        <v>355</v>
      </c>
    </row>
    <row r="21486" ht="16.5" customHeight="1">
      <c r="O21486" s="5" t="s">
        <v>355</v>
      </c>
      <c r="P21486" s="5" t="s">
        <v>355</v>
      </c>
      <c r="Q21486" s="5" t="s">
        <v>355</v>
      </c>
    </row>
    <row r="21487" ht="16.5" customHeight="1">
      <c r="O21487" s="5" t="s">
        <v>355</v>
      </c>
      <c r="P21487" s="5" t="s">
        <v>355</v>
      </c>
      <c r="Q21487" s="5" t="s">
        <v>355</v>
      </c>
    </row>
    <row r="21488" ht="16.5" customHeight="1">
      <c r="O21488" s="5" t="s">
        <v>355</v>
      </c>
      <c r="P21488" s="5" t="s">
        <v>355</v>
      </c>
      <c r="Q21488" s="5" t="s">
        <v>355</v>
      </c>
    </row>
    <row r="21489" ht="16.5" customHeight="1">
      <c r="O21489" s="5" t="s">
        <v>355</v>
      </c>
      <c r="P21489" s="5" t="s">
        <v>355</v>
      </c>
      <c r="Q21489" s="5" t="s">
        <v>355</v>
      </c>
    </row>
    <row r="21490" ht="16.5" customHeight="1">
      <c r="O21490" s="5" t="s">
        <v>355</v>
      </c>
      <c r="P21490" s="5" t="s">
        <v>355</v>
      </c>
      <c r="Q21490" s="5" t="s">
        <v>355</v>
      </c>
    </row>
    <row r="21491" ht="16.5" customHeight="1">
      <c r="O21491" s="5" t="s">
        <v>355</v>
      </c>
      <c r="P21491" s="5" t="s">
        <v>355</v>
      </c>
      <c r="Q21491" s="5" t="s">
        <v>355</v>
      </c>
    </row>
    <row r="21492" ht="16.5" customHeight="1">
      <c r="O21492" s="5" t="s">
        <v>355</v>
      </c>
      <c r="P21492" s="5" t="s">
        <v>355</v>
      </c>
      <c r="Q21492" s="5" t="s">
        <v>355</v>
      </c>
    </row>
    <row r="21493" ht="16.5" customHeight="1">
      <c r="O21493" s="5" t="s">
        <v>355</v>
      </c>
      <c r="P21493" s="5" t="s">
        <v>355</v>
      </c>
      <c r="Q21493" s="5" t="s">
        <v>355</v>
      </c>
    </row>
    <row r="21494" ht="16.5" customHeight="1">
      <c r="O21494" s="5" t="s">
        <v>355</v>
      </c>
      <c r="P21494" s="5" t="s">
        <v>355</v>
      </c>
      <c r="Q21494" s="5" t="s">
        <v>355</v>
      </c>
    </row>
    <row r="21495" ht="16.5" customHeight="1">
      <c r="O21495" s="5" t="s">
        <v>355</v>
      </c>
      <c r="P21495" s="5" t="s">
        <v>355</v>
      </c>
      <c r="Q21495" s="5" t="s">
        <v>355</v>
      </c>
    </row>
    <row r="21496" ht="16.5" customHeight="1">
      <c r="O21496" s="5" t="s">
        <v>355</v>
      </c>
      <c r="P21496" s="5" t="s">
        <v>355</v>
      </c>
      <c r="Q21496" s="5" t="s">
        <v>355</v>
      </c>
    </row>
    <row r="21497" ht="16.5" customHeight="1">
      <c r="O21497" s="5" t="s">
        <v>355</v>
      </c>
      <c r="P21497" s="5" t="s">
        <v>355</v>
      </c>
      <c r="Q21497" s="5" t="s">
        <v>355</v>
      </c>
    </row>
    <row r="21498" ht="16.5" customHeight="1">
      <c r="O21498" s="5" t="s">
        <v>355</v>
      </c>
      <c r="P21498" s="5" t="s">
        <v>355</v>
      </c>
      <c r="Q21498" s="5" t="s">
        <v>355</v>
      </c>
    </row>
    <row r="21499" ht="16.5" customHeight="1">
      <c r="O21499" s="5" t="s">
        <v>355</v>
      </c>
      <c r="P21499" s="5" t="s">
        <v>355</v>
      </c>
      <c r="Q21499" s="5" t="s">
        <v>355</v>
      </c>
    </row>
    <row r="21500" ht="16.5" customHeight="1">
      <c r="O21500" s="5" t="s">
        <v>355</v>
      </c>
      <c r="P21500" s="5" t="s">
        <v>355</v>
      </c>
      <c r="Q21500" s="5" t="s">
        <v>355</v>
      </c>
    </row>
    <row r="21501" ht="16.5" customHeight="1">
      <c r="O21501" s="5" t="s">
        <v>355</v>
      </c>
      <c r="P21501" s="5" t="s">
        <v>355</v>
      </c>
      <c r="Q21501" s="5" t="s">
        <v>355</v>
      </c>
    </row>
    <row r="21502" ht="16.5" customHeight="1">
      <c r="O21502" s="5" t="s">
        <v>355</v>
      </c>
      <c r="P21502" s="5" t="s">
        <v>355</v>
      </c>
      <c r="Q21502" s="5" t="s">
        <v>355</v>
      </c>
    </row>
    <row r="21503" ht="16.5" customHeight="1">
      <c r="O21503" s="5" t="s">
        <v>355</v>
      </c>
      <c r="P21503" s="5" t="s">
        <v>355</v>
      </c>
      <c r="Q21503" s="5" t="s">
        <v>355</v>
      </c>
    </row>
    <row r="21504" ht="16.5" customHeight="1">
      <c r="O21504" s="5" t="s">
        <v>355</v>
      </c>
      <c r="P21504" s="5" t="s">
        <v>355</v>
      </c>
      <c r="Q21504" s="5" t="s">
        <v>355</v>
      </c>
    </row>
    <row r="21505" ht="16.5" customHeight="1">
      <c r="O21505" s="5" t="s">
        <v>355</v>
      </c>
      <c r="P21505" s="5" t="s">
        <v>355</v>
      </c>
      <c r="Q21505" s="5" t="s">
        <v>355</v>
      </c>
    </row>
    <row r="21506" ht="16.5" customHeight="1">
      <c r="O21506" s="5" t="s">
        <v>355</v>
      </c>
      <c r="P21506" s="5" t="s">
        <v>355</v>
      </c>
      <c r="Q21506" s="5" t="s">
        <v>355</v>
      </c>
    </row>
    <row r="21507" ht="16.5" customHeight="1">
      <c r="O21507" s="5" t="s">
        <v>355</v>
      </c>
      <c r="P21507" s="5" t="s">
        <v>355</v>
      </c>
      <c r="Q21507" s="5" t="s">
        <v>355</v>
      </c>
    </row>
    <row r="21508" ht="16.5" customHeight="1">
      <c r="O21508" s="5" t="s">
        <v>355</v>
      </c>
      <c r="P21508" s="5" t="s">
        <v>355</v>
      </c>
      <c r="Q21508" s="5" t="s">
        <v>355</v>
      </c>
    </row>
    <row r="21509" ht="16.5" customHeight="1">
      <c r="O21509" s="5" t="s">
        <v>355</v>
      </c>
      <c r="P21509" s="5" t="s">
        <v>355</v>
      </c>
      <c r="Q21509" s="5" t="s">
        <v>355</v>
      </c>
    </row>
    <row r="21510" ht="16.5" customHeight="1">
      <c r="O21510" s="5" t="s">
        <v>355</v>
      </c>
      <c r="P21510" s="5" t="s">
        <v>355</v>
      </c>
      <c r="Q21510" s="5" t="s">
        <v>355</v>
      </c>
    </row>
    <row r="21511" ht="16.5" customHeight="1">
      <c r="O21511" s="5" t="s">
        <v>355</v>
      </c>
      <c r="P21511" s="5" t="s">
        <v>355</v>
      </c>
      <c r="Q21511" s="5" t="s">
        <v>355</v>
      </c>
    </row>
    <row r="21512" ht="16.5" customHeight="1">
      <c r="O21512" s="5" t="s">
        <v>355</v>
      </c>
      <c r="P21512" s="5" t="s">
        <v>355</v>
      </c>
      <c r="Q21512" s="5" t="s">
        <v>355</v>
      </c>
    </row>
    <row r="21513" ht="16.5" customHeight="1">
      <c r="O21513" s="5" t="s">
        <v>355</v>
      </c>
      <c r="P21513" s="5" t="s">
        <v>355</v>
      </c>
      <c r="Q21513" s="5" t="s">
        <v>355</v>
      </c>
    </row>
    <row r="21514" ht="16.5" customHeight="1">
      <c r="O21514" s="5" t="s">
        <v>355</v>
      </c>
      <c r="P21514" s="5" t="s">
        <v>355</v>
      </c>
      <c r="Q21514" s="5" t="s">
        <v>355</v>
      </c>
    </row>
    <row r="21515" ht="16.5" customHeight="1">
      <c r="O21515" s="5" t="s">
        <v>355</v>
      </c>
      <c r="P21515" s="5" t="s">
        <v>355</v>
      </c>
      <c r="Q21515" s="5" t="s">
        <v>355</v>
      </c>
    </row>
    <row r="21516" ht="16.5" customHeight="1">
      <c r="O21516" s="5" t="s">
        <v>355</v>
      </c>
      <c r="P21516" s="5" t="s">
        <v>355</v>
      </c>
      <c r="Q21516" s="5" t="s">
        <v>355</v>
      </c>
    </row>
    <row r="21517" ht="16.5" customHeight="1">
      <c r="O21517" s="5" t="s">
        <v>355</v>
      </c>
      <c r="P21517" s="5" t="s">
        <v>355</v>
      </c>
      <c r="Q21517" s="5" t="s">
        <v>355</v>
      </c>
    </row>
    <row r="21518" ht="16.5" customHeight="1">
      <c r="O21518" s="5" t="s">
        <v>355</v>
      </c>
      <c r="P21518" s="5" t="s">
        <v>355</v>
      </c>
      <c r="Q21518" s="5" t="s">
        <v>355</v>
      </c>
    </row>
    <row r="21519" ht="16.5" customHeight="1">
      <c r="O21519" s="5" t="s">
        <v>355</v>
      </c>
      <c r="P21519" s="5" t="s">
        <v>355</v>
      </c>
      <c r="Q21519" s="5" t="s">
        <v>355</v>
      </c>
    </row>
    <row r="21520" ht="16.5" customHeight="1">
      <c r="O21520" s="5" t="s">
        <v>355</v>
      </c>
      <c r="P21520" s="5" t="s">
        <v>355</v>
      </c>
      <c r="Q21520" s="5" t="s">
        <v>355</v>
      </c>
    </row>
    <row r="21521" ht="16.5" customHeight="1">
      <c r="O21521" s="5" t="s">
        <v>355</v>
      </c>
      <c r="P21521" s="5" t="s">
        <v>355</v>
      </c>
      <c r="Q21521" s="5" t="s">
        <v>355</v>
      </c>
    </row>
    <row r="21522" ht="16.5" customHeight="1">
      <c r="O21522" s="5" t="s">
        <v>355</v>
      </c>
      <c r="P21522" s="5" t="s">
        <v>355</v>
      </c>
      <c r="Q21522" s="5" t="s">
        <v>355</v>
      </c>
    </row>
    <row r="21523" ht="16.5" customHeight="1">
      <c r="O21523" s="5" t="s">
        <v>355</v>
      </c>
      <c r="P21523" s="5" t="s">
        <v>355</v>
      </c>
      <c r="Q21523" s="5" t="s">
        <v>355</v>
      </c>
    </row>
    <row r="21524" ht="16.5" customHeight="1">
      <c r="O21524" s="5" t="s">
        <v>355</v>
      </c>
      <c r="P21524" s="5" t="s">
        <v>355</v>
      </c>
      <c r="Q21524" s="5" t="s">
        <v>355</v>
      </c>
    </row>
    <row r="21525" ht="16.5" customHeight="1">
      <c r="O21525" s="5" t="s">
        <v>355</v>
      </c>
      <c r="P21525" s="5" t="s">
        <v>355</v>
      </c>
      <c r="Q21525" s="5" t="s">
        <v>355</v>
      </c>
    </row>
    <row r="21526" ht="16.5" customHeight="1">
      <c r="O21526" s="5" t="s">
        <v>355</v>
      </c>
      <c r="P21526" s="5" t="s">
        <v>355</v>
      </c>
      <c r="Q21526" s="5" t="s">
        <v>355</v>
      </c>
    </row>
    <row r="21527" ht="16.5" customHeight="1">
      <c r="O21527" s="5" t="s">
        <v>355</v>
      </c>
      <c r="P21527" s="5" t="s">
        <v>355</v>
      </c>
      <c r="Q21527" s="5" t="s">
        <v>355</v>
      </c>
    </row>
    <row r="21528" ht="16.5" customHeight="1">
      <c r="O21528" s="5" t="s">
        <v>355</v>
      </c>
      <c r="P21528" s="5" t="s">
        <v>355</v>
      </c>
      <c r="Q21528" s="5" t="s">
        <v>355</v>
      </c>
    </row>
    <row r="21529" ht="16.5" customHeight="1">
      <c r="O21529" s="5" t="s">
        <v>355</v>
      </c>
      <c r="P21529" s="5" t="s">
        <v>355</v>
      </c>
      <c r="Q21529" s="5" t="s">
        <v>355</v>
      </c>
    </row>
    <row r="21530" ht="16.5" customHeight="1">
      <c r="O21530" s="5" t="s">
        <v>355</v>
      </c>
      <c r="P21530" s="5" t="s">
        <v>355</v>
      </c>
      <c r="Q21530" s="5" t="s">
        <v>355</v>
      </c>
    </row>
    <row r="21531" ht="16.5" customHeight="1">
      <c r="O21531" s="5" t="s">
        <v>355</v>
      </c>
      <c r="P21531" s="5" t="s">
        <v>355</v>
      </c>
      <c r="Q21531" s="5" t="s">
        <v>355</v>
      </c>
    </row>
    <row r="21532" ht="16.5" customHeight="1">
      <c r="O21532" s="5" t="s">
        <v>355</v>
      </c>
      <c r="P21532" s="5" t="s">
        <v>355</v>
      </c>
      <c r="Q21532" s="5" t="s">
        <v>355</v>
      </c>
    </row>
    <row r="21533" ht="16.5" customHeight="1">
      <c r="O21533" s="5" t="s">
        <v>355</v>
      </c>
      <c r="P21533" s="5" t="s">
        <v>355</v>
      </c>
      <c r="Q21533" s="5" t="s">
        <v>355</v>
      </c>
    </row>
    <row r="21534" ht="16.5" customHeight="1">
      <c r="O21534" s="5" t="s">
        <v>355</v>
      </c>
      <c r="P21534" s="5" t="s">
        <v>355</v>
      </c>
      <c r="Q21534" s="5" t="s">
        <v>355</v>
      </c>
    </row>
    <row r="21535" ht="16.5" customHeight="1">
      <c r="O21535" s="5" t="s">
        <v>355</v>
      </c>
      <c r="P21535" s="5" t="s">
        <v>355</v>
      </c>
      <c r="Q21535" s="5" t="s">
        <v>355</v>
      </c>
    </row>
    <row r="21536" ht="16.5" customHeight="1">
      <c r="O21536" s="5" t="s">
        <v>355</v>
      </c>
      <c r="P21536" s="5" t="s">
        <v>355</v>
      </c>
      <c r="Q21536" s="5" t="s">
        <v>355</v>
      </c>
    </row>
    <row r="21537" ht="16.5" customHeight="1">
      <c r="O21537" s="5" t="s">
        <v>355</v>
      </c>
      <c r="P21537" s="5" t="s">
        <v>355</v>
      </c>
      <c r="Q21537" s="5" t="s">
        <v>355</v>
      </c>
    </row>
    <row r="21538" ht="16.5" customHeight="1">
      <c r="O21538" s="5" t="s">
        <v>355</v>
      </c>
      <c r="P21538" s="5" t="s">
        <v>355</v>
      </c>
      <c r="Q21538" s="5" t="s">
        <v>355</v>
      </c>
    </row>
    <row r="21539" ht="16.5" customHeight="1">
      <c r="O21539" s="5" t="s">
        <v>355</v>
      </c>
      <c r="P21539" s="5" t="s">
        <v>355</v>
      </c>
      <c r="Q21539" s="5" t="s">
        <v>355</v>
      </c>
    </row>
    <row r="21540" ht="16.5" customHeight="1">
      <c r="O21540" s="5" t="s">
        <v>355</v>
      </c>
      <c r="P21540" s="5" t="s">
        <v>355</v>
      </c>
      <c r="Q21540" s="5" t="s">
        <v>355</v>
      </c>
    </row>
    <row r="21541" ht="16.5" customHeight="1">
      <c r="O21541" s="5" t="s">
        <v>355</v>
      </c>
      <c r="P21541" s="5" t="s">
        <v>355</v>
      </c>
      <c r="Q21541" s="5" t="s">
        <v>355</v>
      </c>
    </row>
    <row r="21542" ht="16.5" customHeight="1">
      <c r="O21542" s="5" t="s">
        <v>355</v>
      </c>
      <c r="P21542" s="5" t="s">
        <v>355</v>
      </c>
      <c r="Q21542" s="5" t="s">
        <v>355</v>
      </c>
    </row>
    <row r="21543" ht="16.5" customHeight="1">
      <c r="O21543" s="5" t="s">
        <v>355</v>
      </c>
      <c r="P21543" s="5" t="s">
        <v>355</v>
      </c>
      <c r="Q21543" s="5" t="s">
        <v>355</v>
      </c>
    </row>
    <row r="21544" ht="16.5" customHeight="1">
      <c r="O21544" s="5" t="s">
        <v>355</v>
      </c>
      <c r="P21544" s="5" t="s">
        <v>355</v>
      </c>
      <c r="Q21544" s="5" t="s">
        <v>355</v>
      </c>
    </row>
    <row r="21545" ht="16.5" customHeight="1">
      <c r="O21545" s="5" t="s">
        <v>355</v>
      </c>
      <c r="P21545" s="5" t="s">
        <v>355</v>
      </c>
      <c r="Q21545" s="5" t="s">
        <v>355</v>
      </c>
    </row>
    <row r="21546" ht="16.5" customHeight="1">
      <c r="O21546" s="5" t="s">
        <v>355</v>
      </c>
      <c r="P21546" s="5" t="s">
        <v>355</v>
      </c>
      <c r="Q21546" s="5" t="s">
        <v>355</v>
      </c>
    </row>
    <row r="21547" ht="16.5" customHeight="1">
      <c r="O21547" s="5" t="s">
        <v>355</v>
      </c>
      <c r="P21547" s="5" t="s">
        <v>355</v>
      </c>
      <c r="Q21547" s="5" t="s">
        <v>355</v>
      </c>
    </row>
    <row r="21548" ht="16.5" customHeight="1">
      <c r="O21548" s="5" t="s">
        <v>355</v>
      </c>
      <c r="P21548" s="5" t="s">
        <v>355</v>
      </c>
      <c r="Q21548" s="5" t="s">
        <v>355</v>
      </c>
    </row>
    <row r="21549" ht="16.5" customHeight="1">
      <c r="O21549" s="5" t="s">
        <v>355</v>
      </c>
      <c r="P21549" s="5" t="s">
        <v>355</v>
      </c>
      <c r="Q21549" s="5" t="s">
        <v>355</v>
      </c>
    </row>
    <row r="21550" ht="16.5" customHeight="1">
      <c r="O21550" s="5" t="s">
        <v>355</v>
      </c>
      <c r="P21550" s="5" t="s">
        <v>355</v>
      </c>
      <c r="Q21550" s="5" t="s">
        <v>355</v>
      </c>
    </row>
    <row r="21551" ht="16.5" customHeight="1">
      <c r="O21551" s="5" t="s">
        <v>355</v>
      </c>
      <c r="P21551" s="5" t="s">
        <v>355</v>
      </c>
      <c r="Q21551" s="5" t="s">
        <v>355</v>
      </c>
    </row>
    <row r="21552" ht="16.5" customHeight="1">
      <c r="O21552" s="5" t="s">
        <v>355</v>
      </c>
      <c r="P21552" s="5" t="s">
        <v>355</v>
      </c>
      <c r="Q21552" s="5" t="s">
        <v>355</v>
      </c>
    </row>
    <row r="21553" ht="16.5" customHeight="1">
      <c r="O21553" s="5" t="s">
        <v>355</v>
      </c>
      <c r="P21553" s="5" t="s">
        <v>355</v>
      </c>
      <c r="Q21553" s="5" t="s">
        <v>355</v>
      </c>
    </row>
    <row r="21554" ht="16.5" customHeight="1">
      <c r="O21554" s="5" t="s">
        <v>355</v>
      </c>
      <c r="P21554" s="5" t="s">
        <v>355</v>
      </c>
      <c r="Q21554" s="5" t="s">
        <v>355</v>
      </c>
    </row>
    <row r="21555" ht="16.5" customHeight="1">
      <c r="O21555" s="5" t="s">
        <v>355</v>
      </c>
      <c r="P21555" s="5" t="s">
        <v>355</v>
      </c>
      <c r="Q21555" s="5" t="s">
        <v>355</v>
      </c>
    </row>
    <row r="21556" ht="16.5" customHeight="1">
      <c r="O21556" s="5" t="s">
        <v>355</v>
      </c>
      <c r="P21556" s="5" t="s">
        <v>355</v>
      </c>
      <c r="Q21556" s="5" t="s">
        <v>355</v>
      </c>
    </row>
    <row r="21557" ht="16.5" customHeight="1">
      <c r="O21557" s="5" t="s">
        <v>355</v>
      </c>
      <c r="P21557" s="5" t="s">
        <v>355</v>
      </c>
      <c r="Q21557" s="5" t="s">
        <v>355</v>
      </c>
    </row>
    <row r="21558" ht="16.5" customHeight="1">
      <c r="O21558" s="5" t="s">
        <v>355</v>
      </c>
      <c r="P21558" s="5" t="s">
        <v>355</v>
      </c>
      <c r="Q21558" s="5" t="s">
        <v>355</v>
      </c>
    </row>
    <row r="21559" ht="16.5" customHeight="1">
      <c r="O21559" s="5" t="s">
        <v>355</v>
      </c>
      <c r="P21559" s="5" t="s">
        <v>355</v>
      </c>
      <c r="Q21559" s="5" t="s">
        <v>355</v>
      </c>
    </row>
    <row r="21560" ht="16.5" customHeight="1">
      <c r="O21560" s="5" t="s">
        <v>355</v>
      </c>
      <c r="P21560" s="5" t="s">
        <v>355</v>
      </c>
      <c r="Q21560" s="5" t="s">
        <v>355</v>
      </c>
    </row>
    <row r="21561" ht="16.5" customHeight="1">
      <c r="O21561" s="5" t="s">
        <v>355</v>
      </c>
      <c r="P21561" s="5" t="s">
        <v>355</v>
      </c>
      <c r="Q21561" s="5" t="s">
        <v>355</v>
      </c>
    </row>
    <row r="21562" ht="16.5" customHeight="1">
      <c r="O21562" s="5" t="s">
        <v>355</v>
      </c>
      <c r="P21562" s="5" t="s">
        <v>355</v>
      </c>
      <c r="Q21562" s="5" t="s">
        <v>355</v>
      </c>
    </row>
    <row r="21563" ht="16.5" customHeight="1">
      <c r="O21563" s="5" t="s">
        <v>355</v>
      </c>
      <c r="P21563" s="5" t="s">
        <v>355</v>
      </c>
      <c r="Q21563" s="5" t="s">
        <v>355</v>
      </c>
    </row>
    <row r="21564" ht="16.5" customHeight="1">
      <c r="O21564" s="5" t="s">
        <v>355</v>
      </c>
      <c r="P21564" s="5" t="s">
        <v>355</v>
      </c>
      <c r="Q21564" s="5" t="s">
        <v>355</v>
      </c>
    </row>
    <row r="21565" ht="16.5" customHeight="1">
      <c r="O21565" s="5" t="s">
        <v>355</v>
      </c>
      <c r="P21565" s="5" t="s">
        <v>355</v>
      </c>
      <c r="Q21565" s="5" t="s">
        <v>355</v>
      </c>
    </row>
    <row r="21566" ht="16.5" customHeight="1">
      <c r="O21566" s="5" t="s">
        <v>355</v>
      </c>
      <c r="P21566" s="5" t="s">
        <v>355</v>
      </c>
      <c r="Q21566" s="5" t="s">
        <v>355</v>
      </c>
    </row>
    <row r="21567" ht="16.5" customHeight="1">
      <c r="O21567" s="5" t="s">
        <v>355</v>
      </c>
      <c r="P21567" s="5" t="s">
        <v>355</v>
      </c>
      <c r="Q21567" s="5" t="s">
        <v>355</v>
      </c>
    </row>
    <row r="21568" ht="16.5" customHeight="1">
      <c r="O21568" s="5" t="s">
        <v>355</v>
      </c>
      <c r="P21568" s="5" t="s">
        <v>355</v>
      </c>
      <c r="Q21568" s="5" t="s">
        <v>355</v>
      </c>
    </row>
    <row r="21569" ht="16.5" customHeight="1">
      <c r="O21569" s="5" t="s">
        <v>355</v>
      </c>
      <c r="P21569" s="5" t="s">
        <v>355</v>
      </c>
      <c r="Q21569" s="5" t="s">
        <v>355</v>
      </c>
    </row>
    <row r="21570" ht="16.5" customHeight="1">
      <c r="O21570" s="5" t="s">
        <v>355</v>
      </c>
      <c r="P21570" s="5" t="s">
        <v>355</v>
      </c>
      <c r="Q21570" s="5" t="s">
        <v>355</v>
      </c>
    </row>
    <row r="21571" ht="16.5" customHeight="1">
      <c r="O21571" s="5" t="s">
        <v>355</v>
      </c>
      <c r="P21571" s="5" t="s">
        <v>355</v>
      </c>
      <c r="Q21571" s="5" t="s">
        <v>355</v>
      </c>
    </row>
    <row r="21572" ht="16.5" customHeight="1">
      <c r="O21572" s="5" t="s">
        <v>355</v>
      </c>
      <c r="P21572" s="5" t="s">
        <v>355</v>
      </c>
      <c r="Q21572" s="5" t="s">
        <v>355</v>
      </c>
    </row>
    <row r="21573" ht="16.5" customHeight="1">
      <c r="O21573" s="5" t="s">
        <v>355</v>
      </c>
      <c r="P21573" s="5" t="s">
        <v>355</v>
      </c>
      <c r="Q21573" s="5" t="s">
        <v>355</v>
      </c>
    </row>
    <row r="21574" ht="16.5" customHeight="1">
      <c r="O21574" s="5" t="s">
        <v>355</v>
      </c>
      <c r="P21574" s="5" t="s">
        <v>355</v>
      </c>
      <c r="Q21574" s="5" t="s">
        <v>355</v>
      </c>
    </row>
    <row r="21575" ht="16.5" customHeight="1">
      <c r="O21575" s="5" t="s">
        <v>355</v>
      </c>
      <c r="P21575" s="5" t="s">
        <v>355</v>
      </c>
      <c r="Q21575" s="5" t="s">
        <v>355</v>
      </c>
    </row>
    <row r="21576" ht="16.5" customHeight="1">
      <c r="O21576" s="5" t="s">
        <v>355</v>
      </c>
      <c r="P21576" s="5" t="s">
        <v>355</v>
      </c>
      <c r="Q21576" s="5" t="s">
        <v>355</v>
      </c>
    </row>
    <row r="21577" ht="16.5" customHeight="1">
      <c r="O21577" s="5" t="s">
        <v>355</v>
      </c>
      <c r="P21577" s="5" t="s">
        <v>355</v>
      </c>
      <c r="Q21577" s="5" t="s">
        <v>355</v>
      </c>
    </row>
    <row r="21578" ht="16.5" customHeight="1">
      <c r="O21578" s="5" t="s">
        <v>355</v>
      </c>
      <c r="P21578" s="5" t="s">
        <v>355</v>
      </c>
      <c r="Q21578" s="5" t="s">
        <v>355</v>
      </c>
    </row>
    <row r="21579" ht="16.5" customHeight="1">
      <c r="O21579" s="5" t="s">
        <v>355</v>
      </c>
      <c r="P21579" s="5" t="s">
        <v>355</v>
      </c>
      <c r="Q21579" s="5" t="s">
        <v>355</v>
      </c>
    </row>
    <row r="21580" ht="16.5" customHeight="1">
      <c r="O21580" s="5" t="s">
        <v>355</v>
      </c>
      <c r="P21580" s="5" t="s">
        <v>355</v>
      </c>
      <c r="Q21580" s="5" t="s">
        <v>355</v>
      </c>
    </row>
    <row r="21581" ht="16.5" customHeight="1">
      <c r="O21581" s="5" t="s">
        <v>355</v>
      </c>
      <c r="P21581" s="5" t="s">
        <v>355</v>
      </c>
      <c r="Q21581" s="5" t="s">
        <v>355</v>
      </c>
    </row>
    <row r="21582" ht="16.5" customHeight="1">
      <c r="O21582" s="5" t="s">
        <v>355</v>
      </c>
      <c r="P21582" s="5" t="s">
        <v>355</v>
      </c>
      <c r="Q21582" s="5" t="s">
        <v>355</v>
      </c>
    </row>
    <row r="21583" ht="16.5" customHeight="1">
      <c r="O21583" s="5" t="s">
        <v>355</v>
      </c>
      <c r="P21583" s="5" t="s">
        <v>355</v>
      </c>
      <c r="Q21583" s="5" t="s">
        <v>355</v>
      </c>
    </row>
    <row r="21584" ht="16.5" customHeight="1">
      <c r="O21584" s="5" t="s">
        <v>355</v>
      </c>
      <c r="P21584" s="5" t="s">
        <v>355</v>
      </c>
      <c r="Q21584" s="5" t="s">
        <v>355</v>
      </c>
    </row>
    <row r="21585" ht="16.5" customHeight="1">
      <c r="O21585" s="5" t="s">
        <v>355</v>
      </c>
      <c r="P21585" s="5" t="s">
        <v>355</v>
      </c>
      <c r="Q21585" s="5" t="s">
        <v>355</v>
      </c>
    </row>
    <row r="21586" ht="16.5" customHeight="1">
      <c r="O21586" s="5" t="s">
        <v>355</v>
      </c>
      <c r="P21586" s="5" t="s">
        <v>355</v>
      </c>
      <c r="Q21586" s="5" t="s">
        <v>355</v>
      </c>
    </row>
    <row r="21587" ht="16.5" customHeight="1">
      <c r="O21587" s="5" t="s">
        <v>355</v>
      </c>
      <c r="P21587" s="5" t="s">
        <v>355</v>
      </c>
      <c r="Q21587" s="5" t="s">
        <v>355</v>
      </c>
    </row>
    <row r="21588" ht="16.5" customHeight="1">
      <c r="O21588" s="5" t="s">
        <v>355</v>
      </c>
      <c r="P21588" s="5" t="s">
        <v>355</v>
      </c>
      <c r="Q21588" s="5" t="s">
        <v>355</v>
      </c>
    </row>
    <row r="21589" ht="16.5" customHeight="1">
      <c r="O21589" s="5" t="s">
        <v>355</v>
      </c>
      <c r="P21589" s="5" t="s">
        <v>355</v>
      </c>
      <c r="Q21589" s="5" t="s">
        <v>355</v>
      </c>
    </row>
    <row r="21590" ht="16.5" customHeight="1">
      <c r="O21590" s="5" t="s">
        <v>355</v>
      </c>
      <c r="P21590" s="5" t="s">
        <v>355</v>
      </c>
      <c r="Q21590" s="5" t="s">
        <v>355</v>
      </c>
    </row>
    <row r="21591" ht="16.5" customHeight="1">
      <c r="O21591" s="5" t="s">
        <v>355</v>
      </c>
      <c r="P21591" s="5" t="s">
        <v>355</v>
      </c>
      <c r="Q21591" s="5" t="s">
        <v>355</v>
      </c>
    </row>
    <row r="21592" ht="16.5" customHeight="1">
      <c r="O21592" s="5" t="s">
        <v>355</v>
      </c>
      <c r="P21592" s="5" t="s">
        <v>355</v>
      </c>
      <c r="Q21592" s="5" t="s">
        <v>355</v>
      </c>
    </row>
    <row r="21593" ht="16.5" customHeight="1">
      <c r="O21593" s="5" t="s">
        <v>355</v>
      </c>
      <c r="P21593" s="5" t="s">
        <v>355</v>
      </c>
      <c r="Q21593" s="5" t="s">
        <v>355</v>
      </c>
    </row>
    <row r="21594" ht="16.5" customHeight="1">
      <c r="O21594" s="5" t="s">
        <v>355</v>
      </c>
      <c r="P21594" s="5" t="s">
        <v>355</v>
      </c>
      <c r="Q21594" s="5" t="s">
        <v>355</v>
      </c>
    </row>
    <row r="21595" ht="16.5" customHeight="1">
      <c r="O21595" s="5" t="s">
        <v>355</v>
      </c>
      <c r="P21595" s="5" t="s">
        <v>355</v>
      </c>
      <c r="Q21595" s="5" t="s">
        <v>355</v>
      </c>
    </row>
    <row r="21596" ht="16.5" customHeight="1">
      <c r="O21596" s="5" t="s">
        <v>355</v>
      </c>
      <c r="P21596" s="5" t="s">
        <v>355</v>
      </c>
      <c r="Q21596" s="5" t="s">
        <v>355</v>
      </c>
    </row>
    <row r="21597" ht="16.5" customHeight="1">
      <c r="O21597" s="5" t="s">
        <v>355</v>
      </c>
      <c r="P21597" s="5" t="s">
        <v>355</v>
      </c>
      <c r="Q21597" s="5" t="s">
        <v>355</v>
      </c>
    </row>
    <row r="21598" ht="16.5" customHeight="1">
      <c r="O21598" s="5" t="s">
        <v>355</v>
      </c>
      <c r="P21598" s="5" t="s">
        <v>355</v>
      </c>
      <c r="Q21598" s="5" t="s">
        <v>355</v>
      </c>
    </row>
    <row r="21599" ht="16.5" customHeight="1">
      <c r="O21599" s="5" t="s">
        <v>355</v>
      </c>
      <c r="P21599" s="5" t="s">
        <v>355</v>
      </c>
      <c r="Q21599" s="5" t="s">
        <v>355</v>
      </c>
    </row>
    <row r="21600" ht="16.5" customHeight="1">
      <c r="O21600" s="5" t="s">
        <v>355</v>
      </c>
      <c r="P21600" s="5" t="s">
        <v>355</v>
      </c>
      <c r="Q21600" s="5" t="s">
        <v>355</v>
      </c>
    </row>
    <row r="21601" ht="16.5" customHeight="1">
      <c r="O21601" s="5" t="s">
        <v>355</v>
      </c>
      <c r="P21601" s="5" t="s">
        <v>355</v>
      </c>
      <c r="Q21601" s="5" t="s">
        <v>355</v>
      </c>
    </row>
    <row r="21602" ht="16.5" customHeight="1">
      <c r="O21602" s="5" t="s">
        <v>355</v>
      </c>
      <c r="P21602" s="5" t="s">
        <v>355</v>
      </c>
      <c r="Q21602" s="5" t="s">
        <v>355</v>
      </c>
    </row>
    <row r="21603" ht="16.5" customHeight="1">
      <c r="O21603" s="5" t="s">
        <v>355</v>
      </c>
      <c r="P21603" s="5" t="s">
        <v>355</v>
      </c>
      <c r="Q21603" s="5" t="s">
        <v>355</v>
      </c>
    </row>
    <row r="21604" ht="16.5" customHeight="1">
      <c r="O21604" s="5" t="s">
        <v>355</v>
      </c>
      <c r="P21604" s="5" t="s">
        <v>355</v>
      </c>
      <c r="Q21604" s="5" t="s">
        <v>355</v>
      </c>
    </row>
    <row r="21605" ht="16.5" customHeight="1">
      <c r="O21605" s="5" t="s">
        <v>355</v>
      </c>
      <c r="P21605" s="5" t="s">
        <v>355</v>
      </c>
      <c r="Q21605" s="5" t="s">
        <v>355</v>
      </c>
    </row>
    <row r="21606" ht="16.5" customHeight="1">
      <c r="O21606" s="5" t="s">
        <v>355</v>
      </c>
      <c r="P21606" s="5" t="s">
        <v>355</v>
      </c>
      <c r="Q21606" s="5" t="s">
        <v>355</v>
      </c>
    </row>
    <row r="21607" ht="16.5" customHeight="1">
      <c r="O21607" s="5" t="s">
        <v>355</v>
      </c>
      <c r="P21607" s="5" t="s">
        <v>355</v>
      </c>
      <c r="Q21607" s="5" t="s">
        <v>355</v>
      </c>
    </row>
    <row r="21608" ht="16.5" customHeight="1">
      <c r="O21608" s="5" t="s">
        <v>355</v>
      </c>
      <c r="P21608" s="5" t="s">
        <v>355</v>
      </c>
      <c r="Q21608" s="5" t="s">
        <v>355</v>
      </c>
    </row>
    <row r="21609" ht="16.5" customHeight="1">
      <c r="O21609" s="5" t="s">
        <v>355</v>
      </c>
      <c r="P21609" s="5" t="s">
        <v>355</v>
      </c>
      <c r="Q21609" s="5" t="s">
        <v>355</v>
      </c>
    </row>
    <row r="21610" ht="16.5" customHeight="1">
      <c r="O21610" s="5" t="s">
        <v>355</v>
      </c>
      <c r="P21610" s="5" t="s">
        <v>355</v>
      </c>
      <c r="Q21610" s="5" t="s">
        <v>355</v>
      </c>
    </row>
    <row r="21611" ht="16.5" customHeight="1">
      <c r="O21611" s="5" t="s">
        <v>355</v>
      </c>
      <c r="P21611" s="5" t="s">
        <v>355</v>
      </c>
      <c r="Q21611" s="5" t="s">
        <v>355</v>
      </c>
    </row>
    <row r="21612" ht="16.5" customHeight="1">
      <c r="O21612" s="5" t="s">
        <v>355</v>
      </c>
      <c r="P21612" s="5" t="s">
        <v>355</v>
      </c>
      <c r="Q21612" s="5" t="s">
        <v>355</v>
      </c>
    </row>
    <row r="21613" ht="16.5" customHeight="1">
      <c r="O21613" s="5" t="s">
        <v>355</v>
      </c>
      <c r="P21613" s="5" t="s">
        <v>355</v>
      </c>
      <c r="Q21613" s="5" t="s">
        <v>355</v>
      </c>
    </row>
    <row r="21614" ht="16.5" customHeight="1">
      <c r="O21614" s="5" t="s">
        <v>355</v>
      </c>
      <c r="P21614" s="5" t="s">
        <v>355</v>
      </c>
      <c r="Q21614" s="5" t="s">
        <v>355</v>
      </c>
    </row>
    <row r="21615" ht="16.5" customHeight="1">
      <c r="O21615" s="5" t="s">
        <v>355</v>
      </c>
      <c r="P21615" s="5" t="s">
        <v>355</v>
      </c>
      <c r="Q21615" s="5" t="s">
        <v>355</v>
      </c>
    </row>
    <row r="21616" ht="16.5" customHeight="1">
      <c r="O21616" s="5" t="s">
        <v>355</v>
      </c>
      <c r="P21616" s="5" t="s">
        <v>355</v>
      </c>
      <c r="Q21616" s="5" t="s">
        <v>355</v>
      </c>
    </row>
    <row r="21617" ht="16.5" customHeight="1">
      <c r="O21617" s="5" t="s">
        <v>355</v>
      </c>
      <c r="P21617" s="5" t="s">
        <v>355</v>
      </c>
      <c r="Q21617" s="5" t="s">
        <v>355</v>
      </c>
    </row>
    <row r="21618" ht="16.5" customHeight="1">
      <c r="O21618" s="5" t="s">
        <v>355</v>
      </c>
      <c r="P21618" s="5" t="s">
        <v>355</v>
      </c>
      <c r="Q21618" s="5" t="s">
        <v>355</v>
      </c>
    </row>
    <row r="21619" ht="16.5" customHeight="1">
      <c r="O21619" s="5" t="s">
        <v>355</v>
      </c>
      <c r="P21619" s="5" t="s">
        <v>355</v>
      </c>
      <c r="Q21619" s="5" t="s">
        <v>355</v>
      </c>
    </row>
    <row r="21620" ht="16.5" customHeight="1">
      <c r="O21620" s="5" t="s">
        <v>355</v>
      </c>
      <c r="P21620" s="5" t="s">
        <v>355</v>
      </c>
      <c r="Q21620" s="5" t="s">
        <v>355</v>
      </c>
    </row>
    <row r="21621" ht="16.5" customHeight="1">
      <c r="O21621" s="5" t="s">
        <v>355</v>
      </c>
      <c r="P21621" s="5" t="s">
        <v>355</v>
      </c>
      <c r="Q21621" s="5" t="s">
        <v>355</v>
      </c>
    </row>
    <row r="21622" ht="16.5" customHeight="1">
      <c r="O21622" s="5" t="s">
        <v>355</v>
      </c>
      <c r="P21622" s="5" t="s">
        <v>355</v>
      </c>
      <c r="Q21622" s="5" t="s">
        <v>355</v>
      </c>
    </row>
    <row r="21623" ht="16.5" customHeight="1">
      <c r="O21623" s="5" t="s">
        <v>355</v>
      </c>
      <c r="P21623" s="5" t="s">
        <v>355</v>
      </c>
      <c r="Q21623" s="5" t="s">
        <v>355</v>
      </c>
    </row>
    <row r="21624" ht="16.5" customHeight="1">
      <c r="O21624" s="5" t="s">
        <v>355</v>
      </c>
      <c r="P21624" s="5" t="s">
        <v>355</v>
      </c>
      <c r="Q21624" s="5" t="s">
        <v>355</v>
      </c>
    </row>
    <row r="21625" ht="16.5" customHeight="1">
      <c r="O21625" s="5" t="s">
        <v>355</v>
      </c>
      <c r="P21625" s="5" t="s">
        <v>355</v>
      </c>
      <c r="Q21625" s="5" t="s">
        <v>355</v>
      </c>
    </row>
    <row r="21626" ht="16.5" customHeight="1">
      <c r="O21626" s="5" t="s">
        <v>355</v>
      </c>
      <c r="P21626" s="5" t="s">
        <v>355</v>
      </c>
      <c r="Q21626" s="5" t="s">
        <v>355</v>
      </c>
    </row>
    <row r="21627" ht="16.5" customHeight="1">
      <c r="O21627" s="5" t="s">
        <v>355</v>
      </c>
      <c r="P21627" s="5" t="s">
        <v>355</v>
      </c>
      <c r="Q21627" s="5" t="s">
        <v>355</v>
      </c>
    </row>
    <row r="21628" ht="16.5" customHeight="1">
      <c r="O21628" s="5" t="s">
        <v>355</v>
      </c>
      <c r="P21628" s="5" t="s">
        <v>355</v>
      </c>
      <c r="Q21628" s="5" t="s">
        <v>355</v>
      </c>
    </row>
    <row r="21629" ht="16.5" customHeight="1">
      <c r="O21629" s="5" t="s">
        <v>355</v>
      </c>
      <c r="P21629" s="5" t="s">
        <v>355</v>
      </c>
      <c r="Q21629" s="5" t="s">
        <v>355</v>
      </c>
    </row>
    <row r="21630" ht="16.5" customHeight="1">
      <c r="O21630" s="5" t="s">
        <v>355</v>
      </c>
      <c r="P21630" s="5" t="s">
        <v>355</v>
      </c>
      <c r="Q21630" s="5" t="s">
        <v>355</v>
      </c>
    </row>
    <row r="21631" ht="16.5" customHeight="1">
      <c r="O21631" s="5" t="s">
        <v>355</v>
      </c>
      <c r="P21631" s="5" t="s">
        <v>355</v>
      </c>
      <c r="Q21631" s="5" t="s">
        <v>355</v>
      </c>
    </row>
    <row r="21632" ht="16.5" customHeight="1">
      <c r="O21632" s="5" t="s">
        <v>355</v>
      </c>
      <c r="P21632" s="5" t="s">
        <v>355</v>
      </c>
      <c r="Q21632" s="5" t="s">
        <v>355</v>
      </c>
    </row>
    <row r="21633" ht="16.5" customHeight="1">
      <c r="O21633" s="5" t="s">
        <v>355</v>
      </c>
      <c r="P21633" s="5" t="s">
        <v>355</v>
      </c>
      <c r="Q21633" s="5" t="s">
        <v>355</v>
      </c>
    </row>
    <row r="21634" ht="16.5" customHeight="1">
      <c r="O21634" s="5" t="s">
        <v>355</v>
      </c>
      <c r="P21634" s="5" t="s">
        <v>355</v>
      </c>
      <c r="Q21634" s="5" t="s">
        <v>355</v>
      </c>
    </row>
    <row r="21635" ht="16.5" customHeight="1">
      <c r="O21635" s="5" t="s">
        <v>355</v>
      </c>
      <c r="P21635" s="5" t="s">
        <v>355</v>
      </c>
      <c r="Q21635" s="5" t="s">
        <v>355</v>
      </c>
    </row>
    <row r="21636" ht="16.5" customHeight="1">
      <c r="O21636" s="5" t="s">
        <v>355</v>
      </c>
      <c r="P21636" s="5" t="s">
        <v>355</v>
      </c>
      <c r="Q21636" s="5" t="s">
        <v>355</v>
      </c>
    </row>
    <row r="21637" ht="16.5" customHeight="1">
      <c r="O21637" s="5" t="s">
        <v>355</v>
      </c>
      <c r="P21637" s="5" t="s">
        <v>355</v>
      </c>
      <c r="Q21637" s="5" t="s">
        <v>355</v>
      </c>
    </row>
    <row r="21638" ht="16.5" customHeight="1">
      <c r="O21638" s="5" t="s">
        <v>355</v>
      </c>
      <c r="P21638" s="5" t="s">
        <v>355</v>
      </c>
      <c r="Q21638" s="5" t="s">
        <v>355</v>
      </c>
    </row>
    <row r="21639" ht="16.5" customHeight="1">
      <c r="O21639" s="5" t="s">
        <v>355</v>
      </c>
      <c r="P21639" s="5" t="s">
        <v>355</v>
      </c>
      <c r="Q21639" s="5" t="s">
        <v>355</v>
      </c>
    </row>
    <row r="21640" ht="16.5" customHeight="1">
      <c r="O21640" s="5" t="s">
        <v>355</v>
      </c>
      <c r="P21640" s="5" t="s">
        <v>355</v>
      </c>
      <c r="Q21640" s="5" t="s">
        <v>355</v>
      </c>
    </row>
    <row r="21641" ht="16.5" customHeight="1">
      <c r="O21641" s="5" t="s">
        <v>355</v>
      </c>
      <c r="P21641" s="5" t="s">
        <v>355</v>
      </c>
      <c r="Q21641" s="5" t="s">
        <v>355</v>
      </c>
    </row>
    <row r="21642" ht="16.5" customHeight="1">
      <c r="O21642" s="5" t="s">
        <v>355</v>
      </c>
      <c r="P21642" s="5" t="s">
        <v>355</v>
      </c>
      <c r="Q21642" s="5" t="s">
        <v>355</v>
      </c>
    </row>
    <row r="21643" ht="16.5" customHeight="1">
      <c r="O21643" s="5" t="s">
        <v>355</v>
      </c>
      <c r="P21643" s="5" t="s">
        <v>355</v>
      </c>
      <c r="Q21643" s="5" t="s">
        <v>355</v>
      </c>
    </row>
    <row r="21644" ht="16.5" customHeight="1">
      <c r="O21644" s="5" t="s">
        <v>355</v>
      </c>
      <c r="P21644" s="5" t="s">
        <v>355</v>
      </c>
      <c r="Q21644" s="5" t="s">
        <v>355</v>
      </c>
    </row>
    <row r="21645" ht="16.5" customHeight="1">
      <c r="O21645" s="5" t="s">
        <v>355</v>
      </c>
      <c r="P21645" s="5" t="s">
        <v>355</v>
      </c>
      <c r="Q21645" s="5" t="s">
        <v>355</v>
      </c>
    </row>
    <row r="21646" ht="16.5" customHeight="1">
      <c r="O21646" s="5" t="s">
        <v>355</v>
      </c>
      <c r="P21646" s="5" t="s">
        <v>355</v>
      </c>
      <c r="Q21646" s="5" t="s">
        <v>355</v>
      </c>
    </row>
    <row r="21647" ht="16.5" customHeight="1">
      <c r="O21647" s="5" t="s">
        <v>355</v>
      </c>
      <c r="P21647" s="5" t="s">
        <v>355</v>
      </c>
      <c r="Q21647" s="5" t="s">
        <v>355</v>
      </c>
    </row>
    <row r="21648" ht="16.5" customHeight="1">
      <c r="O21648" s="5" t="s">
        <v>355</v>
      </c>
      <c r="P21648" s="5" t="s">
        <v>355</v>
      </c>
      <c r="Q21648" s="5" t="s">
        <v>355</v>
      </c>
    </row>
    <row r="21649" ht="16.5" customHeight="1">
      <c r="O21649" s="5" t="s">
        <v>355</v>
      </c>
      <c r="P21649" s="5" t="s">
        <v>355</v>
      </c>
      <c r="Q21649" s="5" t="s">
        <v>355</v>
      </c>
    </row>
    <row r="21650" ht="16.5" customHeight="1">
      <c r="O21650" s="5" t="s">
        <v>355</v>
      </c>
      <c r="P21650" s="5" t="s">
        <v>355</v>
      </c>
      <c r="Q21650" s="5" t="s">
        <v>355</v>
      </c>
    </row>
    <row r="21651" ht="16.5" customHeight="1">
      <c r="O21651" s="5" t="s">
        <v>355</v>
      </c>
      <c r="P21651" s="5" t="s">
        <v>355</v>
      </c>
      <c r="Q21651" s="5" t="s">
        <v>355</v>
      </c>
    </row>
    <row r="21652" ht="16.5" customHeight="1">
      <c r="O21652" s="5" t="s">
        <v>355</v>
      </c>
      <c r="P21652" s="5" t="s">
        <v>355</v>
      </c>
      <c r="Q21652" s="5" t="s">
        <v>355</v>
      </c>
    </row>
    <row r="21653" ht="16.5" customHeight="1">
      <c r="O21653" s="5" t="s">
        <v>355</v>
      </c>
      <c r="P21653" s="5" t="s">
        <v>355</v>
      </c>
      <c r="Q21653" s="5" t="s">
        <v>355</v>
      </c>
    </row>
    <row r="21654" ht="16.5" customHeight="1">
      <c r="O21654" s="5" t="s">
        <v>355</v>
      </c>
      <c r="P21654" s="5" t="s">
        <v>355</v>
      </c>
      <c r="Q21654" s="5" t="s">
        <v>355</v>
      </c>
    </row>
    <row r="21655" ht="16.5" customHeight="1">
      <c r="O21655" s="5" t="s">
        <v>355</v>
      </c>
      <c r="P21655" s="5" t="s">
        <v>355</v>
      </c>
      <c r="Q21655" s="5" t="s">
        <v>355</v>
      </c>
    </row>
    <row r="21656" ht="16.5" customHeight="1">
      <c r="O21656" s="5" t="s">
        <v>355</v>
      </c>
      <c r="P21656" s="5" t="s">
        <v>355</v>
      </c>
      <c r="Q21656" s="5" t="s">
        <v>355</v>
      </c>
    </row>
    <row r="21657" ht="16.5" customHeight="1">
      <c r="O21657" s="5" t="s">
        <v>355</v>
      </c>
      <c r="P21657" s="5" t="s">
        <v>355</v>
      </c>
      <c r="Q21657" s="5" t="s">
        <v>355</v>
      </c>
    </row>
    <row r="21658" ht="16.5" customHeight="1">
      <c r="O21658" s="5" t="s">
        <v>355</v>
      </c>
      <c r="P21658" s="5" t="s">
        <v>355</v>
      </c>
      <c r="Q21658" s="5" t="s">
        <v>355</v>
      </c>
    </row>
    <row r="21659" ht="16.5" customHeight="1">
      <c r="O21659" s="5" t="s">
        <v>355</v>
      </c>
      <c r="P21659" s="5" t="s">
        <v>355</v>
      </c>
      <c r="Q21659" s="5" t="s">
        <v>355</v>
      </c>
    </row>
    <row r="21660" ht="16.5" customHeight="1">
      <c r="O21660" s="5" t="s">
        <v>355</v>
      </c>
      <c r="P21660" s="5" t="s">
        <v>355</v>
      </c>
      <c r="Q21660" s="5" t="s">
        <v>355</v>
      </c>
    </row>
    <row r="21661" ht="16.5" customHeight="1">
      <c r="O21661" s="5" t="s">
        <v>355</v>
      </c>
      <c r="P21661" s="5" t="s">
        <v>355</v>
      </c>
      <c r="Q21661" s="5" t="s">
        <v>355</v>
      </c>
    </row>
    <row r="21662" ht="16.5" customHeight="1">
      <c r="O21662" s="5" t="s">
        <v>355</v>
      </c>
      <c r="P21662" s="5" t="s">
        <v>355</v>
      </c>
      <c r="Q21662" s="5" t="s">
        <v>355</v>
      </c>
    </row>
    <row r="21663" ht="16.5" customHeight="1">
      <c r="O21663" s="5" t="s">
        <v>355</v>
      </c>
      <c r="P21663" s="5" t="s">
        <v>355</v>
      </c>
      <c r="Q21663" s="5" t="s">
        <v>355</v>
      </c>
    </row>
    <row r="21664" ht="16.5" customHeight="1">
      <c r="O21664" s="5" t="s">
        <v>355</v>
      </c>
      <c r="P21664" s="5" t="s">
        <v>355</v>
      </c>
      <c r="Q21664" s="5" t="s">
        <v>355</v>
      </c>
    </row>
    <row r="21665" ht="16.5" customHeight="1">
      <c r="O21665" s="5" t="s">
        <v>355</v>
      </c>
      <c r="P21665" s="5" t="s">
        <v>355</v>
      </c>
      <c r="Q21665" s="5" t="s">
        <v>355</v>
      </c>
    </row>
    <row r="21666" ht="16.5" customHeight="1">
      <c r="O21666" s="5" t="s">
        <v>355</v>
      </c>
      <c r="P21666" s="5" t="s">
        <v>355</v>
      </c>
      <c r="Q21666" s="5" t="s">
        <v>355</v>
      </c>
    </row>
    <row r="21667" ht="16.5" customHeight="1">
      <c r="O21667" s="5" t="s">
        <v>355</v>
      </c>
      <c r="P21667" s="5" t="s">
        <v>355</v>
      </c>
      <c r="Q21667" s="5" t="s">
        <v>355</v>
      </c>
    </row>
    <row r="21668" ht="16.5" customHeight="1">
      <c r="O21668" s="5" t="s">
        <v>355</v>
      </c>
      <c r="P21668" s="5" t="s">
        <v>355</v>
      </c>
      <c r="Q21668" s="5" t="s">
        <v>355</v>
      </c>
    </row>
    <row r="21669" ht="16.5" customHeight="1">
      <c r="O21669" s="5" t="s">
        <v>355</v>
      </c>
      <c r="P21669" s="5" t="s">
        <v>355</v>
      </c>
      <c r="Q21669" s="5" t="s">
        <v>355</v>
      </c>
    </row>
    <row r="21670" ht="16.5" customHeight="1">
      <c r="O21670" s="5" t="s">
        <v>355</v>
      </c>
      <c r="P21670" s="5" t="s">
        <v>355</v>
      </c>
      <c r="Q21670" s="5" t="s">
        <v>355</v>
      </c>
    </row>
    <row r="21671" ht="16.5" customHeight="1">
      <c r="O21671" s="5" t="s">
        <v>355</v>
      </c>
      <c r="P21671" s="5" t="s">
        <v>355</v>
      </c>
      <c r="Q21671" s="5" t="s">
        <v>355</v>
      </c>
    </row>
    <row r="21672" ht="16.5" customHeight="1">
      <c r="O21672" s="5" t="s">
        <v>355</v>
      </c>
      <c r="P21672" s="5" t="s">
        <v>355</v>
      </c>
      <c r="Q21672" s="5" t="s">
        <v>355</v>
      </c>
    </row>
    <row r="21673" ht="16.5" customHeight="1">
      <c r="O21673" s="5" t="s">
        <v>355</v>
      </c>
      <c r="P21673" s="5" t="s">
        <v>355</v>
      </c>
      <c r="Q21673" s="5" t="s">
        <v>355</v>
      </c>
    </row>
    <row r="21674" ht="16.5" customHeight="1">
      <c r="O21674" s="5" t="s">
        <v>355</v>
      </c>
      <c r="P21674" s="5" t="s">
        <v>355</v>
      </c>
      <c r="Q21674" s="5" t="s">
        <v>355</v>
      </c>
    </row>
    <row r="21675" ht="16.5" customHeight="1">
      <c r="O21675" s="5" t="s">
        <v>355</v>
      </c>
      <c r="P21675" s="5" t="s">
        <v>355</v>
      </c>
      <c r="Q21675" s="5" t="s">
        <v>355</v>
      </c>
    </row>
    <row r="21676" ht="16.5" customHeight="1">
      <c r="O21676" s="5" t="s">
        <v>355</v>
      </c>
      <c r="P21676" s="5" t="s">
        <v>355</v>
      </c>
      <c r="Q21676" s="5" t="s">
        <v>355</v>
      </c>
    </row>
    <row r="21677" ht="16.5" customHeight="1">
      <c r="O21677" s="5" t="s">
        <v>355</v>
      </c>
      <c r="P21677" s="5" t="s">
        <v>355</v>
      </c>
      <c r="Q21677" s="5" t="s">
        <v>355</v>
      </c>
    </row>
    <row r="21678" ht="16.5" customHeight="1">
      <c r="O21678" s="5" t="s">
        <v>355</v>
      </c>
      <c r="P21678" s="5" t="s">
        <v>355</v>
      </c>
      <c r="Q21678" s="5" t="s">
        <v>355</v>
      </c>
    </row>
    <row r="21679" ht="16.5" customHeight="1">
      <c r="O21679" s="5" t="s">
        <v>355</v>
      </c>
      <c r="P21679" s="5" t="s">
        <v>355</v>
      </c>
      <c r="Q21679" s="5" t="s">
        <v>355</v>
      </c>
    </row>
    <row r="21680" ht="16.5" customHeight="1">
      <c r="O21680" s="5" t="s">
        <v>355</v>
      </c>
      <c r="P21680" s="5" t="s">
        <v>355</v>
      </c>
      <c r="Q21680" s="5" t="s">
        <v>355</v>
      </c>
    </row>
    <row r="21681" ht="16.5" customHeight="1">
      <c r="O21681" s="5" t="s">
        <v>355</v>
      </c>
      <c r="P21681" s="5" t="s">
        <v>355</v>
      </c>
      <c r="Q21681" s="5" t="s">
        <v>355</v>
      </c>
    </row>
    <row r="21682" ht="16.5" customHeight="1">
      <c r="O21682" s="5" t="s">
        <v>355</v>
      </c>
      <c r="P21682" s="5" t="s">
        <v>355</v>
      </c>
      <c r="Q21682" s="5" t="s">
        <v>355</v>
      </c>
    </row>
    <row r="21683" ht="16.5" customHeight="1">
      <c r="O21683" s="5" t="s">
        <v>355</v>
      </c>
      <c r="P21683" s="5" t="s">
        <v>355</v>
      </c>
      <c r="Q21683" s="5" t="s">
        <v>355</v>
      </c>
    </row>
    <row r="21684" ht="16.5" customHeight="1">
      <c r="O21684" s="5" t="s">
        <v>355</v>
      </c>
      <c r="P21684" s="5" t="s">
        <v>355</v>
      </c>
      <c r="Q21684" s="5" t="s">
        <v>355</v>
      </c>
    </row>
    <row r="21685" ht="16.5" customHeight="1">
      <c r="O21685" s="5" t="s">
        <v>355</v>
      </c>
      <c r="P21685" s="5" t="s">
        <v>355</v>
      </c>
      <c r="Q21685" s="5" t="s">
        <v>355</v>
      </c>
    </row>
    <row r="21686" ht="16.5" customHeight="1">
      <c r="O21686" s="5" t="s">
        <v>355</v>
      </c>
      <c r="P21686" s="5" t="s">
        <v>355</v>
      </c>
      <c r="Q21686" s="5" t="s">
        <v>355</v>
      </c>
    </row>
    <row r="21687" ht="16.5" customHeight="1">
      <c r="O21687" s="5" t="s">
        <v>355</v>
      </c>
      <c r="P21687" s="5" t="s">
        <v>355</v>
      </c>
      <c r="Q21687" s="5" t="s">
        <v>355</v>
      </c>
    </row>
    <row r="21688" ht="16.5" customHeight="1">
      <c r="O21688" s="5" t="s">
        <v>355</v>
      </c>
      <c r="P21688" s="5" t="s">
        <v>355</v>
      </c>
      <c r="Q21688" s="5" t="s">
        <v>355</v>
      </c>
    </row>
    <row r="21689" ht="16.5" customHeight="1">
      <c r="O21689" s="5" t="s">
        <v>355</v>
      </c>
      <c r="P21689" s="5" t="s">
        <v>355</v>
      </c>
      <c r="Q21689" s="5" t="s">
        <v>355</v>
      </c>
    </row>
    <row r="21690" ht="16.5" customHeight="1">
      <c r="O21690" s="5" t="s">
        <v>355</v>
      </c>
      <c r="P21690" s="5" t="s">
        <v>355</v>
      </c>
      <c r="Q21690" s="5" t="s">
        <v>355</v>
      </c>
    </row>
    <row r="21691" ht="16.5" customHeight="1">
      <c r="O21691" s="5" t="s">
        <v>355</v>
      </c>
      <c r="P21691" s="5" t="s">
        <v>355</v>
      </c>
      <c r="Q21691" s="5" t="s">
        <v>355</v>
      </c>
    </row>
    <row r="21692" ht="16.5" customHeight="1">
      <c r="O21692" s="5" t="s">
        <v>355</v>
      </c>
      <c r="P21692" s="5" t="s">
        <v>355</v>
      </c>
      <c r="Q21692" s="5" t="s">
        <v>355</v>
      </c>
    </row>
    <row r="21693" ht="16.5" customHeight="1">
      <c r="O21693" s="5" t="s">
        <v>355</v>
      </c>
      <c r="P21693" s="5" t="s">
        <v>355</v>
      </c>
      <c r="Q21693" s="5" t="s">
        <v>355</v>
      </c>
    </row>
    <row r="21694" ht="16.5" customHeight="1">
      <c r="O21694" s="5" t="s">
        <v>355</v>
      </c>
      <c r="P21694" s="5" t="s">
        <v>355</v>
      </c>
      <c r="Q21694" s="5" t="s">
        <v>355</v>
      </c>
    </row>
    <row r="21695" ht="16.5" customHeight="1">
      <c r="O21695" s="5" t="s">
        <v>355</v>
      </c>
      <c r="P21695" s="5" t="s">
        <v>355</v>
      </c>
      <c r="Q21695" s="5" t="s">
        <v>355</v>
      </c>
    </row>
    <row r="21696" ht="16.5" customHeight="1">
      <c r="O21696" s="5" t="s">
        <v>355</v>
      </c>
      <c r="P21696" s="5" t="s">
        <v>355</v>
      </c>
      <c r="Q21696" s="5" t="s">
        <v>355</v>
      </c>
    </row>
    <row r="21697" ht="16.5" customHeight="1">
      <c r="O21697" s="5" t="s">
        <v>355</v>
      </c>
      <c r="P21697" s="5" t="s">
        <v>355</v>
      </c>
      <c r="Q21697" s="5" t="s">
        <v>355</v>
      </c>
    </row>
    <row r="21698" ht="16.5" customHeight="1">
      <c r="O21698" s="5" t="s">
        <v>355</v>
      </c>
      <c r="P21698" s="5" t="s">
        <v>355</v>
      </c>
      <c r="Q21698" s="5" t="s">
        <v>355</v>
      </c>
    </row>
    <row r="21699" ht="16.5" customHeight="1">
      <c r="O21699" s="5" t="s">
        <v>355</v>
      </c>
      <c r="P21699" s="5" t="s">
        <v>355</v>
      </c>
      <c r="Q21699" s="5" t="s">
        <v>355</v>
      </c>
    </row>
    <row r="21700" ht="16.5" customHeight="1">
      <c r="O21700" s="5" t="s">
        <v>355</v>
      </c>
      <c r="P21700" s="5" t="s">
        <v>355</v>
      </c>
      <c r="Q21700" s="5" t="s">
        <v>355</v>
      </c>
    </row>
    <row r="21701" ht="16.5" customHeight="1">
      <c r="O21701" s="5" t="s">
        <v>355</v>
      </c>
      <c r="P21701" s="5" t="s">
        <v>355</v>
      </c>
      <c r="Q21701" s="5" t="s">
        <v>355</v>
      </c>
    </row>
    <row r="21702" ht="16.5" customHeight="1">
      <c r="O21702" s="5" t="s">
        <v>355</v>
      </c>
      <c r="P21702" s="5" t="s">
        <v>355</v>
      </c>
      <c r="Q21702" s="5" t="s">
        <v>355</v>
      </c>
    </row>
    <row r="21703" ht="16.5" customHeight="1">
      <c r="O21703" s="5" t="s">
        <v>355</v>
      </c>
      <c r="P21703" s="5" t="s">
        <v>355</v>
      </c>
      <c r="Q21703" s="5" t="s">
        <v>355</v>
      </c>
    </row>
    <row r="21704" ht="16.5" customHeight="1">
      <c r="O21704" s="5" t="s">
        <v>355</v>
      </c>
      <c r="P21704" s="5" t="s">
        <v>355</v>
      </c>
      <c r="Q21704" s="5" t="s">
        <v>355</v>
      </c>
    </row>
    <row r="21705" ht="16.5" customHeight="1">
      <c r="O21705" s="5" t="s">
        <v>355</v>
      </c>
      <c r="P21705" s="5" t="s">
        <v>355</v>
      </c>
      <c r="Q21705" s="5" t="s">
        <v>355</v>
      </c>
    </row>
    <row r="21706" ht="16.5" customHeight="1">
      <c r="O21706" s="5" t="s">
        <v>355</v>
      </c>
      <c r="P21706" s="5" t="s">
        <v>355</v>
      </c>
      <c r="Q21706" s="5" t="s">
        <v>355</v>
      </c>
    </row>
    <row r="21707" ht="16.5" customHeight="1">
      <c r="O21707" s="5" t="s">
        <v>355</v>
      </c>
      <c r="P21707" s="5" t="s">
        <v>355</v>
      </c>
      <c r="Q21707" s="5" t="s">
        <v>355</v>
      </c>
    </row>
    <row r="21708" ht="16.5" customHeight="1">
      <c r="O21708" s="5" t="s">
        <v>355</v>
      </c>
      <c r="P21708" s="5" t="s">
        <v>355</v>
      </c>
      <c r="Q21708" s="5" t="s">
        <v>355</v>
      </c>
    </row>
    <row r="21709" ht="16.5" customHeight="1">
      <c r="O21709" s="5" t="s">
        <v>355</v>
      </c>
      <c r="P21709" s="5" t="s">
        <v>355</v>
      </c>
      <c r="Q21709" s="5" t="s">
        <v>355</v>
      </c>
    </row>
    <row r="21710" ht="16.5" customHeight="1">
      <c r="O21710" s="5" t="s">
        <v>355</v>
      </c>
      <c r="P21710" s="5" t="s">
        <v>355</v>
      </c>
      <c r="Q21710" s="5" t="s">
        <v>355</v>
      </c>
    </row>
    <row r="21711" ht="16.5" customHeight="1">
      <c r="O21711" s="5" t="s">
        <v>355</v>
      </c>
      <c r="P21711" s="5" t="s">
        <v>355</v>
      </c>
      <c r="Q21711" s="5" t="s">
        <v>355</v>
      </c>
    </row>
    <row r="21712" ht="16.5" customHeight="1">
      <c r="O21712" s="5" t="s">
        <v>355</v>
      </c>
      <c r="P21712" s="5" t="s">
        <v>355</v>
      </c>
      <c r="Q21712" s="5" t="s">
        <v>355</v>
      </c>
    </row>
    <row r="21713" ht="16.5" customHeight="1">
      <c r="O21713" s="5" t="s">
        <v>355</v>
      </c>
      <c r="P21713" s="5" t="s">
        <v>355</v>
      </c>
      <c r="Q21713" s="5" t="s">
        <v>355</v>
      </c>
    </row>
    <row r="21714" ht="16.5" customHeight="1">
      <c r="O21714" s="5" t="s">
        <v>355</v>
      </c>
      <c r="P21714" s="5" t="s">
        <v>355</v>
      </c>
      <c r="Q21714" s="5" t="s">
        <v>355</v>
      </c>
    </row>
    <row r="21715" ht="16.5" customHeight="1">
      <c r="O21715" s="5" t="s">
        <v>355</v>
      </c>
      <c r="P21715" s="5" t="s">
        <v>355</v>
      </c>
      <c r="Q21715" s="5" t="s">
        <v>355</v>
      </c>
    </row>
    <row r="21716" ht="16.5" customHeight="1">
      <c r="O21716" s="5" t="s">
        <v>355</v>
      </c>
      <c r="P21716" s="5" t="s">
        <v>355</v>
      </c>
      <c r="Q21716" s="5" t="s">
        <v>355</v>
      </c>
    </row>
    <row r="21717" ht="16.5" customHeight="1">
      <c r="O21717" s="5" t="s">
        <v>355</v>
      </c>
      <c r="P21717" s="5" t="s">
        <v>355</v>
      </c>
      <c r="Q21717" s="5" t="s">
        <v>355</v>
      </c>
    </row>
    <row r="21718" ht="16.5" customHeight="1">
      <c r="O21718" s="5" t="s">
        <v>355</v>
      </c>
      <c r="P21718" s="5" t="s">
        <v>355</v>
      </c>
      <c r="Q21718" s="5" t="s">
        <v>355</v>
      </c>
    </row>
    <row r="21719" ht="16.5" customHeight="1">
      <c r="O21719" s="5" t="s">
        <v>355</v>
      </c>
      <c r="P21719" s="5" t="s">
        <v>355</v>
      </c>
      <c r="Q21719" s="5" t="s">
        <v>355</v>
      </c>
    </row>
    <row r="21720" ht="16.5" customHeight="1">
      <c r="O21720" s="5" t="s">
        <v>355</v>
      </c>
      <c r="P21720" s="5" t="s">
        <v>355</v>
      </c>
      <c r="Q21720" s="5" t="s">
        <v>355</v>
      </c>
    </row>
    <row r="21721" ht="16.5" customHeight="1">
      <c r="O21721" s="5" t="s">
        <v>355</v>
      </c>
      <c r="P21721" s="5" t="s">
        <v>355</v>
      </c>
      <c r="Q21721" s="5" t="s">
        <v>355</v>
      </c>
    </row>
    <row r="21722" ht="16.5" customHeight="1">
      <c r="O21722" s="5" t="s">
        <v>355</v>
      </c>
      <c r="P21722" s="5" t="s">
        <v>355</v>
      </c>
      <c r="Q21722" s="5" t="s">
        <v>355</v>
      </c>
    </row>
    <row r="21723" ht="16.5" customHeight="1">
      <c r="O21723" s="5" t="s">
        <v>355</v>
      </c>
      <c r="P21723" s="5" t="s">
        <v>355</v>
      </c>
      <c r="Q21723" s="5" t="s">
        <v>355</v>
      </c>
    </row>
    <row r="21724" ht="16.5" customHeight="1">
      <c r="O21724" s="5" t="s">
        <v>355</v>
      </c>
      <c r="P21724" s="5" t="s">
        <v>355</v>
      </c>
      <c r="Q21724" s="5" t="s">
        <v>355</v>
      </c>
    </row>
    <row r="21725" ht="16.5" customHeight="1">
      <c r="O21725" s="5" t="s">
        <v>355</v>
      </c>
      <c r="P21725" s="5" t="s">
        <v>355</v>
      </c>
      <c r="Q21725" s="5" t="s">
        <v>355</v>
      </c>
    </row>
    <row r="21726" ht="16.5" customHeight="1">
      <c r="O21726" s="5" t="s">
        <v>355</v>
      </c>
      <c r="P21726" s="5" t="s">
        <v>355</v>
      </c>
      <c r="Q21726" s="5" t="s">
        <v>355</v>
      </c>
    </row>
    <row r="21727" ht="16.5" customHeight="1">
      <c r="O21727" s="5" t="s">
        <v>355</v>
      </c>
      <c r="P21727" s="5" t="s">
        <v>355</v>
      </c>
      <c r="Q21727" s="5" t="s">
        <v>355</v>
      </c>
    </row>
    <row r="21728" ht="16.5" customHeight="1">
      <c r="O21728" s="5" t="s">
        <v>355</v>
      </c>
      <c r="P21728" s="5" t="s">
        <v>355</v>
      </c>
      <c r="Q21728" s="5" t="s">
        <v>355</v>
      </c>
    </row>
    <row r="21729" ht="16.5" customHeight="1">
      <c r="O21729" s="5" t="s">
        <v>355</v>
      </c>
      <c r="P21729" s="5" t="s">
        <v>355</v>
      </c>
      <c r="Q21729" s="5" t="s">
        <v>355</v>
      </c>
    </row>
    <row r="21730" ht="16.5" customHeight="1">
      <c r="O21730" s="5" t="s">
        <v>355</v>
      </c>
      <c r="P21730" s="5" t="s">
        <v>355</v>
      </c>
      <c r="Q21730" s="5" t="s">
        <v>355</v>
      </c>
    </row>
    <row r="21731" ht="16.5" customHeight="1">
      <c r="O21731" s="5" t="s">
        <v>355</v>
      </c>
      <c r="P21731" s="5" t="s">
        <v>355</v>
      </c>
      <c r="Q21731" s="5" t="s">
        <v>355</v>
      </c>
    </row>
    <row r="21732" ht="16.5" customHeight="1">
      <c r="O21732" s="5" t="s">
        <v>355</v>
      </c>
      <c r="P21732" s="5" t="s">
        <v>355</v>
      </c>
      <c r="Q21732" s="5" t="s">
        <v>355</v>
      </c>
    </row>
    <row r="21733" ht="16.5" customHeight="1">
      <c r="O21733" s="5" t="s">
        <v>355</v>
      </c>
      <c r="P21733" s="5" t="s">
        <v>355</v>
      </c>
      <c r="Q21733" s="5" t="s">
        <v>355</v>
      </c>
    </row>
    <row r="21734" ht="16.5" customHeight="1">
      <c r="O21734" s="5" t="s">
        <v>355</v>
      </c>
      <c r="P21734" s="5" t="s">
        <v>355</v>
      </c>
      <c r="Q21734" s="5" t="s">
        <v>355</v>
      </c>
    </row>
    <row r="21735" ht="16.5" customHeight="1">
      <c r="O21735" s="5" t="s">
        <v>355</v>
      </c>
      <c r="P21735" s="5" t="s">
        <v>355</v>
      </c>
      <c r="Q21735" s="5" t="s">
        <v>355</v>
      </c>
    </row>
    <row r="21736" ht="16.5" customHeight="1">
      <c r="O21736" s="5" t="s">
        <v>355</v>
      </c>
      <c r="P21736" s="5" t="s">
        <v>355</v>
      </c>
      <c r="Q21736" s="5" t="s">
        <v>355</v>
      </c>
    </row>
    <row r="21737" ht="16.5" customHeight="1">
      <c r="O21737" s="5" t="s">
        <v>355</v>
      </c>
      <c r="P21737" s="5" t="s">
        <v>355</v>
      </c>
      <c r="Q21737" s="5" t="s">
        <v>355</v>
      </c>
    </row>
    <row r="21738" ht="16.5" customHeight="1">
      <c r="O21738" s="5" t="s">
        <v>355</v>
      </c>
      <c r="P21738" s="5" t="s">
        <v>355</v>
      </c>
      <c r="Q21738" s="5" t="s">
        <v>355</v>
      </c>
    </row>
    <row r="21739" ht="16.5" customHeight="1">
      <c r="O21739" s="5" t="s">
        <v>355</v>
      </c>
      <c r="P21739" s="5" t="s">
        <v>355</v>
      </c>
      <c r="Q21739" s="5" t="s">
        <v>355</v>
      </c>
    </row>
    <row r="21740" ht="16.5" customHeight="1">
      <c r="O21740" s="5" t="s">
        <v>355</v>
      </c>
      <c r="P21740" s="5" t="s">
        <v>355</v>
      </c>
      <c r="Q21740" s="5" t="s">
        <v>355</v>
      </c>
    </row>
    <row r="21741" ht="16.5" customHeight="1">
      <c r="O21741" s="5" t="s">
        <v>355</v>
      </c>
      <c r="P21741" s="5" t="s">
        <v>355</v>
      </c>
      <c r="Q21741" s="5" t="s">
        <v>355</v>
      </c>
    </row>
    <row r="21742" ht="16.5" customHeight="1">
      <c r="O21742" s="5" t="s">
        <v>355</v>
      </c>
      <c r="P21742" s="5" t="s">
        <v>355</v>
      </c>
      <c r="Q21742" s="5" t="s">
        <v>355</v>
      </c>
    </row>
    <row r="21743" ht="16.5" customHeight="1">
      <c r="O21743" s="5" t="s">
        <v>355</v>
      </c>
      <c r="P21743" s="5" t="s">
        <v>355</v>
      </c>
      <c r="Q21743" s="5" t="s">
        <v>355</v>
      </c>
    </row>
    <row r="21744" ht="16.5" customHeight="1">
      <c r="O21744" s="5" t="s">
        <v>355</v>
      </c>
      <c r="P21744" s="5" t="s">
        <v>355</v>
      </c>
      <c r="Q21744" s="5" t="s">
        <v>355</v>
      </c>
    </row>
    <row r="21745" ht="16.5" customHeight="1">
      <c r="O21745" s="5" t="s">
        <v>355</v>
      </c>
      <c r="P21745" s="5" t="s">
        <v>355</v>
      </c>
      <c r="Q21745" s="5" t="s">
        <v>355</v>
      </c>
    </row>
    <row r="21746" ht="16.5" customHeight="1">
      <c r="O21746" s="5" t="s">
        <v>355</v>
      </c>
      <c r="P21746" s="5" t="s">
        <v>355</v>
      </c>
      <c r="Q21746" s="5" t="s">
        <v>355</v>
      </c>
    </row>
    <row r="21747" ht="16.5" customHeight="1">
      <c r="O21747" s="5" t="s">
        <v>355</v>
      </c>
      <c r="P21747" s="5" t="s">
        <v>355</v>
      </c>
      <c r="Q21747" s="5" t="s">
        <v>355</v>
      </c>
    </row>
    <row r="21748" ht="16.5" customHeight="1">
      <c r="O21748" s="5" t="s">
        <v>355</v>
      </c>
      <c r="P21748" s="5" t="s">
        <v>355</v>
      </c>
      <c r="Q21748" s="5" t="s">
        <v>355</v>
      </c>
    </row>
    <row r="21749" ht="16.5" customHeight="1">
      <c r="O21749" s="5" t="s">
        <v>355</v>
      </c>
      <c r="P21749" s="5" t="s">
        <v>355</v>
      </c>
      <c r="Q21749" s="5" t="s">
        <v>355</v>
      </c>
    </row>
    <row r="21750" ht="16.5" customHeight="1">
      <c r="O21750" s="5" t="s">
        <v>355</v>
      </c>
      <c r="P21750" s="5" t="s">
        <v>355</v>
      </c>
      <c r="Q21750" s="5" t="s">
        <v>355</v>
      </c>
    </row>
    <row r="21751" ht="16.5" customHeight="1">
      <c r="O21751" s="5" t="s">
        <v>355</v>
      </c>
      <c r="P21751" s="5" t="s">
        <v>355</v>
      </c>
      <c r="Q21751" s="5" t="s">
        <v>355</v>
      </c>
    </row>
    <row r="21752" ht="16.5" customHeight="1">
      <c r="O21752" s="5" t="s">
        <v>355</v>
      </c>
      <c r="P21752" s="5" t="s">
        <v>355</v>
      </c>
      <c r="Q21752" s="5" t="s">
        <v>355</v>
      </c>
    </row>
    <row r="21753" ht="16.5" customHeight="1">
      <c r="O21753" s="5" t="s">
        <v>355</v>
      </c>
      <c r="P21753" s="5" t="s">
        <v>355</v>
      </c>
      <c r="Q21753" s="5" t="s">
        <v>355</v>
      </c>
    </row>
    <row r="21754" ht="16.5" customHeight="1">
      <c r="O21754" s="5" t="s">
        <v>355</v>
      </c>
      <c r="P21754" s="5" t="s">
        <v>355</v>
      </c>
      <c r="Q21754" s="5" t="s">
        <v>355</v>
      </c>
    </row>
    <row r="21755" ht="16.5" customHeight="1">
      <c r="O21755" s="5" t="s">
        <v>355</v>
      </c>
      <c r="P21755" s="5" t="s">
        <v>355</v>
      </c>
      <c r="Q21755" s="5" t="s">
        <v>355</v>
      </c>
    </row>
    <row r="21756" ht="16.5" customHeight="1">
      <c r="O21756" s="5" t="s">
        <v>355</v>
      </c>
      <c r="P21756" s="5" t="s">
        <v>355</v>
      </c>
      <c r="Q21756" s="5" t="s">
        <v>355</v>
      </c>
    </row>
    <row r="21757" ht="16.5" customHeight="1">
      <c r="O21757" s="5" t="s">
        <v>355</v>
      </c>
      <c r="P21757" s="5" t="s">
        <v>355</v>
      </c>
      <c r="Q21757" s="5" t="s">
        <v>355</v>
      </c>
    </row>
    <row r="21758" ht="16.5" customHeight="1">
      <c r="O21758" s="5" t="s">
        <v>355</v>
      </c>
      <c r="P21758" s="5" t="s">
        <v>355</v>
      </c>
      <c r="Q21758" s="5" t="s">
        <v>355</v>
      </c>
    </row>
    <row r="21759" ht="16.5" customHeight="1">
      <c r="O21759" s="5" t="s">
        <v>355</v>
      </c>
      <c r="P21759" s="5" t="s">
        <v>355</v>
      </c>
      <c r="Q21759" s="5" t="s">
        <v>355</v>
      </c>
    </row>
    <row r="21760" ht="16.5" customHeight="1">
      <c r="O21760" s="5" t="s">
        <v>355</v>
      </c>
      <c r="P21760" s="5" t="s">
        <v>355</v>
      </c>
      <c r="Q21760" s="5" t="s">
        <v>355</v>
      </c>
    </row>
    <row r="21761" ht="16.5" customHeight="1">
      <c r="O21761" s="5" t="s">
        <v>355</v>
      </c>
      <c r="P21761" s="5" t="s">
        <v>355</v>
      </c>
      <c r="Q21761" s="5" t="s">
        <v>355</v>
      </c>
    </row>
    <row r="21762" ht="16.5" customHeight="1">
      <c r="O21762" s="5" t="s">
        <v>355</v>
      </c>
      <c r="P21762" s="5" t="s">
        <v>355</v>
      </c>
      <c r="Q21762" s="5" t="s">
        <v>355</v>
      </c>
    </row>
    <row r="21763" ht="16.5" customHeight="1">
      <c r="O21763" s="5" t="s">
        <v>355</v>
      </c>
      <c r="P21763" s="5" t="s">
        <v>355</v>
      </c>
      <c r="Q21763" s="5" t="s">
        <v>355</v>
      </c>
    </row>
    <row r="21764" ht="16.5" customHeight="1">
      <c r="O21764" s="5" t="s">
        <v>355</v>
      </c>
      <c r="P21764" s="5" t="s">
        <v>355</v>
      </c>
      <c r="Q21764" s="5" t="s">
        <v>355</v>
      </c>
    </row>
    <row r="21765" ht="16.5" customHeight="1">
      <c r="O21765" s="5" t="s">
        <v>355</v>
      </c>
      <c r="P21765" s="5" t="s">
        <v>355</v>
      </c>
      <c r="Q21765" s="5" t="s">
        <v>355</v>
      </c>
    </row>
    <row r="21766" ht="16.5" customHeight="1">
      <c r="O21766" s="5" t="s">
        <v>355</v>
      </c>
      <c r="P21766" s="5" t="s">
        <v>355</v>
      </c>
      <c r="Q21766" s="5" t="s">
        <v>355</v>
      </c>
    </row>
    <row r="21767" ht="16.5" customHeight="1">
      <c r="O21767" s="5" t="s">
        <v>355</v>
      </c>
      <c r="P21767" s="5" t="s">
        <v>355</v>
      </c>
      <c r="Q21767" s="5" t="s">
        <v>355</v>
      </c>
    </row>
    <row r="21768" ht="16.5" customHeight="1">
      <c r="O21768" s="5" t="s">
        <v>355</v>
      </c>
      <c r="P21768" s="5" t="s">
        <v>355</v>
      </c>
      <c r="Q21768" s="5" t="s">
        <v>355</v>
      </c>
    </row>
    <row r="21769" ht="16.5" customHeight="1">
      <c r="O21769" s="5" t="s">
        <v>355</v>
      </c>
      <c r="P21769" s="5" t="s">
        <v>355</v>
      </c>
      <c r="Q21769" s="5" t="s">
        <v>355</v>
      </c>
    </row>
    <row r="21770" ht="16.5" customHeight="1">
      <c r="O21770" s="5" t="s">
        <v>355</v>
      </c>
      <c r="P21770" s="5" t="s">
        <v>355</v>
      </c>
      <c r="Q21770" s="5" t="s">
        <v>355</v>
      </c>
    </row>
    <row r="21771" ht="16.5" customHeight="1">
      <c r="O21771" s="5" t="s">
        <v>355</v>
      </c>
      <c r="P21771" s="5" t="s">
        <v>355</v>
      </c>
      <c r="Q21771" s="5" t="s">
        <v>355</v>
      </c>
    </row>
    <row r="21772" ht="16.5" customHeight="1">
      <c r="O21772" s="5" t="s">
        <v>355</v>
      </c>
      <c r="P21772" s="5" t="s">
        <v>355</v>
      </c>
      <c r="Q21772" s="5" t="s">
        <v>355</v>
      </c>
    </row>
    <row r="21773" ht="16.5" customHeight="1">
      <c r="O21773" s="5" t="s">
        <v>355</v>
      </c>
      <c r="P21773" s="5" t="s">
        <v>355</v>
      </c>
      <c r="Q21773" s="5" t="s">
        <v>355</v>
      </c>
    </row>
    <row r="21774" ht="16.5" customHeight="1">
      <c r="O21774" s="5" t="s">
        <v>355</v>
      </c>
      <c r="P21774" s="5" t="s">
        <v>355</v>
      </c>
      <c r="Q21774" s="5" t="s">
        <v>355</v>
      </c>
    </row>
    <row r="21775" ht="16.5" customHeight="1">
      <c r="O21775" s="5" t="s">
        <v>355</v>
      </c>
      <c r="P21775" s="5" t="s">
        <v>355</v>
      </c>
      <c r="Q21775" s="5" t="s">
        <v>355</v>
      </c>
    </row>
    <row r="21776" ht="16.5" customHeight="1">
      <c r="O21776" s="5" t="s">
        <v>355</v>
      </c>
      <c r="P21776" s="5" t="s">
        <v>355</v>
      </c>
      <c r="Q21776" s="5" t="s">
        <v>355</v>
      </c>
    </row>
    <row r="21777" ht="16.5" customHeight="1">
      <c r="O21777" s="5" t="s">
        <v>355</v>
      </c>
      <c r="P21777" s="5" t="s">
        <v>355</v>
      </c>
      <c r="Q21777" s="5" t="s">
        <v>355</v>
      </c>
    </row>
    <row r="21778" ht="16.5" customHeight="1">
      <c r="O21778" s="5" t="s">
        <v>355</v>
      </c>
      <c r="P21778" s="5" t="s">
        <v>355</v>
      </c>
      <c r="Q21778" s="5" t="s">
        <v>355</v>
      </c>
    </row>
    <row r="21779" ht="16.5" customHeight="1">
      <c r="O21779" s="5" t="s">
        <v>355</v>
      </c>
      <c r="P21779" s="5" t="s">
        <v>355</v>
      </c>
      <c r="Q21779" s="5" t="s">
        <v>355</v>
      </c>
    </row>
    <row r="21780" ht="16.5" customHeight="1">
      <c r="O21780" s="5" t="s">
        <v>355</v>
      </c>
      <c r="P21780" s="5" t="s">
        <v>355</v>
      </c>
      <c r="Q21780" s="5" t="s">
        <v>355</v>
      </c>
    </row>
    <row r="21781" ht="16.5" customHeight="1">
      <c r="O21781" s="5" t="s">
        <v>355</v>
      </c>
      <c r="P21781" s="5" t="s">
        <v>355</v>
      </c>
      <c r="Q21781" s="5" t="s">
        <v>355</v>
      </c>
    </row>
    <row r="21782" ht="16.5" customHeight="1">
      <c r="O21782" s="5" t="s">
        <v>355</v>
      </c>
      <c r="P21782" s="5" t="s">
        <v>355</v>
      </c>
      <c r="Q21782" s="5" t="s">
        <v>355</v>
      </c>
    </row>
    <row r="21783" ht="16.5" customHeight="1">
      <c r="O21783" s="5" t="s">
        <v>355</v>
      </c>
      <c r="P21783" s="5" t="s">
        <v>355</v>
      </c>
      <c r="Q21783" s="5" t="s">
        <v>355</v>
      </c>
    </row>
    <row r="21784" ht="16.5" customHeight="1">
      <c r="O21784" s="5" t="s">
        <v>355</v>
      </c>
      <c r="P21784" s="5" t="s">
        <v>355</v>
      </c>
      <c r="Q21784" s="5" t="s">
        <v>355</v>
      </c>
    </row>
    <row r="21785" ht="16.5" customHeight="1">
      <c r="O21785" s="5" t="s">
        <v>355</v>
      </c>
      <c r="P21785" s="5" t="s">
        <v>355</v>
      </c>
      <c r="Q21785" s="5" t="s">
        <v>355</v>
      </c>
    </row>
    <row r="21786" ht="16.5" customHeight="1">
      <c r="O21786" s="5" t="s">
        <v>355</v>
      </c>
      <c r="P21786" s="5" t="s">
        <v>355</v>
      </c>
      <c r="Q21786" s="5" t="s">
        <v>355</v>
      </c>
    </row>
    <row r="21787" ht="16.5" customHeight="1">
      <c r="O21787" s="5" t="s">
        <v>355</v>
      </c>
      <c r="P21787" s="5" t="s">
        <v>355</v>
      </c>
      <c r="Q21787" s="5" t="s">
        <v>355</v>
      </c>
    </row>
    <row r="21788" ht="16.5" customHeight="1">
      <c r="O21788" s="5" t="s">
        <v>355</v>
      </c>
      <c r="P21788" s="5" t="s">
        <v>355</v>
      </c>
      <c r="Q21788" s="5" t="s">
        <v>355</v>
      </c>
    </row>
    <row r="21789" ht="16.5" customHeight="1">
      <c r="O21789" s="5" t="s">
        <v>355</v>
      </c>
      <c r="P21789" s="5" t="s">
        <v>355</v>
      </c>
      <c r="Q21789" s="5" t="s">
        <v>355</v>
      </c>
    </row>
    <row r="21790" ht="16.5" customHeight="1">
      <c r="O21790" s="5" t="s">
        <v>355</v>
      </c>
      <c r="P21790" s="5" t="s">
        <v>355</v>
      </c>
      <c r="Q21790" s="5" t="s">
        <v>355</v>
      </c>
    </row>
    <row r="21791" ht="16.5" customHeight="1">
      <c r="O21791" s="5" t="s">
        <v>355</v>
      </c>
      <c r="P21791" s="5" t="s">
        <v>355</v>
      </c>
      <c r="Q21791" s="5" t="s">
        <v>355</v>
      </c>
    </row>
    <row r="21792" ht="16.5" customHeight="1">
      <c r="O21792" s="5" t="s">
        <v>355</v>
      </c>
      <c r="P21792" s="5" t="s">
        <v>355</v>
      </c>
      <c r="Q21792" s="5" t="s">
        <v>355</v>
      </c>
    </row>
    <row r="21793" ht="16.5" customHeight="1">
      <c r="O21793" s="5" t="s">
        <v>355</v>
      </c>
      <c r="P21793" s="5" t="s">
        <v>355</v>
      </c>
      <c r="Q21793" s="5" t="s">
        <v>355</v>
      </c>
    </row>
    <row r="21794" ht="16.5" customHeight="1">
      <c r="O21794" s="5" t="s">
        <v>355</v>
      </c>
      <c r="P21794" s="5" t="s">
        <v>355</v>
      </c>
      <c r="Q21794" s="5" t="s">
        <v>355</v>
      </c>
    </row>
    <row r="21795" ht="16.5" customHeight="1">
      <c r="O21795" s="5" t="s">
        <v>355</v>
      </c>
      <c r="P21795" s="5" t="s">
        <v>355</v>
      </c>
      <c r="Q21795" s="5" t="s">
        <v>355</v>
      </c>
    </row>
    <row r="21796" ht="16.5" customHeight="1">
      <c r="O21796" s="5" t="s">
        <v>355</v>
      </c>
      <c r="P21796" s="5" t="s">
        <v>355</v>
      </c>
      <c r="Q21796" s="5" t="s">
        <v>355</v>
      </c>
    </row>
    <row r="21797" ht="16.5" customHeight="1">
      <c r="O21797" s="5" t="s">
        <v>355</v>
      </c>
      <c r="P21797" s="5" t="s">
        <v>355</v>
      </c>
      <c r="Q21797" s="5" t="s">
        <v>355</v>
      </c>
    </row>
    <row r="21798" ht="16.5" customHeight="1">
      <c r="O21798" s="5" t="s">
        <v>355</v>
      </c>
      <c r="P21798" s="5" t="s">
        <v>355</v>
      </c>
      <c r="Q21798" s="5" t="s">
        <v>355</v>
      </c>
    </row>
    <row r="21799" ht="16.5" customHeight="1">
      <c r="O21799" s="5" t="s">
        <v>355</v>
      </c>
      <c r="P21799" s="5" t="s">
        <v>355</v>
      </c>
      <c r="Q21799" s="5" t="s">
        <v>355</v>
      </c>
    </row>
    <row r="21800" ht="16.5" customHeight="1">
      <c r="O21800" s="5" t="s">
        <v>355</v>
      </c>
      <c r="P21800" s="5" t="s">
        <v>355</v>
      </c>
      <c r="Q21800" s="5" t="s">
        <v>355</v>
      </c>
    </row>
    <row r="21801" ht="16.5" customHeight="1">
      <c r="O21801" s="5" t="s">
        <v>355</v>
      </c>
      <c r="P21801" s="5" t="s">
        <v>355</v>
      </c>
      <c r="Q21801" s="5" t="s">
        <v>355</v>
      </c>
    </row>
    <row r="21802" ht="16.5" customHeight="1">
      <c r="O21802" s="5" t="s">
        <v>355</v>
      </c>
      <c r="P21802" s="5" t="s">
        <v>355</v>
      </c>
      <c r="Q21802" s="5" t="s">
        <v>355</v>
      </c>
    </row>
    <row r="21803" ht="16.5" customHeight="1">
      <c r="O21803" s="5" t="s">
        <v>355</v>
      </c>
      <c r="P21803" s="5" t="s">
        <v>355</v>
      </c>
      <c r="Q21803" s="5" t="s">
        <v>355</v>
      </c>
    </row>
    <row r="21804" ht="16.5" customHeight="1">
      <c r="O21804" s="5" t="s">
        <v>355</v>
      </c>
      <c r="P21804" s="5" t="s">
        <v>355</v>
      </c>
      <c r="Q21804" s="5" t="s">
        <v>355</v>
      </c>
    </row>
    <row r="21805" ht="16.5" customHeight="1">
      <c r="O21805" s="5" t="s">
        <v>355</v>
      </c>
      <c r="P21805" s="5" t="s">
        <v>355</v>
      </c>
      <c r="Q21805" s="5" t="s">
        <v>355</v>
      </c>
    </row>
    <row r="21806" ht="16.5" customHeight="1">
      <c r="O21806" s="5" t="s">
        <v>355</v>
      </c>
      <c r="P21806" s="5" t="s">
        <v>355</v>
      </c>
      <c r="Q21806" s="5" t="s">
        <v>355</v>
      </c>
    </row>
    <row r="21807" ht="16.5" customHeight="1">
      <c r="O21807" s="5" t="s">
        <v>355</v>
      </c>
      <c r="P21807" s="5" t="s">
        <v>355</v>
      </c>
      <c r="Q21807" s="5" t="s">
        <v>355</v>
      </c>
    </row>
    <row r="21808" ht="16.5" customHeight="1">
      <c r="O21808" s="5" t="s">
        <v>355</v>
      </c>
      <c r="P21808" s="5" t="s">
        <v>355</v>
      </c>
      <c r="Q21808" s="5" t="s">
        <v>355</v>
      </c>
    </row>
    <row r="21809" ht="16.5" customHeight="1">
      <c r="O21809" s="5" t="s">
        <v>355</v>
      </c>
      <c r="P21809" s="5" t="s">
        <v>355</v>
      </c>
      <c r="Q21809" s="5" t="s">
        <v>355</v>
      </c>
    </row>
    <row r="21810" ht="16.5" customHeight="1">
      <c r="O21810" s="5" t="s">
        <v>355</v>
      </c>
      <c r="P21810" s="5" t="s">
        <v>355</v>
      </c>
      <c r="Q21810" s="5" t="s">
        <v>355</v>
      </c>
    </row>
    <row r="21811" ht="16.5" customHeight="1">
      <c r="O21811" s="5" t="s">
        <v>355</v>
      </c>
      <c r="P21811" s="5" t="s">
        <v>355</v>
      </c>
      <c r="Q21811" s="5" t="s">
        <v>355</v>
      </c>
    </row>
    <row r="21812" ht="16.5" customHeight="1">
      <c r="O21812" s="5" t="s">
        <v>355</v>
      </c>
      <c r="P21812" s="5" t="s">
        <v>355</v>
      </c>
      <c r="Q21812" s="5" t="s">
        <v>355</v>
      </c>
    </row>
    <row r="21813" ht="16.5" customHeight="1">
      <c r="O21813" s="5" t="s">
        <v>355</v>
      </c>
      <c r="P21813" s="5" t="s">
        <v>355</v>
      </c>
      <c r="Q21813" s="5" t="s">
        <v>355</v>
      </c>
    </row>
    <row r="21814" ht="16.5" customHeight="1">
      <c r="O21814" s="5" t="s">
        <v>355</v>
      </c>
      <c r="P21814" s="5" t="s">
        <v>355</v>
      </c>
      <c r="Q21814" s="5" t="s">
        <v>355</v>
      </c>
    </row>
    <row r="21815" ht="16.5" customHeight="1">
      <c r="O21815" s="5" t="s">
        <v>355</v>
      </c>
      <c r="P21815" s="5" t="s">
        <v>355</v>
      </c>
      <c r="Q21815" s="5" t="s">
        <v>355</v>
      </c>
    </row>
    <row r="21816" ht="16.5" customHeight="1">
      <c r="O21816" s="5" t="s">
        <v>355</v>
      </c>
      <c r="P21816" s="5" t="s">
        <v>355</v>
      </c>
      <c r="Q21816" s="5" t="s">
        <v>355</v>
      </c>
    </row>
    <row r="21817" ht="16.5" customHeight="1">
      <c r="O21817" s="5" t="s">
        <v>355</v>
      </c>
      <c r="P21817" s="5" t="s">
        <v>355</v>
      </c>
      <c r="Q21817" s="5" t="s">
        <v>355</v>
      </c>
    </row>
    <row r="21818" ht="16.5" customHeight="1">
      <c r="O21818" s="5" t="s">
        <v>355</v>
      </c>
      <c r="P21818" s="5" t="s">
        <v>355</v>
      </c>
      <c r="Q21818" s="5" t="s">
        <v>355</v>
      </c>
    </row>
    <row r="21819" ht="16.5" customHeight="1">
      <c r="O21819" s="5" t="s">
        <v>355</v>
      </c>
      <c r="P21819" s="5" t="s">
        <v>355</v>
      </c>
      <c r="Q21819" s="5" t="s">
        <v>355</v>
      </c>
    </row>
    <row r="21820" ht="16.5" customHeight="1">
      <c r="O21820" s="5" t="s">
        <v>355</v>
      </c>
      <c r="P21820" s="5" t="s">
        <v>355</v>
      </c>
      <c r="Q21820" s="5" t="s">
        <v>355</v>
      </c>
    </row>
    <row r="21821" ht="16.5" customHeight="1">
      <c r="O21821" s="5" t="s">
        <v>355</v>
      </c>
      <c r="P21821" s="5" t="s">
        <v>355</v>
      </c>
      <c r="Q21821" s="5" t="s">
        <v>355</v>
      </c>
    </row>
    <row r="21822" ht="16.5" customHeight="1">
      <c r="O21822" s="5" t="s">
        <v>355</v>
      </c>
      <c r="P21822" s="5" t="s">
        <v>355</v>
      </c>
      <c r="Q21822" s="5" t="s">
        <v>355</v>
      </c>
    </row>
    <row r="21823" ht="16.5" customHeight="1">
      <c r="O21823" s="5" t="s">
        <v>355</v>
      </c>
      <c r="P21823" s="5" t="s">
        <v>355</v>
      </c>
      <c r="Q21823" s="5" t="s">
        <v>355</v>
      </c>
    </row>
    <row r="21824" ht="16.5" customHeight="1">
      <c r="O21824" s="5" t="s">
        <v>355</v>
      </c>
      <c r="P21824" s="5" t="s">
        <v>355</v>
      </c>
      <c r="Q21824" s="5" t="s">
        <v>355</v>
      </c>
    </row>
    <row r="21825" ht="16.5" customHeight="1">
      <c r="O21825" s="5" t="s">
        <v>355</v>
      </c>
      <c r="P21825" s="5" t="s">
        <v>355</v>
      </c>
      <c r="Q21825" s="5" t="s">
        <v>355</v>
      </c>
    </row>
    <row r="21826" ht="16.5" customHeight="1">
      <c r="O21826" s="5" t="s">
        <v>355</v>
      </c>
      <c r="P21826" s="5" t="s">
        <v>355</v>
      </c>
      <c r="Q21826" s="5" t="s">
        <v>355</v>
      </c>
    </row>
    <row r="21827" ht="16.5" customHeight="1">
      <c r="O21827" s="5" t="s">
        <v>355</v>
      </c>
      <c r="P21827" s="5" t="s">
        <v>355</v>
      </c>
      <c r="Q21827" s="5" t="s">
        <v>355</v>
      </c>
    </row>
    <row r="21828" ht="16.5" customHeight="1">
      <c r="O21828" s="5" t="s">
        <v>355</v>
      </c>
      <c r="P21828" s="5" t="s">
        <v>355</v>
      </c>
      <c r="Q21828" s="5" t="s">
        <v>355</v>
      </c>
    </row>
    <row r="21829" ht="16.5" customHeight="1">
      <c r="O21829" s="5" t="s">
        <v>355</v>
      </c>
      <c r="P21829" s="5" t="s">
        <v>355</v>
      </c>
      <c r="Q21829" s="5" t="s">
        <v>355</v>
      </c>
    </row>
    <row r="21830" ht="16.5" customHeight="1">
      <c r="O21830" s="5" t="s">
        <v>355</v>
      </c>
      <c r="P21830" s="5" t="s">
        <v>355</v>
      </c>
      <c r="Q21830" s="5" t="s">
        <v>355</v>
      </c>
    </row>
    <row r="21831" ht="16.5" customHeight="1">
      <c r="O21831" s="5" t="s">
        <v>355</v>
      </c>
      <c r="P21831" s="5" t="s">
        <v>355</v>
      </c>
      <c r="Q21831" s="5" t="s">
        <v>355</v>
      </c>
    </row>
    <row r="21832" ht="16.5" customHeight="1">
      <c r="O21832" s="5" t="s">
        <v>355</v>
      </c>
      <c r="P21832" s="5" t="s">
        <v>355</v>
      </c>
      <c r="Q21832" s="5" t="s">
        <v>355</v>
      </c>
    </row>
    <row r="21833" ht="16.5" customHeight="1">
      <c r="O21833" s="5" t="s">
        <v>355</v>
      </c>
      <c r="P21833" s="5" t="s">
        <v>355</v>
      </c>
      <c r="Q21833" s="5" t="s">
        <v>355</v>
      </c>
    </row>
    <row r="21834" ht="16.5" customHeight="1">
      <c r="O21834" s="5" t="s">
        <v>355</v>
      </c>
      <c r="P21834" s="5" t="s">
        <v>355</v>
      </c>
      <c r="Q21834" s="5" t="s">
        <v>355</v>
      </c>
    </row>
    <row r="21835" ht="16.5" customHeight="1">
      <c r="O21835" s="5" t="s">
        <v>355</v>
      </c>
      <c r="P21835" s="5" t="s">
        <v>355</v>
      </c>
      <c r="Q21835" s="5" t="s">
        <v>355</v>
      </c>
    </row>
    <row r="21836" ht="16.5" customHeight="1">
      <c r="O21836" s="5" t="s">
        <v>355</v>
      </c>
      <c r="P21836" s="5" t="s">
        <v>355</v>
      </c>
      <c r="Q21836" s="5" t="s">
        <v>355</v>
      </c>
    </row>
    <row r="21837" ht="16.5" customHeight="1">
      <c r="O21837" s="5" t="s">
        <v>355</v>
      </c>
      <c r="P21837" s="5" t="s">
        <v>355</v>
      </c>
      <c r="Q21837" s="5" t="s">
        <v>355</v>
      </c>
    </row>
    <row r="21838" ht="16.5" customHeight="1">
      <c r="O21838" s="5" t="s">
        <v>355</v>
      </c>
      <c r="P21838" s="5" t="s">
        <v>355</v>
      </c>
      <c r="Q21838" s="5" t="s">
        <v>355</v>
      </c>
    </row>
    <row r="21839" ht="16.5" customHeight="1">
      <c r="O21839" s="5" t="s">
        <v>355</v>
      </c>
      <c r="P21839" s="5" t="s">
        <v>355</v>
      </c>
      <c r="Q21839" s="5" t="s">
        <v>355</v>
      </c>
    </row>
    <row r="21840" ht="16.5" customHeight="1">
      <c r="O21840" s="5" t="s">
        <v>355</v>
      </c>
      <c r="P21840" s="5" t="s">
        <v>355</v>
      </c>
      <c r="Q21840" s="5" t="s">
        <v>355</v>
      </c>
    </row>
    <row r="21841" ht="16.5" customHeight="1">
      <c r="O21841" s="5" t="s">
        <v>355</v>
      </c>
      <c r="P21841" s="5" t="s">
        <v>355</v>
      </c>
      <c r="Q21841" s="5" t="s">
        <v>355</v>
      </c>
    </row>
    <row r="21842" ht="16.5" customHeight="1">
      <c r="O21842" s="5" t="s">
        <v>355</v>
      </c>
      <c r="P21842" s="5" t="s">
        <v>355</v>
      </c>
      <c r="Q21842" s="5" t="s">
        <v>355</v>
      </c>
    </row>
    <row r="21843" ht="16.5" customHeight="1">
      <c r="O21843" s="5" t="s">
        <v>355</v>
      </c>
      <c r="P21843" s="5" t="s">
        <v>355</v>
      </c>
      <c r="Q21843" s="5" t="s">
        <v>355</v>
      </c>
    </row>
    <row r="21844" ht="16.5" customHeight="1">
      <c r="O21844" s="5" t="s">
        <v>355</v>
      </c>
      <c r="P21844" s="5" t="s">
        <v>355</v>
      </c>
      <c r="Q21844" s="5" t="s">
        <v>355</v>
      </c>
    </row>
    <row r="21845" ht="16.5" customHeight="1">
      <c r="O21845" s="5" t="s">
        <v>355</v>
      </c>
      <c r="P21845" s="5" t="s">
        <v>355</v>
      </c>
      <c r="Q21845" s="5" t="s">
        <v>355</v>
      </c>
    </row>
    <row r="21846" ht="16.5" customHeight="1">
      <c r="O21846" s="5" t="s">
        <v>355</v>
      </c>
      <c r="P21846" s="5" t="s">
        <v>355</v>
      </c>
      <c r="Q21846" s="5" t="s">
        <v>355</v>
      </c>
    </row>
    <row r="21847" ht="16.5" customHeight="1">
      <c r="O21847" s="5" t="s">
        <v>355</v>
      </c>
      <c r="P21847" s="5" t="s">
        <v>355</v>
      </c>
      <c r="Q21847" s="5" t="s">
        <v>355</v>
      </c>
    </row>
    <row r="21848" ht="16.5" customHeight="1">
      <c r="O21848" s="5" t="s">
        <v>355</v>
      </c>
      <c r="P21848" s="5" t="s">
        <v>355</v>
      </c>
      <c r="Q21848" s="5" t="s">
        <v>355</v>
      </c>
    </row>
    <row r="21849" ht="16.5" customHeight="1">
      <c r="O21849" s="5" t="s">
        <v>355</v>
      </c>
      <c r="P21849" s="5" t="s">
        <v>355</v>
      </c>
      <c r="Q21849" s="5" t="s">
        <v>355</v>
      </c>
    </row>
    <row r="21850" ht="16.5" customHeight="1">
      <c r="O21850" s="5" t="s">
        <v>355</v>
      </c>
      <c r="P21850" s="5" t="s">
        <v>355</v>
      </c>
      <c r="Q21850" s="5" t="s">
        <v>355</v>
      </c>
    </row>
    <row r="21851" ht="16.5" customHeight="1">
      <c r="O21851" s="5" t="s">
        <v>355</v>
      </c>
      <c r="P21851" s="5" t="s">
        <v>355</v>
      </c>
      <c r="Q21851" s="5" t="s">
        <v>355</v>
      </c>
    </row>
    <row r="21852" ht="16.5" customHeight="1">
      <c r="O21852" s="5" t="s">
        <v>355</v>
      </c>
      <c r="P21852" s="5" t="s">
        <v>355</v>
      </c>
      <c r="Q21852" s="5" t="s">
        <v>355</v>
      </c>
    </row>
    <row r="21853" ht="16.5" customHeight="1">
      <c r="O21853" s="5" t="s">
        <v>355</v>
      </c>
      <c r="P21853" s="5" t="s">
        <v>355</v>
      </c>
      <c r="Q21853" s="5" t="s">
        <v>355</v>
      </c>
    </row>
    <row r="21854" ht="16.5" customHeight="1">
      <c r="O21854" s="5" t="s">
        <v>355</v>
      </c>
      <c r="P21854" s="5" t="s">
        <v>355</v>
      </c>
      <c r="Q21854" s="5" t="s">
        <v>355</v>
      </c>
    </row>
    <row r="21855" ht="16.5" customHeight="1">
      <c r="O21855" s="5" t="s">
        <v>355</v>
      </c>
      <c r="P21855" s="5" t="s">
        <v>355</v>
      </c>
      <c r="Q21855" s="5" t="s">
        <v>355</v>
      </c>
    </row>
    <row r="21856" ht="16.5" customHeight="1">
      <c r="O21856" s="5" t="s">
        <v>355</v>
      </c>
      <c r="P21856" s="5" t="s">
        <v>355</v>
      </c>
      <c r="Q21856" s="5" t="s">
        <v>355</v>
      </c>
    </row>
    <row r="21857" ht="16.5" customHeight="1">
      <c r="O21857" s="5" t="s">
        <v>355</v>
      </c>
      <c r="P21857" s="5" t="s">
        <v>355</v>
      </c>
      <c r="Q21857" s="5" t="s">
        <v>355</v>
      </c>
    </row>
    <row r="21858" ht="16.5" customHeight="1">
      <c r="O21858" s="5" t="s">
        <v>355</v>
      </c>
      <c r="P21858" s="5" t="s">
        <v>355</v>
      </c>
      <c r="Q21858" s="5" t="s">
        <v>355</v>
      </c>
    </row>
    <row r="21859" ht="16.5" customHeight="1">
      <c r="O21859" s="5" t="s">
        <v>355</v>
      </c>
      <c r="P21859" s="5" t="s">
        <v>355</v>
      </c>
      <c r="Q21859" s="5" t="s">
        <v>355</v>
      </c>
    </row>
    <row r="21860" ht="16.5" customHeight="1">
      <c r="O21860" s="5" t="s">
        <v>355</v>
      </c>
      <c r="P21860" s="5" t="s">
        <v>355</v>
      </c>
      <c r="Q21860" s="5" t="s">
        <v>355</v>
      </c>
    </row>
    <row r="21861" ht="16.5" customHeight="1">
      <c r="O21861" s="5" t="s">
        <v>355</v>
      </c>
      <c r="P21861" s="5" t="s">
        <v>355</v>
      </c>
      <c r="Q21861" s="5" t="s">
        <v>355</v>
      </c>
    </row>
    <row r="21862" ht="16.5" customHeight="1">
      <c r="O21862" s="5" t="s">
        <v>355</v>
      </c>
      <c r="P21862" s="5" t="s">
        <v>355</v>
      </c>
      <c r="Q21862" s="5" t="s">
        <v>355</v>
      </c>
    </row>
    <row r="21863" ht="16.5" customHeight="1">
      <c r="O21863" s="5" t="s">
        <v>355</v>
      </c>
      <c r="P21863" s="5" t="s">
        <v>355</v>
      </c>
      <c r="Q21863" s="5" t="s">
        <v>355</v>
      </c>
    </row>
    <row r="21864" ht="16.5" customHeight="1">
      <c r="O21864" s="5" t="s">
        <v>355</v>
      </c>
      <c r="P21864" s="5" t="s">
        <v>355</v>
      </c>
      <c r="Q21864" s="5" t="s">
        <v>355</v>
      </c>
    </row>
    <row r="21865" ht="16.5" customHeight="1">
      <c r="O21865" s="5" t="s">
        <v>355</v>
      </c>
      <c r="P21865" s="5" t="s">
        <v>355</v>
      </c>
      <c r="Q21865" s="5" t="s">
        <v>355</v>
      </c>
    </row>
    <row r="21866" ht="16.5" customHeight="1">
      <c r="O21866" s="5" t="s">
        <v>355</v>
      </c>
      <c r="P21866" s="5" t="s">
        <v>355</v>
      </c>
      <c r="Q21866" s="5" t="s">
        <v>355</v>
      </c>
    </row>
    <row r="21867" ht="16.5" customHeight="1">
      <c r="O21867" s="5" t="s">
        <v>355</v>
      </c>
      <c r="P21867" s="5" t="s">
        <v>355</v>
      </c>
      <c r="Q21867" s="5" t="s">
        <v>355</v>
      </c>
    </row>
    <row r="21868" ht="16.5" customHeight="1">
      <c r="O21868" s="5" t="s">
        <v>355</v>
      </c>
      <c r="P21868" s="5" t="s">
        <v>355</v>
      </c>
      <c r="Q21868" s="5" t="s">
        <v>355</v>
      </c>
    </row>
    <row r="21869" ht="16.5" customHeight="1">
      <c r="O21869" s="5" t="s">
        <v>355</v>
      </c>
      <c r="P21869" s="5" t="s">
        <v>355</v>
      </c>
      <c r="Q21869" s="5" t="s">
        <v>355</v>
      </c>
    </row>
    <row r="21870" ht="16.5" customHeight="1">
      <c r="O21870" s="5" t="s">
        <v>355</v>
      </c>
      <c r="P21870" s="5" t="s">
        <v>355</v>
      </c>
      <c r="Q21870" s="5" t="s">
        <v>355</v>
      </c>
    </row>
    <row r="21871" ht="16.5" customHeight="1">
      <c r="O21871" s="5" t="s">
        <v>355</v>
      </c>
      <c r="P21871" s="5" t="s">
        <v>355</v>
      </c>
      <c r="Q21871" s="5" t="s">
        <v>355</v>
      </c>
    </row>
    <row r="21872" ht="16.5" customHeight="1">
      <c r="O21872" s="5" t="s">
        <v>355</v>
      </c>
      <c r="P21872" s="5" t="s">
        <v>355</v>
      </c>
      <c r="Q21872" s="5" t="s">
        <v>355</v>
      </c>
    </row>
    <row r="21873" ht="16.5" customHeight="1">
      <c r="O21873" s="5" t="s">
        <v>355</v>
      </c>
      <c r="P21873" s="5" t="s">
        <v>355</v>
      </c>
      <c r="Q21873" s="5" t="s">
        <v>355</v>
      </c>
    </row>
    <row r="21874" ht="16.5" customHeight="1">
      <c r="O21874" s="5" t="s">
        <v>355</v>
      </c>
      <c r="P21874" s="5" t="s">
        <v>355</v>
      </c>
      <c r="Q21874" s="5" t="s">
        <v>355</v>
      </c>
    </row>
    <row r="21875" ht="16.5" customHeight="1">
      <c r="O21875" s="5" t="s">
        <v>355</v>
      </c>
      <c r="P21875" s="5" t="s">
        <v>355</v>
      </c>
      <c r="Q21875" s="5" t="s">
        <v>355</v>
      </c>
    </row>
    <row r="21876" ht="16.5" customHeight="1">
      <c r="O21876" s="5" t="s">
        <v>355</v>
      </c>
      <c r="P21876" s="5" t="s">
        <v>355</v>
      </c>
      <c r="Q21876" s="5" t="s">
        <v>355</v>
      </c>
    </row>
    <row r="21877" ht="16.5" customHeight="1">
      <c r="O21877" s="5" t="s">
        <v>355</v>
      </c>
      <c r="P21877" s="5" t="s">
        <v>355</v>
      </c>
      <c r="Q21877" s="5" t="s">
        <v>355</v>
      </c>
    </row>
    <row r="21878" ht="16.5" customHeight="1">
      <c r="O21878" s="5" t="s">
        <v>355</v>
      </c>
      <c r="P21878" s="5" t="s">
        <v>355</v>
      </c>
      <c r="Q21878" s="5" t="s">
        <v>355</v>
      </c>
    </row>
    <row r="21879" ht="16.5" customHeight="1">
      <c r="O21879" s="5" t="s">
        <v>355</v>
      </c>
      <c r="P21879" s="5" t="s">
        <v>355</v>
      </c>
      <c r="Q21879" s="5" t="s">
        <v>355</v>
      </c>
    </row>
    <row r="21880" ht="16.5" customHeight="1">
      <c r="O21880" s="5" t="s">
        <v>355</v>
      </c>
      <c r="P21880" s="5" t="s">
        <v>355</v>
      </c>
      <c r="Q21880" s="5" t="s">
        <v>355</v>
      </c>
    </row>
    <row r="21881" ht="16.5" customHeight="1">
      <c r="O21881" s="5" t="s">
        <v>355</v>
      </c>
      <c r="P21881" s="5" t="s">
        <v>355</v>
      </c>
      <c r="Q21881" s="5" t="s">
        <v>355</v>
      </c>
    </row>
    <row r="21882" ht="16.5" customHeight="1">
      <c r="O21882" s="5" t="s">
        <v>355</v>
      </c>
      <c r="P21882" s="5" t="s">
        <v>355</v>
      </c>
      <c r="Q21882" s="5" t="s">
        <v>355</v>
      </c>
    </row>
    <row r="21883" ht="16.5" customHeight="1">
      <c r="O21883" s="5" t="s">
        <v>355</v>
      </c>
      <c r="P21883" s="5" t="s">
        <v>355</v>
      </c>
      <c r="Q21883" s="5" t="s">
        <v>355</v>
      </c>
    </row>
    <row r="21884" ht="16.5" customHeight="1">
      <c r="O21884" s="5" t="s">
        <v>355</v>
      </c>
      <c r="P21884" s="5" t="s">
        <v>355</v>
      </c>
      <c r="Q21884" s="5" t="s">
        <v>355</v>
      </c>
    </row>
    <row r="21885" ht="16.5" customHeight="1">
      <c r="O21885" s="5" t="s">
        <v>355</v>
      </c>
      <c r="P21885" s="5" t="s">
        <v>355</v>
      </c>
      <c r="Q21885" s="5" t="s">
        <v>355</v>
      </c>
    </row>
    <row r="21886" ht="16.5" customHeight="1">
      <c r="O21886" s="5" t="s">
        <v>355</v>
      </c>
      <c r="P21886" s="5" t="s">
        <v>355</v>
      </c>
      <c r="Q21886" s="5" t="s">
        <v>355</v>
      </c>
    </row>
    <row r="21887" ht="16.5" customHeight="1">
      <c r="O21887" s="5" t="s">
        <v>355</v>
      </c>
      <c r="P21887" s="5" t="s">
        <v>355</v>
      </c>
      <c r="Q21887" s="5" t="s">
        <v>355</v>
      </c>
    </row>
    <row r="21888" ht="16.5" customHeight="1">
      <c r="O21888" s="5" t="s">
        <v>355</v>
      </c>
      <c r="P21888" s="5" t="s">
        <v>355</v>
      </c>
      <c r="Q21888" s="5" t="s">
        <v>355</v>
      </c>
    </row>
    <row r="21889" ht="16.5" customHeight="1">
      <c r="O21889" s="5" t="s">
        <v>355</v>
      </c>
      <c r="P21889" s="5" t="s">
        <v>355</v>
      </c>
      <c r="Q21889" s="5" t="s">
        <v>355</v>
      </c>
    </row>
    <row r="21890" ht="16.5" customHeight="1">
      <c r="O21890" s="5" t="s">
        <v>355</v>
      </c>
      <c r="P21890" s="5" t="s">
        <v>355</v>
      </c>
      <c r="Q21890" s="5" t="s">
        <v>355</v>
      </c>
    </row>
    <row r="21891" ht="16.5" customHeight="1">
      <c r="O21891" s="5" t="s">
        <v>355</v>
      </c>
      <c r="P21891" s="5" t="s">
        <v>355</v>
      </c>
      <c r="Q21891" s="5" t="s">
        <v>355</v>
      </c>
    </row>
    <row r="21892" ht="16.5" customHeight="1">
      <c r="O21892" s="5" t="s">
        <v>355</v>
      </c>
      <c r="P21892" s="5" t="s">
        <v>355</v>
      </c>
      <c r="Q21892" s="5" t="s">
        <v>355</v>
      </c>
    </row>
    <row r="21893" ht="16.5" customHeight="1">
      <c r="O21893" s="5" t="s">
        <v>355</v>
      </c>
      <c r="P21893" s="5" t="s">
        <v>355</v>
      </c>
      <c r="Q21893" s="5" t="s">
        <v>355</v>
      </c>
    </row>
    <row r="21894" ht="16.5" customHeight="1">
      <c r="O21894" s="5" t="s">
        <v>355</v>
      </c>
      <c r="P21894" s="5" t="s">
        <v>355</v>
      </c>
      <c r="Q21894" s="5" t="s">
        <v>355</v>
      </c>
    </row>
    <row r="21895" ht="16.5" customHeight="1">
      <c r="O21895" s="5" t="s">
        <v>355</v>
      </c>
      <c r="P21895" s="5" t="s">
        <v>355</v>
      </c>
      <c r="Q21895" s="5" t="s">
        <v>355</v>
      </c>
    </row>
    <row r="21896" ht="16.5" customHeight="1">
      <c r="O21896" s="5" t="s">
        <v>355</v>
      </c>
      <c r="P21896" s="5" t="s">
        <v>355</v>
      </c>
      <c r="Q21896" s="5" t="s">
        <v>355</v>
      </c>
    </row>
    <row r="21897" ht="16.5" customHeight="1">
      <c r="O21897" s="5" t="s">
        <v>355</v>
      </c>
      <c r="P21897" s="5" t="s">
        <v>355</v>
      </c>
      <c r="Q21897" s="5" t="s">
        <v>355</v>
      </c>
    </row>
    <row r="21898" ht="16.5" customHeight="1">
      <c r="O21898" s="5" t="s">
        <v>355</v>
      </c>
      <c r="P21898" s="5" t="s">
        <v>355</v>
      </c>
      <c r="Q21898" s="5" t="s">
        <v>355</v>
      </c>
    </row>
    <row r="21899" ht="16.5" customHeight="1">
      <c r="O21899" s="5" t="s">
        <v>355</v>
      </c>
      <c r="P21899" s="5" t="s">
        <v>355</v>
      </c>
      <c r="Q21899" s="5" t="s">
        <v>355</v>
      </c>
    </row>
    <row r="21900" ht="16.5" customHeight="1">
      <c r="O21900" s="5" t="s">
        <v>355</v>
      </c>
      <c r="P21900" s="5" t="s">
        <v>355</v>
      </c>
      <c r="Q21900" s="5" t="s">
        <v>355</v>
      </c>
    </row>
    <row r="21901" ht="16.5" customHeight="1">
      <c r="O21901" s="5" t="s">
        <v>355</v>
      </c>
      <c r="P21901" s="5" t="s">
        <v>355</v>
      </c>
      <c r="Q21901" s="5" t="s">
        <v>355</v>
      </c>
    </row>
    <row r="21902" ht="16.5" customHeight="1">
      <c r="O21902" s="5" t="s">
        <v>355</v>
      </c>
      <c r="P21902" s="5" t="s">
        <v>355</v>
      </c>
      <c r="Q21902" s="5" t="s">
        <v>355</v>
      </c>
    </row>
    <row r="21903" ht="16.5" customHeight="1">
      <c r="O21903" s="5" t="s">
        <v>355</v>
      </c>
      <c r="P21903" s="5" t="s">
        <v>355</v>
      </c>
      <c r="Q21903" s="5" t="s">
        <v>355</v>
      </c>
    </row>
    <row r="21904" ht="16.5" customHeight="1">
      <c r="O21904" s="5" t="s">
        <v>355</v>
      </c>
      <c r="P21904" s="5" t="s">
        <v>355</v>
      </c>
      <c r="Q21904" s="5" t="s">
        <v>355</v>
      </c>
    </row>
    <row r="21905" ht="16.5" customHeight="1">
      <c r="O21905" s="5" t="s">
        <v>355</v>
      </c>
      <c r="P21905" s="5" t="s">
        <v>355</v>
      </c>
      <c r="Q21905" s="5" t="s">
        <v>355</v>
      </c>
    </row>
    <row r="21906" ht="16.5" customHeight="1">
      <c r="O21906" s="5" t="s">
        <v>355</v>
      </c>
      <c r="P21906" s="5" t="s">
        <v>355</v>
      </c>
      <c r="Q21906" s="5" t="s">
        <v>355</v>
      </c>
    </row>
    <row r="21907" ht="16.5" customHeight="1">
      <c r="O21907" s="5" t="s">
        <v>355</v>
      </c>
      <c r="P21907" s="5" t="s">
        <v>355</v>
      </c>
      <c r="Q21907" s="5" t="s">
        <v>355</v>
      </c>
    </row>
    <row r="21908" ht="16.5" customHeight="1">
      <c r="O21908" s="5" t="s">
        <v>355</v>
      </c>
      <c r="P21908" s="5" t="s">
        <v>355</v>
      </c>
      <c r="Q21908" s="5" t="s">
        <v>355</v>
      </c>
    </row>
    <row r="21909" ht="16.5" customHeight="1">
      <c r="O21909" s="5" t="s">
        <v>355</v>
      </c>
      <c r="P21909" s="5" t="s">
        <v>355</v>
      </c>
      <c r="Q21909" s="5" t="s">
        <v>355</v>
      </c>
    </row>
    <row r="21910" ht="16.5" customHeight="1">
      <c r="O21910" s="5" t="s">
        <v>355</v>
      </c>
      <c r="P21910" s="5" t="s">
        <v>355</v>
      </c>
      <c r="Q21910" s="5" t="s">
        <v>355</v>
      </c>
    </row>
    <row r="21911" ht="16.5" customHeight="1">
      <c r="O21911" s="5" t="s">
        <v>355</v>
      </c>
      <c r="P21911" s="5" t="s">
        <v>355</v>
      </c>
      <c r="Q21911" s="5" t="s">
        <v>355</v>
      </c>
    </row>
    <row r="21912" ht="16.5" customHeight="1">
      <c r="O21912" s="5" t="s">
        <v>355</v>
      </c>
      <c r="P21912" s="5" t="s">
        <v>355</v>
      </c>
      <c r="Q21912" s="5" t="s">
        <v>355</v>
      </c>
    </row>
    <row r="21913" ht="16.5" customHeight="1">
      <c r="O21913" s="5" t="s">
        <v>355</v>
      </c>
      <c r="P21913" s="5" t="s">
        <v>355</v>
      </c>
      <c r="Q21913" s="5" t="s">
        <v>355</v>
      </c>
    </row>
    <row r="21914" ht="16.5" customHeight="1">
      <c r="O21914" s="5" t="s">
        <v>355</v>
      </c>
      <c r="P21914" s="5" t="s">
        <v>355</v>
      </c>
      <c r="Q21914" s="5" t="s">
        <v>355</v>
      </c>
    </row>
    <row r="21915" ht="16.5" customHeight="1">
      <c r="O21915" s="5" t="s">
        <v>355</v>
      </c>
      <c r="P21915" s="5" t="s">
        <v>355</v>
      </c>
      <c r="Q21915" s="5" t="s">
        <v>355</v>
      </c>
    </row>
    <row r="21916" ht="16.5" customHeight="1">
      <c r="O21916" s="5" t="s">
        <v>355</v>
      </c>
      <c r="P21916" s="5" t="s">
        <v>355</v>
      </c>
      <c r="Q21916" s="5" t="s">
        <v>355</v>
      </c>
    </row>
    <row r="21917" ht="16.5" customHeight="1">
      <c r="O21917" s="5" t="s">
        <v>355</v>
      </c>
      <c r="P21917" s="5" t="s">
        <v>355</v>
      </c>
      <c r="Q21917" s="5" t="s">
        <v>355</v>
      </c>
    </row>
    <row r="21918" ht="16.5" customHeight="1">
      <c r="O21918" s="5" t="s">
        <v>355</v>
      </c>
      <c r="P21918" s="5" t="s">
        <v>355</v>
      </c>
      <c r="Q21918" s="5" t="s">
        <v>355</v>
      </c>
    </row>
    <row r="21919" ht="16.5" customHeight="1">
      <c r="O21919" s="5" t="s">
        <v>355</v>
      </c>
      <c r="P21919" s="5" t="s">
        <v>355</v>
      </c>
      <c r="Q21919" s="5" t="s">
        <v>355</v>
      </c>
    </row>
    <row r="21920" ht="16.5" customHeight="1">
      <c r="O21920" s="5" t="s">
        <v>355</v>
      </c>
      <c r="P21920" s="5" t="s">
        <v>355</v>
      </c>
      <c r="Q21920" s="5" t="s">
        <v>355</v>
      </c>
    </row>
    <row r="21921" ht="16.5" customHeight="1">
      <c r="O21921" s="5" t="s">
        <v>355</v>
      </c>
      <c r="P21921" s="5" t="s">
        <v>355</v>
      </c>
      <c r="Q21921" s="5" t="s">
        <v>355</v>
      </c>
    </row>
    <row r="21922" ht="16.5" customHeight="1">
      <c r="O21922" s="5" t="s">
        <v>355</v>
      </c>
      <c r="P21922" s="5" t="s">
        <v>355</v>
      </c>
      <c r="Q21922" s="5" t="s">
        <v>355</v>
      </c>
    </row>
    <row r="21923" ht="16.5" customHeight="1">
      <c r="O21923" s="5" t="s">
        <v>355</v>
      </c>
      <c r="P21923" s="5" t="s">
        <v>355</v>
      </c>
      <c r="Q21923" s="5" t="s">
        <v>355</v>
      </c>
    </row>
    <row r="21924" ht="16.5" customHeight="1">
      <c r="O21924" s="5" t="s">
        <v>355</v>
      </c>
      <c r="P21924" s="5" t="s">
        <v>355</v>
      </c>
      <c r="Q21924" s="5" t="s">
        <v>355</v>
      </c>
    </row>
    <row r="21925" ht="16.5" customHeight="1">
      <c r="O21925" s="5" t="s">
        <v>355</v>
      </c>
      <c r="P21925" s="5" t="s">
        <v>355</v>
      </c>
      <c r="Q21925" s="5" t="s">
        <v>355</v>
      </c>
    </row>
    <row r="21926" ht="16.5" customHeight="1">
      <c r="O21926" s="5" t="s">
        <v>355</v>
      </c>
      <c r="P21926" s="5" t="s">
        <v>355</v>
      </c>
      <c r="Q21926" s="5" t="s">
        <v>355</v>
      </c>
    </row>
    <row r="21927" ht="16.5" customHeight="1">
      <c r="O21927" s="5" t="s">
        <v>355</v>
      </c>
      <c r="P21927" s="5" t="s">
        <v>355</v>
      </c>
      <c r="Q21927" s="5" t="s">
        <v>355</v>
      </c>
    </row>
    <row r="21928" ht="16.5" customHeight="1">
      <c r="O21928" s="5" t="s">
        <v>355</v>
      </c>
      <c r="P21928" s="5" t="s">
        <v>355</v>
      </c>
      <c r="Q21928" s="5" t="s">
        <v>355</v>
      </c>
    </row>
    <row r="21929" ht="16.5" customHeight="1">
      <c r="O21929" s="5" t="s">
        <v>355</v>
      </c>
      <c r="P21929" s="5" t="s">
        <v>355</v>
      </c>
      <c r="Q21929" s="5" t="s">
        <v>355</v>
      </c>
    </row>
    <row r="21930" ht="16.5" customHeight="1">
      <c r="O21930" s="5" t="s">
        <v>355</v>
      </c>
      <c r="P21930" s="5" t="s">
        <v>355</v>
      </c>
      <c r="Q21930" s="5" t="s">
        <v>355</v>
      </c>
    </row>
    <row r="21931" ht="16.5" customHeight="1">
      <c r="O21931" s="5" t="s">
        <v>355</v>
      </c>
      <c r="P21931" s="5" t="s">
        <v>355</v>
      </c>
      <c r="Q21931" s="5" t="s">
        <v>355</v>
      </c>
    </row>
    <row r="21932" ht="16.5" customHeight="1">
      <c r="O21932" s="5" t="s">
        <v>355</v>
      </c>
      <c r="P21932" s="5" t="s">
        <v>355</v>
      </c>
      <c r="Q21932" s="5" t="s">
        <v>355</v>
      </c>
    </row>
    <row r="21933" ht="16.5" customHeight="1">
      <c r="O21933" s="5" t="s">
        <v>355</v>
      </c>
      <c r="P21933" s="5" t="s">
        <v>355</v>
      </c>
      <c r="Q21933" s="5" t="s">
        <v>355</v>
      </c>
    </row>
    <row r="21934" ht="16.5" customHeight="1">
      <c r="O21934" s="5" t="s">
        <v>355</v>
      </c>
      <c r="P21934" s="5" t="s">
        <v>355</v>
      </c>
      <c r="Q21934" s="5" t="s">
        <v>355</v>
      </c>
    </row>
    <row r="21935" ht="16.5" customHeight="1">
      <c r="O21935" s="5" t="s">
        <v>355</v>
      </c>
      <c r="P21935" s="5" t="s">
        <v>355</v>
      </c>
      <c r="Q21935" s="5" t="s">
        <v>355</v>
      </c>
    </row>
    <row r="21936" ht="16.5" customHeight="1">
      <c r="O21936" s="5" t="s">
        <v>355</v>
      </c>
      <c r="P21936" s="5" t="s">
        <v>355</v>
      </c>
      <c r="Q21936" s="5" t="s">
        <v>355</v>
      </c>
    </row>
    <row r="21937" ht="16.5" customHeight="1">
      <c r="O21937" s="5" t="s">
        <v>355</v>
      </c>
      <c r="P21937" s="5" t="s">
        <v>355</v>
      </c>
      <c r="Q21937" s="5" t="s">
        <v>355</v>
      </c>
    </row>
    <row r="21938" ht="16.5" customHeight="1">
      <c r="O21938" s="5" t="s">
        <v>355</v>
      </c>
      <c r="P21938" s="5" t="s">
        <v>355</v>
      </c>
      <c r="Q21938" s="5" t="s">
        <v>355</v>
      </c>
    </row>
    <row r="21939" ht="16.5" customHeight="1">
      <c r="O21939" s="5" t="s">
        <v>355</v>
      </c>
      <c r="P21939" s="5" t="s">
        <v>355</v>
      </c>
      <c r="Q21939" s="5" t="s">
        <v>355</v>
      </c>
    </row>
    <row r="21940" ht="16.5" customHeight="1">
      <c r="O21940" s="5" t="s">
        <v>355</v>
      </c>
      <c r="P21940" s="5" t="s">
        <v>355</v>
      </c>
      <c r="Q21940" s="5" t="s">
        <v>355</v>
      </c>
    </row>
    <row r="21941" ht="16.5" customHeight="1">
      <c r="O21941" s="5" t="s">
        <v>355</v>
      </c>
      <c r="P21941" s="5" t="s">
        <v>355</v>
      </c>
      <c r="Q21941" s="5" t="s">
        <v>355</v>
      </c>
    </row>
    <row r="21942" ht="16.5" customHeight="1">
      <c r="O21942" s="5" t="s">
        <v>355</v>
      </c>
      <c r="P21942" s="5" t="s">
        <v>355</v>
      </c>
      <c r="Q21942" s="5" t="s">
        <v>355</v>
      </c>
    </row>
    <row r="21943" ht="16.5" customHeight="1">
      <c r="O21943" s="5" t="s">
        <v>355</v>
      </c>
      <c r="P21943" s="5" t="s">
        <v>355</v>
      </c>
      <c r="Q21943" s="5" t="s">
        <v>355</v>
      </c>
    </row>
    <row r="21944" ht="16.5" customHeight="1">
      <c r="O21944" s="5" t="s">
        <v>355</v>
      </c>
      <c r="P21944" s="5" t="s">
        <v>355</v>
      </c>
      <c r="Q21944" s="5" t="s">
        <v>355</v>
      </c>
    </row>
    <row r="21945" ht="16.5" customHeight="1">
      <c r="O21945" s="5" t="s">
        <v>355</v>
      </c>
      <c r="P21945" s="5" t="s">
        <v>355</v>
      </c>
      <c r="Q21945" s="5" t="s">
        <v>355</v>
      </c>
    </row>
    <row r="21946" ht="16.5" customHeight="1">
      <c r="O21946" s="5" t="s">
        <v>355</v>
      </c>
      <c r="P21946" s="5" t="s">
        <v>355</v>
      </c>
      <c r="Q21946" s="5" t="s">
        <v>355</v>
      </c>
    </row>
    <row r="21947" ht="16.5" customHeight="1">
      <c r="O21947" s="5" t="s">
        <v>355</v>
      </c>
      <c r="P21947" s="5" t="s">
        <v>355</v>
      </c>
      <c r="Q21947" s="5" t="s">
        <v>355</v>
      </c>
    </row>
    <row r="21948" ht="16.5" customHeight="1">
      <c r="O21948" s="5" t="s">
        <v>355</v>
      </c>
      <c r="P21948" s="5" t="s">
        <v>355</v>
      </c>
      <c r="Q21948" s="5" t="s">
        <v>355</v>
      </c>
    </row>
    <row r="21949" ht="16.5" customHeight="1">
      <c r="O21949" s="5" t="s">
        <v>355</v>
      </c>
      <c r="P21949" s="5" t="s">
        <v>355</v>
      </c>
      <c r="Q21949" s="5" t="s">
        <v>355</v>
      </c>
    </row>
    <row r="21950" ht="16.5" customHeight="1">
      <c r="O21950" s="5" t="s">
        <v>355</v>
      </c>
      <c r="P21950" s="5" t="s">
        <v>355</v>
      </c>
      <c r="Q21950" s="5" t="s">
        <v>355</v>
      </c>
    </row>
    <row r="21951" ht="16.5" customHeight="1">
      <c r="O21951" s="5" t="s">
        <v>355</v>
      </c>
      <c r="P21951" s="5" t="s">
        <v>355</v>
      </c>
      <c r="Q21951" s="5" t="s">
        <v>355</v>
      </c>
    </row>
    <row r="21952" ht="16.5" customHeight="1">
      <c r="O21952" s="5" t="s">
        <v>355</v>
      </c>
      <c r="P21952" s="5" t="s">
        <v>355</v>
      </c>
      <c r="Q21952" s="5" t="s">
        <v>355</v>
      </c>
    </row>
    <row r="21953" ht="16.5" customHeight="1">
      <c r="O21953" s="5" t="s">
        <v>355</v>
      </c>
      <c r="P21953" s="5" t="s">
        <v>355</v>
      </c>
      <c r="Q21953" s="5" t="s">
        <v>355</v>
      </c>
    </row>
    <row r="21954" ht="16.5" customHeight="1">
      <c r="O21954" s="5" t="s">
        <v>355</v>
      </c>
      <c r="P21954" s="5" t="s">
        <v>355</v>
      </c>
      <c r="Q21954" s="5" t="s">
        <v>355</v>
      </c>
    </row>
    <row r="21955" ht="16.5" customHeight="1">
      <c r="O21955" s="5" t="s">
        <v>355</v>
      </c>
      <c r="P21955" s="5" t="s">
        <v>355</v>
      </c>
      <c r="Q21955" s="5" t="s">
        <v>355</v>
      </c>
    </row>
    <row r="21956" ht="16.5" customHeight="1">
      <c r="O21956" s="5" t="s">
        <v>355</v>
      </c>
      <c r="P21956" s="5" t="s">
        <v>355</v>
      </c>
      <c r="Q21956" s="5" t="s">
        <v>355</v>
      </c>
    </row>
    <row r="21957" ht="16.5" customHeight="1">
      <c r="O21957" s="5" t="s">
        <v>355</v>
      </c>
      <c r="P21957" s="5" t="s">
        <v>355</v>
      </c>
      <c r="Q21957" s="5" t="s">
        <v>355</v>
      </c>
    </row>
    <row r="21958" ht="16.5" customHeight="1">
      <c r="O21958" s="5" t="s">
        <v>355</v>
      </c>
      <c r="P21958" s="5" t="s">
        <v>355</v>
      </c>
      <c r="Q21958" s="5" t="s">
        <v>355</v>
      </c>
    </row>
    <row r="21959" ht="16.5" customHeight="1">
      <c r="O21959" s="5" t="s">
        <v>355</v>
      </c>
      <c r="P21959" s="5" t="s">
        <v>355</v>
      </c>
      <c r="Q21959" s="5" t="s">
        <v>355</v>
      </c>
    </row>
    <row r="21960" ht="16.5" customHeight="1">
      <c r="O21960" s="5" t="s">
        <v>355</v>
      </c>
      <c r="P21960" s="5" t="s">
        <v>355</v>
      </c>
      <c r="Q21960" s="5" t="s">
        <v>355</v>
      </c>
    </row>
    <row r="21961" ht="16.5" customHeight="1">
      <c r="O21961" s="5" t="s">
        <v>355</v>
      </c>
      <c r="P21961" s="5" t="s">
        <v>355</v>
      </c>
      <c r="Q21961" s="5" t="s">
        <v>355</v>
      </c>
    </row>
    <row r="21962" ht="16.5" customHeight="1">
      <c r="O21962" s="5" t="s">
        <v>355</v>
      </c>
      <c r="P21962" s="5" t="s">
        <v>355</v>
      </c>
      <c r="Q21962" s="5" t="s">
        <v>355</v>
      </c>
    </row>
    <row r="21963" ht="16.5" customHeight="1">
      <c r="O21963" s="5" t="s">
        <v>355</v>
      </c>
      <c r="P21963" s="5" t="s">
        <v>355</v>
      </c>
      <c r="Q21963" s="5" t="s">
        <v>355</v>
      </c>
    </row>
    <row r="21964" ht="16.5" customHeight="1">
      <c r="O21964" s="5" t="s">
        <v>355</v>
      </c>
      <c r="P21964" s="5" t="s">
        <v>355</v>
      </c>
      <c r="Q21964" s="5" t="s">
        <v>355</v>
      </c>
    </row>
    <row r="21965" ht="16.5" customHeight="1">
      <c r="O21965" s="5" t="s">
        <v>355</v>
      </c>
      <c r="P21965" s="5" t="s">
        <v>355</v>
      </c>
      <c r="Q21965" s="5" t="s">
        <v>355</v>
      </c>
    </row>
    <row r="21966" ht="16.5" customHeight="1">
      <c r="O21966" s="5" t="s">
        <v>355</v>
      </c>
      <c r="P21966" s="5" t="s">
        <v>355</v>
      </c>
      <c r="Q21966" s="5" t="s">
        <v>355</v>
      </c>
    </row>
    <row r="21967" ht="16.5" customHeight="1">
      <c r="O21967" s="5" t="s">
        <v>355</v>
      </c>
      <c r="P21967" s="5" t="s">
        <v>355</v>
      </c>
      <c r="Q21967" s="5" t="s">
        <v>355</v>
      </c>
    </row>
    <row r="21968" ht="16.5" customHeight="1">
      <c r="O21968" s="5" t="s">
        <v>355</v>
      </c>
      <c r="P21968" s="5" t="s">
        <v>355</v>
      </c>
      <c r="Q21968" s="5" t="s">
        <v>355</v>
      </c>
    </row>
    <row r="21969" ht="16.5" customHeight="1">
      <c r="O21969" s="5" t="s">
        <v>355</v>
      </c>
      <c r="P21969" s="5" t="s">
        <v>355</v>
      </c>
      <c r="Q21969" s="5" t="s">
        <v>355</v>
      </c>
    </row>
    <row r="21970" ht="16.5" customHeight="1">
      <c r="O21970" s="5" t="s">
        <v>355</v>
      </c>
      <c r="P21970" s="5" t="s">
        <v>355</v>
      </c>
      <c r="Q21970" s="5" t="s">
        <v>355</v>
      </c>
    </row>
    <row r="21971" ht="16.5" customHeight="1">
      <c r="O21971" s="5" t="s">
        <v>355</v>
      </c>
      <c r="P21971" s="5" t="s">
        <v>355</v>
      </c>
      <c r="Q21971" s="5" t="s">
        <v>355</v>
      </c>
    </row>
    <row r="21972" ht="16.5" customHeight="1">
      <c r="O21972" s="5" t="s">
        <v>355</v>
      </c>
      <c r="P21972" s="5" t="s">
        <v>355</v>
      </c>
      <c r="Q21972" s="5" t="s">
        <v>355</v>
      </c>
    </row>
    <row r="21973" ht="16.5" customHeight="1">
      <c r="O21973" s="5" t="s">
        <v>355</v>
      </c>
      <c r="P21973" s="5" t="s">
        <v>355</v>
      </c>
      <c r="Q21973" s="5" t="s">
        <v>355</v>
      </c>
    </row>
    <row r="21974" ht="16.5" customHeight="1">
      <c r="O21974" s="5" t="s">
        <v>355</v>
      </c>
      <c r="P21974" s="5" t="s">
        <v>355</v>
      </c>
      <c r="Q21974" s="5" t="s">
        <v>355</v>
      </c>
    </row>
    <row r="21975" ht="16.5" customHeight="1">
      <c r="O21975" s="5" t="s">
        <v>355</v>
      </c>
      <c r="P21975" s="5" t="s">
        <v>355</v>
      </c>
      <c r="Q21975" s="5" t="s">
        <v>355</v>
      </c>
    </row>
    <row r="21976" ht="16.5" customHeight="1">
      <c r="O21976" s="5" t="s">
        <v>355</v>
      </c>
      <c r="P21976" s="5" t="s">
        <v>355</v>
      </c>
      <c r="Q21976" s="5" t="s">
        <v>355</v>
      </c>
    </row>
    <row r="21977" ht="16.5" customHeight="1">
      <c r="O21977" s="5" t="s">
        <v>355</v>
      </c>
      <c r="P21977" s="5" t="s">
        <v>355</v>
      </c>
      <c r="Q21977" s="5" t="s">
        <v>355</v>
      </c>
    </row>
    <row r="21978" ht="16.5" customHeight="1">
      <c r="O21978" s="5" t="s">
        <v>355</v>
      </c>
      <c r="P21978" s="5" t="s">
        <v>355</v>
      </c>
      <c r="Q21978" s="5" t="s">
        <v>355</v>
      </c>
    </row>
    <row r="21979" ht="16.5" customHeight="1">
      <c r="O21979" s="5" t="s">
        <v>355</v>
      </c>
      <c r="P21979" s="5" t="s">
        <v>355</v>
      </c>
      <c r="Q21979" s="5" t="s">
        <v>355</v>
      </c>
    </row>
    <row r="21980" ht="16.5" customHeight="1">
      <c r="O21980" s="5" t="s">
        <v>355</v>
      </c>
      <c r="P21980" s="5" t="s">
        <v>355</v>
      </c>
      <c r="Q21980" s="5" t="s">
        <v>355</v>
      </c>
    </row>
    <row r="21981" ht="16.5" customHeight="1">
      <c r="O21981" s="5" t="s">
        <v>355</v>
      </c>
      <c r="P21981" s="5" t="s">
        <v>355</v>
      </c>
      <c r="Q21981" s="5" t="s">
        <v>355</v>
      </c>
    </row>
    <row r="21982" ht="16.5" customHeight="1">
      <c r="O21982" s="5" t="s">
        <v>355</v>
      </c>
      <c r="P21982" s="5" t="s">
        <v>355</v>
      </c>
      <c r="Q21982" s="5" t="s">
        <v>355</v>
      </c>
    </row>
    <row r="21983" ht="16.5" customHeight="1">
      <c r="O21983" s="5" t="s">
        <v>355</v>
      </c>
      <c r="P21983" s="5" t="s">
        <v>355</v>
      </c>
      <c r="Q21983" s="5" t="s">
        <v>355</v>
      </c>
    </row>
    <row r="21984" ht="16.5" customHeight="1">
      <c r="O21984" s="5" t="s">
        <v>355</v>
      </c>
      <c r="P21984" s="5" t="s">
        <v>355</v>
      </c>
      <c r="Q21984" s="5" t="s">
        <v>355</v>
      </c>
    </row>
    <row r="21985" ht="16.5" customHeight="1">
      <c r="O21985" s="5" t="s">
        <v>355</v>
      </c>
      <c r="P21985" s="5" t="s">
        <v>355</v>
      </c>
      <c r="Q21985" s="5" t="s">
        <v>355</v>
      </c>
    </row>
    <row r="21986" ht="16.5" customHeight="1">
      <c r="O21986" s="5" t="s">
        <v>355</v>
      </c>
      <c r="P21986" s="5" t="s">
        <v>355</v>
      </c>
      <c r="Q21986" s="5" t="s">
        <v>355</v>
      </c>
    </row>
    <row r="21987" ht="16.5" customHeight="1">
      <c r="O21987" s="5" t="s">
        <v>355</v>
      </c>
      <c r="P21987" s="5" t="s">
        <v>355</v>
      </c>
      <c r="Q21987" s="5" t="s">
        <v>355</v>
      </c>
    </row>
    <row r="21988" ht="16.5" customHeight="1">
      <c r="O21988" s="5" t="s">
        <v>355</v>
      </c>
      <c r="P21988" s="5" t="s">
        <v>355</v>
      </c>
      <c r="Q21988" s="5" t="s">
        <v>355</v>
      </c>
    </row>
    <row r="21989" ht="16.5" customHeight="1">
      <c r="O21989" s="5" t="s">
        <v>355</v>
      </c>
      <c r="P21989" s="5" t="s">
        <v>355</v>
      </c>
      <c r="Q21989" s="5" t="s">
        <v>355</v>
      </c>
    </row>
    <row r="21990" ht="16.5" customHeight="1">
      <c r="O21990" s="5" t="s">
        <v>355</v>
      </c>
      <c r="P21990" s="5" t="s">
        <v>355</v>
      </c>
      <c r="Q21990" s="5" t="s">
        <v>355</v>
      </c>
    </row>
    <row r="21991" ht="16.5" customHeight="1">
      <c r="O21991" s="5" t="s">
        <v>355</v>
      </c>
      <c r="P21991" s="5" t="s">
        <v>355</v>
      </c>
      <c r="Q21991" s="5" t="s">
        <v>355</v>
      </c>
    </row>
    <row r="21992" ht="16.5" customHeight="1">
      <c r="O21992" s="5" t="s">
        <v>355</v>
      </c>
      <c r="P21992" s="5" t="s">
        <v>355</v>
      </c>
      <c r="Q21992" s="5" t="s">
        <v>355</v>
      </c>
    </row>
    <row r="21993" ht="16.5" customHeight="1">
      <c r="O21993" s="5" t="s">
        <v>355</v>
      </c>
      <c r="P21993" s="5" t="s">
        <v>355</v>
      </c>
      <c r="Q21993" s="5" t="s">
        <v>355</v>
      </c>
    </row>
    <row r="21994" ht="16.5" customHeight="1">
      <c r="O21994" s="5" t="s">
        <v>355</v>
      </c>
      <c r="P21994" s="5" t="s">
        <v>355</v>
      </c>
      <c r="Q21994" s="5" t="s">
        <v>355</v>
      </c>
    </row>
    <row r="21995" ht="16.5" customHeight="1">
      <c r="O21995" s="5" t="s">
        <v>355</v>
      </c>
      <c r="P21995" s="5" t="s">
        <v>355</v>
      </c>
      <c r="Q21995" s="5" t="s">
        <v>355</v>
      </c>
    </row>
    <row r="21996" ht="16.5" customHeight="1">
      <c r="O21996" s="5" t="s">
        <v>355</v>
      </c>
      <c r="P21996" s="5" t="s">
        <v>355</v>
      </c>
      <c r="Q21996" s="5" t="s">
        <v>355</v>
      </c>
    </row>
    <row r="21997" ht="16.5" customHeight="1">
      <c r="O21997" s="5" t="s">
        <v>355</v>
      </c>
      <c r="P21997" s="5" t="s">
        <v>355</v>
      </c>
      <c r="Q21997" s="5" t="s">
        <v>355</v>
      </c>
    </row>
    <row r="21998" ht="16.5" customHeight="1">
      <c r="O21998" s="5" t="s">
        <v>355</v>
      </c>
      <c r="P21998" s="5" t="s">
        <v>355</v>
      </c>
      <c r="Q21998" s="5" t="s">
        <v>355</v>
      </c>
    </row>
    <row r="21999" ht="16.5" customHeight="1">
      <c r="O21999" s="5" t="s">
        <v>355</v>
      </c>
      <c r="P21999" s="5" t="s">
        <v>355</v>
      </c>
      <c r="Q21999" s="5" t="s">
        <v>355</v>
      </c>
    </row>
    <row r="22000" ht="16.5" customHeight="1">
      <c r="O22000" s="5" t="s">
        <v>355</v>
      </c>
      <c r="P22000" s="5" t="s">
        <v>355</v>
      </c>
      <c r="Q22000" s="5" t="s">
        <v>355</v>
      </c>
    </row>
    <row r="22001" ht="16.5" customHeight="1">
      <c r="O22001" s="5" t="s">
        <v>355</v>
      </c>
      <c r="P22001" s="5" t="s">
        <v>355</v>
      </c>
      <c r="Q22001" s="5" t="s">
        <v>355</v>
      </c>
    </row>
    <row r="22002" ht="16.5" customHeight="1">
      <c r="O22002" s="5" t="s">
        <v>355</v>
      </c>
      <c r="P22002" s="5" t="s">
        <v>355</v>
      </c>
      <c r="Q22002" s="5" t="s">
        <v>355</v>
      </c>
    </row>
    <row r="22003" ht="16.5" customHeight="1">
      <c r="O22003" s="5" t="s">
        <v>355</v>
      </c>
      <c r="P22003" s="5" t="s">
        <v>355</v>
      </c>
      <c r="Q22003" s="5" t="s">
        <v>355</v>
      </c>
    </row>
    <row r="22004" ht="16.5" customHeight="1">
      <c r="O22004" s="5" t="s">
        <v>355</v>
      </c>
      <c r="P22004" s="5" t="s">
        <v>355</v>
      </c>
      <c r="Q22004" s="5" t="s">
        <v>355</v>
      </c>
    </row>
    <row r="22005" ht="16.5" customHeight="1">
      <c r="O22005" s="5" t="s">
        <v>355</v>
      </c>
      <c r="P22005" s="5" t="s">
        <v>355</v>
      </c>
      <c r="Q22005" s="5" t="s">
        <v>355</v>
      </c>
    </row>
    <row r="22006" ht="16.5" customHeight="1">
      <c r="O22006" s="5" t="s">
        <v>355</v>
      </c>
      <c r="P22006" s="5" t="s">
        <v>355</v>
      </c>
      <c r="Q22006" s="5" t="s">
        <v>355</v>
      </c>
    </row>
    <row r="22007" ht="16.5" customHeight="1">
      <c r="O22007" s="5" t="s">
        <v>355</v>
      </c>
      <c r="P22007" s="5" t="s">
        <v>355</v>
      </c>
      <c r="Q22007" s="5" t="s">
        <v>355</v>
      </c>
    </row>
    <row r="22008" ht="16.5" customHeight="1">
      <c r="O22008" s="5" t="s">
        <v>355</v>
      </c>
      <c r="P22008" s="5" t="s">
        <v>355</v>
      </c>
      <c r="Q22008" s="5" t="s">
        <v>355</v>
      </c>
    </row>
    <row r="22009" ht="16.5" customHeight="1">
      <c r="O22009" s="5" t="s">
        <v>355</v>
      </c>
      <c r="P22009" s="5" t="s">
        <v>355</v>
      </c>
      <c r="Q22009" s="5" t="s">
        <v>355</v>
      </c>
    </row>
    <row r="22010" ht="16.5" customHeight="1">
      <c r="O22010" s="5" t="s">
        <v>355</v>
      </c>
      <c r="P22010" s="5" t="s">
        <v>355</v>
      </c>
      <c r="Q22010" s="5" t="s">
        <v>355</v>
      </c>
    </row>
    <row r="22011" ht="16.5" customHeight="1">
      <c r="O22011" s="5" t="s">
        <v>355</v>
      </c>
      <c r="P22011" s="5" t="s">
        <v>355</v>
      </c>
      <c r="Q22011" s="5" t="s">
        <v>355</v>
      </c>
    </row>
    <row r="22012" ht="16.5" customHeight="1">
      <c r="O22012" s="5" t="s">
        <v>355</v>
      </c>
      <c r="P22012" s="5" t="s">
        <v>355</v>
      </c>
      <c r="Q22012" s="5" t="s">
        <v>355</v>
      </c>
    </row>
    <row r="22013" ht="16.5" customHeight="1">
      <c r="O22013" s="5" t="s">
        <v>355</v>
      </c>
      <c r="P22013" s="5" t="s">
        <v>355</v>
      </c>
      <c r="Q22013" s="5" t="s">
        <v>355</v>
      </c>
    </row>
    <row r="22014" ht="16.5" customHeight="1">
      <c r="O22014" s="5" t="s">
        <v>355</v>
      </c>
      <c r="P22014" s="5" t="s">
        <v>355</v>
      </c>
      <c r="Q22014" s="5" t="s">
        <v>355</v>
      </c>
    </row>
    <row r="22015" ht="16.5" customHeight="1">
      <c r="O22015" s="5" t="s">
        <v>355</v>
      </c>
      <c r="P22015" s="5" t="s">
        <v>355</v>
      </c>
      <c r="Q22015" s="5" t="s">
        <v>355</v>
      </c>
    </row>
    <row r="22016" ht="16.5" customHeight="1">
      <c r="O22016" s="5" t="s">
        <v>355</v>
      </c>
      <c r="P22016" s="5" t="s">
        <v>355</v>
      </c>
      <c r="Q22016" s="5" t="s">
        <v>355</v>
      </c>
    </row>
    <row r="22017" ht="16.5" customHeight="1">
      <c r="O22017" s="5" t="s">
        <v>355</v>
      </c>
      <c r="P22017" s="5" t="s">
        <v>355</v>
      </c>
      <c r="Q22017" s="5" t="s">
        <v>355</v>
      </c>
    </row>
    <row r="22018" ht="16.5" customHeight="1">
      <c r="O22018" s="5" t="s">
        <v>355</v>
      </c>
      <c r="P22018" s="5" t="s">
        <v>355</v>
      </c>
      <c r="Q22018" s="5" t="s">
        <v>355</v>
      </c>
    </row>
    <row r="22019" ht="16.5" customHeight="1">
      <c r="O22019" s="5" t="s">
        <v>355</v>
      </c>
      <c r="P22019" s="5" t="s">
        <v>355</v>
      </c>
      <c r="Q22019" s="5" t="s">
        <v>355</v>
      </c>
    </row>
    <row r="22020" ht="16.5" customHeight="1">
      <c r="O22020" s="5" t="s">
        <v>355</v>
      </c>
      <c r="P22020" s="5" t="s">
        <v>355</v>
      </c>
      <c r="Q22020" s="5" t="s">
        <v>355</v>
      </c>
    </row>
    <row r="22021" ht="16.5" customHeight="1">
      <c r="O22021" s="5" t="s">
        <v>355</v>
      </c>
      <c r="P22021" s="5" t="s">
        <v>355</v>
      </c>
      <c r="Q22021" s="5" t="s">
        <v>355</v>
      </c>
    </row>
    <row r="22022" ht="16.5" customHeight="1">
      <c r="O22022" s="5" t="s">
        <v>355</v>
      </c>
      <c r="P22022" s="5" t="s">
        <v>355</v>
      </c>
      <c r="Q22022" s="5" t="s">
        <v>355</v>
      </c>
    </row>
    <row r="22023" ht="16.5" customHeight="1">
      <c r="O22023" s="5" t="s">
        <v>355</v>
      </c>
      <c r="P22023" s="5" t="s">
        <v>355</v>
      </c>
      <c r="Q22023" s="5" t="s">
        <v>355</v>
      </c>
    </row>
    <row r="22024" ht="16.5" customHeight="1">
      <c r="O22024" s="5" t="s">
        <v>355</v>
      </c>
      <c r="P22024" s="5" t="s">
        <v>355</v>
      </c>
      <c r="Q22024" s="5" t="s">
        <v>355</v>
      </c>
    </row>
    <row r="22025" ht="16.5" customHeight="1">
      <c r="O22025" s="5" t="s">
        <v>355</v>
      </c>
      <c r="P22025" s="5" t="s">
        <v>355</v>
      </c>
      <c r="Q22025" s="5" t="s">
        <v>355</v>
      </c>
    </row>
    <row r="22026" ht="16.5" customHeight="1">
      <c r="O22026" s="5" t="s">
        <v>355</v>
      </c>
      <c r="P22026" s="5" t="s">
        <v>355</v>
      </c>
      <c r="Q22026" s="5" t="s">
        <v>355</v>
      </c>
    </row>
    <row r="22027" ht="16.5" customHeight="1">
      <c r="O22027" s="5" t="s">
        <v>355</v>
      </c>
      <c r="P22027" s="5" t="s">
        <v>355</v>
      </c>
      <c r="Q22027" s="5" t="s">
        <v>355</v>
      </c>
    </row>
    <row r="22028" ht="16.5" customHeight="1">
      <c r="O22028" s="5" t="s">
        <v>355</v>
      </c>
      <c r="P22028" s="5" t="s">
        <v>355</v>
      </c>
      <c r="Q22028" s="5" t="s">
        <v>355</v>
      </c>
    </row>
    <row r="22029" ht="16.5" customHeight="1">
      <c r="O22029" s="5" t="s">
        <v>355</v>
      </c>
      <c r="P22029" s="5" t="s">
        <v>355</v>
      </c>
      <c r="Q22029" s="5" t="s">
        <v>355</v>
      </c>
    </row>
    <row r="22030" ht="16.5" customHeight="1">
      <c r="O22030" s="5" t="s">
        <v>355</v>
      </c>
      <c r="P22030" s="5" t="s">
        <v>355</v>
      </c>
      <c r="Q22030" s="5" t="s">
        <v>355</v>
      </c>
    </row>
    <row r="22031" ht="16.5" customHeight="1">
      <c r="O22031" s="5" t="s">
        <v>355</v>
      </c>
      <c r="P22031" s="5" t="s">
        <v>355</v>
      </c>
      <c r="Q22031" s="5" t="s">
        <v>355</v>
      </c>
    </row>
    <row r="22032" ht="16.5" customHeight="1">
      <c r="O22032" s="5" t="s">
        <v>355</v>
      </c>
      <c r="P22032" s="5" t="s">
        <v>355</v>
      </c>
      <c r="Q22032" s="5" t="s">
        <v>355</v>
      </c>
    </row>
    <row r="22033" ht="16.5" customHeight="1">
      <c r="O22033" s="5" t="s">
        <v>355</v>
      </c>
      <c r="P22033" s="5" t="s">
        <v>355</v>
      </c>
      <c r="Q22033" s="5" t="s">
        <v>355</v>
      </c>
    </row>
    <row r="22034" ht="16.5" customHeight="1">
      <c r="O22034" s="5" t="s">
        <v>355</v>
      </c>
      <c r="P22034" s="5" t="s">
        <v>355</v>
      </c>
      <c r="Q22034" s="5" t="s">
        <v>355</v>
      </c>
    </row>
    <row r="22035" ht="16.5" customHeight="1">
      <c r="O22035" s="5" t="s">
        <v>355</v>
      </c>
      <c r="P22035" s="5" t="s">
        <v>355</v>
      </c>
      <c r="Q22035" s="5" t="s">
        <v>355</v>
      </c>
    </row>
    <row r="22036" ht="16.5" customHeight="1">
      <c r="O22036" s="5" t="s">
        <v>355</v>
      </c>
      <c r="P22036" s="5" t="s">
        <v>355</v>
      </c>
      <c r="Q22036" s="5" t="s">
        <v>355</v>
      </c>
    </row>
    <row r="22037" ht="16.5" customHeight="1">
      <c r="O22037" s="5" t="s">
        <v>355</v>
      </c>
      <c r="P22037" s="5" t="s">
        <v>355</v>
      </c>
      <c r="Q22037" s="5" t="s">
        <v>355</v>
      </c>
    </row>
    <row r="22038" ht="16.5" customHeight="1">
      <c r="O22038" s="5" t="s">
        <v>355</v>
      </c>
      <c r="P22038" s="5" t="s">
        <v>355</v>
      </c>
      <c r="Q22038" s="5" t="s">
        <v>355</v>
      </c>
    </row>
    <row r="22039" ht="16.5" customHeight="1">
      <c r="O22039" s="5" t="s">
        <v>355</v>
      </c>
      <c r="P22039" s="5" t="s">
        <v>355</v>
      </c>
      <c r="Q22039" s="5" t="s">
        <v>355</v>
      </c>
    </row>
    <row r="22040" ht="16.5" customHeight="1">
      <c r="O22040" s="5" t="s">
        <v>355</v>
      </c>
      <c r="P22040" s="5" t="s">
        <v>355</v>
      </c>
      <c r="Q22040" s="5" t="s">
        <v>355</v>
      </c>
    </row>
    <row r="22041" ht="16.5" customHeight="1">
      <c r="O22041" s="5" t="s">
        <v>355</v>
      </c>
      <c r="P22041" s="5" t="s">
        <v>355</v>
      </c>
      <c r="Q22041" s="5" t="s">
        <v>355</v>
      </c>
    </row>
    <row r="22042" ht="16.5" customHeight="1">
      <c r="O22042" s="5" t="s">
        <v>355</v>
      </c>
      <c r="P22042" s="5" t="s">
        <v>355</v>
      </c>
      <c r="Q22042" s="5" t="s">
        <v>355</v>
      </c>
    </row>
    <row r="22043" ht="16.5" customHeight="1">
      <c r="O22043" s="5" t="s">
        <v>355</v>
      </c>
      <c r="P22043" s="5" t="s">
        <v>355</v>
      </c>
      <c r="Q22043" s="5" t="s">
        <v>355</v>
      </c>
    </row>
    <row r="22044" ht="16.5" customHeight="1">
      <c r="O22044" s="5" t="s">
        <v>355</v>
      </c>
      <c r="P22044" s="5" t="s">
        <v>355</v>
      </c>
      <c r="Q22044" s="5" t="s">
        <v>355</v>
      </c>
    </row>
    <row r="22045" ht="16.5" customHeight="1">
      <c r="O22045" s="5" t="s">
        <v>355</v>
      </c>
      <c r="P22045" s="5" t="s">
        <v>355</v>
      </c>
      <c r="Q22045" s="5" t="s">
        <v>355</v>
      </c>
    </row>
    <row r="22046" ht="16.5" customHeight="1">
      <c r="O22046" s="5" t="s">
        <v>355</v>
      </c>
      <c r="P22046" s="5" t="s">
        <v>355</v>
      </c>
      <c r="Q22046" s="5" t="s">
        <v>355</v>
      </c>
    </row>
    <row r="22047" ht="16.5" customHeight="1">
      <c r="O22047" s="5" t="s">
        <v>355</v>
      </c>
      <c r="P22047" s="5" t="s">
        <v>355</v>
      </c>
      <c r="Q22047" s="5" t="s">
        <v>355</v>
      </c>
    </row>
    <row r="22048" ht="16.5" customHeight="1">
      <c r="O22048" s="5" t="s">
        <v>355</v>
      </c>
      <c r="P22048" s="5" t="s">
        <v>355</v>
      </c>
      <c r="Q22048" s="5" t="s">
        <v>355</v>
      </c>
    </row>
    <row r="22049" ht="16.5" customHeight="1">
      <c r="O22049" s="5" t="s">
        <v>355</v>
      </c>
      <c r="P22049" s="5" t="s">
        <v>355</v>
      </c>
      <c r="Q22049" s="5" t="s">
        <v>355</v>
      </c>
    </row>
    <row r="22050" ht="16.5" customHeight="1">
      <c r="O22050" s="5" t="s">
        <v>355</v>
      </c>
      <c r="P22050" s="5" t="s">
        <v>355</v>
      </c>
      <c r="Q22050" s="5" t="s">
        <v>355</v>
      </c>
    </row>
    <row r="22051" ht="16.5" customHeight="1">
      <c r="O22051" s="5" t="s">
        <v>355</v>
      </c>
      <c r="P22051" s="5" t="s">
        <v>355</v>
      </c>
      <c r="Q22051" s="5" t="s">
        <v>355</v>
      </c>
    </row>
    <row r="22052" ht="16.5" customHeight="1">
      <c r="O22052" s="5" t="s">
        <v>355</v>
      </c>
      <c r="P22052" s="5" t="s">
        <v>355</v>
      </c>
      <c r="Q22052" s="5" t="s">
        <v>355</v>
      </c>
    </row>
    <row r="22053" ht="16.5" customHeight="1">
      <c r="O22053" s="5" t="s">
        <v>355</v>
      </c>
      <c r="P22053" s="5" t="s">
        <v>355</v>
      </c>
      <c r="Q22053" s="5" t="s">
        <v>355</v>
      </c>
    </row>
    <row r="22054" ht="16.5" customHeight="1">
      <c r="O22054" s="5" t="s">
        <v>355</v>
      </c>
      <c r="P22054" s="5" t="s">
        <v>355</v>
      </c>
      <c r="Q22054" s="5" t="s">
        <v>355</v>
      </c>
    </row>
    <row r="22055" ht="16.5" customHeight="1">
      <c r="O22055" s="5" t="s">
        <v>355</v>
      </c>
      <c r="P22055" s="5" t="s">
        <v>355</v>
      </c>
      <c r="Q22055" s="5" t="s">
        <v>355</v>
      </c>
    </row>
    <row r="22056" ht="16.5" customHeight="1">
      <c r="O22056" s="5" t="s">
        <v>355</v>
      </c>
      <c r="P22056" s="5" t="s">
        <v>355</v>
      </c>
      <c r="Q22056" s="5" t="s">
        <v>355</v>
      </c>
    </row>
    <row r="22057" ht="16.5" customHeight="1">
      <c r="O22057" s="5" t="s">
        <v>355</v>
      </c>
      <c r="P22057" s="5" t="s">
        <v>355</v>
      </c>
      <c r="Q22057" s="5" t="s">
        <v>355</v>
      </c>
    </row>
    <row r="22058" ht="16.5" customHeight="1">
      <c r="O22058" s="5" t="s">
        <v>355</v>
      </c>
      <c r="P22058" s="5" t="s">
        <v>355</v>
      </c>
      <c r="Q22058" s="5" t="s">
        <v>355</v>
      </c>
    </row>
    <row r="22059" ht="16.5" customHeight="1">
      <c r="O22059" s="5" t="s">
        <v>355</v>
      </c>
      <c r="P22059" s="5" t="s">
        <v>355</v>
      </c>
      <c r="Q22059" s="5" t="s">
        <v>355</v>
      </c>
    </row>
    <row r="22060" ht="16.5" customHeight="1">
      <c r="O22060" s="5" t="s">
        <v>355</v>
      </c>
      <c r="P22060" s="5" t="s">
        <v>355</v>
      </c>
      <c r="Q22060" s="5" t="s">
        <v>355</v>
      </c>
    </row>
    <row r="22061" ht="16.5" customHeight="1">
      <c r="O22061" s="5" t="s">
        <v>355</v>
      </c>
      <c r="P22061" s="5" t="s">
        <v>355</v>
      </c>
      <c r="Q22061" s="5" t="s">
        <v>355</v>
      </c>
    </row>
    <row r="22062" ht="16.5" customHeight="1">
      <c r="O22062" s="5" t="s">
        <v>355</v>
      </c>
      <c r="P22062" s="5" t="s">
        <v>355</v>
      </c>
      <c r="Q22062" s="5" t="s">
        <v>355</v>
      </c>
    </row>
    <row r="22063" ht="16.5" customHeight="1">
      <c r="O22063" s="5" t="s">
        <v>355</v>
      </c>
      <c r="P22063" s="5" t="s">
        <v>355</v>
      </c>
      <c r="Q22063" s="5" t="s">
        <v>355</v>
      </c>
    </row>
    <row r="22064" ht="16.5" customHeight="1">
      <c r="O22064" s="5" t="s">
        <v>355</v>
      </c>
      <c r="P22064" s="5" t="s">
        <v>355</v>
      </c>
      <c r="Q22064" s="5" t="s">
        <v>355</v>
      </c>
    </row>
    <row r="22065" ht="16.5" customHeight="1">
      <c r="O22065" s="5" t="s">
        <v>355</v>
      </c>
      <c r="P22065" s="5" t="s">
        <v>355</v>
      </c>
      <c r="Q22065" s="5" t="s">
        <v>355</v>
      </c>
    </row>
    <row r="22066" ht="16.5" customHeight="1">
      <c r="O22066" s="5" t="s">
        <v>355</v>
      </c>
      <c r="P22066" s="5" t="s">
        <v>355</v>
      </c>
      <c r="Q22066" s="5" t="s">
        <v>355</v>
      </c>
    </row>
    <row r="22067" ht="16.5" customHeight="1">
      <c r="O22067" s="5" t="s">
        <v>355</v>
      </c>
      <c r="P22067" s="5" t="s">
        <v>355</v>
      </c>
      <c r="Q22067" s="5" t="s">
        <v>355</v>
      </c>
    </row>
    <row r="22068" ht="16.5" customHeight="1">
      <c r="O22068" s="5" t="s">
        <v>355</v>
      </c>
      <c r="P22068" s="5" t="s">
        <v>355</v>
      </c>
      <c r="Q22068" s="5" t="s">
        <v>355</v>
      </c>
    </row>
    <row r="22069" ht="16.5" customHeight="1">
      <c r="O22069" s="5" t="s">
        <v>355</v>
      </c>
      <c r="P22069" s="5" t="s">
        <v>355</v>
      </c>
      <c r="Q22069" s="5" t="s">
        <v>355</v>
      </c>
    </row>
    <row r="22070" ht="16.5" customHeight="1">
      <c r="O22070" s="5" t="s">
        <v>355</v>
      </c>
      <c r="P22070" s="5" t="s">
        <v>355</v>
      </c>
      <c r="Q22070" s="5" t="s">
        <v>355</v>
      </c>
    </row>
    <row r="22071" ht="16.5" customHeight="1">
      <c r="O22071" s="5" t="s">
        <v>355</v>
      </c>
      <c r="P22071" s="5" t="s">
        <v>355</v>
      </c>
      <c r="Q22071" s="5" t="s">
        <v>355</v>
      </c>
    </row>
    <row r="22072" ht="16.5" customHeight="1">
      <c r="O22072" s="5" t="s">
        <v>355</v>
      </c>
      <c r="P22072" s="5" t="s">
        <v>355</v>
      </c>
      <c r="Q22072" s="5" t="s">
        <v>355</v>
      </c>
    </row>
    <row r="22073" ht="16.5" customHeight="1">
      <c r="O22073" s="5" t="s">
        <v>355</v>
      </c>
      <c r="P22073" s="5" t="s">
        <v>355</v>
      </c>
      <c r="Q22073" s="5" t="s">
        <v>355</v>
      </c>
    </row>
    <row r="22074" ht="16.5" customHeight="1">
      <c r="O22074" s="5" t="s">
        <v>355</v>
      </c>
      <c r="P22074" s="5" t="s">
        <v>355</v>
      </c>
      <c r="Q22074" s="5" t="s">
        <v>355</v>
      </c>
    </row>
    <row r="22075" ht="16.5" customHeight="1">
      <c r="O22075" s="5" t="s">
        <v>355</v>
      </c>
      <c r="P22075" s="5" t="s">
        <v>355</v>
      </c>
      <c r="Q22075" s="5" t="s">
        <v>355</v>
      </c>
    </row>
    <row r="22076" ht="16.5" customHeight="1">
      <c r="O22076" s="5" t="s">
        <v>355</v>
      </c>
      <c r="P22076" s="5" t="s">
        <v>355</v>
      </c>
      <c r="Q22076" s="5" t="s">
        <v>355</v>
      </c>
    </row>
    <row r="22077" ht="16.5" customHeight="1">
      <c r="O22077" s="5" t="s">
        <v>355</v>
      </c>
      <c r="P22077" s="5" t="s">
        <v>355</v>
      </c>
      <c r="Q22077" s="5" t="s">
        <v>355</v>
      </c>
    </row>
    <row r="22078" ht="16.5" customHeight="1">
      <c r="O22078" s="5" t="s">
        <v>355</v>
      </c>
      <c r="P22078" s="5" t="s">
        <v>355</v>
      </c>
      <c r="Q22078" s="5" t="s">
        <v>355</v>
      </c>
    </row>
    <row r="22079" ht="16.5" customHeight="1">
      <c r="O22079" s="5" t="s">
        <v>355</v>
      </c>
      <c r="P22079" s="5" t="s">
        <v>355</v>
      </c>
      <c r="Q22079" s="5" t="s">
        <v>355</v>
      </c>
    </row>
    <row r="22080" ht="16.5" customHeight="1">
      <c r="O22080" s="5" t="s">
        <v>355</v>
      </c>
      <c r="P22080" s="5" t="s">
        <v>355</v>
      </c>
      <c r="Q22080" s="5" t="s">
        <v>355</v>
      </c>
    </row>
    <row r="22081" ht="16.5" customHeight="1">
      <c r="O22081" s="5" t="s">
        <v>355</v>
      </c>
      <c r="P22081" s="5" t="s">
        <v>355</v>
      </c>
      <c r="Q22081" s="5" t="s">
        <v>355</v>
      </c>
    </row>
    <row r="22082" ht="16.5" customHeight="1">
      <c r="O22082" s="5" t="s">
        <v>355</v>
      </c>
      <c r="P22082" s="5" t="s">
        <v>355</v>
      </c>
      <c r="Q22082" s="5" t="s">
        <v>355</v>
      </c>
    </row>
    <row r="22083" ht="16.5" customHeight="1">
      <c r="O22083" s="5" t="s">
        <v>355</v>
      </c>
      <c r="P22083" s="5" t="s">
        <v>355</v>
      </c>
      <c r="Q22083" s="5" t="s">
        <v>355</v>
      </c>
    </row>
    <row r="22084" ht="16.5" customHeight="1">
      <c r="O22084" s="5" t="s">
        <v>355</v>
      </c>
      <c r="P22084" s="5" t="s">
        <v>355</v>
      </c>
      <c r="Q22084" s="5" t="s">
        <v>355</v>
      </c>
    </row>
    <row r="22085" ht="16.5" customHeight="1">
      <c r="O22085" s="5" t="s">
        <v>355</v>
      </c>
      <c r="P22085" s="5" t="s">
        <v>355</v>
      </c>
      <c r="Q22085" s="5" t="s">
        <v>355</v>
      </c>
    </row>
    <row r="22086" ht="16.5" customHeight="1">
      <c r="O22086" s="5" t="s">
        <v>355</v>
      </c>
      <c r="P22086" s="5" t="s">
        <v>355</v>
      </c>
      <c r="Q22086" s="5" t="s">
        <v>355</v>
      </c>
    </row>
    <row r="22087" ht="16.5" customHeight="1">
      <c r="O22087" s="5" t="s">
        <v>355</v>
      </c>
      <c r="P22087" s="5" t="s">
        <v>355</v>
      </c>
      <c r="Q22087" s="5" t="s">
        <v>355</v>
      </c>
    </row>
    <row r="22088" ht="16.5" customHeight="1">
      <c r="O22088" s="5" t="s">
        <v>355</v>
      </c>
      <c r="P22088" s="5" t="s">
        <v>355</v>
      </c>
      <c r="Q22088" s="5" t="s">
        <v>355</v>
      </c>
    </row>
    <row r="22089" ht="16.5" customHeight="1">
      <c r="O22089" s="5" t="s">
        <v>355</v>
      </c>
      <c r="P22089" s="5" t="s">
        <v>355</v>
      </c>
      <c r="Q22089" s="5" t="s">
        <v>355</v>
      </c>
    </row>
    <row r="22090" ht="16.5" customHeight="1">
      <c r="O22090" s="5" t="s">
        <v>355</v>
      </c>
      <c r="P22090" s="5" t="s">
        <v>355</v>
      </c>
      <c r="Q22090" s="5" t="s">
        <v>355</v>
      </c>
    </row>
    <row r="22091" ht="16.5" customHeight="1">
      <c r="O22091" s="5" t="s">
        <v>355</v>
      </c>
      <c r="P22091" s="5" t="s">
        <v>355</v>
      </c>
      <c r="Q22091" s="5" t="s">
        <v>355</v>
      </c>
    </row>
    <row r="22092" ht="16.5" customHeight="1">
      <c r="O22092" s="5" t="s">
        <v>355</v>
      </c>
      <c r="P22092" s="5" t="s">
        <v>355</v>
      </c>
      <c r="Q22092" s="5" t="s">
        <v>355</v>
      </c>
    </row>
    <row r="22093" ht="16.5" customHeight="1">
      <c r="O22093" s="5" t="s">
        <v>355</v>
      </c>
      <c r="P22093" s="5" t="s">
        <v>355</v>
      </c>
      <c r="Q22093" s="5" t="s">
        <v>355</v>
      </c>
    </row>
    <row r="22094" ht="16.5" customHeight="1">
      <c r="O22094" s="5" t="s">
        <v>355</v>
      </c>
      <c r="P22094" s="5" t="s">
        <v>355</v>
      </c>
      <c r="Q22094" s="5" t="s">
        <v>355</v>
      </c>
    </row>
    <row r="22095" ht="16.5" customHeight="1">
      <c r="O22095" s="5" t="s">
        <v>355</v>
      </c>
      <c r="P22095" s="5" t="s">
        <v>355</v>
      </c>
      <c r="Q22095" s="5" t="s">
        <v>355</v>
      </c>
    </row>
    <row r="22096" ht="16.5" customHeight="1">
      <c r="O22096" s="5" t="s">
        <v>355</v>
      </c>
      <c r="P22096" s="5" t="s">
        <v>355</v>
      </c>
      <c r="Q22096" s="5" t="s">
        <v>355</v>
      </c>
    </row>
    <row r="22097" ht="16.5" customHeight="1">
      <c r="O22097" s="5" t="s">
        <v>355</v>
      </c>
      <c r="P22097" s="5" t="s">
        <v>355</v>
      </c>
      <c r="Q22097" s="5" t="s">
        <v>355</v>
      </c>
    </row>
    <row r="22098" ht="16.5" customHeight="1">
      <c r="O22098" s="5" t="s">
        <v>355</v>
      </c>
      <c r="P22098" s="5" t="s">
        <v>355</v>
      </c>
      <c r="Q22098" s="5" t="s">
        <v>355</v>
      </c>
    </row>
    <row r="22099" ht="16.5" customHeight="1">
      <c r="O22099" s="5" t="s">
        <v>355</v>
      </c>
      <c r="P22099" s="5" t="s">
        <v>355</v>
      </c>
      <c r="Q22099" s="5" t="s">
        <v>355</v>
      </c>
    </row>
    <row r="22100" ht="16.5" customHeight="1">
      <c r="O22100" s="5" t="s">
        <v>355</v>
      </c>
      <c r="P22100" s="5" t="s">
        <v>355</v>
      </c>
      <c r="Q22100" s="5" t="s">
        <v>355</v>
      </c>
    </row>
    <row r="22101" ht="16.5" customHeight="1">
      <c r="O22101" s="5" t="s">
        <v>355</v>
      </c>
      <c r="P22101" s="5" t="s">
        <v>355</v>
      </c>
      <c r="Q22101" s="5" t="s">
        <v>355</v>
      </c>
    </row>
    <row r="22102" ht="16.5" customHeight="1">
      <c r="O22102" s="5" t="s">
        <v>355</v>
      </c>
      <c r="P22102" s="5" t="s">
        <v>355</v>
      </c>
      <c r="Q22102" s="5" t="s">
        <v>355</v>
      </c>
    </row>
    <row r="22103" ht="16.5" customHeight="1">
      <c r="O22103" s="5" t="s">
        <v>355</v>
      </c>
      <c r="P22103" s="5" t="s">
        <v>355</v>
      </c>
      <c r="Q22103" s="5" t="s">
        <v>355</v>
      </c>
    </row>
    <row r="22104" ht="16.5" customHeight="1">
      <c r="O22104" s="5" t="s">
        <v>355</v>
      </c>
      <c r="P22104" s="5" t="s">
        <v>355</v>
      </c>
      <c r="Q22104" s="5" t="s">
        <v>355</v>
      </c>
    </row>
    <row r="22105" ht="16.5" customHeight="1">
      <c r="O22105" s="5" t="s">
        <v>355</v>
      </c>
      <c r="P22105" s="5" t="s">
        <v>355</v>
      </c>
      <c r="Q22105" s="5" t="s">
        <v>355</v>
      </c>
    </row>
    <row r="22106" ht="16.5" customHeight="1">
      <c r="O22106" s="5" t="s">
        <v>355</v>
      </c>
      <c r="P22106" s="5" t="s">
        <v>355</v>
      </c>
      <c r="Q22106" s="5" t="s">
        <v>355</v>
      </c>
    </row>
    <row r="22107" ht="16.5" customHeight="1">
      <c r="O22107" s="5" t="s">
        <v>355</v>
      </c>
      <c r="P22107" s="5" t="s">
        <v>355</v>
      </c>
      <c r="Q22107" s="5" t="s">
        <v>355</v>
      </c>
    </row>
    <row r="22108" ht="16.5" customHeight="1">
      <c r="O22108" s="5" t="s">
        <v>355</v>
      </c>
      <c r="P22108" s="5" t="s">
        <v>355</v>
      </c>
      <c r="Q22108" s="5" t="s">
        <v>355</v>
      </c>
    </row>
    <row r="22109" ht="16.5" customHeight="1">
      <c r="O22109" s="5" t="s">
        <v>355</v>
      </c>
      <c r="P22109" s="5" t="s">
        <v>355</v>
      </c>
      <c r="Q22109" s="5" t="s">
        <v>355</v>
      </c>
    </row>
    <row r="22110" ht="16.5" customHeight="1">
      <c r="O22110" s="5" t="s">
        <v>355</v>
      </c>
      <c r="P22110" s="5" t="s">
        <v>355</v>
      </c>
      <c r="Q22110" s="5" t="s">
        <v>355</v>
      </c>
    </row>
    <row r="22111" ht="16.5" customHeight="1">
      <c r="O22111" s="5" t="s">
        <v>355</v>
      </c>
      <c r="P22111" s="5" t="s">
        <v>355</v>
      </c>
      <c r="Q22111" s="5" t="s">
        <v>355</v>
      </c>
    </row>
    <row r="22112" ht="16.5" customHeight="1">
      <c r="O22112" s="5" t="s">
        <v>355</v>
      </c>
      <c r="P22112" s="5" t="s">
        <v>355</v>
      </c>
      <c r="Q22112" s="5" t="s">
        <v>355</v>
      </c>
    </row>
    <row r="22113" ht="16.5" customHeight="1">
      <c r="O22113" s="5" t="s">
        <v>355</v>
      </c>
      <c r="P22113" s="5" t="s">
        <v>355</v>
      </c>
      <c r="Q22113" s="5" t="s">
        <v>355</v>
      </c>
    </row>
    <row r="22114" ht="16.5" customHeight="1">
      <c r="O22114" s="5" t="s">
        <v>355</v>
      </c>
      <c r="P22114" s="5" t="s">
        <v>355</v>
      </c>
      <c r="Q22114" s="5" t="s">
        <v>355</v>
      </c>
    </row>
    <row r="22115" ht="16.5" customHeight="1">
      <c r="O22115" s="5" t="s">
        <v>355</v>
      </c>
      <c r="P22115" s="5" t="s">
        <v>355</v>
      </c>
      <c r="Q22115" s="5" t="s">
        <v>355</v>
      </c>
    </row>
    <row r="22116" ht="16.5" customHeight="1">
      <c r="O22116" s="5" t="s">
        <v>355</v>
      </c>
      <c r="P22116" s="5" t="s">
        <v>355</v>
      </c>
      <c r="Q22116" s="5" t="s">
        <v>355</v>
      </c>
    </row>
    <row r="22117" ht="16.5" customHeight="1">
      <c r="O22117" s="5" t="s">
        <v>355</v>
      </c>
      <c r="P22117" s="5" t="s">
        <v>355</v>
      </c>
      <c r="Q22117" s="5" t="s">
        <v>355</v>
      </c>
    </row>
    <row r="22118" ht="16.5" customHeight="1">
      <c r="O22118" s="5" t="s">
        <v>355</v>
      </c>
      <c r="P22118" s="5" t="s">
        <v>355</v>
      </c>
      <c r="Q22118" s="5" t="s">
        <v>355</v>
      </c>
    </row>
    <row r="22119" ht="16.5" customHeight="1">
      <c r="O22119" s="5" t="s">
        <v>355</v>
      </c>
      <c r="P22119" s="5" t="s">
        <v>355</v>
      </c>
      <c r="Q22119" s="5" t="s">
        <v>355</v>
      </c>
    </row>
    <row r="22120" ht="16.5" customHeight="1">
      <c r="O22120" s="5" t="s">
        <v>355</v>
      </c>
      <c r="P22120" s="5" t="s">
        <v>355</v>
      </c>
      <c r="Q22120" s="5" t="s">
        <v>355</v>
      </c>
    </row>
    <row r="22121" ht="16.5" customHeight="1">
      <c r="O22121" s="5" t="s">
        <v>355</v>
      </c>
      <c r="P22121" s="5" t="s">
        <v>355</v>
      </c>
      <c r="Q22121" s="5" t="s">
        <v>355</v>
      </c>
    </row>
    <row r="22122" ht="16.5" customHeight="1">
      <c r="O22122" s="5" t="s">
        <v>355</v>
      </c>
      <c r="P22122" s="5" t="s">
        <v>355</v>
      </c>
      <c r="Q22122" s="5" t="s">
        <v>355</v>
      </c>
    </row>
    <row r="22123" ht="16.5" customHeight="1">
      <c r="O22123" s="5" t="s">
        <v>355</v>
      </c>
      <c r="P22123" s="5" t="s">
        <v>355</v>
      </c>
      <c r="Q22123" s="5" t="s">
        <v>355</v>
      </c>
    </row>
    <row r="22124" ht="16.5" customHeight="1">
      <c r="O22124" s="5" t="s">
        <v>355</v>
      </c>
      <c r="P22124" s="5" t="s">
        <v>355</v>
      </c>
      <c r="Q22124" s="5" t="s">
        <v>355</v>
      </c>
    </row>
    <row r="22125" ht="16.5" customHeight="1">
      <c r="O22125" s="5" t="s">
        <v>355</v>
      </c>
      <c r="P22125" s="5" t="s">
        <v>355</v>
      </c>
      <c r="Q22125" s="5" t="s">
        <v>355</v>
      </c>
    </row>
    <row r="22126" ht="16.5" customHeight="1">
      <c r="O22126" s="5" t="s">
        <v>355</v>
      </c>
      <c r="P22126" s="5" t="s">
        <v>355</v>
      </c>
      <c r="Q22126" s="5" t="s">
        <v>355</v>
      </c>
    </row>
    <row r="22127" ht="16.5" customHeight="1">
      <c r="O22127" s="5" t="s">
        <v>355</v>
      </c>
      <c r="P22127" s="5" t="s">
        <v>355</v>
      </c>
      <c r="Q22127" s="5" t="s">
        <v>355</v>
      </c>
    </row>
    <row r="22128" ht="16.5" customHeight="1">
      <c r="O22128" s="5" t="s">
        <v>355</v>
      </c>
      <c r="P22128" s="5" t="s">
        <v>355</v>
      </c>
      <c r="Q22128" s="5" t="s">
        <v>355</v>
      </c>
    </row>
    <row r="22129" ht="16.5" customHeight="1">
      <c r="O22129" s="5" t="s">
        <v>355</v>
      </c>
      <c r="P22129" s="5" t="s">
        <v>355</v>
      </c>
      <c r="Q22129" s="5" t="s">
        <v>355</v>
      </c>
    </row>
    <row r="22130" ht="16.5" customHeight="1">
      <c r="O22130" s="5" t="s">
        <v>355</v>
      </c>
      <c r="P22130" s="5" t="s">
        <v>355</v>
      </c>
      <c r="Q22130" s="5" t="s">
        <v>355</v>
      </c>
    </row>
    <row r="22131" ht="16.5" customHeight="1">
      <c r="O22131" s="5" t="s">
        <v>355</v>
      </c>
      <c r="P22131" s="5" t="s">
        <v>355</v>
      </c>
      <c r="Q22131" s="5" t="s">
        <v>355</v>
      </c>
    </row>
    <row r="22132" ht="16.5" customHeight="1">
      <c r="O22132" s="5" t="s">
        <v>355</v>
      </c>
      <c r="P22132" s="5" t="s">
        <v>355</v>
      </c>
      <c r="Q22132" s="5" t="s">
        <v>355</v>
      </c>
    </row>
    <row r="22133" ht="16.5" customHeight="1">
      <c r="O22133" s="5" t="s">
        <v>355</v>
      </c>
      <c r="P22133" s="5" t="s">
        <v>355</v>
      </c>
      <c r="Q22133" s="5" t="s">
        <v>355</v>
      </c>
    </row>
    <row r="22134" ht="16.5" customHeight="1">
      <c r="O22134" s="5" t="s">
        <v>355</v>
      </c>
      <c r="P22134" s="5" t="s">
        <v>355</v>
      </c>
      <c r="Q22134" s="5" t="s">
        <v>355</v>
      </c>
    </row>
    <row r="22135" ht="16.5" customHeight="1">
      <c r="O22135" s="5" t="s">
        <v>355</v>
      </c>
      <c r="P22135" s="5" t="s">
        <v>355</v>
      </c>
      <c r="Q22135" s="5" t="s">
        <v>355</v>
      </c>
    </row>
    <row r="22136" ht="16.5" customHeight="1">
      <c r="O22136" s="5" t="s">
        <v>355</v>
      </c>
      <c r="P22136" s="5" t="s">
        <v>355</v>
      </c>
      <c r="Q22136" s="5" t="s">
        <v>355</v>
      </c>
    </row>
    <row r="22137" ht="16.5" customHeight="1">
      <c r="O22137" s="5" t="s">
        <v>355</v>
      </c>
      <c r="P22137" s="5" t="s">
        <v>355</v>
      </c>
      <c r="Q22137" s="5" t="s">
        <v>355</v>
      </c>
    </row>
    <row r="22138" ht="16.5" customHeight="1">
      <c r="O22138" s="5" t="s">
        <v>355</v>
      </c>
      <c r="P22138" s="5" t="s">
        <v>355</v>
      </c>
      <c r="Q22138" s="5" t="s">
        <v>355</v>
      </c>
    </row>
    <row r="22139" ht="16.5" customHeight="1">
      <c r="O22139" s="5" t="s">
        <v>355</v>
      </c>
      <c r="P22139" s="5" t="s">
        <v>355</v>
      </c>
      <c r="Q22139" s="5" t="s">
        <v>355</v>
      </c>
    </row>
    <row r="22140" ht="16.5" customHeight="1">
      <c r="O22140" s="5" t="s">
        <v>355</v>
      </c>
      <c r="P22140" s="5" t="s">
        <v>355</v>
      </c>
      <c r="Q22140" s="5" t="s">
        <v>355</v>
      </c>
    </row>
    <row r="22141" ht="16.5" customHeight="1">
      <c r="O22141" s="5" t="s">
        <v>355</v>
      </c>
      <c r="P22141" s="5" t="s">
        <v>355</v>
      </c>
      <c r="Q22141" s="5" t="s">
        <v>355</v>
      </c>
    </row>
    <row r="22142" ht="16.5" customHeight="1">
      <c r="O22142" s="5" t="s">
        <v>355</v>
      </c>
      <c r="P22142" s="5" t="s">
        <v>355</v>
      </c>
      <c r="Q22142" s="5" t="s">
        <v>355</v>
      </c>
    </row>
    <row r="22143" ht="16.5" customHeight="1">
      <c r="O22143" s="5" t="s">
        <v>355</v>
      </c>
      <c r="P22143" s="5" t="s">
        <v>355</v>
      </c>
      <c r="Q22143" s="5" t="s">
        <v>355</v>
      </c>
    </row>
    <row r="22144" ht="16.5" customHeight="1">
      <c r="O22144" s="5" t="s">
        <v>355</v>
      </c>
      <c r="P22144" s="5" t="s">
        <v>355</v>
      </c>
      <c r="Q22144" s="5" t="s">
        <v>355</v>
      </c>
    </row>
    <row r="22145" ht="16.5" customHeight="1">
      <c r="O22145" s="5" t="s">
        <v>355</v>
      </c>
      <c r="P22145" s="5" t="s">
        <v>355</v>
      </c>
      <c r="Q22145" s="5" t="s">
        <v>355</v>
      </c>
    </row>
    <row r="22146" ht="16.5" customHeight="1">
      <c r="O22146" s="5" t="s">
        <v>355</v>
      </c>
      <c r="P22146" s="5" t="s">
        <v>355</v>
      </c>
      <c r="Q22146" s="5" t="s">
        <v>355</v>
      </c>
    </row>
    <row r="22147" ht="16.5" customHeight="1">
      <c r="O22147" s="5" t="s">
        <v>355</v>
      </c>
      <c r="P22147" s="5" t="s">
        <v>355</v>
      </c>
      <c r="Q22147" s="5" t="s">
        <v>355</v>
      </c>
    </row>
    <row r="22148" ht="16.5" customHeight="1">
      <c r="O22148" s="5" t="s">
        <v>355</v>
      </c>
      <c r="P22148" s="5" t="s">
        <v>355</v>
      </c>
      <c r="Q22148" s="5" t="s">
        <v>355</v>
      </c>
    </row>
    <row r="22149" ht="16.5" customHeight="1">
      <c r="O22149" s="5" t="s">
        <v>355</v>
      </c>
      <c r="P22149" s="5" t="s">
        <v>355</v>
      </c>
      <c r="Q22149" s="5" t="s">
        <v>355</v>
      </c>
    </row>
    <row r="22150" ht="16.5" customHeight="1">
      <c r="O22150" s="5" t="s">
        <v>355</v>
      </c>
      <c r="P22150" s="5" t="s">
        <v>355</v>
      </c>
      <c r="Q22150" s="5" t="s">
        <v>355</v>
      </c>
    </row>
    <row r="22151" ht="16.5" customHeight="1">
      <c r="O22151" s="5" t="s">
        <v>355</v>
      </c>
      <c r="P22151" s="5" t="s">
        <v>355</v>
      </c>
      <c r="Q22151" s="5" t="s">
        <v>355</v>
      </c>
    </row>
    <row r="22152" ht="16.5" customHeight="1">
      <c r="O22152" s="5" t="s">
        <v>355</v>
      </c>
      <c r="P22152" s="5" t="s">
        <v>355</v>
      </c>
      <c r="Q22152" s="5" t="s">
        <v>355</v>
      </c>
    </row>
    <row r="22153" ht="16.5" customHeight="1">
      <c r="O22153" s="5" t="s">
        <v>355</v>
      </c>
      <c r="P22153" s="5" t="s">
        <v>355</v>
      </c>
      <c r="Q22153" s="5" t="s">
        <v>355</v>
      </c>
    </row>
    <row r="22154" ht="16.5" customHeight="1">
      <c r="O22154" s="5" t="s">
        <v>355</v>
      </c>
      <c r="P22154" s="5" t="s">
        <v>355</v>
      </c>
      <c r="Q22154" s="5" t="s">
        <v>355</v>
      </c>
    </row>
    <row r="22155" ht="16.5" customHeight="1">
      <c r="O22155" s="5" t="s">
        <v>355</v>
      </c>
      <c r="P22155" s="5" t="s">
        <v>355</v>
      </c>
      <c r="Q22155" s="5" t="s">
        <v>355</v>
      </c>
    </row>
    <row r="22156" ht="16.5" customHeight="1">
      <c r="O22156" s="5" t="s">
        <v>355</v>
      </c>
      <c r="P22156" s="5" t="s">
        <v>355</v>
      </c>
      <c r="Q22156" s="5" t="s">
        <v>355</v>
      </c>
    </row>
    <row r="22157" ht="16.5" customHeight="1">
      <c r="O22157" s="5" t="s">
        <v>355</v>
      </c>
      <c r="P22157" s="5" t="s">
        <v>355</v>
      </c>
      <c r="Q22157" s="5" t="s">
        <v>355</v>
      </c>
    </row>
    <row r="22158" ht="16.5" customHeight="1">
      <c r="O22158" s="5" t="s">
        <v>355</v>
      </c>
      <c r="P22158" s="5" t="s">
        <v>355</v>
      </c>
      <c r="Q22158" s="5" t="s">
        <v>355</v>
      </c>
    </row>
    <row r="22159" ht="16.5" customHeight="1">
      <c r="O22159" s="5" t="s">
        <v>355</v>
      </c>
      <c r="P22159" s="5" t="s">
        <v>355</v>
      </c>
      <c r="Q22159" s="5" t="s">
        <v>355</v>
      </c>
    </row>
    <row r="22160" ht="16.5" customHeight="1">
      <c r="O22160" s="5" t="s">
        <v>355</v>
      </c>
      <c r="P22160" s="5" t="s">
        <v>355</v>
      </c>
      <c r="Q22160" s="5" t="s">
        <v>355</v>
      </c>
    </row>
    <row r="22161" ht="16.5" customHeight="1">
      <c r="O22161" s="5" t="s">
        <v>355</v>
      </c>
      <c r="P22161" s="5" t="s">
        <v>355</v>
      </c>
      <c r="Q22161" s="5" t="s">
        <v>355</v>
      </c>
    </row>
    <row r="22162" ht="16.5" customHeight="1">
      <c r="O22162" s="5" t="s">
        <v>355</v>
      </c>
      <c r="P22162" s="5" t="s">
        <v>355</v>
      </c>
      <c r="Q22162" s="5" t="s">
        <v>355</v>
      </c>
    </row>
    <row r="22163" ht="16.5" customHeight="1">
      <c r="O22163" s="5" t="s">
        <v>355</v>
      </c>
      <c r="P22163" s="5" t="s">
        <v>355</v>
      </c>
      <c r="Q22163" s="5" t="s">
        <v>355</v>
      </c>
    </row>
    <row r="22164" ht="16.5" customHeight="1">
      <c r="O22164" s="5" t="s">
        <v>355</v>
      </c>
      <c r="P22164" s="5" t="s">
        <v>355</v>
      </c>
      <c r="Q22164" s="5" t="s">
        <v>355</v>
      </c>
    </row>
    <row r="22165" ht="16.5" customHeight="1">
      <c r="O22165" s="5" t="s">
        <v>355</v>
      </c>
      <c r="P22165" s="5" t="s">
        <v>355</v>
      </c>
      <c r="Q22165" s="5" t="s">
        <v>355</v>
      </c>
    </row>
    <row r="22166" ht="16.5" customHeight="1">
      <c r="O22166" s="5" t="s">
        <v>355</v>
      </c>
      <c r="P22166" s="5" t="s">
        <v>355</v>
      </c>
      <c r="Q22166" s="5" t="s">
        <v>355</v>
      </c>
    </row>
    <row r="22167" ht="16.5" customHeight="1">
      <c r="O22167" s="5" t="s">
        <v>355</v>
      </c>
      <c r="P22167" s="5" t="s">
        <v>355</v>
      </c>
      <c r="Q22167" s="5" t="s">
        <v>355</v>
      </c>
    </row>
    <row r="22168" ht="16.5" customHeight="1">
      <c r="O22168" s="5" t="s">
        <v>355</v>
      </c>
      <c r="P22168" s="5" t="s">
        <v>355</v>
      </c>
      <c r="Q22168" s="5" t="s">
        <v>355</v>
      </c>
    </row>
    <row r="22169" ht="16.5" customHeight="1">
      <c r="O22169" s="5" t="s">
        <v>355</v>
      </c>
      <c r="P22169" s="5" t="s">
        <v>355</v>
      </c>
      <c r="Q22169" s="5" t="s">
        <v>355</v>
      </c>
    </row>
    <row r="22170" ht="16.5" customHeight="1">
      <c r="O22170" s="5" t="s">
        <v>355</v>
      </c>
      <c r="P22170" s="5" t="s">
        <v>355</v>
      </c>
      <c r="Q22170" s="5" t="s">
        <v>355</v>
      </c>
    </row>
    <row r="22171" ht="16.5" customHeight="1">
      <c r="O22171" s="5" t="s">
        <v>355</v>
      </c>
      <c r="P22171" s="5" t="s">
        <v>355</v>
      </c>
      <c r="Q22171" s="5" t="s">
        <v>355</v>
      </c>
    </row>
    <row r="22172" ht="16.5" customHeight="1">
      <c r="O22172" s="5" t="s">
        <v>355</v>
      </c>
      <c r="P22172" s="5" t="s">
        <v>355</v>
      </c>
      <c r="Q22172" s="5" t="s">
        <v>355</v>
      </c>
    </row>
    <row r="22173" ht="16.5" customHeight="1">
      <c r="O22173" s="5" t="s">
        <v>355</v>
      </c>
      <c r="P22173" s="5" t="s">
        <v>355</v>
      </c>
      <c r="Q22173" s="5" t="s">
        <v>355</v>
      </c>
    </row>
    <row r="22174" ht="16.5" customHeight="1">
      <c r="O22174" s="5" t="s">
        <v>355</v>
      </c>
      <c r="P22174" s="5" t="s">
        <v>355</v>
      </c>
      <c r="Q22174" s="5" t="s">
        <v>355</v>
      </c>
    </row>
    <row r="22175" ht="16.5" customHeight="1">
      <c r="O22175" s="5" t="s">
        <v>355</v>
      </c>
      <c r="P22175" s="5" t="s">
        <v>355</v>
      </c>
      <c r="Q22175" s="5" t="s">
        <v>355</v>
      </c>
    </row>
    <row r="22176" ht="16.5" customHeight="1">
      <c r="O22176" s="5" t="s">
        <v>355</v>
      </c>
      <c r="P22176" s="5" t="s">
        <v>355</v>
      </c>
      <c r="Q22176" s="5" t="s">
        <v>355</v>
      </c>
    </row>
    <row r="22177" ht="16.5" customHeight="1">
      <c r="O22177" s="5" t="s">
        <v>355</v>
      </c>
      <c r="P22177" s="5" t="s">
        <v>355</v>
      </c>
      <c r="Q22177" s="5" t="s">
        <v>355</v>
      </c>
    </row>
    <row r="22178" ht="16.5" customHeight="1">
      <c r="O22178" s="5" t="s">
        <v>355</v>
      </c>
      <c r="P22178" s="5" t="s">
        <v>355</v>
      </c>
      <c r="Q22178" s="5" t="s">
        <v>355</v>
      </c>
    </row>
    <row r="22179" ht="16.5" customHeight="1">
      <c r="O22179" s="5" t="s">
        <v>355</v>
      </c>
      <c r="P22179" s="5" t="s">
        <v>355</v>
      </c>
      <c r="Q22179" s="5" t="s">
        <v>355</v>
      </c>
    </row>
    <row r="22180" ht="16.5" customHeight="1">
      <c r="O22180" s="5" t="s">
        <v>355</v>
      </c>
      <c r="P22180" s="5" t="s">
        <v>355</v>
      </c>
      <c r="Q22180" s="5" t="s">
        <v>355</v>
      </c>
    </row>
    <row r="22181" ht="16.5" customHeight="1">
      <c r="O22181" s="5" t="s">
        <v>355</v>
      </c>
      <c r="P22181" s="5" t="s">
        <v>355</v>
      </c>
      <c r="Q22181" s="5" t="s">
        <v>355</v>
      </c>
    </row>
    <row r="22182" ht="16.5" customHeight="1">
      <c r="O22182" s="5" t="s">
        <v>355</v>
      </c>
      <c r="P22182" s="5" t="s">
        <v>355</v>
      </c>
      <c r="Q22182" s="5" t="s">
        <v>355</v>
      </c>
    </row>
    <row r="22183" ht="16.5" customHeight="1">
      <c r="O22183" s="5" t="s">
        <v>355</v>
      </c>
      <c r="P22183" s="5" t="s">
        <v>355</v>
      </c>
      <c r="Q22183" s="5" t="s">
        <v>355</v>
      </c>
    </row>
    <row r="22184" ht="16.5" customHeight="1">
      <c r="O22184" s="5" t="s">
        <v>355</v>
      </c>
      <c r="P22184" s="5" t="s">
        <v>355</v>
      </c>
      <c r="Q22184" s="5" t="s">
        <v>355</v>
      </c>
    </row>
    <row r="22185" ht="16.5" customHeight="1">
      <c r="O22185" s="5" t="s">
        <v>355</v>
      </c>
      <c r="P22185" s="5" t="s">
        <v>355</v>
      </c>
      <c r="Q22185" s="5" t="s">
        <v>355</v>
      </c>
    </row>
    <row r="22186" ht="16.5" customHeight="1">
      <c r="O22186" s="5" t="s">
        <v>355</v>
      </c>
      <c r="P22186" s="5" t="s">
        <v>355</v>
      </c>
      <c r="Q22186" s="5" t="s">
        <v>355</v>
      </c>
    </row>
    <row r="22187" ht="16.5" customHeight="1">
      <c r="O22187" s="5" t="s">
        <v>355</v>
      </c>
      <c r="P22187" s="5" t="s">
        <v>355</v>
      </c>
      <c r="Q22187" s="5" t="s">
        <v>355</v>
      </c>
    </row>
    <row r="22188" ht="16.5" customHeight="1">
      <c r="O22188" s="5" t="s">
        <v>355</v>
      </c>
      <c r="P22188" s="5" t="s">
        <v>355</v>
      </c>
      <c r="Q22188" s="5" t="s">
        <v>355</v>
      </c>
    </row>
    <row r="22189" ht="16.5" customHeight="1">
      <c r="O22189" s="5" t="s">
        <v>355</v>
      </c>
      <c r="P22189" s="5" t="s">
        <v>355</v>
      </c>
      <c r="Q22189" s="5" t="s">
        <v>355</v>
      </c>
    </row>
    <row r="22190" ht="16.5" customHeight="1">
      <c r="O22190" s="5" t="s">
        <v>355</v>
      </c>
      <c r="P22190" s="5" t="s">
        <v>355</v>
      </c>
      <c r="Q22190" s="5" t="s">
        <v>355</v>
      </c>
    </row>
    <row r="22191" ht="16.5" customHeight="1">
      <c r="O22191" s="5" t="s">
        <v>355</v>
      </c>
      <c r="P22191" s="5" t="s">
        <v>355</v>
      </c>
      <c r="Q22191" s="5" t="s">
        <v>355</v>
      </c>
    </row>
    <row r="22192" ht="16.5" customHeight="1">
      <c r="O22192" s="5" t="s">
        <v>355</v>
      </c>
      <c r="P22192" s="5" t="s">
        <v>355</v>
      </c>
      <c r="Q22192" s="5" t="s">
        <v>355</v>
      </c>
    </row>
    <row r="22193" ht="16.5" customHeight="1">
      <c r="O22193" s="5" t="s">
        <v>355</v>
      </c>
      <c r="P22193" s="5" t="s">
        <v>355</v>
      </c>
      <c r="Q22193" s="5" t="s">
        <v>355</v>
      </c>
    </row>
    <row r="22194" ht="16.5" customHeight="1">
      <c r="O22194" s="5" t="s">
        <v>355</v>
      </c>
      <c r="P22194" s="5" t="s">
        <v>355</v>
      </c>
      <c r="Q22194" s="5" t="s">
        <v>355</v>
      </c>
    </row>
    <row r="22195" ht="16.5" customHeight="1">
      <c r="O22195" s="5" t="s">
        <v>355</v>
      </c>
      <c r="P22195" s="5" t="s">
        <v>355</v>
      </c>
      <c r="Q22195" s="5" t="s">
        <v>355</v>
      </c>
    </row>
    <row r="22196" ht="16.5" customHeight="1">
      <c r="O22196" s="5" t="s">
        <v>355</v>
      </c>
      <c r="P22196" s="5" t="s">
        <v>355</v>
      </c>
      <c r="Q22196" s="5" t="s">
        <v>355</v>
      </c>
    </row>
    <row r="22197" ht="16.5" customHeight="1">
      <c r="O22197" s="5" t="s">
        <v>355</v>
      </c>
      <c r="P22197" s="5" t="s">
        <v>355</v>
      </c>
      <c r="Q22197" s="5" t="s">
        <v>355</v>
      </c>
    </row>
    <row r="22198" ht="16.5" customHeight="1">
      <c r="O22198" s="5" t="s">
        <v>355</v>
      </c>
      <c r="P22198" s="5" t="s">
        <v>355</v>
      </c>
      <c r="Q22198" s="5" t="s">
        <v>355</v>
      </c>
    </row>
    <row r="22199" ht="16.5" customHeight="1">
      <c r="O22199" s="5" t="s">
        <v>355</v>
      </c>
      <c r="P22199" s="5" t="s">
        <v>355</v>
      </c>
      <c r="Q22199" s="5" t="s">
        <v>355</v>
      </c>
    </row>
    <row r="22200" ht="16.5" customHeight="1">
      <c r="O22200" s="5" t="s">
        <v>355</v>
      </c>
      <c r="P22200" s="5" t="s">
        <v>355</v>
      </c>
      <c r="Q22200" s="5" t="s">
        <v>355</v>
      </c>
    </row>
    <row r="22201" ht="16.5" customHeight="1">
      <c r="O22201" s="5" t="s">
        <v>355</v>
      </c>
      <c r="P22201" s="5" t="s">
        <v>355</v>
      </c>
      <c r="Q22201" s="5" t="s">
        <v>355</v>
      </c>
    </row>
    <row r="22202" ht="16.5" customHeight="1">
      <c r="O22202" s="5" t="s">
        <v>355</v>
      </c>
      <c r="P22202" s="5" t="s">
        <v>355</v>
      </c>
      <c r="Q22202" s="5" t="s">
        <v>355</v>
      </c>
    </row>
    <row r="22203" ht="16.5" customHeight="1">
      <c r="O22203" s="5" t="s">
        <v>355</v>
      </c>
      <c r="P22203" s="5" t="s">
        <v>355</v>
      </c>
      <c r="Q22203" s="5" t="s">
        <v>355</v>
      </c>
    </row>
    <row r="22204" ht="16.5" customHeight="1">
      <c r="O22204" s="5" t="s">
        <v>355</v>
      </c>
      <c r="P22204" s="5" t="s">
        <v>355</v>
      </c>
      <c r="Q22204" s="5" t="s">
        <v>355</v>
      </c>
    </row>
    <row r="22205" ht="16.5" customHeight="1">
      <c r="O22205" s="5" t="s">
        <v>355</v>
      </c>
      <c r="P22205" s="5" t="s">
        <v>355</v>
      </c>
      <c r="Q22205" s="5" t="s">
        <v>355</v>
      </c>
    </row>
    <row r="22206" ht="16.5" customHeight="1">
      <c r="O22206" s="5" t="s">
        <v>355</v>
      </c>
      <c r="P22206" s="5" t="s">
        <v>355</v>
      </c>
      <c r="Q22206" s="5" t="s">
        <v>355</v>
      </c>
    </row>
    <row r="22207" ht="16.5" customHeight="1">
      <c r="O22207" s="5" t="s">
        <v>355</v>
      </c>
      <c r="P22207" s="5" t="s">
        <v>355</v>
      </c>
      <c r="Q22207" s="5" t="s">
        <v>355</v>
      </c>
    </row>
    <row r="22208" ht="16.5" customHeight="1">
      <c r="O22208" s="5" t="s">
        <v>355</v>
      </c>
      <c r="P22208" s="5" t="s">
        <v>355</v>
      </c>
      <c r="Q22208" s="5" t="s">
        <v>355</v>
      </c>
    </row>
    <row r="22209" ht="16.5" customHeight="1">
      <c r="O22209" s="5" t="s">
        <v>355</v>
      </c>
      <c r="P22209" s="5" t="s">
        <v>355</v>
      </c>
      <c r="Q22209" s="5" t="s">
        <v>355</v>
      </c>
    </row>
    <row r="22210" ht="16.5" customHeight="1">
      <c r="O22210" s="5" t="s">
        <v>355</v>
      </c>
      <c r="P22210" s="5" t="s">
        <v>355</v>
      </c>
      <c r="Q22210" s="5" t="s">
        <v>355</v>
      </c>
    </row>
    <row r="22211" ht="16.5" customHeight="1">
      <c r="O22211" s="5" t="s">
        <v>355</v>
      </c>
      <c r="P22211" s="5" t="s">
        <v>355</v>
      </c>
      <c r="Q22211" s="5" t="s">
        <v>355</v>
      </c>
    </row>
    <row r="22212" ht="16.5" customHeight="1">
      <c r="O22212" s="5" t="s">
        <v>355</v>
      </c>
      <c r="P22212" s="5" t="s">
        <v>355</v>
      </c>
      <c r="Q22212" s="5" t="s">
        <v>355</v>
      </c>
    </row>
    <row r="22213" ht="16.5" customHeight="1">
      <c r="O22213" s="5" t="s">
        <v>355</v>
      </c>
      <c r="P22213" s="5" t="s">
        <v>355</v>
      </c>
      <c r="Q22213" s="5" t="s">
        <v>355</v>
      </c>
    </row>
    <row r="22214" ht="16.5" customHeight="1">
      <c r="O22214" s="5" t="s">
        <v>355</v>
      </c>
      <c r="P22214" s="5" t="s">
        <v>355</v>
      </c>
      <c r="Q22214" s="5" t="s">
        <v>355</v>
      </c>
    </row>
    <row r="22215" ht="16.5" customHeight="1">
      <c r="O22215" s="5" t="s">
        <v>355</v>
      </c>
      <c r="P22215" s="5" t="s">
        <v>355</v>
      </c>
      <c r="Q22215" s="5" t="s">
        <v>355</v>
      </c>
    </row>
    <row r="22216" ht="16.5" customHeight="1">
      <c r="O22216" s="5" t="s">
        <v>355</v>
      </c>
      <c r="P22216" s="5" t="s">
        <v>355</v>
      </c>
      <c r="Q22216" s="5" t="s">
        <v>355</v>
      </c>
    </row>
    <row r="22217" ht="16.5" customHeight="1">
      <c r="O22217" s="5" t="s">
        <v>355</v>
      </c>
      <c r="P22217" s="5" t="s">
        <v>355</v>
      </c>
      <c r="Q22217" s="5" t="s">
        <v>355</v>
      </c>
    </row>
    <row r="22218" ht="16.5" customHeight="1">
      <c r="O22218" s="5" t="s">
        <v>355</v>
      </c>
      <c r="P22218" s="5" t="s">
        <v>355</v>
      </c>
      <c r="Q22218" s="5" t="s">
        <v>355</v>
      </c>
    </row>
    <row r="22219" ht="16.5" customHeight="1">
      <c r="O22219" s="5" t="s">
        <v>355</v>
      </c>
      <c r="P22219" s="5" t="s">
        <v>355</v>
      </c>
      <c r="Q22219" s="5" t="s">
        <v>355</v>
      </c>
    </row>
    <row r="22220" ht="16.5" customHeight="1">
      <c r="O22220" s="5" t="s">
        <v>355</v>
      </c>
      <c r="P22220" s="5" t="s">
        <v>355</v>
      </c>
      <c r="Q22220" s="5" t="s">
        <v>355</v>
      </c>
    </row>
    <row r="22221" ht="16.5" customHeight="1">
      <c r="O22221" s="5" t="s">
        <v>355</v>
      </c>
      <c r="P22221" s="5" t="s">
        <v>355</v>
      </c>
      <c r="Q22221" s="5" t="s">
        <v>355</v>
      </c>
    </row>
    <row r="22222" ht="16.5" customHeight="1">
      <c r="O22222" s="5" t="s">
        <v>355</v>
      </c>
      <c r="P22222" s="5" t="s">
        <v>355</v>
      </c>
      <c r="Q22222" s="5" t="s">
        <v>355</v>
      </c>
    </row>
    <row r="22223" ht="16.5" customHeight="1">
      <c r="O22223" s="5" t="s">
        <v>355</v>
      </c>
      <c r="P22223" s="5" t="s">
        <v>355</v>
      </c>
      <c r="Q22223" s="5" t="s">
        <v>355</v>
      </c>
    </row>
    <row r="22224" ht="16.5" customHeight="1">
      <c r="O22224" s="5" t="s">
        <v>355</v>
      </c>
      <c r="P22224" s="5" t="s">
        <v>355</v>
      </c>
      <c r="Q22224" s="5" t="s">
        <v>355</v>
      </c>
    </row>
    <row r="22225" ht="16.5" customHeight="1">
      <c r="O22225" s="5" t="s">
        <v>355</v>
      </c>
      <c r="P22225" s="5" t="s">
        <v>355</v>
      </c>
      <c r="Q22225" s="5" t="s">
        <v>355</v>
      </c>
    </row>
    <row r="22226" ht="16.5" customHeight="1">
      <c r="O22226" s="5" t="s">
        <v>355</v>
      </c>
      <c r="P22226" s="5" t="s">
        <v>355</v>
      </c>
      <c r="Q22226" s="5" t="s">
        <v>355</v>
      </c>
    </row>
    <row r="22227" ht="16.5" customHeight="1">
      <c r="O22227" s="5" t="s">
        <v>355</v>
      </c>
      <c r="P22227" s="5" t="s">
        <v>355</v>
      </c>
      <c r="Q22227" s="5" t="s">
        <v>355</v>
      </c>
    </row>
    <row r="22228" ht="16.5" customHeight="1">
      <c r="O22228" s="5" t="s">
        <v>355</v>
      </c>
      <c r="P22228" s="5" t="s">
        <v>355</v>
      </c>
      <c r="Q22228" s="5" t="s">
        <v>355</v>
      </c>
    </row>
    <row r="22229" ht="16.5" customHeight="1">
      <c r="O22229" s="5" t="s">
        <v>355</v>
      </c>
      <c r="P22229" s="5" t="s">
        <v>355</v>
      </c>
      <c r="Q22229" s="5" t="s">
        <v>355</v>
      </c>
    </row>
    <row r="22230" ht="16.5" customHeight="1">
      <c r="O22230" s="5" t="s">
        <v>355</v>
      </c>
      <c r="P22230" s="5" t="s">
        <v>355</v>
      </c>
      <c r="Q22230" s="5" t="s">
        <v>355</v>
      </c>
    </row>
    <row r="22231" ht="16.5" customHeight="1">
      <c r="O22231" s="5" t="s">
        <v>355</v>
      </c>
      <c r="P22231" s="5" t="s">
        <v>355</v>
      </c>
      <c r="Q22231" s="5" t="s">
        <v>355</v>
      </c>
    </row>
    <row r="22232" ht="16.5" customHeight="1">
      <c r="O22232" s="5" t="s">
        <v>355</v>
      </c>
      <c r="P22232" s="5" t="s">
        <v>355</v>
      </c>
      <c r="Q22232" s="5" t="s">
        <v>355</v>
      </c>
    </row>
    <row r="22233" ht="16.5" customHeight="1">
      <c r="O22233" s="5" t="s">
        <v>355</v>
      </c>
      <c r="P22233" s="5" t="s">
        <v>355</v>
      </c>
      <c r="Q22233" s="5" t="s">
        <v>355</v>
      </c>
    </row>
    <row r="22234" ht="16.5" customHeight="1">
      <c r="O22234" s="5" t="s">
        <v>355</v>
      </c>
      <c r="P22234" s="5" t="s">
        <v>355</v>
      </c>
      <c r="Q22234" s="5" t="s">
        <v>355</v>
      </c>
    </row>
    <row r="22235" ht="16.5" customHeight="1">
      <c r="O22235" s="5" t="s">
        <v>355</v>
      </c>
      <c r="P22235" s="5" t="s">
        <v>355</v>
      </c>
      <c r="Q22235" s="5" t="s">
        <v>355</v>
      </c>
    </row>
    <row r="22236" ht="16.5" customHeight="1">
      <c r="O22236" s="5" t="s">
        <v>355</v>
      </c>
      <c r="P22236" s="5" t="s">
        <v>355</v>
      </c>
      <c r="Q22236" s="5" t="s">
        <v>355</v>
      </c>
    </row>
    <row r="22237" ht="16.5" customHeight="1">
      <c r="O22237" s="5" t="s">
        <v>355</v>
      </c>
      <c r="P22237" s="5" t="s">
        <v>355</v>
      </c>
      <c r="Q22237" s="5" t="s">
        <v>355</v>
      </c>
    </row>
    <row r="22238" ht="16.5" customHeight="1">
      <c r="O22238" s="5" t="s">
        <v>355</v>
      </c>
      <c r="P22238" s="5" t="s">
        <v>355</v>
      </c>
      <c r="Q22238" s="5" t="s">
        <v>355</v>
      </c>
    </row>
    <row r="22239" ht="16.5" customHeight="1">
      <c r="O22239" s="5" t="s">
        <v>355</v>
      </c>
      <c r="P22239" s="5" t="s">
        <v>355</v>
      </c>
      <c r="Q22239" s="5" t="s">
        <v>355</v>
      </c>
    </row>
    <row r="22240" ht="16.5" customHeight="1">
      <c r="O22240" s="5" t="s">
        <v>355</v>
      </c>
      <c r="P22240" s="5" t="s">
        <v>355</v>
      </c>
      <c r="Q22240" s="5" t="s">
        <v>355</v>
      </c>
    </row>
    <row r="22241" ht="16.5" customHeight="1">
      <c r="O22241" s="5" t="s">
        <v>355</v>
      </c>
      <c r="P22241" s="5" t="s">
        <v>355</v>
      </c>
      <c r="Q22241" s="5" t="s">
        <v>355</v>
      </c>
    </row>
    <row r="22242" ht="16.5" customHeight="1">
      <c r="O22242" s="5" t="s">
        <v>355</v>
      </c>
      <c r="P22242" s="5" t="s">
        <v>355</v>
      </c>
      <c r="Q22242" s="5" t="s">
        <v>355</v>
      </c>
    </row>
    <row r="22243" ht="16.5" customHeight="1">
      <c r="O22243" s="5" t="s">
        <v>355</v>
      </c>
      <c r="P22243" s="5" t="s">
        <v>355</v>
      </c>
      <c r="Q22243" s="5" t="s">
        <v>355</v>
      </c>
    </row>
    <row r="22244" ht="16.5" customHeight="1">
      <c r="O22244" s="5" t="s">
        <v>355</v>
      </c>
      <c r="P22244" s="5" t="s">
        <v>355</v>
      </c>
      <c r="Q22244" s="5" t="s">
        <v>355</v>
      </c>
    </row>
    <row r="22245" ht="16.5" customHeight="1">
      <c r="O22245" s="5" t="s">
        <v>355</v>
      </c>
      <c r="P22245" s="5" t="s">
        <v>355</v>
      </c>
      <c r="Q22245" s="5" t="s">
        <v>355</v>
      </c>
    </row>
    <row r="22246" ht="16.5" customHeight="1">
      <c r="O22246" s="5" t="s">
        <v>355</v>
      </c>
      <c r="P22246" s="5" t="s">
        <v>355</v>
      </c>
      <c r="Q22246" s="5" t="s">
        <v>355</v>
      </c>
    </row>
    <row r="22247" ht="16.5" customHeight="1">
      <c r="O22247" s="5" t="s">
        <v>355</v>
      </c>
      <c r="P22247" s="5" t="s">
        <v>355</v>
      </c>
      <c r="Q22247" s="5" t="s">
        <v>355</v>
      </c>
    </row>
    <row r="22248" ht="16.5" customHeight="1">
      <c r="O22248" s="5" t="s">
        <v>355</v>
      </c>
      <c r="P22248" s="5" t="s">
        <v>355</v>
      </c>
      <c r="Q22248" s="5" t="s">
        <v>355</v>
      </c>
    </row>
    <row r="22249" ht="16.5" customHeight="1">
      <c r="O22249" s="5" t="s">
        <v>355</v>
      </c>
      <c r="P22249" s="5" t="s">
        <v>355</v>
      </c>
      <c r="Q22249" s="5" t="s">
        <v>355</v>
      </c>
    </row>
    <row r="22250" ht="16.5" customHeight="1">
      <c r="O22250" s="5" t="s">
        <v>355</v>
      </c>
      <c r="P22250" s="5" t="s">
        <v>355</v>
      </c>
      <c r="Q22250" s="5" t="s">
        <v>355</v>
      </c>
    </row>
    <row r="22251" ht="16.5" customHeight="1">
      <c r="O22251" s="5" t="s">
        <v>355</v>
      </c>
      <c r="P22251" s="5" t="s">
        <v>355</v>
      </c>
      <c r="Q22251" s="5" t="s">
        <v>355</v>
      </c>
    </row>
    <row r="22252" ht="16.5" customHeight="1">
      <c r="O22252" s="5" t="s">
        <v>355</v>
      </c>
      <c r="P22252" s="5" t="s">
        <v>355</v>
      </c>
      <c r="Q22252" s="5" t="s">
        <v>355</v>
      </c>
    </row>
    <row r="22253" ht="16.5" customHeight="1">
      <c r="O22253" s="5" t="s">
        <v>355</v>
      </c>
      <c r="P22253" s="5" t="s">
        <v>355</v>
      </c>
      <c r="Q22253" s="5" t="s">
        <v>355</v>
      </c>
    </row>
    <row r="22254" ht="16.5" customHeight="1">
      <c r="O22254" s="5" t="s">
        <v>355</v>
      </c>
      <c r="P22254" s="5" t="s">
        <v>355</v>
      </c>
      <c r="Q22254" s="5" t="s">
        <v>355</v>
      </c>
    </row>
    <row r="22255" ht="16.5" customHeight="1">
      <c r="O22255" s="5" t="s">
        <v>355</v>
      </c>
      <c r="P22255" s="5" t="s">
        <v>355</v>
      </c>
      <c r="Q22255" s="5" t="s">
        <v>355</v>
      </c>
    </row>
    <row r="22256" ht="16.5" customHeight="1">
      <c r="O22256" s="5" t="s">
        <v>355</v>
      </c>
      <c r="P22256" s="5" t="s">
        <v>355</v>
      </c>
      <c r="Q22256" s="5" t="s">
        <v>355</v>
      </c>
    </row>
    <row r="22257" ht="16.5" customHeight="1">
      <c r="O22257" s="5" t="s">
        <v>355</v>
      </c>
      <c r="P22257" s="5" t="s">
        <v>355</v>
      </c>
      <c r="Q22257" s="5" t="s">
        <v>355</v>
      </c>
    </row>
    <row r="22258" ht="16.5" customHeight="1">
      <c r="O22258" s="5" t="s">
        <v>355</v>
      </c>
      <c r="P22258" s="5" t="s">
        <v>355</v>
      </c>
      <c r="Q22258" s="5" t="s">
        <v>355</v>
      </c>
    </row>
    <row r="22259" ht="16.5" customHeight="1">
      <c r="O22259" s="5" t="s">
        <v>355</v>
      </c>
      <c r="P22259" s="5" t="s">
        <v>355</v>
      </c>
      <c r="Q22259" s="5" t="s">
        <v>355</v>
      </c>
    </row>
    <row r="22260" ht="16.5" customHeight="1">
      <c r="O22260" s="5" t="s">
        <v>355</v>
      </c>
      <c r="P22260" s="5" t="s">
        <v>355</v>
      </c>
      <c r="Q22260" s="5" t="s">
        <v>355</v>
      </c>
    </row>
    <row r="22261" ht="16.5" customHeight="1">
      <c r="O22261" s="5" t="s">
        <v>355</v>
      </c>
      <c r="P22261" s="5" t="s">
        <v>355</v>
      </c>
      <c r="Q22261" s="5" t="s">
        <v>355</v>
      </c>
    </row>
    <row r="22262" ht="16.5" customHeight="1">
      <c r="O22262" s="5" t="s">
        <v>355</v>
      </c>
      <c r="P22262" s="5" t="s">
        <v>355</v>
      </c>
      <c r="Q22262" s="5" t="s">
        <v>355</v>
      </c>
    </row>
    <row r="22263" ht="16.5" customHeight="1">
      <c r="O22263" s="5" t="s">
        <v>355</v>
      </c>
      <c r="P22263" s="5" t="s">
        <v>355</v>
      </c>
      <c r="Q22263" s="5" t="s">
        <v>355</v>
      </c>
    </row>
    <row r="22264" ht="16.5" customHeight="1">
      <c r="O22264" s="5" t="s">
        <v>355</v>
      </c>
      <c r="P22264" s="5" t="s">
        <v>355</v>
      </c>
      <c r="Q22264" s="5" t="s">
        <v>355</v>
      </c>
    </row>
    <row r="22265" ht="16.5" customHeight="1">
      <c r="O22265" s="5" t="s">
        <v>355</v>
      </c>
      <c r="P22265" s="5" t="s">
        <v>355</v>
      </c>
      <c r="Q22265" s="5" t="s">
        <v>355</v>
      </c>
    </row>
    <row r="22266" ht="16.5" customHeight="1">
      <c r="O22266" s="5" t="s">
        <v>355</v>
      </c>
      <c r="P22266" s="5" t="s">
        <v>355</v>
      </c>
      <c r="Q22266" s="5" t="s">
        <v>355</v>
      </c>
    </row>
    <row r="22267" ht="16.5" customHeight="1">
      <c r="O22267" s="5" t="s">
        <v>355</v>
      </c>
      <c r="P22267" s="5" t="s">
        <v>355</v>
      </c>
      <c r="Q22267" s="5" t="s">
        <v>355</v>
      </c>
    </row>
    <row r="22268" ht="16.5" customHeight="1">
      <c r="O22268" s="5" t="s">
        <v>355</v>
      </c>
      <c r="P22268" s="5" t="s">
        <v>355</v>
      </c>
      <c r="Q22268" s="5" t="s">
        <v>355</v>
      </c>
    </row>
    <row r="22269" ht="16.5" customHeight="1">
      <c r="O22269" s="5" t="s">
        <v>355</v>
      </c>
      <c r="P22269" s="5" t="s">
        <v>355</v>
      </c>
      <c r="Q22269" s="5" t="s">
        <v>355</v>
      </c>
    </row>
    <row r="22270" ht="16.5" customHeight="1">
      <c r="O22270" s="5" t="s">
        <v>355</v>
      </c>
      <c r="P22270" s="5" t="s">
        <v>355</v>
      </c>
      <c r="Q22270" s="5" t="s">
        <v>355</v>
      </c>
    </row>
    <row r="22271" ht="16.5" customHeight="1">
      <c r="O22271" s="5" t="s">
        <v>355</v>
      </c>
      <c r="P22271" s="5" t="s">
        <v>355</v>
      </c>
      <c r="Q22271" s="5" t="s">
        <v>355</v>
      </c>
    </row>
    <row r="22272" ht="16.5" customHeight="1">
      <c r="O22272" s="5" t="s">
        <v>355</v>
      </c>
      <c r="P22272" s="5" t="s">
        <v>355</v>
      </c>
      <c r="Q22272" s="5" t="s">
        <v>355</v>
      </c>
    </row>
    <row r="22273" ht="16.5" customHeight="1">
      <c r="O22273" s="5" t="s">
        <v>355</v>
      </c>
      <c r="P22273" s="5" t="s">
        <v>355</v>
      </c>
      <c r="Q22273" s="5" t="s">
        <v>355</v>
      </c>
    </row>
    <row r="22274" ht="16.5" customHeight="1">
      <c r="O22274" s="5" t="s">
        <v>355</v>
      </c>
      <c r="P22274" s="5" t="s">
        <v>355</v>
      </c>
      <c r="Q22274" s="5" t="s">
        <v>355</v>
      </c>
    </row>
    <row r="22275" ht="16.5" customHeight="1">
      <c r="O22275" s="5" t="s">
        <v>355</v>
      </c>
      <c r="P22275" s="5" t="s">
        <v>355</v>
      </c>
      <c r="Q22275" s="5" t="s">
        <v>355</v>
      </c>
    </row>
    <row r="22276" ht="16.5" customHeight="1">
      <c r="O22276" s="5" t="s">
        <v>355</v>
      </c>
      <c r="P22276" s="5" t="s">
        <v>355</v>
      </c>
      <c r="Q22276" s="5" t="s">
        <v>355</v>
      </c>
    </row>
    <row r="22277" ht="16.5" customHeight="1">
      <c r="O22277" s="5" t="s">
        <v>355</v>
      </c>
      <c r="P22277" s="5" t="s">
        <v>355</v>
      </c>
      <c r="Q22277" s="5" t="s">
        <v>355</v>
      </c>
    </row>
    <row r="22278" ht="16.5" customHeight="1">
      <c r="O22278" s="5" t="s">
        <v>355</v>
      </c>
      <c r="P22278" s="5" t="s">
        <v>355</v>
      </c>
      <c r="Q22278" s="5" t="s">
        <v>355</v>
      </c>
    </row>
    <row r="22279" ht="16.5" customHeight="1">
      <c r="O22279" s="5" t="s">
        <v>355</v>
      </c>
      <c r="P22279" s="5" t="s">
        <v>355</v>
      </c>
      <c r="Q22279" s="5" t="s">
        <v>355</v>
      </c>
    </row>
    <row r="22280" ht="16.5" customHeight="1">
      <c r="O22280" s="5" t="s">
        <v>355</v>
      </c>
      <c r="P22280" s="5" t="s">
        <v>355</v>
      </c>
      <c r="Q22280" s="5" t="s">
        <v>355</v>
      </c>
    </row>
    <row r="22281" ht="16.5" customHeight="1">
      <c r="O22281" s="5" t="s">
        <v>355</v>
      </c>
      <c r="P22281" s="5" t="s">
        <v>355</v>
      </c>
      <c r="Q22281" s="5" t="s">
        <v>355</v>
      </c>
    </row>
    <row r="22282" ht="16.5" customHeight="1">
      <c r="O22282" s="5" t="s">
        <v>355</v>
      </c>
      <c r="P22282" s="5" t="s">
        <v>355</v>
      </c>
      <c r="Q22282" s="5" t="s">
        <v>355</v>
      </c>
    </row>
    <row r="22283" ht="16.5" customHeight="1">
      <c r="O22283" s="5" t="s">
        <v>355</v>
      </c>
      <c r="P22283" s="5" t="s">
        <v>355</v>
      </c>
      <c r="Q22283" s="5" t="s">
        <v>355</v>
      </c>
    </row>
    <row r="22284" ht="16.5" customHeight="1">
      <c r="O22284" s="5" t="s">
        <v>355</v>
      </c>
      <c r="P22284" s="5" t="s">
        <v>355</v>
      </c>
      <c r="Q22284" s="5" t="s">
        <v>355</v>
      </c>
    </row>
    <row r="22285" ht="16.5" customHeight="1">
      <c r="O22285" s="5" t="s">
        <v>355</v>
      </c>
      <c r="P22285" s="5" t="s">
        <v>355</v>
      </c>
      <c r="Q22285" s="5" t="s">
        <v>355</v>
      </c>
    </row>
    <row r="22286" ht="16.5" customHeight="1">
      <c r="O22286" s="5" t="s">
        <v>355</v>
      </c>
      <c r="P22286" s="5" t="s">
        <v>355</v>
      </c>
      <c r="Q22286" s="5" t="s">
        <v>355</v>
      </c>
    </row>
    <row r="22287" ht="16.5" customHeight="1">
      <c r="O22287" s="5" t="s">
        <v>355</v>
      </c>
      <c r="P22287" s="5" t="s">
        <v>355</v>
      </c>
      <c r="Q22287" s="5" t="s">
        <v>355</v>
      </c>
    </row>
    <row r="22288" ht="16.5" customHeight="1">
      <c r="O22288" s="5" t="s">
        <v>355</v>
      </c>
      <c r="P22288" s="5" t="s">
        <v>355</v>
      </c>
      <c r="Q22288" s="5" t="s">
        <v>355</v>
      </c>
    </row>
    <row r="22289" ht="16.5" customHeight="1">
      <c r="O22289" s="5" t="s">
        <v>355</v>
      </c>
      <c r="P22289" s="5" t="s">
        <v>355</v>
      </c>
      <c r="Q22289" s="5" t="s">
        <v>355</v>
      </c>
    </row>
    <row r="22290" ht="16.5" customHeight="1">
      <c r="O22290" s="5" t="s">
        <v>355</v>
      </c>
      <c r="P22290" s="5" t="s">
        <v>355</v>
      </c>
      <c r="Q22290" s="5" t="s">
        <v>355</v>
      </c>
    </row>
    <row r="22291" ht="16.5" customHeight="1">
      <c r="O22291" s="5" t="s">
        <v>355</v>
      </c>
      <c r="P22291" s="5" t="s">
        <v>355</v>
      </c>
      <c r="Q22291" s="5" t="s">
        <v>355</v>
      </c>
    </row>
    <row r="22292" ht="16.5" customHeight="1">
      <c r="O22292" s="5" t="s">
        <v>355</v>
      </c>
      <c r="P22292" s="5" t="s">
        <v>355</v>
      </c>
      <c r="Q22292" s="5" t="s">
        <v>355</v>
      </c>
    </row>
    <row r="22293" ht="16.5" customHeight="1">
      <c r="O22293" s="5" t="s">
        <v>355</v>
      </c>
      <c r="P22293" s="5" t="s">
        <v>355</v>
      </c>
      <c r="Q22293" s="5" t="s">
        <v>355</v>
      </c>
    </row>
    <row r="22294" ht="16.5" customHeight="1">
      <c r="O22294" s="5" t="s">
        <v>355</v>
      </c>
      <c r="P22294" s="5" t="s">
        <v>355</v>
      </c>
      <c r="Q22294" s="5" t="s">
        <v>355</v>
      </c>
    </row>
    <row r="22295" ht="16.5" customHeight="1">
      <c r="O22295" s="5" t="s">
        <v>355</v>
      </c>
      <c r="P22295" s="5" t="s">
        <v>355</v>
      </c>
      <c r="Q22295" s="5" t="s">
        <v>355</v>
      </c>
    </row>
    <row r="22296" ht="16.5" customHeight="1">
      <c r="O22296" s="5" t="s">
        <v>355</v>
      </c>
      <c r="P22296" s="5" t="s">
        <v>355</v>
      </c>
      <c r="Q22296" s="5" t="s">
        <v>355</v>
      </c>
    </row>
    <row r="22297" ht="16.5" customHeight="1">
      <c r="O22297" s="5" t="s">
        <v>355</v>
      </c>
      <c r="P22297" s="5" t="s">
        <v>355</v>
      </c>
      <c r="Q22297" s="5" t="s">
        <v>355</v>
      </c>
    </row>
    <row r="22298" ht="16.5" customHeight="1">
      <c r="O22298" s="5" t="s">
        <v>355</v>
      </c>
      <c r="P22298" s="5" t="s">
        <v>355</v>
      </c>
      <c r="Q22298" s="5" t="s">
        <v>355</v>
      </c>
    </row>
    <row r="22299" ht="16.5" customHeight="1">
      <c r="O22299" s="5" t="s">
        <v>355</v>
      </c>
      <c r="P22299" s="5" t="s">
        <v>355</v>
      </c>
      <c r="Q22299" s="5" t="s">
        <v>355</v>
      </c>
    </row>
    <row r="22300" ht="16.5" customHeight="1">
      <c r="O22300" s="5" t="s">
        <v>355</v>
      </c>
      <c r="P22300" s="5" t="s">
        <v>355</v>
      </c>
      <c r="Q22300" s="5" t="s">
        <v>355</v>
      </c>
    </row>
    <row r="22301" ht="16.5" customHeight="1">
      <c r="O22301" s="5" t="s">
        <v>355</v>
      </c>
      <c r="P22301" s="5" t="s">
        <v>355</v>
      </c>
      <c r="Q22301" s="5" t="s">
        <v>355</v>
      </c>
    </row>
    <row r="22302" ht="16.5" customHeight="1">
      <c r="O22302" s="5" t="s">
        <v>355</v>
      </c>
      <c r="P22302" s="5" t="s">
        <v>355</v>
      </c>
      <c r="Q22302" s="5" t="s">
        <v>355</v>
      </c>
    </row>
    <row r="22303" ht="16.5" customHeight="1">
      <c r="O22303" s="5" t="s">
        <v>355</v>
      </c>
      <c r="P22303" s="5" t="s">
        <v>355</v>
      </c>
      <c r="Q22303" s="5" t="s">
        <v>355</v>
      </c>
    </row>
    <row r="22304" ht="16.5" customHeight="1">
      <c r="O22304" s="5" t="s">
        <v>355</v>
      </c>
      <c r="P22304" s="5" t="s">
        <v>355</v>
      </c>
      <c r="Q22304" s="5" t="s">
        <v>355</v>
      </c>
    </row>
    <row r="22305" ht="16.5" customHeight="1">
      <c r="O22305" s="5" t="s">
        <v>355</v>
      </c>
      <c r="P22305" s="5" t="s">
        <v>355</v>
      </c>
      <c r="Q22305" s="5" t="s">
        <v>355</v>
      </c>
    </row>
    <row r="22306" ht="16.5" customHeight="1">
      <c r="O22306" s="5" t="s">
        <v>355</v>
      </c>
      <c r="P22306" s="5" t="s">
        <v>355</v>
      </c>
      <c r="Q22306" s="5" t="s">
        <v>355</v>
      </c>
    </row>
    <row r="22307" ht="16.5" customHeight="1">
      <c r="O22307" s="5" t="s">
        <v>355</v>
      </c>
      <c r="P22307" s="5" t="s">
        <v>355</v>
      </c>
      <c r="Q22307" s="5" t="s">
        <v>355</v>
      </c>
    </row>
    <row r="22308" ht="16.5" customHeight="1">
      <c r="O22308" s="5" t="s">
        <v>355</v>
      </c>
      <c r="P22308" s="5" t="s">
        <v>355</v>
      </c>
      <c r="Q22308" s="5" t="s">
        <v>355</v>
      </c>
    </row>
    <row r="22309" ht="16.5" customHeight="1">
      <c r="O22309" s="5" t="s">
        <v>355</v>
      </c>
      <c r="P22309" s="5" t="s">
        <v>355</v>
      </c>
      <c r="Q22309" s="5" t="s">
        <v>355</v>
      </c>
    </row>
    <row r="22310" ht="16.5" customHeight="1">
      <c r="O22310" s="5" t="s">
        <v>355</v>
      </c>
      <c r="P22310" s="5" t="s">
        <v>355</v>
      </c>
      <c r="Q22310" s="5" t="s">
        <v>355</v>
      </c>
    </row>
    <row r="22311" ht="16.5" customHeight="1">
      <c r="O22311" s="5" t="s">
        <v>355</v>
      </c>
      <c r="P22311" s="5" t="s">
        <v>355</v>
      </c>
      <c r="Q22311" s="5" t="s">
        <v>355</v>
      </c>
    </row>
    <row r="22312" ht="16.5" customHeight="1">
      <c r="O22312" s="5" t="s">
        <v>355</v>
      </c>
      <c r="P22312" s="5" t="s">
        <v>355</v>
      </c>
      <c r="Q22312" s="5" t="s">
        <v>355</v>
      </c>
    </row>
    <row r="22313" ht="16.5" customHeight="1">
      <c r="O22313" s="5" t="s">
        <v>355</v>
      </c>
      <c r="P22313" s="5" t="s">
        <v>355</v>
      </c>
      <c r="Q22313" s="5" t="s">
        <v>355</v>
      </c>
    </row>
    <row r="22314" ht="16.5" customHeight="1">
      <c r="O22314" s="5" t="s">
        <v>355</v>
      </c>
      <c r="P22314" s="5" t="s">
        <v>355</v>
      </c>
      <c r="Q22314" s="5" t="s">
        <v>355</v>
      </c>
    </row>
    <row r="22315" ht="16.5" customHeight="1">
      <c r="O22315" s="5" t="s">
        <v>355</v>
      </c>
      <c r="P22315" s="5" t="s">
        <v>355</v>
      </c>
      <c r="Q22315" s="5" t="s">
        <v>355</v>
      </c>
    </row>
    <row r="22316" ht="16.5" customHeight="1">
      <c r="O22316" s="5" t="s">
        <v>355</v>
      </c>
      <c r="P22316" s="5" t="s">
        <v>355</v>
      </c>
      <c r="Q22316" s="5" t="s">
        <v>355</v>
      </c>
    </row>
    <row r="22317" ht="16.5" customHeight="1">
      <c r="O22317" s="5" t="s">
        <v>355</v>
      </c>
      <c r="P22317" s="5" t="s">
        <v>355</v>
      </c>
      <c r="Q22317" s="5" t="s">
        <v>355</v>
      </c>
    </row>
    <row r="22318" ht="16.5" customHeight="1">
      <c r="O22318" s="5" t="s">
        <v>355</v>
      </c>
      <c r="P22318" s="5" t="s">
        <v>355</v>
      </c>
      <c r="Q22318" s="5" t="s">
        <v>355</v>
      </c>
    </row>
    <row r="22319" ht="16.5" customHeight="1">
      <c r="O22319" s="5" t="s">
        <v>355</v>
      </c>
      <c r="P22319" s="5" t="s">
        <v>355</v>
      </c>
      <c r="Q22319" s="5" t="s">
        <v>355</v>
      </c>
    </row>
    <row r="22320" ht="16.5" customHeight="1">
      <c r="O22320" s="5" t="s">
        <v>355</v>
      </c>
      <c r="P22320" s="5" t="s">
        <v>355</v>
      </c>
      <c r="Q22320" s="5" t="s">
        <v>355</v>
      </c>
    </row>
    <row r="22321" ht="16.5" customHeight="1">
      <c r="O22321" s="5" t="s">
        <v>355</v>
      </c>
      <c r="P22321" s="5" t="s">
        <v>355</v>
      </c>
      <c r="Q22321" s="5" t="s">
        <v>355</v>
      </c>
    </row>
    <row r="22322" ht="16.5" customHeight="1">
      <c r="O22322" s="5" t="s">
        <v>355</v>
      </c>
      <c r="P22322" s="5" t="s">
        <v>355</v>
      </c>
      <c r="Q22322" s="5" t="s">
        <v>355</v>
      </c>
    </row>
    <row r="22323" ht="16.5" customHeight="1">
      <c r="O22323" s="5" t="s">
        <v>355</v>
      </c>
      <c r="P22323" s="5" t="s">
        <v>355</v>
      </c>
      <c r="Q22323" s="5" t="s">
        <v>355</v>
      </c>
    </row>
    <row r="22324" ht="16.5" customHeight="1">
      <c r="O22324" s="5" t="s">
        <v>355</v>
      </c>
      <c r="P22324" s="5" t="s">
        <v>355</v>
      </c>
      <c r="Q22324" s="5" t="s">
        <v>355</v>
      </c>
    </row>
    <row r="22325" ht="16.5" customHeight="1">
      <c r="O22325" s="5" t="s">
        <v>355</v>
      </c>
      <c r="P22325" s="5" t="s">
        <v>355</v>
      </c>
      <c r="Q22325" s="5" t="s">
        <v>355</v>
      </c>
    </row>
    <row r="22326" ht="16.5" customHeight="1">
      <c r="O22326" s="5" t="s">
        <v>355</v>
      </c>
      <c r="P22326" s="5" t="s">
        <v>355</v>
      </c>
      <c r="Q22326" s="5" t="s">
        <v>355</v>
      </c>
    </row>
    <row r="22327" ht="16.5" customHeight="1">
      <c r="O22327" s="5" t="s">
        <v>355</v>
      </c>
      <c r="P22327" s="5" t="s">
        <v>355</v>
      </c>
      <c r="Q22327" s="5" t="s">
        <v>355</v>
      </c>
    </row>
    <row r="22328" ht="16.5" customHeight="1">
      <c r="O22328" s="5" t="s">
        <v>355</v>
      </c>
      <c r="P22328" s="5" t="s">
        <v>355</v>
      </c>
      <c r="Q22328" s="5" t="s">
        <v>355</v>
      </c>
    </row>
    <row r="22329" ht="16.5" customHeight="1">
      <c r="O22329" s="5" t="s">
        <v>355</v>
      </c>
      <c r="P22329" s="5" t="s">
        <v>355</v>
      </c>
      <c r="Q22329" s="5" t="s">
        <v>355</v>
      </c>
    </row>
    <row r="22330" ht="16.5" customHeight="1">
      <c r="O22330" s="5" t="s">
        <v>355</v>
      </c>
      <c r="P22330" s="5" t="s">
        <v>355</v>
      </c>
      <c r="Q22330" s="5" t="s">
        <v>355</v>
      </c>
    </row>
    <row r="22331" ht="16.5" customHeight="1">
      <c r="O22331" s="5" t="s">
        <v>355</v>
      </c>
      <c r="P22331" s="5" t="s">
        <v>355</v>
      </c>
      <c r="Q22331" s="5" t="s">
        <v>355</v>
      </c>
    </row>
    <row r="22332" ht="16.5" customHeight="1">
      <c r="O22332" s="5" t="s">
        <v>355</v>
      </c>
      <c r="P22332" s="5" t="s">
        <v>355</v>
      </c>
      <c r="Q22332" s="5" t="s">
        <v>355</v>
      </c>
    </row>
    <row r="22333" ht="16.5" customHeight="1">
      <c r="O22333" s="5" t="s">
        <v>355</v>
      </c>
      <c r="P22333" s="5" t="s">
        <v>355</v>
      </c>
      <c r="Q22333" s="5" t="s">
        <v>355</v>
      </c>
    </row>
    <row r="22334" ht="16.5" customHeight="1">
      <c r="O22334" s="5" t="s">
        <v>355</v>
      </c>
      <c r="P22334" s="5" t="s">
        <v>355</v>
      </c>
      <c r="Q22334" s="5" t="s">
        <v>355</v>
      </c>
    </row>
    <row r="22335" ht="16.5" customHeight="1">
      <c r="O22335" s="5" t="s">
        <v>355</v>
      </c>
      <c r="P22335" s="5" t="s">
        <v>355</v>
      </c>
      <c r="Q22335" s="5" t="s">
        <v>355</v>
      </c>
    </row>
    <row r="22336" ht="16.5" customHeight="1">
      <c r="O22336" s="5" t="s">
        <v>355</v>
      </c>
      <c r="P22336" s="5" t="s">
        <v>355</v>
      </c>
      <c r="Q22336" s="5" t="s">
        <v>355</v>
      </c>
    </row>
    <row r="22337" ht="16.5" customHeight="1">
      <c r="O22337" s="5" t="s">
        <v>355</v>
      </c>
      <c r="P22337" s="5" t="s">
        <v>355</v>
      </c>
      <c r="Q22337" s="5" t="s">
        <v>355</v>
      </c>
    </row>
    <row r="22338" ht="16.5" customHeight="1">
      <c r="O22338" s="5" t="s">
        <v>355</v>
      </c>
      <c r="P22338" s="5" t="s">
        <v>355</v>
      </c>
      <c r="Q22338" s="5" t="s">
        <v>355</v>
      </c>
    </row>
    <row r="22339" ht="16.5" customHeight="1">
      <c r="O22339" s="5" t="s">
        <v>355</v>
      </c>
      <c r="P22339" s="5" t="s">
        <v>355</v>
      </c>
      <c r="Q22339" s="5" t="s">
        <v>355</v>
      </c>
    </row>
    <row r="22340" ht="16.5" customHeight="1">
      <c r="O22340" s="5" t="s">
        <v>355</v>
      </c>
      <c r="P22340" s="5" t="s">
        <v>355</v>
      </c>
      <c r="Q22340" s="5" t="s">
        <v>355</v>
      </c>
    </row>
    <row r="22341" ht="16.5" customHeight="1">
      <c r="O22341" s="5" t="s">
        <v>355</v>
      </c>
      <c r="P22341" s="5" t="s">
        <v>355</v>
      </c>
      <c r="Q22341" s="5" t="s">
        <v>355</v>
      </c>
    </row>
    <row r="22342" ht="16.5" customHeight="1">
      <c r="O22342" s="5" t="s">
        <v>355</v>
      </c>
      <c r="P22342" s="5" t="s">
        <v>355</v>
      </c>
      <c r="Q22342" s="5" t="s">
        <v>355</v>
      </c>
    </row>
    <row r="22343" ht="16.5" customHeight="1">
      <c r="O22343" s="5" t="s">
        <v>355</v>
      </c>
      <c r="P22343" s="5" t="s">
        <v>355</v>
      </c>
      <c r="Q22343" s="5" t="s">
        <v>355</v>
      </c>
    </row>
    <row r="22344" ht="16.5" customHeight="1">
      <c r="O22344" s="5" t="s">
        <v>355</v>
      </c>
      <c r="P22344" s="5" t="s">
        <v>355</v>
      </c>
      <c r="Q22344" s="5" t="s">
        <v>355</v>
      </c>
    </row>
    <row r="22345" ht="16.5" customHeight="1">
      <c r="O22345" s="5" t="s">
        <v>355</v>
      </c>
      <c r="P22345" s="5" t="s">
        <v>355</v>
      </c>
      <c r="Q22345" s="5" t="s">
        <v>355</v>
      </c>
    </row>
    <row r="22346" ht="16.5" customHeight="1">
      <c r="O22346" s="5" t="s">
        <v>355</v>
      </c>
      <c r="P22346" s="5" t="s">
        <v>355</v>
      </c>
      <c r="Q22346" s="5" t="s">
        <v>355</v>
      </c>
    </row>
    <row r="22347" ht="16.5" customHeight="1">
      <c r="O22347" s="5" t="s">
        <v>355</v>
      </c>
      <c r="P22347" s="5" t="s">
        <v>355</v>
      </c>
      <c r="Q22347" s="5" t="s">
        <v>355</v>
      </c>
    </row>
    <row r="22348" ht="16.5" customHeight="1">
      <c r="O22348" s="5" t="s">
        <v>355</v>
      </c>
      <c r="P22348" s="5" t="s">
        <v>355</v>
      </c>
      <c r="Q22348" s="5" t="s">
        <v>355</v>
      </c>
    </row>
    <row r="22349" ht="16.5" customHeight="1">
      <c r="O22349" s="5" t="s">
        <v>355</v>
      </c>
      <c r="P22349" s="5" t="s">
        <v>355</v>
      </c>
      <c r="Q22349" s="5" t="s">
        <v>355</v>
      </c>
    </row>
    <row r="22350" ht="16.5" customHeight="1">
      <c r="O22350" s="5" t="s">
        <v>355</v>
      </c>
      <c r="P22350" s="5" t="s">
        <v>355</v>
      </c>
      <c r="Q22350" s="5" t="s">
        <v>355</v>
      </c>
    </row>
    <row r="22351" ht="16.5" customHeight="1">
      <c r="O22351" s="5" t="s">
        <v>355</v>
      </c>
      <c r="P22351" s="5" t="s">
        <v>355</v>
      </c>
      <c r="Q22351" s="5" t="s">
        <v>355</v>
      </c>
    </row>
    <row r="22352" ht="16.5" customHeight="1">
      <c r="O22352" s="5" t="s">
        <v>355</v>
      </c>
      <c r="P22352" s="5" t="s">
        <v>355</v>
      </c>
      <c r="Q22352" s="5" t="s">
        <v>355</v>
      </c>
    </row>
    <row r="22353" ht="16.5" customHeight="1">
      <c r="O22353" s="5" t="s">
        <v>355</v>
      </c>
      <c r="P22353" s="5" t="s">
        <v>355</v>
      </c>
      <c r="Q22353" s="5" t="s">
        <v>355</v>
      </c>
    </row>
    <row r="22354" ht="16.5" customHeight="1">
      <c r="O22354" s="5" t="s">
        <v>355</v>
      </c>
      <c r="P22354" s="5" t="s">
        <v>355</v>
      </c>
      <c r="Q22354" s="5" t="s">
        <v>355</v>
      </c>
    </row>
    <row r="22355" ht="16.5" customHeight="1">
      <c r="O22355" s="5" t="s">
        <v>355</v>
      </c>
      <c r="P22355" s="5" t="s">
        <v>355</v>
      </c>
      <c r="Q22355" s="5" t="s">
        <v>355</v>
      </c>
    </row>
    <row r="22356" ht="16.5" customHeight="1">
      <c r="O22356" s="5" t="s">
        <v>355</v>
      </c>
      <c r="P22356" s="5" t="s">
        <v>355</v>
      </c>
      <c r="Q22356" s="5" t="s">
        <v>355</v>
      </c>
    </row>
    <row r="22357" ht="16.5" customHeight="1">
      <c r="O22357" s="5" t="s">
        <v>355</v>
      </c>
      <c r="P22357" s="5" t="s">
        <v>355</v>
      </c>
      <c r="Q22357" s="5" t="s">
        <v>355</v>
      </c>
    </row>
    <row r="22358" ht="16.5" customHeight="1">
      <c r="O22358" s="5" t="s">
        <v>355</v>
      </c>
      <c r="P22358" s="5" t="s">
        <v>355</v>
      </c>
      <c r="Q22358" s="5" t="s">
        <v>355</v>
      </c>
    </row>
    <row r="22359" ht="16.5" customHeight="1">
      <c r="O22359" s="5" t="s">
        <v>355</v>
      </c>
      <c r="P22359" s="5" t="s">
        <v>355</v>
      </c>
      <c r="Q22359" s="5" t="s">
        <v>355</v>
      </c>
    </row>
    <row r="22360" ht="16.5" customHeight="1">
      <c r="O22360" s="5" t="s">
        <v>355</v>
      </c>
      <c r="P22360" s="5" t="s">
        <v>355</v>
      </c>
      <c r="Q22360" s="5" t="s">
        <v>355</v>
      </c>
    </row>
    <row r="22361" ht="16.5" customHeight="1">
      <c r="O22361" s="5" t="s">
        <v>355</v>
      </c>
      <c r="P22361" s="5" t="s">
        <v>355</v>
      </c>
      <c r="Q22361" s="5" t="s">
        <v>355</v>
      </c>
    </row>
    <row r="22362" ht="16.5" customHeight="1">
      <c r="O22362" s="5" t="s">
        <v>355</v>
      </c>
      <c r="P22362" s="5" t="s">
        <v>355</v>
      </c>
      <c r="Q22362" s="5" t="s">
        <v>355</v>
      </c>
    </row>
    <row r="22363" ht="16.5" customHeight="1">
      <c r="O22363" s="5" t="s">
        <v>355</v>
      </c>
      <c r="P22363" s="5" t="s">
        <v>355</v>
      </c>
      <c r="Q22363" s="5" t="s">
        <v>355</v>
      </c>
    </row>
    <row r="22364" ht="16.5" customHeight="1">
      <c r="O22364" s="5" t="s">
        <v>355</v>
      </c>
      <c r="P22364" s="5" t="s">
        <v>355</v>
      </c>
      <c r="Q22364" s="5" t="s">
        <v>355</v>
      </c>
    </row>
    <row r="22365" ht="16.5" customHeight="1">
      <c r="O22365" s="5" t="s">
        <v>355</v>
      </c>
      <c r="P22365" s="5" t="s">
        <v>355</v>
      </c>
      <c r="Q22365" s="5" t="s">
        <v>355</v>
      </c>
    </row>
    <row r="22366" ht="16.5" customHeight="1">
      <c r="O22366" s="5" t="s">
        <v>355</v>
      </c>
      <c r="P22366" s="5" t="s">
        <v>355</v>
      </c>
      <c r="Q22366" s="5" t="s">
        <v>355</v>
      </c>
    </row>
    <row r="22367" ht="16.5" customHeight="1">
      <c r="O22367" s="5" t="s">
        <v>355</v>
      </c>
      <c r="P22367" s="5" t="s">
        <v>355</v>
      </c>
      <c r="Q22367" s="5" t="s">
        <v>355</v>
      </c>
    </row>
    <row r="22368" ht="16.5" customHeight="1">
      <c r="O22368" s="5" t="s">
        <v>355</v>
      </c>
      <c r="P22368" s="5" t="s">
        <v>355</v>
      </c>
      <c r="Q22368" s="5" t="s">
        <v>355</v>
      </c>
    </row>
    <row r="22369" ht="16.5" customHeight="1">
      <c r="O22369" s="5" t="s">
        <v>355</v>
      </c>
      <c r="P22369" s="5" t="s">
        <v>355</v>
      </c>
      <c r="Q22369" s="5" t="s">
        <v>355</v>
      </c>
    </row>
    <row r="22370" ht="16.5" customHeight="1">
      <c r="O22370" s="5" t="s">
        <v>355</v>
      </c>
      <c r="P22370" s="5" t="s">
        <v>355</v>
      </c>
      <c r="Q22370" s="5" t="s">
        <v>355</v>
      </c>
    </row>
    <row r="22371" ht="16.5" customHeight="1">
      <c r="O22371" s="5" t="s">
        <v>355</v>
      </c>
      <c r="P22371" s="5" t="s">
        <v>355</v>
      </c>
      <c r="Q22371" s="5" t="s">
        <v>355</v>
      </c>
    </row>
    <row r="22372" ht="16.5" customHeight="1">
      <c r="O22372" s="5" t="s">
        <v>355</v>
      </c>
      <c r="P22372" s="5" t="s">
        <v>355</v>
      </c>
      <c r="Q22372" s="5" t="s">
        <v>355</v>
      </c>
    </row>
    <row r="22373" ht="16.5" customHeight="1">
      <c r="O22373" s="5" t="s">
        <v>355</v>
      </c>
      <c r="P22373" s="5" t="s">
        <v>355</v>
      </c>
      <c r="Q22373" s="5" t="s">
        <v>355</v>
      </c>
    </row>
    <row r="22374" ht="16.5" customHeight="1">
      <c r="O22374" s="5" t="s">
        <v>355</v>
      </c>
      <c r="P22374" s="5" t="s">
        <v>355</v>
      </c>
      <c r="Q22374" s="5" t="s">
        <v>355</v>
      </c>
    </row>
    <row r="22375" ht="16.5" customHeight="1">
      <c r="O22375" s="5" t="s">
        <v>355</v>
      </c>
      <c r="P22375" s="5" t="s">
        <v>355</v>
      </c>
      <c r="Q22375" s="5" t="s">
        <v>355</v>
      </c>
    </row>
    <row r="22376" ht="16.5" customHeight="1">
      <c r="O22376" s="5" t="s">
        <v>355</v>
      </c>
      <c r="P22376" s="5" t="s">
        <v>355</v>
      </c>
      <c r="Q22376" s="5" t="s">
        <v>355</v>
      </c>
    </row>
    <row r="22377" ht="16.5" customHeight="1">
      <c r="O22377" s="5" t="s">
        <v>355</v>
      </c>
      <c r="P22377" s="5" t="s">
        <v>355</v>
      </c>
      <c r="Q22377" s="5" t="s">
        <v>355</v>
      </c>
    </row>
    <row r="22378" ht="16.5" customHeight="1">
      <c r="O22378" s="5" t="s">
        <v>355</v>
      </c>
      <c r="P22378" s="5" t="s">
        <v>355</v>
      </c>
      <c r="Q22378" s="5" t="s">
        <v>355</v>
      </c>
    </row>
    <row r="22379" ht="16.5" customHeight="1">
      <c r="O22379" s="5" t="s">
        <v>355</v>
      </c>
      <c r="P22379" s="5" t="s">
        <v>355</v>
      </c>
      <c r="Q22379" s="5" t="s">
        <v>355</v>
      </c>
    </row>
    <row r="22380" ht="16.5" customHeight="1">
      <c r="O22380" s="5" t="s">
        <v>355</v>
      </c>
      <c r="P22380" s="5" t="s">
        <v>355</v>
      </c>
      <c r="Q22380" s="5" t="s">
        <v>355</v>
      </c>
    </row>
    <row r="22381" ht="16.5" customHeight="1">
      <c r="O22381" s="5" t="s">
        <v>355</v>
      </c>
      <c r="P22381" s="5" t="s">
        <v>355</v>
      </c>
      <c r="Q22381" s="5" t="s">
        <v>355</v>
      </c>
    </row>
    <row r="22382" ht="16.5" customHeight="1">
      <c r="O22382" s="5" t="s">
        <v>355</v>
      </c>
      <c r="P22382" s="5" t="s">
        <v>355</v>
      </c>
      <c r="Q22382" s="5" t="s">
        <v>355</v>
      </c>
    </row>
    <row r="22383" ht="16.5" customHeight="1">
      <c r="O22383" s="5" t="s">
        <v>355</v>
      </c>
      <c r="P22383" s="5" t="s">
        <v>355</v>
      </c>
      <c r="Q22383" s="5" t="s">
        <v>355</v>
      </c>
    </row>
    <row r="22384" ht="16.5" customHeight="1">
      <c r="O22384" s="5" t="s">
        <v>355</v>
      </c>
      <c r="P22384" s="5" t="s">
        <v>355</v>
      </c>
      <c r="Q22384" s="5" t="s">
        <v>355</v>
      </c>
    </row>
    <row r="22385" ht="16.5" customHeight="1">
      <c r="O22385" s="5" t="s">
        <v>355</v>
      </c>
      <c r="P22385" s="5" t="s">
        <v>355</v>
      </c>
      <c r="Q22385" s="5" t="s">
        <v>355</v>
      </c>
    </row>
    <row r="22386" ht="16.5" customHeight="1">
      <c r="O22386" s="5" t="s">
        <v>355</v>
      </c>
      <c r="P22386" s="5" t="s">
        <v>355</v>
      </c>
      <c r="Q22386" s="5" t="s">
        <v>355</v>
      </c>
    </row>
    <row r="22387" ht="16.5" customHeight="1">
      <c r="O22387" s="5" t="s">
        <v>355</v>
      </c>
      <c r="P22387" s="5" t="s">
        <v>355</v>
      </c>
      <c r="Q22387" s="5" t="s">
        <v>355</v>
      </c>
    </row>
    <row r="22388" ht="16.5" customHeight="1">
      <c r="O22388" s="5" t="s">
        <v>355</v>
      </c>
      <c r="P22388" s="5" t="s">
        <v>355</v>
      </c>
      <c r="Q22388" s="5" t="s">
        <v>355</v>
      </c>
    </row>
    <row r="22389" ht="16.5" customHeight="1">
      <c r="O22389" s="5" t="s">
        <v>355</v>
      </c>
      <c r="P22389" s="5" t="s">
        <v>355</v>
      </c>
      <c r="Q22389" s="5" t="s">
        <v>355</v>
      </c>
    </row>
    <row r="22390" ht="16.5" customHeight="1">
      <c r="O22390" s="5" t="s">
        <v>355</v>
      </c>
      <c r="P22390" s="5" t="s">
        <v>355</v>
      </c>
      <c r="Q22390" s="5" t="s">
        <v>355</v>
      </c>
    </row>
    <row r="22391" ht="16.5" customHeight="1">
      <c r="O22391" s="5" t="s">
        <v>355</v>
      </c>
      <c r="P22391" s="5" t="s">
        <v>355</v>
      </c>
      <c r="Q22391" s="5" t="s">
        <v>355</v>
      </c>
    </row>
    <row r="22392" ht="16.5" customHeight="1">
      <c r="O22392" s="5" t="s">
        <v>355</v>
      </c>
      <c r="P22392" s="5" t="s">
        <v>355</v>
      </c>
      <c r="Q22392" s="5" t="s">
        <v>355</v>
      </c>
    </row>
    <row r="22393" ht="16.5" customHeight="1">
      <c r="O22393" s="5" t="s">
        <v>355</v>
      </c>
      <c r="P22393" s="5" t="s">
        <v>355</v>
      </c>
      <c r="Q22393" s="5" t="s">
        <v>355</v>
      </c>
    </row>
    <row r="22394" ht="16.5" customHeight="1">
      <c r="O22394" s="5" t="s">
        <v>355</v>
      </c>
      <c r="P22394" s="5" t="s">
        <v>355</v>
      </c>
      <c r="Q22394" s="5" t="s">
        <v>355</v>
      </c>
    </row>
    <row r="22395" ht="16.5" customHeight="1">
      <c r="O22395" s="5" t="s">
        <v>355</v>
      </c>
      <c r="P22395" s="5" t="s">
        <v>355</v>
      </c>
      <c r="Q22395" s="5" t="s">
        <v>355</v>
      </c>
    </row>
    <row r="22396" ht="16.5" customHeight="1">
      <c r="O22396" s="5" t="s">
        <v>355</v>
      </c>
      <c r="P22396" s="5" t="s">
        <v>355</v>
      </c>
      <c r="Q22396" s="5" t="s">
        <v>355</v>
      </c>
    </row>
    <row r="22397" ht="16.5" customHeight="1">
      <c r="O22397" s="5" t="s">
        <v>355</v>
      </c>
      <c r="P22397" s="5" t="s">
        <v>355</v>
      </c>
      <c r="Q22397" s="5" t="s">
        <v>355</v>
      </c>
    </row>
    <row r="22398" ht="16.5" customHeight="1">
      <c r="O22398" s="5" t="s">
        <v>355</v>
      </c>
      <c r="P22398" s="5" t="s">
        <v>355</v>
      </c>
      <c r="Q22398" s="5" t="s">
        <v>355</v>
      </c>
    </row>
    <row r="22399" ht="16.5" customHeight="1">
      <c r="O22399" s="5" t="s">
        <v>355</v>
      </c>
      <c r="P22399" s="5" t="s">
        <v>355</v>
      </c>
      <c r="Q22399" s="5" t="s">
        <v>355</v>
      </c>
    </row>
    <row r="22400" ht="16.5" customHeight="1">
      <c r="O22400" s="5" t="s">
        <v>355</v>
      </c>
      <c r="P22400" s="5" t="s">
        <v>355</v>
      </c>
      <c r="Q22400" s="5" t="s">
        <v>355</v>
      </c>
    </row>
    <row r="22401" ht="16.5" customHeight="1">
      <c r="O22401" s="5" t="s">
        <v>355</v>
      </c>
      <c r="P22401" s="5" t="s">
        <v>355</v>
      </c>
      <c r="Q22401" s="5" t="s">
        <v>355</v>
      </c>
    </row>
    <row r="22402" ht="16.5" customHeight="1">
      <c r="O22402" s="5" t="s">
        <v>355</v>
      </c>
      <c r="P22402" s="5" t="s">
        <v>355</v>
      </c>
      <c r="Q22402" s="5" t="s">
        <v>355</v>
      </c>
    </row>
    <row r="22403" ht="16.5" customHeight="1">
      <c r="O22403" s="5" t="s">
        <v>355</v>
      </c>
      <c r="P22403" s="5" t="s">
        <v>355</v>
      </c>
      <c r="Q22403" s="5" t="s">
        <v>355</v>
      </c>
    </row>
    <row r="22404" ht="16.5" customHeight="1">
      <c r="O22404" s="5" t="s">
        <v>355</v>
      </c>
      <c r="P22404" s="5" t="s">
        <v>355</v>
      </c>
      <c r="Q22404" s="5" t="s">
        <v>355</v>
      </c>
    </row>
    <row r="22405" ht="16.5" customHeight="1">
      <c r="O22405" s="5" t="s">
        <v>355</v>
      </c>
      <c r="P22405" s="5" t="s">
        <v>355</v>
      </c>
      <c r="Q22405" s="5" t="s">
        <v>355</v>
      </c>
    </row>
    <row r="22406" ht="16.5" customHeight="1">
      <c r="O22406" s="5" t="s">
        <v>355</v>
      </c>
      <c r="P22406" s="5" t="s">
        <v>355</v>
      </c>
      <c r="Q22406" s="5" t="s">
        <v>355</v>
      </c>
    </row>
    <row r="22407" ht="16.5" customHeight="1">
      <c r="O22407" s="5" t="s">
        <v>355</v>
      </c>
      <c r="P22407" s="5" t="s">
        <v>355</v>
      </c>
      <c r="Q22407" s="5" t="s">
        <v>355</v>
      </c>
    </row>
    <row r="22408" ht="16.5" customHeight="1">
      <c r="O22408" s="5" t="s">
        <v>355</v>
      </c>
      <c r="P22408" s="5" t="s">
        <v>355</v>
      </c>
      <c r="Q22408" s="5" t="s">
        <v>355</v>
      </c>
    </row>
    <row r="22409" ht="16.5" customHeight="1">
      <c r="O22409" s="5" t="s">
        <v>355</v>
      </c>
      <c r="P22409" s="5" t="s">
        <v>355</v>
      </c>
      <c r="Q22409" s="5" t="s">
        <v>355</v>
      </c>
    </row>
    <row r="22410" ht="16.5" customHeight="1">
      <c r="O22410" s="5" t="s">
        <v>355</v>
      </c>
      <c r="P22410" s="5" t="s">
        <v>355</v>
      </c>
      <c r="Q22410" s="5" t="s">
        <v>355</v>
      </c>
    </row>
    <row r="22411" ht="16.5" customHeight="1">
      <c r="O22411" s="5" t="s">
        <v>355</v>
      </c>
      <c r="P22411" s="5" t="s">
        <v>355</v>
      </c>
      <c r="Q22411" s="5" t="s">
        <v>355</v>
      </c>
    </row>
    <row r="22412" ht="16.5" customHeight="1">
      <c r="O22412" s="5" t="s">
        <v>355</v>
      </c>
      <c r="P22412" s="5" t="s">
        <v>355</v>
      </c>
      <c r="Q22412" s="5" t="s">
        <v>355</v>
      </c>
    </row>
    <row r="22413" ht="16.5" customHeight="1">
      <c r="O22413" s="5" t="s">
        <v>355</v>
      </c>
      <c r="P22413" s="5" t="s">
        <v>355</v>
      </c>
      <c r="Q22413" s="5" t="s">
        <v>355</v>
      </c>
    </row>
    <row r="22414" ht="16.5" customHeight="1">
      <c r="O22414" s="5" t="s">
        <v>355</v>
      </c>
      <c r="P22414" s="5" t="s">
        <v>355</v>
      </c>
      <c r="Q22414" s="5" t="s">
        <v>355</v>
      </c>
    </row>
    <row r="22415" ht="16.5" customHeight="1">
      <c r="O22415" s="5" t="s">
        <v>355</v>
      </c>
      <c r="P22415" s="5" t="s">
        <v>355</v>
      </c>
      <c r="Q22415" s="5" t="s">
        <v>355</v>
      </c>
    </row>
    <row r="22416" ht="16.5" customHeight="1">
      <c r="O22416" s="5" t="s">
        <v>355</v>
      </c>
      <c r="P22416" s="5" t="s">
        <v>355</v>
      </c>
      <c r="Q22416" s="5" t="s">
        <v>355</v>
      </c>
    </row>
    <row r="22417" ht="16.5" customHeight="1">
      <c r="O22417" s="5" t="s">
        <v>355</v>
      </c>
      <c r="P22417" s="5" t="s">
        <v>355</v>
      </c>
      <c r="Q22417" s="5" t="s">
        <v>355</v>
      </c>
    </row>
    <row r="22418" ht="16.5" customHeight="1">
      <c r="O22418" s="5" t="s">
        <v>355</v>
      </c>
      <c r="P22418" s="5" t="s">
        <v>355</v>
      </c>
      <c r="Q22418" s="5" t="s">
        <v>355</v>
      </c>
    </row>
    <row r="22419" ht="16.5" customHeight="1">
      <c r="O22419" s="5" t="s">
        <v>355</v>
      </c>
      <c r="P22419" s="5" t="s">
        <v>355</v>
      </c>
      <c r="Q22419" s="5" t="s">
        <v>355</v>
      </c>
    </row>
    <row r="22420" ht="16.5" customHeight="1">
      <c r="O22420" s="5" t="s">
        <v>355</v>
      </c>
      <c r="P22420" s="5" t="s">
        <v>355</v>
      </c>
      <c r="Q22420" s="5" t="s">
        <v>355</v>
      </c>
    </row>
    <row r="22421" ht="16.5" customHeight="1">
      <c r="O22421" s="5" t="s">
        <v>355</v>
      </c>
      <c r="P22421" s="5" t="s">
        <v>355</v>
      </c>
      <c r="Q22421" s="5" t="s">
        <v>355</v>
      </c>
    </row>
    <row r="22422" ht="16.5" customHeight="1">
      <c r="O22422" s="5" t="s">
        <v>355</v>
      </c>
      <c r="P22422" s="5" t="s">
        <v>355</v>
      </c>
      <c r="Q22422" s="5" t="s">
        <v>355</v>
      </c>
    </row>
    <row r="22423" ht="16.5" customHeight="1">
      <c r="O22423" s="5" t="s">
        <v>355</v>
      </c>
      <c r="P22423" s="5" t="s">
        <v>355</v>
      </c>
      <c r="Q22423" s="5" t="s">
        <v>355</v>
      </c>
    </row>
    <row r="22424" ht="16.5" customHeight="1">
      <c r="O22424" s="5" t="s">
        <v>355</v>
      </c>
      <c r="P22424" s="5" t="s">
        <v>355</v>
      </c>
      <c r="Q22424" s="5" t="s">
        <v>355</v>
      </c>
    </row>
    <row r="22425" ht="16.5" customHeight="1">
      <c r="O22425" s="5" t="s">
        <v>355</v>
      </c>
      <c r="P22425" s="5" t="s">
        <v>355</v>
      </c>
      <c r="Q22425" s="5" t="s">
        <v>355</v>
      </c>
    </row>
    <row r="22426" ht="16.5" customHeight="1">
      <c r="O22426" s="5" t="s">
        <v>355</v>
      </c>
      <c r="P22426" s="5" t="s">
        <v>355</v>
      </c>
      <c r="Q22426" s="5" t="s">
        <v>355</v>
      </c>
    </row>
    <row r="22427" ht="16.5" customHeight="1">
      <c r="O22427" s="5" t="s">
        <v>355</v>
      </c>
      <c r="P22427" s="5" t="s">
        <v>355</v>
      </c>
      <c r="Q22427" s="5" t="s">
        <v>355</v>
      </c>
    </row>
    <row r="22428" ht="16.5" customHeight="1">
      <c r="O22428" s="5" t="s">
        <v>355</v>
      </c>
      <c r="P22428" s="5" t="s">
        <v>355</v>
      </c>
      <c r="Q22428" s="5" t="s">
        <v>355</v>
      </c>
    </row>
    <row r="22429" ht="16.5" customHeight="1">
      <c r="O22429" s="5" t="s">
        <v>355</v>
      </c>
      <c r="P22429" s="5" t="s">
        <v>355</v>
      </c>
      <c r="Q22429" s="5" t="s">
        <v>355</v>
      </c>
    </row>
    <row r="22430" ht="16.5" customHeight="1">
      <c r="O22430" s="5" t="s">
        <v>355</v>
      </c>
      <c r="P22430" s="5" t="s">
        <v>355</v>
      </c>
      <c r="Q22430" s="5" t="s">
        <v>355</v>
      </c>
    </row>
    <row r="22431" ht="16.5" customHeight="1">
      <c r="O22431" s="5" t="s">
        <v>355</v>
      </c>
      <c r="P22431" s="5" t="s">
        <v>355</v>
      </c>
      <c r="Q22431" s="5" t="s">
        <v>355</v>
      </c>
    </row>
    <row r="22432" ht="16.5" customHeight="1">
      <c r="O22432" s="5" t="s">
        <v>355</v>
      </c>
      <c r="P22432" s="5" t="s">
        <v>355</v>
      </c>
      <c r="Q22432" s="5" t="s">
        <v>355</v>
      </c>
    </row>
    <row r="22433" ht="16.5" customHeight="1">
      <c r="O22433" s="5" t="s">
        <v>355</v>
      </c>
      <c r="P22433" s="5" t="s">
        <v>355</v>
      </c>
      <c r="Q22433" s="5" t="s">
        <v>355</v>
      </c>
    </row>
    <row r="22434" ht="16.5" customHeight="1">
      <c r="O22434" s="5" t="s">
        <v>355</v>
      </c>
      <c r="P22434" s="5" t="s">
        <v>355</v>
      </c>
      <c r="Q22434" s="5" t="s">
        <v>355</v>
      </c>
    </row>
    <row r="22435" ht="16.5" customHeight="1">
      <c r="O22435" s="5" t="s">
        <v>355</v>
      </c>
      <c r="P22435" s="5" t="s">
        <v>355</v>
      </c>
      <c r="Q22435" s="5" t="s">
        <v>355</v>
      </c>
    </row>
    <row r="22436" ht="16.5" customHeight="1">
      <c r="O22436" s="5" t="s">
        <v>355</v>
      </c>
      <c r="P22436" s="5" t="s">
        <v>355</v>
      </c>
      <c r="Q22436" s="5" t="s">
        <v>355</v>
      </c>
    </row>
    <row r="22437" ht="16.5" customHeight="1">
      <c r="O22437" s="5" t="s">
        <v>355</v>
      </c>
      <c r="P22437" s="5" t="s">
        <v>355</v>
      </c>
      <c r="Q22437" s="5" t="s">
        <v>355</v>
      </c>
    </row>
    <row r="22438" ht="16.5" customHeight="1">
      <c r="O22438" s="5" t="s">
        <v>355</v>
      </c>
      <c r="P22438" s="5" t="s">
        <v>355</v>
      </c>
      <c r="Q22438" s="5" t="s">
        <v>355</v>
      </c>
    </row>
    <row r="22439" ht="16.5" customHeight="1">
      <c r="O22439" s="5" t="s">
        <v>355</v>
      </c>
      <c r="P22439" s="5" t="s">
        <v>355</v>
      </c>
      <c r="Q22439" s="5" t="s">
        <v>355</v>
      </c>
    </row>
    <row r="22440" ht="16.5" customHeight="1">
      <c r="O22440" s="5" t="s">
        <v>355</v>
      </c>
      <c r="P22440" s="5" t="s">
        <v>355</v>
      </c>
      <c r="Q22440" s="5" t="s">
        <v>355</v>
      </c>
    </row>
    <row r="22441" ht="16.5" customHeight="1">
      <c r="O22441" s="5" t="s">
        <v>355</v>
      </c>
      <c r="P22441" s="5" t="s">
        <v>355</v>
      </c>
      <c r="Q22441" s="5" t="s">
        <v>355</v>
      </c>
    </row>
    <row r="22442" ht="16.5" customHeight="1">
      <c r="O22442" s="5" t="s">
        <v>355</v>
      </c>
      <c r="P22442" s="5" t="s">
        <v>355</v>
      </c>
      <c r="Q22442" s="5" t="s">
        <v>355</v>
      </c>
    </row>
    <row r="22443" ht="16.5" customHeight="1">
      <c r="O22443" s="5" t="s">
        <v>355</v>
      </c>
      <c r="P22443" s="5" t="s">
        <v>355</v>
      </c>
      <c r="Q22443" s="5" t="s">
        <v>355</v>
      </c>
    </row>
    <row r="22444" ht="16.5" customHeight="1">
      <c r="O22444" s="5" t="s">
        <v>355</v>
      </c>
      <c r="P22444" s="5" t="s">
        <v>355</v>
      </c>
      <c r="Q22444" s="5" t="s">
        <v>355</v>
      </c>
    </row>
    <row r="22445" ht="16.5" customHeight="1">
      <c r="O22445" s="5" t="s">
        <v>355</v>
      </c>
      <c r="P22445" s="5" t="s">
        <v>355</v>
      </c>
      <c r="Q22445" s="5" t="s">
        <v>355</v>
      </c>
    </row>
    <row r="22446" ht="16.5" customHeight="1">
      <c r="O22446" s="5" t="s">
        <v>355</v>
      </c>
      <c r="P22446" s="5" t="s">
        <v>355</v>
      </c>
      <c r="Q22446" s="5" t="s">
        <v>355</v>
      </c>
    </row>
    <row r="22447" ht="16.5" customHeight="1">
      <c r="O22447" s="5" t="s">
        <v>355</v>
      </c>
      <c r="P22447" s="5" t="s">
        <v>355</v>
      </c>
      <c r="Q22447" s="5" t="s">
        <v>355</v>
      </c>
    </row>
    <row r="22448" ht="16.5" customHeight="1">
      <c r="O22448" s="5" t="s">
        <v>355</v>
      </c>
      <c r="P22448" s="5" t="s">
        <v>355</v>
      </c>
      <c r="Q22448" s="5" t="s">
        <v>355</v>
      </c>
    </row>
    <row r="22449" ht="16.5" customHeight="1">
      <c r="O22449" s="5" t="s">
        <v>355</v>
      </c>
      <c r="P22449" s="5" t="s">
        <v>355</v>
      </c>
      <c r="Q22449" s="5" t="s">
        <v>355</v>
      </c>
    </row>
    <row r="22450" ht="16.5" customHeight="1">
      <c r="O22450" s="5" t="s">
        <v>355</v>
      </c>
      <c r="P22450" s="5" t="s">
        <v>355</v>
      </c>
      <c r="Q22450" s="5" t="s">
        <v>355</v>
      </c>
    </row>
    <row r="22451" ht="16.5" customHeight="1">
      <c r="O22451" s="5" t="s">
        <v>355</v>
      </c>
      <c r="P22451" s="5" t="s">
        <v>355</v>
      </c>
      <c r="Q22451" s="5" t="s">
        <v>355</v>
      </c>
    </row>
    <row r="22452" ht="16.5" customHeight="1">
      <c r="O22452" s="5" t="s">
        <v>355</v>
      </c>
      <c r="P22452" s="5" t="s">
        <v>355</v>
      </c>
      <c r="Q22452" s="5" t="s">
        <v>355</v>
      </c>
    </row>
    <row r="22453" ht="16.5" customHeight="1">
      <c r="O22453" s="5" t="s">
        <v>355</v>
      </c>
      <c r="P22453" s="5" t="s">
        <v>355</v>
      </c>
      <c r="Q22453" s="5" t="s">
        <v>355</v>
      </c>
    </row>
    <row r="22454" ht="16.5" customHeight="1">
      <c r="O22454" s="5" t="s">
        <v>355</v>
      </c>
      <c r="P22454" s="5" t="s">
        <v>355</v>
      </c>
      <c r="Q22454" s="5" t="s">
        <v>355</v>
      </c>
    </row>
    <row r="22455" ht="16.5" customHeight="1">
      <c r="O22455" s="5" t="s">
        <v>355</v>
      </c>
      <c r="P22455" s="5" t="s">
        <v>355</v>
      </c>
      <c r="Q22455" s="5" t="s">
        <v>355</v>
      </c>
    </row>
    <row r="22456" ht="16.5" customHeight="1">
      <c r="O22456" s="5" t="s">
        <v>355</v>
      </c>
      <c r="P22456" s="5" t="s">
        <v>355</v>
      </c>
      <c r="Q22456" s="5" t="s">
        <v>355</v>
      </c>
    </row>
    <row r="22457" ht="16.5" customHeight="1">
      <c r="O22457" s="5" t="s">
        <v>355</v>
      </c>
      <c r="P22457" s="5" t="s">
        <v>355</v>
      </c>
      <c r="Q22457" s="5" t="s">
        <v>355</v>
      </c>
    </row>
    <row r="22458" ht="16.5" customHeight="1">
      <c r="O22458" s="5" t="s">
        <v>355</v>
      </c>
      <c r="P22458" s="5" t="s">
        <v>355</v>
      </c>
      <c r="Q22458" s="5" t="s">
        <v>355</v>
      </c>
    </row>
    <row r="22459" ht="16.5" customHeight="1">
      <c r="O22459" s="5" t="s">
        <v>355</v>
      </c>
      <c r="P22459" s="5" t="s">
        <v>355</v>
      </c>
      <c r="Q22459" s="5" t="s">
        <v>355</v>
      </c>
    </row>
    <row r="22460" ht="16.5" customHeight="1">
      <c r="O22460" s="5" t="s">
        <v>355</v>
      </c>
      <c r="P22460" s="5" t="s">
        <v>355</v>
      </c>
      <c r="Q22460" s="5" t="s">
        <v>355</v>
      </c>
    </row>
    <row r="22461" ht="16.5" customHeight="1">
      <c r="O22461" s="5" t="s">
        <v>355</v>
      </c>
      <c r="P22461" s="5" t="s">
        <v>355</v>
      </c>
      <c r="Q22461" s="5" t="s">
        <v>355</v>
      </c>
    </row>
    <row r="22462" ht="16.5" customHeight="1">
      <c r="O22462" s="5" t="s">
        <v>355</v>
      </c>
      <c r="P22462" s="5" t="s">
        <v>355</v>
      </c>
      <c r="Q22462" s="5" t="s">
        <v>355</v>
      </c>
    </row>
    <row r="22463" ht="16.5" customHeight="1">
      <c r="O22463" s="5" t="s">
        <v>355</v>
      </c>
      <c r="P22463" s="5" t="s">
        <v>355</v>
      </c>
      <c r="Q22463" s="5" t="s">
        <v>355</v>
      </c>
    </row>
    <row r="22464" ht="16.5" customHeight="1">
      <c r="O22464" s="5" t="s">
        <v>355</v>
      </c>
      <c r="P22464" s="5" t="s">
        <v>355</v>
      </c>
      <c r="Q22464" s="5" t="s">
        <v>355</v>
      </c>
    </row>
    <row r="22465" ht="16.5" customHeight="1">
      <c r="O22465" s="5" t="s">
        <v>355</v>
      </c>
      <c r="P22465" s="5" t="s">
        <v>355</v>
      </c>
      <c r="Q22465" s="5" t="s">
        <v>355</v>
      </c>
    </row>
    <row r="22466" ht="16.5" customHeight="1">
      <c r="O22466" s="5" t="s">
        <v>355</v>
      </c>
      <c r="P22466" s="5" t="s">
        <v>355</v>
      </c>
      <c r="Q22466" s="5" t="s">
        <v>355</v>
      </c>
    </row>
    <row r="22467" ht="16.5" customHeight="1">
      <c r="O22467" s="5" t="s">
        <v>355</v>
      </c>
      <c r="P22467" s="5" t="s">
        <v>355</v>
      </c>
      <c r="Q22467" s="5" t="s">
        <v>355</v>
      </c>
    </row>
    <row r="22468" ht="16.5" customHeight="1">
      <c r="O22468" s="5" t="s">
        <v>355</v>
      </c>
      <c r="P22468" s="5" t="s">
        <v>355</v>
      </c>
      <c r="Q22468" s="5" t="s">
        <v>355</v>
      </c>
    </row>
    <row r="22469" ht="16.5" customHeight="1">
      <c r="O22469" s="5" t="s">
        <v>355</v>
      </c>
      <c r="P22469" s="5" t="s">
        <v>355</v>
      </c>
      <c r="Q22469" s="5" t="s">
        <v>355</v>
      </c>
    </row>
    <row r="22470" ht="16.5" customHeight="1">
      <c r="O22470" s="5" t="s">
        <v>355</v>
      </c>
      <c r="P22470" s="5" t="s">
        <v>355</v>
      </c>
      <c r="Q22470" s="5" t="s">
        <v>355</v>
      </c>
    </row>
    <row r="22471" ht="16.5" customHeight="1">
      <c r="O22471" s="5" t="s">
        <v>355</v>
      </c>
      <c r="P22471" s="5" t="s">
        <v>355</v>
      </c>
      <c r="Q22471" s="5" t="s">
        <v>355</v>
      </c>
    </row>
    <row r="22472" ht="16.5" customHeight="1">
      <c r="O22472" s="5" t="s">
        <v>355</v>
      </c>
      <c r="P22472" s="5" t="s">
        <v>355</v>
      </c>
      <c r="Q22472" s="5" t="s">
        <v>355</v>
      </c>
    </row>
    <row r="22473" ht="16.5" customHeight="1">
      <c r="O22473" s="5" t="s">
        <v>355</v>
      </c>
      <c r="P22473" s="5" t="s">
        <v>355</v>
      </c>
      <c r="Q22473" s="5" t="s">
        <v>355</v>
      </c>
    </row>
    <row r="22474" ht="16.5" customHeight="1">
      <c r="O22474" s="5" t="s">
        <v>355</v>
      </c>
      <c r="P22474" s="5" t="s">
        <v>355</v>
      </c>
      <c r="Q22474" s="5" t="s">
        <v>355</v>
      </c>
    </row>
    <row r="22475" ht="16.5" customHeight="1">
      <c r="O22475" s="5" t="s">
        <v>355</v>
      </c>
      <c r="P22475" s="5" t="s">
        <v>355</v>
      </c>
      <c r="Q22475" s="5" t="s">
        <v>355</v>
      </c>
    </row>
    <row r="22476" ht="16.5" customHeight="1">
      <c r="O22476" s="5" t="s">
        <v>355</v>
      </c>
      <c r="P22476" s="5" t="s">
        <v>355</v>
      </c>
      <c r="Q22476" s="5" t="s">
        <v>355</v>
      </c>
    </row>
    <row r="22477" ht="16.5" customHeight="1">
      <c r="O22477" s="5" t="s">
        <v>355</v>
      </c>
      <c r="P22477" s="5" t="s">
        <v>355</v>
      </c>
      <c r="Q22477" s="5" t="s">
        <v>355</v>
      </c>
    </row>
    <row r="22478" ht="16.5" customHeight="1">
      <c r="O22478" s="5" t="s">
        <v>355</v>
      </c>
      <c r="P22478" s="5" t="s">
        <v>355</v>
      </c>
      <c r="Q22478" s="5" t="s">
        <v>355</v>
      </c>
    </row>
    <row r="22479" ht="16.5" customHeight="1">
      <c r="O22479" s="5" t="s">
        <v>355</v>
      </c>
      <c r="P22479" s="5" t="s">
        <v>355</v>
      </c>
      <c r="Q22479" s="5" t="s">
        <v>355</v>
      </c>
    </row>
    <row r="22480" ht="16.5" customHeight="1">
      <c r="O22480" s="5" t="s">
        <v>355</v>
      </c>
      <c r="P22480" s="5" t="s">
        <v>355</v>
      </c>
      <c r="Q22480" s="5" t="s">
        <v>355</v>
      </c>
    </row>
    <row r="22481" ht="16.5" customHeight="1">
      <c r="O22481" s="5" t="s">
        <v>355</v>
      </c>
      <c r="P22481" s="5" t="s">
        <v>355</v>
      </c>
      <c r="Q22481" s="5" t="s">
        <v>355</v>
      </c>
    </row>
    <row r="22482" ht="16.5" customHeight="1">
      <c r="O22482" s="5" t="s">
        <v>355</v>
      </c>
      <c r="P22482" s="5" t="s">
        <v>355</v>
      </c>
      <c r="Q22482" s="5" t="s">
        <v>355</v>
      </c>
    </row>
    <row r="22483" ht="16.5" customHeight="1">
      <c r="O22483" s="5" t="s">
        <v>355</v>
      </c>
      <c r="P22483" s="5" t="s">
        <v>355</v>
      </c>
      <c r="Q22483" s="5" t="s">
        <v>355</v>
      </c>
    </row>
    <row r="22484" ht="16.5" customHeight="1">
      <c r="O22484" s="5" t="s">
        <v>355</v>
      </c>
      <c r="P22484" s="5" t="s">
        <v>355</v>
      </c>
      <c r="Q22484" s="5" t="s">
        <v>355</v>
      </c>
    </row>
    <row r="22485" ht="16.5" customHeight="1">
      <c r="O22485" s="5" t="s">
        <v>355</v>
      </c>
      <c r="P22485" s="5" t="s">
        <v>355</v>
      </c>
      <c r="Q22485" s="5" t="s">
        <v>355</v>
      </c>
    </row>
    <row r="22486" ht="16.5" customHeight="1">
      <c r="O22486" s="5" t="s">
        <v>355</v>
      </c>
      <c r="P22486" s="5" t="s">
        <v>355</v>
      </c>
      <c r="Q22486" s="5" t="s">
        <v>355</v>
      </c>
    </row>
    <row r="22487" ht="16.5" customHeight="1">
      <c r="O22487" s="5" t="s">
        <v>355</v>
      </c>
      <c r="P22487" s="5" t="s">
        <v>355</v>
      </c>
      <c r="Q22487" s="5" t="s">
        <v>355</v>
      </c>
    </row>
    <row r="22488" ht="16.5" customHeight="1">
      <c r="O22488" s="5" t="s">
        <v>355</v>
      </c>
      <c r="P22488" s="5" t="s">
        <v>355</v>
      </c>
      <c r="Q22488" s="5" t="s">
        <v>355</v>
      </c>
    </row>
    <row r="22489" ht="16.5" customHeight="1">
      <c r="O22489" s="5" t="s">
        <v>355</v>
      </c>
      <c r="P22489" s="5" t="s">
        <v>355</v>
      </c>
      <c r="Q22489" s="5" t="s">
        <v>355</v>
      </c>
    </row>
    <row r="22490" ht="16.5" customHeight="1">
      <c r="O22490" s="5" t="s">
        <v>355</v>
      </c>
      <c r="P22490" s="5" t="s">
        <v>355</v>
      </c>
      <c r="Q22490" s="5" t="s">
        <v>355</v>
      </c>
    </row>
    <row r="22491" ht="16.5" customHeight="1">
      <c r="O22491" s="5" t="s">
        <v>355</v>
      </c>
      <c r="P22491" s="5" t="s">
        <v>355</v>
      </c>
      <c r="Q22491" s="5" t="s">
        <v>355</v>
      </c>
    </row>
    <row r="22492" ht="16.5" customHeight="1">
      <c r="O22492" s="5" t="s">
        <v>355</v>
      </c>
      <c r="P22492" s="5" t="s">
        <v>355</v>
      </c>
      <c r="Q22492" s="5" t="s">
        <v>355</v>
      </c>
    </row>
    <row r="22493" ht="16.5" customHeight="1">
      <c r="O22493" s="5" t="s">
        <v>355</v>
      </c>
      <c r="P22493" s="5" t="s">
        <v>355</v>
      </c>
      <c r="Q22493" s="5" t="s">
        <v>355</v>
      </c>
    </row>
    <row r="22494" ht="16.5" customHeight="1">
      <c r="O22494" s="5" t="s">
        <v>355</v>
      </c>
      <c r="P22494" s="5" t="s">
        <v>355</v>
      </c>
      <c r="Q22494" s="5" t="s">
        <v>355</v>
      </c>
    </row>
    <row r="22495" ht="16.5" customHeight="1">
      <c r="O22495" s="5" t="s">
        <v>355</v>
      </c>
      <c r="P22495" s="5" t="s">
        <v>355</v>
      </c>
      <c r="Q22495" s="5" t="s">
        <v>355</v>
      </c>
    </row>
    <row r="22496" ht="16.5" customHeight="1">
      <c r="O22496" s="5" t="s">
        <v>355</v>
      </c>
      <c r="P22496" s="5" t="s">
        <v>355</v>
      </c>
      <c r="Q22496" s="5" t="s">
        <v>355</v>
      </c>
    </row>
    <row r="22497" ht="16.5" customHeight="1">
      <c r="O22497" s="5" t="s">
        <v>355</v>
      </c>
      <c r="P22497" s="5" t="s">
        <v>355</v>
      </c>
      <c r="Q22497" s="5" t="s">
        <v>355</v>
      </c>
    </row>
    <row r="22498" ht="16.5" customHeight="1">
      <c r="O22498" s="5" t="s">
        <v>355</v>
      </c>
      <c r="P22498" s="5" t="s">
        <v>355</v>
      </c>
      <c r="Q22498" s="5" t="s">
        <v>355</v>
      </c>
    </row>
    <row r="22499" ht="16.5" customHeight="1">
      <c r="O22499" s="5" t="s">
        <v>355</v>
      </c>
      <c r="P22499" s="5" t="s">
        <v>355</v>
      </c>
      <c r="Q22499" s="5" t="s">
        <v>355</v>
      </c>
    </row>
    <row r="22500" ht="16.5" customHeight="1">
      <c r="O22500" s="5" t="s">
        <v>355</v>
      </c>
      <c r="P22500" s="5" t="s">
        <v>355</v>
      </c>
      <c r="Q22500" s="5" t="s">
        <v>355</v>
      </c>
    </row>
    <row r="22501" ht="16.5" customHeight="1">
      <c r="O22501" s="5" t="s">
        <v>355</v>
      </c>
      <c r="P22501" s="5" t="s">
        <v>355</v>
      </c>
      <c r="Q22501" s="5" t="s">
        <v>355</v>
      </c>
    </row>
    <row r="22502" ht="16.5" customHeight="1">
      <c r="O22502" s="5" t="s">
        <v>355</v>
      </c>
      <c r="P22502" s="5" t="s">
        <v>355</v>
      </c>
      <c r="Q22502" s="5" t="s">
        <v>355</v>
      </c>
    </row>
    <row r="22503" ht="16.5" customHeight="1">
      <c r="O22503" s="5" t="s">
        <v>355</v>
      </c>
      <c r="P22503" s="5" t="s">
        <v>355</v>
      </c>
      <c r="Q22503" s="5" t="s">
        <v>355</v>
      </c>
    </row>
    <row r="22504" ht="16.5" customHeight="1">
      <c r="O22504" s="5" t="s">
        <v>355</v>
      </c>
      <c r="P22504" s="5" t="s">
        <v>355</v>
      </c>
      <c r="Q22504" s="5" t="s">
        <v>355</v>
      </c>
    </row>
    <row r="22505" ht="16.5" customHeight="1">
      <c r="O22505" s="5" t="s">
        <v>355</v>
      </c>
      <c r="P22505" s="5" t="s">
        <v>355</v>
      </c>
      <c r="Q22505" s="5" t="s">
        <v>355</v>
      </c>
    </row>
    <row r="22506" ht="16.5" customHeight="1">
      <c r="O22506" s="5" t="s">
        <v>355</v>
      </c>
      <c r="P22506" s="5" t="s">
        <v>355</v>
      </c>
      <c r="Q22506" s="5" t="s">
        <v>355</v>
      </c>
    </row>
    <row r="22507" ht="16.5" customHeight="1">
      <c r="O22507" s="5" t="s">
        <v>355</v>
      </c>
      <c r="P22507" s="5" t="s">
        <v>355</v>
      </c>
      <c r="Q22507" s="5" t="s">
        <v>355</v>
      </c>
    </row>
    <row r="22508" ht="16.5" customHeight="1">
      <c r="O22508" s="5" t="s">
        <v>355</v>
      </c>
      <c r="P22508" s="5" t="s">
        <v>355</v>
      </c>
      <c r="Q22508" s="5" t="s">
        <v>355</v>
      </c>
    </row>
    <row r="22509" ht="16.5" customHeight="1">
      <c r="O22509" s="5" t="s">
        <v>355</v>
      </c>
      <c r="P22509" s="5" t="s">
        <v>355</v>
      </c>
      <c r="Q22509" s="5" t="s">
        <v>355</v>
      </c>
    </row>
    <row r="22510" ht="16.5" customHeight="1">
      <c r="O22510" s="5" t="s">
        <v>355</v>
      </c>
      <c r="P22510" s="5" t="s">
        <v>355</v>
      </c>
      <c r="Q22510" s="5" t="s">
        <v>355</v>
      </c>
    </row>
    <row r="22511" ht="16.5" customHeight="1">
      <c r="O22511" s="5" t="s">
        <v>355</v>
      </c>
      <c r="P22511" s="5" t="s">
        <v>355</v>
      </c>
      <c r="Q22511" s="5" t="s">
        <v>355</v>
      </c>
    </row>
    <row r="22512" ht="16.5" customHeight="1">
      <c r="O22512" s="5" t="s">
        <v>355</v>
      </c>
      <c r="P22512" s="5" t="s">
        <v>355</v>
      </c>
      <c r="Q22512" s="5" t="s">
        <v>355</v>
      </c>
    </row>
    <row r="22513" ht="16.5" customHeight="1">
      <c r="O22513" s="5" t="s">
        <v>355</v>
      </c>
      <c r="P22513" s="5" t="s">
        <v>355</v>
      </c>
      <c r="Q22513" s="5" t="s">
        <v>355</v>
      </c>
    </row>
    <row r="22514" ht="16.5" customHeight="1">
      <c r="O22514" s="5" t="s">
        <v>355</v>
      </c>
      <c r="P22514" s="5" t="s">
        <v>355</v>
      </c>
      <c r="Q22514" s="5" t="s">
        <v>355</v>
      </c>
    </row>
    <row r="22515" ht="16.5" customHeight="1">
      <c r="O22515" s="5" t="s">
        <v>355</v>
      </c>
      <c r="P22515" s="5" t="s">
        <v>355</v>
      </c>
      <c r="Q22515" s="5" t="s">
        <v>355</v>
      </c>
    </row>
    <row r="22516" ht="16.5" customHeight="1">
      <c r="O22516" s="5" t="s">
        <v>355</v>
      </c>
      <c r="P22516" s="5" t="s">
        <v>355</v>
      </c>
      <c r="Q22516" s="5" t="s">
        <v>355</v>
      </c>
    </row>
    <row r="22517" ht="16.5" customHeight="1">
      <c r="O22517" s="5" t="s">
        <v>355</v>
      </c>
      <c r="P22517" s="5" t="s">
        <v>355</v>
      </c>
      <c r="Q22517" s="5" t="s">
        <v>355</v>
      </c>
    </row>
    <row r="22518" ht="16.5" customHeight="1">
      <c r="O22518" s="5" t="s">
        <v>355</v>
      </c>
      <c r="P22518" s="5" t="s">
        <v>355</v>
      </c>
      <c r="Q22518" s="5" t="s">
        <v>355</v>
      </c>
    </row>
    <row r="22519" ht="16.5" customHeight="1">
      <c r="O22519" s="5" t="s">
        <v>355</v>
      </c>
      <c r="P22519" s="5" t="s">
        <v>355</v>
      </c>
      <c r="Q22519" s="5" t="s">
        <v>355</v>
      </c>
    </row>
    <row r="22520" ht="16.5" customHeight="1">
      <c r="O22520" s="5" t="s">
        <v>355</v>
      </c>
      <c r="P22520" s="5" t="s">
        <v>355</v>
      </c>
      <c r="Q22520" s="5" t="s">
        <v>355</v>
      </c>
    </row>
    <row r="22521" ht="16.5" customHeight="1">
      <c r="O22521" s="5" t="s">
        <v>355</v>
      </c>
      <c r="P22521" s="5" t="s">
        <v>355</v>
      </c>
      <c r="Q22521" s="5" t="s">
        <v>355</v>
      </c>
    </row>
    <row r="22522" ht="16.5" customHeight="1">
      <c r="O22522" s="5" t="s">
        <v>355</v>
      </c>
      <c r="P22522" s="5" t="s">
        <v>355</v>
      </c>
      <c r="Q22522" s="5" t="s">
        <v>355</v>
      </c>
    </row>
    <row r="22523" ht="16.5" customHeight="1">
      <c r="O22523" s="5" t="s">
        <v>355</v>
      </c>
      <c r="P22523" s="5" t="s">
        <v>355</v>
      </c>
      <c r="Q22523" s="5" t="s">
        <v>355</v>
      </c>
    </row>
    <row r="22524" ht="16.5" customHeight="1">
      <c r="O22524" s="5" t="s">
        <v>355</v>
      </c>
      <c r="P22524" s="5" t="s">
        <v>355</v>
      </c>
      <c r="Q22524" s="5" t="s">
        <v>355</v>
      </c>
    </row>
    <row r="22525" ht="16.5" customHeight="1">
      <c r="O22525" s="5" t="s">
        <v>355</v>
      </c>
      <c r="P22525" s="5" t="s">
        <v>355</v>
      </c>
      <c r="Q22525" s="5" t="s">
        <v>355</v>
      </c>
    </row>
    <row r="22526" ht="16.5" customHeight="1">
      <c r="O22526" s="5" t="s">
        <v>355</v>
      </c>
      <c r="P22526" s="5" t="s">
        <v>355</v>
      </c>
      <c r="Q22526" s="5" t="s">
        <v>355</v>
      </c>
    </row>
    <row r="22527" ht="16.5" customHeight="1">
      <c r="O22527" s="5" t="s">
        <v>355</v>
      </c>
      <c r="P22527" s="5" t="s">
        <v>355</v>
      </c>
      <c r="Q22527" s="5" t="s">
        <v>355</v>
      </c>
    </row>
    <row r="22528" ht="16.5" customHeight="1">
      <c r="O22528" s="5" t="s">
        <v>355</v>
      </c>
      <c r="P22528" s="5" t="s">
        <v>355</v>
      </c>
      <c r="Q22528" s="5" t="s">
        <v>355</v>
      </c>
    </row>
    <row r="22529" ht="16.5" customHeight="1">
      <c r="O22529" s="5" t="s">
        <v>355</v>
      </c>
      <c r="P22529" s="5" t="s">
        <v>355</v>
      </c>
      <c r="Q22529" s="5" t="s">
        <v>355</v>
      </c>
    </row>
    <row r="22530" ht="16.5" customHeight="1">
      <c r="O22530" s="5" t="s">
        <v>355</v>
      </c>
      <c r="P22530" s="5" t="s">
        <v>355</v>
      </c>
      <c r="Q22530" s="5" t="s">
        <v>355</v>
      </c>
    </row>
    <row r="22531" ht="16.5" customHeight="1">
      <c r="O22531" s="5" t="s">
        <v>355</v>
      </c>
      <c r="P22531" s="5" t="s">
        <v>355</v>
      </c>
      <c r="Q22531" s="5" t="s">
        <v>355</v>
      </c>
    </row>
    <row r="22532" ht="16.5" customHeight="1">
      <c r="O22532" s="5" t="s">
        <v>355</v>
      </c>
      <c r="P22532" s="5" t="s">
        <v>355</v>
      </c>
      <c r="Q22532" s="5" t="s">
        <v>355</v>
      </c>
    </row>
    <row r="22533" ht="16.5" customHeight="1">
      <c r="O22533" s="5" t="s">
        <v>355</v>
      </c>
      <c r="P22533" s="5" t="s">
        <v>355</v>
      </c>
      <c r="Q22533" s="5" t="s">
        <v>355</v>
      </c>
    </row>
    <row r="22534" ht="16.5" customHeight="1">
      <c r="O22534" s="5" t="s">
        <v>355</v>
      </c>
      <c r="P22534" s="5" t="s">
        <v>355</v>
      </c>
      <c r="Q22534" s="5" t="s">
        <v>355</v>
      </c>
    </row>
    <row r="22535" ht="16.5" customHeight="1">
      <c r="O22535" s="5" t="s">
        <v>355</v>
      </c>
      <c r="P22535" s="5" t="s">
        <v>355</v>
      </c>
      <c r="Q22535" s="5" t="s">
        <v>355</v>
      </c>
    </row>
    <row r="22536" ht="16.5" customHeight="1">
      <c r="O22536" s="5" t="s">
        <v>355</v>
      </c>
      <c r="P22536" s="5" t="s">
        <v>355</v>
      </c>
      <c r="Q22536" s="5" t="s">
        <v>355</v>
      </c>
    </row>
    <row r="22537" ht="16.5" customHeight="1">
      <c r="O22537" s="5" t="s">
        <v>355</v>
      </c>
      <c r="P22537" s="5" t="s">
        <v>355</v>
      </c>
      <c r="Q22537" s="5" t="s">
        <v>355</v>
      </c>
    </row>
    <row r="22538" ht="16.5" customHeight="1">
      <c r="O22538" s="5" t="s">
        <v>355</v>
      </c>
      <c r="P22538" s="5" t="s">
        <v>355</v>
      </c>
      <c r="Q22538" s="5" t="s">
        <v>355</v>
      </c>
    </row>
    <row r="22539" ht="16.5" customHeight="1">
      <c r="O22539" s="5" t="s">
        <v>355</v>
      </c>
      <c r="P22539" s="5" t="s">
        <v>355</v>
      </c>
      <c r="Q22539" s="5" t="s">
        <v>355</v>
      </c>
    </row>
    <row r="22540" ht="16.5" customHeight="1">
      <c r="O22540" s="5" t="s">
        <v>355</v>
      </c>
      <c r="P22540" s="5" t="s">
        <v>355</v>
      </c>
      <c r="Q22540" s="5" t="s">
        <v>355</v>
      </c>
    </row>
    <row r="22541" ht="16.5" customHeight="1">
      <c r="O22541" s="5" t="s">
        <v>355</v>
      </c>
      <c r="P22541" s="5" t="s">
        <v>355</v>
      </c>
      <c r="Q22541" s="5" t="s">
        <v>355</v>
      </c>
    </row>
    <row r="22542" ht="16.5" customHeight="1">
      <c r="O22542" s="5" t="s">
        <v>355</v>
      </c>
      <c r="P22542" s="5" t="s">
        <v>355</v>
      </c>
      <c r="Q22542" s="5" t="s">
        <v>355</v>
      </c>
    </row>
    <row r="22543" ht="16.5" customHeight="1">
      <c r="O22543" s="5" t="s">
        <v>355</v>
      </c>
      <c r="P22543" s="5" t="s">
        <v>355</v>
      </c>
      <c r="Q22543" s="5" t="s">
        <v>355</v>
      </c>
    </row>
    <row r="22544" ht="16.5" customHeight="1">
      <c r="O22544" s="5" t="s">
        <v>355</v>
      </c>
      <c r="P22544" s="5" t="s">
        <v>355</v>
      </c>
      <c r="Q22544" s="5" t="s">
        <v>355</v>
      </c>
    </row>
    <row r="22545" ht="16.5" customHeight="1">
      <c r="O22545" s="5" t="s">
        <v>355</v>
      </c>
      <c r="P22545" s="5" t="s">
        <v>355</v>
      </c>
      <c r="Q22545" s="5" t="s">
        <v>355</v>
      </c>
    </row>
    <row r="22546" ht="16.5" customHeight="1">
      <c r="O22546" s="5" t="s">
        <v>355</v>
      </c>
      <c r="P22546" s="5" t="s">
        <v>355</v>
      </c>
      <c r="Q22546" s="5" t="s">
        <v>355</v>
      </c>
    </row>
    <row r="22547" ht="16.5" customHeight="1">
      <c r="O22547" s="5" t="s">
        <v>355</v>
      </c>
      <c r="P22547" s="5" t="s">
        <v>355</v>
      </c>
      <c r="Q22547" s="5" t="s">
        <v>355</v>
      </c>
    </row>
    <row r="22548" ht="16.5" customHeight="1">
      <c r="O22548" s="5" t="s">
        <v>355</v>
      </c>
      <c r="P22548" s="5" t="s">
        <v>355</v>
      </c>
      <c r="Q22548" s="5" t="s">
        <v>355</v>
      </c>
    </row>
    <row r="22549" ht="16.5" customHeight="1">
      <c r="O22549" s="5" t="s">
        <v>355</v>
      </c>
      <c r="P22549" s="5" t="s">
        <v>355</v>
      </c>
      <c r="Q22549" s="5" t="s">
        <v>355</v>
      </c>
    </row>
    <row r="22550" ht="16.5" customHeight="1">
      <c r="O22550" s="5" t="s">
        <v>355</v>
      </c>
      <c r="P22550" s="5" t="s">
        <v>355</v>
      </c>
      <c r="Q22550" s="5" t="s">
        <v>355</v>
      </c>
    </row>
    <row r="22551" ht="16.5" customHeight="1">
      <c r="O22551" s="5" t="s">
        <v>355</v>
      </c>
      <c r="P22551" s="5" t="s">
        <v>355</v>
      </c>
      <c r="Q22551" s="5" t="s">
        <v>355</v>
      </c>
    </row>
    <row r="22552" ht="16.5" customHeight="1">
      <c r="O22552" s="5" t="s">
        <v>355</v>
      </c>
      <c r="P22552" s="5" t="s">
        <v>355</v>
      </c>
      <c r="Q22552" s="5" t="s">
        <v>355</v>
      </c>
    </row>
    <row r="22553" ht="16.5" customHeight="1">
      <c r="O22553" s="5" t="s">
        <v>355</v>
      </c>
      <c r="P22553" s="5" t="s">
        <v>355</v>
      </c>
      <c r="Q22553" s="5" t="s">
        <v>355</v>
      </c>
    </row>
    <row r="22554" ht="16.5" customHeight="1">
      <c r="O22554" s="5" t="s">
        <v>355</v>
      </c>
      <c r="P22554" s="5" t="s">
        <v>355</v>
      </c>
      <c r="Q22554" s="5" t="s">
        <v>355</v>
      </c>
    </row>
    <row r="22555" ht="16.5" customHeight="1">
      <c r="O22555" s="5" t="s">
        <v>355</v>
      </c>
      <c r="P22555" s="5" t="s">
        <v>355</v>
      </c>
      <c r="Q22555" s="5" t="s">
        <v>355</v>
      </c>
    </row>
    <row r="22556" ht="16.5" customHeight="1">
      <c r="O22556" s="5" t="s">
        <v>355</v>
      </c>
      <c r="P22556" s="5" t="s">
        <v>355</v>
      </c>
      <c r="Q22556" s="5" t="s">
        <v>355</v>
      </c>
    </row>
    <row r="22557" ht="16.5" customHeight="1">
      <c r="O22557" s="5" t="s">
        <v>355</v>
      </c>
      <c r="P22557" s="5" t="s">
        <v>355</v>
      </c>
      <c r="Q22557" s="5" t="s">
        <v>355</v>
      </c>
    </row>
    <row r="22558" ht="16.5" customHeight="1">
      <c r="O22558" s="5" t="s">
        <v>355</v>
      </c>
      <c r="P22558" s="5" t="s">
        <v>355</v>
      </c>
      <c r="Q22558" s="5" t="s">
        <v>355</v>
      </c>
    </row>
    <row r="22559" ht="16.5" customHeight="1">
      <c r="O22559" s="5" t="s">
        <v>355</v>
      </c>
      <c r="P22559" s="5" t="s">
        <v>355</v>
      </c>
      <c r="Q22559" s="5" t="s">
        <v>355</v>
      </c>
    </row>
    <row r="22560" ht="16.5" customHeight="1">
      <c r="O22560" s="5" t="s">
        <v>355</v>
      </c>
      <c r="P22560" s="5" t="s">
        <v>355</v>
      </c>
      <c r="Q22560" s="5" t="s">
        <v>355</v>
      </c>
    </row>
    <row r="22561" ht="16.5" customHeight="1">
      <c r="O22561" s="5" t="s">
        <v>355</v>
      </c>
      <c r="P22561" s="5" t="s">
        <v>355</v>
      </c>
      <c r="Q22561" s="5" t="s">
        <v>355</v>
      </c>
    </row>
    <row r="22562" ht="16.5" customHeight="1">
      <c r="O22562" s="5" t="s">
        <v>355</v>
      </c>
      <c r="P22562" s="5" t="s">
        <v>355</v>
      </c>
      <c r="Q22562" s="5" t="s">
        <v>355</v>
      </c>
    </row>
    <row r="22563" ht="16.5" customHeight="1">
      <c r="O22563" s="5" t="s">
        <v>355</v>
      </c>
      <c r="P22563" s="5" t="s">
        <v>355</v>
      </c>
      <c r="Q22563" s="5" t="s">
        <v>355</v>
      </c>
    </row>
    <row r="22564" ht="16.5" customHeight="1">
      <c r="O22564" s="5" t="s">
        <v>355</v>
      </c>
      <c r="P22564" s="5" t="s">
        <v>355</v>
      </c>
      <c r="Q22564" s="5" t="s">
        <v>355</v>
      </c>
    </row>
    <row r="22565" ht="16.5" customHeight="1">
      <c r="O22565" s="5" t="s">
        <v>355</v>
      </c>
      <c r="P22565" s="5" t="s">
        <v>355</v>
      </c>
      <c r="Q22565" s="5" t="s">
        <v>355</v>
      </c>
    </row>
    <row r="22566" ht="16.5" customHeight="1">
      <c r="O22566" s="5" t="s">
        <v>355</v>
      </c>
      <c r="P22566" s="5" t="s">
        <v>355</v>
      </c>
      <c r="Q22566" s="5" t="s">
        <v>355</v>
      </c>
    </row>
    <row r="22567" ht="16.5" customHeight="1">
      <c r="O22567" s="5" t="s">
        <v>355</v>
      </c>
      <c r="P22567" s="5" t="s">
        <v>355</v>
      </c>
      <c r="Q22567" s="5" t="s">
        <v>355</v>
      </c>
    </row>
    <row r="22568" ht="16.5" customHeight="1">
      <c r="O22568" s="5" t="s">
        <v>355</v>
      </c>
      <c r="P22568" s="5" t="s">
        <v>355</v>
      </c>
      <c r="Q22568" s="5" t="s">
        <v>355</v>
      </c>
    </row>
    <row r="22569" ht="16.5" customHeight="1">
      <c r="O22569" s="5" t="s">
        <v>355</v>
      </c>
      <c r="P22569" s="5" t="s">
        <v>355</v>
      </c>
      <c r="Q22569" s="5" t="s">
        <v>355</v>
      </c>
    </row>
    <row r="22570" ht="16.5" customHeight="1">
      <c r="O22570" s="5" t="s">
        <v>355</v>
      </c>
      <c r="P22570" s="5" t="s">
        <v>355</v>
      </c>
      <c r="Q22570" s="5" t="s">
        <v>355</v>
      </c>
    </row>
    <row r="22571" ht="16.5" customHeight="1">
      <c r="O22571" s="5" t="s">
        <v>355</v>
      </c>
      <c r="P22571" s="5" t="s">
        <v>355</v>
      </c>
      <c r="Q22571" s="5" t="s">
        <v>355</v>
      </c>
    </row>
    <row r="22572" ht="16.5" customHeight="1">
      <c r="O22572" s="5" t="s">
        <v>355</v>
      </c>
      <c r="P22572" s="5" t="s">
        <v>355</v>
      </c>
      <c r="Q22572" s="5" t="s">
        <v>355</v>
      </c>
    </row>
    <row r="22573" ht="16.5" customHeight="1">
      <c r="O22573" s="5" t="s">
        <v>355</v>
      </c>
      <c r="P22573" s="5" t="s">
        <v>355</v>
      </c>
      <c r="Q22573" s="5" t="s">
        <v>355</v>
      </c>
    </row>
    <row r="22574" ht="16.5" customHeight="1">
      <c r="O22574" s="5" t="s">
        <v>355</v>
      </c>
      <c r="P22574" s="5" t="s">
        <v>355</v>
      </c>
      <c r="Q22574" s="5" t="s">
        <v>355</v>
      </c>
    </row>
    <row r="22575" ht="16.5" customHeight="1">
      <c r="O22575" s="5" t="s">
        <v>355</v>
      </c>
      <c r="P22575" s="5" t="s">
        <v>355</v>
      </c>
      <c r="Q22575" s="5" t="s">
        <v>355</v>
      </c>
    </row>
    <row r="22576" ht="16.5" customHeight="1">
      <c r="O22576" s="5" t="s">
        <v>355</v>
      </c>
      <c r="P22576" s="5" t="s">
        <v>355</v>
      </c>
      <c r="Q22576" s="5" t="s">
        <v>355</v>
      </c>
    </row>
    <row r="22577" ht="16.5" customHeight="1">
      <c r="O22577" s="5" t="s">
        <v>355</v>
      </c>
      <c r="P22577" s="5" t="s">
        <v>355</v>
      </c>
      <c r="Q22577" s="5" t="s">
        <v>355</v>
      </c>
    </row>
    <row r="22578" ht="16.5" customHeight="1">
      <c r="O22578" s="5" t="s">
        <v>355</v>
      </c>
      <c r="P22578" s="5" t="s">
        <v>355</v>
      </c>
      <c r="Q22578" s="5" t="s">
        <v>355</v>
      </c>
    </row>
    <row r="22579" ht="16.5" customHeight="1">
      <c r="O22579" s="5" t="s">
        <v>355</v>
      </c>
      <c r="P22579" s="5" t="s">
        <v>355</v>
      </c>
      <c r="Q22579" s="5" t="s">
        <v>355</v>
      </c>
    </row>
    <row r="22580" ht="16.5" customHeight="1">
      <c r="O22580" s="5" t="s">
        <v>355</v>
      </c>
      <c r="P22580" s="5" t="s">
        <v>355</v>
      </c>
      <c r="Q22580" s="5" t="s">
        <v>355</v>
      </c>
    </row>
    <row r="22581" ht="16.5" customHeight="1">
      <c r="O22581" s="5" t="s">
        <v>355</v>
      </c>
      <c r="P22581" s="5" t="s">
        <v>355</v>
      </c>
      <c r="Q22581" s="5" t="s">
        <v>355</v>
      </c>
    </row>
    <row r="22582" ht="16.5" customHeight="1">
      <c r="O22582" s="5" t="s">
        <v>355</v>
      </c>
      <c r="P22582" s="5" t="s">
        <v>355</v>
      </c>
      <c r="Q22582" s="5" t="s">
        <v>355</v>
      </c>
    </row>
    <row r="22583" ht="16.5" customHeight="1">
      <c r="O22583" s="5" t="s">
        <v>355</v>
      </c>
      <c r="P22583" s="5" t="s">
        <v>355</v>
      </c>
      <c r="Q22583" s="5" t="s">
        <v>355</v>
      </c>
    </row>
    <row r="22584" ht="16.5" customHeight="1">
      <c r="O22584" s="5" t="s">
        <v>355</v>
      </c>
      <c r="P22584" s="5" t="s">
        <v>355</v>
      </c>
      <c r="Q22584" s="5" t="s">
        <v>355</v>
      </c>
    </row>
    <row r="22585" ht="16.5" customHeight="1">
      <c r="O22585" s="5" t="s">
        <v>355</v>
      </c>
      <c r="P22585" s="5" t="s">
        <v>355</v>
      </c>
      <c r="Q22585" s="5" t="s">
        <v>355</v>
      </c>
    </row>
    <row r="22586" ht="16.5" customHeight="1">
      <c r="O22586" s="5" t="s">
        <v>355</v>
      </c>
      <c r="P22586" s="5" t="s">
        <v>355</v>
      </c>
      <c r="Q22586" s="5" t="s">
        <v>355</v>
      </c>
    </row>
    <row r="22587" ht="16.5" customHeight="1">
      <c r="O22587" s="5" t="s">
        <v>355</v>
      </c>
      <c r="P22587" s="5" t="s">
        <v>355</v>
      </c>
      <c r="Q22587" s="5" t="s">
        <v>355</v>
      </c>
    </row>
    <row r="22588" ht="16.5" customHeight="1">
      <c r="O22588" s="5" t="s">
        <v>355</v>
      </c>
      <c r="P22588" s="5" t="s">
        <v>355</v>
      </c>
      <c r="Q22588" s="5" t="s">
        <v>355</v>
      </c>
    </row>
    <row r="22589" ht="16.5" customHeight="1">
      <c r="O22589" s="5" t="s">
        <v>355</v>
      </c>
      <c r="P22589" s="5" t="s">
        <v>355</v>
      </c>
      <c r="Q22589" s="5" t="s">
        <v>355</v>
      </c>
    </row>
    <row r="22590" ht="16.5" customHeight="1">
      <c r="O22590" s="5" t="s">
        <v>355</v>
      </c>
      <c r="P22590" s="5" t="s">
        <v>355</v>
      </c>
      <c r="Q22590" s="5" t="s">
        <v>355</v>
      </c>
    </row>
    <row r="22591" ht="16.5" customHeight="1">
      <c r="O22591" s="5" t="s">
        <v>355</v>
      </c>
      <c r="P22591" s="5" t="s">
        <v>355</v>
      </c>
      <c r="Q22591" s="5" t="s">
        <v>355</v>
      </c>
    </row>
    <row r="22592" ht="16.5" customHeight="1">
      <c r="O22592" s="5" t="s">
        <v>355</v>
      </c>
      <c r="P22592" s="5" t="s">
        <v>355</v>
      </c>
      <c r="Q22592" s="5" t="s">
        <v>355</v>
      </c>
    </row>
    <row r="22593" ht="16.5" customHeight="1">
      <c r="O22593" s="5" t="s">
        <v>355</v>
      </c>
      <c r="P22593" s="5" t="s">
        <v>355</v>
      </c>
      <c r="Q22593" s="5" t="s">
        <v>355</v>
      </c>
    </row>
    <row r="22594" ht="16.5" customHeight="1">
      <c r="O22594" s="5" t="s">
        <v>355</v>
      </c>
      <c r="P22594" s="5" t="s">
        <v>355</v>
      </c>
      <c r="Q22594" s="5" t="s">
        <v>355</v>
      </c>
    </row>
    <row r="22595" ht="16.5" customHeight="1">
      <c r="O22595" s="5" t="s">
        <v>355</v>
      </c>
      <c r="P22595" s="5" t="s">
        <v>355</v>
      </c>
      <c r="Q22595" s="5" t="s">
        <v>355</v>
      </c>
    </row>
    <row r="22596" ht="16.5" customHeight="1">
      <c r="O22596" s="5" t="s">
        <v>355</v>
      </c>
      <c r="P22596" s="5" t="s">
        <v>355</v>
      </c>
      <c r="Q22596" s="5" t="s">
        <v>355</v>
      </c>
    </row>
    <row r="22597" ht="16.5" customHeight="1">
      <c r="O22597" s="5" t="s">
        <v>355</v>
      </c>
      <c r="P22597" s="5" t="s">
        <v>355</v>
      </c>
      <c r="Q22597" s="5" t="s">
        <v>355</v>
      </c>
    </row>
    <row r="22598" ht="16.5" customHeight="1">
      <c r="O22598" s="5" t="s">
        <v>355</v>
      </c>
      <c r="P22598" s="5" t="s">
        <v>355</v>
      </c>
      <c r="Q22598" s="5" t="s">
        <v>355</v>
      </c>
    </row>
    <row r="22599" ht="16.5" customHeight="1">
      <c r="O22599" s="5" t="s">
        <v>355</v>
      </c>
      <c r="P22599" s="5" t="s">
        <v>355</v>
      </c>
      <c r="Q22599" s="5" t="s">
        <v>355</v>
      </c>
    </row>
    <row r="22600" ht="16.5" customHeight="1">
      <c r="O22600" s="5" t="s">
        <v>355</v>
      </c>
      <c r="P22600" s="5" t="s">
        <v>355</v>
      </c>
      <c r="Q22600" s="5" t="s">
        <v>355</v>
      </c>
    </row>
    <row r="22601" ht="16.5" customHeight="1">
      <c r="O22601" s="5" t="s">
        <v>355</v>
      </c>
      <c r="P22601" s="5" t="s">
        <v>355</v>
      </c>
      <c r="Q22601" s="5" t="s">
        <v>355</v>
      </c>
    </row>
    <row r="22602" ht="16.5" customHeight="1">
      <c r="O22602" s="5" t="s">
        <v>355</v>
      </c>
      <c r="P22602" s="5" t="s">
        <v>355</v>
      </c>
      <c r="Q22602" s="5" t="s">
        <v>355</v>
      </c>
    </row>
    <row r="22603" ht="16.5" customHeight="1">
      <c r="O22603" s="5" t="s">
        <v>355</v>
      </c>
      <c r="P22603" s="5" t="s">
        <v>355</v>
      </c>
      <c r="Q22603" s="5" t="s">
        <v>355</v>
      </c>
    </row>
    <row r="22604" ht="16.5" customHeight="1">
      <c r="O22604" s="5" t="s">
        <v>355</v>
      </c>
      <c r="P22604" s="5" t="s">
        <v>355</v>
      </c>
      <c r="Q22604" s="5" t="s">
        <v>355</v>
      </c>
    </row>
    <row r="22605" ht="16.5" customHeight="1">
      <c r="O22605" s="5" t="s">
        <v>355</v>
      </c>
      <c r="P22605" s="5" t="s">
        <v>355</v>
      </c>
      <c r="Q22605" s="5" t="s">
        <v>355</v>
      </c>
    </row>
    <row r="22606" ht="16.5" customHeight="1">
      <c r="O22606" s="5" t="s">
        <v>355</v>
      </c>
      <c r="P22606" s="5" t="s">
        <v>355</v>
      </c>
      <c r="Q22606" s="5" t="s">
        <v>355</v>
      </c>
    </row>
    <row r="22607" ht="16.5" customHeight="1">
      <c r="O22607" s="5" t="s">
        <v>355</v>
      </c>
      <c r="P22607" s="5" t="s">
        <v>355</v>
      </c>
      <c r="Q22607" s="5" t="s">
        <v>355</v>
      </c>
    </row>
    <row r="22608" ht="16.5" customHeight="1">
      <c r="O22608" s="5" t="s">
        <v>355</v>
      </c>
      <c r="P22608" s="5" t="s">
        <v>355</v>
      </c>
      <c r="Q22608" s="5" t="s">
        <v>355</v>
      </c>
    </row>
    <row r="22609" ht="16.5" customHeight="1">
      <c r="O22609" s="5" t="s">
        <v>355</v>
      </c>
      <c r="P22609" s="5" t="s">
        <v>355</v>
      </c>
      <c r="Q22609" s="5" t="s">
        <v>355</v>
      </c>
    </row>
    <row r="22610" ht="16.5" customHeight="1">
      <c r="O22610" s="5" t="s">
        <v>355</v>
      </c>
      <c r="P22610" s="5" t="s">
        <v>355</v>
      </c>
      <c r="Q22610" s="5" t="s">
        <v>355</v>
      </c>
    </row>
    <row r="22611" ht="16.5" customHeight="1">
      <c r="O22611" s="5" t="s">
        <v>355</v>
      </c>
      <c r="P22611" s="5" t="s">
        <v>355</v>
      </c>
      <c r="Q22611" s="5" t="s">
        <v>355</v>
      </c>
    </row>
    <row r="22612" ht="16.5" customHeight="1">
      <c r="O22612" s="5" t="s">
        <v>355</v>
      </c>
      <c r="P22612" s="5" t="s">
        <v>355</v>
      </c>
      <c r="Q22612" s="5" t="s">
        <v>355</v>
      </c>
    </row>
    <row r="22613" ht="16.5" customHeight="1">
      <c r="O22613" s="5" t="s">
        <v>355</v>
      </c>
      <c r="P22613" s="5" t="s">
        <v>355</v>
      </c>
      <c r="Q22613" s="5" t="s">
        <v>355</v>
      </c>
    </row>
    <row r="22614" ht="16.5" customHeight="1">
      <c r="O22614" s="5" t="s">
        <v>355</v>
      </c>
      <c r="P22614" s="5" t="s">
        <v>355</v>
      </c>
      <c r="Q22614" s="5" t="s">
        <v>355</v>
      </c>
    </row>
    <row r="22615" ht="16.5" customHeight="1">
      <c r="O22615" s="5" t="s">
        <v>355</v>
      </c>
      <c r="P22615" s="5" t="s">
        <v>355</v>
      </c>
      <c r="Q22615" s="5" t="s">
        <v>355</v>
      </c>
    </row>
    <row r="22616" ht="16.5" customHeight="1">
      <c r="O22616" s="5" t="s">
        <v>355</v>
      </c>
      <c r="P22616" s="5" t="s">
        <v>355</v>
      </c>
      <c r="Q22616" s="5" t="s">
        <v>355</v>
      </c>
    </row>
    <row r="22617" ht="16.5" customHeight="1">
      <c r="O22617" s="5" t="s">
        <v>355</v>
      </c>
      <c r="P22617" s="5" t="s">
        <v>355</v>
      </c>
      <c r="Q22617" s="5" t="s">
        <v>355</v>
      </c>
    </row>
    <row r="22618" ht="16.5" customHeight="1">
      <c r="O22618" s="5" t="s">
        <v>355</v>
      </c>
      <c r="P22618" s="5" t="s">
        <v>355</v>
      </c>
      <c r="Q22618" s="5" t="s">
        <v>355</v>
      </c>
    </row>
    <row r="22619" ht="16.5" customHeight="1">
      <c r="O22619" s="5" t="s">
        <v>355</v>
      </c>
      <c r="P22619" s="5" t="s">
        <v>355</v>
      </c>
      <c r="Q22619" s="5" t="s">
        <v>355</v>
      </c>
    </row>
    <row r="22620" ht="16.5" customHeight="1">
      <c r="O22620" s="5" t="s">
        <v>355</v>
      </c>
      <c r="P22620" s="5" t="s">
        <v>355</v>
      </c>
      <c r="Q22620" s="5" t="s">
        <v>355</v>
      </c>
    </row>
    <row r="22621" ht="16.5" customHeight="1">
      <c r="O22621" s="5" t="s">
        <v>355</v>
      </c>
      <c r="P22621" s="5" t="s">
        <v>355</v>
      </c>
      <c r="Q22621" s="5" t="s">
        <v>355</v>
      </c>
    </row>
    <row r="22622" ht="16.5" customHeight="1">
      <c r="O22622" s="5" t="s">
        <v>355</v>
      </c>
      <c r="P22622" s="5" t="s">
        <v>355</v>
      </c>
      <c r="Q22622" s="5" t="s">
        <v>355</v>
      </c>
    </row>
    <row r="22623" ht="16.5" customHeight="1">
      <c r="O22623" s="5" t="s">
        <v>355</v>
      </c>
      <c r="P22623" s="5" t="s">
        <v>355</v>
      </c>
      <c r="Q22623" s="5" t="s">
        <v>355</v>
      </c>
    </row>
    <row r="22624" ht="16.5" customHeight="1">
      <c r="O22624" s="5" t="s">
        <v>355</v>
      </c>
      <c r="P22624" s="5" t="s">
        <v>355</v>
      </c>
      <c r="Q22624" s="5" t="s">
        <v>355</v>
      </c>
    </row>
    <row r="22625" ht="16.5" customHeight="1">
      <c r="O22625" s="5" t="s">
        <v>355</v>
      </c>
      <c r="P22625" s="5" t="s">
        <v>355</v>
      </c>
      <c r="Q22625" s="5" t="s">
        <v>355</v>
      </c>
    </row>
    <row r="22626" ht="16.5" customHeight="1">
      <c r="O22626" s="5" t="s">
        <v>355</v>
      </c>
      <c r="P22626" s="5" t="s">
        <v>355</v>
      </c>
      <c r="Q22626" s="5" t="s">
        <v>355</v>
      </c>
    </row>
    <row r="22627" ht="16.5" customHeight="1">
      <c r="O22627" s="5" t="s">
        <v>355</v>
      </c>
      <c r="P22627" s="5" t="s">
        <v>355</v>
      </c>
      <c r="Q22627" s="5" t="s">
        <v>355</v>
      </c>
    </row>
    <row r="22628" ht="16.5" customHeight="1">
      <c r="O22628" s="5" t="s">
        <v>355</v>
      </c>
      <c r="P22628" s="5" t="s">
        <v>355</v>
      </c>
      <c r="Q22628" s="5" t="s">
        <v>355</v>
      </c>
    </row>
    <row r="22629" ht="16.5" customHeight="1">
      <c r="O22629" s="5" t="s">
        <v>355</v>
      </c>
      <c r="P22629" s="5" t="s">
        <v>355</v>
      </c>
      <c r="Q22629" s="5" t="s">
        <v>355</v>
      </c>
    </row>
    <row r="22630" ht="16.5" customHeight="1">
      <c r="O22630" s="5" t="s">
        <v>355</v>
      </c>
      <c r="P22630" s="5" t="s">
        <v>355</v>
      </c>
      <c r="Q22630" s="5" t="s">
        <v>355</v>
      </c>
    </row>
    <row r="22631" ht="16.5" customHeight="1">
      <c r="O22631" s="5" t="s">
        <v>355</v>
      </c>
      <c r="P22631" s="5" t="s">
        <v>355</v>
      </c>
      <c r="Q22631" s="5" t="s">
        <v>355</v>
      </c>
    </row>
    <row r="22632" ht="16.5" customHeight="1">
      <c r="O22632" s="5" t="s">
        <v>355</v>
      </c>
      <c r="P22632" s="5" t="s">
        <v>355</v>
      </c>
      <c r="Q22632" s="5" t="s">
        <v>355</v>
      </c>
    </row>
    <row r="22633" ht="16.5" customHeight="1">
      <c r="O22633" s="5" t="s">
        <v>355</v>
      </c>
      <c r="P22633" s="5" t="s">
        <v>355</v>
      </c>
      <c r="Q22633" s="5" t="s">
        <v>355</v>
      </c>
    </row>
    <row r="22634" ht="16.5" customHeight="1">
      <c r="O22634" s="5" t="s">
        <v>355</v>
      </c>
      <c r="P22634" s="5" t="s">
        <v>355</v>
      </c>
      <c r="Q22634" s="5" t="s">
        <v>355</v>
      </c>
    </row>
    <row r="22635" ht="16.5" customHeight="1">
      <c r="O22635" s="5" t="s">
        <v>355</v>
      </c>
      <c r="P22635" s="5" t="s">
        <v>355</v>
      </c>
      <c r="Q22635" s="5" t="s">
        <v>355</v>
      </c>
    </row>
    <row r="22636" ht="16.5" customHeight="1">
      <c r="O22636" s="5" t="s">
        <v>355</v>
      </c>
      <c r="P22636" s="5" t="s">
        <v>355</v>
      </c>
      <c r="Q22636" s="5" t="s">
        <v>355</v>
      </c>
    </row>
    <row r="22637" ht="16.5" customHeight="1">
      <c r="O22637" s="5" t="s">
        <v>355</v>
      </c>
      <c r="P22637" s="5" t="s">
        <v>355</v>
      </c>
      <c r="Q22637" s="5" t="s">
        <v>355</v>
      </c>
    </row>
    <row r="22638" ht="16.5" customHeight="1">
      <c r="O22638" s="5" t="s">
        <v>355</v>
      </c>
      <c r="P22638" s="5" t="s">
        <v>355</v>
      </c>
      <c r="Q22638" s="5" t="s">
        <v>355</v>
      </c>
    </row>
    <row r="22639" ht="16.5" customHeight="1">
      <c r="O22639" s="5" t="s">
        <v>355</v>
      </c>
      <c r="P22639" s="5" t="s">
        <v>355</v>
      </c>
      <c r="Q22639" s="5" t="s">
        <v>355</v>
      </c>
    </row>
    <row r="22640" ht="16.5" customHeight="1">
      <c r="O22640" s="5" t="s">
        <v>355</v>
      </c>
      <c r="P22640" s="5" t="s">
        <v>355</v>
      </c>
      <c r="Q22640" s="5" t="s">
        <v>355</v>
      </c>
    </row>
    <row r="22641" ht="16.5" customHeight="1">
      <c r="O22641" s="5" t="s">
        <v>355</v>
      </c>
      <c r="P22641" s="5" t="s">
        <v>355</v>
      </c>
      <c r="Q22641" s="5" t="s">
        <v>355</v>
      </c>
    </row>
    <row r="22642" ht="16.5" customHeight="1">
      <c r="O22642" s="5" t="s">
        <v>355</v>
      </c>
      <c r="P22642" s="5" t="s">
        <v>355</v>
      </c>
      <c r="Q22642" s="5" t="s">
        <v>355</v>
      </c>
    </row>
    <row r="22643" ht="16.5" customHeight="1">
      <c r="O22643" s="5" t="s">
        <v>355</v>
      </c>
      <c r="P22643" s="5" t="s">
        <v>355</v>
      </c>
      <c r="Q22643" s="5" t="s">
        <v>355</v>
      </c>
    </row>
    <row r="22644" ht="16.5" customHeight="1">
      <c r="O22644" s="5" t="s">
        <v>355</v>
      </c>
      <c r="P22644" s="5" t="s">
        <v>355</v>
      </c>
      <c r="Q22644" s="5" t="s">
        <v>355</v>
      </c>
    </row>
    <row r="22645" ht="16.5" customHeight="1">
      <c r="O22645" s="5" t="s">
        <v>355</v>
      </c>
      <c r="P22645" s="5" t="s">
        <v>355</v>
      </c>
      <c r="Q22645" s="5" t="s">
        <v>355</v>
      </c>
    </row>
    <row r="22646" ht="16.5" customHeight="1">
      <c r="O22646" s="5" t="s">
        <v>355</v>
      </c>
      <c r="P22646" s="5" t="s">
        <v>355</v>
      </c>
      <c r="Q22646" s="5" t="s">
        <v>355</v>
      </c>
    </row>
    <row r="22647" ht="16.5" customHeight="1">
      <c r="O22647" s="5" t="s">
        <v>355</v>
      </c>
      <c r="P22647" s="5" t="s">
        <v>355</v>
      </c>
      <c r="Q22647" s="5" t="s">
        <v>355</v>
      </c>
    </row>
    <row r="22648" ht="16.5" customHeight="1">
      <c r="O22648" s="5" t="s">
        <v>355</v>
      </c>
      <c r="P22648" s="5" t="s">
        <v>355</v>
      </c>
      <c r="Q22648" s="5" t="s">
        <v>355</v>
      </c>
    </row>
    <row r="22649" ht="16.5" customHeight="1">
      <c r="O22649" s="5" t="s">
        <v>355</v>
      </c>
      <c r="P22649" s="5" t="s">
        <v>355</v>
      </c>
      <c r="Q22649" s="5" t="s">
        <v>355</v>
      </c>
    </row>
    <row r="22650" ht="16.5" customHeight="1">
      <c r="O22650" s="5" t="s">
        <v>355</v>
      </c>
      <c r="P22650" s="5" t="s">
        <v>355</v>
      </c>
      <c r="Q22650" s="5" t="s">
        <v>355</v>
      </c>
    </row>
    <row r="22651" ht="16.5" customHeight="1">
      <c r="O22651" s="5" t="s">
        <v>355</v>
      </c>
      <c r="P22651" s="5" t="s">
        <v>355</v>
      </c>
      <c r="Q22651" s="5" t="s">
        <v>355</v>
      </c>
    </row>
    <row r="22652" ht="16.5" customHeight="1">
      <c r="O22652" s="5" t="s">
        <v>355</v>
      </c>
      <c r="P22652" s="5" t="s">
        <v>355</v>
      </c>
      <c r="Q22652" s="5" t="s">
        <v>355</v>
      </c>
    </row>
    <row r="22653" ht="16.5" customHeight="1">
      <c r="O22653" s="5" t="s">
        <v>355</v>
      </c>
      <c r="P22653" s="5" t="s">
        <v>355</v>
      </c>
      <c r="Q22653" s="5" t="s">
        <v>355</v>
      </c>
    </row>
    <row r="22654" ht="16.5" customHeight="1">
      <c r="O22654" s="5" t="s">
        <v>355</v>
      </c>
      <c r="P22654" s="5" t="s">
        <v>355</v>
      </c>
      <c r="Q22654" s="5" t="s">
        <v>355</v>
      </c>
    </row>
    <row r="22655" ht="16.5" customHeight="1">
      <c r="O22655" s="5" t="s">
        <v>355</v>
      </c>
      <c r="P22655" s="5" t="s">
        <v>355</v>
      </c>
      <c r="Q22655" s="5" t="s">
        <v>355</v>
      </c>
    </row>
    <row r="22656" ht="16.5" customHeight="1">
      <c r="O22656" s="5" t="s">
        <v>355</v>
      </c>
      <c r="P22656" s="5" t="s">
        <v>355</v>
      </c>
      <c r="Q22656" s="5" t="s">
        <v>355</v>
      </c>
    </row>
    <row r="22657" ht="16.5" customHeight="1">
      <c r="O22657" s="5" t="s">
        <v>355</v>
      </c>
      <c r="P22657" s="5" t="s">
        <v>355</v>
      </c>
      <c r="Q22657" s="5" t="s">
        <v>355</v>
      </c>
    </row>
    <row r="22658" ht="16.5" customHeight="1">
      <c r="O22658" s="5" t="s">
        <v>355</v>
      </c>
      <c r="P22658" s="5" t="s">
        <v>355</v>
      </c>
      <c r="Q22658" s="5" t="s">
        <v>355</v>
      </c>
    </row>
    <row r="22659" ht="16.5" customHeight="1">
      <c r="O22659" s="5" t="s">
        <v>355</v>
      </c>
      <c r="P22659" s="5" t="s">
        <v>355</v>
      </c>
      <c r="Q22659" s="5" t="s">
        <v>355</v>
      </c>
    </row>
    <row r="22660" ht="16.5" customHeight="1">
      <c r="O22660" s="5" t="s">
        <v>355</v>
      </c>
      <c r="P22660" s="5" t="s">
        <v>355</v>
      </c>
      <c r="Q22660" s="5" t="s">
        <v>355</v>
      </c>
    </row>
    <row r="22661" ht="16.5" customHeight="1">
      <c r="O22661" s="5" t="s">
        <v>355</v>
      </c>
      <c r="P22661" s="5" t="s">
        <v>355</v>
      </c>
      <c r="Q22661" s="5" t="s">
        <v>355</v>
      </c>
    </row>
    <row r="22662" ht="16.5" customHeight="1">
      <c r="O22662" s="5" t="s">
        <v>355</v>
      </c>
      <c r="P22662" s="5" t="s">
        <v>355</v>
      </c>
      <c r="Q22662" s="5" t="s">
        <v>355</v>
      </c>
    </row>
    <row r="22663" ht="16.5" customHeight="1">
      <c r="O22663" s="5" t="s">
        <v>355</v>
      </c>
      <c r="P22663" s="5" t="s">
        <v>355</v>
      </c>
      <c r="Q22663" s="5" t="s">
        <v>355</v>
      </c>
    </row>
    <row r="22664" ht="16.5" customHeight="1">
      <c r="O22664" s="5" t="s">
        <v>355</v>
      </c>
      <c r="P22664" s="5" t="s">
        <v>355</v>
      </c>
      <c r="Q22664" s="5" t="s">
        <v>355</v>
      </c>
    </row>
    <row r="22665" ht="16.5" customHeight="1">
      <c r="O22665" s="5" t="s">
        <v>355</v>
      </c>
      <c r="P22665" s="5" t="s">
        <v>355</v>
      </c>
      <c r="Q22665" s="5" t="s">
        <v>355</v>
      </c>
    </row>
    <row r="22666" ht="16.5" customHeight="1">
      <c r="O22666" s="5" t="s">
        <v>355</v>
      </c>
      <c r="P22666" s="5" t="s">
        <v>355</v>
      </c>
      <c r="Q22666" s="5" t="s">
        <v>355</v>
      </c>
    </row>
    <row r="22667" ht="16.5" customHeight="1">
      <c r="O22667" s="5" t="s">
        <v>355</v>
      </c>
      <c r="P22667" s="5" t="s">
        <v>355</v>
      </c>
      <c r="Q22667" s="5" t="s">
        <v>355</v>
      </c>
    </row>
    <row r="22668" ht="16.5" customHeight="1">
      <c r="O22668" s="5" t="s">
        <v>355</v>
      </c>
      <c r="P22668" s="5" t="s">
        <v>355</v>
      </c>
      <c r="Q22668" s="5" t="s">
        <v>355</v>
      </c>
    </row>
    <row r="22669" ht="16.5" customHeight="1">
      <c r="O22669" s="5" t="s">
        <v>355</v>
      </c>
      <c r="P22669" s="5" t="s">
        <v>355</v>
      </c>
      <c r="Q22669" s="5" t="s">
        <v>355</v>
      </c>
    </row>
    <row r="22670" ht="16.5" customHeight="1">
      <c r="O22670" s="5" t="s">
        <v>355</v>
      </c>
      <c r="P22670" s="5" t="s">
        <v>355</v>
      </c>
      <c r="Q22670" s="5" t="s">
        <v>355</v>
      </c>
    </row>
    <row r="22671" ht="16.5" customHeight="1">
      <c r="O22671" s="5" t="s">
        <v>355</v>
      </c>
      <c r="P22671" s="5" t="s">
        <v>355</v>
      </c>
      <c r="Q22671" s="5" t="s">
        <v>355</v>
      </c>
    </row>
    <row r="22672" ht="16.5" customHeight="1">
      <c r="O22672" s="5" t="s">
        <v>355</v>
      </c>
      <c r="P22672" s="5" t="s">
        <v>355</v>
      </c>
      <c r="Q22672" s="5" t="s">
        <v>355</v>
      </c>
    </row>
    <row r="22673" ht="16.5" customHeight="1">
      <c r="O22673" s="5" t="s">
        <v>355</v>
      </c>
      <c r="P22673" s="5" t="s">
        <v>355</v>
      </c>
      <c r="Q22673" s="5" t="s">
        <v>355</v>
      </c>
    </row>
    <row r="22674" ht="16.5" customHeight="1">
      <c r="O22674" s="5" t="s">
        <v>355</v>
      </c>
      <c r="P22674" s="5" t="s">
        <v>355</v>
      </c>
      <c r="Q22674" s="5" t="s">
        <v>355</v>
      </c>
    </row>
    <row r="22675" ht="16.5" customHeight="1">
      <c r="O22675" s="5" t="s">
        <v>355</v>
      </c>
      <c r="P22675" s="5" t="s">
        <v>355</v>
      </c>
      <c r="Q22675" s="5" t="s">
        <v>355</v>
      </c>
    </row>
    <row r="22676" ht="16.5" customHeight="1">
      <c r="O22676" s="5" t="s">
        <v>355</v>
      </c>
      <c r="P22676" s="5" t="s">
        <v>355</v>
      </c>
      <c r="Q22676" s="5" t="s">
        <v>355</v>
      </c>
    </row>
    <row r="22677" ht="16.5" customHeight="1">
      <c r="O22677" s="5" t="s">
        <v>355</v>
      </c>
      <c r="P22677" s="5" t="s">
        <v>355</v>
      </c>
      <c r="Q22677" s="5" t="s">
        <v>355</v>
      </c>
    </row>
    <row r="22678" ht="16.5" customHeight="1">
      <c r="O22678" s="5" t="s">
        <v>355</v>
      </c>
      <c r="P22678" s="5" t="s">
        <v>355</v>
      </c>
      <c r="Q22678" s="5" t="s">
        <v>355</v>
      </c>
    </row>
    <row r="22679" ht="16.5" customHeight="1">
      <c r="O22679" s="5" t="s">
        <v>355</v>
      </c>
      <c r="P22679" s="5" t="s">
        <v>355</v>
      </c>
      <c r="Q22679" s="5" t="s">
        <v>355</v>
      </c>
    </row>
    <row r="22680" ht="16.5" customHeight="1">
      <c r="O22680" s="5" t="s">
        <v>355</v>
      </c>
      <c r="P22680" s="5" t="s">
        <v>355</v>
      </c>
      <c r="Q22680" s="5" t="s">
        <v>355</v>
      </c>
    </row>
    <row r="22681" ht="16.5" customHeight="1">
      <c r="O22681" s="5" t="s">
        <v>355</v>
      </c>
      <c r="P22681" s="5" t="s">
        <v>355</v>
      </c>
      <c r="Q22681" s="5" t="s">
        <v>355</v>
      </c>
    </row>
    <row r="22682" ht="16.5" customHeight="1">
      <c r="O22682" s="5" t="s">
        <v>355</v>
      </c>
      <c r="P22682" s="5" t="s">
        <v>355</v>
      </c>
      <c r="Q22682" s="5" t="s">
        <v>355</v>
      </c>
    </row>
    <row r="22683" ht="16.5" customHeight="1">
      <c r="O22683" s="5" t="s">
        <v>355</v>
      </c>
      <c r="P22683" s="5" t="s">
        <v>355</v>
      </c>
      <c r="Q22683" s="5" t="s">
        <v>355</v>
      </c>
    </row>
    <row r="22684" ht="16.5" customHeight="1">
      <c r="O22684" s="5" t="s">
        <v>355</v>
      </c>
      <c r="P22684" s="5" t="s">
        <v>355</v>
      </c>
      <c r="Q22684" s="5" t="s">
        <v>355</v>
      </c>
    </row>
    <row r="22685" ht="16.5" customHeight="1">
      <c r="O22685" s="5" t="s">
        <v>355</v>
      </c>
      <c r="P22685" s="5" t="s">
        <v>355</v>
      </c>
      <c r="Q22685" s="5" t="s">
        <v>355</v>
      </c>
    </row>
    <row r="22686" ht="16.5" customHeight="1">
      <c r="O22686" s="5" t="s">
        <v>355</v>
      </c>
      <c r="P22686" s="5" t="s">
        <v>355</v>
      </c>
      <c r="Q22686" s="5" t="s">
        <v>355</v>
      </c>
    </row>
    <row r="22687" ht="16.5" customHeight="1">
      <c r="O22687" s="5" t="s">
        <v>355</v>
      </c>
      <c r="P22687" s="5" t="s">
        <v>355</v>
      </c>
      <c r="Q22687" s="5" t="s">
        <v>355</v>
      </c>
    </row>
    <row r="22688" ht="16.5" customHeight="1">
      <c r="O22688" s="5" t="s">
        <v>355</v>
      </c>
      <c r="P22688" s="5" t="s">
        <v>355</v>
      </c>
      <c r="Q22688" s="5" t="s">
        <v>355</v>
      </c>
    </row>
    <row r="22689" ht="16.5" customHeight="1">
      <c r="O22689" s="5" t="s">
        <v>355</v>
      </c>
      <c r="P22689" s="5" t="s">
        <v>355</v>
      </c>
      <c r="Q22689" s="5" t="s">
        <v>355</v>
      </c>
    </row>
    <row r="22690" ht="16.5" customHeight="1">
      <c r="O22690" s="5" t="s">
        <v>355</v>
      </c>
      <c r="P22690" s="5" t="s">
        <v>355</v>
      </c>
      <c r="Q22690" s="5" t="s">
        <v>355</v>
      </c>
    </row>
    <row r="22691" ht="16.5" customHeight="1">
      <c r="O22691" s="5" t="s">
        <v>355</v>
      </c>
      <c r="P22691" s="5" t="s">
        <v>355</v>
      </c>
      <c r="Q22691" s="5" t="s">
        <v>355</v>
      </c>
    </row>
    <row r="22692" ht="16.5" customHeight="1">
      <c r="O22692" s="5" t="s">
        <v>355</v>
      </c>
      <c r="P22692" s="5" t="s">
        <v>355</v>
      </c>
      <c r="Q22692" s="5" t="s">
        <v>355</v>
      </c>
    </row>
    <row r="22693" ht="16.5" customHeight="1">
      <c r="O22693" s="5" t="s">
        <v>355</v>
      </c>
      <c r="P22693" s="5" t="s">
        <v>355</v>
      </c>
      <c r="Q22693" s="5" t="s">
        <v>355</v>
      </c>
    </row>
    <row r="22694" ht="16.5" customHeight="1">
      <c r="O22694" s="5" t="s">
        <v>355</v>
      </c>
      <c r="P22694" s="5" t="s">
        <v>355</v>
      </c>
      <c r="Q22694" s="5" t="s">
        <v>355</v>
      </c>
    </row>
    <row r="22695" ht="16.5" customHeight="1">
      <c r="O22695" s="5" t="s">
        <v>355</v>
      </c>
      <c r="P22695" s="5" t="s">
        <v>355</v>
      </c>
      <c r="Q22695" s="5" t="s">
        <v>355</v>
      </c>
    </row>
    <row r="22696" ht="16.5" customHeight="1">
      <c r="O22696" s="5" t="s">
        <v>355</v>
      </c>
      <c r="P22696" s="5" t="s">
        <v>355</v>
      </c>
      <c r="Q22696" s="5" t="s">
        <v>355</v>
      </c>
    </row>
    <row r="22697" ht="16.5" customHeight="1">
      <c r="O22697" s="5" t="s">
        <v>355</v>
      </c>
      <c r="P22697" s="5" t="s">
        <v>355</v>
      </c>
      <c r="Q22697" s="5" t="s">
        <v>355</v>
      </c>
    </row>
    <row r="22698" ht="16.5" customHeight="1">
      <c r="O22698" s="5" t="s">
        <v>355</v>
      </c>
      <c r="P22698" s="5" t="s">
        <v>355</v>
      </c>
      <c r="Q22698" s="5" t="s">
        <v>355</v>
      </c>
    </row>
    <row r="22699" ht="16.5" customHeight="1">
      <c r="O22699" s="5" t="s">
        <v>355</v>
      </c>
      <c r="P22699" s="5" t="s">
        <v>355</v>
      </c>
      <c r="Q22699" s="5" t="s">
        <v>355</v>
      </c>
    </row>
    <row r="22700" ht="16.5" customHeight="1">
      <c r="O22700" s="5" t="s">
        <v>355</v>
      </c>
      <c r="P22700" s="5" t="s">
        <v>355</v>
      </c>
      <c r="Q22700" s="5" t="s">
        <v>355</v>
      </c>
    </row>
    <row r="22701" ht="16.5" customHeight="1">
      <c r="O22701" s="5" t="s">
        <v>355</v>
      </c>
      <c r="P22701" s="5" t="s">
        <v>355</v>
      </c>
      <c r="Q22701" s="5" t="s">
        <v>355</v>
      </c>
    </row>
    <row r="22702" ht="16.5" customHeight="1">
      <c r="O22702" s="5" t="s">
        <v>355</v>
      </c>
      <c r="P22702" s="5" t="s">
        <v>355</v>
      </c>
      <c r="Q22702" s="5" t="s">
        <v>355</v>
      </c>
    </row>
    <row r="22703" ht="16.5" customHeight="1">
      <c r="O22703" s="5" t="s">
        <v>355</v>
      </c>
      <c r="P22703" s="5" t="s">
        <v>355</v>
      </c>
      <c r="Q22703" s="5" t="s">
        <v>355</v>
      </c>
    </row>
    <row r="22704" ht="16.5" customHeight="1">
      <c r="O22704" s="5" t="s">
        <v>355</v>
      </c>
      <c r="P22704" s="5" t="s">
        <v>355</v>
      </c>
      <c r="Q22704" s="5" t="s">
        <v>355</v>
      </c>
    </row>
    <row r="22705" ht="16.5" customHeight="1">
      <c r="O22705" s="5" t="s">
        <v>355</v>
      </c>
      <c r="P22705" s="5" t="s">
        <v>355</v>
      </c>
      <c r="Q22705" s="5" t="s">
        <v>355</v>
      </c>
    </row>
    <row r="22706" ht="16.5" customHeight="1">
      <c r="O22706" s="5" t="s">
        <v>355</v>
      </c>
      <c r="P22706" s="5" t="s">
        <v>355</v>
      </c>
      <c r="Q22706" s="5" t="s">
        <v>355</v>
      </c>
    </row>
    <row r="22707" ht="16.5" customHeight="1">
      <c r="O22707" s="5" t="s">
        <v>355</v>
      </c>
      <c r="P22707" s="5" t="s">
        <v>355</v>
      </c>
      <c r="Q22707" s="5" t="s">
        <v>355</v>
      </c>
    </row>
    <row r="22708" ht="16.5" customHeight="1">
      <c r="O22708" s="5" t="s">
        <v>355</v>
      </c>
      <c r="P22708" s="5" t="s">
        <v>355</v>
      </c>
      <c r="Q22708" s="5" t="s">
        <v>355</v>
      </c>
    </row>
    <row r="22709" ht="16.5" customHeight="1">
      <c r="O22709" s="5" t="s">
        <v>355</v>
      </c>
      <c r="P22709" s="5" t="s">
        <v>355</v>
      </c>
      <c r="Q22709" s="5" t="s">
        <v>355</v>
      </c>
    </row>
    <row r="22710" ht="16.5" customHeight="1">
      <c r="O22710" s="5" t="s">
        <v>355</v>
      </c>
      <c r="P22710" s="5" t="s">
        <v>355</v>
      </c>
      <c r="Q22710" s="5" t="s">
        <v>355</v>
      </c>
    </row>
    <row r="22711" ht="16.5" customHeight="1">
      <c r="O22711" s="5" t="s">
        <v>355</v>
      </c>
      <c r="P22711" s="5" t="s">
        <v>355</v>
      </c>
      <c r="Q22711" s="5" t="s">
        <v>355</v>
      </c>
    </row>
    <row r="22712" ht="16.5" customHeight="1">
      <c r="O22712" s="5" t="s">
        <v>355</v>
      </c>
      <c r="P22712" s="5" t="s">
        <v>355</v>
      </c>
      <c r="Q22712" s="5" t="s">
        <v>355</v>
      </c>
    </row>
    <row r="22713" ht="16.5" customHeight="1">
      <c r="O22713" s="5" t="s">
        <v>355</v>
      </c>
      <c r="P22713" s="5" t="s">
        <v>355</v>
      </c>
      <c r="Q22713" s="5" t="s">
        <v>355</v>
      </c>
    </row>
    <row r="22714" ht="16.5" customHeight="1">
      <c r="O22714" s="5" t="s">
        <v>355</v>
      </c>
      <c r="P22714" s="5" t="s">
        <v>355</v>
      </c>
      <c r="Q22714" s="5" t="s">
        <v>355</v>
      </c>
    </row>
    <row r="22715" ht="16.5" customHeight="1">
      <c r="O22715" s="5" t="s">
        <v>355</v>
      </c>
      <c r="P22715" s="5" t="s">
        <v>355</v>
      </c>
      <c r="Q22715" s="5" t="s">
        <v>355</v>
      </c>
    </row>
    <row r="22716" ht="16.5" customHeight="1">
      <c r="O22716" s="5" t="s">
        <v>355</v>
      </c>
      <c r="P22716" s="5" t="s">
        <v>355</v>
      </c>
      <c r="Q22716" s="5" t="s">
        <v>355</v>
      </c>
    </row>
    <row r="22717" ht="16.5" customHeight="1">
      <c r="O22717" s="5" t="s">
        <v>355</v>
      </c>
      <c r="P22717" s="5" t="s">
        <v>355</v>
      </c>
      <c r="Q22717" s="5" t="s">
        <v>355</v>
      </c>
    </row>
    <row r="22718" ht="16.5" customHeight="1">
      <c r="O22718" s="5" t="s">
        <v>355</v>
      </c>
      <c r="P22718" s="5" t="s">
        <v>355</v>
      </c>
      <c r="Q22718" s="5" t="s">
        <v>355</v>
      </c>
    </row>
    <row r="22719" ht="16.5" customHeight="1">
      <c r="O22719" s="5" t="s">
        <v>355</v>
      </c>
      <c r="P22719" s="5" t="s">
        <v>355</v>
      </c>
      <c r="Q22719" s="5" t="s">
        <v>355</v>
      </c>
    </row>
    <row r="22720" ht="16.5" customHeight="1">
      <c r="O22720" s="5" t="s">
        <v>355</v>
      </c>
      <c r="P22720" s="5" t="s">
        <v>355</v>
      </c>
      <c r="Q22720" s="5" t="s">
        <v>355</v>
      </c>
    </row>
    <row r="22721" ht="16.5" customHeight="1">
      <c r="O22721" s="5" t="s">
        <v>355</v>
      </c>
      <c r="P22721" s="5" t="s">
        <v>355</v>
      </c>
      <c r="Q22721" s="5" t="s">
        <v>355</v>
      </c>
    </row>
    <row r="22722" ht="16.5" customHeight="1">
      <c r="O22722" s="5" t="s">
        <v>355</v>
      </c>
      <c r="P22722" s="5" t="s">
        <v>355</v>
      </c>
      <c r="Q22722" s="5" t="s">
        <v>355</v>
      </c>
    </row>
    <row r="22723" ht="16.5" customHeight="1">
      <c r="O22723" s="5" t="s">
        <v>355</v>
      </c>
      <c r="P22723" s="5" t="s">
        <v>355</v>
      </c>
      <c r="Q22723" s="5" t="s">
        <v>355</v>
      </c>
    </row>
    <row r="22724" ht="16.5" customHeight="1">
      <c r="O22724" s="5" t="s">
        <v>355</v>
      </c>
      <c r="P22724" s="5" t="s">
        <v>355</v>
      </c>
      <c r="Q22724" s="5" t="s">
        <v>355</v>
      </c>
    </row>
    <row r="22725" ht="16.5" customHeight="1">
      <c r="O22725" s="5" t="s">
        <v>355</v>
      </c>
      <c r="P22725" s="5" t="s">
        <v>355</v>
      </c>
      <c r="Q22725" s="5" t="s">
        <v>355</v>
      </c>
    </row>
    <row r="22726" ht="16.5" customHeight="1">
      <c r="O22726" s="5" t="s">
        <v>355</v>
      </c>
      <c r="P22726" s="5" t="s">
        <v>355</v>
      </c>
      <c r="Q22726" s="5" t="s">
        <v>355</v>
      </c>
    </row>
    <row r="22727" ht="16.5" customHeight="1">
      <c r="O22727" s="5" t="s">
        <v>355</v>
      </c>
      <c r="P22727" s="5" t="s">
        <v>355</v>
      </c>
      <c r="Q22727" s="5" t="s">
        <v>355</v>
      </c>
    </row>
    <row r="22728" ht="16.5" customHeight="1">
      <c r="O22728" s="5" t="s">
        <v>355</v>
      </c>
      <c r="P22728" s="5" t="s">
        <v>355</v>
      </c>
      <c r="Q22728" s="5" t="s">
        <v>355</v>
      </c>
    </row>
    <row r="22729" ht="16.5" customHeight="1">
      <c r="O22729" s="5" t="s">
        <v>355</v>
      </c>
      <c r="P22729" s="5" t="s">
        <v>355</v>
      </c>
      <c r="Q22729" s="5" t="s">
        <v>355</v>
      </c>
    </row>
    <row r="22730" ht="16.5" customHeight="1">
      <c r="O22730" s="5" t="s">
        <v>355</v>
      </c>
      <c r="P22730" s="5" t="s">
        <v>355</v>
      </c>
      <c r="Q22730" s="5" t="s">
        <v>355</v>
      </c>
    </row>
    <row r="22731" ht="16.5" customHeight="1">
      <c r="O22731" s="5" t="s">
        <v>355</v>
      </c>
      <c r="P22731" s="5" t="s">
        <v>355</v>
      </c>
      <c r="Q22731" s="5" t="s">
        <v>355</v>
      </c>
    </row>
    <row r="22732" ht="16.5" customHeight="1">
      <c r="O22732" s="5" t="s">
        <v>355</v>
      </c>
      <c r="P22732" s="5" t="s">
        <v>355</v>
      </c>
      <c r="Q22732" s="5" t="s">
        <v>355</v>
      </c>
    </row>
    <row r="22733" ht="16.5" customHeight="1">
      <c r="O22733" s="5" t="s">
        <v>355</v>
      </c>
      <c r="P22733" s="5" t="s">
        <v>355</v>
      </c>
      <c r="Q22733" s="5" t="s">
        <v>355</v>
      </c>
    </row>
    <row r="22734" ht="16.5" customHeight="1">
      <c r="O22734" s="5" t="s">
        <v>355</v>
      </c>
      <c r="P22734" s="5" t="s">
        <v>355</v>
      </c>
      <c r="Q22734" s="5" t="s">
        <v>355</v>
      </c>
    </row>
    <row r="22735" ht="16.5" customHeight="1">
      <c r="O22735" s="5" t="s">
        <v>355</v>
      </c>
      <c r="P22735" s="5" t="s">
        <v>355</v>
      </c>
      <c r="Q22735" s="5" t="s">
        <v>355</v>
      </c>
    </row>
    <row r="22736" ht="16.5" customHeight="1">
      <c r="O22736" s="5" t="s">
        <v>355</v>
      </c>
      <c r="P22736" s="5" t="s">
        <v>355</v>
      </c>
      <c r="Q22736" s="5" t="s">
        <v>355</v>
      </c>
    </row>
    <row r="22737" ht="16.5" customHeight="1">
      <c r="O22737" s="5" t="s">
        <v>355</v>
      </c>
      <c r="P22737" s="5" t="s">
        <v>355</v>
      </c>
      <c r="Q22737" s="5" t="s">
        <v>355</v>
      </c>
    </row>
    <row r="22738" ht="16.5" customHeight="1">
      <c r="O22738" s="5" t="s">
        <v>355</v>
      </c>
      <c r="P22738" s="5" t="s">
        <v>355</v>
      </c>
      <c r="Q22738" s="5" t="s">
        <v>355</v>
      </c>
    </row>
    <row r="22739" ht="16.5" customHeight="1">
      <c r="O22739" s="5" t="s">
        <v>355</v>
      </c>
      <c r="P22739" s="5" t="s">
        <v>355</v>
      </c>
      <c r="Q22739" s="5" t="s">
        <v>355</v>
      </c>
    </row>
    <row r="22740" ht="16.5" customHeight="1">
      <c r="O22740" s="5" t="s">
        <v>355</v>
      </c>
      <c r="P22740" s="5" t="s">
        <v>355</v>
      </c>
      <c r="Q22740" s="5" t="s">
        <v>355</v>
      </c>
    </row>
    <row r="22741" ht="16.5" customHeight="1">
      <c r="O22741" s="5" t="s">
        <v>355</v>
      </c>
      <c r="P22741" s="5" t="s">
        <v>355</v>
      </c>
      <c r="Q22741" s="5" t="s">
        <v>355</v>
      </c>
    </row>
    <row r="22742" ht="16.5" customHeight="1">
      <c r="O22742" s="5" t="s">
        <v>355</v>
      </c>
      <c r="P22742" s="5" t="s">
        <v>355</v>
      </c>
      <c r="Q22742" s="5" t="s">
        <v>355</v>
      </c>
    </row>
    <row r="22743" ht="16.5" customHeight="1">
      <c r="O22743" s="5" t="s">
        <v>355</v>
      </c>
      <c r="P22743" s="5" t="s">
        <v>355</v>
      </c>
      <c r="Q22743" s="5" t="s">
        <v>355</v>
      </c>
    </row>
    <row r="22744" ht="16.5" customHeight="1">
      <c r="O22744" s="5" t="s">
        <v>355</v>
      </c>
      <c r="P22744" s="5" t="s">
        <v>355</v>
      </c>
      <c r="Q22744" s="5" t="s">
        <v>355</v>
      </c>
    </row>
    <row r="22745" ht="16.5" customHeight="1">
      <c r="O22745" s="5" t="s">
        <v>355</v>
      </c>
      <c r="P22745" s="5" t="s">
        <v>355</v>
      </c>
      <c r="Q22745" s="5" t="s">
        <v>355</v>
      </c>
    </row>
    <row r="22746" ht="16.5" customHeight="1">
      <c r="O22746" s="5" t="s">
        <v>355</v>
      </c>
      <c r="P22746" s="5" t="s">
        <v>355</v>
      </c>
      <c r="Q22746" s="5" t="s">
        <v>355</v>
      </c>
    </row>
    <row r="22747" ht="16.5" customHeight="1">
      <c r="O22747" s="5" t="s">
        <v>355</v>
      </c>
      <c r="P22747" s="5" t="s">
        <v>355</v>
      </c>
      <c r="Q22747" s="5" t="s">
        <v>355</v>
      </c>
    </row>
    <row r="22748" ht="16.5" customHeight="1">
      <c r="O22748" s="5" t="s">
        <v>355</v>
      </c>
      <c r="P22748" s="5" t="s">
        <v>355</v>
      </c>
      <c r="Q22748" s="5" t="s">
        <v>355</v>
      </c>
    </row>
    <row r="22749" ht="16.5" customHeight="1">
      <c r="O22749" s="5" t="s">
        <v>355</v>
      </c>
      <c r="P22749" s="5" t="s">
        <v>355</v>
      </c>
      <c r="Q22749" s="5" t="s">
        <v>355</v>
      </c>
    </row>
    <row r="22750" ht="16.5" customHeight="1">
      <c r="O22750" s="5" t="s">
        <v>355</v>
      </c>
      <c r="P22750" s="5" t="s">
        <v>355</v>
      </c>
      <c r="Q22750" s="5" t="s">
        <v>355</v>
      </c>
    </row>
    <row r="22751" ht="16.5" customHeight="1">
      <c r="O22751" s="5" t="s">
        <v>355</v>
      </c>
      <c r="P22751" s="5" t="s">
        <v>355</v>
      </c>
      <c r="Q22751" s="5" t="s">
        <v>355</v>
      </c>
    </row>
    <row r="22752" ht="16.5" customHeight="1">
      <c r="O22752" s="5" t="s">
        <v>355</v>
      </c>
      <c r="P22752" s="5" t="s">
        <v>355</v>
      </c>
      <c r="Q22752" s="5" t="s">
        <v>355</v>
      </c>
    </row>
    <row r="22753" ht="16.5" customHeight="1">
      <c r="O22753" s="5" t="s">
        <v>355</v>
      </c>
      <c r="P22753" s="5" t="s">
        <v>355</v>
      </c>
      <c r="Q22753" s="5" t="s">
        <v>355</v>
      </c>
    </row>
    <row r="22754" ht="16.5" customHeight="1">
      <c r="O22754" s="5" t="s">
        <v>355</v>
      </c>
      <c r="P22754" s="5" t="s">
        <v>355</v>
      </c>
      <c r="Q22754" s="5" t="s">
        <v>355</v>
      </c>
    </row>
    <row r="22755" ht="16.5" customHeight="1">
      <c r="O22755" s="5" t="s">
        <v>355</v>
      </c>
      <c r="P22755" s="5" t="s">
        <v>355</v>
      </c>
      <c r="Q22755" s="5" t="s">
        <v>355</v>
      </c>
    </row>
    <row r="22756" ht="16.5" customHeight="1">
      <c r="O22756" s="5" t="s">
        <v>355</v>
      </c>
      <c r="P22756" s="5" t="s">
        <v>355</v>
      </c>
      <c r="Q22756" s="5" t="s">
        <v>355</v>
      </c>
    </row>
    <row r="22757" ht="16.5" customHeight="1">
      <c r="O22757" s="5" t="s">
        <v>355</v>
      </c>
      <c r="P22757" s="5" t="s">
        <v>355</v>
      </c>
      <c r="Q22757" s="5" t="s">
        <v>355</v>
      </c>
    </row>
    <row r="22758" ht="16.5" customHeight="1">
      <c r="O22758" s="5" t="s">
        <v>355</v>
      </c>
      <c r="P22758" s="5" t="s">
        <v>355</v>
      </c>
      <c r="Q22758" s="5" t="s">
        <v>355</v>
      </c>
    </row>
    <row r="22759" ht="16.5" customHeight="1">
      <c r="O22759" s="5" t="s">
        <v>355</v>
      </c>
      <c r="P22759" s="5" t="s">
        <v>355</v>
      </c>
      <c r="Q22759" s="5" t="s">
        <v>355</v>
      </c>
    </row>
    <row r="22760" ht="16.5" customHeight="1">
      <c r="O22760" s="5" t="s">
        <v>355</v>
      </c>
      <c r="P22760" s="5" t="s">
        <v>355</v>
      </c>
      <c r="Q22760" s="5" t="s">
        <v>355</v>
      </c>
    </row>
    <row r="22761" ht="16.5" customHeight="1">
      <c r="O22761" s="5" t="s">
        <v>355</v>
      </c>
      <c r="P22761" s="5" t="s">
        <v>355</v>
      </c>
      <c r="Q22761" s="5" t="s">
        <v>355</v>
      </c>
    </row>
    <row r="22762" ht="16.5" customHeight="1">
      <c r="O22762" s="5" t="s">
        <v>355</v>
      </c>
      <c r="P22762" s="5" t="s">
        <v>355</v>
      </c>
      <c r="Q22762" s="5" t="s">
        <v>355</v>
      </c>
    </row>
    <row r="22763" ht="16.5" customHeight="1">
      <c r="O22763" s="5" t="s">
        <v>355</v>
      </c>
      <c r="P22763" s="5" t="s">
        <v>355</v>
      </c>
      <c r="Q22763" s="5" t="s">
        <v>355</v>
      </c>
    </row>
    <row r="22764" ht="16.5" customHeight="1">
      <c r="O22764" s="5" t="s">
        <v>355</v>
      </c>
      <c r="P22764" s="5" t="s">
        <v>355</v>
      </c>
      <c r="Q22764" s="5" t="s">
        <v>355</v>
      </c>
    </row>
    <row r="22765" ht="16.5" customHeight="1">
      <c r="O22765" s="5" t="s">
        <v>355</v>
      </c>
      <c r="P22765" s="5" t="s">
        <v>355</v>
      </c>
      <c r="Q22765" s="5" t="s">
        <v>355</v>
      </c>
    </row>
    <row r="22766" ht="16.5" customHeight="1">
      <c r="O22766" s="5" t="s">
        <v>355</v>
      </c>
      <c r="P22766" s="5" t="s">
        <v>355</v>
      </c>
      <c r="Q22766" s="5" t="s">
        <v>355</v>
      </c>
    </row>
    <row r="22767" ht="16.5" customHeight="1">
      <c r="O22767" s="5" t="s">
        <v>355</v>
      </c>
      <c r="P22767" s="5" t="s">
        <v>355</v>
      </c>
      <c r="Q22767" s="5" t="s">
        <v>355</v>
      </c>
    </row>
    <row r="22768" ht="16.5" customHeight="1">
      <c r="O22768" s="5" t="s">
        <v>355</v>
      </c>
      <c r="P22768" s="5" t="s">
        <v>355</v>
      </c>
      <c r="Q22768" s="5" t="s">
        <v>355</v>
      </c>
    </row>
    <row r="22769" ht="16.5" customHeight="1">
      <c r="O22769" s="5" t="s">
        <v>355</v>
      </c>
      <c r="P22769" s="5" t="s">
        <v>355</v>
      </c>
      <c r="Q22769" s="5" t="s">
        <v>355</v>
      </c>
    </row>
    <row r="22770" ht="16.5" customHeight="1">
      <c r="O22770" s="5" t="s">
        <v>355</v>
      </c>
      <c r="P22770" s="5" t="s">
        <v>355</v>
      </c>
      <c r="Q22770" s="5" t="s">
        <v>355</v>
      </c>
    </row>
    <row r="22771" ht="16.5" customHeight="1">
      <c r="O22771" s="5" t="s">
        <v>355</v>
      </c>
      <c r="P22771" s="5" t="s">
        <v>355</v>
      </c>
      <c r="Q22771" s="5" t="s">
        <v>355</v>
      </c>
    </row>
    <row r="22772" ht="16.5" customHeight="1">
      <c r="O22772" s="5" t="s">
        <v>355</v>
      </c>
      <c r="P22772" s="5" t="s">
        <v>355</v>
      </c>
      <c r="Q22772" s="5" t="s">
        <v>355</v>
      </c>
    </row>
    <row r="22773" ht="16.5" customHeight="1">
      <c r="O22773" s="5" t="s">
        <v>355</v>
      </c>
      <c r="P22773" s="5" t="s">
        <v>355</v>
      </c>
      <c r="Q22773" s="5" t="s">
        <v>355</v>
      </c>
    </row>
    <row r="22774" ht="16.5" customHeight="1">
      <c r="O22774" s="5" t="s">
        <v>355</v>
      </c>
      <c r="P22774" s="5" t="s">
        <v>355</v>
      </c>
      <c r="Q22774" s="5" t="s">
        <v>355</v>
      </c>
    </row>
    <row r="22775" ht="16.5" customHeight="1">
      <c r="O22775" s="5" t="s">
        <v>355</v>
      </c>
      <c r="P22775" s="5" t="s">
        <v>355</v>
      </c>
      <c r="Q22775" s="5" t="s">
        <v>355</v>
      </c>
    </row>
    <row r="22776" ht="16.5" customHeight="1">
      <c r="O22776" s="5" t="s">
        <v>355</v>
      </c>
      <c r="P22776" s="5" t="s">
        <v>355</v>
      </c>
      <c r="Q22776" s="5" t="s">
        <v>355</v>
      </c>
    </row>
    <row r="22777" ht="16.5" customHeight="1">
      <c r="O22777" s="5" t="s">
        <v>355</v>
      </c>
      <c r="P22777" s="5" t="s">
        <v>355</v>
      </c>
      <c r="Q22777" s="5" t="s">
        <v>355</v>
      </c>
    </row>
    <row r="22778" ht="16.5" customHeight="1">
      <c r="O22778" s="5" t="s">
        <v>355</v>
      </c>
      <c r="P22778" s="5" t="s">
        <v>355</v>
      </c>
      <c r="Q22778" s="5" t="s">
        <v>355</v>
      </c>
    </row>
    <row r="22779" ht="16.5" customHeight="1">
      <c r="O22779" s="5" t="s">
        <v>355</v>
      </c>
      <c r="P22779" s="5" t="s">
        <v>355</v>
      </c>
      <c r="Q22779" s="5" t="s">
        <v>355</v>
      </c>
    </row>
    <row r="22780" ht="16.5" customHeight="1">
      <c r="O22780" s="5" t="s">
        <v>355</v>
      </c>
      <c r="P22780" s="5" t="s">
        <v>355</v>
      </c>
      <c r="Q22780" s="5" t="s">
        <v>355</v>
      </c>
    </row>
    <row r="22781" ht="16.5" customHeight="1">
      <c r="O22781" s="5" t="s">
        <v>355</v>
      </c>
      <c r="P22781" s="5" t="s">
        <v>355</v>
      </c>
      <c r="Q22781" s="5" t="s">
        <v>355</v>
      </c>
    </row>
    <row r="22782" ht="16.5" customHeight="1">
      <c r="O22782" s="5" t="s">
        <v>355</v>
      </c>
      <c r="P22782" s="5" t="s">
        <v>355</v>
      </c>
      <c r="Q22782" s="5" t="s">
        <v>355</v>
      </c>
    </row>
    <row r="22783" ht="16.5" customHeight="1">
      <c r="O22783" s="5" t="s">
        <v>355</v>
      </c>
      <c r="P22783" s="5" t="s">
        <v>355</v>
      </c>
      <c r="Q22783" s="5" t="s">
        <v>355</v>
      </c>
    </row>
    <row r="22784" ht="16.5" customHeight="1">
      <c r="O22784" s="5" t="s">
        <v>355</v>
      </c>
      <c r="P22784" s="5" t="s">
        <v>355</v>
      </c>
      <c r="Q22784" s="5" t="s">
        <v>355</v>
      </c>
    </row>
    <row r="22785" ht="16.5" customHeight="1">
      <c r="O22785" s="5" t="s">
        <v>355</v>
      </c>
      <c r="P22785" s="5" t="s">
        <v>355</v>
      </c>
      <c r="Q22785" s="5" t="s">
        <v>355</v>
      </c>
    </row>
    <row r="22786" ht="16.5" customHeight="1">
      <c r="O22786" s="5" t="s">
        <v>355</v>
      </c>
      <c r="P22786" s="5" t="s">
        <v>355</v>
      </c>
      <c r="Q22786" s="5" t="s">
        <v>355</v>
      </c>
    </row>
    <row r="22787" ht="16.5" customHeight="1">
      <c r="O22787" s="5" t="s">
        <v>355</v>
      </c>
      <c r="P22787" s="5" t="s">
        <v>355</v>
      </c>
      <c r="Q22787" s="5" t="s">
        <v>355</v>
      </c>
    </row>
    <row r="22788" ht="16.5" customHeight="1">
      <c r="O22788" s="5" t="s">
        <v>355</v>
      </c>
      <c r="P22788" s="5" t="s">
        <v>355</v>
      </c>
      <c r="Q22788" s="5" t="s">
        <v>355</v>
      </c>
    </row>
    <row r="22789" ht="16.5" customHeight="1">
      <c r="O22789" s="5" t="s">
        <v>355</v>
      </c>
      <c r="P22789" s="5" t="s">
        <v>355</v>
      </c>
      <c r="Q22789" s="5" t="s">
        <v>355</v>
      </c>
    </row>
    <row r="22790" ht="16.5" customHeight="1">
      <c r="O22790" s="5" t="s">
        <v>355</v>
      </c>
      <c r="P22790" s="5" t="s">
        <v>355</v>
      </c>
      <c r="Q22790" s="5" t="s">
        <v>355</v>
      </c>
    </row>
    <row r="22791" ht="16.5" customHeight="1">
      <c r="O22791" s="5" t="s">
        <v>355</v>
      </c>
      <c r="P22791" s="5" t="s">
        <v>355</v>
      </c>
      <c r="Q22791" s="5" t="s">
        <v>355</v>
      </c>
    </row>
    <row r="22792" ht="16.5" customHeight="1">
      <c r="O22792" s="5" t="s">
        <v>355</v>
      </c>
      <c r="P22792" s="5" t="s">
        <v>355</v>
      </c>
      <c r="Q22792" s="5" t="s">
        <v>355</v>
      </c>
    </row>
    <row r="22793" ht="16.5" customHeight="1">
      <c r="O22793" s="5" t="s">
        <v>355</v>
      </c>
      <c r="P22793" s="5" t="s">
        <v>355</v>
      </c>
      <c r="Q22793" s="5" t="s">
        <v>355</v>
      </c>
    </row>
    <row r="22794" ht="16.5" customHeight="1">
      <c r="O22794" s="5" t="s">
        <v>355</v>
      </c>
      <c r="P22794" s="5" t="s">
        <v>355</v>
      </c>
      <c r="Q22794" s="5" t="s">
        <v>355</v>
      </c>
    </row>
    <row r="22795" ht="16.5" customHeight="1">
      <c r="O22795" s="5" t="s">
        <v>355</v>
      </c>
      <c r="P22795" s="5" t="s">
        <v>355</v>
      </c>
      <c r="Q22795" s="5" t="s">
        <v>355</v>
      </c>
    </row>
    <row r="22796" ht="16.5" customHeight="1">
      <c r="O22796" s="5" t="s">
        <v>355</v>
      </c>
      <c r="P22796" s="5" t="s">
        <v>355</v>
      </c>
      <c r="Q22796" s="5" t="s">
        <v>355</v>
      </c>
    </row>
    <row r="22797" ht="16.5" customHeight="1">
      <c r="O22797" s="5" t="s">
        <v>355</v>
      </c>
      <c r="P22797" s="5" t="s">
        <v>355</v>
      </c>
      <c r="Q22797" s="5" t="s">
        <v>355</v>
      </c>
    </row>
    <row r="22798" ht="16.5" customHeight="1">
      <c r="O22798" s="5" t="s">
        <v>355</v>
      </c>
      <c r="P22798" s="5" t="s">
        <v>355</v>
      </c>
      <c r="Q22798" s="5" t="s">
        <v>355</v>
      </c>
    </row>
    <row r="22799" ht="16.5" customHeight="1">
      <c r="O22799" s="5" t="s">
        <v>355</v>
      </c>
      <c r="P22799" s="5" t="s">
        <v>355</v>
      </c>
      <c r="Q22799" s="5" t="s">
        <v>355</v>
      </c>
    </row>
    <row r="22800" ht="16.5" customHeight="1">
      <c r="O22800" s="5" t="s">
        <v>355</v>
      </c>
      <c r="P22800" s="5" t="s">
        <v>355</v>
      </c>
      <c r="Q22800" s="5" t="s">
        <v>355</v>
      </c>
    </row>
    <row r="22801" ht="16.5" customHeight="1">
      <c r="O22801" s="5" t="s">
        <v>355</v>
      </c>
      <c r="P22801" s="5" t="s">
        <v>355</v>
      </c>
      <c r="Q22801" s="5" t="s">
        <v>355</v>
      </c>
    </row>
    <row r="22802" ht="16.5" customHeight="1">
      <c r="O22802" s="5" t="s">
        <v>355</v>
      </c>
      <c r="P22802" s="5" t="s">
        <v>355</v>
      </c>
      <c r="Q22802" s="5" t="s">
        <v>355</v>
      </c>
    </row>
    <row r="22803" ht="16.5" customHeight="1">
      <c r="O22803" s="5" t="s">
        <v>355</v>
      </c>
      <c r="P22803" s="5" t="s">
        <v>355</v>
      </c>
      <c r="Q22803" s="5" t="s">
        <v>355</v>
      </c>
    </row>
    <row r="22804" ht="16.5" customHeight="1">
      <c r="O22804" s="5" t="s">
        <v>355</v>
      </c>
      <c r="P22804" s="5" t="s">
        <v>355</v>
      </c>
      <c r="Q22804" s="5" t="s">
        <v>355</v>
      </c>
    </row>
    <row r="22805" ht="16.5" customHeight="1">
      <c r="O22805" s="5" t="s">
        <v>355</v>
      </c>
      <c r="P22805" s="5" t="s">
        <v>355</v>
      </c>
      <c r="Q22805" s="5" t="s">
        <v>355</v>
      </c>
    </row>
    <row r="22806" ht="16.5" customHeight="1">
      <c r="O22806" s="5" t="s">
        <v>355</v>
      </c>
      <c r="P22806" s="5" t="s">
        <v>355</v>
      </c>
      <c r="Q22806" s="5" t="s">
        <v>355</v>
      </c>
    </row>
    <row r="22807" ht="16.5" customHeight="1">
      <c r="O22807" s="5" t="s">
        <v>355</v>
      </c>
      <c r="P22807" s="5" t="s">
        <v>355</v>
      </c>
      <c r="Q22807" s="5" t="s">
        <v>355</v>
      </c>
    </row>
    <row r="22808" ht="16.5" customHeight="1">
      <c r="O22808" s="5" t="s">
        <v>355</v>
      </c>
      <c r="P22808" s="5" t="s">
        <v>355</v>
      </c>
      <c r="Q22808" s="5" t="s">
        <v>355</v>
      </c>
    </row>
    <row r="22809" ht="16.5" customHeight="1">
      <c r="O22809" s="5" t="s">
        <v>355</v>
      </c>
      <c r="P22809" s="5" t="s">
        <v>355</v>
      </c>
      <c r="Q22809" s="5" t="s">
        <v>355</v>
      </c>
    </row>
    <row r="22810" ht="16.5" customHeight="1">
      <c r="O22810" s="5" t="s">
        <v>355</v>
      </c>
      <c r="P22810" s="5" t="s">
        <v>355</v>
      </c>
      <c r="Q22810" s="5" t="s">
        <v>355</v>
      </c>
    </row>
    <row r="22811" ht="16.5" customHeight="1">
      <c r="O22811" s="5" t="s">
        <v>355</v>
      </c>
      <c r="P22811" s="5" t="s">
        <v>355</v>
      </c>
      <c r="Q22811" s="5" t="s">
        <v>355</v>
      </c>
    </row>
    <row r="22812" ht="16.5" customHeight="1">
      <c r="O22812" s="5" t="s">
        <v>355</v>
      </c>
      <c r="P22812" s="5" t="s">
        <v>355</v>
      </c>
      <c r="Q22812" s="5" t="s">
        <v>355</v>
      </c>
    </row>
    <row r="22813" ht="16.5" customHeight="1">
      <c r="O22813" s="5" t="s">
        <v>355</v>
      </c>
      <c r="P22813" s="5" t="s">
        <v>355</v>
      </c>
      <c r="Q22813" s="5" t="s">
        <v>355</v>
      </c>
    </row>
    <row r="22814" ht="16.5" customHeight="1">
      <c r="O22814" s="5" t="s">
        <v>355</v>
      </c>
      <c r="P22814" s="5" t="s">
        <v>355</v>
      </c>
      <c r="Q22814" s="5" t="s">
        <v>355</v>
      </c>
    </row>
    <row r="22815" ht="16.5" customHeight="1">
      <c r="O22815" s="5" t="s">
        <v>355</v>
      </c>
      <c r="P22815" s="5" t="s">
        <v>355</v>
      </c>
      <c r="Q22815" s="5" t="s">
        <v>355</v>
      </c>
    </row>
    <row r="22816" ht="16.5" customHeight="1">
      <c r="O22816" s="5" t="s">
        <v>355</v>
      </c>
      <c r="P22816" s="5" t="s">
        <v>355</v>
      </c>
      <c r="Q22816" s="5" t="s">
        <v>355</v>
      </c>
    </row>
    <row r="22817" ht="16.5" customHeight="1">
      <c r="O22817" s="5" t="s">
        <v>355</v>
      </c>
      <c r="P22817" s="5" t="s">
        <v>355</v>
      </c>
      <c r="Q22817" s="5" t="s">
        <v>355</v>
      </c>
    </row>
    <row r="22818" ht="16.5" customHeight="1">
      <c r="O22818" s="5" t="s">
        <v>355</v>
      </c>
      <c r="P22818" s="5" t="s">
        <v>355</v>
      </c>
      <c r="Q22818" s="5" t="s">
        <v>355</v>
      </c>
    </row>
    <row r="22819" ht="16.5" customHeight="1">
      <c r="O22819" s="5" t="s">
        <v>355</v>
      </c>
      <c r="P22819" s="5" t="s">
        <v>355</v>
      </c>
      <c r="Q22819" s="5" t="s">
        <v>355</v>
      </c>
    </row>
    <row r="22820" ht="16.5" customHeight="1">
      <c r="O22820" s="5" t="s">
        <v>355</v>
      </c>
      <c r="P22820" s="5" t="s">
        <v>355</v>
      </c>
      <c r="Q22820" s="5" t="s">
        <v>355</v>
      </c>
    </row>
    <row r="22821" ht="16.5" customHeight="1">
      <c r="O22821" s="5" t="s">
        <v>355</v>
      </c>
      <c r="P22821" s="5" t="s">
        <v>355</v>
      </c>
      <c r="Q22821" s="5" t="s">
        <v>355</v>
      </c>
    </row>
    <row r="22822" ht="16.5" customHeight="1">
      <c r="O22822" s="5" t="s">
        <v>355</v>
      </c>
      <c r="P22822" s="5" t="s">
        <v>355</v>
      </c>
      <c r="Q22822" s="5" t="s">
        <v>355</v>
      </c>
    </row>
    <row r="22823" ht="16.5" customHeight="1">
      <c r="O22823" s="5" t="s">
        <v>355</v>
      </c>
      <c r="P22823" s="5" t="s">
        <v>355</v>
      </c>
      <c r="Q22823" s="5" t="s">
        <v>355</v>
      </c>
    </row>
    <row r="22824" ht="16.5" customHeight="1">
      <c r="O22824" s="5" t="s">
        <v>355</v>
      </c>
      <c r="P22824" s="5" t="s">
        <v>355</v>
      </c>
      <c r="Q22824" s="5" t="s">
        <v>355</v>
      </c>
    </row>
    <row r="22825" ht="16.5" customHeight="1">
      <c r="O22825" s="5" t="s">
        <v>355</v>
      </c>
      <c r="P22825" s="5" t="s">
        <v>355</v>
      </c>
      <c r="Q22825" s="5" t="s">
        <v>355</v>
      </c>
    </row>
    <row r="22826" ht="16.5" customHeight="1">
      <c r="O22826" s="5" t="s">
        <v>355</v>
      </c>
      <c r="P22826" s="5" t="s">
        <v>355</v>
      </c>
      <c r="Q22826" s="5" t="s">
        <v>355</v>
      </c>
    </row>
    <row r="22827" ht="16.5" customHeight="1">
      <c r="O22827" s="5" t="s">
        <v>355</v>
      </c>
      <c r="P22827" s="5" t="s">
        <v>355</v>
      </c>
      <c r="Q22827" s="5" t="s">
        <v>355</v>
      </c>
    </row>
    <row r="22828" ht="16.5" customHeight="1">
      <c r="O22828" s="5" t="s">
        <v>355</v>
      </c>
      <c r="P22828" s="5" t="s">
        <v>355</v>
      </c>
      <c r="Q22828" s="5" t="s">
        <v>355</v>
      </c>
    </row>
    <row r="22829" ht="16.5" customHeight="1">
      <c r="O22829" s="5" t="s">
        <v>355</v>
      </c>
      <c r="P22829" s="5" t="s">
        <v>355</v>
      </c>
      <c r="Q22829" s="5" t="s">
        <v>355</v>
      </c>
    </row>
    <row r="22830" ht="16.5" customHeight="1">
      <c r="O22830" s="5" t="s">
        <v>355</v>
      </c>
      <c r="P22830" s="5" t="s">
        <v>355</v>
      </c>
      <c r="Q22830" s="5" t="s">
        <v>355</v>
      </c>
    </row>
    <row r="22831" ht="16.5" customHeight="1">
      <c r="O22831" s="5" t="s">
        <v>355</v>
      </c>
      <c r="P22831" s="5" t="s">
        <v>355</v>
      </c>
      <c r="Q22831" s="5" t="s">
        <v>355</v>
      </c>
    </row>
    <row r="22832" ht="16.5" customHeight="1">
      <c r="O22832" s="5" t="s">
        <v>355</v>
      </c>
      <c r="P22832" s="5" t="s">
        <v>355</v>
      </c>
      <c r="Q22832" s="5" t="s">
        <v>355</v>
      </c>
    </row>
    <row r="22833" ht="16.5" customHeight="1">
      <c r="O22833" s="5" t="s">
        <v>355</v>
      </c>
      <c r="P22833" s="5" t="s">
        <v>355</v>
      </c>
      <c r="Q22833" s="5" t="s">
        <v>355</v>
      </c>
    </row>
    <row r="22834" ht="16.5" customHeight="1">
      <c r="O22834" s="5" t="s">
        <v>355</v>
      </c>
      <c r="P22834" s="5" t="s">
        <v>355</v>
      </c>
      <c r="Q22834" s="5" t="s">
        <v>355</v>
      </c>
    </row>
    <row r="22835" ht="16.5" customHeight="1">
      <c r="O22835" s="5" t="s">
        <v>355</v>
      </c>
      <c r="P22835" s="5" t="s">
        <v>355</v>
      </c>
      <c r="Q22835" s="5" t="s">
        <v>355</v>
      </c>
    </row>
    <row r="22836" ht="16.5" customHeight="1">
      <c r="O22836" s="5" t="s">
        <v>355</v>
      </c>
      <c r="P22836" s="5" t="s">
        <v>355</v>
      </c>
      <c r="Q22836" s="5" t="s">
        <v>355</v>
      </c>
    </row>
    <row r="22837" ht="16.5" customHeight="1">
      <c r="O22837" s="5" t="s">
        <v>355</v>
      </c>
      <c r="P22837" s="5" t="s">
        <v>355</v>
      </c>
      <c r="Q22837" s="5" t="s">
        <v>355</v>
      </c>
    </row>
    <row r="22838" ht="16.5" customHeight="1">
      <c r="O22838" s="5" t="s">
        <v>355</v>
      </c>
      <c r="P22838" s="5" t="s">
        <v>355</v>
      </c>
      <c r="Q22838" s="5" t="s">
        <v>355</v>
      </c>
    </row>
    <row r="22839" ht="16.5" customHeight="1">
      <c r="O22839" s="5" t="s">
        <v>355</v>
      </c>
      <c r="P22839" s="5" t="s">
        <v>355</v>
      </c>
      <c r="Q22839" s="5" t="s">
        <v>355</v>
      </c>
    </row>
    <row r="22840" ht="16.5" customHeight="1">
      <c r="O22840" s="5" t="s">
        <v>355</v>
      </c>
      <c r="P22840" s="5" t="s">
        <v>355</v>
      </c>
      <c r="Q22840" s="5" t="s">
        <v>355</v>
      </c>
    </row>
    <row r="22841" ht="16.5" customHeight="1">
      <c r="O22841" s="5" t="s">
        <v>355</v>
      </c>
      <c r="P22841" s="5" t="s">
        <v>355</v>
      </c>
      <c r="Q22841" s="5" t="s">
        <v>355</v>
      </c>
    </row>
    <row r="22842" ht="16.5" customHeight="1">
      <c r="O22842" s="5" t="s">
        <v>355</v>
      </c>
      <c r="P22842" s="5" t="s">
        <v>355</v>
      </c>
      <c r="Q22842" s="5" t="s">
        <v>355</v>
      </c>
    </row>
    <row r="22843" ht="16.5" customHeight="1">
      <c r="O22843" s="5" t="s">
        <v>355</v>
      </c>
      <c r="P22843" s="5" t="s">
        <v>355</v>
      </c>
      <c r="Q22843" s="5" t="s">
        <v>355</v>
      </c>
    </row>
    <row r="22844" ht="16.5" customHeight="1">
      <c r="O22844" s="5" t="s">
        <v>355</v>
      </c>
      <c r="P22844" s="5" t="s">
        <v>355</v>
      </c>
      <c r="Q22844" s="5" t="s">
        <v>355</v>
      </c>
    </row>
    <row r="22845" ht="16.5" customHeight="1">
      <c r="O22845" s="5" t="s">
        <v>355</v>
      </c>
      <c r="P22845" s="5" t="s">
        <v>355</v>
      </c>
      <c r="Q22845" s="5" t="s">
        <v>355</v>
      </c>
    </row>
    <row r="22846" ht="16.5" customHeight="1">
      <c r="O22846" s="5" t="s">
        <v>355</v>
      </c>
      <c r="P22846" s="5" t="s">
        <v>355</v>
      </c>
      <c r="Q22846" s="5" t="s">
        <v>355</v>
      </c>
    </row>
    <row r="22847" ht="16.5" customHeight="1">
      <c r="O22847" s="5" t="s">
        <v>355</v>
      </c>
      <c r="P22847" s="5" t="s">
        <v>355</v>
      </c>
      <c r="Q22847" s="5" t="s">
        <v>355</v>
      </c>
    </row>
    <row r="22848" ht="16.5" customHeight="1">
      <c r="O22848" s="5" t="s">
        <v>355</v>
      </c>
      <c r="P22848" s="5" t="s">
        <v>355</v>
      </c>
      <c r="Q22848" s="5" t="s">
        <v>355</v>
      </c>
    </row>
    <row r="22849" ht="16.5" customHeight="1">
      <c r="O22849" s="5" t="s">
        <v>355</v>
      </c>
      <c r="P22849" s="5" t="s">
        <v>355</v>
      </c>
      <c r="Q22849" s="5" t="s">
        <v>355</v>
      </c>
    </row>
    <row r="22850" ht="16.5" customHeight="1">
      <c r="O22850" s="5" t="s">
        <v>355</v>
      </c>
      <c r="P22850" s="5" t="s">
        <v>355</v>
      </c>
      <c r="Q22850" s="5" t="s">
        <v>355</v>
      </c>
    </row>
    <row r="22851" ht="16.5" customHeight="1">
      <c r="O22851" s="5" t="s">
        <v>355</v>
      </c>
      <c r="P22851" s="5" t="s">
        <v>355</v>
      </c>
      <c r="Q22851" s="5" t="s">
        <v>355</v>
      </c>
    </row>
    <row r="22852" ht="16.5" customHeight="1">
      <c r="O22852" s="5" t="s">
        <v>355</v>
      </c>
      <c r="P22852" s="5" t="s">
        <v>355</v>
      </c>
      <c r="Q22852" s="5" t="s">
        <v>355</v>
      </c>
    </row>
    <row r="22853" ht="16.5" customHeight="1">
      <c r="O22853" s="5" t="s">
        <v>355</v>
      </c>
      <c r="P22853" s="5" t="s">
        <v>355</v>
      </c>
      <c r="Q22853" s="5" t="s">
        <v>355</v>
      </c>
    </row>
    <row r="22854" ht="16.5" customHeight="1">
      <c r="O22854" s="5" t="s">
        <v>355</v>
      </c>
      <c r="P22854" s="5" t="s">
        <v>355</v>
      </c>
      <c r="Q22854" s="5" t="s">
        <v>355</v>
      </c>
    </row>
    <row r="22855" ht="16.5" customHeight="1">
      <c r="O22855" s="5" t="s">
        <v>355</v>
      </c>
      <c r="P22855" s="5" t="s">
        <v>355</v>
      </c>
      <c r="Q22855" s="5" t="s">
        <v>355</v>
      </c>
    </row>
    <row r="22856" ht="16.5" customHeight="1">
      <c r="O22856" s="5" t="s">
        <v>355</v>
      </c>
      <c r="P22856" s="5" t="s">
        <v>355</v>
      </c>
      <c r="Q22856" s="5" t="s">
        <v>355</v>
      </c>
    </row>
    <row r="22857" ht="16.5" customHeight="1">
      <c r="O22857" s="5" t="s">
        <v>355</v>
      </c>
      <c r="P22857" s="5" t="s">
        <v>355</v>
      </c>
      <c r="Q22857" s="5" t="s">
        <v>355</v>
      </c>
    </row>
    <row r="22858" ht="16.5" customHeight="1">
      <c r="O22858" s="5" t="s">
        <v>355</v>
      </c>
      <c r="P22858" s="5" t="s">
        <v>355</v>
      </c>
      <c r="Q22858" s="5" t="s">
        <v>355</v>
      </c>
    </row>
    <row r="22859" ht="16.5" customHeight="1">
      <c r="O22859" s="5" t="s">
        <v>355</v>
      </c>
      <c r="P22859" s="5" t="s">
        <v>355</v>
      </c>
      <c r="Q22859" s="5" t="s">
        <v>355</v>
      </c>
    </row>
    <row r="22860" ht="16.5" customHeight="1">
      <c r="O22860" s="5" t="s">
        <v>355</v>
      </c>
      <c r="P22860" s="5" t="s">
        <v>355</v>
      </c>
      <c r="Q22860" s="5" t="s">
        <v>355</v>
      </c>
    </row>
    <row r="22861" ht="16.5" customHeight="1">
      <c r="O22861" s="5" t="s">
        <v>355</v>
      </c>
      <c r="P22861" s="5" t="s">
        <v>355</v>
      </c>
      <c r="Q22861" s="5" t="s">
        <v>355</v>
      </c>
    </row>
    <row r="22862" ht="16.5" customHeight="1">
      <c r="O22862" s="5" t="s">
        <v>355</v>
      </c>
      <c r="P22862" s="5" t="s">
        <v>355</v>
      </c>
      <c r="Q22862" s="5" t="s">
        <v>355</v>
      </c>
    </row>
    <row r="22863" ht="16.5" customHeight="1">
      <c r="O22863" s="5" t="s">
        <v>355</v>
      </c>
      <c r="P22863" s="5" t="s">
        <v>355</v>
      </c>
      <c r="Q22863" s="5" t="s">
        <v>355</v>
      </c>
    </row>
    <row r="22864" ht="16.5" customHeight="1">
      <c r="O22864" s="5" t="s">
        <v>355</v>
      </c>
      <c r="P22864" s="5" t="s">
        <v>355</v>
      </c>
      <c r="Q22864" s="5" t="s">
        <v>355</v>
      </c>
    </row>
    <row r="22865" ht="16.5" customHeight="1">
      <c r="O22865" s="5" t="s">
        <v>355</v>
      </c>
      <c r="P22865" s="5" t="s">
        <v>355</v>
      </c>
      <c r="Q22865" s="5" t="s">
        <v>355</v>
      </c>
    </row>
    <row r="22866" ht="16.5" customHeight="1">
      <c r="O22866" s="5" t="s">
        <v>355</v>
      </c>
      <c r="P22866" s="5" t="s">
        <v>355</v>
      </c>
      <c r="Q22866" s="5" t="s">
        <v>355</v>
      </c>
    </row>
    <row r="22867" ht="16.5" customHeight="1">
      <c r="O22867" s="5" t="s">
        <v>355</v>
      </c>
      <c r="P22867" s="5" t="s">
        <v>355</v>
      </c>
      <c r="Q22867" s="5" t="s">
        <v>355</v>
      </c>
    </row>
    <row r="22868" ht="16.5" customHeight="1">
      <c r="O22868" s="5" t="s">
        <v>355</v>
      </c>
      <c r="P22868" s="5" t="s">
        <v>355</v>
      </c>
      <c r="Q22868" s="5" t="s">
        <v>355</v>
      </c>
    </row>
    <row r="22869" ht="16.5" customHeight="1">
      <c r="O22869" s="5" t="s">
        <v>355</v>
      </c>
      <c r="P22869" s="5" t="s">
        <v>355</v>
      </c>
      <c r="Q22869" s="5" t="s">
        <v>355</v>
      </c>
    </row>
    <row r="22870" ht="16.5" customHeight="1">
      <c r="O22870" s="5" t="s">
        <v>355</v>
      </c>
      <c r="P22870" s="5" t="s">
        <v>355</v>
      </c>
      <c r="Q22870" s="5" t="s">
        <v>355</v>
      </c>
    </row>
    <row r="22871" ht="16.5" customHeight="1">
      <c r="O22871" s="5" t="s">
        <v>355</v>
      </c>
      <c r="P22871" s="5" t="s">
        <v>355</v>
      </c>
      <c r="Q22871" s="5" t="s">
        <v>355</v>
      </c>
    </row>
    <row r="22872" ht="16.5" customHeight="1">
      <c r="O22872" s="5" t="s">
        <v>355</v>
      </c>
      <c r="P22872" s="5" t="s">
        <v>355</v>
      </c>
      <c r="Q22872" s="5" t="s">
        <v>355</v>
      </c>
    </row>
    <row r="22873" ht="16.5" customHeight="1">
      <c r="O22873" s="5" t="s">
        <v>355</v>
      </c>
      <c r="P22873" s="5" t="s">
        <v>355</v>
      </c>
      <c r="Q22873" s="5" t="s">
        <v>355</v>
      </c>
    </row>
    <row r="22874" ht="16.5" customHeight="1">
      <c r="O22874" s="5" t="s">
        <v>355</v>
      </c>
      <c r="P22874" s="5" t="s">
        <v>355</v>
      </c>
      <c r="Q22874" s="5" t="s">
        <v>355</v>
      </c>
    </row>
    <row r="22875" ht="16.5" customHeight="1">
      <c r="O22875" s="5" t="s">
        <v>355</v>
      </c>
      <c r="P22875" s="5" t="s">
        <v>355</v>
      </c>
      <c r="Q22875" s="5" t="s">
        <v>355</v>
      </c>
    </row>
    <row r="22876" ht="16.5" customHeight="1">
      <c r="O22876" s="5" t="s">
        <v>355</v>
      </c>
      <c r="P22876" s="5" t="s">
        <v>355</v>
      </c>
      <c r="Q22876" s="5" t="s">
        <v>355</v>
      </c>
    </row>
    <row r="22877" ht="16.5" customHeight="1">
      <c r="O22877" s="5" t="s">
        <v>355</v>
      </c>
      <c r="P22877" s="5" t="s">
        <v>355</v>
      </c>
      <c r="Q22877" s="5" t="s">
        <v>355</v>
      </c>
    </row>
    <row r="22878" ht="16.5" customHeight="1">
      <c r="O22878" s="5" t="s">
        <v>355</v>
      </c>
      <c r="P22878" s="5" t="s">
        <v>355</v>
      </c>
      <c r="Q22878" s="5" t="s">
        <v>355</v>
      </c>
    </row>
    <row r="22879" ht="16.5" customHeight="1">
      <c r="O22879" s="5" t="s">
        <v>355</v>
      </c>
      <c r="P22879" s="5" t="s">
        <v>355</v>
      </c>
      <c r="Q22879" s="5" t="s">
        <v>355</v>
      </c>
    </row>
    <row r="22880" ht="16.5" customHeight="1">
      <c r="O22880" s="5" t="s">
        <v>355</v>
      </c>
      <c r="P22880" s="5" t="s">
        <v>355</v>
      </c>
      <c r="Q22880" s="5" t="s">
        <v>355</v>
      </c>
    </row>
    <row r="22881" ht="16.5" customHeight="1">
      <c r="O22881" s="5" t="s">
        <v>355</v>
      </c>
      <c r="P22881" s="5" t="s">
        <v>355</v>
      </c>
      <c r="Q22881" s="5" t="s">
        <v>355</v>
      </c>
    </row>
    <row r="22882" ht="16.5" customHeight="1">
      <c r="O22882" s="5" t="s">
        <v>355</v>
      </c>
      <c r="P22882" s="5" t="s">
        <v>355</v>
      </c>
      <c r="Q22882" s="5" t="s">
        <v>355</v>
      </c>
    </row>
    <row r="22883" ht="16.5" customHeight="1">
      <c r="O22883" s="5" t="s">
        <v>355</v>
      </c>
      <c r="P22883" s="5" t="s">
        <v>355</v>
      </c>
      <c r="Q22883" s="5" t="s">
        <v>355</v>
      </c>
    </row>
    <row r="22884" ht="16.5" customHeight="1">
      <c r="O22884" s="5" t="s">
        <v>355</v>
      </c>
      <c r="P22884" s="5" t="s">
        <v>355</v>
      </c>
      <c r="Q22884" s="5" t="s">
        <v>355</v>
      </c>
    </row>
    <row r="22885" ht="16.5" customHeight="1">
      <c r="O22885" s="5" t="s">
        <v>355</v>
      </c>
      <c r="P22885" s="5" t="s">
        <v>355</v>
      </c>
      <c r="Q22885" s="5" t="s">
        <v>355</v>
      </c>
    </row>
    <row r="22886" ht="16.5" customHeight="1">
      <c r="O22886" s="5" t="s">
        <v>355</v>
      </c>
      <c r="P22886" s="5" t="s">
        <v>355</v>
      </c>
      <c r="Q22886" s="5" t="s">
        <v>355</v>
      </c>
    </row>
    <row r="22887" ht="16.5" customHeight="1">
      <c r="O22887" s="5" t="s">
        <v>355</v>
      </c>
      <c r="P22887" s="5" t="s">
        <v>355</v>
      </c>
      <c r="Q22887" s="5" t="s">
        <v>355</v>
      </c>
    </row>
    <row r="22888" ht="16.5" customHeight="1">
      <c r="O22888" s="5" t="s">
        <v>355</v>
      </c>
      <c r="P22888" s="5" t="s">
        <v>355</v>
      </c>
      <c r="Q22888" s="5" t="s">
        <v>355</v>
      </c>
    </row>
    <row r="22889" ht="16.5" customHeight="1">
      <c r="O22889" s="5" t="s">
        <v>355</v>
      </c>
      <c r="P22889" s="5" t="s">
        <v>355</v>
      </c>
      <c r="Q22889" s="5" t="s">
        <v>355</v>
      </c>
    </row>
    <row r="22890" ht="16.5" customHeight="1">
      <c r="O22890" s="5" t="s">
        <v>355</v>
      </c>
      <c r="P22890" s="5" t="s">
        <v>355</v>
      </c>
      <c r="Q22890" s="5" t="s">
        <v>355</v>
      </c>
    </row>
    <row r="22891" ht="16.5" customHeight="1">
      <c r="O22891" s="5" t="s">
        <v>355</v>
      </c>
      <c r="P22891" s="5" t="s">
        <v>355</v>
      </c>
      <c r="Q22891" s="5" t="s">
        <v>355</v>
      </c>
    </row>
    <row r="22892" ht="16.5" customHeight="1">
      <c r="O22892" s="5" t="s">
        <v>355</v>
      </c>
      <c r="P22892" s="5" t="s">
        <v>355</v>
      </c>
      <c r="Q22892" s="5" t="s">
        <v>355</v>
      </c>
    </row>
    <row r="22893" ht="16.5" customHeight="1">
      <c r="O22893" s="5" t="s">
        <v>355</v>
      </c>
      <c r="P22893" s="5" t="s">
        <v>355</v>
      </c>
      <c r="Q22893" s="5" t="s">
        <v>355</v>
      </c>
    </row>
    <row r="22894" ht="16.5" customHeight="1">
      <c r="O22894" s="5" t="s">
        <v>355</v>
      </c>
      <c r="P22894" s="5" t="s">
        <v>355</v>
      </c>
      <c r="Q22894" s="5" t="s">
        <v>355</v>
      </c>
    </row>
    <row r="22895" ht="16.5" customHeight="1">
      <c r="O22895" s="5" t="s">
        <v>355</v>
      </c>
      <c r="P22895" s="5" t="s">
        <v>355</v>
      </c>
      <c r="Q22895" s="5" t="s">
        <v>355</v>
      </c>
    </row>
    <row r="22896" ht="16.5" customHeight="1">
      <c r="O22896" s="5" t="s">
        <v>355</v>
      </c>
      <c r="P22896" s="5" t="s">
        <v>355</v>
      </c>
      <c r="Q22896" s="5" t="s">
        <v>355</v>
      </c>
    </row>
    <row r="22897" ht="16.5" customHeight="1">
      <c r="O22897" s="5" t="s">
        <v>355</v>
      </c>
      <c r="P22897" s="5" t="s">
        <v>355</v>
      </c>
      <c r="Q22897" s="5" t="s">
        <v>355</v>
      </c>
    </row>
    <row r="22898" ht="16.5" customHeight="1">
      <c r="O22898" s="5" t="s">
        <v>355</v>
      </c>
      <c r="P22898" s="5" t="s">
        <v>355</v>
      </c>
      <c r="Q22898" s="5" t="s">
        <v>355</v>
      </c>
    </row>
    <row r="22899" ht="16.5" customHeight="1">
      <c r="O22899" s="5" t="s">
        <v>355</v>
      </c>
      <c r="P22899" s="5" t="s">
        <v>355</v>
      </c>
      <c r="Q22899" s="5" t="s">
        <v>355</v>
      </c>
    </row>
    <row r="22900" ht="16.5" customHeight="1">
      <c r="O22900" s="5" t="s">
        <v>355</v>
      </c>
      <c r="P22900" s="5" t="s">
        <v>355</v>
      </c>
      <c r="Q22900" s="5" t="s">
        <v>355</v>
      </c>
    </row>
    <row r="22901" ht="16.5" customHeight="1">
      <c r="O22901" s="5" t="s">
        <v>355</v>
      </c>
      <c r="P22901" s="5" t="s">
        <v>355</v>
      </c>
      <c r="Q22901" s="5" t="s">
        <v>355</v>
      </c>
    </row>
    <row r="22902" ht="16.5" customHeight="1">
      <c r="O22902" s="5" t="s">
        <v>355</v>
      </c>
      <c r="P22902" s="5" t="s">
        <v>355</v>
      </c>
      <c r="Q22902" s="5" t="s">
        <v>355</v>
      </c>
    </row>
    <row r="22903" ht="16.5" customHeight="1">
      <c r="O22903" s="5" t="s">
        <v>355</v>
      </c>
      <c r="P22903" s="5" t="s">
        <v>355</v>
      </c>
      <c r="Q22903" s="5" t="s">
        <v>355</v>
      </c>
    </row>
    <row r="22904" ht="16.5" customHeight="1">
      <c r="O22904" s="5" t="s">
        <v>355</v>
      </c>
      <c r="P22904" s="5" t="s">
        <v>355</v>
      </c>
      <c r="Q22904" s="5" t="s">
        <v>355</v>
      </c>
    </row>
    <row r="22905" ht="16.5" customHeight="1">
      <c r="O22905" s="5" t="s">
        <v>355</v>
      </c>
      <c r="P22905" s="5" t="s">
        <v>355</v>
      </c>
      <c r="Q22905" s="5" t="s">
        <v>355</v>
      </c>
    </row>
    <row r="22906" ht="16.5" customHeight="1">
      <c r="O22906" s="5" t="s">
        <v>355</v>
      </c>
      <c r="P22906" s="5" t="s">
        <v>355</v>
      </c>
      <c r="Q22906" s="5" t="s">
        <v>355</v>
      </c>
    </row>
    <row r="22907" ht="16.5" customHeight="1">
      <c r="O22907" s="5" t="s">
        <v>355</v>
      </c>
      <c r="P22907" s="5" t="s">
        <v>355</v>
      </c>
      <c r="Q22907" s="5" t="s">
        <v>355</v>
      </c>
    </row>
    <row r="22908" ht="16.5" customHeight="1">
      <c r="O22908" s="5" t="s">
        <v>355</v>
      </c>
      <c r="P22908" s="5" t="s">
        <v>355</v>
      </c>
      <c r="Q22908" s="5" t="s">
        <v>355</v>
      </c>
    </row>
    <row r="22909" ht="16.5" customHeight="1">
      <c r="O22909" s="5" t="s">
        <v>355</v>
      </c>
      <c r="P22909" s="5" t="s">
        <v>355</v>
      </c>
      <c r="Q22909" s="5" t="s">
        <v>355</v>
      </c>
    </row>
    <row r="22910" ht="16.5" customHeight="1">
      <c r="O22910" s="5" t="s">
        <v>355</v>
      </c>
      <c r="P22910" s="5" t="s">
        <v>355</v>
      </c>
      <c r="Q22910" s="5" t="s">
        <v>355</v>
      </c>
    </row>
    <row r="22911" ht="16.5" customHeight="1">
      <c r="O22911" s="5" t="s">
        <v>355</v>
      </c>
      <c r="P22911" s="5" t="s">
        <v>355</v>
      </c>
      <c r="Q22911" s="5" t="s">
        <v>355</v>
      </c>
    </row>
    <row r="22912" ht="16.5" customHeight="1">
      <c r="O22912" s="5" t="s">
        <v>355</v>
      </c>
      <c r="P22912" s="5" t="s">
        <v>355</v>
      </c>
      <c r="Q22912" s="5" t="s">
        <v>355</v>
      </c>
    </row>
    <row r="22913" ht="16.5" customHeight="1">
      <c r="O22913" s="5" t="s">
        <v>355</v>
      </c>
      <c r="P22913" s="5" t="s">
        <v>355</v>
      </c>
      <c r="Q22913" s="5" t="s">
        <v>355</v>
      </c>
    </row>
    <row r="22914" ht="16.5" customHeight="1">
      <c r="O22914" s="5" t="s">
        <v>355</v>
      </c>
      <c r="P22914" s="5" t="s">
        <v>355</v>
      </c>
      <c r="Q22914" s="5" t="s">
        <v>355</v>
      </c>
    </row>
    <row r="22915" ht="16.5" customHeight="1">
      <c r="O22915" s="5" t="s">
        <v>355</v>
      </c>
      <c r="P22915" s="5" t="s">
        <v>355</v>
      </c>
      <c r="Q22915" s="5" t="s">
        <v>355</v>
      </c>
    </row>
    <row r="22916" ht="16.5" customHeight="1">
      <c r="O22916" s="5" t="s">
        <v>355</v>
      </c>
      <c r="P22916" s="5" t="s">
        <v>355</v>
      </c>
      <c r="Q22916" s="5" t="s">
        <v>355</v>
      </c>
    </row>
    <row r="22917" ht="16.5" customHeight="1">
      <c r="O22917" s="5" t="s">
        <v>355</v>
      </c>
      <c r="P22917" s="5" t="s">
        <v>355</v>
      </c>
      <c r="Q22917" s="5" t="s">
        <v>355</v>
      </c>
    </row>
    <row r="22918" ht="16.5" customHeight="1">
      <c r="O22918" s="5" t="s">
        <v>355</v>
      </c>
      <c r="P22918" s="5" t="s">
        <v>355</v>
      </c>
      <c r="Q22918" s="5" t="s">
        <v>355</v>
      </c>
    </row>
    <row r="22919" ht="16.5" customHeight="1">
      <c r="O22919" s="5" t="s">
        <v>355</v>
      </c>
      <c r="P22919" s="5" t="s">
        <v>355</v>
      </c>
      <c r="Q22919" s="5" t="s">
        <v>355</v>
      </c>
    </row>
    <row r="22920" ht="16.5" customHeight="1">
      <c r="O22920" s="5" t="s">
        <v>355</v>
      </c>
      <c r="P22920" s="5" t="s">
        <v>355</v>
      </c>
      <c r="Q22920" s="5" t="s">
        <v>355</v>
      </c>
    </row>
    <row r="22921" ht="16.5" customHeight="1">
      <c r="O22921" s="5" t="s">
        <v>355</v>
      </c>
      <c r="P22921" s="5" t="s">
        <v>355</v>
      </c>
      <c r="Q22921" s="5" t="s">
        <v>355</v>
      </c>
    </row>
    <row r="22922" ht="16.5" customHeight="1">
      <c r="O22922" s="5" t="s">
        <v>355</v>
      </c>
      <c r="P22922" s="5" t="s">
        <v>355</v>
      </c>
      <c r="Q22922" s="5" t="s">
        <v>355</v>
      </c>
    </row>
    <row r="22923" ht="16.5" customHeight="1">
      <c r="O22923" s="5" t="s">
        <v>355</v>
      </c>
      <c r="P22923" s="5" t="s">
        <v>355</v>
      </c>
      <c r="Q22923" s="5" t="s">
        <v>355</v>
      </c>
    </row>
    <row r="22924" ht="16.5" customHeight="1">
      <c r="O22924" s="5" t="s">
        <v>355</v>
      </c>
      <c r="P22924" s="5" t="s">
        <v>355</v>
      </c>
      <c r="Q22924" s="5" t="s">
        <v>355</v>
      </c>
    </row>
    <row r="22925" ht="16.5" customHeight="1">
      <c r="O22925" s="5" t="s">
        <v>355</v>
      </c>
      <c r="P22925" s="5" t="s">
        <v>355</v>
      </c>
      <c r="Q22925" s="5" t="s">
        <v>355</v>
      </c>
    </row>
    <row r="22926" ht="16.5" customHeight="1">
      <c r="O22926" s="5" t="s">
        <v>355</v>
      </c>
      <c r="P22926" s="5" t="s">
        <v>355</v>
      </c>
      <c r="Q22926" s="5" t="s">
        <v>355</v>
      </c>
    </row>
    <row r="22927" ht="16.5" customHeight="1">
      <c r="O22927" s="5" t="s">
        <v>355</v>
      </c>
      <c r="P22927" s="5" t="s">
        <v>355</v>
      </c>
      <c r="Q22927" s="5" t="s">
        <v>355</v>
      </c>
    </row>
    <row r="22928" ht="16.5" customHeight="1">
      <c r="O22928" s="5" t="s">
        <v>355</v>
      </c>
      <c r="P22928" s="5" t="s">
        <v>355</v>
      </c>
      <c r="Q22928" s="5" t="s">
        <v>355</v>
      </c>
    </row>
    <row r="22929" ht="16.5" customHeight="1">
      <c r="O22929" s="5" t="s">
        <v>355</v>
      </c>
      <c r="P22929" s="5" t="s">
        <v>355</v>
      </c>
      <c r="Q22929" s="5" t="s">
        <v>355</v>
      </c>
    </row>
    <row r="22930" ht="16.5" customHeight="1">
      <c r="O22930" s="5" t="s">
        <v>355</v>
      </c>
      <c r="P22930" s="5" t="s">
        <v>355</v>
      </c>
      <c r="Q22930" s="5" t="s">
        <v>355</v>
      </c>
    </row>
    <row r="22931" ht="16.5" customHeight="1">
      <c r="O22931" s="5" t="s">
        <v>355</v>
      </c>
      <c r="P22931" s="5" t="s">
        <v>355</v>
      </c>
      <c r="Q22931" s="5" t="s">
        <v>355</v>
      </c>
    </row>
    <row r="22932" ht="16.5" customHeight="1">
      <c r="O22932" s="5" t="s">
        <v>355</v>
      </c>
      <c r="P22932" s="5" t="s">
        <v>355</v>
      </c>
      <c r="Q22932" s="5" t="s">
        <v>355</v>
      </c>
    </row>
    <row r="22933" ht="16.5" customHeight="1">
      <c r="O22933" s="5" t="s">
        <v>355</v>
      </c>
      <c r="P22933" s="5" t="s">
        <v>355</v>
      </c>
      <c r="Q22933" s="5" t="s">
        <v>355</v>
      </c>
    </row>
    <row r="22934" ht="16.5" customHeight="1">
      <c r="O22934" s="5" t="s">
        <v>355</v>
      </c>
      <c r="P22934" s="5" t="s">
        <v>355</v>
      </c>
      <c r="Q22934" s="5" t="s">
        <v>355</v>
      </c>
    </row>
    <row r="22935" ht="16.5" customHeight="1">
      <c r="O22935" s="5" t="s">
        <v>355</v>
      </c>
      <c r="P22935" s="5" t="s">
        <v>355</v>
      </c>
      <c r="Q22935" s="5" t="s">
        <v>355</v>
      </c>
    </row>
    <row r="22936" ht="16.5" customHeight="1">
      <c r="O22936" s="5" t="s">
        <v>355</v>
      </c>
      <c r="P22936" s="5" t="s">
        <v>355</v>
      </c>
      <c r="Q22936" s="5" t="s">
        <v>355</v>
      </c>
    </row>
    <row r="22937" ht="16.5" customHeight="1">
      <c r="O22937" s="5" t="s">
        <v>355</v>
      </c>
      <c r="P22937" s="5" t="s">
        <v>355</v>
      </c>
      <c r="Q22937" s="5" t="s">
        <v>355</v>
      </c>
    </row>
    <row r="22938" ht="16.5" customHeight="1">
      <c r="O22938" s="5" t="s">
        <v>355</v>
      </c>
      <c r="P22938" s="5" t="s">
        <v>355</v>
      </c>
      <c r="Q22938" s="5" t="s">
        <v>355</v>
      </c>
    </row>
    <row r="22939" ht="16.5" customHeight="1">
      <c r="O22939" s="5" t="s">
        <v>355</v>
      </c>
      <c r="P22939" s="5" t="s">
        <v>355</v>
      </c>
      <c r="Q22939" s="5" t="s">
        <v>355</v>
      </c>
    </row>
    <row r="22940" ht="16.5" customHeight="1">
      <c r="O22940" s="5" t="s">
        <v>355</v>
      </c>
      <c r="P22940" s="5" t="s">
        <v>355</v>
      </c>
      <c r="Q22940" s="5" t="s">
        <v>355</v>
      </c>
    </row>
    <row r="22941" ht="16.5" customHeight="1">
      <c r="O22941" s="5" t="s">
        <v>355</v>
      </c>
      <c r="P22941" s="5" t="s">
        <v>355</v>
      </c>
      <c r="Q22941" s="5" t="s">
        <v>355</v>
      </c>
    </row>
    <row r="22942" ht="16.5" customHeight="1">
      <c r="O22942" s="5" t="s">
        <v>355</v>
      </c>
      <c r="P22942" s="5" t="s">
        <v>355</v>
      </c>
      <c r="Q22942" s="5" t="s">
        <v>355</v>
      </c>
    </row>
    <row r="22943" ht="16.5" customHeight="1">
      <c r="O22943" s="5" t="s">
        <v>355</v>
      </c>
      <c r="P22943" s="5" t="s">
        <v>355</v>
      </c>
      <c r="Q22943" s="5" t="s">
        <v>355</v>
      </c>
    </row>
    <row r="22944" ht="16.5" customHeight="1">
      <c r="O22944" s="5" t="s">
        <v>355</v>
      </c>
      <c r="P22944" s="5" t="s">
        <v>355</v>
      </c>
      <c r="Q22944" s="5" t="s">
        <v>355</v>
      </c>
    </row>
    <row r="22945" ht="16.5" customHeight="1">
      <c r="O22945" s="5" t="s">
        <v>355</v>
      </c>
      <c r="P22945" s="5" t="s">
        <v>355</v>
      </c>
      <c r="Q22945" s="5" t="s">
        <v>355</v>
      </c>
    </row>
    <row r="22946" ht="16.5" customHeight="1">
      <c r="O22946" s="5" t="s">
        <v>355</v>
      </c>
      <c r="P22946" s="5" t="s">
        <v>355</v>
      </c>
      <c r="Q22946" s="5" t="s">
        <v>355</v>
      </c>
    </row>
    <row r="22947" ht="16.5" customHeight="1">
      <c r="O22947" s="5" t="s">
        <v>355</v>
      </c>
      <c r="P22947" s="5" t="s">
        <v>355</v>
      </c>
      <c r="Q22947" s="5" t="s">
        <v>355</v>
      </c>
    </row>
    <row r="22948" ht="16.5" customHeight="1">
      <c r="O22948" s="5" t="s">
        <v>355</v>
      </c>
      <c r="P22948" s="5" t="s">
        <v>355</v>
      </c>
      <c r="Q22948" s="5" t="s">
        <v>355</v>
      </c>
    </row>
    <row r="22949" ht="16.5" customHeight="1">
      <c r="O22949" s="5" t="s">
        <v>355</v>
      </c>
      <c r="P22949" s="5" t="s">
        <v>355</v>
      </c>
      <c r="Q22949" s="5" t="s">
        <v>355</v>
      </c>
    </row>
    <row r="22950" ht="16.5" customHeight="1">
      <c r="O22950" s="5" t="s">
        <v>355</v>
      </c>
      <c r="P22950" s="5" t="s">
        <v>355</v>
      </c>
      <c r="Q22950" s="5" t="s">
        <v>355</v>
      </c>
    </row>
    <row r="22951" ht="16.5" customHeight="1">
      <c r="O22951" s="5" t="s">
        <v>355</v>
      </c>
      <c r="P22951" s="5" t="s">
        <v>355</v>
      </c>
      <c r="Q22951" s="5" t="s">
        <v>355</v>
      </c>
    </row>
    <row r="22952" ht="16.5" customHeight="1">
      <c r="O22952" s="5" t="s">
        <v>355</v>
      </c>
      <c r="P22952" s="5" t="s">
        <v>355</v>
      </c>
      <c r="Q22952" s="5" t="s">
        <v>355</v>
      </c>
    </row>
    <row r="22953" ht="16.5" customHeight="1">
      <c r="O22953" s="5" t="s">
        <v>355</v>
      </c>
      <c r="P22953" s="5" t="s">
        <v>355</v>
      </c>
      <c r="Q22953" s="5" t="s">
        <v>355</v>
      </c>
    </row>
    <row r="22954" ht="16.5" customHeight="1">
      <c r="O22954" s="5" t="s">
        <v>355</v>
      </c>
      <c r="P22954" s="5" t="s">
        <v>355</v>
      </c>
      <c r="Q22954" s="5" t="s">
        <v>355</v>
      </c>
    </row>
    <row r="22955" ht="16.5" customHeight="1">
      <c r="O22955" s="5" t="s">
        <v>355</v>
      </c>
      <c r="P22955" s="5" t="s">
        <v>355</v>
      </c>
      <c r="Q22955" s="5" t="s">
        <v>355</v>
      </c>
    </row>
    <row r="22956" ht="16.5" customHeight="1">
      <c r="O22956" s="5" t="s">
        <v>355</v>
      </c>
      <c r="P22956" s="5" t="s">
        <v>355</v>
      </c>
      <c r="Q22956" s="5" t="s">
        <v>355</v>
      </c>
    </row>
    <row r="22957" ht="16.5" customHeight="1">
      <c r="O22957" s="5" t="s">
        <v>355</v>
      </c>
      <c r="P22957" s="5" t="s">
        <v>355</v>
      </c>
      <c r="Q22957" s="5" t="s">
        <v>355</v>
      </c>
    </row>
    <row r="22958" ht="16.5" customHeight="1">
      <c r="O22958" s="5" t="s">
        <v>355</v>
      </c>
      <c r="P22958" s="5" t="s">
        <v>355</v>
      </c>
      <c r="Q22958" s="5" t="s">
        <v>355</v>
      </c>
    </row>
    <row r="22959" ht="16.5" customHeight="1">
      <c r="O22959" s="5" t="s">
        <v>355</v>
      </c>
      <c r="P22959" s="5" t="s">
        <v>355</v>
      </c>
      <c r="Q22959" s="5" t="s">
        <v>355</v>
      </c>
    </row>
    <row r="22960" ht="16.5" customHeight="1">
      <c r="O22960" s="5" t="s">
        <v>355</v>
      </c>
      <c r="P22960" s="5" t="s">
        <v>355</v>
      </c>
      <c r="Q22960" s="5" t="s">
        <v>355</v>
      </c>
    </row>
    <row r="22961" ht="16.5" customHeight="1">
      <c r="O22961" s="5" t="s">
        <v>355</v>
      </c>
      <c r="P22961" s="5" t="s">
        <v>355</v>
      </c>
      <c r="Q22961" s="5" t="s">
        <v>355</v>
      </c>
    </row>
    <row r="22962" ht="16.5" customHeight="1">
      <c r="O22962" s="5" t="s">
        <v>355</v>
      </c>
      <c r="P22962" s="5" t="s">
        <v>355</v>
      </c>
      <c r="Q22962" s="5" t="s">
        <v>355</v>
      </c>
    </row>
    <row r="22963" ht="16.5" customHeight="1">
      <c r="O22963" s="5" t="s">
        <v>355</v>
      </c>
      <c r="P22963" s="5" t="s">
        <v>355</v>
      </c>
      <c r="Q22963" s="5" t="s">
        <v>355</v>
      </c>
    </row>
    <row r="22964" ht="16.5" customHeight="1">
      <c r="O22964" s="5" t="s">
        <v>355</v>
      </c>
      <c r="P22964" s="5" t="s">
        <v>355</v>
      </c>
      <c r="Q22964" s="5" t="s">
        <v>355</v>
      </c>
    </row>
    <row r="22965" ht="16.5" customHeight="1">
      <c r="O22965" s="5" t="s">
        <v>355</v>
      </c>
      <c r="P22965" s="5" t="s">
        <v>355</v>
      </c>
      <c r="Q22965" s="5" t="s">
        <v>355</v>
      </c>
    </row>
    <row r="22966" ht="16.5" customHeight="1">
      <c r="O22966" s="5" t="s">
        <v>355</v>
      </c>
      <c r="P22966" s="5" t="s">
        <v>355</v>
      </c>
      <c r="Q22966" s="5" t="s">
        <v>355</v>
      </c>
    </row>
    <row r="22967" ht="16.5" customHeight="1">
      <c r="O22967" s="5" t="s">
        <v>355</v>
      </c>
      <c r="P22967" s="5" t="s">
        <v>355</v>
      </c>
      <c r="Q22967" s="5" t="s">
        <v>355</v>
      </c>
    </row>
    <row r="22968" ht="16.5" customHeight="1">
      <c r="O22968" s="5" t="s">
        <v>355</v>
      </c>
      <c r="P22968" s="5" t="s">
        <v>355</v>
      </c>
      <c r="Q22968" s="5" t="s">
        <v>355</v>
      </c>
    </row>
    <row r="22969" ht="16.5" customHeight="1">
      <c r="O22969" s="5" t="s">
        <v>355</v>
      </c>
      <c r="P22969" s="5" t="s">
        <v>355</v>
      </c>
      <c r="Q22969" s="5" t="s">
        <v>355</v>
      </c>
    </row>
    <row r="22970" ht="16.5" customHeight="1">
      <c r="O22970" s="5" t="s">
        <v>355</v>
      </c>
      <c r="P22970" s="5" t="s">
        <v>355</v>
      </c>
      <c r="Q22970" s="5" t="s">
        <v>355</v>
      </c>
    </row>
    <row r="22971" ht="16.5" customHeight="1">
      <c r="O22971" s="5" t="s">
        <v>355</v>
      </c>
      <c r="P22971" s="5" t="s">
        <v>355</v>
      </c>
      <c r="Q22971" s="5" t="s">
        <v>355</v>
      </c>
    </row>
    <row r="22972" ht="16.5" customHeight="1">
      <c r="O22972" s="5" t="s">
        <v>355</v>
      </c>
      <c r="P22972" s="5" t="s">
        <v>355</v>
      </c>
      <c r="Q22972" s="5" t="s">
        <v>355</v>
      </c>
    </row>
    <row r="22973" ht="16.5" customHeight="1">
      <c r="O22973" s="5" t="s">
        <v>355</v>
      </c>
      <c r="P22973" s="5" t="s">
        <v>355</v>
      </c>
      <c r="Q22973" s="5" t="s">
        <v>355</v>
      </c>
    </row>
    <row r="22974" ht="16.5" customHeight="1">
      <c r="O22974" s="5" t="s">
        <v>355</v>
      </c>
      <c r="P22974" s="5" t="s">
        <v>355</v>
      </c>
      <c r="Q22974" s="5" t="s">
        <v>355</v>
      </c>
    </row>
    <row r="22975" ht="16.5" customHeight="1">
      <c r="O22975" s="5" t="s">
        <v>355</v>
      </c>
      <c r="P22975" s="5" t="s">
        <v>355</v>
      </c>
      <c r="Q22975" s="5" t="s">
        <v>355</v>
      </c>
    </row>
    <row r="22976" ht="16.5" customHeight="1">
      <c r="O22976" s="5" t="s">
        <v>355</v>
      </c>
      <c r="P22976" s="5" t="s">
        <v>355</v>
      </c>
      <c r="Q22976" s="5" t="s">
        <v>355</v>
      </c>
    </row>
    <row r="22977" ht="16.5" customHeight="1">
      <c r="O22977" s="5" t="s">
        <v>355</v>
      </c>
      <c r="P22977" s="5" t="s">
        <v>355</v>
      </c>
      <c r="Q22977" s="5" t="s">
        <v>355</v>
      </c>
    </row>
    <row r="22978" ht="16.5" customHeight="1">
      <c r="O22978" s="5" t="s">
        <v>355</v>
      </c>
      <c r="P22978" s="5" t="s">
        <v>355</v>
      </c>
      <c r="Q22978" s="5" t="s">
        <v>355</v>
      </c>
    </row>
    <row r="22979" ht="16.5" customHeight="1">
      <c r="O22979" s="5" t="s">
        <v>355</v>
      </c>
      <c r="P22979" s="5" t="s">
        <v>355</v>
      </c>
      <c r="Q22979" s="5" t="s">
        <v>355</v>
      </c>
    </row>
    <row r="22980" ht="16.5" customHeight="1">
      <c r="O22980" s="5" t="s">
        <v>355</v>
      </c>
      <c r="P22980" s="5" t="s">
        <v>355</v>
      </c>
      <c r="Q22980" s="5" t="s">
        <v>355</v>
      </c>
    </row>
    <row r="22981" ht="16.5" customHeight="1">
      <c r="O22981" s="5" t="s">
        <v>355</v>
      </c>
      <c r="P22981" s="5" t="s">
        <v>355</v>
      </c>
      <c r="Q22981" s="5" t="s">
        <v>355</v>
      </c>
    </row>
    <row r="22982" ht="16.5" customHeight="1">
      <c r="O22982" s="5" t="s">
        <v>355</v>
      </c>
      <c r="P22982" s="5" t="s">
        <v>355</v>
      </c>
      <c r="Q22982" s="5" t="s">
        <v>355</v>
      </c>
    </row>
    <row r="22983" ht="16.5" customHeight="1">
      <c r="O22983" s="5" t="s">
        <v>355</v>
      </c>
      <c r="P22983" s="5" t="s">
        <v>355</v>
      </c>
      <c r="Q22983" s="5" t="s">
        <v>355</v>
      </c>
    </row>
    <row r="22984" ht="16.5" customHeight="1">
      <c r="O22984" s="5" t="s">
        <v>355</v>
      </c>
      <c r="P22984" s="5" t="s">
        <v>355</v>
      </c>
      <c r="Q22984" s="5" t="s">
        <v>355</v>
      </c>
    </row>
    <row r="22985" ht="16.5" customHeight="1">
      <c r="O22985" s="5" t="s">
        <v>355</v>
      </c>
      <c r="P22985" s="5" t="s">
        <v>355</v>
      </c>
      <c r="Q22985" s="5" t="s">
        <v>355</v>
      </c>
    </row>
    <row r="22986" ht="16.5" customHeight="1">
      <c r="O22986" s="5" t="s">
        <v>355</v>
      </c>
      <c r="P22986" s="5" t="s">
        <v>355</v>
      </c>
      <c r="Q22986" s="5" t="s">
        <v>355</v>
      </c>
    </row>
    <row r="22987" ht="16.5" customHeight="1">
      <c r="O22987" s="5" t="s">
        <v>355</v>
      </c>
      <c r="P22987" s="5" t="s">
        <v>355</v>
      </c>
      <c r="Q22987" s="5" t="s">
        <v>355</v>
      </c>
    </row>
    <row r="22988" ht="16.5" customHeight="1">
      <c r="O22988" s="5" t="s">
        <v>355</v>
      </c>
      <c r="P22988" s="5" t="s">
        <v>355</v>
      </c>
      <c r="Q22988" s="5" t="s">
        <v>355</v>
      </c>
    </row>
    <row r="22989" ht="16.5" customHeight="1">
      <c r="O22989" s="5" t="s">
        <v>355</v>
      </c>
      <c r="P22989" s="5" t="s">
        <v>355</v>
      </c>
      <c r="Q22989" s="5" t="s">
        <v>355</v>
      </c>
    </row>
    <row r="22990" ht="16.5" customHeight="1">
      <c r="O22990" s="5" t="s">
        <v>355</v>
      </c>
      <c r="P22990" s="5" t="s">
        <v>355</v>
      </c>
      <c r="Q22990" s="5" t="s">
        <v>355</v>
      </c>
    </row>
    <row r="22991" ht="16.5" customHeight="1">
      <c r="O22991" s="5" t="s">
        <v>355</v>
      </c>
      <c r="P22991" s="5" t="s">
        <v>355</v>
      </c>
      <c r="Q22991" s="5" t="s">
        <v>355</v>
      </c>
    </row>
    <row r="22992" ht="16.5" customHeight="1">
      <c r="O22992" s="5" t="s">
        <v>355</v>
      </c>
      <c r="P22992" s="5" t="s">
        <v>355</v>
      </c>
      <c r="Q22992" s="5" t="s">
        <v>355</v>
      </c>
    </row>
    <row r="22993" ht="16.5" customHeight="1">
      <c r="O22993" s="5" t="s">
        <v>355</v>
      </c>
      <c r="P22993" s="5" t="s">
        <v>355</v>
      </c>
      <c r="Q22993" s="5" t="s">
        <v>355</v>
      </c>
    </row>
    <row r="22994" ht="16.5" customHeight="1">
      <c r="O22994" s="5" t="s">
        <v>355</v>
      </c>
      <c r="P22994" s="5" t="s">
        <v>355</v>
      </c>
      <c r="Q22994" s="5" t="s">
        <v>355</v>
      </c>
    </row>
    <row r="22995" ht="16.5" customHeight="1">
      <c r="O22995" s="5" t="s">
        <v>355</v>
      </c>
      <c r="P22995" s="5" t="s">
        <v>355</v>
      </c>
      <c r="Q22995" s="5" t="s">
        <v>355</v>
      </c>
    </row>
    <row r="22996" ht="16.5" customHeight="1">
      <c r="O22996" s="5" t="s">
        <v>355</v>
      </c>
      <c r="P22996" s="5" t="s">
        <v>355</v>
      </c>
      <c r="Q22996" s="5" t="s">
        <v>355</v>
      </c>
    </row>
    <row r="22997" ht="16.5" customHeight="1">
      <c r="O22997" s="5" t="s">
        <v>355</v>
      </c>
      <c r="P22997" s="5" t="s">
        <v>355</v>
      </c>
      <c r="Q22997" s="5" t="s">
        <v>355</v>
      </c>
    </row>
    <row r="22998" ht="16.5" customHeight="1">
      <c r="O22998" s="5" t="s">
        <v>355</v>
      </c>
      <c r="P22998" s="5" t="s">
        <v>355</v>
      </c>
      <c r="Q22998" s="5" t="s">
        <v>355</v>
      </c>
    </row>
    <row r="22999" ht="16.5" customHeight="1">
      <c r="O22999" s="5" t="s">
        <v>355</v>
      </c>
      <c r="P22999" s="5" t="s">
        <v>355</v>
      </c>
      <c r="Q22999" s="5" t="s">
        <v>355</v>
      </c>
    </row>
    <row r="23000" ht="16.5" customHeight="1">
      <c r="O23000" s="5" t="s">
        <v>355</v>
      </c>
      <c r="P23000" s="5" t="s">
        <v>355</v>
      </c>
      <c r="Q23000" s="5" t="s">
        <v>355</v>
      </c>
    </row>
    <row r="23001" ht="16.5" customHeight="1">
      <c r="O23001" s="5" t="s">
        <v>355</v>
      </c>
      <c r="P23001" s="5" t="s">
        <v>355</v>
      </c>
      <c r="Q23001" s="5" t="s">
        <v>355</v>
      </c>
    </row>
    <row r="23002" ht="16.5" customHeight="1">
      <c r="O23002" s="5" t="s">
        <v>355</v>
      </c>
      <c r="P23002" s="5" t="s">
        <v>355</v>
      </c>
      <c r="Q23002" s="5" t="s">
        <v>355</v>
      </c>
    </row>
    <row r="23003" ht="16.5" customHeight="1">
      <c r="O23003" s="5" t="s">
        <v>355</v>
      </c>
      <c r="P23003" s="5" t="s">
        <v>355</v>
      </c>
      <c r="Q23003" s="5" t="s">
        <v>355</v>
      </c>
    </row>
    <row r="23004" ht="16.5" customHeight="1">
      <c r="O23004" s="5" t="s">
        <v>355</v>
      </c>
      <c r="P23004" s="5" t="s">
        <v>355</v>
      </c>
      <c r="Q23004" s="5" t="s">
        <v>355</v>
      </c>
    </row>
    <row r="23005" ht="16.5" customHeight="1">
      <c r="O23005" s="5" t="s">
        <v>355</v>
      </c>
      <c r="P23005" s="5" t="s">
        <v>355</v>
      </c>
      <c r="Q23005" s="5" t="s">
        <v>355</v>
      </c>
    </row>
    <row r="23006" ht="16.5" customHeight="1">
      <c r="O23006" s="5" t="s">
        <v>355</v>
      </c>
      <c r="P23006" s="5" t="s">
        <v>355</v>
      </c>
      <c r="Q23006" s="5" t="s">
        <v>355</v>
      </c>
    </row>
    <row r="23007" ht="16.5" customHeight="1">
      <c r="O23007" s="5" t="s">
        <v>355</v>
      </c>
      <c r="P23007" s="5" t="s">
        <v>355</v>
      </c>
      <c r="Q23007" s="5" t="s">
        <v>355</v>
      </c>
    </row>
    <row r="23008" ht="16.5" customHeight="1">
      <c r="O23008" s="5" t="s">
        <v>355</v>
      </c>
      <c r="P23008" s="5" t="s">
        <v>355</v>
      </c>
      <c r="Q23008" s="5" t="s">
        <v>355</v>
      </c>
    </row>
    <row r="23009" ht="16.5" customHeight="1">
      <c r="O23009" s="5" t="s">
        <v>355</v>
      </c>
      <c r="P23009" s="5" t="s">
        <v>355</v>
      </c>
      <c r="Q23009" s="5" t="s">
        <v>355</v>
      </c>
    </row>
    <row r="23010" ht="16.5" customHeight="1">
      <c r="O23010" s="5" t="s">
        <v>355</v>
      </c>
      <c r="P23010" s="5" t="s">
        <v>355</v>
      </c>
      <c r="Q23010" s="5" t="s">
        <v>355</v>
      </c>
    </row>
    <row r="23011" ht="16.5" customHeight="1">
      <c r="O23011" s="5" t="s">
        <v>355</v>
      </c>
      <c r="P23011" s="5" t="s">
        <v>355</v>
      </c>
      <c r="Q23011" s="5" t="s">
        <v>355</v>
      </c>
    </row>
    <row r="23012" ht="16.5" customHeight="1">
      <c r="O23012" s="5" t="s">
        <v>355</v>
      </c>
      <c r="P23012" s="5" t="s">
        <v>355</v>
      </c>
      <c r="Q23012" s="5" t="s">
        <v>355</v>
      </c>
    </row>
    <row r="23013" ht="16.5" customHeight="1">
      <c r="O23013" s="5" t="s">
        <v>355</v>
      </c>
      <c r="P23013" s="5" t="s">
        <v>355</v>
      </c>
      <c r="Q23013" s="5" t="s">
        <v>355</v>
      </c>
    </row>
    <row r="23014" ht="16.5" customHeight="1">
      <c r="O23014" s="5" t="s">
        <v>355</v>
      </c>
      <c r="P23014" s="5" t="s">
        <v>355</v>
      </c>
      <c r="Q23014" s="5" t="s">
        <v>355</v>
      </c>
    </row>
    <row r="23015" ht="16.5" customHeight="1">
      <c r="O23015" s="5" t="s">
        <v>355</v>
      </c>
      <c r="P23015" s="5" t="s">
        <v>355</v>
      </c>
      <c r="Q23015" s="5" t="s">
        <v>355</v>
      </c>
    </row>
    <row r="23016" ht="16.5" customHeight="1">
      <c r="O23016" s="5" t="s">
        <v>355</v>
      </c>
      <c r="P23016" s="5" t="s">
        <v>355</v>
      </c>
      <c r="Q23016" s="5" t="s">
        <v>355</v>
      </c>
    </row>
    <row r="23017" ht="16.5" customHeight="1">
      <c r="O23017" s="5" t="s">
        <v>355</v>
      </c>
      <c r="P23017" s="5" t="s">
        <v>355</v>
      </c>
      <c r="Q23017" s="5" t="s">
        <v>355</v>
      </c>
    </row>
    <row r="23018" ht="16.5" customHeight="1">
      <c r="O23018" s="5" t="s">
        <v>355</v>
      </c>
      <c r="P23018" s="5" t="s">
        <v>355</v>
      </c>
      <c r="Q23018" s="5" t="s">
        <v>355</v>
      </c>
    </row>
    <row r="23019" ht="16.5" customHeight="1">
      <c r="O23019" s="5" t="s">
        <v>355</v>
      </c>
      <c r="P23019" s="5" t="s">
        <v>355</v>
      </c>
      <c r="Q23019" s="5" t="s">
        <v>355</v>
      </c>
    </row>
    <row r="23020" ht="16.5" customHeight="1">
      <c r="O23020" s="5" t="s">
        <v>355</v>
      </c>
      <c r="P23020" s="5" t="s">
        <v>355</v>
      </c>
      <c r="Q23020" s="5" t="s">
        <v>355</v>
      </c>
    </row>
    <row r="23021" ht="16.5" customHeight="1">
      <c r="O23021" s="5" t="s">
        <v>355</v>
      </c>
      <c r="P23021" s="5" t="s">
        <v>355</v>
      </c>
      <c r="Q23021" s="5" t="s">
        <v>355</v>
      </c>
    </row>
    <row r="23022" ht="16.5" customHeight="1">
      <c r="O23022" s="5" t="s">
        <v>355</v>
      </c>
      <c r="P23022" s="5" t="s">
        <v>355</v>
      </c>
      <c r="Q23022" s="5" t="s">
        <v>355</v>
      </c>
    </row>
    <row r="23023" ht="16.5" customHeight="1">
      <c r="O23023" s="5" t="s">
        <v>355</v>
      </c>
      <c r="P23023" s="5" t="s">
        <v>355</v>
      </c>
      <c r="Q23023" s="5" t="s">
        <v>355</v>
      </c>
    </row>
    <row r="23024" ht="16.5" customHeight="1">
      <c r="O23024" s="5" t="s">
        <v>355</v>
      </c>
      <c r="P23024" s="5" t="s">
        <v>355</v>
      </c>
      <c r="Q23024" s="5" t="s">
        <v>355</v>
      </c>
    </row>
    <row r="23025" ht="16.5" customHeight="1">
      <c r="O23025" s="5" t="s">
        <v>355</v>
      </c>
      <c r="P23025" s="5" t="s">
        <v>355</v>
      </c>
      <c r="Q23025" s="5" t="s">
        <v>355</v>
      </c>
    </row>
    <row r="23026" ht="16.5" customHeight="1">
      <c r="O23026" s="5" t="s">
        <v>355</v>
      </c>
      <c r="P23026" s="5" t="s">
        <v>355</v>
      </c>
      <c r="Q23026" s="5" t="s">
        <v>355</v>
      </c>
    </row>
    <row r="23027" ht="16.5" customHeight="1">
      <c r="O23027" s="5" t="s">
        <v>355</v>
      </c>
      <c r="P23027" s="5" t="s">
        <v>355</v>
      </c>
      <c r="Q23027" s="5" t="s">
        <v>355</v>
      </c>
    </row>
    <row r="23028" ht="16.5" customHeight="1">
      <c r="O23028" s="5" t="s">
        <v>355</v>
      </c>
      <c r="P23028" s="5" t="s">
        <v>355</v>
      </c>
      <c r="Q23028" s="5" t="s">
        <v>355</v>
      </c>
    </row>
    <row r="23029" ht="16.5" customHeight="1">
      <c r="O23029" s="5" t="s">
        <v>355</v>
      </c>
      <c r="P23029" s="5" t="s">
        <v>355</v>
      </c>
      <c r="Q23029" s="5" t="s">
        <v>355</v>
      </c>
    </row>
    <row r="23030" ht="16.5" customHeight="1">
      <c r="O23030" s="5" t="s">
        <v>355</v>
      </c>
      <c r="P23030" s="5" t="s">
        <v>355</v>
      </c>
      <c r="Q23030" s="5" t="s">
        <v>355</v>
      </c>
    </row>
    <row r="23031" ht="16.5" customHeight="1">
      <c r="O23031" s="5" t="s">
        <v>355</v>
      </c>
      <c r="P23031" s="5" t="s">
        <v>355</v>
      </c>
      <c r="Q23031" s="5" t="s">
        <v>355</v>
      </c>
    </row>
    <row r="23032" ht="16.5" customHeight="1">
      <c r="O23032" s="5" t="s">
        <v>355</v>
      </c>
      <c r="P23032" s="5" t="s">
        <v>355</v>
      </c>
      <c r="Q23032" s="5" t="s">
        <v>355</v>
      </c>
    </row>
    <row r="23033" ht="16.5" customHeight="1">
      <c r="O23033" s="5" t="s">
        <v>355</v>
      </c>
      <c r="P23033" s="5" t="s">
        <v>355</v>
      </c>
      <c r="Q23033" s="5" t="s">
        <v>355</v>
      </c>
    </row>
    <row r="23034" ht="16.5" customHeight="1">
      <c r="O23034" s="5" t="s">
        <v>355</v>
      </c>
      <c r="P23034" s="5" t="s">
        <v>355</v>
      </c>
      <c r="Q23034" s="5" t="s">
        <v>355</v>
      </c>
    </row>
    <row r="23035" ht="16.5" customHeight="1">
      <c r="O23035" s="5" t="s">
        <v>355</v>
      </c>
      <c r="P23035" s="5" t="s">
        <v>355</v>
      </c>
      <c r="Q23035" s="5" t="s">
        <v>355</v>
      </c>
    </row>
    <row r="23036" ht="16.5" customHeight="1">
      <c r="O23036" s="5" t="s">
        <v>355</v>
      </c>
      <c r="P23036" s="5" t="s">
        <v>355</v>
      </c>
      <c r="Q23036" s="5" t="s">
        <v>355</v>
      </c>
    </row>
    <row r="23037" ht="16.5" customHeight="1">
      <c r="O23037" s="5" t="s">
        <v>355</v>
      </c>
      <c r="P23037" s="5" t="s">
        <v>355</v>
      </c>
      <c r="Q23037" s="5" t="s">
        <v>355</v>
      </c>
    </row>
    <row r="23038" ht="16.5" customHeight="1">
      <c r="O23038" s="5" t="s">
        <v>355</v>
      </c>
      <c r="P23038" s="5" t="s">
        <v>355</v>
      </c>
      <c r="Q23038" s="5" t="s">
        <v>355</v>
      </c>
    </row>
    <row r="23039" ht="16.5" customHeight="1">
      <c r="O23039" s="5" t="s">
        <v>355</v>
      </c>
      <c r="P23039" s="5" t="s">
        <v>355</v>
      </c>
      <c r="Q23039" s="5" t="s">
        <v>355</v>
      </c>
    </row>
    <row r="23040" ht="16.5" customHeight="1">
      <c r="O23040" s="5" t="s">
        <v>355</v>
      </c>
      <c r="P23040" s="5" t="s">
        <v>355</v>
      </c>
      <c r="Q23040" s="5" t="s">
        <v>355</v>
      </c>
    </row>
    <row r="23041" ht="16.5" customHeight="1">
      <c r="O23041" s="5" t="s">
        <v>355</v>
      </c>
      <c r="P23041" s="5" t="s">
        <v>355</v>
      </c>
      <c r="Q23041" s="5" t="s">
        <v>355</v>
      </c>
    </row>
    <row r="23042" ht="16.5" customHeight="1">
      <c r="O23042" s="5" t="s">
        <v>355</v>
      </c>
      <c r="P23042" s="5" t="s">
        <v>355</v>
      </c>
      <c r="Q23042" s="5" t="s">
        <v>355</v>
      </c>
    </row>
    <row r="23043" ht="16.5" customHeight="1">
      <c r="O23043" s="5" t="s">
        <v>355</v>
      </c>
      <c r="P23043" s="5" t="s">
        <v>355</v>
      </c>
      <c r="Q23043" s="5" t="s">
        <v>355</v>
      </c>
    </row>
    <row r="23044" ht="16.5" customHeight="1">
      <c r="O23044" s="5" t="s">
        <v>355</v>
      </c>
      <c r="P23044" s="5" t="s">
        <v>355</v>
      </c>
      <c r="Q23044" s="5" t="s">
        <v>355</v>
      </c>
    </row>
    <row r="23045" ht="16.5" customHeight="1">
      <c r="O23045" s="5" t="s">
        <v>355</v>
      </c>
      <c r="P23045" s="5" t="s">
        <v>355</v>
      </c>
      <c r="Q23045" s="5" t="s">
        <v>355</v>
      </c>
    </row>
    <row r="23046" ht="16.5" customHeight="1">
      <c r="O23046" s="5" t="s">
        <v>355</v>
      </c>
      <c r="P23046" s="5" t="s">
        <v>355</v>
      </c>
      <c r="Q23046" s="5" t="s">
        <v>355</v>
      </c>
    </row>
    <row r="23047" ht="16.5" customHeight="1">
      <c r="O23047" s="5" t="s">
        <v>355</v>
      </c>
      <c r="P23047" s="5" t="s">
        <v>355</v>
      </c>
      <c r="Q23047" s="5" t="s">
        <v>355</v>
      </c>
    </row>
    <row r="23048" ht="16.5" customHeight="1">
      <c r="O23048" s="5" t="s">
        <v>355</v>
      </c>
      <c r="P23048" s="5" t="s">
        <v>355</v>
      </c>
      <c r="Q23048" s="5" t="s">
        <v>355</v>
      </c>
    </row>
    <row r="23049" ht="16.5" customHeight="1">
      <c r="O23049" s="5" t="s">
        <v>355</v>
      </c>
      <c r="P23049" s="5" t="s">
        <v>355</v>
      </c>
      <c r="Q23049" s="5" t="s">
        <v>355</v>
      </c>
    </row>
    <row r="23050" ht="16.5" customHeight="1">
      <c r="O23050" s="5" t="s">
        <v>355</v>
      </c>
      <c r="P23050" s="5" t="s">
        <v>355</v>
      </c>
      <c r="Q23050" s="5" t="s">
        <v>355</v>
      </c>
    </row>
    <row r="23051" ht="16.5" customHeight="1">
      <c r="O23051" s="5" t="s">
        <v>355</v>
      </c>
      <c r="P23051" s="5" t="s">
        <v>355</v>
      </c>
      <c r="Q23051" s="5" t="s">
        <v>355</v>
      </c>
    </row>
    <row r="23052" ht="16.5" customHeight="1">
      <c r="O23052" s="5" t="s">
        <v>355</v>
      </c>
      <c r="P23052" s="5" t="s">
        <v>355</v>
      </c>
      <c r="Q23052" s="5" t="s">
        <v>355</v>
      </c>
    </row>
    <row r="23053" ht="16.5" customHeight="1">
      <c r="O23053" s="5" t="s">
        <v>355</v>
      </c>
      <c r="P23053" s="5" t="s">
        <v>355</v>
      </c>
      <c r="Q23053" s="5" t="s">
        <v>355</v>
      </c>
    </row>
    <row r="23054" ht="16.5" customHeight="1">
      <c r="O23054" s="5" t="s">
        <v>355</v>
      </c>
      <c r="P23054" s="5" t="s">
        <v>355</v>
      </c>
      <c r="Q23054" s="5" t="s">
        <v>355</v>
      </c>
    </row>
    <row r="23055" ht="16.5" customHeight="1">
      <c r="O23055" s="5" t="s">
        <v>355</v>
      </c>
      <c r="P23055" s="5" t="s">
        <v>355</v>
      </c>
      <c r="Q23055" s="5" t="s">
        <v>355</v>
      </c>
    </row>
    <row r="23056" ht="16.5" customHeight="1">
      <c r="O23056" s="5" t="s">
        <v>355</v>
      </c>
      <c r="P23056" s="5" t="s">
        <v>355</v>
      </c>
      <c r="Q23056" s="5" t="s">
        <v>355</v>
      </c>
    </row>
    <row r="23057" ht="16.5" customHeight="1">
      <c r="O23057" s="5" t="s">
        <v>355</v>
      </c>
      <c r="P23057" s="5" t="s">
        <v>355</v>
      </c>
      <c r="Q23057" s="5" t="s">
        <v>355</v>
      </c>
    </row>
    <row r="23058" ht="16.5" customHeight="1">
      <c r="O23058" s="5" t="s">
        <v>355</v>
      </c>
      <c r="P23058" s="5" t="s">
        <v>355</v>
      </c>
      <c r="Q23058" s="5" t="s">
        <v>355</v>
      </c>
    </row>
    <row r="23059" ht="16.5" customHeight="1">
      <c r="O23059" s="5" t="s">
        <v>355</v>
      </c>
      <c r="P23059" s="5" t="s">
        <v>355</v>
      </c>
      <c r="Q23059" s="5" t="s">
        <v>355</v>
      </c>
    </row>
    <row r="23060" ht="16.5" customHeight="1">
      <c r="O23060" s="5" t="s">
        <v>355</v>
      </c>
      <c r="P23060" s="5" t="s">
        <v>355</v>
      </c>
      <c r="Q23060" s="5" t="s">
        <v>355</v>
      </c>
    </row>
    <row r="23061" ht="16.5" customHeight="1">
      <c r="O23061" s="5" t="s">
        <v>355</v>
      </c>
      <c r="P23061" s="5" t="s">
        <v>355</v>
      </c>
      <c r="Q23061" s="5" t="s">
        <v>355</v>
      </c>
    </row>
    <row r="23062" ht="16.5" customHeight="1">
      <c r="O23062" s="5" t="s">
        <v>355</v>
      </c>
      <c r="P23062" s="5" t="s">
        <v>355</v>
      </c>
      <c r="Q23062" s="5" t="s">
        <v>355</v>
      </c>
    </row>
    <row r="23063" ht="16.5" customHeight="1">
      <c r="O23063" s="5" t="s">
        <v>355</v>
      </c>
      <c r="P23063" s="5" t="s">
        <v>355</v>
      </c>
      <c r="Q23063" s="5" t="s">
        <v>355</v>
      </c>
    </row>
    <row r="23064" ht="16.5" customHeight="1">
      <c r="O23064" s="5" t="s">
        <v>355</v>
      </c>
      <c r="P23064" s="5" t="s">
        <v>355</v>
      </c>
      <c r="Q23064" s="5" t="s">
        <v>355</v>
      </c>
    </row>
    <row r="23065" ht="16.5" customHeight="1">
      <c r="O23065" s="5" t="s">
        <v>355</v>
      </c>
      <c r="P23065" s="5" t="s">
        <v>355</v>
      </c>
      <c r="Q23065" s="5" t="s">
        <v>355</v>
      </c>
    </row>
    <row r="23066" ht="16.5" customHeight="1">
      <c r="O23066" s="5" t="s">
        <v>355</v>
      </c>
      <c r="P23066" s="5" t="s">
        <v>355</v>
      </c>
      <c r="Q23066" s="5" t="s">
        <v>355</v>
      </c>
    </row>
    <row r="23067" ht="16.5" customHeight="1">
      <c r="O23067" s="5" t="s">
        <v>355</v>
      </c>
      <c r="P23067" s="5" t="s">
        <v>355</v>
      </c>
      <c r="Q23067" s="5" t="s">
        <v>355</v>
      </c>
    </row>
    <row r="23068" ht="16.5" customHeight="1">
      <c r="O23068" s="5" t="s">
        <v>355</v>
      </c>
      <c r="P23068" s="5" t="s">
        <v>355</v>
      </c>
      <c r="Q23068" s="5" t="s">
        <v>355</v>
      </c>
    </row>
    <row r="23069" ht="16.5" customHeight="1">
      <c r="O23069" s="5" t="s">
        <v>355</v>
      </c>
      <c r="P23069" s="5" t="s">
        <v>355</v>
      </c>
      <c r="Q23069" s="5" t="s">
        <v>355</v>
      </c>
    </row>
    <row r="23070" ht="16.5" customHeight="1">
      <c r="O23070" s="5" t="s">
        <v>355</v>
      </c>
      <c r="P23070" s="5" t="s">
        <v>355</v>
      </c>
      <c r="Q23070" s="5" t="s">
        <v>355</v>
      </c>
    </row>
    <row r="23071" ht="16.5" customHeight="1">
      <c r="O23071" s="5" t="s">
        <v>355</v>
      </c>
      <c r="P23071" s="5" t="s">
        <v>355</v>
      </c>
      <c r="Q23071" s="5" t="s">
        <v>355</v>
      </c>
    </row>
    <row r="23072" ht="16.5" customHeight="1">
      <c r="O23072" s="5" t="s">
        <v>355</v>
      </c>
      <c r="P23072" s="5" t="s">
        <v>355</v>
      </c>
      <c r="Q23072" s="5" t="s">
        <v>355</v>
      </c>
    </row>
    <row r="23073" ht="16.5" customHeight="1">
      <c r="O23073" s="5" t="s">
        <v>355</v>
      </c>
      <c r="P23073" s="5" t="s">
        <v>355</v>
      </c>
      <c r="Q23073" s="5" t="s">
        <v>355</v>
      </c>
    </row>
    <row r="23074" ht="16.5" customHeight="1">
      <c r="O23074" s="5" t="s">
        <v>355</v>
      </c>
      <c r="P23074" s="5" t="s">
        <v>355</v>
      </c>
      <c r="Q23074" s="5" t="s">
        <v>355</v>
      </c>
    </row>
    <row r="23075" ht="16.5" customHeight="1">
      <c r="O23075" s="5" t="s">
        <v>355</v>
      </c>
      <c r="P23075" s="5" t="s">
        <v>355</v>
      </c>
      <c r="Q23075" s="5" t="s">
        <v>355</v>
      </c>
    </row>
    <row r="23076" ht="16.5" customHeight="1">
      <c r="O23076" s="5" t="s">
        <v>355</v>
      </c>
      <c r="P23076" s="5" t="s">
        <v>355</v>
      </c>
      <c r="Q23076" s="5" t="s">
        <v>355</v>
      </c>
    </row>
    <row r="23077" ht="16.5" customHeight="1">
      <c r="O23077" s="5" t="s">
        <v>355</v>
      </c>
      <c r="P23077" s="5" t="s">
        <v>355</v>
      </c>
      <c r="Q23077" s="5" t="s">
        <v>355</v>
      </c>
    </row>
    <row r="23078" ht="16.5" customHeight="1">
      <c r="O23078" s="5" t="s">
        <v>355</v>
      </c>
      <c r="P23078" s="5" t="s">
        <v>355</v>
      </c>
      <c r="Q23078" s="5" t="s">
        <v>355</v>
      </c>
    </row>
    <row r="23079" ht="16.5" customHeight="1">
      <c r="O23079" s="5" t="s">
        <v>355</v>
      </c>
      <c r="P23079" s="5" t="s">
        <v>355</v>
      </c>
      <c r="Q23079" s="5" t="s">
        <v>355</v>
      </c>
    </row>
    <row r="23080" ht="16.5" customHeight="1">
      <c r="O23080" s="5" t="s">
        <v>355</v>
      </c>
      <c r="P23080" s="5" t="s">
        <v>355</v>
      </c>
      <c r="Q23080" s="5" t="s">
        <v>355</v>
      </c>
    </row>
    <row r="23081" ht="16.5" customHeight="1">
      <c r="O23081" s="5" t="s">
        <v>355</v>
      </c>
      <c r="P23081" s="5" t="s">
        <v>355</v>
      </c>
      <c r="Q23081" s="5" t="s">
        <v>355</v>
      </c>
    </row>
    <row r="23082" ht="16.5" customHeight="1">
      <c r="O23082" s="5" t="s">
        <v>355</v>
      </c>
      <c r="P23082" s="5" t="s">
        <v>355</v>
      </c>
      <c r="Q23082" s="5" t="s">
        <v>355</v>
      </c>
    </row>
    <row r="23083" ht="16.5" customHeight="1">
      <c r="O23083" s="5" t="s">
        <v>355</v>
      </c>
      <c r="P23083" s="5" t="s">
        <v>355</v>
      </c>
      <c r="Q23083" s="5" t="s">
        <v>355</v>
      </c>
    </row>
    <row r="23084" ht="16.5" customHeight="1">
      <c r="O23084" s="5" t="s">
        <v>355</v>
      </c>
      <c r="P23084" s="5" t="s">
        <v>355</v>
      </c>
      <c r="Q23084" s="5" t="s">
        <v>355</v>
      </c>
    </row>
    <row r="23085" ht="16.5" customHeight="1">
      <c r="O23085" s="5" t="s">
        <v>355</v>
      </c>
      <c r="P23085" s="5" t="s">
        <v>355</v>
      </c>
      <c r="Q23085" s="5" t="s">
        <v>355</v>
      </c>
    </row>
    <row r="23086" ht="16.5" customHeight="1">
      <c r="O23086" s="5" t="s">
        <v>355</v>
      </c>
      <c r="P23086" s="5" t="s">
        <v>355</v>
      </c>
      <c r="Q23086" s="5" t="s">
        <v>355</v>
      </c>
    </row>
    <row r="23087" ht="16.5" customHeight="1">
      <c r="O23087" s="5" t="s">
        <v>355</v>
      </c>
      <c r="P23087" s="5" t="s">
        <v>355</v>
      </c>
      <c r="Q23087" s="5" t="s">
        <v>355</v>
      </c>
    </row>
    <row r="23088" ht="16.5" customHeight="1">
      <c r="O23088" s="5" t="s">
        <v>355</v>
      </c>
      <c r="P23088" s="5" t="s">
        <v>355</v>
      </c>
      <c r="Q23088" s="5" t="s">
        <v>355</v>
      </c>
    </row>
    <row r="23089" ht="16.5" customHeight="1">
      <c r="O23089" s="5" t="s">
        <v>355</v>
      </c>
      <c r="P23089" s="5" t="s">
        <v>355</v>
      </c>
      <c r="Q23089" s="5" t="s">
        <v>355</v>
      </c>
    </row>
    <row r="23090" ht="16.5" customHeight="1">
      <c r="O23090" s="5" t="s">
        <v>355</v>
      </c>
      <c r="P23090" s="5" t="s">
        <v>355</v>
      </c>
      <c r="Q23090" s="5" t="s">
        <v>355</v>
      </c>
    </row>
    <row r="23091" ht="16.5" customHeight="1">
      <c r="O23091" s="5" t="s">
        <v>355</v>
      </c>
      <c r="P23091" s="5" t="s">
        <v>355</v>
      </c>
      <c r="Q23091" s="5" t="s">
        <v>355</v>
      </c>
    </row>
    <row r="23092" ht="16.5" customHeight="1">
      <c r="O23092" s="5" t="s">
        <v>355</v>
      </c>
      <c r="P23092" s="5" t="s">
        <v>355</v>
      </c>
      <c r="Q23092" s="5" t="s">
        <v>355</v>
      </c>
    </row>
    <row r="23093" ht="16.5" customHeight="1">
      <c r="O23093" s="5" t="s">
        <v>355</v>
      </c>
      <c r="P23093" s="5" t="s">
        <v>355</v>
      </c>
      <c r="Q23093" s="5" t="s">
        <v>355</v>
      </c>
    </row>
    <row r="23094" ht="16.5" customHeight="1">
      <c r="O23094" s="5" t="s">
        <v>355</v>
      </c>
      <c r="P23094" s="5" t="s">
        <v>355</v>
      </c>
      <c r="Q23094" s="5" t="s">
        <v>355</v>
      </c>
    </row>
    <row r="23095" ht="16.5" customHeight="1">
      <c r="O23095" s="5" t="s">
        <v>355</v>
      </c>
      <c r="P23095" s="5" t="s">
        <v>355</v>
      </c>
      <c r="Q23095" s="5" t="s">
        <v>355</v>
      </c>
    </row>
    <row r="23096" ht="16.5" customHeight="1">
      <c r="O23096" s="5" t="s">
        <v>355</v>
      </c>
      <c r="P23096" s="5" t="s">
        <v>355</v>
      </c>
      <c r="Q23096" s="5" t="s">
        <v>355</v>
      </c>
    </row>
    <row r="23097" ht="16.5" customHeight="1">
      <c r="O23097" s="5" t="s">
        <v>355</v>
      </c>
      <c r="P23097" s="5" t="s">
        <v>355</v>
      </c>
      <c r="Q23097" s="5" t="s">
        <v>355</v>
      </c>
    </row>
    <row r="23098" ht="16.5" customHeight="1">
      <c r="O23098" s="5" t="s">
        <v>355</v>
      </c>
      <c r="P23098" s="5" t="s">
        <v>355</v>
      </c>
      <c r="Q23098" s="5" t="s">
        <v>355</v>
      </c>
    </row>
    <row r="23099" ht="16.5" customHeight="1">
      <c r="O23099" s="5" t="s">
        <v>355</v>
      </c>
      <c r="P23099" s="5" t="s">
        <v>355</v>
      </c>
      <c r="Q23099" s="5" t="s">
        <v>355</v>
      </c>
    </row>
    <row r="23100" ht="16.5" customHeight="1">
      <c r="O23100" s="5" t="s">
        <v>355</v>
      </c>
      <c r="P23100" s="5" t="s">
        <v>355</v>
      </c>
      <c r="Q23100" s="5" t="s">
        <v>355</v>
      </c>
    </row>
    <row r="23101" ht="16.5" customHeight="1">
      <c r="O23101" s="5" t="s">
        <v>355</v>
      </c>
      <c r="P23101" s="5" t="s">
        <v>355</v>
      </c>
      <c r="Q23101" s="5" t="s">
        <v>355</v>
      </c>
    </row>
    <row r="23102" ht="16.5" customHeight="1">
      <c r="O23102" s="5" t="s">
        <v>355</v>
      </c>
      <c r="P23102" s="5" t="s">
        <v>355</v>
      </c>
      <c r="Q23102" s="5" t="s">
        <v>355</v>
      </c>
    </row>
    <row r="23103" ht="16.5" customHeight="1">
      <c r="O23103" s="5" t="s">
        <v>355</v>
      </c>
      <c r="P23103" s="5" t="s">
        <v>355</v>
      </c>
      <c r="Q23103" s="5" t="s">
        <v>355</v>
      </c>
    </row>
    <row r="23104" ht="16.5" customHeight="1">
      <c r="O23104" s="5" t="s">
        <v>355</v>
      </c>
      <c r="P23104" s="5" t="s">
        <v>355</v>
      </c>
      <c r="Q23104" s="5" t="s">
        <v>355</v>
      </c>
    </row>
    <row r="23105" ht="16.5" customHeight="1">
      <c r="O23105" s="5" t="s">
        <v>355</v>
      </c>
      <c r="P23105" s="5" t="s">
        <v>355</v>
      </c>
      <c r="Q23105" s="5" t="s">
        <v>355</v>
      </c>
    </row>
    <row r="23106" ht="16.5" customHeight="1">
      <c r="O23106" s="5" t="s">
        <v>355</v>
      </c>
      <c r="P23106" s="5" t="s">
        <v>355</v>
      </c>
      <c r="Q23106" s="5" t="s">
        <v>355</v>
      </c>
    </row>
    <row r="23107" ht="16.5" customHeight="1">
      <c r="O23107" s="5" t="s">
        <v>355</v>
      </c>
      <c r="P23107" s="5" t="s">
        <v>355</v>
      </c>
      <c r="Q23107" s="5" t="s">
        <v>355</v>
      </c>
    </row>
    <row r="23108" ht="16.5" customHeight="1">
      <c r="O23108" s="5" t="s">
        <v>355</v>
      </c>
      <c r="P23108" s="5" t="s">
        <v>355</v>
      </c>
      <c r="Q23108" s="5" t="s">
        <v>355</v>
      </c>
    </row>
    <row r="23109" ht="16.5" customHeight="1">
      <c r="O23109" s="5" t="s">
        <v>355</v>
      </c>
      <c r="P23109" s="5" t="s">
        <v>355</v>
      </c>
      <c r="Q23109" s="5" t="s">
        <v>355</v>
      </c>
    </row>
    <row r="23110" ht="16.5" customHeight="1">
      <c r="O23110" s="5" t="s">
        <v>355</v>
      </c>
      <c r="P23110" s="5" t="s">
        <v>355</v>
      </c>
      <c r="Q23110" s="5" t="s">
        <v>355</v>
      </c>
    </row>
    <row r="23111" ht="16.5" customHeight="1">
      <c r="O23111" s="5" t="s">
        <v>355</v>
      </c>
      <c r="P23111" s="5" t="s">
        <v>355</v>
      </c>
      <c r="Q23111" s="5" t="s">
        <v>355</v>
      </c>
    </row>
    <row r="23112" ht="16.5" customHeight="1">
      <c r="O23112" s="5" t="s">
        <v>355</v>
      </c>
      <c r="P23112" s="5" t="s">
        <v>355</v>
      </c>
      <c r="Q23112" s="5" t="s">
        <v>355</v>
      </c>
    </row>
    <row r="23113" ht="16.5" customHeight="1">
      <c r="O23113" s="5" t="s">
        <v>355</v>
      </c>
      <c r="P23113" s="5" t="s">
        <v>355</v>
      </c>
      <c r="Q23113" s="5" t="s">
        <v>355</v>
      </c>
    </row>
    <row r="23114" ht="16.5" customHeight="1">
      <c r="O23114" s="5" t="s">
        <v>355</v>
      </c>
      <c r="P23114" s="5" t="s">
        <v>355</v>
      </c>
      <c r="Q23114" s="5" t="s">
        <v>355</v>
      </c>
    </row>
    <row r="23115" ht="16.5" customHeight="1">
      <c r="O23115" s="5" t="s">
        <v>355</v>
      </c>
      <c r="P23115" s="5" t="s">
        <v>355</v>
      </c>
      <c r="Q23115" s="5" t="s">
        <v>355</v>
      </c>
    </row>
    <row r="23116" ht="16.5" customHeight="1">
      <c r="O23116" s="5" t="s">
        <v>355</v>
      </c>
      <c r="P23116" s="5" t="s">
        <v>355</v>
      </c>
      <c r="Q23116" s="5" t="s">
        <v>355</v>
      </c>
    </row>
    <row r="23117" ht="16.5" customHeight="1">
      <c r="O23117" s="5" t="s">
        <v>355</v>
      </c>
      <c r="P23117" s="5" t="s">
        <v>355</v>
      </c>
      <c r="Q23117" s="5" t="s">
        <v>355</v>
      </c>
    </row>
    <row r="23118" ht="16.5" customHeight="1">
      <c r="O23118" s="5" t="s">
        <v>355</v>
      </c>
      <c r="P23118" s="5" t="s">
        <v>355</v>
      </c>
      <c r="Q23118" s="5" t="s">
        <v>355</v>
      </c>
    </row>
    <row r="23119" ht="16.5" customHeight="1">
      <c r="O23119" s="5" t="s">
        <v>355</v>
      </c>
      <c r="P23119" s="5" t="s">
        <v>355</v>
      </c>
      <c r="Q23119" s="5" t="s">
        <v>355</v>
      </c>
    </row>
    <row r="23120" ht="16.5" customHeight="1">
      <c r="O23120" s="5" t="s">
        <v>355</v>
      </c>
      <c r="P23120" s="5" t="s">
        <v>355</v>
      </c>
      <c r="Q23120" s="5" t="s">
        <v>355</v>
      </c>
    </row>
    <row r="23121" ht="16.5" customHeight="1">
      <c r="O23121" s="5" t="s">
        <v>355</v>
      </c>
      <c r="P23121" s="5" t="s">
        <v>355</v>
      </c>
      <c r="Q23121" s="5" t="s">
        <v>355</v>
      </c>
    </row>
    <row r="23122" ht="16.5" customHeight="1">
      <c r="O23122" s="5" t="s">
        <v>355</v>
      </c>
      <c r="P23122" s="5" t="s">
        <v>355</v>
      </c>
      <c r="Q23122" s="5" t="s">
        <v>355</v>
      </c>
    </row>
    <row r="23123" ht="16.5" customHeight="1">
      <c r="O23123" s="5" t="s">
        <v>355</v>
      </c>
      <c r="P23123" s="5" t="s">
        <v>355</v>
      </c>
      <c r="Q23123" s="5" t="s">
        <v>355</v>
      </c>
    </row>
    <row r="23124" ht="16.5" customHeight="1">
      <c r="O23124" s="5" t="s">
        <v>355</v>
      </c>
      <c r="P23124" s="5" t="s">
        <v>355</v>
      </c>
      <c r="Q23124" s="5" t="s">
        <v>355</v>
      </c>
    </row>
    <row r="23125" ht="16.5" customHeight="1">
      <c r="O23125" s="5" t="s">
        <v>355</v>
      </c>
      <c r="P23125" s="5" t="s">
        <v>355</v>
      </c>
      <c r="Q23125" s="5" t="s">
        <v>355</v>
      </c>
    </row>
    <row r="23126" ht="16.5" customHeight="1">
      <c r="O23126" s="5" t="s">
        <v>355</v>
      </c>
      <c r="P23126" s="5" t="s">
        <v>355</v>
      </c>
      <c r="Q23126" s="5" t="s">
        <v>355</v>
      </c>
    </row>
    <row r="23127" ht="16.5" customHeight="1">
      <c r="O23127" s="5" t="s">
        <v>355</v>
      </c>
      <c r="P23127" s="5" t="s">
        <v>355</v>
      </c>
      <c r="Q23127" s="5" t="s">
        <v>355</v>
      </c>
    </row>
    <row r="23128" ht="16.5" customHeight="1">
      <c r="O23128" s="5" t="s">
        <v>355</v>
      </c>
      <c r="P23128" s="5" t="s">
        <v>355</v>
      </c>
      <c r="Q23128" s="5" t="s">
        <v>355</v>
      </c>
    </row>
    <row r="23129" ht="16.5" customHeight="1">
      <c r="O23129" s="5" t="s">
        <v>355</v>
      </c>
      <c r="P23129" s="5" t="s">
        <v>355</v>
      </c>
      <c r="Q23129" s="5" t="s">
        <v>355</v>
      </c>
    </row>
    <row r="23130" ht="16.5" customHeight="1">
      <c r="O23130" s="5" t="s">
        <v>355</v>
      </c>
      <c r="P23130" s="5" t="s">
        <v>355</v>
      </c>
      <c r="Q23130" s="5" t="s">
        <v>355</v>
      </c>
    </row>
    <row r="23131" ht="16.5" customHeight="1">
      <c r="O23131" s="5" t="s">
        <v>355</v>
      </c>
      <c r="P23131" s="5" t="s">
        <v>355</v>
      </c>
      <c r="Q23131" s="5" t="s">
        <v>355</v>
      </c>
    </row>
    <row r="23132" ht="16.5" customHeight="1">
      <c r="O23132" s="5" t="s">
        <v>355</v>
      </c>
      <c r="P23132" s="5" t="s">
        <v>355</v>
      </c>
      <c r="Q23132" s="5" t="s">
        <v>355</v>
      </c>
    </row>
    <row r="23133" ht="16.5" customHeight="1">
      <c r="O23133" s="5" t="s">
        <v>355</v>
      </c>
      <c r="P23133" s="5" t="s">
        <v>355</v>
      </c>
      <c r="Q23133" s="5" t="s">
        <v>355</v>
      </c>
    </row>
    <row r="23134" ht="16.5" customHeight="1">
      <c r="O23134" s="5" t="s">
        <v>355</v>
      </c>
      <c r="P23134" s="5" t="s">
        <v>355</v>
      </c>
      <c r="Q23134" s="5" t="s">
        <v>355</v>
      </c>
    </row>
    <row r="23135" ht="16.5" customHeight="1">
      <c r="O23135" s="5" t="s">
        <v>355</v>
      </c>
      <c r="P23135" s="5" t="s">
        <v>355</v>
      </c>
      <c r="Q23135" s="5" t="s">
        <v>355</v>
      </c>
    </row>
    <row r="23136" ht="16.5" customHeight="1">
      <c r="O23136" s="5" t="s">
        <v>355</v>
      </c>
      <c r="P23136" s="5" t="s">
        <v>355</v>
      </c>
      <c r="Q23136" s="5" t="s">
        <v>355</v>
      </c>
    </row>
    <row r="23137" ht="16.5" customHeight="1">
      <c r="O23137" s="5" t="s">
        <v>355</v>
      </c>
      <c r="P23137" s="5" t="s">
        <v>355</v>
      </c>
      <c r="Q23137" s="5" t="s">
        <v>355</v>
      </c>
    </row>
    <row r="23138" ht="16.5" customHeight="1">
      <c r="O23138" s="5" t="s">
        <v>355</v>
      </c>
      <c r="P23138" s="5" t="s">
        <v>355</v>
      </c>
      <c r="Q23138" s="5" t="s">
        <v>355</v>
      </c>
    </row>
    <row r="23139" ht="16.5" customHeight="1">
      <c r="O23139" s="5" t="s">
        <v>355</v>
      </c>
      <c r="P23139" s="5" t="s">
        <v>355</v>
      </c>
      <c r="Q23139" s="5" t="s">
        <v>355</v>
      </c>
    </row>
    <row r="23140" ht="16.5" customHeight="1">
      <c r="O23140" s="5" t="s">
        <v>355</v>
      </c>
      <c r="P23140" s="5" t="s">
        <v>355</v>
      </c>
      <c r="Q23140" s="5" t="s">
        <v>355</v>
      </c>
    </row>
    <row r="23141" ht="16.5" customHeight="1">
      <c r="O23141" s="5" t="s">
        <v>355</v>
      </c>
      <c r="P23141" s="5" t="s">
        <v>355</v>
      </c>
      <c r="Q23141" s="5" t="s">
        <v>355</v>
      </c>
    </row>
    <row r="23142" ht="16.5" customHeight="1">
      <c r="O23142" s="5" t="s">
        <v>355</v>
      </c>
      <c r="P23142" s="5" t="s">
        <v>355</v>
      </c>
      <c r="Q23142" s="5" t="s">
        <v>355</v>
      </c>
    </row>
    <row r="23143" ht="16.5" customHeight="1">
      <c r="O23143" s="5" t="s">
        <v>355</v>
      </c>
      <c r="P23143" s="5" t="s">
        <v>355</v>
      </c>
      <c r="Q23143" s="5" t="s">
        <v>355</v>
      </c>
    </row>
    <row r="23144" ht="16.5" customHeight="1">
      <c r="O23144" s="5" t="s">
        <v>355</v>
      </c>
      <c r="P23144" s="5" t="s">
        <v>355</v>
      </c>
      <c r="Q23144" s="5" t="s">
        <v>355</v>
      </c>
    </row>
    <row r="23145" ht="16.5" customHeight="1">
      <c r="O23145" s="5" t="s">
        <v>355</v>
      </c>
      <c r="P23145" s="5" t="s">
        <v>355</v>
      </c>
      <c r="Q23145" s="5" t="s">
        <v>355</v>
      </c>
    </row>
    <row r="23146" ht="16.5" customHeight="1">
      <c r="O23146" s="5" t="s">
        <v>355</v>
      </c>
      <c r="P23146" s="5" t="s">
        <v>355</v>
      </c>
      <c r="Q23146" s="5" t="s">
        <v>355</v>
      </c>
    </row>
    <row r="23147" ht="16.5" customHeight="1">
      <c r="O23147" s="5" t="s">
        <v>355</v>
      </c>
      <c r="P23147" s="5" t="s">
        <v>355</v>
      </c>
      <c r="Q23147" s="5" t="s">
        <v>355</v>
      </c>
    </row>
    <row r="23148" ht="16.5" customHeight="1">
      <c r="O23148" s="5" t="s">
        <v>355</v>
      </c>
      <c r="P23148" s="5" t="s">
        <v>355</v>
      </c>
      <c r="Q23148" s="5" t="s">
        <v>355</v>
      </c>
    </row>
    <row r="23149" ht="16.5" customHeight="1">
      <c r="O23149" s="5" t="s">
        <v>355</v>
      </c>
      <c r="P23149" s="5" t="s">
        <v>355</v>
      </c>
      <c r="Q23149" s="5" t="s">
        <v>355</v>
      </c>
    </row>
    <row r="23150" ht="16.5" customHeight="1">
      <c r="O23150" s="5" t="s">
        <v>355</v>
      </c>
      <c r="P23150" s="5" t="s">
        <v>355</v>
      </c>
      <c r="Q23150" s="5" t="s">
        <v>355</v>
      </c>
    </row>
    <row r="23151" ht="16.5" customHeight="1">
      <c r="O23151" s="5" t="s">
        <v>355</v>
      </c>
      <c r="P23151" s="5" t="s">
        <v>355</v>
      </c>
      <c r="Q23151" s="5" t="s">
        <v>355</v>
      </c>
    </row>
    <row r="23152" ht="16.5" customHeight="1">
      <c r="O23152" s="5" t="s">
        <v>355</v>
      </c>
      <c r="P23152" s="5" t="s">
        <v>355</v>
      </c>
      <c r="Q23152" s="5" t="s">
        <v>355</v>
      </c>
    </row>
    <row r="23153" ht="16.5" customHeight="1">
      <c r="O23153" s="5" t="s">
        <v>355</v>
      </c>
      <c r="P23153" s="5" t="s">
        <v>355</v>
      </c>
      <c r="Q23153" s="5" t="s">
        <v>355</v>
      </c>
    </row>
    <row r="23154" ht="16.5" customHeight="1">
      <c r="O23154" s="5" t="s">
        <v>355</v>
      </c>
      <c r="P23154" s="5" t="s">
        <v>355</v>
      </c>
      <c r="Q23154" s="5" t="s">
        <v>355</v>
      </c>
    </row>
    <row r="23155" ht="16.5" customHeight="1">
      <c r="O23155" s="5" t="s">
        <v>355</v>
      </c>
      <c r="P23155" s="5" t="s">
        <v>355</v>
      </c>
      <c r="Q23155" s="5" t="s">
        <v>355</v>
      </c>
    </row>
    <row r="23156" ht="16.5" customHeight="1">
      <c r="O23156" s="5" t="s">
        <v>355</v>
      </c>
      <c r="P23156" s="5" t="s">
        <v>355</v>
      </c>
      <c r="Q23156" s="5" t="s">
        <v>355</v>
      </c>
    </row>
    <row r="23157" ht="16.5" customHeight="1">
      <c r="O23157" s="5" t="s">
        <v>355</v>
      </c>
      <c r="P23157" s="5" t="s">
        <v>355</v>
      </c>
      <c r="Q23157" s="5" t="s">
        <v>355</v>
      </c>
    </row>
    <row r="23158" ht="16.5" customHeight="1">
      <c r="O23158" s="5" t="s">
        <v>355</v>
      </c>
      <c r="P23158" s="5" t="s">
        <v>355</v>
      </c>
      <c r="Q23158" s="5" t="s">
        <v>355</v>
      </c>
    </row>
    <row r="23159" ht="16.5" customHeight="1">
      <c r="O23159" s="5" t="s">
        <v>355</v>
      </c>
      <c r="P23159" s="5" t="s">
        <v>355</v>
      </c>
      <c r="Q23159" s="5" t="s">
        <v>355</v>
      </c>
    </row>
    <row r="23160" ht="16.5" customHeight="1">
      <c r="O23160" s="5" t="s">
        <v>355</v>
      </c>
      <c r="P23160" s="5" t="s">
        <v>355</v>
      </c>
      <c r="Q23160" s="5" t="s">
        <v>355</v>
      </c>
    </row>
    <row r="23161" ht="16.5" customHeight="1">
      <c r="O23161" s="5" t="s">
        <v>355</v>
      </c>
      <c r="P23161" s="5" t="s">
        <v>355</v>
      </c>
      <c r="Q23161" s="5" t="s">
        <v>355</v>
      </c>
    </row>
    <row r="23162" ht="16.5" customHeight="1">
      <c r="O23162" s="5" t="s">
        <v>355</v>
      </c>
      <c r="P23162" s="5" t="s">
        <v>355</v>
      </c>
      <c r="Q23162" s="5" t="s">
        <v>355</v>
      </c>
    </row>
    <row r="23163" ht="16.5" customHeight="1">
      <c r="O23163" s="5" t="s">
        <v>355</v>
      </c>
      <c r="P23163" s="5" t="s">
        <v>355</v>
      </c>
      <c r="Q23163" s="5" t="s">
        <v>355</v>
      </c>
    </row>
    <row r="23164" ht="16.5" customHeight="1">
      <c r="O23164" s="5" t="s">
        <v>355</v>
      </c>
      <c r="P23164" s="5" t="s">
        <v>355</v>
      </c>
      <c r="Q23164" s="5" t="s">
        <v>355</v>
      </c>
    </row>
    <row r="23165" ht="16.5" customHeight="1">
      <c r="O23165" s="5" t="s">
        <v>355</v>
      </c>
      <c r="P23165" s="5" t="s">
        <v>355</v>
      </c>
      <c r="Q23165" s="5" t="s">
        <v>355</v>
      </c>
    </row>
    <row r="23166" ht="16.5" customHeight="1">
      <c r="O23166" s="5" t="s">
        <v>355</v>
      </c>
      <c r="P23166" s="5" t="s">
        <v>355</v>
      </c>
      <c r="Q23166" s="5" t="s">
        <v>355</v>
      </c>
    </row>
    <row r="23167" ht="16.5" customHeight="1">
      <c r="O23167" s="5" t="s">
        <v>355</v>
      </c>
      <c r="P23167" s="5" t="s">
        <v>355</v>
      </c>
      <c r="Q23167" s="5" t="s">
        <v>355</v>
      </c>
    </row>
    <row r="23168" ht="16.5" customHeight="1">
      <c r="O23168" s="5" t="s">
        <v>355</v>
      </c>
      <c r="P23168" s="5" t="s">
        <v>355</v>
      </c>
      <c r="Q23168" s="5" t="s">
        <v>355</v>
      </c>
    </row>
    <row r="23169" ht="16.5" customHeight="1">
      <c r="O23169" s="5" t="s">
        <v>355</v>
      </c>
      <c r="P23169" s="5" t="s">
        <v>355</v>
      </c>
      <c r="Q23169" s="5" t="s">
        <v>355</v>
      </c>
    </row>
    <row r="23170" ht="16.5" customHeight="1">
      <c r="O23170" s="5" t="s">
        <v>355</v>
      </c>
      <c r="P23170" s="5" t="s">
        <v>355</v>
      </c>
      <c r="Q23170" s="5" t="s">
        <v>355</v>
      </c>
    </row>
    <row r="23171" ht="16.5" customHeight="1">
      <c r="O23171" s="5" t="s">
        <v>355</v>
      </c>
      <c r="P23171" s="5" t="s">
        <v>355</v>
      </c>
      <c r="Q23171" s="5" t="s">
        <v>355</v>
      </c>
    </row>
    <row r="23172" ht="16.5" customHeight="1">
      <c r="O23172" s="5" t="s">
        <v>355</v>
      </c>
      <c r="P23172" s="5" t="s">
        <v>355</v>
      </c>
      <c r="Q23172" s="5" t="s">
        <v>355</v>
      </c>
    </row>
    <row r="23173" ht="16.5" customHeight="1">
      <c r="O23173" s="5" t="s">
        <v>355</v>
      </c>
      <c r="P23173" s="5" t="s">
        <v>355</v>
      </c>
      <c r="Q23173" s="5" t="s">
        <v>355</v>
      </c>
    </row>
    <row r="23174" ht="16.5" customHeight="1">
      <c r="O23174" s="5" t="s">
        <v>355</v>
      </c>
      <c r="P23174" s="5" t="s">
        <v>355</v>
      </c>
      <c r="Q23174" s="5" t="s">
        <v>355</v>
      </c>
    </row>
    <row r="23175" ht="16.5" customHeight="1">
      <c r="O23175" s="5" t="s">
        <v>355</v>
      </c>
      <c r="P23175" s="5" t="s">
        <v>355</v>
      </c>
      <c r="Q23175" s="5" t="s">
        <v>355</v>
      </c>
    </row>
    <row r="23176" ht="16.5" customHeight="1">
      <c r="O23176" s="5" t="s">
        <v>355</v>
      </c>
      <c r="P23176" s="5" t="s">
        <v>355</v>
      </c>
      <c r="Q23176" s="5" t="s">
        <v>355</v>
      </c>
    </row>
    <row r="23177" ht="16.5" customHeight="1">
      <c r="O23177" s="5" t="s">
        <v>355</v>
      </c>
      <c r="P23177" s="5" t="s">
        <v>355</v>
      </c>
      <c r="Q23177" s="5" t="s">
        <v>355</v>
      </c>
    </row>
    <row r="23178" ht="16.5" customHeight="1">
      <c r="O23178" s="5" t="s">
        <v>355</v>
      </c>
      <c r="P23178" s="5" t="s">
        <v>355</v>
      </c>
      <c r="Q23178" s="5" t="s">
        <v>355</v>
      </c>
    </row>
    <row r="23179" ht="16.5" customHeight="1">
      <c r="O23179" s="5" t="s">
        <v>355</v>
      </c>
      <c r="P23179" s="5" t="s">
        <v>355</v>
      </c>
      <c r="Q23179" s="5" t="s">
        <v>355</v>
      </c>
    </row>
    <row r="23180" ht="16.5" customHeight="1">
      <c r="O23180" s="5" t="s">
        <v>355</v>
      </c>
      <c r="P23180" s="5" t="s">
        <v>355</v>
      </c>
      <c r="Q23180" s="5" t="s">
        <v>355</v>
      </c>
    </row>
    <row r="23181" ht="16.5" customHeight="1">
      <c r="O23181" s="5" t="s">
        <v>355</v>
      </c>
      <c r="P23181" s="5" t="s">
        <v>355</v>
      </c>
      <c r="Q23181" s="5" t="s">
        <v>355</v>
      </c>
    </row>
    <row r="23182" ht="16.5" customHeight="1">
      <c r="O23182" s="5" t="s">
        <v>355</v>
      </c>
      <c r="P23182" s="5" t="s">
        <v>355</v>
      </c>
      <c r="Q23182" s="5" t="s">
        <v>355</v>
      </c>
    </row>
    <row r="23183" ht="16.5" customHeight="1">
      <c r="O23183" s="5" t="s">
        <v>355</v>
      </c>
      <c r="P23183" s="5" t="s">
        <v>355</v>
      </c>
      <c r="Q23183" s="5" t="s">
        <v>355</v>
      </c>
    </row>
    <row r="23184" ht="16.5" customHeight="1">
      <c r="O23184" s="5" t="s">
        <v>355</v>
      </c>
      <c r="P23184" s="5" t="s">
        <v>355</v>
      </c>
      <c r="Q23184" s="5" t="s">
        <v>355</v>
      </c>
    </row>
    <row r="23185" ht="16.5" customHeight="1">
      <c r="O23185" s="5" t="s">
        <v>355</v>
      </c>
      <c r="P23185" s="5" t="s">
        <v>355</v>
      </c>
      <c r="Q23185" s="5" t="s">
        <v>355</v>
      </c>
    </row>
    <row r="23186" ht="16.5" customHeight="1">
      <c r="O23186" s="5" t="s">
        <v>355</v>
      </c>
      <c r="P23186" s="5" t="s">
        <v>355</v>
      </c>
      <c r="Q23186" s="5" t="s">
        <v>355</v>
      </c>
    </row>
    <row r="23187" ht="16.5" customHeight="1">
      <c r="O23187" s="5" t="s">
        <v>355</v>
      </c>
      <c r="P23187" s="5" t="s">
        <v>355</v>
      </c>
      <c r="Q23187" s="5" t="s">
        <v>355</v>
      </c>
    </row>
    <row r="23188" ht="16.5" customHeight="1">
      <c r="O23188" s="5" t="s">
        <v>355</v>
      </c>
      <c r="P23188" s="5" t="s">
        <v>355</v>
      </c>
      <c r="Q23188" s="5" t="s">
        <v>355</v>
      </c>
    </row>
    <row r="23189" ht="16.5" customHeight="1">
      <c r="O23189" s="5" t="s">
        <v>355</v>
      </c>
      <c r="P23189" s="5" t="s">
        <v>355</v>
      </c>
      <c r="Q23189" s="5" t="s">
        <v>355</v>
      </c>
    </row>
    <row r="23190" ht="16.5" customHeight="1">
      <c r="O23190" s="5" t="s">
        <v>355</v>
      </c>
      <c r="P23190" s="5" t="s">
        <v>355</v>
      </c>
      <c r="Q23190" s="5" t="s">
        <v>355</v>
      </c>
    </row>
    <row r="23191" ht="16.5" customHeight="1">
      <c r="O23191" s="5" t="s">
        <v>355</v>
      </c>
      <c r="P23191" s="5" t="s">
        <v>355</v>
      </c>
      <c r="Q23191" s="5" t="s">
        <v>355</v>
      </c>
    </row>
    <row r="23192" ht="16.5" customHeight="1">
      <c r="O23192" s="5" t="s">
        <v>355</v>
      </c>
      <c r="P23192" s="5" t="s">
        <v>355</v>
      </c>
      <c r="Q23192" s="5" t="s">
        <v>355</v>
      </c>
    </row>
    <row r="23193" ht="16.5" customHeight="1">
      <c r="O23193" s="5" t="s">
        <v>355</v>
      </c>
      <c r="P23193" s="5" t="s">
        <v>355</v>
      </c>
      <c r="Q23193" s="5" t="s">
        <v>355</v>
      </c>
    </row>
    <row r="23194" ht="16.5" customHeight="1">
      <c r="O23194" s="5" t="s">
        <v>355</v>
      </c>
      <c r="P23194" s="5" t="s">
        <v>355</v>
      </c>
      <c r="Q23194" s="5" t="s">
        <v>355</v>
      </c>
    </row>
    <row r="23195" ht="16.5" customHeight="1">
      <c r="O23195" s="5" t="s">
        <v>355</v>
      </c>
      <c r="P23195" s="5" t="s">
        <v>355</v>
      </c>
      <c r="Q23195" s="5" t="s">
        <v>355</v>
      </c>
    </row>
    <row r="23196" ht="16.5" customHeight="1">
      <c r="O23196" s="5" t="s">
        <v>355</v>
      </c>
      <c r="P23196" s="5" t="s">
        <v>355</v>
      </c>
      <c r="Q23196" s="5" t="s">
        <v>355</v>
      </c>
    </row>
    <row r="23197" ht="16.5" customHeight="1">
      <c r="O23197" s="5" t="s">
        <v>355</v>
      </c>
      <c r="P23197" s="5" t="s">
        <v>355</v>
      </c>
      <c r="Q23197" s="5" t="s">
        <v>355</v>
      </c>
    </row>
    <row r="23198" ht="16.5" customHeight="1">
      <c r="O23198" s="5" t="s">
        <v>355</v>
      </c>
      <c r="P23198" s="5" t="s">
        <v>355</v>
      </c>
      <c r="Q23198" s="5" t="s">
        <v>355</v>
      </c>
    </row>
    <row r="23199" ht="16.5" customHeight="1">
      <c r="O23199" s="5" t="s">
        <v>355</v>
      </c>
      <c r="P23199" s="5" t="s">
        <v>355</v>
      </c>
      <c r="Q23199" s="5" t="s">
        <v>355</v>
      </c>
    </row>
    <row r="23200" ht="16.5" customHeight="1">
      <c r="O23200" s="5" t="s">
        <v>355</v>
      </c>
      <c r="P23200" s="5" t="s">
        <v>355</v>
      </c>
      <c r="Q23200" s="5" t="s">
        <v>355</v>
      </c>
    </row>
    <row r="23201" ht="16.5" customHeight="1">
      <c r="O23201" s="5" t="s">
        <v>355</v>
      </c>
      <c r="P23201" s="5" t="s">
        <v>355</v>
      </c>
      <c r="Q23201" s="5" t="s">
        <v>355</v>
      </c>
    </row>
    <row r="23202" ht="16.5" customHeight="1">
      <c r="O23202" s="5" t="s">
        <v>355</v>
      </c>
      <c r="P23202" s="5" t="s">
        <v>355</v>
      </c>
      <c r="Q23202" s="5" t="s">
        <v>355</v>
      </c>
    </row>
    <row r="23203" ht="16.5" customHeight="1">
      <c r="O23203" s="5" t="s">
        <v>355</v>
      </c>
      <c r="P23203" s="5" t="s">
        <v>355</v>
      </c>
      <c r="Q23203" s="5" t="s">
        <v>355</v>
      </c>
    </row>
    <row r="23204" ht="16.5" customHeight="1">
      <c r="O23204" s="5" t="s">
        <v>355</v>
      </c>
      <c r="P23204" s="5" t="s">
        <v>355</v>
      </c>
      <c r="Q23204" s="5" t="s">
        <v>355</v>
      </c>
    </row>
    <row r="23205" ht="16.5" customHeight="1">
      <c r="O23205" s="5" t="s">
        <v>355</v>
      </c>
      <c r="P23205" s="5" t="s">
        <v>355</v>
      </c>
      <c r="Q23205" s="5" t="s">
        <v>355</v>
      </c>
    </row>
    <row r="23206" ht="16.5" customHeight="1">
      <c r="O23206" s="5" t="s">
        <v>355</v>
      </c>
      <c r="P23206" s="5" t="s">
        <v>355</v>
      </c>
      <c r="Q23206" s="5" t="s">
        <v>355</v>
      </c>
    </row>
    <row r="23207" ht="16.5" customHeight="1">
      <c r="O23207" s="5" t="s">
        <v>355</v>
      </c>
      <c r="P23207" s="5" t="s">
        <v>355</v>
      </c>
      <c r="Q23207" s="5" t="s">
        <v>355</v>
      </c>
    </row>
    <row r="23208" ht="16.5" customHeight="1">
      <c r="O23208" s="5" t="s">
        <v>355</v>
      </c>
      <c r="P23208" s="5" t="s">
        <v>355</v>
      </c>
      <c r="Q23208" s="5" t="s">
        <v>355</v>
      </c>
    </row>
    <row r="23209" ht="16.5" customHeight="1">
      <c r="O23209" s="5" t="s">
        <v>355</v>
      </c>
      <c r="P23209" s="5" t="s">
        <v>355</v>
      </c>
      <c r="Q23209" s="5" t="s">
        <v>355</v>
      </c>
    </row>
    <row r="23210" ht="16.5" customHeight="1">
      <c r="O23210" s="5" t="s">
        <v>355</v>
      </c>
      <c r="P23210" s="5" t="s">
        <v>355</v>
      </c>
      <c r="Q23210" s="5" t="s">
        <v>355</v>
      </c>
    </row>
    <row r="23211" ht="16.5" customHeight="1">
      <c r="O23211" s="5" t="s">
        <v>355</v>
      </c>
      <c r="P23211" s="5" t="s">
        <v>355</v>
      </c>
      <c r="Q23211" s="5" t="s">
        <v>355</v>
      </c>
    </row>
    <row r="23212" ht="16.5" customHeight="1">
      <c r="O23212" s="5" t="s">
        <v>355</v>
      </c>
      <c r="P23212" s="5" t="s">
        <v>355</v>
      </c>
      <c r="Q23212" s="5" t="s">
        <v>355</v>
      </c>
    </row>
    <row r="23213" ht="16.5" customHeight="1">
      <c r="O23213" s="5" t="s">
        <v>355</v>
      </c>
      <c r="P23213" s="5" t="s">
        <v>355</v>
      </c>
      <c r="Q23213" s="5" t="s">
        <v>355</v>
      </c>
    </row>
    <row r="23214" ht="16.5" customHeight="1">
      <c r="O23214" s="5" t="s">
        <v>355</v>
      </c>
      <c r="P23214" s="5" t="s">
        <v>355</v>
      </c>
      <c r="Q23214" s="5" t="s">
        <v>355</v>
      </c>
    </row>
    <row r="23215" ht="16.5" customHeight="1">
      <c r="O23215" s="5" t="s">
        <v>355</v>
      </c>
      <c r="P23215" s="5" t="s">
        <v>355</v>
      </c>
      <c r="Q23215" s="5" t="s">
        <v>355</v>
      </c>
    </row>
    <row r="23216" ht="16.5" customHeight="1">
      <c r="O23216" s="5" t="s">
        <v>355</v>
      </c>
      <c r="P23216" s="5" t="s">
        <v>355</v>
      </c>
      <c r="Q23216" s="5" t="s">
        <v>355</v>
      </c>
    </row>
    <row r="23217" ht="16.5" customHeight="1">
      <c r="O23217" s="5" t="s">
        <v>355</v>
      </c>
      <c r="P23217" s="5" t="s">
        <v>355</v>
      </c>
      <c r="Q23217" s="5" t="s">
        <v>355</v>
      </c>
    </row>
    <row r="23218" ht="16.5" customHeight="1">
      <c r="O23218" s="5" t="s">
        <v>355</v>
      </c>
      <c r="P23218" s="5" t="s">
        <v>355</v>
      </c>
      <c r="Q23218" s="5" t="s">
        <v>355</v>
      </c>
    </row>
    <row r="23219" ht="16.5" customHeight="1">
      <c r="O23219" s="5" t="s">
        <v>355</v>
      </c>
      <c r="P23219" s="5" t="s">
        <v>355</v>
      </c>
      <c r="Q23219" s="5" t="s">
        <v>355</v>
      </c>
    </row>
    <row r="23220" ht="16.5" customHeight="1">
      <c r="O23220" s="5" t="s">
        <v>355</v>
      </c>
      <c r="P23220" s="5" t="s">
        <v>355</v>
      </c>
      <c r="Q23220" s="5" t="s">
        <v>355</v>
      </c>
    </row>
    <row r="23221" ht="16.5" customHeight="1">
      <c r="O23221" s="5" t="s">
        <v>355</v>
      </c>
      <c r="P23221" s="5" t="s">
        <v>355</v>
      </c>
      <c r="Q23221" s="5" t="s">
        <v>355</v>
      </c>
    </row>
    <row r="23222" ht="16.5" customHeight="1">
      <c r="O23222" s="5" t="s">
        <v>355</v>
      </c>
      <c r="P23222" s="5" t="s">
        <v>355</v>
      </c>
      <c r="Q23222" s="5" t="s">
        <v>355</v>
      </c>
    </row>
    <row r="23223" ht="16.5" customHeight="1">
      <c r="O23223" s="5" t="s">
        <v>355</v>
      </c>
      <c r="P23223" s="5" t="s">
        <v>355</v>
      </c>
      <c r="Q23223" s="5" t="s">
        <v>355</v>
      </c>
    </row>
    <row r="23224" ht="16.5" customHeight="1">
      <c r="O23224" s="5" t="s">
        <v>355</v>
      </c>
      <c r="P23224" s="5" t="s">
        <v>355</v>
      </c>
      <c r="Q23224" s="5" t="s">
        <v>355</v>
      </c>
    </row>
    <row r="23225" ht="16.5" customHeight="1">
      <c r="O23225" s="5" t="s">
        <v>355</v>
      </c>
      <c r="P23225" s="5" t="s">
        <v>355</v>
      </c>
      <c r="Q23225" s="5" t="s">
        <v>355</v>
      </c>
    </row>
    <row r="23226" ht="16.5" customHeight="1">
      <c r="O23226" s="5" t="s">
        <v>355</v>
      </c>
      <c r="P23226" s="5" t="s">
        <v>355</v>
      </c>
      <c r="Q23226" s="5" t="s">
        <v>355</v>
      </c>
    </row>
    <row r="23227" ht="16.5" customHeight="1">
      <c r="O23227" s="5" t="s">
        <v>355</v>
      </c>
      <c r="P23227" s="5" t="s">
        <v>355</v>
      </c>
      <c r="Q23227" s="5" t="s">
        <v>355</v>
      </c>
    </row>
    <row r="23228" ht="16.5" customHeight="1">
      <c r="O23228" s="5" t="s">
        <v>355</v>
      </c>
      <c r="P23228" s="5" t="s">
        <v>355</v>
      </c>
      <c r="Q23228" s="5" t="s">
        <v>355</v>
      </c>
    </row>
    <row r="23229" ht="16.5" customHeight="1">
      <c r="O23229" s="5" t="s">
        <v>355</v>
      </c>
      <c r="P23229" s="5" t="s">
        <v>355</v>
      </c>
      <c r="Q23229" s="5" t="s">
        <v>355</v>
      </c>
    </row>
    <row r="23230" ht="16.5" customHeight="1">
      <c r="O23230" s="5" t="s">
        <v>355</v>
      </c>
      <c r="P23230" s="5" t="s">
        <v>355</v>
      </c>
      <c r="Q23230" s="5" t="s">
        <v>355</v>
      </c>
    </row>
    <row r="23231" ht="16.5" customHeight="1">
      <c r="O23231" s="5" t="s">
        <v>355</v>
      </c>
      <c r="P23231" s="5" t="s">
        <v>355</v>
      </c>
      <c r="Q23231" s="5" t="s">
        <v>355</v>
      </c>
    </row>
    <row r="23232" ht="16.5" customHeight="1">
      <c r="O23232" s="5" t="s">
        <v>355</v>
      </c>
      <c r="P23232" s="5" t="s">
        <v>355</v>
      </c>
      <c r="Q23232" s="5" t="s">
        <v>355</v>
      </c>
    </row>
    <row r="23233" ht="16.5" customHeight="1">
      <c r="O23233" s="5" t="s">
        <v>355</v>
      </c>
      <c r="P23233" s="5" t="s">
        <v>355</v>
      </c>
      <c r="Q23233" s="5" t="s">
        <v>355</v>
      </c>
    </row>
    <row r="23234" ht="16.5" customHeight="1">
      <c r="O23234" s="5" t="s">
        <v>355</v>
      </c>
      <c r="P23234" s="5" t="s">
        <v>355</v>
      </c>
      <c r="Q23234" s="5" t="s">
        <v>355</v>
      </c>
    </row>
    <row r="23235" ht="16.5" customHeight="1">
      <c r="O23235" s="5" t="s">
        <v>355</v>
      </c>
      <c r="P23235" s="5" t="s">
        <v>355</v>
      </c>
      <c r="Q23235" s="5" t="s">
        <v>355</v>
      </c>
    </row>
    <row r="23236" ht="16.5" customHeight="1">
      <c r="O23236" s="5" t="s">
        <v>355</v>
      </c>
      <c r="P23236" s="5" t="s">
        <v>355</v>
      </c>
      <c r="Q23236" s="5" t="s">
        <v>355</v>
      </c>
    </row>
    <row r="23237" ht="16.5" customHeight="1">
      <c r="O23237" s="5" t="s">
        <v>355</v>
      </c>
      <c r="P23237" s="5" t="s">
        <v>355</v>
      </c>
      <c r="Q23237" s="5" t="s">
        <v>355</v>
      </c>
    </row>
    <row r="23238" ht="16.5" customHeight="1">
      <c r="O23238" s="5" t="s">
        <v>355</v>
      </c>
      <c r="P23238" s="5" t="s">
        <v>355</v>
      </c>
      <c r="Q23238" s="5" t="s">
        <v>355</v>
      </c>
    </row>
    <row r="23239" ht="16.5" customHeight="1">
      <c r="O23239" s="5" t="s">
        <v>355</v>
      </c>
      <c r="P23239" s="5" t="s">
        <v>355</v>
      </c>
      <c r="Q23239" s="5" t="s">
        <v>355</v>
      </c>
    </row>
    <row r="23240" ht="16.5" customHeight="1">
      <c r="O23240" s="5" t="s">
        <v>355</v>
      </c>
      <c r="P23240" s="5" t="s">
        <v>355</v>
      </c>
      <c r="Q23240" s="5" t="s">
        <v>355</v>
      </c>
    </row>
    <row r="23241" ht="16.5" customHeight="1">
      <c r="O23241" s="5" t="s">
        <v>355</v>
      </c>
      <c r="P23241" s="5" t="s">
        <v>355</v>
      </c>
      <c r="Q23241" s="5" t="s">
        <v>355</v>
      </c>
    </row>
    <row r="23242" ht="16.5" customHeight="1">
      <c r="O23242" s="5" t="s">
        <v>355</v>
      </c>
      <c r="P23242" s="5" t="s">
        <v>355</v>
      </c>
      <c r="Q23242" s="5" t="s">
        <v>355</v>
      </c>
    </row>
    <row r="23243" ht="16.5" customHeight="1">
      <c r="O23243" s="5" t="s">
        <v>355</v>
      </c>
      <c r="P23243" s="5" t="s">
        <v>355</v>
      </c>
      <c r="Q23243" s="5" t="s">
        <v>355</v>
      </c>
    </row>
    <row r="23244" ht="16.5" customHeight="1">
      <c r="O23244" s="5" t="s">
        <v>355</v>
      </c>
      <c r="P23244" s="5" t="s">
        <v>355</v>
      </c>
      <c r="Q23244" s="5" t="s">
        <v>355</v>
      </c>
    </row>
    <row r="23245" ht="16.5" customHeight="1">
      <c r="O23245" s="5" t="s">
        <v>355</v>
      </c>
      <c r="P23245" s="5" t="s">
        <v>355</v>
      </c>
      <c r="Q23245" s="5" t="s">
        <v>355</v>
      </c>
    </row>
    <row r="23246" ht="16.5" customHeight="1">
      <c r="O23246" s="5" t="s">
        <v>355</v>
      </c>
      <c r="P23246" s="5" t="s">
        <v>355</v>
      </c>
      <c r="Q23246" s="5" t="s">
        <v>355</v>
      </c>
    </row>
    <row r="23247" ht="16.5" customHeight="1">
      <c r="O23247" s="5" t="s">
        <v>355</v>
      </c>
      <c r="P23247" s="5" t="s">
        <v>355</v>
      </c>
      <c r="Q23247" s="5" t="s">
        <v>355</v>
      </c>
    </row>
    <row r="23248" ht="16.5" customHeight="1">
      <c r="O23248" s="5" t="s">
        <v>355</v>
      </c>
      <c r="P23248" s="5" t="s">
        <v>355</v>
      </c>
      <c r="Q23248" s="5" t="s">
        <v>355</v>
      </c>
    </row>
    <row r="23249" ht="16.5" customHeight="1">
      <c r="O23249" s="5" t="s">
        <v>355</v>
      </c>
      <c r="P23249" s="5" t="s">
        <v>355</v>
      </c>
      <c r="Q23249" s="5" t="s">
        <v>355</v>
      </c>
    </row>
    <row r="23250" ht="16.5" customHeight="1">
      <c r="O23250" s="5" t="s">
        <v>355</v>
      </c>
      <c r="P23250" s="5" t="s">
        <v>355</v>
      </c>
      <c r="Q23250" s="5" t="s">
        <v>355</v>
      </c>
    </row>
    <row r="23251" ht="16.5" customHeight="1">
      <c r="O23251" s="5" t="s">
        <v>355</v>
      </c>
      <c r="P23251" s="5" t="s">
        <v>355</v>
      </c>
      <c r="Q23251" s="5" t="s">
        <v>355</v>
      </c>
    </row>
    <row r="23252" ht="16.5" customHeight="1">
      <c r="O23252" s="5" t="s">
        <v>355</v>
      </c>
      <c r="P23252" s="5" t="s">
        <v>355</v>
      </c>
      <c r="Q23252" s="5" t="s">
        <v>355</v>
      </c>
    </row>
    <row r="23253" ht="16.5" customHeight="1">
      <c r="O23253" s="5" t="s">
        <v>355</v>
      </c>
      <c r="P23253" s="5" t="s">
        <v>355</v>
      </c>
      <c r="Q23253" s="5" t="s">
        <v>355</v>
      </c>
    </row>
    <row r="23254" ht="16.5" customHeight="1">
      <c r="O23254" s="5" t="s">
        <v>355</v>
      </c>
      <c r="P23254" s="5" t="s">
        <v>355</v>
      </c>
      <c r="Q23254" s="5" t="s">
        <v>355</v>
      </c>
    </row>
    <row r="23255" ht="16.5" customHeight="1">
      <c r="O23255" s="5" t="s">
        <v>355</v>
      </c>
      <c r="P23255" s="5" t="s">
        <v>355</v>
      </c>
      <c r="Q23255" s="5" t="s">
        <v>355</v>
      </c>
    </row>
    <row r="23256" ht="16.5" customHeight="1">
      <c r="O23256" s="5" t="s">
        <v>355</v>
      </c>
      <c r="P23256" s="5" t="s">
        <v>355</v>
      </c>
      <c r="Q23256" s="5" t="s">
        <v>355</v>
      </c>
    </row>
    <row r="23257" ht="16.5" customHeight="1">
      <c r="O23257" s="5" t="s">
        <v>355</v>
      </c>
      <c r="P23257" s="5" t="s">
        <v>355</v>
      </c>
      <c r="Q23257" s="5" t="s">
        <v>355</v>
      </c>
    </row>
    <row r="23258" ht="16.5" customHeight="1">
      <c r="O23258" s="5" t="s">
        <v>355</v>
      </c>
      <c r="P23258" s="5" t="s">
        <v>355</v>
      </c>
      <c r="Q23258" s="5" t="s">
        <v>355</v>
      </c>
    </row>
    <row r="23259" ht="16.5" customHeight="1">
      <c r="O23259" s="5" t="s">
        <v>355</v>
      </c>
      <c r="P23259" s="5" t="s">
        <v>355</v>
      </c>
      <c r="Q23259" s="5" t="s">
        <v>355</v>
      </c>
    </row>
    <row r="23260" ht="16.5" customHeight="1">
      <c r="O23260" s="5" t="s">
        <v>355</v>
      </c>
      <c r="P23260" s="5" t="s">
        <v>355</v>
      </c>
      <c r="Q23260" s="5" t="s">
        <v>355</v>
      </c>
    </row>
    <row r="23261" ht="16.5" customHeight="1">
      <c r="O23261" s="5" t="s">
        <v>355</v>
      </c>
      <c r="P23261" s="5" t="s">
        <v>355</v>
      </c>
      <c r="Q23261" s="5" t="s">
        <v>355</v>
      </c>
    </row>
    <row r="23262" ht="16.5" customHeight="1">
      <c r="O23262" s="5" t="s">
        <v>355</v>
      </c>
      <c r="P23262" s="5" t="s">
        <v>355</v>
      </c>
      <c r="Q23262" s="5" t="s">
        <v>355</v>
      </c>
    </row>
    <row r="23263" ht="16.5" customHeight="1">
      <c r="O23263" s="5" t="s">
        <v>355</v>
      </c>
      <c r="P23263" s="5" t="s">
        <v>355</v>
      </c>
      <c r="Q23263" s="5" t="s">
        <v>355</v>
      </c>
    </row>
    <row r="23264" ht="16.5" customHeight="1">
      <c r="O23264" s="5" t="s">
        <v>355</v>
      </c>
      <c r="P23264" s="5" t="s">
        <v>355</v>
      </c>
      <c r="Q23264" s="5" t="s">
        <v>355</v>
      </c>
    </row>
    <row r="23265" ht="16.5" customHeight="1">
      <c r="O23265" s="5" t="s">
        <v>355</v>
      </c>
      <c r="P23265" s="5" t="s">
        <v>355</v>
      </c>
      <c r="Q23265" s="5" t="s">
        <v>355</v>
      </c>
    </row>
    <row r="23266" ht="16.5" customHeight="1">
      <c r="O23266" s="5" t="s">
        <v>355</v>
      </c>
      <c r="P23266" s="5" t="s">
        <v>355</v>
      </c>
      <c r="Q23266" s="5" t="s">
        <v>355</v>
      </c>
    </row>
    <row r="23267" ht="16.5" customHeight="1">
      <c r="O23267" s="5" t="s">
        <v>355</v>
      </c>
      <c r="P23267" s="5" t="s">
        <v>355</v>
      </c>
      <c r="Q23267" s="5" t="s">
        <v>355</v>
      </c>
    </row>
    <row r="23268" ht="16.5" customHeight="1">
      <c r="O23268" s="5" t="s">
        <v>355</v>
      </c>
      <c r="P23268" s="5" t="s">
        <v>355</v>
      </c>
      <c r="Q23268" s="5" t="s">
        <v>355</v>
      </c>
    </row>
    <row r="23269" ht="16.5" customHeight="1">
      <c r="O23269" s="5" t="s">
        <v>355</v>
      </c>
      <c r="P23269" s="5" t="s">
        <v>355</v>
      </c>
      <c r="Q23269" s="5" t="s">
        <v>355</v>
      </c>
    </row>
    <row r="23270" ht="16.5" customHeight="1">
      <c r="O23270" s="5" t="s">
        <v>355</v>
      </c>
      <c r="P23270" s="5" t="s">
        <v>355</v>
      </c>
      <c r="Q23270" s="5" t="s">
        <v>355</v>
      </c>
    </row>
    <row r="23271" ht="16.5" customHeight="1">
      <c r="O23271" s="5" t="s">
        <v>355</v>
      </c>
      <c r="P23271" s="5" t="s">
        <v>355</v>
      </c>
      <c r="Q23271" s="5" t="s">
        <v>355</v>
      </c>
    </row>
    <row r="23272" ht="16.5" customHeight="1">
      <c r="O23272" s="5" t="s">
        <v>355</v>
      </c>
      <c r="P23272" s="5" t="s">
        <v>355</v>
      </c>
      <c r="Q23272" s="5" t="s">
        <v>355</v>
      </c>
    </row>
    <row r="23273" ht="16.5" customHeight="1">
      <c r="O23273" s="5" t="s">
        <v>355</v>
      </c>
      <c r="P23273" s="5" t="s">
        <v>355</v>
      </c>
      <c r="Q23273" s="5" t="s">
        <v>355</v>
      </c>
    </row>
    <row r="23274" ht="16.5" customHeight="1">
      <c r="O23274" s="5" t="s">
        <v>355</v>
      </c>
      <c r="P23274" s="5" t="s">
        <v>355</v>
      </c>
      <c r="Q23274" s="5" t="s">
        <v>355</v>
      </c>
    </row>
    <row r="23275" ht="16.5" customHeight="1">
      <c r="O23275" s="5" t="s">
        <v>355</v>
      </c>
      <c r="P23275" s="5" t="s">
        <v>355</v>
      </c>
      <c r="Q23275" s="5" t="s">
        <v>355</v>
      </c>
    </row>
    <row r="23276" ht="16.5" customHeight="1">
      <c r="O23276" s="5" t="s">
        <v>355</v>
      </c>
      <c r="P23276" s="5" t="s">
        <v>355</v>
      </c>
      <c r="Q23276" s="5" t="s">
        <v>355</v>
      </c>
    </row>
    <row r="23277" ht="16.5" customHeight="1">
      <c r="O23277" s="5" t="s">
        <v>355</v>
      </c>
      <c r="P23277" s="5" t="s">
        <v>355</v>
      </c>
      <c r="Q23277" s="5" t="s">
        <v>355</v>
      </c>
    </row>
    <row r="23278" ht="16.5" customHeight="1">
      <c r="O23278" s="5" t="s">
        <v>355</v>
      </c>
      <c r="P23278" s="5" t="s">
        <v>355</v>
      </c>
      <c r="Q23278" s="5" t="s">
        <v>355</v>
      </c>
    </row>
    <row r="23279" ht="16.5" customHeight="1">
      <c r="O23279" s="5" t="s">
        <v>355</v>
      </c>
      <c r="P23279" s="5" t="s">
        <v>355</v>
      </c>
      <c r="Q23279" s="5" t="s">
        <v>355</v>
      </c>
    </row>
    <row r="23280" ht="16.5" customHeight="1">
      <c r="O23280" s="5" t="s">
        <v>355</v>
      </c>
      <c r="P23280" s="5" t="s">
        <v>355</v>
      </c>
      <c r="Q23280" s="5" t="s">
        <v>355</v>
      </c>
    </row>
    <row r="23281" ht="16.5" customHeight="1">
      <c r="O23281" s="5" t="s">
        <v>355</v>
      </c>
      <c r="P23281" s="5" t="s">
        <v>355</v>
      </c>
      <c r="Q23281" s="5" t="s">
        <v>355</v>
      </c>
    </row>
    <row r="23282" ht="16.5" customHeight="1">
      <c r="O23282" s="5" t="s">
        <v>355</v>
      </c>
      <c r="P23282" s="5" t="s">
        <v>355</v>
      </c>
      <c r="Q23282" s="5" t="s">
        <v>355</v>
      </c>
    </row>
    <row r="23283" ht="16.5" customHeight="1">
      <c r="O23283" s="5" t="s">
        <v>355</v>
      </c>
      <c r="P23283" s="5" t="s">
        <v>355</v>
      </c>
      <c r="Q23283" s="5" t="s">
        <v>355</v>
      </c>
    </row>
    <row r="23284" ht="16.5" customHeight="1">
      <c r="O23284" s="5" t="s">
        <v>355</v>
      </c>
      <c r="P23284" s="5" t="s">
        <v>355</v>
      </c>
      <c r="Q23284" s="5" t="s">
        <v>355</v>
      </c>
    </row>
    <row r="23285" ht="16.5" customHeight="1">
      <c r="O23285" s="5" t="s">
        <v>355</v>
      </c>
      <c r="P23285" s="5" t="s">
        <v>355</v>
      </c>
      <c r="Q23285" s="5" t="s">
        <v>355</v>
      </c>
    </row>
    <row r="23286" ht="16.5" customHeight="1">
      <c r="O23286" s="5" t="s">
        <v>355</v>
      </c>
      <c r="P23286" s="5" t="s">
        <v>355</v>
      </c>
      <c r="Q23286" s="5" t="s">
        <v>355</v>
      </c>
    </row>
    <row r="23287" ht="16.5" customHeight="1">
      <c r="O23287" s="5" t="s">
        <v>355</v>
      </c>
      <c r="P23287" s="5" t="s">
        <v>355</v>
      </c>
      <c r="Q23287" s="5" t="s">
        <v>355</v>
      </c>
    </row>
    <row r="23288" ht="16.5" customHeight="1">
      <c r="O23288" s="5" t="s">
        <v>355</v>
      </c>
      <c r="P23288" s="5" t="s">
        <v>355</v>
      </c>
      <c r="Q23288" s="5" t="s">
        <v>355</v>
      </c>
    </row>
    <row r="23289" ht="16.5" customHeight="1">
      <c r="O23289" s="5" t="s">
        <v>355</v>
      </c>
      <c r="P23289" s="5" t="s">
        <v>355</v>
      </c>
      <c r="Q23289" s="5" t="s">
        <v>355</v>
      </c>
    </row>
    <row r="23290" ht="16.5" customHeight="1">
      <c r="O23290" s="5" t="s">
        <v>355</v>
      </c>
      <c r="P23290" s="5" t="s">
        <v>355</v>
      </c>
      <c r="Q23290" s="5" t="s">
        <v>355</v>
      </c>
    </row>
    <row r="23291" ht="16.5" customHeight="1">
      <c r="O23291" s="5" t="s">
        <v>355</v>
      </c>
      <c r="P23291" s="5" t="s">
        <v>355</v>
      </c>
      <c r="Q23291" s="5" t="s">
        <v>355</v>
      </c>
    </row>
    <row r="23292" ht="16.5" customHeight="1">
      <c r="O23292" s="5" t="s">
        <v>355</v>
      </c>
      <c r="P23292" s="5" t="s">
        <v>355</v>
      </c>
      <c r="Q23292" s="5" t="s">
        <v>355</v>
      </c>
    </row>
    <row r="23293" ht="16.5" customHeight="1">
      <c r="O23293" s="5" t="s">
        <v>355</v>
      </c>
      <c r="P23293" s="5" t="s">
        <v>355</v>
      </c>
      <c r="Q23293" s="5" t="s">
        <v>355</v>
      </c>
    </row>
    <row r="23294" ht="16.5" customHeight="1">
      <c r="O23294" s="5" t="s">
        <v>355</v>
      </c>
      <c r="P23294" s="5" t="s">
        <v>355</v>
      </c>
      <c r="Q23294" s="5" t="s">
        <v>355</v>
      </c>
    </row>
    <row r="23295" ht="16.5" customHeight="1">
      <c r="O23295" s="5" t="s">
        <v>355</v>
      </c>
      <c r="P23295" s="5" t="s">
        <v>355</v>
      </c>
      <c r="Q23295" s="5" t="s">
        <v>355</v>
      </c>
    </row>
    <row r="23296" ht="16.5" customHeight="1">
      <c r="O23296" s="5" t="s">
        <v>355</v>
      </c>
      <c r="P23296" s="5" t="s">
        <v>355</v>
      </c>
      <c r="Q23296" s="5" t="s">
        <v>355</v>
      </c>
    </row>
    <row r="23297" ht="16.5" customHeight="1">
      <c r="O23297" s="5" t="s">
        <v>355</v>
      </c>
      <c r="P23297" s="5" t="s">
        <v>355</v>
      </c>
      <c r="Q23297" s="5" t="s">
        <v>355</v>
      </c>
    </row>
    <row r="23298" ht="16.5" customHeight="1">
      <c r="O23298" s="5" t="s">
        <v>355</v>
      </c>
      <c r="P23298" s="5" t="s">
        <v>355</v>
      </c>
      <c r="Q23298" s="5" t="s">
        <v>355</v>
      </c>
    </row>
    <row r="23299" ht="16.5" customHeight="1">
      <c r="O23299" s="5" t="s">
        <v>355</v>
      </c>
      <c r="P23299" s="5" t="s">
        <v>355</v>
      </c>
      <c r="Q23299" s="5" t="s">
        <v>355</v>
      </c>
    </row>
    <row r="23300" ht="16.5" customHeight="1">
      <c r="O23300" s="5" t="s">
        <v>355</v>
      </c>
      <c r="P23300" s="5" t="s">
        <v>355</v>
      </c>
      <c r="Q23300" s="5" t="s">
        <v>355</v>
      </c>
    </row>
    <row r="23301" ht="16.5" customHeight="1">
      <c r="O23301" s="5" t="s">
        <v>355</v>
      </c>
      <c r="P23301" s="5" t="s">
        <v>355</v>
      </c>
      <c r="Q23301" s="5" t="s">
        <v>355</v>
      </c>
    </row>
    <row r="23302" ht="16.5" customHeight="1">
      <c r="O23302" s="5" t="s">
        <v>355</v>
      </c>
      <c r="P23302" s="5" t="s">
        <v>355</v>
      </c>
      <c r="Q23302" s="5" t="s">
        <v>355</v>
      </c>
    </row>
    <row r="23303" ht="16.5" customHeight="1">
      <c r="O23303" s="5" t="s">
        <v>355</v>
      </c>
      <c r="P23303" s="5" t="s">
        <v>355</v>
      </c>
      <c r="Q23303" s="5" t="s">
        <v>355</v>
      </c>
    </row>
    <row r="23304" ht="16.5" customHeight="1">
      <c r="O23304" s="5" t="s">
        <v>355</v>
      </c>
      <c r="P23304" s="5" t="s">
        <v>355</v>
      </c>
      <c r="Q23304" s="5" t="s">
        <v>355</v>
      </c>
    </row>
    <row r="23305" ht="16.5" customHeight="1">
      <c r="O23305" s="5" t="s">
        <v>355</v>
      </c>
      <c r="P23305" s="5" t="s">
        <v>355</v>
      </c>
      <c r="Q23305" s="5" t="s">
        <v>355</v>
      </c>
    </row>
    <row r="23306" ht="16.5" customHeight="1">
      <c r="O23306" s="5" t="s">
        <v>355</v>
      </c>
      <c r="P23306" s="5" t="s">
        <v>355</v>
      </c>
      <c r="Q23306" s="5" t="s">
        <v>355</v>
      </c>
    </row>
    <row r="23307" ht="16.5" customHeight="1">
      <c r="O23307" s="5" t="s">
        <v>355</v>
      </c>
      <c r="P23307" s="5" t="s">
        <v>355</v>
      </c>
      <c r="Q23307" s="5" t="s">
        <v>355</v>
      </c>
    </row>
    <row r="23308" ht="16.5" customHeight="1">
      <c r="O23308" s="5" t="s">
        <v>355</v>
      </c>
      <c r="P23308" s="5" t="s">
        <v>355</v>
      </c>
      <c r="Q23308" s="5" t="s">
        <v>355</v>
      </c>
    </row>
    <row r="23309" ht="16.5" customHeight="1">
      <c r="O23309" s="5" t="s">
        <v>355</v>
      </c>
      <c r="P23309" s="5" t="s">
        <v>355</v>
      </c>
      <c r="Q23309" s="5" t="s">
        <v>355</v>
      </c>
    </row>
    <row r="23310" ht="16.5" customHeight="1">
      <c r="O23310" s="5" t="s">
        <v>355</v>
      </c>
      <c r="P23310" s="5" t="s">
        <v>355</v>
      </c>
      <c r="Q23310" s="5" t="s">
        <v>355</v>
      </c>
    </row>
    <row r="23311" ht="16.5" customHeight="1">
      <c r="O23311" s="5" t="s">
        <v>355</v>
      </c>
      <c r="P23311" s="5" t="s">
        <v>355</v>
      </c>
      <c r="Q23311" s="5" t="s">
        <v>355</v>
      </c>
    </row>
    <row r="23312" ht="16.5" customHeight="1">
      <c r="O23312" s="5" t="s">
        <v>355</v>
      </c>
      <c r="P23312" s="5" t="s">
        <v>355</v>
      </c>
      <c r="Q23312" s="5" t="s">
        <v>355</v>
      </c>
    </row>
    <row r="23313" ht="16.5" customHeight="1">
      <c r="O23313" s="5" t="s">
        <v>355</v>
      </c>
      <c r="P23313" s="5" t="s">
        <v>355</v>
      </c>
      <c r="Q23313" s="5" t="s">
        <v>355</v>
      </c>
    </row>
    <row r="23314" ht="16.5" customHeight="1">
      <c r="O23314" s="5" t="s">
        <v>355</v>
      </c>
      <c r="P23314" s="5" t="s">
        <v>355</v>
      </c>
      <c r="Q23314" s="5" t="s">
        <v>355</v>
      </c>
    </row>
    <row r="23315" ht="16.5" customHeight="1">
      <c r="O23315" s="5" t="s">
        <v>355</v>
      </c>
      <c r="P23315" s="5" t="s">
        <v>355</v>
      </c>
      <c r="Q23315" s="5" t="s">
        <v>355</v>
      </c>
    </row>
    <row r="23316" ht="16.5" customHeight="1">
      <c r="O23316" s="5" t="s">
        <v>355</v>
      </c>
      <c r="P23316" s="5" t="s">
        <v>355</v>
      </c>
      <c r="Q23316" s="5" t="s">
        <v>355</v>
      </c>
    </row>
    <row r="23317" ht="16.5" customHeight="1">
      <c r="O23317" s="5" t="s">
        <v>355</v>
      </c>
      <c r="P23317" s="5" t="s">
        <v>355</v>
      </c>
      <c r="Q23317" s="5" t="s">
        <v>355</v>
      </c>
    </row>
    <row r="23318" ht="16.5" customHeight="1">
      <c r="O23318" s="5" t="s">
        <v>355</v>
      </c>
      <c r="P23318" s="5" t="s">
        <v>355</v>
      </c>
      <c r="Q23318" s="5" t="s">
        <v>355</v>
      </c>
    </row>
    <row r="23319" ht="16.5" customHeight="1">
      <c r="O23319" s="5" t="s">
        <v>355</v>
      </c>
      <c r="P23319" s="5" t="s">
        <v>355</v>
      </c>
      <c r="Q23319" s="5" t="s">
        <v>355</v>
      </c>
    </row>
    <row r="23320" ht="16.5" customHeight="1">
      <c r="O23320" s="5" t="s">
        <v>355</v>
      </c>
      <c r="P23320" s="5" t="s">
        <v>355</v>
      </c>
      <c r="Q23320" s="5" t="s">
        <v>355</v>
      </c>
    </row>
    <row r="23321" ht="16.5" customHeight="1">
      <c r="O23321" s="5" t="s">
        <v>355</v>
      </c>
      <c r="P23321" s="5" t="s">
        <v>355</v>
      </c>
      <c r="Q23321" s="5" t="s">
        <v>355</v>
      </c>
    </row>
    <row r="23322" ht="16.5" customHeight="1">
      <c r="O23322" s="5" t="s">
        <v>355</v>
      </c>
      <c r="P23322" s="5" t="s">
        <v>355</v>
      </c>
      <c r="Q23322" s="5" t="s">
        <v>355</v>
      </c>
    </row>
    <row r="23323" ht="16.5" customHeight="1">
      <c r="O23323" s="5" t="s">
        <v>355</v>
      </c>
      <c r="P23323" s="5" t="s">
        <v>355</v>
      </c>
      <c r="Q23323" s="5" t="s">
        <v>355</v>
      </c>
    </row>
    <row r="23324" ht="16.5" customHeight="1">
      <c r="O23324" s="5" t="s">
        <v>355</v>
      </c>
      <c r="P23324" s="5" t="s">
        <v>355</v>
      </c>
      <c r="Q23324" s="5" t="s">
        <v>355</v>
      </c>
    </row>
    <row r="23325" ht="16.5" customHeight="1">
      <c r="O23325" s="5" t="s">
        <v>355</v>
      </c>
      <c r="P23325" s="5" t="s">
        <v>355</v>
      </c>
      <c r="Q23325" s="5" t="s">
        <v>355</v>
      </c>
    </row>
    <row r="23326" ht="16.5" customHeight="1">
      <c r="O23326" s="5" t="s">
        <v>355</v>
      </c>
      <c r="P23326" s="5" t="s">
        <v>355</v>
      </c>
      <c r="Q23326" s="5" t="s">
        <v>355</v>
      </c>
    </row>
    <row r="23327" ht="16.5" customHeight="1">
      <c r="O23327" s="5" t="s">
        <v>355</v>
      </c>
      <c r="P23327" s="5" t="s">
        <v>355</v>
      </c>
      <c r="Q23327" s="5" t="s">
        <v>355</v>
      </c>
    </row>
    <row r="23328" ht="16.5" customHeight="1">
      <c r="O23328" s="5" t="s">
        <v>355</v>
      </c>
      <c r="P23328" s="5" t="s">
        <v>355</v>
      </c>
      <c r="Q23328" s="5" t="s">
        <v>355</v>
      </c>
    </row>
    <row r="23329" ht="16.5" customHeight="1">
      <c r="O23329" s="5" t="s">
        <v>355</v>
      </c>
      <c r="P23329" s="5" t="s">
        <v>355</v>
      </c>
      <c r="Q23329" s="5" t="s">
        <v>355</v>
      </c>
    </row>
    <row r="23330" ht="16.5" customHeight="1">
      <c r="O23330" s="5" t="s">
        <v>355</v>
      </c>
      <c r="P23330" s="5" t="s">
        <v>355</v>
      </c>
      <c r="Q23330" s="5" t="s">
        <v>355</v>
      </c>
    </row>
    <row r="23331" ht="16.5" customHeight="1">
      <c r="O23331" s="5" t="s">
        <v>355</v>
      </c>
      <c r="P23331" s="5" t="s">
        <v>355</v>
      </c>
      <c r="Q23331" s="5" t="s">
        <v>355</v>
      </c>
    </row>
    <row r="23332" ht="16.5" customHeight="1">
      <c r="O23332" s="5" t="s">
        <v>355</v>
      </c>
      <c r="P23332" s="5" t="s">
        <v>355</v>
      </c>
      <c r="Q23332" s="5" t="s">
        <v>355</v>
      </c>
    </row>
    <row r="23333" ht="16.5" customHeight="1">
      <c r="O23333" s="5" t="s">
        <v>355</v>
      </c>
      <c r="P23333" s="5" t="s">
        <v>355</v>
      </c>
      <c r="Q23333" s="5" t="s">
        <v>355</v>
      </c>
    </row>
    <row r="23334" ht="16.5" customHeight="1">
      <c r="O23334" s="5" t="s">
        <v>355</v>
      </c>
      <c r="P23334" s="5" t="s">
        <v>355</v>
      </c>
      <c r="Q23334" s="5" t="s">
        <v>355</v>
      </c>
    </row>
    <row r="23335" ht="16.5" customHeight="1">
      <c r="O23335" s="5" t="s">
        <v>355</v>
      </c>
      <c r="P23335" s="5" t="s">
        <v>355</v>
      </c>
      <c r="Q23335" s="5" t="s">
        <v>355</v>
      </c>
    </row>
    <row r="23336" ht="16.5" customHeight="1">
      <c r="O23336" s="5" t="s">
        <v>355</v>
      </c>
      <c r="P23336" s="5" t="s">
        <v>355</v>
      </c>
      <c r="Q23336" s="5" t="s">
        <v>355</v>
      </c>
    </row>
    <row r="23337" ht="16.5" customHeight="1">
      <c r="O23337" s="5" t="s">
        <v>355</v>
      </c>
      <c r="P23337" s="5" t="s">
        <v>355</v>
      </c>
      <c r="Q23337" s="5" t="s">
        <v>355</v>
      </c>
    </row>
    <row r="23338" ht="16.5" customHeight="1">
      <c r="O23338" s="5" t="s">
        <v>355</v>
      </c>
      <c r="P23338" s="5" t="s">
        <v>355</v>
      </c>
      <c r="Q23338" s="5" t="s">
        <v>355</v>
      </c>
    </row>
    <row r="23339" ht="16.5" customHeight="1">
      <c r="O23339" s="5" t="s">
        <v>355</v>
      </c>
      <c r="P23339" s="5" t="s">
        <v>355</v>
      </c>
      <c r="Q23339" s="5" t="s">
        <v>355</v>
      </c>
    </row>
    <row r="23340" ht="16.5" customHeight="1">
      <c r="O23340" s="5" t="s">
        <v>355</v>
      </c>
      <c r="P23340" s="5" t="s">
        <v>355</v>
      </c>
      <c r="Q23340" s="5" t="s">
        <v>355</v>
      </c>
    </row>
    <row r="23341" ht="16.5" customHeight="1">
      <c r="O23341" s="5" t="s">
        <v>355</v>
      </c>
      <c r="P23341" s="5" t="s">
        <v>355</v>
      </c>
      <c r="Q23341" s="5" t="s">
        <v>355</v>
      </c>
    </row>
    <row r="23342" ht="16.5" customHeight="1">
      <c r="O23342" s="5" t="s">
        <v>355</v>
      </c>
      <c r="P23342" s="5" t="s">
        <v>355</v>
      </c>
      <c r="Q23342" s="5" t="s">
        <v>355</v>
      </c>
    </row>
    <row r="23343" ht="16.5" customHeight="1">
      <c r="O23343" s="5" t="s">
        <v>355</v>
      </c>
      <c r="P23343" s="5" t="s">
        <v>355</v>
      </c>
      <c r="Q23343" s="5" t="s">
        <v>355</v>
      </c>
    </row>
    <row r="23344" ht="16.5" customHeight="1">
      <c r="O23344" s="5" t="s">
        <v>355</v>
      </c>
      <c r="P23344" s="5" t="s">
        <v>355</v>
      </c>
      <c r="Q23344" s="5" t="s">
        <v>355</v>
      </c>
    </row>
    <row r="23345" ht="16.5" customHeight="1">
      <c r="O23345" s="5" t="s">
        <v>355</v>
      </c>
      <c r="P23345" s="5" t="s">
        <v>355</v>
      </c>
      <c r="Q23345" s="5" t="s">
        <v>355</v>
      </c>
    </row>
    <row r="23346" ht="16.5" customHeight="1">
      <c r="O23346" s="5" t="s">
        <v>355</v>
      </c>
      <c r="P23346" s="5" t="s">
        <v>355</v>
      </c>
      <c r="Q23346" s="5" t="s">
        <v>355</v>
      </c>
    </row>
    <row r="23347" ht="16.5" customHeight="1">
      <c r="O23347" s="5" t="s">
        <v>355</v>
      </c>
      <c r="P23347" s="5" t="s">
        <v>355</v>
      </c>
      <c r="Q23347" s="5" t="s">
        <v>355</v>
      </c>
    </row>
    <row r="23348" ht="16.5" customHeight="1">
      <c r="O23348" s="5" t="s">
        <v>355</v>
      </c>
      <c r="P23348" s="5" t="s">
        <v>355</v>
      </c>
      <c r="Q23348" s="5" t="s">
        <v>355</v>
      </c>
    </row>
    <row r="23349" ht="16.5" customHeight="1">
      <c r="O23349" s="5" t="s">
        <v>355</v>
      </c>
      <c r="P23349" s="5" t="s">
        <v>355</v>
      </c>
      <c r="Q23349" s="5" t="s">
        <v>355</v>
      </c>
    </row>
    <row r="23350" ht="16.5" customHeight="1">
      <c r="O23350" s="5" t="s">
        <v>355</v>
      </c>
      <c r="P23350" s="5" t="s">
        <v>355</v>
      </c>
      <c r="Q23350" s="5" t="s">
        <v>355</v>
      </c>
    </row>
    <row r="23351" ht="16.5" customHeight="1">
      <c r="O23351" s="5" t="s">
        <v>355</v>
      </c>
      <c r="P23351" s="5" t="s">
        <v>355</v>
      </c>
      <c r="Q23351" s="5" t="s">
        <v>355</v>
      </c>
    </row>
    <row r="23352" ht="16.5" customHeight="1">
      <c r="O23352" s="5" t="s">
        <v>355</v>
      </c>
      <c r="P23352" s="5" t="s">
        <v>355</v>
      </c>
      <c r="Q23352" s="5" t="s">
        <v>355</v>
      </c>
    </row>
    <row r="23353" ht="16.5" customHeight="1">
      <c r="O23353" s="5" t="s">
        <v>355</v>
      </c>
      <c r="P23353" s="5" t="s">
        <v>355</v>
      </c>
      <c r="Q23353" s="5" t="s">
        <v>355</v>
      </c>
    </row>
    <row r="23354" ht="16.5" customHeight="1">
      <c r="O23354" s="5" t="s">
        <v>355</v>
      </c>
      <c r="P23354" s="5" t="s">
        <v>355</v>
      </c>
      <c r="Q23354" s="5" t="s">
        <v>355</v>
      </c>
    </row>
    <row r="23355" ht="16.5" customHeight="1">
      <c r="O23355" s="5" t="s">
        <v>355</v>
      </c>
      <c r="P23355" s="5" t="s">
        <v>355</v>
      </c>
      <c r="Q23355" s="5" t="s">
        <v>355</v>
      </c>
    </row>
    <row r="23356" ht="16.5" customHeight="1">
      <c r="O23356" s="5" t="s">
        <v>355</v>
      </c>
      <c r="P23356" s="5" t="s">
        <v>355</v>
      </c>
      <c r="Q23356" s="5" t="s">
        <v>355</v>
      </c>
    </row>
    <row r="23357" ht="16.5" customHeight="1">
      <c r="O23357" s="5" t="s">
        <v>355</v>
      </c>
      <c r="P23357" s="5" t="s">
        <v>355</v>
      </c>
      <c r="Q23357" s="5" t="s">
        <v>355</v>
      </c>
    </row>
    <row r="23358" ht="16.5" customHeight="1">
      <c r="O23358" s="5" t="s">
        <v>355</v>
      </c>
      <c r="P23358" s="5" t="s">
        <v>355</v>
      </c>
      <c r="Q23358" s="5" t="s">
        <v>355</v>
      </c>
    </row>
    <row r="23359" ht="16.5" customHeight="1">
      <c r="O23359" s="5" t="s">
        <v>355</v>
      </c>
      <c r="P23359" s="5" t="s">
        <v>355</v>
      </c>
      <c r="Q23359" s="5" t="s">
        <v>355</v>
      </c>
    </row>
    <row r="23360" ht="16.5" customHeight="1">
      <c r="O23360" s="5" t="s">
        <v>355</v>
      </c>
      <c r="P23360" s="5" t="s">
        <v>355</v>
      </c>
      <c r="Q23360" s="5" t="s">
        <v>355</v>
      </c>
    </row>
    <row r="23361" ht="16.5" customHeight="1">
      <c r="O23361" s="5" t="s">
        <v>355</v>
      </c>
      <c r="P23361" s="5" t="s">
        <v>355</v>
      </c>
      <c r="Q23361" s="5" t="s">
        <v>355</v>
      </c>
    </row>
    <row r="23362" ht="16.5" customHeight="1">
      <c r="O23362" s="5" t="s">
        <v>355</v>
      </c>
      <c r="P23362" s="5" t="s">
        <v>355</v>
      </c>
      <c r="Q23362" s="5" t="s">
        <v>355</v>
      </c>
    </row>
    <row r="23363" ht="16.5" customHeight="1">
      <c r="O23363" s="5" t="s">
        <v>355</v>
      </c>
      <c r="P23363" s="5" t="s">
        <v>355</v>
      </c>
      <c r="Q23363" s="5" t="s">
        <v>355</v>
      </c>
    </row>
    <row r="23364" ht="16.5" customHeight="1">
      <c r="O23364" s="5" t="s">
        <v>355</v>
      </c>
      <c r="P23364" s="5" t="s">
        <v>355</v>
      </c>
      <c r="Q23364" s="5" t="s">
        <v>355</v>
      </c>
    </row>
    <row r="23365" ht="16.5" customHeight="1">
      <c r="O23365" s="5" t="s">
        <v>355</v>
      </c>
      <c r="P23365" s="5" t="s">
        <v>355</v>
      </c>
      <c r="Q23365" s="5" t="s">
        <v>355</v>
      </c>
    </row>
    <row r="23366" ht="16.5" customHeight="1">
      <c r="O23366" s="5" t="s">
        <v>355</v>
      </c>
      <c r="P23366" s="5" t="s">
        <v>355</v>
      </c>
      <c r="Q23366" s="5" t="s">
        <v>355</v>
      </c>
    </row>
    <row r="23367" ht="16.5" customHeight="1">
      <c r="O23367" s="5" t="s">
        <v>355</v>
      </c>
      <c r="P23367" s="5" t="s">
        <v>355</v>
      </c>
      <c r="Q23367" s="5" t="s">
        <v>355</v>
      </c>
    </row>
    <row r="23368" ht="16.5" customHeight="1">
      <c r="O23368" s="5" t="s">
        <v>355</v>
      </c>
      <c r="P23368" s="5" t="s">
        <v>355</v>
      </c>
      <c r="Q23368" s="5" t="s">
        <v>355</v>
      </c>
    </row>
    <row r="23369" ht="16.5" customHeight="1">
      <c r="O23369" s="5" t="s">
        <v>355</v>
      </c>
      <c r="P23369" s="5" t="s">
        <v>355</v>
      </c>
      <c r="Q23369" s="5" t="s">
        <v>355</v>
      </c>
    </row>
    <row r="23370" ht="16.5" customHeight="1">
      <c r="O23370" s="5" t="s">
        <v>355</v>
      </c>
      <c r="P23370" s="5" t="s">
        <v>355</v>
      </c>
      <c r="Q23370" s="5" t="s">
        <v>355</v>
      </c>
    </row>
    <row r="23371" ht="16.5" customHeight="1">
      <c r="O23371" s="5" t="s">
        <v>355</v>
      </c>
      <c r="P23371" s="5" t="s">
        <v>355</v>
      </c>
      <c r="Q23371" s="5" t="s">
        <v>355</v>
      </c>
    </row>
    <row r="23372" ht="16.5" customHeight="1">
      <c r="O23372" s="5" t="s">
        <v>355</v>
      </c>
      <c r="P23372" s="5" t="s">
        <v>355</v>
      </c>
      <c r="Q23372" s="5" t="s">
        <v>355</v>
      </c>
    </row>
    <row r="23373" ht="16.5" customHeight="1">
      <c r="O23373" s="5" t="s">
        <v>355</v>
      </c>
      <c r="P23373" s="5" t="s">
        <v>355</v>
      </c>
      <c r="Q23373" s="5" t="s">
        <v>355</v>
      </c>
    </row>
    <row r="23374" ht="16.5" customHeight="1">
      <c r="O23374" s="5" t="s">
        <v>355</v>
      </c>
      <c r="P23374" s="5" t="s">
        <v>355</v>
      </c>
      <c r="Q23374" s="5" t="s">
        <v>355</v>
      </c>
    </row>
    <row r="23375" ht="16.5" customHeight="1">
      <c r="O23375" s="5" t="s">
        <v>355</v>
      </c>
      <c r="P23375" s="5" t="s">
        <v>355</v>
      </c>
      <c r="Q23375" s="5" t="s">
        <v>355</v>
      </c>
    </row>
    <row r="23376" ht="16.5" customHeight="1">
      <c r="O23376" s="5" t="s">
        <v>355</v>
      </c>
      <c r="P23376" s="5" t="s">
        <v>355</v>
      </c>
      <c r="Q23376" s="5" t="s">
        <v>355</v>
      </c>
    </row>
    <row r="23377" ht="16.5" customHeight="1">
      <c r="O23377" s="5" t="s">
        <v>355</v>
      </c>
      <c r="P23377" s="5" t="s">
        <v>355</v>
      </c>
      <c r="Q23377" s="5" t="s">
        <v>355</v>
      </c>
    </row>
    <row r="23378" ht="16.5" customHeight="1">
      <c r="O23378" s="5" t="s">
        <v>355</v>
      </c>
      <c r="P23378" s="5" t="s">
        <v>355</v>
      </c>
      <c r="Q23378" s="5" t="s">
        <v>355</v>
      </c>
    </row>
    <row r="23379" ht="16.5" customHeight="1">
      <c r="O23379" s="5" t="s">
        <v>355</v>
      </c>
      <c r="P23379" s="5" t="s">
        <v>355</v>
      </c>
      <c r="Q23379" s="5" t="s">
        <v>355</v>
      </c>
    </row>
    <row r="23380" ht="16.5" customHeight="1">
      <c r="O23380" s="5" t="s">
        <v>355</v>
      </c>
      <c r="P23380" s="5" t="s">
        <v>355</v>
      </c>
      <c r="Q23380" s="5" t="s">
        <v>355</v>
      </c>
    </row>
    <row r="23381" ht="16.5" customHeight="1">
      <c r="O23381" s="5" t="s">
        <v>355</v>
      </c>
      <c r="P23381" s="5" t="s">
        <v>355</v>
      </c>
      <c r="Q23381" s="5" t="s">
        <v>355</v>
      </c>
    </row>
    <row r="23382" ht="16.5" customHeight="1">
      <c r="O23382" s="5" t="s">
        <v>355</v>
      </c>
      <c r="P23382" s="5" t="s">
        <v>355</v>
      </c>
      <c r="Q23382" s="5" t="s">
        <v>355</v>
      </c>
    </row>
    <row r="23383" ht="16.5" customHeight="1">
      <c r="O23383" s="5" t="s">
        <v>355</v>
      </c>
      <c r="P23383" s="5" t="s">
        <v>355</v>
      </c>
      <c r="Q23383" s="5" t="s">
        <v>355</v>
      </c>
    </row>
    <row r="23384" ht="16.5" customHeight="1">
      <c r="O23384" s="5" t="s">
        <v>355</v>
      </c>
      <c r="P23384" s="5" t="s">
        <v>355</v>
      </c>
      <c r="Q23384" s="5" t="s">
        <v>355</v>
      </c>
    </row>
    <row r="23385" ht="16.5" customHeight="1">
      <c r="O23385" s="5" t="s">
        <v>355</v>
      </c>
      <c r="P23385" s="5" t="s">
        <v>355</v>
      </c>
      <c r="Q23385" s="5" t="s">
        <v>355</v>
      </c>
    </row>
    <row r="23386" ht="16.5" customHeight="1">
      <c r="O23386" s="5" t="s">
        <v>355</v>
      </c>
      <c r="P23386" s="5" t="s">
        <v>355</v>
      </c>
      <c r="Q23386" s="5" t="s">
        <v>355</v>
      </c>
    </row>
    <row r="23387" ht="16.5" customHeight="1">
      <c r="O23387" s="5" t="s">
        <v>355</v>
      </c>
      <c r="P23387" s="5" t="s">
        <v>355</v>
      </c>
      <c r="Q23387" s="5" t="s">
        <v>355</v>
      </c>
    </row>
    <row r="23388" ht="16.5" customHeight="1">
      <c r="O23388" s="5" t="s">
        <v>355</v>
      </c>
      <c r="P23388" s="5" t="s">
        <v>355</v>
      </c>
      <c r="Q23388" s="5" t="s">
        <v>355</v>
      </c>
    </row>
    <row r="23389" ht="16.5" customHeight="1">
      <c r="O23389" s="5" t="s">
        <v>355</v>
      </c>
      <c r="P23389" s="5" t="s">
        <v>355</v>
      </c>
      <c r="Q23389" s="5" t="s">
        <v>355</v>
      </c>
    </row>
    <row r="23390" ht="16.5" customHeight="1">
      <c r="O23390" s="5" t="s">
        <v>355</v>
      </c>
      <c r="P23390" s="5" t="s">
        <v>355</v>
      </c>
      <c r="Q23390" s="5" t="s">
        <v>355</v>
      </c>
    </row>
    <row r="23391" ht="16.5" customHeight="1">
      <c r="O23391" s="5" t="s">
        <v>355</v>
      </c>
      <c r="P23391" s="5" t="s">
        <v>355</v>
      </c>
      <c r="Q23391" s="5" t="s">
        <v>355</v>
      </c>
    </row>
    <row r="23392" ht="16.5" customHeight="1">
      <c r="O23392" s="5" t="s">
        <v>355</v>
      </c>
      <c r="P23392" s="5" t="s">
        <v>355</v>
      </c>
      <c r="Q23392" s="5" t="s">
        <v>355</v>
      </c>
    </row>
    <row r="23393" ht="16.5" customHeight="1">
      <c r="O23393" s="5" t="s">
        <v>355</v>
      </c>
      <c r="P23393" s="5" t="s">
        <v>355</v>
      </c>
      <c r="Q23393" s="5" t="s">
        <v>355</v>
      </c>
    </row>
    <row r="23394" ht="16.5" customHeight="1">
      <c r="O23394" s="5" t="s">
        <v>355</v>
      </c>
      <c r="P23394" s="5" t="s">
        <v>355</v>
      </c>
      <c r="Q23394" s="5" t="s">
        <v>355</v>
      </c>
    </row>
    <row r="23395" ht="16.5" customHeight="1">
      <c r="O23395" s="5" t="s">
        <v>355</v>
      </c>
      <c r="P23395" s="5" t="s">
        <v>355</v>
      </c>
      <c r="Q23395" s="5" t="s">
        <v>355</v>
      </c>
    </row>
    <row r="23396" ht="16.5" customHeight="1">
      <c r="O23396" s="5" t="s">
        <v>355</v>
      </c>
      <c r="P23396" s="5" t="s">
        <v>355</v>
      </c>
      <c r="Q23396" s="5" t="s">
        <v>355</v>
      </c>
    </row>
    <row r="23397" ht="16.5" customHeight="1">
      <c r="O23397" s="5" t="s">
        <v>355</v>
      </c>
      <c r="P23397" s="5" t="s">
        <v>355</v>
      </c>
      <c r="Q23397" s="5" t="s">
        <v>355</v>
      </c>
    </row>
    <row r="23398" ht="16.5" customHeight="1">
      <c r="O23398" s="5" t="s">
        <v>355</v>
      </c>
      <c r="P23398" s="5" t="s">
        <v>355</v>
      </c>
      <c r="Q23398" s="5" t="s">
        <v>355</v>
      </c>
    </row>
    <row r="23399" ht="16.5" customHeight="1">
      <c r="O23399" s="5" t="s">
        <v>355</v>
      </c>
      <c r="P23399" s="5" t="s">
        <v>355</v>
      </c>
      <c r="Q23399" s="5" t="s">
        <v>355</v>
      </c>
    </row>
    <row r="23400" ht="16.5" customHeight="1">
      <c r="O23400" s="5" t="s">
        <v>355</v>
      </c>
      <c r="P23400" s="5" t="s">
        <v>355</v>
      </c>
      <c r="Q23400" s="5" t="s">
        <v>355</v>
      </c>
    </row>
    <row r="23401" ht="16.5" customHeight="1">
      <c r="O23401" s="5" t="s">
        <v>355</v>
      </c>
      <c r="P23401" s="5" t="s">
        <v>355</v>
      </c>
      <c r="Q23401" s="5" t="s">
        <v>355</v>
      </c>
    </row>
    <row r="23402" ht="16.5" customHeight="1">
      <c r="O23402" s="5" t="s">
        <v>355</v>
      </c>
      <c r="P23402" s="5" t="s">
        <v>355</v>
      </c>
      <c r="Q23402" s="5" t="s">
        <v>355</v>
      </c>
    </row>
    <row r="23403" ht="16.5" customHeight="1">
      <c r="O23403" s="5" t="s">
        <v>355</v>
      </c>
      <c r="P23403" s="5" t="s">
        <v>355</v>
      </c>
      <c r="Q23403" s="5" t="s">
        <v>355</v>
      </c>
    </row>
    <row r="23404" ht="16.5" customHeight="1">
      <c r="O23404" s="5" t="s">
        <v>355</v>
      </c>
      <c r="P23404" s="5" t="s">
        <v>355</v>
      </c>
      <c r="Q23404" s="5" t="s">
        <v>355</v>
      </c>
    </row>
    <row r="23405" ht="16.5" customHeight="1">
      <c r="O23405" s="5" t="s">
        <v>355</v>
      </c>
      <c r="P23405" s="5" t="s">
        <v>355</v>
      </c>
      <c r="Q23405" s="5" t="s">
        <v>355</v>
      </c>
    </row>
    <row r="23406" ht="16.5" customHeight="1">
      <c r="O23406" s="5" t="s">
        <v>355</v>
      </c>
      <c r="P23406" s="5" t="s">
        <v>355</v>
      </c>
      <c r="Q23406" s="5" t="s">
        <v>355</v>
      </c>
    </row>
    <row r="23407" ht="16.5" customHeight="1">
      <c r="O23407" s="5" t="s">
        <v>355</v>
      </c>
      <c r="P23407" s="5" t="s">
        <v>355</v>
      </c>
      <c r="Q23407" s="5" t="s">
        <v>355</v>
      </c>
    </row>
    <row r="23408" ht="16.5" customHeight="1">
      <c r="O23408" s="5" t="s">
        <v>355</v>
      </c>
      <c r="P23408" s="5" t="s">
        <v>355</v>
      </c>
      <c r="Q23408" s="5" t="s">
        <v>355</v>
      </c>
    </row>
    <row r="23409" ht="16.5" customHeight="1">
      <c r="O23409" s="5" t="s">
        <v>355</v>
      </c>
      <c r="P23409" s="5" t="s">
        <v>355</v>
      </c>
      <c r="Q23409" s="5" t="s">
        <v>355</v>
      </c>
    </row>
    <row r="23410" ht="16.5" customHeight="1">
      <c r="O23410" s="5" t="s">
        <v>355</v>
      </c>
      <c r="P23410" s="5" t="s">
        <v>355</v>
      </c>
      <c r="Q23410" s="5" t="s">
        <v>355</v>
      </c>
    </row>
    <row r="23411" ht="16.5" customHeight="1">
      <c r="O23411" s="5" t="s">
        <v>355</v>
      </c>
      <c r="P23411" s="5" t="s">
        <v>355</v>
      </c>
      <c r="Q23411" s="5" t="s">
        <v>355</v>
      </c>
    </row>
    <row r="23412" ht="16.5" customHeight="1">
      <c r="O23412" s="5" t="s">
        <v>355</v>
      </c>
      <c r="P23412" s="5" t="s">
        <v>355</v>
      </c>
      <c r="Q23412" s="5" t="s">
        <v>355</v>
      </c>
    </row>
    <row r="23413" ht="16.5" customHeight="1">
      <c r="O23413" s="5" t="s">
        <v>355</v>
      </c>
      <c r="P23413" s="5" t="s">
        <v>355</v>
      </c>
      <c r="Q23413" s="5" t="s">
        <v>355</v>
      </c>
    </row>
    <row r="23414" ht="16.5" customHeight="1">
      <c r="O23414" s="5" t="s">
        <v>355</v>
      </c>
      <c r="P23414" s="5" t="s">
        <v>355</v>
      </c>
      <c r="Q23414" s="5" t="s">
        <v>355</v>
      </c>
    </row>
    <row r="23415" ht="16.5" customHeight="1">
      <c r="O23415" s="5" t="s">
        <v>355</v>
      </c>
      <c r="P23415" s="5" t="s">
        <v>355</v>
      </c>
      <c r="Q23415" s="5" t="s">
        <v>355</v>
      </c>
    </row>
    <row r="23416" ht="16.5" customHeight="1">
      <c r="O23416" s="5" t="s">
        <v>355</v>
      </c>
      <c r="P23416" s="5" t="s">
        <v>355</v>
      </c>
      <c r="Q23416" s="5" t="s">
        <v>355</v>
      </c>
    </row>
    <row r="23417" ht="16.5" customHeight="1">
      <c r="O23417" s="5" t="s">
        <v>355</v>
      </c>
      <c r="P23417" s="5" t="s">
        <v>355</v>
      </c>
      <c r="Q23417" s="5" t="s">
        <v>355</v>
      </c>
    </row>
    <row r="23418" ht="16.5" customHeight="1">
      <c r="O23418" s="5" t="s">
        <v>355</v>
      </c>
      <c r="P23418" s="5" t="s">
        <v>355</v>
      </c>
      <c r="Q23418" s="5" t="s">
        <v>355</v>
      </c>
    </row>
    <row r="23419" ht="16.5" customHeight="1">
      <c r="O23419" s="5" t="s">
        <v>355</v>
      </c>
      <c r="P23419" s="5" t="s">
        <v>355</v>
      </c>
      <c r="Q23419" s="5" t="s">
        <v>355</v>
      </c>
    </row>
    <row r="23420" ht="16.5" customHeight="1">
      <c r="O23420" s="5" t="s">
        <v>355</v>
      </c>
      <c r="P23420" s="5" t="s">
        <v>355</v>
      </c>
      <c r="Q23420" s="5" t="s">
        <v>355</v>
      </c>
    </row>
    <row r="23421" ht="16.5" customHeight="1">
      <c r="O23421" s="5" t="s">
        <v>355</v>
      </c>
      <c r="P23421" s="5" t="s">
        <v>355</v>
      </c>
      <c r="Q23421" s="5" t="s">
        <v>355</v>
      </c>
    </row>
    <row r="23422" ht="16.5" customHeight="1">
      <c r="O23422" s="5" t="s">
        <v>355</v>
      </c>
      <c r="P23422" s="5" t="s">
        <v>355</v>
      </c>
      <c r="Q23422" s="5" t="s">
        <v>355</v>
      </c>
    </row>
    <row r="23423" ht="16.5" customHeight="1">
      <c r="O23423" s="5" t="s">
        <v>355</v>
      </c>
      <c r="P23423" s="5" t="s">
        <v>355</v>
      </c>
      <c r="Q23423" s="5" t="s">
        <v>355</v>
      </c>
    </row>
    <row r="23424" ht="16.5" customHeight="1">
      <c r="O23424" s="5" t="s">
        <v>355</v>
      </c>
      <c r="P23424" s="5" t="s">
        <v>355</v>
      </c>
      <c r="Q23424" s="5" t="s">
        <v>355</v>
      </c>
    </row>
    <row r="23425" ht="16.5" customHeight="1">
      <c r="O23425" s="5" t="s">
        <v>355</v>
      </c>
      <c r="P23425" s="5" t="s">
        <v>355</v>
      </c>
      <c r="Q23425" s="5" t="s">
        <v>355</v>
      </c>
    </row>
    <row r="23426" ht="16.5" customHeight="1">
      <c r="O23426" s="5" t="s">
        <v>355</v>
      </c>
      <c r="P23426" s="5" t="s">
        <v>355</v>
      </c>
      <c r="Q23426" s="5" t="s">
        <v>355</v>
      </c>
    </row>
    <row r="23427" ht="16.5" customHeight="1">
      <c r="O23427" s="5" t="s">
        <v>355</v>
      </c>
      <c r="P23427" s="5" t="s">
        <v>355</v>
      </c>
      <c r="Q23427" s="5" t="s">
        <v>355</v>
      </c>
    </row>
    <row r="23428" ht="16.5" customHeight="1">
      <c r="O23428" s="5" t="s">
        <v>355</v>
      </c>
      <c r="P23428" s="5" t="s">
        <v>355</v>
      </c>
      <c r="Q23428" s="5" t="s">
        <v>355</v>
      </c>
    </row>
    <row r="23429" ht="16.5" customHeight="1">
      <c r="O23429" s="5" t="s">
        <v>355</v>
      </c>
      <c r="P23429" s="5" t="s">
        <v>355</v>
      </c>
      <c r="Q23429" s="5" t="s">
        <v>355</v>
      </c>
    </row>
    <row r="23430" ht="16.5" customHeight="1">
      <c r="O23430" s="5" t="s">
        <v>355</v>
      </c>
      <c r="P23430" s="5" t="s">
        <v>355</v>
      </c>
      <c r="Q23430" s="5" t="s">
        <v>355</v>
      </c>
    </row>
    <row r="23431" ht="16.5" customHeight="1">
      <c r="O23431" s="5" t="s">
        <v>355</v>
      </c>
      <c r="P23431" s="5" t="s">
        <v>355</v>
      </c>
      <c r="Q23431" s="5" t="s">
        <v>355</v>
      </c>
    </row>
    <row r="23432" ht="16.5" customHeight="1">
      <c r="O23432" s="5" t="s">
        <v>355</v>
      </c>
      <c r="P23432" s="5" t="s">
        <v>355</v>
      </c>
      <c r="Q23432" s="5" t="s">
        <v>355</v>
      </c>
    </row>
    <row r="23433" ht="16.5" customHeight="1">
      <c r="O23433" s="5" t="s">
        <v>355</v>
      </c>
      <c r="P23433" s="5" t="s">
        <v>355</v>
      </c>
      <c r="Q23433" s="5" t="s">
        <v>355</v>
      </c>
    </row>
    <row r="23434" ht="16.5" customHeight="1">
      <c r="O23434" s="5" t="s">
        <v>355</v>
      </c>
      <c r="P23434" s="5" t="s">
        <v>355</v>
      </c>
      <c r="Q23434" s="5" t="s">
        <v>355</v>
      </c>
    </row>
    <row r="23435" ht="16.5" customHeight="1">
      <c r="O23435" s="5" t="s">
        <v>355</v>
      </c>
      <c r="P23435" s="5" t="s">
        <v>355</v>
      </c>
      <c r="Q23435" s="5" t="s">
        <v>355</v>
      </c>
    </row>
    <row r="23436" ht="16.5" customHeight="1">
      <c r="O23436" s="5" t="s">
        <v>355</v>
      </c>
      <c r="P23436" s="5" t="s">
        <v>355</v>
      </c>
      <c r="Q23436" s="5" t="s">
        <v>355</v>
      </c>
    </row>
    <row r="23437" ht="16.5" customHeight="1">
      <c r="O23437" s="5" t="s">
        <v>355</v>
      </c>
      <c r="P23437" s="5" t="s">
        <v>355</v>
      </c>
      <c r="Q23437" s="5" t="s">
        <v>355</v>
      </c>
    </row>
    <row r="23438" ht="16.5" customHeight="1">
      <c r="O23438" s="5" t="s">
        <v>355</v>
      </c>
      <c r="P23438" s="5" t="s">
        <v>355</v>
      </c>
      <c r="Q23438" s="5" t="s">
        <v>355</v>
      </c>
    </row>
    <row r="23439" ht="16.5" customHeight="1">
      <c r="O23439" s="5" t="s">
        <v>355</v>
      </c>
      <c r="P23439" s="5" t="s">
        <v>355</v>
      </c>
      <c r="Q23439" s="5" t="s">
        <v>355</v>
      </c>
    </row>
    <row r="23440" ht="16.5" customHeight="1">
      <c r="O23440" s="5" t="s">
        <v>355</v>
      </c>
      <c r="P23440" s="5" t="s">
        <v>355</v>
      </c>
      <c r="Q23440" s="5" t="s">
        <v>355</v>
      </c>
    </row>
    <row r="23441" ht="16.5" customHeight="1">
      <c r="O23441" s="5" t="s">
        <v>355</v>
      </c>
      <c r="P23441" s="5" t="s">
        <v>355</v>
      </c>
      <c r="Q23441" s="5" t="s">
        <v>355</v>
      </c>
    </row>
    <row r="23442" ht="16.5" customHeight="1">
      <c r="O23442" s="5" t="s">
        <v>355</v>
      </c>
      <c r="P23442" s="5" t="s">
        <v>355</v>
      </c>
      <c r="Q23442" s="5" t="s">
        <v>355</v>
      </c>
    </row>
    <row r="23443" ht="16.5" customHeight="1">
      <c r="O23443" s="5" t="s">
        <v>355</v>
      </c>
      <c r="P23443" s="5" t="s">
        <v>355</v>
      </c>
      <c r="Q23443" s="5" t="s">
        <v>355</v>
      </c>
    </row>
    <row r="23444" ht="16.5" customHeight="1">
      <c r="O23444" s="5" t="s">
        <v>355</v>
      </c>
      <c r="P23444" s="5" t="s">
        <v>355</v>
      </c>
      <c r="Q23444" s="5" t="s">
        <v>355</v>
      </c>
    </row>
    <row r="23445" ht="16.5" customHeight="1">
      <c r="O23445" s="5" t="s">
        <v>355</v>
      </c>
      <c r="P23445" s="5" t="s">
        <v>355</v>
      </c>
      <c r="Q23445" s="5" t="s">
        <v>355</v>
      </c>
    </row>
    <row r="23446" ht="16.5" customHeight="1">
      <c r="O23446" s="5" t="s">
        <v>355</v>
      </c>
      <c r="P23446" s="5" t="s">
        <v>355</v>
      </c>
      <c r="Q23446" s="5" t="s">
        <v>355</v>
      </c>
    </row>
    <row r="23447" ht="16.5" customHeight="1">
      <c r="O23447" s="5" t="s">
        <v>355</v>
      </c>
      <c r="P23447" s="5" t="s">
        <v>355</v>
      </c>
      <c r="Q23447" s="5" t="s">
        <v>355</v>
      </c>
    </row>
    <row r="23448" ht="16.5" customHeight="1">
      <c r="O23448" s="5" t="s">
        <v>355</v>
      </c>
      <c r="P23448" s="5" t="s">
        <v>355</v>
      </c>
      <c r="Q23448" s="5" t="s">
        <v>355</v>
      </c>
    </row>
    <row r="23449" ht="16.5" customHeight="1">
      <c r="O23449" s="5" t="s">
        <v>355</v>
      </c>
      <c r="P23449" s="5" t="s">
        <v>355</v>
      </c>
      <c r="Q23449" s="5" t="s">
        <v>355</v>
      </c>
    </row>
    <row r="23450" ht="16.5" customHeight="1">
      <c r="O23450" s="5" t="s">
        <v>355</v>
      </c>
      <c r="P23450" s="5" t="s">
        <v>355</v>
      </c>
      <c r="Q23450" s="5" t="s">
        <v>355</v>
      </c>
    </row>
    <row r="23451" ht="16.5" customHeight="1">
      <c r="O23451" s="5" t="s">
        <v>355</v>
      </c>
      <c r="P23451" s="5" t="s">
        <v>355</v>
      </c>
      <c r="Q23451" s="5" t="s">
        <v>355</v>
      </c>
    </row>
    <row r="23452" ht="16.5" customHeight="1">
      <c r="O23452" s="5" t="s">
        <v>355</v>
      </c>
      <c r="P23452" s="5" t="s">
        <v>355</v>
      </c>
      <c r="Q23452" s="5" t="s">
        <v>355</v>
      </c>
    </row>
    <row r="23453" ht="16.5" customHeight="1">
      <c r="O23453" s="5" t="s">
        <v>355</v>
      </c>
      <c r="P23453" s="5" t="s">
        <v>355</v>
      </c>
      <c r="Q23453" s="5" t="s">
        <v>355</v>
      </c>
    </row>
    <row r="23454" ht="16.5" customHeight="1">
      <c r="O23454" s="5" t="s">
        <v>355</v>
      </c>
      <c r="P23454" s="5" t="s">
        <v>355</v>
      </c>
      <c r="Q23454" s="5" t="s">
        <v>355</v>
      </c>
    </row>
    <row r="23455" ht="16.5" customHeight="1">
      <c r="O23455" s="5" t="s">
        <v>355</v>
      </c>
      <c r="P23455" s="5" t="s">
        <v>355</v>
      </c>
      <c r="Q23455" s="5" t="s">
        <v>355</v>
      </c>
    </row>
    <row r="23456" ht="16.5" customHeight="1">
      <c r="O23456" s="5" t="s">
        <v>355</v>
      </c>
      <c r="P23456" s="5" t="s">
        <v>355</v>
      </c>
      <c r="Q23456" s="5" t="s">
        <v>355</v>
      </c>
    </row>
    <row r="23457" ht="16.5" customHeight="1">
      <c r="O23457" s="5" t="s">
        <v>355</v>
      </c>
      <c r="P23457" s="5" t="s">
        <v>355</v>
      </c>
      <c r="Q23457" s="5" t="s">
        <v>355</v>
      </c>
    </row>
    <row r="23458" ht="16.5" customHeight="1">
      <c r="O23458" s="5" t="s">
        <v>355</v>
      </c>
      <c r="P23458" s="5" t="s">
        <v>355</v>
      </c>
      <c r="Q23458" s="5" t="s">
        <v>355</v>
      </c>
    </row>
    <row r="23459" ht="16.5" customHeight="1">
      <c r="O23459" s="5" t="s">
        <v>355</v>
      </c>
      <c r="P23459" s="5" t="s">
        <v>355</v>
      </c>
      <c r="Q23459" s="5" t="s">
        <v>355</v>
      </c>
    </row>
    <row r="23460" ht="16.5" customHeight="1">
      <c r="O23460" s="5" t="s">
        <v>355</v>
      </c>
      <c r="P23460" s="5" t="s">
        <v>355</v>
      </c>
      <c r="Q23460" s="5" t="s">
        <v>355</v>
      </c>
    </row>
    <row r="23461" ht="16.5" customHeight="1">
      <c r="O23461" s="5" t="s">
        <v>355</v>
      </c>
      <c r="P23461" s="5" t="s">
        <v>355</v>
      </c>
      <c r="Q23461" s="5" t="s">
        <v>355</v>
      </c>
    </row>
    <row r="23462" ht="16.5" customHeight="1">
      <c r="O23462" s="5" t="s">
        <v>355</v>
      </c>
      <c r="P23462" s="5" t="s">
        <v>355</v>
      </c>
      <c r="Q23462" s="5" t="s">
        <v>355</v>
      </c>
    </row>
    <row r="23463" ht="16.5" customHeight="1">
      <c r="O23463" s="5" t="s">
        <v>355</v>
      </c>
      <c r="P23463" s="5" t="s">
        <v>355</v>
      </c>
      <c r="Q23463" s="5" t="s">
        <v>355</v>
      </c>
    </row>
    <row r="23464" ht="16.5" customHeight="1">
      <c r="O23464" s="5" t="s">
        <v>355</v>
      </c>
      <c r="P23464" s="5" t="s">
        <v>355</v>
      </c>
      <c r="Q23464" s="5" t="s">
        <v>355</v>
      </c>
    </row>
    <row r="23465" ht="16.5" customHeight="1">
      <c r="O23465" s="5" t="s">
        <v>355</v>
      </c>
      <c r="P23465" s="5" t="s">
        <v>355</v>
      </c>
      <c r="Q23465" s="5" t="s">
        <v>355</v>
      </c>
    </row>
    <row r="23466" ht="16.5" customHeight="1">
      <c r="O23466" s="5" t="s">
        <v>355</v>
      </c>
      <c r="P23466" s="5" t="s">
        <v>355</v>
      </c>
      <c r="Q23466" s="5" t="s">
        <v>355</v>
      </c>
    </row>
    <row r="23467" ht="16.5" customHeight="1">
      <c r="O23467" s="5" t="s">
        <v>355</v>
      </c>
      <c r="P23467" s="5" t="s">
        <v>355</v>
      </c>
      <c r="Q23467" s="5" t="s">
        <v>355</v>
      </c>
    </row>
    <row r="23468" ht="16.5" customHeight="1">
      <c r="O23468" s="5" t="s">
        <v>355</v>
      </c>
      <c r="P23468" s="5" t="s">
        <v>355</v>
      </c>
      <c r="Q23468" s="5" t="s">
        <v>355</v>
      </c>
    </row>
    <row r="23469" ht="16.5" customHeight="1">
      <c r="O23469" s="5" t="s">
        <v>355</v>
      </c>
      <c r="P23469" s="5" t="s">
        <v>355</v>
      </c>
      <c r="Q23469" s="5" t="s">
        <v>355</v>
      </c>
    </row>
    <row r="23470" ht="16.5" customHeight="1">
      <c r="O23470" s="5" t="s">
        <v>355</v>
      </c>
      <c r="P23470" s="5" t="s">
        <v>355</v>
      </c>
      <c r="Q23470" s="5" t="s">
        <v>355</v>
      </c>
    </row>
    <row r="23471" ht="16.5" customHeight="1">
      <c r="O23471" s="5" t="s">
        <v>355</v>
      </c>
      <c r="P23471" s="5" t="s">
        <v>355</v>
      </c>
      <c r="Q23471" s="5" t="s">
        <v>355</v>
      </c>
    </row>
    <row r="23472" ht="16.5" customHeight="1">
      <c r="O23472" s="5" t="s">
        <v>355</v>
      </c>
      <c r="P23472" s="5" t="s">
        <v>355</v>
      </c>
      <c r="Q23472" s="5" t="s">
        <v>355</v>
      </c>
    </row>
    <row r="23473" ht="16.5" customHeight="1">
      <c r="O23473" s="5" t="s">
        <v>355</v>
      </c>
      <c r="P23473" s="5" t="s">
        <v>355</v>
      </c>
      <c r="Q23473" s="5" t="s">
        <v>355</v>
      </c>
    </row>
    <row r="23474" ht="16.5" customHeight="1">
      <c r="O23474" s="5" t="s">
        <v>355</v>
      </c>
      <c r="P23474" s="5" t="s">
        <v>355</v>
      </c>
      <c r="Q23474" s="5" t="s">
        <v>355</v>
      </c>
    </row>
    <row r="23475" ht="16.5" customHeight="1">
      <c r="O23475" s="5" t="s">
        <v>355</v>
      </c>
      <c r="P23475" s="5" t="s">
        <v>355</v>
      </c>
      <c r="Q23475" s="5" t="s">
        <v>355</v>
      </c>
    </row>
    <row r="23476" ht="16.5" customHeight="1">
      <c r="O23476" s="5" t="s">
        <v>355</v>
      </c>
      <c r="P23476" s="5" t="s">
        <v>355</v>
      </c>
      <c r="Q23476" s="5" t="s">
        <v>355</v>
      </c>
    </row>
    <row r="23477" ht="16.5" customHeight="1">
      <c r="O23477" s="5" t="s">
        <v>355</v>
      </c>
      <c r="P23477" s="5" t="s">
        <v>355</v>
      </c>
      <c r="Q23477" s="5" t="s">
        <v>355</v>
      </c>
    </row>
    <row r="23478" ht="16.5" customHeight="1">
      <c r="O23478" s="5" t="s">
        <v>355</v>
      </c>
      <c r="P23478" s="5" t="s">
        <v>355</v>
      </c>
      <c r="Q23478" s="5" t="s">
        <v>355</v>
      </c>
    </row>
    <row r="23479" ht="16.5" customHeight="1">
      <c r="O23479" s="5" t="s">
        <v>355</v>
      </c>
      <c r="P23479" s="5" t="s">
        <v>355</v>
      </c>
      <c r="Q23479" s="5" t="s">
        <v>355</v>
      </c>
    </row>
    <row r="23480" ht="16.5" customHeight="1">
      <c r="O23480" s="5" t="s">
        <v>355</v>
      </c>
      <c r="P23480" s="5" t="s">
        <v>355</v>
      </c>
      <c r="Q23480" s="5" t="s">
        <v>355</v>
      </c>
    </row>
    <row r="23481" ht="16.5" customHeight="1">
      <c r="O23481" s="5" t="s">
        <v>355</v>
      </c>
      <c r="P23481" s="5" t="s">
        <v>355</v>
      </c>
      <c r="Q23481" s="5" t="s">
        <v>355</v>
      </c>
    </row>
    <row r="23482" ht="16.5" customHeight="1">
      <c r="O23482" s="5" t="s">
        <v>355</v>
      </c>
      <c r="P23482" s="5" t="s">
        <v>355</v>
      </c>
      <c r="Q23482" s="5" t="s">
        <v>355</v>
      </c>
    </row>
    <row r="23483" ht="16.5" customHeight="1">
      <c r="O23483" s="5" t="s">
        <v>355</v>
      </c>
      <c r="P23483" s="5" t="s">
        <v>355</v>
      </c>
      <c r="Q23483" s="5" t="s">
        <v>355</v>
      </c>
    </row>
    <row r="23484" ht="16.5" customHeight="1">
      <c r="O23484" s="5" t="s">
        <v>355</v>
      </c>
      <c r="P23484" s="5" t="s">
        <v>355</v>
      </c>
      <c r="Q23484" s="5" t="s">
        <v>355</v>
      </c>
    </row>
    <row r="23485" ht="16.5" customHeight="1">
      <c r="O23485" s="5" t="s">
        <v>355</v>
      </c>
      <c r="P23485" s="5" t="s">
        <v>355</v>
      </c>
      <c r="Q23485" s="5" t="s">
        <v>355</v>
      </c>
    </row>
    <row r="23486" ht="16.5" customHeight="1">
      <c r="O23486" s="5" t="s">
        <v>355</v>
      </c>
      <c r="P23486" s="5" t="s">
        <v>355</v>
      </c>
      <c r="Q23486" s="5" t="s">
        <v>355</v>
      </c>
    </row>
    <row r="23487" ht="16.5" customHeight="1">
      <c r="O23487" s="5" t="s">
        <v>355</v>
      </c>
      <c r="P23487" s="5" t="s">
        <v>355</v>
      </c>
      <c r="Q23487" s="5" t="s">
        <v>355</v>
      </c>
    </row>
    <row r="23488" ht="16.5" customHeight="1">
      <c r="O23488" s="5" t="s">
        <v>355</v>
      </c>
      <c r="P23488" s="5" t="s">
        <v>355</v>
      </c>
      <c r="Q23488" s="5" t="s">
        <v>355</v>
      </c>
    </row>
    <row r="23489" ht="16.5" customHeight="1">
      <c r="O23489" s="5" t="s">
        <v>355</v>
      </c>
      <c r="P23489" s="5" t="s">
        <v>355</v>
      </c>
      <c r="Q23489" s="5" t="s">
        <v>355</v>
      </c>
    </row>
    <row r="23490" ht="16.5" customHeight="1">
      <c r="O23490" s="5" t="s">
        <v>355</v>
      </c>
      <c r="P23490" s="5" t="s">
        <v>355</v>
      </c>
      <c r="Q23490" s="5" t="s">
        <v>355</v>
      </c>
    </row>
    <row r="23491" ht="16.5" customHeight="1">
      <c r="O23491" s="5" t="s">
        <v>355</v>
      </c>
      <c r="P23491" s="5" t="s">
        <v>355</v>
      </c>
      <c r="Q23491" s="5" t="s">
        <v>355</v>
      </c>
    </row>
    <row r="23492" ht="16.5" customHeight="1">
      <c r="O23492" s="5" t="s">
        <v>355</v>
      </c>
      <c r="P23492" s="5" t="s">
        <v>355</v>
      </c>
      <c r="Q23492" s="5" t="s">
        <v>355</v>
      </c>
    </row>
    <row r="23493" ht="16.5" customHeight="1">
      <c r="O23493" s="5" t="s">
        <v>355</v>
      </c>
      <c r="P23493" s="5" t="s">
        <v>355</v>
      </c>
      <c r="Q23493" s="5" t="s">
        <v>355</v>
      </c>
    </row>
    <row r="23494" ht="16.5" customHeight="1">
      <c r="O23494" s="5" t="s">
        <v>355</v>
      </c>
      <c r="P23494" s="5" t="s">
        <v>355</v>
      </c>
      <c r="Q23494" s="5" t="s">
        <v>355</v>
      </c>
    </row>
    <row r="23495" ht="16.5" customHeight="1">
      <c r="O23495" s="5" t="s">
        <v>355</v>
      </c>
      <c r="P23495" s="5" t="s">
        <v>355</v>
      </c>
      <c r="Q23495" s="5" t="s">
        <v>355</v>
      </c>
    </row>
    <row r="23496" ht="16.5" customHeight="1">
      <c r="O23496" s="5" t="s">
        <v>355</v>
      </c>
      <c r="P23496" s="5" t="s">
        <v>355</v>
      </c>
      <c r="Q23496" s="5" t="s">
        <v>355</v>
      </c>
    </row>
    <row r="23497" ht="16.5" customHeight="1">
      <c r="O23497" s="5" t="s">
        <v>355</v>
      </c>
      <c r="P23497" s="5" t="s">
        <v>355</v>
      </c>
      <c r="Q23497" s="5" t="s">
        <v>355</v>
      </c>
    </row>
    <row r="23498" ht="16.5" customHeight="1">
      <c r="O23498" s="5" t="s">
        <v>355</v>
      </c>
      <c r="P23498" s="5" t="s">
        <v>355</v>
      </c>
      <c r="Q23498" s="5" t="s">
        <v>355</v>
      </c>
    </row>
    <row r="23499" ht="16.5" customHeight="1">
      <c r="O23499" s="5" t="s">
        <v>355</v>
      </c>
      <c r="P23499" s="5" t="s">
        <v>355</v>
      </c>
      <c r="Q23499" s="5" t="s">
        <v>355</v>
      </c>
    </row>
    <row r="23500" ht="16.5" customHeight="1">
      <c r="O23500" s="5" t="s">
        <v>355</v>
      </c>
      <c r="P23500" s="5" t="s">
        <v>355</v>
      </c>
      <c r="Q23500" s="5" t="s">
        <v>355</v>
      </c>
    </row>
    <row r="23501" ht="16.5" customHeight="1">
      <c r="O23501" s="5" t="s">
        <v>355</v>
      </c>
      <c r="P23501" s="5" t="s">
        <v>355</v>
      </c>
      <c r="Q23501" s="5" t="s">
        <v>355</v>
      </c>
    </row>
    <row r="23502" ht="16.5" customHeight="1">
      <c r="O23502" s="5" t="s">
        <v>355</v>
      </c>
      <c r="P23502" s="5" t="s">
        <v>355</v>
      </c>
      <c r="Q23502" s="5" t="s">
        <v>355</v>
      </c>
    </row>
    <row r="23503" ht="16.5" customHeight="1">
      <c r="O23503" s="5" t="s">
        <v>355</v>
      </c>
      <c r="P23503" s="5" t="s">
        <v>355</v>
      </c>
      <c r="Q23503" s="5" t="s">
        <v>355</v>
      </c>
    </row>
    <row r="23504" ht="16.5" customHeight="1">
      <c r="O23504" s="5" t="s">
        <v>355</v>
      </c>
      <c r="P23504" s="5" t="s">
        <v>355</v>
      </c>
      <c r="Q23504" s="5" t="s">
        <v>355</v>
      </c>
    </row>
    <row r="23505" ht="16.5" customHeight="1">
      <c r="O23505" s="5" t="s">
        <v>355</v>
      </c>
      <c r="P23505" s="5" t="s">
        <v>355</v>
      </c>
      <c r="Q23505" s="5" t="s">
        <v>355</v>
      </c>
    </row>
    <row r="23506" ht="16.5" customHeight="1">
      <c r="O23506" s="5" t="s">
        <v>355</v>
      </c>
      <c r="P23506" s="5" t="s">
        <v>355</v>
      </c>
      <c r="Q23506" s="5" t="s">
        <v>355</v>
      </c>
    </row>
    <row r="23507" ht="16.5" customHeight="1">
      <c r="O23507" s="5" t="s">
        <v>355</v>
      </c>
      <c r="P23507" s="5" t="s">
        <v>355</v>
      </c>
      <c r="Q23507" s="5" t="s">
        <v>355</v>
      </c>
    </row>
    <row r="23508" ht="16.5" customHeight="1">
      <c r="O23508" s="5" t="s">
        <v>355</v>
      </c>
      <c r="P23508" s="5" t="s">
        <v>355</v>
      </c>
      <c r="Q23508" s="5" t="s">
        <v>355</v>
      </c>
    </row>
    <row r="23509" ht="16.5" customHeight="1">
      <c r="O23509" s="5" t="s">
        <v>355</v>
      </c>
      <c r="P23509" s="5" t="s">
        <v>355</v>
      </c>
      <c r="Q23509" s="5" t="s">
        <v>355</v>
      </c>
    </row>
    <row r="23510" ht="16.5" customHeight="1">
      <c r="O23510" s="5" t="s">
        <v>355</v>
      </c>
      <c r="P23510" s="5" t="s">
        <v>355</v>
      </c>
      <c r="Q23510" s="5" t="s">
        <v>355</v>
      </c>
    </row>
    <row r="23511" ht="16.5" customHeight="1">
      <c r="O23511" s="5" t="s">
        <v>355</v>
      </c>
      <c r="P23511" s="5" t="s">
        <v>355</v>
      </c>
      <c r="Q23511" s="5" t="s">
        <v>355</v>
      </c>
    </row>
    <row r="23512" ht="16.5" customHeight="1">
      <c r="O23512" s="5" t="s">
        <v>355</v>
      </c>
      <c r="P23512" s="5" t="s">
        <v>355</v>
      </c>
      <c r="Q23512" s="5" t="s">
        <v>355</v>
      </c>
    </row>
    <row r="23513" ht="16.5" customHeight="1">
      <c r="O23513" s="5" t="s">
        <v>355</v>
      </c>
      <c r="P23513" s="5" t="s">
        <v>355</v>
      </c>
      <c r="Q23513" s="5" t="s">
        <v>355</v>
      </c>
    </row>
    <row r="23514" ht="16.5" customHeight="1">
      <c r="O23514" s="5" t="s">
        <v>355</v>
      </c>
      <c r="P23514" s="5" t="s">
        <v>355</v>
      </c>
      <c r="Q23514" s="5" t="s">
        <v>355</v>
      </c>
    </row>
    <row r="23515" ht="16.5" customHeight="1">
      <c r="O23515" s="5" t="s">
        <v>355</v>
      </c>
      <c r="P23515" s="5" t="s">
        <v>355</v>
      </c>
      <c r="Q23515" s="5" t="s">
        <v>355</v>
      </c>
    </row>
    <row r="23516" ht="16.5" customHeight="1">
      <c r="O23516" s="5" t="s">
        <v>355</v>
      </c>
      <c r="P23516" s="5" t="s">
        <v>355</v>
      </c>
      <c r="Q23516" s="5" t="s">
        <v>355</v>
      </c>
    </row>
    <row r="23517" ht="16.5" customHeight="1">
      <c r="O23517" s="5" t="s">
        <v>355</v>
      </c>
      <c r="P23517" s="5" t="s">
        <v>355</v>
      </c>
      <c r="Q23517" s="5" t="s">
        <v>355</v>
      </c>
    </row>
    <row r="23518" ht="16.5" customHeight="1">
      <c r="O23518" s="5" t="s">
        <v>355</v>
      </c>
      <c r="P23518" s="5" t="s">
        <v>355</v>
      </c>
      <c r="Q23518" s="5" t="s">
        <v>355</v>
      </c>
    </row>
    <row r="23519" ht="16.5" customHeight="1">
      <c r="O23519" s="5" t="s">
        <v>355</v>
      </c>
      <c r="P23519" s="5" t="s">
        <v>355</v>
      </c>
      <c r="Q23519" s="5" t="s">
        <v>355</v>
      </c>
    </row>
    <row r="23520" ht="16.5" customHeight="1">
      <c r="O23520" s="5" t="s">
        <v>355</v>
      </c>
      <c r="P23520" s="5" t="s">
        <v>355</v>
      </c>
      <c r="Q23520" s="5" t="s">
        <v>355</v>
      </c>
    </row>
    <row r="23521" ht="16.5" customHeight="1">
      <c r="O23521" s="5" t="s">
        <v>355</v>
      </c>
      <c r="P23521" s="5" t="s">
        <v>355</v>
      </c>
      <c r="Q23521" s="5" t="s">
        <v>355</v>
      </c>
    </row>
    <row r="23522" ht="16.5" customHeight="1">
      <c r="O23522" s="5" t="s">
        <v>355</v>
      </c>
      <c r="P23522" s="5" t="s">
        <v>355</v>
      </c>
      <c r="Q23522" s="5" t="s">
        <v>355</v>
      </c>
    </row>
    <row r="23523" ht="16.5" customHeight="1">
      <c r="O23523" s="5" t="s">
        <v>355</v>
      </c>
      <c r="P23523" s="5" t="s">
        <v>355</v>
      </c>
      <c r="Q23523" s="5" t="s">
        <v>355</v>
      </c>
    </row>
    <row r="23524" ht="16.5" customHeight="1">
      <c r="O23524" s="5" t="s">
        <v>355</v>
      </c>
      <c r="P23524" s="5" t="s">
        <v>355</v>
      </c>
      <c r="Q23524" s="5" t="s">
        <v>355</v>
      </c>
    </row>
    <row r="23525" ht="16.5" customHeight="1">
      <c r="O23525" s="5" t="s">
        <v>355</v>
      </c>
      <c r="P23525" s="5" t="s">
        <v>355</v>
      </c>
      <c r="Q23525" s="5" t="s">
        <v>355</v>
      </c>
    </row>
    <row r="23526" ht="16.5" customHeight="1">
      <c r="O23526" s="5" t="s">
        <v>355</v>
      </c>
      <c r="P23526" s="5" t="s">
        <v>355</v>
      </c>
      <c r="Q23526" s="5" t="s">
        <v>355</v>
      </c>
    </row>
    <row r="23527" ht="16.5" customHeight="1">
      <c r="O23527" s="5" t="s">
        <v>355</v>
      </c>
      <c r="P23527" s="5" t="s">
        <v>355</v>
      </c>
      <c r="Q23527" s="5" t="s">
        <v>355</v>
      </c>
    </row>
    <row r="23528" ht="16.5" customHeight="1">
      <c r="O23528" s="5" t="s">
        <v>355</v>
      </c>
      <c r="P23528" s="5" t="s">
        <v>355</v>
      </c>
      <c r="Q23528" s="5" t="s">
        <v>355</v>
      </c>
    </row>
    <row r="23529" ht="16.5" customHeight="1">
      <c r="O23529" s="5" t="s">
        <v>355</v>
      </c>
      <c r="P23529" s="5" t="s">
        <v>355</v>
      </c>
      <c r="Q23529" s="5" t="s">
        <v>355</v>
      </c>
    </row>
    <row r="23530" ht="16.5" customHeight="1">
      <c r="O23530" s="5" t="s">
        <v>355</v>
      </c>
      <c r="P23530" s="5" t="s">
        <v>355</v>
      </c>
      <c r="Q23530" s="5" t="s">
        <v>355</v>
      </c>
    </row>
    <row r="23531" ht="16.5" customHeight="1">
      <c r="O23531" s="5" t="s">
        <v>355</v>
      </c>
      <c r="P23531" s="5" t="s">
        <v>355</v>
      </c>
      <c r="Q23531" s="5" t="s">
        <v>355</v>
      </c>
    </row>
    <row r="23532" ht="16.5" customHeight="1">
      <c r="O23532" s="5" t="s">
        <v>355</v>
      </c>
      <c r="P23532" s="5" t="s">
        <v>355</v>
      </c>
      <c r="Q23532" s="5" t="s">
        <v>355</v>
      </c>
    </row>
    <row r="23533" ht="16.5" customHeight="1">
      <c r="O23533" s="5" t="s">
        <v>355</v>
      </c>
      <c r="P23533" s="5" t="s">
        <v>355</v>
      </c>
      <c r="Q23533" s="5" t="s">
        <v>355</v>
      </c>
    </row>
    <row r="23534" ht="16.5" customHeight="1">
      <c r="O23534" s="5" t="s">
        <v>355</v>
      </c>
      <c r="P23534" s="5" t="s">
        <v>355</v>
      </c>
      <c r="Q23534" s="5" t="s">
        <v>355</v>
      </c>
    </row>
    <row r="23535" ht="16.5" customHeight="1">
      <c r="O23535" s="5" t="s">
        <v>355</v>
      </c>
      <c r="P23535" s="5" t="s">
        <v>355</v>
      </c>
      <c r="Q23535" s="5" t="s">
        <v>355</v>
      </c>
    </row>
    <row r="23536" ht="16.5" customHeight="1">
      <c r="O23536" s="5" t="s">
        <v>355</v>
      </c>
      <c r="P23536" s="5" t="s">
        <v>355</v>
      </c>
      <c r="Q23536" s="5" t="s">
        <v>355</v>
      </c>
    </row>
    <row r="23537" ht="16.5" customHeight="1">
      <c r="O23537" s="5" t="s">
        <v>355</v>
      </c>
      <c r="P23537" s="5" t="s">
        <v>355</v>
      </c>
      <c r="Q23537" s="5" t="s">
        <v>355</v>
      </c>
    </row>
    <row r="23538" ht="16.5" customHeight="1">
      <c r="O23538" s="5" t="s">
        <v>355</v>
      </c>
      <c r="P23538" s="5" t="s">
        <v>355</v>
      </c>
      <c r="Q23538" s="5" t="s">
        <v>355</v>
      </c>
    </row>
    <row r="23539" ht="16.5" customHeight="1">
      <c r="O23539" s="5" t="s">
        <v>355</v>
      </c>
      <c r="P23539" s="5" t="s">
        <v>355</v>
      </c>
      <c r="Q23539" s="5" t="s">
        <v>355</v>
      </c>
    </row>
    <row r="23540" ht="16.5" customHeight="1">
      <c r="O23540" s="5" t="s">
        <v>355</v>
      </c>
      <c r="P23540" s="5" t="s">
        <v>355</v>
      </c>
      <c r="Q23540" s="5" t="s">
        <v>355</v>
      </c>
    </row>
    <row r="23541" ht="16.5" customHeight="1">
      <c r="O23541" s="5" t="s">
        <v>355</v>
      </c>
      <c r="P23541" s="5" t="s">
        <v>355</v>
      </c>
      <c r="Q23541" s="5" t="s">
        <v>355</v>
      </c>
    </row>
    <row r="23542" ht="16.5" customHeight="1">
      <c r="O23542" s="5" t="s">
        <v>355</v>
      </c>
      <c r="P23542" s="5" t="s">
        <v>355</v>
      </c>
      <c r="Q23542" s="5" t="s">
        <v>355</v>
      </c>
    </row>
    <row r="23543" ht="16.5" customHeight="1">
      <c r="O23543" s="5" t="s">
        <v>355</v>
      </c>
      <c r="P23543" s="5" t="s">
        <v>355</v>
      </c>
      <c r="Q23543" s="5" t="s">
        <v>355</v>
      </c>
    </row>
    <row r="23544" ht="16.5" customHeight="1">
      <c r="O23544" s="5" t="s">
        <v>355</v>
      </c>
      <c r="P23544" s="5" t="s">
        <v>355</v>
      </c>
      <c r="Q23544" s="5" t="s">
        <v>355</v>
      </c>
    </row>
    <row r="23545" ht="16.5" customHeight="1">
      <c r="O23545" s="5" t="s">
        <v>355</v>
      </c>
      <c r="P23545" s="5" t="s">
        <v>355</v>
      </c>
      <c r="Q23545" s="5" t="s">
        <v>355</v>
      </c>
    </row>
    <row r="23546" ht="16.5" customHeight="1">
      <c r="O23546" s="5" t="s">
        <v>355</v>
      </c>
      <c r="P23546" s="5" t="s">
        <v>355</v>
      </c>
      <c r="Q23546" s="5" t="s">
        <v>355</v>
      </c>
    </row>
    <row r="23547" ht="16.5" customHeight="1">
      <c r="O23547" s="5" t="s">
        <v>355</v>
      </c>
      <c r="P23547" s="5" t="s">
        <v>355</v>
      </c>
      <c r="Q23547" s="5" t="s">
        <v>355</v>
      </c>
    </row>
    <row r="23548" ht="16.5" customHeight="1">
      <c r="O23548" s="5" t="s">
        <v>355</v>
      </c>
      <c r="P23548" s="5" t="s">
        <v>355</v>
      </c>
      <c r="Q23548" s="5" t="s">
        <v>355</v>
      </c>
    </row>
    <row r="23549" ht="16.5" customHeight="1">
      <c r="O23549" s="5" t="s">
        <v>355</v>
      </c>
      <c r="P23549" s="5" t="s">
        <v>355</v>
      </c>
      <c r="Q23549" s="5" t="s">
        <v>355</v>
      </c>
    </row>
    <row r="23550" ht="16.5" customHeight="1">
      <c r="O23550" s="5" t="s">
        <v>355</v>
      </c>
      <c r="P23550" s="5" t="s">
        <v>355</v>
      </c>
      <c r="Q23550" s="5" t="s">
        <v>355</v>
      </c>
    </row>
    <row r="23551" ht="16.5" customHeight="1">
      <c r="O23551" s="5" t="s">
        <v>355</v>
      </c>
      <c r="P23551" s="5" t="s">
        <v>355</v>
      </c>
      <c r="Q23551" s="5" t="s">
        <v>355</v>
      </c>
    </row>
    <row r="23552" ht="16.5" customHeight="1">
      <c r="O23552" s="5" t="s">
        <v>355</v>
      </c>
      <c r="P23552" s="5" t="s">
        <v>355</v>
      </c>
      <c r="Q23552" s="5" t="s">
        <v>355</v>
      </c>
    </row>
    <row r="23553" ht="16.5" customHeight="1">
      <c r="O23553" s="5" t="s">
        <v>355</v>
      </c>
      <c r="P23553" s="5" t="s">
        <v>355</v>
      </c>
      <c r="Q23553" s="5" t="s">
        <v>355</v>
      </c>
    </row>
    <row r="23554" ht="16.5" customHeight="1">
      <c r="O23554" s="5" t="s">
        <v>355</v>
      </c>
      <c r="P23554" s="5" t="s">
        <v>355</v>
      </c>
      <c r="Q23554" s="5" t="s">
        <v>355</v>
      </c>
    </row>
    <row r="23555" ht="16.5" customHeight="1">
      <c r="O23555" s="5" t="s">
        <v>355</v>
      </c>
      <c r="P23555" s="5" t="s">
        <v>355</v>
      </c>
      <c r="Q23555" s="5" t="s">
        <v>355</v>
      </c>
    </row>
    <row r="23556" ht="16.5" customHeight="1">
      <c r="O23556" s="5" t="s">
        <v>355</v>
      </c>
      <c r="P23556" s="5" t="s">
        <v>355</v>
      </c>
      <c r="Q23556" s="5" t="s">
        <v>355</v>
      </c>
    </row>
    <row r="23557" ht="16.5" customHeight="1">
      <c r="O23557" s="5" t="s">
        <v>355</v>
      </c>
      <c r="P23557" s="5" t="s">
        <v>355</v>
      </c>
      <c r="Q23557" s="5" t="s">
        <v>355</v>
      </c>
    </row>
    <row r="23558" ht="16.5" customHeight="1">
      <c r="O23558" s="5" t="s">
        <v>355</v>
      </c>
      <c r="P23558" s="5" t="s">
        <v>355</v>
      </c>
      <c r="Q23558" s="5" t="s">
        <v>355</v>
      </c>
    </row>
    <row r="23559" ht="16.5" customHeight="1">
      <c r="O23559" s="5" t="s">
        <v>355</v>
      </c>
      <c r="P23559" s="5" t="s">
        <v>355</v>
      </c>
      <c r="Q23559" s="5" t="s">
        <v>355</v>
      </c>
    </row>
    <row r="23560" ht="16.5" customHeight="1">
      <c r="O23560" s="5" t="s">
        <v>355</v>
      </c>
      <c r="P23560" s="5" t="s">
        <v>355</v>
      </c>
      <c r="Q23560" s="5" t="s">
        <v>355</v>
      </c>
    </row>
    <row r="23561" ht="16.5" customHeight="1">
      <c r="O23561" s="5" t="s">
        <v>355</v>
      </c>
      <c r="P23561" s="5" t="s">
        <v>355</v>
      </c>
      <c r="Q23561" s="5" t="s">
        <v>355</v>
      </c>
    </row>
    <row r="23562" ht="16.5" customHeight="1">
      <c r="O23562" s="5" t="s">
        <v>355</v>
      </c>
      <c r="P23562" s="5" t="s">
        <v>355</v>
      </c>
      <c r="Q23562" s="5" t="s">
        <v>355</v>
      </c>
    </row>
    <row r="23563" ht="16.5" customHeight="1">
      <c r="O23563" s="5" t="s">
        <v>355</v>
      </c>
      <c r="P23563" s="5" t="s">
        <v>355</v>
      </c>
      <c r="Q23563" s="5" t="s">
        <v>355</v>
      </c>
    </row>
    <row r="23564" ht="16.5" customHeight="1">
      <c r="O23564" s="5" t="s">
        <v>355</v>
      </c>
      <c r="P23564" s="5" t="s">
        <v>355</v>
      </c>
      <c r="Q23564" s="5" t="s">
        <v>355</v>
      </c>
    </row>
    <row r="23565" ht="16.5" customHeight="1">
      <c r="O23565" s="5" t="s">
        <v>355</v>
      </c>
      <c r="P23565" s="5" t="s">
        <v>355</v>
      </c>
      <c r="Q23565" s="5" t="s">
        <v>355</v>
      </c>
    </row>
    <row r="23566" ht="16.5" customHeight="1">
      <c r="O23566" s="5" t="s">
        <v>355</v>
      </c>
      <c r="P23566" s="5" t="s">
        <v>355</v>
      </c>
      <c r="Q23566" s="5" t="s">
        <v>355</v>
      </c>
    </row>
    <row r="23567" ht="16.5" customHeight="1">
      <c r="O23567" s="5" t="s">
        <v>355</v>
      </c>
      <c r="P23567" s="5" t="s">
        <v>355</v>
      </c>
      <c r="Q23567" s="5" t="s">
        <v>355</v>
      </c>
    </row>
    <row r="23568" ht="16.5" customHeight="1">
      <c r="O23568" s="5" t="s">
        <v>355</v>
      </c>
      <c r="P23568" s="5" t="s">
        <v>355</v>
      </c>
      <c r="Q23568" s="5" t="s">
        <v>355</v>
      </c>
    </row>
    <row r="23569" ht="16.5" customHeight="1">
      <c r="O23569" s="5" t="s">
        <v>355</v>
      </c>
      <c r="P23569" s="5" t="s">
        <v>355</v>
      </c>
      <c r="Q23569" s="5" t="s">
        <v>355</v>
      </c>
    </row>
    <row r="23570" ht="16.5" customHeight="1">
      <c r="O23570" s="5" t="s">
        <v>355</v>
      </c>
      <c r="P23570" s="5" t="s">
        <v>355</v>
      </c>
      <c r="Q23570" s="5" t="s">
        <v>355</v>
      </c>
    </row>
    <row r="23571" ht="16.5" customHeight="1">
      <c r="O23571" s="5" t="s">
        <v>355</v>
      </c>
      <c r="P23571" s="5" t="s">
        <v>355</v>
      </c>
      <c r="Q23571" s="5" t="s">
        <v>355</v>
      </c>
    </row>
    <row r="23572" ht="16.5" customHeight="1">
      <c r="O23572" s="5" t="s">
        <v>355</v>
      </c>
      <c r="P23572" s="5" t="s">
        <v>355</v>
      </c>
      <c r="Q23572" s="5" t="s">
        <v>355</v>
      </c>
    </row>
    <row r="23573" ht="16.5" customHeight="1">
      <c r="O23573" s="5" t="s">
        <v>355</v>
      </c>
      <c r="P23573" s="5" t="s">
        <v>355</v>
      </c>
      <c r="Q23573" s="5" t="s">
        <v>355</v>
      </c>
    </row>
    <row r="23574" ht="16.5" customHeight="1">
      <c r="O23574" s="5" t="s">
        <v>355</v>
      </c>
      <c r="P23574" s="5" t="s">
        <v>355</v>
      </c>
      <c r="Q23574" s="5" t="s">
        <v>355</v>
      </c>
    </row>
    <row r="23575" ht="16.5" customHeight="1">
      <c r="O23575" s="5" t="s">
        <v>355</v>
      </c>
      <c r="P23575" s="5" t="s">
        <v>355</v>
      </c>
      <c r="Q23575" s="5" t="s">
        <v>355</v>
      </c>
    </row>
    <row r="23576" ht="16.5" customHeight="1">
      <c r="O23576" s="5" t="s">
        <v>355</v>
      </c>
      <c r="P23576" s="5" t="s">
        <v>355</v>
      </c>
      <c r="Q23576" s="5" t="s">
        <v>355</v>
      </c>
    </row>
    <row r="23577" ht="16.5" customHeight="1">
      <c r="O23577" s="5" t="s">
        <v>355</v>
      </c>
      <c r="P23577" s="5" t="s">
        <v>355</v>
      </c>
      <c r="Q23577" s="5" t="s">
        <v>355</v>
      </c>
    </row>
    <row r="23578" ht="16.5" customHeight="1">
      <c r="O23578" s="5" t="s">
        <v>355</v>
      </c>
      <c r="P23578" s="5" t="s">
        <v>355</v>
      </c>
      <c r="Q23578" s="5" t="s">
        <v>355</v>
      </c>
    </row>
    <row r="23579" ht="16.5" customHeight="1">
      <c r="O23579" s="5" t="s">
        <v>355</v>
      </c>
      <c r="P23579" s="5" t="s">
        <v>355</v>
      </c>
      <c r="Q23579" s="5" t="s">
        <v>355</v>
      </c>
    </row>
    <row r="23580" ht="16.5" customHeight="1">
      <c r="O23580" s="5" t="s">
        <v>355</v>
      </c>
      <c r="P23580" s="5" t="s">
        <v>355</v>
      </c>
      <c r="Q23580" s="5" t="s">
        <v>355</v>
      </c>
    </row>
    <row r="23581" ht="16.5" customHeight="1">
      <c r="O23581" s="5" t="s">
        <v>355</v>
      </c>
      <c r="P23581" s="5" t="s">
        <v>355</v>
      </c>
      <c r="Q23581" s="5" t="s">
        <v>355</v>
      </c>
    </row>
    <row r="23582" ht="16.5" customHeight="1">
      <c r="O23582" s="5" t="s">
        <v>355</v>
      </c>
      <c r="P23582" s="5" t="s">
        <v>355</v>
      </c>
      <c r="Q23582" s="5" t="s">
        <v>355</v>
      </c>
    </row>
    <row r="23583" ht="16.5" customHeight="1">
      <c r="O23583" s="5" t="s">
        <v>355</v>
      </c>
      <c r="P23583" s="5" t="s">
        <v>355</v>
      </c>
      <c r="Q23583" s="5" t="s">
        <v>355</v>
      </c>
    </row>
    <row r="23584" ht="16.5" customHeight="1">
      <c r="O23584" s="5" t="s">
        <v>355</v>
      </c>
      <c r="P23584" s="5" t="s">
        <v>355</v>
      </c>
      <c r="Q23584" s="5" t="s">
        <v>355</v>
      </c>
    </row>
    <row r="23585" ht="16.5" customHeight="1">
      <c r="O23585" s="5" t="s">
        <v>355</v>
      </c>
      <c r="P23585" s="5" t="s">
        <v>355</v>
      </c>
      <c r="Q23585" s="5" t="s">
        <v>355</v>
      </c>
    </row>
    <row r="23586" ht="16.5" customHeight="1">
      <c r="O23586" s="5" t="s">
        <v>355</v>
      </c>
      <c r="P23586" s="5" t="s">
        <v>355</v>
      </c>
      <c r="Q23586" s="5" t="s">
        <v>355</v>
      </c>
    </row>
    <row r="23587" ht="16.5" customHeight="1">
      <c r="O23587" s="5" t="s">
        <v>355</v>
      </c>
      <c r="P23587" s="5" t="s">
        <v>355</v>
      </c>
      <c r="Q23587" s="5" t="s">
        <v>355</v>
      </c>
    </row>
    <row r="23588" ht="16.5" customHeight="1">
      <c r="O23588" s="5" t="s">
        <v>355</v>
      </c>
      <c r="P23588" s="5" t="s">
        <v>355</v>
      </c>
      <c r="Q23588" s="5" t="s">
        <v>355</v>
      </c>
    </row>
    <row r="23589" ht="16.5" customHeight="1">
      <c r="O23589" s="5" t="s">
        <v>355</v>
      </c>
      <c r="P23589" s="5" t="s">
        <v>355</v>
      </c>
      <c r="Q23589" s="5" t="s">
        <v>355</v>
      </c>
    </row>
    <row r="23590" ht="16.5" customHeight="1">
      <c r="O23590" s="5" t="s">
        <v>355</v>
      </c>
      <c r="P23590" s="5" t="s">
        <v>355</v>
      </c>
      <c r="Q23590" s="5" t="s">
        <v>355</v>
      </c>
    </row>
    <row r="23591" ht="16.5" customHeight="1">
      <c r="O23591" s="5" t="s">
        <v>355</v>
      </c>
      <c r="P23591" s="5" t="s">
        <v>355</v>
      </c>
      <c r="Q23591" s="5" t="s">
        <v>355</v>
      </c>
    </row>
    <row r="23592" ht="16.5" customHeight="1">
      <c r="O23592" s="5" t="s">
        <v>355</v>
      </c>
      <c r="P23592" s="5" t="s">
        <v>355</v>
      </c>
      <c r="Q23592" s="5" t="s">
        <v>355</v>
      </c>
    </row>
    <row r="23593" ht="16.5" customHeight="1">
      <c r="O23593" s="5" t="s">
        <v>355</v>
      </c>
      <c r="P23593" s="5" t="s">
        <v>355</v>
      </c>
      <c r="Q23593" s="5" t="s">
        <v>355</v>
      </c>
    </row>
    <row r="23594" ht="16.5" customHeight="1">
      <c r="O23594" s="5" t="s">
        <v>355</v>
      </c>
      <c r="P23594" s="5" t="s">
        <v>355</v>
      </c>
      <c r="Q23594" s="5" t="s">
        <v>355</v>
      </c>
    </row>
    <row r="23595" ht="16.5" customHeight="1">
      <c r="O23595" s="5" t="s">
        <v>355</v>
      </c>
      <c r="P23595" s="5" t="s">
        <v>355</v>
      </c>
      <c r="Q23595" s="5" t="s">
        <v>355</v>
      </c>
    </row>
    <row r="23596" ht="16.5" customHeight="1">
      <c r="O23596" s="5" t="s">
        <v>355</v>
      </c>
      <c r="P23596" s="5" t="s">
        <v>355</v>
      </c>
      <c r="Q23596" s="5" t="s">
        <v>355</v>
      </c>
    </row>
    <row r="23597" ht="16.5" customHeight="1">
      <c r="O23597" s="5" t="s">
        <v>355</v>
      </c>
      <c r="P23597" s="5" t="s">
        <v>355</v>
      </c>
      <c r="Q23597" s="5" t="s">
        <v>355</v>
      </c>
    </row>
    <row r="23598" ht="16.5" customHeight="1">
      <c r="O23598" s="5" t="s">
        <v>355</v>
      </c>
      <c r="P23598" s="5" t="s">
        <v>355</v>
      </c>
      <c r="Q23598" s="5" t="s">
        <v>355</v>
      </c>
    </row>
    <row r="23599" ht="16.5" customHeight="1">
      <c r="O23599" s="5" t="s">
        <v>355</v>
      </c>
      <c r="P23599" s="5" t="s">
        <v>355</v>
      </c>
      <c r="Q23599" s="5" t="s">
        <v>355</v>
      </c>
    </row>
    <row r="23600" ht="16.5" customHeight="1">
      <c r="O23600" s="5" t="s">
        <v>355</v>
      </c>
      <c r="P23600" s="5" t="s">
        <v>355</v>
      </c>
      <c r="Q23600" s="5" t="s">
        <v>355</v>
      </c>
    </row>
    <row r="23601" ht="16.5" customHeight="1">
      <c r="O23601" s="5" t="s">
        <v>355</v>
      </c>
      <c r="P23601" s="5" t="s">
        <v>355</v>
      </c>
      <c r="Q23601" s="5" t="s">
        <v>355</v>
      </c>
    </row>
    <row r="23602" ht="16.5" customHeight="1">
      <c r="O23602" s="5" t="s">
        <v>355</v>
      </c>
      <c r="P23602" s="5" t="s">
        <v>355</v>
      </c>
      <c r="Q23602" s="5" t="s">
        <v>355</v>
      </c>
    </row>
    <row r="23603" ht="16.5" customHeight="1">
      <c r="O23603" s="5" t="s">
        <v>355</v>
      </c>
      <c r="P23603" s="5" t="s">
        <v>355</v>
      </c>
      <c r="Q23603" s="5" t="s">
        <v>355</v>
      </c>
    </row>
    <row r="23604" ht="16.5" customHeight="1">
      <c r="O23604" s="5" t="s">
        <v>355</v>
      </c>
      <c r="P23604" s="5" t="s">
        <v>355</v>
      </c>
      <c r="Q23604" s="5" t="s">
        <v>355</v>
      </c>
    </row>
    <row r="23605" ht="16.5" customHeight="1">
      <c r="O23605" s="5" t="s">
        <v>355</v>
      </c>
      <c r="P23605" s="5" t="s">
        <v>355</v>
      </c>
      <c r="Q23605" s="5" t="s">
        <v>355</v>
      </c>
    </row>
    <row r="23606" ht="16.5" customHeight="1">
      <c r="O23606" s="5" t="s">
        <v>355</v>
      </c>
      <c r="P23606" s="5" t="s">
        <v>355</v>
      </c>
      <c r="Q23606" s="5" t="s">
        <v>355</v>
      </c>
    </row>
    <row r="23607" ht="16.5" customHeight="1">
      <c r="O23607" s="5" t="s">
        <v>355</v>
      </c>
      <c r="P23607" s="5" t="s">
        <v>355</v>
      </c>
      <c r="Q23607" s="5" t="s">
        <v>355</v>
      </c>
    </row>
    <row r="23608" ht="16.5" customHeight="1">
      <c r="O23608" s="5" t="s">
        <v>355</v>
      </c>
      <c r="P23608" s="5" t="s">
        <v>355</v>
      </c>
      <c r="Q23608" s="5" t="s">
        <v>355</v>
      </c>
    </row>
    <row r="23609" ht="16.5" customHeight="1">
      <c r="O23609" s="5" t="s">
        <v>355</v>
      </c>
      <c r="P23609" s="5" t="s">
        <v>355</v>
      </c>
      <c r="Q23609" s="5" t="s">
        <v>355</v>
      </c>
    </row>
    <row r="23610" ht="16.5" customHeight="1">
      <c r="O23610" s="5" t="s">
        <v>355</v>
      </c>
      <c r="P23610" s="5" t="s">
        <v>355</v>
      </c>
      <c r="Q23610" s="5" t="s">
        <v>355</v>
      </c>
    </row>
    <row r="23611" ht="16.5" customHeight="1">
      <c r="O23611" s="5" t="s">
        <v>355</v>
      </c>
      <c r="P23611" s="5" t="s">
        <v>355</v>
      </c>
      <c r="Q23611" s="5" t="s">
        <v>355</v>
      </c>
    </row>
    <row r="23612" ht="16.5" customHeight="1">
      <c r="O23612" s="5" t="s">
        <v>355</v>
      </c>
      <c r="P23612" s="5" t="s">
        <v>355</v>
      </c>
      <c r="Q23612" s="5" t="s">
        <v>355</v>
      </c>
    </row>
    <row r="23613" ht="16.5" customHeight="1">
      <c r="O23613" s="5" t="s">
        <v>355</v>
      </c>
      <c r="P23613" s="5" t="s">
        <v>355</v>
      </c>
      <c r="Q23613" s="5" t="s">
        <v>355</v>
      </c>
    </row>
    <row r="23614" ht="16.5" customHeight="1">
      <c r="O23614" s="5" t="s">
        <v>355</v>
      </c>
      <c r="P23614" s="5" t="s">
        <v>355</v>
      </c>
      <c r="Q23614" s="5" t="s">
        <v>355</v>
      </c>
    </row>
    <row r="23615" ht="16.5" customHeight="1">
      <c r="O23615" s="5" t="s">
        <v>355</v>
      </c>
      <c r="P23615" s="5" t="s">
        <v>355</v>
      </c>
      <c r="Q23615" s="5" t="s">
        <v>355</v>
      </c>
    </row>
    <row r="23616" ht="16.5" customHeight="1">
      <c r="O23616" s="5" t="s">
        <v>355</v>
      </c>
      <c r="P23616" s="5" t="s">
        <v>355</v>
      </c>
      <c r="Q23616" s="5" t="s">
        <v>355</v>
      </c>
    </row>
    <row r="23617" ht="16.5" customHeight="1">
      <c r="O23617" s="5" t="s">
        <v>355</v>
      </c>
      <c r="P23617" s="5" t="s">
        <v>355</v>
      </c>
      <c r="Q23617" s="5" t="s">
        <v>355</v>
      </c>
    </row>
    <row r="23618" ht="16.5" customHeight="1">
      <c r="O23618" s="5" t="s">
        <v>355</v>
      </c>
      <c r="P23618" s="5" t="s">
        <v>355</v>
      </c>
      <c r="Q23618" s="5" t="s">
        <v>355</v>
      </c>
    </row>
    <row r="23619" ht="16.5" customHeight="1">
      <c r="O23619" s="5" t="s">
        <v>355</v>
      </c>
      <c r="P23619" s="5" t="s">
        <v>355</v>
      </c>
      <c r="Q23619" s="5" t="s">
        <v>355</v>
      </c>
    </row>
    <row r="23620" ht="16.5" customHeight="1">
      <c r="O23620" s="5" t="s">
        <v>355</v>
      </c>
      <c r="P23620" s="5" t="s">
        <v>355</v>
      </c>
      <c r="Q23620" s="5" t="s">
        <v>355</v>
      </c>
    </row>
    <row r="23621" ht="16.5" customHeight="1">
      <c r="O23621" s="5" t="s">
        <v>355</v>
      </c>
      <c r="P23621" s="5" t="s">
        <v>355</v>
      </c>
      <c r="Q23621" s="5" t="s">
        <v>355</v>
      </c>
    </row>
    <row r="23622" ht="16.5" customHeight="1">
      <c r="O23622" s="5" t="s">
        <v>355</v>
      </c>
      <c r="P23622" s="5" t="s">
        <v>355</v>
      </c>
      <c r="Q23622" s="5" t="s">
        <v>355</v>
      </c>
    </row>
    <row r="23623" ht="16.5" customHeight="1">
      <c r="O23623" s="5" t="s">
        <v>355</v>
      </c>
      <c r="P23623" s="5" t="s">
        <v>355</v>
      </c>
      <c r="Q23623" s="5" t="s">
        <v>355</v>
      </c>
    </row>
    <row r="23624" ht="16.5" customHeight="1">
      <c r="O23624" s="5" t="s">
        <v>355</v>
      </c>
      <c r="P23624" s="5" t="s">
        <v>355</v>
      </c>
      <c r="Q23624" s="5" t="s">
        <v>355</v>
      </c>
    </row>
    <row r="23625" ht="16.5" customHeight="1">
      <c r="O23625" s="5" t="s">
        <v>355</v>
      </c>
      <c r="P23625" s="5" t="s">
        <v>355</v>
      </c>
      <c r="Q23625" s="5" t="s">
        <v>355</v>
      </c>
    </row>
    <row r="23626" ht="16.5" customHeight="1">
      <c r="O23626" s="5" t="s">
        <v>355</v>
      </c>
      <c r="P23626" s="5" t="s">
        <v>355</v>
      </c>
      <c r="Q23626" s="5" t="s">
        <v>355</v>
      </c>
    </row>
    <row r="23627" ht="16.5" customHeight="1">
      <c r="O23627" s="5" t="s">
        <v>355</v>
      </c>
      <c r="P23627" s="5" t="s">
        <v>355</v>
      </c>
      <c r="Q23627" s="5" t="s">
        <v>355</v>
      </c>
    </row>
    <row r="23628" ht="16.5" customHeight="1">
      <c r="O23628" s="5" t="s">
        <v>355</v>
      </c>
      <c r="P23628" s="5" t="s">
        <v>355</v>
      </c>
      <c r="Q23628" s="5" t="s">
        <v>355</v>
      </c>
    </row>
    <row r="23629" ht="16.5" customHeight="1">
      <c r="O23629" s="5" t="s">
        <v>355</v>
      </c>
      <c r="P23629" s="5" t="s">
        <v>355</v>
      </c>
      <c r="Q23629" s="5" t="s">
        <v>355</v>
      </c>
    </row>
    <row r="23630" ht="16.5" customHeight="1">
      <c r="O23630" s="5" t="s">
        <v>355</v>
      </c>
      <c r="P23630" s="5" t="s">
        <v>355</v>
      </c>
      <c r="Q23630" s="5" t="s">
        <v>355</v>
      </c>
    </row>
    <row r="23631" ht="16.5" customHeight="1">
      <c r="O23631" s="5" t="s">
        <v>355</v>
      </c>
      <c r="P23631" s="5" t="s">
        <v>355</v>
      </c>
      <c r="Q23631" s="5" t="s">
        <v>355</v>
      </c>
    </row>
    <row r="23632" ht="16.5" customHeight="1">
      <c r="O23632" s="5" t="s">
        <v>355</v>
      </c>
      <c r="P23632" s="5" t="s">
        <v>355</v>
      </c>
      <c r="Q23632" s="5" t="s">
        <v>355</v>
      </c>
    </row>
    <row r="23633" ht="16.5" customHeight="1">
      <c r="O23633" s="5" t="s">
        <v>355</v>
      </c>
      <c r="P23633" s="5" t="s">
        <v>355</v>
      </c>
      <c r="Q23633" s="5" t="s">
        <v>355</v>
      </c>
    </row>
    <row r="23634" ht="16.5" customHeight="1">
      <c r="O23634" s="5" t="s">
        <v>355</v>
      </c>
      <c r="P23634" s="5" t="s">
        <v>355</v>
      </c>
      <c r="Q23634" s="5" t="s">
        <v>355</v>
      </c>
    </row>
    <row r="23635" ht="16.5" customHeight="1">
      <c r="O23635" s="5" t="s">
        <v>355</v>
      </c>
      <c r="P23635" s="5" t="s">
        <v>355</v>
      </c>
      <c r="Q23635" s="5" t="s">
        <v>355</v>
      </c>
    </row>
    <row r="23636" ht="16.5" customHeight="1">
      <c r="O23636" s="5" t="s">
        <v>355</v>
      </c>
      <c r="P23636" s="5" t="s">
        <v>355</v>
      </c>
      <c r="Q23636" s="5" t="s">
        <v>355</v>
      </c>
    </row>
    <row r="23637" ht="16.5" customHeight="1">
      <c r="O23637" s="5" t="s">
        <v>355</v>
      </c>
      <c r="P23637" s="5" t="s">
        <v>355</v>
      </c>
      <c r="Q23637" s="5" t="s">
        <v>355</v>
      </c>
    </row>
    <row r="23638" ht="16.5" customHeight="1">
      <c r="O23638" s="5" t="s">
        <v>355</v>
      </c>
      <c r="P23638" s="5" t="s">
        <v>355</v>
      </c>
      <c r="Q23638" s="5" t="s">
        <v>355</v>
      </c>
    </row>
    <row r="23639" ht="16.5" customHeight="1">
      <c r="O23639" s="5" t="s">
        <v>355</v>
      </c>
      <c r="P23639" s="5" t="s">
        <v>355</v>
      </c>
      <c r="Q23639" s="5" t="s">
        <v>355</v>
      </c>
    </row>
    <row r="23640" ht="16.5" customHeight="1">
      <c r="O23640" s="5" t="s">
        <v>355</v>
      </c>
      <c r="P23640" s="5" t="s">
        <v>355</v>
      </c>
      <c r="Q23640" s="5" t="s">
        <v>355</v>
      </c>
    </row>
    <row r="23641" ht="16.5" customHeight="1">
      <c r="O23641" s="5" t="s">
        <v>355</v>
      </c>
      <c r="P23641" s="5" t="s">
        <v>355</v>
      </c>
      <c r="Q23641" s="5" t="s">
        <v>355</v>
      </c>
    </row>
    <row r="23642" ht="16.5" customHeight="1">
      <c r="O23642" s="5" t="s">
        <v>355</v>
      </c>
      <c r="P23642" s="5" t="s">
        <v>355</v>
      </c>
      <c r="Q23642" s="5" t="s">
        <v>355</v>
      </c>
    </row>
    <row r="23643" ht="16.5" customHeight="1">
      <c r="O23643" s="5" t="s">
        <v>355</v>
      </c>
      <c r="P23643" s="5" t="s">
        <v>355</v>
      </c>
      <c r="Q23643" s="5" t="s">
        <v>355</v>
      </c>
    </row>
    <row r="23644" ht="16.5" customHeight="1">
      <c r="O23644" s="5" t="s">
        <v>355</v>
      </c>
      <c r="P23644" s="5" t="s">
        <v>355</v>
      </c>
      <c r="Q23644" s="5" t="s">
        <v>355</v>
      </c>
    </row>
    <row r="23645" ht="16.5" customHeight="1">
      <c r="O23645" s="5" t="s">
        <v>355</v>
      </c>
      <c r="P23645" s="5" t="s">
        <v>355</v>
      </c>
      <c r="Q23645" s="5" t="s">
        <v>355</v>
      </c>
    </row>
    <row r="23646" ht="16.5" customHeight="1">
      <c r="O23646" s="5" t="s">
        <v>355</v>
      </c>
      <c r="P23646" s="5" t="s">
        <v>355</v>
      </c>
      <c r="Q23646" s="5" t="s">
        <v>355</v>
      </c>
    </row>
    <row r="23647" ht="16.5" customHeight="1">
      <c r="O23647" s="5" t="s">
        <v>355</v>
      </c>
      <c r="P23647" s="5" t="s">
        <v>355</v>
      </c>
      <c r="Q23647" s="5" t="s">
        <v>355</v>
      </c>
    </row>
    <row r="23648" ht="16.5" customHeight="1">
      <c r="O23648" s="5" t="s">
        <v>355</v>
      </c>
      <c r="P23648" s="5" t="s">
        <v>355</v>
      </c>
      <c r="Q23648" s="5" t="s">
        <v>355</v>
      </c>
    </row>
    <row r="23649" ht="16.5" customHeight="1">
      <c r="O23649" s="5" t="s">
        <v>355</v>
      </c>
      <c r="P23649" s="5" t="s">
        <v>355</v>
      </c>
      <c r="Q23649" s="5" t="s">
        <v>355</v>
      </c>
    </row>
    <row r="23650" ht="16.5" customHeight="1">
      <c r="O23650" s="5" t="s">
        <v>355</v>
      </c>
      <c r="P23650" s="5" t="s">
        <v>355</v>
      </c>
      <c r="Q23650" s="5" t="s">
        <v>355</v>
      </c>
    </row>
    <row r="23651" ht="16.5" customHeight="1">
      <c r="O23651" s="5" t="s">
        <v>355</v>
      </c>
      <c r="P23651" s="5" t="s">
        <v>355</v>
      </c>
      <c r="Q23651" s="5" t="s">
        <v>355</v>
      </c>
    </row>
    <row r="23652" ht="16.5" customHeight="1">
      <c r="O23652" s="5" t="s">
        <v>355</v>
      </c>
      <c r="P23652" s="5" t="s">
        <v>355</v>
      </c>
      <c r="Q23652" s="5" t="s">
        <v>355</v>
      </c>
    </row>
    <row r="23653" ht="16.5" customHeight="1">
      <c r="O23653" s="5" t="s">
        <v>355</v>
      </c>
      <c r="P23653" s="5" t="s">
        <v>355</v>
      </c>
      <c r="Q23653" s="5" t="s">
        <v>355</v>
      </c>
    </row>
    <row r="23654" ht="16.5" customHeight="1">
      <c r="O23654" s="5" t="s">
        <v>355</v>
      </c>
      <c r="P23654" s="5" t="s">
        <v>355</v>
      </c>
      <c r="Q23654" s="5" t="s">
        <v>355</v>
      </c>
    </row>
    <row r="23655" ht="16.5" customHeight="1">
      <c r="O23655" s="5" t="s">
        <v>355</v>
      </c>
      <c r="P23655" s="5" t="s">
        <v>355</v>
      </c>
      <c r="Q23655" s="5" t="s">
        <v>355</v>
      </c>
    </row>
    <row r="23656" ht="16.5" customHeight="1">
      <c r="O23656" s="5" t="s">
        <v>355</v>
      </c>
      <c r="P23656" s="5" t="s">
        <v>355</v>
      </c>
      <c r="Q23656" s="5" t="s">
        <v>355</v>
      </c>
    </row>
    <row r="23657" ht="16.5" customHeight="1">
      <c r="O23657" s="5" t="s">
        <v>355</v>
      </c>
      <c r="P23657" s="5" t="s">
        <v>355</v>
      </c>
      <c r="Q23657" s="5" t="s">
        <v>355</v>
      </c>
    </row>
    <row r="23658" ht="16.5" customHeight="1">
      <c r="O23658" s="5" t="s">
        <v>355</v>
      </c>
      <c r="P23658" s="5" t="s">
        <v>355</v>
      </c>
      <c r="Q23658" s="5" t="s">
        <v>355</v>
      </c>
    </row>
    <row r="23659" ht="16.5" customHeight="1">
      <c r="O23659" s="5" t="s">
        <v>355</v>
      </c>
      <c r="P23659" s="5" t="s">
        <v>355</v>
      </c>
      <c r="Q23659" s="5" t="s">
        <v>355</v>
      </c>
    </row>
    <row r="23660" ht="16.5" customHeight="1">
      <c r="O23660" s="5" t="s">
        <v>355</v>
      </c>
      <c r="P23660" s="5" t="s">
        <v>355</v>
      </c>
      <c r="Q23660" s="5" t="s">
        <v>355</v>
      </c>
    </row>
    <row r="23661" ht="16.5" customHeight="1">
      <c r="O23661" s="5" t="s">
        <v>355</v>
      </c>
      <c r="P23661" s="5" t="s">
        <v>355</v>
      </c>
      <c r="Q23661" s="5" t="s">
        <v>355</v>
      </c>
    </row>
    <row r="23662" ht="16.5" customHeight="1">
      <c r="O23662" s="5" t="s">
        <v>355</v>
      </c>
      <c r="P23662" s="5" t="s">
        <v>355</v>
      </c>
      <c r="Q23662" s="5" t="s">
        <v>355</v>
      </c>
    </row>
    <row r="23663" ht="16.5" customHeight="1">
      <c r="O23663" s="5" t="s">
        <v>355</v>
      </c>
      <c r="P23663" s="5" t="s">
        <v>355</v>
      </c>
      <c r="Q23663" s="5" t="s">
        <v>355</v>
      </c>
    </row>
    <row r="23664" ht="16.5" customHeight="1">
      <c r="O23664" s="5" t="s">
        <v>355</v>
      </c>
      <c r="P23664" s="5" t="s">
        <v>355</v>
      </c>
      <c r="Q23664" s="5" t="s">
        <v>355</v>
      </c>
    </row>
    <row r="23665" ht="16.5" customHeight="1">
      <c r="O23665" s="5" t="s">
        <v>355</v>
      </c>
      <c r="P23665" s="5" t="s">
        <v>355</v>
      </c>
      <c r="Q23665" s="5" t="s">
        <v>355</v>
      </c>
    </row>
    <row r="23666" ht="16.5" customHeight="1">
      <c r="O23666" s="5" t="s">
        <v>355</v>
      </c>
      <c r="P23666" s="5" t="s">
        <v>355</v>
      </c>
      <c r="Q23666" s="5" t="s">
        <v>355</v>
      </c>
    </row>
    <row r="23667" ht="16.5" customHeight="1">
      <c r="O23667" s="5" t="s">
        <v>355</v>
      </c>
      <c r="P23667" s="5" t="s">
        <v>355</v>
      </c>
      <c r="Q23667" s="5" t="s">
        <v>355</v>
      </c>
    </row>
    <row r="23668" ht="16.5" customHeight="1">
      <c r="O23668" s="5" t="s">
        <v>355</v>
      </c>
      <c r="P23668" s="5" t="s">
        <v>355</v>
      </c>
      <c r="Q23668" s="5" t="s">
        <v>355</v>
      </c>
    </row>
    <row r="23669" ht="16.5" customHeight="1">
      <c r="O23669" s="5" t="s">
        <v>355</v>
      </c>
      <c r="P23669" s="5" t="s">
        <v>355</v>
      </c>
      <c r="Q23669" s="5" t="s">
        <v>355</v>
      </c>
    </row>
    <row r="23670" ht="16.5" customHeight="1">
      <c r="O23670" s="5" t="s">
        <v>355</v>
      </c>
      <c r="P23670" s="5" t="s">
        <v>355</v>
      </c>
      <c r="Q23670" s="5" t="s">
        <v>355</v>
      </c>
    </row>
    <row r="23671" ht="16.5" customHeight="1">
      <c r="O23671" s="5" t="s">
        <v>355</v>
      </c>
      <c r="P23671" s="5" t="s">
        <v>355</v>
      </c>
      <c r="Q23671" s="5" t="s">
        <v>355</v>
      </c>
    </row>
    <row r="23672" ht="16.5" customHeight="1">
      <c r="O23672" s="5" t="s">
        <v>355</v>
      </c>
      <c r="P23672" s="5" t="s">
        <v>355</v>
      </c>
      <c r="Q23672" s="5" t="s">
        <v>355</v>
      </c>
    </row>
    <row r="23673" ht="16.5" customHeight="1">
      <c r="O23673" s="5" t="s">
        <v>355</v>
      </c>
      <c r="P23673" s="5" t="s">
        <v>355</v>
      </c>
      <c r="Q23673" s="5" t="s">
        <v>355</v>
      </c>
    </row>
    <row r="23674" ht="16.5" customHeight="1">
      <c r="O23674" s="5" t="s">
        <v>355</v>
      </c>
      <c r="P23674" s="5" t="s">
        <v>355</v>
      </c>
      <c r="Q23674" s="5" t="s">
        <v>355</v>
      </c>
    </row>
    <row r="23675" ht="16.5" customHeight="1">
      <c r="O23675" s="5" t="s">
        <v>355</v>
      </c>
      <c r="P23675" s="5" t="s">
        <v>355</v>
      </c>
      <c r="Q23675" s="5" t="s">
        <v>355</v>
      </c>
    </row>
    <row r="23676" ht="16.5" customHeight="1">
      <c r="O23676" s="5" t="s">
        <v>355</v>
      </c>
      <c r="P23676" s="5" t="s">
        <v>355</v>
      </c>
      <c r="Q23676" s="5" t="s">
        <v>355</v>
      </c>
    </row>
    <row r="23677" ht="16.5" customHeight="1">
      <c r="O23677" s="5" t="s">
        <v>355</v>
      </c>
      <c r="P23677" s="5" t="s">
        <v>355</v>
      </c>
      <c r="Q23677" s="5" t="s">
        <v>355</v>
      </c>
    </row>
    <row r="23678" ht="16.5" customHeight="1">
      <c r="O23678" s="5" t="s">
        <v>355</v>
      </c>
      <c r="P23678" s="5" t="s">
        <v>355</v>
      </c>
      <c r="Q23678" s="5" t="s">
        <v>355</v>
      </c>
    </row>
    <row r="23679" ht="16.5" customHeight="1">
      <c r="O23679" s="5" t="s">
        <v>355</v>
      </c>
      <c r="P23679" s="5" t="s">
        <v>355</v>
      </c>
      <c r="Q23679" s="5" t="s">
        <v>355</v>
      </c>
    </row>
    <row r="23680" ht="16.5" customHeight="1">
      <c r="O23680" s="5" t="s">
        <v>355</v>
      </c>
      <c r="P23680" s="5" t="s">
        <v>355</v>
      </c>
      <c r="Q23680" s="5" t="s">
        <v>355</v>
      </c>
    </row>
    <row r="23681" ht="16.5" customHeight="1">
      <c r="O23681" s="5" t="s">
        <v>355</v>
      </c>
      <c r="P23681" s="5" t="s">
        <v>355</v>
      </c>
      <c r="Q23681" s="5" t="s">
        <v>355</v>
      </c>
    </row>
    <row r="23682" ht="16.5" customHeight="1">
      <c r="O23682" s="5" t="s">
        <v>355</v>
      </c>
      <c r="P23682" s="5" t="s">
        <v>355</v>
      </c>
      <c r="Q23682" s="5" t="s">
        <v>355</v>
      </c>
    </row>
    <row r="23683" ht="16.5" customHeight="1">
      <c r="O23683" s="5" t="s">
        <v>355</v>
      </c>
      <c r="P23683" s="5" t="s">
        <v>355</v>
      </c>
      <c r="Q23683" s="5" t="s">
        <v>355</v>
      </c>
    </row>
    <row r="23684" ht="16.5" customHeight="1">
      <c r="O23684" s="5" t="s">
        <v>355</v>
      </c>
      <c r="P23684" s="5" t="s">
        <v>355</v>
      </c>
      <c r="Q23684" s="5" t="s">
        <v>355</v>
      </c>
    </row>
    <row r="23685" ht="16.5" customHeight="1">
      <c r="O23685" s="5" t="s">
        <v>355</v>
      </c>
      <c r="P23685" s="5" t="s">
        <v>355</v>
      </c>
      <c r="Q23685" s="5" t="s">
        <v>355</v>
      </c>
    </row>
    <row r="23686" ht="16.5" customHeight="1">
      <c r="O23686" s="5" t="s">
        <v>355</v>
      </c>
      <c r="P23686" s="5" t="s">
        <v>355</v>
      </c>
      <c r="Q23686" s="5" t="s">
        <v>355</v>
      </c>
    </row>
    <row r="23687" ht="16.5" customHeight="1">
      <c r="O23687" s="5" t="s">
        <v>355</v>
      </c>
      <c r="P23687" s="5" t="s">
        <v>355</v>
      </c>
      <c r="Q23687" s="5" t="s">
        <v>355</v>
      </c>
    </row>
    <row r="23688" ht="16.5" customHeight="1">
      <c r="O23688" s="5" t="s">
        <v>355</v>
      </c>
      <c r="P23688" s="5" t="s">
        <v>355</v>
      </c>
      <c r="Q23688" s="5" t="s">
        <v>355</v>
      </c>
    </row>
    <row r="23689" ht="16.5" customHeight="1">
      <c r="O23689" s="5" t="s">
        <v>355</v>
      </c>
      <c r="P23689" s="5" t="s">
        <v>355</v>
      </c>
      <c r="Q23689" s="5" t="s">
        <v>355</v>
      </c>
    </row>
    <row r="23690" ht="16.5" customHeight="1">
      <c r="O23690" s="5" t="s">
        <v>355</v>
      </c>
      <c r="P23690" s="5" t="s">
        <v>355</v>
      </c>
      <c r="Q23690" s="5" t="s">
        <v>355</v>
      </c>
    </row>
    <row r="23691" ht="16.5" customHeight="1">
      <c r="O23691" s="5" t="s">
        <v>355</v>
      </c>
      <c r="P23691" s="5" t="s">
        <v>355</v>
      </c>
      <c r="Q23691" s="5" t="s">
        <v>355</v>
      </c>
    </row>
    <row r="23692" ht="16.5" customHeight="1">
      <c r="O23692" s="5" t="s">
        <v>355</v>
      </c>
      <c r="P23692" s="5" t="s">
        <v>355</v>
      </c>
      <c r="Q23692" s="5" t="s">
        <v>355</v>
      </c>
    </row>
    <row r="23693" ht="16.5" customHeight="1">
      <c r="O23693" s="5" t="s">
        <v>355</v>
      </c>
      <c r="P23693" s="5" t="s">
        <v>355</v>
      </c>
      <c r="Q23693" s="5" t="s">
        <v>355</v>
      </c>
    </row>
    <row r="23694" ht="16.5" customHeight="1">
      <c r="O23694" s="5" t="s">
        <v>355</v>
      </c>
      <c r="P23694" s="5" t="s">
        <v>355</v>
      </c>
      <c r="Q23694" s="5" t="s">
        <v>355</v>
      </c>
    </row>
    <row r="23695" ht="16.5" customHeight="1">
      <c r="O23695" s="5" t="s">
        <v>355</v>
      </c>
      <c r="P23695" s="5" t="s">
        <v>355</v>
      </c>
      <c r="Q23695" s="5" t="s">
        <v>355</v>
      </c>
    </row>
    <row r="23696" ht="16.5" customHeight="1">
      <c r="O23696" s="5" t="s">
        <v>355</v>
      </c>
      <c r="P23696" s="5" t="s">
        <v>355</v>
      </c>
      <c r="Q23696" s="5" t="s">
        <v>355</v>
      </c>
    </row>
    <row r="23697" ht="16.5" customHeight="1">
      <c r="O23697" s="5" t="s">
        <v>355</v>
      </c>
      <c r="P23697" s="5" t="s">
        <v>355</v>
      </c>
      <c r="Q23697" s="5" t="s">
        <v>355</v>
      </c>
    </row>
    <row r="23698" ht="16.5" customHeight="1">
      <c r="O23698" s="5" t="s">
        <v>355</v>
      </c>
      <c r="P23698" s="5" t="s">
        <v>355</v>
      </c>
      <c r="Q23698" s="5" t="s">
        <v>355</v>
      </c>
    </row>
    <row r="23699" ht="16.5" customHeight="1">
      <c r="O23699" s="5" t="s">
        <v>355</v>
      </c>
      <c r="P23699" s="5" t="s">
        <v>355</v>
      </c>
      <c r="Q23699" s="5" t="s">
        <v>355</v>
      </c>
    </row>
    <row r="23700" ht="16.5" customHeight="1">
      <c r="O23700" s="5" t="s">
        <v>355</v>
      </c>
      <c r="P23700" s="5" t="s">
        <v>355</v>
      </c>
      <c r="Q23700" s="5" t="s">
        <v>355</v>
      </c>
    </row>
    <row r="23701" ht="16.5" customHeight="1">
      <c r="O23701" s="5" t="s">
        <v>355</v>
      </c>
      <c r="P23701" s="5" t="s">
        <v>355</v>
      </c>
      <c r="Q23701" s="5" t="s">
        <v>355</v>
      </c>
    </row>
    <row r="23702" ht="16.5" customHeight="1">
      <c r="O23702" s="5" t="s">
        <v>355</v>
      </c>
      <c r="P23702" s="5" t="s">
        <v>355</v>
      </c>
      <c r="Q23702" s="5" t="s">
        <v>355</v>
      </c>
    </row>
    <row r="23703" ht="16.5" customHeight="1">
      <c r="O23703" s="5" t="s">
        <v>355</v>
      </c>
      <c r="P23703" s="5" t="s">
        <v>355</v>
      </c>
      <c r="Q23703" s="5" t="s">
        <v>355</v>
      </c>
    </row>
    <row r="23704" ht="16.5" customHeight="1">
      <c r="O23704" s="5" t="s">
        <v>355</v>
      </c>
      <c r="P23704" s="5" t="s">
        <v>355</v>
      </c>
      <c r="Q23704" s="5" t="s">
        <v>355</v>
      </c>
    </row>
    <row r="23705" ht="16.5" customHeight="1">
      <c r="O23705" s="5" t="s">
        <v>355</v>
      </c>
      <c r="P23705" s="5" t="s">
        <v>355</v>
      </c>
      <c r="Q23705" s="5" t="s">
        <v>355</v>
      </c>
    </row>
    <row r="23706" ht="16.5" customHeight="1">
      <c r="O23706" s="5" t="s">
        <v>355</v>
      </c>
      <c r="P23706" s="5" t="s">
        <v>355</v>
      </c>
      <c r="Q23706" s="5" t="s">
        <v>355</v>
      </c>
    </row>
    <row r="23707" ht="16.5" customHeight="1">
      <c r="O23707" s="5" t="s">
        <v>355</v>
      </c>
      <c r="P23707" s="5" t="s">
        <v>355</v>
      </c>
      <c r="Q23707" s="5" t="s">
        <v>355</v>
      </c>
    </row>
    <row r="23708" ht="16.5" customHeight="1">
      <c r="O23708" s="5" t="s">
        <v>355</v>
      </c>
      <c r="P23708" s="5" t="s">
        <v>355</v>
      </c>
      <c r="Q23708" s="5" t="s">
        <v>355</v>
      </c>
    </row>
    <row r="23709" ht="16.5" customHeight="1">
      <c r="O23709" s="5" t="s">
        <v>355</v>
      </c>
      <c r="P23709" s="5" t="s">
        <v>355</v>
      </c>
      <c r="Q23709" s="5" t="s">
        <v>355</v>
      </c>
    </row>
    <row r="23710" ht="16.5" customHeight="1">
      <c r="O23710" s="5" t="s">
        <v>355</v>
      </c>
      <c r="P23710" s="5" t="s">
        <v>355</v>
      </c>
      <c r="Q23710" s="5" t="s">
        <v>355</v>
      </c>
    </row>
    <row r="23711" ht="16.5" customHeight="1">
      <c r="O23711" s="5" t="s">
        <v>355</v>
      </c>
      <c r="P23711" s="5" t="s">
        <v>355</v>
      </c>
      <c r="Q23711" s="5" t="s">
        <v>355</v>
      </c>
    </row>
    <row r="23712" ht="16.5" customHeight="1">
      <c r="O23712" s="5" t="s">
        <v>355</v>
      </c>
      <c r="P23712" s="5" t="s">
        <v>355</v>
      </c>
      <c r="Q23712" s="5" t="s">
        <v>355</v>
      </c>
    </row>
    <row r="23713" ht="16.5" customHeight="1">
      <c r="O23713" s="5" t="s">
        <v>355</v>
      </c>
      <c r="P23713" s="5" t="s">
        <v>355</v>
      </c>
      <c r="Q23713" s="5" t="s">
        <v>355</v>
      </c>
    </row>
    <row r="23714" ht="16.5" customHeight="1">
      <c r="O23714" s="5" t="s">
        <v>355</v>
      </c>
      <c r="P23714" s="5" t="s">
        <v>355</v>
      </c>
      <c r="Q23714" s="5" t="s">
        <v>355</v>
      </c>
    </row>
    <row r="23715" ht="16.5" customHeight="1">
      <c r="O23715" s="5" t="s">
        <v>355</v>
      </c>
      <c r="P23715" s="5" t="s">
        <v>355</v>
      </c>
      <c r="Q23715" s="5" t="s">
        <v>355</v>
      </c>
    </row>
    <row r="23716" ht="16.5" customHeight="1">
      <c r="O23716" s="5" t="s">
        <v>355</v>
      </c>
      <c r="P23716" s="5" t="s">
        <v>355</v>
      </c>
      <c r="Q23716" s="5" t="s">
        <v>355</v>
      </c>
    </row>
    <row r="23717" ht="16.5" customHeight="1">
      <c r="O23717" s="5" t="s">
        <v>355</v>
      </c>
      <c r="P23717" s="5" t="s">
        <v>355</v>
      </c>
      <c r="Q23717" s="5" t="s">
        <v>355</v>
      </c>
    </row>
    <row r="23718" ht="16.5" customHeight="1">
      <c r="O23718" s="5" t="s">
        <v>355</v>
      </c>
      <c r="P23718" s="5" t="s">
        <v>355</v>
      </c>
      <c r="Q23718" s="5" t="s">
        <v>355</v>
      </c>
    </row>
    <row r="23719" ht="16.5" customHeight="1">
      <c r="O23719" s="5" t="s">
        <v>355</v>
      </c>
      <c r="P23719" s="5" t="s">
        <v>355</v>
      </c>
      <c r="Q23719" s="5" t="s">
        <v>355</v>
      </c>
    </row>
    <row r="23720" ht="16.5" customHeight="1">
      <c r="O23720" s="5" t="s">
        <v>355</v>
      </c>
      <c r="P23720" s="5" t="s">
        <v>355</v>
      </c>
      <c r="Q23720" s="5" t="s">
        <v>355</v>
      </c>
    </row>
    <row r="23721" ht="16.5" customHeight="1">
      <c r="O23721" s="5" t="s">
        <v>355</v>
      </c>
      <c r="P23721" s="5" t="s">
        <v>355</v>
      </c>
      <c r="Q23721" s="5" t="s">
        <v>355</v>
      </c>
    </row>
    <row r="23722" ht="16.5" customHeight="1">
      <c r="O23722" s="5" t="s">
        <v>355</v>
      </c>
      <c r="P23722" s="5" t="s">
        <v>355</v>
      </c>
      <c r="Q23722" s="5" t="s">
        <v>355</v>
      </c>
    </row>
    <row r="23723" ht="16.5" customHeight="1">
      <c r="O23723" s="5" t="s">
        <v>355</v>
      </c>
      <c r="P23723" s="5" t="s">
        <v>355</v>
      </c>
      <c r="Q23723" s="5" t="s">
        <v>355</v>
      </c>
    </row>
    <row r="23724" ht="16.5" customHeight="1">
      <c r="O23724" s="5" t="s">
        <v>355</v>
      </c>
      <c r="P23724" s="5" t="s">
        <v>355</v>
      </c>
      <c r="Q23724" s="5" t="s">
        <v>355</v>
      </c>
    </row>
    <row r="23725" ht="16.5" customHeight="1">
      <c r="O23725" s="5" t="s">
        <v>355</v>
      </c>
      <c r="P23725" s="5" t="s">
        <v>355</v>
      </c>
      <c r="Q23725" s="5" t="s">
        <v>355</v>
      </c>
    </row>
    <row r="23726" ht="16.5" customHeight="1">
      <c r="O23726" s="5" t="s">
        <v>355</v>
      </c>
      <c r="P23726" s="5" t="s">
        <v>355</v>
      </c>
      <c r="Q23726" s="5" t="s">
        <v>355</v>
      </c>
    </row>
    <row r="23727" ht="16.5" customHeight="1">
      <c r="O23727" s="5" t="s">
        <v>355</v>
      </c>
      <c r="P23727" s="5" t="s">
        <v>355</v>
      </c>
      <c r="Q23727" s="5" t="s">
        <v>355</v>
      </c>
    </row>
    <row r="23728" ht="16.5" customHeight="1">
      <c r="O23728" s="5" t="s">
        <v>355</v>
      </c>
      <c r="P23728" s="5" t="s">
        <v>355</v>
      </c>
      <c r="Q23728" s="5" t="s">
        <v>355</v>
      </c>
    </row>
    <row r="23729" ht="16.5" customHeight="1">
      <c r="O23729" s="5" t="s">
        <v>355</v>
      </c>
      <c r="P23729" s="5" t="s">
        <v>355</v>
      </c>
      <c r="Q23729" s="5" t="s">
        <v>355</v>
      </c>
    </row>
    <row r="23730" ht="16.5" customHeight="1">
      <c r="O23730" s="5" t="s">
        <v>355</v>
      </c>
      <c r="P23730" s="5" t="s">
        <v>355</v>
      </c>
      <c r="Q23730" s="5" t="s">
        <v>355</v>
      </c>
    </row>
    <row r="23731" ht="16.5" customHeight="1">
      <c r="O23731" s="5" t="s">
        <v>355</v>
      </c>
      <c r="P23731" s="5" t="s">
        <v>355</v>
      </c>
      <c r="Q23731" s="5" t="s">
        <v>355</v>
      </c>
    </row>
    <row r="23732" ht="16.5" customHeight="1">
      <c r="O23732" s="5" t="s">
        <v>355</v>
      </c>
      <c r="P23732" s="5" t="s">
        <v>355</v>
      </c>
      <c r="Q23732" s="5" t="s">
        <v>355</v>
      </c>
    </row>
    <row r="23733" ht="16.5" customHeight="1">
      <c r="O23733" s="5" t="s">
        <v>355</v>
      </c>
      <c r="P23733" s="5" t="s">
        <v>355</v>
      </c>
      <c r="Q23733" s="5" t="s">
        <v>355</v>
      </c>
    </row>
    <row r="23734" ht="16.5" customHeight="1">
      <c r="O23734" s="5" t="s">
        <v>355</v>
      </c>
      <c r="P23734" s="5" t="s">
        <v>355</v>
      </c>
      <c r="Q23734" s="5" t="s">
        <v>355</v>
      </c>
    </row>
    <row r="23735" ht="16.5" customHeight="1">
      <c r="O23735" s="5" t="s">
        <v>355</v>
      </c>
      <c r="P23735" s="5" t="s">
        <v>355</v>
      </c>
      <c r="Q23735" s="5" t="s">
        <v>355</v>
      </c>
    </row>
    <row r="23736" ht="16.5" customHeight="1">
      <c r="O23736" s="5" t="s">
        <v>355</v>
      </c>
      <c r="P23736" s="5" t="s">
        <v>355</v>
      </c>
      <c r="Q23736" s="5" t="s">
        <v>355</v>
      </c>
    </row>
    <row r="23737" ht="16.5" customHeight="1">
      <c r="O23737" s="5" t="s">
        <v>355</v>
      </c>
      <c r="P23737" s="5" t="s">
        <v>355</v>
      </c>
      <c r="Q23737" s="5" t="s">
        <v>355</v>
      </c>
    </row>
    <row r="23738" ht="16.5" customHeight="1">
      <c r="O23738" s="5" t="s">
        <v>355</v>
      </c>
      <c r="P23738" s="5" t="s">
        <v>355</v>
      </c>
      <c r="Q23738" s="5" t="s">
        <v>355</v>
      </c>
    </row>
    <row r="23739" ht="16.5" customHeight="1">
      <c r="O23739" s="5" t="s">
        <v>355</v>
      </c>
      <c r="P23739" s="5" t="s">
        <v>355</v>
      </c>
      <c r="Q23739" s="5" t="s">
        <v>355</v>
      </c>
    </row>
    <row r="23740" ht="16.5" customHeight="1">
      <c r="O23740" s="5" t="s">
        <v>355</v>
      </c>
      <c r="P23740" s="5" t="s">
        <v>355</v>
      </c>
      <c r="Q23740" s="5" t="s">
        <v>355</v>
      </c>
    </row>
    <row r="23741" ht="16.5" customHeight="1">
      <c r="O23741" s="5" t="s">
        <v>355</v>
      </c>
      <c r="P23741" s="5" t="s">
        <v>355</v>
      </c>
      <c r="Q23741" s="5" t="s">
        <v>355</v>
      </c>
    </row>
    <row r="23742" ht="16.5" customHeight="1">
      <c r="O23742" s="5" t="s">
        <v>355</v>
      </c>
      <c r="P23742" s="5" t="s">
        <v>355</v>
      </c>
      <c r="Q23742" s="5" t="s">
        <v>355</v>
      </c>
    </row>
    <row r="23743" ht="16.5" customHeight="1">
      <c r="O23743" s="5" t="s">
        <v>355</v>
      </c>
      <c r="P23743" s="5" t="s">
        <v>355</v>
      </c>
      <c r="Q23743" s="5" t="s">
        <v>355</v>
      </c>
    </row>
    <row r="23744" ht="16.5" customHeight="1">
      <c r="O23744" s="5" t="s">
        <v>355</v>
      </c>
      <c r="P23744" s="5" t="s">
        <v>355</v>
      </c>
      <c r="Q23744" s="5" t="s">
        <v>355</v>
      </c>
    </row>
    <row r="23745" ht="16.5" customHeight="1">
      <c r="O23745" s="5" t="s">
        <v>355</v>
      </c>
      <c r="P23745" s="5" t="s">
        <v>355</v>
      </c>
      <c r="Q23745" s="5" t="s">
        <v>355</v>
      </c>
    </row>
    <row r="23746" ht="16.5" customHeight="1">
      <c r="O23746" s="5" t="s">
        <v>355</v>
      </c>
      <c r="P23746" s="5" t="s">
        <v>355</v>
      </c>
      <c r="Q23746" s="5" t="s">
        <v>355</v>
      </c>
    </row>
    <row r="23747" ht="16.5" customHeight="1">
      <c r="O23747" s="5" t="s">
        <v>355</v>
      </c>
      <c r="P23747" s="5" t="s">
        <v>355</v>
      </c>
      <c r="Q23747" s="5" t="s">
        <v>355</v>
      </c>
    </row>
    <row r="23748" ht="16.5" customHeight="1">
      <c r="O23748" s="5" t="s">
        <v>355</v>
      </c>
      <c r="P23748" s="5" t="s">
        <v>355</v>
      </c>
      <c r="Q23748" s="5" t="s">
        <v>355</v>
      </c>
    </row>
    <row r="23749" ht="16.5" customHeight="1">
      <c r="O23749" s="5" t="s">
        <v>355</v>
      </c>
      <c r="P23749" s="5" t="s">
        <v>355</v>
      </c>
      <c r="Q23749" s="5" t="s">
        <v>355</v>
      </c>
    </row>
    <row r="23750" ht="16.5" customHeight="1">
      <c r="O23750" s="5" t="s">
        <v>355</v>
      </c>
      <c r="P23750" s="5" t="s">
        <v>355</v>
      </c>
      <c r="Q23750" s="5" t="s">
        <v>355</v>
      </c>
    </row>
    <row r="23751" ht="16.5" customHeight="1">
      <c r="O23751" s="5" t="s">
        <v>355</v>
      </c>
      <c r="P23751" s="5" t="s">
        <v>355</v>
      </c>
      <c r="Q23751" s="5" t="s">
        <v>355</v>
      </c>
    </row>
    <row r="23752" ht="16.5" customHeight="1">
      <c r="O23752" s="5" t="s">
        <v>355</v>
      </c>
      <c r="P23752" s="5" t="s">
        <v>355</v>
      </c>
      <c r="Q23752" s="5" t="s">
        <v>355</v>
      </c>
    </row>
    <row r="23753" ht="16.5" customHeight="1">
      <c r="O23753" s="5" t="s">
        <v>355</v>
      </c>
      <c r="P23753" s="5" t="s">
        <v>355</v>
      </c>
      <c r="Q23753" s="5" t="s">
        <v>355</v>
      </c>
    </row>
    <row r="23754" ht="16.5" customHeight="1">
      <c r="O23754" s="5" t="s">
        <v>355</v>
      </c>
      <c r="P23754" s="5" t="s">
        <v>355</v>
      </c>
      <c r="Q23754" s="5" t="s">
        <v>355</v>
      </c>
    </row>
    <row r="23755" ht="16.5" customHeight="1">
      <c r="O23755" s="5" t="s">
        <v>355</v>
      </c>
      <c r="P23755" s="5" t="s">
        <v>355</v>
      </c>
      <c r="Q23755" s="5" t="s">
        <v>355</v>
      </c>
    </row>
    <row r="23756" ht="16.5" customHeight="1">
      <c r="O23756" s="5" t="s">
        <v>355</v>
      </c>
      <c r="P23756" s="5" t="s">
        <v>355</v>
      </c>
      <c r="Q23756" s="5" t="s">
        <v>355</v>
      </c>
    </row>
    <row r="23757" ht="16.5" customHeight="1">
      <c r="O23757" s="5" t="s">
        <v>355</v>
      </c>
      <c r="P23757" s="5" t="s">
        <v>355</v>
      </c>
      <c r="Q23757" s="5" t="s">
        <v>355</v>
      </c>
    </row>
    <row r="23758" ht="16.5" customHeight="1">
      <c r="O23758" s="5" t="s">
        <v>355</v>
      </c>
      <c r="P23758" s="5" t="s">
        <v>355</v>
      </c>
      <c r="Q23758" s="5" t="s">
        <v>355</v>
      </c>
    </row>
    <row r="23759" ht="16.5" customHeight="1">
      <c r="O23759" s="5" t="s">
        <v>355</v>
      </c>
      <c r="P23759" s="5" t="s">
        <v>355</v>
      </c>
      <c r="Q23759" s="5" t="s">
        <v>355</v>
      </c>
    </row>
    <row r="23760" ht="16.5" customHeight="1">
      <c r="O23760" s="5" t="s">
        <v>355</v>
      </c>
      <c r="P23760" s="5" t="s">
        <v>355</v>
      </c>
      <c r="Q23760" s="5" t="s">
        <v>355</v>
      </c>
    </row>
    <row r="23761" ht="16.5" customHeight="1">
      <c r="O23761" s="5" t="s">
        <v>355</v>
      </c>
      <c r="P23761" s="5" t="s">
        <v>355</v>
      </c>
      <c r="Q23761" s="5" t="s">
        <v>355</v>
      </c>
    </row>
    <row r="23762" ht="16.5" customHeight="1">
      <c r="O23762" s="5" t="s">
        <v>355</v>
      </c>
      <c r="P23762" s="5" t="s">
        <v>355</v>
      </c>
      <c r="Q23762" s="5" t="s">
        <v>355</v>
      </c>
    </row>
    <row r="23763" ht="16.5" customHeight="1">
      <c r="O23763" s="5" t="s">
        <v>355</v>
      </c>
      <c r="P23763" s="5" t="s">
        <v>355</v>
      </c>
      <c r="Q23763" s="5" t="s">
        <v>355</v>
      </c>
    </row>
    <row r="23764" ht="16.5" customHeight="1">
      <c r="O23764" s="5" t="s">
        <v>355</v>
      </c>
      <c r="P23764" s="5" t="s">
        <v>355</v>
      </c>
      <c r="Q23764" s="5" t="s">
        <v>355</v>
      </c>
    </row>
    <row r="23765" ht="16.5" customHeight="1">
      <c r="O23765" s="5" t="s">
        <v>355</v>
      </c>
      <c r="P23765" s="5" t="s">
        <v>355</v>
      </c>
      <c r="Q23765" s="5" t="s">
        <v>355</v>
      </c>
    </row>
    <row r="23766" ht="16.5" customHeight="1">
      <c r="O23766" s="5" t="s">
        <v>355</v>
      </c>
      <c r="P23766" s="5" t="s">
        <v>355</v>
      </c>
      <c r="Q23766" s="5" t="s">
        <v>355</v>
      </c>
    </row>
    <row r="23767" ht="16.5" customHeight="1">
      <c r="O23767" s="5" t="s">
        <v>355</v>
      </c>
      <c r="P23767" s="5" t="s">
        <v>355</v>
      </c>
      <c r="Q23767" s="5" t="s">
        <v>355</v>
      </c>
    </row>
    <row r="23768" ht="16.5" customHeight="1">
      <c r="O23768" s="5" t="s">
        <v>355</v>
      </c>
      <c r="P23768" s="5" t="s">
        <v>355</v>
      </c>
      <c r="Q23768" s="5" t="s">
        <v>355</v>
      </c>
    </row>
    <row r="23769" ht="16.5" customHeight="1">
      <c r="O23769" s="5" t="s">
        <v>355</v>
      </c>
      <c r="P23769" s="5" t="s">
        <v>355</v>
      </c>
      <c r="Q23769" s="5" t="s">
        <v>355</v>
      </c>
    </row>
    <row r="23770" ht="16.5" customHeight="1">
      <c r="O23770" s="5" t="s">
        <v>355</v>
      </c>
      <c r="P23770" s="5" t="s">
        <v>355</v>
      </c>
      <c r="Q23770" s="5" t="s">
        <v>355</v>
      </c>
    </row>
    <row r="23771" ht="16.5" customHeight="1">
      <c r="O23771" s="5" t="s">
        <v>355</v>
      </c>
      <c r="P23771" s="5" t="s">
        <v>355</v>
      </c>
      <c r="Q23771" s="5" t="s">
        <v>355</v>
      </c>
    </row>
    <row r="23772" ht="16.5" customHeight="1">
      <c r="O23772" s="5" t="s">
        <v>355</v>
      </c>
      <c r="P23772" s="5" t="s">
        <v>355</v>
      </c>
      <c r="Q23772" s="5" t="s">
        <v>355</v>
      </c>
    </row>
    <row r="23773" ht="16.5" customHeight="1">
      <c r="O23773" s="5" t="s">
        <v>355</v>
      </c>
      <c r="P23773" s="5" t="s">
        <v>355</v>
      </c>
      <c r="Q23773" s="5" t="s">
        <v>355</v>
      </c>
    </row>
    <row r="23774" ht="16.5" customHeight="1">
      <c r="O23774" s="5" t="s">
        <v>355</v>
      </c>
      <c r="P23774" s="5" t="s">
        <v>355</v>
      </c>
      <c r="Q23774" s="5" t="s">
        <v>355</v>
      </c>
    </row>
    <row r="23775" ht="16.5" customHeight="1">
      <c r="O23775" s="5" t="s">
        <v>355</v>
      </c>
      <c r="P23775" s="5" t="s">
        <v>355</v>
      </c>
      <c r="Q23775" s="5" t="s">
        <v>355</v>
      </c>
    </row>
    <row r="23776" ht="16.5" customHeight="1">
      <c r="O23776" s="5" t="s">
        <v>355</v>
      </c>
      <c r="P23776" s="5" t="s">
        <v>355</v>
      </c>
      <c r="Q23776" s="5" t="s">
        <v>355</v>
      </c>
    </row>
    <row r="23777" ht="16.5" customHeight="1">
      <c r="O23777" s="5" t="s">
        <v>355</v>
      </c>
      <c r="P23777" s="5" t="s">
        <v>355</v>
      </c>
      <c r="Q23777" s="5" t="s">
        <v>355</v>
      </c>
    </row>
    <row r="23778" ht="16.5" customHeight="1">
      <c r="O23778" s="5" t="s">
        <v>355</v>
      </c>
      <c r="P23778" s="5" t="s">
        <v>355</v>
      </c>
      <c r="Q23778" s="5" t="s">
        <v>355</v>
      </c>
    </row>
    <row r="23779" ht="16.5" customHeight="1">
      <c r="O23779" s="5" t="s">
        <v>355</v>
      </c>
      <c r="P23779" s="5" t="s">
        <v>355</v>
      </c>
      <c r="Q23779" s="5" t="s">
        <v>355</v>
      </c>
    </row>
    <row r="23780" ht="16.5" customHeight="1">
      <c r="O23780" s="5" t="s">
        <v>355</v>
      </c>
      <c r="P23780" s="5" t="s">
        <v>355</v>
      </c>
      <c r="Q23780" s="5" t="s">
        <v>355</v>
      </c>
    </row>
    <row r="23781" ht="16.5" customHeight="1">
      <c r="O23781" s="5" t="s">
        <v>355</v>
      </c>
      <c r="P23781" s="5" t="s">
        <v>355</v>
      </c>
      <c r="Q23781" s="5" t="s">
        <v>355</v>
      </c>
    </row>
    <row r="23782" ht="16.5" customHeight="1">
      <c r="O23782" s="5" t="s">
        <v>355</v>
      </c>
      <c r="P23782" s="5" t="s">
        <v>355</v>
      </c>
      <c r="Q23782" s="5" t="s">
        <v>355</v>
      </c>
    </row>
    <row r="23783" ht="16.5" customHeight="1">
      <c r="O23783" s="5" t="s">
        <v>355</v>
      </c>
      <c r="P23783" s="5" t="s">
        <v>355</v>
      </c>
      <c r="Q23783" s="5" t="s">
        <v>355</v>
      </c>
    </row>
    <row r="23784" ht="16.5" customHeight="1">
      <c r="O23784" s="5" t="s">
        <v>355</v>
      </c>
      <c r="P23784" s="5" t="s">
        <v>355</v>
      </c>
      <c r="Q23784" s="5" t="s">
        <v>355</v>
      </c>
    </row>
    <row r="23785" ht="16.5" customHeight="1">
      <c r="O23785" s="5" t="s">
        <v>355</v>
      </c>
      <c r="P23785" s="5" t="s">
        <v>355</v>
      </c>
      <c r="Q23785" s="5" t="s">
        <v>355</v>
      </c>
    </row>
    <row r="23786" ht="16.5" customHeight="1">
      <c r="O23786" s="5" t="s">
        <v>355</v>
      </c>
      <c r="P23786" s="5" t="s">
        <v>355</v>
      </c>
      <c r="Q23786" s="5" t="s">
        <v>355</v>
      </c>
    </row>
    <row r="23787" ht="16.5" customHeight="1">
      <c r="O23787" s="5" t="s">
        <v>355</v>
      </c>
      <c r="P23787" s="5" t="s">
        <v>355</v>
      </c>
      <c r="Q23787" s="5" t="s">
        <v>355</v>
      </c>
    </row>
    <row r="23788" ht="16.5" customHeight="1">
      <c r="O23788" s="5" t="s">
        <v>355</v>
      </c>
      <c r="P23788" s="5" t="s">
        <v>355</v>
      </c>
      <c r="Q23788" s="5" t="s">
        <v>355</v>
      </c>
    </row>
    <row r="23789" ht="16.5" customHeight="1">
      <c r="O23789" s="5" t="s">
        <v>355</v>
      </c>
      <c r="P23789" s="5" t="s">
        <v>355</v>
      </c>
      <c r="Q23789" s="5" t="s">
        <v>355</v>
      </c>
    </row>
    <row r="23790" ht="16.5" customHeight="1">
      <c r="O23790" s="5" t="s">
        <v>355</v>
      </c>
      <c r="P23790" s="5" t="s">
        <v>355</v>
      </c>
      <c r="Q23790" s="5" t="s">
        <v>355</v>
      </c>
    </row>
    <row r="23791" ht="16.5" customHeight="1">
      <c r="O23791" s="5" t="s">
        <v>355</v>
      </c>
      <c r="P23791" s="5" t="s">
        <v>355</v>
      </c>
      <c r="Q23791" s="5" t="s">
        <v>355</v>
      </c>
    </row>
    <row r="23792" ht="16.5" customHeight="1">
      <c r="O23792" s="5" t="s">
        <v>355</v>
      </c>
      <c r="P23792" s="5" t="s">
        <v>355</v>
      </c>
      <c r="Q23792" s="5" t="s">
        <v>355</v>
      </c>
    </row>
    <row r="23793" ht="16.5" customHeight="1">
      <c r="O23793" s="5" t="s">
        <v>355</v>
      </c>
      <c r="P23793" s="5" t="s">
        <v>355</v>
      </c>
      <c r="Q23793" s="5" t="s">
        <v>355</v>
      </c>
    </row>
    <row r="23794" ht="16.5" customHeight="1">
      <c r="O23794" s="5" t="s">
        <v>355</v>
      </c>
      <c r="P23794" s="5" t="s">
        <v>355</v>
      </c>
      <c r="Q23794" s="5" t="s">
        <v>355</v>
      </c>
    </row>
    <row r="23795" ht="16.5" customHeight="1">
      <c r="O23795" s="5" t="s">
        <v>355</v>
      </c>
      <c r="P23795" s="5" t="s">
        <v>355</v>
      </c>
      <c r="Q23795" s="5" t="s">
        <v>355</v>
      </c>
    </row>
    <row r="23796" ht="16.5" customHeight="1">
      <c r="O23796" s="5" t="s">
        <v>355</v>
      </c>
      <c r="P23796" s="5" t="s">
        <v>355</v>
      </c>
      <c r="Q23796" s="5" t="s">
        <v>355</v>
      </c>
    </row>
    <row r="23797" ht="16.5" customHeight="1">
      <c r="O23797" s="5" t="s">
        <v>355</v>
      </c>
      <c r="P23797" s="5" t="s">
        <v>355</v>
      </c>
      <c r="Q23797" s="5" t="s">
        <v>355</v>
      </c>
    </row>
    <row r="23798" ht="16.5" customHeight="1">
      <c r="O23798" s="5" t="s">
        <v>355</v>
      </c>
      <c r="P23798" s="5" t="s">
        <v>355</v>
      </c>
      <c r="Q23798" s="5" t="s">
        <v>355</v>
      </c>
    </row>
    <row r="23799" ht="16.5" customHeight="1">
      <c r="O23799" s="5" t="s">
        <v>355</v>
      </c>
      <c r="P23799" s="5" t="s">
        <v>355</v>
      </c>
      <c r="Q23799" s="5" t="s">
        <v>355</v>
      </c>
    </row>
    <row r="23800" ht="16.5" customHeight="1">
      <c r="O23800" s="5" t="s">
        <v>355</v>
      </c>
      <c r="P23800" s="5" t="s">
        <v>355</v>
      </c>
      <c r="Q23800" s="5" t="s">
        <v>355</v>
      </c>
    </row>
    <row r="23801" ht="16.5" customHeight="1">
      <c r="O23801" s="5" t="s">
        <v>355</v>
      </c>
      <c r="P23801" s="5" t="s">
        <v>355</v>
      </c>
      <c r="Q23801" s="5" t="s">
        <v>355</v>
      </c>
    </row>
    <row r="23802" ht="16.5" customHeight="1">
      <c r="O23802" s="5" t="s">
        <v>355</v>
      </c>
      <c r="P23802" s="5" t="s">
        <v>355</v>
      </c>
      <c r="Q23802" s="5" t="s">
        <v>355</v>
      </c>
    </row>
    <row r="23803" ht="16.5" customHeight="1">
      <c r="O23803" s="5" t="s">
        <v>355</v>
      </c>
      <c r="P23803" s="5" t="s">
        <v>355</v>
      </c>
      <c r="Q23803" s="5" t="s">
        <v>355</v>
      </c>
    </row>
    <row r="23804" ht="16.5" customHeight="1">
      <c r="O23804" s="5" t="s">
        <v>355</v>
      </c>
      <c r="P23804" s="5" t="s">
        <v>355</v>
      </c>
      <c r="Q23804" s="5" t="s">
        <v>355</v>
      </c>
    </row>
    <row r="23805" ht="16.5" customHeight="1">
      <c r="O23805" s="5" t="s">
        <v>355</v>
      </c>
      <c r="P23805" s="5" t="s">
        <v>355</v>
      </c>
      <c r="Q23805" s="5" t="s">
        <v>355</v>
      </c>
    </row>
    <row r="23806" ht="16.5" customHeight="1">
      <c r="O23806" s="5" t="s">
        <v>355</v>
      </c>
      <c r="P23806" s="5" t="s">
        <v>355</v>
      </c>
      <c r="Q23806" s="5" t="s">
        <v>355</v>
      </c>
    </row>
    <row r="23807" ht="16.5" customHeight="1">
      <c r="O23807" s="5" t="s">
        <v>355</v>
      </c>
      <c r="P23807" s="5" t="s">
        <v>355</v>
      </c>
      <c r="Q23807" s="5" t="s">
        <v>355</v>
      </c>
    </row>
    <row r="23808" ht="16.5" customHeight="1">
      <c r="O23808" s="5" t="s">
        <v>355</v>
      </c>
      <c r="P23808" s="5" t="s">
        <v>355</v>
      </c>
      <c r="Q23808" s="5" t="s">
        <v>355</v>
      </c>
    </row>
    <row r="23809" ht="16.5" customHeight="1">
      <c r="O23809" s="5" t="s">
        <v>355</v>
      </c>
      <c r="P23809" s="5" t="s">
        <v>355</v>
      </c>
      <c r="Q23809" s="5" t="s">
        <v>355</v>
      </c>
    </row>
    <row r="23810" ht="16.5" customHeight="1">
      <c r="O23810" s="5" t="s">
        <v>355</v>
      </c>
      <c r="P23810" s="5" t="s">
        <v>355</v>
      </c>
      <c r="Q23810" s="5" t="s">
        <v>355</v>
      </c>
    </row>
    <row r="23811" ht="16.5" customHeight="1">
      <c r="O23811" s="5" t="s">
        <v>355</v>
      </c>
      <c r="P23811" s="5" t="s">
        <v>355</v>
      </c>
      <c r="Q23811" s="5" t="s">
        <v>355</v>
      </c>
    </row>
    <row r="23812" ht="16.5" customHeight="1">
      <c r="O23812" s="5" t="s">
        <v>355</v>
      </c>
      <c r="P23812" s="5" t="s">
        <v>355</v>
      </c>
      <c r="Q23812" s="5" t="s">
        <v>355</v>
      </c>
    </row>
    <row r="23813" ht="16.5" customHeight="1">
      <c r="O23813" s="5" t="s">
        <v>355</v>
      </c>
      <c r="P23813" s="5" t="s">
        <v>355</v>
      </c>
      <c r="Q23813" s="5" t="s">
        <v>355</v>
      </c>
    </row>
    <row r="23814" ht="16.5" customHeight="1">
      <c r="O23814" s="5" t="s">
        <v>355</v>
      </c>
      <c r="P23814" s="5" t="s">
        <v>355</v>
      </c>
      <c r="Q23814" s="5" t="s">
        <v>355</v>
      </c>
    </row>
    <row r="23815" ht="16.5" customHeight="1">
      <c r="O23815" s="5" t="s">
        <v>355</v>
      </c>
      <c r="P23815" s="5" t="s">
        <v>355</v>
      </c>
      <c r="Q23815" s="5" t="s">
        <v>355</v>
      </c>
    </row>
    <row r="23816" ht="16.5" customHeight="1">
      <c r="O23816" s="5" t="s">
        <v>355</v>
      </c>
      <c r="P23816" s="5" t="s">
        <v>355</v>
      </c>
      <c r="Q23816" s="5" t="s">
        <v>355</v>
      </c>
    </row>
    <row r="23817" ht="16.5" customHeight="1">
      <c r="O23817" s="5" t="s">
        <v>355</v>
      </c>
      <c r="P23817" s="5" t="s">
        <v>355</v>
      </c>
      <c r="Q23817" s="5" t="s">
        <v>355</v>
      </c>
    </row>
    <row r="23818" ht="16.5" customHeight="1">
      <c r="O23818" s="5" t="s">
        <v>355</v>
      </c>
      <c r="P23818" s="5" t="s">
        <v>355</v>
      </c>
      <c r="Q23818" s="5" t="s">
        <v>355</v>
      </c>
    </row>
    <row r="23819" ht="16.5" customHeight="1">
      <c r="O23819" s="5" t="s">
        <v>355</v>
      </c>
      <c r="P23819" s="5" t="s">
        <v>355</v>
      </c>
      <c r="Q23819" s="5" t="s">
        <v>355</v>
      </c>
    </row>
    <row r="23820" ht="16.5" customHeight="1">
      <c r="O23820" s="5" t="s">
        <v>355</v>
      </c>
      <c r="P23820" s="5" t="s">
        <v>355</v>
      </c>
      <c r="Q23820" s="5" t="s">
        <v>355</v>
      </c>
    </row>
    <row r="23821" ht="16.5" customHeight="1">
      <c r="O23821" s="5" t="s">
        <v>355</v>
      </c>
      <c r="P23821" s="5" t="s">
        <v>355</v>
      </c>
      <c r="Q23821" s="5" t="s">
        <v>355</v>
      </c>
    </row>
    <row r="23822" ht="16.5" customHeight="1">
      <c r="O23822" s="5" t="s">
        <v>355</v>
      </c>
      <c r="P23822" s="5" t="s">
        <v>355</v>
      </c>
      <c r="Q23822" s="5" t="s">
        <v>355</v>
      </c>
    </row>
    <row r="23823" ht="16.5" customHeight="1">
      <c r="O23823" s="5" t="s">
        <v>355</v>
      </c>
      <c r="P23823" s="5" t="s">
        <v>355</v>
      </c>
      <c r="Q23823" s="5" t="s">
        <v>355</v>
      </c>
    </row>
    <row r="23824" ht="16.5" customHeight="1">
      <c r="O23824" s="5" t="s">
        <v>355</v>
      </c>
      <c r="P23824" s="5" t="s">
        <v>355</v>
      </c>
      <c r="Q23824" s="5" t="s">
        <v>355</v>
      </c>
    </row>
    <row r="23825" ht="16.5" customHeight="1">
      <c r="O23825" s="5" t="s">
        <v>355</v>
      </c>
      <c r="P23825" s="5" t="s">
        <v>355</v>
      </c>
      <c r="Q23825" s="5" t="s">
        <v>355</v>
      </c>
    </row>
    <row r="23826" ht="16.5" customHeight="1">
      <c r="O23826" s="5" t="s">
        <v>355</v>
      </c>
      <c r="P23826" s="5" t="s">
        <v>355</v>
      </c>
      <c r="Q23826" s="5" t="s">
        <v>355</v>
      </c>
    </row>
    <row r="23827" ht="16.5" customHeight="1">
      <c r="O23827" s="5" t="s">
        <v>355</v>
      </c>
      <c r="P23827" s="5" t="s">
        <v>355</v>
      </c>
      <c r="Q23827" s="5" t="s">
        <v>355</v>
      </c>
    </row>
    <row r="23828" ht="16.5" customHeight="1">
      <c r="O23828" s="5" t="s">
        <v>355</v>
      </c>
      <c r="P23828" s="5" t="s">
        <v>355</v>
      </c>
      <c r="Q23828" s="5" t="s">
        <v>355</v>
      </c>
    </row>
    <row r="23829" ht="16.5" customHeight="1">
      <c r="O23829" s="5" t="s">
        <v>355</v>
      </c>
      <c r="P23829" s="5" t="s">
        <v>355</v>
      </c>
      <c r="Q23829" s="5" t="s">
        <v>355</v>
      </c>
    </row>
    <row r="23830" ht="16.5" customHeight="1">
      <c r="O23830" s="5" t="s">
        <v>355</v>
      </c>
      <c r="P23830" s="5" t="s">
        <v>355</v>
      </c>
      <c r="Q23830" s="5" t="s">
        <v>355</v>
      </c>
    </row>
    <row r="23831" ht="16.5" customHeight="1">
      <c r="O23831" s="5" t="s">
        <v>355</v>
      </c>
      <c r="P23831" s="5" t="s">
        <v>355</v>
      </c>
      <c r="Q23831" s="5" t="s">
        <v>355</v>
      </c>
    </row>
    <row r="23832" ht="16.5" customHeight="1">
      <c r="O23832" s="5" t="s">
        <v>355</v>
      </c>
      <c r="P23832" s="5" t="s">
        <v>355</v>
      </c>
      <c r="Q23832" s="5" t="s">
        <v>355</v>
      </c>
    </row>
    <row r="23833" ht="16.5" customHeight="1">
      <c r="O23833" s="5" t="s">
        <v>355</v>
      </c>
      <c r="P23833" s="5" t="s">
        <v>355</v>
      </c>
      <c r="Q23833" s="5" t="s">
        <v>355</v>
      </c>
    </row>
    <row r="23834" ht="16.5" customHeight="1">
      <c r="O23834" s="5" t="s">
        <v>355</v>
      </c>
      <c r="P23834" s="5" t="s">
        <v>355</v>
      </c>
      <c r="Q23834" s="5" t="s">
        <v>355</v>
      </c>
    </row>
    <row r="23835" ht="16.5" customHeight="1">
      <c r="O23835" s="5" t="s">
        <v>355</v>
      </c>
      <c r="P23835" s="5" t="s">
        <v>355</v>
      </c>
      <c r="Q23835" s="5" t="s">
        <v>355</v>
      </c>
    </row>
    <row r="23836" ht="16.5" customHeight="1">
      <c r="O23836" s="5" t="s">
        <v>355</v>
      </c>
      <c r="P23836" s="5" t="s">
        <v>355</v>
      </c>
      <c r="Q23836" s="5" t="s">
        <v>355</v>
      </c>
    </row>
    <row r="23837" ht="16.5" customHeight="1">
      <c r="O23837" s="5" t="s">
        <v>355</v>
      </c>
      <c r="P23837" s="5" t="s">
        <v>355</v>
      </c>
      <c r="Q23837" s="5" t="s">
        <v>355</v>
      </c>
    </row>
    <row r="23838" ht="16.5" customHeight="1">
      <c r="O23838" s="5" t="s">
        <v>355</v>
      </c>
      <c r="P23838" s="5" t="s">
        <v>355</v>
      </c>
      <c r="Q23838" s="5" t="s">
        <v>355</v>
      </c>
    </row>
    <row r="23839" ht="16.5" customHeight="1">
      <c r="O23839" s="5" t="s">
        <v>355</v>
      </c>
      <c r="P23839" s="5" t="s">
        <v>355</v>
      </c>
      <c r="Q23839" s="5" t="s">
        <v>355</v>
      </c>
    </row>
    <row r="23840" ht="16.5" customHeight="1">
      <c r="O23840" s="5" t="s">
        <v>355</v>
      </c>
      <c r="P23840" s="5" t="s">
        <v>355</v>
      </c>
      <c r="Q23840" s="5" t="s">
        <v>355</v>
      </c>
    </row>
    <row r="23841" ht="16.5" customHeight="1">
      <c r="O23841" s="5" t="s">
        <v>355</v>
      </c>
      <c r="P23841" s="5" t="s">
        <v>355</v>
      </c>
      <c r="Q23841" s="5" t="s">
        <v>355</v>
      </c>
    </row>
    <row r="23842" ht="16.5" customHeight="1">
      <c r="O23842" s="5" t="s">
        <v>355</v>
      </c>
      <c r="P23842" s="5" t="s">
        <v>355</v>
      </c>
      <c r="Q23842" s="5" t="s">
        <v>355</v>
      </c>
    </row>
    <row r="23843" ht="16.5" customHeight="1">
      <c r="O23843" s="5" t="s">
        <v>355</v>
      </c>
      <c r="P23843" s="5" t="s">
        <v>355</v>
      </c>
      <c r="Q23843" s="5" t="s">
        <v>355</v>
      </c>
    </row>
    <row r="23844" ht="16.5" customHeight="1">
      <c r="O23844" s="5" t="s">
        <v>355</v>
      </c>
      <c r="P23844" s="5" t="s">
        <v>355</v>
      </c>
      <c r="Q23844" s="5" t="s">
        <v>355</v>
      </c>
    </row>
    <row r="23845" ht="16.5" customHeight="1">
      <c r="O23845" s="5" t="s">
        <v>355</v>
      </c>
      <c r="P23845" s="5" t="s">
        <v>355</v>
      </c>
      <c r="Q23845" s="5" t="s">
        <v>355</v>
      </c>
    </row>
    <row r="23846" ht="16.5" customHeight="1">
      <c r="O23846" s="5" t="s">
        <v>355</v>
      </c>
      <c r="P23846" s="5" t="s">
        <v>355</v>
      </c>
      <c r="Q23846" s="5" t="s">
        <v>355</v>
      </c>
    </row>
    <row r="23847" ht="16.5" customHeight="1">
      <c r="O23847" s="5" t="s">
        <v>355</v>
      </c>
      <c r="P23847" s="5" t="s">
        <v>355</v>
      </c>
      <c r="Q23847" s="5" t="s">
        <v>355</v>
      </c>
    </row>
    <row r="23848" ht="16.5" customHeight="1">
      <c r="O23848" s="5" t="s">
        <v>355</v>
      </c>
      <c r="P23848" s="5" t="s">
        <v>355</v>
      </c>
      <c r="Q23848" s="5" t="s">
        <v>355</v>
      </c>
    </row>
    <row r="23849" ht="16.5" customHeight="1">
      <c r="O23849" s="5" t="s">
        <v>355</v>
      </c>
      <c r="P23849" s="5" t="s">
        <v>355</v>
      </c>
      <c r="Q23849" s="5" t="s">
        <v>355</v>
      </c>
    </row>
    <row r="23850" ht="16.5" customHeight="1">
      <c r="O23850" s="5" t="s">
        <v>355</v>
      </c>
      <c r="P23850" s="5" t="s">
        <v>355</v>
      </c>
      <c r="Q23850" s="5" t="s">
        <v>355</v>
      </c>
    </row>
    <row r="23851" ht="16.5" customHeight="1">
      <c r="O23851" s="5" t="s">
        <v>355</v>
      </c>
      <c r="P23851" s="5" t="s">
        <v>355</v>
      </c>
      <c r="Q23851" s="5" t="s">
        <v>355</v>
      </c>
    </row>
    <row r="23852" ht="16.5" customHeight="1">
      <c r="O23852" s="5" t="s">
        <v>355</v>
      </c>
      <c r="P23852" s="5" t="s">
        <v>355</v>
      </c>
      <c r="Q23852" s="5" t="s">
        <v>355</v>
      </c>
    </row>
    <row r="23853" ht="16.5" customHeight="1">
      <c r="O23853" s="5" t="s">
        <v>355</v>
      </c>
      <c r="P23853" s="5" t="s">
        <v>355</v>
      </c>
      <c r="Q23853" s="5" t="s">
        <v>355</v>
      </c>
    </row>
    <row r="23854" ht="16.5" customHeight="1">
      <c r="O23854" s="5" t="s">
        <v>355</v>
      </c>
      <c r="P23854" s="5" t="s">
        <v>355</v>
      </c>
      <c r="Q23854" s="5" t="s">
        <v>355</v>
      </c>
    </row>
    <row r="23855" ht="16.5" customHeight="1">
      <c r="O23855" s="5" t="s">
        <v>355</v>
      </c>
      <c r="P23855" s="5" t="s">
        <v>355</v>
      </c>
      <c r="Q23855" s="5" t="s">
        <v>355</v>
      </c>
    </row>
    <row r="23856" ht="16.5" customHeight="1">
      <c r="O23856" s="5" t="s">
        <v>355</v>
      </c>
      <c r="P23856" s="5" t="s">
        <v>355</v>
      </c>
      <c r="Q23856" s="5" t="s">
        <v>355</v>
      </c>
    </row>
    <row r="23857" ht="16.5" customHeight="1">
      <c r="O23857" s="5" t="s">
        <v>355</v>
      </c>
      <c r="P23857" s="5" t="s">
        <v>355</v>
      </c>
      <c r="Q23857" s="5" t="s">
        <v>355</v>
      </c>
    </row>
    <row r="23858" ht="16.5" customHeight="1">
      <c r="O23858" s="5" t="s">
        <v>355</v>
      </c>
      <c r="P23858" s="5" t="s">
        <v>355</v>
      </c>
      <c r="Q23858" s="5" t="s">
        <v>355</v>
      </c>
    </row>
    <row r="23859" ht="16.5" customHeight="1">
      <c r="O23859" s="5" t="s">
        <v>355</v>
      </c>
      <c r="P23859" s="5" t="s">
        <v>355</v>
      </c>
      <c r="Q23859" s="5" t="s">
        <v>355</v>
      </c>
    </row>
    <row r="23860" ht="16.5" customHeight="1">
      <c r="O23860" s="5" t="s">
        <v>355</v>
      </c>
      <c r="P23860" s="5" t="s">
        <v>355</v>
      </c>
      <c r="Q23860" s="5" t="s">
        <v>355</v>
      </c>
    </row>
    <row r="23861" ht="16.5" customHeight="1">
      <c r="O23861" s="5" t="s">
        <v>355</v>
      </c>
      <c r="P23861" s="5" t="s">
        <v>355</v>
      </c>
      <c r="Q23861" s="5" t="s">
        <v>355</v>
      </c>
    </row>
    <row r="23862" ht="16.5" customHeight="1">
      <c r="O23862" s="5" t="s">
        <v>355</v>
      </c>
      <c r="P23862" s="5" t="s">
        <v>355</v>
      </c>
      <c r="Q23862" s="5" t="s">
        <v>355</v>
      </c>
    </row>
    <row r="23863" ht="16.5" customHeight="1">
      <c r="O23863" s="5" t="s">
        <v>355</v>
      </c>
      <c r="P23863" s="5" t="s">
        <v>355</v>
      </c>
      <c r="Q23863" s="5" t="s">
        <v>355</v>
      </c>
    </row>
    <row r="23864" ht="16.5" customHeight="1">
      <c r="O23864" s="5" t="s">
        <v>355</v>
      </c>
      <c r="P23864" s="5" t="s">
        <v>355</v>
      </c>
      <c r="Q23864" s="5" t="s">
        <v>355</v>
      </c>
    </row>
    <row r="23865" ht="16.5" customHeight="1">
      <c r="O23865" s="5" t="s">
        <v>355</v>
      </c>
      <c r="P23865" s="5" t="s">
        <v>355</v>
      </c>
      <c r="Q23865" s="5" t="s">
        <v>355</v>
      </c>
    </row>
    <row r="23866" ht="16.5" customHeight="1">
      <c r="O23866" s="5" t="s">
        <v>355</v>
      </c>
      <c r="P23866" s="5" t="s">
        <v>355</v>
      </c>
      <c r="Q23866" s="5" t="s">
        <v>355</v>
      </c>
    </row>
    <row r="23867" ht="16.5" customHeight="1">
      <c r="O23867" s="5" t="s">
        <v>355</v>
      </c>
      <c r="P23867" s="5" t="s">
        <v>355</v>
      </c>
      <c r="Q23867" s="5" t="s">
        <v>355</v>
      </c>
    </row>
    <row r="23868" ht="16.5" customHeight="1">
      <c r="O23868" s="5" t="s">
        <v>355</v>
      </c>
      <c r="P23868" s="5" t="s">
        <v>355</v>
      </c>
      <c r="Q23868" s="5" t="s">
        <v>355</v>
      </c>
    </row>
    <row r="23869" ht="16.5" customHeight="1">
      <c r="O23869" s="5" t="s">
        <v>355</v>
      </c>
      <c r="P23869" s="5" t="s">
        <v>355</v>
      </c>
      <c r="Q23869" s="5" t="s">
        <v>355</v>
      </c>
    </row>
    <row r="23870" ht="16.5" customHeight="1">
      <c r="O23870" s="5" t="s">
        <v>355</v>
      </c>
      <c r="P23870" s="5" t="s">
        <v>355</v>
      </c>
      <c r="Q23870" s="5" t="s">
        <v>355</v>
      </c>
    </row>
    <row r="23871" ht="16.5" customHeight="1">
      <c r="O23871" s="5" t="s">
        <v>355</v>
      </c>
      <c r="P23871" s="5" t="s">
        <v>355</v>
      </c>
      <c r="Q23871" s="5" t="s">
        <v>355</v>
      </c>
    </row>
    <row r="23872" ht="16.5" customHeight="1">
      <c r="O23872" s="5" t="s">
        <v>355</v>
      </c>
      <c r="P23872" s="5" t="s">
        <v>355</v>
      </c>
      <c r="Q23872" s="5" t="s">
        <v>355</v>
      </c>
    </row>
    <row r="23873" ht="16.5" customHeight="1">
      <c r="O23873" s="5" t="s">
        <v>355</v>
      </c>
      <c r="P23873" s="5" t="s">
        <v>355</v>
      </c>
      <c r="Q23873" s="5" t="s">
        <v>355</v>
      </c>
    </row>
    <row r="23874" ht="16.5" customHeight="1">
      <c r="O23874" s="5" t="s">
        <v>355</v>
      </c>
      <c r="P23874" s="5" t="s">
        <v>355</v>
      </c>
      <c r="Q23874" s="5" t="s">
        <v>355</v>
      </c>
    </row>
    <row r="23875" ht="16.5" customHeight="1">
      <c r="O23875" s="5" t="s">
        <v>355</v>
      </c>
      <c r="P23875" s="5" t="s">
        <v>355</v>
      </c>
      <c r="Q23875" s="5" t="s">
        <v>355</v>
      </c>
    </row>
    <row r="23876" ht="16.5" customHeight="1">
      <c r="O23876" s="5" t="s">
        <v>355</v>
      </c>
      <c r="P23876" s="5" t="s">
        <v>355</v>
      </c>
      <c r="Q23876" s="5" t="s">
        <v>355</v>
      </c>
    </row>
    <row r="23877" ht="16.5" customHeight="1">
      <c r="O23877" s="5" t="s">
        <v>355</v>
      </c>
      <c r="P23877" s="5" t="s">
        <v>355</v>
      </c>
      <c r="Q23877" s="5" t="s">
        <v>355</v>
      </c>
    </row>
    <row r="23878" ht="16.5" customHeight="1">
      <c r="O23878" s="5" t="s">
        <v>355</v>
      </c>
      <c r="P23878" s="5" t="s">
        <v>355</v>
      </c>
      <c r="Q23878" s="5" t="s">
        <v>355</v>
      </c>
    </row>
    <row r="23879" ht="16.5" customHeight="1">
      <c r="O23879" s="5" t="s">
        <v>355</v>
      </c>
      <c r="P23879" s="5" t="s">
        <v>355</v>
      </c>
      <c r="Q23879" s="5" t="s">
        <v>355</v>
      </c>
    </row>
    <row r="23880" ht="16.5" customHeight="1">
      <c r="O23880" s="5" t="s">
        <v>355</v>
      </c>
      <c r="P23880" s="5" t="s">
        <v>355</v>
      </c>
      <c r="Q23880" s="5" t="s">
        <v>355</v>
      </c>
    </row>
    <row r="23881" ht="16.5" customHeight="1">
      <c r="O23881" s="5" t="s">
        <v>355</v>
      </c>
      <c r="P23881" s="5" t="s">
        <v>355</v>
      </c>
      <c r="Q23881" s="5" t="s">
        <v>355</v>
      </c>
    </row>
    <row r="23882" ht="16.5" customHeight="1">
      <c r="O23882" s="5" t="s">
        <v>355</v>
      </c>
      <c r="P23882" s="5" t="s">
        <v>355</v>
      </c>
      <c r="Q23882" s="5" t="s">
        <v>355</v>
      </c>
    </row>
    <row r="23883" ht="16.5" customHeight="1">
      <c r="O23883" s="5" t="s">
        <v>355</v>
      </c>
      <c r="P23883" s="5" t="s">
        <v>355</v>
      </c>
      <c r="Q23883" s="5" t="s">
        <v>355</v>
      </c>
    </row>
    <row r="23884" ht="16.5" customHeight="1">
      <c r="O23884" s="5" t="s">
        <v>355</v>
      </c>
      <c r="P23884" s="5" t="s">
        <v>355</v>
      </c>
      <c r="Q23884" s="5" t="s">
        <v>355</v>
      </c>
    </row>
    <row r="23885" ht="16.5" customHeight="1">
      <c r="O23885" s="5" t="s">
        <v>355</v>
      </c>
      <c r="P23885" s="5" t="s">
        <v>355</v>
      </c>
      <c r="Q23885" s="5" t="s">
        <v>355</v>
      </c>
    </row>
    <row r="23886" ht="16.5" customHeight="1">
      <c r="O23886" s="5" t="s">
        <v>355</v>
      </c>
      <c r="P23886" s="5" t="s">
        <v>355</v>
      </c>
      <c r="Q23886" s="5" t="s">
        <v>355</v>
      </c>
    </row>
    <row r="23887" ht="16.5" customHeight="1">
      <c r="O23887" s="5" t="s">
        <v>355</v>
      </c>
      <c r="P23887" s="5" t="s">
        <v>355</v>
      </c>
      <c r="Q23887" s="5" t="s">
        <v>355</v>
      </c>
    </row>
    <row r="23888" ht="16.5" customHeight="1">
      <c r="O23888" s="5" t="s">
        <v>355</v>
      </c>
      <c r="P23888" s="5" t="s">
        <v>355</v>
      </c>
      <c r="Q23888" s="5" t="s">
        <v>355</v>
      </c>
    </row>
    <row r="23889" ht="16.5" customHeight="1">
      <c r="O23889" s="5" t="s">
        <v>355</v>
      </c>
      <c r="P23889" s="5" t="s">
        <v>355</v>
      </c>
      <c r="Q23889" s="5" t="s">
        <v>355</v>
      </c>
    </row>
    <row r="23890" ht="16.5" customHeight="1">
      <c r="O23890" s="5" t="s">
        <v>355</v>
      </c>
      <c r="P23890" s="5" t="s">
        <v>355</v>
      </c>
      <c r="Q23890" s="5" t="s">
        <v>355</v>
      </c>
    </row>
    <row r="23891" ht="16.5" customHeight="1">
      <c r="O23891" s="5" t="s">
        <v>355</v>
      </c>
      <c r="P23891" s="5" t="s">
        <v>355</v>
      </c>
      <c r="Q23891" s="5" t="s">
        <v>355</v>
      </c>
    </row>
    <row r="23892" ht="16.5" customHeight="1">
      <c r="O23892" s="5" t="s">
        <v>355</v>
      </c>
      <c r="P23892" s="5" t="s">
        <v>355</v>
      </c>
      <c r="Q23892" s="5" t="s">
        <v>355</v>
      </c>
    </row>
    <row r="23893" ht="16.5" customHeight="1">
      <c r="O23893" s="5" t="s">
        <v>355</v>
      </c>
      <c r="P23893" s="5" t="s">
        <v>355</v>
      </c>
      <c r="Q23893" s="5" t="s">
        <v>355</v>
      </c>
    </row>
    <row r="23894" ht="16.5" customHeight="1">
      <c r="O23894" s="5" t="s">
        <v>355</v>
      </c>
      <c r="P23894" s="5" t="s">
        <v>355</v>
      </c>
      <c r="Q23894" s="5" t="s">
        <v>355</v>
      </c>
    </row>
    <row r="23895" ht="16.5" customHeight="1">
      <c r="O23895" s="5" t="s">
        <v>355</v>
      </c>
      <c r="P23895" s="5" t="s">
        <v>355</v>
      </c>
      <c r="Q23895" s="5" t="s">
        <v>355</v>
      </c>
    </row>
    <row r="23896" ht="16.5" customHeight="1">
      <c r="O23896" s="5" t="s">
        <v>355</v>
      </c>
      <c r="P23896" s="5" t="s">
        <v>355</v>
      </c>
      <c r="Q23896" s="5" t="s">
        <v>355</v>
      </c>
    </row>
    <row r="23897" ht="16.5" customHeight="1">
      <c r="O23897" s="5" t="s">
        <v>355</v>
      </c>
      <c r="P23897" s="5" t="s">
        <v>355</v>
      </c>
      <c r="Q23897" s="5" t="s">
        <v>355</v>
      </c>
    </row>
    <row r="23898" ht="16.5" customHeight="1">
      <c r="O23898" s="5" t="s">
        <v>355</v>
      </c>
      <c r="P23898" s="5" t="s">
        <v>355</v>
      </c>
      <c r="Q23898" s="5" t="s">
        <v>355</v>
      </c>
    </row>
    <row r="23899" ht="16.5" customHeight="1">
      <c r="O23899" s="5" t="s">
        <v>355</v>
      </c>
      <c r="P23899" s="5" t="s">
        <v>355</v>
      </c>
      <c r="Q23899" s="5" t="s">
        <v>355</v>
      </c>
    </row>
    <row r="23900" ht="16.5" customHeight="1">
      <c r="O23900" s="5" t="s">
        <v>355</v>
      </c>
      <c r="P23900" s="5" t="s">
        <v>355</v>
      </c>
      <c r="Q23900" s="5" t="s">
        <v>355</v>
      </c>
    </row>
    <row r="23901" ht="16.5" customHeight="1">
      <c r="O23901" s="5" t="s">
        <v>355</v>
      </c>
      <c r="P23901" s="5" t="s">
        <v>355</v>
      </c>
      <c r="Q23901" s="5" t="s">
        <v>355</v>
      </c>
    </row>
    <row r="23902" ht="16.5" customHeight="1">
      <c r="O23902" s="5" t="s">
        <v>355</v>
      </c>
      <c r="P23902" s="5" t="s">
        <v>355</v>
      </c>
      <c r="Q23902" s="5" t="s">
        <v>355</v>
      </c>
    </row>
    <row r="23903" ht="16.5" customHeight="1">
      <c r="O23903" s="5" t="s">
        <v>355</v>
      </c>
      <c r="P23903" s="5" t="s">
        <v>355</v>
      </c>
      <c r="Q23903" s="5" t="s">
        <v>355</v>
      </c>
    </row>
    <row r="23904" ht="16.5" customHeight="1">
      <c r="O23904" s="5" t="s">
        <v>355</v>
      </c>
      <c r="P23904" s="5" t="s">
        <v>355</v>
      </c>
      <c r="Q23904" s="5" t="s">
        <v>355</v>
      </c>
    </row>
    <row r="23905" ht="16.5" customHeight="1">
      <c r="O23905" s="5" t="s">
        <v>355</v>
      </c>
      <c r="P23905" s="5" t="s">
        <v>355</v>
      </c>
      <c r="Q23905" s="5" t="s">
        <v>355</v>
      </c>
    </row>
    <row r="23906" ht="16.5" customHeight="1">
      <c r="O23906" s="5" t="s">
        <v>355</v>
      </c>
      <c r="P23906" s="5" t="s">
        <v>355</v>
      </c>
      <c r="Q23906" s="5" t="s">
        <v>355</v>
      </c>
    </row>
    <row r="23907" ht="16.5" customHeight="1">
      <c r="O23907" s="5" t="s">
        <v>355</v>
      </c>
      <c r="P23907" s="5" t="s">
        <v>355</v>
      </c>
      <c r="Q23907" s="5" t="s">
        <v>355</v>
      </c>
    </row>
    <row r="23908" ht="16.5" customHeight="1">
      <c r="O23908" s="5" t="s">
        <v>355</v>
      </c>
      <c r="P23908" s="5" t="s">
        <v>355</v>
      </c>
      <c r="Q23908" s="5" t="s">
        <v>355</v>
      </c>
    </row>
    <row r="23909" ht="16.5" customHeight="1">
      <c r="O23909" s="5" t="s">
        <v>355</v>
      </c>
      <c r="P23909" s="5" t="s">
        <v>355</v>
      </c>
      <c r="Q23909" s="5" t="s">
        <v>355</v>
      </c>
    </row>
    <row r="23910" ht="16.5" customHeight="1">
      <c r="O23910" s="5" t="s">
        <v>355</v>
      </c>
      <c r="P23910" s="5" t="s">
        <v>355</v>
      </c>
      <c r="Q23910" s="5" t="s">
        <v>355</v>
      </c>
    </row>
    <row r="23911" ht="16.5" customHeight="1">
      <c r="O23911" s="5" t="s">
        <v>355</v>
      </c>
      <c r="P23911" s="5" t="s">
        <v>355</v>
      </c>
      <c r="Q23911" s="5" t="s">
        <v>355</v>
      </c>
    </row>
    <row r="23912" ht="16.5" customHeight="1">
      <c r="O23912" s="5" t="s">
        <v>355</v>
      </c>
      <c r="P23912" s="5" t="s">
        <v>355</v>
      </c>
      <c r="Q23912" s="5" t="s">
        <v>355</v>
      </c>
    </row>
    <row r="23913" ht="16.5" customHeight="1">
      <c r="O23913" s="5" t="s">
        <v>355</v>
      </c>
      <c r="P23913" s="5" t="s">
        <v>355</v>
      </c>
      <c r="Q23913" s="5" t="s">
        <v>355</v>
      </c>
    </row>
    <row r="23914" ht="16.5" customHeight="1">
      <c r="O23914" s="5" t="s">
        <v>355</v>
      </c>
      <c r="P23914" s="5" t="s">
        <v>355</v>
      </c>
      <c r="Q23914" s="5" t="s">
        <v>355</v>
      </c>
    </row>
    <row r="23915" ht="16.5" customHeight="1">
      <c r="O23915" s="5" t="s">
        <v>355</v>
      </c>
      <c r="P23915" s="5" t="s">
        <v>355</v>
      </c>
      <c r="Q23915" s="5" t="s">
        <v>355</v>
      </c>
    </row>
    <row r="23916" ht="16.5" customHeight="1">
      <c r="O23916" s="5" t="s">
        <v>355</v>
      </c>
      <c r="P23916" s="5" t="s">
        <v>355</v>
      </c>
      <c r="Q23916" s="5" t="s">
        <v>355</v>
      </c>
    </row>
    <row r="23917" ht="16.5" customHeight="1">
      <c r="O23917" s="5" t="s">
        <v>355</v>
      </c>
      <c r="P23917" s="5" t="s">
        <v>355</v>
      </c>
      <c r="Q23917" s="5" t="s">
        <v>355</v>
      </c>
    </row>
    <row r="23918" ht="16.5" customHeight="1">
      <c r="O23918" s="5" t="s">
        <v>355</v>
      </c>
      <c r="P23918" s="5" t="s">
        <v>355</v>
      </c>
      <c r="Q23918" s="5" t="s">
        <v>355</v>
      </c>
    </row>
    <row r="23919" ht="16.5" customHeight="1">
      <c r="O23919" s="5" t="s">
        <v>355</v>
      </c>
      <c r="P23919" s="5" t="s">
        <v>355</v>
      </c>
      <c r="Q23919" s="5" t="s">
        <v>355</v>
      </c>
    </row>
    <row r="23920" ht="16.5" customHeight="1">
      <c r="O23920" s="5" t="s">
        <v>355</v>
      </c>
      <c r="P23920" s="5" t="s">
        <v>355</v>
      </c>
      <c r="Q23920" s="5" t="s">
        <v>355</v>
      </c>
    </row>
    <row r="23921" ht="16.5" customHeight="1">
      <c r="O23921" s="5" t="s">
        <v>355</v>
      </c>
      <c r="P23921" s="5" t="s">
        <v>355</v>
      </c>
      <c r="Q23921" s="5" t="s">
        <v>355</v>
      </c>
    </row>
    <row r="23922" ht="16.5" customHeight="1">
      <c r="O23922" s="5" t="s">
        <v>355</v>
      </c>
      <c r="P23922" s="5" t="s">
        <v>355</v>
      </c>
      <c r="Q23922" s="5" t="s">
        <v>355</v>
      </c>
    </row>
    <row r="23923" ht="16.5" customHeight="1">
      <c r="O23923" s="5" t="s">
        <v>355</v>
      </c>
      <c r="P23923" s="5" t="s">
        <v>355</v>
      </c>
      <c r="Q23923" s="5" t="s">
        <v>355</v>
      </c>
    </row>
    <row r="23924" ht="16.5" customHeight="1">
      <c r="O23924" s="5" t="s">
        <v>355</v>
      </c>
      <c r="P23924" s="5" t="s">
        <v>355</v>
      </c>
      <c r="Q23924" s="5" t="s">
        <v>355</v>
      </c>
    </row>
    <row r="23925" ht="16.5" customHeight="1">
      <c r="O23925" s="5" t="s">
        <v>355</v>
      </c>
      <c r="P23925" s="5" t="s">
        <v>355</v>
      </c>
      <c r="Q23925" s="5" t="s">
        <v>355</v>
      </c>
    </row>
    <row r="23926" ht="16.5" customHeight="1">
      <c r="O23926" s="5" t="s">
        <v>355</v>
      </c>
      <c r="P23926" s="5" t="s">
        <v>355</v>
      </c>
      <c r="Q23926" s="5" t="s">
        <v>355</v>
      </c>
    </row>
    <row r="23927" ht="16.5" customHeight="1">
      <c r="O23927" s="5" t="s">
        <v>355</v>
      </c>
      <c r="P23927" s="5" t="s">
        <v>355</v>
      </c>
      <c r="Q23927" s="5" t="s">
        <v>355</v>
      </c>
    </row>
    <row r="23928" ht="16.5" customHeight="1">
      <c r="O23928" s="5" t="s">
        <v>355</v>
      </c>
      <c r="P23928" s="5" t="s">
        <v>355</v>
      </c>
      <c r="Q23928" s="5" t="s">
        <v>355</v>
      </c>
    </row>
    <row r="23929" ht="16.5" customHeight="1">
      <c r="O23929" s="5" t="s">
        <v>355</v>
      </c>
      <c r="P23929" s="5" t="s">
        <v>355</v>
      </c>
      <c r="Q23929" s="5" t="s">
        <v>355</v>
      </c>
    </row>
    <row r="23930" ht="16.5" customHeight="1">
      <c r="O23930" s="5" t="s">
        <v>355</v>
      </c>
      <c r="P23930" s="5" t="s">
        <v>355</v>
      </c>
      <c r="Q23930" s="5" t="s">
        <v>355</v>
      </c>
    </row>
    <row r="23931" ht="16.5" customHeight="1">
      <c r="O23931" s="5" t="s">
        <v>355</v>
      </c>
      <c r="P23931" s="5" t="s">
        <v>355</v>
      </c>
      <c r="Q23931" s="5" t="s">
        <v>355</v>
      </c>
    </row>
    <row r="23932" ht="16.5" customHeight="1">
      <c r="O23932" s="5" t="s">
        <v>355</v>
      </c>
      <c r="P23932" s="5" t="s">
        <v>355</v>
      </c>
      <c r="Q23932" s="5" t="s">
        <v>355</v>
      </c>
    </row>
    <row r="23933" ht="16.5" customHeight="1">
      <c r="O23933" s="5" t="s">
        <v>355</v>
      </c>
      <c r="P23933" s="5" t="s">
        <v>355</v>
      </c>
      <c r="Q23933" s="5" t="s">
        <v>355</v>
      </c>
    </row>
    <row r="23934" ht="16.5" customHeight="1">
      <c r="O23934" s="5" t="s">
        <v>355</v>
      </c>
      <c r="P23934" s="5" t="s">
        <v>355</v>
      </c>
      <c r="Q23934" s="5" t="s">
        <v>355</v>
      </c>
    </row>
    <row r="23935" ht="16.5" customHeight="1">
      <c r="O23935" s="5" t="s">
        <v>355</v>
      </c>
      <c r="P23935" s="5" t="s">
        <v>355</v>
      </c>
      <c r="Q23935" s="5" t="s">
        <v>355</v>
      </c>
    </row>
    <row r="23936" ht="16.5" customHeight="1">
      <c r="O23936" s="5" t="s">
        <v>355</v>
      </c>
      <c r="P23936" s="5" t="s">
        <v>355</v>
      </c>
      <c r="Q23936" s="5" t="s">
        <v>355</v>
      </c>
    </row>
    <row r="23937" ht="16.5" customHeight="1">
      <c r="O23937" s="5" t="s">
        <v>355</v>
      </c>
      <c r="P23937" s="5" t="s">
        <v>355</v>
      </c>
      <c r="Q23937" s="5" t="s">
        <v>355</v>
      </c>
    </row>
    <row r="23938" ht="16.5" customHeight="1">
      <c r="O23938" s="5" t="s">
        <v>355</v>
      </c>
      <c r="P23938" s="5" t="s">
        <v>355</v>
      </c>
      <c r="Q23938" s="5" t="s">
        <v>355</v>
      </c>
    </row>
    <row r="23939" ht="16.5" customHeight="1">
      <c r="O23939" s="5" t="s">
        <v>355</v>
      </c>
      <c r="P23939" s="5" t="s">
        <v>355</v>
      </c>
      <c r="Q23939" s="5" t="s">
        <v>355</v>
      </c>
    </row>
    <row r="23940" ht="16.5" customHeight="1">
      <c r="O23940" s="5" t="s">
        <v>355</v>
      </c>
      <c r="P23940" s="5" t="s">
        <v>355</v>
      </c>
      <c r="Q23940" s="5" t="s">
        <v>355</v>
      </c>
    </row>
    <row r="23941" ht="16.5" customHeight="1">
      <c r="O23941" s="5" t="s">
        <v>355</v>
      </c>
      <c r="P23941" s="5" t="s">
        <v>355</v>
      </c>
      <c r="Q23941" s="5" t="s">
        <v>355</v>
      </c>
    </row>
    <row r="23942" ht="16.5" customHeight="1">
      <c r="O23942" s="5" t="s">
        <v>355</v>
      </c>
      <c r="P23942" s="5" t="s">
        <v>355</v>
      </c>
      <c r="Q23942" s="5" t="s">
        <v>355</v>
      </c>
    </row>
    <row r="23943" ht="16.5" customHeight="1">
      <c r="O23943" s="5" t="s">
        <v>355</v>
      </c>
      <c r="P23943" s="5" t="s">
        <v>355</v>
      </c>
      <c r="Q23943" s="5" t="s">
        <v>355</v>
      </c>
    </row>
    <row r="23944" ht="16.5" customHeight="1">
      <c r="O23944" s="5" t="s">
        <v>355</v>
      </c>
      <c r="P23944" s="5" t="s">
        <v>355</v>
      </c>
      <c r="Q23944" s="5" t="s">
        <v>355</v>
      </c>
    </row>
    <row r="23945" ht="16.5" customHeight="1">
      <c r="O23945" s="5" t="s">
        <v>355</v>
      </c>
      <c r="P23945" s="5" t="s">
        <v>355</v>
      </c>
      <c r="Q23945" s="5" t="s">
        <v>355</v>
      </c>
    </row>
    <row r="23946" ht="16.5" customHeight="1">
      <c r="O23946" s="5" t="s">
        <v>355</v>
      </c>
      <c r="P23946" s="5" t="s">
        <v>355</v>
      </c>
      <c r="Q23946" s="5" t="s">
        <v>355</v>
      </c>
    </row>
    <row r="23947" ht="16.5" customHeight="1">
      <c r="O23947" s="5" t="s">
        <v>355</v>
      </c>
      <c r="P23947" s="5" t="s">
        <v>355</v>
      </c>
      <c r="Q23947" s="5" t="s">
        <v>355</v>
      </c>
    </row>
    <row r="23948" ht="16.5" customHeight="1">
      <c r="O23948" s="5" t="s">
        <v>355</v>
      </c>
      <c r="P23948" s="5" t="s">
        <v>355</v>
      </c>
      <c r="Q23948" s="5" t="s">
        <v>355</v>
      </c>
    </row>
    <row r="23949" ht="16.5" customHeight="1">
      <c r="O23949" s="5" t="s">
        <v>355</v>
      </c>
      <c r="P23949" s="5" t="s">
        <v>355</v>
      </c>
      <c r="Q23949" s="5" t="s">
        <v>355</v>
      </c>
    </row>
    <row r="23950" ht="16.5" customHeight="1">
      <c r="O23950" s="5" t="s">
        <v>355</v>
      </c>
      <c r="P23950" s="5" t="s">
        <v>355</v>
      </c>
      <c r="Q23950" s="5" t="s">
        <v>355</v>
      </c>
    </row>
    <row r="23951" ht="16.5" customHeight="1">
      <c r="O23951" s="5" t="s">
        <v>355</v>
      </c>
      <c r="P23951" s="5" t="s">
        <v>355</v>
      </c>
      <c r="Q23951" s="5" t="s">
        <v>355</v>
      </c>
    </row>
    <row r="23952" ht="16.5" customHeight="1">
      <c r="O23952" s="5" t="s">
        <v>355</v>
      </c>
      <c r="P23952" s="5" t="s">
        <v>355</v>
      </c>
      <c r="Q23952" s="5" t="s">
        <v>355</v>
      </c>
    </row>
    <row r="23953" ht="16.5" customHeight="1">
      <c r="O23953" s="5" t="s">
        <v>355</v>
      </c>
      <c r="P23953" s="5" t="s">
        <v>355</v>
      </c>
      <c r="Q23953" s="5" t="s">
        <v>355</v>
      </c>
    </row>
    <row r="23954" ht="16.5" customHeight="1">
      <c r="O23954" s="5" t="s">
        <v>355</v>
      </c>
      <c r="P23954" s="5" t="s">
        <v>355</v>
      </c>
      <c r="Q23954" s="5" t="s">
        <v>355</v>
      </c>
    </row>
    <row r="23955" ht="16.5" customHeight="1">
      <c r="O23955" s="5" t="s">
        <v>355</v>
      </c>
      <c r="P23955" s="5" t="s">
        <v>355</v>
      </c>
      <c r="Q23955" s="5" t="s">
        <v>355</v>
      </c>
    </row>
    <row r="23956" ht="16.5" customHeight="1">
      <c r="O23956" s="5" t="s">
        <v>355</v>
      </c>
      <c r="P23956" s="5" t="s">
        <v>355</v>
      </c>
      <c r="Q23956" s="5" t="s">
        <v>355</v>
      </c>
    </row>
    <row r="23957" ht="16.5" customHeight="1">
      <c r="O23957" s="5" t="s">
        <v>355</v>
      </c>
      <c r="P23957" s="5" t="s">
        <v>355</v>
      </c>
      <c r="Q23957" s="5" t="s">
        <v>355</v>
      </c>
    </row>
    <row r="23958" ht="16.5" customHeight="1">
      <c r="O23958" s="5" t="s">
        <v>355</v>
      </c>
      <c r="P23958" s="5" t="s">
        <v>355</v>
      </c>
      <c r="Q23958" s="5" t="s">
        <v>355</v>
      </c>
    </row>
    <row r="23959" ht="16.5" customHeight="1">
      <c r="O23959" s="5" t="s">
        <v>355</v>
      </c>
      <c r="P23959" s="5" t="s">
        <v>355</v>
      </c>
      <c r="Q23959" s="5" t="s">
        <v>355</v>
      </c>
    </row>
    <row r="23960" ht="16.5" customHeight="1">
      <c r="O23960" s="5" t="s">
        <v>355</v>
      </c>
      <c r="P23960" s="5" t="s">
        <v>355</v>
      </c>
      <c r="Q23960" s="5" t="s">
        <v>355</v>
      </c>
    </row>
    <row r="23961" ht="16.5" customHeight="1">
      <c r="O23961" s="5" t="s">
        <v>355</v>
      </c>
      <c r="P23961" s="5" t="s">
        <v>355</v>
      </c>
      <c r="Q23961" s="5" t="s">
        <v>355</v>
      </c>
    </row>
    <row r="23962" ht="16.5" customHeight="1">
      <c r="O23962" s="5" t="s">
        <v>355</v>
      </c>
      <c r="P23962" s="5" t="s">
        <v>355</v>
      </c>
      <c r="Q23962" s="5" t="s">
        <v>355</v>
      </c>
    </row>
    <row r="23963" ht="16.5" customHeight="1">
      <c r="O23963" s="5" t="s">
        <v>355</v>
      </c>
      <c r="P23963" s="5" t="s">
        <v>355</v>
      </c>
      <c r="Q23963" s="5" t="s">
        <v>355</v>
      </c>
    </row>
    <row r="23964" ht="16.5" customHeight="1">
      <c r="O23964" s="5" t="s">
        <v>355</v>
      </c>
      <c r="P23964" s="5" t="s">
        <v>355</v>
      </c>
      <c r="Q23964" s="5" t="s">
        <v>355</v>
      </c>
    </row>
    <row r="23965" ht="16.5" customHeight="1">
      <c r="O23965" s="5" t="s">
        <v>355</v>
      </c>
      <c r="P23965" s="5" t="s">
        <v>355</v>
      </c>
      <c r="Q23965" s="5" t="s">
        <v>355</v>
      </c>
    </row>
    <row r="23966" ht="16.5" customHeight="1">
      <c r="O23966" s="5" t="s">
        <v>355</v>
      </c>
      <c r="P23966" s="5" t="s">
        <v>355</v>
      </c>
      <c r="Q23966" s="5" t="s">
        <v>355</v>
      </c>
    </row>
    <row r="23967" ht="16.5" customHeight="1">
      <c r="O23967" s="5" t="s">
        <v>355</v>
      </c>
      <c r="P23967" s="5" t="s">
        <v>355</v>
      </c>
      <c r="Q23967" s="5" t="s">
        <v>355</v>
      </c>
    </row>
    <row r="23968" ht="16.5" customHeight="1">
      <c r="O23968" s="5" t="s">
        <v>355</v>
      </c>
      <c r="P23968" s="5" t="s">
        <v>355</v>
      </c>
      <c r="Q23968" s="5" t="s">
        <v>355</v>
      </c>
    </row>
    <row r="23969" ht="16.5" customHeight="1">
      <c r="O23969" s="5" t="s">
        <v>355</v>
      </c>
      <c r="P23969" s="5" t="s">
        <v>355</v>
      </c>
      <c r="Q23969" s="5" t="s">
        <v>355</v>
      </c>
    </row>
    <row r="23970" ht="16.5" customHeight="1">
      <c r="O23970" s="5" t="s">
        <v>355</v>
      </c>
      <c r="P23970" s="5" t="s">
        <v>355</v>
      </c>
      <c r="Q23970" s="5" t="s">
        <v>355</v>
      </c>
    </row>
    <row r="23971" ht="16.5" customHeight="1">
      <c r="O23971" s="5" t="s">
        <v>355</v>
      </c>
      <c r="P23971" s="5" t="s">
        <v>355</v>
      </c>
      <c r="Q23971" s="5" t="s">
        <v>355</v>
      </c>
    </row>
    <row r="23972" ht="16.5" customHeight="1">
      <c r="O23972" s="5" t="s">
        <v>355</v>
      </c>
      <c r="P23972" s="5" t="s">
        <v>355</v>
      </c>
      <c r="Q23972" s="5" t="s">
        <v>355</v>
      </c>
    </row>
    <row r="23973" ht="16.5" customHeight="1">
      <c r="O23973" s="5" t="s">
        <v>355</v>
      </c>
      <c r="P23973" s="5" t="s">
        <v>355</v>
      </c>
      <c r="Q23973" s="5" t="s">
        <v>355</v>
      </c>
    </row>
    <row r="23974" ht="16.5" customHeight="1">
      <c r="O23974" s="5" t="s">
        <v>355</v>
      </c>
      <c r="P23974" s="5" t="s">
        <v>355</v>
      </c>
      <c r="Q23974" s="5" t="s">
        <v>355</v>
      </c>
    </row>
    <row r="23975" ht="16.5" customHeight="1">
      <c r="O23975" s="5" t="s">
        <v>355</v>
      </c>
      <c r="P23975" s="5" t="s">
        <v>355</v>
      </c>
      <c r="Q23975" s="5" t="s">
        <v>355</v>
      </c>
    </row>
    <row r="23976" ht="16.5" customHeight="1">
      <c r="O23976" s="5" t="s">
        <v>355</v>
      </c>
      <c r="P23976" s="5" t="s">
        <v>355</v>
      </c>
      <c r="Q23976" s="5" t="s">
        <v>355</v>
      </c>
    </row>
    <row r="23977" ht="16.5" customHeight="1">
      <c r="O23977" s="5" t="s">
        <v>355</v>
      </c>
      <c r="P23977" s="5" t="s">
        <v>355</v>
      </c>
      <c r="Q23977" s="5" t="s">
        <v>355</v>
      </c>
    </row>
    <row r="23978" ht="16.5" customHeight="1">
      <c r="O23978" s="5" t="s">
        <v>355</v>
      </c>
      <c r="P23978" s="5" t="s">
        <v>355</v>
      </c>
      <c r="Q23978" s="5" t="s">
        <v>355</v>
      </c>
    </row>
    <row r="23979" ht="16.5" customHeight="1">
      <c r="O23979" s="5" t="s">
        <v>355</v>
      </c>
      <c r="P23979" s="5" t="s">
        <v>355</v>
      </c>
      <c r="Q23979" s="5" t="s">
        <v>355</v>
      </c>
    </row>
    <row r="23980" ht="16.5" customHeight="1">
      <c r="O23980" s="5" t="s">
        <v>355</v>
      </c>
      <c r="P23980" s="5" t="s">
        <v>355</v>
      </c>
      <c r="Q23980" s="5" t="s">
        <v>355</v>
      </c>
    </row>
    <row r="23981" ht="16.5" customHeight="1">
      <c r="O23981" s="5" t="s">
        <v>355</v>
      </c>
      <c r="P23981" s="5" t="s">
        <v>355</v>
      </c>
      <c r="Q23981" s="5" t="s">
        <v>355</v>
      </c>
    </row>
    <row r="23982" ht="16.5" customHeight="1">
      <c r="O23982" s="5" t="s">
        <v>355</v>
      </c>
      <c r="P23982" s="5" t="s">
        <v>355</v>
      </c>
      <c r="Q23982" s="5" t="s">
        <v>355</v>
      </c>
    </row>
    <row r="23983" ht="16.5" customHeight="1">
      <c r="O23983" s="5" t="s">
        <v>355</v>
      </c>
      <c r="P23983" s="5" t="s">
        <v>355</v>
      </c>
      <c r="Q23983" s="5" t="s">
        <v>355</v>
      </c>
    </row>
    <row r="23984" ht="16.5" customHeight="1">
      <c r="O23984" s="5" t="s">
        <v>355</v>
      </c>
      <c r="P23984" s="5" t="s">
        <v>355</v>
      </c>
      <c r="Q23984" s="5" t="s">
        <v>355</v>
      </c>
    </row>
    <row r="23985" ht="16.5" customHeight="1">
      <c r="O23985" s="5" t="s">
        <v>355</v>
      </c>
      <c r="P23985" s="5" t="s">
        <v>355</v>
      </c>
      <c r="Q23985" s="5" t="s">
        <v>355</v>
      </c>
    </row>
    <row r="23986" ht="16.5" customHeight="1">
      <c r="O23986" s="5" t="s">
        <v>355</v>
      </c>
      <c r="P23986" s="5" t="s">
        <v>355</v>
      </c>
      <c r="Q23986" s="5" t="s">
        <v>355</v>
      </c>
    </row>
    <row r="23987" ht="16.5" customHeight="1">
      <c r="O23987" s="5" t="s">
        <v>355</v>
      </c>
      <c r="P23987" s="5" t="s">
        <v>355</v>
      </c>
      <c r="Q23987" s="5" t="s">
        <v>355</v>
      </c>
    </row>
    <row r="23988" ht="16.5" customHeight="1">
      <c r="O23988" s="5" t="s">
        <v>355</v>
      </c>
      <c r="P23988" s="5" t="s">
        <v>355</v>
      </c>
      <c r="Q23988" s="5" t="s">
        <v>355</v>
      </c>
    </row>
    <row r="23989" ht="16.5" customHeight="1">
      <c r="O23989" s="5" t="s">
        <v>355</v>
      </c>
      <c r="P23989" s="5" t="s">
        <v>355</v>
      </c>
      <c r="Q23989" s="5" t="s">
        <v>355</v>
      </c>
    </row>
    <row r="23990" ht="16.5" customHeight="1">
      <c r="O23990" s="5" t="s">
        <v>355</v>
      </c>
      <c r="P23990" s="5" t="s">
        <v>355</v>
      </c>
      <c r="Q23990" s="5" t="s">
        <v>355</v>
      </c>
    </row>
    <row r="23991" ht="16.5" customHeight="1">
      <c r="O23991" s="5" t="s">
        <v>355</v>
      </c>
      <c r="P23991" s="5" t="s">
        <v>355</v>
      </c>
      <c r="Q23991" s="5" t="s">
        <v>355</v>
      </c>
    </row>
    <row r="23992" ht="16.5" customHeight="1">
      <c r="O23992" s="5" t="s">
        <v>355</v>
      </c>
      <c r="P23992" s="5" t="s">
        <v>355</v>
      </c>
      <c r="Q23992" s="5" t="s">
        <v>355</v>
      </c>
    </row>
    <row r="23993" ht="16.5" customHeight="1">
      <c r="O23993" s="5" t="s">
        <v>355</v>
      </c>
      <c r="P23993" s="5" t="s">
        <v>355</v>
      </c>
      <c r="Q23993" s="5" t="s">
        <v>355</v>
      </c>
    </row>
    <row r="23994" ht="16.5" customHeight="1">
      <c r="O23994" s="5" t="s">
        <v>355</v>
      </c>
      <c r="P23994" s="5" t="s">
        <v>355</v>
      </c>
      <c r="Q23994" s="5" t="s">
        <v>355</v>
      </c>
    </row>
    <row r="23995" ht="16.5" customHeight="1">
      <c r="O23995" s="5" t="s">
        <v>355</v>
      </c>
      <c r="P23995" s="5" t="s">
        <v>355</v>
      </c>
      <c r="Q23995" s="5" t="s">
        <v>355</v>
      </c>
    </row>
    <row r="23996" ht="16.5" customHeight="1">
      <c r="O23996" s="5" t="s">
        <v>355</v>
      </c>
      <c r="P23996" s="5" t="s">
        <v>355</v>
      </c>
      <c r="Q23996" s="5" t="s">
        <v>355</v>
      </c>
    </row>
    <row r="23997" ht="16.5" customHeight="1">
      <c r="O23997" s="5" t="s">
        <v>355</v>
      </c>
      <c r="P23997" s="5" t="s">
        <v>355</v>
      </c>
      <c r="Q23997" s="5" t="s">
        <v>355</v>
      </c>
    </row>
    <row r="23998" ht="16.5" customHeight="1">
      <c r="O23998" s="5" t="s">
        <v>355</v>
      </c>
      <c r="P23998" s="5" t="s">
        <v>355</v>
      </c>
      <c r="Q23998" s="5" t="s">
        <v>355</v>
      </c>
    </row>
    <row r="23999" ht="16.5" customHeight="1">
      <c r="O23999" s="5" t="s">
        <v>355</v>
      </c>
      <c r="P23999" s="5" t="s">
        <v>355</v>
      </c>
      <c r="Q23999" s="5" t="s">
        <v>355</v>
      </c>
    </row>
    <row r="24000" ht="16.5" customHeight="1">
      <c r="O24000" s="5" t="s">
        <v>355</v>
      </c>
      <c r="P24000" s="5" t="s">
        <v>355</v>
      </c>
      <c r="Q24000" s="5" t="s">
        <v>355</v>
      </c>
    </row>
    <row r="24001" ht="16.5" customHeight="1">
      <c r="O24001" s="5" t="s">
        <v>355</v>
      </c>
      <c r="P24001" s="5" t="s">
        <v>355</v>
      </c>
      <c r="Q24001" s="5" t="s">
        <v>355</v>
      </c>
    </row>
    <row r="24002" ht="16.5" customHeight="1">
      <c r="O24002" s="5" t="s">
        <v>355</v>
      </c>
      <c r="P24002" s="5" t="s">
        <v>355</v>
      </c>
      <c r="Q24002" s="5" t="s">
        <v>355</v>
      </c>
    </row>
    <row r="24003" ht="16.5" customHeight="1">
      <c r="O24003" s="5" t="s">
        <v>355</v>
      </c>
      <c r="P24003" s="5" t="s">
        <v>355</v>
      </c>
      <c r="Q24003" s="5" t="s">
        <v>355</v>
      </c>
    </row>
    <row r="24004" ht="16.5" customHeight="1">
      <c r="O24004" s="5" t="s">
        <v>355</v>
      </c>
      <c r="P24004" s="5" t="s">
        <v>355</v>
      </c>
      <c r="Q24004" s="5" t="s">
        <v>355</v>
      </c>
    </row>
    <row r="24005" ht="16.5" customHeight="1">
      <c r="O24005" s="5" t="s">
        <v>355</v>
      </c>
      <c r="P24005" s="5" t="s">
        <v>355</v>
      </c>
      <c r="Q24005" s="5" t="s">
        <v>355</v>
      </c>
    </row>
    <row r="24006" ht="16.5" customHeight="1">
      <c r="O24006" s="5" t="s">
        <v>355</v>
      </c>
      <c r="P24006" s="5" t="s">
        <v>355</v>
      </c>
      <c r="Q24006" s="5" t="s">
        <v>355</v>
      </c>
    </row>
    <row r="24007" ht="16.5" customHeight="1">
      <c r="O24007" s="5" t="s">
        <v>355</v>
      </c>
      <c r="P24007" s="5" t="s">
        <v>355</v>
      </c>
      <c r="Q24007" s="5" t="s">
        <v>355</v>
      </c>
    </row>
    <row r="24008" ht="16.5" customHeight="1">
      <c r="O24008" s="5" t="s">
        <v>355</v>
      </c>
      <c r="P24008" s="5" t="s">
        <v>355</v>
      </c>
      <c r="Q24008" s="5" t="s">
        <v>355</v>
      </c>
    </row>
    <row r="24009" ht="16.5" customHeight="1">
      <c r="O24009" s="5" t="s">
        <v>355</v>
      </c>
      <c r="P24009" s="5" t="s">
        <v>355</v>
      </c>
      <c r="Q24009" s="5" t="s">
        <v>355</v>
      </c>
    </row>
    <row r="24010" ht="16.5" customHeight="1">
      <c r="O24010" s="5" t="s">
        <v>355</v>
      </c>
      <c r="P24010" s="5" t="s">
        <v>355</v>
      </c>
      <c r="Q24010" s="5" t="s">
        <v>355</v>
      </c>
    </row>
    <row r="24011" ht="16.5" customHeight="1">
      <c r="O24011" s="5" t="s">
        <v>355</v>
      </c>
      <c r="P24011" s="5" t="s">
        <v>355</v>
      </c>
      <c r="Q24011" s="5" t="s">
        <v>355</v>
      </c>
    </row>
    <row r="24012" ht="16.5" customHeight="1">
      <c r="O24012" s="5" t="s">
        <v>355</v>
      </c>
      <c r="P24012" s="5" t="s">
        <v>355</v>
      </c>
      <c r="Q24012" s="5" t="s">
        <v>355</v>
      </c>
    </row>
    <row r="24013" ht="16.5" customHeight="1">
      <c r="O24013" s="5" t="s">
        <v>355</v>
      </c>
      <c r="P24013" s="5" t="s">
        <v>355</v>
      </c>
      <c r="Q24013" s="5" t="s">
        <v>355</v>
      </c>
    </row>
    <row r="24014" ht="16.5" customHeight="1">
      <c r="O24014" s="5" t="s">
        <v>355</v>
      </c>
      <c r="P24014" s="5" t="s">
        <v>355</v>
      </c>
      <c r="Q24014" s="5" t="s">
        <v>355</v>
      </c>
    </row>
    <row r="24015" ht="16.5" customHeight="1">
      <c r="O24015" s="5" t="s">
        <v>355</v>
      </c>
      <c r="P24015" s="5" t="s">
        <v>355</v>
      </c>
      <c r="Q24015" s="5" t="s">
        <v>355</v>
      </c>
    </row>
    <row r="24016" ht="16.5" customHeight="1">
      <c r="O24016" s="5" t="s">
        <v>355</v>
      </c>
      <c r="P24016" s="5" t="s">
        <v>355</v>
      </c>
      <c r="Q24016" s="5" t="s">
        <v>355</v>
      </c>
    </row>
    <row r="24017" ht="16.5" customHeight="1">
      <c r="O24017" s="5" t="s">
        <v>355</v>
      </c>
      <c r="P24017" s="5" t="s">
        <v>355</v>
      </c>
      <c r="Q24017" s="5" t="s">
        <v>355</v>
      </c>
    </row>
    <row r="24018" ht="16.5" customHeight="1">
      <c r="O24018" s="5" t="s">
        <v>355</v>
      </c>
      <c r="P24018" s="5" t="s">
        <v>355</v>
      </c>
      <c r="Q24018" s="5" t="s">
        <v>355</v>
      </c>
    </row>
    <row r="24019" ht="16.5" customHeight="1">
      <c r="O24019" s="5" t="s">
        <v>355</v>
      </c>
      <c r="P24019" s="5" t="s">
        <v>355</v>
      </c>
      <c r="Q24019" s="5" t="s">
        <v>355</v>
      </c>
    </row>
    <row r="24020" ht="16.5" customHeight="1">
      <c r="O24020" s="5" t="s">
        <v>355</v>
      </c>
      <c r="P24020" s="5" t="s">
        <v>355</v>
      </c>
      <c r="Q24020" s="5" t="s">
        <v>355</v>
      </c>
    </row>
    <row r="24021" ht="16.5" customHeight="1">
      <c r="O24021" s="5" t="s">
        <v>355</v>
      </c>
      <c r="P24021" s="5" t="s">
        <v>355</v>
      </c>
      <c r="Q24021" s="5" t="s">
        <v>355</v>
      </c>
    </row>
    <row r="24022" ht="16.5" customHeight="1">
      <c r="O24022" s="5" t="s">
        <v>355</v>
      </c>
      <c r="P24022" s="5" t="s">
        <v>355</v>
      </c>
      <c r="Q24022" s="5" t="s">
        <v>355</v>
      </c>
    </row>
    <row r="24023" ht="16.5" customHeight="1">
      <c r="O24023" s="5" t="s">
        <v>355</v>
      </c>
      <c r="P24023" s="5" t="s">
        <v>355</v>
      </c>
      <c r="Q24023" s="5" t="s">
        <v>355</v>
      </c>
    </row>
    <row r="24024" ht="16.5" customHeight="1">
      <c r="O24024" s="5" t="s">
        <v>355</v>
      </c>
      <c r="P24024" s="5" t="s">
        <v>355</v>
      </c>
      <c r="Q24024" s="5" t="s">
        <v>355</v>
      </c>
    </row>
    <row r="24025" ht="16.5" customHeight="1">
      <c r="O24025" s="5" t="s">
        <v>355</v>
      </c>
      <c r="P24025" s="5" t="s">
        <v>355</v>
      </c>
      <c r="Q24025" s="5" t="s">
        <v>355</v>
      </c>
    </row>
    <row r="24026" ht="16.5" customHeight="1">
      <c r="O24026" s="5" t="s">
        <v>355</v>
      </c>
      <c r="P24026" s="5" t="s">
        <v>355</v>
      </c>
      <c r="Q24026" s="5" t="s">
        <v>355</v>
      </c>
    </row>
    <row r="24027" ht="16.5" customHeight="1">
      <c r="O24027" s="5" t="s">
        <v>355</v>
      </c>
      <c r="P24027" s="5" t="s">
        <v>355</v>
      </c>
      <c r="Q24027" s="5" t="s">
        <v>355</v>
      </c>
    </row>
    <row r="24028" ht="16.5" customHeight="1">
      <c r="O24028" s="5" t="s">
        <v>355</v>
      </c>
      <c r="P24028" s="5" t="s">
        <v>355</v>
      </c>
      <c r="Q24028" s="5" t="s">
        <v>355</v>
      </c>
    </row>
    <row r="24029" ht="16.5" customHeight="1">
      <c r="O24029" s="5" t="s">
        <v>355</v>
      </c>
      <c r="P24029" s="5" t="s">
        <v>355</v>
      </c>
      <c r="Q24029" s="5" t="s">
        <v>355</v>
      </c>
    </row>
    <row r="24030" ht="16.5" customHeight="1">
      <c r="O24030" s="5" t="s">
        <v>355</v>
      </c>
      <c r="P24030" s="5" t="s">
        <v>355</v>
      </c>
      <c r="Q24030" s="5" t="s">
        <v>355</v>
      </c>
    </row>
    <row r="24031" ht="16.5" customHeight="1">
      <c r="O24031" s="5" t="s">
        <v>355</v>
      </c>
      <c r="P24031" s="5" t="s">
        <v>355</v>
      </c>
      <c r="Q24031" s="5" t="s">
        <v>355</v>
      </c>
    </row>
    <row r="24032" ht="16.5" customHeight="1">
      <c r="O24032" s="5" t="s">
        <v>355</v>
      </c>
      <c r="P24032" s="5" t="s">
        <v>355</v>
      </c>
      <c r="Q24032" s="5" t="s">
        <v>355</v>
      </c>
    </row>
    <row r="24033" ht="16.5" customHeight="1">
      <c r="O24033" s="5" t="s">
        <v>355</v>
      </c>
      <c r="P24033" s="5" t="s">
        <v>355</v>
      </c>
      <c r="Q24033" s="5" t="s">
        <v>355</v>
      </c>
    </row>
    <row r="24034" ht="16.5" customHeight="1">
      <c r="O24034" s="5" t="s">
        <v>355</v>
      </c>
      <c r="P24034" s="5" t="s">
        <v>355</v>
      </c>
      <c r="Q24034" s="5" t="s">
        <v>355</v>
      </c>
    </row>
    <row r="24035" ht="16.5" customHeight="1">
      <c r="O24035" s="5" t="s">
        <v>355</v>
      </c>
      <c r="P24035" s="5" t="s">
        <v>355</v>
      </c>
      <c r="Q24035" s="5" t="s">
        <v>355</v>
      </c>
    </row>
    <row r="24036" ht="16.5" customHeight="1">
      <c r="O24036" s="5" t="s">
        <v>355</v>
      </c>
      <c r="P24036" s="5" t="s">
        <v>355</v>
      </c>
      <c r="Q24036" s="5" t="s">
        <v>355</v>
      </c>
    </row>
    <row r="24037" ht="16.5" customHeight="1">
      <c r="O24037" s="5" t="s">
        <v>355</v>
      </c>
      <c r="P24037" s="5" t="s">
        <v>355</v>
      </c>
      <c r="Q24037" s="5" t="s">
        <v>355</v>
      </c>
    </row>
    <row r="24038" ht="16.5" customHeight="1">
      <c r="O24038" s="5" t="s">
        <v>355</v>
      </c>
      <c r="P24038" s="5" t="s">
        <v>355</v>
      </c>
      <c r="Q24038" s="5" t="s">
        <v>355</v>
      </c>
    </row>
    <row r="24039" ht="16.5" customHeight="1">
      <c r="O24039" s="5" t="s">
        <v>355</v>
      </c>
      <c r="P24039" s="5" t="s">
        <v>355</v>
      </c>
      <c r="Q24039" s="5" t="s">
        <v>355</v>
      </c>
    </row>
    <row r="24040" ht="16.5" customHeight="1">
      <c r="O24040" s="5" t="s">
        <v>355</v>
      </c>
      <c r="P24040" s="5" t="s">
        <v>355</v>
      </c>
      <c r="Q24040" s="5" t="s">
        <v>355</v>
      </c>
    </row>
    <row r="24041" ht="16.5" customHeight="1">
      <c r="O24041" s="5" t="s">
        <v>355</v>
      </c>
      <c r="P24041" s="5" t="s">
        <v>355</v>
      </c>
      <c r="Q24041" s="5" t="s">
        <v>355</v>
      </c>
    </row>
    <row r="24042" ht="16.5" customHeight="1">
      <c r="O24042" s="5" t="s">
        <v>355</v>
      </c>
      <c r="P24042" s="5" t="s">
        <v>355</v>
      </c>
      <c r="Q24042" s="5" t="s">
        <v>355</v>
      </c>
    </row>
    <row r="24043" ht="16.5" customHeight="1">
      <c r="O24043" s="5" t="s">
        <v>355</v>
      </c>
      <c r="P24043" s="5" t="s">
        <v>355</v>
      </c>
      <c r="Q24043" s="5" t="s">
        <v>355</v>
      </c>
    </row>
    <row r="24044" ht="16.5" customHeight="1">
      <c r="O24044" s="5" t="s">
        <v>355</v>
      </c>
      <c r="P24044" s="5" t="s">
        <v>355</v>
      </c>
      <c r="Q24044" s="5" t="s">
        <v>355</v>
      </c>
    </row>
    <row r="24045" ht="16.5" customHeight="1">
      <c r="O24045" s="5" t="s">
        <v>355</v>
      </c>
      <c r="P24045" s="5" t="s">
        <v>355</v>
      </c>
      <c r="Q24045" s="5" t="s">
        <v>355</v>
      </c>
    </row>
    <row r="24046" ht="16.5" customHeight="1">
      <c r="O24046" s="5" t="s">
        <v>355</v>
      </c>
      <c r="P24046" s="5" t="s">
        <v>355</v>
      </c>
      <c r="Q24046" s="5" t="s">
        <v>355</v>
      </c>
    </row>
    <row r="24047" ht="16.5" customHeight="1">
      <c r="O24047" s="5" t="s">
        <v>355</v>
      </c>
      <c r="P24047" s="5" t="s">
        <v>355</v>
      </c>
      <c r="Q24047" s="5" t="s">
        <v>355</v>
      </c>
    </row>
    <row r="24048" ht="16.5" customHeight="1">
      <c r="O24048" s="5" t="s">
        <v>355</v>
      </c>
      <c r="P24048" s="5" t="s">
        <v>355</v>
      </c>
      <c r="Q24048" s="5" t="s">
        <v>355</v>
      </c>
    </row>
    <row r="24049" ht="16.5" customHeight="1">
      <c r="O24049" s="5" t="s">
        <v>355</v>
      </c>
      <c r="P24049" s="5" t="s">
        <v>355</v>
      </c>
      <c r="Q24049" s="5" t="s">
        <v>355</v>
      </c>
    </row>
    <row r="24050" ht="16.5" customHeight="1">
      <c r="O24050" s="5" t="s">
        <v>355</v>
      </c>
      <c r="P24050" s="5" t="s">
        <v>355</v>
      </c>
      <c r="Q24050" s="5" t="s">
        <v>355</v>
      </c>
    </row>
    <row r="24051" ht="16.5" customHeight="1">
      <c r="O24051" s="5" t="s">
        <v>355</v>
      </c>
      <c r="P24051" s="5" t="s">
        <v>355</v>
      </c>
      <c r="Q24051" s="5" t="s">
        <v>355</v>
      </c>
    </row>
    <row r="24052" ht="16.5" customHeight="1">
      <c r="O24052" s="5" t="s">
        <v>355</v>
      </c>
      <c r="P24052" s="5" t="s">
        <v>355</v>
      </c>
      <c r="Q24052" s="5" t="s">
        <v>355</v>
      </c>
    </row>
    <row r="24053" ht="16.5" customHeight="1">
      <c r="O24053" s="5" t="s">
        <v>355</v>
      </c>
      <c r="P24053" s="5" t="s">
        <v>355</v>
      </c>
      <c r="Q24053" s="5" t="s">
        <v>355</v>
      </c>
    </row>
    <row r="24054" ht="16.5" customHeight="1">
      <c r="O24054" s="5" t="s">
        <v>355</v>
      </c>
      <c r="P24054" s="5" t="s">
        <v>355</v>
      </c>
      <c r="Q24054" s="5" t="s">
        <v>355</v>
      </c>
    </row>
    <row r="24055" ht="16.5" customHeight="1">
      <c r="O24055" s="5" t="s">
        <v>355</v>
      </c>
      <c r="P24055" s="5" t="s">
        <v>355</v>
      </c>
      <c r="Q24055" s="5" t="s">
        <v>355</v>
      </c>
    </row>
    <row r="24056" ht="16.5" customHeight="1">
      <c r="O24056" s="5" t="s">
        <v>355</v>
      </c>
      <c r="P24056" s="5" t="s">
        <v>355</v>
      </c>
      <c r="Q24056" s="5" t="s">
        <v>355</v>
      </c>
    </row>
    <row r="24057" ht="16.5" customHeight="1">
      <c r="O24057" s="5" t="s">
        <v>355</v>
      </c>
      <c r="P24057" s="5" t="s">
        <v>355</v>
      </c>
      <c r="Q24057" s="5" t="s">
        <v>355</v>
      </c>
    </row>
    <row r="24058" ht="16.5" customHeight="1">
      <c r="O24058" s="5" t="s">
        <v>355</v>
      </c>
      <c r="P24058" s="5" t="s">
        <v>355</v>
      </c>
      <c r="Q24058" s="5" t="s">
        <v>355</v>
      </c>
    </row>
    <row r="24059" ht="16.5" customHeight="1">
      <c r="O24059" s="5" t="s">
        <v>355</v>
      </c>
      <c r="P24059" s="5" t="s">
        <v>355</v>
      </c>
      <c r="Q24059" s="5" t="s">
        <v>355</v>
      </c>
    </row>
    <row r="24060" ht="16.5" customHeight="1">
      <c r="O24060" s="5" t="s">
        <v>355</v>
      </c>
      <c r="P24060" s="5" t="s">
        <v>355</v>
      </c>
      <c r="Q24060" s="5" t="s">
        <v>355</v>
      </c>
    </row>
    <row r="24061" ht="16.5" customHeight="1">
      <c r="O24061" s="5" t="s">
        <v>355</v>
      </c>
      <c r="P24061" s="5" t="s">
        <v>355</v>
      </c>
      <c r="Q24061" s="5" t="s">
        <v>355</v>
      </c>
    </row>
    <row r="24062" ht="16.5" customHeight="1">
      <c r="O24062" s="5" t="s">
        <v>355</v>
      </c>
      <c r="P24062" s="5" t="s">
        <v>355</v>
      </c>
      <c r="Q24062" s="5" t="s">
        <v>355</v>
      </c>
    </row>
    <row r="24063" ht="16.5" customHeight="1">
      <c r="O24063" s="5" t="s">
        <v>355</v>
      </c>
      <c r="P24063" s="5" t="s">
        <v>355</v>
      </c>
      <c r="Q24063" s="5" t="s">
        <v>355</v>
      </c>
    </row>
    <row r="24064" ht="16.5" customHeight="1">
      <c r="O24064" s="5" t="s">
        <v>355</v>
      </c>
      <c r="P24064" s="5" t="s">
        <v>355</v>
      </c>
      <c r="Q24064" s="5" t="s">
        <v>355</v>
      </c>
    </row>
    <row r="24065" ht="16.5" customHeight="1">
      <c r="O24065" s="5" t="s">
        <v>355</v>
      </c>
      <c r="P24065" s="5" t="s">
        <v>355</v>
      </c>
      <c r="Q24065" s="5" t="s">
        <v>355</v>
      </c>
    </row>
    <row r="24066" ht="16.5" customHeight="1">
      <c r="O24066" s="5" t="s">
        <v>355</v>
      </c>
      <c r="P24066" s="5" t="s">
        <v>355</v>
      </c>
      <c r="Q24066" s="5" t="s">
        <v>355</v>
      </c>
    </row>
    <row r="24067" ht="16.5" customHeight="1">
      <c r="O24067" s="5" t="s">
        <v>355</v>
      </c>
      <c r="P24067" s="5" t="s">
        <v>355</v>
      </c>
      <c r="Q24067" s="5" t="s">
        <v>355</v>
      </c>
    </row>
    <row r="24068" ht="16.5" customHeight="1">
      <c r="O24068" s="5" t="s">
        <v>355</v>
      </c>
      <c r="P24068" s="5" t="s">
        <v>355</v>
      </c>
      <c r="Q24068" s="5" t="s">
        <v>355</v>
      </c>
    </row>
    <row r="24069" ht="16.5" customHeight="1">
      <c r="O24069" s="5" t="s">
        <v>355</v>
      </c>
      <c r="P24069" s="5" t="s">
        <v>355</v>
      </c>
      <c r="Q24069" s="5" t="s">
        <v>355</v>
      </c>
    </row>
    <row r="24070" ht="16.5" customHeight="1">
      <c r="O24070" s="5" t="s">
        <v>355</v>
      </c>
      <c r="P24070" s="5" t="s">
        <v>355</v>
      </c>
      <c r="Q24070" s="5" t="s">
        <v>355</v>
      </c>
    </row>
    <row r="24071" ht="16.5" customHeight="1">
      <c r="O24071" s="5" t="s">
        <v>355</v>
      </c>
      <c r="P24071" s="5" t="s">
        <v>355</v>
      </c>
      <c r="Q24071" s="5" t="s">
        <v>355</v>
      </c>
    </row>
    <row r="24072" ht="16.5" customHeight="1">
      <c r="O24072" s="5" t="s">
        <v>355</v>
      </c>
      <c r="P24072" s="5" t="s">
        <v>355</v>
      </c>
      <c r="Q24072" s="5" t="s">
        <v>355</v>
      </c>
    </row>
    <row r="24073" ht="16.5" customHeight="1">
      <c r="O24073" s="5" t="s">
        <v>355</v>
      </c>
      <c r="P24073" s="5" t="s">
        <v>355</v>
      </c>
      <c r="Q24073" s="5" t="s">
        <v>355</v>
      </c>
    </row>
    <row r="24074" ht="16.5" customHeight="1">
      <c r="O24074" s="5" t="s">
        <v>355</v>
      </c>
      <c r="P24074" s="5" t="s">
        <v>355</v>
      </c>
      <c r="Q24074" s="5" t="s">
        <v>355</v>
      </c>
    </row>
    <row r="24075" ht="16.5" customHeight="1">
      <c r="O24075" s="5" t="s">
        <v>355</v>
      </c>
      <c r="P24075" s="5" t="s">
        <v>355</v>
      </c>
      <c r="Q24075" s="5" t="s">
        <v>355</v>
      </c>
    </row>
    <row r="24076" ht="16.5" customHeight="1">
      <c r="O24076" s="5" t="s">
        <v>355</v>
      </c>
      <c r="P24076" s="5" t="s">
        <v>355</v>
      </c>
      <c r="Q24076" s="5" t="s">
        <v>355</v>
      </c>
    </row>
    <row r="24077" ht="16.5" customHeight="1">
      <c r="O24077" s="5" t="s">
        <v>355</v>
      </c>
      <c r="P24077" s="5" t="s">
        <v>355</v>
      </c>
      <c r="Q24077" s="5" t="s">
        <v>355</v>
      </c>
    </row>
    <row r="24078" ht="16.5" customHeight="1">
      <c r="O24078" s="5" t="s">
        <v>355</v>
      </c>
      <c r="P24078" s="5" t="s">
        <v>355</v>
      </c>
      <c r="Q24078" s="5" t="s">
        <v>355</v>
      </c>
    </row>
    <row r="24079" ht="16.5" customHeight="1">
      <c r="O24079" s="5" t="s">
        <v>355</v>
      </c>
      <c r="P24079" s="5" t="s">
        <v>355</v>
      </c>
      <c r="Q24079" s="5" t="s">
        <v>355</v>
      </c>
    </row>
    <row r="24080" ht="16.5" customHeight="1">
      <c r="O24080" s="5" t="s">
        <v>355</v>
      </c>
      <c r="P24080" s="5" t="s">
        <v>355</v>
      </c>
      <c r="Q24080" s="5" t="s">
        <v>355</v>
      </c>
    </row>
    <row r="24081" ht="16.5" customHeight="1">
      <c r="O24081" s="5" t="s">
        <v>355</v>
      </c>
      <c r="P24081" s="5" t="s">
        <v>355</v>
      </c>
      <c r="Q24081" s="5" t="s">
        <v>355</v>
      </c>
    </row>
    <row r="24082" ht="16.5" customHeight="1">
      <c r="O24082" s="5" t="s">
        <v>355</v>
      </c>
      <c r="P24082" s="5" t="s">
        <v>355</v>
      </c>
      <c r="Q24082" s="5" t="s">
        <v>355</v>
      </c>
    </row>
    <row r="24083" ht="16.5" customHeight="1">
      <c r="O24083" s="5" t="s">
        <v>355</v>
      </c>
      <c r="P24083" s="5" t="s">
        <v>355</v>
      </c>
      <c r="Q24083" s="5" t="s">
        <v>355</v>
      </c>
    </row>
    <row r="24084" ht="16.5" customHeight="1">
      <c r="O24084" s="5" t="s">
        <v>355</v>
      </c>
      <c r="P24084" s="5" t="s">
        <v>355</v>
      </c>
      <c r="Q24084" s="5" t="s">
        <v>355</v>
      </c>
    </row>
    <row r="24085" ht="16.5" customHeight="1">
      <c r="O24085" s="5" t="s">
        <v>355</v>
      </c>
      <c r="P24085" s="5" t="s">
        <v>355</v>
      </c>
      <c r="Q24085" s="5" t="s">
        <v>355</v>
      </c>
    </row>
    <row r="24086" ht="16.5" customHeight="1">
      <c r="O24086" s="5" t="s">
        <v>355</v>
      </c>
      <c r="P24086" s="5" t="s">
        <v>355</v>
      </c>
      <c r="Q24086" s="5" t="s">
        <v>355</v>
      </c>
    </row>
    <row r="24087" ht="16.5" customHeight="1">
      <c r="O24087" s="5" t="s">
        <v>355</v>
      </c>
      <c r="P24087" s="5" t="s">
        <v>355</v>
      </c>
      <c r="Q24087" s="5" t="s">
        <v>355</v>
      </c>
    </row>
    <row r="24088" ht="16.5" customHeight="1">
      <c r="O24088" s="5" t="s">
        <v>355</v>
      </c>
      <c r="P24088" s="5" t="s">
        <v>355</v>
      </c>
      <c r="Q24088" s="5" t="s">
        <v>355</v>
      </c>
    </row>
    <row r="24089" ht="16.5" customHeight="1">
      <c r="O24089" s="5" t="s">
        <v>355</v>
      </c>
      <c r="P24089" s="5" t="s">
        <v>355</v>
      </c>
      <c r="Q24089" s="5" t="s">
        <v>355</v>
      </c>
    </row>
    <row r="24090" ht="16.5" customHeight="1">
      <c r="O24090" s="5" t="s">
        <v>355</v>
      </c>
      <c r="P24090" s="5" t="s">
        <v>355</v>
      </c>
      <c r="Q24090" s="5" t="s">
        <v>355</v>
      </c>
    </row>
    <row r="24091" ht="16.5" customHeight="1">
      <c r="O24091" s="5" t="s">
        <v>355</v>
      </c>
      <c r="P24091" s="5" t="s">
        <v>355</v>
      </c>
      <c r="Q24091" s="5" t="s">
        <v>355</v>
      </c>
    </row>
    <row r="24092" ht="16.5" customHeight="1">
      <c r="O24092" s="5" t="s">
        <v>355</v>
      </c>
      <c r="P24092" s="5" t="s">
        <v>355</v>
      </c>
      <c r="Q24092" s="5" t="s">
        <v>355</v>
      </c>
    </row>
    <row r="24093" ht="16.5" customHeight="1">
      <c r="O24093" s="5" t="s">
        <v>355</v>
      </c>
      <c r="P24093" s="5" t="s">
        <v>355</v>
      </c>
      <c r="Q24093" s="5" t="s">
        <v>355</v>
      </c>
    </row>
    <row r="24094" ht="16.5" customHeight="1">
      <c r="O24094" s="5" t="s">
        <v>355</v>
      </c>
      <c r="P24094" s="5" t="s">
        <v>355</v>
      </c>
      <c r="Q24094" s="5" t="s">
        <v>355</v>
      </c>
    </row>
    <row r="24095" ht="16.5" customHeight="1">
      <c r="O24095" s="5" t="s">
        <v>355</v>
      </c>
      <c r="P24095" s="5" t="s">
        <v>355</v>
      </c>
      <c r="Q24095" s="5" t="s">
        <v>355</v>
      </c>
    </row>
    <row r="24096" ht="16.5" customHeight="1">
      <c r="O24096" s="5" t="s">
        <v>355</v>
      </c>
      <c r="P24096" s="5" t="s">
        <v>355</v>
      </c>
      <c r="Q24096" s="5" t="s">
        <v>355</v>
      </c>
    </row>
    <row r="24097" ht="16.5" customHeight="1">
      <c r="O24097" s="5" t="s">
        <v>355</v>
      </c>
      <c r="P24097" s="5" t="s">
        <v>355</v>
      </c>
      <c r="Q24097" s="5" t="s">
        <v>355</v>
      </c>
    </row>
    <row r="24098" ht="16.5" customHeight="1">
      <c r="O24098" s="5" t="s">
        <v>355</v>
      </c>
      <c r="P24098" s="5" t="s">
        <v>355</v>
      </c>
      <c r="Q24098" s="5" t="s">
        <v>355</v>
      </c>
    </row>
    <row r="24099" ht="16.5" customHeight="1">
      <c r="O24099" s="5" t="s">
        <v>355</v>
      </c>
      <c r="P24099" s="5" t="s">
        <v>355</v>
      </c>
      <c r="Q24099" s="5" t="s">
        <v>355</v>
      </c>
    </row>
    <row r="24100" ht="16.5" customHeight="1">
      <c r="O24100" s="5" t="s">
        <v>355</v>
      </c>
      <c r="P24100" s="5" t="s">
        <v>355</v>
      </c>
      <c r="Q24100" s="5" t="s">
        <v>355</v>
      </c>
    </row>
    <row r="24101" ht="16.5" customHeight="1">
      <c r="O24101" s="5" t="s">
        <v>355</v>
      </c>
      <c r="P24101" s="5" t="s">
        <v>355</v>
      </c>
      <c r="Q24101" s="5" t="s">
        <v>355</v>
      </c>
    </row>
    <row r="24102" ht="16.5" customHeight="1">
      <c r="O24102" s="5" t="s">
        <v>355</v>
      </c>
      <c r="P24102" s="5" t="s">
        <v>355</v>
      </c>
      <c r="Q24102" s="5" t="s">
        <v>355</v>
      </c>
    </row>
    <row r="24103" ht="16.5" customHeight="1">
      <c r="O24103" s="5" t="s">
        <v>355</v>
      </c>
      <c r="P24103" s="5" t="s">
        <v>355</v>
      </c>
      <c r="Q24103" s="5" t="s">
        <v>355</v>
      </c>
    </row>
    <row r="24104" ht="16.5" customHeight="1">
      <c r="O24104" s="5" t="s">
        <v>355</v>
      </c>
      <c r="P24104" s="5" t="s">
        <v>355</v>
      </c>
      <c r="Q24104" s="5" t="s">
        <v>355</v>
      </c>
    </row>
    <row r="24105" ht="16.5" customHeight="1">
      <c r="O24105" s="5" t="s">
        <v>355</v>
      </c>
      <c r="P24105" s="5" t="s">
        <v>355</v>
      </c>
      <c r="Q24105" s="5" t="s">
        <v>355</v>
      </c>
    </row>
    <row r="24106" ht="16.5" customHeight="1">
      <c r="O24106" s="5" t="s">
        <v>355</v>
      </c>
      <c r="P24106" s="5" t="s">
        <v>355</v>
      </c>
      <c r="Q24106" s="5" t="s">
        <v>355</v>
      </c>
    </row>
    <row r="24107" ht="16.5" customHeight="1">
      <c r="O24107" s="5" t="s">
        <v>355</v>
      </c>
      <c r="P24107" s="5" t="s">
        <v>355</v>
      </c>
      <c r="Q24107" s="5" t="s">
        <v>355</v>
      </c>
    </row>
    <row r="24108" ht="16.5" customHeight="1">
      <c r="O24108" s="5" t="s">
        <v>355</v>
      </c>
      <c r="P24108" s="5" t="s">
        <v>355</v>
      </c>
      <c r="Q24108" s="5" t="s">
        <v>355</v>
      </c>
    </row>
    <row r="24109" ht="16.5" customHeight="1">
      <c r="O24109" s="5" t="s">
        <v>355</v>
      </c>
      <c r="P24109" s="5" t="s">
        <v>355</v>
      </c>
      <c r="Q24109" s="5" t="s">
        <v>355</v>
      </c>
    </row>
    <row r="24110" ht="16.5" customHeight="1">
      <c r="O24110" s="5" t="s">
        <v>355</v>
      </c>
      <c r="P24110" s="5" t="s">
        <v>355</v>
      </c>
      <c r="Q24110" s="5" t="s">
        <v>355</v>
      </c>
    </row>
    <row r="24111" ht="16.5" customHeight="1">
      <c r="O24111" s="5" t="s">
        <v>355</v>
      </c>
      <c r="P24111" s="5" t="s">
        <v>355</v>
      </c>
      <c r="Q24111" s="5" t="s">
        <v>355</v>
      </c>
    </row>
    <row r="24112" ht="16.5" customHeight="1">
      <c r="O24112" s="5" t="s">
        <v>355</v>
      </c>
      <c r="P24112" s="5" t="s">
        <v>355</v>
      </c>
      <c r="Q24112" s="5" t="s">
        <v>355</v>
      </c>
    </row>
    <row r="24113" ht="16.5" customHeight="1">
      <c r="O24113" s="5" t="s">
        <v>355</v>
      </c>
      <c r="P24113" s="5" t="s">
        <v>355</v>
      </c>
      <c r="Q24113" s="5" t="s">
        <v>355</v>
      </c>
    </row>
    <row r="24114" ht="16.5" customHeight="1">
      <c r="O24114" s="5" t="s">
        <v>355</v>
      </c>
      <c r="P24114" s="5" t="s">
        <v>355</v>
      </c>
      <c r="Q24114" s="5" t="s">
        <v>355</v>
      </c>
    </row>
    <row r="24115" ht="16.5" customHeight="1">
      <c r="O24115" s="5" t="s">
        <v>355</v>
      </c>
      <c r="P24115" s="5" t="s">
        <v>355</v>
      </c>
      <c r="Q24115" s="5" t="s">
        <v>355</v>
      </c>
    </row>
    <row r="24116" ht="16.5" customHeight="1">
      <c r="O24116" s="5" t="s">
        <v>355</v>
      </c>
      <c r="P24116" s="5" t="s">
        <v>355</v>
      </c>
      <c r="Q24116" s="5" t="s">
        <v>355</v>
      </c>
    </row>
    <row r="24117" ht="16.5" customHeight="1">
      <c r="O24117" s="5" t="s">
        <v>355</v>
      </c>
      <c r="P24117" s="5" t="s">
        <v>355</v>
      </c>
      <c r="Q24117" s="5" t="s">
        <v>355</v>
      </c>
    </row>
    <row r="24118" ht="16.5" customHeight="1">
      <c r="O24118" s="5" t="s">
        <v>355</v>
      </c>
      <c r="P24118" s="5" t="s">
        <v>355</v>
      </c>
      <c r="Q24118" s="5" t="s">
        <v>355</v>
      </c>
    </row>
    <row r="24119" ht="16.5" customHeight="1">
      <c r="O24119" s="5" t="s">
        <v>355</v>
      </c>
      <c r="P24119" s="5" t="s">
        <v>355</v>
      </c>
      <c r="Q24119" s="5" t="s">
        <v>355</v>
      </c>
    </row>
    <row r="24120" ht="16.5" customHeight="1">
      <c r="O24120" s="5" t="s">
        <v>355</v>
      </c>
      <c r="P24120" s="5" t="s">
        <v>355</v>
      </c>
      <c r="Q24120" s="5" t="s">
        <v>355</v>
      </c>
    </row>
    <row r="24121" ht="16.5" customHeight="1">
      <c r="O24121" s="5" t="s">
        <v>355</v>
      </c>
      <c r="P24121" s="5" t="s">
        <v>355</v>
      </c>
      <c r="Q24121" s="5" t="s">
        <v>355</v>
      </c>
    </row>
    <row r="24122" ht="16.5" customHeight="1">
      <c r="O24122" s="5" t="s">
        <v>355</v>
      </c>
      <c r="P24122" s="5" t="s">
        <v>355</v>
      </c>
      <c r="Q24122" s="5" t="s">
        <v>355</v>
      </c>
    </row>
    <row r="24123" ht="16.5" customHeight="1">
      <c r="O24123" s="5" t="s">
        <v>355</v>
      </c>
      <c r="P24123" s="5" t="s">
        <v>355</v>
      </c>
      <c r="Q24123" s="5" t="s">
        <v>355</v>
      </c>
    </row>
    <row r="24124" ht="16.5" customHeight="1">
      <c r="O24124" s="5" t="s">
        <v>355</v>
      </c>
      <c r="P24124" s="5" t="s">
        <v>355</v>
      </c>
      <c r="Q24124" s="5" t="s">
        <v>355</v>
      </c>
    </row>
    <row r="24125" ht="16.5" customHeight="1">
      <c r="O24125" s="5" t="s">
        <v>355</v>
      </c>
      <c r="P24125" s="5" t="s">
        <v>355</v>
      </c>
      <c r="Q24125" s="5" t="s">
        <v>355</v>
      </c>
    </row>
    <row r="24126" ht="16.5" customHeight="1">
      <c r="O24126" s="5" t="s">
        <v>355</v>
      </c>
      <c r="P24126" s="5" t="s">
        <v>355</v>
      </c>
      <c r="Q24126" s="5" t="s">
        <v>355</v>
      </c>
    </row>
    <row r="24127" ht="16.5" customHeight="1">
      <c r="O24127" s="5" t="s">
        <v>355</v>
      </c>
      <c r="P24127" s="5" t="s">
        <v>355</v>
      </c>
      <c r="Q24127" s="5" t="s">
        <v>355</v>
      </c>
    </row>
    <row r="24128" ht="16.5" customHeight="1">
      <c r="O24128" s="5" t="s">
        <v>355</v>
      </c>
      <c r="P24128" s="5" t="s">
        <v>355</v>
      </c>
      <c r="Q24128" s="5" t="s">
        <v>355</v>
      </c>
    </row>
    <row r="24129" ht="16.5" customHeight="1">
      <c r="O24129" s="5" t="s">
        <v>355</v>
      </c>
      <c r="P24129" s="5" t="s">
        <v>355</v>
      </c>
      <c r="Q24129" s="5" t="s">
        <v>355</v>
      </c>
    </row>
    <row r="24130" ht="16.5" customHeight="1">
      <c r="O24130" s="5" t="s">
        <v>355</v>
      </c>
      <c r="P24130" s="5" t="s">
        <v>355</v>
      </c>
      <c r="Q24130" s="5" t="s">
        <v>355</v>
      </c>
    </row>
    <row r="24131" ht="16.5" customHeight="1">
      <c r="O24131" s="5" t="s">
        <v>355</v>
      </c>
      <c r="P24131" s="5" t="s">
        <v>355</v>
      </c>
      <c r="Q24131" s="5" t="s">
        <v>355</v>
      </c>
    </row>
    <row r="24132" ht="16.5" customHeight="1">
      <c r="O24132" s="5" t="s">
        <v>355</v>
      </c>
      <c r="P24132" s="5" t="s">
        <v>355</v>
      </c>
      <c r="Q24132" s="5" t="s">
        <v>355</v>
      </c>
    </row>
    <row r="24133" ht="16.5" customHeight="1">
      <c r="O24133" s="5" t="s">
        <v>355</v>
      </c>
      <c r="P24133" s="5" t="s">
        <v>355</v>
      </c>
      <c r="Q24133" s="5" t="s">
        <v>355</v>
      </c>
    </row>
    <row r="24134" ht="16.5" customHeight="1">
      <c r="O24134" s="5" t="s">
        <v>355</v>
      </c>
      <c r="P24134" s="5" t="s">
        <v>355</v>
      </c>
      <c r="Q24134" s="5" t="s">
        <v>355</v>
      </c>
    </row>
    <row r="24135" ht="16.5" customHeight="1">
      <c r="O24135" s="5" t="s">
        <v>355</v>
      </c>
      <c r="P24135" s="5" t="s">
        <v>355</v>
      </c>
      <c r="Q24135" s="5" t="s">
        <v>355</v>
      </c>
    </row>
    <row r="24136" ht="16.5" customHeight="1">
      <c r="O24136" s="5" t="s">
        <v>355</v>
      </c>
      <c r="P24136" s="5" t="s">
        <v>355</v>
      </c>
      <c r="Q24136" s="5" t="s">
        <v>355</v>
      </c>
    </row>
    <row r="24137" ht="16.5" customHeight="1">
      <c r="O24137" s="5" t="s">
        <v>355</v>
      </c>
      <c r="P24137" s="5" t="s">
        <v>355</v>
      </c>
      <c r="Q24137" s="5" t="s">
        <v>355</v>
      </c>
    </row>
    <row r="24138" ht="16.5" customHeight="1">
      <c r="O24138" s="5" t="s">
        <v>355</v>
      </c>
      <c r="P24138" s="5" t="s">
        <v>355</v>
      </c>
      <c r="Q24138" s="5" t="s">
        <v>355</v>
      </c>
    </row>
    <row r="24139" ht="16.5" customHeight="1">
      <c r="O24139" s="5" t="s">
        <v>355</v>
      </c>
      <c r="P24139" s="5" t="s">
        <v>355</v>
      </c>
      <c r="Q24139" s="5" t="s">
        <v>355</v>
      </c>
    </row>
    <row r="24140" ht="16.5" customHeight="1">
      <c r="O24140" s="5" t="s">
        <v>355</v>
      </c>
      <c r="P24140" s="5" t="s">
        <v>355</v>
      </c>
      <c r="Q24140" s="5" t="s">
        <v>355</v>
      </c>
    </row>
    <row r="24141" ht="16.5" customHeight="1">
      <c r="O24141" s="5" t="s">
        <v>355</v>
      </c>
      <c r="P24141" s="5" t="s">
        <v>355</v>
      </c>
      <c r="Q24141" s="5" t="s">
        <v>355</v>
      </c>
    </row>
    <row r="24142" ht="16.5" customHeight="1">
      <c r="O24142" s="5" t="s">
        <v>355</v>
      </c>
      <c r="P24142" s="5" t="s">
        <v>355</v>
      </c>
      <c r="Q24142" s="5" t="s">
        <v>355</v>
      </c>
    </row>
    <row r="24143" ht="16.5" customHeight="1">
      <c r="O24143" s="5" t="s">
        <v>355</v>
      </c>
      <c r="P24143" s="5" t="s">
        <v>355</v>
      </c>
      <c r="Q24143" s="5" t="s">
        <v>355</v>
      </c>
    </row>
    <row r="24144" ht="16.5" customHeight="1">
      <c r="O24144" s="5" t="s">
        <v>355</v>
      </c>
      <c r="P24144" s="5" t="s">
        <v>355</v>
      </c>
      <c r="Q24144" s="5" t="s">
        <v>355</v>
      </c>
    </row>
    <row r="24145" ht="16.5" customHeight="1">
      <c r="O24145" s="5" t="s">
        <v>355</v>
      </c>
      <c r="P24145" s="5" t="s">
        <v>355</v>
      </c>
      <c r="Q24145" s="5" t="s">
        <v>355</v>
      </c>
    </row>
    <row r="24146" ht="16.5" customHeight="1">
      <c r="O24146" s="5" t="s">
        <v>355</v>
      </c>
      <c r="P24146" s="5" t="s">
        <v>355</v>
      </c>
      <c r="Q24146" s="5" t="s">
        <v>355</v>
      </c>
    </row>
    <row r="24147" ht="16.5" customHeight="1">
      <c r="O24147" s="5" t="s">
        <v>355</v>
      </c>
      <c r="P24147" s="5" t="s">
        <v>355</v>
      </c>
      <c r="Q24147" s="5" t="s">
        <v>355</v>
      </c>
    </row>
    <row r="24148" ht="16.5" customHeight="1">
      <c r="O24148" s="5" t="s">
        <v>355</v>
      </c>
      <c r="P24148" s="5" t="s">
        <v>355</v>
      </c>
      <c r="Q24148" s="5" t="s">
        <v>355</v>
      </c>
    </row>
    <row r="24149" ht="16.5" customHeight="1">
      <c r="O24149" s="5" t="s">
        <v>355</v>
      </c>
      <c r="P24149" s="5" t="s">
        <v>355</v>
      </c>
      <c r="Q24149" s="5" t="s">
        <v>355</v>
      </c>
    </row>
    <row r="24150" ht="16.5" customHeight="1">
      <c r="O24150" s="5" t="s">
        <v>355</v>
      </c>
      <c r="P24150" s="5" t="s">
        <v>355</v>
      </c>
      <c r="Q24150" s="5" t="s">
        <v>355</v>
      </c>
    </row>
    <row r="24151" ht="16.5" customHeight="1">
      <c r="O24151" s="5" t="s">
        <v>355</v>
      </c>
      <c r="P24151" s="5" t="s">
        <v>355</v>
      </c>
      <c r="Q24151" s="5" t="s">
        <v>355</v>
      </c>
    </row>
    <row r="24152" ht="16.5" customHeight="1">
      <c r="O24152" s="5" t="s">
        <v>355</v>
      </c>
      <c r="P24152" s="5" t="s">
        <v>355</v>
      </c>
      <c r="Q24152" s="5" t="s">
        <v>355</v>
      </c>
    </row>
    <row r="24153" ht="16.5" customHeight="1">
      <c r="O24153" s="5" t="s">
        <v>355</v>
      </c>
      <c r="P24153" s="5" t="s">
        <v>355</v>
      </c>
      <c r="Q24153" s="5" t="s">
        <v>355</v>
      </c>
    </row>
    <row r="24154" ht="16.5" customHeight="1">
      <c r="O24154" s="5" t="s">
        <v>355</v>
      </c>
      <c r="P24154" s="5" t="s">
        <v>355</v>
      </c>
      <c r="Q24154" s="5" t="s">
        <v>355</v>
      </c>
    </row>
    <row r="24155" ht="16.5" customHeight="1">
      <c r="O24155" s="5" t="s">
        <v>355</v>
      </c>
      <c r="P24155" s="5" t="s">
        <v>355</v>
      </c>
      <c r="Q24155" s="5" t="s">
        <v>355</v>
      </c>
    </row>
    <row r="24156" ht="16.5" customHeight="1">
      <c r="O24156" s="5" t="s">
        <v>355</v>
      </c>
      <c r="P24156" s="5" t="s">
        <v>355</v>
      </c>
      <c r="Q24156" s="5" t="s">
        <v>355</v>
      </c>
    </row>
    <row r="24157" ht="16.5" customHeight="1">
      <c r="O24157" s="5" t="s">
        <v>355</v>
      </c>
      <c r="P24157" s="5" t="s">
        <v>355</v>
      </c>
      <c r="Q24157" s="5" t="s">
        <v>355</v>
      </c>
    </row>
    <row r="24158" ht="16.5" customHeight="1">
      <c r="O24158" s="5" t="s">
        <v>355</v>
      </c>
      <c r="P24158" s="5" t="s">
        <v>355</v>
      </c>
      <c r="Q24158" s="5" t="s">
        <v>355</v>
      </c>
    </row>
    <row r="24159" ht="16.5" customHeight="1">
      <c r="O24159" s="5" t="s">
        <v>355</v>
      </c>
      <c r="P24159" s="5" t="s">
        <v>355</v>
      </c>
      <c r="Q24159" s="5" t="s">
        <v>355</v>
      </c>
    </row>
    <row r="24160" ht="16.5" customHeight="1">
      <c r="O24160" s="5" t="s">
        <v>355</v>
      </c>
      <c r="P24160" s="5" t="s">
        <v>355</v>
      </c>
      <c r="Q24160" s="5" t="s">
        <v>355</v>
      </c>
    </row>
    <row r="24161" ht="16.5" customHeight="1">
      <c r="O24161" s="5" t="s">
        <v>355</v>
      </c>
      <c r="P24161" s="5" t="s">
        <v>355</v>
      </c>
      <c r="Q24161" s="5" t="s">
        <v>355</v>
      </c>
    </row>
    <row r="24162" ht="16.5" customHeight="1">
      <c r="O24162" s="5" t="s">
        <v>355</v>
      </c>
      <c r="P24162" s="5" t="s">
        <v>355</v>
      </c>
      <c r="Q24162" s="5" t="s">
        <v>355</v>
      </c>
    </row>
    <row r="24163" ht="16.5" customHeight="1">
      <c r="O24163" s="5" t="s">
        <v>355</v>
      </c>
      <c r="P24163" s="5" t="s">
        <v>355</v>
      </c>
      <c r="Q24163" s="5" t="s">
        <v>355</v>
      </c>
    </row>
    <row r="24164" ht="16.5" customHeight="1">
      <c r="O24164" s="5" t="s">
        <v>355</v>
      </c>
      <c r="P24164" s="5" t="s">
        <v>355</v>
      </c>
      <c r="Q24164" s="5" t="s">
        <v>355</v>
      </c>
    </row>
    <row r="24165" ht="16.5" customHeight="1">
      <c r="O24165" s="5" t="s">
        <v>355</v>
      </c>
      <c r="P24165" s="5" t="s">
        <v>355</v>
      </c>
      <c r="Q24165" s="5" t="s">
        <v>355</v>
      </c>
    </row>
    <row r="24166" ht="16.5" customHeight="1">
      <c r="O24166" s="5" t="s">
        <v>355</v>
      </c>
      <c r="P24166" s="5" t="s">
        <v>355</v>
      </c>
      <c r="Q24166" s="5" t="s">
        <v>355</v>
      </c>
    </row>
    <row r="24167" ht="16.5" customHeight="1">
      <c r="O24167" s="5" t="s">
        <v>355</v>
      </c>
      <c r="P24167" s="5" t="s">
        <v>355</v>
      </c>
      <c r="Q24167" s="5" t="s">
        <v>355</v>
      </c>
    </row>
    <row r="24168" ht="16.5" customHeight="1">
      <c r="O24168" s="5" t="s">
        <v>355</v>
      </c>
      <c r="P24168" s="5" t="s">
        <v>355</v>
      </c>
      <c r="Q24168" s="5" t="s">
        <v>355</v>
      </c>
    </row>
    <row r="24169" ht="16.5" customHeight="1">
      <c r="O24169" s="5" t="s">
        <v>355</v>
      </c>
      <c r="P24169" s="5" t="s">
        <v>355</v>
      </c>
      <c r="Q24169" s="5" t="s">
        <v>355</v>
      </c>
    </row>
    <row r="24170" ht="16.5" customHeight="1">
      <c r="O24170" s="5" t="s">
        <v>355</v>
      </c>
      <c r="P24170" s="5" t="s">
        <v>355</v>
      </c>
      <c r="Q24170" s="5" t="s">
        <v>355</v>
      </c>
    </row>
    <row r="24171" ht="16.5" customHeight="1">
      <c r="O24171" s="5" t="s">
        <v>355</v>
      </c>
      <c r="P24171" s="5" t="s">
        <v>355</v>
      </c>
      <c r="Q24171" s="5" t="s">
        <v>355</v>
      </c>
    </row>
    <row r="24172" ht="16.5" customHeight="1">
      <c r="O24172" s="5" t="s">
        <v>355</v>
      </c>
      <c r="P24172" s="5" t="s">
        <v>355</v>
      </c>
      <c r="Q24172" s="5" t="s">
        <v>355</v>
      </c>
    </row>
    <row r="24173" ht="16.5" customHeight="1">
      <c r="O24173" s="5" t="s">
        <v>355</v>
      </c>
      <c r="P24173" s="5" t="s">
        <v>355</v>
      </c>
      <c r="Q24173" s="5" t="s">
        <v>355</v>
      </c>
    </row>
    <row r="24174" ht="16.5" customHeight="1">
      <c r="O24174" s="5" t="s">
        <v>355</v>
      </c>
      <c r="P24174" s="5" t="s">
        <v>355</v>
      </c>
      <c r="Q24174" s="5" t="s">
        <v>355</v>
      </c>
    </row>
    <row r="24175" ht="16.5" customHeight="1">
      <c r="O24175" s="5" t="s">
        <v>355</v>
      </c>
      <c r="P24175" s="5" t="s">
        <v>355</v>
      </c>
      <c r="Q24175" s="5" t="s">
        <v>355</v>
      </c>
    </row>
    <row r="24176" ht="16.5" customHeight="1">
      <c r="O24176" s="5" t="s">
        <v>355</v>
      </c>
      <c r="P24176" s="5" t="s">
        <v>355</v>
      </c>
      <c r="Q24176" s="5" t="s">
        <v>355</v>
      </c>
    </row>
    <row r="24177" ht="16.5" customHeight="1">
      <c r="O24177" s="5" t="s">
        <v>355</v>
      </c>
      <c r="P24177" s="5" t="s">
        <v>355</v>
      </c>
      <c r="Q24177" s="5" t="s">
        <v>355</v>
      </c>
    </row>
    <row r="24178" ht="16.5" customHeight="1">
      <c r="O24178" s="5" t="s">
        <v>355</v>
      </c>
      <c r="P24178" s="5" t="s">
        <v>355</v>
      </c>
      <c r="Q24178" s="5" t="s">
        <v>355</v>
      </c>
    </row>
    <row r="24179" ht="16.5" customHeight="1">
      <c r="O24179" s="5" t="s">
        <v>355</v>
      </c>
      <c r="P24179" s="5" t="s">
        <v>355</v>
      </c>
      <c r="Q24179" s="5" t="s">
        <v>355</v>
      </c>
    </row>
    <row r="24180" ht="16.5" customHeight="1">
      <c r="O24180" s="5" t="s">
        <v>355</v>
      </c>
      <c r="P24180" s="5" t="s">
        <v>355</v>
      </c>
      <c r="Q24180" s="5" t="s">
        <v>355</v>
      </c>
    </row>
    <row r="24181" ht="16.5" customHeight="1">
      <c r="O24181" s="5" t="s">
        <v>355</v>
      </c>
      <c r="P24181" s="5" t="s">
        <v>355</v>
      </c>
      <c r="Q24181" s="5" t="s">
        <v>355</v>
      </c>
    </row>
    <row r="24182" ht="16.5" customHeight="1">
      <c r="O24182" s="5" t="s">
        <v>355</v>
      </c>
      <c r="P24182" s="5" t="s">
        <v>355</v>
      </c>
      <c r="Q24182" s="5" t="s">
        <v>355</v>
      </c>
    </row>
    <row r="24183" ht="16.5" customHeight="1">
      <c r="O24183" s="5" t="s">
        <v>355</v>
      </c>
      <c r="P24183" s="5" t="s">
        <v>355</v>
      </c>
      <c r="Q24183" s="5" t="s">
        <v>355</v>
      </c>
    </row>
    <row r="24184" ht="16.5" customHeight="1">
      <c r="O24184" s="5" t="s">
        <v>355</v>
      </c>
      <c r="P24184" s="5" t="s">
        <v>355</v>
      </c>
      <c r="Q24184" s="5" t="s">
        <v>355</v>
      </c>
    </row>
    <row r="24185" ht="16.5" customHeight="1">
      <c r="O24185" s="5" t="s">
        <v>355</v>
      </c>
      <c r="P24185" s="5" t="s">
        <v>355</v>
      </c>
      <c r="Q24185" s="5" t="s">
        <v>355</v>
      </c>
    </row>
    <row r="24186" ht="16.5" customHeight="1">
      <c r="O24186" s="5" t="s">
        <v>355</v>
      </c>
      <c r="P24186" s="5" t="s">
        <v>355</v>
      </c>
      <c r="Q24186" s="5" t="s">
        <v>355</v>
      </c>
    </row>
    <row r="24187" ht="16.5" customHeight="1">
      <c r="O24187" s="5" t="s">
        <v>355</v>
      </c>
      <c r="P24187" s="5" t="s">
        <v>355</v>
      </c>
      <c r="Q24187" s="5" t="s">
        <v>355</v>
      </c>
    </row>
    <row r="24188" ht="16.5" customHeight="1">
      <c r="O24188" s="5" t="s">
        <v>355</v>
      </c>
      <c r="P24188" s="5" t="s">
        <v>355</v>
      </c>
      <c r="Q24188" s="5" t="s">
        <v>355</v>
      </c>
    </row>
    <row r="24189" ht="16.5" customHeight="1">
      <c r="O24189" s="5" t="s">
        <v>355</v>
      </c>
      <c r="P24189" s="5" t="s">
        <v>355</v>
      </c>
      <c r="Q24189" s="5" t="s">
        <v>355</v>
      </c>
    </row>
    <row r="24190" ht="16.5" customHeight="1">
      <c r="O24190" s="5" t="s">
        <v>355</v>
      </c>
      <c r="P24190" s="5" t="s">
        <v>355</v>
      </c>
      <c r="Q24190" s="5" t="s">
        <v>355</v>
      </c>
    </row>
    <row r="24191" ht="16.5" customHeight="1">
      <c r="O24191" s="5" t="s">
        <v>355</v>
      </c>
      <c r="P24191" s="5" t="s">
        <v>355</v>
      </c>
      <c r="Q24191" s="5" t="s">
        <v>355</v>
      </c>
    </row>
    <row r="24192" ht="16.5" customHeight="1">
      <c r="O24192" s="5" t="s">
        <v>355</v>
      </c>
      <c r="P24192" s="5" t="s">
        <v>355</v>
      </c>
      <c r="Q24192" s="5" t="s">
        <v>355</v>
      </c>
    </row>
    <row r="24193" ht="16.5" customHeight="1">
      <c r="O24193" s="5" t="s">
        <v>355</v>
      </c>
      <c r="P24193" s="5" t="s">
        <v>355</v>
      </c>
      <c r="Q24193" s="5" t="s">
        <v>355</v>
      </c>
    </row>
    <row r="24194" ht="16.5" customHeight="1">
      <c r="O24194" s="5" t="s">
        <v>355</v>
      </c>
      <c r="P24194" s="5" t="s">
        <v>355</v>
      </c>
      <c r="Q24194" s="5" t="s">
        <v>355</v>
      </c>
    </row>
    <row r="24195" ht="16.5" customHeight="1">
      <c r="O24195" s="5" t="s">
        <v>355</v>
      </c>
      <c r="P24195" s="5" t="s">
        <v>355</v>
      </c>
      <c r="Q24195" s="5" t="s">
        <v>355</v>
      </c>
    </row>
    <row r="24196" ht="16.5" customHeight="1">
      <c r="O24196" s="5" t="s">
        <v>355</v>
      </c>
      <c r="P24196" s="5" t="s">
        <v>355</v>
      </c>
      <c r="Q24196" s="5" t="s">
        <v>355</v>
      </c>
    </row>
    <row r="24197" ht="16.5" customHeight="1">
      <c r="O24197" s="5" t="s">
        <v>355</v>
      </c>
      <c r="P24197" s="5" t="s">
        <v>355</v>
      </c>
      <c r="Q24197" s="5" t="s">
        <v>355</v>
      </c>
    </row>
    <row r="24198" ht="16.5" customHeight="1">
      <c r="O24198" s="5" t="s">
        <v>355</v>
      </c>
      <c r="P24198" s="5" t="s">
        <v>355</v>
      </c>
      <c r="Q24198" s="5" t="s">
        <v>355</v>
      </c>
    </row>
    <row r="24199" ht="16.5" customHeight="1">
      <c r="O24199" s="5" t="s">
        <v>355</v>
      </c>
      <c r="P24199" s="5" t="s">
        <v>355</v>
      </c>
      <c r="Q24199" s="5" t="s">
        <v>355</v>
      </c>
    </row>
    <row r="24200" ht="16.5" customHeight="1">
      <c r="O24200" s="5" t="s">
        <v>355</v>
      </c>
      <c r="P24200" s="5" t="s">
        <v>355</v>
      </c>
      <c r="Q24200" s="5" t="s">
        <v>355</v>
      </c>
    </row>
    <row r="24201" ht="16.5" customHeight="1">
      <c r="O24201" s="5" t="s">
        <v>355</v>
      </c>
      <c r="P24201" s="5" t="s">
        <v>355</v>
      </c>
      <c r="Q24201" s="5" t="s">
        <v>355</v>
      </c>
    </row>
    <row r="24202" ht="16.5" customHeight="1">
      <c r="O24202" s="5" t="s">
        <v>355</v>
      </c>
      <c r="P24202" s="5" t="s">
        <v>355</v>
      </c>
      <c r="Q24202" s="5" t="s">
        <v>355</v>
      </c>
    </row>
    <row r="24203" ht="16.5" customHeight="1">
      <c r="O24203" s="5" t="s">
        <v>355</v>
      </c>
      <c r="P24203" s="5" t="s">
        <v>355</v>
      </c>
      <c r="Q24203" s="5" t="s">
        <v>355</v>
      </c>
    </row>
    <row r="24204" ht="16.5" customHeight="1">
      <c r="O24204" s="5" t="s">
        <v>355</v>
      </c>
      <c r="P24204" s="5" t="s">
        <v>355</v>
      </c>
      <c r="Q24204" s="5" t="s">
        <v>355</v>
      </c>
    </row>
    <row r="24205" ht="16.5" customHeight="1">
      <c r="O24205" s="5" t="s">
        <v>355</v>
      </c>
      <c r="P24205" s="5" t="s">
        <v>355</v>
      </c>
      <c r="Q24205" s="5" t="s">
        <v>355</v>
      </c>
    </row>
    <row r="24206" ht="16.5" customHeight="1">
      <c r="O24206" s="5" t="s">
        <v>355</v>
      </c>
      <c r="P24206" s="5" t="s">
        <v>355</v>
      </c>
      <c r="Q24206" s="5" t="s">
        <v>355</v>
      </c>
    </row>
    <row r="24207" ht="16.5" customHeight="1">
      <c r="O24207" s="5" t="s">
        <v>355</v>
      </c>
      <c r="P24207" s="5" t="s">
        <v>355</v>
      </c>
      <c r="Q24207" s="5" t="s">
        <v>355</v>
      </c>
    </row>
    <row r="24208" ht="16.5" customHeight="1">
      <c r="O24208" s="5" t="s">
        <v>355</v>
      </c>
      <c r="P24208" s="5" t="s">
        <v>355</v>
      </c>
      <c r="Q24208" s="5" t="s">
        <v>355</v>
      </c>
    </row>
    <row r="24209" ht="16.5" customHeight="1">
      <c r="O24209" s="5" t="s">
        <v>355</v>
      </c>
      <c r="P24209" s="5" t="s">
        <v>355</v>
      </c>
      <c r="Q24209" s="5" t="s">
        <v>355</v>
      </c>
    </row>
    <row r="24210" ht="16.5" customHeight="1">
      <c r="O24210" s="5" t="s">
        <v>355</v>
      </c>
      <c r="P24210" s="5" t="s">
        <v>355</v>
      </c>
      <c r="Q24210" s="5" t="s">
        <v>355</v>
      </c>
    </row>
    <row r="24211" ht="16.5" customHeight="1">
      <c r="O24211" s="5" t="s">
        <v>355</v>
      </c>
      <c r="P24211" s="5" t="s">
        <v>355</v>
      </c>
      <c r="Q24211" s="5" t="s">
        <v>355</v>
      </c>
    </row>
    <row r="24212" ht="16.5" customHeight="1">
      <c r="O24212" s="5" t="s">
        <v>355</v>
      </c>
      <c r="P24212" s="5" t="s">
        <v>355</v>
      </c>
      <c r="Q24212" s="5" t="s">
        <v>355</v>
      </c>
    </row>
    <row r="24213" ht="16.5" customHeight="1">
      <c r="O24213" s="5" t="s">
        <v>355</v>
      </c>
      <c r="P24213" s="5" t="s">
        <v>355</v>
      </c>
      <c r="Q24213" s="5" t="s">
        <v>355</v>
      </c>
    </row>
    <row r="24214" ht="16.5" customHeight="1">
      <c r="O24214" s="5" t="s">
        <v>355</v>
      </c>
      <c r="P24214" s="5" t="s">
        <v>355</v>
      </c>
      <c r="Q24214" s="5" t="s">
        <v>355</v>
      </c>
    </row>
    <row r="24215" ht="16.5" customHeight="1">
      <c r="O24215" s="5" t="s">
        <v>355</v>
      </c>
      <c r="P24215" s="5" t="s">
        <v>355</v>
      </c>
      <c r="Q24215" s="5" t="s">
        <v>355</v>
      </c>
    </row>
    <row r="24216" ht="16.5" customHeight="1">
      <c r="O24216" s="5" t="s">
        <v>355</v>
      </c>
      <c r="P24216" s="5" t="s">
        <v>355</v>
      </c>
      <c r="Q24216" s="5" t="s">
        <v>355</v>
      </c>
    </row>
    <row r="24217" ht="16.5" customHeight="1">
      <c r="O24217" s="5" t="s">
        <v>355</v>
      </c>
      <c r="P24217" s="5" t="s">
        <v>355</v>
      </c>
      <c r="Q24217" s="5" t="s">
        <v>355</v>
      </c>
    </row>
    <row r="24218" ht="16.5" customHeight="1">
      <c r="O24218" s="5" t="s">
        <v>355</v>
      </c>
      <c r="P24218" s="5" t="s">
        <v>355</v>
      </c>
      <c r="Q24218" s="5" t="s">
        <v>355</v>
      </c>
    </row>
    <row r="24219" ht="16.5" customHeight="1">
      <c r="O24219" s="5" t="s">
        <v>355</v>
      </c>
      <c r="P24219" s="5" t="s">
        <v>355</v>
      </c>
      <c r="Q24219" s="5" t="s">
        <v>355</v>
      </c>
    </row>
    <row r="24220" ht="16.5" customHeight="1">
      <c r="O24220" s="5" t="s">
        <v>355</v>
      </c>
      <c r="P24220" s="5" t="s">
        <v>355</v>
      </c>
      <c r="Q24220" s="5" t="s">
        <v>355</v>
      </c>
    </row>
    <row r="24221" ht="16.5" customHeight="1">
      <c r="O24221" s="5" t="s">
        <v>355</v>
      </c>
      <c r="P24221" s="5" t="s">
        <v>355</v>
      </c>
      <c r="Q24221" s="5" t="s">
        <v>355</v>
      </c>
    </row>
    <row r="24222" ht="16.5" customHeight="1">
      <c r="O24222" s="5" t="s">
        <v>355</v>
      </c>
      <c r="P24222" s="5" t="s">
        <v>355</v>
      </c>
      <c r="Q24222" s="5" t="s">
        <v>355</v>
      </c>
    </row>
    <row r="24223" ht="16.5" customHeight="1">
      <c r="O24223" s="5" t="s">
        <v>355</v>
      </c>
      <c r="P24223" s="5" t="s">
        <v>355</v>
      </c>
      <c r="Q24223" s="5" t="s">
        <v>355</v>
      </c>
    </row>
    <row r="24224" ht="16.5" customHeight="1">
      <c r="O24224" s="5" t="s">
        <v>355</v>
      </c>
      <c r="P24224" s="5" t="s">
        <v>355</v>
      </c>
      <c r="Q24224" s="5" t="s">
        <v>355</v>
      </c>
    </row>
    <row r="24225" ht="16.5" customHeight="1">
      <c r="O24225" s="5" t="s">
        <v>355</v>
      </c>
      <c r="P24225" s="5" t="s">
        <v>355</v>
      </c>
      <c r="Q24225" s="5" t="s">
        <v>355</v>
      </c>
    </row>
    <row r="24226" ht="16.5" customHeight="1">
      <c r="O24226" s="5" t="s">
        <v>355</v>
      </c>
      <c r="P24226" s="5" t="s">
        <v>355</v>
      </c>
      <c r="Q24226" s="5" t="s">
        <v>355</v>
      </c>
    </row>
    <row r="24227" ht="16.5" customHeight="1">
      <c r="O24227" s="5" t="s">
        <v>355</v>
      </c>
      <c r="P24227" s="5" t="s">
        <v>355</v>
      </c>
      <c r="Q24227" s="5" t="s">
        <v>355</v>
      </c>
    </row>
    <row r="24228" ht="16.5" customHeight="1">
      <c r="O24228" s="5" t="s">
        <v>355</v>
      </c>
      <c r="P24228" s="5" t="s">
        <v>355</v>
      </c>
      <c r="Q24228" s="5" t="s">
        <v>355</v>
      </c>
    </row>
    <row r="24229" ht="16.5" customHeight="1">
      <c r="O24229" s="5" t="s">
        <v>355</v>
      </c>
      <c r="P24229" s="5" t="s">
        <v>355</v>
      </c>
      <c r="Q24229" s="5" t="s">
        <v>355</v>
      </c>
    </row>
    <row r="24230" ht="16.5" customHeight="1">
      <c r="O24230" s="5" t="s">
        <v>355</v>
      </c>
      <c r="P24230" s="5" t="s">
        <v>355</v>
      </c>
      <c r="Q24230" s="5" t="s">
        <v>355</v>
      </c>
    </row>
    <row r="24231" ht="16.5" customHeight="1">
      <c r="O24231" s="5" t="s">
        <v>355</v>
      </c>
      <c r="P24231" s="5" t="s">
        <v>355</v>
      </c>
      <c r="Q24231" s="5" t="s">
        <v>355</v>
      </c>
    </row>
    <row r="24232" ht="16.5" customHeight="1">
      <c r="O24232" s="5" t="s">
        <v>355</v>
      </c>
      <c r="P24232" s="5" t="s">
        <v>355</v>
      </c>
      <c r="Q24232" s="5" t="s">
        <v>355</v>
      </c>
    </row>
    <row r="24233" ht="16.5" customHeight="1">
      <c r="O24233" s="5" t="s">
        <v>355</v>
      </c>
      <c r="P24233" s="5" t="s">
        <v>355</v>
      </c>
      <c r="Q24233" s="5" t="s">
        <v>355</v>
      </c>
    </row>
    <row r="24234" ht="16.5" customHeight="1">
      <c r="O24234" s="5" t="s">
        <v>355</v>
      </c>
      <c r="P24234" s="5" t="s">
        <v>355</v>
      </c>
      <c r="Q24234" s="5" t="s">
        <v>355</v>
      </c>
    </row>
    <row r="24235" ht="16.5" customHeight="1">
      <c r="O24235" s="5" t="s">
        <v>355</v>
      </c>
      <c r="P24235" s="5" t="s">
        <v>355</v>
      </c>
      <c r="Q24235" s="5" t="s">
        <v>355</v>
      </c>
    </row>
    <row r="24236" ht="16.5" customHeight="1">
      <c r="O24236" s="5" t="s">
        <v>355</v>
      </c>
      <c r="P24236" s="5" t="s">
        <v>355</v>
      </c>
      <c r="Q24236" s="5" t="s">
        <v>355</v>
      </c>
    </row>
    <row r="24237" ht="16.5" customHeight="1">
      <c r="O24237" s="5" t="s">
        <v>355</v>
      </c>
      <c r="P24237" s="5" t="s">
        <v>355</v>
      </c>
      <c r="Q24237" s="5" t="s">
        <v>355</v>
      </c>
    </row>
    <row r="24238" ht="16.5" customHeight="1">
      <c r="O24238" s="5" t="s">
        <v>355</v>
      </c>
      <c r="P24238" s="5" t="s">
        <v>355</v>
      </c>
      <c r="Q24238" s="5" t="s">
        <v>355</v>
      </c>
    </row>
    <row r="24239" ht="16.5" customHeight="1">
      <c r="O24239" s="5" t="s">
        <v>355</v>
      </c>
      <c r="P24239" s="5" t="s">
        <v>355</v>
      </c>
      <c r="Q24239" s="5" t="s">
        <v>355</v>
      </c>
    </row>
    <row r="24240" ht="16.5" customHeight="1">
      <c r="O24240" s="5" t="s">
        <v>355</v>
      </c>
      <c r="P24240" s="5" t="s">
        <v>355</v>
      </c>
      <c r="Q24240" s="5" t="s">
        <v>355</v>
      </c>
    </row>
    <row r="24241" ht="16.5" customHeight="1">
      <c r="O24241" s="5" t="s">
        <v>355</v>
      </c>
      <c r="P24241" s="5" t="s">
        <v>355</v>
      </c>
      <c r="Q24241" s="5" t="s">
        <v>355</v>
      </c>
    </row>
    <row r="24242" ht="16.5" customHeight="1">
      <c r="O24242" s="5" t="s">
        <v>355</v>
      </c>
      <c r="P24242" s="5" t="s">
        <v>355</v>
      </c>
      <c r="Q24242" s="5" t="s">
        <v>355</v>
      </c>
    </row>
    <row r="24243" ht="16.5" customHeight="1">
      <c r="O24243" s="5" t="s">
        <v>355</v>
      </c>
      <c r="P24243" s="5" t="s">
        <v>355</v>
      </c>
      <c r="Q24243" s="5" t="s">
        <v>355</v>
      </c>
    </row>
    <row r="24244" ht="16.5" customHeight="1">
      <c r="O24244" s="5" t="s">
        <v>355</v>
      </c>
      <c r="P24244" s="5" t="s">
        <v>355</v>
      </c>
      <c r="Q24244" s="5" t="s">
        <v>355</v>
      </c>
    </row>
    <row r="24245" ht="16.5" customHeight="1">
      <c r="O24245" s="5" t="s">
        <v>355</v>
      </c>
      <c r="P24245" s="5" t="s">
        <v>355</v>
      </c>
      <c r="Q24245" s="5" t="s">
        <v>355</v>
      </c>
    </row>
    <row r="24246" ht="16.5" customHeight="1">
      <c r="O24246" s="5" t="s">
        <v>355</v>
      </c>
      <c r="P24246" s="5" t="s">
        <v>355</v>
      </c>
      <c r="Q24246" s="5" t="s">
        <v>355</v>
      </c>
    </row>
    <row r="24247" ht="16.5" customHeight="1">
      <c r="O24247" s="5" t="s">
        <v>355</v>
      </c>
      <c r="P24247" s="5" t="s">
        <v>355</v>
      </c>
      <c r="Q24247" s="5" t="s">
        <v>355</v>
      </c>
    </row>
    <row r="24248" ht="16.5" customHeight="1">
      <c r="O24248" s="5" t="s">
        <v>355</v>
      </c>
      <c r="P24248" s="5" t="s">
        <v>355</v>
      </c>
      <c r="Q24248" s="5" t="s">
        <v>355</v>
      </c>
    </row>
    <row r="24249" ht="16.5" customHeight="1">
      <c r="O24249" s="5" t="s">
        <v>355</v>
      </c>
      <c r="P24249" s="5" t="s">
        <v>355</v>
      </c>
      <c r="Q24249" s="5" t="s">
        <v>355</v>
      </c>
    </row>
    <row r="24250" ht="16.5" customHeight="1">
      <c r="O24250" s="5" t="s">
        <v>355</v>
      </c>
      <c r="P24250" s="5" t="s">
        <v>355</v>
      </c>
      <c r="Q24250" s="5" t="s">
        <v>355</v>
      </c>
    </row>
    <row r="24251" ht="16.5" customHeight="1">
      <c r="O24251" s="5" t="s">
        <v>355</v>
      </c>
      <c r="P24251" s="5" t="s">
        <v>355</v>
      </c>
      <c r="Q24251" s="5" t="s">
        <v>355</v>
      </c>
    </row>
    <row r="24252" ht="16.5" customHeight="1">
      <c r="O24252" s="5" t="s">
        <v>355</v>
      </c>
      <c r="P24252" s="5" t="s">
        <v>355</v>
      </c>
      <c r="Q24252" s="5" t="s">
        <v>355</v>
      </c>
    </row>
    <row r="24253" ht="16.5" customHeight="1">
      <c r="O24253" s="5" t="s">
        <v>355</v>
      </c>
      <c r="P24253" s="5" t="s">
        <v>355</v>
      </c>
      <c r="Q24253" s="5" t="s">
        <v>355</v>
      </c>
    </row>
    <row r="24254" ht="16.5" customHeight="1">
      <c r="O24254" s="5" t="s">
        <v>355</v>
      </c>
      <c r="P24254" s="5" t="s">
        <v>355</v>
      </c>
      <c r="Q24254" s="5" t="s">
        <v>355</v>
      </c>
    </row>
    <row r="24255" ht="16.5" customHeight="1">
      <c r="O24255" s="5" t="s">
        <v>355</v>
      </c>
      <c r="P24255" s="5" t="s">
        <v>355</v>
      </c>
      <c r="Q24255" s="5" t="s">
        <v>355</v>
      </c>
    </row>
    <row r="24256" ht="16.5" customHeight="1">
      <c r="O24256" s="5" t="s">
        <v>355</v>
      </c>
      <c r="P24256" s="5" t="s">
        <v>355</v>
      </c>
      <c r="Q24256" s="5" t="s">
        <v>355</v>
      </c>
    </row>
    <row r="24257" ht="16.5" customHeight="1">
      <c r="O24257" s="5" t="s">
        <v>355</v>
      </c>
      <c r="P24257" s="5" t="s">
        <v>355</v>
      </c>
      <c r="Q24257" s="5" t="s">
        <v>355</v>
      </c>
    </row>
    <row r="24258" ht="16.5" customHeight="1">
      <c r="O24258" s="5" t="s">
        <v>355</v>
      </c>
      <c r="P24258" s="5" t="s">
        <v>355</v>
      </c>
      <c r="Q24258" s="5" t="s">
        <v>355</v>
      </c>
    </row>
    <row r="24259" ht="16.5" customHeight="1">
      <c r="O24259" s="5" t="s">
        <v>355</v>
      </c>
      <c r="P24259" s="5" t="s">
        <v>355</v>
      </c>
      <c r="Q24259" s="5" t="s">
        <v>355</v>
      </c>
    </row>
    <row r="24260" ht="16.5" customHeight="1">
      <c r="O24260" s="5" t="s">
        <v>355</v>
      </c>
      <c r="P24260" s="5" t="s">
        <v>355</v>
      </c>
      <c r="Q24260" s="5" t="s">
        <v>355</v>
      </c>
    </row>
    <row r="24261" ht="16.5" customHeight="1">
      <c r="O24261" s="5" t="s">
        <v>355</v>
      </c>
      <c r="P24261" s="5" t="s">
        <v>355</v>
      </c>
      <c r="Q24261" s="5" t="s">
        <v>355</v>
      </c>
    </row>
    <row r="24262" ht="16.5" customHeight="1">
      <c r="O24262" s="5" t="s">
        <v>355</v>
      </c>
      <c r="P24262" s="5" t="s">
        <v>355</v>
      </c>
      <c r="Q24262" s="5" t="s">
        <v>355</v>
      </c>
    </row>
    <row r="24263" ht="16.5" customHeight="1">
      <c r="O24263" s="5" t="s">
        <v>355</v>
      </c>
      <c r="P24263" s="5" t="s">
        <v>355</v>
      </c>
      <c r="Q24263" s="5" t="s">
        <v>355</v>
      </c>
    </row>
    <row r="24264" ht="16.5" customHeight="1">
      <c r="O24264" s="5" t="s">
        <v>355</v>
      </c>
      <c r="P24264" s="5" t="s">
        <v>355</v>
      </c>
      <c r="Q24264" s="5" t="s">
        <v>355</v>
      </c>
    </row>
    <row r="24265" ht="16.5" customHeight="1">
      <c r="O24265" s="5" t="s">
        <v>355</v>
      </c>
      <c r="P24265" s="5" t="s">
        <v>355</v>
      </c>
      <c r="Q24265" s="5" t="s">
        <v>355</v>
      </c>
    </row>
    <row r="24266" ht="16.5" customHeight="1">
      <c r="O24266" s="5" t="s">
        <v>355</v>
      </c>
      <c r="P24266" s="5" t="s">
        <v>355</v>
      </c>
      <c r="Q24266" s="5" t="s">
        <v>355</v>
      </c>
    </row>
    <row r="24267" ht="16.5" customHeight="1">
      <c r="O24267" s="5" t="s">
        <v>355</v>
      </c>
      <c r="P24267" s="5" t="s">
        <v>355</v>
      </c>
      <c r="Q24267" s="5" t="s">
        <v>355</v>
      </c>
    </row>
    <row r="24268" ht="16.5" customHeight="1">
      <c r="O24268" s="5" t="s">
        <v>355</v>
      </c>
      <c r="P24268" s="5" t="s">
        <v>355</v>
      </c>
      <c r="Q24268" s="5" t="s">
        <v>355</v>
      </c>
    </row>
    <row r="24269" ht="16.5" customHeight="1">
      <c r="O24269" s="5" t="s">
        <v>355</v>
      </c>
      <c r="P24269" s="5" t="s">
        <v>355</v>
      </c>
      <c r="Q24269" s="5" t="s">
        <v>355</v>
      </c>
    </row>
    <row r="24270" ht="16.5" customHeight="1">
      <c r="O24270" s="5" t="s">
        <v>355</v>
      </c>
      <c r="P24270" s="5" t="s">
        <v>355</v>
      </c>
      <c r="Q24270" s="5" t="s">
        <v>355</v>
      </c>
    </row>
    <row r="24271" ht="16.5" customHeight="1">
      <c r="O24271" s="5" t="s">
        <v>355</v>
      </c>
      <c r="P24271" s="5" t="s">
        <v>355</v>
      </c>
      <c r="Q24271" s="5" t="s">
        <v>355</v>
      </c>
    </row>
    <row r="24272" ht="16.5" customHeight="1">
      <c r="O24272" s="5" t="s">
        <v>355</v>
      </c>
      <c r="P24272" s="5" t="s">
        <v>355</v>
      </c>
      <c r="Q24272" s="5" t="s">
        <v>355</v>
      </c>
    </row>
    <row r="24273" ht="16.5" customHeight="1">
      <c r="O24273" s="5" t="s">
        <v>355</v>
      </c>
      <c r="P24273" s="5" t="s">
        <v>355</v>
      </c>
      <c r="Q24273" s="5" t="s">
        <v>355</v>
      </c>
    </row>
    <row r="24274" ht="16.5" customHeight="1">
      <c r="O24274" s="5" t="s">
        <v>355</v>
      </c>
      <c r="P24274" s="5" t="s">
        <v>355</v>
      </c>
      <c r="Q24274" s="5" t="s">
        <v>355</v>
      </c>
    </row>
    <row r="24275" ht="16.5" customHeight="1">
      <c r="O24275" s="5" t="s">
        <v>355</v>
      </c>
      <c r="P24275" s="5" t="s">
        <v>355</v>
      </c>
      <c r="Q24275" s="5" t="s">
        <v>355</v>
      </c>
    </row>
    <row r="24276" ht="16.5" customHeight="1">
      <c r="O24276" s="5" t="s">
        <v>355</v>
      </c>
      <c r="P24276" s="5" t="s">
        <v>355</v>
      </c>
      <c r="Q24276" s="5" t="s">
        <v>355</v>
      </c>
    </row>
    <row r="24277" ht="16.5" customHeight="1">
      <c r="O24277" s="5" t="s">
        <v>355</v>
      </c>
      <c r="P24277" s="5" t="s">
        <v>355</v>
      </c>
      <c r="Q24277" s="5" t="s">
        <v>355</v>
      </c>
    </row>
    <row r="24278" ht="16.5" customHeight="1">
      <c r="O24278" s="5" t="s">
        <v>355</v>
      </c>
      <c r="P24278" s="5" t="s">
        <v>355</v>
      </c>
      <c r="Q24278" s="5" t="s">
        <v>355</v>
      </c>
    </row>
    <row r="24279" ht="16.5" customHeight="1">
      <c r="O24279" s="5" t="s">
        <v>355</v>
      </c>
      <c r="P24279" s="5" t="s">
        <v>355</v>
      </c>
      <c r="Q24279" s="5" t="s">
        <v>355</v>
      </c>
    </row>
    <row r="24280" ht="16.5" customHeight="1">
      <c r="O24280" s="5" t="s">
        <v>355</v>
      </c>
      <c r="P24280" s="5" t="s">
        <v>355</v>
      </c>
      <c r="Q24280" s="5" t="s">
        <v>355</v>
      </c>
    </row>
    <row r="24281" ht="16.5" customHeight="1">
      <c r="O24281" s="5" t="s">
        <v>355</v>
      </c>
      <c r="P24281" s="5" t="s">
        <v>355</v>
      </c>
      <c r="Q24281" s="5" t="s">
        <v>355</v>
      </c>
    </row>
    <row r="24282" ht="16.5" customHeight="1">
      <c r="O24282" s="5" t="s">
        <v>355</v>
      </c>
      <c r="P24282" s="5" t="s">
        <v>355</v>
      </c>
      <c r="Q24282" s="5" t="s">
        <v>355</v>
      </c>
    </row>
    <row r="24283" ht="16.5" customHeight="1">
      <c r="O24283" s="5" t="s">
        <v>355</v>
      </c>
      <c r="P24283" s="5" t="s">
        <v>355</v>
      </c>
      <c r="Q24283" s="5" t="s">
        <v>355</v>
      </c>
    </row>
    <row r="24284" ht="16.5" customHeight="1">
      <c r="O24284" s="5" t="s">
        <v>355</v>
      </c>
      <c r="P24284" s="5" t="s">
        <v>355</v>
      </c>
      <c r="Q24284" s="5" t="s">
        <v>355</v>
      </c>
    </row>
    <row r="24285" ht="16.5" customHeight="1">
      <c r="O24285" s="5" t="s">
        <v>355</v>
      </c>
      <c r="P24285" s="5" t="s">
        <v>355</v>
      </c>
      <c r="Q24285" s="5" t="s">
        <v>355</v>
      </c>
    </row>
    <row r="24286" ht="16.5" customHeight="1">
      <c r="O24286" s="5" t="s">
        <v>355</v>
      </c>
      <c r="P24286" s="5" t="s">
        <v>355</v>
      </c>
      <c r="Q24286" s="5" t="s">
        <v>355</v>
      </c>
    </row>
    <row r="24287" ht="16.5" customHeight="1">
      <c r="O24287" s="5" t="s">
        <v>355</v>
      </c>
      <c r="P24287" s="5" t="s">
        <v>355</v>
      </c>
      <c r="Q24287" s="5" t="s">
        <v>355</v>
      </c>
    </row>
    <row r="24288" ht="16.5" customHeight="1">
      <c r="O24288" s="5" t="s">
        <v>355</v>
      </c>
      <c r="P24288" s="5" t="s">
        <v>355</v>
      </c>
      <c r="Q24288" s="5" t="s">
        <v>355</v>
      </c>
    </row>
    <row r="24289" ht="16.5" customHeight="1">
      <c r="O24289" s="5" t="s">
        <v>355</v>
      </c>
      <c r="P24289" s="5" t="s">
        <v>355</v>
      </c>
      <c r="Q24289" s="5" t="s">
        <v>355</v>
      </c>
    </row>
    <row r="24290" ht="16.5" customHeight="1">
      <c r="O24290" s="5" t="s">
        <v>355</v>
      </c>
      <c r="P24290" s="5" t="s">
        <v>355</v>
      </c>
      <c r="Q24290" s="5" t="s">
        <v>355</v>
      </c>
    </row>
    <row r="24291" ht="16.5" customHeight="1">
      <c r="O24291" s="5" t="s">
        <v>355</v>
      </c>
      <c r="P24291" s="5" t="s">
        <v>355</v>
      </c>
      <c r="Q24291" s="5" t="s">
        <v>355</v>
      </c>
    </row>
    <row r="24292" ht="16.5" customHeight="1">
      <c r="O24292" s="5" t="s">
        <v>355</v>
      </c>
      <c r="P24292" s="5" t="s">
        <v>355</v>
      </c>
      <c r="Q24292" s="5" t="s">
        <v>355</v>
      </c>
    </row>
    <row r="24293" ht="16.5" customHeight="1">
      <c r="O24293" s="5" t="s">
        <v>355</v>
      </c>
      <c r="P24293" s="5" t="s">
        <v>355</v>
      </c>
      <c r="Q24293" s="5" t="s">
        <v>355</v>
      </c>
    </row>
    <row r="24294" ht="16.5" customHeight="1">
      <c r="O24294" s="5" t="s">
        <v>355</v>
      </c>
      <c r="P24294" s="5" t="s">
        <v>355</v>
      </c>
      <c r="Q24294" s="5" t="s">
        <v>355</v>
      </c>
    </row>
    <row r="24295" ht="16.5" customHeight="1">
      <c r="O24295" s="5" t="s">
        <v>355</v>
      </c>
      <c r="P24295" s="5" t="s">
        <v>355</v>
      </c>
      <c r="Q24295" s="5" t="s">
        <v>355</v>
      </c>
    </row>
    <row r="24296" ht="16.5" customHeight="1">
      <c r="O24296" s="5" t="s">
        <v>355</v>
      </c>
      <c r="P24296" s="5" t="s">
        <v>355</v>
      </c>
      <c r="Q24296" s="5" t="s">
        <v>355</v>
      </c>
    </row>
    <row r="24297" ht="16.5" customHeight="1">
      <c r="O24297" s="5" t="s">
        <v>355</v>
      </c>
      <c r="P24297" s="5" t="s">
        <v>355</v>
      </c>
      <c r="Q24297" s="5" t="s">
        <v>355</v>
      </c>
    </row>
    <row r="24298" ht="16.5" customHeight="1">
      <c r="O24298" s="5" t="s">
        <v>355</v>
      </c>
      <c r="P24298" s="5" t="s">
        <v>355</v>
      </c>
      <c r="Q24298" s="5" t="s">
        <v>355</v>
      </c>
    </row>
    <row r="24299" ht="16.5" customHeight="1">
      <c r="O24299" s="5" t="s">
        <v>355</v>
      </c>
      <c r="P24299" s="5" t="s">
        <v>355</v>
      </c>
      <c r="Q24299" s="5" t="s">
        <v>355</v>
      </c>
    </row>
    <row r="24300" ht="16.5" customHeight="1">
      <c r="O24300" s="5" t="s">
        <v>355</v>
      </c>
      <c r="P24300" s="5" t="s">
        <v>355</v>
      </c>
      <c r="Q24300" s="5" t="s">
        <v>355</v>
      </c>
    </row>
    <row r="24301" ht="16.5" customHeight="1">
      <c r="O24301" s="5" t="s">
        <v>355</v>
      </c>
      <c r="P24301" s="5" t="s">
        <v>355</v>
      </c>
      <c r="Q24301" s="5" t="s">
        <v>355</v>
      </c>
    </row>
    <row r="24302" ht="16.5" customHeight="1">
      <c r="O24302" s="5" t="s">
        <v>355</v>
      </c>
      <c r="P24302" s="5" t="s">
        <v>355</v>
      </c>
      <c r="Q24302" s="5" t="s">
        <v>355</v>
      </c>
    </row>
    <row r="24303" ht="16.5" customHeight="1">
      <c r="O24303" s="5" t="s">
        <v>355</v>
      </c>
      <c r="P24303" s="5" t="s">
        <v>355</v>
      </c>
      <c r="Q24303" s="5" t="s">
        <v>355</v>
      </c>
    </row>
    <row r="24304" ht="16.5" customHeight="1">
      <c r="O24304" s="5" t="s">
        <v>355</v>
      </c>
      <c r="P24304" s="5" t="s">
        <v>355</v>
      </c>
      <c r="Q24304" s="5" t="s">
        <v>355</v>
      </c>
    </row>
    <row r="24305" ht="16.5" customHeight="1">
      <c r="O24305" s="5" t="s">
        <v>355</v>
      </c>
      <c r="P24305" s="5" t="s">
        <v>355</v>
      </c>
      <c r="Q24305" s="5" t="s">
        <v>355</v>
      </c>
    </row>
    <row r="24306" ht="16.5" customHeight="1">
      <c r="O24306" s="5" t="s">
        <v>355</v>
      </c>
      <c r="P24306" s="5" t="s">
        <v>355</v>
      </c>
      <c r="Q24306" s="5" t="s">
        <v>355</v>
      </c>
    </row>
    <row r="24307" ht="16.5" customHeight="1">
      <c r="O24307" s="5" t="s">
        <v>355</v>
      </c>
      <c r="P24307" s="5" t="s">
        <v>355</v>
      </c>
      <c r="Q24307" s="5" t="s">
        <v>355</v>
      </c>
    </row>
    <row r="24308" ht="16.5" customHeight="1">
      <c r="O24308" s="5" t="s">
        <v>355</v>
      </c>
      <c r="P24308" s="5" t="s">
        <v>355</v>
      </c>
      <c r="Q24308" s="5" t="s">
        <v>355</v>
      </c>
    </row>
    <row r="24309" ht="16.5" customHeight="1">
      <c r="O24309" s="5" t="s">
        <v>355</v>
      </c>
      <c r="P24309" s="5" t="s">
        <v>355</v>
      </c>
      <c r="Q24309" s="5" t="s">
        <v>355</v>
      </c>
    </row>
    <row r="24310" ht="16.5" customHeight="1">
      <c r="O24310" s="5" t="s">
        <v>355</v>
      </c>
      <c r="P24310" s="5" t="s">
        <v>355</v>
      </c>
      <c r="Q24310" s="5" t="s">
        <v>355</v>
      </c>
    </row>
    <row r="24311" ht="16.5" customHeight="1">
      <c r="O24311" s="5" t="s">
        <v>355</v>
      </c>
      <c r="P24311" s="5" t="s">
        <v>355</v>
      </c>
      <c r="Q24311" s="5" t="s">
        <v>355</v>
      </c>
    </row>
    <row r="24312" ht="16.5" customHeight="1">
      <c r="O24312" s="5" t="s">
        <v>355</v>
      </c>
      <c r="P24312" s="5" t="s">
        <v>355</v>
      </c>
      <c r="Q24312" s="5" t="s">
        <v>355</v>
      </c>
    </row>
    <row r="24313" ht="16.5" customHeight="1">
      <c r="O24313" s="5" t="s">
        <v>355</v>
      </c>
      <c r="P24313" s="5" t="s">
        <v>355</v>
      </c>
      <c r="Q24313" s="5" t="s">
        <v>355</v>
      </c>
    </row>
    <row r="24314" ht="16.5" customHeight="1">
      <c r="O24314" s="5" t="s">
        <v>355</v>
      </c>
      <c r="P24314" s="5" t="s">
        <v>355</v>
      </c>
      <c r="Q24314" s="5" t="s">
        <v>355</v>
      </c>
    </row>
    <row r="24315" ht="16.5" customHeight="1">
      <c r="O24315" s="5" t="s">
        <v>355</v>
      </c>
      <c r="P24315" s="5" t="s">
        <v>355</v>
      </c>
      <c r="Q24315" s="5" t="s">
        <v>355</v>
      </c>
    </row>
    <row r="24316" ht="16.5" customHeight="1">
      <c r="O24316" s="5" t="s">
        <v>355</v>
      </c>
      <c r="P24316" s="5" t="s">
        <v>355</v>
      </c>
      <c r="Q24316" s="5" t="s">
        <v>355</v>
      </c>
    </row>
    <row r="24317" ht="16.5" customHeight="1">
      <c r="O24317" s="5" t="s">
        <v>355</v>
      </c>
      <c r="P24317" s="5" t="s">
        <v>355</v>
      </c>
      <c r="Q24317" s="5" t="s">
        <v>355</v>
      </c>
    </row>
    <row r="24318" ht="16.5" customHeight="1">
      <c r="O24318" s="5" t="s">
        <v>355</v>
      </c>
      <c r="P24318" s="5" t="s">
        <v>355</v>
      </c>
      <c r="Q24318" s="5" t="s">
        <v>355</v>
      </c>
    </row>
    <row r="24319" ht="16.5" customHeight="1">
      <c r="O24319" s="5" t="s">
        <v>355</v>
      </c>
      <c r="P24319" s="5" t="s">
        <v>355</v>
      </c>
      <c r="Q24319" s="5" t="s">
        <v>355</v>
      </c>
    </row>
    <row r="24320" ht="16.5" customHeight="1">
      <c r="O24320" s="5" t="s">
        <v>355</v>
      </c>
      <c r="P24320" s="5" t="s">
        <v>355</v>
      </c>
      <c r="Q24320" s="5" t="s">
        <v>355</v>
      </c>
    </row>
    <row r="24321" ht="16.5" customHeight="1">
      <c r="O24321" s="5" t="s">
        <v>355</v>
      </c>
      <c r="P24321" s="5" t="s">
        <v>355</v>
      </c>
      <c r="Q24321" s="5" t="s">
        <v>355</v>
      </c>
    </row>
    <row r="24322" ht="16.5" customHeight="1">
      <c r="O24322" s="5" t="s">
        <v>355</v>
      </c>
      <c r="P24322" s="5" t="s">
        <v>355</v>
      </c>
      <c r="Q24322" s="5" t="s">
        <v>355</v>
      </c>
    </row>
    <row r="24323" ht="16.5" customHeight="1">
      <c r="O24323" s="5" t="s">
        <v>355</v>
      </c>
      <c r="P24323" s="5" t="s">
        <v>355</v>
      </c>
      <c r="Q24323" s="5" t="s">
        <v>355</v>
      </c>
    </row>
    <row r="24324" ht="16.5" customHeight="1">
      <c r="O24324" s="5" t="s">
        <v>355</v>
      </c>
      <c r="P24324" s="5" t="s">
        <v>355</v>
      </c>
      <c r="Q24324" s="5" t="s">
        <v>355</v>
      </c>
    </row>
    <row r="24325" ht="16.5" customHeight="1">
      <c r="O24325" s="5" t="s">
        <v>355</v>
      </c>
      <c r="P24325" s="5" t="s">
        <v>355</v>
      </c>
      <c r="Q24325" s="5" t="s">
        <v>355</v>
      </c>
    </row>
    <row r="24326" ht="16.5" customHeight="1">
      <c r="O24326" s="5" t="s">
        <v>355</v>
      </c>
      <c r="P24326" s="5" t="s">
        <v>355</v>
      </c>
      <c r="Q24326" s="5" t="s">
        <v>355</v>
      </c>
    </row>
    <row r="24327" ht="16.5" customHeight="1">
      <c r="O24327" s="5" t="s">
        <v>355</v>
      </c>
      <c r="P24327" s="5" t="s">
        <v>355</v>
      </c>
      <c r="Q24327" s="5" t="s">
        <v>355</v>
      </c>
    </row>
    <row r="24328" ht="16.5" customHeight="1">
      <c r="O24328" s="5" t="s">
        <v>355</v>
      </c>
      <c r="P24328" s="5" t="s">
        <v>355</v>
      </c>
      <c r="Q24328" s="5" t="s">
        <v>355</v>
      </c>
    </row>
    <row r="24329" ht="16.5" customHeight="1">
      <c r="O24329" s="5" t="s">
        <v>355</v>
      </c>
      <c r="P24329" s="5" t="s">
        <v>355</v>
      </c>
      <c r="Q24329" s="5" t="s">
        <v>355</v>
      </c>
    </row>
    <row r="24330" ht="16.5" customHeight="1">
      <c r="O24330" s="5" t="s">
        <v>355</v>
      </c>
      <c r="P24330" s="5" t="s">
        <v>355</v>
      </c>
      <c r="Q24330" s="5" t="s">
        <v>355</v>
      </c>
    </row>
    <row r="24331" ht="16.5" customHeight="1">
      <c r="O24331" s="5" t="s">
        <v>355</v>
      </c>
      <c r="P24331" s="5" t="s">
        <v>355</v>
      </c>
      <c r="Q24331" s="5" t="s">
        <v>355</v>
      </c>
    </row>
    <row r="24332" ht="16.5" customHeight="1">
      <c r="O24332" s="5" t="s">
        <v>355</v>
      </c>
      <c r="P24332" s="5" t="s">
        <v>355</v>
      </c>
      <c r="Q24332" s="5" t="s">
        <v>355</v>
      </c>
    </row>
    <row r="24333" ht="16.5" customHeight="1">
      <c r="O24333" s="5" t="s">
        <v>355</v>
      </c>
      <c r="P24333" s="5" t="s">
        <v>355</v>
      </c>
      <c r="Q24333" s="5" t="s">
        <v>355</v>
      </c>
    </row>
    <row r="24334" ht="16.5" customHeight="1">
      <c r="O24334" s="5" t="s">
        <v>355</v>
      </c>
      <c r="P24334" s="5" t="s">
        <v>355</v>
      </c>
      <c r="Q24334" s="5" t="s">
        <v>355</v>
      </c>
    </row>
    <row r="24335" ht="16.5" customHeight="1">
      <c r="O24335" s="5" t="s">
        <v>355</v>
      </c>
      <c r="P24335" s="5" t="s">
        <v>355</v>
      </c>
      <c r="Q24335" s="5" t="s">
        <v>355</v>
      </c>
    </row>
    <row r="24336" ht="16.5" customHeight="1">
      <c r="O24336" s="5" t="s">
        <v>355</v>
      </c>
      <c r="P24336" s="5" t="s">
        <v>355</v>
      </c>
      <c r="Q24336" s="5" t="s">
        <v>355</v>
      </c>
    </row>
    <row r="24337" ht="16.5" customHeight="1">
      <c r="O24337" s="5" t="s">
        <v>355</v>
      </c>
      <c r="P24337" s="5" t="s">
        <v>355</v>
      </c>
      <c r="Q24337" s="5" t="s">
        <v>355</v>
      </c>
    </row>
    <row r="24338" ht="16.5" customHeight="1">
      <c r="O24338" s="5" t="s">
        <v>355</v>
      </c>
      <c r="P24338" s="5" t="s">
        <v>355</v>
      </c>
      <c r="Q24338" s="5" t="s">
        <v>355</v>
      </c>
    </row>
    <row r="24339" ht="16.5" customHeight="1">
      <c r="O24339" s="5" t="s">
        <v>355</v>
      </c>
      <c r="P24339" s="5" t="s">
        <v>355</v>
      </c>
      <c r="Q24339" s="5" t="s">
        <v>355</v>
      </c>
    </row>
    <row r="24340" ht="16.5" customHeight="1">
      <c r="O24340" s="5" t="s">
        <v>355</v>
      </c>
      <c r="P24340" s="5" t="s">
        <v>355</v>
      </c>
      <c r="Q24340" s="5" t="s">
        <v>355</v>
      </c>
    </row>
    <row r="24341" ht="16.5" customHeight="1">
      <c r="O24341" s="5" t="s">
        <v>355</v>
      </c>
      <c r="P24341" s="5" t="s">
        <v>355</v>
      </c>
      <c r="Q24341" s="5" t="s">
        <v>355</v>
      </c>
    </row>
    <row r="24342" ht="16.5" customHeight="1">
      <c r="O24342" s="5" t="s">
        <v>355</v>
      </c>
      <c r="P24342" s="5" t="s">
        <v>355</v>
      </c>
      <c r="Q24342" s="5" t="s">
        <v>355</v>
      </c>
    </row>
    <row r="24343" ht="16.5" customHeight="1">
      <c r="O24343" s="5" t="s">
        <v>355</v>
      </c>
      <c r="P24343" s="5" t="s">
        <v>355</v>
      </c>
      <c r="Q24343" s="5" t="s">
        <v>355</v>
      </c>
    </row>
    <row r="24344" ht="16.5" customHeight="1">
      <c r="O24344" s="5" t="s">
        <v>355</v>
      </c>
      <c r="P24344" s="5" t="s">
        <v>355</v>
      </c>
      <c r="Q24344" s="5" t="s">
        <v>355</v>
      </c>
    </row>
    <row r="24345" ht="16.5" customHeight="1">
      <c r="O24345" s="5" t="s">
        <v>355</v>
      </c>
      <c r="P24345" s="5" t="s">
        <v>355</v>
      </c>
      <c r="Q24345" s="5" t="s">
        <v>355</v>
      </c>
    </row>
    <row r="24346" ht="16.5" customHeight="1">
      <c r="O24346" s="5" t="s">
        <v>355</v>
      </c>
      <c r="P24346" s="5" t="s">
        <v>355</v>
      </c>
      <c r="Q24346" s="5" t="s">
        <v>355</v>
      </c>
    </row>
    <row r="24347" ht="16.5" customHeight="1">
      <c r="O24347" s="5" t="s">
        <v>355</v>
      </c>
      <c r="P24347" s="5" t="s">
        <v>355</v>
      </c>
      <c r="Q24347" s="5" t="s">
        <v>355</v>
      </c>
    </row>
    <row r="24348" ht="16.5" customHeight="1">
      <c r="O24348" s="5" t="s">
        <v>355</v>
      </c>
      <c r="P24348" s="5" t="s">
        <v>355</v>
      </c>
      <c r="Q24348" s="5" t="s">
        <v>355</v>
      </c>
    </row>
    <row r="24349" ht="16.5" customHeight="1">
      <c r="O24349" s="5" t="s">
        <v>355</v>
      </c>
      <c r="P24349" s="5" t="s">
        <v>355</v>
      </c>
      <c r="Q24349" s="5" t="s">
        <v>355</v>
      </c>
    </row>
    <row r="24350" ht="16.5" customHeight="1">
      <c r="O24350" s="5" t="s">
        <v>355</v>
      </c>
      <c r="P24350" s="5" t="s">
        <v>355</v>
      </c>
      <c r="Q24350" s="5" t="s">
        <v>355</v>
      </c>
    </row>
    <row r="24351" ht="16.5" customHeight="1">
      <c r="O24351" s="5" t="s">
        <v>355</v>
      </c>
      <c r="P24351" s="5" t="s">
        <v>355</v>
      </c>
      <c r="Q24351" s="5" t="s">
        <v>355</v>
      </c>
    </row>
    <row r="24352" ht="16.5" customHeight="1">
      <c r="O24352" s="5" t="s">
        <v>355</v>
      </c>
      <c r="P24352" s="5" t="s">
        <v>355</v>
      </c>
      <c r="Q24352" s="5" t="s">
        <v>355</v>
      </c>
    </row>
    <row r="24353" ht="16.5" customHeight="1">
      <c r="O24353" s="5" t="s">
        <v>355</v>
      </c>
      <c r="P24353" s="5" t="s">
        <v>355</v>
      </c>
      <c r="Q24353" s="5" t="s">
        <v>355</v>
      </c>
    </row>
    <row r="24354" ht="16.5" customHeight="1">
      <c r="O24354" s="5" t="s">
        <v>355</v>
      </c>
      <c r="P24354" s="5" t="s">
        <v>355</v>
      </c>
      <c r="Q24354" s="5" t="s">
        <v>355</v>
      </c>
    </row>
    <row r="24355" ht="16.5" customHeight="1">
      <c r="O24355" s="5" t="s">
        <v>355</v>
      </c>
      <c r="P24355" s="5" t="s">
        <v>355</v>
      </c>
      <c r="Q24355" s="5" t="s">
        <v>355</v>
      </c>
    </row>
    <row r="24356" ht="16.5" customHeight="1">
      <c r="O24356" s="5" t="s">
        <v>355</v>
      </c>
      <c r="P24356" s="5" t="s">
        <v>355</v>
      </c>
      <c r="Q24356" s="5" t="s">
        <v>355</v>
      </c>
    </row>
    <row r="24357" ht="16.5" customHeight="1">
      <c r="O24357" s="5" t="s">
        <v>355</v>
      </c>
      <c r="P24357" s="5" t="s">
        <v>355</v>
      </c>
      <c r="Q24357" s="5" t="s">
        <v>355</v>
      </c>
    </row>
    <row r="24358" ht="16.5" customHeight="1">
      <c r="O24358" s="5" t="s">
        <v>355</v>
      </c>
      <c r="P24358" s="5" t="s">
        <v>355</v>
      </c>
      <c r="Q24358" s="5" t="s">
        <v>355</v>
      </c>
    </row>
    <row r="24359" ht="16.5" customHeight="1">
      <c r="O24359" s="5" t="s">
        <v>355</v>
      </c>
      <c r="P24359" s="5" t="s">
        <v>355</v>
      </c>
      <c r="Q24359" s="5" t="s">
        <v>355</v>
      </c>
    </row>
    <row r="24360" ht="16.5" customHeight="1">
      <c r="O24360" s="5" t="s">
        <v>355</v>
      </c>
      <c r="P24360" s="5" t="s">
        <v>355</v>
      </c>
      <c r="Q24360" s="5" t="s">
        <v>355</v>
      </c>
    </row>
    <row r="24361" ht="16.5" customHeight="1">
      <c r="O24361" s="5" t="s">
        <v>355</v>
      </c>
      <c r="P24361" s="5" t="s">
        <v>355</v>
      </c>
      <c r="Q24361" s="5" t="s">
        <v>355</v>
      </c>
    </row>
    <row r="24362" ht="16.5" customHeight="1">
      <c r="O24362" s="5" t="s">
        <v>355</v>
      </c>
      <c r="P24362" s="5" t="s">
        <v>355</v>
      </c>
      <c r="Q24362" s="5" t="s">
        <v>355</v>
      </c>
    </row>
    <row r="24363" ht="16.5" customHeight="1">
      <c r="O24363" s="5" t="s">
        <v>355</v>
      </c>
      <c r="P24363" s="5" t="s">
        <v>355</v>
      </c>
      <c r="Q24363" s="5" t="s">
        <v>355</v>
      </c>
    </row>
    <row r="24364" ht="16.5" customHeight="1">
      <c r="O24364" s="5" t="s">
        <v>355</v>
      </c>
      <c r="P24364" s="5" t="s">
        <v>355</v>
      </c>
      <c r="Q24364" s="5" t="s">
        <v>355</v>
      </c>
    </row>
    <row r="24365" ht="16.5" customHeight="1">
      <c r="O24365" s="5" t="s">
        <v>355</v>
      </c>
      <c r="P24365" s="5" t="s">
        <v>355</v>
      </c>
      <c r="Q24365" s="5" t="s">
        <v>355</v>
      </c>
    </row>
    <row r="24366" ht="16.5" customHeight="1">
      <c r="O24366" s="5" t="s">
        <v>355</v>
      </c>
      <c r="P24366" s="5" t="s">
        <v>355</v>
      </c>
      <c r="Q24366" s="5" t="s">
        <v>355</v>
      </c>
    </row>
    <row r="24367" ht="16.5" customHeight="1">
      <c r="O24367" s="5" t="s">
        <v>355</v>
      </c>
      <c r="P24367" s="5" t="s">
        <v>355</v>
      </c>
      <c r="Q24367" s="5" t="s">
        <v>355</v>
      </c>
    </row>
    <row r="24368" ht="16.5" customHeight="1">
      <c r="O24368" s="5" t="s">
        <v>355</v>
      </c>
      <c r="P24368" s="5" t="s">
        <v>355</v>
      </c>
      <c r="Q24368" s="5" t="s">
        <v>355</v>
      </c>
    </row>
    <row r="24369" ht="16.5" customHeight="1">
      <c r="O24369" s="5" t="s">
        <v>355</v>
      </c>
      <c r="P24369" s="5" t="s">
        <v>355</v>
      </c>
      <c r="Q24369" s="5" t="s">
        <v>355</v>
      </c>
    </row>
    <row r="24370" ht="16.5" customHeight="1">
      <c r="O24370" s="5" t="s">
        <v>355</v>
      </c>
      <c r="P24370" s="5" t="s">
        <v>355</v>
      </c>
      <c r="Q24370" s="5" t="s">
        <v>355</v>
      </c>
    </row>
    <row r="24371" ht="16.5" customHeight="1">
      <c r="O24371" s="5" t="s">
        <v>355</v>
      </c>
      <c r="P24371" s="5" t="s">
        <v>355</v>
      </c>
      <c r="Q24371" s="5" t="s">
        <v>355</v>
      </c>
    </row>
    <row r="24372" ht="16.5" customHeight="1">
      <c r="O24372" s="5" t="s">
        <v>355</v>
      </c>
      <c r="P24372" s="5" t="s">
        <v>355</v>
      </c>
      <c r="Q24372" s="5" t="s">
        <v>355</v>
      </c>
    </row>
    <row r="24373" ht="16.5" customHeight="1">
      <c r="O24373" s="5" t="s">
        <v>355</v>
      </c>
      <c r="P24373" s="5" t="s">
        <v>355</v>
      </c>
      <c r="Q24373" s="5" t="s">
        <v>355</v>
      </c>
    </row>
    <row r="24374" ht="16.5" customHeight="1">
      <c r="O24374" s="5" t="s">
        <v>355</v>
      </c>
      <c r="P24374" s="5" t="s">
        <v>355</v>
      </c>
      <c r="Q24374" s="5" t="s">
        <v>355</v>
      </c>
    </row>
    <row r="24375" ht="16.5" customHeight="1">
      <c r="O24375" s="5" t="s">
        <v>355</v>
      </c>
      <c r="P24375" s="5" t="s">
        <v>355</v>
      </c>
      <c r="Q24375" s="5" t="s">
        <v>355</v>
      </c>
    </row>
    <row r="24376" ht="16.5" customHeight="1">
      <c r="O24376" s="5" t="s">
        <v>355</v>
      </c>
      <c r="P24376" s="5" t="s">
        <v>355</v>
      </c>
      <c r="Q24376" s="5" t="s">
        <v>355</v>
      </c>
    </row>
    <row r="24377" ht="16.5" customHeight="1">
      <c r="O24377" s="5" t="s">
        <v>355</v>
      </c>
      <c r="P24377" s="5" t="s">
        <v>355</v>
      </c>
      <c r="Q24377" s="5" t="s">
        <v>355</v>
      </c>
    </row>
    <row r="24378" ht="16.5" customHeight="1">
      <c r="O24378" s="5" t="s">
        <v>355</v>
      </c>
      <c r="P24378" s="5" t="s">
        <v>355</v>
      </c>
      <c r="Q24378" s="5" t="s">
        <v>355</v>
      </c>
    </row>
    <row r="24379" ht="16.5" customHeight="1">
      <c r="O24379" s="5" t="s">
        <v>355</v>
      </c>
      <c r="P24379" s="5" t="s">
        <v>355</v>
      </c>
      <c r="Q24379" s="5" t="s">
        <v>355</v>
      </c>
    </row>
    <row r="24380" ht="16.5" customHeight="1">
      <c r="O24380" s="5" t="s">
        <v>355</v>
      </c>
      <c r="P24380" s="5" t="s">
        <v>355</v>
      </c>
      <c r="Q24380" s="5" t="s">
        <v>355</v>
      </c>
    </row>
    <row r="24381" ht="16.5" customHeight="1">
      <c r="O24381" s="5" t="s">
        <v>355</v>
      </c>
      <c r="P24381" s="5" t="s">
        <v>355</v>
      </c>
      <c r="Q24381" s="5" t="s">
        <v>355</v>
      </c>
    </row>
    <row r="24382" ht="16.5" customHeight="1">
      <c r="O24382" s="5" t="s">
        <v>355</v>
      </c>
      <c r="P24382" s="5" t="s">
        <v>355</v>
      </c>
      <c r="Q24382" s="5" t="s">
        <v>355</v>
      </c>
    </row>
    <row r="24383" ht="16.5" customHeight="1">
      <c r="O24383" s="5" t="s">
        <v>355</v>
      </c>
      <c r="P24383" s="5" t="s">
        <v>355</v>
      </c>
      <c r="Q24383" s="5" t="s">
        <v>355</v>
      </c>
    </row>
    <row r="24384" ht="16.5" customHeight="1">
      <c r="O24384" s="5" t="s">
        <v>355</v>
      </c>
      <c r="P24384" s="5" t="s">
        <v>355</v>
      </c>
      <c r="Q24384" s="5" t="s">
        <v>355</v>
      </c>
    </row>
    <row r="24385" ht="16.5" customHeight="1">
      <c r="O24385" s="5" t="s">
        <v>355</v>
      </c>
      <c r="P24385" s="5" t="s">
        <v>355</v>
      </c>
      <c r="Q24385" s="5" t="s">
        <v>355</v>
      </c>
    </row>
    <row r="24386" ht="16.5" customHeight="1">
      <c r="O24386" s="5" t="s">
        <v>355</v>
      </c>
      <c r="P24386" s="5" t="s">
        <v>355</v>
      </c>
      <c r="Q24386" s="5" t="s">
        <v>355</v>
      </c>
    </row>
    <row r="24387" ht="16.5" customHeight="1">
      <c r="O24387" s="5" t="s">
        <v>355</v>
      </c>
      <c r="P24387" s="5" t="s">
        <v>355</v>
      </c>
      <c r="Q24387" s="5" t="s">
        <v>355</v>
      </c>
    </row>
    <row r="24388" ht="16.5" customHeight="1">
      <c r="O24388" s="5" t="s">
        <v>355</v>
      </c>
      <c r="P24388" s="5" t="s">
        <v>355</v>
      </c>
      <c r="Q24388" s="5" t="s">
        <v>355</v>
      </c>
    </row>
    <row r="24389" ht="16.5" customHeight="1">
      <c r="O24389" s="5" t="s">
        <v>355</v>
      </c>
      <c r="P24389" s="5" t="s">
        <v>355</v>
      </c>
      <c r="Q24389" s="5" t="s">
        <v>355</v>
      </c>
    </row>
    <row r="24390" ht="16.5" customHeight="1">
      <c r="O24390" s="5" t="s">
        <v>355</v>
      </c>
      <c r="P24390" s="5" t="s">
        <v>355</v>
      </c>
      <c r="Q24390" s="5" t="s">
        <v>355</v>
      </c>
    </row>
    <row r="24391" ht="16.5" customHeight="1">
      <c r="O24391" s="5" t="s">
        <v>355</v>
      </c>
      <c r="P24391" s="5" t="s">
        <v>355</v>
      </c>
      <c r="Q24391" s="5" t="s">
        <v>355</v>
      </c>
    </row>
    <row r="24392" ht="16.5" customHeight="1">
      <c r="O24392" s="5" t="s">
        <v>355</v>
      </c>
      <c r="P24392" s="5" t="s">
        <v>355</v>
      </c>
      <c r="Q24392" s="5" t="s">
        <v>355</v>
      </c>
    </row>
    <row r="24393" ht="16.5" customHeight="1">
      <c r="O24393" s="5" t="s">
        <v>355</v>
      </c>
      <c r="P24393" s="5" t="s">
        <v>355</v>
      </c>
      <c r="Q24393" s="5" t="s">
        <v>355</v>
      </c>
    </row>
    <row r="24394" ht="16.5" customHeight="1">
      <c r="O24394" s="5" t="s">
        <v>355</v>
      </c>
      <c r="P24394" s="5" t="s">
        <v>355</v>
      </c>
      <c r="Q24394" s="5" t="s">
        <v>355</v>
      </c>
    </row>
    <row r="24395" ht="16.5" customHeight="1">
      <c r="O24395" s="5" t="s">
        <v>355</v>
      </c>
      <c r="P24395" s="5" t="s">
        <v>355</v>
      </c>
      <c r="Q24395" s="5" t="s">
        <v>355</v>
      </c>
    </row>
    <row r="24396" ht="16.5" customHeight="1">
      <c r="O24396" s="5" t="s">
        <v>355</v>
      </c>
      <c r="P24396" s="5" t="s">
        <v>355</v>
      </c>
      <c r="Q24396" s="5" t="s">
        <v>355</v>
      </c>
    </row>
    <row r="24397" ht="16.5" customHeight="1">
      <c r="O24397" s="5" t="s">
        <v>355</v>
      </c>
      <c r="P24397" s="5" t="s">
        <v>355</v>
      </c>
      <c r="Q24397" s="5" t="s">
        <v>355</v>
      </c>
    </row>
    <row r="24398" ht="16.5" customHeight="1">
      <c r="O24398" s="5" t="s">
        <v>355</v>
      </c>
      <c r="P24398" s="5" t="s">
        <v>355</v>
      </c>
      <c r="Q24398" s="5" t="s">
        <v>355</v>
      </c>
    </row>
    <row r="24399" ht="16.5" customHeight="1">
      <c r="O24399" s="5" t="s">
        <v>355</v>
      </c>
      <c r="P24399" s="5" t="s">
        <v>355</v>
      </c>
      <c r="Q24399" s="5" t="s">
        <v>355</v>
      </c>
    </row>
    <row r="24400" ht="16.5" customHeight="1">
      <c r="O24400" s="5" t="s">
        <v>355</v>
      </c>
      <c r="P24400" s="5" t="s">
        <v>355</v>
      </c>
      <c r="Q24400" s="5" t="s">
        <v>355</v>
      </c>
    </row>
    <row r="24401" ht="16.5" customHeight="1">
      <c r="O24401" s="5" t="s">
        <v>355</v>
      </c>
      <c r="P24401" s="5" t="s">
        <v>355</v>
      </c>
      <c r="Q24401" s="5" t="s">
        <v>355</v>
      </c>
    </row>
    <row r="24402" ht="16.5" customHeight="1">
      <c r="O24402" s="5" t="s">
        <v>355</v>
      </c>
      <c r="P24402" s="5" t="s">
        <v>355</v>
      </c>
      <c r="Q24402" s="5" t="s">
        <v>355</v>
      </c>
    </row>
    <row r="24403" ht="16.5" customHeight="1">
      <c r="O24403" s="5" t="s">
        <v>355</v>
      </c>
      <c r="P24403" s="5" t="s">
        <v>355</v>
      </c>
      <c r="Q24403" s="5" t="s">
        <v>355</v>
      </c>
    </row>
    <row r="24404" ht="16.5" customHeight="1">
      <c r="O24404" s="5" t="s">
        <v>355</v>
      </c>
      <c r="P24404" s="5" t="s">
        <v>355</v>
      </c>
      <c r="Q24404" s="5" t="s">
        <v>355</v>
      </c>
    </row>
    <row r="24405" ht="16.5" customHeight="1">
      <c r="O24405" s="5" t="s">
        <v>355</v>
      </c>
      <c r="P24405" s="5" t="s">
        <v>355</v>
      </c>
      <c r="Q24405" s="5" t="s">
        <v>355</v>
      </c>
    </row>
    <row r="24406" ht="16.5" customHeight="1">
      <c r="O24406" s="5" t="s">
        <v>355</v>
      </c>
      <c r="P24406" s="5" t="s">
        <v>355</v>
      </c>
      <c r="Q24406" s="5" t="s">
        <v>355</v>
      </c>
    </row>
    <row r="24407" ht="16.5" customHeight="1">
      <c r="O24407" s="5" t="s">
        <v>355</v>
      </c>
      <c r="P24407" s="5" t="s">
        <v>355</v>
      </c>
      <c r="Q24407" s="5" t="s">
        <v>355</v>
      </c>
    </row>
    <row r="24408" ht="16.5" customHeight="1">
      <c r="O24408" s="5" t="s">
        <v>355</v>
      </c>
      <c r="P24408" s="5" t="s">
        <v>355</v>
      </c>
      <c r="Q24408" s="5" t="s">
        <v>355</v>
      </c>
    </row>
    <row r="24409" ht="16.5" customHeight="1">
      <c r="O24409" s="5" t="s">
        <v>355</v>
      </c>
      <c r="P24409" s="5" t="s">
        <v>355</v>
      </c>
      <c r="Q24409" s="5" t="s">
        <v>355</v>
      </c>
    </row>
    <row r="24410" ht="16.5" customHeight="1">
      <c r="O24410" s="5" t="s">
        <v>355</v>
      </c>
      <c r="P24410" s="5" t="s">
        <v>355</v>
      </c>
      <c r="Q24410" s="5" t="s">
        <v>355</v>
      </c>
    </row>
    <row r="24411" ht="16.5" customHeight="1">
      <c r="O24411" s="5" t="s">
        <v>355</v>
      </c>
      <c r="P24411" s="5" t="s">
        <v>355</v>
      </c>
      <c r="Q24411" s="5" t="s">
        <v>355</v>
      </c>
    </row>
    <row r="24412" ht="16.5" customHeight="1">
      <c r="O24412" s="5" t="s">
        <v>355</v>
      </c>
      <c r="P24412" s="5" t="s">
        <v>355</v>
      </c>
      <c r="Q24412" s="5" t="s">
        <v>355</v>
      </c>
    </row>
    <row r="24413" ht="16.5" customHeight="1">
      <c r="O24413" s="5" t="s">
        <v>355</v>
      </c>
      <c r="P24413" s="5" t="s">
        <v>355</v>
      </c>
      <c r="Q24413" s="5" t="s">
        <v>355</v>
      </c>
    </row>
    <row r="24414" ht="16.5" customHeight="1">
      <c r="O24414" s="5" t="s">
        <v>355</v>
      </c>
      <c r="P24414" s="5" t="s">
        <v>355</v>
      </c>
      <c r="Q24414" s="5" t="s">
        <v>355</v>
      </c>
    </row>
    <row r="24415" ht="16.5" customHeight="1">
      <c r="O24415" s="5" t="s">
        <v>355</v>
      </c>
      <c r="P24415" s="5" t="s">
        <v>355</v>
      </c>
      <c r="Q24415" s="5" t="s">
        <v>355</v>
      </c>
    </row>
    <row r="24416" ht="16.5" customHeight="1">
      <c r="O24416" s="5" t="s">
        <v>355</v>
      </c>
      <c r="P24416" s="5" t="s">
        <v>355</v>
      </c>
      <c r="Q24416" s="5" t="s">
        <v>355</v>
      </c>
    </row>
    <row r="24417" ht="16.5" customHeight="1">
      <c r="O24417" s="5" t="s">
        <v>355</v>
      </c>
      <c r="P24417" s="5" t="s">
        <v>355</v>
      </c>
      <c r="Q24417" s="5" t="s">
        <v>355</v>
      </c>
    </row>
    <row r="24418" ht="16.5" customHeight="1">
      <c r="O24418" s="5" t="s">
        <v>355</v>
      </c>
      <c r="P24418" s="5" t="s">
        <v>355</v>
      </c>
      <c r="Q24418" s="5" t="s">
        <v>355</v>
      </c>
    </row>
    <row r="24419" ht="16.5" customHeight="1">
      <c r="O24419" s="5" t="s">
        <v>355</v>
      </c>
      <c r="P24419" s="5" t="s">
        <v>355</v>
      </c>
      <c r="Q24419" s="5" t="s">
        <v>355</v>
      </c>
    </row>
    <row r="24420" ht="16.5" customHeight="1">
      <c r="O24420" s="5" t="s">
        <v>355</v>
      </c>
      <c r="P24420" s="5" t="s">
        <v>355</v>
      </c>
      <c r="Q24420" s="5" t="s">
        <v>355</v>
      </c>
    </row>
    <row r="24421" ht="16.5" customHeight="1">
      <c r="O24421" s="5" t="s">
        <v>355</v>
      </c>
      <c r="P24421" s="5" t="s">
        <v>355</v>
      </c>
      <c r="Q24421" s="5" t="s">
        <v>355</v>
      </c>
    </row>
    <row r="24422" ht="16.5" customHeight="1">
      <c r="O24422" s="5" t="s">
        <v>355</v>
      </c>
      <c r="P24422" s="5" t="s">
        <v>355</v>
      </c>
      <c r="Q24422" s="5" t="s">
        <v>355</v>
      </c>
    </row>
    <row r="24423" ht="16.5" customHeight="1">
      <c r="O24423" s="5" t="s">
        <v>355</v>
      </c>
      <c r="P24423" s="5" t="s">
        <v>355</v>
      </c>
      <c r="Q24423" s="5" t="s">
        <v>355</v>
      </c>
    </row>
    <row r="24424" ht="16.5" customHeight="1">
      <c r="O24424" s="5" t="s">
        <v>355</v>
      </c>
      <c r="P24424" s="5" t="s">
        <v>355</v>
      </c>
      <c r="Q24424" s="5" t="s">
        <v>355</v>
      </c>
    </row>
    <row r="24425" ht="16.5" customHeight="1">
      <c r="O24425" s="5" t="s">
        <v>355</v>
      </c>
      <c r="P24425" s="5" t="s">
        <v>355</v>
      </c>
      <c r="Q24425" s="5" t="s">
        <v>355</v>
      </c>
    </row>
    <row r="24426" ht="16.5" customHeight="1">
      <c r="O24426" s="5" t="s">
        <v>355</v>
      </c>
      <c r="P24426" s="5" t="s">
        <v>355</v>
      </c>
      <c r="Q24426" s="5" t="s">
        <v>355</v>
      </c>
    </row>
    <row r="24427" ht="16.5" customHeight="1">
      <c r="O24427" s="5" t="s">
        <v>355</v>
      </c>
      <c r="P24427" s="5" t="s">
        <v>355</v>
      </c>
      <c r="Q24427" s="5" t="s">
        <v>355</v>
      </c>
    </row>
    <row r="24428" ht="16.5" customHeight="1">
      <c r="O24428" s="5" t="s">
        <v>355</v>
      </c>
      <c r="P24428" s="5" t="s">
        <v>355</v>
      </c>
      <c r="Q24428" s="5" t="s">
        <v>355</v>
      </c>
    </row>
    <row r="24429" ht="16.5" customHeight="1">
      <c r="O24429" s="5" t="s">
        <v>355</v>
      </c>
      <c r="P24429" s="5" t="s">
        <v>355</v>
      </c>
      <c r="Q24429" s="5" t="s">
        <v>355</v>
      </c>
    </row>
    <row r="24430" ht="16.5" customHeight="1">
      <c r="O24430" s="5" t="s">
        <v>355</v>
      </c>
      <c r="P24430" s="5" t="s">
        <v>355</v>
      </c>
      <c r="Q24430" s="5" t="s">
        <v>355</v>
      </c>
    </row>
    <row r="24431" ht="16.5" customHeight="1">
      <c r="O24431" s="5" t="s">
        <v>355</v>
      </c>
      <c r="P24431" s="5" t="s">
        <v>355</v>
      </c>
      <c r="Q24431" s="5" t="s">
        <v>355</v>
      </c>
    </row>
    <row r="24432" ht="16.5" customHeight="1">
      <c r="O24432" s="5" t="s">
        <v>355</v>
      </c>
      <c r="P24432" s="5" t="s">
        <v>355</v>
      </c>
      <c r="Q24432" s="5" t="s">
        <v>355</v>
      </c>
    </row>
    <row r="24433" ht="16.5" customHeight="1">
      <c r="O24433" s="5" t="s">
        <v>355</v>
      </c>
      <c r="P24433" s="5" t="s">
        <v>355</v>
      </c>
      <c r="Q24433" s="5" t="s">
        <v>355</v>
      </c>
    </row>
    <row r="24434" ht="16.5" customHeight="1">
      <c r="O24434" s="5" t="s">
        <v>355</v>
      </c>
      <c r="P24434" s="5" t="s">
        <v>355</v>
      </c>
      <c r="Q24434" s="5" t="s">
        <v>355</v>
      </c>
    </row>
    <row r="24435" ht="16.5" customHeight="1">
      <c r="O24435" s="5" t="s">
        <v>355</v>
      </c>
      <c r="P24435" s="5" t="s">
        <v>355</v>
      </c>
      <c r="Q24435" s="5" t="s">
        <v>355</v>
      </c>
    </row>
    <row r="24436" ht="16.5" customHeight="1">
      <c r="O24436" s="5" t="s">
        <v>355</v>
      </c>
      <c r="P24436" s="5" t="s">
        <v>355</v>
      </c>
      <c r="Q24436" s="5" t="s">
        <v>355</v>
      </c>
    </row>
    <row r="24437" ht="16.5" customHeight="1">
      <c r="O24437" s="5" t="s">
        <v>355</v>
      </c>
      <c r="P24437" s="5" t="s">
        <v>355</v>
      </c>
      <c r="Q24437" s="5" t="s">
        <v>355</v>
      </c>
    </row>
    <row r="24438" ht="16.5" customHeight="1">
      <c r="O24438" s="5" t="s">
        <v>355</v>
      </c>
      <c r="P24438" s="5" t="s">
        <v>355</v>
      </c>
      <c r="Q24438" s="5" t="s">
        <v>355</v>
      </c>
    </row>
    <row r="24439" ht="16.5" customHeight="1">
      <c r="O24439" s="5" t="s">
        <v>355</v>
      </c>
      <c r="P24439" s="5" t="s">
        <v>355</v>
      </c>
      <c r="Q24439" s="5" t="s">
        <v>355</v>
      </c>
    </row>
    <row r="24440" ht="16.5" customHeight="1">
      <c r="O24440" s="5" t="s">
        <v>355</v>
      </c>
      <c r="P24440" s="5" t="s">
        <v>355</v>
      </c>
      <c r="Q24440" s="5" t="s">
        <v>355</v>
      </c>
    </row>
    <row r="24441" ht="16.5" customHeight="1">
      <c r="O24441" s="5" t="s">
        <v>355</v>
      </c>
      <c r="P24441" s="5" t="s">
        <v>355</v>
      </c>
      <c r="Q24441" s="5" t="s">
        <v>355</v>
      </c>
    </row>
    <row r="24442" ht="16.5" customHeight="1">
      <c r="O24442" s="5" t="s">
        <v>355</v>
      </c>
      <c r="P24442" s="5" t="s">
        <v>355</v>
      </c>
      <c r="Q24442" s="5" t="s">
        <v>355</v>
      </c>
    </row>
    <row r="24443" ht="16.5" customHeight="1">
      <c r="O24443" s="5" t="s">
        <v>355</v>
      </c>
      <c r="P24443" s="5" t="s">
        <v>355</v>
      </c>
      <c r="Q24443" s="5" t="s">
        <v>355</v>
      </c>
    </row>
    <row r="24444" ht="16.5" customHeight="1">
      <c r="O24444" s="5" t="s">
        <v>355</v>
      </c>
      <c r="P24444" s="5" t="s">
        <v>355</v>
      </c>
      <c r="Q24444" s="5" t="s">
        <v>355</v>
      </c>
    </row>
    <row r="24445" ht="16.5" customHeight="1">
      <c r="O24445" s="5" t="s">
        <v>355</v>
      </c>
      <c r="P24445" s="5" t="s">
        <v>355</v>
      </c>
      <c r="Q24445" s="5" t="s">
        <v>355</v>
      </c>
    </row>
    <row r="24446" ht="16.5" customHeight="1">
      <c r="O24446" s="5" t="s">
        <v>355</v>
      </c>
      <c r="P24446" s="5" t="s">
        <v>355</v>
      </c>
      <c r="Q24446" s="5" t="s">
        <v>355</v>
      </c>
    </row>
    <row r="24447" ht="16.5" customHeight="1">
      <c r="O24447" s="5" t="s">
        <v>355</v>
      </c>
      <c r="P24447" s="5" t="s">
        <v>355</v>
      </c>
      <c r="Q24447" s="5" t="s">
        <v>355</v>
      </c>
    </row>
    <row r="24448" ht="16.5" customHeight="1">
      <c r="O24448" s="5" t="s">
        <v>355</v>
      </c>
      <c r="P24448" s="5" t="s">
        <v>355</v>
      </c>
      <c r="Q24448" s="5" t="s">
        <v>355</v>
      </c>
    </row>
    <row r="24449" ht="16.5" customHeight="1">
      <c r="O24449" s="5" t="s">
        <v>355</v>
      </c>
      <c r="P24449" s="5" t="s">
        <v>355</v>
      </c>
      <c r="Q24449" s="5" t="s">
        <v>355</v>
      </c>
    </row>
    <row r="24450" ht="16.5" customHeight="1">
      <c r="O24450" s="5" t="s">
        <v>355</v>
      </c>
      <c r="P24450" s="5" t="s">
        <v>355</v>
      </c>
      <c r="Q24450" s="5" t="s">
        <v>355</v>
      </c>
    </row>
    <row r="24451" ht="16.5" customHeight="1">
      <c r="O24451" s="5" t="s">
        <v>355</v>
      </c>
      <c r="P24451" s="5" t="s">
        <v>355</v>
      </c>
      <c r="Q24451" s="5" t="s">
        <v>355</v>
      </c>
    </row>
    <row r="24452" ht="16.5" customHeight="1">
      <c r="O24452" s="5" t="s">
        <v>355</v>
      </c>
      <c r="P24452" s="5" t="s">
        <v>355</v>
      </c>
      <c r="Q24452" s="5" t="s">
        <v>355</v>
      </c>
    </row>
    <row r="24453" ht="16.5" customHeight="1">
      <c r="O24453" s="5" t="s">
        <v>355</v>
      </c>
      <c r="P24453" s="5" t="s">
        <v>355</v>
      </c>
      <c r="Q24453" s="5" t="s">
        <v>355</v>
      </c>
    </row>
    <row r="24454" ht="16.5" customHeight="1">
      <c r="O24454" s="5" t="s">
        <v>355</v>
      </c>
      <c r="P24454" s="5" t="s">
        <v>355</v>
      </c>
      <c r="Q24454" s="5" t="s">
        <v>355</v>
      </c>
    </row>
    <row r="24455" ht="16.5" customHeight="1">
      <c r="O24455" s="5" t="s">
        <v>355</v>
      </c>
      <c r="P24455" s="5" t="s">
        <v>355</v>
      </c>
      <c r="Q24455" s="5" t="s">
        <v>355</v>
      </c>
    </row>
    <row r="24456" ht="16.5" customHeight="1">
      <c r="O24456" s="5" t="s">
        <v>355</v>
      </c>
      <c r="P24456" s="5" t="s">
        <v>355</v>
      </c>
      <c r="Q24456" s="5" t="s">
        <v>355</v>
      </c>
    </row>
    <row r="24457" ht="16.5" customHeight="1">
      <c r="O24457" s="5" t="s">
        <v>355</v>
      </c>
      <c r="P24457" s="5" t="s">
        <v>355</v>
      </c>
      <c r="Q24457" s="5" t="s">
        <v>355</v>
      </c>
    </row>
    <row r="24458" ht="16.5" customHeight="1">
      <c r="O24458" s="5" t="s">
        <v>355</v>
      </c>
      <c r="P24458" s="5" t="s">
        <v>355</v>
      </c>
      <c r="Q24458" s="5" t="s">
        <v>355</v>
      </c>
    </row>
    <row r="24459" ht="16.5" customHeight="1">
      <c r="O24459" s="5" t="s">
        <v>355</v>
      </c>
      <c r="P24459" s="5" t="s">
        <v>355</v>
      </c>
      <c r="Q24459" s="5" t="s">
        <v>355</v>
      </c>
    </row>
    <row r="24460" ht="16.5" customHeight="1">
      <c r="O24460" s="5" t="s">
        <v>355</v>
      </c>
      <c r="P24460" s="5" t="s">
        <v>355</v>
      </c>
      <c r="Q24460" s="5" t="s">
        <v>355</v>
      </c>
    </row>
    <row r="24461" ht="16.5" customHeight="1">
      <c r="O24461" s="5" t="s">
        <v>355</v>
      </c>
      <c r="P24461" s="5" t="s">
        <v>355</v>
      </c>
      <c r="Q24461" s="5" t="s">
        <v>355</v>
      </c>
    </row>
    <row r="24462" ht="16.5" customHeight="1">
      <c r="O24462" s="5" t="s">
        <v>355</v>
      </c>
      <c r="P24462" s="5" t="s">
        <v>355</v>
      </c>
      <c r="Q24462" s="5" t="s">
        <v>355</v>
      </c>
    </row>
    <row r="24463" ht="16.5" customHeight="1">
      <c r="O24463" s="5" t="s">
        <v>355</v>
      </c>
      <c r="P24463" s="5" t="s">
        <v>355</v>
      </c>
      <c r="Q24463" s="5" t="s">
        <v>355</v>
      </c>
    </row>
    <row r="24464" ht="16.5" customHeight="1">
      <c r="O24464" s="5" t="s">
        <v>355</v>
      </c>
      <c r="P24464" s="5" t="s">
        <v>355</v>
      </c>
      <c r="Q24464" s="5" t="s">
        <v>355</v>
      </c>
    </row>
    <row r="24465" ht="16.5" customHeight="1">
      <c r="O24465" s="5" t="s">
        <v>355</v>
      </c>
      <c r="P24465" s="5" t="s">
        <v>355</v>
      </c>
      <c r="Q24465" s="5" t="s">
        <v>355</v>
      </c>
    </row>
    <row r="24466" ht="16.5" customHeight="1">
      <c r="O24466" s="5" t="s">
        <v>355</v>
      </c>
      <c r="P24466" s="5" t="s">
        <v>355</v>
      </c>
      <c r="Q24466" s="5" t="s">
        <v>355</v>
      </c>
    </row>
    <row r="24467" ht="16.5" customHeight="1">
      <c r="O24467" s="5" t="s">
        <v>355</v>
      </c>
      <c r="P24467" s="5" t="s">
        <v>355</v>
      </c>
      <c r="Q24467" s="5" t="s">
        <v>355</v>
      </c>
    </row>
    <row r="24468" ht="16.5" customHeight="1">
      <c r="O24468" s="5" t="s">
        <v>355</v>
      </c>
      <c r="P24468" s="5" t="s">
        <v>355</v>
      </c>
      <c r="Q24468" s="5" t="s">
        <v>355</v>
      </c>
    </row>
    <row r="24469" ht="16.5" customHeight="1">
      <c r="O24469" s="5" t="s">
        <v>355</v>
      </c>
      <c r="P24469" s="5" t="s">
        <v>355</v>
      </c>
      <c r="Q24469" s="5" t="s">
        <v>355</v>
      </c>
    </row>
    <row r="24470" ht="16.5" customHeight="1">
      <c r="O24470" s="5" t="s">
        <v>355</v>
      </c>
      <c r="P24470" s="5" t="s">
        <v>355</v>
      </c>
      <c r="Q24470" s="5" t="s">
        <v>355</v>
      </c>
    </row>
    <row r="24471" ht="16.5" customHeight="1">
      <c r="O24471" s="5" t="s">
        <v>355</v>
      </c>
      <c r="P24471" s="5" t="s">
        <v>355</v>
      </c>
      <c r="Q24471" s="5" t="s">
        <v>355</v>
      </c>
    </row>
    <row r="24472" ht="16.5" customHeight="1">
      <c r="O24472" s="5" t="s">
        <v>355</v>
      </c>
      <c r="P24472" s="5" t="s">
        <v>355</v>
      </c>
      <c r="Q24472" s="5" t="s">
        <v>355</v>
      </c>
    </row>
    <row r="24473" ht="16.5" customHeight="1">
      <c r="O24473" s="5" t="s">
        <v>355</v>
      </c>
      <c r="P24473" s="5" t="s">
        <v>355</v>
      </c>
      <c r="Q24473" s="5" t="s">
        <v>355</v>
      </c>
    </row>
    <row r="24474" ht="16.5" customHeight="1">
      <c r="O24474" s="5" t="s">
        <v>355</v>
      </c>
      <c r="P24474" s="5" t="s">
        <v>355</v>
      </c>
      <c r="Q24474" s="5" t="s">
        <v>355</v>
      </c>
    </row>
    <row r="24475" ht="16.5" customHeight="1">
      <c r="O24475" s="5" t="s">
        <v>355</v>
      </c>
      <c r="P24475" s="5" t="s">
        <v>355</v>
      </c>
      <c r="Q24475" s="5" t="s">
        <v>355</v>
      </c>
    </row>
    <row r="24476" ht="16.5" customHeight="1">
      <c r="O24476" s="5" t="s">
        <v>355</v>
      </c>
      <c r="P24476" s="5" t="s">
        <v>355</v>
      </c>
      <c r="Q24476" s="5" t="s">
        <v>355</v>
      </c>
    </row>
    <row r="24477" ht="16.5" customHeight="1">
      <c r="O24477" s="5" t="s">
        <v>355</v>
      </c>
      <c r="P24477" s="5" t="s">
        <v>355</v>
      </c>
      <c r="Q24477" s="5" t="s">
        <v>355</v>
      </c>
    </row>
    <row r="24478" ht="16.5" customHeight="1">
      <c r="O24478" s="5" t="s">
        <v>355</v>
      </c>
      <c r="P24478" s="5" t="s">
        <v>355</v>
      </c>
      <c r="Q24478" s="5" t="s">
        <v>355</v>
      </c>
    </row>
    <row r="24479" ht="16.5" customHeight="1">
      <c r="O24479" s="5" t="s">
        <v>355</v>
      </c>
      <c r="P24479" s="5" t="s">
        <v>355</v>
      </c>
      <c r="Q24479" s="5" t="s">
        <v>355</v>
      </c>
    </row>
    <row r="24480" ht="16.5" customHeight="1">
      <c r="O24480" s="5" t="s">
        <v>355</v>
      </c>
      <c r="P24480" s="5" t="s">
        <v>355</v>
      </c>
      <c r="Q24480" s="5" t="s">
        <v>355</v>
      </c>
    </row>
    <row r="24481" ht="16.5" customHeight="1">
      <c r="O24481" s="5" t="s">
        <v>355</v>
      </c>
      <c r="P24481" s="5" t="s">
        <v>355</v>
      </c>
      <c r="Q24481" s="5" t="s">
        <v>355</v>
      </c>
    </row>
    <row r="24482" ht="16.5" customHeight="1">
      <c r="O24482" s="5" t="s">
        <v>355</v>
      </c>
      <c r="P24482" s="5" t="s">
        <v>355</v>
      </c>
      <c r="Q24482" s="5" t="s">
        <v>355</v>
      </c>
    </row>
    <row r="24483" ht="16.5" customHeight="1">
      <c r="O24483" s="5" t="s">
        <v>355</v>
      </c>
      <c r="P24483" s="5" t="s">
        <v>355</v>
      </c>
      <c r="Q24483" s="5" t="s">
        <v>355</v>
      </c>
    </row>
    <row r="24484" ht="16.5" customHeight="1">
      <c r="O24484" s="5" t="s">
        <v>355</v>
      </c>
      <c r="P24484" s="5" t="s">
        <v>355</v>
      </c>
      <c r="Q24484" s="5" t="s">
        <v>355</v>
      </c>
    </row>
    <row r="24485" ht="16.5" customHeight="1">
      <c r="O24485" s="5" t="s">
        <v>355</v>
      </c>
      <c r="P24485" s="5" t="s">
        <v>355</v>
      </c>
      <c r="Q24485" s="5" t="s">
        <v>355</v>
      </c>
    </row>
    <row r="24486" ht="16.5" customHeight="1">
      <c r="O24486" s="5" t="s">
        <v>355</v>
      </c>
      <c r="P24486" s="5" t="s">
        <v>355</v>
      </c>
      <c r="Q24486" s="5" t="s">
        <v>355</v>
      </c>
    </row>
    <row r="24487" ht="16.5" customHeight="1">
      <c r="O24487" s="5" t="s">
        <v>355</v>
      </c>
      <c r="P24487" s="5" t="s">
        <v>355</v>
      </c>
      <c r="Q24487" s="5" t="s">
        <v>355</v>
      </c>
    </row>
    <row r="24488" ht="16.5" customHeight="1">
      <c r="O24488" s="5" t="s">
        <v>355</v>
      </c>
      <c r="P24488" s="5" t="s">
        <v>355</v>
      </c>
      <c r="Q24488" s="5" t="s">
        <v>355</v>
      </c>
    </row>
    <row r="24489" ht="16.5" customHeight="1">
      <c r="O24489" s="5" t="s">
        <v>355</v>
      </c>
      <c r="P24489" s="5" t="s">
        <v>355</v>
      </c>
      <c r="Q24489" s="5" t="s">
        <v>355</v>
      </c>
    </row>
    <row r="24490" ht="16.5" customHeight="1">
      <c r="O24490" s="5" t="s">
        <v>355</v>
      </c>
      <c r="P24490" s="5" t="s">
        <v>355</v>
      </c>
      <c r="Q24490" s="5" t="s">
        <v>355</v>
      </c>
    </row>
    <row r="24491" ht="16.5" customHeight="1">
      <c r="O24491" s="5" t="s">
        <v>355</v>
      </c>
      <c r="P24491" s="5" t="s">
        <v>355</v>
      </c>
      <c r="Q24491" s="5" t="s">
        <v>355</v>
      </c>
    </row>
    <row r="24492" ht="16.5" customHeight="1">
      <c r="O24492" s="5" t="s">
        <v>355</v>
      </c>
      <c r="P24492" s="5" t="s">
        <v>355</v>
      </c>
      <c r="Q24492" s="5" t="s">
        <v>355</v>
      </c>
    </row>
    <row r="24493" ht="16.5" customHeight="1">
      <c r="O24493" s="5" t="s">
        <v>355</v>
      </c>
      <c r="P24493" s="5" t="s">
        <v>355</v>
      </c>
      <c r="Q24493" s="5" t="s">
        <v>355</v>
      </c>
    </row>
    <row r="24494" ht="16.5" customHeight="1">
      <c r="O24494" s="5" t="s">
        <v>355</v>
      </c>
      <c r="P24494" s="5" t="s">
        <v>355</v>
      </c>
      <c r="Q24494" s="5" t="s">
        <v>355</v>
      </c>
    </row>
    <row r="24495" ht="16.5" customHeight="1">
      <c r="O24495" s="5" t="s">
        <v>355</v>
      </c>
      <c r="P24495" s="5" t="s">
        <v>355</v>
      </c>
      <c r="Q24495" s="5" t="s">
        <v>355</v>
      </c>
    </row>
    <row r="24496" ht="16.5" customHeight="1">
      <c r="O24496" s="5" t="s">
        <v>355</v>
      </c>
      <c r="P24496" s="5" t="s">
        <v>355</v>
      </c>
      <c r="Q24496" s="5" t="s">
        <v>355</v>
      </c>
    </row>
    <row r="24497" ht="16.5" customHeight="1">
      <c r="O24497" s="5" t="s">
        <v>355</v>
      </c>
      <c r="P24497" s="5" t="s">
        <v>355</v>
      </c>
      <c r="Q24497" s="5" t="s">
        <v>355</v>
      </c>
    </row>
    <row r="24498" ht="16.5" customHeight="1">
      <c r="O24498" s="5" t="s">
        <v>355</v>
      </c>
      <c r="P24498" s="5" t="s">
        <v>355</v>
      </c>
      <c r="Q24498" s="5" t="s">
        <v>355</v>
      </c>
    </row>
    <row r="24499" ht="16.5" customHeight="1">
      <c r="O24499" s="5" t="s">
        <v>355</v>
      </c>
      <c r="P24499" s="5" t="s">
        <v>355</v>
      </c>
      <c r="Q24499" s="5" t="s">
        <v>355</v>
      </c>
    </row>
    <row r="24500" ht="16.5" customHeight="1">
      <c r="O24500" s="5" t="s">
        <v>355</v>
      </c>
      <c r="P24500" s="5" t="s">
        <v>355</v>
      </c>
      <c r="Q24500" s="5" t="s">
        <v>355</v>
      </c>
    </row>
    <row r="24501" ht="16.5" customHeight="1">
      <c r="O24501" s="5" t="s">
        <v>355</v>
      </c>
      <c r="P24501" s="5" t="s">
        <v>355</v>
      </c>
      <c r="Q24501" s="5" t="s">
        <v>355</v>
      </c>
    </row>
    <row r="24502" ht="16.5" customHeight="1">
      <c r="O24502" s="5" t="s">
        <v>355</v>
      </c>
      <c r="P24502" s="5" t="s">
        <v>355</v>
      </c>
      <c r="Q24502" s="5" t="s">
        <v>355</v>
      </c>
    </row>
    <row r="24503" ht="16.5" customHeight="1">
      <c r="O24503" s="5" t="s">
        <v>355</v>
      </c>
      <c r="P24503" s="5" t="s">
        <v>355</v>
      </c>
      <c r="Q24503" s="5" t="s">
        <v>355</v>
      </c>
    </row>
    <row r="24504" ht="16.5" customHeight="1">
      <c r="O24504" s="5" t="s">
        <v>355</v>
      </c>
      <c r="P24504" s="5" t="s">
        <v>355</v>
      </c>
      <c r="Q24504" s="5" t="s">
        <v>355</v>
      </c>
    </row>
    <row r="24505" ht="16.5" customHeight="1">
      <c r="O24505" s="5" t="s">
        <v>355</v>
      </c>
      <c r="P24505" s="5" t="s">
        <v>355</v>
      </c>
      <c r="Q24505" s="5" t="s">
        <v>355</v>
      </c>
    </row>
    <row r="24506" ht="16.5" customHeight="1">
      <c r="O24506" s="5" t="s">
        <v>355</v>
      </c>
      <c r="P24506" s="5" t="s">
        <v>355</v>
      </c>
      <c r="Q24506" s="5" t="s">
        <v>355</v>
      </c>
    </row>
    <row r="24507" ht="16.5" customHeight="1">
      <c r="O24507" s="5" t="s">
        <v>355</v>
      </c>
      <c r="P24507" s="5" t="s">
        <v>355</v>
      </c>
      <c r="Q24507" s="5" t="s">
        <v>355</v>
      </c>
    </row>
    <row r="24508" ht="16.5" customHeight="1">
      <c r="O24508" s="5" t="s">
        <v>355</v>
      </c>
      <c r="P24508" s="5" t="s">
        <v>355</v>
      </c>
      <c r="Q24508" s="5" t="s">
        <v>355</v>
      </c>
    </row>
    <row r="24509" ht="16.5" customHeight="1">
      <c r="O24509" s="5" t="s">
        <v>355</v>
      </c>
      <c r="P24509" s="5" t="s">
        <v>355</v>
      </c>
      <c r="Q24509" s="5" t="s">
        <v>355</v>
      </c>
    </row>
    <row r="24510" ht="16.5" customHeight="1">
      <c r="O24510" s="5" t="s">
        <v>355</v>
      </c>
      <c r="P24510" s="5" t="s">
        <v>355</v>
      </c>
      <c r="Q24510" s="5" t="s">
        <v>355</v>
      </c>
    </row>
    <row r="24511" ht="16.5" customHeight="1">
      <c r="O24511" s="5" t="s">
        <v>355</v>
      </c>
      <c r="P24511" s="5" t="s">
        <v>355</v>
      </c>
      <c r="Q24511" s="5" t="s">
        <v>355</v>
      </c>
    </row>
    <row r="24512" ht="16.5" customHeight="1">
      <c r="O24512" s="5" t="s">
        <v>355</v>
      </c>
      <c r="P24512" s="5" t="s">
        <v>355</v>
      </c>
      <c r="Q24512" s="5" t="s">
        <v>355</v>
      </c>
    </row>
    <row r="24513" ht="16.5" customHeight="1">
      <c r="O24513" s="5" t="s">
        <v>355</v>
      </c>
      <c r="P24513" s="5" t="s">
        <v>355</v>
      </c>
      <c r="Q24513" s="5" t="s">
        <v>355</v>
      </c>
    </row>
    <row r="24514" ht="16.5" customHeight="1">
      <c r="O24514" s="5" t="s">
        <v>355</v>
      </c>
      <c r="P24514" s="5" t="s">
        <v>355</v>
      </c>
      <c r="Q24514" s="5" t="s">
        <v>355</v>
      </c>
    </row>
    <row r="24515" ht="16.5" customHeight="1">
      <c r="O24515" s="5" t="s">
        <v>355</v>
      </c>
      <c r="P24515" s="5" t="s">
        <v>355</v>
      </c>
      <c r="Q24515" s="5" t="s">
        <v>355</v>
      </c>
    </row>
    <row r="24516" ht="16.5" customHeight="1">
      <c r="O24516" s="5" t="s">
        <v>355</v>
      </c>
      <c r="P24516" s="5" t="s">
        <v>355</v>
      </c>
      <c r="Q24516" s="5" t="s">
        <v>355</v>
      </c>
    </row>
    <row r="24517" ht="16.5" customHeight="1">
      <c r="O24517" s="5" t="s">
        <v>355</v>
      </c>
      <c r="P24517" s="5" t="s">
        <v>355</v>
      </c>
      <c r="Q24517" s="5" t="s">
        <v>355</v>
      </c>
    </row>
    <row r="24518" ht="16.5" customHeight="1">
      <c r="O24518" s="5" t="s">
        <v>355</v>
      </c>
      <c r="P24518" s="5" t="s">
        <v>355</v>
      </c>
      <c r="Q24518" s="5" t="s">
        <v>355</v>
      </c>
    </row>
    <row r="24519" ht="16.5" customHeight="1">
      <c r="O24519" s="5" t="s">
        <v>355</v>
      </c>
      <c r="P24519" s="5" t="s">
        <v>355</v>
      </c>
      <c r="Q24519" s="5" t="s">
        <v>355</v>
      </c>
    </row>
    <row r="24520" ht="16.5" customHeight="1">
      <c r="O24520" s="5" t="s">
        <v>355</v>
      </c>
      <c r="P24520" s="5" t="s">
        <v>355</v>
      </c>
      <c r="Q24520" s="5" t="s">
        <v>355</v>
      </c>
    </row>
    <row r="24521" ht="16.5" customHeight="1">
      <c r="O24521" s="5" t="s">
        <v>355</v>
      </c>
      <c r="P24521" s="5" t="s">
        <v>355</v>
      </c>
      <c r="Q24521" s="5" t="s">
        <v>355</v>
      </c>
    </row>
    <row r="24522" ht="16.5" customHeight="1">
      <c r="O24522" s="5" t="s">
        <v>355</v>
      </c>
      <c r="P24522" s="5" t="s">
        <v>355</v>
      </c>
      <c r="Q24522" s="5" t="s">
        <v>355</v>
      </c>
    </row>
    <row r="24523" ht="16.5" customHeight="1">
      <c r="O24523" s="5" t="s">
        <v>355</v>
      </c>
      <c r="P24523" s="5" t="s">
        <v>355</v>
      </c>
      <c r="Q24523" s="5" t="s">
        <v>355</v>
      </c>
    </row>
    <row r="24524" ht="16.5" customHeight="1">
      <c r="O24524" s="5" t="s">
        <v>355</v>
      </c>
      <c r="P24524" s="5" t="s">
        <v>355</v>
      </c>
      <c r="Q24524" s="5" t="s">
        <v>355</v>
      </c>
    </row>
    <row r="24525" ht="16.5" customHeight="1">
      <c r="O24525" s="5" t="s">
        <v>355</v>
      </c>
      <c r="P24525" s="5" t="s">
        <v>355</v>
      </c>
      <c r="Q24525" s="5" t="s">
        <v>355</v>
      </c>
    </row>
    <row r="24526" ht="16.5" customHeight="1">
      <c r="O24526" s="5" t="s">
        <v>355</v>
      </c>
      <c r="P24526" s="5" t="s">
        <v>355</v>
      </c>
      <c r="Q24526" s="5" t="s">
        <v>355</v>
      </c>
    </row>
    <row r="24527" ht="16.5" customHeight="1">
      <c r="O24527" s="5" t="s">
        <v>355</v>
      </c>
      <c r="P24527" s="5" t="s">
        <v>355</v>
      </c>
      <c r="Q24527" s="5" t="s">
        <v>355</v>
      </c>
    </row>
    <row r="24528" ht="16.5" customHeight="1">
      <c r="O24528" s="5" t="s">
        <v>355</v>
      </c>
      <c r="P24528" s="5" t="s">
        <v>355</v>
      </c>
      <c r="Q24528" s="5" t="s">
        <v>355</v>
      </c>
    </row>
    <row r="24529" ht="16.5" customHeight="1">
      <c r="O24529" s="5" t="s">
        <v>355</v>
      </c>
      <c r="P24529" s="5" t="s">
        <v>355</v>
      </c>
      <c r="Q24529" s="5" t="s">
        <v>355</v>
      </c>
    </row>
    <row r="24530" ht="16.5" customHeight="1">
      <c r="O24530" s="5" t="s">
        <v>355</v>
      </c>
      <c r="P24530" s="5" t="s">
        <v>355</v>
      </c>
      <c r="Q24530" s="5" t="s">
        <v>355</v>
      </c>
    </row>
    <row r="24531" ht="16.5" customHeight="1">
      <c r="O24531" s="5" t="s">
        <v>355</v>
      </c>
      <c r="P24531" s="5" t="s">
        <v>355</v>
      </c>
      <c r="Q24531" s="5" t="s">
        <v>355</v>
      </c>
    </row>
    <row r="24532" ht="16.5" customHeight="1">
      <c r="O24532" s="5" t="s">
        <v>355</v>
      </c>
      <c r="P24532" s="5" t="s">
        <v>355</v>
      </c>
      <c r="Q24532" s="5" t="s">
        <v>355</v>
      </c>
    </row>
    <row r="24533" ht="16.5" customHeight="1">
      <c r="O24533" s="5" t="s">
        <v>355</v>
      </c>
      <c r="P24533" s="5" t="s">
        <v>355</v>
      </c>
      <c r="Q24533" s="5" t="s">
        <v>355</v>
      </c>
    </row>
    <row r="24534" ht="16.5" customHeight="1">
      <c r="O24534" s="5" t="s">
        <v>355</v>
      </c>
      <c r="P24534" s="5" t="s">
        <v>355</v>
      </c>
      <c r="Q24534" s="5" t="s">
        <v>355</v>
      </c>
    </row>
    <row r="24535" ht="16.5" customHeight="1">
      <c r="O24535" s="5" t="s">
        <v>355</v>
      </c>
      <c r="P24535" s="5" t="s">
        <v>355</v>
      </c>
      <c r="Q24535" s="5" t="s">
        <v>355</v>
      </c>
    </row>
    <row r="24536" ht="16.5" customHeight="1">
      <c r="O24536" s="5" t="s">
        <v>355</v>
      </c>
      <c r="P24536" s="5" t="s">
        <v>355</v>
      </c>
      <c r="Q24536" s="5" t="s">
        <v>355</v>
      </c>
    </row>
    <row r="24537" ht="16.5" customHeight="1">
      <c r="O24537" s="5" t="s">
        <v>355</v>
      </c>
      <c r="P24537" s="5" t="s">
        <v>355</v>
      </c>
      <c r="Q24537" s="5" t="s">
        <v>355</v>
      </c>
    </row>
    <row r="24538" ht="16.5" customHeight="1">
      <c r="O24538" s="5" t="s">
        <v>355</v>
      </c>
      <c r="P24538" s="5" t="s">
        <v>355</v>
      </c>
      <c r="Q24538" s="5" t="s">
        <v>355</v>
      </c>
    </row>
    <row r="24539" ht="16.5" customHeight="1">
      <c r="O24539" s="5" t="s">
        <v>355</v>
      </c>
      <c r="P24539" s="5" t="s">
        <v>355</v>
      </c>
      <c r="Q24539" s="5" t="s">
        <v>355</v>
      </c>
    </row>
    <row r="24540" ht="16.5" customHeight="1">
      <c r="O24540" s="5" t="s">
        <v>355</v>
      </c>
      <c r="P24540" s="5" t="s">
        <v>355</v>
      </c>
      <c r="Q24540" s="5" t="s">
        <v>355</v>
      </c>
    </row>
    <row r="24541" ht="16.5" customHeight="1">
      <c r="O24541" s="5" t="s">
        <v>355</v>
      </c>
      <c r="P24541" s="5" t="s">
        <v>355</v>
      </c>
      <c r="Q24541" s="5" t="s">
        <v>355</v>
      </c>
    </row>
    <row r="24542" ht="16.5" customHeight="1">
      <c r="O24542" s="5" t="s">
        <v>355</v>
      </c>
      <c r="P24542" s="5" t="s">
        <v>355</v>
      </c>
      <c r="Q24542" s="5" t="s">
        <v>355</v>
      </c>
    </row>
    <row r="24543" ht="16.5" customHeight="1">
      <c r="O24543" s="5" t="s">
        <v>355</v>
      </c>
      <c r="P24543" s="5" t="s">
        <v>355</v>
      </c>
      <c r="Q24543" s="5" t="s">
        <v>355</v>
      </c>
    </row>
    <row r="24544" ht="16.5" customHeight="1">
      <c r="O24544" s="5" t="s">
        <v>355</v>
      </c>
      <c r="P24544" s="5" t="s">
        <v>355</v>
      </c>
      <c r="Q24544" s="5" t="s">
        <v>355</v>
      </c>
    </row>
    <row r="24545" ht="16.5" customHeight="1">
      <c r="O24545" s="5" t="s">
        <v>355</v>
      </c>
      <c r="P24545" s="5" t="s">
        <v>355</v>
      </c>
      <c r="Q24545" s="5" t="s">
        <v>355</v>
      </c>
    </row>
    <row r="24546" ht="16.5" customHeight="1">
      <c r="O24546" s="5" t="s">
        <v>355</v>
      </c>
      <c r="P24546" s="5" t="s">
        <v>355</v>
      </c>
      <c r="Q24546" s="5" t="s">
        <v>355</v>
      </c>
    </row>
    <row r="24547" ht="16.5" customHeight="1">
      <c r="O24547" s="5" t="s">
        <v>355</v>
      </c>
      <c r="P24547" s="5" t="s">
        <v>355</v>
      </c>
      <c r="Q24547" s="5" t="s">
        <v>355</v>
      </c>
    </row>
    <row r="24548" ht="16.5" customHeight="1">
      <c r="O24548" s="5" t="s">
        <v>355</v>
      </c>
      <c r="P24548" s="5" t="s">
        <v>355</v>
      </c>
      <c r="Q24548" s="5" t="s">
        <v>355</v>
      </c>
    </row>
    <row r="24549" ht="16.5" customHeight="1">
      <c r="O24549" s="5" t="s">
        <v>355</v>
      </c>
      <c r="P24549" s="5" t="s">
        <v>355</v>
      </c>
      <c r="Q24549" s="5" t="s">
        <v>355</v>
      </c>
    </row>
    <row r="24550" ht="16.5" customHeight="1">
      <c r="O24550" s="5" t="s">
        <v>355</v>
      </c>
      <c r="P24550" s="5" t="s">
        <v>355</v>
      </c>
      <c r="Q24550" s="5" t="s">
        <v>355</v>
      </c>
    </row>
    <row r="24551" ht="16.5" customHeight="1">
      <c r="O24551" s="5" t="s">
        <v>355</v>
      </c>
      <c r="P24551" s="5" t="s">
        <v>355</v>
      </c>
      <c r="Q24551" s="5" t="s">
        <v>355</v>
      </c>
    </row>
    <row r="24552" ht="16.5" customHeight="1">
      <c r="O24552" s="5" t="s">
        <v>355</v>
      </c>
      <c r="P24552" s="5" t="s">
        <v>355</v>
      </c>
      <c r="Q24552" s="5" t="s">
        <v>355</v>
      </c>
    </row>
    <row r="24553" ht="16.5" customHeight="1">
      <c r="O24553" s="5" t="s">
        <v>355</v>
      </c>
      <c r="P24553" s="5" t="s">
        <v>355</v>
      </c>
      <c r="Q24553" s="5" t="s">
        <v>355</v>
      </c>
    </row>
    <row r="24554" ht="16.5" customHeight="1">
      <c r="O24554" s="5" t="s">
        <v>355</v>
      </c>
      <c r="P24554" s="5" t="s">
        <v>355</v>
      </c>
      <c r="Q24554" s="5" t="s">
        <v>355</v>
      </c>
    </row>
    <row r="24555" ht="16.5" customHeight="1">
      <c r="O24555" s="5" t="s">
        <v>355</v>
      </c>
      <c r="P24555" s="5" t="s">
        <v>355</v>
      </c>
      <c r="Q24555" s="5" t="s">
        <v>355</v>
      </c>
    </row>
    <row r="24556" ht="16.5" customHeight="1">
      <c r="O24556" s="5" t="s">
        <v>355</v>
      </c>
      <c r="P24556" s="5" t="s">
        <v>355</v>
      </c>
      <c r="Q24556" s="5" t="s">
        <v>355</v>
      </c>
    </row>
    <row r="24557" ht="16.5" customHeight="1">
      <c r="O24557" s="5" t="s">
        <v>355</v>
      </c>
      <c r="P24557" s="5" t="s">
        <v>355</v>
      </c>
      <c r="Q24557" s="5" t="s">
        <v>355</v>
      </c>
    </row>
    <row r="24558" ht="16.5" customHeight="1">
      <c r="O24558" s="5" t="s">
        <v>355</v>
      </c>
      <c r="P24558" s="5" t="s">
        <v>355</v>
      </c>
      <c r="Q24558" s="5" t="s">
        <v>355</v>
      </c>
    </row>
    <row r="24559" ht="16.5" customHeight="1">
      <c r="O24559" s="5" t="s">
        <v>355</v>
      </c>
      <c r="P24559" s="5" t="s">
        <v>355</v>
      </c>
      <c r="Q24559" s="5" t="s">
        <v>355</v>
      </c>
    </row>
    <row r="24560" ht="16.5" customHeight="1">
      <c r="O24560" s="5" t="s">
        <v>355</v>
      </c>
      <c r="P24560" s="5" t="s">
        <v>355</v>
      </c>
      <c r="Q24560" s="5" t="s">
        <v>355</v>
      </c>
    </row>
    <row r="24561" ht="16.5" customHeight="1">
      <c r="O24561" s="5" t="s">
        <v>355</v>
      </c>
      <c r="P24561" s="5" t="s">
        <v>355</v>
      </c>
      <c r="Q24561" s="5" t="s">
        <v>355</v>
      </c>
    </row>
    <row r="24562" ht="16.5" customHeight="1">
      <c r="O24562" s="5" t="s">
        <v>355</v>
      </c>
      <c r="P24562" s="5" t="s">
        <v>355</v>
      </c>
      <c r="Q24562" s="5" t="s">
        <v>355</v>
      </c>
    </row>
    <row r="24563" ht="16.5" customHeight="1">
      <c r="O24563" s="5" t="s">
        <v>355</v>
      </c>
      <c r="P24563" s="5" t="s">
        <v>355</v>
      </c>
      <c r="Q24563" s="5" t="s">
        <v>355</v>
      </c>
    </row>
    <row r="24564" ht="16.5" customHeight="1">
      <c r="O24564" s="5" t="s">
        <v>355</v>
      </c>
      <c r="P24564" s="5" t="s">
        <v>355</v>
      </c>
      <c r="Q24564" s="5" t="s">
        <v>355</v>
      </c>
    </row>
    <row r="24565" ht="16.5" customHeight="1">
      <c r="O24565" s="5" t="s">
        <v>355</v>
      </c>
      <c r="P24565" s="5" t="s">
        <v>355</v>
      </c>
      <c r="Q24565" s="5" t="s">
        <v>355</v>
      </c>
    </row>
    <row r="24566" ht="16.5" customHeight="1">
      <c r="O24566" s="5" t="s">
        <v>355</v>
      </c>
      <c r="P24566" s="5" t="s">
        <v>355</v>
      </c>
      <c r="Q24566" s="5" t="s">
        <v>355</v>
      </c>
    </row>
    <row r="24567" ht="16.5" customHeight="1">
      <c r="O24567" s="5" t="s">
        <v>355</v>
      </c>
      <c r="P24567" s="5" t="s">
        <v>355</v>
      </c>
      <c r="Q24567" s="5" t="s">
        <v>355</v>
      </c>
    </row>
    <row r="24568" ht="16.5" customHeight="1">
      <c r="O24568" s="5" t="s">
        <v>355</v>
      </c>
      <c r="P24568" s="5" t="s">
        <v>355</v>
      </c>
      <c r="Q24568" s="5" t="s">
        <v>355</v>
      </c>
    </row>
    <row r="24569" ht="16.5" customHeight="1">
      <c r="O24569" s="5" t="s">
        <v>355</v>
      </c>
      <c r="P24569" s="5" t="s">
        <v>355</v>
      </c>
      <c r="Q24569" s="5" t="s">
        <v>355</v>
      </c>
    </row>
    <row r="24570" ht="16.5" customHeight="1">
      <c r="O24570" s="5" t="s">
        <v>355</v>
      </c>
      <c r="P24570" s="5" t="s">
        <v>355</v>
      </c>
      <c r="Q24570" s="5" t="s">
        <v>355</v>
      </c>
    </row>
    <row r="24571" ht="16.5" customHeight="1">
      <c r="O24571" s="5" t="s">
        <v>355</v>
      </c>
      <c r="P24571" s="5" t="s">
        <v>355</v>
      </c>
      <c r="Q24571" s="5" t="s">
        <v>355</v>
      </c>
    </row>
    <row r="24572" ht="16.5" customHeight="1">
      <c r="O24572" s="5" t="s">
        <v>355</v>
      </c>
      <c r="P24572" s="5" t="s">
        <v>355</v>
      </c>
      <c r="Q24572" s="5" t="s">
        <v>355</v>
      </c>
    </row>
    <row r="24573" ht="16.5" customHeight="1">
      <c r="O24573" s="5" t="s">
        <v>355</v>
      </c>
      <c r="P24573" s="5" t="s">
        <v>355</v>
      </c>
      <c r="Q24573" s="5" t="s">
        <v>355</v>
      </c>
    </row>
    <row r="24574" ht="16.5" customHeight="1">
      <c r="O24574" s="5" t="s">
        <v>355</v>
      </c>
      <c r="P24574" s="5" t="s">
        <v>355</v>
      </c>
      <c r="Q24574" s="5" t="s">
        <v>355</v>
      </c>
    </row>
    <row r="24575" ht="16.5" customHeight="1">
      <c r="O24575" s="5" t="s">
        <v>355</v>
      </c>
      <c r="P24575" s="5" t="s">
        <v>355</v>
      </c>
      <c r="Q24575" s="5" t="s">
        <v>355</v>
      </c>
    </row>
    <row r="24576" ht="16.5" customHeight="1">
      <c r="O24576" s="5" t="s">
        <v>355</v>
      </c>
      <c r="P24576" s="5" t="s">
        <v>355</v>
      </c>
      <c r="Q24576" s="5" t="s">
        <v>355</v>
      </c>
    </row>
    <row r="24577" ht="16.5" customHeight="1">
      <c r="O24577" s="5" t="s">
        <v>355</v>
      </c>
      <c r="P24577" s="5" t="s">
        <v>355</v>
      </c>
      <c r="Q24577" s="5" t="s">
        <v>355</v>
      </c>
    </row>
    <row r="24578" ht="16.5" customHeight="1">
      <c r="O24578" s="5" t="s">
        <v>355</v>
      </c>
      <c r="P24578" s="5" t="s">
        <v>355</v>
      </c>
      <c r="Q24578" s="5" t="s">
        <v>355</v>
      </c>
    </row>
    <row r="24579" ht="16.5" customHeight="1">
      <c r="O24579" s="5" t="s">
        <v>355</v>
      </c>
      <c r="P24579" s="5" t="s">
        <v>355</v>
      </c>
      <c r="Q24579" s="5" t="s">
        <v>355</v>
      </c>
    </row>
    <row r="24580" ht="16.5" customHeight="1">
      <c r="O24580" s="5" t="s">
        <v>355</v>
      </c>
      <c r="P24580" s="5" t="s">
        <v>355</v>
      </c>
      <c r="Q24580" s="5" t="s">
        <v>355</v>
      </c>
    </row>
    <row r="24581" ht="16.5" customHeight="1">
      <c r="O24581" s="5" t="s">
        <v>355</v>
      </c>
      <c r="P24581" s="5" t="s">
        <v>355</v>
      </c>
      <c r="Q24581" s="5" t="s">
        <v>355</v>
      </c>
    </row>
    <row r="24582" ht="16.5" customHeight="1">
      <c r="O24582" s="5" t="s">
        <v>355</v>
      </c>
      <c r="P24582" s="5" t="s">
        <v>355</v>
      </c>
      <c r="Q24582" s="5" t="s">
        <v>355</v>
      </c>
    </row>
    <row r="24583" ht="16.5" customHeight="1">
      <c r="O24583" s="5" t="s">
        <v>355</v>
      </c>
      <c r="P24583" s="5" t="s">
        <v>355</v>
      </c>
      <c r="Q24583" s="5" t="s">
        <v>355</v>
      </c>
    </row>
    <row r="24584" ht="16.5" customHeight="1">
      <c r="O24584" s="5" t="s">
        <v>355</v>
      </c>
      <c r="P24584" s="5" t="s">
        <v>355</v>
      </c>
      <c r="Q24584" s="5" t="s">
        <v>355</v>
      </c>
    </row>
    <row r="24585" ht="16.5" customHeight="1">
      <c r="O24585" s="5" t="s">
        <v>355</v>
      </c>
      <c r="P24585" s="5" t="s">
        <v>355</v>
      </c>
      <c r="Q24585" s="5" t="s">
        <v>355</v>
      </c>
    </row>
    <row r="24586" ht="16.5" customHeight="1">
      <c r="O24586" s="5" t="s">
        <v>355</v>
      </c>
      <c r="P24586" s="5" t="s">
        <v>355</v>
      </c>
      <c r="Q24586" s="5" t="s">
        <v>355</v>
      </c>
    </row>
    <row r="24587" ht="16.5" customHeight="1">
      <c r="O24587" s="5" t="s">
        <v>355</v>
      </c>
      <c r="P24587" s="5" t="s">
        <v>355</v>
      </c>
      <c r="Q24587" s="5" t="s">
        <v>355</v>
      </c>
    </row>
    <row r="24588" ht="16.5" customHeight="1">
      <c r="O24588" s="5" t="s">
        <v>355</v>
      </c>
      <c r="P24588" s="5" t="s">
        <v>355</v>
      </c>
      <c r="Q24588" s="5" t="s">
        <v>355</v>
      </c>
    </row>
    <row r="24589" ht="16.5" customHeight="1">
      <c r="O24589" s="5" t="s">
        <v>355</v>
      </c>
      <c r="P24589" s="5" t="s">
        <v>355</v>
      </c>
      <c r="Q24589" s="5" t="s">
        <v>355</v>
      </c>
    </row>
    <row r="24590" ht="16.5" customHeight="1">
      <c r="O24590" s="5" t="s">
        <v>355</v>
      </c>
      <c r="P24590" s="5" t="s">
        <v>355</v>
      </c>
      <c r="Q24590" s="5" t="s">
        <v>355</v>
      </c>
    </row>
    <row r="24591" ht="16.5" customHeight="1">
      <c r="O24591" s="5" t="s">
        <v>355</v>
      </c>
      <c r="P24591" s="5" t="s">
        <v>355</v>
      </c>
      <c r="Q24591" s="5" t="s">
        <v>355</v>
      </c>
    </row>
    <row r="24592" ht="16.5" customHeight="1">
      <c r="O24592" s="5" t="s">
        <v>355</v>
      </c>
      <c r="P24592" s="5" t="s">
        <v>355</v>
      </c>
      <c r="Q24592" s="5" t="s">
        <v>355</v>
      </c>
    </row>
    <row r="24593" ht="16.5" customHeight="1">
      <c r="O24593" s="5" t="s">
        <v>355</v>
      </c>
      <c r="P24593" s="5" t="s">
        <v>355</v>
      </c>
      <c r="Q24593" s="5" t="s">
        <v>355</v>
      </c>
    </row>
    <row r="24594" ht="16.5" customHeight="1">
      <c r="O24594" s="5" t="s">
        <v>355</v>
      </c>
      <c r="P24594" s="5" t="s">
        <v>355</v>
      </c>
      <c r="Q24594" s="5" t="s">
        <v>355</v>
      </c>
    </row>
    <row r="24595" ht="16.5" customHeight="1">
      <c r="O24595" s="5" t="s">
        <v>355</v>
      </c>
      <c r="P24595" s="5" t="s">
        <v>355</v>
      </c>
      <c r="Q24595" s="5" t="s">
        <v>355</v>
      </c>
    </row>
    <row r="24596" ht="16.5" customHeight="1">
      <c r="O24596" s="5" t="s">
        <v>355</v>
      </c>
      <c r="P24596" s="5" t="s">
        <v>355</v>
      </c>
      <c r="Q24596" s="5" t="s">
        <v>355</v>
      </c>
    </row>
    <row r="24597" ht="16.5" customHeight="1">
      <c r="O24597" s="5" t="s">
        <v>355</v>
      </c>
      <c r="P24597" s="5" t="s">
        <v>355</v>
      </c>
      <c r="Q24597" s="5" t="s">
        <v>355</v>
      </c>
    </row>
    <row r="24598" ht="16.5" customHeight="1">
      <c r="O24598" s="5" t="s">
        <v>355</v>
      </c>
      <c r="P24598" s="5" t="s">
        <v>355</v>
      </c>
      <c r="Q24598" s="5" t="s">
        <v>355</v>
      </c>
    </row>
    <row r="24599" ht="16.5" customHeight="1">
      <c r="O24599" s="5" t="s">
        <v>355</v>
      </c>
      <c r="P24599" s="5" t="s">
        <v>355</v>
      </c>
      <c r="Q24599" s="5" t="s">
        <v>355</v>
      </c>
    </row>
    <row r="24600" ht="16.5" customHeight="1">
      <c r="O24600" s="5" t="s">
        <v>355</v>
      </c>
      <c r="P24600" s="5" t="s">
        <v>355</v>
      </c>
      <c r="Q24600" s="5" t="s">
        <v>355</v>
      </c>
    </row>
    <row r="24601" ht="16.5" customHeight="1">
      <c r="O24601" s="5" t="s">
        <v>355</v>
      </c>
      <c r="P24601" s="5" t="s">
        <v>355</v>
      </c>
      <c r="Q24601" s="5" t="s">
        <v>355</v>
      </c>
    </row>
    <row r="24602" ht="16.5" customHeight="1">
      <c r="O24602" s="5" t="s">
        <v>355</v>
      </c>
      <c r="P24602" s="5" t="s">
        <v>355</v>
      </c>
      <c r="Q24602" s="5" t="s">
        <v>355</v>
      </c>
    </row>
    <row r="24603" ht="16.5" customHeight="1">
      <c r="O24603" s="5" t="s">
        <v>355</v>
      </c>
      <c r="P24603" s="5" t="s">
        <v>355</v>
      </c>
      <c r="Q24603" s="5" t="s">
        <v>355</v>
      </c>
    </row>
    <row r="24604" ht="16.5" customHeight="1">
      <c r="O24604" s="5" t="s">
        <v>355</v>
      </c>
      <c r="P24604" s="5" t="s">
        <v>355</v>
      </c>
      <c r="Q24604" s="5" t="s">
        <v>355</v>
      </c>
    </row>
    <row r="24605" ht="16.5" customHeight="1">
      <c r="O24605" s="5" t="s">
        <v>355</v>
      </c>
      <c r="P24605" s="5" t="s">
        <v>355</v>
      </c>
      <c r="Q24605" s="5" t="s">
        <v>355</v>
      </c>
    </row>
    <row r="24606" ht="16.5" customHeight="1">
      <c r="O24606" s="5" t="s">
        <v>355</v>
      </c>
      <c r="P24606" s="5" t="s">
        <v>355</v>
      </c>
      <c r="Q24606" s="5" t="s">
        <v>355</v>
      </c>
    </row>
    <row r="24607" ht="16.5" customHeight="1">
      <c r="O24607" s="5" t="s">
        <v>355</v>
      </c>
      <c r="P24607" s="5" t="s">
        <v>355</v>
      </c>
      <c r="Q24607" s="5" t="s">
        <v>355</v>
      </c>
    </row>
    <row r="24608" ht="16.5" customHeight="1">
      <c r="O24608" s="5" t="s">
        <v>355</v>
      </c>
      <c r="P24608" s="5" t="s">
        <v>355</v>
      </c>
      <c r="Q24608" s="5" t="s">
        <v>355</v>
      </c>
    </row>
    <row r="24609" ht="16.5" customHeight="1">
      <c r="O24609" s="5" t="s">
        <v>355</v>
      </c>
      <c r="P24609" s="5" t="s">
        <v>355</v>
      </c>
      <c r="Q24609" s="5" t="s">
        <v>355</v>
      </c>
    </row>
    <row r="24610" ht="16.5" customHeight="1">
      <c r="O24610" s="5" t="s">
        <v>355</v>
      </c>
      <c r="P24610" s="5" t="s">
        <v>355</v>
      </c>
      <c r="Q24610" s="5" t="s">
        <v>355</v>
      </c>
    </row>
    <row r="24611" ht="16.5" customHeight="1">
      <c r="O24611" s="5" t="s">
        <v>355</v>
      </c>
      <c r="P24611" s="5" t="s">
        <v>355</v>
      </c>
      <c r="Q24611" s="5" t="s">
        <v>355</v>
      </c>
    </row>
    <row r="24612" ht="16.5" customHeight="1">
      <c r="O24612" s="5" t="s">
        <v>355</v>
      </c>
      <c r="P24612" s="5" t="s">
        <v>355</v>
      </c>
      <c r="Q24612" s="5" t="s">
        <v>355</v>
      </c>
    </row>
    <row r="24613" ht="16.5" customHeight="1">
      <c r="O24613" s="5" t="s">
        <v>355</v>
      </c>
      <c r="P24613" s="5" t="s">
        <v>355</v>
      </c>
      <c r="Q24613" s="5" t="s">
        <v>355</v>
      </c>
    </row>
    <row r="24614" ht="16.5" customHeight="1">
      <c r="O24614" s="5" t="s">
        <v>355</v>
      </c>
      <c r="P24614" s="5" t="s">
        <v>355</v>
      </c>
      <c r="Q24614" s="5" t="s">
        <v>355</v>
      </c>
    </row>
    <row r="24615" ht="16.5" customHeight="1">
      <c r="O24615" s="5" t="s">
        <v>355</v>
      </c>
      <c r="P24615" s="5" t="s">
        <v>355</v>
      </c>
      <c r="Q24615" s="5" t="s">
        <v>355</v>
      </c>
    </row>
    <row r="24616" ht="16.5" customHeight="1">
      <c r="O24616" s="5" t="s">
        <v>355</v>
      </c>
      <c r="P24616" s="5" t="s">
        <v>355</v>
      </c>
      <c r="Q24616" s="5" t="s">
        <v>355</v>
      </c>
    </row>
    <row r="24617" ht="16.5" customHeight="1">
      <c r="O24617" s="5" t="s">
        <v>355</v>
      </c>
      <c r="P24617" s="5" t="s">
        <v>355</v>
      </c>
      <c r="Q24617" s="5" t="s">
        <v>355</v>
      </c>
    </row>
    <row r="24618" ht="16.5" customHeight="1">
      <c r="O24618" s="5" t="s">
        <v>355</v>
      </c>
      <c r="P24618" s="5" t="s">
        <v>355</v>
      </c>
      <c r="Q24618" s="5" t="s">
        <v>355</v>
      </c>
    </row>
    <row r="24619" ht="16.5" customHeight="1">
      <c r="O24619" s="5" t="s">
        <v>355</v>
      </c>
      <c r="P24619" s="5" t="s">
        <v>355</v>
      </c>
      <c r="Q24619" s="5" t="s">
        <v>355</v>
      </c>
    </row>
    <row r="24620" ht="16.5" customHeight="1">
      <c r="O24620" s="5" t="s">
        <v>355</v>
      </c>
      <c r="P24620" s="5" t="s">
        <v>355</v>
      </c>
      <c r="Q24620" s="5" t="s">
        <v>355</v>
      </c>
    </row>
    <row r="24621" ht="16.5" customHeight="1">
      <c r="O24621" s="5" t="s">
        <v>355</v>
      </c>
      <c r="P24621" s="5" t="s">
        <v>355</v>
      </c>
      <c r="Q24621" s="5" t="s">
        <v>355</v>
      </c>
    </row>
    <row r="24622" ht="16.5" customHeight="1">
      <c r="O24622" s="5" t="s">
        <v>355</v>
      </c>
      <c r="P24622" s="5" t="s">
        <v>355</v>
      </c>
      <c r="Q24622" s="5" t="s">
        <v>355</v>
      </c>
    </row>
    <row r="24623" ht="16.5" customHeight="1">
      <c r="O24623" s="5" t="s">
        <v>355</v>
      </c>
      <c r="P24623" s="5" t="s">
        <v>355</v>
      </c>
      <c r="Q24623" s="5" t="s">
        <v>355</v>
      </c>
    </row>
    <row r="24624" ht="16.5" customHeight="1">
      <c r="O24624" s="5" t="s">
        <v>355</v>
      </c>
      <c r="P24624" s="5" t="s">
        <v>355</v>
      </c>
      <c r="Q24624" s="5" t="s">
        <v>355</v>
      </c>
    </row>
    <row r="24625" ht="16.5" customHeight="1">
      <c r="O24625" s="5" t="s">
        <v>355</v>
      </c>
      <c r="P24625" s="5" t="s">
        <v>355</v>
      </c>
      <c r="Q24625" s="5" t="s">
        <v>355</v>
      </c>
    </row>
    <row r="24626" ht="16.5" customHeight="1">
      <c r="O24626" s="5" t="s">
        <v>355</v>
      </c>
      <c r="P24626" s="5" t="s">
        <v>355</v>
      </c>
      <c r="Q24626" s="5" t="s">
        <v>355</v>
      </c>
    </row>
    <row r="24627" ht="16.5" customHeight="1">
      <c r="O24627" s="5" t="s">
        <v>355</v>
      </c>
      <c r="P24627" s="5" t="s">
        <v>355</v>
      </c>
      <c r="Q24627" s="5" t="s">
        <v>355</v>
      </c>
    </row>
    <row r="24628" ht="16.5" customHeight="1">
      <c r="O24628" s="5" t="s">
        <v>355</v>
      </c>
      <c r="P24628" s="5" t="s">
        <v>355</v>
      </c>
      <c r="Q24628" s="5" t="s">
        <v>355</v>
      </c>
    </row>
    <row r="24629" ht="16.5" customHeight="1">
      <c r="O24629" s="5" t="s">
        <v>355</v>
      </c>
      <c r="P24629" s="5" t="s">
        <v>355</v>
      </c>
      <c r="Q24629" s="5" t="s">
        <v>355</v>
      </c>
    </row>
    <row r="24630" ht="16.5" customHeight="1">
      <c r="O24630" s="5" t="s">
        <v>355</v>
      </c>
      <c r="P24630" s="5" t="s">
        <v>355</v>
      </c>
      <c r="Q24630" s="5" t="s">
        <v>355</v>
      </c>
    </row>
    <row r="24631" ht="16.5" customHeight="1">
      <c r="O24631" s="5" t="s">
        <v>355</v>
      </c>
      <c r="P24631" s="5" t="s">
        <v>355</v>
      </c>
      <c r="Q24631" s="5" t="s">
        <v>355</v>
      </c>
    </row>
    <row r="24632" ht="16.5" customHeight="1">
      <c r="O24632" s="5" t="s">
        <v>355</v>
      </c>
      <c r="P24632" s="5" t="s">
        <v>355</v>
      </c>
      <c r="Q24632" s="5" t="s">
        <v>355</v>
      </c>
    </row>
    <row r="24633" ht="16.5" customHeight="1">
      <c r="O24633" s="5" t="s">
        <v>355</v>
      </c>
      <c r="P24633" s="5" t="s">
        <v>355</v>
      </c>
      <c r="Q24633" s="5" t="s">
        <v>355</v>
      </c>
    </row>
    <row r="24634" ht="16.5" customHeight="1">
      <c r="O24634" s="5" t="s">
        <v>355</v>
      </c>
      <c r="P24634" s="5" t="s">
        <v>355</v>
      </c>
      <c r="Q24634" s="5" t="s">
        <v>355</v>
      </c>
    </row>
    <row r="24635" ht="16.5" customHeight="1">
      <c r="O24635" s="5" t="s">
        <v>355</v>
      </c>
      <c r="P24635" s="5" t="s">
        <v>355</v>
      </c>
      <c r="Q24635" s="5" t="s">
        <v>355</v>
      </c>
    </row>
    <row r="24636" ht="16.5" customHeight="1">
      <c r="O24636" s="5" t="s">
        <v>355</v>
      </c>
      <c r="P24636" s="5" t="s">
        <v>355</v>
      </c>
      <c r="Q24636" s="5" t="s">
        <v>355</v>
      </c>
    </row>
    <row r="24637" ht="16.5" customHeight="1">
      <c r="O24637" s="5" t="s">
        <v>355</v>
      </c>
      <c r="P24637" s="5" t="s">
        <v>355</v>
      </c>
      <c r="Q24637" s="5" t="s">
        <v>355</v>
      </c>
    </row>
    <row r="24638" ht="16.5" customHeight="1">
      <c r="O24638" s="5" t="s">
        <v>355</v>
      </c>
      <c r="P24638" s="5" t="s">
        <v>355</v>
      </c>
      <c r="Q24638" s="5" t="s">
        <v>355</v>
      </c>
    </row>
    <row r="24639" ht="16.5" customHeight="1">
      <c r="O24639" s="5" t="s">
        <v>355</v>
      </c>
      <c r="P24639" s="5" t="s">
        <v>355</v>
      </c>
      <c r="Q24639" s="5" t="s">
        <v>355</v>
      </c>
    </row>
    <row r="24640" ht="16.5" customHeight="1">
      <c r="O24640" s="5" t="s">
        <v>355</v>
      </c>
      <c r="P24640" s="5" t="s">
        <v>355</v>
      </c>
      <c r="Q24640" s="5" t="s">
        <v>355</v>
      </c>
    </row>
    <row r="24641" ht="16.5" customHeight="1">
      <c r="O24641" s="5" t="s">
        <v>355</v>
      </c>
      <c r="P24641" s="5" t="s">
        <v>355</v>
      </c>
      <c r="Q24641" s="5" t="s">
        <v>355</v>
      </c>
    </row>
    <row r="24642" ht="16.5" customHeight="1">
      <c r="O24642" s="5" t="s">
        <v>355</v>
      </c>
      <c r="P24642" s="5" t="s">
        <v>355</v>
      </c>
      <c r="Q24642" s="5" t="s">
        <v>355</v>
      </c>
    </row>
    <row r="24643" ht="16.5" customHeight="1">
      <c r="O24643" s="5" t="s">
        <v>355</v>
      </c>
      <c r="P24643" s="5" t="s">
        <v>355</v>
      </c>
      <c r="Q24643" s="5" t="s">
        <v>355</v>
      </c>
    </row>
    <row r="24644" ht="16.5" customHeight="1">
      <c r="O24644" s="5" t="s">
        <v>355</v>
      </c>
      <c r="P24644" s="5" t="s">
        <v>355</v>
      </c>
      <c r="Q24644" s="5" t="s">
        <v>355</v>
      </c>
    </row>
    <row r="24645" ht="16.5" customHeight="1">
      <c r="O24645" s="5" t="s">
        <v>355</v>
      </c>
      <c r="P24645" s="5" t="s">
        <v>355</v>
      </c>
      <c r="Q24645" s="5" t="s">
        <v>355</v>
      </c>
    </row>
    <row r="24646" ht="16.5" customHeight="1">
      <c r="O24646" s="5" t="s">
        <v>355</v>
      </c>
      <c r="P24646" s="5" t="s">
        <v>355</v>
      </c>
      <c r="Q24646" s="5" t="s">
        <v>355</v>
      </c>
    </row>
    <row r="24647" ht="16.5" customHeight="1">
      <c r="O24647" s="5" t="s">
        <v>355</v>
      </c>
      <c r="P24647" s="5" t="s">
        <v>355</v>
      </c>
      <c r="Q24647" s="5" t="s">
        <v>355</v>
      </c>
    </row>
    <row r="24648" ht="16.5" customHeight="1">
      <c r="O24648" s="5" t="s">
        <v>355</v>
      </c>
      <c r="P24648" s="5" t="s">
        <v>355</v>
      </c>
      <c r="Q24648" s="5" t="s">
        <v>355</v>
      </c>
    </row>
    <row r="24649" ht="16.5" customHeight="1">
      <c r="O24649" s="5" t="s">
        <v>355</v>
      </c>
      <c r="P24649" s="5" t="s">
        <v>355</v>
      </c>
      <c r="Q24649" s="5" t="s">
        <v>355</v>
      </c>
    </row>
    <row r="24650" ht="16.5" customHeight="1">
      <c r="O24650" s="5" t="s">
        <v>355</v>
      </c>
      <c r="P24650" s="5" t="s">
        <v>355</v>
      </c>
      <c r="Q24650" s="5" t="s">
        <v>355</v>
      </c>
    </row>
    <row r="24651" ht="16.5" customHeight="1">
      <c r="O24651" s="5" t="s">
        <v>355</v>
      </c>
      <c r="P24651" s="5" t="s">
        <v>355</v>
      </c>
      <c r="Q24651" s="5" t="s">
        <v>355</v>
      </c>
    </row>
    <row r="24652" ht="16.5" customHeight="1">
      <c r="O24652" s="5" t="s">
        <v>355</v>
      </c>
      <c r="P24652" s="5" t="s">
        <v>355</v>
      </c>
      <c r="Q24652" s="5" t="s">
        <v>355</v>
      </c>
    </row>
    <row r="24653" ht="16.5" customHeight="1">
      <c r="O24653" s="5" t="s">
        <v>355</v>
      </c>
      <c r="P24653" s="5" t="s">
        <v>355</v>
      </c>
      <c r="Q24653" s="5" t="s">
        <v>355</v>
      </c>
    </row>
    <row r="24654" ht="16.5" customHeight="1">
      <c r="O24654" s="5" t="s">
        <v>355</v>
      </c>
      <c r="P24654" s="5" t="s">
        <v>355</v>
      </c>
      <c r="Q24654" s="5" t="s">
        <v>355</v>
      </c>
    </row>
    <row r="24655" ht="16.5" customHeight="1">
      <c r="O24655" s="5" t="s">
        <v>355</v>
      </c>
      <c r="P24655" s="5" t="s">
        <v>355</v>
      </c>
      <c r="Q24655" s="5" t="s">
        <v>355</v>
      </c>
    </row>
    <row r="24656" ht="16.5" customHeight="1">
      <c r="O24656" s="5" t="s">
        <v>355</v>
      </c>
      <c r="P24656" s="5" t="s">
        <v>355</v>
      </c>
      <c r="Q24656" s="5" t="s">
        <v>355</v>
      </c>
    </row>
    <row r="24657" ht="16.5" customHeight="1">
      <c r="O24657" s="5" t="s">
        <v>355</v>
      </c>
      <c r="P24657" s="5" t="s">
        <v>355</v>
      </c>
      <c r="Q24657" s="5" t="s">
        <v>355</v>
      </c>
    </row>
    <row r="24658" ht="16.5" customHeight="1">
      <c r="O24658" s="5" t="s">
        <v>355</v>
      </c>
      <c r="P24658" s="5" t="s">
        <v>355</v>
      </c>
      <c r="Q24658" s="5" t="s">
        <v>355</v>
      </c>
    </row>
    <row r="24659" ht="16.5" customHeight="1">
      <c r="O24659" s="5" t="s">
        <v>355</v>
      </c>
      <c r="P24659" s="5" t="s">
        <v>355</v>
      </c>
      <c r="Q24659" s="5" t="s">
        <v>355</v>
      </c>
    </row>
    <row r="24660" ht="16.5" customHeight="1">
      <c r="O24660" s="5" t="s">
        <v>355</v>
      </c>
      <c r="P24660" s="5" t="s">
        <v>355</v>
      </c>
      <c r="Q24660" s="5" t="s">
        <v>355</v>
      </c>
    </row>
    <row r="24661" ht="16.5" customHeight="1">
      <c r="O24661" s="5" t="s">
        <v>355</v>
      </c>
      <c r="P24661" s="5" t="s">
        <v>355</v>
      </c>
      <c r="Q24661" s="5" t="s">
        <v>355</v>
      </c>
    </row>
    <row r="24662" ht="16.5" customHeight="1">
      <c r="O24662" s="5" t="s">
        <v>355</v>
      </c>
      <c r="P24662" s="5" t="s">
        <v>355</v>
      </c>
      <c r="Q24662" s="5" t="s">
        <v>355</v>
      </c>
    </row>
    <row r="24663" ht="16.5" customHeight="1">
      <c r="O24663" s="5" t="s">
        <v>355</v>
      </c>
      <c r="P24663" s="5" t="s">
        <v>355</v>
      </c>
      <c r="Q24663" s="5" t="s">
        <v>355</v>
      </c>
    </row>
    <row r="24664" ht="16.5" customHeight="1">
      <c r="O24664" s="5" t="s">
        <v>355</v>
      </c>
      <c r="P24664" s="5" t="s">
        <v>355</v>
      </c>
      <c r="Q24664" s="5" t="s">
        <v>355</v>
      </c>
    </row>
    <row r="24665" ht="16.5" customHeight="1">
      <c r="O24665" s="5" t="s">
        <v>355</v>
      </c>
      <c r="P24665" s="5" t="s">
        <v>355</v>
      </c>
      <c r="Q24665" s="5" t="s">
        <v>355</v>
      </c>
    </row>
    <row r="24666" ht="16.5" customHeight="1">
      <c r="O24666" s="5" t="s">
        <v>355</v>
      </c>
      <c r="P24666" s="5" t="s">
        <v>355</v>
      </c>
      <c r="Q24666" s="5" t="s">
        <v>355</v>
      </c>
    </row>
    <row r="24667" ht="16.5" customHeight="1">
      <c r="O24667" s="5" t="s">
        <v>355</v>
      </c>
      <c r="P24667" s="5" t="s">
        <v>355</v>
      </c>
      <c r="Q24667" s="5" t="s">
        <v>355</v>
      </c>
    </row>
    <row r="24668" ht="16.5" customHeight="1">
      <c r="O24668" s="5" t="s">
        <v>355</v>
      </c>
      <c r="P24668" s="5" t="s">
        <v>355</v>
      </c>
      <c r="Q24668" s="5" t="s">
        <v>355</v>
      </c>
    </row>
    <row r="24669" ht="16.5" customHeight="1">
      <c r="O24669" s="5" t="s">
        <v>355</v>
      </c>
      <c r="P24669" s="5" t="s">
        <v>355</v>
      </c>
      <c r="Q24669" s="5" t="s">
        <v>355</v>
      </c>
    </row>
    <row r="24670" ht="16.5" customHeight="1">
      <c r="O24670" s="5" t="s">
        <v>355</v>
      </c>
      <c r="P24670" s="5" t="s">
        <v>355</v>
      </c>
      <c r="Q24670" s="5" t="s">
        <v>355</v>
      </c>
    </row>
    <row r="24671" ht="16.5" customHeight="1">
      <c r="O24671" s="5" t="s">
        <v>355</v>
      </c>
      <c r="P24671" s="5" t="s">
        <v>355</v>
      </c>
      <c r="Q24671" s="5" t="s">
        <v>355</v>
      </c>
    </row>
    <row r="24672" ht="16.5" customHeight="1">
      <c r="O24672" s="5" t="s">
        <v>355</v>
      </c>
      <c r="P24672" s="5" t="s">
        <v>355</v>
      </c>
      <c r="Q24672" s="5" t="s">
        <v>355</v>
      </c>
    </row>
    <row r="24673" ht="16.5" customHeight="1">
      <c r="O24673" s="5" t="s">
        <v>355</v>
      </c>
      <c r="P24673" s="5" t="s">
        <v>355</v>
      </c>
      <c r="Q24673" s="5" t="s">
        <v>355</v>
      </c>
    </row>
    <row r="24674" ht="16.5" customHeight="1">
      <c r="O24674" s="5" t="s">
        <v>355</v>
      </c>
      <c r="P24674" s="5" t="s">
        <v>355</v>
      </c>
      <c r="Q24674" s="5" t="s">
        <v>355</v>
      </c>
    </row>
    <row r="24675" ht="16.5" customHeight="1">
      <c r="O24675" s="5" t="s">
        <v>355</v>
      </c>
      <c r="P24675" s="5" t="s">
        <v>355</v>
      </c>
      <c r="Q24675" s="5" t="s">
        <v>355</v>
      </c>
    </row>
    <row r="24676" ht="16.5" customHeight="1">
      <c r="O24676" s="5" t="s">
        <v>355</v>
      </c>
      <c r="P24676" s="5" t="s">
        <v>355</v>
      </c>
      <c r="Q24676" s="5" t="s">
        <v>355</v>
      </c>
    </row>
    <row r="24677" ht="16.5" customHeight="1">
      <c r="O24677" s="5" t="s">
        <v>355</v>
      </c>
      <c r="P24677" s="5" t="s">
        <v>355</v>
      </c>
      <c r="Q24677" s="5" t="s">
        <v>355</v>
      </c>
    </row>
    <row r="24678" ht="16.5" customHeight="1">
      <c r="O24678" s="5" t="s">
        <v>355</v>
      </c>
      <c r="P24678" s="5" t="s">
        <v>355</v>
      </c>
      <c r="Q24678" s="5" t="s">
        <v>355</v>
      </c>
    </row>
    <row r="24679" ht="16.5" customHeight="1">
      <c r="O24679" s="5" t="s">
        <v>355</v>
      </c>
      <c r="P24679" s="5" t="s">
        <v>355</v>
      </c>
      <c r="Q24679" s="5" t="s">
        <v>355</v>
      </c>
    </row>
    <row r="24680" ht="16.5" customHeight="1">
      <c r="O24680" s="5" t="s">
        <v>355</v>
      </c>
      <c r="P24680" s="5" t="s">
        <v>355</v>
      </c>
      <c r="Q24680" s="5" t="s">
        <v>355</v>
      </c>
    </row>
    <row r="24681" ht="16.5" customHeight="1">
      <c r="O24681" s="5" t="s">
        <v>355</v>
      </c>
      <c r="P24681" s="5" t="s">
        <v>355</v>
      </c>
      <c r="Q24681" s="5" t="s">
        <v>355</v>
      </c>
    </row>
    <row r="24682" ht="16.5" customHeight="1">
      <c r="O24682" s="5" t="s">
        <v>355</v>
      </c>
      <c r="P24682" s="5" t="s">
        <v>355</v>
      </c>
      <c r="Q24682" s="5" t="s">
        <v>355</v>
      </c>
    </row>
    <row r="24683" ht="16.5" customHeight="1">
      <c r="O24683" s="5" t="s">
        <v>355</v>
      </c>
      <c r="P24683" s="5" t="s">
        <v>355</v>
      </c>
      <c r="Q24683" s="5" t="s">
        <v>355</v>
      </c>
    </row>
    <row r="24684" ht="16.5" customHeight="1">
      <c r="O24684" s="5" t="s">
        <v>355</v>
      </c>
      <c r="P24684" s="5" t="s">
        <v>355</v>
      </c>
      <c r="Q24684" s="5" t="s">
        <v>355</v>
      </c>
    </row>
    <row r="24685" ht="16.5" customHeight="1">
      <c r="O24685" s="5" t="s">
        <v>355</v>
      </c>
      <c r="P24685" s="5" t="s">
        <v>355</v>
      </c>
      <c r="Q24685" s="5" t="s">
        <v>355</v>
      </c>
    </row>
    <row r="24686" ht="16.5" customHeight="1">
      <c r="O24686" s="5" t="s">
        <v>355</v>
      </c>
      <c r="P24686" s="5" t="s">
        <v>355</v>
      </c>
      <c r="Q24686" s="5" t="s">
        <v>355</v>
      </c>
    </row>
    <row r="24687" ht="16.5" customHeight="1">
      <c r="O24687" s="5" t="s">
        <v>355</v>
      </c>
      <c r="P24687" s="5" t="s">
        <v>355</v>
      </c>
      <c r="Q24687" s="5" t="s">
        <v>355</v>
      </c>
    </row>
    <row r="24688" ht="16.5" customHeight="1">
      <c r="O24688" s="5" t="s">
        <v>355</v>
      </c>
      <c r="P24688" s="5" t="s">
        <v>355</v>
      </c>
      <c r="Q24688" s="5" t="s">
        <v>355</v>
      </c>
    </row>
    <row r="24689" ht="16.5" customHeight="1">
      <c r="O24689" s="5" t="s">
        <v>355</v>
      </c>
      <c r="P24689" s="5" t="s">
        <v>355</v>
      </c>
      <c r="Q24689" s="5" t="s">
        <v>355</v>
      </c>
    </row>
    <row r="24690" ht="16.5" customHeight="1">
      <c r="O24690" s="5" t="s">
        <v>355</v>
      </c>
      <c r="P24690" s="5" t="s">
        <v>355</v>
      </c>
      <c r="Q24690" s="5" t="s">
        <v>355</v>
      </c>
    </row>
    <row r="24691" ht="16.5" customHeight="1">
      <c r="O24691" s="5" t="s">
        <v>355</v>
      </c>
      <c r="P24691" s="5" t="s">
        <v>355</v>
      </c>
      <c r="Q24691" s="5" t="s">
        <v>355</v>
      </c>
    </row>
    <row r="24692" ht="16.5" customHeight="1">
      <c r="O24692" s="5" t="s">
        <v>355</v>
      </c>
      <c r="P24692" s="5" t="s">
        <v>355</v>
      </c>
      <c r="Q24692" s="5" t="s">
        <v>355</v>
      </c>
    </row>
    <row r="24693" ht="16.5" customHeight="1">
      <c r="O24693" s="5" t="s">
        <v>355</v>
      </c>
      <c r="P24693" s="5" t="s">
        <v>355</v>
      </c>
      <c r="Q24693" s="5" t="s">
        <v>355</v>
      </c>
    </row>
    <row r="24694" ht="16.5" customHeight="1">
      <c r="O24694" s="5" t="s">
        <v>355</v>
      </c>
      <c r="P24694" s="5" t="s">
        <v>355</v>
      </c>
      <c r="Q24694" s="5" t="s">
        <v>355</v>
      </c>
    </row>
    <row r="24695" ht="16.5" customHeight="1">
      <c r="O24695" s="5" t="s">
        <v>355</v>
      </c>
      <c r="P24695" s="5" t="s">
        <v>355</v>
      </c>
      <c r="Q24695" s="5" t="s">
        <v>355</v>
      </c>
    </row>
    <row r="24696" ht="16.5" customHeight="1">
      <c r="O24696" s="5" t="s">
        <v>355</v>
      </c>
      <c r="P24696" s="5" t="s">
        <v>355</v>
      </c>
      <c r="Q24696" s="5" t="s">
        <v>355</v>
      </c>
    </row>
    <row r="24697" ht="16.5" customHeight="1">
      <c r="O24697" s="5" t="s">
        <v>355</v>
      </c>
      <c r="P24697" s="5" t="s">
        <v>355</v>
      </c>
      <c r="Q24697" s="5" t="s">
        <v>355</v>
      </c>
    </row>
    <row r="24698" ht="16.5" customHeight="1">
      <c r="O24698" s="5" t="s">
        <v>355</v>
      </c>
      <c r="P24698" s="5" t="s">
        <v>355</v>
      </c>
      <c r="Q24698" s="5" t="s">
        <v>355</v>
      </c>
    </row>
    <row r="24699" ht="16.5" customHeight="1">
      <c r="O24699" s="5" t="s">
        <v>355</v>
      </c>
      <c r="P24699" s="5" t="s">
        <v>355</v>
      </c>
      <c r="Q24699" s="5" t="s">
        <v>355</v>
      </c>
    </row>
    <row r="24700" ht="16.5" customHeight="1">
      <c r="O24700" s="5" t="s">
        <v>355</v>
      </c>
      <c r="P24700" s="5" t="s">
        <v>355</v>
      </c>
      <c r="Q24700" s="5" t="s">
        <v>355</v>
      </c>
    </row>
    <row r="24701" ht="16.5" customHeight="1">
      <c r="O24701" s="5" t="s">
        <v>355</v>
      </c>
      <c r="P24701" s="5" t="s">
        <v>355</v>
      </c>
      <c r="Q24701" s="5" t="s">
        <v>355</v>
      </c>
    </row>
    <row r="24702" ht="16.5" customHeight="1">
      <c r="O24702" s="5" t="s">
        <v>355</v>
      </c>
      <c r="P24702" s="5" t="s">
        <v>355</v>
      </c>
      <c r="Q24702" s="5" t="s">
        <v>355</v>
      </c>
    </row>
    <row r="24703" ht="16.5" customHeight="1">
      <c r="O24703" s="5" t="s">
        <v>355</v>
      </c>
      <c r="P24703" s="5" t="s">
        <v>355</v>
      </c>
      <c r="Q24703" s="5" t="s">
        <v>355</v>
      </c>
    </row>
    <row r="24704" ht="16.5" customHeight="1">
      <c r="O24704" s="5" t="s">
        <v>355</v>
      </c>
      <c r="P24704" s="5" t="s">
        <v>355</v>
      </c>
      <c r="Q24704" s="5" t="s">
        <v>355</v>
      </c>
    </row>
    <row r="24705" ht="16.5" customHeight="1">
      <c r="O24705" s="5" t="s">
        <v>355</v>
      </c>
      <c r="P24705" s="5" t="s">
        <v>355</v>
      </c>
      <c r="Q24705" s="5" t="s">
        <v>355</v>
      </c>
    </row>
    <row r="24706" ht="16.5" customHeight="1">
      <c r="O24706" s="5" t="s">
        <v>355</v>
      </c>
      <c r="P24706" s="5" t="s">
        <v>355</v>
      </c>
      <c r="Q24706" s="5" t="s">
        <v>355</v>
      </c>
    </row>
    <row r="24707" ht="16.5" customHeight="1">
      <c r="O24707" s="5" t="s">
        <v>355</v>
      </c>
      <c r="P24707" s="5" t="s">
        <v>355</v>
      </c>
      <c r="Q24707" s="5" t="s">
        <v>355</v>
      </c>
    </row>
    <row r="24708" ht="16.5" customHeight="1">
      <c r="O24708" s="5" t="s">
        <v>355</v>
      </c>
      <c r="P24708" s="5" t="s">
        <v>355</v>
      </c>
      <c r="Q24708" s="5" t="s">
        <v>355</v>
      </c>
    </row>
    <row r="24709" ht="16.5" customHeight="1">
      <c r="O24709" s="5" t="s">
        <v>355</v>
      </c>
      <c r="P24709" s="5" t="s">
        <v>355</v>
      </c>
      <c r="Q24709" s="5" t="s">
        <v>355</v>
      </c>
    </row>
    <row r="24710" ht="16.5" customHeight="1">
      <c r="O24710" s="5" t="s">
        <v>355</v>
      </c>
      <c r="P24710" s="5" t="s">
        <v>355</v>
      </c>
      <c r="Q24710" s="5" t="s">
        <v>355</v>
      </c>
    </row>
    <row r="24711" ht="16.5" customHeight="1">
      <c r="O24711" s="5" t="s">
        <v>355</v>
      </c>
      <c r="P24711" s="5" t="s">
        <v>355</v>
      </c>
      <c r="Q24711" s="5" t="s">
        <v>355</v>
      </c>
    </row>
    <row r="24712" ht="16.5" customHeight="1">
      <c r="O24712" s="5" t="s">
        <v>355</v>
      </c>
      <c r="P24712" s="5" t="s">
        <v>355</v>
      </c>
      <c r="Q24712" s="5" t="s">
        <v>355</v>
      </c>
    </row>
    <row r="24713" ht="16.5" customHeight="1">
      <c r="O24713" s="5" t="s">
        <v>355</v>
      </c>
      <c r="P24713" s="5" t="s">
        <v>355</v>
      </c>
      <c r="Q24713" s="5" t="s">
        <v>355</v>
      </c>
    </row>
    <row r="24714" ht="16.5" customHeight="1">
      <c r="O24714" s="5" t="s">
        <v>355</v>
      </c>
      <c r="P24714" s="5" t="s">
        <v>355</v>
      </c>
      <c r="Q24714" s="5" t="s">
        <v>355</v>
      </c>
    </row>
    <row r="24715" ht="16.5" customHeight="1">
      <c r="O24715" s="5" t="s">
        <v>355</v>
      </c>
      <c r="P24715" s="5" t="s">
        <v>355</v>
      </c>
      <c r="Q24715" s="5" t="s">
        <v>355</v>
      </c>
    </row>
    <row r="24716" ht="16.5" customHeight="1">
      <c r="O24716" s="5" t="s">
        <v>355</v>
      </c>
      <c r="P24716" s="5" t="s">
        <v>355</v>
      </c>
      <c r="Q24716" s="5" t="s">
        <v>355</v>
      </c>
    </row>
    <row r="24717" ht="16.5" customHeight="1">
      <c r="O24717" s="5" t="s">
        <v>355</v>
      </c>
      <c r="P24717" s="5" t="s">
        <v>355</v>
      </c>
      <c r="Q24717" s="5" t="s">
        <v>355</v>
      </c>
    </row>
    <row r="24718" ht="16.5" customHeight="1">
      <c r="O24718" s="5" t="s">
        <v>355</v>
      </c>
      <c r="P24718" s="5" t="s">
        <v>355</v>
      </c>
      <c r="Q24718" s="5" t="s">
        <v>355</v>
      </c>
    </row>
    <row r="24719" ht="16.5" customHeight="1">
      <c r="O24719" s="5" t="s">
        <v>355</v>
      </c>
      <c r="P24719" s="5" t="s">
        <v>355</v>
      </c>
      <c r="Q24719" s="5" t="s">
        <v>355</v>
      </c>
    </row>
    <row r="24720" ht="16.5" customHeight="1">
      <c r="O24720" s="5" t="s">
        <v>355</v>
      </c>
      <c r="P24720" s="5" t="s">
        <v>355</v>
      </c>
      <c r="Q24720" s="5" t="s">
        <v>355</v>
      </c>
    </row>
    <row r="24721" ht="16.5" customHeight="1">
      <c r="O24721" s="5" t="s">
        <v>355</v>
      </c>
      <c r="P24721" s="5" t="s">
        <v>355</v>
      </c>
      <c r="Q24721" s="5" t="s">
        <v>355</v>
      </c>
    </row>
    <row r="24722" ht="16.5" customHeight="1">
      <c r="O24722" s="5" t="s">
        <v>355</v>
      </c>
      <c r="P24722" s="5" t="s">
        <v>355</v>
      </c>
      <c r="Q24722" s="5" t="s">
        <v>355</v>
      </c>
    </row>
    <row r="24723" ht="16.5" customHeight="1">
      <c r="O24723" s="5" t="s">
        <v>355</v>
      </c>
      <c r="P24723" s="5" t="s">
        <v>355</v>
      </c>
      <c r="Q24723" s="5" t="s">
        <v>355</v>
      </c>
    </row>
    <row r="24724" ht="16.5" customHeight="1">
      <c r="O24724" s="5" t="s">
        <v>355</v>
      </c>
      <c r="P24724" s="5" t="s">
        <v>355</v>
      </c>
      <c r="Q24724" s="5" t="s">
        <v>355</v>
      </c>
    </row>
    <row r="24725" ht="16.5" customHeight="1">
      <c r="O24725" s="5" t="s">
        <v>355</v>
      </c>
      <c r="P24725" s="5" t="s">
        <v>355</v>
      </c>
      <c r="Q24725" s="5" t="s">
        <v>355</v>
      </c>
    </row>
    <row r="24726" ht="16.5" customHeight="1">
      <c r="O24726" s="5" t="s">
        <v>355</v>
      </c>
      <c r="P24726" s="5" t="s">
        <v>355</v>
      </c>
      <c r="Q24726" s="5" t="s">
        <v>355</v>
      </c>
    </row>
    <row r="24727" ht="16.5" customHeight="1">
      <c r="O24727" s="5" t="s">
        <v>355</v>
      </c>
      <c r="P24727" s="5" t="s">
        <v>355</v>
      </c>
      <c r="Q24727" s="5" t="s">
        <v>355</v>
      </c>
    </row>
    <row r="24728" ht="16.5" customHeight="1">
      <c r="O24728" s="5" t="s">
        <v>355</v>
      </c>
      <c r="P24728" s="5" t="s">
        <v>355</v>
      </c>
      <c r="Q24728" s="5" t="s">
        <v>355</v>
      </c>
    </row>
    <row r="24729" ht="16.5" customHeight="1">
      <c r="O24729" s="5" t="s">
        <v>355</v>
      </c>
      <c r="P24729" s="5" t="s">
        <v>355</v>
      </c>
      <c r="Q24729" s="5" t="s">
        <v>355</v>
      </c>
    </row>
    <row r="24730" ht="16.5" customHeight="1">
      <c r="O24730" s="5" t="s">
        <v>355</v>
      </c>
      <c r="P24730" s="5" t="s">
        <v>355</v>
      </c>
      <c r="Q24730" s="5" t="s">
        <v>355</v>
      </c>
    </row>
    <row r="24731" ht="16.5" customHeight="1">
      <c r="O24731" s="5" t="s">
        <v>355</v>
      </c>
      <c r="P24731" s="5" t="s">
        <v>355</v>
      </c>
      <c r="Q24731" s="5" t="s">
        <v>355</v>
      </c>
    </row>
    <row r="24732" ht="16.5" customHeight="1">
      <c r="O24732" s="5" t="s">
        <v>355</v>
      </c>
      <c r="P24732" s="5" t="s">
        <v>355</v>
      </c>
      <c r="Q24732" s="5" t="s">
        <v>355</v>
      </c>
    </row>
    <row r="24733" ht="16.5" customHeight="1">
      <c r="O24733" s="5" t="s">
        <v>355</v>
      </c>
      <c r="P24733" s="5" t="s">
        <v>355</v>
      </c>
      <c r="Q24733" s="5" t="s">
        <v>355</v>
      </c>
    </row>
    <row r="24734" ht="16.5" customHeight="1">
      <c r="O24734" s="5" t="s">
        <v>355</v>
      </c>
      <c r="P24734" s="5" t="s">
        <v>355</v>
      </c>
      <c r="Q24734" s="5" t="s">
        <v>355</v>
      </c>
    </row>
    <row r="24735" ht="16.5" customHeight="1">
      <c r="O24735" s="5" t="s">
        <v>355</v>
      </c>
      <c r="P24735" s="5" t="s">
        <v>355</v>
      </c>
      <c r="Q24735" s="5" t="s">
        <v>355</v>
      </c>
    </row>
    <row r="24736" ht="16.5" customHeight="1">
      <c r="O24736" s="5" t="s">
        <v>355</v>
      </c>
      <c r="P24736" s="5" t="s">
        <v>355</v>
      </c>
      <c r="Q24736" s="5" t="s">
        <v>355</v>
      </c>
    </row>
    <row r="24737" ht="16.5" customHeight="1">
      <c r="O24737" s="5" t="s">
        <v>355</v>
      </c>
      <c r="P24737" s="5" t="s">
        <v>355</v>
      </c>
      <c r="Q24737" s="5" t="s">
        <v>355</v>
      </c>
    </row>
    <row r="24738" ht="16.5" customHeight="1">
      <c r="O24738" s="5" t="s">
        <v>355</v>
      </c>
      <c r="P24738" s="5" t="s">
        <v>355</v>
      </c>
      <c r="Q24738" s="5" t="s">
        <v>355</v>
      </c>
    </row>
    <row r="24739" ht="16.5" customHeight="1">
      <c r="O24739" s="5" t="s">
        <v>355</v>
      </c>
      <c r="P24739" s="5" t="s">
        <v>355</v>
      </c>
      <c r="Q24739" s="5" t="s">
        <v>355</v>
      </c>
    </row>
    <row r="24740" ht="16.5" customHeight="1">
      <c r="O24740" s="5" t="s">
        <v>355</v>
      </c>
      <c r="P24740" s="5" t="s">
        <v>355</v>
      </c>
      <c r="Q24740" s="5" t="s">
        <v>355</v>
      </c>
    </row>
    <row r="24741" ht="16.5" customHeight="1">
      <c r="O24741" s="5" t="s">
        <v>355</v>
      </c>
      <c r="P24741" s="5" t="s">
        <v>355</v>
      </c>
      <c r="Q24741" s="5" t="s">
        <v>355</v>
      </c>
    </row>
    <row r="24742" ht="16.5" customHeight="1">
      <c r="O24742" s="5" t="s">
        <v>355</v>
      </c>
      <c r="P24742" s="5" t="s">
        <v>355</v>
      </c>
      <c r="Q24742" s="5" t="s">
        <v>355</v>
      </c>
    </row>
    <row r="24743" ht="16.5" customHeight="1">
      <c r="O24743" s="5" t="s">
        <v>355</v>
      </c>
      <c r="P24743" s="5" t="s">
        <v>355</v>
      </c>
      <c r="Q24743" s="5" t="s">
        <v>355</v>
      </c>
    </row>
    <row r="24744" ht="16.5" customHeight="1">
      <c r="O24744" s="5" t="s">
        <v>355</v>
      </c>
      <c r="P24744" s="5" t="s">
        <v>355</v>
      </c>
      <c r="Q24744" s="5" t="s">
        <v>355</v>
      </c>
    </row>
    <row r="24745" ht="16.5" customHeight="1">
      <c r="O24745" s="5" t="s">
        <v>355</v>
      </c>
      <c r="P24745" s="5" t="s">
        <v>355</v>
      </c>
      <c r="Q24745" s="5" t="s">
        <v>355</v>
      </c>
    </row>
    <row r="24746" ht="16.5" customHeight="1">
      <c r="O24746" s="5" t="s">
        <v>355</v>
      </c>
      <c r="P24746" s="5" t="s">
        <v>355</v>
      </c>
      <c r="Q24746" s="5" t="s">
        <v>355</v>
      </c>
    </row>
    <row r="24747" ht="16.5" customHeight="1">
      <c r="O24747" s="5" t="s">
        <v>355</v>
      </c>
      <c r="P24747" s="5" t="s">
        <v>355</v>
      </c>
      <c r="Q24747" s="5" t="s">
        <v>355</v>
      </c>
    </row>
    <row r="24748" ht="16.5" customHeight="1">
      <c r="O24748" s="5" t="s">
        <v>355</v>
      </c>
      <c r="P24748" s="5" t="s">
        <v>355</v>
      </c>
      <c r="Q24748" s="5" t="s">
        <v>355</v>
      </c>
    </row>
    <row r="24749" ht="16.5" customHeight="1">
      <c r="O24749" s="5" t="s">
        <v>355</v>
      </c>
      <c r="P24749" s="5" t="s">
        <v>355</v>
      </c>
      <c r="Q24749" s="5" t="s">
        <v>355</v>
      </c>
    </row>
    <row r="24750" ht="16.5" customHeight="1">
      <c r="O24750" s="5" t="s">
        <v>355</v>
      </c>
      <c r="P24750" s="5" t="s">
        <v>355</v>
      </c>
      <c r="Q24750" s="5" t="s">
        <v>355</v>
      </c>
    </row>
    <row r="24751" ht="16.5" customHeight="1">
      <c r="O24751" s="5" t="s">
        <v>355</v>
      </c>
      <c r="P24751" s="5" t="s">
        <v>355</v>
      </c>
      <c r="Q24751" s="5" t="s">
        <v>355</v>
      </c>
    </row>
    <row r="24752" ht="16.5" customHeight="1">
      <c r="O24752" s="5" t="s">
        <v>355</v>
      </c>
      <c r="P24752" s="5" t="s">
        <v>355</v>
      </c>
      <c r="Q24752" s="5" t="s">
        <v>355</v>
      </c>
    </row>
    <row r="24753" ht="16.5" customHeight="1">
      <c r="O24753" s="5" t="s">
        <v>355</v>
      </c>
      <c r="P24753" s="5" t="s">
        <v>355</v>
      </c>
      <c r="Q24753" s="5" t="s">
        <v>355</v>
      </c>
    </row>
    <row r="24754" ht="16.5" customHeight="1">
      <c r="O24754" s="5" t="s">
        <v>355</v>
      </c>
      <c r="P24754" s="5" t="s">
        <v>355</v>
      </c>
      <c r="Q24754" s="5" t="s">
        <v>355</v>
      </c>
    </row>
    <row r="24755" ht="16.5" customHeight="1">
      <c r="O24755" s="5" t="s">
        <v>355</v>
      </c>
      <c r="P24755" s="5" t="s">
        <v>355</v>
      </c>
      <c r="Q24755" s="5" t="s">
        <v>355</v>
      </c>
    </row>
    <row r="24756" ht="16.5" customHeight="1">
      <c r="O24756" s="5" t="s">
        <v>355</v>
      </c>
      <c r="P24756" s="5" t="s">
        <v>355</v>
      </c>
      <c r="Q24756" s="5" t="s">
        <v>355</v>
      </c>
    </row>
    <row r="24757" ht="16.5" customHeight="1">
      <c r="O24757" s="5" t="s">
        <v>355</v>
      </c>
      <c r="P24757" s="5" t="s">
        <v>355</v>
      </c>
      <c r="Q24757" s="5" t="s">
        <v>355</v>
      </c>
    </row>
    <row r="24758" ht="16.5" customHeight="1">
      <c r="O24758" s="5" t="s">
        <v>355</v>
      </c>
      <c r="P24758" s="5" t="s">
        <v>355</v>
      </c>
      <c r="Q24758" s="5" t="s">
        <v>355</v>
      </c>
    </row>
    <row r="24759" ht="16.5" customHeight="1">
      <c r="O24759" s="5" t="s">
        <v>355</v>
      </c>
      <c r="P24759" s="5" t="s">
        <v>355</v>
      </c>
      <c r="Q24759" s="5" t="s">
        <v>355</v>
      </c>
    </row>
    <row r="24760" ht="16.5" customHeight="1">
      <c r="O24760" s="5" t="s">
        <v>355</v>
      </c>
      <c r="P24760" s="5" t="s">
        <v>355</v>
      </c>
      <c r="Q24760" s="5" t="s">
        <v>355</v>
      </c>
    </row>
    <row r="24761" ht="16.5" customHeight="1">
      <c r="O24761" s="5" t="s">
        <v>355</v>
      </c>
      <c r="P24761" s="5" t="s">
        <v>355</v>
      </c>
      <c r="Q24761" s="5" t="s">
        <v>355</v>
      </c>
    </row>
    <row r="24762" ht="16.5" customHeight="1">
      <c r="O24762" s="5" t="s">
        <v>355</v>
      </c>
      <c r="P24762" s="5" t="s">
        <v>355</v>
      </c>
      <c r="Q24762" s="5" t="s">
        <v>355</v>
      </c>
    </row>
    <row r="24763" ht="16.5" customHeight="1">
      <c r="O24763" s="5" t="s">
        <v>355</v>
      </c>
      <c r="P24763" s="5" t="s">
        <v>355</v>
      </c>
      <c r="Q24763" s="5" t="s">
        <v>355</v>
      </c>
    </row>
    <row r="24764" ht="16.5" customHeight="1">
      <c r="O24764" s="5" t="s">
        <v>355</v>
      </c>
      <c r="P24764" s="5" t="s">
        <v>355</v>
      </c>
      <c r="Q24764" s="5" t="s">
        <v>355</v>
      </c>
    </row>
    <row r="24765" ht="16.5" customHeight="1">
      <c r="O24765" s="5" t="s">
        <v>355</v>
      </c>
      <c r="P24765" s="5" t="s">
        <v>355</v>
      </c>
      <c r="Q24765" s="5" t="s">
        <v>355</v>
      </c>
    </row>
    <row r="24766" ht="16.5" customHeight="1">
      <c r="O24766" s="5" t="s">
        <v>355</v>
      </c>
      <c r="P24766" s="5" t="s">
        <v>355</v>
      </c>
      <c r="Q24766" s="5" t="s">
        <v>355</v>
      </c>
    </row>
    <row r="24767" ht="16.5" customHeight="1">
      <c r="O24767" s="5" t="s">
        <v>355</v>
      </c>
      <c r="P24767" s="5" t="s">
        <v>355</v>
      </c>
      <c r="Q24767" s="5" t="s">
        <v>355</v>
      </c>
    </row>
    <row r="24768" ht="16.5" customHeight="1">
      <c r="O24768" s="5" t="s">
        <v>355</v>
      </c>
      <c r="P24768" s="5" t="s">
        <v>355</v>
      </c>
      <c r="Q24768" s="5" t="s">
        <v>355</v>
      </c>
    </row>
    <row r="24769" ht="16.5" customHeight="1">
      <c r="O24769" s="5" t="s">
        <v>355</v>
      </c>
      <c r="P24769" s="5" t="s">
        <v>355</v>
      </c>
      <c r="Q24769" s="5" t="s">
        <v>355</v>
      </c>
    </row>
    <row r="24770" ht="16.5" customHeight="1">
      <c r="O24770" s="5" t="s">
        <v>355</v>
      </c>
      <c r="P24770" s="5" t="s">
        <v>355</v>
      </c>
      <c r="Q24770" s="5" t="s">
        <v>355</v>
      </c>
    </row>
    <row r="24771" ht="16.5" customHeight="1">
      <c r="O24771" s="5" t="s">
        <v>355</v>
      </c>
      <c r="P24771" s="5" t="s">
        <v>355</v>
      </c>
      <c r="Q24771" s="5" t="s">
        <v>355</v>
      </c>
    </row>
    <row r="24772" ht="16.5" customHeight="1">
      <c r="O24772" s="5" t="s">
        <v>355</v>
      </c>
      <c r="P24772" s="5" t="s">
        <v>355</v>
      </c>
      <c r="Q24772" s="5" t="s">
        <v>355</v>
      </c>
    </row>
    <row r="24773" ht="16.5" customHeight="1">
      <c r="O24773" s="5" t="s">
        <v>355</v>
      </c>
      <c r="P24773" s="5" t="s">
        <v>355</v>
      </c>
      <c r="Q24773" s="5" t="s">
        <v>355</v>
      </c>
    </row>
    <row r="24774" ht="16.5" customHeight="1">
      <c r="O24774" s="5" t="s">
        <v>355</v>
      </c>
      <c r="P24774" s="5" t="s">
        <v>355</v>
      </c>
      <c r="Q24774" s="5" t="s">
        <v>355</v>
      </c>
    </row>
    <row r="24775" ht="16.5" customHeight="1">
      <c r="O24775" s="5" t="s">
        <v>355</v>
      </c>
      <c r="P24775" s="5" t="s">
        <v>355</v>
      </c>
      <c r="Q24775" s="5" t="s">
        <v>355</v>
      </c>
    </row>
    <row r="24776" ht="16.5" customHeight="1">
      <c r="O24776" s="5" t="s">
        <v>355</v>
      </c>
      <c r="P24776" s="5" t="s">
        <v>355</v>
      </c>
      <c r="Q24776" s="5" t="s">
        <v>355</v>
      </c>
    </row>
    <row r="24777" ht="16.5" customHeight="1">
      <c r="O24777" s="5" t="s">
        <v>355</v>
      </c>
      <c r="P24777" s="5" t="s">
        <v>355</v>
      </c>
      <c r="Q24777" s="5" t="s">
        <v>355</v>
      </c>
    </row>
    <row r="24778" ht="16.5" customHeight="1">
      <c r="O24778" s="5" t="s">
        <v>355</v>
      </c>
      <c r="P24778" s="5" t="s">
        <v>355</v>
      </c>
      <c r="Q24778" s="5" t="s">
        <v>355</v>
      </c>
    </row>
    <row r="24779" ht="16.5" customHeight="1">
      <c r="O24779" s="5" t="s">
        <v>355</v>
      </c>
      <c r="P24779" s="5" t="s">
        <v>355</v>
      </c>
      <c r="Q24779" s="5" t="s">
        <v>355</v>
      </c>
    </row>
    <row r="24780" ht="16.5" customHeight="1">
      <c r="O24780" s="5" t="s">
        <v>355</v>
      </c>
      <c r="P24780" s="5" t="s">
        <v>355</v>
      </c>
      <c r="Q24780" s="5" t="s">
        <v>355</v>
      </c>
    </row>
    <row r="24781" ht="16.5" customHeight="1">
      <c r="O24781" s="5" t="s">
        <v>355</v>
      </c>
      <c r="P24781" s="5" t="s">
        <v>355</v>
      </c>
      <c r="Q24781" s="5" t="s">
        <v>355</v>
      </c>
    </row>
    <row r="24782" ht="16.5" customHeight="1">
      <c r="O24782" s="5" t="s">
        <v>355</v>
      </c>
      <c r="P24782" s="5" t="s">
        <v>355</v>
      </c>
      <c r="Q24782" s="5" t="s">
        <v>355</v>
      </c>
    </row>
    <row r="24783" ht="16.5" customHeight="1">
      <c r="O24783" s="5" t="s">
        <v>355</v>
      </c>
      <c r="P24783" s="5" t="s">
        <v>355</v>
      </c>
      <c r="Q24783" s="5" t="s">
        <v>355</v>
      </c>
    </row>
    <row r="24784" ht="16.5" customHeight="1">
      <c r="O24784" s="5" t="s">
        <v>355</v>
      </c>
      <c r="P24784" s="5" t="s">
        <v>355</v>
      </c>
      <c r="Q24784" s="5" t="s">
        <v>355</v>
      </c>
    </row>
    <row r="24785" ht="16.5" customHeight="1">
      <c r="O24785" s="5" t="s">
        <v>355</v>
      </c>
      <c r="P24785" s="5" t="s">
        <v>355</v>
      </c>
      <c r="Q24785" s="5" t="s">
        <v>355</v>
      </c>
    </row>
    <row r="24786" ht="16.5" customHeight="1">
      <c r="O24786" s="5" t="s">
        <v>355</v>
      </c>
      <c r="P24786" s="5" t="s">
        <v>355</v>
      </c>
      <c r="Q24786" s="5" t="s">
        <v>355</v>
      </c>
    </row>
    <row r="24787" ht="16.5" customHeight="1">
      <c r="O24787" s="5" t="s">
        <v>355</v>
      </c>
      <c r="P24787" s="5" t="s">
        <v>355</v>
      </c>
      <c r="Q24787" s="5" t="s">
        <v>355</v>
      </c>
    </row>
    <row r="24788" ht="16.5" customHeight="1">
      <c r="O24788" s="5" t="s">
        <v>355</v>
      </c>
      <c r="P24788" s="5" t="s">
        <v>355</v>
      </c>
      <c r="Q24788" s="5" t="s">
        <v>355</v>
      </c>
    </row>
    <row r="24789" ht="16.5" customHeight="1">
      <c r="O24789" s="5" t="s">
        <v>355</v>
      </c>
      <c r="P24789" s="5" t="s">
        <v>355</v>
      </c>
      <c r="Q24789" s="5" t="s">
        <v>355</v>
      </c>
    </row>
    <row r="24790" ht="16.5" customHeight="1">
      <c r="O24790" s="5" t="s">
        <v>355</v>
      </c>
      <c r="P24790" s="5" t="s">
        <v>355</v>
      </c>
      <c r="Q24790" s="5" t="s">
        <v>355</v>
      </c>
    </row>
    <row r="24791" ht="16.5" customHeight="1">
      <c r="O24791" s="5" t="s">
        <v>355</v>
      </c>
      <c r="P24791" s="5" t="s">
        <v>355</v>
      </c>
      <c r="Q24791" s="5" t="s">
        <v>355</v>
      </c>
    </row>
    <row r="24792" ht="16.5" customHeight="1">
      <c r="O24792" s="5" t="s">
        <v>355</v>
      </c>
      <c r="P24792" s="5" t="s">
        <v>355</v>
      </c>
      <c r="Q24792" s="5" t="s">
        <v>355</v>
      </c>
    </row>
    <row r="24793" ht="16.5" customHeight="1">
      <c r="O24793" s="5" t="s">
        <v>355</v>
      </c>
      <c r="P24793" s="5" t="s">
        <v>355</v>
      </c>
      <c r="Q24793" s="5" t="s">
        <v>355</v>
      </c>
    </row>
    <row r="24794" ht="16.5" customHeight="1">
      <c r="O24794" s="5" t="s">
        <v>355</v>
      </c>
      <c r="P24794" s="5" t="s">
        <v>355</v>
      </c>
      <c r="Q24794" s="5" t="s">
        <v>355</v>
      </c>
    </row>
    <row r="24795" ht="16.5" customHeight="1">
      <c r="O24795" s="5" t="s">
        <v>355</v>
      </c>
      <c r="P24795" s="5" t="s">
        <v>355</v>
      </c>
      <c r="Q24795" s="5" t="s">
        <v>355</v>
      </c>
    </row>
    <row r="24796" ht="16.5" customHeight="1">
      <c r="O24796" s="5" t="s">
        <v>355</v>
      </c>
      <c r="P24796" s="5" t="s">
        <v>355</v>
      </c>
      <c r="Q24796" s="5" t="s">
        <v>355</v>
      </c>
    </row>
    <row r="24797" ht="16.5" customHeight="1">
      <c r="O24797" s="5" t="s">
        <v>355</v>
      </c>
      <c r="P24797" s="5" t="s">
        <v>355</v>
      </c>
      <c r="Q24797" s="5" t="s">
        <v>355</v>
      </c>
    </row>
    <row r="24798" ht="16.5" customHeight="1">
      <c r="O24798" s="5" t="s">
        <v>355</v>
      </c>
      <c r="P24798" s="5" t="s">
        <v>355</v>
      </c>
      <c r="Q24798" s="5" t="s">
        <v>355</v>
      </c>
    </row>
    <row r="24799" ht="16.5" customHeight="1">
      <c r="O24799" s="5" t="s">
        <v>355</v>
      </c>
      <c r="P24799" s="5" t="s">
        <v>355</v>
      </c>
      <c r="Q24799" s="5" t="s">
        <v>355</v>
      </c>
    </row>
    <row r="24800" ht="16.5" customHeight="1">
      <c r="O24800" s="5" t="s">
        <v>355</v>
      </c>
      <c r="P24800" s="5" t="s">
        <v>355</v>
      </c>
      <c r="Q24800" s="5" t="s">
        <v>355</v>
      </c>
    </row>
    <row r="24801" ht="16.5" customHeight="1">
      <c r="O24801" s="5" t="s">
        <v>355</v>
      </c>
      <c r="P24801" s="5" t="s">
        <v>355</v>
      </c>
      <c r="Q24801" s="5" t="s">
        <v>355</v>
      </c>
    </row>
    <row r="24802" ht="16.5" customHeight="1">
      <c r="O24802" s="5" t="s">
        <v>355</v>
      </c>
      <c r="P24802" s="5" t="s">
        <v>355</v>
      </c>
      <c r="Q24802" s="5" t="s">
        <v>355</v>
      </c>
    </row>
    <row r="24803" ht="16.5" customHeight="1">
      <c r="O24803" s="5" t="s">
        <v>355</v>
      </c>
      <c r="P24803" s="5" t="s">
        <v>355</v>
      </c>
      <c r="Q24803" s="5" t="s">
        <v>355</v>
      </c>
    </row>
    <row r="24804" ht="16.5" customHeight="1">
      <c r="O24804" s="5" t="s">
        <v>355</v>
      </c>
      <c r="P24804" s="5" t="s">
        <v>355</v>
      </c>
      <c r="Q24804" s="5" t="s">
        <v>355</v>
      </c>
    </row>
    <row r="24805" ht="16.5" customHeight="1">
      <c r="O24805" s="5" t="s">
        <v>355</v>
      </c>
      <c r="P24805" s="5" t="s">
        <v>355</v>
      </c>
      <c r="Q24805" s="5" t="s">
        <v>355</v>
      </c>
    </row>
    <row r="24806" ht="16.5" customHeight="1">
      <c r="O24806" s="5" t="s">
        <v>355</v>
      </c>
      <c r="P24806" s="5" t="s">
        <v>355</v>
      </c>
      <c r="Q24806" s="5" t="s">
        <v>355</v>
      </c>
    </row>
    <row r="24807" ht="16.5" customHeight="1">
      <c r="O24807" s="5" t="s">
        <v>355</v>
      </c>
      <c r="P24807" s="5" t="s">
        <v>355</v>
      </c>
      <c r="Q24807" s="5" t="s">
        <v>355</v>
      </c>
    </row>
    <row r="24808" ht="16.5" customHeight="1">
      <c r="O24808" s="5" t="s">
        <v>355</v>
      </c>
      <c r="P24808" s="5" t="s">
        <v>355</v>
      </c>
      <c r="Q24808" s="5" t="s">
        <v>355</v>
      </c>
    </row>
    <row r="24809" ht="16.5" customHeight="1">
      <c r="O24809" s="5" t="s">
        <v>355</v>
      </c>
      <c r="P24809" s="5" t="s">
        <v>355</v>
      </c>
      <c r="Q24809" s="5" t="s">
        <v>355</v>
      </c>
    </row>
    <row r="24810" ht="16.5" customHeight="1">
      <c r="O24810" s="5" t="s">
        <v>355</v>
      </c>
      <c r="P24810" s="5" t="s">
        <v>355</v>
      </c>
      <c r="Q24810" s="5" t="s">
        <v>355</v>
      </c>
    </row>
    <row r="24811" ht="16.5" customHeight="1">
      <c r="O24811" s="5" t="s">
        <v>355</v>
      </c>
      <c r="P24811" s="5" t="s">
        <v>355</v>
      </c>
      <c r="Q24811" s="5" t="s">
        <v>355</v>
      </c>
    </row>
    <row r="24812" ht="16.5" customHeight="1">
      <c r="O24812" s="5" t="s">
        <v>355</v>
      </c>
      <c r="P24812" s="5" t="s">
        <v>355</v>
      </c>
      <c r="Q24812" s="5" t="s">
        <v>355</v>
      </c>
    </row>
    <row r="24813" ht="16.5" customHeight="1">
      <c r="O24813" s="5" t="s">
        <v>355</v>
      </c>
      <c r="P24813" s="5" t="s">
        <v>355</v>
      </c>
      <c r="Q24813" s="5" t="s">
        <v>355</v>
      </c>
    </row>
    <row r="24814" ht="16.5" customHeight="1">
      <c r="O24814" s="5" t="s">
        <v>355</v>
      </c>
      <c r="P24814" s="5" t="s">
        <v>355</v>
      </c>
      <c r="Q24814" s="5" t="s">
        <v>355</v>
      </c>
    </row>
    <row r="24815" ht="16.5" customHeight="1">
      <c r="O24815" s="5" t="s">
        <v>355</v>
      </c>
      <c r="P24815" s="5" t="s">
        <v>355</v>
      </c>
      <c r="Q24815" s="5" t="s">
        <v>355</v>
      </c>
    </row>
    <row r="24816" ht="16.5" customHeight="1">
      <c r="O24816" s="5" t="s">
        <v>355</v>
      </c>
      <c r="P24816" s="5" t="s">
        <v>355</v>
      </c>
      <c r="Q24816" s="5" t="s">
        <v>355</v>
      </c>
    </row>
    <row r="24817" ht="16.5" customHeight="1">
      <c r="O24817" s="5" t="s">
        <v>355</v>
      </c>
      <c r="P24817" s="5" t="s">
        <v>355</v>
      </c>
      <c r="Q24817" s="5" t="s">
        <v>355</v>
      </c>
    </row>
    <row r="24818" ht="16.5" customHeight="1">
      <c r="O24818" s="5" t="s">
        <v>355</v>
      </c>
      <c r="P24818" s="5" t="s">
        <v>355</v>
      </c>
      <c r="Q24818" s="5" t="s">
        <v>355</v>
      </c>
    </row>
    <row r="24819" ht="16.5" customHeight="1">
      <c r="O24819" s="5" t="s">
        <v>355</v>
      </c>
      <c r="P24819" s="5" t="s">
        <v>355</v>
      </c>
      <c r="Q24819" s="5" t="s">
        <v>355</v>
      </c>
    </row>
    <row r="24820" ht="16.5" customHeight="1">
      <c r="O24820" s="5" t="s">
        <v>355</v>
      </c>
      <c r="P24820" s="5" t="s">
        <v>355</v>
      </c>
      <c r="Q24820" s="5" t="s">
        <v>355</v>
      </c>
    </row>
    <row r="24821" ht="16.5" customHeight="1">
      <c r="O24821" s="5" t="s">
        <v>355</v>
      </c>
      <c r="P24821" s="5" t="s">
        <v>355</v>
      </c>
      <c r="Q24821" s="5" t="s">
        <v>355</v>
      </c>
    </row>
    <row r="24822" ht="16.5" customHeight="1">
      <c r="O24822" s="5" t="s">
        <v>355</v>
      </c>
      <c r="P24822" s="5" t="s">
        <v>355</v>
      </c>
      <c r="Q24822" s="5" t="s">
        <v>355</v>
      </c>
    </row>
    <row r="24823" ht="16.5" customHeight="1">
      <c r="O24823" s="5" t="s">
        <v>355</v>
      </c>
      <c r="P24823" s="5" t="s">
        <v>355</v>
      </c>
      <c r="Q24823" s="5" t="s">
        <v>355</v>
      </c>
    </row>
    <row r="24824" ht="16.5" customHeight="1">
      <c r="O24824" s="5" t="s">
        <v>355</v>
      </c>
      <c r="P24824" s="5" t="s">
        <v>355</v>
      </c>
      <c r="Q24824" s="5" t="s">
        <v>355</v>
      </c>
    </row>
    <row r="24825" ht="16.5" customHeight="1">
      <c r="O24825" s="5" t="s">
        <v>355</v>
      </c>
      <c r="P24825" s="5" t="s">
        <v>355</v>
      </c>
      <c r="Q24825" s="5" t="s">
        <v>355</v>
      </c>
    </row>
    <row r="24826" ht="16.5" customHeight="1">
      <c r="O24826" s="5" t="s">
        <v>355</v>
      </c>
      <c r="P24826" s="5" t="s">
        <v>355</v>
      </c>
      <c r="Q24826" s="5" t="s">
        <v>355</v>
      </c>
    </row>
    <row r="24827" ht="16.5" customHeight="1">
      <c r="O24827" s="5" t="s">
        <v>355</v>
      </c>
      <c r="P24827" s="5" t="s">
        <v>355</v>
      </c>
      <c r="Q24827" s="5" t="s">
        <v>355</v>
      </c>
    </row>
    <row r="24828" ht="16.5" customHeight="1">
      <c r="O24828" s="5" t="s">
        <v>355</v>
      </c>
      <c r="P24828" s="5" t="s">
        <v>355</v>
      </c>
      <c r="Q24828" s="5" t="s">
        <v>355</v>
      </c>
    </row>
    <row r="24829" ht="16.5" customHeight="1">
      <c r="O24829" s="5" t="s">
        <v>355</v>
      </c>
      <c r="P24829" s="5" t="s">
        <v>355</v>
      </c>
      <c r="Q24829" s="5" t="s">
        <v>355</v>
      </c>
    </row>
    <row r="24830" ht="16.5" customHeight="1">
      <c r="O24830" s="5" t="s">
        <v>355</v>
      </c>
      <c r="P24830" s="5" t="s">
        <v>355</v>
      </c>
      <c r="Q24830" s="5" t="s">
        <v>355</v>
      </c>
    </row>
    <row r="24831" ht="16.5" customHeight="1">
      <c r="O24831" s="5" t="s">
        <v>355</v>
      </c>
      <c r="P24831" s="5" t="s">
        <v>355</v>
      </c>
      <c r="Q24831" s="5" t="s">
        <v>355</v>
      </c>
    </row>
    <row r="24832" ht="16.5" customHeight="1">
      <c r="O24832" s="5" t="s">
        <v>355</v>
      </c>
      <c r="P24832" s="5" t="s">
        <v>355</v>
      </c>
      <c r="Q24832" s="5" t="s">
        <v>355</v>
      </c>
    </row>
    <row r="24833" ht="16.5" customHeight="1">
      <c r="O24833" s="5" t="s">
        <v>355</v>
      </c>
      <c r="P24833" s="5" t="s">
        <v>355</v>
      </c>
      <c r="Q24833" s="5" t="s">
        <v>355</v>
      </c>
    </row>
    <row r="24834" ht="16.5" customHeight="1">
      <c r="O24834" s="5" t="s">
        <v>355</v>
      </c>
      <c r="P24834" s="5" t="s">
        <v>355</v>
      </c>
      <c r="Q24834" s="5" t="s">
        <v>355</v>
      </c>
    </row>
    <row r="24835" ht="16.5" customHeight="1">
      <c r="O24835" s="5" t="s">
        <v>355</v>
      </c>
      <c r="P24835" s="5" t="s">
        <v>355</v>
      </c>
      <c r="Q24835" s="5" t="s">
        <v>355</v>
      </c>
    </row>
    <row r="24836" ht="16.5" customHeight="1">
      <c r="O24836" s="5" t="s">
        <v>355</v>
      </c>
      <c r="P24836" s="5" t="s">
        <v>355</v>
      </c>
      <c r="Q24836" s="5" t="s">
        <v>355</v>
      </c>
    </row>
    <row r="24837" ht="16.5" customHeight="1">
      <c r="O24837" s="5" t="s">
        <v>355</v>
      </c>
      <c r="P24837" s="5" t="s">
        <v>355</v>
      </c>
      <c r="Q24837" s="5" t="s">
        <v>355</v>
      </c>
    </row>
    <row r="24838" ht="16.5" customHeight="1">
      <c r="O24838" s="5" t="s">
        <v>355</v>
      </c>
      <c r="P24838" s="5" t="s">
        <v>355</v>
      </c>
      <c r="Q24838" s="5" t="s">
        <v>355</v>
      </c>
    </row>
    <row r="24839" ht="16.5" customHeight="1">
      <c r="O24839" s="5" t="s">
        <v>355</v>
      </c>
      <c r="P24839" s="5" t="s">
        <v>355</v>
      </c>
      <c r="Q24839" s="5" t="s">
        <v>355</v>
      </c>
    </row>
    <row r="24840" ht="16.5" customHeight="1">
      <c r="O24840" s="5" t="s">
        <v>355</v>
      </c>
      <c r="P24840" s="5" t="s">
        <v>355</v>
      </c>
      <c r="Q24840" s="5" t="s">
        <v>355</v>
      </c>
    </row>
    <row r="24841" ht="16.5" customHeight="1">
      <c r="O24841" s="5" t="s">
        <v>355</v>
      </c>
      <c r="P24841" s="5" t="s">
        <v>355</v>
      </c>
      <c r="Q24841" s="5" t="s">
        <v>355</v>
      </c>
    </row>
    <row r="24842" ht="16.5" customHeight="1">
      <c r="O24842" s="5" t="s">
        <v>355</v>
      </c>
      <c r="P24842" s="5" t="s">
        <v>355</v>
      </c>
      <c r="Q24842" s="5" t="s">
        <v>355</v>
      </c>
    </row>
    <row r="24843" ht="16.5" customHeight="1">
      <c r="O24843" s="5" t="s">
        <v>355</v>
      </c>
      <c r="P24843" s="5" t="s">
        <v>355</v>
      </c>
      <c r="Q24843" s="5" t="s">
        <v>355</v>
      </c>
    </row>
    <row r="24844" ht="16.5" customHeight="1">
      <c r="O24844" s="5" t="s">
        <v>355</v>
      </c>
      <c r="P24844" s="5" t="s">
        <v>355</v>
      </c>
      <c r="Q24844" s="5" t="s">
        <v>355</v>
      </c>
    </row>
    <row r="24845" ht="16.5" customHeight="1">
      <c r="O24845" s="5" t="s">
        <v>355</v>
      </c>
      <c r="P24845" s="5" t="s">
        <v>355</v>
      </c>
      <c r="Q24845" s="5" t="s">
        <v>355</v>
      </c>
    </row>
    <row r="24846" ht="16.5" customHeight="1">
      <c r="O24846" s="5" t="s">
        <v>355</v>
      </c>
      <c r="P24846" s="5" t="s">
        <v>355</v>
      </c>
      <c r="Q24846" s="5" t="s">
        <v>355</v>
      </c>
    </row>
    <row r="24847" ht="16.5" customHeight="1">
      <c r="O24847" s="5" t="s">
        <v>355</v>
      </c>
      <c r="P24847" s="5" t="s">
        <v>355</v>
      </c>
      <c r="Q24847" s="5" t="s">
        <v>355</v>
      </c>
    </row>
    <row r="24848" ht="16.5" customHeight="1">
      <c r="O24848" s="5" t="s">
        <v>355</v>
      </c>
      <c r="P24848" s="5" t="s">
        <v>355</v>
      </c>
      <c r="Q24848" s="5" t="s">
        <v>355</v>
      </c>
    </row>
    <row r="24849" ht="16.5" customHeight="1">
      <c r="O24849" s="5" t="s">
        <v>355</v>
      </c>
      <c r="P24849" s="5" t="s">
        <v>355</v>
      </c>
      <c r="Q24849" s="5" t="s">
        <v>355</v>
      </c>
    </row>
    <row r="24850" ht="16.5" customHeight="1">
      <c r="O24850" s="5" t="s">
        <v>355</v>
      </c>
      <c r="P24850" s="5" t="s">
        <v>355</v>
      </c>
      <c r="Q24850" s="5" t="s">
        <v>355</v>
      </c>
    </row>
    <row r="24851" ht="16.5" customHeight="1">
      <c r="O24851" s="5" t="s">
        <v>355</v>
      </c>
      <c r="P24851" s="5" t="s">
        <v>355</v>
      </c>
      <c r="Q24851" s="5" t="s">
        <v>355</v>
      </c>
    </row>
    <row r="24852" ht="16.5" customHeight="1">
      <c r="O24852" s="5" t="s">
        <v>355</v>
      </c>
      <c r="P24852" s="5" t="s">
        <v>355</v>
      </c>
      <c r="Q24852" s="5" t="s">
        <v>355</v>
      </c>
    </row>
    <row r="24853" ht="16.5" customHeight="1">
      <c r="O24853" s="5" t="s">
        <v>355</v>
      </c>
      <c r="P24853" s="5" t="s">
        <v>355</v>
      </c>
      <c r="Q24853" s="5" t="s">
        <v>355</v>
      </c>
    </row>
    <row r="24854" ht="16.5" customHeight="1">
      <c r="O24854" s="5" t="s">
        <v>355</v>
      </c>
      <c r="P24854" s="5" t="s">
        <v>355</v>
      </c>
      <c r="Q24854" s="5" t="s">
        <v>355</v>
      </c>
    </row>
    <row r="24855" ht="16.5" customHeight="1">
      <c r="O24855" s="5" t="s">
        <v>355</v>
      </c>
      <c r="P24855" s="5" t="s">
        <v>355</v>
      </c>
      <c r="Q24855" s="5" t="s">
        <v>355</v>
      </c>
    </row>
    <row r="24856" ht="16.5" customHeight="1">
      <c r="O24856" s="5" t="s">
        <v>355</v>
      </c>
      <c r="P24856" s="5" t="s">
        <v>355</v>
      </c>
      <c r="Q24856" s="5" t="s">
        <v>355</v>
      </c>
    </row>
    <row r="24857" ht="16.5" customHeight="1">
      <c r="O24857" s="5" t="s">
        <v>355</v>
      </c>
      <c r="P24857" s="5" t="s">
        <v>355</v>
      </c>
      <c r="Q24857" s="5" t="s">
        <v>355</v>
      </c>
    </row>
    <row r="24858" ht="16.5" customHeight="1">
      <c r="O24858" s="5" t="s">
        <v>355</v>
      </c>
      <c r="P24858" s="5" t="s">
        <v>355</v>
      </c>
      <c r="Q24858" s="5" t="s">
        <v>355</v>
      </c>
    </row>
    <row r="24859" ht="16.5" customHeight="1">
      <c r="O24859" s="5" t="s">
        <v>355</v>
      </c>
      <c r="P24859" s="5" t="s">
        <v>355</v>
      </c>
      <c r="Q24859" s="5" t="s">
        <v>355</v>
      </c>
    </row>
    <row r="24860" ht="16.5" customHeight="1">
      <c r="O24860" s="5" t="s">
        <v>355</v>
      </c>
      <c r="P24860" s="5" t="s">
        <v>355</v>
      </c>
      <c r="Q24860" s="5" t="s">
        <v>355</v>
      </c>
    </row>
    <row r="24861" ht="16.5" customHeight="1">
      <c r="O24861" s="5" t="s">
        <v>355</v>
      </c>
      <c r="P24861" s="5" t="s">
        <v>355</v>
      </c>
      <c r="Q24861" s="5" t="s">
        <v>355</v>
      </c>
    </row>
    <row r="24862" ht="16.5" customHeight="1">
      <c r="O24862" s="5" t="s">
        <v>355</v>
      </c>
      <c r="P24862" s="5" t="s">
        <v>355</v>
      </c>
      <c r="Q24862" s="5" t="s">
        <v>355</v>
      </c>
    </row>
    <row r="24863" ht="16.5" customHeight="1">
      <c r="O24863" s="5" t="s">
        <v>355</v>
      </c>
      <c r="P24863" s="5" t="s">
        <v>355</v>
      </c>
      <c r="Q24863" s="5" t="s">
        <v>355</v>
      </c>
    </row>
    <row r="24864" ht="16.5" customHeight="1">
      <c r="O24864" s="5" t="s">
        <v>355</v>
      </c>
      <c r="P24864" s="5" t="s">
        <v>355</v>
      </c>
      <c r="Q24864" s="5" t="s">
        <v>355</v>
      </c>
    </row>
    <row r="24865" ht="16.5" customHeight="1">
      <c r="O24865" s="5" t="s">
        <v>355</v>
      </c>
      <c r="P24865" s="5" t="s">
        <v>355</v>
      </c>
      <c r="Q24865" s="5" t="s">
        <v>355</v>
      </c>
    </row>
    <row r="24866" ht="16.5" customHeight="1">
      <c r="O24866" s="5" t="s">
        <v>355</v>
      </c>
      <c r="P24866" s="5" t="s">
        <v>355</v>
      </c>
      <c r="Q24866" s="5" t="s">
        <v>355</v>
      </c>
    </row>
    <row r="24867" ht="16.5" customHeight="1">
      <c r="O24867" s="5" t="s">
        <v>355</v>
      </c>
      <c r="P24867" s="5" t="s">
        <v>355</v>
      </c>
      <c r="Q24867" s="5" t="s">
        <v>355</v>
      </c>
    </row>
    <row r="24868" ht="16.5" customHeight="1">
      <c r="O24868" s="5" t="s">
        <v>355</v>
      </c>
      <c r="P24868" s="5" t="s">
        <v>355</v>
      </c>
      <c r="Q24868" s="5" t="s">
        <v>355</v>
      </c>
    </row>
    <row r="24869" ht="16.5" customHeight="1">
      <c r="O24869" s="5" t="s">
        <v>355</v>
      </c>
      <c r="P24869" s="5" t="s">
        <v>355</v>
      </c>
      <c r="Q24869" s="5" t="s">
        <v>355</v>
      </c>
    </row>
    <row r="24870" ht="16.5" customHeight="1">
      <c r="O24870" s="5" t="s">
        <v>355</v>
      </c>
      <c r="P24870" s="5" t="s">
        <v>355</v>
      </c>
      <c r="Q24870" s="5" t="s">
        <v>355</v>
      </c>
    </row>
    <row r="24871" ht="16.5" customHeight="1">
      <c r="O24871" s="5" t="s">
        <v>355</v>
      </c>
      <c r="P24871" s="5" t="s">
        <v>355</v>
      </c>
      <c r="Q24871" s="5" t="s">
        <v>355</v>
      </c>
    </row>
    <row r="24872" ht="16.5" customHeight="1">
      <c r="O24872" s="5" t="s">
        <v>355</v>
      </c>
      <c r="P24872" s="5" t="s">
        <v>355</v>
      </c>
      <c r="Q24872" s="5" t="s">
        <v>355</v>
      </c>
    </row>
    <row r="24873" ht="16.5" customHeight="1">
      <c r="O24873" s="5" t="s">
        <v>355</v>
      </c>
      <c r="P24873" s="5" t="s">
        <v>355</v>
      </c>
      <c r="Q24873" s="5" t="s">
        <v>355</v>
      </c>
    </row>
    <row r="24874" ht="16.5" customHeight="1">
      <c r="O24874" s="5" t="s">
        <v>355</v>
      </c>
      <c r="P24874" s="5" t="s">
        <v>355</v>
      </c>
      <c r="Q24874" s="5" t="s">
        <v>355</v>
      </c>
    </row>
    <row r="24875" ht="16.5" customHeight="1">
      <c r="O24875" s="5" t="s">
        <v>355</v>
      </c>
      <c r="P24875" s="5" t="s">
        <v>355</v>
      </c>
      <c r="Q24875" s="5" t="s">
        <v>355</v>
      </c>
    </row>
    <row r="24876" ht="16.5" customHeight="1">
      <c r="O24876" s="5" t="s">
        <v>355</v>
      </c>
      <c r="P24876" s="5" t="s">
        <v>355</v>
      </c>
      <c r="Q24876" s="5" t="s">
        <v>355</v>
      </c>
    </row>
    <row r="24877" ht="16.5" customHeight="1">
      <c r="O24877" s="5" t="s">
        <v>355</v>
      </c>
      <c r="P24877" s="5" t="s">
        <v>355</v>
      </c>
      <c r="Q24877" s="5" t="s">
        <v>355</v>
      </c>
    </row>
    <row r="24878" ht="16.5" customHeight="1">
      <c r="O24878" s="5" t="s">
        <v>355</v>
      </c>
      <c r="P24878" s="5" t="s">
        <v>355</v>
      </c>
      <c r="Q24878" s="5" t="s">
        <v>355</v>
      </c>
    </row>
    <row r="24879" ht="16.5" customHeight="1">
      <c r="O24879" s="5" t="s">
        <v>355</v>
      </c>
      <c r="P24879" s="5" t="s">
        <v>355</v>
      </c>
      <c r="Q24879" s="5" t="s">
        <v>355</v>
      </c>
    </row>
    <row r="24880" ht="16.5" customHeight="1">
      <c r="O24880" s="5" t="s">
        <v>355</v>
      </c>
      <c r="P24880" s="5" t="s">
        <v>355</v>
      </c>
      <c r="Q24880" s="5" t="s">
        <v>355</v>
      </c>
    </row>
    <row r="24881" ht="16.5" customHeight="1">
      <c r="O24881" s="5" t="s">
        <v>355</v>
      </c>
      <c r="P24881" s="5" t="s">
        <v>355</v>
      </c>
      <c r="Q24881" s="5" t="s">
        <v>355</v>
      </c>
    </row>
    <row r="24882" ht="16.5" customHeight="1">
      <c r="O24882" s="5" t="s">
        <v>355</v>
      </c>
      <c r="P24882" s="5" t="s">
        <v>355</v>
      </c>
      <c r="Q24882" s="5" t="s">
        <v>355</v>
      </c>
    </row>
    <row r="24883" ht="16.5" customHeight="1">
      <c r="O24883" s="5" t="s">
        <v>355</v>
      </c>
      <c r="P24883" s="5" t="s">
        <v>355</v>
      </c>
      <c r="Q24883" s="5" t="s">
        <v>355</v>
      </c>
    </row>
    <row r="24884" ht="16.5" customHeight="1">
      <c r="O24884" s="5" t="s">
        <v>355</v>
      </c>
      <c r="P24884" s="5" t="s">
        <v>355</v>
      </c>
      <c r="Q24884" s="5" t="s">
        <v>355</v>
      </c>
    </row>
    <row r="24885" ht="16.5" customHeight="1">
      <c r="O24885" s="5" t="s">
        <v>355</v>
      </c>
      <c r="P24885" s="5" t="s">
        <v>355</v>
      </c>
      <c r="Q24885" s="5" t="s">
        <v>355</v>
      </c>
    </row>
    <row r="24886" ht="16.5" customHeight="1">
      <c r="O24886" s="5" t="s">
        <v>355</v>
      </c>
      <c r="P24886" s="5" t="s">
        <v>355</v>
      </c>
      <c r="Q24886" s="5" t="s">
        <v>355</v>
      </c>
    </row>
    <row r="24887" ht="16.5" customHeight="1">
      <c r="O24887" s="5" t="s">
        <v>355</v>
      </c>
      <c r="P24887" s="5" t="s">
        <v>355</v>
      </c>
      <c r="Q24887" s="5" t="s">
        <v>355</v>
      </c>
    </row>
    <row r="24888" ht="16.5" customHeight="1">
      <c r="O24888" s="5" t="s">
        <v>355</v>
      </c>
      <c r="P24888" s="5" t="s">
        <v>355</v>
      </c>
      <c r="Q24888" s="5" t="s">
        <v>355</v>
      </c>
    </row>
    <row r="24889" ht="16.5" customHeight="1">
      <c r="O24889" s="5" t="s">
        <v>355</v>
      </c>
      <c r="P24889" s="5" t="s">
        <v>355</v>
      </c>
      <c r="Q24889" s="5" t="s">
        <v>355</v>
      </c>
    </row>
    <row r="24890" ht="16.5" customHeight="1">
      <c r="O24890" s="5" t="s">
        <v>355</v>
      </c>
      <c r="P24890" s="5" t="s">
        <v>355</v>
      </c>
      <c r="Q24890" s="5" t="s">
        <v>355</v>
      </c>
    </row>
    <row r="24891" ht="16.5" customHeight="1">
      <c r="O24891" s="5" t="s">
        <v>355</v>
      </c>
      <c r="P24891" s="5" t="s">
        <v>355</v>
      </c>
      <c r="Q24891" s="5" t="s">
        <v>355</v>
      </c>
    </row>
    <row r="24892" ht="16.5" customHeight="1">
      <c r="O24892" s="5" t="s">
        <v>355</v>
      </c>
      <c r="P24892" s="5" t="s">
        <v>355</v>
      </c>
      <c r="Q24892" s="5" t="s">
        <v>355</v>
      </c>
    </row>
    <row r="24893" ht="16.5" customHeight="1">
      <c r="O24893" s="5" t="s">
        <v>355</v>
      </c>
      <c r="P24893" s="5" t="s">
        <v>355</v>
      </c>
      <c r="Q24893" s="5" t="s">
        <v>355</v>
      </c>
    </row>
    <row r="24894" ht="16.5" customHeight="1">
      <c r="O24894" s="5" t="s">
        <v>355</v>
      </c>
      <c r="P24894" s="5" t="s">
        <v>355</v>
      </c>
      <c r="Q24894" s="5" t="s">
        <v>355</v>
      </c>
    </row>
    <row r="24895" ht="16.5" customHeight="1">
      <c r="O24895" s="5" t="s">
        <v>355</v>
      </c>
      <c r="P24895" s="5" t="s">
        <v>355</v>
      </c>
      <c r="Q24895" s="5" t="s">
        <v>355</v>
      </c>
    </row>
    <row r="24896" ht="16.5" customHeight="1">
      <c r="O24896" s="5" t="s">
        <v>355</v>
      </c>
      <c r="P24896" s="5" t="s">
        <v>355</v>
      </c>
      <c r="Q24896" s="5" t="s">
        <v>355</v>
      </c>
    </row>
    <row r="24897" ht="16.5" customHeight="1">
      <c r="O24897" s="5" t="s">
        <v>355</v>
      </c>
      <c r="P24897" s="5" t="s">
        <v>355</v>
      </c>
      <c r="Q24897" s="5" t="s">
        <v>355</v>
      </c>
    </row>
    <row r="24898" ht="16.5" customHeight="1">
      <c r="O24898" s="5" t="s">
        <v>355</v>
      </c>
      <c r="P24898" s="5" t="s">
        <v>355</v>
      </c>
      <c r="Q24898" s="5" t="s">
        <v>355</v>
      </c>
    </row>
    <row r="24899" ht="16.5" customHeight="1">
      <c r="O24899" s="5" t="s">
        <v>355</v>
      </c>
      <c r="P24899" s="5" t="s">
        <v>355</v>
      </c>
      <c r="Q24899" s="5" t="s">
        <v>355</v>
      </c>
    </row>
    <row r="24900" ht="16.5" customHeight="1">
      <c r="O24900" s="5" t="s">
        <v>355</v>
      </c>
      <c r="P24900" s="5" t="s">
        <v>355</v>
      </c>
      <c r="Q24900" s="5" t="s">
        <v>355</v>
      </c>
    </row>
    <row r="24901" ht="16.5" customHeight="1">
      <c r="O24901" s="5" t="s">
        <v>355</v>
      </c>
      <c r="P24901" s="5" t="s">
        <v>355</v>
      </c>
      <c r="Q24901" s="5" t="s">
        <v>355</v>
      </c>
    </row>
    <row r="24902" ht="16.5" customHeight="1">
      <c r="O24902" s="5" t="s">
        <v>355</v>
      </c>
      <c r="P24902" s="5" t="s">
        <v>355</v>
      </c>
      <c r="Q24902" s="5" t="s">
        <v>355</v>
      </c>
    </row>
    <row r="24903" ht="16.5" customHeight="1">
      <c r="O24903" s="5" t="s">
        <v>355</v>
      </c>
      <c r="P24903" s="5" t="s">
        <v>355</v>
      </c>
      <c r="Q24903" s="5" t="s">
        <v>355</v>
      </c>
    </row>
    <row r="24904" ht="16.5" customHeight="1">
      <c r="O24904" s="5" t="s">
        <v>355</v>
      </c>
      <c r="P24904" s="5" t="s">
        <v>355</v>
      </c>
      <c r="Q24904" s="5" t="s">
        <v>355</v>
      </c>
    </row>
    <row r="24905" ht="16.5" customHeight="1">
      <c r="O24905" s="5" t="s">
        <v>355</v>
      </c>
      <c r="P24905" s="5" t="s">
        <v>355</v>
      </c>
      <c r="Q24905" s="5" t="s">
        <v>355</v>
      </c>
    </row>
    <row r="24906" ht="16.5" customHeight="1">
      <c r="O24906" s="5" t="s">
        <v>355</v>
      </c>
      <c r="P24906" s="5" t="s">
        <v>355</v>
      </c>
      <c r="Q24906" s="5" t="s">
        <v>355</v>
      </c>
    </row>
    <row r="24907" ht="16.5" customHeight="1">
      <c r="O24907" s="5" t="s">
        <v>355</v>
      </c>
      <c r="P24907" s="5" t="s">
        <v>355</v>
      </c>
      <c r="Q24907" s="5" t="s">
        <v>355</v>
      </c>
    </row>
    <row r="24908" ht="16.5" customHeight="1">
      <c r="O24908" s="5" t="s">
        <v>355</v>
      </c>
      <c r="P24908" s="5" t="s">
        <v>355</v>
      </c>
      <c r="Q24908" s="5" t="s">
        <v>355</v>
      </c>
    </row>
    <row r="24909" ht="16.5" customHeight="1">
      <c r="O24909" s="5" t="s">
        <v>355</v>
      </c>
      <c r="P24909" s="5" t="s">
        <v>355</v>
      </c>
      <c r="Q24909" s="5" t="s">
        <v>355</v>
      </c>
    </row>
    <row r="24910" ht="16.5" customHeight="1">
      <c r="O24910" s="5" t="s">
        <v>355</v>
      </c>
      <c r="P24910" s="5" t="s">
        <v>355</v>
      </c>
      <c r="Q24910" s="5" t="s">
        <v>355</v>
      </c>
    </row>
    <row r="24911" ht="16.5" customHeight="1">
      <c r="O24911" s="5" t="s">
        <v>355</v>
      </c>
      <c r="P24911" s="5" t="s">
        <v>355</v>
      </c>
      <c r="Q24911" s="5" t="s">
        <v>355</v>
      </c>
    </row>
    <row r="24912" ht="16.5" customHeight="1">
      <c r="O24912" s="5" t="s">
        <v>355</v>
      </c>
      <c r="P24912" s="5" t="s">
        <v>355</v>
      </c>
      <c r="Q24912" s="5" t="s">
        <v>355</v>
      </c>
    </row>
    <row r="24913" ht="16.5" customHeight="1">
      <c r="O24913" s="5" t="s">
        <v>355</v>
      </c>
      <c r="P24913" s="5" t="s">
        <v>355</v>
      </c>
      <c r="Q24913" s="5" t="s">
        <v>355</v>
      </c>
    </row>
    <row r="24914" ht="16.5" customHeight="1">
      <c r="O24914" s="5" t="s">
        <v>355</v>
      </c>
      <c r="P24914" s="5" t="s">
        <v>355</v>
      </c>
      <c r="Q24914" s="5" t="s">
        <v>355</v>
      </c>
    </row>
    <row r="24915" ht="16.5" customHeight="1">
      <c r="O24915" s="5" t="s">
        <v>355</v>
      </c>
      <c r="P24915" s="5" t="s">
        <v>355</v>
      </c>
      <c r="Q24915" s="5" t="s">
        <v>355</v>
      </c>
    </row>
    <row r="24916" ht="16.5" customHeight="1">
      <c r="O24916" s="5" t="s">
        <v>355</v>
      </c>
      <c r="P24916" s="5" t="s">
        <v>355</v>
      </c>
      <c r="Q24916" s="5" t="s">
        <v>355</v>
      </c>
    </row>
    <row r="24917" ht="16.5" customHeight="1">
      <c r="O24917" s="5" t="s">
        <v>355</v>
      </c>
      <c r="P24917" s="5" t="s">
        <v>355</v>
      </c>
      <c r="Q24917" s="5" t="s">
        <v>355</v>
      </c>
    </row>
    <row r="24918" ht="16.5" customHeight="1">
      <c r="O24918" s="5" t="s">
        <v>355</v>
      </c>
      <c r="P24918" s="5" t="s">
        <v>355</v>
      </c>
      <c r="Q24918" s="5" t="s">
        <v>355</v>
      </c>
    </row>
    <row r="24919" ht="16.5" customHeight="1">
      <c r="O24919" s="5" t="s">
        <v>355</v>
      </c>
      <c r="P24919" s="5" t="s">
        <v>355</v>
      </c>
      <c r="Q24919" s="5" t="s">
        <v>355</v>
      </c>
    </row>
    <row r="24920" ht="16.5" customHeight="1">
      <c r="O24920" s="5" t="s">
        <v>355</v>
      </c>
      <c r="P24920" s="5" t="s">
        <v>355</v>
      </c>
      <c r="Q24920" s="5" t="s">
        <v>355</v>
      </c>
    </row>
    <row r="24921" ht="16.5" customHeight="1">
      <c r="O24921" s="5" t="s">
        <v>355</v>
      </c>
      <c r="P24921" s="5" t="s">
        <v>355</v>
      </c>
      <c r="Q24921" s="5" t="s">
        <v>355</v>
      </c>
    </row>
    <row r="24922" ht="16.5" customHeight="1">
      <c r="O24922" s="5" t="s">
        <v>355</v>
      </c>
      <c r="P24922" s="5" t="s">
        <v>355</v>
      </c>
      <c r="Q24922" s="5" t="s">
        <v>355</v>
      </c>
    </row>
    <row r="24923" ht="16.5" customHeight="1">
      <c r="O24923" s="5" t="s">
        <v>355</v>
      </c>
      <c r="P24923" s="5" t="s">
        <v>355</v>
      </c>
      <c r="Q24923" s="5" t="s">
        <v>355</v>
      </c>
    </row>
    <row r="24924" ht="16.5" customHeight="1">
      <c r="O24924" s="5" t="s">
        <v>355</v>
      </c>
      <c r="P24924" s="5" t="s">
        <v>355</v>
      </c>
      <c r="Q24924" s="5" t="s">
        <v>355</v>
      </c>
    </row>
    <row r="24925" ht="16.5" customHeight="1">
      <c r="O24925" s="5" t="s">
        <v>355</v>
      </c>
      <c r="P24925" s="5" t="s">
        <v>355</v>
      </c>
      <c r="Q24925" s="5" t="s">
        <v>355</v>
      </c>
    </row>
    <row r="24926" ht="16.5" customHeight="1">
      <c r="O24926" s="5" t="s">
        <v>355</v>
      </c>
      <c r="P24926" s="5" t="s">
        <v>355</v>
      </c>
      <c r="Q24926" s="5" t="s">
        <v>355</v>
      </c>
    </row>
    <row r="24927" ht="16.5" customHeight="1">
      <c r="O24927" s="5" t="s">
        <v>355</v>
      </c>
      <c r="P24927" s="5" t="s">
        <v>355</v>
      </c>
      <c r="Q24927" s="5" t="s">
        <v>355</v>
      </c>
    </row>
    <row r="24928" ht="16.5" customHeight="1">
      <c r="O24928" s="5" t="s">
        <v>355</v>
      </c>
      <c r="P24928" s="5" t="s">
        <v>355</v>
      </c>
      <c r="Q24928" s="5" t="s">
        <v>355</v>
      </c>
    </row>
    <row r="24929" ht="16.5" customHeight="1">
      <c r="O24929" s="5" t="s">
        <v>355</v>
      </c>
      <c r="P24929" s="5" t="s">
        <v>355</v>
      </c>
      <c r="Q24929" s="5" t="s">
        <v>355</v>
      </c>
    </row>
    <row r="24930" ht="16.5" customHeight="1">
      <c r="O24930" s="5" t="s">
        <v>355</v>
      </c>
      <c r="P24930" s="5" t="s">
        <v>355</v>
      </c>
      <c r="Q24930" s="5" t="s">
        <v>355</v>
      </c>
    </row>
    <row r="24931" ht="16.5" customHeight="1">
      <c r="O24931" s="5" t="s">
        <v>355</v>
      </c>
      <c r="P24931" s="5" t="s">
        <v>355</v>
      </c>
      <c r="Q24931" s="5" t="s">
        <v>355</v>
      </c>
    </row>
    <row r="24932" ht="16.5" customHeight="1">
      <c r="O24932" s="5" t="s">
        <v>355</v>
      </c>
      <c r="P24932" s="5" t="s">
        <v>355</v>
      </c>
      <c r="Q24932" s="5" t="s">
        <v>355</v>
      </c>
    </row>
    <row r="24933" ht="16.5" customHeight="1">
      <c r="O24933" s="5" t="s">
        <v>355</v>
      </c>
      <c r="P24933" s="5" t="s">
        <v>355</v>
      </c>
      <c r="Q24933" s="5" t="s">
        <v>355</v>
      </c>
    </row>
    <row r="24934" ht="16.5" customHeight="1">
      <c r="O24934" s="5" t="s">
        <v>355</v>
      </c>
      <c r="P24934" s="5" t="s">
        <v>355</v>
      </c>
      <c r="Q24934" s="5" t="s">
        <v>355</v>
      </c>
    </row>
    <row r="24935" ht="16.5" customHeight="1">
      <c r="O24935" s="5" t="s">
        <v>355</v>
      </c>
      <c r="P24935" s="5" t="s">
        <v>355</v>
      </c>
      <c r="Q24935" s="5" t="s">
        <v>355</v>
      </c>
    </row>
    <row r="24936" ht="16.5" customHeight="1">
      <c r="O24936" s="5" t="s">
        <v>355</v>
      </c>
      <c r="P24936" s="5" t="s">
        <v>355</v>
      </c>
      <c r="Q24936" s="5" t="s">
        <v>355</v>
      </c>
    </row>
    <row r="24937" ht="16.5" customHeight="1">
      <c r="O24937" s="5" t="s">
        <v>355</v>
      </c>
      <c r="P24937" s="5" t="s">
        <v>355</v>
      </c>
      <c r="Q24937" s="5" t="s">
        <v>355</v>
      </c>
    </row>
    <row r="24938" ht="16.5" customHeight="1">
      <c r="O24938" s="5" t="s">
        <v>355</v>
      </c>
      <c r="P24938" s="5" t="s">
        <v>355</v>
      </c>
      <c r="Q24938" s="5" t="s">
        <v>355</v>
      </c>
    </row>
    <row r="24939" ht="16.5" customHeight="1">
      <c r="O24939" s="5" t="s">
        <v>355</v>
      </c>
      <c r="P24939" s="5" t="s">
        <v>355</v>
      </c>
      <c r="Q24939" s="5" t="s">
        <v>355</v>
      </c>
    </row>
    <row r="24940" ht="16.5" customHeight="1">
      <c r="O24940" s="5" t="s">
        <v>355</v>
      </c>
      <c r="P24940" s="5" t="s">
        <v>355</v>
      </c>
      <c r="Q24940" s="5" t="s">
        <v>355</v>
      </c>
    </row>
    <row r="24941" ht="16.5" customHeight="1">
      <c r="O24941" s="5" t="s">
        <v>355</v>
      </c>
      <c r="P24941" s="5" t="s">
        <v>355</v>
      </c>
      <c r="Q24941" s="5" t="s">
        <v>355</v>
      </c>
    </row>
    <row r="24942" ht="16.5" customHeight="1">
      <c r="O24942" s="5" t="s">
        <v>355</v>
      </c>
      <c r="P24942" s="5" t="s">
        <v>355</v>
      </c>
      <c r="Q24942" s="5" t="s">
        <v>355</v>
      </c>
    </row>
    <row r="24943" ht="16.5" customHeight="1">
      <c r="O24943" s="5" t="s">
        <v>355</v>
      </c>
      <c r="P24943" s="5" t="s">
        <v>355</v>
      </c>
      <c r="Q24943" s="5" t="s">
        <v>355</v>
      </c>
    </row>
    <row r="24944" ht="16.5" customHeight="1">
      <c r="O24944" s="5" t="s">
        <v>355</v>
      </c>
      <c r="P24944" s="5" t="s">
        <v>355</v>
      </c>
      <c r="Q24944" s="5" t="s">
        <v>355</v>
      </c>
    </row>
    <row r="24945" ht="16.5" customHeight="1">
      <c r="O24945" s="5" t="s">
        <v>355</v>
      </c>
      <c r="P24945" s="5" t="s">
        <v>355</v>
      </c>
      <c r="Q24945" s="5" t="s">
        <v>355</v>
      </c>
    </row>
    <row r="24946" ht="16.5" customHeight="1">
      <c r="O24946" s="5" t="s">
        <v>355</v>
      </c>
      <c r="P24946" s="5" t="s">
        <v>355</v>
      </c>
      <c r="Q24946" s="5" t="s">
        <v>355</v>
      </c>
    </row>
    <row r="24947" ht="16.5" customHeight="1">
      <c r="O24947" s="5" t="s">
        <v>355</v>
      </c>
      <c r="P24947" s="5" t="s">
        <v>355</v>
      </c>
      <c r="Q24947" s="5" t="s">
        <v>355</v>
      </c>
    </row>
    <row r="24948" ht="16.5" customHeight="1">
      <c r="O24948" s="5" t="s">
        <v>355</v>
      </c>
      <c r="P24948" s="5" t="s">
        <v>355</v>
      </c>
      <c r="Q24948" s="5" t="s">
        <v>355</v>
      </c>
    </row>
    <row r="24949" ht="16.5" customHeight="1">
      <c r="O24949" s="5" t="s">
        <v>355</v>
      </c>
      <c r="P24949" s="5" t="s">
        <v>355</v>
      </c>
      <c r="Q24949" s="5" t="s">
        <v>355</v>
      </c>
    </row>
    <row r="24950" ht="16.5" customHeight="1">
      <c r="O24950" s="5" t="s">
        <v>355</v>
      </c>
      <c r="P24950" s="5" t="s">
        <v>355</v>
      </c>
      <c r="Q24950" s="5" t="s">
        <v>355</v>
      </c>
    </row>
    <row r="24951" ht="16.5" customHeight="1">
      <c r="O24951" s="5" t="s">
        <v>355</v>
      </c>
      <c r="P24951" s="5" t="s">
        <v>355</v>
      </c>
      <c r="Q24951" s="5" t="s">
        <v>355</v>
      </c>
    </row>
    <row r="24952" ht="16.5" customHeight="1">
      <c r="O24952" s="5" t="s">
        <v>355</v>
      </c>
      <c r="P24952" s="5" t="s">
        <v>355</v>
      </c>
      <c r="Q24952" s="5" t="s">
        <v>355</v>
      </c>
    </row>
    <row r="24953" ht="16.5" customHeight="1">
      <c r="O24953" s="5" t="s">
        <v>355</v>
      </c>
      <c r="P24953" s="5" t="s">
        <v>355</v>
      </c>
      <c r="Q24953" s="5" t="s">
        <v>355</v>
      </c>
    </row>
    <row r="24954" ht="16.5" customHeight="1">
      <c r="O24954" s="5" t="s">
        <v>355</v>
      </c>
      <c r="P24954" s="5" t="s">
        <v>355</v>
      </c>
      <c r="Q24954" s="5" t="s">
        <v>355</v>
      </c>
    </row>
    <row r="24955" ht="16.5" customHeight="1">
      <c r="O24955" s="5" t="s">
        <v>355</v>
      </c>
      <c r="P24955" s="5" t="s">
        <v>355</v>
      </c>
      <c r="Q24955" s="5" t="s">
        <v>355</v>
      </c>
    </row>
    <row r="24956" ht="16.5" customHeight="1">
      <c r="O24956" s="5" t="s">
        <v>355</v>
      </c>
      <c r="P24956" s="5" t="s">
        <v>355</v>
      </c>
      <c r="Q24956" s="5" t="s">
        <v>355</v>
      </c>
    </row>
    <row r="24957" ht="16.5" customHeight="1">
      <c r="O24957" s="5" t="s">
        <v>355</v>
      </c>
      <c r="P24957" s="5" t="s">
        <v>355</v>
      </c>
      <c r="Q24957" s="5" t="s">
        <v>355</v>
      </c>
    </row>
    <row r="24958" ht="16.5" customHeight="1">
      <c r="O24958" s="5" t="s">
        <v>355</v>
      </c>
      <c r="P24958" s="5" t="s">
        <v>355</v>
      </c>
      <c r="Q24958" s="5" t="s">
        <v>355</v>
      </c>
    </row>
    <row r="24959" ht="16.5" customHeight="1">
      <c r="O24959" s="5" t="s">
        <v>355</v>
      </c>
      <c r="P24959" s="5" t="s">
        <v>355</v>
      </c>
      <c r="Q24959" s="5" t="s">
        <v>355</v>
      </c>
    </row>
    <row r="24960" ht="16.5" customHeight="1">
      <c r="O24960" s="5" t="s">
        <v>355</v>
      </c>
      <c r="P24960" s="5" t="s">
        <v>355</v>
      </c>
      <c r="Q24960" s="5" t="s">
        <v>355</v>
      </c>
    </row>
    <row r="24961" ht="16.5" customHeight="1">
      <c r="O24961" s="5" t="s">
        <v>355</v>
      </c>
      <c r="P24961" s="5" t="s">
        <v>355</v>
      </c>
      <c r="Q24961" s="5" t="s">
        <v>355</v>
      </c>
    </row>
    <row r="24962" ht="16.5" customHeight="1">
      <c r="O24962" s="5" t="s">
        <v>355</v>
      </c>
      <c r="P24962" s="5" t="s">
        <v>355</v>
      </c>
      <c r="Q24962" s="5" t="s">
        <v>355</v>
      </c>
    </row>
    <row r="24963" ht="16.5" customHeight="1">
      <c r="O24963" s="5" t="s">
        <v>355</v>
      </c>
      <c r="P24963" s="5" t="s">
        <v>355</v>
      </c>
      <c r="Q24963" s="5" t="s">
        <v>355</v>
      </c>
    </row>
    <row r="24964" ht="16.5" customHeight="1">
      <c r="O24964" s="5" t="s">
        <v>355</v>
      </c>
      <c r="P24964" s="5" t="s">
        <v>355</v>
      </c>
      <c r="Q24964" s="5" t="s">
        <v>355</v>
      </c>
    </row>
    <row r="24965" ht="16.5" customHeight="1">
      <c r="O24965" s="5" t="s">
        <v>355</v>
      </c>
      <c r="P24965" s="5" t="s">
        <v>355</v>
      </c>
      <c r="Q24965" s="5" t="s">
        <v>355</v>
      </c>
    </row>
    <row r="24966" ht="16.5" customHeight="1">
      <c r="O24966" s="5" t="s">
        <v>355</v>
      </c>
      <c r="P24966" s="5" t="s">
        <v>355</v>
      </c>
      <c r="Q24966" s="5" t="s">
        <v>355</v>
      </c>
    </row>
    <row r="24967" ht="16.5" customHeight="1">
      <c r="O24967" s="5" t="s">
        <v>355</v>
      </c>
      <c r="P24967" s="5" t="s">
        <v>355</v>
      </c>
      <c r="Q24967" s="5" t="s">
        <v>355</v>
      </c>
    </row>
    <row r="24968" ht="16.5" customHeight="1">
      <c r="O24968" s="5" t="s">
        <v>355</v>
      </c>
      <c r="P24968" s="5" t="s">
        <v>355</v>
      </c>
      <c r="Q24968" s="5" t="s">
        <v>355</v>
      </c>
    </row>
    <row r="24969" ht="16.5" customHeight="1">
      <c r="O24969" s="5" t="s">
        <v>355</v>
      </c>
      <c r="P24969" s="5" t="s">
        <v>355</v>
      </c>
      <c r="Q24969" s="5" t="s">
        <v>355</v>
      </c>
    </row>
    <row r="24970" ht="16.5" customHeight="1">
      <c r="O24970" s="5" t="s">
        <v>355</v>
      </c>
      <c r="P24970" s="5" t="s">
        <v>355</v>
      </c>
      <c r="Q24970" s="5" t="s">
        <v>355</v>
      </c>
    </row>
    <row r="24971" ht="16.5" customHeight="1">
      <c r="O24971" s="5" t="s">
        <v>355</v>
      </c>
      <c r="P24971" s="5" t="s">
        <v>355</v>
      </c>
      <c r="Q24971" s="5" t="s">
        <v>355</v>
      </c>
    </row>
    <row r="24972" ht="16.5" customHeight="1">
      <c r="O24972" s="5" t="s">
        <v>355</v>
      </c>
      <c r="P24972" s="5" t="s">
        <v>355</v>
      </c>
      <c r="Q24972" s="5" t="s">
        <v>355</v>
      </c>
    </row>
    <row r="24973" ht="16.5" customHeight="1">
      <c r="O24973" s="5" t="s">
        <v>355</v>
      </c>
      <c r="P24973" s="5" t="s">
        <v>355</v>
      </c>
      <c r="Q24973" s="5" t="s">
        <v>355</v>
      </c>
    </row>
    <row r="24974" ht="16.5" customHeight="1">
      <c r="O24974" s="5" t="s">
        <v>355</v>
      </c>
      <c r="P24974" s="5" t="s">
        <v>355</v>
      </c>
      <c r="Q24974" s="5" t="s">
        <v>355</v>
      </c>
    </row>
    <row r="24975" ht="16.5" customHeight="1">
      <c r="O24975" s="5" t="s">
        <v>355</v>
      </c>
      <c r="P24975" s="5" t="s">
        <v>355</v>
      </c>
      <c r="Q24975" s="5" t="s">
        <v>355</v>
      </c>
    </row>
    <row r="24976" ht="16.5" customHeight="1">
      <c r="O24976" s="5" t="s">
        <v>355</v>
      </c>
      <c r="P24976" s="5" t="s">
        <v>355</v>
      </c>
      <c r="Q24976" s="5" t="s">
        <v>355</v>
      </c>
    </row>
    <row r="24977" ht="16.5" customHeight="1">
      <c r="O24977" s="5" t="s">
        <v>355</v>
      </c>
      <c r="P24977" s="5" t="s">
        <v>355</v>
      </c>
      <c r="Q24977" s="5" t="s">
        <v>355</v>
      </c>
    </row>
    <row r="24978" ht="16.5" customHeight="1">
      <c r="O24978" s="5" t="s">
        <v>355</v>
      </c>
      <c r="P24978" s="5" t="s">
        <v>355</v>
      </c>
      <c r="Q24978" s="5" t="s">
        <v>355</v>
      </c>
    </row>
    <row r="24979" ht="16.5" customHeight="1">
      <c r="O24979" s="5" t="s">
        <v>355</v>
      </c>
      <c r="P24979" s="5" t="s">
        <v>355</v>
      </c>
      <c r="Q24979" s="5" t="s">
        <v>355</v>
      </c>
    </row>
    <row r="24980" ht="16.5" customHeight="1">
      <c r="O24980" s="5" t="s">
        <v>355</v>
      </c>
      <c r="P24980" s="5" t="s">
        <v>355</v>
      </c>
      <c r="Q24980" s="5" t="s">
        <v>355</v>
      </c>
    </row>
    <row r="24981" ht="16.5" customHeight="1">
      <c r="O24981" s="5" t="s">
        <v>355</v>
      </c>
      <c r="P24981" s="5" t="s">
        <v>355</v>
      </c>
      <c r="Q24981" s="5" t="s">
        <v>355</v>
      </c>
    </row>
    <row r="24982" ht="16.5" customHeight="1">
      <c r="O24982" s="5" t="s">
        <v>355</v>
      </c>
      <c r="P24982" s="5" t="s">
        <v>355</v>
      </c>
      <c r="Q24982" s="5" t="s">
        <v>355</v>
      </c>
    </row>
    <row r="24983" ht="16.5" customHeight="1">
      <c r="O24983" s="5" t="s">
        <v>355</v>
      </c>
      <c r="P24983" s="5" t="s">
        <v>355</v>
      </c>
      <c r="Q24983" s="5" t="s">
        <v>355</v>
      </c>
    </row>
    <row r="24984" ht="16.5" customHeight="1">
      <c r="O24984" s="5" t="s">
        <v>355</v>
      </c>
      <c r="P24984" s="5" t="s">
        <v>355</v>
      </c>
      <c r="Q24984" s="5" t="s">
        <v>355</v>
      </c>
    </row>
    <row r="24985" ht="16.5" customHeight="1">
      <c r="O24985" s="5" t="s">
        <v>355</v>
      </c>
      <c r="P24985" s="5" t="s">
        <v>355</v>
      </c>
      <c r="Q24985" s="5" t="s">
        <v>355</v>
      </c>
    </row>
    <row r="24986" ht="16.5" customHeight="1">
      <c r="O24986" s="5" t="s">
        <v>355</v>
      </c>
      <c r="P24986" s="5" t="s">
        <v>355</v>
      </c>
      <c r="Q24986" s="5" t="s">
        <v>355</v>
      </c>
    </row>
    <row r="24987" ht="16.5" customHeight="1">
      <c r="O24987" s="5" t="s">
        <v>355</v>
      </c>
      <c r="P24987" s="5" t="s">
        <v>355</v>
      </c>
      <c r="Q24987" s="5" t="s">
        <v>355</v>
      </c>
    </row>
    <row r="24988" ht="16.5" customHeight="1">
      <c r="O24988" s="5" t="s">
        <v>355</v>
      </c>
      <c r="P24988" s="5" t="s">
        <v>355</v>
      </c>
      <c r="Q24988" s="5" t="s">
        <v>355</v>
      </c>
    </row>
    <row r="24989" ht="16.5" customHeight="1">
      <c r="O24989" s="5" t="s">
        <v>355</v>
      </c>
      <c r="P24989" s="5" t="s">
        <v>355</v>
      </c>
      <c r="Q24989" s="5" t="s">
        <v>355</v>
      </c>
    </row>
    <row r="24990" ht="16.5" customHeight="1">
      <c r="O24990" s="5" t="s">
        <v>355</v>
      </c>
      <c r="P24990" s="5" t="s">
        <v>355</v>
      </c>
      <c r="Q24990" s="5" t="s">
        <v>355</v>
      </c>
    </row>
    <row r="24991" ht="16.5" customHeight="1">
      <c r="O24991" s="5" t="s">
        <v>355</v>
      </c>
      <c r="P24991" s="5" t="s">
        <v>355</v>
      </c>
      <c r="Q24991" s="5" t="s">
        <v>355</v>
      </c>
    </row>
    <row r="24992" ht="16.5" customHeight="1">
      <c r="O24992" s="5" t="s">
        <v>355</v>
      </c>
      <c r="P24992" s="5" t="s">
        <v>355</v>
      </c>
      <c r="Q24992" s="5" t="s">
        <v>355</v>
      </c>
    </row>
    <row r="24993" ht="16.5" customHeight="1">
      <c r="O24993" s="5" t="s">
        <v>355</v>
      </c>
      <c r="P24993" s="5" t="s">
        <v>355</v>
      </c>
      <c r="Q24993" s="5" t="s">
        <v>355</v>
      </c>
    </row>
    <row r="24994" ht="16.5" customHeight="1">
      <c r="O24994" s="5" t="s">
        <v>355</v>
      </c>
      <c r="P24994" s="5" t="s">
        <v>355</v>
      </c>
      <c r="Q24994" s="5" t="s">
        <v>355</v>
      </c>
    </row>
    <row r="24995" ht="16.5" customHeight="1">
      <c r="O24995" s="5" t="s">
        <v>355</v>
      </c>
      <c r="P24995" s="5" t="s">
        <v>355</v>
      </c>
      <c r="Q24995" s="5" t="s">
        <v>355</v>
      </c>
    </row>
    <row r="24996" ht="16.5" customHeight="1">
      <c r="O24996" s="5" t="s">
        <v>355</v>
      </c>
      <c r="P24996" s="5" t="s">
        <v>355</v>
      </c>
      <c r="Q24996" s="5" t="s">
        <v>355</v>
      </c>
    </row>
    <row r="24997" ht="16.5" customHeight="1">
      <c r="O24997" s="5" t="s">
        <v>355</v>
      </c>
      <c r="P24997" s="5" t="s">
        <v>355</v>
      </c>
      <c r="Q24997" s="5" t="s">
        <v>355</v>
      </c>
    </row>
    <row r="24998" ht="16.5" customHeight="1">
      <c r="O24998" s="5" t="s">
        <v>355</v>
      </c>
      <c r="P24998" s="5" t="s">
        <v>355</v>
      </c>
      <c r="Q24998" s="5" t="s">
        <v>355</v>
      </c>
    </row>
    <row r="24999" ht="16.5" customHeight="1">
      <c r="O24999" s="5" t="s">
        <v>355</v>
      </c>
      <c r="P24999" s="5" t="s">
        <v>355</v>
      </c>
      <c r="Q24999" s="5" t="s">
        <v>355</v>
      </c>
    </row>
    <row r="25000" ht="16.5" customHeight="1">
      <c r="O25000" s="5" t="s">
        <v>355</v>
      </c>
      <c r="P25000" s="5" t="s">
        <v>355</v>
      </c>
      <c r="Q25000" s="5" t="s">
        <v>355</v>
      </c>
    </row>
    <row r="25001" ht="16.5" customHeight="1">
      <c r="O25001" s="5" t="s">
        <v>355</v>
      </c>
      <c r="P25001" s="5" t="s">
        <v>355</v>
      </c>
      <c r="Q25001" s="5" t="s">
        <v>355</v>
      </c>
    </row>
    <row r="25002" ht="16.5" customHeight="1">
      <c r="O25002" s="5" t="s">
        <v>355</v>
      </c>
      <c r="P25002" s="5" t="s">
        <v>355</v>
      </c>
      <c r="Q25002" s="5" t="s">
        <v>355</v>
      </c>
    </row>
    <row r="25003" ht="16.5" customHeight="1">
      <c r="O25003" s="5" t="s">
        <v>355</v>
      </c>
      <c r="P25003" s="5" t="s">
        <v>355</v>
      </c>
      <c r="Q25003" s="5" t="s">
        <v>355</v>
      </c>
    </row>
    <row r="25004" ht="16.5" customHeight="1">
      <c r="O25004" s="5" t="s">
        <v>355</v>
      </c>
      <c r="P25004" s="5" t="s">
        <v>355</v>
      </c>
      <c r="Q25004" s="5" t="s">
        <v>355</v>
      </c>
    </row>
    <row r="25005" ht="16.5" customHeight="1">
      <c r="O25005" s="5" t="s">
        <v>355</v>
      </c>
      <c r="P25005" s="5" t="s">
        <v>355</v>
      </c>
      <c r="Q25005" s="5" t="s">
        <v>355</v>
      </c>
    </row>
    <row r="25006" ht="16.5" customHeight="1">
      <c r="O25006" s="5" t="s">
        <v>355</v>
      </c>
      <c r="P25006" s="5" t="s">
        <v>355</v>
      </c>
      <c r="Q25006" s="5" t="s">
        <v>355</v>
      </c>
    </row>
    <row r="25007" ht="16.5" customHeight="1">
      <c r="O25007" s="5" t="s">
        <v>355</v>
      </c>
      <c r="P25007" s="5" t="s">
        <v>355</v>
      </c>
      <c r="Q25007" s="5" t="s">
        <v>355</v>
      </c>
    </row>
    <row r="25008" ht="16.5" customHeight="1">
      <c r="O25008" s="5" t="s">
        <v>355</v>
      </c>
      <c r="P25008" s="5" t="s">
        <v>355</v>
      </c>
      <c r="Q25008" s="5" t="s">
        <v>355</v>
      </c>
    </row>
    <row r="25009" ht="16.5" customHeight="1">
      <c r="O25009" s="5" t="s">
        <v>355</v>
      </c>
      <c r="P25009" s="5" t="s">
        <v>355</v>
      </c>
      <c r="Q25009" s="5" t="s">
        <v>355</v>
      </c>
    </row>
    <row r="25010" ht="16.5" customHeight="1">
      <c r="O25010" s="5" t="s">
        <v>355</v>
      </c>
      <c r="P25010" s="5" t="s">
        <v>355</v>
      </c>
      <c r="Q25010" s="5" t="s">
        <v>355</v>
      </c>
    </row>
    <row r="25011" ht="16.5" customHeight="1">
      <c r="O25011" s="5" t="s">
        <v>355</v>
      </c>
      <c r="P25011" s="5" t="s">
        <v>355</v>
      </c>
      <c r="Q25011" s="5" t="s">
        <v>355</v>
      </c>
    </row>
    <row r="25012" ht="16.5" customHeight="1">
      <c r="O25012" s="5" t="s">
        <v>355</v>
      </c>
      <c r="P25012" s="5" t="s">
        <v>355</v>
      </c>
      <c r="Q25012" s="5" t="s">
        <v>355</v>
      </c>
    </row>
    <row r="25013" ht="16.5" customHeight="1">
      <c r="O25013" s="5" t="s">
        <v>355</v>
      </c>
      <c r="P25013" s="5" t="s">
        <v>355</v>
      </c>
      <c r="Q25013" s="5" t="s">
        <v>355</v>
      </c>
    </row>
    <row r="25014" ht="16.5" customHeight="1">
      <c r="O25014" s="5" t="s">
        <v>355</v>
      </c>
      <c r="P25014" s="5" t="s">
        <v>355</v>
      </c>
      <c r="Q25014" s="5" t="s">
        <v>355</v>
      </c>
    </row>
    <row r="25015" ht="16.5" customHeight="1">
      <c r="O25015" s="5" t="s">
        <v>355</v>
      </c>
      <c r="P25015" s="5" t="s">
        <v>355</v>
      </c>
      <c r="Q25015" s="5" t="s">
        <v>355</v>
      </c>
    </row>
    <row r="25016" ht="16.5" customHeight="1">
      <c r="O25016" s="5" t="s">
        <v>355</v>
      </c>
      <c r="P25016" s="5" t="s">
        <v>355</v>
      </c>
      <c r="Q25016" s="5" t="s">
        <v>355</v>
      </c>
    </row>
    <row r="25017" ht="16.5" customHeight="1">
      <c r="O25017" s="5" t="s">
        <v>355</v>
      </c>
      <c r="P25017" s="5" t="s">
        <v>355</v>
      </c>
      <c r="Q25017" s="5" t="s">
        <v>355</v>
      </c>
    </row>
    <row r="25018" ht="16.5" customHeight="1">
      <c r="O25018" s="5" t="s">
        <v>355</v>
      </c>
      <c r="P25018" s="5" t="s">
        <v>355</v>
      </c>
      <c r="Q25018" s="5" t="s">
        <v>355</v>
      </c>
    </row>
    <row r="25019" ht="16.5" customHeight="1">
      <c r="O25019" s="5" t="s">
        <v>355</v>
      </c>
      <c r="P25019" s="5" t="s">
        <v>355</v>
      </c>
      <c r="Q25019" s="5" t="s">
        <v>355</v>
      </c>
    </row>
    <row r="25020" ht="16.5" customHeight="1">
      <c r="O25020" s="5" t="s">
        <v>355</v>
      </c>
      <c r="P25020" s="5" t="s">
        <v>355</v>
      </c>
      <c r="Q25020" s="5" t="s">
        <v>355</v>
      </c>
    </row>
    <row r="25021" ht="16.5" customHeight="1">
      <c r="O25021" s="5" t="s">
        <v>355</v>
      </c>
      <c r="P25021" s="5" t="s">
        <v>355</v>
      </c>
      <c r="Q25021" s="5" t="s">
        <v>355</v>
      </c>
    </row>
    <row r="25022" ht="16.5" customHeight="1">
      <c r="O25022" s="5" t="s">
        <v>355</v>
      </c>
      <c r="P25022" s="5" t="s">
        <v>355</v>
      </c>
      <c r="Q25022" s="5" t="s">
        <v>355</v>
      </c>
    </row>
    <row r="25023" ht="16.5" customHeight="1">
      <c r="O25023" s="5" t="s">
        <v>355</v>
      </c>
      <c r="P25023" s="5" t="s">
        <v>355</v>
      </c>
      <c r="Q25023" s="5" t="s">
        <v>355</v>
      </c>
    </row>
    <row r="25024" ht="16.5" customHeight="1">
      <c r="O25024" s="5" t="s">
        <v>355</v>
      </c>
      <c r="P25024" s="5" t="s">
        <v>355</v>
      </c>
      <c r="Q25024" s="5" t="s">
        <v>355</v>
      </c>
    </row>
    <row r="25025" ht="16.5" customHeight="1">
      <c r="O25025" s="5" t="s">
        <v>355</v>
      </c>
      <c r="P25025" s="5" t="s">
        <v>355</v>
      </c>
      <c r="Q25025" s="5" t="s">
        <v>355</v>
      </c>
    </row>
    <row r="25026" ht="16.5" customHeight="1">
      <c r="O25026" s="5" t="s">
        <v>355</v>
      </c>
      <c r="P25026" s="5" t="s">
        <v>355</v>
      </c>
      <c r="Q25026" s="5" t="s">
        <v>355</v>
      </c>
    </row>
    <row r="25027" ht="16.5" customHeight="1">
      <c r="O25027" s="5" t="s">
        <v>355</v>
      </c>
      <c r="P25027" s="5" t="s">
        <v>355</v>
      </c>
      <c r="Q25027" s="5" t="s">
        <v>355</v>
      </c>
    </row>
    <row r="25028" ht="16.5" customHeight="1">
      <c r="O25028" s="5" t="s">
        <v>355</v>
      </c>
      <c r="P25028" s="5" t="s">
        <v>355</v>
      </c>
      <c r="Q25028" s="5" t="s">
        <v>355</v>
      </c>
    </row>
    <row r="25029" ht="16.5" customHeight="1">
      <c r="O25029" s="5" t="s">
        <v>355</v>
      </c>
      <c r="P25029" s="5" t="s">
        <v>355</v>
      </c>
      <c r="Q25029" s="5" t="s">
        <v>355</v>
      </c>
    </row>
    <row r="25030" ht="16.5" customHeight="1">
      <c r="O25030" s="5" t="s">
        <v>355</v>
      </c>
      <c r="P25030" s="5" t="s">
        <v>355</v>
      </c>
      <c r="Q25030" s="5" t="s">
        <v>355</v>
      </c>
    </row>
    <row r="25031" ht="16.5" customHeight="1">
      <c r="O25031" s="5" t="s">
        <v>355</v>
      </c>
      <c r="P25031" s="5" t="s">
        <v>355</v>
      </c>
      <c r="Q25031" s="5" t="s">
        <v>355</v>
      </c>
    </row>
    <row r="25032" ht="16.5" customHeight="1">
      <c r="O25032" s="5" t="s">
        <v>355</v>
      </c>
      <c r="P25032" s="5" t="s">
        <v>355</v>
      </c>
      <c r="Q25032" s="5" t="s">
        <v>355</v>
      </c>
    </row>
    <row r="25033" ht="16.5" customHeight="1">
      <c r="O25033" s="5" t="s">
        <v>355</v>
      </c>
      <c r="P25033" s="5" t="s">
        <v>355</v>
      </c>
      <c r="Q25033" s="5" t="s">
        <v>355</v>
      </c>
    </row>
    <row r="25034" ht="16.5" customHeight="1">
      <c r="O25034" s="5" t="s">
        <v>355</v>
      </c>
      <c r="P25034" s="5" t="s">
        <v>355</v>
      </c>
      <c r="Q25034" s="5" t="s">
        <v>355</v>
      </c>
    </row>
    <row r="25035" ht="16.5" customHeight="1">
      <c r="O25035" s="5" t="s">
        <v>355</v>
      </c>
      <c r="P25035" s="5" t="s">
        <v>355</v>
      </c>
      <c r="Q25035" s="5" t="s">
        <v>355</v>
      </c>
    </row>
    <row r="25036" ht="16.5" customHeight="1">
      <c r="O25036" s="5" t="s">
        <v>355</v>
      </c>
      <c r="P25036" s="5" t="s">
        <v>355</v>
      </c>
      <c r="Q25036" s="5" t="s">
        <v>355</v>
      </c>
    </row>
    <row r="25037" ht="16.5" customHeight="1">
      <c r="O25037" s="5" t="s">
        <v>355</v>
      </c>
      <c r="P25037" s="5" t="s">
        <v>355</v>
      </c>
      <c r="Q25037" s="5" t="s">
        <v>355</v>
      </c>
    </row>
    <row r="25038" ht="16.5" customHeight="1">
      <c r="O25038" s="5" t="s">
        <v>355</v>
      </c>
      <c r="P25038" s="5" t="s">
        <v>355</v>
      </c>
      <c r="Q25038" s="5" t="s">
        <v>355</v>
      </c>
    </row>
    <row r="25039" ht="16.5" customHeight="1">
      <c r="O25039" s="5" t="s">
        <v>355</v>
      </c>
      <c r="P25039" s="5" t="s">
        <v>355</v>
      </c>
      <c r="Q25039" s="5" t="s">
        <v>355</v>
      </c>
    </row>
    <row r="25040" ht="16.5" customHeight="1">
      <c r="O25040" s="5" t="s">
        <v>355</v>
      </c>
      <c r="P25040" s="5" t="s">
        <v>355</v>
      </c>
      <c r="Q25040" s="5" t="s">
        <v>355</v>
      </c>
    </row>
    <row r="25041" ht="16.5" customHeight="1">
      <c r="O25041" s="5" t="s">
        <v>355</v>
      </c>
      <c r="P25041" s="5" t="s">
        <v>355</v>
      </c>
      <c r="Q25041" s="5" t="s">
        <v>355</v>
      </c>
    </row>
    <row r="25042" ht="16.5" customHeight="1">
      <c r="O25042" s="5" t="s">
        <v>355</v>
      </c>
      <c r="P25042" s="5" t="s">
        <v>355</v>
      </c>
      <c r="Q25042" s="5" t="s">
        <v>355</v>
      </c>
    </row>
    <row r="25043" ht="16.5" customHeight="1">
      <c r="O25043" s="5" t="s">
        <v>355</v>
      </c>
      <c r="P25043" s="5" t="s">
        <v>355</v>
      </c>
      <c r="Q25043" s="5" t="s">
        <v>355</v>
      </c>
    </row>
    <row r="25044" ht="16.5" customHeight="1">
      <c r="O25044" s="5" t="s">
        <v>355</v>
      </c>
      <c r="P25044" s="5" t="s">
        <v>355</v>
      </c>
      <c r="Q25044" s="5" t="s">
        <v>355</v>
      </c>
    </row>
    <row r="25045" ht="16.5" customHeight="1">
      <c r="O25045" s="5" t="s">
        <v>355</v>
      </c>
      <c r="P25045" s="5" t="s">
        <v>355</v>
      </c>
      <c r="Q25045" s="5" t="s">
        <v>355</v>
      </c>
    </row>
    <row r="25046" ht="16.5" customHeight="1">
      <c r="O25046" s="5" t="s">
        <v>355</v>
      </c>
      <c r="P25046" s="5" t="s">
        <v>355</v>
      </c>
      <c r="Q25046" s="5" t="s">
        <v>355</v>
      </c>
    </row>
    <row r="25047" ht="16.5" customHeight="1">
      <c r="O25047" s="5" t="s">
        <v>355</v>
      </c>
      <c r="P25047" s="5" t="s">
        <v>355</v>
      </c>
      <c r="Q25047" s="5" t="s">
        <v>355</v>
      </c>
    </row>
    <row r="25048" ht="16.5" customHeight="1">
      <c r="O25048" s="5" t="s">
        <v>355</v>
      </c>
      <c r="P25048" s="5" t="s">
        <v>355</v>
      </c>
      <c r="Q25048" s="5" t="s">
        <v>355</v>
      </c>
    </row>
    <row r="25049" ht="16.5" customHeight="1">
      <c r="O25049" s="5" t="s">
        <v>355</v>
      </c>
      <c r="P25049" s="5" t="s">
        <v>355</v>
      </c>
      <c r="Q25049" s="5" t="s">
        <v>355</v>
      </c>
    </row>
    <row r="25050" ht="16.5" customHeight="1">
      <c r="O25050" s="5" t="s">
        <v>355</v>
      </c>
      <c r="P25050" s="5" t="s">
        <v>355</v>
      </c>
      <c r="Q25050" s="5" t="s">
        <v>355</v>
      </c>
    </row>
    <row r="25051" ht="16.5" customHeight="1">
      <c r="O25051" s="5" t="s">
        <v>355</v>
      </c>
      <c r="P25051" s="5" t="s">
        <v>355</v>
      </c>
      <c r="Q25051" s="5" t="s">
        <v>355</v>
      </c>
    </row>
    <row r="25052" ht="16.5" customHeight="1">
      <c r="O25052" s="5" t="s">
        <v>355</v>
      </c>
      <c r="P25052" s="5" t="s">
        <v>355</v>
      </c>
      <c r="Q25052" s="5" t="s">
        <v>355</v>
      </c>
    </row>
    <row r="25053" ht="16.5" customHeight="1">
      <c r="O25053" s="5" t="s">
        <v>355</v>
      </c>
      <c r="P25053" s="5" t="s">
        <v>355</v>
      </c>
      <c r="Q25053" s="5" t="s">
        <v>355</v>
      </c>
    </row>
    <row r="25054" ht="16.5" customHeight="1">
      <c r="O25054" s="5" t="s">
        <v>355</v>
      </c>
      <c r="P25054" s="5" t="s">
        <v>355</v>
      </c>
      <c r="Q25054" s="5" t="s">
        <v>355</v>
      </c>
    </row>
    <row r="25055" ht="16.5" customHeight="1">
      <c r="O25055" s="5" t="s">
        <v>355</v>
      </c>
      <c r="P25055" s="5" t="s">
        <v>355</v>
      </c>
      <c r="Q25055" s="5" t="s">
        <v>355</v>
      </c>
    </row>
    <row r="25056" ht="16.5" customHeight="1">
      <c r="O25056" s="5" t="s">
        <v>355</v>
      </c>
      <c r="P25056" s="5" t="s">
        <v>355</v>
      </c>
      <c r="Q25056" s="5" t="s">
        <v>355</v>
      </c>
    </row>
    <row r="25057" ht="16.5" customHeight="1">
      <c r="O25057" s="5" t="s">
        <v>355</v>
      </c>
      <c r="P25057" s="5" t="s">
        <v>355</v>
      </c>
      <c r="Q25057" s="5" t="s">
        <v>355</v>
      </c>
    </row>
    <row r="25058" ht="16.5" customHeight="1">
      <c r="O25058" s="5" t="s">
        <v>355</v>
      </c>
      <c r="P25058" s="5" t="s">
        <v>355</v>
      </c>
      <c r="Q25058" s="5" t="s">
        <v>355</v>
      </c>
    </row>
    <row r="25059" ht="16.5" customHeight="1">
      <c r="O25059" s="5" t="s">
        <v>355</v>
      </c>
      <c r="P25059" s="5" t="s">
        <v>355</v>
      </c>
      <c r="Q25059" s="5" t="s">
        <v>355</v>
      </c>
    </row>
    <row r="25060" ht="16.5" customHeight="1">
      <c r="O25060" s="5" t="s">
        <v>355</v>
      </c>
      <c r="P25060" s="5" t="s">
        <v>355</v>
      </c>
      <c r="Q25060" s="5" t="s">
        <v>355</v>
      </c>
    </row>
    <row r="25061" ht="16.5" customHeight="1">
      <c r="O25061" s="5" t="s">
        <v>355</v>
      </c>
      <c r="P25061" s="5" t="s">
        <v>355</v>
      </c>
      <c r="Q25061" s="5" t="s">
        <v>355</v>
      </c>
    </row>
    <row r="25062" ht="16.5" customHeight="1">
      <c r="O25062" s="5" t="s">
        <v>355</v>
      </c>
      <c r="P25062" s="5" t="s">
        <v>355</v>
      </c>
      <c r="Q25062" s="5" t="s">
        <v>355</v>
      </c>
    </row>
    <row r="25063" ht="16.5" customHeight="1">
      <c r="O25063" s="5" t="s">
        <v>355</v>
      </c>
      <c r="P25063" s="5" t="s">
        <v>355</v>
      </c>
      <c r="Q25063" s="5" t="s">
        <v>355</v>
      </c>
    </row>
    <row r="25064" ht="16.5" customHeight="1">
      <c r="O25064" s="5" t="s">
        <v>355</v>
      </c>
      <c r="P25064" s="5" t="s">
        <v>355</v>
      </c>
      <c r="Q25064" s="5" t="s">
        <v>355</v>
      </c>
    </row>
    <row r="25065" ht="16.5" customHeight="1">
      <c r="O25065" s="5" t="s">
        <v>355</v>
      </c>
      <c r="P25065" s="5" t="s">
        <v>355</v>
      </c>
      <c r="Q25065" s="5" t="s">
        <v>355</v>
      </c>
    </row>
    <row r="25066" ht="16.5" customHeight="1">
      <c r="O25066" s="5" t="s">
        <v>355</v>
      </c>
      <c r="P25066" s="5" t="s">
        <v>355</v>
      </c>
      <c r="Q25066" s="5" t="s">
        <v>355</v>
      </c>
    </row>
    <row r="25067" ht="16.5" customHeight="1">
      <c r="O25067" s="5" t="s">
        <v>355</v>
      </c>
      <c r="P25067" s="5" t="s">
        <v>355</v>
      </c>
      <c r="Q25067" s="5" t="s">
        <v>355</v>
      </c>
    </row>
    <row r="25068" ht="16.5" customHeight="1">
      <c r="O25068" s="5" t="s">
        <v>355</v>
      </c>
      <c r="P25068" s="5" t="s">
        <v>355</v>
      </c>
      <c r="Q25068" s="5" t="s">
        <v>355</v>
      </c>
    </row>
    <row r="25069" ht="16.5" customHeight="1">
      <c r="O25069" s="5" t="s">
        <v>355</v>
      </c>
      <c r="P25069" s="5" t="s">
        <v>355</v>
      </c>
      <c r="Q25069" s="5" t="s">
        <v>355</v>
      </c>
    </row>
    <row r="25070" ht="16.5" customHeight="1">
      <c r="O25070" s="5" t="s">
        <v>355</v>
      </c>
      <c r="P25070" s="5" t="s">
        <v>355</v>
      </c>
      <c r="Q25070" s="5" t="s">
        <v>355</v>
      </c>
    </row>
    <row r="25071" ht="16.5" customHeight="1">
      <c r="O25071" s="5" t="s">
        <v>355</v>
      </c>
      <c r="P25071" s="5" t="s">
        <v>355</v>
      </c>
      <c r="Q25071" s="5" t="s">
        <v>355</v>
      </c>
    </row>
    <row r="25072" ht="16.5" customHeight="1">
      <c r="O25072" s="5" t="s">
        <v>355</v>
      </c>
      <c r="P25072" s="5" t="s">
        <v>355</v>
      </c>
      <c r="Q25072" s="5" t="s">
        <v>355</v>
      </c>
    </row>
    <row r="25073" ht="16.5" customHeight="1">
      <c r="O25073" s="5" t="s">
        <v>355</v>
      </c>
      <c r="P25073" s="5" t="s">
        <v>355</v>
      </c>
      <c r="Q25073" s="5" t="s">
        <v>355</v>
      </c>
    </row>
    <row r="25074" ht="16.5" customHeight="1">
      <c r="O25074" s="5" t="s">
        <v>355</v>
      </c>
      <c r="P25074" s="5" t="s">
        <v>355</v>
      </c>
      <c r="Q25074" s="5" t="s">
        <v>355</v>
      </c>
    </row>
    <row r="25075" ht="16.5" customHeight="1">
      <c r="O25075" s="5" t="s">
        <v>355</v>
      </c>
      <c r="P25075" s="5" t="s">
        <v>355</v>
      </c>
      <c r="Q25075" s="5" t="s">
        <v>355</v>
      </c>
    </row>
    <row r="25076" ht="16.5" customHeight="1">
      <c r="O25076" s="5" t="s">
        <v>355</v>
      </c>
      <c r="P25076" s="5" t="s">
        <v>355</v>
      </c>
      <c r="Q25076" s="5" t="s">
        <v>355</v>
      </c>
    </row>
    <row r="25077" ht="16.5" customHeight="1">
      <c r="O25077" s="5" t="s">
        <v>355</v>
      </c>
      <c r="P25077" s="5" t="s">
        <v>355</v>
      </c>
      <c r="Q25077" s="5" t="s">
        <v>355</v>
      </c>
    </row>
    <row r="25078" ht="16.5" customHeight="1">
      <c r="O25078" s="5" t="s">
        <v>355</v>
      </c>
      <c r="P25078" s="5" t="s">
        <v>355</v>
      </c>
      <c r="Q25078" s="5" t="s">
        <v>355</v>
      </c>
    </row>
    <row r="25079" ht="16.5" customHeight="1">
      <c r="O25079" s="5" t="s">
        <v>355</v>
      </c>
      <c r="P25079" s="5" t="s">
        <v>355</v>
      </c>
      <c r="Q25079" s="5" t="s">
        <v>355</v>
      </c>
    </row>
    <row r="25080" ht="16.5" customHeight="1">
      <c r="O25080" s="5" t="s">
        <v>355</v>
      </c>
      <c r="P25080" s="5" t="s">
        <v>355</v>
      </c>
      <c r="Q25080" s="5" t="s">
        <v>355</v>
      </c>
    </row>
    <row r="25081" ht="16.5" customHeight="1">
      <c r="O25081" s="5" t="s">
        <v>355</v>
      </c>
      <c r="P25081" s="5" t="s">
        <v>355</v>
      </c>
      <c r="Q25081" s="5" t="s">
        <v>355</v>
      </c>
    </row>
    <row r="25082" ht="16.5" customHeight="1">
      <c r="O25082" s="5" t="s">
        <v>355</v>
      </c>
      <c r="P25082" s="5" t="s">
        <v>355</v>
      </c>
      <c r="Q25082" s="5" t="s">
        <v>355</v>
      </c>
    </row>
    <row r="25083" ht="16.5" customHeight="1">
      <c r="O25083" s="5" t="s">
        <v>355</v>
      </c>
      <c r="P25083" s="5" t="s">
        <v>355</v>
      </c>
      <c r="Q25083" s="5" t="s">
        <v>355</v>
      </c>
    </row>
    <row r="25084" ht="16.5" customHeight="1">
      <c r="O25084" s="5" t="s">
        <v>355</v>
      </c>
      <c r="P25084" s="5" t="s">
        <v>355</v>
      </c>
      <c r="Q25084" s="5" t="s">
        <v>355</v>
      </c>
    </row>
    <row r="25085" ht="16.5" customHeight="1">
      <c r="O25085" s="5" t="s">
        <v>355</v>
      </c>
      <c r="P25085" s="5" t="s">
        <v>355</v>
      </c>
      <c r="Q25085" s="5" t="s">
        <v>355</v>
      </c>
    </row>
    <row r="25086" ht="16.5" customHeight="1">
      <c r="O25086" s="5" t="s">
        <v>355</v>
      </c>
      <c r="P25086" s="5" t="s">
        <v>355</v>
      </c>
      <c r="Q25086" s="5" t="s">
        <v>355</v>
      </c>
    </row>
    <row r="25087" ht="16.5" customHeight="1">
      <c r="O25087" s="5" t="s">
        <v>355</v>
      </c>
      <c r="P25087" s="5" t="s">
        <v>355</v>
      </c>
      <c r="Q25087" s="5" t="s">
        <v>355</v>
      </c>
    </row>
    <row r="25088" ht="16.5" customHeight="1">
      <c r="O25088" s="5" t="s">
        <v>355</v>
      </c>
      <c r="P25088" s="5" t="s">
        <v>355</v>
      </c>
      <c r="Q25088" s="5" t="s">
        <v>355</v>
      </c>
    </row>
    <row r="25089" ht="16.5" customHeight="1">
      <c r="O25089" s="5" t="s">
        <v>355</v>
      </c>
      <c r="P25089" s="5" t="s">
        <v>355</v>
      </c>
      <c r="Q25089" s="5" t="s">
        <v>355</v>
      </c>
    </row>
    <row r="25090" ht="16.5" customHeight="1">
      <c r="O25090" s="5" t="s">
        <v>355</v>
      </c>
      <c r="P25090" s="5" t="s">
        <v>355</v>
      </c>
      <c r="Q25090" s="5" t="s">
        <v>355</v>
      </c>
    </row>
    <row r="25091" ht="16.5" customHeight="1">
      <c r="O25091" s="5" t="s">
        <v>355</v>
      </c>
      <c r="P25091" s="5" t="s">
        <v>355</v>
      </c>
      <c r="Q25091" s="5" t="s">
        <v>355</v>
      </c>
    </row>
    <row r="25092" ht="16.5" customHeight="1">
      <c r="O25092" s="5" t="s">
        <v>355</v>
      </c>
      <c r="P25092" s="5" t="s">
        <v>355</v>
      </c>
      <c r="Q25092" s="5" t="s">
        <v>355</v>
      </c>
    </row>
    <row r="25093" ht="16.5" customHeight="1">
      <c r="O25093" s="5" t="s">
        <v>355</v>
      </c>
      <c r="P25093" s="5" t="s">
        <v>355</v>
      </c>
      <c r="Q25093" s="5" t="s">
        <v>355</v>
      </c>
    </row>
    <row r="25094" ht="16.5" customHeight="1">
      <c r="O25094" s="5" t="s">
        <v>355</v>
      </c>
      <c r="P25094" s="5" t="s">
        <v>355</v>
      </c>
      <c r="Q25094" s="5" t="s">
        <v>355</v>
      </c>
    </row>
    <row r="25095" ht="16.5" customHeight="1">
      <c r="O25095" s="5" t="s">
        <v>355</v>
      </c>
      <c r="P25095" s="5" t="s">
        <v>355</v>
      </c>
      <c r="Q25095" s="5" t="s">
        <v>355</v>
      </c>
    </row>
    <row r="25096" ht="16.5" customHeight="1">
      <c r="O25096" s="5" t="s">
        <v>355</v>
      </c>
      <c r="P25096" s="5" t="s">
        <v>355</v>
      </c>
      <c r="Q25096" s="5" t="s">
        <v>355</v>
      </c>
    </row>
    <row r="25097" ht="16.5" customHeight="1">
      <c r="O25097" s="5" t="s">
        <v>355</v>
      </c>
      <c r="P25097" s="5" t="s">
        <v>355</v>
      </c>
      <c r="Q25097" s="5" t="s">
        <v>355</v>
      </c>
    </row>
    <row r="25098" ht="16.5" customHeight="1">
      <c r="O25098" s="5" t="s">
        <v>355</v>
      </c>
      <c r="P25098" s="5" t="s">
        <v>355</v>
      </c>
      <c r="Q25098" s="5" t="s">
        <v>355</v>
      </c>
    </row>
    <row r="25099" ht="16.5" customHeight="1">
      <c r="O25099" s="5" t="s">
        <v>355</v>
      </c>
      <c r="P25099" s="5" t="s">
        <v>355</v>
      </c>
      <c r="Q25099" s="5" t="s">
        <v>355</v>
      </c>
    </row>
    <row r="25100" ht="16.5" customHeight="1">
      <c r="O25100" s="5" t="s">
        <v>355</v>
      </c>
      <c r="P25100" s="5" t="s">
        <v>355</v>
      </c>
      <c r="Q25100" s="5" t="s">
        <v>355</v>
      </c>
    </row>
    <row r="25101" ht="16.5" customHeight="1">
      <c r="O25101" s="5" t="s">
        <v>355</v>
      </c>
      <c r="P25101" s="5" t="s">
        <v>355</v>
      </c>
      <c r="Q25101" s="5" t="s">
        <v>355</v>
      </c>
    </row>
    <row r="25102" ht="16.5" customHeight="1">
      <c r="O25102" s="5" t="s">
        <v>355</v>
      </c>
      <c r="P25102" s="5" t="s">
        <v>355</v>
      </c>
      <c r="Q25102" s="5" t="s">
        <v>355</v>
      </c>
    </row>
    <row r="25103" ht="16.5" customHeight="1">
      <c r="O25103" s="5" t="s">
        <v>355</v>
      </c>
      <c r="P25103" s="5" t="s">
        <v>355</v>
      </c>
      <c r="Q25103" s="5" t="s">
        <v>355</v>
      </c>
    </row>
    <row r="25104" ht="16.5" customHeight="1">
      <c r="O25104" s="5" t="s">
        <v>355</v>
      </c>
      <c r="P25104" s="5" t="s">
        <v>355</v>
      </c>
      <c r="Q25104" s="5" t="s">
        <v>355</v>
      </c>
    </row>
    <row r="25105" ht="16.5" customHeight="1">
      <c r="O25105" s="5" t="s">
        <v>355</v>
      </c>
      <c r="P25105" s="5" t="s">
        <v>355</v>
      </c>
      <c r="Q25105" s="5" t="s">
        <v>355</v>
      </c>
    </row>
    <row r="25106" ht="16.5" customHeight="1">
      <c r="O25106" s="5" t="s">
        <v>355</v>
      </c>
      <c r="P25106" s="5" t="s">
        <v>355</v>
      </c>
      <c r="Q25106" s="5" t="s">
        <v>355</v>
      </c>
    </row>
    <row r="25107" ht="16.5" customHeight="1">
      <c r="O25107" s="5" t="s">
        <v>355</v>
      </c>
      <c r="P25107" s="5" t="s">
        <v>355</v>
      </c>
      <c r="Q25107" s="5" t="s">
        <v>355</v>
      </c>
    </row>
    <row r="25108" ht="16.5" customHeight="1">
      <c r="O25108" s="5" t="s">
        <v>355</v>
      </c>
      <c r="P25108" s="5" t="s">
        <v>355</v>
      </c>
      <c r="Q25108" s="5" t="s">
        <v>355</v>
      </c>
    </row>
    <row r="25109" ht="16.5" customHeight="1">
      <c r="O25109" s="5" t="s">
        <v>355</v>
      </c>
      <c r="P25109" s="5" t="s">
        <v>355</v>
      </c>
      <c r="Q25109" s="5" t="s">
        <v>355</v>
      </c>
    </row>
    <row r="25110" ht="16.5" customHeight="1">
      <c r="O25110" s="5" t="s">
        <v>355</v>
      </c>
      <c r="P25110" s="5" t="s">
        <v>355</v>
      </c>
      <c r="Q25110" s="5" t="s">
        <v>355</v>
      </c>
    </row>
    <row r="25111" ht="16.5" customHeight="1">
      <c r="O25111" s="5" t="s">
        <v>355</v>
      </c>
      <c r="P25111" s="5" t="s">
        <v>355</v>
      </c>
      <c r="Q25111" s="5" t="s">
        <v>355</v>
      </c>
    </row>
    <row r="25112" ht="16.5" customHeight="1">
      <c r="O25112" s="5" t="s">
        <v>355</v>
      </c>
      <c r="P25112" s="5" t="s">
        <v>355</v>
      </c>
      <c r="Q25112" s="5" t="s">
        <v>355</v>
      </c>
    </row>
    <row r="25113" ht="16.5" customHeight="1">
      <c r="O25113" s="5" t="s">
        <v>355</v>
      </c>
      <c r="P25113" s="5" t="s">
        <v>355</v>
      </c>
      <c r="Q25113" s="5" t="s">
        <v>355</v>
      </c>
    </row>
    <row r="25114" ht="16.5" customHeight="1">
      <c r="O25114" s="5" t="s">
        <v>355</v>
      </c>
      <c r="P25114" s="5" t="s">
        <v>355</v>
      </c>
      <c r="Q25114" s="5" t="s">
        <v>355</v>
      </c>
    </row>
    <row r="25115" ht="16.5" customHeight="1">
      <c r="O25115" s="5" t="s">
        <v>355</v>
      </c>
      <c r="P25115" s="5" t="s">
        <v>355</v>
      </c>
      <c r="Q25115" s="5" t="s">
        <v>355</v>
      </c>
    </row>
    <row r="25116" ht="16.5" customHeight="1">
      <c r="O25116" s="5" t="s">
        <v>355</v>
      </c>
      <c r="P25116" s="5" t="s">
        <v>355</v>
      </c>
      <c r="Q25116" s="5" t="s">
        <v>355</v>
      </c>
    </row>
    <row r="25117" ht="16.5" customHeight="1">
      <c r="O25117" s="5" t="s">
        <v>355</v>
      </c>
      <c r="P25117" s="5" t="s">
        <v>355</v>
      </c>
      <c r="Q25117" s="5" t="s">
        <v>355</v>
      </c>
    </row>
    <row r="25118" ht="16.5" customHeight="1">
      <c r="O25118" s="5" t="s">
        <v>355</v>
      </c>
      <c r="P25118" s="5" t="s">
        <v>355</v>
      </c>
      <c r="Q25118" s="5" t="s">
        <v>355</v>
      </c>
    </row>
    <row r="25119" ht="16.5" customHeight="1">
      <c r="O25119" s="5" t="s">
        <v>355</v>
      </c>
      <c r="P25119" s="5" t="s">
        <v>355</v>
      </c>
      <c r="Q25119" s="5" t="s">
        <v>355</v>
      </c>
    </row>
    <row r="25120" ht="16.5" customHeight="1">
      <c r="O25120" s="5" t="s">
        <v>355</v>
      </c>
      <c r="P25120" s="5" t="s">
        <v>355</v>
      </c>
      <c r="Q25120" s="5" t="s">
        <v>355</v>
      </c>
    </row>
    <row r="25121" ht="16.5" customHeight="1">
      <c r="O25121" s="5" t="s">
        <v>355</v>
      </c>
      <c r="P25121" s="5" t="s">
        <v>355</v>
      </c>
      <c r="Q25121" s="5" t="s">
        <v>355</v>
      </c>
    </row>
    <row r="25122" ht="16.5" customHeight="1">
      <c r="O25122" s="5" t="s">
        <v>355</v>
      </c>
      <c r="P25122" s="5" t="s">
        <v>355</v>
      </c>
      <c r="Q25122" s="5" t="s">
        <v>355</v>
      </c>
    </row>
    <row r="25123" ht="16.5" customHeight="1">
      <c r="O25123" s="5" t="s">
        <v>355</v>
      </c>
      <c r="P25123" s="5" t="s">
        <v>355</v>
      </c>
      <c r="Q25123" s="5" t="s">
        <v>355</v>
      </c>
    </row>
    <row r="25124" ht="16.5" customHeight="1">
      <c r="O25124" s="5" t="s">
        <v>355</v>
      </c>
      <c r="P25124" s="5" t="s">
        <v>355</v>
      </c>
      <c r="Q25124" s="5" t="s">
        <v>355</v>
      </c>
    </row>
    <row r="25125" ht="16.5" customHeight="1">
      <c r="O25125" s="5" t="s">
        <v>355</v>
      </c>
      <c r="P25125" s="5" t="s">
        <v>355</v>
      </c>
      <c r="Q25125" s="5" t="s">
        <v>355</v>
      </c>
    </row>
    <row r="25126" ht="16.5" customHeight="1">
      <c r="O25126" s="5" t="s">
        <v>355</v>
      </c>
      <c r="P25126" s="5" t="s">
        <v>355</v>
      </c>
      <c r="Q25126" s="5" t="s">
        <v>355</v>
      </c>
    </row>
    <row r="25127" ht="16.5" customHeight="1">
      <c r="O25127" s="5" t="s">
        <v>355</v>
      </c>
      <c r="P25127" s="5" t="s">
        <v>355</v>
      </c>
      <c r="Q25127" s="5" t="s">
        <v>355</v>
      </c>
    </row>
    <row r="25128" ht="16.5" customHeight="1">
      <c r="O25128" s="5" t="s">
        <v>355</v>
      </c>
      <c r="P25128" s="5" t="s">
        <v>355</v>
      </c>
      <c r="Q25128" s="5" t="s">
        <v>355</v>
      </c>
    </row>
    <row r="25129" ht="16.5" customHeight="1">
      <c r="O25129" s="5" t="s">
        <v>355</v>
      </c>
      <c r="P25129" s="5" t="s">
        <v>355</v>
      </c>
      <c r="Q25129" s="5" t="s">
        <v>355</v>
      </c>
    </row>
    <row r="25130" ht="16.5" customHeight="1">
      <c r="O25130" s="5" t="s">
        <v>355</v>
      </c>
      <c r="P25130" s="5" t="s">
        <v>355</v>
      </c>
      <c r="Q25130" s="5" t="s">
        <v>355</v>
      </c>
    </row>
    <row r="25131" ht="16.5" customHeight="1">
      <c r="O25131" s="5" t="s">
        <v>355</v>
      </c>
      <c r="P25131" s="5" t="s">
        <v>355</v>
      </c>
      <c r="Q25131" s="5" t="s">
        <v>355</v>
      </c>
    </row>
    <row r="25132" ht="16.5" customHeight="1">
      <c r="O25132" s="5" t="s">
        <v>355</v>
      </c>
      <c r="P25132" s="5" t="s">
        <v>355</v>
      </c>
      <c r="Q25132" s="5" t="s">
        <v>355</v>
      </c>
    </row>
    <row r="25133" ht="16.5" customHeight="1">
      <c r="O25133" s="5" t="s">
        <v>355</v>
      </c>
      <c r="P25133" s="5" t="s">
        <v>355</v>
      </c>
      <c r="Q25133" s="5" t="s">
        <v>355</v>
      </c>
    </row>
    <row r="25134" ht="16.5" customHeight="1">
      <c r="O25134" s="5" t="s">
        <v>355</v>
      </c>
      <c r="P25134" s="5" t="s">
        <v>355</v>
      </c>
      <c r="Q25134" s="5" t="s">
        <v>355</v>
      </c>
    </row>
    <row r="25135" ht="16.5" customHeight="1">
      <c r="O25135" s="5" t="s">
        <v>355</v>
      </c>
      <c r="P25135" s="5" t="s">
        <v>355</v>
      </c>
      <c r="Q25135" s="5" t="s">
        <v>355</v>
      </c>
    </row>
    <row r="25136" ht="16.5" customHeight="1">
      <c r="O25136" s="5" t="s">
        <v>355</v>
      </c>
      <c r="P25136" s="5" t="s">
        <v>355</v>
      </c>
      <c r="Q25136" s="5" t="s">
        <v>355</v>
      </c>
    </row>
    <row r="25137" ht="16.5" customHeight="1">
      <c r="O25137" s="5" t="s">
        <v>355</v>
      </c>
      <c r="P25137" s="5" t="s">
        <v>355</v>
      </c>
      <c r="Q25137" s="5" t="s">
        <v>355</v>
      </c>
    </row>
    <row r="25138" ht="16.5" customHeight="1">
      <c r="O25138" s="5" t="s">
        <v>355</v>
      </c>
      <c r="P25138" s="5" t="s">
        <v>355</v>
      </c>
      <c r="Q25138" s="5" t="s">
        <v>355</v>
      </c>
    </row>
    <row r="25139" ht="16.5" customHeight="1">
      <c r="O25139" s="5" t="s">
        <v>355</v>
      </c>
      <c r="P25139" s="5" t="s">
        <v>355</v>
      </c>
      <c r="Q25139" s="5" t="s">
        <v>355</v>
      </c>
    </row>
    <row r="25140" ht="16.5" customHeight="1">
      <c r="O25140" s="5" t="s">
        <v>355</v>
      </c>
      <c r="P25140" s="5" t="s">
        <v>355</v>
      </c>
      <c r="Q25140" s="5" t="s">
        <v>355</v>
      </c>
    </row>
    <row r="25141" ht="16.5" customHeight="1">
      <c r="O25141" s="5" t="s">
        <v>355</v>
      </c>
      <c r="P25141" s="5" t="s">
        <v>355</v>
      </c>
      <c r="Q25141" s="5" t="s">
        <v>355</v>
      </c>
    </row>
    <row r="25142" ht="16.5" customHeight="1">
      <c r="O25142" s="5" t="s">
        <v>355</v>
      </c>
      <c r="P25142" s="5" t="s">
        <v>355</v>
      </c>
      <c r="Q25142" s="5" t="s">
        <v>355</v>
      </c>
    </row>
    <row r="25143" ht="16.5" customHeight="1">
      <c r="O25143" s="5" t="s">
        <v>355</v>
      </c>
      <c r="P25143" s="5" t="s">
        <v>355</v>
      </c>
      <c r="Q25143" s="5" t="s">
        <v>355</v>
      </c>
    </row>
    <row r="25144" ht="16.5" customHeight="1">
      <c r="O25144" s="5" t="s">
        <v>355</v>
      </c>
      <c r="P25144" s="5" t="s">
        <v>355</v>
      </c>
      <c r="Q25144" s="5" t="s">
        <v>355</v>
      </c>
    </row>
    <row r="25145" ht="16.5" customHeight="1">
      <c r="O25145" s="5" t="s">
        <v>355</v>
      </c>
      <c r="P25145" s="5" t="s">
        <v>355</v>
      </c>
      <c r="Q25145" s="5" t="s">
        <v>355</v>
      </c>
    </row>
    <row r="25146" ht="16.5" customHeight="1">
      <c r="O25146" s="5" t="s">
        <v>355</v>
      </c>
      <c r="P25146" s="5" t="s">
        <v>355</v>
      </c>
      <c r="Q25146" s="5" t="s">
        <v>355</v>
      </c>
    </row>
    <row r="25147" ht="16.5" customHeight="1">
      <c r="O25147" s="5" t="s">
        <v>355</v>
      </c>
      <c r="P25147" s="5" t="s">
        <v>355</v>
      </c>
      <c r="Q25147" s="5" t="s">
        <v>355</v>
      </c>
    </row>
    <row r="25148" ht="16.5" customHeight="1">
      <c r="O25148" s="5" t="s">
        <v>355</v>
      </c>
      <c r="P25148" s="5" t="s">
        <v>355</v>
      </c>
      <c r="Q25148" s="5" t="s">
        <v>355</v>
      </c>
    </row>
    <row r="25149" ht="16.5" customHeight="1">
      <c r="O25149" s="5" t="s">
        <v>355</v>
      </c>
      <c r="P25149" s="5" t="s">
        <v>355</v>
      </c>
      <c r="Q25149" s="5" t="s">
        <v>355</v>
      </c>
    </row>
    <row r="25150" ht="16.5" customHeight="1">
      <c r="O25150" s="5" t="s">
        <v>355</v>
      </c>
      <c r="P25150" s="5" t="s">
        <v>355</v>
      </c>
      <c r="Q25150" s="5" t="s">
        <v>355</v>
      </c>
    </row>
    <row r="25151" ht="16.5" customHeight="1">
      <c r="O25151" s="5" t="s">
        <v>355</v>
      </c>
      <c r="P25151" s="5" t="s">
        <v>355</v>
      </c>
      <c r="Q25151" s="5" t="s">
        <v>355</v>
      </c>
    </row>
    <row r="25152" ht="16.5" customHeight="1">
      <c r="O25152" s="5" t="s">
        <v>355</v>
      </c>
      <c r="P25152" s="5" t="s">
        <v>355</v>
      </c>
      <c r="Q25152" s="5" t="s">
        <v>355</v>
      </c>
    </row>
    <row r="25153" ht="16.5" customHeight="1">
      <c r="O25153" s="5" t="s">
        <v>355</v>
      </c>
      <c r="P25153" s="5" t="s">
        <v>355</v>
      </c>
      <c r="Q25153" s="5" t="s">
        <v>355</v>
      </c>
    </row>
    <row r="25154" ht="16.5" customHeight="1">
      <c r="O25154" s="5" t="s">
        <v>355</v>
      </c>
      <c r="P25154" s="5" t="s">
        <v>355</v>
      </c>
      <c r="Q25154" s="5" t="s">
        <v>355</v>
      </c>
    </row>
    <row r="25155" ht="16.5" customHeight="1">
      <c r="O25155" s="5" t="s">
        <v>355</v>
      </c>
      <c r="P25155" s="5" t="s">
        <v>355</v>
      </c>
      <c r="Q25155" s="5" t="s">
        <v>355</v>
      </c>
    </row>
    <row r="25156" ht="16.5" customHeight="1">
      <c r="O25156" s="5" t="s">
        <v>355</v>
      </c>
      <c r="P25156" s="5" t="s">
        <v>355</v>
      </c>
      <c r="Q25156" s="5" t="s">
        <v>355</v>
      </c>
    </row>
    <row r="25157" ht="16.5" customHeight="1">
      <c r="O25157" s="5" t="s">
        <v>355</v>
      </c>
      <c r="P25157" s="5" t="s">
        <v>355</v>
      </c>
      <c r="Q25157" s="5" t="s">
        <v>355</v>
      </c>
    </row>
    <row r="25158" ht="16.5" customHeight="1">
      <c r="O25158" s="5" t="s">
        <v>355</v>
      </c>
      <c r="P25158" s="5" t="s">
        <v>355</v>
      </c>
      <c r="Q25158" s="5" t="s">
        <v>355</v>
      </c>
    </row>
    <row r="25159" ht="16.5" customHeight="1">
      <c r="O25159" s="5" t="s">
        <v>355</v>
      </c>
      <c r="P25159" s="5" t="s">
        <v>355</v>
      </c>
      <c r="Q25159" s="5" t="s">
        <v>355</v>
      </c>
    </row>
    <row r="25160" ht="16.5" customHeight="1">
      <c r="O25160" s="5" t="s">
        <v>355</v>
      </c>
      <c r="P25160" s="5" t="s">
        <v>355</v>
      </c>
      <c r="Q25160" s="5" t="s">
        <v>355</v>
      </c>
    </row>
    <row r="25161" ht="16.5" customHeight="1">
      <c r="O25161" s="5" t="s">
        <v>355</v>
      </c>
      <c r="P25161" s="5" t="s">
        <v>355</v>
      </c>
      <c r="Q25161" s="5" t="s">
        <v>355</v>
      </c>
    </row>
    <row r="25162" ht="16.5" customHeight="1">
      <c r="O25162" s="5" t="s">
        <v>355</v>
      </c>
      <c r="P25162" s="5" t="s">
        <v>355</v>
      </c>
      <c r="Q25162" s="5" t="s">
        <v>355</v>
      </c>
    </row>
    <row r="25163" ht="16.5" customHeight="1">
      <c r="O25163" s="5" t="s">
        <v>355</v>
      </c>
      <c r="P25163" s="5" t="s">
        <v>355</v>
      </c>
      <c r="Q25163" s="5" t="s">
        <v>355</v>
      </c>
    </row>
    <row r="25164" ht="16.5" customHeight="1">
      <c r="O25164" s="5" t="s">
        <v>355</v>
      </c>
      <c r="P25164" s="5" t="s">
        <v>355</v>
      </c>
      <c r="Q25164" s="5" t="s">
        <v>355</v>
      </c>
    </row>
    <row r="25165" ht="16.5" customHeight="1">
      <c r="O25165" s="5" t="s">
        <v>355</v>
      </c>
      <c r="P25165" s="5" t="s">
        <v>355</v>
      </c>
      <c r="Q25165" s="5" t="s">
        <v>355</v>
      </c>
    </row>
    <row r="25166" ht="16.5" customHeight="1">
      <c r="O25166" s="5" t="s">
        <v>355</v>
      </c>
      <c r="P25166" s="5" t="s">
        <v>355</v>
      </c>
      <c r="Q25166" s="5" t="s">
        <v>355</v>
      </c>
    </row>
    <row r="25167" ht="16.5" customHeight="1">
      <c r="O25167" s="5" t="s">
        <v>355</v>
      </c>
      <c r="P25167" s="5" t="s">
        <v>355</v>
      </c>
      <c r="Q25167" s="5" t="s">
        <v>355</v>
      </c>
    </row>
    <row r="25168" ht="16.5" customHeight="1">
      <c r="O25168" s="5" t="s">
        <v>355</v>
      </c>
      <c r="P25168" s="5" t="s">
        <v>355</v>
      </c>
      <c r="Q25168" s="5" t="s">
        <v>355</v>
      </c>
    </row>
    <row r="25169" ht="16.5" customHeight="1">
      <c r="O25169" s="5" t="s">
        <v>355</v>
      </c>
      <c r="P25169" s="5" t="s">
        <v>355</v>
      </c>
      <c r="Q25169" s="5" t="s">
        <v>355</v>
      </c>
    </row>
    <row r="25170" ht="16.5" customHeight="1">
      <c r="O25170" s="5" t="s">
        <v>355</v>
      </c>
      <c r="P25170" s="5" t="s">
        <v>355</v>
      </c>
      <c r="Q25170" s="5" t="s">
        <v>355</v>
      </c>
    </row>
    <row r="25171" ht="16.5" customHeight="1">
      <c r="O25171" s="5" t="s">
        <v>355</v>
      </c>
      <c r="P25171" s="5" t="s">
        <v>355</v>
      </c>
      <c r="Q25171" s="5" t="s">
        <v>355</v>
      </c>
    </row>
    <row r="25172" ht="16.5" customHeight="1">
      <c r="O25172" s="5" t="s">
        <v>355</v>
      </c>
      <c r="P25172" s="5" t="s">
        <v>355</v>
      </c>
      <c r="Q25172" s="5" t="s">
        <v>355</v>
      </c>
    </row>
    <row r="25173" ht="16.5" customHeight="1">
      <c r="O25173" s="5" t="s">
        <v>355</v>
      </c>
      <c r="P25173" s="5" t="s">
        <v>355</v>
      </c>
      <c r="Q25173" s="5" t="s">
        <v>355</v>
      </c>
    </row>
    <row r="25174" ht="16.5" customHeight="1">
      <c r="O25174" s="5" t="s">
        <v>355</v>
      </c>
      <c r="P25174" s="5" t="s">
        <v>355</v>
      </c>
      <c r="Q25174" s="5" t="s">
        <v>355</v>
      </c>
    </row>
    <row r="25175" ht="16.5" customHeight="1">
      <c r="O25175" s="5" t="s">
        <v>355</v>
      </c>
      <c r="P25175" s="5" t="s">
        <v>355</v>
      </c>
      <c r="Q25175" s="5" t="s">
        <v>355</v>
      </c>
    </row>
    <row r="25176" ht="16.5" customHeight="1">
      <c r="O25176" s="5" t="s">
        <v>355</v>
      </c>
      <c r="P25176" s="5" t="s">
        <v>355</v>
      </c>
      <c r="Q25176" s="5" t="s">
        <v>355</v>
      </c>
    </row>
    <row r="25177" ht="16.5" customHeight="1">
      <c r="O25177" s="5" t="s">
        <v>355</v>
      </c>
      <c r="P25177" s="5" t="s">
        <v>355</v>
      </c>
      <c r="Q25177" s="5" t="s">
        <v>355</v>
      </c>
    </row>
    <row r="25178" ht="16.5" customHeight="1">
      <c r="O25178" s="5" t="s">
        <v>355</v>
      </c>
      <c r="P25178" s="5" t="s">
        <v>355</v>
      </c>
      <c r="Q25178" s="5" t="s">
        <v>355</v>
      </c>
    </row>
    <row r="25179" ht="16.5" customHeight="1">
      <c r="O25179" s="5" t="s">
        <v>355</v>
      </c>
      <c r="P25179" s="5" t="s">
        <v>355</v>
      </c>
      <c r="Q25179" s="5" t="s">
        <v>355</v>
      </c>
    </row>
    <row r="25180" ht="16.5" customHeight="1">
      <c r="O25180" s="5" t="s">
        <v>355</v>
      </c>
      <c r="P25180" s="5" t="s">
        <v>355</v>
      </c>
      <c r="Q25180" s="5" t="s">
        <v>355</v>
      </c>
    </row>
    <row r="25181" ht="16.5" customHeight="1">
      <c r="O25181" s="5" t="s">
        <v>355</v>
      </c>
      <c r="P25181" s="5" t="s">
        <v>355</v>
      </c>
      <c r="Q25181" s="5" t="s">
        <v>355</v>
      </c>
    </row>
    <row r="25182" ht="16.5" customHeight="1">
      <c r="O25182" s="5" t="s">
        <v>355</v>
      </c>
      <c r="P25182" s="5" t="s">
        <v>355</v>
      </c>
      <c r="Q25182" s="5" t="s">
        <v>355</v>
      </c>
    </row>
    <row r="25183" ht="16.5" customHeight="1">
      <c r="O25183" s="5" t="s">
        <v>355</v>
      </c>
      <c r="P25183" s="5" t="s">
        <v>355</v>
      </c>
      <c r="Q25183" s="5" t="s">
        <v>355</v>
      </c>
    </row>
    <row r="25184" ht="16.5" customHeight="1">
      <c r="O25184" s="5" t="s">
        <v>355</v>
      </c>
      <c r="P25184" s="5" t="s">
        <v>355</v>
      </c>
      <c r="Q25184" s="5" t="s">
        <v>355</v>
      </c>
    </row>
    <row r="25185" ht="16.5" customHeight="1">
      <c r="O25185" s="5" t="s">
        <v>355</v>
      </c>
      <c r="P25185" s="5" t="s">
        <v>355</v>
      </c>
      <c r="Q25185" s="5" t="s">
        <v>355</v>
      </c>
    </row>
    <row r="25186" ht="16.5" customHeight="1">
      <c r="O25186" s="5" t="s">
        <v>355</v>
      </c>
      <c r="P25186" s="5" t="s">
        <v>355</v>
      </c>
      <c r="Q25186" s="5" t="s">
        <v>355</v>
      </c>
    </row>
    <row r="25187" ht="16.5" customHeight="1">
      <c r="O25187" s="5" t="s">
        <v>355</v>
      </c>
      <c r="P25187" s="5" t="s">
        <v>355</v>
      </c>
      <c r="Q25187" s="5" t="s">
        <v>355</v>
      </c>
    </row>
    <row r="25188" ht="16.5" customHeight="1">
      <c r="O25188" s="5" t="s">
        <v>355</v>
      </c>
      <c r="P25188" s="5" t="s">
        <v>355</v>
      </c>
      <c r="Q25188" s="5" t="s">
        <v>355</v>
      </c>
    </row>
    <row r="25189" ht="16.5" customHeight="1">
      <c r="O25189" s="5" t="s">
        <v>355</v>
      </c>
      <c r="P25189" s="5" t="s">
        <v>355</v>
      </c>
      <c r="Q25189" s="5" t="s">
        <v>355</v>
      </c>
    </row>
    <row r="25190" ht="16.5" customHeight="1">
      <c r="O25190" s="5" t="s">
        <v>355</v>
      </c>
      <c r="P25190" s="5" t="s">
        <v>355</v>
      </c>
      <c r="Q25190" s="5" t="s">
        <v>355</v>
      </c>
    </row>
    <row r="25191" ht="16.5" customHeight="1">
      <c r="O25191" s="5" t="s">
        <v>355</v>
      </c>
      <c r="P25191" s="5" t="s">
        <v>355</v>
      </c>
      <c r="Q25191" s="5" t="s">
        <v>355</v>
      </c>
    </row>
    <row r="25192" ht="16.5" customHeight="1">
      <c r="O25192" s="5" t="s">
        <v>355</v>
      </c>
      <c r="P25192" s="5" t="s">
        <v>355</v>
      </c>
      <c r="Q25192" s="5" t="s">
        <v>355</v>
      </c>
    </row>
    <row r="25193" ht="16.5" customHeight="1">
      <c r="O25193" s="5" t="s">
        <v>355</v>
      </c>
      <c r="P25193" s="5" t="s">
        <v>355</v>
      </c>
      <c r="Q25193" s="5" t="s">
        <v>355</v>
      </c>
    </row>
    <row r="25194" ht="16.5" customHeight="1">
      <c r="O25194" s="5" t="s">
        <v>355</v>
      </c>
      <c r="P25194" s="5" t="s">
        <v>355</v>
      </c>
      <c r="Q25194" s="5" t="s">
        <v>355</v>
      </c>
    </row>
    <row r="25195" ht="16.5" customHeight="1">
      <c r="O25195" s="5" t="s">
        <v>355</v>
      </c>
      <c r="P25195" s="5" t="s">
        <v>355</v>
      </c>
      <c r="Q25195" s="5" t="s">
        <v>355</v>
      </c>
    </row>
    <row r="25196" ht="16.5" customHeight="1">
      <c r="O25196" s="5" t="s">
        <v>355</v>
      </c>
      <c r="P25196" s="5" t="s">
        <v>355</v>
      </c>
      <c r="Q25196" s="5" t="s">
        <v>355</v>
      </c>
    </row>
    <row r="25197" ht="16.5" customHeight="1">
      <c r="O25197" s="5" t="s">
        <v>355</v>
      </c>
      <c r="P25197" s="5" t="s">
        <v>355</v>
      </c>
      <c r="Q25197" s="5" t="s">
        <v>355</v>
      </c>
    </row>
    <row r="25198" ht="16.5" customHeight="1">
      <c r="O25198" s="5" t="s">
        <v>355</v>
      </c>
      <c r="P25198" s="5" t="s">
        <v>355</v>
      </c>
      <c r="Q25198" s="5" t="s">
        <v>355</v>
      </c>
    </row>
    <row r="25199" ht="16.5" customHeight="1">
      <c r="O25199" s="5" t="s">
        <v>355</v>
      </c>
      <c r="P25199" s="5" t="s">
        <v>355</v>
      </c>
      <c r="Q25199" s="5" t="s">
        <v>355</v>
      </c>
    </row>
    <row r="25200" ht="16.5" customHeight="1">
      <c r="O25200" s="5" t="s">
        <v>355</v>
      </c>
      <c r="P25200" s="5" t="s">
        <v>355</v>
      </c>
      <c r="Q25200" s="5" t="s">
        <v>355</v>
      </c>
    </row>
    <row r="25201" ht="16.5" customHeight="1">
      <c r="O25201" s="5" t="s">
        <v>355</v>
      </c>
      <c r="P25201" s="5" t="s">
        <v>355</v>
      </c>
      <c r="Q25201" s="5" t="s">
        <v>355</v>
      </c>
    </row>
    <row r="25202" ht="16.5" customHeight="1">
      <c r="O25202" s="5" t="s">
        <v>355</v>
      </c>
      <c r="P25202" s="5" t="s">
        <v>355</v>
      </c>
      <c r="Q25202" s="5" t="s">
        <v>355</v>
      </c>
    </row>
    <row r="25203" ht="16.5" customHeight="1">
      <c r="O25203" s="5" t="s">
        <v>355</v>
      </c>
      <c r="P25203" s="5" t="s">
        <v>355</v>
      </c>
      <c r="Q25203" s="5" t="s">
        <v>355</v>
      </c>
    </row>
    <row r="25204" ht="16.5" customHeight="1">
      <c r="O25204" s="5" t="s">
        <v>355</v>
      </c>
      <c r="P25204" s="5" t="s">
        <v>355</v>
      </c>
      <c r="Q25204" s="5" t="s">
        <v>355</v>
      </c>
    </row>
    <row r="25205" ht="16.5" customHeight="1">
      <c r="O25205" s="5" t="s">
        <v>355</v>
      </c>
      <c r="P25205" s="5" t="s">
        <v>355</v>
      </c>
      <c r="Q25205" s="5" t="s">
        <v>355</v>
      </c>
    </row>
    <row r="25206" ht="16.5" customHeight="1">
      <c r="O25206" s="5" t="s">
        <v>355</v>
      </c>
      <c r="P25206" s="5" t="s">
        <v>355</v>
      </c>
      <c r="Q25206" s="5" t="s">
        <v>355</v>
      </c>
    </row>
    <row r="25207" ht="16.5" customHeight="1">
      <c r="O25207" s="5" t="s">
        <v>355</v>
      </c>
      <c r="P25207" s="5" t="s">
        <v>355</v>
      </c>
      <c r="Q25207" s="5" t="s">
        <v>355</v>
      </c>
    </row>
    <row r="25208" ht="16.5" customHeight="1">
      <c r="O25208" s="5" t="s">
        <v>355</v>
      </c>
      <c r="P25208" s="5" t="s">
        <v>355</v>
      </c>
      <c r="Q25208" s="5" t="s">
        <v>355</v>
      </c>
    </row>
    <row r="25209" ht="16.5" customHeight="1">
      <c r="O25209" s="5" t="s">
        <v>355</v>
      </c>
      <c r="P25209" s="5" t="s">
        <v>355</v>
      </c>
      <c r="Q25209" s="5" t="s">
        <v>355</v>
      </c>
    </row>
    <row r="25210" ht="16.5" customHeight="1">
      <c r="O25210" s="5" t="s">
        <v>355</v>
      </c>
      <c r="P25210" s="5" t="s">
        <v>355</v>
      </c>
      <c r="Q25210" s="5" t="s">
        <v>355</v>
      </c>
    </row>
    <row r="25211" ht="16.5" customHeight="1">
      <c r="O25211" s="5" t="s">
        <v>355</v>
      </c>
      <c r="P25211" s="5" t="s">
        <v>355</v>
      </c>
      <c r="Q25211" s="5" t="s">
        <v>355</v>
      </c>
    </row>
    <row r="25212" ht="16.5" customHeight="1">
      <c r="O25212" s="5" t="s">
        <v>355</v>
      </c>
      <c r="P25212" s="5" t="s">
        <v>355</v>
      </c>
      <c r="Q25212" s="5" t="s">
        <v>355</v>
      </c>
    </row>
    <row r="25213" ht="16.5" customHeight="1">
      <c r="O25213" s="5" t="s">
        <v>355</v>
      </c>
      <c r="P25213" s="5" t="s">
        <v>355</v>
      </c>
      <c r="Q25213" s="5" t="s">
        <v>355</v>
      </c>
    </row>
    <row r="25214" ht="16.5" customHeight="1">
      <c r="O25214" s="5" t="s">
        <v>355</v>
      </c>
      <c r="P25214" s="5" t="s">
        <v>355</v>
      </c>
      <c r="Q25214" s="5" t="s">
        <v>355</v>
      </c>
    </row>
    <row r="25215" ht="16.5" customHeight="1">
      <c r="O25215" s="5" t="s">
        <v>355</v>
      </c>
      <c r="P25215" s="5" t="s">
        <v>355</v>
      </c>
      <c r="Q25215" s="5" t="s">
        <v>355</v>
      </c>
    </row>
    <row r="25216" ht="16.5" customHeight="1">
      <c r="O25216" s="5" t="s">
        <v>355</v>
      </c>
      <c r="P25216" s="5" t="s">
        <v>355</v>
      </c>
      <c r="Q25216" s="5" t="s">
        <v>355</v>
      </c>
    </row>
    <row r="25217" ht="16.5" customHeight="1">
      <c r="O25217" s="5" t="s">
        <v>355</v>
      </c>
      <c r="P25217" s="5" t="s">
        <v>355</v>
      </c>
      <c r="Q25217" s="5" t="s">
        <v>355</v>
      </c>
    </row>
    <row r="25218" ht="16.5" customHeight="1">
      <c r="O25218" s="5" t="s">
        <v>355</v>
      </c>
      <c r="P25218" s="5" t="s">
        <v>355</v>
      </c>
      <c r="Q25218" s="5" t="s">
        <v>355</v>
      </c>
    </row>
    <row r="25219" ht="16.5" customHeight="1">
      <c r="O25219" s="5" t="s">
        <v>355</v>
      </c>
      <c r="P25219" s="5" t="s">
        <v>355</v>
      </c>
      <c r="Q25219" s="5" t="s">
        <v>355</v>
      </c>
    </row>
    <row r="25220" ht="16.5" customHeight="1">
      <c r="O25220" s="5" t="s">
        <v>355</v>
      </c>
      <c r="P25220" s="5" t="s">
        <v>355</v>
      </c>
      <c r="Q25220" s="5" t="s">
        <v>355</v>
      </c>
    </row>
    <row r="25221" ht="16.5" customHeight="1">
      <c r="O25221" s="5" t="s">
        <v>355</v>
      </c>
      <c r="P25221" s="5" t="s">
        <v>355</v>
      </c>
      <c r="Q25221" s="5" t="s">
        <v>355</v>
      </c>
    </row>
    <row r="25222" ht="16.5" customHeight="1">
      <c r="O25222" s="5" t="s">
        <v>355</v>
      </c>
      <c r="P25222" s="5" t="s">
        <v>355</v>
      </c>
      <c r="Q25222" s="5" t="s">
        <v>355</v>
      </c>
    </row>
    <row r="25223" ht="16.5" customHeight="1">
      <c r="O25223" s="5" t="s">
        <v>355</v>
      </c>
      <c r="P25223" s="5" t="s">
        <v>355</v>
      </c>
      <c r="Q25223" s="5" t="s">
        <v>355</v>
      </c>
    </row>
    <row r="25224" ht="16.5" customHeight="1">
      <c r="O25224" s="5" t="s">
        <v>355</v>
      </c>
      <c r="P25224" s="5" t="s">
        <v>355</v>
      </c>
      <c r="Q25224" s="5" t="s">
        <v>355</v>
      </c>
    </row>
    <row r="25225" ht="16.5" customHeight="1">
      <c r="O25225" s="5" t="s">
        <v>355</v>
      </c>
      <c r="P25225" s="5" t="s">
        <v>355</v>
      </c>
      <c r="Q25225" s="5" t="s">
        <v>355</v>
      </c>
    </row>
    <row r="25226" ht="16.5" customHeight="1">
      <c r="O25226" s="5" t="s">
        <v>355</v>
      </c>
      <c r="P25226" s="5" t="s">
        <v>355</v>
      </c>
      <c r="Q25226" s="5" t="s">
        <v>355</v>
      </c>
    </row>
    <row r="25227" ht="16.5" customHeight="1">
      <c r="O25227" s="5" t="s">
        <v>355</v>
      </c>
      <c r="P25227" s="5" t="s">
        <v>355</v>
      </c>
      <c r="Q25227" s="5" t="s">
        <v>355</v>
      </c>
    </row>
    <row r="25228" ht="16.5" customHeight="1">
      <c r="O25228" s="5" t="s">
        <v>355</v>
      </c>
      <c r="P25228" s="5" t="s">
        <v>355</v>
      </c>
      <c r="Q25228" s="5" t="s">
        <v>355</v>
      </c>
    </row>
    <row r="25229" ht="16.5" customHeight="1">
      <c r="O25229" s="5" t="s">
        <v>355</v>
      </c>
      <c r="P25229" s="5" t="s">
        <v>355</v>
      </c>
      <c r="Q25229" s="5" t="s">
        <v>355</v>
      </c>
    </row>
    <row r="25230" ht="16.5" customHeight="1">
      <c r="O25230" s="5" t="s">
        <v>355</v>
      </c>
      <c r="P25230" s="5" t="s">
        <v>355</v>
      </c>
      <c r="Q25230" s="5" t="s">
        <v>355</v>
      </c>
    </row>
    <row r="25231" ht="16.5" customHeight="1">
      <c r="O25231" s="5" t="s">
        <v>355</v>
      </c>
      <c r="P25231" s="5" t="s">
        <v>355</v>
      </c>
      <c r="Q25231" s="5" t="s">
        <v>355</v>
      </c>
    </row>
    <row r="25232" ht="16.5" customHeight="1">
      <c r="O25232" s="5" t="s">
        <v>355</v>
      </c>
      <c r="P25232" s="5" t="s">
        <v>355</v>
      </c>
      <c r="Q25232" s="5" t="s">
        <v>355</v>
      </c>
    </row>
    <row r="25233" ht="16.5" customHeight="1">
      <c r="O25233" s="5" t="s">
        <v>355</v>
      </c>
      <c r="P25233" s="5" t="s">
        <v>355</v>
      </c>
      <c r="Q25233" s="5" t="s">
        <v>355</v>
      </c>
    </row>
    <row r="25234" ht="16.5" customHeight="1">
      <c r="O25234" s="5" t="s">
        <v>355</v>
      </c>
      <c r="P25234" s="5" t="s">
        <v>355</v>
      </c>
      <c r="Q25234" s="5" t="s">
        <v>355</v>
      </c>
    </row>
    <row r="25235" ht="16.5" customHeight="1">
      <c r="O25235" s="5" t="s">
        <v>355</v>
      </c>
      <c r="P25235" s="5" t="s">
        <v>355</v>
      </c>
      <c r="Q25235" s="5" t="s">
        <v>355</v>
      </c>
    </row>
    <row r="25236" ht="16.5" customHeight="1">
      <c r="O25236" s="5" t="s">
        <v>355</v>
      </c>
      <c r="P25236" s="5" t="s">
        <v>355</v>
      </c>
      <c r="Q25236" s="5" t="s">
        <v>355</v>
      </c>
    </row>
    <row r="25237" ht="16.5" customHeight="1">
      <c r="O25237" s="5" t="s">
        <v>355</v>
      </c>
      <c r="P25237" s="5" t="s">
        <v>355</v>
      </c>
      <c r="Q25237" s="5" t="s">
        <v>355</v>
      </c>
    </row>
    <row r="25238" ht="16.5" customHeight="1">
      <c r="O25238" s="5" t="s">
        <v>355</v>
      </c>
      <c r="P25238" s="5" t="s">
        <v>355</v>
      </c>
      <c r="Q25238" s="5" t="s">
        <v>355</v>
      </c>
    </row>
    <row r="25239" ht="16.5" customHeight="1">
      <c r="O25239" s="5" t="s">
        <v>355</v>
      </c>
      <c r="P25239" s="5" t="s">
        <v>355</v>
      </c>
      <c r="Q25239" s="5" t="s">
        <v>355</v>
      </c>
    </row>
    <row r="25240" ht="16.5" customHeight="1">
      <c r="O25240" s="5" t="s">
        <v>355</v>
      </c>
      <c r="P25240" s="5" t="s">
        <v>355</v>
      </c>
      <c r="Q25240" s="5" t="s">
        <v>355</v>
      </c>
    </row>
    <row r="25241" ht="16.5" customHeight="1">
      <c r="O25241" s="5" t="s">
        <v>355</v>
      </c>
      <c r="P25241" s="5" t="s">
        <v>355</v>
      </c>
      <c r="Q25241" s="5" t="s">
        <v>355</v>
      </c>
    </row>
    <row r="25242" ht="16.5" customHeight="1">
      <c r="O25242" s="5" t="s">
        <v>355</v>
      </c>
      <c r="P25242" s="5" t="s">
        <v>355</v>
      </c>
      <c r="Q25242" s="5" t="s">
        <v>355</v>
      </c>
    </row>
    <row r="25243" ht="16.5" customHeight="1">
      <c r="O25243" s="5" t="s">
        <v>355</v>
      </c>
      <c r="P25243" s="5" t="s">
        <v>355</v>
      </c>
      <c r="Q25243" s="5" t="s">
        <v>355</v>
      </c>
    </row>
    <row r="25244" ht="16.5" customHeight="1">
      <c r="O25244" s="5" t="s">
        <v>355</v>
      </c>
      <c r="P25244" s="5" t="s">
        <v>355</v>
      </c>
      <c r="Q25244" s="5" t="s">
        <v>355</v>
      </c>
    </row>
    <row r="25245" ht="16.5" customHeight="1">
      <c r="O25245" s="5" t="s">
        <v>355</v>
      </c>
      <c r="P25245" s="5" t="s">
        <v>355</v>
      </c>
      <c r="Q25245" s="5" t="s">
        <v>355</v>
      </c>
    </row>
    <row r="25246" ht="16.5" customHeight="1">
      <c r="O25246" s="5" t="s">
        <v>355</v>
      </c>
      <c r="P25246" s="5" t="s">
        <v>355</v>
      </c>
      <c r="Q25246" s="5" t="s">
        <v>355</v>
      </c>
    </row>
    <row r="25247" ht="16.5" customHeight="1">
      <c r="O25247" s="5" t="s">
        <v>355</v>
      </c>
      <c r="P25247" s="5" t="s">
        <v>355</v>
      </c>
      <c r="Q25247" s="5" t="s">
        <v>355</v>
      </c>
    </row>
    <row r="25248" ht="16.5" customHeight="1">
      <c r="O25248" s="5" t="s">
        <v>355</v>
      </c>
      <c r="P25248" s="5" t="s">
        <v>355</v>
      </c>
      <c r="Q25248" s="5" t="s">
        <v>355</v>
      </c>
    </row>
    <row r="25249" ht="16.5" customHeight="1">
      <c r="O25249" s="5" t="s">
        <v>355</v>
      </c>
      <c r="P25249" s="5" t="s">
        <v>355</v>
      </c>
      <c r="Q25249" s="5" t="s">
        <v>355</v>
      </c>
    </row>
    <row r="25250" ht="16.5" customHeight="1">
      <c r="O25250" s="5" t="s">
        <v>355</v>
      </c>
      <c r="P25250" s="5" t="s">
        <v>355</v>
      </c>
      <c r="Q25250" s="5" t="s">
        <v>355</v>
      </c>
    </row>
    <row r="25251" ht="16.5" customHeight="1">
      <c r="O25251" s="5" t="s">
        <v>355</v>
      </c>
      <c r="P25251" s="5" t="s">
        <v>355</v>
      </c>
      <c r="Q25251" s="5" t="s">
        <v>355</v>
      </c>
    </row>
    <row r="25252" ht="16.5" customHeight="1">
      <c r="O25252" s="5" t="s">
        <v>355</v>
      </c>
      <c r="P25252" s="5" t="s">
        <v>355</v>
      </c>
      <c r="Q25252" s="5" t="s">
        <v>355</v>
      </c>
    </row>
    <row r="25253" ht="16.5" customHeight="1">
      <c r="O25253" s="5" t="s">
        <v>355</v>
      </c>
      <c r="P25253" s="5" t="s">
        <v>355</v>
      </c>
      <c r="Q25253" s="5" t="s">
        <v>355</v>
      </c>
    </row>
    <row r="25254" ht="16.5" customHeight="1">
      <c r="O25254" s="5" t="s">
        <v>355</v>
      </c>
      <c r="P25254" s="5" t="s">
        <v>355</v>
      </c>
      <c r="Q25254" s="5" t="s">
        <v>355</v>
      </c>
    </row>
    <row r="25255" ht="16.5" customHeight="1">
      <c r="O25255" s="5" t="s">
        <v>355</v>
      </c>
      <c r="P25255" s="5" t="s">
        <v>355</v>
      </c>
      <c r="Q25255" s="5" t="s">
        <v>355</v>
      </c>
    </row>
    <row r="25256" ht="16.5" customHeight="1">
      <c r="O25256" s="5" t="s">
        <v>355</v>
      </c>
      <c r="P25256" s="5" t="s">
        <v>355</v>
      </c>
      <c r="Q25256" s="5" t="s">
        <v>355</v>
      </c>
    </row>
    <row r="25257" ht="16.5" customHeight="1">
      <c r="O25257" s="5" t="s">
        <v>355</v>
      </c>
      <c r="P25257" s="5" t="s">
        <v>355</v>
      </c>
      <c r="Q25257" s="5" t="s">
        <v>355</v>
      </c>
    </row>
    <row r="25258" ht="16.5" customHeight="1">
      <c r="O25258" s="5" t="s">
        <v>355</v>
      </c>
      <c r="P25258" s="5" t="s">
        <v>355</v>
      </c>
      <c r="Q25258" s="5" t="s">
        <v>355</v>
      </c>
    </row>
    <row r="25259" ht="16.5" customHeight="1">
      <c r="O25259" s="5" t="s">
        <v>355</v>
      </c>
      <c r="P25259" s="5" t="s">
        <v>355</v>
      </c>
      <c r="Q25259" s="5" t="s">
        <v>355</v>
      </c>
    </row>
    <row r="25260" ht="16.5" customHeight="1">
      <c r="O25260" s="5" t="s">
        <v>355</v>
      </c>
      <c r="P25260" s="5" t="s">
        <v>355</v>
      </c>
      <c r="Q25260" s="5" t="s">
        <v>355</v>
      </c>
    </row>
    <row r="25261" ht="16.5" customHeight="1">
      <c r="O25261" s="5" t="s">
        <v>355</v>
      </c>
      <c r="P25261" s="5" t="s">
        <v>355</v>
      </c>
      <c r="Q25261" s="5" t="s">
        <v>355</v>
      </c>
    </row>
    <row r="25262" ht="16.5" customHeight="1">
      <c r="O25262" s="5" t="s">
        <v>355</v>
      </c>
      <c r="P25262" s="5" t="s">
        <v>355</v>
      </c>
      <c r="Q25262" s="5" t="s">
        <v>355</v>
      </c>
    </row>
    <row r="25263" ht="16.5" customHeight="1">
      <c r="O25263" s="5" t="s">
        <v>355</v>
      </c>
      <c r="P25263" s="5" t="s">
        <v>355</v>
      </c>
      <c r="Q25263" s="5" t="s">
        <v>355</v>
      </c>
    </row>
    <row r="25264" ht="16.5" customHeight="1">
      <c r="O25264" s="5" t="s">
        <v>355</v>
      </c>
      <c r="P25264" s="5" t="s">
        <v>355</v>
      </c>
      <c r="Q25264" s="5" t="s">
        <v>355</v>
      </c>
    </row>
    <row r="25265" ht="16.5" customHeight="1">
      <c r="O25265" s="5" t="s">
        <v>355</v>
      </c>
      <c r="P25265" s="5" t="s">
        <v>355</v>
      </c>
      <c r="Q25265" s="5" t="s">
        <v>355</v>
      </c>
    </row>
    <row r="25266" ht="16.5" customHeight="1">
      <c r="O25266" s="5" t="s">
        <v>355</v>
      </c>
      <c r="P25266" s="5" t="s">
        <v>355</v>
      </c>
      <c r="Q25266" s="5" t="s">
        <v>355</v>
      </c>
    </row>
    <row r="25267" ht="16.5" customHeight="1">
      <c r="O25267" s="5" t="s">
        <v>355</v>
      </c>
      <c r="P25267" s="5" t="s">
        <v>355</v>
      </c>
      <c r="Q25267" s="5" t="s">
        <v>355</v>
      </c>
    </row>
    <row r="25268" ht="16.5" customHeight="1">
      <c r="O25268" s="5" t="s">
        <v>355</v>
      </c>
      <c r="P25268" s="5" t="s">
        <v>355</v>
      </c>
      <c r="Q25268" s="5" t="s">
        <v>355</v>
      </c>
    </row>
    <row r="25269" ht="16.5" customHeight="1">
      <c r="O25269" s="5" t="s">
        <v>355</v>
      </c>
      <c r="P25269" s="5" t="s">
        <v>355</v>
      </c>
      <c r="Q25269" s="5" t="s">
        <v>355</v>
      </c>
    </row>
    <row r="25270" ht="16.5" customHeight="1">
      <c r="O25270" s="5" t="s">
        <v>355</v>
      </c>
      <c r="P25270" s="5" t="s">
        <v>355</v>
      </c>
      <c r="Q25270" s="5" t="s">
        <v>355</v>
      </c>
    </row>
    <row r="25271" ht="16.5" customHeight="1">
      <c r="O25271" s="5" t="s">
        <v>355</v>
      </c>
      <c r="P25271" s="5" t="s">
        <v>355</v>
      </c>
      <c r="Q25271" s="5" t="s">
        <v>355</v>
      </c>
    </row>
    <row r="25272" ht="16.5" customHeight="1">
      <c r="O25272" s="5" t="s">
        <v>355</v>
      </c>
      <c r="P25272" s="5" t="s">
        <v>355</v>
      </c>
      <c r="Q25272" s="5" t="s">
        <v>355</v>
      </c>
    </row>
    <row r="25273" ht="16.5" customHeight="1">
      <c r="O25273" s="5" t="s">
        <v>355</v>
      </c>
      <c r="P25273" s="5" t="s">
        <v>355</v>
      </c>
      <c r="Q25273" s="5" t="s">
        <v>355</v>
      </c>
    </row>
    <row r="25274" ht="16.5" customHeight="1">
      <c r="O25274" s="5" t="s">
        <v>355</v>
      </c>
      <c r="P25274" s="5" t="s">
        <v>355</v>
      </c>
      <c r="Q25274" s="5" t="s">
        <v>355</v>
      </c>
    </row>
    <row r="25275" ht="16.5" customHeight="1">
      <c r="O25275" s="5" t="s">
        <v>355</v>
      </c>
      <c r="P25275" s="5" t="s">
        <v>355</v>
      </c>
      <c r="Q25275" s="5" t="s">
        <v>355</v>
      </c>
    </row>
    <row r="25276" ht="16.5" customHeight="1">
      <c r="O25276" s="5" t="s">
        <v>355</v>
      </c>
      <c r="P25276" s="5" t="s">
        <v>355</v>
      </c>
      <c r="Q25276" s="5" t="s">
        <v>355</v>
      </c>
    </row>
    <row r="25277" ht="16.5" customHeight="1">
      <c r="O25277" s="5" t="s">
        <v>355</v>
      </c>
      <c r="P25277" s="5" t="s">
        <v>355</v>
      </c>
      <c r="Q25277" s="5" t="s">
        <v>355</v>
      </c>
    </row>
    <row r="25278" ht="16.5" customHeight="1">
      <c r="O25278" s="5" t="s">
        <v>355</v>
      </c>
      <c r="P25278" s="5" t="s">
        <v>355</v>
      </c>
      <c r="Q25278" s="5" t="s">
        <v>355</v>
      </c>
    </row>
    <row r="25279" ht="16.5" customHeight="1">
      <c r="O25279" s="5" t="s">
        <v>355</v>
      </c>
      <c r="P25279" s="5" t="s">
        <v>355</v>
      </c>
      <c r="Q25279" s="5" t="s">
        <v>355</v>
      </c>
    </row>
    <row r="25280" ht="16.5" customHeight="1">
      <c r="O25280" s="5" t="s">
        <v>355</v>
      </c>
      <c r="P25280" s="5" t="s">
        <v>355</v>
      </c>
      <c r="Q25280" s="5" t="s">
        <v>355</v>
      </c>
    </row>
    <row r="25281" ht="16.5" customHeight="1">
      <c r="O25281" s="5" t="s">
        <v>355</v>
      </c>
      <c r="P25281" s="5" t="s">
        <v>355</v>
      </c>
      <c r="Q25281" s="5" t="s">
        <v>355</v>
      </c>
    </row>
    <row r="25282" ht="16.5" customHeight="1">
      <c r="O25282" s="5" t="s">
        <v>355</v>
      </c>
      <c r="P25282" s="5" t="s">
        <v>355</v>
      </c>
      <c r="Q25282" s="5" t="s">
        <v>355</v>
      </c>
    </row>
    <row r="25283" ht="16.5" customHeight="1">
      <c r="O25283" s="5" t="s">
        <v>355</v>
      </c>
      <c r="P25283" s="5" t="s">
        <v>355</v>
      </c>
      <c r="Q25283" s="5" t="s">
        <v>355</v>
      </c>
    </row>
    <row r="25284" ht="16.5" customHeight="1">
      <c r="O25284" s="5" t="s">
        <v>355</v>
      </c>
      <c r="P25284" s="5" t="s">
        <v>355</v>
      </c>
      <c r="Q25284" s="5" t="s">
        <v>355</v>
      </c>
    </row>
    <row r="25285" ht="16.5" customHeight="1">
      <c r="O25285" s="5" t="s">
        <v>355</v>
      </c>
      <c r="P25285" s="5" t="s">
        <v>355</v>
      </c>
      <c r="Q25285" s="5" t="s">
        <v>355</v>
      </c>
    </row>
    <row r="25286" ht="16.5" customHeight="1">
      <c r="O25286" s="5" t="s">
        <v>355</v>
      </c>
      <c r="P25286" s="5" t="s">
        <v>355</v>
      </c>
      <c r="Q25286" s="5" t="s">
        <v>355</v>
      </c>
    </row>
    <row r="25287" ht="16.5" customHeight="1">
      <c r="O25287" s="5" t="s">
        <v>355</v>
      </c>
      <c r="P25287" s="5" t="s">
        <v>355</v>
      </c>
      <c r="Q25287" s="5" t="s">
        <v>355</v>
      </c>
    </row>
    <row r="25288" ht="16.5" customHeight="1">
      <c r="O25288" s="5" t="s">
        <v>355</v>
      </c>
      <c r="P25288" s="5" t="s">
        <v>355</v>
      </c>
      <c r="Q25288" s="5" t="s">
        <v>355</v>
      </c>
    </row>
    <row r="25289" ht="16.5" customHeight="1">
      <c r="O25289" s="5" t="s">
        <v>355</v>
      </c>
      <c r="P25289" s="5" t="s">
        <v>355</v>
      </c>
      <c r="Q25289" s="5" t="s">
        <v>355</v>
      </c>
    </row>
    <row r="25290" ht="16.5" customHeight="1">
      <c r="O25290" s="5" t="s">
        <v>355</v>
      </c>
      <c r="P25290" s="5" t="s">
        <v>355</v>
      </c>
      <c r="Q25290" s="5" t="s">
        <v>355</v>
      </c>
    </row>
    <row r="25291" ht="16.5" customHeight="1">
      <c r="O25291" s="5" t="s">
        <v>355</v>
      </c>
      <c r="P25291" s="5" t="s">
        <v>355</v>
      </c>
      <c r="Q25291" s="5" t="s">
        <v>355</v>
      </c>
    </row>
    <row r="25292" ht="16.5" customHeight="1">
      <c r="O25292" s="5" t="s">
        <v>355</v>
      </c>
      <c r="P25292" s="5" t="s">
        <v>355</v>
      </c>
      <c r="Q25292" s="5" t="s">
        <v>355</v>
      </c>
    </row>
    <row r="25293" ht="16.5" customHeight="1">
      <c r="O25293" s="5" t="s">
        <v>355</v>
      </c>
      <c r="P25293" s="5" t="s">
        <v>355</v>
      </c>
      <c r="Q25293" s="5" t="s">
        <v>355</v>
      </c>
    </row>
    <row r="25294" ht="16.5" customHeight="1">
      <c r="O25294" s="5" t="s">
        <v>355</v>
      </c>
      <c r="P25294" s="5" t="s">
        <v>355</v>
      </c>
      <c r="Q25294" s="5" t="s">
        <v>355</v>
      </c>
    </row>
    <row r="25295" ht="16.5" customHeight="1">
      <c r="O25295" s="5" t="s">
        <v>355</v>
      </c>
      <c r="P25295" s="5" t="s">
        <v>355</v>
      </c>
      <c r="Q25295" s="5" t="s">
        <v>355</v>
      </c>
    </row>
    <row r="25296" ht="16.5" customHeight="1">
      <c r="O25296" s="5" t="s">
        <v>355</v>
      </c>
      <c r="P25296" s="5" t="s">
        <v>355</v>
      </c>
      <c r="Q25296" s="5" t="s">
        <v>355</v>
      </c>
    </row>
    <row r="25297" ht="16.5" customHeight="1">
      <c r="O25297" s="5" t="s">
        <v>355</v>
      </c>
      <c r="P25297" s="5" t="s">
        <v>355</v>
      </c>
      <c r="Q25297" s="5" t="s">
        <v>355</v>
      </c>
    </row>
    <row r="25298" ht="16.5" customHeight="1">
      <c r="O25298" s="5" t="s">
        <v>355</v>
      </c>
      <c r="P25298" s="5" t="s">
        <v>355</v>
      </c>
      <c r="Q25298" s="5" t="s">
        <v>355</v>
      </c>
    </row>
    <row r="25299" ht="16.5" customHeight="1">
      <c r="O25299" s="5" t="s">
        <v>355</v>
      </c>
      <c r="P25299" s="5" t="s">
        <v>355</v>
      </c>
      <c r="Q25299" s="5" t="s">
        <v>355</v>
      </c>
    </row>
    <row r="25300" ht="16.5" customHeight="1">
      <c r="O25300" s="5" t="s">
        <v>355</v>
      </c>
      <c r="P25300" s="5" t="s">
        <v>355</v>
      </c>
      <c r="Q25300" s="5" t="s">
        <v>355</v>
      </c>
    </row>
    <row r="25301" ht="16.5" customHeight="1">
      <c r="O25301" s="5" t="s">
        <v>355</v>
      </c>
      <c r="P25301" s="5" t="s">
        <v>355</v>
      </c>
      <c r="Q25301" s="5" t="s">
        <v>355</v>
      </c>
    </row>
    <row r="25302" ht="16.5" customHeight="1">
      <c r="O25302" s="5" t="s">
        <v>355</v>
      </c>
      <c r="P25302" s="5" t="s">
        <v>355</v>
      </c>
      <c r="Q25302" s="5" t="s">
        <v>355</v>
      </c>
    </row>
    <row r="25303" ht="16.5" customHeight="1">
      <c r="O25303" s="5" t="s">
        <v>355</v>
      </c>
      <c r="P25303" s="5" t="s">
        <v>355</v>
      </c>
      <c r="Q25303" s="5" t="s">
        <v>355</v>
      </c>
    </row>
    <row r="25304" ht="16.5" customHeight="1">
      <c r="O25304" s="5" t="s">
        <v>355</v>
      </c>
      <c r="P25304" s="5" t="s">
        <v>355</v>
      </c>
      <c r="Q25304" s="5" t="s">
        <v>355</v>
      </c>
    </row>
    <row r="25305" ht="16.5" customHeight="1">
      <c r="O25305" s="5" t="s">
        <v>355</v>
      </c>
      <c r="P25305" s="5" t="s">
        <v>355</v>
      </c>
      <c r="Q25305" s="5" t="s">
        <v>355</v>
      </c>
    </row>
    <row r="25306" ht="16.5" customHeight="1">
      <c r="O25306" s="5" t="s">
        <v>355</v>
      </c>
      <c r="P25306" s="5" t="s">
        <v>355</v>
      </c>
      <c r="Q25306" s="5" t="s">
        <v>355</v>
      </c>
    </row>
    <row r="25307" ht="16.5" customHeight="1">
      <c r="O25307" s="5" t="s">
        <v>355</v>
      </c>
      <c r="P25307" s="5" t="s">
        <v>355</v>
      </c>
      <c r="Q25307" s="5" t="s">
        <v>355</v>
      </c>
    </row>
    <row r="25308" ht="16.5" customHeight="1">
      <c r="O25308" s="5" t="s">
        <v>355</v>
      </c>
      <c r="P25308" s="5" t="s">
        <v>355</v>
      </c>
      <c r="Q25308" s="5" t="s">
        <v>355</v>
      </c>
    </row>
    <row r="25309" ht="16.5" customHeight="1">
      <c r="O25309" s="5" t="s">
        <v>355</v>
      </c>
      <c r="P25309" s="5" t="s">
        <v>355</v>
      </c>
      <c r="Q25309" s="5" t="s">
        <v>355</v>
      </c>
    </row>
    <row r="25310" ht="16.5" customHeight="1">
      <c r="O25310" s="5" t="s">
        <v>355</v>
      </c>
      <c r="P25310" s="5" t="s">
        <v>355</v>
      </c>
      <c r="Q25310" s="5" t="s">
        <v>355</v>
      </c>
    </row>
    <row r="25311" ht="16.5" customHeight="1">
      <c r="O25311" s="5" t="s">
        <v>355</v>
      </c>
      <c r="P25311" s="5" t="s">
        <v>355</v>
      </c>
      <c r="Q25311" s="5" t="s">
        <v>355</v>
      </c>
    </row>
    <row r="25312" ht="16.5" customHeight="1">
      <c r="O25312" s="5" t="s">
        <v>355</v>
      </c>
      <c r="P25312" s="5" t="s">
        <v>355</v>
      </c>
      <c r="Q25312" s="5" t="s">
        <v>355</v>
      </c>
    </row>
    <row r="25313" ht="16.5" customHeight="1">
      <c r="O25313" s="5" t="s">
        <v>355</v>
      </c>
      <c r="P25313" s="5" t="s">
        <v>355</v>
      </c>
      <c r="Q25313" s="5" t="s">
        <v>355</v>
      </c>
    </row>
    <row r="25314" ht="16.5" customHeight="1">
      <c r="O25314" s="5" t="s">
        <v>355</v>
      </c>
      <c r="P25314" s="5" t="s">
        <v>355</v>
      </c>
      <c r="Q25314" s="5" t="s">
        <v>355</v>
      </c>
    </row>
    <row r="25315" ht="16.5" customHeight="1">
      <c r="O25315" s="5" t="s">
        <v>355</v>
      </c>
      <c r="P25315" s="5" t="s">
        <v>355</v>
      </c>
      <c r="Q25315" s="5" t="s">
        <v>355</v>
      </c>
    </row>
    <row r="25316" ht="16.5" customHeight="1">
      <c r="O25316" s="5" t="s">
        <v>355</v>
      </c>
      <c r="P25316" s="5" t="s">
        <v>355</v>
      </c>
      <c r="Q25316" s="5" t="s">
        <v>355</v>
      </c>
    </row>
    <row r="25317" ht="16.5" customHeight="1">
      <c r="O25317" s="5" t="s">
        <v>355</v>
      </c>
      <c r="P25317" s="5" t="s">
        <v>355</v>
      </c>
      <c r="Q25317" s="5" t="s">
        <v>355</v>
      </c>
    </row>
    <row r="25318" ht="16.5" customHeight="1">
      <c r="O25318" s="5" t="s">
        <v>355</v>
      </c>
      <c r="P25318" s="5" t="s">
        <v>355</v>
      </c>
      <c r="Q25318" s="5" t="s">
        <v>355</v>
      </c>
    </row>
    <row r="25319" ht="16.5" customHeight="1">
      <c r="O25319" s="5" t="s">
        <v>355</v>
      </c>
      <c r="P25319" s="5" t="s">
        <v>355</v>
      </c>
      <c r="Q25319" s="5" t="s">
        <v>355</v>
      </c>
    </row>
    <row r="25320" ht="16.5" customHeight="1">
      <c r="O25320" s="5" t="s">
        <v>355</v>
      </c>
      <c r="P25320" s="5" t="s">
        <v>355</v>
      </c>
      <c r="Q25320" s="5" t="s">
        <v>355</v>
      </c>
    </row>
    <row r="25321" ht="16.5" customHeight="1">
      <c r="O25321" s="5" t="s">
        <v>355</v>
      </c>
      <c r="P25321" s="5" t="s">
        <v>355</v>
      </c>
      <c r="Q25321" s="5" t="s">
        <v>355</v>
      </c>
    </row>
    <row r="25322" ht="16.5" customHeight="1">
      <c r="O25322" s="5" t="s">
        <v>355</v>
      </c>
      <c r="P25322" s="5" t="s">
        <v>355</v>
      </c>
      <c r="Q25322" s="5" t="s">
        <v>355</v>
      </c>
    </row>
    <row r="25323" ht="16.5" customHeight="1">
      <c r="O25323" s="5" t="s">
        <v>355</v>
      </c>
      <c r="P25323" s="5" t="s">
        <v>355</v>
      </c>
      <c r="Q25323" s="5" t="s">
        <v>355</v>
      </c>
    </row>
    <row r="25324" ht="16.5" customHeight="1">
      <c r="O25324" s="5" t="s">
        <v>355</v>
      </c>
      <c r="P25324" s="5" t="s">
        <v>355</v>
      </c>
      <c r="Q25324" s="5" t="s">
        <v>355</v>
      </c>
    </row>
    <row r="25325" ht="16.5" customHeight="1">
      <c r="O25325" s="5" t="s">
        <v>355</v>
      </c>
      <c r="P25325" s="5" t="s">
        <v>355</v>
      </c>
      <c r="Q25325" s="5" t="s">
        <v>355</v>
      </c>
    </row>
    <row r="25326" ht="16.5" customHeight="1">
      <c r="O25326" s="5" t="s">
        <v>355</v>
      </c>
      <c r="P25326" s="5" t="s">
        <v>355</v>
      </c>
      <c r="Q25326" s="5" t="s">
        <v>355</v>
      </c>
    </row>
    <row r="25327" ht="16.5" customHeight="1">
      <c r="O25327" s="5" t="s">
        <v>355</v>
      </c>
      <c r="P25327" s="5" t="s">
        <v>355</v>
      </c>
      <c r="Q25327" s="5" t="s">
        <v>355</v>
      </c>
    </row>
    <row r="25328" ht="16.5" customHeight="1">
      <c r="O25328" s="5" t="s">
        <v>355</v>
      </c>
      <c r="P25328" s="5" t="s">
        <v>355</v>
      </c>
      <c r="Q25328" s="5" t="s">
        <v>355</v>
      </c>
    </row>
    <row r="25329" ht="16.5" customHeight="1">
      <c r="O25329" s="5" t="s">
        <v>355</v>
      </c>
      <c r="P25329" s="5" t="s">
        <v>355</v>
      </c>
      <c r="Q25329" s="5" t="s">
        <v>355</v>
      </c>
    </row>
    <row r="25330" ht="16.5" customHeight="1">
      <c r="O25330" s="5" t="s">
        <v>355</v>
      </c>
      <c r="P25330" s="5" t="s">
        <v>355</v>
      </c>
      <c r="Q25330" s="5" t="s">
        <v>355</v>
      </c>
    </row>
    <row r="25331" ht="16.5" customHeight="1">
      <c r="O25331" s="5" t="s">
        <v>355</v>
      </c>
      <c r="P25331" s="5" t="s">
        <v>355</v>
      </c>
      <c r="Q25331" s="5" t="s">
        <v>355</v>
      </c>
    </row>
    <row r="25332" ht="16.5" customHeight="1">
      <c r="O25332" s="5" t="s">
        <v>355</v>
      </c>
      <c r="P25332" s="5" t="s">
        <v>355</v>
      </c>
      <c r="Q25332" s="5" t="s">
        <v>355</v>
      </c>
    </row>
    <row r="25333" ht="16.5" customHeight="1">
      <c r="O25333" s="5" t="s">
        <v>355</v>
      </c>
      <c r="P25333" s="5" t="s">
        <v>355</v>
      </c>
      <c r="Q25333" s="5" t="s">
        <v>355</v>
      </c>
    </row>
    <row r="25334" ht="16.5" customHeight="1">
      <c r="O25334" s="5" t="s">
        <v>355</v>
      </c>
      <c r="P25334" s="5" t="s">
        <v>355</v>
      </c>
      <c r="Q25334" s="5" t="s">
        <v>355</v>
      </c>
    </row>
    <row r="25335" ht="16.5" customHeight="1">
      <c r="O25335" s="5" t="s">
        <v>355</v>
      </c>
      <c r="P25335" s="5" t="s">
        <v>355</v>
      </c>
      <c r="Q25335" s="5" t="s">
        <v>355</v>
      </c>
    </row>
    <row r="25336" ht="16.5" customHeight="1">
      <c r="O25336" s="5" t="s">
        <v>355</v>
      </c>
      <c r="P25336" s="5" t="s">
        <v>355</v>
      </c>
      <c r="Q25336" s="5" t="s">
        <v>355</v>
      </c>
    </row>
    <row r="25337" ht="16.5" customHeight="1">
      <c r="O25337" s="5" t="s">
        <v>355</v>
      </c>
      <c r="P25337" s="5" t="s">
        <v>355</v>
      </c>
      <c r="Q25337" s="5" t="s">
        <v>355</v>
      </c>
    </row>
    <row r="25338" ht="16.5" customHeight="1">
      <c r="O25338" s="5" t="s">
        <v>355</v>
      </c>
      <c r="P25338" s="5" t="s">
        <v>355</v>
      </c>
      <c r="Q25338" s="5" t="s">
        <v>355</v>
      </c>
    </row>
    <row r="25339" ht="16.5" customHeight="1">
      <c r="O25339" s="5" t="s">
        <v>355</v>
      </c>
      <c r="P25339" s="5" t="s">
        <v>355</v>
      </c>
      <c r="Q25339" s="5" t="s">
        <v>355</v>
      </c>
    </row>
    <row r="25340" ht="16.5" customHeight="1">
      <c r="O25340" s="5" t="s">
        <v>355</v>
      </c>
      <c r="P25340" s="5" t="s">
        <v>355</v>
      </c>
      <c r="Q25340" s="5" t="s">
        <v>355</v>
      </c>
    </row>
    <row r="25341" ht="16.5" customHeight="1">
      <c r="O25341" s="5" t="s">
        <v>355</v>
      </c>
      <c r="P25341" s="5" t="s">
        <v>355</v>
      </c>
      <c r="Q25341" s="5" t="s">
        <v>355</v>
      </c>
    </row>
    <row r="25342" ht="16.5" customHeight="1">
      <c r="O25342" s="5" t="s">
        <v>355</v>
      </c>
      <c r="P25342" s="5" t="s">
        <v>355</v>
      </c>
      <c r="Q25342" s="5" t="s">
        <v>355</v>
      </c>
    </row>
    <row r="25343" ht="16.5" customHeight="1">
      <c r="O25343" s="5" t="s">
        <v>355</v>
      </c>
      <c r="P25343" s="5" t="s">
        <v>355</v>
      </c>
      <c r="Q25343" s="5" t="s">
        <v>355</v>
      </c>
    </row>
    <row r="25344" ht="16.5" customHeight="1">
      <c r="O25344" s="5" t="s">
        <v>355</v>
      </c>
      <c r="P25344" s="5" t="s">
        <v>355</v>
      </c>
      <c r="Q25344" s="5" t="s">
        <v>355</v>
      </c>
    </row>
    <row r="25345" ht="16.5" customHeight="1">
      <c r="O25345" s="5" t="s">
        <v>355</v>
      </c>
      <c r="P25345" s="5" t="s">
        <v>355</v>
      </c>
      <c r="Q25345" s="5" t="s">
        <v>355</v>
      </c>
    </row>
    <row r="25346" ht="16.5" customHeight="1">
      <c r="O25346" s="5" t="s">
        <v>355</v>
      </c>
      <c r="P25346" s="5" t="s">
        <v>355</v>
      </c>
      <c r="Q25346" s="5" t="s">
        <v>355</v>
      </c>
    </row>
    <row r="25347" ht="16.5" customHeight="1">
      <c r="O25347" s="5" t="s">
        <v>355</v>
      </c>
      <c r="P25347" s="5" t="s">
        <v>355</v>
      </c>
      <c r="Q25347" s="5" t="s">
        <v>355</v>
      </c>
    </row>
    <row r="25348" ht="16.5" customHeight="1">
      <c r="O25348" s="5" t="s">
        <v>355</v>
      </c>
      <c r="P25348" s="5" t="s">
        <v>355</v>
      </c>
      <c r="Q25348" s="5" t="s">
        <v>355</v>
      </c>
    </row>
    <row r="25349" ht="16.5" customHeight="1">
      <c r="O25349" s="5" t="s">
        <v>355</v>
      </c>
      <c r="P25349" s="5" t="s">
        <v>355</v>
      </c>
      <c r="Q25349" s="5" t="s">
        <v>355</v>
      </c>
    </row>
    <row r="25350" ht="16.5" customHeight="1">
      <c r="O25350" s="5" t="s">
        <v>355</v>
      </c>
      <c r="P25350" s="5" t="s">
        <v>355</v>
      </c>
      <c r="Q25350" s="5" t="s">
        <v>355</v>
      </c>
    </row>
    <row r="25351" ht="16.5" customHeight="1">
      <c r="O25351" s="5" t="s">
        <v>355</v>
      </c>
      <c r="P25351" s="5" t="s">
        <v>355</v>
      </c>
      <c r="Q25351" s="5" t="s">
        <v>355</v>
      </c>
    </row>
    <row r="25352" ht="16.5" customHeight="1">
      <c r="O25352" s="5" t="s">
        <v>355</v>
      </c>
      <c r="P25352" s="5" t="s">
        <v>355</v>
      </c>
      <c r="Q25352" s="5" t="s">
        <v>355</v>
      </c>
    </row>
    <row r="25353" ht="16.5" customHeight="1">
      <c r="O25353" s="5" t="s">
        <v>355</v>
      </c>
      <c r="P25353" s="5" t="s">
        <v>355</v>
      </c>
      <c r="Q25353" s="5" t="s">
        <v>355</v>
      </c>
    </row>
    <row r="25354" ht="16.5" customHeight="1">
      <c r="O25354" s="5" t="s">
        <v>355</v>
      </c>
      <c r="P25354" s="5" t="s">
        <v>355</v>
      </c>
      <c r="Q25354" s="5" t="s">
        <v>355</v>
      </c>
    </row>
    <row r="25355" ht="16.5" customHeight="1">
      <c r="O25355" s="5" t="s">
        <v>355</v>
      </c>
      <c r="P25355" s="5" t="s">
        <v>355</v>
      </c>
      <c r="Q25355" s="5" t="s">
        <v>355</v>
      </c>
    </row>
    <row r="25356" ht="16.5" customHeight="1">
      <c r="O25356" s="5" t="s">
        <v>355</v>
      </c>
      <c r="P25356" s="5" t="s">
        <v>355</v>
      </c>
      <c r="Q25356" s="5" t="s">
        <v>355</v>
      </c>
    </row>
    <row r="25357" ht="16.5" customHeight="1">
      <c r="O25357" s="5" t="s">
        <v>355</v>
      </c>
      <c r="P25357" s="5" t="s">
        <v>355</v>
      </c>
      <c r="Q25357" s="5" t="s">
        <v>355</v>
      </c>
    </row>
    <row r="25358" ht="16.5" customHeight="1">
      <c r="O25358" s="5" t="s">
        <v>355</v>
      </c>
      <c r="P25358" s="5" t="s">
        <v>355</v>
      </c>
      <c r="Q25358" s="5" t="s">
        <v>355</v>
      </c>
    </row>
    <row r="25359" ht="16.5" customHeight="1">
      <c r="O25359" s="5" t="s">
        <v>355</v>
      </c>
      <c r="P25359" s="5" t="s">
        <v>355</v>
      </c>
      <c r="Q25359" s="5" t="s">
        <v>355</v>
      </c>
    </row>
    <row r="25360" ht="16.5" customHeight="1">
      <c r="O25360" s="5" t="s">
        <v>355</v>
      </c>
      <c r="P25360" s="5" t="s">
        <v>355</v>
      </c>
      <c r="Q25360" s="5" t="s">
        <v>355</v>
      </c>
    </row>
    <row r="25361" ht="16.5" customHeight="1">
      <c r="O25361" s="5" t="s">
        <v>355</v>
      </c>
      <c r="P25361" s="5" t="s">
        <v>355</v>
      </c>
      <c r="Q25361" s="5" t="s">
        <v>355</v>
      </c>
    </row>
    <row r="25362" ht="16.5" customHeight="1">
      <c r="O25362" s="5" t="s">
        <v>355</v>
      </c>
      <c r="P25362" s="5" t="s">
        <v>355</v>
      </c>
      <c r="Q25362" s="5" t="s">
        <v>355</v>
      </c>
    </row>
    <row r="25363" ht="16.5" customHeight="1">
      <c r="O25363" s="5" t="s">
        <v>355</v>
      </c>
      <c r="P25363" s="5" t="s">
        <v>355</v>
      </c>
      <c r="Q25363" s="5" t="s">
        <v>355</v>
      </c>
    </row>
    <row r="25364" ht="16.5" customHeight="1">
      <c r="O25364" s="5" t="s">
        <v>355</v>
      </c>
      <c r="P25364" s="5" t="s">
        <v>355</v>
      </c>
      <c r="Q25364" s="5" t="s">
        <v>355</v>
      </c>
    </row>
    <row r="25365" ht="16.5" customHeight="1">
      <c r="O25365" s="5" t="s">
        <v>355</v>
      </c>
      <c r="P25365" s="5" t="s">
        <v>355</v>
      </c>
      <c r="Q25365" s="5" t="s">
        <v>355</v>
      </c>
    </row>
    <row r="25366" ht="16.5" customHeight="1">
      <c r="O25366" s="5" t="s">
        <v>355</v>
      </c>
      <c r="P25366" s="5" t="s">
        <v>355</v>
      </c>
      <c r="Q25366" s="5" t="s">
        <v>355</v>
      </c>
    </row>
    <row r="25367" ht="16.5" customHeight="1">
      <c r="O25367" s="5" t="s">
        <v>355</v>
      </c>
      <c r="P25367" s="5" t="s">
        <v>355</v>
      </c>
      <c r="Q25367" s="5" t="s">
        <v>355</v>
      </c>
    </row>
    <row r="25368" ht="16.5" customHeight="1">
      <c r="O25368" s="5" t="s">
        <v>355</v>
      </c>
      <c r="P25368" s="5" t="s">
        <v>355</v>
      </c>
      <c r="Q25368" s="5" t="s">
        <v>355</v>
      </c>
    </row>
    <row r="25369" ht="16.5" customHeight="1">
      <c r="O25369" s="5" t="s">
        <v>355</v>
      </c>
      <c r="P25369" s="5" t="s">
        <v>355</v>
      </c>
      <c r="Q25369" s="5" t="s">
        <v>355</v>
      </c>
    </row>
    <row r="25370" ht="16.5" customHeight="1">
      <c r="O25370" s="5" t="s">
        <v>355</v>
      </c>
      <c r="P25370" s="5" t="s">
        <v>355</v>
      </c>
      <c r="Q25370" s="5" t="s">
        <v>355</v>
      </c>
    </row>
    <row r="25371" ht="16.5" customHeight="1">
      <c r="O25371" s="5" t="s">
        <v>355</v>
      </c>
      <c r="P25371" s="5" t="s">
        <v>355</v>
      </c>
      <c r="Q25371" s="5" t="s">
        <v>355</v>
      </c>
    </row>
    <row r="25372" ht="16.5" customHeight="1">
      <c r="O25372" s="5" t="s">
        <v>355</v>
      </c>
      <c r="P25372" s="5" t="s">
        <v>355</v>
      </c>
      <c r="Q25372" s="5" t="s">
        <v>355</v>
      </c>
    </row>
    <row r="25373" ht="16.5" customHeight="1">
      <c r="O25373" s="5" t="s">
        <v>355</v>
      </c>
      <c r="P25373" s="5" t="s">
        <v>355</v>
      </c>
      <c r="Q25373" s="5" t="s">
        <v>355</v>
      </c>
    </row>
    <row r="25374" ht="16.5" customHeight="1">
      <c r="O25374" s="5" t="s">
        <v>355</v>
      </c>
      <c r="P25374" s="5" t="s">
        <v>355</v>
      </c>
      <c r="Q25374" s="5" t="s">
        <v>355</v>
      </c>
    </row>
    <row r="25375" ht="16.5" customHeight="1">
      <c r="O25375" s="5" t="s">
        <v>355</v>
      </c>
      <c r="P25375" s="5" t="s">
        <v>355</v>
      </c>
      <c r="Q25375" s="5" t="s">
        <v>355</v>
      </c>
    </row>
    <row r="25376" ht="16.5" customHeight="1">
      <c r="O25376" s="5" t="s">
        <v>355</v>
      </c>
      <c r="P25376" s="5" t="s">
        <v>355</v>
      </c>
      <c r="Q25376" s="5" t="s">
        <v>355</v>
      </c>
    </row>
    <row r="25377" ht="16.5" customHeight="1">
      <c r="O25377" s="5" t="s">
        <v>355</v>
      </c>
      <c r="P25377" s="5" t="s">
        <v>355</v>
      </c>
      <c r="Q25377" s="5" t="s">
        <v>355</v>
      </c>
    </row>
    <row r="25378" ht="16.5" customHeight="1">
      <c r="O25378" s="5" t="s">
        <v>355</v>
      </c>
      <c r="P25378" s="5" t="s">
        <v>355</v>
      </c>
      <c r="Q25378" s="5" t="s">
        <v>355</v>
      </c>
    </row>
    <row r="25379" ht="16.5" customHeight="1">
      <c r="O25379" s="5" t="s">
        <v>355</v>
      </c>
      <c r="P25379" s="5" t="s">
        <v>355</v>
      </c>
      <c r="Q25379" s="5" t="s">
        <v>355</v>
      </c>
    </row>
    <row r="25380" ht="16.5" customHeight="1">
      <c r="O25380" s="5" t="s">
        <v>355</v>
      </c>
      <c r="P25380" s="5" t="s">
        <v>355</v>
      </c>
      <c r="Q25380" s="5" t="s">
        <v>355</v>
      </c>
    </row>
    <row r="25381" ht="16.5" customHeight="1">
      <c r="O25381" s="5" t="s">
        <v>355</v>
      </c>
      <c r="P25381" s="5" t="s">
        <v>355</v>
      </c>
      <c r="Q25381" s="5" t="s">
        <v>355</v>
      </c>
    </row>
    <row r="25382" ht="16.5" customHeight="1">
      <c r="O25382" s="5" t="s">
        <v>355</v>
      </c>
      <c r="P25382" s="5" t="s">
        <v>355</v>
      </c>
      <c r="Q25382" s="5" t="s">
        <v>355</v>
      </c>
    </row>
    <row r="25383" ht="16.5" customHeight="1">
      <c r="O25383" s="5" t="s">
        <v>355</v>
      </c>
      <c r="P25383" s="5" t="s">
        <v>355</v>
      </c>
      <c r="Q25383" s="5" t="s">
        <v>355</v>
      </c>
    </row>
    <row r="25384" ht="16.5" customHeight="1">
      <c r="O25384" s="5" t="s">
        <v>355</v>
      </c>
      <c r="P25384" s="5" t="s">
        <v>355</v>
      </c>
      <c r="Q25384" s="5" t="s">
        <v>355</v>
      </c>
    </row>
    <row r="25385" ht="16.5" customHeight="1">
      <c r="O25385" s="5" t="s">
        <v>355</v>
      </c>
      <c r="P25385" s="5" t="s">
        <v>355</v>
      </c>
      <c r="Q25385" s="5" t="s">
        <v>355</v>
      </c>
    </row>
    <row r="25386" ht="16.5" customHeight="1">
      <c r="O25386" s="5" t="s">
        <v>355</v>
      </c>
      <c r="P25386" s="5" t="s">
        <v>355</v>
      </c>
      <c r="Q25386" s="5" t="s">
        <v>355</v>
      </c>
    </row>
    <row r="25387" ht="16.5" customHeight="1">
      <c r="O25387" s="5" t="s">
        <v>355</v>
      </c>
      <c r="P25387" s="5" t="s">
        <v>355</v>
      </c>
      <c r="Q25387" s="5" t="s">
        <v>355</v>
      </c>
    </row>
    <row r="25388" ht="16.5" customHeight="1">
      <c r="O25388" s="5" t="s">
        <v>355</v>
      </c>
      <c r="P25388" s="5" t="s">
        <v>355</v>
      </c>
      <c r="Q25388" s="5" t="s">
        <v>355</v>
      </c>
    </row>
    <row r="25389" ht="16.5" customHeight="1">
      <c r="O25389" s="5" t="s">
        <v>355</v>
      </c>
      <c r="P25389" s="5" t="s">
        <v>355</v>
      </c>
      <c r="Q25389" s="5" t="s">
        <v>355</v>
      </c>
    </row>
    <row r="25390" ht="16.5" customHeight="1">
      <c r="O25390" s="5" t="s">
        <v>355</v>
      </c>
      <c r="P25390" s="5" t="s">
        <v>355</v>
      </c>
      <c r="Q25390" s="5" t="s">
        <v>355</v>
      </c>
    </row>
    <row r="25391" ht="16.5" customHeight="1">
      <c r="O25391" s="5" t="s">
        <v>355</v>
      </c>
      <c r="P25391" s="5" t="s">
        <v>355</v>
      </c>
      <c r="Q25391" s="5" t="s">
        <v>355</v>
      </c>
    </row>
    <row r="25392" ht="16.5" customHeight="1">
      <c r="O25392" s="5" t="s">
        <v>355</v>
      </c>
      <c r="P25392" s="5" t="s">
        <v>355</v>
      </c>
      <c r="Q25392" s="5" t="s">
        <v>355</v>
      </c>
    </row>
    <row r="25393" ht="16.5" customHeight="1">
      <c r="O25393" s="5" t="s">
        <v>355</v>
      </c>
      <c r="P25393" s="5" t="s">
        <v>355</v>
      </c>
      <c r="Q25393" s="5" t="s">
        <v>355</v>
      </c>
    </row>
    <row r="25394" ht="16.5" customHeight="1">
      <c r="O25394" s="5" t="s">
        <v>355</v>
      </c>
      <c r="P25394" s="5" t="s">
        <v>355</v>
      </c>
      <c r="Q25394" s="5" t="s">
        <v>355</v>
      </c>
    </row>
    <row r="25395" ht="16.5" customHeight="1">
      <c r="O25395" s="5" t="s">
        <v>355</v>
      </c>
      <c r="P25395" s="5" t="s">
        <v>355</v>
      </c>
      <c r="Q25395" s="5" t="s">
        <v>355</v>
      </c>
    </row>
    <row r="25396" ht="16.5" customHeight="1">
      <c r="O25396" s="5" t="s">
        <v>355</v>
      </c>
      <c r="P25396" s="5" t="s">
        <v>355</v>
      </c>
      <c r="Q25396" s="5" t="s">
        <v>355</v>
      </c>
    </row>
    <row r="25397" ht="16.5" customHeight="1">
      <c r="O25397" s="5" t="s">
        <v>355</v>
      </c>
      <c r="P25397" s="5" t="s">
        <v>355</v>
      </c>
      <c r="Q25397" s="5" t="s">
        <v>355</v>
      </c>
    </row>
    <row r="25398" ht="16.5" customHeight="1">
      <c r="O25398" s="5" t="s">
        <v>355</v>
      </c>
      <c r="P25398" s="5" t="s">
        <v>355</v>
      </c>
      <c r="Q25398" s="5" t="s">
        <v>355</v>
      </c>
    </row>
    <row r="25399" ht="16.5" customHeight="1">
      <c r="O25399" s="5" t="s">
        <v>355</v>
      </c>
      <c r="P25399" s="5" t="s">
        <v>355</v>
      </c>
      <c r="Q25399" s="5" t="s">
        <v>355</v>
      </c>
    </row>
    <row r="25400" ht="16.5" customHeight="1">
      <c r="O25400" s="5" t="s">
        <v>355</v>
      </c>
      <c r="P25400" s="5" t="s">
        <v>355</v>
      </c>
      <c r="Q25400" s="5" t="s">
        <v>355</v>
      </c>
    </row>
    <row r="25401" ht="16.5" customHeight="1">
      <c r="O25401" s="5" t="s">
        <v>355</v>
      </c>
      <c r="P25401" s="5" t="s">
        <v>355</v>
      </c>
      <c r="Q25401" s="5" t="s">
        <v>355</v>
      </c>
    </row>
    <row r="25402" ht="16.5" customHeight="1">
      <c r="O25402" s="5" t="s">
        <v>355</v>
      </c>
      <c r="P25402" s="5" t="s">
        <v>355</v>
      </c>
      <c r="Q25402" s="5" t="s">
        <v>355</v>
      </c>
    </row>
    <row r="25403" ht="16.5" customHeight="1">
      <c r="O25403" s="5" t="s">
        <v>355</v>
      </c>
      <c r="P25403" s="5" t="s">
        <v>355</v>
      </c>
      <c r="Q25403" s="5" t="s">
        <v>355</v>
      </c>
    </row>
    <row r="25404" ht="16.5" customHeight="1">
      <c r="O25404" s="5" t="s">
        <v>355</v>
      </c>
      <c r="P25404" s="5" t="s">
        <v>355</v>
      </c>
      <c r="Q25404" s="5" t="s">
        <v>355</v>
      </c>
    </row>
    <row r="25405" ht="16.5" customHeight="1">
      <c r="O25405" s="5" t="s">
        <v>355</v>
      </c>
      <c r="P25405" s="5" t="s">
        <v>355</v>
      </c>
      <c r="Q25405" s="5" t="s">
        <v>355</v>
      </c>
    </row>
    <row r="25406" ht="16.5" customHeight="1">
      <c r="O25406" s="5" t="s">
        <v>355</v>
      </c>
      <c r="P25406" s="5" t="s">
        <v>355</v>
      </c>
      <c r="Q25406" s="5" t="s">
        <v>355</v>
      </c>
    </row>
    <row r="25407" ht="16.5" customHeight="1">
      <c r="O25407" s="5" t="s">
        <v>355</v>
      </c>
      <c r="P25407" s="5" t="s">
        <v>355</v>
      </c>
      <c r="Q25407" s="5" t="s">
        <v>355</v>
      </c>
    </row>
    <row r="25408" ht="16.5" customHeight="1">
      <c r="O25408" s="5" t="s">
        <v>355</v>
      </c>
      <c r="P25408" s="5" t="s">
        <v>355</v>
      </c>
      <c r="Q25408" s="5" t="s">
        <v>355</v>
      </c>
    </row>
    <row r="25409" ht="16.5" customHeight="1">
      <c r="O25409" s="5" t="s">
        <v>355</v>
      </c>
      <c r="P25409" s="5" t="s">
        <v>355</v>
      </c>
      <c r="Q25409" s="5" t="s">
        <v>355</v>
      </c>
    </row>
    <row r="25410" ht="16.5" customHeight="1">
      <c r="O25410" s="5" t="s">
        <v>355</v>
      </c>
      <c r="P25410" s="5" t="s">
        <v>355</v>
      </c>
      <c r="Q25410" s="5" t="s">
        <v>355</v>
      </c>
    </row>
    <row r="25411" ht="16.5" customHeight="1">
      <c r="O25411" s="5" t="s">
        <v>355</v>
      </c>
      <c r="P25411" s="5" t="s">
        <v>355</v>
      </c>
      <c r="Q25411" s="5" t="s">
        <v>355</v>
      </c>
    </row>
    <row r="25412" ht="16.5" customHeight="1">
      <c r="O25412" s="5" t="s">
        <v>355</v>
      </c>
      <c r="P25412" s="5" t="s">
        <v>355</v>
      </c>
      <c r="Q25412" s="5" t="s">
        <v>355</v>
      </c>
    </row>
    <row r="25413" ht="16.5" customHeight="1">
      <c r="O25413" s="5" t="s">
        <v>355</v>
      </c>
      <c r="P25413" s="5" t="s">
        <v>355</v>
      </c>
      <c r="Q25413" s="5" t="s">
        <v>355</v>
      </c>
    </row>
    <row r="25414" ht="16.5" customHeight="1">
      <c r="O25414" s="5" t="s">
        <v>355</v>
      </c>
      <c r="P25414" s="5" t="s">
        <v>355</v>
      </c>
      <c r="Q25414" s="5" t="s">
        <v>355</v>
      </c>
    </row>
    <row r="25415" ht="16.5" customHeight="1">
      <c r="O25415" s="5" t="s">
        <v>355</v>
      </c>
      <c r="P25415" s="5" t="s">
        <v>355</v>
      </c>
      <c r="Q25415" s="5" t="s">
        <v>355</v>
      </c>
    </row>
    <row r="25416" ht="16.5" customHeight="1">
      <c r="O25416" s="5" t="s">
        <v>355</v>
      </c>
      <c r="P25416" s="5" t="s">
        <v>355</v>
      </c>
      <c r="Q25416" s="5" t="s">
        <v>355</v>
      </c>
    </row>
    <row r="25417" ht="16.5" customHeight="1">
      <c r="O25417" s="5" t="s">
        <v>355</v>
      </c>
      <c r="P25417" s="5" t="s">
        <v>355</v>
      </c>
      <c r="Q25417" s="5" t="s">
        <v>355</v>
      </c>
    </row>
    <row r="25418" ht="16.5" customHeight="1">
      <c r="O25418" s="5" t="s">
        <v>355</v>
      </c>
      <c r="P25418" s="5" t="s">
        <v>355</v>
      </c>
      <c r="Q25418" s="5" t="s">
        <v>355</v>
      </c>
    </row>
    <row r="25419" ht="16.5" customHeight="1">
      <c r="O25419" s="5" t="s">
        <v>355</v>
      </c>
      <c r="P25419" s="5" t="s">
        <v>355</v>
      </c>
      <c r="Q25419" s="5" t="s">
        <v>355</v>
      </c>
    </row>
    <row r="25420" ht="16.5" customHeight="1">
      <c r="O25420" s="5" t="s">
        <v>355</v>
      </c>
      <c r="P25420" s="5" t="s">
        <v>355</v>
      </c>
      <c r="Q25420" s="5" t="s">
        <v>355</v>
      </c>
    </row>
    <row r="25421" ht="16.5" customHeight="1">
      <c r="O25421" s="5" t="s">
        <v>355</v>
      </c>
      <c r="P25421" s="5" t="s">
        <v>355</v>
      </c>
      <c r="Q25421" s="5" t="s">
        <v>355</v>
      </c>
    </row>
    <row r="25422" ht="16.5" customHeight="1">
      <c r="O25422" s="5" t="s">
        <v>355</v>
      </c>
      <c r="P25422" s="5" t="s">
        <v>355</v>
      </c>
      <c r="Q25422" s="5" t="s">
        <v>355</v>
      </c>
    </row>
    <row r="25423" ht="16.5" customHeight="1">
      <c r="O25423" s="5" t="s">
        <v>355</v>
      </c>
      <c r="P25423" s="5" t="s">
        <v>355</v>
      </c>
      <c r="Q25423" s="5" t="s">
        <v>355</v>
      </c>
    </row>
    <row r="25424" ht="16.5" customHeight="1">
      <c r="O25424" s="5" t="s">
        <v>355</v>
      </c>
      <c r="P25424" s="5" t="s">
        <v>355</v>
      </c>
      <c r="Q25424" s="5" t="s">
        <v>355</v>
      </c>
    </row>
    <row r="25425" ht="16.5" customHeight="1">
      <c r="O25425" s="5" t="s">
        <v>355</v>
      </c>
      <c r="P25425" s="5" t="s">
        <v>355</v>
      </c>
      <c r="Q25425" s="5" t="s">
        <v>355</v>
      </c>
    </row>
    <row r="25426" ht="16.5" customHeight="1">
      <c r="O25426" s="5" t="s">
        <v>355</v>
      </c>
      <c r="P25426" s="5" t="s">
        <v>355</v>
      </c>
      <c r="Q25426" s="5" t="s">
        <v>355</v>
      </c>
    </row>
    <row r="25427" ht="16.5" customHeight="1">
      <c r="O25427" s="5" t="s">
        <v>355</v>
      </c>
      <c r="P25427" s="5" t="s">
        <v>355</v>
      </c>
      <c r="Q25427" s="5" t="s">
        <v>355</v>
      </c>
    </row>
    <row r="25428" ht="16.5" customHeight="1">
      <c r="O25428" s="5" t="s">
        <v>355</v>
      </c>
      <c r="P25428" s="5" t="s">
        <v>355</v>
      </c>
      <c r="Q25428" s="5" t="s">
        <v>355</v>
      </c>
    </row>
    <row r="25429" ht="16.5" customHeight="1">
      <c r="O25429" s="5" t="s">
        <v>355</v>
      </c>
      <c r="P25429" s="5" t="s">
        <v>355</v>
      </c>
      <c r="Q25429" s="5" t="s">
        <v>355</v>
      </c>
    </row>
    <row r="25430" ht="16.5" customHeight="1">
      <c r="O25430" s="5" t="s">
        <v>355</v>
      </c>
      <c r="P25430" s="5" t="s">
        <v>355</v>
      </c>
      <c r="Q25430" s="5" t="s">
        <v>355</v>
      </c>
    </row>
    <row r="25431" ht="16.5" customHeight="1">
      <c r="O25431" s="5" t="s">
        <v>355</v>
      </c>
      <c r="P25431" s="5" t="s">
        <v>355</v>
      </c>
      <c r="Q25431" s="5" t="s">
        <v>355</v>
      </c>
    </row>
    <row r="25432" ht="16.5" customHeight="1">
      <c r="O25432" s="5" t="s">
        <v>355</v>
      </c>
      <c r="P25432" s="5" t="s">
        <v>355</v>
      </c>
      <c r="Q25432" s="5" t="s">
        <v>355</v>
      </c>
    </row>
    <row r="25433" ht="16.5" customHeight="1">
      <c r="O25433" s="5" t="s">
        <v>355</v>
      </c>
      <c r="P25433" s="5" t="s">
        <v>355</v>
      </c>
      <c r="Q25433" s="5" t="s">
        <v>355</v>
      </c>
    </row>
    <row r="25434" ht="16.5" customHeight="1">
      <c r="O25434" s="5" t="s">
        <v>355</v>
      </c>
      <c r="P25434" s="5" t="s">
        <v>355</v>
      </c>
      <c r="Q25434" s="5" t="s">
        <v>355</v>
      </c>
    </row>
    <row r="25435" ht="16.5" customHeight="1">
      <c r="O25435" s="5" t="s">
        <v>355</v>
      </c>
      <c r="P25435" s="5" t="s">
        <v>355</v>
      </c>
      <c r="Q25435" s="5" t="s">
        <v>355</v>
      </c>
    </row>
    <row r="25436" ht="16.5" customHeight="1">
      <c r="O25436" s="5" t="s">
        <v>355</v>
      </c>
      <c r="P25436" s="5" t="s">
        <v>355</v>
      </c>
      <c r="Q25436" s="5" t="s">
        <v>355</v>
      </c>
    </row>
    <row r="25437" ht="16.5" customHeight="1">
      <c r="O25437" s="5" t="s">
        <v>355</v>
      </c>
      <c r="P25437" s="5" t="s">
        <v>355</v>
      </c>
      <c r="Q25437" s="5" t="s">
        <v>355</v>
      </c>
    </row>
    <row r="25438" ht="16.5" customHeight="1">
      <c r="O25438" s="5" t="s">
        <v>355</v>
      </c>
      <c r="P25438" s="5" t="s">
        <v>355</v>
      </c>
      <c r="Q25438" s="5" t="s">
        <v>355</v>
      </c>
    </row>
    <row r="25439" ht="16.5" customHeight="1">
      <c r="O25439" s="5" t="s">
        <v>355</v>
      </c>
      <c r="P25439" s="5" t="s">
        <v>355</v>
      </c>
      <c r="Q25439" s="5" t="s">
        <v>355</v>
      </c>
    </row>
    <row r="25440" ht="16.5" customHeight="1">
      <c r="O25440" s="5" t="s">
        <v>355</v>
      </c>
      <c r="P25440" s="5" t="s">
        <v>355</v>
      </c>
      <c r="Q25440" s="5" t="s">
        <v>355</v>
      </c>
    </row>
    <row r="25441" ht="16.5" customHeight="1">
      <c r="O25441" s="5" t="s">
        <v>355</v>
      </c>
      <c r="P25441" s="5" t="s">
        <v>355</v>
      </c>
      <c r="Q25441" s="5" t="s">
        <v>355</v>
      </c>
    </row>
    <row r="25442" ht="16.5" customHeight="1">
      <c r="O25442" s="5" t="s">
        <v>355</v>
      </c>
      <c r="P25442" s="5" t="s">
        <v>355</v>
      </c>
      <c r="Q25442" s="5" t="s">
        <v>355</v>
      </c>
    </row>
    <row r="25443" ht="16.5" customHeight="1">
      <c r="O25443" s="5" t="s">
        <v>355</v>
      </c>
      <c r="P25443" s="5" t="s">
        <v>355</v>
      </c>
      <c r="Q25443" s="5" t="s">
        <v>355</v>
      </c>
    </row>
    <row r="25444" ht="16.5" customHeight="1">
      <c r="O25444" s="5" t="s">
        <v>355</v>
      </c>
      <c r="P25444" s="5" t="s">
        <v>355</v>
      </c>
      <c r="Q25444" s="5" t="s">
        <v>355</v>
      </c>
    </row>
    <row r="25445" ht="16.5" customHeight="1">
      <c r="O25445" s="5" t="s">
        <v>355</v>
      </c>
      <c r="P25445" s="5" t="s">
        <v>355</v>
      </c>
      <c r="Q25445" s="5" t="s">
        <v>355</v>
      </c>
    </row>
    <row r="25446" ht="16.5" customHeight="1">
      <c r="O25446" s="5" t="s">
        <v>355</v>
      </c>
      <c r="P25446" s="5" t="s">
        <v>355</v>
      </c>
      <c r="Q25446" s="5" t="s">
        <v>355</v>
      </c>
    </row>
    <row r="25447" ht="16.5" customHeight="1">
      <c r="O25447" s="5" t="s">
        <v>355</v>
      </c>
      <c r="P25447" s="5" t="s">
        <v>355</v>
      </c>
      <c r="Q25447" s="5" t="s">
        <v>355</v>
      </c>
    </row>
    <row r="25448" ht="16.5" customHeight="1">
      <c r="O25448" s="5" t="s">
        <v>355</v>
      </c>
      <c r="P25448" s="5" t="s">
        <v>355</v>
      </c>
      <c r="Q25448" s="5" t="s">
        <v>355</v>
      </c>
    </row>
    <row r="25449" ht="16.5" customHeight="1">
      <c r="O25449" s="5" t="s">
        <v>355</v>
      </c>
      <c r="P25449" s="5" t="s">
        <v>355</v>
      </c>
      <c r="Q25449" s="5" t="s">
        <v>355</v>
      </c>
    </row>
    <row r="25450" ht="16.5" customHeight="1">
      <c r="O25450" s="5" t="s">
        <v>355</v>
      </c>
      <c r="P25450" s="5" t="s">
        <v>355</v>
      </c>
      <c r="Q25450" s="5" t="s">
        <v>355</v>
      </c>
    </row>
    <row r="25451" ht="16.5" customHeight="1">
      <c r="O25451" s="5" t="s">
        <v>355</v>
      </c>
      <c r="P25451" s="5" t="s">
        <v>355</v>
      </c>
      <c r="Q25451" s="5" t="s">
        <v>355</v>
      </c>
    </row>
    <row r="25452" ht="16.5" customHeight="1">
      <c r="O25452" s="5" t="s">
        <v>355</v>
      </c>
      <c r="P25452" s="5" t="s">
        <v>355</v>
      </c>
      <c r="Q25452" s="5" t="s">
        <v>355</v>
      </c>
    </row>
    <row r="25453" ht="16.5" customHeight="1">
      <c r="O25453" s="5" t="s">
        <v>355</v>
      </c>
      <c r="P25453" s="5" t="s">
        <v>355</v>
      </c>
      <c r="Q25453" s="5" t="s">
        <v>355</v>
      </c>
    </row>
    <row r="25454" ht="16.5" customHeight="1">
      <c r="O25454" s="5" t="s">
        <v>355</v>
      </c>
      <c r="P25454" s="5" t="s">
        <v>355</v>
      </c>
      <c r="Q25454" s="5" t="s">
        <v>355</v>
      </c>
    </row>
    <row r="25455" ht="16.5" customHeight="1">
      <c r="O25455" s="5" t="s">
        <v>355</v>
      </c>
      <c r="P25455" s="5" t="s">
        <v>355</v>
      </c>
      <c r="Q25455" s="5" t="s">
        <v>355</v>
      </c>
    </row>
    <row r="25456" ht="16.5" customHeight="1">
      <c r="O25456" s="5" t="s">
        <v>355</v>
      </c>
      <c r="P25456" s="5" t="s">
        <v>355</v>
      </c>
      <c r="Q25456" s="5" t="s">
        <v>355</v>
      </c>
    </row>
    <row r="25457" ht="16.5" customHeight="1">
      <c r="O25457" s="5" t="s">
        <v>355</v>
      </c>
      <c r="P25457" s="5" t="s">
        <v>355</v>
      </c>
      <c r="Q25457" s="5" t="s">
        <v>355</v>
      </c>
    </row>
    <row r="25458" ht="16.5" customHeight="1">
      <c r="O25458" s="5" t="s">
        <v>355</v>
      </c>
      <c r="P25458" s="5" t="s">
        <v>355</v>
      </c>
      <c r="Q25458" s="5" t="s">
        <v>355</v>
      </c>
    </row>
    <row r="25459" ht="16.5" customHeight="1">
      <c r="O25459" s="5" t="s">
        <v>355</v>
      </c>
      <c r="P25459" s="5" t="s">
        <v>355</v>
      </c>
      <c r="Q25459" s="5" t="s">
        <v>355</v>
      </c>
    </row>
    <row r="25460" ht="16.5" customHeight="1">
      <c r="O25460" s="5" t="s">
        <v>355</v>
      </c>
      <c r="P25460" s="5" t="s">
        <v>355</v>
      </c>
      <c r="Q25460" s="5" t="s">
        <v>355</v>
      </c>
    </row>
    <row r="25461" ht="16.5" customHeight="1">
      <c r="O25461" s="5" t="s">
        <v>355</v>
      </c>
      <c r="P25461" s="5" t="s">
        <v>355</v>
      </c>
      <c r="Q25461" s="5" t="s">
        <v>355</v>
      </c>
    </row>
    <row r="25462" ht="16.5" customHeight="1">
      <c r="O25462" s="5" t="s">
        <v>355</v>
      </c>
      <c r="P25462" s="5" t="s">
        <v>355</v>
      </c>
      <c r="Q25462" s="5" t="s">
        <v>355</v>
      </c>
    </row>
    <row r="25463" ht="16.5" customHeight="1">
      <c r="O25463" s="5" t="s">
        <v>355</v>
      </c>
      <c r="P25463" s="5" t="s">
        <v>355</v>
      </c>
      <c r="Q25463" s="5" t="s">
        <v>355</v>
      </c>
    </row>
    <row r="25464" ht="16.5" customHeight="1">
      <c r="O25464" s="5" t="s">
        <v>355</v>
      </c>
      <c r="P25464" s="5" t="s">
        <v>355</v>
      </c>
      <c r="Q25464" s="5" t="s">
        <v>355</v>
      </c>
    </row>
    <row r="25465" ht="16.5" customHeight="1">
      <c r="O25465" s="5" t="s">
        <v>355</v>
      </c>
      <c r="P25465" s="5" t="s">
        <v>355</v>
      </c>
      <c r="Q25465" s="5" t="s">
        <v>355</v>
      </c>
    </row>
    <row r="25466" ht="16.5" customHeight="1">
      <c r="O25466" s="5" t="s">
        <v>355</v>
      </c>
      <c r="P25466" s="5" t="s">
        <v>355</v>
      </c>
      <c r="Q25466" s="5" t="s">
        <v>355</v>
      </c>
    </row>
    <row r="25467" ht="16.5" customHeight="1">
      <c r="O25467" s="5" t="s">
        <v>355</v>
      </c>
      <c r="P25467" s="5" t="s">
        <v>355</v>
      </c>
      <c r="Q25467" s="5" t="s">
        <v>355</v>
      </c>
    </row>
    <row r="25468" ht="16.5" customHeight="1">
      <c r="O25468" s="5" t="s">
        <v>355</v>
      </c>
      <c r="P25468" s="5" t="s">
        <v>355</v>
      </c>
      <c r="Q25468" s="5" t="s">
        <v>355</v>
      </c>
    </row>
    <row r="25469" ht="16.5" customHeight="1">
      <c r="O25469" s="5" t="s">
        <v>355</v>
      </c>
      <c r="P25469" s="5" t="s">
        <v>355</v>
      </c>
      <c r="Q25469" s="5" t="s">
        <v>355</v>
      </c>
    </row>
    <row r="25470" ht="16.5" customHeight="1">
      <c r="O25470" s="5" t="s">
        <v>355</v>
      </c>
      <c r="P25470" s="5" t="s">
        <v>355</v>
      </c>
      <c r="Q25470" s="5" t="s">
        <v>355</v>
      </c>
    </row>
    <row r="25471" ht="16.5" customHeight="1">
      <c r="O25471" s="5" t="s">
        <v>355</v>
      </c>
      <c r="P25471" s="5" t="s">
        <v>355</v>
      </c>
      <c r="Q25471" s="5" t="s">
        <v>355</v>
      </c>
    </row>
    <row r="25472" ht="16.5" customHeight="1">
      <c r="O25472" s="5" t="s">
        <v>355</v>
      </c>
      <c r="P25472" s="5" t="s">
        <v>355</v>
      </c>
      <c r="Q25472" s="5" t="s">
        <v>355</v>
      </c>
    </row>
    <row r="25473" ht="16.5" customHeight="1">
      <c r="O25473" s="5" t="s">
        <v>355</v>
      </c>
      <c r="P25473" s="5" t="s">
        <v>355</v>
      </c>
      <c r="Q25473" s="5" t="s">
        <v>355</v>
      </c>
    </row>
    <row r="25474" ht="16.5" customHeight="1">
      <c r="O25474" s="5" t="s">
        <v>355</v>
      </c>
      <c r="P25474" s="5" t="s">
        <v>355</v>
      </c>
      <c r="Q25474" s="5" t="s">
        <v>355</v>
      </c>
    </row>
    <row r="25475" ht="16.5" customHeight="1">
      <c r="O25475" s="5" t="s">
        <v>355</v>
      </c>
      <c r="P25475" s="5" t="s">
        <v>355</v>
      </c>
      <c r="Q25475" s="5" t="s">
        <v>355</v>
      </c>
    </row>
    <row r="25476" ht="16.5" customHeight="1">
      <c r="O25476" s="5" t="s">
        <v>355</v>
      </c>
      <c r="P25476" s="5" t="s">
        <v>355</v>
      </c>
      <c r="Q25476" s="5" t="s">
        <v>355</v>
      </c>
    </row>
    <row r="25477" ht="16.5" customHeight="1">
      <c r="O25477" s="5" t="s">
        <v>355</v>
      </c>
      <c r="P25477" s="5" t="s">
        <v>355</v>
      </c>
      <c r="Q25477" s="5" t="s">
        <v>355</v>
      </c>
    </row>
    <row r="25478" ht="16.5" customHeight="1">
      <c r="O25478" s="5" t="s">
        <v>355</v>
      </c>
      <c r="P25478" s="5" t="s">
        <v>355</v>
      </c>
      <c r="Q25478" s="5" t="s">
        <v>355</v>
      </c>
    </row>
    <row r="25479" ht="16.5" customHeight="1">
      <c r="O25479" s="5" t="s">
        <v>355</v>
      </c>
      <c r="P25479" s="5" t="s">
        <v>355</v>
      </c>
      <c r="Q25479" s="5" t="s">
        <v>355</v>
      </c>
    </row>
    <row r="25480" ht="16.5" customHeight="1">
      <c r="O25480" s="5" t="s">
        <v>355</v>
      </c>
      <c r="P25480" s="5" t="s">
        <v>355</v>
      </c>
      <c r="Q25480" s="5" t="s">
        <v>355</v>
      </c>
    </row>
    <row r="25481" ht="16.5" customHeight="1">
      <c r="O25481" s="5" t="s">
        <v>355</v>
      </c>
      <c r="P25481" s="5" t="s">
        <v>355</v>
      </c>
      <c r="Q25481" s="5" t="s">
        <v>355</v>
      </c>
    </row>
    <row r="25482" ht="16.5" customHeight="1">
      <c r="O25482" s="5" t="s">
        <v>355</v>
      </c>
      <c r="P25482" s="5" t="s">
        <v>355</v>
      </c>
      <c r="Q25482" s="5" t="s">
        <v>355</v>
      </c>
    </row>
    <row r="25483" ht="16.5" customHeight="1">
      <c r="O25483" s="5" t="s">
        <v>355</v>
      </c>
      <c r="P25483" s="5" t="s">
        <v>355</v>
      </c>
      <c r="Q25483" s="5" t="s">
        <v>355</v>
      </c>
    </row>
    <row r="25484" ht="16.5" customHeight="1">
      <c r="O25484" s="5" t="s">
        <v>355</v>
      </c>
      <c r="P25484" s="5" t="s">
        <v>355</v>
      </c>
      <c r="Q25484" s="5" t="s">
        <v>355</v>
      </c>
    </row>
    <row r="25485" ht="16.5" customHeight="1">
      <c r="O25485" s="5" t="s">
        <v>355</v>
      </c>
      <c r="P25485" s="5" t="s">
        <v>355</v>
      </c>
      <c r="Q25485" s="5" t="s">
        <v>355</v>
      </c>
    </row>
    <row r="25486" ht="16.5" customHeight="1">
      <c r="O25486" s="5" t="s">
        <v>355</v>
      </c>
      <c r="P25486" s="5" t="s">
        <v>355</v>
      </c>
      <c r="Q25486" s="5" t="s">
        <v>355</v>
      </c>
    </row>
    <row r="25487" ht="16.5" customHeight="1">
      <c r="O25487" s="5" t="s">
        <v>355</v>
      </c>
      <c r="P25487" s="5" t="s">
        <v>355</v>
      </c>
      <c r="Q25487" s="5" t="s">
        <v>355</v>
      </c>
    </row>
    <row r="25488" ht="16.5" customHeight="1">
      <c r="O25488" s="5" t="s">
        <v>355</v>
      </c>
      <c r="P25488" s="5" t="s">
        <v>355</v>
      </c>
      <c r="Q25488" s="5" t="s">
        <v>355</v>
      </c>
    </row>
    <row r="25489" ht="16.5" customHeight="1">
      <c r="O25489" s="5" t="s">
        <v>355</v>
      </c>
      <c r="P25489" s="5" t="s">
        <v>355</v>
      </c>
      <c r="Q25489" s="5" t="s">
        <v>355</v>
      </c>
    </row>
    <row r="25490" ht="16.5" customHeight="1">
      <c r="O25490" s="5" t="s">
        <v>355</v>
      </c>
      <c r="P25490" s="5" t="s">
        <v>355</v>
      </c>
      <c r="Q25490" s="5" t="s">
        <v>355</v>
      </c>
    </row>
    <row r="25491" ht="16.5" customHeight="1">
      <c r="O25491" s="5" t="s">
        <v>355</v>
      </c>
      <c r="P25491" s="5" t="s">
        <v>355</v>
      </c>
      <c r="Q25491" s="5" t="s">
        <v>355</v>
      </c>
    </row>
    <row r="25492" ht="16.5" customHeight="1">
      <c r="O25492" s="5" t="s">
        <v>355</v>
      </c>
      <c r="P25492" s="5" t="s">
        <v>355</v>
      </c>
      <c r="Q25492" s="5" t="s">
        <v>355</v>
      </c>
    </row>
    <row r="25493" ht="16.5" customHeight="1">
      <c r="O25493" s="5" t="s">
        <v>355</v>
      </c>
      <c r="P25493" s="5" t="s">
        <v>355</v>
      </c>
      <c r="Q25493" s="5" t="s">
        <v>355</v>
      </c>
    </row>
    <row r="25494" ht="16.5" customHeight="1">
      <c r="O25494" s="5" t="s">
        <v>355</v>
      </c>
      <c r="P25494" s="5" t="s">
        <v>355</v>
      </c>
      <c r="Q25494" s="5" t="s">
        <v>355</v>
      </c>
    </row>
    <row r="25495" ht="16.5" customHeight="1">
      <c r="O25495" s="5" t="s">
        <v>355</v>
      </c>
      <c r="P25495" s="5" t="s">
        <v>355</v>
      </c>
      <c r="Q25495" s="5" t="s">
        <v>355</v>
      </c>
    </row>
    <row r="25496" ht="16.5" customHeight="1">
      <c r="O25496" s="5" t="s">
        <v>355</v>
      </c>
      <c r="P25496" s="5" t="s">
        <v>355</v>
      </c>
      <c r="Q25496" s="5" t="s">
        <v>355</v>
      </c>
    </row>
    <row r="25497" ht="16.5" customHeight="1">
      <c r="O25497" s="5" t="s">
        <v>355</v>
      </c>
      <c r="P25497" s="5" t="s">
        <v>355</v>
      </c>
      <c r="Q25497" s="5" t="s">
        <v>355</v>
      </c>
    </row>
    <row r="25498" ht="16.5" customHeight="1">
      <c r="O25498" s="5" t="s">
        <v>355</v>
      </c>
      <c r="P25498" s="5" t="s">
        <v>355</v>
      </c>
      <c r="Q25498" s="5" t="s">
        <v>355</v>
      </c>
    </row>
    <row r="25499" ht="16.5" customHeight="1">
      <c r="O25499" s="5" t="s">
        <v>355</v>
      </c>
      <c r="P25499" s="5" t="s">
        <v>355</v>
      </c>
      <c r="Q25499" s="5" t="s">
        <v>355</v>
      </c>
    </row>
    <row r="25500" ht="16.5" customHeight="1">
      <c r="O25500" s="5" t="s">
        <v>355</v>
      </c>
      <c r="P25500" s="5" t="s">
        <v>355</v>
      </c>
      <c r="Q25500" s="5" t="s">
        <v>355</v>
      </c>
    </row>
    <row r="25501" ht="16.5" customHeight="1">
      <c r="O25501" s="5" t="s">
        <v>355</v>
      </c>
      <c r="P25501" s="5" t="s">
        <v>355</v>
      </c>
      <c r="Q25501" s="5" t="s">
        <v>355</v>
      </c>
    </row>
    <row r="25502" ht="16.5" customHeight="1">
      <c r="O25502" s="5" t="s">
        <v>355</v>
      </c>
      <c r="P25502" s="5" t="s">
        <v>355</v>
      </c>
      <c r="Q25502" s="5" t="s">
        <v>355</v>
      </c>
    </row>
    <row r="25503" ht="16.5" customHeight="1">
      <c r="O25503" s="5" t="s">
        <v>355</v>
      </c>
      <c r="P25503" s="5" t="s">
        <v>355</v>
      </c>
      <c r="Q25503" s="5" t="s">
        <v>355</v>
      </c>
    </row>
    <row r="25504" ht="16.5" customHeight="1">
      <c r="O25504" s="5" t="s">
        <v>355</v>
      </c>
      <c r="P25504" s="5" t="s">
        <v>355</v>
      </c>
      <c r="Q25504" s="5" t="s">
        <v>355</v>
      </c>
    </row>
    <row r="25505" ht="16.5" customHeight="1">
      <c r="O25505" s="5" t="s">
        <v>355</v>
      </c>
      <c r="P25505" s="5" t="s">
        <v>355</v>
      </c>
      <c r="Q25505" s="5" t="s">
        <v>355</v>
      </c>
    </row>
    <row r="25506" ht="16.5" customHeight="1">
      <c r="O25506" s="5" t="s">
        <v>355</v>
      </c>
      <c r="P25506" s="5" t="s">
        <v>355</v>
      </c>
      <c r="Q25506" s="5" t="s">
        <v>355</v>
      </c>
    </row>
    <row r="25507" ht="16.5" customHeight="1">
      <c r="O25507" s="5" t="s">
        <v>355</v>
      </c>
      <c r="P25507" s="5" t="s">
        <v>355</v>
      </c>
      <c r="Q25507" s="5" t="s">
        <v>355</v>
      </c>
    </row>
    <row r="25508" ht="16.5" customHeight="1">
      <c r="O25508" s="5" t="s">
        <v>355</v>
      </c>
      <c r="P25508" s="5" t="s">
        <v>355</v>
      </c>
      <c r="Q25508" s="5" t="s">
        <v>355</v>
      </c>
    </row>
    <row r="25509" ht="16.5" customHeight="1">
      <c r="O25509" s="5" t="s">
        <v>355</v>
      </c>
      <c r="P25509" s="5" t="s">
        <v>355</v>
      </c>
      <c r="Q25509" s="5" t="s">
        <v>355</v>
      </c>
    </row>
    <row r="25510" ht="16.5" customHeight="1">
      <c r="O25510" s="5" t="s">
        <v>355</v>
      </c>
      <c r="P25510" s="5" t="s">
        <v>355</v>
      </c>
      <c r="Q25510" s="5" t="s">
        <v>355</v>
      </c>
    </row>
    <row r="25511" ht="16.5" customHeight="1">
      <c r="O25511" s="5" t="s">
        <v>355</v>
      </c>
      <c r="P25511" s="5" t="s">
        <v>355</v>
      </c>
      <c r="Q25511" s="5" t="s">
        <v>355</v>
      </c>
    </row>
    <row r="25512" ht="16.5" customHeight="1">
      <c r="O25512" s="5" t="s">
        <v>355</v>
      </c>
      <c r="P25512" s="5" t="s">
        <v>355</v>
      </c>
      <c r="Q25512" s="5" t="s">
        <v>355</v>
      </c>
    </row>
    <row r="25513" ht="16.5" customHeight="1">
      <c r="O25513" s="5" t="s">
        <v>355</v>
      </c>
      <c r="P25513" s="5" t="s">
        <v>355</v>
      </c>
      <c r="Q25513" s="5" t="s">
        <v>355</v>
      </c>
    </row>
    <row r="25514" ht="16.5" customHeight="1">
      <c r="O25514" s="5" t="s">
        <v>355</v>
      </c>
      <c r="P25514" s="5" t="s">
        <v>355</v>
      </c>
      <c r="Q25514" s="5" t="s">
        <v>355</v>
      </c>
    </row>
    <row r="25515" ht="16.5" customHeight="1">
      <c r="O25515" s="5" t="s">
        <v>355</v>
      </c>
      <c r="P25515" s="5" t="s">
        <v>355</v>
      </c>
      <c r="Q25515" s="5" t="s">
        <v>355</v>
      </c>
    </row>
    <row r="25516" ht="16.5" customHeight="1">
      <c r="O25516" s="5" t="s">
        <v>355</v>
      </c>
      <c r="P25516" s="5" t="s">
        <v>355</v>
      </c>
      <c r="Q25516" s="5" t="s">
        <v>355</v>
      </c>
    </row>
    <row r="25517" ht="16.5" customHeight="1">
      <c r="O25517" s="5" t="s">
        <v>355</v>
      </c>
      <c r="P25517" s="5" t="s">
        <v>355</v>
      </c>
      <c r="Q25517" s="5" t="s">
        <v>355</v>
      </c>
    </row>
    <row r="25518" ht="16.5" customHeight="1">
      <c r="O25518" s="5" t="s">
        <v>355</v>
      </c>
      <c r="P25518" s="5" t="s">
        <v>355</v>
      </c>
      <c r="Q25518" s="5" t="s">
        <v>355</v>
      </c>
    </row>
    <row r="25519" ht="16.5" customHeight="1">
      <c r="O25519" s="5" t="s">
        <v>355</v>
      </c>
      <c r="P25519" s="5" t="s">
        <v>355</v>
      </c>
      <c r="Q25519" s="5" t="s">
        <v>355</v>
      </c>
    </row>
    <row r="25520" ht="16.5" customHeight="1">
      <c r="O25520" s="5" t="s">
        <v>355</v>
      </c>
      <c r="P25520" s="5" t="s">
        <v>355</v>
      </c>
      <c r="Q25520" s="5" t="s">
        <v>355</v>
      </c>
    </row>
    <row r="25521" ht="16.5" customHeight="1">
      <c r="O25521" s="5" t="s">
        <v>355</v>
      </c>
      <c r="P25521" s="5" t="s">
        <v>355</v>
      </c>
      <c r="Q25521" s="5" t="s">
        <v>355</v>
      </c>
    </row>
    <row r="25522" ht="16.5" customHeight="1">
      <c r="O25522" s="5" t="s">
        <v>355</v>
      </c>
      <c r="P25522" s="5" t="s">
        <v>355</v>
      </c>
      <c r="Q25522" s="5" t="s">
        <v>355</v>
      </c>
    </row>
    <row r="25523" ht="16.5" customHeight="1">
      <c r="O25523" s="5" t="s">
        <v>355</v>
      </c>
      <c r="P25523" s="5" t="s">
        <v>355</v>
      </c>
      <c r="Q25523" s="5" t="s">
        <v>355</v>
      </c>
    </row>
    <row r="25524" ht="16.5" customHeight="1">
      <c r="O25524" s="5" t="s">
        <v>355</v>
      </c>
      <c r="P25524" s="5" t="s">
        <v>355</v>
      </c>
      <c r="Q25524" s="5" t="s">
        <v>355</v>
      </c>
    </row>
    <row r="25525" ht="16.5" customHeight="1">
      <c r="O25525" s="5" t="s">
        <v>355</v>
      </c>
      <c r="P25525" s="5" t="s">
        <v>355</v>
      </c>
      <c r="Q25525" s="5" t="s">
        <v>355</v>
      </c>
    </row>
    <row r="25526" ht="16.5" customHeight="1">
      <c r="O25526" s="5" t="s">
        <v>355</v>
      </c>
      <c r="P25526" s="5" t="s">
        <v>355</v>
      </c>
      <c r="Q25526" s="5" t="s">
        <v>355</v>
      </c>
    </row>
    <row r="25527" ht="16.5" customHeight="1">
      <c r="O25527" s="5" t="s">
        <v>355</v>
      </c>
      <c r="P25527" s="5" t="s">
        <v>355</v>
      </c>
      <c r="Q25527" s="5" t="s">
        <v>355</v>
      </c>
    </row>
    <row r="25528" ht="16.5" customHeight="1">
      <c r="O25528" s="5" t="s">
        <v>355</v>
      </c>
      <c r="P25528" s="5" t="s">
        <v>355</v>
      </c>
      <c r="Q25528" s="5" t="s">
        <v>355</v>
      </c>
    </row>
    <row r="25529" ht="16.5" customHeight="1">
      <c r="O25529" s="5" t="s">
        <v>355</v>
      </c>
      <c r="P25529" s="5" t="s">
        <v>355</v>
      </c>
      <c r="Q25529" s="5" t="s">
        <v>355</v>
      </c>
    </row>
    <row r="25530" ht="16.5" customHeight="1">
      <c r="O25530" s="5" t="s">
        <v>355</v>
      </c>
      <c r="P25530" s="5" t="s">
        <v>355</v>
      </c>
      <c r="Q25530" s="5" t="s">
        <v>355</v>
      </c>
    </row>
    <row r="25531" ht="16.5" customHeight="1">
      <c r="O25531" s="5" t="s">
        <v>355</v>
      </c>
      <c r="P25531" s="5" t="s">
        <v>355</v>
      </c>
      <c r="Q25531" s="5" t="s">
        <v>355</v>
      </c>
    </row>
    <row r="25532" ht="16.5" customHeight="1">
      <c r="O25532" s="5" t="s">
        <v>355</v>
      </c>
      <c r="P25532" s="5" t="s">
        <v>355</v>
      </c>
      <c r="Q25532" s="5" t="s">
        <v>355</v>
      </c>
    </row>
    <row r="25533" ht="16.5" customHeight="1">
      <c r="O25533" s="5" t="s">
        <v>355</v>
      </c>
      <c r="P25533" s="5" t="s">
        <v>355</v>
      </c>
      <c r="Q25533" s="5" t="s">
        <v>355</v>
      </c>
    </row>
    <row r="25534" ht="16.5" customHeight="1">
      <c r="O25534" s="5" t="s">
        <v>355</v>
      </c>
      <c r="P25534" s="5" t="s">
        <v>355</v>
      </c>
      <c r="Q25534" s="5" t="s">
        <v>355</v>
      </c>
    </row>
    <row r="25535" ht="16.5" customHeight="1">
      <c r="O25535" s="5" t="s">
        <v>355</v>
      </c>
      <c r="P25535" s="5" t="s">
        <v>355</v>
      </c>
      <c r="Q25535" s="5" t="s">
        <v>355</v>
      </c>
    </row>
    <row r="25536" ht="16.5" customHeight="1">
      <c r="O25536" s="5" t="s">
        <v>355</v>
      </c>
      <c r="P25536" s="5" t="s">
        <v>355</v>
      </c>
      <c r="Q25536" s="5" t="s">
        <v>355</v>
      </c>
    </row>
    <row r="25537" ht="16.5" customHeight="1">
      <c r="O25537" s="5" t="s">
        <v>355</v>
      </c>
      <c r="P25537" s="5" t="s">
        <v>355</v>
      </c>
      <c r="Q25537" s="5" t="s">
        <v>355</v>
      </c>
    </row>
    <row r="25538" ht="16.5" customHeight="1">
      <c r="O25538" s="5" t="s">
        <v>355</v>
      </c>
      <c r="P25538" s="5" t="s">
        <v>355</v>
      </c>
      <c r="Q25538" s="5" t="s">
        <v>355</v>
      </c>
    </row>
    <row r="25539" ht="16.5" customHeight="1">
      <c r="O25539" s="5" t="s">
        <v>355</v>
      </c>
      <c r="P25539" s="5" t="s">
        <v>355</v>
      </c>
      <c r="Q25539" s="5" t="s">
        <v>355</v>
      </c>
    </row>
    <row r="25540" ht="16.5" customHeight="1">
      <c r="O25540" s="5" t="s">
        <v>355</v>
      </c>
      <c r="P25540" s="5" t="s">
        <v>355</v>
      </c>
      <c r="Q25540" s="5" t="s">
        <v>355</v>
      </c>
    </row>
    <row r="25541" ht="16.5" customHeight="1">
      <c r="O25541" s="5" t="s">
        <v>355</v>
      </c>
      <c r="P25541" s="5" t="s">
        <v>355</v>
      </c>
      <c r="Q25541" s="5" t="s">
        <v>355</v>
      </c>
    </row>
    <row r="25542" ht="16.5" customHeight="1">
      <c r="O25542" s="5" t="s">
        <v>355</v>
      </c>
      <c r="P25542" s="5" t="s">
        <v>355</v>
      </c>
      <c r="Q25542" s="5" t="s">
        <v>355</v>
      </c>
    </row>
    <row r="25543" ht="16.5" customHeight="1">
      <c r="O25543" s="5" t="s">
        <v>355</v>
      </c>
      <c r="P25543" s="5" t="s">
        <v>355</v>
      </c>
      <c r="Q25543" s="5" t="s">
        <v>355</v>
      </c>
    </row>
    <row r="25544" ht="16.5" customHeight="1">
      <c r="O25544" s="5" t="s">
        <v>355</v>
      </c>
      <c r="P25544" s="5" t="s">
        <v>355</v>
      </c>
      <c r="Q25544" s="5" t="s">
        <v>355</v>
      </c>
    </row>
    <row r="25545" ht="16.5" customHeight="1">
      <c r="O25545" s="5" t="s">
        <v>355</v>
      </c>
      <c r="P25545" s="5" t="s">
        <v>355</v>
      </c>
      <c r="Q25545" s="5" t="s">
        <v>355</v>
      </c>
    </row>
    <row r="25546" ht="16.5" customHeight="1">
      <c r="O25546" s="5" t="s">
        <v>355</v>
      </c>
      <c r="P25546" s="5" t="s">
        <v>355</v>
      </c>
      <c r="Q25546" s="5" t="s">
        <v>355</v>
      </c>
    </row>
    <row r="25547" ht="16.5" customHeight="1">
      <c r="O25547" s="5" t="s">
        <v>355</v>
      </c>
      <c r="P25547" s="5" t="s">
        <v>355</v>
      </c>
      <c r="Q25547" s="5" t="s">
        <v>355</v>
      </c>
    </row>
    <row r="25548" ht="16.5" customHeight="1">
      <c r="O25548" s="5" t="s">
        <v>355</v>
      </c>
      <c r="P25548" s="5" t="s">
        <v>355</v>
      </c>
      <c r="Q25548" s="5" t="s">
        <v>355</v>
      </c>
    </row>
    <row r="25549" ht="16.5" customHeight="1">
      <c r="O25549" s="5" t="s">
        <v>355</v>
      </c>
      <c r="P25549" s="5" t="s">
        <v>355</v>
      </c>
      <c r="Q25549" s="5" t="s">
        <v>355</v>
      </c>
    </row>
    <row r="25550" ht="16.5" customHeight="1">
      <c r="O25550" s="5" t="s">
        <v>355</v>
      </c>
      <c r="P25550" s="5" t="s">
        <v>355</v>
      </c>
      <c r="Q25550" s="5" t="s">
        <v>355</v>
      </c>
    </row>
    <row r="25551" ht="16.5" customHeight="1">
      <c r="O25551" s="5" t="s">
        <v>355</v>
      </c>
      <c r="P25551" s="5" t="s">
        <v>355</v>
      </c>
      <c r="Q25551" s="5" t="s">
        <v>355</v>
      </c>
    </row>
    <row r="25552" ht="16.5" customHeight="1">
      <c r="O25552" s="5" t="s">
        <v>355</v>
      </c>
      <c r="P25552" s="5" t="s">
        <v>355</v>
      </c>
      <c r="Q25552" s="5" t="s">
        <v>355</v>
      </c>
    </row>
    <row r="25553" ht="16.5" customHeight="1">
      <c r="O25553" s="5" t="s">
        <v>355</v>
      </c>
      <c r="P25553" s="5" t="s">
        <v>355</v>
      </c>
      <c r="Q25553" s="5" t="s">
        <v>355</v>
      </c>
    </row>
    <row r="25554" ht="16.5" customHeight="1">
      <c r="O25554" s="5" t="s">
        <v>355</v>
      </c>
      <c r="P25554" s="5" t="s">
        <v>355</v>
      </c>
      <c r="Q25554" s="5" t="s">
        <v>355</v>
      </c>
    </row>
    <row r="25555" ht="16.5" customHeight="1">
      <c r="O25555" s="5" t="s">
        <v>355</v>
      </c>
      <c r="P25555" s="5" t="s">
        <v>355</v>
      </c>
      <c r="Q25555" s="5" t="s">
        <v>355</v>
      </c>
    </row>
    <row r="25556" ht="16.5" customHeight="1">
      <c r="O25556" s="5" t="s">
        <v>355</v>
      </c>
      <c r="P25556" s="5" t="s">
        <v>355</v>
      </c>
      <c r="Q25556" s="5" t="s">
        <v>355</v>
      </c>
    </row>
    <row r="25557" ht="16.5" customHeight="1">
      <c r="O25557" s="5" t="s">
        <v>355</v>
      </c>
      <c r="P25557" s="5" t="s">
        <v>355</v>
      </c>
      <c r="Q25557" s="5" t="s">
        <v>355</v>
      </c>
    </row>
    <row r="25558" ht="16.5" customHeight="1">
      <c r="O25558" s="5" t="s">
        <v>355</v>
      </c>
      <c r="P25558" s="5" t="s">
        <v>355</v>
      </c>
      <c r="Q25558" s="5" t="s">
        <v>355</v>
      </c>
    </row>
    <row r="25559" ht="16.5" customHeight="1">
      <c r="O25559" s="5" t="s">
        <v>355</v>
      </c>
      <c r="P25559" s="5" t="s">
        <v>355</v>
      </c>
      <c r="Q25559" s="5" t="s">
        <v>355</v>
      </c>
    </row>
    <row r="25560" ht="16.5" customHeight="1">
      <c r="O25560" s="5" t="s">
        <v>355</v>
      </c>
      <c r="P25560" s="5" t="s">
        <v>355</v>
      </c>
      <c r="Q25560" s="5" t="s">
        <v>355</v>
      </c>
    </row>
    <row r="25561" ht="16.5" customHeight="1">
      <c r="O25561" s="5" t="s">
        <v>355</v>
      </c>
      <c r="P25561" s="5" t="s">
        <v>355</v>
      </c>
      <c r="Q25561" s="5" t="s">
        <v>355</v>
      </c>
    </row>
    <row r="25562" ht="16.5" customHeight="1">
      <c r="O25562" s="5" t="s">
        <v>355</v>
      </c>
      <c r="P25562" s="5" t="s">
        <v>355</v>
      </c>
      <c r="Q25562" s="5" t="s">
        <v>355</v>
      </c>
    </row>
    <row r="25563" ht="16.5" customHeight="1">
      <c r="O25563" s="5" t="s">
        <v>355</v>
      </c>
      <c r="P25563" s="5" t="s">
        <v>355</v>
      </c>
      <c r="Q25563" s="5" t="s">
        <v>355</v>
      </c>
    </row>
    <row r="25564" ht="16.5" customHeight="1">
      <c r="O25564" s="5" t="s">
        <v>355</v>
      </c>
      <c r="P25564" s="5" t="s">
        <v>355</v>
      </c>
      <c r="Q25564" s="5" t="s">
        <v>355</v>
      </c>
    </row>
    <row r="25565" ht="16.5" customHeight="1">
      <c r="O25565" s="5" t="s">
        <v>355</v>
      </c>
      <c r="P25565" s="5" t="s">
        <v>355</v>
      </c>
      <c r="Q25565" s="5" t="s">
        <v>355</v>
      </c>
    </row>
    <row r="25566" ht="16.5" customHeight="1">
      <c r="O25566" s="5" t="s">
        <v>355</v>
      </c>
      <c r="P25566" s="5" t="s">
        <v>355</v>
      </c>
      <c r="Q25566" s="5" t="s">
        <v>355</v>
      </c>
    </row>
    <row r="25567" ht="16.5" customHeight="1">
      <c r="O25567" s="5" t="s">
        <v>355</v>
      </c>
      <c r="P25567" s="5" t="s">
        <v>355</v>
      </c>
      <c r="Q25567" s="5" t="s">
        <v>355</v>
      </c>
    </row>
    <row r="25568" ht="16.5" customHeight="1">
      <c r="O25568" s="5" t="s">
        <v>355</v>
      </c>
      <c r="P25568" s="5" t="s">
        <v>355</v>
      </c>
      <c r="Q25568" s="5" t="s">
        <v>355</v>
      </c>
    </row>
    <row r="25569" ht="16.5" customHeight="1">
      <c r="O25569" s="5" t="s">
        <v>355</v>
      </c>
      <c r="P25569" s="5" t="s">
        <v>355</v>
      </c>
      <c r="Q25569" s="5" t="s">
        <v>355</v>
      </c>
    </row>
    <row r="25570" ht="16.5" customHeight="1">
      <c r="O25570" s="5" t="s">
        <v>355</v>
      </c>
      <c r="P25570" s="5" t="s">
        <v>355</v>
      </c>
      <c r="Q25570" s="5" t="s">
        <v>355</v>
      </c>
    </row>
    <row r="25571" ht="16.5" customHeight="1">
      <c r="O25571" s="5" t="s">
        <v>355</v>
      </c>
      <c r="P25571" s="5" t="s">
        <v>355</v>
      </c>
      <c r="Q25571" s="5" t="s">
        <v>355</v>
      </c>
    </row>
    <row r="25572" ht="16.5" customHeight="1">
      <c r="O25572" s="5" t="s">
        <v>355</v>
      </c>
      <c r="P25572" s="5" t="s">
        <v>355</v>
      </c>
      <c r="Q25572" s="5" t="s">
        <v>355</v>
      </c>
    </row>
    <row r="25573" ht="16.5" customHeight="1">
      <c r="O25573" s="5" t="s">
        <v>355</v>
      </c>
      <c r="P25573" s="5" t="s">
        <v>355</v>
      </c>
      <c r="Q25573" s="5" t="s">
        <v>355</v>
      </c>
    </row>
    <row r="25574" ht="16.5" customHeight="1">
      <c r="O25574" s="5" t="s">
        <v>355</v>
      </c>
      <c r="P25574" s="5" t="s">
        <v>355</v>
      </c>
      <c r="Q25574" s="5" t="s">
        <v>355</v>
      </c>
    </row>
    <row r="25575" ht="16.5" customHeight="1">
      <c r="O25575" s="5" t="s">
        <v>355</v>
      </c>
      <c r="P25575" s="5" t="s">
        <v>355</v>
      </c>
      <c r="Q25575" s="5" t="s">
        <v>355</v>
      </c>
    </row>
    <row r="25576" ht="16.5" customHeight="1">
      <c r="O25576" s="5" t="s">
        <v>355</v>
      </c>
      <c r="P25576" s="5" t="s">
        <v>355</v>
      </c>
      <c r="Q25576" s="5" t="s">
        <v>355</v>
      </c>
    </row>
    <row r="25577" ht="16.5" customHeight="1">
      <c r="O25577" s="5" t="s">
        <v>355</v>
      </c>
      <c r="P25577" s="5" t="s">
        <v>355</v>
      </c>
      <c r="Q25577" s="5" t="s">
        <v>355</v>
      </c>
    </row>
    <row r="25578" ht="16.5" customHeight="1">
      <c r="O25578" s="5" t="s">
        <v>355</v>
      </c>
      <c r="P25578" s="5" t="s">
        <v>355</v>
      </c>
      <c r="Q25578" s="5" t="s">
        <v>355</v>
      </c>
    </row>
    <row r="25579" ht="16.5" customHeight="1">
      <c r="O25579" s="5" t="s">
        <v>355</v>
      </c>
      <c r="P25579" s="5" t="s">
        <v>355</v>
      </c>
      <c r="Q25579" s="5" t="s">
        <v>355</v>
      </c>
    </row>
    <row r="25580" ht="16.5" customHeight="1">
      <c r="O25580" s="5" t="s">
        <v>355</v>
      </c>
      <c r="P25580" s="5" t="s">
        <v>355</v>
      </c>
      <c r="Q25580" s="5" t="s">
        <v>355</v>
      </c>
    </row>
    <row r="25581" ht="16.5" customHeight="1">
      <c r="O25581" s="5" t="s">
        <v>355</v>
      </c>
      <c r="P25581" s="5" t="s">
        <v>355</v>
      </c>
      <c r="Q25581" s="5" t="s">
        <v>355</v>
      </c>
    </row>
    <row r="25582" ht="16.5" customHeight="1">
      <c r="O25582" s="5" t="s">
        <v>355</v>
      </c>
      <c r="P25582" s="5" t="s">
        <v>355</v>
      </c>
      <c r="Q25582" s="5" t="s">
        <v>355</v>
      </c>
    </row>
    <row r="25583" ht="16.5" customHeight="1">
      <c r="O25583" s="5" t="s">
        <v>355</v>
      </c>
      <c r="P25583" s="5" t="s">
        <v>355</v>
      </c>
      <c r="Q25583" s="5" t="s">
        <v>355</v>
      </c>
    </row>
    <row r="25584" ht="16.5" customHeight="1">
      <c r="O25584" s="5" t="s">
        <v>355</v>
      </c>
      <c r="P25584" s="5" t="s">
        <v>355</v>
      </c>
      <c r="Q25584" s="5" t="s">
        <v>355</v>
      </c>
    </row>
    <row r="25585" ht="16.5" customHeight="1">
      <c r="O25585" s="5" t="s">
        <v>355</v>
      </c>
      <c r="P25585" s="5" t="s">
        <v>355</v>
      </c>
      <c r="Q25585" s="5" t="s">
        <v>355</v>
      </c>
    </row>
    <row r="25586" ht="16.5" customHeight="1">
      <c r="O25586" s="5" t="s">
        <v>355</v>
      </c>
      <c r="P25586" s="5" t="s">
        <v>355</v>
      </c>
      <c r="Q25586" s="5" t="s">
        <v>355</v>
      </c>
    </row>
    <row r="25587" ht="16.5" customHeight="1">
      <c r="O25587" s="5" t="s">
        <v>355</v>
      </c>
      <c r="P25587" s="5" t="s">
        <v>355</v>
      </c>
      <c r="Q25587" s="5" t="s">
        <v>355</v>
      </c>
    </row>
    <row r="25588" ht="16.5" customHeight="1">
      <c r="O25588" s="5" t="s">
        <v>355</v>
      </c>
      <c r="P25588" s="5" t="s">
        <v>355</v>
      </c>
      <c r="Q25588" s="5" t="s">
        <v>355</v>
      </c>
    </row>
    <row r="25589" ht="16.5" customHeight="1">
      <c r="O25589" s="5" t="s">
        <v>355</v>
      </c>
      <c r="P25589" s="5" t="s">
        <v>355</v>
      </c>
      <c r="Q25589" s="5" t="s">
        <v>355</v>
      </c>
    </row>
    <row r="25590" ht="16.5" customHeight="1">
      <c r="O25590" s="5" t="s">
        <v>355</v>
      </c>
      <c r="P25590" s="5" t="s">
        <v>355</v>
      </c>
      <c r="Q25590" s="5" t="s">
        <v>355</v>
      </c>
    </row>
    <row r="25591" ht="16.5" customHeight="1">
      <c r="O25591" s="5" t="s">
        <v>355</v>
      </c>
      <c r="P25591" s="5" t="s">
        <v>355</v>
      </c>
      <c r="Q25591" s="5" t="s">
        <v>355</v>
      </c>
    </row>
    <row r="25592" ht="16.5" customHeight="1">
      <c r="O25592" s="5" t="s">
        <v>355</v>
      </c>
      <c r="P25592" s="5" t="s">
        <v>355</v>
      </c>
      <c r="Q25592" s="5" t="s">
        <v>355</v>
      </c>
    </row>
    <row r="25593" ht="16.5" customHeight="1">
      <c r="O25593" s="5" t="s">
        <v>355</v>
      </c>
      <c r="P25593" s="5" t="s">
        <v>355</v>
      </c>
      <c r="Q25593" s="5" t="s">
        <v>355</v>
      </c>
    </row>
    <row r="25594" ht="16.5" customHeight="1">
      <c r="O25594" s="5" t="s">
        <v>355</v>
      </c>
      <c r="P25594" s="5" t="s">
        <v>355</v>
      </c>
      <c r="Q25594" s="5" t="s">
        <v>355</v>
      </c>
    </row>
    <row r="25595" ht="16.5" customHeight="1">
      <c r="O25595" s="5" t="s">
        <v>355</v>
      </c>
      <c r="P25595" s="5" t="s">
        <v>355</v>
      </c>
      <c r="Q25595" s="5" t="s">
        <v>355</v>
      </c>
    </row>
    <row r="25596" ht="16.5" customHeight="1">
      <c r="O25596" s="5" t="s">
        <v>355</v>
      </c>
      <c r="P25596" s="5" t="s">
        <v>355</v>
      </c>
      <c r="Q25596" s="5" t="s">
        <v>355</v>
      </c>
    </row>
    <row r="25597" ht="16.5" customHeight="1">
      <c r="O25597" s="5" t="s">
        <v>355</v>
      </c>
      <c r="P25597" s="5" t="s">
        <v>355</v>
      </c>
      <c r="Q25597" s="5" t="s">
        <v>355</v>
      </c>
    </row>
    <row r="25598" ht="16.5" customHeight="1">
      <c r="O25598" s="5" t="s">
        <v>355</v>
      </c>
      <c r="P25598" s="5" t="s">
        <v>355</v>
      </c>
      <c r="Q25598" s="5" t="s">
        <v>355</v>
      </c>
    </row>
    <row r="25599" ht="16.5" customHeight="1">
      <c r="O25599" s="5" t="s">
        <v>355</v>
      </c>
      <c r="P25599" s="5" t="s">
        <v>355</v>
      </c>
      <c r="Q25599" s="5" t="s">
        <v>355</v>
      </c>
    </row>
    <row r="25600" ht="16.5" customHeight="1">
      <c r="O25600" s="5" t="s">
        <v>355</v>
      </c>
      <c r="P25600" s="5" t="s">
        <v>355</v>
      </c>
      <c r="Q25600" s="5" t="s">
        <v>355</v>
      </c>
    </row>
    <row r="25601" ht="16.5" customHeight="1">
      <c r="O25601" s="5" t="s">
        <v>355</v>
      </c>
      <c r="P25601" s="5" t="s">
        <v>355</v>
      </c>
      <c r="Q25601" s="5" t="s">
        <v>355</v>
      </c>
    </row>
    <row r="25602" ht="16.5" customHeight="1">
      <c r="O25602" s="5" t="s">
        <v>355</v>
      </c>
      <c r="P25602" s="5" t="s">
        <v>355</v>
      </c>
      <c r="Q25602" s="5" t="s">
        <v>355</v>
      </c>
    </row>
    <row r="25603" ht="16.5" customHeight="1">
      <c r="O25603" s="5" t="s">
        <v>355</v>
      </c>
      <c r="P25603" s="5" t="s">
        <v>355</v>
      </c>
      <c r="Q25603" s="5" t="s">
        <v>355</v>
      </c>
    </row>
    <row r="25604" ht="16.5" customHeight="1">
      <c r="O25604" s="5" t="s">
        <v>355</v>
      </c>
      <c r="P25604" s="5" t="s">
        <v>355</v>
      </c>
      <c r="Q25604" s="5" t="s">
        <v>355</v>
      </c>
    </row>
    <row r="25605" ht="16.5" customHeight="1">
      <c r="O25605" s="5" t="s">
        <v>355</v>
      </c>
      <c r="P25605" s="5" t="s">
        <v>355</v>
      </c>
      <c r="Q25605" s="5" t="s">
        <v>355</v>
      </c>
    </row>
    <row r="25606" ht="16.5" customHeight="1">
      <c r="O25606" s="5" t="s">
        <v>355</v>
      </c>
      <c r="P25606" s="5" t="s">
        <v>355</v>
      </c>
      <c r="Q25606" s="5" t="s">
        <v>355</v>
      </c>
    </row>
    <row r="25607" ht="16.5" customHeight="1">
      <c r="O25607" s="5" t="s">
        <v>355</v>
      </c>
      <c r="P25607" s="5" t="s">
        <v>355</v>
      </c>
      <c r="Q25607" s="5" t="s">
        <v>355</v>
      </c>
    </row>
    <row r="25608" ht="16.5" customHeight="1">
      <c r="O25608" s="5" t="s">
        <v>355</v>
      </c>
      <c r="P25608" s="5" t="s">
        <v>355</v>
      </c>
      <c r="Q25608" s="5" t="s">
        <v>355</v>
      </c>
    </row>
    <row r="25609" ht="16.5" customHeight="1">
      <c r="O25609" s="5" t="s">
        <v>355</v>
      </c>
      <c r="P25609" s="5" t="s">
        <v>355</v>
      </c>
      <c r="Q25609" s="5" t="s">
        <v>355</v>
      </c>
    </row>
    <row r="25610" ht="16.5" customHeight="1">
      <c r="O25610" s="5" t="s">
        <v>355</v>
      </c>
      <c r="P25610" s="5" t="s">
        <v>355</v>
      </c>
      <c r="Q25610" s="5" t="s">
        <v>355</v>
      </c>
    </row>
    <row r="25611" ht="16.5" customHeight="1">
      <c r="O25611" s="5" t="s">
        <v>355</v>
      </c>
      <c r="P25611" s="5" t="s">
        <v>355</v>
      </c>
      <c r="Q25611" s="5" t="s">
        <v>355</v>
      </c>
    </row>
    <row r="25612" ht="16.5" customHeight="1">
      <c r="O25612" s="5" t="s">
        <v>355</v>
      </c>
      <c r="P25612" s="5" t="s">
        <v>355</v>
      </c>
      <c r="Q25612" s="5" t="s">
        <v>355</v>
      </c>
    </row>
    <row r="25613" ht="16.5" customHeight="1">
      <c r="O25613" s="5" t="s">
        <v>355</v>
      </c>
      <c r="P25613" s="5" t="s">
        <v>355</v>
      </c>
      <c r="Q25613" s="5" t="s">
        <v>355</v>
      </c>
    </row>
    <row r="25614" ht="16.5" customHeight="1">
      <c r="O25614" s="5" t="s">
        <v>355</v>
      </c>
      <c r="P25614" s="5" t="s">
        <v>355</v>
      </c>
      <c r="Q25614" s="5" t="s">
        <v>355</v>
      </c>
    </row>
    <row r="25615" ht="16.5" customHeight="1">
      <c r="O25615" s="5" t="s">
        <v>355</v>
      </c>
      <c r="P25615" s="5" t="s">
        <v>355</v>
      </c>
      <c r="Q25615" s="5" t="s">
        <v>355</v>
      </c>
    </row>
    <row r="25616" ht="16.5" customHeight="1">
      <c r="O25616" s="5" t="s">
        <v>355</v>
      </c>
      <c r="P25616" s="5" t="s">
        <v>355</v>
      </c>
      <c r="Q25616" s="5" t="s">
        <v>355</v>
      </c>
    </row>
    <row r="25617" ht="16.5" customHeight="1">
      <c r="O25617" s="5" t="s">
        <v>355</v>
      </c>
      <c r="P25617" s="5" t="s">
        <v>355</v>
      </c>
      <c r="Q25617" s="5" t="s">
        <v>355</v>
      </c>
    </row>
    <row r="25618" ht="16.5" customHeight="1">
      <c r="O25618" s="5" t="s">
        <v>355</v>
      </c>
      <c r="P25618" s="5" t="s">
        <v>355</v>
      </c>
      <c r="Q25618" s="5" t="s">
        <v>355</v>
      </c>
    </row>
    <row r="25619" ht="16.5" customHeight="1">
      <c r="O25619" s="5" t="s">
        <v>355</v>
      </c>
      <c r="P25619" s="5" t="s">
        <v>355</v>
      </c>
      <c r="Q25619" s="5" t="s">
        <v>355</v>
      </c>
    </row>
    <row r="25620" ht="16.5" customHeight="1">
      <c r="O25620" s="5" t="s">
        <v>355</v>
      </c>
      <c r="P25620" s="5" t="s">
        <v>355</v>
      </c>
      <c r="Q25620" s="5" t="s">
        <v>355</v>
      </c>
    </row>
    <row r="25621" ht="16.5" customHeight="1">
      <c r="O25621" s="5" t="s">
        <v>355</v>
      </c>
      <c r="P25621" s="5" t="s">
        <v>355</v>
      </c>
      <c r="Q25621" s="5" t="s">
        <v>355</v>
      </c>
    </row>
    <row r="25622" ht="16.5" customHeight="1">
      <c r="O25622" s="5" t="s">
        <v>355</v>
      </c>
      <c r="P25622" s="5" t="s">
        <v>355</v>
      </c>
      <c r="Q25622" s="5" t="s">
        <v>355</v>
      </c>
    </row>
    <row r="25623" ht="16.5" customHeight="1">
      <c r="O25623" s="5" t="s">
        <v>355</v>
      </c>
      <c r="P25623" s="5" t="s">
        <v>355</v>
      </c>
      <c r="Q25623" s="5" t="s">
        <v>355</v>
      </c>
    </row>
    <row r="25624" ht="16.5" customHeight="1">
      <c r="O25624" s="5" t="s">
        <v>355</v>
      </c>
      <c r="P25624" s="5" t="s">
        <v>355</v>
      </c>
      <c r="Q25624" s="5" t="s">
        <v>355</v>
      </c>
    </row>
    <row r="25625" ht="16.5" customHeight="1">
      <c r="O25625" s="5" t="s">
        <v>355</v>
      </c>
      <c r="P25625" s="5" t="s">
        <v>355</v>
      </c>
      <c r="Q25625" s="5" t="s">
        <v>355</v>
      </c>
    </row>
    <row r="25626" ht="16.5" customHeight="1">
      <c r="O25626" s="5" t="s">
        <v>355</v>
      </c>
      <c r="P25626" s="5" t="s">
        <v>355</v>
      </c>
      <c r="Q25626" s="5" t="s">
        <v>355</v>
      </c>
    </row>
    <row r="25627" ht="16.5" customHeight="1">
      <c r="O25627" s="5" t="s">
        <v>355</v>
      </c>
      <c r="P25627" s="5" t="s">
        <v>355</v>
      </c>
      <c r="Q25627" s="5" t="s">
        <v>355</v>
      </c>
    </row>
    <row r="25628" ht="16.5" customHeight="1">
      <c r="O25628" s="5" t="s">
        <v>355</v>
      </c>
      <c r="P25628" s="5" t="s">
        <v>355</v>
      </c>
      <c r="Q25628" s="5" t="s">
        <v>355</v>
      </c>
    </row>
    <row r="25629" ht="16.5" customHeight="1">
      <c r="O25629" s="5" t="s">
        <v>355</v>
      </c>
      <c r="P25629" s="5" t="s">
        <v>355</v>
      </c>
      <c r="Q25629" s="5" t="s">
        <v>355</v>
      </c>
    </row>
    <row r="25630" ht="16.5" customHeight="1">
      <c r="O25630" s="5" t="s">
        <v>355</v>
      </c>
      <c r="P25630" s="5" t="s">
        <v>355</v>
      </c>
      <c r="Q25630" s="5" t="s">
        <v>355</v>
      </c>
    </row>
    <row r="25631" ht="16.5" customHeight="1">
      <c r="O25631" s="5" t="s">
        <v>355</v>
      </c>
      <c r="P25631" s="5" t="s">
        <v>355</v>
      </c>
      <c r="Q25631" s="5" t="s">
        <v>355</v>
      </c>
    </row>
    <row r="25632" ht="16.5" customHeight="1">
      <c r="O25632" s="5" t="s">
        <v>355</v>
      </c>
      <c r="P25632" s="5" t="s">
        <v>355</v>
      </c>
      <c r="Q25632" s="5" t="s">
        <v>355</v>
      </c>
    </row>
    <row r="25633" ht="16.5" customHeight="1">
      <c r="O25633" s="5" t="s">
        <v>355</v>
      </c>
      <c r="P25633" s="5" t="s">
        <v>355</v>
      </c>
      <c r="Q25633" s="5" t="s">
        <v>355</v>
      </c>
    </row>
    <row r="25634" ht="16.5" customHeight="1">
      <c r="O25634" s="5" t="s">
        <v>355</v>
      </c>
      <c r="P25634" s="5" t="s">
        <v>355</v>
      </c>
      <c r="Q25634" s="5" t="s">
        <v>355</v>
      </c>
    </row>
    <row r="25635" ht="16.5" customHeight="1">
      <c r="O25635" s="5" t="s">
        <v>355</v>
      </c>
      <c r="P25635" s="5" t="s">
        <v>355</v>
      </c>
      <c r="Q25635" s="5" t="s">
        <v>355</v>
      </c>
    </row>
    <row r="25636" ht="16.5" customHeight="1">
      <c r="O25636" s="5" t="s">
        <v>355</v>
      </c>
      <c r="P25636" s="5" t="s">
        <v>355</v>
      </c>
      <c r="Q25636" s="5" t="s">
        <v>355</v>
      </c>
    </row>
    <row r="25637" ht="16.5" customHeight="1">
      <c r="O25637" s="5" t="s">
        <v>355</v>
      </c>
      <c r="P25637" s="5" t="s">
        <v>355</v>
      </c>
      <c r="Q25637" s="5" t="s">
        <v>355</v>
      </c>
    </row>
    <row r="25638" ht="16.5" customHeight="1">
      <c r="O25638" s="5" t="s">
        <v>355</v>
      </c>
      <c r="P25638" s="5" t="s">
        <v>355</v>
      </c>
      <c r="Q25638" s="5" t="s">
        <v>355</v>
      </c>
    </row>
    <row r="25639" ht="16.5" customHeight="1">
      <c r="O25639" s="5" t="s">
        <v>355</v>
      </c>
      <c r="P25639" s="5" t="s">
        <v>355</v>
      </c>
      <c r="Q25639" s="5" t="s">
        <v>355</v>
      </c>
    </row>
    <row r="25640" ht="16.5" customHeight="1">
      <c r="O25640" s="5" t="s">
        <v>355</v>
      </c>
      <c r="P25640" s="5" t="s">
        <v>355</v>
      </c>
      <c r="Q25640" s="5" t="s">
        <v>355</v>
      </c>
    </row>
    <row r="25641" ht="16.5" customHeight="1">
      <c r="O25641" s="5" t="s">
        <v>355</v>
      </c>
      <c r="P25641" s="5" t="s">
        <v>355</v>
      </c>
      <c r="Q25641" s="5" t="s">
        <v>355</v>
      </c>
    </row>
    <row r="25642" ht="16.5" customHeight="1">
      <c r="O25642" s="5" t="s">
        <v>355</v>
      </c>
      <c r="P25642" s="5" t="s">
        <v>355</v>
      </c>
      <c r="Q25642" s="5" t="s">
        <v>355</v>
      </c>
    </row>
    <row r="25643" ht="16.5" customHeight="1">
      <c r="O25643" s="5" t="s">
        <v>355</v>
      </c>
      <c r="P25643" s="5" t="s">
        <v>355</v>
      </c>
      <c r="Q25643" s="5" t="s">
        <v>355</v>
      </c>
    </row>
    <row r="25644" ht="16.5" customHeight="1">
      <c r="O25644" s="5" t="s">
        <v>355</v>
      </c>
      <c r="P25644" s="5" t="s">
        <v>355</v>
      </c>
      <c r="Q25644" s="5" t="s">
        <v>355</v>
      </c>
    </row>
    <row r="25645" ht="16.5" customHeight="1">
      <c r="O25645" s="5" t="s">
        <v>355</v>
      </c>
      <c r="P25645" s="5" t="s">
        <v>355</v>
      </c>
      <c r="Q25645" s="5" t="s">
        <v>355</v>
      </c>
    </row>
    <row r="25646" ht="16.5" customHeight="1">
      <c r="O25646" s="5" t="s">
        <v>355</v>
      </c>
      <c r="P25646" s="5" t="s">
        <v>355</v>
      </c>
      <c r="Q25646" s="5" t="s">
        <v>355</v>
      </c>
    </row>
    <row r="25647" ht="16.5" customHeight="1">
      <c r="O25647" s="5" t="s">
        <v>355</v>
      </c>
      <c r="P25647" s="5" t="s">
        <v>355</v>
      </c>
      <c r="Q25647" s="5" t="s">
        <v>355</v>
      </c>
    </row>
    <row r="25648" ht="16.5" customHeight="1">
      <c r="O25648" s="5" t="s">
        <v>355</v>
      </c>
      <c r="P25648" s="5" t="s">
        <v>355</v>
      </c>
      <c r="Q25648" s="5" t="s">
        <v>355</v>
      </c>
    </row>
    <row r="25649" ht="16.5" customHeight="1">
      <c r="O25649" s="5" t="s">
        <v>355</v>
      </c>
      <c r="P25649" s="5" t="s">
        <v>355</v>
      </c>
      <c r="Q25649" s="5" t="s">
        <v>355</v>
      </c>
    </row>
    <row r="25650" ht="16.5" customHeight="1">
      <c r="O25650" s="5" t="s">
        <v>355</v>
      </c>
      <c r="P25650" s="5" t="s">
        <v>355</v>
      </c>
      <c r="Q25650" s="5" t="s">
        <v>355</v>
      </c>
    </row>
    <row r="25651" ht="16.5" customHeight="1">
      <c r="O25651" s="5" t="s">
        <v>355</v>
      </c>
      <c r="P25651" s="5" t="s">
        <v>355</v>
      </c>
      <c r="Q25651" s="5" t="s">
        <v>355</v>
      </c>
    </row>
    <row r="25652" ht="16.5" customHeight="1">
      <c r="O25652" s="5" t="s">
        <v>355</v>
      </c>
      <c r="P25652" s="5" t="s">
        <v>355</v>
      </c>
      <c r="Q25652" s="5" t="s">
        <v>355</v>
      </c>
    </row>
    <row r="25653" ht="16.5" customHeight="1">
      <c r="O25653" s="5" t="s">
        <v>355</v>
      </c>
      <c r="P25653" s="5" t="s">
        <v>355</v>
      </c>
      <c r="Q25653" s="5" t="s">
        <v>355</v>
      </c>
    </row>
    <row r="25654" ht="16.5" customHeight="1">
      <c r="O25654" s="5" t="s">
        <v>355</v>
      </c>
      <c r="P25654" s="5" t="s">
        <v>355</v>
      </c>
      <c r="Q25654" s="5" t="s">
        <v>355</v>
      </c>
    </row>
    <row r="25655" ht="16.5" customHeight="1">
      <c r="O25655" s="5" t="s">
        <v>355</v>
      </c>
      <c r="P25655" s="5" t="s">
        <v>355</v>
      </c>
      <c r="Q25655" s="5" t="s">
        <v>355</v>
      </c>
    </row>
    <row r="25656" ht="16.5" customHeight="1">
      <c r="O25656" s="5" t="s">
        <v>355</v>
      </c>
      <c r="P25656" s="5" t="s">
        <v>355</v>
      </c>
      <c r="Q25656" s="5" t="s">
        <v>355</v>
      </c>
    </row>
    <row r="25657" ht="16.5" customHeight="1">
      <c r="O25657" s="5" t="s">
        <v>355</v>
      </c>
      <c r="P25657" s="5" t="s">
        <v>355</v>
      </c>
      <c r="Q25657" s="5" t="s">
        <v>355</v>
      </c>
    </row>
    <row r="25658" ht="16.5" customHeight="1">
      <c r="O25658" s="5" t="s">
        <v>355</v>
      </c>
      <c r="P25658" s="5" t="s">
        <v>355</v>
      </c>
      <c r="Q25658" s="5" t="s">
        <v>355</v>
      </c>
    </row>
    <row r="25659" ht="16.5" customHeight="1">
      <c r="O25659" s="5" t="s">
        <v>355</v>
      </c>
      <c r="P25659" s="5" t="s">
        <v>355</v>
      </c>
      <c r="Q25659" s="5" t="s">
        <v>355</v>
      </c>
    </row>
    <row r="25660" ht="16.5" customHeight="1">
      <c r="O25660" s="5" t="s">
        <v>355</v>
      </c>
      <c r="P25660" s="5" t="s">
        <v>355</v>
      </c>
      <c r="Q25660" s="5" t="s">
        <v>355</v>
      </c>
    </row>
    <row r="25661" ht="16.5" customHeight="1">
      <c r="O25661" s="5" t="s">
        <v>355</v>
      </c>
      <c r="P25661" s="5" t="s">
        <v>355</v>
      </c>
      <c r="Q25661" s="5" t="s">
        <v>355</v>
      </c>
    </row>
    <row r="25662" ht="16.5" customHeight="1">
      <c r="O25662" s="5" t="s">
        <v>355</v>
      </c>
      <c r="P25662" s="5" t="s">
        <v>355</v>
      </c>
      <c r="Q25662" s="5" t="s">
        <v>355</v>
      </c>
    </row>
    <row r="25663" ht="16.5" customHeight="1">
      <c r="O25663" s="5" t="s">
        <v>355</v>
      </c>
      <c r="P25663" s="5" t="s">
        <v>355</v>
      </c>
      <c r="Q25663" s="5" t="s">
        <v>355</v>
      </c>
    </row>
    <row r="25664" ht="16.5" customHeight="1">
      <c r="O25664" s="5" t="s">
        <v>355</v>
      </c>
      <c r="P25664" s="5" t="s">
        <v>355</v>
      </c>
      <c r="Q25664" s="5" t="s">
        <v>355</v>
      </c>
    </row>
    <row r="25665" ht="16.5" customHeight="1">
      <c r="O25665" s="5" t="s">
        <v>355</v>
      </c>
      <c r="P25665" s="5" t="s">
        <v>355</v>
      </c>
      <c r="Q25665" s="5" t="s">
        <v>355</v>
      </c>
    </row>
    <row r="25666" ht="16.5" customHeight="1">
      <c r="O25666" s="5" t="s">
        <v>355</v>
      </c>
      <c r="P25666" s="5" t="s">
        <v>355</v>
      </c>
      <c r="Q25666" s="5" t="s">
        <v>355</v>
      </c>
    </row>
    <row r="25667" ht="16.5" customHeight="1">
      <c r="O25667" s="5" t="s">
        <v>355</v>
      </c>
      <c r="P25667" s="5" t="s">
        <v>355</v>
      </c>
      <c r="Q25667" s="5" t="s">
        <v>355</v>
      </c>
    </row>
    <row r="25668" ht="16.5" customHeight="1">
      <c r="O25668" s="5" t="s">
        <v>355</v>
      </c>
      <c r="P25668" s="5" t="s">
        <v>355</v>
      </c>
      <c r="Q25668" s="5" t="s">
        <v>355</v>
      </c>
    </row>
    <row r="25669" ht="16.5" customHeight="1">
      <c r="O25669" s="5" t="s">
        <v>355</v>
      </c>
      <c r="P25669" s="5" t="s">
        <v>355</v>
      </c>
      <c r="Q25669" s="5" t="s">
        <v>355</v>
      </c>
    </row>
    <row r="25670" ht="16.5" customHeight="1">
      <c r="O25670" s="5" t="s">
        <v>355</v>
      </c>
      <c r="P25670" s="5" t="s">
        <v>355</v>
      </c>
      <c r="Q25670" s="5" t="s">
        <v>355</v>
      </c>
    </row>
    <row r="25671" ht="16.5" customHeight="1">
      <c r="O25671" s="5" t="s">
        <v>355</v>
      </c>
      <c r="P25671" s="5" t="s">
        <v>355</v>
      </c>
      <c r="Q25671" s="5" t="s">
        <v>355</v>
      </c>
    </row>
    <row r="25672" ht="16.5" customHeight="1">
      <c r="O25672" s="5" t="s">
        <v>355</v>
      </c>
      <c r="P25672" s="5" t="s">
        <v>355</v>
      </c>
      <c r="Q25672" s="5" t="s">
        <v>355</v>
      </c>
    </row>
    <row r="25673" ht="16.5" customHeight="1">
      <c r="O25673" s="5" t="s">
        <v>355</v>
      </c>
      <c r="P25673" s="5" t="s">
        <v>355</v>
      </c>
      <c r="Q25673" s="5" t="s">
        <v>355</v>
      </c>
    </row>
    <row r="25674" ht="16.5" customHeight="1">
      <c r="O25674" s="5" t="s">
        <v>355</v>
      </c>
      <c r="P25674" s="5" t="s">
        <v>355</v>
      </c>
      <c r="Q25674" s="5" t="s">
        <v>355</v>
      </c>
    </row>
    <row r="25675" ht="16.5" customHeight="1">
      <c r="O25675" s="5" t="s">
        <v>355</v>
      </c>
      <c r="P25675" s="5" t="s">
        <v>355</v>
      </c>
      <c r="Q25675" s="5" t="s">
        <v>355</v>
      </c>
    </row>
    <row r="25676" ht="16.5" customHeight="1">
      <c r="O25676" s="5" t="s">
        <v>355</v>
      </c>
      <c r="P25676" s="5" t="s">
        <v>355</v>
      </c>
      <c r="Q25676" s="5" t="s">
        <v>355</v>
      </c>
    </row>
    <row r="25677" ht="16.5" customHeight="1">
      <c r="O25677" s="5" t="s">
        <v>355</v>
      </c>
      <c r="P25677" s="5" t="s">
        <v>355</v>
      </c>
      <c r="Q25677" s="5" t="s">
        <v>355</v>
      </c>
    </row>
    <row r="25678" ht="16.5" customHeight="1">
      <c r="O25678" s="5" t="s">
        <v>355</v>
      </c>
      <c r="P25678" s="5" t="s">
        <v>355</v>
      </c>
      <c r="Q25678" s="5" t="s">
        <v>355</v>
      </c>
    </row>
    <row r="25679" ht="16.5" customHeight="1">
      <c r="O25679" s="5" t="s">
        <v>355</v>
      </c>
      <c r="P25679" s="5" t="s">
        <v>355</v>
      </c>
      <c r="Q25679" s="5" t="s">
        <v>355</v>
      </c>
    </row>
    <row r="25680" ht="16.5" customHeight="1">
      <c r="O25680" s="5" t="s">
        <v>355</v>
      </c>
      <c r="P25680" s="5" t="s">
        <v>355</v>
      </c>
      <c r="Q25680" s="5" t="s">
        <v>355</v>
      </c>
    </row>
    <row r="25681" ht="16.5" customHeight="1">
      <c r="O25681" s="5" t="s">
        <v>355</v>
      </c>
      <c r="P25681" s="5" t="s">
        <v>355</v>
      </c>
      <c r="Q25681" s="5" t="s">
        <v>355</v>
      </c>
    </row>
    <row r="25682" ht="16.5" customHeight="1">
      <c r="O25682" s="5" t="s">
        <v>355</v>
      </c>
      <c r="P25682" s="5" t="s">
        <v>355</v>
      </c>
      <c r="Q25682" s="5" t="s">
        <v>355</v>
      </c>
    </row>
    <row r="25683" ht="16.5" customHeight="1">
      <c r="O25683" s="5" t="s">
        <v>355</v>
      </c>
      <c r="P25683" s="5" t="s">
        <v>355</v>
      </c>
      <c r="Q25683" s="5" t="s">
        <v>355</v>
      </c>
    </row>
    <row r="25684" ht="16.5" customHeight="1">
      <c r="O25684" s="5" t="s">
        <v>355</v>
      </c>
      <c r="P25684" s="5" t="s">
        <v>355</v>
      </c>
      <c r="Q25684" s="5" t="s">
        <v>355</v>
      </c>
    </row>
    <row r="25685" ht="16.5" customHeight="1">
      <c r="O25685" s="5" t="s">
        <v>355</v>
      </c>
      <c r="P25685" s="5" t="s">
        <v>355</v>
      </c>
      <c r="Q25685" s="5" t="s">
        <v>355</v>
      </c>
    </row>
    <row r="25686" ht="16.5" customHeight="1">
      <c r="O25686" s="5" t="s">
        <v>355</v>
      </c>
      <c r="P25686" s="5" t="s">
        <v>355</v>
      </c>
      <c r="Q25686" s="5" t="s">
        <v>355</v>
      </c>
    </row>
    <row r="25687" ht="16.5" customHeight="1">
      <c r="O25687" s="5" t="s">
        <v>355</v>
      </c>
      <c r="P25687" s="5" t="s">
        <v>355</v>
      </c>
      <c r="Q25687" s="5" t="s">
        <v>355</v>
      </c>
    </row>
    <row r="25688" ht="16.5" customHeight="1">
      <c r="O25688" s="5" t="s">
        <v>355</v>
      </c>
      <c r="P25688" s="5" t="s">
        <v>355</v>
      </c>
      <c r="Q25688" s="5" t="s">
        <v>355</v>
      </c>
    </row>
    <row r="25689" ht="16.5" customHeight="1">
      <c r="O25689" s="5" t="s">
        <v>355</v>
      </c>
      <c r="P25689" s="5" t="s">
        <v>355</v>
      </c>
      <c r="Q25689" s="5" t="s">
        <v>355</v>
      </c>
    </row>
    <row r="25690" ht="16.5" customHeight="1">
      <c r="O25690" s="5" t="s">
        <v>355</v>
      </c>
      <c r="P25690" s="5" t="s">
        <v>355</v>
      </c>
      <c r="Q25690" s="5" t="s">
        <v>355</v>
      </c>
    </row>
    <row r="25691" ht="16.5" customHeight="1">
      <c r="O25691" s="5" t="s">
        <v>355</v>
      </c>
      <c r="P25691" s="5" t="s">
        <v>355</v>
      </c>
      <c r="Q25691" s="5" t="s">
        <v>355</v>
      </c>
    </row>
    <row r="25692" ht="16.5" customHeight="1">
      <c r="O25692" s="5" t="s">
        <v>355</v>
      </c>
      <c r="P25692" s="5" t="s">
        <v>355</v>
      </c>
      <c r="Q25692" s="5" t="s">
        <v>355</v>
      </c>
    </row>
    <row r="25693" ht="16.5" customHeight="1">
      <c r="O25693" s="5" t="s">
        <v>355</v>
      </c>
      <c r="P25693" s="5" t="s">
        <v>355</v>
      </c>
      <c r="Q25693" s="5" t="s">
        <v>355</v>
      </c>
    </row>
    <row r="25694" ht="16.5" customHeight="1">
      <c r="O25694" s="5" t="s">
        <v>355</v>
      </c>
      <c r="P25694" s="5" t="s">
        <v>355</v>
      </c>
      <c r="Q25694" s="5" t="s">
        <v>355</v>
      </c>
    </row>
    <row r="25695" ht="16.5" customHeight="1">
      <c r="O25695" s="5" t="s">
        <v>355</v>
      </c>
      <c r="P25695" s="5" t="s">
        <v>355</v>
      </c>
      <c r="Q25695" s="5" t="s">
        <v>355</v>
      </c>
    </row>
    <row r="25696" ht="16.5" customHeight="1">
      <c r="O25696" s="5" t="s">
        <v>355</v>
      </c>
      <c r="P25696" s="5" t="s">
        <v>355</v>
      </c>
      <c r="Q25696" s="5" t="s">
        <v>355</v>
      </c>
    </row>
    <row r="25697" ht="16.5" customHeight="1">
      <c r="O25697" s="5" t="s">
        <v>355</v>
      </c>
      <c r="P25697" s="5" t="s">
        <v>355</v>
      </c>
      <c r="Q25697" s="5" t="s">
        <v>355</v>
      </c>
    </row>
    <row r="25698" ht="16.5" customHeight="1">
      <c r="O25698" s="5" t="s">
        <v>355</v>
      </c>
      <c r="P25698" s="5" t="s">
        <v>355</v>
      </c>
      <c r="Q25698" s="5" t="s">
        <v>355</v>
      </c>
    </row>
    <row r="25699" ht="16.5" customHeight="1">
      <c r="O25699" s="5" t="s">
        <v>355</v>
      </c>
      <c r="P25699" s="5" t="s">
        <v>355</v>
      </c>
      <c r="Q25699" s="5" t="s">
        <v>355</v>
      </c>
    </row>
    <row r="25700" ht="16.5" customHeight="1">
      <c r="O25700" s="5" t="s">
        <v>355</v>
      </c>
      <c r="P25700" s="5" t="s">
        <v>355</v>
      </c>
      <c r="Q25700" s="5" t="s">
        <v>355</v>
      </c>
    </row>
    <row r="25701" ht="16.5" customHeight="1">
      <c r="O25701" s="5" t="s">
        <v>355</v>
      </c>
      <c r="P25701" s="5" t="s">
        <v>355</v>
      </c>
      <c r="Q25701" s="5" t="s">
        <v>355</v>
      </c>
    </row>
    <row r="25702" ht="16.5" customHeight="1">
      <c r="O25702" s="5" t="s">
        <v>355</v>
      </c>
      <c r="P25702" s="5" t="s">
        <v>355</v>
      </c>
      <c r="Q25702" s="5" t="s">
        <v>355</v>
      </c>
    </row>
    <row r="25703" ht="16.5" customHeight="1">
      <c r="O25703" s="5" t="s">
        <v>355</v>
      </c>
      <c r="P25703" s="5" t="s">
        <v>355</v>
      </c>
      <c r="Q25703" s="5" t="s">
        <v>355</v>
      </c>
    </row>
    <row r="25704" ht="16.5" customHeight="1">
      <c r="O25704" s="5" t="s">
        <v>355</v>
      </c>
      <c r="P25704" s="5" t="s">
        <v>355</v>
      </c>
      <c r="Q25704" s="5" t="s">
        <v>355</v>
      </c>
    </row>
    <row r="25705" ht="16.5" customHeight="1">
      <c r="O25705" s="5" t="s">
        <v>355</v>
      </c>
      <c r="P25705" s="5" t="s">
        <v>355</v>
      </c>
      <c r="Q25705" s="5" t="s">
        <v>355</v>
      </c>
    </row>
    <row r="25706" ht="16.5" customHeight="1">
      <c r="O25706" s="5" t="s">
        <v>355</v>
      </c>
      <c r="P25706" s="5" t="s">
        <v>355</v>
      </c>
      <c r="Q25706" s="5" t="s">
        <v>355</v>
      </c>
    </row>
    <row r="25707" ht="16.5" customHeight="1">
      <c r="O25707" s="5" t="s">
        <v>355</v>
      </c>
      <c r="P25707" s="5" t="s">
        <v>355</v>
      </c>
      <c r="Q25707" s="5" t="s">
        <v>355</v>
      </c>
    </row>
    <row r="25708" ht="16.5" customHeight="1">
      <c r="O25708" s="5" t="s">
        <v>355</v>
      </c>
      <c r="P25708" s="5" t="s">
        <v>355</v>
      </c>
      <c r="Q25708" s="5" t="s">
        <v>355</v>
      </c>
    </row>
    <row r="25709" ht="16.5" customHeight="1">
      <c r="O25709" s="5" t="s">
        <v>355</v>
      </c>
      <c r="P25709" s="5" t="s">
        <v>355</v>
      </c>
      <c r="Q25709" s="5" t="s">
        <v>355</v>
      </c>
    </row>
    <row r="25710" ht="16.5" customHeight="1">
      <c r="O25710" s="5" t="s">
        <v>355</v>
      </c>
      <c r="P25710" s="5" t="s">
        <v>355</v>
      </c>
      <c r="Q25710" s="5" t="s">
        <v>355</v>
      </c>
    </row>
    <row r="25711" ht="16.5" customHeight="1">
      <c r="O25711" s="5" t="s">
        <v>355</v>
      </c>
      <c r="P25711" s="5" t="s">
        <v>355</v>
      </c>
      <c r="Q25711" s="5" t="s">
        <v>355</v>
      </c>
    </row>
    <row r="25712" ht="16.5" customHeight="1">
      <c r="O25712" s="5" t="s">
        <v>355</v>
      </c>
      <c r="P25712" s="5" t="s">
        <v>355</v>
      </c>
      <c r="Q25712" s="5" t="s">
        <v>355</v>
      </c>
    </row>
    <row r="25713" ht="16.5" customHeight="1">
      <c r="O25713" s="5" t="s">
        <v>355</v>
      </c>
      <c r="P25713" s="5" t="s">
        <v>355</v>
      </c>
      <c r="Q25713" s="5" t="s">
        <v>355</v>
      </c>
    </row>
    <row r="25714" ht="16.5" customHeight="1">
      <c r="O25714" s="5" t="s">
        <v>355</v>
      </c>
      <c r="P25714" s="5" t="s">
        <v>355</v>
      </c>
      <c r="Q25714" s="5" t="s">
        <v>355</v>
      </c>
    </row>
    <row r="25715" ht="16.5" customHeight="1">
      <c r="O25715" s="5" t="s">
        <v>355</v>
      </c>
      <c r="P25715" s="5" t="s">
        <v>355</v>
      </c>
      <c r="Q25715" s="5" t="s">
        <v>355</v>
      </c>
    </row>
    <row r="25716" ht="16.5" customHeight="1">
      <c r="O25716" s="5" t="s">
        <v>355</v>
      </c>
      <c r="P25716" s="5" t="s">
        <v>355</v>
      </c>
      <c r="Q25716" s="5" t="s">
        <v>355</v>
      </c>
    </row>
    <row r="25717" ht="16.5" customHeight="1">
      <c r="O25717" s="5" t="s">
        <v>355</v>
      </c>
      <c r="P25717" s="5" t="s">
        <v>355</v>
      </c>
      <c r="Q25717" s="5" t="s">
        <v>355</v>
      </c>
    </row>
    <row r="25718" ht="16.5" customHeight="1">
      <c r="O25718" s="5" t="s">
        <v>355</v>
      </c>
      <c r="P25718" s="5" t="s">
        <v>355</v>
      </c>
      <c r="Q25718" s="5" t="s">
        <v>355</v>
      </c>
    </row>
    <row r="25719" ht="16.5" customHeight="1">
      <c r="O25719" s="5" t="s">
        <v>355</v>
      </c>
      <c r="P25719" s="5" t="s">
        <v>355</v>
      </c>
      <c r="Q25719" s="5" t="s">
        <v>355</v>
      </c>
    </row>
    <row r="25720" ht="16.5" customHeight="1">
      <c r="O25720" s="5" t="s">
        <v>355</v>
      </c>
      <c r="P25720" s="5" t="s">
        <v>355</v>
      </c>
      <c r="Q25720" s="5" t="s">
        <v>355</v>
      </c>
    </row>
    <row r="25721" ht="16.5" customHeight="1">
      <c r="O25721" s="5" t="s">
        <v>355</v>
      </c>
      <c r="P25721" s="5" t="s">
        <v>355</v>
      </c>
      <c r="Q25721" s="5" t="s">
        <v>355</v>
      </c>
    </row>
    <row r="25722" ht="16.5" customHeight="1">
      <c r="O25722" s="5" t="s">
        <v>355</v>
      </c>
      <c r="P25722" s="5" t="s">
        <v>355</v>
      </c>
      <c r="Q25722" s="5" t="s">
        <v>355</v>
      </c>
    </row>
    <row r="25723" ht="16.5" customHeight="1">
      <c r="O25723" s="5" t="s">
        <v>355</v>
      </c>
      <c r="P25723" s="5" t="s">
        <v>355</v>
      </c>
      <c r="Q25723" s="5" t="s">
        <v>355</v>
      </c>
    </row>
    <row r="25724" ht="16.5" customHeight="1">
      <c r="O25724" s="5" t="s">
        <v>355</v>
      </c>
      <c r="P25724" s="5" t="s">
        <v>355</v>
      </c>
      <c r="Q25724" s="5" t="s">
        <v>355</v>
      </c>
    </row>
    <row r="25725" ht="16.5" customHeight="1">
      <c r="O25725" s="5" t="s">
        <v>355</v>
      </c>
      <c r="P25725" s="5" t="s">
        <v>355</v>
      </c>
      <c r="Q25725" s="5" t="s">
        <v>355</v>
      </c>
    </row>
    <row r="25726" ht="16.5" customHeight="1">
      <c r="O25726" s="5" t="s">
        <v>355</v>
      </c>
      <c r="P25726" s="5" t="s">
        <v>355</v>
      </c>
      <c r="Q25726" s="5" t="s">
        <v>355</v>
      </c>
    </row>
    <row r="25727" ht="16.5" customHeight="1">
      <c r="O25727" s="5" t="s">
        <v>355</v>
      </c>
      <c r="P25727" s="5" t="s">
        <v>355</v>
      </c>
      <c r="Q25727" s="5" t="s">
        <v>355</v>
      </c>
    </row>
    <row r="25728" ht="16.5" customHeight="1">
      <c r="O25728" s="5" t="s">
        <v>355</v>
      </c>
      <c r="P25728" s="5" t="s">
        <v>355</v>
      </c>
      <c r="Q25728" s="5" t="s">
        <v>355</v>
      </c>
    </row>
    <row r="25729" ht="16.5" customHeight="1">
      <c r="O25729" s="5" t="s">
        <v>355</v>
      </c>
      <c r="P25729" s="5" t="s">
        <v>355</v>
      </c>
      <c r="Q25729" s="5" t="s">
        <v>355</v>
      </c>
    </row>
    <row r="25730" ht="16.5" customHeight="1">
      <c r="O25730" s="5" t="s">
        <v>355</v>
      </c>
      <c r="P25730" s="5" t="s">
        <v>355</v>
      </c>
      <c r="Q25730" s="5" t="s">
        <v>355</v>
      </c>
    </row>
    <row r="25731" ht="16.5" customHeight="1">
      <c r="O25731" s="5" t="s">
        <v>355</v>
      </c>
      <c r="P25731" s="5" t="s">
        <v>355</v>
      </c>
      <c r="Q25731" s="5" t="s">
        <v>355</v>
      </c>
    </row>
    <row r="25732" ht="16.5" customHeight="1">
      <c r="O25732" s="5" t="s">
        <v>355</v>
      </c>
      <c r="P25732" s="5" t="s">
        <v>355</v>
      </c>
      <c r="Q25732" s="5" t="s">
        <v>355</v>
      </c>
    </row>
    <row r="25733" ht="16.5" customHeight="1">
      <c r="O25733" s="5" t="s">
        <v>355</v>
      </c>
      <c r="P25733" s="5" t="s">
        <v>355</v>
      </c>
      <c r="Q25733" s="5" t="s">
        <v>355</v>
      </c>
    </row>
    <row r="25734" ht="16.5" customHeight="1">
      <c r="O25734" s="5" t="s">
        <v>355</v>
      </c>
      <c r="P25734" s="5" t="s">
        <v>355</v>
      </c>
      <c r="Q25734" s="5" t="s">
        <v>355</v>
      </c>
    </row>
    <row r="25735" ht="16.5" customHeight="1">
      <c r="O25735" s="5" t="s">
        <v>355</v>
      </c>
      <c r="P25735" s="5" t="s">
        <v>355</v>
      </c>
      <c r="Q25735" s="5" t="s">
        <v>355</v>
      </c>
    </row>
    <row r="25736" ht="16.5" customHeight="1">
      <c r="O25736" s="5" t="s">
        <v>355</v>
      </c>
      <c r="P25736" s="5" t="s">
        <v>355</v>
      </c>
      <c r="Q25736" s="5" t="s">
        <v>355</v>
      </c>
    </row>
    <row r="25737" ht="16.5" customHeight="1">
      <c r="O25737" s="5" t="s">
        <v>355</v>
      </c>
      <c r="P25737" s="5" t="s">
        <v>355</v>
      </c>
      <c r="Q25737" s="5" t="s">
        <v>355</v>
      </c>
    </row>
    <row r="25738" ht="16.5" customHeight="1">
      <c r="O25738" s="5" t="s">
        <v>355</v>
      </c>
      <c r="P25738" s="5" t="s">
        <v>355</v>
      </c>
      <c r="Q25738" s="5" t="s">
        <v>355</v>
      </c>
    </row>
    <row r="25739" ht="16.5" customHeight="1">
      <c r="O25739" s="5" t="s">
        <v>355</v>
      </c>
      <c r="P25739" s="5" t="s">
        <v>355</v>
      </c>
      <c r="Q25739" s="5" t="s">
        <v>355</v>
      </c>
    </row>
    <row r="25740" ht="16.5" customHeight="1">
      <c r="O25740" s="5" t="s">
        <v>355</v>
      </c>
      <c r="P25740" s="5" t="s">
        <v>355</v>
      </c>
      <c r="Q25740" s="5" t="s">
        <v>355</v>
      </c>
    </row>
    <row r="25741" ht="16.5" customHeight="1">
      <c r="O25741" s="5" t="s">
        <v>355</v>
      </c>
      <c r="P25741" s="5" t="s">
        <v>355</v>
      </c>
      <c r="Q25741" s="5" t="s">
        <v>355</v>
      </c>
    </row>
    <row r="25742" ht="16.5" customHeight="1">
      <c r="O25742" s="5" t="s">
        <v>355</v>
      </c>
      <c r="P25742" s="5" t="s">
        <v>355</v>
      </c>
      <c r="Q25742" s="5" t="s">
        <v>355</v>
      </c>
    </row>
    <row r="25743" ht="16.5" customHeight="1">
      <c r="O25743" s="5" t="s">
        <v>355</v>
      </c>
      <c r="P25743" s="5" t="s">
        <v>355</v>
      </c>
      <c r="Q25743" s="5" t="s">
        <v>355</v>
      </c>
    </row>
    <row r="25744" ht="16.5" customHeight="1">
      <c r="O25744" s="5" t="s">
        <v>355</v>
      </c>
      <c r="P25744" s="5" t="s">
        <v>355</v>
      </c>
      <c r="Q25744" s="5" t="s">
        <v>355</v>
      </c>
    </row>
    <row r="25745" ht="16.5" customHeight="1">
      <c r="O25745" s="5" t="s">
        <v>355</v>
      </c>
      <c r="P25745" s="5" t="s">
        <v>355</v>
      </c>
      <c r="Q25745" s="5" t="s">
        <v>355</v>
      </c>
    </row>
    <row r="25746" ht="16.5" customHeight="1">
      <c r="O25746" s="5" t="s">
        <v>355</v>
      </c>
      <c r="P25746" s="5" t="s">
        <v>355</v>
      </c>
      <c r="Q25746" s="5" t="s">
        <v>355</v>
      </c>
    </row>
    <row r="25747" ht="16.5" customHeight="1">
      <c r="O25747" s="5" t="s">
        <v>355</v>
      </c>
      <c r="P25747" s="5" t="s">
        <v>355</v>
      </c>
      <c r="Q25747" s="5" t="s">
        <v>355</v>
      </c>
    </row>
    <row r="25748" ht="16.5" customHeight="1">
      <c r="O25748" s="5" t="s">
        <v>355</v>
      </c>
      <c r="P25748" s="5" t="s">
        <v>355</v>
      </c>
      <c r="Q25748" s="5" t="s">
        <v>355</v>
      </c>
    </row>
    <row r="25749" ht="16.5" customHeight="1">
      <c r="O25749" s="5" t="s">
        <v>355</v>
      </c>
      <c r="P25749" s="5" t="s">
        <v>355</v>
      </c>
      <c r="Q25749" s="5" t="s">
        <v>355</v>
      </c>
    </row>
    <row r="25750" ht="16.5" customHeight="1">
      <c r="O25750" s="5" t="s">
        <v>355</v>
      </c>
      <c r="P25750" s="5" t="s">
        <v>355</v>
      </c>
      <c r="Q25750" s="5" t="s">
        <v>355</v>
      </c>
    </row>
    <row r="25751" ht="16.5" customHeight="1">
      <c r="O25751" s="5" t="s">
        <v>355</v>
      </c>
      <c r="P25751" s="5" t="s">
        <v>355</v>
      </c>
      <c r="Q25751" s="5" t="s">
        <v>355</v>
      </c>
    </row>
    <row r="25752" ht="16.5" customHeight="1">
      <c r="O25752" s="5" t="s">
        <v>355</v>
      </c>
      <c r="P25752" s="5" t="s">
        <v>355</v>
      </c>
      <c r="Q25752" s="5" t="s">
        <v>355</v>
      </c>
    </row>
    <row r="25753" ht="16.5" customHeight="1">
      <c r="O25753" s="5" t="s">
        <v>355</v>
      </c>
      <c r="P25753" s="5" t="s">
        <v>355</v>
      </c>
      <c r="Q25753" s="5" t="s">
        <v>355</v>
      </c>
    </row>
    <row r="25754" ht="16.5" customHeight="1">
      <c r="O25754" s="5" t="s">
        <v>355</v>
      </c>
      <c r="P25754" s="5" t="s">
        <v>355</v>
      </c>
      <c r="Q25754" s="5" t="s">
        <v>355</v>
      </c>
    </row>
    <row r="25755" ht="16.5" customHeight="1">
      <c r="O25755" s="5" t="s">
        <v>355</v>
      </c>
      <c r="P25755" s="5" t="s">
        <v>355</v>
      </c>
      <c r="Q25755" s="5" t="s">
        <v>355</v>
      </c>
    </row>
    <row r="25756" ht="16.5" customHeight="1">
      <c r="O25756" s="5" t="s">
        <v>355</v>
      </c>
      <c r="P25756" s="5" t="s">
        <v>355</v>
      </c>
      <c r="Q25756" s="5" t="s">
        <v>355</v>
      </c>
    </row>
    <row r="25757" ht="16.5" customHeight="1">
      <c r="O25757" s="5" t="s">
        <v>355</v>
      </c>
      <c r="P25757" s="5" t="s">
        <v>355</v>
      </c>
      <c r="Q25757" s="5" t="s">
        <v>355</v>
      </c>
    </row>
    <row r="25758" ht="16.5" customHeight="1">
      <c r="O25758" s="5" t="s">
        <v>355</v>
      </c>
      <c r="P25758" s="5" t="s">
        <v>355</v>
      </c>
      <c r="Q25758" s="5" t="s">
        <v>355</v>
      </c>
    </row>
    <row r="25759" ht="16.5" customHeight="1">
      <c r="O25759" s="5" t="s">
        <v>355</v>
      </c>
      <c r="P25759" s="5" t="s">
        <v>355</v>
      </c>
      <c r="Q25759" s="5" t="s">
        <v>355</v>
      </c>
    </row>
    <row r="25760" ht="16.5" customHeight="1">
      <c r="O25760" s="5" t="s">
        <v>355</v>
      </c>
      <c r="P25760" s="5" t="s">
        <v>355</v>
      </c>
      <c r="Q25760" s="5" t="s">
        <v>355</v>
      </c>
    </row>
    <row r="25761" ht="16.5" customHeight="1">
      <c r="O25761" s="5" t="s">
        <v>355</v>
      </c>
      <c r="P25761" s="5" t="s">
        <v>355</v>
      </c>
      <c r="Q25761" s="5" t="s">
        <v>355</v>
      </c>
    </row>
    <row r="25762" ht="16.5" customHeight="1">
      <c r="O25762" s="5" t="s">
        <v>355</v>
      </c>
      <c r="P25762" s="5" t="s">
        <v>355</v>
      </c>
      <c r="Q25762" s="5" t="s">
        <v>355</v>
      </c>
    </row>
    <row r="25763" ht="16.5" customHeight="1">
      <c r="O25763" s="5" t="s">
        <v>355</v>
      </c>
      <c r="P25763" s="5" t="s">
        <v>355</v>
      </c>
      <c r="Q25763" s="5" t="s">
        <v>355</v>
      </c>
    </row>
    <row r="25764" ht="16.5" customHeight="1">
      <c r="O25764" s="5" t="s">
        <v>355</v>
      </c>
      <c r="P25764" s="5" t="s">
        <v>355</v>
      </c>
      <c r="Q25764" s="5" t="s">
        <v>355</v>
      </c>
    </row>
    <row r="25765" ht="16.5" customHeight="1">
      <c r="O25765" s="5" t="s">
        <v>355</v>
      </c>
      <c r="P25765" s="5" t="s">
        <v>355</v>
      </c>
      <c r="Q25765" s="5" t="s">
        <v>355</v>
      </c>
    </row>
    <row r="25766" ht="16.5" customHeight="1">
      <c r="O25766" s="5" t="s">
        <v>355</v>
      </c>
      <c r="P25766" s="5" t="s">
        <v>355</v>
      </c>
      <c r="Q25766" s="5" t="s">
        <v>355</v>
      </c>
    </row>
    <row r="25767" ht="16.5" customHeight="1">
      <c r="O25767" s="5" t="s">
        <v>355</v>
      </c>
      <c r="P25767" s="5" t="s">
        <v>355</v>
      </c>
      <c r="Q25767" s="5" t="s">
        <v>355</v>
      </c>
    </row>
    <row r="25768" ht="16.5" customHeight="1">
      <c r="O25768" s="5" t="s">
        <v>355</v>
      </c>
      <c r="P25768" s="5" t="s">
        <v>355</v>
      </c>
      <c r="Q25768" s="5" t="s">
        <v>355</v>
      </c>
    </row>
    <row r="25769" ht="16.5" customHeight="1">
      <c r="O25769" s="5" t="s">
        <v>355</v>
      </c>
      <c r="P25769" s="5" t="s">
        <v>355</v>
      </c>
      <c r="Q25769" s="5" t="s">
        <v>355</v>
      </c>
    </row>
    <row r="25770" ht="16.5" customHeight="1">
      <c r="O25770" s="5" t="s">
        <v>355</v>
      </c>
      <c r="P25770" s="5" t="s">
        <v>355</v>
      </c>
      <c r="Q25770" s="5" t="s">
        <v>355</v>
      </c>
    </row>
    <row r="25771" ht="16.5" customHeight="1">
      <c r="O25771" s="5" t="s">
        <v>355</v>
      </c>
      <c r="P25771" s="5" t="s">
        <v>355</v>
      </c>
      <c r="Q25771" s="5" t="s">
        <v>355</v>
      </c>
    </row>
    <row r="25772" ht="16.5" customHeight="1">
      <c r="O25772" s="5" t="s">
        <v>355</v>
      </c>
      <c r="P25772" s="5" t="s">
        <v>355</v>
      </c>
      <c r="Q25772" s="5" t="s">
        <v>355</v>
      </c>
    </row>
    <row r="25773" ht="16.5" customHeight="1">
      <c r="O25773" s="5" t="s">
        <v>355</v>
      </c>
      <c r="P25773" s="5" t="s">
        <v>355</v>
      </c>
      <c r="Q25773" s="5" t="s">
        <v>355</v>
      </c>
    </row>
    <row r="25774" ht="16.5" customHeight="1">
      <c r="O25774" s="5" t="s">
        <v>355</v>
      </c>
      <c r="P25774" s="5" t="s">
        <v>355</v>
      </c>
      <c r="Q25774" s="5" t="s">
        <v>355</v>
      </c>
    </row>
    <row r="25775" ht="16.5" customHeight="1">
      <c r="O25775" s="5" t="s">
        <v>355</v>
      </c>
      <c r="P25775" s="5" t="s">
        <v>355</v>
      </c>
      <c r="Q25775" s="5" t="s">
        <v>355</v>
      </c>
    </row>
    <row r="25776" ht="16.5" customHeight="1">
      <c r="O25776" s="5" t="s">
        <v>355</v>
      </c>
      <c r="P25776" s="5" t="s">
        <v>355</v>
      </c>
      <c r="Q25776" s="5" t="s">
        <v>355</v>
      </c>
    </row>
    <row r="25777" ht="16.5" customHeight="1">
      <c r="O25777" s="5" t="s">
        <v>355</v>
      </c>
      <c r="P25777" s="5" t="s">
        <v>355</v>
      </c>
      <c r="Q25777" s="5" t="s">
        <v>355</v>
      </c>
    </row>
    <row r="25778" ht="16.5" customHeight="1">
      <c r="O25778" s="5" t="s">
        <v>355</v>
      </c>
      <c r="P25778" s="5" t="s">
        <v>355</v>
      </c>
      <c r="Q25778" s="5" t="s">
        <v>355</v>
      </c>
    </row>
    <row r="25779" ht="16.5" customHeight="1">
      <c r="O25779" s="5" t="s">
        <v>355</v>
      </c>
      <c r="P25779" s="5" t="s">
        <v>355</v>
      </c>
      <c r="Q25779" s="5" t="s">
        <v>355</v>
      </c>
    </row>
    <row r="25780" ht="16.5" customHeight="1">
      <c r="O25780" s="5" t="s">
        <v>355</v>
      </c>
      <c r="P25780" s="5" t="s">
        <v>355</v>
      </c>
      <c r="Q25780" s="5" t="s">
        <v>355</v>
      </c>
    </row>
    <row r="25781" ht="16.5" customHeight="1">
      <c r="O25781" s="5" t="s">
        <v>355</v>
      </c>
      <c r="P25781" s="5" t="s">
        <v>355</v>
      </c>
      <c r="Q25781" s="5" t="s">
        <v>355</v>
      </c>
    </row>
    <row r="25782" ht="16.5" customHeight="1">
      <c r="O25782" s="5" t="s">
        <v>355</v>
      </c>
      <c r="P25782" s="5" t="s">
        <v>355</v>
      </c>
      <c r="Q25782" s="5" t="s">
        <v>355</v>
      </c>
    </row>
    <row r="25783" ht="16.5" customHeight="1">
      <c r="O25783" s="5" t="s">
        <v>355</v>
      </c>
      <c r="P25783" s="5" t="s">
        <v>355</v>
      </c>
      <c r="Q25783" s="5" t="s">
        <v>355</v>
      </c>
    </row>
    <row r="25784" ht="16.5" customHeight="1">
      <c r="O25784" s="5" t="s">
        <v>355</v>
      </c>
      <c r="P25784" s="5" t="s">
        <v>355</v>
      </c>
      <c r="Q25784" s="5" t="s">
        <v>355</v>
      </c>
    </row>
    <row r="25785" ht="16.5" customHeight="1">
      <c r="O25785" s="5" t="s">
        <v>355</v>
      </c>
      <c r="P25785" s="5" t="s">
        <v>355</v>
      </c>
      <c r="Q25785" s="5" t="s">
        <v>355</v>
      </c>
    </row>
    <row r="25786" ht="16.5" customHeight="1">
      <c r="O25786" s="5" t="s">
        <v>355</v>
      </c>
      <c r="P25786" s="5" t="s">
        <v>355</v>
      </c>
      <c r="Q25786" s="5" t="s">
        <v>355</v>
      </c>
    </row>
    <row r="25787" ht="16.5" customHeight="1">
      <c r="O25787" s="5" t="s">
        <v>355</v>
      </c>
      <c r="P25787" s="5" t="s">
        <v>355</v>
      </c>
      <c r="Q25787" s="5" t="s">
        <v>355</v>
      </c>
    </row>
    <row r="25788" ht="16.5" customHeight="1">
      <c r="O25788" s="5" t="s">
        <v>355</v>
      </c>
      <c r="P25788" s="5" t="s">
        <v>355</v>
      </c>
      <c r="Q25788" s="5" t="s">
        <v>355</v>
      </c>
    </row>
    <row r="25789" ht="16.5" customHeight="1">
      <c r="O25789" s="5" t="s">
        <v>355</v>
      </c>
      <c r="P25789" s="5" t="s">
        <v>355</v>
      </c>
      <c r="Q25789" s="5" t="s">
        <v>355</v>
      </c>
    </row>
    <row r="25790" ht="16.5" customHeight="1">
      <c r="O25790" s="5" t="s">
        <v>355</v>
      </c>
      <c r="P25790" s="5" t="s">
        <v>355</v>
      </c>
      <c r="Q25790" s="5" t="s">
        <v>355</v>
      </c>
    </row>
    <row r="25791" ht="16.5" customHeight="1">
      <c r="O25791" s="5" t="s">
        <v>355</v>
      </c>
      <c r="P25791" s="5" t="s">
        <v>355</v>
      </c>
      <c r="Q25791" s="5" t="s">
        <v>355</v>
      </c>
    </row>
    <row r="25792" ht="16.5" customHeight="1">
      <c r="O25792" s="5" t="s">
        <v>355</v>
      </c>
      <c r="P25792" s="5" t="s">
        <v>355</v>
      </c>
      <c r="Q25792" s="5" t="s">
        <v>355</v>
      </c>
    </row>
    <row r="25793" ht="16.5" customHeight="1">
      <c r="O25793" s="5" t="s">
        <v>355</v>
      </c>
      <c r="P25793" s="5" t="s">
        <v>355</v>
      </c>
      <c r="Q25793" s="5" t="s">
        <v>355</v>
      </c>
    </row>
    <row r="25794" ht="16.5" customHeight="1">
      <c r="O25794" s="5" t="s">
        <v>355</v>
      </c>
      <c r="P25794" s="5" t="s">
        <v>355</v>
      </c>
      <c r="Q25794" s="5" t="s">
        <v>355</v>
      </c>
    </row>
    <row r="25795" ht="16.5" customHeight="1">
      <c r="O25795" s="5" t="s">
        <v>355</v>
      </c>
      <c r="P25795" s="5" t="s">
        <v>355</v>
      </c>
      <c r="Q25795" s="5" t="s">
        <v>355</v>
      </c>
    </row>
    <row r="25796" ht="16.5" customHeight="1">
      <c r="O25796" s="5" t="s">
        <v>355</v>
      </c>
      <c r="P25796" s="5" t="s">
        <v>355</v>
      </c>
      <c r="Q25796" s="5" t="s">
        <v>355</v>
      </c>
    </row>
    <row r="25797" ht="16.5" customHeight="1">
      <c r="O25797" s="5" t="s">
        <v>355</v>
      </c>
      <c r="P25797" s="5" t="s">
        <v>355</v>
      </c>
      <c r="Q25797" s="5" t="s">
        <v>355</v>
      </c>
    </row>
    <row r="25798" ht="16.5" customHeight="1">
      <c r="O25798" s="5" t="s">
        <v>355</v>
      </c>
      <c r="P25798" s="5" t="s">
        <v>355</v>
      </c>
      <c r="Q25798" s="5" t="s">
        <v>355</v>
      </c>
    </row>
    <row r="25799" ht="16.5" customHeight="1">
      <c r="O25799" s="5" t="s">
        <v>355</v>
      </c>
      <c r="P25799" s="5" t="s">
        <v>355</v>
      </c>
      <c r="Q25799" s="5" t="s">
        <v>355</v>
      </c>
    </row>
    <row r="25800" ht="16.5" customHeight="1">
      <c r="O25800" s="5" t="s">
        <v>355</v>
      </c>
      <c r="P25800" s="5" t="s">
        <v>355</v>
      </c>
      <c r="Q25800" s="5" t="s">
        <v>355</v>
      </c>
    </row>
    <row r="25801" ht="16.5" customHeight="1">
      <c r="O25801" s="5" t="s">
        <v>355</v>
      </c>
      <c r="P25801" s="5" t="s">
        <v>355</v>
      </c>
      <c r="Q25801" s="5" t="s">
        <v>355</v>
      </c>
    </row>
    <row r="25802" ht="16.5" customHeight="1">
      <c r="O25802" s="5" t="s">
        <v>355</v>
      </c>
      <c r="P25802" s="5" t="s">
        <v>355</v>
      </c>
      <c r="Q25802" s="5" t="s">
        <v>355</v>
      </c>
    </row>
    <row r="25803" ht="16.5" customHeight="1">
      <c r="O25803" s="5" t="s">
        <v>355</v>
      </c>
      <c r="P25803" s="5" t="s">
        <v>355</v>
      </c>
      <c r="Q25803" s="5" t="s">
        <v>355</v>
      </c>
    </row>
    <row r="25804" ht="16.5" customHeight="1">
      <c r="O25804" s="5" t="s">
        <v>355</v>
      </c>
      <c r="P25804" s="5" t="s">
        <v>355</v>
      </c>
      <c r="Q25804" s="5" t="s">
        <v>355</v>
      </c>
    </row>
    <row r="25805" ht="16.5" customHeight="1">
      <c r="O25805" s="5" t="s">
        <v>355</v>
      </c>
      <c r="P25805" s="5" t="s">
        <v>355</v>
      </c>
      <c r="Q25805" s="5" t="s">
        <v>355</v>
      </c>
    </row>
    <row r="25806" ht="16.5" customHeight="1">
      <c r="O25806" s="5" t="s">
        <v>355</v>
      </c>
      <c r="P25806" s="5" t="s">
        <v>355</v>
      </c>
      <c r="Q25806" s="5" t="s">
        <v>355</v>
      </c>
    </row>
    <row r="25807" ht="16.5" customHeight="1">
      <c r="O25807" s="5" t="s">
        <v>355</v>
      </c>
      <c r="P25807" s="5" t="s">
        <v>355</v>
      </c>
      <c r="Q25807" s="5" t="s">
        <v>355</v>
      </c>
    </row>
    <row r="25808" ht="16.5" customHeight="1">
      <c r="O25808" s="5" t="s">
        <v>355</v>
      </c>
      <c r="P25808" s="5" t="s">
        <v>355</v>
      </c>
      <c r="Q25808" s="5" t="s">
        <v>355</v>
      </c>
    </row>
    <row r="25809" ht="16.5" customHeight="1">
      <c r="O25809" s="5" t="s">
        <v>355</v>
      </c>
      <c r="P25809" s="5" t="s">
        <v>355</v>
      </c>
      <c r="Q25809" s="5" t="s">
        <v>355</v>
      </c>
    </row>
    <row r="25810" ht="16.5" customHeight="1">
      <c r="O25810" s="5" t="s">
        <v>355</v>
      </c>
      <c r="P25810" s="5" t="s">
        <v>355</v>
      </c>
      <c r="Q25810" s="5" t="s">
        <v>355</v>
      </c>
    </row>
    <row r="25811" ht="16.5" customHeight="1">
      <c r="O25811" s="5" t="s">
        <v>355</v>
      </c>
      <c r="P25811" s="5" t="s">
        <v>355</v>
      </c>
      <c r="Q25811" s="5" t="s">
        <v>355</v>
      </c>
    </row>
    <row r="25812" ht="16.5" customHeight="1">
      <c r="O25812" s="5" t="s">
        <v>355</v>
      </c>
      <c r="P25812" s="5" t="s">
        <v>355</v>
      </c>
      <c r="Q25812" s="5" t="s">
        <v>355</v>
      </c>
    </row>
    <row r="25813" ht="16.5" customHeight="1">
      <c r="O25813" s="5" t="s">
        <v>355</v>
      </c>
      <c r="P25813" s="5" t="s">
        <v>355</v>
      </c>
      <c r="Q25813" s="5" t="s">
        <v>355</v>
      </c>
    </row>
    <row r="25814" ht="16.5" customHeight="1">
      <c r="O25814" s="5" t="s">
        <v>355</v>
      </c>
      <c r="P25814" s="5" t="s">
        <v>355</v>
      </c>
      <c r="Q25814" s="5" t="s">
        <v>355</v>
      </c>
    </row>
    <row r="25815" ht="16.5" customHeight="1">
      <c r="O25815" s="5" t="s">
        <v>355</v>
      </c>
      <c r="P25815" s="5" t="s">
        <v>355</v>
      </c>
      <c r="Q25815" s="5" t="s">
        <v>355</v>
      </c>
    </row>
    <row r="25816" ht="16.5" customHeight="1">
      <c r="O25816" s="5" t="s">
        <v>355</v>
      </c>
      <c r="P25816" s="5" t="s">
        <v>355</v>
      </c>
      <c r="Q25816" s="5" t="s">
        <v>355</v>
      </c>
    </row>
    <row r="25817" ht="16.5" customHeight="1">
      <c r="O25817" s="5" t="s">
        <v>355</v>
      </c>
      <c r="P25817" s="5" t="s">
        <v>355</v>
      </c>
      <c r="Q25817" s="5" t="s">
        <v>355</v>
      </c>
    </row>
    <row r="25818" ht="16.5" customHeight="1">
      <c r="O25818" s="5" t="s">
        <v>355</v>
      </c>
      <c r="P25818" s="5" t="s">
        <v>355</v>
      </c>
      <c r="Q25818" s="5" t="s">
        <v>355</v>
      </c>
    </row>
    <row r="25819" ht="16.5" customHeight="1">
      <c r="O25819" s="5" t="s">
        <v>355</v>
      </c>
      <c r="P25819" s="5" t="s">
        <v>355</v>
      </c>
      <c r="Q25819" s="5" t="s">
        <v>355</v>
      </c>
    </row>
    <row r="25820" ht="16.5" customHeight="1">
      <c r="O25820" s="5" t="s">
        <v>355</v>
      </c>
      <c r="P25820" s="5" t="s">
        <v>355</v>
      </c>
      <c r="Q25820" s="5" t="s">
        <v>355</v>
      </c>
    </row>
    <row r="25821" ht="16.5" customHeight="1">
      <c r="O25821" s="5" t="s">
        <v>355</v>
      </c>
      <c r="P25821" s="5" t="s">
        <v>355</v>
      </c>
      <c r="Q25821" s="5" t="s">
        <v>355</v>
      </c>
    </row>
    <row r="25822" ht="16.5" customHeight="1">
      <c r="O25822" s="5" t="s">
        <v>355</v>
      </c>
      <c r="P25822" s="5" t="s">
        <v>355</v>
      </c>
      <c r="Q25822" s="5" t="s">
        <v>355</v>
      </c>
    </row>
    <row r="25823" ht="16.5" customHeight="1">
      <c r="O25823" s="5" t="s">
        <v>355</v>
      </c>
      <c r="P25823" s="5" t="s">
        <v>355</v>
      </c>
      <c r="Q25823" s="5" t="s">
        <v>355</v>
      </c>
    </row>
    <row r="25824" ht="16.5" customHeight="1">
      <c r="O25824" s="5" t="s">
        <v>355</v>
      </c>
      <c r="P25824" s="5" t="s">
        <v>355</v>
      </c>
      <c r="Q25824" s="5" t="s">
        <v>355</v>
      </c>
    </row>
    <row r="25825" ht="16.5" customHeight="1">
      <c r="O25825" s="5" t="s">
        <v>355</v>
      </c>
      <c r="P25825" s="5" t="s">
        <v>355</v>
      </c>
      <c r="Q25825" s="5" t="s">
        <v>355</v>
      </c>
    </row>
    <row r="25826" ht="16.5" customHeight="1">
      <c r="O25826" s="5" t="s">
        <v>355</v>
      </c>
      <c r="P25826" s="5" t="s">
        <v>355</v>
      </c>
      <c r="Q25826" s="5" t="s">
        <v>355</v>
      </c>
    </row>
    <row r="25827" ht="16.5" customHeight="1">
      <c r="O25827" s="5" t="s">
        <v>355</v>
      </c>
      <c r="P25827" s="5" t="s">
        <v>355</v>
      </c>
      <c r="Q25827" s="5" t="s">
        <v>355</v>
      </c>
    </row>
    <row r="25828" ht="16.5" customHeight="1">
      <c r="O25828" s="5" t="s">
        <v>355</v>
      </c>
      <c r="P25828" s="5" t="s">
        <v>355</v>
      </c>
      <c r="Q25828" s="5" t="s">
        <v>355</v>
      </c>
    </row>
    <row r="25829" ht="16.5" customHeight="1">
      <c r="O25829" s="5" t="s">
        <v>355</v>
      </c>
      <c r="P25829" s="5" t="s">
        <v>355</v>
      </c>
      <c r="Q25829" s="5" t="s">
        <v>355</v>
      </c>
    </row>
    <row r="25830" ht="16.5" customHeight="1">
      <c r="O25830" s="5" t="s">
        <v>355</v>
      </c>
      <c r="P25830" s="5" t="s">
        <v>355</v>
      </c>
      <c r="Q25830" s="5" t="s">
        <v>355</v>
      </c>
    </row>
    <row r="25831" ht="16.5" customHeight="1">
      <c r="O25831" s="5" t="s">
        <v>355</v>
      </c>
      <c r="P25831" s="5" t="s">
        <v>355</v>
      </c>
      <c r="Q25831" s="5" t="s">
        <v>355</v>
      </c>
    </row>
    <row r="25832" ht="16.5" customHeight="1">
      <c r="O25832" s="5" t="s">
        <v>355</v>
      </c>
      <c r="P25832" s="5" t="s">
        <v>355</v>
      </c>
      <c r="Q25832" s="5" t="s">
        <v>355</v>
      </c>
    </row>
    <row r="25833" ht="16.5" customHeight="1">
      <c r="O25833" s="5" t="s">
        <v>355</v>
      </c>
      <c r="P25833" s="5" t="s">
        <v>355</v>
      </c>
      <c r="Q25833" s="5" t="s">
        <v>355</v>
      </c>
    </row>
    <row r="25834" ht="16.5" customHeight="1">
      <c r="O25834" s="5" t="s">
        <v>355</v>
      </c>
      <c r="P25834" s="5" t="s">
        <v>355</v>
      </c>
      <c r="Q25834" s="5" t="s">
        <v>355</v>
      </c>
    </row>
    <row r="25835" ht="16.5" customHeight="1">
      <c r="O25835" s="5" t="s">
        <v>355</v>
      </c>
      <c r="P25835" s="5" t="s">
        <v>355</v>
      </c>
      <c r="Q25835" s="5" t="s">
        <v>355</v>
      </c>
    </row>
    <row r="25836" ht="16.5" customHeight="1">
      <c r="O25836" s="5" t="s">
        <v>355</v>
      </c>
      <c r="P25836" s="5" t="s">
        <v>355</v>
      </c>
      <c r="Q25836" s="5" t="s">
        <v>355</v>
      </c>
    </row>
    <row r="25837" ht="16.5" customHeight="1">
      <c r="O25837" s="5" t="s">
        <v>355</v>
      </c>
      <c r="P25837" s="5" t="s">
        <v>355</v>
      </c>
      <c r="Q25837" s="5" t="s">
        <v>355</v>
      </c>
    </row>
    <row r="25838" ht="16.5" customHeight="1">
      <c r="O25838" s="5" t="s">
        <v>355</v>
      </c>
      <c r="P25838" s="5" t="s">
        <v>355</v>
      </c>
      <c r="Q25838" s="5" t="s">
        <v>355</v>
      </c>
    </row>
    <row r="25839" ht="16.5" customHeight="1">
      <c r="O25839" s="5" t="s">
        <v>355</v>
      </c>
      <c r="P25839" s="5" t="s">
        <v>355</v>
      </c>
      <c r="Q25839" s="5" t="s">
        <v>355</v>
      </c>
    </row>
    <row r="25840" ht="16.5" customHeight="1">
      <c r="O25840" s="5" t="s">
        <v>355</v>
      </c>
      <c r="P25840" s="5" t="s">
        <v>355</v>
      </c>
      <c r="Q25840" s="5" t="s">
        <v>355</v>
      </c>
    </row>
    <row r="25841" ht="16.5" customHeight="1">
      <c r="O25841" s="5" t="s">
        <v>355</v>
      </c>
      <c r="P25841" s="5" t="s">
        <v>355</v>
      </c>
      <c r="Q25841" s="5" t="s">
        <v>355</v>
      </c>
    </row>
    <row r="25842" ht="16.5" customHeight="1">
      <c r="O25842" s="5" t="s">
        <v>355</v>
      </c>
      <c r="P25842" s="5" t="s">
        <v>355</v>
      </c>
      <c r="Q25842" s="5" t="s">
        <v>355</v>
      </c>
    </row>
    <row r="25843" ht="16.5" customHeight="1">
      <c r="O25843" s="5" t="s">
        <v>355</v>
      </c>
      <c r="P25843" s="5" t="s">
        <v>355</v>
      </c>
      <c r="Q25843" s="5" t="s">
        <v>355</v>
      </c>
    </row>
    <row r="25844" ht="16.5" customHeight="1">
      <c r="O25844" s="5" t="s">
        <v>355</v>
      </c>
      <c r="P25844" s="5" t="s">
        <v>355</v>
      </c>
      <c r="Q25844" s="5" t="s">
        <v>355</v>
      </c>
    </row>
    <row r="25845" ht="16.5" customHeight="1">
      <c r="O25845" s="5" t="s">
        <v>355</v>
      </c>
      <c r="P25845" s="5" t="s">
        <v>355</v>
      </c>
      <c r="Q25845" s="5" t="s">
        <v>355</v>
      </c>
    </row>
    <row r="25846" ht="16.5" customHeight="1">
      <c r="O25846" s="5" t="s">
        <v>355</v>
      </c>
      <c r="P25846" s="5" t="s">
        <v>355</v>
      </c>
      <c r="Q25846" s="5" t="s">
        <v>355</v>
      </c>
    </row>
    <row r="25847" ht="16.5" customHeight="1">
      <c r="O25847" s="5" t="s">
        <v>355</v>
      </c>
      <c r="P25847" s="5" t="s">
        <v>355</v>
      </c>
      <c r="Q25847" s="5" t="s">
        <v>355</v>
      </c>
    </row>
    <row r="25848" ht="16.5" customHeight="1">
      <c r="O25848" s="5" t="s">
        <v>355</v>
      </c>
      <c r="P25848" s="5" t="s">
        <v>355</v>
      </c>
      <c r="Q25848" s="5" t="s">
        <v>355</v>
      </c>
    </row>
    <row r="25849" ht="16.5" customHeight="1">
      <c r="O25849" s="5" t="s">
        <v>355</v>
      </c>
      <c r="P25849" s="5" t="s">
        <v>355</v>
      </c>
      <c r="Q25849" s="5" t="s">
        <v>355</v>
      </c>
    </row>
    <row r="25850" ht="16.5" customHeight="1">
      <c r="O25850" s="5" t="s">
        <v>355</v>
      </c>
      <c r="P25850" s="5" t="s">
        <v>355</v>
      </c>
      <c r="Q25850" s="5" t="s">
        <v>355</v>
      </c>
    </row>
    <row r="25851" ht="16.5" customHeight="1">
      <c r="O25851" s="5" t="s">
        <v>355</v>
      </c>
      <c r="P25851" s="5" t="s">
        <v>355</v>
      </c>
      <c r="Q25851" s="5" t="s">
        <v>355</v>
      </c>
    </row>
    <row r="25852" ht="16.5" customHeight="1">
      <c r="O25852" s="5" t="s">
        <v>355</v>
      </c>
      <c r="P25852" s="5" t="s">
        <v>355</v>
      </c>
      <c r="Q25852" s="5" t="s">
        <v>355</v>
      </c>
    </row>
    <row r="25853" ht="16.5" customHeight="1">
      <c r="O25853" s="5" t="s">
        <v>355</v>
      </c>
      <c r="P25853" s="5" t="s">
        <v>355</v>
      </c>
      <c r="Q25853" s="5" t="s">
        <v>355</v>
      </c>
    </row>
    <row r="25854" ht="16.5" customHeight="1">
      <c r="O25854" s="5" t="s">
        <v>355</v>
      </c>
      <c r="P25854" s="5" t="s">
        <v>355</v>
      </c>
      <c r="Q25854" s="5" t="s">
        <v>355</v>
      </c>
    </row>
    <row r="25855" ht="16.5" customHeight="1">
      <c r="O25855" s="5" t="s">
        <v>355</v>
      </c>
      <c r="P25855" s="5" t="s">
        <v>355</v>
      </c>
      <c r="Q25855" s="5" t="s">
        <v>355</v>
      </c>
    </row>
    <row r="25856" ht="16.5" customHeight="1">
      <c r="O25856" s="5" t="s">
        <v>355</v>
      </c>
      <c r="P25856" s="5" t="s">
        <v>355</v>
      </c>
      <c r="Q25856" s="5" t="s">
        <v>355</v>
      </c>
    </row>
    <row r="25857" ht="16.5" customHeight="1">
      <c r="O25857" s="5" t="s">
        <v>355</v>
      </c>
      <c r="P25857" s="5" t="s">
        <v>355</v>
      </c>
      <c r="Q25857" s="5" t="s">
        <v>355</v>
      </c>
    </row>
    <row r="25858" ht="16.5" customHeight="1">
      <c r="O25858" s="5" t="s">
        <v>355</v>
      </c>
      <c r="P25858" s="5" t="s">
        <v>355</v>
      </c>
      <c r="Q25858" s="5" t="s">
        <v>355</v>
      </c>
    </row>
    <row r="25859" ht="16.5" customHeight="1">
      <c r="O25859" s="5" t="s">
        <v>355</v>
      </c>
      <c r="P25859" s="5" t="s">
        <v>355</v>
      </c>
      <c r="Q25859" s="5" t="s">
        <v>355</v>
      </c>
    </row>
    <row r="25860" ht="16.5" customHeight="1">
      <c r="O25860" s="5" t="s">
        <v>355</v>
      </c>
      <c r="P25860" s="5" t="s">
        <v>355</v>
      </c>
      <c r="Q25860" s="5" t="s">
        <v>355</v>
      </c>
    </row>
    <row r="25861" ht="16.5" customHeight="1">
      <c r="O25861" s="5" t="s">
        <v>355</v>
      </c>
      <c r="P25861" s="5" t="s">
        <v>355</v>
      </c>
      <c r="Q25861" s="5" t="s">
        <v>355</v>
      </c>
    </row>
    <row r="25862" ht="16.5" customHeight="1">
      <c r="O25862" s="5" t="s">
        <v>355</v>
      </c>
      <c r="P25862" s="5" t="s">
        <v>355</v>
      </c>
      <c r="Q25862" s="5" t="s">
        <v>355</v>
      </c>
    </row>
    <row r="25863" ht="16.5" customHeight="1">
      <c r="O25863" s="5" t="s">
        <v>355</v>
      </c>
      <c r="P25863" s="5" t="s">
        <v>355</v>
      </c>
      <c r="Q25863" s="5" t="s">
        <v>355</v>
      </c>
    </row>
    <row r="25864" ht="16.5" customHeight="1">
      <c r="O25864" s="5" t="s">
        <v>355</v>
      </c>
      <c r="P25864" s="5" t="s">
        <v>355</v>
      </c>
      <c r="Q25864" s="5" t="s">
        <v>355</v>
      </c>
    </row>
    <row r="25865" ht="16.5" customHeight="1">
      <c r="O25865" s="5" t="s">
        <v>355</v>
      </c>
      <c r="P25865" s="5" t="s">
        <v>355</v>
      </c>
      <c r="Q25865" s="5" t="s">
        <v>355</v>
      </c>
    </row>
    <row r="25866" ht="16.5" customHeight="1">
      <c r="O25866" s="5" t="s">
        <v>355</v>
      </c>
      <c r="P25866" s="5" t="s">
        <v>355</v>
      </c>
      <c r="Q25866" s="5" t="s">
        <v>355</v>
      </c>
    </row>
    <row r="25867" ht="16.5" customHeight="1">
      <c r="O25867" s="5" t="s">
        <v>355</v>
      </c>
      <c r="P25867" s="5" t="s">
        <v>355</v>
      </c>
      <c r="Q25867" s="5" t="s">
        <v>355</v>
      </c>
    </row>
    <row r="25868" ht="16.5" customHeight="1">
      <c r="O25868" s="5" t="s">
        <v>355</v>
      </c>
      <c r="P25868" s="5" t="s">
        <v>355</v>
      </c>
      <c r="Q25868" s="5" t="s">
        <v>355</v>
      </c>
    </row>
    <row r="25869" ht="16.5" customHeight="1">
      <c r="O25869" s="5" t="s">
        <v>355</v>
      </c>
      <c r="P25869" s="5" t="s">
        <v>355</v>
      </c>
      <c r="Q25869" s="5" t="s">
        <v>355</v>
      </c>
    </row>
    <row r="25870" ht="16.5" customHeight="1">
      <c r="O25870" s="5" t="s">
        <v>355</v>
      </c>
      <c r="P25870" s="5" t="s">
        <v>355</v>
      </c>
      <c r="Q25870" s="5" t="s">
        <v>355</v>
      </c>
    </row>
    <row r="25871" ht="16.5" customHeight="1">
      <c r="O25871" s="5" t="s">
        <v>355</v>
      </c>
      <c r="P25871" s="5" t="s">
        <v>355</v>
      </c>
      <c r="Q25871" s="5" t="s">
        <v>355</v>
      </c>
    </row>
    <row r="25872" ht="16.5" customHeight="1">
      <c r="O25872" s="5" t="s">
        <v>355</v>
      </c>
      <c r="P25872" s="5" t="s">
        <v>355</v>
      </c>
      <c r="Q25872" s="5" t="s">
        <v>355</v>
      </c>
    </row>
    <row r="25873" ht="16.5" customHeight="1">
      <c r="O25873" s="5" t="s">
        <v>355</v>
      </c>
      <c r="P25873" s="5" t="s">
        <v>355</v>
      </c>
      <c r="Q25873" s="5" t="s">
        <v>355</v>
      </c>
    </row>
    <row r="25874" ht="16.5" customHeight="1">
      <c r="O25874" s="5" t="s">
        <v>355</v>
      </c>
      <c r="P25874" s="5" t="s">
        <v>355</v>
      </c>
      <c r="Q25874" s="5" t="s">
        <v>355</v>
      </c>
    </row>
    <row r="25875" ht="16.5" customHeight="1">
      <c r="O25875" s="5" t="s">
        <v>355</v>
      </c>
      <c r="P25875" s="5" t="s">
        <v>355</v>
      </c>
      <c r="Q25875" s="5" t="s">
        <v>355</v>
      </c>
    </row>
    <row r="25876" ht="16.5" customHeight="1">
      <c r="O25876" s="5" t="s">
        <v>355</v>
      </c>
      <c r="P25876" s="5" t="s">
        <v>355</v>
      </c>
      <c r="Q25876" s="5" t="s">
        <v>355</v>
      </c>
    </row>
    <row r="25877" ht="16.5" customHeight="1">
      <c r="O25877" s="5" t="s">
        <v>355</v>
      </c>
      <c r="P25877" s="5" t="s">
        <v>355</v>
      </c>
      <c r="Q25877" s="5" t="s">
        <v>355</v>
      </c>
    </row>
    <row r="25878" ht="16.5" customHeight="1">
      <c r="O25878" s="5" t="s">
        <v>355</v>
      </c>
      <c r="P25878" s="5" t="s">
        <v>355</v>
      </c>
      <c r="Q25878" s="5" t="s">
        <v>355</v>
      </c>
    </row>
    <row r="25879" ht="16.5" customHeight="1">
      <c r="O25879" s="5" t="s">
        <v>355</v>
      </c>
      <c r="P25879" s="5" t="s">
        <v>355</v>
      </c>
      <c r="Q25879" s="5" t="s">
        <v>355</v>
      </c>
    </row>
    <row r="25880" ht="16.5" customHeight="1">
      <c r="O25880" s="5" t="s">
        <v>355</v>
      </c>
      <c r="P25880" s="5" t="s">
        <v>355</v>
      </c>
      <c r="Q25880" s="5" t="s">
        <v>355</v>
      </c>
    </row>
    <row r="25881" ht="16.5" customHeight="1">
      <c r="O25881" s="5" t="s">
        <v>355</v>
      </c>
      <c r="P25881" s="5" t="s">
        <v>355</v>
      </c>
      <c r="Q25881" s="5" t="s">
        <v>355</v>
      </c>
    </row>
    <row r="25882" ht="16.5" customHeight="1">
      <c r="O25882" s="5" t="s">
        <v>355</v>
      </c>
      <c r="P25882" s="5" t="s">
        <v>355</v>
      </c>
      <c r="Q25882" s="5" t="s">
        <v>355</v>
      </c>
    </row>
    <row r="25883" ht="16.5" customHeight="1">
      <c r="O25883" s="5" t="s">
        <v>355</v>
      </c>
      <c r="P25883" s="5" t="s">
        <v>355</v>
      </c>
      <c r="Q25883" s="5" t="s">
        <v>355</v>
      </c>
    </row>
    <row r="25884" ht="16.5" customHeight="1">
      <c r="O25884" s="5" t="s">
        <v>355</v>
      </c>
      <c r="P25884" s="5" t="s">
        <v>355</v>
      </c>
      <c r="Q25884" s="5" t="s">
        <v>355</v>
      </c>
    </row>
    <row r="25885" ht="16.5" customHeight="1">
      <c r="O25885" s="5" t="s">
        <v>355</v>
      </c>
      <c r="P25885" s="5" t="s">
        <v>355</v>
      </c>
      <c r="Q25885" s="5" t="s">
        <v>355</v>
      </c>
    </row>
    <row r="25886" ht="16.5" customHeight="1">
      <c r="O25886" s="5" t="s">
        <v>355</v>
      </c>
      <c r="P25886" s="5" t="s">
        <v>355</v>
      </c>
      <c r="Q25886" s="5" t="s">
        <v>355</v>
      </c>
    </row>
    <row r="25887" ht="16.5" customHeight="1">
      <c r="O25887" s="5" t="s">
        <v>355</v>
      </c>
      <c r="P25887" s="5" t="s">
        <v>355</v>
      </c>
      <c r="Q25887" s="5" t="s">
        <v>355</v>
      </c>
    </row>
    <row r="25888" ht="16.5" customHeight="1">
      <c r="O25888" s="5" t="s">
        <v>355</v>
      </c>
      <c r="P25888" s="5" t="s">
        <v>355</v>
      </c>
      <c r="Q25888" s="5" t="s">
        <v>355</v>
      </c>
    </row>
    <row r="25889" ht="16.5" customHeight="1">
      <c r="O25889" s="5" t="s">
        <v>355</v>
      </c>
      <c r="P25889" s="5" t="s">
        <v>355</v>
      </c>
      <c r="Q25889" s="5" t="s">
        <v>355</v>
      </c>
    </row>
    <row r="25890" ht="16.5" customHeight="1">
      <c r="O25890" s="5" t="s">
        <v>355</v>
      </c>
      <c r="P25890" s="5" t="s">
        <v>355</v>
      </c>
      <c r="Q25890" s="5" t="s">
        <v>355</v>
      </c>
    </row>
    <row r="25891" ht="16.5" customHeight="1">
      <c r="O25891" s="5" t="s">
        <v>355</v>
      </c>
      <c r="P25891" s="5" t="s">
        <v>355</v>
      </c>
      <c r="Q25891" s="5" t="s">
        <v>355</v>
      </c>
    </row>
    <row r="25892" ht="16.5" customHeight="1">
      <c r="O25892" s="5" t="s">
        <v>355</v>
      </c>
      <c r="P25892" s="5" t="s">
        <v>355</v>
      </c>
      <c r="Q25892" s="5" t="s">
        <v>355</v>
      </c>
    </row>
    <row r="25893" ht="16.5" customHeight="1">
      <c r="O25893" s="5" t="s">
        <v>355</v>
      </c>
      <c r="P25893" s="5" t="s">
        <v>355</v>
      </c>
      <c r="Q25893" s="5" t="s">
        <v>355</v>
      </c>
    </row>
    <row r="25894" ht="16.5" customHeight="1">
      <c r="O25894" s="5" t="s">
        <v>355</v>
      </c>
      <c r="P25894" s="5" t="s">
        <v>355</v>
      </c>
      <c r="Q25894" s="5" t="s">
        <v>355</v>
      </c>
    </row>
    <row r="25895" ht="16.5" customHeight="1">
      <c r="O25895" s="5" t="s">
        <v>355</v>
      </c>
      <c r="P25895" s="5" t="s">
        <v>355</v>
      </c>
      <c r="Q25895" s="5" t="s">
        <v>355</v>
      </c>
    </row>
    <row r="25896" ht="16.5" customHeight="1">
      <c r="O25896" s="5" t="s">
        <v>355</v>
      </c>
      <c r="P25896" s="5" t="s">
        <v>355</v>
      </c>
      <c r="Q25896" s="5" t="s">
        <v>355</v>
      </c>
    </row>
    <row r="25897" ht="16.5" customHeight="1">
      <c r="O25897" s="5" t="s">
        <v>355</v>
      </c>
      <c r="P25897" s="5" t="s">
        <v>355</v>
      </c>
      <c r="Q25897" s="5" t="s">
        <v>355</v>
      </c>
    </row>
    <row r="25898" ht="16.5" customHeight="1">
      <c r="O25898" s="5" t="s">
        <v>355</v>
      </c>
      <c r="P25898" s="5" t="s">
        <v>355</v>
      </c>
      <c r="Q25898" s="5" t="s">
        <v>355</v>
      </c>
    </row>
    <row r="25899" ht="16.5" customHeight="1">
      <c r="O25899" s="5" t="s">
        <v>355</v>
      </c>
      <c r="P25899" s="5" t="s">
        <v>355</v>
      </c>
      <c r="Q25899" s="5" t="s">
        <v>355</v>
      </c>
    </row>
    <row r="25900" ht="16.5" customHeight="1">
      <c r="O25900" s="5" t="s">
        <v>355</v>
      </c>
      <c r="P25900" s="5" t="s">
        <v>355</v>
      </c>
      <c r="Q25900" s="5" t="s">
        <v>355</v>
      </c>
    </row>
    <row r="25901" ht="16.5" customHeight="1">
      <c r="O25901" s="5" t="s">
        <v>355</v>
      </c>
      <c r="P25901" s="5" t="s">
        <v>355</v>
      </c>
      <c r="Q25901" s="5" t="s">
        <v>355</v>
      </c>
    </row>
    <row r="25902" ht="16.5" customHeight="1">
      <c r="O25902" s="5" t="s">
        <v>355</v>
      </c>
      <c r="P25902" s="5" t="s">
        <v>355</v>
      </c>
      <c r="Q25902" s="5" t="s">
        <v>355</v>
      </c>
    </row>
    <row r="25903" ht="16.5" customHeight="1">
      <c r="O25903" s="5" t="s">
        <v>355</v>
      </c>
      <c r="P25903" s="5" t="s">
        <v>355</v>
      </c>
      <c r="Q25903" s="5" t="s">
        <v>355</v>
      </c>
    </row>
    <row r="25904" ht="16.5" customHeight="1">
      <c r="O25904" s="5" t="s">
        <v>355</v>
      </c>
      <c r="P25904" s="5" t="s">
        <v>355</v>
      </c>
      <c r="Q25904" s="5" t="s">
        <v>355</v>
      </c>
    </row>
    <row r="25905" ht="16.5" customHeight="1">
      <c r="O25905" s="5" t="s">
        <v>355</v>
      </c>
      <c r="P25905" s="5" t="s">
        <v>355</v>
      </c>
      <c r="Q25905" s="5" t="s">
        <v>355</v>
      </c>
    </row>
    <row r="25906" ht="16.5" customHeight="1">
      <c r="O25906" s="5" t="s">
        <v>355</v>
      </c>
      <c r="P25906" s="5" t="s">
        <v>355</v>
      </c>
      <c r="Q25906" s="5" t="s">
        <v>355</v>
      </c>
    </row>
    <row r="25907" ht="16.5" customHeight="1">
      <c r="O25907" s="5" t="s">
        <v>355</v>
      </c>
      <c r="P25907" s="5" t="s">
        <v>355</v>
      </c>
      <c r="Q25907" s="5" t="s">
        <v>355</v>
      </c>
    </row>
    <row r="25908" ht="16.5" customHeight="1">
      <c r="O25908" s="5" t="s">
        <v>355</v>
      </c>
      <c r="P25908" s="5" t="s">
        <v>355</v>
      </c>
      <c r="Q25908" s="5" t="s">
        <v>355</v>
      </c>
    </row>
    <row r="25909" ht="16.5" customHeight="1">
      <c r="O25909" s="5" t="s">
        <v>355</v>
      </c>
      <c r="P25909" s="5" t="s">
        <v>355</v>
      </c>
      <c r="Q25909" s="5" t="s">
        <v>355</v>
      </c>
    </row>
    <row r="25910" ht="16.5" customHeight="1">
      <c r="O25910" s="5" t="s">
        <v>355</v>
      </c>
      <c r="P25910" s="5" t="s">
        <v>355</v>
      </c>
      <c r="Q25910" s="5" t="s">
        <v>355</v>
      </c>
    </row>
    <row r="25911" ht="16.5" customHeight="1">
      <c r="O25911" s="5" t="s">
        <v>355</v>
      </c>
      <c r="P25911" s="5" t="s">
        <v>355</v>
      </c>
      <c r="Q25911" s="5" t="s">
        <v>355</v>
      </c>
    </row>
    <row r="25912" ht="16.5" customHeight="1">
      <c r="O25912" s="5" t="s">
        <v>355</v>
      </c>
      <c r="P25912" s="5" t="s">
        <v>355</v>
      </c>
      <c r="Q25912" s="5" t="s">
        <v>355</v>
      </c>
    </row>
    <row r="25913" ht="16.5" customHeight="1">
      <c r="O25913" s="5" t="s">
        <v>355</v>
      </c>
      <c r="P25913" s="5" t="s">
        <v>355</v>
      </c>
      <c r="Q25913" s="5" t="s">
        <v>355</v>
      </c>
    </row>
    <row r="25914" ht="16.5" customHeight="1">
      <c r="O25914" s="5" t="s">
        <v>355</v>
      </c>
      <c r="P25914" s="5" t="s">
        <v>355</v>
      </c>
      <c r="Q25914" s="5" t="s">
        <v>355</v>
      </c>
    </row>
    <row r="25915" ht="16.5" customHeight="1">
      <c r="O25915" s="5" t="s">
        <v>355</v>
      </c>
      <c r="P25915" s="5" t="s">
        <v>355</v>
      </c>
      <c r="Q25915" s="5" t="s">
        <v>355</v>
      </c>
    </row>
    <row r="25916" ht="16.5" customHeight="1">
      <c r="O25916" s="5" t="s">
        <v>355</v>
      </c>
      <c r="P25916" s="5" t="s">
        <v>355</v>
      </c>
      <c r="Q25916" s="5" t="s">
        <v>355</v>
      </c>
    </row>
    <row r="25917" ht="16.5" customHeight="1">
      <c r="O25917" s="5" t="s">
        <v>355</v>
      </c>
      <c r="P25917" s="5" t="s">
        <v>355</v>
      </c>
      <c r="Q25917" s="5" t="s">
        <v>355</v>
      </c>
    </row>
    <row r="25918" ht="16.5" customHeight="1">
      <c r="O25918" s="5" t="s">
        <v>355</v>
      </c>
      <c r="P25918" s="5" t="s">
        <v>355</v>
      </c>
      <c r="Q25918" s="5" t="s">
        <v>355</v>
      </c>
    </row>
    <row r="25919" ht="16.5" customHeight="1">
      <c r="O25919" s="5" t="s">
        <v>355</v>
      </c>
      <c r="P25919" s="5" t="s">
        <v>355</v>
      </c>
      <c r="Q25919" s="5" t="s">
        <v>355</v>
      </c>
    </row>
    <row r="25920" ht="16.5" customHeight="1">
      <c r="O25920" s="5" t="s">
        <v>355</v>
      </c>
      <c r="P25920" s="5" t="s">
        <v>355</v>
      </c>
      <c r="Q25920" s="5" t="s">
        <v>355</v>
      </c>
    </row>
    <row r="25921" ht="16.5" customHeight="1">
      <c r="O25921" s="5" t="s">
        <v>355</v>
      </c>
      <c r="P25921" s="5" t="s">
        <v>355</v>
      </c>
      <c r="Q25921" s="5" t="s">
        <v>355</v>
      </c>
    </row>
    <row r="25922" ht="16.5" customHeight="1">
      <c r="O25922" s="5" t="s">
        <v>355</v>
      </c>
      <c r="P25922" s="5" t="s">
        <v>355</v>
      </c>
      <c r="Q25922" s="5" t="s">
        <v>355</v>
      </c>
    </row>
    <row r="25923" ht="16.5" customHeight="1">
      <c r="O25923" s="5" t="s">
        <v>355</v>
      </c>
      <c r="P25923" s="5" t="s">
        <v>355</v>
      </c>
      <c r="Q25923" s="5" t="s">
        <v>355</v>
      </c>
    </row>
    <row r="25924" ht="16.5" customHeight="1">
      <c r="O25924" s="5" t="s">
        <v>355</v>
      </c>
      <c r="P25924" s="5" t="s">
        <v>355</v>
      </c>
      <c r="Q25924" s="5" t="s">
        <v>355</v>
      </c>
    </row>
    <row r="25925" ht="16.5" customHeight="1">
      <c r="O25925" s="5" t="s">
        <v>355</v>
      </c>
      <c r="P25925" s="5" t="s">
        <v>355</v>
      </c>
      <c r="Q25925" s="5" t="s">
        <v>355</v>
      </c>
    </row>
    <row r="25926" ht="16.5" customHeight="1">
      <c r="O25926" s="5" t="s">
        <v>355</v>
      </c>
      <c r="P25926" s="5" t="s">
        <v>355</v>
      </c>
      <c r="Q25926" s="5" t="s">
        <v>355</v>
      </c>
    </row>
    <row r="25927" ht="16.5" customHeight="1">
      <c r="O25927" s="5" t="s">
        <v>355</v>
      </c>
      <c r="P25927" s="5" t="s">
        <v>355</v>
      </c>
      <c r="Q25927" s="5" t="s">
        <v>355</v>
      </c>
    </row>
    <row r="25928" ht="16.5" customHeight="1">
      <c r="O25928" s="5" t="s">
        <v>355</v>
      </c>
      <c r="P25928" s="5" t="s">
        <v>355</v>
      </c>
      <c r="Q25928" s="5" t="s">
        <v>355</v>
      </c>
    </row>
    <row r="25929" ht="16.5" customHeight="1">
      <c r="O25929" s="5" t="s">
        <v>355</v>
      </c>
      <c r="P25929" s="5" t="s">
        <v>355</v>
      </c>
      <c r="Q25929" s="5" t="s">
        <v>355</v>
      </c>
    </row>
    <row r="25930" ht="16.5" customHeight="1">
      <c r="O25930" s="5" t="s">
        <v>355</v>
      </c>
      <c r="P25930" s="5" t="s">
        <v>355</v>
      </c>
      <c r="Q25930" s="5" t="s">
        <v>355</v>
      </c>
    </row>
    <row r="25931" ht="16.5" customHeight="1">
      <c r="O25931" s="5" t="s">
        <v>355</v>
      </c>
      <c r="P25931" s="5" t="s">
        <v>355</v>
      </c>
      <c r="Q25931" s="5" t="s">
        <v>355</v>
      </c>
    </row>
    <row r="25932" ht="16.5" customHeight="1">
      <c r="O25932" s="5" t="s">
        <v>355</v>
      </c>
      <c r="P25932" s="5" t="s">
        <v>355</v>
      </c>
      <c r="Q25932" s="5" t="s">
        <v>355</v>
      </c>
    </row>
    <row r="25933" ht="16.5" customHeight="1">
      <c r="O25933" s="5" t="s">
        <v>355</v>
      </c>
      <c r="P25933" s="5" t="s">
        <v>355</v>
      </c>
      <c r="Q25933" s="5" t="s">
        <v>355</v>
      </c>
    </row>
    <row r="25934" ht="16.5" customHeight="1">
      <c r="O25934" s="5" t="s">
        <v>355</v>
      </c>
      <c r="P25934" s="5" t="s">
        <v>355</v>
      </c>
      <c r="Q25934" s="5" t="s">
        <v>355</v>
      </c>
    </row>
    <row r="25935" ht="16.5" customHeight="1">
      <c r="O25935" s="5" t="s">
        <v>355</v>
      </c>
      <c r="P25935" s="5" t="s">
        <v>355</v>
      </c>
      <c r="Q25935" s="5" t="s">
        <v>355</v>
      </c>
    </row>
    <row r="25936" ht="16.5" customHeight="1">
      <c r="O25936" s="5" t="s">
        <v>355</v>
      </c>
      <c r="P25936" s="5" t="s">
        <v>355</v>
      </c>
      <c r="Q25936" s="5" t="s">
        <v>355</v>
      </c>
    </row>
    <row r="25937" ht="16.5" customHeight="1">
      <c r="O25937" s="5" t="s">
        <v>355</v>
      </c>
      <c r="P25937" s="5" t="s">
        <v>355</v>
      </c>
      <c r="Q25937" s="5" t="s">
        <v>355</v>
      </c>
    </row>
    <row r="25938" ht="16.5" customHeight="1">
      <c r="O25938" s="5" t="s">
        <v>355</v>
      </c>
      <c r="P25938" s="5" t="s">
        <v>355</v>
      </c>
      <c r="Q25938" s="5" t="s">
        <v>355</v>
      </c>
    </row>
    <row r="25939" ht="16.5" customHeight="1">
      <c r="O25939" s="5" t="s">
        <v>355</v>
      </c>
      <c r="P25939" s="5" t="s">
        <v>355</v>
      </c>
      <c r="Q25939" s="5" t="s">
        <v>355</v>
      </c>
    </row>
    <row r="25940" ht="16.5" customHeight="1">
      <c r="O25940" s="5" t="s">
        <v>355</v>
      </c>
      <c r="P25940" s="5" t="s">
        <v>355</v>
      </c>
      <c r="Q25940" s="5" t="s">
        <v>355</v>
      </c>
    </row>
    <row r="25941" ht="16.5" customHeight="1">
      <c r="O25941" s="5" t="s">
        <v>355</v>
      </c>
      <c r="P25941" s="5" t="s">
        <v>355</v>
      </c>
      <c r="Q25941" s="5" t="s">
        <v>355</v>
      </c>
    </row>
    <row r="25942" ht="16.5" customHeight="1">
      <c r="O25942" s="5" t="s">
        <v>355</v>
      </c>
      <c r="P25942" s="5" t="s">
        <v>355</v>
      </c>
      <c r="Q25942" s="5" t="s">
        <v>355</v>
      </c>
    </row>
    <row r="25943" ht="16.5" customHeight="1">
      <c r="O25943" s="5" t="s">
        <v>355</v>
      </c>
      <c r="P25943" s="5" t="s">
        <v>355</v>
      </c>
      <c r="Q25943" s="5" t="s">
        <v>355</v>
      </c>
    </row>
    <row r="25944" ht="16.5" customHeight="1">
      <c r="O25944" s="5" t="s">
        <v>355</v>
      </c>
      <c r="P25944" s="5" t="s">
        <v>355</v>
      </c>
      <c r="Q25944" s="5" t="s">
        <v>355</v>
      </c>
    </row>
    <row r="25945" ht="16.5" customHeight="1">
      <c r="O25945" s="5" t="s">
        <v>355</v>
      </c>
      <c r="P25945" s="5" t="s">
        <v>355</v>
      </c>
      <c r="Q25945" s="5" t="s">
        <v>355</v>
      </c>
    </row>
    <row r="25946" ht="16.5" customHeight="1">
      <c r="O25946" s="5" t="s">
        <v>355</v>
      </c>
      <c r="P25946" s="5" t="s">
        <v>355</v>
      </c>
      <c r="Q25946" s="5" t="s">
        <v>355</v>
      </c>
    </row>
    <row r="25947" ht="16.5" customHeight="1">
      <c r="O25947" s="5" t="s">
        <v>355</v>
      </c>
      <c r="P25947" s="5" t="s">
        <v>355</v>
      </c>
      <c r="Q25947" s="5" t="s">
        <v>355</v>
      </c>
    </row>
    <row r="25948" ht="16.5" customHeight="1">
      <c r="O25948" s="5" t="s">
        <v>355</v>
      </c>
      <c r="P25948" s="5" t="s">
        <v>355</v>
      </c>
      <c r="Q25948" s="5" t="s">
        <v>355</v>
      </c>
    </row>
    <row r="25949" ht="16.5" customHeight="1">
      <c r="O25949" s="5" t="s">
        <v>355</v>
      </c>
      <c r="P25949" s="5" t="s">
        <v>355</v>
      </c>
      <c r="Q25949" s="5" t="s">
        <v>355</v>
      </c>
    </row>
    <row r="25950" ht="16.5" customHeight="1">
      <c r="O25950" s="5" t="s">
        <v>355</v>
      </c>
      <c r="P25950" s="5" t="s">
        <v>355</v>
      </c>
      <c r="Q25950" s="5" t="s">
        <v>355</v>
      </c>
    </row>
    <row r="25951" ht="16.5" customHeight="1">
      <c r="O25951" s="5" t="s">
        <v>355</v>
      </c>
      <c r="P25951" s="5" t="s">
        <v>355</v>
      </c>
      <c r="Q25951" s="5" t="s">
        <v>355</v>
      </c>
    </row>
    <row r="25952" ht="16.5" customHeight="1">
      <c r="O25952" s="5" t="s">
        <v>355</v>
      </c>
      <c r="P25952" s="5" t="s">
        <v>355</v>
      </c>
      <c r="Q25952" s="5" t="s">
        <v>355</v>
      </c>
    </row>
    <row r="25953" ht="16.5" customHeight="1">
      <c r="O25953" s="5" t="s">
        <v>355</v>
      </c>
      <c r="P25953" s="5" t="s">
        <v>355</v>
      </c>
      <c r="Q25953" s="5" t="s">
        <v>355</v>
      </c>
    </row>
    <row r="25954" ht="16.5" customHeight="1">
      <c r="O25954" s="5" t="s">
        <v>355</v>
      </c>
      <c r="P25954" s="5" t="s">
        <v>355</v>
      </c>
      <c r="Q25954" s="5" t="s">
        <v>355</v>
      </c>
    </row>
    <row r="25955" ht="16.5" customHeight="1">
      <c r="O25955" s="5" t="s">
        <v>355</v>
      </c>
      <c r="P25955" s="5" t="s">
        <v>355</v>
      </c>
      <c r="Q25955" s="5" t="s">
        <v>355</v>
      </c>
    </row>
    <row r="25956" ht="16.5" customHeight="1">
      <c r="O25956" s="5" t="s">
        <v>355</v>
      </c>
      <c r="P25956" s="5" t="s">
        <v>355</v>
      </c>
      <c r="Q25956" s="5" t="s">
        <v>355</v>
      </c>
    </row>
    <row r="25957" ht="16.5" customHeight="1">
      <c r="O25957" s="5" t="s">
        <v>355</v>
      </c>
      <c r="P25957" s="5" t="s">
        <v>355</v>
      </c>
      <c r="Q25957" s="5" t="s">
        <v>355</v>
      </c>
    </row>
    <row r="25958" ht="16.5" customHeight="1">
      <c r="O25958" s="5" t="s">
        <v>355</v>
      </c>
      <c r="P25958" s="5" t="s">
        <v>355</v>
      </c>
      <c r="Q25958" s="5" t="s">
        <v>355</v>
      </c>
    </row>
    <row r="25959" ht="16.5" customHeight="1">
      <c r="O25959" s="5" t="s">
        <v>355</v>
      </c>
      <c r="P25959" s="5" t="s">
        <v>355</v>
      </c>
      <c r="Q25959" s="5" t="s">
        <v>355</v>
      </c>
    </row>
    <row r="25960" ht="16.5" customHeight="1">
      <c r="O25960" s="5" t="s">
        <v>355</v>
      </c>
      <c r="P25960" s="5" t="s">
        <v>355</v>
      </c>
      <c r="Q25960" s="5" t="s">
        <v>355</v>
      </c>
    </row>
    <row r="25961" ht="16.5" customHeight="1">
      <c r="O25961" s="5" t="s">
        <v>355</v>
      </c>
      <c r="P25961" s="5" t="s">
        <v>355</v>
      </c>
      <c r="Q25961" s="5" t="s">
        <v>355</v>
      </c>
    </row>
    <row r="25962" ht="16.5" customHeight="1">
      <c r="O25962" s="5" t="s">
        <v>355</v>
      </c>
      <c r="P25962" s="5" t="s">
        <v>355</v>
      </c>
      <c r="Q25962" s="5" t="s">
        <v>355</v>
      </c>
    </row>
    <row r="25963" ht="16.5" customHeight="1">
      <c r="O25963" s="5" t="s">
        <v>355</v>
      </c>
      <c r="P25963" s="5" t="s">
        <v>355</v>
      </c>
      <c r="Q25963" s="5" t="s">
        <v>355</v>
      </c>
    </row>
    <row r="25964" ht="16.5" customHeight="1">
      <c r="O25964" s="5" t="s">
        <v>355</v>
      </c>
      <c r="P25964" s="5" t="s">
        <v>355</v>
      </c>
      <c r="Q25964" s="5" t="s">
        <v>355</v>
      </c>
    </row>
    <row r="25965" ht="16.5" customHeight="1">
      <c r="O25965" s="5" t="s">
        <v>355</v>
      </c>
      <c r="P25965" s="5" t="s">
        <v>355</v>
      </c>
      <c r="Q25965" s="5" t="s">
        <v>355</v>
      </c>
    </row>
    <row r="25966" ht="16.5" customHeight="1">
      <c r="O25966" s="5" t="s">
        <v>355</v>
      </c>
      <c r="P25966" s="5" t="s">
        <v>355</v>
      </c>
      <c r="Q25966" s="5" t="s">
        <v>355</v>
      </c>
    </row>
    <row r="25967" ht="16.5" customHeight="1">
      <c r="O25967" s="5" t="s">
        <v>355</v>
      </c>
      <c r="P25967" s="5" t="s">
        <v>355</v>
      </c>
      <c r="Q25967" s="5" t="s">
        <v>355</v>
      </c>
    </row>
    <row r="25968" ht="16.5" customHeight="1">
      <c r="O25968" s="5" t="s">
        <v>355</v>
      </c>
      <c r="P25968" s="5" t="s">
        <v>355</v>
      </c>
      <c r="Q25968" s="5" t="s">
        <v>355</v>
      </c>
    </row>
    <row r="25969" ht="16.5" customHeight="1">
      <c r="O25969" s="5" t="s">
        <v>355</v>
      </c>
      <c r="P25969" s="5" t="s">
        <v>355</v>
      </c>
      <c r="Q25969" s="5" t="s">
        <v>355</v>
      </c>
    </row>
    <row r="25970" ht="16.5" customHeight="1">
      <c r="O25970" s="5" t="s">
        <v>355</v>
      </c>
      <c r="P25970" s="5" t="s">
        <v>355</v>
      </c>
      <c r="Q25970" s="5" t="s">
        <v>355</v>
      </c>
    </row>
    <row r="25971" ht="16.5" customHeight="1">
      <c r="O25971" s="5" t="s">
        <v>355</v>
      </c>
      <c r="P25971" s="5" t="s">
        <v>355</v>
      </c>
      <c r="Q25971" s="5" t="s">
        <v>355</v>
      </c>
    </row>
    <row r="25972" ht="16.5" customHeight="1">
      <c r="O25972" s="5" t="s">
        <v>355</v>
      </c>
      <c r="P25972" s="5" t="s">
        <v>355</v>
      </c>
      <c r="Q25972" s="5" t="s">
        <v>355</v>
      </c>
    </row>
    <row r="25973" ht="16.5" customHeight="1">
      <c r="O25973" s="5" t="s">
        <v>355</v>
      </c>
      <c r="P25973" s="5" t="s">
        <v>355</v>
      </c>
      <c r="Q25973" s="5" t="s">
        <v>355</v>
      </c>
    </row>
    <row r="25974" ht="16.5" customHeight="1">
      <c r="O25974" s="5" t="s">
        <v>355</v>
      </c>
      <c r="P25974" s="5" t="s">
        <v>355</v>
      </c>
      <c r="Q25974" s="5" t="s">
        <v>355</v>
      </c>
    </row>
    <row r="25975" ht="16.5" customHeight="1">
      <c r="O25975" s="5" t="s">
        <v>355</v>
      </c>
      <c r="P25975" s="5" t="s">
        <v>355</v>
      </c>
      <c r="Q25975" s="5" t="s">
        <v>355</v>
      </c>
    </row>
    <row r="25976" ht="16.5" customHeight="1">
      <c r="O25976" s="5" t="s">
        <v>355</v>
      </c>
      <c r="P25976" s="5" t="s">
        <v>355</v>
      </c>
      <c r="Q25976" s="5" t="s">
        <v>355</v>
      </c>
    </row>
    <row r="25977" ht="16.5" customHeight="1">
      <c r="O25977" s="5" t="s">
        <v>355</v>
      </c>
      <c r="P25977" s="5" t="s">
        <v>355</v>
      </c>
      <c r="Q25977" s="5" t="s">
        <v>355</v>
      </c>
    </row>
    <row r="25978" ht="16.5" customHeight="1">
      <c r="O25978" s="5" t="s">
        <v>355</v>
      </c>
      <c r="P25978" s="5" t="s">
        <v>355</v>
      </c>
      <c r="Q25978" s="5" t="s">
        <v>355</v>
      </c>
    </row>
    <row r="25979" ht="16.5" customHeight="1">
      <c r="O25979" s="5" t="s">
        <v>355</v>
      </c>
      <c r="P25979" s="5" t="s">
        <v>355</v>
      </c>
      <c r="Q25979" s="5" t="s">
        <v>355</v>
      </c>
    </row>
    <row r="25980" ht="16.5" customHeight="1">
      <c r="O25980" s="5" t="s">
        <v>355</v>
      </c>
      <c r="P25980" s="5" t="s">
        <v>355</v>
      </c>
      <c r="Q25980" s="5" t="s">
        <v>355</v>
      </c>
    </row>
    <row r="25981" ht="16.5" customHeight="1">
      <c r="O25981" s="5" t="s">
        <v>355</v>
      </c>
      <c r="P25981" s="5" t="s">
        <v>355</v>
      </c>
      <c r="Q25981" s="5" t="s">
        <v>355</v>
      </c>
    </row>
    <row r="25982" ht="16.5" customHeight="1">
      <c r="O25982" s="5" t="s">
        <v>355</v>
      </c>
      <c r="P25982" s="5" t="s">
        <v>355</v>
      </c>
      <c r="Q25982" s="5" t="s">
        <v>355</v>
      </c>
    </row>
    <row r="25983" ht="16.5" customHeight="1">
      <c r="O25983" s="5" t="s">
        <v>355</v>
      </c>
      <c r="P25983" s="5" t="s">
        <v>355</v>
      </c>
      <c r="Q25983" s="5" t="s">
        <v>355</v>
      </c>
    </row>
    <row r="25984" ht="16.5" customHeight="1">
      <c r="O25984" s="5" t="s">
        <v>355</v>
      </c>
      <c r="P25984" s="5" t="s">
        <v>355</v>
      </c>
      <c r="Q25984" s="5" t="s">
        <v>355</v>
      </c>
    </row>
    <row r="25985" ht="16.5" customHeight="1">
      <c r="O25985" s="5" t="s">
        <v>355</v>
      </c>
      <c r="P25985" s="5" t="s">
        <v>355</v>
      </c>
      <c r="Q25985" s="5" t="s">
        <v>355</v>
      </c>
    </row>
    <row r="25986" ht="16.5" customHeight="1">
      <c r="O25986" s="5" t="s">
        <v>355</v>
      </c>
      <c r="P25986" s="5" t="s">
        <v>355</v>
      </c>
      <c r="Q25986" s="5" t="s">
        <v>355</v>
      </c>
    </row>
    <row r="25987" ht="16.5" customHeight="1">
      <c r="O25987" s="5" t="s">
        <v>355</v>
      </c>
      <c r="P25987" s="5" t="s">
        <v>355</v>
      </c>
      <c r="Q25987" s="5" t="s">
        <v>355</v>
      </c>
    </row>
    <row r="25988" ht="16.5" customHeight="1">
      <c r="O25988" s="5" t="s">
        <v>355</v>
      </c>
      <c r="P25988" s="5" t="s">
        <v>355</v>
      </c>
      <c r="Q25988" s="5" t="s">
        <v>355</v>
      </c>
    </row>
    <row r="25989" ht="16.5" customHeight="1">
      <c r="O25989" s="5" t="s">
        <v>355</v>
      </c>
      <c r="P25989" s="5" t="s">
        <v>355</v>
      </c>
      <c r="Q25989" s="5" t="s">
        <v>355</v>
      </c>
    </row>
    <row r="25990" ht="16.5" customHeight="1">
      <c r="O25990" s="5" t="s">
        <v>355</v>
      </c>
      <c r="P25990" s="5" t="s">
        <v>355</v>
      </c>
      <c r="Q25990" s="5" t="s">
        <v>355</v>
      </c>
    </row>
    <row r="25991" ht="16.5" customHeight="1">
      <c r="O25991" s="5" t="s">
        <v>355</v>
      </c>
      <c r="P25991" s="5" t="s">
        <v>355</v>
      </c>
      <c r="Q25991" s="5" t="s">
        <v>355</v>
      </c>
    </row>
    <row r="25992" ht="16.5" customHeight="1">
      <c r="O25992" s="5" t="s">
        <v>355</v>
      </c>
      <c r="P25992" s="5" t="s">
        <v>355</v>
      </c>
      <c r="Q25992" s="5" t="s">
        <v>355</v>
      </c>
    </row>
    <row r="25993" ht="16.5" customHeight="1">
      <c r="O25993" s="5" t="s">
        <v>355</v>
      </c>
      <c r="P25993" s="5" t="s">
        <v>355</v>
      </c>
      <c r="Q25993" s="5" t="s">
        <v>355</v>
      </c>
    </row>
    <row r="25994" ht="16.5" customHeight="1">
      <c r="O25994" s="5" t="s">
        <v>355</v>
      </c>
      <c r="P25994" s="5" t="s">
        <v>355</v>
      </c>
      <c r="Q25994" s="5" t="s">
        <v>355</v>
      </c>
    </row>
    <row r="25995" ht="16.5" customHeight="1">
      <c r="O25995" s="5" t="s">
        <v>355</v>
      </c>
      <c r="P25995" s="5" t="s">
        <v>355</v>
      </c>
      <c r="Q25995" s="5" t="s">
        <v>355</v>
      </c>
    </row>
    <row r="25996" ht="16.5" customHeight="1">
      <c r="O25996" s="5" t="s">
        <v>355</v>
      </c>
      <c r="P25996" s="5" t="s">
        <v>355</v>
      </c>
      <c r="Q25996" s="5" t="s">
        <v>355</v>
      </c>
    </row>
    <row r="25997" ht="16.5" customHeight="1">
      <c r="O25997" s="5" t="s">
        <v>355</v>
      </c>
      <c r="P25997" s="5" t="s">
        <v>355</v>
      </c>
      <c r="Q25997" s="5" t="s">
        <v>355</v>
      </c>
    </row>
    <row r="25998" ht="16.5" customHeight="1">
      <c r="O25998" s="5" t="s">
        <v>355</v>
      </c>
      <c r="P25998" s="5" t="s">
        <v>355</v>
      </c>
      <c r="Q25998" s="5" t="s">
        <v>355</v>
      </c>
    </row>
    <row r="25999" ht="16.5" customHeight="1">
      <c r="O25999" s="5" t="s">
        <v>355</v>
      </c>
      <c r="P25999" s="5" t="s">
        <v>355</v>
      </c>
      <c r="Q25999" s="5" t="s">
        <v>355</v>
      </c>
    </row>
    <row r="26000" ht="16.5" customHeight="1">
      <c r="O26000" s="5" t="s">
        <v>355</v>
      </c>
      <c r="P26000" s="5" t="s">
        <v>355</v>
      </c>
      <c r="Q26000" s="5" t="s">
        <v>355</v>
      </c>
    </row>
    <row r="26001" ht="16.5" customHeight="1">
      <c r="O26001" s="5" t="s">
        <v>355</v>
      </c>
      <c r="P26001" s="5" t="s">
        <v>355</v>
      </c>
      <c r="Q26001" s="5" t="s">
        <v>355</v>
      </c>
    </row>
    <row r="26002" ht="16.5" customHeight="1">
      <c r="O26002" s="5" t="s">
        <v>355</v>
      </c>
      <c r="P26002" s="5" t="s">
        <v>355</v>
      </c>
      <c r="Q26002" s="5" t="s">
        <v>355</v>
      </c>
    </row>
    <row r="26003" ht="16.5" customHeight="1">
      <c r="O26003" s="5" t="s">
        <v>355</v>
      </c>
      <c r="P26003" s="5" t="s">
        <v>355</v>
      </c>
      <c r="Q26003" s="5" t="s">
        <v>355</v>
      </c>
    </row>
    <row r="26004" ht="16.5" customHeight="1">
      <c r="O26004" s="5" t="s">
        <v>355</v>
      </c>
      <c r="P26004" s="5" t="s">
        <v>355</v>
      </c>
      <c r="Q26004" s="5" t="s">
        <v>355</v>
      </c>
    </row>
    <row r="26005" ht="16.5" customHeight="1">
      <c r="O26005" s="5" t="s">
        <v>355</v>
      </c>
      <c r="P26005" s="5" t="s">
        <v>355</v>
      </c>
      <c r="Q26005" s="5" t="s">
        <v>355</v>
      </c>
    </row>
    <row r="26006" ht="16.5" customHeight="1">
      <c r="O26006" s="5" t="s">
        <v>355</v>
      </c>
      <c r="P26006" s="5" t="s">
        <v>355</v>
      </c>
      <c r="Q26006" s="5" t="s">
        <v>355</v>
      </c>
    </row>
    <row r="26007" ht="16.5" customHeight="1">
      <c r="O26007" s="5" t="s">
        <v>355</v>
      </c>
      <c r="P26007" s="5" t="s">
        <v>355</v>
      </c>
      <c r="Q26007" s="5" t="s">
        <v>355</v>
      </c>
    </row>
    <row r="26008" ht="16.5" customHeight="1">
      <c r="O26008" s="5" t="s">
        <v>355</v>
      </c>
      <c r="P26008" s="5" t="s">
        <v>355</v>
      </c>
      <c r="Q26008" s="5" t="s">
        <v>355</v>
      </c>
    </row>
    <row r="26009" ht="16.5" customHeight="1">
      <c r="O26009" s="5" t="s">
        <v>355</v>
      </c>
      <c r="P26009" s="5" t="s">
        <v>355</v>
      </c>
      <c r="Q26009" s="5" t="s">
        <v>355</v>
      </c>
    </row>
    <row r="26010" ht="16.5" customHeight="1">
      <c r="O26010" s="5" t="s">
        <v>355</v>
      </c>
      <c r="P26010" s="5" t="s">
        <v>355</v>
      </c>
      <c r="Q26010" s="5" t="s">
        <v>355</v>
      </c>
    </row>
    <row r="26011" ht="16.5" customHeight="1">
      <c r="O26011" s="5" t="s">
        <v>355</v>
      </c>
      <c r="P26011" s="5" t="s">
        <v>355</v>
      </c>
      <c r="Q26011" s="5" t="s">
        <v>355</v>
      </c>
    </row>
    <row r="26012" ht="16.5" customHeight="1">
      <c r="O26012" s="5" t="s">
        <v>355</v>
      </c>
      <c r="P26012" s="5" t="s">
        <v>355</v>
      </c>
      <c r="Q26012" s="5" t="s">
        <v>355</v>
      </c>
    </row>
    <row r="26013" ht="16.5" customHeight="1">
      <c r="O26013" s="5" t="s">
        <v>355</v>
      </c>
      <c r="P26013" s="5" t="s">
        <v>355</v>
      </c>
      <c r="Q26013" s="5" t="s">
        <v>355</v>
      </c>
    </row>
    <row r="26014" ht="16.5" customHeight="1">
      <c r="O26014" s="5" t="s">
        <v>355</v>
      </c>
      <c r="P26014" s="5" t="s">
        <v>355</v>
      </c>
      <c r="Q26014" s="5" t="s">
        <v>355</v>
      </c>
    </row>
    <row r="26015" ht="16.5" customHeight="1">
      <c r="O26015" s="5" t="s">
        <v>355</v>
      </c>
      <c r="P26015" s="5" t="s">
        <v>355</v>
      </c>
      <c r="Q26015" s="5" t="s">
        <v>355</v>
      </c>
    </row>
    <row r="26016" ht="16.5" customHeight="1">
      <c r="O26016" s="5" t="s">
        <v>355</v>
      </c>
      <c r="P26016" s="5" t="s">
        <v>355</v>
      </c>
      <c r="Q26016" s="5" t="s">
        <v>355</v>
      </c>
    </row>
    <row r="26017" ht="16.5" customHeight="1">
      <c r="O26017" s="5" t="s">
        <v>355</v>
      </c>
      <c r="P26017" s="5" t="s">
        <v>355</v>
      </c>
      <c r="Q26017" s="5" t="s">
        <v>355</v>
      </c>
    </row>
    <row r="26018" ht="16.5" customHeight="1">
      <c r="O26018" s="5" t="s">
        <v>355</v>
      </c>
      <c r="P26018" s="5" t="s">
        <v>355</v>
      </c>
      <c r="Q26018" s="5" t="s">
        <v>355</v>
      </c>
    </row>
    <row r="26019" ht="16.5" customHeight="1">
      <c r="O26019" s="5" t="s">
        <v>355</v>
      </c>
      <c r="P26019" s="5" t="s">
        <v>355</v>
      </c>
      <c r="Q26019" s="5" t="s">
        <v>355</v>
      </c>
    </row>
    <row r="26020" ht="16.5" customHeight="1">
      <c r="O26020" s="5" t="s">
        <v>355</v>
      </c>
      <c r="P26020" s="5" t="s">
        <v>355</v>
      </c>
      <c r="Q26020" s="5" t="s">
        <v>355</v>
      </c>
    </row>
    <row r="26021" ht="16.5" customHeight="1">
      <c r="O26021" s="5" t="s">
        <v>355</v>
      </c>
      <c r="P26021" s="5" t="s">
        <v>355</v>
      </c>
      <c r="Q26021" s="5" t="s">
        <v>355</v>
      </c>
    </row>
    <row r="26022" ht="16.5" customHeight="1">
      <c r="O26022" s="5" t="s">
        <v>355</v>
      </c>
      <c r="P26022" s="5" t="s">
        <v>355</v>
      </c>
      <c r="Q26022" s="5" t="s">
        <v>355</v>
      </c>
    </row>
    <row r="26023" ht="16.5" customHeight="1">
      <c r="O26023" s="5" t="s">
        <v>355</v>
      </c>
      <c r="P26023" s="5" t="s">
        <v>355</v>
      </c>
      <c r="Q26023" s="5" t="s">
        <v>355</v>
      </c>
    </row>
    <row r="26024" ht="16.5" customHeight="1">
      <c r="O26024" s="5" t="s">
        <v>355</v>
      </c>
      <c r="P26024" s="5" t="s">
        <v>355</v>
      </c>
      <c r="Q26024" s="5" t="s">
        <v>355</v>
      </c>
    </row>
    <row r="26025" ht="16.5" customHeight="1">
      <c r="O26025" s="5" t="s">
        <v>355</v>
      </c>
      <c r="P26025" s="5" t="s">
        <v>355</v>
      </c>
      <c r="Q26025" s="5" t="s">
        <v>355</v>
      </c>
    </row>
    <row r="26026" ht="16.5" customHeight="1">
      <c r="O26026" s="5" t="s">
        <v>355</v>
      </c>
      <c r="P26026" s="5" t="s">
        <v>355</v>
      </c>
      <c r="Q26026" s="5" t="s">
        <v>355</v>
      </c>
    </row>
    <row r="26027" ht="16.5" customHeight="1">
      <c r="O26027" s="5" t="s">
        <v>355</v>
      </c>
      <c r="P26027" s="5" t="s">
        <v>355</v>
      </c>
      <c r="Q26027" s="5" t="s">
        <v>355</v>
      </c>
    </row>
    <row r="26028" ht="16.5" customHeight="1">
      <c r="O26028" s="5" t="s">
        <v>355</v>
      </c>
      <c r="P26028" s="5" t="s">
        <v>355</v>
      </c>
      <c r="Q26028" s="5" t="s">
        <v>355</v>
      </c>
    </row>
    <row r="26029" ht="16.5" customHeight="1">
      <c r="O26029" s="5" t="s">
        <v>355</v>
      </c>
      <c r="P26029" s="5" t="s">
        <v>355</v>
      </c>
      <c r="Q26029" s="5" t="s">
        <v>355</v>
      </c>
    </row>
    <row r="26030" ht="16.5" customHeight="1">
      <c r="O26030" s="5" t="s">
        <v>355</v>
      </c>
      <c r="P26030" s="5" t="s">
        <v>355</v>
      </c>
      <c r="Q26030" s="5" t="s">
        <v>355</v>
      </c>
    </row>
    <row r="26031" ht="16.5" customHeight="1">
      <c r="O26031" s="5" t="s">
        <v>355</v>
      </c>
      <c r="P26031" s="5" t="s">
        <v>355</v>
      </c>
      <c r="Q26031" s="5" t="s">
        <v>355</v>
      </c>
    </row>
    <row r="26032" ht="16.5" customHeight="1">
      <c r="O26032" s="5" t="s">
        <v>355</v>
      </c>
      <c r="P26032" s="5" t="s">
        <v>355</v>
      </c>
      <c r="Q26032" s="5" t="s">
        <v>355</v>
      </c>
    </row>
    <row r="26033" ht="16.5" customHeight="1">
      <c r="O26033" s="5" t="s">
        <v>355</v>
      </c>
      <c r="P26033" s="5" t="s">
        <v>355</v>
      </c>
      <c r="Q26033" s="5" t="s">
        <v>355</v>
      </c>
    </row>
    <row r="26034" ht="16.5" customHeight="1">
      <c r="O26034" s="5" t="s">
        <v>355</v>
      </c>
      <c r="P26034" s="5" t="s">
        <v>355</v>
      </c>
      <c r="Q26034" s="5" t="s">
        <v>355</v>
      </c>
    </row>
    <row r="26035" ht="16.5" customHeight="1">
      <c r="O26035" s="5" t="s">
        <v>355</v>
      </c>
      <c r="P26035" s="5" t="s">
        <v>355</v>
      </c>
      <c r="Q26035" s="5" t="s">
        <v>355</v>
      </c>
    </row>
    <row r="26036" ht="16.5" customHeight="1">
      <c r="O26036" s="5" t="s">
        <v>355</v>
      </c>
      <c r="P26036" s="5" t="s">
        <v>355</v>
      </c>
      <c r="Q26036" s="5" t="s">
        <v>355</v>
      </c>
    </row>
    <row r="26037" ht="16.5" customHeight="1">
      <c r="O26037" s="5" t="s">
        <v>355</v>
      </c>
      <c r="P26037" s="5" t="s">
        <v>355</v>
      </c>
      <c r="Q26037" s="5" t="s">
        <v>355</v>
      </c>
    </row>
    <row r="26038" ht="16.5" customHeight="1">
      <c r="O26038" s="5" t="s">
        <v>355</v>
      </c>
      <c r="P26038" s="5" t="s">
        <v>355</v>
      </c>
      <c r="Q26038" s="5" t="s">
        <v>355</v>
      </c>
    </row>
    <row r="26039" ht="16.5" customHeight="1">
      <c r="O26039" s="5" t="s">
        <v>355</v>
      </c>
      <c r="P26039" s="5" t="s">
        <v>355</v>
      </c>
      <c r="Q26039" s="5" t="s">
        <v>355</v>
      </c>
    </row>
    <row r="26040" ht="16.5" customHeight="1">
      <c r="O26040" s="5" t="s">
        <v>355</v>
      </c>
      <c r="P26040" s="5" t="s">
        <v>355</v>
      </c>
      <c r="Q26040" s="5" t="s">
        <v>355</v>
      </c>
    </row>
    <row r="26041" ht="16.5" customHeight="1">
      <c r="O26041" s="5" t="s">
        <v>355</v>
      </c>
      <c r="P26041" s="5" t="s">
        <v>355</v>
      </c>
      <c r="Q26041" s="5" t="s">
        <v>355</v>
      </c>
    </row>
    <row r="26042" ht="16.5" customHeight="1">
      <c r="O26042" s="5" t="s">
        <v>355</v>
      </c>
      <c r="P26042" s="5" t="s">
        <v>355</v>
      </c>
      <c r="Q26042" s="5" t="s">
        <v>355</v>
      </c>
    </row>
    <row r="26043" ht="16.5" customHeight="1">
      <c r="O26043" s="5" t="s">
        <v>355</v>
      </c>
      <c r="P26043" s="5" t="s">
        <v>355</v>
      </c>
      <c r="Q26043" s="5" t="s">
        <v>355</v>
      </c>
    </row>
    <row r="26044" ht="16.5" customHeight="1">
      <c r="O26044" s="5" t="s">
        <v>355</v>
      </c>
      <c r="P26044" s="5" t="s">
        <v>355</v>
      </c>
      <c r="Q26044" s="5" t="s">
        <v>355</v>
      </c>
    </row>
    <row r="26045" ht="16.5" customHeight="1">
      <c r="O26045" s="5" t="s">
        <v>355</v>
      </c>
      <c r="P26045" s="5" t="s">
        <v>355</v>
      </c>
      <c r="Q26045" s="5" t="s">
        <v>355</v>
      </c>
    </row>
    <row r="26046" ht="16.5" customHeight="1">
      <c r="O26046" s="5" t="s">
        <v>355</v>
      </c>
      <c r="P26046" s="5" t="s">
        <v>355</v>
      </c>
      <c r="Q26046" s="5" t="s">
        <v>355</v>
      </c>
    </row>
    <row r="26047" ht="16.5" customHeight="1">
      <c r="O26047" s="5" t="s">
        <v>355</v>
      </c>
      <c r="P26047" s="5" t="s">
        <v>355</v>
      </c>
      <c r="Q26047" s="5" t="s">
        <v>355</v>
      </c>
    </row>
    <row r="26048" ht="16.5" customHeight="1">
      <c r="O26048" s="5" t="s">
        <v>355</v>
      </c>
      <c r="P26048" s="5" t="s">
        <v>355</v>
      </c>
      <c r="Q26048" s="5" t="s">
        <v>355</v>
      </c>
    </row>
    <row r="26049" ht="16.5" customHeight="1">
      <c r="O26049" s="5" t="s">
        <v>355</v>
      </c>
      <c r="P26049" s="5" t="s">
        <v>355</v>
      </c>
      <c r="Q26049" s="5" t="s">
        <v>355</v>
      </c>
    </row>
    <row r="26050" ht="16.5" customHeight="1">
      <c r="O26050" s="5" t="s">
        <v>355</v>
      </c>
      <c r="P26050" s="5" t="s">
        <v>355</v>
      </c>
      <c r="Q26050" s="5" t="s">
        <v>355</v>
      </c>
    </row>
    <row r="26051" ht="16.5" customHeight="1">
      <c r="O26051" s="5" t="s">
        <v>355</v>
      </c>
      <c r="P26051" s="5" t="s">
        <v>355</v>
      </c>
      <c r="Q26051" s="5" t="s">
        <v>355</v>
      </c>
    </row>
    <row r="26052" ht="16.5" customHeight="1">
      <c r="O26052" s="5" t="s">
        <v>355</v>
      </c>
      <c r="P26052" s="5" t="s">
        <v>355</v>
      </c>
      <c r="Q26052" s="5" t="s">
        <v>355</v>
      </c>
    </row>
    <row r="26053" ht="16.5" customHeight="1">
      <c r="O26053" s="5" t="s">
        <v>355</v>
      </c>
      <c r="P26053" s="5" t="s">
        <v>355</v>
      </c>
      <c r="Q26053" s="5" t="s">
        <v>355</v>
      </c>
    </row>
    <row r="26054" ht="16.5" customHeight="1">
      <c r="O26054" s="5" t="s">
        <v>355</v>
      </c>
      <c r="P26054" s="5" t="s">
        <v>355</v>
      </c>
      <c r="Q26054" s="5" t="s">
        <v>355</v>
      </c>
    </row>
    <row r="26055" ht="16.5" customHeight="1">
      <c r="O26055" s="5" t="s">
        <v>355</v>
      </c>
      <c r="P26055" s="5" t="s">
        <v>355</v>
      </c>
      <c r="Q26055" s="5" t="s">
        <v>355</v>
      </c>
    </row>
    <row r="26056" ht="16.5" customHeight="1">
      <c r="O26056" s="5" t="s">
        <v>355</v>
      </c>
      <c r="P26056" s="5" t="s">
        <v>355</v>
      </c>
      <c r="Q26056" s="5" t="s">
        <v>355</v>
      </c>
    </row>
    <row r="26057" ht="16.5" customHeight="1">
      <c r="O26057" s="5" t="s">
        <v>355</v>
      </c>
      <c r="P26057" s="5" t="s">
        <v>355</v>
      </c>
      <c r="Q26057" s="5" t="s">
        <v>355</v>
      </c>
    </row>
    <row r="26058" ht="16.5" customHeight="1">
      <c r="O26058" s="5" t="s">
        <v>355</v>
      </c>
      <c r="P26058" s="5" t="s">
        <v>355</v>
      </c>
      <c r="Q26058" s="5" t="s">
        <v>355</v>
      </c>
    </row>
    <row r="26059" ht="16.5" customHeight="1">
      <c r="O26059" s="5" t="s">
        <v>355</v>
      </c>
      <c r="P26059" s="5" t="s">
        <v>355</v>
      </c>
      <c r="Q26059" s="5" t="s">
        <v>355</v>
      </c>
    </row>
    <row r="26060" ht="16.5" customHeight="1">
      <c r="O26060" s="5" t="s">
        <v>355</v>
      </c>
      <c r="P26060" s="5" t="s">
        <v>355</v>
      </c>
      <c r="Q26060" s="5" t="s">
        <v>355</v>
      </c>
    </row>
    <row r="26061" ht="16.5" customHeight="1">
      <c r="O26061" s="5" t="s">
        <v>355</v>
      </c>
      <c r="P26061" s="5" t="s">
        <v>355</v>
      </c>
      <c r="Q26061" s="5" t="s">
        <v>355</v>
      </c>
    </row>
    <row r="26062" ht="16.5" customHeight="1">
      <c r="O26062" s="5" t="s">
        <v>355</v>
      </c>
      <c r="P26062" s="5" t="s">
        <v>355</v>
      </c>
      <c r="Q26062" s="5" t="s">
        <v>355</v>
      </c>
    </row>
    <row r="26063" ht="16.5" customHeight="1">
      <c r="O26063" s="5" t="s">
        <v>355</v>
      </c>
      <c r="P26063" s="5" t="s">
        <v>355</v>
      </c>
      <c r="Q26063" s="5" t="s">
        <v>355</v>
      </c>
    </row>
    <row r="26064" ht="16.5" customHeight="1">
      <c r="O26064" s="5" t="s">
        <v>355</v>
      </c>
      <c r="P26064" s="5" t="s">
        <v>355</v>
      </c>
      <c r="Q26064" s="5" t="s">
        <v>355</v>
      </c>
    </row>
    <row r="26065" ht="16.5" customHeight="1">
      <c r="O26065" s="5" t="s">
        <v>355</v>
      </c>
      <c r="P26065" s="5" t="s">
        <v>355</v>
      </c>
      <c r="Q26065" s="5" t="s">
        <v>355</v>
      </c>
    </row>
    <row r="26066" ht="16.5" customHeight="1">
      <c r="O26066" s="5" t="s">
        <v>355</v>
      </c>
      <c r="P26066" s="5" t="s">
        <v>355</v>
      </c>
      <c r="Q26066" s="5" t="s">
        <v>355</v>
      </c>
    </row>
    <row r="26067" ht="16.5" customHeight="1">
      <c r="O26067" s="5" t="s">
        <v>355</v>
      </c>
      <c r="P26067" s="5" t="s">
        <v>355</v>
      </c>
      <c r="Q26067" s="5" t="s">
        <v>355</v>
      </c>
    </row>
    <row r="26068" ht="16.5" customHeight="1">
      <c r="O26068" s="5" t="s">
        <v>355</v>
      </c>
      <c r="P26068" s="5" t="s">
        <v>355</v>
      </c>
      <c r="Q26068" s="5" t="s">
        <v>355</v>
      </c>
    </row>
    <row r="26069" ht="16.5" customHeight="1">
      <c r="O26069" s="5" t="s">
        <v>355</v>
      </c>
      <c r="P26069" s="5" t="s">
        <v>355</v>
      </c>
      <c r="Q26069" s="5" t="s">
        <v>355</v>
      </c>
    </row>
    <row r="26070" ht="16.5" customHeight="1">
      <c r="O26070" s="5" t="s">
        <v>355</v>
      </c>
      <c r="P26070" s="5" t="s">
        <v>355</v>
      </c>
      <c r="Q26070" s="5" t="s">
        <v>355</v>
      </c>
    </row>
    <row r="26071" ht="16.5" customHeight="1">
      <c r="O26071" s="5" t="s">
        <v>355</v>
      </c>
      <c r="P26071" s="5" t="s">
        <v>355</v>
      </c>
      <c r="Q26071" s="5" t="s">
        <v>355</v>
      </c>
    </row>
    <row r="26072" ht="16.5" customHeight="1">
      <c r="O26072" s="5" t="s">
        <v>355</v>
      </c>
      <c r="P26072" s="5" t="s">
        <v>355</v>
      </c>
      <c r="Q26072" s="5" t="s">
        <v>355</v>
      </c>
    </row>
    <row r="26073" ht="16.5" customHeight="1">
      <c r="O26073" s="5" t="s">
        <v>355</v>
      </c>
      <c r="P26073" s="5" t="s">
        <v>355</v>
      </c>
      <c r="Q26073" s="5" t="s">
        <v>355</v>
      </c>
    </row>
    <row r="26074" ht="16.5" customHeight="1">
      <c r="O26074" s="5" t="s">
        <v>355</v>
      </c>
      <c r="P26074" s="5" t="s">
        <v>355</v>
      </c>
      <c r="Q26074" s="5" t="s">
        <v>355</v>
      </c>
    </row>
    <row r="26075" ht="16.5" customHeight="1">
      <c r="O26075" s="5" t="s">
        <v>355</v>
      </c>
      <c r="P26075" s="5" t="s">
        <v>355</v>
      </c>
      <c r="Q26075" s="5" t="s">
        <v>355</v>
      </c>
    </row>
    <row r="26076" ht="16.5" customHeight="1">
      <c r="O26076" s="5" t="s">
        <v>355</v>
      </c>
      <c r="P26076" s="5" t="s">
        <v>355</v>
      </c>
      <c r="Q26076" s="5" t="s">
        <v>355</v>
      </c>
    </row>
    <row r="26077" ht="16.5" customHeight="1">
      <c r="O26077" s="5" t="s">
        <v>355</v>
      </c>
      <c r="P26077" s="5" t="s">
        <v>355</v>
      </c>
      <c r="Q26077" s="5" t="s">
        <v>355</v>
      </c>
    </row>
    <row r="26078" ht="16.5" customHeight="1">
      <c r="O26078" s="5" t="s">
        <v>355</v>
      </c>
      <c r="P26078" s="5" t="s">
        <v>355</v>
      </c>
      <c r="Q26078" s="5" t="s">
        <v>355</v>
      </c>
    </row>
    <row r="26079" ht="16.5" customHeight="1">
      <c r="O26079" s="5" t="s">
        <v>355</v>
      </c>
      <c r="P26079" s="5" t="s">
        <v>355</v>
      </c>
      <c r="Q26079" s="5" t="s">
        <v>355</v>
      </c>
    </row>
    <row r="26080" ht="16.5" customHeight="1">
      <c r="O26080" s="5" t="s">
        <v>355</v>
      </c>
      <c r="P26080" s="5" t="s">
        <v>355</v>
      </c>
      <c r="Q26080" s="5" t="s">
        <v>355</v>
      </c>
    </row>
    <row r="26081" ht="16.5" customHeight="1">
      <c r="O26081" s="5" t="s">
        <v>355</v>
      </c>
      <c r="P26081" s="5" t="s">
        <v>355</v>
      </c>
      <c r="Q26081" s="5" t="s">
        <v>355</v>
      </c>
    </row>
    <row r="26082" ht="16.5" customHeight="1">
      <c r="O26082" s="5" t="s">
        <v>355</v>
      </c>
      <c r="P26082" s="5" t="s">
        <v>355</v>
      </c>
      <c r="Q26082" s="5" t="s">
        <v>355</v>
      </c>
    </row>
    <row r="26083" ht="16.5" customHeight="1">
      <c r="O26083" s="5" t="s">
        <v>355</v>
      </c>
      <c r="P26083" s="5" t="s">
        <v>355</v>
      </c>
      <c r="Q26083" s="5" t="s">
        <v>355</v>
      </c>
    </row>
    <row r="26084" ht="16.5" customHeight="1">
      <c r="O26084" s="5" t="s">
        <v>355</v>
      </c>
      <c r="P26084" s="5" t="s">
        <v>355</v>
      </c>
      <c r="Q26084" s="5" t="s">
        <v>355</v>
      </c>
    </row>
    <row r="26085" ht="16.5" customHeight="1">
      <c r="O26085" s="5" t="s">
        <v>355</v>
      </c>
      <c r="P26085" s="5" t="s">
        <v>355</v>
      </c>
      <c r="Q26085" s="5" t="s">
        <v>355</v>
      </c>
    </row>
    <row r="26086" ht="16.5" customHeight="1">
      <c r="O26086" s="5" t="s">
        <v>355</v>
      </c>
      <c r="P26086" s="5" t="s">
        <v>355</v>
      </c>
      <c r="Q26086" s="5" t="s">
        <v>355</v>
      </c>
    </row>
    <row r="26087" ht="16.5" customHeight="1">
      <c r="O26087" s="5" t="s">
        <v>355</v>
      </c>
      <c r="P26087" s="5" t="s">
        <v>355</v>
      </c>
      <c r="Q26087" s="5" t="s">
        <v>355</v>
      </c>
    </row>
    <row r="26088" ht="16.5" customHeight="1">
      <c r="O26088" s="5" t="s">
        <v>355</v>
      </c>
      <c r="P26088" s="5" t="s">
        <v>355</v>
      </c>
      <c r="Q26088" s="5" t="s">
        <v>355</v>
      </c>
    </row>
    <row r="26089" ht="16.5" customHeight="1">
      <c r="O26089" s="5" t="s">
        <v>355</v>
      </c>
      <c r="P26089" s="5" t="s">
        <v>355</v>
      </c>
      <c r="Q26089" s="5" t="s">
        <v>355</v>
      </c>
    </row>
    <row r="26090" ht="16.5" customHeight="1">
      <c r="O26090" s="5" t="s">
        <v>355</v>
      </c>
      <c r="P26090" s="5" t="s">
        <v>355</v>
      </c>
      <c r="Q26090" s="5" t="s">
        <v>355</v>
      </c>
    </row>
    <row r="26091" ht="16.5" customHeight="1">
      <c r="O26091" s="5" t="s">
        <v>355</v>
      </c>
      <c r="P26091" s="5" t="s">
        <v>355</v>
      </c>
      <c r="Q26091" s="5" t="s">
        <v>355</v>
      </c>
    </row>
    <row r="26092" ht="16.5" customHeight="1">
      <c r="O26092" s="5" t="s">
        <v>355</v>
      </c>
      <c r="P26092" s="5" t="s">
        <v>355</v>
      </c>
      <c r="Q26092" s="5" t="s">
        <v>355</v>
      </c>
    </row>
    <row r="26093" ht="16.5" customHeight="1">
      <c r="O26093" s="5" t="s">
        <v>355</v>
      </c>
      <c r="P26093" s="5" t="s">
        <v>355</v>
      </c>
      <c r="Q26093" s="5" t="s">
        <v>355</v>
      </c>
    </row>
    <row r="26094" ht="16.5" customHeight="1">
      <c r="O26094" s="5" t="s">
        <v>355</v>
      </c>
      <c r="P26094" s="5" t="s">
        <v>355</v>
      </c>
      <c r="Q26094" s="5" t="s">
        <v>355</v>
      </c>
    </row>
    <row r="26095" ht="16.5" customHeight="1">
      <c r="O26095" s="5" t="s">
        <v>355</v>
      </c>
      <c r="P26095" s="5" t="s">
        <v>355</v>
      </c>
      <c r="Q26095" s="5" t="s">
        <v>355</v>
      </c>
    </row>
    <row r="26096" ht="16.5" customHeight="1">
      <c r="O26096" s="5" t="s">
        <v>355</v>
      </c>
      <c r="P26096" s="5" t="s">
        <v>355</v>
      </c>
      <c r="Q26096" s="5" t="s">
        <v>355</v>
      </c>
    </row>
    <row r="26097" ht="16.5" customHeight="1">
      <c r="O26097" s="5" t="s">
        <v>355</v>
      </c>
      <c r="P26097" s="5" t="s">
        <v>355</v>
      </c>
      <c r="Q26097" s="5" t="s">
        <v>355</v>
      </c>
    </row>
    <row r="26098" ht="16.5" customHeight="1">
      <c r="O26098" s="5" t="s">
        <v>355</v>
      </c>
      <c r="P26098" s="5" t="s">
        <v>355</v>
      </c>
      <c r="Q26098" s="5" t="s">
        <v>355</v>
      </c>
    </row>
    <row r="26099" ht="16.5" customHeight="1">
      <c r="O26099" s="5" t="s">
        <v>355</v>
      </c>
      <c r="P26099" s="5" t="s">
        <v>355</v>
      </c>
      <c r="Q26099" s="5" t="s">
        <v>355</v>
      </c>
    </row>
    <row r="26100" ht="16.5" customHeight="1">
      <c r="O26100" s="5" t="s">
        <v>355</v>
      </c>
      <c r="P26100" s="5" t="s">
        <v>355</v>
      </c>
      <c r="Q26100" s="5" t="s">
        <v>355</v>
      </c>
    </row>
    <row r="26101" ht="16.5" customHeight="1">
      <c r="O26101" s="5" t="s">
        <v>355</v>
      </c>
      <c r="P26101" s="5" t="s">
        <v>355</v>
      </c>
      <c r="Q26101" s="5" t="s">
        <v>355</v>
      </c>
    </row>
    <row r="26102" ht="16.5" customHeight="1">
      <c r="O26102" s="5" t="s">
        <v>355</v>
      </c>
      <c r="P26102" s="5" t="s">
        <v>355</v>
      </c>
      <c r="Q26102" s="5" t="s">
        <v>355</v>
      </c>
    </row>
    <row r="26103" ht="16.5" customHeight="1">
      <c r="O26103" s="5" t="s">
        <v>355</v>
      </c>
      <c r="P26103" s="5" t="s">
        <v>355</v>
      </c>
      <c r="Q26103" s="5" t="s">
        <v>355</v>
      </c>
    </row>
    <row r="26104" ht="16.5" customHeight="1">
      <c r="O26104" s="5" t="s">
        <v>355</v>
      </c>
      <c r="P26104" s="5" t="s">
        <v>355</v>
      </c>
      <c r="Q26104" s="5" t="s">
        <v>355</v>
      </c>
    </row>
    <row r="26105" ht="16.5" customHeight="1">
      <c r="O26105" s="5" t="s">
        <v>355</v>
      </c>
      <c r="P26105" s="5" t="s">
        <v>355</v>
      </c>
      <c r="Q26105" s="5" t="s">
        <v>355</v>
      </c>
    </row>
    <row r="26106" ht="16.5" customHeight="1">
      <c r="O26106" s="5" t="s">
        <v>355</v>
      </c>
      <c r="P26106" s="5" t="s">
        <v>355</v>
      </c>
      <c r="Q26106" s="5" t="s">
        <v>355</v>
      </c>
    </row>
    <row r="26107" ht="16.5" customHeight="1">
      <c r="O26107" s="5" t="s">
        <v>355</v>
      </c>
      <c r="P26107" s="5" t="s">
        <v>355</v>
      </c>
      <c r="Q26107" s="5" t="s">
        <v>355</v>
      </c>
    </row>
    <row r="26108" ht="16.5" customHeight="1">
      <c r="O26108" s="5" t="s">
        <v>355</v>
      </c>
      <c r="P26108" s="5" t="s">
        <v>355</v>
      </c>
      <c r="Q26108" s="5" t="s">
        <v>355</v>
      </c>
    </row>
    <row r="26109" ht="16.5" customHeight="1">
      <c r="O26109" s="5" t="s">
        <v>355</v>
      </c>
      <c r="P26109" s="5" t="s">
        <v>355</v>
      </c>
      <c r="Q26109" s="5" t="s">
        <v>355</v>
      </c>
    </row>
    <row r="26110" ht="16.5" customHeight="1">
      <c r="O26110" s="5" t="s">
        <v>355</v>
      </c>
      <c r="P26110" s="5" t="s">
        <v>355</v>
      </c>
      <c r="Q26110" s="5" t="s">
        <v>355</v>
      </c>
    </row>
    <row r="26111" ht="16.5" customHeight="1">
      <c r="O26111" s="5" t="s">
        <v>355</v>
      </c>
      <c r="P26111" s="5" t="s">
        <v>355</v>
      </c>
      <c r="Q26111" s="5" t="s">
        <v>355</v>
      </c>
    </row>
    <row r="26112" ht="16.5" customHeight="1">
      <c r="O26112" s="5" t="s">
        <v>355</v>
      </c>
      <c r="P26112" s="5" t="s">
        <v>355</v>
      </c>
      <c r="Q26112" s="5" t="s">
        <v>355</v>
      </c>
    </row>
    <row r="26113" ht="16.5" customHeight="1">
      <c r="O26113" s="5" t="s">
        <v>355</v>
      </c>
      <c r="P26113" s="5" t="s">
        <v>355</v>
      </c>
      <c r="Q26113" s="5" t="s">
        <v>355</v>
      </c>
    </row>
    <row r="26114" ht="16.5" customHeight="1">
      <c r="O26114" s="5" t="s">
        <v>355</v>
      </c>
      <c r="P26114" s="5" t="s">
        <v>355</v>
      </c>
      <c r="Q26114" s="5" t="s">
        <v>355</v>
      </c>
    </row>
    <row r="26115" ht="16.5" customHeight="1">
      <c r="O26115" s="5" t="s">
        <v>355</v>
      </c>
      <c r="P26115" s="5" t="s">
        <v>355</v>
      </c>
      <c r="Q26115" s="5" t="s">
        <v>355</v>
      </c>
    </row>
    <row r="26116" ht="16.5" customHeight="1">
      <c r="O26116" s="5" t="s">
        <v>355</v>
      </c>
      <c r="P26116" s="5" t="s">
        <v>355</v>
      </c>
      <c r="Q26116" s="5" t="s">
        <v>355</v>
      </c>
    </row>
    <row r="26117" ht="16.5" customHeight="1">
      <c r="O26117" s="5" t="s">
        <v>355</v>
      </c>
      <c r="P26117" s="5" t="s">
        <v>355</v>
      </c>
      <c r="Q26117" s="5" t="s">
        <v>355</v>
      </c>
    </row>
    <row r="26118" ht="16.5" customHeight="1">
      <c r="O26118" s="5" t="s">
        <v>355</v>
      </c>
      <c r="P26118" s="5" t="s">
        <v>355</v>
      </c>
      <c r="Q26118" s="5" t="s">
        <v>355</v>
      </c>
    </row>
    <row r="26119" ht="16.5" customHeight="1">
      <c r="O26119" s="5" t="s">
        <v>355</v>
      </c>
      <c r="P26119" s="5" t="s">
        <v>355</v>
      </c>
      <c r="Q26119" s="5" t="s">
        <v>355</v>
      </c>
    </row>
    <row r="26120" ht="16.5" customHeight="1">
      <c r="O26120" s="5" t="s">
        <v>355</v>
      </c>
      <c r="P26120" s="5" t="s">
        <v>355</v>
      </c>
      <c r="Q26120" s="5" t="s">
        <v>355</v>
      </c>
    </row>
    <row r="26121" ht="16.5" customHeight="1">
      <c r="O26121" s="5" t="s">
        <v>355</v>
      </c>
      <c r="P26121" s="5" t="s">
        <v>355</v>
      </c>
      <c r="Q26121" s="5" t="s">
        <v>355</v>
      </c>
    </row>
    <row r="26122" ht="16.5" customHeight="1">
      <c r="O26122" s="5" t="s">
        <v>355</v>
      </c>
      <c r="P26122" s="5" t="s">
        <v>355</v>
      </c>
      <c r="Q26122" s="5" t="s">
        <v>355</v>
      </c>
    </row>
    <row r="26123" ht="16.5" customHeight="1">
      <c r="O26123" s="5" t="s">
        <v>355</v>
      </c>
      <c r="P26123" s="5" t="s">
        <v>355</v>
      </c>
      <c r="Q26123" s="5" t="s">
        <v>355</v>
      </c>
    </row>
    <row r="26124" ht="16.5" customHeight="1">
      <c r="O26124" s="5" t="s">
        <v>355</v>
      </c>
      <c r="P26124" s="5" t="s">
        <v>355</v>
      </c>
      <c r="Q26124" s="5" t="s">
        <v>355</v>
      </c>
    </row>
    <row r="26125" ht="16.5" customHeight="1">
      <c r="O26125" s="5" t="s">
        <v>355</v>
      </c>
      <c r="P26125" s="5" t="s">
        <v>355</v>
      </c>
      <c r="Q26125" s="5" t="s">
        <v>355</v>
      </c>
    </row>
    <row r="26126" ht="16.5" customHeight="1">
      <c r="O26126" s="5" t="s">
        <v>355</v>
      </c>
      <c r="P26126" s="5" t="s">
        <v>355</v>
      </c>
      <c r="Q26126" s="5" t="s">
        <v>355</v>
      </c>
    </row>
    <row r="26127" ht="16.5" customHeight="1">
      <c r="O26127" s="5" t="s">
        <v>355</v>
      </c>
      <c r="P26127" s="5" t="s">
        <v>355</v>
      </c>
      <c r="Q26127" s="5" t="s">
        <v>355</v>
      </c>
    </row>
    <row r="26128" ht="16.5" customHeight="1">
      <c r="O26128" s="5" t="s">
        <v>355</v>
      </c>
      <c r="P26128" s="5" t="s">
        <v>355</v>
      </c>
      <c r="Q26128" s="5" t="s">
        <v>355</v>
      </c>
    </row>
    <row r="26129" ht="16.5" customHeight="1">
      <c r="O26129" s="5" t="s">
        <v>355</v>
      </c>
      <c r="P26129" s="5" t="s">
        <v>355</v>
      </c>
      <c r="Q26129" s="5" t="s">
        <v>355</v>
      </c>
    </row>
    <row r="26130" ht="16.5" customHeight="1">
      <c r="O26130" s="5" t="s">
        <v>355</v>
      </c>
      <c r="P26130" s="5" t="s">
        <v>355</v>
      </c>
      <c r="Q26130" s="5" t="s">
        <v>355</v>
      </c>
    </row>
    <row r="26131" ht="16.5" customHeight="1">
      <c r="O26131" s="5" t="s">
        <v>355</v>
      </c>
      <c r="P26131" s="5" t="s">
        <v>355</v>
      </c>
      <c r="Q26131" s="5" t="s">
        <v>355</v>
      </c>
    </row>
    <row r="26132" ht="16.5" customHeight="1">
      <c r="O26132" s="5" t="s">
        <v>355</v>
      </c>
      <c r="P26132" s="5" t="s">
        <v>355</v>
      </c>
      <c r="Q26132" s="5" t="s">
        <v>355</v>
      </c>
    </row>
    <row r="26133" ht="16.5" customHeight="1">
      <c r="O26133" s="5" t="s">
        <v>355</v>
      </c>
      <c r="P26133" s="5" t="s">
        <v>355</v>
      </c>
      <c r="Q26133" s="5" t="s">
        <v>355</v>
      </c>
    </row>
    <row r="26134" ht="16.5" customHeight="1">
      <c r="O26134" s="5" t="s">
        <v>355</v>
      </c>
      <c r="P26134" s="5" t="s">
        <v>355</v>
      </c>
      <c r="Q26134" s="5" t="s">
        <v>355</v>
      </c>
    </row>
    <row r="26135" ht="16.5" customHeight="1">
      <c r="O26135" s="5" t="s">
        <v>355</v>
      </c>
      <c r="P26135" s="5" t="s">
        <v>355</v>
      </c>
      <c r="Q26135" s="5" t="s">
        <v>355</v>
      </c>
    </row>
    <row r="26136" ht="16.5" customHeight="1">
      <c r="O26136" s="5" t="s">
        <v>355</v>
      </c>
      <c r="P26136" s="5" t="s">
        <v>355</v>
      </c>
      <c r="Q26136" s="5" t="s">
        <v>355</v>
      </c>
    </row>
    <row r="26137" ht="16.5" customHeight="1">
      <c r="O26137" s="5" t="s">
        <v>355</v>
      </c>
      <c r="P26137" s="5" t="s">
        <v>355</v>
      </c>
      <c r="Q26137" s="5" t="s">
        <v>355</v>
      </c>
    </row>
    <row r="26138" ht="16.5" customHeight="1">
      <c r="O26138" s="5" t="s">
        <v>355</v>
      </c>
      <c r="P26138" s="5" t="s">
        <v>355</v>
      </c>
      <c r="Q26138" s="5" t="s">
        <v>355</v>
      </c>
    </row>
    <row r="26139" ht="16.5" customHeight="1">
      <c r="O26139" s="5" t="s">
        <v>355</v>
      </c>
      <c r="P26139" s="5" t="s">
        <v>355</v>
      </c>
      <c r="Q26139" s="5" t="s">
        <v>355</v>
      </c>
    </row>
    <row r="26140" ht="16.5" customHeight="1">
      <c r="O26140" s="5" t="s">
        <v>355</v>
      </c>
      <c r="P26140" s="5" t="s">
        <v>355</v>
      </c>
      <c r="Q26140" s="5" t="s">
        <v>355</v>
      </c>
    </row>
    <row r="26141" ht="16.5" customHeight="1">
      <c r="O26141" s="5" t="s">
        <v>355</v>
      </c>
      <c r="P26141" s="5" t="s">
        <v>355</v>
      </c>
      <c r="Q26141" s="5" t="s">
        <v>355</v>
      </c>
    </row>
    <row r="26142" ht="16.5" customHeight="1">
      <c r="O26142" s="5" t="s">
        <v>355</v>
      </c>
      <c r="P26142" s="5" t="s">
        <v>355</v>
      </c>
      <c r="Q26142" s="5" t="s">
        <v>355</v>
      </c>
    </row>
    <row r="26143" ht="16.5" customHeight="1">
      <c r="O26143" s="5" t="s">
        <v>355</v>
      </c>
      <c r="P26143" s="5" t="s">
        <v>355</v>
      </c>
      <c r="Q26143" s="5" t="s">
        <v>355</v>
      </c>
    </row>
    <row r="26144" ht="16.5" customHeight="1">
      <c r="O26144" s="5" t="s">
        <v>355</v>
      </c>
      <c r="P26144" s="5" t="s">
        <v>355</v>
      </c>
      <c r="Q26144" s="5" t="s">
        <v>355</v>
      </c>
    </row>
    <row r="26145" ht="16.5" customHeight="1">
      <c r="O26145" s="5" t="s">
        <v>355</v>
      </c>
      <c r="P26145" s="5" t="s">
        <v>355</v>
      </c>
      <c r="Q26145" s="5" t="s">
        <v>355</v>
      </c>
    </row>
    <row r="26146" ht="16.5" customHeight="1">
      <c r="O26146" s="5" t="s">
        <v>355</v>
      </c>
      <c r="P26146" s="5" t="s">
        <v>355</v>
      </c>
      <c r="Q26146" s="5" t="s">
        <v>355</v>
      </c>
    </row>
    <row r="26147" ht="16.5" customHeight="1">
      <c r="O26147" s="5" t="s">
        <v>355</v>
      </c>
      <c r="P26147" s="5" t="s">
        <v>355</v>
      </c>
      <c r="Q26147" s="5" t="s">
        <v>355</v>
      </c>
    </row>
    <row r="26148" ht="16.5" customHeight="1">
      <c r="O26148" s="5" t="s">
        <v>355</v>
      </c>
      <c r="P26148" s="5" t="s">
        <v>355</v>
      </c>
      <c r="Q26148" s="5" t="s">
        <v>355</v>
      </c>
    </row>
    <row r="26149" ht="16.5" customHeight="1">
      <c r="O26149" s="5" t="s">
        <v>355</v>
      </c>
      <c r="P26149" s="5" t="s">
        <v>355</v>
      </c>
      <c r="Q26149" s="5" t="s">
        <v>355</v>
      </c>
    </row>
    <row r="26150" ht="16.5" customHeight="1">
      <c r="O26150" s="5" t="s">
        <v>355</v>
      </c>
      <c r="P26150" s="5" t="s">
        <v>355</v>
      </c>
      <c r="Q26150" s="5" t="s">
        <v>355</v>
      </c>
    </row>
    <row r="26151" ht="16.5" customHeight="1">
      <c r="O26151" s="5" t="s">
        <v>355</v>
      </c>
      <c r="P26151" s="5" t="s">
        <v>355</v>
      </c>
      <c r="Q26151" s="5" t="s">
        <v>355</v>
      </c>
    </row>
    <row r="26152" ht="16.5" customHeight="1">
      <c r="O26152" s="5" t="s">
        <v>355</v>
      </c>
      <c r="P26152" s="5" t="s">
        <v>355</v>
      </c>
      <c r="Q26152" s="5" t="s">
        <v>355</v>
      </c>
    </row>
    <row r="26153" ht="16.5" customHeight="1">
      <c r="O26153" s="5" t="s">
        <v>355</v>
      </c>
      <c r="P26153" s="5" t="s">
        <v>355</v>
      </c>
      <c r="Q26153" s="5" t="s">
        <v>355</v>
      </c>
    </row>
    <row r="26154" ht="16.5" customHeight="1">
      <c r="O26154" s="5" t="s">
        <v>355</v>
      </c>
      <c r="P26154" s="5" t="s">
        <v>355</v>
      </c>
      <c r="Q26154" s="5" t="s">
        <v>355</v>
      </c>
    </row>
    <row r="26155" ht="16.5" customHeight="1">
      <c r="O26155" s="5" t="s">
        <v>355</v>
      </c>
      <c r="P26155" s="5" t="s">
        <v>355</v>
      </c>
      <c r="Q26155" s="5" t="s">
        <v>355</v>
      </c>
    </row>
    <row r="26156" ht="16.5" customHeight="1">
      <c r="O26156" s="5" t="s">
        <v>355</v>
      </c>
      <c r="P26156" s="5" t="s">
        <v>355</v>
      </c>
      <c r="Q26156" s="5" t="s">
        <v>355</v>
      </c>
    </row>
    <row r="26157" ht="16.5" customHeight="1">
      <c r="O26157" s="5" t="s">
        <v>355</v>
      </c>
      <c r="P26157" s="5" t="s">
        <v>355</v>
      </c>
      <c r="Q26157" s="5" t="s">
        <v>355</v>
      </c>
    </row>
    <row r="26158" ht="16.5" customHeight="1">
      <c r="O26158" s="5" t="s">
        <v>355</v>
      </c>
      <c r="P26158" s="5" t="s">
        <v>355</v>
      </c>
      <c r="Q26158" s="5" t="s">
        <v>355</v>
      </c>
    </row>
    <row r="26159" ht="16.5" customHeight="1">
      <c r="O26159" s="5" t="s">
        <v>355</v>
      </c>
      <c r="P26159" s="5" t="s">
        <v>355</v>
      </c>
      <c r="Q26159" s="5" t="s">
        <v>355</v>
      </c>
    </row>
    <row r="26160" ht="16.5" customHeight="1">
      <c r="O26160" s="5" t="s">
        <v>355</v>
      </c>
      <c r="P26160" s="5" t="s">
        <v>355</v>
      </c>
      <c r="Q26160" s="5" t="s">
        <v>355</v>
      </c>
    </row>
    <row r="26161" ht="16.5" customHeight="1">
      <c r="O26161" s="5" t="s">
        <v>355</v>
      </c>
      <c r="P26161" s="5" t="s">
        <v>355</v>
      </c>
      <c r="Q26161" s="5" t="s">
        <v>355</v>
      </c>
    </row>
    <row r="26162" ht="16.5" customHeight="1">
      <c r="O26162" s="5" t="s">
        <v>355</v>
      </c>
      <c r="P26162" s="5" t="s">
        <v>355</v>
      </c>
      <c r="Q26162" s="5" t="s">
        <v>355</v>
      </c>
    </row>
    <row r="26163" ht="16.5" customHeight="1">
      <c r="O26163" s="5" t="s">
        <v>355</v>
      </c>
      <c r="P26163" s="5" t="s">
        <v>355</v>
      </c>
      <c r="Q26163" s="5" t="s">
        <v>355</v>
      </c>
    </row>
    <row r="26164" ht="16.5" customHeight="1">
      <c r="O26164" s="5" t="s">
        <v>355</v>
      </c>
      <c r="P26164" s="5" t="s">
        <v>355</v>
      </c>
      <c r="Q26164" s="5" t="s">
        <v>355</v>
      </c>
    </row>
    <row r="26165" ht="16.5" customHeight="1">
      <c r="O26165" s="5" t="s">
        <v>355</v>
      </c>
      <c r="P26165" s="5" t="s">
        <v>355</v>
      </c>
      <c r="Q26165" s="5" t="s">
        <v>355</v>
      </c>
    </row>
    <row r="26166" ht="16.5" customHeight="1">
      <c r="O26166" s="5" t="s">
        <v>355</v>
      </c>
      <c r="P26166" s="5" t="s">
        <v>355</v>
      </c>
      <c r="Q26166" s="5" t="s">
        <v>355</v>
      </c>
    </row>
    <row r="26167" ht="16.5" customHeight="1">
      <c r="O26167" s="5" t="s">
        <v>355</v>
      </c>
      <c r="P26167" s="5" t="s">
        <v>355</v>
      </c>
      <c r="Q26167" s="5" t="s">
        <v>355</v>
      </c>
    </row>
    <row r="26168" ht="16.5" customHeight="1">
      <c r="O26168" s="5" t="s">
        <v>355</v>
      </c>
      <c r="P26168" s="5" t="s">
        <v>355</v>
      </c>
      <c r="Q26168" s="5" t="s">
        <v>355</v>
      </c>
    </row>
    <row r="26169" ht="16.5" customHeight="1">
      <c r="O26169" s="5" t="s">
        <v>355</v>
      </c>
      <c r="P26169" s="5" t="s">
        <v>355</v>
      </c>
      <c r="Q26169" s="5" t="s">
        <v>355</v>
      </c>
    </row>
    <row r="26170" ht="16.5" customHeight="1">
      <c r="O26170" s="5" t="s">
        <v>355</v>
      </c>
      <c r="P26170" s="5" t="s">
        <v>355</v>
      </c>
      <c r="Q26170" s="5" t="s">
        <v>355</v>
      </c>
    </row>
    <row r="26171" ht="16.5" customHeight="1">
      <c r="O26171" s="5" t="s">
        <v>355</v>
      </c>
      <c r="P26171" s="5" t="s">
        <v>355</v>
      </c>
      <c r="Q26171" s="5" t="s">
        <v>355</v>
      </c>
    </row>
    <row r="26172" ht="16.5" customHeight="1">
      <c r="O26172" s="5" t="s">
        <v>355</v>
      </c>
      <c r="P26172" s="5" t="s">
        <v>355</v>
      </c>
      <c r="Q26172" s="5" t="s">
        <v>355</v>
      </c>
    </row>
    <row r="26173" ht="16.5" customHeight="1">
      <c r="O26173" s="5" t="s">
        <v>355</v>
      </c>
      <c r="P26173" s="5" t="s">
        <v>355</v>
      </c>
      <c r="Q26173" s="5" t="s">
        <v>355</v>
      </c>
    </row>
    <row r="26174" ht="16.5" customHeight="1">
      <c r="O26174" s="5" t="s">
        <v>355</v>
      </c>
      <c r="P26174" s="5" t="s">
        <v>355</v>
      </c>
      <c r="Q26174" s="5" t="s">
        <v>355</v>
      </c>
    </row>
    <row r="26175" ht="16.5" customHeight="1">
      <c r="O26175" s="5" t="s">
        <v>355</v>
      </c>
      <c r="P26175" s="5" t="s">
        <v>355</v>
      </c>
      <c r="Q26175" s="5" t="s">
        <v>355</v>
      </c>
    </row>
    <row r="26176" ht="16.5" customHeight="1">
      <c r="O26176" s="5" t="s">
        <v>355</v>
      </c>
      <c r="P26176" s="5" t="s">
        <v>355</v>
      </c>
      <c r="Q26176" s="5" t="s">
        <v>355</v>
      </c>
    </row>
    <row r="26177" ht="16.5" customHeight="1">
      <c r="O26177" s="5" t="s">
        <v>355</v>
      </c>
      <c r="P26177" s="5" t="s">
        <v>355</v>
      </c>
      <c r="Q26177" s="5" t="s">
        <v>355</v>
      </c>
    </row>
    <row r="26178" ht="16.5" customHeight="1">
      <c r="O26178" s="5" t="s">
        <v>355</v>
      </c>
      <c r="P26178" s="5" t="s">
        <v>355</v>
      </c>
      <c r="Q26178" s="5" t="s">
        <v>355</v>
      </c>
    </row>
    <row r="26179" ht="16.5" customHeight="1">
      <c r="O26179" s="5" t="s">
        <v>355</v>
      </c>
      <c r="P26179" s="5" t="s">
        <v>355</v>
      </c>
      <c r="Q26179" s="5" t="s">
        <v>355</v>
      </c>
    </row>
    <row r="26180" ht="16.5" customHeight="1">
      <c r="O26180" s="5" t="s">
        <v>355</v>
      </c>
      <c r="P26180" s="5" t="s">
        <v>355</v>
      </c>
      <c r="Q26180" s="5" t="s">
        <v>355</v>
      </c>
    </row>
    <row r="26181" ht="16.5" customHeight="1">
      <c r="O26181" s="5" t="s">
        <v>355</v>
      </c>
      <c r="P26181" s="5" t="s">
        <v>355</v>
      </c>
      <c r="Q26181" s="5" t="s">
        <v>355</v>
      </c>
    </row>
    <row r="26182" ht="16.5" customHeight="1">
      <c r="O26182" s="5" t="s">
        <v>355</v>
      </c>
      <c r="P26182" s="5" t="s">
        <v>355</v>
      </c>
      <c r="Q26182" s="5" t="s">
        <v>355</v>
      </c>
    </row>
    <row r="26183" ht="16.5" customHeight="1">
      <c r="O26183" s="5" t="s">
        <v>355</v>
      </c>
      <c r="P26183" s="5" t="s">
        <v>355</v>
      </c>
      <c r="Q26183" s="5" t="s">
        <v>355</v>
      </c>
    </row>
    <row r="26184" ht="16.5" customHeight="1">
      <c r="O26184" s="5" t="s">
        <v>355</v>
      </c>
      <c r="P26184" s="5" t="s">
        <v>355</v>
      </c>
      <c r="Q26184" s="5" t="s">
        <v>355</v>
      </c>
    </row>
    <row r="26185" ht="16.5" customHeight="1">
      <c r="O26185" s="5" t="s">
        <v>355</v>
      </c>
      <c r="P26185" s="5" t="s">
        <v>355</v>
      </c>
      <c r="Q26185" s="5" t="s">
        <v>355</v>
      </c>
    </row>
    <row r="26186" ht="16.5" customHeight="1">
      <c r="O26186" s="5" t="s">
        <v>355</v>
      </c>
      <c r="P26186" s="5" t="s">
        <v>355</v>
      </c>
      <c r="Q26186" s="5" t="s">
        <v>355</v>
      </c>
    </row>
    <row r="26187" ht="16.5" customHeight="1">
      <c r="O26187" s="5" t="s">
        <v>355</v>
      </c>
      <c r="P26187" s="5" t="s">
        <v>355</v>
      </c>
      <c r="Q26187" s="5" t="s">
        <v>355</v>
      </c>
    </row>
    <row r="26188" ht="16.5" customHeight="1">
      <c r="O26188" s="5" t="s">
        <v>355</v>
      </c>
      <c r="P26188" s="5" t="s">
        <v>355</v>
      </c>
      <c r="Q26188" s="5" t="s">
        <v>355</v>
      </c>
    </row>
    <row r="26189" ht="16.5" customHeight="1">
      <c r="O26189" s="5" t="s">
        <v>355</v>
      </c>
      <c r="P26189" s="5" t="s">
        <v>355</v>
      </c>
      <c r="Q26189" s="5" t="s">
        <v>355</v>
      </c>
    </row>
    <row r="26190" ht="16.5" customHeight="1">
      <c r="O26190" s="5" t="s">
        <v>355</v>
      </c>
      <c r="P26190" s="5" t="s">
        <v>355</v>
      </c>
      <c r="Q26190" s="5" t="s">
        <v>355</v>
      </c>
    </row>
    <row r="26191" ht="16.5" customHeight="1">
      <c r="O26191" s="5" t="s">
        <v>355</v>
      </c>
      <c r="P26191" s="5" t="s">
        <v>355</v>
      </c>
      <c r="Q26191" s="5" t="s">
        <v>355</v>
      </c>
    </row>
    <row r="26192" ht="16.5" customHeight="1">
      <c r="O26192" s="5" t="s">
        <v>355</v>
      </c>
      <c r="P26192" s="5" t="s">
        <v>355</v>
      </c>
      <c r="Q26192" s="5" t="s">
        <v>355</v>
      </c>
    </row>
    <row r="26193" ht="16.5" customHeight="1">
      <c r="O26193" s="5" t="s">
        <v>355</v>
      </c>
      <c r="P26193" s="5" t="s">
        <v>355</v>
      </c>
      <c r="Q26193" s="5" t="s">
        <v>355</v>
      </c>
    </row>
    <row r="26194" ht="16.5" customHeight="1">
      <c r="O26194" s="5" t="s">
        <v>355</v>
      </c>
      <c r="P26194" s="5" t="s">
        <v>355</v>
      </c>
      <c r="Q26194" s="5" t="s">
        <v>355</v>
      </c>
    </row>
    <row r="26195" ht="16.5" customHeight="1">
      <c r="O26195" s="5" t="s">
        <v>355</v>
      </c>
      <c r="P26195" s="5" t="s">
        <v>355</v>
      </c>
      <c r="Q26195" s="5" t="s">
        <v>355</v>
      </c>
    </row>
    <row r="26196" ht="16.5" customHeight="1">
      <c r="O26196" s="5" t="s">
        <v>355</v>
      </c>
      <c r="P26196" s="5" t="s">
        <v>355</v>
      </c>
      <c r="Q26196" s="5" t="s">
        <v>355</v>
      </c>
    </row>
    <row r="26197" ht="16.5" customHeight="1">
      <c r="O26197" s="5" t="s">
        <v>355</v>
      </c>
      <c r="P26197" s="5" t="s">
        <v>355</v>
      </c>
      <c r="Q26197" s="5" t="s">
        <v>355</v>
      </c>
    </row>
    <row r="26198" ht="16.5" customHeight="1">
      <c r="O26198" s="5" t="s">
        <v>355</v>
      </c>
      <c r="P26198" s="5" t="s">
        <v>355</v>
      </c>
      <c r="Q26198" s="5" t="s">
        <v>355</v>
      </c>
    </row>
    <row r="26199" ht="16.5" customHeight="1">
      <c r="O26199" s="5" t="s">
        <v>355</v>
      </c>
      <c r="P26199" s="5" t="s">
        <v>355</v>
      </c>
      <c r="Q26199" s="5" t="s">
        <v>355</v>
      </c>
    </row>
    <row r="26200" ht="16.5" customHeight="1">
      <c r="O26200" s="5" t="s">
        <v>355</v>
      </c>
      <c r="P26200" s="5" t="s">
        <v>355</v>
      </c>
      <c r="Q26200" s="5" t="s">
        <v>355</v>
      </c>
    </row>
    <row r="26201" ht="16.5" customHeight="1">
      <c r="O26201" s="5" t="s">
        <v>355</v>
      </c>
      <c r="P26201" s="5" t="s">
        <v>355</v>
      </c>
      <c r="Q26201" s="5" t="s">
        <v>355</v>
      </c>
    </row>
    <row r="26202" ht="16.5" customHeight="1">
      <c r="O26202" s="5" t="s">
        <v>355</v>
      </c>
      <c r="P26202" s="5" t="s">
        <v>355</v>
      </c>
      <c r="Q26202" s="5" t="s">
        <v>355</v>
      </c>
    </row>
    <row r="26203" ht="16.5" customHeight="1">
      <c r="O26203" s="5" t="s">
        <v>355</v>
      </c>
      <c r="P26203" s="5" t="s">
        <v>355</v>
      </c>
      <c r="Q26203" s="5" t="s">
        <v>355</v>
      </c>
    </row>
    <row r="26204" ht="16.5" customHeight="1">
      <c r="O26204" s="5" t="s">
        <v>355</v>
      </c>
      <c r="P26204" s="5" t="s">
        <v>355</v>
      </c>
      <c r="Q26204" s="5" t="s">
        <v>355</v>
      </c>
    </row>
    <row r="26205" ht="16.5" customHeight="1">
      <c r="O26205" s="5" t="s">
        <v>355</v>
      </c>
      <c r="P26205" s="5" t="s">
        <v>355</v>
      </c>
      <c r="Q26205" s="5" t="s">
        <v>355</v>
      </c>
    </row>
    <row r="26206" ht="16.5" customHeight="1">
      <c r="O26206" s="5" t="s">
        <v>355</v>
      </c>
      <c r="P26206" s="5" t="s">
        <v>355</v>
      </c>
      <c r="Q26206" s="5" t="s">
        <v>355</v>
      </c>
    </row>
    <row r="26207" ht="16.5" customHeight="1">
      <c r="O26207" s="5" t="s">
        <v>355</v>
      </c>
      <c r="P26207" s="5" t="s">
        <v>355</v>
      </c>
      <c r="Q26207" s="5" t="s">
        <v>355</v>
      </c>
    </row>
    <row r="26208" ht="16.5" customHeight="1">
      <c r="O26208" s="5" t="s">
        <v>355</v>
      </c>
      <c r="P26208" s="5" t="s">
        <v>355</v>
      </c>
      <c r="Q26208" s="5" t="s">
        <v>355</v>
      </c>
    </row>
    <row r="26209" ht="16.5" customHeight="1">
      <c r="O26209" s="5" t="s">
        <v>355</v>
      </c>
      <c r="P26209" s="5" t="s">
        <v>355</v>
      </c>
      <c r="Q26209" s="5" t="s">
        <v>355</v>
      </c>
    </row>
    <row r="26210" ht="16.5" customHeight="1">
      <c r="O26210" s="5" t="s">
        <v>355</v>
      </c>
      <c r="P26210" s="5" t="s">
        <v>355</v>
      </c>
      <c r="Q26210" s="5" t="s">
        <v>355</v>
      </c>
    </row>
    <row r="26211" ht="16.5" customHeight="1">
      <c r="O26211" s="5" t="s">
        <v>355</v>
      </c>
      <c r="P26211" s="5" t="s">
        <v>355</v>
      </c>
      <c r="Q26211" s="5" t="s">
        <v>355</v>
      </c>
    </row>
    <row r="26212" ht="16.5" customHeight="1">
      <c r="O26212" s="5" t="s">
        <v>355</v>
      </c>
      <c r="P26212" s="5" t="s">
        <v>355</v>
      </c>
      <c r="Q26212" s="5" t="s">
        <v>355</v>
      </c>
    </row>
    <row r="26213" ht="16.5" customHeight="1">
      <c r="O26213" s="5" t="s">
        <v>355</v>
      </c>
      <c r="P26213" s="5" t="s">
        <v>355</v>
      </c>
      <c r="Q26213" s="5" t="s">
        <v>355</v>
      </c>
    </row>
    <row r="26214" ht="16.5" customHeight="1">
      <c r="O26214" s="5" t="s">
        <v>355</v>
      </c>
      <c r="P26214" s="5" t="s">
        <v>355</v>
      </c>
      <c r="Q26214" s="5" t="s">
        <v>355</v>
      </c>
    </row>
    <row r="26215" ht="16.5" customHeight="1">
      <c r="O26215" s="5" t="s">
        <v>355</v>
      </c>
      <c r="P26215" s="5" t="s">
        <v>355</v>
      </c>
      <c r="Q26215" s="5" t="s">
        <v>355</v>
      </c>
    </row>
    <row r="26216" ht="16.5" customHeight="1">
      <c r="O26216" s="5" t="s">
        <v>355</v>
      </c>
      <c r="P26216" s="5" t="s">
        <v>355</v>
      </c>
      <c r="Q26216" s="5" t="s">
        <v>355</v>
      </c>
    </row>
    <row r="26217" ht="16.5" customHeight="1">
      <c r="O26217" s="5" t="s">
        <v>355</v>
      </c>
      <c r="P26217" s="5" t="s">
        <v>355</v>
      </c>
      <c r="Q26217" s="5" t="s">
        <v>355</v>
      </c>
    </row>
    <row r="26218" ht="16.5" customHeight="1">
      <c r="O26218" s="5" t="s">
        <v>355</v>
      </c>
      <c r="P26218" s="5" t="s">
        <v>355</v>
      </c>
      <c r="Q26218" s="5" t="s">
        <v>355</v>
      </c>
    </row>
    <row r="26219" ht="16.5" customHeight="1">
      <c r="O26219" s="5" t="s">
        <v>355</v>
      </c>
      <c r="P26219" s="5" t="s">
        <v>355</v>
      </c>
      <c r="Q26219" s="5" t="s">
        <v>355</v>
      </c>
    </row>
    <row r="26220" ht="16.5" customHeight="1">
      <c r="O26220" s="5" t="s">
        <v>355</v>
      </c>
      <c r="P26220" s="5" t="s">
        <v>355</v>
      </c>
      <c r="Q26220" s="5" t="s">
        <v>355</v>
      </c>
    </row>
    <row r="26221" ht="16.5" customHeight="1">
      <c r="O26221" s="5" t="s">
        <v>355</v>
      </c>
      <c r="P26221" s="5" t="s">
        <v>355</v>
      </c>
      <c r="Q26221" s="5" t="s">
        <v>355</v>
      </c>
    </row>
    <row r="26222" ht="16.5" customHeight="1">
      <c r="O26222" s="5" t="s">
        <v>355</v>
      </c>
      <c r="P26222" s="5" t="s">
        <v>355</v>
      </c>
      <c r="Q26222" s="5" t="s">
        <v>355</v>
      </c>
    </row>
    <row r="26223" ht="16.5" customHeight="1">
      <c r="O26223" s="5" t="s">
        <v>355</v>
      </c>
      <c r="P26223" s="5" t="s">
        <v>355</v>
      </c>
      <c r="Q26223" s="5" t="s">
        <v>355</v>
      </c>
    </row>
    <row r="26224" ht="16.5" customHeight="1">
      <c r="O26224" s="5" t="s">
        <v>355</v>
      </c>
      <c r="P26224" s="5" t="s">
        <v>355</v>
      </c>
      <c r="Q26224" s="5" t="s">
        <v>355</v>
      </c>
    </row>
    <row r="26225" ht="16.5" customHeight="1">
      <c r="O26225" s="5" t="s">
        <v>355</v>
      </c>
      <c r="P26225" s="5" t="s">
        <v>355</v>
      </c>
      <c r="Q26225" s="5" t="s">
        <v>355</v>
      </c>
    </row>
    <row r="26226" ht="16.5" customHeight="1">
      <c r="O26226" s="5" t="s">
        <v>355</v>
      </c>
      <c r="P26226" s="5" t="s">
        <v>355</v>
      </c>
      <c r="Q26226" s="5" t="s">
        <v>355</v>
      </c>
    </row>
    <row r="26227" ht="16.5" customHeight="1">
      <c r="O26227" s="5" t="s">
        <v>355</v>
      </c>
      <c r="P26227" s="5" t="s">
        <v>355</v>
      </c>
      <c r="Q26227" s="5" t="s">
        <v>355</v>
      </c>
    </row>
    <row r="26228" ht="16.5" customHeight="1">
      <c r="O26228" s="5" t="s">
        <v>355</v>
      </c>
      <c r="P26228" s="5" t="s">
        <v>355</v>
      </c>
      <c r="Q26228" s="5" t="s">
        <v>355</v>
      </c>
    </row>
    <row r="26229" ht="16.5" customHeight="1">
      <c r="O26229" s="5" t="s">
        <v>355</v>
      </c>
      <c r="P26229" s="5" t="s">
        <v>355</v>
      </c>
      <c r="Q26229" s="5" t="s">
        <v>355</v>
      </c>
    </row>
    <row r="26230" ht="16.5" customHeight="1">
      <c r="O26230" s="5" t="s">
        <v>355</v>
      </c>
      <c r="P26230" s="5" t="s">
        <v>355</v>
      </c>
      <c r="Q26230" s="5" t="s">
        <v>355</v>
      </c>
    </row>
    <row r="26231" ht="16.5" customHeight="1">
      <c r="O26231" s="5" t="s">
        <v>355</v>
      </c>
      <c r="P26231" s="5" t="s">
        <v>355</v>
      </c>
      <c r="Q26231" s="5" t="s">
        <v>355</v>
      </c>
    </row>
    <row r="26232" ht="16.5" customHeight="1">
      <c r="O26232" s="5" t="s">
        <v>355</v>
      </c>
      <c r="P26232" s="5" t="s">
        <v>355</v>
      </c>
      <c r="Q26232" s="5" t="s">
        <v>355</v>
      </c>
    </row>
    <row r="26233" ht="16.5" customHeight="1">
      <c r="O26233" s="5" t="s">
        <v>355</v>
      </c>
      <c r="P26233" s="5" t="s">
        <v>355</v>
      </c>
      <c r="Q26233" s="5" t="s">
        <v>355</v>
      </c>
    </row>
    <row r="26234" ht="16.5" customHeight="1">
      <c r="O26234" s="5" t="s">
        <v>355</v>
      </c>
      <c r="P26234" s="5" t="s">
        <v>355</v>
      </c>
      <c r="Q26234" s="5" t="s">
        <v>355</v>
      </c>
    </row>
    <row r="26235" ht="16.5" customHeight="1">
      <c r="O26235" s="5" t="s">
        <v>355</v>
      </c>
      <c r="P26235" s="5" t="s">
        <v>355</v>
      </c>
      <c r="Q26235" s="5" t="s">
        <v>355</v>
      </c>
    </row>
    <row r="26236" ht="16.5" customHeight="1">
      <c r="O26236" s="5" t="s">
        <v>355</v>
      </c>
      <c r="P26236" s="5" t="s">
        <v>355</v>
      </c>
      <c r="Q26236" s="5" t="s">
        <v>355</v>
      </c>
    </row>
    <row r="26237" ht="16.5" customHeight="1">
      <c r="O26237" s="5" t="s">
        <v>355</v>
      </c>
      <c r="P26237" s="5" t="s">
        <v>355</v>
      </c>
      <c r="Q26237" s="5" t="s">
        <v>355</v>
      </c>
    </row>
    <row r="26238" ht="16.5" customHeight="1">
      <c r="O26238" s="5" t="s">
        <v>355</v>
      </c>
      <c r="P26238" s="5" t="s">
        <v>355</v>
      </c>
      <c r="Q26238" s="5" t="s">
        <v>355</v>
      </c>
    </row>
    <row r="26239" ht="16.5" customHeight="1">
      <c r="O26239" s="5" t="s">
        <v>355</v>
      </c>
      <c r="P26239" s="5" t="s">
        <v>355</v>
      </c>
      <c r="Q26239" s="5" t="s">
        <v>355</v>
      </c>
    </row>
    <row r="26240" ht="16.5" customHeight="1">
      <c r="O26240" s="5" t="s">
        <v>355</v>
      </c>
      <c r="P26240" s="5" t="s">
        <v>355</v>
      </c>
      <c r="Q26240" s="5" t="s">
        <v>355</v>
      </c>
    </row>
    <row r="26241" ht="16.5" customHeight="1">
      <c r="O26241" s="5" t="s">
        <v>355</v>
      </c>
      <c r="P26241" s="5" t="s">
        <v>355</v>
      </c>
      <c r="Q26241" s="5" t="s">
        <v>355</v>
      </c>
    </row>
    <row r="26242" ht="16.5" customHeight="1">
      <c r="O26242" s="5" t="s">
        <v>355</v>
      </c>
      <c r="P26242" s="5" t="s">
        <v>355</v>
      </c>
      <c r="Q26242" s="5" t="s">
        <v>355</v>
      </c>
    </row>
    <row r="26243" ht="16.5" customHeight="1">
      <c r="O26243" s="5" t="s">
        <v>355</v>
      </c>
      <c r="P26243" s="5" t="s">
        <v>355</v>
      </c>
      <c r="Q26243" s="5" t="s">
        <v>355</v>
      </c>
    </row>
    <row r="26244" ht="16.5" customHeight="1">
      <c r="O26244" s="5" t="s">
        <v>355</v>
      </c>
      <c r="P26244" s="5" t="s">
        <v>355</v>
      </c>
      <c r="Q26244" s="5" t="s">
        <v>355</v>
      </c>
    </row>
    <row r="26245" ht="16.5" customHeight="1">
      <c r="O26245" s="5" t="s">
        <v>355</v>
      </c>
      <c r="P26245" s="5" t="s">
        <v>355</v>
      </c>
      <c r="Q26245" s="5" t="s">
        <v>355</v>
      </c>
    </row>
    <row r="26246" ht="16.5" customHeight="1">
      <c r="O26246" s="5" t="s">
        <v>355</v>
      </c>
      <c r="P26246" s="5" t="s">
        <v>355</v>
      </c>
      <c r="Q26246" s="5" t="s">
        <v>355</v>
      </c>
    </row>
    <row r="26247" ht="16.5" customHeight="1">
      <c r="O26247" s="5" t="s">
        <v>355</v>
      </c>
      <c r="P26247" s="5" t="s">
        <v>355</v>
      </c>
      <c r="Q26247" s="5" t="s">
        <v>355</v>
      </c>
    </row>
    <row r="26248" ht="16.5" customHeight="1">
      <c r="O26248" s="5" t="s">
        <v>355</v>
      </c>
      <c r="P26248" s="5" t="s">
        <v>355</v>
      </c>
      <c r="Q26248" s="5" t="s">
        <v>355</v>
      </c>
    </row>
    <row r="26249" ht="16.5" customHeight="1">
      <c r="O26249" s="5" t="s">
        <v>355</v>
      </c>
      <c r="P26249" s="5" t="s">
        <v>355</v>
      </c>
      <c r="Q26249" s="5" t="s">
        <v>355</v>
      </c>
    </row>
    <row r="26250" ht="16.5" customHeight="1">
      <c r="O26250" s="5" t="s">
        <v>355</v>
      </c>
      <c r="P26250" s="5" t="s">
        <v>355</v>
      </c>
      <c r="Q26250" s="5" t="s">
        <v>355</v>
      </c>
    </row>
    <row r="26251" ht="16.5" customHeight="1">
      <c r="O26251" s="5" t="s">
        <v>355</v>
      </c>
      <c r="P26251" s="5" t="s">
        <v>355</v>
      </c>
      <c r="Q26251" s="5" t="s">
        <v>355</v>
      </c>
    </row>
    <row r="26252" ht="16.5" customHeight="1">
      <c r="O26252" s="5" t="s">
        <v>355</v>
      </c>
      <c r="P26252" s="5" t="s">
        <v>355</v>
      </c>
      <c r="Q26252" s="5" t="s">
        <v>355</v>
      </c>
    </row>
    <row r="26253" ht="16.5" customHeight="1">
      <c r="O26253" s="5" t="s">
        <v>355</v>
      </c>
      <c r="P26253" s="5" t="s">
        <v>355</v>
      </c>
      <c r="Q26253" s="5" t="s">
        <v>355</v>
      </c>
    </row>
    <row r="26254" ht="16.5" customHeight="1">
      <c r="O26254" s="5" t="s">
        <v>355</v>
      </c>
      <c r="P26254" s="5" t="s">
        <v>355</v>
      </c>
      <c r="Q26254" s="5" t="s">
        <v>355</v>
      </c>
    </row>
    <row r="26255" ht="16.5" customHeight="1">
      <c r="O26255" s="5" t="s">
        <v>355</v>
      </c>
      <c r="P26255" s="5" t="s">
        <v>355</v>
      </c>
      <c r="Q26255" s="5" t="s">
        <v>355</v>
      </c>
    </row>
    <row r="26256" ht="16.5" customHeight="1">
      <c r="O26256" s="5" t="s">
        <v>355</v>
      </c>
      <c r="P26256" s="5" t="s">
        <v>355</v>
      </c>
      <c r="Q26256" s="5" t="s">
        <v>355</v>
      </c>
    </row>
    <row r="26257" ht="16.5" customHeight="1">
      <c r="O26257" s="5" t="s">
        <v>355</v>
      </c>
      <c r="P26257" s="5" t="s">
        <v>355</v>
      </c>
      <c r="Q26257" s="5" t="s">
        <v>355</v>
      </c>
    </row>
    <row r="26258" ht="16.5" customHeight="1">
      <c r="O26258" s="5" t="s">
        <v>355</v>
      </c>
      <c r="P26258" s="5" t="s">
        <v>355</v>
      </c>
      <c r="Q26258" s="5" t="s">
        <v>355</v>
      </c>
    </row>
    <row r="26259" ht="16.5" customHeight="1">
      <c r="O26259" s="5" t="s">
        <v>355</v>
      </c>
      <c r="P26259" s="5" t="s">
        <v>355</v>
      </c>
      <c r="Q26259" s="5" t="s">
        <v>355</v>
      </c>
    </row>
    <row r="26260" ht="16.5" customHeight="1">
      <c r="O26260" s="5" t="s">
        <v>355</v>
      </c>
      <c r="P26260" s="5" t="s">
        <v>355</v>
      </c>
      <c r="Q26260" s="5" t="s">
        <v>355</v>
      </c>
    </row>
    <row r="26261" ht="16.5" customHeight="1">
      <c r="O26261" s="5" t="s">
        <v>355</v>
      </c>
      <c r="P26261" s="5" t="s">
        <v>355</v>
      </c>
      <c r="Q26261" s="5" t="s">
        <v>355</v>
      </c>
    </row>
    <row r="26262" ht="16.5" customHeight="1">
      <c r="O26262" s="5" t="s">
        <v>355</v>
      </c>
      <c r="P26262" s="5" t="s">
        <v>355</v>
      </c>
      <c r="Q26262" s="5" t="s">
        <v>355</v>
      </c>
    </row>
    <row r="26263" ht="16.5" customHeight="1">
      <c r="O26263" s="5" t="s">
        <v>355</v>
      </c>
      <c r="P26263" s="5" t="s">
        <v>355</v>
      </c>
      <c r="Q26263" s="5" t="s">
        <v>355</v>
      </c>
    </row>
    <row r="26264" ht="16.5" customHeight="1">
      <c r="O26264" s="5" t="s">
        <v>355</v>
      </c>
      <c r="P26264" s="5" t="s">
        <v>355</v>
      </c>
      <c r="Q26264" s="5" t="s">
        <v>355</v>
      </c>
    </row>
    <row r="26265" ht="16.5" customHeight="1">
      <c r="O26265" s="5" t="s">
        <v>355</v>
      </c>
      <c r="P26265" s="5" t="s">
        <v>355</v>
      </c>
      <c r="Q26265" s="5" t="s">
        <v>355</v>
      </c>
    </row>
    <row r="26266" ht="16.5" customHeight="1">
      <c r="O26266" s="5" t="s">
        <v>355</v>
      </c>
      <c r="P26266" s="5" t="s">
        <v>355</v>
      </c>
      <c r="Q26266" s="5" t="s">
        <v>355</v>
      </c>
    </row>
    <row r="26267" ht="16.5" customHeight="1">
      <c r="O26267" s="5" t="s">
        <v>355</v>
      </c>
      <c r="P26267" s="5" t="s">
        <v>355</v>
      </c>
      <c r="Q26267" s="5" t="s">
        <v>355</v>
      </c>
    </row>
    <row r="26268" ht="16.5" customHeight="1">
      <c r="O26268" s="5" t="s">
        <v>355</v>
      </c>
      <c r="P26268" s="5" t="s">
        <v>355</v>
      </c>
      <c r="Q26268" s="5" t="s">
        <v>355</v>
      </c>
    </row>
    <row r="26269" ht="16.5" customHeight="1">
      <c r="O26269" s="5" t="s">
        <v>355</v>
      </c>
      <c r="P26269" s="5" t="s">
        <v>355</v>
      </c>
      <c r="Q26269" s="5" t="s">
        <v>355</v>
      </c>
    </row>
    <row r="26270" ht="16.5" customHeight="1">
      <c r="O26270" s="5" t="s">
        <v>355</v>
      </c>
      <c r="P26270" s="5" t="s">
        <v>355</v>
      </c>
      <c r="Q26270" s="5" t="s">
        <v>355</v>
      </c>
    </row>
    <row r="26271" ht="16.5" customHeight="1">
      <c r="O26271" s="5" t="s">
        <v>355</v>
      </c>
      <c r="P26271" s="5" t="s">
        <v>355</v>
      </c>
      <c r="Q26271" s="5" t="s">
        <v>355</v>
      </c>
    </row>
    <row r="26272" ht="16.5" customHeight="1">
      <c r="O26272" s="5" t="s">
        <v>355</v>
      </c>
      <c r="P26272" s="5" t="s">
        <v>355</v>
      </c>
      <c r="Q26272" s="5" t="s">
        <v>355</v>
      </c>
    </row>
    <row r="26273" ht="16.5" customHeight="1">
      <c r="O26273" s="5" t="s">
        <v>355</v>
      </c>
      <c r="P26273" s="5" t="s">
        <v>355</v>
      </c>
      <c r="Q26273" s="5" t="s">
        <v>355</v>
      </c>
    </row>
    <row r="26274" ht="16.5" customHeight="1">
      <c r="O26274" s="5" t="s">
        <v>355</v>
      </c>
      <c r="P26274" s="5" t="s">
        <v>355</v>
      </c>
      <c r="Q26274" s="5" t="s">
        <v>355</v>
      </c>
    </row>
    <row r="26275" ht="16.5" customHeight="1">
      <c r="O26275" s="5" t="s">
        <v>355</v>
      </c>
      <c r="P26275" s="5" t="s">
        <v>355</v>
      </c>
      <c r="Q26275" s="5" t="s">
        <v>355</v>
      </c>
    </row>
    <row r="26276" ht="16.5" customHeight="1">
      <c r="O26276" s="5" t="s">
        <v>355</v>
      </c>
      <c r="P26276" s="5" t="s">
        <v>355</v>
      </c>
      <c r="Q26276" s="5" t="s">
        <v>355</v>
      </c>
    </row>
    <row r="26277" ht="16.5" customHeight="1">
      <c r="O26277" s="5" t="s">
        <v>355</v>
      </c>
      <c r="P26277" s="5" t="s">
        <v>355</v>
      </c>
      <c r="Q26277" s="5" t="s">
        <v>355</v>
      </c>
    </row>
    <row r="26278" ht="16.5" customHeight="1">
      <c r="O26278" s="5" t="s">
        <v>355</v>
      </c>
      <c r="P26278" s="5" t="s">
        <v>355</v>
      </c>
      <c r="Q26278" s="5" t="s">
        <v>355</v>
      </c>
    </row>
    <row r="26279" ht="16.5" customHeight="1">
      <c r="O26279" s="5" t="s">
        <v>355</v>
      </c>
      <c r="P26279" s="5" t="s">
        <v>355</v>
      </c>
      <c r="Q26279" s="5" t="s">
        <v>355</v>
      </c>
    </row>
    <row r="26280" ht="16.5" customHeight="1">
      <c r="O26280" s="5" t="s">
        <v>355</v>
      </c>
      <c r="P26280" s="5" t="s">
        <v>355</v>
      </c>
      <c r="Q26280" s="5" t="s">
        <v>355</v>
      </c>
    </row>
    <row r="26281" ht="16.5" customHeight="1">
      <c r="O26281" s="5" t="s">
        <v>355</v>
      </c>
      <c r="P26281" s="5" t="s">
        <v>355</v>
      </c>
      <c r="Q26281" s="5" t="s">
        <v>355</v>
      </c>
    </row>
    <row r="26282" ht="16.5" customHeight="1">
      <c r="O26282" s="5" t="s">
        <v>355</v>
      </c>
      <c r="P26282" s="5" t="s">
        <v>355</v>
      </c>
      <c r="Q26282" s="5" t="s">
        <v>355</v>
      </c>
    </row>
    <row r="26283" ht="16.5" customHeight="1">
      <c r="O26283" s="5" t="s">
        <v>355</v>
      </c>
      <c r="P26283" s="5" t="s">
        <v>355</v>
      </c>
      <c r="Q26283" s="5" t="s">
        <v>355</v>
      </c>
    </row>
    <row r="26284" ht="16.5" customHeight="1">
      <c r="O26284" s="5" t="s">
        <v>355</v>
      </c>
      <c r="P26284" s="5" t="s">
        <v>355</v>
      </c>
      <c r="Q26284" s="5" t="s">
        <v>355</v>
      </c>
    </row>
    <row r="26285" ht="16.5" customHeight="1">
      <c r="O26285" s="5" t="s">
        <v>355</v>
      </c>
      <c r="P26285" s="5" t="s">
        <v>355</v>
      </c>
      <c r="Q26285" s="5" t="s">
        <v>355</v>
      </c>
    </row>
    <row r="26286" ht="16.5" customHeight="1">
      <c r="O26286" s="5" t="s">
        <v>355</v>
      </c>
      <c r="P26286" s="5" t="s">
        <v>355</v>
      </c>
      <c r="Q26286" s="5" t="s">
        <v>355</v>
      </c>
    </row>
    <row r="26287" ht="16.5" customHeight="1">
      <c r="O26287" s="5" t="s">
        <v>355</v>
      </c>
      <c r="P26287" s="5" t="s">
        <v>355</v>
      </c>
      <c r="Q26287" s="5" t="s">
        <v>355</v>
      </c>
    </row>
    <row r="26288" ht="16.5" customHeight="1">
      <c r="O26288" s="5" t="s">
        <v>355</v>
      </c>
      <c r="P26288" s="5" t="s">
        <v>355</v>
      </c>
      <c r="Q26288" s="5" t="s">
        <v>355</v>
      </c>
    </row>
    <row r="26289" ht="16.5" customHeight="1">
      <c r="O26289" s="5" t="s">
        <v>355</v>
      </c>
      <c r="P26289" s="5" t="s">
        <v>355</v>
      </c>
      <c r="Q26289" s="5" t="s">
        <v>355</v>
      </c>
    </row>
    <row r="26290" ht="16.5" customHeight="1">
      <c r="O26290" s="5" t="s">
        <v>355</v>
      </c>
      <c r="P26290" s="5" t="s">
        <v>355</v>
      </c>
      <c r="Q26290" s="5" t="s">
        <v>355</v>
      </c>
    </row>
    <row r="26291" ht="16.5" customHeight="1">
      <c r="O26291" s="5" t="s">
        <v>355</v>
      </c>
      <c r="P26291" s="5" t="s">
        <v>355</v>
      </c>
      <c r="Q26291" s="5" t="s">
        <v>355</v>
      </c>
    </row>
    <row r="26292" ht="16.5" customHeight="1">
      <c r="O26292" s="5" t="s">
        <v>355</v>
      </c>
      <c r="P26292" s="5" t="s">
        <v>355</v>
      </c>
      <c r="Q26292" s="5" t="s">
        <v>355</v>
      </c>
    </row>
    <row r="26293" ht="16.5" customHeight="1">
      <c r="O26293" s="5" t="s">
        <v>355</v>
      </c>
      <c r="P26293" s="5" t="s">
        <v>355</v>
      </c>
      <c r="Q26293" s="5" t="s">
        <v>355</v>
      </c>
    </row>
    <row r="26294" ht="16.5" customHeight="1">
      <c r="O26294" s="5" t="s">
        <v>355</v>
      </c>
      <c r="P26294" s="5" t="s">
        <v>355</v>
      </c>
      <c r="Q26294" s="5" t="s">
        <v>355</v>
      </c>
    </row>
    <row r="26295" ht="16.5" customHeight="1">
      <c r="O26295" s="5" t="s">
        <v>355</v>
      </c>
      <c r="P26295" s="5" t="s">
        <v>355</v>
      </c>
      <c r="Q26295" s="5" t="s">
        <v>355</v>
      </c>
    </row>
    <row r="26296" ht="16.5" customHeight="1">
      <c r="O26296" s="5" t="s">
        <v>355</v>
      </c>
      <c r="P26296" s="5" t="s">
        <v>355</v>
      </c>
      <c r="Q26296" s="5" t="s">
        <v>355</v>
      </c>
    </row>
    <row r="26297" ht="16.5" customHeight="1">
      <c r="O26297" s="5" t="s">
        <v>355</v>
      </c>
      <c r="P26297" s="5" t="s">
        <v>355</v>
      </c>
      <c r="Q26297" s="5" t="s">
        <v>355</v>
      </c>
    </row>
    <row r="26298" ht="16.5" customHeight="1">
      <c r="O26298" s="5" t="s">
        <v>355</v>
      </c>
      <c r="P26298" s="5" t="s">
        <v>355</v>
      </c>
      <c r="Q26298" s="5" t="s">
        <v>355</v>
      </c>
    </row>
    <row r="26299" ht="16.5" customHeight="1">
      <c r="O26299" s="5" t="s">
        <v>355</v>
      </c>
      <c r="P26299" s="5" t="s">
        <v>355</v>
      </c>
      <c r="Q26299" s="5" t="s">
        <v>355</v>
      </c>
    </row>
    <row r="26300" ht="16.5" customHeight="1">
      <c r="O26300" s="5" t="s">
        <v>355</v>
      </c>
      <c r="P26300" s="5" t="s">
        <v>355</v>
      </c>
      <c r="Q26300" s="5" t="s">
        <v>355</v>
      </c>
    </row>
    <row r="26301" ht="16.5" customHeight="1">
      <c r="O26301" s="5" t="s">
        <v>355</v>
      </c>
      <c r="P26301" s="5" t="s">
        <v>355</v>
      </c>
      <c r="Q26301" s="5" t="s">
        <v>355</v>
      </c>
    </row>
    <row r="26302" ht="16.5" customHeight="1">
      <c r="O26302" s="5" t="s">
        <v>355</v>
      </c>
      <c r="P26302" s="5" t="s">
        <v>355</v>
      </c>
      <c r="Q26302" s="5" t="s">
        <v>355</v>
      </c>
    </row>
    <row r="26303" ht="16.5" customHeight="1">
      <c r="O26303" s="5" t="s">
        <v>355</v>
      </c>
      <c r="P26303" s="5" t="s">
        <v>355</v>
      </c>
      <c r="Q26303" s="5" t="s">
        <v>355</v>
      </c>
    </row>
    <row r="26304" ht="16.5" customHeight="1">
      <c r="O26304" s="5" t="s">
        <v>355</v>
      </c>
      <c r="P26304" s="5" t="s">
        <v>355</v>
      </c>
      <c r="Q26304" s="5" t="s">
        <v>355</v>
      </c>
    </row>
    <row r="26305" ht="16.5" customHeight="1">
      <c r="O26305" s="5" t="s">
        <v>355</v>
      </c>
      <c r="P26305" s="5" t="s">
        <v>355</v>
      </c>
      <c r="Q26305" s="5" t="s">
        <v>355</v>
      </c>
    </row>
    <row r="26306" ht="16.5" customHeight="1">
      <c r="O26306" s="5" t="s">
        <v>355</v>
      </c>
      <c r="P26306" s="5" t="s">
        <v>355</v>
      </c>
      <c r="Q26306" s="5" t="s">
        <v>355</v>
      </c>
    </row>
    <row r="26307" ht="16.5" customHeight="1">
      <c r="O26307" s="5" t="s">
        <v>355</v>
      </c>
      <c r="P26307" s="5" t="s">
        <v>355</v>
      </c>
      <c r="Q26307" s="5" t="s">
        <v>355</v>
      </c>
    </row>
    <row r="26308" ht="16.5" customHeight="1">
      <c r="O26308" s="5" t="s">
        <v>355</v>
      </c>
      <c r="P26308" s="5" t="s">
        <v>355</v>
      </c>
      <c r="Q26308" s="5" t="s">
        <v>355</v>
      </c>
    </row>
    <row r="26309" ht="16.5" customHeight="1">
      <c r="O26309" s="5" t="s">
        <v>355</v>
      </c>
      <c r="P26309" s="5" t="s">
        <v>355</v>
      </c>
      <c r="Q26309" s="5" t="s">
        <v>355</v>
      </c>
    </row>
    <row r="26310" ht="16.5" customHeight="1">
      <c r="O26310" s="5" t="s">
        <v>355</v>
      </c>
      <c r="P26310" s="5" t="s">
        <v>355</v>
      </c>
      <c r="Q26310" s="5" t="s">
        <v>355</v>
      </c>
    </row>
    <row r="26311" ht="16.5" customHeight="1">
      <c r="O26311" s="5" t="s">
        <v>355</v>
      </c>
      <c r="P26311" s="5" t="s">
        <v>355</v>
      </c>
      <c r="Q26311" s="5" t="s">
        <v>355</v>
      </c>
    </row>
    <row r="26312" ht="16.5" customHeight="1">
      <c r="O26312" s="5" t="s">
        <v>355</v>
      </c>
      <c r="P26312" s="5" t="s">
        <v>355</v>
      </c>
      <c r="Q26312" s="5" t="s">
        <v>355</v>
      </c>
    </row>
    <row r="26313" ht="16.5" customHeight="1">
      <c r="O26313" s="5" t="s">
        <v>355</v>
      </c>
      <c r="P26313" s="5" t="s">
        <v>355</v>
      </c>
      <c r="Q26313" s="5" t="s">
        <v>355</v>
      </c>
    </row>
    <row r="26314" ht="16.5" customHeight="1">
      <c r="O26314" s="5" t="s">
        <v>355</v>
      </c>
      <c r="P26314" s="5" t="s">
        <v>355</v>
      </c>
      <c r="Q26314" s="5" t="s">
        <v>355</v>
      </c>
    </row>
    <row r="26315" ht="16.5" customHeight="1">
      <c r="O26315" s="5" t="s">
        <v>355</v>
      </c>
      <c r="P26315" s="5" t="s">
        <v>355</v>
      </c>
      <c r="Q26315" s="5" t="s">
        <v>355</v>
      </c>
    </row>
    <row r="26316" ht="16.5" customHeight="1">
      <c r="O26316" s="5" t="s">
        <v>355</v>
      </c>
      <c r="P26316" s="5" t="s">
        <v>355</v>
      </c>
      <c r="Q26316" s="5" t="s">
        <v>355</v>
      </c>
    </row>
    <row r="26317" ht="16.5" customHeight="1">
      <c r="O26317" s="5" t="s">
        <v>355</v>
      </c>
      <c r="P26317" s="5" t="s">
        <v>355</v>
      </c>
      <c r="Q26317" s="5" t="s">
        <v>355</v>
      </c>
    </row>
    <row r="26318" ht="16.5" customHeight="1">
      <c r="O26318" s="5" t="s">
        <v>355</v>
      </c>
      <c r="P26318" s="5" t="s">
        <v>355</v>
      </c>
      <c r="Q26318" s="5" t="s">
        <v>355</v>
      </c>
    </row>
    <row r="26319" ht="16.5" customHeight="1">
      <c r="O26319" s="5" t="s">
        <v>355</v>
      </c>
      <c r="P26319" s="5" t="s">
        <v>355</v>
      </c>
      <c r="Q26319" s="5" t="s">
        <v>355</v>
      </c>
    </row>
    <row r="26320" ht="16.5" customHeight="1">
      <c r="O26320" s="5" t="s">
        <v>355</v>
      </c>
      <c r="P26320" s="5" t="s">
        <v>355</v>
      </c>
      <c r="Q26320" s="5" t="s">
        <v>355</v>
      </c>
    </row>
    <row r="26321" ht="16.5" customHeight="1">
      <c r="O26321" s="5" t="s">
        <v>355</v>
      </c>
      <c r="P26321" s="5" t="s">
        <v>355</v>
      </c>
      <c r="Q26321" s="5" t="s">
        <v>355</v>
      </c>
    </row>
    <row r="26322" ht="16.5" customHeight="1">
      <c r="O26322" s="5" t="s">
        <v>355</v>
      </c>
      <c r="P26322" s="5" t="s">
        <v>355</v>
      </c>
      <c r="Q26322" s="5" t="s">
        <v>355</v>
      </c>
    </row>
    <row r="26323" ht="16.5" customHeight="1">
      <c r="O26323" s="5" t="s">
        <v>355</v>
      </c>
      <c r="P26323" s="5" t="s">
        <v>355</v>
      </c>
      <c r="Q26323" s="5" t="s">
        <v>355</v>
      </c>
    </row>
    <row r="26324" ht="16.5" customHeight="1">
      <c r="O26324" s="5" t="s">
        <v>355</v>
      </c>
      <c r="P26324" s="5" t="s">
        <v>355</v>
      </c>
      <c r="Q26324" s="5" t="s">
        <v>355</v>
      </c>
    </row>
    <row r="26325" ht="16.5" customHeight="1">
      <c r="O26325" s="5" t="s">
        <v>355</v>
      </c>
      <c r="P26325" s="5" t="s">
        <v>355</v>
      </c>
      <c r="Q26325" s="5" t="s">
        <v>355</v>
      </c>
    </row>
    <row r="26326" ht="16.5" customHeight="1">
      <c r="O26326" s="5" t="s">
        <v>355</v>
      </c>
      <c r="P26326" s="5" t="s">
        <v>355</v>
      </c>
      <c r="Q26326" s="5" t="s">
        <v>355</v>
      </c>
    </row>
    <row r="26327" ht="16.5" customHeight="1">
      <c r="O26327" s="5" t="s">
        <v>355</v>
      </c>
      <c r="P26327" s="5" t="s">
        <v>355</v>
      </c>
      <c r="Q26327" s="5" t="s">
        <v>355</v>
      </c>
    </row>
    <row r="26328" ht="16.5" customHeight="1">
      <c r="O26328" s="5" t="s">
        <v>355</v>
      </c>
      <c r="P26328" s="5" t="s">
        <v>355</v>
      </c>
      <c r="Q26328" s="5" t="s">
        <v>355</v>
      </c>
    </row>
    <row r="26329" ht="16.5" customHeight="1">
      <c r="O26329" s="5" t="s">
        <v>355</v>
      </c>
      <c r="P26329" s="5" t="s">
        <v>355</v>
      </c>
      <c r="Q26329" s="5" t="s">
        <v>355</v>
      </c>
    </row>
    <row r="26330" ht="16.5" customHeight="1">
      <c r="O26330" s="5" t="s">
        <v>355</v>
      </c>
      <c r="P26330" s="5" t="s">
        <v>355</v>
      </c>
      <c r="Q26330" s="5" t="s">
        <v>355</v>
      </c>
    </row>
    <row r="26331" ht="16.5" customHeight="1">
      <c r="O26331" s="5" t="s">
        <v>355</v>
      </c>
      <c r="P26331" s="5" t="s">
        <v>355</v>
      </c>
      <c r="Q26331" s="5" t="s">
        <v>355</v>
      </c>
    </row>
    <row r="26332" ht="16.5" customHeight="1">
      <c r="O26332" s="5" t="s">
        <v>355</v>
      </c>
      <c r="P26332" s="5" t="s">
        <v>355</v>
      </c>
      <c r="Q26332" s="5" t="s">
        <v>355</v>
      </c>
    </row>
    <row r="26333" ht="16.5" customHeight="1">
      <c r="O26333" s="5" t="s">
        <v>355</v>
      </c>
      <c r="P26333" s="5" t="s">
        <v>355</v>
      </c>
      <c r="Q26333" s="5" t="s">
        <v>355</v>
      </c>
    </row>
    <row r="26334" ht="16.5" customHeight="1">
      <c r="O26334" s="5" t="s">
        <v>355</v>
      </c>
      <c r="P26334" s="5" t="s">
        <v>355</v>
      </c>
      <c r="Q26334" s="5" t="s">
        <v>355</v>
      </c>
    </row>
    <row r="26335" ht="16.5" customHeight="1">
      <c r="O26335" s="5" t="s">
        <v>355</v>
      </c>
      <c r="P26335" s="5" t="s">
        <v>355</v>
      </c>
      <c r="Q26335" s="5" t="s">
        <v>355</v>
      </c>
    </row>
    <row r="26336" ht="16.5" customHeight="1">
      <c r="O26336" s="5" t="s">
        <v>355</v>
      </c>
      <c r="P26336" s="5" t="s">
        <v>355</v>
      </c>
      <c r="Q26336" s="5" t="s">
        <v>355</v>
      </c>
    </row>
    <row r="26337" ht="16.5" customHeight="1">
      <c r="O26337" s="5" t="s">
        <v>355</v>
      </c>
      <c r="P26337" s="5" t="s">
        <v>355</v>
      </c>
      <c r="Q26337" s="5" t="s">
        <v>355</v>
      </c>
    </row>
    <row r="26338" ht="16.5" customHeight="1">
      <c r="O26338" s="5" t="s">
        <v>355</v>
      </c>
      <c r="P26338" s="5" t="s">
        <v>355</v>
      </c>
      <c r="Q26338" s="5" t="s">
        <v>355</v>
      </c>
    </row>
    <row r="26339" ht="16.5" customHeight="1">
      <c r="O26339" s="5" t="s">
        <v>355</v>
      </c>
      <c r="P26339" s="5" t="s">
        <v>355</v>
      </c>
      <c r="Q26339" s="5" t="s">
        <v>355</v>
      </c>
    </row>
    <row r="26340" ht="16.5" customHeight="1">
      <c r="O26340" s="5" t="s">
        <v>355</v>
      </c>
      <c r="P26340" s="5" t="s">
        <v>355</v>
      </c>
      <c r="Q26340" s="5" t="s">
        <v>355</v>
      </c>
    </row>
    <row r="26341" ht="16.5" customHeight="1">
      <c r="O26341" s="5" t="s">
        <v>355</v>
      </c>
      <c r="P26341" s="5" t="s">
        <v>355</v>
      </c>
      <c r="Q26341" s="5" t="s">
        <v>355</v>
      </c>
    </row>
    <row r="26342" ht="16.5" customHeight="1">
      <c r="O26342" s="5" t="s">
        <v>355</v>
      </c>
      <c r="P26342" s="5" t="s">
        <v>355</v>
      </c>
      <c r="Q26342" s="5" t="s">
        <v>355</v>
      </c>
    </row>
    <row r="26343" ht="16.5" customHeight="1">
      <c r="O26343" s="5" t="s">
        <v>355</v>
      </c>
      <c r="P26343" s="5" t="s">
        <v>355</v>
      </c>
      <c r="Q26343" s="5" t="s">
        <v>355</v>
      </c>
    </row>
    <row r="26344" ht="16.5" customHeight="1">
      <c r="O26344" s="5" t="s">
        <v>355</v>
      </c>
      <c r="P26344" s="5" t="s">
        <v>355</v>
      </c>
      <c r="Q26344" s="5" t="s">
        <v>355</v>
      </c>
    </row>
    <row r="26345" ht="16.5" customHeight="1">
      <c r="O26345" s="5" t="s">
        <v>355</v>
      </c>
      <c r="P26345" s="5" t="s">
        <v>355</v>
      </c>
      <c r="Q26345" s="5" t="s">
        <v>355</v>
      </c>
    </row>
    <row r="26346" ht="16.5" customHeight="1">
      <c r="O26346" s="5" t="s">
        <v>355</v>
      </c>
      <c r="P26346" s="5" t="s">
        <v>355</v>
      </c>
      <c r="Q26346" s="5" t="s">
        <v>355</v>
      </c>
    </row>
    <row r="26347" ht="16.5" customHeight="1">
      <c r="O26347" s="5" t="s">
        <v>355</v>
      </c>
      <c r="P26347" s="5" t="s">
        <v>355</v>
      </c>
      <c r="Q26347" s="5" t="s">
        <v>355</v>
      </c>
    </row>
    <row r="26348" ht="16.5" customHeight="1">
      <c r="O26348" s="5" t="s">
        <v>355</v>
      </c>
      <c r="P26348" s="5" t="s">
        <v>355</v>
      </c>
      <c r="Q26348" s="5" t="s">
        <v>355</v>
      </c>
    </row>
    <row r="26349" ht="16.5" customHeight="1">
      <c r="O26349" s="5" t="s">
        <v>355</v>
      </c>
      <c r="P26349" s="5" t="s">
        <v>355</v>
      </c>
      <c r="Q26349" s="5" t="s">
        <v>355</v>
      </c>
    </row>
    <row r="26350" ht="16.5" customHeight="1">
      <c r="O26350" s="5" t="s">
        <v>355</v>
      </c>
      <c r="P26350" s="5" t="s">
        <v>355</v>
      </c>
      <c r="Q26350" s="5" t="s">
        <v>355</v>
      </c>
    </row>
    <row r="26351" ht="16.5" customHeight="1">
      <c r="O26351" s="5" t="s">
        <v>355</v>
      </c>
      <c r="P26351" s="5" t="s">
        <v>355</v>
      </c>
      <c r="Q26351" s="5" t="s">
        <v>355</v>
      </c>
    </row>
    <row r="26352" ht="16.5" customHeight="1">
      <c r="O26352" s="5" t="s">
        <v>355</v>
      </c>
      <c r="P26352" s="5" t="s">
        <v>355</v>
      </c>
      <c r="Q26352" s="5" t="s">
        <v>355</v>
      </c>
    </row>
    <row r="26353" ht="16.5" customHeight="1">
      <c r="O26353" s="5" t="s">
        <v>355</v>
      </c>
      <c r="P26353" s="5" t="s">
        <v>355</v>
      </c>
      <c r="Q26353" s="5" t="s">
        <v>355</v>
      </c>
    </row>
    <row r="26354" ht="16.5" customHeight="1">
      <c r="O26354" s="5" t="s">
        <v>355</v>
      </c>
      <c r="P26354" s="5" t="s">
        <v>355</v>
      </c>
      <c r="Q26354" s="5" t="s">
        <v>355</v>
      </c>
    </row>
    <row r="26355" ht="16.5" customHeight="1">
      <c r="O26355" s="5" t="s">
        <v>355</v>
      </c>
      <c r="P26355" s="5" t="s">
        <v>355</v>
      </c>
      <c r="Q26355" s="5" t="s">
        <v>355</v>
      </c>
    </row>
    <row r="26356" ht="16.5" customHeight="1">
      <c r="O26356" s="5" t="s">
        <v>355</v>
      </c>
      <c r="P26356" s="5" t="s">
        <v>355</v>
      </c>
      <c r="Q26356" s="5" t="s">
        <v>355</v>
      </c>
    </row>
    <row r="26357" ht="16.5" customHeight="1">
      <c r="O26357" s="5" t="s">
        <v>355</v>
      </c>
      <c r="P26357" s="5" t="s">
        <v>355</v>
      </c>
      <c r="Q26357" s="5" t="s">
        <v>355</v>
      </c>
    </row>
    <row r="26358" ht="16.5" customHeight="1">
      <c r="O26358" s="5" t="s">
        <v>355</v>
      </c>
      <c r="P26358" s="5" t="s">
        <v>355</v>
      </c>
      <c r="Q26358" s="5" t="s">
        <v>355</v>
      </c>
    </row>
    <row r="26359" ht="16.5" customHeight="1">
      <c r="O26359" s="5" t="s">
        <v>355</v>
      </c>
      <c r="P26359" s="5" t="s">
        <v>355</v>
      </c>
      <c r="Q26359" s="5" t="s">
        <v>355</v>
      </c>
    </row>
    <row r="26360" ht="16.5" customHeight="1">
      <c r="O26360" s="5" t="s">
        <v>355</v>
      </c>
      <c r="P26360" s="5" t="s">
        <v>355</v>
      </c>
      <c r="Q26360" s="5" t="s">
        <v>355</v>
      </c>
    </row>
    <row r="26361" ht="16.5" customHeight="1">
      <c r="O26361" s="5" t="s">
        <v>355</v>
      </c>
      <c r="P26361" s="5" t="s">
        <v>355</v>
      </c>
      <c r="Q26361" s="5" t="s">
        <v>355</v>
      </c>
    </row>
    <row r="26362" ht="16.5" customHeight="1">
      <c r="O26362" s="5" t="s">
        <v>355</v>
      </c>
      <c r="P26362" s="5" t="s">
        <v>355</v>
      </c>
      <c r="Q26362" s="5" t="s">
        <v>355</v>
      </c>
    </row>
    <row r="26363" ht="16.5" customHeight="1">
      <c r="O26363" s="5" t="s">
        <v>355</v>
      </c>
      <c r="P26363" s="5" t="s">
        <v>355</v>
      </c>
      <c r="Q26363" s="5" t="s">
        <v>355</v>
      </c>
    </row>
    <row r="26364" ht="16.5" customHeight="1">
      <c r="O26364" s="5" t="s">
        <v>355</v>
      </c>
      <c r="P26364" s="5" t="s">
        <v>355</v>
      </c>
      <c r="Q26364" s="5" t="s">
        <v>355</v>
      </c>
    </row>
    <row r="26365" ht="16.5" customHeight="1">
      <c r="O26365" s="5" t="s">
        <v>355</v>
      </c>
      <c r="P26365" s="5" t="s">
        <v>355</v>
      </c>
      <c r="Q26365" s="5" t="s">
        <v>355</v>
      </c>
    </row>
    <row r="26366" ht="16.5" customHeight="1">
      <c r="O26366" s="5" t="s">
        <v>355</v>
      </c>
      <c r="P26366" s="5" t="s">
        <v>355</v>
      </c>
      <c r="Q26366" s="5" t="s">
        <v>355</v>
      </c>
    </row>
    <row r="26367" ht="16.5" customHeight="1">
      <c r="O26367" s="5" t="s">
        <v>355</v>
      </c>
      <c r="P26367" s="5" t="s">
        <v>355</v>
      </c>
      <c r="Q26367" s="5" t="s">
        <v>355</v>
      </c>
    </row>
    <row r="26368" ht="16.5" customHeight="1">
      <c r="O26368" s="5" t="s">
        <v>355</v>
      </c>
      <c r="P26368" s="5" t="s">
        <v>355</v>
      </c>
      <c r="Q26368" s="5" t="s">
        <v>355</v>
      </c>
    </row>
    <row r="26369" ht="16.5" customHeight="1">
      <c r="O26369" s="5" t="s">
        <v>355</v>
      </c>
      <c r="P26369" s="5" t="s">
        <v>355</v>
      </c>
      <c r="Q26369" s="5" t="s">
        <v>355</v>
      </c>
    </row>
    <row r="26370" ht="16.5" customHeight="1">
      <c r="O26370" s="5" t="s">
        <v>355</v>
      </c>
      <c r="P26370" s="5" t="s">
        <v>355</v>
      </c>
      <c r="Q26370" s="5" t="s">
        <v>355</v>
      </c>
    </row>
    <row r="26371" ht="16.5" customHeight="1">
      <c r="O26371" s="5" t="s">
        <v>355</v>
      </c>
      <c r="P26371" s="5" t="s">
        <v>355</v>
      </c>
      <c r="Q26371" s="5" t="s">
        <v>355</v>
      </c>
    </row>
    <row r="26372" ht="16.5" customHeight="1">
      <c r="O26372" s="5" t="s">
        <v>355</v>
      </c>
      <c r="P26372" s="5" t="s">
        <v>355</v>
      </c>
      <c r="Q26372" s="5" t="s">
        <v>355</v>
      </c>
    </row>
    <row r="26373" ht="16.5" customHeight="1">
      <c r="O26373" s="5" t="s">
        <v>355</v>
      </c>
      <c r="P26373" s="5" t="s">
        <v>355</v>
      </c>
      <c r="Q26373" s="5" t="s">
        <v>355</v>
      </c>
    </row>
    <row r="26374" ht="16.5" customHeight="1">
      <c r="O26374" s="5" t="s">
        <v>355</v>
      </c>
      <c r="P26374" s="5" t="s">
        <v>355</v>
      </c>
      <c r="Q26374" s="5" t="s">
        <v>355</v>
      </c>
    </row>
    <row r="26375" ht="16.5" customHeight="1">
      <c r="O26375" s="5" t="s">
        <v>355</v>
      </c>
      <c r="P26375" s="5" t="s">
        <v>355</v>
      </c>
      <c r="Q26375" s="5" t="s">
        <v>355</v>
      </c>
    </row>
    <row r="26376" ht="16.5" customHeight="1">
      <c r="O26376" s="5" t="s">
        <v>355</v>
      </c>
      <c r="P26376" s="5" t="s">
        <v>355</v>
      </c>
      <c r="Q26376" s="5" t="s">
        <v>355</v>
      </c>
    </row>
    <row r="26377" ht="16.5" customHeight="1">
      <c r="O26377" s="5" t="s">
        <v>355</v>
      </c>
      <c r="P26377" s="5" t="s">
        <v>355</v>
      </c>
      <c r="Q26377" s="5" t="s">
        <v>355</v>
      </c>
    </row>
    <row r="26378" ht="16.5" customHeight="1">
      <c r="O26378" s="5" t="s">
        <v>355</v>
      </c>
      <c r="P26378" s="5" t="s">
        <v>355</v>
      </c>
      <c r="Q26378" s="5" t="s">
        <v>355</v>
      </c>
    </row>
    <row r="26379" ht="16.5" customHeight="1">
      <c r="O26379" s="5" t="s">
        <v>355</v>
      </c>
      <c r="P26379" s="5" t="s">
        <v>355</v>
      </c>
      <c r="Q26379" s="5" t="s">
        <v>355</v>
      </c>
    </row>
    <row r="26380" ht="16.5" customHeight="1">
      <c r="O26380" s="5" t="s">
        <v>355</v>
      </c>
      <c r="P26380" s="5" t="s">
        <v>355</v>
      </c>
      <c r="Q26380" s="5" t="s">
        <v>355</v>
      </c>
    </row>
    <row r="26381" ht="16.5" customHeight="1">
      <c r="O26381" s="5" t="s">
        <v>355</v>
      </c>
      <c r="P26381" s="5" t="s">
        <v>355</v>
      </c>
      <c r="Q26381" s="5" t="s">
        <v>355</v>
      </c>
    </row>
    <row r="26382" ht="16.5" customHeight="1">
      <c r="O26382" s="5" t="s">
        <v>355</v>
      </c>
      <c r="P26382" s="5" t="s">
        <v>355</v>
      </c>
      <c r="Q26382" s="5" t="s">
        <v>355</v>
      </c>
    </row>
    <row r="26383" ht="16.5" customHeight="1">
      <c r="O26383" s="5" t="s">
        <v>355</v>
      </c>
      <c r="P26383" s="5" t="s">
        <v>355</v>
      </c>
      <c r="Q26383" s="5" t="s">
        <v>355</v>
      </c>
    </row>
    <row r="26384" ht="16.5" customHeight="1">
      <c r="O26384" s="5" t="s">
        <v>355</v>
      </c>
      <c r="P26384" s="5" t="s">
        <v>355</v>
      </c>
      <c r="Q26384" s="5" t="s">
        <v>355</v>
      </c>
    </row>
    <row r="26385" ht="16.5" customHeight="1">
      <c r="O26385" s="5" t="s">
        <v>355</v>
      </c>
      <c r="P26385" s="5" t="s">
        <v>355</v>
      </c>
      <c r="Q26385" s="5" t="s">
        <v>355</v>
      </c>
    </row>
    <row r="26386" ht="16.5" customHeight="1">
      <c r="O26386" s="5" t="s">
        <v>355</v>
      </c>
      <c r="P26386" s="5" t="s">
        <v>355</v>
      </c>
      <c r="Q26386" s="5" t="s">
        <v>355</v>
      </c>
    </row>
    <row r="26387" ht="16.5" customHeight="1">
      <c r="O26387" s="5" t="s">
        <v>355</v>
      </c>
      <c r="P26387" s="5" t="s">
        <v>355</v>
      </c>
      <c r="Q26387" s="5" t="s">
        <v>355</v>
      </c>
    </row>
    <row r="26388" ht="16.5" customHeight="1">
      <c r="O26388" s="5" t="s">
        <v>355</v>
      </c>
      <c r="P26388" s="5" t="s">
        <v>355</v>
      </c>
      <c r="Q26388" s="5" t="s">
        <v>355</v>
      </c>
    </row>
    <row r="26389" ht="16.5" customHeight="1">
      <c r="O26389" s="5" t="s">
        <v>355</v>
      </c>
      <c r="P26389" s="5" t="s">
        <v>355</v>
      </c>
      <c r="Q26389" s="5" t="s">
        <v>355</v>
      </c>
    </row>
    <row r="26390" ht="16.5" customHeight="1">
      <c r="O26390" s="5" t="s">
        <v>355</v>
      </c>
      <c r="P26390" s="5" t="s">
        <v>355</v>
      </c>
      <c r="Q26390" s="5" t="s">
        <v>355</v>
      </c>
    </row>
    <row r="26391" ht="16.5" customHeight="1">
      <c r="O26391" s="5" t="s">
        <v>355</v>
      </c>
      <c r="P26391" s="5" t="s">
        <v>355</v>
      </c>
      <c r="Q26391" s="5" t="s">
        <v>355</v>
      </c>
    </row>
    <row r="26392" ht="16.5" customHeight="1">
      <c r="O26392" s="5" t="s">
        <v>355</v>
      </c>
      <c r="P26392" s="5" t="s">
        <v>355</v>
      </c>
      <c r="Q26392" s="5" t="s">
        <v>355</v>
      </c>
    </row>
    <row r="26393" ht="16.5" customHeight="1">
      <c r="O26393" s="5" t="s">
        <v>355</v>
      </c>
      <c r="P26393" s="5" t="s">
        <v>355</v>
      </c>
      <c r="Q26393" s="5" t="s">
        <v>355</v>
      </c>
    </row>
    <row r="26394" ht="16.5" customHeight="1">
      <c r="O26394" s="5" t="s">
        <v>355</v>
      </c>
      <c r="P26394" s="5" t="s">
        <v>355</v>
      </c>
      <c r="Q26394" s="5" t="s">
        <v>355</v>
      </c>
    </row>
    <row r="26395" ht="16.5" customHeight="1">
      <c r="O26395" s="5" t="s">
        <v>355</v>
      </c>
      <c r="P26395" s="5" t="s">
        <v>355</v>
      </c>
      <c r="Q26395" s="5" t="s">
        <v>355</v>
      </c>
    </row>
    <row r="26396" ht="16.5" customHeight="1">
      <c r="O26396" s="5" t="s">
        <v>355</v>
      </c>
      <c r="P26396" s="5" t="s">
        <v>355</v>
      </c>
      <c r="Q26396" s="5" t="s">
        <v>355</v>
      </c>
    </row>
    <row r="26397" ht="16.5" customHeight="1">
      <c r="O26397" s="5" t="s">
        <v>355</v>
      </c>
      <c r="P26397" s="5" t="s">
        <v>355</v>
      </c>
      <c r="Q26397" s="5" t="s">
        <v>355</v>
      </c>
    </row>
    <row r="26398" ht="16.5" customHeight="1">
      <c r="O26398" s="5" t="s">
        <v>355</v>
      </c>
      <c r="P26398" s="5" t="s">
        <v>355</v>
      </c>
      <c r="Q26398" s="5" t="s">
        <v>355</v>
      </c>
    </row>
    <row r="26399" ht="16.5" customHeight="1">
      <c r="O26399" s="5" t="s">
        <v>355</v>
      </c>
      <c r="P26399" s="5" t="s">
        <v>355</v>
      </c>
      <c r="Q26399" s="5" t="s">
        <v>355</v>
      </c>
    </row>
    <row r="26400" ht="16.5" customHeight="1">
      <c r="O26400" s="5" t="s">
        <v>355</v>
      </c>
      <c r="P26400" s="5" t="s">
        <v>355</v>
      </c>
      <c r="Q26400" s="5" t="s">
        <v>355</v>
      </c>
    </row>
    <row r="26401" ht="16.5" customHeight="1">
      <c r="O26401" s="5" t="s">
        <v>355</v>
      </c>
      <c r="P26401" s="5" t="s">
        <v>355</v>
      </c>
      <c r="Q26401" s="5" t="s">
        <v>355</v>
      </c>
    </row>
    <row r="26402" ht="16.5" customHeight="1">
      <c r="O26402" s="5" t="s">
        <v>355</v>
      </c>
      <c r="P26402" s="5" t="s">
        <v>355</v>
      </c>
      <c r="Q26402" s="5" t="s">
        <v>355</v>
      </c>
    </row>
    <row r="26403" ht="16.5" customHeight="1">
      <c r="O26403" s="5" t="s">
        <v>355</v>
      </c>
      <c r="P26403" s="5" t="s">
        <v>355</v>
      </c>
      <c r="Q26403" s="5" t="s">
        <v>355</v>
      </c>
    </row>
    <row r="26404" ht="16.5" customHeight="1">
      <c r="O26404" s="5" t="s">
        <v>355</v>
      </c>
      <c r="P26404" s="5" t="s">
        <v>355</v>
      </c>
      <c r="Q26404" s="5" t="s">
        <v>355</v>
      </c>
    </row>
    <row r="26405" ht="16.5" customHeight="1">
      <c r="O26405" s="5" t="s">
        <v>355</v>
      </c>
      <c r="P26405" s="5" t="s">
        <v>355</v>
      </c>
      <c r="Q26405" s="5" t="s">
        <v>355</v>
      </c>
    </row>
    <row r="26406" ht="16.5" customHeight="1">
      <c r="O26406" s="5" t="s">
        <v>355</v>
      </c>
      <c r="P26406" s="5" t="s">
        <v>355</v>
      </c>
      <c r="Q26406" s="5" t="s">
        <v>355</v>
      </c>
    </row>
    <row r="26407" ht="16.5" customHeight="1">
      <c r="O26407" s="5" t="s">
        <v>355</v>
      </c>
      <c r="P26407" s="5" t="s">
        <v>355</v>
      </c>
      <c r="Q26407" s="5" t="s">
        <v>355</v>
      </c>
    </row>
    <row r="26408" ht="16.5" customHeight="1">
      <c r="O26408" s="5" t="s">
        <v>355</v>
      </c>
      <c r="P26408" s="5" t="s">
        <v>355</v>
      </c>
      <c r="Q26408" s="5" t="s">
        <v>355</v>
      </c>
    </row>
    <row r="26409" ht="16.5" customHeight="1">
      <c r="O26409" s="5" t="s">
        <v>355</v>
      </c>
      <c r="P26409" s="5" t="s">
        <v>355</v>
      </c>
      <c r="Q26409" s="5" t="s">
        <v>355</v>
      </c>
    </row>
    <row r="26410" ht="16.5" customHeight="1">
      <c r="O26410" s="5" t="s">
        <v>355</v>
      </c>
      <c r="P26410" s="5" t="s">
        <v>355</v>
      </c>
      <c r="Q26410" s="5" t="s">
        <v>355</v>
      </c>
    </row>
    <row r="26411" ht="16.5" customHeight="1">
      <c r="O26411" s="5" t="s">
        <v>355</v>
      </c>
      <c r="P26411" s="5" t="s">
        <v>355</v>
      </c>
      <c r="Q26411" s="5" t="s">
        <v>355</v>
      </c>
    </row>
    <row r="26412" ht="16.5" customHeight="1">
      <c r="O26412" s="5" t="s">
        <v>355</v>
      </c>
      <c r="P26412" s="5" t="s">
        <v>355</v>
      </c>
      <c r="Q26412" s="5" t="s">
        <v>355</v>
      </c>
    </row>
    <row r="26413" ht="16.5" customHeight="1">
      <c r="O26413" s="5" t="s">
        <v>355</v>
      </c>
      <c r="P26413" s="5" t="s">
        <v>355</v>
      </c>
      <c r="Q26413" s="5" t="s">
        <v>355</v>
      </c>
    </row>
    <row r="26414" ht="16.5" customHeight="1">
      <c r="O26414" s="5" t="s">
        <v>355</v>
      </c>
      <c r="P26414" s="5" t="s">
        <v>355</v>
      </c>
      <c r="Q26414" s="5" t="s">
        <v>355</v>
      </c>
    </row>
    <row r="26415" ht="16.5" customHeight="1">
      <c r="O26415" s="5" t="s">
        <v>355</v>
      </c>
      <c r="P26415" s="5" t="s">
        <v>355</v>
      </c>
      <c r="Q26415" s="5" t="s">
        <v>355</v>
      </c>
    </row>
    <row r="26416" ht="16.5" customHeight="1">
      <c r="O26416" s="5" t="s">
        <v>355</v>
      </c>
      <c r="P26416" s="5" t="s">
        <v>355</v>
      </c>
      <c r="Q26416" s="5" t="s">
        <v>355</v>
      </c>
    </row>
    <row r="26417" ht="16.5" customHeight="1">
      <c r="O26417" s="5" t="s">
        <v>355</v>
      </c>
      <c r="P26417" s="5" t="s">
        <v>355</v>
      </c>
      <c r="Q26417" s="5" t="s">
        <v>355</v>
      </c>
    </row>
    <row r="26418" ht="16.5" customHeight="1">
      <c r="O26418" s="5" t="s">
        <v>355</v>
      </c>
      <c r="P26418" s="5" t="s">
        <v>355</v>
      </c>
      <c r="Q26418" s="5" t="s">
        <v>355</v>
      </c>
    </row>
    <row r="26419" ht="16.5" customHeight="1">
      <c r="O26419" s="5" t="s">
        <v>355</v>
      </c>
      <c r="P26419" s="5" t="s">
        <v>355</v>
      </c>
      <c r="Q26419" s="5" t="s">
        <v>355</v>
      </c>
    </row>
    <row r="26420" ht="16.5" customHeight="1">
      <c r="O26420" s="5" t="s">
        <v>355</v>
      </c>
      <c r="P26420" s="5" t="s">
        <v>355</v>
      </c>
      <c r="Q26420" s="5" t="s">
        <v>355</v>
      </c>
    </row>
    <row r="26421" ht="16.5" customHeight="1">
      <c r="O26421" s="5" t="s">
        <v>355</v>
      </c>
      <c r="P26421" s="5" t="s">
        <v>355</v>
      </c>
      <c r="Q26421" s="5" t="s">
        <v>355</v>
      </c>
    </row>
    <row r="26422" ht="16.5" customHeight="1">
      <c r="O26422" s="5" t="s">
        <v>355</v>
      </c>
      <c r="P26422" s="5" t="s">
        <v>355</v>
      </c>
      <c r="Q26422" s="5" t="s">
        <v>355</v>
      </c>
    </row>
    <row r="26423" ht="16.5" customHeight="1">
      <c r="O26423" s="5" t="s">
        <v>355</v>
      </c>
      <c r="P26423" s="5" t="s">
        <v>355</v>
      </c>
      <c r="Q26423" s="5" t="s">
        <v>355</v>
      </c>
    </row>
    <row r="26424" ht="16.5" customHeight="1">
      <c r="O26424" s="5" t="s">
        <v>355</v>
      </c>
      <c r="P26424" s="5" t="s">
        <v>355</v>
      </c>
      <c r="Q26424" s="5" t="s">
        <v>355</v>
      </c>
    </row>
    <row r="26425" ht="16.5" customHeight="1">
      <c r="O26425" s="5" t="s">
        <v>355</v>
      </c>
      <c r="P26425" s="5" t="s">
        <v>355</v>
      </c>
      <c r="Q26425" s="5" t="s">
        <v>355</v>
      </c>
    </row>
    <row r="26426" ht="16.5" customHeight="1">
      <c r="O26426" s="5" t="s">
        <v>355</v>
      </c>
      <c r="P26426" s="5" t="s">
        <v>355</v>
      </c>
      <c r="Q26426" s="5" t="s">
        <v>355</v>
      </c>
    </row>
    <row r="26427" ht="16.5" customHeight="1">
      <c r="O26427" s="5" t="s">
        <v>355</v>
      </c>
      <c r="P26427" s="5" t="s">
        <v>355</v>
      </c>
      <c r="Q26427" s="5" t="s">
        <v>355</v>
      </c>
    </row>
    <row r="26428" ht="16.5" customHeight="1">
      <c r="O26428" s="5" t="s">
        <v>355</v>
      </c>
      <c r="P26428" s="5" t="s">
        <v>355</v>
      </c>
      <c r="Q26428" s="5" t="s">
        <v>355</v>
      </c>
    </row>
    <row r="26429" ht="16.5" customHeight="1">
      <c r="O26429" s="5" t="s">
        <v>355</v>
      </c>
      <c r="P26429" s="5" t="s">
        <v>355</v>
      </c>
      <c r="Q26429" s="5" t="s">
        <v>355</v>
      </c>
    </row>
    <row r="26430" ht="16.5" customHeight="1">
      <c r="O26430" s="5" t="s">
        <v>355</v>
      </c>
      <c r="P26430" s="5" t="s">
        <v>355</v>
      </c>
      <c r="Q26430" s="5" t="s">
        <v>355</v>
      </c>
    </row>
    <row r="26431" ht="16.5" customHeight="1">
      <c r="O26431" s="5" t="s">
        <v>355</v>
      </c>
      <c r="P26431" s="5" t="s">
        <v>355</v>
      </c>
      <c r="Q26431" s="5" t="s">
        <v>355</v>
      </c>
    </row>
    <row r="26432" ht="16.5" customHeight="1">
      <c r="O26432" s="5" t="s">
        <v>355</v>
      </c>
      <c r="P26432" s="5" t="s">
        <v>355</v>
      </c>
      <c r="Q26432" s="5" t="s">
        <v>355</v>
      </c>
    </row>
    <row r="26433" ht="16.5" customHeight="1">
      <c r="O26433" s="5" t="s">
        <v>355</v>
      </c>
      <c r="P26433" s="5" t="s">
        <v>355</v>
      </c>
      <c r="Q26433" s="5" t="s">
        <v>355</v>
      </c>
    </row>
    <row r="26434" ht="16.5" customHeight="1">
      <c r="O26434" s="5" t="s">
        <v>355</v>
      </c>
      <c r="P26434" s="5" t="s">
        <v>355</v>
      </c>
      <c r="Q26434" s="5" t="s">
        <v>355</v>
      </c>
    </row>
    <row r="26435" ht="16.5" customHeight="1">
      <c r="O26435" s="5" t="s">
        <v>355</v>
      </c>
      <c r="P26435" s="5" t="s">
        <v>355</v>
      </c>
      <c r="Q26435" s="5" t="s">
        <v>355</v>
      </c>
    </row>
    <row r="26436" ht="16.5" customHeight="1">
      <c r="O26436" s="5" t="s">
        <v>355</v>
      </c>
      <c r="P26436" s="5" t="s">
        <v>355</v>
      </c>
      <c r="Q26436" s="5" t="s">
        <v>355</v>
      </c>
    </row>
    <row r="26437" ht="16.5" customHeight="1">
      <c r="O26437" s="5" t="s">
        <v>355</v>
      </c>
      <c r="P26437" s="5" t="s">
        <v>355</v>
      </c>
      <c r="Q26437" s="5" t="s">
        <v>355</v>
      </c>
    </row>
    <row r="26438" ht="16.5" customHeight="1">
      <c r="O26438" s="5" t="s">
        <v>355</v>
      </c>
      <c r="P26438" s="5" t="s">
        <v>355</v>
      </c>
      <c r="Q26438" s="5" t="s">
        <v>355</v>
      </c>
    </row>
    <row r="26439" ht="16.5" customHeight="1">
      <c r="O26439" s="5" t="s">
        <v>355</v>
      </c>
      <c r="P26439" s="5" t="s">
        <v>355</v>
      </c>
      <c r="Q26439" s="5" t="s">
        <v>355</v>
      </c>
    </row>
    <row r="26440" ht="16.5" customHeight="1">
      <c r="O26440" s="5" t="s">
        <v>355</v>
      </c>
      <c r="P26440" s="5" t="s">
        <v>355</v>
      </c>
      <c r="Q26440" s="5" t="s">
        <v>355</v>
      </c>
    </row>
    <row r="26441" ht="16.5" customHeight="1">
      <c r="O26441" s="5" t="s">
        <v>355</v>
      </c>
      <c r="P26441" s="5" t="s">
        <v>355</v>
      </c>
      <c r="Q26441" s="5" t="s">
        <v>355</v>
      </c>
    </row>
    <row r="26442" ht="16.5" customHeight="1">
      <c r="O26442" s="5" t="s">
        <v>355</v>
      </c>
      <c r="P26442" s="5" t="s">
        <v>355</v>
      </c>
      <c r="Q26442" s="5" t="s">
        <v>355</v>
      </c>
    </row>
    <row r="26443" ht="16.5" customHeight="1">
      <c r="O26443" s="5" t="s">
        <v>355</v>
      </c>
      <c r="P26443" s="5" t="s">
        <v>355</v>
      </c>
      <c r="Q26443" s="5" t="s">
        <v>355</v>
      </c>
    </row>
    <row r="26444" ht="16.5" customHeight="1">
      <c r="O26444" s="5" t="s">
        <v>355</v>
      </c>
      <c r="P26444" s="5" t="s">
        <v>355</v>
      </c>
      <c r="Q26444" s="5" t="s">
        <v>355</v>
      </c>
    </row>
    <row r="26445" ht="16.5" customHeight="1">
      <c r="O26445" s="5" t="s">
        <v>355</v>
      </c>
      <c r="P26445" s="5" t="s">
        <v>355</v>
      </c>
      <c r="Q26445" s="5" t="s">
        <v>355</v>
      </c>
    </row>
    <row r="26446" ht="16.5" customHeight="1">
      <c r="O26446" s="5" t="s">
        <v>355</v>
      </c>
      <c r="P26446" s="5" t="s">
        <v>355</v>
      </c>
      <c r="Q26446" s="5" t="s">
        <v>355</v>
      </c>
    </row>
    <row r="26447" ht="16.5" customHeight="1">
      <c r="O26447" s="5" t="s">
        <v>355</v>
      </c>
      <c r="P26447" s="5" t="s">
        <v>355</v>
      </c>
      <c r="Q26447" s="5" t="s">
        <v>355</v>
      </c>
    </row>
    <row r="26448" ht="16.5" customHeight="1">
      <c r="O26448" s="5" t="s">
        <v>355</v>
      </c>
      <c r="P26448" s="5" t="s">
        <v>355</v>
      </c>
      <c r="Q26448" s="5" t="s">
        <v>355</v>
      </c>
    </row>
    <row r="26449" ht="16.5" customHeight="1">
      <c r="O26449" s="5" t="s">
        <v>355</v>
      </c>
      <c r="P26449" s="5" t="s">
        <v>355</v>
      </c>
      <c r="Q26449" s="5" t="s">
        <v>355</v>
      </c>
    </row>
    <row r="26450" ht="16.5" customHeight="1">
      <c r="O26450" s="5" t="s">
        <v>355</v>
      </c>
      <c r="P26450" s="5" t="s">
        <v>355</v>
      </c>
      <c r="Q26450" s="5" t="s">
        <v>355</v>
      </c>
    </row>
    <row r="26451" ht="16.5" customHeight="1">
      <c r="O26451" s="5" t="s">
        <v>355</v>
      </c>
      <c r="P26451" s="5" t="s">
        <v>355</v>
      </c>
      <c r="Q26451" s="5" t="s">
        <v>355</v>
      </c>
    </row>
    <row r="26452" ht="16.5" customHeight="1">
      <c r="O26452" s="5" t="s">
        <v>355</v>
      </c>
      <c r="P26452" s="5" t="s">
        <v>355</v>
      </c>
      <c r="Q26452" s="5" t="s">
        <v>355</v>
      </c>
    </row>
    <row r="26453" ht="16.5" customHeight="1">
      <c r="O26453" s="5" t="s">
        <v>355</v>
      </c>
      <c r="P26453" s="5" t="s">
        <v>355</v>
      </c>
      <c r="Q26453" s="5" t="s">
        <v>355</v>
      </c>
    </row>
    <row r="26454" ht="16.5" customHeight="1">
      <c r="O26454" s="5" t="s">
        <v>355</v>
      </c>
      <c r="P26454" s="5" t="s">
        <v>355</v>
      </c>
      <c r="Q26454" s="5" t="s">
        <v>355</v>
      </c>
    </row>
    <row r="26455" ht="16.5" customHeight="1">
      <c r="O26455" s="5" t="s">
        <v>355</v>
      </c>
      <c r="P26455" s="5" t="s">
        <v>355</v>
      </c>
      <c r="Q26455" s="5" t="s">
        <v>355</v>
      </c>
    </row>
    <row r="26456" ht="16.5" customHeight="1">
      <c r="O26456" s="5" t="s">
        <v>355</v>
      </c>
      <c r="P26456" s="5" t="s">
        <v>355</v>
      </c>
      <c r="Q26456" s="5" t="s">
        <v>355</v>
      </c>
    </row>
    <row r="26457" ht="16.5" customHeight="1">
      <c r="O26457" s="5" t="s">
        <v>355</v>
      </c>
      <c r="P26457" s="5" t="s">
        <v>355</v>
      </c>
      <c r="Q26457" s="5" t="s">
        <v>355</v>
      </c>
    </row>
    <row r="26458" ht="16.5" customHeight="1">
      <c r="O26458" s="5" t="s">
        <v>355</v>
      </c>
      <c r="P26458" s="5" t="s">
        <v>355</v>
      </c>
      <c r="Q26458" s="5" t="s">
        <v>355</v>
      </c>
    </row>
    <row r="26459" ht="16.5" customHeight="1">
      <c r="O26459" s="5" t="s">
        <v>355</v>
      </c>
      <c r="P26459" s="5" t="s">
        <v>355</v>
      </c>
      <c r="Q26459" s="5" t="s">
        <v>355</v>
      </c>
    </row>
    <row r="26460" ht="16.5" customHeight="1">
      <c r="O26460" s="5" t="s">
        <v>355</v>
      </c>
      <c r="P26460" s="5" t="s">
        <v>355</v>
      </c>
      <c r="Q26460" s="5" t="s">
        <v>355</v>
      </c>
    </row>
    <row r="26461" ht="16.5" customHeight="1">
      <c r="O26461" s="5" t="s">
        <v>355</v>
      </c>
      <c r="P26461" s="5" t="s">
        <v>355</v>
      </c>
      <c r="Q26461" s="5" t="s">
        <v>355</v>
      </c>
    </row>
    <row r="26462" ht="16.5" customHeight="1">
      <c r="O26462" s="5" t="s">
        <v>355</v>
      </c>
      <c r="P26462" s="5" t="s">
        <v>355</v>
      </c>
      <c r="Q26462" s="5" t="s">
        <v>355</v>
      </c>
    </row>
    <row r="26463" ht="16.5" customHeight="1">
      <c r="O26463" s="5" t="s">
        <v>355</v>
      </c>
      <c r="P26463" s="5" t="s">
        <v>355</v>
      </c>
      <c r="Q26463" s="5" t="s">
        <v>355</v>
      </c>
    </row>
    <row r="26464" ht="16.5" customHeight="1">
      <c r="O26464" s="5" t="s">
        <v>355</v>
      </c>
      <c r="P26464" s="5" t="s">
        <v>355</v>
      </c>
      <c r="Q26464" s="5" t="s">
        <v>355</v>
      </c>
    </row>
    <row r="26465" ht="16.5" customHeight="1">
      <c r="O26465" s="5" t="s">
        <v>355</v>
      </c>
      <c r="P26465" s="5" t="s">
        <v>355</v>
      </c>
      <c r="Q26465" s="5" t="s">
        <v>355</v>
      </c>
    </row>
    <row r="26466" ht="16.5" customHeight="1">
      <c r="O26466" s="5" t="s">
        <v>355</v>
      </c>
      <c r="P26466" s="5" t="s">
        <v>355</v>
      </c>
      <c r="Q26466" s="5" t="s">
        <v>355</v>
      </c>
    </row>
    <row r="26467" ht="16.5" customHeight="1">
      <c r="O26467" s="5" t="s">
        <v>355</v>
      </c>
      <c r="P26467" s="5" t="s">
        <v>355</v>
      </c>
      <c r="Q26467" s="5" t="s">
        <v>355</v>
      </c>
    </row>
    <row r="26468" ht="16.5" customHeight="1">
      <c r="O26468" s="5" t="s">
        <v>355</v>
      </c>
      <c r="P26468" s="5" t="s">
        <v>355</v>
      </c>
      <c r="Q26468" s="5" t="s">
        <v>355</v>
      </c>
    </row>
    <row r="26469" ht="16.5" customHeight="1">
      <c r="O26469" s="5" t="s">
        <v>355</v>
      </c>
      <c r="P26469" s="5" t="s">
        <v>355</v>
      </c>
      <c r="Q26469" s="5" t="s">
        <v>355</v>
      </c>
    </row>
    <row r="26470" ht="16.5" customHeight="1">
      <c r="O26470" s="5" t="s">
        <v>355</v>
      </c>
      <c r="P26470" s="5" t="s">
        <v>355</v>
      </c>
      <c r="Q26470" s="5" t="s">
        <v>355</v>
      </c>
    </row>
    <row r="26471" ht="16.5" customHeight="1">
      <c r="O26471" s="5" t="s">
        <v>355</v>
      </c>
      <c r="P26471" s="5" t="s">
        <v>355</v>
      </c>
      <c r="Q26471" s="5" t="s">
        <v>355</v>
      </c>
    </row>
    <row r="26472" ht="16.5" customHeight="1">
      <c r="O26472" s="5" t="s">
        <v>355</v>
      </c>
      <c r="P26472" s="5" t="s">
        <v>355</v>
      </c>
      <c r="Q26472" s="5" t="s">
        <v>355</v>
      </c>
    </row>
    <row r="26473" ht="16.5" customHeight="1">
      <c r="O26473" s="5" t="s">
        <v>355</v>
      </c>
      <c r="P26473" s="5" t="s">
        <v>355</v>
      </c>
      <c r="Q26473" s="5" t="s">
        <v>355</v>
      </c>
    </row>
    <row r="26474" ht="16.5" customHeight="1">
      <c r="O26474" s="5" t="s">
        <v>355</v>
      </c>
      <c r="P26474" s="5" t="s">
        <v>355</v>
      </c>
      <c r="Q26474" s="5" t="s">
        <v>355</v>
      </c>
    </row>
    <row r="26475" ht="16.5" customHeight="1">
      <c r="O26475" s="5" t="s">
        <v>355</v>
      </c>
      <c r="P26475" s="5" t="s">
        <v>355</v>
      </c>
      <c r="Q26475" s="5" t="s">
        <v>355</v>
      </c>
    </row>
    <row r="26476" ht="16.5" customHeight="1">
      <c r="O26476" s="5" t="s">
        <v>355</v>
      </c>
      <c r="P26476" s="5" t="s">
        <v>355</v>
      </c>
      <c r="Q26476" s="5" t="s">
        <v>355</v>
      </c>
    </row>
    <row r="26477" ht="16.5" customHeight="1">
      <c r="O26477" s="5" t="s">
        <v>355</v>
      </c>
      <c r="P26477" s="5" t="s">
        <v>355</v>
      </c>
      <c r="Q26477" s="5" t="s">
        <v>355</v>
      </c>
    </row>
    <row r="26478" ht="16.5" customHeight="1">
      <c r="O26478" s="5" t="s">
        <v>355</v>
      </c>
      <c r="P26478" s="5" t="s">
        <v>355</v>
      </c>
      <c r="Q26478" s="5" t="s">
        <v>355</v>
      </c>
    </row>
    <row r="26479" ht="16.5" customHeight="1">
      <c r="O26479" s="5" t="s">
        <v>355</v>
      </c>
      <c r="P26479" s="5" t="s">
        <v>355</v>
      </c>
      <c r="Q26479" s="5" t="s">
        <v>355</v>
      </c>
    </row>
    <row r="26480" ht="16.5" customHeight="1">
      <c r="O26480" s="5" t="s">
        <v>355</v>
      </c>
      <c r="P26480" s="5" t="s">
        <v>355</v>
      </c>
      <c r="Q26480" s="5" t="s">
        <v>355</v>
      </c>
    </row>
    <row r="26481" ht="16.5" customHeight="1">
      <c r="O26481" s="5" t="s">
        <v>355</v>
      </c>
      <c r="P26481" s="5" t="s">
        <v>355</v>
      </c>
      <c r="Q26481" s="5" t="s">
        <v>355</v>
      </c>
    </row>
    <row r="26482" ht="16.5" customHeight="1">
      <c r="O26482" s="5" t="s">
        <v>355</v>
      </c>
      <c r="P26482" s="5" t="s">
        <v>355</v>
      </c>
      <c r="Q26482" s="5" t="s">
        <v>355</v>
      </c>
    </row>
    <row r="26483" ht="16.5" customHeight="1">
      <c r="O26483" s="5" t="s">
        <v>355</v>
      </c>
      <c r="P26483" s="5" t="s">
        <v>355</v>
      </c>
      <c r="Q26483" s="5" t="s">
        <v>355</v>
      </c>
    </row>
    <row r="26484" ht="16.5" customHeight="1">
      <c r="O26484" s="5" t="s">
        <v>355</v>
      </c>
      <c r="P26484" s="5" t="s">
        <v>355</v>
      </c>
      <c r="Q26484" s="5" t="s">
        <v>355</v>
      </c>
    </row>
    <row r="26485" ht="16.5" customHeight="1">
      <c r="O26485" s="5" t="s">
        <v>355</v>
      </c>
      <c r="P26485" s="5" t="s">
        <v>355</v>
      </c>
      <c r="Q26485" s="5" t="s">
        <v>355</v>
      </c>
    </row>
    <row r="26486" ht="16.5" customHeight="1">
      <c r="O26486" s="5" t="s">
        <v>355</v>
      </c>
      <c r="P26486" s="5" t="s">
        <v>355</v>
      </c>
      <c r="Q26486" s="5" t="s">
        <v>355</v>
      </c>
    </row>
    <row r="26487" ht="16.5" customHeight="1">
      <c r="O26487" s="5" t="s">
        <v>355</v>
      </c>
      <c r="P26487" s="5" t="s">
        <v>355</v>
      </c>
      <c r="Q26487" s="5" t="s">
        <v>355</v>
      </c>
    </row>
    <row r="26488" ht="16.5" customHeight="1">
      <c r="O26488" s="5" t="s">
        <v>355</v>
      </c>
      <c r="P26488" s="5" t="s">
        <v>355</v>
      </c>
      <c r="Q26488" s="5" t="s">
        <v>355</v>
      </c>
    </row>
    <row r="26489" ht="16.5" customHeight="1">
      <c r="O26489" s="5" t="s">
        <v>355</v>
      </c>
      <c r="P26489" s="5" t="s">
        <v>355</v>
      </c>
      <c r="Q26489" s="5" t="s">
        <v>355</v>
      </c>
    </row>
    <row r="26490" ht="16.5" customHeight="1">
      <c r="O26490" s="5" t="s">
        <v>355</v>
      </c>
      <c r="P26490" s="5" t="s">
        <v>355</v>
      </c>
      <c r="Q26490" s="5" t="s">
        <v>355</v>
      </c>
    </row>
    <row r="26491" ht="16.5" customHeight="1">
      <c r="O26491" s="5" t="s">
        <v>355</v>
      </c>
      <c r="P26491" s="5" t="s">
        <v>355</v>
      </c>
      <c r="Q26491" s="5" t="s">
        <v>355</v>
      </c>
    </row>
    <row r="26492" ht="16.5" customHeight="1">
      <c r="O26492" s="5" t="s">
        <v>355</v>
      </c>
      <c r="P26492" s="5" t="s">
        <v>355</v>
      </c>
      <c r="Q26492" s="5" t="s">
        <v>355</v>
      </c>
    </row>
    <row r="26493" ht="16.5" customHeight="1">
      <c r="O26493" s="5" t="s">
        <v>355</v>
      </c>
      <c r="P26493" s="5" t="s">
        <v>355</v>
      </c>
      <c r="Q26493" s="5" t="s">
        <v>355</v>
      </c>
    </row>
    <row r="26494" ht="16.5" customHeight="1">
      <c r="O26494" s="5" t="s">
        <v>355</v>
      </c>
      <c r="P26494" s="5" t="s">
        <v>355</v>
      </c>
      <c r="Q26494" s="5" t="s">
        <v>355</v>
      </c>
    </row>
    <row r="26495" ht="16.5" customHeight="1">
      <c r="O26495" s="5" t="s">
        <v>355</v>
      </c>
      <c r="P26495" s="5" t="s">
        <v>355</v>
      </c>
      <c r="Q26495" s="5" t="s">
        <v>355</v>
      </c>
    </row>
    <row r="26496" ht="16.5" customHeight="1">
      <c r="O26496" s="5" t="s">
        <v>355</v>
      </c>
      <c r="P26496" s="5" t="s">
        <v>355</v>
      </c>
      <c r="Q26496" s="5" t="s">
        <v>355</v>
      </c>
    </row>
    <row r="26497" ht="16.5" customHeight="1">
      <c r="O26497" s="5" t="s">
        <v>355</v>
      </c>
      <c r="P26497" s="5" t="s">
        <v>355</v>
      </c>
      <c r="Q26497" s="5" t="s">
        <v>355</v>
      </c>
    </row>
    <row r="26498" ht="16.5" customHeight="1">
      <c r="O26498" s="5" t="s">
        <v>355</v>
      </c>
      <c r="P26498" s="5" t="s">
        <v>355</v>
      </c>
      <c r="Q26498" s="5" t="s">
        <v>355</v>
      </c>
    </row>
    <row r="26499" ht="16.5" customHeight="1">
      <c r="O26499" s="5" t="s">
        <v>355</v>
      </c>
      <c r="P26499" s="5" t="s">
        <v>355</v>
      </c>
      <c r="Q26499" s="5" t="s">
        <v>355</v>
      </c>
    </row>
    <row r="26500" ht="16.5" customHeight="1">
      <c r="O26500" s="5" t="s">
        <v>355</v>
      </c>
      <c r="P26500" s="5" t="s">
        <v>355</v>
      </c>
      <c r="Q26500" s="5" t="s">
        <v>355</v>
      </c>
    </row>
    <row r="26501" ht="16.5" customHeight="1">
      <c r="O26501" s="5" t="s">
        <v>355</v>
      </c>
      <c r="P26501" s="5" t="s">
        <v>355</v>
      </c>
      <c r="Q26501" s="5" t="s">
        <v>355</v>
      </c>
    </row>
    <row r="26502" ht="16.5" customHeight="1">
      <c r="O26502" s="5" t="s">
        <v>355</v>
      </c>
      <c r="P26502" s="5" t="s">
        <v>355</v>
      </c>
      <c r="Q26502" s="5" t="s">
        <v>355</v>
      </c>
    </row>
    <row r="26503" ht="16.5" customHeight="1">
      <c r="O26503" s="5" t="s">
        <v>355</v>
      </c>
      <c r="P26503" s="5" t="s">
        <v>355</v>
      </c>
      <c r="Q26503" s="5" t="s">
        <v>355</v>
      </c>
    </row>
    <row r="26504" ht="16.5" customHeight="1">
      <c r="O26504" s="5" t="s">
        <v>355</v>
      </c>
      <c r="P26504" s="5" t="s">
        <v>355</v>
      </c>
      <c r="Q26504" s="5" t="s">
        <v>355</v>
      </c>
    </row>
    <row r="26505" ht="16.5" customHeight="1">
      <c r="O26505" s="5" t="s">
        <v>355</v>
      </c>
      <c r="P26505" s="5" t="s">
        <v>355</v>
      </c>
      <c r="Q26505" s="5" t="s">
        <v>355</v>
      </c>
    </row>
    <row r="26506" ht="16.5" customHeight="1">
      <c r="O26506" s="5" t="s">
        <v>355</v>
      </c>
      <c r="P26506" s="5" t="s">
        <v>355</v>
      </c>
      <c r="Q26506" s="5" t="s">
        <v>355</v>
      </c>
    </row>
    <row r="26507" ht="16.5" customHeight="1">
      <c r="O26507" s="5" t="s">
        <v>355</v>
      </c>
      <c r="P26507" s="5" t="s">
        <v>355</v>
      </c>
      <c r="Q26507" s="5" t="s">
        <v>355</v>
      </c>
    </row>
    <row r="26508" ht="16.5" customHeight="1">
      <c r="O26508" s="5" t="s">
        <v>355</v>
      </c>
      <c r="P26508" s="5" t="s">
        <v>355</v>
      </c>
      <c r="Q26508" s="5" t="s">
        <v>355</v>
      </c>
    </row>
    <row r="26509" ht="16.5" customHeight="1">
      <c r="O26509" s="5" t="s">
        <v>355</v>
      </c>
      <c r="P26509" s="5" t="s">
        <v>355</v>
      </c>
      <c r="Q26509" s="5" t="s">
        <v>355</v>
      </c>
    </row>
    <row r="26510" ht="16.5" customHeight="1">
      <c r="O26510" s="5" t="s">
        <v>355</v>
      </c>
      <c r="P26510" s="5" t="s">
        <v>355</v>
      </c>
      <c r="Q26510" s="5" t="s">
        <v>355</v>
      </c>
    </row>
    <row r="26511" ht="16.5" customHeight="1">
      <c r="O26511" s="5" t="s">
        <v>355</v>
      </c>
      <c r="P26511" s="5" t="s">
        <v>355</v>
      </c>
      <c r="Q26511" s="5" t="s">
        <v>355</v>
      </c>
    </row>
    <row r="26512" ht="16.5" customHeight="1">
      <c r="O26512" s="5" t="s">
        <v>355</v>
      </c>
      <c r="P26512" s="5" t="s">
        <v>355</v>
      </c>
      <c r="Q26512" s="5" t="s">
        <v>355</v>
      </c>
    </row>
    <row r="26513" ht="16.5" customHeight="1">
      <c r="O26513" s="5" t="s">
        <v>355</v>
      </c>
      <c r="P26513" s="5" t="s">
        <v>355</v>
      </c>
      <c r="Q26513" s="5" t="s">
        <v>355</v>
      </c>
    </row>
    <row r="26514" ht="16.5" customHeight="1">
      <c r="O26514" s="5" t="s">
        <v>355</v>
      </c>
      <c r="P26514" s="5" t="s">
        <v>355</v>
      </c>
      <c r="Q26514" s="5" t="s">
        <v>355</v>
      </c>
    </row>
    <row r="26515" ht="16.5" customHeight="1">
      <c r="O26515" s="5" t="s">
        <v>355</v>
      </c>
      <c r="P26515" s="5" t="s">
        <v>355</v>
      </c>
      <c r="Q26515" s="5" t="s">
        <v>355</v>
      </c>
    </row>
    <row r="26516" ht="16.5" customHeight="1">
      <c r="O26516" s="5" t="s">
        <v>355</v>
      </c>
      <c r="P26516" s="5" t="s">
        <v>355</v>
      </c>
      <c r="Q26516" s="5" t="s">
        <v>355</v>
      </c>
    </row>
    <row r="26517" ht="16.5" customHeight="1">
      <c r="O26517" s="5" t="s">
        <v>355</v>
      </c>
      <c r="P26517" s="5" t="s">
        <v>355</v>
      </c>
      <c r="Q26517" s="5" t="s">
        <v>355</v>
      </c>
    </row>
    <row r="26518" ht="16.5" customHeight="1">
      <c r="O26518" s="5" t="s">
        <v>355</v>
      </c>
      <c r="P26518" s="5" t="s">
        <v>355</v>
      </c>
      <c r="Q26518" s="5" t="s">
        <v>355</v>
      </c>
    </row>
    <row r="26519" ht="16.5" customHeight="1">
      <c r="O26519" s="5" t="s">
        <v>355</v>
      </c>
      <c r="P26519" s="5" t="s">
        <v>355</v>
      </c>
      <c r="Q26519" s="5" t="s">
        <v>355</v>
      </c>
    </row>
    <row r="26520" ht="16.5" customHeight="1">
      <c r="O26520" s="5" t="s">
        <v>355</v>
      </c>
      <c r="P26520" s="5" t="s">
        <v>355</v>
      </c>
      <c r="Q26520" s="5" t="s">
        <v>355</v>
      </c>
    </row>
    <row r="26521" ht="16.5" customHeight="1">
      <c r="O26521" s="5" t="s">
        <v>355</v>
      </c>
      <c r="P26521" s="5" t="s">
        <v>355</v>
      </c>
      <c r="Q26521" s="5" t="s">
        <v>355</v>
      </c>
    </row>
    <row r="26522" ht="16.5" customHeight="1">
      <c r="O26522" s="5" t="s">
        <v>355</v>
      </c>
      <c r="P26522" s="5" t="s">
        <v>355</v>
      </c>
      <c r="Q26522" s="5" t="s">
        <v>355</v>
      </c>
    </row>
    <row r="26523" ht="16.5" customHeight="1">
      <c r="O26523" s="5" t="s">
        <v>355</v>
      </c>
      <c r="P26523" s="5" t="s">
        <v>355</v>
      </c>
      <c r="Q26523" s="5" t="s">
        <v>355</v>
      </c>
    </row>
    <row r="26524" ht="16.5" customHeight="1">
      <c r="O26524" s="5" t="s">
        <v>355</v>
      </c>
      <c r="P26524" s="5" t="s">
        <v>355</v>
      </c>
      <c r="Q26524" s="5" t="s">
        <v>355</v>
      </c>
    </row>
    <row r="26525" ht="16.5" customHeight="1">
      <c r="O26525" s="5" t="s">
        <v>355</v>
      </c>
      <c r="P26525" s="5" t="s">
        <v>355</v>
      </c>
      <c r="Q26525" s="5" t="s">
        <v>355</v>
      </c>
    </row>
    <row r="26526" ht="16.5" customHeight="1">
      <c r="O26526" s="5" t="s">
        <v>355</v>
      </c>
      <c r="P26526" s="5" t="s">
        <v>355</v>
      </c>
      <c r="Q26526" s="5" t="s">
        <v>355</v>
      </c>
    </row>
    <row r="26527" ht="16.5" customHeight="1">
      <c r="O26527" s="5" t="s">
        <v>355</v>
      </c>
      <c r="P26527" s="5" t="s">
        <v>355</v>
      </c>
      <c r="Q26527" s="5" t="s">
        <v>355</v>
      </c>
    </row>
    <row r="26528" ht="16.5" customHeight="1">
      <c r="O26528" s="5" t="s">
        <v>355</v>
      </c>
      <c r="P26528" s="5" t="s">
        <v>355</v>
      </c>
      <c r="Q26528" s="5" t="s">
        <v>355</v>
      </c>
    </row>
    <row r="26529" ht="16.5" customHeight="1">
      <c r="O26529" s="5" t="s">
        <v>355</v>
      </c>
      <c r="P26529" s="5" t="s">
        <v>355</v>
      </c>
      <c r="Q26529" s="5" t="s">
        <v>355</v>
      </c>
    </row>
    <row r="26530" ht="16.5" customHeight="1">
      <c r="O26530" s="5" t="s">
        <v>355</v>
      </c>
      <c r="P26530" s="5" t="s">
        <v>355</v>
      </c>
      <c r="Q26530" s="5" t="s">
        <v>355</v>
      </c>
    </row>
    <row r="26531" ht="16.5" customHeight="1">
      <c r="O26531" s="5" t="s">
        <v>355</v>
      </c>
      <c r="P26531" s="5" t="s">
        <v>355</v>
      </c>
      <c r="Q26531" s="5" t="s">
        <v>355</v>
      </c>
    </row>
    <row r="26532" ht="16.5" customHeight="1">
      <c r="O26532" s="5" t="s">
        <v>355</v>
      </c>
      <c r="P26532" s="5" t="s">
        <v>355</v>
      </c>
      <c r="Q26532" s="5" t="s">
        <v>355</v>
      </c>
    </row>
    <row r="26533" ht="16.5" customHeight="1">
      <c r="O26533" s="5" t="s">
        <v>355</v>
      </c>
      <c r="P26533" s="5" t="s">
        <v>355</v>
      </c>
      <c r="Q26533" s="5" t="s">
        <v>355</v>
      </c>
    </row>
    <row r="26534" ht="16.5" customHeight="1">
      <c r="O26534" s="5" t="s">
        <v>355</v>
      </c>
      <c r="P26534" s="5" t="s">
        <v>355</v>
      </c>
      <c r="Q26534" s="5" t="s">
        <v>355</v>
      </c>
    </row>
    <row r="26535" ht="16.5" customHeight="1">
      <c r="O26535" s="5" t="s">
        <v>355</v>
      </c>
      <c r="P26535" s="5" t="s">
        <v>355</v>
      </c>
      <c r="Q26535" s="5" t="s">
        <v>355</v>
      </c>
    </row>
    <row r="26536" ht="16.5" customHeight="1">
      <c r="O26536" s="5" t="s">
        <v>355</v>
      </c>
      <c r="P26536" s="5" t="s">
        <v>355</v>
      </c>
      <c r="Q26536" s="5" t="s">
        <v>355</v>
      </c>
    </row>
    <row r="26537" ht="16.5" customHeight="1">
      <c r="O26537" s="5" t="s">
        <v>355</v>
      </c>
      <c r="P26537" s="5" t="s">
        <v>355</v>
      </c>
      <c r="Q26537" s="5" t="s">
        <v>355</v>
      </c>
    </row>
    <row r="26538" ht="16.5" customHeight="1">
      <c r="O26538" s="5" t="s">
        <v>355</v>
      </c>
      <c r="P26538" s="5" t="s">
        <v>355</v>
      </c>
      <c r="Q26538" s="5" t="s">
        <v>355</v>
      </c>
    </row>
    <row r="26539" ht="16.5" customHeight="1">
      <c r="O26539" s="5" t="s">
        <v>355</v>
      </c>
      <c r="P26539" s="5" t="s">
        <v>355</v>
      </c>
      <c r="Q26539" s="5" t="s">
        <v>355</v>
      </c>
    </row>
    <row r="26540" ht="16.5" customHeight="1">
      <c r="O26540" s="5" t="s">
        <v>355</v>
      </c>
      <c r="P26540" s="5" t="s">
        <v>355</v>
      </c>
      <c r="Q26540" s="5" t="s">
        <v>355</v>
      </c>
    </row>
    <row r="26541" ht="16.5" customHeight="1">
      <c r="O26541" s="5" t="s">
        <v>355</v>
      </c>
      <c r="P26541" s="5" t="s">
        <v>355</v>
      </c>
      <c r="Q26541" s="5" t="s">
        <v>355</v>
      </c>
    </row>
    <row r="26542" ht="16.5" customHeight="1">
      <c r="O26542" s="5" t="s">
        <v>355</v>
      </c>
      <c r="P26542" s="5" t="s">
        <v>355</v>
      </c>
      <c r="Q26542" s="5" t="s">
        <v>355</v>
      </c>
    </row>
    <row r="26543" ht="16.5" customHeight="1">
      <c r="O26543" s="5" t="s">
        <v>355</v>
      </c>
      <c r="P26543" s="5" t="s">
        <v>355</v>
      </c>
      <c r="Q26543" s="5" t="s">
        <v>355</v>
      </c>
    </row>
    <row r="26544" ht="16.5" customHeight="1">
      <c r="O26544" s="5" t="s">
        <v>355</v>
      </c>
      <c r="P26544" s="5" t="s">
        <v>355</v>
      </c>
      <c r="Q26544" s="5" t="s">
        <v>355</v>
      </c>
    </row>
    <row r="26545" ht="16.5" customHeight="1">
      <c r="O26545" s="5" t="s">
        <v>355</v>
      </c>
      <c r="P26545" s="5" t="s">
        <v>355</v>
      </c>
      <c r="Q26545" s="5" t="s">
        <v>355</v>
      </c>
    </row>
    <row r="26546" ht="16.5" customHeight="1">
      <c r="O26546" s="5" t="s">
        <v>355</v>
      </c>
      <c r="P26546" s="5" t="s">
        <v>355</v>
      </c>
      <c r="Q26546" s="5" t="s">
        <v>355</v>
      </c>
    </row>
    <row r="26547" ht="16.5" customHeight="1">
      <c r="O26547" s="5" t="s">
        <v>355</v>
      </c>
      <c r="P26547" s="5" t="s">
        <v>355</v>
      </c>
      <c r="Q26547" s="5" t="s">
        <v>355</v>
      </c>
    </row>
    <row r="26548" ht="16.5" customHeight="1">
      <c r="O26548" s="5" t="s">
        <v>355</v>
      </c>
      <c r="P26548" s="5" t="s">
        <v>355</v>
      </c>
      <c r="Q26548" s="5" t="s">
        <v>355</v>
      </c>
    </row>
    <row r="26549" ht="16.5" customHeight="1">
      <c r="O26549" s="5" t="s">
        <v>355</v>
      </c>
      <c r="P26549" s="5" t="s">
        <v>355</v>
      </c>
      <c r="Q26549" s="5" t="s">
        <v>355</v>
      </c>
    </row>
    <row r="26550" ht="16.5" customHeight="1">
      <c r="O26550" s="5" t="s">
        <v>355</v>
      </c>
      <c r="P26550" s="5" t="s">
        <v>355</v>
      </c>
      <c r="Q26550" s="5" t="s">
        <v>355</v>
      </c>
    </row>
    <row r="26551" ht="16.5" customHeight="1">
      <c r="O26551" s="5" t="s">
        <v>355</v>
      </c>
      <c r="P26551" s="5" t="s">
        <v>355</v>
      </c>
      <c r="Q26551" s="5" t="s">
        <v>355</v>
      </c>
    </row>
    <row r="26552" ht="16.5" customHeight="1">
      <c r="O26552" s="5" t="s">
        <v>355</v>
      </c>
      <c r="P26552" s="5" t="s">
        <v>355</v>
      </c>
      <c r="Q26552" s="5" t="s">
        <v>355</v>
      </c>
    </row>
    <row r="26553" ht="16.5" customHeight="1">
      <c r="O26553" s="5" t="s">
        <v>355</v>
      </c>
      <c r="P26553" s="5" t="s">
        <v>355</v>
      </c>
      <c r="Q26553" s="5" t="s">
        <v>355</v>
      </c>
    </row>
    <row r="26554" ht="16.5" customHeight="1">
      <c r="O26554" s="5" t="s">
        <v>355</v>
      </c>
      <c r="P26554" s="5" t="s">
        <v>355</v>
      </c>
      <c r="Q26554" s="5" t="s">
        <v>355</v>
      </c>
    </row>
    <row r="26555" ht="16.5" customHeight="1">
      <c r="O26555" s="5" t="s">
        <v>355</v>
      </c>
      <c r="P26555" s="5" t="s">
        <v>355</v>
      </c>
      <c r="Q26555" s="5" t="s">
        <v>355</v>
      </c>
    </row>
    <row r="26556" ht="16.5" customHeight="1">
      <c r="O26556" s="5" t="s">
        <v>355</v>
      </c>
      <c r="P26556" s="5" t="s">
        <v>355</v>
      </c>
      <c r="Q26556" s="5" t="s">
        <v>355</v>
      </c>
    </row>
    <row r="26557" ht="16.5" customHeight="1">
      <c r="O26557" s="5" t="s">
        <v>355</v>
      </c>
      <c r="P26557" s="5" t="s">
        <v>355</v>
      </c>
      <c r="Q26557" s="5" t="s">
        <v>355</v>
      </c>
    </row>
    <row r="26558" ht="16.5" customHeight="1">
      <c r="O26558" s="5" t="s">
        <v>355</v>
      </c>
      <c r="P26558" s="5" t="s">
        <v>355</v>
      </c>
      <c r="Q26558" s="5" t="s">
        <v>355</v>
      </c>
    </row>
    <row r="26559" ht="16.5" customHeight="1">
      <c r="O26559" s="5" t="s">
        <v>355</v>
      </c>
      <c r="P26559" s="5" t="s">
        <v>355</v>
      </c>
      <c r="Q26559" s="5" t="s">
        <v>355</v>
      </c>
    </row>
    <row r="26560" ht="16.5" customHeight="1">
      <c r="O26560" s="5" t="s">
        <v>355</v>
      </c>
      <c r="P26560" s="5" t="s">
        <v>355</v>
      </c>
      <c r="Q26560" s="5" t="s">
        <v>355</v>
      </c>
    </row>
    <row r="26561" ht="16.5" customHeight="1">
      <c r="O26561" s="5" t="s">
        <v>355</v>
      </c>
      <c r="P26561" s="5" t="s">
        <v>355</v>
      </c>
      <c r="Q26561" s="5" t="s">
        <v>355</v>
      </c>
    </row>
    <row r="26562" ht="16.5" customHeight="1">
      <c r="O26562" s="5" t="s">
        <v>355</v>
      </c>
      <c r="P26562" s="5" t="s">
        <v>355</v>
      </c>
      <c r="Q26562" s="5" t="s">
        <v>355</v>
      </c>
    </row>
    <row r="26563" ht="16.5" customHeight="1">
      <c r="O26563" s="5" t="s">
        <v>355</v>
      </c>
      <c r="P26563" s="5" t="s">
        <v>355</v>
      </c>
      <c r="Q26563" s="5" t="s">
        <v>355</v>
      </c>
    </row>
    <row r="26564" ht="16.5" customHeight="1">
      <c r="O26564" s="5" t="s">
        <v>355</v>
      </c>
      <c r="P26564" s="5" t="s">
        <v>355</v>
      </c>
      <c r="Q26564" s="5" t="s">
        <v>355</v>
      </c>
    </row>
    <row r="26565" ht="16.5" customHeight="1">
      <c r="O26565" s="5" t="s">
        <v>355</v>
      </c>
      <c r="P26565" s="5" t="s">
        <v>355</v>
      </c>
      <c r="Q26565" s="5" t="s">
        <v>355</v>
      </c>
    </row>
    <row r="26566" ht="16.5" customHeight="1">
      <c r="O26566" s="5" t="s">
        <v>355</v>
      </c>
      <c r="P26566" s="5" t="s">
        <v>355</v>
      </c>
      <c r="Q26566" s="5" t="s">
        <v>355</v>
      </c>
    </row>
    <row r="26567" ht="16.5" customHeight="1">
      <c r="O26567" s="5" t="s">
        <v>355</v>
      </c>
      <c r="P26567" s="5" t="s">
        <v>355</v>
      </c>
      <c r="Q26567" s="5" t="s">
        <v>355</v>
      </c>
    </row>
    <row r="26568" ht="16.5" customHeight="1">
      <c r="O26568" s="5" t="s">
        <v>355</v>
      </c>
      <c r="P26568" s="5" t="s">
        <v>355</v>
      </c>
      <c r="Q26568" s="5" t="s">
        <v>355</v>
      </c>
    </row>
    <row r="26569" ht="16.5" customHeight="1">
      <c r="O26569" s="5" t="s">
        <v>355</v>
      </c>
      <c r="P26569" s="5" t="s">
        <v>355</v>
      </c>
      <c r="Q26569" s="5" t="s">
        <v>355</v>
      </c>
    </row>
    <row r="26570" ht="16.5" customHeight="1">
      <c r="O26570" s="5" t="s">
        <v>355</v>
      </c>
      <c r="P26570" s="5" t="s">
        <v>355</v>
      </c>
      <c r="Q26570" s="5" t="s">
        <v>355</v>
      </c>
    </row>
    <row r="26571" ht="16.5" customHeight="1">
      <c r="O26571" s="5" t="s">
        <v>355</v>
      </c>
      <c r="P26571" s="5" t="s">
        <v>355</v>
      </c>
      <c r="Q26571" s="5" t="s">
        <v>355</v>
      </c>
    </row>
    <row r="26572" ht="16.5" customHeight="1">
      <c r="O26572" s="5" t="s">
        <v>355</v>
      </c>
      <c r="P26572" s="5" t="s">
        <v>355</v>
      </c>
      <c r="Q26572" s="5" t="s">
        <v>355</v>
      </c>
    </row>
    <row r="26573" ht="16.5" customHeight="1">
      <c r="O26573" s="5" t="s">
        <v>355</v>
      </c>
      <c r="P26573" s="5" t="s">
        <v>355</v>
      </c>
      <c r="Q26573" s="5" t="s">
        <v>355</v>
      </c>
    </row>
    <row r="26574" ht="16.5" customHeight="1">
      <c r="O26574" s="5" t="s">
        <v>355</v>
      </c>
      <c r="P26574" s="5" t="s">
        <v>355</v>
      </c>
      <c r="Q26574" s="5" t="s">
        <v>355</v>
      </c>
    </row>
    <row r="26575" ht="16.5" customHeight="1">
      <c r="O26575" s="5" t="s">
        <v>355</v>
      </c>
      <c r="P26575" s="5" t="s">
        <v>355</v>
      </c>
      <c r="Q26575" s="5" t="s">
        <v>355</v>
      </c>
    </row>
    <row r="26576" ht="16.5" customHeight="1">
      <c r="O26576" s="5" t="s">
        <v>355</v>
      </c>
      <c r="P26576" s="5" t="s">
        <v>355</v>
      </c>
      <c r="Q26576" s="5" t="s">
        <v>355</v>
      </c>
    </row>
    <row r="26577" ht="16.5" customHeight="1">
      <c r="O26577" s="5" t="s">
        <v>355</v>
      </c>
      <c r="P26577" s="5" t="s">
        <v>355</v>
      </c>
      <c r="Q26577" s="5" t="s">
        <v>355</v>
      </c>
    </row>
    <row r="26578" ht="16.5" customHeight="1">
      <c r="O26578" s="5" t="s">
        <v>355</v>
      </c>
      <c r="P26578" s="5" t="s">
        <v>355</v>
      </c>
      <c r="Q26578" s="5" t="s">
        <v>355</v>
      </c>
    </row>
    <row r="26579" ht="16.5" customHeight="1">
      <c r="O26579" s="5" t="s">
        <v>355</v>
      </c>
      <c r="P26579" s="5" t="s">
        <v>355</v>
      </c>
      <c r="Q26579" s="5" t="s">
        <v>355</v>
      </c>
    </row>
    <row r="26580" ht="16.5" customHeight="1">
      <c r="O26580" s="5" t="s">
        <v>355</v>
      </c>
      <c r="P26580" s="5" t="s">
        <v>355</v>
      </c>
      <c r="Q26580" s="5" t="s">
        <v>355</v>
      </c>
    </row>
    <row r="26581" ht="16.5" customHeight="1">
      <c r="O26581" s="5" t="s">
        <v>355</v>
      </c>
      <c r="P26581" s="5" t="s">
        <v>355</v>
      </c>
      <c r="Q26581" s="5" t="s">
        <v>355</v>
      </c>
    </row>
    <row r="26582" ht="16.5" customHeight="1">
      <c r="O26582" s="5" t="s">
        <v>355</v>
      </c>
      <c r="P26582" s="5" t="s">
        <v>355</v>
      </c>
      <c r="Q26582" s="5" t="s">
        <v>355</v>
      </c>
    </row>
    <row r="26583" ht="16.5" customHeight="1">
      <c r="O26583" s="5" t="s">
        <v>355</v>
      </c>
      <c r="P26583" s="5" t="s">
        <v>355</v>
      </c>
      <c r="Q26583" s="5" t="s">
        <v>355</v>
      </c>
    </row>
    <row r="26584" ht="16.5" customHeight="1">
      <c r="O26584" s="5" t="s">
        <v>355</v>
      </c>
      <c r="P26584" s="5" t="s">
        <v>355</v>
      </c>
      <c r="Q26584" s="5" t="s">
        <v>355</v>
      </c>
    </row>
    <row r="26585" ht="16.5" customHeight="1">
      <c r="O26585" s="5" t="s">
        <v>355</v>
      </c>
      <c r="P26585" s="5" t="s">
        <v>355</v>
      </c>
      <c r="Q26585" s="5" t="s">
        <v>355</v>
      </c>
    </row>
    <row r="26586" ht="16.5" customHeight="1">
      <c r="O26586" s="5" t="s">
        <v>355</v>
      </c>
      <c r="P26586" s="5" t="s">
        <v>355</v>
      </c>
      <c r="Q26586" s="5" t="s">
        <v>355</v>
      </c>
    </row>
    <row r="26587" ht="16.5" customHeight="1">
      <c r="O26587" s="5" t="s">
        <v>355</v>
      </c>
      <c r="P26587" s="5" t="s">
        <v>355</v>
      </c>
      <c r="Q26587" s="5" t="s">
        <v>355</v>
      </c>
    </row>
    <row r="26588" ht="16.5" customHeight="1">
      <c r="O26588" s="5" t="s">
        <v>355</v>
      </c>
      <c r="P26588" s="5" t="s">
        <v>355</v>
      </c>
      <c r="Q26588" s="5" t="s">
        <v>355</v>
      </c>
    </row>
    <row r="26589" ht="16.5" customHeight="1">
      <c r="O26589" s="5" t="s">
        <v>355</v>
      </c>
      <c r="P26589" s="5" t="s">
        <v>355</v>
      </c>
      <c r="Q26589" s="5" t="s">
        <v>355</v>
      </c>
    </row>
    <row r="26590" ht="16.5" customHeight="1">
      <c r="O26590" s="5" t="s">
        <v>355</v>
      </c>
      <c r="P26590" s="5" t="s">
        <v>355</v>
      </c>
      <c r="Q26590" s="5" t="s">
        <v>355</v>
      </c>
    </row>
    <row r="26591" ht="16.5" customHeight="1">
      <c r="O26591" s="5" t="s">
        <v>355</v>
      </c>
      <c r="P26591" s="5" t="s">
        <v>355</v>
      </c>
      <c r="Q26591" s="5" t="s">
        <v>355</v>
      </c>
    </row>
    <row r="26592" ht="16.5" customHeight="1">
      <c r="O26592" s="5" t="s">
        <v>355</v>
      </c>
      <c r="P26592" s="5" t="s">
        <v>355</v>
      </c>
      <c r="Q26592" s="5" t="s">
        <v>355</v>
      </c>
    </row>
    <row r="26593" ht="16.5" customHeight="1">
      <c r="O26593" s="5" t="s">
        <v>355</v>
      </c>
      <c r="P26593" s="5" t="s">
        <v>355</v>
      </c>
      <c r="Q26593" s="5" t="s">
        <v>355</v>
      </c>
    </row>
    <row r="26594" ht="16.5" customHeight="1">
      <c r="O26594" s="5" t="s">
        <v>355</v>
      </c>
      <c r="P26594" s="5" t="s">
        <v>355</v>
      </c>
      <c r="Q26594" s="5" t="s">
        <v>355</v>
      </c>
    </row>
    <row r="26595" ht="16.5" customHeight="1">
      <c r="O26595" s="5" t="s">
        <v>355</v>
      </c>
      <c r="P26595" s="5" t="s">
        <v>355</v>
      </c>
      <c r="Q26595" s="5" t="s">
        <v>355</v>
      </c>
    </row>
    <row r="26596" ht="16.5" customHeight="1">
      <c r="O26596" s="5" t="s">
        <v>355</v>
      </c>
      <c r="P26596" s="5" t="s">
        <v>355</v>
      </c>
      <c r="Q26596" s="5" t="s">
        <v>355</v>
      </c>
    </row>
    <row r="26597" ht="16.5" customHeight="1">
      <c r="O26597" s="5" t="s">
        <v>355</v>
      </c>
      <c r="P26597" s="5" t="s">
        <v>355</v>
      </c>
      <c r="Q26597" s="5" t="s">
        <v>355</v>
      </c>
    </row>
    <row r="26598" ht="16.5" customHeight="1">
      <c r="O26598" s="5" t="s">
        <v>355</v>
      </c>
      <c r="P26598" s="5" t="s">
        <v>355</v>
      </c>
      <c r="Q26598" s="5" t="s">
        <v>355</v>
      </c>
    </row>
    <row r="26599" ht="16.5" customHeight="1">
      <c r="O26599" s="5" t="s">
        <v>355</v>
      </c>
      <c r="P26599" s="5" t="s">
        <v>355</v>
      </c>
      <c r="Q26599" s="5" t="s">
        <v>355</v>
      </c>
    </row>
    <row r="26600" ht="16.5" customHeight="1">
      <c r="O26600" s="5" t="s">
        <v>355</v>
      </c>
      <c r="P26600" s="5" t="s">
        <v>355</v>
      </c>
      <c r="Q26600" s="5" t="s">
        <v>355</v>
      </c>
    </row>
    <row r="26601" ht="16.5" customHeight="1">
      <c r="O26601" s="5" t="s">
        <v>355</v>
      </c>
      <c r="P26601" s="5" t="s">
        <v>355</v>
      </c>
      <c r="Q26601" s="5" t="s">
        <v>355</v>
      </c>
    </row>
    <row r="26602" ht="16.5" customHeight="1">
      <c r="O26602" s="5" t="s">
        <v>355</v>
      </c>
      <c r="P26602" s="5" t="s">
        <v>355</v>
      </c>
      <c r="Q26602" s="5" t="s">
        <v>355</v>
      </c>
    </row>
    <row r="26603" ht="16.5" customHeight="1">
      <c r="O26603" s="5" t="s">
        <v>355</v>
      </c>
      <c r="P26603" s="5" t="s">
        <v>355</v>
      </c>
      <c r="Q26603" s="5" t="s">
        <v>355</v>
      </c>
    </row>
    <row r="26604" ht="16.5" customHeight="1">
      <c r="O26604" s="5" t="s">
        <v>355</v>
      </c>
      <c r="P26604" s="5" t="s">
        <v>355</v>
      </c>
      <c r="Q26604" s="5" t="s">
        <v>355</v>
      </c>
    </row>
    <row r="26605" ht="16.5" customHeight="1">
      <c r="O26605" s="5" t="s">
        <v>355</v>
      </c>
      <c r="P26605" s="5" t="s">
        <v>355</v>
      </c>
      <c r="Q26605" s="5" t="s">
        <v>355</v>
      </c>
    </row>
    <row r="26606" ht="16.5" customHeight="1">
      <c r="O26606" s="5" t="s">
        <v>355</v>
      </c>
      <c r="P26606" s="5" t="s">
        <v>355</v>
      </c>
      <c r="Q26606" s="5" t="s">
        <v>355</v>
      </c>
    </row>
    <row r="26607" ht="16.5" customHeight="1">
      <c r="O26607" s="5" t="s">
        <v>355</v>
      </c>
      <c r="P26607" s="5" t="s">
        <v>355</v>
      </c>
      <c r="Q26607" s="5" t="s">
        <v>355</v>
      </c>
    </row>
    <row r="26608" ht="16.5" customHeight="1">
      <c r="O26608" s="5" t="s">
        <v>355</v>
      </c>
      <c r="P26608" s="5" t="s">
        <v>355</v>
      </c>
      <c r="Q26608" s="5" t="s">
        <v>355</v>
      </c>
    </row>
    <row r="26609" ht="16.5" customHeight="1">
      <c r="O26609" s="5" t="s">
        <v>355</v>
      </c>
      <c r="P26609" s="5" t="s">
        <v>355</v>
      </c>
      <c r="Q26609" s="5" t="s">
        <v>355</v>
      </c>
    </row>
    <row r="26610" ht="16.5" customHeight="1">
      <c r="O26610" s="5" t="s">
        <v>355</v>
      </c>
      <c r="P26610" s="5" t="s">
        <v>355</v>
      </c>
      <c r="Q26610" s="5" t="s">
        <v>355</v>
      </c>
    </row>
    <row r="26611" ht="16.5" customHeight="1">
      <c r="O26611" s="5" t="s">
        <v>355</v>
      </c>
      <c r="P26611" s="5" t="s">
        <v>355</v>
      </c>
      <c r="Q26611" s="5" t="s">
        <v>355</v>
      </c>
    </row>
    <row r="26612" ht="16.5" customHeight="1">
      <c r="O26612" s="5" t="s">
        <v>355</v>
      </c>
      <c r="P26612" s="5" t="s">
        <v>355</v>
      </c>
      <c r="Q26612" s="5" t="s">
        <v>355</v>
      </c>
    </row>
    <row r="26613" ht="16.5" customHeight="1">
      <c r="O26613" s="5" t="s">
        <v>355</v>
      </c>
      <c r="P26613" s="5" t="s">
        <v>355</v>
      </c>
      <c r="Q26613" s="5" t="s">
        <v>355</v>
      </c>
    </row>
    <row r="26614" ht="16.5" customHeight="1">
      <c r="O26614" s="5" t="s">
        <v>355</v>
      </c>
      <c r="P26614" s="5" t="s">
        <v>355</v>
      </c>
      <c r="Q26614" s="5" t="s">
        <v>355</v>
      </c>
    </row>
    <row r="26615" ht="16.5" customHeight="1">
      <c r="O26615" s="5" t="s">
        <v>355</v>
      </c>
      <c r="P26615" s="5" t="s">
        <v>355</v>
      </c>
      <c r="Q26615" s="5" t="s">
        <v>355</v>
      </c>
    </row>
    <row r="26616" ht="16.5" customHeight="1">
      <c r="O26616" s="5" t="s">
        <v>355</v>
      </c>
      <c r="P26616" s="5" t="s">
        <v>355</v>
      </c>
      <c r="Q26616" s="5" t="s">
        <v>355</v>
      </c>
    </row>
    <row r="26617" ht="16.5" customHeight="1">
      <c r="O26617" s="5" t="s">
        <v>355</v>
      </c>
      <c r="P26617" s="5" t="s">
        <v>355</v>
      </c>
      <c r="Q26617" s="5" t="s">
        <v>355</v>
      </c>
    </row>
    <row r="26618" ht="16.5" customHeight="1">
      <c r="O26618" s="5" t="s">
        <v>355</v>
      </c>
      <c r="P26618" s="5" t="s">
        <v>355</v>
      </c>
      <c r="Q26618" s="5" t="s">
        <v>355</v>
      </c>
    </row>
    <row r="26619" ht="16.5" customHeight="1">
      <c r="O26619" s="5" t="s">
        <v>355</v>
      </c>
      <c r="P26619" s="5" t="s">
        <v>355</v>
      </c>
      <c r="Q26619" s="5" t="s">
        <v>355</v>
      </c>
    </row>
    <row r="26620" ht="16.5" customHeight="1">
      <c r="O26620" s="5" t="s">
        <v>355</v>
      </c>
      <c r="P26620" s="5" t="s">
        <v>355</v>
      </c>
      <c r="Q26620" s="5" t="s">
        <v>355</v>
      </c>
    </row>
    <row r="26621" ht="16.5" customHeight="1">
      <c r="O26621" s="5" t="s">
        <v>355</v>
      </c>
      <c r="P26621" s="5" t="s">
        <v>355</v>
      </c>
      <c r="Q26621" s="5" t="s">
        <v>355</v>
      </c>
    </row>
    <row r="26622" ht="16.5" customHeight="1">
      <c r="O26622" s="5" t="s">
        <v>355</v>
      </c>
      <c r="P26622" s="5" t="s">
        <v>355</v>
      </c>
      <c r="Q26622" s="5" t="s">
        <v>355</v>
      </c>
    </row>
    <row r="26623" ht="16.5" customHeight="1">
      <c r="O26623" s="5" t="s">
        <v>355</v>
      </c>
      <c r="P26623" s="5" t="s">
        <v>355</v>
      </c>
      <c r="Q26623" s="5" t="s">
        <v>355</v>
      </c>
    </row>
    <row r="26624" ht="16.5" customHeight="1">
      <c r="O26624" s="5" t="s">
        <v>355</v>
      </c>
      <c r="P26624" s="5" t="s">
        <v>355</v>
      </c>
      <c r="Q26624" s="5" t="s">
        <v>355</v>
      </c>
    </row>
    <row r="26625" ht="16.5" customHeight="1">
      <c r="O26625" s="5" t="s">
        <v>355</v>
      </c>
      <c r="P26625" s="5" t="s">
        <v>355</v>
      </c>
      <c r="Q26625" s="5" t="s">
        <v>355</v>
      </c>
    </row>
    <row r="26626" ht="16.5" customHeight="1">
      <c r="O26626" s="5" t="s">
        <v>355</v>
      </c>
      <c r="P26626" s="5" t="s">
        <v>355</v>
      </c>
      <c r="Q26626" s="5" t="s">
        <v>355</v>
      </c>
    </row>
    <row r="26627" ht="16.5" customHeight="1">
      <c r="O26627" s="5" t="s">
        <v>355</v>
      </c>
      <c r="P26627" s="5" t="s">
        <v>355</v>
      </c>
      <c r="Q26627" s="5" t="s">
        <v>355</v>
      </c>
    </row>
    <row r="26628" ht="16.5" customHeight="1">
      <c r="O26628" s="5" t="s">
        <v>355</v>
      </c>
      <c r="P26628" s="5" t="s">
        <v>355</v>
      </c>
      <c r="Q26628" s="5" t="s">
        <v>355</v>
      </c>
    </row>
    <row r="26629" ht="16.5" customHeight="1">
      <c r="O26629" s="5" t="s">
        <v>355</v>
      </c>
      <c r="P26629" s="5" t="s">
        <v>355</v>
      </c>
      <c r="Q26629" s="5" t="s">
        <v>355</v>
      </c>
    </row>
    <row r="26630" ht="16.5" customHeight="1">
      <c r="O26630" s="5" t="s">
        <v>355</v>
      </c>
      <c r="P26630" s="5" t="s">
        <v>355</v>
      </c>
      <c r="Q26630" s="5" t="s">
        <v>355</v>
      </c>
    </row>
    <row r="26631" ht="16.5" customHeight="1">
      <c r="O26631" s="5" t="s">
        <v>355</v>
      </c>
      <c r="P26631" s="5" t="s">
        <v>355</v>
      </c>
      <c r="Q26631" s="5" t="s">
        <v>355</v>
      </c>
    </row>
    <row r="26632" ht="16.5" customHeight="1">
      <c r="O26632" s="5" t="s">
        <v>355</v>
      </c>
      <c r="P26632" s="5" t="s">
        <v>355</v>
      </c>
      <c r="Q26632" s="5" t="s">
        <v>355</v>
      </c>
    </row>
    <row r="26633" ht="16.5" customHeight="1">
      <c r="O26633" s="5" t="s">
        <v>355</v>
      </c>
      <c r="P26633" s="5" t="s">
        <v>355</v>
      </c>
      <c r="Q26633" s="5" t="s">
        <v>355</v>
      </c>
    </row>
    <row r="26634" ht="16.5" customHeight="1">
      <c r="O26634" s="5" t="s">
        <v>355</v>
      </c>
      <c r="P26634" s="5" t="s">
        <v>355</v>
      </c>
      <c r="Q26634" s="5" t="s">
        <v>355</v>
      </c>
    </row>
    <row r="26635" ht="16.5" customHeight="1">
      <c r="O26635" s="5" t="s">
        <v>355</v>
      </c>
      <c r="P26635" s="5" t="s">
        <v>355</v>
      </c>
      <c r="Q26635" s="5" t="s">
        <v>355</v>
      </c>
    </row>
    <row r="26636" ht="16.5" customHeight="1">
      <c r="O26636" s="5" t="s">
        <v>355</v>
      </c>
      <c r="P26636" s="5" t="s">
        <v>355</v>
      </c>
      <c r="Q26636" s="5" t="s">
        <v>355</v>
      </c>
    </row>
    <row r="26637" ht="16.5" customHeight="1">
      <c r="O26637" s="5" t="s">
        <v>355</v>
      </c>
      <c r="P26637" s="5" t="s">
        <v>355</v>
      </c>
      <c r="Q26637" s="5" t="s">
        <v>355</v>
      </c>
    </row>
    <row r="26638" ht="16.5" customHeight="1">
      <c r="O26638" s="5" t="s">
        <v>355</v>
      </c>
      <c r="P26638" s="5" t="s">
        <v>355</v>
      </c>
      <c r="Q26638" s="5" t="s">
        <v>355</v>
      </c>
    </row>
    <row r="26639" ht="16.5" customHeight="1">
      <c r="O26639" s="5" t="s">
        <v>355</v>
      </c>
      <c r="P26639" s="5" t="s">
        <v>355</v>
      </c>
      <c r="Q26639" s="5" t="s">
        <v>355</v>
      </c>
    </row>
    <row r="26640" ht="16.5" customHeight="1">
      <c r="O26640" s="5" t="s">
        <v>355</v>
      </c>
      <c r="P26640" s="5" t="s">
        <v>355</v>
      </c>
      <c r="Q26640" s="5" t="s">
        <v>355</v>
      </c>
    </row>
    <row r="26641" ht="16.5" customHeight="1">
      <c r="O26641" s="5" t="s">
        <v>355</v>
      </c>
      <c r="P26641" s="5" t="s">
        <v>355</v>
      </c>
      <c r="Q26641" s="5" t="s">
        <v>355</v>
      </c>
    </row>
    <row r="26642" ht="16.5" customHeight="1">
      <c r="O26642" s="5" t="s">
        <v>355</v>
      </c>
      <c r="P26642" s="5" t="s">
        <v>355</v>
      </c>
      <c r="Q26642" s="5" t="s">
        <v>355</v>
      </c>
    </row>
    <row r="26643" ht="16.5" customHeight="1">
      <c r="O26643" s="5" t="s">
        <v>355</v>
      </c>
      <c r="P26643" s="5" t="s">
        <v>355</v>
      </c>
      <c r="Q26643" s="5" t="s">
        <v>355</v>
      </c>
    </row>
    <row r="26644" ht="16.5" customHeight="1">
      <c r="O26644" s="5" t="s">
        <v>355</v>
      </c>
      <c r="P26644" s="5" t="s">
        <v>355</v>
      </c>
      <c r="Q26644" s="5" t="s">
        <v>355</v>
      </c>
    </row>
    <row r="26645" ht="16.5" customHeight="1">
      <c r="O26645" s="5" t="s">
        <v>355</v>
      </c>
      <c r="P26645" s="5" t="s">
        <v>355</v>
      </c>
      <c r="Q26645" s="5" t="s">
        <v>355</v>
      </c>
    </row>
    <row r="26646" ht="16.5" customHeight="1">
      <c r="O26646" s="5" t="s">
        <v>355</v>
      </c>
      <c r="P26646" s="5" t="s">
        <v>355</v>
      </c>
      <c r="Q26646" s="5" t="s">
        <v>355</v>
      </c>
    </row>
    <row r="26647" ht="16.5" customHeight="1">
      <c r="O26647" s="5" t="s">
        <v>355</v>
      </c>
      <c r="P26647" s="5" t="s">
        <v>355</v>
      </c>
      <c r="Q26647" s="5" t="s">
        <v>355</v>
      </c>
    </row>
    <row r="26648" ht="16.5" customHeight="1">
      <c r="O26648" s="5" t="s">
        <v>355</v>
      </c>
      <c r="P26648" s="5" t="s">
        <v>355</v>
      </c>
      <c r="Q26648" s="5" t="s">
        <v>355</v>
      </c>
    </row>
    <row r="26649" ht="16.5" customHeight="1">
      <c r="O26649" s="5" t="s">
        <v>355</v>
      </c>
      <c r="P26649" s="5" t="s">
        <v>355</v>
      </c>
      <c r="Q26649" s="5" t="s">
        <v>355</v>
      </c>
    </row>
    <row r="26650" ht="16.5" customHeight="1">
      <c r="O26650" s="5" t="s">
        <v>355</v>
      </c>
      <c r="P26650" s="5" t="s">
        <v>355</v>
      </c>
      <c r="Q26650" s="5" t="s">
        <v>355</v>
      </c>
    </row>
    <row r="26651" ht="16.5" customHeight="1">
      <c r="O26651" s="5" t="s">
        <v>355</v>
      </c>
      <c r="P26651" s="5" t="s">
        <v>355</v>
      </c>
      <c r="Q26651" s="5" t="s">
        <v>355</v>
      </c>
    </row>
    <row r="26652" ht="16.5" customHeight="1">
      <c r="O26652" s="5" t="s">
        <v>355</v>
      </c>
      <c r="P26652" s="5" t="s">
        <v>355</v>
      </c>
      <c r="Q26652" s="5" t="s">
        <v>355</v>
      </c>
    </row>
    <row r="26653" ht="16.5" customHeight="1">
      <c r="O26653" s="5" t="s">
        <v>355</v>
      </c>
      <c r="P26653" s="5" t="s">
        <v>355</v>
      </c>
      <c r="Q26653" s="5" t="s">
        <v>355</v>
      </c>
    </row>
    <row r="26654" ht="16.5" customHeight="1">
      <c r="O26654" s="5" t="s">
        <v>355</v>
      </c>
      <c r="P26654" s="5" t="s">
        <v>355</v>
      </c>
      <c r="Q26654" s="5" t="s">
        <v>355</v>
      </c>
    </row>
    <row r="26655" ht="16.5" customHeight="1">
      <c r="O26655" s="5" t="s">
        <v>355</v>
      </c>
      <c r="P26655" s="5" t="s">
        <v>355</v>
      </c>
      <c r="Q26655" s="5" t="s">
        <v>355</v>
      </c>
    </row>
    <row r="26656" ht="16.5" customHeight="1">
      <c r="O26656" s="5" t="s">
        <v>355</v>
      </c>
      <c r="P26656" s="5" t="s">
        <v>355</v>
      </c>
      <c r="Q26656" s="5" t="s">
        <v>355</v>
      </c>
    </row>
    <row r="26657" ht="16.5" customHeight="1">
      <c r="O26657" s="5" t="s">
        <v>355</v>
      </c>
      <c r="P26657" s="5" t="s">
        <v>355</v>
      </c>
      <c r="Q26657" s="5" t="s">
        <v>355</v>
      </c>
    </row>
    <row r="26658" ht="16.5" customHeight="1">
      <c r="O26658" s="5" t="s">
        <v>355</v>
      </c>
      <c r="P26658" s="5" t="s">
        <v>355</v>
      </c>
      <c r="Q26658" s="5" t="s">
        <v>355</v>
      </c>
    </row>
    <row r="26659" ht="16.5" customHeight="1">
      <c r="O26659" s="5" t="s">
        <v>355</v>
      </c>
      <c r="P26659" s="5" t="s">
        <v>355</v>
      </c>
      <c r="Q26659" s="5" t="s">
        <v>355</v>
      </c>
    </row>
    <row r="26660" ht="16.5" customHeight="1">
      <c r="O26660" s="5" t="s">
        <v>355</v>
      </c>
      <c r="P26660" s="5" t="s">
        <v>355</v>
      </c>
      <c r="Q26660" s="5" t="s">
        <v>355</v>
      </c>
    </row>
    <row r="26661" ht="16.5" customHeight="1">
      <c r="O26661" s="5" t="s">
        <v>355</v>
      </c>
      <c r="P26661" s="5" t="s">
        <v>355</v>
      </c>
      <c r="Q26661" s="5" t="s">
        <v>355</v>
      </c>
    </row>
    <row r="26662" ht="16.5" customHeight="1">
      <c r="O26662" s="5" t="s">
        <v>355</v>
      </c>
      <c r="P26662" s="5" t="s">
        <v>355</v>
      </c>
      <c r="Q26662" s="5" t="s">
        <v>355</v>
      </c>
    </row>
    <row r="26663" ht="16.5" customHeight="1">
      <c r="O26663" s="5" t="s">
        <v>355</v>
      </c>
      <c r="P26663" s="5" t="s">
        <v>355</v>
      </c>
      <c r="Q26663" s="5" t="s">
        <v>355</v>
      </c>
    </row>
    <row r="26664" ht="16.5" customHeight="1">
      <c r="O26664" s="5" t="s">
        <v>355</v>
      </c>
      <c r="P26664" s="5" t="s">
        <v>355</v>
      </c>
      <c r="Q26664" s="5" t="s">
        <v>355</v>
      </c>
    </row>
    <row r="26665" ht="16.5" customHeight="1">
      <c r="O26665" s="5" t="s">
        <v>355</v>
      </c>
      <c r="P26665" s="5" t="s">
        <v>355</v>
      </c>
      <c r="Q26665" s="5" t="s">
        <v>355</v>
      </c>
    </row>
    <row r="26666" ht="16.5" customHeight="1">
      <c r="O26666" s="5" t="s">
        <v>355</v>
      </c>
      <c r="P26666" s="5" t="s">
        <v>355</v>
      </c>
      <c r="Q26666" s="5" t="s">
        <v>355</v>
      </c>
    </row>
    <row r="26667" ht="16.5" customHeight="1">
      <c r="O26667" s="5" t="s">
        <v>355</v>
      </c>
      <c r="P26667" s="5" t="s">
        <v>355</v>
      </c>
      <c r="Q26667" s="5" t="s">
        <v>355</v>
      </c>
    </row>
    <row r="26668" ht="16.5" customHeight="1">
      <c r="O26668" s="5" t="s">
        <v>355</v>
      </c>
      <c r="P26668" s="5" t="s">
        <v>355</v>
      </c>
      <c r="Q26668" s="5" t="s">
        <v>355</v>
      </c>
    </row>
    <row r="26669" ht="16.5" customHeight="1">
      <c r="O26669" s="5" t="s">
        <v>355</v>
      </c>
      <c r="P26669" s="5" t="s">
        <v>355</v>
      </c>
      <c r="Q26669" s="5" t="s">
        <v>355</v>
      </c>
    </row>
    <row r="26670" ht="16.5" customHeight="1">
      <c r="O26670" s="5" t="s">
        <v>355</v>
      </c>
      <c r="P26670" s="5" t="s">
        <v>355</v>
      </c>
      <c r="Q26670" s="5" t="s">
        <v>355</v>
      </c>
    </row>
    <row r="26671" ht="16.5" customHeight="1">
      <c r="O26671" s="5" t="s">
        <v>355</v>
      </c>
      <c r="P26671" s="5" t="s">
        <v>355</v>
      </c>
      <c r="Q26671" s="5" t="s">
        <v>355</v>
      </c>
    </row>
    <row r="26672" ht="16.5" customHeight="1">
      <c r="O26672" s="5" t="s">
        <v>355</v>
      </c>
      <c r="P26672" s="5" t="s">
        <v>355</v>
      </c>
      <c r="Q26672" s="5" t="s">
        <v>355</v>
      </c>
    </row>
    <row r="26673" ht="16.5" customHeight="1">
      <c r="O26673" s="5" t="s">
        <v>355</v>
      </c>
      <c r="P26673" s="5" t="s">
        <v>355</v>
      </c>
      <c r="Q26673" s="5" t="s">
        <v>355</v>
      </c>
    </row>
    <row r="26674" ht="16.5" customHeight="1">
      <c r="O26674" s="5" t="s">
        <v>355</v>
      </c>
      <c r="P26674" s="5" t="s">
        <v>355</v>
      </c>
      <c r="Q26674" s="5" t="s">
        <v>355</v>
      </c>
    </row>
    <row r="26675" ht="16.5" customHeight="1">
      <c r="O26675" s="5" t="s">
        <v>355</v>
      </c>
      <c r="P26675" s="5" t="s">
        <v>355</v>
      </c>
      <c r="Q26675" s="5" t="s">
        <v>355</v>
      </c>
    </row>
    <row r="26676" ht="16.5" customHeight="1">
      <c r="O26676" s="5" t="s">
        <v>355</v>
      </c>
      <c r="P26676" s="5" t="s">
        <v>355</v>
      </c>
      <c r="Q26676" s="5" t="s">
        <v>355</v>
      </c>
    </row>
    <row r="26677" ht="16.5" customHeight="1">
      <c r="O26677" s="5" t="s">
        <v>355</v>
      </c>
      <c r="P26677" s="5" t="s">
        <v>355</v>
      </c>
      <c r="Q26677" s="5" t="s">
        <v>355</v>
      </c>
    </row>
    <row r="26678" ht="16.5" customHeight="1">
      <c r="O26678" s="5" t="s">
        <v>355</v>
      </c>
      <c r="P26678" s="5" t="s">
        <v>355</v>
      </c>
      <c r="Q26678" s="5" t="s">
        <v>355</v>
      </c>
    </row>
    <row r="26679" ht="16.5" customHeight="1">
      <c r="O26679" s="5" t="s">
        <v>355</v>
      </c>
      <c r="P26679" s="5" t="s">
        <v>355</v>
      </c>
      <c r="Q26679" s="5" t="s">
        <v>355</v>
      </c>
    </row>
    <row r="26680" ht="16.5" customHeight="1">
      <c r="O26680" s="5" t="s">
        <v>355</v>
      </c>
      <c r="P26680" s="5" t="s">
        <v>355</v>
      </c>
      <c r="Q26680" s="5" t="s">
        <v>355</v>
      </c>
    </row>
    <row r="26681" ht="16.5" customHeight="1">
      <c r="O26681" s="5" t="s">
        <v>355</v>
      </c>
      <c r="P26681" s="5" t="s">
        <v>355</v>
      </c>
      <c r="Q26681" s="5" t="s">
        <v>355</v>
      </c>
    </row>
    <row r="26682" ht="16.5" customHeight="1">
      <c r="O26682" s="5" t="s">
        <v>355</v>
      </c>
      <c r="P26682" s="5" t="s">
        <v>355</v>
      </c>
      <c r="Q26682" s="5" t="s">
        <v>355</v>
      </c>
    </row>
    <row r="26683" ht="16.5" customHeight="1">
      <c r="O26683" s="5" t="s">
        <v>355</v>
      </c>
      <c r="P26683" s="5" t="s">
        <v>355</v>
      </c>
      <c r="Q26683" s="5" t="s">
        <v>355</v>
      </c>
    </row>
    <row r="26684" ht="16.5" customHeight="1">
      <c r="O26684" s="5" t="s">
        <v>355</v>
      </c>
      <c r="P26684" s="5" t="s">
        <v>355</v>
      </c>
      <c r="Q26684" s="5" t="s">
        <v>355</v>
      </c>
    </row>
    <row r="26685" ht="16.5" customHeight="1">
      <c r="O26685" s="5" t="s">
        <v>355</v>
      </c>
      <c r="P26685" s="5" t="s">
        <v>355</v>
      </c>
      <c r="Q26685" s="5" t="s">
        <v>355</v>
      </c>
    </row>
    <row r="26686" ht="16.5" customHeight="1">
      <c r="O26686" s="5" t="s">
        <v>355</v>
      </c>
      <c r="P26686" s="5" t="s">
        <v>355</v>
      </c>
      <c r="Q26686" s="5" t="s">
        <v>355</v>
      </c>
    </row>
    <row r="26687" ht="16.5" customHeight="1">
      <c r="O26687" s="5" t="s">
        <v>355</v>
      </c>
      <c r="P26687" s="5" t="s">
        <v>355</v>
      </c>
      <c r="Q26687" s="5" t="s">
        <v>355</v>
      </c>
    </row>
    <row r="26688" ht="16.5" customHeight="1">
      <c r="O26688" s="5" t="s">
        <v>355</v>
      </c>
      <c r="P26688" s="5" t="s">
        <v>355</v>
      </c>
      <c r="Q26688" s="5" t="s">
        <v>355</v>
      </c>
    </row>
    <row r="26689" ht="16.5" customHeight="1">
      <c r="O26689" s="5" t="s">
        <v>355</v>
      </c>
      <c r="P26689" s="5" t="s">
        <v>355</v>
      </c>
      <c r="Q26689" s="5" t="s">
        <v>355</v>
      </c>
    </row>
    <row r="26690" ht="16.5" customHeight="1">
      <c r="O26690" s="5" t="s">
        <v>355</v>
      </c>
      <c r="P26690" s="5" t="s">
        <v>355</v>
      </c>
      <c r="Q26690" s="5" t="s">
        <v>355</v>
      </c>
    </row>
    <row r="26691" ht="16.5" customHeight="1">
      <c r="O26691" s="5" t="s">
        <v>355</v>
      </c>
      <c r="P26691" s="5" t="s">
        <v>355</v>
      </c>
      <c r="Q26691" s="5" t="s">
        <v>355</v>
      </c>
    </row>
    <row r="26692" ht="16.5" customHeight="1">
      <c r="O26692" s="5" t="s">
        <v>355</v>
      </c>
      <c r="P26692" s="5" t="s">
        <v>355</v>
      </c>
      <c r="Q26692" s="5" t="s">
        <v>355</v>
      </c>
    </row>
    <row r="26693" ht="16.5" customHeight="1">
      <c r="O26693" s="5" t="s">
        <v>355</v>
      </c>
      <c r="P26693" s="5" t="s">
        <v>355</v>
      </c>
      <c r="Q26693" s="5" t="s">
        <v>355</v>
      </c>
    </row>
    <row r="26694" ht="16.5" customHeight="1">
      <c r="O26694" s="5" t="s">
        <v>355</v>
      </c>
      <c r="P26694" s="5" t="s">
        <v>355</v>
      </c>
      <c r="Q26694" s="5" t="s">
        <v>355</v>
      </c>
    </row>
    <row r="26695" ht="16.5" customHeight="1">
      <c r="O26695" s="5" t="s">
        <v>355</v>
      </c>
      <c r="P26695" s="5" t="s">
        <v>355</v>
      </c>
      <c r="Q26695" s="5" t="s">
        <v>355</v>
      </c>
    </row>
    <row r="26696" ht="16.5" customHeight="1">
      <c r="O26696" s="5" t="s">
        <v>355</v>
      </c>
      <c r="P26696" s="5" t="s">
        <v>355</v>
      </c>
      <c r="Q26696" s="5" t="s">
        <v>355</v>
      </c>
    </row>
    <row r="26697" ht="16.5" customHeight="1">
      <c r="O26697" s="5" t="s">
        <v>355</v>
      </c>
      <c r="P26697" s="5" t="s">
        <v>355</v>
      </c>
      <c r="Q26697" s="5" t="s">
        <v>355</v>
      </c>
    </row>
    <row r="26698" ht="16.5" customHeight="1">
      <c r="O26698" s="5" t="s">
        <v>355</v>
      </c>
      <c r="P26698" s="5" t="s">
        <v>355</v>
      </c>
      <c r="Q26698" s="5" t="s">
        <v>355</v>
      </c>
    </row>
    <row r="26699" ht="16.5" customHeight="1">
      <c r="O26699" s="5" t="s">
        <v>355</v>
      </c>
      <c r="P26699" s="5" t="s">
        <v>355</v>
      </c>
      <c r="Q26699" s="5" t="s">
        <v>355</v>
      </c>
    </row>
    <row r="26700" ht="16.5" customHeight="1">
      <c r="O26700" s="5" t="s">
        <v>355</v>
      </c>
      <c r="P26700" s="5" t="s">
        <v>355</v>
      </c>
      <c r="Q26700" s="5" t="s">
        <v>355</v>
      </c>
    </row>
    <row r="26701" ht="16.5" customHeight="1">
      <c r="O26701" s="5" t="s">
        <v>355</v>
      </c>
      <c r="P26701" s="5" t="s">
        <v>355</v>
      </c>
      <c r="Q26701" s="5" t="s">
        <v>355</v>
      </c>
    </row>
    <row r="26702" ht="16.5" customHeight="1">
      <c r="O26702" s="5" t="s">
        <v>355</v>
      </c>
      <c r="P26702" s="5" t="s">
        <v>355</v>
      </c>
      <c r="Q26702" s="5" t="s">
        <v>355</v>
      </c>
    </row>
    <row r="26703" ht="16.5" customHeight="1">
      <c r="O26703" s="5" t="s">
        <v>355</v>
      </c>
      <c r="P26703" s="5" t="s">
        <v>355</v>
      </c>
      <c r="Q26703" s="5" t="s">
        <v>355</v>
      </c>
    </row>
    <row r="26704" ht="16.5" customHeight="1">
      <c r="O26704" s="5" t="s">
        <v>355</v>
      </c>
      <c r="P26704" s="5" t="s">
        <v>355</v>
      </c>
      <c r="Q26704" s="5" t="s">
        <v>355</v>
      </c>
    </row>
    <row r="26705" ht="16.5" customHeight="1">
      <c r="O26705" s="5" t="s">
        <v>355</v>
      </c>
      <c r="P26705" s="5" t="s">
        <v>355</v>
      </c>
      <c r="Q26705" s="5" t="s">
        <v>355</v>
      </c>
    </row>
    <row r="26706" ht="16.5" customHeight="1">
      <c r="O26706" s="5" t="s">
        <v>355</v>
      </c>
      <c r="P26706" s="5" t="s">
        <v>355</v>
      </c>
      <c r="Q26706" s="5" t="s">
        <v>355</v>
      </c>
    </row>
    <row r="26707" ht="16.5" customHeight="1">
      <c r="O26707" s="5" t="s">
        <v>355</v>
      </c>
      <c r="P26707" s="5" t="s">
        <v>355</v>
      </c>
      <c r="Q26707" s="5" t="s">
        <v>355</v>
      </c>
    </row>
    <row r="26708" ht="16.5" customHeight="1">
      <c r="O26708" s="5" t="s">
        <v>355</v>
      </c>
      <c r="P26708" s="5" t="s">
        <v>355</v>
      </c>
      <c r="Q26708" s="5" t="s">
        <v>355</v>
      </c>
    </row>
    <row r="26709" ht="16.5" customHeight="1">
      <c r="O26709" s="5" t="s">
        <v>355</v>
      </c>
      <c r="P26709" s="5" t="s">
        <v>355</v>
      </c>
      <c r="Q26709" s="5" t="s">
        <v>355</v>
      </c>
    </row>
    <row r="26710" ht="16.5" customHeight="1">
      <c r="O26710" s="5" t="s">
        <v>355</v>
      </c>
      <c r="P26710" s="5" t="s">
        <v>355</v>
      </c>
      <c r="Q26710" s="5" t="s">
        <v>355</v>
      </c>
    </row>
    <row r="26711" ht="16.5" customHeight="1">
      <c r="O26711" s="5" t="s">
        <v>355</v>
      </c>
      <c r="P26711" s="5" t="s">
        <v>355</v>
      </c>
      <c r="Q26711" s="5" t="s">
        <v>355</v>
      </c>
    </row>
    <row r="26712" ht="16.5" customHeight="1">
      <c r="O26712" s="5" t="s">
        <v>355</v>
      </c>
      <c r="P26712" s="5" t="s">
        <v>355</v>
      </c>
      <c r="Q26712" s="5" t="s">
        <v>355</v>
      </c>
    </row>
    <row r="26713" ht="16.5" customHeight="1">
      <c r="O26713" s="5" t="s">
        <v>355</v>
      </c>
      <c r="P26713" s="5" t="s">
        <v>355</v>
      </c>
      <c r="Q26713" s="5" t="s">
        <v>355</v>
      </c>
    </row>
    <row r="26714" ht="16.5" customHeight="1">
      <c r="O26714" s="5" t="s">
        <v>355</v>
      </c>
      <c r="P26714" s="5" t="s">
        <v>355</v>
      </c>
      <c r="Q26714" s="5" t="s">
        <v>355</v>
      </c>
    </row>
    <row r="26715" ht="16.5" customHeight="1">
      <c r="O26715" s="5" t="s">
        <v>355</v>
      </c>
      <c r="P26715" s="5" t="s">
        <v>355</v>
      </c>
      <c r="Q26715" s="5" t="s">
        <v>355</v>
      </c>
    </row>
    <row r="26716" ht="16.5" customHeight="1">
      <c r="O26716" s="5" t="s">
        <v>355</v>
      </c>
      <c r="P26716" s="5" t="s">
        <v>355</v>
      </c>
      <c r="Q26716" s="5" t="s">
        <v>355</v>
      </c>
    </row>
    <row r="26717" ht="16.5" customHeight="1">
      <c r="O26717" s="5" t="s">
        <v>355</v>
      </c>
      <c r="P26717" s="5" t="s">
        <v>355</v>
      </c>
      <c r="Q26717" s="5" t="s">
        <v>355</v>
      </c>
    </row>
    <row r="26718" ht="16.5" customHeight="1">
      <c r="O26718" s="5" t="s">
        <v>355</v>
      </c>
      <c r="P26718" s="5" t="s">
        <v>355</v>
      </c>
      <c r="Q26718" s="5" t="s">
        <v>355</v>
      </c>
    </row>
    <row r="26719" ht="16.5" customHeight="1">
      <c r="O26719" s="5" t="s">
        <v>355</v>
      </c>
      <c r="P26719" s="5" t="s">
        <v>355</v>
      </c>
      <c r="Q26719" s="5" t="s">
        <v>355</v>
      </c>
    </row>
    <row r="26720" ht="16.5" customHeight="1">
      <c r="O26720" s="5" t="s">
        <v>355</v>
      </c>
      <c r="P26720" s="5" t="s">
        <v>355</v>
      </c>
      <c r="Q26720" s="5" t="s">
        <v>355</v>
      </c>
    </row>
    <row r="26721" ht="16.5" customHeight="1">
      <c r="O26721" s="5" t="s">
        <v>355</v>
      </c>
      <c r="P26721" s="5" t="s">
        <v>355</v>
      </c>
      <c r="Q26721" s="5" t="s">
        <v>355</v>
      </c>
    </row>
    <row r="26722" ht="16.5" customHeight="1">
      <c r="O26722" s="5" t="s">
        <v>355</v>
      </c>
      <c r="P26722" s="5" t="s">
        <v>355</v>
      </c>
      <c r="Q26722" s="5" t="s">
        <v>355</v>
      </c>
    </row>
    <row r="26723" ht="16.5" customHeight="1">
      <c r="O26723" s="5" t="s">
        <v>355</v>
      </c>
      <c r="P26723" s="5" t="s">
        <v>355</v>
      </c>
      <c r="Q26723" s="5" t="s">
        <v>355</v>
      </c>
    </row>
    <row r="26724" ht="16.5" customHeight="1">
      <c r="O26724" s="5" t="s">
        <v>355</v>
      </c>
      <c r="P26724" s="5" t="s">
        <v>355</v>
      </c>
      <c r="Q26724" s="5" t="s">
        <v>355</v>
      </c>
    </row>
    <row r="26725" ht="16.5" customHeight="1">
      <c r="O26725" s="5" t="s">
        <v>355</v>
      </c>
      <c r="P26725" s="5" t="s">
        <v>355</v>
      </c>
      <c r="Q26725" s="5" t="s">
        <v>355</v>
      </c>
    </row>
    <row r="26726" ht="16.5" customHeight="1">
      <c r="O26726" s="5" t="s">
        <v>355</v>
      </c>
      <c r="P26726" s="5" t="s">
        <v>355</v>
      </c>
      <c r="Q26726" s="5" t="s">
        <v>355</v>
      </c>
    </row>
    <row r="26727" ht="16.5" customHeight="1">
      <c r="O26727" s="5" t="s">
        <v>355</v>
      </c>
      <c r="P26727" s="5" t="s">
        <v>355</v>
      </c>
      <c r="Q26727" s="5" t="s">
        <v>355</v>
      </c>
    </row>
    <row r="26728" ht="16.5" customHeight="1">
      <c r="O26728" s="5" t="s">
        <v>355</v>
      </c>
      <c r="P26728" s="5" t="s">
        <v>355</v>
      </c>
      <c r="Q26728" s="5" t="s">
        <v>355</v>
      </c>
    </row>
    <row r="26729" ht="16.5" customHeight="1">
      <c r="O26729" s="5" t="s">
        <v>355</v>
      </c>
      <c r="P26729" s="5" t="s">
        <v>355</v>
      </c>
      <c r="Q26729" s="5" t="s">
        <v>355</v>
      </c>
    </row>
    <row r="26730" ht="16.5" customHeight="1">
      <c r="O26730" s="5" t="s">
        <v>355</v>
      </c>
      <c r="P26730" s="5" t="s">
        <v>355</v>
      </c>
      <c r="Q26730" s="5" t="s">
        <v>355</v>
      </c>
    </row>
    <row r="26731" ht="16.5" customHeight="1">
      <c r="O26731" s="5" t="s">
        <v>355</v>
      </c>
      <c r="P26731" s="5" t="s">
        <v>355</v>
      </c>
      <c r="Q26731" s="5" t="s">
        <v>355</v>
      </c>
    </row>
    <row r="26732" ht="16.5" customHeight="1">
      <c r="O26732" s="5" t="s">
        <v>355</v>
      </c>
      <c r="P26732" s="5" t="s">
        <v>355</v>
      </c>
      <c r="Q26732" s="5" t="s">
        <v>355</v>
      </c>
    </row>
    <row r="26733" ht="16.5" customHeight="1">
      <c r="O26733" s="5" t="s">
        <v>355</v>
      </c>
      <c r="P26733" s="5" t="s">
        <v>355</v>
      </c>
      <c r="Q26733" s="5" t="s">
        <v>355</v>
      </c>
    </row>
    <row r="26734" ht="16.5" customHeight="1">
      <c r="O26734" s="5" t="s">
        <v>355</v>
      </c>
      <c r="P26734" s="5" t="s">
        <v>355</v>
      </c>
      <c r="Q26734" s="5" t="s">
        <v>355</v>
      </c>
    </row>
    <row r="26735" ht="16.5" customHeight="1">
      <c r="O26735" s="5" t="s">
        <v>355</v>
      </c>
      <c r="P26735" s="5" t="s">
        <v>355</v>
      </c>
      <c r="Q26735" s="5" t="s">
        <v>355</v>
      </c>
    </row>
    <row r="26736" ht="16.5" customHeight="1">
      <c r="O26736" s="5" t="s">
        <v>355</v>
      </c>
      <c r="P26736" s="5" t="s">
        <v>355</v>
      </c>
      <c r="Q26736" s="5" t="s">
        <v>355</v>
      </c>
    </row>
    <row r="26737" ht="16.5" customHeight="1">
      <c r="O26737" s="5" t="s">
        <v>355</v>
      </c>
      <c r="P26737" s="5" t="s">
        <v>355</v>
      </c>
      <c r="Q26737" s="5" t="s">
        <v>355</v>
      </c>
    </row>
    <row r="26738" ht="16.5" customHeight="1">
      <c r="O26738" s="5" t="s">
        <v>355</v>
      </c>
      <c r="P26738" s="5" t="s">
        <v>355</v>
      </c>
      <c r="Q26738" s="5" t="s">
        <v>355</v>
      </c>
    </row>
    <row r="26739" ht="16.5" customHeight="1">
      <c r="O26739" s="5" t="s">
        <v>355</v>
      </c>
      <c r="P26739" s="5" t="s">
        <v>355</v>
      </c>
      <c r="Q26739" s="5" t="s">
        <v>355</v>
      </c>
    </row>
    <row r="26740" ht="16.5" customHeight="1">
      <c r="O26740" s="5" t="s">
        <v>355</v>
      </c>
      <c r="P26740" s="5" t="s">
        <v>355</v>
      </c>
      <c r="Q26740" s="5" t="s">
        <v>355</v>
      </c>
    </row>
    <row r="26741" ht="16.5" customHeight="1">
      <c r="O26741" s="5" t="s">
        <v>355</v>
      </c>
      <c r="P26741" s="5" t="s">
        <v>355</v>
      </c>
      <c r="Q26741" s="5" t="s">
        <v>355</v>
      </c>
    </row>
    <row r="26742" ht="16.5" customHeight="1">
      <c r="O26742" s="5" t="s">
        <v>355</v>
      </c>
      <c r="P26742" s="5" t="s">
        <v>355</v>
      </c>
      <c r="Q26742" s="5" t="s">
        <v>355</v>
      </c>
    </row>
    <row r="26743" ht="16.5" customHeight="1">
      <c r="O26743" s="5" t="s">
        <v>355</v>
      </c>
      <c r="P26743" s="5" t="s">
        <v>355</v>
      </c>
      <c r="Q26743" s="5" t="s">
        <v>355</v>
      </c>
    </row>
    <row r="26744" ht="16.5" customHeight="1">
      <c r="O26744" s="5" t="s">
        <v>355</v>
      </c>
      <c r="P26744" s="5" t="s">
        <v>355</v>
      </c>
      <c r="Q26744" s="5" t="s">
        <v>355</v>
      </c>
    </row>
    <row r="26745" ht="16.5" customHeight="1">
      <c r="O26745" s="5" t="s">
        <v>355</v>
      </c>
      <c r="P26745" s="5" t="s">
        <v>355</v>
      </c>
      <c r="Q26745" s="5" t="s">
        <v>355</v>
      </c>
    </row>
    <row r="26746" ht="16.5" customHeight="1">
      <c r="O26746" s="5" t="s">
        <v>355</v>
      </c>
      <c r="P26746" s="5" t="s">
        <v>355</v>
      </c>
      <c r="Q26746" s="5" t="s">
        <v>355</v>
      </c>
    </row>
    <row r="26747" ht="16.5" customHeight="1">
      <c r="O26747" s="5" t="s">
        <v>355</v>
      </c>
      <c r="P26747" s="5" t="s">
        <v>355</v>
      </c>
      <c r="Q26747" s="5" t="s">
        <v>355</v>
      </c>
    </row>
    <row r="26748" ht="16.5" customHeight="1">
      <c r="O26748" s="5" t="s">
        <v>355</v>
      </c>
      <c r="P26748" s="5" t="s">
        <v>355</v>
      </c>
      <c r="Q26748" s="5" t="s">
        <v>355</v>
      </c>
    </row>
    <row r="26749" ht="16.5" customHeight="1">
      <c r="O26749" s="5" t="s">
        <v>355</v>
      </c>
      <c r="P26749" s="5" t="s">
        <v>355</v>
      </c>
      <c r="Q26749" s="5" t="s">
        <v>355</v>
      </c>
    </row>
    <row r="26750" ht="16.5" customHeight="1">
      <c r="O26750" s="5" t="s">
        <v>355</v>
      </c>
      <c r="P26750" s="5" t="s">
        <v>355</v>
      </c>
      <c r="Q26750" s="5" t="s">
        <v>355</v>
      </c>
    </row>
    <row r="26751" ht="16.5" customHeight="1">
      <c r="O26751" s="5" t="s">
        <v>355</v>
      </c>
      <c r="P26751" s="5" t="s">
        <v>355</v>
      </c>
      <c r="Q26751" s="5" t="s">
        <v>355</v>
      </c>
    </row>
    <row r="26752" ht="16.5" customHeight="1">
      <c r="O26752" s="5" t="s">
        <v>355</v>
      </c>
      <c r="P26752" s="5" t="s">
        <v>355</v>
      </c>
      <c r="Q26752" s="5" t="s">
        <v>355</v>
      </c>
    </row>
    <row r="26753" ht="16.5" customHeight="1">
      <c r="O26753" s="5" t="s">
        <v>355</v>
      </c>
      <c r="P26753" s="5" t="s">
        <v>355</v>
      </c>
      <c r="Q26753" s="5" t="s">
        <v>355</v>
      </c>
    </row>
    <row r="26754" ht="16.5" customHeight="1">
      <c r="O26754" s="5" t="s">
        <v>355</v>
      </c>
      <c r="P26754" s="5" t="s">
        <v>355</v>
      </c>
      <c r="Q26754" s="5" t="s">
        <v>355</v>
      </c>
    </row>
    <row r="26755" ht="16.5" customHeight="1">
      <c r="O26755" s="5" t="s">
        <v>355</v>
      </c>
      <c r="P26755" s="5" t="s">
        <v>355</v>
      </c>
      <c r="Q26755" s="5" t="s">
        <v>355</v>
      </c>
    </row>
    <row r="26756" ht="16.5" customHeight="1">
      <c r="O26756" s="5" t="s">
        <v>355</v>
      </c>
      <c r="P26756" s="5" t="s">
        <v>355</v>
      </c>
      <c r="Q26756" s="5" t="s">
        <v>355</v>
      </c>
    </row>
    <row r="26757" ht="16.5" customHeight="1">
      <c r="O26757" s="5" t="s">
        <v>355</v>
      </c>
      <c r="P26757" s="5" t="s">
        <v>355</v>
      </c>
      <c r="Q26757" s="5" t="s">
        <v>355</v>
      </c>
    </row>
    <row r="26758" ht="16.5" customHeight="1">
      <c r="O26758" s="5" t="s">
        <v>355</v>
      </c>
      <c r="P26758" s="5" t="s">
        <v>355</v>
      </c>
      <c r="Q26758" s="5" t="s">
        <v>355</v>
      </c>
    </row>
    <row r="26759" ht="16.5" customHeight="1">
      <c r="O26759" s="5" t="s">
        <v>355</v>
      </c>
      <c r="P26759" s="5" t="s">
        <v>355</v>
      </c>
      <c r="Q26759" s="5" t="s">
        <v>355</v>
      </c>
    </row>
    <row r="26760" ht="16.5" customHeight="1">
      <c r="O26760" s="5" t="s">
        <v>355</v>
      </c>
      <c r="P26760" s="5" t="s">
        <v>355</v>
      </c>
      <c r="Q26760" s="5" t="s">
        <v>355</v>
      </c>
    </row>
    <row r="26761" ht="16.5" customHeight="1">
      <c r="O26761" s="5" t="s">
        <v>355</v>
      </c>
      <c r="P26761" s="5" t="s">
        <v>355</v>
      </c>
      <c r="Q26761" s="5" t="s">
        <v>355</v>
      </c>
    </row>
    <row r="26762" ht="16.5" customHeight="1">
      <c r="O26762" s="5" t="s">
        <v>355</v>
      </c>
      <c r="P26762" s="5" t="s">
        <v>355</v>
      </c>
      <c r="Q26762" s="5" t="s">
        <v>355</v>
      </c>
    </row>
    <row r="26763" ht="16.5" customHeight="1">
      <c r="O26763" s="5" t="s">
        <v>355</v>
      </c>
      <c r="P26763" s="5" t="s">
        <v>355</v>
      </c>
      <c r="Q26763" s="5" t="s">
        <v>355</v>
      </c>
    </row>
    <row r="26764" ht="16.5" customHeight="1">
      <c r="O26764" s="5" t="s">
        <v>355</v>
      </c>
      <c r="P26764" s="5" t="s">
        <v>355</v>
      </c>
      <c r="Q26764" s="5" t="s">
        <v>355</v>
      </c>
    </row>
    <row r="26765" ht="16.5" customHeight="1">
      <c r="O26765" s="5" t="s">
        <v>355</v>
      </c>
      <c r="P26765" s="5" t="s">
        <v>355</v>
      </c>
      <c r="Q26765" s="5" t="s">
        <v>355</v>
      </c>
    </row>
    <row r="26766" ht="16.5" customHeight="1">
      <c r="O26766" s="5" t="s">
        <v>355</v>
      </c>
      <c r="P26766" s="5" t="s">
        <v>355</v>
      </c>
      <c r="Q26766" s="5" t="s">
        <v>355</v>
      </c>
    </row>
    <row r="26767" ht="16.5" customHeight="1">
      <c r="O26767" s="5" t="s">
        <v>355</v>
      </c>
      <c r="P26767" s="5" t="s">
        <v>355</v>
      </c>
      <c r="Q26767" s="5" t="s">
        <v>355</v>
      </c>
    </row>
    <row r="26768" ht="16.5" customHeight="1">
      <c r="O26768" s="5" t="s">
        <v>355</v>
      </c>
      <c r="P26768" s="5" t="s">
        <v>355</v>
      </c>
      <c r="Q26768" s="5" t="s">
        <v>355</v>
      </c>
    </row>
    <row r="26769" ht="16.5" customHeight="1">
      <c r="O26769" s="5" t="s">
        <v>355</v>
      </c>
      <c r="P26769" s="5" t="s">
        <v>355</v>
      </c>
      <c r="Q26769" s="5" t="s">
        <v>355</v>
      </c>
    </row>
    <row r="26770" ht="16.5" customHeight="1">
      <c r="O26770" s="5" t="s">
        <v>355</v>
      </c>
      <c r="P26770" s="5" t="s">
        <v>355</v>
      </c>
      <c r="Q26770" s="5" t="s">
        <v>355</v>
      </c>
    </row>
    <row r="26771" ht="16.5" customHeight="1">
      <c r="O26771" s="5" t="s">
        <v>355</v>
      </c>
      <c r="P26771" s="5" t="s">
        <v>355</v>
      </c>
      <c r="Q26771" s="5" t="s">
        <v>355</v>
      </c>
    </row>
    <row r="26772" ht="16.5" customHeight="1">
      <c r="O26772" s="5" t="s">
        <v>355</v>
      </c>
      <c r="P26772" s="5" t="s">
        <v>355</v>
      </c>
      <c r="Q26772" s="5" t="s">
        <v>355</v>
      </c>
    </row>
    <row r="26773" ht="16.5" customHeight="1">
      <c r="O26773" s="5" t="s">
        <v>355</v>
      </c>
      <c r="P26773" s="5" t="s">
        <v>355</v>
      </c>
      <c r="Q26773" s="5" t="s">
        <v>355</v>
      </c>
    </row>
    <row r="26774" ht="16.5" customHeight="1">
      <c r="O26774" s="5" t="s">
        <v>355</v>
      </c>
      <c r="P26774" s="5" t="s">
        <v>355</v>
      </c>
      <c r="Q26774" s="5" t="s">
        <v>355</v>
      </c>
    </row>
    <row r="26775" ht="16.5" customHeight="1">
      <c r="O26775" s="5" t="s">
        <v>355</v>
      </c>
      <c r="P26775" s="5" t="s">
        <v>355</v>
      </c>
      <c r="Q26775" s="5" t="s">
        <v>355</v>
      </c>
    </row>
    <row r="26776" ht="16.5" customHeight="1">
      <c r="O26776" s="5" t="s">
        <v>355</v>
      </c>
      <c r="P26776" s="5" t="s">
        <v>355</v>
      </c>
      <c r="Q26776" s="5" t="s">
        <v>355</v>
      </c>
    </row>
    <row r="26777" ht="16.5" customHeight="1">
      <c r="O26777" s="5" t="s">
        <v>355</v>
      </c>
      <c r="P26777" s="5" t="s">
        <v>355</v>
      </c>
      <c r="Q26777" s="5" t="s">
        <v>355</v>
      </c>
    </row>
    <row r="26778" ht="16.5" customHeight="1">
      <c r="O26778" s="5" t="s">
        <v>355</v>
      </c>
      <c r="P26778" s="5" t="s">
        <v>355</v>
      </c>
      <c r="Q26778" s="5" t="s">
        <v>355</v>
      </c>
    </row>
    <row r="26779" ht="16.5" customHeight="1">
      <c r="O26779" s="5" t="s">
        <v>355</v>
      </c>
      <c r="P26779" s="5" t="s">
        <v>355</v>
      </c>
      <c r="Q26779" s="5" t="s">
        <v>355</v>
      </c>
    </row>
    <row r="26780" ht="16.5" customHeight="1">
      <c r="O26780" s="5" t="s">
        <v>355</v>
      </c>
      <c r="P26780" s="5" t="s">
        <v>355</v>
      </c>
      <c r="Q26780" s="5" t="s">
        <v>355</v>
      </c>
    </row>
    <row r="26781" ht="16.5" customHeight="1">
      <c r="O26781" s="5" t="s">
        <v>355</v>
      </c>
      <c r="P26781" s="5" t="s">
        <v>355</v>
      </c>
      <c r="Q26781" s="5" t="s">
        <v>355</v>
      </c>
    </row>
    <row r="26782" ht="16.5" customHeight="1">
      <c r="O26782" s="5" t="s">
        <v>355</v>
      </c>
      <c r="P26782" s="5" t="s">
        <v>355</v>
      </c>
      <c r="Q26782" s="5" t="s">
        <v>355</v>
      </c>
    </row>
    <row r="26783" ht="16.5" customHeight="1">
      <c r="O26783" s="5" t="s">
        <v>355</v>
      </c>
      <c r="P26783" s="5" t="s">
        <v>355</v>
      </c>
      <c r="Q26783" s="5" t="s">
        <v>355</v>
      </c>
    </row>
    <row r="26784" ht="16.5" customHeight="1">
      <c r="O26784" s="5" t="s">
        <v>355</v>
      </c>
      <c r="P26784" s="5" t="s">
        <v>355</v>
      </c>
      <c r="Q26784" s="5" t="s">
        <v>355</v>
      </c>
    </row>
    <row r="26785" ht="16.5" customHeight="1">
      <c r="O26785" s="5" t="s">
        <v>355</v>
      </c>
      <c r="P26785" s="5" t="s">
        <v>355</v>
      </c>
      <c r="Q26785" s="5" t="s">
        <v>355</v>
      </c>
    </row>
    <row r="26786" ht="16.5" customHeight="1">
      <c r="O26786" s="5" t="s">
        <v>355</v>
      </c>
      <c r="P26786" s="5" t="s">
        <v>355</v>
      </c>
      <c r="Q26786" s="5" t="s">
        <v>355</v>
      </c>
    </row>
    <row r="26787" ht="16.5" customHeight="1">
      <c r="O26787" s="5" t="s">
        <v>355</v>
      </c>
      <c r="P26787" s="5" t="s">
        <v>355</v>
      </c>
      <c r="Q26787" s="5" t="s">
        <v>355</v>
      </c>
    </row>
    <row r="26788" ht="16.5" customHeight="1">
      <c r="O26788" s="5" t="s">
        <v>355</v>
      </c>
      <c r="P26788" s="5" t="s">
        <v>355</v>
      </c>
      <c r="Q26788" s="5" t="s">
        <v>355</v>
      </c>
    </row>
    <row r="26789" ht="16.5" customHeight="1">
      <c r="O26789" s="5" t="s">
        <v>355</v>
      </c>
      <c r="P26789" s="5" t="s">
        <v>355</v>
      </c>
      <c r="Q26789" s="5" t="s">
        <v>355</v>
      </c>
    </row>
    <row r="26790" ht="16.5" customHeight="1">
      <c r="O26790" s="5" t="s">
        <v>355</v>
      </c>
      <c r="P26790" s="5" t="s">
        <v>355</v>
      </c>
      <c r="Q26790" s="5" t="s">
        <v>355</v>
      </c>
    </row>
    <row r="26791" ht="16.5" customHeight="1">
      <c r="O26791" s="5" t="s">
        <v>355</v>
      </c>
      <c r="P26791" s="5" t="s">
        <v>355</v>
      </c>
      <c r="Q26791" s="5" t="s">
        <v>355</v>
      </c>
    </row>
    <row r="26792" ht="16.5" customHeight="1">
      <c r="O26792" s="5" t="s">
        <v>355</v>
      </c>
      <c r="P26792" s="5" t="s">
        <v>355</v>
      </c>
      <c r="Q26792" s="5" t="s">
        <v>355</v>
      </c>
    </row>
    <row r="26793" ht="16.5" customHeight="1">
      <c r="O26793" s="5" t="s">
        <v>355</v>
      </c>
      <c r="P26793" s="5" t="s">
        <v>355</v>
      </c>
      <c r="Q26793" s="5" t="s">
        <v>355</v>
      </c>
    </row>
    <row r="26794" ht="16.5" customHeight="1">
      <c r="O26794" s="5" t="s">
        <v>355</v>
      </c>
      <c r="P26794" s="5" t="s">
        <v>355</v>
      </c>
      <c r="Q26794" s="5" t="s">
        <v>355</v>
      </c>
    </row>
    <row r="26795" ht="16.5" customHeight="1">
      <c r="O26795" s="5" t="s">
        <v>355</v>
      </c>
      <c r="P26795" s="5" t="s">
        <v>355</v>
      </c>
      <c r="Q26795" s="5" t="s">
        <v>355</v>
      </c>
    </row>
    <row r="26796" ht="16.5" customHeight="1">
      <c r="O26796" s="5" t="s">
        <v>355</v>
      </c>
      <c r="P26796" s="5" t="s">
        <v>355</v>
      </c>
      <c r="Q26796" s="5" t="s">
        <v>355</v>
      </c>
    </row>
    <row r="26797" ht="16.5" customHeight="1">
      <c r="O26797" s="5" t="s">
        <v>355</v>
      </c>
      <c r="P26797" s="5" t="s">
        <v>355</v>
      </c>
      <c r="Q26797" s="5" t="s">
        <v>355</v>
      </c>
    </row>
    <row r="26798" ht="16.5" customHeight="1">
      <c r="O26798" s="5" t="s">
        <v>355</v>
      </c>
      <c r="P26798" s="5" t="s">
        <v>355</v>
      </c>
      <c r="Q26798" s="5" t="s">
        <v>355</v>
      </c>
    </row>
    <row r="26799" ht="16.5" customHeight="1">
      <c r="O26799" s="5" t="s">
        <v>355</v>
      </c>
      <c r="P26799" s="5" t="s">
        <v>355</v>
      </c>
      <c r="Q26799" s="5" t="s">
        <v>355</v>
      </c>
    </row>
    <row r="26800" ht="16.5" customHeight="1">
      <c r="O26800" s="5" t="s">
        <v>355</v>
      </c>
      <c r="P26800" s="5" t="s">
        <v>355</v>
      </c>
      <c r="Q26800" s="5" t="s">
        <v>355</v>
      </c>
    </row>
    <row r="26801" ht="16.5" customHeight="1">
      <c r="O26801" s="5" t="s">
        <v>355</v>
      </c>
      <c r="P26801" s="5" t="s">
        <v>355</v>
      </c>
      <c r="Q26801" s="5" t="s">
        <v>355</v>
      </c>
    </row>
    <row r="26802" ht="16.5" customHeight="1">
      <c r="O26802" s="5" t="s">
        <v>355</v>
      </c>
      <c r="P26802" s="5" t="s">
        <v>355</v>
      </c>
      <c r="Q26802" s="5" t="s">
        <v>355</v>
      </c>
    </row>
    <row r="26803" ht="16.5" customHeight="1">
      <c r="O26803" s="5" t="s">
        <v>355</v>
      </c>
      <c r="P26803" s="5" t="s">
        <v>355</v>
      </c>
      <c r="Q26803" s="5" t="s">
        <v>355</v>
      </c>
    </row>
    <row r="26804" ht="16.5" customHeight="1">
      <c r="O26804" s="5" t="s">
        <v>355</v>
      </c>
      <c r="P26804" s="5" t="s">
        <v>355</v>
      </c>
      <c r="Q26804" s="5" t="s">
        <v>355</v>
      </c>
    </row>
    <row r="26805" ht="16.5" customHeight="1">
      <c r="O26805" s="5" t="s">
        <v>355</v>
      </c>
      <c r="P26805" s="5" t="s">
        <v>355</v>
      </c>
      <c r="Q26805" s="5" t="s">
        <v>355</v>
      </c>
    </row>
    <row r="26806" ht="16.5" customHeight="1">
      <c r="O26806" s="5" t="s">
        <v>355</v>
      </c>
      <c r="P26806" s="5" t="s">
        <v>355</v>
      </c>
      <c r="Q26806" s="5" t="s">
        <v>355</v>
      </c>
    </row>
    <row r="26807" ht="16.5" customHeight="1">
      <c r="O26807" s="5" t="s">
        <v>355</v>
      </c>
      <c r="P26807" s="5" t="s">
        <v>355</v>
      </c>
      <c r="Q26807" s="5" t="s">
        <v>355</v>
      </c>
    </row>
    <row r="26808" ht="16.5" customHeight="1">
      <c r="O26808" s="5" t="s">
        <v>355</v>
      </c>
      <c r="P26808" s="5" t="s">
        <v>355</v>
      </c>
      <c r="Q26808" s="5" t="s">
        <v>355</v>
      </c>
    </row>
    <row r="26809" ht="16.5" customHeight="1">
      <c r="O26809" s="5" t="s">
        <v>355</v>
      </c>
      <c r="P26809" s="5" t="s">
        <v>355</v>
      </c>
      <c r="Q26809" s="5" t="s">
        <v>355</v>
      </c>
    </row>
    <row r="26810" ht="16.5" customHeight="1">
      <c r="O26810" s="5" t="s">
        <v>355</v>
      </c>
      <c r="P26810" s="5" t="s">
        <v>355</v>
      </c>
      <c r="Q26810" s="5" t="s">
        <v>355</v>
      </c>
    </row>
    <row r="26811" ht="16.5" customHeight="1">
      <c r="O26811" s="5" t="s">
        <v>355</v>
      </c>
      <c r="P26811" s="5" t="s">
        <v>355</v>
      </c>
      <c r="Q26811" s="5" t="s">
        <v>355</v>
      </c>
    </row>
    <row r="26812" ht="16.5" customHeight="1">
      <c r="O26812" s="5" t="s">
        <v>355</v>
      </c>
      <c r="P26812" s="5" t="s">
        <v>355</v>
      </c>
      <c r="Q26812" s="5" t="s">
        <v>355</v>
      </c>
    </row>
    <row r="26813" ht="16.5" customHeight="1">
      <c r="O26813" s="5" t="s">
        <v>355</v>
      </c>
      <c r="P26813" s="5" t="s">
        <v>355</v>
      </c>
      <c r="Q26813" s="5" t="s">
        <v>355</v>
      </c>
    </row>
    <row r="26814" ht="16.5" customHeight="1">
      <c r="O26814" s="5" t="s">
        <v>355</v>
      </c>
      <c r="P26814" s="5" t="s">
        <v>355</v>
      </c>
      <c r="Q26814" s="5" t="s">
        <v>355</v>
      </c>
    </row>
    <row r="26815" ht="16.5" customHeight="1">
      <c r="O26815" s="5" t="s">
        <v>355</v>
      </c>
      <c r="P26815" s="5" t="s">
        <v>355</v>
      </c>
      <c r="Q26815" s="5" t="s">
        <v>355</v>
      </c>
    </row>
    <row r="26816" ht="16.5" customHeight="1">
      <c r="O26816" s="5" t="s">
        <v>355</v>
      </c>
      <c r="P26816" s="5" t="s">
        <v>355</v>
      </c>
      <c r="Q26816" s="5" t="s">
        <v>355</v>
      </c>
    </row>
    <row r="26817" ht="16.5" customHeight="1">
      <c r="O26817" s="5" t="s">
        <v>355</v>
      </c>
      <c r="P26817" s="5" t="s">
        <v>355</v>
      </c>
      <c r="Q26817" s="5" t="s">
        <v>355</v>
      </c>
    </row>
    <row r="26818" ht="16.5" customHeight="1">
      <c r="O26818" s="5" t="s">
        <v>355</v>
      </c>
      <c r="P26818" s="5" t="s">
        <v>355</v>
      </c>
      <c r="Q26818" s="5" t="s">
        <v>355</v>
      </c>
    </row>
    <row r="26819" ht="16.5" customHeight="1">
      <c r="O26819" s="5" t="s">
        <v>355</v>
      </c>
      <c r="P26819" s="5" t="s">
        <v>355</v>
      </c>
      <c r="Q26819" s="5" t="s">
        <v>355</v>
      </c>
    </row>
    <row r="26820" ht="16.5" customHeight="1">
      <c r="O26820" s="5" t="s">
        <v>355</v>
      </c>
      <c r="P26820" s="5" t="s">
        <v>355</v>
      </c>
      <c r="Q26820" s="5" t="s">
        <v>355</v>
      </c>
    </row>
    <row r="26821" ht="16.5" customHeight="1">
      <c r="O26821" s="5" t="s">
        <v>355</v>
      </c>
      <c r="P26821" s="5" t="s">
        <v>355</v>
      </c>
      <c r="Q26821" s="5" t="s">
        <v>355</v>
      </c>
    </row>
    <row r="26822" ht="16.5" customHeight="1">
      <c r="O26822" s="5" t="s">
        <v>355</v>
      </c>
      <c r="P26822" s="5" t="s">
        <v>355</v>
      </c>
      <c r="Q26822" s="5" t="s">
        <v>355</v>
      </c>
    </row>
    <row r="26823" ht="16.5" customHeight="1">
      <c r="O26823" s="5" t="s">
        <v>355</v>
      </c>
      <c r="P26823" s="5" t="s">
        <v>355</v>
      </c>
      <c r="Q26823" s="5" t="s">
        <v>355</v>
      </c>
    </row>
    <row r="26824" ht="16.5" customHeight="1">
      <c r="O26824" s="5" t="s">
        <v>355</v>
      </c>
      <c r="P26824" s="5" t="s">
        <v>355</v>
      </c>
      <c r="Q26824" s="5" t="s">
        <v>355</v>
      </c>
    </row>
    <row r="26825" ht="16.5" customHeight="1">
      <c r="O26825" s="5" t="s">
        <v>355</v>
      </c>
      <c r="P26825" s="5" t="s">
        <v>355</v>
      </c>
      <c r="Q26825" s="5" t="s">
        <v>355</v>
      </c>
    </row>
    <row r="26826" ht="16.5" customHeight="1">
      <c r="O26826" s="5" t="s">
        <v>355</v>
      </c>
      <c r="P26826" s="5" t="s">
        <v>355</v>
      </c>
      <c r="Q26826" s="5" t="s">
        <v>355</v>
      </c>
    </row>
    <row r="26827" ht="16.5" customHeight="1">
      <c r="O26827" s="5" t="s">
        <v>355</v>
      </c>
      <c r="P26827" s="5" t="s">
        <v>355</v>
      </c>
      <c r="Q26827" s="5" t="s">
        <v>355</v>
      </c>
    </row>
    <row r="26828" ht="16.5" customHeight="1">
      <c r="O26828" s="5" t="s">
        <v>355</v>
      </c>
      <c r="P26828" s="5" t="s">
        <v>355</v>
      </c>
      <c r="Q26828" s="5" t="s">
        <v>355</v>
      </c>
    </row>
    <row r="26829" ht="16.5" customHeight="1">
      <c r="O26829" s="5" t="s">
        <v>355</v>
      </c>
      <c r="P26829" s="5" t="s">
        <v>355</v>
      </c>
      <c r="Q26829" s="5" t="s">
        <v>355</v>
      </c>
    </row>
    <row r="26830" ht="16.5" customHeight="1">
      <c r="O26830" s="5" t="s">
        <v>355</v>
      </c>
      <c r="P26830" s="5" t="s">
        <v>355</v>
      </c>
      <c r="Q26830" s="5" t="s">
        <v>355</v>
      </c>
    </row>
    <row r="26831" ht="16.5" customHeight="1">
      <c r="O26831" s="5" t="s">
        <v>355</v>
      </c>
      <c r="P26831" s="5" t="s">
        <v>355</v>
      </c>
      <c r="Q26831" s="5" t="s">
        <v>355</v>
      </c>
    </row>
    <row r="26832" ht="16.5" customHeight="1">
      <c r="O26832" s="5" t="s">
        <v>355</v>
      </c>
      <c r="P26832" s="5" t="s">
        <v>355</v>
      </c>
      <c r="Q26832" s="5" t="s">
        <v>355</v>
      </c>
    </row>
    <row r="26833" ht="16.5" customHeight="1">
      <c r="O26833" s="5" t="s">
        <v>355</v>
      </c>
      <c r="P26833" s="5" t="s">
        <v>355</v>
      </c>
      <c r="Q26833" s="5" t="s">
        <v>355</v>
      </c>
    </row>
    <row r="26834" ht="16.5" customHeight="1">
      <c r="O26834" s="5" t="s">
        <v>355</v>
      </c>
      <c r="P26834" s="5" t="s">
        <v>355</v>
      </c>
      <c r="Q26834" s="5" t="s">
        <v>355</v>
      </c>
    </row>
    <row r="26835" ht="16.5" customHeight="1">
      <c r="O26835" s="5" t="s">
        <v>355</v>
      </c>
      <c r="P26835" s="5" t="s">
        <v>355</v>
      </c>
      <c r="Q26835" s="5" t="s">
        <v>355</v>
      </c>
    </row>
    <row r="26836" ht="16.5" customHeight="1">
      <c r="O26836" s="5" t="s">
        <v>355</v>
      </c>
      <c r="P26836" s="5" t="s">
        <v>355</v>
      </c>
      <c r="Q26836" s="5" t="s">
        <v>355</v>
      </c>
    </row>
    <row r="26837" ht="16.5" customHeight="1">
      <c r="O26837" s="5" t="s">
        <v>355</v>
      </c>
      <c r="P26837" s="5" t="s">
        <v>355</v>
      </c>
      <c r="Q26837" s="5" t="s">
        <v>355</v>
      </c>
    </row>
    <row r="26838" ht="16.5" customHeight="1">
      <c r="O26838" s="5" t="s">
        <v>355</v>
      </c>
      <c r="P26838" s="5" t="s">
        <v>355</v>
      </c>
      <c r="Q26838" s="5" t="s">
        <v>355</v>
      </c>
    </row>
    <row r="26839" ht="16.5" customHeight="1">
      <c r="O26839" s="5" t="s">
        <v>355</v>
      </c>
      <c r="P26839" s="5" t="s">
        <v>355</v>
      </c>
      <c r="Q26839" s="5" t="s">
        <v>355</v>
      </c>
    </row>
    <row r="26840" ht="16.5" customHeight="1">
      <c r="O26840" s="5" t="s">
        <v>355</v>
      </c>
      <c r="P26840" s="5" t="s">
        <v>355</v>
      </c>
      <c r="Q26840" s="5" t="s">
        <v>355</v>
      </c>
    </row>
    <row r="26841" ht="16.5" customHeight="1">
      <c r="O26841" s="5" t="s">
        <v>355</v>
      </c>
      <c r="P26841" s="5" t="s">
        <v>355</v>
      </c>
      <c r="Q26841" s="5" t="s">
        <v>355</v>
      </c>
    </row>
    <row r="26842" ht="16.5" customHeight="1">
      <c r="O26842" s="5" t="s">
        <v>355</v>
      </c>
      <c r="P26842" s="5" t="s">
        <v>355</v>
      </c>
      <c r="Q26842" s="5" t="s">
        <v>355</v>
      </c>
    </row>
    <row r="26843" ht="16.5" customHeight="1">
      <c r="O26843" s="5" t="s">
        <v>355</v>
      </c>
      <c r="P26843" s="5" t="s">
        <v>355</v>
      </c>
      <c r="Q26843" s="5" t="s">
        <v>355</v>
      </c>
    </row>
    <row r="26844" ht="16.5" customHeight="1">
      <c r="O26844" s="5" t="s">
        <v>355</v>
      </c>
      <c r="P26844" s="5" t="s">
        <v>355</v>
      </c>
      <c r="Q26844" s="5" t="s">
        <v>355</v>
      </c>
    </row>
    <row r="26845" ht="16.5" customHeight="1">
      <c r="O26845" s="5" t="s">
        <v>355</v>
      </c>
      <c r="P26845" s="5" t="s">
        <v>355</v>
      </c>
      <c r="Q26845" s="5" t="s">
        <v>355</v>
      </c>
    </row>
    <row r="26846" ht="16.5" customHeight="1">
      <c r="O26846" s="5" t="s">
        <v>355</v>
      </c>
      <c r="P26846" s="5" t="s">
        <v>355</v>
      </c>
      <c r="Q26846" s="5" t="s">
        <v>355</v>
      </c>
    </row>
    <row r="26847" ht="16.5" customHeight="1">
      <c r="O26847" s="5" t="s">
        <v>355</v>
      </c>
      <c r="P26847" s="5" t="s">
        <v>355</v>
      </c>
      <c r="Q26847" s="5" t="s">
        <v>355</v>
      </c>
    </row>
    <row r="26848" ht="16.5" customHeight="1">
      <c r="O26848" s="5" t="s">
        <v>355</v>
      </c>
      <c r="P26848" s="5" t="s">
        <v>355</v>
      </c>
      <c r="Q26848" s="5" t="s">
        <v>355</v>
      </c>
    </row>
    <row r="26849" ht="16.5" customHeight="1">
      <c r="O26849" s="5" t="s">
        <v>355</v>
      </c>
      <c r="P26849" s="5" t="s">
        <v>355</v>
      </c>
      <c r="Q26849" s="5" t="s">
        <v>355</v>
      </c>
    </row>
    <row r="26850" ht="16.5" customHeight="1">
      <c r="O26850" s="5" t="s">
        <v>355</v>
      </c>
      <c r="P26850" s="5" t="s">
        <v>355</v>
      </c>
      <c r="Q26850" s="5" t="s">
        <v>355</v>
      </c>
    </row>
    <row r="26851" ht="16.5" customHeight="1">
      <c r="O26851" s="5" t="s">
        <v>355</v>
      </c>
      <c r="P26851" s="5" t="s">
        <v>355</v>
      </c>
      <c r="Q26851" s="5" t="s">
        <v>355</v>
      </c>
    </row>
    <row r="26852" ht="16.5" customHeight="1">
      <c r="O26852" s="5" t="s">
        <v>355</v>
      </c>
      <c r="P26852" s="5" t="s">
        <v>355</v>
      </c>
      <c r="Q26852" s="5" t="s">
        <v>355</v>
      </c>
    </row>
    <row r="26853" ht="16.5" customHeight="1">
      <c r="O26853" s="5" t="s">
        <v>355</v>
      </c>
      <c r="P26853" s="5" t="s">
        <v>355</v>
      </c>
      <c r="Q26853" s="5" t="s">
        <v>355</v>
      </c>
    </row>
    <row r="26854" ht="16.5" customHeight="1">
      <c r="O26854" s="5" t="s">
        <v>355</v>
      </c>
      <c r="P26854" s="5" t="s">
        <v>355</v>
      </c>
      <c r="Q26854" s="5" t="s">
        <v>355</v>
      </c>
    </row>
    <row r="26855" ht="16.5" customHeight="1">
      <c r="O26855" s="5" t="s">
        <v>355</v>
      </c>
      <c r="P26855" s="5" t="s">
        <v>355</v>
      </c>
      <c r="Q26855" s="5" t="s">
        <v>355</v>
      </c>
    </row>
    <row r="26856" ht="16.5" customHeight="1">
      <c r="O26856" s="5" t="s">
        <v>355</v>
      </c>
      <c r="P26856" s="5" t="s">
        <v>355</v>
      </c>
      <c r="Q26856" s="5" t="s">
        <v>355</v>
      </c>
    </row>
    <row r="26857" ht="16.5" customHeight="1">
      <c r="O26857" s="5" t="s">
        <v>355</v>
      </c>
      <c r="P26857" s="5" t="s">
        <v>355</v>
      </c>
      <c r="Q26857" s="5" t="s">
        <v>355</v>
      </c>
    </row>
    <row r="26858" ht="16.5" customHeight="1">
      <c r="O26858" s="5" t="s">
        <v>355</v>
      </c>
      <c r="P26858" s="5" t="s">
        <v>355</v>
      </c>
      <c r="Q26858" s="5" t="s">
        <v>355</v>
      </c>
    </row>
    <row r="26859" ht="16.5" customHeight="1">
      <c r="O26859" s="5" t="s">
        <v>355</v>
      </c>
      <c r="P26859" s="5" t="s">
        <v>355</v>
      </c>
      <c r="Q26859" s="5" t="s">
        <v>355</v>
      </c>
    </row>
    <row r="26860" ht="16.5" customHeight="1">
      <c r="O26860" s="5" t="s">
        <v>355</v>
      </c>
      <c r="P26860" s="5" t="s">
        <v>355</v>
      </c>
      <c r="Q26860" s="5" t="s">
        <v>355</v>
      </c>
    </row>
    <row r="26861" ht="16.5" customHeight="1">
      <c r="O26861" s="5" t="s">
        <v>355</v>
      </c>
      <c r="P26861" s="5" t="s">
        <v>355</v>
      </c>
      <c r="Q26861" s="5" t="s">
        <v>355</v>
      </c>
    </row>
    <row r="26862" ht="16.5" customHeight="1">
      <c r="O26862" s="5" t="s">
        <v>355</v>
      </c>
      <c r="P26862" s="5" t="s">
        <v>355</v>
      </c>
      <c r="Q26862" s="5" t="s">
        <v>355</v>
      </c>
    </row>
    <row r="26863" ht="16.5" customHeight="1">
      <c r="O26863" s="5" t="s">
        <v>355</v>
      </c>
      <c r="P26863" s="5" t="s">
        <v>355</v>
      </c>
      <c r="Q26863" s="5" t="s">
        <v>355</v>
      </c>
    </row>
    <row r="26864" ht="16.5" customHeight="1">
      <c r="O26864" s="5" t="s">
        <v>355</v>
      </c>
      <c r="P26864" s="5" t="s">
        <v>355</v>
      </c>
      <c r="Q26864" s="5" t="s">
        <v>355</v>
      </c>
    </row>
    <row r="26865" ht="16.5" customHeight="1">
      <c r="O26865" s="5" t="s">
        <v>355</v>
      </c>
      <c r="P26865" s="5" t="s">
        <v>355</v>
      </c>
      <c r="Q26865" s="5" t="s">
        <v>355</v>
      </c>
    </row>
    <row r="26866" ht="16.5" customHeight="1">
      <c r="O26866" s="5" t="s">
        <v>355</v>
      </c>
      <c r="P26866" s="5" t="s">
        <v>355</v>
      </c>
      <c r="Q26866" s="5" t="s">
        <v>355</v>
      </c>
    </row>
    <row r="26867" ht="16.5" customHeight="1">
      <c r="O26867" s="5" t="s">
        <v>355</v>
      </c>
      <c r="P26867" s="5" t="s">
        <v>355</v>
      </c>
      <c r="Q26867" s="5" t="s">
        <v>355</v>
      </c>
    </row>
    <row r="26868" ht="16.5" customHeight="1">
      <c r="O26868" s="5" t="s">
        <v>355</v>
      </c>
      <c r="P26868" s="5" t="s">
        <v>355</v>
      </c>
      <c r="Q26868" s="5" t="s">
        <v>355</v>
      </c>
    </row>
    <row r="26869" ht="16.5" customHeight="1">
      <c r="O26869" s="5" t="s">
        <v>355</v>
      </c>
      <c r="P26869" s="5" t="s">
        <v>355</v>
      </c>
      <c r="Q26869" s="5" t="s">
        <v>355</v>
      </c>
    </row>
    <row r="26870" ht="16.5" customHeight="1">
      <c r="O26870" s="5" t="s">
        <v>355</v>
      </c>
      <c r="P26870" s="5" t="s">
        <v>355</v>
      </c>
      <c r="Q26870" s="5" t="s">
        <v>355</v>
      </c>
    </row>
    <row r="26871" ht="16.5" customHeight="1">
      <c r="O26871" s="5" t="s">
        <v>355</v>
      </c>
      <c r="P26871" s="5" t="s">
        <v>355</v>
      </c>
      <c r="Q26871" s="5" t="s">
        <v>355</v>
      </c>
    </row>
    <row r="26872" ht="16.5" customHeight="1">
      <c r="O26872" s="5" t="s">
        <v>355</v>
      </c>
      <c r="P26872" s="5" t="s">
        <v>355</v>
      </c>
      <c r="Q26872" s="5" t="s">
        <v>355</v>
      </c>
    </row>
    <row r="26873" ht="16.5" customHeight="1">
      <c r="O26873" s="5" t="s">
        <v>355</v>
      </c>
      <c r="P26873" s="5" t="s">
        <v>355</v>
      </c>
      <c r="Q26873" s="5" t="s">
        <v>355</v>
      </c>
    </row>
    <row r="26874" ht="16.5" customHeight="1">
      <c r="O26874" s="5" t="s">
        <v>355</v>
      </c>
      <c r="P26874" s="5" t="s">
        <v>355</v>
      </c>
      <c r="Q26874" s="5" t="s">
        <v>355</v>
      </c>
    </row>
    <row r="26875" ht="16.5" customHeight="1">
      <c r="O26875" s="5" t="s">
        <v>355</v>
      </c>
      <c r="P26875" s="5" t="s">
        <v>355</v>
      </c>
      <c r="Q26875" s="5" t="s">
        <v>355</v>
      </c>
    </row>
    <row r="26876" ht="16.5" customHeight="1">
      <c r="O26876" s="5" t="s">
        <v>355</v>
      </c>
      <c r="P26876" s="5" t="s">
        <v>355</v>
      </c>
      <c r="Q26876" s="5" t="s">
        <v>355</v>
      </c>
    </row>
    <row r="26877" ht="16.5" customHeight="1">
      <c r="O26877" s="5" t="s">
        <v>355</v>
      </c>
      <c r="P26877" s="5" t="s">
        <v>355</v>
      </c>
      <c r="Q26877" s="5" t="s">
        <v>355</v>
      </c>
    </row>
    <row r="26878" ht="16.5" customHeight="1">
      <c r="O26878" s="5" t="s">
        <v>355</v>
      </c>
      <c r="P26878" s="5" t="s">
        <v>355</v>
      </c>
      <c r="Q26878" s="5" t="s">
        <v>355</v>
      </c>
    </row>
    <row r="26879" ht="16.5" customHeight="1">
      <c r="O26879" s="5" t="s">
        <v>355</v>
      </c>
      <c r="P26879" s="5" t="s">
        <v>355</v>
      </c>
      <c r="Q26879" s="5" t="s">
        <v>355</v>
      </c>
    </row>
    <row r="26880" ht="16.5" customHeight="1">
      <c r="O26880" s="5" t="s">
        <v>355</v>
      </c>
      <c r="P26880" s="5" t="s">
        <v>355</v>
      </c>
      <c r="Q26880" s="5" t="s">
        <v>355</v>
      </c>
    </row>
    <row r="26881" ht="16.5" customHeight="1">
      <c r="O26881" s="5" t="s">
        <v>355</v>
      </c>
      <c r="P26881" s="5" t="s">
        <v>355</v>
      </c>
      <c r="Q26881" s="5" t="s">
        <v>355</v>
      </c>
    </row>
    <row r="26882" ht="16.5" customHeight="1">
      <c r="O26882" s="5" t="s">
        <v>355</v>
      </c>
      <c r="P26882" s="5" t="s">
        <v>355</v>
      </c>
      <c r="Q26882" s="5" t="s">
        <v>355</v>
      </c>
    </row>
    <row r="26883" ht="16.5" customHeight="1">
      <c r="O26883" s="5" t="s">
        <v>355</v>
      </c>
      <c r="P26883" s="5" t="s">
        <v>355</v>
      </c>
      <c r="Q26883" s="5" t="s">
        <v>355</v>
      </c>
    </row>
    <row r="26884" ht="16.5" customHeight="1">
      <c r="O26884" s="5" t="s">
        <v>355</v>
      </c>
      <c r="P26884" s="5" t="s">
        <v>355</v>
      </c>
      <c r="Q26884" s="5" t="s">
        <v>355</v>
      </c>
    </row>
    <row r="26885" ht="16.5" customHeight="1">
      <c r="O26885" s="5" t="s">
        <v>355</v>
      </c>
      <c r="P26885" s="5" t="s">
        <v>355</v>
      </c>
      <c r="Q26885" s="5" t="s">
        <v>355</v>
      </c>
    </row>
    <row r="26886" ht="16.5" customHeight="1">
      <c r="O26886" s="5" t="s">
        <v>355</v>
      </c>
      <c r="P26886" s="5" t="s">
        <v>355</v>
      </c>
      <c r="Q26886" s="5" t="s">
        <v>355</v>
      </c>
    </row>
    <row r="26887" ht="16.5" customHeight="1">
      <c r="O26887" s="5" t="s">
        <v>355</v>
      </c>
      <c r="P26887" s="5" t="s">
        <v>355</v>
      </c>
      <c r="Q26887" s="5" t="s">
        <v>355</v>
      </c>
    </row>
    <row r="26888" ht="16.5" customHeight="1">
      <c r="O26888" s="5" t="s">
        <v>355</v>
      </c>
      <c r="P26888" s="5" t="s">
        <v>355</v>
      </c>
      <c r="Q26888" s="5" t="s">
        <v>355</v>
      </c>
    </row>
    <row r="26889" ht="16.5" customHeight="1">
      <c r="O26889" s="5" t="s">
        <v>355</v>
      </c>
      <c r="P26889" s="5" t="s">
        <v>355</v>
      </c>
      <c r="Q26889" s="5" t="s">
        <v>355</v>
      </c>
    </row>
    <row r="26890" ht="16.5" customHeight="1">
      <c r="O26890" s="5" t="s">
        <v>355</v>
      </c>
      <c r="P26890" s="5" t="s">
        <v>355</v>
      </c>
      <c r="Q26890" s="5" t="s">
        <v>355</v>
      </c>
    </row>
    <row r="26891" ht="16.5" customHeight="1">
      <c r="O26891" s="5" t="s">
        <v>355</v>
      </c>
      <c r="P26891" s="5" t="s">
        <v>355</v>
      </c>
      <c r="Q26891" s="5" t="s">
        <v>355</v>
      </c>
    </row>
    <row r="26892" ht="16.5" customHeight="1">
      <c r="O26892" s="5" t="s">
        <v>355</v>
      </c>
      <c r="P26892" s="5" t="s">
        <v>355</v>
      </c>
      <c r="Q26892" s="5" t="s">
        <v>355</v>
      </c>
    </row>
    <row r="26893" ht="16.5" customHeight="1">
      <c r="O26893" s="5" t="s">
        <v>355</v>
      </c>
      <c r="P26893" s="5" t="s">
        <v>355</v>
      </c>
      <c r="Q26893" s="5" t="s">
        <v>355</v>
      </c>
    </row>
    <row r="26894" ht="16.5" customHeight="1">
      <c r="O26894" s="5" t="s">
        <v>355</v>
      </c>
      <c r="P26894" s="5" t="s">
        <v>355</v>
      </c>
      <c r="Q26894" s="5" t="s">
        <v>355</v>
      </c>
    </row>
    <row r="26895" ht="16.5" customHeight="1">
      <c r="O26895" s="5" t="s">
        <v>355</v>
      </c>
      <c r="P26895" s="5" t="s">
        <v>355</v>
      </c>
      <c r="Q26895" s="5" t="s">
        <v>355</v>
      </c>
    </row>
    <row r="26896" ht="16.5" customHeight="1">
      <c r="O26896" s="5" t="s">
        <v>355</v>
      </c>
      <c r="P26896" s="5" t="s">
        <v>355</v>
      </c>
      <c r="Q26896" s="5" t="s">
        <v>355</v>
      </c>
    </row>
    <row r="26897" ht="16.5" customHeight="1">
      <c r="O26897" s="5" t="s">
        <v>355</v>
      </c>
      <c r="P26897" s="5" t="s">
        <v>355</v>
      </c>
      <c r="Q26897" s="5" t="s">
        <v>355</v>
      </c>
    </row>
    <row r="26898" ht="16.5" customHeight="1">
      <c r="O26898" s="5" t="s">
        <v>355</v>
      </c>
      <c r="P26898" s="5" t="s">
        <v>355</v>
      </c>
      <c r="Q26898" s="5" t="s">
        <v>355</v>
      </c>
    </row>
    <row r="26899" ht="16.5" customHeight="1">
      <c r="O26899" s="5" t="s">
        <v>355</v>
      </c>
      <c r="P26899" s="5" t="s">
        <v>355</v>
      </c>
      <c r="Q26899" s="5" t="s">
        <v>355</v>
      </c>
    </row>
    <row r="26900" ht="16.5" customHeight="1">
      <c r="O26900" s="5" t="s">
        <v>355</v>
      </c>
      <c r="P26900" s="5" t="s">
        <v>355</v>
      </c>
      <c r="Q26900" s="5" t="s">
        <v>355</v>
      </c>
    </row>
    <row r="26901" ht="16.5" customHeight="1">
      <c r="O26901" s="5" t="s">
        <v>355</v>
      </c>
      <c r="P26901" s="5" t="s">
        <v>355</v>
      </c>
      <c r="Q26901" s="5" t="s">
        <v>355</v>
      </c>
    </row>
    <row r="26902" ht="16.5" customHeight="1">
      <c r="O26902" s="5" t="s">
        <v>355</v>
      </c>
      <c r="P26902" s="5" t="s">
        <v>355</v>
      </c>
      <c r="Q26902" s="5" t="s">
        <v>355</v>
      </c>
    </row>
    <row r="26903" ht="16.5" customHeight="1">
      <c r="O26903" s="5" t="s">
        <v>355</v>
      </c>
      <c r="P26903" s="5" t="s">
        <v>355</v>
      </c>
      <c r="Q26903" s="5" t="s">
        <v>355</v>
      </c>
    </row>
    <row r="26904" ht="16.5" customHeight="1">
      <c r="O26904" s="5" t="s">
        <v>355</v>
      </c>
      <c r="P26904" s="5" t="s">
        <v>355</v>
      </c>
      <c r="Q26904" s="5" t="s">
        <v>355</v>
      </c>
    </row>
    <row r="26905" ht="16.5" customHeight="1">
      <c r="O26905" s="5" t="s">
        <v>355</v>
      </c>
      <c r="P26905" s="5" t="s">
        <v>355</v>
      </c>
      <c r="Q26905" s="5" t="s">
        <v>355</v>
      </c>
    </row>
    <row r="26906" ht="16.5" customHeight="1">
      <c r="O26906" s="5" t="s">
        <v>355</v>
      </c>
      <c r="P26906" s="5" t="s">
        <v>355</v>
      </c>
      <c r="Q26906" s="5" t="s">
        <v>355</v>
      </c>
    </row>
    <row r="26907" ht="16.5" customHeight="1">
      <c r="O26907" s="5" t="s">
        <v>355</v>
      </c>
      <c r="P26907" s="5" t="s">
        <v>355</v>
      </c>
      <c r="Q26907" s="5" t="s">
        <v>355</v>
      </c>
    </row>
    <row r="26908" ht="16.5" customHeight="1">
      <c r="O26908" s="5" t="s">
        <v>355</v>
      </c>
      <c r="P26908" s="5" t="s">
        <v>355</v>
      </c>
      <c r="Q26908" s="5" t="s">
        <v>355</v>
      </c>
    </row>
    <row r="26909" ht="16.5" customHeight="1">
      <c r="O26909" s="5" t="s">
        <v>355</v>
      </c>
      <c r="P26909" s="5" t="s">
        <v>355</v>
      </c>
      <c r="Q26909" s="5" t="s">
        <v>355</v>
      </c>
    </row>
    <row r="26910" ht="16.5" customHeight="1">
      <c r="O26910" s="5" t="s">
        <v>355</v>
      </c>
      <c r="P26910" s="5" t="s">
        <v>355</v>
      </c>
      <c r="Q26910" s="5" t="s">
        <v>355</v>
      </c>
    </row>
    <row r="26911" ht="16.5" customHeight="1">
      <c r="O26911" s="5" t="s">
        <v>355</v>
      </c>
      <c r="P26911" s="5" t="s">
        <v>355</v>
      </c>
      <c r="Q26911" s="5" t="s">
        <v>355</v>
      </c>
    </row>
    <row r="26912" ht="16.5" customHeight="1">
      <c r="O26912" s="5" t="s">
        <v>355</v>
      </c>
      <c r="P26912" s="5" t="s">
        <v>355</v>
      </c>
      <c r="Q26912" s="5" t="s">
        <v>355</v>
      </c>
    </row>
    <row r="26913" ht="16.5" customHeight="1">
      <c r="O26913" s="5" t="s">
        <v>355</v>
      </c>
      <c r="P26913" s="5" t="s">
        <v>355</v>
      </c>
      <c r="Q26913" s="5" t="s">
        <v>355</v>
      </c>
    </row>
    <row r="26914" ht="16.5" customHeight="1">
      <c r="O26914" s="5" t="s">
        <v>355</v>
      </c>
      <c r="P26914" s="5" t="s">
        <v>355</v>
      </c>
      <c r="Q26914" s="5" t="s">
        <v>355</v>
      </c>
    </row>
    <row r="26915" ht="16.5" customHeight="1">
      <c r="O26915" s="5" t="s">
        <v>355</v>
      </c>
      <c r="P26915" s="5" t="s">
        <v>355</v>
      </c>
      <c r="Q26915" s="5" t="s">
        <v>355</v>
      </c>
    </row>
    <row r="26916" ht="16.5" customHeight="1">
      <c r="O26916" s="5" t="s">
        <v>355</v>
      </c>
      <c r="P26916" s="5" t="s">
        <v>355</v>
      </c>
      <c r="Q26916" s="5" t="s">
        <v>355</v>
      </c>
    </row>
    <row r="26917" ht="16.5" customHeight="1">
      <c r="O26917" s="5" t="s">
        <v>355</v>
      </c>
      <c r="P26917" s="5" t="s">
        <v>355</v>
      </c>
      <c r="Q26917" s="5" t="s">
        <v>355</v>
      </c>
    </row>
    <row r="26918" ht="16.5" customHeight="1">
      <c r="O26918" s="5" t="s">
        <v>355</v>
      </c>
      <c r="P26918" s="5" t="s">
        <v>355</v>
      </c>
      <c r="Q26918" s="5" t="s">
        <v>355</v>
      </c>
    </row>
    <row r="26919" ht="16.5" customHeight="1">
      <c r="O26919" s="5" t="s">
        <v>355</v>
      </c>
      <c r="P26919" s="5" t="s">
        <v>355</v>
      </c>
      <c r="Q26919" s="5" t="s">
        <v>355</v>
      </c>
    </row>
    <row r="26920" ht="16.5" customHeight="1">
      <c r="O26920" s="5" t="s">
        <v>355</v>
      </c>
      <c r="P26920" s="5" t="s">
        <v>355</v>
      </c>
      <c r="Q26920" s="5" t="s">
        <v>355</v>
      </c>
    </row>
    <row r="26921" ht="16.5" customHeight="1">
      <c r="O26921" s="5" t="s">
        <v>355</v>
      </c>
      <c r="P26921" s="5" t="s">
        <v>355</v>
      </c>
      <c r="Q26921" s="5" t="s">
        <v>355</v>
      </c>
    </row>
    <row r="26922" ht="16.5" customHeight="1">
      <c r="O26922" s="5" t="s">
        <v>355</v>
      </c>
      <c r="P26922" s="5" t="s">
        <v>355</v>
      </c>
      <c r="Q26922" s="5" t="s">
        <v>355</v>
      </c>
    </row>
    <row r="26923" ht="16.5" customHeight="1">
      <c r="O26923" s="5" t="s">
        <v>355</v>
      </c>
      <c r="P26923" s="5" t="s">
        <v>355</v>
      </c>
      <c r="Q26923" s="5" t="s">
        <v>355</v>
      </c>
    </row>
    <row r="26924" ht="16.5" customHeight="1">
      <c r="O26924" s="5" t="s">
        <v>355</v>
      </c>
      <c r="P26924" s="5" t="s">
        <v>355</v>
      </c>
      <c r="Q26924" s="5" t="s">
        <v>355</v>
      </c>
    </row>
    <row r="26925" ht="16.5" customHeight="1">
      <c r="O26925" s="5" t="s">
        <v>355</v>
      </c>
      <c r="P26925" s="5" t="s">
        <v>355</v>
      </c>
      <c r="Q26925" s="5" t="s">
        <v>355</v>
      </c>
    </row>
    <row r="26926" ht="16.5" customHeight="1">
      <c r="O26926" s="5" t="s">
        <v>355</v>
      </c>
      <c r="P26926" s="5" t="s">
        <v>355</v>
      </c>
      <c r="Q26926" s="5" t="s">
        <v>355</v>
      </c>
    </row>
    <row r="26927" ht="16.5" customHeight="1">
      <c r="O26927" s="5" t="s">
        <v>355</v>
      </c>
      <c r="P26927" s="5" t="s">
        <v>355</v>
      </c>
      <c r="Q26927" s="5" t="s">
        <v>355</v>
      </c>
    </row>
    <row r="26928" ht="16.5" customHeight="1">
      <c r="O26928" s="5" t="s">
        <v>355</v>
      </c>
      <c r="P26928" s="5" t="s">
        <v>355</v>
      </c>
      <c r="Q26928" s="5" t="s">
        <v>355</v>
      </c>
    </row>
    <row r="26929" ht="16.5" customHeight="1">
      <c r="O26929" s="5" t="s">
        <v>355</v>
      </c>
      <c r="P26929" s="5" t="s">
        <v>355</v>
      </c>
      <c r="Q26929" s="5" t="s">
        <v>355</v>
      </c>
    </row>
    <row r="26930" ht="16.5" customHeight="1">
      <c r="O26930" s="5" t="s">
        <v>355</v>
      </c>
      <c r="P26930" s="5" t="s">
        <v>355</v>
      </c>
      <c r="Q26930" s="5" t="s">
        <v>355</v>
      </c>
    </row>
    <row r="26931" ht="16.5" customHeight="1">
      <c r="O26931" s="5" t="s">
        <v>355</v>
      </c>
      <c r="P26931" s="5" t="s">
        <v>355</v>
      </c>
      <c r="Q26931" s="5" t="s">
        <v>355</v>
      </c>
    </row>
    <row r="26932" ht="16.5" customHeight="1">
      <c r="O26932" s="5" t="s">
        <v>355</v>
      </c>
      <c r="P26932" s="5" t="s">
        <v>355</v>
      </c>
      <c r="Q26932" s="5" t="s">
        <v>355</v>
      </c>
    </row>
    <row r="26933" ht="16.5" customHeight="1">
      <c r="O26933" s="5" t="s">
        <v>355</v>
      </c>
      <c r="P26933" s="5" t="s">
        <v>355</v>
      </c>
      <c r="Q26933" s="5" t="s">
        <v>355</v>
      </c>
    </row>
    <row r="26934" ht="16.5" customHeight="1">
      <c r="O26934" s="5" t="s">
        <v>355</v>
      </c>
      <c r="P26934" s="5" t="s">
        <v>355</v>
      </c>
      <c r="Q26934" s="5" t="s">
        <v>355</v>
      </c>
    </row>
    <row r="26935" ht="16.5" customHeight="1">
      <c r="O26935" s="5" t="s">
        <v>355</v>
      </c>
      <c r="P26935" s="5" t="s">
        <v>355</v>
      </c>
      <c r="Q26935" s="5" t="s">
        <v>355</v>
      </c>
    </row>
    <row r="26936" ht="16.5" customHeight="1">
      <c r="O26936" s="5" t="s">
        <v>355</v>
      </c>
      <c r="P26936" s="5" t="s">
        <v>355</v>
      </c>
      <c r="Q26936" s="5" t="s">
        <v>355</v>
      </c>
    </row>
    <row r="26937" ht="16.5" customHeight="1">
      <c r="O26937" s="5" t="s">
        <v>355</v>
      </c>
      <c r="P26937" s="5" t="s">
        <v>355</v>
      </c>
      <c r="Q26937" s="5" t="s">
        <v>355</v>
      </c>
    </row>
    <row r="26938" ht="16.5" customHeight="1">
      <c r="O26938" s="5" t="s">
        <v>355</v>
      </c>
      <c r="P26938" s="5" t="s">
        <v>355</v>
      </c>
      <c r="Q26938" s="5" t="s">
        <v>355</v>
      </c>
    </row>
    <row r="26939" ht="16.5" customHeight="1">
      <c r="O26939" s="5" t="s">
        <v>355</v>
      </c>
      <c r="P26939" s="5" t="s">
        <v>355</v>
      </c>
      <c r="Q26939" s="5" t="s">
        <v>355</v>
      </c>
    </row>
    <row r="26940" ht="16.5" customHeight="1">
      <c r="O26940" s="5" t="s">
        <v>355</v>
      </c>
      <c r="P26940" s="5" t="s">
        <v>355</v>
      </c>
      <c r="Q26940" s="5" t="s">
        <v>355</v>
      </c>
    </row>
    <row r="26941" ht="16.5" customHeight="1">
      <c r="O26941" s="5" t="s">
        <v>355</v>
      </c>
      <c r="P26941" s="5" t="s">
        <v>355</v>
      </c>
      <c r="Q26941" s="5" t="s">
        <v>355</v>
      </c>
    </row>
    <row r="26942" ht="16.5" customHeight="1">
      <c r="O26942" s="5" t="s">
        <v>355</v>
      </c>
      <c r="P26942" s="5" t="s">
        <v>355</v>
      </c>
      <c r="Q26942" s="5" t="s">
        <v>355</v>
      </c>
    </row>
    <row r="26943" ht="16.5" customHeight="1">
      <c r="O26943" s="5" t="s">
        <v>355</v>
      </c>
      <c r="P26943" s="5" t="s">
        <v>355</v>
      </c>
      <c r="Q26943" s="5" t="s">
        <v>355</v>
      </c>
    </row>
    <row r="26944" ht="16.5" customHeight="1">
      <c r="O26944" s="5" t="s">
        <v>355</v>
      </c>
      <c r="P26944" s="5" t="s">
        <v>355</v>
      </c>
      <c r="Q26944" s="5" t="s">
        <v>355</v>
      </c>
    </row>
    <row r="26945" ht="16.5" customHeight="1">
      <c r="O26945" s="5" t="s">
        <v>355</v>
      </c>
      <c r="P26945" s="5" t="s">
        <v>355</v>
      </c>
      <c r="Q26945" s="5" t="s">
        <v>355</v>
      </c>
    </row>
    <row r="26946" ht="16.5" customHeight="1">
      <c r="O26946" s="5" t="s">
        <v>355</v>
      </c>
      <c r="P26946" s="5" t="s">
        <v>355</v>
      </c>
      <c r="Q26946" s="5" t="s">
        <v>355</v>
      </c>
    </row>
    <row r="26947" ht="16.5" customHeight="1">
      <c r="O26947" s="5" t="s">
        <v>355</v>
      </c>
      <c r="P26947" s="5" t="s">
        <v>355</v>
      </c>
      <c r="Q26947" s="5" t="s">
        <v>355</v>
      </c>
    </row>
    <row r="26948" ht="16.5" customHeight="1">
      <c r="O26948" s="5" t="s">
        <v>355</v>
      </c>
      <c r="P26948" s="5" t="s">
        <v>355</v>
      </c>
      <c r="Q26948" s="5" t="s">
        <v>355</v>
      </c>
    </row>
    <row r="26949" ht="16.5" customHeight="1">
      <c r="O26949" s="5" t="s">
        <v>355</v>
      </c>
      <c r="P26949" s="5" t="s">
        <v>355</v>
      </c>
      <c r="Q26949" s="5" t="s">
        <v>355</v>
      </c>
    </row>
    <row r="26950" ht="16.5" customHeight="1">
      <c r="O26950" s="5" t="s">
        <v>355</v>
      </c>
      <c r="P26950" s="5" t="s">
        <v>355</v>
      </c>
      <c r="Q26950" s="5" t="s">
        <v>355</v>
      </c>
    </row>
    <row r="26951" ht="16.5" customHeight="1">
      <c r="O26951" s="5" t="s">
        <v>355</v>
      </c>
      <c r="P26951" s="5" t="s">
        <v>355</v>
      </c>
      <c r="Q26951" s="5" t="s">
        <v>355</v>
      </c>
    </row>
    <row r="26952" ht="16.5" customHeight="1">
      <c r="O26952" s="5" t="s">
        <v>355</v>
      </c>
      <c r="P26952" s="5" t="s">
        <v>355</v>
      </c>
      <c r="Q26952" s="5" t="s">
        <v>355</v>
      </c>
    </row>
    <row r="26953" ht="16.5" customHeight="1">
      <c r="O26953" s="5" t="s">
        <v>355</v>
      </c>
      <c r="P26953" s="5" t="s">
        <v>355</v>
      </c>
      <c r="Q26953" s="5" t="s">
        <v>355</v>
      </c>
    </row>
    <row r="26954" ht="16.5" customHeight="1">
      <c r="O26954" s="5" t="s">
        <v>355</v>
      </c>
      <c r="P26954" s="5" t="s">
        <v>355</v>
      </c>
      <c r="Q26954" s="5" t="s">
        <v>355</v>
      </c>
    </row>
    <row r="26955" ht="16.5" customHeight="1">
      <c r="O26955" s="5" t="s">
        <v>355</v>
      </c>
      <c r="P26955" s="5" t="s">
        <v>355</v>
      </c>
      <c r="Q26955" s="5" t="s">
        <v>355</v>
      </c>
    </row>
    <row r="26956" ht="16.5" customHeight="1">
      <c r="O26956" s="5" t="s">
        <v>355</v>
      </c>
      <c r="P26956" s="5" t="s">
        <v>355</v>
      </c>
      <c r="Q26956" s="5" t="s">
        <v>355</v>
      </c>
    </row>
    <row r="26957" ht="16.5" customHeight="1">
      <c r="O26957" s="5" t="s">
        <v>355</v>
      </c>
      <c r="P26957" s="5" t="s">
        <v>355</v>
      </c>
      <c r="Q26957" s="5" t="s">
        <v>355</v>
      </c>
    </row>
    <row r="26958" ht="16.5" customHeight="1">
      <c r="O26958" s="5" t="s">
        <v>355</v>
      </c>
      <c r="P26958" s="5" t="s">
        <v>355</v>
      </c>
      <c r="Q26958" s="5" t="s">
        <v>355</v>
      </c>
    </row>
    <row r="26959" ht="16.5" customHeight="1">
      <c r="O26959" s="5" t="s">
        <v>355</v>
      </c>
      <c r="P26959" s="5" t="s">
        <v>355</v>
      </c>
      <c r="Q26959" s="5" t="s">
        <v>355</v>
      </c>
    </row>
    <row r="26960" ht="16.5" customHeight="1">
      <c r="O26960" s="5" t="s">
        <v>355</v>
      </c>
      <c r="P26960" s="5" t="s">
        <v>355</v>
      </c>
      <c r="Q26960" s="5" t="s">
        <v>355</v>
      </c>
    </row>
    <row r="26961" ht="16.5" customHeight="1">
      <c r="O26961" s="5" t="s">
        <v>355</v>
      </c>
      <c r="P26961" s="5" t="s">
        <v>355</v>
      </c>
      <c r="Q26961" s="5" t="s">
        <v>355</v>
      </c>
    </row>
    <row r="26962" ht="16.5" customHeight="1">
      <c r="O26962" s="5" t="s">
        <v>355</v>
      </c>
      <c r="P26962" s="5" t="s">
        <v>355</v>
      </c>
      <c r="Q26962" s="5" t="s">
        <v>355</v>
      </c>
    </row>
    <row r="26963" ht="16.5" customHeight="1">
      <c r="O26963" s="5" t="s">
        <v>355</v>
      </c>
      <c r="P26963" s="5" t="s">
        <v>355</v>
      </c>
      <c r="Q26963" s="5" t="s">
        <v>355</v>
      </c>
    </row>
    <row r="26964" ht="16.5" customHeight="1">
      <c r="O26964" s="5" t="s">
        <v>355</v>
      </c>
      <c r="P26964" s="5" t="s">
        <v>355</v>
      </c>
      <c r="Q26964" s="5" t="s">
        <v>355</v>
      </c>
    </row>
    <row r="26965" ht="16.5" customHeight="1">
      <c r="O26965" s="5" t="s">
        <v>355</v>
      </c>
      <c r="P26965" s="5" t="s">
        <v>355</v>
      </c>
      <c r="Q26965" s="5" t="s">
        <v>355</v>
      </c>
    </row>
    <row r="26966" ht="16.5" customHeight="1">
      <c r="O26966" s="5" t="s">
        <v>355</v>
      </c>
      <c r="P26966" s="5" t="s">
        <v>355</v>
      </c>
      <c r="Q26966" s="5" t="s">
        <v>355</v>
      </c>
    </row>
    <row r="26967" ht="16.5" customHeight="1">
      <c r="O26967" s="5" t="s">
        <v>355</v>
      </c>
      <c r="P26967" s="5" t="s">
        <v>355</v>
      </c>
      <c r="Q26967" s="5" t="s">
        <v>355</v>
      </c>
    </row>
    <row r="26968" ht="16.5" customHeight="1">
      <c r="O26968" s="5" t="s">
        <v>355</v>
      </c>
      <c r="P26968" s="5" t="s">
        <v>355</v>
      </c>
      <c r="Q26968" s="5" t="s">
        <v>355</v>
      </c>
    </row>
    <row r="26969" ht="16.5" customHeight="1">
      <c r="O26969" s="5" t="s">
        <v>355</v>
      </c>
      <c r="P26969" s="5" t="s">
        <v>355</v>
      </c>
      <c r="Q26969" s="5" t="s">
        <v>355</v>
      </c>
    </row>
    <row r="26970" ht="16.5" customHeight="1">
      <c r="O26970" s="5" t="s">
        <v>355</v>
      </c>
      <c r="P26970" s="5" t="s">
        <v>355</v>
      </c>
      <c r="Q26970" s="5" t="s">
        <v>355</v>
      </c>
    </row>
    <row r="26971" ht="16.5" customHeight="1">
      <c r="O26971" s="5" t="s">
        <v>355</v>
      </c>
      <c r="P26971" s="5" t="s">
        <v>355</v>
      </c>
      <c r="Q26971" s="5" t="s">
        <v>355</v>
      </c>
    </row>
    <row r="26972" ht="16.5" customHeight="1">
      <c r="O26972" s="5" t="s">
        <v>355</v>
      </c>
      <c r="P26972" s="5" t="s">
        <v>355</v>
      </c>
      <c r="Q26972" s="5" t="s">
        <v>355</v>
      </c>
    </row>
    <row r="26973" ht="16.5" customHeight="1">
      <c r="O26973" s="5" t="s">
        <v>355</v>
      </c>
      <c r="P26973" s="5" t="s">
        <v>355</v>
      </c>
      <c r="Q26973" s="5" t="s">
        <v>355</v>
      </c>
    </row>
    <row r="26974" ht="16.5" customHeight="1">
      <c r="O26974" s="5" t="s">
        <v>355</v>
      </c>
      <c r="P26974" s="5" t="s">
        <v>355</v>
      </c>
      <c r="Q26974" s="5" t="s">
        <v>355</v>
      </c>
    </row>
    <row r="26975" ht="16.5" customHeight="1">
      <c r="O26975" s="5" t="s">
        <v>355</v>
      </c>
      <c r="P26975" s="5" t="s">
        <v>355</v>
      </c>
      <c r="Q26975" s="5" t="s">
        <v>355</v>
      </c>
    </row>
    <row r="26976" ht="16.5" customHeight="1">
      <c r="O26976" s="5" t="s">
        <v>355</v>
      </c>
      <c r="P26976" s="5" t="s">
        <v>355</v>
      </c>
      <c r="Q26976" s="5" t="s">
        <v>355</v>
      </c>
    </row>
    <row r="26977" ht="16.5" customHeight="1">
      <c r="O26977" s="5" t="s">
        <v>355</v>
      </c>
      <c r="P26977" s="5" t="s">
        <v>355</v>
      </c>
      <c r="Q26977" s="5" t="s">
        <v>355</v>
      </c>
    </row>
    <row r="26978" ht="16.5" customHeight="1">
      <c r="O26978" s="5" t="s">
        <v>355</v>
      </c>
      <c r="P26978" s="5" t="s">
        <v>355</v>
      </c>
      <c r="Q26978" s="5" t="s">
        <v>355</v>
      </c>
    </row>
    <row r="26979" ht="16.5" customHeight="1">
      <c r="O26979" s="5" t="s">
        <v>355</v>
      </c>
      <c r="P26979" s="5" t="s">
        <v>355</v>
      </c>
      <c r="Q26979" s="5" t="s">
        <v>355</v>
      </c>
    </row>
    <row r="26980" ht="16.5" customHeight="1">
      <c r="O26980" s="5" t="s">
        <v>355</v>
      </c>
      <c r="P26980" s="5" t="s">
        <v>355</v>
      </c>
      <c r="Q26980" s="5" t="s">
        <v>355</v>
      </c>
    </row>
    <row r="26981" ht="16.5" customHeight="1">
      <c r="O26981" s="5" t="s">
        <v>355</v>
      </c>
      <c r="P26981" s="5" t="s">
        <v>355</v>
      </c>
      <c r="Q26981" s="5" t="s">
        <v>355</v>
      </c>
    </row>
    <row r="26982" ht="16.5" customHeight="1">
      <c r="O26982" s="5" t="s">
        <v>355</v>
      </c>
      <c r="P26982" s="5" t="s">
        <v>355</v>
      </c>
      <c r="Q26982" s="5" t="s">
        <v>355</v>
      </c>
    </row>
    <row r="26983" ht="16.5" customHeight="1">
      <c r="O26983" s="5" t="s">
        <v>355</v>
      </c>
      <c r="P26983" s="5" t="s">
        <v>355</v>
      </c>
      <c r="Q26983" s="5" t="s">
        <v>355</v>
      </c>
    </row>
    <row r="26984" ht="16.5" customHeight="1">
      <c r="O26984" s="5" t="s">
        <v>355</v>
      </c>
      <c r="P26984" s="5" t="s">
        <v>355</v>
      </c>
      <c r="Q26984" s="5" t="s">
        <v>355</v>
      </c>
    </row>
    <row r="26985" ht="16.5" customHeight="1">
      <c r="O26985" s="5" t="s">
        <v>355</v>
      </c>
      <c r="P26985" s="5" t="s">
        <v>355</v>
      </c>
      <c r="Q26985" s="5" t="s">
        <v>355</v>
      </c>
    </row>
    <row r="26986" ht="16.5" customHeight="1">
      <c r="O26986" s="5" t="s">
        <v>355</v>
      </c>
      <c r="P26986" s="5" t="s">
        <v>355</v>
      </c>
      <c r="Q26986" s="5" t="s">
        <v>355</v>
      </c>
    </row>
    <row r="26987" ht="16.5" customHeight="1">
      <c r="O26987" s="5" t="s">
        <v>355</v>
      </c>
      <c r="P26987" s="5" t="s">
        <v>355</v>
      </c>
      <c r="Q26987" s="5" t="s">
        <v>355</v>
      </c>
    </row>
    <row r="26988" ht="16.5" customHeight="1">
      <c r="O26988" s="5" t="s">
        <v>355</v>
      </c>
      <c r="P26988" s="5" t="s">
        <v>355</v>
      </c>
      <c r="Q26988" s="5" t="s">
        <v>355</v>
      </c>
    </row>
    <row r="26989" ht="16.5" customHeight="1">
      <c r="O26989" s="5" t="s">
        <v>355</v>
      </c>
      <c r="P26989" s="5" t="s">
        <v>355</v>
      </c>
      <c r="Q26989" s="5" t="s">
        <v>355</v>
      </c>
    </row>
    <row r="26990" ht="16.5" customHeight="1">
      <c r="O26990" s="5" t="s">
        <v>355</v>
      </c>
      <c r="P26990" s="5" t="s">
        <v>355</v>
      </c>
      <c r="Q26990" s="5" t="s">
        <v>355</v>
      </c>
    </row>
    <row r="26991" ht="16.5" customHeight="1">
      <c r="O26991" s="5" t="s">
        <v>355</v>
      </c>
      <c r="P26991" s="5" t="s">
        <v>355</v>
      </c>
      <c r="Q26991" s="5" t="s">
        <v>355</v>
      </c>
    </row>
    <row r="26992" ht="16.5" customHeight="1">
      <c r="O26992" s="5" t="s">
        <v>355</v>
      </c>
      <c r="P26992" s="5" t="s">
        <v>355</v>
      </c>
      <c r="Q26992" s="5" t="s">
        <v>355</v>
      </c>
    </row>
    <row r="26993" ht="16.5" customHeight="1">
      <c r="O26993" s="5" t="s">
        <v>355</v>
      </c>
      <c r="P26993" s="5" t="s">
        <v>355</v>
      </c>
      <c r="Q26993" s="5" t="s">
        <v>355</v>
      </c>
    </row>
    <row r="26994" ht="16.5" customHeight="1">
      <c r="O26994" s="5" t="s">
        <v>355</v>
      </c>
      <c r="P26994" s="5" t="s">
        <v>355</v>
      </c>
      <c r="Q26994" s="5" t="s">
        <v>355</v>
      </c>
    </row>
    <row r="26995" ht="16.5" customHeight="1">
      <c r="O26995" s="5" t="s">
        <v>355</v>
      </c>
      <c r="P26995" s="5" t="s">
        <v>355</v>
      </c>
      <c r="Q26995" s="5" t="s">
        <v>355</v>
      </c>
    </row>
    <row r="26996" ht="16.5" customHeight="1">
      <c r="O26996" s="5" t="s">
        <v>355</v>
      </c>
      <c r="P26996" s="5" t="s">
        <v>355</v>
      </c>
      <c r="Q26996" s="5" t="s">
        <v>355</v>
      </c>
    </row>
    <row r="26997" ht="16.5" customHeight="1">
      <c r="O26997" s="5" t="s">
        <v>355</v>
      </c>
      <c r="P26997" s="5" t="s">
        <v>355</v>
      </c>
      <c r="Q26997" s="5" t="s">
        <v>355</v>
      </c>
    </row>
    <row r="26998" ht="16.5" customHeight="1">
      <c r="O26998" s="5" t="s">
        <v>355</v>
      </c>
      <c r="P26998" s="5" t="s">
        <v>355</v>
      </c>
      <c r="Q26998" s="5" t="s">
        <v>355</v>
      </c>
    </row>
    <row r="26999" ht="16.5" customHeight="1">
      <c r="O26999" s="5" t="s">
        <v>355</v>
      </c>
      <c r="P26999" s="5" t="s">
        <v>355</v>
      </c>
      <c r="Q26999" s="5" t="s">
        <v>355</v>
      </c>
    </row>
    <row r="27000" ht="16.5" customHeight="1">
      <c r="O27000" s="5" t="s">
        <v>355</v>
      </c>
      <c r="P27000" s="5" t="s">
        <v>355</v>
      </c>
      <c r="Q27000" s="5" t="s">
        <v>355</v>
      </c>
    </row>
    <row r="27001" ht="16.5" customHeight="1">
      <c r="O27001" s="5" t="s">
        <v>355</v>
      </c>
      <c r="P27001" s="5" t="s">
        <v>355</v>
      </c>
      <c r="Q27001" s="5" t="s">
        <v>355</v>
      </c>
    </row>
    <row r="27002" ht="16.5" customHeight="1">
      <c r="O27002" s="5" t="s">
        <v>355</v>
      </c>
      <c r="P27002" s="5" t="s">
        <v>355</v>
      </c>
      <c r="Q27002" s="5" t="s">
        <v>355</v>
      </c>
    </row>
    <row r="27003" ht="16.5" customHeight="1">
      <c r="O27003" s="5" t="s">
        <v>355</v>
      </c>
      <c r="P27003" s="5" t="s">
        <v>355</v>
      </c>
      <c r="Q27003" s="5" t="s">
        <v>355</v>
      </c>
    </row>
    <row r="27004" ht="16.5" customHeight="1">
      <c r="O27004" s="5" t="s">
        <v>355</v>
      </c>
      <c r="P27004" s="5" t="s">
        <v>355</v>
      </c>
      <c r="Q27004" s="5" t="s">
        <v>355</v>
      </c>
    </row>
    <row r="27005" ht="16.5" customHeight="1">
      <c r="O27005" s="5" t="s">
        <v>355</v>
      </c>
      <c r="P27005" s="5" t="s">
        <v>355</v>
      </c>
      <c r="Q27005" s="5" t="s">
        <v>355</v>
      </c>
    </row>
    <row r="27006" ht="16.5" customHeight="1">
      <c r="O27006" s="5" t="s">
        <v>355</v>
      </c>
      <c r="P27006" s="5" t="s">
        <v>355</v>
      </c>
      <c r="Q27006" s="5" t="s">
        <v>355</v>
      </c>
    </row>
    <row r="27007" ht="16.5" customHeight="1">
      <c r="O27007" s="5" t="s">
        <v>355</v>
      </c>
      <c r="P27007" s="5" t="s">
        <v>355</v>
      </c>
      <c r="Q27007" s="5" t="s">
        <v>355</v>
      </c>
    </row>
    <row r="27008" ht="16.5" customHeight="1">
      <c r="O27008" s="5" t="s">
        <v>355</v>
      </c>
      <c r="P27008" s="5" t="s">
        <v>355</v>
      </c>
      <c r="Q27008" s="5" t="s">
        <v>355</v>
      </c>
    </row>
    <row r="27009" ht="16.5" customHeight="1">
      <c r="O27009" s="5" t="s">
        <v>355</v>
      </c>
      <c r="P27009" s="5" t="s">
        <v>355</v>
      </c>
      <c r="Q27009" s="5" t="s">
        <v>355</v>
      </c>
    </row>
    <row r="27010" ht="16.5" customHeight="1">
      <c r="O27010" s="5" t="s">
        <v>355</v>
      </c>
      <c r="P27010" s="5" t="s">
        <v>355</v>
      </c>
      <c r="Q27010" s="5" t="s">
        <v>355</v>
      </c>
    </row>
    <row r="27011" ht="16.5" customHeight="1">
      <c r="O27011" s="5" t="s">
        <v>355</v>
      </c>
      <c r="P27011" s="5" t="s">
        <v>355</v>
      </c>
      <c r="Q27011" s="5" t="s">
        <v>355</v>
      </c>
    </row>
    <row r="27012" ht="16.5" customHeight="1">
      <c r="O27012" s="5" t="s">
        <v>355</v>
      </c>
      <c r="P27012" s="5" t="s">
        <v>355</v>
      </c>
      <c r="Q27012" s="5" t="s">
        <v>355</v>
      </c>
    </row>
    <row r="27013" ht="16.5" customHeight="1">
      <c r="O27013" s="5" t="s">
        <v>355</v>
      </c>
      <c r="P27013" s="5" t="s">
        <v>355</v>
      </c>
      <c r="Q27013" s="5" t="s">
        <v>355</v>
      </c>
    </row>
    <row r="27014" ht="16.5" customHeight="1">
      <c r="O27014" s="5" t="s">
        <v>355</v>
      </c>
      <c r="P27014" s="5" t="s">
        <v>355</v>
      </c>
      <c r="Q27014" s="5" t="s">
        <v>355</v>
      </c>
    </row>
    <row r="27015" ht="16.5" customHeight="1">
      <c r="O27015" s="5" t="s">
        <v>355</v>
      </c>
      <c r="P27015" s="5" t="s">
        <v>355</v>
      </c>
      <c r="Q27015" s="5" t="s">
        <v>355</v>
      </c>
    </row>
    <row r="27016" ht="16.5" customHeight="1">
      <c r="O27016" s="5" t="s">
        <v>355</v>
      </c>
      <c r="P27016" s="5" t="s">
        <v>355</v>
      </c>
      <c r="Q27016" s="5" t="s">
        <v>355</v>
      </c>
    </row>
    <row r="27017" ht="16.5" customHeight="1">
      <c r="O27017" s="5" t="s">
        <v>355</v>
      </c>
      <c r="P27017" s="5" t="s">
        <v>355</v>
      </c>
      <c r="Q27017" s="5" t="s">
        <v>355</v>
      </c>
    </row>
    <row r="27018" ht="16.5" customHeight="1">
      <c r="O27018" s="5" t="s">
        <v>355</v>
      </c>
      <c r="P27018" s="5" t="s">
        <v>355</v>
      </c>
      <c r="Q27018" s="5" t="s">
        <v>355</v>
      </c>
    </row>
    <row r="27019" ht="16.5" customHeight="1">
      <c r="O27019" s="5" t="s">
        <v>355</v>
      </c>
      <c r="P27019" s="5" t="s">
        <v>355</v>
      </c>
      <c r="Q27019" s="5" t="s">
        <v>355</v>
      </c>
    </row>
    <row r="27020" ht="16.5" customHeight="1">
      <c r="O27020" s="5" t="s">
        <v>355</v>
      </c>
      <c r="P27020" s="5" t="s">
        <v>355</v>
      </c>
      <c r="Q27020" s="5" t="s">
        <v>355</v>
      </c>
    </row>
    <row r="27021" ht="16.5" customHeight="1">
      <c r="O27021" s="5" t="s">
        <v>355</v>
      </c>
      <c r="P27021" s="5" t="s">
        <v>355</v>
      </c>
      <c r="Q27021" s="5" t="s">
        <v>355</v>
      </c>
    </row>
    <row r="27022" ht="16.5" customHeight="1">
      <c r="O27022" s="5" t="s">
        <v>355</v>
      </c>
      <c r="P27022" s="5" t="s">
        <v>355</v>
      </c>
      <c r="Q27022" s="5" t="s">
        <v>355</v>
      </c>
    </row>
    <row r="27023" ht="16.5" customHeight="1">
      <c r="O27023" s="5" t="s">
        <v>355</v>
      </c>
      <c r="P27023" s="5" t="s">
        <v>355</v>
      </c>
      <c r="Q27023" s="5" t="s">
        <v>355</v>
      </c>
    </row>
    <row r="27024" ht="16.5" customHeight="1">
      <c r="O27024" s="5" t="s">
        <v>355</v>
      </c>
      <c r="P27024" s="5" t="s">
        <v>355</v>
      </c>
      <c r="Q27024" s="5" t="s">
        <v>355</v>
      </c>
    </row>
    <row r="27025" ht="16.5" customHeight="1">
      <c r="O27025" s="5" t="s">
        <v>355</v>
      </c>
      <c r="P27025" s="5" t="s">
        <v>355</v>
      </c>
      <c r="Q27025" s="5" t="s">
        <v>355</v>
      </c>
    </row>
    <row r="27026" ht="16.5" customHeight="1">
      <c r="O27026" s="5" t="s">
        <v>355</v>
      </c>
      <c r="P27026" s="5" t="s">
        <v>355</v>
      </c>
      <c r="Q27026" s="5" t="s">
        <v>355</v>
      </c>
    </row>
    <row r="27027" ht="16.5" customHeight="1">
      <c r="O27027" s="5" t="s">
        <v>355</v>
      </c>
      <c r="P27027" s="5" t="s">
        <v>355</v>
      </c>
      <c r="Q27027" s="5" t="s">
        <v>355</v>
      </c>
    </row>
    <row r="27028" ht="16.5" customHeight="1">
      <c r="O27028" s="5" t="s">
        <v>355</v>
      </c>
      <c r="P27028" s="5" t="s">
        <v>355</v>
      </c>
      <c r="Q27028" s="5" t="s">
        <v>355</v>
      </c>
    </row>
    <row r="27029" ht="16.5" customHeight="1">
      <c r="O27029" s="5" t="s">
        <v>355</v>
      </c>
      <c r="P27029" s="5" t="s">
        <v>355</v>
      </c>
      <c r="Q27029" s="5" t="s">
        <v>355</v>
      </c>
    </row>
    <row r="27030" ht="16.5" customHeight="1">
      <c r="O27030" s="5" t="s">
        <v>355</v>
      </c>
      <c r="P27030" s="5" t="s">
        <v>355</v>
      </c>
      <c r="Q27030" s="5" t="s">
        <v>355</v>
      </c>
    </row>
    <row r="27031" ht="16.5" customHeight="1">
      <c r="O27031" s="5" t="s">
        <v>355</v>
      </c>
      <c r="P27031" s="5" t="s">
        <v>355</v>
      </c>
      <c r="Q27031" s="5" t="s">
        <v>355</v>
      </c>
    </row>
    <row r="27032" ht="16.5" customHeight="1">
      <c r="O27032" s="5" t="s">
        <v>355</v>
      </c>
      <c r="P27032" s="5" t="s">
        <v>355</v>
      </c>
      <c r="Q27032" s="5" t="s">
        <v>355</v>
      </c>
    </row>
    <row r="27033" ht="16.5" customHeight="1">
      <c r="O27033" s="5" t="s">
        <v>355</v>
      </c>
      <c r="P27033" s="5" t="s">
        <v>355</v>
      </c>
      <c r="Q27033" s="5" t="s">
        <v>355</v>
      </c>
    </row>
    <row r="27034" ht="16.5" customHeight="1">
      <c r="O27034" s="5" t="s">
        <v>355</v>
      </c>
      <c r="P27034" s="5" t="s">
        <v>355</v>
      </c>
      <c r="Q27034" s="5" t="s">
        <v>355</v>
      </c>
    </row>
    <row r="27035" ht="16.5" customHeight="1">
      <c r="O27035" s="5" t="s">
        <v>355</v>
      </c>
      <c r="P27035" s="5" t="s">
        <v>355</v>
      </c>
      <c r="Q27035" s="5" t="s">
        <v>355</v>
      </c>
    </row>
    <row r="27036" ht="16.5" customHeight="1">
      <c r="O27036" s="5" t="s">
        <v>355</v>
      </c>
      <c r="P27036" s="5" t="s">
        <v>355</v>
      </c>
      <c r="Q27036" s="5" t="s">
        <v>355</v>
      </c>
    </row>
    <row r="27037" ht="16.5" customHeight="1">
      <c r="O27037" s="5" t="s">
        <v>355</v>
      </c>
      <c r="P27037" s="5" t="s">
        <v>355</v>
      </c>
      <c r="Q27037" s="5" t="s">
        <v>355</v>
      </c>
    </row>
    <row r="27038" ht="16.5" customHeight="1">
      <c r="O27038" s="5" t="s">
        <v>355</v>
      </c>
      <c r="P27038" s="5" t="s">
        <v>355</v>
      </c>
      <c r="Q27038" s="5" t="s">
        <v>355</v>
      </c>
    </row>
    <row r="27039" ht="16.5" customHeight="1">
      <c r="O27039" s="5" t="s">
        <v>355</v>
      </c>
      <c r="P27039" s="5" t="s">
        <v>355</v>
      </c>
      <c r="Q27039" s="5" t="s">
        <v>355</v>
      </c>
    </row>
    <row r="27040" ht="16.5" customHeight="1">
      <c r="O27040" s="5" t="s">
        <v>355</v>
      </c>
      <c r="P27040" s="5" t="s">
        <v>355</v>
      </c>
      <c r="Q27040" s="5" t="s">
        <v>355</v>
      </c>
    </row>
    <row r="27041" ht="16.5" customHeight="1">
      <c r="O27041" s="5" t="s">
        <v>355</v>
      </c>
      <c r="P27041" s="5" t="s">
        <v>355</v>
      </c>
      <c r="Q27041" s="5" t="s">
        <v>355</v>
      </c>
    </row>
    <row r="27042" ht="16.5" customHeight="1">
      <c r="O27042" s="5" t="s">
        <v>355</v>
      </c>
      <c r="P27042" s="5" t="s">
        <v>355</v>
      </c>
      <c r="Q27042" s="5" t="s">
        <v>355</v>
      </c>
    </row>
    <row r="27043" ht="16.5" customHeight="1">
      <c r="O27043" s="5" t="s">
        <v>355</v>
      </c>
      <c r="P27043" s="5" t="s">
        <v>355</v>
      </c>
      <c r="Q27043" s="5" t="s">
        <v>355</v>
      </c>
    </row>
    <row r="27044" ht="16.5" customHeight="1">
      <c r="O27044" s="5" t="s">
        <v>355</v>
      </c>
      <c r="P27044" s="5" t="s">
        <v>355</v>
      </c>
      <c r="Q27044" s="5" t="s">
        <v>355</v>
      </c>
    </row>
    <row r="27045" ht="16.5" customHeight="1">
      <c r="O27045" s="5" t="s">
        <v>355</v>
      </c>
      <c r="P27045" s="5" t="s">
        <v>355</v>
      </c>
      <c r="Q27045" s="5" t="s">
        <v>355</v>
      </c>
    </row>
    <row r="27046" ht="16.5" customHeight="1">
      <c r="O27046" s="5" t="s">
        <v>355</v>
      </c>
      <c r="P27046" s="5" t="s">
        <v>355</v>
      </c>
      <c r="Q27046" s="5" t="s">
        <v>355</v>
      </c>
    </row>
    <row r="27047" ht="16.5" customHeight="1">
      <c r="O27047" s="5" t="s">
        <v>355</v>
      </c>
      <c r="P27047" s="5" t="s">
        <v>355</v>
      </c>
      <c r="Q27047" s="5" t="s">
        <v>355</v>
      </c>
    </row>
    <row r="27048" ht="16.5" customHeight="1">
      <c r="O27048" s="5" t="s">
        <v>355</v>
      </c>
      <c r="P27048" s="5" t="s">
        <v>355</v>
      </c>
      <c r="Q27048" s="5" t="s">
        <v>355</v>
      </c>
    </row>
    <row r="27049" ht="16.5" customHeight="1">
      <c r="O27049" s="5" t="s">
        <v>355</v>
      </c>
      <c r="P27049" s="5" t="s">
        <v>355</v>
      </c>
      <c r="Q27049" s="5" t="s">
        <v>355</v>
      </c>
    </row>
    <row r="27050" ht="16.5" customHeight="1">
      <c r="O27050" s="5" t="s">
        <v>355</v>
      </c>
      <c r="P27050" s="5" t="s">
        <v>355</v>
      </c>
      <c r="Q27050" s="5" t="s">
        <v>355</v>
      </c>
    </row>
    <row r="27051" ht="16.5" customHeight="1">
      <c r="O27051" s="5" t="s">
        <v>355</v>
      </c>
      <c r="P27051" s="5" t="s">
        <v>355</v>
      </c>
      <c r="Q27051" s="5" t="s">
        <v>355</v>
      </c>
    </row>
    <row r="27052" ht="16.5" customHeight="1">
      <c r="O27052" s="5" t="s">
        <v>355</v>
      </c>
      <c r="P27052" s="5" t="s">
        <v>355</v>
      </c>
      <c r="Q27052" s="5" t="s">
        <v>355</v>
      </c>
    </row>
    <row r="27053" ht="16.5" customHeight="1">
      <c r="O27053" s="5" t="s">
        <v>355</v>
      </c>
      <c r="P27053" s="5" t="s">
        <v>355</v>
      </c>
      <c r="Q27053" s="5" t="s">
        <v>355</v>
      </c>
    </row>
    <row r="27054" ht="16.5" customHeight="1">
      <c r="O27054" s="5" t="s">
        <v>355</v>
      </c>
      <c r="P27054" s="5" t="s">
        <v>355</v>
      </c>
      <c r="Q27054" s="5" t="s">
        <v>355</v>
      </c>
    </row>
    <row r="27055" ht="16.5" customHeight="1">
      <c r="O27055" s="5" t="s">
        <v>355</v>
      </c>
      <c r="P27055" s="5" t="s">
        <v>355</v>
      </c>
      <c r="Q27055" s="5" t="s">
        <v>355</v>
      </c>
    </row>
    <row r="27056" ht="16.5" customHeight="1">
      <c r="O27056" s="5" t="s">
        <v>355</v>
      </c>
      <c r="P27056" s="5" t="s">
        <v>355</v>
      </c>
      <c r="Q27056" s="5" t="s">
        <v>355</v>
      </c>
    </row>
    <row r="27057" ht="16.5" customHeight="1">
      <c r="O27057" s="5" t="s">
        <v>355</v>
      </c>
      <c r="P27057" s="5" t="s">
        <v>355</v>
      </c>
      <c r="Q27057" s="5" t="s">
        <v>355</v>
      </c>
    </row>
    <row r="27058" ht="16.5" customHeight="1">
      <c r="O27058" s="5" t="s">
        <v>355</v>
      </c>
      <c r="P27058" s="5" t="s">
        <v>355</v>
      </c>
      <c r="Q27058" s="5" t="s">
        <v>355</v>
      </c>
    </row>
    <row r="27059" ht="16.5" customHeight="1">
      <c r="O27059" s="5" t="s">
        <v>355</v>
      </c>
      <c r="P27059" s="5" t="s">
        <v>355</v>
      </c>
      <c r="Q27059" s="5" t="s">
        <v>355</v>
      </c>
    </row>
    <row r="27060" ht="16.5" customHeight="1">
      <c r="O27060" s="5" t="s">
        <v>355</v>
      </c>
      <c r="P27060" s="5" t="s">
        <v>355</v>
      </c>
      <c r="Q27060" s="5" t="s">
        <v>355</v>
      </c>
    </row>
    <row r="27061" ht="16.5" customHeight="1">
      <c r="O27061" s="5" t="s">
        <v>355</v>
      </c>
      <c r="P27061" s="5" t="s">
        <v>355</v>
      </c>
      <c r="Q27061" s="5" t="s">
        <v>355</v>
      </c>
    </row>
    <row r="27062" ht="16.5" customHeight="1">
      <c r="O27062" s="5" t="s">
        <v>355</v>
      </c>
      <c r="P27062" s="5" t="s">
        <v>355</v>
      </c>
      <c r="Q27062" s="5" t="s">
        <v>355</v>
      </c>
    </row>
    <row r="27063" ht="16.5" customHeight="1">
      <c r="O27063" s="5" t="s">
        <v>355</v>
      </c>
      <c r="P27063" s="5" t="s">
        <v>355</v>
      </c>
      <c r="Q27063" s="5" t="s">
        <v>355</v>
      </c>
    </row>
    <row r="27064" ht="16.5" customHeight="1">
      <c r="O27064" s="5" t="s">
        <v>355</v>
      </c>
      <c r="P27064" s="5" t="s">
        <v>355</v>
      </c>
      <c r="Q27064" s="5" t="s">
        <v>355</v>
      </c>
    </row>
    <row r="27065" ht="16.5" customHeight="1">
      <c r="O27065" s="5" t="s">
        <v>355</v>
      </c>
      <c r="P27065" s="5" t="s">
        <v>355</v>
      </c>
      <c r="Q27065" s="5" t="s">
        <v>355</v>
      </c>
    </row>
    <row r="27066" ht="16.5" customHeight="1">
      <c r="O27066" s="5" t="s">
        <v>355</v>
      </c>
      <c r="P27066" s="5" t="s">
        <v>355</v>
      </c>
      <c r="Q27066" s="5" t="s">
        <v>355</v>
      </c>
    </row>
    <row r="27067" ht="16.5" customHeight="1">
      <c r="O27067" s="5" t="s">
        <v>355</v>
      </c>
      <c r="P27067" s="5" t="s">
        <v>355</v>
      </c>
      <c r="Q27067" s="5" t="s">
        <v>355</v>
      </c>
    </row>
    <row r="27068" ht="16.5" customHeight="1">
      <c r="O27068" s="5" t="s">
        <v>355</v>
      </c>
      <c r="P27068" s="5" t="s">
        <v>355</v>
      </c>
      <c r="Q27068" s="5" t="s">
        <v>355</v>
      </c>
    </row>
    <row r="27069" ht="16.5" customHeight="1">
      <c r="O27069" s="5" t="s">
        <v>355</v>
      </c>
      <c r="P27069" s="5" t="s">
        <v>355</v>
      </c>
      <c r="Q27069" s="5" t="s">
        <v>355</v>
      </c>
    </row>
    <row r="27070" ht="16.5" customHeight="1">
      <c r="O27070" s="5" t="s">
        <v>355</v>
      </c>
      <c r="P27070" s="5" t="s">
        <v>355</v>
      </c>
      <c r="Q27070" s="5" t="s">
        <v>355</v>
      </c>
    </row>
    <row r="27071" ht="16.5" customHeight="1">
      <c r="O27071" s="5" t="s">
        <v>355</v>
      </c>
      <c r="P27071" s="5" t="s">
        <v>355</v>
      </c>
      <c r="Q27071" s="5" t="s">
        <v>355</v>
      </c>
    </row>
    <row r="27072" ht="16.5" customHeight="1">
      <c r="O27072" s="5" t="s">
        <v>355</v>
      </c>
      <c r="P27072" s="5" t="s">
        <v>355</v>
      </c>
      <c r="Q27072" s="5" t="s">
        <v>355</v>
      </c>
    </row>
    <row r="27073" ht="16.5" customHeight="1">
      <c r="O27073" s="5" t="s">
        <v>355</v>
      </c>
      <c r="P27073" s="5" t="s">
        <v>355</v>
      </c>
      <c r="Q27073" s="5" t="s">
        <v>355</v>
      </c>
    </row>
    <row r="27074" ht="16.5" customHeight="1">
      <c r="O27074" s="5" t="s">
        <v>355</v>
      </c>
      <c r="P27074" s="5" t="s">
        <v>355</v>
      </c>
      <c r="Q27074" s="5" t="s">
        <v>355</v>
      </c>
    </row>
    <row r="27075" ht="16.5" customHeight="1">
      <c r="O27075" s="5" t="s">
        <v>355</v>
      </c>
      <c r="P27075" s="5" t="s">
        <v>355</v>
      </c>
      <c r="Q27075" s="5" t="s">
        <v>355</v>
      </c>
    </row>
    <row r="27076" ht="16.5" customHeight="1">
      <c r="O27076" s="5" t="s">
        <v>355</v>
      </c>
      <c r="P27076" s="5" t="s">
        <v>355</v>
      </c>
      <c r="Q27076" s="5" t="s">
        <v>355</v>
      </c>
    </row>
    <row r="27077" ht="16.5" customHeight="1">
      <c r="O27077" s="5" t="s">
        <v>355</v>
      </c>
      <c r="P27077" s="5" t="s">
        <v>355</v>
      </c>
      <c r="Q27077" s="5" t="s">
        <v>355</v>
      </c>
    </row>
    <row r="27078" ht="16.5" customHeight="1">
      <c r="O27078" s="5" t="s">
        <v>355</v>
      </c>
      <c r="P27078" s="5" t="s">
        <v>355</v>
      </c>
      <c r="Q27078" s="5" t="s">
        <v>355</v>
      </c>
    </row>
    <row r="27079" ht="16.5" customHeight="1">
      <c r="O27079" s="5" t="s">
        <v>355</v>
      </c>
      <c r="P27079" s="5" t="s">
        <v>355</v>
      </c>
      <c r="Q27079" s="5" t="s">
        <v>355</v>
      </c>
    </row>
    <row r="27080" ht="16.5" customHeight="1">
      <c r="O27080" s="5" t="s">
        <v>355</v>
      </c>
      <c r="P27080" s="5" t="s">
        <v>355</v>
      </c>
      <c r="Q27080" s="5" t="s">
        <v>355</v>
      </c>
    </row>
    <row r="27081" ht="16.5" customHeight="1">
      <c r="O27081" s="5" t="s">
        <v>355</v>
      </c>
      <c r="P27081" s="5" t="s">
        <v>355</v>
      </c>
      <c r="Q27081" s="5" t="s">
        <v>355</v>
      </c>
    </row>
    <row r="27082" ht="16.5" customHeight="1">
      <c r="O27082" s="5" t="s">
        <v>355</v>
      </c>
      <c r="P27082" s="5" t="s">
        <v>355</v>
      </c>
      <c r="Q27082" s="5" t="s">
        <v>355</v>
      </c>
    </row>
    <row r="27083" ht="16.5" customHeight="1">
      <c r="O27083" s="5" t="s">
        <v>355</v>
      </c>
      <c r="P27083" s="5" t="s">
        <v>355</v>
      </c>
      <c r="Q27083" s="5" t="s">
        <v>355</v>
      </c>
    </row>
    <row r="27084" ht="16.5" customHeight="1">
      <c r="O27084" s="5" t="s">
        <v>355</v>
      </c>
      <c r="P27084" s="5" t="s">
        <v>355</v>
      </c>
      <c r="Q27084" s="5" t="s">
        <v>355</v>
      </c>
    </row>
    <row r="27085" ht="16.5" customHeight="1">
      <c r="O27085" s="5" t="s">
        <v>355</v>
      </c>
      <c r="P27085" s="5" t="s">
        <v>355</v>
      </c>
      <c r="Q27085" s="5" t="s">
        <v>355</v>
      </c>
    </row>
    <row r="27086" ht="16.5" customHeight="1">
      <c r="O27086" s="5" t="s">
        <v>355</v>
      </c>
      <c r="P27086" s="5" t="s">
        <v>355</v>
      </c>
      <c r="Q27086" s="5" t="s">
        <v>355</v>
      </c>
    </row>
    <row r="27087" ht="16.5" customHeight="1">
      <c r="O27087" s="5" t="s">
        <v>355</v>
      </c>
      <c r="P27087" s="5" t="s">
        <v>355</v>
      </c>
      <c r="Q27087" s="5" t="s">
        <v>355</v>
      </c>
    </row>
    <row r="27088" ht="16.5" customHeight="1">
      <c r="O27088" s="5" t="s">
        <v>355</v>
      </c>
      <c r="P27088" s="5" t="s">
        <v>355</v>
      </c>
      <c r="Q27088" s="5" t="s">
        <v>355</v>
      </c>
    </row>
    <row r="27089" ht="16.5" customHeight="1">
      <c r="O27089" s="5" t="s">
        <v>355</v>
      </c>
      <c r="P27089" s="5" t="s">
        <v>355</v>
      </c>
      <c r="Q27089" s="5" t="s">
        <v>355</v>
      </c>
    </row>
    <row r="27090" ht="16.5" customHeight="1">
      <c r="O27090" s="5" t="s">
        <v>355</v>
      </c>
      <c r="P27090" s="5" t="s">
        <v>355</v>
      </c>
      <c r="Q27090" s="5" t="s">
        <v>355</v>
      </c>
    </row>
    <row r="27091" ht="16.5" customHeight="1">
      <c r="O27091" s="5" t="s">
        <v>355</v>
      </c>
      <c r="P27091" s="5" t="s">
        <v>355</v>
      </c>
      <c r="Q27091" s="5" t="s">
        <v>355</v>
      </c>
    </row>
    <row r="27092" ht="16.5" customHeight="1">
      <c r="O27092" s="5" t="s">
        <v>355</v>
      </c>
      <c r="P27092" s="5" t="s">
        <v>355</v>
      </c>
      <c r="Q27092" s="5" t="s">
        <v>355</v>
      </c>
    </row>
    <row r="27093" ht="16.5" customHeight="1">
      <c r="O27093" s="5" t="s">
        <v>355</v>
      </c>
      <c r="P27093" s="5" t="s">
        <v>355</v>
      </c>
      <c r="Q27093" s="5" t="s">
        <v>355</v>
      </c>
    </row>
    <row r="27094" ht="16.5" customHeight="1">
      <c r="O27094" s="5" t="s">
        <v>355</v>
      </c>
      <c r="P27094" s="5" t="s">
        <v>355</v>
      </c>
      <c r="Q27094" s="5" t="s">
        <v>355</v>
      </c>
    </row>
    <row r="27095" ht="16.5" customHeight="1">
      <c r="O27095" s="5" t="s">
        <v>355</v>
      </c>
      <c r="P27095" s="5" t="s">
        <v>355</v>
      </c>
      <c r="Q27095" s="5" t="s">
        <v>355</v>
      </c>
    </row>
    <row r="27096" ht="16.5" customHeight="1">
      <c r="O27096" s="5" t="s">
        <v>355</v>
      </c>
      <c r="P27096" s="5" t="s">
        <v>355</v>
      </c>
      <c r="Q27096" s="5" t="s">
        <v>355</v>
      </c>
    </row>
    <row r="27097" ht="16.5" customHeight="1">
      <c r="O27097" s="5" t="s">
        <v>355</v>
      </c>
      <c r="P27097" s="5" t="s">
        <v>355</v>
      </c>
      <c r="Q27097" s="5" t="s">
        <v>355</v>
      </c>
    </row>
    <row r="27098" ht="16.5" customHeight="1">
      <c r="O27098" s="5" t="s">
        <v>355</v>
      </c>
      <c r="P27098" s="5" t="s">
        <v>355</v>
      </c>
      <c r="Q27098" s="5" t="s">
        <v>355</v>
      </c>
    </row>
    <row r="27099" ht="16.5" customHeight="1">
      <c r="O27099" s="5" t="s">
        <v>355</v>
      </c>
      <c r="P27099" s="5" t="s">
        <v>355</v>
      </c>
      <c r="Q27099" s="5" t="s">
        <v>355</v>
      </c>
    </row>
    <row r="27100" ht="16.5" customHeight="1">
      <c r="O27100" s="5" t="s">
        <v>355</v>
      </c>
      <c r="P27100" s="5" t="s">
        <v>355</v>
      </c>
      <c r="Q27100" s="5" t="s">
        <v>355</v>
      </c>
    </row>
    <row r="27101" ht="16.5" customHeight="1">
      <c r="O27101" s="5" t="s">
        <v>355</v>
      </c>
      <c r="P27101" s="5" t="s">
        <v>355</v>
      </c>
      <c r="Q27101" s="5" t="s">
        <v>355</v>
      </c>
    </row>
    <row r="27102" ht="16.5" customHeight="1">
      <c r="O27102" s="5" t="s">
        <v>355</v>
      </c>
      <c r="P27102" s="5" t="s">
        <v>355</v>
      </c>
      <c r="Q27102" s="5" t="s">
        <v>355</v>
      </c>
    </row>
    <row r="27103" ht="16.5" customHeight="1">
      <c r="O27103" s="5" t="s">
        <v>355</v>
      </c>
      <c r="P27103" s="5" t="s">
        <v>355</v>
      </c>
      <c r="Q27103" s="5" t="s">
        <v>355</v>
      </c>
    </row>
    <row r="27104" ht="16.5" customHeight="1">
      <c r="O27104" s="5" t="s">
        <v>355</v>
      </c>
      <c r="P27104" s="5" t="s">
        <v>355</v>
      </c>
      <c r="Q27104" s="5" t="s">
        <v>355</v>
      </c>
    </row>
    <row r="27105" ht="16.5" customHeight="1">
      <c r="O27105" s="5" t="s">
        <v>355</v>
      </c>
      <c r="P27105" s="5" t="s">
        <v>355</v>
      </c>
      <c r="Q27105" s="5" t="s">
        <v>355</v>
      </c>
    </row>
    <row r="27106" ht="16.5" customHeight="1">
      <c r="O27106" s="5" t="s">
        <v>355</v>
      </c>
      <c r="P27106" s="5" t="s">
        <v>355</v>
      </c>
      <c r="Q27106" s="5" t="s">
        <v>355</v>
      </c>
    </row>
    <row r="27107" ht="16.5" customHeight="1">
      <c r="O27107" s="5" t="s">
        <v>355</v>
      </c>
      <c r="P27107" s="5" t="s">
        <v>355</v>
      </c>
      <c r="Q27107" s="5" t="s">
        <v>355</v>
      </c>
    </row>
    <row r="27108" ht="16.5" customHeight="1">
      <c r="O27108" s="5" t="s">
        <v>355</v>
      </c>
      <c r="P27108" s="5" t="s">
        <v>355</v>
      </c>
      <c r="Q27108" s="5" t="s">
        <v>355</v>
      </c>
    </row>
    <row r="27109" ht="16.5" customHeight="1">
      <c r="O27109" s="5" t="s">
        <v>355</v>
      </c>
      <c r="P27109" s="5" t="s">
        <v>355</v>
      </c>
      <c r="Q27109" s="5" t="s">
        <v>355</v>
      </c>
    </row>
    <row r="27110" ht="16.5" customHeight="1">
      <c r="O27110" s="5" t="s">
        <v>355</v>
      </c>
      <c r="P27110" s="5" t="s">
        <v>355</v>
      </c>
      <c r="Q27110" s="5" t="s">
        <v>355</v>
      </c>
    </row>
    <row r="27111" ht="16.5" customHeight="1">
      <c r="O27111" s="5" t="s">
        <v>355</v>
      </c>
      <c r="P27111" s="5" t="s">
        <v>355</v>
      </c>
      <c r="Q27111" s="5" t="s">
        <v>355</v>
      </c>
    </row>
    <row r="27112" ht="16.5" customHeight="1">
      <c r="O27112" s="5" t="s">
        <v>355</v>
      </c>
      <c r="P27112" s="5" t="s">
        <v>355</v>
      </c>
      <c r="Q27112" s="5" t="s">
        <v>355</v>
      </c>
    </row>
    <row r="27113" ht="16.5" customHeight="1">
      <c r="O27113" s="5" t="s">
        <v>355</v>
      </c>
      <c r="P27113" s="5" t="s">
        <v>355</v>
      </c>
      <c r="Q27113" s="5" t="s">
        <v>355</v>
      </c>
    </row>
    <row r="27114" ht="16.5" customHeight="1">
      <c r="O27114" s="5" t="s">
        <v>355</v>
      </c>
      <c r="P27114" s="5" t="s">
        <v>355</v>
      </c>
      <c r="Q27114" s="5" t="s">
        <v>355</v>
      </c>
    </row>
    <row r="27115" ht="16.5" customHeight="1">
      <c r="O27115" s="5" t="s">
        <v>355</v>
      </c>
      <c r="P27115" s="5" t="s">
        <v>355</v>
      </c>
      <c r="Q27115" s="5" t="s">
        <v>355</v>
      </c>
    </row>
    <row r="27116" ht="16.5" customHeight="1">
      <c r="O27116" s="5" t="s">
        <v>355</v>
      </c>
      <c r="P27116" s="5" t="s">
        <v>355</v>
      </c>
      <c r="Q27116" s="5" t="s">
        <v>355</v>
      </c>
    </row>
    <row r="27117" ht="16.5" customHeight="1">
      <c r="O27117" s="5" t="s">
        <v>355</v>
      </c>
      <c r="P27117" s="5" t="s">
        <v>355</v>
      </c>
      <c r="Q27117" s="5" t="s">
        <v>355</v>
      </c>
    </row>
    <row r="27118" ht="16.5" customHeight="1">
      <c r="O27118" s="5" t="s">
        <v>355</v>
      </c>
      <c r="P27118" s="5" t="s">
        <v>355</v>
      </c>
      <c r="Q27118" s="5" t="s">
        <v>355</v>
      </c>
    </row>
    <row r="27119" ht="16.5" customHeight="1">
      <c r="O27119" s="5" t="s">
        <v>355</v>
      </c>
      <c r="P27119" s="5" t="s">
        <v>355</v>
      </c>
      <c r="Q27119" s="5" t="s">
        <v>355</v>
      </c>
    </row>
    <row r="27120" ht="16.5" customHeight="1">
      <c r="O27120" s="5" t="s">
        <v>355</v>
      </c>
      <c r="P27120" s="5" t="s">
        <v>355</v>
      </c>
      <c r="Q27120" s="5" t="s">
        <v>355</v>
      </c>
    </row>
    <row r="27121" ht="16.5" customHeight="1">
      <c r="O27121" s="5" t="s">
        <v>355</v>
      </c>
      <c r="P27121" s="5" t="s">
        <v>355</v>
      </c>
      <c r="Q27121" s="5" t="s">
        <v>355</v>
      </c>
    </row>
    <row r="27122" ht="16.5" customHeight="1">
      <c r="O27122" s="5" t="s">
        <v>355</v>
      </c>
      <c r="P27122" s="5" t="s">
        <v>355</v>
      </c>
      <c r="Q27122" s="5" t="s">
        <v>355</v>
      </c>
    </row>
    <row r="27123" ht="16.5" customHeight="1">
      <c r="O27123" s="5" t="s">
        <v>355</v>
      </c>
      <c r="P27123" s="5" t="s">
        <v>355</v>
      </c>
      <c r="Q27123" s="5" t="s">
        <v>355</v>
      </c>
    </row>
    <row r="27124" ht="16.5" customHeight="1">
      <c r="O27124" s="5" t="s">
        <v>355</v>
      </c>
      <c r="P27124" s="5" t="s">
        <v>355</v>
      </c>
      <c r="Q27124" s="5" t="s">
        <v>355</v>
      </c>
    </row>
    <row r="27125" ht="16.5" customHeight="1">
      <c r="O27125" s="5" t="s">
        <v>355</v>
      </c>
      <c r="P27125" s="5" t="s">
        <v>355</v>
      </c>
      <c r="Q27125" s="5" t="s">
        <v>355</v>
      </c>
    </row>
    <row r="27126" ht="16.5" customHeight="1">
      <c r="O27126" s="5" t="s">
        <v>355</v>
      </c>
      <c r="P27126" s="5" t="s">
        <v>355</v>
      </c>
      <c r="Q27126" s="5" t="s">
        <v>355</v>
      </c>
    </row>
    <row r="27127" ht="16.5" customHeight="1">
      <c r="O27127" s="5" t="s">
        <v>355</v>
      </c>
      <c r="P27127" s="5" t="s">
        <v>355</v>
      </c>
      <c r="Q27127" s="5" t="s">
        <v>355</v>
      </c>
    </row>
    <row r="27128" ht="16.5" customHeight="1">
      <c r="O27128" s="5" t="s">
        <v>355</v>
      </c>
      <c r="P27128" s="5" t="s">
        <v>355</v>
      </c>
      <c r="Q27128" s="5" t="s">
        <v>355</v>
      </c>
    </row>
    <row r="27129" ht="16.5" customHeight="1">
      <c r="O27129" s="5" t="s">
        <v>355</v>
      </c>
      <c r="P27129" s="5" t="s">
        <v>355</v>
      </c>
      <c r="Q27129" s="5" t="s">
        <v>355</v>
      </c>
    </row>
    <row r="27130" ht="16.5" customHeight="1">
      <c r="O27130" s="5" t="s">
        <v>355</v>
      </c>
      <c r="P27130" s="5" t="s">
        <v>355</v>
      </c>
      <c r="Q27130" s="5" t="s">
        <v>355</v>
      </c>
    </row>
    <row r="27131" ht="16.5" customHeight="1">
      <c r="O27131" s="5" t="s">
        <v>355</v>
      </c>
      <c r="P27131" s="5" t="s">
        <v>355</v>
      </c>
      <c r="Q27131" s="5" t="s">
        <v>355</v>
      </c>
    </row>
    <row r="27132" ht="16.5" customHeight="1">
      <c r="O27132" s="5" t="s">
        <v>355</v>
      </c>
      <c r="P27132" s="5" t="s">
        <v>355</v>
      </c>
      <c r="Q27132" s="5" t="s">
        <v>355</v>
      </c>
    </row>
    <row r="27133" ht="16.5" customHeight="1">
      <c r="O27133" s="5" t="s">
        <v>355</v>
      </c>
      <c r="P27133" s="5" t="s">
        <v>355</v>
      </c>
      <c r="Q27133" s="5" t="s">
        <v>355</v>
      </c>
    </row>
    <row r="27134" ht="16.5" customHeight="1">
      <c r="O27134" s="5" t="s">
        <v>355</v>
      </c>
      <c r="P27134" s="5" t="s">
        <v>355</v>
      </c>
      <c r="Q27134" s="5" t="s">
        <v>355</v>
      </c>
    </row>
    <row r="27135" ht="16.5" customHeight="1">
      <c r="O27135" s="5" t="s">
        <v>355</v>
      </c>
      <c r="P27135" s="5" t="s">
        <v>355</v>
      </c>
      <c r="Q27135" s="5" t="s">
        <v>355</v>
      </c>
    </row>
    <row r="27136" ht="16.5" customHeight="1">
      <c r="O27136" s="5" t="s">
        <v>355</v>
      </c>
      <c r="P27136" s="5" t="s">
        <v>355</v>
      </c>
      <c r="Q27136" s="5" t="s">
        <v>355</v>
      </c>
    </row>
    <row r="27137" ht="16.5" customHeight="1">
      <c r="O27137" s="5" t="s">
        <v>355</v>
      </c>
      <c r="P27137" s="5" t="s">
        <v>355</v>
      </c>
      <c r="Q27137" s="5" t="s">
        <v>355</v>
      </c>
    </row>
    <row r="27138" ht="16.5" customHeight="1">
      <c r="O27138" s="5" t="s">
        <v>355</v>
      </c>
      <c r="P27138" s="5" t="s">
        <v>355</v>
      </c>
      <c r="Q27138" s="5" t="s">
        <v>355</v>
      </c>
    </row>
    <row r="27139" ht="16.5" customHeight="1">
      <c r="O27139" s="5" t="s">
        <v>355</v>
      </c>
      <c r="P27139" s="5" t="s">
        <v>355</v>
      </c>
      <c r="Q27139" s="5" t="s">
        <v>355</v>
      </c>
    </row>
    <row r="27140" ht="16.5" customHeight="1">
      <c r="O27140" s="5" t="s">
        <v>355</v>
      </c>
      <c r="P27140" s="5" t="s">
        <v>355</v>
      </c>
      <c r="Q27140" s="5" t="s">
        <v>355</v>
      </c>
    </row>
    <row r="27141" ht="16.5" customHeight="1">
      <c r="O27141" s="5" t="s">
        <v>355</v>
      </c>
      <c r="P27141" s="5" t="s">
        <v>355</v>
      </c>
      <c r="Q27141" s="5" t="s">
        <v>355</v>
      </c>
    </row>
    <row r="27142" ht="16.5" customHeight="1">
      <c r="O27142" s="5" t="s">
        <v>355</v>
      </c>
      <c r="P27142" s="5" t="s">
        <v>355</v>
      </c>
      <c r="Q27142" s="5" t="s">
        <v>355</v>
      </c>
    </row>
    <row r="27143" ht="16.5" customHeight="1">
      <c r="O27143" s="5" t="s">
        <v>355</v>
      </c>
      <c r="P27143" s="5" t="s">
        <v>355</v>
      </c>
      <c r="Q27143" s="5" t="s">
        <v>355</v>
      </c>
    </row>
    <row r="27144" ht="16.5" customHeight="1">
      <c r="O27144" s="5" t="s">
        <v>355</v>
      </c>
      <c r="P27144" s="5" t="s">
        <v>355</v>
      </c>
      <c r="Q27144" s="5" t="s">
        <v>355</v>
      </c>
    </row>
    <row r="27145" ht="16.5" customHeight="1">
      <c r="O27145" s="5" t="s">
        <v>355</v>
      </c>
      <c r="P27145" s="5" t="s">
        <v>355</v>
      </c>
      <c r="Q27145" s="5" t="s">
        <v>355</v>
      </c>
    </row>
    <row r="27146" ht="16.5" customHeight="1">
      <c r="O27146" s="5" t="s">
        <v>355</v>
      </c>
      <c r="P27146" s="5" t="s">
        <v>355</v>
      </c>
      <c r="Q27146" s="5" t="s">
        <v>355</v>
      </c>
    </row>
    <row r="27147" ht="16.5" customHeight="1">
      <c r="O27147" s="5" t="s">
        <v>355</v>
      </c>
      <c r="P27147" s="5" t="s">
        <v>355</v>
      </c>
      <c r="Q27147" s="5" t="s">
        <v>355</v>
      </c>
    </row>
    <row r="27148" ht="16.5" customHeight="1">
      <c r="O27148" s="5" t="s">
        <v>355</v>
      </c>
      <c r="P27148" s="5" t="s">
        <v>355</v>
      </c>
      <c r="Q27148" s="5" t="s">
        <v>355</v>
      </c>
    </row>
    <row r="27149" ht="16.5" customHeight="1">
      <c r="O27149" s="5" t="s">
        <v>355</v>
      </c>
      <c r="P27149" s="5" t="s">
        <v>355</v>
      </c>
      <c r="Q27149" s="5" t="s">
        <v>355</v>
      </c>
    </row>
    <row r="27150" ht="16.5" customHeight="1">
      <c r="O27150" s="5" t="s">
        <v>355</v>
      </c>
      <c r="P27150" s="5" t="s">
        <v>355</v>
      </c>
      <c r="Q27150" s="5" t="s">
        <v>355</v>
      </c>
    </row>
    <row r="27151" ht="16.5" customHeight="1">
      <c r="O27151" s="5" t="s">
        <v>355</v>
      </c>
      <c r="P27151" s="5" t="s">
        <v>355</v>
      </c>
      <c r="Q27151" s="5" t="s">
        <v>355</v>
      </c>
    </row>
    <row r="27152" ht="16.5" customHeight="1">
      <c r="O27152" s="5" t="s">
        <v>355</v>
      </c>
      <c r="P27152" s="5" t="s">
        <v>355</v>
      </c>
      <c r="Q27152" s="5" t="s">
        <v>355</v>
      </c>
    </row>
    <row r="27153" ht="16.5" customHeight="1">
      <c r="O27153" s="5" t="s">
        <v>355</v>
      </c>
      <c r="P27153" s="5" t="s">
        <v>355</v>
      </c>
      <c r="Q27153" s="5" t="s">
        <v>355</v>
      </c>
    </row>
    <row r="27154" ht="16.5" customHeight="1">
      <c r="O27154" s="5" t="s">
        <v>355</v>
      </c>
      <c r="P27154" s="5" t="s">
        <v>355</v>
      </c>
      <c r="Q27154" s="5" t="s">
        <v>355</v>
      </c>
    </row>
    <row r="27155" ht="16.5" customHeight="1">
      <c r="O27155" s="5" t="s">
        <v>355</v>
      </c>
      <c r="P27155" s="5" t="s">
        <v>355</v>
      </c>
      <c r="Q27155" s="5" t="s">
        <v>355</v>
      </c>
    </row>
    <row r="27156" ht="16.5" customHeight="1">
      <c r="O27156" s="5" t="s">
        <v>355</v>
      </c>
      <c r="P27156" s="5" t="s">
        <v>355</v>
      </c>
      <c r="Q27156" s="5" t="s">
        <v>355</v>
      </c>
    </row>
    <row r="27157" ht="16.5" customHeight="1">
      <c r="O27157" s="5" t="s">
        <v>355</v>
      </c>
      <c r="P27157" s="5" t="s">
        <v>355</v>
      </c>
      <c r="Q27157" s="5" t="s">
        <v>355</v>
      </c>
    </row>
    <row r="27158" ht="16.5" customHeight="1">
      <c r="O27158" s="5" t="s">
        <v>355</v>
      </c>
      <c r="P27158" s="5" t="s">
        <v>355</v>
      </c>
      <c r="Q27158" s="5" t="s">
        <v>355</v>
      </c>
    </row>
    <row r="27159" ht="16.5" customHeight="1">
      <c r="O27159" s="5" t="s">
        <v>355</v>
      </c>
      <c r="P27159" s="5" t="s">
        <v>355</v>
      </c>
      <c r="Q27159" s="5" t="s">
        <v>355</v>
      </c>
    </row>
    <row r="27160" ht="16.5" customHeight="1">
      <c r="O27160" s="5" t="s">
        <v>355</v>
      </c>
      <c r="P27160" s="5" t="s">
        <v>355</v>
      </c>
      <c r="Q27160" s="5" t="s">
        <v>355</v>
      </c>
    </row>
    <row r="27161" ht="16.5" customHeight="1">
      <c r="O27161" s="5" t="s">
        <v>355</v>
      </c>
      <c r="P27161" s="5" t="s">
        <v>355</v>
      </c>
      <c r="Q27161" s="5" t="s">
        <v>355</v>
      </c>
    </row>
    <row r="27162" ht="16.5" customHeight="1">
      <c r="O27162" s="5" t="s">
        <v>355</v>
      </c>
      <c r="P27162" s="5" t="s">
        <v>355</v>
      </c>
      <c r="Q27162" s="5" t="s">
        <v>355</v>
      </c>
    </row>
    <row r="27163" ht="16.5" customHeight="1">
      <c r="O27163" s="5" t="s">
        <v>355</v>
      </c>
      <c r="P27163" s="5" t="s">
        <v>355</v>
      </c>
      <c r="Q27163" s="5" t="s">
        <v>355</v>
      </c>
    </row>
    <row r="27164" ht="16.5" customHeight="1">
      <c r="O27164" s="5" t="s">
        <v>355</v>
      </c>
      <c r="P27164" s="5" t="s">
        <v>355</v>
      </c>
      <c r="Q27164" s="5" t="s">
        <v>355</v>
      </c>
    </row>
    <row r="27165" ht="16.5" customHeight="1">
      <c r="O27165" s="5" t="s">
        <v>355</v>
      </c>
      <c r="P27165" s="5" t="s">
        <v>355</v>
      </c>
      <c r="Q27165" s="5" t="s">
        <v>355</v>
      </c>
    </row>
    <row r="27166" ht="16.5" customHeight="1">
      <c r="O27166" s="5" t="s">
        <v>355</v>
      </c>
      <c r="P27166" s="5" t="s">
        <v>355</v>
      </c>
      <c r="Q27166" s="5" t="s">
        <v>355</v>
      </c>
    </row>
    <row r="27167" ht="16.5" customHeight="1">
      <c r="O27167" s="5" t="s">
        <v>355</v>
      </c>
      <c r="P27167" s="5" t="s">
        <v>355</v>
      </c>
      <c r="Q27167" s="5" t="s">
        <v>355</v>
      </c>
    </row>
    <row r="27168" ht="16.5" customHeight="1">
      <c r="O27168" s="5" t="s">
        <v>355</v>
      </c>
      <c r="P27168" s="5" t="s">
        <v>355</v>
      </c>
      <c r="Q27168" s="5" t="s">
        <v>355</v>
      </c>
    </row>
    <row r="27169" ht="16.5" customHeight="1">
      <c r="O27169" s="5" t="s">
        <v>355</v>
      </c>
      <c r="P27169" s="5" t="s">
        <v>355</v>
      </c>
      <c r="Q27169" s="5" t="s">
        <v>355</v>
      </c>
    </row>
    <row r="27170" ht="16.5" customHeight="1">
      <c r="O27170" s="5" t="s">
        <v>355</v>
      </c>
      <c r="P27170" s="5" t="s">
        <v>355</v>
      </c>
      <c r="Q27170" s="5" t="s">
        <v>355</v>
      </c>
    </row>
    <row r="27171" ht="16.5" customHeight="1">
      <c r="O27171" s="5" t="s">
        <v>355</v>
      </c>
      <c r="P27171" s="5" t="s">
        <v>355</v>
      </c>
      <c r="Q27171" s="5" t="s">
        <v>355</v>
      </c>
    </row>
    <row r="27172" ht="16.5" customHeight="1">
      <c r="O27172" s="5" t="s">
        <v>355</v>
      </c>
      <c r="P27172" s="5" t="s">
        <v>355</v>
      </c>
      <c r="Q27172" s="5" t="s">
        <v>355</v>
      </c>
    </row>
    <row r="27173" ht="16.5" customHeight="1">
      <c r="O27173" s="5" t="s">
        <v>355</v>
      </c>
      <c r="P27173" s="5" t="s">
        <v>355</v>
      </c>
      <c r="Q27173" s="5" t="s">
        <v>355</v>
      </c>
    </row>
    <row r="27174" ht="16.5" customHeight="1">
      <c r="O27174" s="5" t="s">
        <v>355</v>
      </c>
      <c r="P27174" s="5" t="s">
        <v>355</v>
      </c>
      <c r="Q27174" s="5" t="s">
        <v>355</v>
      </c>
    </row>
    <row r="27175" ht="16.5" customHeight="1">
      <c r="O27175" s="5" t="s">
        <v>355</v>
      </c>
      <c r="P27175" s="5" t="s">
        <v>355</v>
      </c>
      <c r="Q27175" s="5" t="s">
        <v>355</v>
      </c>
    </row>
    <row r="27176" ht="16.5" customHeight="1">
      <c r="O27176" s="5" t="s">
        <v>355</v>
      </c>
      <c r="P27176" s="5" t="s">
        <v>355</v>
      </c>
      <c r="Q27176" s="5" t="s">
        <v>355</v>
      </c>
    </row>
    <row r="27177" ht="16.5" customHeight="1">
      <c r="O27177" s="5" t="s">
        <v>355</v>
      </c>
      <c r="P27177" s="5" t="s">
        <v>355</v>
      </c>
      <c r="Q27177" s="5" t="s">
        <v>355</v>
      </c>
    </row>
    <row r="27178" ht="16.5" customHeight="1">
      <c r="O27178" s="5" t="s">
        <v>355</v>
      </c>
      <c r="P27178" s="5" t="s">
        <v>355</v>
      </c>
      <c r="Q27178" s="5" t="s">
        <v>355</v>
      </c>
    </row>
    <row r="27179" ht="16.5" customHeight="1">
      <c r="O27179" s="5" t="s">
        <v>355</v>
      </c>
      <c r="P27179" s="5" t="s">
        <v>355</v>
      </c>
      <c r="Q27179" s="5" t="s">
        <v>355</v>
      </c>
    </row>
    <row r="27180" ht="16.5" customHeight="1">
      <c r="O27180" s="5" t="s">
        <v>355</v>
      </c>
      <c r="P27180" s="5" t="s">
        <v>355</v>
      </c>
      <c r="Q27180" s="5" t="s">
        <v>355</v>
      </c>
    </row>
    <row r="27181" ht="16.5" customHeight="1">
      <c r="O27181" s="5" t="s">
        <v>355</v>
      </c>
      <c r="P27181" s="5" t="s">
        <v>355</v>
      </c>
      <c r="Q27181" s="5" t="s">
        <v>355</v>
      </c>
    </row>
    <row r="27182" ht="16.5" customHeight="1">
      <c r="O27182" s="5" t="s">
        <v>355</v>
      </c>
      <c r="P27182" s="5" t="s">
        <v>355</v>
      </c>
      <c r="Q27182" s="5" t="s">
        <v>355</v>
      </c>
    </row>
    <row r="27183" ht="16.5" customHeight="1">
      <c r="O27183" s="5" t="s">
        <v>355</v>
      </c>
      <c r="P27183" s="5" t="s">
        <v>355</v>
      </c>
      <c r="Q27183" s="5" t="s">
        <v>355</v>
      </c>
    </row>
    <row r="27184" ht="16.5" customHeight="1">
      <c r="O27184" s="5" t="s">
        <v>355</v>
      </c>
      <c r="P27184" s="5" t="s">
        <v>355</v>
      </c>
      <c r="Q27184" s="5" t="s">
        <v>355</v>
      </c>
    </row>
    <row r="27185" ht="16.5" customHeight="1">
      <c r="O27185" s="5" t="s">
        <v>355</v>
      </c>
      <c r="P27185" s="5" t="s">
        <v>355</v>
      </c>
      <c r="Q27185" s="5" t="s">
        <v>355</v>
      </c>
    </row>
    <row r="27186" ht="16.5" customHeight="1">
      <c r="O27186" s="5" t="s">
        <v>355</v>
      </c>
      <c r="P27186" s="5" t="s">
        <v>355</v>
      </c>
      <c r="Q27186" s="5" t="s">
        <v>355</v>
      </c>
    </row>
    <row r="27187" ht="16.5" customHeight="1">
      <c r="O27187" s="5" t="s">
        <v>355</v>
      </c>
      <c r="P27187" s="5" t="s">
        <v>355</v>
      </c>
      <c r="Q27187" s="5" t="s">
        <v>355</v>
      </c>
    </row>
    <row r="27188" ht="16.5" customHeight="1">
      <c r="O27188" s="5" t="s">
        <v>355</v>
      </c>
      <c r="P27188" s="5" t="s">
        <v>355</v>
      </c>
      <c r="Q27188" s="5" t="s">
        <v>355</v>
      </c>
    </row>
    <row r="27189" ht="16.5" customHeight="1">
      <c r="O27189" s="5" t="s">
        <v>355</v>
      </c>
      <c r="P27189" s="5" t="s">
        <v>355</v>
      </c>
      <c r="Q27189" s="5" t="s">
        <v>355</v>
      </c>
    </row>
    <row r="27190" ht="16.5" customHeight="1">
      <c r="O27190" s="5" t="s">
        <v>355</v>
      </c>
      <c r="P27190" s="5" t="s">
        <v>355</v>
      </c>
      <c r="Q27190" s="5" t="s">
        <v>355</v>
      </c>
    </row>
    <row r="27191" ht="16.5" customHeight="1">
      <c r="O27191" s="5" t="s">
        <v>355</v>
      </c>
      <c r="P27191" s="5" t="s">
        <v>355</v>
      </c>
      <c r="Q27191" s="5" t="s">
        <v>355</v>
      </c>
    </row>
    <row r="27192" ht="16.5" customHeight="1">
      <c r="O27192" s="5" t="s">
        <v>355</v>
      </c>
      <c r="P27192" s="5" t="s">
        <v>355</v>
      </c>
      <c r="Q27192" s="5" t="s">
        <v>355</v>
      </c>
    </row>
    <row r="27193" ht="16.5" customHeight="1">
      <c r="O27193" s="5" t="s">
        <v>355</v>
      </c>
      <c r="P27193" s="5" t="s">
        <v>355</v>
      </c>
      <c r="Q27193" s="5" t="s">
        <v>355</v>
      </c>
    </row>
    <row r="27194" ht="16.5" customHeight="1">
      <c r="O27194" s="5" t="s">
        <v>355</v>
      </c>
      <c r="P27194" s="5" t="s">
        <v>355</v>
      </c>
      <c r="Q27194" s="5" t="s">
        <v>355</v>
      </c>
    </row>
    <row r="27195" ht="16.5" customHeight="1">
      <c r="O27195" s="5" t="s">
        <v>355</v>
      </c>
      <c r="P27195" s="5" t="s">
        <v>355</v>
      </c>
      <c r="Q27195" s="5" t="s">
        <v>355</v>
      </c>
    </row>
    <row r="27196" ht="16.5" customHeight="1">
      <c r="O27196" s="5" t="s">
        <v>355</v>
      </c>
      <c r="P27196" s="5" t="s">
        <v>355</v>
      </c>
      <c r="Q27196" s="5" t="s">
        <v>355</v>
      </c>
    </row>
    <row r="27197" ht="16.5" customHeight="1">
      <c r="O27197" s="5" t="s">
        <v>355</v>
      </c>
      <c r="P27197" s="5" t="s">
        <v>355</v>
      </c>
      <c r="Q27197" s="5" t="s">
        <v>355</v>
      </c>
    </row>
    <row r="27198" ht="16.5" customHeight="1">
      <c r="O27198" s="5" t="s">
        <v>355</v>
      </c>
      <c r="P27198" s="5" t="s">
        <v>355</v>
      </c>
      <c r="Q27198" s="5" t="s">
        <v>355</v>
      </c>
    </row>
    <row r="27199" ht="16.5" customHeight="1">
      <c r="O27199" s="5" t="s">
        <v>355</v>
      </c>
      <c r="P27199" s="5" t="s">
        <v>355</v>
      </c>
      <c r="Q27199" s="5" t="s">
        <v>355</v>
      </c>
    </row>
    <row r="27200" ht="16.5" customHeight="1">
      <c r="O27200" s="5" t="s">
        <v>355</v>
      </c>
      <c r="P27200" s="5" t="s">
        <v>355</v>
      </c>
      <c r="Q27200" s="5" t="s">
        <v>355</v>
      </c>
    </row>
    <row r="27201" ht="16.5" customHeight="1">
      <c r="O27201" s="5" t="s">
        <v>355</v>
      </c>
      <c r="P27201" s="5" t="s">
        <v>355</v>
      </c>
      <c r="Q27201" s="5" t="s">
        <v>355</v>
      </c>
    </row>
    <row r="27202" ht="16.5" customHeight="1">
      <c r="O27202" s="5" t="s">
        <v>355</v>
      </c>
      <c r="P27202" s="5" t="s">
        <v>355</v>
      </c>
      <c r="Q27202" s="5" t="s">
        <v>355</v>
      </c>
    </row>
    <row r="27203" ht="16.5" customHeight="1">
      <c r="O27203" s="5" t="s">
        <v>355</v>
      </c>
      <c r="P27203" s="5" t="s">
        <v>355</v>
      </c>
      <c r="Q27203" s="5" t="s">
        <v>355</v>
      </c>
    </row>
    <row r="27204" ht="16.5" customHeight="1">
      <c r="O27204" s="5" t="s">
        <v>355</v>
      </c>
      <c r="P27204" s="5" t="s">
        <v>355</v>
      </c>
      <c r="Q27204" s="5" t="s">
        <v>355</v>
      </c>
    </row>
    <row r="27205" ht="16.5" customHeight="1">
      <c r="O27205" s="5" t="s">
        <v>355</v>
      </c>
      <c r="P27205" s="5" t="s">
        <v>355</v>
      </c>
      <c r="Q27205" s="5" t="s">
        <v>355</v>
      </c>
    </row>
    <row r="27206" ht="16.5" customHeight="1">
      <c r="O27206" s="5" t="s">
        <v>355</v>
      </c>
      <c r="P27206" s="5" t="s">
        <v>355</v>
      </c>
      <c r="Q27206" s="5" t="s">
        <v>355</v>
      </c>
    </row>
    <row r="27207" ht="16.5" customHeight="1">
      <c r="O27207" s="5" t="s">
        <v>355</v>
      </c>
      <c r="P27207" s="5" t="s">
        <v>355</v>
      </c>
      <c r="Q27207" s="5" t="s">
        <v>355</v>
      </c>
    </row>
    <row r="27208" ht="16.5" customHeight="1">
      <c r="O27208" s="5" t="s">
        <v>355</v>
      </c>
      <c r="P27208" s="5" t="s">
        <v>355</v>
      </c>
      <c r="Q27208" s="5" t="s">
        <v>355</v>
      </c>
    </row>
    <row r="27209" ht="16.5" customHeight="1">
      <c r="O27209" s="5" t="s">
        <v>355</v>
      </c>
      <c r="P27209" s="5" t="s">
        <v>355</v>
      </c>
      <c r="Q27209" s="5" t="s">
        <v>355</v>
      </c>
    </row>
    <row r="27210" ht="16.5" customHeight="1">
      <c r="O27210" s="5" t="s">
        <v>355</v>
      </c>
      <c r="P27210" s="5" t="s">
        <v>355</v>
      </c>
      <c r="Q27210" s="5" t="s">
        <v>355</v>
      </c>
    </row>
    <row r="27211" ht="16.5" customHeight="1">
      <c r="O27211" s="5" t="s">
        <v>355</v>
      </c>
      <c r="P27211" s="5" t="s">
        <v>355</v>
      </c>
      <c r="Q27211" s="5" t="s">
        <v>355</v>
      </c>
    </row>
    <row r="27212" ht="16.5" customHeight="1">
      <c r="O27212" s="5" t="s">
        <v>355</v>
      </c>
      <c r="P27212" s="5" t="s">
        <v>355</v>
      </c>
      <c r="Q27212" s="5" t="s">
        <v>355</v>
      </c>
    </row>
    <row r="27213" ht="16.5" customHeight="1">
      <c r="O27213" s="5" t="s">
        <v>355</v>
      </c>
      <c r="P27213" s="5" t="s">
        <v>355</v>
      </c>
      <c r="Q27213" s="5" t="s">
        <v>355</v>
      </c>
    </row>
    <row r="27214" ht="16.5" customHeight="1">
      <c r="O27214" s="5" t="s">
        <v>355</v>
      </c>
      <c r="P27214" s="5" t="s">
        <v>355</v>
      </c>
      <c r="Q27214" s="5" t="s">
        <v>355</v>
      </c>
    </row>
    <row r="27215" ht="16.5" customHeight="1">
      <c r="O27215" s="5" t="s">
        <v>355</v>
      </c>
      <c r="P27215" s="5" t="s">
        <v>355</v>
      </c>
      <c r="Q27215" s="5" t="s">
        <v>355</v>
      </c>
    </row>
    <row r="27216" ht="16.5" customHeight="1">
      <c r="O27216" s="5" t="s">
        <v>355</v>
      </c>
      <c r="P27216" s="5" t="s">
        <v>355</v>
      </c>
      <c r="Q27216" s="5" t="s">
        <v>355</v>
      </c>
    </row>
    <row r="27217" ht="16.5" customHeight="1">
      <c r="O27217" s="5" t="s">
        <v>355</v>
      </c>
      <c r="P27217" s="5" t="s">
        <v>355</v>
      </c>
      <c r="Q27217" s="5" t="s">
        <v>355</v>
      </c>
    </row>
    <row r="27218" ht="16.5" customHeight="1">
      <c r="O27218" s="5" t="s">
        <v>355</v>
      </c>
      <c r="P27218" s="5" t="s">
        <v>355</v>
      </c>
      <c r="Q27218" s="5" t="s">
        <v>355</v>
      </c>
    </row>
    <row r="27219" ht="16.5" customHeight="1">
      <c r="O27219" s="5" t="s">
        <v>355</v>
      </c>
      <c r="P27219" s="5" t="s">
        <v>355</v>
      </c>
      <c r="Q27219" s="5" t="s">
        <v>355</v>
      </c>
    </row>
    <row r="27220" ht="16.5" customHeight="1">
      <c r="O27220" s="5" t="s">
        <v>355</v>
      </c>
      <c r="P27220" s="5" t="s">
        <v>355</v>
      </c>
      <c r="Q27220" s="5" t="s">
        <v>355</v>
      </c>
    </row>
    <row r="27221" ht="16.5" customHeight="1">
      <c r="O27221" s="5" t="s">
        <v>355</v>
      </c>
      <c r="P27221" s="5" t="s">
        <v>355</v>
      </c>
      <c r="Q27221" s="5" t="s">
        <v>355</v>
      </c>
    </row>
    <row r="27222" ht="16.5" customHeight="1">
      <c r="O27222" s="5" t="s">
        <v>355</v>
      </c>
      <c r="P27222" s="5" t="s">
        <v>355</v>
      </c>
      <c r="Q27222" s="5" t="s">
        <v>355</v>
      </c>
    </row>
    <row r="27223" ht="16.5" customHeight="1">
      <c r="O27223" s="5" t="s">
        <v>355</v>
      </c>
      <c r="P27223" s="5" t="s">
        <v>355</v>
      </c>
      <c r="Q27223" s="5" t="s">
        <v>355</v>
      </c>
    </row>
    <row r="27224" ht="16.5" customHeight="1">
      <c r="O27224" s="5" t="s">
        <v>355</v>
      </c>
      <c r="P27224" s="5" t="s">
        <v>355</v>
      </c>
      <c r="Q27224" s="5" t="s">
        <v>355</v>
      </c>
    </row>
    <row r="27225" ht="16.5" customHeight="1">
      <c r="O27225" s="5" t="s">
        <v>355</v>
      </c>
      <c r="P27225" s="5" t="s">
        <v>355</v>
      </c>
      <c r="Q27225" s="5" t="s">
        <v>355</v>
      </c>
    </row>
    <row r="27226" ht="16.5" customHeight="1">
      <c r="O27226" s="5" t="s">
        <v>355</v>
      </c>
      <c r="P27226" s="5" t="s">
        <v>355</v>
      </c>
      <c r="Q27226" s="5" t="s">
        <v>355</v>
      </c>
    </row>
    <row r="27227" ht="16.5" customHeight="1">
      <c r="O27227" s="5" t="s">
        <v>355</v>
      </c>
      <c r="P27227" s="5" t="s">
        <v>355</v>
      </c>
      <c r="Q27227" s="5" t="s">
        <v>355</v>
      </c>
    </row>
    <row r="27228" ht="16.5" customHeight="1">
      <c r="O27228" s="5" t="s">
        <v>355</v>
      </c>
      <c r="P27228" s="5" t="s">
        <v>355</v>
      </c>
      <c r="Q27228" s="5" t="s">
        <v>355</v>
      </c>
    </row>
    <row r="27229" ht="16.5" customHeight="1">
      <c r="O27229" s="5" t="s">
        <v>355</v>
      </c>
      <c r="P27229" s="5" t="s">
        <v>355</v>
      </c>
      <c r="Q27229" s="5" t="s">
        <v>355</v>
      </c>
    </row>
    <row r="27230" ht="16.5" customHeight="1">
      <c r="O27230" s="5" t="s">
        <v>355</v>
      </c>
      <c r="P27230" s="5" t="s">
        <v>355</v>
      </c>
      <c r="Q27230" s="5" t="s">
        <v>355</v>
      </c>
    </row>
    <row r="27231" ht="16.5" customHeight="1">
      <c r="O27231" s="5" t="s">
        <v>355</v>
      </c>
      <c r="P27231" s="5" t="s">
        <v>355</v>
      </c>
      <c r="Q27231" s="5" t="s">
        <v>355</v>
      </c>
    </row>
    <row r="27232" ht="16.5" customHeight="1">
      <c r="O27232" s="5" t="s">
        <v>355</v>
      </c>
      <c r="P27232" s="5" t="s">
        <v>355</v>
      </c>
      <c r="Q27232" s="5" t="s">
        <v>355</v>
      </c>
    </row>
    <row r="27233" ht="16.5" customHeight="1">
      <c r="O27233" s="5" t="s">
        <v>355</v>
      </c>
      <c r="P27233" s="5" t="s">
        <v>355</v>
      </c>
      <c r="Q27233" s="5" t="s">
        <v>355</v>
      </c>
    </row>
    <row r="27234" ht="16.5" customHeight="1">
      <c r="O27234" s="5" t="s">
        <v>355</v>
      </c>
      <c r="P27234" s="5" t="s">
        <v>355</v>
      </c>
      <c r="Q27234" s="5" t="s">
        <v>355</v>
      </c>
    </row>
    <row r="27235" ht="16.5" customHeight="1">
      <c r="O27235" s="5" t="s">
        <v>355</v>
      </c>
      <c r="P27235" s="5" t="s">
        <v>355</v>
      </c>
      <c r="Q27235" s="5" t="s">
        <v>355</v>
      </c>
    </row>
    <row r="27236" ht="16.5" customHeight="1">
      <c r="O27236" s="5" t="s">
        <v>355</v>
      </c>
      <c r="P27236" s="5" t="s">
        <v>355</v>
      </c>
      <c r="Q27236" s="5" t="s">
        <v>355</v>
      </c>
    </row>
    <row r="27237" ht="16.5" customHeight="1">
      <c r="O27237" s="5" t="s">
        <v>355</v>
      </c>
      <c r="P27237" s="5" t="s">
        <v>355</v>
      </c>
      <c r="Q27237" s="5" t="s">
        <v>355</v>
      </c>
    </row>
    <row r="27238" ht="16.5" customHeight="1">
      <c r="O27238" s="5" t="s">
        <v>355</v>
      </c>
      <c r="P27238" s="5" t="s">
        <v>355</v>
      </c>
      <c r="Q27238" s="5" t="s">
        <v>355</v>
      </c>
    </row>
    <row r="27239" ht="16.5" customHeight="1">
      <c r="O27239" s="5" t="s">
        <v>355</v>
      </c>
      <c r="P27239" s="5" t="s">
        <v>355</v>
      </c>
      <c r="Q27239" s="5" t="s">
        <v>355</v>
      </c>
    </row>
    <row r="27240" ht="16.5" customHeight="1">
      <c r="O27240" s="5" t="s">
        <v>355</v>
      </c>
      <c r="P27240" s="5" t="s">
        <v>355</v>
      </c>
      <c r="Q27240" s="5" t="s">
        <v>355</v>
      </c>
    </row>
    <row r="27241" ht="16.5" customHeight="1">
      <c r="O27241" s="5" t="s">
        <v>355</v>
      </c>
      <c r="P27241" s="5" t="s">
        <v>355</v>
      </c>
      <c r="Q27241" s="5" t="s">
        <v>355</v>
      </c>
    </row>
    <row r="27242" ht="16.5" customHeight="1">
      <c r="O27242" s="5" t="s">
        <v>355</v>
      </c>
      <c r="P27242" s="5" t="s">
        <v>355</v>
      </c>
      <c r="Q27242" s="5" t="s">
        <v>355</v>
      </c>
    </row>
    <row r="27243" ht="16.5" customHeight="1">
      <c r="O27243" s="5" t="s">
        <v>355</v>
      </c>
      <c r="P27243" s="5" t="s">
        <v>355</v>
      </c>
      <c r="Q27243" s="5" t="s">
        <v>355</v>
      </c>
    </row>
    <row r="27244" ht="16.5" customHeight="1">
      <c r="O27244" s="5" t="s">
        <v>355</v>
      </c>
      <c r="P27244" s="5" t="s">
        <v>355</v>
      </c>
      <c r="Q27244" s="5" t="s">
        <v>355</v>
      </c>
    </row>
    <row r="27245" ht="16.5" customHeight="1">
      <c r="O27245" s="5" t="s">
        <v>355</v>
      </c>
      <c r="P27245" s="5" t="s">
        <v>355</v>
      </c>
      <c r="Q27245" s="5" t="s">
        <v>355</v>
      </c>
    </row>
    <row r="27246" ht="16.5" customHeight="1">
      <c r="O27246" s="5" t="s">
        <v>355</v>
      </c>
      <c r="P27246" s="5" t="s">
        <v>355</v>
      </c>
      <c r="Q27246" s="5" t="s">
        <v>355</v>
      </c>
    </row>
    <row r="27247" ht="16.5" customHeight="1">
      <c r="O27247" s="5" t="s">
        <v>355</v>
      </c>
      <c r="P27247" s="5" t="s">
        <v>355</v>
      </c>
      <c r="Q27247" s="5" t="s">
        <v>355</v>
      </c>
    </row>
    <row r="27248" ht="16.5" customHeight="1">
      <c r="O27248" s="5" t="s">
        <v>355</v>
      </c>
      <c r="P27248" s="5" t="s">
        <v>355</v>
      </c>
      <c r="Q27248" s="5" t="s">
        <v>355</v>
      </c>
    </row>
    <row r="27249" ht="16.5" customHeight="1">
      <c r="O27249" s="5" t="s">
        <v>355</v>
      </c>
      <c r="P27249" s="5" t="s">
        <v>355</v>
      </c>
      <c r="Q27249" s="5" t="s">
        <v>355</v>
      </c>
    </row>
    <row r="27250" ht="16.5" customHeight="1">
      <c r="O27250" s="5" t="s">
        <v>355</v>
      </c>
      <c r="P27250" s="5" t="s">
        <v>355</v>
      </c>
      <c r="Q27250" s="5" t="s">
        <v>355</v>
      </c>
    </row>
    <row r="27251" ht="16.5" customHeight="1">
      <c r="O27251" s="5" t="s">
        <v>355</v>
      </c>
      <c r="P27251" s="5" t="s">
        <v>355</v>
      </c>
      <c r="Q27251" s="5" t="s">
        <v>355</v>
      </c>
    </row>
    <row r="27252" ht="16.5" customHeight="1">
      <c r="O27252" s="5" t="s">
        <v>355</v>
      </c>
      <c r="P27252" s="5" t="s">
        <v>355</v>
      </c>
      <c r="Q27252" s="5" t="s">
        <v>355</v>
      </c>
    </row>
    <row r="27253" ht="16.5" customHeight="1">
      <c r="O27253" s="5" t="s">
        <v>355</v>
      </c>
      <c r="P27253" s="5" t="s">
        <v>355</v>
      </c>
      <c r="Q27253" s="5" t="s">
        <v>355</v>
      </c>
    </row>
    <row r="27254" ht="16.5" customHeight="1">
      <c r="O27254" s="5" t="s">
        <v>355</v>
      </c>
      <c r="P27254" s="5" t="s">
        <v>355</v>
      </c>
      <c r="Q27254" s="5" t="s">
        <v>355</v>
      </c>
    </row>
    <row r="27255" ht="16.5" customHeight="1">
      <c r="O27255" s="5" t="s">
        <v>355</v>
      </c>
      <c r="P27255" s="5" t="s">
        <v>355</v>
      </c>
      <c r="Q27255" s="5" t="s">
        <v>355</v>
      </c>
    </row>
    <row r="27256" ht="16.5" customHeight="1">
      <c r="O27256" s="5" t="s">
        <v>355</v>
      </c>
      <c r="P27256" s="5" t="s">
        <v>355</v>
      </c>
      <c r="Q27256" s="5" t="s">
        <v>355</v>
      </c>
    </row>
    <row r="27257" ht="16.5" customHeight="1">
      <c r="O27257" s="5" t="s">
        <v>355</v>
      </c>
      <c r="P27257" s="5" t="s">
        <v>355</v>
      </c>
      <c r="Q27257" s="5" t="s">
        <v>355</v>
      </c>
    </row>
    <row r="27258" ht="16.5" customHeight="1">
      <c r="O27258" s="5" t="s">
        <v>355</v>
      </c>
      <c r="P27258" s="5" t="s">
        <v>355</v>
      </c>
      <c r="Q27258" s="5" t="s">
        <v>355</v>
      </c>
    </row>
    <row r="27259" ht="16.5" customHeight="1">
      <c r="O27259" s="5" t="s">
        <v>355</v>
      </c>
      <c r="P27259" s="5" t="s">
        <v>355</v>
      </c>
      <c r="Q27259" s="5" t="s">
        <v>355</v>
      </c>
    </row>
    <row r="27260" ht="16.5" customHeight="1">
      <c r="O27260" s="5" t="s">
        <v>355</v>
      </c>
      <c r="P27260" s="5" t="s">
        <v>355</v>
      </c>
      <c r="Q27260" s="5" t="s">
        <v>355</v>
      </c>
    </row>
    <row r="27261" ht="16.5" customHeight="1">
      <c r="O27261" s="5" t="s">
        <v>355</v>
      </c>
      <c r="P27261" s="5" t="s">
        <v>355</v>
      </c>
      <c r="Q27261" s="5" t="s">
        <v>355</v>
      </c>
    </row>
    <row r="27262" ht="16.5" customHeight="1">
      <c r="O27262" s="5" t="s">
        <v>355</v>
      </c>
      <c r="P27262" s="5" t="s">
        <v>355</v>
      </c>
      <c r="Q27262" s="5" t="s">
        <v>355</v>
      </c>
    </row>
    <row r="27263" ht="16.5" customHeight="1">
      <c r="O27263" s="5" t="s">
        <v>355</v>
      </c>
      <c r="P27263" s="5" t="s">
        <v>355</v>
      </c>
      <c r="Q27263" s="5" t="s">
        <v>355</v>
      </c>
    </row>
    <row r="27264" ht="16.5" customHeight="1">
      <c r="O27264" s="5" t="s">
        <v>355</v>
      </c>
      <c r="P27264" s="5" t="s">
        <v>355</v>
      </c>
      <c r="Q27264" s="5" t="s">
        <v>355</v>
      </c>
    </row>
    <row r="27265" ht="16.5" customHeight="1">
      <c r="O27265" s="5" t="s">
        <v>355</v>
      </c>
      <c r="P27265" s="5" t="s">
        <v>355</v>
      </c>
      <c r="Q27265" s="5" t="s">
        <v>355</v>
      </c>
    </row>
    <row r="27266" ht="16.5" customHeight="1">
      <c r="O27266" s="5" t="s">
        <v>355</v>
      </c>
      <c r="P27266" s="5" t="s">
        <v>355</v>
      </c>
      <c r="Q27266" s="5" t="s">
        <v>355</v>
      </c>
    </row>
    <row r="27267" ht="16.5" customHeight="1">
      <c r="O27267" s="5" t="s">
        <v>355</v>
      </c>
      <c r="P27267" s="5" t="s">
        <v>355</v>
      </c>
      <c r="Q27267" s="5" t="s">
        <v>355</v>
      </c>
    </row>
    <row r="27268" ht="16.5" customHeight="1">
      <c r="O27268" s="5" t="s">
        <v>355</v>
      </c>
      <c r="P27268" s="5" t="s">
        <v>355</v>
      </c>
      <c r="Q27268" s="5" t="s">
        <v>355</v>
      </c>
    </row>
    <row r="27269" ht="16.5" customHeight="1">
      <c r="O27269" s="5" t="s">
        <v>355</v>
      </c>
      <c r="P27269" s="5" t="s">
        <v>355</v>
      </c>
      <c r="Q27269" s="5" t="s">
        <v>355</v>
      </c>
    </row>
    <row r="27270" ht="16.5" customHeight="1">
      <c r="O27270" s="5" t="s">
        <v>355</v>
      </c>
      <c r="P27270" s="5" t="s">
        <v>355</v>
      </c>
      <c r="Q27270" s="5" t="s">
        <v>355</v>
      </c>
    </row>
    <row r="27271" ht="16.5" customHeight="1">
      <c r="O27271" s="5" t="s">
        <v>355</v>
      </c>
      <c r="P27271" s="5" t="s">
        <v>355</v>
      </c>
      <c r="Q27271" s="5" t="s">
        <v>355</v>
      </c>
    </row>
    <row r="27272" ht="16.5" customHeight="1">
      <c r="O27272" s="5" t="s">
        <v>355</v>
      </c>
      <c r="P27272" s="5" t="s">
        <v>355</v>
      </c>
      <c r="Q27272" s="5" t="s">
        <v>355</v>
      </c>
    </row>
    <row r="27273" ht="16.5" customHeight="1">
      <c r="O27273" s="5" t="s">
        <v>355</v>
      </c>
      <c r="P27273" s="5" t="s">
        <v>355</v>
      </c>
      <c r="Q27273" s="5" t="s">
        <v>355</v>
      </c>
    </row>
    <row r="27274" ht="16.5" customHeight="1">
      <c r="O27274" s="5" t="s">
        <v>355</v>
      </c>
      <c r="P27274" s="5" t="s">
        <v>355</v>
      </c>
      <c r="Q27274" s="5" t="s">
        <v>355</v>
      </c>
    </row>
    <row r="27275" ht="16.5" customHeight="1">
      <c r="O27275" s="5" t="s">
        <v>355</v>
      </c>
      <c r="P27275" s="5" t="s">
        <v>355</v>
      </c>
      <c r="Q27275" s="5" t="s">
        <v>355</v>
      </c>
    </row>
    <row r="27276" ht="16.5" customHeight="1">
      <c r="O27276" s="5" t="s">
        <v>355</v>
      </c>
      <c r="P27276" s="5" t="s">
        <v>355</v>
      </c>
      <c r="Q27276" s="5" t="s">
        <v>355</v>
      </c>
    </row>
    <row r="27277" ht="16.5" customHeight="1">
      <c r="O27277" s="5" t="s">
        <v>355</v>
      </c>
      <c r="P27277" s="5" t="s">
        <v>355</v>
      </c>
      <c r="Q27277" s="5" t="s">
        <v>355</v>
      </c>
    </row>
    <row r="27278" ht="16.5" customHeight="1">
      <c r="O27278" s="5" t="s">
        <v>355</v>
      </c>
      <c r="P27278" s="5" t="s">
        <v>355</v>
      </c>
      <c r="Q27278" s="5" t="s">
        <v>355</v>
      </c>
    </row>
    <row r="27279" ht="16.5" customHeight="1">
      <c r="O27279" s="5" t="s">
        <v>355</v>
      </c>
      <c r="P27279" s="5" t="s">
        <v>355</v>
      </c>
      <c r="Q27279" s="5" t="s">
        <v>355</v>
      </c>
    </row>
    <row r="27280" ht="16.5" customHeight="1">
      <c r="O27280" s="5" t="s">
        <v>355</v>
      </c>
      <c r="P27280" s="5" t="s">
        <v>355</v>
      </c>
      <c r="Q27280" s="5" t="s">
        <v>355</v>
      </c>
    </row>
    <row r="27281" ht="16.5" customHeight="1">
      <c r="O27281" s="5" t="s">
        <v>355</v>
      </c>
      <c r="P27281" s="5" t="s">
        <v>355</v>
      </c>
      <c r="Q27281" s="5" t="s">
        <v>355</v>
      </c>
    </row>
    <row r="27282" ht="16.5" customHeight="1">
      <c r="O27282" s="5" t="s">
        <v>355</v>
      </c>
      <c r="P27282" s="5" t="s">
        <v>355</v>
      </c>
      <c r="Q27282" s="5" t="s">
        <v>355</v>
      </c>
    </row>
    <row r="27283" ht="16.5" customHeight="1">
      <c r="O27283" s="5" t="s">
        <v>355</v>
      </c>
      <c r="P27283" s="5" t="s">
        <v>355</v>
      </c>
      <c r="Q27283" s="5" t="s">
        <v>355</v>
      </c>
    </row>
    <row r="27284" ht="16.5" customHeight="1">
      <c r="O27284" s="5" t="s">
        <v>355</v>
      </c>
      <c r="P27284" s="5" t="s">
        <v>355</v>
      </c>
      <c r="Q27284" s="5" t="s">
        <v>355</v>
      </c>
    </row>
    <row r="27285" ht="16.5" customHeight="1">
      <c r="O27285" s="5" t="s">
        <v>355</v>
      </c>
      <c r="P27285" s="5" t="s">
        <v>355</v>
      </c>
      <c r="Q27285" s="5" t="s">
        <v>355</v>
      </c>
    </row>
    <row r="27286" ht="16.5" customHeight="1">
      <c r="O27286" s="5" t="s">
        <v>355</v>
      </c>
      <c r="P27286" s="5" t="s">
        <v>355</v>
      </c>
      <c r="Q27286" s="5" t="s">
        <v>355</v>
      </c>
    </row>
    <row r="27287" ht="16.5" customHeight="1">
      <c r="O27287" s="5" t="s">
        <v>355</v>
      </c>
      <c r="P27287" s="5" t="s">
        <v>355</v>
      </c>
      <c r="Q27287" s="5" t="s">
        <v>355</v>
      </c>
    </row>
    <row r="27288" ht="16.5" customHeight="1">
      <c r="O27288" s="5" t="s">
        <v>355</v>
      </c>
      <c r="P27288" s="5" t="s">
        <v>355</v>
      </c>
      <c r="Q27288" s="5" t="s">
        <v>355</v>
      </c>
    </row>
    <row r="27289" ht="16.5" customHeight="1">
      <c r="O27289" s="5" t="s">
        <v>355</v>
      </c>
      <c r="P27289" s="5" t="s">
        <v>355</v>
      </c>
      <c r="Q27289" s="5" t="s">
        <v>355</v>
      </c>
    </row>
    <row r="27290" ht="16.5" customHeight="1">
      <c r="O27290" s="5" t="s">
        <v>355</v>
      </c>
      <c r="P27290" s="5" t="s">
        <v>355</v>
      </c>
      <c r="Q27290" s="5" t="s">
        <v>355</v>
      </c>
    </row>
    <row r="27291" ht="16.5" customHeight="1">
      <c r="O27291" s="5" t="s">
        <v>355</v>
      </c>
      <c r="P27291" s="5" t="s">
        <v>355</v>
      </c>
      <c r="Q27291" s="5" t="s">
        <v>355</v>
      </c>
    </row>
    <row r="27292" ht="16.5" customHeight="1">
      <c r="O27292" s="5" t="s">
        <v>355</v>
      </c>
      <c r="P27292" s="5" t="s">
        <v>355</v>
      </c>
      <c r="Q27292" s="5" t="s">
        <v>355</v>
      </c>
    </row>
    <row r="27293" ht="16.5" customHeight="1">
      <c r="O27293" s="5" t="s">
        <v>355</v>
      </c>
      <c r="P27293" s="5" t="s">
        <v>355</v>
      </c>
      <c r="Q27293" s="5" t="s">
        <v>355</v>
      </c>
    </row>
    <row r="27294" ht="16.5" customHeight="1">
      <c r="O27294" s="5" t="s">
        <v>355</v>
      </c>
      <c r="P27294" s="5" t="s">
        <v>355</v>
      </c>
      <c r="Q27294" s="5" t="s">
        <v>355</v>
      </c>
    </row>
    <row r="27295" ht="16.5" customHeight="1">
      <c r="O27295" s="5" t="s">
        <v>355</v>
      </c>
      <c r="P27295" s="5" t="s">
        <v>355</v>
      </c>
      <c r="Q27295" s="5" t="s">
        <v>355</v>
      </c>
    </row>
    <row r="27296" ht="16.5" customHeight="1">
      <c r="O27296" s="5" t="s">
        <v>355</v>
      </c>
      <c r="P27296" s="5" t="s">
        <v>355</v>
      </c>
      <c r="Q27296" s="5" t="s">
        <v>355</v>
      </c>
    </row>
    <row r="27297" ht="16.5" customHeight="1">
      <c r="O27297" s="5" t="s">
        <v>355</v>
      </c>
      <c r="P27297" s="5" t="s">
        <v>355</v>
      </c>
      <c r="Q27297" s="5" t="s">
        <v>355</v>
      </c>
    </row>
    <row r="27298" ht="16.5" customHeight="1">
      <c r="O27298" s="5" t="s">
        <v>355</v>
      </c>
      <c r="P27298" s="5" t="s">
        <v>355</v>
      </c>
      <c r="Q27298" s="5" t="s">
        <v>355</v>
      </c>
    </row>
    <row r="27299" ht="16.5" customHeight="1">
      <c r="O27299" s="5" t="s">
        <v>355</v>
      </c>
      <c r="P27299" s="5" t="s">
        <v>355</v>
      </c>
      <c r="Q27299" s="5" t="s">
        <v>355</v>
      </c>
    </row>
    <row r="27300" ht="16.5" customHeight="1">
      <c r="O27300" s="5" t="s">
        <v>355</v>
      </c>
      <c r="P27300" s="5" t="s">
        <v>355</v>
      </c>
      <c r="Q27300" s="5" t="s">
        <v>355</v>
      </c>
    </row>
    <row r="27301" ht="16.5" customHeight="1">
      <c r="O27301" s="5" t="s">
        <v>355</v>
      </c>
      <c r="P27301" s="5" t="s">
        <v>355</v>
      </c>
      <c r="Q27301" s="5" t="s">
        <v>355</v>
      </c>
    </row>
    <row r="27302" ht="16.5" customHeight="1">
      <c r="O27302" s="5" t="s">
        <v>355</v>
      </c>
      <c r="P27302" s="5" t="s">
        <v>355</v>
      </c>
      <c r="Q27302" s="5" t="s">
        <v>355</v>
      </c>
    </row>
    <row r="27303" ht="16.5" customHeight="1">
      <c r="O27303" s="5" t="s">
        <v>355</v>
      </c>
      <c r="P27303" s="5" t="s">
        <v>355</v>
      </c>
      <c r="Q27303" s="5" t="s">
        <v>355</v>
      </c>
    </row>
    <row r="27304" ht="16.5" customHeight="1">
      <c r="O27304" s="5" t="s">
        <v>355</v>
      </c>
      <c r="P27304" s="5" t="s">
        <v>355</v>
      </c>
      <c r="Q27304" s="5" t="s">
        <v>355</v>
      </c>
    </row>
    <row r="27305" ht="16.5" customHeight="1">
      <c r="O27305" s="5" t="s">
        <v>355</v>
      </c>
      <c r="P27305" s="5" t="s">
        <v>355</v>
      </c>
      <c r="Q27305" s="5" t="s">
        <v>355</v>
      </c>
    </row>
    <row r="27306" ht="16.5" customHeight="1">
      <c r="O27306" s="5" t="s">
        <v>355</v>
      </c>
      <c r="P27306" s="5" t="s">
        <v>355</v>
      </c>
      <c r="Q27306" s="5" t="s">
        <v>355</v>
      </c>
    </row>
    <row r="27307" ht="16.5" customHeight="1">
      <c r="O27307" s="5" t="s">
        <v>355</v>
      </c>
      <c r="P27307" s="5" t="s">
        <v>355</v>
      </c>
      <c r="Q27307" s="5" t="s">
        <v>355</v>
      </c>
    </row>
    <row r="27308" ht="16.5" customHeight="1">
      <c r="O27308" s="5" t="s">
        <v>355</v>
      </c>
      <c r="P27308" s="5" t="s">
        <v>355</v>
      </c>
      <c r="Q27308" s="5" t="s">
        <v>355</v>
      </c>
    </row>
    <row r="27309" ht="16.5" customHeight="1">
      <c r="O27309" s="5" t="s">
        <v>355</v>
      </c>
      <c r="P27309" s="5" t="s">
        <v>355</v>
      </c>
      <c r="Q27309" s="5" t="s">
        <v>355</v>
      </c>
    </row>
    <row r="27310" ht="16.5" customHeight="1">
      <c r="O27310" s="5" t="s">
        <v>355</v>
      </c>
      <c r="P27310" s="5" t="s">
        <v>355</v>
      </c>
      <c r="Q27310" s="5" t="s">
        <v>355</v>
      </c>
    </row>
    <row r="27311" ht="16.5" customHeight="1">
      <c r="O27311" s="5" t="s">
        <v>355</v>
      </c>
      <c r="P27311" s="5" t="s">
        <v>355</v>
      </c>
      <c r="Q27311" s="5" t="s">
        <v>355</v>
      </c>
    </row>
    <row r="27312" ht="16.5" customHeight="1">
      <c r="O27312" s="5" t="s">
        <v>355</v>
      </c>
      <c r="P27312" s="5" t="s">
        <v>355</v>
      </c>
      <c r="Q27312" s="5" t="s">
        <v>355</v>
      </c>
    </row>
    <row r="27313" ht="16.5" customHeight="1">
      <c r="O27313" s="5" t="s">
        <v>355</v>
      </c>
      <c r="P27313" s="5" t="s">
        <v>355</v>
      </c>
      <c r="Q27313" s="5" t="s">
        <v>355</v>
      </c>
    </row>
    <row r="27314" ht="16.5" customHeight="1">
      <c r="O27314" s="5" t="s">
        <v>355</v>
      </c>
      <c r="P27314" s="5" t="s">
        <v>355</v>
      </c>
      <c r="Q27314" s="5" t="s">
        <v>355</v>
      </c>
    </row>
    <row r="27315" ht="16.5" customHeight="1">
      <c r="O27315" s="5" t="s">
        <v>355</v>
      </c>
      <c r="P27315" s="5" t="s">
        <v>355</v>
      </c>
      <c r="Q27315" s="5" t="s">
        <v>355</v>
      </c>
    </row>
    <row r="27316" ht="16.5" customHeight="1">
      <c r="O27316" s="5" t="s">
        <v>355</v>
      </c>
      <c r="P27316" s="5" t="s">
        <v>355</v>
      </c>
      <c r="Q27316" s="5" t="s">
        <v>355</v>
      </c>
    </row>
    <row r="27317" ht="16.5" customHeight="1">
      <c r="O27317" s="5" t="s">
        <v>355</v>
      </c>
      <c r="P27317" s="5" t="s">
        <v>355</v>
      </c>
      <c r="Q27317" s="5" t="s">
        <v>355</v>
      </c>
    </row>
    <row r="27318" ht="16.5" customHeight="1">
      <c r="O27318" s="5" t="s">
        <v>355</v>
      </c>
      <c r="P27318" s="5" t="s">
        <v>355</v>
      </c>
      <c r="Q27318" s="5" t="s">
        <v>355</v>
      </c>
    </row>
    <row r="27319" ht="16.5" customHeight="1">
      <c r="O27319" s="5" t="s">
        <v>355</v>
      </c>
      <c r="P27319" s="5" t="s">
        <v>355</v>
      </c>
      <c r="Q27319" s="5" t="s">
        <v>355</v>
      </c>
    </row>
    <row r="27320" ht="16.5" customHeight="1">
      <c r="O27320" s="5" t="s">
        <v>355</v>
      </c>
      <c r="P27320" s="5" t="s">
        <v>355</v>
      </c>
      <c r="Q27320" s="5" t="s">
        <v>355</v>
      </c>
    </row>
    <row r="27321" ht="16.5" customHeight="1">
      <c r="O27321" s="5" t="s">
        <v>355</v>
      </c>
      <c r="P27321" s="5" t="s">
        <v>355</v>
      </c>
      <c r="Q27321" s="5" t="s">
        <v>355</v>
      </c>
    </row>
    <row r="27322" ht="16.5" customHeight="1">
      <c r="O27322" s="5" t="s">
        <v>355</v>
      </c>
      <c r="P27322" s="5" t="s">
        <v>355</v>
      </c>
      <c r="Q27322" s="5" t="s">
        <v>355</v>
      </c>
    </row>
    <row r="27323" ht="16.5" customHeight="1">
      <c r="O27323" s="5" t="s">
        <v>355</v>
      </c>
      <c r="P27323" s="5" t="s">
        <v>355</v>
      </c>
      <c r="Q27323" s="5" t="s">
        <v>355</v>
      </c>
    </row>
    <row r="27324" ht="16.5" customHeight="1">
      <c r="O27324" s="5" t="s">
        <v>355</v>
      </c>
      <c r="P27324" s="5" t="s">
        <v>355</v>
      </c>
      <c r="Q27324" s="5" t="s">
        <v>355</v>
      </c>
    </row>
    <row r="27325" ht="16.5" customHeight="1">
      <c r="O27325" s="5" t="s">
        <v>355</v>
      </c>
      <c r="P27325" s="5" t="s">
        <v>355</v>
      </c>
      <c r="Q27325" s="5" t="s">
        <v>355</v>
      </c>
    </row>
    <row r="27326" ht="16.5" customHeight="1">
      <c r="O27326" s="5" t="s">
        <v>355</v>
      </c>
      <c r="P27326" s="5" t="s">
        <v>355</v>
      </c>
      <c r="Q27326" s="5" t="s">
        <v>355</v>
      </c>
    </row>
    <row r="27327" ht="16.5" customHeight="1">
      <c r="O27327" s="5" t="s">
        <v>355</v>
      </c>
      <c r="P27327" s="5" t="s">
        <v>355</v>
      </c>
      <c r="Q27327" s="5" t="s">
        <v>355</v>
      </c>
    </row>
    <row r="27328" ht="16.5" customHeight="1">
      <c r="O27328" s="5" t="s">
        <v>355</v>
      </c>
      <c r="P27328" s="5" t="s">
        <v>355</v>
      </c>
      <c r="Q27328" s="5" t="s">
        <v>355</v>
      </c>
    </row>
    <row r="27329" ht="16.5" customHeight="1">
      <c r="O27329" s="5" t="s">
        <v>355</v>
      </c>
      <c r="P27329" s="5" t="s">
        <v>355</v>
      </c>
      <c r="Q27329" s="5" t="s">
        <v>355</v>
      </c>
    </row>
    <row r="27330" ht="16.5" customHeight="1">
      <c r="O27330" s="5" t="s">
        <v>355</v>
      </c>
      <c r="P27330" s="5" t="s">
        <v>355</v>
      </c>
      <c r="Q27330" s="5" t="s">
        <v>355</v>
      </c>
    </row>
    <row r="27331" ht="16.5" customHeight="1">
      <c r="O27331" s="5" t="s">
        <v>355</v>
      </c>
      <c r="P27331" s="5" t="s">
        <v>355</v>
      </c>
      <c r="Q27331" s="5" t="s">
        <v>355</v>
      </c>
    </row>
    <row r="27332" ht="16.5" customHeight="1">
      <c r="O27332" s="5" t="s">
        <v>355</v>
      </c>
      <c r="P27332" s="5" t="s">
        <v>355</v>
      </c>
      <c r="Q27332" s="5" t="s">
        <v>355</v>
      </c>
    </row>
    <row r="27333" ht="16.5" customHeight="1">
      <c r="O27333" s="5" t="s">
        <v>355</v>
      </c>
      <c r="P27333" s="5" t="s">
        <v>355</v>
      </c>
      <c r="Q27333" s="5" t="s">
        <v>355</v>
      </c>
    </row>
    <row r="27334" ht="16.5" customHeight="1">
      <c r="O27334" s="5" t="s">
        <v>355</v>
      </c>
      <c r="P27334" s="5" t="s">
        <v>355</v>
      </c>
      <c r="Q27334" s="5" t="s">
        <v>355</v>
      </c>
    </row>
    <row r="27335" ht="16.5" customHeight="1">
      <c r="O27335" s="5" t="s">
        <v>355</v>
      </c>
      <c r="P27335" s="5" t="s">
        <v>355</v>
      </c>
      <c r="Q27335" s="5" t="s">
        <v>355</v>
      </c>
    </row>
    <row r="27336" ht="16.5" customHeight="1">
      <c r="O27336" s="5" t="s">
        <v>355</v>
      </c>
      <c r="P27336" s="5" t="s">
        <v>355</v>
      </c>
      <c r="Q27336" s="5" t="s">
        <v>355</v>
      </c>
    </row>
    <row r="27337" ht="16.5" customHeight="1">
      <c r="O27337" s="5" t="s">
        <v>355</v>
      </c>
      <c r="P27337" s="5" t="s">
        <v>355</v>
      </c>
      <c r="Q27337" s="5" t="s">
        <v>355</v>
      </c>
    </row>
    <row r="27338" ht="16.5" customHeight="1">
      <c r="O27338" s="5" t="s">
        <v>355</v>
      </c>
      <c r="P27338" s="5" t="s">
        <v>355</v>
      </c>
      <c r="Q27338" s="5" t="s">
        <v>355</v>
      </c>
    </row>
    <row r="27339" ht="16.5" customHeight="1">
      <c r="O27339" s="5" t="s">
        <v>355</v>
      </c>
      <c r="P27339" s="5" t="s">
        <v>355</v>
      </c>
      <c r="Q27339" s="5" t="s">
        <v>355</v>
      </c>
    </row>
    <row r="27340" ht="16.5" customHeight="1">
      <c r="O27340" s="5" t="s">
        <v>355</v>
      </c>
      <c r="P27340" s="5" t="s">
        <v>355</v>
      </c>
      <c r="Q27340" s="5" t="s">
        <v>355</v>
      </c>
    </row>
    <row r="27341" ht="16.5" customHeight="1">
      <c r="O27341" s="5" t="s">
        <v>355</v>
      </c>
      <c r="P27341" s="5" t="s">
        <v>355</v>
      </c>
      <c r="Q27341" s="5" t="s">
        <v>355</v>
      </c>
    </row>
    <row r="27342" ht="16.5" customHeight="1">
      <c r="O27342" s="5" t="s">
        <v>355</v>
      </c>
      <c r="P27342" s="5" t="s">
        <v>355</v>
      </c>
      <c r="Q27342" s="5" t="s">
        <v>355</v>
      </c>
    </row>
    <row r="27343" ht="16.5" customHeight="1">
      <c r="O27343" s="5" t="s">
        <v>355</v>
      </c>
      <c r="P27343" s="5" t="s">
        <v>355</v>
      </c>
      <c r="Q27343" s="5" t="s">
        <v>355</v>
      </c>
    </row>
    <row r="27344" ht="16.5" customHeight="1">
      <c r="O27344" s="5" t="s">
        <v>355</v>
      </c>
      <c r="P27344" s="5" t="s">
        <v>355</v>
      </c>
      <c r="Q27344" s="5" t="s">
        <v>355</v>
      </c>
    </row>
    <row r="27345" ht="16.5" customHeight="1">
      <c r="O27345" s="5" t="s">
        <v>355</v>
      </c>
      <c r="P27345" s="5" t="s">
        <v>355</v>
      </c>
      <c r="Q27345" s="5" t="s">
        <v>355</v>
      </c>
    </row>
    <row r="27346" ht="16.5" customHeight="1">
      <c r="O27346" s="5" t="s">
        <v>355</v>
      </c>
      <c r="P27346" s="5" t="s">
        <v>355</v>
      </c>
      <c r="Q27346" s="5" t="s">
        <v>355</v>
      </c>
    </row>
    <row r="27347" ht="16.5" customHeight="1">
      <c r="O27347" s="5" t="s">
        <v>355</v>
      </c>
      <c r="P27347" s="5" t="s">
        <v>355</v>
      </c>
      <c r="Q27347" s="5" t="s">
        <v>355</v>
      </c>
    </row>
    <row r="27348" ht="16.5" customHeight="1">
      <c r="O27348" s="5" t="s">
        <v>355</v>
      </c>
      <c r="P27348" s="5" t="s">
        <v>355</v>
      </c>
      <c r="Q27348" s="5" t="s">
        <v>355</v>
      </c>
    </row>
    <row r="27349" ht="16.5" customHeight="1">
      <c r="O27349" s="5" t="s">
        <v>355</v>
      </c>
      <c r="P27349" s="5" t="s">
        <v>355</v>
      </c>
      <c r="Q27349" s="5" t="s">
        <v>355</v>
      </c>
    </row>
    <row r="27350" ht="16.5" customHeight="1">
      <c r="O27350" s="5" t="s">
        <v>355</v>
      </c>
      <c r="P27350" s="5" t="s">
        <v>355</v>
      </c>
      <c r="Q27350" s="5" t="s">
        <v>355</v>
      </c>
    </row>
    <row r="27351" ht="16.5" customHeight="1">
      <c r="O27351" s="5" t="s">
        <v>355</v>
      </c>
      <c r="P27351" s="5" t="s">
        <v>355</v>
      </c>
      <c r="Q27351" s="5" t="s">
        <v>355</v>
      </c>
    </row>
    <row r="27352" ht="16.5" customHeight="1">
      <c r="O27352" s="5" t="s">
        <v>355</v>
      </c>
      <c r="P27352" s="5" t="s">
        <v>355</v>
      </c>
      <c r="Q27352" s="5" t="s">
        <v>355</v>
      </c>
    </row>
    <row r="27353" ht="16.5" customHeight="1">
      <c r="O27353" s="5" t="s">
        <v>355</v>
      </c>
      <c r="P27353" s="5" t="s">
        <v>355</v>
      </c>
      <c r="Q27353" s="5" t="s">
        <v>355</v>
      </c>
    </row>
    <row r="27354" ht="16.5" customHeight="1">
      <c r="O27354" s="5" t="s">
        <v>355</v>
      </c>
      <c r="P27354" s="5" t="s">
        <v>355</v>
      </c>
      <c r="Q27354" s="5" t="s">
        <v>355</v>
      </c>
    </row>
    <row r="27355" ht="16.5" customHeight="1">
      <c r="O27355" s="5" t="s">
        <v>355</v>
      </c>
      <c r="P27355" s="5" t="s">
        <v>355</v>
      </c>
      <c r="Q27355" s="5" t="s">
        <v>355</v>
      </c>
    </row>
    <row r="27356" ht="16.5" customHeight="1">
      <c r="O27356" s="5" t="s">
        <v>355</v>
      </c>
      <c r="P27356" s="5" t="s">
        <v>355</v>
      </c>
      <c r="Q27356" s="5" t="s">
        <v>355</v>
      </c>
    </row>
    <row r="27357" ht="16.5" customHeight="1">
      <c r="O27357" s="5" t="s">
        <v>355</v>
      </c>
      <c r="P27357" s="5" t="s">
        <v>355</v>
      </c>
      <c r="Q27357" s="5" t="s">
        <v>355</v>
      </c>
    </row>
    <row r="27358" ht="16.5" customHeight="1">
      <c r="O27358" s="5" t="s">
        <v>355</v>
      </c>
      <c r="P27358" s="5" t="s">
        <v>355</v>
      </c>
      <c r="Q27358" s="5" t="s">
        <v>355</v>
      </c>
    </row>
    <row r="27359" ht="16.5" customHeight="1">
      <c r="O27359" s="5" t="s">
        <v>355</v>
      </c>
      <c r="P27359" s="5" t="s">
        <v>355</v>
      </c>
      <c r="Q27359" s="5" t="s">
        <v>355</v>
      </c>
    </row>
    <row r="27360" ht="16.5" customHeight="1">
      <c r="O27360" s="5" t="s">
        <v>355</v>
      </c>
      <c r="P27360" s="5" t="s">
        <v>355</v>
      </c>
      <c r="Q27360" s="5" t="s">
        <v>355</v>
      </c>
    </row>
    <row r="27361" ht="16.5" customHeight="1">
      <c r="O27361" s="5" t="s">
        <v>355</v>
      </c>
      <c r="P27361" s="5" t="s">
        <v>355</v>
      </c>
      <c r="Q27361" s="5" t="s">
        <v>355</v>
      </c>
    </row>
    <row r="27362" ht="16.5" customHeight="1">
      <c r="O27362" s="5" t="s">
        <v>355</v>
      </c>
      <c r="P27362" s="5" t="s">
        <v>355</v>
      </c>
      <c r="Q27362" s="5" t="s">
        <v>355</v>
      </c>
    </row>
    <row r="27363" ht="16.5" customHeight="1">
      <c r="O27363" s="5" t="s">
        <v>355</v>
      </c>
      <c r="P27363" s="5" t="s">
        <v>355</v>
      </c>
      <c r="Q27363" s="5" t="s">
        <v>355</v>
      </c>
    </row>
    <row r="27364" ht="16.5" customHeight="1">
      <c r="O27364" s="5" t="s">
        <v>355</v>
      </c>
      <c r="P27364" s="5" t="s">
        <v>355</v>
      </c>
      <c r="Q27364" s="5" t="s">
        <v>355</v>
      </c>
    </row>
    <row r="27365" ht="16.5" customHeight="1">
      <c r="O27365" s="5" t="s">
        <v>355</v>
      </c>
      <c r="P27365" s="5" t="s">
        <v>355</v>
      </c>
      <c r="Q27365" s="5" t="s">
        <v>355</v>
      </c>
    </row>
    <row r="27366" ht="16.5" customHeight="1">
      <c r="O27366" s="5" t="s">
        <v>355</v>
      </c>
      <c r="P27366" s="5" t="s">
        <v>355</v>
      </c>
      <c r="Q27366" s="5" t="s">
        <v>355</v>
      </c>
    </row>
    <row r="27367" ht="16.5" customHeight="1">
      <c r="O27367" s="5" t="s">
        <v>355</v>
      </c>
      <c r="P27367" s="5" t="s">
        <v>355</v>
      </c>
      <c r="Q27367" s="5" t="s">
        <v>355</v>
      </c>
    </row>
    <row r="27368" ht="16.5" customHeight="1">
      <c r="O27368" s="5" t="s">
        <v>355</v>
      </c>
      <c r="P27368" s="5" t="s">
        <v>355</v>
      </c>
      <c r="Q27368" s="5" t="s">
        <v>355</v>
      </c>
    </row>
    <row r="27369" ht="16.5" customHeight="1">
      <c r="O27369" s="5" t="s">
        <v>355</v>
      </c>
      <c r="P27369" s="5" t="s">
        <v>355</v>
      </c>
      <c r="Q27369" s="5" t="s">
        <v>355</v>
      </c>
    </row>
    <row r="27370" ht="16.5" customHeight="1">
      <c r="O27370" s="5" t="s">
        <v>355</v>
      </c>
      <c r="P27370" s="5" t="s">
        <v>355</v>
      </c>
      <c r="Q27370" s="5" t="s">
        <v>355</v>
      </c>
    </row>
    <row r="27371" ht="16.5" customHeight="1">
      <c r="O27371" s="5" t="s">
        <v>355</v>
      </c>
      <c r="P27371" s="5" t="s">
        <v>355</v>
      </c>
      <c r="Q27371" s="5" t="s">
        <v>355</v>
      </c>
    </row>
    <row r="27372" ht="16.5" customHeight="1">
      <c r="O27372" s="5" t="s">
        <v>355</v>
      </c>
      <c r="P27372" s="5" t="s">
        <v>355</v>
      </c>
      <c r="Q27372" s="5" t="s">
        <v>355</v>
      </c>
    </row>
    <row r="27373" ht="16.5" customHeight="1">
      <c r="O27373" s="5" t="s">
        <v>355</v>
      </c>
      <c r="P27373" s="5" t="s">
        <v>355</v>
      </c>
      <c r="Q27373" s="5" t="s">
        <v>355</v>
      </c>
    </row>
    <row r="27374" ht="16.5" customHeight="1">
      <c r="O27374" s="5" t="s">
        <v>355</v>
      </c>
      <c r="P27374" s="5" t="s">
        <v>355</v>
      </c>
      <c r="Q27374" s="5" t="s">
        <v>355</v>
      </c>
    </row>
    <row r="27375" ht="16.5" customHeight="1">
      <c r="O27375" s="5" t="s">
        <v>355</v>
      </c>
      <c r="P27375" s="5" t="s">
        <v>355</v>
      </c>
      <c r="Q27375" s="5" t="s">
        <v>355</v>
      </c>
    </row>
    <row r="27376" ht="16.5" customHeight="1">
      <c r="O27376" s="5" t="s">
        <v>355</v>
      </c>
      <c r="P27376" s="5" t="s">
        <v>355</v>
      </c>
      <c r="Q27376" s="5" t="s">
        <v>355</v>
      </c>
    </row>
    <row r="27377" ht="16.5" customHeight="1">
      <c r="O27377" s="5" t="s">
        <v>355</v>
      </c>
      <c r="P27377" s="5" t="s">
        <v>355</v>
      </c>
      <c r="Q27377" s="5" t="s">
        <v>355</v>
      </c>
    </row>
    <row r="27378" ht="16.5" customHeight="1">
      <c r="O27378" s="5" t="s">
        <v>355</v>
      </c>
      <c r="P27378" s="5" t="s">
        <v>355</v>
      </c>
      <c r="Q27378" s="5" t="s">
        <v>355</v>
      </c>
    </row>
    <row r="27379" ht="16.5" customHeight="1">
      <c r="O27379" s="5" t="s">
        <v>355</v>
      </c>
      <c r="P27379" s="5" t="s">
        <v>355</v>
      </c>
      <c r="Q27379" s="5" t="s">
        <v>355</v>
      </c>
    </row>
    <row r="27380" ht="16.5" customHeight="1">
      <c r="O27380" s="5" t="s">
        <v>355</v>
      </c>
      <c r="P27380" s="5" t="s">
        <v>355</v>
      </c>
      <c r="Q27380" s="5" t="s">
        <v>355</v>
      </c>
    </row>
    <row r="27381" ht="16.5" customHeight="1">
      <c r="O27381" s="5" t="s">
        <v>355</v>
      </c>
      <c r="P27381" s="5" t="s">
        <v>355</v>
      </c>
      <c r="Q27381" s="5" t="s">
        <v>355</v>
      </c>
    </row>
    <row r="27382" ht="16.5" customHeight="1">
      <c r="O27382" s="5" t="s">
        <v>355</v>
      </c>
      <c r="P27382" s="5" t="s">
        <v>355</v>
      </c>
      <c r="Q27382" s="5" t="s">
        <v>355</v>
      </c>
    </row>
    <row r="27383" ht="16.5" customHeight="1">
      <c r="O27383" s="5" t="s">
        <v>355</v>
      </c>
      <c r="P27383" s="5" t="s">
        <v>355</v>
      </c>
      <c r="Q27383" s="5" t="s">
        <v>355</v>
      </c>
    </row>
    <row r="27384" ht="16.5" customHeight="1">
      <c r="O27384" s="5" t="s">
        <v>355</v>
      </c>
      <c r="P27384" s="5" t="s">
        <v>355</v>
      </c>
      <c r="Q27384" s="5" t="s">
        <v>355</v>
      </c>
    </row>
    <row r="27385" ht="16.5" customHeight="1">
      <c r="O27385" s="5" t="s">
        <v>355</v>
      </c>
      <c r="P27385" s="5" t="s">
        <v>355</v>
      </c>
      <c r="Q27385" s="5" t="s">
        <v>355</v>
      </c>
    </row>
    <row r="27386" ht="16.5" customHeight="1">
      <c r="O27386" s="5" t="s">
        <v>355</v>
      </c>
      <c r="P27386" s="5" t="s">
        <v>355</v>
      </c>
      <c r="Q27386" s="5" t="s">
        <v>355</v>
      </c>
    </row>
    <row r="27387" ht="16.5" customHeight="1">
      <c r="O27387" s="5" t="s">
        <v>355</v>
      </c>
      <c r="P27387" s="5" t="s">
        <v>355</v>
      </c>
      <c r="Q27387" s="5" t="s">
        <v>355</v>
      </c>
    </row>
    <row r="27388" ht="16.5" customHeight="1">
      <c r="O27388" s="5" t="s">
        <v>355</v>
      </c>
      <c r="P27388" s="5" t="s">
        <v>355</v>
      </c>
      <c r="Q27388" s="5" t="s">
        <v>355</v>
      </c>
    </row>
    <row r="27389" ht="16.5" customHeight="1">
      <c r="O27389" s="5" t="s">
        <v>355</v>
      </c>
      <c r="P27389" s="5" t="s">
        <v>355</v>
      </c>
      <c r="Q27389" s="5" t="s">
        <v>355</v>
      </c>
    </row>
    <row r="27390" ht="16.5" customHeight="1">
      <c r="O27390" s="5" t="s">
        <v>355</v>
      </c>
      <c r="P27390" s="5" t="s">
        <v>355</v>
      </c>
      <c r="Q27390" s="5" t="s">
        <v>355</v>
      </c>
    </row>
    <row r="27391" ht="16.5" customHeight="1">
      <c r="O27391" s="5" t="s">
        <v>355</v>
      </c>
      <c r="P27391" s="5" t="s">
        <v>355</v>
      </c>
      <c r="Q27391" s="5" t="s">
        <v>355</v>
      </c>
    </row>
    <row r="27392" ht="16.5" customHeight="1">
      <c r="O27392" s="5" t="s">
        <v>355</v>
      </c>
      <c r="P27392" s="5" t="s">
        <v>355</v>
      </c>
      <c r="Q27392" s="5" t="s">
        <v>355</v>
      </c>
    </row>
    <row r="27393" ht="16.5" customHeight="1">
      <c r="O27393" s="5" t="s">
        <v>355</v>
      </c>
      <c r="P27393" s="5" t="s">
        <v>355</v>
      </c>
      <c r="Q27393" s="5" t="s">
        <v>355</v>
      </c>
    </row>
    <row r="27394" ht="16.5" customHeight="1">
      <c r="O27394" s="5" t="s">
        <v>355</v>
      </c>
      <c r="P27394" s="5" t="s">
        <v>355</v>
      </c>
      <c r="Q27394" s="5" t="s">
        <v>355</v>
      </c>
    </row>
    <row r="27395" ht="16.5" customHeight="1">
      <c r="O27395" s="5" t="s">
        <v>355</v>
      </c>
      <c r="P27395" s="5" t="s">
        <v>355</v>
      </c>
      <c r="Q27395" s="5" t="s">
        <v>355</v>
      </c>
    </row>
    <row r="27396" ht="16.5" customHeight="1">
      <c r="O27396" s="5" t="s">
        <v>355</v>
      </c>
      <c r="P27396" s="5" t="s">
        <v>355</v>
      </c>
      <c r="Q27396" s="5" t="s">
        <v>355</v>
      </c>
    </row>
    <row r="27397" ht="16.5" customHeight="1">
      <c r="O27397" s="5" t="s">
        <v>355</v>
      </c>
      <c r="P27397" s="5" t="s">
        <v>355</v>
      </c>
      <c r="Q27397" s="5" t="s">
        <v>355</v>
      </c>
    </row>
    <row r="27398" ht="16.5" customHeight="1">
      <c r="O27398" s="5" t="s">
        <v>355</v>
      </c>
      <c r="P27398" s="5" t="s">
        <v>355</v>
      </c>
      <c r="Q27398" s="5" t="s">
        <v>355</v>
      </c>
    </row>
    <row r="27399" ht="16.5" customHeight="1">
      <c r="O27399" s="5" t="s">
        <v>355</v>
      </c>
      <c r="P27399" s="5" t="s">
        <v>355</v>
      </c>
      <c r="Q27399" s="5" t="s">
        <v>355</v>
      </c>
    </row>
    <row r="27400" ht="16.5" customHeight="1">
      <c r="O27400" s="5" t="s">
        <v>355</v>
      </c>
      <c r="P27400" s="5" t="s">
        <v>355</v>
      </c>
      <c r="Q27400" s="5" t="s">
        <v>355</v>
      </c>
    </row>
    <row r="27401" ht="16.5" customHeight="1">
      <c r="O27401" s="5" t="s">
        <v>355</v>
      </c>
      <c r="P27401" s="5" t="s">
        <v>355</v>
      </c>
      <c r="Q27401" s="5" t="s">
        <v>355</v>
      </c>
    </row>
    <row r="27402" ht="16.5" customHeight="1">
      <c r="O27402" s="5" t="s">
        <v>355</v>
      </c>
      <c r="P27402" s="5" t="s">
        <v>355</v>
      </c>
      <c r="Q27402" s="5" t="s">
        <v>355</v>
      </c>
    </row>
    <row r="27403" ht="16.5" customHeight="1">
      <c r="O27403" s="5" t="s">
        <v>355</v>
      </c>
      <c r="P27403" s="5" t="s">
        <v>355</v>
      </c>
      <c r="Q27403" s="5" t="s">
        <v>355</v>
      </c>
    </row>
    <row r="27404" ht="16.5" customHeight="1">
      <c r="O27404" s="5" t="s">
        <v>355</v>
      </c>
      <c r="P27404" s="5" t="s">
        <v>355</v>
      </c>
      <c r="Q27404" s="5" t="s">
        <v>355</v>
      </c>
    </row>
    <row r="27405" ht="16.5" customHeight="1">
      <c r="O27405" s="5" t="s">
        <v>355</v>
      </c>
      <c r="P27405" s="5" t="s">
        <v>355</v>
      </c>
      <c r="Q27405" s="5" t="s">
        <v>355</v>
      </c>
    </row>
    <row r="27406" ht="16.5" customHeight="1">
      <c r="O27406" s="5" t="s">
        <v>355</v>
      </c>
      <c r="P27406" s="5" t="s">
        <v>355</v>
      </c>
      <c r="Q27406" s="5" t="s">
        <v>355</v>
      </c>
    </row>
    <row r="27407" ht="16.5" customHeight="1">
      <c r="O27407" s="5" t="s">
        <v>355</v>
      </c>
      <c r="P27407" s="5" t="s">
        <v>355</v>
      </c>
      <c r="Q27407" s="5" t="s">
        <v>355</v>
      </c>
    </row>
    <row r="27408" ht="16.5" customHeight="1">
      <c r="O27408" s="5" t="s">
        <v>355</v>
      </c>
      <c r="P27408" s="5" t="s">
        <v>355</v>
      </c>
      <c r="Q27408" s="5" t="s">
        <v>355</v>
      </c>
    </row>
    <row r="27409" ht="16.5" customHeight="1">
      <c r="O27409" s="5" t="s">
        <v>355</v>
      </c>
      <c r="P27409" s="5" t="s">
        <v>355</v>
      </c>
      <c r="Q27409" s="5" t="s">
        <v>355</v>
      </c>
    </row>
    <row r="27410" ht="16.5" customHeight="1">
      <c r="O27410" s="5" t="s">
        <v>355</v>
      </c>
      <c r="P27410" s="5" t="s">
        <v>355</v>
      </c>
      <c r="Q27410" s="5" t="s">
        <v>355</v>
      </c>
    </row>
    <row r="27411" ht="16.5" customHeight="1">
      <c r="O27411" s="5" t="s">
        <v>355</v>
      </c>
      <c r="P27411" s="5" t="s">
        <v>355</v>
      </c>
      <c r="Q27411" s="5" t="s">
        <v>355</v>
      </c>
    </row>
    <row r="27412" ht="16.5" customHeight="1">
      <c r="O27412" s="5" t="s">
        <v>355</v>
      </c>
      <c r="P27412" s="5" t="s">
        <v>355</v>
      </c>
      <c r="Q27412" s="5" t="s">
        <v>355</v>
      </c>
    </row>
    <row r="27413" ht="16.5" customHeight="1">
      <c r="O27413" s="5" t="s">
        <v>355</v>
      </c>
      <c r="P27413" s="5" t="s">
        <v>355</v>
      </c>
      <c r="Q27413" s="5" t="s">
        <v>355</v>
      </c>
    </row>
    <row r="27414" ht="16.5" customHeight="1">
      <c r="O27414" s="5" t="s">
        <v>355</v>
      </c>
      <c r="P27414" s="5" t="s">
        <v>355</v>
      </c>
      <c r="Q27414" s="5" t="s">
        <v>355</v>
      </c>
    </row>
    <row r="27415" ht="16.5" customHeight="1">
      <c r="O27415" s="5" t="s">
        <v>355</v>
      </c>
      <c r="P27415" s="5" t="s">
        <v>355</v>
      </c>
      <c r="Q27415" s="5" t="s">
        <v>355</v>
      </c>
    </row>
    <row r="27416" ht="16.5" customHeight="1">
      <c r="O27416" s="5" t="s">
        <v>355</v>
      </c>
      <c r="P27416" s="5" t="s">
        <v>355</v>
      </c>
      <c r="Q27416" s="5" t="s">
        <v>355</v>
      </c>
    </row>
    <row r="27417" ht="16.5" customHeight="1">
      <c r="O27417" s="5" t="s">
        <v>355</v>
      </c>
      <c r="P27417" s="5" t="s">
        <v>355</v>
      </c>
      <c r="Q27417" s="5" t="s">
        <v>355</v>
      </c>
    </row>
    <row r="27418" ht="16.5" customHeight="1">
      <c r="O27418" s="5" t="s">
        <v>355</v>
      </c>
      <c r="P27418" s="5" t="s">
        <v>355</v>
      </c>
      <c r="Q27418" s="5" t="s">
        <v>355</v>
      </c>
    </row>
    <row r="27419" ht="16.5" customHeight="1">
      <c r="O27419" s="5" t="s">
        <v>355</v>
      </c>
      <c r="P27419" s="5" t="s">
        <v>355</v>
      </c>
      <c r="Q27419" s="5" t="s">
        <v>355</v>
      </c>
    </row>
    <row r="27420" ht="16.5" customHeight="1">
      <c r="O27420" s="5" t="s">
        <v>355</v>
      </c>
      <c r="P27420" s="5" t="s">
        <v>355</v>
      </c>
      <c r="Q27420" s="5" t="s">
        <v>355</v>
      </c>
    </row>
    <row r="27421" ht="16.5" customHeight="1">
      <c r="O27421" s="5" t="s">
        <v>355</v>
      </c>
      <c r="P27421" s="5" t="s">
        <v>355</v>
      </c>
      <c r="Q27421" s="5" t="s">
        <v>355</v>
      </c>
    </row>
    <row r="27422" ht="16.5" customHeight="1">
      <c r="O27422" s="5" t="s">
        <v>355</v>
      </c>
      <c r="P27422" s="5" t="s">
        <v>355</v>
      </c>
      <c r="Q27422" s="5" t="s">
        <v>355</v>
      </c>
    </row>
    <row r="27423" ht="16.5" customHeight="1">
      <c r="O27423" s="5" t="s">
        <v>355</v>
      </c>
      <c r="P27423" s="5" t="s">
        <v>355</v>
      </c>
      <c r="Q27423" s="5" t="s">
        <v>355</v>
      </c>
    </row>
    <row r="27424" ht="16.5" customHeight="1">
      <c r="O27424" s="5" t="s">
        <v>355</v>
      </c>
      <c r="P27424" s="5" t="s">
        <v>355</v>
      </c>
      <c r="Q27424" s="5" t="s">
        <v>355</v>
      </c>
    </row>
    <row r="27425" ht="16.5" customHeight="1">
      <c r="O27425" s="5" t="s">
        <v>355</v>
      </c>
      <c r="P27425" s="5" t="s">
        <v>355</v>
      </c>
      <c r="Q27425" s="5" t="s">
        <v>355</v>
      </c>
    </row>
    <row r="27426" ht="16.5" customHeight="1">
      <c r="O27426" s="5" t="s">
        <v>355</v>
      </c>
      <c r="P27426" s="5" t="s">
        <v>355</v>
      </c>
      <c r="Q27426" s="5" t="s">
        <v>355</v>
      </c>
    </row>
    <row r="27427" ht="16.5" customHeight="1">
      <c r="O27427" s="5" t="s">
        <v>355</v>
      </c>
      <c r="P27427" s="5" t="s">
        <v>355</v>
      </c>
      <c r="Q27427" s="5" t="s">
        <v>355</v>
      </c>
    </row>
    <row r="27428" ht="16.5" customHeight="1">
      <c r="O27428" s="5" t="s">
        <v>355</v>
      </c>
      <c r="P27428" s="5" t="s">
        <v>355</v>
      </c>
      <c r="Q27428" s="5" t="s">
        <v>355</v>
      </c>
    </row>
    <row r="27429" ht="16.5" customHeight="1">
      <c r="O27429" s="5" t="s">
        <v>355</v>
      </c>
      <c r="P27429" s="5" t="s">
        <v>355</v>
      </c>
      <c r="Q27429" s="5" t="s">
        <v>355</v>
      </c>
    </row>
    <row r="27430" ht="16.5" customHeight="1">
      <c r="O27430" s="5" t="s">
        <v>355</v>
      </c>
      <c r="P27430" s="5" t="s">
        <v>355</v>
      </c>
      <c r="Q27430" s="5" t="s">
        <v>355</v>
      </c>
    </row>
    <row r="27431" ht="16.5" customHeight="1">
      <c r="O27431" s="5" t="s">
        <v>355</v>
      </c>
      <c r="P27431" s="5" t="s">
        <v>355</v>
      </c>
      <c r="Q27431" s="5" t="s">
        <v>355</v>
      </c>
    </row>
    <row r="27432" ht="16.5" customHeight="1">
      <c r="O27432" s="5" t="s">
        <v>355</v>
      </c>
      <c r="P27432" s="5" t="s">
        <v>355</v>
      </c>
      <c r="Q27432" s="5" t="s">
        <v>355</v>
      </c>
    </row>
    <row r="27433" ht="16.5" customHeight="1">
      <c r="O27433" s="5" t="s">
        <v>355</v>
      </c>
      <c r="P27433" s="5" t="s">
        <v>355</v>
      </c>
      <c r="Q27433" s="5" t="s">
        <v>355</v>
      </c>
    </row>
    <row r="27434" ht="16.5" customHeight="1">
      <c r="O27434" s="5" t="s">
        <v>355</v>
      </c>
      <c r="P27434" s="5" t="s">
        <v>355</v>
      </c>
      <c r="Q27434" s="5" t="s">
        <v>355</v>
      </c>
    </row>
    <row r="27435" ht="16.5" customHeight="1">
      <c r="O27435" s="5" t="s">
        <v>355</v>
      </c>
      <c r="P27435" s="5" t="s">
        <v>355</v>
      </c>
      <c r="Q27435" s="5" t="s">
        <v>355</v>
      </c>
    </row>
    <row r="27436" ht="16.5" customHeight="1">
      <c r="O27436" s="5" t="s">
        <v>355</v>
      </c>
      <c r="P27436" s="5" t="s">
        <v>355</v>
      </c>
      <c r="Q27436" s="5" t="s">
        <v>355</v>
      </c>
    </row>
    <row r="27437" ht="16.5" customHeight="1">
      <c r="O27437" s="5" t="s">
        <v>355</v>
      </c>
      <c r="P27437" s="5" t="s">
        <v>355</v>
      </c>
      <c r="Q27437" s="5" t="s">
        <v>355</v>
      </c>
    </row>
    <row r="27438" ht="16.5" customHeight="1">
      <c r="O27438" s="5" t="s">
        <v>355</v>
      </c>
      <c r="P27438" s="5" t="s">
        <v>355</v>
      </c>
      <c r="Q27438" s="5" t="s">
        <v>355</v>
      </c>
    </row>
    <row r="27439" ht="16.5" customHeight="1">
      <c r="O27439" s="5" t="s">
        <v>355</v>
      </c>
      <c r="P27439" s="5" t="s">
        <v>355</v>
      </c>
      <c r="Q27439" s="5" t="s">
        <v>355</v>
      </c>
    </row>
    <row r="27440" ht="16.5" customHeight="1">
      <c r="O27440" s="5" t="s">
        <v>355</v>
      </c>
      <c r="P27440" s="5" t="s">
        <v>355</v>
      </c>
      <c r="Q27440" s="5" t="s">
        <v>355</v>
      </c>
    </row>
    <row r="27441" ht="16.5" customHeight="1">
      <c r="O27441" s="5" t="s">
        <v>355</v>
      </c>
      <c r="P27441" s="5" t="s">
        <v>355</v>
      </c>
      <c r="Q27441" s="5" t="s">
        <v>355</v>
      </c>
    </row>
    <row r="27442" ht="16.5" customHeight="1">
      <c r="O27442" s="5" t="s">
        <v>355</v>
      </c>
      <c r="P27442" s="5" t="s">
        <v>355</v>
      </c>
      <c r="Q27442" s="5" t="s">
        <v>355</v>
      </c>
    </row>
    <row r="27443" ht="16.5" customHeight="1">
      <c r="O27443" s="5" t="s">
        <v>355</v>
      </c>
      <c r="P27443" s="5" t="s">
        <v>355</v>
      </c>
      <c r="Q27443" s="5" t="s">
        <v>355</v>
      </c>
    </row>
    <row r="27444" ht="16.5" customHeight="1">
      <c r="O27444" s="5" t="s">
        <v>355</v>
      </c>
      <c r="P27444" s="5" t="s">
        <v>355</v>
      </c>
      <c r="Q27444" s="5" t="s">
        <v>355</v>
      </c>
    </row>
    <row r="27445" ht="16.5" customHeight="1">
      <c r="O27445" s="5" t="s">
        <v>355</v>
      </c>
      <c r="P27445" s="5" t="s">
        <v>355</v>
      </c>
      <c r="Q27445" s="5" t="s">
        <v>355</v>
      </c>
    </row>
    <row r="27446" ht="16.5" customHeight="1">
      <c r="O27446" s="5" t="s">
        <v>355</v>
      </c>
      <c r="P27446" s="5" t="s">
        <v>355</v>
      </c>
      <c r="Q27446" s="5" t="s">
        <v>355</v>
      </c>
    </row>
    <row r="27447" ht="16.5" customHeight="1">
      <c r="O27447" s="5" t="s">
        <v>355</v>
      </c>
      <c r="P27447" s="5" t="s">
        <v>355</v>
      </c>
      <c r="Q27447" s="5" t="s">
        <v>355</v>
      </c>
    </row>
    <row r="27448" ht="16.5" customHeight="1">
      <c r="O27448" s="5" t="s">
        <v>355</v>
      </c>
      <c r="P27448" s="5" t="s">
        <v>355</v>
      </c>
      <c r="Q27448" s="5" t="s">
        <v>355</v>
      </c>
    </row>
    <row r="27449" ht="16.5" customHeight="1">
      <c r="O27449" s="5" t="s">
        <v>355</v>
      </c>
      <c r="P27449" s="5" t="s">
        <v>355</v>
      </c>
      <c r="Q27449" s="5" t="s">
        <v>355</v>
      </c>
    </row>
    <row r="27450" ht="16.5" customHeight="1">
      <c r="O27450" s="5" t="s">
        <v>355</v>
      </c>
      <c r="P27450" s="5" t="s">
        <v>355</v>
      </c>
      <c r="Q27450" s="5" t="s">
        <v>355</v>
      </c>
    </row>
    <row r="27451" ht="16.5" customHeight="1">
      <c r="O27451" s="5" t="s">
        <v>355</v>
      </c>
      <c r="P27451" s="5" t="s">
        <v>355</v>
      </c>
      <c r="Q27451" s="5" t="s">
        <v>355</v>
      </c>
    </row>
    <row r="27452" ht="16.5" customHeight="1">
      <c r="O27452" s="5" t="s">
        <v>355</v>
      </c>
      <c r="P27452" s="5" t="s">
        <v>355</v>
      </c>
      <c r="Q27452" s="5" t="s">
        <v>355</v>
      </c>
    </row>
    <row r="27453" ht="16.5" customHeight="1">
      <c r="O27453" s="5" t="s">
        <v>355</v>
      </c>
      <c r="P27453" s="5" t="s">
        <v>355</v>
      </c>
      <c r="Q27453" s="5" t="s">
        <v>355</v>
      </c>
    </row>
    <row r="27454" ht="16.5" customHeight="1">
      <c r="O27454" s="5" t="s">
        <v>355</v>
      </c>
      <c r="P27454" s="5" t="s">
        <v>355</v>
      </c>
      <c r="Q27454" s="5" t="s">
        <v>355</v>
      </c>
    </row>
    <row r="27455" ht="16.5" customHeight="1">
      <c r="O27455" s="5" t="s">
        <v>355</v>
      </c>
      <c r="P27455" s="5" t="s">
        <v>355</v>
      </c>
      <c r="Q27455" s="5" t="s">
        <v>355</v>
      </c>
    </row>
    <row r="27456" ht="16.5" customHeight="1">
      <c r="O27456" s="5" t="s">
        <v>355</v>
      </c>
      <c r="P27456" s="5" t="s">
        <v>355</v>
      </c>
      <c r="Q27456" s="5" t="s">
        <v>355</v>
      </c>
    </row>
    <row r="27457" ht="16.5" customHeight="1">
      <c r="O27457" s="5" t="s">
        <v>355</v>
      </c>
      <c r="P27457" s="5" t="s">
        <v>355</v>
      </c>
      <c r="Q27457" s="5" t="s">
        <v>355</v>
      </c>
    </row>
    <row r="27458" ht="16.5" customHeight="1">
      <c r="O27458" s="5" t="s">
        <v>355</v>
      </c>
      <c r="P27458" s="5" t="s">
        <v>355</v>
      </c>
      <c r="Q27458" s="5" t="s">
        <v>355</v>
      </c>
    </row>
    <row r="27459" ht="16.5" customHeight="1">
      <c r="O27459" s="5" t="s">
        <v>355</v>
      </c>
      <c r="P27459" s="5" t="s">
        <v>355</v>
      </c>
      <c r="Q27459" s="5" t="s">
        <v>355</v>
      </c>
    </row>
    <row r="27460" ht="16.5" customHeight="1">
      <c r="O27460" s="5" t="s">
        <v>355</v>
      </c>
      <c r="P27460" s="5" t="s">
        <v>355</v>
      </c>
      <c r="Q27460" s="5" t="s">
        <v>355</v>
      </c>
    </row>
    <row r="27461" ht="16.5" customHeight="1">
      <c r="O27461" s="5" t="s">
        <v>355</v>
      </c>
      <c r="P27461" s="5" t="s">
        <v>355</v>
      </c>
      <c r="Q27461" s="5" t="s">
        <v>355</v>
      </c>
    </row>
    <row r="27462" ht="16.5" customHeight="1">
      <c r="O27462" s="5" t="s">
        <v>355</v>
      </c>
      <c r="P27462" s="5" t="s">
        <v>355</v>
      </c>
      <c r="Q27462" s="5" t="s">
        <v>355</v>
      </c>
    </row>
    <row r="27463" ht="16.5" customHeight="1">
      <c r="O27463" s="5" t="s">
        <v>355</v>
      </c>
      <c r="P27463" s="5" t="s">
        <v>355</v>
      </c>
      <c r="Q27463" s="5" t="s">
        <v>355</v>
      </c>
    </row>
    <row r="27464" ht="16.5" customHeight="1">
      <c r="O27464" s="5" t="s">
        <v>355</v>
      </c>
      <c r="P27464" s="5" t="s">
        <v>355</v>
      </c>
      <c r="Q27464" s="5" t="s">
        <v>355</v>
      </c>
    </row>
    <row r="27465" ht="16.5" customHeight="1">
      <c r="O27465" s="5" t="s">
        <v>355</v>
      </c>
      <c r="P27465" s="5" t="s">
        <v>355</v>
      </c>
      <c r="Q27465" s="5" t="s">
        <v>355</v>
      </c>
    </row>
    <row r="27466" ht="16.5" customHeight="1">
      <c r="O27466" s="5" t="s">
        <v>355</v>
      </c>
      <c r="P27466" s="5" t="s">
        <v>355</v>
      </c>
      <c r="Q27466" s="5" t="s">
        <v>355</v>
      </c>
    </row>
    <row r="27467" ht="16.5" customHeight="1">
      <c r="O27467" s="5" t="s">
        <v>355</v>
      </c>
      <c r="P27467" s="5" t="s">
        <v>355</v>
      </c>
      <c r="Q27467" s="5" t="s">
        <v>355</v>
      </c>
    </row>
    <row r="27468" ht="16.5" customHeight="1">
      <c r="O27468" s="5" t="s">
        <v>355</v>
      </c>
      <c r="P27468" s="5" t="s">
        <v>355</v>
      </c>
      <c r="Q27468" s="5" t="s">
        <v>355</v>
      </c>
    </row>
    <row r="27469" ht="16.5" customHeight="1">
      <c r="O27469" s="5" t="s">
        <v>355</v>
      </c>
      <c r="P27469" s="5" t="s">
        <v>355</v>
      </c>
      <c r="Q27469" s="5" t="s">
        <v>355</v>
      </c>
    </row>
    <row r="27470" ht="16.5" customHeight="1">
      <c r="O27470" s="5" t="s">
        <v>355</v>
      </c>
      <c r="P27470" s="5" t="s">
        <v>355</v>
      </c>
      <c r="Q27470" s="5" t="s">
        <v>355</v>
      </c>
    </row>
    <row r="27471" ht="16.5" customHeight="1">
      <c r="O27471" s="5" t="s">
        <v>355</v>
      </c>
      <c r="P27471" s="5" t="s">
        <v>355</v>
      </c>
      <c r="Q27471" s="5" t="s">
        <v>355</v>
      </c>
    </row>
    <row r="27472" ht="16.5" customHeight="1">
      <c r="O27472" s="5" t="s">
        <v>355</v>
      </c>
      <c r="P27472" s="5" t="s">
        <v>355</v>
      </c>
      <c r="Q27472" s="5" t="s">
        <v>355</v>
      </c>
    </row>
    <row r="27473" ht="16.5" customHeight="1">
      <c r="O27473" s="5" t="s">
        <v>355</v>
      </c>
      <c r="P27473" s="5" t="s">
        <v>355</v>
      </c>
      <c r="Q27473" s="5" t="s">
        <v>355</v>
      </c>
    </row>
    <row r="27474" ht="16.5" customHeight="1">
      <c r="O27474" s="5" t="s">
        <v>355</v>
      </c>
      <c r="P27474" s="5" t="s">
        <v>355</v>
      </c>
      <c r="Q27474" s="5" t="s">
        <v>355</v>
      </c>
    </row>
    <row r="27475" ht="16.5" customHeight="1">
      <c r="O27475" s="5" t="s">
        <v>355</v>
      </c>
      <c r="P27475" s="5" t="s">
        <v>355</v>
      </c>
      <c r="Q27475" s="5" t="s">
        <v>355</v>
      </c>
    </row>
    <row r="27476" ht="16.5" customHeight="1">
      <c r="O27476" s="5" t="s">
        <v>355</v>
      </c>
      <c r="P27476" s="5" t="s">
        <v>355</v>
      </c>
      <c r="Q27476" s="5" t="s">
        <v>355</v>
      </c>
    </row>
    <row r="27477" ht="16.5" customHeight="1">
      <c r="O27477" s="5" t="s">
        <v>355</v>
      </c>
      <c r="P27477" s="5" t="s">
        <v>355</v>
      </c>
      <c r="Q27477" s="5" t="s">
        <v>355</v>
      </c>
    </row>
    <row r="27478" ht="16.5" customHeight="1">
      <c r="O27478" s="5" t="s">
        <v>355</v>
      </c>
      <c r="P27478" s="5" t="s">
        <v>355</v>
      </c>
      <c r="Q27478" s="5" t="s">
        <v>355</v>
      </c>
    </row>
    <row r="27479" ht="16.5" customHeight="1">
      <c r="O27479" s="5" t="s">
        <v>355</v>
      </c>
      <c r="P27479" s="5" t="s">
        <v>355</v>
      </c>
      <c r="Q27479" s="5" t="s">
        <v>355</v>
      </c>
    </row>
    <row r="27480" ht="16.5" customHeight="1">
      <c r="O27480" s="5" t="s">
        <v>355</v>
      </c>
      <c r="P27480" s="5" t="s">
        <v>355</v>
      </c>
      <c r="Q27480" s="5" t="s">
        <v>355</v>
      </c>
    </row>
    <row r="27481" ht="16.5" customHeight="1">
      <c r="O27481" s="5" t="s">
        <v>355</v>
      </c>
      <c r="P27481" s="5" t="s">
        <v>355</v>
      </c>
      <c r="Q27481" s="5" t="s">
        <v>355</v>
      </c>
    </row>
    <row r="27482" ht="16.5" customHeight="1">
      <c r="O27482" s="5" t="s">
        <v>355</v>
      </c>
      <c r="P27482" s="5" t="s">
        <v>355</v>
      </c>
      <c r="Q27482" s="5" t="s">
        <v>355</v>
      </c>
    </row>
    <row r="27483" ht="16.5" customHeight="1">
      <c r="O27483" s="5" t="s">
        <v>355</v>
      </c>
      <c r="P27483" s="5" t="s">
        <v>355</v>
      </c>
      <c r="Q27483" s="5" t="s">
        <v>355</v>
      </c>
    </row>
    <row r="27484" ht="16.5" customHeight="1">
      <c r="O27484" s="5" t="s">
        <v>355</v>
      </c>
      <c r="P27484" s="5" t="s">
        <v>355</v>
      </c>
      <c r="Q27484" s="5" t="s">
        <v>355</v>
      </c>
    </row>
    <row r="27485" ht="16.5" customHeight="1">
      <c r="O27485" s="5" t="s">
        <v>355</v>
      </c>
      <c r="P27485" s="5" t="s">
        <v>355</v>
      </c>
      <c r="Q27485" s="5" t="s">
        <v>355</v>
      </c>
    </row>
    <row r="27486" ht="16.5" customHeight="1">
      <c r="O27486" s="5" t="s">
        <v>355</v>
      </c>
      <c r="P27486" s="5" t="s">
        <v>355</v>
      </c>
      <c r="Q27486" s="5" t="s">
        <v>355</v>
      </c>
    </row>
    <row r="27487" ht="16.5" customHeight="1">
      <c r="O27487" s="5" t="s">
        <v>355</v>
      </c>
      <c r="P27487" s="5" t="s">
        <v>355</v>
      </c>
      <c r="Q27487" s="5" t="s">
        <v>355</v>
      </c>
    </row>
    <row r="27488" ht="16.5" customHeight="1">
      <c r="O27488" s="5" t="s">
        <v>355</v>
      </c>
      <c r="P27488" s="5" t="s">
        <v>355</v>
      </c>
      <c r="Q27488" s="5" t="s">
        <v>355</v>
      </c>
    </row>
    <row r="27489" ht="16.5" customHeight="1">
      <c r="O27489" s="5" t="s">
        <v>355</v>
      </c>
      <c r="P27489" s="5" t="s">
        <v>355</v>
      </c>
      <c r="Q27489" s="5" t="s">
        <v>355</v>
      </c>
    </row>
    <row r="27490" ht="16.5" customHeight="1">
      <c r="O27490" s="5" t="s">
        <v>355</v>
      </c>
      <c r="P27490" s="5" t="s">
        <v>355</v>
      </c>
      <c r="Q27490" s="5" t="s">
        <v>355</v>
      </c>
    </row>
    <row r="27491" ht="16.5" customHeight="1">
      <c r="O27491" s="5" t="s">
        <v>355</v>
      </c>
      <c r="P27491" s="5" t="s">
        <v>355</v>
      </c>
      <c r="Q27491" s="5" t="s">
        <v>355</v>
      </c>
    </row>
    <row r="27492" ht="16.5" customHeight="1">
      <c r="O27492" s="5" t="s">
        <v>355</v>
      </c>
      <c r="P27492" s="5" t="s">
        <v>355</v>
      </c>
      <c r="Q27492" s="5" t="s">
        <v>355</v>
      </c>
    </row>
    <row r="27493" ht="16.5" customHeight="1">
      <c r="O27493" s="5" t="s">
        <v>355</v>
      </c>
      <c r="P27493" s="5" t="s">
        <v>355</v>
      </c>
      <c r="Q27493" s="5" t="s">
        <v>355</v>
      </c>
    </row>
    <row r="27494" ht="16.5" customHeight="1">
      <c r="O27494" s="5" t="s">
        <v>355</v>
      </c>
      <c r="P27494" s="5" t="s">
        <v>355</v>
      </c>
      <c r="Q27494" s="5" t="s">
        <v>355</v>
      </c>
    </row>
    <row r="27495" ht="16.5" customHeight="1">
      <c r="O27495" s="5" t="s">
        <v>355</v>
      </c>
      <c r="P27495" s="5" t="s">
        <v>355</v>
      </c>
      <c r="Q27495" s="5" t="s">
        <v>355</v>
      </c>
    </row>
    <row r="27496" ht="16.5" customHeight="1">
      <c r="O27496" s="5" t="s">
        <v>355</v>
      </c>
      <c r="P27496" s="5" t="s">
        <v>355</v>
      </c>
      <c r="Q27496" s="5" t="s">
        <v>355</v>
      </c>
    </row>
    <row r="27497" ht="16.5" customHeight="1">
      <c r="O27497" s="5" t="s">
        <v>355</v>
      </c>
      <c r="P27497" s="5" t="s">
        <v>355</v>
      </c>
      <c r="Q27497" s="5" t="s">
        <v>355</v>
      </c>
    </row>
    <row r="27498" ht="16.5" customHeight="1">
      <c r="O27498" s="5" t="s">
        <v>355</v>
      </c>
      <c r="P27498" s="5" t="s">
        <v>355</v>
      </c>
      <c r="Q27498" s="5" t="s">
        <v>355</v>
      </c>
    </row>
    <row r="27499" ht="16.5" customHeight="1">
      <c r="O27499" s="5" t="s">
        <v>355</v>
      </c>
      <c r="P27499" s="5" t="s">
        <v>355</v>
      </c>
      <c r="Q27499" s="5" t="s">
        <v>355</v>
      </c>
    </row>
    <row r="27500" ht="16.5" customHeight="1">
      <c r="O27500" s="5" t="s">
        <v>355</v>
      </c>
      <c r="P27500" s="5" t="s">
        <v>355</v>
      </c>
      <c r="Q27500" s="5" t="s">
        <v>355</v>
      </c>
    </row>
    <row r="27501" ht="16.5" customHeight="1">
      <c r="O27501" s="5" t="s">
        <v>355</v>
      </c>
      <c r="P27501" s="5" t="s">
        <v>355</v>
      </c>
      <c r="Q27501" s="5" t="s">
        <v>355</v>
      </c>
    </row>
    <row r="27502" ht="16.5" customHeight="1">
      <c r="O27502" s="5" t="s">
        <v>355</v>
      </c>
      <c r="P27502" s="5" t="s">
        <v>355</v>
      </c>
      <c r="Q27502" s="5" t="s">
        <v>355</v>
      </c>
    </row>
    <row r="27503" ht="16.5" customHeight="1">
      <c r="O27503" s="5" t="s">
        <v>355</v>
      </c>
      <c r="P27503" s="5" t="s">
        <v>355</v>
      </c>
      <c r="Q27503" s="5" t="s">
        <v>355</v>
      </c>
    </row>
    <row r="27504" ht="16.5" customHeight="1">
      <c r="O27504" s="5" t="s">
        <v>355</v>
      </c>
      <c r="P27504" s="5" t="s">
        <v>355</v>
      </c>
      <c r="Q27504" s="5" t="s">
        <v>355</v>
      </c>
    </row>
    <row r="27505" ht="16.5" customHeight="1">
      <c r="O27505" s="5" t="s">
        <v>355</v>
      </c>
      <c r="P27505" s="5" t="s">
        <v>355</v>
      </c>
      <c r="Q27505" s="5" t="s">
        <v>355</v>
      </c>
    </row>
    <row r="27506" ht="16.5" customHeight="1">
      <c r="O27506" s="5" t="s">
        <v>355</v>
      </c>
      <c r="P27506" s="5" t="s">
        <v>355</v>
      </c>
      <c r="Q27506" s="5" t="s">
        <v>355</v>
      </c>
    </row>
    <row r="27507" ht="16.5" customHeight="1">
      <c r="O27507" s="5" t="s">
        <v>355</v>
      </c>
      <c r="P27507" s="5" t="s">
        <v>355</v>
      </c>
      <c r="Q27507" s="5" t="s">
        <v>355</v>
      </c>
    </row>
    <row r="27508" ht="16.5" customHeight="1">
      <c r="O27508" s="5" t="s">
        <v>355</v>
      </c>
      <c r="P27508" s="5" t="s">
        <v>355</v>
      </c>
      <c r="Q27508" s="5" t="s">
        <v>355</v>
      </c>
    </row>
    <row r="27509" ht="16.5" customHeight="1">
      <c r="O27509" s="5" t="s">
        <v>355</v>
      </c>
      <c r="P27509" s="5" t="s">
        <v>355</v>
      </c>
      <c r="Q27509" s="5" t="s">
        <v>355</v>
      </c>
    </row>
    <row r="27510" ht="16.5" customHeight="1">
      <c r="O27510" s="5" t="s">
        <v>355</v>
      </c>
      <c r="P27510" s="5" t="s">
        <v>355</v>
      </c>
      <c r="Q27510" s="5" t="s">
        <v>355</v>
      </c>
    </row>
    <row r="27511" ht="16.5" customHeight="1">
      <c r="O27511" s="5" t="s">
        <v>355</v>
      </c>
      <c r="P27511" s="5" t="s">
        <v>355</v>
      </c>
      <c r="Q27511" s="5" t="s">
        <v>355</v>
      </c>
    </row>
    <row r="27512" ht="16.5" customHeight="1">
      <c r="O27512" s="5" t="s">
        <v>355</v>
      </c>
      <c r="P27512" s="5" t="s">
        <v>355</v>
      </c>
      <c r="Q27512" s="5" t="s">
        <v>355</v>
      </c>
    </row>
    <row r="27513" ht="16.5" customHeight="1">
      <c r="O27513" s="5" t="s">
        <v>355</v>
      </c>
      <c r="P27513" s="5" t="s">
        <v>355</v>
      </c>
      <c r="Q27513" s="5" t="s">
        <v>355</v>
      </c>
    </row>
    <row r="27514" ht="16.5" customHeight="1">
      <c r="O27514" s="5" t="s">
        <v>355</v>
      </c>
      <c r="P27514" s="5" t="s">
        <v>355</v>
      </c>
      <c r="Q27514" s="5" t="s">
        <v>355</v>
      </c>
    </row>
    <row r="27515" ht="16.5" customHeight="1">
      <c r="O27515" s="5" t="s">
        <v>355</v>
      </c>
      <c r="P27515" s="5" t="s">
        <v>355</v>
      </c>
      <c r="Q27515" s="5" t="s">
        <v>355</v>
      </c>
    </row>
    <row r="27516" ht="16.5" customHeight="1">
      <c r="O27516" s="5" t="s">
        <v>355</v>
      </c>
      <c r="P27516" s="5" t="s">
        <v>355</v>
      </c>
      <c r="Q27516" s="5" t="s">
        <v>355</v>
      </c>
    </row>
    <row r="27517" ht="16.5" customHeight="1">
      <c r="O27517" s="5" t="s">
        <v>355</v>
      </c>
      <c r="P27517" s="5" t="s">
        <v>355</v>
      </c>
      <c r="Q27517" s="5" t="s">
        <v>355</v>
      </c>
    </row>
    <row r="27518" ht="16.5" customHeight="1">
      <c r="O27518" s="5" t="s">
        <v>355</v>
      </c>
      <c r="P27518" s="5" t="s">
        <v>355</v>
      </c>
      <c r="Q27518" s="5" t="s">
        <v>355</v>
      </c>
    </row>
    <row r="27519" ht="16.5" customHeight="1">
      <c r="O27519" s="5" t="s">
        <v>355</v>
      </c>
      <c r="P27519" s="5" t="s">
        <v>355</v>
      </c>
      <c r="Q27519" s="5" t="s">
        <v>355</v>
      </c>
    </row>
    <row r="27520" ht="16.5" customHeight="1">
      <c r="O27520" s="5" t="s">
        <v>355</v>
      </c>
      <c r="P27520" s="5" t="s">
        <v>355</v>
      </c>
      <c r="Q27520" s="5" t="s">
        <v>355</v>
      </c>
    </row>
    <row r="27521" ht="16.5" customHeight="1">
      <c r="O27521" s="5" t="s">
        <v>355</v>
      </c>
      <c r="P27521" s="5" t="s">
        <v>355</v>
      </c>
      <c r="Q27521" s="5" t="s">
        <v>355</v>
      </c>
    </row>
    <row r="27522" ht="16.5" customHeight="1">
      <c r="O27522" s="5" t="s">
        <v>355</v>
      </c>
      <c r="P27522" s="5" t="s">
        <v>355</v>
      </c>
      <c r="Q27522" s="5" t="s">
        <v>355</v>
      </c>
    </row>
    <row r="27523" ht="16.5" customHeight="1">
      <c r="O27523" s="5" t="s">
        <v>355</v>
      </c>
      <c r="P27523" s="5" t="s">
        <v>355</v>
      </c>
      <c r="Q27523" s="5" t="s">
        <v>355</v>
      </c>
    </row>
    <row r="27524" ht="16.5" customHeight="1">
      <c r="O27524" s="5" t="s">
        <v>355</v>
      </c>
      <c r="P27524" s="5" t="s">
        <v>355</v>
      </c>
      <c r="Q27524" s="5" t="s">
        <v>355</v>
      </c>
    </row>
    <row r="27525" ht="16.5" customHeight="1">
      <c r="O27525" s="5" t="s">
        <v>355</v>
      </c>
      <c r="P27525" s="5" t="s">
        <v>355</v>
      </c>
      <c r="Q27525" s="5" t="s">
        <v>355</v>
      </c>
    </row>
    <row r="27526" ht="16.5" customHeight="1">
      <c r="O27526" s="5" t="s">
        <v>355</v>
      </c>
      <c r="P27526" s="5" t="s">
        <v>355</v>
      </c>
      <c r="Q27526" s="5" t="s">
        <v>355</v>
      </c>
    </row>
    <row r="27527" ht="16.5" customHeight="1">
      <c r="O27527" s="5" t="s">
        <v>355</v>
      </c>
      <c r="P27527" s="5" t="s">
        <v>355</v>
      </c>
      <c r="Q27527" s="5" t="s">
        <v>355</v>
      </c>
    </row>
    <row r="27528" ht="16.5" customHeight="1">
      <c r="O27528" s="5" t="s">
        <v>355</v>
      </c>
      <c r="P27528" s="5" t="s">
        <v>355</v>
      </c>
      <c r="Q27528" s="5" t="s">
        <v>355</v>
      </c>
    </row>
    <row r="27529" ht="16.5" customHeight="1">
      <c r="O27529" s="5" t="s">
        <v>355</v>
      </c>
      <c r="P27529" s="5" t="s">
        <v>355</v>
      </c>
      <c r="Q27529" s="5" t="s">
        <v>355</v>
      </c>
    </row>
    <row r="27530" ht="16.5" customHeight="1">
      <c r="O27530" s="5" t="s">
        <v>355</v>
      </c>
      <c r="P27530" s="5" t="s">
        <v>355</v>
      </c>
      <c r="Q27530" s="5" t="s">
        <v>355</v>
      </c>
    </row>
    <row r="27531" ht="16.5" customHeight="1">
      <c r="O27531" s="5" t="s">
        <v>355</v>
      </c>
      <c r="P27531" s="5" t="s">
        <v>355</v>
      </c>
      <c r="Q27531" s="5" t="s">
        <v>355</v>
      </c>
    </row>
    <row r="27532" ht="16.5" customHeight="1">
      <c r="O27532" s="5" t="s">
        <v>355</v>
      </c>
      <c r="P27532" s="5" t="s">
        <v>355</v>
      </c>
      <c r="Q27532" s="5" t="s">
        <v>355</v>
      </c>
    </row>
    <row r="27533" ht="16.5" customHeight="1">
      <c r="O27533" s="5" t="s">
        <v>355</v>
      </c>
      <c r="P27533" s="5" t="s">
        <v>355</v>
      </c>
      <c r="Q27533" s="5" t="s">
        <v>355</v>
      </c>
    </row>
    <row r="27534" ht="16.5" customHeight="1">
      <c r="O27534" s="5" t="s">
        <v>355</v>
      </c>
      <c r="P27534" s="5" t="s">
        <v>355</v>
      </c>
      <c r="Q27534" s="5" t="s">
        <v>355</v>
      </c>
    </row>
    <row r="27535" ht="16.5" customHeight="1">
      <c r="O27535" s="5" t="s">
        <v>355</v>
      </c>
      <c r="P27535" s="5" t="s">
        <v>355</v>
      </c>
      <c r="Q27535" s="5" t="s">
        <v>355</v>
      </c>
    </row>
    <row r="27536" ht="16.5" customHeight="1">
      <c r="O27536" s="5" t="s">
        <v>355</v>
      </c>
      <c r="P27536" s="5" t="s">
        <v>355</v>
      </c>
      <c r="Q27536" s="5" t="s">
        <v>355</v>
      </c>
    </row>
    <row r="27537" ht="16.5" customHeight="1">
      <c r="O27537" s="5" t="s">
        <v>355</v>
      </c>
      <c r="P27537" s="5" t="s">
        <v>355</v>
      </c>
      <c r="Q27537" s="5" t="s">
        <v>355</v>
      </c>
    </row>
    <row r="27538" ht="16.5" customHeight="1">
      <c r="O27538" s="5" t="s">
        <v>355</v>
      </c>
      <c r="P27538" s="5" t="s">
        <v>355</v>
      </c>
      <c r="Q27538" s="5" t="s">
        <v>355</v>
      </c>
    </row>
    <row r="27539" ht="16.5" customHeight="1">
      <c r="O27539" s="5" t="s">
        <v>355</v>
      </c>
      <c r="P27539" s="5" t="s">
        <v>355</v>
      </c>
      <c r="Q27539" s="5" t="s">
        <v>355</v>
      </c>
    </row>
    <row r="27540" ht="16.5" customHeight="1">
      <c r="O27540" s="5" t="s">
        <v>355</v>
      </c>
      <c r="P27540" s="5" t="s">
        <v>355</v>
      </c>
      <c r="Q27540" s="5" t="s">
        <v>355</v>
      </c>
    </row>
    <row r="27541" ht="16.5" customHeight="1">
      <c r="O27541" s="5" t="s">
        <v>355</v>
      </c>
      <c r="P27541" s="5" t="s">
        <v>355</v>
      </c>
      <c r="Q27541" s="5" t="s">
        <v>355</v>
      </c>
    </row>
    <row r="27542" ht="16.5" customHeight="1">
      <c r="O27542" s="5" t="s">
        <v>355</v>
      </c>
      <c r="P27542" s="5" t="s">
        <v>355</v>
      </c>
      <c r="Q27542" s="5" t="s">
        <v>355</v>
      </c>
    </row>
    <row r="27543" ht="16.5" customHeight="1">
      <c r="O27543" s="5" t="s">
        <v>355</v>
      </c>
      <c r="P27543" s="5" t="s">
        <v>355</v>
      </c>
      <c r="Q27543" s="5" t="s">
        <v>355</v>
      </c>
    </row>
    <row r="27544" ht="16.5" customHeight="1">
      <c r="O27544" s="5" t="s">
        <v>355</v>
      </c>
      <c r="P27544" s="5" t="s">
        <v>355</v>
      </c>
      <c r="Q27544" s="5" t="s">
        <v>355</v>
      </c>
    </row>
    <row r="27545" ht="16.5" customHeight="1">
      <c r="O27545" s="5" t="s">
        <v>355</v>
      </c>
      <c r="P27545" s="5" t="s">
        <v>355</v>
      </c>
      <c r="Q27545" s="5" t="s">
        <v>355</v>
      </c>
    </row>
    <row r="27546" ht="16.5" customHeight="1">
      <c r="O27546" s="5" t="s">
        <v>355</v>
      </c>
      <c r="P27546" s="5" t="s">
        <v>355</v>
      </c>
      <c r="Q27546" s="5" t="s">
        <v>355</v>
      </c>
    </row>
    <row r="27547" ht="16.5" customHeight="1">
      <c r="O27547" s="5" t="s">
        <v>355</v>
      </c>
      <c r="P27547" s="5" t="s">
        <v>355</v>
      </c>
      <c r="Q27547" s="5" t="s">
        <v>355</v>
      </c>
    </row>
    <row r="27548" ht="16.5" customHeight="1">
      <c r="O27548" s="5" t="s">
        <v>355</v>
      </c>
      <c r="P27548" s="5" t="s">
        <v>355</v>
      </c>
      <c r="Q27548" s="5" t="s">
        <v>355</v>
      </c>
    </row>
    <row r="27549" ht="16.5" customHeight="1">
      <c r="O27549" s="5" t="s">
        <v>355</v>
      </c>
      <c r="P27549" s="5" t="s">
        <v>355</v>
      </c>
      <c r="Q27549" s="5" t="s">
        <v>355</v>
      </c>
    </row>
    <row r="27550" ht="16.5" customHeight="1">
      <c r="O27550" s="5" t="s">
        <v>355</v>
      </c>
      <c r="P27550" s="5" t="s">
        <v>355</v>
      </c>
      <c r="Q27550" s="5" t="s">
        <v>355</v>
      </c>
    </row>
    <row r="27551" ht="16.5" customHeight="1">
      <c r="O27551" s="5" t="s">
        <v>355</v>
      </c>
      <c r="P27551" s="5" t="s">
        <v>355</v>
      </c>
      <c r="Q27551" s="5" t="s">
        <v>355</v>
      </c>
    </row>
    <row r="27552" ht="16.5" customHeight="1">
      <c r="O27552" s="5" t="s">
        <v>355</v>
      </c>
      <c r="P27552" s="5" t="s">
        <v>355</v>
      </c>
      <c r="Q27552" s="5" t="s">
        <v>355</v>
      </c>
    </row>
    <row r="27553" ht="16.5" customHeight="1">
      <c r="O27553" s="5" t="s">
        <v>355</v>
      </c>
      <c r="P27553" s="5" t="s">
        <v>355</v>
      </c>
      <c r="Q27553" s="5" t="s">
        <v>355</v>
      </c>
    </row>
    <row r="27554" ht="16.5" customHeight="1">
      <c r="O27554" s="5" t="s">
        <v>355</v>
      </c>
      <c r="P27554" s="5" t="s">
        <v>355</v>
      </c>
      <c r="Q27554" s="5" t="s">
        <v>355</v>
      </c>
    </row>
    <row r="27555" ht="16.5" customHeight="1">
      <c r="O27555" s="5" t="s">
        <v>355</v>
      </c>
      <c r="P27555" s="5" t="s">
        <v>355</v>
      </c>
      <c r="Q27555" s="5" t="s">
        <v>355</v>
      </c>
    </row>
    <row r="27556" ht="16.5" customHeight="1">
      <c r="O27556" s="5" t="s">
        <v>355</v>
      </c>
      <c r="P27556" s="5" t="s">
        <v>355</v>
      </c>
      <c r="Q27556" s="5" t="s">
        <v>355</v>
      </c>
    </row>
    <row r="27557" ht="16.5" customHeight="1">
      <c r="O27557" s="5" t="s">
        <v>355</v>
      </c>
      <c r="P27557" s="5" t="s">
        <v>355</v>
      </c>
      <c r="Q27557" s="5" t="s">
        <v>355</v>
      </c>
    </row>
    <row r="27558" ht="16.5" customHeight="1">
      <c r="O27558" s="5" t="s">
        <v>355</v>
      </c>
      <c r="P27558" s="5" t="s">
        <v>355</v>
      </c>
      <c r="Q27558" s="5" t="s">
        <v>355</v>
      </c>
    </row>
    <row r="27559" ht="16.5" customHeight="1">
      <c r="O27559" s="5" t="s">
        <v>355</v>
      </c>
      <c r="P27559" s="5" t="s">
        <v>355</v>
      </c>
      <c r="Q27559" s="5" t="s">
        <v>355</v>
      </c>
    </row>
    <row r="27560" ht="16.5" customHeight="1">
      <c r="O27560" s="5" t="s">
        <v>355</v>
      </c>
      <c r="P27560" s="5" t="s">
        <v>355</v>
      </c>
      <c r="Q27560" s="5" t="s">
        <v>355</v>
      </c>
    </row>
    <row r="27561" ht="16.5" customHeight="1">
      <c r="O27561" s="5" t="s">
        <v>355</v>
      </c>
      <c r="P27561" s="5" t="s">
        <v>355</v>
      </c>
      <c r="Q27561" s="5" t="s">
        <v>355</v>
      </c>
    </row>
    <row r="27562" ht="16.5" customHeight="1">
      <c r="O27562" s="5" t="s">
        <v>355</v>
      </c>
      <c r="P27562" s="5" t="s">
        <v>355</v>
      </c>
      <c r="Q27562" s="5" t="s">
        <v>355</v>
      </c>
    </row>
    <row r="27563" ht="16.5" customHeight="1">
      <c r="O27563" s="5" t="s">
        <v>355</v>
      </c>
      <c r="P27563" s="5" t="s">
        <v>355</v>
      </c>
      <c r="Q27563" s="5" t="s">
        <v>355</v>
      </c>
    </row>
    <row r="27564" ht="16.5" customHeight="1">
      <c r="O27564" s="5" t="s">
        <v>355</v>
      </c>
      <c r="P27564" s="5" t="s">
        <v>355</v>
      </c>
      <c r="Q27564" s="5" t="s">
        <v>355</v>
      </c>
    </row>
    <row r="27565" ht="16.5" customHeight="1">
      <c r="O27565" s="5" t="s">
        <v>355</v>
      </c>
      <c r="P27565" s="5" t="s">
        <v>355</v>
      </c>
      <c r="Q27565" s="5" t="s">
        <v>355</v>
      </c>
    </row>
    <row r="27566" ht="16.5" customHeight="1">
      <c r="O27566" s="5" t="s">
        <v>355</v>
      </c>
      <c r="P27566" s="5" t="s">
        <v>355</v>
      </c>
      <c r="Q27566" s="5" t="s">
        <v>355</v>
      </c>
    </row>
    <row r="27567" ht="16.5" customHeight="1">
      <c r="O27567" s="5" t="s">
        <v>355</v>
      </c>
      <c r="P27567" s="5" t="s">
        <v>355</v>
      </c>
      <c r="Q27567" s="5" t="s">
        <v>355</v>
      </c>
    </row>
    <row r="27568" ht="16.5" customHeight="1">
      <c r="O27568" s="5" t="s">
        <v>355</v>
      </c>
      <c r="P27568" s="5" t="s">
        <v>355</v>
      </c>
      <c r="Q27568" s="5" t="s">
        <v>355</v>
      </c>
    </row>
    <row r="27569" ht="16.5" customHeight="1">
      <c r="O27569" s="5" t="s">
        <v>355</v>
      </c>
      <c r="P27569" s="5" t="s">
        <v>355</v>
      </c>
      <c r="Q27569" s="5" t="s">
        <v>355</v>
      </c>
    </row>
    <row r="27570" ht="16.5" customHeight="1">
      <c r="O27570" s="5" t="s">
        <v>355</v>
      </c>
      <c r="P27570" s="5" t="s">
        <v>355</v>
      </c>
      <c r="Q27570" s="5" t="s">
        <v>355</v>
      </c>
    </row>
    <row r="27571" ht="16.5" customHeight="1">
      <c r="O27571" s="5" t="s">
        <v>355</v>
      </c>
      <c r="P27571" s="5" t="s">
        <v>355</v>
      </c>
      <c r="Q27571" s="5" t="s">
        <v>355</v>
      </c>
    </row>
    <row r="27572" ht="16.5" customHeight="1">
      <c r="O27572" s="5" t="s">
        <v>355</v>
      </c>
      <c r="P27572" s="5" t="s">
        <v>355</v>
      </c>
      <c r="Q27572" s="5" t="s">
        <v>355</v>
      </c>
    </row>
    <row r="27573" ht="16.5" customHeight="1">
      <c r="O27573" s="5" t="s">
        <v>355</v>
      </c>
      <c r="P27573" s="5" t="s">
        <v>355</v>
      </c>
      <c r="Q27573" s="5" t="s">
        <v>355</v>
      </c>
    </row>
    <row r="27574" ht="16.5" customHeight="1">
      <c r="O27574" s="5" t="s">
        <v>355</v>
      </c>
      <c r="P27574" s="5" t="s">
        <v>355</v>
      </c>
      <c r="Q27574" s="5" t="s">
        <v>355</v>
      </c>
    </row>
    <row r="27575" ht="16.5" customHeight="1">
      <c r="O27575" s="5" t="s">
        <v>355</v>
      </c>
      <c r="P27575" s="5" t="s">
        <v>355</v>
      </c>
      <c r="Q27575" s="5" t="s">
        <v>355</v>
      </c>
    </row>
    <row r="27576" ht="16.5" customHeight="1">
      <c r="O27576" s="5" t="s">
        <v>355</v>
      </c>
      <c r="P27576" s="5" t="s">
        <v>355</v>
      </c>
      <c r="Q27576" s="5" t="s">
        <v>355</v>
      </c>
    </row>
    <row r="27577" ht="16.5" customHeight="1">
      <c r="O27577" s="5" t="s">
        <v>355</v>
      </c>
      <c r="P27577" s="5" t="s">
        <v>355</v>
      </c>
      <c r="Q27577" s="5" t="s">
        <v>355</v>
      </c>
    </row>
    <row r="27578" ht="16.5" customHeight="1">
      <c r="O27578" s="5" t="s">
        <v>355</v>
      </c>
      <c r="P27578" s="5" t="s">
        <v>355</v>
      </c>
      <c r="Q27578" s="5" t="s">
        <v>355</v>
      </c>
    </row>
    <row r="27579" ht="16.5" customHeight="1">
      <c r="O27579" s="5" t="s">
        <v>355</v>
      </c>
      <c r="P27579" s="5" t="s">
        <v>355</v>
      </c>
      <c r="Q27579" s="5" t="s">
        <v>355</v>
      </c>
    </row>
    <row r="27580" ht="16.5" customHeight="1">
      <c r="O27580" s="5" t="s">
        <v>355</v>
      </c>
      <c r="P27580" s="5" t="s">
        <v>355</v>
      </c>
      <c r="Q27580" s="5" t="s">
        <v>355</v>
      </c>
    </row>
    <row r="27581" ht="16.5" customHeight="1">
      <c r="O27581" s="5" t="s">
        <v>355</v>
      </c>
      <c r="P27581" s="5" t="s">
        <v>355</v>
      </c>
      <c r="Q27581" s="5" t="s">
        <v>355</v>
      </c>
    </row>
    <row r="27582" ht="16.5" customHeight="1">
      <c r="O27582" s="5" t="s">
        <v>355</v>
      </c>
      <c r="P27582" s="5" t="s">
        <v>355</v>
      </c>
      <c r="Q27582" s="5" t="s">
        <v>355</v>
      </c>
    </row>
    <row r="27583" ht="16.5" customHeight="1">
      <c r="O27583" s="5" t="s">
        <v>355</v>
      </c>
      <c r="P27583" s="5" t="s">
        <v>355</v>
      </c>
      <c r="Q27583" s="5" t="s">
        <v>355</v>
      </c>
    </row>
    <row r="27584" ht="16.5" customHeight="1">
      <c r="O27584" s="5" t="s">
        <v>355</v>
      </c>
      <c r="P27584" s="5" t="s">
        <v>355</v>
      </c>
      <c r="Q27584" s="5" t="s">
        <v>355</v>
      </c>
    </row>
    <row r="27585" ht="16.5" customHeight="1">
      <c r="O27585" s="5" t="s">
        <v>355</v>
      </c>
      <c r="P27585" s="5" t="s">
        <v>355</v>
      </c>
      <c r="Q27585" s="5" t="s">
        <v>355</v>
      </c>
    </row>
    <row r="27586" ht="16.5" customHeight="1">
      <c r="O27586" s="5" t="s">
        <v>355</v>
      </c>
      <c r="P27586" s="5" t="s">
        <v>355</v>
      </c>
      <c r="Q27586" s="5" t="s">
        <v>355</v>
      </c>
    </row>
    <row r="27587" ht="16.5" customHeight="1">
      <c r="O27587" s="5" t="s">
        <v>355</v>
      </c>
      <c r="P27587" s="5" t="s">
        <v>355</v>
      </c>
      <c r="Q27587" s="5" t="s">
        <v>355</v>
      </c>
    </row>
    <row r="27588" ht="16.5" customHeight="1">
      <c r="O27588" s="5" t="s">
        <v>355</v>
      </c>
      <c r="P27588" s="5" t="s">
        <v>355</v>
      </c>
      <c r="Q27588" s="5" t="s">
        <v>355</v>
      </c>
    </row>
    <row r="27589" ht="16.5" customHeight="1">
      <c r="O27589" s="5" t="s">
        <v>355</v>
      </c>
      <c r="P27589" s="5" t="s">
        <v>355</v>
      </c>
      <c r="Q27589" s="5" t="s">
        <v>355</v>
      </c>
    </row>
    <row r="27590" ht="16.5" customHeight="1">
      <c r="O27590" s="5" t="s">
        <v>355</v>
      </c>
      <c r="P27590" s="5" t="s">
        <v>355</v>
      </c>
      <c r="Q27590" s="5" t="s">
        <v>355</v>
      </c>
    </row>
    <row r="27591" ht="16.5" customHeight="1">
      <c r="O27591" s="5" t="s">
        <v>355</v>
      </c>
      <c r="P27591" s="5" t="s">
        <v>355</v>
      </c>
      <c r="Q27591" s="5" t="s">
        <v>355</v>
      </c>
    </row>
    <row r="27592" ht="16.5" customHeight="1">
      <c r="O27592" s="5" t="s">
        <v>355</v>
      </c>
      <c r="P27592" s="5" t="s">
        <v>355</v>
      </c>
      <c r="Q27592" s="5" t="s">
        <v>355</v>
      </c>
    </row>
    <row r="27593" ht="16.5" customHeight="1">
      <c r="O27593" s="5" t="s">
        <v>355</v>
      </c>
      <c r="P27593" s="5" t="s">
        <v>355</v>
      </c>
      <c r="Q27593" s="5" t="s">
        <v>355</v>
      </c>
    </row>
    <row r="27594" ht="16.5" customHeight="1">
      <c r="O27594" s="5" t="s">
        <v>355</v>
      </c>
      <c r="P27594" s="5" t="s">
        <v>355</v>
      </c>
      <c r="Q27594" s="5" t="s">
        <v>355</v>
      </c>
    </row>
    <row r="27595" ht="16.5" customHeight="1">
      <c r="O27595" s="5" t="s">
        <v>355</v>
      </c>
      <c r="P27595" s="5" t="s">
        <v>355</v>
      </c>
      <c r="Q27595" s="5" t="s">
        <v>355</v>
      </c>
    </row>
    <row r="27596" ht="16.5" customHeight="1">
      <c r="O27596" s="5" t="s">
        <v>355</v>
      </c>
      <c r="P27596" s="5" t="s">
        <v>355</v>
      </c>
      <c r="Q27596" s="5" t="s">
        <v>355</v>
      </c>
    </row>
    <row r="27597" ht="16.5" customHeight="1">
      <c r="O27597" s="5" t="s">
        <v>355</v>
      </c>
      <c r="P27597" s="5" t="s">
        <v>355</v>
      </c>
      <c r="Q27597" s="5" t="s">
        <v>355</v>
      </c>
    </row>
    <row r="27598" ht="16.5" customHeight="1">
      <c r="O27598" s="5" t="s">
        <v>355</v>
      </c>
      <c r="P27598" s="5" t="s">
        <v>355</v>
      </c>
      <c r="Q27598" s="5" t="s">
        <v>355</v>
      </c>
    </row>
    <row r="27599" ht="16.5" customHeight="1">
      <c r="O27599" s="5" t="s">
        <v>355</v>
      </c>
      <c r="P27599" s="5" t="s">
        <v>355</v>
      </c>
      <c r="Q27599" s="5" t="s">
        <v>355</v>
      </c>
    </row>
    <row r="27600" ht="16.5" customHeight="1">
      <c r="O27600" s="5" t="s">
        <v>355</v>
      </c>
      <c r="P27600" s="5" t="s">
        <v>355</v>
      </c>
      <c r="Q27600" s="5" t="s">
        <v>355</v>
      </c>
    </row>
    <row r="27601" ht="16.5" customHeight="1">
      <c r="O27601" s="5" t="s">
        <v>355</v>
      </c>
      <c r="P27601" s="5" t="s">
        <v>355</v>
      </c>
      <c r="Q27601" s="5" t="s">
        <v>355</v>
      </c>
    </row>
    <row r="27602" ht="16.5" customHeight="1">
      <c r="O27602" s="5" t="s">
        <v>355</v>
      </c>
      <c r="P27602" s="5" t="s">
        <v>355</v>
      </c>
      <c r="Q27602" s="5" t="s">
        <v>355</v>
      </c>
    </row>
    <row r="27603" ht="16.5" customHeight="1">
      <c r="O27603" s="5" t="s">
        <v>355</v>
      </c>
      <c r="P27603" s="5" t="s">
        <v>355</v>
      </c>
      <c r="Q27603" s="5" t="s">
        <v>355</v>
      </c>
    </row>
    <row r="27604" ht="16.5" customHeight="1">
      <c r="O27604" s="5" t="s">
        <v>355</v>
      </c>
      <c r="P27604" s="5" t="s">
        <v>355</v>
      </c>
      <c r="Q27604" s="5" t="s">
        <v>355</v>
      </c>
    </row>
    <row r="27605" ht="16.5" customHeight="1">
      <c r="O27605" s="5" t="s">
        <v>355</v>
      </c>
      <c r="P27605" s="5" t="s">
        <v>355</v>
      </c>
      <c r="Q27605" s="5" t="s">
        <v>355</v>
      </c>
    </row>
    <row r="27606" ht="16.5" customHeight="1">
      <c r="O27606" s="5" t="s">
        <v>355</v>
      </c>
      <c r="P27606" s="5" t="s">
        <v>355</v>
      </c>
      <c r="Q27606" s="5" t="s">
        <v>355</v>
      </c>
    </row>
    <row r="27607" ht="16.5" customHeight="1">
      <c r="O27607" s="5" t="s">
        <v>355</v>
      </c>
      <c r="P27607" s="5" t="s">
        <v>355</v>
      </c>
      <c r="Q27607" s="5" t="s">
        <v>355</v>
      </c>
    </row>
    <row r="27608" ht="16.5" customHeight="1">
      <c r="O27608" s="5" t="s">
        <v>355</v>
      </c>
      <c r="P27608" s="5" t="s">
        <v>355</v>
      </c>
      <c r="Q27608" s="5" t="s">
        <v>355</v>
      </c>
    </row>
    <row r="27609" ht="16.5" customHeight="1">
      <c r="O27609" s="5" t="s">
        <v>355</v>
      </c>
      <c r="P27609" s="5" t="s">
        <v>355</v>
      </c>
      <c r="Q27609" s="5" t="s">
        <v>355</v>
      </c>
    </row>
    <row r="27610" ht="16.5" customHeight="1">
      <c r="O27610" s="5" t="s">
        <v>355</v>
      </c>
      <c r="P27610" s="5" t="s">
        <v>355</v>
      </c>
      <c r="Q27610" s="5" t="s">
        <v>355</v>
      </c>
    </row>
    <row r="27611" ht="16.5" customHeight="1">
      <c r="O27611" s="5" t="s">
        <v>355</v>
      </c>
      <c r="P27611" s="5" t="s">
        <v>355</v>
      </c>
      <c r="Q27611" s="5" t="s">
        <v>355</v>
      </c>
    </row>
    <row r="27612" ht="16.5" customHeight="1">
      <c r="O27612" s="5" t="s">
        <v>355</v>
      </c>
      <c r="P27612" s="5" t="s">
        <v>355</v>
      </c>
      <c r="Q27612" s="5" t="s">
        <v>355</v>
      </c>
    </row>
    <row r="27613" ht="16.5" customHeight="1">
      <c r="O27613" s="5" t="s">
        <v>355</v>
      </c>
      <c r="P27613" s="5" t="s">
        <v>355</v>
      </c>
      <c r="Q27613" s="5" t="s">
        <v>355</v>
      </c>
    </row>
    <row r="27614" ht="16.5" customHeight="1">
      <c r="O27614" s="5" t="s">
        <v>355</v>
      </c>
      <c r="P27614" s="5" t="s">
        <v>355</v>
      </c>
      <c r="Q27614" s="5" t="s">
        <v>355</v>
      </c>
    </row>
    <row r="27615" ht="16.5" customHeight="1">
      <c r="O27615" s="5" t="s">
        <v>355</v>
      </c>
      <c r="P27615" s="5" t="s">
        <v>355</v>
      </c>
      <c r="Q27615" s="5" t="s">
        <v>355</v>
      </c>
    </row>
    <row r="27616" ht="16.5" customHeight="1">
      <c r="O27616" s="5" t="s">
        <v>355</v>
      </c>
      <c r="P27616" s="5" t="s">
        <v>355</v>
      </c>
      <c r="Q27616" s="5" t="s">
        <v>355</v>
      </c>
    </row>
    <row r="27617" ht="16.5" customHeight="1">
      <c r="O27617" s="5" t="s">
        <v>355</v>
      </c>
      <c r="P27617" s="5" t="s">
        <v>355</v>
      </c>
      <c r="Q27617" s="5" t="s">
        <v>355</v>
      </c>
    </row>
    <row r="27618" ht="16.5" customHeight="1">
      <c r="O27618" s="5" t="s">
        <v>355</v>
      </c>
      <c r="P27618" s="5" t="s">
        <v>355</v>
      </c>
      <c r="Q27618" s="5" t="s">
        <v>355</v>
      </c>
    </row>
    <row r="27619" ht="16.5" customHeight="1">
      <c r="O27619" s="5" t="s">
        <v>355</v>
      </c>
      <c r="P27619" s="5" t="s">
        <v>355</v>
      </c>
      <c r="Q27619" s="5" t="s">
        <v>355</v>
      </c>
    </row>
    <row r="27620" ht="16.5" customHeight="1">
      <c r="O27620" s="5" t="s">
        <v>355</v>
      </c>
      <c r="P27620" s="5" t="s">
        <v>355</v>
      </c>
      <c r="Q27620" s="5" t="s">
        <v>355</v>
      </c>
    </row>
    <row r="27621" ht="16.5" customHeight="1">
      <c r="O27621" s="5" t="s">
        <v>355</v>
      </c>
      <c r="P27621" s="5" t="s">
        <v>355</v>
      </c>
      <c r="Q27621" s="5" t="s">
        <v>355</v>
      </c>
    </row>
    <row r="27622" ht="16.5" customHeight="1">
      <c r="O27622" s="5" t="s">
        <v>355</v>
      </c>
      <c r="P27622" s="5" t="s">
        <v>355</v>
      </c>
      <c r="Q27622" s="5" t="s">
        <v>355</v>
      </c>
    </row>
    <row r="27623" ht="16.5" customHeight="1">
      <c r="O27623" s="5" t="s">
        <v>355</v>
      </c>
      <c r="P27623" s="5" t="s">
        <v>355</v>
      </c>
      <c r="Q27623" s="5" t="s">
        <v>355</v>
      </c>
    </row>
    <row r="27624" ht="16.5" customHeight="1">
      <c r="O27624" s="5" t="s">
        <v>355</v>
      </c>
      <c r="P27624" s="5" t="s">
        <v>355</v>
      </c>
      <c r="Q27624" s="5" t="s">
        <v>355</v>
      </c>
    </row>
    <row r="27625" ht="16.5" customHeight="1">
      <c r="O27625" s="5" t="s">
        <v>355</v>
      </c>
      <c r="P27625" s="5" t="s">
        <v>355</v>
      </c>
      <c r="Q27625" s="5" t="s">
        <v>355</v>
      </c>
    </row>
    <row r="27626" ht="16.5" customHeight="1">
      <c r="O27626" s="5" t="s">
        <v>355</v>
      </c>
      <c r="P27626" s="5" t="s">
        <v>355</v>
      </c>
      <c r="Q27626" s="5" t="s">
        <v>355</v>
      </c>
    </row>
    <row r="27627" ht="16.5" customHeight="1">
      <c r="O27627" s="5" t="s">
        <v>355</v>
      </c>
      <c r="P27627" s="5" t="s">
        <v>355</v>
      </c>
      <c r="Q27627" s="5" t="s">
        <v>355</v>
      </c>
    </row>
    <row r="27628" ht="16.5" customHeight="1">
      <c r="O27628" s="5" t="s">
        <v>355</v>
      </c>
      <c r="P27628" s="5" t="s">
        <v>355</v>
      </c>
      <c r="Q27628" s="5" t="s">
        <v>355</v>
      </c>
    </row>
    <row r="27629" ht="16.5" customHeight="1">
      <c r="O27629" s="5" t="s">
        <v>355</v>
      </c>
      <c r="P27629" s="5" t="s">
        <v>355</v>
      </c>
      <c r="Q27629" s="5" t="s">
        <v>355</v>
      </c>
    </row>
    <row r="27630" ht="16.5" customHeight="1">
      <c r="O27630" s="5" t="s">
        <v>355</v>
      </c>
      <c r="P27630" s="5" t="s">
        <v>355</v>
      </c>
      <c r="Q27630" s="5" t="s">
        <v>355</v>
      </c>
    </row>
    <row r="27631" ht="16.5" customHeight="1">
      <c r="O27631" s="5" t="s">
        <v>355</v>
      </c>
      <c r="P27631" s="5" t="s">
        <v>355</v>
      </c>
      <c r="Q27631" s="5" t="s">
        <v>355</v>
      </c>
    </row>
    <row r="27632" ht="16.5" customHeight="1">
      <c r="O27632" s="5" t="s">
        <v>355</v>
      </c>
      <c r="P27632" s="5" t="s">
        <v>355</v>
      </c>
      <c r="Q27632" s="5" t="s">
        <v>355</v>
      </c>
    </row>
    <row r="27633" ht="16.5" customHeight="1">
      <c r="O27633" s="5" t="s">
        <v>355</v>
      </c>
      <c r="P27633" s="5" t="s">
        <v>355</v>
      </c>
      <c r="Q27633" s="5" t="s">
        <v>355</v>
      </c>
    </row>
    <row r="27634" ht="16.5" customHeight="1">
      <c r="O27634" s="5" t="s">
        <v>355</v>
      </c>
      <c r="P27634" s="5" t="s">
        <v>355</v>
      </c>
      <c r="Q27634" s="5" t="s">
        <v>355</v>
      </c>
    </row>
    <row r="27635" ht="16.5" customHeight="1">
      <c r="O27635" s="5" t="s">
        <v>355</v>
      </c>
      <c r="P27635" s="5" t="s">
        <v>355</v>
      </c>
      <c r="Q27635" s="5" t="s">
        <v>355</v>
      </c>
    </row>
    <row r="27636" ht="16.5" customHeight="1">
      <c r="O27636" s="5" t="s">
        <v>355</v>
      </c>
      <c r="P27636" s="5" t="s">
        <v>355</v>
      </c>
      <c r="Q27636" s="5" t="s">
        <v>355</v>
      </c>
    </row>
    <row r="27637" ht="16.5" customHeight="1">
      <c r="O27637" s="5" t="s">
        <v>355</v>
      </c>
      <c r="P27637" s="5" t="s">
        <v>355</v>
      </c>
      <c r="Q27637" s="5" t="s">
        <v>355</v>
      </c>
    </row>
    <row r="27638" ht="16.5" customHeight="1">
      <c r="O27638" s="5" t="s">
        <v>355</v>
      </c>
      <c r="P27638" s="5" t="s">
        <v>355</v>
      </c>
      <c r="Q27638" s="5" t="s">
        <v>355</v>
      </c>
    </row>
    <row r="27639" ht="16.5" customHeight="1">
      <c r="O27639" s="5" t="s">
        <v>355</v>
      </c>
      <c r="P27639" s="5" t="s">
        <v>355</v>
      </c>
      <c r="Q27639" s="5" t="s">
        <v>355</v>
      </c>
    </row>
    <row r="27640" ht="16.5" customHeight="1">
      <c r="O27640" s="5" t="s">
        <v>355</v>
      </c>
      <c r="P27640" s="5" t="s">
        <v>355</v>
      </c>
      <c r="Q27640" s="5" t="s">
        <v>355</v>
      </c>
    </row>
    <row r="27641" ht="16.5" customHeight="1">
      <c r="O27641" s="5" t="s">
        <v>355</v>
      </c>
      <c r="P27641" s="5" t="s">
        <v>355</v>
      </c>
      <c r="Q27641" s="5" t="s">
        <v>355</v>
      </c>
    </row>
    <row r="27642" ht="16.5" customHeight="1">
      <c r="O27642" s="5" t="s">
        <v>355</v>
      </c>
      <c r="P27642" s="5" t="s">
        <v>355</v>
      </c>
      <c r="Q27642" s="5" t="s">
        <v>355</v>
      </c>
    </row>
    <row r="27643" ht="16.5" customHeight="1">
      <c r="O27643" s="5" t="s">
        <v>355</v>
      </c>
      <c r="P27643" s="5" t="s">
        <v>355</v>
      </c>
      <c r="Q27643" s="5" t="s">
        <v>355</v>
      </c>
    </row>
    <row r="27644" ht="16.5" customHeight="1">
      <c r="O27644" s="5" t="s">
        <v>355</v>
      </c>
      <c r="P27644" s="5" t="s">
        <v>355</v>
      </c>
      <c r="Q27644" s="5" t="s">
        <v>355</v>
      </c>
    </row>
    <row r="27645" ht="16.5" customHeight="1">
      <c r="O27645" s="5" t="s">
        <v>355</v>
      </c>
      <c r="P27645" s="5" t="s">
        <v>355</v>
      </c>
      <c r="Q27645" s="5" t="s">
        <v>355</v>
      </c>
    </row>
    <row r="27646" ht="16.5" customHeight="1">
      <c r="O27646" s="5" t="s">
        <v>355</v>
      </c>
      <c r="P27646" s="5" t="s">
        <v>355</v>
      </c>
      <c r="Q27646" s="5" t="s">
        <v>355</v>
      </c>
    </row>
    <row r="27647" ht="16.5" customHeight="1">
      <c r="O27647" s="5" t="s">
        <v>355</v>
      </c>
      <c r="P27647" s="5" t="s">
        <v>355</v>
      </c>
      <c r="Q27647" s="5" t="s">
        <v>355</v>
      </c>
    </row>
    <row r="27648" ht="16.5" customHeight="1">
      <c r="O27648" s="5" t="s">
        <v>355</v>
      </c>
      <c r="P27648" s="5" t="s">
        <v>355</v>
      </c>
      <c r="Q27648" s="5" t="s">
        <v>355</v>
      </c>
    </row>
    <row r="27649" ht="16.5" customHeight="1">
      <c r="O27649" s="5" t="s">
        <v>355</v>
      </c>
      <c r="P27649" s="5" t="s">
        <v>355</v>
      </c>
      <c r="Q27649" s="5" t="s">
        <v>355</v>
      </c>
    </row>
    <row r="27650" ht="16.5" customHeight="1">
      <c r="O27650" s="5" t="s">
        <v>355</v>
      </c>
      <c r="P27650" s="5" t="s">
        <v>355</v>
      </c>
      <c r="Q27650" s="5" t="s">
        <v>355</v>
      </c>
    </row>
    <row r="27651" ht="16.5" customHeight="1">
      <c r="O27651" s="5" t="s">
        <v>355</v>
      </c>
      <c r="P27651" s="5" t="s">
        <v>355</v>
      </c>
      <c r="Q27651" s="5" t="s">
        <v>355</v>
      </c>
    </row>
    <row r="27652" ht="16.5" customHeight="1">
      <c r="O27652" s="5" t="s">
        <v>355</v>
      </c>
      <c r="P27652" s="5" t="s">
        <v>355</v>
      </c>
      <c r="Q27652" s="5" t="s">
        <v>355</v>
      </c>
    </row>
    <row r="27653" ht="16.5" customHeight="1">
      <c r="O27653" s="5" t="s">
        <v>355</v>
      </c>
      <c r="P27653" s="5" t="s">
        <v>355</v>
      </c>
      <c r="Q27653" s="5" t="s">
        <v>355</v>
      </c>
    </row>
    <row r="27654" ht="16.5" customHeight="1">
      <c r="O27654" s="5" t="s">
        <v>355</v>
      </c>
      <c r="P27654" s="5" t="s">
        <v>355</v>
      </c>
      <c r="Q27654" s="5" t="s">
        <v>355</v>
      </c>
    </row>
    <row r="27655" ht="16.5" customHeight="1">
      <c r="O27655" s="5" t="s">
        <v>355</v>
      </c>
      <c r="P27655" s="5" t="s">
        <v>355</v>
      </c>
      <c r="Q27655" s="5" t="s">
        <v>355</v>
      </c>
    </row>
    <row r="27656" ht="16.5" customHeight="1">
      <c r="O27656" s="5" t="s">
        <v>355</v>
      </c>
      <c r="P27656" s="5" t="s">
        <v>355</v>
      </c>
      <c r="Q27656" s="5" t="s">
        <v>355</v>
      </c>
    </row>
    <row r="27657" ht="16.5" customHeight="1">
      <c r="O27657" s="5" t="s">
        <v>355</v>
      </c>
      <c r="P27657" s="5" t="s">
        <v>355</v>
      </c>
      <c r="Q27657" s="5" t="s">
        <v>355</v>
      </c>
    </row>
    <row r="27658" ht="16.5" customHeight="1">
      <c r="O27658" s="5" t="s">
        <v>355</v>
      </c>
      <c r="P27658" s="5" t="s">
        <v>355</v>
      </c>
      <c r="Q27658" s="5" t="s">
        <v>355</v>
      </c>
    </row>
    <row r="27659" ht="16.5" customHeight="1">
      <c r="O27659" s="5" t="s">
        <v>355</v>
      </c>
      <c r="P27659" s="5" t="s">
        <v>355</v>
      </c>
      <c r="Q27659" s="5" t="s">
        <v>355</v>
      </c>
    </row>
    <row r="27660" ht="16.5" customHeight="1">
      <c r="O27660" s="5" t="s">
        <v>355</v>
      </c>
      <c r="P27660" s="5" t="s">
        <v>355</v>
      </c>
      <c r="Q27660" s="5" t="s">
        <v>355</v>
      </c>
    </row>
    <row r="27661" ht="16.5" customHeight="1">
      <c r="O27661" s="5" t="s">
        <v>355</v>
      </c>
      <c r="P27661" s="5" t="s">
        <v>355</v>
      </c>
      <c r="Q27661" s="5" t="s">
        <v>355</v>
      </c>
    </row>
    <row r="27662" ht="16.5" customHeight="1">
      <c r="O27662" s="5" t="s">
        <v>355</v>
      </c>
      <c r="P27662" s="5" t="s">
        <v>355</v>
      </c>
      <c r="Q27662" s="5" t="s">
        <v>355</v>
      </c>
    </row>
    <row r="27663" ht="16.5" customHeight="1">
      <c r="O27663" s="5" t="s">
        <v>355</v>
      </c>
      <c r="P27663" s="5" t="s">
        <v>355</v>
      </c>
      <c r="Q27663" s="5" t="s">
        <v>355</v>
      </c>
    </row>
    <row r="27664" ht="16.5" customHeight="1">
      <c r="O27664" s="5" t="s">
        <v>355</v>
      </c>
      <c r="P27664" s="5" t="s">
        <v>355</v>
      </c>
      <c r="Q27664" s="5" t="s">
        <v>355</v>
      </c>
    </row>
    <row r="27665" ht="16.5" customHeight="1">
      <c r="O27665" s="5" t="s">
        <v>355</v>
      </c>
      <c r="P27665" s="5" t="s">
        <v>355</v>
      </c>
      <c r="Q27665" s="5" t="s">
        <v>355</v>
      </c>
    </row>
    <row r="27666" ht="16.5" customHeight="1">
      <c r="O27666" s="5" t="s">
        <v>355</v>
      </c>
      <c r="P27666" s="5" t="s">
        <v>355</v>
      </c>
      <c r="Q27666" s="5" t="s">
        <v>355</v>
      </c>
    </row>
    <row r="27667" ht="16.5" customHeight="1">
      <c r="O27667" s="5" t="s">
        <v>355</v>
      </c>
      <c r="P27667" s="5" t="s">
        <v>355</v>
      </c>
      <c r="Q27667" s="5" t="s">
        <v>355</v>
      </c>
    </row>
    <row r="27668" ht="16.5" customHeight="1">
      <c r="O27668" s="5" t="s">
        <v>355</v>
      </c>
      <c r="P27668" s="5" t="s">
        <v>355</v>
      </c>
      <c r="Q27668" s="5" t="s">
        <v>355</v>
      </c>
    </row>
    <row r="27669" ht="16.5" customHeight="1">
      <c r="O27669" s="5" t="s">
        <v>355</v>
      </c>
      <c r="P27669" s="5" t="s">
        <v>355</v>
      </c>
      <c r="Q27669" s="5" t="s">
        <v>355</v>
      </c>
    </row>
    <row r="27670" ht="16.5" customHeight="1">
      <c r="O27670" s="5" t="s">
        <v>355</v>
      </c>
      <c r="P27670" s="5" t="s">
        <v>355</v>
      </c>
      <c r="Q27670" s="5" t="s">
        <v>355</v>
      </c>
    </row>
    <row r="27671" ht="16.5" customHeight="1">
      <c r="O27671" s="5" t="s">
        <v>355</v>
      </c>
      <c r="P27671" s="5" t="s">
        <v>355</v>
      </c>
      <c r="Q27671" s="5" t="s">
        <v>355</v>
      </c>
    </row>
    <row r="27672" ht="16.5" customHeight="1">
      <c r="O27672" s="5" t="s">
        <v>355</v>
      </c>
      <c r="P27672" s="5" t="s">
        <v>355</v>
      </c>
      <c r="Q27672" s="5" t="s">
        <v>355</v>
      </c>
    </row>
    <row r="27673" ht="16.5" customHeight="1">
      <c r="O27673" s="5" t="s">
        <v>355</v>
      </c>
      <c r="P27673" s="5" t="s">
        <v>355</v>
      </c>
      <c r="Q27673" s="5" t="s">
        <v>355</v>
      </c>
    </row>
    <row r="27674" ht="16.5" customHeight="1">
      <c r="O27674" s="5" t="s">
        <v>355</v>
      </c>
      <c r="P27674" s="5" t="s">
        <v>355</v>
      </c>
      <c r="Q27674" s="5" t="s">
        <v>355</v>
      </c>
    </row>
    <row r="27675" ht="16.5" customHeight="1">
      <c r="O27675" s="5" t="s">
        <v>355</v>
      </c>
      <c r="P27675" s="5" t="s">
        <v>355</v>
      </c>
      <c r="Q27675" s="5" t="s">
        <v>355</v>
      </c>
    </row>
    <row r="27676" ht="16.5" customHeight="1">
      <c r="O27676" s="5" t="s">
        <v>355</v>
      </c>
      <c r="P27676" s="5" t="s">
        <v>355</v>
      </c>
      <c r="Q27676" s="5" t="s">
        <v>355</v>
      </c>
    </row>
    <row r="27677" ht="16.5" customHeight="1">
      <c r="O27677" s="5" t="s">
        <v>355</v>
      </c>
      <c r="P27677" s="5" t="s">
        <v>355</v>
      </c>
      <c r="Q27677" s="5" t="s">
        <v>355</v>
      </c>
    </row>
    <row r="27678" ht="16.5" customHeight="1">
      <c r="O27678" s="5" t="s">
        <v>355</v>
      </c>
      <c r="P27678" s="5" t="s">
        <v>355</v>
      </c>
      <c r="Q27678" s="5" t="s">
        <v>355</v>
      </c>
    </row>
    <row r="27679" ht="16.5" customHeight="1">
      <c r="O27679" s="5" t="s">
        <v>355</v>
      </c>
      <c r="P27679" s="5" t="s">
        <v>355</v>
      </c>
      <c r="Q27679" s="5" t="s">
        <v>355</v>
      </c>
    </row>
    <row r="27680" ht="16.5" customHeight="1">
      <c r="O27680" s="5" t="s">
        <v>355</v>
      </c>
      <c r="P27680" s="5" t="s">
        <v>355</v>
      </c>
      <c r="Q27680" s="5" t="s">
        <v>355</v>
      </c>
    </row>
    <row r="27681" ht="16.5" customHeight="1">
      <c r="O27681" s="5" t="s">
        <v>355</v>
      </c>
      <c r="P27681" s="5" t="s">
        <v>355</v>
      </c>
      <c r="Q27681" s="5" t="s">
        <v>355</v>
      </c>
    </row>
    <row r="27682" ht="16.5" customHeight="1">
      <c r="O27682" s="5" t="s">
        <v>355</v>
      </c>
      <c r="P27682" s="5" t="s">
        <v>355</v>
      </c>
      <c r="Q27682" s="5" t="s">
        <v>355</v>
      </c>
    </row>
    <row r="27683" ht="16.5" customHeight="1">
      <c r="O27683" s="5" t="s">
        <v>355</v>
      </c>
      <c r="P27683" s="5" t="s">
        <v>355</v>
      </c>
      <c r="Q27683" s="5" t="s">
        <v>355</v>
      </c>
    </row>
    <row r="27684" ht="16.5" customHeight="1">
      <c r="O27684" s="5" t="s">
        <v>355</v>
      </c>
      <c r="P27684" s="5" t="s">
        <v>355</v>
      </c>
      <c r="Q27684" s="5" t="s">
        <v>355</v>
      </c>
    </row>
    <row r="27685" ht="16.5" customHeight="1">
      <c r="O27685" s="5" t="s">
        <v>355</v>
      </c>
      <c r="P27685" s="5" t="s">
        <v>355</v>
      </c>
      <c r="Q27685" s="5" t="s">
        <v>355</v>
      </c>
    </row>
    <row r="27686" ht="16.5" customHeight="1">
      <c r="O27686" s="5" t="s">
        <v>355</v>
      </c>
      <c r="P27686" s="5" t="s">
        <v>355</v>
      </c>
      <c r="Q27686" s="5" t="s">
        <v>355</v>
      </c>
    </row>
    <row r="27687" ht="16.5" customHeight="1">
      <c r="O27687" s="5" t="s">
        <v>355</v>
      </c>
      <c r="P27687" s="5" t="s">
        <v>355</v>
      </c>
      <c r="Q27687" s="5" t="s">
        <v>355</v>
      </c>
    </row>
    <row r="27688" ht="16.5" customHeight="1">
      <c r="O27688" s="5" t="s">
        <v>355</v>
      </c>
      <c r="P27688" s="5" t="s">
        <v>355</v>
      </c>
      <c r="Q27688" s="5" t="s">
        <v>355</v>
      </c>
    </row>
    <row r="27689" ht="16.5" customHeight="1">
      <c r="O27689" s="5" t="s">
        <v>355</v>
      </c>
      <c r="P27689" s="5" t="s">
        <v>355</v>
      </c>
      <c r="Q27689" s="5" t="s">
        <v>355</v>
      </c>
    </row>
    <row r="27690" ht="16.5" customHeight="1">
      <c r="O27690" s="5" t="s">
        <v>355</v>
      </c>
      <c r="P27690" s="5" t="s">
        <v>355</v>
      </c>
      <c r="Q27690" s="5" t="s">
        <v>355</v>
      </c>
    </row>
    <row r="27691" ht="16.5" customHeight="1">
      <c r="O27691" s="5" t="s">
        <v>355</v>
      </c>
      <c r="P27691" s="5" t="s">
        <v>355</v>
      </c>
      <c r="Q27691" s="5" t="s">
        <v>355</v>
      </c>
    </row>
    <row r="27692" ht="16.5" customHeight="1">
      <c r="O27692" s="5" t="s">
        <v>355</v>
      </c>
      <c r="P27692" s="5" t="s">
        <v>355</v>
      </c>
      <c r="Q27692" s="5" t="s">
        <v>355</v>
      </c>
    </row>
    <row r="27693" ht="16.5" customHeight="1">
      <c r="O27693" s="5" t="s">
        <v>355</v>
      </c>
      <c r="P27693" s="5" t="s">
        <v>355</v>
      </c>
      <c r="Q27693" s="5" t="s">
        <v>355</v>
      </c>
    </row>
    <row r="27694" ht="16.5" customHeight="1">
      <c r="O27694" s="5" t="s">
        <v>355</v>
      </c>
      <c r="P27694" s="5" t="s">
        <v>355</v>
      </c>
      <c r="Q27694" s="5" t="s">
        <v>355</v>
      </c>
    </row>
    <row r="27695" ht="16.5" customHeight="1">
      <c r="O27695" s="5" t="s">
        <v>355</v>
      </c>
      <c r="P27695" s="5" t="s">
        <v>355</v>
      </c>
      <c r="Q27695" s="5" t="s">
        <v>355</v>
      </c>
    </row>
    <row r="27696" ht="16.5" customHeight="1">
      <c r="O27696" s="5" t="s">
        <v>355</v>
      </c>
      <c r="P27696" s="5" t="s">
        <v>355</v>
      </c>
      <c r="Q27696" s="5" t="s">
        <v>355</v>
      </c>
    </row>
    <row r="27697" ht="16.5" customHeight="1">
      <c r="O27697" s="5" t="s">
        <v>355</v>
      </c>
      <c r="P27697" s="5" t="s">
        <v>355</v>
      </c>
      <c r="Q27697" s="5" t="s">
        <v>355</v>
      </c>
    </row>
    <row r="27698" ht="16.5" customHeight="1">
      <c r="O27698" s="5" t="s">
        <v>355</v>
      </c>
      <c r="P27698" s="5" t="s">
        <v>355</v>
      </c>
      <c r="Q27698" s="5" t="s">
        <v>355</v>
      </c>
    </row>
    <row r="27699" ht="16.5" customHeight="1">
      <c r="O27699" s="5" t="s">
        <v>355</v>
      </c>
      <c r="P27699" s="5" t="s">
        <v>355</v>
      </c>
      <c r="Q27699" s="5" t="s">
        <v>355</v>
      </c>
    </row>
    <row r="27700" ht="16.5" customHeight="1">
      <c r="O27700" s="5" t="s">
        <v>355</v>
      </c>
      <c r="P27700" s="5" t="s">
        <v>355</v>
      </c>
      <c r="Q27700" s="5" t="s">
        <v>355</v>
      </c>
    </row>
    <row r="27701" ht="16.5" customHeight="1">
      <c r="O27701" s="5" t="s">
        <v>355</v>
      </c>
      <c r="P27701" s="5" t="s">
        <v>355</v>
      </c>
      <c r="Q27701" s="5" t="s">
        <v>355</v>
      </c>
    </row>
    <row r="27702" ht="16.5" customHeight="1">
      <c r="O27702" s="5" t="s">
        <v>355</v>
      </c>
      <c r="P27702" s="5" t="s">
        <v>355</v>
      </c>
      <c r="Q27702" s="5" t="s">
        <v>355</v>
      </c>
    </row>
    <row r="27703" ht="16.5" customHeight="1">
      <c r="O27703" s="5" t="s">
        <v>355</v>
      </c>
      <c r="P27703" s="5" t="s">
        <v>355</v>
      </c>
      <c r="Q27703" s="5" t="s">
        <v>355</v>
      </c>
    </row>
    <row r="27704" ht="16.5" customHeight="1">
      <c r="O27704" s="5" t="s">
        <v>355</v>
      </c>
      <c r="P27704" s="5" t="s">
        <v>355</v>
      </c>
      <c r="Q27704" s="5" t="s">
        <v>355</v>
      </c>
    </row>
    <row r="27705" ht="16.5" customHeight="1">
      <c r="O27705" s="5" t="s">
        <v>355</v>
      </c>
      <c r="P27705" s="5" t="s">
        <v>355</v>
      </c>
      <c r="Q27705" s="5" t="s">
        <v>355</v>
      </c>
    </row>
    <row r="27706" ht="16.5" customHeight="1">
      <c r="O27706" s="5" t="s">
        <v>355</v>
      </c>
      <c r="P27706" s="5" t="s">
        <v>355</v>
      </c>
      <c r="Q27706" s="5" t="s">
        <v>355</v>
      </c>
    </row>
    <row r="27707" ht="16.5" customHeight="1">
      <c r="O27707" s="5" t="s">
        <v>355</v>
      </c>
      <c r="P27707" s="5" t="s">
        <v>355</v>
      </c>
      <c r="Q27707" s="5" t="s">
        <v>355</v>
      </c>
    </row>
    <row r="27708" ht="16.5" customHeight="1">
      <c r="O27708" s="5" t="s">
        <v>355</v>
      </c>
      <c r="P27708" s="5" t="s">
        <v>355</v>
      </c>
      <c r="Q27708" s="5" t="s">
        <v>355</v>
      </c>
    </row>
    <row r="27709" ht="16.5" customHeight="1">
      <c r="O27709" s="5" t="s">
        <v>355</v>
      </c>
      <c r="P27709" s="5" t="s">
        <v>355</v>
      </c>
      <c r="Q27709" s="5" t="s">
        <v>355</v>
      </c>
    </row>
    <row r="27710" ht="16.5" customHeight="1">
      <c r="O27710" s="5" t="s">
        <v>355</v>
      </c>
      <c r="P27710" s="5" t="s">
        <v>355</v>
      </c>
      <c r="Q27710" s="5" t="s">
        <v>355</v>
      </c>
    </row>
    <row r="27711" ht="16.5" customHeight="1">
      <c r="O27711" s="5" t="s">
        <v>355</v>
      </c>
      <c r="P27711" s="5" t="s">
        <v>355</v>
      </c>
      <c r="Q27711" s="5" t="s">
        <v>355</v>
      </c>
    </row>
    <row r="27712" ht="16.5" customHeight="1">
      <c r="O27712" s="5" t="s">
        <v>355</v>
      </c>
      <c r="P27712" s="5" t="s">
        <v>355</v>
      </c>
      <c r="Q27712" s="5" t="s">
        <v>355</v>
      </c>
    </row>
    <row r="27713" ht="16.5" customHeight="1">
      <c r="O27713" s="5" t="s">
        <v>355</v>
      </c>
      <c r="P27713" s="5" t="s">
        <v>355</v>
      </c>
      <c r="Q27713" s="5" t="s">
        <v>355</v>
      </c>
    </row>
    <row r="27714" ht="16.5" customHeight="1">
      <c r="O27714" s="5" t="s">
        <v>355</v>
      </c>
      <c r="P27714" s="5" t="s">
        <v>355</v>
      </c>
      <c r="Q27714" s="5" t="s">
        <v>355</v>
      </c>
    </row>
    <row r="27715" ht="16.5" customHeight="1">
      <c r="O27715" s="5" t="s">
        <v>355</v>
      </c>
      <c r="P27715" s="5" t="s">
        <v>355</v>
      </c>
      <c r="Q27715" s="5" t="s">
        <v>355</v>
      </c>
    </row>
    <row r="27716" ht="16.5" customHeight="1">
      <c r="O27716" s="5" t="s">
        <v>355</v>
      </c>
      <c r="P27716" s="5" t="s">
        <v>355</v>
      </c>
      <c r="Q27716" s="5" t="s">
        <v>355</v>
      </c>
    </row>
    <row r="27717" ht="16.5" customHeight="1">
      <c r="O27717" s="5" t="s">
        <v>355</v>
      </c>
      <c r="P27717" s="5" t="s">
        <v>355</v>
      </c>
      <c r="Q27717" s="5" t="s">
        <v>355</v>
      </c>
    </row>
    <row r="27718" ht="16.5" customHeight="1">
      <c r="O27718" s="5" t="s">
        <v>355</v>
      </c>
      <c r="P27718" s="5" t="s">
        <v>355</v>
      </c>
      <c r="Q27718" s="5" t="s">
        <v>355</v>
      </c>
    </row>
    <row r="27719" ht="16.5" customHeight="1">
      <c r="O27719" s="5" t="s">
        <v>355</v>
      </c>
      <c r="P27719" s="5" t="s">
        <v>355</v>
      </c>
      <c r="Q27719" s="5" t="s">
        <v>355</v>
      </c>
    </row>
    <row r="27720" ht="16.5" customHeight="1">
      <c r="O27720" s="5" t="s">
        <v>355</v>
      </c>
      <c r="P27720" s="5" t="s">
        <v>355</v>
      </c>
      <c r="Q27720" s="5" t="s">
        <v>355</v>
      </c>
    </row>
    <row r="27721" ht="16.5" customHeight="1">
      <c r="O27721" s="5" t="s">
        <v>355</v>
      </c>
      <c r="P27721" s="5" t="s">
        <v>355</v>
      </c>
      <c r="Q27721" s="5" t="s">
        <v>355</v>
      </c>
    </row>
    <row r="27722" ht="16.5" customHeight="1">
      <c r="O27722" s="5" t="s">
        <v>355</v>
      </c>
      <c r="P27722" s="5" t="s">
        <v>355</v>
      </c>
      <c r="Q27722" s="5" t="s">
        <v>355</v>
      </c>
    </row>
    <row r="27723" ht="16.5" customHeight="1">
      <c r="O27723" s="5" t="s">
        <v>355</v>
      </c>
      <c r="P27723" s="5" t="s">
        <v>355</v>
      </c>
      <c r="Q27723" s="5" t="s">
        <v>355</v>
      </c>
    </row>
    <row r="27724" ht="16.5" customHeight="1">
      <c r="O27724" s="5" t="s">
        <v>355</v>
      </c>
      <c r="P27724" s="5" t="s">
        <v>355</v>
      </c>
      <c r="Q27724" s="5" t="s">
        <v>355</v>
      </c>
    </row>
    <row r="27725" ht="16.5" customHeight="1">
      <c r="O27725" s="5" t="s">
        <v>355</v>
      </c>
      <c r="P27725" s="5" t="s">
        <v>355</v>
      </c>
      <c r="Q27725" s="5" t="s">
        <v>355</v>
      </c>
    </row>
    <row r="27726" ht="16.5" customHeight="1">
      <c r="O27726" s="5" t="s">
        <v>355</v>
      </c>
      <c r="P27726" s="5" t="s">
        <v>355</v>
      </c>
      <c r="Q27726" s="5" t="s">
        <v>355</v>
      </c>
    </row>
    <row r="27727" ht="16.5" customHeight="1">
      <c r="O27727" s="5" t="s">
        <v>355</v>
      </c>
      <c r="P27727" s="5" t="s">
        <v>355</v>
      </c>
      <c r="Q27727" s="5" t="s">
        <v>355</v>
      </c>
    </row>
    <row r="27728" ht="16.5" customHeight="1">
      <c r="O27728" s="5" t="s">
        <v>355</v>
      </c>
      <c r="P27728" s="5" t="s">
        <v>355</v>
      </c>
      <c r="Q27728" s="5" t="s">
        <v>355</v>
      </c>
    </row>
    <row r="27729" ht="16.5" customHeight="1">
      <c r="O27729" s="5" t="s">
        <v>355</v>
      </c>
      <c r="P27729" s="5" t="s">
        <v>355</v>
      </c>
      <c r="Q27729" s="5" t="s">
        <v>355</v>
      </c>
    </row>
    <row r="27730" ht="16.5" customHeight="1">
      <c r="O27730" s="5" t="s">
        <v>355</v>
      </c>
      <c r="P27730" s="5" t="s">
        <v>355</v>
      </c>
      <c r="Q27730" s="5" t="s">
        <v>355</v>
      </c>
    </row>
    <row r="27731" ht="16.5" customHeight="1">
      <c r="O27731" s="5" t="s">
        <v>355</v>
      </c>
      <c r="P27731" s="5" t="s">
        <v>355</v>
      </c>
      <c r="Q27731" s="5" t="s">
        <v>355</v>
      </c>
    </row>
    <row r="27732" ht="16.5" customHeight="1">
      <c r="O27732" s="5" t="s">
        <v>355</v>
      </c>
      <c r="P27732" s="5" t="s">
        <v>355</v>
      </c>
      <c r="Q27732" s="5" t="s">
        <v>355</v>
      </c>
    </row>
    <row r="27733" ht="16.5" customHeight="1">
      <c r="O27733" s="5" t="s">
        <v>355</v>
      </c>
      <c r="P27733" s="5" t="s">
        <v>355</v>
      </c>
      <c r="Q27733" s="5" t="s">
        <v>355</v>
      </c>
    </row>
    <row r="27734" ht="16.5" customHeight="1">
      <c r="O27734" s="5" t="s">
        <v>355</v>
      </c>
      <c r="P27734" s="5" t="s">
        <v>355</v>
      </c>
      <c r="Q27734" s="5" t="s">
        <v>355</v>
      </c>
    </row>
    <row r="27735" ht="16.5" customHeight="1">
      <c r="O27735" s="5" t="s">
        <v>355</v>
      </c>
      <c r="P27735" s="5" t="s">
        <v>355</v>
      </c>
      <c r="Q27735" s="5" t="s">
        <v>355</v>
      </c>
    </row>
    <row r="27736" ht="16.5" customHeight="1">
      <c r="O27736" s="5" t="s">
        <v>355</v>
      </c>
      <c r="P27736" s="5" t="s">
        <v>355</v>
      </c>
      <c r="Q27736" s="5" t="s">
        <v>355</v>
      </c>
    </row>
    <row r="27737" ht="16.5" customHeight="1">
      <c r="O27737" s="5" t="s">
        <v>355</v>
      </c>
      <c r="P27737" s="5" t="s">
        <v>355</v>
      </c>
      <c r="Q27737" s="5" t="s">
        <v>355</v>
      </c>
    </row>
    <row r="27738" ht="16.5" customHeight="1">
      <c r="O27738" s="5" t="s">
        <v>355</v>
      </c>
      <c r="P27738" s="5" t="s">
        <v>355</v>
      </c>
      <c r="Q27738" s="5" t="s">
        <v>355</v>
      </c>
    </row>
    <row r="27739" ht="16.5" customHeight="1">
      <c r="O27739" s="5" t="s">
        <v>355</v>
      </c>
      <c r="P27739" s="5" t="s">
        <v>355</v>
      </c>
      <c r="Q27739" s="5" t="s">
        <v>355</v>
      </c>
    </row>
    <row r="27740" ht="16.5" customHeight="1">
      <c r="O27740" s="5" t="s">
        <v>355</v>
      </c>
      <c r="P27740" s="5" t="s">
        <v>355</v>
      </c>
      <c r="Q27740" s="5" t="s">
        <v>355</v>
      </c>
    </row>
    <row r="27741" ht="16.5" customHeight="1">
      <c r="O27741" s="5" t="s">
        <v>355</v>
      </c>
      <c r="P27741" s="5" t="s">
        <v>355</v>
      </c>
      <c r="Q27741" s="5" t="s">
        <v>355</v>
      </c>
    </row>
    <row r="27742" ht="16.5" customHeight="1">
      <c r="O27742" s="5" t="s">
        <v>355</v>
      </c>
      <c r="P27742" s="5" t="s">
        <v>355</v>
      </c>
      <c r="Q27742" s="5" t="s">
        <v>355</v>
      </c>
    </row>
    <row r="27743" ht="16.5" customHeight="1">
      <c r="O27743" s="5" t="s">
        <v>355</v>
      </c>
      <c r="P27743" s="5" t="s">
        <v>355</v>
      </c>
      <c r="Q27743" s="5" t="s">
        <v>355</v>
      </c>
    </row>
    <row r="27744" ht="16.5" customHeight="1">
      <c r="O27744" s="5" t="s">
        <v>355</v>
      </c>
      <c r="P27744" s="5" t="s">
        <v>355</v>
      </c>
      <c r="Q27744" s="5" t="s">
        <v>355</v>
      </c>
    </row>
    <row r="27745" ht="16.5" customHeight="1">
      <c r="O27745" s="5" t="s">
        <v>355</v>
      </c>
      <c r="P27745" s="5" t="s">
        <v>355</v>
      </c>
      <c r="Q27745" s="5" t="s">
        <v>355</v>
      </c>
    </row>
    <row r="27746" ht="16.5" customHeight="1">
      <c r="O27746" s="5" t="s">
        <v>355</v>
      </c>
      <c r="P27746" s="5" t="s">
        <v>355</v>
      </c>
      <c r="Q27746" s="5" t="s">
        <v>355</v>
      </c>
    </row>
    <row r="27747" ht="16.5" customHeight="1">
      <c r="O27747" s="5" t="s">
        <v>355</v>
      </c>
      <c r="P27747" s="5" t="s">
        <v>355</v>
      </c>
      <c r="Q27747" s="5" t="s">
        <v>355</v>
      </c>
    </row>
    <row r="27748" ht="16.5" customHeight="1">
      <c r="O27748" s="5" t="s">
        <v>355</v>
      </c>
      <c r="P27748" s="5" t="s">
        <v>355</v>
      </c>
      <c r="Q27748" s="5" t="s">
        <v>355</v>
      </c>
    </row>
    <row r="27749" ht="16.5" customHeight="1">
      <c r="O27749" s="5" t="s">
        <v>355</v>
      </c>
      <c r="P27749" s="5" t="s">
        <v>355</v>
      </c>
      <c r="Q27749" s="5" t="s">
        <v>355</v>
      </c>
    </row>
    <row r="27750" ht="16.5" customHeight="1">
      <c r="O27750" s="5" t="s">
        <v>355</v>
      </c>
      <c r="P27750" s="5" t="s">
        <v>355</v>
      </c>
      <c r="Q27750" s="5" t="s">
        <v>355</v>
      </c>
    </row>
    <row r="27751" ht="16.5" customHeight="1">
      <c r="O27751" s="5" t="s">
        <v>355</v>
      </c>
      <c r="P27751" s="5" t="s">
        <v>355</v>
      </c>
      <c r="Q27751" s="5" t="s">
        <v>355</v>
      </c>
    </row>
    <row r="27752" ht="16.5" customHeight="1">
      <c r="O27752" s="5" t="s">
        <v>355</v>
      </c>
      <c r="P27752" s="5" t="s">
        <v>355</v>
      </c>
      <c r="Q27752" s="5" t="s">
        <v>355</v>
      </c>
    </row>
    <row r="27753" ht="16.5" customHeight="1">
      <c r="O27753" s="5" t="s">
        <v>355</v>
      </c>
      <c r="P27753" s="5" t="s">
        <v>355</v>
      </c>
      <c r="Q27753" s="5" t="s">
        <v>355</v>
      </c>
    </row>
    <row r="27754" ht="16.5" customHeight="1">
      <c r="O27754" s="5" t="s">
        <v>355</v>
      </c>
      <c r="P27754" s="5" t="s">
        <v>355</v>
      </c>
      <c r="Q27754" s="5" t="s">
        <v>355</v>
      </c>
    </row>
    <row r="27755" ht="16.5" customHeight="1">
      <c r="O27755" s="5" t="s">
        <v>355</v>
      </c>
      <c r="P27755" s="5" t="s">
        <v>355</v>
      </c>
      <c r="Q27755" s="5" t="s">
        <v>355</v>
      </c>
    </row>
    <row r="27756" ht="16.5" customHeight="1">
      <c r="O27756" s="5" t="s">
        <v>355</v>
      </c>
      <c r="P27756" s="5" t="s">
        <v>355</v>
      </c>
      <c r="Q27756" s="5" t="s">
        <v>355</v>
      </c>
    </row>
    <row r="27757" ht="16.5" customHeight="1">
      <c r="O27757" s="5" t="s">
        <v>355</v>
      </c>
      <c r="P27757" s="5" t="s">
        <v>355</v>
      </c>
      <c r="Q27757" s="5" t="s">
        <v>355</v>
      </c>
    </row>
    <row r="27758" ht="16.5" customHeight="1">
      <c r="O27758" s="5" t="s">
        <v>355</v>
      </c>
      <c r="P27758" s="5" t="s">
        <v>355</v>
      </c>
      <c r="Q27758" s="5" t="s">
        <v>355</v>
      </c>
    </row>
    <row r="27759" ht="16.5" customHeight="1">
      <c r="O27759" s="5" t="s">
        <v>355</v>
      </c>
      <c r="P27759" s="5" t="s">
        <v>355</v>
      </c>
      <c r="Q27759" s="5" t="s">
        <v>355</v>
      </c>
    </row>
    <row r="27760" ht="16.5" customHeight="1">
      <c r="O27760" s="5" t="s">
        <v>355</v>
      </c>
      <c r="P27760" s="5" t="s">
        <v>355</v>
      </c>
      <c r="Q27760" s="5" t="s">
        <v>355</v>
      </c>
    </row>
    <row r="27761" ht="16.5" customHeight="1">
      <c r="O27761" s="5" t="s">
        <v>355</v>
      </c>
      <c r="P27761" s="5" t="s">
        <v>355</v>
      </c>
      <c r="Q27761" s="5" t="s">
        <v>355</v>
      </c>
    </row>
    <row r="27762" ht="16.5" customHeight="1">
      <c r="O27762" s="5" t="s">
        <v>355</v>
      </c>
      <c r="P27762" s="5" t="s">
        <v>355</v>
      </c>
      <c r="Q27762" s="5" t="s">
        <v>355</v>
      </c>
    </row>
    <row r="27763" ht="16.5" customHeight="1">
      <c r="O27763" s="5" t="s">
        <v>355</v>
      </c>
      <c r="P27763" s="5" t="s">
        <v>355</v>
      </c>
      <c r="Q27763" s="5" t="s">
        <v>355</v>
      </c>
    </row>
    <row r="27764" ht="16.5" customHeight="1">
      <c r="O27764" s="5" t="s">
        <v>355</v>
      </c>
      <c r="P27764" s="5" t="s">
        <v>355</v>
      </c>
      <c r="Q27764" s="5" t="s">
        <v>355</v>
      </c>
    </row>
    <row r="27765" ht="16.5" customHeight="1">
      <c r="O27765" s="5" t="s">
        <v>355</v>
      </c>
      <c r="P27765" s="5" t="s">
        <v>355</v>
      </c>
      <c r="Q27765" s="5" t="s">
        <v>355</v>
      </c>
    </row>
    <row r="27766" ht="16.5" customHeight="1">
      <c r="O27766" s="5" t="s">
        <v>355</v>
      </c>
      <c r="P27766" s="5" t="s">
        <v>355</v>
      </c>
      <c r="Q27766" s="5" t="s">
        <v>355</v>
      </c>
    </row>
    <row r="27767" ht="16.5" customHeight="1">
      <c r="O27767" s="5" t="s">
        <v>355</v>
      </c>
      <c r="P27767" s="5" t="s">
        <v>355</v>
      </c>
      <c r="Q27767" s="5" t="s">
        <v>355</v>
      </c>
    </row>
    <row r="27768" ht="16.5" customHeight="1">
      <c r="O27768" s="5" t="s">
        <v>355</v>
      </c>
      <c r="P27768" s="5" t="s">
        <v>355</v>
      </c>
      <c r="Q27768" s="5" t="s">
        <v>355</v>
      </c>
    </row>
    <row r="27769" ht="16.5" customHeight="1">
      <c r="O27769" s="5" t="s">
        <v>355</v>
      </c>
      <c r="P27769" s="5" t="s">
        <v>355</v>
      </c>
      <c r="Q27769" s="5" t="s">
        <v>355</v>
      </c>
    </row>
    <row r="27770" ht="16.5" customHeight="1">
      <c r="O27770" s="5" t="s">
        <v>355</v>
      </c>
      <c r="P27770" s="5" t="s">
        <v>355</v>
      </c>
      <c r="Q27770" s="5" t="s">
        <v>355</v>
      </c>
    </row>
    <row r="27771" ht="16.5" customHeight="1">
      <c r="O27771" s="5" t="s">
        <v>355</v>
      </c>
      <c r="P27771" s="5" t="s">
        <v>355</v>
      </c>
      <c r="Q27771" s="5" t="s">
        <v>355</v>
      </c>
    </row>
    <row r="27772" ht="16.5" customHeight="1">
      <c r="O27772" s="5" t="s">
        <v>355</v>
      </c>
      <c r="P27772" s="5" t="s">
        <v>355</v>
      </c>
      <c r="Q27772" s="5" t="s">
        <v>355</v>
      </c>
    </row>
    <row r="27773" ht="16.5" customHeight="1">
      <c r="O27773" s="5" t="s">
        <v>355</v>
      </c>
      <c r="P27773" s="5" t="s">
        <v>355</v>
      </c>
      <c r="Q27773" s="5" t="s">
        <v>355</v>
      </c>
    </row>
    <row r="27774" ht="16.5" customHeight="1">
      <c r="O27774" s="5" t="s">
        <v>355</v>
      </c>
      <c r="P27774" s="5" t="s">
        <v>355</v>
      </c>
      <c r="Q27774" s="5" t="s">
        <v>355</v>
      </c>
    </row>
    <row r="27775" ht="16.5" customHeight="1">
      <c r="O27775" s="5" t="s">
        <v>355</v>
      </c>
      <c r="P27775" s="5" t="s">
        <v>355</v>
      </c>
      <c r="Q27775" s="5" t="s">
        <v>355</v>
      </c>
    </row>
    <row r="27776" ht="16.5" customHeight="1">
      <c r="O27776" s="5" t="s">
        <v>355</v>
      </c>
      <c r="P27776" s="5" t="s">
        <v>355</v>
      </c>
      <c r="Q27776" s="5" t="s">
        <v>355</v>
      </c>
    </row>
    <row r="27777" ht="16.5" customHeight="1">
      <c r="O27777" s="5" t="s">
        <v>355</v>
      </c>
      <c r="P27777" s="5" t="s">
        <v>355</v>
      </c>
      <c r="Q27777" s="5" t="s">
        <v>355</v>
      </c>
    </row>
    <row r="27778" ht="16.5" customHeight="1">
      <c r="O27778" s="5" t="s">
        <v>355</v>
      </c>
      <c r="P27778" s="5" t="s">
        <v>355</v>
      </c>
      <c r="Q27778" s="5" t="s">
        <v>355</v>
      </c>
    </row>
    <row r="27779" ht="16.5" customHeight="1">
      <c r="O27779" s="5" t="s">
        <v>355</v>
      </c>
      <c r="P27779" s="5" t="s">
        <v>355</v>
      </c>
      <c r="Q27779" s="5" t="s">
        <v>355</v>
      </c>
    </row>
    <row r="27780" ht="16.5" customHeight="1">
      <c r="O27780" s="5" t="s">
        <v>355</v>
      </c>
      <c r="P27780" s="5" t="s">
        <v>355</v>
      </c>
      <c r="Q27780" s="5" t="s">
        <v>355</v>
      </c>
    </row>
    <row r="27781" ht="16.5" customHeight="1">
      <c r="O27781" s="5" t="s">
        <v>355</v>
      </c>
      <c r="P27781" s="5" t="s">
        <v>355</v>
      </c>
      <c r="Q27781" s="5" t="s">
        <v>355</v>
      </c>
    </row>
    <row r="27782" ht="16.5" customHeight="1">
      <c r="O27782" s="5" t="s">
        <v>355</v>
      </c>
      <c r="P27782" s="5" t="s">
        <v>355</v>
      </c>
      <c r="Q27782" s="5" t="s">
        <v>355</v>
      </c>
    </row>
    <row r="27783" ht="16.5" customHeight="1">
      <c r="O27783" s="5" t="s">
        <v>355</v>
      </c>
      <c r="P27783" s="5" t="s">
        <v>355</v>
      </c>
      <c r="Q27783" s="5" t="s">
        <v>355</v>
      </c>
    </row>
    <row r="27784" ht="16.5" customHeight="1">
      <c r="O27784" s="5" t="s">
        <v>355</v>
      </c>
      <c r="P27784" s="5" t="s">
        <v>355</v>
      </c>
      <c r="Q27784" s="5" t="s">
        <v>355</v>
      </c>
    </row>
    <row r="27785" ht="16.5" customHeight="1">
      <c r="O27785" s="5" t="s">
        <v>355</v>
      </c>
      <c r="P27785" s="5" t="s">
        <v>355</v>
      </c>
      <c r="Q27785" s="5" t="s">
        <v>355</v>
      </c>
    </row>
    <row r="27786" ht="16.5" customHeight="1">
      <c r="O27786" s="5" t="s">
        <v>355</v>
      </c>
      <c r="P27786" s="5" t="s">
        <v>355</v>
      </c>
      <c r="Q27786" s="5" t="s">
        <v>355</v>
      </c>
    </row>
    <row r="27787" ht="16.5" customHeight="1">
      <c r="O27787" s="5" t="s">
        <v>355</v>
      </c>
      <c r="P27787" s="5" t="s">
        <v>355</v>
      </c>
      <c r="Q27787" s="5" t="s">
        <v>355</v>
      </c>
    </row>
    <row r="27788" ht="16.5" customHeight="1">
      <c r="O27788" s="5" t="s">
        <v>355</v>
      </c>
      <c r="P27788" s="5" t="s">
        <v>355</v>
      </c>
      <c r="Q27788" s="5" t="s">
        <v>355</v>
      </c>
    </row>
    <row r="27789" ht="16.5" customHeight="1">
      <c r="O27789" s="5" t="s">
        <v>355</v>
      </c>
      <c r="P27789" s="5" t="s">
        <v>355</v>
      </c>
      <c r="Q27789" s="5" t="s">
        <v>355</v>
      </c>
    </row>
    <row r="27790" ht="16.5" customHeight="1">
      <c r="O27790" s="5" t="s">
        <v>355</v>
      </c>
      <c r="P27790" s="5" t="s">
        <v>355</v>
      </c>
      <c r="Q27790" s="5" t="s">
        <v>355</v>
      </c>
    </row>
    <row r="27791" ht="16.5" customHeight="1">
      <c r="O27791" s="5" t="s">
        <v>355</v>
      </c>
      <c r="P27791" s="5" t="s">
        <v>355</v>
      </c>
      <c r="Q27791" s="5" t="s">
        <v>355</v>
      </c>
    </row>
    <row r="27792" ht="16.5" customHeight="1">
      <c r="O27792" s="5" t="s">
        <v>355</v>
      </c>
      <c r="P27792" s="5" t="s">
        <v>355</v>
      </c>
      <c r="Q27792" s="5" t="s">
        <v>355</v>
      </c>
    </row>
    <row r="27793" ht="16.5" customHeight="1">
      <c r="O27793" s="5" t="s">
        <v>355</v>
      </c>
      <c r="P27793" s="5" t="s">
        <v>355</v>
      </c>
      <c r="Q27793" s="5" t="s">
        <v>355</v>
      </c>
    </row>
    <row r="27794" ht="16.5" customHeight="1">
      <c r="O27794" s="5" t="s">
        <v>355</v>
      </c>
      <c r="P27794" s="5" t="s">
        <v>355</v>
      </c>
      <c r="Q27794" s="5" t="s">
        <v>355</v>
      </c>
    </row>
    <row r="27795" ht="16.5" customHeight="1">
      <c r="O27795" s="5" t="s">
        <v>355</v>
      </c>
      <c r="P27795" s="5" t="s">
        <v>355</v>
      </c>
      <c r="Q27795" s="5" t="s">
        <v>355</v>
      </c>
    </row>
    <row r="27796" ht="16.5" customHeight="1">
      <c r="O27796" s="5" t="s">
        <v>355</v>
      </c>
      <c r="P27796" s="5" t="s">
        <v>355</v>
      </c>
      <c r="Q27796" s="5" t="s">
        <v>355</v>
      </c>
    </row>
    <row r="27797" ht="16.5" customHeight="1">
      <c r="O27797" s="5" t="s">
        <v>355</v>
      </c>
      <c r="P27797" s="5" t="s">
        <v>355</v>
      </c>
      <c r="Q27797" s="5" t="s">
        <v>355</v>
      </c>
    </row>
    <row r="27798" ht="16.5" customHeight="1">
      <c r="O27798" s="5" t="s">
        <v>355</v>
      </c>
      <c r="P27798" s="5" t="s">
        <v>355</v>
      </c>
      <c r="Q27798" s="5" t="s">
        <v>355</v>
      </c>
    </row>
    <row r="27799" ht="16.5" customHeight="1">
      <c r="O27799" s="5" t="s">
        <v>355</v>
      </c>
      <c r="P27799" s="5" t="s">
        <v>355</v>
      </c>
      <c r="Q27799" s="5" t="s">
        <v>355</v>
      </c>
    </row>
    <row r="27800" ht="16.5" customHeight="1">
      <c r="O27800" s="5" t="s">
        <v>355</v>
      </c>
      <c r="P27800" s="5" t="s">
        <v>355</v>
      </c>
      <c r="Q27800" s="5" t="s">
        <v>355</v>
      </c>
    </row>
    <row r="27801" ht="16.5" customHeight="1">
      <c r="O27801" s="5" t="s">
        <v>355</v>
      </c>
      <c r="P27801" s="5" t="s">
        <v>355</v>
      </c>
      <c r="Q27801" s="5" t="s">
        <v>355</v>
      </c>
    </row>
    <row r="27802" ht="16.5" customHeight="1">
      <c r="O27802" s="5" t="s">
        <v>355</v>
      </c>
      <c r="P27802" s="5" t="s">
        <v>355</v>
      </c>
      <c r="Q27802" s="5" t="s">
        <v>355</v>
      </c>
    </row>
    <row r="27803" ht="16.5" customHeight="1">
      <c r="O27803" s="5" t="s">
        <v>355</v>
      </c>
      <c r="P27803" s="5" t="s">
        <v>355</v>
      </c>
      <c r="Q27803" s="5" t="s">
        <v>355</v>
      </c>
    </row>
    <row r="27804" ht="16.5" customHeight="1">
      <c r="O27804" s="5" t="s">
        <v>355</v>
      </c>
      <c r="P27804" s="5" t="s">
        <v>355</v>
      </c>
      <c r="Q27804" s="5" t="s">
        <v>355</v>
      </c>
    </row>
    <row r="27805" ht="16.5" customHeight="1">
      <c r="O27805" s="5" t="s">
        <v>355</v>
      </c>
      <c r="P27805" s="5" t="s">
        <v>355</v>
      </c>
      <c r="Q27805" s="5" t="s">
        <v>355</v>
      </c>
    </row>
    <row r="27806" ht="16.5" customHeight="1">
      <c r="O27806" s="5" t="s">
        <v>355</v>
      </c>
      <c r="P27806" s="5" t="s">
        <v>355</v>
      </c>
      <c r="Q27806" s="5" t="s">
        <v>355</v>
      </c>
    </row>
    <row r="27807" ht="16.5" customHeight="1">
      <c r="O27807" s="5" t="s">
        <v>355</v>
      </c>
      <c r="P27807" s="5" t="s">
        <v>355</v>
      </c>
      <c r="Q27807" s="5" t="s">
        <v>355</v>
      </c>
    </row>
    <row r="27808" ht="16.5" customHeight="1">
      <c r="O27808" s="5" t="s">
        <v>355</v>
      </c>
      <c r="P27808" s="5" t="s">
        <v>355</v>
      </c>
      <c r="Q27808" s="5" t="s">
        <v>355</v>
      </c>
    </row>
    <row r="27809" ht="16.5" customHeight="1">
      <c r="O27809" s="5" t="s">
        <v>355</v>
      </c>
      <c r="P27809" s="5" t="s">
        <v>355</v>
      </c>
      <c r="Q27809" s="5" t="s">
        <v>355</v>
      </c>
    </row>
    <row r="27810" ht="16.5" customHeight="1">
      <c r="O27810" s="5" t="s">
        <v>355</v>
      </c>
      <c r="P27810" s="5" t="s">
        <v>355</v>
      </c>
      <c r="Q27810" s="5" t="s">
        <v>355</v>
      </c>
    </row>
    <row r="27811" ht="16.5" customHeight="1">
      <c r="O27811" s="5" t="s">
        <v>355</v>
      </c>
      <c r="P27811" s="5" t="s">
        <v>355</v>
      </c>
      <c r="Q27811" s="5" t="s">
        <v>355</v>
      </c>
    </row>
    <row r="27812" ht="16.5" customHeight="1">
      <c r="O27812" s="5" t="s">
        <v>355</v>
      </c>
      <c r="P27812" s="5" t="s">
        <v>355</v>
      </c>
      <c r="Q27812" s="5" t="s">
        <v>355</v>
      </c>
    </row>
    <row r="27813" ht="16.5" customHeight="1">
      <c r="O27813" s="5" t="s">
        <v>355</v>
      </c>
      <c r="P27813" s="5" t="s">
        <v>355</v>
      </c>
      <c r="Q27813" s="5" t="s">
        <v>355</v>
      </c>
    </row>
    <row r="27814" ht="16.5" customHeight="1">
      <c r="O27814" s="5" t="s">
        <v>355</v>
      </c>
      <c r="P27814" s="5" t="s">
        <v>355</v>
      </c>
      <c r="Q27814" s="5" t="s">
        <v>355</v>
      </c>
    </row>
    <row r="27815" ht="16.5" customHeight="1">
      <c r="O27815" s="5" t="s">
        <v>355</v>
      </c>
      <c r="P27815" s="5" t="s">
        <v>355</v>
      </c>
      <c r="Q27815" s="5" t="s">
        <v>355</v>
      </c>
    </row>
    <row r="27816" ht="16.5" customHeight="1">
      <c r="O27816" s="5" t="s">
        <v>355</v>
      </c>
      <c r="P27816" s="5" t="s">
        <v>355</v>
      </c>
      <c r="Q27816" s="5" t="s">
        <v>355</v>
      </c>
    </row>
    <row r="27817" ht="16.5" customHeight="1">
      <c r="O27817" s="5" t="s">
        <v>355</v>
      </c>
      <c r="P27817" s="5" t="s">
        <v>355</v>
      </c>
      <c r="Q27817" s="5" t="s">
        <v>355</v>
      </c>
    </row>
    <row r="27818" ht="16.5" customHeight="1">
      <c r="O27818" s="5" t="s">
        <v>355</v>
      </c>
      <c r="P27818" s="5" t="s">
        <v>355</v>
      </c>
      <c r="Q27818" s="5" t="s">
        <v>355</v>
      </c>
    </row>
    <row r="27819" ht="16.5" customHeight="1">
      <c r="O27819" s="5" t="s">
        <v>355</v>
      </c>
      <c r="P27819" s="5" t="s">
        <v>355</v>
      </c>
      <c r="Q27819" s="5" t="s">
        <v>355</v>
      </c>
    </row>
    <row r="27820" ht="16.5" customHeight="1">
      <c r="O27820" s="5" t="s">
        <v>355</v>
      </c>
      <c r="P27820" s="5" t="s">
        <v>355</v>
      </c>
      <c r="Q27820" s="5" t="s">
        <v>355</v>
      </c>
    </row>
    <row r="27821" ht="16.5" customHeight="1">
      <c r="O27821" s="5" t="s">
        <v>355</v>
      </c>
      <c r="P27821" s="5" t="s">
        <v>355</v>
      </c>
      <c r="Q27821" s="5" t="s">
        <v>355</v>
      </c>
    </row>
    <row r="27822" ht="16.5" customHeight="1">
      <c r="O27822" s="5" t="s">
        <v>355</v>
      </c>
      <c r="P27822" s="5" t="s">
        <v>355</v>
      </c>
      <c r="Q27822" s="5" t="s">
        <v>355</v>
      </c>
    </row>
    <row r="27823" ht="16.5" customHeight="1">
      <c r="O27823" s="5" t="s">
        <v>355</v>
      </c>
      <c r="P27823" s="5" t="s">
        <v>355</v>
      </c>
      <c r="Q27823" s="5" t="s">
        <v>355</v>
      </c>
    </row>
    <row r="27824" ht="16.5" customHeight="1">
      <c r="O27824" s="5" t="s">
        <v>355</v>
      </c>
      <c r="P27824" s="5" t="s">
        <v>355</v>
      </c>
      <c r="Q27824" s="5" t="s">
        <v>355</v>
      </c>
    </row>
    <row r="27825" ht="16.5" customHeight="1">
      <c r="O27825" s="5" t="s">
        <v>355</v>
      </c>
      <c r="P27825" s="5" t="s">
        <v>355</v>
      </c>
      <c r="Q27825" s="5" t="s">
        <v>355</v>
      </c>
    </row>
    <row r="27826" ht="16.5" customHeight="1">
      <c r="O27826" s="5" t="s">
        <v>355</v>
      </c>
      <c r="P27826" s="5" t="s">
        <v>355</v>
      </c>
      <c r="Q27826" s="5" t="s">
        <v>355</v>
      </c>
    </row>
    <row r="27827" ht="16.5" customHeight="1">
      <c r="O27827" s="5" t="s">
        <v>355</v>
      </c>
      <c r="P27827" s="5" t="s">
        <v>355</v>
      </c>
      <c r="Q27827" s="5" t="s">
        <v>355</v>
      </c>
    </row>
    <row r="27828" ht="16.5" customHeight="1">
      <c r="O27828" s="5" t="s">
        <v>355</v>
      </c>
      <c r="P27828" s="5" t="s">
        <v>355</v>
      </c>
      <c r="Q27828" s="5" t="s">
        <v>355</v>
      </c>
    </row>
    <row r="27829" ht="16.5" customHeight="1">
      <c r="O27829" s="5" t="s">
        <v>355</v>
      </c>
      <c r="P27829" s="5" t="s">
        <v>355</v>
      </c>
      <c r="Q27829" s="5" t="s">
        <v>355</v>
      </c>
    </row>
    <row r="27830" ht="16.5" customHeight="1">
      <c r="O27830" s="5" t="s">
        <v>355</v>
      </c>
      <c r="P27830" s="5" t="s">
        <v>355</v>
      </c>
      <c r="Q27830" s="5" t="s">
        <v>355</v>
      </c>
    </row>
    <row r="27831" ht="16.5" customHeight="1">
      <c r="O27831" s="5" t="s">
        <v>355</v>
      </c>
      <c r="P27831" s="5" t="s">
        <v>355</v>
      </c>
      <c r="Q27831" s="5" t="s">
        <v>355</v>
      </c>
    </row>
    <row r="27832" ht="16.5" customHeight="1">
      <c r="O27832" s="5" t="s">
        <v>355</v>
      </c>
      <c r="P27832" s="5" t="s">
        <v>355</v>
      </c>
      <c r="Q27832" s="5" t="s">
        <v>355</v>
      </c>
    </row>
    <row r="27833" ht="16.5" customHeight="1">
      <c r="O27833" s="5" t="s">
        <v>355</v>
      </c>
      <c r="P27833" s="5" t="s">
        <v>355</v>
      </c>
      <c r="Q27833" s="5" t="s">
        <v>355</v>
      </c>
    </row>
    <row r="27834" ht="16.5" customHeight="1">
      <c r="O27834" s="5" t="s">
        <v>355</v>
      </c>
      <c r="P27834" s="5" t="s">
        <v>355</v>
      </c>
      <c r="Q27834" s="5" t="s">
        <v>355</v>
      </c>
    </row>
    <row r="27835" ht="16.5" customHeight="1">
      <c r="O27835" s="5" t="s">
        <v>355</v>
      </c>
      <c r="P27835" s="5" t="s">
        <v>355</v>
      </c>
      <c r="Q27835" s="5" t="s">
        <v>355</v>
      </c>
    </row>
    <row r="27836" ht="16.5" customHeight="1">
      <c r="O27836" s="5" t="s">
        <v>355</v>
      </c>
      <c r="P27836" s="5" t="s">
        <v>355</v>
      </c>
      <c r="Q27836" s="5" t="s">
        <v>355</v>
      </c>
    </row>
    <row r="27837" ht="16.5" customHeight="1">
      <c r="O27837" s="5" t="s">
        <v>355</v>
      </c>
      <c r="P27837" s="5" t="s">
        <v>355</v>
      </c>
      <c r="Q27837" s="5" t="s">
        <v>355</v>
      </c>
    </row>
    <row r="27838" ht="16.5" customHeight="1">
      <c r="O27838" s="5" t="s">
        <v>355</v>
      </c>
      <c r="P27838" s="5" t="s">
        <v>355</v>
      </c>
      <c r="Q27838" s="5" t="s">
        <v>355</v>
      </c>
    </row>
    <row r="27839" ht="16.5" customHeight="1">
      <c r="O27839" s="5" t="s">
        <v>355</v>
      </c>
      <c r="P27839" s="5" t="s">
        <v>355</v>
      </c>
      <c r="Q27839" s="5" t="s">
        <v>355</v>
      </c>
    </row>
    <row r="27840" ht="16.5" customHeight="1">
      <c r="O27840" s="5" t="s">
        <v>355</v>
      </c>
      <c r="P27840" s="5" t="s">
        <v>355</v>
      </c>
      <c r="Q27840" s="5" t="s">
        <v>355</v>
      </c>
    </row>
    <row r="27841" ht="16.5" customHeight="1">
      <c r="O27841" s="5" t="s">
        <v>355</v>
      </c>
      <c r="P27841" s="5" t="s">
        <v>355</v>
      </c>
      <c r="Q27841" s="5" t="s">
        <v>355</v>
      </c>
    </row>
    <row r="27842" ht="16.5" customHeight="1">
      <c r="O27842" s="5" t="s">
        <v>355</v>
      </c>
      <c r="P27842" s="5" t="s">
        <v>355</v>
      </c>
      <c r="Q27842" s="5" t="s">
        <v>355</v>
      </c>
    </row>
    <row r="27843" ht="16.5" customHeight="1">
      <c r="O27843" s="5" t="s">
        <v>355</v>
      </c>
      <c r="P27843" s="5" t="s">
        <v>355</v>
      </c>
      <c r="Q27843" s="5" t="s">
        <v>355</v>
      </c>
    </row>
    <row r="27844" ht="16.5" customHeight="1">
      <c r="O27844" s="5" t="s">
        <v>355</v>
      </c>
      <c r="P27844" s="5" t="s">
        <v>355</v>
      </c>
      <c r="Q27844" s="5" t="s">
        <v>355</v>
      </c>
    </row>
    <row r="27845" ht="16.5" customHeight="1">
      <c r="O27845" s="5" t="s">
        <v>355</v>
      </c>
      <c r="P27845" s="5" t="s">
        <v>355</v>
      </c>
      <c r="Q27845" s="5" t="s">
        <v>355</v>
      </c>
    </row>
    <row r="27846" ht="16.5" customHeight="1">
      <c r="O27846" s="5" t="s">
        <v>355</v>
      </c>
      <c r="P27846" s="5" t="s">
        <v>355</v>
      </c>
      <c r="Q27846" s="5" t="s">
        <v>355</v>
      </c>
    </row>
    <row r="27847" ht="16.5" customHeight="1">
      <c r="O27847" s="5" t="s">
        <v>355</v>
      </c>
      <c r="P27847" s="5" t="s">
        <v>355</v>
      </c>
      <c r="Q27847" s="5" t="s">
        <v>355</v>
      </c>
    </row>
    <row r="27848" ht="16.5" customHeight="1">
      <c r="O27848" s="5" t="s">
        <v>355</v>
      </c>
      <c r="P27848" s="5" t="s">
        <v>355</v>
      </c>
      <c r="Q27848" s="5" t="s">
        <v>355</v>
      </c>
    </row>
    <row r="27849" ht="16.5" customHeight="1">
      <c r="O27849" s="5" t="s">
        <v>355</v>
      </c>
      <c r="P27849" s="5" t="s">
        <v>355</v>
      </c>
      <c r="Q27849" s="5" t="s">
        <v>355</v>
      </c>
    </row>
    <row r="27850" ht="16.5" customHeight="1">
      <c r="O27850" s="5" t="s">
        <v>355</v>
      </c>
      <c r="P27850" s="5" t="s">
        <v>355</v>
      </c>
      <c r="Q27850" s="5" t="s">
        <v>355</v>
      </c>
    </row>
    <row r="27851" ht="16.5" customHeight="1">
      <c r="O27851" s="5" t="s">
        <v>355</v>
      </c>
      <c r="P27851" s="5" t="s">
        <v>355</v>
      </c>
      <c r="Q27851" s="5" t="s">
        <v>355</v>
      </c>
    </row>
    <row r="27852" ht="16.5" customHeight="1">
      <c r="O27852" s="5" t="s">
        <v>355</v>
      </c>
      <c r="P27852" s="5" t="s">
        <v>355</v>
      </c>
      <c r="Q27852" s="5" t="s">
        <v>355</v>
      </c>
    </row>
    <row r="27853" ht="16.5" customHeight="1">
      <c r="O27853" s="5" t="s">
        <v>355</v>
      </c>
      <c r="P27853" s="5" t="s">
        <v>355</v>
      </c>
      <c r="Q27853" s="5" t="s">
        <v>355</v>
      </c>
    </row>
    <row r="27854" ht="16.5" customHeight="1">
      <c r="O27854" s="5" t="s">
        <v>355</v>
      </c>
      <c r="P27854" s="5" t="s">
        <v>355</v>
      </c>
      <c r="Q27854" s="5" t="s">
        <v>355</v>
      </c>
    </row>
    <row r="27855" ht="16.5" customHeight="1">
      <c r="O27855" s="5" t="s">
        <v>355</v>
      </c>
      <c r="P27855" s="5" t="s">
        <v>355</v>
      </c>
      <c r="Q27855" s="5" t="s">
        <v>355</v>
      </c>
    </row>
    <row r="27856" ht="16.5" customHeight="1">
      <c r="O27856" s="5" t="s">
        <v>355</v>
      </c>
      <c r="P27856" s="5" t="s">
        <v>355</v>
      </c>
      <c r="Q27856" s="5" t="s">
        <v>355</v>
      </c>
    </row>
    <row r="27857" ht="16.5" customHeight="1">
      <c r="O27857" s="5" t="s">
        <v>355</v>
      </c>
      <c r="P27857" s="5" t="s">
        <v>355</v>
      </c>
      <c r="Q27857" s="5" t="s">
        <v>355</v>
      </c>
    </row>
    <row r="27858" ht="16.5" customHeight="1">
      <c r="O27858" s="5" t="s">
        <v>355</v>
      </c>
      <c r="P27858" s="5" t="s">
        <v>355</v>
      </c>
      <c r="Q27858" s="5" t="s">
        <v>355</v>
      </c>
    </row>
    <row r="27859" ht="16.5" customHeight="1">
      <c r="O27859" s="5" t="s">
        <v>355</v>
      </c>
      <c r="P27859" s="5" t="s">
        <v>355</v>
      </c>
      <c r="Q27859" s="5" t="s">
        <v>355</v>
      </c>
    </row>
    <row r="27860" ht="16.5" customHeight="1">
      <c r="O27860" s="5" t="s">
        <v>355</v>
      </c>
      <c r="P27860" s="5" t="s">
        <v>355</v>
      </c>
      <c r="Q27860" s="5" t="s">
        <v>355</v>
      </c>
    </row>
    <row r="27861" ht="16.5" customHeight="1">
      <c r="O27861" s="5" t="s">
        <v>355</v>
      </c>
      <c r="P27861" s="5" t="s">
        <v>355</v>
      </c>
      <c r="Q27861" s="5" t="s">
        <v>355</v>
      </c>
    </row>
    <row r="27862" ht="16.5" customHeight="1">
      <c r="O27862" s="5" t="s">
        <v>355</v>
      </c>
      <c r="P27862" s="5" t="s">
        <v>355</v>
      </c>
      <c r="Q27862" s="5" t="s">
        <v>355</v>
      </c>
    </row>
    <row r="27863" ht="16.5" customHeight="1">
      <c r="O27863" s="5" t="s">
        <v>355</v>
      </c>
      <c r="P27863" s="5" t="s">
        <v>355</v>
      </c>
      <c r="Q27863" s="5" t="s">
        <v>355</v>
      </c>
    </row>
    <row r="27864" ht="16.5" customHeight="1">
      <c r="O27864" s="5" t="s">
        <v>355</v>
      </c>
      <c r="P27864" s="5" t="s">
        <v>355</v>
      </c>
      <c r="Q27864" s="5" t="s">
        <v>355</v>
      </c>
    </row>
    <row r="27865" ht="16.5" customHeight="1">
      <c r="O27865" s="5" t="s">
        <v>355</v>
      </c>
      <c r="P27865" s="5" t="s">
        <v>355</v>
      </c>
      <c r="Q27865" s="5" t="s">
        <v>355</v>
      </c>
    </row>
    <row r="27866" ht="16.5" customHeight="1">
      <c r="O27866" s="5" t="s">
        <v>355</v>
      </c>
      <c r="P27866" s="5" t="s">
        <v>355</v>
      </c>
      <c r="Q27866" s="5" t="s">
        <v>355</v>
      </c>
    </row>
    <row r="27867" ht="16.5" customHeight="1">
      <c r="O27867" s="5" t="s">
        <v>355</v>
      </c>
      <c r="P27867" s="5" t="s">
        <v>355</v>
      </c>
      <c r="Q27867" s="5" t="s">
        <v>355</v>
      </c>
    </row>
    <row r="27868" ht="16.5" customHeight="1">
      <c r="O27868" s="5" t="s">
        <v>355</v>
      </c>
      <c r="P27868" s="5" t="s">
        <v>355</v>
      </c>
      <c r="Q27868" s="5" t="s">
        <v>355</v>
      </c>
    </row>
    <row r="27869" ht="16.5" customHeight="1">
      <c r="O27869" s="5" t="s">
        <v>355</v>
      </c>
      <c r="P27869" s="5" t="s">
        <v>355</v>
      </c>
      <c r="Q27869" s="5" t="s">
        <v>355</v>
      </c>
    </row>
    <row r="27870" ht="16.5" customHeight="1">
      <c r="O27870" s="5" t="s">
        <v>355</v>
      </c>
      <c r="P27870" s="5" t="s">
        <v>355</v>
      </c>
      <c r="Q27870" s="5" t="s">
        <v>355</v>
      </c>
    </row>
    <row r="27871" ht="16.5" customHeight="1">
      <c r="O27871" s="5" t="s">
        <v>355</v>
      </c>
      <c r="P27871" s="5" t="s">
        <v>355</v>
      </c>
      <c r="Q27871" s="5" t="s">
        <v>355</v>
      </c>
    </row>
    <row r="27872" ht="16.5" customHeight="1">
      <c r="O27872" s="5" t="s">
        <v>355</v>
      </c>
      <c r="P27872" s="5" t="s">
        <v>355</v>
      </c>
      <c r="Q27872" s="5" t="s">
        <v>355</v>
      </c>
    </row>
    <row r="27873" ht="16.5" customHeight="1">
      <c r="O27873" s="5" t="s">
        <v>355</v>
      </c>
      <c r="P27873" s="5" t="s">
        <v>355</v>
      </c>
      <c r="Q27873" s="5" t="s">
        <v>355</v>
      </c>
    </row>
    <row r="27874" ht="16.5" customHeight="1">
      <c r="O27874" s="5" t="s">
        <v>355</v>
      </c>
      <c r="P27874" s="5" t="s">
        <v>355</v>
      </c>
      <c r="Q27874" s="5" t="s">
        <v>355</v>
      </c>
    </row>
    <row r="27875" ht="16.5" customHeight="1">
      <c r="O27875" s="5" t="s">
        <v>355</v>
      </c>
      <c r="P27875" s="5" t="s">
        <v>355</v>
      </c>
      <c r="Q27875" s="5" t="s">
        <v>355</v>
      </c>
    </row>
    <row r="27876" ht="16.5" customHeight="1">
      <c r="O27876" s="5" t="s">
        <v>355</v>
      </c>
      <c r="P27876" s="5" t="s">
        <v>355</v>
      </c>
      <c r="Q27876" s="5" t="s">
        <v>355</v>
      </c>
    </row>
    <row r="27877" ht="16.5" customHeight="1">
      <c r="O27877" s="5" t="s">
        <v>355</v>
      </c>
      <c r="P27877" s="5" t="s">
        <v>355</v>
      </c>
      <c r="Q27877" s="5" t="s">
        <v>355</v>
      </c>
    </row>
    <row r="27878" ht="16.5" customHeight="1">
      <c r="O27878" s="5" t="s">
        <v>355</v>
      </c>
      <c r="P27878" s="5" t="s">
        <v>355</v>
      </c>
      <c r="Q27878" s="5" t="s">
        <v>355</v>
      </c>
    </row>
    <row r="27879" ht="16.5" customHeight="1">
      <c r="O27879" s="5" t="s">
        <v>355</v>
      </c>
      <c r="P27879" s="5" t="s">
        <v>355</v>
      </c>
      <c r="Q27879" s="5" t="s">
        <v>355</v>
      </c>
    </row>
    <row r="27880" ht="16.5" customHeight="1">
      <c r="O27880" s="5" t="s">
        <v>355</v>
      </c>
      <c r="P27880" s="5" t="s">
        <v>355</v>
      </c>
      <c r="Q27880" s="5" t="s">
        <v>355</v>
      </c>
    </row>
    <row r="27881" ht="16.5" customHeight="1">
      <c r="O27881" s="5" t="s">
        <v>355</v>
      </c>
      <c r="P27881" s="5" t="s">
        <v>355</v>
      </c>
      <c r="Q27881" s="5" t="s">
        <v>355</v>
      </c>
    </row>
    <row r="27882" ht="16.5" customHeight="1">
      <c r="O27882" s="5" t="s">
        <v>355</v>
      </c>
      <c r="P27882" s="5" t="s">
        <v>355</v>
      </c>
      <c r="Q27882" s="5" t="s">
        <v>355</v>
      </c>
    </row>
    <row r="27883" ht="16.5" customHeight="1">
      <c r="O27883" s="5" t="s">
        <v>355</v>
      </c>
      <c r="P27883" s="5" t="s">
        <v>355</v>
      </c>
      <c r="Q27883" s="5" t="s">
        <v>355</v>
      </c>
    </row>
    <row r="27884" ht="16.5" customHeight="1">
      <c r="O27884" s="5" t="s">
        <v>355</v>
      </c>
      <c r="P27884" s="5" t="s">
        <v>355</v>
      </c>
      <c r="Q27884" s="5" t="s">
        <v>355</v>
      </c>
    </row>
    <row r="27885" ht="16.5" customHeight="1">
      <c r="O27885" s="5" t="s">
        <v>355</v>
      </c>
      <c r="P27885" s="5" t="s">
        <v>355</v>
      </c>
      <c r="Q27885" s="5" t="s">
        <v>355</v>
      </c>
    </row>
    <row r="27886" ht="16.5" customHeight="1">
      <c r="O27886" s="5" t="s">
        <v>355</v>
      </c>
      <c r="P27886" s="5" t="s">
        <v>355</v>
      </c>
      <c r="Q27886" s="5" t="s">
        <v>355</v>
      </c>
    </row>
    <row r="27887" ht="16.5" customHeight="1">
      <c r="O27887" s="5" t="s">
        <v>355</v>
      </c>
      <c r="P27887" s="5" t="s">
        <v>355</v>
      </c>
      <c r="Q27887" s="5" t="s">
        <v>355</v>
      </c>
    </row>
    <row r="27888" ht="16.5" customHeight="1">
      <c r="O27888" s="5" t="s">
        <v>355</v>
      </c>
      <c r="P27888" s="5" t="s">
        <v>355</v>
      </c>
      <c r="Q27888" s="5" t="s">
        <v>355</v>
      </c>
    </row>
    <row r="27889" ht="16.5" customHeight="1">
      <c r="O27889" s="5" t="s">
        <v>355</v>
      </c>
      <c r="P27889" s="5" t="s">
        <v>355</v>
      </c>
      <c r="Q27889" s="5" t="s">
        <v>355</v>
      </c>
    </row>
    <row r="27890" ht="16.5" customHeight="1">
      <c r="O27890" s="5" t="s">
        <v>355</v>
      </c>
      <c r="P27890" s="5" t="s">
        <v>355</v>
      </c>
      <c r="Q27890" s="5" t="s">
        <v>355</v>
      </c>
    </row>
    <row r="27891" ht="16.5" customHeight="1">
      <c r="O27891" s="5" t="s">
        <v>355</v>
      </c>
      <c r="P27891" s="5" t="s">
        <v>355</v>
      </c>
      <c r="Q27891" s="5" t="s">
        <v>355</v>
      </c>
    </row>
    <row r="27892" ht="16.5" customHeight="1">
      <c r="O27892" s="5" t="s">
        <v>355</v>
      </c>
      <c r="P27892" s="5" t="s">
        <v>355</v>
      </c>
      <c r="Q27892" s="5" t="s">
        <v>355</v>
      </c>
    </row>
    <row r="27893" ht="16.5" customHeight="1">
      <c r="O27893" s="5" t="s">
        <v>355</v>
      </c>
      <c r="P27893" s="5" t="s">
        <v>355</v>
      </c>
      <c r="Q27893" s="5" t="s">
        <v>355</v>
      </c>
    </row>
    <row r="27894" ht="16.5" customHeight="1">
      <c r="O27894" s="5" t="s">
        <v>355</v>
      </c>
      <c r="P27894" s="5" t="s">
        <v>355</v>
      </c>
      <c r="Q27894" s="5" t="s">
        <v>355</v>
      </c>
    </row>
    <row r="27895" ht="16.5" customHeight="1">
      <c r="O27895" s="5" t="s">
        <v>355</v>
      </c>
      <c r="P27895" s="5" t="s">
        <v>355</v>
      </c>
      <c r="Q27895" s="5" t="s">
        <v>355</v>
      </c>
    </row>
    <row r="27896" ht="16.5" customHeight="1">
      <c r="O27896" s="5" t="s">
        <v>355</v>
      </c>
      <c r="P27896" s="5" t="s">
        <v>355</v>
      </c>
      <c r="Q27896" s="5" t="s">
        <v>355</v>
      </c>
    </row>
    <row r="27897" ht="16.5" customHeight="1">
      <c r="O27897" s="5" t="s">
        <v>355</v>
      </c>
      <c r="P27897" s="5" t="s">
        <v>355</v>
      </c>
      <c r="Q27897" s="5" t="s">
        <v>355</v>
      </c>
    </row>
    <row r="27898" ht="16.5" customHeight="1">
      <c r="O27898" s="5" t="s">
        <v>355</v>
      </c>
      <c r="P27898" s="5" t="s">
        <v>355</v>
      </c>
      <c r="Q27898" s="5" t="s">
        <v>355</v>
      </c>
    </row>
    <row r="27899" ht="16.5" customHeight="1">
      <c r="O27899" s="5" t="s">
        <v>355</v>
      </c>
      <c r="P27899" s="5" t="s">
        <v>355</v>
      </c>
      <c r="Q27899" s="5" t="s">
        <v>355</v>
      </c>
    </row>
    <row r="27900" ht="16.5" customHeight="1">
      <c r="O27900" s="5" t="s">
        <v>355</v>
      </c>
      <c r="P27900" s="5" t="s">
        <v>355</v>
      </c>
      <c r="Q27900" s="5" t="s">
        <v>355</v>
      </c>
    </row>
    <row r="27901" ht="16.5" customHeight="1">
      <c r="O27901" s="5" t="s">
        <v>355</v>
      </c>
      <c r="P27901" s="5" t="s">
        <v>355</v>
      </c>
      <c r="Q27901" s="5" t="s">
        <v>355</v>
      </c>
    </row>
    <row r="27902" ht="16.5" customHeight="1">
      <c r="O27902" s="5" t="s">
        <v>355</v>
      </c>
      <c r="P27902" s="5" t="s">
        <v>355</v>
      </c>
      <c r="Q27902" s="5" t="s">
        <v>355</v>
      </c>
    </row>
    <row r="27903" ht="16.5" customHeight="1">
      <c r="O27903" s="5" t="s">
        <v>355</v>
      </c>
      <c r="P27903" s="5" t="s">
        <v>355</v>
      </c>
      <c r="Q27903" s="5" t="s">
        <v>355</v>
      </c>
    </row>
    <row r="27904" ht="16.5" customHeight="1">
      <c r="O27904" s="5" t="s">
        <v>355</v>
      </c>
      <c r="P27904" s="5" t="s">
        <v>355</v>
      </c>
      <c r="Q27904" s="5" t="s">
        <v>355</v>
      </c>
    </row>
    <row r="27905" ht="16.5" customHeight="1">
      <c r="O27905" s="5" t="s">
        <v>355</v>
      </c>
      <c r="P27905" s="5" t="s">
        <v>355</v>
      </c>
      <c r="Q27905" s="5" t="s">
        <v>355</v>
      </c>
    </row>
    <row r="27906" ht="16.5" customHeight="1">
      <c r="O27906" s="5" t="s">
        <v>355</v>
      </c>
      <c r="P27906" s="5" t="s">
        <v>355</v>
      </c>
      <c r="Q27906" s="5" t="s">
        <v>355</v>
      </c>
    </row>
    <row r="27907" ht="16.5" customHeight="1">
      <c r="O27907" s="5" t="s">
        <v>355</v>
      </c>
      <c r="P27907" s="5" t="s">
        <v>355</v>
      </c>
      <c r="Q27907" s="5" t="s">
        <v>355</v>
      </c>
    </row>
    <row r="27908" ht="16.5" customHeight="1">
      <c r="O27908" s="5" t="s">
        <v>355</v>
      </c>
      <c r="P27908" s="5" t="s">
        <v>355</v>
      </c>
      <c r="Q27908" s="5" t="s">
        <v>355</v>
      </c>
    </row>
    <row r="27909" ht="16.5" customHeight="1">
      <c r="O27909" s="5" t="s">
        <v>355</v>
      </c>
      <c r="P27909" s="5" t="s">
        <v>355</v>
      </c>
      <c r="Q27909" s="5" t="s">
        <v>355</v>
      </c>
    </row>
    <row r="27910" ht="16.5" customHeight="1">
      <c r="O27910" s="5" t="s">
        <v>355</v>
      </c>
      <c r="P27910" s="5" t="s">
        <v>355</v>
      </c>
      <c r="Q27910" s="5" t="s">
        <v>355</v>
      </c>
    </row>
    <row r="27911" ht="16.5" customHeight="1">
      <c r="O27911" s="5" t="s">
        <v>355</v>
      </c>
      <c r="P27911" s="5" t="s">
        <v>355</v>
      </c>
      <c r="Q27911" s="5" t="s">
        <v>355</v>
      </c>
    </row>
    <row r="27912" ht="16.5" customHeight="1">
      <c r="O27912" s="5" t="s">
        <v>355</v>
      </c>
      <c r="P27912" s="5" t="s">
        <v>355</v>
      </c>
      <c r="Q27912" s="5" t="s">
        <v>355</v>
      </c>
    </row>
    <row r="27913" ht="16.5" customHeight="1">
      <c r="O27913" s="5" t="s">
        <v>355</v>
      </c>
      <c r="P27913" s="5" t="s">
        <v>355</v>
      </c>
      <c r="Q27913" s="5" t="s">
        <v>355</v>
      </c>
    </row>
    <row r="27914" ht="16.5" customHeight="1">
      <c r="O27914" s="5" t="s">
        <v>355</v>
      </c>
      <c r="P27914" s="5" t="s">
        <v>355</v>
      </c>
      <c r="Q27914" s="5" t="s">
        <v>355</v>
      </c>
    </row>
    <row r="27915" ht="16.5" customHeight="1">
      <c r="O27915" s="5" t="s">
        <v>355</v>
      </c>
      <c r="P27915" s="5" t="s">
        <v>355</v>
      </c>
      <c r="Q27915" s="5" t="s">
        <v>355</v>
      </c>
    </row>
    <row r="27916" ht="16.5" customHeight="1">
      <c r="O27916" s="5" t="s">
        <v>355</v>
      </c>
      <c r="P27916" s="5" t="s">
        <v>355</v>
      </c>
      <c r="Q27916" s="5" t="s">
        <v>355</v>
      </c>
    </row>
    <row r="27917" ht="16.5" customHeight="1">
      <c r="O27917" s="5" t="s">
        <v>355</v>
      </c>
      <c r="P27917" s="5" t="s">
        <v>355</v>
      </c>
      <c r="Q27917" s="5" t="s">
        <v>355</v>
      </c>
    </row>
    <row r="27918" ht="16.5" customHeight="1">
      <c r="O27918" s="5" t="s">
        <v>355</v>
      </c>
      <c r="P27918" s="5" t="s">
        <v>355</v>
      </c>
      <c r="Q27918" s="5" t="s">
        <v>355</v>
      </c>
    </row>
    <row r="27919" ht="16.5" customHeight="1">
      <c r="O27919" s="5" t="s">
        <v>355</v>
      </c>
      <c r="P27919" s="5" t="s">
        <v>355</v>
      </c>
      <c r="Q27919" s="5" t="s">
        <v>355</v>
      </c>
    </row>
    <row r="27920" ht="16.5" customHeight="1">
      <c r="O27920" s="5" t="s">
        <v>355</v>
      </c>
      <c r="P27920" s="5" t="s">
        <v>355</v>
      </c>
      <c r="Q27920" s="5" t="s">
        <v>355</v>
      </c>
    </row>
    <row r="27921" ht="16.5" customHeight="1">
      <c r="O27921" s="5" t="s">
        <v>355</v>
      </c>
      <c r="P27921" s="5" t="s">
        <v>355</v>
      </c>
      <c r="Q27921" s="5" t="s">
        <v>355</v>
      </c>
    </row>
    <row r="27922" ht="16.5" customHeight="1">
      <c r="O27922" s="5" t="s">
        <v>355</v>
      </c>
      <c r="P27922" s="5" t="s">
        <v>355</v>
      </c>
      <c r="Q27922" s="5" t="s">
        <v>355</v>
      </c>
    </row>
    <row r="27923" ht="16.5" customHeight="1">
      <c r="O27923" s="5" t="s">
        <v>355</v>
      </c>
      <c r="P27923" s="5" t="s">
        <v>355</v>
      </c>
      <c r="Q27923" s="5" t="s">
        <v>355</v>
      </c>
    </row>
    <row r="27924" ht="16.5" customHeight="1">
      <c r="O27924" s="5" t="s">
        <v>355</v>
      </c>
      <c r="P27924" s="5" t="s">
        <v>355</v>
      </c>
      <c r="Q27924" s="5" t="s">
        <v>355</v>
      </c>
    </row>
    <row r="27925" ht="16.5" customHeight="1">
      <c r="O27925" s="5" t="s">
        <v>355</v>
      </c>
      <c r="P27925" s="5" t="s">
        <v>355</v>
      </c>
      <c r="Q27925" s="5" t="s">
        <v>355</v>
      </c>
    </row>
    <row r="27926" ht="16.5" customHeight="1">
      <c r="O27926" s="5" t="s">
        <v>355</v>
      </c>
      <c r="P27926" s="5" t="s">
        <v>355</v>
      </c>
      <c r="Q27926" s="5" t="s">
        <v>355</v>
      </c>
    </row>
    <row r="27927" ht="16.5" customHeight="1">
      <c r="O27927" s="5" t="s">
        <v>355</v>
      </c>
      <c r="P27927" s="5" t="s">
        <v>355</v>
      </c>
      <c r="Q27927" s="5" t="s">
        <v>355</v>
      </c>
    </row>
    <row r="27928" ht="16.5" customHeight="1">
      <c r="O27928" s="5" t="s">
        <v>355</v>
      </c>
      <c r="P27928" s="5" t="s">
        <v>355</v>
      </c>
      <c r="Q27928" s="5" t="s">
        <v>355</v>
      </c>
    </row>
    <row r="27929" ht="16.5" customHeight="1">
      <c r="O27929" s="5" t="s">
        <v>355</v>
      </c>
      <c r="P27929" s="5" t="s">
        <v>355</v>
      </c>
      <c r="Q27929" s="5" t="s">
        <v>355</v>
      </c>
    </row>
    <row r="27930" ht="16.5" customHeight="1">
      <c r="O27930" s="5" t="s">
        <v>355</v>
      </c>
      <c r="P27930" s="5" t="s">
        <v>355</v>
      </c>
      <c r="Q27930" s="5" t="s">
        <v>355</v>
      </c>
    </row>
    <row r="27931" ht="16.5" customHeight="1">
      <c r="O27931" s="5" t="s">
        <v>355</v>
      </c>
      <c r="P27931" s="5" t="s">
        <v>355</v>
      </c>
      <c r="Q27931" s="5" t="s">
        <v>355</v>
      </c>
    </row>
    <row r="27932" ht="16.5" customHeight="1">
      <c r="O27932" s="5" t="s">
        <v>355</v>
      </c>
      <c r="P27932" s="5" t="s">
        <v>355</v>
      </c>
      <c r="Q27932" s="5" t="s">
        <v>355</v>
      </c>
    </row>
    <row r="27933" ht="16.5" customHeight="1">
      <c r="O27933" s="5" t="s">
        <v>355</v>
      </c>
      <c r="P27933" s="5" t="s">
        <v>355</v>
      </c>
      <c r="Q27933" s="5" t="s">
        <v>355</v>
      </c>
    </row>
    <row r="27934" ht="16.5" customHeight="1">
      <c r="O27934" s="5" t="s">
        <v>355</v>
      </c>
      <c r="P27934" s="5" t="s">
        <v>355</v>
      </c>
      <c r="Q27934" s="5" t="s">
        <v>355</v>
      </c>
    </row>
    <row r="27935" ht="16.5" customHeight="1">
      <c r="O27935" s="5" t="s">
        <v>355</v>
      </c>
      <c r="P27935" s="5" t="s">
        <v>355</v>
      </c>
      <c r="Q27935" s="5" t="s">
        <v>355</v>
      </c>
    </row>
    <row r="27936" ht="16.5" customHeight="1">
      <c r="O27936" s="5" t="s">
        <v>355</v>
      </c>
      <c r="P27936" s="5" t="s">
        <v>355</v>
      </c>
      <c r="Q27936" s="5" t="s">
        <v>355</v>
      </c>
    </row>
    <row r="27937" ht="16.5" customHeight="1">
      <c r="O27937" s="5" t="s">
        <v>355</v>
      </c>
      <c r="P27937" s="5" t="s">
        <v>355</v>
      </c>
      <c r="Q27937" s="5" t="s">
        <v>355</v>
      </c>
    </row>
    <row r="27938" ht="16.5" customHeight="1">
      <c r="O27938" s="5" t="s">
        <v>355</v>
      </c>
      <c r="P27938" s="5" t="s">
        <v>355</v>
      </c>
      <c r="Q27938" s="5" t="s">
        <v>355</v>
      </c>
    </row>
    <row r="27939" ht="16.5" customHeight="1">
      <c r="O27939" s="5" t="s">
        <v>355</v>
      </c>
      <c r="P27939" s="5" t="s">
        <v>355</v>
      </c>
      <c r="Q27939" s="5" t="s">
        <v>355</v>
      </c>
    </row>
    <row r="27940" ht="16.5" customHeight="1">
      <c r="O27940" s="5" t="s">
        <v>355</v>
      </c>
      <c r="P27940" s="5" t="s">
        <v>355</v>
      </c>
      <c r="Q27940" s="5" t="s">
        <v>355</v>
      </c>
    </row>
    <row r="27941" ht="16.5" customHeight="1">
      <c r="O27941" s="5" t="s">
        <v>355</v>
      </c>
      <c r="P27941" s="5" t="s">
        <v>355</v>
      </c>
      <c r="Q27941" s="5" t="s">
        <v>355</v>
      </c>
    </row>
    <row r="27942" ht="16.5" customHeight="1">
      <c r="O27942" s="5" t="s">
        <v>355</v>
      </c>
      <c r="P27942" s="5" t="s">
        <v>355</v>
      </c>
      <c r="Q27942" s="5" t="s">
        <v>355</v>
      </c>
    </row>
    <row r="27943" ht="16.5" customHeight="1">
      <c r="O27943" s="5" t="s">
        <v>355</v>
      </c>
      <c r="P27943" s="5" t="s">
        <v>355</v>
      </c>
      <c r="Q27943" s="5" t="s">
        <v>355</v>
      </c>
    </row>
    <row r="27944" ht="16.5" customHeight="1">
      <c r="O27944" s="5" t="s">
        <v>355</v>
      </c>
      <c r="P27944" s="5" t="s">
        <v>355</v>
      </c>
      <c r="Q27944" s="5" t="s">
        <v>355</v>
      </c>
    </row>
    <row r="27945" ht="16.5" customHeight="1">
      <c r="O27945" s="5" t="s">
        <v>355</v>
      </c>
      <c r="P27945" s="5" t="s">
        <v>355</v>
      </c>
      <c r="Q27945" s="5" t="s">
        <v>355</v>
      </c>
    </row>
    <row r="27946" ht="16.5" customHeight="1">
      <c r="O27946" s="5" t="s">
        <v>355</v>
      </c>
      <c r="P27946" s="5" t="s">
        <v>355</v>
      </c>
      <c r="Q27946" s="5" t="s">
        <v>355</v>
      </c>
    </row>
    <row r="27947" ht="16.5" customHeight="1">
      <c r="O27947" s="5" t="s">
        <v>355</v>
      </c>
      <c r="P27947" s="5" t="s">
        <v>355</v>
      </c>
      <c r="Q27947" s="5" t="s">
        <v>355</v>
      </c>
    </row>
    <row r="27948" ht="16.5" customHeight="1">
      <c r="O27948" s="5" t="s">
        <v>355</v>
      </c>
      <c r="P27948" s="5" t="s">
        <v>355</v>
      </c>
      <c r="Q27948" s="5" t="s">
        <v>355</v>
      </c>
    </row>
    <row r="27949" ht="16.5" customHeight="1">
      <c r="O27949" s="5" t="s">
        <v>355</v>
      </c>
      <c r="P27949" s="5" t="s">
        <v>355</v>
      </c>
      <c r="Q27949" s="5" t="s">
        <v>355</v>
      </c>
    </row>
    <row r="27950" ht="16.5" customHeight="1">
      <c r="O27950" s="5" t="s">
        <v>355</v>
      </c>
      <c r="P27950" s="5" t="s">
        <v>355</v>
      </c>
      <c r="Q27950" s="5" t="s">
        <v>355</v>
      </c>
    </row>
    <row r="27951" ht="16.5" customHeight="1">
      <c r="O27951" s="5" t="s">
        <v>355</v>
      </c>
      <c r="P27951" s="5" t="s">
        <v>355</v>
      </c>
      <c r="Q27951" s="5" t="s">
        <v>355</v>
      </c>
    </row>
    <row r="27952" ht="16.5" customHeight="1">
      <c r="O27952" s="5" t="s">
        <v>355</v>
      </c>
      <c r="P27952" s="5" t="s">
        <v>355</v>
      </c>
      <c r="Q27952" s="5" t="s">
        <v>355</v>
      </c>
    </row>
    <row r="27953" ht="16.5" customHeight="1">
      <c r="O27953" s="5" t="s">
        <v>355</v>
      </c>
      <c r="P27953" s="5" t="s">
        <v>355</v>
      </c>
      <c r="Q27953" s="5" t="s">
        <v>355</v>
      </c>
    </row>
    <row r="27954" ht="16.5" customHeight="1">
      <c r="O27954" s="5" t="s">
        <v>355</v>
      </c>
      <c r="P27954" s="5" t="s">
        <v>355</v>
      </c>
      <c r="Q27954" s="5" t="s">
        <v>355</v>
      </c>
    </row>
    <row r="27955" ht="16.5" customHeight="1">
      <c r="O27955" s="5" t="s">
        <v>355</v>
      </c>
      <c r="P27955" s="5" t="s">
        <v>355</v>
      </c>
      <c r="Q27955" s="5" t="s">
        <v>355</v>
      </c>
    </row>
    <row r="27956" ht="16.5" customHeight="1">
      <c r="O27956" s="5" t="s">
        <v>355</v>
      </c>
      <c r="P27956" s="5" t="s">
        <v>355</v>
      </c>
      <c r="Q27956" s="5" t="s">
        <v>355</v>
      </c>
    </row>
    <row r="27957" ht="16.5" customHeight="1">
      <c r="O27957" s="5" t="s">
        <v>355</v>
      </c>
      <c r="P27957" s="5" t="s">
        <v>355</v>
      </c>
      <c r="Q27957" s="5" t="s">
        <v>355</v>
      </c>
    </row>
    <row r="27958" ht="16.5" customHeight="1">
      <c r="O27958" s="5" t="s">
        <v>355</v>
      </c>
      <c r="P27958" s="5" t="s">
        <v>355</v>
      </c>
      <c r="Q27958" s="5" t="s">
        <v>355</v>
      </c>
    </row>
    <row r="27959" ht="16.5" customHeight="1">
      <c r="O27959" s="5" t="s">
        <v>355</v>
      </c>
      <c r="P27959" s="5" t="s">
        <v>355</v>
      </c>
      <c r="Q27959" s="5" t="s">
        <v>355</v>
      </c>
    </row>
    <row r="27960" ht="16.5" customHeight="1">
      <c r="O27960" s="5" t="s">
        <v>355</v>
      </c>
      <c r="P27960" s="5" t="s">
        <v>355</v>
      </c>
      <c r="Q27960" s="5" t="s">
        <v>355</v>
      </c>
    </row>
    <row r="27961" ht="16.5" customHeight="1">
      <c r="O27961" s="5" t="s">
        <v>355</v>
      </c>
      <c r="P27961" s="5" t="s">
        <v>355</v>
      </c>
      <c r="Q27961" s="5" t="s">
        <v>355</v>
      </c>
    </row>
    <row r="27962" ht="16.5" customHeight="1">
      <c r="O27962" s="5" t="s">
        <v>355</v>
      </c>
      <c r="P27962" s="5" t="s">
        <v>355</v>
      </c>
      <c r="Q27962" s="5" t="s">
        <v>355</v>
      </c>
    </row>
    <row r="27963" ht="16.5" customHeight="1">
      <c r="O27963" s="5" t="s">
        <v>355</v>
      </c>
      <c r="P27963" s="5" t="s">
        <v>355</v>
      </c>
      <c r="Q27963" s="5" t="s">
        <v>355</v>
      </c>
    </row>
    <row r="27964" ht="16.5" customHeight="1">
      <c r="O27964" s="5" t="s">
        <v>355</v>
      </c>
      <c r="P27964" s="5" t="s">
        <v>355</v>
      </c>
      <c r="Q27964" s="5" t="s">
        <v>355</v>
      </c>
    </row>
    <row r="27965" ht="16.5" customHeight="1">
      <c r="O27965" s="5" t="s">
        <v>355</v>
      </c>
      <c r="P27965" s="5" t="s">
        <v>355</v>
      </c>
      <c r="Q27965" s="5" t="s">
        <v>355</v>
      </c>
    </row>
    <row r="27966" ht="16.5" customHeight="1">
      <c r="O27966" s="5" t="s">
        <v>355</v>
      </c>
      <c r="P27966" s="5" t="s">
        <v>355</v>
      </c>
      <c r="Q27966" s="5" t="s">
        <v>355</v>
      </c>
    </row>
    <row r="27967" ht="16.5" customHeight="1">
      <c r="O27967" s="5" t="s">
        <v>355</v>
      </c>
      <c r="P27967" s="5" t="s">
        <v>355</v>
      </c>
      <c r="Q27967" s="5" t="s">
        <v>355</v>
      </c>
    </row>
    <row r="27968" ht="16.5" customHeight="1">
      <c r="O27968" s="5" t="s">
        <v>355</v>
      </c>
      <c r="P27968" s="5" t="s">
        <v>355</v>
      </c>
      <c r="Q27968" s="5" t="s">
        <v>355</v>
      </c>
    </row>
    <row r="27969" ht="16.5" customHeight="1">
      <c r="O27969" s="5" t="s">
        <v>355</v>
      </c>
      <c r="P27969" s="5" t="s">
        <v>355</v>
      </c>
      <c r="Q27969" s="5" t="s">
        <v>355</v>
      </c>
    </row>
    <row r="27970" ht="16.5" customHeight="1">
      <c r="O27970" s="5" t="s">
        <v>355</v>
      </c>
      <c r="P27970" s="5" t="s">
        <v>355</v>
      </c>
      <c r="Q27970" s="5" t="s">
        <v>355</v>
      </c>
    </row>
    <row r="27971" ht="16.5" customHeight="1">
      <c r="O27971" s="5" t="s">
        <v>355</v>
      </c>
      <c r="P27971" s="5" t="s">
        <v>355</v>
      </c>
      <c r="Q27971" s="5" t="s">
        <v>355</v>
      </c>
    </row>
    <row r="27972" ht="16.5" customHeight="1">
      <c r="O27972" s="5" t="s">
        <v>355</v>
      </c>
      <c r="P27972" s="5" t="s">
        <v>355</v>
      </c>
      <c r="Q27972" s="5" t="s">
        <v>355</v>
      </c>
    </row>
    <row r="27973" ht="16.5" customHeight="1">
      <c r="O27973" s="5" t="s">
        <v>355</v>
      </c>
      <c r="P27973" s="5" t="s">
        <v>355</v>
      </c>
      <c r="Q27973" s="5" t="s">
        <v>355</v>
      </c>
    </row>
    <row r="27974" ht="16.5" customHeight="1">
      <c r="O27974" s="5" t="s">
        <v>355</v>
      </c>
      <c r="P27974" s="5" t="s">
        <v>355</v>
      </c>
      <c r="Q27974" s="5" t="s">
        <v>355</v>
      </c>
    </row>
    <row r="27975" ht="16.5" customHeight="1">
      <c r="O27975" s="5" t="s">
        <v>355</v>
      </c>
      <c r="P27975" s="5" t="s">
        <v>355</v>
      </c>
      <c r="Q27975" s="5" t="s">
        <v>355</v>
      </c>
    </row>
    <row r="27976" ht="16.5" customHeight="1">
      <c r="O27976" s="5" t="s">
        <v>355</v>
      </c>
      <c r="P27976" s="5" t="s">
        <v>355</v>
      </c>
      <c r="Q27976" s="5" t="s">
        <v>355</v>
      </c>
    </row>
    <row r="27977" ht="16.5" customHeight="1">
      <c r="O27977" s="5" t="s">
        <v>355</v>
      </c>
      <c r="P27977" s="5" t="s">
        <v>355</v>
      </c>
      <c r="Q27977" s="5" t="s">
        <v>355</v>
      </c>
    </row>
    <row r="27978" ht="16.5" customHeight="1">
      <c r="O27978" s="5" t="s">
        <v>355</v>
      </c>
      <c r="P27978" s="5" t="s">
        <v>355</v>
      </c>
      <c r="Q27978" s="5" t="s">
        <v>355</v>
      </c>
    </row>
    <row r="27979" ht="16.5" customHeight="1">
      <c r="O27979" s="5" t="s">
        <v>355</v>
      </c>
      <c r="P27979" s="5" t="s">
        <v>355</v>
      </c>
      <c r="Q27979" s="5" t="s">
        <v>355</v>
      </c>
    </row>
    <row r="27980" ht="16.5" customHeight="1">
      <c r="O27980" s="5" t="s">
        <v>355</v>
      </c>
      <c r="P27980" s="5" t="s">
        <v>355</v>
      </c>
      <c r="Q27980" s="5" t="s">
        <v>355</v>
      </c>
    </row>
    <row r="27981" ht="16.5" customHeight="1">
      <c r="O27981" s="5" t="s">
        <v>355</v>
      </c>
      <c r="P27981" s="5" t="s">
        <v>355</v>
      </c>
      <c r="Q27981" s="5" t="s">
        <v>355</v>
      </c>
    </row>
    <row r="27982" ht="16.5" customHeight="1">
      <c r="O27982" s="5" t="s">
        <v>355</v>
      </c>
      <c r="P27982" s="5" t="s">
        <v>355</v>
      </c>
      <c r="Q27982" s="5" t="s">
        <v>355</v>
      </c>
    </row>
    <row r="27983" ht="16.5" customHeight="1">
      <c r="O27983" s="5" t="s">
        <v>355</v>
      </c>
      <c r="P27983" s="5" t="s">
        <v>355</v>
      </c>
      <c r="Q27983" s="5" t="s">
        <v>355</v>
      </c>
    </row>
    <row r="27984" ht="16.5" customHeight="1">
      <c r="O27984" s="5" t="s">
        <v>355</v>
      </c>
      <c r="P27984" s="5" t="s">
        <v>355</v>
      </c>
      <c r="Q27984" s="5" t="s">
        <v>355</v>
      </c>
    </row>
    <row r="27985" ht="16.5" customHeight="1">
      <c r="O27985" s="5" t="s">
        <v>355</v>
      </c>
      <c r="P27985" s="5" t="s">
        <v>355</v>
      </c>
      <c r="Q27985" s="5" t="s">
        <v>355</v>
      </c>
    </row>
    <row r="27986" ht="16.5" customHeight="1">
      <c r="O27986" s="5" t="s">
        <v>355</v>
      </c>
      <c r="P27986" s="5" t="s">
        <v>355</v>
      </c>
      <c r="Q27986" s="5" t="s">
        <v>355</v>
      </c>
    </row>
    <row r="27987" ht="16.5" customHeight="1">
      <c r="O27987" s="5" t="s">
        <v>355</v>
      </c>
      <c r="P27987" s="5" t="s">
        <v>355</v>
      </c>
      <c r="Q27987" s="5" t="s">
        <v>355</v>
      </c>
    </row>
    <row r="27988" ht="16.5" customHeight="1">
      <c r="O27988" s="5" t="s">
        <v>355</v>
      </c>
      <c r="P27988" s="5" t="s">
        <v>355</v>
      </c>
      <c r="Q27988" s="5" t="s">
        <v>355</v>
      </c>
    </row>
    <row r="27989" ht="16.5" customHeight="1">
      <c r="O27989" s="5" t="s">
        <v>355</v>
      </c>
      <c r="P27989" s="5" t="s">
        <v>355</v>
      </c>
      <c r="Q27989" s="5" t="s">
        <v>355</v>
      </c>
    </row>
    <row r="27990" ht="16.5" customHeight="1">
      <c r="O27990" s="5" t="s">
        <v>355</v>
      </c>
      <c r="P27990" s="5" t="s">
        <v>355</v>
      </c>
      <c r="Q27990" s="5" t="s">
        <v>355</v>
      </c>
    </row>
    <row r="27991" ht="16.5" customHeight="1">
      <c r="O27991" s="5" t="s">
        <v>355</v>
      </c>
      <c r="P27991" s="5" t="s">
        <v>355</v>
      </c>
      <c r="Q27991" s="5" t="s">
        <v>355</v>
      </c>
    </row>
    <row r="27992" ht="16.5" customHeight="1">
      <c r="O27992" s="5" t="s">
        <v>355</v>
      </c>
      <c r="P27992" s="5" t="s">
        <v>355</v>
      </c>
      <c r="Q27992" s="5" t="s">
        <v>355</v>
      </c>
    </row>
    <row r="27993" ht="16.5" customHeight="1">
      <c r="O27993" s="5" t="s">
        <v>355</v>
      </c>
      <c r="P27993" s="5" t="s">
        <v>355</v>
      </c>
      <c r="Q27993" s="5" t="s">
        <v>355</v>
      </c>
    </row>
    <row r="27994" ht="16.5" customHeight="1">
      <c r="O27994" s="5" t="s">
        <v>355</v>
      </c>
      <c r="P27994" s="5" t="s">
        <v>355</v>
      </c>
      <c r="Q27994" s="5" t="s">
        <v>355</v>
      </c>
    </row>
    <row r="27995" ht="16.5" customHeight="1">
      <c r="O27995" s="5" t="s">
        <v>355</v>
      </c>
      <c r="P27995" s="5" t="s">
        <v>355</v>
      </c>
      <c r="Q27995" s="5" t="s">
        <v>355</v>
      </c>
    </row>
    <row r="27996" ht="16.5" customHeight="1">
      <c r="O27996" s="5" t="s">
        <v>355</v>
      </c>
      <c r="P27996" s="5" t="s">
        <v>355</v>
      </c>
      <c r="Q27996" s="5" t="s">
        <v>355</v>
      </c>
    </row>
    <row r="27997" ht="16.5" customHeight="1">
      <c r="O27997" s="5" t="s">
        <v>355</v>
      </c>
      <c r="P27997" s="5" t="s">
        <v>355</v>
      </c>
      <c r="Q27997" s="5" t="s">
        <v>355</v>
      </c>
    </row>
    <row r="27998" ht="16.5" customHeight="1">
      <c r="O27998" s="5" t="s">
        <v>355</v>
      </c>
      <c r="P27998" s="5" t="s">
        <v>355</v>
      </c>
      <c r="Q27998" s="5" t="s">
        <v>355</v>
      </c>
    </row>
    <row r="27999" ht="16.5" customHeight="1">
      <c r="O27999" s="5" t="s">
        <v>355</v>
      </c>
      <c r="P27999" s="5" t="s">
        <v>355</v>
      </c>
      <c r="Q27999" s="5" t="s">
        <v>355</v>
      </c>
    </row>
    <row r="28000" ht="16.5" customHeight="1">
      <c r="O28000" s="5" t="s">
        <v>355</v>
      </c>
      <c r="P28000" s="5" t="s">
        <v>355</v>
      </c>
      <c r="Q28000" s="5" t="s">
        <v>355</v>
      </c>
    </row>
    <row r="28001" ht="16.5" customHeight="1">
      <c r="O28001" s="5" t="s">
        <v>355</v>
      </c>
      <c r="P28001" s="5" t="s">
        <v>355</v>
      </c>
      <c r="Q28001" s="5" t="s">
        <v>355</v>
      </c>
    </row>
    <row r="28002" ht="16.5" customHeight="1">
      <c r="O28002" s="5" t="s">
        <v>355</v>
      </c>
      <c r="P28002" s="5" t="s">
        <v>355</v>
      </c>
      <c r="Q28002" s="5" t="s">
        <v>355</v>
      </c>
    </row>
    <row r="28003" ht="16.5" customHeight="1">
      <c r="O28003" s="5" t="s">
        <v>355</v>
      </c>
      <c r="P28003" s="5" t="s">
        <v>355</v>
      </c>
      <c r="Q28003" s="5" t="s">
        <v>355</v>
      </c>
    </row>
    <row r="28004" ht="16.5" customHeight="1">
      <c r="O28004" s="5" t="s">
        <v>355</v>
      </c>
      <c r="P28004" s="5" t="s">
        <v>355</v>
      </c>
      <c r="Q28004" s="5" t="s">
        <v>355</v>
      </c>
    </row>
    <row r="28005" ht="16.5" customHeight="1">
      <c r="O28005" s="5" t="s">
        <v>355</v>
      </c>
      <c r="P28005" s="5" t="s">
        <v>355</v>
      </c>
      <c r="Q28005" s="5" t="s">
        <v>355</v>
      </c>
    </row>
    <row r="28006" ht="16.5" customHeight="1">
      <c r="O28006" s="5" t="s">
        <v>355</v>
      </c>
      <c r="P28006" s="5" t="s">
        <v>355</v>
      </c>
      <c r="Q28006" s="5" t="s">
        <v>355</v>
      </c>
    </row>
    <row r="28007" ht="16.5" customHeight="1">
      <c r="O28007" s="5" t="s">
        <v>355</v>
      </c>
      <c r="P28007" s="5" t="s">
        <v>355</v>
      </c>
      <c r="Q28007" s="5" t="s">
        <v>355</v>
      </c>
    </row>
    <row r="28008" ht="16.5" customHeight="1">
      <c r="O28008" s="5" t="s">
        <v>355</v>
      </c>
      <c r="P28008" s="5" t="s">
        <v>355</v>
      </c>
      <c r="Q28008" s="5" t="s">
        <v>355</v>
      </c>
    </row>
    <row r="28009" ht="16.5" customHeight="1">
      <c r="O28009" s="5" t="s">
        <v>355</v>
      </c>
      <c r="P28009" s="5" t="s">
        <v>355</v>
      </c>
      <c r="Q28009" s="5" t="s">
        <v>355</v>
      </c>
    </row>
    <row r="28010" ht="16.5" customHeight="1">
      <c r="O28010" s="5" t="s">
        <v>355</v>
      </c>
      <c r="P28010" s="5" t="s">
        <v>355</v>
      </c>
      <c r="Q28010" s="5" t="s">
        <v>355</v>
      </c>
    </row>
    <row r="28011" ht="16.5" customHeight="1">
      <c r="O28011" s="5" t="s">
        <v>355</v>
      </c>
      <c r="P28011" s="5" t="s">
        <v>355</v>
      </c>
      <c r="Q28011" s="5" t="s">
        <v>355</v>
      </c>
    </row>
    <row r="28012" ht="16.5" customHeight="1">
      <c r="O28012" s="5" t="s">
        <v>355</v>
      </c>
      <c r="P28012" s="5" t="s">
        <v>355</v>
      </c>
      <c r="Q28012" s="5" t="s">
        <v>355</v>
      </c>
    </row>
    <row r="28013" ht="16.5" customHeight="1">
      <c r="O28013" s="5" t="s">
        <v>355</v>
      </c>
      <c r="P28013" s="5" t="s">
        <v>355</v>
      </c>
      <c r="Q28013" s="5" t="s">
        <v>355</v>
      </c>
    </row>
    <row r="28014" ht="16.5" customHeight="1">
      <c r="O28014" s="5" t="s">
        <v>355</v>
      </c>
      <c r="P28014" s="5" t="s">
        <v>355</v>
      </c>
      <c r="Q28014" s="5" t="s">
        <v>355</v>
      </c>
    </row>
    <row r="28015" ht="16.5" customHeight="1">
      <c r="O28015" s="5" t="s">
        <v>355</v>
      </c>
      <c r="P28015" s="5" t="s">
        <v>355</v>
      </c>
      <c r="Q28015" s="5" t="s">
        <v>355</v>
      </c>
    </row>
    <row r="28016" ht="16.5" customHeight="1">
      <c r="O28016" s="5" t="s">
        <v>355</v>
      </c>
      <c r="P28016" s="5" t="s">
        <v>355</v>
      </c>
      <c r="Q28016" s="5" t="s">
        <v>355</v>
      </c>
    </row>
    <row r="28017" ht="16.5" customHeight="1">
      <c r="O28017" s="5" t="s">
        <v>355</v>
      </c>
      <c r="P28017" s="5" t="s">
        <v>355</v>
      </c>
      <c r="Q28017" s="5" t="s">
        <v>355</v>
      </c>
    </row>
    <row r="28018" ht="16.5" customHeight="1">
      <c r="O28018" s="5" t="s">
        <v>355</v>
      </c>
      <c r="P28018" s="5" t="s">
        <v>355</v>
      </c>
      <c r="Q28018" s="5" t="s">
        <v>355</v>
      </c>
    </row>
    <row r="28019" ht="16.5" customHeight="1">
      <c r="O28019" s="5" t="s">
        <v>355</v>
      </c>
      <c r="P28019" s="5" t="s">
        <v>355</v>
      </c>
      <c r="Q28019" s="5" t="s">
        <v>355</v>
      </c>
    </row>
    <row r="28020" ht="16.5" customHeight="1">
      <c r="O28020" s="5" t="s">
        <v>355</v>
      </c>
      <c r="P28020" s="5" t="s">
        <v>355</v>
      </c>
      <c r="Q28020" s="5" t="s">
        <v>355</v>
      </c>
    </row>
    <row r="28021" ht="16.5" customHeight="1">
      <c r="O28021" s="5" t="s">
        <v>355</v>
      </c>
      <c r="P28021" s="5" t="s">
        <v>355</v>
      </c>
      <c r="Q28021" s="5" t="s">
        <v>355</v>
      </c>
    </row>
    <row r="28022" ht="16.5" customHeight="1">
      <c r="O28022" s="5" t="s">
        <v>355</v>
      </c>
      <c r="P28022" s="5" t="s">
        <v>355</v>
      </c>
      <c r="Q28022" s="5" t="s">
        <v>355</v>
      </c>
    </row>
    <row r="28023" ht="16.5" customHeight="1">
      <c r="O28023" s="5" t="s">
        <v>355</v>
      </c>
      <c r="P28023" s="5" t="s">
        <v>355</v>
      </c>
      <c r="Q28023" s="5" t="s">
        <v>355</v>
      </c>
    </row>
    <row r="28024" ht="16.5" customHeight="1">
      <c r="O28024" s="5" t="s">
        <v>355</v>
      </c>
      <c r="P28024" s="5" t="s">
        <v>355</v>
      </c>
      <c r="Q28024" s="5" t="s">
        <v>355</v>
      </c>
    </row>
    <row r="28025" ht="16.5" customHeight="1">
      <c r="O28025" s="5" t="s">
        <v>355</v>
      </c>
      <c r="P28025" s="5" t="s">
        <v>355</v>
      </c>
      <c r="Q28025" s="5" t="s">
        <v>355</v>
      </c>
    </row>
    <row r="28026" ht="16.5" customHeight="1">
      <c r="O28026" s="5" t="s">
        <v>355</v>
      </c>
      <c r="P28026" s="5" t="s">
        <v>355</v>
      </c>
      <c r="Q28026" s="5" t="s">
        <v>355</v>
      </c>
    </row>
    <row r="28027" ht="16.5" customHeight="1">
      <c r="O28027" s="5" t="s">
        <v>355</v>
      </c>
      <c r="P28027" s="5" t="s">
        <v>355</v>
      </c>
      <c r="Q28027" s="5" t="s">
        <v>355</v>
      </c>
    </row>
    <row r="28028" ht="16.5" customHeight="1">
      <c r="O28028" s="5" t="s">
        <v>355</v>
      </c>
      <c r="P28028" s="5" t="s">
        <v>355</v>
      </c>
      <c r="Q28028" s="5" t="s">
        <v>355</v>
      </c>
    </row>
    <row r="28029" ht="16.5" customHeight="1">
      <c r="O28029" s="5" t="s">
        <v>355</v>
      </c>
      <c r="P28029" s="5" t="s">
        <v>355</v>
      </c>
      <c r="Q28029" s="5" t="s">
        <v>355</v>
      </c>
    </row>
    <row r="28030" ht="16.5" customHeight="1">
      <c r="O28030" s="5" t="s">
        <v>355</v>
      </c>
      <c r="P28030" s="5" t="s">
        <v>355</v>
      </c>
      <c r="Q28030" s="5" t="s">
        <v>355</v>
      </c>
    </row>
    <row r="28031" ht="16.5" customHeight="1">
      <c r="O28031" s="5" t="s">
        <v>355</v>
      </c>
      <c r="P28031" s="5" t="s">
        <v>355</v>
      </c>
      <c r="Q28031" s="5" t="s">
        <v>355</v>
      </c>
    </row>
    <row r="28032" ht="16.5" customHeight="1">
      <c r="O28032" s="5" t="s">
        <v>355</v>
      </c>
      <c r="P28032" s="5" t="s">
        <v>355</v>
      </c>
      <c r="Q28032" s="5" t="s">
        <v>355</v>
      </c>
    </row>
    <row r="28033" ht="16.5" customHeight="1">
      <c r="O28033" s="5" t="s">
        <v>355</v>
      </c>
      <c r="P28033" s="5" t="s">
        <v>355</v>
      </c>
      <c r="Q28033" s="5" t="s">
        <v>355</v>
      </c>
    </row>
    <row r="28034" ht="16.5" customHeight="1">
      <c r="O28034" s="5" t="s">
        <v>355</v>
      </c>
      <c r="P28034" s="5" t="s">
        <v>355</v>
      </c>
      <c r="Q28034" s="5" t="s">
        <v>355</v>
      </c>
    </row>
    <row r="28035" ht="16.5" customHeight="1">
      <c r="O28035" s="5" t="s">
        <v>355</v>
      </c>
      <c r="P28035" s="5" t="s">
        <v>355</v>
      </c>
      <c r="Q28035" s="5" t="s">
        <v>355</v>
      </c>
    </row>
    <row r="28036" ht="16.5" customHeight="1">
      <c r="O28036" s="5" t="s">
        <v>355</v>
      </c>
      <c r="P28036" s="5" t="s">
        <v>355</v>
      </c>
      <c r="Q28036" s="5" t="s">
        <v>355</v>
      </c>
    </row>
    <row r="28037" ht="16.5" customHeight="1">
      <c r="O28037" s="5" t="s">
        <v>355</v>
      </c>
      <c r="P28037" s="5" t="s">
        <v>355</v>
      </c>
      <c r="Q28037" s="5" t="s">
        <v>355</v>
      </c>
    </row>
    <row r="28038" ht="16.5" customHeight="1">
      <c r="O28038" s="5" t="s">
        <v>355</v>
      </c>
      <c r="P28038" s="5" t="s">
        <v>355</v>
      </c>
      <c r="Q28038" s="5" t="s">
        <v>355</v>
      </c>
    </row>
    <row r="28039" ht="16.5" customHeight="1">
      <c r="O28039" s="5" t="s">
        <v>355</v>
      </c>
      <c r="P28039" s="5" t="s">
        <v>355</v>
      </c>
      <c r="Q28039" s="5" t="s">
        <v>355</v>
      </c>
    </row>
    <row r="28040" ht="16.5" customHeight="1">
      <c r="O28040" s="5" t="s">
        <v>355</v>
      </c>
      <c r="P28040" s="5" t="s">
        <v>355</v>
      </c>
      <c r="Q28040" s="5" t="s">
        <v>355</v>
      </c>
    </row>
    <row r="28041" ht="16.5" customHeight="1">
      <c r="O28041" s="5" t="s">
        <v>355</v>
      </c>
      <c r="P28041" s="5" t="s">
        <v>355</v>
      </c>
      <c r="Q28041" s="5" t="s">
        <v>355</v>
      </c>
    </row>
    <row r="28042" ht="16.5" customHeight="1">
      <c r="O28042" s="5" t="s">
        <v>355</v>
      </c>
      <c r="P28042" s="5" t="s">
        <v>355</v>
      </c>
      <c r="Q28042" s="5" t="s">
        <v>355</v>
      </c>
    </row>
    <row r="28043" ht="16.5" customHeight="1">
      <c r="O28043" s="5" t="s">
        <v>355</v>
      </c>
      <c r="P28043" s="5" t="s">
        <v>355</v>
      </c>
      <c r="Q28043" s="5" t="s">
        <v>355</v>
      </c>
    </row>
    <row r="28044" ht="16.5" customHeight="1">
      <c r="O28044" s="5" t="s">
        <v>355</v>
      </c>
      <c r="P28044" s="5" t="s">
        <v>355</v>
      </c>
      <c r="Q28044" s="5" t="s">
        <v>355</v>
      </c>
    </row>
    <row r="28045" ht="16.5" customHeight="1">
      <c r="O28045" s="5" t="s">
        <v>355</v>
      </c>
      <c r="P28045" s="5" t="s">
        <v>355</v>
      </c>
      <c r="Q28045" s="5" t="s">
        <v>355</v>
      </c>
    </row>
    <row r="28046" ht="16.5" customHeight="1">
      <c r="O28046" s="5" t="s">
        <v>355</v>
      </c>
      <c r="P28046" s="5" t="s">
        <v>355</v>
      </c>
      <c r="Q28046" s="5" t="s">
        <v>355</v>
      </c>
    </row>
    <row r="28047" ht="16.5" customHeight="1">
      <c r="O28047" s="5" t="s">
        <v>355</v>
      </c>
      <c r="P28047" s="5" t="s">
        <v>355</v>
      </c>
      <c r="Q28047" s="5" t="s">
        <v>355</v>
      </c>
    </row>
    <row r="28048" ht="16.5" customHeight="1">
      <c r="O28048" s="5" t="s">
        <v>355</v>
      </c>
      <c r="P28048" s="5" t="s">
        <v>355</v>
      </c>
      <c r="Q28048" s="5" t="s">
        <v>355</v>
      </c>
    </row>
    <row r="28049" ht="16.5" customHeight="1">
      <c r="O28049" s="5" t="s">
        <v>355</v>
      </c>
      <c r="P28049" s="5" t="s">
        <v>355</v>
      </c>
      <c r="Q28049" s="5" t="s">
        <v>355</v>
      </c>
    </row>
    <row r="28050" ht="16.5" customHeight="1">
      <c r="O28050" s="5" t="s">
        <v>355</v>
      </c>
      <c r="P28050" s="5" t="s">
        <v>355</v>
      </c>
      <c r="Q28050" s="5" t="s">
        <v>355</v>
      </c>
    </row>
    <row r="28051" ht="16.5" customHeight="1">
      <c r="O28051" s="5" t="s">
        <v>355</v>
      </c>
      <c r="P28051" s="5" t="s">
        <v>355</v>
      </c>
      <c r="Q28051" s="5" t="s">
        <v>355</v>
      </c>
    </row>
    <row r="28052" ht="16.5" customHeight="1">
      <c r="O28052" s="5" t="s">
        <v>355</v>
      </c>
      <c r="P28052" s="5" t="s">
        <v>355</v>
      </c>
      <c r="Q28052" s="5" t="s">
        <v>355</v>
      </c>
    </row>
    <row r="28053" ht="16.5" customHeight="1">
      <c r="O28053" s="5" t="s">
        <v>355</v>
      </c>
      <c r="P28053" s="5" t="s">
        <v>355</v>
      </c>
      <c r="Q28053" s="5" t="s">
        <v>355</v>
      </c>
    </row>
    <row r="28054" ht="16.5" customHeight="1">
      <c r="O28054" s="5" t="s">
        <v>355</v>
      </c>
      <c r="P28054" s="5" t="s">
        <v>355</v>
      </c>
      <c r="Q28054" s="5" t="s">
        <v>355</v>
      </c>
    </row>
    <row r="28055" ht="16.5" customHeight="1">
      <c r="O28055" s="5" t="s">
        <v>355</v>
      </c>
      <c r="P28055" s="5" t="s">
        <v>355</v>
      </c>
      <c r="Q28055" s="5" t="s">
        <v>355</v>
      </c>
    </row>
    <row r="28056" ht="16.5" customHeight="1">
      <c r="O28056" s="5" t="s">
        <v>355</v>
      </c>
      <c r="P28056" s="5" t="s">
        <v>355</v>
      </c>
      <c r="Q28056" s="5" t="s">
        <v>355</v>
      </c>
    </row>
    <row r="28057" ht="16.5" customHeight="1">
      <c r="O28057" s="5" t="s">
        <v>355</v>
      </c>
      <c r="P28057" s="5" t="s">
        <v>355</v>
      </c>
      <c r="Q28057" s="5" t="s">
        <v>355</v>
      </c>
    </row>
    <row r="28058" ht="16.5" customHeight="1">
      <c r="O28058" s="5" t="s">
        <v>355</v>
      </c>
      <c r="P28058" s="5" t="s">
        <v>355</v>
      </c>
      <c r="Q28058" s="5" t="s">
        <v>355</v>
      </c>
    </row>
    <row r="28059" ht="16.5" customHeight="1">
      <c r="O28059" s="5" t="s">
        <v>355</v>
      </c>
      <c r="P28059" s="5" t="s">
        <v>355</v>
      </c>
      <c r="Q28059" s="5" t="s">
        <v>355</v>
      </c>
    </row>
    <row r="28060" ht="16.5" customHeight="1">
      <c r="O28060" s="5" t="s">
        <v>355</v>
      </c>
      <c r="P28060" s="5" t="s">
        <v>355</v>
      </c>
      <c r="Q28060" s="5" t="s">
        <v>355</v>
      </c>
    </row>
    <row r="28061" ht="16.5" customHeight="1">
      <c r="O28061" s="5" t="s">
        <v>355</v>
      </c>
      <c r="P28061" s="5" t="s">
        <v>355</v>
      </c>
      <c r="Q28061" s="5" t="s">
        <v>355</v>
      </c>
    </row>
    <row r="28062" ht="16.5" customHeight="1">
      <c r="O28062" s="5" t="s">
        <v>355</v>
      </c>
      <c r="P28062" s="5" t="s">
        <v>355</v>
      </c>
      <c r="Q28062" s="5" t="s">
        <v>355</v>
      </c>
    </row>
    <row r="28063" ht="16.5" customHeight="1">
      <c r="O28063" s="5" t="s">
        <v>355</v>
      </c>
      <c r="P28063" s="5" t="s">
        <v>355</v>
      </c>
      <c r="Q28063" s="5" t="s">
        <v>355</v>
      </c>
    </row>
    <row r="28064" ht="16.5" customHeight="1">
      <c r="O28064" s="5" t="s">
        <v>355</v>
      </c>
      <c r="P28064" s="5" t="s">
        <v>355</v>
      </c>
      <c r="Q28064" s="5" t="s">
        <v>355</v>
      </c>
    </row>
    <row r="28065" ht="16.5" customHeight="1">
      <c r="O28065" s="5" t="s">
        <v>355</v>
      </c>
      <c r="P28065" s="5" t="s">
        <v>355</v>
      </c>
      <c r="Q28065" s="5" t="s">
        <v>355</v>
      </c>
    </row>
    <row r="28066" ht="16.5" customHeight="1">
      <c r="O28066" s="5" t="s">
        <v>355</v>
      </c>
      <c r="P28066" s="5" t="s">
        <v>355</v>
      </c>
      <c r="Q28066" s="5" t="s">
        <v>355</v>
      </c>
    </row>
    <row r="28067" ht="16.5" customHeight="1">
      <c r="O28067" s="5" t="s">
        <v>355</v>
      </c>
      <c r="P28067" s="5" t="s">
        <v>355</v>
      </c>
      <c r="Q28067" s="5" t="s">
        <v>355</v>
      </c>
    </row>
    <row r="28068" ht="16.5" customHeight="1">
      <c r="O28068" s="5" t="s">
        <v>355</v>
      </c>
      <c r="P28068" s="5" t="s">
        <v>355</v>
      </c>
      <c r="Q28068" s="5" t="s">
        <v>355</v>
      </c>
    </row>
    <row r="28069" ht="16.5" customHeight="1">
      <c r="O28069" s="5" t="s">
        <v>355</v>
      </c>
      <c r="P28069" s="5" t="s">
        <v>355</v>
      </c>
      <c r="Q28069" s="5" t="s">
        <v>355</v>
      </c>
    </row>
    <row r="28070" ht="16.5" customHeight="1">
      <c r="O28070" s="5" t="s">
        <v>355</v>
      </c>
      <c r="P28070" s="5" t="s">
        <v>355</v>
      </c>
      <c r="Q28070" s="5" t="s">
        <v>355</v>
      </c>
    </row>
    <row r="28071" ht="16.5" customHeight="1">
      <c r="O28071" s="5" t="s">
        <v>355</v>
      </c>
      <c r="P28071" s="5" t="s">
        <v>355</v>
      </c>
      <c r="Q28071" s="5" t="s">
        <v>355</v>
      </c>
    </row>
    <row r="28072" ht="16.5" customHeight="1">
      <c r="O28072" s="5" t="s">
        <v>355</v>
      </c>
      <c r="P28072" s="5" t="s">
        <v>355</v>
      </c>
      <c r="Q28072" s="5" t="s">
        <v>355</v>
      </c>
    </row>
    <row r="28073" ht="16.5" customHeight="1">
      <c r="O28073" s="5" t="s">
        <v>355</v>
      </c>
      <c r="P28073" s="5" t="s">
        <v>355</v>
      </c>
      <c r="Q28073" s="5" t="s">
        <v>355</v>
      </c>
    </row>
    <row r="28074" ht="16.5" customHeight="1">
      <c r="O28074" s="5" t="s">
        <v>355</v>
      </c>
      <c r="P28074" s="5" t="s">
        <v>355</v>
      </c>
      <c r="Q28074" s="5" t="s">
        <v>355</v>
      </c>
    </row>
    <row r="28075" ht="16.5" customHeight="1">
      <c r="O28075" s="5" t="s">
        <v>355</v>
      </c>
      <c r="P28075" s="5" t="s">
        <v>355</v>
      </c>
      <c r="Q28075" s="5" t="s">
        <v>355</v>
      </c>
    </row>
    <row r="28076" ht="16.5" customHeight="1">
      <c r="O28076" s="5" t="s">
        <v>355</v>
      </c>
      <c r="P28076" s="5" t="s">
        <v>355</v>
      </c>
      <c r="Q28076" s="5" t="s">
        <v>355</v>
      </c>
    </row>
    <row r="28077" ht="16.5" customHeight="1">
      <c r="O28077" s="5" t="s">
        <v>355</v>
      </c>
      <c r="P28077" s="5" t="s">
        <v>355</v>
      </c>
      <c r="Q28077" s="5" t="s">
        <v>355</v>
      </c>
    </row>
    <row r="28078" ht="16.5" customHeight="1">
      <c r="O28078" s="5" t="s">
        <v>355</v>
      </c>
      <c r="P28078" s="5" t="s">
        <v>355</v>
      </c>
      <c r="Q28078" s="5" t="s">
        <v>355</v>
      </c>
    </row>
    <row r="28079" ht="16.5" customHeight="1">
      <c r="O28079" s="5" t="s">
        <v>355</v>
      </c>
      <c r="P28079" s="5" t="s">
        <v>355</v>
      </c>
      <c r="Q28079" s="5" t="s">
        <v>355</v>
      </c>
    </row>
    <row r="28080" ht="16.5" customHeight="1">
      <c r="O28080" s="5" t="s">
        <v>355</v>
      </c>
      <c r="P28080" s="5" t="s">
        <v>355</v>
      </c>
      <c r="Q28080" s="5" t="s">
        <v>355</v>
      </c>
    </row>
    <row r="28081" ht="16.5" customHeight="1">
      <c r="O28081" s="5" t="s">
        <v>355</v>
      </c>
      <c r="P28081" s="5" t="s">
        <v>355</v>
      </c>
      <c r="Q28081" s="5" t="s">
        <v>355</v>
      </c>
    </row>
    <row r="28082" ht="16.5" customHeight="1">
      <c r="O28082" s="5" t="s">
        <v>355</v>
      </c>
      <c r="P28082" s="5" t="s">
        <v>355</v>
      </c>
      <c r="Q28082" s="5" t="s">
        <v>355</v>
      </c>
    </row>
    <row r="28083" ht="16.5" customHeight="1">
      <c r="O28083" s="5" t="s">
        <v>355</v>
      </c>
      <c r="P28083" s="5" t="s">
        <v>355</v>
      </c>
      <c r="Q28083" s="5" t="s">
        <v>355</v>
      </c>
    </row>
    <row r="28084" ht="16.5" customHeight="1">
      <c r="O28084" s="5" t="s">
        <v>355</v>
      </c>
      <c r="P28084" s="5" t="s">
        <v>355</v>
      </c>
      <c r="Q28084" s="5" t="s">
        <v>355</v>
      </c>
    </row>
    <row r="28085" ht="16.5" customHeight="1">
      <c r="O28085" s="5" t="s">
        <v>355</v>
      </c>
      <c r="P28085" s="5" t="s">
        <v>355</v>
      </c>
      <c r="Q28085" s="5" t="s">
        <v>355</v>
      </c>
    </row>
    <row r="28086" ht="16.5" customHeight="1">
      <c r="O28086" s="5" t="s">
        <v>355</v>
      </c>
      <c r="P28086" s="5" t="s">
        <v>355</v>
      </c>
      <c r="Q28086" s="5" t="s">
        <v>355</v>
      </c>
    </row>
    <row r="28087" ht="16.5" customHeight="1">
      <c r="O28087" s="5" t="s">
        <v>355</v>
      </c>
      <c r="P28087" s="5" t="s">
        <v>355</v>
      </c>
      <c r="Q28087" s="5" t="s">
        <v>355</v>
      </c>
    </row>
    <row r="28088" ht="16.5" customHeight="1">
      <c r="O28088" s="5" t="s">
        <v>355</v>
      </c>
      <c r="P28088" s="5" t="s">
        <v>355</v>
      </c>
      <c r="Q28088" s="5" t="s">
        <v>355</v>
      </c>
    </row>
    <row r="28089" ht="16.5" customHeight="1">
      <c r="O28089" s="5" t="s">
        <v>355</v>
      </c>
      <c r="P28089" s="5" t="s">
        <v>355</v>
      </c>
      <c r="Q28089" s="5" t="s">
        <v>355</v>
      </c>
    </row>
    <row r="28090" ht="16.5" customHeight="1">
      <c r="O28090" s="5" t="s">
        <v>355</v>
      </c>
      <c r="P28090" s="5" t="s">
        <v>355</v>
      </c>
      <c r="Q28090" s="5" t="s">
        <v>355</v>
      </c>
    </row>
    <row r="28091" ht="16.5" customHeight="1">
      <c r="O28091" s="5" t="s">
        <v>355</v>
      </c>
      <c r="P28091" s="5" t="s">
        <v>355</v>
      </c>
      <c r="Q28091" s="5" t="s">
        <v>355</v>
      </c>
    </row>
    <row r="28092" ht="16.5" customHeight="1">
      <c r="O28092" s="5" t="s">
        <v>355</v>
      </c>
      <c r="P28092" s="5" t="s">
        <v>355</v>
      </c>
      <c r="Q28092" s="5" t="s">
        <v>355</v>
      </c>
    </row>
    <row r="28093" ht="16.5" customHeight="1">
      <c r="O28093" s="5" t="s">
        <v>355</v>
      </c>
      <c r="P28093" s="5" t="s">
        <v>355</v>
      </c>
      <c r="Q28093" s="5" t="s">
        <v>355</v>
      </c>
    </row>
    <row r="28094" ht="16.5" customHeight="1">
      <c r="O28094" s="5" t="s">
        <v>355</v>
      </c>
      <c r="P28094" s="5" t="s">
        <v>355</v>
      </c>
      <c r="Q28094" s="5" t="s">
        <v>355</v>
      </c>
    </row>
    <row r="28095" ht="16.5" customHeight="1">
      <c r="O28095" s="5" t="s">
        <v>355</v>
      </c>
      <c r="P28095" s="5" t="s">
        <v>355</v>
      </c>
      <c r="Q28095" s="5" t="s">
        <v>355</v>
      </c>
    </row>
    <row r="28096" ht="16.5" customHeight="1">
      <c r="O28096" s="5" t="s">
        <v>355</v>
      </c>
      <c r="P28096" s="5" t="s">
        <v>355</v>
      </c>
      <c r="Q28096" s="5" t="s">
        <v>355</v>
      </c>
    </row>
    <row r="28097" ht="16.5" customHeight="1">
      <c r="O28097" s="5" t="s">
        <v>355</v>
      </c>
      <c r="P28097" s="5" t="s">
        <v>355</v>
      </c>
      <c r="Q28097" s="5" t="s">
        <v>355</v>
      </c>
    </row>
    <row r="28098" ht="16.5" customHeight="1">
      <c r="O28098" s="5" t="s">
        <v>355</v>
      </c>
      <c r="P28098" s="5" t="s">
        <v>355</v>
      </c>
      <c r="Q28098" s="5" t="s">
        <v>355</v>
      </c>
    </row>
    <row r="28099" ht="16.5" customHeight="1">
      <c r="O28099" s="5" t="s">
        <v>355</v>
      </c>
      <c r="P28099" s="5" t="s">
        <v>355</v>
      </c>
      <c r="Q28099" s="5" t="s">
        <v>355</v>
      </c>
    </row>
    <row r="28100" ht="16.5" customHeight="1">
      <c r="O28100" s="5" t="s">
        <v>355</v>
      </c>
      <c r="P28100" s="5" t="s">
        <v>355</v>
      </c>
      <c r="Q28100" s="5" t="s">
        <v>355</v>
      </c>
    </row>
    <row r="28101" ht="16.5" customHeight="1">
      <c r="O28101" s="5" t="s">
        <v>355</v>
      </c>
      <c r="P28101" s="5" t="s">
        <v>355</v>
      </c>
      <c r="Q28101" s="5" t="s">
        <v>355</v>
      </c>
    </row>
    <row r="28102" ht="16.5" customHeight="1">
      <c r="O28102" s="5" t="s">
        <v>355</v>
      </c>
      <c r="P28102" s="5" t="s">
        <v>355</v>
      </c>
      <c r="Q28102" s="5" t="s">
        <v>355</v>
      </c>
    </row>
    <row r="28103" ht="16.5" customHeight="1">
      <c r="O28103" s="5" t="s">
        <v>355</v>
      </c>
      <c r="P28103" s="5" t="s">
        <v>355</v>
      </c>
      <c r="Q28103" s="5" t="s">
        <v>355</v>
      </c>
    </row>
    <row r="28104" ht="16.5" customHeight="1">
      <c r="O28104" s="5" t="s">
        <v>355</v>
      </c>
      <c r="P28104" s="5" t="s">
        <v>355</v>
      </c>
      <c r="Q28104" s="5" t="s">
        <v>355</v>
      </c>
    </row>
    <row r="28105" ht="16.5" customHeight="1">
      <c r="O28105" s="5" t="s">
        <v>355</v>
      </c>
      <c r="P28105" s="5" t="s">
        <v>355</v>
      </c>
      <c r="Q28105" s="5" t="s">
        <v>355</v>
      </c>
    </row>
    <row r="28106" ht="16.5" customHeight="1">
      <c r="O28106" s="5" t="s">
        <v>355</v>
      </c>
      <c r="P28106" s="5" t="s">
        <v>355</v>
      </c>
      <c r="Q28106" s="5" t="s">
        <v>355</v>
      </c>
    </row>
    <row r="28107" ht="16.5" customHeight="1">
      <c r="O28107" s="5" t="s">
        <v>355</v>
      </c>
      <c r="P28107" s="5" t="s">
        <v>355</v>
      </c>
      <c r="Q28107" s="5" t="s">
        <v>355</v>
      </c>
    </row>
    <row r="28108" ht="16.5" customHeight="1">
      <c r="O28108" s="5" t="s">
        <v>355</v>
      </c>
      <c r="P28108" s="5" t="s">
        <v>355</v>
      </c>
      <c r="Q28108" s="5" t="s">
        <v>355</v>
      </c>
    </row>
    <row r="28109" ht="16.5" customHeight="1">
      <c r="O28109" s="5" t="s">
        <v>355</v>
      </c>
      <c r="P28109" s="5" t="s">
        <v>355</v>
      </c>
      <c r="Q28109" s="5" t="s">
        <v>355</v>
      </c>
    </row>
    <row r="28110" ht="16.5" customHeight="1">
      <c r="O28110" s="5" t="s">
        <v>355</v>
      </c>
      <c r="P28110" s="5" t="s">
        <v>355</v>
      </c>
      <c r="Q28110" s="5" t="s">
        <v>355</v>
      </c>
    </row>
    <row r="28111" ht="16.5" customHeight="1">
      <c r="O28111" s="5" t="s">
        <v>355</v>
      </c>
      <c r="P28111" s="5" t="s">
        <v>355</v>
      </c>
      <c r="Q28111" s="5" t="s">
        <v>355</v>
      </c>
    </row>
    <row r="28112" ht="16.5" customHeight="1">
      <c r="O28112" s="5" t="s">
        <v>355</v>
      </c>
      <c r="P28112" s="5" t="s">
        <v>355</v>
      </c>
      <c r="Q28112" s="5" t="s">
        <v>355</v>
      </c>
    </row>
    <row r="28113" ht="16.5" customHeight="1">
      <c r="O28113" s="5" t="s">
        <v>355</v>
      </c>
      <c r="P28113" s="5" t="s">
        <v>355</v>
      </c>
      <c r="Q28113" s="5" t="s">
        <v>355</v>
      </c>
    </row>
    <row r="28114" ht="16.5" customHeight="1">
      <c r="O28114" s="5" t="s">
        <v>355</v>
      </c>
      <c r="P28114" s="5" t="s">
        <v>355</v>
      </c>
      <c r="Q28114" s="5" t="s">
        <v>355</v>
      </c>
    </row>
    <row r="28115" ht="16.5" customHeight="1">
      <c r="O28115" s="5" t="s">
        <v>355</v>
      </c>
      <c r="P28115" s="5" t="s">
        <v>355</v>
      </c>
      <c r="Q28115" s="5" t="s">
        <v>355</v>
      </c>
    </row>
    <row r="28116" ht="16.5" customHeight="1">
      <c r="O28116" s="5" t="s">
        <v>355</v>
      </c>
      <c r="P28116" s="5" t="s">
        <v>355</v>
      </c>
      <c r="Q28116" s="5" t="s">
        <v>355</v>
      </c>
    </row>
    <row r="28117" ht="16.5" customHeight="1">
      <c r="O28117" s="5" t="s">
        <v>355</v>
      </c>
      <c r="P28117" s="5" t="s">
        <v>355</v>
      </c>
      <c r="Q28117" s="5" t="s">
        <v>355</v>
      </c>
    </row>
    <row r="28118" ht="16.5" customHeight="1">
      <c r="O28118" s="5" t="s">
        <v>355</v>
      </c>
      <c r="P28118" s="5" t="s">
        <v>355</v>
      </c>
      <c r="Q28118" s="5" t="s">
        <v>355</v>
      </c>
    </row>
    <row r="28119" ht="16.5" customHeight="1">
      <c r="O28119" s="5" t="s">
        <v>355</v>
      </c>
      <c r="P28119" s="5" t="s">
        <v>355</v>
      </c>
      <c r="Q28119" s="5" t="s">
        <v>355</v>
      </c>
    </row>
    <row r="28120" ht="16.5" customHeight="1">
      <c r="O28120" s="5" t="s">
        <v>355</v>
      </c>
      <c r="P28120" s="5" t="s">
        <v>355</v>
      </c>
      <c r="Q28120" s="5" t="s">
        <v>355</v>
      </c>
    </row>
    <row r="28121" ht="16.5" customHeight="1">
      <c r="O28121" s="5" t="s">
        <v>355</v>
      </c>
      <c r="P28121" s="5" t="s">
        <v>355</v>
      </c>
      <c r="Q28121" s="5" t="s">
        <v>355</v>
      </c>
    </row>
    <row r="28122" ht="16.5" customHeight="1">
      <c r="O28122" s="5" t="s">
        <v>355</v>
      </c>
      <c r="P28122" s="5" t="s">
        <v>355</v>
      </c>
      <c r="Q28122" s="5" t="s">
        <v>355</v>
      </c>
    </row>
    <row r="28123" ht="16.5" customHeight="1">
      <c r="O28123" s="5" t="s">
        <v>355</v>
      </c>
      <c r="P28123" s="5" t="s">
        <v>355</v>
      </c>
      <c r="Q28123" s="5" t="s">
        <v>355</v>
      </c>
    </row>
    <row r="28124" ht="16.5" customHeight="1">
      <c r="O28124" s="5" t="s">
        <v>355</v>
      </c>
      <c r="P28124" s="5" t="s">
        <v>355</v>
      </c>
      <c r="Q28124" s="5" t="s">
        <v>355</v>
      </c>
    </row>
    <row r="28125" ht="16.5" customHeight="1">
      <c r="O28125" s="5" t="s">
        <v>355</v>
      </c>
      <c r="P28125" s="5" t="s">
        <v>355</v>
      </c>
      <c r="Q28125" s="5" t="s">
        <v>355</v>
      </c>
    </row>
    <row r="28126" ht="16.5" customHeight="1">
      <c r="O28126" s="5" t="s">
        <v>355</v>
      </c>
      <c r="P28126" s="5" t="s">
        <v>355</v>
      </c>
      <c r="Q28126" s="5" t="s">
        <v>355</v>
      </c>
    </row>
    <row r="28127" ht="16.5" customHeight="1">
      <c r="O28127" s="5" t="s">
        <v>355</v>
      </c>
      <c r="P28127" s="5" t="s">
        <v>355</v>
      </c>
      <c r="Q28127" s="5" t="s">
        <v>355</v>
      </c>
    </row>
    <row r="28128" ht="16.5" customHeight="1">
      <c r="O28128" s="5" t="s">
        <v>355</v>
      </c>
      <c r="P28128" s="5" t="s">
        <v>355</v>
      </c>
      <c r="Q28128" s="5" t="s">
        <v>355</v>
      </c>
    </row>
    <row r="28129" ht="16.5" customHeight="1">
      <c r="O28129" s="5" t="s">
        <v>355</v>
      </c>
      <c r="P28129" s="5" t="s">
        <v>355</v>
      </c>
      <c r="Q28129" s="5" t="s">
        <v>355</v>
      </c>
    </row>
    <row r="28130" ht="16.5" customHeight="1">
      <c r="O28130" s="5" t="s">
        <v>355</v>
      </c>
      <c r="P28130" s="5" t="s">
        <v>355</v>
      </c>
      <c r="Q28130" s="5" t="s">
        <v>355</v>
      </c>
    </row>
    <row r="28131" ht="16.5" customHeight="1">
      <c r="O28131" s="5" t="s">
        <v>355</v>
      </c>
      <c r="P28131" s="5" t="s">
        <v>355</v>
      </c>
      <c r="Q28131" s="5" t="s">
        <v>355</v>
      </c>
    </row>
    <row r="28132" ht="16.5" customHeight="1">
      <c r="O28132" s="5" t="s">
        <v>355</v>
      </c>
      <c r="P28132" s="5" t="s">
        <v>355</v>
      </c>
      <c r="Q28132" s="5" t="s">
        <v>355</v>
      </c>
    </row>
    <row r="28133" ht="16.5" customHeight="1">
      <c r="O28133" s="5" t="s">
        <v>355</v>
      </c>
      <c r="P28133" s="5" t="s">
        <v>355</v>
      </c>
      <c r="Q28133" s="5" t="s">
        <v>355</v>
      </c>
    </row>
    <row r="28134" ht="16.5" customHeight="1">
      <c r="O28134" s="5" t="s">
        <v>355</v>
      </c>
      <c r="P28134" s="5" t="s">
        <v>355</v>
      </c>
      <c r="Q28134" s="5" t="s">
        <v>355</v>
      </c>
    </row>
    <row r="28135" ht="16.5" customHeight="1">
      <c r="O28135" s="5" t="s">
        <v>355</v>
      </c>
      <c r="P28135" s="5" t="s">
        <v>355</v>
      </c>
      <c r="Q28135" s="5" t="s">
        <v>355</v>
      </c>
    </row>
    <row r="28136" ht="16.5" customHeight="1">
      <c r="O28136" s="5" t="s">
        <v>355</v>
      </c>
      <c r="P28136" s="5" t="s">
        <v>355</v>
      </c>
      <c r="Q28136" s="5" t="s">
        <v>355</v>
      </c>
    </row>
    <row r="28137" ht="16.5" customHeight="1">
      <c r="O28137" s="5" t="s">
        <v>355</v>
      </c>
      <c r="P28137" s="5" t="s">
        <v>355</v>
      </c>
      <c r="Q28137" s="5" t="s">
        <v>355</v>
      </c>
    </row>
    <row r="28138" ht="16.5" customHeight="1">
      <c r="O28138" s="5" t="s">
        <v>355</v>
      </c>
      <c r="P28138" s="5" t="s">
        <v>355</v>
      </c>
      <c r="Q28138" s="5" t="s">
        <v>355</v>
      </c>
    </row>
    <row r="28139" ht="16.5" customHeight="1">
      <c r="O28139" s="5" t="s">
        <v>355</v>
      </c>
      <c r="P28139" s="5" t="s">
        <v>355</v>
      </c>
      <c r="Q28139" s="5" t="s">
        <v>355</v>
      </c>
    </row>
    <row r="28140" ht="16.5" customHeight="1">
      <c r="O28140" s="5" t="s">
        <v>355</v>
      </c>
      <c r="P28140" s="5" t="s">
        <v>355</v>
      </c>
      <c r="Q28140" s="5" t="s">
        <v>355</v>
      </c>
    </row>
    <row r="28141" ht="16.5" customHeight="1">
      <c r="O28141" s="5" t="s">
        <v>355</v>
      </c>
      <c r="P28141" s="5" t="s">
        <v>355</v>
      </c>
      <c r="Q28141" s="5" t="s">
        <v>355</v>
      </c>
    </row>
    <row r="28142" ht="16.5" customHeight="1">
      <c r="O28142" s="5" t="s">
        <v>355</v>
      </c>
      <c r="P28142" s="5" t="s">
        <v>355</v>
      </c>
      <c r="Q28142" s="5" t="s">
        <v>355</v>
      </c>
    </row>
    <row r="28143" ht="16.5" customHeight="1">
      <c r="O28143" s="5" t="s">
        <v>355</v>
      </c>
      <c r="P28143" s="5" t="s">
        <v>355</v>
      </c>
      <c r="Q28143" s="5" t="s">
        <v>355</v>
      </c>
    </row>
    <row r="28144" ht="16.5" customHeight="1">
      <c r="O28144" s="5" t="s">
        <v>355</v>
      </c>
      <c r="P28144" s="5" t="s">
        <v>355</v>
      </c>
      <c r="Q28144" s="5" t="s">
        <v>355</v>
      </c>
    </row>
    <row r="28145" ht="16.5" customHeight="1">
      <c r="O28145" s="5" t="s">
        <v>355</v>
      </c>
      <c r="P28145" s="5" t="s">
        <v>355</v>
      </c>
      <c r="Q28145" s="5" t="s">
        <v>355</v>
      </c>
    </row>
    <row r="28146" ht="16.5" customHeight="1">
      <c r="O28146" s="5" t="s">
        <v>355</v>
      </c>
      <c r="P28146" s="5" t="s">
        <v>355</v>
      </c>
      <c r="Q28146" s="5" t="s">
        <v>355</v>
      </c>
    </row>
    <row r="28147" ht="16.5" customHeight="1">
      <c r="O28147" s="5" t="s">
        <v>355</v>
      </c>
      <c r="P28147" s="5" t="s">
        <v>355</v>
      </c>
      <c r="Q28147" s="5" t="s">
        <v>355</v>
      </c>
    </row>
    <row r="28148" ht="16.5" customHeight="1">
      <c r="O28148" s="5" t="s">
        <v>355</v>
      </c>
      <c r="P28148" s="5" t="s">
        <v>355</v>
      </c>
      <c r="Q28148" s="5" t="s">
        <v>355</v>
      </c>
    </row>
    <row r="28149" ht="16.5" customHeight="1">
      <c r="O28149" s="5" t="s">
        <v>355</v>
      </c>
      <c r="P28149" s="5" t="s">
        <v>355</v>
      </c>
      <c r="Q28149" s="5" t="s">
        <v>355</v>
      </c>
    </row>
    <row r="28150" ht="16.5" customHeight="1">
      <c r="O28150" s="5" t="s">
        <v>355</v>
      </c>
      <c r="P28150" s="5" t="s">
        <v>355</v>
      </c>
      <c r="Q28150" s="5" t="s">
        <v>355</v>
      </c>
    </row>
    <row r="28151" ht="16.5" customHeight="1">
      <c r="O28151" s="5" t="s">
        <v>355</v>
      </c>
      <c r="P28151" s="5" t="s">
        <v>355</v>
      </c>
      <c r="Q28151" s="5" t="s">
        <v>355</v>
      </c>
    </row>
    <row r="28152" ht="16.5" customHeight="1">
      <c r="O28152" s="5" t="s">
        <v>355</v>
      </c>
      <c r="P28152" s="5" t="s">
        <v>355</v>
      </c>
      <c r="Q28152" s="5" t="s">
        <v>355</v>
      </c>
    </row>
    <row r="28153" ht="16.5" customHeight="1">
      <c r="O28153" s="5" t="s">
        <v>355</v>
      </c>
      <c r="P28153" s="5" t="s">
        <v>355</v>
      </c>
      <c r="Q28153" s="5" t="s">
        <v>355</v>
      </c>
    </row>
    <row r="28154" ht="16.5" customHeight="1">
      <c r="O28154" s="5" t="s">
        <v>355</v>
      </c>
      <c r="P28154" s="5" t="s">
        <v>355</v>
      </c>
      <c r="Q28154" s="5" t="s">
        <v>355</v>
      </c>
    </row>
    <row r="28155" ht="16.5" customHeight="1">
      <c r="O28155" s="5" t="s">
        <v>355</v>
      </c>
      <c r="P28155" s="5" t="s">
        <v>355</v>
      </c>
      <c r="Q28155" s="5" t="s">
        <v>355</v>
      </c>
    </row>
    <row r="28156" ht="16.5" customHeight="1">
      <c r="O28156" s="5" t="s">
        <v>355</v>
      </c>
      <c r="P28156" s="5" t="s">
        <v>355</v>
      </c>
      <c r="Q28156" s="5" t="s">
        <v>355</v>
      </c>
    </row>
    <row r="28157" ht="16.5" customHeight="1">
      <c r="O28157" s="5" t="s">
        <v>355</v>
      </c>
      <c r="P28157" s="5" t="s">
        <v>355</v>
      </c>
      <c r="Q28157" s="5" t="s">
        <v>355</v>
      </c>
    </row>
    <row r="28158" ht="16.5" customHeight="1">
      <c r="O28158" s="5" t="s">
        <v>355</v>
      </c>
      <c r="P28158" s="5" t="s">
        <v>355</v>
      </c>
      <c r="Q28158" s="5" t="s">
        <v>355</v>
      </c>
    </row>
    <row r="28159" ht="16.5" customHeight="1">
      <c r="O28159" s="5" t="s">
        <v>355</v>
      </c>
      <c r="P28159" s="5" t="s">
        <v>355</v>
      </c>
      <c r="Q28159" s="5" t="s">
        <v>355</v>
      </c>
    </row>
    <row r="28160" ht="16.5" customHeight="1">
      <c r="O28160" s="5" t="s">
        <v>355</v>
      </c>
      <c r="P28160" s="5" t="s">
        <v>355</v>
      </c>
      <c r="Q28160" s="5" t="s">
        <v>355</v>
      </c>
    </row>
    <row r="28161" ht="16.5" customHeight="1">
      <c r="O28161" s="5" t="s">
        <v>355</v>
      </c>
      <c r="P28161" s="5" t="s">
        <v>355</v>
      </c>
      <c r="Q28161" s="5" t="s">
        <v>355</v>
      </c>
    </row>
    <row r="28162" ht="16.5" customHeight="1">
      <c r="O28162" s="5" t="s">
        <v>355</v>
      </c>
      <c r="P28162" s="5" t="s">
        <v>355</v>
      </c>
      <c r="Q28162" s="5" t="s">
        <v>355</v>
      </c>
    </row>
    <row r="28163" ht="16.5" customHeight="1">
      <c r="O28163" s="5" t="s">
        <v>355</v>
      </c>
      <c r="P28163" s="5" t="s">
        <v>355</v>
      </c>
      <c r="Q28163" s="5" t="s">
        <v>355</v>
      </c>
    </row>
    <row r="28164" ht="16.5" customHeight="1">
      <c r="O28164" s="5" t="s">
        <v>355</v>
      </c>
      <c r="P28164" s="5" t="s">
        <v>355</v>
      </c>
      <c r="Q28164" s="5" t="s">
        <v>355</v>
      </c>
    </row>
    <row r="28165" ht="16.5" customHeight="1">
      <c r="O28165" s="5" t="s">
        <v>355</v>
      </c>
      <c r="P28165" s="5" t="s">
        <v>355</v>
      </c>
      <c r="Q28165" s="5" t="s">
        <v>355</v>
      </c>
    </row>
    <row r="28166" ht="16.5" customHeight="1">
      <c r="O28166" s="5" t="s">
        <v>355</v>
      </c>
      <c r="P28166" s="5" t="s">
        <v>355</v>
      </c>
      <c r="Q28166" s="5" t="s">
        <v>355</v>
      </c>
    </row>
    <row r="28167" ht="16.5" customHeight="1">
      <c r="O28167" s="5" t="s">
        <v>355</v>
      </c>
      <c r="P28167" s="5" t="s">
        <v>355</v>
      </c>
      <c r="Q28167" s="5" t="s">
        <v>355</v>
      </c>
    </row>
    <row r="28168" ht="16.5" customHeight="1">
      <c r="O28168" s="5" t="s">
        <v>355</v>
      </c>
      <c r="P28168" s="5" t="s">
        <v>355</v>
      </c>
      <c r="Q28168" s="5" t="s">
        <v>355</v>
      </c>
    </row>
    <row r="28169" ht="16.5" customHeight="1">
      <c r="O28169" s="5" t="s">
        <v>355</v>
      </c>
      <c r="P28169" s="5" t="s">
        <v>355</v>
      </c>
      <c r="Q28169" s="5" t="s">
        <v>355</v>
      </c>
    </row>
    <row r="28170" ht="16.5" customHeight="1">
      <c r="O28170" s="5" t="s">
        <v>355</v>
      </c>
      <c r="P28170" s="5" t="s">
        <v>355</v>
      </c>
      <c r="Q28170" s="5" t="s">
        <v>355</v>
      </c>
    </row>
    <row r="28171" ht="16.5" customHeight="1">
      <c r="O28171" s="5" t="s">
        <v>355</v>
      </c>
      <c r="P28171" s="5" t="s">
        <v>355</v>
      </c>
      <c r="Q28171" s="5" t="s">
        <v>355</v>
      </c>
    </row>
    <row r="28172" ht="16.5" customHeight="1">
      <c r="O28172" s="5" t="s">
        <v>355</v>
      </c>
      <c r="P28172" s="5" t="s">
        <v>355</v>
      </c>
      <c r="Q28172" s="5" t="s">
        <v>355</v>
      </c>
    </row>
    <row r="28173" ht="16.5" customHeight="1">
      <c r="O28173" s="5" t="s">
        <v>355</v>
      </c>
      <c r="P28173" s="5" t="s">
        <v>355</v>
      </c>
      <c r="Q28173" s="5" t="s">
        <v>355</v>
      </c>
    </row>
    <row r="28174" ht="16.5" customHeight="1">
      <c r="O28174" s="5" t="s">
        <v>355</v>
      </c>
      <c r="P28174" s="5" t="s">
        <v>355</v>
      </c>
      <c r="Q28174" s="5" t="s">
        <v>355</v>
      </c>
    </row>
    <row r="28175" ht="16.5" customHeight="1">
      <c r="O28175" s="5" t="s">
        <v>355</v>
      </c>
      <c r="P28175" s="5" t="s">
        <v>355</v>
      </c>
      <c r="Q28175" s="5" t="s">
        <v>355</v>
      </c>
    </row>
    <row r="28176" ht="16.5" customHeight="1">
      <c r="O28176" s="5" t="s">
        <v>355</v>
      </c>
      <c r="P28176" s="5" t="s">
        <v>355</v>
      </c>
      <c r="Q28176" s="5" t="s">
        <v>355</v>
      </c>
    </row>
    <row r="28177" ht="16.5" customHeight="1">
      <c r="O28177" s="5" t="s">
        <v>355</v>
      </c>
      <c r="P28177" s="5" t="s">
        <v>355</v>
      </c>
      <c r="Q28177" s="5" t="s">
        <v>355</v>
      </c>
    </row>
    <row r="28178" ht="16.5" customHeight="1">
      <c r="O28178" s="5" t="s">
        <v>355</v>
      </c>
      <c r="P28178" s="5" t="s">
        <v>355</v>
      </c>
      <c r="Q28178" s="5" t="s">
        <v>355</v>
      </c>
    </row>
    <row r="28179" ht="16.5" customHeight="1">
      <c r="O28179" s="5" t="s">
        <v>355</v>
      </c>
      <c r="P28179" s="5" t="s">
        <v>355</v>
      </c>
      <c r="Q28179" s="5" t="s">
        <v>355</v>
      </c>
    </row>
    <row r="28180" ht="16.5" customHeight="1">
      <c r="O28180" s="5" t="s">
        <v>355</v>
      </c>
      <c r="P28180" s="5" t="s">
        <v>355</v>
      </c>
      <c r="Q28180" s="5" t="s">
        <v>355</v>
      </c>
    </row>
    <row r="28181" ht="16.5" customHeight="1">
      <c r="O28181" s="5" t="s">
        <v>355</v>
      </c>
      <c r="P28181" s="5" t="s">
        <v>355</v>
      </c>
      <c r="Q28181" s="5" t="s">
        <v>355</v>
      </c>
    </row>
    <row r="28182" ht="16.5" customHeight="1">
      <c r="O28182" s="5" t="s">
        <v>355</v>
      </c>
      <c r="P28182" s="5" t="s">
        <v>355</v>
      </c>
      <c r="Q28182" s="5" t="s">
        <v>355</v>
      </c>
    </row>
    <row r="28183" ht="16.5" customHeight="1">
      <c r="O28183" s="5" t="s">
        <v>355</v>
      </c>
      <c r="P28183" s="5" t="s">
        <v>355</v>
      </c>
      <c r="Q28183" s="5" t="s">
        <v>355</v>
      </c>
    </row>
    <row r="28184" ht="16.5" customHeight="1">
      <c r="O28184" s="5" t="s">
        <v>355</v>
      </c>
      <c r="P28184" s="5" t="s">
        <v>355</v>
      </c>
      <c r="Q28184" s="5" t="s">
        <v>355</v>
      </c>
    </row>
    <row r="28185" ht="16.5" customHeight="1">
      <c r="O28185" s="5" t="s">
        <v>355</v>
      </c>
      <c r="P28185" s="5" t="s">
        <v>355</v>
      </c>
      <c r="Q28185" s="5" t="s">
        <v>355</v>
      </c>
    </row>
    <row r="28186" ht="16.5" customHeight="1">
      <c r="O28186" s="5" t="s">
        <v>355</v>
      </c>
      <c r="P28186" s="5" t="s">
        <v>355</v>
      </c>
      <c r="Q28186" s="5" t="s">
        <v>355</v>
      </c>
    </row>
    <row r="28187" ht="16.5" customHeight="1">
      <c r="O28187" s="5" t="s">
        <v>355</v>
      </c>
      <c r="P28187" s="5" t="s">
        <v>355</v>
      </c>
      <c r="Q28187" s="5" t="s">
        <v>355</v>
      </c>
    </row>
    <row r="28188" ht="16.5" customHeight="1">
      <c r="O28188" s="5" t="s">
        <v>355</v>
      </c>
      <c r="P28188" s="5" t="s">
        <v>355</v>
      </c>
      <c r="Q28188" s="5" t="s">
        <v>355</v>
      </c>
    </row>
    <row r="28189" ht="16.5" customHeight="1">
      <c r="O28189" s="5" t="s">
        <v>355</v>
      </c>
      <c r="P28189" s="5" t="s">
        <v>355</v>
      </c>
      <c r="Q28189" s="5" t="s">
        <v>355</v>
      </c>
    </row>
    <row r="28190" ht="16.5" customHeight="1">
      <c r="O28190" s="5" t="s">
        <v>355</v>
      </c>
      <c r="P28190" s="5" t="s">
        <v>355</v>
      </c>
      <c r="Q28190" s="5" t="s">
        <v>355</v>
      </c>
    </row>
    <row r="28191" ht="16.5" customHeight="1">
      <c r="O28191" s="5" t="s">
        <v>355</v>
      </c>
      <c r="P28191" s="5" t="s">
        <v>355</v>
      </c>
      <c r="Q28191" s="5" t="s">
        <v>355</v>
      </c>
    </row>
    <row r="28192" ht="16.5" customHeight="1">
      <c r="O28192" s="5" t="s">
        <v>355</v>
      </c>
      <c r="P28192" s="5" t="s">
        <v>355</v>
      </c>
      <c r="Q28192" s="5" t="s">
        <v>355</v>
      </c>
    </row>
    <row r="28193" ht="16.5" customHeight="1">
      <c r="O28193" s="5" t="s">
        <v>355</v>
      </c>
      <c r="P28193" s="5" t="s">
        <v>355</v>
      </c>
      <c r="Q28193" s="5" t="s">
        <v>355</v>
      </c>
    </row>
    <row r="28194" ht="16.5" customHeight="1">
      <c r="O28194" s="5" t="s">
        <v>355</v>
      </c>
      <c r="P28194" s="5" t="s">
        <v>355</v>
      </c>
      <c r="Q28194" s="5" t="s">
        <v>355</v>
      </c>
    </row>
    <row r="28195" ht="16.5" customHeight="1">
      <c r="O28195" s="5" t="s">
        <v>355</v>
      </c>
      <c r="P28195" s="5" t="s">
        <v>355</v>
      </c>
      <c r="Q28195" s="5" t="s">
        <v>355</v>
      </c>
    </row>
    <row r="28196" ht="16.5" customHeight="1">
      <c r="O28196" s="5" t="s">
        <v>355</v>
      </c>
      <c r="P28196" s="5" t="s">
        <v>355</v>
      </c>
      <c r="Q28196" s="5" t="s">
        <v>355</v>
      </c>
    </row>
    <row r="28197" ht="16.5" customHeight="1">
      <c r="O28197" s="5" t="s">
        <v>355</v>
      </c>
      <c r="P28197" s="5" t="s">
        <v>355</v>
      </c>
      <c r="Q28197" s="5" t="s">
        <v>355</v>
      </c>
    </row>
    <row r="28198" ht="16.5" customHeight="1">
      <c r="O28198" s="5" t="s">
        <v>355</v>
      </c>
      <c r="P28198" s="5" t="s">
        <v>355</v>
      </c>
      <c r="Q28198" s="5" t="s">
        <v>355</v>
      </c>
    </row>
    <row r="28199" ht="16.5" customHeight="1">
      <c r="O28199" s="5" t="s">
        <v>355</v>
      </c>
      <c r="P28199" s="5" t="s">
        <v>355</v>
      </c>
      <c r="Q28199" s="5" t="s">
        <v>355</v>
      </c>
    </row>
    <row r="28200" ht="16.5" customHeight="1">
      <c r="O28200" s="5" t="s">
        <v>355</v>
      </c>
      <c r="P28200" s="5" t="s">
        <v>355</v>
      </c>
      <c r="Q28200" s="5" t="s">
        <v>355</v>
      </c>
    </row>
    <row r="28201" ht="16.5" customHeight="1">
      <c r="O28201" s="5" t="s">
        <v>355</v>
      </c>
      <c r="P28201" s="5" t="s">
        <v>355</v>
      </c>
      <c r="Q28201" s="5" t="s">
        <v>355</v>
      </c>
    </row>
    <row r="28202" ht="16.5" customHeight="1">
      <c r="O28202" s="5" t="s">
        <v>355</v>
      </c>
      <c r="P28202" s="5" t="s">
        <v>355</v>
      </c>
      <c r="Q28202" s="5" t="s">
        <v>355</v>
      </c>
    </row>
    <row r="28203" ht="16.5" customHeight="1">
      <c r="O28203" s="5" t="s">
        <v>355</v>
      </c>
      <c r="P28203" s="5" t="s">
        <v>355</v>
      </c>
      <c r="Q28203" s="5" t="s">
        <v>355</v>
      </c>
    </row>
    <row r="28204" ht="16.5" customHeight="1">
      <c r="O28204" s="5" t="s">
        <v>355</v>
      </c>
      <c r="P28204" s="5" t="s">
        <v>355</v>
      </c>
      <c r="Q28204" s="5" t="s">
        <v>355</v>
      </c>
    </row>
    <row r="28205" ht="16.5" customHeight="1">
      <c r="O28205" s="5" t="s">
        <v>355</v>
      </c>
      <c r="P28205" s="5" t="s">
        <v>355</v>
      </c>
      <c r="Q28205" s="5" t="s">
        <v>355</v>
      </c>
    </row>
    <row r="28206" ht="16.5" customHeight="1">
      <c r="O28206" s="5" t="s">
        <v>355</v>
      </c>
      <c r="P28206" s="5" t="s">
        <v>355</v>
      </c>
      <c r="Q28206" s="5" t="s">
        <v>355</v>
      </c>
    </row>
    <row r="28207" ht="16.5" customHeight="1">
      <c r="O28207" s="5" t="s">
        <v>355</v>
      </c>
      <c r="P28207" s="5" t="s">
        <v>355</v>
      </c>
      <c r="Q28207" s="5" t="s">
        <v>355</v>
      </c>
    </row>
    <row r="28208" ht="16.5" customHeight="1">
      <c r="O28208" s="5" t="s">
        <v>355</v>
      </c>
      <c r="P28208" s="5" t="s">
        <v>355</v>
      </c>
      <c r="Q28208" s="5" t="s">
        <v>355</v>
      </c>
    </row>
    <row r="28209" ht="16.5" customHeight="1">
      <c r="O28209" s="5" t="s">
        <v>355</v>
      </c>
      <c r="P28209" s="5" t="s">
        <v>355</v>
      </c>
      <c r="Q28209" s="5" t="s">
        <v>355</v>
      </c>
    </row>
    <row r="28210" ht="16.5" customHeight="1">
      <c r="O28210" s="5" t="s">
        <v>355</v>
      </c>
      <c r="P28210" s="5" t="s">
        <v>355</v>
      </c>
      <c r="Q28210" s="5" t="s">
        <v>355</v>
      </c>
    </row>
    <row r="28211" ht="16.5" customHeight="1">
      <c r="O28211" s="5" t="s">
        <v>355</v>
      </c>
      <c r="P28211" s="5" t="s">
        <v>355</v>
      </c>
      <c r="Q28211" s="5" t="s">
        <v>355</v>
      </c>
    </row>
    <row r="28212" ht="16.5" customHeight="1">
      <c r="O28212" s="5" t="s">
        <v>355</v>
      </c>
      <c r="P28212" s="5" t="s">
        <v>355</v>
      </c>
      <c r="Q28212" s="5" t="s">
        <v>355</v>
      </c>
    </row>
    <row r="28213" ht="16.5" customHeight="1">
      <c r="O28213" s="5" t="s">
        <v>355</v>
      </c>
      <c r="P28213" s="5" t="s">
        <v>355</v>
      </c>
      <c r="Q28213" s="5" t="s">
        <v>355</v>
      </c>
    </row>
    <row r="28214" ht="16.5" customHeight="1">
      <c r="O28214" s="5" t="s">
        <v>355</v>
      </c>
      <c r="P28214" s="5" t="s">
        <v>355</v>
      </c>
      <c r="Q28214" s="5" t="s">
        <v>355</v>
      </c>
    </row>
    <row r="28215" ht="16.5" customHeight="1">
      <c r="O28215" s="5" t="s">
        <v>355</v>
      </c>
      <c r="P28215" s="5" t="s">
        <v>355</v>
      </c>
      <c r="Q28215" s="5" t="s">
        <v>355</v>
      </c>
    </row>
    <row r="28216" ht="16.5" customHeight="1">
      <c r="O28216" s="5" t="s">
        <v>355</v>
      </c>
      <c r="P28216" s="5" t="s">
        <v>355</v>
      </c>
      <c r="Q28216" s="5" t="s">
        <v>355</v>
      </c>
    </row>
    <row r="28217" ht="16.5" customHeight="1">
      <c r="O28217" s="5" t="s">
        <v>355</v>
      </c>
      <c r="P28217" s="5" t="s">
        <v>355</v>
      </c>
      <c r="Q28217" s="5" t="s">
        <v>355</v>
      </c>
    </row>
    <row r="28218" ht="16.5" customHeight="1">
      <c r="O28218" s="5" t="s">
        <v>355</v>
      </c>
      <c r="P28218" s="5" t="s">
        <v>355</v>
      </c>
      <c r="Q28218" s="5" t="s">
        <v>355</v>
      </c>
    </row>
    <row r="28219" ht="16.5" customHeight="1">
      <c r="O28219" s="5" t="s">
        <v>355</v>
      </c>
      <c r="P28219" s="5" t="s">
        <v>355</v>
      </c>
      <c r="Q28219" s="5" t="s">
        <v>355</v>
      </c>
    </row>
    <row r="28220" ht="16.5" customHeight="1">
      <c r="O28220" s="5" t="s">
        <v>355</v>
      </c>
      <c r="P28220" s="5" t="s">
        <v>355</v>
      </c>
      <c r="Q28220" s="5" t="s">
        <v>355</v>
      </c>
    </row>
    <row r="28221" ht="16.5" customHeight="1">
      <c r="O28221" s="5" t="s">
        <v>355</v>
      </c>
      <c r="P28221" s="5" t="s">
        <v>355</v>
      </c>
      <c r="Q28221" s="5" t="s">
        <v>355</v>
      </c>
    </row>
    <row r="28222" ht="16.5" customHeight="1">
      <c r="O28222" s="5" t="s">
        <v>355</v>
      </c>
      <c r="P28222" s="5" t="s">
        <v>355</v>
      </c>
      <c r="Q28222" s="5" t="s">
        <v>355</v>
      </c>
    </row>
    <row r="28223" ht="16.5" customHeight="1">
      <c r="O28223" s="5" t="s">
        <v>355</v>
      </c>
      <c r="P28223" s="5" t="s">
        <v>355</v>
      </c>
      <c r="Q28223" s="5" t="s">
        <v>355</v>
      </c>
    </row>
    <row r="28224" ht="16.5" customHeight="1">
      <c r="O28224" s="5" t="s">
        <v>355</v>
      </c>
      <c r="P28224" s="5" t="s">
        <v>355</v>
      </c>
      <c r="Q28224" s="5" t="s">
        <v>355</v>
      </c>
    </row>
    <row r="28225" ht="16.5" customHeight="1">
      <c r="O28225" s="5" t="s">
        <v>355</v>
      </c>
      <c r="P28225" s="5" t="s">
        <v>355</v>
      </c>
      <c r="Q28225" s="5" t="s">
        <v>355</v>
      </c>
    </row>
    <row r="28226" ht="16.5" customHeight="1">
      <c r="O28226" s="5" t="s">
        <v>355</v>
      </c>
      <c r="P28226" s="5" t="s">
        <v>355</v>
      </c>
      <c r="Q28226" s="5" t="s">
        <v>355</v>
      </c>
    </row>
    <row r="28227" ht="16.5" customHeight="1">
      <c r="O28227" s="5" t="s">
        <v>355</v>
      </c>
      <c r="P28227" s="5" t="s">
        <v>355</v>
      </c>
      <c r="Q28227" s="5" t="s">
        <v>355</v>
      </c>
    </row>
    <row r="28228" ht="16.5" customHeight="1">
      <c r="O28228" s="5" t="s">
        <v>355</v>
      </c>
      <c r="P28228" s="5" t="s">
        <v>355</v>
      </c>
      <c r="Q28228" s="5" t="s">
        <v>355</v>
      </c>
    </row>
    <row r="28229" ht="16.5" customHeight="1">
      <c r="O28229" s="5" t="s">
        <v>355</v>
      </c>
      <c r="P28229" s="5" t="s">
        <v>355</v>
      </c>
      <c r="Q28229" s="5" t="s">
        <v>355</v>
      </c>
    </row>
    <row r="28230" ht="16.5" customHeight="1">
      <c r="O28230" s="5" t="s">
        <v>355</v>
      </c>
      <c r="P28230" s="5" t="s">
        <v>355</v>
      </c>
      <c r="Q28230" s="5" t="s">
        <v>355</v>
      </c>
    </row>
    <row r="28231" ht="16.5" customHeight="1">
      <c r="O28231" s="5" t="s">
        <v>355</v>
      </c>
      <c r="P28231" s="5" t="s">
        <v>355</v>
      </c>
      <c r="Q28231" s="5" t="s">
        <v>355</v>
      </c>
    </row>
    <row r="28232" ht="16.5" customHeight="1">
      <c r="O28232" s="5" t="s">
        <v>355</v>
      </c>
      <c r="P28232" s="5" t="s">
        <v>355</v>
      </c>
      <c r="Q28232" s="5" t="s">
        <v>355</v>
      </c>
    </row>
    <row r="28233" ht="16.5" customHeight="1">
      <c r="O28233" s="5" t="s">
        <v>355</v>
      </c>
      <c r="P28233" s="5" t="s">
        <v>355</v>
      </c>
      <c r="Q28233" s="5" t="s">
        <v>355</v>
      </c>
    </row>
    <row r="28234" ht="16.5" customHeight="1">
      <c r="O28234" s="5" t="s">
        <v>355</v>
      </c>
      <c r="P28234" s="5" t="s">
        <v>355</v>
      </c>
      <c r="Q28234" s="5" t="s">
        <v>355</v>
      </c>
    </row>
    <row r="28235" ht="16.5" customHeight="1">
      <c r="O28235" s="5" t="s">
        <v>355</v>
      </c>
      <c r="P28235" s="5" t="s">
        <v>355</v>
      </c>
      <c r="Q28235" s="5" t="s">
        <v>355</v>
      </c>
    </row>
    <row r="28236" ht="16.5" customHeight="1">
      <c r="O28236" s="5" t="s">
        <v>355</v>
      </c>
      <c r="P28236" s="5" t="s">
        <v>355</v>
      </c>
      <c r="Q28236" s="5" t="s">
        <v>355</v>
      </c>
    </row>
    <row r="28237" ht="16.5" customHeight="1">
      <c r="O28237" s="5" t="s">
        <v>355</v>
      </c>
      <c r="P28237" s="5" t="s">
        <v>355</v>
      </c>
      <c r="Q28237" s="5" t="s">
        <v>355</v>
      </c>
    </row>
    <row r="28238" ht="16.5" customHeight="1">
      <c r="O28238" s="5" t="s">
        <v>355</v>
      </c>
      <c r="P28238" s="5" t="s">
        <v>355</v>
      </c>
      <c r="Q28238" s="5" t="s">
        <v>355</v>
      </c>
    </row>
    <row r="28239" ht="16.5" customHeight="1">
      <c r="O28239" s="5" t="s">
        <v>355</v>
      </c>
      <c r="P28239" s="5" t="s">
        <v>355</v>
      </c>
      <c r="Q28239" s="5" t="s">
        <v>355</v>
      </c>
    </row>
    <row r="28240" ht="16.5" customHeight="1">
      <c r="O28240" s="5" t="s">
        <v>355</v>
      </c>
      <c r="P28240" s="5" t="s">
        <v>355</v>
      </c>
      <c r="Q28240" s="5" t="s">
        <v>355</v>
      </c>
    </row>
    <row r="28241" ht="16.5" customHeight="1">
      <c r="O28241" s="5" t="s">
        <v>355</v>
      </c>
      <c r="P28241" s="5" t="s">
        <v>355</v>
      </c>
      <c r="Q28241" s="5" t="s">
        <v>355</v>
      </c>
    </row>
    <row r="28242" ht="16.5" customHeight="1">
      <c r="O28242" s="5" t="s">
        <v>355</v>
      </c>
      <c r="P28242" s="5" t="s">
        <v>355</v>
      </c>
      <c r="Q28242" s="5" t="s">
        <v>355</v>
      </c>
    </row>
    <row r="28243" ht="16.5" customHeight="1">
      <c r="O28243" s="5" t="s">
        <v>355</v>
      </c>
      <c r="P28243" s="5" t="s">
        <v>355</v>
      </c>
      <c r="Q28243" s="5" t="s">
        <v>355</v>
      </c>
    </row>
    <row r="28244" ht="16.5" customHeight="1">
      <c r="O28244" s="5" t="s">
        <v>355</v>
      </c>
      <c r="P28244" s="5" t="s">
        <v>355</v>
      </c>
      <c r="Q28244" s="5" t="s">
        <v>355</v>
      </c>
    </row>
    <row r="28245" ht="16.5" customHeight="1">
      <c r="O28245" s="5" t="s">
        <v>355</v>
      </c>
      <c r="P28245" s="5" t="s">
        <v>355</v>
      </c>
      <c r="Q28245" s="5" t="s">
        <v>355</v>
      </c>
    </row>
    <row r="28246" ht="16.5" customHeight="1">
      <c r="O28246" s="5" t="s">
        <v>355</v>
      </c>
      <c r="P28246" s="5" t="s">
        <v>355</v>
      </c>
      <c r="Q28246" s="5" t="s">
        <v>355</v>
      </c>
    </row>
    <row r="28247" ht="16.5" customHeight="1">
      <c r="O28247" s="5" t="s">
        <v>355</v>
      </c>
      <c r="P28247" s="5" t="s">
        <v>355</v>
      </c>
      <c r="Q28247" s="5" t="s">
        <v>355</v>
      </c>
    </row>
    <row r="28248" ht="16.5" customHeight="1">
      <c r="O28248" s="5" t="s">
        <v>355</v>
      </c>
      <c r="P28248" s="5" t="s">
        <v>355</v>
      </c>
      <c r="Q28248" s="5" t="s">
        <v>355</v>
      </c>
    </row>
    <row r="28249" ht="16.5" customHeight="1">
      <c r="O28249" s="5" t="s">
        <v>355</v>
      </c>
      <c r="P28249" s="5" t="s">
        <v>355</v>
      </c>
      <c r="Q28249" s="5" t="s">
        <v>355</v>
      </c>
    </row>
    <row r="28250" ht="16.5" customHeight="1">
      <c r="O28250" s="5" t="s">
        <v>355</v>
      </c>
      <c r="P28250" s="5" t="s">
        <v>355</v>
      </c>
      <c r="Q28250" s="5" t="s">
        <v>355</v>
      </c>
    </row>
    <row r="28251" ht="16.5" customHeight="1">
      <c r="O28251" s="5" t="s">
        <v>355</v>
      </c>
      <c r="P28251" s="5" t="s">
        <v>355</v>
      </c>
      <c r="Q28251" s="5" t="s">
        <v>355</v>
      </c>
    </row>
    <row r="28252" ht="16.5" customHeight="1">
      <c r="O28252" s="5" t="s">
        <v>355</v>
      </c>
      <c r="P28252" s="5" t="s">
        <v>355</v>
      </c>
      <c r="Q28252" s="5" t="s">
        <v>355</v>
      </c>
    </row>
    <row r="28253" ht="16.5" customHeight="1">
      <c r="O28253" s="5" t="s">
        <v>355</v>
      </c>
      <c r="P28253" s="5" t="s">
        <v>355</v>
      </c>
      <c r="Q28253" s="5" t="s">
        <v>355</v>
      </c>
    </row>
    <row r="28254" ht="16.5" customHeight="1">
      <c r="O28254" s="5" t="s">
        <v>355</v>
      </c>
      <c r="P28254" s="5" t="s">
        <v>355</v>
      </c>
      <c r="Q28254" s="5" t="s">
        <v>355</v>
      </c>
    </row>
    <row r="28255" ht="16.5" customHeight="1">
      <c r="O28255" s="5" t="s">
        <v>355</v>
      </c>
      <c r="P28255" s="5" t="s">
        <v>355</v>
      </c>
      <c r="Q28255" s="5" t="s">
        <v>355</v>
      </c>
    </row>
    <row r="28256" ht="16.5" customHeight="1">
      <c r="O28256" s="5" t="s">
        <v>355</v>
      </c>
      <c r="P28256" s="5" t="s">
        <v>355</v>
      </c>
      <c r="Q28256" s="5" t="s">
        <v>355</v>
      </c>
    </row>
    <row r="28257" ht="16.5" customHeight="1">
      <c r="O28257" s="5" t="s">
        <v>355</v>
      </c>
      <c r="P28257" s="5" t="s">
        <v>355</v>
      </c>
      <c r="Q28257" s="5" t="s">
        <v>355</v>
      </c>
    </row>
    <row r="28258" ht="16.5" customHeight="1">
      <c r="O28258" s="5" t="s">
        <v>355</v>
      </c>
      <c r="P28258" s="5" t="s">
        <v>355</v>
      </c>
      <c r="Q28258" s="5" t="s">
        <v>355</v>
      </c>
    </row>
    <row r="28259" ht="16.5" customHeight="1">
      <c r="O28259" s="5" t="s">
        <v>355</v>
      </c>
      <c r="P28259" s="5" t="s">
        <v>355</v>
      </c>
      <c r="Q28259" s="5" t="s">
        <v>355</v>
      </c>
    </row>
    <row r="28260" ht="16.5" customHeight="1">
      <c r="O28260" s="5" t="s">
        <v>355</v>
      </c>
      <c r="P28260" s="5" t="s">
        <v>355</v>
      </c>
      <c r="Q28260" s="5" t="s">
        <v>355</v>
      </c>
    </row>
    <row r="28261" ht="16.5" customHeight="1">
      <c r="O28261" s="5" t="s">
        <v>355</v>
      </c>
      <c r="P28261" s="5" t="s">
        <v>355</v>
      </c>
      <c r="Q28261" s="5" t="s">
        <v>355</v>
      </c>
    </row>
    <row r="28262" ht="16.5" customHeight="1">
      <c r="O28262" s="5" t="s">
        <v>355</v>
      </c>
      <c r="P28262" s="5" t="s">
        <v>355</v>
      </c>
      <c r="Q28262" s="5" t="s">
        <v>355</v>
      </c>
    </row>
    <row r="28263" ht="16.5" customHeight="1">
      <c r="O28263" s="5" t="s">
        <v>355</v>
      </c>
      <c r="P28263" s="5" t="s">
        <v>355</v>
      </c>
      <c r="Q28263" s="5" t="s">
        <v>355</v>
      </c>
    </row>
    <row r="28264" ht="16.5" customHeight="1">
      <c r="O28264" s="5" t="s">
        <v>355</v>
      </c>
      <c r="P28264" s="5" t="s">
        <v>355</v>
      </c>
      <c r="Q28264" s="5" t="s">
        <v>355</v>
      </c>
    </row>
    <row r="28265" ht="16.5" customHeight="1">
      <c r="O28265" s="5" t="s">
        <v>355</v>
      </c>
      <c r="P28265" s="5" t="s">
        <v>355</v>
      </c>
      <c r="Q28265" s="5" t="s">
        <v>355</v>
      </c>
    </row>
    <row r="28266" ht="16.5" customHeight="1">
      <c r="O28266" s="5" t="s">
        <v>355</v>
      </c>
      <c r="P28266" s="5" t="s">
        <v>355</v>
      </c>
      <c r="Q28266" s="5" t="s">
        <v>355</v>
      </c>
    </row>
    <row r="28267" ht="16.5" customHeight="1">
      <c r="O28267" s="5" t="s">
        <v>355</v>
      </c>
      <c r="P28267" s="5" t="s">
        <v>355</v>
      </c>
      <c r="Q28267" s="5" t="s">
        <v>355</v>
      </c>
    </row>
    <row r="28268" ht="16.5" customHeight="1">
      <c r="O28268" s="5" t="s">
        <v>355</v>
      </c>
      <c r="P28268" s="5" t="s">
        <v>355</v>
      </c>
      <c r="Q28268" s="5" t="s">
        <v>355</v>
      </c>
    </row>
    <row r="28269" ht="16.5" customHeight="1">
      <c r="O28269" s="5" t="s">
        <v>355</v>
      </c>
      <c r="P28269" s="5" t="s">
        <v>355</v>
      </c>
      <c r="Q28269" s="5" t="s">
        <v>355</v>
      </c>
    </row>
    <row r="28270" ht="16.5" customHeight="1">
      <c r="O28270" s="5" t="s">
        <v>355</v>
      </c>
      <c r="P28270" s="5" t="s">
        <v>355</v>
      </c>
      <c r="Q28270" s="5" t="s">
        <v>355</v>
      </c>
    </row>
    <row r="28271" ht="16.5" customHeight="1">
      <c r="O28271" s="5" t="s">
        <v>355</v>
      </c>
      <c r="P28271" s="5" t="s">
        <v>355</v>
      </c>
      <c r="Q28271" s="5" t="s">
        <v>355</v>
      </c>
    </row>
    <row r="28272" ht="16.5" customHeight="1">
      <c r="O28272" s="5" t="s">
        <v>355</v>
      </c>
      <c r="P28272" s="5" t="s">
        <v>355</v>
      </c>
      <c r="Q28272" s="5" t="s">
        <v>355</v>
      </c>
    </row>
    <row r="28273" ht="16.5" customHeight="1">
      <c r="O28273" s="5" t="s">
        <v>355</v>
      </c>
      <c r="P28273" s="5" t="s">
        <v>355</v>
      </c>
      <c r="Q28273" s="5" t="s">
        <v>355</v>
      </c>
    </row>
    <row r="28274" ht="16.5" customHeight="1">
      <c r="O28274" s="5" t="s">
        <v>355</v>
      </c>
      <c r="P28274" s="5" t="s">
        <v>355</v>
      </c>
      <c r="Q28274" s="5" t="s">
        <v>355</v>
      </c>
    </row>
    <row r="28275" ht="16.5" customHeight="1">
      <c r="O28275" s="5" t="s">
        <v>355</v>
      </c>
      <c r="P28275" s="5" t="s">
        <v>355</v>
      </c>
      <c r="Q28275" s="5" t="s">
        <v>355</v>
      </c>
    </row>
    <row r="28276" ht="16.5" customHeight="1">
      <c r="O28276" s="5" t="s">
        <v>355</v>
      </c>
      <c r="P28276" s="5" t="s">
        <v>355</v>
      </c>
      <c r="Q28276" s="5" t="s">
        <v>355</v>
      </c>
    </row>
    <row r="28277" ht="16.5" customHeight="1">
      <c r="O28277" s="5" t="s">
        <v>355</v>
      </c>
      <c r="P28277" s="5" t="s">
        <v>355</v>
      </c>
      <c r="Q28277" s="5" t="s">
        <v>355</v>
      </c>
    </row>
    <row r="28278" ht="16.5" customHeight="1">
      <c r="O28278" s="5" t="s">
        <v>355</v>
      </c>
      <c r="P28278" s="5" t="s">
        <v>355</v>
      </c>
      <c r="Q28278" s="5" t="s">
        <v>355</v>
      </c>
    </row>
    <row r="28279" ht="16.5" customHeight="1">
      <c r="O28279" s="5" t="s">
        <v>355</v>
      </c>
      <c r="P28279" s="5" t="s">
        <v>355</v>
      </c>
      <c r="Q28279" s="5" t="s">
        <v>355</v>
      </c>
    </row>
    <row r="28280" ht="16.5" customHeight="1">
      <c r="O28280" s="5" t="s">
        <v>355</v>
      </c>
      <c r="P28280" s="5" t="s">
        <v>355</v>
      </c>
      <c r="Q28280" s="5" t="s">
        <v>355</v>
      </c>
    </row>
    <row r="28281" ht="16.5" customHeight="1">
      <c r="O28281" s="5" t="s">
        <v>355</v>
      </c>
      <c r="P28281" s="5" t="s">
        <v>355</v>
      </c>
      <c r="Q28281" s="5" t="s">
        <v>355</v>
      </c>
    </row>
    <row r="28282" ht="16.5" customHeight="1">
      <c r="O28282" s="5" t="s">
        <v>355</v>
      </c>
      <c r="P28282" s="5" t="s">
        <v>355</v>
      </c>
      <c r="Q28282" s="5" t="s">
        <v>355</v>
      </c>
    </row>
    <row r="28283" ht="16.5" customHeight="1">
      <c r="O28283" s="5" t="s">
        <v>355</v>
      </c>
      <c r="P28283" s="5" t="s">
        <v>355</v>
      </c>
      <c r="Q28283" s="5" t="s">
        <v>355</v>
      </c>
    </row>
    <row r="28284" ht="16.5" customHeight="1">
      <c r="O28284" s="5" t="s">
        <v>355</v>
      </c>
      <c r="P28284" s="5" t="s">
        <v>355</v>
      </c>
      <c r="Q28284" s="5" t="s">
        <v>355</v>
      </c>
    </row>
    <row r="28285" ht="16.5" customHeight="1">
      <c r="O28285" s="5" t="s">
        <v>355</v>
      </c>
      <c r="P28285" s="5" t="s">
        <v>355</v>
      </c>
      <c r="Q28285" s="5" t="s">
        <v>355</v>
      </c>
    </row>
    <row r="28286" ht="16.5" customHeight="1">
      <c r="O28286" s="5" t="s">
        <v>355</v>
      </c>
      <c r="P28286" s="5" t="s">
        <v>355</v>
      </c>
      <c r="Q28286" s="5" t="s">
        <v>355</v>
      </c>
    </row>
    <row r="28287" ht="16.5" customHeight="1">
      <c r="O28287" s="5" t="s">
        <v>355</v>
      </c>
      <c r="P28287" s="5" t="s">
        <v>355</v>
      </c>
      <c r="Q28287" s="5" t="s">
        <v>355</v>
      </c>
    </row>
    <row r="28288" ht="16.5" customHeight="1">
      <c r="O28288" s="5" t="s">
        <v>355</v>
      </c>
      <c r="P28288" s="5" t="s">
        <v>355</v>
      </c>
      <c r="Q28288" s="5" t="s">
        <v>355</v>
      </c>
    </row>
    <row r="28289" ht="16.5" customHeight="1">
      <c r="O28289" s="5" t="s">
        <v>355</v>
      </c>
      <c r="P28289" s="5" t="s">
        <v>355</v>
      </c>
      <c r="Q28289" s="5" t="s">
        <v>355</v>
      </c>
    </row>
    <row r="28290" ht="16.5" customHeight="1">
      <c r="O28290" s="5" t="s">
        <v>355</v>
      </c>
      <c r="P28290" s="5" t="s">
        <v>355</v>
      </c>
      <c r="Q28290" s="5" t="s">
        <v>355</v>
      </c>
    </row>
    <row r="28291" ht="16.5" customHeight="1">
      <c r="O28291" s="5" t="s">
        <v>355</v>
      </c>
      <c r="P28291" s="5" t="s">
        <v>355</v>
      </c>
      <c r="Q28291" s="5" t="s">
        <v>355</v>
      </c>
    </row>
    <row r="28292" ht="16.5" customHeight="1">
      <c r="O28292" s="5" t="s">
        <v>355</v>
      </c>
      <c r="P28292" s="5" t="s">
        <v>355</v>
      </c>
      <c r="Q28292" s="5" t="s">
        <v>355</v>
      </c>
    </row>
    <row r="28293" ht="16.5" customHeight="1">
      <c r="O28293" s="5" t="s">
        <v>355</v>
      </c>
      <c r="P28293" s="5" t="s">
        <v>355</v>
      </c>
      <c r="Q28293" s="5" t="s">
        <v>355</v>
      </c>
    </row>
    <row r="28294" ht="16.5" customHeight="1">
      <c r="O28294" s="5" t="s">
        <v>355</v>
      </c>
      <c r="P28294" s="5" t="s">
        <v>355</v>
      </c>
      <c r="Q28294" s="5" t="s">
        <v>355</v>
      </c>
    </row>
    <row r="28295" ht="16.5" customHeight="1">
      <c r="O28295" s="5" t="s">
        <v>355</v>
      </c>
      <c r="P28295" s="5" t="s">
        <v>355</v>
      </c>
      <c r="Q28295" s="5" t="s">
        <v>355</v>
      </c>
    </row>
    <row r="28296" ht="16.5" customHeight="1">
      <c r="O28296" s="5" t="s">
        <v>355</v>
      </c>
      <c r="P28296" s="5" t="s">
        <v>355</v>
      </c>
      <c r="Q28296" s="5" t="s">
        <v>355</v>
      </c>
    </row>
    <row r="28297" ht="16.5" customHeight="1">
      <c r="O28297" s="5" t="s">
        <v>355</v>
      </c>
      <c r="P28297" s="5" t="s">
        <v>355</v>
      </c>
      <c r="Q28297" s="5" t="s">
        <v>355</v>
      </c>
    </row>
    <row r="28298" ht="16.5" customHeight="1">
      <c r="O28298" s="5" t="s">
        <v>355</v>
      </c>
      <c r="P28298" s="5" t="s">
        <v>355</v>
      </c>
      <c r="Q28298" s="5" t="s">
        <v>355</v>
      </c>
    </row>
    <row r="28299" ht="16.5" customHeight="1">
      <c r="O28299" s="5" t="s">
        <v>355</v>
      </c>
      <c r="P28299" s="5" t="s">
        <v>355</v>
      </c>
      <c r="Q28299" s="5" t="s">
        <v>355</v>
      </c>
    </row>
    <row r="28300" ht="16.5" customHeight="1">
      <c r="O28300" s="5" t="s">
        <v>355</v>
      </c>
      <c r="P28300" s="5" t="s">
        <v>355</v>
      </c>
      <c r="Q28300" s="5" t="s">
        <v>355</v>
      </c>
    </row>
    <row r="28301" ht="16.5" customHeight="1">
      <c r="O28301" s="5" t="s">
        <v>355</v>
      </c>
      <c r="P28301" s="5" t="s">
        <v>355</v>
      </c>
      <c r="Q28301" s="5" t="s">
        <v>355</v>
      </c>
    </row>
    <row r="28302" ht="16.5" customHeight="1">
      <c r="O28302" s="5" t="s">
        <v>355</v>
      </c>
      <c r="P28302" s="5" t="s">
        <v>355</v>
      </c>
      <c r="Q28302" s="5" t="s">
        <v>355</v>
      </c>
    </row>
    <row r="28303" ht="16.5" customHeight="1">
      <c r="O28303" s="5" t="s">
        <v>355</v>
      </c>
      <c r="P28303" s="5" t="s">
        <v>355</v>
      </c>
      <c r="Q28303" s="5" t="s">
        <v>355</v>
      </c>
    </row>
    <row r="28304" ht="16.5" customHeight="1">
      <c r="O28304" s="5" t="s">
        <v>355</v>
      </c>
      <c r="P28304" s="5" t="s">
        <v>355</v>
      </c>
      <c r="Q28304" s="5" t="s">
        <v>355</v>
      </c>
    </row>
    <row r="28305" ht="16.5" customHeight="1">
      <c r="O28305" s="5" t="s">
        <v>355</v>
      </c>
      <c r="P28305" s="5" t="s">
        <v>355</v>
      </c>
      <c r="Q28305" s="5" t="s">
        <v>355</v>
      </c>
    </row>
    <row r="28306" ht="16.5" customHeight="1">
      <c r="O28306" s="5" t="s">
        <v>355</v>
      </c>
      <c r="P28306" s="5" t="s">
        <v>355</v>
      </c>
      <c r="Q28306" s="5" t="s">
        <v>355</v>
      </c>
    </row>
    <row r="28307" ht="16.5" customHeight="1">
      <c r="O28307" s="5" t="s">
        <v>355</v>
      </c>
      <c r="P28307" s="5" t="s">
        <v>355</v>
      </c>
      <c r="Q28307" s="5" t="s">
        <v>355</v>
      </c>
    </row>
    <row r="28308" ht="16.5" customHeight="1">
      <c r="O28308" s="5" t="s">
        <v>355</v>
      </c>
      <c r="P28308" s="5" t="s">
        <v>355</v>
      </c>
      <c r="Q28308" s="5" t="s">
        <v>355</v>
      </c>
    </row>
    <row r="28309" ht="16.5" customHeight="1">
      <c r="O28309" s="5" t="s">
        <v>355</v>
      </c>
      <c r="P28309" s="5" t="s">
        <v>355</v>
      </c>
      <c r="Q28309" s="5" t="s">
        <v>355</v>
      </c>
    </row>
    <row r="28310" ht="16.5" customHeight="1">
      <c r="O28310" s="5" t="s">
        <v>355</v>
      </c>
      <c r="P28310" s="5" t="s">
        <v>355</v>
      </c>
      <c r="Q28310" s="5" t="s">
        <v>355</v>
      </c>
    </row>
    <row r="28311" ht="16.5" customHeight="1">
      <c r="O28311" s="5" t="s">
        <v>355</v>
      </c>
      <c r="P28311" s="5" t="s">
        <v>355</v>
      </c>
      <c r="Q28311" s="5" t="s">
        <v>355</v>
      </c>
    </row>
    <row r="28312" ht="16.5" customHeight="1">
      <c r="O28312" s="5" t="s">
        <v>355</v>
      </c>
      <c r="P28312" s="5" t="s">
        <v>355</v>
      </c>
      <c r="Q28312" s="5" t="s">
        <v>355</v>
      </c>
    </row>
    <row r="28313" ht="16.5" customHeight="1">
      <c r="O28313" s="5" t="s">
        <v>355</v>
      </c>
      <c r="P28313" s="5" t="s">
        <v>355</v>
      </c>
      <c r="Q28313" s="5" t="s">
        <v>355</v>
      </c>
    </row>
    <row r="28314" ht="16.5" customHeight="1">
      <c r="O28314" s="5" t="s">
        <v>355</v>
      </c>
      <c r="P28314" s="5" t="s">
        <v>355</v>
      </c>
      <c r="Q28314" s="5" t="s">
        <v>355</v>
      </c>
    </row>
    <row r="28315" ht="16.5" customHeight="1">
      <c r="O28315" s="5" t="s">
        <v>355</v>
      </c>
      <c r="P28315" s="5" t="s">
        <v>355</v>
      </c>
      <c r="Q28315" s="5" t="s">
        <v>355</v>
      </c>
    </row>
    <row r="28316" ht="16.5" customHeight="1">
      <c r="O28316" s="5" t="s">
        <v>355</v>
      </c>
      <c r="P28316" s="5" t="s">
        <v>355</v>
      </c>
      <c r="Q28316" s="5" t="s">
        <v>355</v>
      </c>
    </row>
    <row r="28317" ht="16.5" customHeight="1">
      <c r="O28317" s="5" t="s">
        <v>355</v>
      </c>
      <c r="P28317" s="5" t="s">
        <v>355</v>
      </c>
      <c r="Q28317" s="5" t="s">
        <v>355</v>
      </c>
    </row>
    <row r="28318" ht="16.5" customHeight="1">
      <c r="O28318" s="5" t="s">
        <v>355</v>
      </c>
      <c r="P28318" s="5" t="s">
        <v>355</v>
      </c>
      <c r="Q28318" s="5" t="s">
        <v>355</v>
      </c>
    </row>
    <row r="28319" ht="16.5" customHeight="1">
      <c r="O28319" s="5" t="s">
        <v>355</v>
      </c>
      <c r="P28319" s="5" t="s">
        <v>355</v>
      </c>
      <c r="Q28319" s="5" t="s">
        <v>355</v>
      </c>
    </row>
    <row r="28320" ht="16.5" customHeight="1">
      <c r="O28320" s="5" t="s">
        <v>355</v>
      </c>
      <c r="P28320" s="5" t="s">
        <v>355</v>
      </c>
      <c r="Q28320" s="5" t="s">
        <v>355</v>
      </c>
    </row>
    <row r="28321" ht="16.5" customHeight="1">
      <c r="O28321" s="5" t="s">
        <v>355</v>
      </c>
      <c r="P28321" s="5" t="s">
        <v>355</v>
      </c>
      <c r="Q28321" s="5" t="s">
        <v>355</v>
      </c>
    </row>
    <row r="28322" ht="16.5" customHeight="1">
      <c r="O28322" s="5" t="s">
        <v>355</v>
      </c>
      <c r="P28322" s="5" t="s">
        <v>355</v>
      </c>
      <c r="Q28322" s="5" t="s">
        <v>355</v>
      </c>
    </row>
    <row r="28323" ht="16.5" customHeight="1">
      <c r="O28323" s="5" t="s">
        <v>355</v>
      </c>
      <c r="P28323" s="5" t="s">
        <v>355</v>
      </c>
      <c r="Q28323" s="5" t="s">
        <v>355</v>
      </c>
    </row>
    <row r="28324" ht="16.5" customHeight="1">
      <c r="O28324" s="5" t="s">
        <v>355</v>
      </c>
      <c r="P28324" s="5" t="s">
        <v>355</v>
      </c>
      <c r="Q28324" s="5" t="s">
        <v>355</v>
      </c>
    </row>
    <row r="28325" ht="16.5" customHeight="1">
      <c r="O28325" s="5" t="s">
        <v>355</v>
      </c>
      <c r="P28325" s="5" t="s">
        <v>355</v>
      </c>
      <c r="Q28325" s="5" t="s">
        <v>355</v>
      </c>
    </row>
    <row r="28326" ht="16.5" customHeight="1">
      <c r="O28326" s="5" t="s">
        <v>355</v>
      </c>
      <c r="P28326" s="5" t="s">
        <v>355</v>
      </c>
      <c r="Q28326" s="5" t="s">
        <v>355</v>
      </c>
    </row>
    <row r="28327" ht="16.5" customHeight="1">
      <c r="O28327" s="5" t="s">
        <v>355</v>
      </c>
      <c r="P28327" s="5" t="s">
        <v>355</v>
      </c>
      <c r="Q28327" s="5" t="s">
        <v>355</v>
      </c>
    </row>
    <row r="28328" ht="16.5" customHeight="1">
      <c r="O28328" s="5" t="s">
        <v>355</v>
      </c>
      <c r="P28328" s="5" t="s">
        <v>355</v>
      </c>
      <c r="Q28328" s="5" t="s">
        <v>355</v>
      </c>
    </row>
    <row r="28329" ht="16.5" customHeight="1">
      <c r="O28329" s="5" t="s">
        <v>355</v>
      </c>
      <c r="P28329" s="5" t="s">
        <v>355</v>
      </c>
      <c r="Q28329" s="5" t="s">
        <v>355</v>
      </c>
    </row>
    <row r="28330" ht="16.5" customHeight="1">
      <c r="O28330" s="5" t="s">
        <v>355</v>
      </c>
      <c r="P28330" s="5" t="s">
        <v>355</v>
      </c>
      <c r="Q28330" s="5" t="s">
        <v>355</v>
      </c>
    </row>
    <row r="28331" ht="16.5" customHeight="1">
      <c r="O28331" s="5" t="s">
        <v>355</v>
      </c>
      <c r="P28331" s="5" t="s">
        <v>355</v>
      </c>
      <c r="Q28331" s="5" t="s">
        <v>355</v>
      </c>
    </row>
    <row r="28332" ht="16.5" customHeight="1">
      <c r="O28332" s="5" t="s">
        <v>355</v>
      </c>
      <c r="P28332" s="5" t="s">
        <v>355</v>
      </c>
      <c r="Q28332" s="5" t="s">
        <v>355</v>
      </c>
    </row>
    <row r="28333" ht="16.5" customHeight="1">
      <c r="O28333" s="5" t="s">
        <v>355</v>
      </c>
      <c r="P28333" s="5" t="s">
        <v>355</v>
      </c>
      <c r="Q28333" s="5" t="s">
        <v>355</v>
      </c>
    </row>
    <row r="28334" ht="16.5" customHeight="1">
      <c r="O28334" s="5" t="s">
        <v>355</v>
      </c>
      <c r="P28334" s="5" t="s">
        <v>355</v>
      </c>
      <c r="Q28334" s="5" t="s">
        <v>355</v>
      </c>
    </row>
    <row r="28335" ht="16.5" customHeight="1">
      <c r="O28335" s="5" t="s">
        <v>355</v>
      </c>
      <c r="P28335" s="5" t="s">
        <v>355</v>
      </c>
      <c r="Q28335" s="5" t="s">
        <v>355</v>
      </c>
    </row>
    <row r="28336" ht="16.5" customHeight="1">
      <c r="O28336" s="5" t="s">
        <v>355</v>
      </c>
      <c r="P28336" s="5" t="s">
        <v>355</v>
      </c>
      <c r="Q28336" s="5" t="s">
        <v>355</v>
      </c>
    </row>
    <row r="28337" ht="16.5" customHeight="1">
      <c r="O28337" s="5" t="s">
        <v>355</v>
      </c>
      <c r="P28337" s="5" t="s">
        <v>355</v>
      </c>
      <c r="Q28337" s="5" t="s">
        <v>355</v>
      </c>
    </row>
    <row r="28338" ht="16.5" customHeight="1">
      <c r="O28338" s="5" t="s">
        <v>355</v>
      </c>
      <c r="P28338" s="5" t="s">
        <v>355</v>
      </c>
      <c r="Q28338" s="5" t="s">
        <v>355</v>
      </c>
    </row>
    <row r="28339" ht="16.5" customHeight="1">
      <c r="O28339" s="5" t="s">
        <v>355</v>
      </c>
      <c r="P28339" s="5" t="s">
        <v>355</v>
      </c>
      <c r="Q28339" s="5" t="s">
        <v>355</v>
      </c>
    </row>
    <row r="28340" ht="16.5" customHeight="1">
      <c r="O28340" s="5" t="s">
        <v>355</v>
      </c>
      <c r="P28340" s="5" t="s">
        <v>355</v>
      </c>
      <c r="Q28340" s="5" t="s">
        <v>355</v>
      </c>
    </row>
    <row r="28341" ht="16.5" customHeight="1">
      <c r="O28341" s="5" t="s">
        <v>355</v>
      </c>
      <c r="P28341" s="5" t="s">
        <v>355</v>
      </c>
      <c r="Q28341" s="5" t="s">
        <v>355</v>
      </c>
    </row>
    <row r="28342" ht="16.5" customHeight="1">
      <c r="O28342" s="5" t="s">
        <v>355</v>
      </c>
      <c r="P28342" s="5" t="s">
        <v>355</v>
      </c>
      <c r="Q28342" s="5" t="s">
        <v>355</v>
      </c>
    </row>
    <row r="28343" ht="16.5" customHeight="1">
      <c r="O28343" s="5" t="s">
        <v>355</v>
      </c>
      <c r="P28343" s="5" t="s">
        <v>355</v>
      </c>
      <c r="Q28343" s="5" t="s">
        <v>355</v>
      </c>
    </row>
    <row r="28344" ht="16.5" customHeight="1">
      <c r="O28344" s="5" t="s">
        <v>355</v>
      </c>
      <c r="P28344" s="5" t="s">
        <v>355</v>
      </c>
      <c r="Q28344" s="5" t="s">
        <v>355</v>
      </c>
    </row>
    <row r="28345" ht="16.5" customHeight="1">
      <c r="O28345" s="5" t="s">
        <v>355</v>
      </c>
      <c r="P28345" s="5" t="s">
        <v>355</v>
      </c>
      <c r="Q28345" s="5" t="s">
        <v>355</v>
      </c>
    </row>
    <row r="28346" ht="16.5" customHeight="1">
      <c r="O28346" s="5" t="s">
        <v>355</v>
      </c>
      <c r="P28346" s="5" t="s">
        <v>355</v>
      </c>
      <c r="Q28346" s="5" t="s">
        <v>355</v>
      </c>
    </row>
    <row r="28347" ht="16.5" customHeight="1">
      <c r="O28347" s="5" t="s">
        <v>355</v>
      </c>
      <c r="P28347" s="5" t="s">
        <v>355</v>
      </c>
      <c r="Q28347" s="5" t="s">
        <v>355</v>
      </c>
    </row>
    <row r="28348" ht="16.5" customHeight="1">
      <c r="O28348" s="5" t="s">
        <v>355</v>
      </c>
      <c r="P28348" s="5" t="s">
        <v>355</v>
      </c>
      <c r="Q28348" s="5" t="s">
        <v>355</v>
      </c>
    </row>
    <row r="28349" ht="16.5" customHeight="1">
      <c r="O28349" s="5" t="s">
        <v>355</v>
      </c>
      <c r="P28349" s="5" t="s">
        <v>355</v>
      </c>
      <c r="Q28349" s="5" t="s">
        <v>355</v>
      </c>
    </row>
    <row r="28350" ht="16.5" customHeight="1">
      <c r="O28350" s="5" t="s">
        <v>355</v>
      </c>
      <c r="P28350" s="5" t="s">
        <v>355</v>
      </c>
      <c r="Q28350" s="5" t="s">
        <v>355</v>
      </c>
    </row>
    <row r="28351" ht="16.5" customHeight="1">
      <c r="O28351" s="5" t="s">
        <v>355</v>
      </c>
      <c r="P28351" s="5" t="s">
        <v>355</v>
      </c>
      <c r="Q28351" s="5" t="s">
        <v>355</v>
      </c>
    </row>
    <row r="28352" ht="16.5" customHeight="1">
      <c r="O28352" s="5" t="s">
        <v>355</v>
      </c>
      <c r="P28352" s="5" t="s">
        <v>355</v>
      </c>
      <c r="Q28352" s="5" t="s">
        <v>355</v>
      </c>
    </row>
    <row r="28353" ht="16.5" customHeight="1">
      <c r="O28353" s="5" t="s">
        <v>355</v>
      </c>
      <c r="P28353" s="5" t="s">
        <v>355</v>
      </c>
      <c r="Q28353" s="5" t="s">
        <v>355</v>
      </c>
    </row>
    <row r="28354" ht="16.5" customHeight="1">
      <c r="O28354" s="5" t="s">
        <v>355</v>
      </c>
      <c r="P28354" s="5" t="s">
        <v>355</v>
      </c>
      <c r="Q28354" s="5" t="s">
        <v>355</v>
      </c>
    </row>
    <row r="28355" ht="16.5" customHeight="1">
      <c r="O28355" s="5" t="s">
        <v>355</v>
      </c>
      <c r="P28355" s="5" t="s">
        <v>355</v>
      </c>
      <c r="Q28355" s="5" t="s">
        <v>355</v>
      </c>
    </row>
    <row r="28356" ht="16.5" customHeight="1">
      <c r="O28356" s="5" t="s">
        <v>355</v>
      </c>
      <c r="P28356" s="5" t="s">
        <v>355</v>
      </c>
      <c r="Q28356" s="5" t="s">
        <v>355</v>
      </c>
    </row>
    <row r="28357" ht="16.5" customHeight="1">
      <c r="O28357" s="5" t="s">
        <v>355</v>
      </c>
      <c r="P28357" s="5" t="s">
        <v>355</v>
      </c>
      <c r="Q28357" s="5" t="s">
        <v>355</v>
      </c>
    </row>
    <row r="28358" ht="16.5" customHeight="1">
      <c r="O28358" s="5" t="s">
        <v>355</v>
      </c>
      <c r="P28358" s="5" t="s">
        <v>355</v>
      </c>
      <c r="Q28358" s="5" t="s">
        <v>355</v>
      </c>
    </row>
    <row r="28359" ht="16.5" customHeight="1">
      <c r="O28359" s="5" t="s">
        <v>355</v>
      </c>
      <c r="P28359" s="5" t="s">
        <v>355</v>
      </c>
      <c r="Q28359" s="5" t="s">
        <v>355</v>
      </c>
    </row>
    <row r="28360" ht="16.5" customHeight="1">
      <c r="O28360" s="5" t="s">
        <v>355</v>
      </c>
      <c r="P28360" s="5" t="s">
        <v>355</v>
      </c>
      <c r="Q28360" s="5" t="s">
        <v>355</v>
      </c>
    </row>
    <row r="28361" ht="16.5" customHeight="1">
      <c r="O28361" s="5" t="s">
        <v>355</v>
      </c>
      <c r="P28361" s="5" t="s">
        <v>355</v>
      </c>
      <c r="Q28361" s="5" t="s">
        <v>355</v>
      </c>
    </row>
    <row r="28362" ht="16.5" customHeight="1">
      <c r="O28362" s="5" t="s">
        <v>355</v>
      </c>
      <c r="P28362" s="5" t="s">
        <v>355</v>
      </c>
      <c r="Q28362" s="5" t="s">
        <v>355</v>
      </c>
    </row>
    <row r="28363" ht="16.5" customHeight="1">
      <c r="O28363" s="5" t="s">
        <v>355</v>
      </c>
      <c r="P28363" s="5" t="s">
        <v>355</v>
      </c>
      <c r="Q28363" s="5" t="s">
        <v>355</v>
      </c>
    </row>
    <row r="28364" ht="16.5" customHeight="1">
      <c r="O28364" s="5" t="s">
        <v>355</v>
      </c>
      <c r="P28364" s="5" t="s">
        <v>355</v>
      </c>
      <c r="Q28364" s="5" t="s">
        <v>355</v>
      </c>
    </row>
    <row r="28365" ht="16.5" customHeight="1">
      <c r="O28365" s="5" t="s">
        <v>355</v>
      </c>
      <c r="P28365" s="5" t="s">
        <v>355</v>
      </c>
      <c r="Q28365" s="5" t="s">
        <v>355</v>
      </c>
    </row>
    <row r="28366" ht="16.5" customHeight="1">
      <c r="O28366" s="5" t="s">
        <v>355</v>
      </c>
      <c r="P28366" s="5" t="s">
        <v>355</v>
      </c>
      <c r="Q28366" s="5" t="s">
        <v>355</v>
      </c>
    </row>
    <row r="28367" ht="16.5" customHeight="1">
      <c r="O28367" s="5" t="s">
        <v>355</v>
      </c>
      <c r="P28367" s="5" t="s">
        <v>355</v>
      </c>
      <c r="Q28367" s="5" t="s">
        <v>355</v>
      </c>
    </row>
    <row r="28368" ht="16.5" customHeight="1">
      <c r="O28368" s="5" t="s">
        <v>355</v>
      </c>
      <c r="P28368" s="5" t="s">
        <v>355</v>
      </c>
      <c r="Q28368" s="5" t="s">
        <v>355</v>
      </c>
    </row>
    <row r="28369" ht="16.5" customHeight="1">
      <c r="O28369" s="5" t="s">
        <v>355</v>
      </c>
      <c r="P28369" s="5" t="s">
        <v>355</v>
      </c>
      <c r="Q28369" s="5" t="s">
        <v>355</v>
      </c>
    </row>
    <row r="28370" ht="16.5" customHeight="1">
      <c r="O28370" s="5" t="s">
        <v>355</v>
      </c>
      <c r="P28370" s="5" t="s">
        <v>355</v>
      </c>
      <c r="Q28370" s="5" t="s">
        <v>355</v>
      </c>
    </row>
    <row r="28371" ht="16.5" customHeight="1">
      <c r="O28371" s="5" t="s">
        <v>355</v>
      </c>
      <c r="P28371" s="5" t="s">
        <v>355</v>
      </c>
      <c r="Q28371" s="5" t="s">
        <v>355</v>
      </c>
    </row>
    <row r="28372" ht="16.5" customHeight="1">
      <c r="O28372" s="5" t="s">
        <v>355</v>
      </c>
      <c r="P28372" s="5" t="s">
        <v>355</v>
      </c>
      <c r="Q28372" s="5" t="s">
        <v>355</v>
      </c>
    </row>
    <row r="28373" ht="16.5" customHeight="1">
      <c r="O28373" s="5" t="s">
        <v>355</v>
      </c>
      <c r="P28373" s="5" t="s">
        <v>355</v>
      </c>
      <c r="Q28373" s="5" t="s">
        <v>355</v>
      </c>
    </row>
    <row r="28374" ht="16.5" customHeight="1">
      <c r="O28374" s="5" t="s">
        <v>355</v>
      </c>
      <c r="P28374" s="5" t="s">
        <v>355</v>
      </c>
      <c r="Q28374" s="5" t="s">
        <v>355</v>
      </c>
    </row>
    <row r="28375" ht="16.5" customHeight="1">
      <c r="O28375" s="5" t="s">
        <v>355</v>
      </c>
      <c r="P28375" s="5" t="s">
        <v>355</v>
      </c>
      <c r="Q28375" s="5" t="s">
        <v>355</v>
      </c>
    </row>
    <row r="28376" ht="16.5" customHeight="1">
      <c r="O28376" s="5" t="s">
        <v>355</v>
      </c>
      <c r="P28376" s="5" t="s">
        <v>355</v>
      </c>
      <c r="Q28376" s="5" t="s">
        <v>355</v>
      </c>
    </row>
    <row r="28377" ht="16.5" customHeight="1">
      <c r="O28377" s="5" t="s">
        <v>355</v>
      </c>
      <c r="P28377" s="5" t="s">
        <v>355</v>
      </c>
      <c r="Q28377" s="5" t="s">
        <v>355</v>
      </c>
    </row>
    <row r="28378" ht="16.5" customHeight="1">
      <c r="O28378" s="5" t="s">
        <v>355</v>
      </c>
      <c r="P28378" s="5" t="s">
        <v>355</v>
      </c>
      <c r="Q28378" s="5" t="s">
        <v>355</v>
      </c>
    </row>
    <row r="28379" ht="16.5" customHeight="1">
      <c r="O28379" s="5" t="s">
        <v>355</v>
      </c>
      <c r="P28379" s="5" t="s">
        <v>355</v>
      </c>
      <c r="Q28379" s="5" t="s">
        <v>355</v>
      </c>
    </row>
    <row r="28380" ht="16.5" customHeight="1">
      <c r="O28380" s="5" t="s">
        <v>355</v>
      </c>
      <c r="P28380" s="5" t="s">
        <v>355</v>
      </c>
      <c r="Q28380" s="5" t="s">
        <v>355</v>
      </c>
    </row>
    <row r="28381" ht="16.5" customHeight="1">
      <c r="O28381" s="5" t="s">
        <v>355</v>
      </c>
      <c r="P28381" s="5" t="s">
        <v>355</v>
      </c>
      <c r="Q28381" s="5" t="s">
        <v>355</v>
      </c>
    </row>
    <row r="28382" ht="16.5" customHeight="1">
      <c r="O28382" s="5" t="s">
        <v>355</v>
      </c>
      <c r="P28382" s="5" t="s">
        <v>355</v>
      </c>
      <c r="Q28382" s="5" t="s">
        <v>355</v>
      </c>
    </row>
    <row r="28383" ht="16.5" customHeight="1">
      <c r="O28383" s="5" t="s">
        <v>355</v>
      </c>
      <c r="P28383" s="5" t="s">
        <v>355</v>
      </c>
      <c r="Q28383" s="5" t="s">
        <v>355</v>
      </c>
    </row>
    <row r="28384" ht="16.5" customHeight="1">
      <c r="O28384" s="5" t="s">
        <v>355</v>
      </c>
      <c r="P28384" s="5" t="s">
        <v>355</v>
      </c>
      <c r="Q28384" s="5" t="s">
        <v>355</v>
      </c>
    </row>
    <row r="28385" ht="16.5" customHeight="1">
      <c r="O28385" s="5" t="s">
        <v>355</v>
      </c>
      <c r="P28385" s="5" t="s">
        <v>355</v>
      </c>
      <c r="Q28385" s="5" t="s">
        <v>355</v>
      </c>
    </row>
    <row r="28386" ht="16.5" customHeight="1">
      <c r="O28386" s="5" t="s">
        <v>355</v>
      </c>
      <c r="P28386" s="5" t="s">
        <v>355</v>
      </c>
      <c r="Q28386" s="5" t="s">
        <v>355</v>
      </c>
    </row>
    <row r="28387" ht="16.5" customHeight="1">
      <c r="O28387" s="5" t="s">
        <v>355</v>
      </c>
      <c r="P28387" s="5" t="s">
        <v>355</v>
      </c>
      <c r="Q28387" s="5" t="s">
        <v>355</v>
      </c>
    </row>
    <row r="28388" ht="16.5" customHeight="1">
      <c r="O28388" s="5" t="s">
        <v>355</v>
      </c>
      <c r="P28388" s="5" t="s">
        <v>355</v>
      </c>
      <c r="Q28388" s="5" t="s">
        <v>355</v>
      </c>
    </row>
    <row r="28389" ht="16.5" customHeight="1">
      <c r="O28389" s="5" t="s">
        <v>355</v>
      </c>
      <c r="P28389" s="5" t="s">
        <v>355</v>
      </c>
      <c r="Q28389" s="5" t="s">
        <v>355</v>
      </c>
    </row>
    <row r="28390" ht="16.5" customHeight="1">
      <c r="O28390" s="5" t="s">
        <v>355</v>
      </c>
      <c r="P28390" s="5" t="s">
        <v>355</v>
      </c>
      <c r="Q28390" s="5" t="s">
        <v>355</v>
      </c>
    </row>
    <row r="28391" ht="16.5" customHeight="1">
      <c r="O28391" s="5" t="s">
        <v>355</v>
      </c>
      <c r="P28391" s="5" t="s">
        <v>355</v>
      </c>
      <c r="Q28391" s="5" t="s">
        <v>355</v>
      </c>
    </row>
    <row r="28392" ht="16.5" customHeight="1">
      <c r="O28392" s="5" t="s">
        <v>355</v>
      </c>
      <c r="P28392" s="5" t="s">
        <v>355</v>
      </c>
      <c r="Q28392" s="5" t="s">
        <v>355</v>
      </c>
    </row>
    <row r="28393" ht="16.5" customHeight="1">
      <c r="O28393" s="5" t="s">
        <v>355</v>
      </c>
      <c r="P28393" s="5" t="s">
        <v>355</v>
      </c>
      <c r="Q28393" s="5" t="s">
        <v>355</v>
      </c>
    </row>
    <row r="28394" ht="16.5" customHeight="1">
      <c r="O28394" s="5" t="s">
        <v>355</v>
      </c>
      <c r="P28394" s="5" t="s">
        <v>355</v>
      </c>
      <c r="Q28394" s="5" t="s">
        <v>355</v>
      </c>
    </row>
    <row r="28395" ht="16.5" customHeight="1">
      <c r="O28395" s="5" t="s">
        <v>355</v>
      </c>
      <c r="P28395" s="5" t="s">
        <v>355</v>
      </c>
      <c r="Q28395" s="5" t="s">
        <v>355</v>
      </c>
    </row>
    <row r="28396" ht="16.5" customHeight="1">
      <c r="O28396" s="5" t="s">
        <v>355</v>
      </c>
      <c r="P28396" s="5" t="s">
        <v>355</v>
      </c>
      <c r="Q28396" s="5" t="s">
        <v>355</v>
      </c>
    </row>
    <row r="28397" ht="16.5" customHeight="1">
      <c r="O28397" s="5" t="s">
        <v>355</v>
      </c>
      <c r="P28397" s="5" t="s">
        <v>355</v>
      </c>
      <c r="Q28397" s="5" t="s">
        <v>355</v>
      </c>
    </row>
    <row r="28398" ht="16.5" customHeight="1">
      <c r="O28398" s="5" t="s">
        <v>355</v>
      </c>
      <c r="P28398" s="5" t="s">
        <v>355</v>
      </c>
      <c r="Q28398" s="5" t="s">
        <v>355</v>
      </c>
    </row>
    <row r="28399" ht="16.5" customHeight="1">
      <c r="O28399" s="5" t="s">
        <v>355</v>
      </c>
      <c r="P28399" s="5" t="s">
        <v>355</v>
      </c>
      <c r="Q28399" s="5" t="s">
        <v>355</v>
      </c>
    </row>
    <row r="28400" ht="16.5" customHeight="1">
      <c r="O28400" s="5" t="s">
        <v>355</v>
      </c>
      <c r="P28400" s="5" t="s">
        <v>355</v>
      </c>
      <c r="Q28400" s="5" t="s">
        <v>355</v>
      </c>
    </row>
    <row r="28401" ht="16.5" customHeight="1">
      <c r="O28401" s="5" t="s">
        <v>355</v>
      </c>
      <c r="P28401" s="5" t="s">
        <v>355</v>
      </c>
      <c r="Q28401" s="5" t="s">
        <v>355</v>
      </c>
    </row>
    <row r="28402" ht="16.5" customHeight="1">
      <c r="O28402" s="5" t="s">
        <v>355</v>
      </c>
      <c r="P28402" s="5" t="s">
        <v>355</v>
      </c>
      <c r="Q28402" s="5" t="s">
        <v>355</v>
      </c>
    </row>
    <row r="28403" ht="16.5" customHeight="1">
      <c r="O28403" s="5" t="s">
        <v>355</v>
      </c>
      <c r="P28403" s="5" t="s">
        <v>355</v>
      </c>
      <c r="Q28403" s="5" t="s">
        <v>355</v>
      </c>
    </row>
    <row r="28404" ht="16.5" customHeight="1">
      <c r="O28404" s="5" t="s">
        <v>355</v>
      </c>
      <c r="P28404" s="5" t="s">
        <v>355</v>
      </c>
      <c r="Q28404" s="5" t="s">
        <v>355</v>
      </c>
    </row>
    <row r="28405" ht="16.5" customHeight="1">
      <c r="O28405" s="5" t="s">
        <v>355</v>
      </c>
      <c r="P28405" s="5" t="s">
        <v>355</v>
      </c>
      <c r="Q28405" s="5" t="s">
        <v>355</v>
      </c>
    </row>
    <row r="28406" ht="16.5" customHeight="1">
      <c r="O28406" s="5" t="s">
        <v>355</v>
      </c>
      <c r="P28406" s="5" t="s">
        <v>355</v>
      </c>
      <c r="Q28406" s="5" t="s">
        <v>355</v>
      </c>
    </row>
    <row r="28407" ht="16.5" customHeight="1">
      <c r="O28407" s="5" t="s">
        <v>355</v>
      </c>
      <c r="P28407" s="5" t="s">
        <v>355</v>
      </c>
      <c r="Q28407" s="5" t="s">
        <v>355</v>
      </c>
    </row>
    <row r="28408" ht="16.5" customHeight="1">
      <c r="O28408" s="5" t="s">
        <v>355</v>
      </c>
      <c r="P28408" s="5" t="s">
        <v>355</v>
      </c>
      <c r="Q28408" s="5" t="s">
        <v>355</v>
      </c>
    </row>
    <row r="28409" ht="16.5" customHeight="1">
      <c r="O28409" s="5" t="s">
        <v>355</v>
      </c>
      <c r="P28409" s="5" t="s">
        <v>355</v>
      </c>
      <c r="Q28409" s="5" t="s">
        <v>355</v>
      </c>
    </row>
    <row r="28410" ht="16.5" customHeight="1">
      <c r="O28410" s="5" t="s">
        <v>355</v>
      </c>
      <c r="P28410" s="5" t="s">
        <v>355</v>
      </c>
      <c r="Q28410" s="5" t="s">
        <v>355</v>
      </c>
    </row>
    <row r="28411" ht="16.5" customHeight="1">
      <c r="O28411" s="5" t="s">
        <v>355</v>
      </c>
      <c r="P28411" s="5" t="s">
        <v>355</v>
      </c>
      <c r="Q28411" s="5" t="s">
        <v>355</v>
      </c>
    </row>
    <row r="28412" ht="16.5" customHeight="1">
      <c r="O28412" s="5" t="s">
        <v>355</v>
      </c>
      <c r="P28412" s="5" t="s">
        <v>355</v>
      </c>
      <c r="Q28412" s="5" t="s">
        <v>355</v>
      </c>
    </row>
    <row r="28413" ht="16.5" customHeight="1">
      <c r="O28413" s="5" t="s">
        <v>355</v>
      </c>
      <c r="P28413" s="5" t="s">
        <v>355</v>
      </c>
      <c r="Q28413" s="5" t="s">
        <v>355</v>
      </c>
    </row>
    <row r="28414" ht="16.5" customHeight="1">
      <c r="O28414" s="5" t="s">
        <v>355</v>
      </c>
      <c r="P28414" s="5" t="s">
        <v>355</v>
      </c>
      <c r="Q28414" s="5" t="s">
        <v>355</v>
      </c>
    </row>
    <row r="28415" ht="16.5" customHeight="1">
      <c r="O28415" s="5" t="s">
        <v>355</v>
      </c>
      <c r="P28415" s="5" t="s">
        <v>355</v>
      </c>
      <c r="Q28415" s="5" t="s">
        <v>355</v>
      </c>
    </row>
    <row r="28416" ht="16.5" customHeight="1">
      <c r="O28416" s="5" t="s">
        <v>355</v>
      </c>
      <c r="P28416" s="5" t="s">
        <v>355</v>
      </c>
      <c r="Q28416" s="5" t="s">
        <v>355</v>
      </c>
    </row>
    <row r="28417" ht="16.5" customHeight="1">
      <c r="O28417" s="5" t="s">
        <v>355</v>
      </c>
      <c r="P28417" s="5" t="s">
        <v>355</v>
      </c>
      <c r="Q28417" s="5" t="s">
        <v>355</v>
      </c>
    </row>
    <row r="28418" ht="16.5" customHeight="1">
      <c r="O28418" s="5" t="s">
        <v>355</v>
      </c>
      <c r="P28418" s="5" t="s">
        <v>355</v>
      </c>
      <c r="Q28418" s="5" t="s">
        <v>355</v>
      </c>
    </row>
    <row r="28419" ht="16.5" customHeight="1">
      <c r="O28419" s="5" t="s">
        <v>355</v>
      </c>
      <c r="P28419" s="5" t="s">
        <v>355</v>
      </c>
      <c r="Q28419" s="5" t="s">
        <v>355</v>
      </c>
    </row>
    <row r="28420" ht="16.5" customHeight="1">
      <c r="O28420" s="5" t="s">
        <v>355</v>
      </c>
      <c r="P28420" s="5" t="s">
        <v>355</v>
      </c>
      <c r="Q28420" s="5" t="s">
        <v>355</v>
      </c>
    </row>
    <row r="28421" ht="16.5" customHeight="1">
      <c r="O28421" s="5" t="s">
        <v>355</v>
      </c>
      <c r="P28421" s="5" t="s">
        <v>355</v>
      </c>
      <c r="Q28421" s="5" t="s">
        <v>355</v>
      </c>
    </row>
    <row r="28422" ht="16.5" customHeight="1">
      <c r="O28422" s="5" t="s">
        <v>355</v>
      </c>
      <c r="P28422" s="5" t="s">
        <v>355</v>
      </c>
      <c r="Q28422" s="5" t="s">
        <v>355</v>
      </c>
    </row>
    <row r="28423" ht="16.5" customHeight="1">
      <c r="O28423" s="5" t="s">
        <v>355</v>
      </c>
      <c r="P28423" s="5" t="s">
        <v>355</v>
      </c>
      <c r="Q28423" s="5" t="s">
        <v>355</v>
      </c>
    </row>
    <row r="28424" ht="16.5" customHeight="1">
      <c r="O28424" s="5" t="s">
        <v>355</v>
      </c>
      <c r="P28424" s="5" t="s">
        <v>355</v>
      </c>
      <c r="Q28424" s="5" t="s">
        <v>355</v>
      </c>
    </row>
    <row r="28425" ht="16.5" customHeight="1">
      <c r="O28425" s="5" t="s">
        <v>355</v>
      </c>
      <c r="P28425" s="5" t="s">
        <v>355</v>
      </c>
      <c r="Q28425" s="5" t="s">
        <v>355</v>
      </c>
    </row>
    <row r="28426" ht="16.5" customHeight="1">
      <c r="O28426" s="5" t="s">
        <v>355</v>
      </c>
      <c r="P28426" s="5" t="s">
        <v>355</v>
      </c>
      <c r="Q28426" s="5" t="s">
        <v>355</v>
      </c>
    </row>
    <row r="28427" ht="16.5" customHeight="1">
      <c r="O28427" s="5" t="s">
        <v>355</v>
      </c>
      <c r="P28427" s="5" t="s">
        <v>355</v>
      </c>
      <c r="Q28427" s="5" t="s">
        <v>355</v>
      </c>
    </row>
    <row r="28428" ht="16.5" customHeight="1">
      <c r="O28428" s="5" t="s">
        <v>355</v>
      </c>
      <c r="P28428" s="5" t="s">
        <v>355</v>
      </c>
      <c r="Q28428" s="5" t="s">
        <v>355</v>
      </c>
    </row>
    <row r="28429" ht="16.5" customHeight="1">
      <c r="O28429" s="5" t="s">
        <v>355</v>
      </c>
      <c r="P28429" s="5" t="s">
        <v>355</v>
      </c>
      <c r="Q28429" s="5" t="s">
        <v>355</v>
      </c>
    </row>
    <row r="28430" ht="16.5" customHeight="1">
      <c r="O28430" s="5" t="s">
        <v>355</v>
      </c>
      <c r="P28430" s="5" t="s">
        <v>355</v>
      </c>
      <c r="Q28430" s="5" t="s">
        <v>355</v>
      </c>
    </row>
    <row r="28431" ht="16.5" customHeight="1">
      <c r="O28431" s="5" t="s">
        <v>355</v>
      </c>
      <c r="P28431" s="5" t="s">
        <v>355</v>
      </c>
      <c r="Q28431" s="5" t="s">
        <v>355</v>
      </c>
    </row>
    <row r="28432" ht="16.5" customHeight="1">
      <c r="O28432" s="5" t="s">
        <v>355</v>
      </c>
      <c r="P28432" s="5" t="s">
        <v>355</v>
      </c>
      <c r="Q28432" s="5" t="s">
        <v>355</v>
      </c>
    </row>
    <row r="28433" ht="16.5" customHeight="1">
      <c r="O28433" s="5" t="s">
        <v>355</v>
      </c>
      <c r="P28433" s="5" t="s">
        <v>355</v>
      </c>
      <c r="Q28433" s="5" t="s">
        <v>355</v>
      </c>
    </row>
    <row r="28434" ht="16.5" customHeight="1">
      <c r="O28434" s="5" t="s">
        <v>355</v>
      </c>
      <c r="P28434" s="5" t="s">
        <v>355</v>
      </c>
      <c r="Q28434" s="5" t="s">
        <v>355</v>
      </c>
    </row>
    <row r="28435" ht="16.5" customHeight="1">
      <c r="O28435" s="5" t="s">
        <v>355</v>
      </c>
      <c r="P28435" s="5" t="s">
        <v>355</v>
      </c>
      <c r="Q28435" s="5" t="s">
        <v>355</v>
      </c>
    </row>
    <row r="28436" ht="16.5" customHeight="1">
      <c r="O28436" s="5" t="s">
        <v>355</v>
      </c>
      <c r="P28436" s="5" t="s">
        <v>355</v>
      </c>
      <c r="Q28436" s="5" t="s">
        <v>355</v>
      </c>
    </row>
    <row r="28437" ht="16.5" customHeight="1">
      <c r="O28437" s="5" t="s">
        <v>355</v>
      </c>
      <c r="P28437" s="5" t="s">
        <v>355</v>
      </c>
      <c r="Q28437" s="5" t="s">
        <v>355</v>
      </c>
    </row>
    <row r="28438" ht="16.5" customHeight="1">
      <c r="O28438" s="5" t="s">
        <v>355</v>
      </c>
      <c r="P28438" s="5" t="s">
        <v>355</v>
      </c>
      <c r="Q28438" s="5" t="s">
        <v>355</v>
      </c>
    </row>
    <row r="28439" ht="16.5" customHeight="1">
      <c r="O28439" s="5" t="s">
        <v>355</v>
      </c>
      <c r="P28439" s="5" t="s">
        <v>355</v>
      </c>
      <c r="Q28439" s="5" t="s">
        <v>355</v>
      </c>
    </row>
    <row r="28440" ht="16.5" customHeight="1">
      <c r="O28440" s="5" t="s">
        <v>355</v>
      </c>
      <c r="P28440" s="5" t="s">
        <v>355</v>
      </c>
      <c r="Q28440" s="5" t="s">
        <v>355</v>
      </c>
    </row>
    <row r="28441" ht="16.5" customHeight="1">
      <c r="O28441" s="5" t="s">
        <v>355</v>
      </c>
      <c r="P28441" s="5" t="s">
        <v>355</v>
      </c>
      <c r="Q28441" s="5" t="s">
        <v>355</v>
      </c>
    </row>
    <row r="28442" ht="16.5" customHeight="1">
      <c r="O28442" s="5" t="s">
        <v>355</v>
      </c>
      <c r="P28442" s="5" t="s">
        <v>355</v>
      </c>
      <c r="Q28442" s="5" t="s">
        <v>355</v>
      </c>
    </row>
    <row r="28443" ht="16.5" customHeight="1">
      <c r="O28443" s="5" t="s">
        <v>355</v>
      </c>
      <c r="P28443" s="5" t="s">
        <v>355</v>
      </c>
      <c r="Q28443" s="5" t="s">
        <v>355</v>
      </c>
    </row>
    <row r="28444" ht="16.5" customHeight="1">
      <c r="O28444" s="5" t="s">
        <v>355</v>
      </c>
      <c r="P28444" s="5" t="s">
        <v>355</v>
      </c>
      <c r="Q28444" s="5" t="s">
        <v>355</v>
      </c>
    </row>
    <row r="28445" ht="16.5" customHeight="1">
      <c r="O28445" s="5" t="s">
        <v>355</v>
      </c>
      <c r="P28445" s="5" t="s">
        <v>355</v>
      </c>
      <c r="Q28445" s="5" t="s">
        <v>355</v>
      </c>
    </row>
    <row r="28446" ht="16.5" customHeight="1">
      <c r="O28446" s="5" t="s">
        <v>355</v>
      </c>
      <c r="P28446" s="5" t="s">
        <v>355</v>
      </c>
      <c r="Q28446" s="5" t="s">
        <v>355</v>
      </c>
    </row>
    <row r="28447" ht="16.5" customHeight="1">
      <c r="O28447" s="5" t="s">
        <v>355</v>
      </c>
      <c r="P28447" s="5" t="s">
        <v>355</v>
      </c>
      <c r="Q28447" s="5" t="s">
        <v>355</v>
      </c>
    </row>
    <row r="28448" ht="16.5" customHeight="1">
      <c r="O28448" s="5" t="s">
        <v>355</v>
      </c>
      <c r="P28448" s="5" t="s">
        <v>355</v>
      </c>
      <c r="Q28448" s="5" t="s">
        <v>355</v>
      </c>
    </row>
    <row r="28449" ht="16.5" customHeight="1">
      <c r="O28449" s="5" t="s">
        <v>355</v>
      </c>
      <c r="P28449" s="5" t="s">
        <v>355</v>
      </c>
      <c r="Q28449" s="5" t="s">
        <v>355</v>
      </c>
    </row>
    <row r="28450" ht="16.5" customHeight="1">
      <c r="O28450" s="5" t="s">
        <v>355</v>
      </c>
      <c r="P28450" s="5" t="s">
        <v>355</v>
      </c>
      <c r="Q28450" s="5" t="s">
        <v>355</v>
      </c>
    </row>
    <row r="28451" ht="16.5" customHeight="1">
      <c r="O28451" s="5" t="s">
        <v>355</v>
      </c>
      <c r="P28451" s="5" t="s">
        <v>355</v>
      </c>
      <c r="Q28451" s="5" t="s">
        <v>355</v>
      </c>
    </row>
    <row r="28452" ht="16.5" customHeight="1">
      <c r="O28452" s="5" t="s">
        <v>355</v>
      </c>
      <c r="P28452" s="5" t="s">
        <v>355</v>
      </c>
      <c r="Q28452" s="5" t="s">
        <v>355</v>
      </c>
    </row>
    <row r="28453" ht="16.5" customHeight="1">
      <c r="O28453" s="5" t="s">
        <v>355</v>
      </c>
      <c r="P28453" s="5" t="s">
        <v>355</v>
      </c>
      <c r="Q28453" s="5" t="s">
        <v>355</v>
      </c>
    </row>
    <row r="28454" ht="16.5" customHeight="1">
      <c r="O28454" s="5" t="s">
        <v>355</v>
      </c>
      <c r="P28454" s="5" t="s">
        <v>355</v>
      </c>
      <c r="Q28454" s="5" t="s">
        <v>355</v>
      </c>
    </row>
    <row r="28455" ht="16.5" customHeight="1">
      <c r="O28455" s="5" t="s">
        <v>355</v>
      </c>
      <c r="P28455" s="5" t="s">
        <v>355</v>
      </c>
      <c r="Q28455" s="5" t="s">
        <v>355</v>
      </c>
    </row>
    <row r="28456" ht="16.5" customHeight="1">
      <c r="O28456" s="5" t="s">
        <v>355</v>
      </c>
      <c r="P28456" s="5" t="s">
        <v>355</v>
      </c>
      <c r="Q28456" s="5" t="s">
        <v>355</v>
      </c>
    </row>
    <row r="28457" ht="16.5" customHeight="1">
      <c r="O28457" s="5" t="s">
        <v>355</v>
      </c>
      <c r="P28457" s="5" t="s">
        <v>355</v>
      </c>
      <c r="Q28457" s="5" t="s">
        <v>355</v>
      </c>
    </row>
    <row r="28458" ht="16.5" customHeight="1">
      <c r="O28458" s="5" t="s">
        <v>355</v>
      </c>
      <c r="P28458" s="5" t="s">
        <v>355</v>
      </c>
      <c r="Q28458" s="5" t="s">
        <v>355</v>
      </c>
    </row>
    <row r="28459" ht="16.5" customHeight="1">
      <c r="O28459" s="5" t="s">
        <v>355</v>
      </c>
      <c r="P28459" s="5" t="s">
        <v>355</v>
      </c>
      <c r="Q28459" s="5" t="s">
        <v>355</v>
      </c>
    </row>
    <row r="28460" ht="16.5" customHeight="1">
      <c r="O28460" s="5" t="s">
        <v>355</v>
      </c>
      <c r="P28460" s="5" t="s">
        <v>355</v>
      </c>
      <c r="Q28460" s="5" t="s">
        <v>355</v>
      </c>
    </row>
    <row r="28461" ht="16.5" customHeight="1">
      <c r="O28461" s="5" t="s">
        <v>355</v>
      </c>
      <c r="P28461" s="5" t="s">
        <v>355</v>
      </c>
      <c r="Q28461" s="5" t="s">
        <v>355</v>
      </c>
    </row>
    <row r="28462" ht="16.5" customHeight="1">
      <c r="O28462" s="5" t="s">
        <v>355</v>
      </c>
      <c r="P28462" s="5" t="s">
        <v>355</v>
      </c>
      <c r="Q28462" s="5" t="s">
        <v>355</v>
      </c>
    </row>
    <row r="28463" ht="16.5" customHeight="1">
      <c r="O28463" s="5" t="s">
        <v>355</v>
      </c>
      <c r="P28463" s="5" t="s">
        <v>355</v>
      </c>
      <c r="Q28463" s="5" t="s">
        <v>355</v>
      </c>
    </row>
    <row r="28464" ht="16.5" customHeight="1">
      <c r="O28464" s="5" t="s">
        <v>355</v>
      </c>
      <c r="P28464" s="5" t="s">
        <v>355</v>
      </c>
      <c r="Q28464" s="5" t="s">
        <v>355</v>
      </c>
    </row>
    <row r="28465" ht="16.5" customHeight="1">
      <c r="O28465" s="5" t="s">
        <v>355</v>
      </c>
      <c r="P28465" s="5" t="s">
        <v>355</v>
      </c>
      <c r="Q28465" s="5" t="s">
        <v>355</v>
      </c>
    </row>
    <row r="28466" ht="16.5" customHeight="1">
      <c r="O28466" s="5" t="s">
        <v>355</v>
      </c>
      <c r="P28466" s="5" t="s">
        <v>355</v>
      </c>
      <c r="Q28466" s="5" t="s">
        <v>355</v>
      </c>
    </row>
    <row r="28467" ht="16.5" customHeight="1">
      <c r="O28467" s="5" t="s">
        <v>355</v>
      </c>
      <c r="P28467" s="5" t="s">
        <v>355</v>
      </c>
      <c r="Q28467" s="5" t="s">
        <v>355</v>
      </c>
    </row>
    <row r="28468" ht="16.5" customHeight="1">
      <c r="O28468" s="5" t="s">
        <v>355</v>
      </c>
      <c r="P28468" s="5" t="s">
        <v>355</v>
      </c>
      <c r="Q28468" s="5" t="s">
        <v>355</v>
      </c>
    </row>
    <row r="28469" ht="16.5" customHeight="1">
      <c r="O28469" s="5" t="s">
        <v>355</v>
      </c>
      <c r="P28469" s="5" t="s">
        <v>355</v>
      </c>
      <c r="Q28469" s="5" t="s">
        <v>355</v>
      </c>
    </row>
    <row r="28470" ht="16.5" customHeight="1">
      <c r="O28470" s="5" t="s">
        <v>355</v>
      </c>
      <c r="P28470" s="5" t="s">
        <v>355</v>
      </c>
      <c r="Q28470" s="5" t="s">
        <v>355</v>
      </c>
    </row>
    <row r="28471" ht="16.5" customHeight="1">
      <c r="O28471" s="5" t="s">
        <v>355</v>
      </c>
      <c r="P28471" s="5" t="s">
        <v>355</v>
      </c>
      <c r="Q28471" s="5" t="s">
        <v>355</v>
      </c>
    </row>
    <row r="28472" ht="16.5" customHeight="1">
      <c r="O28472" s="5" t="s">
        <v>355</v>
      </c>
      <c r="P28472" s="5" t="s">
        <v>355</v>
      </c>
      <c r="Q28472" s="5" t="s">
        <v>355</v>
      </c>
    </row>
    <row r="28473" ht="16.5" customHeight="1">
      <c r="O28473" s="5" t="s">
        <v>355</v>
      </c>
      <c r="P28473" s="5" t="s">
        <v>355</v>
      </c>
      <c r="Q28473" s="5" t="s">
        <v>355</v>
      </c>
    </row>
    <row r="28474" ht="16.5" customHeight="1">
      <c r="O28474" s="5" t="s">
        <v>355</v>
      </c>
      <c r="P28474" s="5" t="s">
        <v>355</v>
      </c>
      <c r="Q28474" s="5" t="s">
        <v>355</v>
      </c>
    </row>
    <row r="28475" ht="16.5" customHeight="1">
      <c r="O28475" s="5" t="s">
        <v>355</v>
      </c>
      <c r="P28475" s="5" t="s">
        <v>355</v>
      </c>
      <c r="Q28475" s="5" t="s">
        <v>355</v>
      </c>
    </row>
    <row r="28476" ht="16.5" customHeight="1">
      <c r="O28476" s="5" t="s">
        <v>355</v>
      </c>
      <c r="P28476" s="5" t="s">
        <v>355</v>
      </c>
      <c r="Q28476" s="5" t="s">
        <v>355</v>
      </c>
    </row>
    <row r="28477" ht="16.5" customHeight="1">
      <c r="O28477" s="5" t="s">
        <v>355</v>
      </c>
      <c r="P28477" s="5" t="s">
        <v>355</v>
      </c>
      <c r="Q28477" s="5" t="s">
        <v>355</v>
      </c>
    </row>
    <row r="28478" ht="16.5" customHeight="1">
      <c r="O28478" s="5" t="s">
        <v>355</v>
      </c>
      <c r="P28478" s="5" t="s">
        <v>355</v>
      </c>
      <c r="Q28478" s="5" t="s">
        <v>355</v>
      </c>
    </row>
    <row r="28479" ht="16.5" customHeight="1">
      <c r="O28479" s="5" t="s">
        <v>355</v>
      </c>
      <c r="P28479" s="5" t="s">
        <v>355</v>
      </c>
      <c r="Q28479" s="5" t="s">
        <v>355</v>
      </c>
    </row>
    <row r="28480" ht="16.5" customHeight="1">
      <c r="O28480" s="5" t="s">
        <v>355</v>
      </c>
      <c r="P28480" s="5" t="s">
        <v>355</v>
      </c>
      <c r="Q28480" s="5" t="s">
        <v>355</v>
      </c>
    </row>
    <row r="28481" ht="16.5" customHeight="1">
      <c r="O28481" s="5" t="s">
        <v>355</v>
      </c>
      <c r="P28481" s="5" t="s">
        <v>355</v>
      </c>
      <c r="Q28481" s="5" t="s">
        <v>355</v>
      </c>
    </row>
    <row r="28482" ht="16.5" customHeight="1">
      <c r="O28482" s="5" t="s">
        <v>355</v>
      </c>
      <c r="P28482" s="5" t="s">
        <v>355</v>
      </c>
      <c r="Q28482" s="5" t="s">
        <v>355</v>
      </c>
    </row>
    <row r="28483" ht="16.5" customHeight="1">
      <c r="O28483" s="5" t="s">
        <v>355</v>
      </c>
      <c r="P28483" s="5" t="s">
        <v>355</v>
      </c>
      <c r="Q28483" s="5" t="s">
        <v>355</v>
      </c>
    </row>
    <row r="28484" ht="16.5" customHeight="1">
      <c r="O28484" s="5" t="s">
        <v>355</v>
      </c>
      <c r="P28484" s="5" t="s">
        <v>355</v>
      </c>
      <c r="Q28484" s="5" t="s">
        <v>355</v>
      </c>
    </row>
    <row r="28485" ht="16.5" customHeight="1">
      <c r="O28485" s="5" t="s">
        <v>355</v>
      </c>
      <c r="P28485" s="5" t="s">
        <v>355</v>
      </c>
      <c r="Q28485" s="5" t="s">
        <v>355</v>
      </c>
    </row>
    <row r="28486" ht="16.5" customHeight="1">
      <c r="O28486" s="5" t="s">
        <v>355</v>
      </c>
      <c r="P28486" s="5" t="s">
        <v>355</v>
      </c>
      <c r="Q28486" s="5" t="s">
        <v>355</v>
      </c>
    </row>
    <row r="28487" ht="16.5" customHeight="1">
      <c r="O28487" s="5" t="s">
        <v>355</v>
      </c>
      <c r="P28487" s="5" t="s">
        <v>355</v>
      </c>
      <c r="Q28487" s="5" t="s">
        <v>355</v>
      </c>
    </row>
    <row r="28488" ht="16.5" customHeight="1">
      <c r="O28488" s="5" t="s">
        <v>355</v>
      </c>
      <c r="P28488" s="5" t="s">
        <v>355</v>
      </c>
      <c r="Q28488" s="5" t="s">
        <v>355</v>
      </c>
    </row>
    <row r="28489" ht="16.5" customHeight="1">
      <c r="O28489" s="5" t="s">
        <v>355</v>
      </c>
      <c r="P28489" s="5" t="s">
        <v>355</v>
      </c>
      <c r="Q28489" s="5" t="s">
        <v>355</v>
      </c>
    </row>
    <row r="28490" ht="16.5" customHeight="1">
      <c r="O28490" s="5" t="s">
        <v>355</v>
      </c>
      <c r="P28490" s="5" t="s">
        <v>355</v>
      </c>
      <c r="Q28490" s="5" t="s">
        <v>355</v>
      </c>
    </row>
    <row r="28491" ht="16.5" customHeight="1">
      <c r="O28491" s="5" t="s">
        <v>355</v>
      </c>
      <c r="P28491" s="5" t="s">
        <v>355</v>
      </c>
      <c r="Q28491" s="5" t="s">
        <v>355</v>
      </c>
    </row>
    <row r="28492" ht="16.5" customHeight="1">
      <c r="O28492" s="5" t="s">
        <v>355</v>
      </c>
      <c r="P28492" s="5" t="s">
        <v>355</v>
      </c>
      <c r="Q28492" s="5" t="s">
        <v>355</v>
      </c>
    </row>
    <row r="28493" ht="16.5" customHeight="1">
      <c r="O28493" s="5" t="s">
        <v>355</v>
      </c>
      <c r="P28493" s="5" t="s">
        <v>355</v>
      </c>
      <c r="Q28493" s="5" t="s">
        <v>355</v>
      </c>
    </row>
    <row r="28494" ht="16.5" customHeight="1">
      <c r="O28494" s="5" t="s">
        <v>355</v>
      </c>
      <c r="P28494" s="5" t="s">
        <v>355</v>
      </c>
      <c r="Q28494" s="5" t="s">
        <v>355</v>
      </c>
    </row>
    <row r="28495" ht="16.5" customHeight="1">
      <c r="O28495" s="5" t="s">
        <v>355</v>
      </c>
      <c r="P28495" s="5" t="s">
        <v>355</v>
      </c>
      <c r="Q28495" s="5" t="s">
        <v>355</v>
      </c>
    </row>
    <row r="28496" ht="16.5" customHeight="1">
      <c r="O28496" s="5" t="s">
        <v>355</v>
      </c>
      <c r="P28496" s="5" t="s">
        <v>355</v>
      </c>
      <c r="Q28496" s="5" t="s">
        <v>355</v>
      </c>
    </row>
    <row r="28497" ht="16.5" customHeight="1">
      <c r="O28497" s="5" t="s">
        <v>355</v>
      </c>
      <c r="P28497" s="5" t="s">
        <v>355</v>
      </c>
      <c r="Q28497" s="5" t="s">
        <v>355</v>
      </c>
    </row>
    <row r="28498" ht="16.5" customHeight="1">
      <c r="O28498" s="5" t="s">
        <v>355</v>
      </c>
      <c r="P28498" s="5" t="s">
        <v>355</v>
      </c>
      <c r="Q28498" s="5" t="s">
        <v>355</v>
      </c>
    </row>
    <row r="28499" ht="16.5" customHeight="1">
      <c r="O28499" s="5" t="s">
        <v>355</v>
      </c>
      <c r="P28499" s="5" t="s">
        <v>355</v>
      </c>
      <c r="Q28499" s="5" t="s">
        <v>355</v>
      </c>
    </row>
    <row r="28500" ht="16.5" customHeight="1">
      <c r="O28500" s="5" t="s">
        <v>355</v>
      </c>
      <c r="P28500" s="5" t="s">
        <v>355</v>
      </c>
      <c r="Q28500" s="5" t="s">
        <v>355</v>
      </c>
    </row>
    <row r="28501" ht="16.5" customHeight="1">
      <c r="O28501" s="5" t="s">
        <v>355</v>
      </c>
      <c r="P28501" s="5" t="s">
        <v>355</v>
      </c>
      <c r="Q28501" s="5" t="s">
        <v>355</v>
      </c>
    </row>
    <row r="28502" ht="16.5" customHeight="1">
      <c r="O28502" s="5" t="s">
        <v>355</v>
      </c>
      <c r="P28502" s="5" t="s">
        <v>355</v>
      </c>
      <c r="Q28502" s="5" t="s">
        <v>355</v>
      </c>
    </row>
    <row r="28503" ht="16.5" customHeight="1">
      <c r="O28503" s="5" t="s">
        <v>355</v>
      </c>
      <c r="P28503" s="5" t="s">
        <v>355</v>
      </c>
      <c r="Q28503" s="5" t="s">
        <v>355</v>
      </c>
    </row>
    <row r="28504" ht="16.5" customHeight="1">
      <c r="O28504" s="5" t="s">
        <v>355</v>
      </c>
      <c r="P28504" s="5" t="s">
        <v>355</v>
      </c>
      <c r="Q28504" s="5" t="s">
        <v>355</v>
      </c>
    </row>
    <row r="28505" ht="16.5" customHeight="1">
      <c r="O28505" s="5" t="s">
        <v>355</v>
      </c>
      <c r="P28505" s="5" t="s">
        <v>355</v>
      </c>
      <c r="Q28505" s="5" t="s">
        <v>355</v>
      </c>
    </row>
    <row r="28506" ht="16.5" customHeight="1">
      <c r="O28506" s="5" t="s">
        <v>355</v>
      </c>
      <c r="P28506" s="5" t="s">
        <v>355</v>
      </c>
      <c r="Q28506" s="5" t="s">
        <v>355</v>
      </c>
    </row>
    <row r="28507" ht="16.5" customHeight="1">
      <c r="O28507" s="5" t="s">
        <v>355</v>
      </c>
      <c r="P28507" s="5" t="s">
        <v>355</v>
      </c>
      <c r="Q28507" s="5" t="s">
        <v>355</v>
      </c>
    </row>
    <row r="28508" ht="16.5" customHeight="1">
      <c r="O28508" s="5" t="s">
        <v>355</v>
      </c>
      <c r="P28508" s="5" t="s">
        <v>355</v>
      </c>
      <c r="Q28508" s="5" t="s">
        <v>355</v>
      </c>
    </row>
    <row r="28509" ht="16.5" customHeight="1">
      <c r="O28509" s="5" t="s">
        <v>355</v>
      </c>
      <c r="P28509" s="5" t="s">
        <v>355</v>
      </c>
      <c r="Q28509" s="5" t="s">
        <v>355</v>
      </c>
    </row>
    <row r="28510" ht="16.5" customHeight="1">
      <c r="O28510" s="5" t="s">
        <v>355</v>
      </c>
      <c r="P28510" s="5" t="s">
        <v>355</v>
      </c>
      <c r="Q28510" s="5" t="s">
        <v>355</v>
      </c>
    </row>
    <row r="28511" ht="16.5" customHeight="1">
      <c r="O28511" s="5" t="s">
        <v>355</v>
      </c>
      <c r="P28511" s="5" t="s">
        <v>355</v>
      </c>
      <c r="Q28511" s="5" t="s">
        <v>355</v>
      </c>
    </row>
    <row r="28512" ht="16.5" customHeight="1">
      <c r="O28512" s="5" t="s">
        <v>355</v>
      </c>
      <c r="P28512" s="5" t="s">
        <v>355</v>
      </c>
      <c r="Q28512" s="5" t="s">
        <v>355</v>
      </c>
    </row>
    <row r="28513" ht="16.5" customHeight="1">
      <c r="O28513" s="5" t="s">
        <v>355</v>
      </c>
      <c r="P28513" s="5" t="s">
        <v>355</v>
      </c>
      <c r="Q28513" s="5" t="s">
        <v>355</v>
      </c>
    </row>
    <row r="28514" ht="16.5" customHeight="1">
      <c r="O28514" s="5" t="s">
        <v>355</v>
      </c>
      <c r="P28514" s="5" t="s">
        <v>355</v>
      </c>
      <c r="Q28514" s="5" t="s">
        <v>355</v>
      </c>
    </row>
    <row r="28515" ht="16.5" customHeight="1">
      <c r="O28515" s="5" t="s">
        <v>355</v>
      </c>
      <c r="P28515" s="5" t="s">
        <v>355</v>
      </c>
      <c r="Q28515" s="5" t="s">
        <v>355</v>
      </c>
    </row>
    <row r="28516" ht="16.5" customHeight="1">
      <c r="O28516" s="5" t="s">
        <v>355</v>
      </c>
      <c r="P28516" s="5" t="s">
        <v>355</v>
      </c>
      <c r="Q28516" s="5" t="s">
        <v>355</v>
      </c>
    </row>
    <row r="28517" ht="16.5" customHeight="1">
      <c r="O28517" s="5" t="s">
        <v>355</v>
      </c>
      <c r="P28517" s="5" t="s">
        <v>355</v>
      </c>
      <c r="Q28517" s="5" t="s">
        <v>355</v>
      </c>
    </row>
    <row r="28518" ht="16.5" customHeight="1">
      <c r="O28518" s="5" t="s">
        <v>355</v>
      </c>
      <c r="P28518" s="5" t="s">
        <v>355</v>
      </c>
      <c r="Q28518" s="5" t="s">
        <v>355</v>
      </c>
    </row>
    <row r="28519" ht="16.5" customHeight="1">
      <c r="O28519" s="5" t="s">
        <v>355</v>
      </c>
      <c r="P28519" s="5" t="s">
        <v>355</v>
      </c>
      <c r="Q28519" s="5" t="s">
        <v>355</v>
      </c>
    </row>
    <row r="28520" ht="16.5" customHeight="1">
      <c r="O28520" s="5" t="s">
        <v>355</v>
      </c>
      <c r="P28520" s="5" t="s">
        <v>355</v>
      </c>
      <c r="Q28520" s="5" t="s">
        <v>355</v>
      </c>
    </row>
    <row r="28521" ht="16.5" customHeight="1">
      <c r="O28521" s="5" t="s">
        <v>355</v>
      </c>
      <c r="P28521" s="5" t="s">
        <v>355</v>
      </c>
      <c r="Q28521" s="5" t="s">
        <v>355</v>
      </c>
    </row>
    <row r="28522" ht="16.5" customHeight="1">
      <c r="O28522" s="5" t="s">
        <v>355</v>
      </c>
      <c r="P28522" s="5" t="s">
        <v>355</v>
      </c>
      <c r="Q28522" s="5" t="s">
        <v>355</v>
      </c>
    </row>
    <row r="28523" ht="16.5" customHeight="1">
      <c r="O28523" s="5" t="s">
        <v>355</v>
      </c>
      <c r="P28523" s="5" t="s">
        <v>355</v>
      </c>
      <c r="Q28523" s="5" t="s">
        <v>355</v>
      </c>
    </row>
    <row r="28524" ht="16.5" customHeight="1">
      <c r="O28524" s="5" t="s">
        <v>355</v>
      </c>
      <c r="P28524" s="5" t="s">
        <v>355</v>
      </c>
      <c r="Q28524" s="5" t="s">
        <v>355</v>
      </c>
    </row>
    <row r="28525" ht="16.5" customHeight="1">
      <c r="O28525" s="5" t="s">
        <v>355</v>
      </c>
      <c r="P28525" s="5" t="s">
        <v>355</v>
      </c>
      <c r="Q28525" s="5" t="s">
        <v>355</v>
      </c>
    </row>
    <row r="28526" ht="16.5" customHeight="1">
      <c r="O28526" s="5" t="s">
        <v>355</v>
      </c>
      <c r="P28526" s="5" t="s">
        <v>355</v>
      </c>
      <c r="Q28526" s="5" t="s">
        <v>355</v>
      </c>
    </row>
    <row r="28527" ht="16.5" customHeight="1">
      <c r="O28527" s="5" t="s">
        <v>355</v>
      </c>
      <c r="P28527" s="5" t="s">
        <v>355</v>
      </c>
      <c r="Q28527" s="5" t="s">
        <v>355</v>
      </c>
    </row>
    <row r="28528" ht="16.5" customHeight="1">
      <c r="O28528" s="5" t="s">
        <v>355</v>
      </c>
      <c r="P28528" s="5" t="s">
        <v>355</v>
      </c>
      <c r="Q28528" s="5" t="s">
        <v>355</v>
      </c>
    </row>
    <row r="28529" ht="16.5" customHeight="1">
      <c r="O28529" s="5" t="s">
        <v>355</v>
      </c>
      <c r="P28529" s="5" t="s">
        <v>355</v>
      </c>
      <c r="Q28529" s="5" t="s">
        <v>355</v>
      </c>
    </row>
    <row r="28530" ht="16.5" customHeight="1">
      <c r="O28530" s="5" t="s">
        <v>355</v>
      </c>
      <c r="P28530" s="5" t="s">
        <v>355</v>
      </c>
      <c r="Q28530" s="5" t="s">
        <v>355</v>
      </c>
    </row>
    <row r="28531" ht="16.5" customHeight="1">
      <c r="O28531" s="5" t="s">
        <v>355</v>
      </c>
      <c r="P28531" s="5" t="s">
        <v>355</v>
      </c>
      <c r="Q28531" s="5" t="s">
        <v>355</v>
      </c>
    </row>
    <row r="28532" ht="16.5" customHeight="1">
      <c r="O28532" s="5" t="s">
        <v>355</v>
      </c>
      <c r="P28532" s="5" t="s">
        <v>355</v>
      </c>
      <c r="Q28532" s="5" t="s">
        <v>355</v>
      </c>
    </row>
    <row r="28533" ht="16.5" customHeight="1">
      <c r="O28533" s="5" t="s">
        <v>355</v>
      </c>
      <c r="P28533" s="5" t="s">
        <v>355</v>
      </c>
      <c r="Q28533" s="5" t="s">
        <v>355</v>
      </c>
    </row>
    <row r="28534" ht="16.5" customHeight="1">
      <c r="O28534" s="5" t="s">
        <v>355</v>
      </c>
      <c r="P28534" s="5" t="s">
        <v>355</v>
      </c>
      <c r="Q28534" s="5" t="s">
        <v>355</v>
      </c>
    </row>
    <row r="28535" ht="16.5" customHeight="1">
      <c r="O28535" s="5" t="s">
        <v>355</v>
      </c>
      <c r="P28535" s="5" t="s">
        <v>355</v>
      </c>
      <c r="Q28535" s="5" t="s">
        <v>355</v>
      </c>
    </row>
    <row r="28536" ht="16.5" customHeight="1">
      <c r="O28536" s="5" t="s">
        <v>355</v>
      </c>
      <c r="P28536" s="5" t="s">
        <v>355</v>
      </c>
      <c r="Q28536" s="5" t="s">
        <v>355</v>
      </c>
    </row>
    <row r="28537" ht="16.5" customHeight="1">
      <c r="O28537" s="5" t="s">
        <v>355</v>
      </c>
      <c r="P28537" s="5" t="s">
        <v>355</v>
      </c>
      <c r="Q28537" s="5" t="s">
        <v>355</v>
      </c>
    </row>
    <row r="28538" ht="16.5" customHeight="1">
      <c r="O28538" s="5" t="s">
        <v>355</v>
      </c>
      <c r="P28538" s="5" t="s">
        <v>355</v>
      </c>
      <c r="Q28538" s="5" t="s">
        <v>355</v>
      </c>
    </row>
    <row r="28539" ht="16.5" customHeight="1">
      <c r="O28539" s="5" t="s">
        <v>355</v>
      </c>
      <c r="P28539" s="5" t="s">
        <v>355</v>
      </c>
      <c r="Q28539" s="5" t="s">
        <v>355</v>
      </c>
    </row>
    <row r="28540" ht="16.5" customHeight="1">
      <c r="O28540" s="5" t="s">
        <v>355</v>
      </c>
      <c r="P28540" s="5" t="s">
        <v>355</v>
      </c>
      <c r="Q28540" s="5" t="s">
        <v>355</v>
      </c>
    </row>
    <row r="28541" ht="16.5" customHeight="1">
      <c r="O28541" s="5" t="s">
        <v>355</v>
      </c>
      <c r="P28541" s="5" t="s">
        <v>355</v>
      </c>
      <c r="Q28541" s="5" t="s">
        <v>355</v>
      </c>
    </row>
    <row r="28542" ht="16.5" customHeight="1">
      <c r="O28542" s="5" t="s">
        <v>355</v>
      </c>
      <c r="P28542" s="5" t="s">
        <v>355</v>
      </c>
      <c r="Q28542" s="5" t="s">
        <v>355</v>
      </c>
    </row>
    <row r="28543" ht="16.5" customHeight="1">
      <c r="O28543" s="5" t="s">
        <v>355</v>
      </c>
      <c r="P28543" s="5" t="s">
        <v>355</v>
      </c>
      <c r="Q28543" s="5" t="s">
        <v>355</v>
      </c>
    </row>
    <row r="28544" ht="16.5" customHeight="1">
      <c r="O28544" s="5" t="s">
        <v>355</v>
      </c>
      <c r="P28544" s="5" t="s">
        <v>355</v>
      </c>
      <c r="Q28544" s="5" t="s">
        <v>355</v>
      </c>
    </row>
    <row r="28545" ht="16.5" customHeight="1">
      <c r="O28545" s="5" t="s">
        <v>355</v>
      </c>
      <c r="P28545" s="5" t="s">
        <v>355</v>
      </c>
      <c r="Q28545" s="5" t="s">
        <v>355</v>
      </c>
    </row>
    <row r="28546" ht="16.5" customHeight="1">
      <c r="O28546" s="5" t="s">
        <v>355</v>
      </c>
      <c r="P28546" s="5" t="s">
        <v>355</v>
      </c>
      <c r="Q28546" s="5" t="s">
        <v>355</v>
      </c>
    </row>
    <row r="28547" ht="16.5" customHeight="1">
      <c r="O28547" s="5" t="s">
        <v>355</v>
      </c>
      <c r="P28547" s="5" t="s">
        <v>355</v>
      </c>
      <c r="Q28547" s="5" t="s">
        <v>355</v>
      </c>
    </row>
    <row r="28548" ht="16.5" customHeight="1">
      <c r="O28548" s="5" t="s">
        <v>355</v>
      </c>
      <c r="P28548" s="5" t="s">
        <v>355</v>
      </c>
      <c r="Q28548" s="5" t="s">
        <v>355</v>
      </c>
    </row>
    <row r="28549" ht="16.5" customHeight="1">
      <c r="O28549" s="5" t="s">
        <v>355</v>
      </c>
      <c r="P28549" s="5" t="s">
        <v>355</v>
      </c>
      <c r="Q28549" s="5" t="s">
        <v>355</v>
      </c>
    </row>
    <row r="28550" ht="16.5" customHeight="1">
      <c r="O28550" s="5" t="s">
        <v>355</v>
      </c>
      <c r="P28550" s="5" t="s">
        <v>355</v>
      </c>
      <c r="Q28550" s="5" t="s">
        <v>355</v>
      </c>
    </row>
    <row r="28551" ht="16.5" customHeight="1">
      <c r="O28551" s="5" t="s">
        <v>355</v>
      </c>
      <c r="P28551" s="5" t="s">
        <v>355</v>
      </c>
      <c r="Q28551" s="5" t="s">
        <v>355</v>
      </c>
    </row>
    <row r="28552" ht="16.5" customHeight="1">
      <c r="O28552" s="5" t="s">
        <v>355</v>
      </c>
      <c r="P28552" s="5" t="s">
        <v>355</v>
      </c>
      <c r="Q28552" s="5" t="s">
        <v>355</v>
      </c>
    </row>
    <row r="28553" ht="16.5" customHeight="1">
      <c r="O28553" s="5" t="s">
        <v>355</v>
      </c>
      <c r="P28553" s="5" t="s">
        <v>355</v>
      </c>
      <c r="Q28553" s="5" t="s">
        <v>355</v>
      </c>
    </row>
    <row r="28554" ht="16.5" customHeight="1">
      <c r="O28554" s="5" t="s">
        <v>355</v>
      </c>
      <c r="P28554" s="5" t="s">
        <v>355</v>
      </c>
      <c r="Q28554" s="5" t="s">
        <v>355</v>
      </c>
    </row>
    <row r="28555" ht="16.5" customHeight="1">
      <c r="O28555" s="5" t="s">
        <v>355</v>
      </c>
      <c r="P28555" s="5" t="s">
        <v>355</v>
      </c>
      <c r="Q28555" s="5" t="s">
        <v>355</v>
      </c>
    </row>
    <row r="28556" ht="16.5" customHeight="1">
      <c r="O28556" s="5" t="s">
        <v>355</v>
      </c>
      <c r="P28556" s="5" t="s">
        <v>355</v>
      </c>
      <c r="Q28556" s="5" t="s">
        <v>355</v>
      </c>
    </row>
    <row r="28557" ht="16.5" customHeight="1">
      <c r="O28557" s="5" t="s">
        <v>355</v>
      </c>
      <c r="P28557" s="5" t="s">
        <v>355</v>
      </c>
      <c r="Q28557" s="5" t="s">
        <v>355</v>
      </c>
    </row>
    <row r="28558" ht="16.5" customHeight="1">
      <c r="O28558" s="5" t="s">
        <v>355</v>
      </c>
      <c r="P28558" s="5" t="s">
        <v>355</v>
      </c>
      <c r="Q28558" s="5" t="s">
        <v>355</v>
      </c>
    </row>
    <row r="28559" ht="16.5" customHeight="1">
      <c r="O28559" s="5" t="s">
        <v>355</v>
      </c>
      <c r="P28559" s="5" t="s">
        <v>355</v>
      </c>
      <c r="Q28559" s="5" t="s">
        <v>355</v>
      </c>
    </row>
    <row r="28560" ht="16.5" customHeight="1">
      <c r="O28560" s="5" t="s">
        <v>355</v>
      </c>
      <c r="P28560" s="5" t="s">
        <v>355</v>
      </c>
      <c r="Q28560" s="5" t="s">
        <v>355</v>
      </c>
    </row>
    <row r="28561" ht="16.5" customHeight="1">
      <c r="O28561" s="5" t="s">
        <v>355</v>
      </c>
      <c r="P28561" s="5" t="s">
        <v>355</v>
      </c>
      <c r="Q28561" s="5" t="s">
        <v>355</v>
      </c>
    </row>
    <row r="28562" ht="16.5" customHeight="1">
      <c r="O28562" s="5" t="s">
        <v>355</v>
      </c>
      <c r="P28562" s="5" t="s">
        <v>355</v>
      </c>
      <c r="Q28562" s="5" t="s">
        <v>355</v>
      </c>
    </row>
    <row r="28563" ht="16.5" customHeight="1">
      <c r="O28563" s="5" t="s">
        <v>355</v>
      </c>
      <c r="P28563" s="5" t="s">
        <v>355</v>
      </c>
      <c r="Q28563" s="5" t="s">
        <v>355</v>
      </c>
    </row>
    <row r="28564" ht="16.5" customHeight="1">
      <c r="O28564" s="5" t="s">
        <v>355</v>
      </c>
      <c r="P28564" s="5" t="s">
        <v>355</v>
      </c>
      <c r="Q28564" s="5" t="s">
        <v>355</v>
      </c>
    </row>
    <row r="28565" ht="16.5" customHeight="1">
      <c r="O28565" s="5" t="s">
        <v>355</v>
      </c>
      <c r="P28565" s="5" t="s">
        <v>355</v>
      </c>
      <c r="Q28565" s="5" t="s">
        <v>355</v>
      </c>
    </row>
    <row r="28566" ht="16.5" customHeight="1">
      <c r="O28566" s="5" t="s">
        <v>355</v>
      </c>
      <c r="P28566" s="5" t="s">
        <v>355</v>
      </c>
      <c r="Q28566" s="5" t="s">
        <v>355</v>
      </c>
    </row>
    <row r="28567" ht="16.5" customHeight="1">
      <c r="O28567" s="5" t="s">
        <v>355</v>
      </c>
      <c r="P28567" s="5" t="s">
        <v>355</v>
      </c>
      <c r="Q28567" s="5" t="s">
        <v>355</v>
      </c>
    </row>
    <row r="28568" ht="16.5" customHeight="1">
      <c r="O28568" s="5" t="s">
        <v>355</v>
      </c>
      <c r="P28568" s="5" t="s">
        <v>355</v>
      </c>
      <c r="Q28568" s="5" t="s">
        <v>355</v>
      </c>
    </row>
    <row r="28569" ht="16.5" customHeight="1">
      <c r="O28569" s="5" t="s">
        <v>355</v>
      </c>
      <c r="P28569" s="5" t="s">
        <v>355</v>
      </c>
      <c r="Q28569" s="5" t="s">
        <v>355</v>
      </c>
    </row>
    <row r="28570" ht="16.5" customHeight="1">
      <c r="O28570" s="5" t="s">
        <v>355</v>
      </c>
      <c r="P28570" s="5" t="s">
        <v>355</v>
      </c>
      <c r="Q28570" s="5" t="s">
        <v>355</v>
      </c>
    </row>
    <row r="28571" ht="16.5" customHeight="1">
      <c r="O28571" s="5" t="s">
        <v>355</v>
      </c>
      <c r="P28571" s="5" t="s">
        <v>355</v>
      </c>
      <c r="Q28571" s="5" t="s">
        <v>355</v>
      </c>
    </row>
    <row r="28572" ht="16.5" customHeight="1">
      <c r="O28572" s="5" t="s">
        <v>355</v>
      </c>
      <c r="P28572" s="5" t="s">
        <v>355</v>
      </c>
      <c r="Q28572" s="5" t="s">
        <v>355</v>
      </c>
    </row>
    <row r="28573" ht="16.5" customHeight="1">
      <c r="O28573" s="5" t="s">
        <v>355</v>
      </c>
      <c r="P28573" s="5" t="s">
        <v>355</v>
      </c>
      <c r="Q28573" s="5" t="s">
        <v>355</v>
      </c>
    </row>
    <row r="28574" ht="16.5" customHeight="1">
      <c r="O28574" s="5" t="s">
        <v>355</v>
      </c>
      <c r="P28574" s="5" t="s">
        <v>355</v>
      </c>
      <c r="Q28574" s="5" t="s">
        <v>355</v>
      </c>
    </row>
    <row r="28575" ht="16.5" customHeight="1">
      <c r="O28575" s="5" t="s">
        <v>355</v>
      </c>
      <c r="P28575" s="5" t="s">
        <v>355</v>
      </c>
      <c r="Q28575" s="5" t="s">
        <v>355</v>
      </c>
    </row>
    <row r="28576" ht="16.5" customHeight="1">
      <c r="O28576" s="5" t="s">
        <v>355</v>
      </c>
      <c r="P28576" s="5" t="s">
        <v>355</v>
      </c>
      <c r="Q28576" s="5" t="s">
        <v>355</v>
      </c>
    </row>
    <row r="28577" ht="16.5" customHeight="1">
      <c r="O28577" s="5" t="s">
        <v>355</v>
      </c>
      <c r="P28577" s="5" t="s">
        <v>355</v>
      </c>
      <c r="Q28577" s="5" t="s">
        <v>355</v>
      </c>
    </row>
    <row r="28578" ht="16.5" customHeight="1">
      <c r="O28578" s="5" t="s">
        <v>355</v>
      </c>
      <c r="P28578" s="5" t="s">
        <v>355</v>
      </c>
      <c r="Q28578" s="5" t="s">
        <v>355</v>
      </c>
    </row>
    <row r="28579" ht="16.5" customHeight="1">
      <c r="O28579" s="5" t="s">
        <v>355</v>
      </c>
      <c r="P28579" s="5" t="s">
        <v>355</v>
      </c>
      <c r="Q28579" s="5" t="s">
        <v>355</v>
      </c>
    </row>
    <row r="28580" ht="16.5" customHeight="1">
      <c r="O28580" s="5" t="s">
        <v>355</v>
      </c>
      <c r="P28580" s="5" t="s">
        <v>355</v>
      </c>
      <c r="Q28580" s="5" t="s">
        <v>355</v>
      </c>
    </row>
    <row r="28581" ht="16.5" customHeight="1">
      <c r="O28581" s="5" t="s">
        <v>355</v>
      </c>
      <c r="P28581" s="5" t="s">
        <v>355</v>
      </c>
      <c r="Q28581" s="5" t="s">
        <v>355</v>
      </c>
    </row>
    <row r="28582" ht="16.5" customHeight="1">
      <c r="O28582" s="5" t="s">
        <v>355</v>
      </c>
      <c r="P28582" s="5" t="s">
        <v>355</v>
      </c>
      <c r="Q28582" s="5" t="s">
        <v>355</v>
      </c>
    </row>
    <row r="28583" ht="16.5" customHeight="1">
      <c r="O28583" s="5" t="s">
        <v>355</v>
      </c>
      <c r="P28583" s="5" t="s">
        <v>355</v>
      </c>
      <c r="Q28583" s="5" t="s">
        <v>355</v>
      </c>
    </row>
    <row r="28584" ht="16.5" customHeight="1">
      <c r="O28584" s="5" t="s">
        <v>355</v>
      </c>
      <c r="P28584" s="5" t="s">
        <v>355</v>
      </c>
      <c r="Q28584" s="5" t="s">
        <v>355</v>
      </c>
    </row>
    <row r="28585" ht="16.5" customHeight="1">
      <c r="O28585" s="5" t="s">
        <v>355</v>
      </c>
      <c r="P28585" s="5" t="s">
        <v>355</v>
      </c>
      <c r="Q28585" s="5" t="s">
        <v>355</v>
      </c>
    </row>
    <row r="28586" ht="16.5" customHeight="1">
      <c r="O28586" s="5" t="s">
        <v>355</v>
      </c>
      <c r="P28586" s="5" t="s">
        <v>355</v>
      </c>
      <c r="Q28586" s="5" t="s">
        <v>355</v>
      </c>
    </row>
    <row r="28587" ht="16.5" customHeight="1">
      <c r="O28587" s="5" t="s">
        <v>355</v>
      </c>
      <c r="P28587" s="5" t="s">
        <v>355</v>
      </c>
      <c r="Q28587" s="5" t="s">
        <v>355</v>
      </c>
    </row>
    <row r="28588" ht="16.5" customHeight="1">
      <c r="O28588" s="5" t="s">
        <v>355</v>
      </c>
      <c r="P28588" s="5" t="s">
        <v>355</v>
      </c>
      <c r="Q28588" s="5" t="s">
        <v>355</v>
      </c>
    </row>
    <row r="28589" ht="16.5" customHeight="1">
      <c r="O28589" s="5" t="s">
        <v>355</v>
      </c>
      <c r="P28589" s="5" t="s">
        <v>355</v>
      </c>
      <c r="Q28589" s="5" t="s">
        <v>355</v>
      </c>
    </row>
    <row r="28590" ht="16.5" customHeight="1">
      <c r="O28590" s="5" t="s">
        <v>355</v>
      </c>
      <c r="P28590" s="5" t="s">
        <v>355</v>
      </c>
      <c r="Q28590" s="5" t="s">
        <v>355</v>
      </c>
    </row>
    <row r="28591" ht="16.5" customHeight="1">
      <c r="O28591" s="5" t="s">
        <v>355</v>
      </c>
      <c r="P28591" s="5" t="s">
        <v>355</v>
      </c>
      <c r="Q28591" s="5" t="s">
        <v>355</v>
      </c>
    </row>
    <row r="28592" ht="16.5" customHeight="1">
      <c r="O28592" s="5" t="s">
        <v>355</v>
      </c>
      <c r="P28592" s="5" t="s">
        <v>355</v>
      </c>
      <c r="Q28592" s="5" t="s">
        <v>355</v>
      </c>
    </row>
    <row r="28593" ht="16.5" customHeight="1">
      <c r="O28593" s="5" t="s">
        <v>355</v>
      </c>
      <c r="P28593" s="5" t="s">
        <v>355</v>
      </c>
      <c r="Q28593" s="5" t="s">
        <v>355</v>
      </c>
    </row>
    <row r="28594" ht="16.5" customHeight="1">
      <c r="O28594" s="5" t="s">
        <v>355</v>
      </c>
      <c r="P28594" s="5" t="s">
        <v>355</v>
      </c>
      <c r="Q28594" s="5" t="s">
        <v>355</v>
      </c>
    </row>
    <row r="28595" ht="16.5" customHeight="1">
      <c r="O28595" s="5" t="s">
        <v>355</v>
      </c>
      <c r="P28595" s="5" t="s">
        <v>355</v>
      </c>
      <c r="Q28595" s="5" t="s">
        <v>355</v>
      </c>
    </row>
    <row r="28596" ht="16.5" customHeight="1">
      <c r="O28596" s="5" t="s">
        <v>355</v>
      </c>
      <c r="P28596" s="5" t="s">
        <v>355</v>
      </c>
      <c r="Q28596" s="5" t="s">
        <v>355</v>
      </c>
    </row>
    <row r="28597" ht="16.5" customHeight="1">
      <c r="O28597" s="5" t="s">
        <v>355</v>
      </c>
      <c r="P28597" s="5" t="s">
        <v>355</v>
      </c>
      <c r="Q28597" s="5" t="s">
        <v>355</v>
      </c>
    </row>
    <row r="28598" ht="16.5" customHeight="1">
      <c r="O28598" s="5" t="s">
        <v>355</v>
      </c>
      <c r="P28598" s="5" t="s">
        <v>355</v>
      </c>
      <c r="Q28598" s="5" t="s">
        <v>355</v>
      </c>
    </row>
    <row r="28599" ht="16.5" customHeight="1">
      <c r="O28599" s="5" t="s">
        <v>355</v>
      </c>
      <c r="P28599" s="5" t="s">
        <v>355</v>
      </c>
      <c r="Q28599" s="5" t="s">
        <v>355</v>
      </c>
    </row>
    <row r="28600" ht="16.5" customHeight="1">
      <c r="O28600" s="5" t="s">
        <v>355</v>
      </c>
      <c r="P28600" s="5" t="s">
        <v>355</v>
      </c>
      <c r="Q28600" s="5" t="s">
        <v>355</v>
      </c>
    </row>
    <row r="28601" ht="16.5" customHeight="1">
      <c r="O28601" s="5" t="s">
        <v>355</v>
      </c>
      <c r="P28601" s="5" t="s">
        <v>355</v>
      </c>
      <c r="Q28601" s="5" t="s">
        <v>355</v>
      </c>
    </row>
    <row r="28602" ht="16.5" customHeight="1">
      <c r="O28602" s="5" t="s">
        <v>355</v>
      </c>
      <c r="P28602" s="5" t="s">
        <v>355</v>
      </c>
      <c r="Q28602" s="5" t="s">
        <v>355</v>
      </c>
    </row>
    <row r="28603" ht="16.5" customHeight="1">
      <c r="O28603" s="5" t="s">
        <v>355</v>
      </c>
      <c r="P28603" s="5" t="s">
        <v>355</v>
      </c>
      <c r="Q28603" s="5" t="s">
        <v>355</v>
      </c>
    </row>
    <row r="28604" ht="16.5" customHeight="1">
      <c r="O28604" s="5" t="s">
        <v>355</v>
      </c>
      <c r="P28604" s="5" t="s">
        <v>355</v>
      </c>
      <c r="Q28604" s="5" t="s">
        <v>355</v>
      </c>
    </row>
    <row r="28605" ht="16.5" customHeight="1">
      <c r="O28605" s="5" t="s">
        <v>355</v>
      </c>
      <c r="P28605" s="5" t="s">
        <v>355</v>
      </c>
      <c r="Q28605" s="5" t="s">
        <v>355</v>
      </c>
    </row>
    <row r="28606" ht="16.5" customHeight="1">
      <c r="O28606" s="5" t="s">
        <v>355</v>
      </c>
      <c r="P28606" s="5" t="s">
        <v>355</v>
      </c>
      <c r="Q28606" s="5" t="s">
        <v>355</v>
      </c>
    </row>
    <row r="28607" ht="16.5" customHeight="1">
      <c r="O28607" s="5" t="s">
        <v>355</v>
      </c>
      <c r="P28607" s="5" t="s">
        <v>355</v>
      </c>
      <c r="Q28607" s="5" t="s">
        <v>355</v>
      </c>
    </row>
    <row r="28608" ht="16.5" customHeight="1">
      <c r="O28608" s="5" t="s">
        <v>355</v>
      </c>
      <c r="P28608" s="5" t="s">
        <v>355</v>
      </c>
      <c r="Q28608" s="5" t="s">
        <v>355</v>
      </c>
    </row>
    <row r="28609" ht="16.5" customHeight="1">
      <c r="O28609" s="5" t="s">
        <v>355</v>
      </c>
      <c r="P28609" s="5" t="s">
        <v>355</v>
      </c>
      <c r="Q28609" s="5" t="s">
        <v>355</v>
      </c>
    </row>
    <row r="28610" ht="16.5" customHeight="1">
      <c r="O28610" s="5" t="s">
        <v>355</v>
      </c>
      <c r="P28610" s="5" t="s">
        <v>355</v>
      </c>
      <c r="Q28610" s="5" t="s">
        <v>355</v>
      </c>
    </row>
    <row r="28611" ht="16.5" customHeight="1">
      <c r="O28611" s="5" t="s">
        <v>355</v>
      </c>
      <c r="P28611" s="5" t="s">
        <v>355</v>
      </c>
      <c r="Q28611" s="5" t="s">
        <v>355</v>
      </c>
    </row>
    <row r="28612" ht="16.5" customHeight="1">
      <c r="O28612" s="5" t="s">
        <v>355</v>
      </c>
      <c r="P28612" s="5" t="s">
        <v>355</v>
      </c>
      <c r="Q28612" s="5" t="s">
        <v>355</v>
      </c>
    </row>
    <row r="28613" ht="16.5" customHeight="1">
      <c r="O28613" s="5" t="s">
        <v>355</v>
      </c>
      <c r="P28613" s="5" t="s">
        <v>355</v>
      </c>
      <c r="Q28613" s="5" t="s">
        <v>355</v>
      </c>
    </row>
    <row r="28614" ht="16.5" customHeight="1">
      <c r="O28614" s="5" t="s">
        <v>355</v>
      </c>
      <c r="P28614" s="5" t="s">
        <v>355</v>
      </c>
      <c r="Q28614" s="5" t="s">
        <v>355</v>
      </c>
    </row>
    <row r="28615" ht="16.5" customHeight="1">
      <c r="O28615" s="5" t="s">
        <v>355</v>
      </c>
      <c r="P28615" s="5" t="s">
        <v>355</v>
      </c>
      <c r="Q28615" s="5" t="s">
        <v>355</v>
      </c>
    </row>
    <row r="28616" ht="16.5" customHeight="1">
      <c r="O28616" s="5" t="s">
        <v>355</v>
      </c>
      <c r="P28616" s="5" t="s">
        <v>355</v>
      </c>
      <c r="Q28616" s="5" t="s">
        <v>355</v>
      </c>
    </row>
    <row r="28617" ht="16.5" customHeight="1">
      <c r="O28617" s="5" t="s">
        <v>355</v>
      </c>
      <c r="P28617" s="5" t="s">
        <v>355</v>
      </c>
      <c r="Q28617" s="5" t="s">
        <v>355</v>
      </c>
    </row>
    <row r="28618" ht="16.5" customHeight="1">
      <c r="O28618" s="5" t="s">
        <v>355</v>
      </c>
      <c r="P28618" s="5" t="s">
        <v>355</v>
      </c>
      <c r="Q28618" s="5" t="s">
        <v>355</v>
      </c>
    </row>
    <row r="28619" ht="16.5" customHeight="1">
      <c r="O28619" s="5" t="s">
        <v>355</v>
      </c>
      <c r="P28619" s="5" t="s">
        <v>355</v>
      </c>
      <c r="Q28619" s="5" t="s">
        <v>355</v>
      </c>
    </row>
    <row r="28620" ht="16.5" customHeight="1">
      <c r="O28620" s="5" t="s">
        <v>355</v>
      </c>
      <c r="P28620" s="5" t="s">
        <v>355</v>
      </c>
      <c r="Q28620" s="5" t="s">
        <v>355</v>
      </c>
    </row>
    <row r="28621" ht="16.5" customHeight="1">
      <c r="O28621" s="5" t="s">
        <v>355</v>
      </c>
      <c r="P28621" s="5" t="s">
        <v>355</v>
      </c>
      <c r="Q28621" s="5" t="s">
        <v>355</v>
      </c>
    </row>
    <row r="28622" ht="16.5" customHeight="1">
      <c r="O28622" s="5" t="s">
        <v>355</v>
      </c>
      <c r="P28622" s="5" t="s">
        <v>355</v>
      </c>
      <c r="Q28622" s="5" t="s">
        <v>355</v>
      </c>
    </row>
    <row r="28623" ht="16.5" customHeight="1">
      <c r="O28623" s="5" t="s">
        <v>355</v>
      </c>
      <c r="P28623" s="5" t="s">
        <v>355</v>
      </c>
      <c r="Q28623" s="5" t="s">
        <v>355</v>
      </c>
    </row>
    <row r="28624" ht="16.5" customHeight="1">
      <c r="O28624" s="5" t="s">
        <v>355</v>
      </c>
      <c r="P28624" s="5" t="s">
        <v>355</v>
      </c>
      <c r="Q28624" s="5" t="s">
        <v>355</v>
      </c>
    </row>
    <row r="28625" ht="16.5" customHeight="1">
      <c r="O28625" s="5" t="s">
        <v>355</v>
      </c>
      <c r="P28625" s="5" t="s">
        <v>355</v>
      </c>
      <c r="Q28625" s="5" t="s">
        <v>355</v>
      </c>
    </row>
    <row r="28626" ht="16.5" customHeight="1">
      <c r="O28626" s="5" t="s">
        <v>355</v>
      </c>
      <c r="P28626" s="5" t="s">
        <v>355</v>
      </c>
      <c r="Q28626" s="5" t="s">
        <v>355</v>
      </c>
    </row>
    <row r="28627" ht="16.5" customHeight="1">
      <c r="O28627" s="5" t="s">
        <v>355</v>
      </c>
      <c r="P28627" s="5" t="s">
        <v>355</v>
      </c>
      <c r="Q28627" s="5" t="s">
        <v>355</v>
      </c>
    </row>
    <row r="28628" ht="16.5" customHeight="1">
      <c r="O28628" s="5" t="s">
        <v>355</v>
      </c>
      <c r="P28628" s="5" t="s">
        <v>355</v>
      </c>
      <c r="Q28628" s="5" t="s">
        <v>355</v>
      </c>
    </row>
    <row r="28629" ht="16.5" customHeight="1">
      <c r="O28629" s="5" t="s">
        <v>355</v>
      </c>
      <c r="P28629" s="5" t="s">
        <v>355</v>
      </c>
      <c r="Q28629" s="5" t="s">
        <v>355</v>
      </c>
    </row>
    <row r="28630" ht="16.5" customHeight="1">
      <c r="O28630" s="5" t="s">
        <v>355</v>
      </c>
      <c r="P28630" s="5" t="s">
        <v>355</v>
      </c>
      <c r="Q28630" s="5" t="s">
        <v>355</v>
      </c>
    </row>
    <row r="28631" ht="16.5" customHeight="1">
      <c r="O28631" s="5" t="s">
        <v>355</v>
      </c>
      <c r="P28631" s="5" t="s">
        <v>355</v>
      </c>
      <c r="Q28631" s="5" t="s">
        <v>355</v>
      </c>
    </row>
    <row r="28632" ht="16.5" customHeight="1">
      <c r="O28632" s="5" t="s">
        <v>355</v>
      </c>
      <c r="P28632" s="5" t="s">
        <v>355</v>
      </c>
      <c r="Q28632" s="5" t="s">
        <v>355</v>
      </c>
    </row>
    <row r="28633" ht="16.5" customHeight="1">
      <c r="O28633" s="5" t="s">
        <v>355</v>
      </c>
      <c r="P28633" s="5" t="s">
        <v>355</v>
      </c>
      <c r="Q28633" s="5" t="s">
        <v>355</v>
      </c>
    </row>
    <row r="28634" ht="16.5" customHeight="1">
      <c r="O28634" s="5" t="s">
        <v>355</v>
      </c>
      <c r="P28634" s="5" t="s">
        <v>355</v>
      </c>
      <c r="Q28634" s="5" t="s">
        <v>355</v>
      </c>
    </row>
    <row r="28635" ht="16.5" customHeight="1">
      <c r="O28635" s="5" t="s">
        <v>355</v>
      </c>
      <c r="P28635" s="5" t="s">
        <v>355</v>
      </c>
      <c r="Q28635" s="5" t="s">
        <v>355</v>
      </c>
    </row>
    <row r="28636" ht="16.5" customHeight="1">
      <c r="O28636" s="5" t="s">
        <v>355</v>
      </c>
      <c r="P28636" s="5" t="s">
        <v>355</v>
      </c>
      <c r="Q28636" s="5" t="s">
        <v>355</v>
      </c>
    </row>
    <row r="28637" ht="16.5" customHeight="1">
      <c r="O28637" s="5" t="s">
        <v>355</v>
      </c>
      <c r="P28637" s="5" t="s">
        <v>355</v>
      </c>
      <c r="Q28637" s="5" t="s">
        <v>355</v>
      </c>
    </row>
    <row r="28638" ht="16.5" customHeight="1">
      <c r="O28638" s="5" t="s">
        <v>355</v>
      </c>
      <c r="P28638" s="5" t="s">
        <v>355</v>
      </c>
      <c r="Q28638" s="5" t="s">
        <v>355</v>
      </c>
    </row>
    <row r="28639" ht="16.5" customHeight="1">
      <c r="O28639" s="5" t="s">
        <v>355</v>
      </c>
      <c r="P28639" s="5" t="s">
        <v>355</v>
      </c>
      <c r="Q28639" s="5" t="s">
        <v>355</v>
      </c>
    </row>
    <row r="28640" ht="16.5" customHeight="1">
      <c r="O28640" s="5" t="s">
        <v>355</v>
      </c>
      <c r="P28640" s="5" t="s">
        <v>355</v>
      </c>
      <c r="Q28640" s="5" t="s">
        <v>355</v>
      </c>
    </row>
    <row r="28641" ht="16.5" customHeight="1">
      <c r="O28641" s="5" t="s">
        <v>355</v>
      </c>
      <c r="P28641" s="5" t="s">
        <v>355</v>
      </c>
      <c r="Q28641" s="5" t="s">
        <v>355</v>
      </c>
    </row>
    <row r="28642" ht="16.5" customHeight="1">
      <c r="O28642" s="5" t="s">
        <v>355</v>
      </c>
      <c r="P28642" s="5" t="s">
        <v>355</v>
      </c>
      <c r="Q28642" s="5" t="s">
        <v>355</v>
      </c>
    </row>
    <row r="28643" ht="16.5" customHeight="1">
      <c r="O28643" s="5" t="s">
        <v>355</v>
      </c>
      <c r="P28643" s="5" t="s">
        <v>355</v>
      </c>
      <c r="Q28643" s="5" t="s">
        <v>355</v>
      </c>
    </row>
    <row r="28644" ht="16.5" customHeight="1">
      <c r="O28644" s="5" t="s">
        <v>355</v>
      </c>
      <c r="P28644" s="5" t="s">
        <v>355</v>
      </c>
      <c r="Q28644" s="5" t="s">
        <v>355</v>
      </c>
    </row>
    <row r="28645" ht="16.5" customHeight="1">
      <c r="O28645" s="5" t="s">
        <v>355</v>
      </c>
      <c r="P28645" s="5" t="s">
        <v>355</v>
      </c>
      <c r="Q28645" s="5" t="s">
        <v>355</v>
      </c>
    </row>
    <row r="28646" ht="16.5" customHeight="1">
      <c r="O28646" s="5" t="s">
        <v>355</v>
      </c>
      <c r="P28646" s="5" t="s">
        <v>355</v>
      </c>
      <c r="Q28646" s="5" t="s">
        <v>355</v>
      </c>
    </row>
    <row r="28647" ht="16.5" customHeight="1">
      <c r="O28647" s="5" t="s">
        <v>355</v>
      </c>
      <c r="P28647" s="5" t="s">
        <v>355</v>
      </c>
      <c r="Q28647" s="5" t="s">
        <v>355</v>
      </c>
    </row>
    <row r="28648" ht="16.5" customHeight="1">
      <c r="O28648" s="5" t="s">
        <v>355</v>
      </c>
      <c r="P28648" s="5" t="s">
        <v>355</v>
      </c>
      <c r="Q28648" s="5" t="s">
        <v>355</v>
      </c>
    </row>
    <row r="28649" ht="16.5" customHeight="1">
      <c r="O28649" s="5" t="s">
        <v>355</v>
      </c>
      <c r="P28649" s="5" t="s">
        <v>355</v>
      </c>
      <c r="Q28649" s="5" t="s">
        <v>355</v>
      </c>
    </row>
    <row r="28650" ht="16.5" customHeight="1">
      <c r="O28650" s="5" t="s">
        <v>355</v>
      </c>
      <c r="P28650" s="5" t="s">
        <v>355</v>
      </c>
      <c r="Q28650" s="5" t="s">
        <v>355</v>
      </c>
    </row>
    <row r="28651" ht="16.5" customHeight="1">
      <c r="O28651" s="5" t="s">
        <v>355</v>
      </c>
      <c r="P28651" s="5" t="s">
        <v>355</v>
      </c>
      <c r="Q28651" s="5" t="s">
        <v>355</v>
      </c>
    </row>
    <row r="28652" ht="16.5" customHeight="1">
      <c r="O28652" s="5" t="s">
        <v>355</v>
      </c>
      <c r="P28652" s="5" t="s">
        <v>355</v>
      </c>
      <c r="Q28652" s="5" t="s">
        <v>355</v>
      </c>
    </row>
    <row r="28653" ht="16.5" customHeight="1">
      <c r="O28653" s="5" t="s">
        <v>355</v>
      </c>
      <c r="P28653" s="5" t="s">
        <v>355</v>
      </c>
      <c r="Q28653" s="5" t="s">
        <v>355</v>
      </c>
    </row>
    <row r="28654" ht="16.5" customHeight="1">
      <c r="O28654" s="5" t="s">
        <v>355</v>
      </c>
      <c r="P28654" s="5" t="s">
        <v>355</v>
      </c>
      <c r="Q28654" s="5" t="s">
        <v>355</v>
      </c>
    </row>
    <row r="28655" ht="16.5" customHeight="1">
      <c r="O28655" s="5" t="s">
        <v>355</v>
      </c>
      <c r="P28655" s="5" t="s">
        <v>355</v>
      </c>
      <c r="Q28655" s="5" t="s">
        <v>355</v>
      </c>
    </row>
    <row r="28656" ht="16.5" customHeight="1">
      <c r="O28656" s="5" t="s">
        <v>355</v>
      </c>
      <c r="P28656" s="5" t="s">
        <v>355</v>
      </c>
      <c r="Q28656" s="5" t="s">
        <v>355</v>
      </c>
    </row>
    <row r="28657" ht="16.5" customHeight="1">
      <c r="O28657" s="5" t="s">
        <v>355</v>
      </c>
      <c r="P28657" s="5" t="s">
        <v>355</v>
      </c>
      <c r="Q28657" s="5" t="s">
        <v>355</v>
      </c>
    </row>
    <row r="28658" ht="16.5" customHeight="1">
      <c r="O28658" s="5" t="s">
        <v>355</v>
      </c>
      <c r="P28658" s="5" t="s">
        <v>355</v>
      </c>
      <c r="Q28658" s="5" t="s">
        <v>355</v>
      </c>
    </row>
    <row r="28659" ht="16.5" customHeight="1">
      <c r="O28659" s="5" t="s">
        <v>355</v>
      </c>
      <c r="P28659" s="5" t="s">
        <v>355</v>
      </c>
      <c r="Q28659" s="5" t="s">
        <v>355</v>
      </c>
    </row>
    <row r="28660" ht="16.5" customHeight="1">
      <c r="O28660" s="5" t="s">
        <v>355</v>
      </c>
      <c r="P28660" s="5" t="s">
        <v>355</v>
      </c>
      <c r="Q28660" s="5" t="s">
        <v>355</v>
      </c>
    </row>
    <row r="28661" ht="16.5" customHeight="1">
      <c r="O28661" s="5" t="s">
        <v>355</v>
      </c>
      <c r="P28661" s="5" t="s">
        <v>355</v>
      </c>
      <c r="Q28661" s="5" t="s">
        <v>355</v>
      </c>
    </row>
    <row r="28662" ht="16.5" customHeight="1">
      <c r="O28662" s="5" t="s">
        <v>355</v>
      </c>
      <c r="P28662" s="5" t="s">
        <v>355</v>
      </c>
      <c r="Q28662" s="5" t="s">
        <v>355</v>
      </c>
    </row>
    <row r="28663" ht="16.5" customHeight="1">
      <c r="O28663" s="5" t="s">
        <v>355</v>
      </c>
      <c r="P28663" s="5" t="s">
        <v>355</v>
      </c>
      <c r="Q28663" s="5" t="s">
        <v>355</v>
      </c>
    </row>
    <row r="28664" ht="16.5" customHeight="1">
      <c r="O28664" s="5" t="s">
        <v>355</v>
      </c>
      <c r="P28664" s="5" t="s">
        <v>355</v>
      </c>
      <c r="Q28664" s="5" t="s">
        <v>355</v>
      </c>
    </row>
    <row r="28665" ht="16.5" customHeight="1">
      <c r="O28665" s="5" t="s">
        <v>355</v>
      </c>
      <c r="P28665" s="5" t="s">
        <v>355</v>
      </c>
      <c r="Q28665" s="5" t="s">
        <v>355</v>
      </c>
    </row>
    <row r="28666" ht="16.5" customHeight="1">
      <c r="O28666" s="5" t="s">
        <v>355</v>
      </c>
      <c r="P28666" s="5" t="s">
        <v>355</v>
      </c>
      <c r="Q28666" s="5" t="s">
        <v>355</v>
      </c>
    </row>
    <row r="28667" ht="16.5" customHeight="1">
      <c r="O28667" s="5" t="s">
        <v>355</v>
      </c>
      <c r="P28667" s="5" t="s">
        <v>355</v>
      </c>
      <c r="Q28667" s="5" t="s">
        <v>355</v>
      </c>
    </row>
    <row r="28668" ht="16.5" customHeight="1">
      <c r="O28668" s="5" t="s">
        <v>355</v>
      </c>
      <c r="P28668" s="5" t="s">
        <v>355</v>
      </c>
      <c r="Q28668" s="5" t="s">
        <v>355</v>
      </c>
    </row>
    <row r="28669" ht="16.5" customHeight="1">
      <c r="O28669" s="5" t="s">
        <v>355</v>
      </c>
      <c r="P28669" s="5" t="s">
        <v>355</v>
      </c>
      <c r="Q28669" s="5" t="s">
        <v>355</v>
      </c>
    </row>
    <row r="28670" ht="16.5" customHeight="1">
      <c r="O28670" s="5" t="s">
        <v>355</v>
      </c>
      <c r="P28670" s="5" t="s">
        <v>355</v>
      </c>
      <c r="Q28670" s="5" t="s">
        <v>355</v>
      </c>
    </row>
    <row r="28671" ht="16.5" customHeight="1">
      <c r="O28671" s="5" t="s">
        <v>355</v>
      </c>
      <c r="P28671" s="5" t="s">
        <v>355</v>
      </c>
      <c r="Q28671" s="5" t="s">
        <v>355</v>
      </c>
    </row>
    <row r="28672" ht="16.5" customHeight="1">
      <c r="O28672" s="5" t="s">
        <v>355</v>
      </c>
      <c r="P28672" s="5" t="s">
        <v>355</v>
      </c>
      <c r="Q28672" s="5" t="s">
        <v>355</v>
      </c>
    </row>
    <row r="28673" ht="16.5" customHeight="1">
      <c r="O28673" s="5" t="s">
        <v>355</v>
      </c>
      <c r="P28673" s="5" t="s">
        <v>355</v>
      </c>
      <c r="Q28673" s="5" t="s">
        <v>355</v>
      </c>
    </row>
    <row r="28674" ht="16.5" customHeight="1">
      <c r="O28674" s="5" t="s">
        <v>355</v>
      </c>
      <c r="P28674" s="5" t="s">
        <v>355</v>
      </c>
      <c r="Q28674" s="5" t="s">
        <v>355</v>
      </c>
    </row>
    <row r="28675" ht="16.5" customHeight="1">
      <c r="O28675" s="5" t="s">
        <v>355</v>
      </c>
      <c r="P28675" s="5" t="s">
        <v>355</v>
      </c>
      <c r="Q28675" s="5" t="s">
        <v>355</v>
      </c>
    </row>
    <row r="28676" ht="16.5" customHeight="1">
      <c r="O28676" s="5" t="s">
        <v>355</v>
      </c>
      <c r="P28676" s="5" t="s">
        <v>355</v>
      </c>
      <c r="Q28676" s="5" t="s">
        <v>355</v>
      </c>
    </row>
    <row r="28677" ht="16.5" customHeight="1">
      <c r="O28677" s="5" t="s">
        <v>355</v>
      </c>
      <c r="P28677" s="5" t="s">
        <v>355</v>
      </c>
      <c r="Q28677" s="5" t="s">
        <v>355</v>
      </c>
    </row>
    <row r="28678" ht="16.5" customHeight="1">
      <c r="O28678" s="5" t="s">
        <v>355</v>
      </c>
      <c r="P28678" s="5" t="s">
        <v>355</v>
      </c>
      <c r="Q28678" s="5" t="s">
        <v>355</v>
      </c>
    </row>
    <row r="28679" ht="16.5" customHeight="1">
      <c r="O28679" s="5" t="s">
        <v>355</v>
      </c>
      <c r="P28679" s="5" t="s">
        <v>355</v>
      </c>
      <c r="Q28679" s="5" t="s">
        <v>355</v>
      </c>
    </row>
    <row r="28680" ht="16.5" customHeight="1">
      <c r="O28680" s="5" t="s">
        <v>355</v>
      </c>
      <c r="P28680" s="5" t="s">
        <v>355</v>
      </c>
      <c r="Q28680" s="5" t="s">
        <v>355</v>
      </c>
    </row>
    <row r="28681" ht="16.5" customHeight="1">
      <c r="O28681" s="5" t="s">
        <v>355</v>
      </c>
      <c r="P28681" s="5" t="s">
        <v>355</v>
      </c>
      <c r="Q28681" s="5" t="s">
        <v>355</v>
      </c>
    </row>
    <row r="28682" ht="16.5" customHeight="1">
      <c r="O28682" s="5" t="s">
        <v>355</v>
      </c>
      <c r="P28682" s="5" t="s">
        <v>355</v>
      </c>
      <c r="Q28682" s="5" t="s">
        <v>355</v>
      </c>
    </row>
    <row r="28683" ht="16.5" customHeight="1">
      <c r="O28683" s="5" t="s">
        <v>355</v>
      </c>
      <c r="P28683" s="5" t="s">
        <v>355</v>
      </c>
      <c r="Q28683" s="5" t="s">
        <v>355</v>
      </c>
    </row>
    <row r="28684" ht="16.5" customHeight="1">
      <c r="O28684" s="5" t="s">
        <v>355</v>
      </c>
      <c r="P28684" s="5" t="s">
        <v>355</v>
      </c>
      <c r="Q28684" s="5" t="s">
        <v>355</v>
      </c>
    </row>
    <row r="28685" ht="16.5" customHeight="1">
      <c r="O28685" s="5" t="s">
        <v>355</v>
      </c>
      <c r="P28685" s="5" t="s">
        <v>355</v>
      </c>
      <c r="Q28685" s="5" t="s">
        <v>355</v>
      </c>
    </row>
    <row r="28686" ht="16.5" customHeight="1">
      <c r="O28686" s="5" t="s">
        <v>355</v>
      </c>
      <c r="P28686" s="5" t="s">
        <v>355</v>
      </c>
      <c r="Q28686" s="5" t="s">
        <v>355</v>
      </c>
    </row>
    <row r="28687" ht="16.5" customHeight="1">
      <c r="O28687" s="5" t="s">
        <v>355</v>
      </c>
      <c r="P28687" s="5" t="s">
        <v>355</v>
      </c>
      <c r="Q28687" s="5" t="s">
        <v>355</v>
      </c>
    </row>
    <row r="28688" ht="16.5" customHeight="1">
      <c r="O28688" s="5" t="s">
        <v>355</v>
      </c>
      <c r="P28688" s="5" t="s">
        <v>355</v>
      </c>
      <c r="Q28688" s="5" t="s">
        <v>355</v>
      </c>
    </row>
    <row r="28689" ht="16.5" customHeight="1">
      <c r="O28689" s="5" t="s">
        <v>355</v>
      </c>
      <c r="P28689" s="5" t="s">
        <v>355</v>
      </c>
      <c r="Q28689" s="5" t="s">
        <v>355</v>
      </c>
    </row>
    <row r="28690" ht="16.5" customHeight="1">
      <c r="O28690" s="5" t="s">
        <v>355</v>
      </c>
      <c r="P28690" s="5" t="s">
        <v>355</v>
      </c>
      <c r="Q28690" s="5" t="s">
        <v>355</v>
      </c>
    </row>
    <row r="28691" ht="16.5" customHeight="1">
      <c r="O28691" s="5" t="s">
        <v>355</v>
      </c>
      <c r="P28691" s="5" t="s">
        <v>355</v>
      </c>
      <c r="Q28691" s="5" t="s">
        <v>355</v>
      </c>
    </row>
    <row r="28692" ht="16.5" customHeight="1">
      <c r="O28692" s="5" t="s">
        <v>355</v>
      </c>
      <c r="P28692" s="5" t="s">
        <v>355</v>
      </c>
      <c r="Q28692" s="5" t="s">
        <v>355</v>
      </c>
    </row>
    <row r="28693" ht="16.5" customHeight="1">
      <c r="O28693" s="5" t="s">
        <v>355</v>
      </c>
      <c r="P28693" s="5" t="s">
        <v>355</v>
      </c>
      <c r="Q28693" s="5" t="s">
        <v>355</v>
      </c>
    </row>
    <row r="28694" ht="16.5" customHeight="1">
      <c r="O28694" s="5" t="s">
        <v>355</v>
      </c>
      <c r="P28694" s="5" t="s">
        <v>355</v>
      </c>
      <c r="Q28694" s="5" t="s">
        <v>355</v>
      </c>
    </row>
    <row r="28695" ht="16.5" customHeight="1">
      <c r="O28695" s="5" t="s">
        <v>355</v>
      </c>
      <c r="P28695" s="5" t="s">
        <v>355</v>
      </c>
      <c r="Q28695" s="5" t="s">
        <v>355</v>
      </c>
    </row>
    <row r="28696" ht="16.5" customHeight="1">
      <c r="O28696" s="5" t="s">
        <v>355</v>
      </c>
      <c r="P28696" s="5" t="s">
        <v>355</v>
      </c>
      <c r="Q28696" s="5" t="s">
        <v>355</v>
      </c>
    </row>
    <row r="28697" ht="16.5" customHeight="1">
      <c r="O28697" s="5" t="s">
        <v>355</v>
      </c>
      <c r="P28697" s="5" t="s">
        <v>355</v>
      </c>
      <c r="Q28697" s="5" t="s">
        <v>355</v>
      </c>
    </row>
    <row r="28698" ht="16.5" customHeight="1">
      <c r="O28698" s="5" t="s">
        <v>355</v>
      </c>
      <c r="P28698" s="5" t="s">
        <v>355</v>
      </c>
      <c r="Q28698" s="5" t="s">
        <v>355</v>
      </c>
    </row>
    <row r="28699" ht="16.5" customHeight="1">
      <c r="O28699" s="5" t="s">
        <v>355</v>
      </c>
      <c r="P28699" s="5" t="s">
        <v>355</v>
      </c>
      <c r="Q28699" s="5" t="s">
        <v>355</v>
      </c>
    </row>
    <row r="28700" ht="16.5" customHeight="1">
      <c r="O28700" s="5" t="s">
        <v>355</v>
      </c>
      <c r="P28700" s="5" t="s">
        <v>355</v>
      </c>
      <c r="Q28700" s="5" t="s">
        <v>355</v>
      </c>
    </row>
    <row r="28701" ht="16.5" customHeight="1">
      <c r="O28701" s="5" t="s">
        <v>355</v>
      </c>
      <c r="P28701" s="5" t="s">
        <v>355</v>
      </c>
      <c r="Q28701" s="5" t="s">
        <v>355</v>
      </c>
    </row>
    <row r="28702" ht="16.5" customHeight="1">
      <c r="O28702" s="5" t="s">
        <v>355</v>
      </c>
      <c r="P28702" s="5" t="s">
        <v>355</v>
      </c>
      <c r="Q28702" s="5" t="s">
        <v>355</v>
      </c>
    </row>
    <row r="28703" ht="16.5" customHeight="1">
      <c r="O28703" s="5" t="s">
        <v>355</v>
      </c>
      <c r="P28703" s="5" t="s">
        <v>355</v>
      </c>
      <c r="Q28703" s="5" t="s">
        <v>355</v>
      </c>
    </row>
    <row r="28704" ht="16.5" customHeight="1">
      <c r="O28704" s="5" t="s">
        <v>355</v>
      </c>
      <c r="P28704" s="5" t="s">
        <v>355</v>
      </c>
      <c r="Q28704" s="5" t="s">
        <v>355</v>
      </c>
    </row>
    <row r="28705" ht="16.5" customHeight="1">
      <c r="O28705" s="5" t="s">
        <v>355</v>
      </c>
      <c r="P28705" s="5" t="s">
        <v>355</v>
      </c>
      <c r="Q28705" s="5" t="s">
        <v>355</v>
      </c>
    </row>
    <row r="28706" ht="16.5" customHeight="1">
      <c r="O28706" s="5" t="s">
        <v>355</v>
      </c>
      <c r="P28706" s="5" t="s">
        <v>355</v>
      </c>
      <c r="Q28706" s="5" t="s">
        <v>355</v>
      </c>
    </row>
    <row r="28707" ht="16.5" customHeight="1">
      <c r="O28707" s="5" t="s">
        <v>355</v>
      </c>
      <c r="P28707" s="5" t="s">
        <v>355</v>
      </c>
      <c r="Q28707" s="5" t="s">
        <v>355</v>
      </c>
    </row>
    <row r="28708" ht="16.5" customHeight="1">
      <c r="O28708" s="5" t="s">
        <v>355</v>
      </c>
      <c r="P28708" s="5" t="s">
        <v>355</v>
      </c>
      <c r="Q28708" s="5" t="s">
        <v>355</v>
      </c>
    </row>
    <row r="28709" ht="16.5" customHeight="1">
      <c r="O28709" s="5" t="s">
        <v>355</v>
      </c>
      <c r="P28709" s="5" t="s">
        <v>355</v>
      </c>
      <c r="Q28709" s="5" t="s">
        <v>355</v>
      </c>
    </row>
    <row r="28710" ht="16.5" customHeight="1">
      <c r="O28710" s="5" t="s">
        <v>355</v>
      </c>
      <c r="P28710" s="5" t="s">
        <v>355</v>
      </c>
      <c r="Q28710" s="5" t="s">
        <v>355</v>
      </c>
    </row>
    <row r="28711" ht="16.5" customHeight="1">
      <c r="O28711" s="5" t="s">
        <v>355</v>
      </c>
      <c r="P28711" s="5" t="s">
        <v>355</v>
      </c>
      <c r="Q28711" s="5" t="s">
        <v>355</v>
      </c>
    </row>
    <row r="28712" ht="16.5" customHeight="1">
      <c r="O28712" s="5" t="s">
        <v>355</v>
      </c>
      <c r="P28712" s="5" t="s">
        <v>355</v>
      </c>
      <c r="Q28712" s="5" t="s">
        <v>355</v>
      </c>
    </row>
    <row r="28713" ht="16.5" customHeight="1">
      <c r="O28713" s="5" t="s">
        <v>355</v>
      </c>
      <c r="P28713" s="5" t="s">
        <v>355</v>
      </c>
      <c r="Q28713" s="5" t="s">
        <v>355</v>
      </c>
    </row>
    <row r="28714" ht="16.5" customHeight="1">
      <c r="O28714" s="5" t="s">
        <v>355</v>
      </c>
      <c r="P28714" s="5" t="s">
        <v>355</v>
      </c>
      <c r="Q28714" s="5" t="s">
        <v>355</v>
      </c>
    </row>
    <row r="28715" ht="16.5" customHeight="1">
      <c r="O28715" s="5" t="s">
        <v>355</v>
      </c>
      <c r="P28715" s="5" t="s">
        <v>355</v>
      </c>
      <c r="Q28715" s="5" t="s">
        <v>355</v>
      </c>
    </row>
    <row r="28716" ht="16.5" customHeight="1">
      <c r="O28716" s="5" t="s">
        <v>355</v>
      </c>
      <c r="P28716" s="5" t="s">
        <v>355</v>
      </c>
      <c r="Q28716" s="5" t="s">
        <v>355</v>
      </c>
    </row>
    <row r="28717" ht="16.5" customHeight="1">
      <c r="O28717" s="5" t="s">
        <v>355</v>
      </c>
      <c r="P28717" s="5" t="s">
        <v>355</v>
      </c>
      <c r="Q28717" s="5" t="s">
        <v>355</v>
      </c>
    </row>
    <row r="28718" ht="16.5" customHeight="1">
      <c r="O28718" s="5" t="s">
        <v>355</v>
      </c>
      <c r="P28718" s="5" t="s">
        <v>355</v>
      </c>
      <c r="Q28718" s="5" t="s">
        <v>355</v>
      </c>
    </row>
    <row r="28719" ht="16.5" customHeight="1">
      <c r="O28719" s="5" t="s">
        <v>355</v>
      </c>
      <c r="P28719" s="5" t="s">
        <v>355</v>
      </c>
      <c r="Q28719" s="5" t="s">
        <v>355</v>
      </c>
    </row>
    <row r="28720" ht="16.5" customHeight="1">
      <c r="O28720" s="5" t="s">
        <v>355</v>
      </c>
      <c r="P28720" s="5" t="s">
        <v>355</v>
      </c>
      <c r="Q28720" s="5" t="s">
        <v>355</v>
      </c>
    </row>
    <row r="28721" ht="16.5" customHeight="1">
      <c r="O28721" s="5" t="s">
        <v>355</v>
      </c>
      <c r="P28721" s="5" t="s">
        <v>355</v>
      </c>
      <c r="Q28721" s="5" t="s">
        <v>355</v>
      </c>
    </row>
    <row r="28722" ht="16.5" customHeight="1">
      <c r="O28722" s="5" t="s">
        <v>355</v>
      </c>
      <c r="P28722" s="5" t="s">
        <v>355</v>
      </c>
      <c r="Q28722" s="5" t="s">
        <v>355</v>
      </c>
    </row>
    <row r="28723" ht="16.5" customHeight="1">
      <c r="O28723" s="5" t="s">
        <v>355</v>
      </c>
      <c r="P28723" s="5" t="s">
        <v>355</v>
      </c>
      <c r="Q28723" s="5" t="s">
        <v>355</v>
      </c>
    </row>
    <row r="28724" ht="16.5" customHeight="1">
      <c r="O28724" s="5" t="s">
        <v>355</v>
      </c>
      <c r="P28724" s="5" t="s">
        <v>355</v>
      </c>
      <c r="Q28724" s="5" t="s">
        <v>355</v>
      </c>
    </row>
    <row r="28725" ht="16.5" customHeight="1">
      <c r="O28725" s="5" t="s">
        <v>355</v>
      </c>
      <c r="P28725" s="5" t="s">
        <v>355</v>
      </c>
      <c r="Q28725" s="5" t="s">
        <v>355</v>
      </c>
    </row>
    <row r="28726" ht="16.5" customHeight="1">
      <c r="O28726" s="5" t="s">
        <v>355</v>
      </c>
      <c r="P28726" s="5" t="s">
        <v>355</v>
      </c>
      <c r="Q28726" s="5" t="s">
        <v>355</v>
      </c>
    </row>
    <row r="28727" ht="16.5" customHeight="1">
      <c r="O28727" s="5" t="s">
        <v>355</v>
      </c>
      <c r="P28727" s="5" t="s">
        <v>355</v>
      </c>
      <c r="Q28727" s="5" t="s">
        <v>355</v>
      </c>
    </row>
    <row r="28728" ht="16.5" customHeight="1">
      <c r="O28728" s="5" t="s">
        <v>355</v>
      </c>
      <c r="P28728" s="5" t="s">
        <v>355</v>
      </c>
      <c r="Q28728" s="5" t="s">
        <v>355</v>
      </c>
    </row>
    <row r="28729" ht="16.5" customHeight="1">
      <c r="O28729" s="5" t="s">
        <v>355</v>
      </c>
      <c r="P28729" s="5" t="s">
        <v>355</v>
      </c>
      <c r="Q28729" s="5" t="s">
        <v>355</v>
      </c>
    </row>
    <row r="28730" ht="16.5" customHeight="1">
      <c r="O28730" s="5" t="s">
        <v>355</v>
      </c>
      <c r="P28730" s="5" t="s">
        <v>355</v>
      </c>
      <c r="Q28730" s="5" t="s">
        <v>355</v>
      </c>
    </row>
    <row r="28731" ht="16.5" customHeight="1">
      <c r="O28731" s="5" t="s">
        <v>355</v>
      </c>
      <c r="P28731" s="5" t="s">
        <v>355</v>
      </c>
      <c r="Q28731" s="5" t="s">
        <v>355</v>
      </c>
    </row>
    <row r="28732" ht="16.5" customHeight="1">
      <c r="O28732" s="5" t="s">
        <v>355</v>
      </c>
      <c r="P28732" s="5" t="s">
        <v>355</v>
      </c>
      <c r="Q28732" s="5" t="s">
        <v>355</v>
      </c>
    </row>
    <row r="28733" ht="16.5" customHeight="1">
      <c r="O28733" s="5" t="s">
        <v>355</v>
      </c>
      <c r="P28733" s="5" t="s">
        <v>355</v>
      </c>
      <c r="Q28733" s="5" t="s">
        <v>355</v>
      </c>
    </row>
    <row r="28734" ht="16.5" customHeight="1">
      <c r="O28734" s="5" t="s">
        <v>355</v>
      </c>
      <c r="P28734" s="5" t="s">
        <v>355</v>
      </c>
      <c r="Q28734" s="5" t="s">
        <v>355</v>
      </c>
    </row>
    <row r="28735" ht="16.5" customHeight="1">
      <c r="O28735" s="5" t="s">
        <v>355</v>
      </c>
      <c r="P28735" s="5" t="s">
        <v>355</v>
      </c>
      <c r="Q28735" s="5" t="s">
        <v>355</v>
      </c>
    </row>
    <row r="28736" ht="16.5" customHeight="1">
      <c r="O28736" s="5" t="s">
        <v>355</v>
      </c>
      <c r="P28736" s="5" t="s">
        <v>355</v>
      </c>
      <c r="Q28736" s="5" t="s">
        <v>355</v>
      </c>
    </row>
    <row r="28737" ht="16.5" customHeight="1">
      <c r="O28737" s="5" t="s">
        <v>355</v>
      </c>
      <c r="P28737" s="5" t="s">
        <v>355</v>
      </c>
      <c r="Q28737" s="5" t="s">
        <v>355</v>
      </c>
    </row>
    <row r="28738" ht="16.5" customHeight="1">
      <c r="O28738" s="5" t="s">
        <v>355</v>
      </c>
      <c r="P28738" s="5" t="s">
        <v>355</v>
      </c>
      <c r="Q28738" s="5" t="s">
        <v>355</v>
      </c>
    </row>
    <row r="28739" ht="16.5" customHeight="1">
      <c r="O28739" s="5" t="s">
        <v>355</v>
      </c>
      <c r="P28739" s="5" t="s">
        <v>355</v>
      </c>
      <c r="Q28739" s="5" t="s">
        <v>355</v>
      </c>
    </row>
    <row r="28740" ht="16.5" customHeight="1">
      <c r="O28740" s="5" t="s">
        <v>355</v>
      </c>
      <c r="P28740" s="5" t="s">
        <v>355</v>
      </c>
      <c r="Q28740" s="5" t="s">
        <v>355</v>
      </c>
    </row>
    <row r="28741" ht="16.5" customHeight="1">
      <c r="O28741" s="5" t="s">
        <v>355</v>
      </c>
      <c r="P28741" s="5" t="s">
        <v>355</v>
      </c>
      <c r="Q28741" s="5" t="s">
        <v>355</v>
      </c>
    </row>
    <row r="28742" ht="16.5" customHeight="1">
      <c r="O28742" s="5" t="s">
        <v>355</v>
      </c>
      <c r="P28742" s="5" t="s">
        <v>355</v>
      </c>
      <c r="Q28742" s="5" t="s">
        <v>355</v>
      </c>
    </row>
    <row r="28743" ht="16.5" customHeight="1">
      <c r="O28743" s="5" t="s">
        <v>355</v>
      </c>
      <c r="P28743" s="5" t="s">
        <v>355</v>
      </c>
      <c r="Q28743" s="5" t="s">
        <v>355</v>
      </c>
    </row>
    <row r="28744" ht="16.5" customHeight="1">
      <c r="O28744" s="5" t="s">
        <v>355</v>
      </c>
      <c r="P28744" s="5" t="s">
        <v>355</v>
      </c>
      <c r="Q28744" s="5" t="s">
        <v>355</v>
      </c>
    </row>
    <row r="28745" ht="16.5" customHeight="1">
      <c r="O28745" s="5" t="s">
        <v>355</v>
      </c>
      <c r="P28745" s="5" t="s">
        <v>355</v>
      </c>
      <c r="Q28745" s="5" t="s">
        <v>355</v>
      </c>
    </row>
    <row r="28746" ht="16.5" customHeight="1">
      <c r="O28746" s="5" t="s">
        <v>355</v>
      </c>
      <c r="P28746" s="5" t="s">
        <v>355</v>
      </c>
      <c r="Q28746" s="5" t="s">
        <v>355</v>
      </c>
    </row>
    <row r="28747" ht="16.5" customHeight="1">
      <c r="O28747" s="5" t="s">
        <v>355</v>
      </c>
      <c r="P28747" s="5" t="s">
        <v>355</v>
      </c>
      <c r="Q28747" s="5" t="s">
        <v>355</v>
      </c>
    </row>
    <row r="28748" ht="16.5" customHeight="1">
      <c r="O28748" s="5" t="s">
        <v>355</v>
      </c>
      <c r="P28748" s="5" t="s">
        <v>355</v>
      </c>
      <c r="Q28748" s="5" t="s">
        <v>355</v>
      </c>
    </row>
    <row r="28749" ht="16.5" customHeight="1">
      <c r="O28749" s="5" t="s">
        <v>355</v>
      </c>
      <c r="P28749" s="5" t="s">
        <v>355</v>
      </c>
      <c r="Q28749" s="5" t="s">
        <v>355</v>
      </c>
    </row>
    <row r="28750" ht="16.5" customHeight="1">
      <c r="O28750" s="5" t="s">
        <v>355</v>
      </c>
      <c r="P28750" s="5" t="s">
        <v>355</v>
      </c>
      <c r="Q28750" s="5" t="s">
        <v>355</v>
      </c>
    </row>
    <row r="28751" ht="16.5" customHeight="1">
      <c r="O28751" s="5" t="s">
        <v>355</v>
      </c>
      <c r="P28751" s="5" t="s">
        <v>355</v>
      </c>
      <c r="Q28751" s="5" t="s">
        <v>355</v>
      </c>
    </row>
    <row r="28752" ht="16.5" customHeight="1">
      <c r="O28752" s="5" t="s">
        <v>355</v>
      </c>
      <c r="P28752" s="5" t="s">
        <v>355</v>
      </c>
      <c r="Q28752" s="5" t="s">
        <v>355</v>
      </c>
    </row>
    <row r="28753" ht="16.5" customHeight="1">
      <c r="O28753" s="5" t="s">
        <v>355</v>
      </c>
      <c r="P28753" s="5" t="s">
        <v>355</v>
      </c>
      <c r="Q28753" s="5" t="s">
        <v>355</v>
      </c>
    </row>
    <row r="28754" ht="16.5" customHeight="1">
      <c r="O28754" s="5" t="s">
        <v>355</v>
      </c>
      <c r="P28754" s="5" t="s">
        <v>355</v>
      </c>
      <c r="Q28754" s="5" t="s">
        <v>355</v>
      </c>
    </row>
    <row r="28755" ht="16.5" customHeight="1">
      <c r="O28755" s="5" t="s">
        <v>355</v>
      </c>
      <c r="P28755" s="5" t="s">
        <v>355</v>
      </c>
      <c r="Q28755" s="5" t="s">
        <v>355</v>
      </c>
    </row>
    <row r="28756" ht="16.5" customHeight="1">
      <c r="O28756" s="5" t="s">
        <v>355</v>
      </c>
      <c r="P28756" s="5" t="s">
        <v>355</v>
      </c>
      <c r="Q28756" s="5" t="s">
        <v>355</v>
      </c>
    </row>
    <row r="28757" ht="16.5" customHeight="1">
      <c r="O28757" s="5" t="s">
        <v>355</v>
      </c>
      <c r="P28757" s="5" t="s">
        <v>355</v>
      </c>
      <c r="Q28757" s="5" t="s">
        <v>355</v>
      </c>
    </row>
    <row r="28758" ht="16.5" customHeight="1">
      <c r="O28758" s="5" t="s">
        <v>355</v>
      </c>
      <c r="P28758" s="5" t="s">
        <v>355</v>
      </c>
      <c r="Q28758" s="5" t="s">
        <v>355</v>
      </c>
    </row>
    <row r="28759" ht="16.5" customHeight="1">
      <c r="O28759" s="5" t="s">
        <v>355</v>
      </c>
      <c r="P28759" s="5" t="s">
        <v>355</v>
      </c>
      <c r="Q28759" s="5" t="s">
        <v>355</v>
      </c>
    </row>
    <row r="28760" ht="16.5" customHeight="1">
      <c r="O28760" s="5" t="s">
        <v>355</v>
      </c>
      <c r="P28760" s="5" t="s">
        <v>355</v>
      </c>
      <c r="Q28760" s="5" t="s">
        <v>355</v>
      </c>
    </row>
    <row r="28761" ht="16.5" customHeight="1">
      <c r="O28761" s="5" t="s">
        <v>355</v>
      </c>
      <c r="P28761" s="5" t="s">
        <v>355</v>
      </c>
      <c r="Q28761" s="5" t="s">
        <v>355</v>
      </c>
    </row>
    <row r="28762" ht="16.5" customHeight="1">
      <c r="O28762" s="5" t="s">
        <v>355</v>
      </c>
      <c r="P28762" s="5" t="s">
        <v>355</v>
      </c>
      <c r="Q28762" s="5" t="s">
        <v>355</v>
      </c>
    </row>
    <row r="28763" ht="16.5" customHeight="1">
      <c r="O28763" s="5" t="s">
        <v>355</v>
      </c>
      <c r="P28763" s="5" t="s">
        <v>355</v>
      </c>
      <c r="Q28763" s="5" t="s">
        <v>355</v>
      </c>
    </row>
    <row r="28764" ht="16.5" customHeight="1">
      <c r="O28764" s="5" t="s">
        <v>355</v>
      </c>
      <c r="P28764" s="5" t="s">
        <v>355</v>
      </c>
      <c r="Q28764" s="5" t="s">
        <v>355</v>
      </c>
    </row>
    <row r="28765" ht="16.5" customHeight="1">
      <c r="O28765" s="5" t="s">
        <v>355</v>
      </c>
      <c r="P28765" s="5" t="s">
        <v>355</v>
      </c>
      <c r="Q28765" s="5" t="s">
        <v>355</v>
      </c>
    </row>
    <row r="28766" ht="16.5" customHeight="1">
      <c r="O28766" s="5" t="s">
        <v>355</v>
      </c>
      <c r="P28766" s="5" t="s">
        <v>355</v>
      </c>
      <c r="Q28766" s="5" t="s">
        <v>355</v>
      </c>
    </row>
    <row r="28767" ht="16.5" customHeight="1">
      <c r="O28767" s="5" t="s">
        <v>355</v>
      </c>
      <c r="P28767" s="5" t="s">
        <v>355</v>
      </c>
      <c r="Q28767" s="5" t="s">
        <v>355</v>
      </c>
    </row>
    <row r="28768" ht="16.5" customHeight="1">
      <c r="O28768" s="5" t="s">
        <v>355</v>
      </c>
      <c r="P28768" s="5" t="s">
        <v>355</v>
      </c>
      <c r="Q28768" s="5" t="s">
        <v>355</v>
      </c>
    </row>
    <row r="28769" ht="16.5" customHeight="1">
      <c r="O28769" s="5" t="s">
        <v>355</v>
      </c>
      <c r="P28769" s="5" t="s">
        <v>355</v>
      </c>
      <c r="Q28769" s="5" t="s">
        <v>355</v>
      </c>
    </row>
    <row r="28770" ht="16.5" customHeight="1">
      <c r="O28770" s="5" t="s">
        <v>355</v>
      </c>
      <c r="P28770" s="5" t="s">
        <v>355</v>
      </c>
      <c r="Q28770" s="5" t="s">
        <v>355</v>
      </c>
    </row>
    <row r="28771" ht="16.5" customHeight="1">
      <c r="O28771" s="5" t="s">
        <v>355</v>
      </c>
      <c r="P28771" s="5" t="s">
        <v>355</v>
      </c>
      <c r="Q28771" s="5" t="s">
        <v>355</v>
      </c>
    </row>
    <row r="28772" ht="16.5" customHeight="1">
      <c r="O28772" s="5" t="s">
        <v>355</v>
      </c>
      <c r="P28772" s="5" t="s">
        <v>355</v>
      </c>
      <c r="Q28772" s="5" t="s">
        <v>355</v>
      </c>
    </row>
    <row r="28773" ht="16.5" customHeight="1">
      <c r="O28773" s="5" t="s">
        <v>355</v>
      </c>
      <c r="P28773" s="5" t="s">
        <v>355</v>
      </c>
      <c r="Q28773" s="5" t="s">
        <v>355</v>
      </c>
    </row>
    <row r="28774" ht="16.5" customHeight="1">
      <c r="O28774" s="5" t="s">
        <v>355</v>
      </c>
      <c r="P28774" s="5" t="s">
        <v>355</v>
      </c>
      <c r="Q28774" s="5" t="s">
        <v>355</v>
      </c>
    </row>
    <row r="28775" ht="16.5" customHeight="1">
      <c r="O28775" s="5" t="s">
        <v>355</v>
      </c>
      <c r="P28775" s="5" t="s">
        <v>355</v>
      </c>
      <c r="Q28775" s="5" t="s">
        <v>355</v>
      </c>
    </row>
    <row r="28776" ht="16.5" customHeight="1">
      <c r="O28776" s="5" t="s">
        <v>355</v>
      </c>
      <c r="P28776" s="5" t="s">
        <v>355</v>
      </c>
      <c r="Q28776" s="5" t="s">
        <v>355</v>
      </c>
    </row>
    <row r="28777" ht="16.5" customHeight="1">
      <c r="O28777" s="5" t="s">
        <v>355</v>
      </c>
      <c r="P28777" s="5" t="s">
        <v>355</v>
      </c>
      <c r="Q28777" s="5" t="s">
        <v>355</v>
      </c>
    </row>
    <row r="28778" ht="16.5" customHeight="1">
      <c r="O28778" s="5" t="s">
        <v>355</v>
      </c>
      <c r="P28778" s="5" t="s">
        <v>355</v>
      </c>
      <c r="Q28778" s="5" t="s">
        <v>355</v>
      </c>
    </row>
    <row r="28779" ht="16.5" customHeight="1">
      <c r="O28779" s="5" t="s">
        <v>355</v>
      </c>
      <c r="P28779" s="5" t="s">
        <v>355</v>
      </c>
      <c r="Q28779" s="5" t="s">
        <v>355</v>
      </c>
    </row>
    <row r="28780" ht="16.5" customHeight="1">
      <c r="O28780" s="5" t="s">
        <v>355</v>
      </c>
      <c r="P28780" s="5" t="s">
        <v>355</v>
      </c>
      <c r="Q28780" s="5" t="s">
        <v>355</v>
      </c>
    </row>
    <row r="28781" ht="16.5" customHeight="1">
      <c r="O28781" s="5" t="s">
        <v>355</v>
      </c>
      <c r="P28781" s="5" t="s">
        <v>355</v>
      </c>
      <c r="Q28781" s="5" t="s">
        <v>355</v>
      </c>
    </row>
    <row r="28782" ht="16.5" customHeight="1">
      <c r="O28782" s="5" t="s">
        <v>355</v>
      </c>
      <c r="P28782" s="5" t="s">
        <v>355</v>
      </c>
      <c r="Q28782" s="5" t="s">
        <v>355</v>
      </c>
    </row>
    <row r="28783" ht="16.5" customHeight="1">
      <c r="O28783" s="5" t="s">
        <v>355</v>
      </c>
      <c r="P28783" s="5" t="s">
        <v>355</v>
      </c>
      <c r="Q28783" s="5" t="s">
        <v>355</v>
      </c>
    </row>
    <row r="28784" ht="16.5" customHeight="1">
      <c r="O28784" s="5" t="s">
        <v>355</v>
      </c>
      <c r="P28784" s="5" t="s">
        <v>355</v>
      </c>
      <c r="Q28784" s="5" t="s">
        <v>355</v>
      </c>
    </row>
    <row r="28785" ht="16.5" customHeight="1">
      <c r="O28785" s="5" t="s">
        <v>355</v>
      </c>
      <c r="P28785" s="5" t="s">
        <v>355</v>
      </c>
      <c r="Q28785" s="5" t="s">
        <v>355</v>
      </c>
    </row>
    <row r="28786" ht="16.5" customHeight="1">
      <c r="O28786" s="5" t="s">
        <v>355</v>
      </c>
      <c r="P28786" s="5" t="s">
        <v>355</v>
      </c>
      <c r="Q28786" s="5" t="s">
        <v>355</v>
      </c>
    </row>
    <row r="28787" ht="16.5" customHeight="1">
      <c r="O28787" s="5" t="s">
        <v>355</v>
      </c>
      <c r="P28787" s="5" t="s">
        <v>355</v>
      </c>
      <c r="Q28787" s="5" t="s">
        <v>355</v>
      </c>
    </row>
    <row r="28788" ht="16.5" customHeight="1">
      <c r="O28788" s="5" t="s">
        <v>355</v>
      </c>
      <c r="P28788" s="5" t="s">
        <v>355</v>
      </c>
      <c r="Q28788" s="5" t="s">
        <v>355</v>
      </c>
    </row>
    <row r="28789" ht="16.5" customHeight="1">
      <c r="O28789" s="5" t="s">
        <v>355</v>
      </c>
      <c r="P28789" s="5" t="s">
        <v>355</v>
      </c>
      <c r="Q28789" s="5" t="s">
        <v>355</v>
      </c>
    </row>
    <row r="28790" ht="16.5" customHeight="1">
      <c r="O28790" s="5" t="s">
        <v>355</v>
      </c>
      <c r="P28790" s="5" t="s">
        <v>355</v>
      </c>
      <c r="Q28790" s="5" t="s">
        <v>355</v>
      </c>
    </row>
    <row r="28791" ht="16.5" customHeight="1">
      <c r="O28791" s="5" t="s">
        <v>355</v>
      </c>
      <c r="P28791" s="5" t="s">
        <v>355</v>
      </c>
      <c r="Q28791" s="5" t="s">
        <v>355</v>
      </c>
    </row>
    <row r="28792" ht="16.5" customHeight="1">
      <c r="O28792" s="5" t="s">
        <v>355</v>
      </c>
      <c r="P28792" s="5" t="s">
        <v>355</v>
      </c>
      <c r="Q28792" s="5" t="s">
        <v>355</v>
      </c>
    </row>
    <row r="28793" ht="16.5" customHeight="1">
      <c r="O28793" s="5" t="s">
        <v>355</v>
      </c>
      <c r="P28793" s="5" t="s">
        <v>355</v>
      </c>
      <c r="Q28793" s="5" t="s">
        <v>355</v>
      </c>
    </row>
    <row r="28794" ht="16.5" customHeight="1">
      <c r="O28794" s="5" t="s">
        <v>355</v>
      </c>
      <c r="P28794" s="5" t="s">
        <v>355</v>
      </c>
      <c r="Q28794" s="5" t="s">
        <v>355</v>
      </c>
    </row>
    <row r="28795" ht="16.5" customHeight="1">
      <c r="O28795" s="5" t="s">
        <v>355</v>
      </c>
      <c r="P28795" s="5" t="s">
        <v>355</v>
      </c>
      <c r="Q28795" s="5" t="s">
        <v>355</v>
      </c>
    </row>
    <row r="28796" ht="16.5" customHeight="1">
      <c r="O28796" s="5" t="s">
        <v>355</v>
      </c>
      <c r="P28796" s="5" t="s">
        <v>355</v>
      </c>
      <c r="Q28796" s="5" t="s">
        <v>355</v>
      </c>
    </row>
    <row r="28797" ht="16.5" customHeight="1">
      <c r="O28797" s="5" t="s">
        <v>355</v>
      </c>
      <c r="P28797" s="5" t="s">
        <v>355</v>
      </c>
      <c r="Q28797" s="5" t="s">
        <v>355</v>
      </c>
    </row>
    <row r="28798" ht="16.5" customHeight="1">
      <c r="O28798" s="5" t="s">
        <v>355</v>
      </c>
      <c r="P28798" s="5" t="s">
        <v>355</v>
      </c>
      <c r="Q28798" s="5" t="s">
        <v>355</v>
      </c>
    </row>
    <row r="28799" ht="16.5" customHeight="1">
      <c r="O28799" s="5" t="s">
        <v>355</v>
      </c>
      <c r="P28799" s="5" t="s">
        <v>355</v>
      </c>
      <c r="Q28799" s="5" t="s">
        <v>355</v>
      </c>
    </row>
    <row r="28800" ht="16.5" customHeight="1">
      <c r="O28800" s="5" t="s">
        <v>355</v>
      </c>
      <c r="P28800" s="5" t="s">
        <v>355</v>
      </c>
      <c r="Q28800" s="5" t="s">
        <v>355</v>
      </c>
    </row>
    <row r="28801" ht="16.5" customHeight="1">
      <c r="O28801" s="5" t="s">
        <v>355</v>
      </c>
      <c r="P28801" s="5" t="s">
        <v>355</v>
      </c>
      <c r="Q28801" s="5" t="s">
        <v>355</v>
      </c>
    </row>
    <row r="28802" ht="16.5" customHeight="1">
      <c r="O28802" s="5" t="s">
        <v>355</v>
      </c>
      <c r="P28802" s="5" t="s">
        <v>355</v>
      </c>
      <c r="Q28802" s="5" t="s">
        <v>355</v>
      </c>
    </row>
    <row r="28803" ht="16.5" customHeight="1">
      <c r="O28803" s="5" t="s">
        <v>355</v>
      </c>
      <c r="P28803" s="5" t="s">
        <v>355</v>
      </c>
      <c r="Q28803" s="5" t="s">
        <v>355</v>
      </c>
    </row>
    <row r="28804" ht="16.5" customHeight="1">
      <c r="O28804" s="5" t="s">
        <v>355</v>
      </c>
      <c r="P28804" s="5" t="s">
        <v>355</v>
      </c>
      <c r="Q28804" s="5" t="s">
        <v>355</v>
      </c>
    </row>
    <row r="28805" ht="16.5" customHeight="1">
      <c r="O28805" s="5" t="s">
        <v>355</v>
      </c>
      <c r="P28805" s="5" t="s">
        <v>355</v>
      </c>
      <c r="Q28805" s="5" t="s">
        <v>355</v>
      </c>
    </row>
    <row r="28806" ht="16.5" customHeight="1">
      <c r="O28806" s="5" t="s">
        <v>355</v>
      </c>
      <c r="P28806" s="5" t="s">
        <v>355</v>
      </c>
      <c r="Q28806" s="5" t="s">
        <v>355</v>
      </c>
    </row>
    <row r="28807" ht="16.5" customHeight="1">
      <c r="O28807" s="5" t="s">
        <v>355</v>
      </c>
      <c r="P28807" s="5" t="s">
        <v>355</v>
      </c>
      <c r="Q28807" s="5" t="s">
        <v>355</v>
      </c>
    </row>
    <row r="28808" ht="16.5" customHeight="1">
      <c r="O28808" s="5" t="s">
        <v>355</v>
      </c>
      <c r="P28808" s="5" t="s">
        <v>355</v>
      </c>
      <c r="Q28808" s="5" t="s">
        <v>355</v>
      </c>
    </row>
    <row r="28809" ht="16.5" customHeight="1">
      <c r="O28809" s="5" t="s">
        <v>355</v>
      </c>
      <c r="P28809" s="5" t="s">
        <v>355</v>
      </c>
      <c r="Q28809" s="5" t="s">
        <v>355</v>
      </c>
    </row>
    <row r="28810" ht="16.5" customHeight="1">
      <c r="O28810" s="5" t="s">
        <v>355</v>
      </c>
      <c r="P28810" s="5" t="s">
        <v>355</v>
      </c>
      <c r="Q28810" s="5" t="s">
        <v>355</v>
      </c>
    </row>
    <row r="28811" ht="16.5" customHeight="1">
      <c r="O28811" s="5" t="s">
        <v>355</v>
      </c>
      <c r="P28811" s="5" t="s">
        <v>355</v>
      </c>
      <c r="Q28811" s="5" t="s">
        <v>355</v>
      </c>
    </row>
    <row r="28812" ht="16.5" customHeight="1">
      <c r="O28812" s="5" t="s">
        <v>355</v>
      </c>
      <c r="P28812" s="5" t="s">
        <v>355</v>
      </c>
      <c r="Q28812" s="5" t="s">
        <v>355</v>
      </c>
    </row>
    <row r="28813" ht="16.5" customHeight="1">
      <c r="O28813" s="5" t="s">
        <v>355</v>
      </c>
      <c r="P28813" s="5" t="s">
        <v>355</v>
      </c>
      <c r="Q28813" s="5" t="s">
        <v>355</v>
      </c>
    </row>
    <row r="28814" ht="16.5" customHeight="1">
      <c r="O28814" s="5" t="s">
        <v>355</v>
      </c>
      <c r="P28814" s="5" t="s">
        <v>355</v>
      </c>
      <c r="Q28814" s="5" t="s">
        <v>355</v>
      </c>
    </row>
    <row r="28815" ht="16.5" customHeight="1">
      <c r="O28815" s="5" t="s">
        <v>355</v>
      </c>
      <c r="P28815" s="5" t="s">
        <v>355</v>
      </c>
      <c r="Q28815" s="5" t="s">
        <v>355</v>
      </c>
    </row>
    <row r="28816" ht="16.5" customHeight="1">
      <c r="O28816" s="5" t="s">
        <v>355</v>
      </c>
      <c r="P28816" s="5" t="s">
        <v>355</v>
      </c>
      <c r="Q28816" s="5" t="s">
        <v>355</v>
      </c>
    </row>
    <row r="28817" ht="16.5" customHeight="1">
      <c r="O28817" s="5" t="s">
        <v>355</v>
      </c>
      <c r="P28817" s="5" t="s">
        <v>355</v>
      </c>
      <c r="Q28817" s="5" t="s">
        <v>355</v>
      </c>
    </row>
    <row r="28818" ht="16.5" customHeight="1">
      <c r="O28818" s="5" t="s">
        <v>355</v>
      </c>
      <c r="P28818" s="5" t="s">
        <v>355</v>
      </c>
      <c r="Q28818" s="5" t="s">
        <v>355</v>
      </c>
    </row>
    <row r="28819" ht="16.5" customHeight="1">
      <c r="O28819" s="5" t="s">
        <v>355</v>
      </c>
      <c r="P28819" s="5" t="s">
        <v>355</v>
      </c>
      <c r="Q28819" s="5" t="s">
        <v>355</v>
      </c>
    </row>
    <row r="28820" ht="16.5" customHeight="1">
      <c r="O28820" s="5" t="s">
        <v>355</v>
      </c>
      <c r="P28820" s="5" t="s">
        <v>355</v>
      </c>
      <c r="Q28820" s="5" t="s">
        <v>355</v>
      </c>
    </row>
    <row r="28821" ht="16.5" customHeight="1">
      <c r="O28821" s="5" t="s">
        <v>355</v>
      </c>
      <c r="P28821" s="5" t="s">
        <v>355</v>
      </c>
      <c r="Q28821" s="5" t="s">
        <v>355</v>
      </c>
    </row>
    <row r="28822" ht="16.5" customHeight="1">
      <c r="O28822" s="5" t="s">
        <v>355</v>
      </c>
      <c r="P28822" s="5" t="s">
        <v>355</v>
      </c>
      <c r="Q28822" s="5" t="s">
        <v>355</v>
      </c>
    </row>
    <row r="28823" ht="16.5" customHeight="1">
      <c r="O28823" s="5" t="s">
        <v>355</v>
      </c>
      <c r="P28823" s="5" t="s">
        <v>355</v>
      </c>
      <c r="Q28823" s="5" t="s">
        <v>355</v>
      </c>
    </row>
    <row r="28824" ht="16.5" customHeight="1">
      <c r="O28824" s="5" t="s">
        <v>355</v>
      </c>
      <c r="P28824" s="5" t="s">
        <v>355</v>
      </c>
      <c r="Q28824" s="5" t="s">
        <v>355</v>
      </c>
    </row>
    <row r="28825" ht="16.5" customHeight="1">
      <c r="O28825" s="5" t="s">
        <v>355</v>
      </c>
      <c r="P28825" s="5" t="s">
        <v>355</v>
      </c>
      <c r="Q28825" s="5" t="s">
        <v>355</v>
      </c>
    </row>
    <row r="28826" ht="16.5" customHeight="1">
      <c r="O28826" s="5" t="s">
        <v>355</v>
      </c>
      <c r="P28826" s="5" t="s">
        <v>355</v>
      </c>
      <c r="Q28826" s="5" t="s">
        <v>355</v>
      </c>
    </row>
    <row r="28827" ht="16.5" customHeight="1">
      <c r="O28827" s="5" t="s">
        <v>355</v>
      </c>
      <c r="P28827" s="5" t="s">
        <v>355</v>
      </c>
      <c r="Q28827" s="5" t="s">
        <v>355</v>
      </c>
    </row>
    <row r="28828" ht="16.5" customHeight="1">
      <c r="O28828" s="5" t="s">
        <v>355</v>
      </c>
      <c r="P28828" s="5" t="s">
        <v>355</v>
      </c>
      <c r="Q28828" s="5" t="s">
        <v>355</v>
      </c>
    </row>
    <row r="28829" ht="16.5" customHeight="1">
      <c r="O28829" s="5" t="s">
        <v>355</v>
      </c>
      <c r="P28829" s="5" t="s">
        <v>355</v>
      </c>
      <c r="Q28829" s="5" t="s">
        <v>355</v>
      </c>
    </row>
    <row r="28830" ht="16.5" customHeight="1">
      <c r="O28830" s="5" t="s">
        <v>355</v>
      </c>
      <c r="P28830" s="5" t="s">
        <v>355</v>
      </c>
      <c r="Q28830" s="5" t="s">
        <v>355</v>
      </c>
    </row>
    <row r="28831" ht="16.5" customHeight="1">
      <c r="O28831" s="5" t="s">
        <v>355</v>
      </c>
      <c r="P28831" s="5" t="s">
        <v>355</v>
      </c>
      <c r="Q28831" s="5" t="s">
        <v>355</v>
      </c>
    </row>
    <row r="28832" ht="16.5" customHeight="1">
      <c r="O28832" s="5" t="s">
        <v>355</v>
      </c>
      <c r="P28832" s="5" t="s">
        <v>355</v>
      </c>
      <c r="Q28832" s="5" t="s">
        <v>355</v>
      </c>
    </row>
    <row r="28833" ht="16.5" customHeight="1">
      <c r="O28833" s="5" t="s">
        <v>355</v>
      </c>
      <c r="P28833" s="5" t="s">
        <v>355</v>
      </c>
      <c r="Q28833" s="5" t="s">
        <v>355</v>
      </c>
    </row>
    <row r="28834" ht="16.5" customHeight="1">
      <c r="O28834" s="5" t="s">
        <v>355</v>
      </c>
      <c r="P28834" s="5" t="s">
        <v>355</v>
      </c>
      <c r="Q28834" s="5" t="s">
        <v>355</v>
      </c>
    </row>
    <row r="28835" ht="16.5" customHeight="1">
      <c r="O28835" s="5" t="s">
        <v>355</v>
      </c>
      <c r="P28835" s="5" t="s">
        <v>355</v>
      </c>
      <c r="Q28835" s="5" t="s">
        <v>355</v>
      </c>
    </row>
    <row r="28836" ht="16.5" customHeight="1">
      <c r="O28836" s="5" t="s">
        <v>355</v>
      </c>
      <c r="P28836" s="5" t="s">
        <v>355</v>
      </c>
      <c r="Q28836" s="5" t="s">
        <v>355</v>
      </c>
    </row>
    <row r="28837" ht="16.5" customHeight="1">
      <c r="O28837" s="5" t="s">
        <v>355</v>
      </c>
      <c r="P28837" s="5" t="s">
        <v>355</v>
      </c>
      <c r="Q28837" s="5" t="s">
        <v>355</v>
      </c>
    </row>
    <row r="28838" ht="16.5" customHeight="1">
      <c r="O28838" s="5" t="s">
        <v>355</v>
      </c>
      <c r="P28838" s="5" t="s">
        <v>355</v>
      </c>
      <c r="Q28838" s="5" t="s">
        <v>355</v>
      </c>
    </row>
    <row r="28839" ht="16.5" customHeight="1">
      <c r="O28839" s="5" t="s">
        <v>355</v>
      </c>
      <c r="P28839" s="5" t="s">
        <v>355</v>
      </c>
      <c r="Q28839" s="5" t="s">
        <v>355</v>
      </c>
    </row>
    <row r="28840" ht="16.5" customHeight="1">
      <c r="O28840" s="5" t="s">
        <v>355</v>
      </c>
      <c r="P28840" s="5" t="s">
        <v>355</v>
      </c>
      <c r="Q28840" s="5" t="s">
        <v>355</v>
      </c>
    </row>
    <row r="28841" ht="16.5" customHeight="1">
      <c r="O28841" s="5" t="s">
        <v>355</v>
      </c>
      <c r="P28841" s="5" t="s">
        <v>355</v>
      </c>
      <c r="Q28841" s="5" t="s">
        <v>355</v>
      </c>
    </row>
    <row r="28842" ht="16.5" customHeight="1">
      <c r="O28842" s="5" t="s">
        <v>355</v>
      </c>
      <c r="P28842" s="5" t="s">
        <v>355</v>
      </c>
      <c r="Q28842" s="5" t="s">
        <v>355</v>
      </c>
    </row>
    <row r="28843" ht="16.5" customHeight="1">
      <c r="O28843" s="5" t="s">
        <v>355</v>
      </c>
      <c r="P28843" s="5" t="s">
        <v>355</v>
      </c>
      <c r="Q28843" s="5" t="s">
        <v>355</v>
      </c>
    </row>
    <row r="28844" ht="16.5" customHeight="1">
      <c r="O28844" s="5" t="s">
        <v>355</v>
      </c>
      <c r="P28844" s="5" t="s">
        <v>355</v>
      </c>
      <c r="Q28844" s="5" t="s">
        <v>355</v>
      </c>
    </row>
    <row r="28845" ht="16.5" customHeight="1">
      <c r="O28845" s="5" t="s">
        <v>355</v>
      </c>
      <c r="P28845" s="5" t="s">
        <v>355</v>
      </c>
      <c r="Q28845" s="5" t="s">
        <v>355</v>
      </c>
    </row>
    <row r="28846" ht="16.5" customHeight="1">
      <c r="O28846" s="5" t="s">
        <v>355</v>
      </c>
      <c r="P28846" s="5" t="s">
        <v>355</v>
      </c>
      <c r="Q28846" s="5" t="s">
        <v>355</v>
      </c>
    </row>
    <row r="28847" ht="16.5" customHeight="1">
      <c r="O28847" s="5" t="s">
        <v>355</v>
      </c>
      <c r="P28847" s="5" t="s">
        <v>355</v>
      </c>
      <c r="Q28847" s="5" t="s">
        <v>355</v>
      </c>
    </row>
    <row r="28848" ht="16.5" customHeight="1">
      <c r="O28848" s="5" t="s">
        <v>355</v>
      </c>
      <c r="P28848" s="5" t="s">
        <v>355</v>
      </c>
      <c r="Q28848" s="5" t="s">
        <v>355</v>
      </c>
    </row>
    <row r="28849" ht="16.5" customHeight="1">
      <c r="O28849" s="5" t="s">
        <v>355</v>
      </c>
      <c r="P28849" s="5" t="s">
        <v>355</v>
      </c>
      <c r="Q28849" s="5" t="s">
        <v>355</v>
      </c>
    </row>
    <row r="28850" ht="16.5" customHeight="1">
      <c r="O28850" s="5" t="s">
        <v>355</v>
      </c>
      <c r="P28850" s="5" t="s">
        <v>355</v>
      </c>
      <c r="Q28850" s="5" t="s">
        <v>355</v>
      </c>
    </row>
    <row r="28851" ht="16.5" customHeight="1">
      <c r="O28851" s="5" t="s">
        <v>355</v>
      </c>
      <c r="P28851" s="5" t="s">
        <v>355</v>
      </c>
      <c r="Q28851" s="5" t="s">
        <v>355</v>
      </c>
    </row>
    <row r="28852" ht="16.5" customHeight="1">
      <c r="O28852" s="5" t="s">
        <v>355</v>
      </c>
      <c r="P28852" s="5" t="s">
        <v>355</v>
      </c>
      <c r="Q28852" s="5" t="s">
        <v>355</v>
      </c>
    </row>
    <row r="28853" ht="16.5" customHeight="1">
      <c r="O28853" s="5" t="s">
        <v>355</v>
      </c>
      <c r="P28853" s="5" t="s">
        <v>355</v>
      </c>
      <c r="Q28853" s="5" t="s">
        <v>355</v>
      </c>
    </row>
    <row r="28854" ht="16.5" customHeight="1">
      <c r="O28854" s="5" t="s">
        <v>355</v>
      </c>
      <c r="P28854" s="5" t="s">
        <v>355</v>
      </c>
      <c r="Q28854" s="5" t="s">
        <v>355</v>
      </c>
    </row>
    <row r="28855" ht="16.5" customHeight="1">
      <c r="O28855" s="5" t="s">
        <v>355</v>
      </c>
      <c r="P28855" s="5" t="s">
        <v>355</v>
      </c>
      <c r="Q28855" s="5" t="s">
        <v>355</v>
      </c>
    </row>
    <row r="28856" ht="16.5" customHeight="1">
      <c r="O28856" s="5" t="s">
        <v>355</v>
      </c>
      <c r="P28856" s="5" t="s">
        <v>355</v>
      </c>
      <c r="Q28856" s="5" t="s">
        <v>355</v>
      </c>
    </row>
    <row r="28857" ht="16.5" customHeight="1">
      <c r="O28857" s="5" t="s">
        <v>355</v>
      </c>
      <c r="P28857" s="5" t="s">
        <v>355</v>
      </c>
      <c r="Q28857" s="5" t="s">
        <v>355</v>
      </c>
    </row>
    <row r="28858" ht="16.5" customHeight="1">
      <c r="O28858" s="5" t="s">
        <v>355</v>
      </c>
      <c r="P28858" s="5" t="s">
        <v>355</v>
      </c>
      <c r="Q28858" s="5" t="s">
        <v>355</v>
      </c>
    </row>
    <row r="28859" ht="16.5" customHeight="1">
      <c r="O28859" s="5" t="s">
        <v>355</v>
      </c>
      <c r="P28859" s="5" t="s">
        <v>355</v>
      </c>
      <c r="Q28859" s="5" t="s">
        <v>355</v>
      </c>
    </row>
    <row r="28860" ht="16.5" customHeight="1">
      <c r="O28860" s="5" t="s">
        <v>355</v>
      </c>
      <c r="P28860" s="5" t="s">
        <v>355</v>
      </c>
      <c r="Q28860" s="5" t="s">
        <v>355</v>
      </c>
    </row>
    <row r="28861" ht="16.5" customHeight="1">
      <c r="O28861" s="5" t="s">
        <v>355</v>
      </c>
      <c r="P28861" s="5" t="s">
        <v>355</v>
      </c>
      <c r="Q28861" s="5" t="s">
        <v>355</v>
      </c>
    </row>
    <row r="28862" ht="16.5" customHeight="1">
      <c r="O28862" s="5" t="s">
        <v>355</v>
      </c>
      <c r="P28862" s="5" t="s">
        <v>355</v>
      </c>
      <c r="Q28862" s="5" t="s">
        <v>355</v>
      </c>
    </row>
    <row r="28863" ht="16.5" customHeight="1">
      <c r="O28863" s="5" t="s">
        <v>355</v>
      </c>
      <c r="P28863" s="5" t="s">
        <v>355</v>
      </c>
      <c r="Q28863" s="5" t="s">
        <v>355</v>
      </c>
    </row>
    <row r="28864" ht="16.5" customHeight="1">
      <c r="O28864" s="5" t="s">
        <v>355</v>
      </c>
      <c r="P28864" s="5" t="s">
        <v>355</v>
      </c>
      <c r="Q28864" s="5" t="s">
        <v>355</v>
      </c>
    </row>
    <row r="28865" ht="16.5" customHeight="1">
      <c r="O28865" s="5" t="s">
        <v>355</v>
      </c>
      <c r="P28865" s="5" t="s">
        <v>355</v>
      </c>
      <c r="Q28865" s="5" t="s">
        <v>355</v>
      </c>
    </row>
    <row r="28866" ht="16.5" customHeight="1">
      <c r="O28866" s="5" t="s">
        <v>355</v>
      </c>
      <c r="P28866" s="5" t="s">
        <v>355</v>
      </c>
      <c r="Q28866" s="5" t="s">
        <v>355</v>
      </c>
    </row>
    <row r="28867" ht="16.5" customHeight="1">
      <c r="O28867" s="5" t="s">
        <v>355</v>
      </c>
      <c r="P28867" s="5" t="s">
        <v>355</v>
      </c>
      <c r="Q28867" s="5" t="s">
        <v>355</v>
      </c>
    </row>
    <row r="28868" ht="16.5" customHeight="1">
      <c r="O28868" s="5" t="s">
        <v>355</v>
      </c>
      <c r="P28868" s="5" t="s">
        <v>355</v>
      </c>
      <c r="Q28868" s="5" t="s">
        <v>355</v>
      </c>
    </row>
    <row r="28869" ht="16.5" customHeight="1">
      <c r="O28869" s="5" t="s">
        <v>355</v>
      </c>
      <c r="P28869" s="5" t="s">
        <v>355</v>
      </c>
      <c r="Q28869" s="5" t="s">
        <v>355</v>
      </c>
    </row>
    <row r="28870" ht="16.5" customHeight="1">
      <c r="O28870" s="5" t="s">
        <v>355</v>
      </c>
      <c r="P28870" s="5" t="s">
        <v>355</v>
      </c>
      <c r="Q28870" s="5" t="s">
        <v>355</v>
      </c>
    </row>
    <row r="28871" ht="16.5" customHeight="1">
      <c r="O28871" s="5" t="s">
        <v>355</v>
      </c>
      <c r="P28871" s="5" t="s">
        <v>355</v>
      </c>
      <c r="Q28871" s="5" t="s">
        <v>355</v>
      </c>
    </row>
    <row r="28872" ht="16.5" customHeight="1">
      <c r="O28872" s="5" t="s">
        <v>355</v>
      </c>
      <c r="P28872" s="5" t="s">
        <v>355</v>
      </c>
      <c r="Q28872" s="5" t="s">
        <v>355</v>
      </c>
    </row>
    <row r="28873" ht="16.5" customHeight="1">
      <c r="O28873" s="5" t="s">
        <v>355</v>
      </c>
      <c r="P28873" s="5" t="s">
        <v>355</v>
      </c>
      <c r="Q28873" s="5" t="s">
        <v>355</v>
      </c>
    </row>
    <row r="28874" ht="16.5" customHeight="1">
      <c r="O28874" s="5" t="s">
        <v>355</v>
      </c>
      <c r="P28874" s="5" t="s">
        <v>355</v>
      </c>
      <c r="Q28874" s="5" t="s">
        <v>355</v>
      </c>
    </row>
    <row r="28875" ht="16.5" customHeight="1">
      <c r="O28875" s="5" t="s">
        <v>355</v>
      </c>
      <c r="P28875" s="5" t="s">
        <v>355</v>
      </c>
      <c r="Q28875" s="5" t="s">
        <v>355</v>
      </c>
    </row>
    <row r="28876" ht="16.5" customHeight="1">
      <c r="O28876" s="5" t="s">
        <v>355</v>
      </c>
      <c r="P28876" s="5" t="s">
        <v>355</v>
      </c>
      <c r="Q28876" s="5" t="s">
        <v>355</v>
      </c>
    </row>
    <row r="28877" ht="16.5" customHeight="1">
      <c r="O28877" s="5" t="s">
        <v>355</v>
      </c>
      <c r="P28877" s="5" t="s">
        <v>355</v>
      </c>
      <c r="Q28877" s="5" t="s">
        <v>355</v>
      </c>
    </row>
    <row r="28878" ht="16.5" customHeight="1">
      <c r="O28878" s="5" t="s">
        <v>355</v>
      </c>
      <c r="P28878" s="5" t="s">
        <v>355</v>
      </c>
      <c r="Q28878" s="5" t="s">
        <v>355</v>
      </c>
    </row>
    <row r="28879" ht="16.5" customHeight="1">
      <c r="O28879" s="5" t="s">
        <v>355</v>
      </c>
      <c r="P28879" s="5" t="s">
        <v>355</v>
      </c>
      <c r="Q28879" s="5" t="s">
        <v>355</v>
      </c>
    </row>
    <row r="28880" ht="16.5" customHeight="1">
      <c r="O28880" s="5" t="s">
        <v>355</v>
      </c>
      <c r="P28880" s="5" t="s">
        <v>355</v>
      </c>
      <c r="Q28880" s="5" t="s">
        <v>355</v>
      </c>
    </row>
    <row r="28881" ht="16.5" customHeight="1">
      <c r="O28881" s="5" t="s">
        <v>355</v>
      </c>
      <c r="P28881" s="5" t="s">
        <v>355</v>
      </c>
      <c r="Q28881" s="5" t="s">
        <v>355</v>
      </c>
    </row>
    <row r="28882" ht="16.5" customHeight="1">
      <c r="O28882" s="5" t="s">
        <v>355</v>
      </c>
      <c r="P28882" s="5" t="s">
        <v>355</v>
      </c>
      <c r="Q28882" s="5" t="s">
        <v>355</v>
      </c>
    </row>
    <row r="28883" ht="16.5" customHeight="1">
      <c r="O28883" s="5" t="s">
        <v>355</v>
      </c>
      <c r="P28883" s="5" t="s">
        <v>355</v>
      </c>
      <c r="Q28883" s="5" t="s">
        <v>355</v>
      </c>
    </row>
    <row r="28884" ht="16.5" customHeight="1">
      <c r="O28884" s="5" t="s">
        <v>355</v>
      </c>
      <c r="P28884" s="5" t="s">
        <v>355</v>
      </c>
      <c r="Q28884" s="5" t="s">
        <v>355</v>
      </c>
    </row>
    <row r="28885" ht="16.5" customHeight="1">
      <c r="O28885" s="5" t="s">
        <v>355</v>
      </c>
      <c r="P28885" s="5" t="s">
        <v>355</v>
      </c>
      <c r="Q28885" s="5" t="s">
        <v>355</v>
      </c>
    </row>
    <row r="28886" ht="16.5" customHeight="1">
      <c r="O28886" s="5" t="s">
        <v>355</v>
      </c>
      <c r="P28886" s="5" t="s">
        <v>355</v>
      </c>
      <c r="Q28886" s="5" t="s">
        <v>355</v>
      </c>
    </row>
    <row r="28887" ht="16.5" customHeight="1">
      <c r="O28887" s="5" t="s">
        <v>355</v>
      </c>
      <c r="P28887" s="5" t="s">
        <v>355</v>
      </c>
      <c r="Q28887" s="5" t="s">
        <v>355</v>
      </c>
    </row>
    <row r="28888" ht="16.5" customHeight="1">
      <c r="O28888" s="5" t="s">
        <v>355</v>
      </c>
      <c r="P28888" s="5" t="s">
        <v>355</v>
      </c>
      <c r="Q28888" s="5" t="s">
        <v>355</v>
      </c>
    </row>
    <row r="28889" ht="16.5" customHeight="1">
      <c r="O28889" s="5" t="s">
        <v>355</v>
      </c>
      <c r="P28889" s="5" t="s">
        <v>355</v>
      </c>
      <c r="Q28889" s="5" t="s">
        <v>355</v>
      </c>
    </row>
    <row r="28890" ht="16.5" customHeight="1">
      <c r="O28890" s="5" t="s">
        <v>355</v>
      </c>
      <c r="P28890" s="5" t="s">
        <v>355</v>
      </c>
      <c r="Q28890" s="5" t="s">
        <v>355</v>
      </c>
    </row>
    <row r="28891" ht="16.5" customHeight="1">
      <c r="O28891" s="5" t="s">
        <v>355</v>
      </c>
      <c r="P28891" s="5" t="s">
        <v>355</v>
      </c>
      <c r="Q28891" s="5" t="s">
        <v>355</v>
      </c>
    </row>
    <row r="28892" ht="16.5" customHeight="1">
      <c r="O28892" s="5" t="s">
        <v>355</v>
      </c>
      <c r="P28892" s="5" t="s">
        <v>355</v>
      </c>
      <c r="Q28892" s="5" t="s">
        <v>355</v>
      </c>
    </row>
    <row r="28893" ht="16.5" customHeight="1">
      <c r="O28893" s="5" t="s">
        <v>355</v>
      </c>
      <c r="P28893" s="5" t="s">
        <v>355</v>
      </c>
      <c r="Q28893" s="5" t="s">
        <v>355</v>
      </c>
    </row>
    <row r="28894" ht="16.5" customHeight="1">
      <c r="O28894" s="5" t="s">
        <v>355</v>
      </c>
      <c r="P28894" s="5" t="s">
        <v>355</v>
      </c>
      <c r="Q28894" s="5" t="s">
        <v>355</v>
      </c>
    </row>
    <row r="28895" ht="16.5" customHeight="1">
      <c r="O28895" s="5" t="s">
        <v>355</v>
      </c>
      <c r="P28895" s="5" t="s">
        <v>355</v>
      </c>
      <c r="Q28895" s="5" t="s">
        <v>355</v>
      </c>
    </row>
    <row r="28896" ht="16.5" customHeight="1">
      <c r="O28896" s="5" t="s">
        <v>355</v>
      </c>
      <c r="P28896" s="5" t="s">
        <v>355</v>
      </c>
      <c r="Q28896" s="5" t="s">
        <v>355</v>
      </c>
    </row>
    <row r="28897" ht="16.5" customHeight="1">
      <c r="O28897" s="5" t="s">
        <v>355</v>
      </c>
      <c r="P28897" s="5" t="s">
        <v>355</v>
      </c>
      <c r="Q28897" s="5" t="s">
        <v>355</v>
      </c>
    </row>
    <row r="28898" ht="16.5" customHeight="1">
      <c r="O28898" s="5" t="s">
        <v>355</v>
      </c>
      <c r="P28898" s="5" t="s">
        <v>355</v>
      </c>
      <c r="Q28898" s="5" t="s">
        <v>355</v>
      </c>
    </row>
    <row r="28899" ht="16.5" customHeight="1">
      <c r="O28899" s="5" t="s">
        <v>355</v>
      </c>
      <c r="P28899" s="5" t="s">
        <v>355</v>
      </c>
      <c r="Q28899" s="5" t="s">
        <v>355</v>
      </c>
    </row>
    <row r="28900" ht="16.5" customHeight="1">
      <c r="O28900" s="5" t="s">
        <v>355</v>
      </c>
      <c r="P28900" s="5" t="s">
        <v>355</v>
      </c>
      <c r="Q28900" s="5" t="s">
        <v>355</v>
      </c>
    </row>
    <row r="28901" ht="16.5" customHeight="1">
      <c r="O28901" s="5" t="s">
        <v>355</v>
      </c>
      <c r="P28901" s="5" t="s">
        <v>355</v>
      </c>
      <c r="Q28901" s="5" t="s">
        <v>355</v>
      </c>
    </row>
    <row r="28902" ht="16.5" customHeight="1">
      <c r="O28902" s="5" t="s">
        <v>355</v>
      </c>
      <c r="P28902" s="5" t="s">
        <v>355</v>
      </c>
      <c r="Q28902" s="5" t="s">
        <v>355</v>
      </c>
    </row>
    <row r="28903" ht="16.5" customHeight="1">
      <c r="O28903" s="5" t="s">
        <v>355</v>
      </c>
      <c r="P28903" s="5" t="s">
        <v>355</v>
      </c>
      <c r="Q28903" s="5" t="s">
        <v>355</v>
      </c>
    </row>
    <row r="28904" ht="16.5" customHeight="1">
      <c r="O28904" s="5" t="s">
        <v>355</v>
      </c>
      <c r="P28904" s="5" t="s">
        <v>355</v>
      </c>
      <c r="Q28904" s="5" t="s">
        <v>355</v>
      </c>
    </row>
    <row r="28905" ht="16.5" customHeight="1">
      <c r="O28905" s="5" t="s">
        <v>355</v>
      </c>
      <c r="P28905" s="5" t="s">
        <v>355</v>
      </c>
      <c r="Q28905" s="5" t="s">
        <v>355</v>
      </c>
    </row>
    <row r="28906" ht="16.5" customHeight="1">
      <c r="O28906" s="5" t="s">
        <v>355</v>
      </c>
      <c r="P28906" s="5" t="s">
        <v>355</v>
      </c>
      <c r="Q28906" s="5" t="s">
        <v>355</v>
      </c>
    </row>
    <row r="28907" ht="16.5" customHeight="1">
      <c r="O28907" s="5" t="s">
        <v>355</v>
      </c>
      <c r="P28907" s="5" t="s">
        <v>355</v>
      </c>
      <c r="Q28907" s="5" t="s">
        <v>355</v>
      </c>
    </row>
    <row r="28908" ht="16.5" customHeight="1">
      <c r="O28908" s="5" t="s">
        <v>355</v>
      </c>
      <c r="P28908" s="5" t="s">
        <v>355</v>
      </c>
      <c r="Q28908" s="5" t="s">
        <v>355</v>
      </c>
    </row>
    <row r="28909" ht="16.5" customHeight="1">
      <c r="O28909" s="5" t="s">
        <v>355</v>
      </c>
      <c r="P28909" s="5" t="s">
        <v>355</v>
      </c>
      <c r="Q28909" s="5" t="s">
        <v>355</v>
      </c>
    </row>
    <row r="28910" ht="16.5" customHeight="1">
      <c r="O28910" s="5" t="s">
        <v>355</v>
      </c>
      <c r="P28910" s="5" t="s">
        <v>355</v>
      </c>
      <c r="Q28910" s="5" t="s">
        <v>355</v>
      </c>
    </row>
    <row r="28911" ht="16.5" customHeight="1">
      <c r="O28911" s="5" t="s">
        <v>355</v>
      </c>
      <c r="P28911" s="5" t="s">
        <v>355</v>
      </c>
      <c r="Q28911" s="5" t="s">
        <v>355</v>
      </c>
    </row>
    <row r="28912" ht="16.5" customHeight="1">
      <c r="O28912" s="5" t="s">
        <v>355</v>
      </c>
      <c r="P28912" s="5" t="s">
        <v>355</v>
      </c>
      <c r="Q28912" s="5" t="s">
        <v>355</v>
      </c>
    </row>
    <row r="28913" ht="16.5" customHeight="1">
      <c r="O28913" s="5" t="s">
        <v>355</v>
      </c>
      <c r="P28913" s="5" t="s">
        <v>355</v>
      </c>
      <c r="Q28913" s="5" t="s">
        <v>355</v>
      </c>
    </row>
    <row r="28914" ht="16.5" customHeight="1">
      <c r="O28914" s="5" t="s">
        <v>355</v>
      </c>
      <c r="P28914" s="5" t="s">
        <v>355</v>
      </c>
      <c r="Q28914" s="5" t="s">
        <v>355</v>
      </c>
    </row>
    <row r="28915" ht="16.5" customHeight="1">
      <c r="O28915" s="5" t="s">
        <v>355</v>
      </c>
      <c r="P28915" s="5" t="s">
        <v>355</v>
      </c>
      <c r="Q28915" s="5" t="s">
        <v>355</v>
      </c>
    </row>
    <row r="28916" ht="16.5" customHeight="1">
      <c r="O28916" s="5" t="s">
        <v>355</v>
      </c>
      <c r="P28916" s="5" t="s">
        <v>355</v>
      </c>
      <c r="Q28916" s="5" t="s">
        <v>355</v>
      </c>
    </row>
    <row r="28917" ht="16.5" customHeight="1">
      <c r="O28917" s="5" t="s">
        <v>355</v>
      </c>
      <c r="P28917" s="5" t="s">
        <v>355</v>
      </c>
      <c r="Q28917" s="5" t="s">
        <v>355</v>
      </c>
    </row>
    <row r="28918" ht="16.5" customHeight="1">
      <c r="O28918" s="5" t="s">
        <v>355</v>
      </c>
      <c r="P28918" s="5" t="s">
        <v>355</v>
      </c>
      <c r="Q28918" s="5" t="s">
        <v>355</v>
      </c>
    </row>
    <row r="28919" ht="16.5" customHeight="1">
      <c r="O28919" s="5" t="s">
        <v>355</v>
      </c>
      <c r="P28919" s="5" t="s">
        <v>355</v>
      </c>
      <c r="Q28919" s="5" t="s">
        <v>355</v>
      </c>
    </row>
    <row r="28920" ht="16.5" customHeight="1">
      <c r="O28920" s="5" t="s">
        <v>355</v>
      </c>
      <c r="P28920" s="5" t="s">
        <v>355</v>
      </c>
      <c r="Q28920" s="5" t="s">
        <v>355</v>
      </c>
    </row>
    <row r="28921" ht="16.5" customHeight="1">
      <c r="O28921" s="5" t="s">
        <v>355</v>
      </c>
      <c r="P28921" s="5" t="s">
        <v>355</v>
      </c>
      <c r="Q28921" s="5" t="s">
        <v>355</v>
      </c>
    </row>
    <row r="28922" ht="16.5" customHeight="1">
      <c r="O28922" s="5" t="s">
        <v>355</v>
      </c>
      <c r="P28922" s="5" t="s">
        <v>355</v>
      </c>
      <c r="Q28922" s="5" t="s">
        <v>355</v>
      </c>
    </row>
    <row r="28923" ht="16.5" customHeight="1">
      <c r="O28923" s="5" t="s">
        <v>355</v>
      </c>
      <c r="P28923" s="5" t="s">
        <v>355</v>
      </c>
      <c r="Q28923" s="5" t="s">
        <v>355</v>
      </c>
    </row>
    <row r="28924" ht="16.5" customHeight="1">
      <c r="O28924" s="5" t="s">
        <v>355</v>
      </c>
      <c r="P28924" s="5" t="s">
        <v>355</v>
      </c>
      <c r="Q28924" s="5" t="s">
        <v>355</v>
      </c>
    </row>
    <row r="28925" ht="16.5" customHeight="1">
      <c r="O28925" s="5" t="s">
        <v>355</v>
      </c>
      <c r="P28925" s="5" t="s">
        <v>355</v>
      </c>
      <c r="Q28925" s="5" t="s">
        <v>355</v>
      </c>
    </row>
    <row r="28926" ht="16.5" customHeight="1">
      <c r="O28926" s="5" t="s">
        <v>355</v>
      </c>
      <c r="P28926" s="5" t="s">
        <v>355</v>
      </c>
      <c r="Q28926" s="5" t="s">
        <v>355</v>
      </c>
    </row>
    <row r="28927" ht="16.5" customHeight="1">
      <c r="O28927" s="5" t="s">
        <v>355</v>
      </c>
      <c r="P28927" s="5" t="s">
        <v>355</v>
      </c>
      <c r="Q28927" s="5" t="s">
        <v>355</v>
      </c>
    </row>
    <row r="28928" ht="16.5" customHeight="1">
      <c r="O28928" s="5" t="s">
        <v>355</v>
      </c>
      <c r="P28928" s="5" t="s">
        <v>355</v>
      </c>
      <c r="Q28928" s="5" t="s">
        <v>355</v>
      </c>
    </row>
    <row r="28929" ht="16.5" customHeight="1">
      <c r="O28929" s="5" t="s">
        <v>355</v>
      </c>
      <c r="P28929" s="5" t="s">
        <v>355</v>
      </c>
      <c r="Q28929" s="5" t="s">
        <v>355</v>
      </c>
    </row>
    <row r="28930" ht="16.5" customHeight="1">
      <c r="O28930" s="5" t="s">
        <v>355</v>
      </c>
      <c r="P28930" s="5" t="s">
        <v>355</v>
      </c>
      <c r="Q28930" s="5" t="s">
        <v>355</v>
      </c>
    </row>
    <row r="28931" ht="16.5" customHeight="1">
      <c r="O28931" s="5" t="s">
        <v>355</v>
      </c>
      <c r="P28931" s="5" t="s">
        <v>355</v>
      </c>
      <c r="Q28931" s="5" t="s">
        <v>355</v>
      </c>
    </row>
    <row r="28932" ht="16.5" customHeight="1">
      <c r="O28932" s="5" t="s">
        <v>355</v>
      </c>
      <c r="P28932" s="5" t="s">
        <v>355</v>
      </c>
      <c r="Q28932" s="5" t="s">
        <v>355</v>
      </c>
    </row>
    <row r="28933" ht="16.5" customHeight="1">
      <c r="O28933" s="5" t="s">
        <v>355</v>
      </c>
      <c r="P28933" s="5" t="s">
        <v>355</v>
      </c>
      <c r="Q28933" s="5" t="s">
        <v>355</v>
      </c>
    </row>
    <row r="28934" ht="16.5" customHeight="1">
      <c r="O28934" s="5" t="s">
        <v>355</v>
      </c>
      <c r="P28934" s="5" t="s">
        <v>355</v>
      </c>
      <c r="Q28934" s="5" t="s">
        <v>355</v>
      </c>
    </row>
    <row r="28935" ht="16.5" customHeight="1">
      <c r="O28935" s="5" t="s">
        <v>355</v>
      </c>
      <c r="P28935" s="5" t="s">
        <v>355</v>
      </c>
      <c r="Q28935" s="5" t="s">
        <v>355</v>
      </c>
    </row>
    <row r="28936" ht="16.5" customHeight="1">
      <c r="O28936" s="5" t="s">
        <v>355</v>
      </c>
      <c r="P28936" s="5" t="s">
        <v>355</v>
      </c>
      <c r="Q28936" s="5" t="s">
        <v>355</v>
      </c>
    </row>
    <row r="28937" ht="16.5" customHeight="1">
      <c r="O28937" s="5" t="s">
        <v>355</v>
      </c>
      <c r="P28937" s="5" t="s">
        <v>355</v>
      </c>
      <c r="Q28937" s="5" t="s">
        <v>355</v>
      </c>
    </row>
    <row r="28938" ht="16.5" customHeight="1">
      <c r="O28938" s="5" t="s">
        <v>355</v>
      </c>
      <c r="P28938" s="5" t="s">
        <v>355</v>
      </c>
      <c r="Q28938" s="5" t="s">
        <v>355</v>
      </c>
    </row>
    <row r="28939" ht="16.5" customHeight="1">
      <c r="O28939" s="5" t="s">
        <v>355</v>
      </c>
      <c r="P28939" s="5" t="s">
        <v>355</v>
      </c>
      <c r="Q28939" s="5" t="s">
        <v>355</v>
      </c>
    </row>
    <row r="28940" ht="16.5" customHeight="1">
      <c r="O28940" s="5" t="s">
        <v>355</v>
      </c>
      <c r="P28940" s="5" t="s">
        <v>355</v>
      </c>
      <c r="Q28940" s="5" t="s">
        <v>355</v>
      </c>
    </row>
    <row r="28941" ht="16.5" customHeight="1">
      <c r="O28941" s="5" t="s">
        <v>355</v>
      </c>
      <c r="P28941" s="5" t="s">
        <v>355</v>
      </c>
      <c r="Q28941" s="5" t="s">
        <v>355</v>
      </c>
    </row>
    <row r="28942" ht="16.5" customHeight="1">
      <c r="O28942" s="5" t="s">
        <v>355</v>
      </c>
      <c r="P28942" s="5" t="s">
        <v>355</v>
      </c>
      <c r="Q28942" s="5" t="s">
        <v>355</v>
      </c>
    </row>
    <row r="28943" ht="16.5" customHeight="1">
      <c r="O28943" s="5" t="s">
        <v>355</v>
      </c>
      <c r="P28943" s="5" t="s">
        <v>355</v>
      </c>
      <c r="Q28943" s="5" t="s">
        <v>355</v>
      </c>
    </row>
    <row r="28944" ht="16.5" customHeight="1">
      <c r="O28944" s="5" t="s">
        <v>355</v>
      </c>
      <c r="P28944" s="5" t="s">
        <v>355</v>
      </c>
      <c r="Q28944" s="5" t="s">
        <v>355</v>
      </c>
    </row>
    <row r="28945" ht="16.5" customHeight="1">
      <c r="O28945" s="5" t="s">
        <v>355</v>
      </c>
      <c r="P28945" s="5" t="s">
        <v>355</v>
      </c>
      <c r="Q28945" s="5" t="s">
        <v>355</v>
      </c>
    </row>
    <row r="28946" ht="16.5" customHeight="1">
      <c r="O28946" s="5" t="s">
        <v>355</v>
      </c>
      <c r="P28946" s="5" t="s">
        <v>355</v>
      </c>
      <c r="Q28946" s="5" t="s">
        <v>355</v>
      </c>
    </row>
    <row r="28947" ht="16.5" customHeight="1">
      <c r="O28947" s="5" t="s">
        <v>355</v>
      </c>
      <c r="P28947" s="5" t="s">
        <v>355</v>
      </c>
      <c r="Q28947" s="5" t="s">
        <v>355</v>
      </c>
    </row>
    <row r="28948" ht="16.5" customHeight="1">
      <c r="O28948" s="5" t="s">
        <v>355</v>
      </c>
      <c r="P28948" s="5" t="s">
        <v>355</v>
      </c>
      <c r="Q28948" s="5" t="s">
        <v>355</v>
      </c>
    </row>
    <row r="28949" ht="16.5" customHeight="1">
      <c r="O28949" s="5" t="s">
        <v>355</v>
      </c>
      <c r="P28949" s="5" t="s">
        <v>355</v>
      </c>
      <c r="Q28949" s="5" t="s">
        <v>355</v>
      </c>
    </row>
    <row r="28950" ht="16.5" customHeight="1">
      <c r="O28950" s="5" t="s">
        <v>355</v>
      </c>
      <c r="P28950" s="5" t="s">
        <v>355</v>
      </c>
      <c r="Q28950" s="5" t="s">
        <v>355</v>
      </c>
    </row>
    <row r="28951" ht="16.5" customHeight="1">
      <c r="O28951" s="5" t="s">
        <v>355</v>
      </c>
      <c r="P28951" s="5" t="s">
        <v>355</v>
      </c>
      <c r="Q28951" s="5" t="s">
        <v>355</v>
      </c>
    </row>
    <row r="28952" ht="16.5" customHeight="1">
      <c r="O28952" s="5" t="s">
        <v>355</v>
      </c>
      <c r="P28952" s="5" t="s">
        <v>355</v>
      </c>
      <c r="Q28952" s="5" t="s">
        <v>355</v>
      </c>
    </row>
    <row r="28953" ht="16.5" customHeight="1">
      <c r="O28953" s="5" t="s">
        <v>355</v>
      </c>
      <c r="P28953" s="5" t="s">
        <v>355</v>
      </c>
      <c r="Q28953" s="5" t="s">
        <v>355</v>
      </c>
    </row>
    <row r="28954" ht="16.5" customHeight="1">
      <c r="O28954" s="5" t="s">
        <v>355</v>
      </c>
      <c r="P28954" s="5" t="s">
        <v>355</v>
      </c>
      <c r="Q28954" s="5" t="s">
        <v>355</v>
      </c>
    </row>
    <row r="28955" ht="16.5" customHeight="1">
      <c r="O28955" s="5" t="s">
        <v>355</v>
      </c>
      <c r="P28955" s="5" t="s">
        <v>355</v>
      </c>
      <c r="Q28955" s="5" t="s">
        <v>355</v>
      </c>
    </row>
    <row r="28956" ht="16.5" customHeight="1">
      <c r="O28956" s="5" t="s">
        <v>355</v>
      </c>
      <c r="P28956" s="5" t="s">
        <v>355</v>
      </c>
      <c r="Q28956" s="5" t="s">
        <v>355</v>
      </c>
    </row>
    <row r="28957" ht="16.5" customHeight="1">
      <c r="O28957" s="5" t="s">
        <v>355</v>
      </c>
      <c r="P28957" s="5" t="s">
        <v>355</v>
      </c>
      <c r="Q28957" s="5" t="s">
        <v>355</v>
      </c>
    </row>
    <row r="28958" ht="16.5" customHeight="1">
      <c r="O28958" s="5" t="s">
        <v>355</v>
      </c>
      <c r="P28958" s="5" t="s">
        <v>355</v>
      </c>
      <c r="Q28958" s="5" t="s">
        <v>355</v>
      </c>
    </row>
    <row r="28959" ht="16.5" customHeight="1">
      <c r="O28959" s="5" t="s">
        <v>355</v>
      </c>
      <c r="P28959" s="5" t="s">
        <v>355</v>
      </c>
      <c r="Q28959" s="5" t="s">
        <v>355</v>
      </c>
    </row>
    <row r="28960" ht="16.5" customHeight="1">
      <c r="O28960" s="5" t="s">
        <v>355</v>
      </c>
      <c r="P28960" s="5" t="s">
        <v>355</v>
      </c>
      <c r="Q28960" s="5" t="s">
        <v>355</v>
      </c>
    </row>
    <row r="28961" ht="16.5" customHeight="1">
      <c r="O28961" s="5" t="s">
        <v>355</v>
      </c>
      <c r="P28961" s="5" t="s">
        <v>355</v>
      </c>
      <c r="Q28961" s="5" t="s">
        <v>355</v>
      </c>
    </row>
    <row r="28962" ht="16.5" customHeight="1">
      <c r="O28962" s="5" t="s">
        <v>355</v>
      </c>
      <c r="P28962" s="5" t="s">
        <v>355</v>
      </c>
      <c r="Q28962" s="5" t="s">
        <v>355</v>
      </c>
    </row>
    <row r="28963" ht="16.5" customHeight="1">
      <c r="O28963" s="5" t="s">
        <v>355</v>
      </c>
      <c r="P28963" s="5" t="s">
        <v>355</v>
      </c>
      <c r="Q28963" s="5" t="s">
        <v>355</v>
      </c>
    </row>
    <row r="28964" ht="16.5" customHeight="1">
      <c r="O28964" s="5" t="s">
        <v>355</v>
      </c>
      <c r="P28964" s="5" t="s">
        <v>355</v>
      </c>
      <c r="Q28964" s="5" t="s">
        <v>355</v>
      </c>
    </row>
    <row r="28965" ht="16.5" customHeight="1">
      <c r="O28965" s="5" t="s">
        <v>355</v>
      </c>
      <c r="P28965" s="5" t="s">
        <v>355</v>
      </c>
      <c r="Q28965" s="5" t="s">
        <v>355</v>
      </c>
    </row>
    <row r="28966" ht="16.5" customHeight="1">
      <c r="O28966" s="5" t="s">
        <v>355</v>
      </c>
      <c r="P28966" s="5" t="s">
        <v>355</v>
      </c>
      <c r="Q28966" s="5" t="s">
        <v>355</v>
      </c>
    </row>
    <row r="28967" ht="16.5" customHeight="1">
      <c r="O28967" s="5" t="s">
        <v>355</v>
      </c>
      <c r="P28967" s="5" t="s">
        <v>355</v>
      </c>
      <c r="Q28967" s="5" t="s">
        <v>355</v>
      </c>
    </row>
    <row r="28968" ht="16.5" customHeight="1">
      <c r="O28968" s="5" t="s">
        <v>355</v>
      </c>
      <c r="P28968" s="5" t="s">
        <v>355</v>
      </c>
      <c r="Q28968" s="5" t="s">
        <v>355</v>
      </c>
    </row>
    <row r="28969" ht="16.5" customHeight="1">
      <c r="O28969" s="5" t="s">
        <v>355</v>
      </c>
      <c r="P28969" s="5" t="s">
        <v>355</v>
      </c>
      <c r="Q28969" s="5" t="s">
        <v>355</v>
      </c>
    </row>
    <row r="28970" ht="16.5" customHeight="1">
      <c r="O28970" s="5" t="s">
        <v>355</v>
      </c>
      <c r="P28970" s="5" t="s">
        <v>355</v>
      </c>
      <c r="Q28970" s="5" t="s">
        <v>355</v>
      </c>
    </row>
    <row r="28971" ht="16.5" customHeight="1">
      <c r="O28971" s="5" t="s">
        <v>355</v>
      </c>
      <c r="P28971" s="5" t="s">
        <v>355</v>
      </c>
      <c r="Q28971" s="5" t="s">
        <v>355</v>
      </c>
    </row>
    <row r="28972" ht="16.5" customHeight="1">
      <c r="O28972" s="5" t="s">
        <v>355</v>
      </c>
      <c r="P28972" s="5" t="s">
        <v>355</v>
      </c>
      <c r="Q28972" s="5" t="s">
        <v>355</v>
      </c>
    </row>
    <row r="28973" ht="16.5" customHeight="1">
      <c r="O28973" s="5" t="s">
        <v>355</v>
      </c>
      <c r="P28973" s="5" t="s">
        <v>355</v>
      </c>
      <c r="Q28973" s="5" t="s">
        <v>355</v>
      </c>
    </row>
    <row r="28974" ht="16.5" customHeight="1">
      <c r="O28974" s="5" t="s">
        <v>355</v>
      </c>
      <c r="P28974" s="5" t="s">
        <v>355</v>
      </c>
      <c r="Q28974" s="5" t="s">
        <v>355</v>
      </c>
    </row>
    <row r="28975" ht="16.5" customHeight="1">
      <c r="O28975" s="5" t="s">
        <v>355</v>
      </c>
      <c r="P28975" s="5" t="s">
        <v>355</v>
      </c>
      <c r="Q28975" s="5" t="s">
        <v>355</v>
      </c>
    </row>
    <row r="28976" ht="16.5" customHeight="1">
      <c r="O28976" s="5" t="s">
        <v>355</v>
      </c>
      <c r="P28976" s="5" t="s">
        <v>355</v>
      </c>
      <c r="Q28976" s="5" t="s">
        <v>355</v>
      </c>
    </row>
    <row r="28977" ht="16.5" customHeight="1">
      <c r="O28977" s="5" t="s">
        <v>355</v>
      </c>
      <c r="P28977" s="5" t="s">
        <v>355</v>
      </c>
      <c r="Q28977" s="5" t="s">
        <v>355</v>
      </c>
    </row>
    <row r="28978" ht="16.5" customHeight="1">
      <c r="O28978" s="5" t="s">
        <v>355</v>
      </c>
      <c r="P28978" s="5" t="s">
        <v>355</v>
      </c>
      <c r="Q28978" s="5" t="s">
        <v>355</v>
      </c>
    </row>
    <row r="28979" ht="16.5" customHeight="1">
      <c r="O28979" s="5" t="s">
        <v>355</v>
      </c>
      <c r="P28979" s="5" t="s">
        <v>355</v>
      </c>
      <c r="Q28979" s="5" t="s">
        <v>355</v>
      </c>
    </row>
    <row r="28980" ht="16.5" customHeight="1">
      <c r="O28980" s="5" t="s">
        <v>355</v>
      </c>
      <c r="P28980" s="5" t="s">
        <v>355</v>
      </c>
      <c r="Q28980" s="5" t="s">
        <v>355</v>
      </c>
    </row>
    <row r="28981" ht="16.5" customHeight="1">
      <c r="O28981" s="5" t="s">
        <v>355</v>
      </c>
      <c r="P28981" s="5" t="s">
        <v>355</v>
      </c>
      <c r="Q28981" s="5" t="s">
        <v>355</v>
      </c>
    </row>
    <row r="28982" ht="16.5" customHeight="1">
      <c r="O28982" s="5" t="s">
        <v>355</v>
      </c>
      <c r="P28982" s="5" t="s">
        <v>355</v>
      </c>
      <c r="Q28982" s="5" t="s">
        <v>355</v>
      </c>
    </row>
    <row r="28983" ht="16.5" customHeight="1">
      <c r="O28983" s="5" t="s">
        <v>355</v>
      </c>
      <c r="P28983" s="5" t="s">
        <v>355</v>
      </c>
      <c r="Q28983" s="5" t="s">
        <v>355</v>
      </c>
    </row>
    <row r="28984" ht="16.5" customHeight="1">
      <c r="O28984" s="5" t="s">
        <v>355</v>
      </c>
      <c r="P28984" s="5" t="s">
        <v>355</v>
      </c>
      <c r="Q28984" s="5" t="s">
        <v>355</v>
      </c>
    </row>
    <row r="28985" ht="16.5" customHeight="1">
      <c r="O28985" s="5" t="s">
        <v>355</v>
      </c>
      <c r="P28985" s="5" t="s">
        <v>355</v>
      </c>
      <c r="Q28985" s="5" t="s">
        <v>355</v>
      </c>
    </row>
    <row r="28986" ht="16.5" customHeight="1">
      <c r="O28986" s="5" t="s">
        <v>355</v>
      </c>
      <c r="P28986" s="5" t="s">
        <v>355</v>
      </c>
      <c r="Q28986" s="5" t="s">
        <v>355</v>
      </c>
    </row>
    <row r="28987" ht="16.5" customHeight="1">
      <c r="O28987" s="5" t="s">
        <v>355</v>
      </c>
      <c r="P28987" s="5" t="s">
        <v>355</v>
      </c>
      <c r="Q28987" s="5" t="s">
        <v>355</v>
      </c>
    </row>
    <row r="28988" ht="16.5" customHeight="1">
      <c r="O28988" s="5" t="s">
        <v>355</v>
      </c>
      <c r="P28988" s="5" t="s">
        <v>355</v>
      </c>
      <c r="Q28988" s="5" t="s">
        <v>355</v>
      </c>
    </row>
    <row r="28989" ht="16.5" customHeight="1">
      <c r="O28989" s="5" t="s">
        <v>355</v>
      </c>
      <c r="P28989" s="5" t="s">
        <v>355</v>
      </c>
      <c r="Q28989" s="5" t="s">
        <v>355</v>
      </c>
    </row>
    <row r="28990" ht="16.5" customHeight="1">
      <c r="O28990" s="5" t="s">
        <v>355</v>
      </c>
      <c r="P28990" s="5" t="s">
        <v>355</v>
      </c>
      <c r="Q28990" s="5" t="s">
        <v>355</v>
      </c>
    </row>
    <row r="28991" ht="16.5" customHeight="1">
      <c r="O28991" s="5" t="s">
        <v>355</v>
      </c>
      <c r="P28991" s="5" t="s">
        <v>355</v>
      </c>
      <c r="Q28991" s="5" t="s">
        <v>355</v>
      </c>
    </row>
    <row r="28992" ht="16.5" customHeight="1">
      <c r="O28992" s="5" t="s">
        <v>355</v>
      </c>
      <c r="P28992" s="5" t="s">
        <v>355</v>
      </c>
      <c r="Q28992" s="5" t="s">
        <v>355</v>
      </c>
    </row>
    <row r="28993" ht="16.5" customHeight="1">
      <c r="O28993" s="5" t="s">
        <v>355</v>
      </c>
      <c r="P28993" s="5" t="s">
        <v>355</v>
      </c>
      <c r="Q28993" s="5" t="s">
        <v>355</v>
      </c>
    </row>
    <row r="28994" ht="16.5" customHeight="1">
      <c r="O28994" s="5" t="s">
        <v>355</v>
      </c>
      <c r="P28994" s="5" t="s">
        <v>355</v>
      </c>
      <c r="Q28994" s="5" t="s">
        <v>355</v>
      </c>
    </row>
    <row r="28995" ht="16.5" customHeight="1">
      <c r="O28995" s="5" t="s">
        <v>355</v>
      </c>
      <c r="P28995" s="5" t="s">
        <v>355</v>
      </c>
      <c r="Q28995" s="5" t="s">
        <v>355</v>
      </c>
    </row>
    <row r="28996" ht="16.5" customHeight="1">
      <c r="O28996" s="5" t="s">
        <v>355</v>
      </c>
      <c r="P28996" s="5" t="s">
        <v>355</v>
      </c>
      <c r="Q28996" s="5" t="s">
        <v>355</v>
      </c>
    </row>
    <row r="28997" ht="16.5" customHeight="1">
      <c r="O28997" s="5" t="s">
        <v>355</v>
      </c>
      <c r="P28997" s="5" t="s">
        <v>355</v>
      </c>
      <c r="Q28997" s="5" t="s">
        <v>355</v>
      </c>
    </row>
    <row r="28998" ht="16.5" customHeight="1">
      <c r="O28998" s="5" t="s">
        <v>355</v>
      </c>
      <c r="P28998" s="5" t="s">
        <v>355</v>
      </c>
      <c r="Q28998" s="5" t="s">
        <v>355</v>
      </c>
    </row>
    <row r="28999" ht="16.5" customHeight="1">
      <c r="O28999" s="5" t="s">
        <v>355</v>
      </c>
      <c r="P28999" s="5" t="s">
        <v>355</v>
      </c>
      <c r="Q28999" s="5" t="s">
        <v>355</v>
      </c>
    </row>
    <row r="29000" ht="16.5" customHeight="1">
      <c r="O29000" s="5" t="s">
        <v>355</v>
      </c>
      <c r="P29000" s="5" t="s">
        <v>355</v>
      </c>
      <c r="Q29000" s="5" t="s">
        <v>355</v>
      </c>
    </row>
    <row r="29001" ht="16.5" customHeight="1">
      <c r="O29001" s="5" t="s">
        <v>355</v>
      </c>
      <c r="P29001" s="5" t="s">
        <v>355</v>
      </c>
      <c r="Q29001" s="5" t="s">
        <v>355</v>
      </c>
    </row>
    <row r="29002" ht="16.5" customHeight="1">
      <c r="O29002" s="5" t="s">
        <v>355</v>
      </c>
      <c r="P29002" s="5" t="s">
        <v>355</v>
      </c>
      <c r="Q29002" s="5" t="s">
        <v>355</v>
      </c>
    </row>
    <row r="29003" ht="16.5" customHeight="1">
      <c r="O29003" s="5" t="s">
        <v>355</v>
      </c>
      <c r="P29003" s="5" t="s">
        <v>355</v>
      </c>
      <c r="Q29003" s="5" t="s">
        <v>355</v>
      </c>
    </row>
    <row r="29004" ht="16.5" customHeight="1">
      <c r="O29004" s="5" t="s">
        <v>355</v>
      </c>
      <c r="P29004" s="5" t="s">
        <v>355</v>
      </c>
      <c r="Q29004" s="5" t="s">
        <v>355</v>
      </c>
    </row>
    <row r="29005" ht="16.5" customHeight="1">
      <c r="O29005" s="5" t="s">
        <v>355</v>
      </c>
      <c r="P29005" s="5" t="s">
        <v>355</v>
      </c>
      <c r="Q29005" s="5" t="s">
        <v>355</v>
      </c>
    </row>
    <row r="29006" ht="16.5" customHeight="1">
      <c r="O29006" s="5" t="s">
        <v>355</v>
      </c>
      <c r="P29006" s="5" t="s">
        <v>355</v>
      </c>
      <c r="Q29006" s="5" t="s">
        <v>355</v>
      </c>
    </row>
    <row r="29007" ht="16.5" customHeight="1">
      <c r="O29007" s="5" t="s">
        <v>355</v>
      </c>
      <c r="P29007" s="5" t="s">
        <v>355</v>
      </c>
      <c r="Q29007" s="5" t="s">
        <v>355</v>
      </c>
    </row>
    <row r="29008" ht="16.5" customHeight="1">
      <c r="O29008" s="5" t="s">
        <v>355</v>
      </c>
      <c r="P29008" s="5" t="s">
        <v>355</v>
      </c>
      <c r="Q29008" s="5" t="s">
        <v>355</v>
      </c>
    </row>
    <row r="29009" ht="16.5" customHeight="1">
      <c r="O29009" s="5" t="s">
        <v>355</v>
      </c>
      <c r="P29009" s="5" t="s">
        <v>355</v>
      </c>
      <c r="Q29009" s="5" t="s">
        <v>355</v>
      </c>
    </row>
    <row r="29010" ht="16.5" customHeight="1">
      <c r="O29010" s="5" t="s">
        <v>355</v>
      </c>
      <c r="P29010" s="5" t="s">
        <v>355</v>
      </c>
      <c r="Q29010" s="5" t="s">
        <v>355</v>
      </c>
    </row>
    <row r="29011" ht="16.5" customHeight="1">
      <c r="O29011" s="5" t="s">
        <v>355</v>
      </c>
      <c r="P29011" s="5" t="s">
        <v>355</v>
      </c>
      <c r="Q29011" s="5" t="s">
        <v>355</v>
      </c>
    </row>
    <row r="29012" ht="16.5" customHeight="1">
      <c r="O29012" s="5" t="s">
        <v>355</v>
      </c>
      <c r="P29012" s="5" t="s">
        <v>355</v>
      </c>
      <c r="Q29012" s="5" t="s">
        <v>355</v>
      </c>
    </row>
    <row r="29013" ht="16.5" customHeight="1">
      <c r="O29013" s="5" t="s">
        <v>355</v>
      </c>
      <c r="P29013" s="5" t="s">
        <v>355</v>
      </c>
      <c r="Q29013" s="5" t="s">
        <v>355</v>
      </c>
    </row>
    <row r="29014" ht="16.5" customHeight="1">
      <c r="O29014" s="5" t="s">
        <v>355</v>
      </c>
      <c r="P29014" s="5" t="s">
        <v>355</v>
      </c>
      <c r="Q29014" s="5" t="s">
        <v>355</v>
      </c>
    </row>
    <row r="29015" ht="16.5" customHeight="1">
      <c r="O29015" s="5" t="s">
        <v>355</v>
      </c>
      <c r="P29015" s="5" t="s">
        <v>355</v>
      </c>
      <c r="Q29015" s="5" t="s">
        <v>355</v>
      </c>
    </row>
    <row r="29016" ht="16.5" customHeight="1">
      <c r="O29016" s="5" t="s">
        <v>355</v>
      </c>
      <c r="P29016" s="5" t="s">
        <v>355</v>
      </c>
      <c r="Q29016" s="5" t="s">
        <v>355</v>
      </c>
    </row>
    <row r="29017" ht="16.5" customHeight="1">
      <c r="O29017" s="5" t="s">
        <v>355</v>
      </c>
      <c r="P29017" s="5" t="s">
        <v>355</v>
      </c>
      <c r="Q29017" s="5" t="s">
        <v>355</v>
      </c>
    </row>
    <row r="29018" ht="16.5" customHeight="1">
      <c r="O29018" s="5" t="s">
        <v>355</v>
      </c>
      <c r="P29018" s="5" t="s">
        <v>355</v>
      </c>
      <c r="Q29018" s="5" t="s">
        <v>355</v>
      </c>
    </row>
    <row r="29019" ht="16.5" customHeight="1">
      <c r="O29019" s="5" t="s">
        <v>355</v>
      </c>
      <c r="P29019" s="5" t="s">
        <v>355</v>
      </c>
      <c r="Q29019" s="5" t="s">
        <v>355</v>
      </c>
    </row>
    <row r="29020" ht="16.5" customHeight="1">
      <c r="O29020" s="5" t="s">
        <v>355</v>
      </c>
      <c r="P29020" s="5" t="s">
        <v>355</v>
      </c>
      <c r="Q29020" s="5" t="s">
        <v>355</v>
      </c>
    </row>
    <row r="29021" ht="16.5" customHeight="1">
      <c r="O29021" s="5" t="s">
        <v>355</v>
      </c>
      <c r="P29021" s="5" t="s">
        <v>355</v>
      </c>
      <c r="Q29021" s="5" t="s">
        <v>355</v>
      </c>
    </row>
    <row r="29022" ht="16.5" customHeight="1">
      <c r="O29022" s="5" t="s">
        <v>355</v>
      </c>
      <c r="P29022" s="5" t="s">
        <v>355</v>
      </c>
      <c r="Q29022" s="5" t="s">
        <v>355</v>
      </c>
    </row>
    <row r="29023" ht="16.5" customHeight="1">
      <c r="O29023" s="5" t="s">
        <v>355</v>
      </c>
      <c r="P29023" s="5" t="s">
        <v>355</v>
      </c>
      <c r="Q29023" s="5" t="s">
        <v>355</v>
      </c>
    </row>
    <row r="29024" ht="16.5" customHeight="1">
      <c r="O29024" s="5" t="s">
        <v>355</v>
      </c>
      <c r="P29024" s="5" t="s">
        <v>355</v>
      </c>
      <c r="Q29024" s="5" t="s">
        <v>355</v>
      </c>
    </row>
    <row r="29025" ht="16.5" customHeight="1">
      <c r="O29025" s="5" t="s">
        <v>355</v>
      </c>
      <c r="P29025" s="5" t="s">
        <v>355</v>
      </c>
      <c r="Q29025" s="5" t="s">
        <v>355</v>
      </c>
    </row>
    <row r="29026" ht="16.5" customHeight="1">
      <c r="O29026" s="5" t="s">
        <v>355</v>
      </c>
      <c r="P29026" s="5" t="s">
        <v>355</v>
      </c>
      <c r="Q29026" s="5" t="s">
        <v>355</v>
      </c>
    </row>
    <row r="29027" ht="16.5" customHeight="1">
      <c r="O29027" s="5" t="s">
        <v>355</v>
      </c>
      <c r="P29027" s="5" t="s">
        <v>355</v>
      </c>
      <c r="Q29027" s="5" t="s">
        <v>355</v>
      </c>
    </row>
    <row r="29028" ht="16.5" customHeight="1">
      <c r="O29028" s="5" t="s">
        <v>355</v>
      </c>
      <c r="P29028" s="5" t="s">
        <v>355</v>
      </c>
      <c r="Q29028" s="5" t="s">
        <v>355</v>
      </c>
    </row>
    <row r="29029" ht="16.5" customHeight="1">
      <c r="O29029" s="5" t="s">
        <v>355</v>
      </c>
      <c r="P29029" s="5" t="s">
        <v>355</v>
      </c>
      <c r="Q29029" s="5" t="s">
        <v>355</v>
      </c>
    </row>
    <row r="29030" ht="16.5" customHeight="1">
      <c r="O29030" s="5" t="s">
        <v>355</v>
      </c>
      <c r="P29030" s="5" t="s">
        <v>355</v>
      </c>
      <c r="Q29030" s="5" t="s">
        <v>355</v>
      </c>
    </row>
    <row r="29031" ht="16.5" customHeight="1">
      <c r="O29031" s="5" t="s">
        <v>355</v>
      </c>
      <c r="P29031" s="5" t="s">
        <v>355</v>
      </c>
      <c r="Q29031" s="5" t="s">
        <v>355</v>
      </c>
    </row>
    <row r="29032" ht="16.5" customHeight="1">
      <c r="O29032" s="5" t="s">
        <v>355</v>
      </c>
      <c r="P29032" s="5" t="s">
        <v>355</v>
      </c>
      <c r="Q29032" s="5" t="s">
        <v>355</v>
      </c>
    </row>
    <row r="29033" ht="16.5" customHeight="1">
      <c r="O29033" s="5" t="s">
        <v>355</v>
      </c>
      <c r="P29033" s="5" t="s">
        <v>355</v>
      </c>
      <c r="Q29033" s="5" t="s">
        <v>355</v>
      </c>
    </row>
    <row r="29034" ht="16.5" customHeight="1">
      <c r="O29034" s="5" t="s">
        <v>355</v>
      </c>
      <c r="P29034" s="5" t="s">
        <v>355</v>
      </c>
      <c r="Q29034" s="5" t="s">
        <v>355</v>
      </c>
    </row>
    <row r="29035" ht="16.5" customHeight="1">
      <c r="O29035" s="5" t="s">
        <v>355</v>
      </c>
      <c r="P29035" s="5" t="s">
        <v>355</v>
      </c>
      <c r="Q29035" s="5" t="s">
        <v>355</v>
      </c>
    </row>
    <row r="29036" ht="16.5" customHeight="1">
      <c r="O29036" s="5" t="s">
        <v>355</v>
      </c>
      <c r="P29036" s="5" t="s">
        <v>355</v>
      </c>
      <c r="Q29036" s="5" t="s">
        <v>355</v>
      </c>
    </row>
    <row r="29037" ht="16.5" customHeight="1">
      <c r="O29037" s="5" t="s">
        <v>355</v>
      </c>
      <c r="P29037" s="5" t="s">
        <v>355</v>
      </c>
      <c r="Q29037" s="5" t="s">
        <v>355</v>
      </c>
    </row>
    <row r="29038" ht="16.5" customHeight="1">
      <c r="O29038" s="5" t="s">
        <v>355</v>
      </c>
      <c r="P29038" s="5" t="s">
        <v>355</v>
      </c>
      <c r="Q29038" s="5" t="s">
        <v>355</v>
      </c>
    </row>
    <row r="29039" ht="16.5" customHeight="1">
      <c r="O29039" s="5" t="s">
        <v>355</v>
      </c>
      <c r="P29039" s="5" t="s">
        <v>355</v>
      </c>
      <c r="Q29039" s="5" t="s">
        <v>355</v>
      </c>
    </row>
    <row r="29040" ht="16.5" customHeight="1">
      <c r="O29040" s="5" t="s">
        <v>355</v>
      </c>
      <c r="P29040" s="5" t="s">
        <v>355</v>
      </c>
      <c r="Q29040" s="5" t="s">
        <v>355</v>
      </c>
    </row>
    <row r="29041" ht="16.5" customHeight="1">
      <c r="O29041" s="5" t="s">
        <v>355</v>
      </c>
      <c r="P29041" s="5" t="s">
        <v>355</v>
      </c>
      <c r="Q29041" s="5" t="s">
        <v>355</v>
      </c>
    </row>
    <row r="29042" ht="16.5" customHeight="1">
      <c r="O29042" s="5" t="s">
        <v>355</v>
      </c>
      <c r="P29042" s="5" t="s">
        <v>355</v>
      </c>
      <c r="Q29042" s="5" t="s">
        <v>355</v>
      </c>
    </row>
    <row r="29043" ht="16.5" customHeight="1">
      <c r="O29043" s="5" t="s">
        <v>355</v>
      </c>
      <c r="P29043" s="5" t="s">
        <v>355</v>
      </c>
      <c r="Q29043" s="5" t="s">
        <v>355</v>
      </c>
    </row>
    <row r="29044" ht="16.5" customHeight="1">
      <c r="O29044" s="5" t="s">
        <v>355</v>
      </c>
      <c r="P29044" s="5" t="s">
        <v>355</v>
      </c>
      <c r="Q29044" s="5" t="s">
        <v>355</v>
      </c>
    </row>
    <row r="29045" ht="16.5" customHeight="1">
      <c r="O29045" s="5" t="s">
        <v>355</v>
      </c>
      <c r="P29045" s="5" t="s">
        <v>355</v>
      </c>
      <c r="Q29045" s="5" t="s">
        <v>355</v>
      </c>
    </row>
    <row r="29046" ht="16.5" customHeight="1">
      <c r="O29046" s="5" t="s">
        <v>355</v>
      </c>
      <c r="P29046" s="5" t="s">
        <v>355</v>
      </c>
      <c r="Q29046" s="5" t="s">
        <v>355</v>
      </c>
    </row>
    <row r="29047" ht="16.5" customHeight="1">
      <c r="O29047" s="5" t="s">
        <v>355</v>
      </c>
      <c r="P29047" s="5" t="s">
        <v>355</v>
      </c>
      <c r="Q29047" s="5" t="s">
        <v>355</v>
      </c>
    </row>
    <row r="29048" ht="16.5" customHeight="1">
      <c r="O29048" s="5" t="s">
        <v>355</v>
      </c>
      <c r="P29048" s="5" t="s">
        <v>355</v>
      </c>
      <c r="Q29048" s="5" t="s">
        <v>355</v>
      </c>
    </row>
    <row r="29049" ht="16.5" customHeight="1">
      <c r="O29049" s="5" t="s">
        <v>355</v>
      </c>
      <c r="P29049" s="5" t="s">
        <v>355</v>
      </c>
      <c r="Q29049" s="5" t="s">
        <v>355</v>
      </c>
    </row>
    <row r="29050" ht="16.5" customHeight="1">
      <c r="O29050" s="5" t="s">
        <v>355</v>
      </c>
      <c r="P29050" s="5" t="s">
        <v>355</v>
      </c>
      <c r="Q29050" s="5" t="s">
        <v>355</v>
      </c>
    </row>
    <row r="29051" ht="16.5" customHeight="1">
      <c r="O29051" s="5" t="s">
        <v>355</v>
      </c>
      <c r="P29051" s="5" t="s">
        <v>355</v>
      </c>
      <c r="Q29051" s="5" t="s">
        <v>355</v>
      </c>
    </row>
    <row r="29052" ht="16.5" customHeight="1">
      <c r="O29052" s="5" t="s">
        <v>355</v>
      </c>
      <c r="P29052" s="5" t="s">
        <v>355</v>
      </c>
      <c r="Q29052" s="5" t="s">
        <v>355</v>
      </c>
    </row>
    <row r="29053" ht="16.5" customHeight="1">
      <c r="O29053" s="5" t="s">
        <v>355</v>
      </c>
      <c r="P29053" s="5" t="s">
        <v>355</v>
      </c>
      <c r="Q29053" s="5" t="s">
        <v>355</v>
      </c>
    </row>
    <row r="29054" ht="16.5" customHeight="1">
      <c r="O29054" s="5" t="s">
        <v>355</v>
      </c>
      <c r="P29054" s="5" t="s">
        <v>355</v>
      </c>
      <c r="Q29054" s="5" t="s">
        <v>355</v>
      </c>
    </row>
    <row r="29055" ht="16.5" customHeight="1">
      <c r="O29055" s="5" t="s">
        <v>355</v>
      </c>
      <c r="P29055" s="5" t="s">
        <v>355</v>
      </c>
      <c r="Q29055" s="5" t="s">
        <v>355</v>
      </c>
    </row>
    <row r="29056" ht="16.5" customHeight="1">
      <c r="O29056" s="5" t="s">
        <v>355</v>
      </c>
      <c r="P29056" s="5" t="s">
        <v>355</v>
      </c>
      <c r="Q29056" s="5" t="s">
        <v>355</v>
      </c>
    </row>
    <row r="29057" ht="16.5" customHeight="1">
      <c r="O29057" s="5" t="s">
        <v>355</v>
      </c>
      <c r="P29057" s="5" t="s">
        <v>355</v>
      </c>
      <c r="Q29057" s="5" t="s">
        <v>355</v>
      </c>
    </row>
    <row r="29058" ht="16.5" customHeight="1">
      <c r="O29058" s="5" t="s">
        <v>355</v>
      </c>
      <c r="P29058" s="5" t="s">
        <v>355</v>
      </c>
      <c r="Q29058" s="5" t="s">
        <v>355</v>
      </c>
    </row>
    <row r="29059" ht="16.5" customHeight="1">
      <c r="O29059" s="5" t="s">
        <v>355</v>
      </c>
      <c r="P29059" s="5" t="s">
        <v>355</v>
      </c>
      <c r="Q29059" s="5" t="s">
        <v>355</v>
      </c>
    </row>
    <row r="29060" ht="16.5" customHeight="1">
      <c r="O29060" s="5" t="s">
        <v>355</v>
      </c>
      <c r="P29060" s="5" t="s">
        <v>355</v>
      </c>
      <c r="Q29060" s="5" t="s">
        <v>355</v>
      </c>
    </row>
    <row r="29061" ht="16.5" customHeight="1">
      <c r="O29061" s="5" t="s">
        <v>355</v>
      </c>
      <c r="P29061" s="5" t="s">
        <v>355</v>
      </c>
      <c r="Q29061" s="5" t="s">
        <v>355</v>
      </c>
    </row>
    <row r="29062" ht="16.5" customHeight="1">
      <c r="O29062" s="5" t="s">
        <v>355</v>
      </c>
      <c r="P29062" s="5" t="s">
        <v>355</v>
      </c>
      <c r="Q29062" s="5" t="s">
        <v>355</v>
      </c>
    </row>
    <row r="29063" ht="16.5" customHeight="1">
      <c r="O29063" s="5" t="s">
        <v>355</v>
      </c>
      <c r="P29063" s="5" t="s">
        <v>355</v>
      </c>
      <c r="Q29063" s="5" t="s">
        <v>355</v>
      </c>
    </row>
    <row r="29064" ht="16.5" customHeight="1">
      <c r="O29064" s="5" t="s">
        <v>355</v>
      </c>
      <c r="P29064" s="5" t="s">
        <v>355</v>
      </c>
      <c r="Q29064" s="5" t="s">
        <v>355</v>
      </c>
    </row>
    <row r="29065" ht="16.5" customHeight="1">
      <c r="O29065" s="5" t="s">
        <v>355</v>
      </c>
      <c r="P29065" s="5" t="s">
        <v>355</v>
      </c>
      <c r="Q29065" s="5" t="s">
        <v>355</v>
      </c>
    </row>
    <row r="29066" ht="16.5" customHeight="1">
      <c r="O29066" s="5" t="s">
        <v>355</v>
      </c>
      <c r="P29066" s="5" t="s">
        <v>355</v>
      </c>
      <c r="Q29066" s="5" t="s">
        <v>355</v>
      </c>
    </row>
    <row r="29067" ht="16.5" customHeight="1">
      <c r="O29067" s="5" t="s">
        <v>355</v>
      </c>
      <c r="P29067" s="5" t="s">
        <v>355</v>
      </c>
      <c r="Q29067" s="5" t="s">
        <v>355</v>
      </c>
    </row>
    <row r="29068" ht="16.5" customHeight="1">
      <c r="O29068" s="5" t="s">
        <v>355</v>
      </c>
      <c r="P29068" s="5" t="s">
        <v>355</v>
      </c>
      <c r="Q29068" s="5" t="s">
        <v>355</v>
      </c>
    </row>
    <row r="29069" ht="16.5" customHeight="1">
      <c r="O29069" s="5" t="s">
        <v>355</v>
      </c>
      <c r="P29069" s="5" t="s">
        <v>355</v>
      </c>
      <c r="Q29069" s="5" t="s">
        <v>355</v>
      </c>
    </row>
    <row r="29070" ht="16.5" customHeight="1">
      <c r="O29070" s="5" t="s">
        <v>355</v>
      </c>
      <c r="P29070" s="5" t="s">
        <v>355</v>
      </c>
      <c r="Q29070" s="5" t="s">
        <v>355</v>
      </c>
    </row>
    <row r="29071" ht="16.5" customHeight="1">
      <c r="O29071" s="5" t="s">
        <v>355</v>
      </c>
      <c r="P29071" s="5" t="s">
        <v>355</v>
      </c>
      <c r="Q29071" s="5" t="s">
        <v>355</v>
      </c>
    </row>
    <row r="29072" ht="16.5" customHeight="1">
      <c r="O29072" s="5" t="s">
        <v>355</v>
      </c>
      <c r="P29072" s="5" t="s">
        <v>355</v>
      </c>
      <c r="Q29072" s="5" t="s">
        <v>355</v>
      </c>
    </row>
    <row r="29073" ht="16.5" customHeight="1">
      <c r="O29073" s="5" t="s">
        <v>355</v>
      </c>
      <c r="P29073" s="5" t="s">
        <v>355</v>
      </c>
      <c r="Q29073" s="5" t="s">
        <v>355</v>
      </c>
    </row>
    <row r="29074" ht="16.5" customHeight="1">
      <c r="O29074" s="5" t="s">
        <v>355</v>
      </c>
      <c r="P29074" s="5" t="s">
        <v>355</v>
      </c>
      <c r="Q29074" s="5" t="s">
        <v>355</v>
      </c>
    </row>
    <row r="29075" ht="16.5" customHeight="1">
      <c r="O29075" s="5" t="s">
        <v>355</v>
      </c>
      <c r="P29075" s="5" t="s">
        <v>355</v>
      </c>
      <c r="Q29075" s="5" t="s">
        <v>355</v>
      </c>
    </row>
    <row r="29076" ht="16.5" customHeight="1">
      <c r="O29076" s="5" t="s">
        <v>355</v>
      </c>
      <c r="P29076" s="5" t="s">
        <v>355</v>
      </c>
      <c r="Q29076" s="5" t="s">
        <v>355</v>
      </c>
    </row>
    <row r="29077" ht="16.5" customHeight="1">
      <c r="O29077" s="5" t="s">
        <v>355</v>
      </c>
      <c r="P29077" s="5" t="s">
        <v>355</v>
      </c>
      <c r="Q29077" s="5" t="s">
        <v>355</v>
      </c>
    </row>
    <row r="29078" ht="16.5" customHeight="1">
      <c r="O29078" s="5" t="s">
        <v>355</v>
      </c>
      <c r="P29078" s="5" t="s">
        <v>355</v>
      </c>
      <c r="Q29078" s="5" t="s">
        <v>355</v>
      </c>
    </row>
    <row r="29079" ht="16.5" customHeight="1">
      <c r="O29079" s="5" t="s">
        <v>355</v>
      </c>
      <c r="P29079" s="5" t="s">
        <v>355</v>
      </c>
      <c r="Q29079" s="5" t="s">
        <v>355</v>
      </c>
    </row>
    <row r="29080" ht="16.5" customHeight="1">
      <c r="O29080" s="5" t="s">
        <v>355</v>
      </c>
      <c r="P29080" s="5" t="s">
        <v>355</v>
      </c>
      <c r="Q29080" s="5" t="s">
        <v>355</v>
      </c>
    </row>
    <row r="29081" ht="16.5" customHeight="1">
      <c r="O29081" s="5" t="s">
        <v>355</v>
      </c>
      <c r="P29081" s="5" t="s">
        <v>355</v>
      </c>
      <c r="Q29081" s="5" t="s">
        <v>355</v>
      </c>
    </row>
    <row r="29082" ht="16.5" customHeight="1">
      <c r="O29082" s="5" t="s">
        <v>355</v>
      </c>
      <c r="P29082" s="5" t="s">
        <v>355</v>
      </c>
      <c r="Q29082" s="5" t="s">
        <v>355</v>
      </c>
    </row>
    <row r="29083" ht="16.5" customHeight="1">
      <c r="O29083" s="5" t="s">
        <v>355</v>
      </c>
      <c r="P29083" s="5" t="s">
        <v>355</v>
      </c>
      <c r="Q29083" s="5" t="s">
        <v>355</v>
      </c>
    </row>
    <row r="29084" ht="16.5" customHeight="1">
      <c r="O29084" s="5" t="s">
        <v>355</v>
      </c>
      <c r="P29084" s="5" t="s">
        <v>355</v>
      </c>
      <c r="Q29084" s="5" t="s">
        <v>355</v>
      </c>
    </row>
    <row r="29085" ht="16.5" customHeight="1">
      <c r="O29085" s="5" t="s">
        <v>355</v>
      </c>
      <c r="P29085" s="5" t="s">
        <v>355</v>
      </c>
      <c r="Q29085" s="5" t="s">
        <v>355</v>
      </c>
    </row>
    <row r="29086" ht="16.5" customHeight="1">
      <c r="O29086" s="5" t="s">
        <v>355</v>
      </c>
      <c r="P29086" s="5" t="s">
        <v>355</v>
      </c>
      <c r="Q29086" s="5" t="s">
        <v>355</v>
      </c>
    </row>
    <row r="29087" ht="16.5" customHeight="1">
      <c r="O29087" s="5" t="s">
        <v>355</v>
      </c>
      <c r="P29087" s="5" t="s">
        <v>355</v>
      </c>
      <c r="Q29087" s="5" t="s">
        <v>355</v>
      </c>
    </row>
    <row r="29088" ht="16.5" customHeight="1">
      <c r="O29088" s="5" t="s">
        <v>355</v>
      </c>
      <c r="P29088" s="5" t="s">
        <v>355</v>
      </c>
      <c r="Q29088" s="5" t="s">
        <v>355</v>
      </c>
    </row>
    <row r="29089" ht="16.5" customHeight="1">
      <c r="O29089" s="5" t="s">
        <v>355</v>
      </c>
      <c r="P29089" s="5" t="s">
        <v>355</v>
      </c>
      <c r="Q29089" s="5" t="s">
        <v>355</v>
      </c>
    </row>
    <row r="29090" ht="16.5" customHeight="1">
      <c r="O29090" s="5" t="s">
        <v>355</v>
      </c>
      <c r="P29090" s="5" t="s">
        <v>355</v>
      </c>
      <c r="Q29090" s="5" t="s">
        <v>355</v>
      </c>
    </row>
    <row r="29091" ht="16.5" customHeight="1">
      <c r="O29091" s="5" t="s">
        <v>355</v>
      </c>
      <c r="P29091" s="5" t="s">
        <v>355</v>
      </c>
      <c r="Q29091" s="5" t="s">
        <v>355</v>
      </c>
    </row>
    <row r="29092" ht="16.5" customHeight="1">
      <c r="O29092" s="5" t="s">
        <v>355</v>
      </c>
      <c r="P29092" s="5" t="s">
        <v>355</v>
      </c>
      <c r="Q29092" s="5" t="s">
        <v>355</v>
      </c>
    </row>
    <row r="29093" ht="16.5" customHeight="1">
      <c r="O29093" s="5" t="s">
        <v>355</v>
      </c>
      <c r="P29093" s="5" t="s">
        <v>355</v>
      </c>
      <c r="Q29093" s="5" t="s">
        <v>355</v>
      </c>
    </row>
    <row r="29094" ht="16.5" customHeight="1">
      <c r="O29094" s="5" t="s">
        <v>355</v>
      </c>
      <c r="P29094" s="5" t="s">
        <v>355</v>
      </c>
      <c r="Q29094" s="5" t="s">
        <v>355</v>
      </c>
    </row>
    <row r="29095" ht="16.5" customHeight="1">
      <c r="O29095" s="5" t="s">
        <v>355</v>
      </c>
      <c r="P29095" s="5" t="s">
        <v>355</v>
      </c>
      <c r="Q29095" s="5" t="s">
        <v>355</v>
      </c>
    </row>
    <row r="29096" ht="16.5" customHeight="1">
      <c r="O29096" s="5" t="s">
        <v>355</v>
      </c>
      <c r="P29096" s="5" t="s">
        <v>355</v>
      </c>
      <c r="Q29096" s="5" t="s">
        <v>355</v>
      </c>
    </row>
    <row r="29097" ht="16.5" customHeight="1">
      <c r="O29097" s="5" t="s">
        <v>355</v>
      </c>
      <c r="P29097" s="5" t="s">
        <v>355</v>
      </c>
      <c r="Q29097" s="5" t="s">
        <v>355</v>
      </c>
    </row>
    <row r="29098" ht="16.5" customHeight="1">
      <c r="O29098" s="5" t="s">
        <v>355</v>
      </c>
      <c r="P29098" s="5" t="s">
        <v>355</v>
      </c>
      <c r="Q29098" s="5" t="s">
        <v>355</v>
      </c>
    </row>
    <row r="29099" ht="16.5" customHeight="1">
      <c r="O29099" s="5" t="s">
        <v>355</v>
      </c>
      <c r="P29099" s="5" t="s">
        <v>355</v>
      </c>
      <c r="Q29099" s="5" t="s">
        <v>355</v>
      </c>
    </row>
    <row r="29100" ht="16.5" customHeight="1">
      <c r="O29100" s="5" t="s">
        <v>355</v>
      </c>
      <c r="P29100" s="5" t="s">
        <v>355</v>
      </c>
      <c r="Q29100" s="5" t="s">
        <v>355</v>
      </c>
    </row>
    <row r="29101" ht="16.5" customHeight="1">
      <c r="O29101" s="5" t="s">
        <v>355</v>
      </c>
      <c r="P29101" s="5" t="s">
        <v>355</v>
      </c>
      <c r="Q29101" s="5" t="s">
        <v>355</v>
      </c>
    </row>
    <row r="29102" ht="16.5" customHeight="1">
      <c r="O29102" s="5" t="s">
        <v>355</v>
      </c>
      <c r="P29102" s="5" t="s">
        <v>355</v>
      </c>
      <c r="Q29102" s="5" t="s">
        <v>355</v>
      </c>
    </row>
    <row r="29103" ht="16.5" customHeight="1">
      <c r="O29103" s="5" t="s">
        <v>355</v>
      </c>
      <c r="P29103" s="5" t="s">
        <v>355</v>
      </c>
      <c r="Q29103" s="5" t="s">
        <v>355</v>
      </c>
    </row>
    <row r="29104" ht="16.5" customHeight="1">
      <c r="O29104" s="5" t="s">
        <v>355</v>
      </c>
      <c r="P29104" s="5" t="s">
        <v>355</v>
      </c>
      <c r="Q29104" s="5" t="s">
        <v>355</v>
      </c>
    </row>
    <row r="29105" ht="16.5" customHeight="1">
      <c r="O29105" s="5" t="s">
        <v>355</v>
      </c>
      <c r="P29105" s="5" t="s">
        <v>355</v>
      </c>
      <c r="Q29105" s="5" t="s">
        <v>355</v>
      </c>
    </row>
    <row r="29106" ht="16.5" customHeight="1">
      <c r="O29106" s="5" t="s">
        <v>355</v>
      </c>
      <c r="P29106" s="5" t="s">
        <v>355</v>
      </c>
      <c r="Q29106" s="5" t="s">
        <v>355</v>
      </c>
    </row>
    <row r="29107" ht="16.5" customHeight="1">
      <c r="O29107" s="5" t="s">
        <v>355</v>
      </c>
      <c r="P29107" s="5" t="s">
        <v>355</v>
      </c>
      <c r="Q29107" s="5" t="s">
        <v>355</v>
      </c>
    </row>
    <row r="29108" ht="16.5" customHeight="1">
      <c r="O29108" s="5" t="s">
        <v>355</v>
      </c>
      <c r="P29108" s="5" t="s">
        <v>355</v>
      </c>
      <c r="Q29108" s="5" t="s">
        <v>355</v>
      </c>
    </row>
    <row r="29109" ht="16.5" customHeight="1">
      <c r="O29109" s="5" t="s">
        <v>355</v>
      </c>
      <c r="P29109" s="5" t="s">
        <v>355</v>
      </c>
      <c r="Q29109" s="5" t="s">
        <v>355</v>
      </c>
    </row>
    <row r="29110" ht="16.5" customHeight="1">
      <c r="O29110" s="5" t="s">
        <v>355</v>
      </c>
      <c r="P29110" s="5" t="s">
        <v>355</v>
      </c>
      <c r="Q29110" s="5" t="s">
        <v>355</v>
      </c>
    </row>
    <row r="29111" ht="16.5" customHeight="1">
      <c r="O29111" s="5" t="s">
        <v>355</v>
      </c>
      <c r="P29111" s="5" t="s">
        <v>355</v>
      </c>
      <c r="Q29111" s="5" t="s">
        <v>355</v>
      </c>
    </row>
    <row r="29112" ht="16.5" customHeight="1">
      <c r="O29112" s="5" t="s">
        <v>355</v>
      </c>
      <c r="P29112" s="5" t="s">
        <v>355</v>
      </c>
      <c r="Q29112" s="5" t="s">
        <v>355</v>
      </c>
    </row>
    <row r="29113" ht="16.5" customHeight="1">
      <c r="O29113" s="5" t="s">
        <v>355</v>
      </c>
      <c r="P29113" s="5" t="s">
        <v>355</v>
      </c>
      <c r="Q29113" s="5" t="s">
        <v>355</v>
      </c>
    </row>
    <row r="29114" ht="16.5" customHeight="1">
      <c r="O29114" s="5" t="s">
        <v>355</v>
      </c>
      <c r="P29114" s="5" t="s">
        <v>355</v>
      </c>
      <c r="Q29114" s="5" t="s">
        <v>355</v>
      </c>
    </row>
    <row r="29115" ht="16.5" customHeight="1">
      <c r="O29115" s="5" t="s">
        <v>355</v>
      </c>
      <c r="P29115" s="5" t="s">
        <v>355</v>
      </c>
      <c r="Q29115" s="5" t="s">
        <v>355</v>
      </c>
    </row>
    <row r="29116" ht="16.5" customHeight="1">
      <c r="O29116" s="5" t="s">
        <v>355</v>
      </c>
      <c r="P29116" s="5" t="s">
        <v>355</v>
      </c>
      <c r="Q29116" s="5" t="s">
        <v>355</v>
      </c>
    </row>
    <row r="29117" ht="16.5" customHeight="1">
      <c r="O29117" s="5" t="s">
        <v>355</v>
      </c>
      <c r="P29117" s="5" t="s">
        <v>355</v>
      </c>
      <c r="Q29117" s="5" t="s">
        <v>355</v>
      </c>
    </row>
    <row r="29118" ht="16.5" customHeight="1">
      <c r="O29118" s="5" t="s">
        <v>355</v>
      </c>
      <c r="P29118" s="5" t="s">
        <v>355</v>
      </c>
      <c r="Q29118" s="5" t="s">
        <v>355</v>
      </c>
    </row>
    <row r="29119" ht="16.5" customHeight="1">
      <c r="O29119" s="5" t="s">
        <v>355</v>
      </c>
      <c r="P29119" s="5" t="s">
        <v>355</v>
      </c>
      <c r="Q29119" s="5" t="s">
        <v>355</v>
      </c>
    </row>
    <row r="29120" ht="16.5" customHeight="1">
      <c r="O29120" s="5" t="s">
        <v>355</v>
      </c>
      <c r="P29120" s="5" t="s">
        <v>355</v>
      </c>
      <c r="Q29120" s="5" t="s">
        <v>355</v>
      </c>
    </row>
    <row r="29121" ht="16.5" customHeight="1">
      <c r="O29121" s="5" t="s">
        <v>355</v>
      </c>
      <c r="P29121" s="5" t="s">
        <v>355</v>
      </c>
      <c r="Q29121" s="5" t="s">
        <v>355</v>
      </c>
    </row>
    <row r="29122" ht="16.5" customHeight="1">
      <c r="O29122" s="5" t="s">
        <v>355</v>
      </c>
      <c r="P29122" s="5" t="s">
        <v>355</v>
      </c>
      <c r="Q29122" s="5" t="s">
        <v>355</v>
      </c>
    </row>
    <row r="29123" ht="16.5" customHeight="1">
      <c r="O29123" s="5" t="s">
        <v>355</v>
      </c>
      <c r="P29123" s="5" t="s">
        <v>355</v>
      </c>
      <c r="Q29123" s="5" t="s">
        <v>355</v>
      </c>
    </row>
    <row r="29124" ht="16.5" customHeight="1">
      <c r="O29124" s="5" t="s">
        <v>355</v>
      </c>
      <c r="P29124" s="5" t="s">
        <v>355</v>
      </c>
      <c r="Q29124" s="5" t="s">
        <v>355</v>
      </c>
    </row>
    <row r="29125" ht="16.5" customHeight="1">
      <c r="O29125" s="5" t="s">
        <v>355</v>
      </c>
      <c r="P29125" s="5" t="s">
        <v>355</v>
      </c>
      <c r="Q29125" s="5" t="s">
        <v>355</v>
      </c>
    </row>
    <row r="29126" ht="16.5" customHeight="1">
      <c r="O29126" s="5" t="s">
        <v>355</v>
      </c>
      <c r="P29126" s="5" t="s">
        <v>355</v>
      </c>
      <c r="Q29126" s="5" t="s">
        <v>355</v>
      </c>
    </row>
    <row r="29127" ht="16.5" customHeight="1">
      <c r="O29127" s="5" t="s">
        <v>355</v>
      </c>
      <c r="P29127" s="5" t="s">
        <v>355</v>
      </c>
      <c r="Q29127" s="5" t="s">
        <v>355</v>
      </c>
    </row>
    <row r="29128" ht="16.5" customHeight="1">
      <c r="O29128" s="5" t="s">
        <v>355</v>
      </c>
      <c r="P29128" s="5" t="s">
        <v>355</v>
      </c>
      <c r="Q29128" s="5" t="s">
        <v>355</v>
      </c>
    </row>
    <row r="29129" ht="16.5" customHeight="1">
      <c r="O29129" s="5" t="s">
        <v>355</v>
      </c>
      <c r="P29129" s="5" t="s">
        <v>355</v>
      </c>
      <c r="Q29129" s="5" t="s">
        <v>355</v>
      </c>
    </row>
    <row r="29130" ht="16.5" customHeight="1">
      <c r="O29130" s="5" t="s">
        <v>355</v>
      </c>
      <c r="P29130" s="5" t="s">
        <v>355</v>
      </c>
      <c r="Q29130" s="5" t="s">
        <v>355</v>
      </c>
    </row>
    <row r="29131" ht="16.5" customHeight="1">
      <c r="O29131" s="5" t="s">
        <v>355</v>
      </c>
      <c r="P29131" s="5" t="s">
        <v>355</v>
      </c>
      <c r="Q29131" s="5" t="s">
        <v>355</v>
      </c>
    </row>
    <row r="29132" ht="16.5" customHeight="1">
      <c r="O29132" s="5" t="s">
        <v>355</v>
      </c>
      <c r="P29132" s="5" t="s">
        <v>355</v>
      </c>
      <c r="Q29132" s="5" t="s">
        <v>355</v>
      </c>
    </row>
    <row r="29133" ht="16.5" customHeight="1">
      <c r="O29133" s="5" t="s">
        <v>355</v>
      </c>
      <c r="P29133" s="5" t="s">
        <v>355</v>
      </c>
      <c r="Q29133" s="5" t="s">
        <v>355</v>
      </c>
    </row>
    <row r="29134" ht="16.5" customHeight="1">
      <c r="O29134" s="5" t="s">
        <v>355</v>
      </c>
      <c r="P29134" s="5" t="s">
        <v>355</v>
      </c>
      <c r="Q29134" s="5" t="s">
        <v>355</v>
      </c>
    </row>
    <row r="29135" ht="16.5" customHeight="1">
      <c r="O29135" s="5" t="s">
        <v>355</v>
      </c>
      <c r="P29135" s="5" t="s">
        <v>355</v>
      </c>
      <c r="Q29135" s="5" t="s">
        <v>355</v>
      </c>
    </row>
    <row r="29136" ht="16.5" customHeight="1">
      <c r="O29136" s="5" t="s">
        <v>355</v>
      </c>
      <c r="P29136" s="5" t="s">
        <v>355</v>
      </c>
      <c r="Q29136" s="5" t="s">
        <v>355</v>
      </c>
    </row>
    <row r="29137" ht="16.5" customHeight="1">
      <c r="O29137" s="5" t="s">
        <v>355</v>
      </c>
      <c r="P29137" s="5" t="s">
        <v>355</v>
      </c>
      <c r="Q29137" s="5" t="s">
        <v>355</v>
      </c>
    </row>
    <row r="29138" ht="16.5" customHeight="1">
      <c r="O29138" s="5" t="s">
        <v>355</v>
      </c>
      <c r="P29138" s="5" t="s">
        <v>355</v>
      </c>
      <c r="Q29138" s="5" t="s">
        <v>355</v>
      </c>
    </row>
    <row r="29139" ht="16.5" customHeight="1">
      <c r="O29139" s="5" t="s">
        <v>355</v>
      </c>
      <c r="P29139" s="5" t="s">
        <v>355</v>
      </c>
      <c r="Q29139" s="5" t="s">
        <v>355</v>
      </c>
    </row>
    <row r="29140" ht="16.5" customHeight="1">
      <c r="O29140" s="5" t="s">
        <v>355</v>
      </c>
      <c r="P29140" s="5" t="s">
        <v>355</v>
      </c>
      <c r="Q29140" s="5" t="s">
        <v>355</v>
      </c>
    </row>
    <row r="29141" ht="16.5" customHeight="1">
      <c r="O29141" s="5" t="s">
        <v>355</v>
      </c>
      <c r="P29141" s="5" t="s">
        <v>355</v>
      </c>
      <c r="Q29141" s="5" t="s">
        <v>355</v>
      </c>
    </row>
    <row r="29142" ht="16.5" customHeight="1">
      <c r="O29142" s="5" t="s">
        <v>355</v>
      </c>
      <c r="P29142" s="5" t="s">
        <v>355</v>
      </c>
      <c r="Q29142" s="5" t="s">
        <v>355</v>
      </c>
    </row>
    <row r="29143" ht="16.5" customHeight="1">
      <c r="O29143" s="5" t="s">
        <v>355</v>
      </c>
      <c r="P29143" s="5" t="s">
        <v>355</v>
      </c>
      <c r="Q29143" s="5" t="s">
        <v>355</v>
      </c>
    </row>
    <row r="29144" ht="16.5" customHeight="1">
      <c r="O29144" s="5" t="s">
        <v>355</v>
      </c>
      <c r="P29144" s="5" t="s">
        <v>355</v>
      </c>
      <c r="Q29144" s="5" t="s">
        <v>355</v>
      </c>
    </row>
    <row r="29145" ht="16.5" customHeight="1">
      <c r="O29145" s="5" t="s">
        <v>355</v>
      </c>
      <c r="P29145" s="5" t="s">
        <v>355</v>
      </c>
      <c r="Q29145" s="5" t="s">
        <v>355</v>
      </c>
    </row>
    <row r="29146" ht="16.5" customHeight="1">
      <c r="O29146" s="5" t="s">
        <v>355</v>
      </c>
      <c r="P29146" s="5" t="s">
        <v>355</v>
      </c>
      <c r="Q29146" s="5" t="s">
        <v>355</v>
      </c>
    </row>
    <row r="29147" ht="16.5" customHeight="1">
      <c r="O29147" s="5" t="s">
        <v>355</v>
      </c>
      <c r="P29147" s="5" t="s">
        <v>355</v>
      </c>
      <c r="Q29147" s="5" t="s">
        <v>355</v>
      </c>
    </row>
    <row r="29148" ht="16.5" customHeight="1">
      <c r="O29148" s="5" t="s">
        <v>355</v>
      </c>
      <c r="P29148" s="5" t="s">
        <v>355</v>
      </c>
      <c r="Q29148" s="5" t="s">
        <v>355</v>
      </c>
    </row>
    <row r="29149" ht="16.5" customHeight="1">
      <c r="O29149" s="5" t="s">
        <v>355</v>
      </c>
      <c r="P29149" s="5" t="s">
        <v>355</v>
      </c>
      <c r="Q29149" s="5" t="s">
        <v>355</v>
      </c>
    </row>
    <row r="29150" ht="16.5" customHeight="1">
      <c r="O29150" s="5" t="s">
        <v>355</v>
      </c>
      <c r="P29150" s="5" t="s">
        <v>355</v>
      </c>
      <c r="Q29150" s="5" t="s">
        <v>355</v>
      </c>
    </row>
    <row r="29151" ht="16.5" customHeight="1">
      <c r="O29151" s="5" t="s">
        <v>355</v>
      </c>
      <c r="P29151" s="5" t="s">
        <v>355</v>
      </c>
      <c r="Q29151" s="5" t="s">
        <v>355</v>
      </c>
    </row>
    <row r="29152" ht="16.5" customHeight="1">
      <c r="O29152" s="5" t="s">
        <v>355</v>
      </c>
      <c r="P29152" s="5" t="s">
        <v>355</v>
      </c>
      <c r="Q29152" s="5" t="s">
        <v>355</v>
      </c>
    </row>
    <row r="29153" ht="16.5" customHeight="1">
      <c r="O29153" s="5" t="s">
        <v>355</v>
      </c>
      <c r="P29153" s="5" t="s">
        <v>355</v>
      </c>
      <c r="Q29153" s="5" t="s">
        <v>355</v>
      </c>
    </row>
    <row r="29154" ht="16.5" customHeight="1">
      <c r="O29154" s="5" t="s">
        <v>355</v>
      </c>
      <c r="P29154" s="5" t="s">
        <v>355</v>
      </c>
      <c r="Q29154" s="5" t="s">
        <v>355</v>
      </c>
    </row>
    <row r="29155" ht="16.5" customHeight="1">
      <c r="O29155" s="5" t="s">
        <v>355</v>
      </c>
      <c r="P29155" s="5" t="s">
        <v>355</v>
      </c>
      <c r="Q29155" s="5" t="s">
        <v>355</v>
      </c>
    </row>
    <row r="29156" ht="16.5" customHeight="1">
      <c r="O29156" s="5" t="s">
        <v>355</v>
      </c>
      <c r="P29156" s="5" t="s">
        <v>355</v>
      </c>
      <c r="Q29156" s="5" t="s">
        <v>355</v>
      </c>
    </row>
    <row r="29157" ht="16.5" customHeight="1">
      <c r="O29157" s="5" t="s">
        <v>355</v>
      </c>
      <c r="P29157" s="5" t="s">
        <v>355</v>
      </c>
      <c r="Q29157" s="5" t="s">
        <v>355</v>
      </c>
    </row>
    <row r="29158" ht="16.5" customHeight="1">
      <c r="O29158" s="5" t="s">
        <v>355</v>
      </c>
      <c r="P29158" s="5" t="s">
        <v>355</v>
      </c>
      <c r="Q29158" s="5" t="s">
        <v>355</v>
      </c>
    </row>
    <row r="29159" ht="16.5" customHeight="1">
      <c r="O29159" s="5" t="s">
        <v>355</v>
      </c>
      <c r="P29159" s="5" t="s">
        <v>355</v>
      </c>
      <c r="Q29159" s="5" t="s">
        <v>355</v>
      </c>
    </row>
    <row r="29160" ht="16.5" customHeight="1">
      <c r="O29160" s="5" t="s">
        <v>355</v>
      </c>
      <c r="P29160" s="5" t="s">
        <v>355</v>
      </c>
      <c r="Q29160" s="5" t="s">
        <v>355</v>
      </c>
    </row>
    <row r="29161" ht="16.5" customHeight="1">
      <c r="O29161" s="5" t="s">
        <v>355</v>
      </c>
      <c r="P29161" s="5" t="s">
        <v>355</v>
      </c>
      <c r="Q29161" s="5" t="s">
        <v>355</v>
      </c>
    </row>
    <row r="29162" ht="16.5" customHeight="1">
      <c r="O29162" s="5" t="s">
        <v>355</v>
      </c>
      <c r="P29162" s="5" t="s">
        <v>355</v>
      </c>
      <c r="Q29162" s="5" t="s">
        <v>355</v>
      </c>
    </row>
    <row r="29163" ht="16.5" customHeight="1">
      <c r="O29163" s="5" t="s">
        <v>355</v>
      </c>
      <c r="P29163" s="5" t="s">
        <v>355</v>
      </c>
      <c r="Q29163" s="5" t="s">
        <v>355</v>
      </c>
    </row>
    <row r="29164" ht="16.5" customHeight="1">
      <c r="O29164" s="5" t="s">
        <v>355</v>
      </c>
      <c r="P29164" s="5" t="s">
        <v>355</v>
      </c>
      <c r="Q29164" s="5" t="s">
        <v>355</v>
      </c>
    </row>
    <row r="29165" ht="16.5" customHeight="1">
      <c r="O29165" s="5" t="s">
        <v>355</v>
      </c>
      <c r="P29165" s="5" t="s">
        <v>355</v>
      </c>
      <c r="Q29165" s="5" t="s">
        <v>355</v>
      </c>
    </row>
    <row r="29166" ht="16.5" customHeight="1">
      <c r="O29166" s="5" t="s">
        <v>355</v>
      </c>
      <c r="P29166" s="5" t="s">
        <v>355</v>
      </c>
      <c r="Q29166" s="5" t="s">
        <v>355</v>
      </c>
    </row>
    <row r="29167" ht="16.5" customHeight="1">
      <c r="O29167" s="5" t="s">
        <v>355</v>
      </c>
      <c r="P29167" s="5" t="s">
        <v>355</v>
      </c>
      <c r="Q29167" s="5" t="s">
        <v>355</v>
      </c>
    </row>
    <row r="29168" ht="16.5" customHeight="1">
      <c r="O29168" s="5" t="s">
        <v>355</v>
      </c>
      <c r="P29168" s="5" t="s">
        <v>355</v>
      </c>
      <c r="Q29168" s="5" t="s">
        <v>355</v>
      </c>
    </row>
    <row r="29169" ht="16.5" customHeight="1">
      <c r="O29169" s="5" t="s">
        <v>355</v>
      </c>
      <c r="P29169" s="5" t="s">
        <v>355</v>
      </c>
      <c r="Q29169" s="5" t="s">
        <v>355</v>
      </c>
    </row>
    <row r="29170" ht="16.5" customHeight="1">
      <c r="O29170" s="5" t="s">
        <v>355</v>
      </c>
      <c r="P29170" s="5" t="s">
        <v>355</v>
      </c>
      <c r="Q29170" s="5" t="s">
        <v>355</v>
      </c>
    </row>
    <row r="29171" ht="16.5" customHeight="1">
      <c r="O29171" s="5" t="s">
        <v>355</v>
      </c>
      <c r="P29171" s="5" t="s">
        <v>355</v>
      </c>
      <c r="Q29171" s="5" t="s">
        <v>355</v>
      </c>
    </row>
    <row r="29172" ht="16.5" customHeight="1">
      <c r="O29172" s="5" t="s">
        <v>355</v>
      </c>
      <c r="P29172" s="5" t="s">
        <v>355</v>
      </c>
      <c r="Q29172" s="5" t="s">
        <v>355</v>
      </c>
    </row>
    <row r="29173" ht="16.5" customHeight="1">
      <c r="O29173" s="5" t="s">
        <v>355</v>
      </c>
      <c r="P29173" s="5" t="s">
        <v>355</v>
      </c>
      <c r="Q29173" s="5" t="s">
        <v>355</v>
      </c>
    </row>
    <row r="29174" ht="16.5" customHeight="1">
      <c r="O29174" s="5" t="s">
        <v>355</v>
      </c>
      <c r="P29174" s="5" t="s">
        <v>355</v>
      </c>
      <c r="Q29174" s="5" t="s">
        <v>355</v>
      </c>
    </row>
    <row r="29175" ht="16.5" customHeight="1">
      <c r="O29175" s="5" t="s">
        <v>355</v>
      </c>
      <c r="P29175" s="5" t="s">
        <v>355</v>
      </c>
      <c r="Q29175" s="5" t="s">
        <v>355</v>
      </c>
    </row>
    <row r="29176" ht="16.5" customHeight="1">
      <c r="O29176" s="5" t="s">
        <v>355</v>
      </c>
      <c r="P29176" s="5" t="s">
        <v>355</v>
      </c>
      <c r="Q29176" s="5" t="s">
        <v>355</v>
      </c>
    </row>
    <row r="29177" ht="16.5" customHeight="1">
      <c r="O29177" s="5" t="s">
        <v>355</v>
      </c>
      <c r="P29177" s="5" t="s">
        <v>355</v>
      </c>
      <c r="Q29177" s="5" t="s">
        <v>355</v>
      </c>
    </row>
    <row r="29178" ht="16.5" customHeight="1">
      <c r="O29178" s="5" t="s">
        <v>355</v>
      </c>
      <c r="P29178" s="5" t="s">
        <v>355</v>
      </c>
      <c r="Q29178" s="5" t="s">
        <v>355</v>
      </c>
    </row>
    <row r="29179" ht="16.5" customHeight="1">
      <c r="O29179" s="5" t="s">
        <v>355</v>
      </c>
      <c r="P29179" s="5" t="s">
        <v>355</v>
      </c>
      <c r="Q29179" s="5" t="s">
        <v>355</v>
      </c>
    </row>
    <row r="29180" ht="16.5" customHeight="1">
      <c r="O29180" s="5" t="s">
        <v>355</v>
      </c>
      <c r="P29180" s="5" t="s">
        <v>355</v>
      </c>
      <c r="Q29180" s="5" t="s">
        <v>355</v>
      </c>
    </row>
    <row r="29181" ht="16.5" customHeight="1">
      <c r="O29181" s="5" t="s">
        <v>355</v>
      </c>
      <c r="P29181" s="5" t="s">
        <v>355</v>
      </c>
      <c r="Q29181" s="5" t="s">
        <v>355</v>
      </c>
    </row>
    <row r="29182" ht="16.5" customHeight="1">
      <c r="O29182" s="5" t="s">
        <v>355</v>
      </c>
      <c r="P29182" s="5" t="s">
        <v>355</v>
      </c>
      <c r="Q29182" s="5" t="s">
        <v>355</v>
      </c>
    </row>
    <row r="29183" ht="16.5" customHeight="1">
      <c r="O29183" s="5" t="s">
        <v>355</v>
      </c>
      <c r="P29183" s="5" t="s">
        <v>355</v>
      </c>
      <c r="Q29183" s="5" t="s">
        <v>355</v>
      </c>
    </row>
    <row r="29184" ht="16.5" customHeight="1">
      <c r="O29184" s="5" t="s">
        <v>355</v>
      </c>
      <c r="P29184" s="5" t="s">
        <v>355</v>
      </c>
      <c r="Q29184" s="5" t="s">
        <v>355</v>
      </c>
    </row>
    <row r="29185" ht="16.5" customHeight="1">
      <c r="O29185" s="5" t="s">
        <v>355</v>
      </c>
      <c r="P29185" s="5" t="s">
        <v>355</v>
      </c>
      <c r="Q29185" s="5" t="s">
        <v>355</v>
      </c>
    </row>
    <row r="29186" ht="16.5" customHeight="1">
      <c r="O29186" s="5" t="s">
        <v>355</v>
      </c>
      <c r="P29186" s="5" t="s">
        <v>355</v>
      </c>
      <c r="Q29186" s="5" t="s">
        <v>355</v>
      </c>
    </row>
    <row r="29187" ht="16.5" customHeight="1">
      <c r="O29187" s="5" t="s">
        <v>355</v>
      </c>
      <c r="P29187" s="5" t="s">
        <v>355</v>
      </c>
      <c r="Q29187" s="5" t="s">
        <v>355</v>
      </c>
    </row>
    <row r="29188" ht="16.5" customHeight="1">
      <c r="O29188" s="5" t="s">
        <v>355</v>
      </c>
      <c r="P29188" s="5" t="s">
        <v>355</v>
      </c>
      <c r="Q29188" s="5" t="s">
        <v>355</v>
      </c>
    </row>
    <row r="29189" ht="16.5" customHeight="1">
      <c r="O29189" s="5" t="s">
        <v>355</v>
      </c>
      <c r="P29189" s="5" t="s">
        <v>355</v>
      </c>
      <c r="Q29189" s="5" t="s">
        <v>355</v>
      </c>
    </row>
    <row r="29190" ht="16.5" customHeight="1">
      <c r="O29190" s="5" t="s">
        <v>355</v>
      </c>
      <c r="P29190" s="5" t="s">
        <v>355</v>
      </c>
      <c r="Q29190" s="5" t="s">
        <v>355</v>
      </c>
    </row>
    <row r="29191" ht="16.5" customHeight="1">
      <c r="O29191" s="5" t="s">
        <v>355</v>
      </c>
      <c r="P29191" s="5" t="s">
        <v>355</v>
      </c>
      <c r="Q29191" s="5" t="s">
        <v>355</v>
      </c>
    </row>
    <row r="29192" ht="16.5" customHeight="1">
      <c r="O29192" s="5" t="s">
        <v>355</v>
      </c>
      <c r="P29192" s="5" t="s">
        <v>355</v>
      </c>
      <c r="Q29192" s="5" t="s">
        <v>355</v>
      </c>
    </row>
    <row r="29193" ht="16.5" customHeight="1">
      <c r="O29193" s="5" t="s">
        <v>355</v>
      </c>
      <c r="P29193" s="5" t="s">
        <v>355</v>
      </c>
      <c r="Q29193" s="5" t="s">
        <v>355</v>
      </c>
    </row>
    <row r="29194" ht="16.5" customHeight="1">
      <c r="O29194" s="5" t="s">
        <v>355</v>
      </c>
      <c r="P29194" s="5" t="s">
        <v>355</v>
      </c>
      <c r="Q29194" s="5" t="s">
        <v>355</v>
      </c>
    </row>
    <row r="29195" ht="16.5" customHeight="1">
      <c r="O29195" s="5" t="s">
        <v>355</v>
      </c>
      <c r="P29195" s="5" t="s">
        <v>355</v>
      </c>
      <c r="Q29195" s="5" t="s">
        <v>355</v>
      </c>
    </row>
    <row r="29196" ht="16.5" customHeight="1">
      <c r="O29196" s="5" t="s">
        <v>355</v>
      </c>
      <c r="P29196" s="5" t="s">
        <v>355</v>
      </c>
      <c r="Q29196" s="5" t="s">
        <v>355</v>
      </c>
    </row>
    <row r="29197" ht="16.5" customHeight="1">
      <c r="O29197" s="5" t="s">
        <v>355</v>
      </c>
      <c r="P29197" s="5" t="s">
        <v>355</v>
      </c>
      <c r="Q29197" s="5" t="s">
        <v>355</v>
      </c>
    </row>
    <row r="29198" ht="16.5" customHeight="1">
      <c r="O29198" s="5" t="s">
        <v>355</v>
      </c>
      <c r="P29198" s="5" t="s">
        <v>355</v>
      </c>
      <c r="Q29198" s="5" t="s">
        <v>355</v>
      </c>
    </row>
    <row r="29199" ht="16.5" customHeight="1">
      <c r="O29199" s="5" t="s">
        <v>355</v>
      </c>
      <c r="P29199" s="5" t="s">
        <v>355</v>
      </c>
      <c r="Q29199" s="5" t="s">
        <v>355</v>
      </c>
    </row>
    <row r="29200" ht="16.5" customHeight="1">
      <c r="O29200" s="5" t="s">
        <v>355</v>
      </c>
      <c r="P29200" s="5" t="s">
        <v>355</v>
      </c>
      <c r="Q29200" s="5" t="s">
        <v>355</v>
      </c>
    </row>
    <row r="29201" ht="16.5" customHeight="1">
      <c r="O29201" s="5" t="s">
        <v>355</v>
      </c>
      <c r="P29201" s="5" t="s">
        <v>355</v>
      </c>
      <c r="Q29201" s="5" t="s">
        <v>355</v>
      </c>
    </row>
    <row r="29202" ht="16.5" customHeight="1">
      <c r="O29202" s="5" t="s">
        <v>355</v>
      </c>
      <c r="P29202" s="5" t="s">
        <v>355</v>
      </c>
      <c r="Q29202" s="5" t="s">
        <v>355</v>
      </c>
    </row>
    <row r="29203" ht="16.5" customHeight="1">
      <c r="O29203" s="5" t="s">
        <v>355</v>
      </c>
      <c r="P29203" s="5" t="s">
        <v>355</v>
      </c>
      <c r="Q29203" s="5" t="s">
        <v>355</v>
      </c>
    </row>
    <row r="29204" ht="16.5" customHeight="1">
      <c r="O29204" s="5" t="s">
        <v>355</v>
      </c>
      <c r="P29204" s="5" t="s">
        <v>355</v>
      </c>
      <c r="Q29204" s="5" t="s">
        <v>355</v>
      </c>
    </row>
    <row r="29205" ht="16.5" customHeight="1">
      <c r="O29205" s="5" t="s">
        <v>355</v>
      </c>
      <c r="P29205" s="5" t="s">
        <v>355</v>
      </c>
      <c r="Q29205" s="5" t="s">
        <v>355</v>
      </c>
    </row>
    <row r="29206" ht="16.5" customHeight="1">
      <c r="O29206" s="5" t="s">
        <v>355</v>
      </c>
      <c r="P29206" s="5" t="s">
        <v>355</v>
      </c>
      <c r="Q29206" s="5" t="s">
        <v>355</v>
      </c>
    </row>
    <row r="29207" ht="16.5" customHeight="1">
      <c r="O29207" s="5" t="s">
        <v>355</v>
      </c>
      <c r="P29207" s="5" t="s">
        <v>355</v>
      </c>
      <c r="Q29207" s="5" t="s">
        <v>355</v>
      </c>
    </row>
    <row r="29208" ht="16.5" customHeight="1">
      <c r="O29208" s="5" t="s">
        <v>355</v>
      </c>
      <c r="P29208" s="5" t="s">
        <v>355</v>
      </c>
      <c r="Q29208" s="5" t="s">
        <v>355</v>
      </c>
    </row>
    <row r="29209" ht="16.5" customHeight="1">
      <c r="O29209" s="5" t="s">
        <v>355</v>
      </c>
      <c r="P29209" s="5" t="s">
        <v>355</v>
      </c>
      <c r="Q29209" s="5" t="s">
        <v>355</v>
      </c>
    </row>
    <row r="29210" ht="16.5" customHeight="1">
      <c r="O29210" s="5" t="s">
        <v>355</v>
      </c>
      <c r="P29210" s="5" t="s">
        <v>355</v>
      </c>
      <c r="Q29210" s="5" t="s">
        <v>355</v>
      </c>
    </row>
    <row r="29211" ht="16.5" customHeight="1">
      <c r="O29211" s="5" t="s">
        <v>355</v>
      </c>
      <c r="P29211" s="5" t="s">
        <v>355</v>
      </c>
      <c r="Q29211" s="5" t="s">
        <v>355</v>
      </c>
    </row>
    <row r="29212" ht="16.5" customHeight="1">
      <c r="O29212" s="5" t="s">
        <v>355</v>
      </c>
      <c r="P29212" s="5" t="s">
        <v>355</v>
      </c>
      <c r="Q29212" s="5" t="s">
        <v>355</v>
      </c>
    </row>
    <row r="29213" ht="16.5" customHeight="1">
      <c r="O29213" s="5" t="s">
        <v>355</v>
      </c>
      <c r="P29213" s="5" t="s">
        <v>355</v>
      </c>
      <c r="Q29213" s="5" t="s">
        <v>355</v>
      </c>
    </row>
    <row r="29214" ht="16.5" customHeight="1">
      <c r="O29214" s="5" t="s">
        <v>355</v>
      </c>
      <c r="P29214" s="5" t="s">
        <v>355</v>
      </c>
      <c r="Q29214" s="5" t="s">
        <v>355</v>
      </c>
    </row>
    <row r="29215" ht="16.5" customHeight="1">
      <c r="O29215" s="5" t="s">
        <v>355</v>
      </c>
      <c r="P29215" s="5" t="s">
        <v>355</v>
      </c>
      <c r="Q29215" s="5" t="s">
        <v>355</v>
      </c>
    </row>
    <row r="29216" ht="16.5" customHeight="1">
      <c r="O29216" s="5" t="s">
        <v>355</v>
      </c>
      <c r="P29216" s="5" t="s">
        <v>355</v>
      </c>
      <c r="Q29216" s="5" t="s">
        <v>355</v>
      </c>
    </row>
    <row r="29217" ht="16.5" customHeight="1">
      <c r="O29217" s="5" t="s">
        <v>355</v>
      </c>
      <c r="P29217" s="5" t="s">
        <v>355</v>
      </c>
      <c r="Q29217" s="5" t="s">
        <v>355</v>
      </c>
    </row>
    <row r="29218" ht="16.5" customHeight="1">
      <c r="O29218" s="5" t="s">
        <v>355</v>
      </c>
      <c r="P29218" s="5" t="s">
        <v>355</v>
      </c>
      <c r="Q29218" s="5" t="s">
        <v>355</v>
      </c>
    </row>
    <row r="29219" ht="16.5" customHeight="1">
      <c r="O29219" s="5" t="s">
        <v>355</v>
      </c>
      <c r="P29219" s="5" t="s">
        <v>355</v>
      </c>
      <c r="Q29219" s="5" t="s">
        <v>355</v>
      </c>
    </row>
    <row r="29220" ht="16.5" customHeight="1">
      <c r="O29220" s="5" t="s">
        <v>355</v>
      </c>
      <c r="P29220" s="5" t="s">
        <v>355</v>
      </c>
      <c r="Q29220" s="5" t="s">
        <v>355</v>
      </c>
    </row>
    <row r="29221" ht="16.5" customHeight="1">
      <c r="O29221" s="5" t="s">
        <v>355</v>
      </c>
      <c r="P29221" s="5" t="s">
        <v>355</v>
      </c>
      <c r="Q29221" s="5" t="s">
        <v>355</v>
      </c>
    </row>
    <row r="29222" ht="16.5" customHeight="1">
      <c r="O29222" s="5" t="s">
        <v>355</v>
      </c>
      <c r="P29222" s="5" t="s">
        <v>355</v>
      </c>
      <c r="Q29222" s="5" t="s">
        <v>355</v>
      </c>
    </row>
    <row r="29223" ht="16.5" customHeight="1">
      <c r="O29223" s="5" t="s">
        <v>355</v>
      </c>
      <c r="P29223" s="5" t="s">
        <v>355</v>
      </c>
      <c r="Q29223" s="5" t="s">
        <v>355</v>
      </c>
    </row>
    <row r="29224" ht="16.5" customHeight="1">
      <c r="O29224" s="5" t="s">
        <v>355</v>
      </c>
      <c r="P29224" s="5" t="s">
        <v>355</v>
      </c>
      <c r="Q29224" s="5" t="s">
        <v>355</v>
      </c>
    </row>
    <row r="29225" ht="16.5" customHeight="1">
      <c r="O29225" s="5" t="s">
        <v>355</v>
      </c>
      <c r="P29225" s="5" t="s">
        <v>355</v>
      </c>
      <c r="Q29225" s="5" t="s">
        <v>355</v>
      </c>
    </row>
    <row r="29226" ht="16.5" customHeight="1">
      <c r="O29226" s="5" t="s">
        <v>355</v>
      </c>
      <c r="P29226" s="5" t="s">
        <v>355</v>
      </c>
      <c r="Q29226" s="5" t="s">
        <v>355</v>
      </c>
    </row>
    <row r="29227" ht="16.5" customHeight="1">
      <c r="O29227" s="5" t="s">
        <v>355</v>
      </c>
      <c r="P29227" s="5" t="s">
        <v>355</v>
      </c>
      <c r="Q29227" s="5" t="s">
        <v>355</v>
      </c>
    </row>
    <row r="29228" ht="16.5" customHeight="1">
      <c r="O29228" s="5" t="s">
        <v>355</v>
      </c>
      <c r="P29228" s="5" t="s">
        <v>355</v>
      </c>
      <c r="Q29228" s="5" t="s">
        <v>355</v>
      </c>
    </row>
    <row r="29229" ht="16.5" customHeight="1">
      <c r="O29229" s="5" t="s">
        <v>355</v>
      </c>
      <c r="P29229" s="5" t="s">
        <v>355</v>
      </c>
      <c r="Q29229" s="5" t="s">
        <v>355</v>
      </c>
    </row>
    <row r="29230" ht="16.5" customHeight="1">
      <c r="O29230" s="5" t="s">
        <v>355</v>
      </c>
      <c r="P29230" s="5" t="s">
        <v>355</v>
      </c>
      <c r="Q29230" s="5" t="s">
        <v>355</v>
      </c>
    </row>
    <row r="29231" ht="16.5" customHeight="1">
      <c r="O29231" s="5" t="s">
        <v>355</v>
      </c>
      <c r="P29231" s="5" t="s">
        <v>355</v>
      </c>
      <c r="Q29231" s="5" t="s">
        <v>355</v>
      </c>
    </row>
    <row r="29232" ht="16.5" customHeight="1">
      <c r="O29232" s="5" t="s">
        <v>355</v>
      </c>
      <c r="P29232" s="5" t="s">
        <v>355</v>
      </c>
      <c r="Q29232" s="5" t="s">
        <v>355</v>
      </c>
    </row>
    <row r="29233" ht="16.5" customHeight="1">
      <c r="O29233" s="5" t="s">
        <v>355</v>
      </c>
      <c r="P29233" s="5" t="s">
        <v>355</v>
      </c>
      <c r="Q29233" s="5" t="s">
        <v>355</v>
      </c>
    </row>
    <row r="29234" ht="16.5" customHeight="1">
      <c r="O29234" s="5" t="s">
        <v>355</v>
      </c>
      <c r="P29234" s="5" t="s">
        <v>355</v>
      </c>
      <c r="Q29234" s="5" t="s">
        <v>355</v>
      </c>
    </row>
    <row r="29235" ht="16.5" customHeight="1">
      <c r="O29235" s="5" t="s">
        <v>355</v>
      </c>
      <c r="P29235" s="5" t="s">
        <v>355</v>
      </c>
      <c r="Q29235" s="5" t="s">
        <v>355</v>
      </c>
    </row>
    <row r="29236" ht="16.5" customHeight="1">
      <c r="O29236" s="5" t="s">
        <v>355</v>
      </c>
      <c r="P29236" s="5" t="s">
        <v>355</v>
      </c>
      <c r="Q29236" s="5" t="s">
        <v>355</v>
      </c>
    </row>
    <row r="29237" ht="16.5" customHeight="1">
      <c r="O29237" s="5" t="s">
        <v>355</v>
      </c>
      <c r="P29237" s="5" t="s">
        <v>355</v>
      </c>
      <c r="Q29237" s="5" t="s">
        <v>355</v>
      </c>
    </row>
    <row r="29238" ht="16.5" customHeight="1">
      <c r="O29238" s="5" t="s">
        <v>355</v>
      </c>
      <c r="P29238" s="5" t="s">
        <v>355</v>
      </c>
      <c r="Q29238" s="5" t="s">
        <v>355</v>
      </c>
    </row>
    <row r="29239" ht="16.5" customHeight="1">
      <c r="O29239" s="5" t="s">
        <v>355</v>
      </c>
      <c r="P29239" s="5" t="s">
        <v>355</v>
      </c>
      <c r="Q29239" s="5" t="s">
        <v>355</v>
      </c>
    </row>
    <row r="29240" ht="16.5" customHeight="1">
      <c r="O29240" s="5" t="s">
        <v>355</v>
      </c>
      <c r="P29240" s="5" t="s">
        <v>355</v>
      </c>
      <c r="Q29240" s="5" t="s">
        <v>355</v>
      </c>
    </row>
    <row r="29241" ht="16.5" customHeight="1">
      <c r="O29241" s="5" t="s">
        <v>355</v>
      </c>
      <c r="P29241" s="5" t="s">
        <v>355</v>
      </c>
      <c r="Q29241" s="5" t="s">
        <v>355</v>
      </c>
    </row>
    <row r="29242" ht="16.5" customHeight="1">
      <c r="O29242" s="5" t="s">
        <v>355</v>
      </c>
      <c r="P29242" s="5" t="s">
        <v>355</v>
      </c>
      <c r="Q29242" s="5" t="s">
        <v>355</v>
      </c>
    </row>
    <row r="29243" ht="16.5" customHeight="1">
      <c r="O29243" s="5" t="s">
        <v>355</v>
      </c>
      <c r="P29243" s="5" t="s">
        <v>355</v>
      </c>
      <c r="Q29243" s="5" t="s">
        <v>355</v>
      </c>
    </row>
    <row r="29244" ht="16.5" customHeight="1">
      <c r="O29244" s="5" t="s">
        <v>355</v>
      </c>
      <c r="P29244" s="5" t="s">
        <v>355</v>
      </c>
      <c r="Q29244" s="5" t="s">
        <v>355</v>
      </c>
    </row>
    <row r="29245" ht="16.5" customHeight="1">
      <c r="O29245" s="5" t="s">
        <v>355</v>
      </c>
      <c r="P29245" s="5" t="s">
        <v>355</v>
      </c>
      <c r="Q29245" s="5" t="s">
        <v>355</v>
      </c>
    </row>
    <row r="29246" ht="16.5" customHeight="1">
      <c r="O29246" s="5" t="s">
        <v>355</v>
      </c>
      <c r="P29246" s="5" t="s">
        <v>355</v>
      </c>
      <c r="Q29246" s="5" t="s">
        <v>355</v>
      </c>
    </row>
    <row r="29247" ht="16.5" customHeight="1">
      <c r="O29247" s="5" t="s">
        <v>355</v>
      </c>
      <c r="P29247" s="5" t="s">
        <v>355</v>
      </c>
      <c r="Q29247" s="5" t="s">
        <v>355</v>
      </c>
    </row>
    <row r="29248" ht="16.5" customHeight="1">
      <c r="O29248" s="5" t="s">
        <v>355</v>
      </c>
      <c r="P29248" s="5" t="s">
        <v>355</v>
      </c>
      <c r="Q29248" s="5" t="s">
        <v>355</v>
      </c>
    </row>
    <row r="29249" ht="16.5" customHeight="1">
      <c r="O29249" s="5" t="s">
        <v>355</v>
      </c>
      <c r="P29249" s="5" t="s">
        <v>355</v>
      </c>
      <c r="Q29249" s="5" t="s">
        <v>355</v>
      </c>
    </row>
    <row r="29250" ht="16.5" customHeight="1">
      <c r="O29250" s="5" t="s">
        <v>355</v>
      </c>
      <c r="P29250" s="5" t="s">
        <v>355</v>
      </c>
      <c r="Q29250" s="5" t="s">
        <v>355</v>
      </c>
    </row>
    <row r="29251" ht="16.5" customHeight="1">
      <c r="O29251" s="5" t="s">
        <v>355</v>
      </c>
      <c r="P29251" s="5" t="s">
        <v>355</v>
      </c>
      <c r="Q29251" s="5" t="s">
        <v>355</v>
      </c>
    </row>
    <row r="29252" ht="16.5" customHeight="1">
      <c r="O29252" s="5" t="s">
        <v>355</v>
      </c>
      <c r="P29252" s="5" t="s">
        <v>355</v>
      </c>
      <c r="Q29252" s="5" t="s">
        <v>355</v>
      </c>
    </row>
    <row r="29253" ht="16.5" customHeight="1">
      <c r="O29253" s="5" t="s">
        <v>355</v>
      </c>
      <c r="P29253" s="5" t="s">
        <v>355</v>
      </c>
      <c r="Q29253" s="5" t="s">
        <v>355</v>
      </c>
    </row>
    <row r="29254" ht="16.5" customHeight="1">
      <c r="O29254" s="5" t="s">
        <v>355</v>
      </c>
      <c r="P29254" s="5" t="s">
        <v>355</v>
      </c>
      <c r="Q29254" s="5" t="s">
        <v>355</v>
      </c>
    </row>
    <row r="29255" ht="16.5" customHeight="1">
      <c r="O29255" s="5" t="s">
        <v>355</v>
      </c>
      <c r="P29255" s="5" t="s">
        <v>355</v>
      </c>
      <c r="Q29255" s="5" t="s">
        <v>355</v>
      </c>
    </row>
    <row r="29256" ht="16.5" customHeight="1">
      <c r="O29256" s="5" t="s">
        <v>355</v>
      </c>
      <c r="P29256" s="5" t="s">
        <v>355</v>
      </c>
      <c r="Q29256" s="5" t="s">
        <v>355</v>
      </c>
    </row>
    <row r="29257" ht="16.5" customHeight="1">
      <c r="O29257" s="5" t="s">
        <v>355</v>
      </c>
      <c r="P29257" s="5" t="s">
        <v>355</v>
      </c>
      <c r="Q29257" s="5" t="s">
        <v>355</v>
      </c>
    </row>
    <row r="29258" ht="16.5" customHeight="1">
      <c r="O29258" s="5" t="s">
        <v>355</v>
      </c>
      <c r="P29258" s="5" t="s">
        <v>355</v>
      </c>
      <c r="Q29258" s="5" t="s">
        <v>355</v>
      </c>
    </row>
    <row r="29259" ht="16.5" customHeight="1">
      <c r="O29259" s="5" t="s">
        <v>355</v>
      </c>
      <c r="P29259" s="5" t="s">
        <v>355</v>
      </c>
      <c r="Q29259" s="5" t="s">
        <v>355</v>
      </c>
    </row>
    <row r="29260" ht="16.5" customHeight="1">
      <c r="O29260" s="5" t="s">
        <v>355</v>
      </c>
      <c r="P29260" s="5" t="s">
        <v>355</v>
      </c>
      <c r="Q29260" s="5" t="s">
        <v>355</v>
      </c>
    </row>
    <row r="29261" ht="16.5" customHeight="1">
      <c r="O29261" s="5" t="s">
        <v>355</v>
      </c>
      <c r="P29261" s="5" t="s">
        <v>355</v>
      </c>
      <c r="Q29261" s="5" t="s">
        <v>355</v>
      </c>
    </row>
    <row r="29262" ht="16.5" customHeight="1">
      <c r="O29262" s="5" t="s">
        <v>355</v>
      </c>
      <c r="P29262" s="5" t="s">
        <v>355</v>
      </c>
      <c r="Q29262" s="5" t="s">
        <v>355</v>
      </c>
    </row>
    <row r="29263" ht="16.5" customHeight="1">
      <c r="O29263" s="5" t="s">
        <v>355</v>
      </c>
      <c r="P29263" s="5" t="s">
        <v>355</v>
      </c>
      <c r="Q29263" s="5" t="s">
        <v>355</v>
      </c>
    </row>
    <row r="29264" ht="16.5" customHeight="1">
      <c r="O29264" s="5" t="s">
        <v>355</v>
      </c>
      <c r="P29264" s="5" t="s">
        <v>355</v>
      </c>
      <c r="Q29264" s="5" t="s">
        <v>355</v>
      </c>
    </row>
    <row r="29265" ht="16.5" customHeight="1">
      <c r="O29265" s="5" t="s">
        <v>355</v>
      </c>
      <c r="P29265" s="5" t="s">
        <v>355</v>
      </c>
      <c r="Q29265" s="5" t="s">
        <v>355</v>
      </c>
    </row>
    <row r="29266" ht="16.5" customHeight="1">
      <c r="O29266" s="5" t="s">
        <v>355</v>
      </c>
      <c r="P29266" s="5" t="s">
        <v>355</v>
      </c>
      <c r="Q29266" s="5" t="s">
        <v>355</v>
      </c>
    </row>
    <row r="29267" ht="16.5" customHeight="1">
      <c r="O29267" s="5" t="s">
        <v>355</v>
      </c>
      <c r="P29267" s="5" t="s">
        <v>355</v>
      </c>
      <c r="Q29267" s="5" t="s">
        <v>355</v>
      </c>
    </row>
    <row r="29268" ht="16.5" customHeight="1">
      <c r="O29268" s="5" t="s">
        <v>355</v>
      </c>
      <c r="P29268" s="5" t="s">
        <v>355</v>
      </c>
      <c r="Q29268" s="5" t="s">
        <v>355</v>
      </c>
    </row>
    <row r="29269" ht="16.5" customHeight="1">
      <c r="O29269" s="5" t="s">
        <v>355</v>
      </c>
      <c r="P29269" s="5" t="s">
        <v>355</v>
      </c>
      <c r="Q29269" s="5" t="s">
        <v>355</v>
      </c>
    </row>
    <row r="29270" ht="16.5" customHeight="1">
      <c r="O29270" s="5" t="s">
        <v>355</v>
      </c>
      <c r="P29270" s="5" t="s">
        <v>355</v>
      </c>
      <c r="Q29270" s="5" t="s">
        <v>355</v>
      </c>
    </row>
    <row r="29271" ht="16.5" customHeight="1">
      <c r="O29271" s="5" t="s">
        <v>355</v>
      </c>
      <c r="P29271" s="5" t="s">
        <v>355</v>
      </c>
      <c r="Q29271" s="5" t="s">
        <v>355</v>
      </c>
    </row>
    <row r="29272" ht="16.5" customHeight="1">
      <c r="O29272" s="5" t="s">
        <v>355</v>
      </c>
      <c r="P29272" s="5" t="s">
        <v>355</v>
      </c>
      <c r="Q29272" s="5" t="s">
        <v>355</v>
      </c>
    </row>
    <row r="29273" ht="16.5" customHeight="1">
      <c r="O29273" s="5" t="s">
        <v>355</v>
      </c>
      <c r="P29273" s="5" t="s">
        <v>355</v>
      </c>
      <c r="Q29273" s="5" t="s">
        <v>355</v>
      </c>
    </row>
    <row r="29274" ht="16.5" customHeight="1">
      <c r="O29274" s="5" t="s">
        <v>355</v>
      </c>
      <c r="P29274" s="5" t="s">
        <v>355</v>
      </c>
      <c r="Q29274" s="5" t="s">
        <v>355</v>
      </c>
    </row>
    <row r="29275" ht="16.5" customHeight="1">
      <c r="O29275" s="5" t="s">
        <v>355</v>
      </c>
      <c r="P29275" s="5" t="s">
        <v>355</v>
      </c>
      <c r="Q29275" s="5" t="s">
        <v>355</v>
      </c>
    </row>
    <row r="29276" ht="16.5" customHeight="1">
      <c r="O29276" s="5" t="s">
        <v>355</v>
      </c>
      <c r="P29276" s="5" t="s">
        <v>355</v>
      </c>
      <c r="Q29276" s="5" t="s">
        <v>355</v>
      </c>
    </row>
    <row r="29277" ht="16.5" customHeight="1">
      <c r="O29277" s="5" t="s">
        <v>355</v>
      </c>
      <c r="P29277" s="5" t="s">
        <v>355</v>
      </c>
      <c r="Q29277" s="5" t="s">
        <v>355</v>
      </c>
    </row>
    <row r="29278" ht="16.5" customHeight="1">
      <c r="O29278" s="5" t="s">
        <v>355</v>
      </c>
      <c r="P29278" s="5" t="s">
        <v>355</v>
      </c>
      <c r="Q29278" s="5" t="s">
        <v>355</v>
      </c>
    </row>
    <row r="29279" ht="16.5" customHeight="1">
      <c r="O29279" s="5" t="s">
        <v>355</v>
      </c>
      <c r="P29279" s="5" t="s">
        <v>355</v>
      </c>
      <c r="Q29279" s="5" t="s">
        <v>355</v>
      </c>
    </row>
    <row r="29280" ht="16.5" customHeight="1">
      <c r="O29280" s="5" t="s">
        <v>355</v>
      </c>
      <c r="P29280" s="5" t="s">
        <v>355</v>
      </c>
      <c r="Q29280" s="5" t="s">
        <v>355</v>
      </c>
    </row>
    <row r="29281" ht="16.5" customHeight="1">
      <c r="O29281" s="5" t="s">
        <v>355</v>
      </c>
      <c r="P29281" s="5" t="s">
        <v>355</v>
      </c>
      <c r="Q29281" s="5" t="s">
        <v>355</v>
      </c>
    </row>
    <row r="29282" ht="16.5" customHeight="1">
      <c r="O29282" s="5" t="s">
        <v>355</v>
      </c>
      <c r="P29282" s="5" t="s">
        <v>355</v>
      </c>
      <c r="Q29282" s="5" t="s">
        <v>355</v>
      </c>
    </row>
    <row r="29283" ht="16.5" customHeight="1">
      <c r="O29283" s="5" t="s">
        <v>355</v>
      </c>
      <c r="P29283" s="5" t="s">
        <v>355</v>
      </c>
      <c r="Q29283" s="5" t="s">
        <v>355</v>
      </c>
    </row>
    <row r="29284" ht="16.5" customHeight="1">
      <c r="O29284" s="5" t="s">
        <v>355</v>
      </c>
      <c r="P29284" s="5" t="s">
        <v>355</v>
      </c>
      <c r="Q29284" s="5" t="s">
        <v>355</v>
      </c>
    </row>
    <row r="29285" ht="16.5" customHeight="1">
      <c r="O29285" s="5" t="s">
        <v>355</v>
      </c>
      <c r="P29285" s="5" t="s">
        <v>355</v>
      </c>
      <c r="Q29285" s="5" t="s">
        <v>355</v>
      </c>
    </row>
    <row r="29286" ht="16.5" customHeight="1">
      <c r="O29286" s="5" t="s">
        <v>355</v>
      </c>
      <c r="P29286" s="5" t="s">
        <v>355</v>
      </c>
      <c r="Q29286" s="5" t="s">
        <v>355</v>
      </c>
    </row>
    <row r="29287" ht="16.5" customHeight="1">
      <c r="O29287" s="5" t="s">
        <v>355</v>
      </c>
      <c r="P29287" s="5" t="s">
        <v>355</v>
      </c>
      <c r="Q29287" s="5" t="s">
        <v>355</v>
      </c>
    </row>
    <row r="29288" ht="16.5" customHeight="1">
      <c r="O29288" s="5" t="s">
        <v>355</v>
      </c>
      <c r="P29288" s="5" t="s">
        <v>355</v>
      </c>
      <c r="Q29288" s="5" t="s">
        <v>355</v>
      </c>
    </row>
    <row r="29289" ht="16.5" customHeight="1">
      <c r="O29289" s="5" t="s">
        <v>355</v>
      </c>
      <c r="P29289" s="5" t="s">
        <v>355</v>
      </c>
      <c r="Q29289" s="5" t="s">
        <v>355</v>
      </c>
    </row>
    <row r="29290" ht="16.5" customHeight="1">
      <c r="O29290" s="5" t="s">
        <v>355</v>
      </c>
      <c r="P29290" s="5" t="s">
        <v>355</v>
      </c>
      <c r="Q29290" s="5" t="s">
        <v>355</v>
      </c>
    </row>
    <row r="29291" ht="16.5" customHeight="1">
      <c r="O29291" s="5" t="s">
        <v>355</v>
      </c>
      <c r="P29291" s="5" t="s">
        <v>355</v>
      </c>
      <c r="Q29291" s="5" t="s">
        <v>355</v>
      </c>
    </row>
    <row r="29292" ht="16.5" customHeight="1">
      <c r="O29292" s="5" t="s">
        <v>355</v>
      </c>
      <c r="P29292" s="5" t="s">
        <v>355</v>
      </c>
      <c r="Q29292" s="5" t="s">
        <v>355</v>
      </c>
    </row>
    <row r="29293" ht="16.5" customHeight="1">
      <c r="O29293" s="5" t="s">
        <v>355</v>
      </c>
      <c r="P29293" s="5" t="s">
        <v>355</v>
      </c>
      <c r="Q29293" s="5" t="s">
        <v>355</v>
      </c>
    </row>
    <row r="29294" ht="16.5" customHeight="1">
      <c r="O29294" s="5" t="s">
        <v>355</v>
      </c>
      <c r="P29294" s="5" t="s">
        <v>355</v>
      </c>
      <c r="Q29294" s="5" t="s">
        <v>355</v>
      </c>
    </row>
    <row r="29295" ht="16.5" customHeight="1">
      <c r="O29295" s="5" t="s">
        <v>355</v>
      </c>
      <c r="P29295" s="5" t="s">
        <v>355</v>
      </c>
      <c r="Q29295" s="5" t="s">
        <v>355</v>
      </c>
    </row>
    <row r="29296" ht="16.5" customHeight="1">
      <c r="O29296" s="5" t="s">
        <v>355</v>
      </c>
      <c r="P29296" s="5" t="s">
        <v>355</v>
      </c>
      <c r="Q29296" s="5" t="s">
        <v>355</v>
      </c>
    </row>
    <row r="29297" ht="16.5" customHeight="1">
      <c r="O29297" s="5" t="s">
        <v>355</v>
      </c>
      <c r="P29297" s="5" t="s">
        <v>355</v>
      </c>
      <c r="Q29297" s="5" t="s">
        <v>355</v>
      </c>
    </row>
    <row r="29298" ht="16.5" customHeight="1">
      <c r="O29298" s="5" t="s">
        <v>355</v>
      </c>
      <c r="P29298" s="5" t="s">
        <v>355</v>
      </c>
      <c r="Q29298" s="5" t="s">
        <v>355</v>
      </c>
    </row>
    <row r="29299" ht="16.5" customHeight="1">
      <c r="O29299" s="5" t="s">
        <v>355</v>
      </c>
      <c r="P29299" s="5" t="s">
        <v>355</v>
      </c>
      <c r="Q29299" s="5" t="s">
        <v>355</v>
      </c>
    </row>
    <row r="29300" ht="16.5" customHeight="1">
      <c r="O29300" s="5" t="s">
        <v>355</v>
      </c>
      <c r="P29300" s="5" t="s">
        <v>355</v>
      </c>
      <c r="Q29300" s="5" t="s">
        <v>355</v>
      </c>
    </row>
    <row r="29301" ht="16.5" customHeight="1">
      <c r="O29301" s="5" t="s">
        <v>355</v>
      </c>
      <c r="P29301" s="5" t="s">
        <v>355</v>
      </c>
      <c r="Q29301" s="5" t="s">
        <v>355</v>
      </c>
    </row>
    <row r="29302" ht="16.5" customHeight="1">
      <c r="O29302" s="5" t="s">
        <v>355</v>
      </c>
      <c r="P29302" s="5" t="s">
        <v>355</v>
      </c>
      <c r="Q29302" s="5" t="s">
        <v>355</v>
      </c>
    </row>
    <row r="29303" ht="16.5" customHeight="1">
      <c r="O29303" s="5" t="s">
        <v>355</v>
      </c>
      <c r="P29303" s="5" t="s">
        <v>355</v>
      </c>
      <c r="Q29303" s="5" t="s">
        <v>355</v>
      </c>
    </row>
    <row r="29304" ht="16.5" customHeight="1">
      <c r="O29304" s="5" t="s">
        <v>355</v>
      </c>
      <c r="P29304" s="5" t="s">
        <v>355</v>
      </c>
      <c r="Q29304" s="5" t="s">
        <v>355</v>
      </c>
    </row>
    <row r="29305" ht="16.5" customHeight="1">
      <c r="O29305" s="5" t="s">
        <v>355</v>
      </c>
      <c r="P29305" s="5" t="s">
        <v>355</v>
      </c>
      <c r="Q29305" s="5" t="s">
        <v>355</v>
      </c>
    </row>
    <row r="29306" ht="16.5" customHeight="1">
      <c r="O29306" s="5" t="s">
        <v>355</v>
      </c>
      <c r="P29306" s="5" t="s">
        <v>355</v>
      </c>
      <c r="Q29306" s="5" t="s">
        <v>355</v>
      </c>
    </row>
    <row r="29307" ht="16.5" customHeight="1">
      <c r="O29307" s="5" t="s">
        <v>355</v>
      </c>
      <c r="P29307" s="5" t="s">
        <v>355</v>
      </c>
      <c r="Q29307" s="5" t="s">
        <v>355</v>
      </c>
    </row>
    <row r="29308" ht="16.5" customHeight="1">
      <c r="O29308" s="5" t="s">
        <v>355</v>
      </c>
      <c r="P29308" s="5" t="s">
        <v>355</v>
      </c>
      <c r="Q29308" s="5" t="s">
        <v>355</v>
      </c>
    </row>
    <row r="29309" ht="16.5" customHeight="1">
      <c r="O29309" s="5" t="s">
        <v>355</v>
      </c>
      <c r="P29309" s="5" t="s">
        <v>355</v>
      </c>
      <c r="Q29309" s="5" t="s">
        <v>355</v>
      </c>
    </row>
    <row r="29310" ht="16.5" customHeight="1">
      <c r="O29310" s="5" t="s">
        <v>355</v>
      </c>
      <c r="P29310" s="5" t="s">
        <v>355</v>
      </c>
      <c r="Q29310" s="5" t="s">
        <v>355</v>
      </c>
    </row>
    <row r="29311" ht="16.5" customHeight="1">
      <c r="O29311" s="5" t="s">
        <v>355</v>
      </c>
      <c r="P29311" s="5" t="s">
        <v>355</v>
      </c>
      <c r="Q29311" s="5" t="s">
        <v>355</v>
      </c>
    </row>
    <row r="29312" ht="16.5" customHeight="1">
      <c r="O29312" s="5" t="s">
        <v>355</v>
      </c>
      <c r="P29312" s="5" t="s">
        <v>355</v>
      </c>
      <c r="Q29312" s="5" t="s">
        <v>355</v>
      </c>
    </row>
    <row r="29313" ht="16.5" customHeight="1">
      <c r="O29313" s="5" t="s">
        <v>355</v>
      </c>
      <c r="P29313" s="5" t="s">
        <v>355</v>
      </c>
      <c r="Q29313" s="5" t="s">
        <v>355</v>
      </c>
    </row>
    <row r="29314" ht="16.5" customHeight="1">
      <c r="O29314" s="5" t="s">
        <v>355</v>
      </c>
      <c r="P29314" s="5" t="s">
        <v>355</v>
      </c>
      <c r="Q29314" s="5" t="s">
        <v>355</v>
      </c>
    </row>
    <row r="29315" ht="16.5" customHeight="1">
      <c r="O29315" s="5" t="s">
        <v>355</v>
      </c>
      <c r="P29315" s="5" t="s">
        <v>355</v>
      </c>
      <c r="Q29315" s="5" t="s">
        <v>355</v>
      </c>
    </row>
    <row r="29316" ht="16.5" customHeight="1">
      <c r="O29316" s="5" t="s">
        <v>355</v>
      </c>
      <c r="P29316" s="5" t="s">
        <v>355</v>
      </c>
      <c r="Q29316" s="5" t="s">
        <v>355</v>
      </c>
    </row>
    <row r="29317" ht="16.5" customHeight="1">
      <c r="O29317" s="5" t="s">
        <v>355</v>
      </c>
      <c r="P29317" s="5" t="s">
        <v>355</v>
      </c>
      <c r="Q29317" s="5" t="s">
        <v>355</v>
      </c>
    </row>
    <row r="29318" ht="16.5" customHeight="1">
      <c r="O29318" s="5" t="s">
        <v>355</v>
      </c>
      <c r="P29318" s="5" t="s">
        <v>355</v>
      </c>
      <c r="Q29318" s="5" t="s">
        <v>355</v>
      </c>
    </row>
    <row r="29319" ht="16.5" customHeight="1">
      <c r="O29319" s="5" t="s">
        <v>355</v>
      </c>
      <c r="P29319" s="5" t="s">
        <v>355</v>
      </c>
      <c r="Q29319" s="5" t="s">
        <v>355</v>
      </c>
    </row>
    <row r="29320" ht="16.5" customHeight="1">
      <c r="O29320" s="5" t="s">
        <v>355</v>
      </c>
      <c r="P29320" s="5" t="s">
        <v>355</v>
      </c>
      <c r="Q29320" s="5" t="s">
        <v>355</v>
      </c>
    </row>
    <row r="29321" ht="16.5" customHeight="1">
      <c r="O29321" s="5" t="s">
        <v>355</v>
      </c>
      <c r="P29321" s="5" t="s">
        <v>355</v>
      </c>
      <c r="Q29321" s="5" t="s">
        <v>355</v>
      </c>
    </row>
    <row r="29322" ht="16.5" customHeight="1">
      <c r="O29322" s="5" t="s">
        <v>355</v>
      </c>
      <c r="P29322" s="5" t="s">
        <v>355</v>
      </c>
      <c r="Q29322" s="5" t="s">
        <v>355</v>
      </c>
    </row>
    <row r="29323" ht="16.5" customHeight="1">
      <c r="O29323" s="5" t="s">
        <v>355</v>
      </c>
      <c r="P29323" s="5" t="s">
        <v>355</v>
      </c>
      <c r="Q29323" s="5" t="s">
        <v>355</v>
      </c>
    </row>
    <row r="29324" ht="16.5" customHeight="1">
      <c r="O29324" s="5" t="s">
        <v>355</v>
      </c>
      <c r="P29324" s="5" t="s">
        <v>355</v>
      </c>
      <c r="Q29324" s="5" t="s">
        <v>355</v>
      </c>
    </row>
    <row r="29325" ht="16.5" customHeight="1">
      <c r="O29325" s="5" t="s">
        <v>355</v>
      </c>
      <c r="P29325" s="5" t="s">
        <v>355</v>
      </c>
      <c r="Q29325" s="5" t="s">
        <v>355</v>
      </c>
    </row>
    <row r="29326" ht="16.5" customHeight="1">
      <c r="O29326" s="5" t="s">
        <v>355</v>
      </c>
      <c r="P29326" s="5" t="s">
        <v>355</v>
      </c>
      <c r="Q29326" s="5" t="s">
        <v>355</v>
      </c>
    </row>
    <row r="29327" ht="16.5" customHeight="1">
      <c r="O29327" s="5" t="s">
        <v>355</v>
      </c>
      <c r="P29327" s="5" t="s">
        <v>355</v>
      </c>
      <c r="Q29327" s="5" t="s">
        <v>355</v>
      </c>
    </row>
    <row r="29328" ht="16.5" customHeight="1">
      <c r="O29328" s="5" t="s">
        <v>355</v>
      </c>
      <c r="P29328" s="5" t="s">
        <v>355</v>
      </c>
      <c r="Q29328" s="5" t="s">
        <v>355</v>
      </c>
    </row>
    <row r="29329" ht="16.5" customHeight="1">
      <c r="O29329" s="5" t="s">
        <v>355</v>
      </c>
      <c r="P29329" s="5" t="s">
        <v>355</v>
      </c>
      <c r="Q29329" s="5" t="s">
        <v>355</v>
      </c>
    </row>
    <row r="29330" ht="16.5" customHeight="1">
      <c r="O29330" s="5" t="s">
        <v>355</v>
      </c>
      <c r="P29330" s="5" t="s">
        <v>355</v>
      </c>
      <c r="Q29330" s="5" t="s">
        <v>355</v>
      </c>
    </row>
    <row r="29331" ht="16.5" customHeight="1">
      <c r="O29331" s="5" t="s">
        <v>355</v>
      </c>
      <c r="P29331" s="5" t="s">
        <v>355</v>
      </c>
      <c r="Q29331" s="5" t="s">
        <v>355</v>
      </c>
    </row>
    <row r="29332" ht="16.5" customHeight="1">
      <c r="O29332" s="5" t="s">
        <v>355</v>
      </c>
      <c r="P29332" s="5" t="s">
        <v>355</v>
      </c>
      <c r="Q29332" s="5" t="s">
        <v>355</v>
      </c>
    </row>
    <row r="29333" ht="16.5" customHeight="1">
      <c r="O29333" s="5" t="s">
        <v>355</v>
      </c>
      <c r="P29333" s="5" t="s">
        <v>355</v>
      </c>
      <c r="Q29333" s="5" t="s">
        <v>355</v>
      </c>
    </row>
    <row r="29334" ht="16.5" customHeight="1">
      <c r="O29334" s="5" t="s">
        <v>355</v>
      </c>
      <c r="P29334" s="5" t="s">
        <v>355</v>
      </c>
      <c r="Q29334" s="5" t="s">
        <v>355</v>
      </c>
    </row>
    <row r="29335" ht="16.5" customHeight="1">
      <c r="O29335" s="5" t="s">
        <v>355</v>
      </c>
      <c r="P29335" s="5" t="s">
        <v>355</v>
      </c>
      <c r="Q29335" s="5" t="s">
        <v>355</v>
      </c>
    </row>
    <row r="29336" ht="16.5" customHeight="1">
      <c r="O29336" s="5" t="s">
        <v>355</v>
      </c>
      <c r="P29336" s="5" t="s">
        <v>355</v>
      </c>
      <c r="Q29336" s="5" t="s">
        <v>355</v>
      </c>
    </row>
    <row r="29337" ht="16.5" customHeight="1">
      <c r="O29337" s="5" t="s">
        <v>355</v>
      </c>
      <c r="P29337" s="5" t="s">
        <v>355</v>
      </c>
      <c r="Q29337" s="5" t="s">
        <v>355</v>
      </c>
    </row>
    <row r="29338" ht="16.5" customHeight="1">
      <c r="O29338" s="5" t="s">
        <v>355</v>
      </c>
      <c r="P29338" s="5" t="s">
        <v>355</v>
      </c>
      <c r="Q29338" s="5" t="s">
        <v>355</v>
      </c>
    </row>
    <row r="29339" ht="16.5" customHeight="1">
      <c r="O29339" s="5" t="s">
        <v>355</v>
      </c>
      <c r="P29339" s="5" t="s">
        <v>355</v>
      </c>
      <c r="Q29339" s="5" t="s">
        <v>355</v>
      </c>
    </row>
    <row r="29340" ht="16.5" customHeight="1">
      <c r="O29340" s="5" t="s">
        <v>355</v>
      </c>
      <c r="P29340" s="5" t="s">
        <v>355</v>
      </c>
      <c r="Q29340" s="5" t="s">
        <v>355</v>
      </c>
    </row>
    <row r="29341" ht="16.5" customHeight="1">
      <c r="O29341" s="5" t="s">
        <v>355</v>
      </c>
      <c r="P29341" s="5" t="s">
        <v>355</v>
      </c>
      <c r="Q29341" s="5" t="s">
        <v>355</v>
      </c>
    </row>
    <row r="29342" ht="16.5" customHeight="1">
      <c r="O29342" s="5" t="s">
        <v>355</v>
      </c>
      <c r="P29342" s="5" t="s">
        <v>355</v>
      </c>
      <c r="Q29342" s="5" t="s">
        <v>355</v>
      </c>
    </row>
    <row r="29343" ht="16.5" customHeight="1">
      <c r="O29343" s="5" t="s">
        <v>355</v>
      </c>
      <c r="P29343" s="5" t="s">
        <v>355</v>
      </c>
      <c r="Q29343" s="5" t="s">
        <v>355</v>
      </c>
    </row>
    <row r="29344" ht="16.5" customHeight="1">
      <c r="O29344" s="5" t="s">
        <v>355</v>
      </c>
      <c r="P29344" s="5" t="s">
        <v>355</v>
      </c>
      <c r="Q29344" s="5" t="s">
        <v>355</v>
      </c>
    </row>
    <row r="29345" ht="16.5" customHeight="1">
      <c r="O29345" s="5" t="s">
        <v>355</v>
      </c>
      <c r="P29345" s="5" t="s">
        <v>355</v>
      </c>
      <c r="Q29345" s="5" t="s">
        <v>355</v>
      </c>
    </row>
    <row r="29346" ht="16.5" customHeight="1">
      <c r="O29346" s="5" t="s">
        <v>355</v>
      </c>
      <c r="P29346" s="5" t="s">
        <v>355</v>
      </c>
      <c r="Q29346" s="5" t="s">
        <v>355</v>
      </c>
    </row>
    <row r="29347" ht="16.5" customHeight="1">
      <c r="O29347" s="5" t="s">
        <v>355</v>
      </c>
      <c r="P29347" s="5" t="s">
        <v>355</v>
      </c>
      <c r="Q29347" s="5" t="s">
        <v>355</v>
      </c>
    </row>
    <row r="29348" ht="16.5" customHeight="1">
      <c r="O29348" s="5" t="s">
        <v>355</v>
      </c>
      <c r="P29348" s="5" t="s">
        <v>355</v>
      </c>
      <c r="Q29348" s="5" t="s">
        <v>355</v>
      </c>
    </row>
    <row r="29349" ht="16.5" customHeight="1">
      <c r="O29349" s="5" t="s">
        <v>355</v>
      </c>
      <c r="P29349" s="5" t="s">
        <v>355</v>
      </c>
      <c r="Q29349" s="5" t="s">
        <v>355</v>
      </c>
    </row>
    <row r="29350" ht="16.5" customHeight="1">
      <c r="O29350" s="5" t="s">
        <v>355</v>
      </c>
      <c r="P29350" s="5" t="s">
        <v>355</v>
      </c>
      <c r="Q29350" s="5" t="s">
        <v>355</v>
      </c>
    </row>
    <row r="29351" ht="16.5" customHeight="1">
      <c r="O29351" s="5" t="s">
        <v>355</v>
      </c>
      <c r="P29351" s="5" t="s">
        <v>355</v>
      </c>
      <c r="Q29351" s="5" t="s">
        <v>355</v>
      </c>
    </row>
    <row r="29352" ht="16.5" customHeight="1">
      <c r="O29352" s="5" t="s">
        <v>355</v>
      </c>
      <c r="P29352" s="5" t="s">
        <v>355</v>
      </c>
      <c r="Q29352" s="5" t="s">
        <v>355</v>
      </c>
    </row>
    <row r="29353" ht="16.5" customHeight="1">
      <c r="O29353" s="5" t="s">
        <v>355</v>
      </c>
      <c r="P29353" s="5" t="s">
        <v>355</v>
      </c>
      <c r="Q29353" s="5" t="s">
        <v>355</v>
      </c>
    </row>
    <row r="29354" ht="16.5" customHeight="1">
      <c r="O29354" s="5" t="s">
        <v>355</v>
      </c>
      <c r="P29354" s="5" t="s">
        <v>355</v>
      </c>
      <c r="Q29354" s="5" t="s">
        <v>355</v>
      </c>
    </row>
    <row r="29355" ht="16.5" customHeight="1">
      <c r="O29355" s="5" t="s">
        <v>355</v>
      </c>
      <c r="P29355" s="5" t="s">
        <v>355</v>
      </c>
      <c r="Q29355" s="5" t="s">
        <v>355</v>
      </c>
    </row>
    <row r="29356" ht="16.5" customHeight="1">
      <c r="O29356" s="5" t="s">
        <v>355</v>
      </c>
      <c r="P29356" s="5" t="s">
        <v>355</v>
      </c>
      <c r="Q29356" s="5" t="s">
        <v>355</v>
      </c>
    </row>
    <row r="29357" ht="16.5" customHeight="1">
      <c r="O29357" s="5" t="s">
        <v>355</v>
      </c>
      <c r="P29357" s="5" t="s">
        <v>355</v>
      </c>
      <c r="Q29357" s="5" t="s">
        <v>355</v>
      </c>
    </row>
    <row r="29358" ht="16.5" customHeight="1">
      <c r="O29358" s="5" t="s">
        <v>355</v>
      </c>
      <c r="P29358" s="5" t="s">
        <v>355</v>
      </c>
      <c r="Q29358" s="5" t="s">
        <v>355</v>
      </c>
    </row>
    <row r="29359" ht="16.5" customHeight="1">
      <c r="O29359" s="5" t="s">
        <v>355</v>
      </c>
      <c r="P29359" s="5" t="s">
        <v>355</v>
      </c>
      <c r="Q29359" s="5" t="s">
        <v>355</v>
      </c>
    </row>
    <row r="29360" ht="16.5" customHeight="1">
      <c r="O29360" s="5" t="s">
        <v>355</v>
      </c>
      <c r="P29360" s="5" t="s">
        <v>355</v>
      </c>
      <c r="Q29360" s="5" t="s">
        <v>355</v>
      </c>
    </row>
    <row r="29361" ht="16.5" customHeight="1">
      <c r="O29361" s="5" t="s">
        <v>355</v>
      </c>
      <c r="P29361" s="5" t="s">
        <v>355</v>
      </c>
      <c r="Q29361" s="5" t="s">
        <v>355</v>
      </c>
    </row>
    <row r="29362" ht="16.5" customHeight="1">
      <c r="O29362" s="5" t="s">
        <v>355</v>
      </c>
      <c r="P29362" s="5" t="s">
        <v>355</v>
      </c>
      <c r="Q29362" s="5" t="s">
        <v>355</v>
      </c>
    </row>
    <row r="29363" ht="16.5" customHeight="1">
      <c r="O29363" s="5" t="s">
        <v>355</v>
      </c>
      <c r="P29363" s="5" t="s">
        <v>355</v>
      </c>
      <c r="Q29363" s="5" t="s">
        <v>355</v>
      </c>
    </row>
    <row r="29364" ht="16.5" customHeight="1">
      <c r="O29364" s="5" t="s">
        <v>355</v>
      </c>
      <c r="P29364" s="5" t="s">
        <v>355</v>
      </c>
      <c r="Q29364" s="5" t="s">
        <v>355</v>
      </c>
    </row>
    <row r="29365" ht="16.5" customHeight="1">
      <c r="O29365" s="5" t="s">
        <v>355</v>
      </c>
      <c r="P29365" s="5" t="s">
        <v>355</v>
      </c>
      <c r="Q29365" s="5" t="s">
        <v>355</v>
      </c>
    </row>
    <row r="29366" ht="16.5" customHeight="1">
      <c r="O29366" s="5" t="s">
        <v>355</v>
      </c>
      <c r="P29366" s="5" t="s">
        <v>355</v>
      </c>
      <c r="Q29366" s="5" t="s">
        <v>355</v>
      </c>
    </row>
    <row r="29367" ht="16.5" customHeight="1">
      <c r="O29367" s="5" t="s">
        <v>355</v>
      </c>
      <c r="P29367" s="5" t="s">
        <v>355</v>
      </c>
      <c r="Q29367" s="5" t="s">
        <v>355</v>
      </c>
    </row>
    <row r="29368" ht="16.5" customHeight="1">
      <c r="O29368" s="5" t="s">
        <v>355</v>
      </c>
      <c r="P29368" s="5" t="s">
        <v>355</v>
      </c>
      <c r="Q29368" s="5" t="s">
        <v>355</v>
      </c>
    </row>
    <row r="29369" ht="16.5" customHeight="1">
      <c r="O29369" s="5" t="s">
        <v>355</v>
      </c>
      <c r="P29369" s="5" t="s">
        <v>355</v>
      </c>
      <c r="Q29369" s="5" t="s">
        <v>355</v>
      </c>
    </row>
    <row r="29370" ht="16.5" customHeight="1">
      <c r="O29370" s="5" t="s">
        <v>355</v>
      </c>
      <c r="P29370" s="5" t="s">
        <v>355</v>
      </c>
      <c r="Q29370" s="5" t="s">
        <v>355</v>
      </c>
    </row>
    <row r="29371" ht="16.5" customHeight="1">
      <c r="O29371" s="5" t="s">
        <v>355</v>
      </c>
      <c r="P29371" s="5" t="s">
        <v>355</v>
      </c>
      <c r="Q29371" s="5" t="s">
        <v>355</v>
      </c>
    </row>
    <row r="29372" ht="16.5" customHeight="1">
      <c r="O29372" s="5" t="s">
        <v>355</v>
      </c>
      <c r="P29372" s="5" t="s">
        <v>355</v>
      </c>
      <c r="Q29372" s="5" t="s">
        <v>355</v>
      </c>
    </row>
    <row r="29373" ht="16.5" customHeight="1">
      <c r="O29373" s="5" t="s">
        <v>355</v>
      </c>
      <c r="P29373" s="5" t="s">
        <v>355</v>
      </c>
      <c r="Q29373" s="5" t="s">
        <v>355</v>
      </c>
    </row>
    <row r="29374" ht="16.5" customHeight="1">
      <c r="O29374" s="5" t="s">
        <v>355</v>
      </c>
      <c r="P29374" s="5" t="s">
        <v>355</v>
      </c>
      <c r="Q29374" s="5" t="s">
        <v>355</v>
      </c>
    </row>
    <row r="29375" ht="16.5" customHeight="1">
      <c r="O29375" s="5" t="s">
        <v>355</v>
      </c>
      <c r="P29375" s="5" t="s">
        <v>355</v>
      </c>
      <c r="Q29375" s="5" t="s">
        <v>355</v>
      </c>
    </row>
    <row r="29376" ht="16.5" customHeight="1">
      <c r="O29376" s="5" t="s">
        <v>355</v>
      </c>
      <c r="P29376" s="5" t="s">
        <v>355</v>
      </c>
      <c r="Q29376" s="5" t="s">
        <v>355</v>
      </c>
    </row>
    <row r="29377" ht="16.5" customHeight="1">
      <c r="O29377" s="5" t="s">
        <v>355</v>
      </c>
      <c r="P29377" s="5" t="s">
        <v>355</v>
      </c>
      <c r="Q29377" s="5" t="s">
        <v>355</v>
      </c>
    </row>
    <row r="29378" ht="16.5" customHeight="1">
      <c r="O29378" s="5" t="s">
        <v>355</v>
      </c>
      <c r="P29378" s="5" t="s">
        <v>355</v>
      </c>
      <c r="Q29378" s="5" t="s">
        <v>355</v>
      </c>
    </row>
    <row r="29379" ht="16.5" customHeight="1">
      <c r="O29379" s="5" t="s">
        <v>355</v>
      </c>
      <c r="P29379" s="5" t="s">
        <v>355</v>
      </c>
      <c r="Q29379" s="5" t="s">
        <v>355</v>
      </c>
    </row>
    <row r="29380" ht="16.5" customHeight="1">
      <c r="O29380" s="5" t="s">
        <v>355</v>
      </c>
      <c r="P29380" s="5" t="s">
        <v>355</v>
      </c>
      <c r="Q29380" s="5" t="s">
        <v>355</v>
      </c>
    </row>
    <row r="29381" ht="16.5" customHeight="1">
      <c r="O29381" s="5" t="s">
        <v>355</v>
      </c>
      <c r="P29381" s="5" t="s">
        <v>355</v>
      </c>
      <c r="Q29381" s="5" t="s">
        <v>355</v>
      </c>
    </row>
    <row r="29382" ht="16.5" customHeight="1">
      <c r="O29382" s="5" t="s">
        <v>355</v>
      </c>
      <c r="P29382" s="5" t="s">
        <v>355</v>
      </c>
      <c r="Q29382" s="5" t="s">
        <v>355</v>
      </c>
    </row>
    <row r="29383" ht="16.5" customHeight="1">
      <c r="O29383" s="5" t="s">
        <v>355</v>
      </c>
      <c r="P29383" s="5" t="s">
        <v>355</v>
      </c>
      <c r="Q29383" s="5" t="s">
        <v>355</v>
      </c>
    </row>
    <row r="29384" ht="16.5" customHeight="1">
      <c r="O29384" s="5" t="s">
        <v>355</v>
      </c>
      <c r="P29384" s="5" t="s">
        <v>355</v>
      </c>
      <c r="Q29384" s="5" t="s">
        <v>355</v>
      </c>
    </row>
    <row r="29385" ht="16.5" customHeight="1">
      <c r="O29385" s="5" t="s">
        <v>355</v>
      </c>
      <c r="P29385" s="5" t="s">
        <v>355</v>
      </c>
      <c r="Q29385" s="5" t="s">
        <v>355</v>
      </c>
    </row>
    <row r="29386" ht="16.5" customHeight="1">
      <c r="O29386" s="5" t="s">
        <v>355</v>
      </c>
      <c r="P29386" s="5" t="s">
        <v>355</v>
      </c>
      <c r="Q29386" s="5" t="s">
        <v>355</v>
      </c>
    </row>
    <row r="29387" ht="16.5" customHeight="1">
      <c r="O29387" s="5" t="s">
        <v>355</v>
      </c>
      <c r="P29387" s="5" t="s">
        <v>355</v>
      </c>
      <c r="Q29387" s="5" t="s">
        <v>355</v>
      </c>
    </row>
    <row r="29388" ht="16.5" customHeight="1">
      <c r="O29388" s="5" t="s">
        <v>355</v>
      </c>
      <c r="P29388" s="5" t="s">
        <v>355</v>
      </c>
      <c r="Q29388" s="5" t="s">
        <v>355</v>
      </c>
    </row>
    <row r="29389" ht="16.5" customHeight="1">
      <c r="O29389" s="5" t="s">
        <v>355</v>
      </c>
      <c r="P29389" s="5" t="s">
        <v>355</v>
      </c>
      <c r="Q29389" s="5" t="s">
        <v>355</v>
      </c>
    </row>
    <row r="29390" ht="16.5" customHeight="1">
      <c r="O29390" s="5" t="s">
        <v>355</v>
      </c>
      <c r="P29390" s="5" t="s">
        <v>355</v>
      </c>
      <c r="Q29390" s="5" t="s">
        <v>355</v>
      </c>
    </row>
    <row r="29391" ht="16.5" customHeight="1">
      <c r="O29391" s="5" t="s">
        <v>355</v>
      </c>
      <c r="P29391" s="5" t="s">
        <v>355</v>
      </c>
      <c r="Q29391" s="5" t="s">
        <v>355</v>
      </c>
    </row>
    <row r="29392" ht="16.5" customHeight="1">
      <c r="O29392" s="5" t="s">
        <v>355</v>
      </c>
      <c r="P29392" s="5" t="s">
        <v>355</v>
      </c>
      <c r="Q29392" s="5" t="s">
        <v>355</v>
      </c>
    </row>
    <row r="29393" ht="16.5" customHeight="1">
      <c r="O29393" s="5" t="s">
        <v>355</v>
      </c>
      <c r="P29393" s="5" t="s">
        <v>355</v>
      </c>
      <c r="Q29393" s="5" t="s">
        <v>355</v>
      </c>
    </row>
    <row r="29394" ht="16.5" customHeight="1">
      <c r="O29394" s="5" t="s">
        <v>355</v>
      </c>
      <c r="P29394" s="5" t="s">
        <v>355</v>
      </c>
      <c r="Q29394" s="5" t="s">
        <v>355</v>
      </c>
    </row>
    <row r="29395" ht="16.5" customHeight="1">
      <c r="O29395" s="5" t="s">
        <v>355</v>
      </c>
      <c r="P29395" s="5" t="s">
        <v>355</v>
      </c>
      <c r="Q29395" s="5" t="s">
        <v>355</v>
      </c>
    </row>
    <row r="29396" ht="16.5" customHeight="1">
      <c r="O29396" s="5" t="s">
        <v>355</v>
      </c>
      <c r="P29396" s="5" t="s">
        <v>355</v>
      </c>
      <c r="Q29396" s="5" t="s">
        <v>355</v>
      </c>
    </row>
    <row r="29397" ht="16.5" customHeight="1">
      <c r="O29397" s="5" t="s">
        <v>355</v>
      </c>
      <c r="P29397" s="5" t="s">
        <v>355</v>
      </c>
      <c r="Q29397" s="5" t="s">
        <v>355</v>
      </c>
    </row>
    <row r="29398" ht="16.5" customHeight="1">
      <c r="O29398" s="5" t="s">
        <v>355</v>
      </c>
      <c r="P29398" s="5" t="s">
        <v>355</v>
      </c>
      <c r="Q29398" s="5" t="s">
        <v>355</v>
      </c>
    </row>
    <row r="29399" ht="16.5" customHeight="1">
      <c r="O29399" s="5" t="s">
        <v>355</v>
      </c>
      <c r="P29399" s="5" t="s">
        <v>355</v>
      </c>
      <c r="Q29399" s="5" t="s">
        <v>355</v>
      </c>
    </row>
    <row r="29400" ht="16.5" customHeight="1">
      <c r="O29400" s="5" t="s">
        <v>355</v>
      </c>
      <c r="P29400" s="5" t="s">
        <v>355</v>
      </c>
      <c r="Q29400" s="5" t="s">
        <v>355</v>
      </c>
    </row>
    <row r="29401" ht="16.5" customHeight="1">
      <c r="O29401" s="5" t="s">
        <v>355</v>
      </c>
      <c r="P29401" s="5" t="s">
        <v>355</v>
      </c>
      <c r="Q29401" s="5" t="s">
        <v>355</v>
      </c>
    </row>
    <row r="29402" ht="16.5" customHeight="1">
      <c r="O29402" s="5" t="s">
        <v>355</v>
      </c>
      <c r="P29402" s="5" t="s">
        <v>355</v>
      </c>
      <c r="Q29402" s="5" t="s">
        <v>355</v>
      </c>
    </row>
    <row r="29403" ht="16.5" customHeight="1">
      <c r="O29403" s="5" t="s">
        <v>355</v>
      </c>
      <c r="P29403" s="5" t="s">
        <v>355</v>
      </c>
      <c r="Q29403" s="5" t="s">
        <v>355</v>
      </c>
    </row>
    <row r="29404" ht="16.5" customHeight="1">
      <c r="O29404" s="5" t="s">
        <v>355</v>
      </c>
      <c r="P29404" s="5" t="s">
        <v>355</v>
      </c>
      <c r="Q29404" s="5" t="s">
        <v>355</v>
      </c>
    </row>
    <row r="29405" ht="16.5" customHeight="1">
      <c r="O29405" s="5" t="s">
        <v>355</v>
      </c>
      <c r="P29405" s="5" t="s">
        <v>355</v>
      </c>
      <c r="Q29405" s="5" t="s">
        <v>355</v>
      </c>
    </row>
    <row r="29406" ht="16.5" customHeight="1">
      <c r="O29406" s="5" t="s">
        <v>355</v>
      </c>
      <c r="P29406" s="5" t="s">
        <v>355</v>
      </c>
      <c r="Q29406" s="5" t="s">
        <v>355</v>
      </c>
    </row>
    <row r="29407" ht="16.5" customHeight="1">
      <c r="O29407" s="5" t="s">
        <v>355</v>
      </c>
      <c r="P29407" s="5" t="s">
        <v>355</v>
      </c>
      <c r="Q29407" s="5" t="s">
        <v>355</v>
      </c>
    </row>
    <row r="29408" ht="16.5" customHeight="1">
      <c r="O29408" s="5" t="s">
        <v>355</v>
      </c>
      <c r="P29408" s="5" t="s">
        <v>355</v>
      </c>
      <c r="Q29408" s="5" t="s">
        <v>355</v>
      </c>
    </row>
    <row r="29409" ht="16.5" customHeight="1">
      <c r="O29409" s="5" t="s">
        <v>355</v>
      </c>
      <c r="P29409" s="5" t="s">
        <v>355</v>
      </c>
      <c r="Q29409" s="5" t="s">
        <v>355</v>
      </c>
    </row>
    <row r="29410" ht="16.5" customHeight="1">
      <c r="O29410" s="5" t="s">
        <v>355</v>
      </c>
      <c r="P29410" s="5" t="s">
        <v>355</v>
      </c>
      <c r="Q29410" s="5" t="s">
        <v>355</v>
      </c>
    </row>
    <row r="29411" ht="16.5" customHeight="1">
      <c r="O29411" s="5" t="s">
        <v>355</v>
      </c>
      <c r="P29411" s="5" t="s">
        <v>355</v>
      </c>
      <c r="Q29411" s="5" t="s">
        <v>355</v>
      </c>
    </row>
    <row r="29412" ht="16.5" customHeight="1">
      <c r="O29412" s="5" t="s">
        <v>355</v>
      </c>
      <c r="P29412" s="5" t="s">
        <v>355</v>
      </c>
      <c r="Q29412" s="5" t="s">
        <v>355</v>
      </c>
    </row>
    <row r="29413" ht="16.5" customHeight="1">
      <c r="O29413" s="5" t="s">
        <v>355</v>
      </c>
      <c r="P29413" s="5" t="s">
        <v>355</v>
      </c>
      <c r="Q29413" s="5" t="s">
        <v>355</v>
      </c>
    </row>
    <row r="29414" ht="16.5" customHeight="1">
      <c r="O29414" s="5" t="s">
        <v>355</v>
      </c>
      <c r="P29414" s="5" t="s">
        <v>355</v>
      </c>
      <c r="Q29414" s="5" t="s">
        <v>355</v>
      </c>
    </row>
    <row r="29415" ht="16.5" customHeight="1">
      <c r="O29415" s="5" t="s">
        <v>355</v>
      </c>
      <c r="P29415" s="5" t="s">
        <v>355</v>
      </c>
      <c r="Q29415" s="5" t="s">
        <v>355</v>
      </c>
    </row>
    <row r="29416" ht="16.5" customHeight="1">
      <c r="O29416" s="5" t="s">
        <v>355</v>
      </c>
      <c r="P29416" s="5" t="s">
        <v>355</v>
      </c>
      <c r="Q29416" s="5" t="s">
        <v>355</v>
      </c>
    </row>
    <row r="29417" ht="16.5" customHeight="1">
      <c r="O29417" s="5" t="s">
        <v>355</v>
      </c>
      <c r="P29417" s="5" t="s">
        <v>355</v>
      </c>
      <c r="Q29417" s="5" t="s">
        <v>355</v>
      </c>
    </row>
    <row r="29418" ht="16.5" customHeight="1">
      <c r="O29418" s="5" t="s">
        <v>355</v>
      </c>
      <c r="P29418" s="5" t="s">
        <v>355</v>
      </c>
      <c r="Q29418" s="5" t="s">
        <v>355</v>
      </c>
    </row>
    <row r="29419" ht="16.5" customHeight="1">
      <c r="O29419" s="5" t="s">
        <v>355</v>
      </c>
      <c r="P29419" s="5" t="s">
        <v>355</v>
      </c>
      <c r="Q29419" s="5" t="s">
        <v>355</v>
      </c>
    </row>
    <row r="29420" ht="16.5" customHeight="1">
      <c r="O29420" s="5" t="s">
        <v>355</v>
      </c>
      <c r="P29420" s="5" t="s">
        <v>355</v>
      </c>
      <c r="Q29420" s="5" t="s">
        <v>355</v>
      </c>
    </row>
    <row r="29421" ht="16.5" customHeight="1">
      <c r="O29421" s="5" t="s">
        <v>355</v>
      </c>
      <c r="P29421" s="5" t="s">
        <v>355</v>
      </c>
      <c r="Q29421" s="5" t="s">
        <v>355</v>
      </c>
    </row>
    <row r="29422" ht="16.5" customHeight="1">
      <c r="O29422" s="5" t="s">
        <v>355</v>
      </c>
      <c r="P29422" s="5" t="s">
        <v>355</v>
      </c>
      <c r="Q29422" s="5" t="s">
        <v>355</v>
      </c>
    </row>
    <row r="29423" ht="16.5" customHeight="1">
      <c r="O29423" s="5" t="s">
        <v>355</v>
      </c>
      <c r="P29423" s="5" t="s">
        <v>355</v>
      </c>
      <c r="Q29423" s="5" t="s">
        <v>355</v>
      </c>
    </row>
    <row r="29424" ht="16.5" customHeight="1">
      <c r="O29424" s="5" t="s">
        <v>355</v>
      </c>
      <c r="P29424" s="5" t="s">
        <v>355</v>
      </c>
      <c r="Q29424" s="5" t="s">
        <v>355</v>
      </c>
    </row>
    <row r="29425" ht="16.5" customHeight="1">
      <c r="O29425" s="5" t="s">
        <v>355</v>
      </c>
      <c r="P29425" s="5" t="s">
        <v>355</v>
      </c>
      <c r="Q29425" s="5" t="s">
        <v>355</v>
      </c>
    </row>
    <row r="29426" ht="16.5" customHeight="1">
      <c r="O29426" s="5" t="s">
        <v>355</v>
      </c>
      <c r="P29426" s="5" t="s">
        <v>355</v>
      </c>
      <c r="Q29426" s="5" t="s">
        <v>355</v>
      </c>
    </row>
    <row r="29427" ht="16.5" customHeight="1">
      <c r="O29427" s="5" t="s">
        <v>355</v>
      </c>
      <c r="P29427" s="5" t="s">
        <v>355</v>
      </c>
      <c r="Q29427" s="5" t="s">
        <v>355</v>
      </c>
    </row>
    <row r="29428" ht="16.5" customHeight="1">
      <c r="O29428" s="5" t="s">
        <v>355</v>
      </c>
      <c r="P29428" s="5" t="s">
        <v>355</v>
      </c>
      <c r="Q29428" s="5" t="s">
        <v>355</v>
      </c>
    </row>
    <row r="29429" ht="16.5" customHeight="1">
      <c r="O29429" s="5" t="s">
        <v>355</v>
      </c>
      <c r="P29429" s="5" t="s">
        <v>355</v>
      </c>
      <c r="Q29429" s="5" t="s">
        <v>355</v>
      </c>
    </row>
    <row r="29430" ht="16.5" customHeight="1">
      <c r="O29430" s="5" t="s">
        <v>355</v>
      </c>
      <c r="P29430" s="5" t="s">
        <v>355</v>
      </c>
      <c r="Q29430" s="5" t="s">
        <v>355</v>
      </c>
    </row>
    <row r="29431" ht="16.5" customHeight="1">
      <c r="O29431" s="5" t="s">
        <v>355</v>
      </c>
      <c r="P29431" s="5" t="s">
        <v>355</v>
      </c>
      <c r="Q29431" s="5" t="s">
        <v>355</v>
      </c>
    </row>
    <row r="29432" ht="16.5" customHeight="1">
      <c r="O29432" s="5" t="s">
        <v>355</v>
      </c>
      <c r="P29432" s="5" t="s">
        <v>355</v>
      </c>
      <c r="Q29432" s="5" t="s">
        <v>355</v>
      </c>
    </row>
    <row r="29433" ht="16.5" customHeight="1">
      <c r="O29433" s="5" t="s">
        <v>355</v>
      </c>
      <c r="P29433" s="5" t="s">
        <v>355</v>
      </c>
      <c r="Q29433" s="5" t="s">
        <v>355</v>
      </c>
    </row>
    <row r="29434" ht="16.5" customHeight="1">
      <c r="O29434" s="5" t="s">
        <v>355</v>
      </c>
      <c r="P29434" s="5" t="s">
        <v>355</v>
      </c>
      <c r="Q29434" s="5" t="s">
        <v>355</v>
      </c>
    </row>
    <row r="29435" ht="16.5" customHeight="1">
      <c r="O29435" s="5" t="s">
        <v>355</v>
      </c>
      <c r="P29435" s="5" t="s">
        <v>355</v>
      </c>
      <c r="Q29435" s="5" t="s">
        <v>355</v>
      </c>
    </row>
    <row r="29436" ht="16.5" customHeight="1">
      <c r="O29436" s="5" t="s">
        <v>355</v>
      </c>
      <c r="P29436" s="5" t="s">
        <v>355</v>
      </c>
      <c r="Q29436" s="5" t="s">
        <v>355</v>
      </c>
    </row>
    <row r="29437" ht="16.5" customHeight="1">
      <c r="O29437" s="5" t="s">
        <v>355</v>
      </c>
      <c r="P29437" s="5" t="s">
        <v>355</v>
      </c>
      <c r="Q29437" s="5" t="s">
        <v>355</v>
      </c>
    </row>
    <row r="29438" ht="16.5" customHeight="1">
      <c r="O29438" s="5" t="s">
        <v>355</v>
      </c>
      <c r="P29438" s="5" t="s">
        <v>355</v>
      </c>
      <c r="Q29438" s="5" t="s">
        <v>355</v>
      </c>
    </row>
    <row r="29439" ht="16.5" customHeight="1">
      <c r="O29439" s="5" t="s">
        <v>355</v>
      </c>
      <c r="P29439" s="5" t="s">
        <v>355</v>
      </c>
      <c r="Q29439" s="5" t="s">
        <v>355</v>
      </c>
    </row>
    <row r="29440" ht="16.5" customHeight="1">
      <c r="O29440" s="5" t="s">
        <v>355</v>
      </c>
      <c r="P29440" s="5" t="s">
        <v>355</v>
      </c>
      <c r="Q29440" s="5" t="s">
        <v>355</v>
      </c>
    </row>
    <row r="29441" ht="16.5" customHeight="1">
      <c r="O29441" s="5" t="s">
        <v>355</v>
      </c>
      <c r="P29441" s="5" t="s">
        <v>355</v>
      </c>
      <c r="Q29441" s="5" t="s">
        <v>355</v>
      </c>
    </row>
    <row r="29442" ht="16.5" customHeight="1">
      <c r="O29442" s="5" t="s">
        <v>355</v>
      </c>
      <c r="P29442" s="5" t="s">
        <v>355</v>
      </c>
      <c r="Q29442" s="5" t="s">
        <v>355</v>
      </c>
    </row>
    <row r="29443" ht="16.5" customHeight="1">
      <c r="O29443" s="5" t="s">
        <v>355</v>
      </c>
      <c r="P29443" s="5" t="s">
        <v>355</v>
      </c>
      <c r="Q29443" s="5" t="s">
        <v>355</v>
      </c>
    </row>
    <row r="29444" ht="16.5" customHeight="1">
      <c r="O29444" s="5" t="s">
        <v>355</v>
      </c>
      <c r="P29444" s="5" t="s">
        <v>355</v>
      </c>
      <c r="Q29444" s="5" t="s">
        <v>355</v>
      </c>
    </row>
    <row r="29445" ht="16.5" customHeight="1">
      <c r="O29445" s="5" t="s">
        <v>355</v>
      </c>
      <c r="P29445" s="5" t="s">
        <v>355</v>
      </c>
      <c r="Q29445" s="5" t="s">
        <v>355</v>
      </c>
    </row>
    <row r="29446" ht="16.5" customHeight="1">
      <c r="O29446" s="5" t="s">
        <v>355</v>
      </c>
      <c r="P29446" s="5" t="s">
        <v>355</v>
      </c>
      <c r="Q29446" s="5" t="s">
        <v>355</v>
      </c>
    </row>
    <row r="29447" ht="16.5" customHeight="1">
      <c r="O29447" s="5" t="s">
        <v>355</v>
      </c>
      <c r="P29447" s="5" t="s">
        <v>355</v>
      </c>
      <c r="Q29447" s="5" t="s">
        <v>355</v>
      </c>
    </row>
    <row r="29448" ht="16.5" customHeight="1">
      <c r="O29448" s="5" t="s">
        <v>355</v>
      </c>
      <c r="P29448" s="5" t="s">
        <v>355</v>
      </c>
      <c r="Q29448" s="5" t="s">
        <v>355</v>
      </c>
    </row>
    <row r="29449" ht="16.5" customHeight="1">
      <c r="O29449" s="5" t="s">
        <v>355</v>
      </c>
      <c r="P29449" s="5" t="s">
        <v>355</v>
      </c>
      <c r="Q29449" s="5" t="s">
        <v>355</v>
      </c>
    </row>
    <row r="29450" ht="16.5" customHeight="1">
      <c r="O29450" s="5" t="s">
        <v>355</v>
      </c>
      <c r="P29450" s="5" t="s">
        <v>355</v>
      </c>
      <c r="Q29450" s="5" t="s">
        <v>355</v>
      </c>
    </row>
    <row r="29451" ht="16.5" customHeight="1">
      <c r="O29451" s="5" t="s">
        <v>355</v>
      </c>
      <c r="P29451" s="5" t="s">
        <v>355</v>
      </c>
      <c r="Q29451" s="5" t="s">
        <v>355</v>
      </c>
    </row>
    <row r="29452" ht="16.5" customHeight="1">
      <c r="O29452" s="5" t="s">
        <v>355</v>
      </c>
      <c r="P29452" s="5" t="s">
        <v>355</v>
      </c>
      <c r="Q29452" s="5" t="s">
        <v>355</v>
      </c>
    </row>
    <row r="29453" ht="16.5" customHeight="1">
      <c r="O29453" s="5" t="s">
        <v>355</v>
      </c>
      <c r="P29453" s="5" t="s">
        <v>355</v>
      </c>
      <c r="Q29453" s="5" t="s">
        <v>355</v>
      </c>
    </row>
    <row r="29454" ht="16.5" customHeight="1">
      <c r="O29454" s="5" t="s">
        <v>355</v>
      </c>
      <c r="P29454" s="5" t="s">
        <v>355</v>
      </c>
      <c r="Q29454" s="5" t="s">
        <v>355</v>
      </c>
    </row>
    <row r="29455" ht="16.5" customHeight="1">
      <c r="O29455" s="5" t="s">
        <v>355</v>
      </c>
      <c r="P29455" s="5" t="s">
        <v>355</v>
      </c>
      <c r="Q29455" s="5" t="s">
        <v>355</v>
      </c>
    </row>
    <row r="29456" ht="16.5" customHeight="1">
      <c r="O29456" s="5" t="s">
        <v>355</v>
      </c>
      <c r="P29456" s="5" t="s">
        <v>355</v>
      </c>
      <c r="Q29456" s="5" t="s">
        <v>355</v>
      </c>
    </row>
    <row r="29457" ht="16.5" customHeight="1">
      <c r="O29457" s="5" t="s">
        <v>355</v>
      </c>
      <c r="P29457" s="5" t="s">
        <v>355</v>
      </c>
      <c r="Q29457" s="5" t="s">
        <v>355</v>
      </c>
    </row>
    <row r="29458" ht="16.5" customHeight="1">
      <c r="O29458" s="5" t="s">
        <v>355</v>
      </c>
      <c r="P29458" s="5" t="s">
        <v>355</v>
      </c>
      <c r="Q29458" s="5" t="s">
        <v>355</v>
      </c>
    </row>
    <row r="29459" ht="16.5" customHeight="1">
      <c r="O29459" s="5" t="s">
        <v>355</v>
      </c>
      <c r="P29459" s="5" t="s">
        <v>355</v>
      </c>
      <c r="Q29459" s="5" t="s">
        <v>355</v>
      </c>
    </row>
    <row r="29460" ht="16.5" customHeight="1">
      <c r="O29460" s="5" t="s">
        <v>355</v>
      </c>
      <c r="P29460" s="5" t="s">
        <v>355</v>
      </c>
      <c r="Q29460" s="5" t="s">
        <v>355</v>
      </c>
    </row>
    <row r="29461" ht="16.5" customHeight="1">
      <c r="O29461" s="5" t="s">
        <v>355</v>
      </c>
      <c r="P29461" s="5" t="s">
        <v>355</v>
      </c>
      <c r="Q29461" s="5" t="s">
        <v>355</v>
      </c>
    </row>
    <row r="29462" ht="16.5" customHeight="1">
      <c r="O29462" s="5" t="s">
        <v>355</v>
      </c>
      <c r="P29462" s="5" t="s">
        <v>355</v>
      </c>
      <c r="Q29462" s="5" t="s">
        <v>355</v>
      </c>
    </row>
    <row r="29463" ht="16.5" customHeight="1">
      <c r="O29463" s="5" t="s">
        <v>355</v>
      </c>
      <c r="P29463" s="5" t="s">
        <v>355</v>
      </c>
      <c r="Q29463" s="5" t="s">
        <v>355</v>
      </c>
    </row>
    <row r="29464" ht="16.5" customHeight="1">
      <c r="O29464" s="5" t="s">
        <v>355</v>
      </c>
      <c r="P29464" s="5" t="s">
        <v>355</v>
      </c>
      <c r="Q29464" s="5" t="s">
        <v>355</v>
      </c>
    </row>
    <row r="29465" ht="16.5" customHeight="1">
      <c r="O29465" s="5" t="s">
        <v>355</v>
      </c>
      <c r="P29465" s="5" t="s">
        <v>355</v>
      </c>
      <c r="Q29465" s="5" t="s">
        <v>355</v>
      </c>
    </row>
    <row r="29466" ht="16.5" customHeight="1">
      <c r="O29466" s="5" t="s">
        <v>355</v>
      </c>
      <c r="P29466" s="5" t="s">
        <v>355</v>
      </c>
      <c r="Q29466" s="5" t="s">
        <v>355</v>
      </c>
    </row>
    <row r="29467" ht="16.5" customHeight="1">
      <c r="O29467" s="5" t="s">
        <v>355</v>
      </c>
      <c r="P29467" s="5" t="s">
        <v>355</v>
      </c>
      <c r="Q29467" s="5" t="s">
        <v>355</v>
      </c>
    </row>
    <row r="29468" ht="16.5" customHeight="1">
      <c r="O29468" s="5" t="s">
        <v>355</v>
      </c>
      <c r="P29468" s="5" t="s">
        <v>355</v>
      </c>
      <c r="Q29468" s="5" t="s">
        <v>355</v>
      </c>
    </row>
    <row r="29469" ht="16.5" customHeight="1">
      <c r="O29469" s="5" t="s">
        <v>355</v>
      </c>
      <c r="P29469" s="5" t="s">
        <v>355</v>
      </c>
      <c r="Q29469" s="5" t="s">
        <v>355</v>
      </c>
    </row>
    <row r="29470" ht="16.5" customHeight="1">
      <c r="O29470" s="5" t="s">
        <v>355</v>
      </c>
      <c r="P29470" s="5" t="s">
        <v>355</v>
      </c>
      <c r="Q29470" s="5" t="s">
        <v>355</v>
      </c>
    </row>
    <row r="29471" ht="16.5" customHeight="1">
      <c r="O29471" s="5" t="s">
        <v>355</v>
      </c>
      <c r="P29471" s="5" t="s">
        <v>355</v>
      </c>
      <c r="Q29471" s="5" t="s">
        <v>355</v>
      </c>
    </row>
    <row r="29472" ht="16.5" customHeight="1">
      <c r="O29472" s="5" t="s">
        <v>355</v>
      </c>
      <c r="P29472" s="5" t="s">
        <v>355</v>
      </c>
      <c r="Q29472" s="5" t="s">
        <v>355</v>
      </c>
    </row>
    <row r="29473" ht="16.5" customHeight="1">
      <c r="O29473" s="5" t="s">
        <v>355</v>
      </c>
      <c r="P29473" s="5" t="s">
        <v>355</v>
      </c>
      <c r="Q29473" s="5" t="s">
        <v>355</v>
      </c>
    </row>
    <row r="29474" ht="16.5" customHeight="1">
      <c r="O29474" s="5" t="s">
        <v>355</v>
      </c>
      <c r="P29474" s="5" t="s">
        <v>355</v>
      </c>
      <c r="Q29474" s="5" t="s">
        <v>355</v>
      </c>
    </row>
    <row r="29475" ht="16.5" customHeight="1">
      <c r="O29475" s="5" t="s">
        <v>355</v>
      </c>
      <c r="P29475" s="5" t="s">
        <v>355</v>
      </c>
      <c r="Q29475" s="5" t="s">
        <v>355</v>
      </c>
    </row>
    <row r="29476" ht="16.5" customHeight="1">
      <c r="O29476" s="5" t="s">
        <v>355</v>
      </c>
      <c r="P29476" s="5" t="s">
        <v>355</v>
      </c>
      <c r="Q29476" s="5" t="s">
        <v>355</v>
      </c>
    </row>
    <row r="29477" ht="16.5" customHeight="1">
      <c r="O29477" s="5" t="s">
        <v>355</v>
      </c>
      <c r="P29477" s="5" t="s">
        <v>355</v>
      </c>
      <c r="Q29477" s="5" t="s">
        <v>355</v>
      </c>
    </row>
    <row r="29478" ht="16.5" customHeight="1">
      <c r="O29478" s="5" t="s">
        <v>355</v>
      </c>
      <c r="P29478" s="5" t="s">
        <v>355</v>
      </c>
      <c r="Q29478" s="5" t="s">
        <v>355</v>
      </c>
    </row>
    <row r="29479" ht="16.5" customHeight="1">
      <c r="O29479" s="5" t="s">
        <v>355</v>
      </c>
      <c r="P29479" s="5" t="s">
        <v>355</v>
      </c>
      <c r="Q29479" s="5" t="s">
        <v>355</v>
      </c>
    </row>
    <row r="29480" ht="16.5" customHeight="1">
      <c r="O29480" s="5" t="s">
        <v>355</v>
      </c>
      <c r="P29480" s="5" t="s">
        <v>355</v>
      </c>
      <c r="Q29480" s="5" t="s">
        <v>355</v>
      </c>
    </row>
    <row r="29481" ht="16.5" customHeight="1">
      <c r="O29481" s="5" t="s">
        <v>355</v>
      </c>
      <c r="P29481" s="5" t="s">
        <v>355</v>
      </c>
      <c r="Q29481" s="5" t="s">
        <v>355</v>
      </c>
    </row>
    <row r="29482" ht="16.5" customHeight="1">
      <c r="O29482" s="5" t="s">
        <v>355</v>
      </c>
      <c r="P29482" s="5" t="s">
        <v>355</v>
      </c>
      <c r="Q29482" s="5" t="s">
        <v>355</v>
      </c>
    </row>
    <row r="29483" ht="16.5" customHeight="1">
      <c r="O29483" s="5" t="s">
        <v>355</v>
      </c>
      <c r="P29483" s="5" t="s">
        <v>355</v>
      </c>
      <c r="Q29483" s="5" t="s">
        <v>355</v>
      </c>
    </row>
    <row r="29484" ht="16.5" customHeight="1">
      <c r="O29484" s="5" t="s">
        <v>355</v>
      </c>
      <c r="P29484" s="5" t="s">
        <v>355</v>
      </c>
      <c r="Q29484" s="5" t="s">
        <v>355</v>
      </c>
    </row>
    <row r="29485" ht="16.5" customHeight="1">
      <c r="O29485" s="5" t="s">
        <v>355</v>
      </c>
      <c r="P29485" s="5" t="s">
        <v>355</v>
      </c>
      <c r="Q29485" s="5" t="s">
        <v>355</v>
      </c>
    </row>
    <row r="29486" ht="16.5" customHeight="1">
      <c r="O29486" s="5" t="s">
        <v>355</v>
      </c>
      <c r="P29486" s="5" t="s">
        <v>355</v>
      </c>
      <c r="Q29486" s="5" t="s">
        <v>355</v>
      </c>
    </row>
    <row r="29487" ht="16.5" customHeight="1">
      <c r="O29487" s="5" t="s">
        <v>355</v>
      </c>
      <c r="P29487" s="5" t="s">
        <v>355</v>
      </c>
      <c r="Q29487" s="5" t="s">
        <v>355</v>
      </c>
    </row>
    <row r="29488" ht="16.5" customHeight="1">
      <c r="O29488" s="5" t="s">
        <v>355</v>
      </c>
      <c r="P29488" s="5" t="s">
        <v>355</v>
      </c>
      <c r="Q29488" s="5" t="s">
        <v>355</v>
      </c>
    </row>
    <row r="29489" ht="16.5" customHeight="1">
      <c r="O29489" s="5" t="s">
        <v>355</v>
      </c>
      <c r="P29489" s="5" t="s">
        <v>355</v>
      </c>
      <c r="Q29489" s="5" t="s">
        <v>355</v>
      </c>
    </row>
    <row r="29490" ht="16.5" customHeight="1">
      <c r="O29490" s="5" t="s">
        <v>355</v>
      </c>
      <c r="P29490" s="5" t="s">
        <v>355</v>
      </c>
      <c r="Q29490" s="5" t="s">
        <v>355</v>
      </c>
    </row>
    <row r="29491" ht="16.5" customHeight="1">
      <c r="O29491" s="5" t="s">
        <v>355</v>
      </c>
      <c r="P29491" s="5" t="s">
        <v>355</v>
      </c>
      <c r="Q29491" s="5" t="s">
        <v>355</v>
      </c>
    </row>
    <row r="29492" ht="16.5" customHeight="1">
      <c r="O29492" s="5" t="s">
        <v>355</v>
      </c>
      <c r="P29492" s="5" t="s">
        <v>355</v>
      </c>
      <c r="Q29492" s="5" t="s">
        <v>355</v>
      </c>
    </row>
    <row r="29493" ht="16.5" customHeight="1">
      <c r="O29493" s="5" t="s">
        <v>355</v>
      </c>
      <c r="P29493" s="5" t="s">
        <v>355</v>
      </c>
      <c r="Q29493" s="5" t="s">
        <v>355</v>
      </c>
    </row>
    <row r="29494" ht="16.5" customHeight="1">
      <c r="O29494" s="5" t="s">
        <v>355</v>
      </c>
      <c r="P29494" s="5" t="s">
        <v>355</v>
      </c>
      <c r="Q29494" s="5" t="s">
        <v>355</v>
      </c>
    </row>
    <row r="29495" ht="16.5" customHeight="1">
      <c r="O29495" s="5" t="s">
        <v>355</v>
      </c>
      <c r="P29495" s="5" t="s">
        <v>355</v>
      </c>
      <c r="Q29495" s="5" t="s">
        <v>355</v>
      </c>
    </row>
    <row r="29496" ht="16.5" customHeight="1">
      <c r="O29496" s="5" t="s">
        <v>355</v>
      </c>
      <c r="P29496" s="5" t="s">
        <v>355</v>
      </c>
      <c r="Q29496" s="5" t="s">
        <v>355</v>
      </c>
    </row>
    <row r="29497" ht="16.5" customHeight="1">
      <c r="O29497" s="5" t="s">
        <v>355</v>
      </c>
      <c r="P29497" s="5" t="s">
        <v>355</v>
      </c>
      <c r="Q29497" s="5" t="s">
        <v>355</v>
      </c>
    </row>
    <row r="29498" ht="16.5" customHeight="1">
      <c r="O29498" s="5" t="s">
        <v>355</v>
      </c>
      <c r="P29498" s="5" t="s">
        <v>355</v>
      </c>
      <c r="Q29498" s="5" t="s">
        <v>355</v>
      </c>
    </row>
    <row r="29499" ht="16.5" customHeight="1">
      <c r="O29499" s="5" t="s">
        <v>355</v>
      </c>
      <c r="P29499" s="5" t="s">
        <v>355</v>
      </c>
      <c r="Q29499" s="5" t="s">
        <v>355</v>
      </c>
    </row>
    <row r="29500" ht="16.5" customHeight="1">
      <c r="O29500" s="5" t="s">
        <v>355</v>
      </c>
      <c r="P29500" s="5" t="s">
        <v>355</v>
      </c>
      <c r="Q29500" s="5" t="s">
        <v>355</v>
      </c>
    </row>
    <row r="29501" ht="16.5" customHeight="1">
      <c r="O29501" s="5" t="s">
        <v>355</v>
      </c>
      <c r="P29501" s="5" t="s">
        <v>355</v>
      </c>
      <c r="Q29501" s="5" t="s">
        <v>355</v>
      </c>
    </row>
    <row r="29502" ht="16.5" customHeight="1">
      <c r="O29502" s="5" t="s">
        <v>355</v>
      </c>
      <c r="P29502" s="5" t="s">
        <v>355</v>
      </c>
      <c r="Q29502" s="5" t="s">
        <v>355</v>
      </c>
    </row>
    <row r="29503" ht="16.5" customHeight="1">
      <c r="O29503" s="5" t="s">
        <v>355</v>
      </c>
      <c r="P29503" s="5" t="s">
        <v>355</v>
      </c>
      <c r="Q29503" s="5" t="s">
        <v>355</v>
      </c>
    </row>
    <row r="29504" ht="16.5" customHeight="1">
      <c r="O29504" s="5" t="s">
        <v>355</v>
      </c>
      <c r="P29504" s="5" t="s">
        <v>355</v>
      </c>
      <c r="Q29504" s="5" t="s">
        <v>355</v>
      </c>
    </row>
    <row r="29505" ht="16.5" customHeight="1">
      <c r="O29505" s="5" t="s">
        <v>355</v>
      </c>
      <c r="P29505" s="5" t="s">
        <v>355</v>
      </c>
      <c r="Q29505" s="5" t="s">
        <v>355</v>
      </c>
    </row>
    <row r="29506" ht="16.5" customHeight="1">
      <c r="O29506" s="5" t="s">
        <v>355</v>
      </c>
      <c r="P29506" s="5" t="s">
        <v>355</v>
      </c>
      <c r="Q29506" s="5" t="s">
        <v>355</v>
      </c>
    </row>
    <row r="29507" ht="16.5" customHeight="1">
      <c r="O29507" s="5" t="s">
        <v>355</v>
      </c>
      <c r="P29507" s="5" t="s">
        <v>355</v>
      </c>
      <c r="Q29507" s="5" t="s">
        <v>355</v>
      </c>
    </row>
    <row r="29508" ht="16.5" customHeight="1">
      <c r="O29508" s="5" t="s">
        <v>355</v>
      </c>
      <c r="P29508" s="5" t="s">
        <v>355</v>
      </c>
      <c r="Q29508" s="5" t="s">
        <v>355</v>
      </c>
    </row>
    <row r="29509" ht="16.5" customHeight="1">
      <c r="O29509" s="5" t="s">
        <v>355</v>
      </c>
      <c r="P29509" s="5" t="s">
        <v>355</v>
      </c>
      <c r="Q29509" s="5" t="s">
        <v>355</v>
      </c>
    </row>
    <row r="29510" ht="16.5" customHeight="1">
      <c r="O29510" s="5" t="s">
        <v>355</v>
      </c>
      <c r="P29510" s="5" t="s">
        <v>355</v>
      </c>
      <c r="Q29510" s="5" t="s">
        <v>355</v>
      </c>
    </row>
    <row r="29511" ht="16.5" customHeight="1">
      <c r="O29511" s="5" t="s">
        <v>355</v>
      </c>
      <c r="P29511" s="5" t="s">
        <v>355</v>
      </c>
      <c r="Q29511" s="5" t="s">
        <v>355</v>
      </c>
    </row>
    <row r="29512" ht="16.5" customHeight="1">
      <c r="O29512" s="5" t="s">
        <v>355</v>
      </c>
      <c r="P29512" s="5" t="s">
        <v>355</v>
      </c>
      <c r="Q29512" s="5" t="s">
        <v>355</v>
      </c>
    </row>
    <row r="29513" ht="16.5" customHeight="1">
      <c r="O29513" s="5" t="s">
        <v>355</v>
      </c>
      <c r="P29513" s="5" t="s">
        <v>355</v>
      </c>
      <c r="Q29513" s="5" t="s">
        <v>355</v>
      </c>
    </row>
    <row r="29514" ht="16.5" customHeight="1">
      <c r="O29514" s="5" t="s">
        <v>355</v>
      </c>
      <c r="P29514" s="5" t="s">
        <v>355</v>
      </c>
      <c r="Q29514" s="5" t="s">
        <v>355</v>
      </c>
    </row>
    <row r="29515" ht="16.5" customHeight="1">
      <c r="O29515" s="5" t="s">
        <v>355</v>
      </c>
      <c r="P29515" s="5" t="s">
        <v>355</v>
      </c>
      <c r="Q29515" s="5" t="s">
        <v>355</v>
      </c>
    </row>
    <row r="29516" ht="16.5" customHeight="1">
      <c r="O29516" s="5" t="s">
        <v>355</v>
      </c>
      <c r="P29516" s="5" t="s">
        <v>355</v>
      </c>
      <c r="Q29516" s="5" t="s">
        <v>355</v>
      </c>
    </row>
    <row r="29517" ht="16.5" customHeight="1">
      <c r="O29517" s="5" t="s">
        <v>355</v>
      </c>
      <c r="P29517" s="5" t="s">
        <v>355</v>
      </c>
      <c r="Q29517" s="5" t="s">
        <v>355</v>
      </c>
    </row>
    <row r="29518" ht="16.5" customHeight="1">
      <c r="O29518" s="5" t="s">
        <v>355</v>
      </c>
      <c r="P29518" s="5" t="s">
        <v>355</v>
      </c>
      <c r="Q29518" s="5" t="s">
        <v>355</v>
      </c>
    </row>
    <row r="29519" ht="16.5" customHeight="1">
      <c r="O29519" s="5" t="s">
        <v>355</v>
      </c>
      <c r="P29519" s="5" t="s">
        <v>355</v>
      </c>
      <c r="Q29519" s="5" t="s">
        <v>355</v>
      </c>
    </row>
    <row r="29520" ht="16.5" customHeight="1">
      <c r="O29520" s="5" t="s">
        <v>355</v>
      </c>
      <c r="P29520" s="5" t="s">
        <v>355</v>
      </c>
      <c r="Q29520" s="5" t="s">
        <v>355</v>
      </c>
    </row>
    <row r="29521" ht="16.5" customHeight="1">
      <c r="O29521" s="5" t="s">
        <v>355</v>
      </c>
      <c r="P29521" s="5" t="s">
        <v>355</v>
      </c>
      <c r="Q29521" s="5" t="s">
        <v>355</v>
      </c>
    </row>
    <row r="29522" ht="16.5" customHeight="1">
      <c r="O29522" s="5" t="s">
        <v>355</v>
      </c>
      <c r="P29522" s="5" t="s">
        <v>355</v>
      </c>
      <c r="Q29522" s="5" t="s">
        <v>355</v>
      </c>
    </row>
    <row r="29523" ht="16.5" customHeight="1">
      <c r="O29523" s="5" t="s">
        <v>355</v>
      </c>
      <c r="P29523" s="5" t="s">
        <v>355</v>
      </c>
      <c r="Q29523" s="5" t="s">
        <v>355</v>
      </c>
    </row>
    <row r="29524" ht="16.5" customHeight="1">
      <c r="O29524" s="5" t="s">
        <v>355</v>
      </c>
      <c r="P29524" s="5" t="s">
        <v>355</v>
      </c>
      <c r="Q29524" s="5" t="s">
        <v>355</v>
      </c>
    </row>
    <row r="29525" ht="16.5" customHeight="1">
      <c r="O29525" s="5" t="s">
        <v>355</v>
      </c>
      <c r="P29525" s="5" t="s">
        <v>355</v>
      </c>
      <c r="Q29525" s="5" t="s">
        <v>355</v>
      </c>
    </row>
    <row r="29526" ht="16.5" customHeight="1">
      <c r="O29526" s="5" t="s">
        <v>355</v>
      </c>
      <c r="P29526" s="5" t="s">
        <v>355</v>
      </c>
      <c r="Q29526" s="5" t="s">
        <v>355</v>
      </c>
    </row>
    <row r="29527" ht="16.5" customHeight="1">
      <c r="O29527" s="5" t="s">
        <v>355</v>
      </c>
      <c r="P29527" s="5" t="s">
        <v>355</v>
      </c>
      <c r="Q29527" s="5" t="s">
        <v>355</v>
      </c>
    </row>
    <row r="29528" ht="16.5" customHeight="1">
      <c r="O29528" s="5" t="s">
        <v>355</v>
      </c>
      <c r="P29528" s="5" t="s">
        <v>355</v>
      </c>
      <c r="Q29528" s="5" t="s">
        <v>355</v>
      </c>
    </row>
    <row r="29529" ht="16.5" customHeight="1">
      <c r="O29529" s="5" t="s">
        <v>355</v>
      </c>
      <c r="P29529" s="5" t="s">
        <v>355</v>
      </c>
      <c r="Q29529" s="5" t="s">
        <v>355</v>
      </c>
    </row>
    <row r="29530" ht="16.5" customHeight="1">
      <c r="O29530" s="5" t="s">
        <v>355</v>
      </c>
      <c r="P29530" s="5" t="s">
        <v>355</v>
      </c>
      <c r="Q29530" s="5" t="s">
        <v>355</v>
      </c>
    </row>
    <row r="29531" ht="16.5" customHeight="1">
      <c r="O29531" s="5" t="s">
        <v>355</v>
      </c>
      <c r="P29531" s="5" t="s">
        <v>355</v>
      </c>
      <c r="Q29531" s="5" t="s">
        <v>355</v>
      </c>
    </row>
    <row r="29532" ht="16.5" customHeight="1">
      <c r="O29532" s="5" t="s">
        <v>355</v>
      </c>
      <c r="P29532" s="5" t="s">
        <v>355</v>
      </c>
      <c r="Q29532" s="5" t="s">
        <v>355</v>
      </c>
    </row>
    <row r="29533" ht="16.5" customHeight="1">
      <c r="O29533" s="5" t="s">
        <v>355</v>
      </c>
      <c r="P29533" s="5" t="s">
        <v>355</v>
      </c>
      <c r="Q29533" s="5" t="s">
        <v>355</v>
      </c>
    </row>
    <row r="29534" ht="16.5" customHeight="1">
      <c r="O29534" s="5" t="s">
        <v>355</v>
      </c>
      <c r="P29534" s="5" t="s">
        <v>355</v>
      </c>
      <c r="Q29534" s="5" t="s">
        <v>355</v>
      </c>
    </row>
    <row r="29535" ht="16.5" customHeight="1">
      <c r="O29535" s="5" t="s">
        <v>355</v>
      </c>
      <c r="P29535" s="5" t="s">
        <v>355</v>
      </c>
      <c r="Q29535" s="5" t="s">
        <v>355</v>
      </c>
    </row>
    <row r="29536" ht="16.5" customHeight="1">
      <c r="O29536" s="5" t="s">
        <v>355</v>
      </c>
      <c r="P29536" s="5" t="s">
        <v>355</v>
      </c>
      <c r="Q29536" s="5" t="s">
        <v>355</v>
      </c>
    </row>
    <row r="29537" ht="16.5" customHeight="1">
      <c r="O29537" s="5" t="s">
        <v>355</v>
      </c>
      <c r="P29537" s="5" t="s">
        <v>355</v>
      </c>
      <c r="Q29537" s="5" t="s">
        <v>355</v>
      </c>
    </row>
    <row r="29538" ht="16.5" customHeight="1">
      <c r="O29538" s="5" t="s">
        <v>355</v>
      </c>
      <c r="P29538" s="5" t="s">
        <v>355</v>
      </c>
      <c r="Q29538" s="5" t="s">
        <v>355</v>
      </c>
    </row>
    <row r="29539" ht="16.5" customHeight="1">
      <c r="O29539" s="5" t="s">
        <v>355</v>
      </c>
      <c r="P29539" s="5" t="s">
        <v>355</v>
      </c>
      <c r="Q29539" s="5" t="s">
        <v>355</v>
      </c>
    </row>
    <row r="29540" ht="16.5" customHeight="1">
      <c r="O29540" s="5" t="s">
        <v>355</v>
      </c>
      <c r="P29540" s="5" t="s">
        <v>355</v>
      </c>
      <c r="Q29540" s="5" t="s">
        <v>355</v>
      </c>
    </row>
    <row r="29541" ht="16.5" customHeight="1">
      <c r="O29541" s="5" t="s">
        <v>355</v>
      </c>
      <c r="P29541" s="5" t="s">
        <v>355</v>
      </c>
      <c r="Q29541" s="5" t="s">
        <v>355</v>
      </c>
    </row>
    <row r="29542" ht="16.5" customHeight="1">
      <c r="O29542" s="5" t="s">
        <v>355</v>
      </c>
      <c r="P29542" s="5" t="s">
        <v>355</v>
      </c>
      <c r="Q29542" s="5" t="s">
        <v>355</v>
      </c>
    </row>
    <row r="29543" ht="16.5" customHeight="1">
      <c r="O29543" s="5" t="s">
        <v>355</v>
      </c>
      <c r="P29543" s="5" t="s">
        <v>355</v>
      </c>
      <c r="Q29543" s="5" t="s">
        <v>355</v>
      </c>
    </row>
    <row r="29544" ht="16.5" customHeight="1">
      <c r="O29544" s="5" t="s">
        <v>355</v>
      </c>
      <c r="P29544" s="5" t="s">
        <v>355</v>
      </c>
      <c r="Q29544" s="5" t="s">
        <v>355</v>
      </c>
    </row>
    <row r="29545" ht="16.5" customHeight="1">
      <c r="O29545" s="5" t="s">
        <v>355</v>
      </c>
      <c r="P29545" s="5" t="s">
        <v>355</v>
      </c>
      <c r="Q29545" s="5" t="s">
        <v>355</v>
      </c>
    </row>
    <row r="29546" ht="16.5" customHeight="1">
      <c r="O29546" s="5" t="s">
        <v>355</v>
      </c>
      <c r="P29546" s="5" t="s">
        <v>355</v>
      </c>
      <c r="Q29546" s="5" t="s">
        <v>355</v>
      </c>
    </row>
    <row r="29547" ht="16.5" customHeight="1">
      <c r="O29547" s="5" t="s">
        <v>355</v>
      </c>
      <c r="P29547" s="5" t="s">
        <v>355</v>
      </c>
      <c r="Q29547" s="5" t="s">
        <v>355</v>
      </c>
    </row>
    <row r="29548" ht="16.5" customHeight="1">
      <c r="O29548" s="5" t="s">
        <v>355</v>
      </c>
      <c r="P29548" s="5" t="s">
        <v>355</v>
      </c>
      <c r="Q29548" s="5" t="s">
        <v>355</v>
      </c>
    </row>
    <row r="29549" ht="16.5" customHeight="1">
      <c r="O29549" s="5" t="s">
        <v>355</v>
      </c>
      <c r="P29549" s="5" t="s">
        <v>355</v>
      </c>
      <c r="Q29549" s="5" t="s">
        <v>355</v>
      </c>
    </row>
    <row r="29550" ht="16.5" customHeight="1">
      <c r="O29550" s="5" t="s">
        <v>355</v>
      </c>
      <c r="P29550" s="5" t="s">
        <v>355</v>
      </c>
      <c r="Q29550" s="5" t="s">
        <v>355</v>
      </c>
    </row>
    <row r="29551" ht="16.5" customHeight="1">
      <c r="O29551" s="5" t="s">
        <v>355</v>
      </c>
      <c r="P29551" s="5" t="s">
        <v>355</v>
      </c>
      <c r="Q29551" s="5" t="s">
        <v>355</v>
      </c>
    </row>
    <row r="29552" ht="16.5" customHeight="1">
      <c r="O29552" s="5" t="s">
        <v>355</v>
      </c>
      <c r="P29552" s="5" t="s">
        <v>355</v>
      </c>
      <c r="Q29552" s="5" t="s">
        <v>355</v>
      </c>
    </row>
    <row r="29553" ht="16.5" customHeight="1">
      <c r="O29553" s="5" t="s">
        <v>355</v>
      </c>
      <c r="P29553" s="5" t="s">
        <v>355</v>
      </c>
      <c r="Q29553" s="5" t="s">
        <v>355</v>
      </c>
    </row>
    <row r="29554" ht="16.5" customHeight="1">
      <c r="O29554" s="5" t="s">
        <v>355</v>
      </c>
      <c r="P29554" s="5" t="s">
        <v>355</v>
      </c>
      <c r="Q29554" s="5" t="s">
        <v>355</v>
      </c>
    </row>
    <row r="29555" ht="16.5" customHeight="1">
      <c r="O29555" s="5" t="s">
        <v>355</v>
      </c>
      <c r="P29555" s="5" t="s">
        <v>355</v>
      </c>
      <c r="Q29555" s="5" t="s">
        <v>355</v>
      </c>
    </row>
    <row r="29556" ht="16.5" customHeight="1">
      <c r="O29556" s="5" t="s">
        <v>355</v>
      </c>
      <c r="P29556" s="5" t="s">
        <v>355</v>
      </c>
      <c r="Q29556" s="5" t="s">
        <v>355</v>
      </c>
    </row>
    <row r="29557" ht="16.5" customHeight="1">
      <c r="O29557" s="5" t="s">
        <v>355</v>
      </c>
      <c r="P29557" s="5" t="s">
        <v>355</v>
      </c>
      <c r="Q29557" s="5" t="s">
        <v>355</v>
      </c>
    </row>
    <row r="29558" ht="16.5" customHeight="1">
      <c r="O29558" s="5" t="s">
        <v>355</v>
      </c>
      <c r="P29558" s="5" t="s">
        <v>355</v>
      </c>
      <c r="Q29558" s="5" t="s">
        <v>355</v>
      </c>
    </row>
    <row r="29559" ht="16.5" customHeight="1">
      <c r="O29559" s="5" t="s">
        <v>355</v>
      </c>
      <c r="P29559" s="5" t="s">
        <v>355</v>
      </c>
      <c r="Q29559" s="5" t="s">
        <v>355</v>
      </c>
    </row>
    <row r="29560" ht="16.5" customHeight="1">
      <c r="O29560" s="5" t="s">
        <v>355</v>
      </c>
      <c r="P29560" s="5" t="s">
        <v>355</v>
      </c>
      <c r="Q29560" s="5" t="s">
        <v>355</v>
      </c>
    </row>
    <row r="29561" ht="16.5" customHeight="1">
      <c r="O29561" s="5" t="s">
        <v>355</v>
      </c>
      <c r="P29561" s="5" t="s">
        <v>355</v>
      </c>
      <c r="Q29561" s="5" t="s">
        <v>355</v>
      </c>
    </row>
    <row r="29562" ht="16.5" customHeight="1">
      <c r="O29562" s="5" t="s">
        <v>355</v>
      </c>
      <c r="P29562" s="5" t="s">
        <v>355</v>
      </c>
      <c r="Q29562" s="5" t="s">
        <v>355</v>
      </c>
    </row>
    <row r="29563" ht="16.5" customHeight="1">
      <c r="O29563" s="5" t="s">
        <v>355</v>
      </c>
      <c r="P29563" s="5" t="s">
        <v>355</v>
      </c>
      <c r="Q29563" s="5" t="s">
        <v>355</v>
      </c>
    </row>
    <row r="29564" ht="16.5" customHeight="1">
      <c r="O29564" s="5" t="s">
        <v>355</v>
      </c>
      <c r="P29564" s="5" t="s">
        <v>355</v>
      </c>
      <c r="Q29564" s="5" t="s">
        <v>355</v>
      </c>
    </row>
    <row r="29565" ht="16.5" customHeight="1">
      <c r="O29565" s="5" t="s">
        <v>355</v>
      </c>
      <c r="P29565" s="5" t="s">
        <v>355</v>
      </c>
      <c r="Q29565" s="5" t="s">
        <v>355</v>
      </c>
    </row>
    <row r="29566" ht="16.5" customHeight="1">
      <c r="O29566" s="5" t="s">
        <v>355</v>
      </c>
      <c r="P29566" s="5" t="s">
        <v>355</v>
      </c>
      <c r="Q29566" s="5" t="s">
        <v>355</v>
      </c>
    </row>
    <row r="29567" ht="16.5" customHeight="1">
      <c r="O29567" s="5" t="s">
        <v>355</v>
      </c>
      <c r="P29567" s="5" t="s">
        <v>355</v>
      </c>
      <c r="Q29567" s="5" t="s">
        <v>355</v>
      </c>
    </row>
    <row r="29568" ht="16.5" customHeight="1">
      <c r="O29568" s="5" t="s">
        <v>355</v>
      </c>
      <c r="P29568" s="5" t="s">
        <v>355</v>
      </c>
      <c r="Q29568" s="5" t="s">
        <v>355</v>
      </c>
    </row>
    <row r="29569" ht="16.5" customHeight="1">
      <c r="O29569" s="5" t="s">
        <v>355</v>
      </c>
      <c r="P29569" s="5" t="s">
        <v>355</v>
      </c>
      <c r="Q29569" s="5" t="s">
        <v>355</v>
      </c>
    </row>
    <row r="29570" ht="16.5" customHeight="1">
      <c r="O29570" s="5" t="s">
        <v>355</v>
      </c>
      <c r="P29570" s="5" t="s">
        <v>355</v>
      </c>
      <c r="Q29570" s="5" t="s">
        <v>355</v>
      </c>
    </row>
    <row r="29571" ht="16.5" customHeight="1">
      <c r="O29571" s="5" t="s">
        <v>355</v>
      </c>
      <c r="P29571" s="5" t="s">
        <v>355</v>
      </c>
      <c r="Q29571" s="5" t="s">
        <v>355</v>
      </c>
    </row>
    <row r="29572" ht="16.5" customHeight="1">
      <c r="O29572" s="5" t="s">
        <v>355</v>
      </c>
      <c r="P29572" s="5" t="s">
        <v>355</v>
      </c>
      <c r="Q29572" s="5" t="s">
        <v>355</v>
      </c>
    </row>
    <row r="29573" ht="16.5" customHeight="1">
      <c r="O29573" s="5" t="s">
        <v>355</v>
      </c>
      <c r="P29573" s="5" t="s">
        <v>355</v>
      </c>
      <c r="Q29573" s="5" t="s">
        <v>355</v>
      </c>
    </row>
    <row r="29574" ht="16.5" customHeight="1">
      <c r="O29574" s="5" t="s">
        <v>355</v>
      </c>
      <c r="P29574" s="5" t="s">
        <v>355</v>
      </c>
      <c r="Q29574" s="5" t="s">
        <v>355</v>
      </c>
    </row>
    <row r="29575" ht="16.5" customHeight="1">
      <c r="O29575" s="5" t="s">
        <v>355</v>
      </c>
      <c r="P29575" s="5" t="s">
        <v>355</v>
      </c>
      <c r="Q29575" s="5" t="s">
        <v>355</v>
      </c>
    </row>
    <row r="29576" ht="16.5" customHeight="1">
      <c r="O29576" s="5" t="s">
        <v>355</v>
      </c>
      <c r="P29576" s="5" t="s">
        <v>355</v>
      </c>
      <c r="Q29576" s="5" t="s">
        <v>355</v>
      </c>
    </row>
    <row r="29577" ht="16.5" customHeight="1">
      <c r="O29577" s="5" t="s">
        <v>355</v>
      </c>
      <c r="P29577" s="5" t="s">
        <v>355</v>
      </c>
      <c r="Q29577" s="5" t="s">
        <v>355</v>
      </c>
    </row>
    <row r="29578" ht="16.5" customHeight="1">
      <c r="O29578" s="5" t="s">
        <v>355</v>
      </c>
      <c r="P29578" s="5" t="s">
        <v>355</v>
      </c>
      <c r="Q29578" s="5" t="s">
        <v>355</v>
      </c>
    </row>
    <row r="29579" ht="16.5" customHeight="1">
      <c r="O29579" s="5" t="s">
        <v>355</v>
      </c>
      <c r="P29579" s="5" t="s">
        <v>355</v>
      </c>
      <c r="Q29579" s="5" t="s">
        <v>355</v>
      </c>
    </row>
    <row r="29580" ht="16.5" customHeight="1">
      <c r="O29580" s="5" t="s">
        <v>355</v>
      </c>
      <c r="P29580" s="5" t="s">
        <v>355</v>
      </c>
      <c r="Q29580" s="5" t="s">
        <v>355</v>
      </c>
    </row>
    <row r="29581" ht="16.5" customHeight="1">
      <c r="O29581" s="5" t="s">
        <v>355</v>
      </c>
      <c r="P29581" s="5" t="s">
        <v>355</v>
      </c>
      <c r="Q29581" s="5" t="s">
        <v>355</v>
      </c>
    </row>
    <row r="29582" ht="16.5" customHeight="1">
      <c r="O29582" s="5" t="s">
        <v>355</v>
      </c>
      <c r="P29582" s="5" t="s">
        <v>355</v>
      </c>
      <c r="Q29582" s="5" t="s">
        <v>355</v>
      </c>
    </row>
    <row r="29583" ht="16.5" customHeight="1">
      <c r="O29583" s="5" t="s">
        <v>355</v>
      </c>
      <c r="P29583" s="5" t="s">
        <v>355</v>
      </c>
      <c r="Q29583" s="5" t="s">
        <v>355</v>
      </c>
    </row>
    <row r="29584" ht="16.5" customHeight="1">
      <c r="O29584" s="5" t="s">
        <v>355</v>
      </c>
      <c r="P29584" s="5" t="s">
        <v>355</v>
      </c>
      <c r="Q29584" s="5" t="s">
        <v>355</v>
      </c>
    </row>
    <row r="29585" ht="16.5" customHeight="1">
      <c r="O29585" s="5" t="s">
        <v>355</v>
      </c>
      <c r="P29585" s="5" t="s">
        <v>355</v>
      </c>
      <c r="Q29585" s="5" t="s">
        <v>355</v>
      </c>
    </row>
    <row r="29586" ht="16.5" customHeight="1">
      <c r="O29586" s="5" t="s">
        <v>355</v>
      </c>
      <c r="P29586" s="5" t="s">
        <v>355</v>
      </c>
      <c r="Q29586" s="5" t="s">
        <v>355</v>
      </c>
    </row>
    <row r="29587" ht="16.5" customHeight="1">
      <c r="O29587" s="5" t="s">
        <v>355</v>
      </c>
      <c r="P29587" s="5" t="s">
        <v>355</v>
      </c>
      <c r="Q29587" s="5" t="s">
        <v>355</v>
      </c>
    </row>
    <row r="29588" ht="16.5" customHeight="1">
      <c r="O29588" s="5" t="s">
        <v>355</v>
      </c>
      <c r="P29588" s="5" t="s">
        <v>355</v>
      </c>
      <c r="Q29588" s="5" t="s">
        <v>355</v>
      </c>
    </row>
    <row r="29589" ht="16.5" customHeight="1">
      <c r="O29589" s="5" t="s">
        <v>355</v>
      </c>
      <c r="P29589" s="5" t="s">
        <v>355</v>
      </c>
      <c r="Q29589" s="5" t="s">
        <v>355</v>
      </c>
    </row>
    <row r="29590" ht="16.5" customHeight="1">
      <c r="O29590" s="5" t="s">
        <v>355</v>
      </c>
      <c r="P29590" s="5" t="s">
        <v>355</v>
      </c>
      <c r="Q29590" s="5" t="s">
        <v>355</v>
      </c>
    </row>
    <row r="29591" ht="16.5" customHeight="1">
      <c r="O29591" s="5" t="s">
        <v>355</v>
      </c>
      <c r="P29591" s="5" t="s">
        <v>355</v>
      </c>
      <c r="Q29591" s="5" t="s">
        <v>355</v>
      </c>
    </row>
    <row r="29592" ht="16.5" customHeight="1">
      <c r="O29592" s="5" t="s">
        <v>355</v>
      </c>
      <c r="P29592" s="5" t="s">
        <v>355</v>
      </c>
      <c r="Q29592" s="5" t="s">
        <v>355</v>
      </c>
    </row>
    <row r="29593" ht="16.5" customHeight="1">
      <c r="O29593" s="5" t="s">
        <v>355</v>
      </c>
      <c r="P29593" s="5" t="s">
        <v>355</v>
      </c>
      <c r="Q29593" s="5" t="s">
        <v>355</v>
      </c>
    </row>
    <row r="29594" ht="16.5" customHeight="1">
      <c r="O29594" s="5" t="s">
        <v>355</v>
      </c>
      <c r="P29594" s="5" t="s">
        <v>355</v>
      </c>
      <c r="Q29594" s="5" t="s">
        <v>355</v>
      </c>
    </row>
    <row r="29595" ht="16.5" customHeight="1">
      <c r="O29595" s="5" t="s">
        <v>355</v>
      </c>
      <c r="P29595" s="5" t="s">
        <v>355</v>
      </c>
      <c r="Q29595" s="5" t="s">
        <v>355</v>
      </c>
    </row>
    <row r="29596" ht="16.5" customHeight="1">
      <c r="O29596" s="5" t="s">
        <v>355</v>
      </c>
      <c r="P29596" s="5" t="s">
        <v>355</v>
      </c>
      <c r="Q29596" s="5" t="s">
        <v>355</v>
      </c>
    </row>
    <row r="29597" ht="16.5" customHeight="1">
      <c r="O29597" s="5" t="s">
        <v>355</v>
      </c>
      <c r="P29597" s="5" t="s">
        <v>355</v>
      </c>
      <c r="Q29597" s="5" t="s">
        <v>355</v>
      </c>
    </row>
    <row r="29598" ht="16.5" customHeight="1">
      <c r="O29598" s="5" t="s">
        <v>355</v>
      </c>
      <c r="P29598" s="5" t="s">
        <v>355</v>
      </c>
      <c r="Q29598" s="5" t="s">
        <v>355</v>
      </c>
    </row>
    <row r="29599" ht="16.5" customHeight="1">
      <c r="O29599" s="5" t="s">
        <v>355</v>
      </c>
      <c r="P29599" s="5" t="s">
        <v>355</v>
      </c>
      <c r="Q29599" s="5" t="s">
        <v>355</v>
      </c>
    </row>
    <row r="29600" ht="16.5" customHeight="1">
      <c r="O29600" s="5" t="s">
        <v>355</v>
      </c>
      <c r="P29600" s="5" t="s">
        <v>355</v>
      </c>
      <c r="Q29600" s="5" t="s">
        <v>355</v>
      </c>
    </row>
    <row r="29601" ht="16.5" customHeight="1">
      <c r="O29601" s="5" t="s">
        <v>355</v>
      </c>
      <c r="P29601" s="5" t="s">
        <v>355</v>
      </c>
      <c r="Q29601" s="5" t="s">
        <v>355</v>
      </c>
    </row>
    <row r="29602" ht="16.5" customHeight="1">
      <c r="O29602" s="5" t="s">
        <v>355</v>
      </c>
      <c r="P29602" s="5" t="s">
        <v>355</v>
      </c>
      <c r="Q29602" s="5" t="s">
        <v>355</v>
      </c>
    </row>
    <row r="29603" ht="16.5" customHeight="1">
      <c r="O29603" s="5" t="s">
        <v>355</v>
      </c>
      <c r="P29603" s="5" t="s">
        <v>355</v>
      </c>
      <c r="Q29603" s="5" t="s">
        <v>355</v>
      </c>
    </row>
    <row r="29604" ht="16.5" customHeight="1">
      <c r="O29604" s="5" t="s">
        <v>355</v>
      </c>
      <c r="P29604" s="5" t="s">
        <v>355</v>
      </c>
      <c r="Q29604" s="5" t="s">
        <v>355</v>
      </c>
    </row>
    <row r="29605" ht="16.5" customHeight="1">
      <c r="O29605" s="5" t="s">
        <v>355</v>
      </c>
      <c r="P29605" s="5" t="s">
        <v>355</v>
      </c>
      <c r="Q29605" s="5" t="s">
        <v>355</v>
      </c>
    </row>
    <row r="29606" ht="16.5" customHeight="1">
      <c r="O29606" s="5" t="s">
        <v>355</v>
      </c>
      <c r="P29606" s="5" t="s">
        <v>355</v>
      </c>
      <c r="Q29606" s="5" t="s">
        <v>355</v>
      </c>
    </row>
    <row r="29607" ht="16.5" customHeight="1">
      <c r="O29607" s="5" t="s">
        <v>355</v>
      </c>
      <c r="P29607" s="5" t="s">
        <v>355</v>
      </c>
      <c r="Q29607" s="5" t="s">
        <v>355</v>
      </c>
    </row>
    <row r="29608" ht="16.5" customHeight="1">
      <c r="O29608" s="5" t="s">
        <v>355</v>
      </c>
      <c r="P29608" s="5" t="s">
        <v>355</v>
      </c>
      <c r="Q29608" s="5" t="s">
        <v>355</v>
      </c>
    </row>
    <row r="29609" ht="16.5" customHeight="1">
      <c r="O29609" s="5" t="s">
        <v>355</v>
      </c>
      <c r="P29609" s="5" t="s">
        <v>355</v>
      </c>
      <c r="Q29609" s="5" t="s">
        <v>355</v>
      </c>
    </row>
    <row r="29610" ht="16.5" customHeight="1">
      <c r="O29610" s="5" t="s">
        <v>355</v>
      </c>
      <c r="P29610" s="5" t="s">
        <v>355</v>
      </c>
      <c r="Q29610" s="5" t="s">
        <v>355</v>
      </c>
    </row>
    <row r="29611" ht="16.5" customHeight="1">
      <c r="O29611" s="5" t="s">
        <v>355</v>
      </c>
      <c r="P29611" s="5" t="s">
        <v>355</v>
      </c>
      <c r="Q29611" s="5" t="s">
        <v>355</v>
      </c>
    </row>
    <row r="29612" ht="16.5" customHeight="1">
      <c r="O29612" s="5" t="s">
        <v>355</v>
      </c>
      <c r="P29612" s="5" t="s">
        <v>355</v>
      </c>
      <c r="Q29612" s="5" t="s">
        <v>355</v>
      </c>
    </row>
    <row r="29613" ht="16.5" customHeight="1">
      <c r="O29613" s="5" t="s">
        <v>355</v>
      </c>
      <c r="P29613" s="5" t="s">
        <v>355</v>
      </c>
      <c r="Q29613" s="5" t="s">
        <v>355</v>
      </c>
    </row>
    <row r="29614" ht="16.5" customHeight="1">
      <c r="O29614" s="5" t="s">
        <v>355</v>
      </c>
      <c r="P29614" s="5" t="s">
        <v>355</v>
      </c>
      <c r="Q29614" s="5" t="s">
        <v>355</v>
      </c>
    </row>
    <row r="29615" ht="16.5" customHeight="1">
      <c r="O29615" s="5" t="s">
        <v>355</v>
      </c>
      <c r="P29615" s="5" t="s">
        <v>355</v>
      </c>
      <c r="Q29615" s="5" t="s">
        <v>355</v>
      </c>
    </row>
    <row r="29616" ht="16.5" customHeight="1">
      <c r="O29616" s="5" t="s">
        <v>355</v>
      </c>
      <c r="P29616" s="5" t="s">
        <v>355</v>
      </c>
      <c r="Q29616" s="5" t="s">
        <v>355</v>
      </c>
    </row>
    <row r="29617" ht="16.5" customHeight="1">
      <c r="O29617" s="5" t="s">
        <v>355</v>
      </c>
      <c r="P29617" s="5" t="s">
        <v>355</v>
      </c>
      <c r="Q29617" s="5" t="s">
        <v>355</v>
      </c>
    </row>
    <row r="29618" ht="16.5" customHeight="1">
      <c r="O29618" s="5" t="s">
        <v>355</v>
      </c>
      <c r="P29618" s="5" t="s">
        <v>355</v>
      </c>
      <c r="Q29618" s="5" t="s">
        <v>355</v>
      </c>
    </row>
    <row r="29619" ht="16.5" customHeight="1">
      <c r="O29619" s="5" t="s">
        <v>355</v>
      </c>
      <c r="P29619" s="5" t="s">
        <v>355</v>
      </c>
      <c r="Q29619" s="5" t="s">
        <v>355</v>
      </c>
    </row>
    <row r="29620" ht="16.5" customHeight="1">
      <c r="O29620" s="5" t="s">
        <v>355</v>
      </c>
      <c r="P29620" s="5" t="s">
        <v>355</v>
      </c>
      <c r="Q29620" s="5" t="s">
        <v>355</v>
      </c>
    </row>
    <row r="29621" ht="16.5" customHeight="1">
      <c r="O29621" s="5" t="s">
        <v>355</v>
      </c>
      <c r="P29621" s="5" t="s">
        <v>355</v>
      </c>
      <c r="Q29621" s="5" t="s">
        <v>355</v>
      </c>
    </row>
    <row r="29622" ht="16.5" customHeight="1">
      <c r="O29622" s="5" t="s">
        <v>355</v>
      </c>
      <c r="P29622" s="5" t="s">
        <v>355</v>
      </c>
      <c r="Q29622" s="5" t="s">
        <v>355</v>
      </c>
    </row>
    <row r="29623" ht="16.5" customHeight="1">
      <c r="O29623" s="5" t="s">
        <v>355</v>
      </c>
      <c r="P29623" s="5" t="s">
        <v>355</v>
      </c>
      <c r="Q29623" s="5" t="s">
        <v>355</v>
      </c>
    </row>
    <row r="29624" ht="16.5" customHeight="1">
      <c r="O29624" s="5" t="s">
        <v>355</v>
      </c>
      <c r="P29624" s="5" t="s">
        <v>355</v>
      </c>
      <c r="Q29624" s="5" t="s">
        <v>355</v>
      </c>
    </row>
    <row r="29625" ht="16.5" customHeight="1">
      <c r="O29625" s="5" t="s">
        <v>355</v>
      </c>
      <c r="P29625" s="5" t="s">
        <v>355</v>
      </c>
      <c r="Q29625" s="5" t="s">
        <v>355</v>
      </c>
    </row>
    <row r="29626" ht="16.5" customHeight="1">
      <c r="O29626" s="5" t="s">
        <v>355</v>
      </c>
      <c r="P29626" s="5" t="s">
        <v>355</v>
      </c>
      <c r="Q29626" s="5" t="s">
        <v>355</v>
      </c>
    </row>
    <row r="29627" ht="16.5" customHeight="1">
      <c r="O29627" s="5" t="s">
        <v>355</v>
      </c>
      <c r="P29627" s="5" t="s">
        <v>355</v>
      </c>
      <c r="Q29627" s="5" t="s">
        <v>355</v>
      </c>
    </row>
    <row r="29628" ht="16.5" customHeight="1">
      <c r="O29628" s="5" t="s">
        <v>355</v>
      </c>
      <c r="P29628" s="5" t="s">
        <v>355</v>
      </c>
      <c r="Q29628" s="5" t="s">
        <v>355</v>
      </c>
    </row>
    <row r="29629" ht="16.5" customHeight="1">
      <c r="O29629" s="5" t="s">
        <v>355</v>
      </c>
      <c r="P29629" s="5" t="s">
        <v>355</v>
      </c>
      <c r="Q29629" s="5" t="s">
        <v>355</v>
      </c>
    </row>
    <row r="29630" ht="16.5" customHeight="1">
      <c r="O29630" s="5" t="s">
        <v>355</v>
      </c>
      <c r="P29630" s="5" t="s">
        <v>355</v>
      </c>
      <c r="Q29630" s="5" t="s">
        <v>355</v>
      </c>
    </row>
    <row r="29631" ht="16.5" customHeight="1">
      <c r="O29631" s="5" t="s">
        <v>355</v>
      </c>
      <c r="P29631" s="5" t="s">
        <v>355</v>
      </c>
      <c r="Q29631" s="5" t="s">
        <v>355</v>
      </c>
    </row>
    <row r="29632" ht="16.5" customHeight="1">
      <c r="O29632" s="5" t="s">
        <v>355</v>
      </c>
      <c r="P29632" s="5" t="s">
        <v>355</v>
      </c>
      <c r="Q29632" s="5" t="s">
        <v>355</v>
      </c>
    </row>
    <row r="29633" ht="16.5" customHeight="1">
      <c r="O29633" s="5" t="s">
        <v>355</v>
      </c>
      <c r="P29633" s="5" t="s">
        <v>355</v>
      </c>
      <c r="Q29633" s="5" t="s">
        <v>355</v>
      </c>
    </row>
    <row r="29634" ht="16.5" customHeight="1">
      <c r="O29634" s="5" t="s">
        <v>355</v>
      </c>
      <c r="P29634" s="5" t="s">
        <v>355</v>
      </c>
      <c r="Q29634" s="5" t="s">
        <v>355</v>
      </c>
    </row>
    <row r="29635" ht="16.5" customHeight="1">
      <c r="O29635" s="5" t="s">
        <v>355</v>
      </c>
      <c r="P29635" s="5" t="s">
        <v>355</v>
      </c>
      <c r="Q29635" s="5" t="s">
        <v>355</v>
      </c>
    </row>
    <row r="29636" ht="16.5" customHeight="1">
      <c r="O29636" s="5" t="s">
        <v>355</v>
      </c>
      <c r="P29636" s="5" t="s">
        <v>355</v>
      </c>
      <c r="Q29636" s="5" t="s">
        <v>355</v>
      </c>
    </row>
    <row r="29637" ht="16.5" customHeight="1">
      <c r="O29637" s="5" t="s">
        <v>355</v>
      </c>
      <c r="P29637" s="5" t="s">
        <v>355</v>
      </c>
      <c r="Q29637" s="5" t="s">
        <v>355</v>
      </c>
    </row>
    <row r="29638" ht="16.5" customHeight="1">
      <c r="O29638" s="5" t="s">
        <v>355</v>
      </c>
      <c r="P29638" s="5" t="s">
        <v>355</v>
      </c>
      <c r="Q29638" s="5" t="s">
        <v>355</v>
      </c>
    </row>
    <row r="29639" ht="16.5" customHeight="1">
      <c r="O29639" s="5" t="s">
        <v>355</v>
      </c>
      <c r="P29639" s="5" t="s">
        <v>355</v>
      </c>
      <c r="Q29639" s="5" t="s">
        <v>355</v>
      </c>
    </row>
    <row r="29640" ht="16.5" customHeight="1">
      <c r="O29640" s="5" t="s">
        <v>355</v>
      </c>
      <c r="P29640" s="5" t="s">
        <v>355</v>
      </c>
      <c r="Q29640" s="5" t="s">
        <v>355</v>
      </c>
    </row>
    <row r="29641" ht="16.5" customHeight="1">
      <c r="O29641" s="5" t="s">
        <v>355</v>
      </c>
      <c r="P29641" s="5" t="s">
        <v>355</v>
      </c>
      <c r="Q29641" s="5" t="s">
        <v>355</v>
      </c>
    </row>
    <row r="29642" ht="16.5" customHeight="1">
      <c r="O29642" s="5" t="s">
        <v>355</v>
      </c>
      <c r="P29642" s="5" t="s">
        <v>355</v>
      </c>
      <c r="Q29642" s="5" t="s">
        <v>355</v>
      </c>
    </row>
    <row r="29643" ht="16.5" customHeight="1">
      <c r="O29643" s="5" t="s">
        <v>355</v>
      </c>
      <c r="P29643" s="5" t="s">
        <v>355</v>
      </c>
      <c r="Q29643" s="5" t="s">
        <v>355</v>
      </c>
    </row>
    <row r="29644" ht="16.5" customHeight="1">
      <c r="O29644" s="5" t="s">
        <v>355</v>
      </c>
      <c r="P29644" s="5" t="s">
        <v>355</v>
      </c>
      <c r="Q29644" s="5" t="s">
        <v>355</v>
      </c>
    </row>
    <row r="29645" ht="16.5" customHeight="1">
      <c r="O29645" s="5" t="s">
        <v>355</v>
      </c>
      <c r="P29645" s="5" t="s">
        <v>355</v>
      </c>
      <c r="Q29645" s="5" t="s">
        <v>355</v>
      </c>
    </row>
    <row r="29646" ht="16.5" customHeight="1">
      <c r="O29646" s="5" t="s">
        <v>355</v>
      </c>
      <c r="P29646" s="5" t="s">
        <v>355</v>
      </c>
      <c r="Q29646" s="5" t="s">
        <v>355</v>
      </c>
    </row>
    <row r="29647" ht="16.5" customHeight="1">
      <c r="O29647" s="5" t="s">
        <v>355</v>
      </c>
      <c r="P29647" s="5" t="s">
        <v>355</v>
      </c>
      <c r="Q29647" s="5" t="s">
        <v>355</v>
      </c>
    </row>
    <row r="29648" ht="16.5" customHeight="1">
      <c r="O29648" s="5" t="s">
        <v>355</v>
      </c>
      <c r="P29648" s="5" t="s">
        <v>355</v>
      </c>
      <c r="Q29648" s="5" t="s">
        <v>355</v>
      </c>
    </row>
    <row r="29649" ht="16.5" customHeight="1">
      <c r="O29649" s="5" t="s">
        <v>355</v>
      </c>
      <c r="P29649" s="5" t="s">
        <v>355</v>
      </c>
      <c r="Q29649" s="5" t="s">
        <v>355</v>
      </c>
    </row>
    <row r="29650" ht="16.5" customHeight="1">
      <c r="O29650" s="5" t="s">
        <v>355</v>
      </c>
      <c r="P29650" s="5" t="s">
        <v>355</v>
      </c>
      <c r="Q29650" s="5" t="s">
        <v>355</v>
      </c>
    </row>
    <row r="29651" ht="16.5" customHeight="1">
      <c r="O29651" s="5" t="s">
        <v>355</v>
      </c>
      <c r="P29651" s="5" t="s">
        <v>355</v>
      </c>
      <c r="Q29651" s="5" t="s">
        <v>355</v>
      </c>
    </row>
    <row r="29652" ht="16.5" customHeight="1">
      <c r="O29652" s="5" t="s">
        <v>355</v>
      </c>
      <c r="P29652" s="5" t="s">
        <v>355</v>
      </c>
      <c r="Q29652" s="5" t="s">
        <v>355</v>
      </c>
    </row>
    <row r="29653" ht="16.5" customHeight="1">
      <c r="O29653" s="5" t="s">
        <v>355</v>
      </c>
      <c r="P29653" s="5" t="s">
        <v>355</v>
      </c>
      <c r="Q29653" s="5" t="s">
        <v>355</v>
      </c>
    </row>
    <row r="29654" ht="16.5" customHeight="1">
      <c r="O29654" s="5" t="s">
        <v>355</v>
      </c>
      <c r="P29654" s="5" t="s">
        <v>355</v>
      </c>
      <c r="Q29654" s="5" t="s">
        <v>355</v>
      </c>
    </row>
    <row r="29655" ht="16.5" customHeight="1">
      <c r="O29655" s="5" t="s">
        <v>355</v>
      </c>
      <c r="P29655" s="5" t="s">
        <v>355</v>
      </c>
      <c r="Q29655" s="5" t="s">
        <v>355</v>
      </c>
    </row>
    <row r="29656" ht="16.5" customHeight="1">
      <c r="O29656" s="5" t="s">
        <v>355</v>
      </c>
      <c r="P29656" s="5" t="s">
        <v>355</v>
      </c>
      <c r="Q29656" s="5" t="s">
        <v>355</v>
      </c>
    </row>
    <row r="29657" ht="16.5" customHeight="1">
      <c r="O29657" s="5" t="s">
        <v>355</v>
      </c>
      <c r="P29657" s="5" t="s">
        <v>355</v>
      </c>
      <c r="Q29657" s="5" t="s">
        <v>355</v>
      </c>
    </row>
    <row r="29658" ht="16.5" customHeight="1">
      <c r="O29658" s="5" t="s">
        <v>355</v>
      </c>
      <c r="P29658" s="5" t="s">
        <v>355</v>
      </c>
      <c r="Q29658" s="5" t="s">
        <v>355</v>
      </c>
    </row>
    <row r="29659" ht="16.5" customHeight="1">
      <c r="O29659" s="5" t="s">
        <v>355</v>
      </c>
      <c r="P29659" s="5" t="s">
        <v>355</v>
      </c>
      <c r="Q29659" s="5" t="s">
        <v>355</v>
      </c>
    </row>
    <row r="29660" ht="16.5" customHeight="1">
      <c r="O29660" s="5" t="s">
        <v>355</v>
      </c>
      <c r="P29660" s="5" t="s">
        <v>355</v>
      </c>
      <c r="Q29660" s="5" t="s">
        <v>355</v>
      </c>
    </row>
    <row r="29661" ht="16.5" customHeight="1">
      <c r="O29661" s="5" t="s">
        <v>355</v>
      </c>
      <c r="P29661" s="5" t="s">
        <v>355</v>
      </c>
      <c r="Q29661" s="5" t="s">
        <v>355</v>
      </c>
    </row>
    <row r="29662" ht="16.5" customHeight="1">
      <c r="O29662" s="5" t="s">
        <v>355</v>
      </c>
      <c r="P29662" s="5" t="s">
        <v>355</v>
      </c>
      <c r="Q29662" s="5" t="s">
        <v>355</v>
      </c>
    </row>
    <row r="29663" ht="16.5" customHeight="1">
      <c r="O29663" s="5" t="s">
        <v>355</v>
      </c>
      <c r="P29663" s="5" t="s">
        <v>355</v>
      </c>
      <c r="Q29663" s="5" t="s">
        <v>355</v>
      </c>
    </row>
    <row r="29664" ht="16.5" customHeight="1">
      <c r="O29664" s="5" t="s">
        <v>355</v>
      </c>
      <c r="P29664" s="5" t="s">
        <v>355</v>
      </c>
      <c r="Q29664" s="5" t="s">
        <v>355</v>
      </c>
    </row>
    <row r="29665" ht="16.5" customHeight="1">
      <c r="O29665" s="5" t="s">
        <v>355</v>
      </c>
      <c r="P29665" s="5" t="s">
        <v>355</v>
      </c>
      <c r="Q29665" s="5" t="s">
        <v>355</v>
      </c>
    </row>
    <row r="29666" ht="16.5" customHeight="1">
      <c r="O29666" s="5" t="s">
        <v>355</v>
      </c>
      <c r="P29666" s="5" t="s">
        <v>355</v>
      </c>
      <c r="Q29666" s="5" t="s">
        <v>355</v>
      </c>
    </row>
    <row r="29667" ht="16.5" customHeight="1">
      <c r="O29667" s="5" t="s">
        <v>355</v>
      </c>
      <c r="P29667" s="5" t="s">
        <v>355</v>
      </c>
      <c r="Q29667" s="5" t="s">
        <v>355</v>
      </c>
    </row>
    <row r="29668" ht="16.5" customHeight="1">
      <c r="O29668" s="5" t="s">
        <v>355</v>
      </c>
      <c r="P29668" s="5" t="s">
        <v>355</v>
      </c>
      <c r="Q29668" s="5" t="s">
        <v>355</v>
      </c>
    </row>
    <row r="29669" ht="16.5" customHeight="1">
      <c r="O29669" s="5" t="s">
        <v>355</v>
      </c>
      <c r="P29669" s="5" t="s">
        <v>355</v>
      </c>
      <c r="Q29669" s="5" t="s">
        <v>355</v>
      </c>
    </row>
    <row r="29670" ht="16.5" customHeight="1">
      <c r="O29670" s="5" t="s">
        <v>355</v>
      </c>
      <c r="P29670" s="5" t="s">
        <v>355</v>
      </c>
      <c r="Q29670" s="5" t="s">
        <v>355</v>
      </c>
    </row>
    <row r="29671" ht="16.5" customHeight="1">
      <c r="O29671" s="5" t="s">
        <v>355</v>
      </c>
      <c r="P29671" s="5" t="s">
        <v>355</v>
      </c>
      <c r="Q29671" s="5" t="s">
        <v>355</v>
      </c>
    </row>
    <row r="29672" ht="16.5" customHeight="1">
      <c r="O29672" s="5" t="s">
        <v>355</v>
      </c>
      <c r="P29672" s="5" t="s">
        <v>355</v>
      </c>
      <c r="Q29672" s="5" t="s">
        <v>355</v>
      </c>
    </row>
    <row r="29673" ht="16.5" customHeight="1">
      <c r="O29673" s="5" t="s">
        <v>355</v>
      </c>
      <c r="P29673" s="5" t="s">
        <v>355</v>
      </c>
      <c r="Q29673" s="5" t="s">
        <v>355</v>
      </c>
    </row>
    <row r="29674" ht="16.5" customHeight="1">
      <c r="O29674" s="5" t="s">
        <v>355</v>
      </c>
      <c r="P29674" s="5" t="s">
        <v>355</v>
      </c>
      <c r="Q29674" s="5" t="s">
        <v>355</v>
      </c>
    </row>
    <row r="29675" ht="16.5" customHeight="1">
      <c r="O29675" s="5" t="s">
        <v>355</v>
      </c>
      <c r="P29675" s="5" t="s">
        <v>355</v>
      </c>
      <c r="Q29675" s="5" t="s">
        <v>355</v>
      </c>
    </row>
    <row r="29676" ht="16.5" customHeight="1">
      <c r="O29676" s="5" t="s">
        <v>355</v>
      </c>
      <c r="P29676" s="5" t="s">
        <v>355</v>
      </c>
      <c r="Q29676" s="5" t="s">
        <v>355</v>
      </c>
    </row>
    <row r="29677" ht="16.5" customHeight="1">
      <c r="O29677" s="5" t="s">
        <v>355</v>
      </c>
      <c r="P29677" s="5" t="s">
        <v>355</v>
      </c>
      <c r="Q29677" s="5" t="s">
        <v>355</v>
      </c>
    </row>
    <row r="29678" ht="16.5" customHeight="1">
      <c r="O29678" s="5" t="s">
        <v>355</v>
      </c>
      <c r="P29678" s="5" t="s">
        <v>355</v>
      </c>
      <c r="Q29678" s="5" t="s">
        <v>355</v>
      </c>
    </row>
    <row r="29679" ht="16.5" customHeight="1">
      <c r="O29679" s="5" t="s">
        <v>355</v>
      </c>
      <c r="P29679" s="5" t="s">
        <v>355</v>
      </c>
      <c r="Q29679" s="5" t="s">
        <v>355</v>
      </c>
    </row>
    <row r="29680" ht="16.5" customHeight="1">
      <c r="O29680" s="5" t="s">
        <v>355</v>
      </c>
      <c r="P29680" s="5" t="s">
        <v>355</v>
      </c>
      <c r="Q29680" s="5" t="s">
        <v>355</v>
      </c>
    </row>
    <row r="29681" ht="16.5" customHeight="1">
      <c r="O29681" s="5" t="s">
        <v>355</v>
      </c>
      <c r="P29681" s="5" t="s">
        <v>355</v>
      </c>
      <c r="Q29681" s="5" t="s">
        <v>355</v>
      </c>
    </row>
    <row r="29682" ht="16.5" customHeight="1">
      <c r="O29682" s="5" t="s">
        <v>355</v>
      </c>
      <c r="P29682" s="5" t="s">
        <v>355</v>
      </c>
      <c r="Q29682" s="5" t="s">
        <v>355</v>
      </c>
    </row>
    <row r="29683" ht="16.5" customHeight="1">
      <c r="O29683" s="5" t="s">
        <v>355</v>
      </c>
      <c r="P29683" s="5" t="s">
        <v>355</v>
      </c>
      <c r="Q29683" s="5" t="s">
        <v>355</v>
      </c>
    </row>
    <row r="29684" ht="16.5" customHeight="1">
      <c r="O29684" s="5" t="s">
        <v>355</v>
      </c>
      <c r="P29684" s="5" t="s">
        <v>355</v>
      </c>
      <c r="Q29684" s="5" t="s">
        <v>355</v>
      </c>
    </row>
    <row r="29685" ht="16.5" customHeight="1">
      <c r="O29685" s="5" t="s">
        <v>355</v>
      </c>
      <c r="P29685" s="5" t="s">
        <v>355</v>
      </c>
      <c r="Q29685" s="5" t="s">
        <v>355</v>
      </c>
    </row>
    <row r="29686" ht="16.5" customHeight="1">
      <c r="O29686" s="5" t="s">
        <v>355</v>
      </c>
      <c r="P29686" s="5" t="s">
        <v>355</v>
      </c>
      <c r="Q29686" s="5" t="s">
        <v>355</v>
      </c>
    </row>
    <row r="29687" ht="16.5" customHeight="1">
      <c r="O29687" s="5" t="s">
        <v>355</v>
      </c>
      <c r="P29687" s="5" t="s">
        <v>355</v>
      </c>
      <c r="Q29687" s="5" t="s">
        <v>355</v>
      </c>
    </row>
    <row r="29688" ht="16.5" customHeight="1">
      <c r="O29688" s="5" t="s">
        <v>355</v>
      </c>
      <c r="P29688" s="5" t="s">
        <v>355</v>
      </c>
      <c r="Q29688" s="5" t="s">
        <v>355</v>
      </c>
    </row>
    <row r="29689" ht="16.5" customHeight="1">
      <c r="O29689" s="5" t="s">
        <v>355</v>
      </c>
      <c r="P29689" s="5" t="s">
        <v>355</v>
      </c>
      <c r="Q29689" s="5" t="s">
        <v>355</v>
      </c>
    </row>
    <row r="29690" ht="16.5" customHeight="1">
      <c r="O29690" s="5" t="s">
        <v>355</v>
      </c>
      <c r="P29690" s="5" t="s">
        <v>355</v>
      </c>
      <c r="Q29690" s="5" t="s">
        <v>355</v>
      </c>
    </row>
    <row r="29691" ht="16.5" customHeight="1">
      <c r="O29691" s="5" t="s">
        <v>355</v>
      </c>
      <c r="P29691" s="5" t="s">
        <v>355</v>
      </c>
      <c r="Q29691" s="5" t="s">
        <v>355</v>
      </c>
    </row>
    <row r="29692" ht="16.5" customHeight="1">
      <c r="O29692" s="5" t="s">
        <v>355</v>
      </c>
      <c r="P29692" s="5" t="s">
        <v>355</v>
      </c>
      <c r="Q29692" s="5" t="s">
        <v>355</v>
      </c>
    </row>
    <row r="29693" ht="16.5" customHeight="1">
      <c r="O29693" s="5" t="s">
        <v>355</v>
      </c>
      <c r="P29693" s="5" t="s">
        <v>355</v>
      </c>
      <c r="Q29693" s="5" t="s">
        <v>355</v>
      </c>
    </row>
    <row r="29694" ht="16.5" customHeight="1">
      <c r="O29694" s="5" t="s">
        <v>355</v>
      </c>
      <c r="P29694" s="5" t="s">
        <v>355</v>
      </c>
      <c r="Q29694" s="5" t="s">
        <v>355</v>
      </c>
    </row>
    <row r="29695" ht="16.5" customHeight="1">
      <c r="O29695" s="5" t="s">
        <v>355</v>
      </c>
      <c r="P29695" s="5" t="s">
        <v>355</v>
      </c>
      <c r="Q29695" s="5" t="s">
        <v>355</v>
      </c>
    </row>
    <row r="29696" ht="16.5" customHeight="1">
      <c r="O29696" s="5" t="s">
        <v>355</v>
      </c>
      <c r="P29696" s="5" t="s">
        <v>355</v>
      </c>
      <c r="Q29696" s="5" t="s">
        <v>355</v>
      </c>
    </row>
    <row r="29697" ht="16.5" customHeight="1">
      <c r="O29697" s="5" t="s">
        <v>355</v>
      </c>
      <c r="P29697" s="5" t="s">
        <v>355</v>
      </c>
      <c r="Q29697" s="5" t="s">
        <v>355</v>
      </c>
    </row>
    <row r="29698" ht="16.5" customHeight="1">
      <c r="O29698" s="5" t="s">
        <v>355</v>
      </c>
      <c r="P29698" s="5" t="s">
        <v>355</v>
      </c>
      <c r="Q29698" s="5" t="s">
        <v>355</v>
      </c>
    </row>
    <row r="29699" ht="16.5" customHeight="1">
      <c r="O29699" s="5" t="s">
        <v>355</v>
      </c>
      <c r="P29699" s="5" t="s">
        <v>355</v>
      </c>
      <c r="Q29699" s="5" t="s">
        <v>355</v>
      </c>
    </row>
    <row r="29700" ht="16.5" customHeight="1">
      <c r="O29700" s="5" t="s">
        <v>355</v>
      </c>
      <c r="P29700" s="5" t="s">
        <v>355</v>
      </c>
      <c r="Q29700" s="5" t="s">
        <v>355</v>
      </c>
    </row>
    <row r="29701" ht="16.5" customHeight="1">
      <c r="O29701" s="5" t="s">
        <v>355</v>
      </c>
      <c r="P29701" s="5" t="s">
        <v>355</v>
      </c>
      <c r="Q29701" s="5" t="s">
        <v>355</v>
      </c>
    </row>
    <row r="29702" ht="16.5" customHeight="1">
      <c r="O29702" s="5" t="s">
        <v>355</v>
      </c>
      <c r="P29702" s="5" t="s">
        <v>355</v>
      </c>
      <c r="Q29702" s="5" t="s">
        <v>355</v>
      </c>
    </row>
    <row r="29703" ht="16.5" customHeight="1">
      <c r="O29703" s="5" t="s">
        <v>355</v>
      </c>
      <c r="P29703" s="5" t="s">
        <v>355</v>
      </c>
      <c r="Q29703" s="5" t="s">
        <v>355</v>
      </c>
    </row>
    <row r="29704" ht="16.5" customHeight="1">
      <c r="O29704" s="5" t="s">
        <v>355</v>
      </c>
      <c r="P29704" s="5" t="s">
        <v>355</v>
      </c>
      <c r="Q29704" s="5" t="s">
        <v>355</v>
      </c>
    </row>
    <row r="29705" ht="16.5" customHeight="1">
      <c r="O29705" s="5" t="s">
        <v>355</v>
      </c>
      <c r="P29705" s="5" t="s">
        <v>355</v>
      </c>
      <c r="Q29705" s="5" t="s">
        <v>355</v>
      </c>
    </row>
    <row r="29706" ht="16.5" customHeight="1">
      <c r="O29706" s="5" t="s">
        <v>355</v>
      </c>
      <c r="P29706" s="5" t="s">
        <v>355</v>
      </c>
      <c r="Q29706" s="5" t="s">
        <v>355</v>
      </c>
    </row>
    <row r="29707" ht="16.5" customHeight="1">
      <c r="O29707" s="5" t="s">
        <v>355</v>
      </c>
      <c r="P29707" s="5" t="s">
        <v>355</v>
      </c>
      <c r="Q29707" s="5" t="s">
        <v>355</v>
      </c>
    </row>
    <row r="29708" ht="16.5" customHeight="1">
      <c r="O29708" s="5" t="s">
        <v>355</v>
      </c>
      <c r="P29708" s="5" t="s">
        <v>355</v>
      </c>
      <c r="Q29708" s="5" t="s">
        <v>355</v>
      </c>
    </row>
    <row r="29709" ht="16.5" customHeight="1">
      <c r="O29709" s="5" t="s">
        <v>355</v>
      </c>
      <c r="P29709" s="5" t="s">
        <v>355</v>
      </c>
      <c r="Q29709" s="5" t="s">
        <v>355</v>
      </c>
    </row>
    <row r="29710" ht="16.5" customHeight="1">
      <c r="O29710" s="5" t="s">
        <v>355</v>
      </c>
      <c r="P29710" s="5" t="s">
        <v>355</v>
      </c>
      <c r="Q29710" s="5" t="s">
        <v>355</v>
      </c>
    </row>
    <row r="29711" ht="16.5" customHeight="1">
      <c r="O29711" s="5" t="s">
        <v>355</v>
      </c>
      <c r="P29711" s="5" t="s">
        <v>355</v>
      </c>
      <c r="Q29711" s="5" t="s">
        <v>355</v>
      </c>
    </row>
    <row r="29712" ht="16.5" customHeight="1">
      <c r="O29712" s="5" t="s">
        <v>355</v>
      </c>
      <c r="P29712" s="5" t="s">
        <v>355</v>
      </c>
      <c r="Q29712" s="5" t="s">
        <v>355</v>
      </c>
    </row>
    <row r="29713" ht="16.5" customHeight="1">
      <c r="O29713" s="5" t="s">
        <v>355</v>
      </c>
      <c r="P29713" s="5" t="s">
        <v>355</v>
      </c>
      <c r="Q29713" s="5" t="s">
        <v>355</v>
      </c>
    </row>
    <row r="29714" ht="16.5" customHeight="1">
      <c r="O29714" s="5" t="s">
        <v>355</v>
      </c>
      <c r="P29714" s="5" t="s">
        <v>355</v>
      </c>
      <c r="Q29714" s="5" t="s">
        <v>355</v>
      </c>
    </row>
    <row r="29715" ht="16.5" customHeight="1">
      <c r="O29715" s="5" t="s">
        <v>355</v>
      </c>
      <c r="P29715" s="5" t="s">
        <v>355</v>
      </c>
      <c r="Q29715" s="5" t="s">
        <v>355</v>
      </c>
    </row>
    <row r="29716" ht="16.5" customHeight="1">
      <c r="O29716" s="5" t="s">
        <v>355</v>
      </c>
      <c r="P29716" s="5" t="s">
        <v>355</v>
      </c>
      <c r="Q29716" s="5" t="s">
        <v>355</v>
      </c>
    </row>
    <row r="29717" ht="16.5" customHeight="1">
      <c r="O29717" s="5" t="s">
        <v>355</v>
      </c>
      <c r="P29717" s="5" t="s">
        <v>355</v>
      </c>
      <c r="Q29717" s="5" t="s">
        <v>355</v>
      </c>
    </row>
    <row r="29718" ht="16.5" customHeight="1">
      <c r="O29718" s="5" t="s">
        <v>355</v>
      </c>
      <c r="P29718" s="5" t="s">
        <v>355</v>
      </c>
      <c r="Q29718" s="5" t="s">
        <v>355</v>
      </c>
    </row>
    <row r="29719" ht="16.5" customHeight="1">
      <c r="O29719" s="5" t="s">
        <v>355</v>
      </c>
      <c r="P29719" s="5" t="s">
        <v>355</v>
      </c>
      <c r="Q29719" s="5" t="s">
        <v>355</v>
      </c>
    </row>
    <row r="29720" ht="16.5" customHeight="1">
      <c r="O29720" s="5" t="s">
        <v>355</v>
      </c>
      <c r="P29720" s="5" t="s">
        <v>355</v>
      </c>
      <c r="Q29720" s="5" t="s">
        <v>355</v>
      </c>
    </row>
    <row r="29721" ht="16.5" customHeight="1">
      <c r="O29721" s="5" t="s">
        <v>355</v>
      </c>
      <c r="P29721" s="5" t="s">
        <v>355</v>
      </c>
      <c r="Q29721" s="5" t="s">
        <v>355</v>
      </c>
    </row>
    <row r="29722" ht="16.5" customHeight="1">
      <c r="O29722" s="5" t="s">
        <v>355</v>
      </c>
      <c r="P29722" s="5" t="s">
        <v>355</v>
      </c>
      <c r="Q29722" s="5" t="s">
        <v>355</v>
      </c>
    </row>
    <row r="29723" ht="16.5" customHeight="1">
      <c r="O29723" s="5" t="s">
        <v>355</v>
      </c>
      <c r="P29723" s="5" t="s">
        <v>355</v>
      </c>
      <c r="Q29723" s="5" t="s">
        <v>355</v>
      </c>
    </row>
    <row r="29724" ht="16.5" customHeight="1">
      <c r="O29724" s="5" t="s">
        <v>355</v>
      </c>
      <c r="P29724" s="5" t="s">
        <v>355</v>
      </c>
      <c r="Q29724" s="5" t="s">
        <v>355</v>
      </c>
    </row>
    <row r="29725" ht="16.5" customHeight="1">
      <c r="O29725" s="5" t="s">
        <v>355</v>
      </c>
      <c r="P29725" s="5" t="s">
        <v>355</v>
      </c>
      <c r="Q29725" s="5" t="s">
        <v>355</v>
      </c>
    </row>
    <row r="29726" ht="16.5" customHeight="1">
      <c r="O29726" s="5" t="s">
        <v>355</v>
      </c>
      <c r="P29726" s="5" t="s">
        <v>355</v>
      </c>
      <c r="Q29726" s="5" t="s">
        <v>355</v>
      </c>
    </row>
    <row r="29727" ht="16.5" customHeight="1">
      <c r="O29727" s="5" t="s">
        <v>355</v>
      </c>
      <c r="P29727" s="5" t="s">
        <v>355</v>
      </c>
      <c r="Q29727" s="5" t="s">
        <v>355</v>
      </c>
    </row>
    <row r="29728" ht="16.5" customHeight="1">
      <c r="O29728" s="5" t="s">
        <v>355</v>
      </c>
      <c r="P29728" s="5" t="s">
        <v>355</v>
      </c>
      <c r="Q29728" s="5" t="s">
        <v>355</v>
      </c>
    </row>
    <row r="29729" ht="16.5" customHeight="1">
      <c r="O29729" s="5" t="s">
        <v>355</v>
      </c>
      <c r="P29729" s="5" t="s">
        <v>355</v>
      </c>
      <c r="Q29729" s="5" t="s">
        <v>355</v>
      </c>
    </row>
    <row r="29730" ht="16.5" customHeight="1">
      <c r="O29730" s="5" t="s">
        <v>355</v>
      </c>
      <c r="P29730" s="5" t="s">
        <v>355</v>
      </c>
      <c r="Q29730" s="5" t="s">
        <v>355</v>
      </c>
    </row>
    <row r="29731" ht="16.5" customHeight="1">
      <c r="O29731" s="5" t="s">
        <v>355</v>
      </c>
      <c r="P29731" s="5" t="s">
        <v>355</v>
      </c>
      <c r="Q29731" s="5" t="s">
        <v>355</v>
      </c>
    </row>
    <row r="29732" ht="16.5" customHeight="1">
      <c r="O29732" s="5" t="s">
        <v>355</v>
      </c>
      <c r="P29732" s="5" t="s">
        <v>355</v>
      </c>
      <c r="Q29732" s="5" t="s">
        <v>355</v>
      </c>
    </row>
    <row r="29733" ht="16.5" customHeight="1">
      <c r="O29733" s="5" t="s">
        <v>355</v>
      </c>
      <c r="P29733" s="5" t="s">
        <v>355</v>
      </c>
      <c r="Q29733" s="5" t="s">
        <v>355</v>
      </c>
    </row>
    <row r="29734" ht="16.5" customHeight="1">
      <c r="O29734" s="5" t="s">
        <v>355</v>
      </c>
      <c r="P29734" s="5" t="s">
        <v>355</v>
      </c>
      <c r="Q29734" s="5" t="s">
        <v>355</v>
      </c>
    </row>
    <row r="29735" ht="16.5" customHeight="1">
      <c r="O29735" s="5" t="s">
        <v>355</v>
      </c>
      <c r="P29735" s="5" t="s">
        <v>355</v>
      </c>
      <c r="Q29735" s="5" t="s">
        <v>355</v>
      </c>
    </row>
    <row r="29736" ht="16.5" customHeight="1">
      <c r="O29736" s="5" t="s">
        <v>355</v>
      </c>
      <c r="P29736" s="5" t="s">
        <v>355</v>
      </c>
      <c r="Q29736" s="5" t="s">
        <v>355</v>
      </c>
    </row>
    <row r="29737" ht="16.5" customHeight="1">
      <c r="O29737" s="5" t="s">
        <v>355</v>
      </c>
      <c r="P29737" s="5" t="s">
        <v>355</v>
      </c>
      <c r="Q29737" s="5" t="s">
        <v>355</v>
      </c>
    </row>
    <row r="29738" ht="16.5" customHeight="1">
      <c r="O29738" s="5" t="s">
        <v>355</v>
      </c>
      <c r="P29738" s="5" t="s">
        <v>355</v>
      </c>
      <c r="Q29738" s="5" t="s">
        <v>355</v>
      </c>
    </row>
    <row r="29739" ht="16.5" customHeight="1">
      <c r="O29739" s="5" t="s">
        <v>355</v>
      </c>
      <c r="P29739" s="5" t="s">
        <v>355</v>
      </c>
      <c r="Q29739" s="5" t="s">
        <v>355</v>
      </c>
    </row>
    <row r="29740" ht="16.5" customHeight="1">
      <c r="O29740" s="5" t="s">
        <v>355</v>
      </c>
      <c r="P29740" s="5" t="s">
        <v>355</v>
      </c>
      <c r="Q29740" s="5" t="s">
        <v>355</v>
      </c>
    </row>
    <row r="29741" ht="16.5" customHeight="1">
      <c r="O29741" s="5" t="s">
        <v>355</v>
      </c>
      <c r="P29741" s="5" t="s">
        <v>355</v>
      </c>
      <c r="Q29741" s="5" t="s">
        <v>355</v>
      </c>
    </row>
    <row r="29742" ht="16.5" customHeight="1">
      <c r="O29742" s="5" t="s">
        <v>355</v>
      </c>
      <c r="P29742" s="5" t="s">
        <v>355</v>
      </c>
      <c r="Q29742" s="5" t="s">
        <v>355</v>
      </c>
    </row>
    <row r="29743" ht="16.5" customHeight="1">
      <c r="O29743" s="5" t="s">
        <v>355</v>
      </c>
      <c r="P29743" s="5" t="s">
        <v>355</v>
      </c>
      <c r="Q29743" s="5" t="s">
        <v>355</v>
      </c>
    </row>
    <row r="29744" ht="16.5" customHeight="1">
      <c r="O29744" s="5" t="s">
        <v>355</v>
      </c>
      <c r="P29744" s="5" t="s">
        <v>355</v>
      </c>
      <c r="Q29744" s="5" t="s">
        <v>355</v>
      </c>
    </row>
    <row r="29745" ht="16.5" customHeight="1">
      <c r="O29745" s="5" t="s">
        <v>355</v>
      </c>
      <c r="P29745" s="5" t="s">
        <v>355</v>
      </c>
      <c r="Q29745" s="5" t="s">
        <v>355</v>
      </c>
    </row>
    <row r="29746" ht="16.5" customHeight="1">
      <c r="O29746" s="5" t="s">
        <v>355</v>
      </c>
      <c r="P29746" s="5" t="s">
        <v>355</v>
      </c>
      <c r="Q29746" s="5" t="s">
        <v>355</v>
      </c>
    </row>
    <row r="29747" ht="16.5" customHeight="1">
      <c r="O29747" s="5" t="s">
        <v>355</v>
      </c>
      <c r="P29747" s="5" t="s">
        <v>355</v>
      </c>
      <c r="Q29747" s="5" t="s">
        <v>355</v>
      </c>
    </row>
    <row r="29748" ht="16.5" customHeight="1">
      <c r="O29748" s="5" t="s">
        <v>355</v>
      </c>
      <c r="P29748" s="5" t="s">
        <v>355</v>
      </c>
      <c r="Q29748" s="5" t="s">
        <v>355</v>
      </c>
    </row>
    <row r="29749" ht="16.5" customHeight="1">
      <c r="O29749" s="5" t="s">
        <v>355</v>
      </c>
      <c r="P29749" s="5" t="s">
        <v>355</v>
      </c>
      <c r="Q29749" s="5" t="s">
        <v>355</v>
      </c>
    </row>
    <row r="29750" ht="16.5" customHeight="1">
      <c r="O29750" s="5" t="s">
        <v>355</v>
      </c>
      <c r="P29750" s="5" t="s">
        <v>355</v>
      </c>
      <c r="Q29750" s="5" t="s">
        <v>355</v>
      </c>
    </row>
    <row r="29751" ht="16.5" customHeight="1">
      <c r="O29751" s="5" t="s">
        <v>355</v>
      </c>
      <c r="P29751" s="5" t="s">
        <v>355</v>
      </c>
      <c r="Q29751" s="5" t="s">
        <v>355</v>
      </c>
    </row>
    <row r="29752" ht="16.5" customHeight="1">
      <c r="O29752" s="5" t="s">
        <v>355</v>
      </c>
      <c r="P29752" s="5" t="s">
        <v>355</v>
      </c>
      <c r="Q29752" s="5" t="s">
        <v>355</v>
      </c>
    </row>
    <row r="29753" ht="16.5" customHeight="1">
      <c r="O29753" s="5" t="s">
        <v>355</v>
      </c>
      <c r="P29753" s="5" t="s">
        <v>355</v>
      </c>
      <c r="Q29753" s="5" t="s">
        <v>355</v>
      </c>
    </row>
    <row r="29754" ht="16.5" customHeight="1">
      <c r="O29754" s="5" t="s">
        <v>355</v>
      </c>
      <c r="P29754" s="5" t="s">
        <v>355</v>
      </c>
      <c r="Q29754" s="5" t="s">
        <v>355</v>
      </c>
    </row>
    <row r="29755" ht="16.5" customHeight="1">
      <c r="O29755" s="5" t="s">
        <v>355</v>
      </c>
      <c r="P29755" s="5" t="s">
        <v>355</v>
      </c>
      <c r="Q29755" s="5" t="s">
        <v>355</v>
      </c>
    </row>
    <row r="29756" ht="16.5" customHeight="1">
      <c r="O29756" s="5" t="s">
        <v>355</v>
      </c>
      <c r="P29756" s="5" t="s">
        <v>355</v>
      </c>
      <c r="Q29756" s="5" t="s">
        <v>355</v>
      </c>
    </row>
    <row r="29757" ht="16.5" customHeight="1">
      <c r="O29757" s="5" t="s">
        <v>355</v>
      </c>
      <c r="P29757" s="5" t="s">
        <v>355</v>
      </c>
      <c r="Q29757" s="5" t="s">
        <v>355</v>
      </c>
    </row>
    <row r="29758" ht="16.5" customHeight="1">
      <c r="O29758" s="5" t="s">
        <v>355</v>
      </c>
      <c r="P29758" s="5" t="s">
        <v>355</v>
      </c>
      <c r="Q29758" s="5" t="s">
        <v>355</v>
      </c>
    </row>
    <row r="29759" ht="16.5" customHeight="1">
      <c r="O29759" s="5" t="s">
        <v>355</v>
      </c>
      <c r="P29759" s="5" t="s">
        <v>355</v>
      </c>
      <c r="Q29759" s="5" t="s">
        <v>355</v>
      </c>
    </row>
    <row r="29760" ht="16.5" customHeight="1">
      <c r="O29760" s="5" t="s">
        <v>355</v>
      </c>
      <c r="P29760" s="5" t="s">
        <v>355</v>
      </c>
      <c r="Q29760" s="5" t="s">
        <v>355</v>
      </c>
    </row>
    <row r="29761" ht="16.5" customHeight="1">
      <c r="O29761" s="5" t="s">
        <v>355</v>
      </c>
      <c r="P29761" s="5" t="s">
        <v>355</v>
      </c>
      <c r="Q29761" s="5" t="s">
        <v>355</v>
      </c>
    </row>
    <row r="29762" ht="16.5" customHeight="1">
      <c r="O29762" s="5" t="s">
        <v>355</v>
      </c>
      <c r="P29762" s="5" t="s">
        <v>355</v>
      </c>
      <c r="Q29762" s="5" t="s">
        <v>355</v>
      </c>
    </row>
    <row r="29763" ht="16.5" customHeight="1">
      <c r="O29763" s="5" t="s">
        <v>355</v>
      </c>
      <c r="P29763" s="5" t="s">
        <v>355</v>
      </c>
      <c r="Q29763" s="5" t="s">
        <v>355</v>
      </c>
    </row>
    <row r="29764" ht="16.5" customHeight="1">
      <c r="O29764" s="5" t="s">
        <v>355</v>
      </c>
      <c r="P29764" s="5" t="s">
        <v>355</v>
      </c>
      <c r="Q29764" s="5" t="s">
        <v>355</v>
      </c>
    </row>
    <row r="29765" ht="16.5" customHeight="1">
      <c r="O29765" s="5" t="s">
        <v>355</v>
      </c>
      <c r="P29765" s="5" t="s">
        <v>355</v>
      </c>
      <c r="Q29765" s="5" t="s">
        <v>355</v>
      </c>
    </row>
    <row r="29766" ht="16.5" customHeight="1">
      <c r="O29766" s="5" t="s">
        <v>355</v>
      </c>
      <c r="P29766" s="5" t="s">
        <v>355</v>
      </c>
      <c r="Q29766" s="5" t="s">
        <v>355</v>
      </c>
    </row>
    <row r="29767" ht="16.5" customHeight="1">
      <c r="O29767" s="5" t="s">
        <v>355</v>
      </c>
      <c r="P29767" s="5" t="s">
        <v>355</v>
      </c>
      <c r="Q29767" s="5" t="s">
        <v>355</v>
      </c>
    </row>
    <row r="29768" ht="16.5" customHeight="1">
      <c r="O29768" s="5" t="s">
        <v>355</v>
      </c>
      <c r="P29768" s="5" t="s">
        <v>355</v>
      </c>
      <c r="Q29768" s="5" t="s">
        <v>355</v>
      </c>
    </row>
    <row r="29769" ht="16.5" customHeight="1">
      <c r="O29769" s="5" t="s">
        <v>355</v>
      </c>
      <c r="P29769" s="5" t="s">
        <v>355</v>
      </c>
      <c r="Q29769" s="5" t="s">
        <v>355</v>
      </c>
    </row>
    <row r="29770" ht="16.5" customHeight="1">
      <c r="O29770" s="5" t="s">
        <v>355</v>
      </c>
      <c r="P29770" s="5" t="s">
        <v>355</v>
      </c>
      <c r="Q29770" s="5" t="s">
        <v>355</v>
      </c>
    </row>
    <row r="29771" ht="16.5" customHeight="1">
      <c r="O29771" s="5" t="s">
        <v>355</v>
      </c>
      <c r="P29771" s="5" t="s">
        <v>355</v>
      </c>
      <c r="Q29771" s="5" t="s">
        <v>355</v>
      </c>
    </row>
    <row r="29772" ht="16.5" customHeight="1">
      <c r="O29772" s="5" t="s">
        <v>355</v>
      </c>
      <c r="P29772" s="5" t="s">
        <v>355</v>
      </c>
      <c r="Q29772" s="5" t="s">
        <v>355</v>
      </c>
    </row>
    <row r="29773" ht="16.5" customHeight="1">
      <c r="O29773" s="5" t="s">
        <v>355</v>
      </c>
      <c r="P29773" s="5" t="s">
        <v>355</v>
      </c>
      <c r="Q29773" s="5" t="s">
        <v>355</v>
      </c>
    </row>
    <row r="29774" ht="16.5" customHeight="1">
      <c r="O29774" s="5" t="s">
        <v>355</v>
      </c>
      <c r="P29774" s="5" t="s">
        <v>355</v>
      </c>
      <c r="Q29774" s="5" t="s">
        <v>355</v>
      </c>
    </row>
    <row r="29775" ht="16.5" customHeight="1">
      <c r="O29775" s="5" t="s">
        <v>355</v>
      </c>
      <c r="P29775" s="5" t="s">
        <v>355</v>
      </c>
      <c r="Q29775" s="5" t="s">
        <v>355</v>
      </c>
    </row>
    <row r="29776" ht="16.5" customHeight="1">
      <c r="O29776" s="5" t="s">
        <v>355</v>
      </c>
      <c r="P29776" s="5" t="s">
        <v>355</v>
      </c>
      <c r="Q29776" s="5" t="s">
        <v>355</v>
      </c>
    </row>
    <row r="29777" ht="16.5" customHeight="1">
      <c r="O29777" s="5" t="s">
        <v>355</v>
      </c>
      <c r="P29777" s="5" t="s">
        <v>355</v>
      </c>
      <c r="Q29777" s="5" t="s">
        <v>355</v>
      </c>
    </row>
    <row r="29778" ht="16.5" customHeight="1">
      <c r="O29778" s="5" t="s">
        <v>355</v>
      </c>
      <c r="P29778" s="5" t="s">
        <v>355</v>
      </c>
      <c r="Q29778" s="5" t="s">
        <v>355</v>
      </c>
    </row>
    <row r="29779" ht="16.5" customHeight="1">
      <c r="O29779" s="5" t="s">
        <v>355</v>
      </c>
      <c r="P29779" s="5" t="s">
        <v>355</v>
      </c>
      <c r="Q29779" s="5" t="s">
        <v>355</v>
      </c>
    </row>
    <row r="29780" ht="16.5" customHeight="1">
      <c r="O29780" s="5" t="s">
        <v>355</v>
      </c>
      <c r="P29780" s="5" t="s">
        <v>355</v>
      </c>
      <c r="Q29780" s="5" t="s">
        <v>355</v>
      </c>
    </row>
    <row r="29781" ht="16.5" customHeight="1">
      <c r="O29781" s="5" t="s">
        <v>355</v>
      </c>
      <c r="P29781" s="5" t="s">
        <v>355</v>
      </c>
      <c r="Q29781" s="5" t="s">
        <v>355</v>
      </c>
    </row>
    <row r="29782" ht="16.5" customHeight="1">
      <c r="O29782" s="5" t="s">
        <v>355</v>
      </c>
      <c r="P29782" s="5" t="s">
        <v>355</v>
      </c>
      <c r="Q29782" s="5" t="s">
        <v>355</v>
      </c>
    </row>
    <row r="29783" ht="16.5" customHeight="1">
      <c r="O29783" s="5" t="s">
        <v>355</v>
      </c>
      <c r="P29783" s="5" t="s">
        <v>355</v>
      </c>
      <c r="Q29783" s="5" t="s">
        <v>355</v>
      </c>
    </row>
    <row r="29784" ht="16.5" customHeight="1">
      <c r="O29784" s="5" t="s">
        <v>355</v>
      </c>
      <c r="P29784" s="5" t="s">
        <v>355</v>
      </c>
      <c r="Q29784" s="5" t="s">
        <v>355</v>
      </c>
    </row>
    <row r="29785" ht="16.5" customHeight="1">
      <c r="O29785" s="5" t="s">
        <v>355</v>
      </c>
      <c r="P29785" s="5" t="s">
        <v>355</v>
      </c>
      <c r="Q29785" s="5" t="s">
        <v>355</v>
      </c>
    </row>
    <row r="29786" ht="16.5" customHeight="1">
      <c r="O29786" s="5" t="s">
        <v>355</v>
      </c>
      <c r="P29786" s="5" t="s">
        <v>355</v>
      </c>
      <c r="Q29786" s="5" t="s">
        <v>355</v>
      </c>
    </row>
    <row r="29787" ht="16.5" customHeight="1">
      <c r="O29787" s="5" t="s">
        <v>355</v>
      </c>
      <c r="P29787" s="5" t="s">
        <v>355</v>
      </c>
      <c r="Q29787" s="5" t="s">
        <v>355</v>
      </c>
    </row>
    <row r="29788" ht="16.5" customHeight="1">
      <c r="O29788" s="5" t="s">
        <v>355</v>
      </c>
      <c r="P29788" s="5" t="s">
        <v>355</v>
      </c>
      <c r="Q29788" s="5" t="s">
        <v>355</v>
      </c>
    </row>
    <row r="29789" ht="16.5" customHeight="1">
      <c r="O29789" s="5" t="s">
        <v>355</v>
      </c>
      <c r="P29789" s="5" t="s">
        <v>355</v>
      </c>
      <c r="Q29789" s="5" t="s">
        <v>355</v>
      </c>
    </row>
    <row r="29790" ht="16.5" customHeight="1">
      <c r="O29790" s="5" t="s">
        <v>355</v>
      </c>
      <c r="P29790" s="5" t="s">
        <v>355</v>
      </c>
      <c r="Q29790" s="5" t="s">
        <v>355</v>
      </c>
    </row>
    <row r="29791" ht="16.5" customHeight="1">
      <c r="O29791" s="5" t="s">
        <v>355</v>
      </c>
      <c r="P29791" s="5" t="s">
        <v>355</v>
      </c>
      <c r="Q29791" s="5" t="s">
        <v>355</v>
      </c>
    </row>
    <row r="29792" ht="16.5" customHeight="1">
      <c r="O29792" s="5" t="s">
        <v>355</v>
      </c>
      <c r="P29792" s="5" t="s">
        <v>355</v>
      </c>
      <c r="Q29792" s="5" t="s">
        <v>355</v>
      </c>
    </row>
    <row r="29793" ht="16.5" customHeight="1">
      <c r="O29793" s="5" t="s">
        <v>355</v>
      </c>
      <c r="P29793" s="5" t="s">
        <v>355</v>
      </c>
      <c r="Q29793" s="5" t="s">
        <v>355</v>
      </c>
    </row>
    <row r="29794" ht="16.5" customHeight="1">
      <c r="O29794" s="5" t="s">
        <v>355</v>
      </c>
      <c r="P29794" s="5" t="s">
        <v>355</v>
      </c>
      <c r="Q29794" s="5" t="s">
        <v>355</v>
      </c>
    </row>
    <row r="29795" ht="16.5" customHeight="1">
      <c r="O29795" s="5" t="s">
        <v>355</v>
      </c>
      <c r="P29795" s="5" t="s">
        <v>355</v>
      </c>
      <c r="Q29795" s="5" t="s">
        <v>355</v>
      </c>
    </row>
    <row r="29796" ht="16.5" customHeight="1">
      <c r="O29796" s="5" t="s">
        <v>355</v>
      </c>
      <c r="P29796" s="5" t="s">
        <v>355</v>
      </c>
      <c r="Q29796" s="5" t="s">
        <v>355</v>
      </c>
    </row>
    <row r="29797" ht="16.5" customHeight="1">
      <c r="O29797" s="5" t="s">
        <v>355</v>
      </c>
      <c r="P29797" s="5" t="s">
        <v>355</v>
      </c>
      <c r="Q29797" s="5" t="s">
        <v>355</v>
      </c>
    </row>
    <row r="29798" ht="16.5" customHeight="1">
      <c r="O29798" s="5" t="s">
        <v>355</v>
      </c>
      <c r="P29798" s="5" t="s">
        <v>355</v>
      </c>
      <c r="Q29798" s="5" t="s">
        <v>355</v>
      </c>
    </row>
    <row r="29799" ht="16.5" customHeight="1">
      <c r="O29799" s="5" t="s">
        <v>355</v>
      </c>
      <c r="P29799" s="5" t="s">
        <v>355</v>
      </c>
      <c r="Q29799" s="5" t="s">
        <v>355</v>
      </c>
    </row>
    <row r="29800" ht="16.5" customHeight="1">
      <c r="O29800" s="5" t="s">
        <v>355</v>
      </c>
      <c r="P29800" s="5" t="s">
        <v>355</v>
      </c>
      <c r="Q29800" s="5" t="s">
        <v>355</v>
      </c>
    </row>
    <row r="29801" ht="16.5" customHeight="1">
      <c r="O29801" s="5" t="s">
        <v>355</v>
      </c>
      <c r="P29801" s="5" t="s">
        <v>355</v>
      </c>
      <c r="Q29801" s="5" t="s">
        <v>355</v>
      </c>
    </row>
    <row r="29802" ht="16.5" customHeight="1">
      <c r="O29802" s="5" t="s">
        <v>355</v>
      </c>
      <c r="P29802" s="5" t="s">
        <v>355</v>
      </c>
      <c r="Q29802" s="5" t="s">
        <v>355</v>
      </c>
    </row>
    <row r="29803" ht="16.5" customHeight="1">
      <c r="O29803" s="5" t="s">
        <v>355</v>
      </c>
      <c r="P29803" s="5" t="s">
        <v>355</v>
      </c>
      <c r="Q29803" s="5" t="s">
        <v>355</v>
      </c>
    </row>
    <row r="29804" ht="16.5" customHeight="1">
      <c r="O29804" s="5" t="s">
        <v>355</v>
      </c>
      <c r="P29804" s="5" t="s">
        <v>355</v>
      </c>
      <c r="Q29804" s="5" t="s">
        <v>355</v>
      </c>
    </row>
    <row r="29805" ht="16.5" customHeight="1">
      <c r="O29805" s="5" t="s">
        <v>355</v>
      </c>
      <c r="P29805" s="5" t="s">
        <v>355</v>
      </c>
      <c r="Q29805" s="5" t="s">
        <v>355</v>
      </c>
    </row>
    <row r="29806" ht="16.5" customHeight="1">
      <c r="O29806" s="5" t="s">
        <v>355</v>
      </c>
      <c r="P29806" s="5" t="s">
        <v>355</v>
      </c>
      <c r="Q29806" s="5" t="s">
        <v>355</v>
      </c>
    </row>
    <row r="29807" ht="16.5" customHeight="1">
      <c r="O29807" s="5" t="s">
        <v>355</v>
      </c>
      <c r="P29807" s="5" t="s">
        <v>355</v>
      </c>
      <c r="Q29807" s="5" t="s">
        <v>355</v>
      </c>
    </row>
    <row r="29808" ht="16.5" customHeight="1">
      <c r="O29808" s="5" t="s">
        <v>355</v>
      </c>
      <c r="P29808" s="5" t="s">
        <v>355</v>
      </c>
      <c r="Q29808" s="5" t="s">
        <v>355</v>
      </c>
    </row>
    <row r="29809" ht="16.5" customHeight="1">
      <c r="O29809" s="5" t="s">
        <v>355</v>
      </c>
      <c r="P29809" s="5" t="s">
        <v>355</v>
      </c>
      <c r="Q29809" s="5" t="s">
        <v>355</v>
      </c>
    </row>
    <row r="29810" ht="16.5" customHeight="1">
      <c r="O29810" s="5" t="s">
        <v>355</v>
      </c>
      <c r="P29810" s="5" t="s">
        <v>355</v>
      </c>
      <c r="Q29810" s="5" t="s">
        <v>355</v>
      </c>
    </row>
    <row r="29811" ht="16.5" customHeight="1">
      <c r="O29811" s="5" t="s">
        <v>355</v>
      </c>
      <c r="P29811" s="5" t="s">
        <v>355</v>
      </c>
      <c r="Q29811" s="5" t="s">
        <v>355</v>
      </c>
    </row>
    <row r="29812" ht="16.5" customHeight="1">
      <c r="O29812" s="5" t="s">
        <v>355</v>
      </c>
      <c r="P29812" s="5" t="s">
        <v>355</v>
      </c>
      <c r="Q29812" s="5" t="s">
        <v>355</v>
      </c>
    </row>
    <row r="29813" ht="16.5" customHeight="1">
      <c r="O29813" s="5" t="s">
        <v>355</v>
      </c>
      <c r="P29813" s="5" t="s">
        <v>355</v>
      </c>
      <c r="Q29813" s="5" t="s">
        <v>355</v>
      </c>
    </row>
    <row r="29814" ht="16.5" customHeight="1">
      <c r="O29814" s="5" t="s">
        <v>355</v>
      </c>
      <c r="P29814" s="5" t="s">
        <v>355</v>
      </c>
      <c r="Q29814" s="5" t="s">
        <v>355</v>
      </c>
    </row>
    <row r="29815" ht="16.5" customHeight="1">
      <c r="O29815" s="5" t="s">
        <v>355</v>
      </c>
      <c r="P29815" s="5" t="s">
        <v>355</v>
      </c>
      <c r="Q29815" s="5" t="s">
        <v>355</v>
      </c>
    </row>
    <row r="29816" ht="16.5" customHeight="1">
      <c r="O29816" s="5" t="s">
        <v>355</v>
      </c>
      <c r="P29816" s="5" t="s">
        <v>355</v>
      </c>
      <c r="Q29816" s="5" t="s">
        <v>355</v>
      </c>
    </row>
    <row r="29817" ht="16.5" customHeight="1">
      <c r="O29817" s="5" t="s">
        <v>355</v>
      </c>
      <c r="P29817" s="5" t="s">
        <v>355</v>
      </c>
      <c r="Q29817" s="5" t="s">
        <v>355</v>
      </c>
    </row>
    <row r="29818" ht="16.5" customHeight="1">
      <c r="O29818" s="5" t="s">
        <v>355</v>
      </c>
      <c r="P29818" s="5" t="s">
        <v>355</v>
      </c>
      <c r="Q29818" s="5" t="s">
        <v>355</v>
      </c>
    </row>
    <row r="29819" ht="16.5" customHeight="1">
      <c r="O29819" s="5" t="s">
        <v>355</v>
      </c>
      <c r="P29819" s="5" t="s">
        <v>355</v>
      </c>
      <c r="Q29819" s="5" t="s">
        <v>355</v>
      </c>
    </row>
    <row r="29820" ht="16.5" customHeight="1">
      <c r="O29820" s="5" t="s">
        <v>355</v>
      </c>
      <c r="P29820" s="5" t="s">
        <v>355</v>
      </c>
      <c r="Q29820" s="5" t="s">
        <v>355</v>
      </c>
    </row>
    <row r="29821" ht="16.5" customHeight="1">
      <c r="O29821" s="5" t="s">
        <v>355</v>
      </c>
      <c r="P29821" s="5" t="s">
        <v>355</v>
      </c>
      <c r="Q29821" s="5" t="s">
        <v>355</v>
      </c>
    </row>
    <row r="29822" ht="16.5" customHeight="1">
      <c r="O29822" s="5" t="s">
        <v>355</v>
      </c>
      <c r="P29822" s="5" t="s">
        <v>355</v>
      </c>
      <c r="Q29822" s="5" t="s">
        <v>355</v>
      </c>
    </row>
    <row r="29823" ht="16.5" customHeight="1">
      <c r="O29823" s="5" t="s">
        <v>355</v>
      </c>
      <c r="P29823" s="5" t="s">
        <v>355</v>
      </c>
      <c r="Q29823" s="5" t="s">
        <v>355</v>
      </c>
    </row>
    <row r="29824" ht="16.5" customHeight="1">
      <c r="O29824" s="5" t="s">
        <v>355</v>
      </c>
      <c r="P29824" s="5" t="s">
        <v>355</v>
      </c>
      <c r="Q29824" s="5" t="s">
        <v>355</v>
      </c>
    </row>
    <row r="29825" ht="16.5" customHeight="1">
      <c r="O29825" s="5" t="s">
        <v>355</v>
      </c>
      <c r="P29825" s="5" t="s">
        <v>355</v>
      </c>
      <c r="Q29825" s="5" t="s">
        <v>355</v>
      </c>
    </row>
    <row r="29826" ht="16.5" customHeight="1">
      <c r="O29826" s="5" t="s">
        <v>355</v>
      </c>
      <c r="P29826" s="5" t="s">
        <v>355</v>
      </c>
      <c r="Q29826" s="5" t="s">
        <v>355</v>
      </c>
    </row>
    <row r="29827" ht="16.5" customHeight="1">
      <c r="O29827" s="5" t="s">
        <v>355</v>
      </c>
      <c r="P29827" s="5" t="s">
        <v>355</v>
      </c>
      <c r="Q29827" s="5" t="s">
        <v>355</v>
      </c>
    </row>
    <row r="29828" ht="16.5" customHeight="1">
      <c r="O29828" s="5" t="s">
        <v>355</v>
      </c>
      <c r="P29828" s="5" t="s">
        <v>355</v>
      </c>
      <c r="Q29828" s="5" t="s">
        <v>355</v>
      </c>
    </row>
    <row r="29829" ht="16.5" customHeight="1">
      <c r="O29829" s="5" t="s">
        <v>355</v>
      </c>
      <c r="P29829" s="5" t="s">
        <v>355</v>
      </c>
      <c r="Q29829" s="5" t="s">
        <v>355</v>
      </c>
    </row>
    <row r="29830" ht="16.5" customHeight="1">
      <c r="O29830" s="5" t="s">
        <v>355</v>
      </c>
      <c r="P29830" s="5" t="s">
        <v>355</v>
      </c>
      <c r="Q29830" s="5" t="s">
        <v>355</v>
      </c>
    </row>
    <row r="29831" ht="16.5" customHeight="1">
      <c r="O29831" s="5" t="s">
        <v>355</v>
      </c>
      <c r="P29831" s="5" t="s">
        <v>355</v>
      </c>
      <c r="Q29831" s="5" t="s">
        <v>355</v>
      </c>
    </row>
    <row r="29832" ht="16.5" customHeight="1">
      <c r="O29832" s="5" t="s">
        <v>355</v>
      </c>
      <c r="P29832" s="5" t="s">
        <v>355</v>
      </c>
      <c r="Q29832" s="5" t="s">
        <v>355</v>
      </c>
    </row>
    <row r="29833" ht="16.5" customHeight="1">
      <c r="O29833" s="5" t="s">
        <v>355</v>
      </c>
      <c r="P29833" s="5" t="s">
        <v>355</v>
      </c>
      <c r="Q29833" s="5" t="s">
        <v>355</v>
      </c>
    </row>
    <row r="29834" ht="16.5" customHeight="1">
      <c r="O29834" s="5" t="s">
        <v>355</v>
      </c>
      <c r="P29834" s="5" t="s">
        <v>355</v>
      </c>
      <c r="Q29834" s="5" t="s">
        <v>355</v>
      </c>
    </row>
    <row r="29835" ht="16.5" customHeight="1">
      <c r="O29835" s="5" t="s">
        <v>355</v>
      </c>
      <c r="P29835" s="5" t="s">
        <v>355</v>
      </c>
      <c r="Q29835" s="5" t="s">
        <v>355</v>
      </c>
    </row>
    <row r="29836" ht="16.5" customHeight="1">
      <c r="O29836" s="5" t="s">
        <v>355</v>
      </c>
      <c r="P29836" s="5" t="s">
        <v>355</v>
      </c>
      <c r="Q29836" s="5" t="s">
        <v>355</v>
      </c>
    </row>
    <row r="29837" ht="16.5" customHeight="1">
      <c r="O29837" s="5" t="s">
        <v>355</v>
      </c>
      <c r="P29837" s="5" t="s">
        <v>355</v>
      </c>
      <c r="Q29837" s="5" t="s">
        <v>355</v>
      </c>
    </row>
    <row r="29838" ht="16.5" customHeight="1">
      <c r="O29838" s="5" t="s">
        <v>355</v>
      </c>
      <c r="P29838" s="5" t="s">
        <v>355</v>
      </c>
      <c r="Q29838" s="5" t="s">
        <v>355</v>
      </c>
    </row>
    <row r="29839" ht="16.5" customHeight="1">
      <c r="O29839" s="5" t="s">
        <v>355</v>
      </c>
      <c r="P29839" s="5" t="s">
        <v>355</v>
      </c>
      <c r="Q29839" s="5" t="s">
        <v>355</v>
      </c>
    </row>
    <row r="29840" ht="16.5" customHeight="1">
      <c r="O29840" s="5" t="s">
        <v>355</v>
      </c>
      <c r="P29840" s="5" t="s">
        <v>355</v>
      </c>
      <c r="Q29840" s="5" t="s">
        <v>355</v>
      </c>
    </row>
    <row r="29841" ht="16.5" customHeight="1">
      <c r="O29841" s="5" t="s">
        <v>355</v>
      </c>
      <c r="P29841" s="5" t="s">
        <v>355</v>
      </c>
      <c r="Q29841" s="5" t="s">
        <v>355</v>
      </c>
    </row>
    <row r="29842" ht="16.5" customHeight="1">
      <c r="O29842" s="5" t="s">
        <v>355</v>
      </c>
      <c r="P29842" s="5" t="s">
        <v>355</v>
      </c>
      <c r="Q29842" s="5" t="s">
        <v>355</v>
      </c>
    </row>
    <row r="29843" ht="16.5" customHeight="1">
      <c r="O29843" s="5" t="s">
        <v>355</v>
      </c>
      <c r="P29843" s="5" t="s">
        <v>355</v>
      </c>
      <c r="Q29843" s="5" t="s">
        <v>355</v>
      </c>
    </row>
    <row r="29844" ht="16.5" customHeight="1">
      <c r="O29844" s="5" t="s">
        <v>355</v>
      </c>
      <c r="P29844" s="5" t="s">
        <v>355</v>
      </c>
      <c r="Q29844" s="5" t="s">
        <v>355</v>
      </c>
    </row>
    <row r="29845" ht="16.5" customHeight="1">
      <c r="O29845" s="5" t="s">
        <v>355</v>
      </c>
      <c r="P29845" s="5" t="s">
        <v>355</v>
      </c>
      <c r="Q29845" s="5" t="s">
        <v>355</v>
      </c>
    </row>
    <row r="29846" ht="16.5" customHeight="1">
      <c r="O29846" s="5" t="s">
        <v>355</v>
      </c>
      <c r="P29846" s="5" t="s">
        <v>355</v>
      </c>
      <c r="Q29846" s="5" t="s">
        <v>355</v>
      </c>
    </row>
    <row r="29847" ht="16.5" customHeight="1">
      <c r="O29847" s="5" t="s">
        <v>355</v>
      </c>
      <c r="P29847" s="5" t="s">
        <v>355</v>
      </c>
      <c r="Q29847" s="5" t="s">
        <v>355</v>
      </c>
    </row>
    <row r="29848" ht="16.5" customHeight="1">
      <c r="O29848" s="5" t="s">
        <v>355</v>
      </c>
      <c r="P29848" s="5" t="s">
        <v>355</v>
      </c>
      <c r="Q29848" s="5" t="s">
        <v>355</v>
      </c>
    </row>
    <row r="29849" ht="16.5" customHeight="1">
      <c r="O29849" s="5" t="s">
        <v>355</v>
      </c>
      <c r="P29849" s="5" t="s">
        <v>355</v>
      </c>
      <c r="Q29849" s="5" t="s">
        <v>355</v>
      </c>
    </row>
    <row r="29850" ht="16.5" customHeight="1">
      <c r="O29850" s="5" t="s">
        <v>355</v>
      </c>
      <c r="P29850" s="5" t="s">
        <v>355</v>
      </c>
      <c r="Q29850" s="5" t="s">
        <v>355</v>
      </c>
    </row>
    <row r="29851" ht="16.5" customHeight="1">
      <c r="O29851" s="5" t="s">
        <v>355</v>
      </c>
      <c r="P29851" s="5" t="s">
        <v>355</v>
      </c>
      <c r="Q29851" s="5" t="s">
        <v>355</v>
      </c>
    </row>
    <row r="29852" ht="16.5" customHeight="1">
      <c r="O29852" s="5" t="s">
        <v>355</v>
      </c>
      <c r="P29852" s="5" t="s">
        <v>355</v>
      </c>
      <c r="Q29852" s="5" t="s">
        <v>355</v>
      </c>
    </row>
    <row r="29853" ht="16.5" customHeight="1">
      <c r="O29853" s="5" t="s">
        <v>355</v>
      </c>
      <c r="P29853" s="5" t="s">
        <v>355</v>
      </c>
      <c r="Q29853" s="5" t="s">
        <v>355</v>
      </c>
    </row>
    <row r="29854" ht="16.5" customHeight="1">
      <c r="O29854" s="5" t="s">
        <v>355</v>
      </c>
      <c r="P29854" s="5" t="s">
        <v>355</v>
      </c>
      <c r="Q29854" s="5" t="s">
        <v>355</v>
      </c>
    </row>
    <row r="29855" ht="16.5" customHeight="1">
      <c r="O29855" s="5" t="s">
        <v>355</v>
      </c>
      <c r="P29855" s="5" t="s">
        <v>355</v>
      </c>
      <c r="Q29855" s="5" t="s">
        <v>355</v>
      </c>
    </row>
    <row r="29856" ht="16.5" customHeight="1">
      <c r="O29856" s="5" t="s">
        <v>355</v>
      </c>
      <c r="P29856" s="5" t="s">
        <v>355</v>
      </c>
      <c r="Q29856" s="5" t="s">
        <v>355</v>
      </c>
    </row>
    <row r="29857" ht="16.5" customHeight="1">
      <c r="O29857" s="5" t="s">
        <v>355</v>
      </c>
      <c r="P29857" s="5" t="s">
        <v>355</v>
      </c>
      <c r="Q29857" s="5" t="s">
        <v>355</v>
      </c>
    </row>
    <row r="29858" ht="16.5" customHeight="1">
      <c r="O29858" s="5" t="s">
        <v>355</v>
      </c>
      <c r="P29858" s="5" t="s">
        <v>355</v>
      </c>
      <c r="Q29858" s="5" t="s">
        <v>355</v>
      </c>
    </row>
    <row r="29859" ht="16.5" customHeight="1">
      <c r="O29859" s="5" t="s">
        <v>355</v>
      </c>
      <c r="P29859" s="5" t="s">
        <v>355</v>
      </c>
      <c r="Q29859" s="5" t="s">
        <v>355</v>
      </c>
    </row>
    <row r="29860" ht="16.5" customHeight="1">
      <c r="O29860" s="5" t="s">
        <v>355</v>
      </c>
      <c r="P29860" s="5" t="s">
        <v>355</v>
      </c>
      <c r="Q29860" s="5" t="s">
        <v>355</v>
      </c>
    </row>
    <row r="29861" ht="16.5" customHeight="1">
      <c r="O29861" s="5" t="s">
        <v>355</v>
      </c>
      <c r="P29861" s="5" t="s">
        <v>355</v>
      </c>
      <c r="Q29861" s="5" t="s">
        <v>355</v>
      </c>
    </row>
    <row r="29862" ht="16.5" customHeight="1">
      <c r="O29862" s="5" t="s">
        <v>355</v>
      </c>
      <c r="P29862" s="5" t="s">
        <v>355</v>
      </c>
      <c r="Q29862" s="5" t="s">
        <v>355</v>
      </c>
    </row>
    <row r="29863" ht="16.5" customHeight="1">
      <c r="O29863" s="5" t="s">
        <v>355</v>
      </c>
      <c r="P29863" s="5" t="s">
        <v>355</v>
      </c>
      <c r="Q29863" s="5" t="s">
        <v>355</v>
      </c>
    </row>
    <row r="29864" ht="16.5" customHeight="1">
      <c r="O29864" s="5" t="s">
        <v>355</v>
      </c>
      <c r="P29864" s="5" t="s">
        <v>355</v>
      </c>
      <c r="Q29864" s="5" t="s">
        <v>355</v>
      </c>
    </row>
    <row r="29865" ht="16.5" customHeight="1">
      <c r="O29865" s="5" t="s">
        <v>355</v>
      </c>
      <c r="P29865" s="5" t="s">
        <v>355</v>
      </c>
      <c r="Q29865" s="5" t="s">
        <v>355</v>
      </c>
    </row>
    <row r="29866" ht="16.5" customHeight="1">
      <c r="O29866" s="5" t="s">
        <v>355</v>
      </c>
      <c r="P29866" s="5" t="s">
        <v>355</v>
      </c>
      <c r="Q29866" s="5" t="s">
        <v>355</v>
      </c>
    </row>
    <row r="29867" ht="16.5" customHeight="1">
      <c r="O29867" s="5" t="s">
        <v>355</v>
      </c>
      <c r="P29867" s="5" t="s">
        <v>355</v>
      </c>
      <c r="Q29867" s="5" t="s">
        <v>355</v>
      </c>
    </row>
    <row r="29868" ht="16.5" customHeight="1">
      <c r="O29868" s="5" t="s">
        <v>355</v>
      </c>
      <c r="P29868" s="5" t="s">
        <v>355</v>
      </c>
      <c r="Q29868" s="5" t="s">
        <v>355</v>
      </c>
    </row>
    <row r="29869" ht="16.5" customHeight="1">
      <c r="O29869" s="5" t="s">
        <v>355</v>
      </c>
      <c r="P29869" s="5" t="s">
        <v>355</v>
      </c>
      <c r="Q29869" s="5" t="s">
        <v>355</v>
      </c>
    </row>
    <row r="29870" ht="16.5" customHeight="1">
      <c r="O29870" s="5" t="s">
        <v>355</v>
      </c>
      <c r="P29870" s="5" t="s">
        <v>355</v>
      </c>
      <c r="Q29870" s="5" t="s">
        <v>355</v>
      </c>
    </row>
    <row r="29871" ht="16.5" customHeight="1">
      <c r="O29871" s="5" t="s">
        <v>355</v>
      </c>
      <c r="P29871" s="5" t="s">
        <v>355</v>
      </c>
      <c r="Q29871" s="5" t="s">
        <v>355</v>
      </c>
    </row>
    <row r="29872" ht="16.5" customHeight="1">
      <c r="O29872" s="5" t="s">
        <v>355</v>
      </c>
      <c r="P29872" s="5" t="s">
        <v>355</v>
      </c>
      <c r="Q29872" s="5" t="s">
        <v>355</v>
      </c>
    </row>
    <row r="29873" ht="16.5" customHeight="1">
      <c r="O29873" s="5" t="s">
        <v>355</v>
      </c>
      <c r="P29873" s="5" t="s">
        <v>355</v>
      </c>
      <c r="Q29873" s="5" t="s">
        <v>355</v>
      </c>
    </row>
    <row r="29874" ht="16.5" customHeight="1">
      <c r="O29874" s="5" t="s">
        <v>355</v>
      </c>
      <c r="P29874" s="5" t="s">
        <v>355</v>
      </c>
      <c r="Q29874" s="5" t="s">
        <v>355</v>
      </c>
    </row>
    <row r="29875" ht="16.5" customHeight="1">
      <c r="O29875" s="5" t="s">
        <v>355</v>
      </c>
      <c r="P29875" s="5" t="s">
        <v>355</v>
      </c>
      <c r="Q29875" s="5" t="s">
        <v>355</v>
      </c>
    </row>
    <row r="29876" ht="16.5" customHeight="1">
      <c r="O29876" s="5" t="s">
        <v>355</v>
      </c>
      <c r="P29876" s="5" t="s">
        <v>355</v>
      </c>
      <c r="Q29876" s="5" t="s">
        <v>355</v>
      </c>
    </row>
    <row r="29877" ht="16.5" customHeight="1">
      <c r="O29877" s="5" t="s">
        <v>355</v>
      </c>
      <c r="P29877" s="5" t="s">
        <v>355</v>
      </c>
      <c r="Q29877" s="5" t="s">
        <v>355</v>
      </c>
    </row>
    <row r="29878" ht="16.5" customHeight="1">
      <c r="O29878" s="5" t="s">
        <v>355</v>
      </c>
      <c r="P29878" s="5" t="s">
        <v>355</v>
      </c>
      <c r="Q29878" s="5" t="s">
        <v>355</v>
      </c>
    </row>
    <row r="29879" ht="16.5" customHeight="1">
      <c r="O29879" s="5" t="s">
        <v>355</v>
      </c>
      <c r="P29879" s="5" t="s">
        <v>355</v>
      </c>
      <c r="Q29879" s="5" t="s">
        <v>355</v>
      </c>
    </row>
    <row r="29880" ht="16.5" customHeight="1">
      <c r="O29880" s="5" t="s">
        <v>355</v>
      </c>
      <c r="P29880" s="5" t="s">
        <v>355</v>
      </c>
      <c r="Q29880" s="5" t="s">
        <v>355</v>
      </c>
    </row>
    <row r="29881" ht="16.5" customHeight="1">
      <c r="O29881" s="5" t="s">
        <v>355</v>
      </c>
      <c r="P29881" s="5" t="s">
        <v>355</v>
      </c>
      <c r="Q29881" s="5" t="s">
        <v>355</v>
      </c>
    </row>
    <row r="29882" ht="16.5" customHeight="1">
      <c r="O29882" s="5" t="s">
        <v>355</v>
      </c>
      <c r="P29882" s="5" t="s">
        <v>355</v>
      </c>
      <c r="Q29882" s="5" t="s">
        <v>355</v>
      </c>
    </row>
    <row r="29883" ht="16.5" customHeight="1">
      <c r="O29883" s="5" t="s">
        <v>355</v>
      </c>
      <c r="P29883" s="5" t="s">
        <v>355</v>
      </c>
      <c r="Q29883" s="5" t="s">
        <v>355</v>
      </c>
    </row>
    <row r="29884" ht="16.5" customHeight="1">
      <c r="O29884" s="5" t="s">
        <v>355</v>
      </c>
      <c r="P29884" s="5" t="s">
        <v>355</v>
      </c>
      <c r="Q29884" s="5" t="s">
        <v>355</v>
      </c>
    </row>
    <row r="29885" ht="16.5" customHeight="1">
      <c r="O29885" s="5" t="s">
        <v>355</v>
      </c>
      <c r="P29885" s="5" t="s">
        <v>355</v>
      </c>
      <c r="Q29885" s="5" t="s">
        <v>355</v>
      </c>
    </row>
    <row r="29886" ht="16.5" customHeight="1">
      <c r="O29886" s="5" t="s">
        <v>355</v>
      </c>
      <c r="P29886" s="5" t="s">
        <v>355</v>
      </c>
      <c r="Q29886" s="5" t="s">
        <v>355</v>
      </c>
    </row>
    <row r="29887" ht="16.5" customHeight="1">
      <c r="O29887" s="5" t="s">
        <v>355</v>
      </c>
      <c r="P29887" s="5" t="s">
        <v>355</v>
      </c>
      <c r="Q29887" s="5" t="s">
        <v>355</v>
      </c>
    </row>
    <row r="29888" ht="16.5" customHeight="1">
      <c r="O29888" s="5" t="s">
        <v>355</v>
      </c>
      <c r="P29888" s="5" t="s">
        <v>355</v>
      </c>
      <c r="Q29888" s="5" t="s">
        <v>355</v>
      </c>
    </row>
    <row r="29889" ht="16.5" customHeight="1">
      <c r="O29889" s="5" t="s">
        <v>355</v>
      </c>
      <c r="P29889" s="5" t="s">
        <v>355</v>
      </c>
      <c r="Q29889" s="5" t="s">
        <v>355</v>
      </c>
    </row>
    <row r="29890" ht="16.5" customHeight="1">
      <c r="O29890" s="5" t="s">
        <v>355</v>
      </c>
      <c r="P29890" s="5" t="s">
        <v>355</v>
      </c>
      <c r="Q29890" s="5" t="s">
        <v>355</v>
      </c>
    </row>
    <row r="29891" ht="16.5" customHeight="1">
      <c r="O29891" s="5" t="s">
        <v>355</v>
      </c>
      <c r="P29891" s="5" t="s">
        <v>355</v>
      </c>
      <c r="Q29891" s="5" t="s">
        <v>355</v>
      </c>
    </row>
    <row r="29892" ht="16.5" customHeight="1">
      <c r="O29892" s="5" t="s">
        <v>355</v>
      </c>
      <c r="P29892" s="5" t="s">
        <v>355</v>
      </c>
      <c r="Q29892" s="5" t="s">
        <v>355</v>
      </c>
    </row>
    <row r="29893" ht="16.5" customHeight="1">
      <c r="O29893" s="5" t="s">
        <v>355</v>
      </c>
      <c r="P29893" s="5" t="s">
        <v>355</v>
      </c>
      <c r="Q29893" s="5" t="s">
        <v>355</v>
      </c>
    </row>
    <row r="29894" ht="16.5" customHeight="1">
      <c r="O29894" s="5" t="s">
        <v>355</v>
      </c>
      <c r="P29894" s="5" t="s">
        <v>355</v>
      </c>
      <c r="Q29894" s="5" t="s">
        <v>355</v>
      </c>
    </row>
    <row r="29895" ht="16.5" customHeight="1">
      <c r="O29895" s="5" t="s">
        <v>355</v>
      </c>
      <c r="P29895" s="5" t="s">
        <v>355</v>
      </c>
      <c r="Q29895" s="5" t="s">
        <v>355</v>
      </c>
    </row>
    <row r="29896" ht="16.5" customHeight="1">
      <c r="O29896" s="5" t="s">
        <v>355</v>
      </c>
      <c r="P29896" s="5" t="s">
        <v>355</v>
      </c>
      <c r="Q29896" s="5" t="s">
        <v>355</v>
      </c>
    </row>
    <row r="29897" ht="16.5" customHeight="1">
      <c r="O29897" s="5" t="s">
        <v>355</v>
      </c>
      <c r="P29897" s="5" t="s">
        <v>355</v>
      </c>
      <c r="Q29897" s="5" t="s">
        <v>355</v>
      </c>
    </row>
    <row r="29898" ht="16.5" customHeight="1">
      <c r="O29898" s="5" t="s">
        <v>355</v>
      </c>
      <c r="P29898" s="5" t="s">
        <v>355</v>
      </c>
      <c r="Q29898" s="5" t="s">
        <v>355</v>
      </c>
    </row>
    <row r="29899" ht="16.5" customHeight="1">
      <c r="O29899" s="5" t="s">
        <v>355</v>
      </c>
      <c r="P29899" s="5" t="s">
        <v>355</v>
      </c>
      <c r="Q29899" s="5" t="s">
        <v>355</v>
      </c>
    </row>
    <row r="29900" ht="16.5" customHeight="1">
      <c r="O29900" s="5" t="s">
        <v>355</v>
      </c>
      <c r="P29900" s="5" t="s">
        <v>355</v>
      </c>
      <c r="Q29900" s="5" t="s">
        <v>355</v>
      </c>
    </row>
    <row r="29901" ht="16.5" customHeight="1">
      <c r="O29901" s="5" t="s">
        <v>355</v>
      </c>
      <c r="P29901" s="5" t="s">
        <v>355</v>
      </c>
      <c r="Q29901" s="5" t="s">
        <v>355</v>
      </c>
    </row>
    <row r="29902" ht="16.5" customHeight="1">
      <c r="O29902" s="5" t="s">
        <v>355</v>
      </c>
      <c r="P29902" s="5" t="s">
        <v>355</v>
      </c>
      <c r="Q29902" s="5" t="s">
        <v>355</v>
      </c>
    </row>
    <row r="29903" ht="16.5" customHeight="1">
      <c r="O29903" s="5" t="s">
        <v>355</v>
      </c>
      <c r="P29903" s="5" t="s">
        <v>355</v>
      </c>
      <c r="Q29903" s="5" t="s">
        <v>355</v>
      </c>
    </row>
    <row r="29904" ht="16.5" customHeight="1">
      <c r="O29904" s="5" t="s">
        <v>355</v>
      </c>
      <c r="P29904" s="5" t="s">
        <v>355</v>
      </c>
      <c r="Q29904" s="5" t="s">
        <v>355</v>
      </c>
    </row>
    <row r="29905" ht="16.5" customHeight="1">
      <c r="O29905" s="5" t="s">
        <v>355</v>
      </c>
      <c r="P29905" s="5" t="s">
        <v>355</v>
      </c>
      <c r="Q29905" s="5" t="s">
        <v>355</v>
      </c>
    </row>
    <row r="29906" ht="16.5" customHeight="1">
      <c r="O29906" s="5" t="s">
        <v>355</v>
      </c>
      <c r="P29906" s="5" t="s">
        <v>355</v>
      </c>
      <c r="Q29906" s="5" t="s">
        <v>355</v>
      </c>
    </row>
    <row r="29907" ht="16.5" customHeight="1">
      <c r="O29907" s="5" t="s">
        <v>355</v>
      </c>
      <c r="P29907" s="5" t="s">
        <v>355</v>
      </c>
      <c r="Q29907" s="5" t="s">
        <v>355</v>
      </c>
    </row>
    <row r="29908" ht="16.5" customHeight="1">
      <c r="O29908" s="5" t="s">
        <v>355</v>
      </c>
      <c r="P29908" s="5" t="s">
        <v>355</v>
      </c>
      <c r="Q29908" s="5" t="s">
        <v>355</v>
      </c>
    </row>
    <row r="29909" ht="16.5" customHeight="1">
      <c r="O29909" s="5" t="s">
        <v>355</v>
      </c>
      <c r="P29909" s="5" t="s">
        <v>355</v>
      </c>
      <c r="Q29909" s="5" t="s">
        <v>355</v>
      </c>
    </row>
    <row r="29910" ht="16.5" customHeight="1">
      <c r="O29910" s="5" t="s">
        <v>355</v>
      </c>
      <c r="P29910" s="5" t="s">
        <v>355</v>
      </c>
      <c r="Q29910" s="5" t="s">
        <v>355</v>
      </c>
    </row>
    <row r="29911" ht="16.5" customHeight="1">
      <c r="O29911" s="5" t="s">
        <v>355</v>
      </c>
      <c r="P29911" s="5" t="s">
        <v>355</v>
      </c>
      <c r="Q29911" s="5" t="s">
        <v>355</v>
      </c>
    </row>
    <row r="29912" ht="16.5" customHeight="1">
      <c r="O29912" s="5" t="s">
        <v>355</v>
      </c>
      <c r="P29912" s="5" t="s">
        <v>355</v>
      </c>
      <c r="Q29912" s="5" t="s">
        <v>355</v>
      </c>
    </row>
    <row r="29913" ht="16.5" customHeight="1">
      <c r="O29913" s="5" t="s">
        <v>355</v>
      </c>
      <c r="P29913" s="5" t="s">
        <v>355</v>
      </c>
      <c r="Q29913" s="5" t="s">
        <v>355</v>
      </c>
    </row>
    <row r="29914" ht="16.5" customHeight="1">
      <c r="O29914" s="5" t="s">
        <v>355</v>
      </c>
      <c r="P29914" s="5" t="s">
        <v>355</v>
      </c>
      <c r="Q29914" s="5" t="s">
        <v>355</v>
      </c>
    </row>
    <row r="29915" ht="16.5" customHeight="1">
      <c r="O29915" s="5" t="s">
        <v>355</v>
      </c>
      <c r="P29915" s="5" t="s">
        <v>355</v>
      </c>
      <c r="Q29915" s="5" t="s">
        <v>355</v>
      </c>
    </row>
    <row r="29916" ht="16.5" customHeight="1">
      <c r="O29916" s="5" t="s">
        <v>355</v>
      </c>
      <c r="P29916" s="5" t="s">
        <v>355</v>
      </c>
      <c r="Q29916" s="5" t="s">
        <v>355</v>
      </c>
    </row>
    <row r="29917" ht="16.5" customHeight="1">
      <c r="O29917" s="5" t="s">
        <v>355</v>
      </c>
      <c r="P29917" s="5" t="s">
        <v>355</v>
      </c>
      <c r="Q29917" s="5" t="s">
        <v>355</v>
      </c>
    </row>
    <row r="29918" ht="16.5" customHeight="1">
      <c r="O29918" s="5" t="s">
        <v>355</v>
      </c>
      <c r="P29918" s="5" t="s">
        <v>355</v>
      </c>
      <c r="Q29918" s="5" t="s">
        <v>355</v>
      </c>
    </row>
    <row r="29919" ht="16.5" customHeight="1">
      <c r="O29919" s="5" t="s">
        <v>355</v>
      </c>
      <c r="P29919" s="5" t="s">
        <v>355</v>
      </c>
      <c r="Q29919" s="5" t="s">
        <v>355</v>
      </c>
    </row>
    <row r="29920" ht="16.5" customHeight="1">
      <c r="O29920" s="5" t="s">
        <v>355</v>
      </c>
      <c r="P29920" s="5" t="s">
        <v>355</v>
      </c>
      <c r="Q29920" s="5" t="s">
        <v>355</v>
      </c>
    </row>
    <row r="29921" ht="16.5" customHeight="1">
      <c r="O29921" s="5" t="s">
        <v>355</v>
      </c>
      <c r="P29921" s="5" t="s">
        <v>355</v>
      </c>
      <c r="Q29921" s="5" t="s">
        <v>355</v>
      </c>
    </row>
    <row r="29922" ht="16.5" customHeight="1">
      <c r="O29922" s="5" t="s">
        <v>355</v>
      </c>
      <c r="P29922" s="5" t="s">
        <v>355</v>
      </c>
      <c r="Q29922" s="5" t="s">
        <v>355</v>
      </c>
    </row>
    <row r="29923" ht="16.5" customHeight="1">
      <c r="O29923" s="5" t="s">
        <v>355</v>
      </c>
      <c r="P29923" s="5" t="s">
        <v>355</v>
      </c>
      <c r="Q29923" s="5" t="s">
        <v>355</v>
      </c>
    </row>
    <row r="29924" ht="16.5" customHeight="1">
      <c r="O29924" s="5" t="s">
        <v>355</v>
      </c>
      <c r="P29924" s="5" t="s">
        <v>355</v>
      </c>
      <c r="Q29924" s="5" t="s">
        <v>355</v>
      </c>
    </row>
    <row r="29925" ht="16.5" customHeight="1">
      <c r="O29925" s="5" t="s">
        <v>355</v>
      </c>
      <c r="P29925" s="5" t="s">
        <v>355</v>
      </c>
      <c r="Q29925" s="5" t="s">
        <v>355</v>
      </c>
    </row>
    <row r="29926" ht="16.5" customHeight="1">
      <c r="O29926" s="5" t="s">
        <v>355</v>
      </c>
      <c r="P29926" s="5" t="s">
        <v>355</v>
      </c>
      <c r="Q29926" s="5" t="s">
        <v>355</v>
      </c>
    </row>
    <row r="29927" ht="16.5" customHeight="1">
      <c r="O29927" s="5" t="s">
        <v>355</v>
      </c>
      <c r="P29927" s="5" t="s">
        <v>355</v>
      </c>
      <c r="Q29927" s="5" t="s">
        <v>355</v>
      </c>
    </row>
    <row r="29928" ht="16.5" customHeight="1">
      <c r="O29928" s="5" t="s">
        <v>355</v>
      </c>
      <c r="P29928" s="5" t="s">
        <v>355</v>
      </c>
      <c r="Q29928" s="5" t="s">
        <v>355</v>
      </c>
    </row>
    <row r="29929" ht="16.5" customHeight="1">
      <c r="O29929" s="5" t="s">
        <v>355</v>
      </c>
      <c r="P29929" s="5" t="s">
        <v>355</v>
      </c>
      <c r="Q29929" s="5" t="s">
        <v>355</v>
      </c>
    </row>
    <row r="29930" ht="16.5" customHeight="1">
      <c r="O29930" s="5" t="s">
        <v>355</v>
      </c>
      <c r="P29930" s="5" t="s">
        <v>355</v>
      </c>
      <c r="Q29930" s="5" t="s">
        <v>355</v>
      </c>
    </row>
    <row r="29931" ht="16.5" customHeight="1">
      <c r="O29931" s="5" t="s">
        <v>355</v>
      </c>
      <c r="P29931" s="5" t="s">
        <v>355</v>
      </c>
      <c r="Q29931" s="5" t="s">
        <v>355</v>
      </c>
    </row>
    <row r="29932" ht="16.5" customHeight="1">
      <c r="O29932" s="5" t="s">
        <v>355</v>
      </c>
      <c r="P29932" s="5" t="s">
        <v>355</v>
      </c>
      <c r="Q29932" s="5" t="s">
        <v>355</v>
      </c>
    </row>
    <row r="29933" ht="16.5" customHeight="1">
      <c r="O29933" s="5" t="s">
        <v>355</v>
      </c>
      <c r="P29933" s="5" t="s">
        <v>355</v>
      </c>
      <c r="Q29933" s="5" t="s">
        <v>355</v>
      </c>
    </row>
    <row r="29934" ht="16.5" customHeight="1">
      <c r="O29934" s="5" t="s">
        <v>355</v>
      </c>
      <c r="P29934" s="5" t="s">
        <v>355</v>
      </c>
      <c r="Q29934" s="5" t="s">
        <v>355</v>
      </c>
    </row>
    <row r="29935" ht="16.5" customHeight="1">
      <c r="O29935" s="5" t="s">
        <v>355</v>
      </c>
      <c r="P29935" s="5" t="s">
        <v>355</v>
      </c>
      <c r="Q29935" s="5" t="s">
        <v>355</v>
      </c>
    </row>
    <row r="29936" ht="16.5" customHeight="1">
      <c r="O29936" s="5" t="s">
        <v>355</v>
      </c>
      <c r="P29936" s="5" t="s">
        <v>355</v>
      </c>
      <c r="Q29936" s="5" t="s">
        <v>355</v>
      </c>
    </row>
    <row r="29937" ht="16.5" customHeight="1">
      <c r="O29937" s="5" t="s">
        <v>355</v>
      </c>
      <c r="P29937" s="5" t="s">
        <v>355</v>
      </c>
      <c r="Q29937" s="5" t="s">
        <v>355</v>
      </c>
    </row>
    <row r="29938" ht="16.5" customHeight="1">
      <c r="O29938" s="5" t="s">
        <v>355</v>
      </c>
      <c r="P29938" s="5" t="s">
        <v>355</v>
      </c>
      <c r="Q29938" s="5" t="s">
        <v>355</v>
      </c>
    </row>
    <row r="29939" ht="16.5" customHeight="1">
      <c r="O29939" s="5" t="s">
        <v>355</v>
      </c>
      <c r="P29939" s="5" t="s">
        <v>355</v>
      </c>
      <c r="Q29939" s="5" t="s">
        <v>355</v>
      </c>
    </row>
    <row r="29940" ht="16.5" customHeight="1">
      <c r="O29940" s="5" t="s">
        <v>355</v>
      </c>
      <c r="P29940" s="5" t="s">
        <v>355</v>
      </c>
      <c r="Q29940" s="5" t="s">
        <v>355</v>
      </c>
    </row>
    <row r="29941" ht="16.5" customHeight="1">
      <c r="O29941" s="5" t="s">
        <v>355</v>
      </c>
      <c r="P29941" s="5" t="s">
        <v>355</v>
      </c>
      <c r="Q29941" s="5" t="s">
        <v>355</v>
      </c>
    </row>
    <row r="29942" ht="16.5" customHeight="1">
      <c r="O29942" s="5" t="s">
        <v>355</v>
      </c>
      <c r="P29942" s="5" t="s">
        <v>355</v>
      </c>
      <c r="Q29942" s="5" t="s">
        <v>355</v>
      </c>
    </row>
    <row r="29943" ht="16.5" customHeight="1">
      <c r="O29943" s="5" t="s">
        <v>355</v>
      </c>
      <c r="P29943" s="5" t="s">
        <v>355</v>
      </c>
      <c r="Q29943" s="5" t="s">
        <v>355</v>
      </c>
    </row>
    <row r="29944" ht="16.5" customHeight="1">
      <c r="O29944" s="5" t="s">
        <v>355</v>
      </c>
      <c r="P29944" s="5" t="s">
        <v>355</v>
      </c>
      <c r="Q29944" s="5" t="s">
        <v>355</v>
      </c>
    </row>
    <row r="29945" ht="16.5" customHeight="1">
      <c r="O29945" s="5" t="s">
        <v>355</v>
      </c>
      <c r="P29945" s="5" t="s">
        <v>355</v>
      </c>
      <c r="Q29945" s="5" t="s">
        <v>355</v>
      </c>
    </row>
    <row r="29946" ht="16.5" customHeight="1">
      <c r="O29946" s="5" t="s">
        <v>355</v>
      </c>
      <c r="P29946" s="5" t="s">
        <v>355</v>
      </c>
      <c r="Q29946" s="5" t="s">
        <v>355</v>
      </c>
    </row>
    <row r="29947" ht="16.5" customHeight="1">
      <c r="O29947" s="5" t="s">
        <v>355</v>
      </c>
      <c r="P29947" s="5" t="s">
        <v>355</v>
      </c>
      <c r="Q29947" s="5" t="s">
        <v>355</v>
      </c>
    </row>
    <row r="29948" ht="16.5" customHeight="1">
      <c r="O29948" s="5" t="s">
        <v>355</v>
      </c>
      <c r="P29948" s="5" t="s">
        <v>355</v>
      </c>
      <c r="Q29948" s="5" t="s">
        <v>355</v>
      </c>
    </row>
    <row r="29949" ht="16.5" customHeight="1">
      <c r="O29949" s="5" t="s">
        <v>355</v>
      </c>
      <c r="P29949" s="5" t="s">
        <v>355</v>
      </c>
      <c r="Q29949" s="5" t="s">
        <v>355</v>
      </c>
    </row>
    <row r="29950" ht="16.5" customHeight="1">
      <c r="O29950" s="5" t="s">
        <v>355</v>
      </c>
      <c r="P29950" s="5" t="s">
        <v>355</v>
      </c>
      <c r="Q29950" s="5" t="s">
        <v>355</v>
      </c>
    </row>
    <row r="29951" ht="16.5" customHeight="1">
      <c r="O29951" s="5" t="s">
        <v>355</v>
      </c>
      <c r="P29951" s="5" t="s">
        <v>355</v>
      </c>
      <c r="Q29951" s="5" t="s">
        <v>355</v>
      </c>
    </row>
    <row r="29952" ht="16.5" customHeight="1">
      <c r="O29952" s="5" t="s">
        <v>355</v>
      </c>
      <c r="P29952" s="5" t="s">
        <v>355</v>
      </c>
      <c r="Q29952" s="5" t="s">
        <v>355</v>
      </c>
    </row>
    <row r="29953" ht="16.5" customHeight="1">
      <c r="O29953" s="5" t="s">
        <v>355</v>
      </c>
      <c r="P29953" s="5" t="s">
        <v>355</v>
      </c>
      <c r="Q29953" s="5" t="s">
        <v>355</v>
      </c>
    </row>
    <row r="29954" ht="16.5" customHeight="1">
      <c r="O29954" s="5" t="s">
        <v>355</v>
      </c>
      <c r="P29954" s="5" t="s">
        <v>355</v>
      </c>
      <c r="Q29954" s="5" t="s">
        <v>355</v>
      </c>
    </row>
    <row r="29955" ht="16.5" customHeight="1">
      <c r="O29955" s="5" t="s">
        <v>355</v>
      </c>
      <c r="P29955" s="5" t="s">
        <v>355</v>
      </c>
      <c r="Q29955" s="5" t="s">
        <v>355</v>
      </c>
    </row>
    <row r="29956" ht="16.5" customHeight="1">
      <c r="O29956" s="5" t="s">
        <v>355</v>
      </c>
      <c r="P29956" s="5" t="s">
        <v>355</v>
      </c>
      <c r="Q29956" s="5" t="s">
        <v>355</v>
      </c>
    </row>
    <row r="29957" ht="16.5" customHeight="1">
      <c r="O29957" s="5" t="s">
        <v>355</v>
      </c>
      <c r="P29957" s="5" t="s">
        <v>355</v>
      </c>
      <c r="Q29957" s="5" t="s">
        <v>355</v>
      </c>
    </row>
    <row r="29958" ht="16.5" customHeight="1">
      <c r="O29958" s="5" t="s">
        <v>355</v>
      </c>
      <c r="P29958" s="5" t="s">
        <v>355</v>
      </c>
      <c r="Q29958" s="5" t="s">
        <v>355</v>
      </c>
    </row>
    <row r="29959" ht="16.5" customHeight="1">
      <c r="O29959" s="5" t="s">
        <v>355</v>
      </c>
      <c r="P29959" s="5" t="s">
        <v>355</v>
      </c>
      <c r="Q29959" s="5" t="s">
        <v>355</v>
      </c>
    </row>
    <row r="29960" ht="16.5" customHeight="1">
      <c r="O29960" s="5" t="s">
        <v>355</v>
      </c>
      <c r="P29960" s="5" t="s">
        <v>355</v>
      </c>
      <c r="Q29960" s="5" t="s">
        <v>355</v>
      </c>
    </row>
    <row r="29961" ht="16.5" customHeight="1">
      <c r="O29961" s="5" t="s">
        <v>355</v>
      </c>
      <c r="P29961" s="5" t="s">
        <v>355</v>
      </c>
      <c r="Q29961" s="5" t="s">
        <v>355</v>
      </c>
    </row>
    <row r="29962" ht="16.5" customHeight="1">
      <c r="O29962" s="5" t="s">
        <v>355</v>
      </c>
      <c r="P29962" s="5" t="s">
        <v>355</v>
      </c>
      <c r="Q29962" s="5" t="s">
        <v>355</v>
      </c>
    </row>
    <row r="29963" ht="16.5" customHeight="1">
      <c r="O29963" s="5" t="s">
        <v>355</v>
      </c>
      <c r="P29963" s="5" t="s">
        <v>355</v>
      </c>
      <c r="Q29963" s="5" t="s">
        <v>355</v>
      </c>
    </row>
    <row r="29964" ht="16.5" customHeight="1">
      <c r="O29964" s="5" t="s">
        <v>355</v>
      </c>
      <c r="P29964" s="5" t="s">
        <v>355</v>
      </c>
      <c r="Q29964" s="5" t="s">
        <v>355</v>
      </c>
    </row>
    <row r="29965" ht="16.5" customHeight="1">
      <c r="O29965" s="5" t="s">
        <v>355</v>
      </c>
      <c r="P29965" s="5" t="s">
        <v>355</v>
      </c>
      <c r="Q29965" s="5" t="s">
        <v>355</v>
      </c>
    </row>
    <row r="29966" ht="16.5" customHeight="1">
      <c r="O29966" s="5" t="s">
        <v>355</v>
      </c>
      <c r="P29966" s="5" t="s">
        <v>355</v>
      </c>
      <c r="Q29966" s="5" t="s">
        <v>355</v>
      </c>
    </row>
    <row r="29967" ht="16.5" customHeight="1">
      <c r="O29967" s="5" t="s">
        <v>355</v>
      </c>
      <c r="P29967" s="5" t="s">
        <v>355</v>
      </c>
      <c r="Q29967" s="5" t="s">
        <v>355</v>
      </c>
    </row>
    <row r="29968" ht="16.5" customHeight="1">
      <c r="O29968" s="5" t="s">
        <v>355</v>
      </c>
      <c r="P29968" s="5" t="s">
        <v>355</v>
      </c>
      <c r="Q29968" s="5" t="s">
        <v>355</v>
      </c>
    </row>
    <row r="29969" ht="16.5" customHeight="1">
      <c r="O29969" s="5" t="s">
        <v>355</v>
      </c>
      <c r="P29969" s="5" t="s">
        <v>355</v>
      </c>
      <c r="Q29969" s="5" t="s">
        <v>355</v>
      </c>
    </row>
    <row r="29970" ht="16.5" customHeight="1">
      <c r="O29970" s="5" t="s">
        <v>355</v>
      </c>
      <c r="P29970" s="5" t="s">
        <v>355</v>
      </c>
      <c r="Q29970" s="5" t="s">
        <v>355</v>
      </c>
    </row>
    <row r="29971" ht="16.5" customHeight="1">
      <c r="O29971" s="5" t="s">
        <v>355</v>
      </c>
      <c r="P29971" s="5" t="s">
        <v>355</v>
      </c>
      <c r="Q29971" s="5" t="s">
        <v>355</v>
      </c>
    </row>
    <row r="29972" ht="16.5" customHeight="1">
      <c r="O29972" s="5" t="s">
        <v>355</v>
      </c>
      <c r="P29972" s="5" t="s">
        <v>355</v>
      </c>
      <c r="Q29972" s="5" t="s">
        <v>355</v>
      </c>
    </row>
    <row r="29973" ht="16.5" customHeight="1">
      <c r="O29973" s="5" t="s">
        <v>355</v>
      </c>
      <c r="P29973" s="5" t="s">
        <v>355</v>
      </c>
      <c r="Q29973" s="5" t="s">
        <v>355</v>
      </c>
    </row>
    <row r="29974" ht="16.5" customHeight="1">
      <c r="O29974" s="5" t="s">
        <v>355</v>
      </c>
      <c r="P29974" s="5" t="s">
        <v>355</v>
      </c>
      <c r="Q29974" s="5" t="s">
        <v>355</v>
      </c>
    </row>
    <row r="29975" ht="16.5" customHeight="1">
      <c r="O29975" s="5" t="s">
        <v>355</v>
      </c>
      <c r="P29975" s="5" t="s">
        <v>355</v>
      </c>
      <c r="Q29975" s="5" t="s">
        <v>355</v>
      </c>
    </row>
    <row r="29976" ht="16.5" customHeight="1">
      <c r="O29976" s="5" t="s">
        <v>355</v>
      </c>
      <c r="P29976" s="5" t="s">
        <v>355</v>
      </c>
      <c r="Q29976" s="5" t="s">
        <v>355</v>
      </c>
    </row>
    <row r="29977" ht="16.5" customHeight="1">
      <c r="O29977" s="5" t="s">
        <v>355</v>
      </c>
      <c r="P29977" s="5" t="s">
        <v>355</v>
      </c>
      <c r="Q29977" s="5" t="s">
        <v>355</v>
      </c>
    </row>
    <row r="29978" ht="16.5" customHeight="1">
      <c r="O29978" s="5" t="s">
        <v>355</v>
      </c>
      <c r="P29978" s="5" t="s">
        <v>355</v>
      </c>
      <c r="Q29978" s="5" t="s">
        <v>355</v>
      </c>
    </row>
    <row r="29979" ht="16.5" customHeight="1">
      <c r="O29979" s="5" t="s">
        <v>355</v>
      </c>
      <c r="P29979" s="5" t="s">
        <v>355</v>
      </c>
      <c r="Q29979" s="5" t="s">
        <v>355</v>
      </c>
    </row>
    <row r="29980" ht="16.5" customHeight="1">
      <c r="O29980" s="5" t="s">
        <v>355</v>
      </c>
      <c r="P29980" s="5" t="s">
        <v>355</v>
      </c>
      <c r="Q29980" s="5" t="s">
        <v>355</v>
      </c>
    </row>
    <row r="29981" ht="16.5" customHeight="1">
      <c r="O29981" s="5" t="s">
        <v>355</v>
      </c>
      <c r="P29981" s="5" t="s">
        <v>355</v>
      </c>
      <c r="Q29981" s="5" t="s">
        <v>355</v>
      </c>
    </row>
    <row r="29982" ht="16.5" customHeight="1">
      <c r="O29982" s="5" t="s">
        <v>355</v>
      </c>
      <c r="P29982" s="5" t="s">
        <v>355</v>
      </c>
      <c r="Q29982" s="5" t="s">
        <v>355</v>
      </c>
    </row>
    <row r="29983" ht="16.5" customHeight="1">
      <c r="O29983" s="5" t="s">
        <v>355</v>
      </c>
      <c r="P29983" s="5" t="s">
        <v>355</v>
      </c>
      <c r="Q29983" s="5" t="s">
        <v>355</v>
      </c>
    </row>
    <row r="29984" ht="16.5" customHeight="1">
      <c r="O29984" s="5" t="s">
        <v>355</v>
      </c>
      <c r="P29984" s="5" t="s">
        <v>355</v>
      </c>
      <c r="Q29984" s="5" t="s">
        <v>355</v>
      </c>
    </row>
    <row r="29985" ht="16.5" customHeight="1">
      <c r="O29985" s="5" t="s">
        <v>355</v>
      </c>
      <c r="P29985" s="5" t="s">
        <v>355</v>
      </c>
      <c r="Q29985" s="5" t="s">
        <v>355</v>
      </c>
    </row>
    <row r="29986" ht="16.5" customHeight="1">
      <c r="O29986" s="5" t="s">
        <v>355</v>
      </c>
      <c r="P29986" s="5" t="s">
        <v>355</v>
      </c>
      <c r="Q29986" s="5" t="s">
        <v>355</v>
      </c>
    </row>
    <row r="29987" ht="16.5" customHeight="1">
      <c r="O29987" s="5" t="s">
        <v>355</v>
      </c>
      <c r="P29987" s="5" t="s">
        <v>355</v>
      </c>
      <c r="Q29987" s="5" t="s">
        <v>355</v>
      </c>
    </row>
    <row r="29988" ht="16.5" customHeight="1">
      <c r="O29988" s="5" t="s">
        <v>355</v>
      </c>
      <c r="P29988" s="5" t="s">
        <v>355</v>
      </c>
      <c r="Q29988" s="5" t="s">
        <v>355</v>
      </c>
    </row>
    <row r="29989" ht="16.5" customHeight="1">
      <c r="O29989" s="5" t="s">
        <v>355</v>
      </c>
      <c r="P29989" s="5" t="s">
        <v>355</v>
      </c>
      <c r="Q29989" s="5" t="s">
        <v>355</v>
      </c>
    </row>
    <row r="29990" ht="16.5" customHeight="1">
      <c r="O29990" s="5" t="s">
        <v>355</v>
      </c>
      <c r="P29990" s="5" t="s">
        <v>355</v>
      </c>
      <c r="Q29990" s="5" t="s">
        <v>355</v>
      </c>
    </row>
    <row r="29991" ht="16.5" customHeight="1">
      <c r="O29991" s="5" t="s">
        <v>355</v>
      </c>
      <c r="P29991" s="5" t="s">
        <v>355</v>
      </c>
      <c r="Q29991" s="5" t="s">
        <v>355</v>
      </c>
    </row>
    <row r="29992" ht="16.5" customHeight="1">
      <c r="O29992" s="5" t="s">
        <v>355</v>
      </c>
      <c r="P29992" s="5" t="s">
        <v>355</v>
      </c>
      <c r="Q29992" s="5" t="s">
        <v>355</v>
      </c>
    </row>
    <row r="29993" ht="16.5" customHeight="1">
      <c r="O29993" s="5" t="s">
        <v>355</v>
      </c>
      <c r="P29993" s="5" t="s">
        <v>355</v>
      </c>
      <c r="Q29993" s="5" t="s">
        <v>355</v>
      </c>
    </row>
    <row r="29994" ht="16.5" customHeight="1">
      <c r="O29994" s="5" t="s">
        <v>355</v>
      </c>
      <c r="P29994" s="5" t="s">
        <v>355</v>
      </c>
      <c r="Q29994" s="5" t="s">
        <v>355</v>
      </c>
    </row>
    <row r="29995" ht="16.5" customHeight="1">
      <c r="O29995" s="5" t="s">
        <v>355</v>
      </c>
      <c r="P29995" s="5" t="s">
        <v>355</v>
      </c>
      <c r="Q29995" s="5" t="s">
        <v>355</v>
      </c>
    </row>
    <row r="29996" ht="16.5" customHeight="1">
      <c r="O29996" s="5" t="s">
        <v>355</v>
      </c>
      <c r="P29996" s="5" t="s">
        <v>355</v>
      </c>
      <c r="Q29996" s="5" t="s">
        <v>355</v>
      </c>
    </row>
    <row r="29997" ht="16.5" customHeight="1">
      <c r="O29997" s="5" t="s">
        <v>355</v>
      </c>
      <c r="P29997" s="5" t="s">
        <v>355</v>
      </c>
      <c r="Q29997" s="5" t="s">
        <v>355</v>
      </c>
    </row>
    <row r="29998" ht="16.5" customHeight="1">
      <c r="O29998" s="5" t="s">
        <v>355</v>
      </c>
      <c r="P29998" s="5" t="s">
        <v>355</v>
      </c>
      <c r="Q29998" s="5" t="s">
        <v>355</v>
      </c>
    </row>
    <row r="29999" ht="16.5" customHeight="1">
      <c r="O29999" s="5" t="s">
        <v>355</v>
      </c>
      <c r="P29999" s="5" t="s">
        <v>355</v>
      </c>
      <c r="Q29999" s="5" t="s">
        <v>355</v>
      </c>
    </row>
    <row r="30000" ht="16.5" customHeight="1">
      <c r="O30000" s="5" t="s">
        <v>355</v>
      </c>
      <c r="P30000" s="5" t="s">
        <v>355</v>
      </c>
      <c r="Q30000" s="5" t="s">
        <v>355</v>
      </c>
    </row>
    <row r="30001" ht="16.5" customHeight="1">
      <c r="O30001" s="5" t="s">
        <v>355</v>
      </c>
      <c r="P30001" s="5" t="s">
        <v>355</v>
      </c>
      <c r="Q30001" s="5" t="s">
        <v>355</v>
      </c>
    </row>
    <row r="30002" ht="16.5" customHeight="1">
      <c r="O30002" s="5" t="s">
        <v>355</v>
      </c>
      <c r="P30002" s="5" t="s">
        <v>355</v>
      </c>
      <c r="Q30002" s="5" t="s">
        <v>355</v>
      </c>
    </row>
    <row r="30003" ht="16.5" customHeight="1">
      <c r="O30003" s="5" t="s">
        <v>355</v>
      </c>
      <c r="P30003" s="5" t="s">
        <v>355</v>
      </c>
      <c r="Q30003" s="5" t="s">
        <v>355</v>
      </c>
    </row>
    <row r="30004" ht="16.5" customHeight="1">
      <c r="O30004" s="5" t="s">
        <v>355</v>
      </c>
      <c r="P30004" s="5" t="s">
        <v>355</v>
      </c>
      <c r="Q30004" s="5" t="s">
        <v>355</v>
      </c>
    </row>
    <row r="30005" ht="16.5" customHeight="1">
      <c r="O30005" s="5" t="s">
        <v>355</v>
      </c>
      <c r="P30005" s="5" t="s">
        <v>355</v>
      </c>
      <c r="Q30005" s="5" t="s">
        <v>355</v>
      </c>
    </row>
    <row r="30006" ht="16.5" customHeight="1">
      <c r="O30006" s="5" t="s">
        <v>355</v>
      </c>
      <c r="P30006" s="5" t="s">
        <v>355</v>
      </c>
      <c r="Q30006" s="5" t="s">
        <v>355</v>
      </c>
    </row>
    <row r="30007" ht="16.5" customHeight="1">
      <c r="O30007" s="5" t="s">
        <v>355</v>
      </c>
      <c r="P30007" s="5" t="s">
        <v>355</v>
      </c>
      <c r="Q30007" s="5" t="s">
        <v>355</v>
      </c>
    </row>
    <row r="30008" ht="16.5" customHeight="1">
      <c r="O30008" s="5" t="s">
        <v>355</v>
      </c>
      <c r="P30008" s="5" t="s">
        <v>355</v>
      </c>
      <c r="Q30008" s="5" t="s">
        <v>355</v>
      </c>
    </row>
    <row r="30009" ht="16.5" customHeight="1">
      <c r="O30009" s="5" t="s">
        <v>355</v>
      </c>
      <c r="P30009" s="5" t="s">
        <v>355</v>
      </c>
      <c r="Q30009" s="5" t="s">
        <v>355</v>
      </c>
    </row>
    <row r="30010" ht="16.5" customHeight="1">
      <c r="O30010" s="5" t="s">
        <v>355</v>
      </c>
      <c r="P30010" s="5" t="s">
        <v>355</v>
      </c>
      <c r="Q30010" s="5" t="s">
        <v>355</v>
      </c>
    </row>
    <row r="30011" ht="16.5" customHeight="1">
      <c r="O30011" s="5" t="s">
        <v>355</v>
      </c>
      <c r="P30011" s="5" t="s">
        <v>355</v>
      </c>
      <c r="Q30011" s="5" t="s">
        <v>355</v>
      </c>
    </row>
    <row r="30012" ht="16.5" customHeight="1">
      <c r="O30012" s="5" t="s">
        <v>355</v>
      </c>
      <c r="P30012" s="5" t="s">
        <v>355</v>
      </c>
      <c r="Q30012" s="5" t="s">
        <v>355</v>
      </c>
    </row>
    <row r="30013" ht="16.5" customHeight="1">
      <c r="O30013" s="5" t="s">
        <v>355</v>
      </c>
      <c r="P30013" s="5" t="s">
        <v>355</v>
      </c>
      <c r="Q30013" s="5" t="s">
        <v>355</v>
      </c>
    </row>
    <row r="30014" ht="16.5" customHeight="1">
      <c r="O30014" s="5" t="s">
        <v>355</v>
      </c>
      <c r="P30014" s="5" t="s">
        <v>355</v>
      </c>
      <c r="Q30014" s="5" t="s">
        <v>355</v>
      </c>
    </row>
    <row r="30015" ht="16.5" customHeight="1">
      <c r="O30015" s="5" t="s">
        <v>355</v>
      </c>
      <c r="P30015" s="5" t="s">
        <v>355</v>
      </c>
      <c r="Q30015" s="5" t="s">
        <v>355</v>
      </c>
    </row>
    <row r="30016" ht="16.5" customHeight="1">
      <c r="O30016" s="5" t="s">
        <v>355</v>
      </c>
      <c r="P30016" s="5" t="s">
        <v>355</v>
      </c>
      <c r="Q30016" s="5" t="s">
        <v>355</v>
      </c>
    </row>
    <row r="30017" ht="16.5" customHeight="1">
      <c r="O30017" s="5" t="s">
        <v>355</v>
      </c>
      <c r="P30017" s="5" t="s">
        <v>355</v>
      </c>
      <c r="Q30017" s="5" t="s">
        <v>355</v>
      </c>
    </row>
    <row r="30018" ht="16.5" customHeight="1">
      <c r="O30018" s="5" t="s">
        <v>355</v>
      </c>
      <c r="P30018" s="5" t="s">
        <v>355</v>
      </c>
      <c r="Q30018" s="5" t="s">
        <v>355</v>
      </c>
    </row>
    <row r="30019" ht="16.5" customHeight="1">
      <c r="O30019" s="5" t="s">
        <v>355</v>
      </c>
      <c r="P30019" s="5" t="s">
        <v>355</v>
      </c>
      <c r="Q30019" s="5" t="s">
        <v>355</v>
      </c>
    </row>
    <row r="30020" ht="16.5" customHeight="1">
      <c r="O30020" s="5" t="s">
        <v>355</v>
      </c>
      <c r="P30020" s="5" t="s">
        <v>355</v>
      </c>
      <c r="Q30020" s="5" t="s">
        <v>355</v>
      </c>
    </row>
    <row r="30021" ht="16.5" customHeight="1">
      <c r="O30021" s="5" t="s">
        <v>355</v>
      </c>
      <c r="P30021" s="5" t="s">
        <v>355</v>
      </c>
      <c r="Q30021" s="5" t="s">
        <v>355</v>
      </c>
    </row>
    <row r="30022" ht="16.5" customHeight="1">
      <c r="O30022" s="5" t="s">
        <v>355</v>
      </c>
      <c r="P30022" s="5" t="s">
        <v>355</v>
      </c>
      <c r="Q30022" s="5" t="s">
        <v>355</v>
      </c>
    </row>
    <row r="30023" ht="16.5" customHeight="1">
      <c r="O30023" s="5" t="s">
        <v>355</v>
      </c>
      <c r="P30023" s="5" t="s">
        <v>355</v>
      </c>
      <c r="Q30023" s="5" t="s">
        <v>355</v>
      </c>
    </row>
    <row r="30024" ht="16.5" customHeight="1">
      <c r="O30024" s="5" t="s">
        <v>355</v>
      </c>
      <c r="P30024" s="5" t="s">
        <v>355</v>
      </c>
      <c r="Q30024" s="5" t="s">
        <v>355</v>
      </c>
    </row>
    <row r="30025" ht="16.5" customHeight="1">
      <c r="O30025" s="5" t="s">
        <v>355</v>
      </c>
      <c r="P30025" s="5" t="s">
        <v>355</v>
      </c>
      <c r="Q30025" s="5" t="s">
        <v>355</v>
      </c>
    </row>
    <row r="30026" ht="16.5" customHeight="1">
      <c r="O30026" s="5" t="s">
        <v>355</v>
      </c>
      <c r="P30026" s="5" t="s">
        <v>355</v>
      </c>
      <c r="Q30026" s="5" t="s">
        <v>355</v>
      </c>
    </row>
    <row r="30027" ht="16.5" customHeight="1">
      <c r="O30027" s="5" t="s">
        <v>355</v>
      </c>
      <c r="P30027" s="5" t="s">
        <v>355</v>
      </c>
      <c r="Q30027" s="5" t="s">
        <v>355</v>
      </c>
    </row>
    <row r="30028" ht="16.5" customHeight="1">
      <c r="O30028" s="5" t="s">
        <v>355</v>
      </c>
      <c r="P30028" s="5" t="s">
        <v>355</v>
      </c>
      <c r="Q30028" s="5" t="s">
        <v>355</v>
      </c>
    </row>
    <row r="30029" ht="16.5" customHeight="1">
      <c r="O30029" s="5" t="s">
        <v>355</v>
      </c>
      <c r="P30029" s="5" t="s">
        <v>355</v>
      </c>
      <c r="Q30029" s="5" t="s">
        <v>355</v>
      </c>
    </row>
    <row r="30030" ht="16.5" customHeight="1">
      <c r="O30030" s="5" t="s">
        <v>355</v>
      </c>
      <c r="P30030" s="5" t="s">
        <v>355</v>
      </c>
      <c r="Q30030" s="5" t="s">
        <v>355</v>
      </c>
    </row>
    <row r="30031" ht="16.5" customHeight="1">
      <c r="O30031" s="5" t="s">
        <v>355</v>
      </c>
      <c r="P30031" s="5" t="s">
        <v>355</v>
      </c>
      <c r="Q30031" s="5" t="s">
        <v>355</v>
      </c>
    </row>
    <row r="30032" ht="16.5" customHeight="1">
      <c r="O30032" s="5" t="s">
        <v>355</v>
      </c>
      <c r="P30032" s="5" t="s">
        <v>355</v>
      </c>
      <c r="Q30032" s="5" t="s">
        <v>355</v>
      </c>
    </row>
    <row r="30033" ht="16.5" customHeight="1">
      <c r="O30033" s="5" t="s">
        <v>355</v>
      </c>
      <c r="P30033" s="5" t="s">
        <v>355</v>
      </c>
      <c r="Q30033" s="5" t="s">
        <v>355</v>
      </c>
    </row>
    <row r="30034" ht="16.5" customHeight="1">
      <c r="O30034" s="5" t="s">
        <v>355</v>
      </c>
      <c r="P30034" s="5" t="s">
        <v>355</v>
      </c>
      <c r="Q30034" s="5" t="s">
        <v>355</v>
      </c>
    </row>
    <row r="30035" ht="16.5" customHeight="1">
      <c r="O30035" s="5" t="s">
        <v>355</v>
      </c>
      <c r="P30035" s="5" t="s">
        <v>355</v>
      </c>
      <c r="Q30035" s="5" t="s">
        <v>355</v>
      </c>
    </row>
    <row r="30036" ht="16.5" customHeight="1">
      <c r="O30036" s="5" t="s">
        <v>355</v>
      </c>
      <c r="P30036" s="5" t="s">
        <v>355</v>
      </c>
      <c r="Q30036" s="5" t="s">
        <v>355</v>
      </c>
    </row>
    <row r="30037" ht="16.5" customHeight="1">
      <c r="O30037" s="5" t="s">
        <v>355</v>
      </c>
      <c r="P30037" s="5" t="s">
        <v>355</v>
      </c>
      <c r="Q30037" s="5" t="s">
        <v>355</v>
      </c>
    </row>
    <row r="30038" ht="16.5" customHeight="1">
      <c r="O30038" s="5" t="s">
        <v>355</v>
      </c>
      <c r="P30038" s="5" t="s">
        <v>355</v>
      </c>
      <c r="Q30038" s="5" t="s">
        <v>355</v>
      </c>
    </row>
    <row r="30039" ht="16.5" customHeight="1">
      <c r="O30039" s="5" t="s">
        <v>355</v>
      </c>
      <c r="P30039" s="5" t="s">
        <v>355</v>
      </c>
      <c r="Q30039" s="5" t="s">
        <v>355</v>
      </c>
    </row>
    <row r="30040" ht="16.5" customHeight="1">
      <c r="O30040" s="5" t="s">
        <v>355</v>
      </c>
      <c r="P30040" s="5" t="s">
        <v>355</v>
      </c>
      <c r="Q30040" s="5" t="s">
        <v>355</v>
      </c>
    </row>
    <row r="30041" ht="16.5" customHeight="1">
      <c r="O30041" s="5" t="s">
        <v>355</v>
      </c>
      <c r="P30041" s="5" t="s">
        <v>355</v>
      </c>
      <c r="Q30041" s="5" t="s">
        <v>355</v>
      </c>
    </row>
    <row r="30042" ht="16.5" customHeight="1">
      <c r="O30042" s="5" t="s">
        <v>355</v>
      </c>
      <c r="P30042" s="5" t="s">
        <v>355</v>
      </c>
      <c r="Q30042" s="5" t="s">
        <v>355</v>
      </c>
    </row>
    <row r="30043" ht="16.5" customHeight="1">
      <c r="O30043" s="5" t="s">
        <v>355</v>
      </c>
      <c r="P30043" s="5" t="s">
        <v>355</v>
      </c>
      <c r="Q30043" s="5" t="s">
        <v>355</v>
      </c>
    </row>
    <row r="30044" ht="16.5" customHeight="1">
      <c r="O30044" s="5" t="s">
        <v>355</v>
      </c>
      <c r="P30044" s="5" t="s">
        <v>355</v>
      </c>
      <c r="Q30044" s="5" t="s">
        <v>355</v>
      </c>
    </row>
    <row r="30045" ht="16.5" customHeight="1">
      <c r="O30045" s="5" t="s">
        <v>355</v>
      </c>
      <c r="P30045" s="5" t="s">
        <v>355</v>
      </c>
      <c r="Q30045" s="5" t="s">
        <v>355</v>
      </c>
    </row>
    <row r="30046" ht="16.5" customHeight="1">
      <c r="O30046" s="5" t="s">
        <v>355</v>
      </c>
      <c r="P30046" s="5" t="s">
        <v>355</v>
      </c>
      <c r="Q30046" s="5" t="s">
        <v>355</v>
      </c>
    </row>
    <row r="30047" ht="16.5" customHeight="1">
      <c r="O30047" s="5" t="s">
        <v>355</v>
      </c>
      <c r="P30047" s="5" t="s">
        <v>355</v>
      </c>
      <c r="Q30047" s="5" t="s">
        <v>355</v>
      </c>
    </row>
    <row r="30048" ht="16.5" customHeight="1">
      <c r="O30048" s="5" t="s">
        <v>355</v>
      </c>
      <c r="P30048" s="5" t="s">
        <v>355</v>
      </c>
      <c r="Q30048" s="5" t="s">
        <v>355</v>
      </c>
    </row>
    <row r="30049" ht="16.5" customHeight="1">
      <c r="O30049" s="5" t="s">
        <v>355</v>
      </c>
      <c r="P30049" s="5" t="s">
        <v>355</v>
      </c>
      <c r="Q30049" s="5" t="s">
        <v>355</v>
      </c>
    </row>
    <row r="30050" ht="16.5" customHeight="1">
      <c r="O30050" s="5" t="s">
        <v>355</v>
      </c>
      <c r="P30050" s="5" t="s">
        <v>355</v>
      </c>
      <c r="Q30050" s="5" t="s">
        <v>355</v>
      </c>
    </row>
    <row r="30051" ht="16.5" customHeight="1">
      <c r="O30051" s="5" t="s">
        <v>355</v>
      </c>
      <c r="P30051" s="5" t="s">
        <v>355</v>
      </c>
      <c r="Q30051" s="5" t="s">
        <v>355</v>
      </c>
    </row>
    <row r="30052" ht="16.5" customHeight="1">
      <c r="O30052" s="5" t="s">
        <v>355</v>
      </c>
      <c r="P30052" s="5" t="s">
        <v>355</v>
      </c>
      <c r="Q30052" s="5" t="s">
        <v>355</v>
      </c>
    </row>
    <row r="30053" ht="16.5" customHeight="1">
      <c r="O30053" s="5" t="s">
        <v>355</v>
      </c>
      <c r="P30053" s="5" t="s">
        <v>355</v>
      </c>
      <c r="Q30053" s="5" t="s">
        <v>355</v>
      </c>
    </row>
    <row r="30054" ht="16.5" customHeight="1">
      <c r="O30054" s="5" t="s">
        <v>355</v>
      </c>
      <c r="P30054" s="5" t="s">
        <v>355</v>
      </c>
      <c r="Q30054" s="5" t="s">
        <v>355</v>
      </c>
    </row>
    <row r="30055" ht="16.5" customHeight="1">
      <c r="O30055" s="5" t="s">
        <v>355</v>
      </c>
      <c r="P30055" s="5" t="s">
        <v>355</v>
      </c>
      <c r="Q30055" s="5" t="s">
        <v>355</v>
      </c>
    </row>
    <row r="30056" ht="16.5" customHeight="1">
      <c r="O30056" s="5" t="s">
        <v>355</v>
      </c>
      <c r="P30056" s="5" t="s">
        <v>355</v>
      </c>
      <c r="Q30056" s="5" t="s">
        <v>355</v>
      </c>
    </row>
    <row r="30057" ht="16.5" customHeight="1">
      <c r="O30057" s="5" t="s">
        <v>355</v>
      </c>
      <c r="P30057" s="5" t="s">
        <v>355</v>
      </c>
      <c r="Q30057" s="5" t="s">
        <v>355</v>
      </c>
    </row>
    <row r="30058" ht="16.5" customHeight="1">
      <c r="O30058" s="5" t="s">
        <v>355</v>
      </c>
      <c r="P30058" s="5" t="s">
        <v>355</v>
      </c>
      <c r="Q30058" s="5" t="s">
        <v>355</v>
      </c>
    </row>
    <row r="30059" ht="16.5" customHeight="1">
      <c r="O30059" s="5" t="s">
        <v>355</v>
      </c>
      <c r="P30059" s="5" t="s">
        <v>355</v>
      </c>
      <c r="Q30059" s="5" t="s">
        <v>355</v>
      </c>
    </row>
    <row r="30060" ht="16.5" customHeight="1">
      <c r="O30060" s="5" t="s">
        <v>355</v>
      </c>
      <c r="P30060" s="5" t="s">
        <v>355</v>
      </c>
      <c r="Q30060" s="5" t="s">
        <v>355</v>
      </c>
    </row>
    <row r="30061" ht="16.5" customHeight="1">
      <c r="O30061" s="5" t="s">
        <v>355</v>
      </c>
      <c r="P30061" s="5" t="s">
        <v>355</v>
      </c>
      <c r="Q30061" s="5" t="s">
        <v>355</v>
      </c>
    </row>
    <row r="30062" ht="16.5" customHeight="1">
      <c r="O30062" s="5" t="s">
        <v>355</v>
      </c>
      <c r="P30062" s="5" t="s">
        <v>355</v>
      </c>
      <c r="Q30062" s="5" t="s">
        <v>355</v>
      </c>
    </row>
    <row r="30063" ht="16.5" customHeight="1">
      <c r="O30063" s="5" t="s">
        <v>355</v>
      </c>
      <c r="P30063" s="5" t="s">
        <v>355</v>
      </c>
      <c r="Q30063" s="5" t="s">
        <v>355</v>
      </c>
    </row>
    <row r="30064" ht="16.5" customHeight="1">
      <c r="O30064" s="5" t="s">
        <v>355</v>
      </c>
      <c r="P30064" s="5" t="s">
        <v>355</v>
      </c>
      <c r="Q30064" s="5" t="s">
        <v>355</v>
      </c>
    </row>
    <row r="30065" ht="16.5" customHeight="1">
      <c r="O30065" s="5" t="s">
        <v>355</v>
      </c>
      <c r="P30065" s="5" t="s">
        <v>355</v>
      </c>
      <c r="Q30065" s="5" t="s">
        <v>355</v>
      </c>
    </row>
    <row r="30066" ht="16.5" customHeight="1">
      <c r="O30066" s="5" t="s">
        <v>355</v>
      </c>
      <c r="P30066" s="5" t="s">
        <v>355</v>
      </c>
      <c r="Q30066" s="5" t="s">
        <v>355</v>
      </c>
    </row>
    <row r="30067" ht="16.5" customHeight="1">
      <c r="O30067" s="5" t="s">
        <v>355</v>
      </c>
      <c r="P30067" s="5" t="s">
        <v>355</v>
      </c>
      <c r="Q30067" s="5" t="s">
        <v>355</v>
      </c>
    </row>
    <row r="30068" ht="16.5" customHeight="1">
      <c r="O30068" s="5" t="s">
        <v>355</v>
      </c>
      <c r="P30068" s="5" t="s">
        <v>355</v>
      </c>
      <c r="Q30068" s="5" t="s">
        <v>355</v>
      </c>
    </row>
    <row r="30069" ht="16.5" customHeight="1">
      <c r="O30069" s="5" t="s">
        <v>355</v>
      </c>
      <c r="P30069" s="5" t="s">
        <v>355</v>
      </c>
      <c r="Q30069" s="5" t="s">
        <v>355</v>
      </c>
    </row>
    <row r="30070" ht="16.5" customHeight="1">
      <c r="O30070" s="5" t="s">
        <v>355</v>
      </c>
      <c r="P30070" s="5" t="s">
        <v>355</v>
      </c>
      <c r="Q30070" s="5" t="s">
        <v>355</v>
      </c>
    </row>
    <row r="30071" ht="16.5" customHeight="1">
      <c r="O30071" s="5" t="s">
        <v>355</v>
      </c>
      <c r="P30071" s="5" t="s">
        <v>355</v>
      </c>
      <c r="Q30071" s="5" t="s">
        <v>355</v>
      </c>
    </row>
    <row r="30072" ht="16.5" customHeight="1">
      <c r="O30072" s="5" t="s">
        <v>355</v>
      </c>
      <c r="P30072" s="5" t="s">
        <v>355</v>
      </c>
      <c r="Q30072" s="5" t="s">
        <v>355</v>
      </c>
    </row>
    <row r="30073" ht="16.5" customHeight="1">
      <c r="O30073" s="5" t="s">
        <v>355</v>
      </c>
      <c r="P30073" s="5" t="s">
        <v>355</v>
      </c>
      <c r="Q30073" s="5" t="s">
        <v>355</v>
      </c>
    </row>
    <row r="30074" ht="16.5" customHeight="1">
      <c r="O30074" s="5" t="s">
        <v>355</v>
      </c>
      <c r="P30074" s="5" t="s">
        <v>355</v>
      </c>
      <c r="Q30074" s="5" t="s">
        <v>355</v>
      </c>
    </row>
    <row r="30075" ht="16.5" customHeight="1">
      <c r="O30075" s="5" t="s">
        <v>355</v>
      </c>
      <c r="P30075" s="5" t="s">
        <v>355</v>
      </c>
      <c r="Q30075" s="5" t="s">
        <v>355</v>
      </c>
    </row>
    <row r="30076" ht="16.5" customHeight="1">
      <c r="O30076" s="5" t="s">
        <v>355</v>
      </c>
      <c r="P30076" s="5" t="s">
        <v>355</v>
      </c>
      <c r="Q30076" s="5" t="s">
        <v>355</v>
      </c>
    </row>
    <row r="30077" ht="16.5" customHeight="1">
      <c r="O30077" s="5" t="s">
        <v>355</v>
      </c>
      <c r="P30077" s="5" t="s">
        <v>355</v>
      </c>
      <c r="Q30077" s="5" t="s">
        <v>355</v>
      </c>
    </row>
    <row r="30078" ht="16.5" customHeight="1">
      <c r="O30078" s="5" t="s">
        <v>355</v>
      </c>
      <c r="P30078" s="5" t="s">
        <v>355</v>
      </c>
      <c r="Q30078" s="5" t="s">
        <v>355</v>
      </c>
    </row>
    <row r="30079" ht="16.5" customHeight="1">
      <c r="O30079" s="5" t="s">
        <v>355</v>
      </c>
      <c r="P30079" s="5" t="s">
        <v>355</v>
      </c>
      <c r="Q30079" s="5" t="s">
        <v>355</v>
      </c>
    </row>
    <row r="30080" ht="16.5" customHeight="1">
      <c r="O30080" s="5" t="s">
        <v>355</v>
      </c>
      <c r="P30080" s="5" t="s">
        <v>355</v>
      </c>
      <c r="Q30080" s="5" t="s">
        <v>355</v>
      </c>
    </row>
    <row r="30081" ht="16.5" customHeight="1">
      <c r="O30081" s="5" t="s">
        <v>355</v>
      </c>
      <c r="P30081" s="5" t="s">
        <v>355</v>
      </c>
      <c r="Q30081" s="5" t="s">
        <v>355</v>
      </c>
    </row>
    <row r="30082" ht="16.5" customHeight="1">
      <c r="O30082" s="5" t="s">
        <v>355</v>
      </c>
      <c r="P30082" s="5" t="s">
        <v>355</v>
      </c>
      <c r="Q30082" s="5" t="s">
        <v>355</v>
      </c>
    </row>
    <row r="30083" ht="16.5" customHeight="1">
      <c r="O30083" s="5" t="s">
        <v>355</v>
      </c>
      <c r="P30083" s="5" t="s">
        <v>355</v>
      </c>
      <c r="Q30083" s="5" t="s">
        <v>355</v>
      </c>
    </row>
    <row r="30084" ht="16.5" customHeight="1">
      <c r="O30084" s="5" t="s">
        <v>355</v>
      </c>
      <c r="P30084" s="5" t="s">
        <v>355</v>
      </c>
      <c r="Q30084" s="5" t="s">
        <v>355</v>
      </c>
    </row>
    <row r="30085" ht="16.5" customHeight="1">
      <c r="O30085" s="5" t="s">
        <v>355</v>
      </c>
      <c r="P30085" s="5" t="s">
        <v>355</v>
      </c>
      <c r="Q30085" s="5" t="s">
        <v>355</v>
      </c>
    </row>
    <row r="30086" ht="16.5" customHeight="1">
      <c r="O30086" s="5" t="s">
        <v>355</v>
      </c>
      <c r="P30086" s="5" t="s">
        <v>355</v>
      </c>
      <c r="Q30086" s="5" t="s">
        <v>355</v>
      </c>
    </row>
    <row r="30087" ht="16.5" customHeight="1">
      <c r="O30087" s="5" t="s">
        <v>355</v>
      </c>
      <c r="P30087" s="5" t="s">
        <v>355</v>
      </c>
      <c r="Q30087" s="5" t="s">
        <v>355</v>
      </c>
    </row>
    <row r="30088" ht="16.5" customHeight="1">
      <c r="O30088" s="5" t="s">
        <v>355</v>
      </c>
      <c r="P30088" s="5" t="s">
        <v>355</v>
      </c>
      <c r="Q30088" s="5" t="s">
        <v>355</v>
      </c>
    </row>
    <row r="30089" ht="16.5" customHeight="1">
      <c r="O30089" s="5" t="s">
        <v>355</v>
      </c>
      <c r="P30089" s="5" t="s">
        <v>355</v>
      </c>
      <c r="Q30089" s="5" t="s">
        <v>355</v>
      </c>
    </row>
    <row r="30090" ht="16.5" customHeight="1">
      <c r="O30090" s="5" t="s">
        <v>355</v>
      </c>
      <c r="P30090" s="5" t="s">
        <v>355</v>
      </c>
      <c r="Q30090" s="5" t="s">
        <v>355</v>
      </c>
    </row>
    <row r="30091" ht="16.5" customHeight="1">
      <c r="O30091" s="5" t="s">
        <v>355</v>
      </c>
      <c r="P30091" s="5" t="s">
        <v>355</v>
      </c>
      <c r="Q30091" s="5" t="s">
        <v>355</v>
      </c>
    </row>
    <row r="30092" ht="16.5" customHeight="1">
      <c r="O30092" s="5" t="s">
        <v>355</v>
      </c>
      <c r="P30092" s="5" t="s">
        <v>355</v>
      </c>
      <c r="Q30092" s="5" t="s">
        <v>355</v>
      </c>
    </row>
    <row r="30093" ht="16.5" customHeight="1">
      <c r="O30093" s="5" t="s">
        <v>355</v>
      </c>
      <c r="P30093" s="5" t="s">
        <v>355</v>
      </c>
      <c r="Q30093" s="5" t="s">
        <v>355</v>
      </c>
    </row>
    <row r="30094" ht="16.5" customHeight="1">
      <c r="O30094" s="5" t="s">
        <v>355</v>
      </c>
      <c r="P30094" s="5" t="s">
        <v>355</v>
      </c>
      <c r="Q30094" s="5" t="s">
        <v>355</v>
      </c>
    </row>
    <row r="30095" ht="16.5" customHeight="1">
      <c r="O30095" s="5" t="s">
        <v>355</v>
      </c>
      <c r="P30095" s="5" t="s">
        <v>355</v>
      </c>
      <c r="Q30095" s="5" t="s">
        <v>355</v>
      </c>
    </row>
    <row r="30096" ht="16.5" customHeight="1">
      <c r="O30096" s="5" t="s">
        <v>355</v>
      </c>
      <c r="P30096" s="5" t="s">
        <v>355</v>
      </c>
      <c r="Q30096" s="5" t="s">
        <v>355</v>
      </c>
    </row>
    <row r="30097" ht="16.5" customHeight="1">
      <c r="O30097" s="5" t="s">
        <v>355</v>
      </c>
      <c r="P30097" s="5" t="s">
        <v>355</v>
      </c>
      <c r="Q30097" s="5" t="s">
        <v>355</v>
      </c>
    </row>
    <row r="30098" ht="16.5" customHeight="1">
      <c r="O30098" s="5" t="s">
        <v>355</v>
      </c>
      <c r="P30098" s="5" t="s">
        <v>355</v>
      </c>
      <c r="Q30098" s="5" t="s">
        <v>355</v>
      </c>
    </row>
    <row r="30099" ht="16.5" customHeight="1">
      <c r="O30099" s="5" t="s">
        <v>355</v>
      </c>
      <c r="P30099" s="5" t="s">
        <v>355</v>
      </c>
      <c r="Q30099" s="5" t="s">
        <v>355</v>
      </c>
    </row>
    <row r="30100" ht="16.5" customHeight="1">
      <c r="O30100" s="5" t="s">
        <v>355</v>
      </c>
      <c r="P30100" s="5" t="s">
        <v>355</v>
      </c>
      <c r="Q30100" s="5" t="s">
        <v>355</v>
      </c>
    </row>
    <row r="30101" ht="16.5" customHeight="1">
      <c r="O30101" s="5" t="s">
        <v>355</v>
      </c>
      <c r="P30101" s="5" t="s">
        <v>355</v>
      </c>
      <c r="Q30101" s="5" t="s">
        <v>355</v>
      </c>
    </row>
    <row r="30102" ht="16.5" customHeight="1">
      <c r="O30102" s="5" t="s">
        <v>355</v>
      </c>
      <c r="P30102" s="5" t="s">
        <v>355</v>
      </c>
      <c r="Q30102" s="5" t="s">
        <v>355</v>
      </c>
    </row>
    <row r="30103" ht="16.5" customHeight="1">
      <c r="O30103" s="5" t="s">
        <v>355</v>
      </c>
      <c r="P30103" s="5" t="s">
        <v>355</v>
      </c>
      <c r="Q30103" s="5" t="s">
        <v>355</v>
      </c>
    </row>
    <row r="30104" ht="16.5" customHeight="1">
      <c r="O30104" s="5" t="s">
        <v>355</v>
      </c>
      <c r="P30104" s="5" t="s">
        <v>355</v>
      </c>
      <c r="Q30104" s="5" t="s">
        <v>355</v>
      </c>
    </row>
    <row r="30105" ht="16.5" customHeight="1">
      <c r="O30105" s="5" t="s">
        <v>355</v>
      </c>
      <c r="P30105" s="5" t="s">
        <v>355</v>
      </c>
      <c r="Q30105" s="5" t="s">
        <v>355</v>
      </c>
    </row>
    <row r="30106" ht="16.5" customHeight="1">
      <c r="O30106" s="5" t="s">
        <v>355</v>
      </c>
      <c r="P30106" s="5" t="s">
        <v>355</v>
      </c>
      <c r="Q30106" s="5" t="s">
        <v>355</v>
      </c>
    </row>
    <row r="30107" ht="16.5" customHeight="1">
      <c r="O30107" s="5" t="s">
        <v>355</v>
      </c>
      <c r="P30107" s="5" t="s">
        <v>355</v>
      </c>
      <c r="Q30107" s="5" t="s">
        <v>355</v>
      </c>
    </row>
    <row r="30108" ht="16.5" customHeight="1">
      <c r="O30108" s="5" t="s">
        <v>355</v>
      </c>
      <c r="P30108" s="5" t="s">
        <v>355</v>
      </c>
      <c r="Q30108" s="5" t="s">
        <v>355</v>
      </c>
    </row>
    <row r="30109" ht="16.5" customHeight="1">
      <c r="O30109" s="5" t="s">
        <v>355</v>
      </c>
      <c r="P30109" s="5" t="s">
        <v>355</v>
      </c>
      <c r="Q30109" s="5" t="s">
        <v>355</v>
      </c>
    </row>
    <row r="30110" ht="16.5" customHeight="1">
      <c r="O30110" s="5" t="s">
        <v>355</v>
      </c>
      <c r="P30110" s="5" t="s">
        <v>355</v>
      </c>
      <c r="Q30110" s="5" t="s">
        <v>355</v>
      </c>
    </row>
    <row r="30111" ht="16.5" customHeight="1">
      <c r="O30111" s="5" t="s">
        <v>355</v>
      </c>
      <c r="P30111" s="5" t="s">
        <v>355</v>
      </c>
      <c r="Q30111" s="5" t="s">
        <v>355</v>
      </c>
    </row>
    <row r="30112" ht="16.5" customHeight="1">
      <c r="O30112" s="5" t="s">
        <v>355</v>
      </c>
      <c r="P30112" s="5" t="s">
        <v>355</v>
      </c>
      <c r="Q30112" s="5" t="s">
        <v>355</v>
      </c>
    </row>
    <row r="30113" ht="16.5" customHeight="1">
      <c r="O30113" s="5" t="s">
        <v>355</v>
      </c>
      <c r="P30113" s="5" t="s">
        <v>355</v>
      </c>
      <c r="Q30113" s="5" t="s">
        <v>355</v>
      </c>
    </row>
    <row r="30114" ht="16.5" customHeight="1">
      <c r="O30114" s="5" t="s">
        <v>355</v>
      </c>
      <c r="P30114" s="5" t="s">
        <v>355</v>
      </c>
      <c r="Q30114" s="5" t="s">
        <v>355</v>
      </c>
    </row>
    <row r="30115" ht="16.5" customHeight="1">
      <c r="O30115" s="5" t="s">
        <v>355</v>
      </c>
      <c r="P30115" s="5" t="s">
        <v>355</v>
      </c>
      <c r="Q30115" s="5" t="s">
        <v>355</v>
      </c>
    </row>
    <row r="30116" ht="16.5" customHeight="1">
      <c r="O30116" s="5" t="s">
        <v>355</v>
      </c>
      <c r="P30116" s="5" t="s">
        <v>355</v>
      </c>
      <c r="Q30116" s="5" t="s">
        <v>355</v>
      </c>
    </row>
    <row r="30117" ht="16.5" customHeight="1">
      <c r="O30117" s="5" t="s">
        <v>355</v>
      </c>
      <c r="P30117" s="5" t="s">
        <v>355</v>
      </c>
      <c r="Q30117" s="5" t="s">
        <v>355</v>
      </c>
    </row>
    <row r="30118" ht="16.5" customHeight="1">
      <c r="O30118" s="5" t="s">
        <v>355</v>
      </c>
      <c r="P30118" s="5" t="s">
        <v>355</v>
      </c>
      <c r="Q30118" s="5" t="s">
        <v>355</v>
      </c>
    </row>
    <row r="30119" ht="16.5" customHeight="1">
      <c r="O30119" s="5" t="s">
        <v>355</v>
      </c>
      <c r="P30119" s="5" t="s">
        <v>355</v>
      </c>
      <c r="Q30119" s="5" t="s">
        <v>355</v>
      </c>
    </row>
    <row r="30120" ht="16.5" customHeight="1">
      <c r="O30120" s="5" t="s">
        <v>355</v>
      </c>
      <c r="P30120" s="5" t="s">
        <v>355</v>
      </c>
      <c r="Q30120" s="5" t="s">
        <v>355</v>
      </c>
    </row>
    <row r="30121" ht="16.5" customHeight="1">
      <c r="O30121" s="5" t="s">
        <v>355</v>
      </c>
      <c r="P30121" s="5" t="s">
        <v>355</v>
      </c>
      <c r="Q30121" s="5" t="s">
        <v>355</v>
      </c>
    </row>
    <row r="30122" ht="16.5" customHeight="1">
      <c r="O30122" s="5" t="s">
        <v>355</v>
      </c>
      <c r="P30122" s="5" t="s">
        <v>355</v>
      </c>
      <c r="Q30122" s="5" t="s">
        <v>355</v>
      </c>
    </row>
    <row r="30123" ht="16.5" customHeight="1">
      <c r="O30123" s="5" t="s">
        <v>355</v>
      </c>
      <c r="P30123" s="5" t="s">
        <v>355</v>
      </c>
      <c r="Q30123" s="5" t="s">
        <v>355</v>
      </c>
    </row>
    <row r="30124" ht="16.5" customHeight="1">
      <c r="O30124" s="5" t="s">
        <v>355</v>
      </c>
      <c r="P30124" s="5" t="s">
        <v>355</v>
      </c>
      <c r="Q30124" s="5" t="s">
        <v>355</v>
      </c>
    </row>
    <row r="30125" ht="16.5" customHeight="1">
      <c r="O30125" s="5" t="s">
        <v>355</v>
      </c>
      <c r="P30125" s="5" t="s">
        <v>355</v>
      </c>
      <c r="Q30125" s="5" t="s">
        <v>355</v>
      </c>
    </row>
    <row r="30126" ht="16.5" customHeight="1">
      <c r="O30126" s="5" t="s">
        <v>355</v>
      </c>
      <c r="P30126" s="5" t="s">
        <v>355</v>
      </c>
      <c r="Q30126" s="5" t="s">
        <v>355</v>
      </c>
    </row>
    <row r="30127" ht="16.5" customHeight="1">
      <c r="O30127" s="5" t="s">
        <v>355</v>
      </c>
      <c r="P30127" s="5" t="s">
        <v>355</v>
      </c>
      <c r="Q30127" s="5" t="s">
        <v>355</v>
      </c>
    </row>
    <row r="30128" ht="16.5" customHeight="1">
      <c r="O30128" s="5" t="s">
        <v>355</v>
      </c>
      <c r="P30128" s="5" t="s">
        <v>355</v>
      </c>
      <c r="Q30128" s="5" t="s">
        <v>355</v>
      </c>
    </row>
    <row r="30129" ht="16.5" customHeight="1">
      <c r="O30129" s="5" t="s">
        <v>355</v>
      </c>
      <c r="P30129" s="5" t="s">
        <v>355</v>
      </c>
      <c r="Q30129" s="5" t="s">
        <v>355</v>
      </c>
    </row>
    <row r="30130" ht="16.5" customHeight="1">
      <c r="O30130" s="5" t="s">
        <v>355</v>
      </c>
      <c r="P30130" s="5" t="s">
        <v>355</v>
      </c>
      <c r="Q30130" s="5" t="s">
        <v>355</v>
      </c>
    </row>
    <row r="30131" ht="16.5" customHeight="1">
      <c r="O30131" s="5" t="s">
        <v>355</v>
      </c>
      <c r="P30131" s="5" t="s">
        <v>355</v>
      </c>
      <c r="Q30131" s="5" t="s">
        <v>355</v>
      </c>
    </row>
    <row r="30132" ht="16.5" customHeight="1">
      <c r="O30132" s="5" t="s">
        <v>355</v>
      </c>
      <c r="P30132" s="5" t="s">
        <v>355</v>
      </c>
      <c r="Q30132" s="5" t="s">
        <v>355</v>
      </c>
    </row>
    <row r="30133" ht="16.5" customHeight="1">
      <c r="O30133" s="5" t="s">
        <v>355</v>
      </c>
      <c r="P30133" s="5" t="s">
        <v>355</v>
      </c>
      <c r="Q30133" s="5" t="s">
        <v>355</v>
      </c>
    </row>
    <row r="30134" ht="16.5" customHeight="1">
      <c r="O30134" s="5" t="s">
        <v>355</v>
      </c>
      <c r="P30134" s="5" t="s">
        <v>355</v>
      </c>
      <c r="Q30134" s="5" t="s">
        <v>355</v>
      </c>
    </row>
    <row r="30135" ht="16.5" customHeight="1">
      <c r="O30135" s="5" t="s">
        <v>355</v>
      </c>
      <c r="P30135" s="5" t="s">
        <v>355</v>
      </c>
      <c r="Q30135" s="5" t="s">
        <v>355</v>
      </c>
    </row>
    <row r="30136" ht="16.5" customHeight="1">
      <c r="O30136" s="5" t="s">
        <v>355</v>
      </c>
      <c r="P30136" s="5" t="s">
        <v>355</v>
      </c>
      <c r="Q30136" s="5" t="s">
        <v>355</v>
      </c>
    </row>
    <row r="30137" ht="16.5" customHeight="1">
      <c r="O30137" s="5" t="s">
        <v>355</v>
      </c>
      <c r="P30137" s="5" t="s">
        <v>355</v>
      </c>
      <c r="Q30137" s="5" t="s">
        <v>355</v>
      </c>
    </row>
    <row r="30138" ht="16.5" customHeight="1">
      <c r="O30138" s="5" t="s">
        <v>355</v>
      </c>
      <c r="P30138" s="5" t="s">
        <v>355</v>
      </c>
      <c r="Q30138" s="5" t="s">
        <v>355</v>
      </c>
    </row>
    <row r="30139" ht="16.5" customHeight="1">
      <c r="O30139" s="5" t="s">
        <v>355</v>
      </c>
      <c r="P30139" s="5" t="s">
        <v>355</v>
      </c>
      <c r="Q30139" s="5" t="s">
        <v>355</v>
      </c>
    </row>
    <row r="30140" ht="16.5" customHeight="1">
      <c r="O30140" s="5" t="s">
        <v>355</v>
      </c>
      <c r="P30140" s="5" t="s">
        <v>355</v>
      </c>
      <c r="Q30140" s="5" t="s">
        <v>355</v>
      </c>
    </row>
    <row r="30141" ht="16.5" customHeight="1">
      <c r="O30141" s="5" t="s">
        <v>355</v>
      </c>
      <c r="P30141" s="5" t="s">
        <v>355</v>
      </c>
      <c r="Q30141" s="5" t="s">
        <v>355</v>
      </c>
    </row>
    <row r="30142" ht="16.5" customHeight="1">
      <c r="O30142" s="5" t="s">
        <v>355</v>
      </c>
      <c r="P30142" s="5" t="s">
        <v>355</v>
      </c>
      <c r="Q30142" s="5" t="s">
        <v>355</v>
      </c>
    </row>
    <row r="30143" ht="16.5" customHeight="1">
      <c r="O30143" s="5" t="s">
        <v>355</v>
      </c>
      <c r="P30143" s="5" t="s">
        <v>355</v>
      </c>
      <c r="Q30143" s="5" t="s">
        <v>355</v>
      </c>
    </row>
    <row r="30144" ht="16.5" customHeight="1">
      <c r="O30144" s="5" t="s">
        <v>355</v>
      </c>
      <c r="P30144" s="5" t="s">
        <v>355</v>
      </c>
      <c r="Q30144" s="5" t="s">
        <v>355</v>
      </c>
    </row>
    <row r="30145" ht="16.5" customHeight="1">
      <c r="O30145" s="5" t="s">
        <v>355</v>
      </c>
      <c r="P30145" s="5" t="s">
        <v>355</v>
      </c>
      <c r="Q30145" s="5" t="s">
        <v>355</v>
      </c>
    </row>
    <row r="30146" ht="16.5" customHeight="1">
      <c r="O30146" s="5" t="s">
        <v>355</v>
      </c>
      <c r="P30146" s="5" t="s">
        <v>355</v>
      </c>
      <c r="Q30146" s="5" t="s">
        <v>355</v>
      </c>
    </row>
    <row r="30147" ht="16.5" customHeight="1">
      <c r="O30147" s="5" t="s">
        <v>355</v>
      </c>
      <c r="P30147" s="5" t="s">
        <v>355</v>
      </c>
      <c r="Q30147" s="5" t="s">
        <v>355</v>
      </c>
    </row>
    <row r="30148" ht="16.5" customHeight="1">
      <c r="O30148" s="5" t="s">
        <v>355</v>
      </c>
      <c r="P30148" s="5" t="s">
        <v>355</v>
      </c>
      <c r="Q30148" s="5" t="s">
        <v>355</v>
      </c>
    </row>
    <row r="30149" ht="16.5" customHeight="1">
      <c r="O30149" s="5" t="s">
        <v>355</v>
      </c>
      <c r="P30149" s="5" t="s">
        <v>355</v>
      </c>
      <c r="Q30149" s="5" t="s">
        <v>355</v>
      </c>
    </row>
    <row r="30150" ht="16.5" customHeight="1">
      <c r="O30150" s="5" t="s">
        <v>355</v>
      </c>
      <c r="P30150" s="5" t="s">
        <v>355</v>
      </c>
      <c r="Q30150" s="5" t="s">
        <v>355</v>
      </c>
    </row>
    <row r="30151" ht="16.5" customHeight="1">
      <c r="O30151" s="5" t="s">
        <v>355</v>
      </c>
      <c r="P30151" s="5" t="s">
        <v>355</v>
      </c>
      <c r="Q30151" s="5" t="s">
        <v>355</v>
      </c>
    </row>
    <row r="30152" ht="16.5" customHeight="1">
      <c r="O30152" s="5" t="s">
        <v>355</v>
      </c>
      <c r="P30152" s="5" t="s">
        <v>355</v>
      </c>
      <c r="Q30152" s="5" t="s">
        <v>355</v>
      </c>
    </row>
    <row r="30153" ht="16.5" customHeight="1">
      <c r="O30153" s="5" t="s">
        <v>355</v>
      </c>
      <c r="P30153" s="5" t="s">
        <v>355</v>
      </c>
      <c r="Q30153" s="5" t="s">
        <v>355</v>
      </c>
    </row>
    <row r="30154" ht="16.5" customHeight="1">
      <c r="O30154" s="5" t="s">
        <v>355</v>
      </c>
      <c r="P30154" s="5" t="s">
        <v>355</v>
      </c>
      <c r="Q30154" s="5" t="s">
        <v>355</v>
      </c>
    </row>
    <row r="30155" ht="16.5" customHeight="1">
      <c r="O30155" s="5" t="s">
        <v>355</v>
      </c>
      <c r="P30155" s="5" t="s">
        <v>355</v>
      </c>
      <c r="Q30155" s="5" t="s">
        <v>355</v>
      </c>
    </row>
    <row r="30156" ht="16.5" customHeight="1">
      <c r="O30156" s="5" t="s">
        <v>355</v>
      </c>
      <c r="P30156" s="5" t="s">
        <v>355</v>
      </c>
      <c r="Q30156" s="5" t="s">
        <v>355</v>
      </c>
    </row>
    <row r="30157" ht="16.5" customHeight="1">
      <c r="O30157" s="5" t="s">
        <v>355</v>
      </c>
      <c r="P30157" s="5" t="s">
        <v>355</v>
      </c>
      <c r="Q30157" s="5" t="s">
        <v>355</v>
      </c>
    </row>
    <row r="30158" ht="16.5" customHeight="1">
      <c r="O30158" s="5" t="s">
        <v>355</v>
      </c>
      <c r="P30158" s="5" t="s">
        <v>355</v>
      </c>
      <c r="Q30158" s="5" t="s">
        <v>355</v>
      </c>
    </row>
    <row r="30159" ht="16.5" customHeight="1">
      <c r="O30159" s="5" t="s">
        <v>355</v>
      </c>
      <c r="P30159" s="5" t="s">
        <v>355</v>
      </c>
      <c r="Q30159" s="5" t="s">
        <v>355</v>
      </c>
    </row>
    <row r="30160" ht="16.5" customHeight="1">
      <c r="O30160" s="5" t="s">
        <v>355</v>
      </c>
      <c r="P30160" s="5" t="s">
        <v>355</v>
      </c>
      <c r="Q30160" s="5" t="s">
        <v>355</v>
      </c>
    </row>
    <row r="30161" ht="16.5" customHeight="1">
      <c r="O30161" s="5" t="s">
        <v>355</v>
      </c>
      <c r="P30161" s="5" t="s">
        <v>355</v>
      </c>
      <c r="Q30161" s="5" t="s">
        <v>355</v>
      </c>
    </row>
    <row r="30162" ht="16.5" customHeight="1">
      <c r="O30162" s="5" t="s">
        <v>355</v>
      </c>
      <c r="P30162" s="5" t="s">
        <v>355</v>
      </c>
      <c r="Q30162" s="5" t="s">
        <v>355</v>
      </c>
    </row>
    <row r="30163" ht="16.5" customHeight="1">
      <c r="O30163" s="5" t="s">
        <v>355</v>
      </c>
      <c r="P30163" s="5" t="s">
        <v>355</v>
      </c>
      <c r="Q30163" s="5" t="s">
        <v>355</v>
      </c>
    </row>
    <row r="30164" ht="16.5" customHeight="1">
      <c r="O30164" s="5" t="s">
        <v>355</v>
      </c>
      <c r="P30164" s="5" t="s">
        <v>355</v>
      </c>
      <c r="Q30164" s="5" t="s">
        <v>355</v>
      </c>
    </row>
    <row r="30165" ht="16.5" customHeight="1">
      <c r="O30165" s="5" t="s">
        <v>355</v>
      </c>
      <c r="P30165" s="5" t="s">
        <v>355</v>
      </c>
      <c r="Q30165" s="5" t="s">
        <v>355</v>
      </c>
    </row>
    <row r="30166" ht="16.5" customHeight="1">
      <c r="O30166" s="5" t="s">
        <v>355</v>
      </c>
      <c r="P30166" s="5" t="s">
        <v>355</v>
      </c>
      <c r="Q30166" s="5" t="s">
        <v>355</v>
      </c>
    </row>
    <row r="30167" ht="16.5" customHeight="1">
      <c r="O30167" s="5" t="s">
        <v>355</v>
      </c>
      <c r="P30167" s="5" t="s">
        <v>355</v>
      </c>
      <c r="Q30167" s="5" t="s">
        <v>355</v>
      </c>
    </row>
    <row r="30168" ht="16.5" customHeight="1">
      <c r="O30168" s="5" t="s">
        <v>355</v>
      </c>
      <c r="P30168" s="5" t="s">
        <v>355</v>
      </c>
      <c r="Q30168" s="5" t="s">
        <v>355</v>
      </c>
    </row>
    <row r="30169" ht="16.5" customHeight="1">
      <c r="O30169" s="5" t="s">
        <v>355</v>
      </c>
      <c r="P30169" s="5" t="s">
        <v>355</v>
      </c>
      <c r="Q30169" s="5" t="s">
        <v>355</v>
      </c>
    </row>
    <row r="30170" ht="16.5" customHeight="1">
      <c r="O30170" s="5" t="s">
        <v>355</v>
      </c>
      <c r="P30170" s="5" t="s">
        <v>355</v>
      </c>
      <c r="Q30170" s="5" t="s">
        <v>355</v>
      </c>
    </row>
    <row r="30171" ht="16.5" customHeight="1">
      <c r="O30171" s="5" t="s">
        <v>355</v>
      </c>
      <c r="P30171" s="5" t="s">
        <v>355</v>
      </c>
      <c r="Q30171" s="5" t="s">
        <v>355</v>
      </c>
    </row>
    <row r="30172" ht="16.5" customHeight="1">
      <c r="O30172" s="5" t="s">
        <v>355</v>
      </c>
      <c r="P30172" s="5" t="s">
        <v>355</v>
      </c>
      <c r="Q30172" s="5" t="s">
        <v>355</v>
      </c>
    </row>
    <row r="30173" ht="16.5" customHeight="1">
      <c r="O30173" s="5" t="s">
        <v>355</v>
      </c>
      <c r="P30173" s="5" t="s">
        <v>355</v>
      </c>
      <c r="Q30173" s="5" t="s">
        <v>355</v>
      </c>
    </row>
    <row r="30174" ht="16.5" customHeight="1">
      <c r="O30174" s="5" t="s">
        <v>355</v>
      </c>
      <c r="P30174" s="5" t="s">
        <v>355</v>
      </c>
      <c r="Q30174" s="5" t="s">
        <v>355</v>
      </c>
    </row>
    <row r="30175" ht="16.5" customHeight="1">
      <c r="O30175" s="5" t="s">
        <v>355</v>
      </c>
      <c r="P30175" s="5" t="s">
        <v>355</v>
      </c>
      <c r="Q30175" s="5" t="s">
        <v>355</v>
      </c>
    </row>
    <row r="30176" ht="16.5" customHeight="1">
      <c r="O30176" s="5" t="s">
        <v>355</v>
      </c>
      <c r="P30176" s="5" t="s">
        <v>355</v>
      </c>
      <c r="Q30176" s="5" t="s">
        <v>355</v>
      </c>
    </row>
    <row r="30177" ht="16.5" customHeight="1">
      <c r="O30177" s="5" t="s">
        <v>355</v>
      </c>
      <c r="P30177" s="5" t="s">
        <v>355</v>
      </c>
      <c r="Q30177" s="5" t="s">
        <v>355</v>
      </c>
    </row>
    <row r="30178" ht="16.5" customHeight="1">
      <c r="O30178" s="5" t="s">
        <v>355</v>
      </c>
      <c r="P30178" s="5" t="s">
        <v>355</v>
      </c>
      <c r="Q30178" s="5" t="s">
        <v>355</v>
      </c>
    </row>
    <row r="30179" ht="16.5" customHeight="1">
      <c r="O30179" s="5" t="s">
        <v>355</v>
      </c>
      <c r="P30179" s="5" t="s">
        <v>355</v>
      </c>
      <c r="Q30179" s="5" t="s">
        <v>355</v>
      </c>
    </row>
    <row r="30180" ht="16.5" customHeight="1">
      <c r="O30180" s="5" t="s">
        <v>355</v>
      </c>
      <c r="P30180" s="5" t="s">
        <v>355</v>
      </c>
      <c r="Q30180" s="5" t="s">
        <v>355</v>
      </c>
    </row>
    <row r="30181" ht="16.5" customHeight="1">
      <c r="O30181" s="5" t="s">
        <v>355</v>
      </c>
      <c r="P30181" s="5" t="s">
        <v>355</v>
      </c>
      <c r="Q30181" s="5" t="s">
        <v>355</v>
      </c>
    </row>
    <row r="30182" ht="16.5" customHeight="1">
      <c r="O30182" s="5" t="s">
        <v>355</v>
      </c>
      <c r="P30182" s="5" t="s">
        <v>355</v>
      </c>
      <c r="Q30182" s="5" t="s">
        <v>355</v>
      </c>
    </row>
    <row r="30183" ht="16.5" customHeight="1">
      <c r="O30183" s="5" t="s">
        <v>355</v>
      </c>
      <c r="P30183" s="5" t="s">
        <v>355</v>
      </c>
      <c r="Q30183" s="5" t="s">
        <v>355</v>
      </c>
    </row>
    <row r="30184" ht="16.5" customHeight="1">
      <c r="O30184" s="5" t="s">
        <v>355</v>
      </c>
      <c r="P30184" s="5" t="s">
        <v>355</v>
      </c>
      <c r="Q30184" s="5" t="s">
        <v>355</v>
      </c>
    </row>
    <row r="30185" ht="16.5" customHeight="1">
      <c r="O30185" s="5" t="s">
        <v>355</v>
      </c>
      <c r="P30185" s="5" t="s">
        <v>355</v>
      </c>
      <c r="Q30185" s="5" t="s">
        <v>355</v>
      </c>
    </row>
    <row r="30186" ht="16.5" customHeight="1">
      <c r="O30186" s="5" t="s">
        <v>355</v>
      </c>
      <c r="P30186" s="5" t="s">
        <v>355</v>
      </c>
      <c r="Q30186" s="5" t="s">
        <v>355</v>
      </c>
    </row>
    <row r="30187" ht="16.5" customHeight="1">
      <c r="O30187" s="5" t="s">
        <v>355</v>
      </c>
      <c r="P30187" s="5" t="s">
        <v>355</v>
      </c>
      <c r="Q30187" s="5" t="s">
        <v>355</v>
      </c>
    </row>
    <row r="30188" ht="16.5" customHeight="1">
      <c r="O30188" s="5" t="s">
        <v>355</v>
      </c>
      <c r="P30188" s="5" t="s">
        <v>355</v>
      </c>
      <c r="Q30188" s="5" t="s">
        <v>355</v>
      </c>
    </row>
    <row r="30189" ht="16.5" customHeight="1">
      <c r="O30189" s="5" t="s">
        <v>355</v>
      </c>
      <c r="P30189" s="5" t="s">
        <v>355</v>
      </c>
      <c r="Q30189" s="5" t="s">
        <v>355</v>
      </c>
    </row>
    <row r="30190" ht="16.5" customHeight="1">
      <c r="O30190" s="5" t="s">
        <v>355</v>
      </c>
      <c r="P30190" s="5" t="s">
        <v>355</v>
      </c>
      <c r="Q30190" s="5" t="s">
        <v>355</v>
      </c>
    </row>
    <row r="30191" ht="16.5" customHeight="1">
      <c r="O30191" s="5" t="s">
        <v>355</v>
      </c>
      <c r="P30191" s="5" t="s">
        <v>355</v>
      </c>
      <c r="Q30191" s="5" t="s">
        <v>355</v>
      </c>
    </row>
    <row r="30192" ht="16.5" customHeight="1">
      <c r="O30192" s="5" t="s">
        <v>355</v>
      </c>
      <c r="P30192" s="5" t="s">
        <v>355</v>
      </c>
      <c r="Q30192" s="5" t="s">
        <v>355</v>
      </c>
    </row>
    <row r="30193" ht="16.5" customHeight="1">
      <c r="O30193" s="5" t="s">
        <v>355</v>
      </c>
      <c r="P30193" s="5" t="s">
        <v>355</v>
      </c>
      <c r="Q30193" s="5" t="s">
        <v>355</v>
      </c>
    </row>
    <row r="30194" ht="16.5" customHeight="1">
      <c r="O30194" s="5" t="s">
        <v>355</v>
      </c>
      <c r="P30194" s="5" t="s">
        <v>355</v>
      </c>
      <c r="Q30194" s="5" t="s">
        <v>355</v>
      </c>
    </row>
    <row r="30195" ht="16.5" customHeight="1">
      <c r="O30195" s="5" t="s">
        <v>355</v>
      </c>
      <c r="P30195" s="5" t="s">
        <v>355</v>
      </c>
      <c r="Q30195" s="5" t="s">
        <v>355</v>
      </c>
    </row>
    <row r="30196" ht="16.5" customHeight="1">
      <c r="O30196" s="5" t="s">
        <v>355</v>
      </c>
      <c r="P30196" s="5" t="s">
        <v>355</v>
      </c>
      <c r="Q30196" s="5" t="s">
        <v>355</v>
      </c>
    </row>
    <row r="30197" ht="16.5" customHeight="1">
      <c r="O30197" s="5" t="s">
        <v>355</v>
      </c>
      <c r="P30197" s="5" t="s">
        <v>355</v>
      </c>
      <c r="Q30197" s="5" t="s">
        <v>355</v>
      </c>
    </row>
    <row r="30198" ht="16.5" customHeight="1">
      <c r="O30198" s="5" t="s">
        <v>355</v>
      </c>
      <c r="P30198" s="5" t="s">
        <v>355</v>
      </c>
      <c r="Q30198" s="5" t="s">
        <v>355</v>
      </c>
    </row>
    <row r="30199" ht="16.5" customHeight="1">
      <c r="O30199" s="5" t="s">
        <v>355</v>
      </c>
      <c r="P30199" s="5" t="s">
        <v>355</v>
      </c>
      <c r="Q30199" s="5" t="s">
        <v>355</v>
      </c>
    </row>
    <row r="30200" ht="16.5" customHeight="1">
      <c r="O30200" s="5" t="s">
        <v>355</v>
      </c>
      <c r="P30200" s="5" t="s">
        <v>355</v>
      </c>
      <c r="Q30200" s="5" t="s">
        <v>355</v>
      </c>
    </row>
    <row r="30201" ht="16.5" customHeight="1">
      <c r="O30201" s="5" t="s">
        <v>355</v>
      </c>
      <c r="P30201" s="5" t="s">
        <v>355</v>
      </c>
      <c r="Q30201" s="5" t="s">
        <v>355</v>
      </c>
    </row>
    <row r="30202" ht="16.5" customHeight="1">
      <c r="O30202" s="5" t="s">
        <v>355</v>
      </c>
      <c r="P30202" s="5" t="s">
        <v>355</v>
      </c>
      <c r="Q30202" s="5" t="s">
        <v>355</v>
      </c>
    </row>
    <row r="30203" ht="16.5" customHeight="1">
      <c r="O30203" s="5" t="s">
        <v>355</v>
      </c>
      <c r="P30203" s="5" t="s">
        <v>355</v>
      </c>
      <c r="Q30203" s="5" t="s">
        <v>355</v>
      </c>
    </row>
    <row r="30204" ht="16.5" customHeight="1">
      <c r="O30204" s="5" t="s">
        <v>355</v>
      </c>
      <c r="P30204" s="5" t="s">
        <v>355</v>
      </c>
      <c r="Q30204" s="5" t="s">
        <v>355</v>
      </c>
    </row>
    <row r="30205" ht="16.5" customHeight="1">
      <c r="O30205" s="5" t="s">
        <v>355</v>
      </c>
      <c r="P30205" s="5" t="s">
        <v>355</v>
      </c>
      <c r="Q30205" s="5" t="s">
        <v>355</v>
      </c>
    </row>
    <row r="30206" ht="16.5" customHeight="1">
      <c r="O30206" s="5" t="s">
        <v>355</v>
      </c>
      <c r="P30206" s="5" t="s">
        <v>355</v>
      </c>
      <c r="Q30206" s="5" t="s">
        <v>355</v>
      </c>
    </row>
    <row r="30207" ht="16.5" customHeight="1">
      <c r="O30207" s="5" t="s">
        <v>355</v>
      </c>
      <c r="P30207" s="5" t="s">
        <v>355</v>
      </c>
      <c r="Q30207" s="5" t="s">
        <v>355</v>
      </c>
    </row>
    <row r="30208" ht="16.5" customHeight="1">
      <c r="O30208" s="5" t="s">
        <v>355</v>
      </c>
      <c r="P30208" s="5" t="s">
        <v>355</v>
      </c>
      <c r="Q30208" s="5" t="s">
        <v>355</v>
      </c>
    </row>
    <row r="30209" ht="16.5" customHeight="1">
      <c r="O30209" s="5" t="s">
        <v>355</v>
      </c>
      <c r="P30209" s="5" t="s">
        <v>355</v>
      </c>
      <c r="Q30209" s="5" t="s">
        <v>355</v>
      </c>
    </row>
    <row r="30210" ht="16.5" customHeight="1">
      <c r="O30210" s="5" t="s">
        <v>355</v>
      </c>
      <c r="P30210" s="5" t="s">
        <v>355</v>
      </c>
      <c r="Q30210" s="5" t="s">
        <v>355</v>
      </c>
    </row>
    <row r="30211" ht="16.5" customHeight="1">
      <c r="O30211" s="5" t="s">
        <v>355</v>
      </c>
      <c r="P30211" s="5" t="s">
        <v>355</v>
      </c>
      <c r="Q30211" s="5" t="s">
        <v>355</v>
      </c>
    </row>
    <row r="30212" ht="16.5" customHeight="1">
      <c r="O30212" s="5" t="s">
        <v>355</v>
      </c>
      <c r="P30212" s="5" t="s">
        <v>355</v>
      </c>
      <c r="Q30212" s="5" t="s">
        <v>355</v>
      </c>
    </row>
    <row r="30213" ht="16.5" customHeight="1">
      <c r="O30213" s="5" t="s">
        <v>355</v>
      </c>
      <c r="P30213" s="5" t="s">
        <v>355</v>
      </c>
      <c r="Q30213" s="5" t="s">
        <v>355</v>
      </c>
    </row>
    <row r="30214" ht="16.5" customHeight="1">
      <c r="O30214" s="5" t="s">
        <v>355</v>
      </c>
      <c r="P30214" s="5" t="s">
        <v>355</v>
      </c>
      <c r="Q30214" s="5" t="s">
        <v>355</v>
      </c>
    </row>
    <row r="30215" ht="16.5" customHeight="1">
      <c r="O30215" s="5" t="s">
        <v>355</v>
      </c>
      <c r="P30215" s="5" t="s">
        <v>355</v>
      </c>
      <c r="Q30215" s="5" t="s">
        <v>355</v>
      </c>
    </row>
    <row r="30216" ht="16.5" customHeight="1">
      <c r="O30216" s="5" t="s">
        <v>355</v>
      </c>
      <c r="P30216" s="5" t="s">
        <v>355</v>
      </c>
      <c r="Q30216" s="5" t="s">
        <v>355</v>
      </c>
    </row>
    <row r="30217" ht="16.5" customHeight="1">
      <c r="O30217" s="5" t="s">
        <v>355</v>
      </c>
      <c r="P30217" s="5" t="s">
        <v>355</v>
      </c>
      <c r="Q30217" s="5" t="s">
        <v>355</v>
      </c>
    </row>
    <row r="30218" ht="16.5" customHeight="1">
      <c r="O30218" s="5" t="s">
        <v>355</v>
      </c>
      <c r="P30218" s="5" t="s">
        <v>355</v>
      </c>
      <c r="Q30218" s="5" t="s">
        <v>355</v>
      </c>
    </row>
    <row r="30219" ht="16.5" customHeight="1">
      <c r="O30219" s="5" t="s">
        <v>355</v>
      </c>
      <c r="P30219" s="5" t="s">
        <v>355</v>
      </c>
      <c r="Q30219" s="5" t="s">
        <v>355</v>
      </c>
    </row>
    <row r="30220" ht="16.5" customHeight="1">
      <c r="O30220" s="5" t="s">
        <v>355</v>
      </c>
      <c r="P30220" s="5" t="s">
        <v>355</v>
      </c>
      <c r="Q30220" s="5" t="s">
        <v>355</v>
      </c>
    </row>
    <row r="30221" ht="16.5" customHeight="1">
      <c r="O30221" s="5" t="s">
        <v>355</v>
      </c>
      <c r="P30221" s="5" t="s">
        <v>355</v>
      </c>
      <c r="Q30221" s="5" t="s">
        <v>355</v>
      </c>
    </row>
    <row r="30222" ht="16.5" customHeight="1">
      <c r="O30222" s="5" t="s">
        <v>355</v>
      </c>
      <c r="P30222" s="5" t="s">
        <v>355</v>
      </c>
      <c r="Q30222" s="5" t="s">
        <v>355</v>
      </c>
    </row>
    <row r="30223" ht="16.5" customHeight="1">
      <c r="O30223" s="5" t="s">
        <v>355</v>
      </c>
      <c r="P30223" s="5" t="s">
        <v>355</v>
      </c>
      <c r="Q30223" s="5" t="s">
        <v>355</v>
      </c>
    </row>
    <row r="30224" ht="16.5" customHeight="1">
      <c r="O30224" s="5" t="s">
        <v>355</v>
      </c>
      <c r="P30224" s="5" t="s">
        <v>355</v>
      </c>
      <c r="Q30224" s="5" t="s">
        <v>355</v>
      </c>
    </row>
    <row r="30225" ht="16.5" customHeight="1">
      <c r="O30225" s="5" t="s">
        <v>355</v>
      </c>
      <c r="P30225" s="5" t="s">
        <v>355</v>
      </c>
      <c r="Q30225" s="5" t="s">
        <v>355</v>
      </c>
    </row>
    <row r="30226" ht="16.5" customHeight="1">
      <c r="O30226" s="5" t="s">
        <v>355</v>
      </c>
      <c r="P30226" s="5" t="s">
        <v>355</v>
      </c>
      <c r="Q30226" s="5" t="s">
        <v>355</v>
      </c>
    </row>
    <row r="30227" ht="16.5" customHeight="1">
      <c r="O30227" s="5" t="s">
        <v>355</v>
      </c>
      <c r="P30227" s="5" t="s">
        <v>355</v>
      </c>
      <c r="Q30227" s="5" t="s">
        <v>355</v>
      </c>
    </row>
    <row r="30228" ht="16.5" customHeight="1">
      <c r="O30228" s="5" t="s">
        <v>355</v>
      </c>
      <c r="P30228" s="5" t="s">
        <v>355</v>
      </c>
      <c r="Q30228" s="5" t="s">
        <v>355</v>
      </c>
    </row>
    <row r="30229" ht="16.5" customHeight="1">
      <c r="O30229" s="5" t="s">
        <v>355</v>
      </c>
      <c r="P30229" s="5" t="s">
        <v>355</v>
      </c>
      <c r="Q30229" s="5" t="s">
        <v>355</v>
      </c>
    </row>
    <row r="30230" ht="16.5" customHeight="1">
      <c r="O30230" s="5" t="s">
        <v>355</v>
      </c>
      <c r="P30230" s="5" t="s">
        <v>355</v>
      </c>
      <c r="Q30230" s="5" t="s">
        <v>355</v>
      </c>
    </row>
    <row r="30231" ht="16.5" customHeight="1">
      <c r="O30231" s="5" t="s">
        <v>355</v>
      </c>
      <c r="P30231" s="5" t="s">
        <v>355</v>
      </c>
      <c r="Q30231" s="5" t="s">
        <v>355</v>
      </c>
    </row>
    <row r="30232" ht="16.5" customHeight="1">
      <c r="O30232" s="5" t="s">
        <v>355</v>
      </c>
      <c r="P30232" s="5" t="s">
        <v>355</v>
      </c>
      <c r="Q30232" s="5" t="s">
        <v>355</v>
      </c>
    </row>
    <row r="30233" ht="16.5" customHeight="1">
      <c r="O30233" s="5" t="s">
        <v>355</v>
      </c>
      <c r="P30233" s="5" t="s">
        <v>355</v>
      </c>
      <c r="Q30233" s="5" t="s">
        <v>355</v>
      </c>
    </row>
    <row r="30234" ht="16.5" customHeight="1">
      <c r="O30234" s="5" t="s">
        <v>355</v>
      </c>
      <c r="P30234" s="5" t="s">
        <v>355</v>
      </c>
      <c r="Q30234" s="5" t="s">
        <v>355</v>
      </c>
    </row>
    <row r="30235" ht="16.5" customHeight="1">
      <c r="O30235" s="5" t="s">
        <v>355</v>
      </c>
      <c r="P30235" s="5" t="s">
        <v>355</v>
      </c>
      <c r="Q30235" s="5" t="s">
        <v>355</v>
      </c>
    </row>
    <row r="30236" ht="16.5" customHeight="1">
      <c r="O30236" s="5" t="s">
        <v>355</v>
      </c>
      <c r="P30236" s="5" t="s">
        <v>355</v>
      </c>
      <c r="Q30236" s="5" t="s">
        <v>355</v>
      </c>
    </row>
    <row r="30237" ht="16.5" customHeight="1">
      <c r="O30237" s="5" t="s">
        <v>355</v>
      </c>
      <c r="P30237" s="5" t="s">
        <v>355</v>
      </c>
      <c r="Q30237" s="5" t="s">
        <v>355</v>
      </c>
    </row>
    <row r="30238" ht="16.5" customHeight="1">
      <c r="O30238" s="5" t="s">
        <v>355</v>
      </c>
      <c r="P30238" s="5" t="s">
        <v>355</v>
      </c>
      <c r="Q30238" s="5" t="s">
        <v>355</v>
      </c>
    </row>
    <row r="30239" ht="16.5" customHeight="1">
      <c r="O30239" s="5" t="s">
        <v>355</v>
      </c>
      <c r="P30239" s="5" t="s">
        <v>355</v>
      </c>
      <c r="Q30239" s="5" t="s">
        <v>355</v>
      </c>
    </row>
    <row r="30240" ht="16.5" customHeight="1">
      <c r="O30240" s="5" t="s">
        <v>355</v>
      </c>
      <c r="P30240" s="5" t="s">
        <v>355</v>
      </c>
      <c r="Q30240" s="5" t="s">
        <v>355</v>
      </c>
    </row>
    <row r="30241" ht="16.5" customHeight="1">
      <c r="O30241" s="5" t="s">
        <v>355</v>
      </c>
      <c r="P30241" s="5" t="s">
        <v>355</v>
      </c>
      <c r="Q30241" s="5" t="s">
        <v>355</v>
      </c>
    </row>
    <row r="30242" ht="16.5" customHeight="1">
      <c r="O30242" s="5" t="s">
        <v>355</v>
      </c>
      <c r="P30242" s="5" t="s">
        <v>355</v>
      </c>
      <c r="Q30242" s="5" t="s">
        <v>355</v>
      </c>
    </row>
    <row r="30243" ht="16.5" customHeight="1">
      <c r="O30243" s="5" t="s">
        <v>355</v>
      </c>
      <c r="P30243" s="5" t="s">
        <v>355</v>
      </c>
      <c r="Q30243" s="5" t="s">
        <v>355</v>
      </c>
    </row>
    <row r="30244" ht="16.5" customHeight="1">
      <c r="O30244" s="5" t="s">
        <v>355</v>
      </c>
      <c r="P30244" s="5" t="s">
        <v>355</v>
      </c>
      <c r="Q30244" s="5" t="s">
        <v>355</v>
      </c>
    </row>
    <row r="30245" ht="16.5" customHeight="1">
      <c r="O30245" s="5" t="s">
        <v>355</v>
      </c>
      <c r="P30245" s="5" t="s">
        <v>355</v>
      </c>
      <c r="Q30245" s="5" t="s">
        <v>355</v>
      </c>
    </row>
    <row r="30246" ht="16.5" customHeight="1">
      <c r="O30246" s="5" t="s">
        <v>355</v>
      </c>
      <c r="P30246" s="5" t="s">
        <v>355</v>
      </c>
      <c r="Q30246" s="5" t="s">
        <v>355</v>
      </c>
    </row>
    <row r="30247" ht="16.5" customHeight="1">
      <c r="O30247" s="5" t="s">
        <v>355</v>
      </c>
      <c r="P30247" s="5" t="s">
        <v>355</v>
      </c>
      <c r="Q30247" s="5" t="s">
        <v>355</v>
      </c>
    </row>
    <row r="30248" ht="16.5" customHeight="1">
      <c r="O30248" s="5" t="s">
        <v>355</v>
      </c>
      <c r="P30248" s="5" t="s">
        <v>355</v>
      </c>
      <c r="Q30248" s="5" t="s">
        <v>355</v>
      </c>
    </row>
    <row r="30249" ht="16.5" customHeight="1">
      <c r="O30249" s="5" t="s">
        <v>355</v>
      </c>
      <c r="P30249" s="5" t="s">
        <v>355</v>
      </c>
      <c r="Q30249" s="5" t="s">
        <v>355</v>
      </c>
    </row>
    <row r="30250" ht="16.5" customHeight="1">
      <c r="O30250" s="5" t="s">
        <v>355</v>
      </c>
      <c r="P30250" s="5" t="s">
        <v>355</v>
      </c>
      <c r="Q30250" s="5" t="s">
        <v>355</v>
      </c>
    </row>
    <row r="30251" ht="16.5" customHeight="1">
      <c r="O30251" s="5" t="s">
        <v>355</v>
      </c>
      <c r="P30251" s="5" t="s">
        <v>355</v>
      </c>
      <c r="Q30251" s="5" t="s">
        <v>355</v>
      </c>
    </row>
    <row r="30252" ht="16.5" customHeight="1">
      <c r="O30252" s="5" t="s">
        <v>355</v>
      </c>
      <c r="P30252" s="5" t="s">
        <v>355</v>
      </c>
      <c r="Q30252" s="5" t="s">
        <v>355</v>
      </c>
    </row>
    <row r="30253" ht="16.5" customHeight="1">
      <c r="O30253" s="5" t="s">
        <v>355</v>
      </c>
      <c r="P30253" s="5" t="s">
        <v>355</v>
      </c>
      <c r="Q30253" s="5" t="s">
        <v>355</v>
      </c>
    </row>
    <row r="30254" ht="16.5" customHeight="1">
      <c r="O30254" s="5" t="s">
        <v>355</v>
      </c>
      <c r="P30254" s="5" t="s">
        <v>355</v>
      </c>
      <c r="Q30254" s="5" t="s">
        <v>355</v>
      </c>
    </row>
    <row r="30255" ht="16.5" customHeight="1">
      <c r="O30255" s="5" t="s">
        <v>355</v>
      </c>
      <c r="P30255" s="5" t="s">
        <v>355</v>
      </c>
      <c r="Q30255" s="5" t="s">
        <v>355</v>
      </c>
    </row>
    <row r="30256" ht="16.5" customHeight="1">
      <c r="O30256" s="5" t="s">
        <v>355</v>
      </c>
      <c r="P30256" s="5" t="s">
        <v>355</v>
      </c>
      <c r="Q30256" s="5" t="s">
        <v>355</v>
      </c>
    </row>
    <row r="30257" ht="16.5" customHeight="1">
      <c r="O30257" s="5" t="s">
        <v>355</v>
      </c>
      <c r="P30257" s="5" t="s">
        <v>355</v>
      </c>
      <c r="Q30257" s="5" t="s">
        <v>355</v>
      </c>
    </row>
    <row r="30258" ht="16.5" customHeight="1">
      <c r="O30258" s="5" t="s">
        <v>355</v>
      </c>
      <c r="P30258" s="5" t="s">
        <v>355</v>
      </c>
      <c r="Q30258" s="5" t="s">
        <v>355</v>
      </c>
    </row>
    <row r="30259" ht="16.5" customHeight="1">
      <c r="O30259" s="5" t="s">
        <v>355</v>
      </c>
      <c r="P30259" s="5" t="s">
        <v>355</v>
      </c>
      <c r="Q30259" s="5" t="s">
        <v>355</v>
      </c>
    </row>
    <row r="30260" ht="16.5" customHeight="1">
      <c r="O30260" s="5" t="s">
        <v>355</v>
      </c>
      <c r="P30260" s="5" t="s">
        <v>355</v>
      </c>
      <c r="Q30260" s="5" t="s">
        <v>355</v>
      </c>
    </row>
    <row r="30261" ht="16.5" customHeight="1">
      <c r="O30261" s="5" t="s">
        <v>355</v>
      </c>
      <c r="P30261" s="5" t="s">
        <v>355</v>
      </c>
      <c r="Q30261" s="5" t="s">
        <v>355</v>
      </c>
    </row>
    <row r="30262" ht="16.5" customHeight="1">
      <c r="O30262" s="5" t="s">
        <v>355</v>
      </c>
      <c r="P30262" s="5" t="s">
        <v>355</v>
      </c>
      <c r="Q30262" s="5" t="s">
        <v>355</v>
      </c>
    </row>
    <row r="30263" ht="16.5" customHeight="1">
      <c r="O30263" s="5" t="s">
        <v>355</v>
      </c>
      <c r="P30263" s="5" t="s">
        <v>355</v>
      </c>
      <c r="Q30263" s="5" t="s">
        <v>355</v>
      </c>
    </row>
    <row r="30264" ht="16.5" customHeight="1">
      <c r="O30264" s="5" t="s">
        <v>355</v>
      </c>
      <c r="P30264" s="5" t="s">
        <v>355</v>
      </c>
      <c r="Q30264" s="5" t="s">
        <v>355</v>
      </c>
    </row>
    <row r="30265" ht="16.5" customHeight="1">
      <c r="O30265" s="5" t="s">
        <v>355</v>
      </c>
      <c r="P30265" s="5" t="s">
        <v>355</v>
      </c>
      <c r="Q30265" s="5" t="s">
        <v>355</v>
      </c>
    </row>
    <row r="30266" ht="16.5" customHeight="1">
      <c r="O30266" s="5" t="s">
        <v>355</v>
      </c>
      <c r="P30266" s="5" t="s">
        <v>355</v>
      </c>
      <c r="Q30266" s="5" t="s">
        <v>355</v>
      </c>
    </row>
    <row r="30267" ht="16.5" customHeight="1">
      <c r="O30267" s="5" t="s">
        <v>355</v>
      </c>
      <c r="P30267" s="5" t="s">
        <v>355</v>
      </c>
      <c r="Q30267" s="5" t="s">
        <v>355</v>
      </c>
    </row>
    <row r="30268" ht="16.5" customHeight="1">
      <c r="O30268" s="5" t="s">
        <v>355</v>
      </c>
      <c r="P30268" s="5" t="s">
        <v>355</v>
      </c>
      <c r="Q30268" s="5" t="s">
        <v>355</v>
      </c>
    </row>
    <row r="30269" ht="16.5" customHeight="1">
      <c r="O30269" s="5" t="s">
        <v>355</v>
      </c>
      <c r="P30269" s="5" t="s">
        <v>355</v>
      </c>
      <c r="Q30269" s="5" t="s">
        <v>355</v>
      </c>
    </row>
    <row r="30270" ht="16.5" customHeight="1">
      <c r="O30270" s="5" t="s">
        <v>355</v>
      </c>
      <c r="P30270" s="5" t="s">
        <v>355</v>
      </c>
      <c r="Q30270" s="5" t="s">
        <v>355</v>
      </c>
    </row>
    <row r="30271" ht="16.5" customHeight="1">
      <c r="O30271" s="5" t="s">
        <v>355</v>
      </c>
      <c r="P30271" s="5" t="s">
        <v>355</v>
      </c>
      <c r="Q30271" s="5" t="s">
        <v>355</v>
      </c>
    </row>
    <row r="30272" ht="16.5" customHeight="1">
      <c r="O30272" s="5" t="s">
        <v>355</v>
      </c>
      <c r="P30272" s="5" t="s">
        <v>355</v>
      </c>
      <c r="Q30272" s="5" t="s">
        <v>355</v>
      </c>
    </row>
    <row r="30273" ht="16.5" customHeight="1">
      <c r="O30273" s="5" t="s">
        <v>355</v>
      </c>
      <c r="P30273" s="5" t="s">
        <v>355</v>
      </c>
      <c r="Q30273" s="5" t="s">
        <v>355</v>
      </c>
    </row>
    <row r="30274" ht="16.5" customHeight="1">
      <c r="O30274" s="5" t="s">
        <v>355</v>
      </c>
      <c r="P30274" s="5" t="s">
        <v>355</v>
      </c>
      <c r="Q30274" s="5" t="s">
        <v>355</v>
      </c>
    </row>
    <row r="30275" ht="16.5" customHeight="1">
      <c r="O30275" s="5" t="s">
        <v>355</v>
      </c>
      <c r="P30275" s="5" t="s">
        <v>355</v>
      </c>
      <c r="Q30275" s="5" t="s">
        <v>355</v>
      </c>
    </row>
    <row r="30276" ht="16.5" customHeight="1">
      <c r="O30276" s="5" t="s">
        <v>355</v>
      </c>
      <c r="P30276" s="5" t="s">
        <v>355</v>
      </c>
      <c r="Q30276" s="5" t="s">
        <v>355</v>
      </c>
    </row>
    <row r="30277" ht="16.5" customHeight="1">
      <c r="O30277" s="5" t="s">
        <v>355</v>
      </c>
      <c r="P30277" s="5" t="s">
        <v>355</v>
      </c>
      <c r="Q30277" s="5" t="s">
        <v>355</v>
      </c>
    </row>
    <row r="30278" ht="16.5" customHeight="1">
      <c r="O30278" s="5" t="s">
        <v>355</v>
      </c>
      <c r="P30278" s="5" t="s">
        <v>355</v>
      </c>
      <c r="Q30278" s="5" t="s">
        <v>355</v>
      </c>
    </row>
    <row r="30279" ht="16.5" customHeight="1">
      <c r="O30279" s="5" t="s">
        <v>355</v>
      </c>
      <c r="P30279" s="5" t="s">
        <v>355</v>
      </c>
      <c r="Q30279" s="5" t="s">
        <v>355</v>
      </c>
    </row>
    <row r="30280" ht="16.5" customHeight="1">
      <c r="O30280" s="5" t="s">
        <v>355</v>
      </c>
      <c r="P30280" s="5" t="s">
        <v>355</v>
      </c>
      <c r="Q30280" s="5" t="s">
        <v>355</v>
      </c>
    </row>
    <row r="30281" ht="16.5" customHeight="1">
      <c r="O30281" s="5" t="s">
        <v>355</v>
      </c>
      <c r="P30281" s="5" t="s">
        <v>355</v>
      </c>
      <c r="Q30281" s="5" t="s">
        <v>355</v>
      </c>
    </row>
    <row r="30282" ht="16.5" customHeight="1">
      <c r="O30282" s="5" t="s">
        <v>355</v>
      </c>
      <c r="P30282" s="5" t="s">
        <v>355</v>
      </c>
      <c r="Q30282" s="5" t="s">
        <v>355</v>
      </c>
    </row>
    <row r="30283" ht="16.5" customHeight="1">
      <c r="O30283" s="5" t="s">
        <v>355</v>
      </c>
      <c r="P30283" s="5" t="s">
        <v>355</v>
      </c>
      <c r="Q30283" s="5" t="s">
        <v>355</v>
      </c>
    </row>
    <row r="30284" ht="16.5" customHeight="1">
      <c r="O30284" s="5" t="s">
        <v>355</v>
      </c>
      <c r="P30284" s="5" t="s">
        <v>355</v>
      </c>
      <c r="Q30284" s="5" t="s">
        <v>355</v>
      </c>
    </row>
    <row r="30285" ht="16.5" customHeight="1">
      <c r="O30285" s="5" t="s">
        <v>355</v>
      </c>
      <c r="P30285" s="5" t="s">
        <v>355</v>
      </c>
      <c r="Q30285" s="5" t="s">
        <v>355</v>
      </c>
    </row>
    <row r="30286" ht="16.5" customHeight="1">
      <c r="O30286" s="5" t="s">
        <v>355</v>
      </c>
      <c r="P30286" s="5" t="s">
        <v>355</v>
      </c>
      <c r="Q30286" s="5" t="s">
        <v>355</v>
      </c>
    </row>
    <row r="30287" ht="16.5" customHeight="1">
      <c r="O30287" s="5" t="s">
        <v>355</v>
      </c>
      <c r="P30287" s="5" t="s">
        <v>355</v>
      </c>
      <c r="Q30287" s="5" t="s">
        <v>355</v>
      </c>
    </row>
    <row r="30288" ht="16.5" customHeight="1">
      <c r="O30288" s="5" t="s">
        <v>355</v>
      </c>
      <c r="P30288" s="5" t="s">
        <v>355</v>
      </c>
      <c r="Q30288" s="5" t="s">
        <v>355</v>
      </c>
    </row>
    <row r="30289" ht="16.5" customHeight="1">
      <c r="O30289" s="5" t="s">
        <v>355</v>
      </c>
      <c r="P30289" s="5" t="s">
        <v>355</v>
      </c>
      <c r="Q30289" s="5" t="s">
        <v>355</v>
      </c>
    </row>
    <row r="30290" ht="16.5" customHeight="1">
      <c r="O30290" s="5" t="s">
        <v>355</v>
      </c>
      <c r="P30290" s="5" t="s">
        <v>355</v>
      </c>
      <c r="Q30290" s="5" t="s">
        <v>355</v>
      </c>
    </row>
    <row r="30291" ht="16.5" customHeight="1">
      <c r="O30291" s="5" t="s">
        <v>355</v>
      </c>
      <c r="P30291" s="5" t="s">
        <v>355</v>
      </c>
      <c r="Q30291" s="5" t="s">
        <v>355</v>
      </c>
    </row>
    <row r="30292" ht="16.5" customHeight="1">
      <c r="O30292" s="5" t="s">
        <v>355</v>
      </c>
      <c r="P30292" s="5" t="s">
        <v>355</v>
      </c>
      <c r="Q30292" s="5" t="s">
        <v>355</v>
      </c>
    </row>
    <row r="30293" ht="16.5" customHeight="1">
      <c r="O30293" s="5" t="s">
        <v>355</v>
      </c>
      <c r="P30293" s="5" t="s">
        <v>355</v>
      </c>
      <c r="Q30293" s="5" t="s">
        <v>355</v>
      </c>
    </row>
    <row r="30294" ht="16.5" customHeight="1">
      <c r="O30294" s="5" t="s">
        <v>355</v>
      </c>
      <c r="P30294" s="5" t="s">
        <v>355</v>
      </c>
      <c r="Q30294" s="5" t="s">
        <v>355</v>
      </c>
    </row>
    <row r="30295" ht="16.5" customHeight="1">
      <c r="O30295" s="5" t="s">
        <v>355</v>
      </c>
      <c r="P30295" s="5" t="s">
        <v>355</v>
      </c>
      <c r="Q30295" s="5" t="s">
        <v>355</v>
      </c>
    </row>
    <row r="30296" ht="16.5" customHeight="1">
      <c r="O30296" s="5" t="s">
        <v>355</v>
      </c>
      <c r="P30296" s="5" t="s">
        <v>355</v>
      </c>
      <c r="Q30296" s="5" t="s">
        <v>355</v>
      </c>
    </row>
    <row r="30297" ht="16.5" customHeight="1">
      <c r="O30297" s="5" t="s">
        <v>355</v>
      </c>
      <c r="P30297" s="5" t="s">
        <v>355</v>
      </c>
      <c r="Q30297" s="5" t="s">
        <v>355</v>
      </c>
    </row>
    <row r="30298" ht="16.5" customHeight="1">
      <c r="O30298" s="5" t="s">
        <v>355</v>
      </c>
      <c r="P30298" s="5" t="s">
        <v>355</v>
      </c>
      <c r="Q30298" s="5" t="s">
        <v>355</v>
      </c>
    </row>
    <row r="30299" ht="16.5" customHeight="1">
      <c r="O30299" s="5" t="s">
        <v>355</v>
      </c>
      <c r="P30299" s="5" t="s">
        <v>355</v>
      </c>
      <c r="Q30299" s="5" t="s">
        <v>355</v>
      </c>
    </row>
    <row r="30300" ht="16.5" customHeight="1">
      <c r="O30300" s="5" t="s">
        <v>355</v>
      </c>
      <c r="P30300" s="5" t="s">
        <v>355</v>
      </c>
      <c r="Q30300" s="5" t="s">
        <v>355</v>
      </c>
    </row>
    <row r="30301" ht="16.5" customHeight="1">
      <c r="O30301" s="5" t="s">
        <v>355</v>
      </c>
      <c r="P30301" s="5" t="s">
        <v>355</v>
      </c>
      <c r="Q30301" s="5" t="s">
        <v>355</v>
      </c>
    </row>
    <row r="30302" ht="16.5" customHeight="1">
      <c r="O30302" s="5" t="s">
        <v>355</v>
      </c>
      <c r="P30302" s="5" t="s">
        <v>355</v>
      </c>
      <c r="Q30302" s="5" t="s">
        <v>355</v>
      </c>
    </row>
    <row r="30303" ht="16.5" customHeight="1">
      <c r="O30303" s="5" t="s">
        <v>355</v>
      </c>
      <c r="P30303" s="5" t="s">
        <v>355</v>
      </c>
      <c r="Q30303" s="5" t="s">
        <v>355</v>
      </c>
    </row>
    <row r="30304" ht="16.5" customHeight="1">
      <c r="O30304" s="5" t="s">
        <v>355</v>
      </c>
      <c r="P30304" s="5" t="s">
        <v>355</v>
      </c>
      <c r="Q30304" s="5" t="s">
        <v>355</v>
      </c>
    </row>
    <row r="30305" ht="16.5" customHeight="1">
      <c r="O30305" s="5" t="s">
        <v>355</v>
      </c>
      <c r="P30305" s="5" t="s">
        <v>355</v>
      </c>
      <c r="Q30305" s="5" t="s">
        <v>355</v>
      </c>
    </row>
    <row r="30306" ht="16.5" customHeight="1">
      <c r="O30306" s="5" t="s">
        <v>355</v>
      </c>
      <c r="P30306" s="5" t="s">
        <v>355</v>
      </c>
      <c r="Q30306" s="5" t="s">
        <v>355</v>
      </c>
    </row>
    <row r="30307" ht="16.5" customHeight="1">
      <c r="O30307" s="5" t="s">
        <v>355</v>
      </c>
      <c r="P30307" s="5" t="s">
        <v>355</v>
      </c>
      <c r="Q30307" s="5" t="s">
        <v>355</v>
      </c>
    </row>
    <row r="30308" ht="16.5" customHeight="1">
      <c r="O30308" s="5" t="s">
        <v>355</v>
      </c>
      <c r="P30308" s="5" t="s">
        <v>355</v>
      </c>
      <c r="Q30308" s="5" t="s">
        <v>355</v>
      </c>
    </row>
    <row r="30309" ht="16.5" customHeight="1">
      <c r="O30309" s="5" t="s">
        <v>355</v>
      </c>
      <c r="P30309" s="5" t="s">
        <v>355</v>
      </c>
      <c r="Q30309" s="5" t="s">
        <v>355</v>
      </c>
    </row>
    <row r="30310" ht="16.5" customHeight="1">
      <c r="O30310" s="5" t="s">
        <v>355</v>
      </c>
      <c r="P30310" s="5" t="s">
        <v>355</v>
      </c>
      <c r="Q30310" s="5" t="s">
        <v>355</v>
      </c>
    </row>
    <row r="30311" ht="16.5" customHeight="1">
      <c r="O30311" s="5" t="s">
        <v>355</v>
      </c>
      <c r="P30311" s="5" t="s">
        <v>355</v>
      </c>
      <c r="Q30311" s="5" t="s">
        <v>355</v>
      </c>
    </row>
    <row r="30312" ht="16.5" customHeight="1">
      <c r="O30312" s="5" t="s">
        <v>355</v>
      </c>
      <c r="P30312" s="5" t="s">
        <v>355</v>
      </c>
      <c r="Q30312" s="5" t="s">
        <v>355</v>
      </c>
    </row>
    <row r="30313" ht="16.5" customHeight="1">
      <c r="O30313" s="5" t="s">
        <v>355</v>
      </c>
      <c r="P30313" s="5" t="s">
        <v>355</v>
      </c>
      <c r="Q30313" s="5" t="s">
        <v>355</v>
      </c>
    </row>
    <row r="30314" ht="16.5" customHeight="1">
      <c r="O30314" s="5" t="s">
        <v>355</v>
      </c>
      <c r="P30314" s="5" t="s">
        <v>355</v>
      </c>
      <c r="Q30314" s="5" t="s">
        <v>355</v>
      </c>
    </row>
    <row r="30315" ht="16.5" customHeight="1">
      <c r="O30315" s="5" t="s">
        <v>355</v>
      </c>
      <c r="P30315" s="5" t="s">
        <v>355</v>
      </c>
      <c r="Q30315" s="5" t="s">
        <v>355</v>
      </c>
    </row>
    <row r="30316" ht="16.5" customHeight="1">
      <c r="O30316" s="5" t="s">
        <v>355</v>
      </c>
      <c r="P30316" s="5" t="s">
        <v>355</v>
      </c>
      <c r="Q30316" s="5" t="s">
        <v>355</v>
      </c>
    </row>
    <row r="30317" ht="16.5" customHeight="1">
      <c r="O30317" s="5" t="s">
        <v>355</v>
      </c>
      <c r="P30317" s="5" t="s">
        <v>355</v>
      </c>
      <c r="Q30317" s="5" t="s">
        <v>355</v>
      </c>
    </row>
    <row r="30318" ht="16.5" customHeight="1">
      <c r="O30318" s="5" t="s">
        <v>355</v>
      </c>
      <c r="P30318" s="5" t="s">
        <v>355</v>
      </c>
      <c r="Q30318" s="5" t="s">
        <v>355</v>
      </c>
    </row>
    <row r="30319" ht="16.5" customHeight="1">
      <c r="O30319" s="5" t="s">
        <v>355</v>
      </c>
      <c r="P30319" s="5" t="s">
        <v>355</v>
      </c>
      <c r="Q30319" s="5" t="s">
        <v>355</v>
      </c>
    </row>
    <row r="30320" ht="16.5" customHeight="1">
      <c r="O30320" s="5" t="s">
        <v>355</v>
      </c>
      <c r="P30320" s="5" t="s">
        <v>355</v>
      </c>
      <c r="Q30320" s="5" t="s">
        <v>355</v>
      </c>
    </row>
    <row r="30321" ht="16.5" customHeight="1">
      <c r="O30321" s="5" t="s">
        <v>355</v>
      </c>
      <c r="P30321" s="5" t="s">
        <v>355</v>
      </c>
      <c r="Q30321" s="5" t="s">
        <v>355</v>
      </c>
    </row>
    <row r="30322" ht="16.5" customHeight="1">
      <c r="O30322" s="5" t="s">
        <v>355</v>
      </c>
      <c r="P30322" s="5" t="s">
        <v>355</v>
      </c>
      <c r="Q30322" s="5" t="s">
        <v>355</v>
      </c>
    </row>
    <row r="30323" ht="16.5" customHeight="1">
      <c r="O30323" s="5" t="s">
        <v>355</v>
      </c>
      <c r="P30323" s="5" t="s">
        <v>355</v>
      </c>
      <c r="Q30323" s="5" t="s">
        <v>355</v>
      </c>
    </row>
    <row r="30324" ht="16.5" customHeight="1">
      <c r="O30324" s="5" t="s">
        <v>355</v>
      </c>
      <c r="P30324" s="5" t="s">
        <v>355</v>
      </c>
      <c r="Q30324" s="5" t="s">
        <v>355</v>
      </c>
    </row>
    <row r="30325" ht="16.5" customHeight="1">
      <c r="O30325" s="5" t="s">
        <v>355</v>
      </c>
      <c r="P30325" s="5" t="s">
        <v>355</v>
      </c>
      <c r="Q30325" s="5" t="s">
        <v>355</v>
      </c>
    </row>
    <row r="30326" ht="16.5" customHeight="1">
      <c r="O30326" s="5" t="s">
        <v>355</v>
      </c>
      <c r="P30326" s="5" t="s">
        <v>355</v>
      </c>
      <c r="Q30326" s="5" t="s">
        <v>355</v>
      </c>
    </row>
    <row r="30327" ht="16.5" customHeight="1">
      <c r="O30327" s="5" t="s">
        <v>355</v>
      </c>
      <c r="P30327" s="5" t="s">
        <v>355</v>
      </c>
      <c r="Q30327" s="5" t="s">
        <v>355</v>
      </c>
    </row>
    <row r="30328" ht="16.5" customHeight="1">
      <c r="O30328" s="5" t="s">
        <v>355</v>
      </c>
      <c r="P30328" s="5" t="s">
        <v>355</v>
      </c>
      <c r="Q30328" s="5" t="s">
        <v>355</v>
      </c>
    </row>
    <row r="30329" ht="16.5" customHeight="1">
      <c r="O30329" s="5" t="s">
        <v>355</v>
      </c>
      <c r="P30329" s="5" t="s">
        <v>355</v>
      </c>
      <c r="Q30329" s="5" t="s">
        <v>355</v>
      </c>
    </row>
    <row r="30330" ht="16.5" customHeight="1">
      <c r="O30330" s="5" t="s">
        <v>355</v>
      </c>
      <c r="P30330" s="5" t="s">
        <v>355</v>
      </c>
      <c r="Q30330" s="5" t="s">
        <v>355</v>
      </c>
    </row>
    <row r="30331" ht="16.5" customHeight="1">
      <c r="O30331" s="5" t="s">
        <v>355</v>
      </c>
      <c r="P30331" s="5" t="s">
        <v>355</v>
      </c>
      <c r="Q30331" s="5" t="s">
        <v>355</v>
      </c>
    </row>
    <row r="30332" ht="16.5" customHeight="1">
      <c r="O30332" s="5" t="s">
        <v>355</v>
      </c>
      <c r="P30332" s="5" t="s">
        <v>355</v>
      </c>
      <c r="Q30332" s="5" t="s">
        <v>355</v>
      </c>
    </row>
    <row r="30333" ht="16.5" customHeight="1">
      <c r="O30333" s="5" t="s">
        <v>355</v>
      </c>
      <c r="P30333" s="5" t="s">
        <v>355</v>
      </c>
      <c r="Q30333" s="5" t="s">
        <v>355</v>
      </c>
    </row>
    <row r="30334" ht="16.5" customHeight="1">
      <c r="O30334" s="5" t="s">
        <v>355</v>
      </c>
      <c r="P30334" s="5" t="s">
        <v>355</v>
      </c>
      <c r="Q30334" s="5" t="s">
        <v>355</v>
      </c>
    </row>
    <row r="30335" ht="16.5" customHeight="1">
      <c r="O30335" s="5" t="s">
        <v>355</v>
      </c>
      <c r="P30335" s="5" t="s">
        <v>355</v>
      </c>
      <c r="Q30335" s="5" t="s">
        <v>355</v>
      </c>
    </row>
    <row r="30336" ht="16.5" customHeight="1">
      <c r="O30336" s="5" t="s">
        <v>355</v>
      </c>
      <c r="P30336" s="5" t="s">
        <v>355</v>
      </c>
      <c r="Q30336" s="5" t="s">
        <v>355</v>
      </c>
    </row>
    <row r="30337" ht="16.5" customHeight="1">
      <c r="O30337" s="5" t="s">
        <v>355</v>
      </c>
      <c r="P30337" s="5" t="s">
        <v>355</v>
      </c>
      <c r="Q30337" s="5" t="s">
        <v>355</v>
      </c>
    </row>
    <row r="30338" ht="16.5" customHeight="1">
      <c r="O30338" s="5" t="s">
        <v>355</v>
      </c>
      <c r="P30338" s="5" t="s">
        <v>355</v>
      </c>
      <c r="Q30338" s="5" t="s">
        <v>355</v>
      </c>
    </row>
    <row r="30339" ht="16.5" customHeight="1">
      <c r="O30339" s="5" t="s">
        <v>355</v>
      </c>
      <c r="P30339" s="5" t="s">
        <v>355</v>
      </c>
      <c r="Q30339" s="5" t="s">
        <v>355</v>
      </c>
    </row>
    <row r="30340" ht="16.5" customHeight="1">
      <c r="O30340" s="5" t="s">
        <v>355</v>
      </c>
      <c r="P30340" s="5" t="s">
        <v>355</v>
      </c>
      <c r="Q30340" s="5" t="s">
        <v>355</v>
      </c>
    </row>
    <row r="30341" ht="16.5" customHeight="1">
      <c r="O30341" s="5" t="s">
        <v>355</v>
      </c>
      <c r="P30341" s="5" t="s">
        <v>355</v>
      </c>
      <c r="Q30341" s="5" t="s">
        <v>355</v>
      </c>
    </row>
    <row r="30342" ht="16.5" customHeight="1">
      <c r="O30342" s="5" t="s">
        <v>355</v>
      </c>
      <c r="P30342" s="5" t="s">
        <v>355</v>
      </c>
      <c r="Q30342" s="5" t="s">
        <v>355</v>
      </c>
    </row>
    <row r="30343" ht="16.5" customHeight="1">
      <c r="O30343" s="5" t="s">
        <v>355</v>
      </c>
      <c r="P30343" s="5" t="s">
        <v>355</v>
      </c>
      <c r="Q30343" s="5" t="s">
        <v>355</v>
      </c>
    </row>
    <row r="30344" ht="16.5" customHeight="1">
      <c r="O30344" s="5" t="s">
        <v>355</v>
      </c>
      <c r="P30344" s="5" t="s">
        <v>355</v>
      </c>
      <c r="Q30344" s="5" t="s">
        <v>355</v>
      </c>
    </row>
    <row r="30345" ht="16.5" customHeight="1">
      <c r="O30345" s="5" t="s">
        <v>355</v>
      </c>
      <c r="P30345" s="5" t="s">
        <v>355</v>
      </c>
      <c r="Q30345" s="5" t="s">
        <v>355</v>
      </c>
    </row>
    <row r="30346" ht="16.5" customHeight="1">
      <c r="O30346" s="5" t="s">
        <v>355</v>
      </c>
      <c r="P30346" s="5" t="s">
        <v>355</v>
      </c>
      <c r="Q30346" s="5" t="s">
        <v>355</v>
      </c>
    </row>
    <row r="30347" ht="16.5" customHeight="1">
      <c r="O30347" s="5" t="s">
        <v>355</v>
      </c>
      <c r="P30347" s="5" t="s">
        <v>355</v>
      </c>
      <c r="Q30347" s="5" t="s">
        <v>355</v>
      </c>
    </row>
    <row r="30348" ht="16.5" customHeight="1">
      <c r="O30348" s="5" t="s">
        <v>355</v>
      </c>
      <c r="P30348" s="5" t="s">
        <v>355</v>
      </c>
      <c r="Q30348" s="5" t="s">
        <v>355</v>
      </c>
    </row>
    <row r="30349" ht="16.5" customHeight="1">
      <c r="O30349" s="5" t="s">
        <v>355</v>
      </c>
      <c r="P30349" s="5" t="s">
        <v>355</v>
      </c>
      <c r="Q30349" s="5" t="s">
        <v>355</v>
      </c>
    </row>
    <row r="30350" ht="16.5" customHeight="1">
      <c r="O30350" s="5" t="s">
        <v>355</v>
      </c>
      <c r="P30350" s="5" t="s">
        <v>355</v>
      </c>
      <c r="Q30350" s="5" t="s">
        <v>355</v>
      </c>
    </row>
    <row r="30351" ht="16.5" customHeight="1">
      <c r="O30351" s="5" t="s">
        <v>355</v>
      </c>
      <c r="P30351" s="5" t="s">
        <v>355</v>
      </c>
      <c r="Q30351" s="5" t="s">
        <v>355</v>
      </c>
    </row>
    <row r="30352" ht="16.5" customHeight="1">
      <c r="O30352" s="5" t="s">
        <v>355</v>
      </c>
      <c r="P30352" s="5" t="s">
        <v>355</v>
      </c>
      <c r="Q30352" s="5" t="s">
        <v>355</v>
      </c>
    </row>
    <row r="30353" ht="16.5" customHeight="1">
      <c r="O30353" s="5" t="s">
        <v>355</v>
      </c>
      <c r="P30353" s="5" t="s">
        <v>355</v>
      </c>
      <c r="Q30353" s="5" t="s">
        <v>355</v>
      </c>
    </row>
    <row r="30354" ht="16.5" customHeight="1">
      <c r="O30354" s="5" t="s">
        <v>355</v>
      </c>
      <c r="P30354" s="5" t="s">
        <v>355</v>
      </c>
      <c r="Q30354" s="5" t="s">
        <v>355</v>
      </c>
    </row>
    <row r="30355" ht="16.5" customHeight="1">
      <c r="O30355" s="5" t="s">
        <v>355</v>
      </c>
      <c r="P30355" s="5" t="s">
        <v>355</v>
      </c>
      <c r="Q30355" s="5" t="s">
        <v>355</v>
      </c>
    </row>
    <row r="30356" ht="16.5" customHeight="1">
      <c r="O30356" s="5" t="s">
        <v>355</v>
      </c>
      <c r="P30356" s="5" t="s">
        <v>355</v>
      </c>
      <c r="Q30356" s="5" t="s">
        <v>355</v>
      </c>
    </row>
    <row r="30357" ht="16.5" customHeight="1">
      <c r="O30357" s="5" t="s">
        <v>355</v>
      </c>
      <c r="P30357" s="5" t="s">
        <v>355</v>
      </c>
      <c r="Q30357" s="5" t="s">
        <v>355</v>
      </c>
    </row>
    <row r="30358" ht="16.5" customHeight="1">
      <c r="O30358" s="5" t="s">
        <v>355</v>
      </c>
      <c r="P30358" s="5" t="s">
        <v>355</v>
      </c>
      <c r="Q30358" s="5" t="s">
        <v>355</v>
      </c>
    </row>
    <row r="30359" ht="16.5" customHeight="1">
      <c r="O30359" s="5" t="s">
        <v>355</v>
      </c>
      <c r="P30359" s="5" t="s">
        <v>355</v>
      </c>
      <c r="Q30359" s="5" t="s">
        <v>355</v>
      </c>
    </row>
    <row r="30360" ht="16.5" customHeight="1">
      <c r="O30360" s="5" t="s">
        <v>355</v>
      </c>
      <c r="P30360" s="5" t="s">
        <v>355</v>
      </c>
      <c r="Q30360" s="5" t="s">
        <v>355</v>
      </c>
    </row>
    <row r="30361" ht="16.5" customHeight="1">
      <c r="O30361" s="5" t="s">
        <v>355</v>
      </c>
      <c r="P30361" s="5" t="s">
        <v>355</v>
      </c>
      <c r="Q30361" s="5" t="s">
        <v>355</v>
      </c>
    </row>
    <row r="30362" ht="16.5" customHeight="1">
      <c r="O30362" s="5" t="s">
        <v>355</v>
      </c>
      <c r="P30362" s="5" t="s">
        <v>355</v>
      </c>
      <c r="Q30362" s="5" t="s">
        <v>355</v>
      </c>
    </row>
    <row r="30363" ht="16.5" customHeight="1">
      <c r="O30363" s="5" t="s">
        <v>355</v>
      </c>
      <c r="P30363" s="5" t="s">
        <v>355</v>
      </c>
      <c r="Q30363" s="5" t="s">
        <v>355</v>
      </c>
    </row>
    <row r="30364" ht="16.5" customHeight="1">
      <c r="O30364" s="5" t="s">
        <v>355</v>
      </c>
      <c r="P30364" s="5" t="s">
        <v>355</v>
      </c>
      <c r="Q30364" s="5" t="s">
        <v>355</v>
      </c>
    </row>
    <row r="30365" ht="16.5" customHeight="1">
      <c r="O30365" s="5" t="s">
        <v>355</v>
      </c>
      <c r="P30365" s="5" t="s">
        <v>355</v>
      </c>
      <c r="Q30365" s="5" t="s">
        <v>355</v>
      </c>
    </row>
    <row r="30366" ht="16.5" customHeight="1">
      <c r="O30366" s="5" t="s">
        <v>355</v>
      </c>
      <c r="P30366" s="5" t="s">
        <v>355</v>
      </c>
      <c r="Q30366" s="5" t="s">
        <v>355</v>
      </c>
    </row>
    <row r="30367" ht="16.5" customHeight="1">
      <c r="O30367" s="5" t="s">
        <v>355</v>
      </c>
      <c r="P30367" s="5" t="s">
        <v>355</v>
      </c>
      <c r="Q30367" s="5" t="s">
        <v>355</v>
      </c>
    </row>
    <row r="30368" ht="16.5" customHeight="1">
      <c r="O30368" s="5" t="s">
        <v>355</v>
      </c>
      <c r="P30368" s="5" t="s">
        <v>355</v>
      </c>
      <c r="Q30368" s="5" t="s">
        <v>355</v>
      </c>
    </row>
    <row r="30369" ht="16.5" customHeight="1">
      <c r="O30369" s="5" t="s">
        <v>355</v>
      </c>
      <c r="P30369" s="5" t="s">
        <v>355</v>
      </c>
      <c r="Q30369" s="5" t="s">
        <v>355</v>
      </c>
    </row>
    <row r="30370" ht="16.5" customHeight="1">
      <c r="O30370" s="5" t="s">
        <v>355</v>
      </c>
      <c r="P30370" s="5" t="s">
        <v>355</v>
      </c>
      <c r="Q30370" s="5" t="s">
        <v>355</v>
      </c>
    </row>
    <row r="30371" ht="16.5" customHeight="1">
      <c r="O30371" s="5" t="s">
        <v>355</v>
      </c>
      <c r="P30371" s="5" t="s">
        <v>355</v>
      </c>
      <c r="Q30371" s="5" t="s">
        <v>355</v>
      </c>
    </row>
    <row r="30372" ht="16.5" customHeight="1">
      <c r="O30372" s="5" t="s">
        <v>355</v>
      </c>
      <c r="P30372" s="5" t="s">
        <v>355</v>
      </c>
      <c r="Q30372" s="5" t="s">
        <v>355</v>
      </c>
    </row>
    <row r="30373" ht="16.5" customHeight="1">
      <c r="O30373" s="5" t="s">
        <v>355</v>
      </c>
      <c r="P30373" s="5" t="s">
        <v>355</v>
      </c>
      <c r="Q30373" s="5" t="s">
        <v>355</v>
      </c>
    </row>
    <row r="30374" ht="16.5" customHeight="1">
      <c r="O30374" s="5" t="s">
        <v>355</v>
      </c>
      <c r="P30374" s="5" t="s">
        <v>355</v>
      </c>
      <c r="Q30374" s="5" t="s">
        <v>355</v>
      </c>
    </row>
    <row r="30375" ht="16.5" customHeight="1">
      <c r="O30375" s="5" t="s">
        <v>355</v>
      </c>
      <c r="P30375" s="5" t="s">
        <v>355</v>
      </c>
      <c r="Q30375" s="5" t="s">
        <v>355</v>
      </c>
    </row>
    <row r="30376" ht="16.5" customHeight="1">
      <c r="O30376" s="5" t="s">
        <v>355</v>
      </c>
      <c r="P30376" s="5" t="s">
        <v>355</v>
      </c>
      <c r="Q30376" s="5" t="s">
        <v>355</v>
      </c>
    </row>
    <row r="30377" ht="16.5" customHeight="1">
      <c r="O30377" s="5" t="s">
        <v>355</v>
      </c>
      <c r="P30377" s="5" t="s">
        <v>355</v>
      </c>
      <c r="Q30377" s="5" t="s">
        <v>355</v>
      </c>
    </row>
    <row r="30378" ht="16.5" customHeight="1">
      <c r="O30378" s="5" t="s">
        <v>355</v>
      </c>
      <c r="P30378" s="5" t="s">
        <v>355</v>
      </c>
      <c r="Q30378" s="5" t="s">
        <v>355</v>
      </c>
    </row>
    <row r="30379" ht="16.5" customHeight="1">
      <c r="O30379" s="5" t="s">
        <v>355</v>
      </c>
      <c r="P30379" s="5" t="s">
        <v>355</v>
      </c>
      <c r="Q30379" s="5" t="s">
        <v>355</v>
      </c>
    </row>
    <row r="30380" ht="16.5" customHeight="1">
      <c r="O30380" s="5" t="s">
        <v>355</v>
      </c>
      <c r="P30380" s="5" t="s">
        <v>355</v>
      </c>
      <c r="Q30380" s="5" t="s">
        <v>355</v>
      </c>
    </row>
    <row r="30381" ht="16.5" customHeight="1">
      <c r="O30381" s="5" t="s">
        <v>355</v>
      </c>
      <c r="P30381" s="5" t="s">
        <v>355</v>
      </c>
      <c r="Q30381" s="5" t="s">
        <v>355</v>
      </c>
    </row>
    <row r="30382" ht="16.5" customHeight="1">
      <c r="O30382" s="5" t="s">
        <v>355</v>
      </c>
      <c r="P30382" s="5" t="s">
        <v>355</v>
      </c>
      <c r="Q30382" s="5" t="s">
        <v>355</v>
      </c>
    </row>
    <row r="30383" ht="16.5" customHeight="1">
      <c r="O30383" s="5" t="s">
        <v>355</v>
      </c>
      <c r="P30383" s="5" t="s">
        <v>355</v>
      </c>
      <c r="Q30383" s="5" t="s">
        <v>355</v>
      </c>
    </row>
    <row r="30384" ht="16.5" customHeight="1">
      <c r="O30384" s="5" t="s">
        <v>355</v>
      </c>
      <c r="P30384" s="5" t="s">
        <v>355</v>
      </c>
      <c r="Q30384" s="5" t="s">
        <v>355</v>
      </c>
    </row>
    <row r="30385" ht="16.5" customHeight="1">
      <c r="O30385" s="5" t="s">
        <v>355</v>
      </c>
      <c r="P30385" s="5" t="s">
        <v>355</v>
      </c>
      <c r="Q30385" s="5" t="s">
        <v>355</v>
      </c>
    </row>
    <row r="30386" ht="16.5" customHeight="1">
      <c r="O30386" s="5" t="s">
        <v>355</v>
      </c>
      <c r="P30386" s="5" t="s">
        <v>355</v>
      </c>
      <c r="Q30386" s="5" t="s">
        <v>355</v>
      </c>
    </row>
    <row r="30387" ht="16.5" customHeight="1">
      <c r="O30387" s="5" t="s">
        <v>355</v>
      </c>
      <c r="P30387" s="5" t="s">
        <v>355</v>
      </c>
      <c r="Q30387" s="5" t="s">
        <v>355</v>
      </c>
    </row>
    <row r="30388" ht="16.5" customHeight="1">
      <c r="O30388" s="5" t="s">
        <v>355</v>
      </c>
      <c r="P30388" s="5" t="s">
        <v>355</v>
      </c>
      <c r="Q30388" s="5" t="s">
        <v>355</v>
      </c>
    </row>
    <row r="30389" ht="16.5" customHeight="1">
      <c r="O30389" s="5" t="s">
        <v>355</v>
      </c>
      <c r="P30389" s="5" t="s">
        <v>355</v>
      </c>
      <c r="Q30389" s="5" t="s">
        <v>355</v>
      </c>
    </row>
    <row r="30390" ht="16.5" customHeight="1">
      <c r="O30390" s="5" t="s">
        <v>355</v>
      </c>
      <c r="P30390" s="5" t="s">
        <v>355</v>
      </c>
      <c r="Q30390" s="5" t="s">
        <v>355</v>
      </c>
    </row>
    <row r="30391" ht="16.5" customHeight="1">
      <c r="O30391" s="5" t="s">
        <v>355</v>
      </c>
      <c r="P30391" s="5" t="s">
        <v>355</v>
      </c>
      <c r="Q30391" s="5" t="s">
        <v>355</v>
      </c>
    </row>
    <row r="30392" ht="16.5" customHeight="1">
      <c r="O30392" s="5" t="s">
        <v>355</v>
      </c>
      <c r="P30392" s="5" t="s">
        <v>355</v>
      </c>
      <c r="Q30392" s="5" t="s">
        <v>355</v>
      </c>
    </row>
    <row r="30393" ht="16.5" customHeight="1">
      <c r="O30393" s="5" t="s">
        <v>355</v>
      </c>
      <c r="P30393" s="5" t="s">
        <v>355</v>
      </c>
      <c r="Q30393" s="5" t="s">
        <v>355</v>
      </c>
    </row>
    <row r="30394" ht="16.5" customHeight="1">
      <c r="O30394" s="5" t="s">
        <v>355</v>
      </c>
      <c r="P30394" s="5" t="s">
        <v>355</v>
      </c>
      <c r="Q30394" s="5" t="s">
        <v>355</v>
      </c>
    </row>
    <row r="30395" ht="16.5" customHeight="1">
      <c r="O30395" s="5" t="s">
        <v>355</v>
      </c>
      <c r="P30395" s="5" t="s">
        <v>355</v>
      </c>
      <c r="Q30395" s="5" t="s">
        <v>355</v>
      </c>
    </row>
    <row r="30396" ht="16.5" customHeight="1">
      <c r="O30396" s="5" t="s">
        <v>355</v>
      </c>
      <c r="P30396" s="5" t="s">
        <v>355</v>
      </c>
      <c r="Q30396" s="5" t="s">
        <v>355</v>
      </c>
    </row>
    <row r="30397" ht="16.5" customHeight="1">
      <c r="O30397" s="5" t="s">
        <v>355</v>
      </c>
      <c r="P30397" s="5" t="s">
        <v>355</v>
      </c>
      <c r="Q30397" s="5" t="s">
        <v>355</v>
      </c>
    </row>
    <row r="30398" ht="16.5" customHeight="1">
      <c r="O30398" s="5" t="s">
        <v>355</v>
      </c>
      <c r="P30398" s="5" t="s">
        <v>355</v>
      </c>
      <c r="Q30398" s="5" t="s">
        <v>355</v>
      </c>
    </row>
    <row r="30399" ht="16.5" customHeight="1">
      <c r="O30399" s="5" t="s">
        <v>355</v>
      </c>
      <c r="P30399" s="5" t="s">
        <v>355</v>
      </c>
      <c r="Q30399" s="5" t="s">
        <v>355</v>
      </c>
    </row>
    <row r="30400" ht="16.5" customHeight="1">
      <c r="O30400" s="5" t="s">
        <v>355</v>
      </c>
      <c r="P30400" s="5" t="s">
        <v>355</v>
      </c>
      <c r="Q30400" s="5" t="s">
        <v>355</v>
      </c>
    </row>
    <row r="30401" ht="16.5" customHeight="1">
      <c r="O30401" s="5" t="s">
        <v>355</v>
      </c>
      <c r="P30401" s="5" t="s">
        <v>355</v>
      </c>
      <c r="Q30401" s="5" t="s">
        <v>355</v>
      </c>
    </row>
    <row r="30402" ht="16.5" customHeight="1">
      <c r="O30402" s="5" t="s">
        <v>355</v>
      </c>
      <c r="P30402" s="5" t="s">
        <v>355</v>
      </c>
      <c r="Q30402" s="5" t="s">
        <v>355</v>
      </c>
    </row>
    <row r="30403" ht="16.5" customHeight="1">
      <c r="O30403" s="5" t="s">
        <v>355</v>
      </c>
      <c r="P30403" s="5" t="s">
        <v>355</v>
      </c>
      <c r="Q30403" s="5" t="s">
        <v>355</v>
      </c>
    </row>
    <row r="30404" ht="16.5" customHeight="1">
      <c r="O30404" s="5" t="s">
        <v>355</v>
      </c>
      <c r="P30404" s="5" t="s">
        <v>355</v>
      </c>
      <c r="Q30404" s="5" t="s">
        <v>355</v>
      </c>
    </row>
    <row r="30405" ht="16.5" customHeight="1">
      <c r="O30405" s="5" t="s">
        <v>355</v>
      </c>
      <c r="P30405" s="5" t="s">
        <v>355</v>
      </c>
      <c r="Q30405" s="5" t="s">
        <v>355</v>
      </c>
    </row>
    <row r="30406" ht="16.5" customHeight="1">
      <c r="O30406" s="5" t="s">
        <v>355</v>
      </c>
      <c r="P30406" s="5" t="s">
        <v>355</v>
      </c>
      <c r="Q30406" s="5" t="s">
        <v>355</v>
      </c>
    </row>
    <row r="30407" ht="16.5" customHeight="1">
      <c r="O30407" s="5" t="s">
        <v>355</v>
      </c>
      <c r="P30407" s="5" t="s">
        <v>355</v>
      </c>
      <c r="Q30407" s="5" t="s">
        <v>355</v>
      </c>
    </row>
    <row r="30408" ht="16.5" customHeight="1">
      <c r="O30408" s="5" t="s">
        <v>355</v>
      </c>
      <c r="P30408" s="5" t="s">
        <v>355</v>
      </c>
      <c r="Q30408" s="5" t="s">
        <v>355</v>
      </c>
    </row>
    <row r="30409" ht="16.5" customHeight="1">
      <c r="O30409" s="5" t="s">
        <v>355</v>
      </c>
      <c r="P30409" s="5" t="s">
        <v>355</v>
      </c>
      <c r="Q30409" s="5" t="s">
        <v>355</v>
      </c>
    </row>
    <row r="30410" ht="16.5" customHeight="1">
      <c r="O30410" s="5" t="s">
        <v>355</v>
      </c>
      <c r="P30410" s="5" t="s">
        <v>355</v>
      </c>
      <c r="Q30410" s="5" t="s">
        <v>355</v>
      </c>
    </row>
    <row r="30411" ht="16.5" customHeight="1">
      <c r="O30411" s="5" t="s">
        <v>355</v>
      </c>
      <c r="P30411" s="5" t="s">
        <v>355</v>
      </c>
      <c r="Q30411" s="5" t="s">
        <v>355</v>
      </c>
    </row>
    <row r="30412" ht="16.5" customHeight="1">
      <c r="O30412" s="5" t="s">
        <v>355</v>
      </c>
      <c r="P30412" s="5" t="s">
        <v>355</v>
      </c>
      <c r="Q30412" s="5" t="s">
        <v>355</v>
      </c>
    </row>
    <row r="30413" ht="16.5" customHeight="1">
      <c r="O30413" s="5" t="s">
        <v>355</v>
      </c>
      <c r="P30413" s="5" t="s">
        <v>355</v>
      </c>
      <c r="Q30413" s="5" t="s">
        <v>355</v>
      </c>
    </row>
    <row r="30414" ht="16.5" customHeight="1">
      <c r="O30414" s="5" t="s">
        <v>355</v>
      </c>
      <c r="P30414" s="5" t="s">
        <v>355</v>
      </c>
      <c r="Q30414" s="5" t="s">
        <v>355</v>
      </c>
    </row>
    <row r="30415" ht="16.5" customHeight="1">
      <c r="O30415" s="5" t="s">
        <v>355</v>
      </c>
      <c r="P30415" s="5" t="s">
        <v>355</v>
      </c>
      <c r="Q30415" s="5" t="s">
        <v>355</v>
      </c>
    </row>
    <row r="30416" ht="16.5" customHeight="1">
      <c r="O30416" s="5" t="s">
        <v>355</v>
      </c>
      <c r="P30416" s="5" t="s">
        <v>355</v>
      </c>
      <c r="Q30416" s="5" t="s">
        <v>355</v>
      </c>
    </row>
    <row r="30417" ht="16.5" customHeight="1">
      <c r="O30417" s="5" t="s">
        <v>355</v>
      </c>
      <c r="P30417" s="5" t="s">
        <v>355</v>
      </c>
      <c r="Q30417" s="5" t="s">
        <v>355</v>
      </c>
    </row>
    <row r="30418" ht="16.5" customHeight="1">
      <c r="O30418" s="5" t="s">
        <v>355</v>
      </c>
      <c r="P30418" s="5" t="s">
        <v>355</v>
      </c>
      <c r="Q30418" s="5" t="s">
        <v>355</v>
      </c>
    </row>
    <row r="30419" ht="16.5" customHeight="1">
      <c r="O30419" s="5" t="s">
        <v>355</v>
      </c>
      <c r="P30419" s="5" t="s">
        <v>355</v>
      </c>
      <c r="Q30419" s="5" t="s">
        <v>355</v>
      </c>
    </row>
    <row r="30420" ht="16.5" customHeight="1">
      <c r="O30420" s="5" t="s">
        <v>355</v>
      </c>
      <c r="P30420" s="5" t="s">
        <v>355</v>
      </c>
      <c r="Q30420" s="5" t="s">
        <v>355</v>
      </c>
    </row>
    <row r="30421" ht="16.5" customHeight="1">
      <c r="O30421" s="5" t="s">
        <v>355</v>
      </c>
      <c r="P30421" s="5" t="s">
        <v>355</v>
      </c>
      <c r="Q30421" s="5" t="s">
        <v>355</v>
      </c>
    </row>
    <row r="30422" ht="16.5" customHeight="1">
      <c r="O30422" s="5" t="s">
        <v>355</v>
      </c>
      <c r="P30422" s="5" t="s">
        <v>355</v>
      </c>
      <c r="Q30422" s="5" t="s">
        <v>355</v>
      </c>
    </row>
    <row r="30423" ht="16.5" customHeight="1">
      <c r="O30423" s="5" t="s">
        <v>355</v>
      </c>
      <c r="P30423" s="5" t="s">
        <v>355</v>
      </c>
      <c r="Q30423" s="5" t="s">
        <v>355</v>
      </c>
    </row>
    <row r="30424" ht="16.5" customHeight="1">
      <c r="O30424" s="5" t="s">
        <v>355</v>
      </c>
      <c r="P30424" s="5" t="s">
        <v>355</v>
      </c>
      <c r="Q30424" s="5" t="s">
        <v>355</v>
      </c>
    </row>
    <row r="30425" ht="16.5" customHeight="1">
      <c r="O30425" s="5" t="s">
        <v>355</v>
      </c>
      <c r="P30425" s="5" t="s">
        <v>355</v>
      </c>
      <c r="Q30425" s="5" t="s">
        <v>355</v>
      </c>
    </row>
    <row r="30426" ht="16.5" customHeight="1">
      <c r="O30426" s="5" t="s">
        <v>355</v>
      </c>
      <c r="P30426" s="5" t="s">
        <v>355</v>
      </c>
      <c r="Q30426" s="5" t="s">
        <v>355</v>
      </c>
    </row>
    <row r="30427" ht="16.5" customHeight="1">
      <c r="O30427" s="5" t="s">
        <v>355</v>
      </c>
      <c r="P30427" s="5" t="s">
        <v>355</v>
      </c>
      <c r="Q30427" s="5" t="s">
        <v>355</v>
      </c>
    </row>
    <row r="30428" ht="16.5" customHeight="1">
      <c r="O30428" s="5" t="s">
        <v>355</v>
      </c>
      <c r="P30428" s="5" t="s">
        <v>355</v>
      </c>
      <c r="Q30428" s="5" t="s">
        <v>355</v>
      </c>
    </row>
    <row r="30429" ht="16.5" customHeight="1">
      <c r="O30429" s="5" t="s">
        <v>355</v>
      </c>
      <c r="P30429" s="5" t="s">
        <v>355</v>
      </c>
      <c r="Q30429" s="5" t="s">
        <v>355</v>
      </c>
    </row>
    <row r="30430" ht="16.5" customHeight="1">
      <c r="O30430" s="5" t="s">
        <v>355</v>
      </c>
      <c r="P30430" s="5" t="s">
        <v>355</v>
      </c>
      <c r="Q30430" s="5" t="s">
        <v>355</v>
      </c>
    </row>
    <row r="30431" ht="16.5" customHeight="1">
      <c r="O30431" s="5" t="s">
        <v>355</v>
      </c>
      <c r="P30431" s="5" t="s">
        <v>355</v>
      </c>
      <c r="Q30431" s="5" t="s">
        <v>355</v>
      </c>
    </row>
    <row r="30432" ht="16.5" customHeight="1">
      <c r="O30432" s="5" t="s">
        <v>355</v>
      </c>
      <c r="P30432" s="5" t="s">
        <v>355</v>
      </c>
      <c r="Q30432" s="5" t="s">
        <v>355</v>
      </c>
    </row>
    <row r="30433" ht="16.5" customHeight="1">
      <c r="O30433" s="5" t="s">
        <v>355</v>
      </c>
      <c r="P30433" s="5" t="s">
        <v>355</v>
      </c>
      <c r="Q30433" s="5" t="s">
        <v>355</v>
      </c>
    </row>
    <row r="30434" ht="16.5" customHeight="1">
      <c r="O30434" s="5" t="s">
        <v>355</v>
      </c>
      <c r="P30434" s="5" t="s">
        <v>355</v>
      </c>
      <c r="Q30434" s="5" t="s">
        <v>355</v>
      </c>
    </row>
    <row r="30435" ht="16.5" customHeight="1">
      <c r="O30435" s="5" t="s">
        <v>355</v>
      </c>
      <c r="P30435" s="5" t="s">
        <v>355</v>
      </c>
      <c r="Q30435" s="5" t="s">
        <v>355</v>
      </c>
    </row>
    <row r="30436" ht="16.5" customHeight="1">
      <c r="O30436" s="5" t="s">
        <v>355</v>
      </c>
      <c r="P30436" s="5" t="s">
        <v>355</v>
      </c>
      <c r="Q30436" s="5" t="s">
        <v>355</v>
      </c>
    </row>
    <row r="30437" ht="16.5" customHeight="1">
      <c r="O30437" s="5" t="s">
        <v>355</v>
      </c>
      <c r="P30437" s="5" t="s">
        <v>355</v>
      </c>
      <c r="Q30437" s="5" t="s">
        <v>355</v>
      </c>
    </row>
    <row r="30438" ht="16.5" customHeight="1">
      <c r="O30438" s="5" t="s">
        <v>355</v>
      </c>
      <c r="P30438" s="5" t="s">
        <v>355</v>
      </c>
      <c r="Q30438" s="5" t="s">
        <v>355</v>
      </c>
    </row>
    <row r="30439" ht="16.5" customHeight="1">
      <c r="O30439" s="5" t="s">
        <v>355</v>
      </c>
      <c r="P30439" s="5" t="s">
        <v>355</v>
      </c>
      <c r="Q30439" s="5" t="s">
        <v>355</v>
      </c>
    </row>
    <row r="30440" ht="16.5" customHeight="1">
      <c r="O30440" s="5" t="s">
        <v>355</v>
      </c>
      <c r="P30440" s="5" t="s">
        <v>355</v>
      </c>
      <c r="Q30440" s="5" t="s">
        <v>355</v>
      </c>
    </row>
    <row r="30441" ht="16.5" customHeight="1">
      <c r="O30441" s="5" t="s">
        <v>355</v>
      </c>
      <c r="P30441" s="5" t="s">
        <v>355</v>
      </c>
      <c r="Q30441" s="5" t="s">
        <v>355</v>
      </c>
    </row>
    <row r="30442" ht="16.5" customHeight="1">
      <c r="O30442" s="5" t="s">
        <v>355</v>
      </c>
      <c r="P30442" s="5" t="s">
        <v>355</v>
      </c>
      <c r="Q30442" s="5" t="s">
        <v>355</v>
      </c>
    </row>
    <row r="30443" ht="16.5" customHeight="1">
      <c r="O30443" s="5" t="s">
        <v>355</v>
      </c>
      <c r="P30443" s="5" t="s">
        <v>355</v>
      </c>
      <c r="Q30443" s="5" t="s">
        <v>355</v>
      </c>
    </row>
    <row r="30444" ht="16.5" customHeight="1">
      <c r="O30444" s="5" t="s">
        <v>355</v>
      </c>
      <c r="P30444" s="5" t="s">
        <v>355</v>
      </c>
      <c r="Q30444" s="5" t="s">
        <v>355</v>
      </c>
    </row>
    <row r="30445" ht="16.5" customHeight="1">
      <c r="O30445" s="5" t="s">
        <v>355</v>
      </c>
      <c r="P30445" s="5" t="s">
        <v>355</v>
      </c>
      <c r="Q30445" s="5" t="s">
        <v>355</v>
      </c>
    </row>
    <row r="30446" ht="16.5" customHeight="1">
      <c r="O30446" s="5" t="s">
        <v>355</v>
      </c>
      <c r="P30446" s="5" t="s">
        <v>355</v>
      </c>
      <c r="Q30446" s="5" t="s">
        <v>355</v>
      </c>
    </row>
    <row r="30447" ht="16.5" customHeight="1">
      <c r="O30447" s="5" t="s">
        <v>355</v>
      </c>
      <c r="P30447" s="5" t="s">
        <v>355</v>
      </c>
      <c r="Q30447" s="5" t="s">
        <v>355</v>
      </c>
    </row>
    <row r="30448" ht="16.5" customHeight="1">
      <c r="O30448" s="5" t="s">
        <v>355</v>
      </c>
      <c r="P30448" s="5" t="s">
        <v>355</v>
      </c>
      <c r="Q30448" s="5" t="s">
        <v>355</v>
      </c>
    </row>
    <row r="30449" ht="16.5" customHeight="1">
      <c r="O30449" s="5" t="s">
        <v>355</v>
      </c>
      <c r="P30449" s="5" t="s">
        <v>355</v>
      </c>
      <c r="Q30449" s="5" t="s">
        <v>355</v>
      </c>
    </row>
    <row r="30450" ht="16.5" customHeight="1">
      <c r="O30450" s="5" t="s">
        <v>355</v>
      </c>
      <c r="P30450" s="5" t="s">
        <v>355</v>
      </c>
      <c r="Q30450" s="5" t="s">
        <v>355</v>
      </c>
    </row>
    <row r="30451" ht="16.5" customHeight="1">
      <c r="O30451" s="5" t="s">
        <v>355</v>
      </c>
      <c r="P30451" s="5" t="s">
        <v>355</v>
      </c>
      <c r="Q30451" s="5" t="s">
        <v>355</v>
      </c>
    </row>
    <row r="30452" ht="16.5" customHeight="1">
      <c r="O30452" s="5" t="s">
        <v>355</v>
      </c>
      <c r="P30452" s="5" t="s">
        <v>355</v>
      </c>
      <c r="Q30452" s="5" t="s">
        <v>355</v>
      </c>
    </row>
    <row r="30453" ht="16.5" customHeight="1">
      <c r="O30453" s="5" t="s">
        <v>355</v>
      </c>
      <c r="P30453" s="5" t="s">
        <v>355</v>
      </c>
      <c r="Q30453" s="5" t="s">
        <v>355</v>
      </c>
    </row>
    <row r="30454" ht="16.5" customHeight="1">
      <c r="O30454" s="5" t="s">
        <v>355</v>
      </c>
      <c r="P30454" s="5" t="s">
        <v>355</v>
      </c>
      <c r="Q30454" s="5" t="s">
        <v>355</v>
      </c>
    </row>
    <row r="30455" ht="16.5" customHeight="1">
      <c r="O30455" s="5" t="s">
        <v>355</v>
      </c>
      <c r="P30455" s="5" t="s">
        <v>355</v>
      </c>
      <c r="Q30455" s="5" t="s">
        <v>355</v>
      </c>
    </row>
    <row r="30456" ht="16.5" customHeight="1">
      <c r="O30456" s="5" t="s">
        <v>355</v>
      </c>
      <c r="P30456" s="5" t="s">
        <v>355</v>
      </c>
      <c r="Q30456" s="5" t="s">
        <v>355</v>
      </c>
    </row>
    <row r="30457" ht="16.5" customHeight="1">
      <c r="O30457" s="5" t="s">
        <v>355</v>
      </c>
      <c r="P30457" s="5" t="s">
        <v>355</v>
      </c>
      <c r="Q30457" s="5" t="s">
        <v>355</v>
      </c>
    </row>
    <row r="30458" ht="16.5" customHeight="1">
      <c r="O30458" s="5" t="s">
        <v>355</v>
      </c>
      <c r="P30458" s="5" t="s">
        <v>355</v>
      </c>
      <c r="Q30458" s="5" t="s">
        <v>355</v>
      </c>
    </row>
    <row r="30459" ht="16.5" customHeight="1">
      <c r="O30459" s="5" t="s">
        <v>355</v>
      </c>
      <c r="P30459" s="5" t="s">
        <v>355</v>
      </c>
      <c r="Q30459" s="5" t="s">
        <v>355</v>
      </c>
    </row>
    <row r="30460" ht="16.5" customHeight="1">
      <c r="O30460" s="5" t="s">
        <v>355</v>
      </c>
      <c r="P30460" s="5" t="s">
        <v>355</v>
      </c>
      <c r="Q30460" s="5" t="s">
        <v>355</v>
      </c>
    </row>
    <row r="30461" ht="16.5" customHeight="1">
      <c r="O30461" s="5" t="s">
        <v>355</v>
      </c>
      <c r="P30461" s="5" t="s">
        <v>355</v>
      </c>
      <c r="Q30461" s="5" t="s">
        <v>355</v>
      </c>
    </row>
    <row r="30462" ht="16.5" customHeight="1">
      <c r="O30462" s="5" t="s">
        <v>355</v>
      </c>
      <c r="P30462" s="5" t="s">
        <v>355</v>
      </c>
      <c r="Q30462" s="5" t="s">
        <v>355</v>
      </c>
    </row>
    <row r="30463" ht="16.5" customHeight="1">
      <c r="O30463" s="5" t="s">
        <v>355</v>
      </c>
      <c r="P30463" s="5" t="s">
        <v>355</v>
      </c>
      <c r="Q30463" s="5" t="s">
        <v>355</v>
      </c>
    </row>
    <row r="30464" ht="16.5" customHeight="1">
      <c r="O30464" s="5" t="s">
        <v>355</v>
      </c>
      <c r="P30464" s="5" t="s">
        <v>355</v>
      </c>
      <c r="Q30464" s="5" t="s">
        <v>355</v>
      </c>
    </row>
    <row r="30465" ht="16.5" customHeight="1">
      <c r="O30465" s="5" t="s">
        <v>355</v>
      </c>
      <c r="P30465" s="5" t="s">
        <v>355</v>
      </c>
      <c r="Q30465" s="5" t="s">
        <v>355</v>
      </c>
    </row>
    <row r="30466" ht="16.5" customHeight="1">
      <c r="O30466" s="5" t="s">
        <v>355</v>
      </c>
      <c r="P30466" s="5" t="s">
        <v>355</v>
      </c>
      <c r="Q30466" s="5" t="s">
        <v>355</v>
      </c>
    </row>
    <row r="30467" ht="16.5" customHeight="1">
      <c r="O30467" s="5" t="s">
        <v>355</v>
      </c>
      <c r="P30467" s="5" t="s">
        <v>355</v>
      </c>
      <c r="Q30467" s="5" t="s">
        <v>355</v>
      </c>
    </row>
    <row r="30468" ht="16.5" customHeight="1">
      <c r="O30468" s="5" t="s">
        <v>355</v>
      </c>
      <c r="P30468" s="5" t="s">
        <v>355</v>
      </c>
      <c r="Q30468" s="5" t="s">
        <v>355</v>
      </c>
    </row>
    <row r="30469" ht="16.5" customHeight="1">
      <c r="O30469" s="5" t="s">
        <v>355</v>
      </c>
      <c r="P30469" s="5" t="s">
        <v>355</v>
      </c>
      <c r="Q30469" s="5" t="s">
        <v>355</v>
      </c>
    </row>
    <row r="30470" ht="16.5" customHeight="1">
      <c r="O30470" s="5" t="s">
        <v>355</v>
      </c>
      <c r="P30470" s="5" t="s">
        <v>355</v>
      </c>
      <c r="Q30470" s="5" t="s">
        <v>355</v>
      </c>
    </row>
    <row r="30471" ht="16.5" customHeight="1">
      <c r="O30471" s="5" t="s">
        <v>355</v>
      </c>
      <c r="P30471" s="5" t="s">
        <v>355</v>
      </c>
      <c r="Q30471" s="5" t="s">
        <v>355</v>
      </c>
    </row>
    <row r="30472" ht="16.5" customHeight="1">
      <c r="O30472" s="5" t="s">
        <v>355</v>
      </c>
      <c r="P30472" s="5" t="s">
        <v>355</v>
      </c>
      <c r="Q30472" s="5" t="s">
        <v>355</v>
      </c>
    </row>
    <row r="30473" ht="16.5" customHeight="1">
      <c r="O30473" s="5" t="s">
        <v>355</v>
      </c>
      <c r="P30473" s="5" t="s">
        <v>355</v>
      </c>
      <c r="Q30473" s="5" t="s">
        <v>355</v>
      </c>
    </row>
    <row r="30474" ht="16.5" customHeight="1">
      <c r="O30474" s="5" t="s">
        <v>355</v>
      </c>
      <c r="P30474" s="5" t="s">
        <v>355</v>
      </c>
      <c r="Q30474" s="5" t="s">
        <v>355</v>
      </c>
    </row>
    <row r="30475" ht="16.5" customHeight="1">
      <c r="O30475" s="5" t="s">
        <v>355</v>
      </c>
      <c r="P30475" s="5" t="s">
        <v>355</v>
      </c>
      <c r="Q30475" s="5" t="s">
        <v>355</v>
      </c>
    </row>
    <row r="30476" ht="16.5" customHeight="1">
      <c r="O30476" s="5" t="s">
        <v>355</v>
      </c>
      <c r="P30476" s="5" t="s">
        <v>355</v>
      </c>
      <c r="Q30476" s="5" t="s">
        <v>355</v>
      </c>
    </row>
    <row r="30477" ht="16.5" customHeight="1">
      <c r="O30477" s="5" t="s">
        <v>355</v>
      </c>
      <c r="P30477" s="5" t="s">
        <v>355</v>
      </c>
      <c r="Q30477" s="5" t="s">
        <v>355</v>
      </c>
    </row>
    <row r="30478" ht="16.5" customHeight="1">
      <c r="O30478" s="5" t="s">
        <v>355</v>
      </c>
      <c r="P30478" s="5" t="s">
        <v>355</v>
      </c>
      <c r="Q30478" s="5" t="s">
        <v>355</v>
      </c>
    </row>
    <row r="30479" ht="16.5" customHeight="1">
      <c r="O30479" s="5" t="s">
        <v>355</v>
      </c>
      <c r="P30479" s="5" t="s">
        <v>355</v>
      </c>
      <c r="Q30479" s="5" t="s">
        <v>355</v>
      </c>
    </row>
    <row r="30480" ht="16.5" customHeight="1">
      <c r="O30480" s="5" t="s">
        <v>355</v>
      </c>
      <c r="P30480" s="5" t="s">
        <v>355</v>
      </c>
      <c r="Q30480" s="5" t="s">
        <v>355</v>
      </c>
    </row>
    <row r="30481" ht="16.5" customHeight="1">
      <c r="O30481" s="5" t="s">
        <v>355</v>
      </c>
      <c r="P30481" s="5" t="s">
        <v>355</v>
      </c>
      <c r="Q30481" s="5" t="s">
        <v>355</v>
      </c>
    </row>
    <row r="30482" ht="16.5" customHeight="1">
      <c r="O30482" s="5" t="s">
        <v>355</v>
      </c>
      <c r="P30482" s="5" t="s">
        <v>355</v>
      </c>
      <c r="Q30482" s="5" t="s">
        <v>355</v>
      </c>
    </row>
    <row r="30483" ht="16.5" customHeight="1">
      <c r="O30483" s="5" t="s">
        <v>355</v>
      </c>
      <c r="P30483" s="5" t="s">
        <v>355</v>
      </c>
      <c r="Q30483" s="5" t="s">
        <v>355</v>
      </c>
    </row>
    <row r="30484" ht="16.5" customHeight="1">
      <c r="O30484" s="5" t="s">
        <v>355</v>
      </c>
      <c r="P30484" s="5" t="s">
        <v>355</v>
      </c>
      <c r="Q30484" s="5" t="s">
        <v>355</v>
      </c>
    </row>
    <row r="30485" ht="16.5" customHeight="1">
      <c r="O30485" s="5" t="s">
        <v>355</v>
      </c>
      <c r="P30485" s="5" t="s">
        <v>355</v>
      </c>
      <c r="Q30485" s="5" t="s">
        <v>355</v>
      </c>
    </row>
    <row r="30486" ht="16.5" customHeight="1">
      <c r="O30486" s="5" t="s">
        <v>355</v>
      </c>
      <c r="P30486" s="5" t="s">
        <v>355</v>
      </c>
      <c r="Q30486" s="5" t="s">
        <v>355</v>
      </c>
    </row>
    <row r="30487" ht="16.5" customHeight="1">
      <c r="O30487" s="5" t="s">
        <v>355</v>
      </c>
      <c r="P30487" s="5" t="s">
        <v>355</v>
      </c>
      <c r="Q30487" s="5" t="s">
        <v>355</v>
      </c>
    </row>
    <row r="30488" ht="16.5" customHeight="1">
      <c r="O30488" s="5" t="s">
        <v>355</v>
      </c>
      <c r="P30488" s="5" t="s">
        <v>355</v>
      </c>
      <c r="Q30488" s="5" t="s">
        <v>355</v>
      </c>
    </row>
    <row r="30489" ht="16.5" customHeight="1">
      <c r="O30489" s="5" t="s">
        <v>355</v>
      </c>
      <c r="P30489" s="5" t="s">
        <v>355</v>
      </c>
      <c r="Q30489" s="5" t="s">
        <v>355</v>
      </c>
    </row>
    <row r="30490" ht="16.5" customHeight="1">
      <c r="O30490" s="5" t="s">
        <v>355</v>
      </c>
      <c r="P30490" s="5" t="s">
        <v>355</v>
      </c>
      <c r="Q30490" s="5" t="s">
        <v>355</v>
      </c>
    </row>
    <row r="30491" ht="16.5" customHeight="1">
      <c r="O30491" s="5" t="s">
        <v>355</v>
      </c>
      <c r="P30491" s="5" t="s">
        <v>355</v>
      </c>
      <c r="Q30491" s="5" t="s">
        <v>355</v>
      </c>
    </row>
    <row r="30492" ht="16.5" customHeight="1">
      <c r="O30492" s="5" t="s">
        <v>355</v>
      </c>
      <c r="P30492" s="5" t="s">
        <v>355</v>
      </c>
      <c r="Q30492" s="5" t="s">
        <v>355</v>
      </c>
    </row>
    <row r="30493" ht="16.5" customHeight="1">
      <c r="O30493" s="5" t="s">
        <v>355</v>
      </c>
      <c r="P30493" s="5" t="s">
        <v>355</v>
      </c>
      <c r="Q30493" s="5" t="s">
        <v>355</v>
      </c>
    </row>
    <row r="30494" ht="16.5" customHeight="1">
      <c r="O30494" s="5" t="s">
        <v>355</v>
      </c>
      <c r="P30494" s="5" t="s">
        <v>355</v>
      </c>
      <c r="Q30494" s="5" t="s">
        <v>355</v>
      </c>
    </row>
    <row r="30495" ht="16.5" customHeight="1">
      <c r="O30495" s="5" t="s">
        <v>355</v>
      </c>
      <c r="P30495" s="5" t="s">
        <v>355</v>
      </c>
      <c r="Q30495" s="5" t="s">
        <v>355</v>
      </c>
    </row>
    <row r="30496" ht="16.5" customHeight="1">
      <c r="O30496" s="5" t="s">
        <v>355</v>
      </c>
      <c r="P30496" s="5" t="s">
        <v>355</v>
      </c>
      <c r="Q30496" s="5" t="s">
        <v>355</v>
      </c>
    </row>
    <row r="30497" ht="16.5" customHeight="1">
      <c r="O30497" s="5" t="s">
        <v>355</v>
      </c>
      <c r="P30497" s="5" t="s">
        <v>355</v>
      </c>
      <c r="Q30497" s="5" t="s">
        <v>355</v>
      </c>
    </row>
    <row r="30498" ht="16.5" customHeight="1">
      <c r="O30498" s="5" t="s">
        <v>355</v>
      </c>
      <c r="P30498" s="5" t="s">
        <v>355</v>
      </c>
      <c r="Q30498" s="5" t="s">
        <v>355</v>
      </c>
    </row>
    <row r="30499" ht="16.5" customHeight="1">
      <c r="O30499" s="5" t="s">
        <v>355</v>
      </c>
      <c r="P30499" s="5" t="s">
        <v>355</v>
      </c>
      <c r="Q30499" s="5" t="s">
        <v>355</v>
      </c>
    </row>
    <row r="30500" ht="16.5" customHeight="1">
      <c r="O30500" s="5" t="s">
        <v>355</v>
      </c>
      <c r="P30500" s="5" t="s">
        <v>355</v>
      </c>
      <c r="Q30500" s="5" t="s">
        <v>355</v>
      </c>
    </row>
    <row r="30501" ht="16.5" customHeight="1">
      <c r="O30501" s="5" t="s">
        <v>355</v>
      </c>
      <c r="P30501" s="5" t="s">
        <v>355</v>
      </c>
      <c r="Q30501" s="5" t="s">
        <v>355</v>
      </c>
    </row>
    <row r="30502" ht="16.5" customHeight="1">
      <c r="O30502" s="5" t="s">
        <v>355</v>
      </c>
      <c r="P30502" s="5" t="s">
        <v>355</v>
      </c>
      <c r="Q30502" s="5" t="s">
        <v>355</v>
      </c>
    </row>
    <row r="30503" ht="16.5" customHeight="1">
      <c r="O30503" s="5" t="s">
        <v>355</v>
      </c>
      <c r="P30503" s="5" t="s">
        <v>355</v>
      </c>
      <c r="Q30503" s="5" t="s">
        <v>355</v>
      </c>
    </row>
    <row r="30504" ht="16.5" customHeight="1">
      <c r="O30504" s="5" t="s">
        <v>355</v>
      </c>
      <c r="P30504" s="5" t="s">
        <v>355</v>
      </c>
      <c r="Q30504" s="5" t="s">
        <v>355</v>
      </c>
    </row>
    <row r="30505" ht="16.5" customHeight="1">
      <c r="O30505" s="5" t="s">
        <v>355</v>
      </c>
      <c r="P30505" s="5" t="s">
        <v>355</v>
      </c>
      <c r="Q30505" s="5" t="s">
        <v>355</v>
      </c>
    </row>
    <row r="30506" ht="16.5" customHeight="1">
      <c r="O30506" s="5" t="s">
        <v>355</v>
      </c>
      <c r="P30506" s="5" t="s">
        <v>355</v>
      </c>
      <c r="Q30506" s="5" t="s">
        <v>355</v>
      </c>
    </row>
    <row r="30507" ht="16.5" customHeight="1">
      <c r="O30507" s="5" t="s">
        <v>355</v>
      </c>
      <c r="P30507" s="5" t="s">
        <v>355</v>
      </c>
      <c r="Q30507" s="5" t="s">
        <v>355</v>
      </c>
    </row>
    <row r="30508" ht="16.5" customHeight="1">
      <c r="O30508" s="5" t="s">
        <v>355</v>
      </c>
      <c r="P30508" s="5" t="s">
        <v>355</v>
      </c>
      <c r="Q30508" s="5" t="s">
        <v>355</v>
      </c>
    </row>
    <row r="30509" ht="16.5" customHeight="1">
      <c r="O30509" s="5" t="s">
        <v>355</v>
      </c>
      <c r="P30509" s="5" t="s">
        <v>355</v>
      </c>
      <c r="Q30509" s="5" t="s">
        <v>355</v>
      </c>
    </row>
    <row r="30510" ht="16.5" customHeight="1">
      <c r="O30510" s="5" t="s">
        <v>355</v>
      </c>
      <c r="P30510" s="5" t="s">
        <v>355</v>
      </c>
      <c r="Q30510" s="5" t="s">
        <v>355</v>
      </c>
    </row>
    <row r="30511" ht="16.5" customHeight="1">
      <c r="O30511" s="5" t="s">
        <v>355</v>
      </c>
      <c r="P30511" s="5" t="s">
        <v>355</v>
      </c>
      <c r="Q30511" s="5" t="s">
        <v>355</v>
      </c>
    </row>
    <row r="30512" ht="16.5" customHeight="1">
      <c r="O30512" s="5" t="s">
        <v>355</v>
      </c>
      <c r="P30512" s="5" t="s">
        <v>355</v>
      </c>
      <c r="Q30512" s="5" t="s">
        <v>355</v>
      </c>
    </row>
    <row r="30513" ht="16.5" customHeight="1">
      <c r="O30513" s="5" t="s">
        <v>355</v>
      </c>
      <c r="P30513" s="5" t="s">
        <v>355</v>
      </c>
      <c r="Q30513" s="5" t="s">
        <v>355</v>
      </c>
    </row>
    <row r="30514" ht="16.5" customHeight="1">
      <c r="O30514" s="5" t="s">
        <v>355</v>
      </c>
      <c r="P30514" s="5" t="s">
        <v>355</v>
      </c>
      <c r="Q30514" s="5" t="s">
        <v>355</v>
      </c>
    </row>
    <row r="30515" ht="16.5" customHeight="1">
      <c r="O30515" s="5" t="s">
        <v>355</v>
      </c>
      <c r="P30515" s="5" t="s">
        <v>355</v>
      </c>
      <c r="Q30515" s="5" t="s">
        <v>355</v>
      </c>
    </row>
    <row r="30516" ht="16.5" customHeight="1">
      <c r="O30516" s="5" t="s">
        <v>355</v>
      </c>
      <c r="P30516" s="5" t="s">
        <v>355</v>
      </c>
      <c r="Q30516" s="5" t="s">
        <v>355</v>
      </c>
    </row>
    <row r="30517" ht="16.5" customHeight="1">
      <c r="O30517" s="5" t="s">
        <v>355</v>
      </c>
      <c r="P30517" s="5" t="s">
        <v>355</v>
      </c>
      <c r="Q30517" s="5" t="s">
        <v>355</v>
      </c>
    </row>
    <row r="30518" ht="16.5" customHeight="1">
      <c r="O30518" s="5" t="s">
        <v>355</v>
      </c>
      <c r="P30518" s="5" t="s">
        <v>355</v>
      </c>
      <c r="Q30518" s="5" t="s">
        <v>355</v>
      </c>
    </row>
    <row r="30519" ht="16.5" customHeight="1">
      <c r="O30519" s="5" t="s">
        <v>355</v>
      </c>
      <c r="P30519" s="5" t="s">
        <v>355</v>
      </c>
      <c r="Q30519" s="5" t="s">
        <v>355</v>
      </c>
    </row>
    <row r="30520" ht="16.5" customHeight="1">
      <c r="O30520" s="5" t="s">
        <v>355</v>
      </c>
      <c r="P30520" s="5" t="s">
        <v>355</v>
      </c>
      <c r="Q30520" s="5" t="s">
        <v>355</v>
      </c>
    </row>
    <row r="30521" ht="16.5" customHeight="1">
      <c r="O30521" s="5" t="s">
        <v>355</v>
      </c>
      <c r="P30521" s="5" t="s">
        <v>355</v>
      </c>
      <c r="Q30521" s="5" t="s">
        <v>355</v>
      </c>
    </row>
    <row r="30522" ht="16.5" customHeight="1">
      <c r="O30522" s="5" t="s">
        <v>355</v>
      </c>
      <c r="P30522" s="5" t="s">
        <v>355</v>
      </c>
      <c r="Q30522" s="5" t="s">
        <v>355</v>
      </c>
    </row>
    <row r="30523" ht="16.5" customHeight="1">
      <c r="O30523" s="5" t="s">
        <v>355</v>
      </c>
      <c r="P30523" s="5" t="s">
        <v>355</v>
      </c>
      <c r="Q30523" s="5" t="s">
        <v>355</v>
      </c>
    </row>
    <row r="30524" ht="16.5" customHeight="1">
      <c r="O30524" s="5" t="s">
        <v>355</v>
      </c>
      <c r="P30524" s="5" t="s">
        <v>355</v>
      </c>
      <c r="Q30524" s="5" t="s">
        <v>355</v>
      </c>
    </row>
    <row r="30525" ht="16.5" customHeight="1">
      <c r="O30525" s="5" t="s">
        <v>355</v>
      </c>
      <c r="P30525" s="5" t="s">
        <v>355</v>
      </c>
      <c r="Q30525" s="5" t="s">
        <v>355</v>
      </c>
    </row>
    <row r="30526" ht="16.5" customHeight="1">
      <c r="O30526" s="5" t="s">
        <v>355</v>
      </c>
      <c r="P30526" s="5" t="s">
        <v>355</v>
      </c>
      <c r="Q30526" s="5" t="s">
        <v>355</v>
      </c>
    </row>
    <row r="30527" ht="16.5" customHeight="1">
      <c r="O30527" s="5" t="s">
        <v>355</v>
      </c>
      <c r="P30527" s="5" t="s">
        <v>355</v>
      </c>
      <c r="Q30527" s="5" t="s">
        <v>355</v>
      </c>
    </row>
    <row r="30528" ht="16.5" customHeight="1">
      <c r="O30528" s="5" t="s">
        <v>355</v>
      </c>
      <c r="P30528" s="5" t="s">
        <v>355</v>
      </c>
      <c r="Q30528" s="5" t="s">
        <v>355</v>
      </c>
    </row>
    <row r="30529" ht="16.5" customHeight="1">
      <c r="O30529" s="5" t="s">
        <v>355</v>
      </c>
      <c r="P30529" s="5" t="s">
        <v>355</v>
      </c>
      <c r="Q30529" s="5" t="s">
        <v>355</v>
      </c>
    </row>
    <row r="30530" ht="16.5" customHeight="1">
      <c r="O30530" s="5" t="s">
        <v>355</v>
      </c>
      <c r="P30530" s="5" t="s">
        <v>355</v>
      </c>
      <c r="Q30530" s="5" t="s">
        <v>355</v>
      </c>
    </row>
    <row r="30531" ht="16.5" customHeight="1">
      <c r="O30531" s="5" t="s">
        <v>355</v>
      </c>
      <c r="P30531" s="5" t="s">
        <v>355</v>
      </c>
      <c r="Q30531" s="5" t="s">
        <v>355</v>
      </c>
    </row>
    <row r="30532" ht="16.5" customHeight="1">
      <c r="O30532" s="5" t="s">
        <v>355</v>
      </c>
      <c r="P30532" s="5" t="s">
        <v>355</v>
      </c>
      <c r="Q30532" s="5" t="s">
        <v>355</v>
      </c>
    </row>
    <row r="30533" ht="16.5" customHeight="1">
      <c r="O30533" s="5" t="s">
        <v>355</v>
      </c>
      <c r="P30533" s="5" t="s">
        <v>355</v>
      </c>
      <c r="Q30533" s="5" t="s">
        <v>355</v>
      </c>
    </row>
    <row r="30534" ht="16.5" customHeight="1">
      <c r="O30534" s="5" t="s">
        <v>355</v>
      </c>
      <c r="P30534" s="5" t="s">
        <v>355</v>
      </c>
      <c r="Q30534" s="5" t="s">
        <v>355</v>
      </c>
    </row>
    <row r="30535" ht="16.5" customHeight="1">
      <c r="O30535" s="5" t="s">
        <v>355</v>
      </c>
      <c r="P30535" s="5" t="s">
        <v>355</v>
      </c>
      <c r="Q30535" s="5" t="s">
        <v>355</v>
      </c>
    </row>
    <row r="30536" ht="16.5" customHeight="1">
      <c r="O30536" s="5" t="s">
        <v>355</v>
      </c>
      <c r="P30536" s="5" t="s">
        <v>355</v>
      </c>
      <c r="Q30536" s="5" t="s">
        <v>355</v>
      </c>
    </row>
    <row r="30537" ht="16.5" customHeight="1">
      <c r="O30537" s="5" t="s">
        <v>355</v>
      </c>
      <c r="P30537" s="5" t="s">
        <v>355</v>
      </c>
      <c r="Q30537" s="5" t="s">
        <v>355</v>
      </c>
    </row>
    <row r="30538" ht="16.5" customHeight="1">
      <c r="O30538" s="5" t="s">
        <v>355</v>
      </c>
      <c r="P30538" s="5" t="s">
        <v>355</v>
      </c>
      <c r="Q30538" s="5" t="s">
        <v>355</v>
      </c>
    </row>
    <row r="30539" ht="16.5" customHeight="1">
      <c r="O30539" s="5" t="s">
        <v>355</v>
      </c>
      <c r="P30539" s="5" t="s">
        <v>355</v>
      </c>
      <c r="Q30539" s="5" t="s">
        <v>355</v>
      </c>
    </row>
    <row r="30540" ht="16.5" customHeight="1">
      <c r="O30540" s="5" t="s">
        <v>355</v>
      </c>
      <c r="P30540" s="5" t="s">
        <v>355</v>
      </c>
      <c r="Q30540" s="5" t="s">
        <v>355</v>
      </c>
    </row>
    <row r="30541" ht="16.5" customHeight="1">
      <c r="O30541" s="5" t="s">
        <v>355</v>
      </c>
      <c r="P30541" s="5" t="s">
        <v>355</v>
      </c>
      <c r="Q30541" s="5" t="s">
        <v>355</v>
      </c>
    </row>
    <row r="30542" ht="16.5" customHeight="1">
      <c r="O30542" s="5" t="s">
        <v>355</v>
      </c>
      <c r="P30542" s="5" t="s">
        <v>355</v>
      </c>
      <c r="Q30542" s="5" t="s">
        <v>355</v>
      </c>
    </row>
    <row r="30543" ht="16.5" customHeight="1">
      <c r="O30543" s="5" t="s">
        <v>355</v>
      </c>
      <c r="P30543" s="5" t="s">
        <v>355</v>
      </c>
      <c r="Q30543" s="5" t="s">
        <v>355</v>
      </c>
    </row>
    <row r="30544" ht="16.5" customHeight="1">
      <c r="O30544" s="5" t="s">
        <v>355</v>
      </c>
      <c r="P30544" s="5" t="s">
        <v>355</v>
      </c>
      <c r="Q30544" s="5" t="s">
        <v>355</v>
      </c>
    </row>
    <row r="30545" ht="16.5" customHeight="1">
      <c r="O30545" s="5" t="s">
        <v>355</v>
      </c>
      <c r="P30545" s="5" t="s">
        <v>355</v>
      </c>
      <c r="Q30545" s="5" t="s">
        <v>355</v>
      </c>
    </row>
    <row r="30546" ht="16.5" customHeight="1">
      <c r="O30546" s="5" t="s">
        <v>355</v>
      </c>
      <c r="P30546" s="5" t="s">
        <v>355</v>
      </c>
      <c r="Q30546" s="5" t="s">
        <v>355</v>
      </c>
    </row>
    <row r="30547" ht="16.5" customHeight="1">
      <c r="O30547" s="5" t="s">
        <v>355</v>
      </c>
      <c r="P30547" s="5" t="s">
        <v>355</v>
      </c>
      <c r="Q30547" s="5" t="s">
        <v>355</v>
      </c>
    </row>
    <row r="30548" ht="16.5" customHeight="1">
      <c r="O30548" s="5" t="s">
        <v>355</v>
      </c>
      <c r="P30548" s="5" t="s">
        <v>355</v>
      </c>
      <c r="Q30548" s="5" t="s">
        <v>355</v>
      </c>
    </row>
    <row r="30549" ht="16.5" customHeight="1">
      <c r="O30549" s="5" t="s">
        <v>355</v>
      </c>
      <c r="P30549" s="5" t="s">
        <v>355</v>
      </c>
      <c r="Q30549" s="5" t="s">
        <v>355</v>
      </c>
    </row>
    <row r="30550" ht="16.5" customHeight="1">
      <c r="O30550" s="5" t="s">
        <v>355</v>
      </c>
      <c r="P30550" s="5" t="s">
        <v>355</v>
      </c>
      <c r="Q30550" s="5" t="s">
        <v>355</v>
      </c>
    </row>
    <row r="30551" ht="16.5" customHeight="1">
      <c r="O30551" s="5" t="s">
        <v>355</v>
      </c>
      <c r="P30551" s="5" t="s">
        <v>355</v>
      </c>
      <c r="Q30551" s="5" t="s">
        <v>355</v>
      </c>
    </row>
    <row r="30552" ht="16.5" customHeight="1">
      <c r="O30552" s="5" t="s">
        <v>355</v>
      </c>
      <c r="P30552" s="5" t="s">
        <v>355</v>
      </c>
      <c r="Q30552" s="5" t="s">
        <v>355</v>
      </c>
    </row>
    <row r="30553" ht="16.5" customHeight="1">
      <c r="O30553" s="5" t="s">
        <v>355</v>
      </c>
      <c r="P30553" s="5" t="s">
        <v>355</v>
      </c>
      <c r="Q30553" s="5" t="s">
        <v>355</v>
      </c>
    </row>
    <row r="30554" ht="16.5" customHeight="1">
      <c r="O30554" s="5" t="s">
        <v>355</v>
      </c>
      <c r="P30554" s="5" t="s">
        <v>355</v>
      </c>
      <c r="Q30554" s="5" t="s">
        <v>355</v>
      </c>
    </row>
    <row r="30555" ht="16.5" customHeight="1">
      <c r="O30555" s="5" t="s">
        <v>355</v>
      </c>
      <c r="P30555" s="5" t="s">
        <v>355</v>
      </c>
      <c r="Q30555" s="5" t="s">
        <v>355</v>
      </c>
    </row>
    <row r="30556" ht="16.5" customHeight="1">
      <c r="O30556" s="5" t="s">
        <v>355</v>
      </c>
      <c r="P30556" s="5" t="s">
        <v>355</v>
      </c>
      <c r="Q30556" s="5" t="s">
        <v>355</v>
      </c>
    </row>
    <row r="30557" ht="16.5" customHeight="1">
      <c r="O30557" s="5" t="s">
        <v>355</v>
      </c>
      <c r="P30557" s="5" t="s">
        <v>355</v>
      </c>
      <c r="Q30557" s="5" t="s">
        <v>355</v>
      </c>
    </row>
    <row r="30558" ht="16.5" customHeight="1">
      <c r="O30558" s="5" t="s">
        <v>355</v>
      </c>
      <c r="P30558" s="5" t="s">
        <v>355</v>
      </c>
      <c r="Q30558" s="5" t="s">
        <v>355</v>
      </c>
    </row>
    <row r="30559" ht="16.5" customHeight="1">
      <c r="O30559" s="5" t="s">
        <v>355</v>
      </c>
      <c r="P30559" s="5" t="s">
        <v>355</v>
      </c>
      <c r="Q30559" s="5" t="s">
        <v>355</v>
      </c>
    </row>
    <row r="30560" ht="16.5" customHeight="1">
      <c r="O30560" s="5" t="s">
        <v>355</v>
      </c>
      <c r="P30560" s="5" t="s">
        <v>355</v>
      </c>
      <c r="Q30560" s="5" t="s">
        <v>355</v>
      </c>
    </row>
    <row r="30561" ht="16.5" customHeight="1">
      <c r="O30561" s="5" t="s">
        <v>355</v>
      </c>
      <c r="P30561" s="5" t="s">
        <v>355</v>
      </c>
      <c r="Q30561" s="5" t="s">
        <v>355</v>
      </c>
    </row>
    <row r="30562" ht="16.5" customHeight="1">
      <c r="O30562" s="5" t="s">
        <v>355</v>
      </c>
      <c r="P30562" s="5" t="s">
        <v>355</v>
      </c>
      <c r="Q30562" s="5" t="s">
        <v>355</v>
      </c>
    </row>
    <row r="30563" ht="16.5" customHeight="1">
      <c r="O30563" s="5" t="s">
        <v>355</v>
      </c>
      <c r="P30563" s="5" t="s">
        <v>355</v>
      </c>
      <c r="Q30563" s="5" t="s">
        <v>355</v>
      </c>
    </row>
    <row r="30564" ht="16.5" customHeight="1">
      <c r="O30564" s="5" t="s">
        <v>355</v>
      </c>
      <c r="P30564" s="5" t="s">
        <v>355</v>
      </c>
      <c r="Q30564" s="5" t="s">
        <v>355</v>
      </c>
    </row>
    <row r="30565" ht="16.5" customHeight="1">
      <c r="O30565" s="5" t="s">
        <v>355</v>
      </c>
      <c r="P30565" s="5" t="s">
        <v>355</v>
      </c>
      <c r="Q30565" s="5" t="s">
        <v>355</v>
      </c>
    </row>
    <row r="30566" ht="16.5" customHeight="1">
      <c r="O30566" s="5" t="s">
        <v>355</v>
      </c>
      <c r="P30566" s="5" t="s">
        <v>355</v>
      </c>
      <c r="Q30566" s="5" t="s">
        <v>355</v>
      </c>
    </row>
    <row r="30567" ht="16.5" customHeight="1">
      <c r="O30567" s="5" t="s">
        <v>355</v>
      </c>
      <c r="P30567" s="5" t="s">
        <v>355</v>
      </c>
      <c r="Q30567" s="5" t="s">
        <v>355</v>
      </c>
    </row>
    <row r="30568" ht="16.5" customHeight="1">
      <c r="O30568" s="5" t="s">
        <v>355</v>
      </c>
      <c r="P30568" s="5" t="s">
        <v>355</v>
      </c>
      <c r="Q30568" s="5" t="s">
        <v>355</v>
      </c>
    </row>
    <row r="30569" ht="16.5" customHeight="1">
      <c r="O30569" s="5" t="s">
        <v>355</v>
      </c>
      <c r="P30569" s="5" t="s">
        <v>355</v>
      </c>
      <c r="Q30569" s="5" t="s">
        <v>355</v>
      </c>
    </row>
    <row r="30570" ht="16.5" customHeight="1">
      <c r="O30570" s="5" t="s">
        <v>355</v>
      </c>
      <c r="P30570" s="5" t="s">
        <v>355</v>
      </c>
      <c r="Q30570" s="5" t="s">
        <v>355</v>
      </c>
    </row>
    <row r="30571" ht="16.5" customHeight="1">
      <c r="O30571" s="5" t="s">
        <v>355</v>
      </c>
      <c r="P30571" s="5" t="s">
        <v>355</v>
      </c>
      <c r="Q30571" s="5" t="s">
        <v>355</v>
      </c>
    </row>
    <row r="30572" ht="16.5" customHeight="1">
      <c r="O30572" s="5" t="s">
        <v>355</v>
      </c>
      <c r="P30572" s="5" t="s">
        <v>355</v>
      </c>
      <c r="Q30572" s="5" t="s">
        <v>355</v>
      </c>
    </row>
    <row r="30573" ht="16.5" customHeight="1">
      <c r="O30573" s="5" t="s">
        <v>355</v>
      </c>
      <c r="P30573" s="5" t="s">
        <v>355</v>
      </c>
      <c r="Q30573" s="5" t="s">
        <v>355</v>
      </c>
    </row>
    <row r="30574" ht="16.5" customHeight="1">
      <c r="O30574" s="5" t="s">
        <v>355</v>
      </c>
      <c r="P30574" s="5" t="s">
        <v>355</v>
      </c>
      <c r="Q30574" s="5" t="s">
        <v>355</v>
      </c>
    </row>
    <row r="30575" ht="16.5" customHeight="1">
      <c r="O30575" s="5" t="s">
        <v>355</v>
      </c>
      <c r="P30575" s="5" t="s">
        <v>355</v>
      </c>
      <c r="Q30575" s="5" t="s">
        <v>355</v>
      </c>
    </row>
    <row r="30576" ht="16.5" customHeight="1">
      <c r="O30576" s="5" t="s">
        <v>355</v>
      </c>
      <c r="P30576" s="5" t="s">
        <v>355</v>
      </c>
      <c r="Q30576" s="5" t="s">
        <v>355</v>
      </c>
    </row>
    <row r="30577" ht="16.5" customHeight="1">
      <c r="O30577" s="5" t="s">
        <v>355</v>
      </c>
      <c r="P30577" s="5" t="s">
        <v>355</v>
      </c>
      <c r="Q30577" s="5" t="s">
        <v>355</v>
      </c>
    </row>
    <row r="30578" ht="16.5" customHeight="1">
      <c r="O30578" s="5" t="s">
        <v>355</v>
      </c>
      <c r="P30578" s="5" t="s">
        <v>355</v>
      </c>
      <c r="Q30578" s="5" t="s">
        <v>355</v>
      </c>
    </row>
    <row r="30579" ht="16.5" customHeight="1">
      <c r="O30579" s="5" t="s">
        <v>355</v>
      </c>
      <c r="P30579" s="5" t="s">
        <v>355</v>
      </c>
      <c r="Q30579" s="5" t="s">
        <v>355</v>
      </c>
    </row>
    <row r="30580" ht="16.5" customHeight="1">
      <c r="O30580" s="5" t="s">
        <v>355</v>
      </c>
      <c r="P30580" s="5" t="s">
        <v>355</v>
      </c>
      <c r="Q30580" s="5" t="s">
        <v>355</v>
      </c>
    </row>
    <row r="30581" ht="16.5" customHeight="1">
      <c r="O30581" s="5" t="s">
        <v>355</v>
      </c>
      <c r="P30581" s="5" t="s">
        <v>355</v>
      </c>
      <c r="Q30581" s="5" t="s">
        <v>355</v>
      </c>
    </row>
    <row r="30582" ht="16.5" customHeight="1">
      <c r="O30582" s="5" t="s">
        <v>355</v>
      </c>
      <c r="P30582" s="5" t="s">
        <v>355</v>
      </c>
      <c r="Q30582" s="5" t="s">
        <v>355</v>
      </c>
    </row>
    <row r="30583" ht="16.5" customHeight="1">
      <c r="O30583" s="5" t="s">
        <v>355</v>
      </c>
      <c r="P30583" s="5" t="s">
        <v>355</v>
      </c>
      <c r="Q30583" s="5" t="s">
        <v>355</v>
      </c>
    </row>
    <row r="30584" ht="16.5" customHeight="1">
      <c r="O30584" s="5" t="s">
        <v>355</v>
      </c>
      <c r="P30584" s="5" t="s">
        <v>355</v>
      </c>
      <c r="Q30584" s="5" t="s">
        <v>355</v>
      </c>
    </row>
    <row r="30585" ht="16.5" customHeight="1">
      <c r="O30585" s="5" t="s">
        <v>355</v>
      </c>
      <c r="P30585" s="5" t="s">
        <v>355</v>
      </c>
      <c r="Q30585" s="5" t="s">
        <v>355</v>
      </c>
    </row>
    <row r="30586" ht="16.5" customHeight="1">
      <c r="O30586" s="5" t="s">
        <v>355</v>
      </c>
      <c r="P30586" s="5" t="s">
        <v>355</v>
      </c>
      <c r="Q30586" s="5" t="s">
        <v>355</v>
      </c>
    </row>
    <row r="30587" ht="16.5" customHeight="1">
      <c r="O30587" s="5" t="s">
        <v>355</v>
      </c>
      <c r="P30587" s="5" t="s">
        <v>355</v>
      </c>
      <c r="Q30587" s="5" t="s">
        <v>355</v>
      </c>
    </row>
    <row r="30588" ht="16.5" customHeight="1">
      <c r="O30588" s="5" t="s">
        <v>355</v>
      </c>
      <c r="P30588" s="5" t="s">
        <v>355</v>
      </c>
      <c r="Q30588" s="5" t="s">
        <v>355</v>
      </c>
    </row>
    <row r="30589" ht="16.5" customHeight="1">
      <c r="O30589" s="5" t="s">
        <v>355</v>
      </c>
      <c r="P30589" s="5" t="s">
        <v>355</v>
      </c>
      <c r="Q30589" s="5" t="s">
        <v>355</v>
      </c>
    </row>
    <row r="30590" ht="16.5" customHeight="1">
      <c r="O30590" s="5" t="s">
        <v>355</v>
      </c>
      <c r="P30590" s="5" t="s">
        <v>355</v>
      </c>
      <c r="Q30590" s="5" t="s">
        <v>355</v>
      </c>
    </row>
    <row r="30591" ht="16.5" customHeight="1">
      <c r="O30591" s="5" t="s">
        <v>355</v>
      </c>
      <c r="P30591" s="5" t="s">
        <v>355</v>
      </c>
      <c r="Q30591" s="5" t="s">
        <v>355</v>
      </c>
    </row>
    <row r="30592" ht="16.5" customHeight="1">
      <c r="O30592" s="5" t="s">
        <v>355</v>
      </c>
      <c r="P30592" s="5" t="s">
        <v>355</v>
      </c>
      <c r="Q30592" s="5" t="s">
        <v>355</v>
      </c>
    </row>
    <row r="30593" ht="16.5" customHeight="1">
      <c r="O30593" s="5" t="s">
        <v>355</v>
      </c>
      <c r="P30593" s="5" t="s">
        <v>355</v>
      </c>
      <c r="Q30593" s="5" t="s">
        <v>355</v>
      </c>
    </row>
    <row r="30594" ht="16.5" customHeight="1">
      <c r="O30594" s="5" t="s">
        <v>355</v>
      </c>
      <c r="P30594" s="5" t="s">
        <v>355</v>
      </c>
      <c r="Q30594" s="5" t="s">
        <v>355</v>
      </c>
    </row>
    <row r="30595" ht="16.5" customHeight="1">
      <c r="O30595" s="5" t="s">
        <v>355</v>
      </c>
      <c r="P30595" s="5" t="s">
        <v>355</v>
      </c>
      <c r="Q30595" s="5" t="s">
        <v>355</v>
      </c>
    </row>
    <row r="30596" ht="16.5" customHeight="1">
      <c r="O30596" s="5" t="s">
        <v>355</v>
      </c>
      <c r="P30596" s="5" t="s">
        <v>355</v>
      </c>
      <c r="Q30596" s="5" t="s">
        <v>355</v>
      </c>
    </row>
    <row r="30597" ht="16.5" customHeight="1">
      <c r="O30597" s="5" t="s">
        <v>355</v>
      </c>
      <c r="P30597" s="5" t="s">
        <v>355</v>
      </c>
      <c r="Q30597" s="5" t="s">
        <v>355</v>
      </c>
    </row>
    <row r="30598" ht="16.5" customHeight="1">
      <c r="O30598" s="5" t="s">
        <v>355</v>
      </c>
      <c r="P30598" s="5" t="s">
        <v>355</v>
      </c>
      <c r="Q30598" s="5" t="s">
        <v>355</v>
      </c>
    </row>
    <row r="30599" ht="16.5" customHeight="1">
      <c r="O30599" s="5" t="s">
        <v>355</v>
      </c>
      <c r="P30599" s="5" t="s">
        <v>355</v>
      </c>
      <c r="Q30599" s="5" t="s">
        <v>355</v>
      </c>
    </row>
    <row r="30600" ht="16.5" customHeight="1">
      <c r="O30600" s="5" t="s">
        <v>355</v>
      </c>
      <c r="P30600" s="5" t="s">
        <v>355</v>
      </c>
      <c r="Q30600" s="5" t="s">
        <v>355</v>
      </c>
    </row>
    <row r="30601" ht="16.5" customHeight="1">
      <c r="O30601" s="5" t="s">
        <v>355</v>
      </c>
      <c r="P30601" s="5" t="s">
        <v>355</v>
      </c>
      <c r="Q30601" s="5" t="s">
        <v>355</v>
      </c>
    </row>
    <row r="30602" ht="16.5" customHeight="1">
      <c r="O30602" s="5" t="s">
        <v>355</v>
      </c>
      <c r="P30602" s="5" t="s">
        <v>355</v>
      </c>
      <c r="Q30602" s="5" t="s">
        <v>355</v>
      </c>
    </row>
    <row r="30603" ht="16.5" customHeight="1">
      <c r="O30603" s="5" t="s">
        <v>355</v>
      </c>
      <c r="P30603" s="5" t="s">
        <v>355</v>
      </c>
      <c r="Q30603" s="5" t="s">
        <v>355</v>
      </c>
    </row>
    <row r="30604" ht="16.5" customHeight="1">
      <c r="O30604" s="5" t="s">
        <v>355</v>
      </c>
      <c r="P30604" s="5" t="s">
        <v>355</v>
      </c>
      <c r="Q30604" s="5" t="s">
        <v>355</v>
      </c>
    </row>
    <row r="30605" ht="16.5" customHeight="1">
      <c r="O30605" s="5" t="s">
        <v>355</v>
      </c>
      <c r="P30605" s="5" t="s">
        <v>355</v>
      </c>
      <c r="Q30605" s="5" t="s">
        <v>355</v>
      </c>
    </row>
    <row r="30606" ht="16.5" customHeight="1">
      <c r="O30606" s="5" t="s">
        <v>355</v>
      </c>
      <c r="P30606" s="5" t="s">
        <v>355</v>
      </c>
      <c r="Q30606" s="5" t="s">
        <v>355</v>
      </c>
    </row>
    <row r="30607" ht="16.5" customHeight="1">
      <c r="O30607" s="5" t="s">
        <v>355</v>
      </c>
      <c r="P30607" s="5" t="s">
        <v>355</v>
      </c>
      <c r="Q30607" s="5" t="s">
        <v>355</v>
      </c>
    </row>
    <row r="30608" ht="16.5" customHeight="1">
      <c r="O30608" s="5" t="s">
        <v>355</v>
      </c>
      <c r="P30608" s="5" t="s">
        <v>355</v>
      </c>
      <c r="Q30608" s="5" t="s">
        <v>355</v>
      </c>
    </row>
    <row r="30609" ht="16.5" customHeight="1">
      <c r="O30609" s="5" t="s">
        <v>355</v>
      </c>
      <c r="P30609" s="5" t="s">
        <v>355</v>
      </c>
      <c r="Q30609" s="5" t="s">
        <v>355</v>
      </c>
    </row>
    <row r="30610" ht="16.5" customHeight="1">
      <c r="O30610" s="5" t="s">
        <v>355</v>
      </c>
      <c r="P30610" s="5" t="s">
        <v>355</v>
      </c>
      <c r="Q30610" s="5" t="s">
        <v>355</v>
      </c>
    </row>
    <row r="30611" ht="16.5" customHeight="1">
      <c r="O30611" s="5" t="s">
        <v>355</v>
      </c>
      <c r="P30611" s="5" t="s">
        <v>355</v>
      </c>
      <c r="Q30611" s="5" t="s">
        <v>355</v>
      </c>
    </row>
    <row r="30612" ht="16.5" customHeight="1">
      <c r="O30612" s="5" t="s">
        <v>355</v>
      </c>
      <c r="P30612" s="5" t="s">
        <v>355</v>
      </c>
      <c r="Q30612" s="5" t="s">
        <v>355</v>
      </c>
    </row>
    <row r="30613" ht="16.5" customHeight="1">
      <c r="O30613" s="5" t="s">
        <v>355</v>
      </c>
      <c r="P30613" s="5" t="s">
        <v>355</v>
      </c>
      <c r="Q30613" s="5" t="s">
        <v>355</v>
      </c>
    </row>
    <row r="30614" ht="16.5" customHeight="1">
      <c r="O30614" s="5" t="s">
        <v>355</v>
      </c>
      <c r="P30614" s="5" t="s">
        <v>355</v>
      </c>
      <c r="Q30614" s="5" t="s">
        <v>355</v>
      </c>
    </row>
    <row r="30615" ht="16.5" customHeight="1">
      <c r="O30615" s="5" t="s">
        <v>355</v>
      </c>
      <c r="P30615" s="5" t="s">
        <v>355</v>
      </c>
      <c r="Q30615" s="5" t="s">
        <v>355</v>
      </c>
    </row>
    <row r="30616" ht="16.5" customHeight="1">
      <c r="O30616" s="5" t="s">
        <v>355</v>
      </c>
      <c r="P30616" s="5" t="s">
        <v>355</v>
      </c>
      <c r="Q30616" s="5" t="s">
        <v>355</v>
      </c>
    </row>
    <row r="30617" ht="16.5" customHeight="1">
      <c r="O30617" s="5" t="s">
        <v>355</v>
      </c>
      <c r="P30617" s="5" t="s">
        <v>355</v>
      </c>
      <c r="Q30617" s="5" t="s">
        <v>355</v>
      </c>
    </row>
    <row r="30618" ht="16.5" customHeight="1">
      <c r="O30618" s="5" t="s">
        <v>355</v>
      </c>
      <c r="P30618" s="5" t="s">
        <v>355</v>
      </c>
      <c r="Q30618" s="5" t="s">
        <v>355</v>
      </c>
    </row>
    <row r="30619" ht="16.5" customHeight="1">
      <c r="O30619" s="5" t="s">
        <v>355</v>
      </c>
      <c r="P30619" s="5" t="s">
        <v>355</v>
      </c>
      <c r="Q30619" s="5" t="s">
        <v>355</v>
      </c>
    </row>
    <row r="30620" ht="16.5" customHeight="1">
      <c r="O30620" s="5" t="s">
        <v>355</v>
      </c>
      <c r="P30620" s="5" t="s">
        <v>355</v>
      </c>
      <c r="Q30620" s="5" t="s">
        <v>355</v>
      </c>
    </row>
    <row r="30621" ht="16.5" customHeight="1">
      <c r="O30621" s="5" t="s">
        <v>355</v>
      </c>
      <c r="P30621" s="5" t="s">
        <v>355</v>
      </c>
      <c r="Q30621" s="5" t="s">
        <v>355</v>
      </c>
    </row>
    <row r="30622" ht="16.5" customHeight="1">
      <c r="O30622" s="5" t="s">
        <v>355</v>
      </c>
      <c r="P30622" s="5" t="s">
        <v>355</v>
      </c>
      <c r="Q30622" s="5" t="s">
        <v>355</v>
      </c>
    </row>
    <row r="30623" ht="16.5" customHeight="1">
      <c r="O30623" s="5" t="s">
        <v>355</v>
      </c>
      <c r="P30623" s="5" t="s">
        <v>355</v>
      </c>
      <c r="Q30623" s="5" t="s">
        <v>355</v>
      </c>
    </row>
    <row r="30624" ht="16.5" customHeight="1">
      <c r="O30624" s="5" t="s">
        <v>355</v>
      </c>
      <c r="P30624" s="5" t="s">
        <v>355</v>
      </c>
      <c r="Q30624" s="5" t="s">
        <v>355</v>
      </c>
    </row>
    <row r="30625" ht="16.5" customHeight="1">
      <c r="O30625" s="5" t="s">
        <v>355</v>
      </c>
      <c r="P30625" s="5" t="s">
        <v>355</v>
      </c>
      <c r="Q30625" s="5" t="s">
        <v>355</v>
      </c>
    </row>
    <row r="30626" ht="16.5" customHeight="1">
      <c r="O30626" s="5" t="s">
        <v>355</v>
      </c>
      <c r="P30626" s="5" t="s">
        <v>355</v>
      </c>
      <c r="Q30626" s="5" t="s">
        <v>355</v>
      </c>
    </row>
    <row r="30627" ht="16.5" customHeight="1">
      <c r="O30627" s="5" t="s">
        <v>355</v>
      </c>
      <c r="P30627" s="5" t="s">
        <v>355</v>
      </c>
      <c r="Q30627" s="5" t="s">
        <v>355</v>
      </c>
    </row>
    <row r="30628" ht="16.5" customHeight="1">
      <c r="O30628" s="5" t="s">
        <v>355</v>
      </c>
      <c r="P30628" s="5" t="s">
        <v>355</v>
      </c>
      <c r="Q30628" s="5" t="s">
        <v>355</v>
      </c>
    </row>
    <row r="30629" ht="16.5" customHeight="1">
      <c r="O30629" s="5" t="s">
        <v>355</v>
      </c>
      <c r="P30629" s="5" t="s">
        <v>355</v>
      </c>
      <c r="Q30629" s="5" t="s">
        <v>355</v>
      </c>
    </row>
    <row r="30630" ht="16.5" customHeight="1">
      <c r="O30630" s="5" t="s">
        <v>355</v>
      </c>
      <c r="P30630" s="5" t="s">
        <v>355</v>
      </c>
      <c r="Q30630" s="5" t="s">
        <v>355</v>
      </c>
    </row>
    <row r="30631" ht="16.5" customHeight="1">
      <c r="O30631" s="5" t="s">
        <v>355</v>
      </c>
      <c r="P30631" s="5" t="s">
        <v>355</v>
      </c>
      <c r="Q30631" s="5" t="s">
        <v>355</v>
      </c>
    </row>
    <row r="30632" ht="16.5" customHeight="1">
      <c r="O30632" s="5" t="s">
        <v>355</v>
      </c>
      <c r="P30632" s="5" t="s">
        <v>355</v>
      </c>
      <c r="Q30632" s="5" t="s">
        <v>355</v>
      </c>
    </row>
    <row r="30633" ht="16.5" customHeight="1">
      <c r="O30633" s="5" t="s">
        <v>355</v>
      </c>
      <c r="P30633" s="5" t="s">
        <v>355</v>
      </c>
      <c r="Q30633" s="5" t="s">
        <v>355</v>
      </c>
    </row>
    <row r="30634" ht="16.5" customHeight="1">
      <c r="O30634" s="5" t="s">
        <v>355</v>
      </c>
      <c r="P30634" s="5" t="s">
        <v>355</v>
      </c>
      <c r="Q30634" s="5" t="s">
        <v>355</v>
      </c>
    </row>
    <row r="30635" ht="16.5" customHeight="1">
      <c r="O30635" s="5" t="s">
        <v>355</v>
      </c>
      <c r="P30635" s="5" t="s">
        <v>355</v>
      </c>
      <c r="Q30635" s="5" t="s">
        <v>355</v>
      </c>
    </row>
    <row r="30636" ht="16.5" customHeight="1">
      <c r="O30636" s="5" t="s">
        <v>355</v>
      </c>
      <c r="P30636" s="5" t="s">
        <v>355</v>
      </c>
      <c r="Q30636" s="5" t="s">
        <v>355</v>
      </c>
    </row>
    <row r="30637" ht="16.5" customHeight="1">
      <c r="O30637" s="5" t="s">
        <v>355</v>
      </c>
      <c r="P30637" s="5" t="s">
        <v>355</v>
      </c>
      <c r="Q30637" s="5" t="s">
        <v>355</v>
      </c>
    </row>
    <row r="30638" ht="16.5" customHeight="1">
      <c r="O30638" s="5" t="s">
        <v>355</v>
      </c>
      <c r="P30638" s="5" t="s">
        <v>355</v>
      </c>
      <c r="Q30638" s="5" t="s">
        <v>355</v>
      </c>
    </row>
    <row r="30639" ht="16.5" customHeight="1">
      <c r="O30639" s="5" t="s">
        <v>355</v>
      </c>
      <c r="P30639" s="5" t="s">
        <v>355</v>
      </c>
      <c r="Q30639" s="5" t="s">
        <v>355</v>
      </c>
    </row>
    <row r="30640" ht="16.5" customHeight="1">
      <c r="O30640" s="5" t="s">
        <v>355</v>
      </c>
      <c r="P30640" s="5" t="s">
        <v>355</v>
      </c>
      <c r="Q30640" s="5" t="s">
        <v>355</v>
      </c>
    </row>
    <row r="30641" ht="16.5" customHeight="1">
      <c r="O30641" s="5" t="s">
        <v>355</v>
      </c>
      <c r="P30641" s="5" t="s">
        <v>355</v>
      </c>
      <c r="Q30641" s="5" t="s">
        <v>355</v>
      </c>
    </row>
    <row r="30642" ht="16.5" customHeight="1">
      <c r="O30642" s="5" t="s">
        <v>355</v>
      </c>
      <c r="P30642" s="5" t="s">
        <v>355</v>
      </c>
      <c r="Q30642" s="5" t="s">
        <v>355</v>
      </c>
    </row>
    <row r="30643" ht="16.5" customHeight="1">
      <c r="O30643" s="5" t="s">
        <v>355</v>
      </c>
      <c r="P30643" s="5" t="s">
        <v>355</v>
      </c>
      <c r="Q30643" s="5" t="s">
        <v>355</v>
      </c>
    </row>
    <row r="30644" ht="16.5" customHeight="1">
      <c r="O30644" s="5" t="s">
        <v>355</v>
      </c>
      <c r="P30644" s="5" t="s">
        <v>355</v>
      </c>
      <c r="Q30644" s="5" t="s">
        <v>355</v>
      </c>
    </row>
    <row r="30645" ht="16.5" customHeight="1">
      <c r="O30645" s="5" t="s">
        <v>355</v>
      </c>
      <c r="P30645" s="5" t="s">
        <v>355</v>
      </c>
      <c r="Q30645" s="5" t="s">
        <v>355</v>
      </c>
    </row>
    <row r="30646" ht="16.5" customHeight="1">
      <c r="O30646" s="5" t="s">
        <v>355</v>
      </c>
      <c r="P30646" s="5" t="s">
        <v>355</v>
      </c>
      <c r="Q30646" s="5" t="s">
        <v>355</v>
      </c>
    </row>
    <row r="30647" ht="16.5" customHeight="1">
      <c r="O30647" s="5" t="s">
        <v>355</v>
      </c>
      <c r="P30647" s="5" t="s">
        <v>355</v>
      </c>
      <c r="Q30647" s="5" t="s">
        <v>355</v>
      </c>
    </row>
    <row r="30648" ht="16.5" customHeight="1">
      <c r="O30648" s="5" t="s">
        <v>355</v>
      </c>
      <c r="P30648" s="5" t="s">
        <v>355</v>
      </c>
      <c r="Q30648" s="5" t="s">
        <v>355</v>
      </c>
    </row>
    <row r="30649" ht="16.5" customHeight="1">
      <c r="O30649" s="5" t="s">
        <v>355</v>
      </c>
      <c r="P30649" s="5" t="s">
        <v>355</v>
      </c>
      <c r="Q30649" s="5" t="s">
        <v>355</v>
      </c>
    </row>
    <row r="30650" ht="16.5" customHeight="1">
      <c r="O30650" s="5" t="s">
        <v>355</v>
      </c>
      <c r="P30650" s="5" t="s">
        <v>355</v>
      </c>
      <c r="Q30650" s="5" t="s">
        <v>355</v>
      </c>
    </row>
    <row r="30651" ht="16.5" customHeight="1">
      <c r="O30651" s="5" t="s">
        <v>355</v>
      </c>
      <c r="P30651" s="5" t="s">
        <v>355</v>
      </c>
      <c r="Q30651" s="5" t="s">
        <v>355</v>
      </c>
    </row>
    <row r="30652" ht="16.5" customHeight="1">
      <c r="O30652" s="5" t="s">
        <v>355</v>
      </c>
      <c r="P30652" s="5" t="s">
        <v>355</v>
      </c>
      <c r="Q30652" s="5" t="s">
        <v>355</v>
      </c>
    </row>
    <row r="30653" ht="16.5" customHeight="1">
      <c r="O30653" s="5" t="s">
        <v>355</v>
      </c>
      <c r="P30653" s="5" t="s">
        <v>355</v>
      </c>
      <c r="Q30653" s="5" t="s">
        <v>355</v>
      </c>
    </row>
    <row r="30654" ht="16.5" customHeight="1">
      <c r="O30654" s="5" t="s">
        <v>355</v>
      </c>
      <c r="P30654" s="5" t="s">
        <v>355</v>
      </c>
      <c r="Q30654" s="5" t="s">
        <v>355</v>
      </c>
    </row>
    <row r="30655" ht="16.5" customHeight="1">
      <c r="O30655" s="5" t="s">
        <v>355</v>
      </c>
      <c r="P30655" s="5" t="s">
        <v>355</v>
      </c>
      <c r="Q30655" s="5" t="s">
        <v>355</v>
      </c>
    </row>
    <row r="30656" ht="16.5" customHeight="1">
      <c r="O30656" s="5" t="s">
        <v>355</v>
      </c>
      <c r="P30656" s="5" t="s">
        <v>355</v>
      </c>
      <c r="Q30656" s="5" t="s">
        <v>355</v>
      </c>
    </row>
    <row r="30657" ht="16.5" customHeight="1">
      <c r="O30657" s="5" t="s">
        <v>355</v>
      </c>
      <c r="P30657" s="5" t="s">
        <v>355</v>
      </c>
      <c r="Q30657" s="5" t="s">
        <v>355</v>
      </c>
    </row>
    <row r="30658" ht="16.5" customHeight="1">
      <c r="O30658" s="5" t="s">
        <v>355</v>
      </c>
      <c r="P30658" s="5" t="s">
        <v>355</v>
      </c>
      <c r="Q30658" s="5" t="s">
        <v>355</v>
      </c>
    </row>
    <row r="30659" ht="16.5" customHeight="1">
      <c r="O30659" s="5" t="s">
        <v>355</v>
      </c>
      <c r="P30659" s="5" t="s">
        <v>355</v>
      </c>
      <c r="Q30659" s="5" t="s">
        <v>355</v>
      </c>
    </row>
    <row r="30660" ht="16.5" customHeight="1">
      <c r="O30660" s="5" t="s">
        <v>355</v>
      </c>
      <c r="P30660" s="5" t="s">
        <v>355</v>
      </c>
      <c r="Q30660" s="5" t="s">
        <v>355</v>
      </c>
    </row>
    <row r="30661" ht="16.5" customHeight="1">
      <c r="O30661" s="5" t="s">
        <v>355</v>
      </c>
      <c r="P30661" s="5" t="s">
        <v>355</v>
      </c>
      <c r="Q30661" s="5" t="s">
        <v>355</v>
      </c>
    </row>
    <row r="30662" ht="16.5" customHeight="1">
      <c r="O30662" s="5" t="s">
        <v>355</v>
      </c>
      <c r="P30662" s="5" t="s">
        <v>355</v>
      </c>
      <c r="Q30662" s="5" t="s">
        <v>355</v>
      </c>
    </row>
    <row r="30663" ht="16.5" customHeight="1">
      <c r="O30663" s="5" t="s">
        <v>355</v>
      </c>
      <c r="P30663" s="5" t="s">
        <v>355</v>
      </c>
      <c r="Q30663" s="5" t="s">
        <v>355</v>
      </c>
    </row>
    <row r="30664" ht="16.5" customHeight="1">
      <c r="O30664" s="5" t="s">
        <v>355</v>
      </c>
      <c r="P30664" s="5" t="s">
        <v>355</v>
      </c>
      <c r="Q30664" s="5" t="s">
        <v>355</v>
      </c>
    </row>
    <row r="30665" ht="16.5" customHeight="1">
      <c r="O30665" s="5" t="s">
        <v>355</v>
      </c>
      <c r="P30665" s="5" t="s">
        <v>355</v>
      </c>
      <c r="Q30665" s="5" t="s">
        <v>355</v>
      </c>
    </row>
    <row r="30666" ht="16.5" customHeight="1">
      <c r="O30666" s="5" t="s">
        <v>355</v>
      </c>
      <c r="P30666" s="5" t="s">
        <v>355</v>
      </c>
      <c r="Q30666" s="5" t="s">
        <v>355</v>
      </c>
    </row>
    <row r="30667" ht="16.5" customHeight="1">
      <c r="O30667" s="5" t="s">
        <v>355</v>
      </c>
      <c r="P30667" s="5" t="s">
        <v>355</v>
      </c>
      <c r="Q30667" s="5" t="s">
        <v>355</v>
      </c>
    </row>
    <row r="30668" ht="16.5" customHeight="1">
      <c r="O30668" s="5" t="s">
        <v>355</v>
      </c>
      <c r="P30668" s="5" t="s">
        <v>355</v>
      </c>
      <c r="Q30668" s="5" t="s">
        <v>355</v>
      </c>
    </row>
    <row r="30669" ht="16.5" customHeight="1">
      <c r="O30669" s="5" t="s">
        <v>355</v>
      </c>
      <c r="P30669" s="5" t="s">
        <v>355</v>
      </c>
      <c r="Q30669" s="5" t="s">
        <v>355</v>
      </c>
    </row>
    <row r="30670" ht="16.5" customHeight="1">
      <c r="O30670" s="5" t="s">
        <v>355</v>
      </c>
      <c r="P30670" s="5" t="s">
        <v>355</v>
      </c>
      <c r="Q30670" s="5" t="s">
        <v>355</v>
      </c>
    </row>
    <row r="30671" ht="16.5" customHeight="1">
      <c r="O30671" s="5" t="s">
        <v>355</v>
      </c>
      <c r="P30671" s="5" t="s">
        <v>355</v>
      </c>
      <c r="Q30671" s="5" t="s">
        <v>355</v>
      </c>
    </row>
    <row r="30672" ht="16.5" customHeight="1">
      <c r="O30672" s="5" t="s">
        <v>355</v>
      </c>
      <c r="P30672" s="5" t="s">
        <v>355</v>
      </c>
      <c r="Q30672" s="5" t="s">
        <v>355</v>
      </c>
    </row>
    <row r="30673" ht="16.5" customHeight="1">
      <c r="O30673" s="5" t="s">
        <v>355</v>
      </c>
      <c r="P30673" s="5" t="s">
        <v>355</v>
      </c>
      <c r="Q30673" s="5" t="s">
        <v>355</v>
      </c>
    </row>
    <row r="30674" ht="16.5" customHeight="1">
      <c r="O30674" s="5" t="s">
        <v>355</v>
      </c>
      <c r="P30674" s="5" t="s">
        <v>355</v>
      </c>
      <c r="Q30674" s="5" t="s">
        <v>355</v>
      </c>
    </row>
    <row r="30675" ht="16.5" customHeight="1">
      <c r="O30675" s="5" t="s">
        <v>355</v>
      </c>
      <c r="P30675" s="5" t="s">
        <v>355</v>
      </c>
      <c r="Q30675" s="5" t="s">
        <v>355</v>
      </c>
    </row>
    <row r="30676" ht="16.5" customHeight="1">
      <c r="O30676" s="5" t="s">
        <v>355</v>
      </c>
      <c r="P30676" s="5" t="s">
        <v>355</v>
      </c>
      <c r="Q30676" s="5" t="s">
        <v>355</v>
      </c>
    </row>
    <row r="30677" ht="16.5" customHeight="1">
      <c r="O30677" s="5" t="s">
        <v>355</v>
      </c>
      <c r="P30677" s="5" t="s">
        <v>355</v>
      </c>
      <c r="Q30677" s="5" t="s">
        <v>355</v>
      </c>
    </row>
    <row r="30678" ht="16.5" customHeight="1">
      <c r="O30678" s="5" t="s">
        <v>355</v>
      </c>
      <c r="P30678" s="5" t="s">
        <v>355</v>
      </c>
      <c r="Q30678" s="5" t="s">
        <v>355</v>
      </c>
    </row>
    <row r="30679" ht="16.5" customHeight="1">
      <c r="O30679" s="5" t="s">
        <v>355</v>
      </c>
      <c r="P30679" s="5" t="s">
        <v>355</v>
      </c>
      <c r="Q30679" s="5" t="s">
        <v>355</v>
      </c>
    </row>
    <row r="30680" ht="16.5" customHeight="1">
      <c r="O30680" s="5" t="s">
        <v>355</v>
      </c>
      <c r="P30680" s="5" t="s">
        <v>355</v>
      </c>
      <c r="Q30680" s="5" t="s">
        <v>355</v>
      </c>
    </row>
    <row r="30681" ht="16.5" customHeight="1">
      <c r="O30681" s="5" t="s">
        <v>355</v>
      </c>
      <c r="P30681" s="5" t="s">
        <v>355</v>
      </c>
      <c r="Q30681" s="5" t="s">
        <v>355</v>
      </c>
    </row>
    <row r="30682" ht="16.5" customHeight="1">
      <c r="O30682" s="5" t="s">
        <v>355</v>
      </c>
      <c r="P30682" s="5" t="s">
        <v>355</v>
      </c>
      <c r="Q30682" s="5" t="s">
        <v>355</v>
      </c>
    </row>
    <row r="30683" ht="16.5" customHeight="1">
      <c r="O30683" s="5" t="s">
        <v>355</v>
      </c>
      <c r="P30683" s="5" t="s">
        <v>355</v>
      </c>
      <c r="Q30683" s="5" t="s">
        <v>355</v>
      </c>
    </row>
    <row r="30684" ht="16.5" customHeight="1">
      <c r="O30684" s="5" t="s">
        <v>355</v>
      </c>
      <c r="P30684" s="5" t="s">
        <v>355</v>
      </c>
      <c r="Q30684" s="5" t="s">
        <v>355</v>
      </c>
    </row>
    <row r="30685" ht="16.5" customHeight="1">
      <c r="O30685" s="5" t="s">
        <v>355</v>
      </c>
      <c r="P30685" s="5" t="s">
        <v>355</v>
      </c>
      <c r="Q30685" s="5" t="s">
        <v>355</v>
      </c>
    </row>
    <row r="30686" ht="16.5" customHeight="1">
      <c r="O30686" s="5" t="s">
        <v>355</v>
      </c>
      <c r="P30686" s="5" t="s">
        <v>355</v>
      </c>
      <c r="Q30686" s="5" t="s">
        <v>355</v>
      </c>
    </row>
    <row r="30687" ht="16.5" customHeight="1">
      <c r="O30687" s="5" t="s">
        <v>355</v>
      </c>
      <c r="P30687" s="5" t="s">
        <v>355</v>
      </c>
      <c r="Q30687" s="5" t="s">
        <v>355</v>
      </c>
    </row>
    <row r="30688" ht="16.5" customHeight="1">
      <c r="O30688" s="5" t="s">
        <v>355</v>
      </c>
      <c r="P30688" s="5" t="s">
        <v>355</v>
      </c>
      <c r="Q30688" s="5" t="s">
        <v>355</v>
      </c>
    </row>
    <row r="30689" ht="16.5" customHeight="1">
      <c r="O30689" s="5" t="s">
        <v>355</v>
      </c>
      <c r="P30689" s="5" t="s">
        <v>355</v>
      </c>
      <c r="Q30689" s="5" t="s">
        <v>355</v>
      </c>
    </row>
    <row r="30690" ht="16.5" customHeight="1">
      <c r="O30690" s="5" t="s">
        <v>355</v>
      </c>
      <c r="P30690" s="5" t="s">
        <v>355</v>
      </c>
      <c r="Q30690" s="5" t="s">
        <v>355</v>
      </c>
    </row>
    <row r="30691" ht="16.5" customHeight="1">
      <c r="O30691" s="5" t="s">
        <v>355</v>
      </c>
      <c r="P30691" s="5" t="s">
        <v>355</v>
      </c>
      <c r="Q30691" s="5" t="s">
        <v>355</v>
      </c>
    </row>
    <row r="30692" ht="16.5" customHeight="1">
      <c r="O30692" s="5" t="s">
        <v>355</v>
      </c>
      <c r="P30692" s="5" t="s">
        <v>355</v>
      </c>
      <c r="Q30692" s="5" t="s">
        <v>355</v>
      </c>
    </row>
    <row r="30693" ht="16.5" customHeight="1">
      <c r="O30693" s="5" t="s">
        <v>355</v>
      </c>
      <c r="P30693" s="5" t="s">
        <v>355</v>
      </c>
      <c r="Q30693" s="5" t="s">
        <v>355</v>
      </c>
    </row>
    <row r="30694" ht="16.5" customHeight="1">
      <c r="O30694" s="5" t="s">
        <v>355</v>
      </c>
      <c r="P30694" s="5" t="s">
        <v>355</v>
      </c>
      <c r="Q30694" s="5" t="s">
        <v>355</v>
      </c>
    </row>
    <row r="30695" ht="16.5" customHeight="1">
      <c r="O30695" s="5" t="s">
        <v>355</v>
      </c>
      <c r="P30695" s="5" t="s">
        <v>355</v>
      </c>
      <c r="Q30695" s="5" t="s">
        <v>355</v>
      </c>
    </row>
    <row r="30696" ht="16.5" customHeight="1">
      <c r="O30696" s="5" t="s">
        <v>355</v>
      </c>
      <c r="P30696" s="5" t="s">
        <v>355</v>
      </c>
      <c r="Q30696" s="5" t="s">
        <v>355</v>
      </c>
    </row>
    <row r="30697" ht="16.5" customHeight="1">
      <c r="O30697" s="5" t="s">
        <v>355</v>
      </c>
      <c r="P30697" s="5" t="s">
        <v>355</v>
      </c>
      <c r="Q30697" s="5" t="s">
        <v>355</v>
      </c>
    </row>
    <row r="30698" ht="16.5" customHeight="1">
      <c r="O30698" s="5" t="s">
        <v>355</v>
      </c>
      <c r="P30698" s="5" t="s">
        <v>355</v>
      </c>
      <c r="Q30698" s="5" t="s">
        <v>355</v>
      </c>
    </row>
    <row r="30699" ht="16.5" customHeight="1">
      <c r="O30699" s="5" t="s">
        <v>355</v>
      </c>
      <c r="P30699" s="5" t="s">
        <v>355</v>
      </c>
      <c r="Q30699" s="5" t="s">
        <v>355</v>
      </c>
    </row>
    <row r="30700" ht="16.5" customHeight="1">
      <c r="O30700" s="5" t="s">
        <v>355</v>
      </c>
      <c r="P30700" s="5" t="s">
        <v>355</v>
      </c>
      <c r="Q30700" s="5" t="s">
        <v>355</v>
      </c>
    </row>
    <row r="30701" ht="16.5" customHeight="1">
      <c r="O30701" s="5" t="s">
        <v>355</v>
      </c>
      <c r="P30701" s="5" t="s">
        <v>355</v>
      </c>
      <c r="Q30701" s="5" t="s">
        <v>355</v>
      </c>
    </row>
    <row r="30702" ht="16.5" customHeight="1">
      <c r="O30702" s="5" t="s">
        <v>355</v>
      </c>
      <c r="P30702" s="5" t="s">
        <v>355</v>
      </c>
      <c r="Q30702" s="5" t="s">
        <v>355</v>
      </c>
    </row>
    <row r="30703" ht="16.5" customHeight="1">
      <c r="O30703" s="5" t="s">
        <v>355</v>
      </c>
      <c r="P30703" s="5" t="s">
        <v>355</v>
      </c>
      <c r="Q30703" s="5" t="s">
        <v>355</v>
      </c>
    </row>
    <row r="30704" ht="16.5" customHeight="1">
      <c r="O30704" s="5" t="s">
        <v>355</v>
      </c>
      <c r="P30704" s="5" t="s">
        <v>355</v>
      </c>
      <c r="Q30704" s="5" t="s">
        <v>355</v>
      </c>
    </row>
    <row r="30705" ht="16.5" customHeight="1">
      <c r="O30705" s="5" t="s">
        <v>355</v>
      </c>
      <c r="P30705" s="5" t="s">
        <v>355</v>
      </c>
      <c r="Q30705" s="5" t="s">
        <v>355</v>
      </c>
    </row>
    <row r="30706" ht="16.5" customHeight="1">
      <c r="O30706" s="5" t="s">
        <v>355</v>
      </c>
      <c r="P30706" s="5" t="s">
        <v>355</v>
      </c>
      <c r="Q30706" s="5" t="s">
        <v>355</v>
      </c>
    </row>
    <row r="30707" ht="16.5" customHeight="1">
      <c r="O30707" s="5" t="s">
        <v>355</v>
      </c>
      <c r="P30707" s="5" t="s">
        <v>355</v>
      </c>
      <c r="Q30707" s="5" t="s">
        <v>355</v>
      </c>
    </row>
    <row r="30708" ht="16.5" customHeight="1">
      <c r="O30708" s="5" t="s">
        <v>355</v>
      </c>
      <c r="P30708" s="5" t="s">
        <v>355</v>
      </c>
      <c r="Q30708" s="5" t="s">
        <v>355</v>
      </c>
    </row>
    <row r="30709" ht="16.5" customHeight="1">
      <c r="O30709" s="5" t="s">
        <v>355</v>
      </c>
      <c r="P30709" s="5" t="s">
        <v>355</v>
      </c>
      <c r="Q30709" s="5" t="s">
        <v>355</v>
      </c>
    </row>
    <row r="30710" ht="16.5" customHeight="1">
      <c r="O30710" s="5" t="s">
        <v>355</v>
      </c>
      <c r="P30710" s="5" t="s">
        <v>355</v>
      </c>
      <c r="Q30710" s="5" t="s">
        <v>355</v>
      </c>
    </row>
    <row r="30711" ht="16.5" customHeight="1">
      <c r="O30711" s="5" t="s">
        <v>355</v>
      </c>
      <c r="P30711" s="5" t="s">
        <v>355</v>
      </c>
      <c r="Q30711" s="5" t="s">
        <v>355</v>
      </c>
    </row>
    <row r="30712" ht="16.5" customHeight="1">
      <c r="O30712" s="5" t="s">
        <v>355</v>
      </c>
      <c r="P30712" s="5" t="s">
        <v>355</v>
      </c>
      <c r="Q30712" s="5" t="s">
        <v>355</v>
      </c>
    </row>
    <row r="30713" ht="16.5" customHeight="1">
      <c r="O30713" s="5" t="s">
        <v>355</v>
      </c>
      <c r="P30713" s="5" t="s">
        <v>355</v>
      </c>
      <c r="Q30713" s="5" t="s">
        <v>355</v>
      </c>
    </row>
    <row r="30714" ht="16.5" customHeight="1">
      <c r="O30714" s="5" t="s">
        <v>355</v>
      </c>
      <c r="P30714" s="5" t="s">
        <v>355</v>
      </c>
      <c r="Q30714" s="5" t="s">
        <v>355</v>
      </c>
    </row>
    <row r="30715" ht="16.5" customHeight="1">
      <c r="O30715" s="5" t="s">
        <v>355</v>
      </c>
      <c r="P30715" s="5" t="s">
        <v>355</v>
      </c>
      <c r="Q30715" s="5" t="s">
        <v>355</v>
      </c>
    </row>
    <row r="30716" ht="16.5" customHeight="1">
      <c r="O30716" s="5" t="s">
        <v>355</v>
      </c>
      <c r="P30716" s="5" t="s">
        <v>355</v>
      </c>
      <c r="Q30716" s="5" t="s">
        <v>355</v>
      </c>
    </row>
    <row r="30717" ht="16.5" customHeight="1">
      <c r="O30717" s="5" t="s">
        <v>355</v>
      </c>
      <c r="P30717" s="5" t="s">
        <v>355</v>
      </c>
      <c r="Q30717" s="5" t="s">
        <v>355</v>
      </c>
    </row>
    <row r="30718" ht="16.5" customHeight="1">
      <c r="O30718" s="5" t="s">
        <v>355</v>
      </c>
      <c r="P30718" s="5" t="s">
        <v>355</v>
      </c>
      <c r="Q30718" s="5" t="s">
        <v>355</v>
      </c>
    </row>
    <row r="30719" ht="16.5" customHeight="1">
      <c r="O30719" s="5" t="s">
        <v>355</v>
      </c>
      <c r="P30719" s="5" t="s">
        <v>355</v>
      </c>
      <c r="Q30719" s="5" t="s">
        <v>355</v>
      </c>
    </row>
    <row r="30720" ht="16.5" customHeight="1">
      <c r="O30720" s="5" t="s">
        <v>355</v>
      </c>
      <c r="P30720" s="5" t="s">
        <v>355</v>
      </c>
      <c r="Q30720" s="5" t="s">
        <v>355</v>
      </c>
    </row>
    <row r="30721" ht="16.5" customHeight="1">
      <c r="O30721" s="5" t="s">
        <v>355</v>
      </c>
      <c r="P30721" s="5" t="s">
        <v>355</v>
      </c>
      <c r="Q30721" s="5" t="s">
        <v>355</v>
      </c>
    </row>
    <row r="30722" ht="16.5" customHeight="1">
      <c r="O30722" s="5" t="s">
        <v>355</v>
      </c>
      <c r="P30722" s="5" t="s">
        <v>355</v>
      </c>
      <c r="Q30722" s="5" t="s">
        <v>355</v>
      </c>
    </row>
    <row r="30723" ht="16.5" customHeight="1">
      <c r="O30723" s="5" t="s">
        <v>355</v>
      </c>
      <c r="P30723" s="5" t="s">
        <v>355</v>
      </c>
      <c r="Q30723" s="5" t="s">
        <v>355</v>
      </c>
    </row>
    <row r="30724" ht="16.5" customHeight="1">
      <c r="O30724" s="5" t="s">
        <v>355</v>
      </c>
      <c r="P30724" s="5" t="s">
        <v>355</v>
      </c>
      <c r="Q30724" s="5" t="s">
        <v>355</v>
      </c>
    </row>
    <row r="30725" ht="16.5" customHeight="1">
      <c r="O30725" s="5" t="s">
        <v>355</v>
      </c>
      <c r="P30725" s="5" t="s">
        <v>355</v>
      </c>
      <c r="Q30725" s="5" t="s">
        <v>355</v>
      </c>
    </row>
    <row r="30726" ht="16.5" customHeight="1">
      <c r="O30726" s="5" t="s">
        <v>355</v>
      </c>
      <c r="P30726" s="5" t="s">
        <v>355</v>
      </c>
      <c r="Q30726" s="5" t="s">
        <v>355</v>
      </c>
    </row>
    <row r="30727" ht="16.5" customHeight="1">
      <c r="O30727" s="5" t="s">
        <v>355</v>
      </c>
      <c r="P30727" s="5" t="s">
        <v>355</v>
      </c>
      <c r="Q30727" s="5" t="s">
        <v>355</v>
      </c>
    </row>
    <row r="30728" ht="16.5" customHeight="1">
      <c r="O30728" s="5" t="s">
        <v>355</v>
      </c>
      <c r="P30728" s="5" t="s">
        <v>355</v>
      </c>
      <c r="Q30728" s="5" t="s">
        <v>355</v>
      </c>
    </row>
    <row r="30729" ht="16.5" customHeight="1">
      <c r="O30729" s="5" t="s">
        <v>355</v>
      </c>
      <c r="P30729" s="5" t="s">
        <v>355</v>
      </c>
      <c r="Q30729" s="5" t="s">
        <v>355</v>
      </c>
    </row>
    <row r="30730" ht="16.5" customHeight="1">
      <c r="O30730" s="5" t="s">
        <v>355</v>
      </c>
      <c r="P30730" s="5" t="s">
        <v>355</v>
      </c>
      <c r="Q30730" s="5" t="s">
        <v>355</v>
      </c>
    </row>
    <row r="30731" ht="16.5" customHeight="1">
      <c r="O30731" s="5" t="s">
        <v>355</v>
      </c>
      <c r="P30731" s="5" t="s">
        <v>355</v>
      </c>
      <c r="Q30731" s="5" t="s">
        <v>355</v>
      </c>
    </row>
    <row r="30732" ht="16.5" customHeight="1">
      <c r="O30732" s="5" t="s">
        <v>355</v>
      </c>
      <c r="P30732" s="5" t="s">
        <v>355</v>
      </c>
      <c r="Q30732" s="5" t="s">
        <v>355</v>
      </c>
    </row>
    <row r="30733" ht="16.5" customHeight="1">
      <c r="O30733" s="5" t="s">
        <v>355</v>
      </c>
      <c r="P30733" s="5" t="s">
        <v>355</v>
      </c>
      <c r="Q30733" s="5" t="s">
        <v>355</v>
      </c>
    </row>
    <row r="30734" ht="16.5" customHeight="1">
      <c r="O30734" s="5" t="s">
        <v>355</v>
      </c>
      <c r="P30734" s="5" t="s">
        <v>355</v>
      </c>
      <c r="Q30734" s="5" t="s">
        <v>355</v>
      </c>
    </row>
    <row r="30735" ht="16.5" customHeight="1">
      <c r="O30735" s="5" t="s">
        <v>355</v>
      </c>
      <c r="P30735" s="5" t="s">
        <v>355</v>
      </c>
      <c r="Q30735" s="5" t="s">
        <v>355</v>
      </c>
    </row>
    <row r="30736" ht="16.5" customHeight="1">
      <c r="O30736" s="5" t="s">
        <v>355</v>
      </c>
      <c r="P30736" s="5" t="s">
        <v>355</v>
      </c>
      <c r="Q30736" s="5" t="s">
        <v>355</v>
      </c>
    </row>
    <row r="30737" ht="16.5" customHeight="1">
      <c r="O30737" s="5" t="s">
        <v>355</v>
      </c>
      <c r="P30737" s="5" t="s">
        <v>355</v>
      </c>
      <c r="Q30737" s="5" t="s">
        <v>355</v>
      </c>
    </row>
    <row r="30738" ht="16.5" customHeight="1">
      <c r="O30738" s="5" t="s">
        <v>355</v>
      </c>
      <c r="P30738" s="5" t="s">
        <v>355</v>
      </c>
      <c r="Q30738" s="5" t="s">
        <v>355</v>
      </c>
    </row>
    <row r="30739" ht="16.5" customHeight="1">
      <c r="O30739" s="5" t="s">
        <v>355</v>
      </c>
      <c r="P30739" s="5" t="s">
        <v>355</v>
      </c>
      <c r="Q30739" s="5" t="s">
        <v>355</v>
      </c>
    </row>
    <row r="30740" ht="16.5" customHeight="1">
      <c r="O30740" s="5" t="s">
        <v>355</v>
      </c>
      <c r="P30740" s="5" t="s">
        <v>355</v>
      </c>
      <c r="Q30740" s="5" t="s">
        <v>355</v>
      </c>
    </row>
    <row r="30741" ht="16.5" customHeight="1">
      <c r="O30741" s="5" t="s">
        <v>355</v>
      </c>
      <c r="P30741" s="5" t="s">
        <v>355</v>
      </c>
      <c r="Q30741" s="5" t="s">
        <v>355</v>
      </c>
    </row>
    <row r="30742" ht="16.5" customHeight="1">
      <c r="O30742" s="5" t="s">
        <v>355</v>
      </c>
      <c r="P30742" s="5" t="s">
        <v>355</v>
      </c>
      <c r="Q30742" s="5" t="s">
        <v>355</v>
      </c>
    </row>
    <row r="30743" ht="16.5" customHeight="1">
      <c r="O30743" s="5" t="s">
        <v>355</v>
      </c>
      <c r="P30743" s="5" t="s">
        <v>355</v>
      </c>
      <c r="Q30743" s="5" t="s">
        <v>355</v>
      </c>
    </row>
    <row r="30744" ht="16.5" customHeight="1">
      <c r="O30744" s="5" t="s">
        <v>355</v>
      </c>
      <c r="P30744" s="5" t="s">
        <v>355</v>
      </c>
      <c r="Q30744" s="5" t="s">
        <v>355</v>
      </c>
    </row>
    <row r="30745" ht="16.5" customHeight="1">
      <c r="O30745" s="5" t="s">
        <v>355</v>
      </c>
      <c r="P30745" s="5" t="s">
        <v>355</v>
      </c>
      <c r="Q30745" s="5" t="s">
        <v>355</v>
      </c>
    </row>
    <row r="30746" ht="16.5" customHeight="1">
      <c r="O30746" s="5" t="s">
        <v>355</v>
      </c>
      <c r="P30746" s="5" t="s">
        <v>355</v>
      </c>
      <c r="Q30746" s="5" t="s">
        <v>355</v>
      </c>
    </row>
    <row r="30747" ht="16.5" customHeight="1">
      <c r="O30747" s="5" t="s">
        <v>355</v>
      </c>
      <c r="P30747" s="5" t="s">
        <v>355</v>
      </c>
      <c r="Q30747" s="5" t="s">
        <v>355</v>
      </c>
    </row>
    <row r="30748" ht="16.5" customHeight="1">
      <c r="O30748" s="5" t="s">
        <v>355</v>
      </c>
      <c r="P30748" s="5" t="s">
        <v>355</v>
      </c>
      <c r="Q30748" s="5" t="s">
        <v>355</v>
      </c>
    </row>
    <row r="30749" ht="16.5" customHeight="1">
      <c r="O30749" s="5" t="s">
        <v>355</v>
      </c>
      <c r="P30749" s="5" t="s">
        <v>355</v>
      </c>
      <c r="Q30749" s="5" t="s">
        <v>355</v>
      </c>
    </row>
    <row r="30750" ht="16.5" customHeight="1">
      <c r="O30750" s="5" t="s">
        <v>355</v>
      </c>
      <c r="P30750" s="5" t="s">
        <v>355</v>
      </c>
      <c r="Q30750" s="5" t="s">
        <v>355</v>
      </c>
    </row>
    <row r="30751" ht="16.5" customHeight="1">
      <c r="O30751" s="5" t="s">
        <v>355</v>
      </c>
      <c r="P30751" s="5" t="s">
        <v>355</v>
      </c>
      <c r="Q30751" s="5" t="s">
        <v>355</v>
      </c>
    </row>
    <row r="30752" ht="16.5" customHeight="1">
      <c r="O30752" s="5" t="s">
        <v>355</v>
      </c>
      <c r="P30752" s="5" t="s">
        <v>355</v>
      </c>
      <c r="Q30752" s="5" t="s">
        <v>355</v>
      </c>
    </row>
    <row r="30753" ht="16.5" customHeight="1">
      <c r="O30753" s="5" t="s">
        <v>355</v>
      </c>
      <c r="P30753" s="5" t="s">
        <v>355</v>
      </c>
      <c r="Q30753" s="5" t="s">
        <v>355</v>
      </c>
    </row>
    <row r="30754" ht="16.5" customHeight="1">
      <c r="O30754" s="5" t="s">
        <v>355</v>
      </c>
      <c r="P30754" s="5" t="s">
        <v>355</v>
      </c>
      <c r="Q30754" s="5" t="s">
        <v>355</v>
      </c>
    </row>
    <row r="30755" ht="16.5" customHeight="1">
      <c r="O30755" s="5" t="s">
        <v>355</v>
      </c>
      <c r="P30755" s="5" t="s">
        <v>355</v>
      </c>
      <c r="Q30755" s="5" t="s">
        <v>355</v>
      </c>
    </row>
    <row r="30756" ht="16.5" customHeight="1">
      <c r="O30756" s="5" t="s">
        <v>355</v>
      </c>
      <c r="P30756" s="5" t="s">
        <v>355</v>
      </c>
      <c r="Q30756" s="5" t="s">
        <v>355</v>
      </c>
    </row>
    <row r="30757" ht="16.5" customHeight="1">
      <c r="O30757" s="5" t="s">
        <v>355</v>
      </c>
      <c r="P30757" s="5" t="s">
        <v>355</v>
      </c>
      <c r="Q30757" s="5" t="s">
        <v>355</v>
      </c>
    </row>
    <row r="30758" ht="16.5" customHeight="1">
      <c r="O30758" s="5" t="s">
        <v>355</v>
      </c>
      <c r="P30758" s="5" t="s">
        <v>355</v>
      </c>
      <c r="Q30758" s="5" t="s">
        <v>355</v>
      </c>
    </row>
    <row r="30759" ht="16.5" customHeight="1">
      <c r="O30759" s="5" t="s">
        <v>355</v>
      </c>
      <c r="P30759" s="5" t="s">
        <v>355</v>
      </c>
      <c r="Q30759" s="5" t="s">
        <v>355</v>
      </c>
    </row>
    <row r="30760" ht="16.5" customHeight="1">
      <c r="O30760" s="5" t="s">
        <v>355</v>
      </c>
      <c r="P30760" s="5" t="s">
        <v>355</v>
      </c>
      <c r="Q30760" s="5" t="s">
        <v>355</v>
      </c>
    </row>
    <row r="30761" ht="16.5" customHeight="1">
      <c r="O30761" s="5" t="s">
        <v>355</v>
      </c>
      <c r="P30761" s="5" t="s">
        <v>355</v>
      </c>
      <c r="Q30761" s="5" t="s">
        <v>355</v>
      </c>
    </row>
    <row r="30762" ht="16.5" customHeight="1">
      <c r="O30762" s="5" t="s">
        <v>355</v>
      </c>
      <c r="P30762" s="5" t="s">
        <v>355</v>
      </c>
      <c r="Q30762" s="5" t="s">
        <v>355</v>
      </c>
    </row>
    <row r="30763" ht="16.5" customHeight="1">
      <c r="O30763" s="5" t="s">
        <v>355</v>
      </c>
      <c r="P30763" s="5" t="s">
        <v>355</v>
      </c>
      <c r="Q30763" s="5" t="s">
        <v>355</v>
      </c>
    </row>
    <row r="30764" ht="16.5" customHeight="1">
      <c r="O30764" s="5" t="s">
        <v>355</v>
      </c>
      <c r="P30764" s="5" t="s">
        <v>355</v>
      </c>
      <c r="Q30764" s="5" t="s">
        <v>355</v>
      </c>
    </row>
    <row r="30765" ht="16.5" customHeight="1">
      <c r="O30765" s="5" t="s">
        <v>355</v>
      </c>
      <c r="P30765" s="5" t="s">
        <v>355</v>
      </c>
      <c r="Q30765" s="5" t="s">
        <v>355</v>
      </c>
    </row>
    <row r="30766" ht="16.5" customHeight="1">
      <c r="O30766" s="5" t="s">
        <v>355</v>
      </c>
      <c r="P30766" s="5" t="s">
        <v>355</v>
      </c>
      <c r="Q30766" s="5" t="s">
        <v>355</v>
      </c>
    </row>
    <row r="30767" ht="16.5" customHeight="1">
      <c r="O30767" s="5" t="s">
        <v>355</v>
      </c>
      <c r="P30767" s="5" t="s">
        <v>355</v>
      </c>
      <c r="Q30767" s="5" t="s">
        <v>355</v>
      </c>
    </row>
    <row r="30768" ht="16.5" customHeight="1">
      <c r="O30768" s="5" t="s">
        <v>355</v>
      </c>
      <c r="P30768" s="5" t="s">
        <v>355</v>
      </c>
      <c r="Q30768" s="5" t="s">
        <v>355</v>
      </c>
    </row>
    <row r="30769" ht="16.5" customHeight="1">
      <c r="O30769" s="5" t="s">
        <v>355</v>
      </c>
      <c r="P30769" s="5" t="s">
        <v>355</v>
      </c>
      <c r="Q30769" s="5" t="s">
        <v>355</v>
      </c>
    </row>
    <row r="30770" ht="16.5" customHeight="1">
      <c r="O30770" s="5" t="s">
        <v>355</v>
      </c>
      <c r="P30770" s="5" t="s">
        <v>355</v>
      </c>
      <c r="Q30770" s="5" t="s">
        <v>355</v>
      </c>
    </row>
    <row r="30771" ht="16.5" customHeight="1">
      <c r="O30771" s="5" t="s">
        <v>355</v>
      </c>
      <c r="P30771" s="5" t="s">
        <v>355</v>
      </c>
      <c r="Q30771" s="5" t="s">
        <v>355</v>
      </c>
    </row>
    <row r="30772" ht="16.5" customHeight="1">
      <c r="O30772" s="5" t="s">
        <v>355</v>
      </c>
      <c r="P30772" s="5" t="s">
        <v>355</v>
      </c>
      <c r="Q30772" s="5" t="s">
        <v>355</v>
      </c>
    </row>
    <row r="30773" ht="16.5" customHeight="1">
      <c r="O30773" s="5" t="s">
        <v>355</v>
      </c>
      <c r="P30773" s="5" t="s">
        <v>355</v>
      </c>
      <c r="Q30773" s="5" t="s">
        <v>355</v>
      </c>
    </row>
    <row r="30774" ht="16.5" customHeight="1">
      <c r="O30774" s="5" t="s">
        <v>355</v>
      </c>
      <c r="P30774" s="5" t="s">
        <v>355</v>
      </c>
      <c r="Q30774" s="5" t="s">
        <v>355</v>
      </c>
    </row>
    <row r="30775" ht="16.5" customHeight="1">
      <c r="O30775" s="5" t="s">
        <v>355</v>
      </c>
      <c r="P30775" s="5" t="s">
        <v>355</v>
      </c>
      <c r="Q30775" s="5" t="s">
        <v>355</v>
      </c>
    </row>
    <row r="30776" ht="16.5" customHeight="1">
      <c r="O30776" s="5" t="s">
        <v>355</v>
      </c>
      <c r="P30776" s="5" t="s">
        <v>355</v>
      </c>
      <c r="Q30776" s="5" t="s">
        <v>355</v>
      </c>
    </row>
    <row r="30777" ht="16.5" customHeight="1">
      <c r="O30777" s="5" t="s">
        <v>355</v>
      </c>
      <c r="P30777" s="5" t="s">
        <v>355</v>
      </c>
      <c r="Q30777" s="5" t="s">
        <v>355</v>
      </c>
    </row>
    <row r="30778" ht="16.5" customHeight="1">
      <c r="O30778" s="5" t="s">
        <v>355</v>
      </c>
      <c r="P30778" s="5" t="s">
        <v>355</v>
      </c>
      <c r="Q30778" s="5" t="s">
        <v>355</v>
      </c>
    </row>
    <row r="30779" ht="16.5" customHeight="1">
      <c r="O30779" s="5" t="s">
        <v>355</v>
      </c>
      <c r="P30779" s="5" t="s">
        <v>355</v>
      </c>
      <c r="Q30779" s="5" t="s">
        <v>355</v>
      </c>
    </row>
    <row r="30780" ht="16.5" customHeight="1">
      <c r="O30780" s="5" t="s">
        <v>355</v>
      </c>
      <c r="P30780" s="5" t="s">
        <v>355</v>
      </c>
      <c r="Q30780" s="5" t="s">
        <v>355</v>
      </c>
    </row>
    <row r="30781" ht="16.5" customHeight="1">
      <c r="O30781" s="5" t="s">
        <v>355</v>
      </c>
      <c r="P30781" s="5" t="s">
        <v>355</v>
      </c>
      <c r="Q30781" s="5" t="s">
        <v>355</v>
      </c>
    </row>
    <row r="30782" ht="16.5" customHeight="1">
      <c r="O30782" s="5" t="s">
        <v>355</v>
      </c>
      <c r="P30782" s="5" t="s">
        <v>355</v>
      </c>
      <c r="Q30782" s="5" t="s">
        <v>355</v>
      </c>
    </row>
    <row r="30783" ht="16.5" customHeight="1">
      <c r="O30783" s="5" t="s">
        <v>355</v>
      </c>
      <c r="P30783" s="5" t="s">
        <v>355</v>
      </c>
      <c r="Q30783" s="5" t="s">
        <v>355</v>
      </c>
    </row>
    <row r="30784" ht="16.5" customHeight="1">
      <c r="O30784" s="5" t="s">
        <v>355</v>
      </c>
      <c r="P30784" s="5" t="s">
        <v>355</v>
      </c>
      <c r="Q30784" s="5" t="s">
        <v>355</v>
      </c>
    </row>
    <row r="30785" ht="16.5" customHeight="1">
      <c r="O30785" s="5" t="s">
        <v>355</v>
      </c>
      <c r="P30785" s="5" t="s">
        <v>355</v>
      </c>
      <c r="Q30785" s="5" t="s">
        <v>355</v>
      </c>
    </row>
    <row r="30786" ht="16.5" customHeight="1">
      <c r="O30786" s="5" t="s">
        <v>355</v>
      </c>
      <c r="P30786" s="5" t="s">
        <v>355</v>
      </c>
      <c r="Q30786" s="5" t="s">
        <v>355</v>
      </c>
    </row>
    <row r="30787" ht="16.5" customHeight="1">
      <c r="O30787" s="5" t="s">
        <v>355</v>
      </c>
      <c r="P30787" s="5" t="s">
        <v>355</v>
      </c>
      <c r="Q30787" s="5" t="s">
        <v>355</v>
      </c>
    </row>
    <row r="30788" ht="16.5" customHeight="1">
      <c r="O30788" s="5" t="s">
        <v>355</v>
      </c>
      <c r="P30788" s="5" t="s">
        <v>355</v>
      </c>
      <c r="Q30788" s="5" t="s">
        <v>355</v>
      </c>
    </row>
    <row r="30789" ht="16.5" customHeight="1">
      <c r="O30789" s="5" t="s">
        <v>355</v>
      </c>
      <c r="P30789" s="5" t="s">
        <v>355</v>
      </c>
      <c r="Q30789" s="5" t="s">
        <v>355</v>
      </c>
    </row>
    <row r="30790" ht="16.5" customHeight="1">
      <c r="O30790" s="5" t="s">
        <v>355</v>
      </c>
      <c r="P30790" s="5" t="s">
        <v>355</v>
      </c>
      <c r="Q30790" s="5" t="s">
        <v>355</v>
      </c>
    </row>
    <row r="30791" ht="16.5" customHeight="1">
      <c r="O30791" s="5" t="s">
        <v>355</v>
      </c>
      <c r="P30791" s="5" t="s">
        <v>355</v>
      </c>
      <c r="Q30791" s="5" t="s">
        <v>355</v>
      </c>
    </row>
    <row r="30792" ht="16.5" customHeight="1">
      <c r="O30792" s="5" t="s">
        <v>355</v>
      </c>
      <c r="P30792" s="5" t="s">
        <v>355</v>
      </c>
      <c r="Q30792" s="5" t="s">
        <v>355</v>
      </c>
    </row>
    <row r="30793" ht="16.5" customHeight="1">
      <c r="O30793" s="5" t="s">
        <v>355</v>
      </c>
      <c r="P30793" s="5" t="s">
        <v>355</v>
      </c>
      <c r="Q30793" s="5" t="s">
        <v>355</v>
      </c>
    </row>
    <row r="30794" ht="16.5" customHeight="1">
      <c r="O30794" s="5" t="s">
        <v>355</v>
      </c>
      <c r="P30794" s="5" t="s">
        <v>355</v>
      </c>
      <c r="Q30794" s="5" t="s">
        <v>355</v>
      </c>
    </row>
    <row r="30795" ht="16.5" customHeight="1">
      <c r="O30795" s="5" t="s">
        <v>355</v>
      </c>
      <c r="P30795" s="5" t="s">
        <v>355</v>
      </c>
      <c r="Q30795" s="5" t="s">
        <v>355</v>
      </c>
    </row>
    <row r="30796" ht="16.5" customHeight="1">
      <c r="O30796" s="5" t="s">
        <v>355</v>
      </c>
      <c r="P30796" s="5" t="s">
        <v>355</v>
      </c>
      <c r="Q30796" s="5" t="s">
        <v>355</v>
      </c>
    </row>
    <row r="30797" ht="16.5" customHeight="1">
      <c r="O30797" s="5" t="s">
        <v>355</v>
      </c>
      <c r="P30797" s="5" t="s">
        <v>355</v>
      </c>
      <c r="Q30797" s="5" t="s">
        <v>355</v>
      </c>
    </row>
    <row r="30798" ht="16.5" customHeight="1">
      <c r="O30798" s="5" t="s">
        <v>355</v>
      </c>
      <c r="P30798" s="5" t="s">
        <v>355</v>
      </c>
      <c r="Q30798" s="5" t="s">
        <v>355</v>
      </c>
    </row>
    <row r="30799" ht="16.5" customHeight="1">
      <c r="O30799" s="5" t="s">
        <v>355</v>
      </c>
      <c r="P30799" s="5" t="s">
        <v>355</v>
      </c>
      <c r="Q30799" s="5" t="s">
        <v>355</v>
      </c>
    </row>
    <row r="30800" ht="16.5" customHeight="1">
      <c r="O30800" s="5" t="s">
        <v>355</v>
      </c>
      <c r="P30800" s="5" t="s">
        <v>355</v>
      </c>
      <c r="Q30800" s="5" t="s">
        <v>355</v>
      </c>
    </row>
    <row r="30801" ht="16.5" customHeight="1">
      <c r="O30801" s="5" t="s">
        <v>355</v>
      </c>
      <c r="P30801" s="5" t="s">
        <v>355</v>
      </c>
      <c r="Q30801" s="5" t="s">
        <v>355</v>
      </c>
    </row>
    <row r="30802" ht="16.5" customHeight="1">
      <c r="O30802" s="5" t="s">
        <v>355</v>
      </c>
      <c r="P30802" s="5" t="s">
        <v>355</v>
      </c>
      <c r="Q30802" s="5" t="s">
        <v>355</v>
      </c>
    </row>
    <row r="30803" ht="16.5" customHeight="1">
      <c r="O30803" s="5" t="s">
        <v>355</v>
      </c>
      <c r="P30803" s="5" t="s">
        <v>355</v>
      </c>
      <c r="Q30803" s="5" t="s">
        <v>355</v>
      </c>
    </row>
    <row r="30804" ht="16.5" customHeight="1">
      <c r="O30804" s="5" t="s">
        <v>355</v>
      </c>
      <c r="P30804" s="5" t="s">
        <v>355</v>
      </c>
      <c r="Q30804" s="5" t="s">
        <v>355</v>
      </c>
    </row>
    <row r="30805" ht="16.5" customHeight="1">
      <c r="O30805" s="5" t="s">
        <v>355</v>
      </c>
      <c r="P30805" s="5" t="s">
        <v>355</v>
      </c>
      <c r="Q30805" s="5" t="s">
        <v>355</v>
      </c>
    </row>
    <row r="30806" ht="16.5" customHeight="1">
      <c r="O30806" s="5" t="s">
        <v>355</v>
      </c>
      <c r="P30806" s="5" t="s">
        <v>355</v>
      </c>
      <c r="Q30806" s="5" t="s">
        <v>355</v>
      </c>
    </row>
    <row r="30807" ht="16.5" customHeight="1">
      <c r="O30807" s="5" t="s">
        <v>355</v>
      </c>
      <c r="P30807" s="5" t="s">
        <v>355</v>
      </c>
      <c r="Q30807" s="5" t="s">
        <v>355</v>
      </c>
    </row>
    <row r="30808" ht="16.5" customHeight="1">
      <c r="O30808" s="5" t="s">
        <v>355</v>
      </c>
      <c r="P30808" s="5" t="s">
        <v>355</v>
      </c>
      <c r="Q30808" s="5" t="s">
        <v>355</v>
      </c>
    </row>
    <row r="30809" ht="16.5" customHeight="1">
      <c r="O30809" s="5" t="s">
        <v>355</v>
      </c>
      <c r="P30809" s="5" t="s">
        <v>355</v>
      </c>
      <c r="Q30809" s="5" t="s">
        <v>355</v>
      </c>
    </row>
    <row r="30810" ht="16.5" customHeight="1">
      <c r="O30810" s="5" t="s">
        <v>355</v>
      </c>
      <c r="P30810" s="5" t="s">
        <v>355</v>
      </c>
      <c r="Q30810" s="5" t="s">
        <v>355</v>
      </c>
    </row>
    <row r="30811" ht="16.5" customHeight="1">
      <c r="O30811" s="5" t="s">
        <v>355</v>
      </c>
      <c r="P30811" s="5" t="s">
        <v>355</v>
      </c>
      <c r="Q30811" s="5" t="s">
        <v>355</v>
      </c>
    </row>
    <row r="30812" ht="16.5" customHeight="1">
      <c r="O30812" s="5" t="s">
        <v>355</v>
      </c>
      <c r="P30812" s="5" t="s">
        <v>355</v>
      </c>
      <c r="Q30812" s="5" t="s">
        <v>355</v>
      </c>
    </row>
    <row r="30813" ht="16.5" customHeight="1">
      <c r="O30813" s="5" t="s">
        <v>355</v>
      </c>
      <c r="P30813" s="5" t="s">
        <v>355</v>
      </c>
      <c r="Q30813" s="5" t="s">
        <v>355</v>
      </c>
    </row>
    <row r="30814" ht="16.5" customHeight="1">
      <c r="O30814" s="5" t="s">
        <v>355</v>
      </c>
      <c r="P30814" s="5" t="s">
        <v>355</v>
      </c>
      <c r="Q30814" s="5" t="s">
        <v>355</v>
      </c>
    </row>
    <row r="30815" ht="16.5" customHeight="1">
      <c r="O30815" s="5" t="s">
        <v>355</v>
      </c>
      <c r="P30815" s="5" t="s">
        <v>355</v>
      </c>
      <c r="Q30815" s="5" t="s">
        <v>355</v>
      </c>
    </row>
    <row r="30816" ht="16.5" customHeight="1">
      <c r="O30816" s="5" t="s">
        <v>355</v>
      </c>
      <c r="P30816" s="5" t="s">
        <v>355</v>
      </c>
      <c r="Q30816" s="5" t="s">
        <v>355</v>
      </c>
    </row>
    <row r="30817" ht="16.5" customHeight="1">
      <c r="O30817" s="5" t="s">
        <v>355</v>
      </c>
      <c r="P30817" s="5" t="s">
        <v>355</v>
      </c>
      <c r="Q30817" s="5" t="s">
        <v>355</v>
      </c>
    </row>
    <row r="30818" ht="16.5" customHeight="1">
      <c r="O30818" s="5" t="s">
        <v>355</v>
      </c>
      <c r="P30818" s="5" t="s">
        <v>355</v>
      </c>
      <c r="Q30818" s="5" t="s">
        <v>355</v>
      </c>
    </row>
    <row r="30819" ht="16.5" customHeight="1">
      <c r="O30819" s="5" t="s">
        <v>355</v>
      </c>
      <c r="P30819" s="5" t="s">
        <v>355</v>
      </c>
      <c r="Q30819" s="5" t="s">
        <v>355</v>
      </c>
    </row>
    <row r="30820" ht="16.5" customHeight="1">
      <c r="O30820" s="5" t="s">
        <v>355</v>
      </c>
      <c r="P30820" s="5" t="s">
        <v>355</v>
      </c>
      <c r="Q30820" s="5" t="s">
        <v>355</v>
      </c>
    </row>
    <row r="30821" ht="16.5" customHeight="1">
      <c r="O30821" s="5" t="s">
        <v>355</v>
      </c>
      <c r="P30821" s="5" t="s">
        <v>355</v>
      </c>
      <c r="Q30821" s="5" t="s">
        <v>355</v>
      </c>
    </row>
    <row r="30822" ht="16.5" customHeight="1">
      <c r="O30822" s="5" t="s">
        <v>355</v>
      </c>
      <c r="P30822" s="5" t="s">
        <v>355</v>
      </c>
      <c r="Q30822" s="5" t="s">
        <v>355</v>
      </c>
    </row>
    <row r="30823" ht="16.5" customHeight="1">
      <c r="O30823" s="5" t="s">
        <v>355</v>
      </c>
      <c r="P30823" s="5" t="s">
        <v>355</v>
      </c>
      <c r="Q30823" s="5" t="s">
        <v>355</v>
      </c>
    </row>
    <row r="30824" ht="16.5" customHeight="1">
      <c r="O30824" s="5" t="s">
        <v>355</v>
      </c>
      <c r="P30824" s="5" t="s">
        <v>355</v>
      </c>
      <c r="Q30824" s="5" t="s">
        <v>355</v>
      </c>
    </row>
    <row r="30825" ht="16.5" customHeight="1">
      <c r="O30825" s="5" t="s">
        <v>355</v>
      </c>
      <c r="P30825" s="5" t="s">
        <v>355</v>
      </c>
      <c r="Q30825" s="5" t="s">
        <v>355</v>
      </c>
    </row>
    <row r="30826" ht="16.5" customHeight="1">
      <c r="O30826" s="5" t="s">
        <v>355</v>
      </c>
      <c r="P30826" s="5" t="s">
        <v>355</v>
      </c>
      <c r="Q30826" s="5" t="s">
        <v>355</v>
      </c>
    </row>
    <row r="30827" ht="16.5" customHeight="1">
      <c r="O30827" s="5" t="s">
        <v>355</v>
      </c>
      <c r="P30827" s="5" t="s">
        <v>355</v>
      </c>
      <c r="Q30827" s="5" t="s">
        <v>355</v>
      </c>
    </row>
    <row r="30828" ht="16.5" customHeight="1">
      <c r="O30828" s="5" t="s">
        <v>355</v>
      </c>
      <c r="P30828" s="5" t="s">
        <v>355</v>
      </c>
      <c r="Q30828" s="5" t="s">
        <v>355</v>
      </c>
    </row>
    <row r="30829" ht="16.5" customHeight="1">
      <c r="O30829" s="5" t="s">
        <v>355</v>
      </c>
      <c r="P30829" s="5" t="s">
        <v>355</v>
      </c>
      <c r="Q30829" s="5" t="s">
        <v>355</v>
      </c>
    </row>
    <row r="30830" ht="16.5" customHeight="1">
      <c r="O30830" s="5" t="s">
        <v>355</v>
      </c>
      <c r="P30830" s="5" t="s">
        <v>355</v>
      </c>
      <c r="Q30830" s="5" t="s">
        <v>355</v>
      </c>
    </row>
    <row r="30831" ht="16.5" customHeight="1">
      <c r="O30831" s="5" t="s">
        <v>355</v>
      </c>
      <c r="P30831" s="5" t="s">
        <v>355</v>
      </c>
      <c r="Q30831" s="5" t="s">
        <v>355</v>
      </c>
    </row>
    <row r="30832" ht="16.5" customHeight="1">
      <c r="O30832" s="5" t="s">
        <v>355</v>
      </c>
      <c r="P30832" s="5" t="s">
        <v>355</v>
      </c>
      <c r="Q30832" s="5" t="s">
        <v>355</v>
      </c>
    </row>
    <row r="30833" ht="16.5" customHeight="1">
      <c r="O30833" s="5" t="s">
        <v>355</v>
      </c>
      <c r="P30833" s="5" t="s">
        <v>355</v>
      </c>
      <c r="Q30833" s="5" t="s">
        <v>355</v>
      </c>
    </row>
    <row r="30834" ht="16.5" customHeight="1">
      <c r="O30834" s="5" t="s">
        <v>355</v>
      </c>
      <c r="P30834" s="5" t="s">
        <v>355</v>
      </c>
      <c r="Q30834" s="5" t="s">
        <v>355</v>
      </c>
    </row>
    <row r="30835" ht="16.5" customHeight="1">
      <c r="O30835" s="5" t="s">
        <v>355</v>
      </c>
      <c r="P30835" s="5" t="s">
        <v>355</v>
      </c>
      <c r="Q30835" s="5" t="s">
        <v>355</v>
      </c>
    </row>
    <row r="30836" ht="16.5" customHeight="1">
      <c r="O30836" s="5" t="s">
        <v>355</v>
      </c>
      <c r="P30836" s="5" t="s">
        <v>355</v>
      </c>
      <c r="Q30836" s="5" t="s">
        <v>355</v>
      </c>
    </row>
    <row r="30837" ht="16.5" customHeight="1">
      <c r="O30837" s="5" t="s">
        <v>355</v>
      </c>
      <c r="P30837" s="5" t="s">
        <v>355</v>
      </c>
      <c r="Q30837" s="5" t="s">
        <v>355</v>
      </c>
    </row>
    <row r="30838" ht="16.5" customHeight="1">
      <c r="O30838" s="5" t="s">
        <v>355</v>
      </c>
      <c r="P30838" s="5" t="s">
        <v>355</v>
      </c>
      <c r="Q30838" s="5" t="s">
        <v>355</v>
      </c>
    </row>
    <row r="30839" ht="16.5" customHeight="1">
      <c r="O30839" s="5" t="s">
        <v>355</v>
      </c>
      <c r="P30839" s="5" t="s">
        <v>355</v>
      </c>
      <c r="Q30839" s="5" t="s">
        <v>355</v>
      </c>
    </row>
    <row r="30840" ht="16.5" customHeight="1">
      <c r="O30840" s="5" t="s">
        <v>355</v>
      </c>
      <c r="P30840" s="5" t="s">
        <v>355</v>
      </c>
      <c r="Q30840" s="5" t="s">
        <v>355</v>
      </c>
    </row>
    <row r="30841" ht="16.5" customHeight="1">
      <c r="O30841" s="5" t="s">
        <v>355</v>
      </c>
      <c r="P30841" s="5" t="s">
        <v>355</v>
      </c>
      <c r="Q30841" s="5" t="s">
        <v>355</v>
      </c>
    </row>
    <row r="30842" ht="16.5" customHeight="1">
      <c r="O30842" s="5" t="s">
        <v>355</v>
      </c>
      <c r="P30842" s="5" t="s">
        <v>355</v>
      </c>
      <c r="Q30842" s="5" t="s">
        <v>355</v>
      </c>
    </row>
    <row r="30843" ht="16.5" customHeight="1">
      <c r="O30843" s="5" t="s">
        <v>355</v>
      </c>
      <c r="P30843" s="5" t="s">
        <v>355</v>
      </c>
      <c r="Q30843" s="5" t="s">
        <v>355</v>
      </c>
    </row>
    <row r="30844" ht="16.5" customHeight="1">
      <c r="O30844" s="5" t="s">
        <v>355</v>
      </c>
      <c r="P30844" s="5" t="s">
        <v>355</v>
      </c>
      <c r="Q30844" s="5" t="s">
        <v>355</v>
      </c>
    </row>
    <row r="30845" ht="16.5" customHeight="1">
      <c r="O30845" s="5" t="s">
        <v>355</v>
      </c>
      <c r="P30845" s="5" t="s">
        <v>355</v>
      </c>
      <c r="Q30845" s="5" t="s">
        <v>355</v>
      </c>
    </row>
    <row r="30846" ht="16.5" customHeight="1">
      <c r="O30846" s="5" t="s">
        <v>355</v>
      </c>
      <c r="P30846" s="5" t="s">
        <v>355</v>
      </c>
      <c r="Q30846" s="5" t="s">
        <v>355</v>
      </c>
    </row>
    <row r="30847" ht="16.5" customHeight="1">
      <c r="O30847" s="5" t="s">
        <v>355</v>
      </c>
      <c r="P30847" s="5" t="s">
        <v>355</v>
      </c>
      <c r="Q30847" s="5" t="s">
        <v>355</v>
      </c>
    </row>
    <row r="30848" ht="16.5" customHeight="1">
      <c r="O30848" s="5" t="s">
        <v>355</v>
      </c>
      <c r="P30848" s="5" t="s">
        <v>355</v>
      </c>
      <c r="Q30848" s="5" t="s">
        <v>355</v>
      </c>
    </row>
    <row r="30849" ht="16.5" customHeight="1">
      <c r="O30849" s="5" t="s">
        <v>355</v>
      </c>
      <c r="P30849" s="5" t="s">
        <v>355</v>
      </c>
      <c r="Q30849" s="5" t="s">
        <v>355</v>
      </c>
    </row>
    <row r="30850" ht="16.5" customHeight="1">
      <c r="O30850" s="5" t="s">
        <v>355</v>
      </c>
      <c r="P30850" s="5" t="s">
        <v>355</v>
      </c>
      <c r="Q30850" s="5" t="s">
        <v>355</v>
      </c>
    </row>
    <row r="30851" ht="16.5" customHeight="1">
      <c r="O30851" s="5" t="s">
        <v>355</v>
      </c>
      <c r="P30851" s="5" t="s">
        <v>355</v>
      </c>
      <c r="Q30851" s="5" t="s">
        <v>355</v>
      </c>
    </row>
    <row r="30852" ht="16.5" customHeight="1">
      <c r="O30852" s="5" t="s">
        <v>355</v>
      </c>
      <c r="P30852" s="5" t="s">
        <v>355</v>
      </c>
      <c r="Q30852" s="5" t="s">
        <v>355</v>
      </c>
    </row>
    <row r="30853" ht="16.5" customHeight="1">
      <c r="O30853" s="5" t="s">
        <v>355</v>
      </c>
      <c r="P30853" s="5" t="s">
        <v>355</v>
      </c>
      <c r="Q30853" s="5" t="s">
        <v>355</v>
      </c>
    </row>
    <row r="30854" ht="16.5" customHeight="1">
      <c r="O30854" s="5" t="s">
        <v>355</v>
      </c>
      <c r="P30854" s="5" t="s">
        <v>355</v>
      </c>
      <c r="Q30854" s="5" t="s">
        <v>355</v>
      </c>
    </row>
    <row r="30855" ht="16.5" customHeight="1">
      <c r="O30855" s="5" t="s">
        <v>355</v>
      </c>
      <c r="P30855" s="5" t="s">
        <v>355</v>
      </c>
      <c r="Q30855" s="5" t="s">
        <v>355</v>
      </c>
    </row>
    <row r="30856" ht="16.5" customHeight="1">
      <c r="O30856" s="5" t="s">
        <v>355</v>
      </c>
      <c r="P30856" s="5" t="s">
        <v>355</v>
      </c>
      <c r="Q30856" s="5" t="s">
        <v>355</v>
      </c>
    </row>
    <row r="30857" ht="16.5" customHeight="1">
      <c r="O30857" s="5" t="s">
        <v>355</v>
      </c>
      <c r="P30857" s="5" t="s">
        <v>355</v>
      </c>
      <c r="Q30857" s="5" t="s">
        <v>355</v>
      </c>
    </row>
    <row r="30858" ht="16.5" customHeight="1">
      <c r="O30858" s="5" t="s">
        <v>355</v>
      </c>
      <c r="P30858" s="5" t="s">
        <v>355</v>
      </c>
      <c r="Q30858" s="5" t="s">
        <v>355</v>
      </c>
    </row>
    <row r="30859" ht="16.5" customHeight="1">
      <c r="O30859" s="5" t="s">
        <v>355</v>
      </c>
      <c r="P30859" s="5" t="s">
        <v>355</v>
      </c>
      <c r="Q30859" s="5" t="s">
        <v>355</v>
      </c>
    </row>
    <row r="30860" ht="16.5" customHeight="1">
      <c r="O30860" s="5" t="s">
        <v>355</v>
      </c>
      <c r="P30860" s="5" t="s">
        <v>355</v>
      </c>
      <c r="Q30860" s="5" t="s">
        <v>355</v>
      </c>
    </row>
    <row r="30861" ht="16.5" customHeight="1">
      <c r="O30861" s="5" t="s">
        <v>355</v>
      </c>
      <c r="P30861" s="5" t="s">
        <v>355</v>
      </c>
      <c r="Q30861" s="5" t="s">
        <v>355</v>
      </c>
    </row>
    <row r="30862" ht="16.5" customHeight="1">
      <c r="O30862" s="5" t="s">
        <v>355</v>
      </c>
      <c r="P30862" s="5" t="s">
        <v>355</v>
      </c>
      <c r="Q30862" s="5" t="s">
        <v>355</v>
      </c>
    </row>
    <row r="30863" ht="16.5" customHeight="1">
      <c r="O30863" s="5" t="s">
        <v>355</v>
      </c>
      <c r="P30863" s="5" t="s">
        <v>355</v>
      </c>
      <c r="Q30863" s="5" t="s">
        <v>355</v>
      </c>
    </row>
    <row r="30864" ht="16.5" customHeight="1">
      <c r="O30864" s="5" t="s">
        <v>355</v>
      </c>
      <c r="P30864" s="5" t="s">
        <v>355</v>
      </c>
      <c r="Q30864" s="5" t="s">
        <v>355</v>
      </c>
    </row>
    <row r="30865" ht="16.5" customHeight="1">
      <c r="O30865" s="5" t="s">
        <v>355</v>
      </c>
      <c r="P30865" s="5" t="s">
        <v>355</v>
      </c>
      <c r="Q30865" s="5" t="s">
        <v>355</v>
      </c>
    </row>
    <row r="30866" ht="16.5" customHeight="1">
      <c r="O30866" s="5" t="s">
        <v>355</v>
      </c>
      <c r="P30866" s="5" t="s">
        <v>355</v>
      </c>
      <c r="Q30866" s="5" t="s">
        <v>355</v>
      </c>
    </row>
    <row r="30867" ht="16.5" customHeight="1">
      <c r="O30867" s="5" t="s">
        <v>355</v>
      </c>
      <c r="P30867" s="5" t="s">
        <v>355</v>
      </c>
      <c r="Q30867" s="5" t="s">
        <v>355</v>
      </c>
    </row>
    <row r="30868" ht="16.5" customHeight="1">
      <c r="O30868" s="5" t="s">
        <v>355</v>
      </c>
      <c r="P30868" s="5" t="s">
        <v>355</v>
      </c>
      <c r="Q30868" s="5" t="s">
        <v>355</v>
      </c>
    </row>
    <row r="30869" ht="16.5" customHeight="1">
      <c r="O30869" s="5" t="s">
        <v>355</v>
      </c>
      <c r="P30869" s="5" t="s">
        <v>355</v>
      </c>
      <c r="Q30869" s="5" t="s">
        <v>355</v>
      </c>
    </row>
    <row r="30870" ht="16.5" customHeight="1">
      <c r="O30870" s="5" t="s">
        <v>355</v>
      </c>
      <c r="P30870" s="5" t="s">
        <v>355</v>
      </c>
      <c r="Q30870" s="5" t="s">
        <v>355</v>
      </c>
    </row>
    <row r="30871" ht="16.5" customHeight="1">
      <c r="O30871" s="5" t="s">
        <v>355</v>
      </c>
      <c r="P30871" s="5" t="s">
        <v>355</v>
      </c>
      <c r="Q30871" s="5" t="s">
        <v>355</v>
      </c>
    </row>
    <row r="30872" ht="16.5" customHeight="1">
      <c r="O30872" s="5" t="s">
        <v>355</v>
      </c>
      <c r="P30872" s="5" t="s">
        <v>355</v>
      </c>
      <c r="Q30872" s="5" t="s">
        <v>355</v>
      </c>
    </row>
    <row r="30873" ht="16.5" customHeight="1">
      <c r="O30873" s="5" t="s">
        <v>355</v>
      </c>
      <c r="P30873" s="5" t="s">
        <v>355</v>
      </c>
      <c r="Q30873" s="5" t="s">
        <v>355</v>
      </c>
    </row>
    <row r="30874" ht="16.5" customHeight="1">
      <c r="O30874" s="5" t="s">
        <v>355</v>
      </c>
      <c r="P30874" s="5" t="s">
        <v>355</v>
      </c>
      <c r="Q30874" s="5" t="s">
        <v>355</v>
      </c>
    </row>
    <row r="30875" ht="16.5" customHeight="1">
      <c r="O30875" s="5" t="s">
        <v>355</v>
      </c>
      <c r="P30875" s="5" t="s">
        <v>355</v>
      </c>
      <c r="Q30875" s="5" t="s">
        <v>355</v>
      </c>
    </row>
    <row r="30876" ht="16.5" customHeight="1">
      <c r="O30876" s="5" t="s">
        <v>355</v>
      </c>
      <c r="P30876" s="5" t="s">
        <v>355</v>
      </c>
      <c r="Q30876" s="5" t="s">
        <v>355</v>
      </c>
    </row>
    <row r="30877" ht="16.5" customHeight="1">
      <c r="O30877" s="5" t="s">
        <v>355</v>
      </c>
      <c r="P30877" s="5" t="s">
        <v>355</v>
      </c>
      <c r="Q30877" s="5" t="s">
        <v>355</v>
      </c>
    </row>
    <row r="30878" ht="16.5" customHeight="1">
      <c r="O30878" s="5" t="s">
        <v>355</v>
      </c>
      <c r="P30878" s="5" t="s">
        <v>355</v>
      </c>
      <c r="Q30878" s="5" t="s">
        <v>355</v>
      </c>
    </row>
    <row r="30879" ht="16.5" customHeight="1">
      <c r="O30879" s="5" t="s">
        <v>355</v>
      </c>
      <c r="P30879" s="5" t="s">
        <v>355</v>
      </c>
      <c r="Q30879" s="5" t="s">
        <v>355</v>
      </c>
    </row>
    <row r="30880" ht="16.5" customHeight="1">
      <c r="O30880" s="5" t="s">
        <v>355</v>
      </c>
      <c r="P30880" s="5" t="s">
        <v>355</v>
      </c>
      <c r="Q30880" s="5" t="s">
        <v>355</v>
      </c>
    </row>
    <row r="30881" ht="16.5" customHeight="1">
      <c r="O30881" s="5" t="s">
        <v>355</v>
      </c>
      <c r="P30881" s="5" t="s">
        <v>355</v>
      </c>
      <c r="Q30881" s="5" t="s">
        <v>355</v>
      </c>
    </row>
    <row r="30882" ht="16.5" customHeight="1">
      <c r="O30882" s="5" t="s">
        <v>355</v>
      </c>
      <c r="P30882" s="5" t="s">
        <v>355</v>
      </c>
      <c r="Q30882" s="5" t="s">
        <v>355</v>
      </c>
    </row>
    <row r="30883" ht="16.5" customHeight="1">
      <c r="O30883" s="5" t="s">
        <v>355</v>
      </c>
      <c r="P30883" s="5" t="s">
        <v>355</v>
      </c>
      <c r="Q30883" s="5" t="s">
        <v>355</v>
      </c>
    </row>
    <row r="30884" ht="16.5" customHeight="1">
      <c r="O30884" s="5" t="s">
        <v>355</v>
      </c>
      <c r="P30884" s="5" t="s">
        <v>355</v>
      </c>
      <c r="Q30884" s="5" t="s">
        <v>355</v>
      </c>
    </row>
    <row r="30885" ht="16.5" customHeight="1">
      <c r="O30885" s="5" t="s">
        <v>355</v>
      </c>
      <c r="P30885" s="5" t="s">
        <v>355</v>
      </c>
      <c r="Q30885" s="5" t="s">
        <v>355</v>
      </c>
    </row>
    <row r="30886" ht="16.5" customHeight="1">
      <c r="O30886" s="5" t="s">
        <v>355</v>
      </c>
      <c r="P30886" s="5" t="s">
        <v>355</v>
      </c>
      <c r="Q30886" s="5" t="s">
        <v>355</v>
      </c>
    </row>
    <row r="30887" ht="16.5" customHeight="1">
      <c r="O30887" s="5" t="s">
        <v>355</v>
      </c>
      <c r="P30887" s="5" t="s">
        <v>355</v>
      </c>
      <c r="Q30887" s="5" t="s">
        <v>355</v>
      </c>
    </row>
    <row r="30888" ht="16.5" customHeight="1">
      <c r="O30888" s="5" t="s">
        <v>355</v>
      </c>
      <c r="P30888" s="5" t="s">
        <v>355</v>
      </c>
      <c r="Q30888" s="5" t="s">
        <v>355</v>
      </c>
    </row>
    <row r="30889" ht="16.5" customHeight="1">
      <c r="O30889" s="5" t="s">
        <v>355</v>
      </c>
      <c r="P30889" s="5" t="s">
        <v>355</v>
      </c>
      <c r="Q30889" s="5" t="s">
        <v>355</v>
      </c>
    </row>
    <row r="30890" ht="16.5" customHeight="1">
      <c r="O30890" s="5" t="s">
        <v>355</v>
      </c>
      <c r="P30890" s="5" t="s">
        <v>355</v>
      </c>
      <c r="Q30890" s="5" t="s">
        <v>355</v>
      </c>
    </row>
    <row r="30891" ht="16.5" customHeight="1">
      <c r="O30891" s="5" t="s">
        <v>355</v>
      </c>
      <c r="P30891" s="5" t="s">
        <v>355</v>
      </c>
      <c r="Q30891" s="5" t="s">
        <v>355</v>
      </c>
    </row>
    <row r="30892" ht="16.5" customHeight="1">
      <c r="O30892" s="5" t="s">
        <v>355</v>
      </c>
      <c r="P30892" s="5" t="s">
        <v>355</v>
      </c>
      <c r="Q30892" s="5" t="s">
        <v>355</v>
      </c>
    </row>
    <row r="30893" ht="16.5" customHeight="1">
      <c r="O30893" s="5" t="s">
        <v>355</v>
      </c>
      <c r="P30893" s="5" t="s">
        <v>355</v>
      </c>
      <c r="Q30893" s="5" t="s">
        <v>355</v>
      </c>
    </row>
    <row r="30894" ht="16.5" customHeight="1">
      <c r="O30894" s="5" t="s">
        <v>355</v>
      </c>
      <c r="P30894" s="5" t="s">
        <v>355</v>
      </c>
      <c r="Q30894" s="5" t="s">
        <v>355</v>
      </c>
    </row>
    <row r="30895" ht="16.5" customHeight="1">
      <c r="O30895" s="5" t="s">
        <v>355</v>
      </c>
      <c r="P30895" s="5" t="s">
        <v>355</v>
      </c>
      <c r="Q30895" s="5" t="s">
        <v>355</v>
      </c>
    </row>
    <row r="30896" ht="16.5" customHeight="1">
      <c r="O30896" s="5" t="s">
        <v>355</v>
      </c>
      <c r="P30896" s="5" t="s">
        <v>355</v>
      </c>
      <c r="Q30896" s="5" t="s">
        <v>355</v>
      </c>
    </row>
    <row r="30897" ht="16.5" customHeight="1">
      <c r="O30897" s="5" t="s">
        <v>355</v>
      </c>
      <c r="P30897" s="5" t="s">
        <v>355</v>
      </c>
      <c r="Q30897" s="5" t="s">
        <v>355</v>
      </c>
    </row>
    <row r="30898" ht="16.5" customHeight="1">
      <c r="O30898" s="5" t="s">
        <v>355</v>
      </c>
      <c r="P30898" s="5" t="s">
        <v>355</v>
      </c>
      <c r="Q30898" s="5" t="s">
        <v>355</v>
      </c>
    </row>
    <row r="30899" ht="16.5" customHeight="1">
      <c r="O30899" s="5" t="s">
        <v>355</v>
      </c>
      <c r="P30899" s="5" t="s">
        <v>355</v>
      </c>
      <c r="Q30899" s="5" t="s">
        <v>355</v>
      </c>
    </row>
    <row r="30900" ht="16.5" customHeight="1">
      <c r="O30900" s="5" t="s">
        <v>355</v>
      </c>
      <c r="P30900" s="5" t="s">
        <v>355</v>
      </c>
      <c r="Q30900" s="5" t="s">
        <v>355</v>
      </c>
    </row>
    <row r="30901" ht="16.5" customHeight="1">
      <c r="O30901" s="5" t="s">
        <v>355</v>
      </c>
      <c r="P30901" s="5" t="s">
        <v>355</v>
      </c>
      <c r="Q30901" s="5" t="s">
        <v>355</v>
      </c>
    </row>
    <row r="30902" ht="16.5" customHeight="1">
      <c r="O30902" s="5" t="s">
        <v>355</v>
      </c>
      <c r="P30902" s="5" t="s">
        <v>355</v>
      </c>
      <c r="Q30902" s="5" t="s">
        <v>355</v>
      </c>
    </row>
    <row r="30903" ht="16.5" customHeight="1">
      <c r="O30903" s="5" t="s">
        <v>355</v>
      </c>
      <c r="P30903" s="5" t="s">
        <v>355</v>
      </c>
      <c r="Q30903" s="5" t="s">
        <v>355</v>
      </c>
    </row>
    <row r="30904" ht="16.5" customHeight="1">
      <c r="O30904" s="5" t="s">
        <v>355</v>
      </c>
      <c r="P30904" s="5" t="s">
        <v>355</v>
      </c>
      <c r="Q30904" s="5" t="s">
        <v>355</v>
      </c>
    </row>
    <row r="30905" ht="16.5" customHeight="1">
      <c r="O30905" s="5" t="s">
        <v>355</v>
      </c>
      <c r="P30905" s="5" t="s">
        <v>355</v>
      </c>
      <c r="Q30905" s="5" t="s">
        <v>355</v>
      </c>
    </row>
    <row r="30906" ht="16.5" customHeight="1">
      <c r="O30906" s="5" t="s">
        <v>355</v>
      </c>
      <c r="P30906" s="5" t="s">
        <v>355</v>
      </c>
      <c r="Q30906" s="5" t="s">
        <v>355</v>
      </c>
    </row>
    <row r="30907" ht="16.5" customHeight="1">
      <c r="O30907" s="5" t="s">
        <v>355</v>
      </c>
      <c r="P30907" s="5" t="s">
        <v>355</v>
      </c>
      <c r="Q30907" s="5" t="s">
        <v>355</v>
      </c>
    </row>
    <row r="30908" ht="16.5" customHeight="1">
      <c r="O30908" s="5" t="s">
        <v>355</v>
      </c>
      <c r="P30908" s="5" t="s">
        <v>355</v>
      </c>
      <c r="Q30908" s="5" t="s">
        <v>355</v>
      </c>
    </row>
    <row r="30909" ht="16.5" customHeight="1">
      <c r="O30909" s="5" t="s">
        <v>355</v>
      </c>
      <c r="P30909" s="5" t="s">
        <v>355</v>
      </c>
      <c r="Q30909" s="5" t="s">
        <v>355</v>
      </c>
    </row>
    <row r="30910" ht="16.5" customHeight="1">
      <c r="O30910" s="5" t="s">
        <v>355</v>
      </c>
      <c r="P30910" s="5" t="s">
        <v>355</v>
      </c>
      <c r="Q30910" s="5" t="s">
        <v>355</v>
      </c>
    </row>
    <row r="30911" ht="16.5" customHeight="1">
      <c r="O30911" s="5" t="s">
        <v>355</v>
      </c>
      <c r="P30911" s="5" t="s">
        <v>355</v>
      </c>
      <c r="Q30911" s="5" t="s">
        <v>355</v>
      </c>
    </row>
    <row r="30912" ht="16.5" customHeight="1">
      <c r="O30912" s="5" t="s">
        <v>355</v>
      </c>
      <c r="P30912" s="5" t="s">
        <v>355</v>
      </c>
      <c r="Q30912" s="5" t="s">
        <v>355</v>
      </c>
    </row>
    <row r="30913" ht="16.5" customHeight="1">
      <c r="O30913" s="5" t="s">
        <v>355</v>
      </c>
      <c r="P30913" s="5" t="s">
        <v>355</v>
      </c>
      <c r="Q30913" s="5" t="s">
        <v>355</v>
      </c>
    </row>
    <row r="30914" ht="16.5" customHeight="1">
      <c r="O30914" s="5" t="s">
        <v>355</v>
      </c>
      <c r="P30914" s="5" t="s">
        <v>355</v>
      </c>
      <c r="Q30914" s="5" t="s">
        <v>355</v>
      </c>
    </row>
    <row r="30915" ht="16.5" customHeight="1">
      <c r="O30915" s="5" t="s">
        <v>355</v>
      </c>
      <c r="P30915" s="5" t="s">
        <v>355</v>
      </c>
      <c r="Q30915" s="5" t="s">
        <v>355</v>
      </c>
    </row>
    <row r="30916" ht="16.5" customHeight="1">
      <c r="O30916" s="5" t="s">
        <v>355</v>
      </c>
      <c r="P30916" s="5" t="s">
        <v>355</v>
      </c>
      <c r="Q30916" s="5" t="s">
        <v>355</v>
      </c>
    </row>
    <row r="30917" ht="16.5" customHeight="1">
      <c r="O30917" s="5" t="s">
        <v>355</v>
      </c>
      <c r="P30917" s="5" t="s">
        <v>355</v>
      </c>
      <c r="Q30917" s="5" t="s">
        <v>355</v>
      </c>
    </row>
    <row r="30918" ht="16.5" customHeight="1">
      <c r="O30918" s="5" t="s">
        <v>355</v>
      </c>
      <c r="P30918" s="5" t="s">
        <v>355</v>
      </c>
      <c r="Q30918" s="5" t="s">
        <v>355</v>
      </c>
    </row>
    <row r="30919" ht="16.5" customHeight="1">
      <c r="O30919" s="5" t="s">
        <v>355</v>
      </c>
      <c r="P30919" s="5" t="s">
        <v>355</v>
      </c>
      <c r="Q30919" s="5" t="s">
        <v>355</v>
      </c>
    </row>
    <row r="30920" ht="16.5" customHeight="1">
      <c r="O30920" s="5" t="s">
        <v>355</v>
      </c>
      <c r="P30920" s="5" t="s">
        <v>355</v>
      </c>
      <c r="Q30920" s="5" t="s">
        <v>355</v>
      </c>
    </row>
    <row r="30921" ht="16.5" customHeight="1">
      <c r="O30921" s="5" t="s">
        <v>355</v>
      </c>
      <c r="P30921" s="5" t="s">
        <v>355</v>
      </c>
      <c r="Q30921" s="5" t="s">
        <v>355</v>
      </c>
    </row>
    <row r="30922" ht="16.5" customHeight="1">
      <c r="O30922" s="5" t="s">
        <v>355</v>
      </c>
      <c r="P30922" s="5" t="s">
        <v>355</v>
      </c>
      <c r="Q30922" s="5" t="s">
        <v>355</v>
      </c>
    </row>
    <row r="30923" ht="16.5" customHeight="1">
      <c r="O30923" s="5" t="s">
        <v>355</v>
      </c>
      <c r="P30923" s="5" t="s">
        <v>355</v>
      </c>
      <c r="Q30923" s="5" t="s">
        <v>355</v>
      </c>
    </row>
    <row r="30924" ht="16.5" customHeight="1">
      <c r="O30924" s="5" t="s">
        <v>355</v>
      </c>
      <c r="P30924" s="5" t="s">
        <v>355</v>
      </c>
      <c r="Q30924" s="5" t="s">
        <v>355</v>
      </c>
    </row>
    <row r="30925" ht="16.5" customHeight="1">
      <c r="O30925" s="5" t="s">
        <v>355</v>
      </c>
      <c r="P30925" s="5" t="s">
        <v>355</v>
      </c>
      <c r="Q30925" s="5" t="s">
        <v>355</v>
      </c>
    </row>
    <row r="30926" ht="16.5" customHeight="1">
      <c r="O30926" s="5" t="s">
        <v>355</v>
      </c>
      <c r="P30926" s="5" t="s">
        <v>355</v>
      </c>
      <c r="Q30926" s="5" t="s">
        <v>355</v>
      </c>
    </row>
    <row r="30927" ht="16.5" customHeight="1">
      <c r="O30927" s="5" t="s">
        <v>355</v>
      </c>
      <c r="P30927" s="5" t="s">
        <v>355</v>
      </c>
      <c r="Q30927" s="5" t="s">
        <v>355</v>
      </c>
    </row>
    <row r="30928" ht="16.5" customHeight="1">
      <c r="O30928" s="5" t="s">
        <v>355</v>
      </c>
      <c r="P30928" s="5" t="s">
        <v>355</v>
      </c>
      <c r="Q30928" s="5" t="s">
        <v>355</v>
      </c>
    </row>
    <row r="30929" ht="16.5" customHeight="1">
      <c r="O30929" s="5" t="s">
        <v>355</v>
      </c>
      <c r="P30929" s="5" t="s">
        <v>355</v>
      </c>
      <c r="Q30929" s="5" t="s">
        <v>355</v>
      </c>
    </row>
    <row r="30930" ht="16.5" customHeight="1">
      <c r="O30930" s="5" t="s">
        <v>355</v>
      </c>
      <c r="P30930" s="5" t="s">
        <v>355</v>
      </c>
      <c r="Q30930" s="5" t="s">
        <v>355</v>
      </c>
    </row>
    <row r="30931" ht="16.5" customHeight="1">
      <c r="O30931" s="5" t="s">
        <v>355</v>
      </c>
      <c r="P30931" s="5" t="s">
        <v>355</v>
      </c>
      <c r="Q30931" s="5" t="s">
        <v>355</v>
      </c>
    </row>
    <row r="30932" ht="16.5" customHeight="1">
      <c r="O30932" s="5" t="s">
        <v>355</v>
      </c>
      <c r="P30932" s="5" t="s">
        <v>355</v>
      </c>
      <c r="Q30932" s="5" t="s">
        <v>355</v>
      </c>
    </row>
    <row r="30933" ht="16.5" customHeight="1">
      <c r="O30933" s="5" t="s">
        <v>355</v>
      </c>
      <c r="P30933" s="5" t="s">
        <v>355</v>
      </c>
      <c r="Q30933" s="5" t="s">
        <v>355</v>
      </c>
    </row>
    <row r="30934" ht="16.5" customHeight="1">
      <c r="O30934" s="5" t="s">
        <v>355</v>
      </c>
      <c r="P30934" s="5" t="s">
        <v>355</v>
      </c>
      <c r="Q30934" s="5" t="s">
        <v>355</v>
      </c>
    </row>
    <row r="30935" ht="16.5" customHeight="1">
      <c r="O30935" s="5" t="s">
        <v>355</v>
      </c>
      <c r="P30935" s="5" t="s">
        <v>355</v>
      </c>
      <c r="Q30935" s="5" t="s">
        <v>355</v>
      </c>
    </row>
    <row r="30936" ht="16.5" customHeight="1">
      <c r="O30936" s="5" t="s">
        <v>355</v>
      </c>
      <c r="P30936" s="5" t="s">
        <v>355</v>
      </c>
      <c r="Q30936" s="5" t="s">
        <v>355</v>
      </c>
    </row>
    <row r="30937" ht="16.5" customHeight="1">
      <c r="O30937" s="5" t="s">
        <v>355</v>
      </c>
      <c r="P30937" s="5" t="s">
        <v>355</v>
      </c>
      <c r="Q30937" s="5" t="s">
        <v>355</v>
      </c>
    </row>
    <row r="30938" ht="16.5" customHeight="1">
      <c r="O30938" s="5" t="s">
        <v>355</v>
      </c>
      <c r="P30938" s="5" t="s">
        <v>355</v>
      </c>
      <c r="Q30938" s="5" t="s">
        <v>355</v>
      </c>
    </row>
    <row r="30939" ht="16.5" customHeight="1">
      <c r="O30939" s="5" t="s">
        <v>355</v>
      </c>
      <c r="P30939" s="5" t="s">
        <v>355</v>
      </c>
      <c r="Q30939" s="5" t="s">
        <v>355</v>
      </c>
    </row>
    <row r="30940" ht="16.5" customHeight="1">
      <c r="O30940" s="5" t="s">
        <v>355</v>
      </c>
      <c r="P30940" s="5" t="s">
        <v>355</v>
      </c>
      <c r="Q30940" s="5" t="s">
        <v>355</v>
      </c>
    </row>
    <row r="30941" ht="16.5" customHeight="1">
      <c r="O30941" s="5" t="s">
        <v>355</v>
      </c>
      <c r="P30941" s="5" t="s">
        <v>355</v>
      </c>
      <c r="Q30941" s="5" t="s">
        <v>355</v>
      </c>
    </row>
    <row r="30942" ht="16.5" customHeight="1">
      <c r="O30942" s="5" t="s">
        <v>355</v>
      </c>
      <c r="P30942" s="5" t="s">
        <v>355</v>
      </c>
      <c r="Q30942" s="5" t="s">
        <v>355</v>
      </c>
    </row>
    <row r="30943" ht="16.5" customHeight="1">
      <c r="O30943" s="5" t="s">
        <v>355</v>
      </c>
      <c r="P30943" s="5" t="s">
        <v>355</v>
      </c>
      <c r="Q30943" s="5" t="s">
        <v>355</v>
      </c>
    </row>
    <row r="30944" ht="16.5" customHeight="1">
      <c r="O30944" s="5" t="s">
        <v>355</v>
      </c>
      <c r="P30944" s="5" t="s">
        <v>355</v>
      </c>
      <c r="Q30944" s="5" t="s">
        <v>355</v>
      </c>
    </row>
    <row r="30945" ht="16.5" customHeight="1">
      <c r="O30945" s="5" t="s">
        <v>355</v>
      </c>
      <c r="P30945" s="5" t="s">
        <v>355</v>
      </c>
      <c r="Q30945" s="5" t="s">
        <v>355</v>
      </c>
    </row>
    <row r="30946" ht="16.5" customHeight="1">
      <c r="O30946" s="5" t="s">
        <v>355</v>
      </c>
      <c r="P30946" s="5" t="s">
        <v>355</v>
      </c>
      <c r="Q30946" s="5" t="s">
        <v>355</v>
      </c>
    </row>
    <row r="30947" ht="16.5" customHeight="1">
      <c r="O30947" s="5" t="s">
        <v>355</v>
      </c>
      <c r="P30947" s="5" t="s">
        <v>355</v>
      </c>
      <c r="Q30947" s="5" t="s">
        <v>355</v>
      </c>
    </row>
    <row r="30948" ht="16.5" customHeight="1">
      <c r="O30948" s="5" t="s">
        <v>355</v>
      </c>
      <c r="P30948" s="5" t="s">
        <v>355</v>
      </c>
      <c r="Q30948" s="5" t="s">
        <v>355</v>
      </c>
    </row>
    <row r="30949" ht="16.5" customHeight="1">
      <c r="O30949" s="5" t="s">
        <v>355</v>
      </c>
      <c r="P30949" s="5" t="s">
        <v>355</v>
      </c>
      <c r="Q30949" s="5" t="s">
        <v>355</v>
      </c>
    </row>
    <row r="30950" ht="16.5" customHeight="1">
      <c r="O30950" s="5" t="s">
        <v>355</v>
      </c>
      <c r="P30950" s="5" t="s">
        <v>355</v>
      </c>
      <c r="Q30950" s="5" t="s">
        <v>355</v>
      </c>
    </row>
    <row r="30951" ht="16.5" customHeight="1">
      <c r="O30951" s="5" t="s">
        <v>355</v>
      </c>
      <c r="P30951" s="5" t="s">
        <v>355</v>
      </c>
      <c r="Q30951" s="5" t="s">
        <v>355</v>
      </c>
    </row>
    <row r="30952" ht="16.5" customHeight="1">
      <c r="O30952" s="5" t="s">
        <v>355</v>
      </c>
      <c r="P30952" s="5" t="s">
        <v>355</v>
      </c>
      <c r="Q30952" s="5" t="s">
        <v>355</v>
      </c>
    </row>
    <row r="30953" ht="16.5" customHeight="1">
      <c r="O30953" s="5" t="s">
        <v>355</v>
      </c>
      <c r="P30953" s="5" t="s">
        <v>355</v>
      </c>
      <c r="Q30953" s="5" t="s">
        <v>355</v>
      </c>
    </row>
    <row r="30954" ht="16.5" customHeight="1">
      <c r="O30954" s="5" t="s">
        <v>355</v>
      </c>
      <c r="P30954" s="5" t="s">
        <v>355</v>
      </c>
      <c r="Q30954" s="5" t="s">
        <v>355</v>
      </c>
    </row>
    <row r="30955" ht="16.5" customHeight="1">
      <c r="O30955" s="5" t="s">
        <v>355</v>
      </c>
      <c r="P30955" s="5" t="s">
        <v>355</v>
      </c>
      <c r="Q30955" s="5" t="s">
        <v>355</v>
      </c>
    </row>
    <row r="30956" ht="16.5" customHeight="1">
      <c r="O30956" s="5" t="s">
        <v>355</v>
      </c>
      <c r="P30956" s="5" t="s">
        <v>355</v>
      </c>
      <c r="Q30956" s="5" t="s">
        <v>355</v>
      </c>
    </row>
    <row r="30957" ht="16.5" customHeight="1">
      <c r="O30957" s="5" t="s">
        <v>355</v>
      </c>
      <c r="P30957" s="5" t="s">
        <v>355</v>
      </c>
      <c r="Q30957" s="5" t="s">
        <v>355</v>
      </c>
    </row>
    <row r="30958" ht="16.5" customHeight="1">
      <c r="O30958" s="5" t="s">
        <v>355</v>
      </c>
      <c r="P30958" s="5" t="s">
        <v>355</v>
      </c>
      <c r="Q30958" s="5" t="s">
        <v>355</v>
      </c>
    </row>
    <row r="30959" ht="16.5" customHeight="1">
      <c r="O30959" s="5" t="s">
        <v>355</v>
      </c>
      <c r="P30959" s="5" t="s">
        <v>355</v>
      </c>
      <c r="Q30959" s="5" t="s">
        <v>355</v>
      </c>
    </row>
    <row r="30960" ht="16.5" customHeight="1">
      <c r="O30960" s="5" t="s">
        <v>355</v>
      </c>
      <c r="P30960" s="5" t="s">
        <v>355</v>
      </c>
      <c r="Q30960" s="5" t="s">
        <v>355</v>
      </c>
    </row>
    <row r="30961" ht="16.5" customHeight="1">
      <c r="O30961" s="5" t="s">
        <v>355</v>
      </c>
      <c r="P30961" s="5" t="s">
        <v>355</v>
      </c>
      <c r="Q30961" s="5" t="s">
        <v>355</v>
      </c>
    </row>
    <row r="30962" ht="16.5" customHeight="1">
      <c r="O30962" s="5" t="s">
        <v>355</v>
      </c>
      <c r="P30962" s="5" t="s">
        <v>355</v>
      </c>
      <c r="Q30962" s="5" t="s">
        <v>355</v>
      </c>
    </row>
    <row r="30963" ht="16.5" customHeight="1">
      <c r="O30963" s="5" t="s">
        <v>355</v>
      </c>
      <c r="P30963" s="5" t="s">
        <v>355</v>
      </c>
      <c r="Q30963" s="5" t="s">
        <v>355</v>
      </c>
    </row>
    <row r="30964" ht="16.5" customHeight="1">
      <c r="O30964" s="5" t="s">
        <v>355</v>
      </c>
      <c r="P30964" s="5" t="s">
        <v>355</v>
      </c>
      <c r="Q30964" s="5" t="s">
        <v>355</v>
      </c>
    </row>
    <row r="30965" ht="16.5" customHeight="1">
      <c r="O30965" s="5" t="s">
        <v>355</v>
      </c>
      <c r="P30965" s="5" t="s">
        <v>355</v>
      </c>
      <c r="Q30965" s="5" t="s">
        <v>355</v>
      </c>
    </row>
    <row r="30966" ht="16.5" customHeight="1">
      <c r="O30966" s="5" t="s">
        <v>355</v>
      </c>
      <c r="P30966" s="5" t="s">
        <v>355</v>
      </c>
      <c r="Q30966" s="5" t="s">
        <v>355</v>
      </c>
    </row>
    <row r="30967" ht="16.5" customHeight="1">
      <c r="O30967" s="5" t="s">
        <v>355</v>
      </c>
      <c r="P30967" s="5" t="s">
        <v>355</v>
      </c>
      <c r="Q30967" s="5" t="s">
        <v>355</v>
      </c>
    </row>
    <row r="30968" ht="16.5" customHeight="1">
      <c r="O30968" s="5" t="s">
        <v>355</v>
      </c>
      <c r="P30968" s="5" t="s">
        <v>355</v>
      </c>
      <c r="Q30968" s="5" t="s">
        <v>355</v>
      </c>
    </row>
    <row r="30969" ht="16.5" customHeight="1">
      <c r="O30969" s="5" t="s">
        <v>355</v>
      </c>
      <c r="P30969" s="5" t="s">
        <v>355</v>
      </c>
      <c r="Q30969" s="5" t="s">
        <v>355</v>
      </c>
    </row>
    <row r="30970" ht="16.5" customHeight="1">
      <c r="O30970" s="5" t="s">
        <v>355</v>
      </c>
      <c r="P30970" s="5" t="s">
        <v>355</v>
      </c>
      <c r="Q30970" s="5" t="s">
        <v>355</v>
      </c>
    </row>
    <row r="30971" ht="16.5" customHeight="1">
      <c r="O30971" s="5" t="s">
        <v>355</v>
      </c>
      <c r="P30971" s="5" t="s">
        <v>355</v>
      </c>
      <c r="Q30971" s="5" t="s">
        <v>355</v>
      </c>
    </row>
    <row r="30972" ht="16.5" customHeight="1">
      <c r="O30972" s="5" t="s">
        <v>355</v>
      </c>
      <c r="P30972" s="5" t="s">
        <v>355</v>
      </c>
      <c r="Q30972" s="5" t="s">
        <v>355</v>
      </c>
    </row>
    <row r="30973" ht="16.5" customHeight="1">
      <c r="O30973" s="5" t="s">
        <v>355</v>
      </c>
      <c r="P30973" s="5" t="s">
        <v>355</v>
      </c>
      <c r="Q30973" s="5" t="s">
        <v>355</v>
      </c>
    </row>
    <row r="30974" ht="16.5" customHeight="1">
      <c r="O30974" s="5" t="s">
        <v>355</v>
      </c>
      <c r="P30974" s="5" t="s">
        <v>355</v>
      </c>
      <c r="Q30974" s="5" t="s">
        <v>355</v>
      </c>
    </row>
    <row r="30975" ht="16.5" customHeight="1">
      <c r="O30975" s="5" t="s">
        <v>355</v>
      </c>
      <c r="P30975" s="5" t="s">
        <v>355</v>
      </c>
      <c r="Q30975" s="5" t="s">
        <v>355</v>
      </c>
    </row>
    <row r="30976" ht="16.5" customHeight="1">
      <c r="O30976" s="5" t="s">
        <v>355</v>
      </c>
      <c r="P30976" s="5" t="s">
        <v>355</v>
      </c>
      <c r="Q30976" s="5" t="s">
        <v>355</v>
      </c>
    </row>
    <row r="30977" ht="16.5" customHeight="1">
      <c r="O30977" s="5" t="s">
        <v>355</v>
      </c>
      <c r="P30977" s="5" t="s">
        <v>355</v>
      </c>
      <c r="Q30977" s="5" t="s">
        <v>355</v>
      </c>
    </row>
    <row r="30978" ht="16.5" customHeight="1">
      <c r="O30978" s="5" t="s">
        <v>355</v>
      </c>
      <c r="P30978" s="5" t="s">
        <v>355</v>
      </c>
      <c r="Q30978" s="5" t="s">
        <v>355</v>
      </c>
    </row>
    <row r="30979" ht="16.5" customHeight="1">
      <c r="O30979" s="5" t="s">
        <v>355</v>
      </c>
      <c r="P30979" s="5" t="s">
        <v>355</v>
      </c>
      <c r="Q30979" s="5" t="s">
        <v>355</v>
      </c>
    </row>
    <row r="30980" ht="16.5" customHeight="1">
      <c r="O30980" s="5" t="s">
        <v>355</v>
      </c>
      <c r="P30980" s="5" t="s">
        <v>355</v>
      </c>
      <c r="Q30980" s="5" t="s">
        <v>355</v>
      </c>
    </row>
    <row r="30981" ht="16.5" customHeight="1">
      <c r="O30981" s="5" t="s">
        <v>355</v>
      </c>
      <c r="P30981" s="5" t="s">
        <v>355</v>
      </c>
      <c r="Q30981" s="5" t="s">
        <v>355</v>
      </c>
    </row>
    <row r="30982" ht="16.5" customHeight="1">
      <c r="O30982" s="5" t="s">
        <v>355</v>
      </c>
      <c r="P30982" s="5" t="s">
        <v>355</v>
      </c>
      <c r="Q30982" s="5" t="s">
        <v>355</v>
      </c>
    </row>
    <row r="30983" ht="16.5" customHeight="1">
      <c r="O30983" s="5" t="s">
        <v>355</v>
      </c>
      <c r="P30983" s="5" t="s">
        <v>355</v>
      </c>
      <c r="Q30983" s="5" t="s">
        <v>355</v>
      </c>
    </row>
    <row r="30984" ht="16.5" customHeight="1">
      <c r="O30984" s="5" t="s">
        <v>355</v>
      </c>
      <c r="P30984" s="5" t="s">
        <v>355</v>
      </c>
      <c r="Q30984" s="5" t="s">
        <v>355</v>
      </c>
    </row>
    <row r="30985" ht="16.5" customHeight="1">
      <c r="O30985" s="5" t="s">
        <v>355</v>
      </c>
      <c r="P30985" s="5" t="s">
        <v>355</v>
      </c>
      <c r="Q30985" s="5" t="s">
        <v>355</v>
      </c>
    </row>
    <row r="30986" ht="16.5" customHeight="1">
      <c r="O30986" s="5" t="s">
        <v>355</v>
      </c>
      <c r="P30986" s="5" t="s">
        <v>355</v>
      </c>
      <c r="Q30986" s="5" t="s">
        <v>355</v>
      </c>
    </row>
    <row r="30987" ht="16.5" customHeight="1">
      <c r="O30987" s="5" t="s">
        <v>355</v>
      </c>
      <c r="P30987" s="5" t="s">
        <v>355</v>
      </c>
      <c r="Q30987" s="5" t="s">
        <v>355</v>
      </c>
    </row>
    <row r="30988" ht="16.5" customHeight="1">
      <c r="O30988" s="5" t="s">
        <v>355</v>
      </c>
      <c r="P30988" s="5" t="s">
        <v>355</v>
      </c>
      <c r="Q30988" s="5" t="s">
        <v>355</v>
      </c>
    </row>
    <row r="30989" ht="16.5" customHeight="1">
      <c r="O30989" s="5" t="s">
        <v>355</v>
      </c>
      <c r="P30989" s="5" t="s">
        <v>355</v>
      </c>
      <c r="Q30989" s="5" t="s">
        <v>355</v>
      </c>
    </row>
    <row r="30990" ht="16.5" customHeight="1">
      <c r="O30990" s="5" t="s">
        <v>355</v>
      </c>
      <c r="P30990" s="5" t="s">
        <v>355</v>
      </c>
      <c r="Q30990" s="5" t="s">
        <v>355</v>
      </c>
    </row>
    <row r="30991" ht="16.5" customHeight="1">
      <c r="O30991" s="5" t="s">
        <v>355</v>
      </c>
      <c r="P30991" s="5" t="s">
        <v>355</v>
      </c>
      <c r="Q30991" s="5" t="s">
        <v>355</v>
      </c>
    </row>
    <row r="30992" ht="16.5" customHeight="1">
      <c r="O30992" s="5" t="s">
        <v>355</v>
      </c>
      <c r="P30992" s="5" t="s">
        <v>355</v>
      </c>
      <c r="Q30992" s="5" t="s">
        <v>355</v>
      </c>
    </row>
    <row r="30993" ht="16.5" customHeight="1">
      <c r="O30993" s="5" t="s">
        <v>355</v>
      </c>
      <c r="P30993" s="5" t="s">
        <v>355</v>
      </c>
      <c r="Q30993" s="5" t="s">
        <v>355</v>
      </c>
    </row>
    <row r="30994" ht="16.5" customHeight="1">
      <c r="O30994" s="5" t="s">
        <v>355</v>
      </c>
      <c r="P30994" s="5" t="s">
        <v>355</v>
      </c>
      <c r="Q30994" s="5" t="s">
        <v>355</v>
      </c>
    </row>
    <row r="30995" ht="16.5" customHeight="1">
      <c r="O30995" s="5" t="s">
        <v>355</v>
      </c>
      <c r="P30995" s="5" t="s">
        <v>355</v>
      </c>
      <c r="Q30995" s="5" t="s">
        <v>355</v>
      </c>
    </row>
    <row r="30996" ht="16.5" customHeight="1">
      <c r="O30996" s="5" t="s">
        <v>355</v>
      </c>
      <c r="P30996" s="5" t="s">
        <v>355</v>
      </c>
      <c r="Q30996" s="5" t="s">
        <v>355</v>
      </c>
    </row>
    <row r="30997" ht="16.5" customHeight="1">
      <c r="O30997" s="5" t="s">
        <v>355</v>
      </c>
      <c r="P30997" s="5" t="s">
        <v>355</v>
      </c>
      <c r="Q30997" s="5" t="s">
        <v>355</v>
      </c>
    </row>
    <row r="30998" ht="16.5" customHeight="1">
      <c r="O30998" s="5" t="s">
        <v>355</v>
      </c>
      <c r="P30998" s="5" t="s">
        <v>355</v>
      </c>
      <c r="Q30998" s="5" t="s">
        <v>355</v>
      </c>
    </row>
    <row r="30999" ht="16.5" customHeight="1">
      <c r="O30999" s="5" t="s">
        <v>355</v>
      </c>
      <c r="P30999" s="5" t="s">
        <v>355</v>
      </c>
      <c r="Q30999" s="5" t="s">
        <v>355</v>
      </c>
    </row>
    <row r="31000" ht="16.5" customHeight="1">
      <c r="O31000" s="5" t="s">
        <v>355</v>
      </c>
      <c r="P31000" s="5" t="s">
        <v>355</v>
      </c>
      <c r="Q31000" s="5" t="s">
        <v>355</v>
      </c>
    </row>
    <row r="31001" ht="16.5" customHeight="1">
      <c r="O31001" s="5" t="s">
        <v>355</v>
      </c>
      <c r="P31001" s="5" t="s">
        <v>355</v>
      </c>
      <c r="Q31001" s="5" t="s">
        <v>355</v>
      </c>
    </row>
    <row r="31002" ht="16.5" customHeight="1">
      <c r="O31002" s="5" t="s">
        <v>355</v>
      </c>
      <c r="P31002" s="5" t="s">
        <v>355</v>
      </c>
      <c r="Q31002" s="5" t="s">
        <v>355</v>
      </c>
    </row>
    <row r="31003" ht="16.5" customHeight="1">
      <c r="O31003" s="5" t="s">
        <v>355</v>
      </c>
      <c r="P31003" s="5" t="s">
        <v>355</v>
      </c>
      <c r="Q31003" s="5" t="s">
        <v>355</v>
      </c>
    </row>
    <row r="31004" ht="16.5" customHeight="1">
      <c r="O31004" s="5" t="s">
        <v>355</v>
      </c>
      <c r="P31004" s="5" t="s">
        <v>355</v>
      </c>
      <c r="Q31004" s="5" t="s">
        <v>355</v>
      </c>
    </row>
    <row r="31005" ht="16.5" customHeight="1">
      <c r="O31005" s="5" t="s">
        <v>355</v>
      </c>
      <c r="P31005" s="5" t="s">
        <v>355</v>
      </c>
      <c r="Q31005" s="5" t="s">
        <v>355</v>
      </c>
    </row>
    <row r="31006" ht="16.5" customHeight="1">
      <c r="O31006" s="5" t="s">
        <v>355</v>
      </c>
      <c r="P31006" s="5" t="s">
        <v>355</v>
      </c>
      <c r="Q31006" s="5" t="s">
        <v>355</v>
      </c>
    </row>
    <row r="31007" ht="16.5" customHeight="1">
      <c r="O31007" s="5" t="s">
        <v>355</v>
      </c>
      <c r="P31007" s="5" t="s">
        <v>355</v>
      </c>
      <c r="Q31007" s="5" t="s">
        <v>355</v>
      </c>
    </row>
    <row r="31008" ht="16.5" customHeight="1">
      <c r="O31008" s="5" t="s">
        <v>355</v>
      </c>
      <c r="P31008" s="5" t="s">
        <v>355</v>
      </c>
      <c r="Q31008" s="5" t="s">
        <v>355</v>
      </c>
    </row>
    <row r="31009" ht="16.5" customHeight="1">
      <c r="O31009" s="5" t="s">
        <v>355</v>
      </c>
      <c r="P31009" s="5" t="s">
        <v>355</v>
      </c>
      <c r="Q31009" s="5" t="s">
        <v>355</v>
      </c>
    </row>
    <row r="31010" ht="16.5" customHeight="1">
      <c r="O31010" s="5" t="s">
        <v>355</v>
      </c>
      <c r="P31010" s="5" t="s">
        <v>355</v>
      </c>
      <c r="Q31010" s="5" t="s">
        <v>355</v>
      </c>
    </row>
    <row r="31011" ht="16.5" customHeight="1">
      <c r="O31011" s="5" t="s">
        <v>355</v>
      </c>
      <c r="P31011" s="5" t="s">
        <v>355</v>
      </c>
      <c r="Q31011" s="5" t="s">
        <v>355</v>
      </c>
    </row>
    <row r="31012" ht="16.5" customHeight="1">
      <c r="O31012" s="5" t="s">
        <v>355</v>
      </c>
      <c r="P31012" s="5" t="s">
        <v>355</v>
      </c>
      <c r="Q31012" s="5" t="s">
        <v>355</v>
      </c>
    </row>
    <row r="31013" ht="16.5" customHeight="1">
      <c r="O31013" s="5" t="s">
        <v>355</v>
      </c>
      <c r="P31013" s="5" t="s">
        <v>355</v>
      </c>
      <c r="Q31013" s="5" t="s">
        <v>355</v>
      </c>
    </row>
    <row r="31014" ht="16.5" customHeight="1">
      <c r="O31014" s="5" t="s">
        <v>355</v>
      </c>
      <c r="P31014" s="5" t="s">
        <v>355</v>
      </c>
      <c r="Q31014" s="5" t="s">
        <v>355</v>
      </c>
    </row>
    <row r="31015" ht="16.5" customHeight="1">
      <c r="O31015" s="5" t="s">
        <v>355</v>
      </c>
      <c r="P31015" s="5" t="s">
        <v>355</v>
      </c>
      <c r="Q31015" s="5" t="s">
        <v>355</v>
      </c>
    </row>
    <row r="31016" ht="16.5" customHeight="1">
      <c r="O31016" s="5" t="s">
        <v>355</v>
      </c>
      <c r="P31016" s="5" t="s">
        <v>355</v>
      </c>
      <c r="Q31016" s="5" t="s">
        <v>355</v>
      </c>
    </row>
    <row r="31017" ht="16.5" customHeight="1">
      <c r="O31017" s="5" t="s">
        <v>355</v>
      </c>
      <c r="P31017" s="5" t="s">
        <v>355</v>
      </c>
      <c r="Q31017" s="5" t="s">
        <v>355</v>
      </c>
    </row>
    <row r="31018" ht="16.5" customHeight="1">
      <c r="O31018" s="5" t="s">
        <v>355</v>
      </c>
      <c r="P31018" s="5" t="s">
        <v>355</v>
      </c>
      <c r="Q31018" s="5" t="s">
        <v>355</v>
      </c>
    </row>
    <row r="31019" ht="16.5" customHeight="1">
      <c r="O31019" s="5" t="s">
        <v>355</v>
      </c>
      <c r="P31019" s="5" t="s">
        <v>355</v>
      </c>
      <c r="Q31019" s="5" t="s">
        <v>355</v>
      </c>
    </row>
    <row r="31020" ht="16.5" customHeight="1">
      <c r="O31020" s="5" t="s">
        <v>355</v>
      </c>
      <c r="P31020" s="5" t="s">
        <v>355</v>
      </c>
      <c r="Q31020" s="5" t="s">
        <v>355</v>
      </c>
    </row>
    <row r="31021" ht="16.5" customHeight="1">
      <c r="O31021" s="5" t="s">
        <v>355</v>
      </c>
      <c r="P31021" s="5" t="s">
        <v>355</v>
      </c>
      <c r="Q31021" s="5" t="s">
        <v>355</v>
      </c>
    </row>
    <row r="31022" ht="16.5" customHeight="1">
      <c r="O31022" s="5" t="s">
        <v>355</v>
      </c>
      <c r="P31022" s="5" t="s">
        <v>355</v>
      </c>
      <c r="Q31022" s="5" t="s">
        <v>355</v>
      </c>
    </row>
    <row r="31023" ht="16.5" customHeight="1">
      <c r="O31023" s="5" t="s">
        <v>355</v>
      </c>
      <c r="P31023" s="5" t="s">
        <v>355</v>
      </c>
      <c r="Q31023" s="5" t="s">
        <v>355</v>
      </c>
    </row>
    <row r="31024" ht="16.5" customHeight="1">
      <c r="O31024" s="5" t="s">
        <v>355</v>
      </c>
      <c r="P31024" s="5" t="s">
        <v>355</v>
      </c>
      <c r="Q31024" s="5" t="s">
        <v>355</v>
      </c>
    </row>
    <row r="31025" ht="16.5" customHeight="1">
      <c r="O31025" s="5" t="s">
        <v>355</v>
      </c>
      <c r="P31025" s="5" t="s">
        <v>355</v>
      </c>
      <c r="Q31025" s="5" t="s">
        <v>355</v>
      </c>
    </row>
    <row r="31026" ht="16.5" customHeight="1">
      <c r="O31026" s="5" t="s">
        <v>355</v>
      </c>
      <c r="P31026" s="5" t="s">
        <v>355</v>
      </c>
      <c r="Q31026" s="5" t="s">
        <v>355</v>
      </c>
    </row>
    <row r="31027" ht="16.5" customHeight="1">
      <c r="O31027" s="5" t="s">
        <v>355</v>
      </c>
      <c r="P31027" s="5" t="s">
        <v>355</v>
      </c>
      <c r="Q31027" s="5" t="s">
        <v>355</v>
      </c>
    </row>
    <row r="31028" ht="16.5" customHeight="1">
      <c r="O31028" s="5" t="s">
        <v>355</v>
      </c>
      <c r="P31028" s="5" t="s">
        <v>355</v>
      </c>
      <c r="Q31028" s="5" t="s">
        <v>355</v>
      </c>
    </row>
    <row r="31029" ht="16.5" customHeight="1">
      <c r="O31029" s="5" t="s">
        <v>355</v>
      </c>
      <c r="P31029" s="5" t="s">
        <v>355</v>
      </c>
      <c r="Q31029" s="5" t="s">
        <v>355</v>
      </c>
    </row>
    <row r="31030" ht="16.5" customHeight="1">
      <c r="O31030" s="5" t="s">
        <v>355</v>
      </c>
      <c r="P31030" s="5" t="s">
        <v>355</v>
      </c>
      <c r="Q31030" s="5" t="s">
        <v>355</v>
      </c>
    </row>
    <row r="31031" ht="16.5" customHeight="1">
      <c r="O31031" s="5" t="s">
        <v>355</v>
      </c>
      <c r="P31031" s="5" t="s">
        <v>355</v>
      </c>
      <c r="Q31031" s="5" t="s">
        <v>355</v>
      </c>
    </row>
    <row r="31032" ht="16.5" customHeight="1">
      <c r="O31032" s="5" t="s">
        <v>355</v>
      </c>
      <c r="P31032" s="5" t="s">
        <v>355</v>
      </c>
      <c r="Q31032" s="5" t="s">
        <v>355</v>
      </c>
    </row>
    <row r="31033" ht="16.5" customHeight="1">
      <c r="O31033" s="5" t="s">
        <v>355</v>
      </c>
      <c r="P31033" s="5" t="s">
        <v>355</v>
      </c>
      <c r="Q31033" s="5" t="s">
        <v>355</v>
      </c>
    </row>
    <row r="31034" ht="16.5" customHeight="1">
      <c r="O31034" s="5" t="s">
        <v>355</v>
      </c>
      <c r="P31034" s="5" t="s">
        <v>355</v>
      </c>
      <c r="Q31034" s="5" t="s">
        <v>355</v>
      </c>
    </row>
    <row r="31035" ht="16.5" customHeight="1">
      <c r="O31035" s="5" t="s">
        <v>355</v>
      </c>
      <c r="P31035" s="5" t="s">
        <v>355</v>
      </c>
      <c r="Q31035" s="5" t="s">
        <v>355</v>
      </c>
    </row>
    <row r="31036" ht="16.5" customHeight="1">
      <c r="O31036" s="5" t="s">
        <v>355</v>
      </c>
      <c r="P31036" s="5" t="s">
        <v>355</v>
      </c>
      <c r="Q31036" s="5" t="s">
        <v>355</v>
      </c>
    </row>
    <row r="31037" ht="16.5" customHeight="1">
      <c r="O31037" s="5" t="s">
        <v>355</v>
      </c>
      <c r="P31037" s="5" t="s">
        <v>355</v>
      </c>
      <c r="Q31037" s="5" t="s">
        <v>355</v>
      </c>
    </row>
    <row r="31038" ht="16.5" customHeight="1">
      <c r="O31038" s="5" t="s">
        <v>355</v>
      </c>
      <c r="P31038" s="5" t="s">
        <v>355</v>
      </c>
      <c r="Q31038" s="5" t="s">
        <v>355</v>
      </c>
    </row>
    <row r="31039" ht="16.5" customHeight="1">
      <c r="O31039" s="5" t="s">
        <v>355</v>
      </c>
      <c r="P31039" s="5" t="s">
        <v>355</v>
      </c>
      <c r="Q31039" s="5" t="s">
        <v>355</v>
      </c>
    </row>
    <row r="31040" ht="16.5" customHeight="1">
      <c r="O31040" s="5" t="s">
        <v>355</v>
      </c>
      <c r="P31040" s="5" t="s">
        <v>355</v>
      </c>
      <c r="Q31040" s="5" t="s">
        <v>355</v>
      </c>
    </row>
    <row r="31041" ht="16.5" customHeight="1">
      <c r="O31041" s="5" t="s">
        <v>355</v>
      </c>
      <c r="P31041" s="5" t="s">
        <v>355</v>
      </c>
      <c r="Q31041" s="5" t="s">
        <v>355</v>
      </c>
    </row>
    <row r="31042" ht="16.5" customHeight="1">
      <c r="O31042" s="5" t="s">
        <v>355</v>
      </c>
      <c r="P31042" s="5" t="s">
        <v>355</v>
      </c>
      <c r="Q31042" s="5" t="s">
        <v>355</v>
      </c>
    </row>
    <row r="31043" ht="16.5" customHeight="1">
      <c r="O31043" s="5" t="s">
        <v>355</v>
      </c>
      <c r="P31043" s="5" t="s">
        <v>355</v>
      </c>
      <c r="Q31043" s="5" t="s">
        <v>355</v>
      </c>
    </row>
    <row r="31044" ht="16.5" customHeight="1">
      <c r="O31044" s="5" t="s">
        <v>355</v>
      </c>
      <c r="P31044" s="5" t="s">
        <v>355</v>
      </c>
      <c r="Q31044" s="5" t="s">
        <v>355</v>
      </c>
    </row>
    <row r="31045" ht="16.5" customHeight="1">
      <c r="O31045" s="5" t="s">
        <v>355</v>
      </c>
      <c r="P31045" s="5" t="s">
        <v>355</v>
      </c>
      <c r="Q31045" s="5" t="s">
        <v>355</v>
      </c>
    </row>
    <row r="31046" ht="16.5" customHeight="1">
      <c r="O31046" s="5" t="s">
        <v>355</v>
      </c>
      <c r="P31046" s="5" t="s">
        <v>355</v>
      </c>
      <c r="Q31046" s="5" t="s">
        <v>355</v>
      </c>
    </row>
    <row r="31047" ht="16.5" customHeight="1">
      <c r="O31047" s="5" t="s">
        <v>355</v>
      </c>
      <c r="P31047" s="5" t="s">
        <v>355</v>
      </c>
      <c r="Q31047" s="5" t="s">
        <v>355</v>
      </c>
    </row>
    <row r="31048" ht="16.5" customHeight="1">
      <c r="O31048" s="5" t="s">
        <v>355</v>
      </c>
      <c r="P31048" s="5" t="s">
        <v>355</v>
      </c>
      <c r="Q31048" s="5" t="s">
        <v>355</v>
      </c>
    </row>
    <row r="31049" ht="16.5" customHeight="1">
      <c r="O31049" s="5" t="s">
        <v>355</v>
      </c>
      <c r="P31049" s="5" t="s">
        <v>355</v>
      </c>
      <c r="Q31049" s="5" t="s">
        <v>355</v>
      </c>
    </row>
    <row r="31050" ht="16.5" customHeight="1">
      <c r="O31050" s="5" t="s">
        <v>355</v>
      </c>
      <c r="P31050" s="5" t="s">
        <v>355</v>
      </c>
      <c r="Q31050" s="5" t="s">
        <v>355</v>
      </c>
    </row>
    <row r="31051" ht="16.5" customHeight="1">
      <c r="O31051" s="5" t="s">
        <v>355</v>
      </c>
      <c r="P31051" s="5" t="s">
        <v>355</v>
      </c>
      <c r="Q31051" s="5" t="s">
        <v>355</v>
      </c>
    </row>
    <row r="31052" ht="16.5" customHeight="1">
      <c r="O31052" s="5" t="s">
        <v>355</v>
      </c>
      <c r="P31052" s="5" t="s">
        <v>355</v>
      </c>
      <c r="Q31052" s="5" t="s">
        <v>355</v>
      </c>
    </row>
    <row r="31053" ht="16.5" customHeight="1">
      <c r="O31053" s="5" t="s">
        <v>355</v>
      </c>
      <c r="P31053" s="5" t="s">
        <v>355</v>
      </c>
      <c r="Q31053" s="5" t="s">
        <v>355</v>
      </c>
    </row>
    <row r="31054" ht="16.5" customHeight="1">
      <c r="O31054" s="5" t="s">
        <v>355</v>
      </c>
      <c r="P31054" s="5" t="s">
        <v>355</v>
      </c>
      <c r="Q31054" s="5" t="s">
        <v>355</v>
      </c>
    </row>
    <row r="31055" ht="16.5" customHeight="1">
      <c r="O31055" s="5" t="s">
        <v>355</v>
      </c>
      <c r="P31055" s="5" t="s">
        <v>355</v>
      </c>
      <c r="Q31055" s="5" t="s">
        <v>355</v>
      </c>
    </row>
    <row r="31056" ht="16.5" customHeight="1">
      <c r="O31056" s="5" t="s">
        <v>355</v>
      </c>
      <c r="P31056" s="5" t="s">
        <v>355</v>
      </c>
      <c r="Q31056" s="5" t="s">
        <v>355</v>
      </c>
    </row>
    <row r="31057" ht="16.5" customHeight="1">
      <c r="O31057" s="5" t="s">
        <v>355</v>
      </c>
      <c r="P31057" s="5" t="s">
        <v>355</v>
      </c>
      <c r="Q31057" s="5" t="s">
        <v>355</v>
      </c>
    </row>
    <row r="31058" ht="16.5" customHeight="1">
      <c r="O31058" s="5" t="s">
        <v>355</v>
      </c>
      <c r="P31058" s="5" t="s">
        <v>355</v>
      </c>
      <c r="Q31058" s="5" t="s">
        <v>355</v>
      </c>
    </row>
    <row r="31059" ht="16.5" customHeight="1">
      <c r="O31059" s="5" t="s">
        <v>355</v>
      </c>
      <c r="P31059" s="5" t="s">
        <v>355</v>
      </c>
      <c r="Q31059" s="5" t="s">
        <v>355</v>
      </c>
    </row>
    <row r="31060" ht="16.5" customHeight="1">
      <c r="O31060" s="5" t="s">
        <v>355</v>
      </c>
      <c r="P31060" s="5" t="s">
        <v>355</v>
      </c>
      <c r="Q31060" s="5" t="s">
        <v>355</v>
      </c>
    </row>
    <row r="31061" ht="16.5" customHeight="1">
      <c r="O31061" s="5" t="s">
        <v>355</v>
      </c>
      <c r="P31061" s="5" t="s">
        <v>355</v>
      </c>
      <c r="Q31061" s="5" t="s">
        <v>355</v>
      </c>
    </row>
    <row r="31062" ht="16.5" customHeight="1">
      <c r="O31062" s="5" t="s">
        <v>355</v>
      </c>
      <c r="P31062" s="5" t="s">
        <v>355</v>
      </c>
      <c r="Q31062" s="5" t="s">
        <v>355</v>
      </c>
    </row>
    <row r="31063" ht="16.5" customHeight="1">
      <c r="O31063" s="5" t="s">
        <v>355</v>
      </c>
      <c r="P31063" s="5" t="s">
        <v>355</v>
      </c>
      <c r="Q31063" s="5" t="s">
        <v>355</v>
      </c>
    </row>
    <row r="31064" ht="16.5" customHeight="1">
      <c r="O31064" s="5" t="s">
        <v>355</v>
      </c>
      <c r="P31064" s="5" t="s">
        <v>355</v>
      </c>
      <c r="Q31064" s="5" t="s">
        <v>355</v>
      </c>
    </row>
    <row r="31065" ht="16.5" customHeight="1">
      <c r="O31065" s="5" t="s">
        <v>355</v>
      </c>
      <c r="P31065" s="5" t="s">
        <v>355</v>
      </c>
      <c r="Q31065" s="5" t="s">
        <v>355</v>
      </c>
    </row>
    <row r="31066" ht="16.5" customHeight="1">
      <c r="O31066" s="5" t="s">
        <v>355</v>
      </c>
      <c r="P31066" s="5" t="s">
        <v>355</v>
      </c>
      <c r="Q31066" s="5" t="s">
        <v>355</v>
      </c>
    </row>
    <row r="31067" ht="16.5" customHeight="1">
      <c r="O31067" s="5" t="s">
        <v>355</v>
      </c>
      <c r="P31067" s="5" t="s">
        <v>355</v>
      </c>
      <c r="Q31067" s="5" t="s">
        <v>355</v>
      </c>
    </row>
    <row r="31068" ht="16.5" customHeight="1">
      <c r="O31068" s="5" t="s">
        <v>355</v>
      </c>
      <c r="P31068" s="5" t="s">
        <v>355</v>
      </c>
      <c r="Q31068" s="5" t="s">
        <v>355</v>
      </c>
    </row>
    <row r="31069" ht="16.5" customHeight="1">
      <c r="O31069" s="5" t="s">
        <v>355</v>
      </c>
      <c r="P31069" s="5" t="s">
        <v>355</v>
      </c>
      <c r="Q31069" s="5" t="s">
        <v>355</v>
      </c>
    </row>
    <row r="31070" ht="16.5" customHeight="1">
      <c r="O31070" s="5" t="s">
        <v>355</v>
      </c>
      <c r="P31070" s="5" t="s">
        <v>355</v>
      </c>
      <c r="Q31070" s="5" t="s">
        <v>355</v>
      </c>
    </row>
    <row r="31071" ht="16.5" customHeight="1">
      <c r="O31071" s="5" t="s">
        <v>355</v>
      </c>
      <c r="P31071" s="5" t="s">
        <v>355</v>
      </c>
      <c r="Q31071" s="5" t="s">
        <v>355</v>
      </c>
    </row>
    <row r="31072" ht="16.5" customHeight="1">
      <c r="O31072" s="5" t="s">
        <v>355</v>
      </c>
      <c r="P31072" s="5" t="s">
        <v>355</v>
      </c>
      <c r="Q31072" s="5" t="s">
        <v>355</v>
      </c>
    </row>
    <row r="31073" ht="16.5" customHeight="1">
      <c r="O31073" s="5" t="s">
        <v>355</v>
      </c>
      <c r="P31073" s="5" t="s">
        <v>355</v>
      </c>
      <c r="Q31073" s="5" t="s">
        <v>355</v>
      </c>
    </row>
    <row r="31074" ht="16.5" customHeight="1">
      <c r="O31074" s="5" t="s">
        <v>355</v>
      </c>
      <c r="P31074" s="5" t="s">
        <v>355</v>
      </c>
      <c r="Q31074" s="5" t="s">
        <v>355</v>
      </c>
    </row>
    <row r="31075" ht="16.5" customHeight="1">
      <c r="O31075" s="5" t="s">
        <v>355</v>
      </c>
      <c r="P31075" s="5" t="s">
        <v>355</v>
      </c>
      <c r="Q31075" s="5" t="s">
        <v>355</v>
      </c>
    </row>
    <row r="31076" ht="16.5" customHeight="1">
      <c r="O31076" s="5" t="s">
        <v>355</v>
      </c>
      <c r="P31076" s="5" t="s">
        <v>355</v>
      </c>
      <c r="Q31076" s="5" t="s">
        <v>355</v>
      </c>
    </row>
    <row r="31077" ht="16.5" customHeight="1">
      <c r="O31077" s="5" t="s">
        <v>355</v>
      </c>
      <c r="P31077" s="5" t="s">
        <v>355</v>
      </c>
      <c r="Q31077" s="5" t="s">
        <v>355</v>
      </c>
    </row>
    <row r="31078" ht="16.5" customHeight="1">
      <c r="O31078" s="5" t="s">
        <v>355</v>
      </c>
      <c r="P31078" s="5" t="s">
        <v>355</v>
      </c>
      <c r="Q31078" s="5" t="s">
        <v>355</v>
      </c>
    </row>
    <row r="31079" ht="16.5" customHeight="1">
      <c r="O31079" s="5" t="s">
        <v>355</v>
      </c>
      <c r="P31079" s="5" t="s">
        <v>355</v>
      </c>
      <c r="Q31079" s="5" t="s">
        <v>355</v>
      </c>
    </row>
    <row r="31080" ht="16.5" customHeight="1">
      <c r="O31080" s="5" t="s">
        <v>355</v>
      </c>
      <c r="P31080" s="5" t="s">
        <v>355</v>
      </c>
      <c r="Q31080" s="5" t="s">
        <v>355</v>
      </c>
    </row>
    <row r="31081" ht="16.5" customHeight="1">
      <c r="O31081" s="5" t="s">
        <v>355</v>
      </c>
      <c r="P31081" s="5" t="s">
        <v>355</v>
      </c>
      <c r="Q31081" s="5" t="s">
        <v>355</v>
      </c>
    </row>
    <row r="31082" ht="16.5" customHeight="1">
      <c r="O31082" s="5" t="s">
        <v>355</v>
      </c>
      <c r="P31082" s="5" t="s">
        <v>355</v>
      </c>
      <c r="Q31082" s="5" t="s">
        <v>355</v>
      </c>
    </row>
    <row r="31083" ht="16.5" customHeight="1">
      <c r="O31083" s="5" t="s">
        <v>355</v>
      </c>
      <c r="P31083" s="5" t="s">
        <v>355</v>
      </c>
      <c r="Q31083" s="5" t="s">
        <v>355</v>
      </c>
    </row>
    <row r="31084" ht="16.5" customHeight="1">
      <c r="O31084" s="5" t="s">
        <v>355</v>
      </c>
      <c r="P31084" s="5" t="s">
        <v>355</v>
      </c>
      <c r="Q31084" s="5" t="s">
        <v>355</v>
      </c>
    </row>
    <row r="31085" ht="16.5" customHeight="1">
      <c r="O31085" s="5" t="s">
        <v>355</v>
      </c>
      <c r="P31085" s="5" t="s">
        <v>355</v>
      </c>
      <c r="Q31085" s="5" t="s">
        <v>355</v>
      </c>
    </row>
    <row r="31086" ht="16.5" customHeight="1">
      <c r="O31086" s="5" t="s">
        <v>355</v>
      </c>
      <c r="P31086" s="5" t="s">
        <v>355</v>
      </c>
      <c r="Q31086" s="5" t="s">
        <v>355</v>
      </c>
    </row>
    <row r="31087" ht="16.5" customHeight="1">
      <c r="O31087" s="5" t="s">
        <v>355</v>
      </c>
      <c r="P31087" s="5" t="s">
        <v>355</v>
      </c>
      <c r="Q31087" s="5" t="s">
        <v>355</v>
      </c>
    </row>
    <row r="31088" ht="16.5" customHeight="1">
      <c r="O31088" s="5" t="s">
        <v>355</v>
      </c>
      <c r="P31088" s="5" t="s">
        <v>355</v>
      </c>
      <c r="Q31088" s="5" t="s">
        <v>355</v>
      </c>
    </row>
    <row r="31089" ht="16.5" customHeight="1">
      <c r="O31089" s="5" t="s">
        <v>355</v>
      </c>
      <c r="P31089" s="5" t="s">
        <v>355</v>
      </c>
      <c r="Q31089" s="5" t="s">
        <v>355</v>
      </c>
    </row>
    <row r="31090" ht="16.5" customHeight="1">
      <c r="O31090" s="5" t="s">
        <v>355</v>
      </c>
      <c r="P31090" s="5" t="s">
        <v>355</v>
      </c>
      <c r="Q31090" s="5" t="s">
        <v>355</v>
      </c>
    </row>
    <row r="31091" ht="16.5" customHeight="1">
      <c r="O31091" s="5" t="s">
        <v>355</v>
      </c>
      <c r="P31091" s="5" t="s">
        <v>355</v>
      </c>
      <c r="Q31091" s="5" t="s">
        <v>355</v>
      </c>
    </row>
    <row r="31092" ht="16.5" customHeight="1">
      <c r="O31092" s="5" t="s">
        <v>355</v>
      </c>
      <c r="P31092" s="5" t="s">
        <v>355</v>
      </c>
      <c r="Q31092" s="5" t="s">
        <v>355</v>
      </c>
    </row>
    <row r="31093" ht="16.5" customHeight="1">
      <c r="O31093" s="5" t="s">
        <v>355</v>
      </c>
      <c r="P31093" s="5" t="s">
        <v>355</v>
      </c>
      <c r="Q31093" s="5" t="s">
        <v>355</v>
      </c>
    </row>
    <row r="31094" ht="16.5" customHeight="1">
      <c r="O31094" s="5" t="s">
        <v>355</v>
      </c>
      <c r="P31094" s="5" t="s">
        <v>355</v>
      </c>
      <c r="Q31094" s="5" t="s">
        <v>355</v>
      </c>
    </row>
    <row r="31095" ht="16.5" customHeight="1">
      <c r="O31095" s="5" t="s">
        <v>355</v>
      </c>
      <c r="P31095" s="5" t="s">
        <v>355</v>
      </c>
      <c r="Q31095" s="5" t="s">
        <v>355</v>
      </c>
    </row>
    <row r="31096" ht="16.5" customHeight="1">
      <c r="O31096" s="5" t="s">
        <v>355</v>
      </c>
      <c r="P31096" s="5" t="s">
        <v>355</v>
      </c>
      <c r="Q31096" s="5" t="s">
        <v>355</v>
      </c>
    </row>
    <row r="31097" ht="16.5" customHeight="1">
      <c r="O31097" s="5" t="s">
        <v>355</v>
      </c>
      <c r="P31097" s="5" t="s">
        <v>355</v>
      </c>
      <c r="Q31097" s="5" t="s">
        <v>355</v>
      </c>
    </row>
    <row r="31098" ht="16.5" customHeight="1">
      <c r="O31098" s="5" t="s">
        <v>355</v>
      </c>
      <c r="P31098" s="5" t="s">
        <v>355</v>
      </c>
      <c r="Q31098" s="5" t="s">
        <v>355</v>
      </c>
    </row>
    <row r="31099" ht="16.5" customHeight="1">
      <c r="O31099" s="5" t="s">
        <v>355</v>
      </c>
      <c r="P31099" s="5" t="s">
        <v>355</v>
      </c>
      <c r="Q31099" s="5" t="s">
        <v>355</v>
      </c>
    </row>
    <row r="31100" ht="16.5" customHeight="1">
      <c r="O31100" s="5" t="s">
        <v>355</v>
      </c>
      <c r="P31100" s="5" t="s">
        <v>355</v>
      </c>
      <c r="Q31100" s="5" t="s">
        <v>355</v>
      </c>
    </row>
    <row r="31101" ht="16.5" customHeight="1">
      <c r="O31101" s="5" t="s">
        <v>355</v>
      </c>
      <c r="P31101" s="5" t="s">
        <v>355</v>
      </c>
      <c r="Q31101" s="5" t="s">
        <v>355</v>
      </c>
    </row>
    <row r="31102" ht="16.5" customHeight="1">
      <c r="O31102" s="5" t="s">
        <v>355</v>
      </c>
      <c r="P31102" s="5" t="s">
        <v>355</v>
      </c>
      <c r="Q31102" s="5" t="s">
        <v>355</v>
      </c>
    </row>
    <row r="31103" ht="16.5" customHeight="1">
      <c r="O31103" s="5" t="s">
        <v>355</v>
      </c>
      <c r="P31103" s="5" t="s">
        <v>355</v>
      </c>
      <c r="Q31103" s="5" t="s">
        <v>355</v>
      </c>
    </row>
    <row r="31104" ht="16.5" customHeight="1">
      <c r="O31104" s="5" t="s">
        <v>355</v>
      </c>
      <c r="P31104" s="5" t="s">
        <v>355</v>
      </c>
      <c r="Q31104" s="5" t="s">
        <v>355</v>
      </c>
    </row>
    <row r="31105" ht="16.5" customHeight="1">
      <c r="O31105" s="5" t="s">
        <v>355</v>
      </c>
      <c r="P31105" s="5" t="s">
        <v>355</v>
      </c>
      <c r="Q31105" s="5" t="s">
        <v>355</v>
      </c>
    </row>
    <row r="31106" ht="16.5" customHeight="1">
      <c r="O31106" s="5" t="s">
        <v>355</v>
      </c>
      <c r="P31106" s="5" t="s">
        <v>355</v>
      </c>
      <c r="Q31106" s="5" t="s">
        <v>355</v>
      </c>
    </row>
    <row r="31107" ht="16.5" customHeight="1">
      <c r="O31107" s="5" t="s">
        <v>355</v>
      </c>
      <c r="P31107" s="5" t="s">
        <v>355</v>
      </c>
      <c r="Q31107" s="5" t="s">
        <v>355</v>
      </c>
    </row>
    <row r="31108" ht="16.5" customHeight="1">
      <c r="O31108" s="5" t="s">
        <v>355</v>
      </c>
      <c r="P31108" s="5" t="s">
        <v>355</v>
      </c>
      <c r="Q31108" s="5" t="s">
        <v>355</v>
      </c>
    </row>
    <row r="31109" ht="16.5" customHeight="1">
      <c r="O31109" s="5" t="s">
        <v>355</v>
      </c>
      <c r="P31109" s="5" t="s">
        <v>355</v>
      </c>
      <c r="Q31109" s="5" t="s">
        <v>355</v>
      </c>
    </row>
    <row r="31110" ht="16.5" customHeight="1">
      <c r="O31110" s="5" t="s">
        <v>355</v>
      </c>
      <c r="P31110" s="5" t="s">
        <v>355</v>
      </c>
      <c r="Q31110" s="5" t="s">
        <v>355</v>
      </c>
    </row>
    <row r="31111" ht="16.5" customHeight="1">
      <c r="O31111" s="5" t="s">
        <v>355</v>
      </c>
      <c r="P31111" s="5" t="s">
        <v>355</v>
      </c>
      <c r="Q31111" s="5" t="s">
        <v>355</v>
      </c>
    </row>
    <row r="31112" ht="16.5" customHeight="1">
      <c r="O31112" s="5" t="s">
        <v>355</v>
      </c>
      <c r="P31112" s="5" t="s">
        <v>355</v>
      </c>
      <c r="Q31112" s="5" t="s">
        <v>355</v>
      </c>
    </row>
    <row r="31113" ht="16.5" customHeight="1">
      <c r="O31113" s="5" t="s">
        <v>355</v>
      </c>
      <c r="P31113" s="5" t="s">
        <v>355</v>
      </c>
      <c r="Q31113" s="5" t="s">
        <v>355</v>
      </c>
    </row>
    <row r="31114" ht="16.5" customHeight="1">
      <c r="O31114" s="5" t="s">
        <v>355</v>
      </c>
      <c r="P31114" s="5" t="s">
        <v>355</v>
      </c>
      <c r="Q31114" s="5" t="s">
        <v>355</v>
      </c>
    </row>
    <row r="31115" ht="16.5" customHeight="1">
      <c r="O31115" s="5" t="s">
        <v>355</v>
      </c>
      <c r="P31115" s="5" t="s">
        <v>355</v>
      </c>
      <c r="Q31115" s="5" t="s">
        <v>355</v>
      </c>
    </row>
    <row r="31116" ht="16.5" customHeight="1">
      <c r="O31116" s="5" t="s">
        <v>355</v>
      </c>
      <c r="P31116" s="5" t="s">
        <v>355</v>
      </c>
      <c r="Q31116" s="5" t="s">
        <v>355</v>
      </c>
    </row>
    <row r="31117" ht="16.5" customHeight="1">
      <c r="O31117" s="5" t="s">
        <v>355</v>
      </c>
      <c r="P31117" s="5" t="s">
        <v>355</v>
      </c>
      <c r="Q31117" s="5" t="s">
        <v>355</v>
      </c>
    </row>
    <row r="31118" ht="16.5" customHeight="1">
      <c r="O31118" s="5" t="s">
        <v>355</v>
      </c>
      <c r="P31118" s="5" t="s">
        <v>355</v>
      </c>
      <c r="Q31118" s="5" t="s">
        <v>355</v>
      </c>
    </row>
    <row r="31119" ht="16.5" customHeight="1">
      <c r="O31119" s="5" t="s">
        <v>355</v>
      </c>
      <c r="P31119" s="5" t="s">
        <v>355</v>
      </c>
      <c r="Q31119" s="5" t="s">
        <v>355</v>
      </c>
    </row>
    <row r="31120" ht="16.5" customHeight="1">
      <c r="O31120" s="5" t="s">
        <v>355</v>
      </c>
      <c r="P31120" s="5" t="s">
        <v>355</v>
      </c>
      <c r="Q31120" s="5" t="s">
        <v>355</v>
      </c>
    </row>
    <row r="31121" ht="16.5" customHeight="1">
      <c r="O31121" s="5" t="s">
        <v>355</v>
      </c>
      <c r="P31121" s="5" t="s">
        <v>355</v>
      </c>
      <c r="Q31121" s="5" t="s">
        <v>355</v>
      </c>
    </row>
    <row r="31122" ht="16.5" customHeight="1">
      <c r="O31122" s="5" t="s">
        <v>355</v>
      </c>
      <c r="P31122" s="5" t="s">
        <v>355</v>
      </c>
      <c r="Q31122" s="5" t="s">
        <v>355</v>
      </c>
    </row>
    <row r="31123" ht="16.5" customHeight="1">
      <c r="O31123" s="5" t="s">
        <v>355</v>
      </c>
      <c r="P31123" s="5" t="s">
        <v>355</v>
      </c>
      <c r="Q31123" s="5" t="s">
        <v>355</v>
      </c>
    </row>
    <row r="31124" ht="16.5" customHeight="1">
      <c r="O31124" s="5" t="s">
        <v>355</v>
      </c>
      <c r="P31124" s="5" t="s">
        <v>355</v>
      </c>
      <c r="Q31124" s="5" t="s">
        <v>355</v>
      </c>
    </row>
    <row r="31125" ht="16.5" customHeight="1">
      <c r="O31125" s="5" t="s">
        <v>355</v>
      </c>
      <c r="P31125" s="5" t="s">
        <v>355</v>
      </c>
      <c r="Q31125" s="5" t="s">
        <v>355</v>
      </c>
    </row>
    <row r="31126" ht="16.5" customHeight="1">
      <c r="O31126" s="5" t="s">
        <v>355</v>
      </c>
      <c r="P31126" s="5" t="s">
        <v>355</v>
      </c>
      <c r="Q31126" s="5" t="s">
        <v>355</v>
      </c>
    </row>
    <row r="31127" ht="16.5" customHeight="1">
      <c r="O31127" s="5" t="s">
        <v>355</v>
      </c>
      <c r="P31127" s="5" t="s">
        <v>355</v>
      </c>
      <c r="Q31127" s="5" t="s">
        <v>355</v>
      </c>
    </row>
    <row r="31128" ht="16.5" customHeight="1">
      <c r="O31128" s="5" t="s">
        <v>355</v>
      </c>
      <c r="P31128" s="5" t="s">
        <v>355</v>
      </c>
      <c r="Q31128" s="5" t="s">
        <v>355</v>
      </c>
    </row>
    <row r="31129" ht="16.5" customHeight="1">
      <c r="O31129" s="5" t="s">
        <v>355</v>
      </c>
      <c r="P31129" s="5" t="s">
        <v>355</v>
      </c>
      <c r="Q31129" s="5" t="s">
        <v>355</v>
      </c>
    </row>
    <row r="31130" ht="16.5" customHeight="1">
      <c r="O31130" s="5" t="s">
        <v>355</v>
      </c>
      <c r="P31130" s="5" t="s">
        <v>355</v>
      </c>
      <c r="Q31130" s="5" t="s">
        <v>355</v>
      </c>
    </row>
    <row r="31131" ht="16.5" customHeight="1">
      <c r="O31131" s="5" t="s">
        <v>355</v>
      </c>
      <c r="P31131" s="5" t="s">
        <v>355</v>
      </c>
      <c r="Q31131" s="5" t="s">
        <v>355</v>
      </c>
    </row>
    <row r="31132" ht="16.5" customHeight="1">
      <c r="O31132" s="5" t="s">
        <v>355</v>
      </c>
      <c r="P31132" s="5" t="s">
        <v>355</v>
      </c>
      <c r="Q31132" s="5" t="s">
        <v>355</v>
      </c>
    </row>
    <row r="31133" ht="16.5" customHeight="1">
      <c r="O31133" s="5" t="s">
        <v>355</v>
      </c>
      <c r="P31133" s="5" t="s">
        <v>355</v>
      </c>
      <c r="Q31133" s="5" t="s">
        <v>355</v>
      </c>
    </row>
    <row r="31134" ht="16.5" customHeight="1">
      <c r="O31134" s="5" t="s">
        <v>355</v>
      </c>
      <c r="P31134" s="5" t="s">
        <v>355</v>
      </c>
      <c r="Q31134" s="5" t="s">
        <v>355</v>
      </c>
    </row>
    <row r="31135" ht="16.5" customHeight="1">
      <c r="O31135" s="5" t="s">
        <v>355</v>
      </c>
      <c r="P31135" s="5" t="s">
        <v>355</v>
      </c>
      <c r="Q31135" s="5" t="s">
        <v>355</v>
      </c>
    </row>
    <row r="31136" ht="16.5" customHeight="1">
      <c r="O31136" s="5" t="s">
        <v>355</v>
      </c>
      <c r="P31136" s="5" t="s">
        <v>355</v>
      </c>
      <c r="Q31136" s="5" t="s">
        <v>355</v>
      </c>
    </row>
    <row r="31137" ht="16.5" customHeight="1">
      <c r="O31137" s="5" t="s">
        <v>355</v>
      </c>
      <c r="P31137" s="5" t="s">
        <v>355</v>
      </c>
      <c r="Q31137" s="5" t="s">
        <v>355</v>
      </c>
    </row>
    <row r="31138" ht="16.5" customHeight="1">
      <c r="O31138" s="5" t="s">
        <v>355</v>
      </c>
      <c r="P31138" s="5" t="s">
        <v>355</v>
      </c>
      <c r="Q31138" s="5" t="s">
        <v>355</v>
      </c>
    </row>
    <row r="31139" ht="16.5" customHeight="1">
      <c r="O31139" s="5" t="s">
        <v>355</v>
      </c>
      <c r="P31139" s="5" t="s">
        <v>355</v>
      </c>
      <c r="Q31139" s="5" t="s">
        <v>355</v>
      </c>
    </row>
    <row r="31140" ht="16.5" customHeight="1">
      <c r="O31140" s="5" t="s">
        <v>355</v>
      </c>
      <c r="P31140" s="5" t="s">
        <v>355</v>
      </c>
      <c r="Q31140" s="5" t="s">
        <v>355</v>
      </c>
    </row>
    <row r="31141" ht="16.5" customHeight="1">
      <c r="O31141" s="5" t="s">
        <v>355</v>
      </c>
      <c r="P31141" s="5" t="s">
        <v>355</v>
      </c>
      <c r="Q31141" s="5" t="s">
        <v>355</v>
      </c>
    </row>
    <row r="31142" ht="16.5" customHeight="1">
      <c r="O31142" s="5" t="s">
        <v>355</v>
      </c>
      <c r="P31142" s="5" t="s">
        <v>355</v>
      </c>
      <c r="Q31142" s="5" t="s">
        <v>355</v>
      </c>
    </row>
    <row r="31143" ht="16.5" customHeight="1">
      <c r="O31143" s="5" t="s">
        <v>355</v>
      </c>
      <c r="P31143" s="5" t="s">
        <v>355</v>
      </c>
      <c r="Q31143" s="5" t="s">
        <v>355</v>
      </c>
    </row>
    <row r="31144" ht="16.5" customHeight="1">
      <c r="O31144" s="5" t="s">
        <v>355</v>
      </c>
      <c r="P31144" s="5" t="s">
        <v>355</v>
      </c>
      <c r="Q31144" s="5" t="s">
        <v>355</v>
      </c>
    </row>
    <row r="31145" ht="16.5" customHeight="1">
      <c r="O31145" s="5" t="s">
        <v>355</v>
      </c>
      <c r="P31145" s="5" t="s">
        <v>355</v>
      </c>
      <c r="Q31145" s="5" t="s">
        <v>355</v>
      </c>
    </row>
    <row r="31146" ht="16.5" customHeight="1">
      <c r="O31146" s="5" t="s">
        <v>355</v>
      </c>
      <c r="P31146" s="5" t="s">
        <v>355</v>
      </c>
      <c r="Q31146" s="5" t="s">
        <v>355</v>
      </c>
    </row>
    <row r="31147" ht="16.5" customHeight="1">
      <c r="O31147" s="5" t="s">
        <v>355</v>
      </c>
      <c r="P31147" s="5" t="s">
        <v>355</v>
      </c>
      <c r="Q31147" s="5" t="s">
        <v>355</v>
      </c>
    </row>
    <row r="31148" ht="16.5" customHeight="1">
      <c r="O31148" s="5" t="s">
        <v>355</v>
      </c>
      <c r="P31148" s="5" t="s">
        <v>355</v>
      </c>
      <c r="Q31148" s="5" t="s">
        <v>355</v>
      </c>
    </row>
    <row r="31149" ht="16.5" customHeight="1">
      <c r="O31149" s="5" t="s">
        <v>355</v>
      </c>
      <c r="P31149" s="5" t="s">
        <v>355</v>
      </c>
      <c r="Q31149" s="5" t="s">
        <v>355</v>
      </c>
    </row>
    <row r="31150" ht="16.5" customHeight="1">
      <c r="O31150" s="5" t="s">
        <v>355</v>
      </c>
      <c r="P31150" s="5" t="s">
        <v>355</v>
      </c>
      <c r="Q31150" s="5" t="s">
        <v>355</v>
      </c>
    </row>
    <row r="31151" ht="16.5" customHeight="1">
      <c r="O31151" s="5" t="s">
        <v>355</v>
      </c>
      <c r="P31151" s="5" t="s">
        <v>355</v>
      </c>
      <c r="Q31151" s="5" t="s">
        <v>355</v>
      </c>
    </row>
    <row r="31152" ht="16.5" customHeight="1">
      <c r="O31152" s="5" t="s">
        <v>355</v>
      </c>
      <c r="P31152" s="5" t="s">
        <v>355</v>
      </c>
      <c r="Q31152" s="5" t="s">
        <v>355</v>
      </c>
    </row>
    <row r="31153" ht="16.5" customHeight="1">
      <c r="O31153" s="5" t="s">
        <v>355</v>
      </c>
      <c r="P31153" s="5" t="s">
        <v>355</v>
      </c>
      <c r="Q31153" s="5" t="s">
        <v>355</v>
      </c>
    </row>
    <row r="31154" ht="16.5" customHeight="1">
      <c r="O31154" s="5" t="s">
        <v>355</v>
      </c>
      <c r="P31154" s="5" t="s">
        <v>355</v>
      </c>
      <c r="Q31154" s="5" t="s">
        <v>355</v>
      </c>
    </row>
    <row r="31155" ht="16.5" customHeight="1">
      <c r="O31155" s="5" t="s">
        <v>355</v>
      </c>
      <c r="P31155" s="5" t="s">
        <v>355</v>
      </c>
      <c r="Q31155" s="5" t="s">
        <v>355</v>
      </c>
    </row>
    <row r="31156" ht="16.5" customHeight="1">
      <c r="O31156" s="5" t="s">
        <v>355</v>
      </c>
      <c r="P31156" s="5" t="s">
        <v>355</v>
      </c>
      <c r="Q31156" s="5" t="s">
        <v>355</v>
      </c>
    </row>
    <row r="31157" ht="16.5" customHeight="1">
      <c r="O31157" s="5" t="s">
        <v>355</v>
      </c>
      <c r="P31157" s="5" t="s">
        <v>355</v>
      </c>
      <c r="Q31157" s="5" t="s">
        <v>355</v>
      </c>
    </row>
    <row r="31158" ht="16.5" customHeight="1">
      <c r="O31158" s="5" t="s">
        <v>355</v>
      </c>
      <c r="P31158" s="5" t="s">
        <v>355</v>
      </c>
      <c r="Q31158" s="5" t="s">
        <v>355</v>
      </c>
    </row>
    <row r="31159" ht="16.5" customHeight="1">
      <c r="O31159" s="5" t="s">
        <v>355</v>
      </c>
      <c r="P31159" s="5" t="s">
        <v>355</v>
      </c>
      <c r="Q31159" s="5" t="s">
        <v>355</v>
      </c>
    </row>
    <row r="31160" ht="16.5" customHeight="1">
      <c r="O31160" s="5" t="s">
        <v>355</v>
      </c>
      <c r="P31160" s="5" t="s">
        <v>355</v>
      </c>
      <c r="Q31160" s="5" t="s">
        <v>355</v>
      </c>
    </row>
    <row r="31161" ht="16.5" customHeight="1">
      <c r="O31161" s="5" t="s">
        <v>355</v>
      </c>
      <c r="P31161" s="5" t="s">
        <v>355</v>
      </c>
      <c r="Q31161" s="5" t="s">
        <v>355</v>
      </c>
    </row>
    <row r="31162" ht="16.5" customHeight="1">
      <c r="O31162" s="5" t="s">
        <v>355</v>
      </c>
      <c r="P31162" s="5" t="s">
        <v>355</v>
      </c>
      <c r="Q31162" s="5" t="s">
        <v>355</v>
      </c>
    </row>
    <row r="31163" ht="16.5" customHeight="1">
      <c r="O31163" s="5" t="s">
        <v>355</v>
      </c>
      <c r="P31163" s="5" t="s">
        <v>355</v>
      </c>
      <c r="Q31163" s="5" t="s">
        <v>355</v>
      </c>
    </row>
    <row r="31164" ht="16.5" customHeight="1">
      <c r="O31164" s="5" t="s">
        <v>355</v>
      </c>
      <c r="P31164" s="5" t="s">
        <v>355</v>
      </c>
      <c r="Q31164" s="5" t="s">
        <v>355</v>
      </c>
    </row>
    <row r="31165" ht="16.5" customHeight="1">
      <c r="O31165" s="5" t="s">
        <v>355</v>
      </c>
      <c r="P31165" s="5" t="s">
        <v>355</v>
      </c>
      <c r="Q31165" s="5" t="s">
        <v>355</v>
      </c>
    </row>
    <row r="31166" ht="16.5" customHeight="1">
      <c r="O31166" s="5" t="s">
        <v>355</v>
      </c>
      <c r="P31166" s="5" t="s">
        <v>355</v>
      </c>
      <c r="Q31166" s="5" t="s">
        <v>355</v>
      </c>
    </row>
    <row r="31167" ht="16.5" customHeight="1">
      <c r="O31167" s="5" t="s">
        <v>355</v>
      </c>
      <c r="P31167" s="5" t="s">
        <v>355</v>
      </c>
      <c r="Q31167" s="5" t="s">
        <v>355</v>
      </c>
    </row>
    <row r="31168" ht="16.5" customHeight="1">
      <c r="O31168" s="5" t="s">
        <v>355</v>
      </c>
      <c r="P31168" s="5" t="s">
        <v>355</v>
      </c>
      <c r="Q31168" s="5" t="s">
        <v>355</v>
      </c>
    </row>
    <row r="31169" ht="16.5" customHeight="1">
      <c r="O31169" s="5" t="s">
        <v>355</v>
      </c>
      <c r="P31169" s="5" t="s">
        <v>355</v>
      </c>
      <c r="Q31169" s="5" t="s">
        <v>355</v>
      </c>
    </row>
    <row r="31170" ht="16.5" customHeight="1">
      <c r="O31170" s="5" t="s">
        <v>355</v>
      </c>
      <c r="P31170" s="5" t="s">
        <v>355</v>
      </c>
      <c r="Q31170" s="5" t="s">
        <v>355</v>
      </c>
    </row>
    <row r="31171" ht="16.5" customHeight="1">
      <c r="O31171" s="5" t="s">
        <v>355</v>
      </c>
      <c r="P31171" s="5" t="s">
        <v>355</v>
      </c>
      <c r="Q31171" s="5" t="s">
        <v>355</v>
      </c>
    </row>
    <row r="31172" ht="16.5" customHeight="1">
      <c r="O31172" s="5" t="s">
        <v>355</v>
      </c>
      <c r="P31172" s="5" t="s">
        <v>355</v>
      </c>
      <c r="Q31172" s="5" t="s">
        <v>355</v>
      </c>
    </row>
    <row r="31173" ht="16.5" customHeight="1">
      <c r="O31173" s="5" t="s">
        <v>355</v>
      </c>
      <c r="P31173" s="5" t="s">
        <v>355</v>
      </c>
      <c r="Q31173" s="5" t="s">
        <v>355</v>
      </c>
    </row>
    <row r="31174" ht="16.5" customHeight="1">
      <c r="O31174" s="5" t="s">
        <v>355</v>
      </c>
      <c r="P31174" s="5" t="s">
        <v>355</v>
      </c>
      <c r="Q31174" s="5" t="s">
        <v>355</v>
      </c>
    </row>
    <row r="31175" ht="16.5" customHeight="1">
      <c r="O31175" s="5" t="s">
        <v>355</v>
      </c>
      <c r="P31175" s="5" t="s">
        <v>355</v>
      </c>
      <c r="Q31175" s="5" t="s">
        <v>355</v>
      </c>
    </row>
    <row r="31176" ht="16.5" customHeight="1">
      <c r="O31176" s="5" t="s">
        <v>355</v>
      </c>
      <c r="P31176" s="5" t="s">
        <v>355</v>
      </c>
      <c r="Q31176" s="5" t="s">
        <v>355</v>
      </c>
    </row>
    <row r="31177" ht="16.5" customHeight="1">
      <c r="O31177" s="5" t="s">
        <v>355</v>
      </c>
      <c r="P31177" s="5" t="s">
        <v>355</v>
      </c>
      <c r="Q31177" s="5" t="s">
        <v>355</v>
      </c>
    </row>
    <row r="31178" ht="16.5" customHeight="1">
      <c r="O31178" s="5" t="s">
        <v>355</v>
      </c>
      <c r="P31178" s="5" t="s">
        <v>355</v>
      </c>
      <c r="Q31178" s="5" t="s">
        <v>355</v>
      </c>
    </row>
    <row r="31179" ht="16.5" customHeight="1">
      <c r="O31179" s="5" t="s">
        <v>355</v>
      </c>
      <c r="P31179" s="5" t="s">
        <v>355</v>
      </c>
      <c r="Q31179" s="5" t="s">
        <v>355</v>
      </c>
    </row>
    <row r="31180" ht="16.5" customHeight="1">
      <c r="O31180" s="5" t="s">
        <v>355</v>
      </c>
      <c r="P31180" s="5" t="s">
        <v>355</v>
      </c>
      <c r="Q31180" s="5" t="s">
        <v>355</v>
      </c>
    </row>
    <row r="31181" ht="16.5" customHeight="1">
      <c r="O31181" s="5" t="s">
        <v>355</v>
      </c>
      <c r="P31181" s="5" t="s">
        <v>355</v>
      </c>
      <c r="Q31181" s="5" t="s">
        <v>355</v>
      </c>
    </row>
    <row r="31182" ht="16.5" customHeight="1">
      <c r="O31182" s="5" t="s">
        <v>355</v>
      </c>
      <c r="P31182" s="5" t="s">
        <v>355</v>
      </c>
      <c r="Q31182" s="5" t="s">
        <v>355</v>
      </c>
    </row>
    <row r="31183" ht="16.5" customHeight="1">
      <c r="O31183" s="5" t="s">
        <v>355</v>
      </c>
      <c r="P31183" s="5" t="s">
        <v>355</v>
      </c>
      <c r="Q31183" s="5" t="s">
        <v>355</v>
      </c>
    </row>
    <row r="31184" ht="16.5" customHeight="1">
      <c r="O31184" s="5" t="s">
        <v>355</v>
      </c>
      <c r="P31184" s="5" t="s">
        <v>355</v>
      </c>
      <c r="Q31184" s="5" t="s">
        <v>355</v>
      </c>
    </row>
    <row r="31185" ht="16.5" customHeight="1">
      <c r="O31185" s="5" t="s">
        <v>355</v>
      </c>
      <c r="P31185" s="5" t="s">
        <v>355</v>
      </c>
      <c r="Q31185" s="5" t="s">
        <v>355</v>
      </c>
    </row>
    <row r="31186" ht="16.5" customHeight="1">
      <c r="O31186" s="5" t="s">
        <v>355</v>
      </c>
      <c r="P31186" s="5" t="s">
        <v>355</v>
      </c>
      <c r="Q31186" s="5" t="s">
        <v>355</v>
      </c>
    </row>
    <row r="31187" ht="16.5" customHeight="1">
      <c r="O31187" s="5" t="s">
        <v>355</v>
      </c>
      <c r="P31187" s="5" t="s">
        <v>355</v>
      </c>
      <c r="Q31187" s="5" t="s">
        <v>355</v>
      </c>
    </row>
    <row r="31188" ht="16.5" customHeight="1">
      <c r="O31188" s="5" t="s">
        <v>355</v>
      </c>
      <c r="P31188" s="5" t="s">
        <v>355</v>
      </c>
      <c r="Q31188" s="5" t="s">
        <v>355</v>
      </c>
    </row>
    <row r="31189" ht="16.5" customHeight="1">
      <c r="O31189" s="5" t="s">
        <v>355</v>
      </c>
      <c r="P31189" s="5" t="s">
        <v>355</v>
      </c>
      <c r="Q31189" s="5" t="s">
        <v>355</v>
      </c>
    </row>
    <row r="31190" ht="16.5" customHeight="1">
      <c r="O31190" s="5" t="s">
        <v>355</v>
      </c>
      <c r="P31190" s="5" t="s">
        <v>355</v>
      </c>
      <c r="Q31190" s="5" t="s">
        <v>355</v>
      </c>
    </row>
    <row r="31191" ht="16.5" customHeight="1">
      <c r="O31191" s="5" t="s">
        <v>355</v>
      </c>
      <c r="P31191" s="5" t="s">
        <v>355</v>
      </c>
      <c r="Q31191" s="5" t="s">
        <v>355</v>
      </c>
    </row>
    <row r="31192" ht="16.5" customHeight="1">
      <c r="O31192" s="5" t="s">
        <v>355</v>
      </c>
      <c r="P31192" s="5" t="s">
        <v>355</v>
      </c>
      <c r="Q31192" s="5" t="s">
        <v>355</v>
      </c>
    </row>
    <row r="31193" ht="16.5" customHeight="1">
      <c r="O31193" s="5" t="s">
        <v>355</v>
      </c>
      <c r="P31193" s="5" t="s">
        <v>355</v>
      </c>
      <c r="Q31193" s="5" t="s">
        <v>355</v>
      </c>
    </row>
    <row r="31194" ht="16.5" customHeight="1">
      <c r="O31194" s="5" t="s">
        <v>355</v>
      </c>
      <c r="P31194" s="5" t="s">
        <v>355</v>
      </c>
      <c r="Q31194" s="5" t="s">
        <v>355</v>
      </c>
    </row>
    <row r="31195" ht="16.5" customHeight="1">
      <c r="O31195" s="5" t="s">
        <v>355</v>
      </c>
      <c r="P31195" s="5" t="s">
        <v>355</v>
      </c>
      <c r="Q31195" s="5" t="s">
        <v>355</v>
      </c>
    </row>
    <row r="31196" ht="16.5" customHeight="1">
      <c r="O31196" s="5" t="s">
        <v>355</v>
      </c>
      <c r="P31196" s="5" t="s">
        <v>355</v>
      </c>
      <c r="Q31196" s="5" t="s">
        <v>355</v>
      </c>
    </row>
    <row r="31197" ht="16.5" customHeight="1">
      <c r="O31197" s="5" t="s">
        <v>355</v>
      </c>
      <c r="P31197" s="5" t="s">
        <v>355</v>
      </c>
      <c r="Q31197" s="5" t="s">
        <v>355</v>
      </c>
    </row>
    <row r="31198" ht="16.5" customHeight="1">
      <c r="O31198" s="5" t="s">
        <v>355</v>
      </c>
      <c r="P31198" s="5" t="s">
        <v>355</v>
      </c>
      <c r="Q31198" s="5" t="s">
        <v>355</v>
      </c>
    </row>
    <row r="31199" ht="16.5" customHeight="1">
      <c r="O31199" s="5" t="s">
        <v>355</v>
      </c>
      <c r="P31199" s="5" t="s">
        <v>355</v>
      </c>
      <c r="Q31199" s="5" t="s">
        <v>355</v>
      </c>
    </row>
    <row r="31200" ht="16.5" customHeight="1">
      <c r="O31200" s="5" t="s">
        <v>355</v>
      </c>
      <c r="P31200" s="5" t="s">
        <v>355</v>
      </c>
      <c r="Q31200" s="5" t="s">
        <v>355</v>
      </c>
    </row>
    <row r="31201" ht="16.5" customHeight="1">
      <c r="O31201" s="5" t="s">
        <v>355</v>
      </c>
      <c r="P31201" s="5" t="s">
        <v>355</v>
      </c>
      <c r="Q31201" s="5" t="s">
        <v>355</v>
      </c>
    </row>
    <row r="31202" ht="16.5" customHeight="1">
      <c r="O31202" s="5" t="s">
        <v>355</v>
      </c>
      <c r="P31202" s="5" t="s">
        <v>355</v>
      </c>
      <c r="Q31202" s="5" t="s">
        <v>355</v>
      </c>
    </row>
    <row r="31203" ht="16.5" customHeight="1">
      <c r="O31203" s="5" t="s">
        <v>355</v>
      </c>
      <c r="P31203" s="5" t="s">
        <v>355</v>
      </c>
      <c r="Q31203" s="5" t="s">
        <v>355</v>
      </c>
    </row>
    <row r="31204" ht="16.5" customHeight="1">
      <c r="O31204" s="5" t="s">
        <v>355</v>
      </c>
      <c r="P31204" s="5" t="s">
        <v>355</v>
      </c>
      <c r="Q31204" s="5" t="s">
        <v>355</v>
      </c>
    </row>
    <row r="31205" ht="16.5" customHeight="1">
      <c r="O31205" s="5" t="s">
        <v>355</v>
      </c>
      <c r="P31205" s="5" t="s">
        <v>355</v>
      </c>
      <c r="Q31205" s="5" t="s">
        <v>355</v>
      </c>
    </row>
    <row r="31206" ht="16.5" customHeight="1">
      <c r="O31206" s="5" t="s">
        <v>355</v>
      </c>
      <c r="P31206" s="5" t="s">
        <v>355</v>
      </c>
      <c r="Q31206" s="5" t="s">
        <v>355</v>
      </c>
    </row>
    <row r="31207" ht="16.5" customHeight="1">
      <c r="O31207" s="5" t="s">
        <v>355</v>
      </c>
      <c r="P31207" s="5" t="s">
        <v>355</v>
      </c>
      <c r="Q31207" s="5" t="s">
        <v>355</v>
      </c>
    </row>
    <row r="31208" ht="16.5" customHeight="1">
      <c r="O31208" s="5" t="s">
        <v>355</v>
      </c>
      <c r="P31208" s="5" t="s">
        <v>355</v>
      </c>
      <c r="Q31208" s="5" t="s">
        <v>355</v>
      </c>
    </row>
    <row r="31209" ht="16.5" customHeight="1">
      <c r="O31209" s="5" t="s">
        <v>355</v>
      </c>
      <c r="P31209" s="5" t="s">
        <v>355</v>
      </c>
      <c r="Q31209" s="5" t="s">
        <v>355</v>
      </c>
    </row>
    <row r="31210" ht="16.5" customHeight="1">
      <c r="O31210" s="5" t="s">
        <v>355</v>
      </c>
      <c r="P31210" s="5" t="s">
        <v>355</v>
      </c>
      <c r="Q31210" s="5" t="s">
        <v>355</v>
      </c>
    </row>
    <row r="31211" ht="16.5" customHeight="1">
      <c r="O31211" s="5" t="s">
        <v>355</v>
      </c>
      <c r="P31211" s="5" t="s">
        <v>355</v>
      </c>
      <c r="Q31211" s="5" t="s">
        <v>355</v>
      </c>
    </row>
    <row r="31212" ht="16.5" customHeight="1">
      <c r="O31212" s="5" t="s">
        <v>355</v>
      </c>
      <c r="P31212" s="5" t="s">
        <v>355</v>
      </c>
      <c r="Q31212" s="5" t="s">
        <v>355</v>
      </c>
    </row>
    <row r="31213" ht="16.5" customHeight="1">
      <c r="O31213" s="5" t="s">
        <v>355</v>
      </c>
      <c r="P31213" s="5" t="s">
        <v>355</v>
      </c>
      <c r="Q31213" s="5" t="s">
        <v>355</v>
      </c>
    </row>
    <row r="31214" ht="16.5" customHeight="1">
      <c r="O31214" s="5" t="s">
        <v>355</v>
      </c>
      <c r="P31214" s="5" t="s">
        <v>355</v>
      </c>
      <c r="Q31214" s="5" t="s">
        <v>355</v>
      </c>
    </row>
    <row r="31215" ht="16.5" customHeight="1">
      <c r="O31215" s="5" t="s">
        <v>355</v>
      </c>
      <c r="P31215" s="5" t="s">
        <v>355</v>
      </c>
      <c r="Q31215" s="5" t="s">
        <v>355</v>
      </c>
    </row>
    <row r="31216" ht="16.5" customHeight="1">
      <c r="O31216" s="5" t="s">
        <v>355</v>
      </c>
      <c r="P31216" s="5" t="s">
        <v>355</v>
      </c>
      <c r="Q31216" s="5" t="s">
        <v>355</v>
      </c>
    </row>
    <row r="31217" ht="16.5" customHeight="1">
      <c r="O31217" s="5" t="s">
        <v>355</v>
      </c>
      <c r="P31217" s="5" t="s">
        <v>355</v>
      </c>
      <c r="Q31217" s="5" t="s">
        <v>355</v>
      </c>
    </row>
    <row r="31218" ht="16.5" customHeight="1">
      <c r="O31218" s="5" t="s">
        <v>355</v>
      </c>
      <c r="P31218" s="5" t="s">
        <v>355</v>
      </c>
      <c r="Q31218" s="5" t="s">
        <v>355</v>
      </c>
    </row>
    <row r="31219" ht="16.5" customHeight="1">
      <c r="O31219" s="5" t="s">
        <v>355</v>
      </c>
      <c r="P31219" s="5" t="s">
        <v>355</v>
      </c>
      <c r="Q31219" s="5" t="s">
        <v>355</v>
      </c>
    </row>
    <row r="31220" ht="16.5" customHeight="1">
      <c r="O31220" s="5" t="s">
        <v>355</v>
      </c>
      <c r="P31220" s="5" t="s">
        <v>355</v>
      </c>
      <c r="Q31220" s="5" t="s">
        <v>355</v>
      </c>
    </row>
    <row r="31221" ht="16.5" customHeight="1">
      <c r="O31221" s="5" t="s">
        <v>355</v>
      </c>
      <c r="P31221" s="5" t="s">
        <v>355</v>
      </c>
      <c r="Q31221" s="5" t="s">
        <v>355</v>
      </c>
    </row>
    <row r="31222" ht="16.5" customHeight="1">
      <c r="O31222" s="5" t="s">
        <v>355</v>
      </c>
      <c r="P31222" s="5" t="s">
        <v>355</v>
      </c>
      <c r="Q31222" s="5" t="s">
        <v>355</v>
      </c>
    </row>
    <row r="31223" ht="16.5" customHeight="1">
      <c r="O31223" s="5" t="s">
        <v>355</v>
      </c>
      <c r="P31223" s="5" t="s">
        <v>355</v>
      </c>
      <c r="Q31223" s="5" t="s">
        <v>355</v>
      </c>
    </row>
    <row r="31224" ht="16.5" customHeight="1">
      <c r="O31224" s="5" t="s">
        <v>355</v>
      </c>
      <c r="P31224" s="5" t="s">
        <v>355</v>
      </c>
      <c r="Q31224" s="5" t="s">
        <v>355</v>
      </c>
    </row>
    <row r="31225" ht="16.5" customHeight="1">
      <c r="O31225" s="5" t="s">
        <v>355</v>
      </c>
      <c r="P31225" s="5" t="s">
        <v>355</v>
      </c>
      <c r="Q31225" s="5" t="s">
        <v>355</v>
      </c>
    </row>
    <row r="31226" ht="16.5" customHeight="1">
      <c r="O31226" s="5" t="s">
        <v>355</v>
      </c>
      <c r="P31226" s="5" t="s">
        <v>355</v>
      </c>
      <c r="Q31226" s="5" t="s">
        <v>355</v>
      </c>
    </row>
    <row r="31227" ht="16.5" customHeight="1">
      <c r="O31227" s="5" t="s">
        <v>355</v>
      </c>
      <c r="P31227" s="5" t="s">
        <v>355</v>
      </c>
      <c r="Q31227" s="5" t="s">
        <v>355</v>
      </c>
    </row>
    <row r="31228" ht="16.5" customHeight="1">
      <c r="O31228" s="5" t="s">
        <v>355</v>
      </c>
      <c r="P31228" s="5" t="s">
        <v>355</v>
      </c>
      <c r="Q31228" s="5" t="s">
        <v>355</v>
      </c>
    </row>
    <row r="31229" ht="16.5" customHeight="1">
      <c r="O31229" s="5" t="s">
        <v>355</v>
      </c>
      <c r="P31229" s="5" t="s">
        <v>355</v>
      </c>
      <c r="Q31229" s="5" t="s">
        <v>355</v>
      </c>
    </row>
    <row r="31230" ht="16.5" customHeight="1">
      <c r="O31230" s="5" t="s">
        <v>355</v>
      </c>
      <c r="P31230" s="5" t="s">
        <v>355</v>
      </c>
      <c r="Q31230" s="5" t="s">
        <v>355</v>
      </c>
    </row>
    <row r="31231" ht="16.5" customHeight="1">
      <c r="O31231" s="5" t="s">
        <v>355</v>
      </c>
      <c r="P31231" s="5" t="s">
        <v>355</v>
      </c>
      <c r="Q31231" s="5" t="s">
        <v>355</v>
      </c>
    </row>
    <row r="31232" ht="16.5" customHeight="1">
      <c r="O31232" s="5" t="s">
        <v>355</v>
      </c>
      <c r="P31232" s="5" t="s">
        <v>355</v>
      </c>
      <c r="Q31232" s="5" t="s">
        <v>355</v>
      </c>
    </row>
    <row r="31233" ht="16.5" customHeight="1">
      <c r="O31233" s="5" t="s">
        <v>355</v>
      </c>
      <c r="P31233" s="5" t="s">
        <v>355</v>
      </c>
      <c r="Q31233" s="5" t="s">
        <v>355</v>
      </c>
    </row>
    <row r="31234" ht="16.5" customHeight="1">
      <c r="O31234" s="5" t="s">
        <v>355</v>
      </c>
      <c r="P31234" s="5" t="s">
        <v>355</v>
      </c>
      <c r="Q31234" s="5" t="s">
        <v>355</v>
      </c>
    </row>
    <row r="31235" ht="16.5" customHeight="1">
      <c r="O31235" s="5" t="s">
        <v>355</v>
      </c>
      <c r="P31235" s="5" t="s">
        <v>355</v>
      </c>
      <c r="Q31235" s="5" t="s">
        <v>355</v>
      </c>
    </row>
    <row r="31236" ht="16.5" customHeight="1">
      <c r="O31236" s="5" t="s">
        <v>355</v>
      </c>
      <c r="P31236" s="5" t="s">
        <v>355</v>
      </c>
      <c r="Q31236" s="5" t="s">
        <v>355</v>
      </c>
    </row>
    <row r="31237" ht="16.5" customHeight="1">
      <c r="O31237" s="5" t="s">
        <v>355</v>
      </c>
      <c r="P31237" s="5" t="s">
        <v>355</v>
      </c>
      <c r="Q31237" s="5" t="s">
        <v>355</v>
      </c>
    </row>
    <row r="31238" ht="16.5" customHeight="1">
      <c r="O31238" s="5" t="s">
        <v>355</v>
      </c>
      <c r="P31238" s="5" t="s">
        <v>355</v>
      </c>
      <c r="Q31238" s="5" t="s">
        <v>355</v>
      </c>
    </row>
    <row r="31239" ht="16.5" customHeight="1">
      <c r="O31239" s="5" t="s">
        <v>355</v>
      </c>
      <c r="P31239" s="5" t="s">
        <v>355</v>
      </c>
      <c r="Q31239" s="5" t="s">
        <v>355</v>
      </c>
    </row>
    <row r="31240" ht="16.5" customHeight="1">
      <c r="O31240" s="5" t="s">
        <v>355</v>
      </c>
      <c r="P31240" s="5" t="s">
        <v>355</v>
      </c>
      <c r="Q31240" s="5" t="s">
        <v>355</v>
      </c>
    </row>
    <row r="31241" ht="16.5" customHeight="1">
      <c r="O31241" s="5" t="s">
        <v>355</v>
      </c>
      <c r="P31241" s="5" t="s">
        <v>355</v>
      </c>
      <c r="Q31241" s="5" t="s">
        <v>355</v>
      </c>
    </row>
    <row r="31242" ht="16.5" customHeight="1">
      <c r="O31242" s="5" t="s">
        <v>355</v>
      </c>
      <c r="P31242" s="5" t="s">
        <v>355</v>
      </c>
      <c r="Q31242" s="5" t="s">
        <v>355</v>
      </c>
    </row>
    <row r="31243" ht="16.5" customHeight="1">
      <c r="O31243" s="5" t="s">
        <v>355</v>
      </c>
      <c r="P31243" s="5" t="s">
        <v>355</v>
      </c>
      <c r="Q31243" s="5" t="s">
        <v>355</v>
      </c>
    </row>
    <row r="31244" ht="16.5" customHeight="1">
      <c r="O31244" s="5" t="s">
        <v>355</v>
      </c>
      <c r="P31244" s="5" t="s">
        <v>355</v>
      </c>
      <c r="Q31244" s="5" t="s">
        <v>355</v>
      </c>
    </row>
    <row r="31245" ht="16.5" customHeight="1">
      <c r="O31245" s="5" t="s">
        <v>355</v>
      </c>
      <c r="P31245" s="5" t="s">
        <v>355</v>
      </c>
      <c r="Q31245" s="5" t="s">
        <v>355</v>
      </c>
    </row>
    <row r="31246" ht="16.5" customHeight="1">
      <c r="O31246" s="5" t="s">
        <v>355</v>
      </c>
      <c r="P31246" s="5" t="s">
        <v>355</v>
      </c>
      <c r="Q31246" s="5" t="s">
        <v>355</v>
      </c>
    </row>
    <row r="31247" ht="16.5" customHeight="1">
      <c r="O31247" s="5" t="s">
        <v>355</v>
      </c>
      <c r="P31247" s="5" t="s">
        <v>355</v>
      </c>
      <c r="Q31247" s="5" t="s">
        <v>355</v>
      </c>
    </row>
    <row r="31248" ht="16.5" customHeight="1">
      <c r="O31248" s="5" t="s">
        <v>355</v>
      </c>
      <c r="P31248" s="5" t="s">
        <v>355</v>
      </c>
      <c r="Q31248" s="5" t="s">
        <v>355</v>
      </c>
    </row>
    <row r="31249" ht="16.5" customHeight="1">
      <c r="O31249" s="5" t="s">
        <v>355</v>
      </c>
      <c r="P31249" s="5" t="s">
        <v>355</v>
      </c>
      <c r="Q31249" s="5" t="s">
        <v>355</v>
      </c>
    </row>
    <row r="31250" ht="16.5" customHeight="1">
      <c r="O31250" s="5" t="s">
        <v>355</v>
      </c>
      <c r="P31250" s="5" t="s">
        <v>355</v>
      </c>
      <c r="Q31250" s="5" t="s">
        <v>355</v>
      </c>
    </row>
    <row r="31251" ht="16.5" customHeight="1">
      <c r="O31251" s="5" t="s">
        <v>355</v>
      </c>
      <c r="P31251" s="5" t="s">
        <v>355</v>
      </c>
      <c r="Q31251" s="5" t="s">
        <v>355</v>
      </c>
    </row>
    <row r="31252" ht="16.5" customHeight="1">
      <c r="O31252" s="5" t="s">
        <v>355</v>
      </c>
      <c r="P31252" s="5" t="s">
        <v>355</v>
      </c>
      <c r="Q31252" s="5" t="s">
        <v>355</v>
      </c>
    </row>
    <row r="31253" ht="16.5" customHeight="1">
      <c r="O31253" s="5" t="s">
        <v>355</v>
      </c>
      <c r="P31253" s="5" t="s">
        <v>355</v>
      </c>
      <c r="Q31253" s="5" t="s">
        <v>355</v>
      </c>
    </row>
    <row r="31254" ht="16.5" customHeight="1">
      <c r="O31254" s="5" t="s">
        <v>355</v>
      </c>
      <c r="P31254" s="5" t="s">
        <v>355</v>
      </c>
      <c r="Q31254" s="5" t="s">
        <v>355</v>
      </c>
    </row>
    <row r="31255" ht="16.5" customHeight="1">
      <c r="O31255" s="5" t="s">
        <v>355</v>
      </c>
      <c r="P31255" s="5" t="s">
        <v>355</v>
      </c>
      <c r="Q31255" s="5" t="s">
        <v>355</v>
      </c>
    </row>
    <row r="31256" ht="16.5" customHeight="1">
      <c r="O31256" s="5" t="s">
        <v>355</v>
      </c>
      <c r="P31256" s="5" t="s">
        <v>355</v>
      </c>
      <c r="Q31256" s="5" t="s">
        <v>355</v>
      </c>
    </row>
    <row r="31257" ht="16.5" customHeight="1">
      <c r="O31257" s="5" t="s">
        <v>355</v>
      </c>
      <c r="P31257" s="5" t="s">
        <v>355</v>
      </c>
      <c r="Q31257" s="5" t="s">
        <v>355</v>
      </c>
    </row>
    <row r="31258" ht="16.5" customHeight="1">
      <c r="O31258" s="5" t="s">
        <v>355</v>
      </c>
      <c r="P31258" s="5" t="s">
        <v>355</v>
      </c>
      <c r="Q31258" s="5" t="s">
        <v>355</v>
      </c>
    </row>
    <row r="31259" ht="16.5" customHeight="1">
      <c r="O31259" s="5" t="s">
        <v>355</v>
      </c>
      <c r="P31259" s="5" t="s">
        <v>355</v>
      </c>
      <c r="Q31259" s="5" t="s">
        <v>355</v>
      </c>
    </row>
    <row r="31260" ht="16.5" customHeight="1">
      <c r="O31260" s="5" t="s">
        <v>355</v>
      </c>
      <c r="P31260" s="5" t="s">
        <v>355</v>
      </c>
      <c r="Q31260" s="5" t="s">
        <v>355</v>
      </c>
    </row>
    <row r="31261" ht="16.5" customHeight="1">
      <c r="O31261" s="5" t="s">
        <v>355</v>
      </c>
      <c r="P31261" s="5" t="s">
        <v>355</v>
      </c>
      <c r="Q31261" s="5" t="s">
        <v>355</v>
      </c>
    </row>
    <row r="31262" ht="16.5" customHeight="1">
      <c r="O31262" s="5" t="s">
        <v>355</v>
      </c>
      <c r="P31262" s="5" t="s">
        <v>355</v>
      </c>
      <c r="Q31262" s="5" t="s">
        <v>355</v>
      </c>
    </row>
    <row r="31263" ht="16.5" customHeight="1">
      <c r="O31263" s="5" t="s">
        <v>355</v>
      </c>
      <c r="P31263" s="5" t="s">
        <v>355</v>
      </c>
      <c r="Q31263" s="5" t="s">
        <v>355</v>
      </c>
    </row>
    <row r="31264" ht="16.5" customHeight="1">
      <c r="O31264" s="5" t="s">
        <v>355</v>
      </c>
      <c r="P31264" s="5" t="s">
        <v>355</v>
      </c>
      <c r="Q31264" s="5" t="s">
        <v>355</v>
      </c>
    </row>
    <row r="31265" ht="16.5" customHeight="1">
      <c r="O31265" s="5" t="s">
        <v>355</v>
      </c>
      <c r="P31265" s="5" t="s">
        <v>355</v>
      </c>
      <c r="Q31265" s="5" t="s">
        <v>355</v>
      </c>
    </row>
    <row r="31266" ht="16.5" customHeight="1">
      <c r="O31266" s="5" t="s">
        <v>355</v>
      </c>
      <c r="P31266" s="5" t="s">
        <v>355</v>
      </c>
      <c r="Q31266" s="5" t="s">
        <v>355</v>
      </c>
    </row>
    <row r="31267" ht="16.5" customHeight="1">
      <c r="O31267" s="5" t="s">
        <v>355</v>
      </c>
      <c r="P31267" s="5" t="s">
        <v>355</v>
      </c>
      <c r="Q31267" s="5" t="s">
        <v>355</v>
      </c>
    </row>
    <row r="31268" ht="16.5" customHeight="1">
      <c r="O31268" s="5" t="s">
        <v>355</v>
      </c>
      <c r="P31268" s="5" t="s">
        <v>355</v>
      </c>
      <c r="Q31268" s="5" t="s">
        <v>355</v>
      </c>
    </row>
    <row r="31269" ht="16.5" customHeight="1">
      <c r="O31269" s="5" t="s">
        <v>355</v>
      </c>
      <c r="P31269" s="5" t="s">
        <v>355</v>
      </c>
      <c r="Q31269" s="5" t="s">
        <v>355</v>
      </c>
    </row>
    <row r="31270" ht="16.5" customHeight="1">
      <c r="O31270" s="5" t="s">
        <v>355</v>
      </c>
      <c r="P31270" s="5" t="s">
        <v>355</v>
      </c>
      <c r="Q31270" s="5" t="s">
        <v>355</v>
      </c>
    </row>
    <row r="31271" ht="16.5" customHeight="1">
      <c r="O31271" s="5" t="s">
        <v>355</v>
      </c>
      <c r="P31271" s="5" t="s">
        <v>355</v>
      </c>
      <c r="Q31271" s="5" t="s">
        <v>355</v>
      </c>
    </row>
    <row r="31272" ht="16.5" customHeight="1">
      <c r="O31272" s="5" t="s">
        <v>355</v>
      </c>
      <c r="P31272" s="5" t="s">
        <v>355</v>
      </c>
      <c r="Q31272" s="5" t="s">
        <v>355</v>
      </c>
    </row>
    <row r="31273" ht="16.5" customHeight="1">
      <c r="O31273" s="5" t="s">
        <v>355</v>
      </c>
      <c r="P31273" s="5" t="s">
        <v>355</v>
      </c>
      <c r="Q31273" s="5" t="s">
        <v>355</v>
      </c>
    </row>
    <row r="31274" ht="16.5" customHeight="1">
      <c r="O31274" s="5" t="s">
        <v>355</v>
      </c>
      <c r="P31274" s="5" t="s">
        <v>355</v>
      </c>
      <c r="Q31274" s="5" t="s">
        <v>355</v>
      </c>
    </row>
    <row r="31275" ht="16.5" customHeight="1">
      <c r="O31275" s="5" t="s">
        <v>355</v>
      </c>
      <c r="P31275" s="5" t="s">
        <v>355</v>
      </c>
      <c r="Q31275" s="5" t="s">
        <v>355</v>
      </c>
    </row>
    <row r="31276" ht="16.5" customHeight="1">
      <c r="O31276" s="5" t="s">
        <v>355</v>
      </c>
      <c r="P31276" s="5" t="s">
        <v>355</v>
      </c>
      <c r="Q31276" s="5" t="s">
        <v>355</v>
      </c>
    </row>
    <row r="31277" ht="16.5" customHeight="1">
      <c r="O31277" s="5" t="s">
        <v>355</v>
      </c>
      <c r="P31277" s="5" t="s">
        <v>355</v>
      </c>
      <c r="Q31277" s="5" t="s">
        <v>355</v>
      </c>
    </row>
    <row r="31278" ht="16.5" customHeight="1">
      <c r="O31278" s="5" t="s">
        <v>355</v>
      </c>
      <c r="P31278" s="5" t="s">
        <v>355</v>
      </c>
      <c r="Q31278" s="5" t="s">
        <v>355</v>
      </c>
    </row>
    <row r="31279" ht="16.5" customHeight="1">
      <c r="O31279" s="5" t="s">
        <v>355</v>
      </c>
      <c r="P31279" s="5" t="s">
        <v>355</v>
      </c>
      <c r="Q31279" s="5" t="s">
        <v>355</v>
      </c>
    </row>
    <row r="31280" ht="16.5" customHeight="1">
      <c r="O31280" s="5" t="s">
        <v>355</v>
      </c>
      <c r="P31280" s="5" t="s">
        <v>355</v>
      </c>
      <c r="Q31280" s="5" t="s">
        <v>355</v>
      </c>
    </row>
    <row r="31281" ht="16.5" customHeight="1">
      <c r="O31281" s="5" t="s">
        <v>355</v>
      </c>
      <c r="P31281" s="5" t="s">
        <v>355</v>
      </c>
      <c r="Q31281" s="5" t="s">
        <v>355</v>
      </c>
    </row>
    <row r="31282" ht="16.5" customHeight="1">
      <c r="O31282" s="5" t="s">
        <v>355</v>
      </c>
      <c r="P31282" s="5" t="s">
        <v>355</v>
      </c>
      <c r="Q31282" s="5" t="s">
        <v>355</v>
      </c>
    </row>
    <row r="31283" ht="16.5" customHeight="1">
      <c r="O31283" s="5" t="s">
        <v>355</v>
      </c>
      <c r="P31283" s="5" t="s">
        <v>355</v>
      </c>
      <c r="Q31283" s="5" t="s">
        <v>355</v>
      </c>
    </row>
    <row r="31284" ht="16.5" customHeight="1">
      <c r="O31284" s="5" t="s">
        <v>355</v>
      </c>
      <c r="P31284" s="5" t="s">
        <v>355</v>
      </c>
      <c r="Q31284" s="5" t="s">
        <v>355</v>
      </c>
    </row>
    <row r="31285" ht="16.5" customHeight="1">
      <c r="O31285" s="5" t="s">
        <v>355</v>
      </c>
      <c r="P31285" s="5" t="s">
        <v>355</v>
      </c>
      <c r="Q31285" s="5" t="s">
        <v>355</v>
      </c>
    </row>
    <row r="31286" ht="16.5" customHeight="1">
      <c r="O31286" s="5" t="s">
        <v>355</v>
      </c>
      <c r="P31286" s="5" t="s">
        <v>355</v>
      </c>
      <c r="Q31286" s="5" t="s">
        <v>355</v>
      </c>
    </row>
    <row r="31287" ht="16.5" customHeight="1">
      <c r="O31287" s="5" t="s">
        <v>355</v>
      </c>
      <c r="P31287" s="5" t="s">
        <v>355</v>
      </c>
      <c r="Q31287" s="5" t="s">
        <v>355</v>
      </c>
    </row>
    <row r="31288" ht="16.5" customHeight="1">
      <c r="O31288" s="5" t="s">
        <v>355</v>
      </c>
      <c r="P31288" s="5" t="s">
        <v>355</v>
      </c>
      <c r="Q31288" s="5" t="s">
        <v>355</v>
      </c>
    </row>
    <row r="31289" ht="16.5" customHeight="1">
      <c r="O31289" s="5" t="s">
        <v>355</v>
      </c>
      <c r="P31289" s="5" t="s">
        <v>355</v>
      </c>
      <c r="Q31289" s="5" t="s">
        <v>355</v>
      </c>
    </row>
    <row r="31290" ht="16.5" customHeight="1">
      <c r="O31290" s="5" t="s">
        <v>355</v>
      </c>
      <c r="P31290" s="5" t="s">
        <v>355</v>
      </c>
      <c r="Q31290" s="5" t="s">
        <v>355</v>
      </c>
    </row>
    <row r="31291" ht="16.5" customHeight="1">
      <c r="O31291" s="5" t="s">
        <v>355</v>
      </c>
      <c r="P31291" s="5" t="s">
        <v>355</v>
      </c>
      <c r="Q31291" s="5" t="s">
        <v>355</v>
      </c>
    </row>
    <row r="31292" ht="16.5" customHeight="1">
      <c r="O31292" s="5" t="s">
        <v>355</v>
      </c>
      <c r="P31292" s="5" t="s">
        <v>355</v>
      </c>
      <c r="Q31292" s="5" t="s">
        <v>355</v>
      </c>
    </row>
    <row r="31293" ht="16.5" customHeight="1">
      <c r="O31293" s="5" t="s">
        <v>355</v>
      </c>
      <c r="P31293" s="5" t="s">
        <v>355</v>
      </c>
      <c r="Q31293" s="5" t="s">
        <v>355</v>
      </c>
    </row>
    <row r="31294" ht="16.5" customHeight="1">
      <c r="O31294" s="5" t="s">
        <v>355</v>
      </c>
      <c r="P31294" s="5" t="s">
        <v>355</v>
      </c>
      <c r="Q31294" s="5" t="s">
        <v>355</v>
      </c>
    </row>
    <row r="31295" ht="16.5" customHeight="1">
      <c r="O31295" s="5" t="s">
        <v>355</v>
      </c>
      <c r="P31295" s="5" t="s">
        <v>355</v>
      </c>
      <c r="Q31295" s="5" t="s">
        <v>355</v>
      </c>
    </row>
    <row r="31296" ht="16.5" customHeight="1">
      <c r="O31296" s="5" t="s">
        <v>355</v>
      </c>
      <c r="P31296" s="5" t="s">
        <v>355</v>
      </c>
      <c r="Q31296" s="5" t="s">
        <v>355</v>
      </c>
    </row>
    <row r="31297" ht="16.5" customHeight="1">
      <c r="O31297" s="5" t="s">
        <v>355</v>
      </c>
      <c r="P31297" s="5" t="s">
        <v>355</v>
      </c>
      <c r="Q31297" s="5" t="s">
        <v>355</v>
      </c>
    </row>
    <row r="31298" ht="16.5" customHeight="1">
      <c r="O31298" s="5" t="s">
        <v>355</v>
      </c>
      <c r="P31298" s="5" t="s">
        <v>355</v>
      </c>
      <c r="Q31298" s="5" t="s">
        <v>355</v>
      </c>
    </row>
    <row r="31299" ht="16.5" customHeight="1">
      <c r="O31299" s="5" t="s">
        <v>355</v>
      </c>
      <c r="P31299" s="5" t="s">
        <v>355</v>
      </c>
      <c r="Q31299" s="5" t="s">
        <v>355</v>
      </c>
    </row>
    <row r="31300" ht="16.5" customHeight="1">
      <c r="O31300" s="5" t="s">
        <v>355</v>
      </c>
      <c r="P31300" s="5" t="s">
        <v>355</v>
      </c>
      <c r="Q31300" s="5" t="s">
        <v>355</v>
      </c>
    </row>
    <row r="31301" ht="16.5" customHeight="1">
      <c r="O31301" s="5" t="s">
        <v>355</v>
      </c>
      <c r="P31301" s="5" t="s">
        <v>355</v>
      </c>
      <c r="Q31301" s="5" t="s">
        <v>355</v>
      </c>
    </row>
    <row r="31302" ht="16.5" customHeight="1">
      <c r="O31302" s="5" t="s">
        <v>355</v>
      </c>
      <c r="P31302" s="5" t="s">
        <v>355</v>
      </c>
      <c r="Q31302" s="5" t="s">
        <v>355</v>
      </c>
    </row>
    <row r="31303" ht="16.5" customHeight="1">
      <c r="O31303" s="5" t="s">
        <v>355</v>
      </c>
      <c r="P31303" s="5" t="s">
        <v>355</v>
      </c>
      <c r="Q31303" s="5" t="s">
        <v>355</v>
      </c>
    </row>
    <row r="31304" ht="16.5" customHeight="1">
      <c r="O31304" s="5" t="s">
        <v>355</v>
      </c>
      <c r="P31304" s="5" t="s">
        <v>355</v>
      </c>
      <c r="Q31304" s="5" t="s">
        <v>355</v>
      </c>
    </row>
    <row r="31305" ht="16.5" customHeight="1">
      <c r="O31305" s="5" t="s">
        <v>355</v>
      </c>
      <c r="P31305" s="5" t="s">
        <v>355</v>
      </c>
      <c r="Q31305" s="5" t="s">
        <v>355</v>
      </c>
    </row>
    <row r="31306" ht="16.5" customHeight="1">
      <c r="O31306" s="5" t="s">
        <v>355</v>
      </c>
      <c r="P31306" s="5" t="s">
        <v>355</v>
      </c>
      <c r="Q31306" s="5" t="s">
        <v>355</v>
      </c>
    </row>
    <row r="31307" ht="16.5" customHeight="1">
      <c r="O31307" s="5" t="s">
        <v>355</v>
      </c>
      <c r="P31307" s="5" t="s">
        <v>355</v>
      </c>
      <c r="Q31307" s="5" t="s">
        <v>355</v>
      </c>
    </row>
    <row r="31308" ht="16.5" customHeight="1">
      <c r="O31308" s="5" t="s">
        <v>355</v>
      </c>
      <c r="P31308" s="5" t="s">
        <v>355</v>
      </c>
      <c r="Q31308" s="5" t="s">
        <v>355</v>
      </c>
    </row>
    <row r="31309" ht="16.5" customHeight="1">
      <c r="O31309" s="5" t="s">
        <v>355</v>
      </c>
      <c r="P31309" s="5" t="s">
        <v>355</v>
      </c>
      <c r="Q31309" s="5" t="s">
        <v>355</v>
      </c>
    </row>
    <row r="31310" ht="16.5" customHeight="1">
      <c r="O31310" s="5" t="s">
        <v>355</v>
      </c>
      <c r="P31310" s="5" t="s">
        <v>355</v>
      </c>
      <c r="Q31310" s="5" t="s">
        <v>355</v>
      </c>
    </row>
    <row r="31311" ht="16.5" customHeight="1">
      <c r="O31311" s="5" t="s">
        <v>355</v>
      </c>
      <c r="P31311" s="5" t="s">
        <v>355</v>
      </c>
      <c r="Q31311" s="5" t="s">
        <v>355</v>
      </c>
    </row>
    <row r="31312" ht="16.5" customHeight="1">
      <c r="O31312" s="5" t="s">
        <v>355</v>
      </c>
      <c r="P31312" s="5" t="s">
        <v>355</v>
      </c>
      <c r="Q31312" s="5" t="s">
        <v>355</v>
      </c>
    </row>
    <row r="31313" ht="16.5" customHeight="1">
      <c r="O31313" s="5" t="s">
        <v>355</v>
      </c>
      <c r="P31313" s="5" t="s">
        <v>355</v>
      </c>
      <c r="Q31313" s="5" t="s">
        <v>355</v>
      </c>
    </row>
    <row r="31314" ht="16.5" customHeight="1">
      <c r="O31314" s="5" t="s">
        <v>355</v>
      </c>
      <c r="P31314" s="5" t="s">
        <v>355</v>
      </c>
      <c r="Q31314" s="5" t="s">
        <v>355</v>
      </c>
    </row>
    <row r="31315" ht="16.5" customHeight="1">
      <c r="O31315" s="5" t="s">
        <v>355</v>
      </c>
      <c r="P31315" s="5" t="s">
        <v>355</v>
      </c>
      <c r="Q31315" s="5" t="s">
        <v>355</v>
      </c>
    </row>
    <row r="31316" ht="16.5" customHeight="1">
      <c r="O31316" s="5" t="s">
        <v>355</v>
      </c>
      <c r="P31316" s="5" t="s">
        <v>355</v>
      </c>
      <c r="Q31316" s="5" t="s">
        <v>355</v>
      </c>
    </row>
    <row r="31317" ht="16.5" customHeight="1">
      <c r="O31317" s="5" t="s">
        <v>355</v>
      </c>
      <c r="P31317" s="5" t="s">
        <v>355</v>
      </c>
      <c r="Q31317" s="5" t="s">
        <v>355</v>
      </c>
    </row>
    <row r="31318" ht="16.5" customHeight="1">
      <c r="O31318" s="5" t="s">
        <v>355</v>
      </c>
      <c r="P31318" s="5" t="s">
        <v>355</v>
      </c>
      <c r="Q31318" s="5" t="s">
        <v>355</v>
      </c>
    </row>
    <row r="31319" ht="16.5" customHeight="1">
      <c r="O31319" s="5" t="s">
        <v>355</v>
      </c>
      <c r="P31319" s="5" t="s">
        <v>355</v>
      </c>
      <c r="Q31319" s="5" t="s">
        <v>355</v>
      </c>
    </row>
    <row r="31320" ht="16.5" customHeight="1">
      <c r="O31320" s="5" t="s">
        <v>355</v>
      </c>
      <c r="P31320" s="5" t="s">
        <v>355</v>
      </c>
      <c r="Q31320" s="5" t="s">
        <v>355</v>
      </c>
    </row>
    <row r="31321" ht="16.5" customHeight="1">
      <c r="O31321" s="5" t="s">
        <v>355</v>
      </c>
      <c r="P31321" s="5" t="s">
        <v>355</v>
      </c>
      <c r="Q31321" s="5" t="s">
        <v>355</v>
      </c>
    </row>
    <row r="31322" ht="16.5" customHeight="1">
      <c r="O31322" s="5" t="s">
        <v>355</v>
      </c>
      <c r="P31322" s="5" t="s">
        <v>355</v>
      </c>
      <c r="Q31322" s="5" t="s">
        <v>355</v>
      </c>
    </row>
    <row r="31323" ht="16.5" customHeight="1">
      <c r="O31323" s="5" t="s">
        <v>355</v>
      </c>
      <c r="P31323" s="5" t="s">
        <v>355</v>
      </c>
      <c r="Q31323" s="5" t="s">
        <v>355</v>
      </c>
    </row>
    <row r="31324" ht="16.5" customHeight="1">
      <c r="O31324" s="5" t="s">
        <v>355</v>
      </c>
      <c r="P31324" s="5" t="s">
        <v>355</v>
      </c>
      <c r="Q31324" s="5" t="s">
        <v>355</v>
      </c>
    </row>
    <row r="31325" ht="16.5" customHeight="1">
      <c r="O31325" s="5" t="s">
        <v>355</v>
      </c>
      <c r="P31325" s="5" t="s">
        <v>355</v>
      </c>
      <c r="Q31325" s="5" t="s">
        <v>355</v>
      </c>
    </row>
    <row r="31326" ht="16.5" customHeight="1">
      <c r="O31326" s="5" t="s">
        <v>355</v>
      </c>
      <c r="P31326" s="5" t="s">
        <v>355</v>
      </c>
      <c r="Q31326" s="5" t="s">
        <v>355</v>
      </c>
    </row>
    <row r="31327" ht="16.5" customHeight="1">
      <c r="O31327" s="5" t="s">
        <v>355</v>
      </c>
      <c r="P31327" s="5" t="s">
        <v>355</v>
      </c>
      <c r="Q31327" s="5" t="s">
        <v>355</v>
      </c>
    </row>
    <row r="31328" ht="16.5" customHeight="1">
      <c r="O31328" s="5" t="s">
        <v>355</v>
      </c>
      <c r="P31328" s="5" t="s">
        <v>355</v>
      </c>
      <c r="Q31328" s="5" t="s">
        <v>355</v>
      </c>
    </row>
    <row r="31329" ht="16.5" customHeight="1">
      <c r="O31329" s="5" t="s">
        <v>355</v>
      </c>
      <c r="P31329" s="5" t="s">
        <v>355</v>
      </c>
      <c r="Q31329" s="5" t="s">
        <v>355</v>
      </c>
    </row>
    <row r="31330" ht="16.5" customHeight="1">
      <c r="O31330" s="5" t="s">
        <v>355</v>
      </c>
      <c r="P31330" s="5" t="s">
        <v>355</v>
      </c>
      <c r="Q31330" s="5" t="s">
        <v>355</v>
      </c>
    </row>
    <row r="31331" ht="16.5" customHeight="1">
      <c r="O31331" s="5" t="s">
        <v>355</v>
      </c>
      <c r="P31331" s="5" t="s">
        <v>355</v>
      </c>
      <c r="Q31331" s="5" t="s">
        <v>355</v>
      </c>
    </row>
    <row r="31332" ht="16.5" customHeight="1">
      <c r="O31332" s="5" t="s">
        <v>355</v>
      </c>
      <c r="P31332" s="5" t="s">
        <v>355</v>
      </c>
      <c r="Q31332" s="5" t="s">
        <v>355</v>
      </c>
    </row>
    <row r="31333" ht="16.5" customHeight="1">
      <c r="O31333" s="5" t="s">
        <v>355</v>
      </c>
      <c r="P31333" s="5" t="s">
        <v>355</v>
      </c>
      <c r="Q31333" s="5" t="s">
        <v>355</v>
      </c>
    </row>
    <row r="31334" ht="16.5" customHeight="1">
      <c r="O31334" s="5" t="s">
        <v>355</v>
      </c>
      <c r="P31334" s="5" t="s">
        <v>355</v>
      </c>
      <c r="Q31334" s="5" t="s">
        <v>355</v>
      </c>
    </row>
    <row r="31335" ht="16.5" customHeight="1">
      <c r="O31335" s="5" t="s">
        <v>355</v>
      </c>
      <c r="P31335" s="5" t="s">
        <v>355</v>
      </c>
      <c r="Q31335" s="5" t="s">
        <v>355</v>
      </c>
    </row>
    <row r="31336" ht="16.5" customHeight="1">
      <c r="O31336" s="5" t="s">
        <v>355</v>
      </c>
      <c r="P31336" s="5" t="s">
        <v>355</v>
      </c>
      <c r="Q31336" s="5" t="s">
        <v>355</v>
      </c>
    </row>
    <row r="31337" ht="16.5" customHeight="1">
      <c r="O31337" s="5" t="s">
        <v>355</v>
      </c>
      <c r="P31337" s="5" t="s">
        <v>355</v>
      </c>
      <c r="Q31337" s="5" t="s">
        <v>355</v>
      </c>
    </row>
    <row r="31338" ht="16.5" customHeight="1">
      <c r="O31338" s="5" t="s">
        <v>355</v>
      </c>
      <c r="P31338" s="5" t="s">
        <v>355</v>
      </c>
      <c r="Q31338" s="5" t="s">
        <v>355</v>
      </c>
    </row>
    <row r="31339" ht="16.5" customHeight="1">
      <c r="O31339" s="5" t="s">
        <v>355</v>
      </c>
      <c r="P31339" s="5" t="s">
        <v>355</v>
      </c>
      <c r="Q31339" s="5" t="s">
        <v>355</v>
      </c>
    </row>
    <row r="31340" ht="16.5" customHeight="1">
      <c r="O31340" s="5" t="s">
        <v>355</v>
      </c>
      <c r="P31340" s="5" t="s">
        <v>355</v>
      </c>
      <c r="Q31340" s="5" t="s">
        <v>355</v>
      </c>
    </row>
    <row r="31341" ht="16.5" customHeight="1">
      <c r="O31341" s="5" t="s">
        <v>355</v>
      </c>
      <c r="P31341" s="5" t="s">
        <v>355</v>
      </c>
      <c r="Q31341" s="5" t="s">
        <v>355</v>
      </c>
    </row>
    <row r="31342" ht="16.5" customHeight="1">
      <c r="O31342" s="5" t="s">
        <v>355</v>
      </c>
      <c r="P31342" s="5" t="s">
        <v>355</v>
      </c>
      <c r="Q31342" s="5" t="s">
        <v>355</v>
      </c>
    </row>
    <row r="31343" ht="16.5" customHeight="1">
      <c r="O31343" s="5" t="s">
        <v>355</v>
      </c>
      <c r="P31343" s="5" t="s">
        <v>355</v>
      </c>
      <c r="Q31343" s="5" t="s">
        <v>355</v>
      </c>
    </row>
    <row r="31344" ht="16.5" customHeight="1">
      <c r="O31344" s="5" t="s">
        <v>355</v>
      </c>
      <c r="P31344" s="5" t="s">
        <v>355</v>
      </c>
      <c r="Q31344" s="5" t="s">
        <v>355</v>
      </c>
    </row>
    <row r="31345" ht="16.5" customHeight="1">
      <c r="O31345" s="5" t="s">
        <v>355</v>
      </c>
      <c r="P31345" s="5" t="s">
        <v>355</v>
      </c>
      <c r="Q31345" s="5" t="s">
        <v>355</v>
      </c>
    </row>
    <row r="31346" ht="16.5" customHeight="1">
      <c r="O31346" s="5" t="s">
        <v>355</v>
      </c>
      <c r="P31346" s="5" t="s">
        <v>355</v>
      </c>
      <c r="Q31346" s="5" t="s">
        <v>355</v>
      </c>
    </row>
    <row r="31347" ht="16.5" customHeight="1">
      <c r="O31347" s="5" t="s">
        <v>355</v>
      </c>
      <c r="P31347" s="5" t="s">
        <v>355</v>
      </c>
      <c r="Q31347" s="5" t="s">
        <v>355</v>
      </c>
    </row>
    <row r="31348" ht="16.5" customHeight="1">
      <c r="O31348" s="5" t="s">
        <v>355</v>
      </c>
      <c r="P31348" s="5" t="s">
        <v>355</v>
      </c>
      <c r="Q31348" s="5" t="s">
        <v>355</v>
      </c>
    </row>
    <row r="31349" ht="16.5" customHeight="1">
      <c r="O31349" s="5" t="s">
        <v>355</v>
      </c>
      <c r="P31349" s="5" t="s">
        <v>355</v>
      </c>
      <c r="Q31349" s="5" t="s">
        <v>355</v>
      </c>
    </row>
    <row r="31350" ht="16.5" customHeight="1">
      <c r="O31350" s="5" t="s">
        <v>355</v>
      </c>
      <c r="P31350" s="5" t="s">
        <v>355</v>
      </c>
      <c r="Q31350" s="5" t="s">
        <v>355</v>
      </c>
    </row>
    <row r="31351" ht="16.5" customHeight="1">
      <c r="O31351" s="5" t="s">
        <v>355</v>
      </c>
      <c r="P31351" s="5" t="s">
        <v>355</v>
      </c>
      <c r="Q31351" s="5" t="s">
        <v>355</v>
      </c>
    </row>
    <row r="31352" ht="16.5" customHeight="1">
      <c r="O31352" s="5" t="s">
        <v>355</v>
      </c>
      <c r="P31352" s="5" t="s">
        <v>355</v>
      </c>
      <c r="Q31352" s="5" t="s">
        <v>355</v>
      </c>
    </row>
    <row r="31353" ht="16.5" customHeight="1">
      <c r="O31353" s="5" t="s">
        <v>355</v>
      </c>
      <c r="P31353" s="5" t="s">
        <v>355</v>
      </c>
      <c r="Q31353" s="5" t="s">
        <v>355</v>
      </c>
    </row>
    <row r="31354" ht="16.5" customHeight="1">
      <c r="O31354" s="5" t="s">
        <v>355</v>
      </c>
      <c r="P31354" s="5" t="s">
        <v>355</v>
      </c>
      <c r="Q31354" s="5" t="s">
        <v>355</v>
      </c>
    </row>
    <row r="31355" ht="16.5" customHeight="1">
      <c r="O31355" s="5" t="s">
        <v>355</v>
      </c>
      <c r="P31355" s="5" t="s">
        <v>355</v>
      </c>
      <c r="Q31355" s="5" t="s">
        <v>355</v>
      </c>
    </row>
    <row r="31356" ht="16.5" customHeight="1">
      <c r="O31356" s="5" t="s">
        <v>355</v>
      </c>
      <c r="P31356" s="5" t="s">
        <v>355</v>
      </c>
      <c r="Q31356" s="5" t="s">
        <v>355</v>
      </c>
    </row>
    <row r="31357" ht="16.5" customHeight="1">
      <c r="O31357" s="5" t="s">
        <v>355</v>
      </c>
      <c r="P31357" s="5" t="s">
        <v>355</v>
      </c>
      <c r="Q31357" s="5" t="s">
        <v>355</v>
      </c>
    </row>
    <row r="31358" ht="16.5" customHeight="1">
      <c r="O31358" s="5" t="s">
        <v>355</v>
      </c>
      <c r="P31358" s="5" t="s">
        <v>355</v>
      </c>
      <c r="Q31358" s="5" t="s">
        <v>355</v>
      </c>
    </row>
    <row r="31359" ht="16.5" customHeight="1">
      <c r="O31359" s="5" t="s">
        <v>355</v>
      </c>
      <c r="P31359" s="5" t="s">
        <v>355</v>
      </c>
      <c r="Q31359" s="5" t="s">
        <v>355</v>
      </c>
    </row>
    <row r="31360" ht="16.5" customHeight="1">
      <c r="O31360" s="5" t="s">
        <v>355</v>
      </c>
      <c r="P31360" s="5" t="s">
        <v>355</v>
      </c>
      <c r="Q31360" s="5" t="s">
        <v>355</v>
      </c>
    </row>
    <row r="31361" ht="16.5" customHeight="1">
      <c r="O31361" s="5" t="s">
        <v>355</v>
      </c>
      <c r="P31361" s="5" t="s">
        <v>355</v>
      </c>
      <c r="Q31361" s="5" t="s">
        <v>355</v>
      </c>
    </row>
    <row r="31362" ht="16.5" customHeight="1">
      <c r="O31362" s="5" t="s">
        <v>355</v>
      </c>
      <c r="P31362" s="5" t="s">
        <v>355</v>
      </c>
      <c r="Q31362" s="5" t="s">
        <v>355</v>
      </c>
    </row>
    <row r="31363" ht="16.5" customHeight="1">
      <c r="O31363" s="5" t="s">
        <v>355</v>
      </c>
      <c r="P31363" s="5" t="s">
        <v>355</v>
      </c>
      <c r="Q31363" s="5" t="s">
        <v>355</v>
      </c>
    </row>
    <row r="31364" ht="16.5" customHeight="1">
      <c r="O31364" s="5" t="s">
        <v>355</v>
      </c>
      <c r="P31364" s="5" t="s">
        <v>355</v>
      </c>
      <c r="Q31364" s="5" t="s">
        <v>355</v>
      </c>
    </row>
    <row r="31365" ht="16.5" customHeight="1">
      <c r="O31365" s="5" t="s">
        <v>355</v>
      </c>
      <c r="P31365" s="5" t="s">
        <v>355</v>
      </c>
      <c r="Q31365" s="5" t="s">
        <v>355</v>
      </c>
    </row>
    <row r="31366" ht="16.5" customHeight="1">
      <c r="O31366" s="5" t="s">
        <v>355</v>
      </c>
      <c r="P31366" s="5" t="s">
        <v>355</v>
      </c>
      <c r="Q31366" s="5" t="s">
        <v>355</v>
      </c>
    </row>
    <row r="31367" ht="16.5" customHeight="1">
      <c r="O31367" s="5" t="s">
        <v>355</v>
      </c>
      <c r="P31367" s="5" t="s">
        <v>355</v>
      </c>
      <c r="Q31367" s="5" t="s">
        <v>355</v>
      </c>
    </row>
    <row r="31368" ht="16.5" customHeight="1">
      <c r="O31368" s="5" t="s">
        <v>355</v>
      </c>
      <c r="P31368" s="5" t="s">
        <v>355</v>
      </c>
      <c r="Q31368" s="5" t="s">
        <v>355</v>
      </c>
    </row>
    <row r="31369" ht="16.5" customHeight="1">
      <c r="O31369" s="5" t="s">
        <v>355</v>
      </c>
      <c r="P31369" s="5" t="s">
        <v>355</v>
      </c>
      <c r="Q31369" s="5" t="s">
        <v>355</v>
      </c>
    </row>
    <row r="31370" ht="16.5" customHeight="1">
      <c r="O31370" s="5" t="s">
        <v>355</v>
      </c>
      <c r="P31370" s="5" t="s">
        <v>355</v>
      </c>
      <c r="Q31370" s="5" t="s">
        <v>355</v>
      </c>
    </row>
    <row r="31371" ht="16.5" customHeight="1">
      <c r="O31371" s="5" t="s">
        <v>355</v>
      </c>
      <c r="P31371" s="5" t="s">
        <v>355</v>
      </c>
      <c r="Q31371" s="5" t="s">
        <v>355</v>
      </c>
    </row>
    <row r="31372" ht="16.5" customHeight="1">
      <c r="O31372" s="5" t="s">
        <v>355</v>
      </c>
      <c r="P31372" s="5" t="s">
        <v>355</v>
      </c>
      <c r="Q31372" s="5" t="s">
        <v>355</v>
      </c>
    </row>
    <row r="31373" ht="16.5" customHeight="1">
      <c r="O31373" s="5" t="s">
        <v>355</v>
      </c>
      <c r="P31373" s="5" t="s">
        <v>355</v>
      </c>
      <c r="Q31373" s="5" t="s">
        <v>355</v>
      </c>
    </row>
    <row r="31374" ht="16.5" customHeight="1">
      <c r="O31374" s="5" t="s">
        <v>355</v>
      </c>
      <c r="P31374" s="5" t="s">
        <v>355</v>
      </c>
      <c r="Q31374" s="5" t="s">
        <v>355</v>
      </c>
    </row>
    <row r="31375" ht="16.5" customHeight="1">
      <c r="O31375" s="5" t="s">
        <v>355</v>
      </c>
      <c r="P31375" s="5" t="s">
        <v>355</v>
      </c>
      <c r="Q31375" s="5" t="s">
        <v>355</v>
      </c>
    </row>
    <row r="31376" ht="16.5" customHeight="1">
      <c r="O31376" s="5" t="s">
        <v>355</v>
      </c>
      <c r="P31376" s="5" t="s">
        <v>355</v>
      </c>
      <c r="Q31376" s="5" t="s">
        <v>355</v>
      </c>
    </row>
    <row r="31377" ht="16.5" customHeight="1">
      <c r="O31377" s="5" t="s">
        <v>355</v>
      </c>
      <c r="P31377" s="5" t="s">
        <v>355</v>
      </c>
      <c r="Q31377" s="5" t="s">
        <v>355</v>
      </c>
    </row>
    <row r="31378" ht="16.5" customHeight="1">
      <c r="O31378" s="5" t="s">
        <v>355</v>
      </c>
      <c r="P31378" s="5" t="s">
        <v>355</v>
      </c>
      <c r="Q31378" s="5" t="s">
        <v>355</v>
      </c>
    </row>
    <row r="31379" ht="16.5" customHeight="1">
      <c r="O31379" s="5" t="s">
        <v>355</v>
      </c>
      <c r="P31379" s="5" t="s">
        <v>355</v>
      </c>
      <c r="Q31379" s="5" t="s">
        <v>355</v>
      </c>
    </row>
    <row r="31380" ht="16.5" customHeight="1">
      <c r="O31380" s="5" t="s">
        <v>355</v>
      </c>
      <c r="P31380" s="5" t="s">
        <v>355</v>
      </c>
      <c r="Q31380" s="5" t="s">
        <v>355</v>
      </c>
    </row>
    <row r="31381" ht="16.5" customHeight="1">
      <c r="O31381" s="5" t="s">
        <v>355</v>
      </c>
      <c r="P31381" s="5" t="s">
        <v>355</v>
      </c>
      <c r="Q31381" s="5" t="s">
        <v>355</v>
      </c>
    </row>
    <row r="31382" ht="16.5" customHeight="1">
      <c r="O31382" s="5" t="s">
        <v>355</v>
      </c>
      <c r="P31382" s="5" t="s">
        <v>355</v>
      </c>
      <c r="Q31382" s="5" t="s">
        <v>355</v>
      </c>
    </row>
    <row r="31383" ht="16.5" customHeight="1">
      <c r="O31383" s="5" t="s">
        <v>355</v>
      </c>
      <c r="P31383" s="5" t="s">
        <v>355</v>
      </c>
      <c r="Q31383" s="5" t="s">
        <v>355</v>
      </c>
    </row>
    <row r="31384" ht="16.5" customHeight="1">
      <c r="O31384" s="5" t="s">
        <v>355</v>
      </c>
      <c r="P31384" s="5" t="s">
        <v>355</v>
      </c>
      <c r="Q31384" s="5" t="s">
        <v>355</v>
      </c>
    </row>
    <row r="31385" ht="16.5" customHeight="1">
      <c r="O31385" s="5" t="s">
        <v>355</v>
      </c>
      <c r="P31385" s="5" t="s">
        <v>355</v>
      </c>
      <c r="Q31385" s="5" t="s">
        <v>355</v>
      </c>
    </row>
    <row r="31386" ht="16.5" customHeight="1">
      <c r="O31386" s="5" t="s">
        <v>355</v>
      </c>
      <c r="P31386" s="5" t="s">
        <v>355</v>
      </c>
      <c r="Q31386" s="5" t="s">
        <v>355</v>
      </c>
    </row>
    <row r="31387" ht="16.5" customHeight="1">
      <c r="O31387" s="5" t="s">
        <v>355</v>
      </c>
      <c r="P31387" s="5" t="s">
        <v>355</v>
      </c>
      <c r="Q31387" s="5" t="s">
        <v>355</v>
      </c>
    </row>
    <row r="31388" ht="16.5" customHeight="1">
      <c r="O31388" s="5" t="s">
        <v>355</v>
      </c>
      <c r="P31388" s="5" t="s">
        <v>355</v>
      </c>
      <c r="Q31388" s="5" t="s">
        <v>355</v>
      </c>
    </row>
    <row r="31389" ht="16.5" customHeight="1">
      <c r="O31389" s="5" t="s">
        <v>355</v>
      </c>
      <c r="P31389" s="5" t="s">
        <v>355</v>
      </c>
      <c r="Q31389" s="5" t="s">
        <v>355</v>
      </c>
    </row>
    <row r="31390" ht="16.5" customHeight="1">
      <c r="O31390" s="5" t="s">
        <v>355</v>
      </c>
      <c r="P31390" s="5" t="s">
        <v>355</v>
      </c>
      <c r="Q31390" s="5" t="s">
        <v>355</v>
      </c>
    </row>
    <row r="31391" ht="16.5" customHeight="1">
      <c r="O31391" s="5" t="s">
        <v>355</v>
      </c>
      <c r="P31391" s="5" t="s">
        <v>355</v>
      </c>
      <c r="Q31391" s="5" t="s">
        <v>355</v>
      </c>
    </row>
    <row r="31392" ht="16.5" customHeight="1">
      <c r="O31392" s="5" t="s">
        <v>355</v>
      </c>
      <c r="P31392" s="5" t="s">
        <v>355</v>
      </c>
      <c r="Q31392" s="5" t="s">
        <v>355</v>
      </c>
    </row>
    <row r="31393" ht="16.5" customHeight="1">
      <c r="O31393" s="5" t="s">
        <v>355</v>
      </c>
      <c r="P31393" s="5" t="s">
        <v>355</v>
      </c>
      <c r="Q31393" s="5" t="s">
        <v>355</v>
      </c>
    </row>
    <row r="31394" ht="16.5" customHeight="1">
      <c r="O31394" s="5" t="s">
        <v>355</v>
      </c>
      <c r="P31394" s="5" t="s">
        <v>355</v>
      </c>
      <c r="Q31394" s="5" t="s">
        <v>355</v>
      </c>
    </row>
    <row r="31395" ht="16.5" customHeight="1">
      <c r="O31395" s="5" t="s">
        <v>355</v>
      </c>
      <c r="P31395" s="5" t="s">
        <v>355</v>
      </c>
      <c r="Q31395" s="5" t="s">
        <v>355</v>
      </c>
    </row>
    <row r="31396" ht="16.5" customHeight="1">
      <c r="O31396" s="5" t="s">
        <v>355</v>
      </c>
      <c r="P31396" s="5" t="s">
        <v>355</v>
      </c>
      <c r="Q31396" s="5" t="s">
        <v>355</v>
      </c>
    </row>
    <row r="31397" ht="16.5" customHeight="1">
      <c r="O31397" s="5" t="s">
        <v>355</v>
      </c>
      <c r="P31397" s="5" t="s">
        <v>355</v>
      </c>
      <c r="Q31397" s="5" t="s">
        <v>355</v>
      </c>
    </row>
    <row r="31398" ht="16.5" customHeight="1">
      <c r="O31398" s="5" t="s">
        <v>355</v>
      </c>
      <c r="P31398" s="5" t="s">
        <v>355</v>
      </c>
      <c r="Q31398" s="5" t="s">
        <v>355</v>
      </c>
    </row>
    <row r="31399" ht="16.5" customHeight="1">
      <c r="O31399" s="5" t="s">
        <v>355</v>
      </c>
      <c r="P31399" s="5" t="s">
        <v>355</v>
      </c>
      <c r="Q31399" s="5" t="s">
        <v>355</v>
      </c>
    </row>
    <row r="31400" ht="16.5" customHeight="1">
      <c r="O31400" s="5" t="s">
        <v>355</v>
      </c>
      <c r="P31400" s="5" t="s">
        <v>355</v>
      </c>
      <c r="Q31400" s="5" t="s">
        <v>355</v>
      </c>
    </row>
    <row r="31401" ht="16.5" customHeight="1">
      <c r="O31401" s="5" t="s">
        <v>355</v>
      </c>
      <c r="P31401" s="5" t="s">
        <v>355</v>
      </c>
      <c r="Q31401" s="5" t="s">
        <v>355</v>
      </c>
    </row>
    <row r="31402" ht="16.5" customHeight="1">
      <c r="O31402" s="5" t="s">
        <v>355</v>
      </c>
      <c r="P31402" s="5" t="s">
        <v>355</v>
      </c>
      <c r="Q31402" s="5" t="s">
        <v>355</v>
      </c>
    </row>
    <row r="31403" ht="16.5" customHeight="1">
      <c r="O31403" s="5" t="s">
        <v>355</v>
      </c>
      <c r="P31403" s="5" t="s">
        <v>355</v>
      </c>
      <c r="Q31403" s="5" t="s">
        <v>355</v>
      </c>
    </row>
    <row r="31404" ht="16.5" customHeight="1">
      <c r="O31404" s="5" t="s">
        <v>355</v>
      </c>
      <c r="P31404" s="5" t="s">
        <v>355</v>
      </c>
      <c r="Q31404" s="5" t="s">
        <v>355</v>
      </c>
    </row>
    <row r="31405" ht="16.5" customHeight="1">
      <c r="O31405" s="5" t="s">
        <v>355</v>
      </c>
      <c r="P31405" s="5" t="s">
        <v>355</v>
      </c>
      <c r="Q31405" s="5" t="s">
        <v>355</v>
      </c>
    </row>
    <row r="31406" ht="16.5" customHeight="1">
      <c r="O31406" s="5" t="s">
        <v>355</v>
      </c>
      <c r="P31406" s="5" t="s">
        <v>355</v>
      </c>
      <c r="Q31406" s="5" t="s">
        <v>355</v>
      </c>
    </row>
    <row r="31407" ht="16.5" customHeight="1">
      <c r="O31407" s="5" t="s">
        <v>355</v>
      </c>
      <c r="P31407" s="5" t="s">
        <v>355</v>
      </c>
      <c r="Q31407" s="5" t="s">
        <v>355</v>
      </c>
    </row>
    <row r="31408" ht="16.5" customHeight="1">
      <c r="O31408" s="5" t="s">
        <v>355</v>
      </c>
      <c r="P31408" s="5" t="s">
        <v>355</v>
      </c>
      <c r="Q31408" s="5" t="s">
        <v>355</v>
      </c>
    </row>
    <row r="31409" ht="16.5" customHeight="1">
      <c r="O31409" s="5" t="s">
        <v>355</v>
      </c>
      <c r="P31409" s="5" t="s">
        <v>355</v>
      </c>
      <c r="Q31409" s="5" t="s">
        <v>355</v>
      </c>
    </row>
    <row r="31410" ht="16.5" customHeight="1">
      <c r="O31410" s="5" t="s">
        <v>355</v>
      </c>
      <c r="P31410" s="5" t="s">
        <v>355</v>
      </c>
      <c r="Q31410" s="5" t="s">
        <v>355</v>
      </c>
    </row>
    <row r="31411" ht="16.5" customHeight="1">
      <c r="O31411" s="5" t="s">
        <v>355</v>
      </c>
      <c r="P31411" s="5" t="s">
        <v>355</v>
      </c>
      <c r="Q31411" s="5" t="s">
        <v>355</v>
      </c>
    </row>
    <row r="31412" ht="16.5" customHeight="1">
      <c r="O31412" s="5" t="s">
        <v>355</v>
      </c>
      <c r="P31412" s="5" t="s">
        <v>355</v>
      </c>
      <c r="Q31412" s="5" t="s">
        <v>355</v>
      </c>
    </row>
    <row r="31413" ht="16.5" customHeight="1">
      <c r="O31413" s="5" t="s">
        <v>355</v>
      </c>
      <c r="P31413" s="5" t="s">
        <v>355</v>
      </c>
      <c r="Q31413" s="5" t="s">
        <v>355</v>
      </c>
    </row>
    <row r="31414" ht="16.5" customHeight="1">
      <c r="O31414" s="5" t="s">
        <v>355</v>
      </c>
      <c r="P31414" s="5" t="s">
        <v>355</v>
      </c>
      <c r="Q31414" s="5" t="s">
        <v>355</v>
      </c>
    </row>
    <row r="31415" ht="16.5" customHeight="1">
      <c r="O31415" s="5" t="s">
        <v>355</v>
      </c>
      <c r="P31415" s="5" t="s">
        <v>355</v>
      </c>
      <c r="Q31415" s="5" t="s">
        <v>355</v>
      </c>
    </row>
    <row r="31416" ht="16.5" customHeight="1">
      <c r="O31416" s="5" t="s">
        <v>355</v>
      </c>
      <c r="P31416" s="5" t="s">
        <v>355</v>
      </c>
      <c r="Q31416" s="5" t="s">
        <v>355</v>
      </c>
    </row>
    <row r="31417" ht="16.5" customHeight="1">
      <c r="O31417" s="5" t="s">
        <v>355</v>
      </c>
      <c r="P31417" s="5" t="s">
        <v>355</v>
      </c>
      <c r="Q31417" s="5" t="s">
        <v>355</v>
      </c>
    </row>
    <row r="31418" ht="16.5" customHeight="1">
      <c r="O31418" s="5" t="s">
        <v>355</v>
      </c>
      <c r="P31418" s="5" t="s">
        <v>355</v>
      </c>
      <c r="Q31418" s="5" t="s">
        <v>355</v>
      </c>
    </row>
    <row r="31419" ht="16.5" customHeight="1">
      <c r="O31419" s="5" t="s">
        <v>355</v>
      </c>
      <c r="P31419" s="5" t="s">
        <v>355</v>
      </c>
      <c r="Q31419" s="5" t="s">
        <v>355</v>
      </c>
    </row>
    <row r="31420" ht="16.5" customHeight="1">
      <c r="O31420" s="5" t="s">
        <v>355</v>
      </c>
      <c r="P31420" s="5" t="s">
        <v>355</v>
      </c>
      <c r="Q31420" s="5" t="s">
        <v>355</v>
      </c>
    </row>
    <row r="31421" ht="16.5" customHeight="1">
      <c r="O31421" s="5" t="s">
        <v>355</v>
      </c>
      <c r="P31421" s="5" t="s">
        <v>355</v>
      </c>
      <c r="Q31421" s="5" t="s">
        <v>355</v>
      </c>
    </row>
    <row r="31422" ht="16.5" customHeight="1">
      <c r="O31422" s="5" t="s">
        <v>355</v>
      </c>
      <c r="P31422" s="5" t="s">
        <v>355</v>
      </c>
      <c r="Q31422" s="5" t="s">
        <v>355</v>
      </c>
    </row>
    <row r="31423" ht="16.5" customHeight="1">
      <c r="O31423" s="5" t="s">
        <v>355</v>
      </c>
      <c r="P31423" s="5" t="s">
        <v>355</v>
      </c>
      <c r="Q31423" s="5" t="s">
        <v>355</v>
      </c>
    </row>
    <row r="31424" ht="16.5" customHeight="1">
      <c r="O31424" s="5" t="s">
        <v>355</v>
      </c>
      <c r="P31424" s="5" t="s">
        <v>355</v>
      </c>
      <c r="Q31424" s="5" t="s">
        <v>355</v>
      </c>
    </row>
    <row r="31425" ht="16.5" customHeight="1">
      <c r="O31425" s="5" t="s">
        <v>355</v>
      </c>
      <c r="P31425" s="5" t="s">
        <v>355</v>
      </c>
      <c r="Q31425" s="5" t="s">
        <v>355</v>
      </c>
    </row>
    <row r="31426" ht="16.5" customHeight="1">
      <c r="O31426" s="5" t="s">
        <v>355</v>
      </c>
      <c r="P31426" s="5" t="s">
        <v>355</v>
      </c>
      <c r="Q31426" s="5" t="s">
        <v>355</v>
      </c>
    </row>
    <row r="31427" ht="16.5" customHeight="1">
      <c r="O31427" s="5" t="s">
        <v>355</v>
      </c>
      <c r="P31427" s="5" t="s">
        <v>355</v>
      </c>
      <c r="Q31427" s="5" t="s">
        <v>355</v>
      </c>
    </row>
    <row r="31428" ht="16.5" customHeight="1">
      <c r="O31428" s="5" t="s">
        <v>355</v>
      </c>
      <c r="P31428" s="5" t="s">
        <v>355</v>
      </c>
      <c r="Q31428" s="5" t="s">
        <v>355</v>
      </c>
    </row>
    <row r="31429" ht="16.5" customHeight="1">
      <c r="O31429" s="5" t="s">
        <v>355</v>
      </c>
      <c r="P31429" s="5" t="s">
        <v>355</v>
      </c>
      <c r="Q31429" s="5" t="s">
        <v>355</v>
      </c>
    </row>
    <row r="31430" ht="16.5" customHeight="1">
      <c r="O31430" s="5" t="s">
        <v>355</v>
      </c>
      <c r="P31430" s="5" t="s">
        <v>355</v>
      </c>
      <c r="Q31430" s="5" t="s">
        <v>355</v>
      </c>
    </row>
    <row r="31431" ht="16.5" customHeight="1">
      <c r="O31431" s="5" t="s">
        <v>355</v>
      </c>
      <c r="P31431" s="5" t="s">
        <v>355</v>
      </c>
      <c r="Q31431" s="5" t="s">
        <v>355</v>
      </c>
    </row>
    <row r="31432" ht="16.5" customHeight="1">
      <c r="O31432" s="5" t="s">
        <v>355</v>
      </c>
      <c r="P31432" s="5" t="s">
        <v>355</v>
      </c>
      <c r="Q31432" s="5" t="s">
        <v>355</v>
      </c>
    </row>
    <row r="31433" ht="16.5" customHeight="1">
      <c r="O31433" s="5" t="s">
        <v>355</v>
      </c>
      <c r="P31433" s="5" t="s">
        <v>355</v>
      </c>
      <c r="Q31433" s="5" t="s">
        <v>355</v>
      </c>
    </row>
    <row r="31434" ht="16.5" customHeight="1">
      <c r="O31434" s="5" t="s">
        <v>355</v>
      </c>
      <c r="P31434" s="5" t="s">
        <v>355</v>
      </c>
      <c r="Q31434" s="5" t="s">
        <v>355</v>
      </c>
    </row>
    <row r="31435" ht="16.5" customHeight="1">
      <c r="O31435" s="5" t="s">
        <v>355</v>
      </c>
      <c r="P31435" s="5" t="s">
        <v>355</v>
      </c>
      <c r="Q31435" s="5" t="s">
        <v>355</v>
      </c>
    </row>
    <row r="31436" ht="16.5" customHeight="1">
      <c r="O31436" s="5" t="s">
        <v>355</v>
      </c>
      <c r="P31436" s="5" t="s">
        <v>355</v>
      </c>
      <c r="Q31436" s="5" t="s">
        <v>355</v>
      </c>
    </row>
    <row r="31437" ht="16.5" customHeight="1">
      <c r="O31437" s="5" t="s">
        <v>355</v>
      </c>
      <c r="P31437" s="5" t="s">
        <v>355</v>
      </c>
      <c r="Q31437" s="5" t="s">
        <v>355</v>
      </c>
    </row>
    <row r="31438" ht="16.5" customHeight="1">
      <c r="O31438" s="5" t="s">
        <v>355</v>
      </c>
      <c r="P31438" s="5" t="s">
        <v>355</v>
      </c>
      <c r="Q31438" s="5" t="s">
        <v>355</v>
      </c>
    </row>
    <row r="31439" ht="16.5" customHeight="1">
      <c r="O31439" s="5" t="s">
        <v>355</v>
      </c>
      <c r="P31439" s="5" t="s">
        <v>355</v>
      </c>
      <c r="Q31439" s="5" t="s">
        <v>355</v>
      </c>
    </row>
    <row r="31440" ht="16.5" customHeight="1">
      <c r="O31440" s="5" t="s">
        <v>355</v>
      </c>
      <c r="P31440" s="5" t="s">
        <v>355</v>
      </c>
      <c r="Q31440" s="5" t="s">
        <v>355</v>
      </c>
    </row>
    <row r="31441" ht="16.5" customHeight="1">
      <c r="O31441" s="5" t="s">
        <v>355</v>
      </c>
      <c r="P31441" s="5" t="s">
        <v>355</v>
      </c>
      <c r="Q31441" s="5" t="s">
        <v>355</v>
      </c>
    </row>
    <row r="31442" ht="16.5" customHeight="1">
      <c r="O31442" s="5" t="s">
        <v>355</v>
      </c>
      <c r="P31442" s="5" t="s">
        <v>355</v>
      </c>
      <c r="Q31442" s="5" t="s">
        <v>355</v>
      </c>
    </row>
    <row r="31443" ht="16.5" customHeight="1">
      <c r="O31443" s="5" t="s">
        <v>355</v>
      </c>
      <c r="P31443" s="5" t="s">
        <v>355</v>
      </c>
      <c r="Q31443" s="5" t="s">
        <v>355</v>
      </c>
    </row>
    <row r="31444" ht="16.5" customHeight="1">
      <c r="O31444" s="5" t="s">
        <v>355</v>
      </c>
      <c r="P31444" s="5" t="s">
        <v>355</v>
      </c>
      <c r="Q31444" s="5" t="s">
        <v>355</v>
      </c>
    </row>
    <row r="31445" ht="16.5" customHeight="1">
      <c r="O31445" s="5" t="s">
        <v>355</v>
      </c>
      <c r="P31445" s="5" t="s">
        <v>355</v>
      </c>
      <c r="Q31445" s="5" t="s">
        <v>355</v>
      </c>
    </row>
    <row r="31446" ht="16.5" customHeight="1">
      <c r="O31446" s="5" t="s">
        <v>355</v>
      </c>
      <c r="P31446" s="5" t="s">
        <v>355</v>
      </c>
      <c r="Q31446" s="5" t="s">
        <v>355</v>
      </c>
    </row>
    <row r="31447" ht="16.5" customHeight="1">
      <c r="O31447" s="5" t="s">
        <v>355</v>
      </c>
      <c r="P31447" s="5" t="s">
        <v>355</v>
      </c>
      <c r="Q31447" s="5" t="s">
        <v>355</v>
      </c>
    </row>
    <row r="31448" ht="16.5" customHeight="1">
      <c r="O31448" s="5" t="s">
        <v>355</v>
      </c>
      <c r="P31448" s="5" t="s">
        <v>355</v>
      </c>
      <c r="Q31448" s="5" t="s">
        <v>355</v>
      </c>
    </row>
    <row r="31449" ht="16.5" customHeight="1">
      <c r="O31449" s="5" t="s">
        <v>355</v>
      </c>
      <c r="P31449" s="5" t="s">
        <v>355</v>
      </c>
      <c r="Q31449" s="5" t="s">
        <v>355</v>
      </c>
    </row>
    <row r="31450" ht="16.5" customHeight="1">
      <c r="O31450" s="5" t="s">
        <v>355</v>
      </c>
      <c r="P31450" s="5" t="s">
        <v>355</v>
      </c>
      <c r="Q31450" s="5" t="s">
        <v>355</v>
      </c>
    </row>
    <row r="31451" ht="16.5" customHeight="1">
      <c r="O31451" s="5" t="s">
        <v>355</v>
      </c>
      <c r="P31451" s="5" t="s">
        <v>355</v>
      </c>
      <c r="Q31451" s="5" t="s">
        <v>355</v>
      </c>
    </row>
    <row r="31452" ht="16.5" customHeight="1">
      <c r="O31452" s="5" t="s">
        <v>355</v>
      </c>
      <c r="P31452" s="5" t="s">
        <v>355</v>
      </c>
      <c r="Q31452" s="5" t="s">
        <v>355</v>
      </c>
    </row>
    <row r="31453" ht="16.5" customHeight="1">
      <c r="O31453" s="5" t="s">
        <v>355</v>
      </c>
      <c r="P31453" s="5" t="s">
        <v>355</v>
      </c>
      <c r="Q31453" s="5" t="s">
        <v>355</v>
      </c>
    </row>
    <row r="31454" ht="16.5" customHeight="1">
      <c r="O31454" s="5" t="s">
        <v>355</v>
      </c>
      <c r="P31454" s="5" t="s">
        <v>355</v>
      </c>
      <c r="Q31454" s="5" t="s">
        <v>355</v>
      </c>
    </row>
    <row r="31455" ht="16.5" customHeight="1">
      <c r="O31455" s="5" t="s">
        <v>355</v>
      </c>
      <c r="P31455" s="5" t="s">
        <v>355</v>
      </c>
      <c r="Q31455" s="5" t="s">
        <v>355</v>
      </c>
    </row>
    <row r="31456" ht="16.5" customHeight="1">
      <c r="O31456" s="5" t="s">
        <v>355</v>
      </c>
      <c r="P31456" s="5" t="s">
        <v>355</v>
      </c>
      <c r="Q31456" s="5" t="s">
        <v>355</v>
      </c>
    </row>
    <row r="31457" ht="16.5" customHeight="1">
      <c r="O31457" s="5" t="s">
        <v>355</v>
      </c>
      <c r="P31457" s="5" t="s">
        <v>355</v>
      </c>
      <c r="Q31457" s="5" t="s">
        <v>355</v>
      </c>
    </row>
    <row r="31458" ht="16.5" customHeight="1">
      <c r="O31458" s="5" t="s">
        <v>355</v>
      </c>
      <c r="P31458" s="5" t="s">
        <v>355</v>
      </c>
      <c r="Q31458" s="5" t="s">
        <v>355</v>
      </c>
    </row>
    <row r="31459" ht="16.5" customHeight="1">
      <c r="O31459" s="5" t="s">
        <v>355</v>
      </c>
      <c r="P31459" s="5" t="s">
        <v>355</v>
      </c>
      <c r="Q31459" s="5" t="s">
        <v>355</v>
      </c>
    </row>
    <row r="31460" ht="16.5" customHeight="1">
      <c r="O31460" s="5" t="s">
        <v>355</v>
      </c>
      <c r="P31460" s="5" t="s">
        <v>355</v>
      </c>
      <c r="Q31460" s="5" t="s">
        <v>355</v>
      </c>
    </row>
    <row r="31461" ht="16.5" customHeight="1">
      <c r="O31461" s="5" t="s">
        <v>355</v>
      </c>
      <c r="P31461" s="5" t="s">
        <v>355</v>
      </c>
      <c r="Q31461" s="5" t="s">
        <v>355</v>
      </c>
    </row>
    <row r="31462" ht="16.5" customHeight="1">
      <c r="O31462" s="5" t="s">
        <v>355</v>
      </c>
      <c r="P31462" s="5" t="s">
        <v>355</v>
      </c>
      <c r="Q31462" s="5" t="s">
        <v>355</v>
      </c>
    </row>
    <row r="31463" ht="16.5" customHeight="1">
      <c r="O31463" s="5" t="s">
        <v>355</v>
      </c>
      <c r="P31463" s="5" t="s">
        <v>355</v>
      </c>
      <c r="Q31463" s="5" t="s">
        <v>355</v>
      </c>
    </row>
    <row r="31464" ht="16.5" customHeight="1">
      <c r="O31464" s="5" t="s">
        <v>355</v>
      </c>
      <c r="P31464" s="5" t="s">
        <v>355</v>
      </c>
      <c r="Q31464" s="5" t="s">
        <v>355</v>
      </c>
    </row>
    <row r="31465" ht="16.5" customHeight="1">
      <c r="O31465" s="5" t="s">
        <v>355</v>
      </c>
      <c r="P31465" s="5" t="s">
        <v>355</v>
      </c>
      <c r="Q31465" s="5" t="s">
        <v>355</v>
      </c>
    </row>
    <row r="31466" ht="16.5" customHeight="1">
      <c r="O31466" s="5" t="s">
        <v>355</v>
      </c>
      <c r="P31466" s="5" t="s">
        <v>355</v>
      </c>
      <c r="Q31466" s="5" t="s">
        <v>355</v>
      </c>
    </row>
    <row r="31467" ht="16.5" customHeight="1">
      <c r="O31467" s="5" t="s">
        <v>355</v>
      </c>
      <c r="P31467" s="5" t="s">
        <v>355</v>
      </c>
      <c r="Q31467" s="5" t="s">
        <v>355</v>
      </c>
    </row>
    <row r="31468" ht="16.5" customHeight="1">
      <c r="O31468" s="5" t="s">
        <v>355</v>
      </c>
      <c r="P31468" s="5" t="s">
        <v>355</v>
      </c>
      <c r="Q31468" s="5" t="s">
        <v>355</v>
      </c>
    </row>
    <row r="31469" ht="16.5" customHeight="1">
      <c r="O31469" s="5" t="s">
        <v>355</v>
      </c>
      <c r="P31469" s="5" t="s">
        <v>355</v>
      </c>
      <c r="Q31469" s="5" t="s">
        <v>355</v>
      </c>
    </row>
    <row r="31470" ht="16.5" customHeight="1">
      <c r="O31470" s="5" t="s">
        <v>355</v>
      </c>
      <c r="P31470" s="5" t="s">
        <v>355</v>
      </c>
      <c r="Q31470" s="5" t="s">
        <v>355</v>
      </c>
    </row>
    <row r="31471" ht="16.5" customHeight="1">
      <c r="O31471" s="5" t="s">
        <v>355</v>
      </c>
      <c r="P31471" s="5" t="s">
        <v>355</v>
      </c>
      <c r="Q31471" s="5" t="s">
        <v>355</v>
      </c>
    </row>
    <row r="31472" ht="16.5" customHeight="1">
      <c r="O31472" s="5" t="s">
        <v>355</v>
      </c>
      <c r="P31472" s="5" t="s">
        <v>355</v>
      </c>
      <c r="Q31472" s="5" t="s">
        <v>355</v>
      </c>
    </row>
    <row r="31473" ht="16.5" customHeight="1">
      <c r="O31473" s="5" t="s">
        <v>355</v>
      </c>
      <c r="P31473" s="5" t="s">
        <v>355</v>
      </c>
      <c r="Q31473" s="5" t="s">
        <v>355</v>
      </c>
    </row>
    <row r="31474" ht="16.5" customHeight="1">
      <c r="O31474" s="5" t="s">
        <v>355</v>
      </c>
      <c r="P31474" s="5" t="s">
        <v>355</v>
      </c>
      <c r="Q31474" s="5" t="s">
        <v>355</v>
      </c>
    </row>
    <row r="31475" ht="16.5" customHeight="1">
      <c r="O31475" s="5" t="s">
        <v>355</v>
      </c>
      <c r="P31475" s="5" t="s">
        <v>355</v>
      </c>
      <c r="Q31475" s="5" t="s">
        <v>355</v>
      </c>
    </row>
    <row r="31476" ht="16.5" customHeight="1">
      <c r="O31476" s="5" t="s">
        <v>355</v>
      </c>
      <c r="P31476" s="5" t="s">
        <v>355</v>
      </c>
      <c r="Q31476" s="5" t="s">
        <v>355</v>
      </c>
    </row>
    <row r="31477" ht="16.5" customHeight="1">
      <c r="O31477" s="5" t="s">
        <v>355</v>
      </c>
      <c r="P31477" s="5" t="s">
        <v>355</v>
      </c>
      <c r="Q31477" s="5" t="s">
        <v>355</v>
      </c>
    </row>
    <row r="31478" ht="16.5" customHeight="1">
      <c r="O31478" s="5" t="s">
        <v>355</v>
      </c>
      <c r="P31478" s="5" t="s">
        <v>355</v>
      </c>
      <c r="Q31478" s="5" t="s">
        <v>355</v>
      </c>
    </row>
    <row r="31479" ht="16.5" customHeight="1">
      <c r="O31479" s="5" t="s">
        <v>355</v>
      </c>
      <c r="P31479" s="5" t="s">
        <v>355</v>
      </c>
      <c r="Q31479" s="5" t="s">
        <v>355</v>
      </c>
    </row>
    <row r="31480" ht="16.5" customHeight="1">
      <c r="O31480" s="5" t="s">
        <v>355</v>
      </c>
      <c r="P31480" s="5" t="s">
        <v>355</v>
      </c>
      <c r="Q31480" s="5" t="s">
        <v>355</v>
      </c>
    </row>
    <row r="31481" ht="16.5" customHeight="1">
      <c r="O31481" s="5" t="s">
        <v>355</v>
      </c>
      <c r="P31481" s="5" t="s">
        <v>355</v>
      </c>
      <c r="Q31481" s="5" t="s">
        <v>355</v>
      </c>
    </row>
    <row r="31482" ht="16.5" customHeight="1">
      <c r="O31482" s="5" t="s">
        <v>355</v>
      </c>
      <c r="P31482" s="5" t="s">
        <v>355</v>
      </c>
      <c r="Q31482" s="5" t="s">
        <v>355</v>
      </c>
    </row>
    <row r="31483" ht="16.5" customHeight="1">
      <c r="O31483" s="5" t="s">
        <v>355</v>
      </c>
      <c r="P31483" s="5" t="s">
        <v>355</v>
      </c>
      <c r="Q31483" s="5" t="s">
        <v>355</v>
      </c>
    </row>
    <row r="31484" ht="16.5" customHeight="1">
      <c r="O31484" s="5" t="s">
        <v>355</v>
      </c>
      <c r="P31484" s="5" t="s">
        <v>355</v>
      </c>
      <c r="Q31484" s="5" t="s">
        <v>355</v>
      </c>
    </row>
    <row r="31485" ht="16.5" customHeight="1">
      <c r="O31485" s="5" t="s">
        <v>355</v>
      </c>
      <c r="P31485" s="5" t="s">
        <v>355</v>
      </c>
      <c r="Q31485" s="5" t="s">
        <v>355</v>
      </c>
    </row>
    <row r="31486" ht="16.5" customHeight="1">
      <c r="O31486" s="5" t="s">
        <v>355</v>
      </c>
      <c r="P31486" s="5" t="s">
        <v>355</v>
      </c>
      <c r="Q31486" s="5" t="s">
        <v>355</v>
      </c>
    </row>
    <row r="31487" ht="16.5" customHeight="1">
      <c r="O31487" s="5" t="s">
        <v>355</v>
      </c>
      <c r="P31487" s="5" t="s">
        <v>355</v>
      </c>
      <c r="Q31487" s="5" t="s">
        <v>355</v>
      </c>
    </row>
    <row r="31488" ht="16.5" customHeight="1">
      <c r="O31488" s="5" t="s">
        <v>355</v>
      </c>
      <c r="P31488" s="5" t="s">
        <v>355</v>
      </c>
      <c r="Q31488" s="5" t="s">
        <v>355</v>
      </c>
    </row>
    <row r="31489" ht="16.5" customHeight="1">
      <c r="O31489" s="5" t="s">
        <v>355</v>
      </c>
      <c r="P31489" s="5" t="s">
        <v>355</v>
      </c>
      <c r="Q31489" s="5" t="s">
        <v>355</v>
      </c>
    </row>
    <row r="31490" ht="16.5" customHeight="1">
      <c r="O31490" s="5" t="s">
        <v>355</v>
      </c>
      <c r="P31490" s="5" t="s">
        <v>355</v>
      </c>
      <c r="Q31490" s="5" t="s">
        <v>355</v>
      </c>
    </row>
    <row r="31491" ht="16.5" customHeight="1">
      <c r="O31491" s="5" t="s">
        <v>355</v>
      </c>
      <c r="P31491" s="5" t="s">
        <v>355</v>
      </c>
      <c r="Q31491" s="5" t="s">
        <v>355</v>
      </c>
    </row>
    <row r="31492" ht="16.5" customHeight="1">
      <c r="O31492" s="5" t="s">
        <v>355</v>
      </c>
      <c r="P31492" s="5" t="s">
        <v>355</v>
      </c>
      <c r="Q31492" s="5" t="s">
        <v>355</v>
      </c>
    </row>
    <row r="31493" ht="16.5" customHeight="1">
      <c r="O31493" s="5" t="s">
        <v>355</v>
      </c>
      <c r="P31493" s="5" t="s">
        <v>355</v>
      </c>
      <c r="Q31493" s="5" t="s">
        <v>355</v>
      </c>
    </row>
    <row r="31494" ht="16.5" customHeight="1">
      <c r="O31494" s="5" t="s">
        <v>355</v>
      </c>
      <c r="P31494" s="5" t="s">
        <v>355</v>
      </c>
      <c r="Q31494" s="5" t="s">
        <v>355</v>
      </c>
    </row>
    <row r="31495" ht="16.5" customHeight="1">
      <c r="O31495" s="5" t="s">
        <v>355</v>
      </c>
      <c r="P31495" s="5" t="s">
        <v>355</v>
      </c>
      <c r="Q31495" s="5" t="s">
        <v>355</v>
      </c>
    </row>
    <row r="31496" ht="16.5" customHeight="1">
      <c r="O31496" s="5" t="s">
        <v>355</v>
      </c>
      <c r="P31496" s="5" t="s">
        <v>355</v>
      </c>
      <c r="Q31496" s="5" t="s">
        <v>355</v>
      </c>
    </row>
    <row r="31497" ht="16.5" customHeight="1">
      <c r="O31497" s="5" t="s">
        <v>355</v>
      </c>
      <c r="P31497" s="5" t="s">
        <v>355</v>
      </c>
      <c r="Q31497" s="5" t="s">
        <v>355</v>
      </c>
    </row>
    <row r="31498" ht="16.5" customHeight="1">
      <c r="O31498" s="5" t="s">
        <v>355</v>
      </c>
      <c r="P31498" s="5" t="s">
        <v>355</v>
      </c>
      <c r="Q31498" s="5" t="s">
        <v>355</v>
      </c>
    </row>
    <row r="31499" ht="16.5" customHeight="1">
      <c r="O31499" s="5" t="s">
        <v>355</v>
      </c>
      <c r="P31499" s="5" t="s">
        <v>355</v>
      </c>
      <c r="Q31499" s="5" t="s">
        <v>355</v>
      </c>
    </row>
    <row r="31500" ht="16.5" customHeight="1">
      <c r="O31500" s="5" t="s">
        <v>355</v>
      </c>
      <c r="P31500" s="5" t="s">
        <v>355</v>
      </c>
      <c r="Q31500" s="5" t="s">
        <v>355</v>
      </c>
    </row>
    <row r="31501" ht="16.5" customHeight="1">
      <c r="O31501" s="5" t="s">
        <v>355</v>
      </c>
      <c r="P31501" s="5" t="s">
        <v>355</v>
      </c>
      <c r="Q31501" s="5" t="s">
        <v>355</v>
      </c>
    </row>
    <row r="31502" ht="16.5" customHeight="1">
      <c r="O31502" s="5" t="s">
        <v>355</v>
      </c>
      <c r="P31502" s="5" t="s">
        <v>355</v>
      </c>
      <c r="Q31502" s="5" t="s">
        <v>355</v>
      </c>
    </row>
    <row r="31503" ht="16.5" customHeight="1">
      <c r="O31503" s="5" t="s">
        <v>355</v>
      </c>
      <c r="P31503" s="5" t="s">
        <v>355</v>
      </c>
      <c r="Q31503" s="5" t="s">
        <v>355</v>
      </c>
    </row>
    <row r="31504" ht="16.5" customHeight="1">
      <c r="O31504" s="5" t="s">
        <v>355</v>
      </c>
      <c r="P31504" s="5" t="s">
        <v>355</v>
      </c>
      <c r="Q31504" s="5" t="s">
        <v>355</v>
      </c>
    </row>
    <row r="31505" ht="16.5" customHeight="1">
      <c r="O31505" s="5" t="s">
        <v>355</v>
      </c>
      <c r="P31505" s="5" t="s">
        <v>355</v>
      </c>
      <c r="Q31505" s="5" t="s">
        <v>355</v>
      </c>
    </row>
    <row r="31506" ht="16.5" customHeight="1">
      <c r="O31506" s="5" t="s">
        <v>355</v>
      </c>
      <c r="P31506" s="5" t="s">
        <v>355</v>
      </c>
      <c r="Q31506" s="5" t="s">
        <v>355</v>
      </c>
    </row>
    <row r="31507" ht="16.5" customHeight="1">
      <c r="O31507" s="5" t="s">
        <v>355</v>
      </c>
      <c r="P31507" s="5" t="s">
        <v>355</v>
      </c>
      <c r="Q31507" s="5" t="s">
        <v>355</v>
      </c>
    </row>
    <row r="31508" ht="16.5" customHeight="1">
      <c r="O31508" s="5" t="s">
        <v>355</v>
      </c>
      <c r="P31508" s="5" t="s">
        <v>355</v>
      </c>
      <c r="Q31508" s="5" t="s">
        <v>355</v>
      </c>
    </row>
    <row r="31509" ht="16.5" customHeight="1">
      <c r="O31509" s="5" t="s">
        <v>355</v>
      </c>
      <c r="P31509" s="5" t="s">
        <v>355</v>
      </c>
      <c r="Q31509" s="5" t="s">
        <v>355</v>
      </c>
    </row>
    <row r="31510" ht="16.5" customHeight="1">
      <c r="O31510" s="5" t="s">
        <v>355</v>
      </c>
      <c r="P31510" s="5" t="s">
        <v>355</v>
      </c>
      <c r="Q31510" s="5" t="s">
        <v>355</v>
      </c>
    </row>
    <row r="31511" ht="16.5" customHeight="1">
      <c r="O31511" s="5" t="s">
        <v>355</v>
      </c>
      <c r="P31511" s="5" t="s">
        <v>355</v>
      </c>
      <c r="Q31511" s="5" t="s">
        <v>355</v>
      </c>
    </row>
    <row r="31512" ht="16.5" customHeight="1">
      <c r="O31512" s="5" t="s">
        <v>355</v>
      </c>
      <c r="P31512" s="5" t="s">
        <v>355</v>
      </c>
      <c r="Q31512" s="5" t="s">
        <v>355</v>
      </c>
    </row>
    <row r="31513" ht="16.5" customHeight="1">
      <c r="O31513" s="5" t="s">
        <v>355</v>
      </c>
      <c r="P31513" s="5" t="s">
        <v>355</v>
      </c>
      <c r="Q31513" s="5" t="s">
        <v>355</v>
      </c>
    </row>
    <row r="31514" ht="16.5" customHeight="1">
      <c r="O31514" s="5" t="s">
        <v>355</v>
      </c>
      <c r="P31514" s="5" t="s">
        <v>355</v>
      </c>
      <c r="Q31514" s="5" t="s">
        <v>355</v>
      </c>
    </row>
    <row r="31515" ht="16.5" customHeight="1">
      <c r="O31515" s="5" t="s">
        <v>355</v>
      </c>
      <c r="P31515" s="5" t="s">
        <v>355</v>
      </c>
      <c r="Q31515" s="5" t="s">
        <v>355</v>
      </c>
    </row>
    <row r="31516" ht="16.5" customHeight="1">
      <c r="O31516" s="5" t="s">
        <v>355</v>
      </c>
      <c r="P31516" s="5" t="s">
        <v>355</v>
      </c>
      <c r="Q31516" s="5" t="s">
        <v>355</v>
      </c>
    </row>
    <row r="31517" ht="16.5" customHeight="1">
      <c r="O31517" s="5" t="s">
        <v>355</v>
      </c>
      <c r="P31517" s="5" t="s">
        <v>355</v>
      </c>
      <c r="Q31517" s="5" t="s">
        <v>355</v>
      </c>
    </row>
    <row r="31518" ht="16.5" customHeight="1">
      <c r="O31518" s="5" t="s">
        <v>355</v>
      </c>
      <c r="P31518" s="5" t="s">
        <v>355</v>
      </c>
      <c r="Q31518" s="5" t="s">
        <v>355</v>
      </c>
    </row>
    <row r="31519" ht="16.5" customHeight="1">
      <c r="O31519" s="5" t="s">
        <v>355</v>
      </c>
      <c r="P31519" s="5" t="s">
        <v>355</v>
      </c>
      <c r="Q31519" s="5" t="s">
        <v>355</v>
      </c>
    </row>
    <row r="31520" ht="16.5" customHeight="1">
      <c r="O31520" s="5" t="s">
        <v>355</v>
      </c>
      <c r="P31520" s="5" t="s">
        <v>355</v>
      </c>
      <c r="Q31520" s="5" t="s">
        <v>355</v>
      </c>
    </row>
    <row r="31521" ht="16.5" customHeight="1">
      <c r="O31521" s="5" t="s">
        <v>355</v>
      </c>
      <c r="P31521" s="5" t="s">
        <v>355</v>
      </c>
      <c r="Q31521" s="5" t="s">
        <v>355</v>
      </c>
    </row>
    <row r="31522" ht="16.5" customHeight="1">
      <c r="O31522" s="5" t="s">
        <v>355</v>
      </c>
      <c r="P31522" s="5" t="s">
        <v>355</v>
      </c>
      <c r="Q31522" s="5" t="s">
        <v>355</v>
      </c>
    </row>
    <row r="31523" ht="16.5" customHeight="1">
      <c r="O31523" s="5" t="s">
        <v>355</v>
      </c>
      <c r="P31523" s="5" t="s">
        <v>355</v>
      </c>
      <c r="Q31523" s="5" t="s">
        <v>355</v>
      </c>
    </row>
    <row r="31524" ht="16.5" customHeight="1">
      <c r="O31524" s="5" t="s">
        <v>355</v>
      </c>
      <c r="P31524" s="5" t="s">
        <v>355</v>
      </c>
      <c r="Q31524" s="5" t="s">
        <v>355</v>
      </c>
    </row>
    <row r="31525" ht="16.5" customHeight="1">
      <c r="O31525" s="5" t="s">
        <v>355</v>
      </c>
      <c r="P31525" s="5" t="s">
        <v>355</v>
      </c>
      <c r="Q31525" s="5" t="s">
        <v>355</v>
      </c>
    </row>
    <row r="31526" ht="16.5" customHeight="1">
      <c r="O31526" s="5" t="s">
        <v>355</v>
      </c>
      <c r="P31526" s="5" t="s">
        <v>355</v>
      </c>
      <c r="Q31526" s="5" t="s">
        <v>355</v>
      </c>
    </row>
    <row r="31527" ht="16.5" customHeight="1">
      <c r="O31527" s="5" t="s">
        <v>355</v>
      </c>
      <c r="P31527" s="5" t="s">
        <v>355</v>
      </c>
      <c r="Q31527" s="5" t="s">
        <v>355</v>
      </c>
    </row>
    <row r="31528" ht="16.5" customHeight="1">
      <c r="O31528" s="5" t="s">
        <v>355</v>
      </c>
      <c r="P31528" s="5" t="s">
        <v>355</v>
      </c>
      <c r="Q31528" s="5" t="s">
        <v>355</v>
      </c>
    </row>
    <row r="31529" ht="16.5" customHeight="1">
      <c r="O31529" s="5" t="s">
        <v>355</v>
      </c>
      <c r="P31529" s="5" t="s">
        <v>355</v>
      </c>
      <c r="Q31529" s="5" t="s">
        <v>355</v>
      </c>
    </row>
    <row r="31530" ht="16.5" customHeight="1">
      <c r="O31530" s="5" t="s">
        <v>355</v>
      </c>
      <c r="P31530" s="5" t="s">
        <v>355</v>
      </c>
      <c r="Q31530" s="5" t="s">
        <v>355</v>
      </c>
    </row>
    <row r="31531" ht="16.5" customHeight="1">
      <c r="O31531" s="5" t="s">
        <v>355</v>
      </c>
      <c r="P31531" s="5" t="s">
        <v>355</v>
      </c>
      <c r="Q31531" s="5" t="s">
        <v>355</v>
      </c>
    </row>
    <row r="31532" ht="16.5" customHeight="1">
      <c r="O31532" s="5" t="s">
        <v>355</v>
      </c>
      <c r="P31532" s="5" t="s">
        <v>355</v>
      </c>
      <c r="Q31532" s="5" t="s">
        <v>355</v>
      </c>
    </row>
    <row r="31533" ht="16.5" customHeight="1">
      <c r="O31533" s="5" t="s">
        <v>355</v>
      </c>
      <c r="P31533" s="5" t="s">
        <v>355</v>
      </c>
      <c r="Q31533" s="5" t="s">
        <v>355</v>
      </c>
    </row>
    <row r="31534" ht="16.5" customHeight="1">
      <c r="O31534" s="5" t="s">
        <v>355</v>
      </c>
      <c r="P31534" s="5" t="s">
        <v>355</v>
      </c>
      <c r="Q31534" s="5" t="s">
        <v>355</v>
      </c>
    </row>
    <row r="31535" ht="16.5" customHeight="1">
      <c r="O31535" s="5" t="s">
        <v>355</v>
      </c>
      <c r="P31535" s="5" t="s">
        <v>355</v>
      </c>
      <c r="Q31535" s="5" t="s">
        <v>355</v>
      </c>
    </row>
    <row r="31536" ht="16.5" customHeight="1">
      <c r="O31536" s="5" t="s">
        <v>355</v>
      </c>
      <c r="P31536" s="5" t="s">
        <v>355</v>
      </c>
      <c r="Q31536" s="5" t="s">
        <v>355</v>
      </c>
    </row>
    <row r="31537" ht="16.5" customHeight="1">
      <c r="O31537" s="5" t="s">
        <v>355</v>
      </c>
      <c r="P31537" s="5" t="s">
        <v>355</v>
      </c>
      <c r="Q31537" s="5" t="s">
        <v>355</v>
      </c>
    </row>
    <row r="31538" ht="16.5" customHeight="1">
      <c r="O31538" s="5" t="s">
        <v>355</v>
      </c>
      <c r="P31538" s="5" t="s">
        <v>355</v>
      </c>
      <c r="Q31538" s="5" t="s">
        <v>355</v>
      </c>
    </row>
    <row r="31539" ht="16.5" customHeight="1">
      <c r="O31539" s="5" t="s">
        <v>355</v>
      </c>
      <c r="P31539" s="5" t="s">
        <v>355</v>
      </c>
      <c r="Q31539" s="5" t="s">
        <v>355</v>
      </c>
    </row>
    <row r="31540" ht="16.5" customHeight="1">
      <c r="O31540" s="5" t="s">
        <v>355</v>
      </c>
      <c r="P31540" s="5" t="s">
        <v>355</v>
      </c>
      <c r="Q31540" s="5" t="s">
        <v>355</v>
      </c>
    </row>
    <row r="31541" ht="16.5" customHeight="1">
      <c r="O31541" s="5" t="s">
        <v>355</v>
      </c>
      <c r="P31541" s="5" t="s">
        <v>355</v>
      </c>
      <c r="Q31541" s="5" t="s">
        <v>355</v>
      </c>
    </row>
    <row r="31542" ht="16.5" customHeight="1">
      <c r="O31542" s="5" t="s">
        <v>355</v>
      </c>
      <c r="P31542" s="5" t="s">
        <v>355</v>
      </c>
      <c r="Q31542" s="5" t="s">
        <v>355</v>
      </c>
    </row>
    <row r="31543" ht="16.5" customHeight="1">
      <c r="O31543" s="5" t="s">
        <v>355</v>
      </c>
      <c r="P31543" s="5" t="s">
        <v>355</v>
      </c>
      <c r="Q31543" s="5" t="s">
        <v>355</v>
      </c>
    </row>
    <row r="31544" ht="16.5" customHeight="1">
      <c r="O31544" s="5" t="s">
        <v>355</v>
      </c>
      <c r="P31544" s="5" t="s">
        <v>355</v>
      </c>
      <c r="Q31544" s="5" t="s">
        <v>355</v>
      </c>
    </row>
    <row r="31545" ht="16.5" customHeight="1">
      <c r="O31545" s="5" t="s">
        <v>355</v>
      </c>
      <c r="P31545" s="5" t="s">
        <v>355</v>
      </c>
      <c r="Q31545" s="5" t="s">
        <v>355</v>
      </c>
    </row>
    <row r="31546" ht="16.5" customHeight="1">
      <c r="O31546" s="5" t="s">
        <v>355</v>
      </c>
      <c r="P31546" s="5" t="s">
        <v>355</v>
      </c>
      <c r="Q31546" s="5" t="s">
        <v>355</v>
      </c>
    </row>
    <row r="31547" ht="16.5" customHeight="1">
      <c r="O31547" s="5" t="s">
        <v>355</v>
      </c>
      <c r="P31547" s="5" t="s">
        <v>355</v>
      </c>
      <c r="Q31547" s="5" t="s">
        <v>355</v>
      </c>
    </row>
    <row r="31548" ht="16.5" customHeight="1">
      <c r="O31548" s="5" t="s">
        <v>355</v>
      </c>
      <c r="P31548" s="5" t="s">
        <v>355</v>
      </c>
      <c r="Q31548" s="5" t="s">
        <v>355</v>
      </c>
    </row>
    <row r="31549" ht="16.5" customHeight="1">
      <c r="O31549" s="5" t="s">
        <v>355</v>
      </c>
      <c r="P31549" s="5" t="s">
        <v>355</v>
      </c>
      <c r="Q31549" s="5" t="s">
        <v>355</v>
      </c>
    </row>
    <row r="31550" ht="16.5" customHeight="1">
      <c r="O31550" s="5" t="s">
        <v>355</v>
      </c>
      <c r="P31550" s="5" t="s">
        <v>355</v>
      </c>
      <c r="Q31550" s="5" t="s">
        <v>355</v>
      </c>
    </row>
    <row r="31551" ht="16.5" customHeight="1">
      <c r="O31551" s="5" t="s">
        <v>355</v>
      </c>
      <c r="P31551" s="5" t="s">
        <v>355</v>
      </c>
      <c r="Q31551" s="5" t="s">
        <v>355</v>
      </c>
    </row>
    <row r="31552" ht="16.5" customHeight="1">
      <c r="O31552" s="5" t="s">
        <v>355</v>
      </c>
      <c r="P31552" s="5" t="s">
        <v>355</v>
      </c>
      <c r="Q31552" s="5" t="s">
        <v>355</v>
      </c>
    </row>
    <row r="31553" ht="16.5" customHeight="1">
      <c r="O31553" s="5" t="s">
        <v>355</v>
      </c>
      <c r="P31553" s="5" t="s">
        <v>355</v>
      </c>
      <c r="Q31553" s="5" t="s">
        <v>355</v>
      </c>
    </row>
    <row r="31554" ht="16.5" customHeight="1">
      <c r="O31554" s="5" t="s">
        <v>355</v>
      </c>
      <c r="P31554" s="5" t="s">
        <v>355</v>
      </c>
      <c r="Q31554" s="5" t="s">
        <v>355</v>
      </c>
    </row>
    <row r="31555" ht="16.5" customHeight="1">
      <c r="O31555" s="5" t="s">
        <v>355</v>
      </c>
      <c r="P31555" s="5" t="s">
        <v>355</v>
      </c>
      <c r="Q31555" s="5" t="s">
        <v>355</v>
      </c>
    </row>
    <row r="31556" ht="16.5" customHeight="1">
      <c r="O31556" s="5" t="s">
        <v>355</v>
      </c>
      <c r="P31556" s="5" t="s">
        <v>355</v>
      </c>
      <c r="Q31556" s="5" t="s">
        <v>355</v>
      </c>
    </row>
    <row r="31557" ht="16.5" customHeight="1">
      <c r="O31557" s="5" t="s">
        <v>355</v>
      </c>
      <c r="P31557" s="5" t="s">
        <v>355</v>
      </c>
      <c r="Q31557" s="5" t="s">
        <v>355</v>
      </c>
    </row>
    <row r="31558" ht="16.5" customHeight="1">
      <c r="O31558" s="5" t="s">
        <v>355</v>
      </c>
      <c r="P31558" s="5" t="s">
        <v>355</v>
      </c>
      <c r="Q31558" s="5" t="s">
        <v>355</v>
      </c>
    </row>
    <row r="31559" ht="16.5" customHeight="1">
      <c r="O31559" s="5" t="s">
        <v>355</v>
      </c>
      <c r="P31559" s="5" t="s">
        <v>355</v>
      </c>
      <c r="Q31559" s="5" t="s">
        <v>355</v>
      </c>
    </row>
    <row r="31560" ht="16.5" customHeight="1">
      <c r="O31560" s="5" t="s">
        <v>355</v>
      </c>
      <c r="P31560" s="5" t="s">
        <v>355</v>
      </c>
      <c r="Q31560" s="5" t="s">
        <v>355</v>
      </c>
    </row>
    <row r="31561" ht="16.5" customHeight="1">
      <c r="O31561" s="5" t="s">
        <v>355</v>
      </c>
      <c r="P31561" s="5" t="s">
        <v>355</v>
      </c>
      <c r="Q31561" s="5" t="s">
        <v>355</v>
      </c>
    </row>
    <row r="31562" ht="16.5" customHeight="1">
      <c r="O31562" s="5" t="s">
        <v>355</v>
      </c>
      <c r="P31562" s="5" t="s">
        <v>355</v>
      </c>
      <c r="Q31562" s="5" t="s">
        <v>355</v>
      </c>
    </row>
    <row r="31563" ht="16.5" customHeight="1">
      <c r="O31563" s="5" t="s">
        <v>355</v>
      </c>
      <c r="P31563" s="5" t="s">
        <v>355</v>
      </c>
      <c r="Q31563" s="5" t="s">
        <v>355</v>
      </c>
    </row>
    <row r="31564" ht="16.5" customHeight="1">
      <c r="O31564" s="5" t="s">
        <v>355</v>
      </c>
      <c r="P31564" s="5" t="s">
        <v>355</v>
      </c>
      <c r="Q31564" s="5" t="s">
        <v>355</v>
      </c>
    </row>
    <row r="31565" ht="16.5" customHeight="1">
      <c r="O31565" s="5" t="s">
        <v>355</v>
      </c>
      <c r="P31565" s="5" t="s">
        <v>355</v>
      </c>
      <c r="Q31565" s="5" t="s">
        <v>355</v>
      </c>
    </row>
    <row r="31566" ht="16.5" customHeight="1">
      <c r="O31566" s="5" t="s">
        <v>355</v>
      </c>
      <c r="P31566" s="5" t="s">
        <v>355</v>
      </c>
      <c r="Q31566" s="5" t="s">
        <v>355</v>
      </c>
    </row>
    <row r="31567" ht="16.5" customHeight="1">
      <c r="O31567" s="5" t="s">
        <v>355</v>
      </c>
      <c r="P31567" s="5" t="s">
        <v>355</v>
      </c>
      <c r="Q31567" s="5" t="s">
        <v>355</v>
      </c>
    </row>
    <row r="31568" ht="16.5" customHeight="1">
      <c r="O31568" s="5" t="s">
        <v>355</v>
      </c>
      <c r="P31568" s="5" t="s">
        <v>355</v>
      </c>
      <c r="Q31568" s="5" t="s">
        <v>355</v>
      </c>
    </row>
    <row r="31569" ht="16.5" customHeight="1">
      <c r="O31569" s="5" t="s">
        <v>355</v>
      </c>
      <c r="P31569" s="5" t="s">
        <v>355</v>
      </c>
      <c r="Q31569" s="5" t="s">
        <v>355</v>
      </c>
    </row>
    <row r="31570" ht="16.5" customHeight="1">
      <c r="O31570" s="5" t="s">
        <v>355</v>
      </c>
      <c r="P31570" s="5" t="s">
        <v>355</v>
      </c>
      <c r="Q31570" s="5" t="s">
        <v>355</v>
      </c>
    </row>
    <row r="31571" ht="16.5" customHeight="1">
      <c r="O31571" s="5" t="s">
        <v>355</v>
      </c>
      <c r="P31571" s="5" t="s">
        <v>355</v>
      </c>
      <c r="Q31571" s="5" t="s">
        <v>355</v>
      </c>
    </row>
    <row r="31572" ht="16.5" customHeight="1">
      <c r="O31572" s="5" t="s">
        <v>355</v>
      </c>
      <c r="P31572" s="5" t="s">
        <v>355</v>
      </c>
      <c r="Q31572" s="5" t="s">
        <v>355</v>
      </c>
    </row>
    <row r="31573" ht="16.5" customHeight="1">
      <c r="O31573" s="5" t="s">
        <v>355</v>
      </c>
      <c r="P31573" s="5" t="s">
        <v>355</v>
      </c>
      <c r="Q31573" s="5" t="s">
        <v>355</v>
      </c>
    </row>
    <row r="31574" ht="16.5" customHeight="1">
      <c r="O31574" s="5" t="s">
        <v>355</v>
      </c>
      <c r="P31574" s="5" t="s">
        <v>355</v>
      </c>
      <c r="Q31574" s="5" t="s">
        <v>355</v>
      </c>
    </row>
    <row r="31575" ht="16.5" customHeight="1">
      <c r="O31575" s="5" t="s">
        <v>355</v>
      </c>
      <c r="P31575" s="5" t="s">
        <v>355</v>
      </c>
      <c r="Q31575" s="5" t="s">
        <v>355</v>
      </c>
    </row>
    <row r="31576" ht="16.5" customHeight="1">
      <c r="O31576" s="5" t="s">
        <v>355</v>
      </c>
      <c r="P31576" s="5" t="s">
        <v>355</v>
      </c>
      <c r="Q31576" s="5" t="s">
        <v>355</v>
      </c>
    </row>
    <row r="31577" ht="16.5" customHeight="1">
      <c r="O31577" s="5" t="s">
        <v>355</v>
      </c>
      <c r="P31577" s="5" t="s">
        <v>355</v>
      </c>
      <c r="Q31577" s="5" t="s">
        <v>355</v>
      </c>
    </row>
    <row r="31578" ht="16.5" customHeight="1">
      <c r="O31578" s="5" t="s">
        <v>355</v>
      </c>
      <c r="P31578" s="5" t="s">
        <v>355</v>
      </c>
      <c r="Q31578" s="5" t="s">
        <v>355</v>
      </c>
    </row>
    <row r="31579" ht="16.5" customHeight="1">
      <c r="O31579" s="5" t="s">
        <v>355</v>
      </c>
      <c r="P31579" s="5" t="s">
        <v>355</v>
      </c>
      <c r="Q31579" s="5" t="s">
        <v>355</v>
      </c>
    </row>
    <row r="31580" ht="16.5" customHeight="1">
      <c r="O31580" s="5" t="s">
        <v>355</v>
      </c>
      <c r="P31580" s="5" t="s">
        <v>355</v>
      </c>
      <c r="Q31580" s="5" t="s">
        <v>355</v>
      </c>
    </row>
    <row r="31581" ht="16.5" customHeight="1">
      <c r="O31581" s="5" t="s">
        <v>355</v>
      </c>
      <c r="P31581" s="5" t="s">
        <v>355</v>
      </c>
      <c r="Q31581" s="5" t="s">
        <v>355</v>
      </c>
    </row>
    <row r="31582" ht="16.5" customHeight="1">
      <c r="O31582" s="5" t="s">
        <v>355</v>
      </c>
      <c r="P31582" s="5" t="s">
        <v>355</v>
      </c>
      <c r="Q31582" s="5" t="s">
        <v>355</v>
      </c>
    </row>
    <row r="31583" ht="16.5" customHeight="1">
      <c r="O31583" s="5" t="s">
        <v>355</v>
      </c>
      <c r="P31583" s="5" t="s">
        <v>355</v>
      </c>
      <c r="Q31583" s="5" t="s">
        <v>355</v>
      </c>
    </row>
    <row r="31584" ht="16.5" customHeight="1">
      <c r="O31584" s="5" t="s">
        <v>355</v>
      </c>
      <c r="P31584" s="5" t="s">
        <v>355</v>
      </c>
      <c r="Q31584" s="5" t="s">
        <v>355</v>
      </c>
    </row>
    <row r="31585" ht="16.5" customHeight="1">
      <c r="O31585" s="5" t="s">
        <v>355</v>
      </c>
      <c r="P31585" s="5" t="s">
        <v>355</v>
      </c>
      <c r="Q31585" s="5" t="s">
        <v>355</v>
      </c>
    </row>
    <row r="31586" ht="16.5" customHeight="1">
      <c r="O31586" s="5" t="s">
        <v>355</v>
      </c>
      <c r="P31586" s="5" t="s">
        <v>355</v>
      </c>
      <c r="Q31586" s="5" t="s">
        <v>355</v>
      </c>
    </row>
    <row r="31587" ht="16.5" customHeight="1">
      <c r="O31587" s="5" t="s">
        <v>355</v>
      </c>
      <c r="P31587" s="5" t="s">
        <v>355</v>
      </c>
      <c r="Q31587" s="5" t="s">
        <v>355</v>
      </c>
    </row>
    <row r="31588" ht="16.5" customHeight="1">
      <c r="O31588" s="5" t="s">
        <v>355</v>
      </c>
      <c r="P31588" s="5" t="s">
        <v>355</v>
      </c>
      <c r="Q31588" s="5" t="s">
        <v>355</v>
      </c>
    </row>
    <row r="31589" ht="16.5" customHeight="1">
      <c r="O31589" s="5" t="s">
        <v>355</v>
      </c>
      <c r="P31589" s="5" t="s">
        <v>355</v>
      </c>
      <c r="Q31589" s="5" t="s">
        <v>355</v>
      </c>
    </row>
    <row r="31590" ht="16.5" customHeight="1">
      <c r="O31590" s="5" t="s">
        <v>355</v>
      </c>
      <c r="P31590" s="5" t="s">
        <v>355</v>
      </c>
      <c r="Q31590" s="5" t="s">
        <v>355</v>
      </c>
    </row>
    <row r="31591" ht="16.5" customHeight="1">
      <c r="O31591" s="5" t="s">
        <v>355</v>
      </c>
      <c r="P31591" s="5" t="s">
        <v>355</v>
      </c>
      <c r="Q31591" s="5" t="s">
        <v>355</v>
      </c>
    </row>
    <row r="31592" ht="16.5" customHeight="1">
      <c r="O31592" s="5" t="s">
        <v>355</v>
      </c>
      <c r="P31592" s="5" t="s">
        <v>355</v>
      </c>
      <c r="Q31592" s="5" t="s">
        <v>355</v>
      </c>
    </row>
    <row r="31593" ht="16.5" customHeight="1">
      <c r="O31593" s="5" t="s">
        <v>355</v>
      </c>
      <c r="P31593" s="5" t="s">
        <v>355</v>
      </c>
      <c r="Q31593" s="5" t="s">
        <v>355</v>
      </c>
    </row>
    <row r="31594" ht="16.5" customHeight="1">
      <c r="O31594" s="5" t="s">
        <v>355</v>
      </c>
      <c r="P31594" s="5" t="s">
        <v>355</v>
      </c>
      <c r="Q31594" s="5" t="s">
        <v>355</v>
      </c>
    </row>
    <row r="31595" ht="16.5" customHeight="1">
      <c r="O31595" s="5" t="s">
        <v>355</v>
      </c>
      <c r="P31595" s="5" t="s">
        <v>355</v>
      </c>
      <c r="Q31595" s="5" t="s">
        <v>355</v>
      </c>
    </row>
    <row r="31596" ht="16.5" customHeight="1">
      <c r="O31596" s="5" t="s">
        <v>355</v>
      </c>
      <c r="P31596" s="5" t="s">
        <v>355</v>
      </c>
      <c r="Q31596" s="5" t="s">
        <v>355</v>
      </c>
    </row>
    <row r="31597" ht="16.5" customHeight="1">
      <c r="O31597" s="5" t="s">
        <v>355</v>
      </c>
      <c r="P31597" s="5" t="s">
        <v>355</v>
      </c>
      <c r="Q31597" s="5" t="s">
        <v>355</v>
      </c>
    </row>
    <row r="31598" ht="16.5" customHeight="1">
      <c r="O31598" s="5" t="s">
        <v>355</v>
      </c>
      <c r="P31598" s="5" t="s">
        <v>355</v>
      </c>
      <c r="Q31598" s="5" t="s">
        <v>355</v>
      </c>
    </row>
    <row r="31599" ht="16.5" customHeight="1">
      <c r="O31599" s="5" t="s">
        <v>355</v>
      </c>
      <c r="P31599" s="5" t="s">
        <v>355</v>
      </c>
      <c r="Q31599" s="5" t="s">
        <v>355</v>
      </c>
    </row>
    <row r="31600" ht="16.5" customHeight="1">
      <c r="O31600" s="5" t="s">
        <v>355</v>
      </c>
      <c r="P31600" s="5" t="s">
        <v>355</v>
      </c>
      <c r="Q31600" s="5" t="s">
        <v>355</v>
      </c>
    </row>
    <row r="31601" ht="16.5" customHeight="1">
      <c r="O31601" s="5" t="s">
        <v>355</v>
      </c>
      <c r="P31601" s="5" t="s">
        <v>355</v>
      </c>
      <c r="Q31601" s="5" t="s">
        <v>355</v>
      </c>
    </row>
    <row r="31602" ht="16.5" customHeight="1">
      <c r="O31602" s="5" t="s">
        <v>355</v>
      </c>
      <c r="P31602" s="5" t="s">
        <v>355</v>
      </c>
      <c r="Q31602" s="5" t="s">
        <v>355</v>
      </c>
    </row>
    <row r="31603" ht="16.5" customHeight="1">
      <c r="O31603" s="5" t="s">
        <v>355</v>
      </c>
      <c r="P31603" s="5" t="s">
        <v>355</v>
      </c>
      <c r="Q31603" s="5" t="s">
        <v>355</v>
      </c>
    </row>
    <row r="31604" ht="16.5" customHeight="1">
      <c r="O31604" s="5" t="s">
        <v>355</v>
      </c>
      <c r="P31604" s="5" t="s">
        <v>355</v>
      </c>
      <c r="Q31604" s="5" t="s">
        <v>355</v>
      </c>
    </row>
    <row r="31605" ht="16.5" customHeight="1">
      <c r="O31605" s="5" t="s">
        <v>355</v>
      </c>
      <c r="P31605" s="5" t="s">
        <v>355</v>
      </c>
      <c r="Q31605" s="5" t="s">
        <v>355</v>
      </c>
    </row>
    <row r="31606" ht="16.5" customHeight="1">
      <c r="O31606" s="5" t="s">
        <v>355</v>
      </c>
      <c r="P31606" s="5" t="s">
        <v>355</v>
      </c>
      <c r="Q31606" s="5" t="s">
        <v>355</v>
      </c>
    </row>
    <row r="31607" ht="16.5" customHeight="1">
      <c r="O31607" s="5" t="s">
        <v>355</v>
      </c>
      <c r="P31607" s="5" t="s">
        <v>355</v>
      </c>
      <c r="Q31607" s="5" t="s">
        <v>355</v>
      </c>
    </row>
    <row r="31608" ht="16.5" customHeight="1">
      <c r="O31608" s="5" t="s">
        <v>355</v>
      </c>
      <c r="P31608" s="5" t="s">
        <v>355</v>
      </c>
      <c r="Q31608" s="5" t="s">
        <v>355</v>
      </c>
    </row>
    <row r="31609" ht="16.5" customHeight="1">
      <c r="O31609" s="5" t="s">
        <v>355</v>
      </c>
      <c r="P31609" s="5" t="s">
        <v>355</v>
      </c>
      <c r="Q31609" s="5" t="s">
        <v>355</v>
      </c>
    </row>
    <row r="31610" ht="16.5" customHeight="1">
      <c r="O31610" s="5" t="s">
        <v>355</v>
      </c>
      <c r="P31610" s="5" t="s">
        <v>355</v>
      </c>
      <c r="Q31610" s="5" t="s">
        <v>355</v>
      </c>
    </row>
    <row r="31611" ht="16.5" customHeight="1">
      <c r="O31611" s="5" t="s">
        <v>355</v>
      </c>
      <c r="P31611" s="5" t="s">
        <v>355</v>
      </c>
      <c r="Q31611" s="5" t="s">
        <v>355</v>
      </c>
    </row>
    <row r="31612" ht="16.5" customHeight="1">
      <c r="O31612" s="5" t="s">
        <v>355</v>
      </c>
      <c r="P31612" s="5" t="s">
        <v>355</v>
      </c>
      <c r="Q31612" s="5" t="s">
        <v>355</v>
      </c>
    </row>
    <row r="31613" ht="16.5" customHeight="1">
      <c r="O31613" s="5" t="s">
        <v>355</v>
      </c>
      <c r="P31613" s="5" t="s">
        <v>355</v>
      </c>
      <c r="Q31613" s="5" t="s">
        <v>355</v>
      </c>
    </row>
    <row r="31614" ht="16.5" customHeight="1">
      <c r="O31614" s="5" t="s">
        <v>355</v>
      </c>
      <c r="P31614" s="5" t="s">
        <v>355</v>
      </c>
      <c r="Q31614" s="5" t="s">
        <v>355</v>
      </c>
    </row>
    <row r="31615" ht="16.5" customHeight="1">
      <c r="O31615" s="5" t="s">
        <v>355</v>
      </c>
      <c r="P31615" s="5" t="s">
        <v>355</v>
      </c>
      <c r="Q31615" s="5" t="s">
        <v>355</v>
      </c>
    </row>
    <row r="31616" ht="16.5" customHeight="1">
      <c r="O31616" s="5" t="s">
        <v>355</v>
      </c>
      <c r="P31616" s="5" t="s">
        <v>355</v>
      </c>
      <c r="Q31616" s="5" t="s">
        <v>355</v>
      </c>
    </row>
    <row r="31617" ht="16.5" customHeight="1">
      <c r="O31617" s="5" t="s">
        <v>355</v>
      </c>
      <c r="P31617" s="5" t="s">
        <v>355</v>
      </c>
      <c r="Q31617" s="5" t="s">
        <v>355</v>
      </c>
    </row>
    <row r="31618" ht="16.5" customHeight="1">
      <c r="O31618" s="5" t="s">
        <v>355</v>
      </c>
      <c r="P31618" s="5" t="s">
        <v>355</v>
      </c>
      <c r="Q31618" s="5" t="s">
        <v>355</v>
      </c>
    </row>
    <row r="31619" ht="16.5" customHeight="1">
      <c r="O31619" s="5" t="s">
        <v>355</v>
      </c>
      <c r="P31619" s="5" t="s">
        <v>355</v>
      </c>
      <c r="Q31619" s="5" t="s">
        <v>355</v>
      </c>
    </row>
    <row r="31620" ht="16.5" customHeight="1">
      <c r="O31620" s="5" t="s">
        <v>355</v>
      </c>
      <c r="P31620" s="5" t="s">
        <v>355</v>
      </c>
      <c r="Q31620" s="5" t="s">
        <v>355</v>
      </c>
    </row>
    <row r="31621" ht="16.5" customHeight="1">
      <c r="O31621" s="5" t="s">
        <v>355</v>
      </c>
      <c r="P31621" s="5" t="s">
        <v>355</v>
      </c>
      <c r="Q31621" s="5" t="s">
        <v>355</v>
      </c>
    </row>
    <row r="31622" ht="16.5" customHeight="1">
      <c r="O31622" s="5" t="s">
        <v>355</v>
      </c>
      <c r="P31622" s="5" t="s">
        <v>355</v>
      </c>
      <c r="Q31622" s="5" t="s">
        <v>355</v>
      </c>
    </row>
    <row r="31623" ht="16.5" customHeight="1">
      <c r="O31623" s="5" t="s">
        <v>355</v>
      </c>
      <c r="P31623" s="5" t="s">
        <v>355</v>
      </c>
      <c r="Q31623" s="5" t="s">
        <v>355</v>
      </c>
    </row>
    <row r="31624" ht="16.5" customHeight="1">
      <c r="O31624" s="5" t="s">
        <v>355</v>
      </c>
      <c r="P31624" s="5" t="s">
        <v>355</v>
      </c>
      <c r="Q31624" s="5" t="s">
        <v>355</v>
      </c>
    </row>
    <row r="31625" ht="16.5" customHeight="1">
      <c r="O31625" s="5" t="s">
        <v>355</v>
      </c>
      <c r="P31625" s="5" t="s">
        <v>355</v>
      </c>
      <c r="Q31625" s="5" t="s">
        <v>355</v>
      </c>
    </row>
    <row r="31626" ht="16.5" customHeight="1">
      <c r="O31626" s="5" t="s">
        <v>355</v>
      </c>
      <c r="P31626" s="5" t="s">
        <v>355</v>
      </c>
      <c r="Q31626" s="5" t="s">
        <v>355</v>
      </c>
    </row>
    <row r="31627" ht="16.5" customHeight="1">
      <c r="O31627" s="5" t="s">
        <v>355</v>
      </c>
      <c r="P31627" s="5" t="s">
        <v>355</v>
      </c>
      <c r="Q31627" s="5" t="s">
        <v>355</v>
      </c>
    </row>
    <row r="31628" ht="16.5" customHeight="1">
      <c r="O31628" s="5" t="s">
        <v>355</v>
      </c>
      <c r="P31628" s="5" t="s">
        <v>355</v>
      </c>
      <c r="Q31628" s="5" t="s">
        <v>355</v>
      </c>
    </row>
    <row r="31629" ht="16.5" customHeight="1">
      <c r="O31629" s="5" t="s">
        <v>355</v>
      </c>
      <c r="P31629" s="5" t="s">
        <v>355</v>
      </c>
      <c r="Q31629" s="5" t="s">
        <v>355</v>
      </c>
    </row>
    <row r="31630" ht="16.5" customHeight="1">
      <c r="O31630" s="5" t="s">
        <v>355</v>
      </c>
      <c r="P31630" s="5" t="s">
        <v>355</v>
      </c>
      <c r="Q31630" s="5" t="s">
        <v>355</v>
      </c>
    </row>
    <row r="31631" ht="16.5" customHeight="1">
      <c r="O31631" s="5" t="s">
        <v>355</v>
      </c>
      <c r="P31631" s="5" t="s">
        <v>355</v>
      </c>
      <c r="Q31631" s="5" t="s">
        <v>355</v>
      </c>
    </row>
    <row r="31632" ht="16.5" customHeight="1">
      <c r="O31632" s="5" t="s">
        <v>355</v>
      </c>
      <c r="P31632" s="5" t="s">
        <v>355</v>
      </c>
      <c r="Q31632" s="5" t="s">
        <v>355</v>
      </c>
    </row>
    <row r="31633" ht="16.5" customHeight="1">
      <c r="O31633" s="5" t="s">
        <v>355</v>
      </c>
      <c r="P31633" s="5" t="s">
        <v>355</v>
      </c>
      <c r="Q31633" s="5" t="s">
        <v>355</v>
      </c>
    </row>
    <row r="31634" ht="16.5" customHeight="1">
      <c r="O31634" s="5" t="s">
        <v>355</v>
      </c>
      <c r="P31634" s="5" t="s">
        <v>355</v>
      </c>
      <c r="Q31634" s="5" t="s">
        <v>355</v>
      </c>
    </row>
    <row r="31635" ht="16.5" customHeight="1">
      <c r="O31635" s="5" t="s">
        <v>355</v>
      </c>
      <c r="P31635" s="5" t="s">
        <v>355</v>
      </c>
      <c r="Q31635" s="5" t="s">
        <v>355</v>
      </c>
    </row>
    <row r="31636" ht="16.5" customHeight="1">
      <c r="O31636" s="5" t="s">
        <v>355</v>
      </c>
      <c r="P31636" s="5" t="s">
        <v>355</v>
      </c>
      <c r="Q31636" s="5" t="s">
        <v>355</v>
      </c>
    </row>
    <row r="31637" ht="16.5" customHeight="1">
      <c r="O31637" s="5" t="s">
        <v>355</v>
      </c>
      <c r="P31637" s="5" t="s">
        <v>355</v>
      </c>
      <c r="Q31637" s="5" t="s">
        <v>355</v>
      </c>
    </row>
    <row r="31638" ht="16.5" customHeight="1">
      <c r="O31638" s="5" t="s">
        <v>355</v>
      </c>
      <c r="P31638" s="5" t="s">
        <v>355</v>
      </c>
      <c r="Q31638" s="5" t="s">
        <v>355</v>
      </c>
    </row>
    <row r="31639" ht="16.5" customHeight="1">
      <c r="O31639" s="5" t="s">
        <v>355</v>
      </c>
      <c r="P31639" s="5" t="s">
        <v>355</v>
      </c>
      <c r="Q31639" s="5" t="s">
        <v>355</v>
      </c>
    </row>
    <row r="31640" ht="16.5" customHeight="1">
      <c r="O31640" s="5" t="s">
        <v>355</v>
      </c>
      <c r="P31640" s="5" t="s">
        <v>355</v>
      </c>
      <c r="Q31640" s="5" t="s">
        <v>355</v>
      </c>
    </row>
    <row r="31641" ht="16.5" customHeight="1">
      <c r="O31641" s="5" t="s">
        <v>355</v>
      </c>
      <c r="P31641" s="5" t="s">
        <v>355</v>
      </c>
      <c r="Q31641" s="5" t="s">
        <v>355</v>
      </c>
    </row>
    <row r="31642" ht="16.5" customHeight="1">
      <c r="O31642" s="5" t="s">
        <v>355</v>
      </c>
      <c r="P31642" s="5" t="s">
        <v>355</v>
      </c>
      <c r="Q31642" s="5" t="s">
        <v>355</v>
      </c>
    </row>
    <row r="31643" ht="16.5" customHeight="1">
      <c r="O31643" s="5" t="s">
        <v>355</v>
      </c>
      <c r="P31643" s="5" t="s">
        <v>355</v>
      </c>
      <c r="Q31643" s="5" t="s">
        <v>355</v>
      </c>
    </row>
    <row r="31644" ht="16.5" customHeight="1">
      <c r="O31644" s="5" t="s">
        <v>355</v>
      </c>
      <c r="P31644" s="5" t="s">
        <v>355</v>
      </c>
      <c r="Q31644" s="5" t="s">
        <v>355</v>
      </c>
    </row>
    <row r="31645" ht="16.5" customHeight="1">
      <c r="O31645" s="5" t="s">
        <v>355</v>
      </c>
      <c r="P31645" s="5" t="s">
        <v>355</v>
      </c>
      <c r="Q31645" s="5" t="s">
        <v>355</v>
      </c>
    </row>
    <row r="31646" ht="16.5" customHeight="1">
      <c r="O31646" s="5" t="s">
        <v>355</v>
      </c>
      <c r="P31646" s="5" t="s">
        <v>355</v>
      </c>
      <c r="Q31646" s="5" t="s">
        <v>355</v>
      </c>
    </row>
    <row r="31647" ht="16.5" customHeight="1">
      <c r="O31647" s="5" t="s">
        <v>355</v>
      </c>
      <c r="P31647" s="5" t="s">
        <v>355</v>
      </c>
      <c r="Q31647" s="5" t="s">
        <v>355</v>
      </c>
    </row>
    <row r="31648" ht="16.5" customHeight="1">
      <c r="O31648" s="5" t="s">
        <v>355</v>
      </c>
      <c r="P31648" s="5" t="s">
        <v>355</v>
      </c>
      <c r="Q31648" s="5" t="s">
        <v>355</v>
      </c>
    </row>
    <row r="31649" ht="16.5" customHeight="1">
      <c r="O31649" s="5" t="s">
        <v>355</v>
      </c>
      <c r="P31649" s="5" t="s">
        <v>355</v>
      </c>
      <c r="Q31649" s="5" t="s">
        <v>355</v>
      </c>
    </row>
    <row r="31650" ht="16.5" customHeight="1">
      <c r="O31650" s="5" t="s">
        <v>355</v>
      </c>
      <c r="P31650" s="5" t="s">
        <v>355</v>
      </c>
      <c r="Q31650" s="5" t="s">
        <v>355</v>
      </c>
    </row>
    <row r="31651" ht="16.5" customHeight="1">
      <c r="O31651" s="5" t="s">
        <v>355</v>
      </c>
      <c r="P31651" s="5" t="s">
        <v>355</v>
      </c>
      <c r="Q31651" s="5" t="s">
        <v>355</v>
      </c>
    </row>
    <row r="31652" ht="16.5" customHeight="1">
      <c r="O31652" s="5" t="s">
        <v>355</v>
      </c>
      <c r="P31652" s="5" t="s">
        <v>355</v>
      </c>
      <c r="Q31652" s="5" t="s">
        <v>355</v>
      </c>
    </row>
    <row r="31653" ht="16.5" customHeight="1">
      <c r="O31653" s="5" t="s">
        <v>355</v>
      </c>
      <c r="P31653" s="5" t="s">
        <v>355</v>
      </c>
      <c r="Q31653" s="5" t="s">
        <v>355</v>
      </c>
    </row>
    <row r="31654" ht="16.5" customHeight="1">
      <c r="O31654" s="5" t="s">
        <v>355</v>
      </c>
      <c r="P31654" s="5" t="s">
        <v>355</v>
      </c>
      <c r="Q31654" s="5" t="s">
        <v>355</v>
      </c>
    </row>
    <row r="31655" ht="16.5" customHeight="1">
      <c r="O31655" s="5" t="s">
        <v>355</v>
      </c>
      <c r="P31655" s="5" t="s">
        <v>355</v>
      </c>
      <c r="Q31655" s="5" t="s">
        <v>355</v>
      </c>
    </row>
    <row r="31656" ht="16.5" customHeight="1">
      <c r="O31656" s="5" t="s">
        <v>355</v>
      </c>
      <c r="P31656" s="5" t="s">
        <v>355</v>
      </c>
      <c r="Q31656" s="5" t="s">
        <v>355</v>
      </c>
    </row>
    <row r="31657" ht="16.5" customHeight="1">
      <c r="O31657" s="5" t="s">
        <v>355</v>
      </c>
      <c r="P31657" s="5" t="s">
        <v>355</v>
      </c>
      <c r="Q31657" s="5" t="s">
        <v>355</v>
      </c>
    </row>
    <row r="31658" ht="16.5" customHeight="1">
      <c r="O31658" s="5" t="s">
        <v>355</v>
      </c>
      <c r="P31658" s="5" t="s">
        <v>355</v>
      </c>
      <c r="Q31658" s="5" t="s">
        <v>355</v>
      </c>
    </row>
    <row r="31659" ht="16.5" customHeight="1">
      <c r="O31659" s="5" t="s">
        <v>355</v>
      </c>
      <c r="P31659" s="5" t="s">
        <v>355</v>
      </c>
      <c r="Q31659" s="5" t="s">
        <v>355</v>
      </c>
    </row>
    <row r="31660" ht="16.5" customHeight="1">
      <c r="O31660" s="5" t="s">
        <v>355</v>
      </c>
      <c r="P31660" s="5" t="s">
        <v>355</v>
      </c>
      <c r="Q31660" s="5" t="s">
        <v>355</v>
      </c>
    </row>
    <row r="31661" ht="16.5" customHeight="1">
      <c r="O31661" s="5" t="s">
        <v>355</v>
      </c>
      <c r="P31661" s="5" t="s">
        <v>355</v>
      </c>
      <c r="Q31661" s="5" t="s">
        <v>355</v>
      </c>
    </row>
    <row r="31662" ht="16.5" customHeight="1">
      <c r="O31662" s="5" t="s">
        <v>355</v>
      </c>
      <c r="P31662" s="5" t="s">
        <v>355</v>
      </c>
      <c r="Q31662" s="5" t="s">
        <v>355</v>
      </c>
    </row>
    <row r="31663" ht="16.5" customHeight="1">
      <c r="O31663" s="5" t="s">
        <v>355</v>
      </c>
      <c r="P31663" s="5" t="s">
        <v>355</v>
      </c>
      <c r="Q31663" s="5" t="s">
        <v>355</v>
      </c>
    </row>
    <row r="31664" ht="16.5" customHeight="1">
      <c r="O31664" s="5" t="s">
        <v>355</v>
      </c>
      <c r="P31664" s="5" t="s">
        <v>355</v>
      </c>
      <c r="Q31664" s="5" t="s">
        <v>355</v>
      </c>
    </row>
    <row r="31665" ht="16.5" customHeight="1">
      <c r="O31665" s="5" t="s">
        <v>355</v>
      </c>
      <c r="P31665" s="5" t="s">
        <v>355</v>
      </c>
      <c r="Q31665" s="5" t="s">
        <v>355</v>
      </c>
    </row>
    <row r="31666" ht="16.5" customHeight="1">
      <c r="O31666" s="5" t="s">
        <v>355</v>
      </c>
      <c r="P31666" s="5" t="s">
        <v>355</v>
      </c>
      <c r="Q31666" s="5" t="s">
        <v>355</v>
      </c>
    </row>
    <row r="31667" ht="16.5" customHeight="1">
      <c r="O31667" s="5" t="s">
        <v>355</v>
      </c>
      <c r="P31667" s="5" t="s">
        <v>355</v>
      </c>
      <c r="Q31667" s="5" t="s">
        <v>355</v>
      </c>
    </row>
    <row r="31668" ht="16.5" customHeight="1">
      <c r="O31668" s="5" t="s">
        <v>355</v>
      </c>
      <c r="P31668" s="5" t="s">
        <v>355</v>
      </c>
      <c r="Q31668" s="5" t="s">
        <v>355</v>
      </c>
    </row>
    <row r="31669" ht="16.5" customHeight="1">
      <c r="O31669" s="5" t="s">
        <v>355</v>
      </c>
      <c r="P31669" s="5" t="s">
        <v>355</v>
      </c>
      <c r="Q31669" s="5" t="s">
        <v>355</v>
      </c>
    </row>
    <row r="31670" ht="16.5" customHeight="1">
      <c r="O31670" s="5" t="s">
        <v>355</v>
      </c>
      <c r="P31670" s="5" t="s">
        <v>355</v>
      </c>
      <c r="Q31670" s="5" t="s">
        <v>355</v>
      </c>
    </row>
    <row r="31671" ht="16.5" customHeight="1">
      <c r="O31671" s="5" t="s">
        <v>355</v>
      </c>
      <c r="P31671" s="5" t="s">
        <v>355</v>
      </c>
      <c r="Q31671" s="5" t="s">
        <v>355</v>
      </c>
    </row>
    <row r="31672" ht="16.5" customHeight="1">
      <c r="O31672" s="5" t="s">
        <v>355</v>
      </c>
      <c r="P31672" s="5" t="s">
        <v>355</v>
      </c>
      <c r="Q31672" s="5" t="s">
        <v>355</v>
      </c>
    </row>
    <row r="31673" ht="16.5" customHeight="1">
      <c r="O31673" s="5" t="s">
        <v>355</v>
      </c>
      <c r="P31673" s="5" t="s">
        <v>355</v>
      </c>
      <c r="Q31673" s="5" t="s">
        <v>355</v>
      </c>
    </row>
    <row r="31674" ht="16.5" customHeight="1">
      <c r="O31674" s="5" t="s">
        <v>355</v>
      </c>
      <c r="P31674" s="5" t="s">
        <v>355</v>
      </c>
      <c r="Q31674" s="5" t="s">
        <v>355</v>
      </c>
    </row>
    <row r="31675" ht="16.5" customHeight="1">
      <c r="O31675" s="5" t="s">
        <v>355</v>
      </c>
      <c r="P31675" s="5" t="s">
        <v>355</v>
      </c>
      <c r="Q31675" s="5" t="s">
        <v>355</v>
      </c>
    </row>
    <row r="31676" ht="16.5" customHeight="1">
      <c r="O31676" s="5" t="s">
        <v>355</v>
      </c>
      <c r="P31676" s="5" t="s">
        <v>355</v>
      </c>
      <c r="Q31676" s="5" t="s">
        <v>355</v>
      </c>
    </row>
    <row r="31677" ht="16.5" customHeight="1">
      <c r="O31677" s="5" t="s">
        <v>355</v>
      </c>
      <c r="P31677" s="5" t="s">
        <v>355</v>
      </c>
      <c r="Q31677" s="5" t="s">
        <v>355</v>
      </c>
    </row>
    <row r="31678" ht="16.5" customHeight="1">
      <c r="O31678" s="5" t="s">
        <v>355</v>
      </c>
      <c r="P31678" s="5" t="s">
        <v>355</v>
      </c>
      <c r="Q31678" s="5" t="s">
        <v>355</v>
      </c>
    </row>
    <row r="31679" ht="16.5" customHeight="1">
      <c r="O31679" s="5" t="s">
        <v>355</v>
      </c>
      <c r="P31679" s="5" t="s">
        <v>355</v>
      </c>
      <c r="Q31679" s="5" t="s">
        <v>355</v>
      </c>
    </row>
    <row r="31680" ht="16.5" customHeight="1">
      <c r="O31680" s="5" t="s">
        <v>355</v>
      </c>
      <c r="P31680" s="5" t="s">
        <v>355</v>
      </c>
      <c r="Q31680" s="5" t="s">
        <v>355</v>
      </c>
    </row>
    <row r="31681" ht="16.5" customHeight="1">
      <c r="O31681" s="5" t="s">
        <v>355</v>
      </c>
      <c r="P31681" s="5" t="s">
        <v>355</v>
      </c>
      <c r="Q31681" s="5" t="s">
        <v>355</v>
      </c>
    </row>
    <row r="31682" ht="16.5" customHeight="1">
      <c r="O31682" s="5" t="s">
        <v>355</v>
      </c>
      <c r="P31682" s="5" t="s">
        <v>355</v>
      </c>
      <c r="Q31682" s="5" t="s">
        <v>355</v>
      </c>
    </row>
    <row r="31683" ht="16.5" customHeight="1">
      <c r="O31683" s="5" t="s">
        <v>355</v>
      </c>
      <c r="P31683" s="5" t="s">
        <v>355</v>
      </c>
      <c r="Q31683" s="5" t="s">
        <v>355</v>
      </c>
    </row>
    <row r="31684" ht="16.5" customHeight="1">
      <c r="O31684" s="5" t="s">
        <v>355</v>
      </c>
      <c r="P31684" s="5" t="s">
        <v>355</v>
      </c>
      <c r="Q31684" s="5" t="s">
        <v>355</v>
      </c>
    </row>
    <row r="31685" ht="16.5" customHeight="1">
      <c r="O31685" s="5" t="s">
        <v>355</v>
      </c>
      <c r="P31685" s="5" t="s">
        <v>355</v>
      </c>
      <c r="Q31685" s="5" t="s">
        <v>355</v>
      </c>
    </row>
    <row r="31686" ht="16.5" customHeight="1">
      <c r="O31686" s="5" t="s">
        <v>355</v>
      </c>
      <c r="P31686" s="5" t="s">
        <v>355</v>
      </c>
      <c r="Q31686" s="5" t="s">
        <v>355</v>
      </c>
    </row>
    <row r="31687" ht="16.5" customHeight="1">
      <c r="O31687" s="5" t="s">
        <v>355</v>
      </c>
      <c r="P31687" s="5" t="s">
        <v>355</v>
      </c>
      <c r="Q31687" s="5" t="s">
        <v>355</v>
      </c>
    </row>
    <row r="31688" ht="16.5" customHeight="1">
      <c r="O31688" s="5" t="s">
        <v>355</v>
      </c>
      <c r="P31688" s="5" t="s">
        <v>355</v>
      </c>
      <c r="Q31688" s="5" t="s">
        <v>355</v>
      </c>
    </row>
    <row r="31689" ht="16.5" customHeight="1">
      <c r="O31689" s="5" t="s">
        <v>355</v>
      </c>
      <c r="P31689" s="5" t="s">
        <v>355</v>
      </c>
      <c r="Q31689" s="5" t="s">
        <v>355</v>
      </c>
    </row>
    <row r="31690" ht="16.5" customHeight="1">
      <c r="O31690" s="5" t="s">
        <v>355</v>
      </c>
      <c r="P31690" s="5" t="s">
        <v>355</v>
      </c>
      <c r="Q31690" s="5" t="s">
        <v>355</v>
      </c>
    </row>
    <row r="31691" ht="16.5" customHeight="1">
      <c r="O31691" s="5" t="s">
        <v>355</v>
      </c>
      <c r="P31691" s="5" t="s">
        <v>355</v>
      </c>
      <c r="Q31691" s="5" t="s">
        <v>355</v>
      </c>
    </row>
    <row r="31692" ht="16.5" customHeight="1">
      <c r="O31692" s="5" t="s">
        <v>355</v>
      </c>
      <c r="P31692" s="5" t="s">
        <v>355</v>
      </c>
      <c r="Q31692" s="5" t="s">
        <v>355</v>
      </c>
    </row>
    <row r="31693" ht="16.5" customHeight="1">
      <c r="O31693" s="5" t="s">
        <v>355</v>
      </c>
      <c r="P31693" s="5" t="s">
        <v>355</v>
      </c>
      <c r="Q31693" s="5" t="s">
        <v>355</v>
      </c>
    </row>
    <row r="31694" ht="16.5" customHeight="1">
      <c r="O31694" s="5" t="s">
        <v>355</v>
      </c>
      <c r="P31694" s="5" t="s">
        <v>355</v>
      </c>
      <c r="Q31694" s="5" t="s">
        <v>355</v>
      </c>
    </row>
    <row r="31695" ht="16.5" customHeight="1">
      <c r="O31695" s="5" t="s">
        <v>355</v>
      </c>
      <c r="P31695" s="5" t="s">
        <v>355</v>
      </c>
      <c r="Q31695" s="5" t="s">
        <v>355</v>
      </c>
    </row>
    <row r="31696" ht="16.5" customHeight="1">
      <c r="O31696" s="5" t="s">
        <v>355</v>
      </c>
      <c r="P31696" s="5" t="s">
        <v>355</v>
      </c>
      <c r="Q31696" s="5" t="s">
        <v>355</v>
      </c>
    </row>
    <row r="31697" ht="16.5" customHeight="1">
      <c r="O31697" s="5" t="s">
        <v>355</v>
      </c>
      <c r="P31697" s="5" t="s">
        <v>355</v>
      </c>
      <c r="Q31697" s="5" t="s">
        <v>355</v>
      </c>
    </row>
    <row r="31698" ht="16.5" customHeight="1">
      <c r="O31698" s="5" t="s">
        <v>355</v>
      </c>
      <c r="P31698" s="5" t="s">
        <v>355</v>
      </c>
      <c r="Q31698" s="5" t="s">
        <v>355</v>
      </c>
    </row>
    <row r="31699" ht="16.5" customHeight="1">
      <c r="O31699" s="5" t="s">
        <v>355</v>
      </c>
      <c r="P31699" s="5" t="s">
        <v>355</v>
      </c>
      <c r="Q31699" s="5" t="s">
        <v>355</v>
      </c>
    </row>
    <row r="31700" ht="16.5" customHeight="1">
      <c r="O31700" s="5" t="s">
        <v>355</v>
      </c>
      <c r="P31700" s="5" t="s">
        <v>355</v>
      </c>
      <c r="Q31700" s="5" t="s">
        <v>355</v>
      </c>
    </row>
    <row r="31701" ht="16.5" customHeight="1">
      <c r="O31701" s="5" t="s">
        <v>355</v>
      </c>
      <c r="P31701" s="5" t="s">
        <v>355</v>
      </c>
      <c r="Q31701" s="5" t="s">
        <v>355</v>
      </c>
    </row>
    <row r="31702" ht="16.5" customHeight="1">
      <c r="O31702" s="5" t="s">
        <v>355</v>
      </c>
      <c r="P31702" s="5" t="s">
        <v>355</v>
      </c>
      <c r="Q31702" s="5" t="s">
        <v>355</v>
      </c>
    </row>
    <row r="31703" ht="16.5" customHeight="1">
      <c r="O31703" s="5" t="s">
        <v>355</v>
      </c>
      <c r="P31703" s="5" t="s">
        <v>355</v>
      </c>
      <c r="Q31703" s="5" t="s">
        <v>355</v>
      </c>
    </row>
    <row r="31704" ht="16.5" customHeight="1">
      <c r="O31704" s="5" t="s">
        <v>355</v>
      </c>
      <c r="P31704" s="5" t="s">
        <v>355</v>
      </c>
      <c r="Q31704" s="5" t="s">
        <v>355</v>
      </c>
    </row>
    <row r="31705" ht="16.5" customHeight="1">
      <c r="O31705" s="5" t="s">
        <v>355</v>
      </c>
      <c r="P31705" s="5" t="s">
        <v>355</v>
      </c>
      <c r="Q31705" s="5" t="s">
        <v>355</v>
      </c>
    </row>
    <row r="31706" ht="16.5" customHeight="1">
      <c r="O31706" s="5" t="s">
        <v>355</v>
      </c>
      <c r="P31706" s="5" t="s">
        <v>355</v>
      </c>
      <c r="Q31706" s="5" t="s">
        <v>355</v>
      </c>
    </row>
    <row r="31707" ht="16.5" customHeight="1">
      <c r="O31707" s="5" t="s">
        <v>355</v>
      </c>
      <c r="P31707" s="5" t="s">
        <v>355</v>
      </c>
      <c r="Q31707" s="5" t="s">
        <v>355</v>
      </c>
    </row>
    <row r="31708" ht="16.5" customHeight="1">
      <c r="O31708" s="5" t="s">
        <v>355</v>
      </c>
      <c r="P31708" s="5" t="s">
        <v>355</v>
      </c>
      <c r="Q31708" s="5" t="s">
        <v>355</v>
      </c>
    </row>
    <row r="31709" ht="16.5" customHeight="1">
      <c r="O31709" s="5" t="s">
        <v>355</v>
      </c>
      <c r="P31709" s="5" t="s">
        <v>355</v>
      </c>
      <c r="Q31709" s="5" t="s">
        <v>355</v>
      </c>
    </row>
    <row r="31710" ht="16.5" customHeight="1">
      <c r="O31710" s="5" t="s">
        <v>355</v>
      </c>
      <c r="P31710" s="5" t="s">
        <v>355</v>
      </c>
      <c r="Q31710" s="5" t="s">
        <v>355</v>
      </c>
    </row>
    <row r="31711" ht="16.5" customHeight="1">
      <c r="O31711" s="5" t="s">
        <v>355</v>
      </c>
      <c r="P31711" s="5" t="s">
        <v>355</v>
      </c>
      <c r="Q31711" s="5" t="s">
        <v>355</v>
      </c>
    </row>
    <row r="31712" ht="16.5" customHeight="1">
      <c r="O31712" s="5" t="s">
        <v>355</v>
      </c>
      <c r="P31712" s="5" t="s">
        <v>355</v>
      </c>
      <c r="Q31712" s="5" t="s">
        <v>355</v>
      </c>
    </row>
    <row r="31713" ht="16.5" customHeight="1">
      <c r="O31713" s="5" t="s">
        <v>355</v>
      </c>
      <c r="P31713" s="5" t="s">
        <v>355</v>
      </c>
      <c r="Q31713" s="5" t="s">
        <v>355</v>
      </c>
    </row>
    <row r="31714" ht="16.5" customHeight="1">
      <c r="O31714" s="5" t="s">
        <v>355</v>
      </c>
      <c r="P31714" s="5" t="s">
        <v>355</v>
      </c>
      <c r="Q31714" s="5" t="s">
        <v>355</v>
      </c>
    </row>
    <row r="31715" ht="16.5" customHeight="1">
      <c r="O31715" s="5" t="s">
        <v>355</v>
      </c>
      <c r="P31715" s="5" t="s">
        <v>355</v>
      </c>
      <c r="Q31715" s="5" t="s">
        <v>355</v>
      </c>
    </row>
    <row r="31716" ht="16.5" customHeight="1">
      <c r="O31716" s="5" t="s">
        <v>355</v>
      </c>
      <c r="P31716" s="5" t="s">
        <v>355</v>
      </c>
      <c r="Q31716" s="5" t="s">
        <v>355</v>
      </c>
    </row>
    <row r="31717" ht="16.5" customHeight="1">
      <c r="O31717" s="5" t="s">
        <v>355</v>
      </c>
      <c r="P31717" s="5" t="s">
        <v>355</v>
      </c>
      <c r="Q31717" s="5" t="s">
        <v>355</v>
      </c>
    </row>
    <row r="31718" ht="16.5" customHeight="1">
      <c r="O31718" s="5" t="s">
        <v>355</v>
      </c>
      <c r="P31718" s="5" t="s">
        <v>355</v>
      </c>
      <c r="Q31718" s="5" t="s">
        <v>355</v>
      </c>
    </row>
    <row r="31719" ht="16.5" customHeight="1">
      <c r="O31719" s="5" t="s">
        <v>355</v>
      </c>
      <c r="P31719" s="5" t="s">
        <v>355</v>
      </c>
      <c r="Q31719" s="5" t="s">
        <v>355</v>
      </c>
    </row>
    <row r="31720" ht="16.5" customHeight="1">
      <c r="O31720" s="5" t="s">
        <v>355</v>
      </c>
      <c r="P31720" s="5" t="s">
        <v>355</v>
      </c>
      <c r="Q31720" s="5" t="s">
        <v>355</v>
      </c>
    </row>
    <row r="31721" ht="16.5" customHeight="1">
      <c r="O31721" s="5" t="s">
        <v>355</v>
      </c>
      <c r="P31721" s="5" t="s">
        <v>355</v>
      </c>
      <c r="Q31721" s="5" t="s">
        <v>355</v>
      </c>
    </row>
    <row r="31722" ht="16.5" customHeight="1">
      <c r="O31722" s="5" t="s">
        <v>355</v>
      </c>
      <c r="P31722" s="5" t="s">
        <v>355</v>
      </c>
      <c r="Q31722" s="5" t="s">
        <v>355</v>
      </c>
    </row>
    <row r="31723" ht="16.5" customHeight="1">
      <c r="O31723" s="5" t="s">
        <v>355</v>
      </c>
      <c r="P31723" s="5" t="s">
        <v>355</v>
      </c>
      <c r="Q31723" s="5" t="s">
        <v>355</v>
      </c>
    </row>
    <row r="31724" ht="16.5" customHeight="1">
      <c r="O31724" s="5" t="s">
        <v>355</v>
      </c>
      <c r="P31724" s="5" t="s">
        <v>355</v>
      </c>
      <c r="Q31724" s="5" t="s">
        <v>355</v>
      </c>
    </row>
    <row r="31725" ht="16.5" customHeight="1">
      <c r="O31725" s="5" t="s">
        <v>355</v>
      </c>
      <c r="P31725" s="5" t="s">
        <v>355</v>
      </c>
      <c r="Q31725" s="5" t="s">
        <v>355</v>
      </c>
    </row>
    <row r="31726" ht="16.5" customHeight="1">
      <c r="O31726" s="5" t="s">
        <v>355</v>
      </c>
      <c r="P31726" s="5" t="s">
        <v>355</v>
      </c>
      <c r="Q31726" s="5" t="s">
        <v>355</v>
      </c>
    </row>
    <row r="31727" ht="16.5" customHeight="1">
      <c r="O31727" s="5" t="s">
        <v>355</v>
      </c>
      <c r="P31727" s="5" t="s">
        <v>355</v>
      </c>
      <c r="Q31727" s="5" t="s">
        <v>355</v>
      </c>
    </row>
    <row r="31728" ht="16.5" customHeight="1">
      <c r="O31728" s="5" t="s">
        <v>355</v>
      </c>
      <c r="P31728" s="5" t="s">
        <v>355</v>
      </c>
      <c r="Q31728" s="5" t="s">
        <v>355</v>
      </c>
    </row>
    <row r="31729" ht="16.5" customHeight="1">
      <c r="O31729" s="5" t="s">
        <v>355</v>
      </c>
      <c r="P31729" s="5" t="s">
        <v>355</v>
      </c>
      <c r="Q31729" s="5" t="s">
        <v>355</v>
      </c>
    </row>
    <row r="31730" ht="16.5" customHeight="1">
      <c r="O31730" s="5" t="s">
        <v>355</v>
      </c>
      <c r="P31730" s="5" t="s">
        <v>355</v>
      </c>
      <c r="Q31730" s="5" t="s">
        <v>355</v>
      </c>
    </row>
    <row r="31731" ht="16.5" customHeight="1">
      <c r="O31731" s="5" t="s">
        <v>355</v>
      </c>
      <c r="P31731" s="5" t="s">
        <v>355</v>
      </c>
      <c r="Q31731" s="5" t="s">
        <v>355</v>
      </c>
    </row>
    <row r="31732" ht="16.5" customHeight="1">
      <c r="O31732" s="5" t="s">
        <v>355</v>
      </c>
      <c r="P31732" s="5" t="s">
        <v>355</v>
      </c>
      <c r="Q31732" s="5" t="s">
        <v>355</v>
      </c>
    </row>
    <row r="31733" ht="16.5" customHeight="1">
      <c r="O31733" s="5" t="s">
        <v>355</v>
      </c>
      <c r="P31733" s="5" t="s">
        <v>355</v>
      </c>
      <c r="Q31733" s="5" t="s">
        <v>355</v>
      </c>
    </row>
    <row r="31734" ht="16.5" customHeight="1">
      <c r="O31734" s="5" t="s">
        <v>355</v>
      </c>
      <c r="P31734" s="5" t="s">
        <v>355</v>
      </c>
      <c r="Q31734" s="5" t="s">
        <v>355</v>
      </c>
    </row>
    <row r="31735" ht="16.5" customHeight="1">
      <c r="O31735" s="5" t="s">
        <v>355</v>
      </c>
      <c r="P31735" s="5" t="s">
        <v>355</v>
      </c>
      <c r="Q31735" s="5" t="s">
        <v>355</v>
      </c>
    </row>
    <row r="31736" ht="16.5" customHeight="1">
      <c r="O31736" s="5" t="s">
        <v>355</v>
      </c>
      <c r="P31736" s="5" t="s">
        <v>355</v>
      </c>
      <c r="Q31736" s="5" t="s">
        <v>355</v>
      </c>
    </row>
    <row r="31737" ht="16.5" customHeight="1">
      <c r="O31737" s="5" t="s">
        <v>355</v>
      </c>
      <c r="P31737" s="5" t="s">
        <v>355</v>
      </c>
      <c r="Q31737" s="5" t="s">
        <v>355</v>
      </c>
    </row>
    <row r="31738" ht="16.5" customHeight="1">
      <c r="O31738" s="5" t="s">
        <v>355</v>
      </c>
      <c r="P31738" s="5" t="s">
        <v>355</v>
      </c>
      <c r="Q31738" s="5" t="s">
        <v>355</v>
      </c>
    </row>
    <row r="31739" ht="16.5" customHeight="1">
      <c r="O31739" s="5" t="s">
        <v>355</v>
      </c>
      <c r="P31739" s="5" t="s">
        <v>355</v>
      </c>
      <c r="Q31739" s="5" t="s">
        <v>355</v>
      </c>
    </row>
    <row r="31740" ht="16.5" customHeight="1">
      <c r="O31740" s="5" t="s">
        <v>355</v>
      </c>
      <c r="P31740" s="5" t="s">
        <v>355</v>
      </c>
      <c r="Q31740" s="5" t="s">
        <v>355</v>
      </c>
    </row>
    <row r="31741" ht="16.5" customHeight="1">
      <c r="O31741" s="5" t="s">
        <v>355</v>
      </c>
      <c r="P31741" s="5" t="s">
        <v>355</v>
      </c>
      <c r="Q31741" s="5" t="s">
        <v>355</v>
      </c>
    </row>
    <row r="31742" ht="16.5" customHeight="1">
      <c r="O31742" s="5" t="s">
        <v>355</v>
      </c>
      <c r="P31742" s="5" t="s">
        <v>355</v>
      </c>
      <c r="Q31742" s="5" t="s">
        <v>355</v>
      </c>
    </row>
    <row r="31743" ht="16.5" customHeight="1">
      <c r="O31743" s="5" t="s">
        <v>355</v>
      </c>
      <c r="P31743" s="5" t="s">
        <v>355</v>
      </c>
      <c r="Q31743" s="5" t="s">
        <v>355</v>
      </c>
    </row>
    <row r="31744" ht="16.5" customHeight="1">
      <c r="O31744" s="5" t="s">
        <v>355</v>
      </c>
      <c r="P31744" s="5" t="s">
        <v>355</v>
      </c>
      <c r="Q31744" s="5" t="s">
        <v>355</v>
      </c>
    </row>
    <row r="31745" ht="16.5" customHeight="1">
      <c r="O31745" s="5" t="s">
        <v>355</v>
      </c>
      <c r="P31745" s="5" t="s">
        <v>355</v>
      </c>
      <c r="Q31745" s="5" t="s">
        <v>355</v>
      </c>
    </row>
    <row r="31746" ht="16.5" customHeight="1">
      <c r="O31746" s="5" t="s">
        <v>355</v>
      </c>
      <c r="P31746" s="5" t="s">
        <v>355</v>
      </c>
      <c r="Q31746" s="5" t="s">
        <v>355</v>
      </c>
    </row>
    <row r="31747" ht="16.5" customHeight="1">
      <c r="O31747" s="5" t="s">
        <v>355</v>
      </c>
      <c r="P31747" s="5" t="s">
        <v>355</v>
      </c>
      <c r="Q31747" s="5" t="s">
        <v>355</v>
      </c>
    </row>
    <row r="31748" ht="16.5" customHeight="1">
      <c r="O31748" s="5" t="s">
        <v>355</v>
      </c>
      <c r="P31748" s="5" t="s">
        <v>355</v>
      </c>
      <c r="Q31748" s="5" t="s">
        <v>355</v>
      </c>
    </row>
    <row r="31749" ht="16.5" customHeight="1">
      <c r="O31749" s="5" t="s">
        <v>355</v>
      </c>
      <c r="P31749" s="5" t="s">
        <v>355</v>
      </c>
      <c r="Q31749" s="5" t="s">
        <v>355</v>
      </c>
    </row>
    <row r="31750" ht="16.5" customHeight="1">
      <c r="O31750" s="5" t="s">
        <v>355</v>
      </c>
      <c r="P31750" s="5" t="s">
        <v>355</v>
      </c>
      <c r="Q31750" s="5" t="s">
        <v>355</v>
      </c>
    </row>
    <row r="31751" ht="16.5" customHeight="1">
      <c r="O31751" s="5" t="s">
        <v>355</v>
      </c>
      <c r="P31751" s="5" t="s">
        <v>355</v>
      </c>
      <c r="Q31751" s="5" t="s">
        <v>355</v>
      </c>
    </row>
    <row r="31752" ht="16.5" customHeight="1">
      <c r="O31752" s="5" t="s">
        <v>355</v>
      </c>
      <c r="P31752" s="5" t="s">
        <v>355</v>
      </c>
      <c r="Q31752" s="5" t="s">
        <v>355</v>
      </c>
    </row>
    <row r="31753" ht="16.5" customHeight="1">
      <c r="O31753" s="5" t="s">
        <v>355</v>
      </c>
      <c r="P31753" s="5" t="s">
        <v>355</v>
      </c>
      <c r="Q31753" s="5" t="s">
        <v>355</v>
      </c>
    </row>
    <row r="31754" ht="16.5" customHeight="1">
      <c r="O31754" s="5" t="s">
        <v>355</v>
      </c>
      <c r="P31754" s="5" t="s">
        <v>355</v>
      </c>
      <c r="Q31754" s="5" t="s">
        <v>355</v>
      </c>
    </row>
    <row r="31755" ht="16.5" customHeight="1">
      <c r="O31755" s="5" t="s">
        <v>355</v>
      </c>
      <c r="P31755" s="5" t="s">
        <v>355</v>
      </c>
      <c r="Q31755" s="5" t="s">
        <v>355</v>
      </c>
    </row>
    <row r="31756" ht="16.5" customHeight="1">
      <c r="O31756" s="5" t="s">
        <v>355</v>
      </c>
      <c r="P31756" s="5" t="s">
        <v>355</v>
      </c>
      <c r="Q31756" s="5" t="s">
        <v>355</v>
      </c>
    </row>
    <row r="31757" ht="16.5" customHeight="1">
      <c r="O31757" s="5" t="s">
        <v>355</v>
      </c>
      <c r="P31757" s="5" t="s">
        <v>355</v>
      </c>
      <c r="Q31757" s="5" t="s">
        <v>355</v>
      </c>
    </row>
    <row r="31758" ht="16.5" customHeight="1">
      <c r="O31758" s="5" t="s">
        <v>355</v>
      </c>
      <c r="P31758" s="5" t="s">
        <v>355</v>
      </c>
      <c r="Q31758" s="5" t="s">
        <v>355</v>
      </c>
    </row>
    <row r="31759" ht="16.5" customHeight="1">
      <c r="O31759" s="5" t="s">
        <v>355</v>
      </c>
      <c r="P31759" s="5" t="s">
        <v>355</v>
      </c>
      <c r="Q31759" s="5" t="s">
        <v>355</v>
      </c>
    </row>
    <row r="31760" ht="16.5" customHeight="1">
      <c r="O31760" s="5" t="s">
        <v>355</v>
      </c>
      <c r="P31760" s="5" t="s">
        <v>355</v>
      </c>
      <c r="Q31760" s="5" t="s">
        <v>355</v>
      </c>
    </row>
    <row r="31761" ht="16.5" customHeight="1">
      <c r="O31761" s="5" t="s">
        <v>355</v>
      </c>
      <c r="P31761" s="5" t="s">
        <v>355</v>
      </c>
      <c r="Q31761" s="5" t="s">
        <v>355</v>
      </c>
    </row>
    <row r="31762" ht="16.5" customHeight="1">
      <c r="O31762" s="5" t="s">
        <v>355</v>
      </c>
      <c r="P31762" s="5" t="s">
        <v>355</v>
      </c>
      <c r="Q31762" s="5" t="s">
        <v>355</v>
      </c>
    </row>
    <row r="31763" ht="16.5" customHeight="1">
      <c r="O31763" s="5" t="s">
        <v>355</v>
      </c>
      <c r="P31763" s="5" t="s">
        <v>355</v>
      </c>
      <c r="Q31763" s="5" t="s">
        <v>355</v>
      </c>
    </row>
    <row r="31764" ht="16.5" customHeight="1">
      <c r="O31764" s="5" t="s">
        <v>355</v>
      </c>
      <c r="P31764" s="5" t="s">
        <v>355</v>
      </c>
      <c r="Q31764" s="5" t="s">
        <v>355</v>
      </c>
    </row>
    <row r="31765" ht="16.5" customHeight="1">
      <c r="O31765" s="5" t="s">
        <v>355</v>
      </c>
      <c r="P31765" s="5" t="s">
        <v>355</v>
      </c>
      <c r="Q31765" s="5" t="s">
        <v>355</v>
      </c>
    </row>
    <row r="31766" ht="16.5" customHeight="1">
      <c r="O31766" s="5" t="s">
        <v>355</v>
      </c>
      <c r="P31766" s="5" t="s">
        <v>355</v>
      </c>
      <c r="Q31766" s="5" t="s">
        <v>355</v>
      </c>
    </row>
    <row r="31767" ht="16.5" customHeight="1">
      <c r="O31767" s="5" t="s">
        <v>355</v>
      </c>
      <c r="P31767" s="5" t="s">
        <v>355</v>
      </c>
      <c r="Q31767" s="5" t="s">
        <v>355</v>
      </c>
    </row>
    <row r="31768" ht="16.5" customHeight="1">
      <c r="O31768" s="5" t="s">
        <v>355</v>
      </c>
      <c r="P31768" s="5" t="s">
        <v>355</v>
      </c>
      <c r="Q31768" s="5" t="s">
        <v>355</v>
      </c>
    </row>
    <row r="31769" ht="16.5" customHeight="1">
      <c r="O31769" s="5" t="s">
        <v>355</v>
      </c>
      <c r="P31769" s="5" t="s">
        <v>355</v>
      </c>
      <c r="Q31769" s="5" t="s">
        <v>355</v>
      </c>
    </row>
    <row r="31770" ht="16.5" customHeight="1">
      <c r="O31770" s="5" t="s">
        <v>355</v>
      </c>
      <c r="P31770" s="5" t="s">
        <v>355</v>
      </c>
      <c r="Q31770" s="5" t="s">
        <v>355</v>
      </c>
    </row>
    <row r="31771" ht="16.5" customHeight="1">
      <c r="O31771" s="5" t="s">
        <v>355</v>
      </c>
      <c r="P31771" s="5" t="s">
        <v>355</v>
      </c>
      <c r="Q31771" s="5" t="s">
        <v>355</v>
      </c>
    </row>
    <row r="31772" ht="16.5" customHeight="1">
      <c r="O31772" s="5" t="s">
        <v>355</v>
      </c>
      <c r="P31772" s="5" t="s">
        <v>355</v>
      </c>
      <c r="Q31772" s="5" t="s">
        <v>355</v>
      </c>
    </row>
    <row r="31773" ht="16.5" customHeight="1">
      <c r="O31773" s="5" t="s">
        <v>355</v>
      </c>
      <c r="P31773" s="5" t="s">
        <v>355</v>
      </c>
      <c r="Q31773" s="5" t="s">
        <v>355</v>
      </c>
    </row>
    <row r="31774" ht="16.5" customHeight="1">
      <c r="O31774" s="5" t="s">
        <v>355</v>
      </c>
      <c r="P31774" s="5" t="s">
        <v>355</v>
      </c>
      <c r="Q31774" s="5" t="s">
        <v>355</v>
      </c>
    </row>
    <row r="31775" ht="16.5" customHeight="1">
      <c r="O31775" s="5" t="s">
        <v>355</v>
      </c>
      <c r="P31775" s="5" t="s">
        <v>355</v>
      </c>
      <c r="Q31775" s="5" t="s">
        <v>355</v>
      </c>
    </row>
    <row r="31776" ht="16.5" customHeight="1">
      <c r="O31776" s="5" t="s">
        <v>355</v>
      </c>
      <c r="P31776" s="5" t="s">
        <v>355</v>
      </c>
      <c r="Q31776" s="5" t="s">
        <v>355</v>
      </c>
    </row>
    <row r="31777" ht="16.5" customHeight="1">
      <c r="O31777" s="5" t="s">
        <v>355</v>
      </c>
      <c r="P31777" s="5" t="s">
        <v>355</v>
      </c>
      <c r="Q31777" s="5" t="s">
        <v>355</v>
      </c>
    </row>
    <row r="31778" ht="16.5" customHeight="1">
      <c r="O31778" s="5" t="s">
        <v>355</v>
      </c>
      <c r="P31778" s="5" t="s">
        <v>355</v>
      </c>
      <c r="Q31778" s="5" t="s">
        <v>355</v>
      </c>
    </row>
    <row r="31779" ht="16.5" customHeight="1">
      <c r="O31779" s="5" t="s">
        <v>355</v>
      </c>
      <c r="P31779" s="5" t="s">
        <v>355</v>
      </c>
      <c r="Q31779" s="5" t="s">
        <v>355</v>
      </c>
    </row>
    <row r="31780" ht="16.5" customHeight="1">
      <c r="O31780" s="5" t="s">
        <v>355</v>
      </c>
      <c r="P31780" s="5" t="s">
        <v>355</v>
      </c>
      <c r="Q31780" s="5" t="s">
        <v>355</v>
      </c>
    </row>
    <row r="31781" ht="16.5" customHeight="1">
      <c r="O31781" s="5" t="s">
        <v>355</v>
      </c>
      <c r="P31781" s="5" t="s">
        <v>355</v>
      </c>
      <c r="Q31781" s="5" t="s">
        <v>355</v>
      </c>
    </row>
    <row r="31782" ht="16.5" customHeight="1">
      <c r="O31782" s="5" t="s">
        <v>355</v>
      </c>
      <c r="P31782" s="5" t="s">
        <v>355</v>
      </c>
      <c r="Q31782" s="5" t="s">
        <v>355</v>
      </c>
    </row>
    <row r="31783" ht="16.5" customHeight="1">
      <c r="O31783" s="5" t="s">
        <v>355</v>
      </c>
      <c r="P31783" s="5" t="s">
        <v>355</v>
      </c>
      <c r="Q31783" s="5" t="s">
        <v>355</v>
      </c>
    </row>
    <row r="31784" ht="16.5" customHeight="1">
      <c r="O31784" s="5" t="s">
        <v>355</v>
      </c>
      <c r="P31784" s="5" t="s">
        <v>355</v>
      </c>
      <c r="Q31784" s="5" t="s">
        <v>355</v>
      </c>
    </row>
    <row r="31785" ht="16.5" customHeight="1">
      <c r="O31785" s="5" t="s">
        <v>355</v>
      </c>
      <c r="P31785" s="5" t="s">
        <v>355</v>
      </c>
      <c r="Q31785" s="5" t="s">
        <v>355</v>
      </c>
    </row>
    <row r="31786" ht="16.5" customHeight="1">
      <c r="O31786" s="5" t="s">
        <v>355</v>
      </c>
      <c r="P31786" s="5" t="s">
        <v>355</v>
      </c>
      <c r="Q31786" s="5" t="s">
        <v>355</v>
      </c>
    </row>
    <row r="31787" ht="16.5" customHeight="1">
      <c r="O31787" s="5" t="s">
        <v>355</v>
      </c>
      <c r="P31787" s="5" t="s">
        <v>355</v>
      </c>
      <c r="Q31787" s="5" t="s">
        <v>355</v>
      </c>
    </row>
    <row r="31788" ht="16.5" customHeight="1">
      <c r="O31788" s="5" t="s">
        <v>355</v>
      </c>
      <c r="P31788" s="5" t="s">
        <v>355</v>
      </c>
      <c r="Q31788" s="5" t="s">
        <v>355</v>
      </c>
    </row>
    <row r="31789" ht="16.5" customHeight="1">
      <c r="O31789" s="5" t="s">
        <v>355</v>
      </c>
      <c r="P31789" s="5" t="s">
        <v>355</v>
      </c>
      <c r="Q31789" s="5" t="s">
        <v>355</v>
      </c>
    </row>
    <row r="31790" ht="16.5" customHeight="1">
      <c r="O31790" s="5" t="s">
        <v>355</v>
      </c>
      <c r="P31790" s="5" t="s">
        <v>355</v>
      </c>
      <c r="Q31790" s="5" t="s">
        <v>355</v>
      </c>
    </row>
    <row r="31791" ht="16.5" customHeight="1">
      <c r="O31791" s="5" t="s">
        <v>355</v>
      </c>
      <c r="P31791" s="5" t="s">
        <v>355</v>
      </c>
      <c r="Q31791" s="5" t="s">
        <v>355</v>
      </c>
    </row>
    <row r="31792" ht="16.5" customHeight="1">
      <c r="O31792" s="5" t="s">
        <v>355</v>
      </c>
      <c r="P31792" s="5" t="s">
        <v>355</v>
      </c>
      <c r="Q31792" s="5" t="s">
        <v>355</v>
      </c>
    </row>
    <row r="31793" ht="16.5" customHeight="1">
      <c r="O31793" s="5" t="s">
        <v>355</v>
      </c>
      <c r="P31793" s="5" t="s">
        <v>355</v>
      </c>
      <c r="Q31793" s="5" t="s">
        <v>355</v>
      </c>
    </row>
    <row r="31794" ht="16.5" customHeight="1">
      <c r="O31794" s="5" t="s">
        <v>355</v>
      </c>
      <c r="P31794" s="5" t="s">
        <v>355</v>
      </c>
      <c r="Q31794" s="5" t="s">
        <v>355</v>
      </c>
    </row>
    <row r="31795" ht="16.5" customHeight="1">
      <c r="O31795" s="5" t="s">
        <v>355</v>
      </c>
      <c r="P31795" s="5" t="s">
        <v>355</v>
      </c>
      <c r="Q31795" s="5" t="s">
        <v>355</v>
      </c>
    </row>
    <row r="31796" ht="16.5" customHeight="1">
      <c r="O31796" s="5" t="s">
        <v>355</v>
      </c>
      <c r="P31796" s="5" t="s">
        <v>355</v>
      </c>
      <c r="Q31796" s="5" t="s">
        <v>355</v>
      </c>
    </row>
    <row r="31797" ht="16.5" customHeight="1">
      <c r="O31797" s="5" t="s">
        <v>355</v>
      </c>
      <c r="P31797" s="5" t="s">
        <v>355</v>
      </c>
      <c r="Q31797" s="5" t="s">
        <v>355</v>
      </c>
    </row>
    <row r="31798" ht="16.5" customHeight="1">
      <c r="O31798" s="5" t="s">
        <v>355</v>
      </c>
      <c r="P31798" s="5" t="s">
        <v>355</v>
      </c>
      <c r="Q31798" s="5" t="s">
        <v>355</v>
      </c>
    </row>
    <row r="31799" ht="16.5" customHeight="1">
      <c r="O31799" s="5" t="s">
        <v>355</v>
      </c>
      <c r="P31799" s="5" t="s">
        <v>355</v>
      </c>
      <c r="Q31799" s="5" t="s">
        <v>355</v>
      </c>
    </row>
    <row r="31800" ht="16.5" customHeight="1">
      <c r="O31800" s="5" t="s">
        <v>355</v>
      </c>
      <c r="P31800" s="5" t="s">
        <v>355</v>
      </c>
      <c r="Q31800" s="5" t="s">
        <v>355</v>
      </c>
    </row>
    <row r="31801" ht="16.5" customHeight="1">
      <c r="O31801" s="5" t="s">
        <v>355</v>
      </c>
      <c r="P31801" s="5" t="s">
        <v>355</v>
      </c>
      <c r="Q31801" s="5" t="s">
        <v>355</v>
      </c>
    </row>
    <row r="31802" ht="16.5" customHeight="1">
      <c r="O31802" s="5" t="s">
        <v>355</v>
      </c>
      <c r="P31802" s="5" t="s">
        <v>355</v>
      </c>
      <c r="Q31802" s="5" t="s">
        <v>355</v>
      </c>
    </row>
    <row r="31803" ht="16.5" customHeight="1">
      <c r="O31803" s="5" t="s">
        <v>355</v>
      </c>
      <c r="P31803" s="5" t="s">
        <v>355</v>
      </c>
      <c r="Q31803" s="5" t="s">
        <v>355</v>
      </c>
    </row>
    <row r="31804" ht="16.5" customHeight="1">
      <c r="O31804" s="5" t="s">
        <v>355</v>
      </c>
      <c r="P31804" s="5" t="s">
        <v>355</v>
      </c>
      <c r="Q31804" s="5" t="s">
        <v>355</v>
      </c>
    </row>
    <row r="31805" ht="16.5" customHeight="1">
      <c r="O31805" s="5" t="s">
        <v>355</v>
      </c>
      <c r="P31805" s="5" t="s">
        <v>355</v>
      </c>
      <c r="Q31805" s="5" t="s">
        <v>355</v>
      </c>
    </row>
    <row r="31806" ht="16.5" customHeight="1">
      <c r="O31806" s="5" t="s">
        <v>355</v>
      </c>
      <c r="P31806" s="5" t="s">
        <v>355</v>
      </c>
      <c r="Q31806" s="5" t="s">
        <v>355</v>
      </c>
    </row>
    <row r="31807" ht="16.5" customHeight="1">
      <c r="O31807" s="5" t="s">
        <v>355</v>
      </c>
      <c r="P31807" s="5" t="s">
        <v>355</v>
      </c>
      <c r="Q31807" s="5" t="s">
        <v>355</v>
      </c>
    </row>
    <row r="31808" ht="16.5" customHeight="1">
      <c r="O31808" s="5" t="s">
        <v>355</v>
      </c>
      <c r="P31808" s="5" t="s">
        <v>355</v>
      </c>
      <c r="Q31808" s="5" t="s">
        <v>355</v>
      </c>
    </row>
    <row r="31809" ht="16.5" customHeight="1">
      <c r="O31809" s="5" t="s">
        <v>355</v>
      </c>
      <c r="P31809" s="5" t="s">
        <v>355</v>
      </c>
      <c r="Q31809" s="5" t="s">
        <v>355</v>
      </c>
    </row>
    <row r="31810" ht="16.5" customHeight="1">
      <c r="O31810" s="5" t="s">
        <v>355</v>
      </c>
      <c r="P31810" s="5" t="s">
        <v>355</v>
      </c>
      <c r="Q31810" s="5" t="s">
        <v>355</v>
      </c>
    </row>
    <row r="31811" ht="16.5" customHeight="1">
      <c r="O31811" s="5" t="s">
        <v>355</v>
      </c>
      <c r="P31811" s="5" t="s">
        <v>355</v>
      </c>
      <c r="Q31811" s="5" t="s">
        <v>355</v>
      </c>
    </row>
    <row r="31812" ht="16.5" customHeight="1">
      <c r="O31812" s="5" t="s">
        <v>355</v>
      </c>
      <c r="P31812" s="5" t="s">
        <v>355</v>
      </c>
      <c r="Q31812" s="5" t="s">
        <v>355</v>
      </c>
    </row>
    <row r="31813" ht="16.5" customHeight="1">
      <c r="O31813" s="5" t="s">
        <v>355</v>
      </c>
      <c r="P31813" s="5" t="s">
        <v>355</v>
      </c>
      <c r="Q31813" s="5" t="s">
        <v>355</v>
      </c>
    </row>
    <row r="31814" ht="16.5" customHeight="1">
      <c r="O31814" s="5" t="s">
        <v>355</v>
      </c>
      <c r="P31814" s="5" t="s">
        <v>355</v>
      </c>
      <c r="Q31814" s="5" t="s">
        <v>355</v>
      </c>
    </row>
    <row r="31815" ht="16.5" customHeight="1">
      <c r="O31815" s="5" t="s">
        <v>355</v>
      </c>
      <c r="P31815" s="5" t="s">
        <v>355</v>
      </c>
      <c r="Q31815" s="5" t="s">
        <v>355</v>
      </c>
    </row>
    <row r="31816" ht="16.5" customHeight="1">
      <c r="O31816" s="5" t="s">
        <v>355</v>
      </c>
      <c r="P31816" s="5" t="s">
        <v>355</v>
      </c>
      <c r="Q31816" s="5" t="s">
        <v>355</v>
      </c>
    </row>
    <row r="31817" ht="16.5" customHeight="1">
      <c r="O31817" s="5" t="s">
        <v>355</v>
      </c>
      <c r="P31817" s="5" t="s">
        <v>355</v>
      </c>
      <c r="Q31817" s="5" t="s">
        <v>355</v>
      </c>
    </row>
    <row r="31818" ht="16.5" customHeight="1">
      <c r="O31818" s="5" t="s">
        <v>355</v>
      </c>
      <c r="P31818" s="5" t="s">
        <v>355</v>
      </c>
      <c r="Q31818" s="5" t="s">
        <v>355</v>
      </c>
    </row>
    <row r="31819" ht="16.5" customHeight="1">
      <c r="O31819" s="5" t="s">
        <v>355</v>
      </c>
      <c r="P31819" s="5" t="s">
        <v>355</v>
      </c>
      <c r="Q31819" s="5" t="s">
        <v>355</v>
      </c>
    </row>
    <row r="31820" ht="16.5" customHeight="1">
      <c r="O31820" s="5" t="s">
        <v>355</v>
      </c>
      <c r="P31820" s="5" t="s">
        <v>355</v>
      </c>
      <c r="Q31820" s="5" t="s">
        <v>355</v>
      </c>
    </row>
    <row r="31821" ht="16.5" customHeight="1">
      <c r="O31821" s="5" t="s">
        <v>355</v>
      </c>
      <c r="P31821" s="5" t="s">
        <v>355</v>
      </c>
      <c r="Q31821" s="5" t="s">
        <v>355</v>
      </c>
    </row>
    <row r="31822" ht="16.5" customHeight="1">
      <c r="O31822" s="5" t="s">
        <v>355</v>
      </c>
      <c r="P31822" s="5" t="s">
        <v>355</v>
      </c>
      <c r="Q31822" s="5" t="s">
        <v>355</v>
      </c>
    </row>
    <row r="31823" ht="16.5" customHeight="1">
      <c r="O31823" s="5" t="s">
        <v>355</v>
      </c>
      <c r="P31823" s="5" t="s">
        <v>355</v>
      </c>
      <c r="Q31823" s="5" t="s">
        <v>355</v>
      </c>
    </row>
    <row r="31824" ht="16.5" customHeight="1">
      <c r="O31824" s="5" t="s">
        <v>355</v>
      </c>
      <c r="P31824" s="5" t="s">
        <v>355</v>
      </c>
      <c r="Q31824" s="5" t="s">
        <v>355</v>
      </c>
    </row>
    <row r="31825" ht="16.5" customHeight="1">
      <c r="O31825" s="5" t="s">
        <v>355</v>
      </c>
      <c r="P31825" s="5" t="s">
        <v>355</v>
      </c>
      <c r="Q31825" s="5" t="s">
        <v>355</v>
      </c>
    </row>
    <row r="31826" ht="16.5" customHeight="1">
      <c r="O31826" s="5" t="s">
        <v>355</v>
      </c>
      <c r="P31826" s="5" t="s">
        <v>355</v>
      </c>
      <c r="Q31826" s="5" t="s">
        <v>355</v>
      </c>
    </row>
    <row r="31827" ht="16.5" customHeight="1">
      <c r="O31827" s="5" t="s">
        <v>355</v>
      </c>
      <c r="P31827" s="5" t="s">
        <v>355</v>
      </c>
      <c r="Q31827" s="5" t="s">
        <v>355</v>
      </c>
    </row>
    <row r="31828" ht="16.5" customHeight="1">
      <c r="O31828" s="5" t="s">
        <v>355</v>
      </c>
      <c r="P31828" s="5" t="s">
        <v>355</v>
      </c>
      <c r="Q31828" s="5" t="s">
        <v>355</v>
      </c>
    </row>
    <row r="31829" ht="16.5" customHeight="1">
      <c r="O31829" s="5" t="s">
        <v>355</v>
      </c>
      <c r="P31829" s="5" t="s">
        <v>355</v>
      </c>
      <c r="Q31829" s="5" t="s">
        <v>355</v>
      </c>
    </row>
    <row r="31830" ht="16.5" customHeight="1">
      <c r="O31830" s="5" t="s">
        <v>355</v>
      </c>
      <c r="P31830" s="5" t="s">
        <v>355</v>
      </c>
      <c r="Q31830" s="5" t="s">
        <v>355</v>
      </c>
    </row>
    <row r="31831" ht="16.5" customHeight="1">
      <c r="O31831" s="5" t="s">
        <v>355</v>
      </c>
      <c r="P31831" s="5" t="s">
        <v>355</v>
      </c>
      <c r="Q31831" s="5" t="s">
        <v>355</v>
      </c>
    </row>
    <row r="31832" ht="16.5" customHeight="1">
      <c r="O31832" s="5" t="s">
        <v>355</v>
      </c>
      <c r="P31832" s="5" t="s">
        <v>355</v>
      </c>
      <c r="Q31832" s="5" t="s">
        <v>355</v>
      </c>
    </row>
    <row r="31833" ht="16.5" customHeight="1">
      <c r="O31833" s="5" t="s">
        <v>355</v>
      </c>
      <c r="P31833" s="5" t="s">
        <v>355</v>
      </c>
      <c r="Q31833" s="5" t="s">
        <v>355</v>
      </c>
    </row>
    <row r="31834" ht="16.5" customHeight="1">
      <c r="O31834" s="5" t="s">
        <v>355</v>
      </c>
      <c r="P31834" s="5" t="s">
        <v>355</v>
      </c>
      <c r="Q31834" s="5" t="s">
        <v>355</v>
      </c>
    </row>
    <row r="31835" ht="16.5" customHeight="1">
      <c r="O31835" s="5" t="s">
        <v>355</v>
      </c>
      <c r="P31835" s="5" t="s">
        <v>355</v>
      </c>
      <c r="Q31835" s="5" t="s">
        <v>355</v>
      </c>
    </row>
    <row r="31836" ht="16.5" customHeight="1">
      <c r="O31836" s="5" t="s">
        <v>355</v>
      </c>
      <c r="P31836" s="5" t="s">
        <v>355</v>
      </c>
      <c r="Q31836" s="5" t="s">
        <v>355</v>
      </c>
    </row>
    <row r="31837" ht="16.5" customHeight="1">
      <c r="O31837" s="5" t="s">
        <v>355</v>
      </c>
      <c r="P31837" s="5" t="s">
        <v>355</v>
      </c>
      <c r="Q31837" s="5" t="s">
        <v>355</v>
      </c>
    </row>
    <row r="31838" ht="16.5" customHeight="1">
      <c r="O31838" s="5" t="s">
        <v>355</v>
      </c>
      <c r="P31838" s="5" t="s">
        <v>355</v>
      </c>
      <c r="Q31838" s="5" t="s">
        <v>355</v>
      </c>
    </row>
    <row r="31839" ht="16.5" customHeight="1">
      <c r="O31839" s="5" t="s">
        <v>355</v>
      </c>
      <c r="P31839" s="5" t="s">
        <v>355</v>
      </c>
      <c r="Q31839" s="5" t="s">
        <v>355</v>
      </c>
    </row>
    <row r="31840" ht="16.5" customHeight="1">
      <c r="O31840" s="5" t="s">
        <v>355</v>
      </c>
      <c r="P31840" s="5" t="s">
        <v>355</v>
      </c>
      <c r="Q31840" s="5" t="s">
        <v>355</v>
      </c>
    </row>
    <row r="31841" ht="16.5" customHeight="1">
      <c r="O31841" s="5" t="s">
        <v>355</v>
      </c>
      <c r="P31841" s="5" t="s">
        <v>355</v>
      </c>
      <c r="Q31841" s="5" t="s">
        <v>355</v>
      </c>
    </row>
    <row r="31842" ht="16.5" customHeight="1">
      <c r="O31842" s="5" t="s">
        <v>355</v>
      </c>
      <c r="P31842" s="5" t="s">
        <v>355</v>
      </c>
      <c r="Q31842" s="5" t="s">
        <v>355</v>
      </c>
    </row>
    <row r="31843" ht="16.5" customHeight="1">
      <c r="O31843" s="5" t="s">
        <v>355</v>
      </c>
      <c r="P31843" s="5" t="s">
        <v>355</v>
      </c>
      <c r="Q31843" s="5" t="s">
        <v>355</v>
      </c>
    </row>
    <row r="31844" ht="16.5" customHeight="1">
      <c r="O31844" s="5" t="s">
        <v>355</v>
      </c>
      <c r="P31844" s="5" t="s">
        <v>355</v>
      </c>
      <c r="Q31844" s="5" t="s">
        <v>355</v>
      </c>
    </row>
    <row r="31845" ht="16.5" customHeight="1">
      <c r="O31845" s="5" t="s">
        <v>355</v>
      </c>
      <c r="P31845" s="5" t="s">
        <v>355</v>
      </c>
      <c r="Q31845" s="5" t="s">
        <v>355</v>
      </c>
    </row>
    <row r="31846" ht="16.5" customHeight="1">
      <c r="O31846" s="5" t="s">
        <v>355</v>
      </c>
      <c r="P31846" s="5" t="s">
        <v>355</v>
      </c>
      <c r="Q31846" s="5" t="s">
        <v>355</v>
      </c>
    </row>
    <row r="31847" ht="16.5" customHeight="1">
      <c r="O31847" s="5" t="s">
        <v>355</v>
      </c>
      <c r="P31847" s="5" t="s">
        <v>355</v>
      </c>
      <c r="Q31847" s="5" t="s">
        <v>355</v>
      </c>
    </row>
    <row r="31848" ht="16.5" customHeight="1">
      <c r="O31848" s="5" t="s">
        <v>355</v>
      </c>
      <c r="P31848" s="5" t="s">
        <v>355</v>
      </c>
      <c r="Q31848" s="5" t="s">
        <v>355</v>
      </c>
    </row>
    <row r="31849" ht="16.5" customHeight="1">
      <c r="O31849" s="5" t="s">
        <v>355</v>
      </c>
      <c r="P31849" s="5" t="s">
        <v>355</v>
      </c>
      <c r="Q31849" s="5" t="s">
        <v>355</v>
      </c>
    </row>
    <row r="31850" ht="16.5" customHeight="1">
      <c r="O31850" s="5" t="s">
        <v>355</v>
      </c>
      <c r="P31850" s="5" t="s">
        <v>355</v>
      </c>
      <c r="Q31850" s="5" t="s">
        <v>355</v>
      </c>
    </row>
    <row r="31851" ht="16.5" customHeight="1">
      <c r="O31851" s="5" t="s">
        <v>355</v>
      </c>
      <c r="P31851" s="5" t="s">
        <v>355</v>
      </c>
      <c r="Q31851" s="5" t="s">
        <v>355</v>
      </c>
    </row>
    <row r="31852" ht="16.5" customHeight="1">
      <c r="O31852" s="5" t="s">
        <v>355</v>
      </c>
      <c r="P31852" s="5" t="s">
        <v>355</v>
      </c>
      <c r="Q31852" s="5" t="s">
        <v>355</v>
      </c>
    </row>
    <row r="31853" ht="16.5" customHeight="1">
      <c r="O31853" s="5" t="s">
        <v>355</v>
      </c>
      <c r="P31853" s="5" t="s">
        <v>355</v>
      </c>
      <c r="Q31853" s="5" t="s">
        <v>355</v>
      </c>
    </row>
    <row r="31854" ht="16.5" customHeight="1">
      <c r="O31854" s="5" t="s">
        <v>355</v>
      </c>
      <c r="P31854" s="5" t="s">
        <v>355</v>
      </c>
      <c r="Q31854" s="5" t="s">
        <v>355</v>
      </c>
    </row>
    <row r="31855" ht="16.5" customHeight="1">
      <c r="O31855" s="5" t="s">
        <v>355</v>
      </c>
      <c r="P31855" s="5" t="s">
        <v>355</v>
      </c>
      <c r="Q31855" s="5" t="s">
        <v>355</v>
      </c>
    </row>
    <row r="31856" ht="16.5" customHeight="1">
      <c r="O31856" s="5" t="s">
        <v>355</v>
      </c>
      <c r="P31856" s="5" t="s">
        <v>355</v>
      </c>
      <c r="Q31856" s="5" t="s">
        <v>355</v>
      </c>
    </row>
    <row r="31857" ht="16.5" customHeight="1">
      <c r="O31857" s="5" t="s">
        <v>355</v>
      </c>
      <c r="P31857" s="5" t="s">
        <v>355</v>
      </c>
      <c r="Q31857" s="5" t="s">
        <v>355</v>
      </c>
    </row>
    <row r="31858" ht="16.5" customHeight="1">
      <c r="O31858" s="5" t="s">
        <v>355</v>
      </c>
      <c r="P31858" s="5" t="s">
        <v>355</v>
      </c>
      <c r="Q31858" s="5" t="s">
        <v>355</v>
      </c>
    </row>
    <row r="31859" ht="16.5" customHeight="1">
      <c r="O31859" s="5" t="s">
        <v>355</v>
      </c>
      <c r="P31859" s="5" t="s">
        <v>355</v>
      </c>
      <c r="Q31859" s="5" t="s">
        <v>355</v>
      </c>
    </row>
    <row r="31860" ht="16.5" customHeight="1">
      <c r="O31860" s="5" t="s">
        <v>355</v>
      </c>
      <c r="P31860" s="5" t="s">
        <v>355</v>
      </c>
      <c r="Q31860" s="5" t="s">
        <v>355</v>
      </c>
    </row>
    <row r="31861" ht="16.5" customHeight="1">
      <c r="O31861" s="5" t="s">
        <v>355</v>
      </c>
      <c r="P31861" s="5" t="s">
        <v>355</v>
      </c>
      <c r="Q31861" s="5" t="s">
        <v>355</v>
      </c>
    </row>
    <row r="31862" ht="16.5" customHeight="1">
      <c r="O31862" s="5" t="s">
        <v>355</v>
      </c>
      <c r="P31862" s="5" t="s">
        <v>355</v>
      </c>
      <c r="Q31862" s="5" t="s">
        <v>355</v>
      </c>
    </row>
    <row r="31863" ht="16.5" customHeight="1">
      <c r="O31863" s="5" t="s">
        <v>355</v>
      </c>
      <c r="P31863" s="5" t="s">
        <v>355</v>
      </c>
      <c r="Q31863" s="5" t="s">
        <v>355</v>
      </c>
    </row>
    <row r="31864" ht="16.5" customHeight="1">
      <c r="O31864" s="5" t="s">
        <v>355</v>
      </c>
      <c r="P31864" s="5" t="s">
        <v>355</v>
      </c>
      <c r="Q31864" s="5" t="s">
        <v>355</v>
      </c>
    </row>
    <row r="31865" ht="16.5" customHeight="1">
      <c r="O31865" s="5" t="s">
        <v>355</v>
      </c>
      <c r="P31865" s="5" t="s">
        <v>355</v>
      </c>
      <c r="Q31865" s="5" t="s">
        <v>355</v>
      </c>
    </row>
    <row r="31866" ht="16.5" customHeight="1">
      <c r="O31866" s="5" t="s">
        <v>355</v>
      </c>
      <c r="P31866" s="5" t="s">
        <v>355</v>
      </c>
      <c r="Q31866" s="5" t="s">
        <v>355</v>
      </c>
    </row>
    <row r="31867" ht="16.5" customHeight="1">
      <c r="O31867" s="5" t="s">
        <v>355</v>
      </c>
      <c r="P31867" s="5" t="s">
        <v>355</v>
      </c>
      <c r="Q31867" s="5" t="s">
        <v>355</v>
      </c>
    </row>
    <row r="31868" ht="16.5" customHeight="1">
      <c r="O31868" s="5" t="s">
        <v>355</v>
      </c>
      <c r="P31868" s="5" t="s">
        <v>355</v>
      </c>
      <c r="Q31868" s="5" t="s">
        <v>355</v>
      </c>
    </row>
    <row r="31869" ht="16.5" customHeight="1">
      <c r="O31869" s="5" t="s">
        <v>355</v>
      </c>
      <c r="P31869" s="5" t="s">
        <v>355</v>
      </c>
      <c r="Q31869" s="5" t="s">
        <v>355</v>
      </c>
    </row>
    <row r="31870" ht="16.5" customHeight="1">
      <c r="O31870" s="5" t="s">
        <v>355</v>
      </c>
      <c r="P31870" s="5" t="s">
        <v>355</v>
      </c>
      <c r="Q31870" s="5" t="s">
        <v>355</v>
      </c>
    </row>
    <row r="31871" ht="16.5" customHeight="1">
      <c r="O31871" s="5" t="s">
        <v>355</v>
      </c>
      <c r="P31871" s="5" t="s">
        <v>355</v>
      </c>
      <c r="Q31871" s="5" t="s">
        <v>355</v>
      </c>
    </row>
    <row r="31872" ht="16.5" customHeight="1">
      <c r="O31872" s="5" t="s">
        <v>355</v>
      </c>
      <c r="P31872" s="5" t="s">
        <v>355</v>
      </c>
      <c r="Q31872" s="5" t="s">
        <v>355</v>
      </c>
    </row>
    <row r="31873" ht="16.5" customHeight="1">
      <c r="O31873" s="5" t="s">
        <v>355</v>
      </c>
      <c r="P31873" s="5" t="s">
        <v>355</v>
      </c>
      <c r="Q31873" s="5" t="s">
        <v>355</v>
      </c>
    </row>
    <row r="31874" ht="16.5" customHeight="1">
      <c r="O31874" s="5" t="s">
        <v>355</v>
      </c>
      <c r="P31874" s="5" t="s">
        <v>355</v>
      </c>
      <c r="Q31874" s="5" t="s">
        <v>355</v>
      </c>
    </row>
    <row r="31875" ht="16.5" customHeight="1">
      <c r="O31875" s="5" t="s">
        <v>355</v>
      </c>
      <c r="P31875" s="5" t="s">
        <v>355</v>
      </c>
      <c r="Q31875" s="5" t="s">
        <v>355</v>
      </c>
    </row>
    <row r="31876" ht="16.5" customHeight="1">
      <c r="O31876" s="5" t="s">
        <v>355</v>
      </c>
      <c r="P31876" s="5" t="s">
        <v>355</v>
      </c>
      <c r="Q31876" s="5" t="s">
        <v>355</v>
      </c>
    </row>
    <row r="31877" ht="16.5" customHeight="1">
      <c r="O31877" s="5" t="s">
        <v>355</v>
      </c>
      <c r="P31877" s="5" t="s">
        <v>355</v>
      </c>
      <c r="Q31877" s="5" t="s">
        <v>355</v>
      </c>
    </row>
    <row r="31878" ht="16.5" customHeight="1">
      <c r="O31878" s="5" t="s">
        <v>355</v>
      </c>
      <c r="P31878" s="5" t="s">
        <v>355</v>
      </c>
      <c r="Q31878" s="5" t="s">
        <v>355</v>
      </c>
    </row>
    <row r="31879" ht="16.5" customHeight="1">
      <c r="O31879" s="5" t="s">
        <v>355</v>
      </c>
      <c r="P31879" s="5" t="s">
        <v>355</v>
      </c>
      <c r="Q31879" s="5" t="s">
        <v>355</v>
      </c>
    </row>
    <row r="31880" ht="16.5" customHeight="1">
      <c r="O31880" s="5" t="s">
        <v>355</v>
      </c>
      <c r="P31880" s="5" t="s">
        <v>355</v>
      </c>
      <c r="Q31880" s="5" t="s">
        <v>355</v>
      </c>
    </row>
    <row r="31881" ht="16.5" customHeight="1">
      <c r="O31881" s="5" t="s">
        <v>355</v>
      </c>
      <c r="P31881" s="5" t="s">
        <v>355</v>
      </c>
      <c r="Q31881" s="5" t="s">
        <v>355</v>
      </c>
    </row>
    <row r="31882" ht="16.5" customHeight="1">
      <c r="O31882" s="5" t="s">
        <v>355</v>
      </c>
      <c r="P31882" s="5" t="s">
        <v>355</v>
      </c>
      <c r="Q31882" s="5" t="s">
        <v>355</v>
      </c>
    </row>
    <row r="31883" ht="16.5" customHeight="1">
      <c r="O31883" s="5" t="s">
        <v>355</v>
      </c>
      <c r="P31883" s="5" t="s">
        <v>355</v>
      </c>
      <c r="Q31883" s="5" t="s">
        <v>355</v>
      </c>
    </row>
    <row r="31884" ht="16.5" customHeight="1">
      <c r="O31884" s="5" t="s">
        <v>355</v>
      </c>
      <c r="P31884" s="5" t="s">
        <v>355</v>
      </c>
      <c r="Q31884" s="5" t="s">
        <v>355</v>
      </c>
    </row>
    <row r="31885" ht="16.5" customHeight="1">
      <c r="O31885" s="5" t="s">
        <v>355</v>
      </c>
      <c r="P31885" s="5" t="s">
        <v>355</v>
      </c>
      <c r="Q31885" s="5" t="s">
        <v>355</v>
      </c>
    </row>
    <row r="31886" ht="16.5" customHeight="1">
      <c r="O31886" s="5" t="s">
        <v>355</v>
      </c>
      <c r="P31886" s="5" t="s">
        <v>355</v>
      </c>
      <c r="Q31886" s="5" t="s">
        <v>355</v>
      </c>
    </row>
    <row r="31887" ht="16.5" customHeight="1">
      <c r="O31887" s="5" t="s">
        <v>355</v>
      </c>
      <c r="P31887" s="5" t="s">
        <v>355</v>
      </c>
      <c r="Q31887" s="5" t="s">
        <v>355</v>
      </c>
    </row>
    <row r="31888" ht="16.5" customHeight="1">
      <c r="O31888" s="5" t="s">
        <v>355</v>
      </c>
      <c r="P31888" s="5" t="s">
        <v>355</v>
      </c>
      <c r="Q31888" s="5" t="s">
        <v>355</v>
      </c>
    </row>
    <row r="31889" ht="16.5" customHeight="1">
      <c r="O31889" s="5" t="s">
        <v>355</v>
      </c>
      <c r="P31889" s="5" t="s">
        <v>355</v>
      </c>
      <c r="Q31889" s="5" t="s">
        <v>355</v>
      </c>
    </row>
    <row r="31890" ht="16.5" customHeight="1">
      <c r="O31890" s="5" t="s">
        <v>355</v>
      </c>
      <c r="P31890" s="5" t="s">
        <v>355</v>
      </c>
      <c r="Q31890" s="5" t="s">
        <v>355</v>
      </c>
    </row>
    <row r="31891" ht="16.5" customHeight="1">
      <c r="O31891" s="5" t="s">
        <v>355</v>
      </c>
      <c r="P31891" s="5" t="s">
        <v>355</v>
      </c>
      <c r="Q31891" s="5" t="s">
        <v>355</v>
      </c>
    </row>
    <row r="31892" ht="16.5" customHeight="1">
      <c r="O31892" s="5" t="s">
        <v>355</v>
      </c>
      <c r="P31892" s="5" t="s">
        <v>355</v>
      </c>
      <c r="Q31892" s="5" t="s">
        <v>355</v>
      </c>
    </row>
    <row r="31893" ht="16.5" customHeight="1">
      <c r="O31893" s="5" t="s">
        <v>355</v>
      </c>
      <c r="P31893" s="5" t="s">
        <v>355</v>
      </c>
      <c r="Q31893" s="5" t="s">
        <v>355</v>
      </c>
    </row>
    <row r="31894" ht="16.5" customHeight="1">
      <c r="O31894" s="5" t="s">
        <v>355</v>
      </c>
      <c r="P31894" s="5" t="s">
        <v>355</v>
      </c>
      <c r="Q31894" s="5" t="s">
        <v>355</v>
      </c>
    </row>
    <row r="31895" ht="16.5" customHeight="1">
      <c r="O31895" s="5" t="s">
        <v>355</v>
      </c>
      <c r="P31895" s="5" t="s">
        <v>355</v>
      </c>
      <c r="Q31895" s="5" t="s">
        <v>355</v>
      </c>
    </row>
    <row r="31896" ht="16.5" customHeight="1">
      <c r="O31896" s="5" t="s">
        <v>355</v>
      </c>
      <c r="P31896" s="5" t="s">
        <v>355</v>
      </c>
      <c r="Q31896" s="5" t="s">
        <v>355</v>
      </c>
    </row>
    <row r="31897" ht="16.5" customHeight="1">
      <c r="O31897" s="5" t="s">
        <v>355</v>
      </c>
      <c r="P31897" s="5" t="s">
        <v>355</v>
      </c>
      <c r="Q31897" s="5" t="s">
        <v>355</v>
      </c>
    </row>
    <row r="31898" ht="16.5" customHeight="1">
      <c r="O31898" s="5" t="s">
        <v>355</v>
      </c>
      <c r="P31898" s="5" t="s">
        <v>355</v>
      </c>
      <c r="Q31898" s="5" t="s">
        <v>355</v>
      </c>
    </row>
    <row r="31899" ht="16.5" customHeight="1">
      <c r="O31899" s="5" t="s">
        <v>355</v>
      </c>
      <c r="P31899" s="5" t="s">
        <v>355</v>
      </c>
      <c r="Q31899" s="5" t="s">
        <v>355</v>
      </c>
    </row>
    <row r="31900" ht="16.5" customHeight="1">
      <c r="O31900" s="5" t="s">
        <v>355</v>
      </c>
      <c r="P31900" s="5" t="s">
        <v>355</v>
      </c>
      <c r="Q31900" s="5" t="s">
        <v>355</v>
      </c>
    </row>
    <row r="31901" ht="16.5" customHeight="1">
      <c r="O31901" s="5" t="s">
        <v>355</v>
      </c>
      <c r="P31901" s="5" t="s">
        <v>355</v>
      </c>
      <c r="Q31901" s="5" t="s">
        <v>355</v>
      </c>
    </row>
    <row r="31902" ht="16.5" customHeight="1">
      <c r="O31902" s="5" t="s">
        <v>355</v>
      </c>
      <c r="P31902" s="5" t="s">
        <v>355</v>
      </c>
      <c r="Q31902" s="5" t="s">
        <v>355</v>
      </c>
    </row>
    <row r="31903" ht="16.5" customHeight="1">
      <c r="O31903" s="5" t="s">
        <v>355</v>
      </c>
      <c r="P31903" s="5" t="s">
        <v>355</v>
      </c>
      <c r="Q31903" s="5" t="s">
        <v>355</v>
      </c>
    </row>
    <row r="31904" ht="16.5" customHeight="1">
      <c r="O31904" s="5" t="s">
        <v>355</v>
      </c>
      <c r="P31904" s="5" t="s">
        <v>355</v>
      </c>
      <c r="Q31904" s="5" t="s">
        <v>355</v>
      </c>
    </row>
    <row r="31905" ht="16.5" customHeight="1">
      <c r="O31905" s="5" t="s">
        <v>355</v>
      </c>
      <c r="P31905" s="5" t="s">
        <v>355</v>
      </c>
      <c r="Q31905" s="5" t="s">
        <v>355</v>
      </c>
    </row>
    <row r="31906" ht="16.5" customHeight="1">
      <c r="O31906" s="5" t="s">
        <v>355</v>
      </c>
      <c r="P31906" s="5" t="s">
        <v>355</v>
      </c>
      <c r="Q31906" s="5" t="s">
        <v>355</v>
      </c>
    </row>
    <row r="31907" ht="16.5" customHeight="1">
      <c r="O31907" s="5" t="s">
        <v>355</v>
      </c>
      <c r="P31907" s="5" t="s">
        <v>355</v>
      </c>
      <c r="Q31907" s="5" t="s">
        <v>355</v>
      </c>
    </row>
    <row r="31908" ht="16.5" customHeight="1">
      <c r="O31908" s="5" t="s">
        <v>355</v>
      </c>
      <c r="P31908" s="5" t="s">
        <v>355</v>
      </c>
      <c r="Q31908" s="5" t="s">
        <v>355</v>
      </c>
    </row>
    <row r="31909" ht="16.5" customHeight="1">
      <c r="O31909" s="5" t="s">
        <v>355</v>
      </c>
      <c r="P31909" s="5" t="s">
        <v>355</v>
      </c>
      <c r="Q31909" s="5" t="s">
        <v>355</v>
      </c>
    </row>
    <row r="31910" ht="16.5" customHeight="1">
      <c r="O31910" s="5" t="s">
        <v>355</v>
      </c>
      <c r="P31910" s="5" t="s">
        <v>355</v>
      </c>
      <c r="Q31910" s="5" t="s">
        <v>355</v>
      </c>
    </row>
    <row r="31911" ht="16.5" customHeight="1">
      <c r="O31911" s="5" t="s">
        <v>355</v>
      </c>
      <c r="P31911" s="5" t="s">
        <v>355</v>
      </c>
      <c r="Q31911" s="5" t="s">
        <v>355</v>
      </c>
    </row>
    <row r="31912" ht="16.5" customHeight="1">
      <c r="O31912" s="5" t="s">
        <v>355</v>
      </c>
      <c r="P31912" s="5" t="s">
        <v>355</v>
      </c>
      <c r="Q31912" s="5" t="s">
        <v>355</v>
      </c>
    </row>
    <row r="31913" ht="16.5" customHeight="1">
      <c r="O31913" s="5" t="s">
        <v>355</v>
      </c>
      <c r="P31913" s="5" t="s">
        <v>355</v>
      </c>
      <c r="Q31913" s="5" t="s">
        <v>355</v>
      </c>
    </row>
    <row r="31914" ht="16.5" customHeight="1">
      <c r="O31914" s="5" t="s">
        <v>355</v>
      </c>
      <c r="P31914" s="5" t="s">
        <v>355</v>
      </c>
      <c r="Q31914" s="5" t="s">
        <v>355</v>
      </c>
    </row>
    <row r="31915" ht="16.5" customHeight="1">
      <c r="O31915" s="5" t="s">
        <v>355</v>
      </c>
      <c r="P31915" s="5" t="s">
        <v>355</v>
      </c>
      <c r="Q31915" s="5" t="s">
        <v>355</v>
      </c>
    </row>
    <row r="31916" ht="16.5" customHeight="1">
      <c r="O31916" s="5" t="s">
        <v>355</v>
      </c>
      <c r="P31916" s="5" t="s">
        <v>355</v>
      </c>
      <c r="Q31916" s="5" t="s">
        <v>355</v>
      </c>
    </row>
    <row r="31917" ht="16.5" customHeight="1">
      <c r="O31917" s="5" t="s">
        <v>355</v>
      </c>
      <c r="P31917" s="5" t="s">
        <v>355</v>
      </c>
      <c r="Q31917" s="5" t="s">
        <v>355</v>
      </c>
    </row>
    <row r="31918" ht="16.5" customHeight="1">
      <c r="O31918" s="5" t="s">
        <v>355</v>
      </c>
      <c r="P31918" s="5" t="s">
        <v>355</v>
      </c>
      <c r="Q31918" s="5" t="s">
        <v>355</v>
      </c>
    </row>
    <row r="31919" ht="16.5" customHeight="1">
      <c r="O31919" s="5" t="s">
        <v>355</v>
      </c>
      <c r="P31919" s="5" t="s">
        <v>355</v>
      </c>
      <c r="Q31919" s="5" t="s">
        <v>355</v>
      </c>
    </row>
    <row r="31920" ht="16.5" customHeight="1">
      <c r="O31920" s="5" t="s">
        <v>355</v>
      </c>
      <c r="P31920" s="5" t="s">
        <v>355</v>
      </c>
      <c r="Q31920" s="5" t="s">
        <v>355</v>
      </c>
    </row>
    <row r="31921" ht="16.5" customHeight="1">
      <c r="O31921" s="5" t="s">
        <v>355</v>
      </c>
      <c r="P31921" s="5" t="s">
        <v>355</v>
      </c>
      <c r="Q31921" s="5" t="s">
        <v>355</v>
      </c>
    </row>
    <row r="31922" ht="16.5" customHeight="1">
      <c r="O31922" s="5" t="s">
        <v>355</v>
      </c>
      <c r="P31922" s="5" t="s">
        <v>355</v>
      </c>
      <c r="Q31922" s="5" t="s">
        <v>355</v>
      </c>
    </row>
    <row r="31923" ht="16.5" customHeight="1">
      <c r="O31923" s="5" t="s">
        <v>355</v>
      </c>
      <c r="P31923" s="5" t="s">
        <v>355</v>
      </c>
      <c r="Q31923" s="5" t="s">
        <v>355</v>
      </c>
    </row>
    <row r="31924" ht="16.5" customHeight="1">
      <c r="O31924" s="5" t="s">
        <v>355</v>
      </c>
      <c r="P31924" s="5" t="s">
        <v>355</v>
      </c>
      <c r="Q31924" s="5" t="s">
        <v>355</v>
      </c>
    </row>
    <row r="31925" ht="16.5" customHeight="1">
      <c r="O31925" s="5" t="s">
        <v>355</v>
      </c>
      <c r="P31925" s="5" t="s">
        <v>355</v>
      </c>
      <c r="Q31925" s="5" t="s">
        <v>355</v>
      </c>
    </row>
    <row r="31926" ht="16.5" customHeight="1">
      <c r="O31926" s="5" t="s">
        <v>355</v>
      </c>
      <c r="P31926" s="5" t="s">
        <v>355</v>
      </c>
      <c r="Q31926" s="5" t="s">
        <v>355</v>
      </c>
    </row>
    <row r="31927" ht="16.5" customHeight="1">
      <c r="O31927" s="5" t="s">
        <v>355</v>
      </c>
      <c r="P31927" s="5" t="s">
        <v>355</v>
      </c>
      <c r="Q31927" s="5" t="s">
        <v>355</v>
      </c>
    </row>
    <row r="31928" ht="16.5" customHeight="1">
      <c r="O31928" s="5" t="s">
        <v>355</v>
      </c>
      <c r="P31928" s="5" t="s">
        <v>355</v>
      </c>
      <c r="Q31928" s="5" t="s">
        <v>355</v>
      </c>
    </row>
    <row r="31929" ht="16.5" customHeight="1">
      <c r="O31929" s="5" t="s">
        <v>355</v>
      </c>
      <c r="P31929" s="5" t="s">
        <v>355</v>
      </c>
      <c r="Q31929" s="5" t="s">
        <v>355</v>
      </c>
    </row>
    <row r="31930" ht="16.5" customHeight="1">
      <c r="O31930" s="5" t="s">
        <v>355</v>
      </c>
      <c r="P31930" s="5" t="s">
        <v>355</v>
      </c>
      <c r="Q31930" s="5" t="s">
        <v>355</v>
      </c>
    </row>
    <row r="31931" ht="16.5" customHeight="1">
      <c r="O31931" s="5" t="s">
        <v>355</v>
      </c>
      <c r="P31931" s="5" t="s">
        <v>355</v>
      </c>
      <c r="Q31931" s="5" t="s">
        <v>355</v>
      </c>
    </row>
    <row r="31932" ht="16.5" customHeight="1">
      <c r="O31932" s="5" t="s">
        <v>355</v>
      </c>
      <c r="P31932" s="5" t="s">
        <v>355</v>
      </c>
      <c r="Q31932" s="5" t="s">
        <v>355</v>
      </c>
    </row>
    <row r="31933" ht="16.5" customHeight="1">
      <c r="O31933" s="5" t="s">
        <v>355</v>
      </c>
      <c r="P31933" s="5" t="s">
        <v>355</v>
      </c>
      <c r="Q31933" s="5" t="s">
        <v>355</v>
      </c>
    </row>
    <row r="31934" ht="16.5" customHeight="1">
      <c r="O31934" s="5" t="s">
        <v>355</v>
      </c>
      <c r="P31934" s="5" t="s">
        <v>355</v>
      </c>
      <c r="Q31934" s="5" t="s">
        <v>355</v>
      </c>
    </row>
    <row r="31935" ht="16.5" customHeight="1">
      <c r="O31935" s="5" t="s">
        <v>355</v>
      </c>
      <c r="P31935" s="5" t="s">
        <v>355</v>
      </c>
      <c r="Q31935" s="5" t="s">
        <v>355</v>
      </c>
    </row>
    <row r="31936" ht="16.5" customHeight="1">
      <c r="O31936" s="5" t="s">
        <v>355</v>
      </c>
      <c r="P31936" s="5" t="s">
        <v>355</v>
      </c>
      <c r="Q31936" s="5" t="s">
        <v>355</v>
      </c>
    </row>
    <row r="31937" ht="16.5" customHeight="1">
      <c r="O31937" s="5" t="s">
        <v>355</v>
      </c>
      <c r="P31937" s="5" t="s">
        <v>355</v>
      </c>
      <c r="Q31937" s="5" t="s">
        <v>355</v>
      </c>
    </row>
    <row r="31938" ht="16.5" customHeight="1">
      <c r="O31938" s="5" t="s">
        <v>355</v>
      </c>
      <c r="P31938" s="5" t="s">
        <v>355</v>
      </c>
      <c r="Q31938" s="5" t="s">
        <v>355</v>
      </c>
    </row>
    <row r="31939" ht="16.5" customHeight="1">
      <c r="O31939" s="5" t="s">
        <v>355</v>
      </c>
      <c r="P31939" s="5" t="s">
        <v>355</v>
      </c>
      <c r="Q31939" s="5" t="s">
        <v>355</v>
      </c>
    </row>
    <row r="31940" ht="16.5" customHeight="1">
      <c r="O31940" s="5" t="s">
        <v>355</v>
      </c>
      <c r="P31940" s="5" t="s">
        <v>355</v>
      </c>
      <c r="Q31940" s="5" t="s">
        <v>355</v>
      </c>
    </row>
    <row r="31941" ht="16.5" customHeight="1">
      <c r="O31941" s="5" t="s">
        <v>355</v>
      </c>
      <c r="P31941" s="5" t="s">
        <v>355</v>
      </c>
      <c r="Q31941" s="5" t="s">
        <v>355</v>
      </c>
    </row>
    <row r="31942" ht="16.5" customHeight="1">
      <c r="O31942" s="5" t="s">
        <v>355</v>
      </c>
      <c r="P31942" s="5" t="s">
        <v>355</v>
      </c>
      <c r="Q31942" s="5" t="s">
        <v>355</v>
      </c>
    </row>
    <row r="31943" ht="16.5" customHeight="1">
      <c r="O31943" s="5" t="s">
        <v>355</v>
      </c>
      <c r="P31943" s="5" t="s">
        <v>355</v>
      </c>
      <c r="Q31943" s="5" t="s">
        <v>355</v>
      </c>
    </row>
    <row r="31944" ht="16.5" customHeight="1">
      <c r="O31944" s="5" t="s">
        <v>355</v>
      </c>
      <c r="P31944" s="5" t="s">
        <v>355</v>
      </c>
      <c r="Q31944" s="5" t="s">
        <v>355</v>
      </c>
    </row>
    <row r="31945" ht="16.5" customHeight="1">
      <c r="O31945" s="5" t="s">
        <v>355</v>
      </c>
      <c r="P31945" s="5" t="s">
        <v>355</v>
      </c>
      <c r="Q31945" s="5" t="s">
        <v>355</v>
      </c>
    </row>
    <row r="31946" ht="16.5" customHeight="1">
      <c r="O31946" s="5" t="s">
        <v>355</v>
      </c>
      <c r="P31946" s="5" t="s">
        <v>355</v>
      </c>
      <c r="Q31946" s="5" t="s">
        <v>355</v>
      </c>
    </row>
    <row r="31947" ht="16.5" customHeight="1">
      <c r="O31947" s="5" t="s">
        <v>355</v>
      </c>
      <c r="P31947" s="5" t="s">
        <v>355</v>
      </c>
      <c r="Q31947" s="5" t="s">
        <v>355</v>
      </c>
    </row>
    <row r="31948" ht="16.5" customHeight="1">
      <c r="O31948" s="5" t="s">
        <v>355</v>
      </c>
      <c r="P31948" s="5" t="s">
        <v>355</v>
      </c>
      <c r="Q31948" s="5" t="s">
        <v>355</v>
      </c>
    </row>
    <row r="31949" ht="16.5" customHeight="1">
      <c r="O31949" s="5" t="s">
        <v>355</v>
      </c>
      <c r="P31949" s="5" t="s">
        <v>355</v>
      </c>
      <c r="Q31949" s="5" t="s">
        <v>355</v>
      </c>
    </row>
    <row r="31950" ht="16.5" customHeight="1">
      <c r="O31950" s="5" t="s">
        <v>355</v>
      </c>
      <c r="P31950" s="5" t="s">
        <v>355</v>
      </c>
      <c r="Q31950" s="5" t="s">
        <v>355</v>
      </c>
    </row>
    <row r="31951" ht="16.5" customHeight="1">
      <c r="O31951" s="5" t="s">
        <v>355</v>
      </c>
      <c r="P31951" s="5" t="s">
        <v>355</v>
      </c>
      <c r="Q31951" s="5" t="s">
        <v>355</v>
      </c>
    </row>
    <row r="31952" ht="16.5" customHeight="1">
      <c r="O31952" s="5" t="s">
        <v>355</v>
      </c>
      <c r="P31952" s="5" t="s">
        <v>355</v>
      </c>
      <c r="Q31952" s="5" t="s">
        <v>355</v>
      </c>
    </row>
    <row r="31953" ht="16.5" customHeight="1">
      <c r="O31953" s="5" t="s">
        <v>355</v>
      </c>
      <c r="P31953" s="5" t="s">
        <v>355</v>
      </c>
      <c r="Q31953" s="5" t="s">
        <v>355</v>
      </c>
    </row>
    <row r="31954" ht="16.5" customHeight="1">
      <c r="O31954" s="5" t="s">
        <v>355</v>
      </c>
      <c r="P31954" s="5" t="s">
        <v>355</v>
      </c>
      <c r="Q31954" s="5" t="s">
        <v>355</v>
      </c>
    </row>
    <row r="31955" ht="16.5" customHeight="1">
      <c r="O31955" s="5" t="s">
        <v>355</v>
      </c>
      <c r="P31955" s="5" t="s">
        <v>355</v>
      </c>
      <c r="Q31955" s="5" t="s">
        <v>355</v>
      </c>
    </row>
    <row r="31956" ht="16.5" customHeight="1">
      <c r="O31956" s="5" t="s">
        <v>355</v>
      </c>
      <c r="P31956" s="5" t="s">
        <v>355</v>
      </c>
      <c r="Q31956" s="5" t="s">
        <v>355</v>
      </c>
    </row>
    <row r="31957" ht="16.5" customHeight="1">
      <c r="O31957" s="5" t="s">
        <v>355</v>
      </c>
      <c r="P31957" s="5" t="s">
        <v>355</v>
      </c>
      <c r="Q31957" s="5" t="s">
        <v>355</v>
      </c>
    </row>
    <row r="31958" ht="16.5" customHeight="1">
      <c r="O31958" s="5" t="s">
        <v>355</v>
      </c>
      <c r="P31958" s="5" t="s">
        <v>355</v>
      </c>
      <c r="Q31958" s="5" t="s">
        <v>355</v>
      </c>
    </row>
    <row r="31959" ht="16.5" customHeight="1">
      <c r="O31959" s="5" t="s">
        <v>355</v>
      </c>
      <c r="P31959" s="5" t="s">
        <v>355</v>
      </c>
      <c r="Q31959" s="5" t="s">
        <v>355</v>
      </c>
    </row>
    <row r="31960" ht="16.5" customHeight="1">
      <c r="O31960" s="5" t="s">
        <v>355</v>
      </c>
      <c r="P31960" s="5" t="s">
        <v>355</v>
      </c>
      <c r="Q31960" s="5" t="s">
        <v>355</v>
      </c>
    </row>
    <row r="31961" ht="16.5" customHeight="1">
      <c r="O31961" s="5" t="s">
        <v>355</v>
      </c>
      <c r="P31961" s="5" t="s">
        <v>355</v>
      </c>
      <c r="Q31961" s="5" t="s">
        <v>355</v>
      </c>
    </row>
    <row r="31962" ht="16.5" customHeight="1">
      <c r="O31962" s="5" t="s">
        <v>355</v>
      </c>
      <c r="P31962" s="5" t="s">
        <v>355</v>
      </c>
      <c r="Q31962" s="5" t="s">
        <v>355</v>
      </c>
    </row>
    <row r="31963" ht="16.5" customHeight="1">
      <c r="O31963" s="5" t="s">
        <v>355</v>
      </c>
      <c r="P31963" s="5" t="s">
        <v>355</v>
      </c>
      <c r="Q31963" s="5" t="s">
        <v>355</v>
      </c>
    </row>
    <row r="31964" ht="16.5" customHeight="1">
      <c r="O31964" s="5" t="s">
        <v>355</v>
      </c>
      <c r="P31964" s="5" t="s">
        <v>355</v>
      </c>
      <c r="Q31964" s="5" t="s">
        <v>355</v>
      </c>
    </row>
    <row r="31965" ht="16.5" customHeight="1">
      <c r="O31965" s="5" t="s">
        <v>355</v>
      </c>
      <c r="P31965" s="5" t="s">
        <v>355</v>
      </c>
      <c r="Q31965" s="5" t="s">
        <v>355</v>
      </c>
    </row>
    <row r="31966" ht="16.5" customHeight="1">
      <c r="O31966" s="5" t="s">
        <v>355</v>
      </c>
      <c r="P31966" s="5" t="s">
        <v>355</v>
      </c>
      <c r="Q31966" s="5" t="s">
        <v>355</v>
      </c>
    </row>
    <row r="31967" ht="16.5" customHeight="1">
      <c r="O31967" s="5" t="s">
        <v>355</v>
      </c>
      <c r="P31967" s="5" t="s">
        <v>355</v>
      </c>
      <c r="Q31967" s="5" t="s">
        <v>355</v>
      </c>
    </row>
    <row r="31968" ht="16.5" customHeight="1">
      <c r="O31968" s="5" t="s">
        <v>355</v>
      </c>
      <c r="P31968" s="5" t="s">
        <v>355</v>
      </c>
      <c r="Q31968" s="5" t="s">
        <v>355</v>
      </c>
    </row>
    <row r="31969" ht="16.5" customHeight="1">
      <c r="O31969" s="5" t="s">
        <v>355</v>
      </c>
      <c r="P31969" s="5" t="s">
        <v>355</v>
      </c>
      <c r="Q31969" s="5" t="s">
        <v>355</v>
      </c>
    </row>
    <row r="31970" ht="16.5" customHeight="1">
      <c r="O31970" s="5" t="s">
        <v>355</v>
      </c>
      <c r="P31970" s="5" t="s">
        <v>355</v>
      </c>
      <c r="Q31970" s="5" t="s">
        <v>355</v>
      </c>
    </row>
    <row r="31971" ht="16.5" customHeight="1">
      <c r="O31971" s="5" t="s">
        <v>355</v>
      </c>
      <c r="P31971" s="5" t="s">
        <v>355</v>
      </c>
      <c r="Q31971" s="5" t="s">
        <v>355</v>
      </c>
    </row>
    <row r="31972" ht="16.5" customHeight="1">
      <c r="O31972" s="5" t="s">
        <v>355</v>
      </c>
      <c r="P31972" s="5" t="s">
        <v>355</v>
      </c>
      <c r="Q31972" s="5" t="s">
        <v>355</v>
      </c>
    </row>
    <row r="31973" ht="16.5" customHeight="1">
      <c r="O31973" s="5" t="s">
        <v>355</v>
      </c>
      <c r="P31973" s="5" t="s">
        <v>355</v>
      </c>
      <c r="Q31973" s="5" t="s">
        <v>355</v>
      </c>
    </row>
    <row r="31974" ht="16.5" customHeight="1">
      <c r="O31974" s="5" t="s">
        <v>355</v>
      </c>
      <c r="P31974" s="5" t="s">
        <v>355</v>
      </c>
      <c r="Q31974" s="5" t="s">
        <v>355</v>
      </c>
    </row>
    <row r="31975" ht="16.5" customHeight="1">
      <c r="O31975" s="5" t="s">
        <v>355</v>
      </c>
      <c r="P31975" s="5" t="s">
        <v>355</v>
      </c>
      <c r="Q31975" s="5" t="s">
        <v>355</v>
      </c>
    </row>
    <row r="31976" ht="16.5" customHeight="1">
      <c r="O31976" s="5" t="s">
        <v>355</v>
      </c>
      <c r="P31976" s="5" t="s">
        <v>355</v>
      </c>
      <c r="Q31976" s="5" t="s">
        <v>355</v>
      </c>
    </row>
    <row r="31977" ht="16.5" customHeight="1">
      <c r="O31977" s="5" t="s">
        <v>355</v>
      </c>
      <c r="P31977" s="5" t="s">
        <v>355</v>
      </c>
      <c r="Q31977" s="5" t="s">
        <v>355</v>
      </c>
    </row>
    <row r="31978" ht="16.5" customHeight="1">
      <c r="O31978" s="5" t="s">
        <v>355</v>
      </c>
      <c r="P31978" s="5" t="s">
        <v>355</v>
      </c>
      <c r="Q31978" s="5" t="s">
        <v>355</v>
      </c>
    </row>
    <row r="31979" ht="16.5" customHeight="1">
      <c r="O31979" s="5" t="s">
        <v>355</v>
      </c>
      <c r="P31979" s="5" t="s">
        <v>355</v>
      </c>
      <c r="Q31979" s="5" t="s">
        <v>355</v>
      </c>
    </row>
    <row r="31980" ht="16.5" customHeight="1">
      <c r="O31980" s="5" t="s">
        <v>355</v>
      </c>
      <c r="P31980" s="5" t="s">
        <v>355</v>
      </c>
      <c r="Q31980" s="5" t="s">
        <v>355</v>
      </c>
    </row>
    <row r="31981" ht="16.5" customHeight="1">
      <c r="O31981" s="5" t="s">
        <v>355</v>
      </c>
      <c r="P31981" s="5" t="s">
        <v>355</v>
      </c>
      <c r="Q31981" s="5" t="s">
        <v>355</v>
      </c>
    </row>
    <row r="31982" ht="16.5" customHeight="1">
      <c r="O31982" s="5" t="s">
        <v>355</v>
      </c>
      <c r="P31982" s="5" t="s">
        <v>355</v>
      </c>
      <c r="Q31982" s="5" t="s">
        <v>355</v>
      </c>
    </row>
    <row r="31983" ht="16.5" customHeight="1">
      <c r="O31983" s="5" t="s">
        <v>355</v>
      </c>
      <c r="P31983" s="5" t="s">
        <v>355</v>
      </c>
      <c r="Q31983" s="5" t="s">
        <v>355</v>
      </c>
    </row>
    <row r="31984" ht="16.5" customHeight="1">
      <c r="O31984" s="5" t="s">
        <v>355</v>
      </c>
      <c r="P31984" s="5" t="s">
        <v>355</v>
      </c>
      <c r="Q31984" s="5" t="s">
        <v>355</v>
      </c>
    </row>
    <row r="31985" ht="16.5" customHeight="1">
      <c r="O31985" s="5" t="s">
        <v>355</v>
      </c>
      <c r="P31985" s="5" t="s">
        <v>355</v>
      </c>
      <c r="Q31985" s="5" t="s">
        <v>355</v>
      </c>
    </row>
    <row r="31986" ht="16.5" customHeight="1">
      <c r="O31986" s="5" t="s">
        <v>355</v>
      </c>
      <c r="P31986" s="5" t="s">
        <v>355</v>
      </c>
      <c r="Q31986" s="5" t="s">
        <v>355</v>
      </c>
    </row>
    <row r="31987" ht="16.5" customHeight="1">
      <c r="O31987" s="5" t="s">
        <v>355</v>
      </c>
      <c r="P31987" s="5" t="s">
        <v>355</v>
      </c>
      <c r="Q31987" s="5" t="s">
        <v>355</v>
      </c>
    </row>
    <row r="31988" ht="16.5" customHeight="1">
      <c r="O31988" s="5" t="s">
        <v>355</v>
      </c>
      <c r="P31988" s="5" t="s">
        <v>355</v>
      </c>
      <c r="Q31988" s="5" t="s">
        <v>355</v>
      </c>
    </row>
    <row r="31989" ht="16.5" customHeight="1">
      <c r="O31989" s="5" t="s">
        <v>355</v>
      </c>
      <c r="P31989" s="5" t="s">
        <v>355</v>
      </c>
      <c r="Q31989" s="5" t="s">
        <v>355</v>
      </c>
    </row>
    <row r="31990" ht="16.5" customHeight="1">
      <c r="O31990" s="5" t="s">
        <v>355</v>
      </c>
      <c r="P31990" s="5" t="s">
        <v>355</v>
      </c>
      <c r="Q31990" s="5" t="s">
        <v>355</v>
      </c>
    </row>
    <row r="31991" ht="16.5" customHeight="1">
      <c r="O31991" s="5" t="s">
        <v>355</v>
      </c>
      <c r="P31991" s="5" t="s">
        <v>355</v>
      </c>
      <c r="Q31991" s="5" t="s">
        <v>355</v>
      </c>
    </row>
    <row r="31992" ht="16.5" customHeight="1">
      <c r="O31992" s="5" t="s">
        <v>355</v>
      </c>
      <c r="P31992" s="5" t="s">
        <v>355</v>
      </c>
      <c r="Q31992" s="5" t="s">
        <v>355</v>
      </c>
    </row>
    <row r="31993" ht="16.5" customHeight="1">
      <c r="O31993" s="5" t="s">
        <v>355</v>
      </c>
      <c r="P31993" s="5" t="s">
        <v>355</v>
      </c>
      <c r="Q31993" s="5" t="s">
        <v>355</v>
      </c>
    </row>
    <row r="31994" ht="16.5" customHeight="1">
      <c r="O31994" s="5" t="s">
        <v>355</v>
      </c>
      <c r="P31994" s="5" t="s">
        <v>355</v>
      </c>
      <c r="Q31994" s="5" t="s">
        <v>355</v>
      </c>
    </row>
    <row r="31995" ht="16.5" customHeight="1">
      <c r="O31995" s="5" t="s">
        <v>355</v>
      </c>
      <c r="P31995" s="5" t="s">
        <v>355</v>
      </c>
      <c r="Q31995" s="5" t="s">
        <v>355</v>
      </c>
    </row>
    <row r="31996" ht="16.5" customHeight="1">
      <c r="O31996" s="5" t="s">
        <v>355</v>
      </c>
      <c r="P31996" s="5" t="s">
        <v>355</v>
      </c>
      <c r="Q31996" s="5" t="s">
        <v>355</v>
      </c>
    </row>
    <row r="31997" ht="16.5" customHeight="1">
      <c r="O31997" s="5" t="s">
        <v>355</v>
      </c>
      <c r="P31997" s="5" t="s">
        <v>355</v>
      </c>
      <c r="Q31997" s="5" t="s">
        <v>355</v>
      </c>
    </row>
    <row r="31998" ht="16.5" customHeight="1">
      <c r="O31998" s="5" t="s">
        <v>355</v>
      </c>
      <c r="P31998" s="5" t="s">
        <v>355</v>
      </c>
      <c r="Q31998" s="5" t="s">
        <v>355</v>
      </c>
    </row>
    <row r="31999" ht="16.5" customHeight="1">
      <c r="O31999" s="5" t="s">
        <v>355</v>
      </c>
      <c r="P31999" s="5" t="s">
        <v>355</v>
      </c>
      <c r="Q31999" s="5" t="s">
        <v>355</v>
      </c>
    </row>
    <row r="32000" ht="16.5" customHeight="1">
      <c r="O32000" s="5" t="s">
        <v>355</v>
      </c>
      <c r="P32000" s="5" t="s">
        <v>355</v>
      </c>
      <c r="Q32000" s="5" t="s">
        <v>355</v>
      </c>
    </row>
    <row r="32001" ht="16.5" customHeight="1">
      <c r="O32001" s="5" t="s">
        <v>355</v>
      </c>
      <c r="P32001" s="5" t="s">
        <v>355</v>
      </c>
      <c r="Q32001" s="5" t="s">
        <v>355</v>
      </c>
    </row>
    <row r="32002" ht="16.5" customHeight="1">
      <c r="O32002" s="5" t="s">
        <v>355</v>
      </c>
      <c r="P32002" s="5" t="s">
        <v>355</v>
      </c>
      <c r="Q32002" s="5" t="s">
        <v>355</v>
      </c>
    </row>
    <row r="32003" ht="16.5" customHeight="1">
      <c r="O32003" s="5" t="s">
        <v>355</v>
      </c>
      <c r="P32003" s="5" t="s">
        <v>355</v>
      </c>
      <c r="Q32003" s="5" t="s">
        <v>355</v>
      </c>
    </row>
    <row r="32004" ht="16.5" customHeight="1">
      <c r="O32004" s="5" t="s">
        <v>355</v>
      </c>
      <c r="P32004" s="5" t="s">
        <v>355</v>
      </c>
      <c r="Q32004" s="5" t="s">
        <v>355</v>
      </c>
    </row>
    <row r="32005" ht="16.5" customHeight="1">
      <c r="O32005" s="5" t="s">
        <v>355</v>
      </c>
      <c r="P32005" s="5" t="s">
        <v>355</v>
      </c>
      <c r="Q32005" s="5" t="s">
        <v>355</v>
      </c>
    </row>
    <row r="32006" ht="16.5" customHeight="1">
      <c r="O32006" s="5" t="s">
        <v>355</v>
      </c>
      <c r="P32006" s="5" t="s">
        <v>355</v>
      </c>
      <c r="Q32006" s="5" t="s">
        <v>355</v>
      </c>
    </row>
    <row r="32007" ht="16.5" customHeight="1">
      <c r="O32007" s="5" t="s">
        <v>355</v>
      </c>
      <c r="P32007" s="5" t="s">
        <v>355</v>
      </c>
      <c r="Q32007" s="5" t="s">
        <v>355</v>
      </c>
    </row>
    <row r="32008" ht="16.5" customHeight="1">
      <c r="O32008" s="5" t="s">
        <v>355</v>
      </c>
      <c r="P32008" s="5" t="s">
        <v>355</v>
      </c>
      <c r="Q32008" s="5" t="s">
        <v>355</v>
      </c>
    </row>
    <row r="32009" ht="16.5" customHeight="1">
      <c r="O32009" s="5" t="s">
        <v>355</v>
      </c>
      <c r="P32009" s="5" t="s">
        <v>355</v>
      </c>
      <c r="Q32009" s="5" t="s">
        <v>355</v>
      </c>
    </row>
    <row r="32010" ht="16.5" customHeight="1">
      <c r="O32010" s="5" t="s">
        <v>355</v>
      </c>
      <c r="P32010" s="5" t="s">
        <v>355</v>
      </c>
      <c r="Q32010" s="5" t="s">
        <v>355</v>
      </c>
    </row>
    <row r="32011" ht="16.5" customHeight="1">
      <c r="O32011" s="5" t="s">
        <v>355</v>
      </c>
      <c r="P32011" s="5" t="s">
        <v>355</v>
      </c>
      <c r="Q32011" s="5" t="s">
        <v>355</v>
      </c>
    </row>
    <row r="32012" ht="16.5" customHeight="1">
      <c r="O32012" s="5" t="s">
        <v>355</v>
      </c>
      <c r="P32012" s="5" t="s">
        <v>355</v>
      </c>
      <c r="Q32012" s="5" t="s">
        <v>355</v>
      </c>
    </row>
    <row r="32013" ht="16.5" customHeight="1">
      <c r="O32013" s="5" t="s">
        <v>355</v>
      </c>
      <c r="P32013" s="5" t="s">
        <v>355</v>
      </c>
      <c r="Q32013" s="5" t="s">
        <v>355</v>
      </c>
    </row>
    <row r="32014" ht="16.5" customHeight="1">
      <c r="O32014" s="5" t="s">
        <v>355</v>
      </c>
      <c r="P32014" s="5" t="s">
        <v>355</v>
      </c>
      <c r="Q32014" s="5" t="s">
        <v>355</v>
      </c>
    </row>
    <row r="32015" ht="16.5" customHeight="1">
      <c r="O32015" s="5" t="s">
        <v>355</v>
      </c>
      <c r="P32015" s="5" t="s">
        <v>355</v>
      </c>
      <c r="Q32015" s="5" t="s">
        <v>355</v>
      </c>
    </row>
    <row r="32016" ht="16.5" customHeight="1">
      <c r="O32016" s="5" t="s">
        <v>355</v>
      </c>
      <c r="P32016" s="5" t="s">
        <v>355</v>
      </c>
      <c r="Q32016" s="5" t="s">
        <v>355</v>
      </c>
    </row>
    <row r="32017" ht="16.5" customHeight="1">
      <c r="O32017" s="5" t="s">
        <v>355</v>
      </c>
      <c r="P32017" s="5" t="s">
        <v>355</v>
      </c>
      <c r="Q32017" s="5" t="s">
        <v>355</v>
      </c>
    </row>
    <row r="32018" ht="16.5" customHeight="1">
      <c r="O32018" s="5" t="s">
        <v>355</v>
      </c>
      <c r="P32018" s="5" t="s">
        <v>355</v>
      </c>
      <c r="Q32018" s="5" t="s">
        <v>355</v>
      </c>
    </row>
    <row r="32019" ht="16.5" customHeight="1">
      <c r="O32019" s="5" t="s">
        <v>355</v>
      </c>
      <c r="P32019" s="5" t="s">
        <v>355</v>
      </c>
      <c r="Q32019" s="5" t="s">
        <v>355</v>
      </c>
    </row>
    <row r="32020" ht="16.5" customHeight="1">
      <c r="O32020" s="5" t="s">
        <v>355</v>
      </c>
      <c r="P32020" s="5" t="s">
        <v>355</v>
      </c>
      <c r="Q32020" s="5" t="s">
        <v>355</v>
      </c>
    </row>
    <row r="32021" ht="16.5" customHeight="1">
      <c r="O32021" s="5" t="s">
        <v>355</v>
      </c>
      <c r="P32021" s="5" t="s">
        <v>355</v>
      </c>
      <c r="Q32021" s="5" t="s">
        <v>355</v>
      </c>
    </row>
    <row r="32022" ht="16.5" customHeight="1">
      <c r="O32022" s="5" t="s">
        <v>355</v>
      </c>
      <c r="P32022" s="5" t="s">
        <v>355</v>
      </c>
      <c r="Q32022" s="5" t="s">
        <v>355</v>
      </c>
    </row>
    <row r="32023" ht="16.5" customHeight="1">
      <c r="O32023" s="5" t="s">
        <v>355</v>
      </c>
      <c r="P32023" s="5" t="s">
        <v>355</v>
      </c>
      <c r="Q32023" s="5" t="s">
        <v>355</v>
      </c>
    </row>
    <row r="32024" ht="16.5" customHeight="1">
      <c r="O32024" s="5" t="s">
        <v>355</v>
      </c>
      <c r="P32024" s="5" t="s">
        <v>355</v>
      </c>
      <c r="Q32024" s="5" t="s">
        <v>355</v>
      </c>
    </row>
    <row r="32025" ht="16.5" customHeight="1">
      <c r="O32025" s="5" t="s">
        <v>355</v>
      </c>
      <c r="P32025" s="5" t="s">
        <v>355</v>
      </c>
      <c r="Q32025" s="5" t="s">
        <v>355</v>
      </c>
    </row>
    <row r="32026" ht="16.5" customHeight="1">
      <c r="O32026" s="5" t="s">
        <v>355</v>
      </c>
      <c r="P32026" s="5" t="s">
        <v>355</v>
      </c>
      <c r="Q32026" s="5" t="s">
        <v>355</v>
      </c>
    </row>
    <row r="32027" ht="16.5" customHeight="1">
      <c r="O32027" s="5" t="s">
        <v>355</v>
      </c>
      <c r="P32027" s="5" t="s">
        <v>355</v>
      </c>
      <c r="Q32027" s="5" t="s">
        <v>355</v>
      </c>
    </row>
    <row r="32028" ht="16.5" customHeight="1">
      <c r="O32028" s="5" t="s">
        <v>355</v>
      </c>
      <c r="P32028" s="5" t="s">
        <v>355</v>
      </c>
      <c r="Q32028" s="5" t="s">
        <v>355</v>
      </c>
    </row>
    <row r="32029" ht="16.5" customHeight="1">
      <c r="O32029" s="5" t="s">
        <v>355</v>
      </c>
      <c r="P32029" s="5" t="s">
        <v>355</v>
      </c>
      <c r="Q32029" s="5" t="s">
        <v>355</v>
      </c>
    </row>
    <row r="32030" ht="16.5" customHeight="1">
      <c r="O32030" s="5" t="s">
        <v>355</v>
      </c>
      <c r="P32030" s="5" t="s">
        <v>355</v>
      </c>
      <c r="Q32030" s="5" t="s">
        <v>355</v>
      </c>
    </row>
    <row r="32031" ht="16.5" customHeight="1">
      <c r="O32031" s="5" t="s">
        <v>355</v>
      </c>
      <c r="P32031" s="5" t="s">
        <v>355</v>
      </c>
      <c r="Q32031" s="5" t="s">
        <v>355</v>
      </c>
    </row>
    <row r="32032" ht="16.5" customHeight="1">
      <c r="O32032" s="5" t="s">
        <v>355</v>
      </c>
      <c r="P32032" s="5" t="s">
        <v>355</v>
      </c>
      <c r="Q32032" s="5" t="s">
        <v>355</v>
      </c>
    </row>
    <row r="32033" ht="16.5" customHeight="1">
      <c r="O32033" s="5" t="s">
        <v>355</v>
      </c>
      <c r="P32033" s="5" t="s">
        <v>355</v>
      </c>
      <c r="Q32033" s="5" t="s">
        <v>355</v>
      </c>
    </row>
    <row r="32034" ht="16.5" customHeight="1">
      <c r="O32034" s="5" t="s">
        <v>355</v>
      </c>
      <c r="P32034" s="5" t="s">
        <v>355</v>
      </c>
      <c r="Q32034" s="5" t="s">
        <v>355</v>
      </c>
    </row>
    <row r="32035" ht="16.5" customHeight="1">
      <c r="O32035" s="5" t="s">
        <v>355</v>
      </c>
      <c r="P32035" s="5" t="s">
        <v>355</v>
      </c>
      <c r="Q32035" s="5" t="s">
        <v>355</v>
      </c>
    </row>
    <row r="32036" ht="16.5" customHeight="1">
      <c r="O32036" s="5" t="s">
        <v>355</v>
      </c>
      <c r="P32036" s="5" t="s">
        <v>355</v>
      </c>
      <c r="Q32036" s="5" t="s">
        <v>355</v>
      </c>
    </row>
    <row r="32037" ht="16.5" customHeight="1">
      <c r="O32037" s="5" t="s">
        <v>355</v>
      </c>
      <c r="P32037" s="5" t="s">
        <v>355</v>
      </c>
      <c r="Q32037" s="5" t="s">
        <v>355</v>
      </c>
    </row>
    <row r="32038" ht="16.5" customHeight="1">
      <c r="O32038" s="5" t="s">
        <v>355</v>
      </c>
      <c r="P32038" s="5" t="s">
        <v>355</v>
      </c>
      <c r="Q32038" s="5" t="s">
        <v>355</v>
      </c>
    </row>
    <row r="32039" ht="16.5" customHeight="1">
      <c r="O32039" s="5" t="s">
        <v>355</v>
      </c>
      <c r="P32039" s="5" t="s">
        <v>355</v>
      </c>
      <c r="Q32039" s="5" t="s">
        <v>355</v>
      </c>
    </row>
    <row r="32040" ht="16.5" customHeight="1">
      <c r="O32040" s="5" t="s">
        <v>355</v>
      </c>
      <c r="P32040" s="5" t="s">
        <v>355</v>
      </c>
      <c r="Q32040" s="5" t="s">
        <v>355</v>
      </c>
    </row>
    <row r="32041" ht="16.5" customHeight="1">
      <c r="O32041" s="5" t="s">
        <v>355</v>
      </c>
      <c r="P32041" s="5" t="s">
        <v>355</v>
      </c>
      <c r="Q32041" s="5" t="s">
        <v>355</v>
      </c>
    </row>
    <row r="32042" ht="16.5" customHeight="1">
      <c r="O32042" s="5" t="s">
        <v>355</v>
      </c>
      <c r="P32042" s="5" t="s">
        <v>355</v>
      </c>
      <c r="Q32042" s="5" t="s">
        <v>355</v>
      </c>
    </row>
    <row r="32043" ht="16.5" customHeight="1">
      <c r="O32043" s="5" t="s">
        <v>355</v>
      </c>
      <c r="P32043" s="5" t="s">
        <v>355</v>
      </c>
      <c r="Q32043" s="5" t="s">
        <v>355</v>
      </c>
    </row>
    <row r="32044" ht="16.5" customHeight="1">
      <c r="O32044" s="5" t="s">
        <v>355</v>
      </c>
      <c r="P32044" s="5" t="s">
        <v>355</v>
      </c>
      <c r="Q32044" s="5" t="s">
        <v>355</v>
      </c>
    </row>
    <row r="32045" ht="16.5" customHeight="1">
      <c r="O32045" s="5" t="s">
        <v>355</v>
      </c>
      <c r="P32045" s="5" t="s">
        <v>355</v>
      </c>
      <c r="Q32045" s="5" t="s">
        <v>355</v>
      </c>
    </row>
    <row r="32046" ht="16.5" customHeight="1">
      <c r="O32046" s="5" t="s">
        <v>355</v>
      </c>
      <c r="P32046" s="5" t="s">
        <v>355</v>
      </c>
      <c r="Q32046" s="5" t="s">
        <v>355</v>
      </c>
    </row>
    <row r="32047" ht="16.5" customHeight="1">
      <c r="O32047" s="5" t="s">
        <v>355</v>
      </c>
      <c r="P32047" s="5" t="s">
        <v>355</v>
      </c>
      <c r="Q32047" s="5" t="s">
        <v>355</v>
      </c>
    </row>
    <row r="32048" ht="16.5" customHeight="1">
      <c r="O32048" s="5" t="s">
        <v>355</v>
      </c>
      <c r="P32048" s="5" t="s">
        <v>355</v>
      </c>
      <c r="Q32048" s="5" t="s">
        <v>355</v>
      </c>
    </row>
    <row r="32049" ht="16.5" customHeight="1">
      <c r="O32049" s="5" t="s">
        <v>355</v>
      </c>
      <c r="P32049" s="5" t="s">
        <v>355</v>
      </c>
      <c r="Q32049" s="5" t="s">
        <v>355</v>
      </c>
    </row>
    <row r="32050" ht="16.5" customHeight="1">
      <c r="O32050" s="5" t="s">
        <v>355</v>
      </c>
      <c r="P32050" s="5" t="s">
        <v>355</v>
      </c>
      <c r="Q32050" s="5" t="s">
        <v>355</v>
      </c>
    </row>
    <row r="32051" ht="16.5" customHeight="1">
      <c r="O32051" s="5" t="s">
        <v>355</v>
      </c>
      <c r="P32051" s="5" t="s">
        <v>355</v>
      </c>
      <c r="Q32051" s="5" t="s">
        <v>355</v>
      </c>
    </row>
    <row r="32052" ht="16.5" customHeight="1">
      <c r="O32052" s="5" t="s">
        <v>355</v>
      </c>
      <c r="P32052" s="5" t="s">
        <v>355</v>
      </c>
      <c r="Q32052" s="5" t="s">
        <v>355</v>
      </c>
    </row>
    <row r="32053" ht="16.5" customHeight="1">
      <c r="O32053" s="5" t="s">
        <v>355</v>
      </c>
      <c r="P32053" s="5" t="s">
        <v>355</v>
      </c>
      <c r="Q32053" s="5" t="s">
        <v>355</v>
      </c>
    </row>
    <row r="32054" ht="16.5" customHeight="1">
      <c r="O32054" s="5" t="s">
        <v>355</v>
      </c>
      <c r="P32054" s="5" t="s">
        <v>355</v>
      </c>
      <c r="Q32054" s="5" t="s">
        <v>355</v>
      </c>
    </row>
    <row r="32055" ht="16.5" customHeight="1">
      <c r="O32055" s="5" t="s">
        <v>355</v>
      </c>
      <c r="P32055" s="5" t="s">
        <v>355</v>
      </c>
      <c r="Q32055" s="5" t="s">
        <v>355</v>
      </c>
    </row>
    <row r="32056" ht="16.5" customHeight="1">
      <c r="O32056" s="5" t="s">
        <v>355</v>
      </c>
      <c r="P32056" s="5" t="s">
        <v>355</v>
      </c>
      <c r="Q32056" s="5" t="s">
        <v>355</v>
      </c>
    </row>
    <row r="32057" ht="16.5" customHeight="1">
      <c r="O32057" s="5" t="s">
        <v>355</v>
      </c>
      <c r="P32057" s="5" t="s">
        <v>355</v>
      </c>
      <c r="Q32057" s="5" t="s">
        <v>355</v>
      </c>
    </row>
    <row r="32058" ht="16.5" customHeight="1">
      <c r="O32058" s="5" t="s">
        <v>355</v>
      </c>
      <c r="P32058" s="5" t="s">
        <v>355</v>
      </c>
      <c r="Q32058" s="5" t="s">
        <v>355</v>
      </c>
    </row>
    <row r="32059" ht="16.5" customHeight="1">
      <c r="O32059" s="5" t="s">
        <v>355</v>
      </c>
      <c r="P32059" s="5" t="s">
        <v>355</v>
      </c>
      <c r="Q32059" s="5" t="s">
        <v>355</v>
      </c>
    </row>
    <row r="32060" ht="16.5" customHeight="1">
      <c r="O32060" s="5" t="s">
        <v>355</v>
      </c>
      <c r="P32060" s="5" t="s">
        <v>355</v>
      </c>
      <c r="Q32060" s="5" t="s">
        <v>355</v>
      </c>
    </row>
    <row r="32061" ht="16.5" customHeight="1">
      <c r="O32061" s="5" t="s">
        <v>355</v>
      </c>
      <c r="P32061" s="5" t="s">
        <v>355</v>
      </c>
      <c r="Q32061" s="5" t="s">
        <v>355</v>
      </c>
    </row>
    <row r="32062" ht="16.5" customHeight="1">
      <c r="O32062" s="5" t="s">
        <v>355</v>
      </c>
      <c r="P32062" s="5" t="s">
        <v>355</v>
      </c>
      <c r="Q32062" s="5" t="s">
        <v>355</v>
      </c>
    </row>
    <row r="32063" ht="16.5" customHeight="1">
      <c r="O32063" s="5" t="s">
        <v>355</v>
      </c>
      <c r="P32063" s="5" t="s">
        <v>355</v>
      </c>
      <c r="Q32063" s="5" t="s">
        <v>355</v>
      </c>
    </row>
    <row r="32064" ht="16.5" customHeight="1">
      <c r="O32064" s="5" t="s">
        <v>355</v>
      </c>
      <c r="P32064" s="5" t="s">
        <v>355</v>
      </c>
      <c r="Q32064" s="5" t="s">
        <v>355</v>
      </c>
    </row>
    <row r="32065" ht="16.5" customHeight="1">
      <c r="O32065" s="5" t="s">
        <v>355</v>
      </c>
      <c r="P32065" s="5" t="s">
        <v>355</v>
      </c>
      <c r="Q32065" s="5" t="s">
        <v>355</v>
      </c>
    </row>
    <row r="32066" ht="16.5" customHeight="1">
      <c r="O32066" s="5" t="s">
        <v>355</v>
      </c>
      <c r="P32066" s="5" t="s">
        <v>355</v>
      </c>
      <c r="Q32066" s="5" t="s">
        <v>355</v>
      </c>
    </row>
    <row r="32067" ht="16.5" customHeight="1">
      <c r="O32067" s="5" t="s">
        <v>355</v>
      </c>
      <c r="P32067" s="5" t="s">
        <v>355</v>
      </c>
      <c r="Q32067" s="5" t="s">
        <v>355</v>
      </c>
    </row>
    <row r="32068" ht="16.5" customHeight="1">
      <c r="O32068" s="5" t="s">
        <v>355</v>
      </c>
      <c r="P32068" s="5" t="s">
        <v>355</v>
      </c>
      <c r="Q32068" s="5" t="s">
        <v>355</v>
      </c>
    </row>
    <row r="32069" ht="16.5" customHeight="1">
      <c r="O32069" s="5" t="s">
        <v>355</v>
      </c>
      <c r="P32069" s="5" t="s">
        <v>355</v>
      </c>
      <c r="Q32069" s="5" t="s">
        <v>355</v>
      </c>
    </row>
    <row r="32070" ht="16.5" customHeight="1">
      <c r="O32070" s="5" t="s">
        <v>355</v>
      </c>
      <c r="P32070" s="5" t="s">
        <v>355</v>
      </c>
      <c r="Q32070" s="5" t="s">
        <v>355</v>
      </c>
    </row>
    <row r="32071" ht="16.5" customHeight="1">
      <c r="O32071" s="5" t="s">
        <v>355</v>
      </c>
      <c r="P32071" s="5" t="s">
        <v>355</v>
      </c>
      <c r="Q32071" s="5" t="s">
        <v>355</v>
      </c>
    </row>
    <row r="32072" ht="16.5" customHeight="1">
      <c r="O32072" s="5" t="s">
        <v>355</v>
      </c>
      <c r="P32072" s="5" t="s">
        <v>355</v>
      </c>
      <c r="Q32072" s="5" t="s">
        <v>355</v>
      </c>
    </row>
    <row r="32073" ht="16.5" customHeight="1">
      <c r="O32073" s="5" t="s">
        <v>355</v>
      </c>
      <c r="P32073" s="5" t="s">
        <v>355</v>
      </c>
      <c r="Q32073" s="5" t="s">
        <v>355</v>
      </c>
    </row>
    <row r="32074" ht="16.5" customHeight="1">
      <c r="O32074" s="5" t="s">
        <v>355</v>
      </c>
      <c r="P32074" s="5" t="s">
        <v>355</v>
      </c>
      <c r="Q32074" s="5" t="s">
        <v>355</v>
      </c>
    </row>
    <row r="32075" ht="16.5" customHeight="1">
      <c r="O32075" s="5" t="s">
        <v>355</v>
      </c>
      <c r="P32075" s="5" t="s">
        <v>355</v>
      </c>
      <c r="Q32075" s="5" t="s">
        <v>355</v>
      </c>
    </row>
    <row r="32076" ht="16.5" customHeight="1">
      <c r="O32076" s="5" t="s">
        <v>355</v>
      </c>
      <c r="P32076" s="5" t="s">
        <v>355</v>
      </c>
      <c r="Q32076" s="5" t="s">
        <v>355</v>
      </c>
    </row>
    <row r="32077" ht="16.5" customHeight="1">
      <c r="O32077" s="5" t="s">
        <v>355</v>
      </c>
      <c r="P32077" s="5" t="s">
        <v>355</v>
      </c>
      <c r="Q32077" s="5" t="s">
        <v>355</v>
      </c>
    </row>
    <row r="32078" ht="16.5" customHeight="1">
      <c r="O32078" s="5" t="s">
        <v>355</v>
      </c>
      <c r="P32078" s="5" t="s">
        <v>355</v>
      </c>
      <c r="Q32078" s="5" t="s">
        <v>355</v>
      </c>
    </row>
    <row r="32079" ht="16.5" customHeight="1">
      <c r="O32079" s="5" t="s">
        <v>355</v>
      </c>
      <c r="P32079" s="5" t="s">
        <v>355</v>
      </c>
      <c r="Q32079" s="5" t="s">
        <v>355</v>
      </c>
    </row>
    <row r="32080" ht="16.5" customHeight="1">
      <c r="O32080" s="5" t="s">
        <v>355</v>
      </c>
      <c r="P32080" s="5" t="s">
        <v>355</v>
      </c>
      <c r="Q32080" s="5" t="s">
        <v>355</v>
      </c>
    </row>
    <row r="32081" ht="16.5" customHeight="1">
      <c r="O32081" s="5" t="s">
        <v>355</v>
      </c>
      <c r="P32081" s="5" t="s">
        <v>355</v>
      </c>
      <c r="Q32081" s="5" t="s">
        <v>355</v>
      </c>
    </row>
    <row r="32082" ht="16.5" customHeight="1">
      <c r="O32082" s="5" t="s">
        <v>355</v>
      </c>
      <c r="P32082" s="5" t="s">
        <v>355</v>
      </c>
      <c r="Q32082" s="5" t="s">
        <v>355</v>
      </c>
    </row>
    <row r="32083" ht="16.5" customHeight="1">
      <c r="O32083" s="5" t="s">
        <v>355</v>
      </c>
      <c r="P32083" s="5" t="s">
        <v>355</v>
      </c>
      <c r="Q32083" s="5" t="s">
        <v>355</v>
      </c>
    </row>
    <row r="32084" ht="16.5" customHeight="1">
      <c r="O32084" s="5" t="s">
        <v>355</v>
      </c>
      <c r="P32084" s="5" t="s">
        <v>355</v>
      </c>
      <c r="Q32084" s="5" t="s">
        <v>355</v>
      </c>
    </row>
    <row r="32085" ht="16.5" customHeight="1">
      <c r="O32085" s="5" t="s">
        <v>355</v>
      </c>
      <c r="P32085" s="5" t="s">
        <v>355</v>
      </c>
      <c r="Q32085" s="5" t="s">
        <v>355</v>
      </c>
    </row>
    <row r="32086" ht="16.5" customHeight="1">
      <c r="O32086" s="5" t="s">
        <v>355</v>
      </c>
      <c r="P32086" s="5" t="s">
        <v>355</v>
      </c>
      <c r="Q32086" s="5" t="s">
        <v>355</v>
      </c>
    </row>
    <row r="32087" ht="16.5" customHeight="1">
      <c r="O32087" s="5" t="s">
        <v>355</v>
      </c>
      <c r="P32087" s="5" t="s">
        <v>355</v>
      </c>
      <c r="Q32087" s="5" t="s">
        <v>355</v>
      </c>
    </row>
    <row r="32088" ht="16.5" customHeight="1">
      <c r="O32088" s="5" t="s">
        <v>355</v>
      </c>
      <c r="P32088" s="5" t="s">
        <v>355</v>
      </c>
      <c r="Q32088" s="5" t="s">
        <v>355</v>
      </c>
    </row>
    <row r="32089" ht="16.5" customHeight="1">
      <c r="O32089" s="5" t="s">
        <v>355</v>
      </c>
      <c r="P32089" s="5" t="s">
        <v>355</v>
      </c>
      <c r="Q32089" s="5" t="s">
        <v>355</v>
      </c>
    </row>
    <row r="32090" ht="16.5" customHeight="1">
      <c r="O32090" s="5" t="s">
        <v>355</v>
      </c>
      <c r="P32090" s="5" t="s">
        <v>355</v>
      </c>
      <c r="Q32090" s="5" t="s">
        <v>355</v>
      </c>
    </row>
    <row r="32091" ht="16.5" customHeight="1">
      <c r="O32091" s="5" t="s">
        <v>355</v>
      </c>
      <c r="P32091" s="5" t="s">
        <v>355</v>
      </c>
      <c r="Q32091" s="5" t="s">
        <v>355</v>
      </c>
    </row>
    <row r="32092" ht="16.5" customHeight="1">
      <c r="O32092" s="5" t="s">
        <v>355</v>
      </c>
      <c r="P32092" s="5" t="s">
        <v>355</v>
      </c>
      <c r="Q32092" s="5" t="s">
        <v>355</v>
      </c>
    </row>
    <row r="32093" ht="16.5" customHeight="1">
      <c r="O32093" s="5" t="s">
        <v>355</v>
      </c>
      <c r="P32093" s="5" t="s">
        <v>355</v>
      </c>
      <c r="Q32093" s="5" t="s">
        <v>355</v>
      </c>
    </row>
    <row r="32094" ht="16.5" customHeight="1">
      <c r="O32094" s="5" t="s">
        <v>355</v>
      </c>
      <c r="P32094" s="5" t="s">
        <v>355</v>
      </c>
      <c r="Q32094" s="5" t="s">
        <v>355</v>
      </c>
    </row>
    <row r="32095" ht="16.5" customHeight="1">
      <c r="O32095" s="5" t="s">
        <v>355</v>
      </c>
      <c r="P32095" s="5" t="s">
        <v>355</v>
      </c>
      <c r="Q32095" s="5" t="s">
        <v>355</v>
      </c>
    </row>
    <row r="32096" ht="16.5" customHeight="1">
      <c r="O32096" s="5" t="s">
        <v>355</v>
      </c>
      <c r="P32096" s="5" t="s">
        <v>355</v>
      </c>
      <c r="Q32096" s="5" t="s">
        <v>355</v>
      </c>
    </row>
    <row r="32097" ht="16.5" customHeight="1">
      <c r="O32097" s="5" t="s">
        <v>355</v>
      </c>
      <c r="P32097" s="5" t="s">
        <v>355</v>
      </c>
      <c r="Q32097" s="5" t="s">
        <v>355</v>
      </c>
    </row>
    <row r="32098" ht="16.5" customHeight="1">
      <c r="O32098" s="5" t="s">
        <v>355</v>
      </c>
      <c r="P32098" s="5" t="s">
        <v>355</v>
      </c>
      <c r="Q32098" s="5" t="s">
        <v>355</v>
      </c>
    </row>
    <row r="32099" ht="16.5" customHeight="1">
      <c r="O32099" s="5" t="s">
        <v>355</v>
      </c>
      <c r="P32099" s="5" t="s">
        <v>355</v>
      </c>
      <c r="Q32099" s="5" t="s">
        <v>355</v>
      </c>
    </row>
    <row r="32100" ht="16.5" customHeight="1">
      <c r="O32100" s="5" t="s">
        <v>355</v>
      </c>
      <c r="P32100" s="5" t="s">
        <v>355</v>
      </c>
      <c r="Q32100" s="5" t="s">
        <v>355</v>
      </c>
    </row>
    <row r="32101" ht="16.5" customHeight="1">
      <c r="O32101" s="5" t="s">
        <v>355</v>
      </c>
      <c r="P32101" s="5" t="s">
        <v>355</v>
      </c>
      <c r="Q32101" s="5" t="s">
        <v>355</v>
      </c>
    </row>
    <row r="32102" ht="16.5" customHeight="1">
      <c r="O32102" s="5" t="s">
        <v>355</v>
      </c>
      <c r="P32102" s="5" t="s">
        <v>355</v>
      </c>
      <c r="Q32102" s="5" t="s">
        <v>355</v>
      </c>
    </row>
    <row r="32103" ht="16.5" customHeight="1">
      <c r="O32103" s="5" t="s">
        <v>355</v>
      </c>
      <c r="P32103" s="5" t="s">
        <v>355</v>
      </c>
      <c r="Q32103" s="5" t="s">
        <v>355</v>
      </c>
    </row>
    <row r="32104" ht="16.5" customHeight="1">
      <c r="O32104" s="5" t="s">
        <v>355</v>
      </c>
      <c r="P32104" s="5" t="s">
        <v>355</v>
      </c>
      <c r="Q32104" s="5" t="s">
        <v>355</v>
      </c>
    </row>
    <row r="32105" ht="16.5" customHeight="1">
      <c r="O32105" s="5" t="s">
        <v>355</v>
      </c>
      <c r="P32105" s="5" t="s">
        <v>355</v>
      </c>
      <c r="Q32105" s="5" t="s">
        <v>355</v>
      </c>
    </row>
    <row r="32106" ht="16.5" customHeight="1">
      <c r="O32106" s="5" t="s">
        <v>355</v>
      </c>
      <c r="P32106" s="5" t="s">
        <v>355</v>
      </c>
      <c r="Q32106" s="5" t="s">
        <v>355</v>
      </c>
    </row>
    <row r="32107" ht="16.5" customHeight="1">
      <c r="O32107" s="5" t="s">
        <v>355</v>
      </c>
      <c r="P32107" s="5" t="s">
        <v>355</v>
      </c>
      <c r="Q32107" s="5" t="s">
        <v>355</v>
      </c>
    </row>
    <row r="32108" ht="16.5" customHeight="1">
      <c r="O32108" s="5" t="s">
        <v>355</v>
      </c>
      <c r="P32108" s="5" t="s">
        <v>355</v>
      </c>
      <c r="Q32108" s="5" t="s">
        <v>355</v>
      </c>
    </row>
    <row r="32109" ht="16.5" customHeight="1">
      <c r="O32109" s="5" t="s">
        <v>355</v>
      </c>
      <c r="P32109" s="5" t="s">
        <v>355</v>
      </c>
      <c r="Q32109" s="5" t="s">
        <v>355</v>
      </c>
    </row>
    <row r="32110" ht="16.5" customHeight="1">
      <c r="O32110" s="5" t="s">
        <v>355</v>
      </c>
      <c r="P32110" s="5" t="s">
        <v>355</v>
      </c>
      <c r="Q32110" s="5" t="s">
        <v>355</v>
      </c>
    </row>
    <row r="32111" ht="16.5" customHeight="1">
      <c r="O32111" s="5" t="s">
        <v>355</v>
      </c>
      <c r="P32111" s="5" t="s">
        <v>355</v>
      </c>
      <c r="Q32111" s="5" t="s">
        <v>355</v>
      </c>
    </row>
    <row r="32112" ht="16.5" customHeight="1">
      <c r="O32112" s="5" t="s">
        <v>355</v>
      </c>
      <c r="P32112" s="5" t="s">
        <v>355</v>
      </c>
      <c r="Q32112" s="5" t="s">
        <v>355</v>
      </c>
    </row>
    <row r="32113" ht="16.5" customHeight="1">
      <c r="O32113" s="5" t="s">
        <v>355</v>
      </c>
      <c r="P32113" s="5" t="s">
        <v>355</v>
      </c>
      <c r="Q32113" s="5" t="s">
        <v>355</v>
      </c>
    </row>
    <row r="32114" ht="16.5" customHeight="1">
      <c r="O32114" s="5" t="s">
        <v>355</v>
      </c>
      <c r="P32114" s="5" t="s">
        <v>355</v>
      </c>
      <c r="Q32114" s="5" t="s">
        <v>355</v>
      </c>
    </row>
    <row r="32115" ht="16.5" customHeight="1">
      <c r="O32115" s="5" t="s">
        <v>355</v>
      </c>
      <c r="P32115" s="5" t="s">
        <v>355</v>
      </c>
      <c r="Q32115" s="5" t="s">
        <v>355</v>
      </c>
    </row>
    <row r="32116" ht="16.5" customHeight="1">
      <c r="O32116" s="5" t="s">
        <v>355</v>
      </c>
      <c r="P32116" s="5" t="s">
        <v>355</v>
      </c>
      <c r="Q32116" s="5" t="s">
        <v>355</v>
      </c>
    </row>
    <row r="32117" ht="16.5" customHeight="1">
      <c r="O32117" s="5" t="s">
        <v>355</v>
      </c>
      <c r="P32117" s="5" t="s">
        <v>355</v>
      </c>
      <c r="Q32117" s="5" t="s">
        <v>355</v>
      </c>
    </row>
    <row r="32118" ht="16.5" customHeight="1">
      <c r="O32118" s="5" t="s">
        <v>355</v>
      </c>
      <c r="P32118" s="5" t="s">
        <v>355</v>
      </c>
      <c r="Q32118" s="5" t="s">
        <v>355</v>
      </c>
    </row>
    <row r="32119" ht="16.5" customHeight="1">
      <c r="O32119" s="5" t="s">
        <v>355</v>
      </c>
      <c r="P32119" s="5" t="s">
        <v>355</v>
      </c>
      <c r="Q32119" s="5" t="s">
        <v>355</v>
      </c>
    </row>
    <row r="32120" ht="16.5" customHeight="1">
      <c r="O32120" s="5" t="s">
        <v>355</v>
      </c>
      <c r="P32120" s="5" t="s">
        <v>355</v>
      </c>
      <c r="Q32120" s="5" t="s">
        <v>355</v>
      </c>
    </row>
    <row r="32121" ht="16.5" customHeight="1">
      <c r="O32121" s="5" t="s">
        <v>355</v>
      </c>
      <c r="P32121" s="5" t="s">
        <v>355</v>
      </c>
      <c r="Q32121" s="5" t="s">
        <v>355</v>
      </c>
    </row>
    <row r="32122" ht="16.5" customHeight="1">
      <c r="O32122" s="5" t="s">
        <v>355</v>
      </c>
      <c r="P32122" s="5" t="s">
        <v>355</v>
      </c>
      <c r="Q32122" s="5" t="s">
        <v>355</v>
      </c>
    </row>
    <row r="32123" ht="16.5" customHeight="1">
      <c r="O32123" s="5" t="s">
        <v>355</v>
      </c>
      <c r="P32123" s="5" t="s">
        <v>355</v>
      </c>
      <c r="Q32123" s="5" t="s">
        <v>355</v>
      </c>
    </row>
    <row r="32124" ht="16.5" customHeight="1">
      <c r="O32124" s="5" t="s">
        <v>355</v>
      </c>
      <c r="P32124" s="5" t="s">
        <v>355</v>
      </c>
      <c r="Q32124" s="5" t="s">
        <v>355</v>
      </c>
    </row>
    <row r="32125" ht="16.5" customHeight="1">
      <c r="O32125" s="5" t="s">
        <v>355</v>
      </c>
      <c r="P32125" s="5" t="s">
        <v>355</v>
      </c>
      <c r="Q32125" s="5" t="s">
        <v>355</v>
      </c>
    </row>
    <row r="32126" ht="16.5" customHeight="1">
      <c r="O32126" s="5" t="s">
        <v>355</v>
      </c>
      <c r="P32126" s="5" t="s">
        <v>355</v>
      </c>
      <c r="Q32126" s="5" t="s">
        <v>355</v>
      </c>
    </row>
    <row r="32127" ht="16.5" customHeight="1">
      <c r="O32127" s="5" t="s">
        <v>355</v>
      </c>
      <c r="P32127" s="5" t="s">
        <v>355</v>
      </c>
      <c r="Q32127" s="5" t="s">
        <v>355</v>
      </c>
    </row>
    <row r="32128" ht="16.5" customHeight="1">
      <c r="O32128" s="5" t="s">
        <v>355</v>
      </c>
      <c r="P32128" s="5" t="s">
        <v>355</v>
      </c>
      <c r="Q32128" s="5" t="s">
        <v>355</v>
      </c>
    </row>
    <row r="32129" ht="16.5" customHeight="1">
      <c r="O32129" s="5" t="s">
        <v>355</v>
      </c>
      <c r="P32129" s="5" t="s">
        <v>355</v>
      </c>
      <c r="Q32129" s="5" t="s">
        <v>355</v>
      </c>
    </row>
    <row r="32130" ht="16.5" customHeight="1">
      <c r="O32130" s="5" t="s">
        <v>355</v>
      </c>
      <c r="P32130" s="5" t="s">
        <v>355</v>
      </c>
      <c r="Q32130" s="5" t="s">
        <v>355</v>
      </c>
    </row>
    <row r="32131" ht="16.5" customHeight="1">
      <c r="O32131" s="5" t="s">
        <v>355</v>
      </c>
      <c r="P32131" s="5" t="s">
        <v>355</v>
      </c>
      <c r="Q32131" s="5" t="s">
        <v>355</v>
      </c>
    </row>
    <row r="32132" ht="16.5" customHeight="1">
      <c r="O32132" s="5" t="s">
        <v>355</v>
      </c>
      <c r="P32132" s="5" t="s">
        <v>355</v>
      </c>
      <c r="Q32132" s="5" t="s">
        <v>355</v>
      </c>
    </row>
    <row r="32133" ht="16.5" customHeight="1">
      <c r="O32133" s="5" t="s">
        <v>355</v>
      </c>
      <c r="P32133" s="5" t="s">
        <v>355</v>
      </c>
      <c r="Q32133" s="5" t="s">
        <v>355</v>
      </c>
    </row>
    <row r="32134" ht="16.5" customHeight="1">
      <c r="O32134" s="5" t="s">
        <v>355</v>
      </c>
      <c r="P32134" s="5" t="s">
        <v>355</v>
      </c>
      <c r="Q32134" s="5" t="s">
        <v>355</v>
      </c>
    </row>
    <row r="32135" ht="16.5" customHeight="1">
      <c r="O32135" s="5" t="s">
        <v>355</v>
      </c>
      <c r="P32135" s="5" t="s">
        <v>355</v>
      </c>
      <c r="Q32135" s="5" t="s">
        <v>355</v>
      </c>
    </row>
    <row r="32136" ht="16.5" customHeight="1">
      <c r="O32136" s="5" t="s">
        <v>355</v>
      </c>
      <c r="P32136" s="5" t="s">
        <v>355</v>
      </c>
      <c r="Q32136" s="5" t="s">
        <v>355</v>
      </c>
    </row>
    <row r="32137" ht="16.5" customHeight="1">
      <c r="O32137" s="5" t="s">
        <v>355</v>
      </c>
      <c r="P32137" s="5" t="s">
        <v>355</v>
      </c>
      <c r="Q32137" s="5" t="s">
        <v>355</v>
      </c>
    </row>
    <row r="32138" ht="16.5" customHeight="1">
      <c r="O32138" s="5" t="s">
        <v>355</v>
      </c>
      <c r="P32138" s="5" t="s">
        <v>355</v>
      </c>
      <c r="Q32138" s="5" t="s">
        <v>355</v>
      </c>
    </row>
    <row r="32139" ht="16.5" customHeight="1">
      <c r="O32139" s="5" t="s">
        <v>355</v>
      </c>
      <c r="P32139" s="5" t="s">
        <v>355</v>
      </c>
      <c r="Q32139" s="5" t="s">
        <v>355</v>
      </c>
    </row>
    <row r="32140" ht="16.5" customHeight="1">
      <c r="O32140" s="5" t="s">
        <v>355</v>
      </c>
      <c r="P32140" s="5" t="s">
        <v>355</v>
      </c>
      <c r="Q32140" s="5" t="s">
        <v>355</v>
      </c>
    </row>
    <row r="32141" ht="16.5" customHeight="1">
      <c r="O32141" s="5" t="s">
        <v>355</v>
      </c>
      <c r="P32141" s="5" t="s">
        <v>355</v>
      </c>
      <c r="Q32141" s="5" t="s">
        <v>355</v>
      </c>
    </row>
    <row r="32142" ht="16.5" customHeight="1">
      <c r="O32142" s="5" t="s">
        <v>355</v>
      </c>
      <c r="P32142" s="5" t="s">
        <v>355</v>
      </c>
      <c r="Q32142" s="5" t="s">
        <v>355</v>
      </c>
    </row>
    <row r="32143" ht="16.5" customHeight="1">
      <c r="O32143" s="5" t="s">
        <v>355</v>
      </c>
      <c r="P32143" s="5" t="s">
        <v>355</v>
      </c>
      <c r="Q32143" s="5" t="s">
        <v>355</v>
      </c>
    </row>
    <row r="32144" ht="16.5" customHeight="1">
      <c r="O32144" s="5" t="s">
        <v>355</v>
      </c>
      <c r="P32144" s="5" t="s">
        <v>355</v>
      </c>
      <c r="Q32144" s="5" t="s">
        <v>355</v>
      </c>
    </row>
    <row r="32145" ht="16.5" customHeight="1">
      <c r="O32145" s="5" t="s">
        <v>355</v>
      </c>
      <c r="P32145" s="5" t="s">
        <v>355</v>
      </c>
      <c r="Q32145" s="5" t="s">
        <v>355</v>
      </c>
    </row>
    <row r="32146" ht="16.5" customHeight="1">
      <c r="O32146" s="5" t="s">
        <v>355</v>
      </c>
      <c r="P32146" s="5" t="s">
        <v>355</v>
      </c>
      <c r="Q32146" s="5" t="s">
        <v>355</v>
      </c>
    </row>
    <row r="32147" ht="16.5" customHeight="1">
      <c r="O32147" s="5" t="s">
        <v>355</v>
      </c>
      <c r="P32147" s="5" t="s">
        <v>355</v>
      </c>
      <c r="Q32147" s="5" t="s">
        <v>355</v>
      </c>
    </row>
    <row r="32148" ht="16.5" customHeight="1">
      <c r="O32148" s="5" t="s">
        <v>355</v>
      </c>
      <c r="P32148" s="5" t="s">
        <v>355</v>
      </c>
      <c r="Q32148" s="5" t="s">
        <v>355</v>
      </c>
    </row>
    <row r="32149" ht="16.5" customHeight="1">
      <c r="O32149" s="5" t="s">
        <v>355</v>
      </c>
      <c r="P32149" s="5" t="s">
        <v>355</v>
      </c>
      <c r="Q32149" s="5" t="s">
        <v>355</v>
      </c>
    </row>
    <row r="32150" ht="16.5" customHeight="1">
      <c r="O32150" s="5" t="s">
        <v>355</v>
      </c>
      <c r="P32150" s="5" t="s">
        <v>355</v>
      </c>
      <c r="Q32150" s="5" t="s">
        <v>355</v>
      </c>
    </row>
    <row r="32151" ht="16.5" customHeight="1">
      <c r="O32151" s="5" t="s">
        <v>355</v>
      </c>
      <c r="P32151" s="5" t="s">
        <v>355</v>
      </c>
      <c r="Q32151" s="5" t="s">
        <v>355</v>
      </c>
    </row>
    <row r="32152" ht="16.5" customHeight="1">
      <c r="O32152" s="5" t="s">
        <v>355</v>
      </c>
      <c r="P32152" s="5" t="s">
        <v>355</v>
      </c>
      <c r="Q32152" s="5" t="s">
        <v>355</v>
      </c>
    </row>
    <row r="32153" ht="16.5" customHeight="1">
      <c r="O32153" s="5" t="s">
        <v>355</v>
      </c>
      <c r="P32153" s="5" t="s">
        <v>355</v>
      </c>
      <c r="Q32153" s="5" t="s">
        <v>355</v>
      </c>
    </row>
    <row r="32154" ht="16.5" customHeight="1">
      <c r="O32154" s="5" t="s">
        <v>355</v>
      </c>
      <c r="P32154" s="5" t="s">
        <v>355</v>
      </c>
      <c r="Q32154" s="5" t="s">
        <v>355</v>
      </c>
    </row>
    <row r="32155" ht="16.5" customHeight="1">
      <c r="O32155" s="5" t="s">
        <v>355</v>
      </c>
      <c r="P32155" s="5" t="s">
        <v>355</v>
      </c>
      <c r="Q32155" s="5" t="s">
        <v>355</v>
      </c>
    </row>
    <row r="32156" ht="16.5" customHeight="1">
      <c r="O32156" s="5" t="s">
        <v>355</v>
      </c>
      <c r="P32156" s="5" t="s">
        <v>355</v>
      </c>
      <c r="Q32156" s="5" t="s">
        <v>355</v>
      </c>
    </row>
    <row r="32157" ht="16.5" customHeight="1">
      <c r="O32157" s="5" t="s">
        <v>355</v>
      </c>
      <c r="P32157" s="5" t="s">
        <v>355</v>
      </c>
      <c r="Q32157" s="5" t="s">
        <v>355</v>
      </c>
    </row>
    <row r="32158" ht="16.5" customHeight="1">
      <c r="O32158" s="5" t="s">
        <v>355</v>
      </c>
      <c r="P32158" s="5" t="s">
        <v>355</v>
      </c>
      <c r="Q32158" s="5" t="s">
        <v>355</v>
      </c>
    </row>
    <row r="32159" ht="16.5" customHeight="1">
      <c r="O32159" s="5" t="s">
        <v>355</v>
      </c>
      <c r="P32159" s="5" t="s">
        <v>355</v>
      </c>
      <c r="Q32159" s="5" t="s">
        <v>355</v>
      </c>
    </row>
    <row r="32160" ht="16.5" customHeight="1">
      <c r="O32160" s="5" t="s">
        <v>355</v>
      </c>
      <c r="P32160" s="5" t="s">
        <v>355</v>
      </c>
      <c r="Q32160" s="5" t="s">
        <v>355</v>
      </c>
    </row>
    <row r="32161" ht="16.5" customHeight="1">
      <c r="O32161" s="5" t="s">
        <v>355</v>
      </c>
      <c r="P32161" s="5" t="s">
        <v>355</v>
      </c>
      <c r="Q32161" s="5" t="s">
        <v>355</v>
      </c>
    </row>
    <row r="32162" ht="16.5" customHeight="1">
      <c r="O32162" s="5" t="s">
        <v>355</v>
      </c>
      <c r="P32162" s="5" t="s">
        <v>355</v>
      </c>
      <c r="Q32162" s="5" t="s">
        <v>355</v>
      </c>
    </row>
    <row r="32163" ht="16.5" customHeight="1">
      <c r="O32163" s="5" t="s">
        <v>355</v>
      </c>
      <c r="P32163" s="5" t="s">
        <v>355</v>
      </c>
      <c r="Q32163" s="5" t="s">
        <v>355</v>
      </c>
    </row>
    <row r="32164" ht="16.5" customHeight="1">
      <c r="O32164" s="5" t="s">
        <v>355</v>
      </c>
      <c r="P32164" s="5" t="s">
        <v>355</v>
      </c>
      <c r="Q32164" s="5" t="s">
        <v>355</v>
      </c>
    </row>
    <row r="32165" ht="16.5" customHeight="1">
      <c r="O32165" s="5" t="s">
        <v>355</v>
      </c>
      <c r="P32165" s="5" t="s">
        <v>355</v>
      </c>
      <c r="Q32165" s="5" t="s">
        <v>355</v>
      </c>
    </row>
    <row r="32166" ht="16.5" customHeight="1">
      <c r="O32166" s="5" t="s">
        <v>355</v>
      </c>
      <c r="P32166" s="5" t="s">
        <v>355</v>
      </c>
      <c r="Q32166" s="5" t="s">
        <v>355</v>
      </c>
    </row>
    <row r="32167" ht="16.5" customHeight="1">
      <c r="O32167" s="5" t="s">
        <v>355</v>
      </c>
      <c r="P32167" s="5" t="s">
        <v>355</v>
      </c>
      <c r="Q32167" s="5" t="s">
        <v>355</v>
      </c>
    </row>
    <row r="32168" ht="16.5" customHeight="1">
      <c r="O32168" s="5" t="s">
        <v>355</v>
      </c>
      <c r="P32168" s="5" t="s">
        <v>355</v>
      </c>
      <c r="Q32168" s="5" t="s">
        <v>355</v>
      </c>
    </row>
    <row r="32169" ht="16.5" customHeight="1">
      <c r="O32169" s="5" t="s">
        <v>355</v>
      </c>
      <c r="P32169" s="5" t="s">
        <v>355</v>
      </c>
      <c r="Q32169" s="5" t="s">
        <v>355</v>
      </c>
    </row>
    <row r="32170" ht="16.5" customHeight="1">
      <c r="O32170" s="5" t="s">
        <v>355</v>
      </c>
      <c r="P32170" s="5" t="s">
        <v>355</v>
      </c>
      <c r="Q32170" s="5" t="s">
        <v>355</v>
      </c>
    </row>
    <row r="32171" ht="16.5" customHeight="1">
      <c r="O32171" s="5" t="s">
        <v>355</v>
      </c>
      <c r="P32171" s="5" t="s">
        <v>355</v>
      </c>
      <c r="Q32171" s="5" t="s">
        <v>355</v>
      </c>
    </row>
    <row r="32172" ht="16.5" customHeight="1">
      <c r="O32172" s="5" t="s">
        <v>355</v>
      </c>
      <c r="P32172" s="5" t="s">
        <v>355</v>
      </c>
      <c r="Q32172" s="5" t="s">
        <v>355</v>
      </c>
    </row>
    <row r="32173" ht="16.5" customHeight="1">
      <c r="O32173" s="5" t="s">
        <v>355</v>
      </c>
      <c r="P32173" s="5" t="s">
        <v>355</v>
      </c>
      <c r="Q32173" s="5" t="s">
        <v>355</v>
      </c>
    </row>
    <row r="32174" ht="16.5" customHeight="1">
      <c r="O32174" s="5" t="s">
        <v>355</v>
      </c>
      <c r="P32174" s="5" t="s">
        <v>355</v>
      </c>
      <c r="Q32174" s="5" t="s">
        <v>355</v>
      </c>
    </row>
    <row r="32175" ht="16.5" customHeight="1">
      <c r="O32175" s="5" t="s">
        <v>355</v>
      </c>
      <c r="P32175" s="5" t="s">
        <v>355</v>
      </c>
      <c r="Q32175" s="5" t="s">
        <v>355</v>
      </c>
    </row>
    <row r="32176" ht="16.5" customHeight="1">
      <c r="O32176" s="5" t="s">
        <v>355</v>
      </c>
      <c r="P32176" s="5" t="s">
        <v>355</v>
      </c>
      <c r="Q32176" s="5" t="s">
        <v>355</v>
      </c>
    </row>
    <row r="32177" ht="16.5" customHeight="1">
      <c r="O32177" s="5" t="s">
        <v>355</v>
      </c>
      <c r="P32177" s="5" t="s">
        <v>355</v>
      </c>
      <c r="Q32177" s="5" t="s">
        <v>355</v>
      </c>
    </row>
    <row r="32178" ht="16.5" customHeight="1">
      <c r="O32178" s="5" t="s">
        <v>355</v>
      </c>
      <c r="P32178" s="5" t="s">
        <v>355</v>
      </c>
      <c r="Q32178" s="5" t="s">
        <v>355</v>
      </c>
    </row>
    <row r="32179" ht="16.5" customHeight="1">
      <c r="O32179" s="5" t="s">
        <v>355</v>
      </c>
      <c r="P32179" s="5" t="s">
        <v>355</v>
      </c>
      <c r="Q32179" s="5" t="s">
        <v>355</v>
      </c>
    </row>
    <row r="32180" ht="16.5" customHeight="1">
      <c r="O32180" s="5" t="s">
        <v>355</v>
      </c>
      <c r="P32180" s="5" t="s">
        <v>355</v>
      </c>
      <c r="Q32180" s="5" t="s">
        <v>355</v>
      </c>
    </row>
    <row r="32181" ht="16.5" customHeight="1">
      <c r="O32181" s="5" t="s">
        <v>355</v>
      </c>
      <c r="P32181" s="5" t="s">
        <v>355</v>
      </c>
      <c r="Q32181" s="5" t="s">
        <v>355</v>
      </c>
    </row>
    <row r="32182" ht="16.5" customHeight="1">
      <c r="O32182" s="5" t="s">
        <v>355</v>
      </c>
      <c r="P32182" s="5" t="s">
        <v>355</v>
      </c>
      <c r="Q32182" s="5" t="s">
        <v>355</v>
      </c>
    </row>
    <row r="32183" ht="16.5" customHeight="1">
      <c r="O32183" s="5" t="s">
        <v>355</v>
      </c>
      <c r="P32183" s="5" t="s">
        <v>355</v>
      </c>
      <c r="Q32183" s="5" t="s">
        <v>355</v>
      </c>
    </row>
    <row r="32184" ht="16.5" customHeight="1">
      <c r="O32184" s="5" t="s">
        <v>355</v>
      </c>
      <c r="P32184" s="5" t="s">
        <v>355</v>
      </c>
      <c r="Q32184" s="5" t="s">
        <v>355</v>
      </c>
    </row>
    <row r="32185" ht="16.5" customHeight="1">
      <c r="O32185" s="5" t="s">
        <v>355</v>
      </c>
      <c r="P32185" s="5" t="s">
        <v>355</v>
      </c>
      <c r="Q32185" s="5" t="s">
        <v>355</v>
      </c>
    </row>
    <row r="32186" ht="16.5" customHeight="1">
      <c r="O32186" s="5" t="s">
        <v>355</v>
      </c>
      <c r="P32186" s="5" t="s">
        <v>355</v>
      </c>
      <c r="Q32186" s="5" t="s">
        <v>355</v>
      </c>
    </row>
    <row r="32187" ht="16.5" customHeight="1">
      <c r="O32187" s="5" t="s">
        <v>355</v>
      </c>
      <c r="P32187" s="5" t="s">
        <v>355</v>
      </c>
      <c r="Q32187" s="5" t="s">
        <v>355</v>
      </c>
    </row>
    <row r="32188" ht="16.5" customHeight="1">
      <c r="O32188" s="5" t="s">
        <v>355</v>
      </c>
      <c r="P32188" s="5" t="s">
        <v>355</v>
      </c>
      <c r="Q32188" s="5" t="s">
        <v>355</v>
      </c>
    </row>
    <row r="32189" ht="16.5" customHeight="1">
      <c r="O32189" s="5" t="s">
        <v>355</v>
      </c>
      <c r="P32189" s="5" t="s">
        <v>355</v>
      </c>
      <c r="Q32189" s="5" t="s">
        <v>355</v>
      </c>
    </row>
    <row r="32190" ht="16.5" customHeight="1">
      <c r="O32190" s="5" t="s">
        <v>355</v>
      </c>
      <c r="P32190" s="5" t="s">
        <v>355</v>
      </c>
      <c r="Q32190" s="5" t="s">
        <v>355</v>
      </c>
    </row>
    <row r="32191" ht="16.5" customHeight="1">
      <c r="O32191" s="5" t="s">
        <v>355</v>
      </c>
      <c r="P32191" s="5" t="s">
        <v>355</v>
      </c>
      <c r="Q32191" s="5" t="s">
        <v>355</v>
      </c>
    </row>
    <row r="32192" ht="16.5" customHeight="1">
      <c r="O32192" s="5" t="s">
        <v>355</v>
      </c>
      <c r="P32192" s="5" t="s">
        <v>355</v>
      </c>
      <c r="Q32192" s="5" t="s">
        <v>355</v>
      </c>
    </row>
    <row r="32193" ht="16.5" customHeight="1">
      <c r="O32193" s="5" t="s">
        <v>355</v>
      </c>
      <c r="P32193" s="5" t="s">
        <v>355</v>
      </c>
      <c r="Q32193" s="5" t="s">
        <v>355</v>
      </c>
    </row>
    <row r="32194" ht="16.5" customHeight="1">
      <c r="O32194" s="5" t="s">
        <v>355</v>
      </c>
      <c r="P32194" s="5" t="s">
        <v>355</v>
      </c>
      <c r="Q32194" s="5" t="s">
        <v>355</v>
      </c>
    </row>
    <row r="32195" ht="16.5" customHeight="1">
      <c r="O32195" s="5" t="s">
        <v>355</v>
      </c>
      <c r="P32195" s="5" t="s">
        <v>355</v>
      </c>
      <c r="Q32195" s="5" t="s">
        <v>355</v>
      </c>
    </row>
    <row r="32196" ht="16.5" customHeight="1">
      <c r="O32196" s="5" t="s">
        <v>355</v>
      </c>
      <c r="P32196" s="5" t="s">
        <v>355</v>
      </c>
      <c r="Q32196" s="5" t="s">
        <v>355</v>
      </c>
    </row>
    <row r="32197" ht="16.5" customHeight="1">
      <c r="O32197" s="5" t="s">
        <v>355</v>
      </c>
      <c r="P32197" s="5" t="s">
        <v>355</v>
      </c>
      <c r="Q32197" s="5" t="s">
        <v>355</v>
      </c>
    </row>
    <row r="32198" ht="16.5" customHeight="1">
      <c r="O32198" s="5" t="s">
        <v>355</v>
      </c>
      <c r="P32198" s="5" t="s">
        <v>355</v>
      </c>
      <c r="Q32198" s="5" t="s">
        <v>355</v>
      </c>
    </row>
    <row r="32199" ht="16.5" customHeight="1">
      <c r="O32199" s="5" t="s">
        <v>355</v>
      </c>
      <c r="P32199" s="5" t="s">
        <v>355</v>
      </c>
      <c r="Q32199" s="5" t="s">
        <v>355</v>
      </c>
    </row>
    <row r="32200" ht="16.5" customHeight="1">
      <c r="O32200" s="5" t="s">
        <v>355</v>
      </c>
      <c r="P32200" s="5" t="s">
        <v>355</v>
      </c>
      <c r="Q32200" s="5" t="s">
        <v>355</v>
      </c>
    </row>
    <row r="32201" ht="16.5" customHeight="1">
      <c r="O32201" s="5" t="s">
        <v>355</v>
      </c>
      <c r="P32201" s="5" t="s">
        <v>355</v>
      </c>
      <c r="Q32201" s="5" t="s">
        <v>355</v>
      </c>
    </row>
    <row r="32202" ht="16.5" customHeight="1">
      <c r="O32202" s="5" t="s">
        <v>355</v>
      </c>
      <c r="P32202" s="5" t="s">
        <v>355</v>
      </c>
      <c r="Q32202" s="5" t="s">
        <v>355</v>
      </c>
    </row>
    <row r="32203" ht="16.5" customHeight="1">
      <c r="O32203" s="5" t="s">
        <v>355</v>
      </c>
      <c r="P32203" s="5" t="s">
        <v>355</v>
      </c>
      <c r="Q32203" s="5" t="s">
        <v>355</v>
      </c>
    </row>
    <row r="32204" ht="16.5" customHeight="1">
      <c r="O32204" s="5" t="s">
        <v>355</v>
      </c>
      <c r="P32204" s="5" t="s">
        <v>355</v>
      </c>
      <c r="Q32204" s="5" t="s">
        <v>355</v>
      </c>
    </row>
    <row r="32205" ht="16.5" customHeight="1">
      <c r="O32205" s="5" t="s">
        <v>355</v>
      </c>
      <c r="P32205" s="5" t="s">
        <v>355</v>
      </c>
      <c r="Q32205" s="5" t="s">
        <v>355</v>
      </c>
    </row>
    <row r="32206" ht="16.5" customHeight="1">
      <c r="O32206" s="5" t="s">
        <v>355</v>
      </c>
      <c r="P32206" s="5" t="s">
        <v>355</v>
      </c>
      <c r="Q32206" s="5" t="s">
        <v>355</v>
      </c>
    </row>
    <row r="32207" ht="16.5" customHeight="1">
      <c r="O32207" s="5" t="s">
        <v>355</v>
      </c>
      <c r="P32207" s="5" t="s">
        <v>355</v>
      </c>
      <c r="Q32207" s="5" t="s">
        <v>355</v>
      </c>
    </row>
    <row r="32208" ht="16.5" customHeight="1">
      <c r="O32208" s="5" t="s">
        <v>355</v>
      </c>
      <c r="P32208" s="5" t="s">
        <v>355</v>
      </c>
      <c r="Q32208" s="5" t="s">
        <v>355</v>
      </c>
    </row>
    <row r="32209" ht="16.5" customHeight="1">
      <c r="O32209" s="5" t="s">
        <v>355</v>
      </c>
      <c r="P32209" s="5" t="s">
        <v>355</v>
      </c>
      <c r="Q32209" s="5" t="s">
        <v>355</v>
      </c>
    </row>
    <row r="32210" ht="16.5" customHeight="1">
      <c r="O32210" s="5" t="s">
        <v>355</v>
      </c>
      <c r="P32210" s="5" t="s">
        <v>355</v>
      </c>
      <c r="Q32210" s="5" t="s">
        <v>355</v>
      </c>
    </row>
    <row r="32211" ht="16.5" customHeight="1">
      <c r="O32211" s="5" t="s">
        <v>355</v>
      </c>
      <c r="P32211" s="5" t="s">
        <v>355</v>
      </c>
      <c r="Q32211" s="5" t="s">
        <v>355</v>
      </c>
    </row>
    <row r="32212" ht="16.5" customHeight="1">
      <c r="O32212" s="5" t="s">
        <v>355</v>
      </c>
      <c r="P32212" s="5" t="s">
        <v>355</v>
      </c>
      <c r="Q32212" s="5" t="s">
        <v>355</v>
      </c>
    </row>
    <row r="32213" ht="16.5" customHeight="1">
      <c r="O32213" s="5" t="s">
        <v>355</v>
      </c>
      <c r="P32213" s="5" t="s">
        <v>355</v>
      </c>
      <c r="Q32213" s="5" t="s">
        <v>355</v>
      </c>
    </row>
    <row r="32214" ht="16.5" customHeight="1">
      <c r="O32214" s="5" t="s">
        <v>355</v>
      </c>
      <c r="P32214" s="5" t="s">
        <v>355</v>
      </c>
      <c r="Q32214" s="5" t="s">
        <v>355</v>
      </c>
    </row>
    <row r="32215" ht="16.5" customHeight="1">
      <c r="O32215" s="5" t="s">
        <v>355</v>
      </c>
      <c r="P32215" s="5" t="s">
        <v>355</v>
      </c>
      <c r="Q32215" s="5" t="s">
        <v>355</v>
      </c>
    </row>
    <row r="32216" ht="16.5" customHeight="1">
      <c r="O32216" s="5" t="s">
        <v>355</v>
      </c>
      <c r="P32216" s="5" t="s">
        <v>355</v>
      </c>
      <c r="Q32216" s="5" t="s">
        <v>355</v>
      </c>
    </row>
    <row r="32217" ht="16.5" customHeight="1">
      <c r="O32217" s="5" t="s">
        <v>355</v>
      </c>
      <c r="P32217" s="5" t="s">
        <v>355</v>
      </c>
      <c r="Q32217" s="5" t="s">
        <v>355</v>
      </c>
    </row>
    <row r="32218" ht="16.5" customHeight="1">
      <c r="O32218" s="5" t="s">
        <v>355</v>
      </c>
      <c r="P32218" s="5" t="s">
        <v>355</v>
      </c>
      <c r="Q32218" s="5" t="s">
        <v>355</v>
      </c>
    </row>
    <row r="32219" ht="16.5" customHeight="1">
      <c r="O32219" s="5" t="s">
        <v>355</v>
      </c>
      <c r="P32219" s="5" t="s">
        <v>355</v>
      </c>
      <c r="Q32219" s="5" t="s">
        <v>355</v>
      </c>
    </row>
    <row r="32220" ht="16.5" customHeight="1">
      <c r="O32220" s="5" t="s">
        <v>355</v>
      </c>
      <c r="P32220" s="5" t="s">
        <v>355</v>
      </c>
      <c r="Q32220" s="5" t="s">
        <v>355</v>
      </c>
    </row>
    <row r="32221" ht="16.5" customHeight="1">
      <c r="O32221" s="5" t="s">
        <v>355</v>
      </c>
      <c r="P32221" s="5" t="s">
        <v>355</v>
      </c>
      <c r="Q32221" s="5" t="s">
        <v>355</v>
      </c>
    </row>
    <row r="32222" ht="16.5" customHeight="1">
      <c r="O32222" s="5" t="s">
        <v>355</v>
      </c>
      <c r="P32222" s="5" t="s">
        <v>355</v>
      </c>
      <c r="Q32222" s="5" t="s">
        <v>355</v>
      </c>
    </row>
    <row r="32223" ht="16.5" customHeight="1">
      <c r="O32223" s="5" t="s">
        <v>355</v>
      </c>
      <c r="P32223" s="5" t="s">
        <v>355</v>
      </c>
      <c r="Q32223" s="5" t="s">
        <v>355</v>
      </c>
    </row>
    <row r="32224" ht="16.5" customHeight="1">
      <c r="O32224" s="5" t="s">
        <v>355</v>
      </c>
      <c r="P32224" s="5" t="s">
        <v>355</v>
      </c>
      <c r="Q32224" s="5" t="s">
        <v>355</v>
      </c>
    </row>
    <row r="32225" ht="16.5" customHeight="1">
      <c r="O32225" s="5" t="s">
        <v>355</v>
      </c>
      <c r="P32225" s="5" t="s">
        <v>355</v>
      </c>
      <c r="Q32225" s="5" t="s">
        <v>355</v>
      </c>
    </row>
    <row r="32226" ht="16.5" customHeight="1">
      <c r="O32226" s="5" t="s">
        <v>355</v>
      </c>
      <c r="P32226" s="5" t="s">
        <v>355</v>
      </c>
      <c r="Q32226" s="5" t="s">
        <v>355</v>
      </c>
    </row>
    <row r="32227" ht="16.5" customHeight="1">
      <c r="O32227" s="5" t="s">
        <v>355</v>
      </c>
      <c r="P32227" s="5" t="s">
        <v>355</v>
      </c>
      <c r="Q32227" s="5" t="s">
        <v>355</v>
      </c>
    </row>
    <row r="32228" ht="16.5" customHeight="1">
      <c r="O32228" s="5" t="s">
        <v>355</v>
      </c>
      <c r="P32228" s="5" t="s">
        <v>355</v>
      </c>
      <c r="Q32228" s="5" t="s">
        <v>355</v>
      </c>
    </row>
    <row r="32229" ht="16.5" customHeight="1">
      <c r="O32229" s="5" t="s">
        <v>355</v>
      </c>
      <c r="P32229" s="5" t="s">
        <v>355</v>
      </c>
      <c r="Q32229" s="5" t="s">
        <v>355</v>
      </c>
    </row>
    <row r="32230" ht="16.5" customHeight="1">
      <c r="O32230" s="5" t="s">
        <v>355</v>
      </c>
      <c r="P32230" s="5" t="s">
        <v>355</v>
      </c>
      <c r="Q32230" s="5" t="s">
        <v>355</v>
      </c>
    </row>
    <row r="32231" ht="16.5" customHeight="1">
      <c r="O32231" s="5" t="s">
        <v>355</v>
      </c>
      <c r="P32231" s="5" t="s">
        <v>355</v>
      </c>
      <c r="Q32231" s="5" t="s">
        <v>355</v>
      </c>
    </row>
    <row r="32232" ht="16.5" customHeight="1">
      <c r="O32232" s="5" t="s">
        <v>355</v>
      </c>
      <c r="P32232" s="5" t="s">
        <v>355</v>
      </c>
      <c r="Q32232" s="5" t="s">
        <v>355</v>
      </c>
    </row>
    <row r="32233" ht="16.5" customHeight="1">
      <c r="O32233" s="5" t="s">
        <v>355</v>
      </c>
      <c r="P32233" s="5" t="s">
        <v>355</v>
      </c>
      <c r="Q32233" s="5" t="s">
        <v>355</v>
      </c>
    </row>
    <row r="32234" ht="16.5" customHeight="1">
      <c r="O32234" s="5" t="s">
        <v>355</v>
      </c>
      <c r="P32234" s="5" t="s">
        <v>355</v>
      </c>
      <c r="Q32234" s="5" t="s">
        <v>355</v>
      </c>
    </row>
    <row r="32235" ht="16.5" customHeight="1">
      <c r="O32235" s="5" t="s">
        <v>355</v>
      </c>
      <c r="P32235" s="5" t="s">
        <v>355</v>
      </c>
      <c r="Q32235" s="5" t="s">
        <v>355</v>
      </c>
    </row>
    <row r="32236" ht="16.5" customHeight="1">
      <c r="O32236" s="5" t="s">
        <v>355</v>
      </c>
      <c r="P32236" s="5" t="s">
        <v>355</v>
      </c>
      <c r="Q32236" s="5" t="s">
        <v>355</v>
      </c>
    </row>
    <row r="32237" ht="16.5" customHeight="1">
      <c r="O32237" s="5" t="s">
        <v>355</v>
      </c>
      <c r="P32237" s="5" t="s">
        <v>355</v>
      </c>
      <c r="Q32237" s="5" t="s">
        <v>355</v>
      </c>
    </row>
    <row r="32238" ht="16.5" customHeight="1">
      <c r="O32238" s="5" t="s">
        <v>355</v>
      </c>
      <c r="P32238" s="5" t="s">
        <v>355</v>
      </c>
      <c r="Q32238" s="5" t="s">
        <v>355</v>
      </c>
    </row>
    <row r="32239" ht="16.5" customHeight="1">
      <c r="O32239" s="5" t="s">
        <v>355</v>
      </c>
      <c r="P32239" s="5" t="s">
        <v>355</v>
      </c>
      <c r="Q32239" s="5" t="s">
        <v>355</v>
      </c>
    </row>
    <row r="32240" ht="16.5" customHeight="1">
      <c r="O32240" s="5" t="s">
        <v>355</v>
      </c>
      <c r="P32240" s="5" t="s">
        <v>355</v>
      </c>
      <c r="Q32240" s="5" t="s">
        <v>355</v>
      </c>
    </row>
    <row r="32241" ht="16.5" customHeight="1">
      <c r="O32241" s="5" t="s">
        <v>355</v>
      </c>
      <c r="P32241" s="5" t="s">
        <v>355</v>
      </c>
      <c r="Q32241" s="5" t="s">
        <v>355</v>
      </c>
    </row>
    <row r="32242" ht="16.5" customHeight="1">
      <c r="O32242" s="5" t="s">
        <v>355</v>
      </c>
      <c r="P32242" s="5" t="s">
        <v>355</v>
      </c>
      <c r="Q32242" s="5" t="s">
        <v>355</v>
      </c>
    </row>
    <row r="32243" ht="16.5" customHeight="1">
      <c r="O32243" s="5" t="s">
        <v>355</v>
      </c>
      <c r="P32243" s="5" t="s">
        <v>355</v>
      </c>
      <c r="Q32243" s="5" t="s">
        <v>355</v>
      </c>
    </row>
    <row r="32244" ht="16.5" customHeight="1">
      <c r="O32244" s="5" t="s">
        <v>355</v>
      </c>
      <c r="P32244" s="5" t="s">
        <v>355</v>
      </c>
      <c r="Q32244" s="5" t="s">
        <v>355</v>
      </c>
    </row>
    <row r="32245" ht="16.5" customHeight="1">
      <c r="O32245" s="5" t="s">
        <v>355</v>
      </c>
      <c r="P32245" s="5" t="s">
        <v>355</v>
      </c>
      <c r="Q32245" s="5" t="s">
        <v>355</v>
      </c>
    </row>
    <row r="32246" ht="16.5" customHeight="1">
      <c r="O32246" s="5" t="s">
        <v>355</v>
      </c>
      <c r="P32246" s="5" t="s">
        <v>355</v>
      </c>
      <c r="Q32246" s="5" t="s">
        <v>355</v>
      </c>
    </row>
    <row r="32247" ht="16.5" customHeight="1">
      <c r="O32247" s="5" t="s">
        <v>355</v>
      </c>
      <c r="P32247" s="5" t="s">
        <v>355</v>
      </c>
      <c r="Q32247" s="5" t="s">
        <v>355</v>
      </c>
    </row>
    <row r="32248" ht="16.5" customHeight="1">
      <c r="O32248" s="5" t="s">
        <v>355</v>
      </c>
      <c r="P32248" s="5" t="s">
        <v>355</v>
      </c>
      <c r="Q32248" s="5" t="s">
        <v>355</v>
      </c>
    </row>
    <row r="32249" ht="16.5" customHeight="1">
      <c r="O32249" s="5" t="s">
        <v>355</v>
      </c>
      <c r="P32249" s="5" t="s">
        <v>355</v>
      </c>
      <c r="Q32249" s="5" t="s">
        <v>355</v>
      </c>
    </row>
    <row r="32250" ht="16.5" customHeight="1">
      <c r="O32250" s="5" t="s">
        <v>355</v>
      </c>
      <c r="P32250" s="5" t="s">
        <v>355</v>
      </c>
      <c r="Q32250" s="5" t="s">
        <v>355</v>
      </c>
    </row>
    <row r="32251" ht="16.5" customHeight="1">
      <c r="O32251" s="5" t="s">
        <v>355</v>
      </c>
      <c r="P32251" s="5" t="s">
        <v>355</v>
      </c>
      <c r="Q32251" s="5" t="s">
        <v>355</v>
      </c>
    </row>
    <row r="32252" ht="16.5" customHeight="1">
      <c r="O32252" s="5" t="s">
        <v>355</v>
      </c>
      <c r="P32252" s="5" t="s">
        <v>355</v>
      </c>
      <c r="Q32252" s="5" t="s">
        <v>355</v>
      </c>
    </row>
    <row r="32253" ht="16.5" customHeight="1">
      <c r="O32253" s="5" t="s">
        <v>355</v>
      </c>
      <c r="P32253" s="5" t="s">
        <v>355</v>
      </c>
      <c r="Q32253" s="5" t="s">
        <v>355</v>
      </c>
    </row>
    <row r="32254" ht="16.5" customHeight="1">
      <c r="O32254" s="5" t="s">
        <v>355</v>
      </c>
      <c r="P32254" s="5" t="s">
        <v>355</v>
      </c>
      <c r="Q32254" s="5" t="s">
        <v>355</v>
      </c>
    </row>
    <row r="32255" ht="16.5" customHeight="1">
      <c r="O32255" s="5" t="s">
        <v>355</v>
      </c>
      <c r="P32255" s="5" t="s">
        <v>355</v>
      </c>
      <c r="Q32255" s="5" t="s">
        <v>355</v>
      </c>
    </row>
    <row r="32256" ht="16.5" customHeight="1">
      <c r="O32256" s="5" t="s">
        <v>355</v>
      </c>
      <c r="P32256" s="5" t="s">
        <v>355</v>
      </c>
      <c r="Q32256" s="5" t="s">
        <v>355</v>
      </c>
    </row>
    <row r="32257" ht="16.5" customHeight="1">
      <c r="O32257" s="5" t="s">
        <v>355</v>
      </c>
      <c r="P32257" s="5" t="s">
        <v>355</v>
      </c>
      <c r="Q32257" s="5" t="s">
        <v>355</v>
      </c>
    </row>
    <row r="32258" ht="16.5" customHeight="1">
      <c r="O32258" s="5" t="s">
        <v>355</v>
      </c>
      <c r="P32258" s="5" t="s">
        <v>355</v>
      </c>
      <c r="Q32258" s="5" t="s">
        <v>355</v>
      </c>
    </row>
    <row r="32259" ht="16.5" customHeight="1">
      <c r="O32259" s="5" t="s">
        <v>355</v>
      </c>
      <c r="P32259" s="5" t="s">
        <v>355</v>
      </c>
      <c r="Q32259" s="5" t="s">
        <v>355</v>
      </c>
    </row>
    <row r="32260" ht="16.5" customHeight="1">
      <c r="O32260" s="5" t="s">
        <v>355</v>
      </c>
      <c r="P32260" s="5" t="s">
        <v>355</v>
      </c>
      <c r="Q32260" s="5" t="s">
        <v>355</v>
      </c>
    </row>
    <row r="32261" ht="16.5" customHeight="1">
      <c r="O32261" s="5" t="s">
        <v>355</v>
      </c>
      <c r="P32261" s="5" t="s">
        <v>355</v>
      </c>
      <c r="Q32261" s="5" t="s">
        <v>355</v>
      </c>
    </row>
    <row r="32262" ht="16.5" customHeight="1">
      <c r="O32262" s="5" t="s">
        <v>355</v>
      </c>
      <c r="P32262" s="5" t="s">
        <v>355</v>
      </c>
      <c r="Q32262" s="5" t="s">
        <v>355</v>
      </c>
    </row>
    <row r="32263" ht="16.5" customHeight="1">
      <c r="O32263" s="5" t="s">
        <v>355</v>
      </c>
      <c r="P32263" s="5" t="s">
        <v>355</v>
      </c>
      <c r="Q32263" s="5" t="s">
        <v>355</v>
      </c>
    </row>
    <row r="32264" ht="16.5" customHeight="1">
      <c r="O32264" s="5" t="s">
        <v>355</v>
      </c>
      <c r="P32264" s="5" t="s">
        <v>355</v>
      </c>
      <c r="Q32264" s="5" t="s">
        <v>355</v>
      </c>
    </row>
    <row r="32265" ht="16.5" customHeight="1">
      <c r="O32265" s="5" t="s">
        <v>355</v>
      </c>
      <c r="P32265" s="5" t="s">
        <v>355</v>
      </c>
      <c r="Q32265" s="5" t="s">
        <v>355</v>
      </c>
    </row>
    <row r="32266" ht="16.5" customHeight="1">
      <c r="O32266" s="5" t="s">
        <v>355</v>
      </c>
      <c r="P32266" s="5" t="s">
        <v>355</v>
      </c>
      <c r="Q32266" s="5" t="s">
        <v>355</v>
      </c>
    </row>
    <row r="32267" ht="16.5" customHeight="1">
      <c r="O32267" s="5" t="s">
        <v>355</v>
      </c>
      <c r="P32267" s="5" t="s">
        <v>355</v>
      </c>
      <c r="Q32267" s="5" t="s">
        <v>355</v>
      </c>
    </row>
    <row r="32268" ht="16.5" customHeight="1">
      <c r="O32268" s="5" t="s">
        <v>355</v>
      </c>
      <c r="P32268" s="5" t="s">
        <v>355</v>
      </c>
      <c r="Q32268" s="5" t="s">
        <v>355</v>
      </c>
    </row>
    <row r="32269" ht="16.5" customHeight="1">
      <c r="O32269" s="5" t="s">
        <v>355</v>
      </c>
      <c r="P32269" s="5" t="s">
        <v>355</v>
      </c>
      <c r="Q32269" s="5" t="s">
        <v>355</v>
      </c>
    </row>
    <row r="32270" ht="16.5" customHeight="1">
      <c r="O32270" s="5" t="s">
        <v>355</v>
      </c>
      <c r="P32270" s="5" t="s">
        <v>355</v>
      </c>
      <c r="Q32270" s="5" t="s">
        <v>355</v>
      </c>
    </row>
    <row r="32271" ht="16.5" customHeight="1">
      <c r="O32271" s="5" t="s">
        <v>355</v>
      </c>
      <c r="P32271" s="5" t="s">
        <v>355</v>
      </c>
      <c r="Q32271" s="5" t="s">
        <v>355</v>
      </c>
    </row>
    <row r="32272" ht="16.5" customHeight="1">
      <c r="O32272" s="5" t="s">
        <v>355</v>
      </c>
      <c r="P32272" s="5" t="s">
        <v>355</v>
      </c>
      <c r="Q32272" s="5" t="s">
        <v>355</v>
      </c>
    </row>
    <row r="32273" ht="16.5" customHeight="1">
      <c r="O32273" s="5" t="s">
        <v>355</v>
      </c>
      <c r="P32273" s="5" t="s">
        <v>355</v>
      </c>
      <c r="Q32273" s="5" t="s">
        <v>355</v>
      </c>
    </row>
    <row r="32274" ht="16.5" customHeight="1">
      <c r="O32274" s="5" t="s">
        <v>355</v>
      </c>
      <c r="P32274" s="5" t="s">
        <v>355</v>
      </c>
      <c r="Q32274" s="5" t="s">
        <v>355</v>
      </c>
    </row>
    <row r="32275" ht="16.5" customHeight="1">
      <c r="O32275" s="5" t="s">
        <v>355</v>
      </c>
      <c r="P32275" s="5" t="s">
        <v>355</v>
      </c>
      <c r="Q32275" s="5" t="s">
        <v>355</v>
      </c>
    </row>
    <row r="32276" ht="16.5" customHeight="1">
      <c r="O32276" s="5" t="s">
        <v>355</v>
      </c>
      <c r="P32276" s="5" t="s">
        <v>355</v>
      </c>
      <c r="Q32276" s="5" t="s">
        <v>355</v>
      </c>
    </row>
    <row r="32277" ht="16.5" customHeight="1">
      <c r="O32277" s="5" t="s">
        <v>355</v>
      </c>
      <c r="P32277" s="5" t="s">
        <v>355</v>
      </c>
      <c r="Q32277" s="5" t="s">
        <v>355</v>
      </c>
    </row>
    <row r="32278" ht="16.5" customHeight="1">
      <c r="O32278" s="5" t="s">
        <v>355</v>
      </c>
      <c r="P32278" s="5" t="s">
        <v>355</v>
      </c>
      <c r="Q32278" s="5" t="s">
        <v>355</v>
      </c>
    </row>
    <row r="32279" ht="16.5" customHeight="1">
      <c r="O32279" s="5" t="s">
        <v>355</v>
      </c>
      <c r="P32279" s="5" t="s">
        <v>355</v>
      </c>
      <c r="Q32279" s="5" t="s">
        <v>355</v>
      </c>
    </row>
    <row r="32280" ht="16.5" customHeight="1">
      <c r="O32280" s="5" t="s">
        <v>355</v>
      </c>
      <c r="P32280" s="5" t="s">
        <v>355</v>
      </c>
      <c r="Q32280" s="5" t="s">
        <v>355</v>
      </c>
    </row>
    <row r="32281" ht="16.5" customHeight="1">
      <c r="O32281" s="5" t="s">
        <v>355</v>
      </c>
      <c r="P32281" s="5" t="s">
        <v>355</v>
      </c>
      <c r="Q32281" s="5" t="s">
        <v>355</v>
      </c>
    </row>
    <row r="32282" ht="16.5" customHeight="1">
      <c r="O32282" s="5" t="s">
        <v>355</v>
      </c>
      <c r="P32282" s="5" t="s">
        <v>355</v>
      </c>
      <c r="Q32282" s="5" t="s">
        <v>355</v>
      </c>
    </row>
    <row r="32283" ht="16.5" customHeight="1">
      <c r="O32283" s="5" t="s">
        <v>355</v>
      </c>
      <c r="P32283" s="5" t="s">
        <v>355</v>
      </c>
      <c r="Q32283" s="5" t="s">
        <v>355</v>
      </c>
    </row>
    <row r="32284" ht="16.5" customHeight="1">
      <c r="O32284" s="5" t="s">
        <v>355</v>
      </c>
      <c r="P32284" s="5" t="s">
        <v>355</v>
      </c>
      <c r="Q32284" s="5" t="s">
        <v>355</v>
      </c>
    </row>
    <row r="32285" ht="16.5" customHeight="1">
      <c r="O32285" s="5" t="s">
        <v>355</v>
      </c>
      <c r="P32285" s="5" t="s">
        <v>355</v>
      </c>
      <c r="Q32285" s="5" t="s">
        <v>355</v>
      </c>
    </row>
    <row r="32286" ht="16.5" customHeight="1">
      <c r="O32286" s="5" t="s">
        <v>355</v>
      </c>
      <c r="P32286" s="5" t="s">
        <v>355</v>
      </c>
      <c r="Q32286" s="5" t="s">
        <v>355</v>
      </c>
    </row>
    <row r="32287" ht="16.5" customHeight="1">
      <c r="O32287" s="5" t="s">
        <v>355</v>
      </c>
      <c r="P32287" s="5" t="s">
        <v>355</v>
      </c>
      <c r="Q32287" s="5" t="s">
        <v>355</v>
      </c>
    </row>
    <row r="32288" ht="16.5" customHeight="1">
      <c r="O32288" s="5" t="s">
        <v>355</v>
      </c>
      <c r="P32288" s="5" t="s">
        <v>355</v>
      </c>
      <c r="Q32288" s="5" t="s">
        <v>355</v>
      </c>
    </row>
    <row r="32289" ht="16.5" customHeight="1">
      <c r="O32289" s="5" t="s">
        <v>355</v>
      </c>
      <c r="P32289" s="5" t="s">
        <v>355</v>
      </c>
      <c r="Q32289" s="5" t="s">
        <v>355</v>
      </c>
    </row>
    <row r="32290" ht="16.5" customHeight="1">
      <c r="O32290" s="5" t="s">
        <v>355</v>
      </c>
      <c r="P32290" s="5" t="s">
        <v>355</v>
      </c>
      <c r="Q32290" s="5" t="s">
        <v>355</v>
      </c>
    </row>
    <row r="32291" ht="16.5" customHeight="1">
      <c r="O32291" s="5" t="s">
        <v>355</v>
      </c>
      <c r="P32291" s="5" t="s">
        <v>355</v>
      </c>
      <c r="Q32291" s="5" t="s">
        <v>355</v>
      </c>
    </row>
    <row r="32292" ht="16.5" customHeight="1">
      <c r="O32292" s="5" t="s">
        <v>355</v>
      </c>
      <c r="P32292" s="5" t="s">
        <v>355</v>
      </c>
      <c r="Q32292" s="5" t="s">
        <v>355</v>
      </c>
    </row>
    <row r="32293" ht="16.5" customHeight="1">
      <c r="O32293" s="5" t="s">
        <v>355</v>
      </c>
      <c r="P32293" s="5" t="s">
        <v>355</v>
      </c>
      <c r="Q32293" s="5" t="s">
        <v>355</v>
      </c>
    </row>
    <row r="32294" ht="16.5" customHeight="1">
      <c r="O32294" s="5" t="s">
        <v>355</v>
      </c>
      <c r="P32294" s="5" t="s">
        <v>355</v>
      </c>
      <c r="Q32294" s="5" t="s">
        <v>355</v>
      </c>
    </row>
    <row r="32295" ht="16.5" customHeight="1">
      <c r="O32295" s="5" t="s">
        <v>355</v>
      </c>
      <c r="P32295" s="5" t="s">
        <v>355</v>
      </c>
      <c r="Q32295" s="5" t="s">
        <v>355</v>
      </c>
    </row>
    <row r="32296" ht="16.5" customHeight="1">
      <c r="O32296" s="5" t="s">
        <v>355</v>
      </c>
      <c r="P32296" s="5" t="s">
        <v>355</v>
      </c>
      <c r="Q32296" s="5" t="s">
        <v>355</v>
      </c>
    </row>
    <row r="32297" ht="16.5" customHeight="1">
      <c r="O32297" s="5" t="s">
        <v>355</v>
      </c>
      <c r="P32297" s="5" t="s">
        <v>355</v>
      </c>
      <c r="Q32297" s="5" t="s">
        <v>355</v>
      </c>
    </row>
    <row r="32298" ht="16.5" customHeight="1">
      <c r="O32298" s="5" t="s">
        <v>355</v>
      </c>
      <c r="P32298" s="5" t="s">
        <v>355</v>
      </c>
      <c r="Q32298" s="5" t="s">
        <v>355</v>
      </c>
    </row>
    <row r="32299" ht="16.5" customHeight="1">
      <c r="O32299" s="5" t="s">
        <v>355</v>
      </c>
      <c r="P32299" s="5" t="s">
        <v>355</v>
      </c>
      <c r="Q32299" s="5" t="s">
        <v>355</v>
      </c>
    </row>
    <row r="32300" ht="16.5" customHeight="1">
      <c r="O32300" s="5" t="s">
        <v>355</v>
      </c>
      <c r="P32300" s="5" t="s">
        <v>355</v>
      </c>
      <c r="Q32300" s="5" t="s">
        <v>355</v>
      </c>
    </row>
    <row r="32301" ht="16.5" customHeight="1">
      <c r="O32301" s="5" t="s">
        <v>355</v>
      </c>
      <c r="P32301" s="5" t="s">
        <v>355</v>
      </c>
      <c r="Q32301" s="5" t="s">
        <v>355</v>
      </c>
    </row>
    <row r="32302" ht="16.5" customHeight="1">
      <c r="O32302" s="5" t="s">
        <v>355</v>
      </c>
      <c r="P32302" s="5" t="s">
        <v>355</v>
      </c>
      <c r="Q32302" s="5" t="s">
        <v>355</v>
      </c>
    </row>
    <row r="32303" ht="16.5" customHeight="1">
      <c r="O32303" s="5" t="s">
        <v>355</v>
      </c>
      <c r="P32303" s="5" t="s">
        <v>355</v>
      </c>
      <c r="Q32303" s="5" t="s">
        <v>355</v>
      </c>
    </row>
    <row r="32304" ht="16.5" customHeight="1">
      <c r="O32304" s="5" t="s">
        <v>355</v>
      </c>
      <c r="P32304" s="5" t="s">
        <v>355</v>
      </c>
      <c r="Q32304" s="5" t="s">
        <v>355</v>
      </c>
    </row>
    <row r="32305" ht="16.5" customHeight="1">
      <c r="O32305" s="5" t="s">
        <v>355</v>
      </c>
      <c r="P32305" s="5" t="s">
        <v>355</v>
      </c>
      <c r="Q32305" s="5" t="s">
        <v>355</v>
      </c>
    </row>
    <row r="32306" ht="16.5" customHeight="1">
      <c r="O32306" s="5" t="s">
        <v>355</v>
      </c>
      <c r="P32306" s="5" t="s">
        <v>355</v>
      </c>
      <c r="Q32306" s="5" t="s">
        <v>355</v>
      </c>
    </row>
    <row r="32307" ht="16.5" customHeight="1">
      <c r="O32307" s="5" t="s">
        <v>355</v>
      </c>
      <c r="P32307" s="5" t="s">
        <v>355</v>
      </c>
      <c r="Q32307" s="5" t="s">
        <v>355</v>
      </c>
    </row>
    <row r="32308" ht="16.5" customHeight="1">
      <c r="O32308" s="5" t="s">
        <v>355</v>
      </c>
      <c r="P32308" s="5" t="s">
        <v>355</v>
      </c>
      <c r="Q32308" s="5" t="s">
        <v>355</v>
      </c>
    </row>
    <row r="32309" ht="16.5" customHeight="1">
      <c r="O32309" s="5" t="s">
        <v>355</v>
      </c>
      <c r="P32309" s="5" t="s">
        <v>355</v>
      </c>
      <c r="Q32309" s="5" t="s">
        <v>355</v>
      </c>
    </row>
    <row r="32310" ht="16.5" customHeight="1">
      <c r="O32310" s="5" t="s">
        <v>355</v>
      </c>
      <c r="P32310" s="5" t="s">
        <v>355</v>
      </c>
      <c r="Q32310" s="5" t="s">
        <v>355</v>
      </c>
    </row>
    <row r="32311" ht="16.5" customHeight="1">
      <c r="O32311" s="5" t="s">
        <v>355</v>
      </c>
      <c r="P32311" s="5" t="s">
        <v>355</v>
      </c>
      <c r="Q32311" s="5" t="s">
        <v>355</v>
      </c>
    </row>
    <row r="32312" ht="16.5" customHeight="1">
      <c r="O32312" s="5" t="s">
        <v>355</v>
      </c>
      <c r="P32312" s="5" t="s">
        <v>355</v>
      </c>
      <c r="Q32312" s="5" t="s">
        <v>355</v>
      </c>
    </row>
    <row r="32313" ht="16.5" customHeight="1">
      <c r="O32313" s="5" t="s">
        <v>355</v>
      </c>
      <c r="P32313" s="5" t="s">
        <v>355</v>
      </c>
      <c r="Q32313" s="5" t="s">
        <v>355</v>
      </c>
    </row>
    <row r="32314" ht="16.5" customHeight="1">
      <c r="O32314" s="5" t="s">
        <v>355</v>
      </c>
      <c r="P32314" s="5" t="s">
        <v>355</v>
      </c>
      <c r="Q32314" s="5" t="s">
        <v>355</v>
      </c>
    </row>
    <row r="32315" ht="16.5" customHeight="1">
      <c r="O32315" s="5" t="s">
        <v>355</v>
      </c>
      <c r="P32315" s="5" t="s">
        <v>355</v>
      </c>
      <c r="Q32315" s="5" t="s">
        <v>355</v>
      </c>
    </row>
    <row r="32316" ht="16.5" customHeight="1">
      <c r="O32316" s="5" t="s">
        <v>355</v>
      </c>
      <c r="P32316" s="5" t="s">
        <v>355</v>
      </c>
      <c r="Q32316" s="5" t="s">
        <v>355</v>
      </c>
    </row>
    <row r="32317" ht="16.5" customHeight="1">
      <c r="O32317" s="5" t="s">
        <v>355</v>
      </c>
      <c r="P32317" s="5" t="s">
        <v>355</v>
      </c>
      <c r="Q32317" s="5" t="s">
        <v>355</v>
      </c>
    </row>
    <row r="32318" ht="16.5" customHeight="1">
      <c r="O32318" s="5" t="s">
        <v>355</v>
      </c>
      <c r="P32318" s="5" t="s">
        <v>355</v>
      </c>
      <c r="Q32318" s="5" t="s">
        <v>355</v>
      </c>
    </row>
    <row r="32319" ht="16.5" customHeight="1">
      <c r="O32319" s="5" t="s">
        <v>355</v>
      </c>
      <c r="P32319" s="5" t="s">
        <v>355</v>
      </c>
      <c r="Q32319" s="5" t="s">
        <v>355</v>
      </c>
    </row>
    <row r="32320" ht="16.5" customHeight="1">
      <c r="O32320" s="5" t="s">
        <v>355</v>
      </c>
      <c r="P32320" s="5" t="s">
        <v>355</v>
      </c>
      <c r="Q32320" s="5" t="s">
        <v>355</v>
      </c>
    </row>
    <row r="32321" ht="16.5" customHeight="1">
      <c r="O32321" s="5" t="s">
        <v>355</v>
      </c>
      <c r="P32321" s="5" t="s">
        <v>355</v>
      </c>
      <c r="Q32321" s="5" t="s">
        <v>355</v>
      </c>
    </row>
    <row r="32322" ht="16.5" customHeight="1">
      <c r="O32322" s="5" t="s">
        <v>355</v>
      </c>
      <c r="P32322" s="5" t="s">
        <v>355</v>
      </c>
      <c r="Q32322" s="5" t="s">
        <v>355</v>
      </c>
    </row>
    <row r="32323" ht="16.5" customHeight="1">
      <c r="O32323" s="5" t="s">
        <v>355</v>
      </c>
      <c r="P32323" s="5" t="s">
        <v>355</v>
      </c>
      <c r="Q32323" s="5" t="s">
        <v>355</v>
      </c>
    </row>
    <row r="32324" ht="16.5" customHeight="1">
      <c r="O32324" s="5" t="s">
        <v>355</v>
      </c>
      <c r="P32324" s="5" t="s">
        <v>355</v>
      </c>
      <c r="Q32324" s="5" t="s">
        <v>355</v>
      </c>
    </row>
    <row r="32325" ht="16.5" customHeight="1">
      <c r="O32325" s="5" t="s">
        <v>355</v>
      </c>
      <c r="P32325" s="5" t="s">
        <v>355</v>
      </c>
      <c r="Q32325" s="5" t="s">
        <v>355</v>
      </c>
    </row>
    <row r="32326" ht="16.5" customHeight="1">
      <c r="O32326" s="5" t="s">
        <v>355</v>
      </c>
      <c r="P32326" s="5" t="s">
        <v>355</v>
      </c>
      <c r="Q32326" s="5" t="s">
        <v>355</v>
      </c>
    </row>
    <row r="32327" ht="16.5" customHeight="1">
      <c r="O32327" s="5" t="s">
        <v>355</v>
      </c>
      <c r="P32327" s="5" t="s">
        <v>355</v>
      </c>
      <c r="Q32327" s="5" t="s">
        <v>355</v>
      </c>
    </row>
    <row r="32328" ht="16.5" customHeight="1">
      <c r="O32328" s="5" t="s">
        <v>355</v>
      </c>
      <c r="P32328" s="5" t="s">
        <v>355</v>
      </c>
      <c r="Q32328" s="5" t="s">
        <v>355</v>
      </c>
    </row>
    <row r="32329" ht="16.5" customHeight="1">
      <c r="O32329" s="5" t="s">
        <v>355</v>
      </c>
      <c r="P32329" s="5" t="s">
        <v>355</v>
      </c>
      <c r="Q32329" s="5" t="s">
        <v>355</v>
      </c>
    </row>
    <row r="32330" ht="16.5" customHeight="1">
      <c r="O32330" s="5" t="s">
        <v>355</v>
      </c>
      <c r="P32330" s="5" t="s">
        <v>355</v>
      </c>
      <c r="Q32330" s="5" t="s">
        <v>355</v>
      </c>
    </row>
    <row r="32331" ht="16.5" customHeight="1">
      <c r="O32331" s="5" t="s">
        <v>355</v>
      </c>
      <c r="P32331" s="5" t="s">
        <v>355</v>
      </c>
      <c r="Q32331" s="5" t="s">
        <v>355</v>
      </c>
    </row>
    <row r="32332" ht="16.5" customHeight="1">
      <c r="O32332" s="5" t="s">
        <v>355</v>
      </c>
      <c r="P32332" s="5" t="s">
        <v>355</v>
      </c>
      <c r="Q32332" s="5" t="s">
        <v>355</v>
      </c>
    </row>
    <row r="32333" ht="16.5" customHeight="1">
      <c r="O32333" s="5" t="s">
        <v>355</v>
      </c>
      <c r="P32333" s="5" t="s">
        <v>355</v>
      </c>
      <c r="Q32333" s="5" t="s">
        <v>355</v>
      </c>
    </row>
    <row r="32334" ht="16.5" customHeight="1">
      <c r="O32334" s="5" t="s">
        <v>355</v>
      </c>
      <c r="P32334" s="5" t="s">
        <v>355</v>
      </c>
      <c r="Q32334" s="5" t="s">
        <v>355</v>
      </c>
    </row>
    <row r="32335" ht="16.5" customHeight="1">
      <c r="O32335" s="5" t="s">
        <v>355</v>
      </c>
      <c r="P32335" s="5" t="s">
        <v>355</v>
      </c>
      <c r="Q32335" s="5" t="s">
        <v>355</v>
      </c>
    </row>
    <row r="32336" ht="16.5" customHeight="1">
      <c r="O32336" s="5" t="s">
        <v>355</v>
      </c>
      <c r="P32336" s="5" t="s">
        <v>355</v>
      </c>
      <c r="Q32336" s="5" t="s">
        <v>355</v>
      </c>
    </row>
    <row r="32337" ht="16.5" customHeight="1">
      <c r="O32337" s="5" t="s">
        <v>355</v>
      </c>
      <c r="P32337" s="5" t="s">
        <v>355</v>
      </c>
      <c r="Q32337" s="5" t="s">
        <v>355</v>
      </c>
    </row>
    <row r="32338" ht="16.5" customHeight="1">
      <c r="O32338" s="5" t="s">
        <v>355</v>
      </c>
      <c r="P32338" s="5" t="s">
        <v>355</v>
      </c>
      <c r="Q32338" s="5" t="s">
        <v>355</v>
      </c>
    </row>
    <row r="32339" ht="16.5" customHeight="1">
      <c r="O32339" s="5" t="s">
        <v>355</v>
      </c>
      <c r="P32339" s="5" t="s">
        <v>355</v>
      </c>
      <c r="Q32339" s="5" t="s">
        <v>355</v>
      </c>
    </row>
    <row r="32340" ht="16.5" customHeight="1">
      <c r="O32340" s="5" t="s">
        <v>355</v>
      </c>
      <c r="P32340" s="5" t="s">
        <v>355</v>
      </c>
      <c r="Q32340" s="5" t="s">
        <v>355</v>
      </c>
    </row>
    <row r="32341" ht="16.5" customHeight="1">
      <c r="O32341" s="5" t="s">
        <v>355</v>
      </c>
      <c r="P32341" s="5" t="s">
        <v>355</v>
      </c>
      <c r="Q32341" s="5" t="s">
        <v>355</v>
      </c>
    </row>
    <row r="32342" ht="16.5" customHeight="1">
      <c r="O32342" s="5" t="s">
        <v>355</v>
      </c>
      <c r="P32342" s="5" t="s">
        <v>355</v>
      </c>
      <c r="Q32342" s="5" t="s">
        <v>355</v>
      </c>
    </row>
    <row r="32343" ht="16.5" customHeight="1">
      <c r="O32343" s="5" t="s">
        <v>355</v>
      </c>
      <c r="P32343" s="5" t="s">
        <v>355</v>
      </c>
      <c r="Q32343" s="5" t="s">
        <v>355</v>
      </c>
    </row>
    <row r="32344" ht="16.5" customHeight="1">
      <c r="O32344" s="5" t="s">
        <v>355</v>
      </c>
      <c r="P32344" s="5" t="s">
        <v>355</v>
      </c>
      <c r="Q32344" s="5" t="s">
        <v>355</v>
      </c>
    </row>
    <row r="32345" ht="16.5" customHeight="1">
      <c r="O32345" s="5" t="s">
        <v>355</v>
      </c>
      <c r="P32345" s="5" t="s">
        <v>355</v>
      </c>
      <c r="Q32345" s="5" t="s">
        <v>355</v>
      </c>
    </row>
    <row r="32346" ht="16.5" customHeight="1">
      <c r="O32346" s="5" t="s">
        <v>355</v>
      </c>
      <c r="P32346" s="5" t="s">
        <v>355</v>
      </c>
      <c r="Q32346" s="5" t="s">
        <v>355</v>
      </c>
    </row>
    <row r="32347" ht="16.5" customHeight="1">
      <c r="O32347" s="5" t="s">
        <v>355</v>
      </c>
      <c r="P32347" s="5" t="s">
        <v>355</v>
      </c>
      <c r="Q32347" s="5" t="s">
        <v>355</v>
      </c>
    </row>
    <row r="32348" ht="16.5" customHeight="1">
      <c r="O32348" s="5" t="s">
        <v>355</v>
      </c>
      <c r="P32348" s="5" t="s">
        <v>355</v>
      </c>
      <c r="Q32348" s="5" t="s">
        <v>355</v>
      </c>
    </row>
    <row r="32349" ht="16.5" customHeight="1">
      <c r="O32349" s="5" t="s">
        <v>355</v>
      </c>
      <c r="P32349" s="5" t="s">
        <v>355</v>
      </c>
      <c r="Q32349" s="5" t="s">
        <v>355</v>
      </c>
    </row>
    <row r="32350" ht="16.5" customHeight="1">
      <c r="O32350" s="5" t="s">
        <v>355</v>
      </c>
      <c r="P32350" s="5" t="s">
        <v>355</v>
      </c>
      <c r="Q32350" s="5" t="s">
        <v>355</v>
      </c>
    </row>
    <row r="32351" ht="16.5" customHeight="1">
      <c r="O32351" s="5" t="s">
        <v>355</v>
      </c>
      <c r="P32351" s="5" t="s">
        <v>355</v>
      </c>
      <c r="Q32351" s="5" t="s">
        <v>355</v>
      </c>
    </row>
    <row r="32352" ht="16.5" customHeight="1">
      <c r="O32352" s="5" t="s">
        <v>355</v>
      </c>
      <c r="P32352" s="5" t="s">
        <v>355</v>
      </c>
      <c r="Q32352" s="5" t="s">
        <v>355</v>
      </c>
    </row>
    <row r="32353" ht="16.5" customHeight="1">
      <c r="O32353" s="5" t="s">
        <v>355</v>
      </c>
      <c r="P32353" s="5" t="s">
        <v>355</v>
      </c>
      <c r="Q32353" s="5" t="s">
        <v>355</v>
      </c>
    </row>
    <row r="32354" ht="16.5" customHeight="1">
      <c r="O32354" s="5" t="s">
        <v>355</v>
      </c>
      <c r="P32354" s="5" t="s">
        <v>355</v>
      </c>
      <c r="Q32354" s="5" t="s">
        <v>355</v>
      </c>
    </row>
    <row r="32355" ht="16.5" customHeight="1">
      <c r="O32355" s="5" t="s">
        <v>355</v>
      </c>
      <c r="P32355" s="5" t="s">
        <v>355</v>
      </c>
      <c r="Q32355" s="5" t="s">
        <v>355</v>
      </c>
    </row>
    <row r="32356" ht="16.5" customHeight="1">
      <c r="O32356" s="5" t="s">
        <v>355</v>
      </c>
      <c r="P32356" s="5" t="s">
        <v>355</v>
      </c>
      <c r="Q32356" s="5" t="s">
        <v>355</v>
      </c>
    </row>
    <row r="32357" ht="16.5" customHeight="1">
      <c r="O32357" s="5" t="s">
        <v>355</v>
      </c>
      <c r="P32357" s="5" t="s">
        <v>355</v>
      </c>
      <c r="Q32357" s="5" t="s">
        <v>355</v>
      </c>
    </row>
    <row r="32358" ht="16.5" customHeight="1">
      <c r="O32358" s="5" t="s">
        <v>355</v>
      </c>
      <c r="P32358" s="5" t="s">
        <v>355</v>
      </c>
      <c r="Q32358" s="5" t="s">
        <v>355</v>
      </c>
    </row>
    <row r="32359" ht="16.5" customHeight="1">
      <c r="O32359" s="5" t="s">
        <v>355</v>
      </c>
      <c r="P32359" s="5" t="s">
        <v>355</v>
      </c>
      <c r="Q32359" s="5" t="s">
        <v>355</v>
      </c>
    </row>
    <row r="32360" ht="16.5" customHeight="1">
      <c r="O32360" s="5" t="s">
        <v>355</v>
      </c>
      <c r="P32360" s="5" t="s">
        <v>355</v>
      </c>
      <c r="Q32360" s="5" t="s">
        <v>355</v>
      </c>
    </row>
    <row r="32361" ht="16.5" customHeight="1">
      <c r="O32361" s="5" t="s">
        <v>355</v>
      </c>
      <c r="P32361" s="5" t="s">
        <v>355</v>
      </c>
      <c r="Q32361" s="5" t="s">
        <v>355</v>
      </c>
    </row>
    <row r="32362" ht="16.5" customHeight="1">
      <c r="O32362" s="5" t="s">
        <v>355</v>
      </c>
      <c r="P32362" s="5" t="s">
        <v>355</v>
      </c>
      <c r="Q32362" s="5" t="s">
        <v>355</v>
      </c>
    </row>
    <row r="32363" ht="16.5" customHeight="1">
      <c r="O32363" s="5" t="s">
        <v>355</v>
      </c>
      <c r="P32363" s="5" t="s">
        <v>355</v>
      </c>
      <c r="Q32363" s="5" t="s">
        <v>355</v>
      </c>
    </row>
    <row r="32364" ht="16.5" customHeight="1">
      <c r="O32364" s="5" t="s">
        <v>355</v>
      </c>
      <c r="P32364" s="5" t="s">
        <v>355</v>
      </c>
      <c r="Q32364" s="5" t="s">
        <v>355</v>
      </c>
    </row>
    <row r="32365" ht="16.5" customHeight="1">
      <c r="O32365" s="5" t="s">
        <v>355</v>
      </c>
      <c r="P32365" s="5" t="s">
        <v>355</v>
      </c>
      <c r="Q32365" s="5" t="s">
        <v>355</v>
      </c>
    </row>
    <row r="32366" ht="16.5" customHeight="1">
      <c r="O32366" s="5" t="s">
        <v>355</v>
      </c>
      <c r="P32366" s="5" t="s">
        <v>355</v>
      </c>
      <c r="Q32366" s="5" t="s">
        <v>355</v>
      </c>
    </row>
    <row r="32367" ht="16.5" customHeight="1">
      <c r="O32367" s="5" t="s">
        <v>355</v>
      </c>
      <c r="P32367" s="5" t="s">
        <v>355</v>
      </c>
      <c r="Q32367" s="5" t="s">
        <v>355</v>
      </c>
    </row>
    <row r="32368" ht="16.5" customHeight="1">
      <c r="O32368" s="5" t="s">
        <v>355</v>
      </c>
      <c r="P32368" s="5" t="s">
        <v>355</v>
      </c>
      <c r="Q32368" s="5" t="s">
        <v>355</v>
      </c>
    </row>
    <row r="32369" ht="16.5" customHeight="1">
      <c r="O32369" s="5" t="s">
        <v>355</v>
      </c>
      <c r="P32369" s="5" t="s">
        <v>355</v>
      </c>
      <c r="Q32369" s="5" t="s">
        <v>355</v>
      </c>
    </row>
    <row r="32370" ht="16.5" customHeight="1">
      <c r="O32370" s="5" t="s">
        <v>355</v>
      </c>
      <c r="P32370" s="5" t="s">
        <v>355</v>
      </c>
      <c r="Q32370" s="5" t="s">
        <v>355</v>
      </c>
    </row>
    <row r="32371" ht="16.5" customHeight="1">
      <c r="O32371" s="5" t="s">
        <v>355</v>
      </c>
      <c r="P32371" s="5" t="s">
        <v>355</v>
      </c>
      <c r="Q32371" s="5" t="s">
        <v>355</v>
      </c>
    </row>
    <row r="32372" ht="16.5" customHeight="1">
      <c r="O32372" s="5" t="s">
        <v>355</v>
      </c>
      <c r="P32372" s="5" t="s">
        <v>355</v>
      </c>
      <c r="Q32372" s="5" t="s">
        <v>355</v>
      </c>
    </row>
    <row r="32373" ht="16.5" customHeight="1">
      <c r="O32373" s="5" t="s">
        <v>355</v>
      </c>
      <c r="P32373" s="5" t="s">
        <v>355</v>
      </c>
      <c r="Q32373" s="5" t="s">
        <v>355</v>
      </c>
    </row>
    <row r="32374" ht="16.5" customHeight="1">
      <c r="O32374" s="5" t="s">
        <v>355</v>
      </c>
      <c r="P32374" s="5" t="s">
        <v>355</v>
      </c>
      <c r="Q32374" s="5" t="s">
        <v>355</v>
      </c>
    </row>
    <row r="32375" ht="16.5" customHeight="1">
      <c r="O32375" s="5" t="s">
        <v>355</v>
      </c>
      <c r="P32375" s="5" t="s">
        <v>355</v>
      </c>
      <c r="Q32375" s="5" t="s">
        <v>355</v>
      </c>
    </row>
    <row r="32376" ht="16.5" customHeight="1">
      <c r="O32376" s="5" t="s">
        <v>355</v>
      </c>
      <c r="P32376" s="5" t="s">
        <v>355</v>
      </c>
      <c r="Q32376" s="5" t="s">
        <v>355</v>
      </c>
    </row>
    <row r="32377" ht="16.5" customHeight="1">
      <c r="O32377" s="5" t="s">
        <v>355</v>
      </c>
      <c r="P32377" s="5" t="s">
        <v>355</v>
      </c>
      <c r="Q32377" s="5" t="s">
        <v>355</v>
      </c>
    </row>
    <row r="32378" ht="16.5" customHeight="1">
      <c r="O32378" s="5" t="s">
        <v>355</v>
      </c>
      <c r="P32378" s="5" t="s">
        <v>355</v>
      </c>
      <c r="Q32378" s="5" t="s">
        <v>355</v>
      </c>
    </row>
    <row r="32379" ht="16.5" customHeight="1">
      <c r="O32379" s="5" t="s">
        <v>355</v>
      </c>
      <c r="P32379" s="5" t="s">
        <v>355</v>
      </c>
      <c r="Q32379" s="5" t="s">
        <v>355</v>
      </c>
    </row>
    <row r="32380" ht="16.5" customHeight="1">
      <c r="O32380" s="5" t="s">
        <v>355</v>
      </c>
      <c r="P32380" s="5" t="s">
        <v>355</v>
      </c>
      <c r="Q32380" s="5" t="s">
        <v>355</v>
      </c>
    </row>
    <row r="32381" ht="16.5" customHeight="1">
      <c r="O32381" s="5" t="s">
        <v>355</v>
      </c>
      <c r="P32381" s="5" t="s">
        <v>355</v>
      </c>
      <c r="Q32381" s="5" t="s">
        <v>355</v>
      </c>
    </row>
    <row r="32382" ht="16.5" customHeight="1">
      <c r="O32382" s="5" t="s">
        <v>355</v>
      </c>
      <c r="P32382" s="5" t="s">
        <v>355</v>
      </c>
      <c r="Q32382" s="5" t="s">
        <v>355</v>
      </c>
    </row>
    <row r="32383" ht="16.5" customHeight="1">
      <c r="O32383" s="5" t="s">
        <v>355</v>
      </c>
      <c r="P32383" s="5" t="s">
        <v>355</v>
      </c>
      <c r="Q32383" s="5" t="s">
        <v>355</v>
      </c>
    </row>
    <row r="32384" ht="16.5" customHeight="1">
      <c r="O32384" s="5" t="s">
        <v>355</v>
      </c>
      <c r="P32384" s="5" t="s">
        <v>355</v>
      </c>
      <c r="Q32384" s="5" t="s">
        <v>355</v>
      </c>
    </row>
    <row r="32385" ht="16.5" customHeight="1">
      <c r="O32385" s="5" t="s">
        <v>355</v>
      </c>
      <c r="P32385" s="5" t="s">
        <v>355</v>
      </c>
      <c r="Q32385" s="5" t="s">
        <v>355</v>
      </c>
    </row>
    <row r="32386" ht="16.5" customHeight="1">
      <c r="O32386" s="5" t="s">
        <v>355</v>
      </c>
      <c r="P32386" s="5" t="s">
        <v>355</v>
      </c>
      <c r="Q32386" s="5" t="s">
        <v>355</v>
      </c>
    </row>
    <row r="32387" ht="16.5" customHeight="1">
      <c r="O32387" s="5" t="s">
        <v>355</v>
      </c>
      <c r="P32387" s="5" t="s">
        <v>355</v>
      </c>
      <c r="Q32387" s="5" t="s">
        <v>355</v>
      </c>
    </row>
    <row r="32388" ht="16.5" customHeight="1">
      <c r="O32388" s="5" t="s">
        <v>355</v>
      </c>
      <c r="P32388" s="5" t="s">
        <v>355</v>
      </c>
      <c r="Q32388" s="5" t="s">
        <v>355</v>
      </c>
    </row>
    <row r="32389" ht="16.5" customHeight="1">
      <c r="O32389" s="5" t="s">
        <v>355</v>
      </c>
      <c r="P32389" s="5" t="s">
        <v>355</v>
      </c>
      <c r="Q32389" s="5" t="s">
        <v>355</v>
      </c>
    </row>
    <row r="32390" ht="16.5" customHeight="1">
      <c r="O32390" s="5" t="s">
        <v>355</v>
      </c>
      <c r="P32390" s="5" t="s">
        <v>355</v>
      </c>
      <c r="Q32390" s="5" t="s">
        <v>355</v>
      </c>
    </row>
    <row r="32391" ht="16.5" customHeight="1">
      <c r="O32391" s="5" t="s">
        <v>355</v>
      </c>
      <c r="P32391" s="5" t="s">
        <v>355</v>
      </c>
      <c r="Q32391" s="5" t="s">
        <v>355</v>
      </c>
    </row>
    <row r="32392" ht="16.5" customHeight="1">
      <c r="O32392" s="5" t="s">
        <v>355</v>
      </c>
      <c r="P32392" s="5" t="s">
        <v>355</v>
      </c>
      <c r="Q32392" s="5" t="s">
        <v>355</v>
      </c>
    </row>
    <row r="32393" ht="16.5" customHeight="1">
      <c r="O32393" s="5" t="s">
        <v>355</v>
      </c>
      <c r="P32393" s="5" t="s">
        <v>355</v>
      </c>
      <c r="Q32393" s="5" t="s">
        <v>355</v>
      </c>
    </row>
    <row r="32394" ht="16.5" customHeight="1">
      <c r="O32394" s="5" t="s">
        <v>355</v>
      </c>
      <c r="P32394" s="5" t="s">
        <v>355</v>
      </c>
      <c r="Q32394" s="5" t="s">
        <v>355</v>
      </c>
    </row>
    <row r="32395" ht="16.5" customHeight="1">
      <c r="O32395" s="5" t="s">
        <v>355</v>
      </c>
      <c r="P32395" s="5" t="s">
        <v>355</v>
      </c>
      <c r="Q32395" s="5" t="s">
        <v>355</v>
      </c>
    </row>
    <row r="32396" ht="16.5" customHeight="1">
      <c r="O32396" s="5" t="s">
        <v>355</v>
      </c>
      <c r="P32396" s="5" t="s">
        <v>355</v>
      </c>
      <c r="Q32396" s="5" t="s">
        <v>355</v>
      </c>
    </row>
    <row r="32397" ht="16.5" customHeight="1">
      <c r="O32397" s="5" t="s">
        <v>355</v>
      </c>
      <c r="P32397" s="5" t="s">
        <v>355</v>
      </c>
      <c r="Q32397" s="5" t="s">
        <v>355</v>
      </c>
    </row>
    <row r="32398" ht="16.5" customHeight="1">
      <c r="O32398" s="5" t="s">
        <v>355</v>
      </c>
      <c r="P32398" s="5" t="s">
        <v>355</v>
      </c>
      <c r="Q32398" s="5" t="s">
        <v>355</v>
      </c>
    </row>
    <row r="32399" ht="16.5" customHeight="1">
      <c r="O32399" s="5" t="s">
        <v>355</v>
      </c>
      <c r="P32399" s="5" t="s">
        <v>355</v>
      </c>
      <c r="Q32399" s="5" t="s">
        <v>355</v>
      </c>
    </row>
    <row r="32400" ht="16.5" customHeight="1">
      <c r="O32400" s="5" t="s">
        <v>355</v>
      </c>
      <c r="P32400" s="5" t="s">
        <v>355</v>
      </c>
      <c r="Q32400" s="5" t="s">
        <v>355</v>
      </c>
    </row>
    <row r="32401" ht="16.5" customHeight="1">
      <c r="O32401" s="5" t="s">
        <v>355</v>
      </c>
      <c r="P32401" s="5" t="s">
        <v>355</v>
      </c>
      <c r="Q32401" s="5" t="s">
        <v>355</v>
      </c>
    </row>
    <row r="32402" ht="16.5" customHeight="1">
      <c r="O32402" s="5" t="s">
        <v>355</v>
      </c>
      <c r="P32402" s="5" t="s">
        <v>355</v>
      </c>
      <c r="Q32402" s="5" t="s">
        <v>355</v>
      </c>
    </row>
    <row r="32403" ht="16.5" customHeight="1">
      <c r="O32403" s="5" t="s">
        <v>355</v>
      </c>
      <c r="P32403" s="5" t="s">
        <v>355</v>
      </c>
      <c r="Q32403" s="5" t="s">
        <v>355</v>
      </c>
    </row>
    <row r="32404" ht="16.5" customHeight="1">
      <c r="O32404" s="5" t="s">
        <v>355</v>
      </c>
      <c r="P32404" s="5" t="s">
        <v>355</v>
      </c>
      <c r="Q32404" s="5" t="s">
        <v>355</v>
      </c>
    </row>
    <row r="32405" ht="16.5" customHeight="1">
      <c r="O32405" s="5" t="s">
        <v>355</v>
      </c>
      <c r="P32405" s="5" t="s">
        <v>355</v>
      </c>
      <c r="Q32405" s="5" t="s">
        <v>355</v>
      </c>
    </row>
    <row r="32406" ht="16.5" customHeight="1">
      <c r="O32406" s="5" t="s">
        <v>355</v>
      </c>
      <c r="P32406" s="5" t="s">
        <v>355</v>
      </c>
      <c r="Q32406" s="5" t="s">
        <v>355</v>
      </c>
    </row>
    <row r="32407" ht="16.5" customHeight="1">
      <c r="O32407" s="5" t="s">
        <v>355</v>
      </c>
      <c r="P32407" s="5" t="s">
        <v>355</v>
      </c>
      <c r="Q32407" s="5" t="s">
        <v>355</v>
      </c>
    </row>
    <row r="32408" ht="16.5" customHeight="1">
      <c r="O32408" s="5" t="s">
        <v>355</v>
      </c>
      <c r="P32408" s="5" t="s">
        <v>355</v>
      </c>
      <c r="Q32408" s="5" t="s">
        <v>355</v>
      </c>
    </row>
    <row r="32409" ht="16.5" customHeight="1">
      <c r="O32409" s="5" t="s">
        <v>355</v>
      </c>
      <c r="P32409" s="5" t="s">
        <v>355</v>
      </c>
      <c r="Q32409" s="5" t="s">
        <v>355</v>
      </c>
    </row>
    <row r="32410" ht="16.5" customHeight="1">
      <c r="O32410" s="5" t="s">
        <v>355</v>
      </c>
      <c r="P32410" s="5" t="s">
        <v>355</v>
      </c>
      <c r="Q32410" s="5" t="s">
        <v>355</v>
      </c>
    </row>
    <row r="32411" ht="16.5" customHeight="1">
      <c r="O32411" s="5" t="s">
        <v>355</v>
      </c>
      <c r="P32411" s="5" t="s">
        <v>355</v>
      </c>
      <c r="Q32411" s="5" t="s">
        <v>355</v>
      </c>
    </row>
    <row r="32412" ht="16.5" customHeight="1">
      <c r="O32412" s="5" t="s">
        <v>355</v>
      </c>
      <c r="P32412" s="5" t="s">
        <v>355</v>
      </c>
      <c r="Q32412" s="5" t="s">
        <v>355</v>
      </c>
    </row>
    <row r="32413" ht="16.5" customHeight="1">
      <c r="O32413" s="5" t="s">
        <v>355</v>
      </c>
      <c r="P32413" s="5" t="s">
        <v>355</v>
      </c>
      <c r="Q32413" s="5" t="s">
        <v>355</v>
      </c>
    </row>
    <row r="32414" ht="16.5" customHeight="1">
      <c r="O32414" s="5" t="s">
        <v>355</v>
      </c>
      <c r="P32414" s="5" t="s">
        <v>355</v>
      </c>
      <c r="Q32414" s="5" t="s">
        <v>355</v>
      </c>
    </row>
    <row r="32415" ht="16.5" customHeight="1">
      <c r="O32415" s="5" t="s">
        <v>355</v>
      </c>
      <c r="P32415" s="5" t="s">
        <v>355</v>
      </c>
      <c r="Q32415" s="5" t="s">
        <v>355</v>
      </c>
    </row>
    <row r="32416" ht="16.5" customHeight="1">
      <c r="O32416" s="5" t="s">
        <v>355</v>
      </c>
      <c r="P32416" s="5" t="s">
        <v>355</v>
      </c>
      <c r="Q32416" s="5" t="s">
        <v>355</v>
      </c>
    </row>
    <row r="32417" ht="16.5" customHeight="1">
      <c r="O32417" s="5" t="s">
        <v>355</v>
      </c>
      <c r="P32417" s="5" t="s">
        <v>355</v>
      </c>
      <c r="Q32417" s="5" t="s">
        <v>355</v>
      </c>
    </row>
    <row r="32418" ht="16.5" customHeight="1">
      <c r="O32418" s="5" t="s">
        <v>355</v>
      </c>
      <c r="P32418" s="5" t="s">
        <v>355</v>
      </c>
      <c r="Q32418" s="5" t="s">
        <v>355</v>
      </c>
    </row>
    <row r="32419" ht="16.5" customHeight="1">
      <c r="O32419" s="5" t="s">
        <v>355</v>
      </c>
      <c r="P32419" s="5" t="s">
        <v>355</v>
      </c>
      <c r="Q32419" s="5" t="s">
        <v>355</v>
      </c>
    </row>
    <row r="32420" ht="16.5" customHeight="1">
      <c r="O32420" s="5" t="s">
        <v>355</v>
      </c>
      <c r="P32420" s="5" t="s">
        <v>355</v>
      </c>
      <c r="Q32420" s="5" t="s">
        <v>355</v>
      </c>
    </row>
    <row r="32421" ht="16.5" customHeight="1">
      <c r="O32421" s="5" t="s">
        <v>355</v>
      </c>
      <c r="P32421" s="5" t="s">
        <v>355</v>
      </c>
      <c r="Q32421" s="5" t="s">
        <v>355</v>
      </c>
    </row>
    <row r="32422" ht="16.5" customHeight="1">
      <c r="O32422" s="5" t="s">
        <v>355</v>
      </c>
      <c r="P32422" s="5" t="s">
        <v>355</v>
      </c>
      <c r="Q32422" s="5" t="s">
        <v>355</v>
      </c>
    </row>
    <row r="32423" ht="16.5" customHeight="1">
      <c r="O32423" s="5" t="s">
        <v>355</v>
      </c>
      <c r="P32423" s="5" t="s">
        <v>355</v>
      </c>
      <c r="Q32423" s="5" t="s">
        <v>355</v>
      </c>
    </row>
    <row r="32424" ht="16.5" customHeight="1">
      <c r="O32424" s="5" t="s">
        <v>355</v>
      </c>
      <c r="P32424" s="5" t="s">
        <v>355</v>
      </c>
      <c r="Q32424" s="5" t="s">
        <v>355</v>
      </c>
    </row>
    <row r="32425" ht="16.5" customHeight="1">
      <c r="O32425" s="5" t="s">
        <v>355</v>
      </c>
      <c r="P32425" s="5" t="s">
        <v>355</v>
      </c>
      <c r="Q32425" s="5" t="s">
        <v>355</v>
      </c>
    </row>
    <row r="32426" ht="16.5" customHeight="1">
      <c r="O32426" s="5" t="s">
        <v>355</v>
      </c>
      <c r="P32426" s="5" t="s">
        <v>355</v>
      </c>
      <c r="Q32426" s="5" t="s">
        <v>355</v>
      </c>
    </row>
    <row r="32427" ht="16.5" customHeight="1">
      <c r="O32427" s="5" t="s">
        <v>355</v>
      </c>
      <c r="P32427" s="5" t="s">
        <v>355</v>
      </c>
      <c r="Q32427" s="5" t="s">
        <v>355</v>
      </c>
    </row>
    <row r="32428" ht="16.5" customHeight="1">
      <c r="O32428" s="5" t="s">
        <v>355</v>
      </c>
      <c r="P32428" s="5" t="s">
        <v>355</v>
      </c>
      <c r="Q32428" s="5" t="s">
        <v>355</v>
      </c>
    </row>
    <row r="32429" ht="16.5" customHeight="1">
      <c r="O32429" s="5" t="s">
        <v>355</v>
      </c>
      <c r="P32429" s="5" t="s">
        <v>355</v>
      </c>
      <c r="Q32429" s="5" t="s">
        <v>355</v>
      </c>
    </row>
    <row r="32430" ht="16.5" customHeight="1">
      <c r="O32430" s="5" t="s">
        <v>355</v>
      </c>
      <c r="P32430" s="5" t="s">
        <v>355</v>
      </c>
      <c r="Q32430" s="5" t="s">
        <v>355</v>
      </c>
    </row>
    <row r="32431" ht="16.5" customHeight="1">
      <c r="O32431" s="5" t="s">
        <v>355</v>
      </c>
      <c r="P32431" s="5" t="s">
        <v>355</v>
      </c>
      <c r="Q32431" s="5" t="s">
        <v>355</v>
      </c>
    </row>
    <row r="32432" ht="16.5" customHeight="1">
      <c r="O32432" s="5" t="s">
        <v>355</v>
      </c>
      <c r="P32432" s="5" t="s">
        <v>355</v>
      </c>
      <c r="Q32432" s="5" t="s">
        <v>355</v>
      </c>
    </row>
    <row r="32433" ht="16.5" customHeight="1">
      <c r="O32433" s="5" t="s">
        <v>355</v>
      </c>
      <c r="P32433" s="5" t="s">
        <v>355</v>
      </c>
      <c r="Q32433" s="5" t="s">
        <v>355</v>
      </c>
    </row>
    <row r="32434" ht="16.5" customHeight="1">
      <c r="O32434" s="5" t="s">
        <v>355</v>
      </c>
      <c r="P32434" s="5" t="s">
        <v>355</v>
      </c>
      <c r="Q32434" s="5" t="s">
        <v>355</v>
      </c>
    </row>
    <row r="32435" ht="16.5" customHeight="1">
      <c r="O32435" s="5" t="s">
        <v>355</v>
      </c>
      <c r="P32435" s="5" t="s">
        <v>355</v>
      </c>
      <c r="Q32435" s="5" t="s">
        <v>355</v>
      </c>
    </row>
    <row r="32436" ht="16.5" customHeight="1">
      <c r="O32436" s="5" t="s">
        <v>355</v>
      </c>
      <c r="P32436" s="5" t="s">
        <v>355</v>
      </c>
      <c r="Q32436" s="5" t="s">
        <v>355</v>
      </c>
    </row>
    <row r="32437" ht="16.5" customHeight="1">
      <c r="O32437" s="5" t="s">
        <v>355</v>
      </c>
      <c r="P32437" s="5" t="s">
        <v>355</v>
      </c>
      <c r="Q32437" s="5" t="s">
        <v>355</v>
      </c>
    </row>
    <row r="32438" ht="16.5" customHeight="1">
      <c r="O32438" s="5" t="s">
        <v>355</v>
      </c>
      <c r="P32438" s="5" t="s">
        <v>355</v>
      </c>
      <c r="Q32438" s="5" t="s">
        <v>355</v>
      </c>
    </row>
    <row r="32439" ht="16.5" customHeight="1">
      <c r="O32439" s="5" t="s">
        <v>355</v>
      </c>
      <c r="P32439" s="5" t="s">
        <v>355</v>
      </c>
      <c r="Q32439" s="5" t="s">
        <v>355</v>
      </c>
    </row>
    <row r="32440" ht="16.5" customHeight="1">
      <c r="O32440" s="5" t="s">
        <v>355</v>
      </c>
      <c r="P32440" s="5" t="s">
        <v>355</v>
      </c>
      <c r="Q32440" s="5" t="s">
        <v>355</v>
      </c>
    </row>
    <row r="32441" ht="16.5" customHeight="1">
      <c r="O32441" s="5" t="s">
        <v>355</v>
      </c>
      <c r="P32441" s="5" t="s">
        <v>355</v>
      </c>
      <c r="Q32441" s="5" t="s">
        <v>355</v>
      </c>
    </row>
    <row r="32442" ht="16.5" customHeight="1">
      <c r="O32442" s="5" t="s">
        <v>355</v>
      </c>
      <c r="P32442" s="5" t="s">
        <v>355</v>
      </c>
      <c r="Q32442" s="5" t="s">
        <v>355</v>
      </c>
    </row>
    <row r="32443" ht="16.5" customHeight="1">
      <c r="O32443" s="5" t="s">
        <v>355</v>
      </c>
      <c r="P32443" s="5" t="s">
        <v>355</v>
      </c>
      <c r="Q32443" s="5" t="s">
        <v>355</v>
      </c>
    </row>
    <row r="32444" ht="16.5" customHeight="1">
      <c r="O32444" s="5" t="s">
        <v>355</v>
      </c>
      <c r="P32444" s="5" t="s">
        <v>355</v>
      </c>
      <c r="Q32444" s="5" t="s">
        <v>355</v>
      </c>
    </row>
    <row r="32445" ht="16.5" customHeight="1">
      <c r="O32445" s="5" t="s">
        <v>355</v>
      </c>
      <c r="P32445" s="5" t="s">
        <v>355</v>
      </c>
      <c r="Q32445" s="5" t="s">
        <v>355</v>
      </c>
    </row>
    <row r="32446" ht="16.5" customHeight="1">
      <c r="O32446" s="5" t="s">
        <v>355</v>
      </c>
      <c r="P32446" s="5" t="s">
        <v>355</v>
      </c>
      <c r="Q32446" s="5" t="s">
        <v>355</v>
      </c>
    </row>
    <row r="32447" ht="16.5" customHeight="1">
      <c r="O32447" s="5" t="s">
        <v>355</v>
      </c>
      <c r="P32447" s="5" t="s">
        <v>355</v>
      </c>
      <c r="Q32447" s="5" t="s">
        <v>355</v>
      </c>
    </row>
    <row r="32448" ht="16.5" customHeight="1">
      <c r="O32448" s="5" t="s">
        <v>355</v>
      </c>
      <c r="P32448" s="5" t="s">
        <v>355</v>
      </c>
      <c r="Q32448" s="5" t="s">
        <v>355</v>
      </c>
    </row>
    <row r="32449" ht="16.5" customHeight="1">
      <c r="O32449" s="5" t="s">
        <v>355</v>
      </c>
      <c r="P32449" s="5" t="s">
        <v>355</v>
      </c>
      <c r="Q32449" s="5" t="s">
        <v>355</v>
      </c>
    </row>
    <row r="32450" ht="16.5" customHeight="1">
      <c r="O32450" s="5" t="s">
        <v>355</v>
      </c>
      <c r="P32450" s="5" t="s">
        <v>355</v>
      </c>
      <c r="Q32450" s="5" t="s">
        <v>355</v>
      </c>
    </row>
    <row r="32451" ht="16.5" customHeight="1">
      <c r="O32451" s="5" t="s">
        <v>355</v>
      </c>
      <c r="P32451" s="5" t="s">
        <v>355</v>
      </c>
      <c r="Q32451" s="5" t="s">
        <v>355</v>
      </c>
    </row>
    <row r="32452" ht="16.5" customHeight="1">
      <c r="O32452" s="5" t="s">
        <v>355</v>
      </c>
      <c r="P32452" s="5" t="s">
        <v>355</v>
      </c>
      <c r="Q32452" s="5" t="s">
        <v>355</v>
      </c>
    </row>
    <row r="32453" ht="16.5" customHeight="1">
      <c r="O32453" s="5" t="s">
        <v>355</v>
      </c>
      <c r="P32453" s="5" t="s">
        <v>355</v>
      </c>
      <c r="Q32453" s="5" t="s">
        <v>355</v>
      </c>
    </row>
    <row r="32454" ht="16.5" customHeight="1">
      <c r="O32454" s="5" t="s">
        <v>355</v>
      </c>
      <c r="P32454" s="5" t="s">
        <v>355</v>
      </c>
      <c r="Q32454" s="5" t="s">
        <v>355</v>
      </c>
    </row>
    <row r="32455" ht="16.5" customHeight="1">
      <c r="O32455" s="5" t="s">
        <v>355</v>
      </c>
      <c r="P32455" s="5" t="s">
        <v>355</v>
      </c>
      <c r="Q32455" s="5" t="s">
        <v>355</v>
      </c>
    </row>
    <row r="32456" ht="16.5" customHeight="1">
      <c r="O32456" s="5" t="s">
        <v>355</v>
      </c>
      <c r="P32456" s="5" t="s">
        <v>355</v>
      </c>
      <c r="Q32456" s="5" t="s">
        <v>355</v>
      </c>
    </row>
    <row r="32457" ht="16.5" customHeight="1">
      <c r="O32457" s="5" t="s">
        <v>355</v>
      </c>
      <c r="P32457" s="5" t="s">
        <v>355</v>
      </c>
      <c r="Q32457" s="5" t="s">
        <v>355</v>
      </c>
    </row>
    <row r="32458" ht="16.5" customHeight="1">
      <c r="O32458" s="5" t="s">
        <v>355</v>
      </c>
      <c r="P32458" s="5" t="s">
        <v>355</v>
      </c>
      <c r="Q32458" s="5" t="s">
        <v>355</v>
      </c>
    </row>
    <row r="32459" ht="16.5" customHeight="1">
      <c r="O32459" s="5" t="s">
        <v>355</v>
      </c>
      <c r="P32459" s="5" t="s">
        <v>355</v>
      </c>
      <c r="Q32459" s="5" t="s">
        <v>355</v>
      </c>
    </row>
    <row r="32460" ht="16.5" customHeight="1">
      <c r="O32460" s="5" t="s">
        <v>355</v>
      </c>
      <c r="P32460" s="5" t="s">
        <v>355</v>
      </c>
      <c r="Q32460" s="5" t="s">
        <v>355</v>
      </c>
    </row>
    <row r="32461" ht="16.5" customHeight="1">
      <c r="O32461" s="5" t="s">
        <v>355</v>
      </c>
      <c r="P32461" s="5" t="s">
        <v>355</v>
      </c>
      <c r="Q32461" s="5" t="s">
        <v>355</v>
      </c>
    </row>
    <row r="32462" ht="16.5" customHeight="1">
      <c r="O32462" s="5" t="s">
        <v>355</v>
      </c>
      <c r="P32462" s="5" t="s">
        <v>355</v>
      </c>
      <c r="Q32462" s="5" t="s">
        <v>355</v>
      </c>
    </row>
    <row r="32463" ht="16.5" customHeight="1">
      <c r="O32463" s="5" t="s">
        <v>355</v>
      </c>
      <c r="P32463" s="5" t="s">
        <v>355</v>
      </c>
      <c r="Q32463" s="5" t="s">
        <v>355</v>
      </c>
    </row>
    <row r="32464" ht="16.5" customHeight="1">
      <c r="O32464" s="5" t="s">
        <v>355</v>
      </c>
      <c r="P32464" s="5" t="s">
        <v>355</v>
      </c>
      <c r="Q32464" s="5" t="s">
        <v>355</v>
      </c>
    </row>
    <row r="32465" ht="16.5" customHeight="1">
      <c r="O32465" s="5" t="s">
        <v>355</v>
      </c>
      <c r="P32465" s="5" t="s">
        <v>355</v>
      </c>
      <c r="Q32465" s="5" t="s">
        <v>355</v>
      </c>
    </row>
    <row r="32466" ht="16.5" customHeight="1">
      <c r="O32466" s="5" t="s">
        <v>355</v>
      </c>
      <c r="P32466" s="5" t="s">
        <v>355</v>
      </c>
      <c r="Q32466" s="5" t="s">
        <v>355</v>
      </c>
    </row>
    <row r="32467" ht="16.5" customHeight="1">
      <c r="O32467" s="5" t="s">
        <v>355</v>
      </c>
      <c r="P32467" s="5" t="s">
        <v>355</v>
      </c>
      <c r="Q32467" s="5" t="s">
        <v>355</v>
      </c>
    </row>
    <row r="32468" ht="16.5" customHeight="1">
      <c r="O32468" s="5" t="s">
        <v>355</v>
      </c>
      <c r="P32468" s="5" t="s">
        <v>355</v>
      </c>
      <c r="Q32468" s="5" t="s">
        <v>355</v>
      </c>
    </row>
    <row r="32469" ht="16.5" customHeight="1">
      <c r="O32469" s="5" t="s">
        <v>355</v>
      </c>
      <c r="P32469" s="5" t="s">
        <v>355</v>
      </c>
      <c r="Q32469" s="5" t="s">
        <v>355</v>
      </c>
    </row>
    <row r="32470" ht="16.5" customHeight="1">
      <c r="O32470" s="5" t="s">
        <v>355</v>
      </c>
      <c r="P32470" s="5" t="s">
        <v>355</v>
      </c>
      <c r="Q32470" s="5" t="s">
        <v>355</v>
      </c>
    </row>
    <row r="32471" ht="16.5" customHeight="1">
      <c r="O32471" s="5" t="s">
        <v>355</v>
      </c>
      <c r="P32471" s="5" t="s">
        <v>355</v>
      </c>
      <c r="Q32471" s="5" t="s">
        <v>355</v>
      </c>
    </row>
    <row r="32472" ht="16.5" customHeight="1">
      <c r="O32472" s="5" t="s">
        <v>355</v>
      </c>
      <c r="P32472" s="5" t="s">
        <v>355</v>
      </c>
      <c r="Q32472" s="5" t="s">
        <v>355</v>
      </c>
    </row>
    <row r="32473" ht="16.5" customHeight="1">
      <c r="O32473" s="5" t="s">
        <v>355</v>
      </c>
      <c r="P32473" s="5" t="s">
        <v>355</v>
      </c>
      <c r="Q32473" s="5" t="s">
        <v>355</v>
      </c>
    </row>
    <row r="32474" ht="16.5" customHeight="1">
      <c r="O32474" s="5" t="s">
        <v>355</v>
      </c>
      <c r="P32474" s="5" t="s">
        <v>355</v>
      </c>
      <c r="Q32474" s="5" t="s">
        <v>355</v>
      </c>
    </row>
    <row r="32475" ht="16.5" customHeight="1">
      <c r="O32475" s="5" t="s">
        <v>355</v>
      </c>
      <c r="P32475" s="5" t="s">
        <v>355</v>
      </c>
      <c r="Q32475" s="5" t="s">
        <v>355</v>
      </c>
    </row>
    <row r="32476" ht="16.5" customHeight="1">
      <c r="O32476" s="5" t="s">
        <v>355</v>
      </c>
      <c r="P32476" s="5" t="s">
        <v>355</v>
      </c>
      <c r="Q32476" s="5" t="s">
        <v>355</v>
      </c>
    </row>
    <row r="32477" ht="16.5" customHeight="1">
      <c r="O32477" s="5" t="s">
        <v>355</v>
      </c>
      <c r="P32477" s="5" t="s">
        <v>355</v>
      </c>
      <c r="Q32477" s="5" t="s">
        <v>355</v>
      </c>
    </row>
    <row r="32478" ht="16.5" customHeight="1">
      <c r="O32478" s="5" t="s">
        <v>355</v>
      </c>
      <c r="P32478" s="5" t="s">
        <v>355</v>
      </c>
      <c r="Q32478" s="5" t="s">
        <v>355</v>
      </c>
    </row>
    <row r="32479" ht="16.5" customHeight="1">
      <c r="O32479" s="5" t="s">
        <v>355</v>
      </c>
      <c r="P32479" s="5" t="s">
        <v>355</v>
      </c>
      <c r="Q32479" s="5" t="s">
        <v>355</v>
      </c>
    </row>
    <row r="32480" ht="16.5" customHeight="1">
      <c r="O32480" s="5" t="s">
        <v>355</v>
      </c>
      <c r="P32480" s="5" t="s">
        <v>355</v>
      </c>
      <c r="Q32480" s="5" t="s">
        <v>355</v>
      </c>
    </row>
    <row r="32481" ht="16.5" customHeight="1">
      <c r="O32481" s="5" t="s">
        <v>355</v>
      </c>
      <c r="P32481" s="5" t="s">
        <v>355</v>
      </c>
      <c r="Q32481" s="5" t="s">
        <v>355</v>
      </c>
    </row>
    <row r="32482" ht="16.5" customHeight="1">
      <c r="O32482" s="5" t="s">
        <v>355</v>
      </c>
      <c r="P32482" s="5" t="s">
        <v>355</v>
      </c>
      <c r="Q32482" s="5" t="s">
        <v>355</v>
      </c>
    </row>
    <row r="32483" ht="16.5" customHeight="1">
      <c r="O32483" s="5" t="s">
        <v>355</v>
      </c>
      <c r="P32483" s="5" t="s">
        <v>355</v>
      </c>
      <c r="Q32483" s="5" t="s">
        <v>355</v>
      </c>
    </row>
    <row r="32484" ht="16.5" customHeight="1">
      <c r="O32484" s="5" t="s">
        <v>355</v>
      </c>
      <c r="P32484" s="5" t="s">
        <v>355</v>
      </c>
      <c r="Q32484" s="5" t="s">
        <v>355</v>
      </c>
    </row>
    <row r="32485" ht="16.5" customHeight="1">
      <c r="O32485" s="5" t="s">
        <v>355</v>
      </c>
      <c r="P32485" s="5" t="s">
        <v>355</v>
      </c>
      <c r="Q32485" s="5" t="s">
        <v>355</v>
      </c>
    </row>
    <row r="32486" ht="16.5" customHeight="1">
      <c r="O32486" s="5" t="s">
        <v>355</v>
      </c>
      <c r="P32486" s="5" t="s">
        <v>355</v>
      </c>
      <c r="Q32486" s="5" t="s">
        <v>355</v>
      </c>
    </row>
    <row r="32487" ht="16.5" customHeight="1">
      <c r="O32487" s="5" t="s">
        <v>355</v>
      </c>
      <c r="P32487" s="5" t="s">
        <v>355</v>
      </c>
      <c r="Q32487" s="5" t="s">
        <v>355</v>
      </c>
    </row>
    <row r="32488" ht="16.5" customHeight="1">
      <c r="O32488" s="5" t="s">
        <v>355</v>
      </c>
      <c r="P32488" s="5" t="s">
        <v>355</v>
      </c>
      <c r="Q32488" s="5" t="s">
        <v>355</v>
      </c>
    </row>
    <row r="32489" ht="16.5" customHeight="1">
      <c r="O32489" s="5" t="s">
        <v>355</v>
      </c>
      <c r="P32489" s="5" t="s">
        <v>355</v>
      </c>
      <c r="Q32489" s="5" t="s">
        <v>355</v>
      </c>
    </row>
    <row r="32490" ht="16.5" customHeight="1">
      <c r="O32490" s="5" t="s">
        <v>355</v>
      </c>
      <c r="P32490" s="5" t="s">
        <v>355</v>
      </c>
      <c r="Q32490" s="5" t="s">
        <v>355</v>
      </c>
    </row>
    <row r="32491" ht="16.5" customHeight="1">
      <c r="O32491" s="5" t="s">
        <v>355</v>
      </c>
      <c r="P32491" s="5" t="s">
        <v>355</v>
      </c>
      <c r="Q32491" s="5" t="s">
        <v>355</v>
      </c>
    </row>
    <row r="32492" ht="16.5" customHeight="1">
      <c r="O32492" s="5" t="s">
        <v>355</v>
      </c>
      <c r="P32492" s="5" t="s">
        <v>355</v>
      </c>
      <c r="Q32492" s="5" t="s">
        <v>355</v>
      </c>
    </row>
    <row r="32493" ht="16.5" customHeight="1">
      <c r="O32493" s="5" t="s">
        <v>355</v>
      </c>
      <c r="P32493" s="5" t="s">
        <v>355</v>
      </c>
      <c r="Q32493" s="5" t="s">
        <v>355</v>
      </c>
    </row>
    <row r="32494" ht="16.5" customHeight="1">
      <c r="O32494" s="5" t="s">
        <v>355</v>
      </c>
      <c r="P32494" s="5" t="s">
        <v>355</v>
      </c>
      <c r="Q32494" s="5" t="s">
        <v>355</v>
      </c>
    </row>
    <row r="32495" ht="16.5" customHeight="1">
      <c r="O32495" s="5" t="s">
        <v>355</v>
      </c>
      <c r="P32495" s="5" t="s">
        <v>355</v>
      </c>
      <c r="Q32495" s="5" t="s">
        <v>355</v>
      </c>
    </row>
    <row r="32496" ht="16.5" customHeight="1">
      <c r="O32496" s="5" t="s">
        <v>355</v>
      </c>
      <c r="P32496" s="5" t="s">
        <v>355</v>
      </c>
      <c r="Q32496" s="5" t="s">
        <v>355</v>
      </c>
    </row>
    <row r="32497" ht="16.5" customHeight="1">
      <c r="O32497" s="5" t="s">
        <v>355</v>
      </c>
      <c r="P32497" s="5" t="s">
        <v>355</v>
      </c>
      <c r="Q32497" s="5" t="s">
        <v>355</v>
      </c>
    </row>
    <row r="32498" ht="16.5" customHeight="1">
      <c r="O32498" s="5" t="s">
        <v>355</v>
      </c>
      <c r="P32498" s="5" t="s">
        <v>355</v>
      </c>
      <c r="Q32498" s="5" t="s">
        <v>355</v>
      </c>
    </row>
    <row r="32499" ht="16.5" customHeight="1">
      <c r="O32499" s="5" t="s">
        <v>355</v>
      </c>
      <c r="P32499" s="5" t="s">
        <v>355</v>
      </c>
      <c r="Q32499" s="5" t="s">
        <v>355</v>
      </c>
    </row>
    <row r="32500" ht="16.5" customHeight="1">
      <c r="O32500" s="5" t="s">
        <v>355</v>
      </c>
      <c r="P32500" s="5" t="s">
        <v>355</v>
      </c>
      <c r="Q32500" s="5" t="s">
        <v>355</v>
      </c>
    </row>
    <row r="32501" ht="16.5" customHeight="1">
      <c r="O32501" s="5" t="s">
        <v>355</v>
      </c>
      <c r="P32501" s="5" t="s">
        <v>355</v>
      </c>
      <c r="Q32501" s="5" t="s">
        <v>355</v>
      </c>
    </row>
    <row r="32502" ht="16.5" customHeight="1">
      <c r="O32502" s="5" t="s">
        <v>355</v>
      </c>
      <c r="P32502" s="5" t="s">
        <v>355</v>
      </c>
      <c r="Q32502" s="5" t="s">
        <v>355</v>
      </c>
    </row>
    <row r="32503" ht="16.5" customHeight="1">
      <c r="O32503" s="5" t="s">
        <v>355</v>
      </c>
      <c r="P32503" s="5" t="s">
        <v>355</v>
      </c>
      <c r="Q32503" s="5" t="s">
        <v>355</v>
      </c>
    </row>
    <row r="32504" ht="16.5" customHeight="1">
      <c r="O32504" s="5" t="s">
        <v>355</v>
      </c>
      <c r="P32504" s="5" t="s">
        <v>355</v>
      </c>
      <c r="Q32504" s="5" t="s">
        <v>355</v>
      </c>
    </row>
    <row r="32505" ht="16.5" customHeight="1">
      <c r="O32505" s="5" t="s">
        <v>355</v>
      </c>
      <c r="P32505" s="5" t="s">
        <v>355</v>
      </c>
      <c r="Q32505" s="5" t="s">
        <v>355</v>
      </c>
    </row>
    <row r="32506" ht="16.5" customHeight="1">
      <c r="O32506" s="5" t="s">
        <v>355</v>
      </c>
      <c r="P32506" s="5" t="s">
        <v>355</v>
      </c>
      <c r="Q32506" s="5" t="s">
        <v>355</v>
      </c>
    </row>
    <row r="32507" ht="16.5" customHeight="1">
      <c r="O32507" s="5" t="s">
        <v>355</v>
      </c>
      <c r="P32507" s="5" t="s">
        <v>355</v>
      </c>
      <c r="Q32507" s="5" t="s">
        <v>355</v>
      </c>
    </row>
    <row r="32508" ht="16.5" customHeight="1">
      <c r="O32508" s="5" t="s">
        <v>355</v>
      </c>
      <c r="P32508" s="5" t="s">
        <v>355</v>
      </c>
      <c r="Q32508" s="5" t="s">
        <v>355</v>
      </c>
    </row>
    <row r="32509" ht="16.5" customHeight="1">
      <c r="O32509" s="5" t="s">
        <v>355</v>
      </c>
      <c r="P32509" s="5" t="s">
        <v>355</v>
      </c>
      <c r="Q32509" s="5" t="s">
        <v>355</v>
      </c>
    </row>
    <row r="32510" ht="16.5" customHeight="1">
      <c r="O32510" s="5" t="s">
        <v>355</v>
      </c>
      <c r="P32510" s="5" t="s">
        <v>355</v>
      </c>
      <c r="Q32510" s="5" t="s">
        <v>355</v>
      </c>
    </row>
    <row r="32511" ht="16.5" customHeight="1">
      <c r="O32511" s="5" t="s">
        <v>355</v>
      </c>
      <c r="P32511" s="5" t="s">
        <v>355</v>
      </c>
      <c r="Q32511" s="5" t="s">
        <v>355</v>
      </c>
    </row>
    <row r="32512" ht="16.5" customHeight="1">
      <c r="O32512" s="5" t="s">
        <v>355</v>
      </c>
      <c r="P32512" s="5" t="s">
        <v>355</v>
      </c>
      <c r="Q32512" s="5" t="s">
        <v>355</v>
      </c>
    </row>
    <row r="32513" ht="16.5" customHeight="1">
      <c r="O32513" s="5" t="s">
        <v>355</v>
      </c>
      <c r="P32513" s="5" t="s">
        <v>355</v>
      </c>
      <c r="Q32513" s="5" t="s">
        <v>355</v>
      </c>
    </row>
    <row r="32514" ht="16.5" customHeight="1">
      <c r="O32514" s="5" t="s">
        <v>355</v>
      </c>
      <c r="P32514" s="5" t="s">
        <v>355</v>
      </c>
      <c r="Q32514" s="5" t="s">
        <v>355</v>
      </c>
    </row>
    <row r="32515" ht="16.5" customHeight="1">
      <c r="O32515" s="5" t="s">
        <v>355</v>
      </c>
      <c r="P32515" s="5" t="s">
        <v>355</v>
      </c>
      <c r="Q32515" s="5" t="s">
        <v>355</v>
      </c>
    </row>
    <row r="32516" ht="16.5" customHeight="1">
      <c r="O32516" s="5" t="s">
        <v>355</v>
      </c>
      <c r="P32516" s="5" t="s">
        <v>355</v>
      </c>
      <c r="Q32516" s="5" t="s">
        <v>355</v>
      </c>
    </row>
    <row r="32517" ht="16.5" customHeight="1">
      <c r="O32517" s="5" t="s">
        <v>355</v>
      </c>
      <c r="P32517" s="5" t="s">
        <v>355</v>
      </c>
      <c r="Q32517" s="5" t="s">
        <v>355</v>
      </c>
    </row>
    <row r="32518" ht="16.5" customHeight="1">
      <c r="O32518" s="5" t="s">
        <v>355</v>
      </c>
      <c r="P32518" s="5" t="s">
        <v>355</v>
      </c>
      <c r="Q32518" s="5" t="s">
        <v>355</v>
      </c>
    </row>
    <row r="32519" ht="16.5" customHeight="1">
      <c r="O32519" s="5" t="s">
        <v>355</v>
      </c>
      <c r="P32519" s="5" t="s">
        <v>355</v>
      </c>
      <c r="Q32519" s="5" t="s">
        <v>355</v>
      </c>
    </row>
    <row r="32520" ht="16.5" customHeight="1">
      <c r="O32520" s="5" t="s">
        <v>355</v>
      </c>
      <c r="P32520" s="5" t="s">
        <v>355</v>
      </c>
      <c r="Q32520" s="5" t="s">
        <v>355</v>
      </c>
    </row>
    <row r="32521" ht="16.5" customHeight="1">
      <c r="O32521" s="5" t="s">
        <v>355</v>
      </c>
      <c r="P32521" s="5" t="s">
        <v>355</v>
      </c>
      <c r="Q32521" s="5" t="s">
        <v>355</v>
      </c>
    </row>
    <row r="32522" ht="16.5" customHeight="1">
      <c r="O32522" s="5" t="s">
        <v>355</v>
      </c>
      <c r="P32522" s="5" t="s">
        <v>355</v>
      </c>
      <c r="Q32522" s="5" t="s">
        <v>355</v>
      </c>
    </row>
    <row r="32523" ht="16.5" customHeight="1">
      <c r="O32523" s="5" t="s">
        <v>355</v>
      </c>
      <c r="P32523" s="5" t="s">
        <v>355</v>
      </c>
      <c r="Q32523" s="5" t="s">
        <v>355</v>
      </c>
    </row>
    <row r="32524" ht="16.5" customHeight="1">
      <c r="O32524" s="5" t="s">
        <v>355</v>
      </c>
      <c r="P32524" s="5" t="s">
        <v>355</v>
      </c>
      <c r="Q32524" s="5" t="s">
        <v>355</v>
      </c>
    </row>
    <row r="32525" ht="16.5" customHeight="1">
      <c r="O32525" s="5" t="s">
        <v>355</v>
      </c>
      <c r="P32525" s="5" t="s">
        <v>355</v>
      </c>
      <c r="Q32525" s="5" t="s">
        <v>355</v>
      </c>
    </row>
    <row r="32526" ht="16.5" customHeight="1">
      <c r="O32526" s="5" t="s">
        <v>355</v>
      </c>
      <c r="P32526" s="5" t="s">
        <v>355</v>
      </c>
      <c r="Q32526" s="5" t="s">
        <v>355</v>
      </c>
    </row>
    <row r="32527" ht="16.5" customHeight="1">
      <c r="O32527" s="5" t="s">
        <v>355</v>
      </c>
      <c r="P32527" s="5" t="s">
        <v>355</v>
      </c>
      <c r="Q32527" s="5" t="s">
        <v>355</v>
      </c>
    </row>
    <row r="32528" ht="16.5" customHeight="1">
      <c r="O32528" s="5" t="s">
        <v>355</v>
      </c>
      <c r="P32528" s="5" t="s">
        <v>355</v>
      </c>
      <c r="Q32528" s="5" t="s">
        <v>355</v>
      </c>
    </row>
    <row r="32529" ht="16.5" customHeight="1">
      <c r="O32529" s="5" t="s">
        <v>355</v>
      </c>
      <c r="P32529" s="5" t="s">
        <v>355</v>
      </c>
      <c r="Q32529" s="5" t="s">
        <v>355</v>
      </c>
    </row>
    <row r="32530" ht="16.5" customHeight="1">
      <c r="O32530" s="5" t="s">
        <v>355</v>
      </c>
      <c r="P32530" s="5" t="s">
        <v>355</v>
      </c>
      <c r="Q32530" s="5" t="s">
        <v>355</v>
      </c>
    </row>
    <row r="32531" ht="16.5" customHeight="1">
      <c r="O32531" s="5" t="s">
        <v>355</v>
      </c>
      <c r="P32531" s="5" t="s">
        <v>355</v>
      </c>
      <c r="Q32531" s="5" t="s">
        <v>355</v>
      </c>
    </row>
    <row r="32532" ht="16.5" customHeight="1">
      <c r="O32532" s="5" t="s">
        <v>355</v>
      </c>
      <c r="P32532" s="5" t="s">
        <v>355</v>
      </c>
      <c r="Q32532" s="5" t="s">
        <v>355</v>
      </c>
    </row>
    <row r="32533" ht="16.5" customHeight="1">
      <c r="O32533" s="5" t="s">
        <v>355</v>
      </c>
      <c r="P32533" s="5" t="s">
        <v>355</v>
      </c>
      <c r="Q32533" s="5" t="s">
        <v>355</v>
      </c>
    </row>
    <row r="32534" ht="16.5" customHeight="1">
      <c r="O32534" s="5" t="s">
        <v>355</v>
      </c>
      <c r="P32534" s="5" t="s">
        <v>355</v>
      </c>
      <c r="Q32534" s="5" t="s">
        <v>355</v>
      </c>
    </row>
    <row r="32535" ht="16.5" customHeight="1">
      <c r="O32535" s="5" t="s">
        <v>355</v>
      </c>
      <c r="P32535" s="5" t="s">
        <v>355</v>
      </c>
      <c r="Q32535" s="5" t="s">
        <v>355</v>
      </c>
    </row>
    <row r="32536" ht="16.5" customHeight="1">
      <c r="O32536" s="5" t="s">
        <v>355</v>
      </c>
      <c r="P32536" s="5" t="s">
        <v>355</v>
      </c>
      <c r="Q32536" s="5" t="s">
        <v>355</v>
      </c>
    </row>
    <row r="32537" ht="16.5" customHeight="1">
      <c r="O32537" s="5" t="s">
        <v>355</v>
      </c>
      <c r="P32537" s="5" t="s">
        <v>355</v>
      </c>
      <c r="Q32537" s="5" t="s">
        <v>355</v>
      </c>
    </row>
    <row r="32538" ht="16.5" customHeight="1">
      <c r="O32538" s="5" t="s">
        <v>355</v>
      </c>
      <c r="P32538" s="5" t="s">
        <v>355</v>
      </c>
      <c r="Q32538" s="5" t="s">
        <v>355</v>
      </c>
    </row>
    <row r="32539" ht="16.5" customHeight="1">
      <c r="O32539" s="5" t="s">
        <v>355</v>
      </c>
      <c r="P32539" s="5" t="s">
        <v>355</v>
      </c>
      <c r="Q32539" s="5" t="s">
        <v>355</v>
      </c>
    </row>
    <row r="32540" ht="16.5" customHeight="1">
      <c r="O32540" s="5" t="s">
        <v>355</v>
      </c>
      <c r="P32540" s="5" t="s">
        <v>355</v>
      </c>
      <c r="Q32540" s="5" t="s">
        <v>355</v>
      </c>
    </row>
    <row r="32541" ht="16.5" customHeight="1">
      <c r="O32541" s="5" t="s">
        <v>355</v>
      </c>
      <c r="P32541" s="5" t="s">
        <v>355</v>
      </c>
      <c r="Q32541" s="5" t="s">
        <v>355</v>
      </c>
    </row>
    <row r="32542" ht="16.5" customHeight="1">
      <c r="O32542" s="5" t="s">
        <v>355</v>
      </c>
      <c r="P32542" s="5" t="s">
        <v>355</v>
      </c>
      <c r="Q32542" s="5" t="s">
        <v>355</v>
      </c>
    </row>
    <row r="32543" ht="16.5" customHeight="1">
      <c r="O32543" s="5" t="s">
        <v>355</v>
      </c>
      <c r="P32543" s="5" t="s">
        <v>355</v>
      </c>
      <c r="Q32543" s="5" t="s">
        <v>355</v>
      </c>
    </row>
    <row r="32544" ht="16.5" customHeight="1">
      <c r="O32544" s="5" t="s">
        <v>355</v>
      </c>
      <c r="P32544" s="5" t="s">
        <v>355</v>
      </c>
      <c r="Q32544" s="5" t="s">
        <v>355</v>
      </c>
    </row>
    <row r="32545" ht="16.5" customHeight="1">
      <c r="O32545" s="5" t="s">
        <v>355</v>
      </c>
      <c r="P32545" s="5" t="s">
        <v>355</v>
      </c>
      <c r="Q32545" s="5" t="s">
        <v>355</v>
      </c>
    </row>
    <row r="32546" ht="16.5" customHeight="1">
      <c r="O32546" s="5" t="s">
        <v>355</v>
      </c>
      <c r="P32546" s="5" t="s">
        <v>355</v>
      </c>
      <c r="Q32546" s="5" t="s">
        <v>355</v>
      </c>
    </row>
    <row r="32547" ht="16.5" customHeight="1">
      <c r="O32547" s="5" t="s">
        <v>355</v>
      </c>
      <c r="P32547" s="5" t="s">
        <v>355</v>
      </c>
      <c r="Q32547" s="5" t="s">
        <v>355</v>
      </c>
    </row>
    <row r="32548" ht="16.5" customHeight="1">
      <c r="O32548" s="5" t="s">
        <v>355</v>
      </c>
      <c r="P32548" s="5" t="s">
        <v>355</v>
      </c>
      <c r="Q32548" s="5" t="s">
        <v>355</v>
      </c>
    </row>
    <row r="32549" ht="16.5" customHeight="1">
      <c r="O32549" s="5" t="s">
        <v>355</v>
      </c>
      <c r="P32549" s="5" t="s">
        <v>355</v>
      </c>
      <c r="Q32549" s="5" t="s">
        <v>355</v>
      </c>
    </row>
    <row r="32550" ht="16.5" customHeight="1">
      <c r="O32550" s="5" t="s">
        <v>355</v>
      </c>
      <c r="P32550" s="5" t="s">
        <v>355</v>
      </c>
      <c r="Q32550" s="5" t="s">
        <v>355</v>
      </c>
    </row>
    <row r="32551" ht="16.5" customHeight="1">
      <c r="O32551" s="5" t="s">
        <v>355</v>
      </c>
      <c r="P32551" s="5" t="s">
        <v>355</v>
      </c>
      <c r="Q32551" s="5" t="s">
        <v>355</v>
      </c>
    </row>
    <row r="32552" ht="16.5" customHeight="1">
      <c r="O32552" s="5" t="s">
        <v>355</v>
      </c>
      <c r="P32552" s="5" t="s">
        <v>355</v>
      </c>
      <c r="Q32552" s="5" t="s">
        <v>355</v>
      </c>
    </row>
    <row r="32553" ht="16.5" customHeight="1">
      <c r="O32553" s="5" t="s">
        <v>355</v>
      </c>
      <c r="P32553" s="5" t="s">
        <v>355</v>
      </c>
      <c r="Q32553" s="5" t="s">
        <v>355</v>
      </c>
    </row>
    <row r="32554" ht="16.5" customHeight="1">
      <c r="O32554" s="5" t="s">
        <v>355</v>
      </c>
      <c r="P32554" s="5" t="s">
        <v>355</v>
      </c>
      <c r="Q32554" s="5" t="s">
        <v>355</v>
      </c>
    </row>
    <row r="32555" ht="16.5" customHeight="1">
      <c r="O32555" s="5" t="s">
        <v>355</v>
      </c>
      <c r="P32555" s="5" t="s">
        <v>355</v>
      </c>
      <c r="Q32555" s="5" t="s">
        <v>355</v>
      </c>
    </row>
    <row r="32556" ht="16.5" customHeight="1">
      <c r="O32556" s="5" t="s">
        <v>355</v>
      </c>
      <c r="P32556" s="5" t="s">
        <v>355</v>
      </c>
      <c r="Q32556" s="5" t="s">
        <v>355</v>
      </c>
    </row>
    <row r="32557" ht="16.5" customHeight="1">
      <c r="O32557" s="5" t="s">
        <v>355</v>
      </c>
      <c r="P32557" s="5" t="s">
        <v>355</v>
      </c>
      <c r="Q32557" s="5" t="s">
        <v>355</v>
      </c>
    </row>
    <row r="32558" ht="16.5" customHeight="1">
      <c r="O32558" s="5" t="s">
        <v>355</v>
      </c>
      <c r="P32558" s="5" t="s">
        <v>355</v>
      </c>
      <c r="Q32558" s="5" t="s">
        <v>355</v>
      </c>
    </row>
    <row r="32559" ht="16.5" customHeight="1">
      <c r="O32559" s="5" t="s">
        <v>355</v>
      </c>
      <c r="P32559" s="5" t="s">
        <v>355</v>
      </c>
      <c r="Q32559" s="5" t="s">
        <v>355</v>
      </c>
    </row>
    <row r="32560" ht="16.5" customHeight="1">
      <c r="O32560" s="5" t="s">
        <v>355</v>
      </c>
      <c r="P32560" s="5" t="s">
        <v>355</v>
      </c>
      <c r="Q32560" s="5" t="s">
        <v>355</v>
      </c>
    </row>
    <row r="32561" ht="16.5" customHeight="1">
      <c r="O32561" s="5" t="s">
        <v>355</v>
      </c>
      <c r="P32561" s="5" t="s">
        <v>355</v>
      </c>
      <c r="Q32561" s="5" t="s">
        <v>355</v>
      </c>
    </row>
    <row r="32562" ht="16.5" customHeight="1">
      <c r="O32562" s="5" t="s">
        <v>355</v>
      </c>
      <c r="P32562" s="5" t="s">
        <v>355</v>
      </c>
      <c r="Q32562" s="5" t="s">
        <v>355</v>
      </c>
    </row>
    <row r="32563" ht="16.5" customHeight="1">
      <c r="O32563" s="5" t="s">
        <v>355</v>
      </c>
      <c r="P32563" s="5" t="s">
        <v>355</v>
      </c>
      <c r="Q32563" s="5" t="s">
        <v>355</v>
      </c>
    </row>
    <row r="32564" ht="16.5" customHeight="1">
      <c r="O32564" s="5" t="s">
        <v>355</v>
      </c>
      <c r="P32564" s="5" t="s">
        <v>355</v>
      </c>
      <c r="Q32564" s="5" t="s">
        <v>355</v>
      </c>
    </row>
    <row r="32565" ht="16.5" customHeight="1">
      <c r="O32565" s="5" t="s">
        <v>355</v>
      </c>
      <c r="P32565" s="5" t="s">
        <v>355</v>
      </c>
      <c r="Q32565" s="5" t="s">
        <v>355</v>
      </c>
    </row>
    <row r="32566" ht="16.5" customHeight="1">
      <c r="O32566" s="5" t="s">
        <v>355</v>
      </c>
      <c r="P32566" s="5" t="s">
        <v>355</v>
      </c>
      <c r="Q32566" s="5" t="s">
        <v>355</v>
      </c>
    </row>
    <row r="32567" ht="16.5" customHeight="1">
      <c r="O32567" s="5" t="s">
        <v>355</v>
      </c>
      <c r="P32567" s="5" t="s">
        <v>355</v>
      </c>
      <c r="Q32567" s="5" t="s">
        <v>355</v>
      </c>
    </row>
    <row r="32568" ht="16.5" customHeight="1">
      <c r="O32568" s="5" t="s">
        <v>355</v>
      </c>
      <c r="P32568" s="5" t="s">
        <v>355</v>
      </c>
      <c r="Q32568" s="5" t="s">
        <v>355</v>
      </c>
    </row>
    <row r="32569" ht="16.5" customHeight="1">
      <c r="O32569" s="5" t="s">
        <v>355</v>
      </c>
      <c r="P32569" s="5" t="s">
        <v>355</v>
      </c>
      <c r="Q32569" s="5" t="s">
        <v>355</v>
      </c>
    </row>
    <row r="32570" ht="16.5" customHeight="1">
      <c r="O32570" s="5" t="s">
        <v>355</v>
      </c>
      <c r="P32570" s="5" t="s">
        <v>355</v>
      </c>
      <c r="Q32570" s="5" t="s">
        <v>355</v>
      </c>
    </row>
    <row r="32571" ht="16.5" customHeight="1">
      <c r="O32571" s="5" t="s">
        <v>355</v>
      </c>
      <c r="P32571" s="5" t="s">
        <v>355</v>
      </c>
      <c r="Q32571" s="5" t="s">
        <v>355</v>
      </c>
    </row>
    <row r="32572" ht="16.5" customHeight="1">
      <c r="O32572" s="5" t="s">
        <v>355</v>
      </c>
      <c r="P32572" s="5" t="s">
        <v>355</v>
      </c>
      <c r="Q32572" s="5" t="s">
        <v>355</v>
      </c>
    </row>
    <row r="32573" ht="16.5" customHeight="1">
      <c r="O32573" s="5" t="s">
        <v>355</v>
      </c>
      <c r="P32573" s="5" t="s">
        <v>355</v>
      </c>
      <c r="Q32573" s="5" t="s">
        <v>355</v>
      </c>
    </row>
    <row r="32574" ht="16.5" customHeight="1">
      <c r="O32574" s="5" t="s">
        <v>355</v>
      </c>
      <c r="P32574" s="5" t="s">
        <v>355</v>
      </c>
      <c r="Q32574" s="5" t="s">
        <v>355</v>
      </c>
    </row>
    <row r="32575" ht="16.5" customHeight="1">
      <c r="O32575" s="5" t="s">
        <v>355</v>
      </c>
      <c r="P32575" s="5" t="s">
        <v>355</v>
      </c>
      <c r="Q32575" s="5" t="s">
        <v>355</v>
      </c>
    </row>
    <row r="32576" ht="16.5" customHeight="1">
      <c r="O32576" s="5" t="s">
        <v>355</v>
      </c>
      <c r="P32576" s="5" t="s">
        <v>355</v>
      </c>
      <c r="Q32576" s="5" t="s">
        <v>355</v>
      </c>
    </row>
    <row r="32577" ht="16.5" customHeight="1">
      <c r="O32577" s="5" t="s">
        <v>355</v>
      </c>
      <c r="P32577" s="5" t="s">
        <v>355</v>
      </c>
      <c r="Q32577" s="5" t="s">
        <v>355</v>
      </c>
    </row>
    <row r="32578" ht="16.5" customHeight="1">
      <c r="O32578" s="5" t="s">
        <v>355</v>
      </c>
      <c r="P32578" s="5" t="s">
        <v>355</v>
      </c>
      <c r="Q32578" s="5" t="s">
        <v>355</v>
      </c>
    </row>
    <row r="32579" ht="16.5" customHeight="1">
      <c r="O32579" s="5" t="s">
        <v>355</v>
      </c>
      <c r="P32579" s="5" t="s">
        <v>355</v>
      </c>
      <c r="Q32579" s="5" t="s">
        <v>355</v>
      </c>
    </row>
    <row r="32580" ht="16.5" customHeight="1">
      <c r="O32580" s="5" t="s">
        <v>355</v>
      </c>
      <c r="P32580" s="5" t="s">
        <v>355</v>
      </c>
      <c r="Q32580" s="5" t="s">
        <v>355</v>
      </c>
    </row>
    <row r="32581" ht="16.5" customHeight="1">
      <c r="O32581" s="5" t="s">
        <v>355</v>
      </c>
      <c r="P32581" s="5" t="s">
        <v>355</v>
      </c>
      <c r="Q32581" s="5" t="s">
        <v>355</v>
      </c>
    </row>
    <row r="32582" ht="16.5" customHeight="1">
      <c r="O32582" s="5" t="s">
        <v>355</v>
      </c>
      <c r="P32582" s="5" t="s">
        <v>355</v>
      </c>
      <c r="Q32582" s="5" t="s">
        <v>355</v>
      </c>
    </row>
    <row r="32583" ht="16.5" customHeight="1">
      <c r="O32583" s="5" t="s">
        <v>355</v>
      </c>
      <c r="P32583" s="5" t="s">
        <v>355</v>
      </c>
      <c r="Q32583" s="5" t="s">
        <v>355</v>
      </c>
    </row>
    <row r="32584" ht="16.5" customHeight="1">
      <c r="O32584" s="5" t="s">
        <v>355</v>
      </c>
      <c r="P32584" s="5" t="s">
        <v>355</v>
      </c>
      <c r="Q32584" s="5" t="s">
        <v>355</v>
      </c>
    </row>
    <row r="32585" ht="16.5" customHeight="1">
      <c r="O32585" s="5" t="s">
        <v>355</v>
      </c>
      <c r="P32585" s="5" t="s">
        <v>355</v>
      </c>
      <c r="Q32585" s="5" t="s">
        <v>355</v>
      </c>
    </row>
    <row r="32586" ht="16.5" customHeight="1">
      <c r="O32586" s="5" t="s">
        <v>355</v>
      </c>
      <c r="P32586" s="5" t="s">
        <v>355</v>
      </c>
      <c r="Q32586" s="5" t="s">
        <v>355</v>
      </c>
    </row>
    <row r="32587" ht="16.5" customHeight="1">
      <c r="O32587" s="5" t="s">
        <v>355</v>
      </c>
      <c r="P32587" s="5" t="s">
        <v>355</v>
      </c>
      <c r="Q32587" s="5" t="s">
        <v>355</v>
      </c>
    </row>
    <row r="32588" ht="16.5" customHeight="1">
      <c r="O32588" s="5" t="s">
        <v>355</v>
      </c>
      <c r="P32588" s="5" t="s">
        <v>355</v>
      </c>
      <c r="Q32588" s="5" t="s">
        <v>355</v>
      </c>
    </row>
    <row r="32589" ht="16.5" customHeight="1">
      <c r="O32589" s="5" t="s">
        <v>355</v>
      </c>
      <c r="P32589" s="5" t="s">
        <v>355</v>
      </c>
      <c r="Q32589" s="5" t="s">
        <v>355</v>
      </c>
    </row>
    <row r="32590" ht="16.5" customHeight="1">
      <c r="O32590" s="5" t="s">
        <v>355</v>
      </c>
      <c r="P32590" s="5" t="s">
        <v>355</v>
      </c>
      <c r="Q32590" s="5" t="s">
        <v>355</v>
      </c>
    </row>
    <row r="32591" ht="16.5" customHeight="1">
      <c r="O32591" s="5" t="s">
        <v>355</v>
      </c>
      <c r="P32591" s="5" t="s">
        <v>355</v>
      </c>
      <c r="Q32591" s="5" t="s">
        <v>355</v>
      </c>
    </row>
    <row r="32592" ht="16.5" customHeight="1">
      <c r="O32592" s="5" t="s">
        <v>355</v>
      </c>
      <c r="P32592" s="5" t="s">
        <v>355</v>
      </c>
      <c r="Q32592" s="5" t="s">
        <v>355</v>
      </c>
    </row>
    <row r="32593" ht="16.5" customHeight="1">
      <c r="O32593" s="5" t="s">
        <v>355</v>
      </c>
      <c r="P32593" s="5" t="s">
        <v>355</v>
      </c>
      <c r="Q32593" s="5" t="s">
        <v>355</v>
      </c>
    </row>
    <row r="32594" ht="16.5" customHeight="1">
      <c r="O32594" s="5" t="s">
        <v>355</v>
      </c>
      <c r="P32594" s="5" t="s">
        <v>355</v>
      </c>
      <c r="Q32594" s="5" t="s">
        <v>355</v>
      </c>
    </row>
    <row r="32595" ht="16.5" customHeight="1">
      <c r="O32595" s="5" t="s">
        <v>355</v>
      </c>
      <c r="P32595" s="5" t="s">
        <v>355</v>
      </c>
      <c r="Q32595" s="5" t="s">
        <v>355</v>
      </c>
    </row>
    <row r="32596" ht="16.5" customHeight="1">
      <c r="O32596" s="5" t="s">
        <v>355</v>
      </c>
      <c r="P32596" s="5" t="s">
        <v>355</v>
      </c>
      <c r="Q32596" s="5" t="s">
        <v>355</v>
      </c>
    </row>
    <row r="32597" ht="16.5" customHeight="1">
      <c r="O32597" s="5" t="s">
        <v>355</v>
      </c>
      <c r="P32597" s="5" t="s">
        <v>355</v>
      </c>
      <c r="Q32597" s="5" t="s">
        <v>355</v>
      </c>
    </row>
    <row r="32598" ht="16.5" customHeight="1">
      <c r="O32598" s="5" t="s">
        <v>355</v>
      </c>
      <c r="P32598" s="5" t="s">
        <v>355</v>
      </c>
      <c r="Q32598" s="5" t="s">
        <v>355</v>
      </c>
    </row>
    <row r="32599" ht="16.5" customHeight="1">
      <c r="O32599" s="5" t="s">
        <v>355</v>
      </c>
      <c r="P32599" s="5" t="s">
        <v>355</v>
      </c>
      <c r="Q32599" s="5" t="s">
        <v>355</v>
      </c>
    </row>
    <row r="32600" ht="16.5" customHeight="1">
      <c r="O32600" s="5" t="s">
        <v>355</v>
      </c>
      <c r="P32600" s="5" t="s">
        <v>355</v>
      </c>
      <c r="Q32600" s="5" t="s">
        <v>355</v>
      </c>
    </row>
    <row r="32601" ht="16.5" customHeight="1">
      <c r="O32601" s="5" t="s">
        <v>355</v>
      </c>
      <c r="P32601" s="5" t="s">
        <v>355</v>
      </c>
      <c r="Q32601" s="5" t="s">
        <v>355</v>
      </c>
    </row>
    <row r="32602" ht="16.5" customHeight="1">
      <c r="O32602" s="5" t="s">
        <v>355</v>
      </c>
      <c r="P32602" s="5" t="s">
        <v>355</v>
      </c>
      <c r="Q32602" s="5" t="s">
        <v>355</v>
      </c>
    </row>
    <row r="32603" ht="16.5" customHeight="1">
      <c r="O32603" s="5" t="s">
        <v>355</v>
      </c>
      <c r="P32603" s="5" t="s">
        <v>355</v>
      </c>
      <c r="Q32603" s="5" t="s">
        <v>355</v>
      </c>
    </row>
    <row r="32604" ht="16.5" customHeight="1">
      <c r="O32604" s="5" t="s">
        <v>355</v>
      </c>
      <c r="P32604" s="5" t="s">
        <v>355</v>
      </c>
      <c r="Q32604" s="5" t="s">
        <v>355</v>
      </c>
    </row>
    <row r="32605" ht="16.5" customHeight="1">
      <c r="O32605" s="5" t="s">
        <v>355</v>
      </c>
      <c r="P32605" s="5" t="s">
        <v>355</v>
      </c>
      <c r="Q32605" s="5" t="s">
        <v>355</v>
      </c>
    </row>
    <row r="32606" ht="16.5" customHeight="1">
      <c r="O32606" s="5" t="s">
        <v>355</v>
      </c>
      <c r="P32606" s="5" t="s">
        <v>355</v>
      </c>
      <c r="Q32606" s="5" t="s">
        <v>355</v>
      </c>
    </row>
    <row r="32607" ht="16.5" customHeight="1">
      <c r="O32607" s="5" t="s">
        <v>355</v>
      </c>
      <c r="P32607" s="5" t="s">
        <v>355</v>
      </c>
      <c r="Q32607" s="5" t="s">
        <v>355</v>
      </c>
    </row>
    <row r="32608" ht="16.5" customHeight="1">
      <c r="O32608" s="5" t="s">
        <v>355</v>
      </c>
      <c r="P32608" s="5" t="s">
        <v>355</v>
      </c>
      <c r="Q32608" s="5" t="s">
        <v>355</v>
      </c>
    </row>
    <row r="32609" ht="16.5" customHeight="1">
      <c r="O32609" s="5" t="s">
        <v>355</v>
      </c>
      <c r="P32609" s="5" t="s">
        <v>355</v>
      </c>
      <c r="Q32609" s="5" t="s">
        <v>355</v>
      </c>
    </row>
    <row r="32610" ht="16.5" customHeight="1">
      <c r="O32610" s="5" t="s">
        <v>355</v>
      </c>
      <c r="P32610" s="5" t="s">
        <v>355</v>
      </c>
      <c r="Q32610" s="5" t="s">
        <v>355</v>
      </c>
    </row>
    <row r="32611" ht="16.5" customHeight="1">
      <c r="O32611" s="5" t="s">
        <v>355</v>
      </c>
      <c r="P32611" s="5" t="s">
        <v>355</v>
      </c>
      <c r="Q32611" s="5" t="s">
        <v>355</v>
      </c>
    </row>
    <row r="32612" ht="16.5" customHeight="1">
      <c r="O32612" s="5" t="s">
        <v>355</v>
      </c>
      <c r="P32612" s="5" t="s">
        <v>355</v>
      </c>
      <c r="Q32612" s="5" t="s">
        <v>355</v>
      </c>
    </row>
    <row r="32613" ht="16.5" customHeight="1">
      <c r="O32613" s="5" t="s">
        <v>355</v>
      </c>
      <c r="P32613" s="5" t="s">
        <v>355</v>
      </c>
      <c r="Q32613" s="5" t="s">
        <v>355</v>
      </c>
    </row>
    <row r="32614" ht="16.5" customHeight="1">
      <c r="O32614" s="5" t="s">
        <v>355</v>
      </c>
      <c r="P32614" s="5" t="s">
        <v>355</v>
      </c>
      <c r="Q32614" s="5" t="s">
        <v>355</v>
      </c>
    </row>
    <row r="32615" ht="16.5" customHeight="1">
      <c r="O32615" s="5" t="s">
        <v>355</v>
      </c>
      <c r="P32615" s="5" t="s">
        <v>355</v>
      </c>
      <c r="Q32615" s="5" t="s">
        <v>355</v>
      </c>
    </row>
    <row r="32616" ht="16.5" customHeight="1">
      <c r="O32616" s="5" t="s">
        <v>355</v>
      </c>
      <c r="P32616" s="5" t="s">
        <v>355</v>
      </c>
      <c r="Q32616" s="5" t="s">
        <v>355</v>
      </c>
    </row>
    <row r="32617" ht="16.5" customHeight="1">
      <c r="O32617" s="5" t="s">
        <v>355</v>
      </c>
      <c r="P32617" s="5" t="s">
        <v>355</v>
      </c>
      <c r="Q32617" s="5" t="s">
        <v>355</v>
      </c>
    </row>
    <row r="32618" ht="16.5" customHeight="1">
      <c r="O32618" s="5" t="s">
        <v>355</v>
      </c>
      <c r="P32618" s="5" t="s">
        <v>355</v>
      </c>
      <c r="Q32618" s="5" t="s">
        <v>355</v>
      </c>
    </row>
    <row r="32619" ht="16.5" customHeight="1">
      <c r="O32619" s="5" t="s">
        <v>355</v>
      </c>
      <c r="P32619" s="5" t="s">
        <v>355</v>
      </c>
      <c r="Q32619" s="5" t="s">
        <v>355</v>
      </c>
    </row>
    <row r="32620" ht="16.5" customHeight="1">
      <c r="O32620" s="5" t="s">
        <v>355</v>
      </c>
      <c r="P32620" s="5" t="s">
        <v>355</v>
      </c>
      <c r="Q32620" s="5" t="s">
        <v>355</v>
      </c>
    </row>
    <row r="32621" ht="16.5" customHeight="1">
      <c r="O32621" s="5" t="s">
        <v>355</v>
      </c>
      <c r="P32621" s="5" t="s">
        <v>355</v>
      </c>
      <c r="Q32621" s="5" t="s">
        <v>355</v>
      </c>
    </row>
    <row r="32622" ht="16.5" customHeight="1">
      <c r="O32622" s="5" t="s">
        <v>355</v>
      </c>
      <c r="P32622" s="5" t="s">
        <v>355</v>
      </c>
      <c r="Q32622" s="5" t="s">
        <v>355</v>
      </c>
    </row>
    <row r="32623" ht="16.5" customHeight="1">
      <c r="O32623" s="5" t="s">
        <v>355</v>
      </c>
      <c r="P32623" s="5" t="s">
        <v>355</v>
      </c>
      <c r="Q32623" s="5" t="s">
        <v>355</v>
      </c>
    </row>
    <row r="32624" ht="16.5" customHeight="1">
      <c r="O32624" s="5" t="s">
        <v>355</v>
      </c>
      <c r="P32624" s="5" t="s">
        <v>355</v>
      </c>
      <c r="Q32624" s="5" t="s">
        <v>355</v>
      </c>
    </row>
    <row r="32625" ht="16.5" customHeight="1">
      <c r="O32625" s="5" t="s">
        <v>355</v>
      </c>
      <c r="P32625" s="5" t="s">
        <v>355</v>
      </c>
      <c r="Q32625" s="5" t="s">
        <v>355</v>
      </c>
    </row>
    <row r="32626" ht="16.5" customHeight="1">
      <c r="O32626" s="5" t="s">
        <v>355</v>
      </c>
      <c r="P32626" s="5" t="s">
        <v>355</v>
      </c>
      <c r="Q32626" s="5" t="s">
        <v>355</v>
      </c>
    </row>
    <row r="32627" ht="16.5" customHeight="1">
      <c r="O32627" s="5" t="s">
        <v>355</v>
      </c>
      <c r="P32627" s="5" t="s">
        <v>355</v>
      </c>
      <c r="Q32627" s="5" t="s">
        <v>355</v>
      </c>
    </row>
    <row r="32628" ht="16.5" customHeight="1">
      <c r="O32628" s="5" t="s">
        <v>355</v>
      </c>
      <c r="P32628" s="5" t="s">
        <v>355</v>
      </c>
      <c r="Q32628" s="5" t="s">
        <v>355</v>
      </c>
    </row>
    <row r="32629" ht="16.5" customHeight="1">
      <c r="O32629" s="5" t="s">
        <v>355</v>
      </c>
      <c r="P32629" s="5" t="s">
        <v>355</v>
      </c>
      <c r="Q32629" s="5" t="s">
        <v>355</v>
      </c>
    </row>
    <row r="32630" ht="16.5" customHeight="1">
      <c r="O32630" s="5" t="s">
        <v>355</v>
      </c>
      <c r="P32630" s="5" t="s">
        <v>355</v>
      </c>
      <c r="Q32630" s="5" t="s">
        <v>355</v>
      </c>
    </row>
    <row r="32631" ht="16.5" customHeight="1">
      <c r="O32631" s="5" t="s">
        <v>355</v>
      </c>
      <c r="P32631" s="5" t="s">
        <v>355</v>
      </c>
      <c r="Q32631" s="5" t="s">
        <v>355</v>
      </c>
    </row>
    <row r="32632" ht="16.5" customHeight="1">
      <c r="O32632" s="5" t="s">
        <v>355</v>
      </c>
      <c r="P32632" s="5" t="s">
        <v>355</v>
      </c>
      <c r="Q32632" s="5" t="s">
        <v>355</v>
      </c>
    </row>
    <row r="32633" ht="16.5" customHeight="1">
      <c r="O32633" s="5" t="s">
        <v>355</v>
      </c>
      <c r="P32633" s="5" t="s">
        <v>355</v>
      </c>
      <c r="Q32633" s="5" t="s">
        <v>355</v>
      </c>
    </row>
    <row r="32634" ht="16.5" customHeight="1">
      <c r="O32634" s="5" t="s">
        <v>355</v>
      </c>
      <c r="P32634" s="5" t="s">
        <v>355</v>
      </c>
      <c r="Q32634" s="5" t="s">
        <v>355</v>
      </c>
    </row>
    <row r="32635" ht="16.5" customHeight="1">
      <c r="O32635" s="5" t="s">
        <v>355</v>
      </c>
      <c r="P32635" s="5" t="s">
        <v>355</v>
      </c>
      <c r="Q32635" s="5" t="s">
        <v>355</v>
      </c>
    </row>
    <row r="32636" ht="16.5" customHeight="1">
      <c r="O32636" s="5" t="s">
        <v>355</v>
      </c>
      <c r="P32636" s="5" t="s">
        <v>355</v>
      </c>
      <c r="Q32636" s="5" t="s">
        <v>355</v>
      </c>
    </row>
    <row r="32637" ht="16.5" customHeight="1">
      <c r="O32637" s="5" t="s">
        <v>355</v>
      </c>
      <c r="P32637" s="5" t="s">
        <v>355</v>
      </c>
      <c r="Q32637" s="5" t="s">
        <v>355</v>
      </c>
    </row>
    <row r="32638" ht="16.5" customHeight="1">
      <c r="O32638" s="5" t="s">
        <v>355</v>
      </c>
      <c r="P32638" s="5" t="s">
        <v>355</v>
      </c>
      <c r="Q32638" s="5" t="s">
        <v>355</v>
      </c>
    </row>
    <row r="32639" ht="16.5" customHeight="1">
      <c r="O32639" s="5" t="s">
        <v>355</v>
      </c>
      <c r="P32639" s="5" t="s">
        <v>355</v>
      </c>
      <c r="Q32639" s="5" t="s">
        <v>355</v>
      </c>
    </row>
    <row r="32640" ht="16.5" customHeight="1">
      <c r="O32640" s="5" t="s">
        <v>355</v>
      </c>
      <c r="P32640" s="5" t="s">
        <v>355</v>
      </c>
      <c r="Q32640" s="5" t="s">
        <v>355</v>
      </c>
    </row>
    <row r="32641" ht="16.5" customHeight="1">
      <c r="O32641" s="5" t="s">
        <v>355</v>
      </c>
      <c r="P32641" s="5" t="s">
        <v>355</v>
      </c>
      <c r="Q32641" s="5" t="s">
        <v>355</v>
      </c>
    </row>
    <row r="32642" ht="16.5" customHeight="1">
      <c r="O32642" s="5" t="s">
        <v>355</v>
      </c>
      <c r="P32642" s="5" t="s">
        <v>355</v>
      </c>
      <c r="Q32642" s="5" t="s">
        <v>355</v>
      </c>
    </row>
    <row r="32643" ht="16.5" customHeight="1">
      <c r="O32643" s="5" t="s">
        <v>355</v>
      </c>
      <c r="P32643" s="5" t="s">
        <v>355</v>
      </c>
      <c r="Q32643" s="5" t="s">
        <v>355</v>
      </c>
    </row>
    <row r="32644" ht="16.5" customHeight="1">
      <c r="O32644" s="5" t="s">
        <v>355</v>
      </c>
      <c r="P32644" s="5" t="s">
        <v>355</v>
      </c>
      <c r="Q32644" s="5" t="s">
        <v>355</v>
      </c>
    </row>
    <row r="32645" ht="16.5" customHeight="1">
      <c r="O32645" s="5" t="s">
        <v>355</v>
      </c>
      <c r="P32645" s="5" t="s">
        <v>355</v>
      </c>
      <c r="Q32645" s="5" t="s">
        <v>355</v>
      </c>
    </row>
    <row r="32646" ht="16.5" customHeight="1">
      <c r="O32646" s="5" t="s">
        <v>355</v>
      </c>
      <c r="P32646" s="5" t="s">
        <v>355</v>
      </c>
      <c r="Q32646" s="5" t="s">
        <v>355</v>
      </c>
    </row>
    <row r="32647" ht="16.5" customHeight="1">
      <c r="O32647" s="5" t="s">
        <v>355</v>
      </c>
      <c r="P32647" s="5" t="s">
        <v>355</v>
      </c>
      <c r="Q32647" s="5" t="s">
        <v>355</v>
      </c>
    </row>
    <row r="32648" ht="16.5" customHeight="1">
      <c r="O32648" s="5" t="s">
        <v>355</v>
      </c>
      <c r="P32648" s="5" t="s">
        <v>355</v>
      </c>
      <c r="Q32648" s="5" t="s">
        <v>355</v>
      </c>
    </row>
    <row r="32649" ht="16.5" customHeight="1">
      <c r="O32649" s="5" t="s">
        <v>355</v>
      </c>
      <c r="P32649" s="5" t="s">
        <v>355</v>
      </c>
      <c r="Q32649" s="5" t="s">
        <v>355</v>
      </c>
    </row>
    <row r="32650" ht="16.5" customHeight="1">
      <c r="O32650" s="5" t="s">
        <v>355</v>
      </c>
      <c r="P32650" s="5" t="s">
        <v>355</v>
      </c>
      <c r="Q32650" s="5" t="s">
        <v>355</v>
      </c>
    </row>
    <row r="32651" ht="16.5" customHeight="1">
      <c r="O32651" s="5" t="s">
        <v>355</v>
      </c>
      <c r="P32651" s="5" t="s">
        <v>355</v>
      </c>
      <c r="Q32651" s="5" t="s">
        <v>355</v>
      </c>
    </row>
    <row r="32652" ht="16.5" customHeight="1">
      <c r="O32652" s="5" t="s">
        <v>355</v>
      </c>
      <c r="P32652" s="5" t="s">
        <v>355</v>
      </c>
      <c r="Q32652" s="5" t="s">
        <v>355</v>
      </c>
    </row>
    <row r="32653" ht="16.5" customHeight="1">
      <c r="O32653" s="5" t="s">
        <v>355</v>
      </c>
      <c r="P32653" s="5" t="s">
        <v>355</v>
      </c>
      <c r="Q32653" s="5" t="s">
        <v>355</v>
      </c>
    </row>
    <row r="32654" ht="16.5" customHeight="1">
      <c r="O32654" s="5" t="s">
        <v>355</v>
      </c>
      <c r="P32654" s="5" t="s">
        <v>355</v>
      </c>
      <c r="Q32654" s="5" t="s">
        <v>355</v>
      </c>
    </row>
    <row r="32655" ht="16.5" customHeight="1">
      <c r="O32655" s="5" t="s">
        <v>355</v>
      </c>
      <c r="P32655" s="5" t="s">
        <v>355</v>
      </c>
      <c r="Q32655" s="5" t="s">
        <v>355</v>
      </c>
    </row>
    <row r="32656" ht="16.5" customHeight="1">
      <c r="O32656" s="5" t="s">
        <v>355</v>
      </c>
      <c r="P32656" s="5" t="s">
        <v>355</v>
      </c>
      <c r="Q32656" s="5" t="s">
        <v>355</v>
      </c>
    </row>
    <row r="32657" ht="16.5" customHeight="1">
      <c r="O32657" s="5" t="s">
        <v>355</v>
      </c>
      <c r="P32657" s="5" t="s">
        <v>355</v>
      </c>
      <c r="Q32657" s="5" t="s">
        <v>355</v>
      </c>
    </row>
    <row r="32658" ht="16.5" customHeight="1">
      <c r="O32658" s="5" t="s">
        <v>355</v>
      </c>
      <c r="P32658" s="5" t="s">
        <v>355</v>
      </c>
      <c r="Q32658" s="5" t="s">
        <v>355</v>
      </c>
    </row>
    <row r="32659" ht="16.5" customHeight="1">
      <c r="O32659" s="5" t="s">
        <v>355</v>
      </c>
      <c r="P32659" s="5" t="s">
        <v>355</v>
      </c>
      <c r="Q32659" s="5" t="s">
        <v>355</v>
      </c>
    </row>
    <row r="32660" ht="16.5" customHeight="1">
      <c r="O32660" s="5" t="s">
        <v>355</v>
      </c>
      <c r="P32660" s="5" t="s">
        <v>355</v>
      </c>
      <c r="Q32660" s="5" t="s">
        <v>355</v>
      </c>
    </row>
    <row r="32661" ht="16.5" customHeight="1">
      <c r="O32661" s="5" t="s">
        <v>355</v>
      </c>
      <c r="P32661" s="5" t="s">
        <v>355</v>
      </c>
      <c r="Q32661" s="5" t="s">
        <v>355</v>
      </c>
    </row>
    <row r="32662" ht="16.5" customHeight="1">
      <c r="O32662" s="5" t="s">
        <v>355</v>
      </c>
      <c r="P32662" s="5" t="s">
        <v>355</v>
      </c>
      <c r="Q32662" s="5" t="s">
        <v>355</v>
      </c>
    </row>
    <row r="32663" ht="16.5" customHeight="1">
      <c r="O32663" s="5" t="s">
        <v>355</v>
      </c>
      <c r="P32663" s="5" t="s">
        <v>355</v>
      </c>
      <c r="Q32663" s="5" t="s">
        <v>355</v>
      </c>
    </row>
    <row r="32664" ht="16.5" customHeight="1">
      <c r="O32664" s="5" t="s">
        <v>355</v>
      </c>
      <c r="P32664" s="5" t="s">
        <v>355</v>
      </c>
      <c r="Q32664" s="5" t="s">
        <v>355</v>
      </c>
    </row>
    <row r="32665" ht="16.5" customHeight="1">
      <c r="O32665" s="5" t="s">
        <v>355</v>
      </c>
      <c r="P32665" s="5" t="s">
        <v>355</v>
      </c>
      <c r="Q32665" s="5" t="s">
        <v>355</v>
      </c>
    </row>
    <row r="32666" ht="16.5" customHeight="1">
      <c r="O32666" s="5" t="s">
        <v>355</v>
      </c>
      <c r="P32666" s="5" t="s">
        <v>355</v>
      </c>
      <c r="Q32666" s="5" t="s">
        <v>355</v>
      </c>
    </row>
    <row r="32667" ht="16.5" customHeight="1">
      <c r="O32667" s="5" t="s">
        <v>355</v>
      </c>
      <c r="P32667" s="5" t="s">
        <v>355</v>
      </c>
      <c r="Q32667" s="5" t="s">
        <v>355</v>
      </c>
    </row>
    <row r="32668" ht="16.5" customHeight="1">
      <c r="O32668" s="5" t="s">
        <v>355</v>
      </c>
      <c r="P32668" s="5" t="s">
        <v>355</v>
      </c>
      <c r="Q32668" s="5" t="s">
        <v>355</v>
      </c>
    </row>
    <row r="32669" ht="16.5" customHeight="1">
      <c r="O32669" s="5" t="s">
        <v>355</v>
      </c>
      <c r="P32669" s="5" t="s">
        <v>355</v>
      </c>
      <c r="Q32669" s="5" t="s">
        <v>355</v>
      </c>
    </row>
    <row r="32670" ht="16.5" customHeight="1">
      <c r="O32670" s="5" t="s">
        <v>355</v>
      </c>
      <c r="P32670" s="5" t="s">
        <v>355</v>
      </c>
      <c r="Q32670" s="5" t="s">
        <v>355</v>
      </c>
    </row>
    <row r="32671" ht="16.5" customHeight="1">
      <c r="O32671" s="5" t="s">
        <v>355</v>
      </c>
      <c r="P32671" s="5" t="s">
        <v>355</v>
      </c>
      <c r="Q32671" s="5" t="s">
        <v>355</v>
      </c>
    </row>
    <row r="32672" ht="16.5" customHeight="1">
      <c r="O32672" s="5" t="s">
        <v>355</v>
      </c>
      <c r="P32672" s="5" t="s">
        <v>355</v>
      </c>
      <c r="Q32672" s="5" t="s">
        <v>355</v>
      </c>
    </row>
    <row r="32673" ht="16.5" customHeight="1">
      <c r="O32673" s="5" t="s">
        <v>355</v>
      </c>
      <c r="P32673" s="5" t="s">
        <v>355</v>
      </c>
      <c r="Q32673" s="5" t="s">
        <v>355</v>
      </c>
    </row>
    <row r="32674" ht="16.5" customHeight="1">
      <c r="O32674" s="5" t="s">
        <v>355</v>
      </c>
      <c r="P32674" s="5" t="s">
        <v>355</v>
      </c>
      <c r="Q32674" s="5" t="s">
        <v>355</v>
      </c>
    </row>
    <row r="32675" ht="16.5" customHeight="1">
      <c r="O32675" s="5" t="s">
        <v>355</v>
      </c>
      <c r="P32675" s="5" t="s">
        <v>355</v>
      </c>
      <c r="Q32675" s="5" t="s">
        <v>355</v>
      </c>
    </row>
    <row r="32676" ht="16.5" customHeight="1">
      <c r="O32676" s="5" t="s">
        <v>355</v>
      </c>
      <c r="P32676" s="5" t="s">
        <v>355</v>
      </c>
      <c r="Q32676" s="5" t="s">
        <v>355</v>
      </c>
    </row>
    <row r="32677" ht="16.5" customHeight="1">
      <c r="O32677" s="5" t="s">
        <v>355</v>
      </c>
      <c r="P32677" s="5" t="s">
        <v>355</v>
      </c>
      <c r="Q32677" s="5" t="s">
        <v>355</v>
      </c>
    </row>
    <row r="32678" ht="16.5" customHeight="1">
      <c r="O32678" s="5" t="s">
        <v>355</v>
      </c>
      <c r="P32678" s="5" t="s">
        <v>355</v>
      </c>
      <c r="Q32678" s="5" t="s">
        <v>355</v>
      </c>
    </row>
    <row r="32679" ht="16.5" customHeight="1">
      <c r="O32679" s="5" t="s">
        <v>355</v>
      </c>
      <c r="P32679" s="5" t="s">
        <v>355</v>
      </c>
      <c r="Q32679" s="5" t="s">
        <v>355</v>
      </c>
    </row>
    <row r="32680" ht="16.5" customHeight="1">
      <c r="O32680" s="5" t="s">
        <v>355</v>
      </c>
      <c r="P32680" s="5" t="s">
        <v>355</v>
      </c>
      <c r="Q32680" s="5" t="s">
        <v>355</v>
      </c>
    </row>
    <row r="32681" ht="16.5" customHeight="1">
      <c r="O32681" s="5" t="s">
        <v>355</v>
      </c>
      <c r="P32681" s="5" t="s">
        <v>355</v>
      </c>
      <c r="Q32681" s="5" t="s">
        <v>355</v>
      </c>
    </row>
    <row r="32682" ht="16.5" customHeight="1">
      <c r="O32682" s="5" t="s">
        <v>355</v>
      </c>
      <c r="P32682" s="5" t="s">
        <v>355</v>
      </c>
      <c r="Q32682" s="5" t="s">
        <v>355</v>
      </c>
    </row>
    <row r="32683" ht="16.5" customHeight="1">
      <c r="O32683" s="5" t="s">
        <v>355</v>
      </c>
      <c r="P32683" s="5" t="s">
        <v>355</v>
      </c>
      <c r="Q32683" s="5" t="s">
        <v>355</v>
      </c>
    </row>
    <row r="32684" ht="16.5" customHeight="1">
      <c r="O32684" s="5" t="s">
        <v>355</v>
      </c>
      <c r="P32684" s="5" t="s">
        <v>355</v>
      </c>
      <c r="Q32684" s="5" t="s">
        <v>355</v>
      </c>
    </row>
    <row r="32685" ht="16.5" customHeight="1">
      <c r="O32685" s="5" t="s">
        <v>355</v>
      </c>
      <c r="P32685" s="5" t="s">
        <v>355</v>
      </c>
      <c r="Q32685" s="5" t="s">
        <v>355</v>
      </c>
    </row>
    <row r="32686" ht="16.5" customHeight="1">
      <c r="O32686" s="5" t="s">
        <v>355</v>
      </c>
      <c r="P32686" s="5" t="s">
        <v>355</v>
      </c>
      <c r="Q32686" s="5" t="s">
        <v>355</v>
      </c>
    </row>
    <row r="32687" ht="16.5" customHeight="1">
      <c r="O32687" s="5" t="s">
        <v>355</v>
      </c>
      <c r="P32687" s="5" t="s">
        <v>355</v>
      </c>
      <c r="Q32687" s="5" t="s">
        <v>355</v>
      </c>
    </row>
    <row r="32688" ht="16.5" customHeight="1">
      <c r="O32688" s="5" t="s">
        <v>355</v>
      </c>
      <c r="P32688" s="5" t="s">
        <v>355</v>
      </c>
      <c r="Q32688" s="5" t="s">
        <v>355</v>
      </c>
    </row>
    <row r="32689" ht="16.5" customHeight="1">
      <c r="O32689" s="5" t="s">
        <v>355</v>
      </c>
      <c r="P32689" s="5" t="s">
        <v>355</v>
      </c>
      <c r="Q32689" s="5" t="s">
        <v>355</v>
      </c>
    </row>
    <row r="32690" ht="16.5" customHeight="1">
      <c r="O32690" s="5" t="s">
        <v>355</v>
      </c>
      <c r="P32690" s="5" t="s">
        <v>355</v>
      </c>
      <c r="Q32690" s="5" t="s">
        <v>355</v>
      </c>
    </row>
    <row r="32691" ht="16.5" customHeight="1">
      <c r="O32691" s="5" t="s">
        <v>355</v>
      </c>
      <c r="P32691" s="5" t="s">
        <v>355</v>
      </c>
      <c r="Q32691" s="5" t="s">
        <v>355</v>
      </c>
    </row>
    <row r="32692" ht="16.5" customHeight="1">
      <c r="O32692" s="5" t="s">
        <v>355</v>
      </c>
      <c r="P32692" s="5" t="s">
        <v>355</v>
      </c>
      <c r="Q32692" s="5" t="s">
        <v>355</v>
      </c>
    </row>
    <row r="32693" ht="16.5" customHeight="1">
      <c r="O32693" s="5" t="s">
        <v>355</v>
      </c>
      <c r="P32693" s="5" t="s">
        <v>355</v>
      </c>
      <c r="Q32693" s="5" t="s">
        <v>355</v>
      </c>
    </row>
    <row r="32694" ht="16.5" customHeight="1">
      <c r="O32694" s="5" t="s">
        <v>355</v>
      </c>
      <c r="P32694" s="5" t="s">
        <v>355</v>
      </c>
      <c r="Q32694" s="5" t="s">
        <v>355</v>
      </c>
    </row>
    <row r="32695" ht="16.5" customHeight="1">
      <c r="O32695" s="5" t="s">
        <v>355</v>
      </c>
      <c r="P32695" s="5" t="s">
        <v>355</v>
      </c>
      <c r="Q32695" s="5" t="s">
        <v>355</v>
      </c>
    </row>
    <row r="32696" ht="16.5" customHeight="1">
      <c r="O32696" s="5" t="s">
        <v>355</v>
      </c>
      <c r="P32696" s="5" t="s">
        <v>355</v>
      </c>
      <c r="Q32696" s="5" t="s">
        <v>355</v>
      </c>
    </row>
    <row r="32697" ht="16.5" customHeight="1">
      <c r="O32697" s="5" t="s">
        <v>355</v>
      </c>
      <c r="P32697" s="5" t="s">
        <v>355</v>
      </c>
      <c r="Q32697" s="5" t="s">
        <v>355</v>
      </c>
    </row>
    <row r="32698" ht="16.5" customHeight="1">
      <c r="O32698" s="5" t="s">
        <v>355</v>
      </c>
      <c r="P32698" s="5" t="s">
        <v>355</v>
      </c>
      <c r="Q32698" s="5" t="s">
        <v>355</v>
      </c>
    </row>
    <row r="32699" ht="16.5" customHeight="1">
      <c r="O32699" s="5" t="s">
        <v>355</v>
      </c>
      <c r="P32699" s="5" t="s">
        <v>355</v>
      </c>
      <c r="Q32699" s="5" t="s">
        <v>355</v>
      </c>
    </row>
    <row r="32700" ht="16.5" customHeight="1">
      <c r="O32700" s="5" t="s">
        <v>355</v>
      </c>
      <c r="P32700" s="5" t="s">
        <v>355</v>
      </c>
      <c r="Q32700" s="5" t="s">
        <v>355</v>
      </c>
    </row>
    <row r="32701" ht="16.5" customHeight="1">
      <c r="O32701" s="5" t="s">
        <v>355</v>
      </c>
      <c r="P32701" s="5" t="s">
        <v>355</v>
      </c>
      <c r="Q32701" s="5" t="s">
        <v>355</v>
      </c>
    </row>
    <row r="32702" ht="16.5" customHeight="1">
      <c r="O32702" s="5" t="s">
        <v>355</v>
      </c>
      <c r="P32702" s="5" t="s">
        <v>355</v>
      </c>
      <c r="Q32702" s="5" t="s">
        <v>355</v>
      </c>
    </row>
    <row r="32703" ht="16.5" customHeight="1">
      <c r="O32703" s="5" t="s">
        <v>355</v>
      </c>
      <c r="P32703" s="5" t="s">
        <v>355</v>
      </c>
      <c r="Q32703" s="5" t="s">
        <v>355</v>
      </c>
    </row>
    <row r="32704" ht="16.5" customHeight="1">
      <c r="O32704" s="5" t="s">
        <v>355</v>
      </c>
      <c r="P32704" s="5" t="s">
        <v>355</v>
      </c>
      <c r="Q32704" s="5" t="s">
        <v>355</v>
      </c>
    </row>
    <row r="32705" ht="16.5" customHeight="1">
      <c r="O32705" s="5" t="s">
        <v>355</v>
      </c>
      <c r="P32705" s="5" t="s">
        <v>355</v>
      </c>
      <c r="Q32705" s="5" t="s">
        <v>355</v>
      </c>
    </row>
    <row r="32706" ht="16.5" customHeight="1">
      <c r="O32706" s="5" t="s">
        <v>355</v>
      </c>
      <c r="P32706" s="5" t="s">
        <v>355</v>
      </c>
      <c r="Q32706" s="5" t="s">
        <v>355</v>
      </c>
    </row>
    <row r="32707" ht="16.5" customHeight="1">
      <c r="O32707" s="5" t="s">
        <v>355</v>
      </c>
      <c r="P32707" s="5" t="s">
        <v>355</v>
      </c>
      <c r="Q32707" s="5" t="s">
        <v>355</v>
      </c>
    </row>
    <row r="32708" ht="16.5" customHeight="1">
      <c r="O32708" s="5" t="s">
        <v>355</v>
      </c>
      <c r="P32708" s="5" t="s">
        <v>355</v>
      </c>
      <c r="Q32708" s="5" t="s">
        <v>355</v>
      </c>
    </row>
    <row r="32709" ht="16.5" customHeight="1">
      <c r="O32709" s="5" t="s">
        <v>355</v>
      </c>
      <c r="P32709" s="5" t="s">
        <v>355</v>
      </c>
      <c r="Q32709" s="5" t="s">
        <v>355</v>
      </c>
    </row>
    <row r="32710" ht="16.5" customHeight="1">
      <c r="O32710" s="5" t="s">
        <v>355</v>
      </c>
      <c r="P32710" s="5" t="s">
        <v>355</v>
      </c>
      <c r="Q32710" s="5" t="s">
        <v>355</v>
      </c>
    </row>
    <row r="32711" ht="16.5" customHeight="1">
      <c r="O32711" s="5" t="s">
        <v>355</v>
      </c>
      <c r="P32711" s="5" t="s">
        <v>355</v>
      </c>
      <c r="Q32711" s="5" t="s">
        <v>355</v>
      </c>
    </row>
    <row r="32712" ht="16.5" customHeight="1">
      <c r="O32712" s="5" t="s">
        <v>355</v>
      </c>
      <c r="P32712" s="5" t="s">
        <v>355</v>
      </c>
      <c r="Q32712" s="5" t="s">
        <v>355</v>
      </c>
    </row>
    <row r="32713" ht="16.5" customHeight="1">
      <c r="O32713" s="5" t="s">
        <v>355</v>
      </c>
      <c r="P32713" s="5" t="s">
        <v>355</v>
      </c>
      <c r="Q32713" s="5" t="s">
        <v>355</v>
      </c>
    </row>
    <row r="32714" ht="16.5" customHeight="1">
      <c r="O32714" s="5" t="s">
        <v>355</v>
      </c>
      <c r="P32714" s="5" t="s">
        <v>355</v>
      </c>
      <c r="Q32714" s="5" t="s">
        <v>355</v>
      </c>
    </row>
    <row r="32715" ht="16.5" customHeight="1">
      <c r="O32715" s="5" t="s">
        <v>355</v>
      </c>
      <c r="P32715" s="5" t="s">
        <v>355</v>
      </c>
      <c r="Q32715" s="5" t="s">
        <v>355</v>
      </c>
    </row>
    <row r="32716" ht="16.5" customHeight="1">
      <c r="O32716" s="5" t="s">
        <v>355</v>
      </c>
      <c r="P32716" s="5" t="s">
        <v>355</v>
      </c>
      <c r="Q32716" s="5" t="s">
        <v>355</v>
      </c>
    </row>
    <row r="32717" ht="16.5" customHeight="1">
      <c r="O32717" s="5" t="s">
        <v>355</v>
      </c>
      <c r="P32717" s="5" t="s">
        <v>355</v>
      </c>
      <c r="Q32717" s="5" t="s">
        <v>355</v>
      </c>
    </row>
    <row r="32718" ht="16.5" customHeight="1">
      <c r="O32718" s="5" t="s">
        <v>355</v>
      </c>
      <c r="P32718" s="5" t="s">
        <v>355</v>
      </c>
      <c r="Q32718" s="5" t="s">
        <v>355</v>
      </c>
    </row>
    <row r="32719" ht="16.5" customHeight="1">
      <c r="O32719" s="5" t="s">
        <v>355</v>
      </c>
      <c r="P32719" s="5" t="s">
        <v>355</v>
      </c>
      <c r="Q32719" s="5" t="s">
        <v>355</v>
      </c>
    </row>
    <row r="32720" ht="16.5" customHeight="1">
      <c r="O32720" s="5" t="s">
        <v>355</v>
      </c>
      <c r="P32720" s="5" t="s">
        <v>355</v>
      </c>
      <c r="Q32720" s="5" t="s">
        <v>355</v>
      </c>
    </row>
    <row r="32721" ht="16.5" customHeight="1">
      <c r="O32721" s="5" t="s">
        <v>355</v>
      </c>
      <c r="P32721" s="5" t="s">
        <v>355</v>
      </c>
      <c r="Q32721" s="5" t="s">
        <v>355</v>
      </c>
    </row>
    <row r="32722" ht="16.5" customHeight="1">
      <c r="O32722" s="5" t="s">
        <v>355</v>
      </c>
      <c r="P32722" s="5" t="s">
        <v>355</v>
      </c>
      <c r="Q32722" s="5" t="s">
        <v>355</v>
      </c>
    </row>
    <row r="32723" ht="16.5" customHeight="1">
      <c r="O32723" s="5" t="s">
        <v>355</v>
      </c>
      <c r="P32723" s="5" t="s">
        <v>355</v>
      </c>
      <c r="Q32723" s="5" t="s">
        <v>355</v>
      </c>
    </row>
    <row r="32724" ht="16.5" customHeight="1">
      <c r="O32724" s="5" t="s">
        <v>355</v>
      </c>
      <c r="P32724" s="5" t="s">
        <v>355</v>
      </c>
      <c r="Q32724" s="5" t="s">
        <v>355</v>
      </c>
    </row>
    <row r="32725" ht="16.5" customHeight="1">
      <c r="O32725" s="5" t="s">
        <v>355</v>
      </c>
      <c r="P32725" s="5" t="s">
        <v>355</v>
      </c>
      <c r="Q32725" s="5" t="s">
        <v>355</v>
      </c>
    </row>
    <row r="32726" ht="16.5" customHeight="1">
      <c r="O32726" s="5" t="s">
        <v>355</v>
      </c>
      <c r="P32726" s="5" t="s">
        <v>355</v>
      </c>
      <c r="Q32726" s="5" t="s">
        <v>355</v>
      </c>
    </row>
    <row r="32727" ht="16.5" customHeight="1">
      <c r="O32727" s="5" t="s">
        <v>355</v>
      </c>
      <c r="P32727" s="5" t="s">
        <v>355</v>
      </c>
      <c r="Q32727" s="5" t="s">
        <v>355</v>
      </c>
    </row>
    <row r="32728" ht="16.5" customHeight="1">
      <c r="O32728" s="5" t="s">
        <v>355</v>
      </c>
      <c r="P32728" s="5" t="s">
        <v>355</v>
      </c>
      <c r="Q32728" s="5" t="s">
        <v>355</v>
      </c>
    </row>
    <row r="32729" ht="16.5" customHeight="1">
      <c r="O32729" s="5" t="s">
        <v>355</v>
      </c>
      <c r="P32729" s="5" t="s">
        <v>355</v>
      </c>
      <c r="Q32729" s="5" t="s">
        <v>355</v>
      </c>
    </row>
    <row r="32730" ht="16.5" customHeight="1">
      <c r="O32730" s="5" t="s">
        <v>355</v>
      </c>
      <c r="P32730" s="5" t="s">
        <v>355</v>
      </c>
      <c r="Q32730" s="5" t="s">
        <v>355</v>
      </c>
    </row>
    <row r="32731" ht="16.5" customHeight="1">
      <c r="O32731" s="5" t="s">
        <v>355</v>
      </c>
      <c r="P32731" s="5" t="s">
        <v>355</v>
      </c>
      <c r="Q32731" s="5" t="s">
        <v>355</v>
      </c>
    </row>
    <row r="32732" ht="16.5" customHeight="1">
      <c r="O32732" s="5" t="s">
        <v>355</v>
      </c>
      <c r="P32732" s="5" t="s">
        <v>355</v>
      </c>
      <c r="Q32732" s="5" t="s">
        <v>355</v>
      </c>
    </row>
    <row r="32733" ht="16.5" customHeight="1">
      <c r="O32733" s="5" t="s">
        <v>355</v>
      </c>
      <c r="P32733" s="5" t="s">
        <v>355</v>
      </c>
      <c r="Q32733" s="5" t="s">
        <v>355</v>
      </c>
    </row>
    <row r="32734" ht="16.5" customHeight="1">
      <c r="O32734" s="5" t="s">
        <v>355</v>
      </c>
      <c r="P32734" s="5" t="s">
        <v>355</v>
      </c>
      <c r="Q32734" s="5" t="s">
        <v>355</v>
      </c>
    </row>
    <row r="32735" ht="16.5" customHeight="1">
      <c r="O32735" s="5" t="s">
        <v>355</v>
      </c>
      <c r="P32735" s="5" t="s">
        <v>355</v>
      </c>
      <c r="Q32735" s="5" t="s">
        <v>355</v>
      </c>
    </row>
    <row r="32736" ht="16.5" customHeight="1">
      <c r="O32736" s="5" t="s">
        <v>355</v>
      </c>
      <c r="P32736" s="5" t="s">
        <v>355</v>
      </c>
      <c r="Q32736" s="5" t="s">
        <v>355</v>
      </c>
    </row>
    <row r="32737" ht="16.5" customHeight="1">
      <c r="O32737" s="5" t="s">
        <v>355</v>
      </c>
      <c r="P32737" s="5" t="s">
        <v>355</v>
      </c>
      <c r="Q32737" s="5" t="s">
        <v>355</v>
      </c>
    </row>
    <row r="32738" ht="16.5" customHeight="1">
      <c r="O32738" s="5" t="s">
        <v>355</v>
      </c>
      <c r="P32738" s="5" t="s">
        <v>355</v>
      </c>
      <c r="Q32738" s="5" t="s">
        <v>355</v>
      </c>
    </row>
    <row r="32739" ht="16.5" customHeight="1">
      <c r="O32739" s="5" t="s">
        <v>355</v>
      </c>
      <c r="P32739" s="5" t="s">
        <v>355</v>
      </c>
      <c r="Q32739" s="5" t="s">
        <v>355</v>
      </c>
    </row>
    <row r="32740" ht="16.5" customHeight="1">
      <c r="O32740" s="5" t="s">
        <v>355</v>
      </c>
      <c r="P32740" s="5" t="s">
        <v>355</v>
      </c>
      <c r="Q32740" s="5" t="s">
        <v>355</v>
      </c>
    </row>
    <row r="32741" ht="16.5" customHeight="1">
      <c r="O32741" s="5" t="s">
        <v>355</v>
      </c>
      <c r="P32741" s="5" t="s">
        <v>355</v>
      </c>
      <c r="Q32741" s="5" t="s">
        <v>355</v>
      </c>
    </row>
    <row r="32742" ht="16.5" customHeight="1">
      <c r="O32742" s="5" t="s">
        <v>355</v>
      </c>
      <c r="P32742" s="5" t="s">
        <v>355</v>
      </c>
      <c r="Q32742" s="5" t="s">
        <v>355</v>
      </c>
    </row>
    <row r="32743" ht="16.5" customHeight="1">
      <c r="O32743" s="5" t="s">
        <v>355</v>
      </c>
      <c r="P32743" s="5" t="s">
        <v>355</v>
      </c>
      <c r="Q32743" s="5" t="s">
        <v>355</v>
      </c>
    </row>
    <row r="32744" ht="16.5" customHeight="1">
      <c r="O32744" s="5" t="s">
        <v>355</v>
      </c>
      <c r="P32744" s="5" t="s">
        <v>355</v>
      </c>
      <c r="Q32744" s="5" t="s">
        <v>355</v>
      </c>
    </row>
    <row r="32745" ht="16.5" customHeight="1">
      <c r="O32745" s="5" t="s">
        <v>355</v>
      </c>
      <c r="P32745" s="5" t="s">
        <v>355</v>
      </c>
      <c r="Q32745" s="5" t="s">
        <v>355</v>
      </c>
    </row>
    <row r="32746" ht="16.5" customHeight="1">
      <c r="O32746" s="5" t="s">
        <v>355</v>
      </c>
      <c r="P32746" s="5" t="s">
        <v>355</v>
      </c>
      <c r="Q32746" s="5" t="s">
        <v>355</v>
      </c>
    </row>
    <row r="32747" ht="16.5" customHeight="1">
      <c r="O32747" s="5" t="s">
        <v>355</v>
      </c>
      <c r="P32747" s="5" t="s">
        <v>355</v>
      </c>
      <c r="Q32747" s="5" t="s">
        <v>355</v>
      </c>
    </row>
    <row r="32748" ht="16.5" customHeight="1">
      <c r="O32748" s="5" t="s">
        <v>355</v>
      </c>
      <c r="P32748" s="5" t="s">
        <v>355</v>
      </c>
      <c r="Q32748" s="5" t="s">
        <v>355</v>
      </c>
    </row>
    <row r="32749" ht="16.5" customHeight="1">
      <c r="O32749" s="5" t="s">
        <v>355</v>
      </c>
      <c r="P32749" s="5" t="s">
        <v>355</v>
      </c>
      <c r="Q32749" s="5" t="s">
        <v>355</v>
      </c>
    </row>
    <row r="32750" ht="16.5" customHeight="1">
      <c r="O32750" s="5" t="s">
        <v>355</v>
      </c>
      <c r="P32750" s="5" t="s">
        <v>355</v>
      </c>
      <c r="Q32750" s="5" t="s">
        <v>355</v>
      </c>
    </row>
    <row r="32751" ht="16.5" customHeight="1">
      <c r="O32751" s="5" t="s">
        <v>355</v>
      </c>
      <c r="P32751" s="5" t="s">
        <v>355</v>
      </c>
      <c r="Q32751" s="5" t="s">
        <v>355</v>
      </c>
    </row>
    <row r="32752" ht="16.5" customHeight="1">
      <c r="O32752" s="5" t="s">
        <v>355</v>
      </c>
      <c r="P32752" s="5" t="s">
        <v>355</v>
      </c>
      <c r="Q32752" s="5" t="s">
        <v>355</v>
      </c>
    </row>
    <row r="32753" ht="16.5" customHeight="1">
      <c r="O32753" s="5" t="s">
        <v>355</v>
      </c>
      <c r="P32753" s="5" t="s">
        <v>355</v>
      </c>
      <c r="Q32753" s="5" t="s">
        <v>355</v>
      </c>
    </row>
    <row r="32754" ht="16.5" customHeight="1">
      <c r="O32754" s="5" t="s">
        <v>355</v>
      </c>
      <c r="P32754" s="5" t="s">
        <v>355</v>
      </c>
      <c r="Q32754" s="5" t="s">
        <v>355</v>
      </c>
    </row>
    <row r="32755" ht="16.5" customHeight="1">
      <c r="O32755" s="5" t="s">
        <v>355</v>
      </c>
      <c r="P32755" s="5" t="s">
        <v>355</v>
      </c>
      <c r="Q32755" s="5" t="s">
        <v>355</v>
      </c>
    </row>
    <row r="32756" ht="16.5" customHeight="1">
      <c r="O32756" s="5" t="s">
        <v>355</v>
      </c>
      <c r="P32756" s="5" t="s">
        <v>355</v>
      </c>
      <c r="Q32756" s="5" t="s">
        <v>355</v>
      </c>
    </row>
    <row r="32757" ht="16.5" customHeight="1">
      <c r="O32757" s="5" t="s">
        <v>355</v>
      </c>
      <c r="P32757" s="5" t="s">
        <v>355</v>
      </c>
      <c r="Q32757" s="5" t="s">
        <v>355</v>
      </c>
    </row>
    <row r="32758" ht="16.5" customHeight="1">
      <c r="O32758" s="5" t="s">
        <v>355</v>
      </c>
      <c r="P32758" s="5" t="s">
        <v>355</v>
      </c>
      <c r="Q32758" s="5" t="s">
        <v>355</v>
      </c>
    </row>
    <row r="32759" ht="16.5" customHeight="1">
      <c r="O32759" s="5" t="s">
        <v>355</v>
      </c>
      <c r="P32759" s="5" t="s">
        <v>355</v>
      </c>
      <c r="Q32759" s="5" t="s">
        <v>355</v>
      </c>
    </row>
    <row r="32760" ht="16.5" customHeight="1">
      <c r="O32760" s="5" t="s">
        <v>355</v>
      </c>
      <c r="P32760" s="5" t="s">
        <v>355</v>
      </c>
      <c r="Q32760" s="5" t="s">
        <v>355</v>
      </c>
    </row>
    <row r="32761" ht="16.5" customHeight="1">
      <c r="O32761" s="5" t="s">
        <v>355</v>
      </c>
      <c r="P32761" s="5" t="s">
        <v>355</v>
      </c>
      <c r="Q32761" s="5" t="s">
        <v>355</v>
      </c>
    </row>
    <row r="32762" ht="16.5" customHeight="1">
      <c r="O32762" s="5" t="s">
        <v>355</v>
      </c>
      <c r="P32762" s="5" t="s">
        <v>355</v>
      </c>
      <c r="Q32762" s="5" t="s">
        <v>355</v>
      </c>
    </row>
    <row r="32763" ht="16.5" customHeight="1">
      <c r="O32763" s="5" t="s">
        <v>355</v>
      </c>
      <c r="P32763" s="5" t="s">
        <v>355</v>
      </c>
      <c r="Q32763" s="5" t="s">
        <v>355</v>
      </c>
    </row>
    <row r="32764" ht="16.5" customHeight="1">
      <c r="O32764" s="5" t="s">
        <v>355</v>
      </c>
      <c r="P32764" s="5" t="s">
        <v>355</v>
      </c>
      <c r="Q32764" s="5" t="s">
        <v>355</v>
      </c>
    </row>
    <row r="32765" ht="16.5" customHeight="1">
      <c r="O32765" s="5" t="s">
        <v>355</v>
      </c>
      <c r="P32765" s="5" t="s">
        <v>355</v>
      </c>
      <c r="Q32765" s="5" t="s">
        <v>355</v>
      </c>
    </row>
    <row r="32766" ht="16.5" customHeight="1">
      <c r="O32766" s="5" t="s">
        <v>355</v>
      </c>
      <c r="P32766" s="5" t="s">
        <v>355</v>
      </c>
      <c r="Q32766" s="5" t="s">
        <v>355</v>
      </c>
    </row>
    <row r="32767" ht="16.5" customHeight="1">
      <c r="O32767" s="5" t="s">
        <v>355</v>
      </c>
      <c r="P32767" s="5" t="s">
        <v>355</v>
      </c>
      <c r="Q32767" s="5" t="s">
        <v>355</v>
      </c>
    </row>
    <row r="32768" ht="16.5" customHeight="1">
      <c r="O32768" s="5" t="s">
        <v>355</v>
      </c>
      <c r="P32768" s="5" t="s">
        <v>355</v>
      </c>
      <c r="Q32768" s="5" t="s">
        <v>355</v>
      </c>
    </row>
    <row r="32769" ht="16.5" customHeight="1">
      <c r="O32769" s="5" t="s">
        <v>355</v>
      </c>
      <c r="P32769" s="5" t="s">
        <v>355</v>
      </c>
      <c r="Q32769" s="5" t="s">
        <v>355</v>
      </c>
    </row>
    <row r="32770" ht="16.5" customHeight="1">
      <c r="O32770" s="5" t="s">
        <v>355</v>
      </c>
      <c r="P32770" s="5" t="s">
        <v>355</v>
      </c>
      <c r="Q32770" s="5" t="s">
        <v>355</v>
      </c>
    </row>
    <row r="32771" ht="16.5" customHeight="1">
      <c r="O32771" s="5" t="s">
        <v>355</v>
      </c>
      <c r="P32771" s="5" t="s">
        <v>355</v>
      </c>
      <c r="Q32771" s="5" t="s">
        <v>355</v>
      </c>
    </row>
    <row r="32772" ht="16.5" customHeight="1">
      <c r="O32772" s="5" t="s">
        <v>355</v>
      </c>
      <c r="P32772" s="5" t="s">
        <v>355</v>
      </c>
      <c r="Q32772" s="5" t="s">
        <v>355</v>
      </c>
    </row>
    <row r="32773" ht="16.5" customHeight="1">
      <c r="O32773" s="5" t="s">
        <v>355</v>
      </c>
      <c r="P32773" s="5" t="s">
        <v>355</v>
      </c>
      <c r="Q32773" s="5" t="s">
        <v>355</v>
      </c>
    </row>
    <row r="32774" ht="16.5" customHeight="1">
      <c r="O32774" s="5" t="s">
        <v>355</v>
      </c>
      <c r="P32774" s="5" t="s">
        <v>355</v>
      </c>
      <c r="Q32774" s="5" t="s">
        <v>355</v>
      </c>
    </row>
    <row r="32775" ht="16.5" customHeight="1">
      <c r="O32775" s="5" t="s">
        <v>355</v>
      </c>
      <c r="P32775" s="5" t="s">
        <v>355</v>
      </c>
      <c r="Q32775" s="5" t="s">
        <v>355</v>
      </c>
    </row>
    <row r="32776" ht="16.5" customHeight="1">
      <c r="O32776" s="5" t="s">
        <v>355</v>
      </c>
      <c r="P32776" s="5" t="s">
        <v>355</v>
      </c>
      <c r="Q32776" s="5" t="s">
        <v>355</v>
      </c>
    </row>
    <row r="32777" ht="16.5" customHeight="1">
      <c r="O32777" s="5" t="s">
        <v>355</v>
      </c>
      <c r="P32777" s="5" t="s">
        <v>355</v>
      </c>
      <c r="Q32777" s="5" t="s">
        <v>355</v>
      </c>
    </row>
    <row r="32778" ht="16.5" customHeight="1">
      <c r="O32778" s="5" t="s">
        <v>355</v>
      </c>
      <c r="P32778" s="5" t="s">
        <v>355</v>
      </c>
      <c r="Q32778" s="5" t="s">
        <v>355</v>
      </c>
    </row>
    <row r="32779" ht="16.5" customHeight="1">
      <c r="O32779" s="5" t="s">
        <v>355</v>
      </c>
      <c r="P32779" s="5" t="s">
        <v>355</v>
      </c>
      <c r="Q32779" s="5" t="s">
        <v>355</v>
      </c>
    </row>
    <row r="32780" ht="16.5" customHeight="1">
      <c r="O32780" s="5" t="s">
        <v>355</v>
      </c>
      <c r="P32780" s="5" t="s">
        <v>355</v>
      </c>
      <c r="Q32780" s="5" t="s">
        <v>355</v>
      </c>
    </row>
    <row r="32781" ht="16.5" customHeight="1">
      <c r="O32781" s="5" t="s">
        <v>355</v>
      </c>
      <c r="P32781" s="5" t="s">
        <v>355</v>
      </c>
      <c r="Q32781" s="5" t="s">
        <v>355</v>
      </c>
    </row>
    <row r="32782" ht="16.5" customHeight="1">
      <c r="O32782" s="5" t="s">
        <v>355</v>
      </c>
      <c r="P32782" s="5" t="s">
        <v>355</v>
      </c>
      <c r="Q32782" s="5" t="s">
        <v>355</v>
      </c>
    </row>
    <row r="32783" ht="16.5" customHeight="1">
      <c r="O32783" s="5" t="s">
        <v>355</v>
      </c>
      <c r="P32783" s="5" t="s">
        <v>355</v>
      </c>
      <c r="Q32783" s="5" t="s">
        <v>355</v>
      </c>
    </row>
    <row r="32784" ht="16.5" customHeight="1">
      <c r="O32784" s="5" t="s">
        <v>355</v>
      </c>
      <c r="P32784" s="5" t="s">
        <v>355</v>
      </c>
      <c r="Q32784" s="5" t="s">
        <v>355</v>
      </c>
    </row>
    <row r="32785" ht="16.5" customHeight="1">
      <c r="O32785" s="5" t="s">
        <v>355</v>
      </c>
      <c r="P32785" s="5" t="s">
        <v>355</v>
      </c>
      <c r="Q32785" s="5" t="s">
        <v>355</v>
      </c>
    </row>
    <row r="32786" ht="16.5" customHeight="1">
      <c r="O32786" s="5" t="s">
        <v>355</v>
      </c>
      <c r="P32786" s="5" t="s">
        <v>355</v>
      </c>
      <c r="Q32786" s="5" t="s">
        <v>355</v>
      </c>
    </row>
    <row r="32787" ht="16.5" customHeight="1">
      <c r="O32787" s="5" t="s">
        <v>355</v>
      </c>
      <c r="P32787" s="5" t="s">
        <v>355</v>
      </c>
      <c r="Q32787" s="5" t="s">
        <v>355</v>
      </c>
    </row>
    <row r="32788" ht="16.5" customHeight="1">
      <c r="O32788" s="5" t="s">
        <v>355</v>
      </c>
      <c r="P32788" s="5" t="s">
        <v>355</v>
      </c>
      <c r="Q32788" s="5" t="s">
        <v>355</v>
      </c>
    </row>
    <row r="32789" ht="16.5" customHeight="1">
      <c r="O32789" s="5" t="s">
        <v>355</v>
      </c>
      <c r="P32789" s="5" t="s">
        <v>355</v>
      </c>
      <c r="Q32789" s="5" t="s">
        <v>355</v>
      </c>
    </row>
    <row r="32790" ht="16.5" customHeight="1">
      <c r="O32790" s="5" t="s">
        <v>355</v>
      </c>
      <c r="P32790" s="5" t="s">
        <v>355</v>
      </c>
      <c r="Q32790" s="5" t="s">
        <v>355</v>
      </c>
    </row>
    <row r="32791" ht="16.5" customHeight="1">
      <c r="O32791" s="5" t="s">
        <v>355</v>
      </c>
      <c r="P32791" s="5" t="s">
        <v>355</v>
      </c>
      <c r="Q32791" s="5" t="s">
        <v>355</v>
      </c>
    </row>
    <row r="32792" ht="16.5" customHeight="1">
      <c r="O32792" s="5" t="s">
        <v>355</v>
      </c>
      <c r="P32792" s="5" t="s">
        <v>355</v>
      </c>
      <c r="Q32792" s="5" t="s">
        <v>355</v>
      </c>
    </row>
    <row r="32793" ht="16.5" customHeight="1">
      <c r="O32793" s="5" t="s">
        <v>355</v>
      </c>
      <c r="P32793" s="5" t="s">
        <v>355</v>
      </c>
      <c r="Q32793" s="5" t="s">
        <v>355</v>
      </c>
    </row>
    <row r="32794" ht="16.5" customHeight="1">
      <c r="O32794" s="5" t="s">
        <v>355</v>
      </c>
      <c r="P32794" s="5" t="s">
        <v>355</v>
      </c>
      <c r="Q32794" s="5" t="s">
        <v>355</v>
      </c>
    </row>
    <row r="32795" ht="16.5" customHeight="1">
      <c r="O32795" s="5" t="s">
        <v>355</v>
      </c>
      <c r="P32795" s="5" t="s">
        <v>355</v>
      </c>
      <c r="Q32795" s="5" t="s">
        <v>355</v>
      </c>
    </row>
    <row r="32796" ht="16.5" customHeight="1">
      <c r="O32796" s="5" t="s">
        <v>355</v>
      </c>
      <c r="P32796" s="5" t="s">
        <v>355</v>
      </c>
      <c r="Q32796" s="5" t="s">
        <v>355</v>
      </c>
    </row>
    <row r="32797" ht="16.5" customHeight="1">
      <c r="O32797" s="5" t="s">
        <v>355</v>
      </c>
      <c r="P32797" s="5" t="s">
        <v>355</v>
      </c>
      <c r="Q32797" s="5" t="s">
        <v>355</v>
      </c>
    </row>
    <row r="32798" ht="16.5" customHeight="1">
      <c r="O32798" s="5" t="s">
        <v>355</v>
      </c>
      <c r="P32798" s="5" t="s">
        <v>355</v>
      </c>
      <c r="Q32798" s="5" t="s">
        <v>355</v>
      </c>
    </row>
    <row r="32799" ht="16.5" customHeight="1">
      <c r="O32799" s="5" t="s">
        <v>355</v>
      </c>
      <c r="P32799" s="5" t="s">
        <v>355</v>
      </c>
      <c r="Q32799" s="5" t="s">
        <v>355</v>
      </c>
    </row>
    <row r="32800" ht="16.5" customHeight="1">
      <c r="O32800" s="5" t="s">
        <v>355</v>
      </c>
      <c r="P32800" s="5" t="s">
        <v>355</v>
      </c>
      <c r="Q32800" s="5" t="s">
        <v>355</v>
      </c>
    </row>
    <row r="32801" ht="16.5" customHeight="1">
      <c r="O32801" s="5" t="s">
        <v>355</v>
      </c>
      <c r="P32801" s="5" t="s">
        <v>355</v>
      </c>
      <c r="Q32801" s="5" t="s">
        <v>355</v>
      </c>
    </row>
    <row r="32802" ht="16.5" customHeight="1">
      <c r="O32802" s="5" t="s">
        <v>355</v>
      </c>
      <c r="P32802" s="5" t="s">
        <v>355</v>
      </c>
      <c r="Q32802" s="5" t="s">
        <v>355</v>
      </c>
    </row>
    <row r="32803" ht="16.5" customHeight="1">
      <c r="O32803" s="5" t="s">
        <v>355</v>
      </c>
      <c r="P32803" s="5" t="s">
        <v>355</v>
      </c>
      <c r="Q32803" s="5" t="s">
        <v>355</v>
      </c>
    </row>
    <row r="32804" ht="16.5" customHeight="1">
      <c r="O32804" s="5" t="s">
        <v>355</v>
      </c>
      <c r="P32804" s="5" t="s">
        <v>355</v>
      </c>
      <c r="Q32804" s="5" t="s">
        <v>355</v>
      </c>
    </row>
    <row r="32805" ht="16.5" customHeight="1">
      <c r="O32805" s="5" t="s">
        <v>355</v>
      </c>
      <c r="P32805" s="5" t="s">
        <v>355</v>
      </c>
      <c r="Q32805" s="5" t="s">
        <v>355</v>
      </c>
    </row>
    <row r="32806" ht="16.5" customHeight="1">
      <c r="O32806" s="5" t="s">
        <v>355</v>
      </c>
      <c r="P32806" s="5" t="s">
        <v>355</v>
      </c>
      <c r="Q32806" s="5" t="s">
        <v>355</v>
      </c>
    </row>
    <row r="32807" ht="16.5" customHeight="1">
      <c r="O32807" s="5" t="s">
        <v>355</v>
      </c>
      <c r="P32807" s="5" t="s">
        <v>355</v>
      </c>
      <c r="Q32807" s="5" t="s">
        <v>355</v>
      </c>
    </row>
    <row r="32808" ht="16.5" customHeight="1">
      <c r="O32808" s="5" t="s">
        <v>355</v>
      </c>
      <c r="P32808" s="5" t="s">
        <v>355</v>
      </c>
      <c r="Q32808" s="5" t="s">
        <v>355</v>
      </c>
    </row>
    <row r="32809" ht="16.5" customHeight="1">
      <c r="O32809" s="5" t="s">
        <v>355</v>
      </c>
      <c r="P32809" s="5" t="s">
        <v>355</v>
      </c>
      <c r="Q32809" s="5" t="s">
        <v>355</v>
      </c>
    </row>
    <row r="32810" ht="16.5" customHeight="1">
      <c r="O32810" s="5" t="s">
        <v>355</v>
      </c>
      <c r="P32810" s="5" t="s">
        <v>355</v>
      </c>
      <c r="Q32810" s="5" t="s">
        <v>355</v>
      </c>
    </row>
    <row r="32811" ht="16.5" customHeight="1">
      <c r="O32811" s="5" t="s">
        <v>355</v>
      </c>
      <c r="P32811" s="5" t="s">
        <v>355</v>
      </c>
      <c r="Q32811" s="5" t="s">
        <v>355</v>
      </c>
    </row>
    <row r="32812" ht="16.5" customHeight="1">
      <c r="O32812" s="5" t="s">
        <v>355</v>
      </c>
      <c r="P32812" s="5" t="s">
        <v>355</v>
      </c>
      <c r="Q32812" s="5" t="s">
        <v>355</v>
      </c>
    </row>
    <row r="32813" ht="16.5" customHeight="1">
      <c r="O32813" s="5" t="s">
        <v>355</v>
      </c>
      <c r="P32813" s="5" t="s">
        <v>355</v>
      </c>
      <c r="Q32813" s="5" t="s">
        <v>355</v>
      </c>
    </row>
    <row r="32814" ht="16.5" customHeight="1">
      <c r="O32814" s="5" t="s">
        <v>355</v>
      </c>
      <c r="P32814" s="5" t="s">
        <v>355</v>
      </c>
      <c r="Q32814" s="5" t="s">
        <v>355</v>
      </c>
    </row>
    <row r="32815" ht="16.5" customHeight="1">
      <c r="O32815" s="5" t="s">
        <v>355</v>
      </c>
      <c r="P32815" s="5" t="s">
        <v>355</v>
      </c>
      <c r="Q32815" s="5" t="s">
        <v>355</v>
      </c>
    </row>
    <row r="32816" ht="16.5" customHeight="1">
      <c r="O32816" s="5" t="s">
        <v>355</v>
      </c>
      <c r="P32816" s="5" t="s">
        <v>355</v>
      </c>
      <c r="Q32816" s="5" t="s">
        <v>355</v>
      </c>
    </row>
    <row r="32817" ht="16.5" customHeight="1">
      <c r="O32817" s="5" t="s">
        <v>355</v>
      </c>
      <c r="P32817" s="5" t="s">
        <v>355</v>
      </c>
      <c r="Q32817" s="5" t="s">
        <v>355</v>
      </c>
    </row>
    <row r="32818" ht="16.5" customHeight="1">
      <c r="O32818" s="5" t="s">
        <v>355</v>
      </c>
      <c r="P32818" s="5" t="s">
        <v>355</v>
      </c>
      <c r="Q32818" s="5" t="s">
        <v>355</v>
      </c>
    </row>
    <row r="32819" ht="16.5" customHeight="1">
      <c r="O32819" s="5" t="s">
        <v>355</v>
      </c>
      <c r="P32819" s="5" t="s">
        <v>355</v>
      </c>
      <c r="Q32819" s="5" t="s">
        <v>355</v>
      </c>
    </row>
    <row r="32820" ht="16.5" customHeight="1">
      <c r="O32820" s="5" t="s">
        <v>355</v>
      </c>
      <c r="P32820" s="5" t="s">
        <v>355</v>
      </c>
      <c r="Q32820" s="5" t="s">
        <v>355</v>
      </c>
    </row>
    <row r="32821" ht="16.5" customHeight="1">
      <c r="O32821" s="5" t="s">
        <v>355</v>
      </c>
      <c r="P32821" s="5" t="s">
        <v>355</v>
      </c>
      <c r="Q32821" s="5" t="s">
        <v>355</v>
      </c>
    </row>
    <row r="32822" ht="16.5" customHeight="1">
      <c r="O32822" s="5" t="s">
        <v>355</v>
      </c>
      <c r="P32822" s="5" t="s">
        <v>355</v>
      </c>
      <c r="Q32822" s="5" t="s">
        <v>355</v>
      </c>
    </row>
    <row r="32823" ht="16.5" customHeight="1">
      <c r="O32823" s="5" t="s">
        <v>355</v>
      </c>
      <c r="P32823" s="5" t="s">
        <v>355</v>
      </c>
      <c r="Q32823" s="5" t="s">
        <v>355</v>
      </c>
    </row>
    <row r="32824" ht="16.5" customHeight="1">
      <c r="O32824" s="5" t="s">
        <v>355</v>
      </c>
      <c r="P32824" s="5" t="s">
        <v>355</v>
      </c>
      <c r="Q32824" s="5" t="s">
        <v>355</v>
      </c>
    </row>
    <row r="32825" ht="16.5" customHeight="1">
      <c r="O32825" s="5" t="s">
        <v>355</v>
      </c>
      <c r="P32825" s="5" t="s">
        <v>355</v>
      </c>
      <c r="Q32825" s="5" t="s">
        <v>355</v>
      </c>
    </row>
    <row r="32826" ht="16.5" customHeight="1">
      <c r="O32826" s="5" t="s">
        <v>355</v>
      </c>
      <c r="P32826" s="5" t="s">
        <v>355</v>
      </c>
      <c r="Q32826" s="5" t="s">
        <v>355</v>
      </c>
    </row>
    <row r="32827" ht="16.5" customHeight="1">
      <c r="O32827" s="5" t="s">
        <v>355</v>
      </c>
      <c r="P32827" s="5" t="s">
        <v>355</v>
      </c>
      <c r="Q32827" s="5" t="s">
        <v>355</v>
      </c>
    </row>
    <row r="32828" ht="16.5" customHeight="1">
      <c r="O32828" s="5" t="s">
        <v>355</v>
      </c>
      <c r="P32828" s="5" t="s">
        <v>355</v>
      </c>
      <c r="Q32828" s="5" t="s">
        <v>355</v>
      </c>
    </row>
    <row r="32829" ht="16.5" customHeight="1">
      <c r="O32829" s="5" t="s">
        <v>355</v>
      </c>
      <c r="P32829" s="5" t="s">
        <v>355</v>
      </c>
      <c r="Q32829" s="5" t="s">
        <v>355</v>
      </c>
    </row>
    <row r="32830" ht="16.5" customHeight="1">
      <c r="O32830" s="5" t="s">
        <v>355</v>
      </c>
      <c r="P32830" s="5" t="s">
        <v>355</v>
      </c>
      <c r="Q32830" s="5" t="s">
        <v>355</v>
      </c>
    </row>
    <row r="32831" ht="16.5" customHeight="1">
      <c r="O32831" s="5" t="s">
        <v>355</v>
      </c>
      <c r="P32831" s="5" t="s">
        <v>355</v>
      </c>
      <c r="Q32831" s="5" t="s">
        <v>355</v>
      </c>
    </row>
    <row r="32832" ht="16.5" customHeight="1">
      <c r="O32832" s="5" t="s">
        <v>355</v>
      </c>
      <c r="P32832" s="5" t="s">
        <v>355</v>
      </c>
      <c r="Q32832" s="5" t="s">
        <v>355</v>
      </c>
    </row>
    <row r="32833" ht="16.5" customHeight="1">
      <c r="O32833" s="5" t="s">
        <v>355</v>
      </c>
      <c r="P32833" s="5" t="s">
        <v>355</v>
      </c>
      <c r="Q32833" s="5" t="s">
        <v>355</v>
      </c>
    </row>
    <row r="32834" ht="16.5" customHeight="1">
      <c r="O32834" s="5" t="s">
        <v>355</v>
      </c>
      <c r="P32834" s="5" t="s">
        <v>355</v>
      </c>
      <c r="Q32834" s="5" t="s">
        <v>355</v>
      </c>
    </row>
    <row r="32835" ht="16.5" customHeight="1">
      <c r="O32835" s="5" t="s">
        <v>355</v>
      </c>
      <c r="P32835" s="5" t="s">
        <v>355</v>
      </c>
      <c r="Q32835" s="5" t="s">
        <v>355</v>
      </c>
    </row>
    <row r="32836" ht="16.5" customHeight="1">
      <c r="O32836" s="5" t="s">
        <v>355</v>
      </c>
      <c r="P32836" s="5" t="s">
        <v>355</v>
      </c>
      <c r="Q32836" s="5" t="s">
        <v>355</v>
      </c>
    </row>
    <row r="32837" ht="16.5" customHeight="1">
      <c r="O32837" s="5" t="s">
        <v>355</v>
      </c>
      <c r="P32837" s="5" t="s">
        <v>355</v>
      </c>
      <c r="Q32837" s="5" t="s">
        <v>355</v>
      </c>
    </row>
    <row r="32838" ht="16.5" customHeight="1">
      <c r="O32838" s="5" t="s">
        <v>355</v>
      </c>
      <c r="P32838" s="5" t="s">
        <v>355</v>
      </c>
      <c r="Q32838" s="5" t="s">
        <v>355</v>
      </c>
    </row>
    <row r="32839" ht="16.5" customHeight="1">
      <c r="O32839" s="5" t="s">
        <v>355</v>
      </c>
      <c r="P32839" s="5" t="s">
        <v>355</v>
      </c>
      <c r="Q32839" s="5" t="s">
        <v>355</v>
      </c>
    </row>
    <row r="32840" ht="16.5" customHeight="1">
      <c r="O32840" s="5" t="s">
        <v>355</v>
      </c>
      <c r="P32840" s="5" t="s">
        <v>355</v>
      </c>
      <c r="Q32840" s="5" t="s">
        <v>355</v>
      </c>
    </row>
    <row r="32841" ht="16.5" customHeight="1">
      <c r="O32841" s="5" t="s">
        <v>355</v>
      </c>
      <c r="P32841" s="5" t="s">
        <v>355</v>
      </c>
      <c r="Q32841" s="5" t="s">
        <v>355</v>
      </c>
    </row>
    <row r="32842" ht="16.5" customHeight="1">
      <c r="O32842" s="5" t="s">
        <v>355</v>
      </c>
      <c r="P32842" s="5" t="s">
        <v>355</v>
      </c>
      <c r="Q32842" s="5" t="s">
        <v>355</v>
      </c>
    </row>
    <row r="32843" ht="16.5" customHeight="1">
      <c r="O32843" s="5" t="s">
        <v>355</v>
      </c>
      <c r="P32843" s="5" t="s">
        <v>355</v>
      </c>
      <c r="Q32843" s="5" t="s">
        <v>355</v>
      </c>
    </row>
    <row r="32844" ht="16.5" customHeight="1">
      <c r="O32844" s="5" t="s">
        <v>355</v>
      </c>
      <c r="P32844" s="5" t="s">
        <v>355</v>
      </c>
      <c r="Q32844" s="5" t="s">
        <v>355</v>
      </c>
    </row>
    <row r="32845" ht="16.5" customHeight="1">
      <c r="O32845" s="5" t="s">
        <v>355</v>
      </c>
      <c r="P32845" s="5" t="s">
        <v>355</v>
      </c>
      <c r="Q32845" s="5" t="s">
        <v>355</v>
      </c>
    </row>
    <row r="32846" ht="16.5" customHeight="1">
      <c r="O32846" s="5" t="s">
        <v>355</v>
      </c>
      <c r="P32846" s="5" t="s">
        <v>355</v>
      </c>
      <c r="Q32846" s="5" t="s">
        <v>355</v>
      </c>
    </row>
    <row r="32847" ht="16.5" customHeight="1">
      <c r="O32847" s="5" t="s">
        <v>355</v>
      </c>
      <c r="P32847" s="5" t="s">
        <v>355</v>
      </c>
      <c r="Q32847" s="5" t="s">
        <v>355</v>
      </c>
    </row>
    <row r="32848" ht="16.5" customHeight="1">
      <c r="O32848" s="5" t="s">
        <v>355</v>
      </c>
      <c r="P32848" s="5" t="s">
        <v>355</v>
      </c>
      <c r="Q32848" s="5" t="s">
        <v>355</v>
      </c>
    </row>
    <row r="32849" ht="16.5" customHeight="1">
      <c r="O32849" s="5" t="s">
        <v>355</v>
      </c>
      <c r="P32849" s="5" t="s">
        <v>355</v>
      </c>
      <c r="Q32849" s="5" t="s">
        <v>355</v>
      </c>
    </row>
    <row r="32850" ht="16.5" customHeight="1">
      <c r="O32850" s="5" t="s">
        <v>355</v>
      </c>
      <c r="P32850" s="5" t="s">
        <v>355</v>
      </c>
      <c r="Q32850" s="5" t="s">
        <v>355</v>
      </c>
    </row>
    <row r="32851" ht="16.5" customHeight="1">
      <c r="O32851" s="5" t="s">
        <v>355</v>
      </c>
      <c r="P32851" s="5" t="s">
        <v>355</v>
      </c>
      <c r="Q32851" s="5" t="s">
        <v>355</v>
      </c>
    </row>
    <row r="32852" ht="16.5" customHeight="1">
      <c r="O32852" s="5" t="s">
        <v>355</v>
      </c>
      <c r="P32852" s="5" t="s">
        <v>355</v>
      </c>
      <c r="Q32852" s="5" t="s">
        <v>355</v>
      </c>
    </row>
    <row r="32853" ht="16.5" customHeight="1">
      <c r="O32853" s="5" t="s">
        <v>355</v>
      </c>
      <c r="P32853" s="5" t="s">
        <v>355</v>
      </c>
      <c r="Q32853" s="5" t="s">
        <v>355</v>
      </c>
    </row>
    <row r="32854" ht="16.5" customHeight="1">
      <c r="O32854" s="5" t="s">
        <v>355</v>
      </c>
      <c r="P32854" s="5" t="s">
        <v>355</v>
      </c>
      <c r="Q32854" s="5" t="s">
        <v>355</v>
      </c>
    </row>
    <row r="32855" ht="16.5" customHeight="1">
      <c r="O32855" s="5" t="s">
        <v>355</v>
      </c>
      <c r="P32855" s="5" t="s">
        <v>355</v>
      </c>
      <c r="Q32855" s="5" t="s">
        <v>355</v>
      </c>
    </row>
    <row r="32856" ht="16.5" customHeight="1">
      <c r="O32856" s="5" t="s">
        <v>355</v>
      </c>
      <c r="P32856" s="5" t="s">
        <v>355</v>
      </c>
      <c r="Q32856" s="5" t="s">
        <v>355</v>
      </c>
    </row>
    <row r="32857" ht="16.5" customHeight="1">
      <c r="O32857" s="5" t="s">
        <v>355</v>
      </c>
      <c r="P32857" s="5" t="s">
        <v>355</v>
      </c>
      <c r="Q32857" s="5" t="s">
        <v>355</v>
      </c>
    </row>
    <row r="32858" ht="16.5" customHeight="1">
      <c r="O32858" s="5" t="s">
        <v>355</v>
      </c>
      <c r="P32858" s="5" t="s">
        <v>355</v>
      </c>
      <c r="Q32858" s="5" t="s">
        <v>355</v>
      </c>
    </row>
    <row r="32859" ht="16.5" customHeight="1">
      <c r="O32859" s="5" t="s">
        <v>355</v>
      </c>
      <c r="P32859" s="5" t="s">
        <v>355</v>
      </c>
      <c r="Q32859" s="5" t="s">
        <v>355</v>
      </c>
    </row>
    <row r="32860" ht="16.5" customHeight="1">
      <c r="O32860" s="5" t="s">
        <v>355</v>
      </c>
      <c r="P32860" s="5" t="s">
        <v>355</v>
      </c>
      <c r="Q32860" s="5" t="s">
        <v>355</v>
      </c>
    </row>
    <row r="32861" ht="16.5" customHeight="1">
      <c r="O32861" s="5" t="s">
        <v>355</v>
      </c>
      <c r="P32861" s="5" t="s">
        <v>355</v>
      </c>
      <c r="Q32861" s="5" t="s">
        <v>355</v>
      </c>
    </row>
    <row r="32862" ht="16.5" customHeight="1">
      <c r="O32862" s="5" t="s">
        <v>355</v>
      </c>
      <c r="P32862" s="5" t="s">
        <v>355</v>
      </c>
      <c r="Q32862" s="5" t="s">
        <v>355</v>
      </c>
    </row>
    <row r="32863" ht="16.5" customHeight="1">
      <c r="O32863" s="5" t="s">
        <v>355</v>
      </c>
      <c r="P32863" s="5" t="s">
        <v>355</v>
      </c>
      <c r="Q32863" s="5" t="s">
        <v>355</v>
      </c>
    </row>
    <row r="32864" ht="16.5" customHeight="1">
      <c r="O32864" s="5" t="s">
        <v>355</v>
      </c>
      <c r="P32864" s="5" t="s">
        <v>355</v>
      </c>
      <c r="Q32864" s="5" t="s">
        <v>355</v>
      </c>
    </row>
    <row r="32865" ht="16.5" customHeight="1">
      <c r="O32865" s="5" t="s">
        <v>355</v>
      </c>
      <c r="P32865" s="5" t="s">
        <v>355</v>
      </c>
      <c r="Q32865" s="5" t="s">
        <v>355</v>
      </c>
    </row>
    <row r="32866" ht="16.5" customHeight="1">
      <c r="O32866" s="5" t="s">
        <v>355</v>
      </c>
      <c r="P32866" s="5" t="s">
        <v>355</v>
      </c>
      <c r="Q32866" s="5" t="s">
        <v>355</v>
      </c>
    </row>
    <row r="32867" ht="16.5" customHeight="1">
      <c r="O32867" s="5" t="s">
        <v>355</v>
      </c>
      <c r="P32867" s="5" t="s">
        <v>355</v>
      </c>
      <c r="Q32867" s="5" t="s">
        <v>355</v>
      </c>
    </row>
    <row r="32868" ht="16.5" customHeight="1">
      <c r="O32868" s="5" t="s">
        <v>355</v>
      </c>
      <c r="P32868" s="5" t="s">
        <v>355</v>
      </c>
      <c r="Q32868" s="5" t="s">
        <v>355</v>
      </c>
    </row>
    <row r="32869" ht="16.5" customHeight="1">
      <c r="O32869" s="5" t="s">
        <v>355</v>
      </c>
      <c r="P32869" s="5" t="s">
        <v>355</v>
      </c>
      <c r="Q32869" s="5" t="s">
        <v>355</v>
      </c>
    </row>
    <row r="32870" ht="16.5" customHeight="1">
      <c r="O32870" s="5" t="s">
        <v>355</v>
      </c>
      <c r="P32870" s="5" t="s">
        <v>355</v>
      </c>
      <c r="Q32870" s="5" t="s">
        <v>355</v>
      </c>
    </row>
    <row r="32871" ht="16.5" customHeight="1">
      <c r="O32871" s="5" t="s">
        <v>355</v>
      </c>
      <c r="P32871" s="5" t="s">
        <v>355</v>
      </c>
      <c r="Q32871" s="5" t="s">
        <v>355</v>
      </c>
    </row>
    <row r="32872" ht="16.5" customHeight="1">
      <c r="O32872" s="5" t="s">
        <v>355</v>
      </c>
      <c r="P32872" s="5" t="s">
        <v>355</v>
      </c>
      <c r="Q32872" s="5" t="s">
        <v>355</v>
      </c>
    </row>
    <row r="32873" ht="16.5" customHeight="1">
      <c r="O32873" s="5" t="s">
        <v>355</v>
      </c>
      <c r="P32873" s="5" t="s">
        <v>355</v>
      </c>
      <c r="Q32873" s="5" t="s">
        <v>355</v>
      </c>
    </row>
    <row r="32874" ht="16.5" customHeight="1">
      <c r="O32874" s="5" t="s">
        <v>355</v>
      </c>
      <c r="P32874" s="5" t="s">
        <v>355</v>
      </c>
      <c r="Q32874" s="5" t="s">
        <v>355</v>
      </c>
    </row>
    <row r="32875" ht="16.5" customHeight="1">
      <c r="O32875" s="5" t="s">
        <v>355</v>
      </c>
      <c r="P32875" s="5" t="s">
        <v>355</v>
      </c>
      <c r="Q32875" s="5" t="s">
        <v>355</v>
      </c>
    </row>
    <row r="32876" ht="16.5" customHeight="1">
      <c r="O32876" s="5" t="s">
        <v>355</v>
      </c>
      <c r="P32876" s="5" t="s">
        <v>355</v>
      </c>
      <c r="Q32876" s="5" t="s">
        <v>355</v>
      </c>
    </row>
    <row r="32877" ht="16.5" customHeight="1">
      <c r="O32877" s="5" t="s">
        <v>355</v>
      </c>
      <c r="P32877" s="5" t="s">
        <v>355</v>
      </c>
      <c r="Q32877" s="5" t="s">
        <v>355</v>
      </c>
    </row>
    <row r="32878" ht="16.5" customHeight="1">
      <c r="O32878" s="5" t="s">
        <v>355</v>
      </c>
      <c r="P32878" s="5" t="s">
        <v>355</v>
      </c>
      <c r="Q32878" s="5" t="s">
        <v>355</v>
      </c>
    </row>
    <row r="32879" ht="16.5" customHeight="1">
      <c r="O32879" s="5" t="s">
        <v>355</v>
      </c>
      <c r="P32879" s="5" t="s">
        <v>355</v>
      </c>
      <c r="Q32879" s="5" t="s">
        <v>355</v>
      </c>
    </row>
    <row r="32880" ht="16.5" customHeight="1">
      <c r="O32880" s="5" t="s">
        <v>355</v>
      </c>
      <c r="P32880" s="5" t="s">
        <v>355</v>
      </c>
      <c r="Q32880" s="5" t="s">
        <v>355</v>
      </c>
    </row>
    <row r="32881" ht="16.5" customHeight="1">
      <c r="O32881" s="5" t="s">
        <v>355</v>
      </c>
      <c r="P32881" s="5" t="s">
        <v>355</v>
      </c>
      <c r="Q32881" s="5" t="s">
        <v>355</v>
      </c>
    </row>
    <row r="32882" ht="16.5" customHeight="1">
      <c r="O32882" s="5" t="s">
        <v>355</v>
      </c>
      <c r="P32882" s="5" t="s">
        <v>355</v>
      </c>
      <c r="Q32882" s="5" t="s">
        <v>355</v>
      </c>
    </row>
    <row r="32883" ht="16.5" customHeight="1">
      <c r="O32883" s="5" t="s">
        <v>355</v>
      </c>
      <c r="P32883" s="5" t="s">
        <v>355</v>
      </c>
      <c r="Q32883" s="5" t="s">
        <v>355</v>
      </c>
    </row>
    <row r="32884" ht="16.5" customHeight="1">
      <c r="O32884" s="5" t="s">
        <v>355</v>
      </c>
      <c r="P32884" s="5" t="s">
        <v>355</v>
      </c>
      <c r="Q32884" s="5" t="s">
        <v>355</v>
      </c>
    </row>
    <row r="32885" ht="16.5" customHeight="1">
      <c r="O32885" s="5" t="s">
        <v>355</v>
      </c>
      <c r="P32885" s="5" t="s">
        <v>355</v>
      </c>
      <c r="Q32885" s="5" t="s">
        <v>355</v>
      </c>
    </row>
    <row r="32886" ht="16.5" customHeight="1">
      <c r="O32886" s="5" t="s">
        <v>355</v>
      </c>
      <c r="P32886" s="5" t="s">
        <v>355</v>
      </c>
      <c r="Q32886" s="5" t="s">
        <v>355</v>
      </c>
    </row>
    <row r="32887" ht="16.5" customHeight="1">
      <c r="O32887" s="5" t="s">
        <v>355</v>
      </c>
      <c r="P32887" s="5" t="s">
        <v>355</v>
      </c>
      <c r="Q32887" s="5" t="s">
        <v>355</v>
      </c>
    </row>
    <row r="32888" ht="16.5" customHeight="1">
      <c r="O32888" s="5" t="s">
        <v>355</v>
      </c>
      <c r="P32888" s="5" t="s">
        <v>355</v>
      </c>
      <c r="Q32888" s="5" t="s">
        <v>355</v>
      </c>
    </row>
    <row r="32889" ht="16.5" customHeight="1">
      <c r="O32889" s="5" t="s">
        <v>355</v>
      </c>
      <c r="P32889" s="5" t="s">
        <v>355</v>
      </c>
      <c r="Q32889" s="5" t="s">
        <v>355</v>
      </c>
    </row>
    <row r="32890" ht="16.5" customHeight="1">
      <c r="O32890" s="5" t="s">
        <v>355</v>
      </c>
      <c r="P32890" s="5" t="s">
        <v>355</v>
      </c>
      <c r="Q32890" s="5" t="s">
        <v>355</v>
      </c>
    </row>
    <row r="32891" ht="16.5" customHeight="1">
      <c r="O32891" s="5" t="s">
        <v>355</v>
      </c>
      <c r="P32891" s="5" t="s">
        <v>355</v>
      </c>
      <c r="Q32891" s="5" t="s">
        <v>355</v>
      </c>
    </row>
    <row r="32892" ht="16.5" customHeight="1">
      <c r="O32892" s="5" t="s">
        <v>355</v>
      </c>
      <c r="P32892" s="5" t="s">
        <v>355</v>
      </c>
      <c r="Q32892" s="5" t="s">
        <v>355</v>
      </c>
    </row>
    <row r="32893" ht="16.5" customHeight="1">
      <c r="O32893" s="5" t="s">
        <v>355</v>
      </c>
      <c r="P32893" s="5" t="s">
        <v>355</v>
      </c>
      <c r="Q32893" s="5" t="s">
        <v>355</v>
      </c>
    </row>
    <row r="32894" ht="16.5" customHeight="1">
      <c r="O32894" s="5" t="s">
        <v>355</v>
      </c>
      <c r="P32894" s="5" t="s">
        <v>355</v>
      </c>
      <c r="Q32894" s="5" t="s">
        <v>355</v>
      </c>
    </row>
    <row r="32895" ht="16.5" customHeight="1">
      <c r="O32895" s="5" t="s">
        <v>355</v>
      </c>
      <c r="P32895" s="5" t="s">
        <v>355</v>
      </c>
      <c r="Q32895" s="5" t="s">
        <v>355</v>
      </c>
    </row>
    <row r="32896" ht="16.5" customHeight="1">
      <c r="O32896" s="5" t="s">
        <v>355</v>
      </c>
      <c r="P32896" s="5" t="s">
        <v>355</v>
      </c>
      <c r="Q32896" s="5" t="s">
        <v>355</v>
      </c>
    </row>
    <row r="32897" ht="16.5" customHeight="1">
      <c r="O32897" s="5" t="s">
        <v>355</v>
      </c>
      <c r="P32897" s="5" t="s">
        <v>355</v>
      </c>
      <c r="Q32897" s="5" t="s">
        <v>355</v>
      </c>
    </row>
    <row r="32898" ht="16.5" customHeight="1">
      <c r="O32898" s="5" t="s">
        <v>355</v>
      </c>
      <c r="P32898" s="5" t="s">
        <v>355</v>
      </c>
      <c r="Q32898" s="5" t="s">
        <v>355</v>
      </c>
    </row>
    <row r="32899" ht="16.5" customHeight="1">
      <c r="O32899" s="5" t="s">
        <v>355</v>
      </c>
      <c r="P32899" s="5" t="s">
        <v>355</v>
      </c>
      <c r="Q32899" s="5" t="s">
        <v>355</v>
      </c>
    </row>
    <row r="32900" ht="16.5" customHeight="1">
      <c r="O32900" s="5" t="s">
        <v>355</v>
      </c>
      <c r="P32900" s="5" t="s">
        <v>355</v>
      </c>
      <c r="Q32900" s="5" t="s">
        <v>355</v>
      </c>
    </row>
    <row r="32901" ht="16.5" customHeight="1">
      <c r="O32901" s="5" t="s">
        <v>355</v>
      </c>
      <c r="P32901" s="5" t="s">
        <v>355</v>
      </c>
      <c r="Q32901" s="5" t="s">
        <v>355</v>
      </c>
    </row>
    <row r="32902" ht="16.5" customHeight="1">
      <c r="O32902" s="5" t="s">
        <v>355</v>
      </c>
      <c r="P32902" s="5" t="s">
        <v>355</v>
      </c>
      <c r="Q32902" s="5" t="s">
        <v>355</v>
      </c>
    </row>
    <row r="32903" ht="16.5" customHeight="1">
      <c r="O32903" s="5" t="s">
        <v>355</v>
      </c>
      <c r="P32903" s="5" t="s">
        <v>355</v>
      </c>
      <c r="Q32903" s="5" t="s">
        <v>355</v>
      </c>
    </row>
    <row r="32904" ht="16.5" customHeight="1">
      <c r="O32904" s="5" t="s">
        <v>355</v>
      </c>
      <c r="P32904" s="5" t="s">
        <v>355</v>
      </c>
      <c r="Q32904" s="5" t="s">
        <v>355</v>
      </c>
    </row>
    <row r="32905" ht="16.5" customHeight="1">
      <c r="O32905" s="5" t="s">
        <v>355</v>
      </c>
      <c r="P32905" s="5" t="s">
        <v>355</v>
      </c>
      <c r="Q32905" s="5" t="s">
        <v>355</v>
      </c>
    </row>
    <row r="32906" ht="16.5" customHeight="1">
      <c r="O32906" s="5" t="s">
        <v>355</v>
      </c>
      <c r="P32906" s="5" t="s">
        <v>355</v>
      </c>
      <c r="Q32906" s="5" t="s">
        <v>355</v>
      </c>
    </row>
    <row r="32907" ht="16.5" customHeight="1">
      <c r="O32907" s="5" t="s">
        <v>355</v>
      </c>
      <c r="P32907" s="5" t="s">
        <v>355</v>
      </c>
      <c r="Q32907" s="5" t="s">
        <v>355</v>
      </c>
    </row>
    <row r="32908" ht="16.5" customHeight="1">
      <c r="O32908" s="5" t="s">
        <v>355</v>
      </c>
      <c r="P32908" s="5" t="s">
        <v>355</v>
      </c>
      <c r="Q32908" s="5" t="s">
        <v>355</v>
      </c>
    </row>
    <row r="32909" ht="16.5" customHeight="1">
      <c r="O32909" s="5" t="s">
        <v>355</v>
      </c>
      <c r="P32909" s="5" t="s">
        <v>355</v>
      </c>
      <c r="Q32909" s="5" t="s">
        <v>355</v>
      </c>
    </row>
    <row r="32910" ht="16.5" customHeight="1">
      <c r="O32910" s="5" t="s">
        <v>355</v>
      </c>
      <c r="P32910" s="5" t="s">
        <v>355</v>
      </c>
      <c r="Q32910" s="5" t="s">
        <v>355</v>
      </c>
    </row>
    <row r="32911" ht="16.5" customHeight="1">
      <c r="O32911" s="5" t="s">
        <v>355</v>
      </c>
      <c r="P32911" s="5" t="s">
        <v>355</v>
      </c>
      <c r="Q32911" s="5" t="s">
        <v>355</v>
      </c>
    </row>
    <row r="32912" ht="16.5" customHeight="1">
      <c r="O32912" s="5" t="s">
        <v>355</v>
      </c>
      <c r="P32912" s="5" t="s">
        <v>355</v>
      </c>
      <c r="Q32912" s="5" t="s">
        <v>355</v>
      </c>
    </row>
    <row r="32913" ht="16.5" customHeight="1">
      <c r="O32913" s="5" t="s">
        <v>355</v>
      </c>
      <c r="P32913" s="5" t="s">
        <v>355</v>
      </c>
      <c r="Q32913" s="5" t="s">
        <v>355</v>
      </c>
    </row>
    <row r="32914" ht="16.5" customHeight="1">
      <c r="O32914" s="5" t="s">
        <v>355</v>
      </c>
      <c r="P32914" s="5" t="s">
        <v>355</v>
      </c>
      <c r="Q32914" s="5" t="s">
        <v>355</v>
      </c>
    </row>
    <row r="32915" ht="16.5" customHeight="1">
      <c r="O32915" s="5" t="s">
        <v>355</v>
      </c>
      <c r="P32915" s="5" t="s">
        <v>355</v>
      </c>
      <c r="Q32915" s="5" t="s">
        <v>355</v>
      </c>
    </row>
    <row r="32916" ht="16.5" customHeight="1">
      <c r="O32916" s="5" t="s">
        <v>355</v>
      </c>
      <c r="P32916" s="5" t="s">
        <v>355</v>
      </c>
      <c r="Q32916" s="5" t="s">
        <v>355</v>
      </c>
    </row>
    <row r="32917" ht="16.5" customHeight="1">
      <c r="O32917" s="5" t="s">
        <v>355</v>
      </c>
      <c r="P32917" s="5" t="s">
        <v>355</v>
      </c>
      <c r="Q32917" s="5" t="s">
        <v>355</v>
      </c>
    </row>
    <row r="32918" ht="16.5" customHeight="1">
      <c r="O32918" s="5" t="s">
        <v>355</v>
      </c>
      <c r="P32918" s="5" t="s">
        <v>355</v>
      </c>
      <c r="Q32918" s="5" t="s">
        <v>355</v>
      </c>
    </row>
    <row r="32919" ht="16.5" customHeight="1">
      <c r="O32919" s="5" t="s">
        <v>355</v>
      </c>
      <c r="P32919" s="5" t="s">
        <v>355</v>
      </c>
      <c r="Q32919" s="5" t="s">
        <v>355</v>
      </c>
    </row>
    <row r="32920" ht="16.5" customHeight="1">
      <c r="O32920" s="5" t="s">
        <v>355</v>
      </c>
      <c r="P32920" s="5" t="s">
        <v>355</v>
      </c>
      <c r="Q32920" s="5" t="s">
        <v>355</v>
      </c>
    </row>
    <row r="32921" ht="16.5" customHeight="1">
      <c r="O32921" s="5" t="s">
        <v>355</v>
      </c>
      <c r="P32921" s="5" t="s">
        <v>355</v>
      </c>
      <c r="Q32921" s="5" t="s">
        <v>355</v>
      </c>
    </row>
    <row r="32922" ht="16.5" customHeight="1">
      <c r="O32922" s="5" t="s">
        <v>355</v>
      </c>
      <c r="P32922" s="5" t="s">
        <v>355</v>
      </c>
      <c r="Q32922" s="5" t="s">
        <v>355</v>
      </c>
    </row>
    <row r="32923" ht="16.5" customHeight="1">
      <c r="O32923" s="5" t="s">
        <v>355</v>
      </c>
      <c r="P32923" s="5" t="s">
        <v>355</v>
      </c>
      <c r="Q32923" s="5" t="s">
        <v>355</v>
      </c>
    </row>
    <row r="32924" ht="16.5" customHeight="1">
      <c r="O32924" s="5" t="s">
        <v>355</v>
      </c>
      <c r="P32924" s="5" t="s">
        <v>355</v>
      </c>
      <c r="Q32924" s="5" t="s">
        <v>355</v>
      </c>
    </row>
    <row r="32925" ht="16.5" customHeight="1">
      <c r="O32925" s="5" t="s">
        <v>355</v>
      </c>
      <c r="P32925" s="5" t="s">
        <v>355</v>
      </c>
      <c r="Q32925" s="5" t="s">
        <v>355</v>
      </c>
    </row>
    <row r="32926" ht="16.5" customHeight="1">
      <c r="O32926" s="5" t="s">
        <v>355</v>
      </c>
      <c r="P32926" s="5" t="s">
        <v>355</v>
      </c>
      <c r="Q32926" s="5" t="s">
        <v>355</v>
      </c>
    </row>
    <row r="32927" ht="16.5" customHeight="1">
      <c r="O32927" s="5" t="s">
        <v>355</v>
      </c>
      <c r="P32927" s="5" t="s">
        <v>355</v>
      </c>
      <c r="Q32927" s="5" t="s">
        <v>355</v>
      </c>
    </row>
    <row r="32928" ht="16.5" customHeight="1">
      <c r="O32928" s="5" t="s">
        <v>355</v>
      </c>
      <c r="P32928" s="5" t="s">
        <v>355</v>
      </c>
      <c r="Q32928" s="5" t="s">
        <v>355</v>
      </c>
    </row>
    <row r="32929" ht="16.5" customHeight="1">
      <c r="O32929" s="5" t="s">
        <v>355</v>
      </c>
      <c r="P32929" s="5" t="s">
        <v>355</v>
      </c>
      <c r="Q32929" s="5" t="s">
        <v>355</v>
      </c>
    </row>
    <row r="32930" ht="16.5" customHeight="1">
      <c r="O32930" s="5" t="s">
        <v>355</v>
      </c>
      <c r="P32930" s="5" t="s">
        <v>355</v>
      </c>
      <c r="Q32930" s="5" t="s">
        <v>355</v>
      </c>
    </row>
    <row r="32931" ht="16.5" customHeight="1">
      <c r="O32931" s="5" t="s">
        <v>355</v>
      </c>
      <c r="P32931" s="5" t="s">
        <v>355</v>
      </c>
      <c r="Q32931" s="5" t="s">
        <v>355</v>
      </c>
    </row>
    <row r="32932" ht="16.5" customHeight="1">
      <c r="O32932" s="5" t="s">
        <v>355</v>
      </c>
      <c r="P32932" s="5" t="s">
        <v>355</v>
      </c>
      <c r="Q32932" s="5" t="s">
        <v>355</v>
      </c>
    </row>
    <row r="32933" ht="16.5" customHeight="1">
      <c r="O32933" s="5" t="s">
        <v>355</v>
      </c>
      <c r="P32933" s="5" t="s">
        <v>355</v>
      </c>
      <c r="Q32933" s="5" t="s">
        <v>355</v>
      </c>
    </row>
    <row r="32934" ht="16.5" customHeight="1">
      <c r="O32934" s="5" t="s">
        <v>355</v>
      </c>
      <c r="P32934" s="5" t="s">
        <v>355</v>
      </c>
      <c r="Q32934" s="5" t="s">
        <v>355</v>
      </c>
    </row>
    <row r="32935" ht="16.5" customHeight="1">
      <c r="O32935" s="5" t="s">
        <v>355</v>
      </c>
      <c r="P32935" s="5" t="s">
        <v>355</v>
      </c>
      <c r="Q32935" s="5" t="s">
        <v>355</v>
      </c>
    </row>
    <row r="32936" ht="16.5" customHeight="1">
      <c r="O32936" s="5" t="s">
        <v>355</v>
      </c>
      <c r="P32936" s="5" t="s">
        <v>355</v>
      </c>
      <c r="Q32936" s="5" t="s">
        <v>355</v>
      </c>
    </row>
    <row r="32937" ht="16.5" customHeight="1">
      <c r="O32937" s="5" t="s">
        <v>355</v>
      </c>
      <c r="P32937" s="5" t="s">
        <v>355</v>
      </c>
      <c r="Q32937" s="5" t="s">
        <v>355</v>
      </c>
    </row>
    <row r="32938" ht="16.5" customHeight="1">
      <c r="O32938" s="5" t="s">
        <v>355</v>
      </c>
      <c r="P32938" s="5" t="s">
        <v>355</v>
      </c>
      <c r="Q32938" s="5" t="s">
        <v>355</v>
      </c>
    </row>
    <row r="32939" ht="16.5" customHeight="1">
      <c r="O32939" s="5" t="s">
        <v>355</v>
      </c>
      <c r="P32939" s="5" t="s">
        <v>355</v>
      </c>
      <c r="Q32939" s="5" t="s">
        <v>355</v>
      </c>
    </row>
    <row r="32940" ht="16.5" customHeight="1">
      <c r="O32940" s="5" t="s">
        <v>355</v>
      </c>
      <c r="P32940" s="5" t="s">
        <v>355</v>
      </c>
      <c r="Q32940" s="5" t="s">
        <v>355</v>
      </c>
    </row>
    <row r="32941" ht="16.5" customHeight="1">
      <c r="O32941" s="5" t="s">
        <v>355</v>
      </c>
      <c r="P32941" s="5" t="s">
        <v>355</v>
      </c>
      <c r="Q32941" s="5" t="s">
        <v>355</v>
      </c>
    </row>
    <row r="32942" ht="16.5" customHeight="1">
      <c r="O32942" s="5" t="s">
        <v>355</v>
      </c>
      <c r="P32942" s="5" t="s">
        <v>355</v>
      </c>
      <c r="Q32942" s="5" t="s">
        <v>355</v>
      </c>
    </row>
    <row r="32943" ht="16.5" customHeight="1">
      <c r="O32943" s="5" t="s">
        <v>355</v>
      </c>
      <c r="P32943" s="5" t="s">
        <v>355</v>
      </c>
      <c r="Q32943" s="5" t="s">
        <v>355</v>
      </c>
    </row>
    <row r="32944" ht="16.5" customHeight="1">
      <c r="O32944" s="5" t="s">
        <v>355</v>
      </c>
      <c r="P32944" s="5" t="s">
        <v>355</v>
      </c>
      <c r="Q32944" s="5" t="s">
        <v>355</v>
      </c>
    </row>
    <row r="32945" ht="16.5" customHeight="1">
      <c r="O32945" s="5" t="s">
        <v>355</v>
      </c>
      <c r="P32945" s="5" t="s">
        <v>355</v>
      </c>
      <c r="Q32945" s="5" t="s">
        <v>355</v>
      </c>
    </row>
    <row r="32946" ht="16.5" customHeight="1">
      <c r="O32946" s="5" t="s">
        <v>355</v>
      </c>
      <c r="P32946" s="5" t="s">
        <v>355</v>
      </c>
      <c r="Q32946" s="5" t="s">
        <v>355</v>
      </c>
    </row>
    <row r="32947" ht="16.5" customHeight="1">
      <c r="O32947" s="5" t="s">
        <v>355</v>
      </c>
      <c r="P32947" s="5" t="s">
        <v>355</v>
      </c>
      <c r="Q32947" s="5" t="s">
        <v>355</v>
      </c>
    </row>
    <row r="32948" ht="16.5" customHeight="1">
      <c r="O32948" s="5" t="s">
        <v>355</v>
      </c>
      <c r="P32948" s="5" t="s">
        <v>355</v>
      </c>
      <c r="Q32948" s="5" t="s">
        <v>355</v>
      </c>
    </row>
    <row r="32949" ht="16.5" customHeight="1">
      <c r="O32949" s="5" t="s">
        <v>355</v>
      </c>
      <c r="P32949" s="5" t="s">
        <v>355</v>
      </c>
      <c r="Q32949" s="5" t="s">
        <v>355</v>
      </c>
    </row>
    <row r="32950" ht="16.5" customHeight="1">
      <c r="O32950" s="5" t="s">
        <v>355</v>
      </c>
      <c r="P32950" s="5" t="s">
        <v>355</v>
      </c>
      <c r="Q32950" s="5" t="s">
        <v>355</v>
      </c>
    </row>
    <row r="32951" ht="16.5" customHeight="1">
      <c r="O32951" s="5" t="s">
        <v>355</v>
      </c>
      <c r="P32951" s="5" t="s">
        <v>355</v>
      </c>
      <c r="Q32951" s="5" t="s">
        <v>355</v>
      </c>
    </row>
    <row r="32952" ht="16.5" customHeight="1">
      <c r="O32952" s="5" t="s">
        <v>355</v>
      </c>
      <c r="P32952" s="5" t="s">
        <v>355</v>
      </c>
      <c r="Q32952" s="5" t="s">
        <v>355</v>
      </c>
    </row>
    <row r="32953" ht="16.5" customHeight="1">
      <c r="O32953" s="5" t="s">
        <v>355</v>
      </c>
      <c r="P32953" s="5" t="s">
        <v>355</v>
      </c>
      <c r="Q32953" s="5" t="s">
        <v>355</v>
      </c>
    </row>
    <row r="32954" ht="16.5" customHeight="1">
      <c r="O32954" s="5" t="s">
        <v>355</v>
      </c>
      <c r="P32954" s="5" t="s">
        <v>355</v>
      </c>
      <c r="Q32954" s="5" t="s">
        <v>355</v>
      </c>
    </row>
    <row r="32955" ht="16.5" customHeight="1">
      <c r="O32955" s="5" t="s">
        <v>355</v>
      </c>
      <c r="P32955" s="5" t="s">
        <v>355</v>
      </c>
      <c r="Q32955" s="5" t="s">
        <v>355</v>
      </c>
    </row>
    <row r="32956" ht="16.5" customHeight="1">
      <c r="O32956" s="5" t="s">
        <v>355</v>
      </c>
      <c r="P32956" s="5" t="s">
        <v>355</v>
      </c>
      <c r="Q32956" s="5" t="s">
        <v>355</v>
      </c>
    </row>
    <row r="32957" ht="16.5" customHeight="1">
      <c r="O32957" s="5" t="s">
        <v>355</v>
      </c>
      <c r="P32957" s="5" t="s">
        <v>355</v>
      </c>
      <c r="Q32957" s="5" t="s">
        <v>355</v>
      </c>
    </row>
    <row r="32958" ht="16.5" customHeight="1">
      <c r="O32958" s="5" t="s">
        <v>355</v>
      </c>
      <c r="P32958" s="5" t="s">
        <v>355</v>
      </c>
      <c r="Q32958" s="5" t="s">
        <v>355</v>
      </c>
    </row>
    <row r="32959" ht="16.5" customHeight="1">
      <c r="O32959" s="5" t="s">
        <v>355</v>
      </c>
      <c r="P32959" s="5" t="s">
        <v>355</v>
      </c>
      <c r="Q32959" s="5" t="s">
        <v>355</v>
      </c>
    </row>
    <row r="32960" ht="16.5" customHeight="1">
      <c r="O32960" s="5" t="s">
        <v>355</v>
      </c>
      <c r="P32960" s="5" t="s">
        <v>355</v>
      </c>
      <c r="Q32960" s="5" t="s">
        <v>355</v>
      </c>
    </row>
    <row r="32961" ht="16.5" customHeight="1">
      <c r="O32961" s="5" t="s">
        <v>355</v>
      </c>
      <c r="P32961" s="5" t="s">
        <v>355</v>
      </c>
      <c r="Q32961" s="5" t="s">
        <v>355</v>
      </c>
    </row>
    <row r="32962" ht="16.5" customHeight="1">
      <c r="O32962" s="5" t="s">
        <v>355</v>
      </c>
      <c r="P32962" s="5" t="s">
        <v>355</v>
      </c>
      <c r="Q32962" s="5" t="s">
        <v>355</v>
      </c>
    </row>
    <row r="32963" ht="16.5" customHeight="1">
      <c r="O32963" s="5" t="s">
        <v>355</v>
      </c>
      <c r="P32963" s="5" t="s">
        <v>355</v>
      </c>
      <c r="Q32963" s="5" t="s">
        <v>355</v>
      </c>
    </row>
    <row r="32964" ht="16.5" customHeight="1">
      <c r="O32964" s="5" t="s">
        <v>355</v>
      </c>
      <c r="P32964" s="5" t="s">
        <v>355</v>
      </c>
      <c r="Q32964" s="5" t="s">
        <v>355</v>
      </c>
    </row>
    <row r="32965" ht="16.5" customHeight="1">
      <c r="O32965" s="5" t="s">
        <v>355</v>
      </c>
      <c r="P32965" s="5" t="s">
        <v>355</v>
      </c>
      <c r="Q32965" s="5" t="s">
        <v>355</v>
      </c>
    </row>
    <row r="32966" ht="16.5" customHeight="1">
      <c r="O32966" s="5" t="s">
        <v>355</v>
      </c>
      <c r="P32966" s="5" t="s">
        <v>355</v>
      </c>
      <c r="Q32966" s="5" t="s">
        <v>355</v>
      </c>
    </row>
    <row r="32967" ht="16.5" customHeight="1">
      <c r="O32967" s="5" t="s">
        <v>355</v>
      </c>
      <c r="P32967" s="5" t="s">
        <v>355</v>
      </c>
      <c r="Q32967" s="5" t="s">
        <v>355</v>
      </c>
    </row>
    <row r="32968" ht="16.5" customHeight="1">
      <c r="O32968" s="5" t="s">
        <v>355</v>
      </c>
      <c r="P32968" s="5" t="s">
        <v>355</v>
      </c>
      <c r="Q32968" s="5" t="s">
        <v>355</v>
      </c>
    </row>
    <row r="32969" ht="16.5" customHeight="1">
      <c r="O32969" s="5" t="s">
        <v>355</v>
      </c>
      <c r="P32969" s="5" t="s">
        <v>355</v>
      </c>
      <c r="Q32969" s="5" t="s">
        <v>355</v>
      </c>
    </row>
    <row r="32970" ht="16.5" customHeight="1">
      <c r="O32970" s="5" t="s">
        <v>355</v>
      </c>
      <c r="P32970" s="5" t="s">
        <v>355</v>
      </c>
      <c r="Q32970" s="5" t="s">
        <v>355</v>
      </c>
    </row>
    <row r="32971" ht="16.5" customHeight="1">
      <c r="O32971" s="5" t="s">
        <v>355</v>
      </c>
      <c r="P32971" s="5" t="s">
        <v>355</v>
      </c>
      <c r="Q32971" s="5" t="s">
        <v>355</v>
      </c>
    </row>
    <row r="32972" ht="16.5" customHeight="1">
      <c r="O32972" s="5" t="s">
        <v>355</v>
      </c>
      <c r="P32972" s="5" t="s">
        <v>355</v>
      </c>
      <c r="Q32972" s="5" t="s">
        <v>355</v>
      </c>
    </row>
    <row r="32973" ht="16.5" customHeight="1">
      <c r="O32973" s="5" t="s">
        <v>355</v>
      </c>
      <c r="P32973" s="5" t="s">
        <v>355</v>
      </c>
      <c r="Q32973" s="5" t="s">
        <v>355</v>
      </c>
    </row>
    <row r="32974" ht="16.5" customHeight="1">
      <c r="O32974" s="5" t="s">
        <v>355</v>
      </c>
      <c r="P32974" s="5" t="s">
        <v>355</v>
      </c>
      <c r="Q32974" s="5" t="s">
        <v>355</v>
      </c>
    </row>
    <row r="32975" ht="16.5" customHeight="1">
      <c r="O32975" s="5" t="s">
        <v>355</v>
      </c>
      <c r="P32975" s="5" t="s">
        <v>355</v>
      </c>
      <c r="Q32975" s="5" t="s">
        <v>355</v>
      </c>
    </row>
    <row r="32976" ht="16.5" customHeight="1">
      <c r="O32976" s="5" t="s">
        <v>355</v>
      </c>
      <c r="P32976" s="5" t="s">
        <v>355</v>
      </c>
      <c r="Q32976" s="5" t="s">
        <v>355</v>
      </c>
    </row>
    <row r="32977" ht="16.5" customHeight="1">
      <c r="O32977" s="5" t="s">
        <v>355</v>
      </c>
      <c r="P32977" s="5" t="s">
        <v>355</v>
      </c>
      <c r="Q32977" s="5" t="s">
        <v>355</v>
      </c>
    </row>
    <row r="32978" ht="16.5" customHeight="1">
      <c r="O32978" s="5" t="s">
        <v>355</v>
      </c>
      <c r="P32978" s="5" t="s">
        <v>355</v>
      </c>
      <c r="Q32978" s="5" t="s">
        <v>355</v>
      </c>
    </row>
    <row r="32979" ht="16.5" customHeight="1">
      <c r="O32979" s="5" t="s">
        <v>355</v>
      </c>
      <c r="P32979" s="5" t="s">
        <v>355</v>
      </c>
      <c r="Q32979" s="5" t="s">
        <v>355</v>
      </c>
    </row>
    <row r="32980" ht="16.5" customHeight="1">
      <c r="O32980" s="5" t="s">
        <v>355</v>
      </c>
      <c r="P32980" s="5" t="s">
        <v>355</v>
      </c>
      <c r="Q32980" s="5" t="s">
        <v>355</v>
      </c>
    </row>
    <row r="32981" ht="16.5" customHeight="1">
      <c r="O32981" s="5" t="s">
        <v>355</v>
      </c>
      <c r="P32981" s="5" t="s">
        <v>355</v>
      </c>
      <c r="Q32981" s="5" t="s">
        <v>355</v>
      </c>
    </row>
    <row r="32982" ht="16.5" customHeight="1">
      <c r="O32982" s="5" t="s">
        <v>355</v>
      </c>
      <c r="P32982" s="5" t="s">
        <v>355</v>
      </c>
      <c r="Q32982" s="5" t="s">
        <v>355</v>
      </c>
    </row>
    <row r="32983" ht="16.5" customHeight="1">
      <c r="O32983" s="5" t="s">
        <v>355</v>
      </c>
      <c r="P32983" s="5" t="s">
        <v>355</v>
      </c>
      <c r="Q32983" s="5" t="s">
        <v>355</v>
      </c>
    </row>
    <row r="32984" ht="16.5" customHeight="1">
      <c r="O32984" s="5" t="s">
        <v>355</v>
      </c>
      <c r="P32984" s="5" t="s">
        <v>355</v>
      </c>
      <c r="Q32984" s="5" t="s">
        <v>355</v>
      </c>
    </row>
    <row r="32985" ht="16.5" customHeight="1">
      <c r="O32985" s="5" t="s">
        <v>355</v>
      </c>
      <c r="P32985" s="5" t="s">
        <v>355</v>
      </c>
      <c r="Q32985" s="5" t="s">
        <v>355</v>
      </c>
    </row>
    <row r="32986" ht="16.5" customHeight="1">
      <c r="O32986" s="5" t="s">
        <v>355</v>
      </c>
      <c r="P32986" s="5" t="s">
        <v>355</v>
      </c>
      <c r="Q32986" s="5" t="s">
        <v>355</v>
      </c>
    </row>
    <row r="32987" ht="16.5" customHeight="1">
      <c r="O32987" s="5" t="s">
        <v>355</v>
      </c>
      <c r="P32987" s="5" t="s">
        <v>355</v>
      </c>
      <c r="Q32987" s="5" t="s">
        <v>355</v>
      </c>
    </row>
    <row r="32988" ht="16.5" customHeight="1">
      <c r="O32988" s="5" t="s">
        <v>355</v>
      </c>
      <c r="P32988" s="5" t="s">
        <v>355</v>
      </c>
      <c r="Q32988" s="5" t="s">
        <v>355</v>
      </c>
    </row>
    <row r="32989" ht="16.5" customHeight="1">
      <c r="O32989" s="5" t="s">
        <v>355</v>
      </c>
      <c r="P32989" s="5" t="s">
        <v>355</v>
      </c>
      <c r="Q32989" s="5" t="s">
        <v>355</v>
      </c>
    </row>
    <row r="32990" ht="16.5" customHeight="1">
      <c r="O32990" s="5" t="s">
        <v>355</v>
      </c>
      <c r="P32990" s="5" t="s">
        <v>355</v>
      </c>
      <c r="Q32990" s="5" t="s">
        <v>355</v>
      </c>
    </row>
    <row r="32991" ht="16.5" customHeight="1">
      <c r="O32991" s="5" t="s">
        <v>355</v>
      </c>
      <c r="P32991" s="5" t="s">
        <v>355</v>
      </c>
      <c r="Q32991" s="5" t="s">
        <v>355</v>
      </c>
    </row>
    <row r="32992" ht="16.5" customHeight="1">
      <c r="O32992" s="5" t="s">
        <v>355</v>
      </c>
      <c r="P32992" s="5" t="s">
        <v>355</v>
      </c>
      <c r="Q32992" s="5" t="s">
        <v>355</v>
      </c>
    </row>
    <row r="32993" ht="16.5" customHeight="1">
      <c r="O32993" s="5" t="s">
        <v>355</v>
      </c>
      <c r="P32993" s="5" t="s">
        <v>355</v>
      </c>
      <c r="Q32993" s="5" t="s">
        <v>355</v>
      </c>
    </row>
    <row r="32994" ht="16.5" customHeight="1">
      <c r="O32994" s="5" t="s">
        <v>355</v>
      </c>
      <c r="P32994" s="5" t="s">
        <v>355</v>
      </c>
      <c r="Q32994" s="5" t="s">
        <v>355</v>
      </c>
    </row>
    <row r="32995" ht="16.5" customHeight="1">
      <c r="O32995" s="5" t="s">
        <v>355</v>
      </c>
      <c r="P32995" s="5" t="s">
        <v>355</v>
      </c>
      <c r="Q32995" s="5" t="s">
        <v>355</v>
      </c>
    </row>
    <row r="32996" ht="16.5" customHeight="1">
      <c r="O32996" s="5" t="s">
        <v>355</v>
      </c>
      <c r="P32996" s="5" t="s">
        <v>355</v>
      </c>
      <c r="Q32996" s="5" t="s">
        <v>355</v>
      </c>
    </row>
    <row r="32997" ht="16.5" customHeight="1">
      <c r="O32997" s="5" t="s">
        <v>355</v>
      </c>
      <c r="P32997" s="5" t="s">
        <v>355</v>
      </c>
      <c r="Q32997" s="5" t="s">
        <v>355</v>
      </c>
    </row>
    <row r="32998" ht="16.5" customHeight="1">
      <c r="O32998" s="5" t="s">
        <v>355</v>
      </c>
      <c r="P32998" s="5" t="s">
        <v>355</v>
      </c>
      <c r="Q32998" s="5" t="s">
        <v>355</v>
      </c>
    </row>
    <row r="32999" ht="16.5" customHeight="1">
      <c r="O32999" s="5" t="s">
        <v>355</v>
      </c>
      <c r="P32999" s="5" t="s">
        <v>355</v>
      </c>
      <c r="Q32999" s="5" t="s">
        <v>355</v>
      </c>
    </row>
    <row r="33000" ht="16.5" customHeight="1">
      <c r="O33000" s="5" t="s">
        <v>355</v>
      </c>
      <c r="P33000" s="5" t="s">
        <v>355</v>
      </c>
      <c r="Q33000" s="5" t="s">
        <v>355</v>
      </c>
    </row>
    <row r="33001" ht="16.5" customHeight="1">
      <c r="O33001" s="5" t="s">
        <v>355</v>
      </c>
      <c r="P33001" s="5" t="s">
        <v>355</v>
      </c>
      <c r="Q33001" s="5" t="s">
        <v>355</v>
      </c>
    </row>
    <row r="33002" ht="16.5" customHeight="1">
      <c r="O33002" s="5" t="s">
        <v>355</v>
      </c>
      <c r="P33002" s="5" t="s">
        <v>355</v>
      </c>
      <c r="Q33002" s="5" t="s">
        <v>355</v>
      </c>
    </row>
    <row r="33003" ht="16.5" customHeight="1">
      <c r="O33003" s="5" t="s">
        <v>355</v>
      </c>
      <c r="P33003" s="5" t="s">
        <v>355</v>
      </c>
      <c r="Q33003" s="5" t="s">
        <v>355</v>
      </c>
    </row>
    <row r="33004" ht="16.5" customHeight="1">
      <c r="O33004" s="5" t="s">
        <v>355</v>
      </c>
      <c r="P33004" s="5" t="s">
        <v>355</v>
      </c>
      <c r="Q33004" s="5" t="s">
        <v>355</v>
      </c>
    </row>
    <row r="33005" ht="16.5" customHeight="1">
      <c r="O33005" s="5" t="s">
        <v>355</v>
      </c>
      <c r="P33005" s="5" t="s">
        <v>355</v>
      </c>
      <c r="Q33005" s="5" t="s">
        <v>355</v>
      </c>
    </row>
    <row r="33006" ht="16.5" customHeight="1">
      <c r="O33006" s="5" t="s">
        <v>355</v>
      </c>
      <c r="P33006" s="5" t="s">
        <v>355</v>
      </c>
      <c r="Q33006" s="5" t="s">
        <v>355</v>
      </c>
    </row>
    <row r="33007" ht="16.5" customHeight="1">
      <c r="O33007" s="5" t="s">
        <v>355</v>
      </c>
      <c r="P33007" s="5" t="s">
        <v>355</v>
      </c>
      <c r="Q33007" s="5" t="s">
        <v>355</v>
      </c>
    </row>
    <row r="33008" ht="16.5" customHeight="1">
      <c r="O33008" s="5" t="s">
        <v>355</v>
      </c>
      <c r="P33008" s="5" t="s">
        <v>355</v>
      </c>
      <c r="Q33008" s="5" t="s">
        <v>355</v>
      </c>
    </row>
    <row r="33009" ht="16.5" customHeight="1">
      <c r="O33009" s="5" t="s">
        <v>355</v>
      </c>
      <c r="P33009" s="5" t="s">
        <v>355</v>
      </c>
      <c r="Q33009" s="5" t="s">
        <v>355</v>
      </c>
    </row>
    <row r="33010" ht="16.5" customHeight="1">
      <c r="O33010" s="5" t="s">
        <v>355</v>
      </c>
      <c r="P33010" s="5" t="s">
        <v>355</v>
      </c>
      <c r="Q33010" s="5" t="s">
        <v>355</v>
      </c>
    </row>
    <row r="33011" ht="16.5" customHeight="1">
      <c r="O33011" s="5" t="s">
        <v>355</v>
      </c>
      <c r="P33011" s="5" t="s">
        <v>355</v>
      </c>
      <c r="Q33011" s="5" t="s">
        <v>355</v>
      </c>
    </row>
    <row r="33012" ht="16.5" customHeight="1">
      <c r="O33012" s="5" t="s">
        <v>355</v>
      </c>
      <c r="P33012" s="5" t="s">
        <v>355</v>
      </c>
      <c r="Q33012" s="5" t="s">
        <v>355</v>
      </c>
    </row>
    <row r="33013" ht="16.5" customHeight="1">
      <c r="O33013" s="5" t="s">
        <v>355</v>
      </c>
      <c r="P33013" s="5" t="s">
        <v>355</v>
      </c>
      <c r="Q33013" s="5" t="s">
        <v>355</v>
      </c>
    </row>
    <row r="33014" ht="16.5" customHeight="1">
      <c r="O33014" s="5" t="s">
        <v>355</v>
      </c>
      <c r="P33014" s="5" t="s">
        <v>355</v>
      </c>
      <c r="Q33014" s="5" t="s">
        <v>355</v>
      </c>
    </row>
    <row r="33015" ht="16.5" customHeight="1">
      <c r="O33015" s="5" t="s">
        <v>355</v>
      </c>
      <c r="P33015" s="5" t="s">
        <v>355</v>
      </c>
      <c r="Q33015" s="5" t="s">
        <v>355</v>
      </c>
    </row>
    <row r="33016" ht="16.5" customHeight="1">
      <c r="O33016" s="5" t="s">
        <v>355</v>
      </c>
      <c r="P33016" s="5" t="s">
        <v>355</v>
      </c>
      <c r="Q33016" s="5" t="s">
        <v>355</v>
      </c>
    </row>
    <row r="33017" ht="16.5" customHeight="1">
      <c r="O33017" s="5" t="s">
        <v>355</v>
      </c>
      <c r="P33017" s="5" t="s">
        <v>355</v>
      </c>
      <c r="Q33017" s="5" t="s">
        <v>355</v>
      </c>
    </row>
    <row r="33018" ht="16.5" customHeight="1">
      <c r="O33018" s="5" t="s">
        <v>355</v>
      </c>
      <c r="P33018" s="5" t="s">
        <v>355</v>
      </c>
      <c r="Q33018" s="5" t="s">
        <v>355</v>
      </c>
    </row>
    <row r="33019" ht="16.5" customHeight="1">
      <c r="O33019" s="5" t="s">
        <v>355</v>
      </c>
      <c r="P33019" s="5" t="s">
        <v>355</v>
      </c>
      <c r="Q33019" s="5" t="s">
        <v>355</v>
      </c>
    </row>
    <row r="33020" ht="16.5" customHeight="1">
      <c r="O33020" s="5" t="s">
        <v>355</v>
      </c>
      <c r="P33020" s="5" t="s">
        <v>355</v>
      </c>
      <c r="Q33020" s="5" t="s">
        <v>355</v>
      </c>
    </row>
    <row r="33021" ht="16.5" customHeight="1">
      <c r="O33021" s="5" t="s">
        <v>355</v>
      </c>
      <c r="P33021" s="5" t="s">
        <v>355</v>
      </c>
      <c r="Q33021" s="5" t="s">
        <v>355</v>
      </c>
    </row>
    <row r="33022" ht="16.5" customHeight="1">
      <c r="O33022" s="5" t="s">
        <v>355</v>
      </c>
      <c r="P33022" s="5" t="s">
        <v>355</v>
      </c>
      <c r="Q33022" s="5" t="s">
        <v>355</v>
      </c>
    </row>
    <row r="33023" ht="16.5" customHeight="1">
      <c r="O33023" s="5" t="s">
        <v>355</v>
      </c>
      <c r="P33023" s="5" t="s">
        <v>355</v>
      </c>
      <c r="Q33023" s="5" t="s">
        <v>355</v>
      </c>
    </row>
    <row r="33024" ht="16.5" customHeight="1">
      <c r="O33024" s="5" t="s">
        <v>355</v>
      </c>
      <c r="P33024" s="5" t="s">
        <v>355</v>
      </c>
      <c r="Q33024" s="5" t="s">
        <v>355</v>
      </c>
    </row>
    <row r="33025" ht="16.5" customHeight="1">
      <c r="O33025" s="5" t="s">
        <v>355</v>
      </c>
      <c r="P33025" s="5" t="s">
        <v>355</v>
      </c>
      <c r="Q33025" s="5" t="s">
        <v>355</v>
      </c>
    </row>
    <row r="33026" ht="16.5" customHeight="1">
      <c r="O33026" s="5" t="s">
        <v>355</v>
      </c>
      <c r="P33026" s="5" t="s">
        <v>355</v>
      </c>
      <c r="Q33026" s="5" t="s">
        <v>355</v>
      </c>
    </row>
    <row r="33027" ht="16.5" customHeight="1">
      <c r="O33027" s="5" t="s">
        <v>355</v>
      </c>
      <c r="P33027" s="5" t="s">
        <v>355</v>
      </c>
      <c r="Q33027" s="5" t="s">
        <v>355</v>
      </c>
    </row>
    <row r="33028" ht="16.5" customHeight="1">
      <c r="O33028" s="5" t="s">
        <v>355</v>
      </c>
      <c r="P33028" s="5" t="s">
        <v>355</v>
      </c>
      <c r="Q33028" s="5" t="s">
        <v>355</v>
      </c>
    </row>
    <row r="33029" ht="16.5" customHeight="1">
      <c r="O33029" s="5" t="s">
        <v>355</v>
      </c>
      <c r="P33029" s="5" t="s">
        <v>355</v>
      </c>
      <c r="Q33029" s="5" t="s">
        <v>355</v>
      </c>
    </row>
    <row r="33030" ht="16.5" customHeight="1">
      <c r="O33030" s="5" t="s">
        <v>355</v>
      </c>
      <c r="P33030" s="5" t="s">
        <v>355</v>
      </c>
      <c r="Q33030" s="5" t="s">
        <v>355</v>
      </c>
    </row>
    <row r="33031" ht="16.5" customHeight="1">
      <c r="O33031" s="5" t="s">
        <v>355</v>
      </c>
      <c r="P33031" s="5" t="s">
        <v>355</v>
      </c>
      <c r="Q33031" s="5" t="s">
        <v>355</v>
      </c>
    </row>
    <row r="33032" ht="16.5" customHeight="1">
      <c r="O33032" s="5" t="s">
        <v>355</v>
      </c>
      <c r="P33032" s="5" t="s">
        <v>355</v>
      </c>
      <c r="Q33032" s="5" t="s">
        <v>355</v>
      </c>
    </row>
    <row r="33033" ht="16.5" customHeight="1">
      <c r="O33033" s="5" t="s">
        <v>355</v>
      </c>
      <c r="P33033" s="5" t="s">
        <v>355</v>
      </c>
      <c r="Q33033" s="5" t="s">
        <v>355</v>
      </c>
    </row>
    <row r="33034" ht="16.5" customHeight="1">
      <c r="O33034" s="5" t="s">
        <v>355</v>
      </c>
      <c r="P33034" s="5" t="s">
        <v>355</v>
      </c>
      <c r="Q33034" s="5" t="s">
        <v>355</v>
      </c>
    </row>
    <row r="33035" ht="16.5" customHeight="1">
      <c r="O33035" s="5" t="s">
        <v>355</v>
      </c>
      <c r="P33035" s="5" t="s">
        <v>355</v>
      </c>
      <c r="Q33035" s="5" t="s">
        <v>355</v>
      </c>
    </row>
    <row r="33036" ht="16.5" customHeight="1">
      <c r="O33036" s="5" t="s">
        <v>355</v>
      </c>
      <c r="P33036" s="5" t="s">
        <v>355</v>
      </c>
      <c r="Q33036" s="5" t="s">
        <v>355</v>
      </c>
    </row>
    <row r="33037" ht="16.5" customHeight="1">
      <c r="O33037" s="5" t="s">
        <v>355</v>
      </c>
      <c r="P33037" s="5" t="s">
        <v>355</v>
      </c>
      <c r="Q33037" s="5" t="s">
        <v>355</v>
      </c>
    </row>
    <row r="33038" ht="16.5" customHeight="1">
      <c r="O33038" s="5" t="s">
        <v>355</v>
      </c>
      <c r="P33038" s="5" t="s">
        <v>355</v>
      </c>
      <c r="Q33038" s="5" t="s">
        <v>355</v>
      </c>
    </row>
    <row r="33039" ht="16.5" customHeight="1">
      <c r="O33039" s="5" t="s">
        <v>355</v>
      </c>
      <c r="P33039" s="5" t="s">
        <v>355</v>
      </c>
      <c r="Q33039" s="5" t="s">
        <v>355</v>
      </c>
    </row>
    <row r="33040" ht="16.5" customHeight="1">
      <c r="O33040" s="5" t="s">
        <v>355</v>
      </c>
      <c r="P33040" s="5" t="s">
        <v>355</v>
      </c>
      <c r="Q33040" s="5" t="s">
        <v>355</v>
      </c>
    </row>
    <row r="33041" ht="16.5" customHeight="1">
      <c r="O33041" s="5" t="s">
        <v>355</v>
      </c>
      <c r="P33041" s="5" t="s">
        <v>355</v>
      </c>
      <c r="Q33041" s="5" t="s">
        <v>355</v>
      </c>
    </row>
    <row r="33042" ht="16.5" customHeight="1">
      <c r="O33042" s="5" t="s">
        <v>355</v>
      </c>
      <c r="P33042" s="5" t="s">
        <v>355</v>
      </c>
      <c r="Q33042" s="5" t="s">
        <v>355</v>
      </c>
    </row>
    <row r="33043" ht="16.5" customHeight="1">
      <c r="O33043" s="5" t="s">
        <v>355</v>
      </c>
      <c r="P33043" s="5" t="s">
        <v>355</v>
      </c>
      <c r="Q33043" s="5" t="s">
        <v>355</v>
      </c>
    </row>
    <row r="33044" ht="16.5" customHeight="1">
      <c r="O33044" s="5" t="s">
        <v>355</v>
      </c>
      <c r="P33044" s="5" t="s">
        <v>355</v>
      </c>
      <c r="Q33044" s="5" t="s">
        <v>355</v>
      </c>
    </row>
    <row r="33045" ht="16.5" customHeight="1">
      <c r="O33045" s="5" t="s">
        <v>355</v>
      </c>
      <c r="P33045" s="5" t="s">
        <v>355</v>
      </c>
      <c r="Q33045" s="5" t="s">
        <v>355</v>
      </c>
    </row>
    <row r="33046" ht="16.5" customHeight="1">
      <c r="O33046" s="5" t="s">
        <v>355</v>
      </c>
      <c r="P33046" s="5" t="s">
        <v>355</v>
      </c>
      <c r="Q33046" s="5" t="s">
        <v>355</v>
      </c>
    </row>
    <row r="33047" ht="16.5" customHeight="1">
      <c r="O33047" s="5" t="s">
        <v>355</v>
      </c>
      <c r="P33047" s="5" t="s">
        <v>355</v>
      </c>
      <c r="Q33047" s="5" t="s">
        <v>355</v>
      </c>
    </row>
    <row r="33048" ht="16.5" customHeight="1">
      <c r="O33048" s="5" t="s">
        <v>355</v>
      </c>
      <c r="P33048" s="5" t="s">
        <v>355</v>
      </c>
      <c r="Q33048" s="5" t="s">
        <v>355</v>
      </c>
    </row>
    <row r="33049" ht="16.5" customHeight="1">
      <c r="O33049" s="5" t="s">
        <v>355</v>
      </c>
      <c r="P33049" s="5" t="s">
        <v>355</v>
      </c>
      <c r="Q33049" s="5" t="s">
        <v>355</v>
      </c>
    </row>
    <row r="33050" ht="16.5" customHeight="1">
      <c r="O33050" s="5" t="s">
        <v>355</v>
      </c>
      <c r="P33050" s="5" t="s">
        <v>355</v>
      </c>
      <c r="Q33050" s="5" t="s">
        <v>355</v>
      </c>
    </row>
    <row r="33051" ht="16.5" customHeight="1">
      <c r="O33051" s="5" t="s">
        <v>355</v>
      </c>
      <c r="P33051" s="5" t="s">
        <v>355</v>
      </c>
      <c r="Q33051" s="5" t="s">
        <v>355</v>
      </c>
    </row>
    <row r="33052" ht="16.5" customHeight="1">
      <c r="O33052" s="5" t="s">
        <v>355</v>
      </c>
      <c r="P33052" s="5" t="s">
        <v>355</v>
      </c>
      <c r="Q33052" s="5" t="s">
        <v>355</v>
      </c>
    </row>
    <row r="33053" ht="16.5" customHeight="1">
      <c r="O33053" s="5" t="s">
        <v>355</v>
      </c>
      <c r="P33053" s="5" t="s">
        <v>355</v>
      </c>
      <c r="Q33053" s="5" t="s">
        <v>355</v>
      </c>
    </row>
    <row r="33054" ht="16.5" customHeight="1">
      <c r="O33054" s="5" t="s">
        <v>355</v>
      </c>
      <c r="P33054" s="5" t="s">
        <v>355</v>
      </c>
      <c r="Q33054" s="5" t="s">
        <v>355</v>
      </c>
    </row>
    <row r="33055" ht="16.5" customHeight="1">
      <c r="O33055" s="5" t="s">
        <v>355</v>
      </c>
      <c r="P33055" s="5" t="s">
        <v>355</v>
      </c>
      <c r="Q33055" s="5" t="s">
        <v>355</v>
      </c>
    </row>
    <row r="33056" ht="16.5" customHeight="1">
      <c r="O33056" s="5" t="s">
        <v>355</v>
      </c>
      <c r="P33056" s="5" t="s">
        <v>355</v>
      </c>
      <c r="Q33056" s="5" t="s">
        <v>355</v>
      </c>
    </row>
    <row r="33057" ht="16.5" customHeight="1">
      <c r="O33057" s="5" t="s">
        <v>355</v>
      </c>
      <c r="P33057" s="5" t="s">
        <v>355</v>
      </c>
      <c r="Q33057" s="5" t="s">
        <v>355</v>
      </c>
    </row>
    <row r="33058" ht="16.5" customHeight="1">
      <c r="O33058" s="5" t="s">
        <v>355</v>
      </c>
      <c r="P33058" s="5" t="s">
        <v>355</v>
      </c>
      <c r="Q33058" s="5" t="s">
        <v>355</v>
      </c>
    </row>
    <row r="33059" ht="16.5" customHeight="1">
      <c r="O33059" s="5" t="s">
        <v>355</v>
      </c>
      <c r="P33059" s="5" t="s">
        <v>355</v>
      </c>
      <c r="Q33059" s="5" t="s">
        <v>355</v>
      </c>
    </row>
    <row r="33060" ht="16.5" customHeight="1">
      <c r="O33060" s="5" t="s">
        <v>355</v>
      </c>
      <c r="P33060" s="5" t="s">
        <v>355</v>
      </c>
      <c r="Q33060" s="5" t="s">
        <v>355</v>
      </c>
    </row>
    <row r="33061" ht="16.5" customHeight="1">
      <c r="O33061" s="5" t="s">
        <v>355</v>
      </c>
      <c r="P33061" s="5" t="s">
        <v>355</v>
      </c>
      <c r="Q33061" s="5" t="s">
        <v>355</v>
      </c>
    </row>
    <row r="33062" ht="16.5" customHeight="1">
      <c r="O33062" s="5" t="s">
        <v>355</v>
      </c>
      <c r="P33062" s="5" t="s">
        <v>355</v>
      </c>
      <c r="Q33062" s="5" t="s">
        <v>355</v>
      </c>
    </row>
    <row r="33063" ht="16.5" customHeight="1">
      <c r="O33063" s="5" t="s">
        <v>355</v>
      </c>
      <c r="P33063" s="5" t="s">
        <v>355</v>
      </c>
      <c r="Q33063" s="5" t="s">
        <v>355</v>
      </c>
    </row>
    <row r="33064" ht="16.5" customHeight="1">
      <c r="O33064" s="5" t="s">
        <v>355</v>
      </c>
      <c r="P33064" s="5" t="s">
        <v>355</v>
      </c>
      <c r="Q33064" s="5" t="s">
        <v>355</v>
      </c>
    </row>
    <row r="33065" ht="16.5" customHeight="1">
      <c r="O33065" s="5" t="s">
        <v>355</v>
      </c>
      <c r="P33065" s="5" t="s">
        <v>355</v>
      </c>
      <c r="Q33065" s="5" t="s">
        <v>355</v>
      </c>
    </row>
    <row r="33066" ht="16.5" customHeight="1">
      <c r="O33066" s="5" t="s">
        <v>355</v>
      </c>
      <c r="P33066" s="5" t="s">
        <v>355</v>
      </c>
      <c r="Q33066" s="5" t="s">
        <v>355</v>
      </c>
    </row>
    <row r="33067" ht="16.5" customHeight="1">
      <c r="O33067" s="5" t="s">
        <v>355</v>
      </c>
      <c r="P33067" s="5" t="s">
        <v>355</v>
      </c>
      <c r="Q33067" s="5" t="s">
        <v>355</v>
      </c>
    </row>
    <row r="33068" ht="16.5" customHeight="1">
      <c r="O33068" s="5" t="s">
        <v>355</v>
      </c>
      <c r="P33068" s="5" t="s">
        <v>355</v>
      </c>
      <c r="Q33068" s="5" t="s">
        <v>355</v>
      </c>
    </row>
    <row r="33069" ht="16.5" customHeight="1">
      <c r="O33069" s="5" t="s">
        <v>355</v>
      </c>
      <c r="P33069" s="5" t="s">
        <v>355</v>
      </c>
      <c r="Q33069" s="5" t="s">
        <v>355</v>
      </c>
    </row>
    <row r="33070" ht="16.5" customHeight="1">
      <c r="O33070" s="5" t="s">
        <v>355</v>
      </c>
      <c r="P33070" s="5" t="s">
        <v>355</v>
      </c>
      <c r="Q33070" s="5" t="s">
        <v>355</v>
      </c>
    </row>
    <row r="33071" ht="16.5" customHeight="1">
      <c r="O33071" s="5" t="s">
        <v>355</v>
      </c>
      <c r="P33071" s="5" t="s">
        <v>355</v>
      </c>
      <c r="Q33071" s="5" t="s">
        <v>355</v>
      </c>
    </row>
    <row r="33072" ht="16.5" customHeight="1">
      <c r="O33072" s="5" t="s">
        <v>355</v>
      </c>
      <c r="P33072" s="5" t="s">
        <v>355</v>
      </c>
      <c r="Q33072" s="5" t="s">
        <v>355</v>
      </c>
    </row>
    <row r="33073" ht="16.5" customHeight="1">
      <c r="O33073" s="5" t="s">
        <v>355</v>
      </c>
      <c r="P33073" s="5" t="s">
        <v>355</v>
      </c>
      <c r="Q33073" s="5" t="s">
        <v>355</v>
      </c>
    </row>
    <row r="33074" ht="16.5" customHeight="1">
      <c r="O33074" s="5" t="s">
        <v>355</v>
      </c>
      <c r="P33074" s="5" t="s">
        <v>355</v>
      </c>
      <c r="Q33074" s="5" t="s">
        <v>355</v>
      </c>
    </row>
    <row r="33075" ht="16.5" customHeight="1">
      <c r="O33075" s="5" t="s">
        <v>355</v>
      </c>
      <c r="P33075" s="5" t="s">
        <v>355</v>
      </c>
      <c r="Q33075" s="5" t="s">
        <v>355</v>
      </c>
    </row>
    <row r="33076" ht="16.5" customHeight="1">
      <c r="O33076" s="5" t="s">
        <v>355</v>
      </c>
      <c r="P33076" s="5" t="s">
        <v>355</v>
      </c>
      <c r="Q33076" s="5" t="s">
        <v>355</v>
      </c>
    </row>
    <row r="33077" ht="16.5" customHeight="1">
      <c r="O33077" s="5" t="s">
        <v>355</v>
      </c>
      <c r="P33077" s="5" t="s">
        <v>355</v>
      </c>
      <c r="Q33077" s="5" t="s">
        <v>355</v>
      </c>
    </row>
    <row r="33078" ht="16.5" customHeight="1">
      <c r="O33078" s="5" t="s">
        <v>355</v>
      </c>
      <c r="P33078" s="5" t="s">
        <v>355</v>
      </c>
      <c r="Q33078" s="5" t="s">
        <v>355</v>
      </c>
    </row>
    <row r="33079" ht="16.5" customHeight="1">
      <c r="O33079" s="5" t="s">
        <v>355</v>
      </c>
      <c r="P33079" s="5" t="s">
        <v>355</v>
      </c>
      <c r="Q33079" s="5" t="s">
        <v>355</v>
      </c>
    </row>
    <row r="33080" ht="16.5" customHeight="1">
      <c r="O33080" s="5" t="s">
        <v>355</v>
      </c>
      <c r="P33080" s="5" t="s">
        <v>355</v>
      </c>
      <c r="Q33080" s="5" t="s">
        <v>355</v>
      </c>
    </row>
    <row r="33081" ht="16.5" customHeight="1">
      <c r="O33081" s="5" t="s">
        <v>355</v>
      </c>
      <c r="P33081" s="5" t="s">
        <v>355</v>
      </c>
      <c r="Q33081" s="5" t="s">
        <v>355</v>
      </c>
    </row>
    <row r="33082" ht="16.5" customHeight="1">
      <c r="O33082" s="5" t="s">
        <v>355</v>
      </c>
      <c r="P33082" s="5" t="s">
        <v>355</v>
      </c>
      <c r="Q33082" s="5" t="s">
        <v>355</v>
      </c>
    </row>
    <row r="33083" ht="16.5" customHeight="1">
      <c r="O33083" s="5" t="s">
        <v>355</v>
      </c>
      <c r="P33083" s="5" t="s">
        <v>355</v>
      </c>
      <c r="Q33083" s="5" t="s">
        <v>355</v>
      </c>
    </row>
    <row r="33084" ht="16.5" customHeight="1">
      <c r="O33084" s="5" t="s">
        <v>355</v>
      </c>
      <c r="P33084" s="5" t="s">
        <v>355</v>
      </c>
      <c r="Q33084" s="5" t="s">
        <v>355</v>
      </c>
    </row>
    <row r="33085" ht="16.5" customHeight="1">
      <c r="O33085" s="5" t="s">
        <v>355</v>
      </c>
      <c r="P33085" s="5" t="s">
        <v>355</v>
      </c>
      <c r="Q33085" s="5" t="s">
        <v>355</v>
      </c>
    </row>
    <row r="33086" ht="16.5" customHeight="1">
      <c r="O33086" s="5" t="s">
        <v>355</v>
      </c>
      <c r="P33086" s="5" t="s">
        <v>355</v>
      </c>
      <c r="Q33086" s="5" t="s">
        <v>355</v>
      </c>
    </row>
    <row r="33087" ht="16.5" customHeight="1">
      <c r="O33087" s="5" t="s">
        <v>355</v>
      </c>
      <c r="P33087" s="5" t="s">
        <v>355</v>
      </c>
      <c r="Q33087" s="5" t="s">
        <v>355</v>
      </c>
    </row>
    <row r="33088" ht="16.5" customHeight="1">
      <c r="O33088" s="5" t="s">
        <v>355</v>
      </c>
      <c r="P33088" s="5" t="s">
        <v>355</v>
      </c>
      <c r="Q33088" s="5" t="s">
        <v>355</v>
      </c>
    </row>
    <row r="33089" ht="16.5" customHeight="1">
      <c r="O33089" s="5" t="s">
        <v>355</v>
      </c>
      <c r="P33089" s="5" t="s">
        <v>355</v>
      </c>
      <c r="Q33089" s="5" t="s">
        <v>355</v>
      </c>
    </row>
    <row r="33090" ht="16.5" customHeight="1">
      <c r="O33090" s="5" t="s">
        <v>355</v>
      </c>
      <c r="P33090" s="5" t="s">
        <v>355</v>
      </c>
      <c r="Q33090" s="5" t="s">
        <v>355</v>
      </c>
    </row>
    <row r="33091" ht="16.5" customHeight="1">
      <c r="O33091" s="5" t="s">
        <v>355</v>
      </c>
      <c r="P33091" s="5" t="s">
        <v>355</v>
      </c>
      <c r="Q33091" s="5" t="s">
        <v>355</v>
      </c>
    </row>
    <row r="33092" ht="16.5" customHeight="1">
      <c r="O33092" s="5" t="s">
        <v>355</v>
      </c>
      <c r="P33092" s="5" t="s">
        <v>355</v>
      </c>
      <c r="Q33092" s="5" t="s">
        <v>355</v>
      </c>
    </row>
    <row r="33093" ht="16.5" customHeight="1">
      <c r="O33093" s="5" t="s">
        <v>355</v>
      </c>
      <c r="P33093" s="5" t="s">
        <v>355</v>
      </c>
      <c r="Q33093" s="5" t="s">
        <v>355</v>
      </c>
    </row>
    <row r="33094" ht="16.5" customHeight="1">
      <c r="O33094" s="5" t="s">
        <v>355</v>
      </c>
      <c r="P33094" s="5" t="s">
        <v>355</v>
      </c>
      <c r="Q33094" s="5" t="s">
        <v>355</v>
      </c>
    </row>
    <row r="33095" ht="16.5" customHeight="1">
      <c r="O33095" s="5" t="s">
        <v>355</v>
      </c>
      <c r="P33095" s="5" t="s">
        <v>355</v>
      </c>
      <c r="Q33095" s="5" t="s">
        <v>355</v>
      </c>
    </row>
    <row r="33096" ht="16.5" customHeight="1">
      <c r="O33096" s="5" t="s">
        <v>355</v>
      </c>
      <c r="P33096" s="5" t="s">
        <v>355</v>
      </c>
      <c r="Q33096" s="5" t="s">
        <v>355</v>
      </c>
    </row>
    <row r="33097" ht="16.5" customHeight="1">
      <c r="O33097" s="5" t="s">
        <v>355</v>
      </c>
      <c r="P33097" s="5" t="s">
        <v>355</v>
      </c>
      <c r="Q33097" s="5" t="s">
        <v>355</v>
      </c>
    </row>
    <row r="33098" ht="16.5" customHeight="1">
      <c r="O33098" s="5" t="s">
        <v>355</v>
      </c>
      <c r="P33098" s="5" t="s">
        <v>355</v>
      </c>
      <c r="Q33098" s="5" t="s">
        <v>355</v>
      </c>
    </row>
    <row r="33099" ht="16.5" customHeight="1">
      <c r="O33099" s="5" t="s">
        <v>355</v>
      </c>
      <c r="P33099" s="5" t="s">
        <v>355</v>
      </c>
      <c r="Q33099" s="5" t="s">
        <v>355</v>
      </c>
    </row>
    <row r="33100" ht="16.5" customHeight="1">
      <c r="O33100" s="5" t="s">
        <v>355</v>
      </c>
      <c r="P33100" s="5" t="s">
        <v>355</v>
      </c>
      <c r="Q33100" s="5" t="s">
        <v>355</v>
      </c>
    </row>
    <row r="33101" ht="16.5" customHeight="1">
      <c r="O33101" s="5" t="s">
        <v>355</v>
      </c>
      <c r="P33101" s="5" t="s">
        <v>355</v>
      </c>
      <c r="Q33101" s="5" t="s">
        <v>355</v>
      </c>
    </row>
    <row r="33102" ht="16.5" customHeight="1">
      <c r="O33102" s="5" t="s">
        <v>355</v>
      </c>
      <c r="P33102" s="5" t="s">
        <v>355</v>
      </c>
      <c r="Q33102" s="5" t="s">
        <v>355</v>
      </c>
    </row>
    <row r="33103" ht="16.5" customHeight="1">
      <c r="O33103" s="5" t="s">
        <v>355</v>
      </c>
      <c r="P33103" s="5" t="s">
        <v>355</v>
      </c>
      <c r="Q33103" s="5" t="s">
        <v>355</v>
      </c>
    </row>
    <row r="33104" ht="16.5" customHeight="1">
      <c r="O33104" s="5" t="s">
        <v>355</v>
      </c>
      <c r="P33104" s="5" t="s">
        <v>355</v>
      </c>
      <c r="Q33104" s="5" t="s">
        <v>355</v>
      </c>
    </row>
    <row r="33105" ht="16.5" customHeight="1">
      <c r="O33105" s="5" t="s">
        <v>355</v>
      </c>
      <c r="P33105" s="5" t="s">
        <v>355</v>
      </c>
      <c r="Q33105" s="5" t="s">
        <v>355</v>
      </c>
    </row>
    <row r="33106" ht="16.5" customHeight="1">
      <c r="O33106" s="5" t="s">
        <v>355</v>
      </c>
      <c r="P33106" s="5" t="s">
        <v>355</v>
      </c>
      <c r="Q33106" s="5" t="s">
        <v>355</v>
      </c>
    </row>
    <row r="33107" ht="16.5" customHeight="1">
      <c r="O33107" s="5" t="s">
        <v>355</v>
      </c>
      <c r="P33107" s="5" t="s">
        <v>355</v>
      </c>
      <c r="Q33107" s="5" t="s">
        <v>355</v>
      </c>
    </row>
    <row r="33108" ht="16.5" customHeight="1">
      <c r="O33108" s="5" t="s">
        <v>355</v>
      </c>
      <c r="P33108" s="5" t="s">
        <v>355</v>
      </c>
      <c r="Q33108" s="5" t="s">
        <v>355</v>
      </c>
    </row>
    <row r="33109" ht="16.5" customHeight="1">
      <c r="O33109" s="5" t="s">
        <v>355</v>
      </c>
      <c r="P33109" s="5" t="s">
        <v>355</v>
      </c>
      <c r="Q33109" s="5" t="s">
        <v>355</v>
      </c>
    </row>
    <row r="33110" ht="16.5" customHeight="1">
      <c r="O33110" s="5" t="s">
        <v>355</v>
      </c>
      <c r="P33110" s="5" t="s">
        <v>355</v>
      </c>
      <c r="Q33110" s="5" t="s">
        <v>355</v>
      </c>
    </row>
    <row r="33111" ht="16.5" customHeight="1">
      <c r="O33111" s="5" t="s">
        <v>355</v>
      </c>
      <c r="P33111" s="5" t="s">
        <v>355</v>
      </c>
      <c r="Q33111" s="5" t="s">
        <v>355</v>
      </c>
    </row>
    <row r="33112" ht="16.5" customHeight="1">
      <c r="O33112" s="5" t="s">
        <v>355</v>
      </c>
      <c r="P33112" s="5" t="s">
        <v>355</v>
      </c>
      <c r="Q33112" s="5" t="s">
        <v>355</v>
      </c>
    </row>
    <row r="33113" ht="16.5" customHeight="1">
      <c r="O33113" s="5" t="s">
        <v>355</v>
      </c>
      <c r="P33113" s="5" t="s">
        <v>355</v>
      </c>
      <c r="Q33113" s="5" t="s">
        <v>355</v>
      </c>
    </row>
    <row r="33114" ht="16.5" customHeight="1">
      <c r="O33114" s="5" t="s">
        <v>355</v>
      </c>
      <c r="P33114" s="5" t="s">
        <v>355</v>
      </c>
      <c r="Q33114" s="5" t="s">
        <v>355</v>
      </c>
    </row>
    <row r="33115" ht="16.5" customHeight="1">
      <c r="O33115" s="5" t="s">
        <v>355</v>
      </c>
      <c r="P33115" s="5" t="s">
        <v>355</v>
      </c>
      <c r="Q33115" s="5" t="s">
        <v>355</v>
      </c>
    </row>
    <row r="33116" ht="16.5" customHeight="1">
      <c r="O33116" s="5" t="s">
        <v>355</v>
      </c>
      <c r="P33116" s="5" t="s">
        <v>355</v>
      </c>
      <c r="Q33116" s="5" t="s">
        <v>355</v>
      </c>
    </row>
    <row r="33117" ht="16.5" customHeight="1">
      <c r="O33117" s="5" t="s">
        <v>355</v>
      </c>
      <c r="P33117" s="5" t="s">
        <v>355</v>
      </c>
      <c r="Q33117" s="5" t="s">
        <v>355</v>
      </c>
    </row>
    <row r="33118" ht="16.5" customHeight="1">
      <c r="O33118" s="5" t="s">
        <v>355</v>
      </c>
      <c r="P33118" s="5" t="s">
        <v>355</v>
      </c>
      <c r="Q33118" s="5" t="s">
        <v>355</v>
      </c>
    </row>
    <row r="33119" ht="16.5" customHeight="1">
      <c r="O33119" s="5" t="s">
        <v>355</v>
      </c>
      <c r="P33119" s="5" t="s">
        <v>355</v>
      </c>
      <c r="Q33119" s="5" t="s">
        <v>355</v>
      </c>
    </row>
    <row r="33120" ht="16.5" customHeight="1">
      <c r="O33120" s="5" t="s">
        <v>355</v>
      </c>
      <c r="P33120" s="5" t="s">
        <v>355</v>
      </c>
      <c r="Q33120" s="5" t="s">
        <v>355</v>
      </c>
    </row>
    <row r="33121" ht="16.5" customHeight="1">
      <c r="O33121" s="5" t="s">
        <v>355</v>
      </c>
      <c r="P33121" s="5" t="s">
        <v>355</v>
      </c>
      <c r="Q33121" s="5" t="s">
        <v>355</v>
      </c>
    </row>
    <row r="33122" ht="16.5" customHeight="1">
      <c r="O33122" s="5" t="s">
        <v>355</v>
      </c>
      <c r="P33122" s="5" t="s">
        <v>355</v>
      </c>
      <c r="Q33122" s="5" t="s">
        <v>355</v>
      </c>
    </row>
    <row r="33123" ht="16.5" customHeight="1">
      <c r="O33123" s="5" t="s">
        <v>355</v>
      </c>
      <c r="P33123" s="5" t="s">
        <v>355</v>
      </c>
      <c r="Q33123" s="5" t="s">
        <v>355</v>
      </c>
    </row>
    <row r="33124" ht="16.5" customHeight="1">
      <c r="O33124" s="5" t="s">
        <v>355</v>
      </c>
      <c r="P33124" s="5" t="s">
        <v>355</v>
      </c>
      <c r="Q33124" s="5" t="s">
        <v>355</v>
      </c>
    </row>
    <row r="33125" ht="16.5" customHeight="1">
      <c r="O33125" s="5" t="s">
        <v>355</v>
      </c>
      <c r="P33125" s="5" t="s">
        <v>355</v>
      </c>
      <c r="Q33125" s="5" t="s">
        <v>355</v>
      </c>
    </row>
    <row r="33126" ht="16.5" customHeight="1">
      <c r="O33126" s="5" t="s">
        <v>355</v>
      </c>
      <c r="P33126" s="5" t="s">
        <v>355</v>
      </c>
      <c r="Q33126" s="5" t="s">
        <v>355</v>
      </c>
    </row>
    <row r="33127" ht="16.5" customHeight="1">
      <c r="O33127" s="5" t="s">
        <v>355</v>
      </c>
      <c r="P33127" s="5" t="s">
        <v>355</v>
      </c>
      <c r="Q33127" s="5" t="s">
        <v>355</v>
      </c>
    </row>
    <row r="33128" ht="16.5" customHeight="1">
      <c r="O33128" s="5" t="s">
        <v>355</v>
      </c>
      <c r="P33128" s="5" t="s">
        <v>355</v>
      </c>
      <c r="Q33128" s="5" t="s">
        <v>355</v>
      </c>
    </row>
    <row r="33129" ht="16.5" customHeight="1">
      <c r="O33129" s="5" t="s">
        <v>355</v>
      </c>
      <c r="P33129" s="5" t="s">
        <v>355</v>
      </c>
      <c r="Q33129" s="5" t="s">
        <v>355</v>
      </c>
    </row>
    <row r="33130" ht="16.5" customHeight="1">
      <c r="O33130" s="5" t="s">
        <v>355</v>
      </c>
      <c r="P33130" s="5" t="s">
        <v>355</v>
      </c>
      <c r="Q33130" s="5" t="s">
        <v>355</v>
      </c>
    </row>
    <row r="33131" ht="16.5" customHeight="1">
      <c r="O33131" s="5" t="s">
        <v>355</v>
      </c>
      <c r="P33131" s="5" t="s">
        <v>355</v>
      </c>
      <c r="Q33131" s="5" t="s">
        <v>355</v>
      </c>
    </row>
    <row r="33132" ht="16.5" customHeight="1">
      <c r="O33132" s="5" t="s">
        <v>355</v>
      </c>
      <c r="P33132" s="5" t="s">
        <v>355</v>
      </c>
      <c r="Q33132" s="5" t="s">
        <v>355</v>
      </c>
    </row>
    <row r="33133" ht="16.5" customHeight="1">
      <c r="O33133" s="5" t="s">
        <v>355</v>
      </c>
      <c r="P33133" s="5" t="s">
        <v>355</v>
      </c>
      <c r="Q33133" s="5" t="s">
        <v>355</v>
      </c>
    </row>
    <row r="33134" ht="16.5" customHeight="1">
      <c r="O33134" s="5" t="s">
        <v>355</v>
      </c>
      <c r="P33134" s="5" t="s">
        <v>355</v>
      </c>
      <c r="Q33134" s="5" t="s">
        <v>355</v>
      </c>
    </row>
    <row r="33135" ht="16.5" customHeight="1">
      <c r="O33135" s="5" t="s">
        <v>355</v>
      </c>
      <c r="P33135" s="5" t="s">
        <v>355</v>
      </c>
      <c r="Q33135" s="5" t="s">
        <v>355</v>
      </c>
    </row>
    <row r="33136" ht="16.5" customHeight="1">
      <c r="O33136" s="5" t="s">
        <v>355</v>
      </c>
      <c r="P33136" s="5" t="s">
        <v>355</v>
      </c>
      <c r="Q33136" s="5" t="s">
        <v>355</v>
      </c>
    </row>
    <row r="33137" ht="16.5" customHeight="1">
      <c r="O33137" s="5" t="s">
        <v>355</v>
      </c>
      <c r="P33137" s="5" t="s">
        <v>355</v>
      </c>
      <c r="Q33137" s="5" t="s">
        <v>355</v>
      </c>
    </row>
    <row r="33138" ht="16.5" customHeight="1">
      <c r="O33138" s="5" t="s">
        <v>355</v>
      </c>
      <c r="P33138" s="5" t="s">
        <v>355</v>
      </c>
      <c r="Q33138" s="5" t="s">
        <v>355</v>
      </c>
    </row>
    <row r="33139" ht="16.5" customHeight="1">
      <c r="O33139" s="5" t="s">
        <v>355</v>
      </c>
      <c r="P33139" s="5" t="s">
        <v>355</v>
      </c>
      <c r="Q33139" s="5" t="s">
        <v>355</v>
      </c>
    </row>
    <row r="33140" ht="16.5" customHeight="1">
      <c r="O33140" s="5" t="s">
        <v>355</v>
      </c>
      <c r="P33140" s="5" t="s">
        <v>355</v>
      </c>
      <c r="Q33140" s="5" t="s">
        <v>355</v>
      </c>
    </row>
    <row r="33141" ht="16.5" customHeight="1">
      <c r="O33141" s="5" t="s">
        <v>355</v>
      </c>
      <c r="P33141" s="5" t="s">
        <v>355</v>
      </c>
      <c r="Q33141" s="5" t="s">
        <v>355</v>
      </c>
    </row>
    <row r="33142" ht="16.5" customHeight="1">
      <c r="O33142" s="5" t="s">
        <v>355</v>
      </c>
      <c r="P33142" s="5" t="s">
        <v>355</v>
      </c>
      <c r="Q33142" s="5" t="s">
        <v>355</v>
      </c>
    </row>
    <row r="33143" ht="16.5" customHeight="1">
      <c r="O33143" s="5" t="s">
        <v>355</v>
      </c>
      <c r="P33143" s="5" t="s">
        <v>355</v>
      </c>
      <c r="Q33143" s="5" t="s">
        <v>355</v>
      </c>
    </row>
    <row r="33144" ht="16.5" customHeight="1">
      <c r="O33144" s="5" t="s">
        <v>355</v>
      </c>
      <c r="P33144" s="5" t="s">
        <v>355</v>
      </c>
      <c r="Q33144" s="5" t="s">
        <v>355</v>
      </c>
    </row>
    <row r="33145" ht="16.5" customHeight="1">
      <c r="O33145" s="5" t="s">
        <v>355</v>
      </c>
      <c r="P33145" s="5" t="s">
        <v>355</v>
      </c>
      <c r="Q33145" s="5" t="s">
        <v>355</v>
      </c>
    </row>
    <row r="33146" ht="16.5" customHeight="1">
      <c r="O33146" s="5" t="s">
        <v>355</v>
      </c>
      <c r="P33146" s="5" t="s">
        <v>355</v>
      </c>
      <c r="Q33146" s="5" t="s">
        <v>355</v>
      </c>
    </row>
    <row r="33147" ht="16.5" customHeight="1">
      <c r="O33147" s="5" t="s">
        <v>355</v>
      </c>
      <c r="P33147" s="5" t="s">
        <v>355</v>
      </c>
      <c r="Q33147" s="5" t="s">
        <v>355</v>
      </c>
    </row>
    <row r="33148" ht="16.5" customHeight="1">
      <c r="O33148" s="5" t="s">
        <v>355</v>
      </c>
      <c r="P33148" s="5" t="s">
        <v>355</v>
      </c>
      <c r="Q33148" s="5" t="s">
        <v>355</v>
      </c>
    </row>
    <row r="33149" ht="16.5" customHeight="1">
      <c r="O33149" s="5" t="s">
        <v>355</v>
      </c>
      <c r="P33149" s="5" t="s">
        <v>355</v>
      </c>
      <c r="Q33149" s="5" t="s">
        <v>355</v>
      </c>
    </row>
    <row r="33150" ht="16.5" customHeight="1">
      <c r="O33150" s="5" t="s">
        <v>355</v>
      </c>
      <c r="P33150" s="5" t="s">
        <v>355</v>
      </c>
      <c r="Q33150" s="5" t="s">
        <v>355</v>
      </c>
    </row>
    <row r="33151" ht="16.5" customHeight="1">
      <c r="O33151" s="5" t="s">
        <v>355</v>
      </c>
      <c r="P33151" s="5" t="s">
        <v>355</v>
      </c>
      <c r="Q33151" s="5" t="s">
        <v>355</v>
      </c>
    </row>
    <row r="33152" ht="16.5" customHeight="1">
      <c r="O33152" s="5" t="s">
        <v>355</v>
      </c>
      <c r="P33152" s="5" t="s">
        <v>355</v>
      </c>
      <c r="Q33152" s="5" t="s">
        <v>355</v>
      </c>
    </row>
    <row r="33153" ht="16.5" customHeight="1">
      <c r="O33153" s="5" t="s">
        <v>355</v>
      </c>
      <c r="P33153" s="5" t="s">
        <v>355</v>
      </c>
      <c r="Q33153" s="5" t="s">
        <v>355</v>
      </c>
    </row>
    <row r="33154" ht="16.5" customHeight="1">
      <c r="O33154" s="5" t="s">
        <v>355</v>
      </c>
      <c r="P33154" s="5" t="s">
        <v>355</v>
      </c>
      <c r="Q33154" s="5" t="s">
        <v>355</v>
      </c>
    </row>
    <row r="33155" ht="16.5" customHeight="1">
      <c r="O33155" s="5" t="s">
        <v>355</v>
      </c>
      <c r="P33155" s="5" t="s">
        <v>355</v>
      </c>
      <c r="Q33155" s="5" t="s">
        <v>355</v>
      </c>
    </row>
    <row r="33156" ht="16.5" customHeight="1">
      <c r="O33156" s="5" t="s">
        <v>355</v>
      </c>
      <c r="P33156" s="5" t="s">
        <v>355</v>
      </c>
      <c r="Q33156" s="5" t="s">
        <v>355</v>
      </c>
    </row>
    <row r="33157" ht="16.5" customHeight="1">
      <c r="O33157" s="5" t="s">
        <v>355</v>
      </c>
      <c r="P33157" s="5" t="s">
        <v>355</v>
      </c>
      <c r="Q33157" s="5" t="s">
        <v>355</v>
      </c>
    </row>
    <row r="33158" ht="16.5" customHeight="1">
      <c r="O33158" s="5" t="s">
        <v>355</v>
      </c>
      <c r="P33158" s="5" t="s">
        <v>355</v>
      </c>
      <c r="Q33158" s="5" t="s">
        <v>355</v>
      </c>
    </row>
    <row r="33159" ht="16.5" customHeight="1">
      <c r="O33159" s="5" t="s">
        <v>355</v>
      </c>
      <c r="P33159" s="5" t="s">
        <v>355</v>
      </c>
      <c r="Q33159" s="5" t="s">
        <v>355</v>
      </c>
    </row>
    <row r="33160" ht="16.5" customHeight="1">
      <c r="O33160" s="5" t="s">
        <v>355</v>
      </c>
      <c r="P33160" s="5" t="s">
        <v>355</v>
      </c>
      <c r="Q33160" s="5" t="s">
        <v>355</v>
      </c>
    </row>
    <row r="33161" ht="16.5" customHeight="1">
      <c r="O33161" s="5" t="s">
        <v>355</v>
      </c>
      <c r="P33161" s="5" t="s">
        <v>355</v>
      </c>
      <c r="Q33161" s="5" t="s">
        <v>355</v>
      </c>
    </row>
    <row r="33162" ht="16.5" customHeight="1">
      <c r="O33162" s="5" t="s">
        <v>355</v>
      </c>
      <c r="P33162" s="5" t="s">
        <v>355</v>
      </c>
      <c r="Q33162" s="5" t="s">
        <v>355</v>
      </c>
    </row>
    <row r="33163" ht="16.5" customHeight="1">
      <c r="O33163" s="5" t="s">
        <v>355</v>
      </c>
      <c r="P33163" s="5" t="s">
        <v>355</v>
      </c>
      <c r="Q33163" s="5" t="s">
        <v>355</v>
      </c>
    </row>
    <row r="33164" ht="16.5" customHeight="1">
      <c r="O33164" s="5" t="s">
        <v>355</v>
      </c>
      <c r="P33164" s="5" t="s">
        <v>355</v>
      </c>
      <c r="Q33164" s="5" t="s">
        <v>355</v>
      </c>
    </row>
    <row r="33165" ht="16.5" customHeight="1">
      <c r="O33165" s="5" t="s">
        <v>355</v>
      </c>
      <c r="P33165" s="5" t="s">
        <v>355</v>
      </c>
      <c r="Q33165" s="5" t="s">
        <v>355</v>
      </c>
    </row>
    <row r="33166" ht="16.5" customHeight="1">
      <c r="O33166" s="5" t="s">
        <v>355</v>
      </c>
      <c r="P33166" s="5" t="s">
        <v>355</v>
      </c>
      <c r="Q33166" s="5" t="s">
        <v>355</v>
      </c>
    </row>
    <row r="33167" ht="16.5" customHeight="1">
      <c r="O33167" s="5" t="s">
        <v>355</v>
      </c>
      <c r="P33167" s="5" t="s">
        <v>355</v>
      </c>
      <c r="Q33167" s="5" t="s">
        <v>355</v>
      </c>
    </row>
    <row r="33168" ht="16.5" customHeight="1">
      <c r="O33168" s="5" t="s">
        <v>355</v>
      </c>
      <c r="P33168" s="5" t="s">
        <v>355</v>
      </c>
      <c r="Q33168" s="5" t="s">
        <v>355</v>
      </c>
    </row>
    <row r="33169" ht="16.5" customHeight="1">
      <c r="O33169" s="5" t="s">
        <v>355</v>
      </c>
      <c r="P33169" s="5" t="s">
        <v>355</v>
      </c>
      <c r="Q33169" s="5" t="s">
        <v>355</v>
      </c>
    </row>
    <row r="33170" ht="16.5" customHeight="1">
      <c r="O33170" s="5" t="s">
        <v>355</v>
      </c>
      <c r="P33170" s="5" t="s">
        <v>355</v>
      </c>
      <c r="Q33170" s="5" t="s">
        <v>355</v>
      </c>
    </row>
    <row r="33171" ht="16.5" customHeight="1">
      <c r="O33171" s="5" t="s">
        <v>355</v>
      </c>
      <c r="P33171" s="5" t="s">
        <v>355</v>
      </c>
      <c r="Q33171" s="5" t="s">
        <v>355</v>
      </c>
    </row>
    <row r="33172" ht="16.5" customHeight="1">
      <c r="O33172" s="5" t="s">
        <v>355</v>
      </c>
      <c r="P33172" s="5" t="s">
        <v>355</v>
      </c>
      <c r="Q33172" s="5" t="s">
        <v>355</v>
      </c>
    </row>
    <row r="33173" ht="16.5" customHeight="1">
      <c r="O33173" s="5" t="s">
        <v>355</v>
      </c>
      <c r="P33173" s="5" t="s">
        <v>355</v>
      </c>
      <c r="Q33173" s="5" t="s">
        <v>355</v>
      </c>
    </row>
    <row r="33174" ht="16.5" customHeight="1">
      <c r="O33174" s="5" t="s">
        <v>355</v>
      </c>
      <c r="P33174" s="5" t="s">
        <v>355</v>
      </c>
      <c r="Q33174" s="5" t="s">
        <v>355</v>
      </c>
    </row>
    <row r="33175" ht="16.5" customHeight="1">
      <c r="O33175" s="5" t="s">
        <v>355</v>
      </c>
      <c r="P33175" s="5" t="s">
        <v>355</v>
      </c>
      <c r="Q33175" s="5" t="s">
        <v>355</v>
      </c>
    </row>
    <row r="33176" ht="16.5" customHeight="1">
      <c r="O33176" s="5" t="s">
        <v>355</v>
      </c>
      <c r="P33176" s="5" t="s">
        <v>355</v>
      </c>
      <c r="Q33176" s="5" t="s">
        <v>355</v>
      </c>
    </row>
    <row r="33177" ht="16.5" customHeight="1">
      <c r="O33177" s="5" t="s">
        <v>355</v>
      </c>
      <c r="P33177" s="5" t="s">
        <v>355</v>
      </c>
      <c r="Q33177" s="5" t="s">
        <v>355</v>
      </c>
    </row>
    <row r="33178" ht="16.5" customHeight="1">
      <c r="O33178" s="5" t="s">
        <v>355</v>
      </c>
      <c r="P33178" s="5" t="s">
        <v>355</v>
      </c>
      <c r="Q33178" s="5" t="s">
        <v>355</v>
      </c>
    </row>
    <row r="33179" ht="16.5" customHeight="1">
      <c r="O33179" s="5" t="s">
        <v>355</v>
      </c>
      <c r="P33179" s="5" t="s">
        <v>355</v>
      </c>
      <c r="Q33179" s="5" t="s">
        <v>355</v>
      </c>
    </row>
    <row r="33180" ht="16.5" customHeight="1">
      <c r="O33180" s="5" t="s">
        <v>355</v>
      </c>
      <c r="P33180" s="5" t="s">
        <v>355</v>
      </c>
      <c r="Q33180" s="5" t="s">
        <v>355</v>
      </c>
    </row>
    <row r="33181" ht="16.5" customHeight="1">
      <c r="O33181" s="5" t="s">
        <v>355</v>
      </c>
      <c r="P33181" s="5" t="s">
        <v>355</v>
      </c>
      <c r="Q33181" s="5" t="s">
        <v>355</v>
      </c>
    </row>
    <row r="33182" ht="16.5" customHeight="1">
      <c r="O33182" s="5" t="s">
        <v>355</v>
      </c>
      <c r="P33182" s="5" t="s">
        <v>355</v>
      </c>
      <c r="Q33182" s="5" t="s">
        <v>355</v>
      </c>
    </row>
    <row r="33183" ht="16.5" customHeight="1">
      <c r="O33183" s="5" t="s">
        <v>355</v>
      </c>
      <c r="P33183" s="5" t="s">
        <v>355</v>
      </c>
      <c r="Q33183" s="5" t="s">
        <v>355</v>
      </c>
    </row>
    <row r="33184" ht="16.5" customHeight="1">
      <c r="O33184" s="5" t="s">
        <v>355</v>
      </c>
      <c r="P33184" s="5" t="s">
        <v>355</v>
      </c>
      <c r="Q33184" s="5" t="s">
        <v>355</v>
      </c>
    </row>
    <row r="33185" ht="16.5" customHeight="1">
      <c r="O33185" s="5" t="s">
        <v>355</v>
      </c>
      <c r="P33185" s="5" t="s">
        <v>355</v>
      </c>
      <c r="Q33185" s="5" t="s">
        <v>355</v>
      </c>
    </row>
    <row r="33186" ht="16.5" customHeight="1">
      <c r="O33186" s="5" t="s">
        <v>355</v>
      </c>
      <c r="P33186" s="5" t="s">
        <v>355</v>
      </c>
      <c r="Q33186" s="5" t="s">
        <v>355</v>
      </c>
    </row>
    <row r="33187" ht="16.5" customHeight="1">
      <c r="O33187" s="5" t="s">
        <v>355</v>
      </c>
      <c r="P33187" s="5" t="s">
        <v>355</v>
      </c>
      <c r="Q33187" s="5" t="s">
        <v>355</v>
      </c>
    </row>
    <row r="33188" ht="16.5" customHeight="1">
      <c r="O33188" s="5" t="s">
        <v>355</v>
      </c>
      <c r="P33188" s="5" t="s">
        <v>355</v>
      </c>
      <c r="Q33188" s="5" t="s">
        <v>355</v>
      </c>
    </row>
    <row r="33189" ht="16.5" customHeight="1">
      <c r="O33189" s="5" t="s">
        <v>355</v>
      </c>
      <c r="P33189" s="5" t="s">
        <v>355</v>
      </c>
      <c r="Q33189" s="5" t="s">
        <v>355</v>
      </c>
    </row>
    <row r="33190" ht="16.5" customHeight="1">
      <c r="O33190" s="5" t="s">
        <v>355</v>
      </c>
      <c r="P33190" s="5" t="s">
        <v>355</v>
      </c>
      <c r="Q33190" s="5" t="s">
        <v>355</v>
      </c>
    </row>
    <row r="33191" ht="16.5" customHeight="1">
      <c r="O33191" s="5" t="s">
        <v>355</v>
      </c>
      <c r="P33191" s="5" t="s">
        <v>355</v>
      </c>
      <c r="Q33191" s="5" t="s">
        <v>355</v>
      </c>
    </row>
    <row r="33192" ht="16.5" customHeight="1">
      <c r="O33192" s="5" t="s">
        <v>355</v>
      </c>
      <c r="P33192" s="5" t="s">
        <v>355</v>
      </c>
      <c r="Q33192" s="5" t="s">
        <v>355</v>
      </c>
    </row>
    <row r="33193" ht="16.5" customHeight="1">
      <c r="O33193" s="5" t="s">
        <v>355</v>
      </c>
      <c r="P33193" s="5" t="s">
        <v>355</v>
      </c>
      <c r="Q33193" s="5" t="s">
        <v>355</v>
      </c>
    </row>
    <row r="33194" ht="16.5" customHeight="1">
      <c r="O33194" s="5" t="s">
        <v>355</v>
      </c>
      <c r="P33194" s="5" t="s">
        <v>355</v>
      </c>
      <c r="Q33194" s="5" t="s">
        <v>355</v>
      </c>
    </row>
    <row r="33195" ht="16.5" customHeight="1">
      <c r="O33195" s="5" t="s">
        <v>355</v>
      </c>
      <c r="P33195" s="5" t="s">
        <v>355</v>
      </c>
      <c r="Q33195" s="5" t="s">
        <v>355</v>
      </c>
    </row>
    <row r="33196" ht="16.5" customHeight="1">
      <c r="O33196" s="5" t="s">
        <v>355</v>
      </c>
      <c r="P33196" s="5" t="s">
        <v>355</v>
      </c>
      <c r="Q33196" s="5" t="s">
        <v>355</v>
      </c>
    </row>
    <row r="33197" ht="16.5" customHeight="1">
      <c r="O33197" s="5" t="s">
        <v>355</v>
      </c>
      <c r="P33197" s="5" t="s">
        <v>355</v>
      </c>
      <c r="Q33197" s="5" t="s">
        <v>355</v>
      </c>
    </row>
    <row r="33198" ht="16.5" customHeight="1">
      <c r="O33198" s="5" t="s">
        <v>355</v>
      </c>
      <c r="P33198" s="5" t="s">
        <v>355</v>
      </c>
      <c r="Q33198" s="5" t="s">
        <v>355</v>
      </c>
    </row>
    <row r="33199" ht="16.5" customHeight="1">
      <c r="O33199" s="5" t="s">
        <v>355</v>
      </c>
      <c r="P33199" s="5" t="s">
        <v>355</v>
      </c>
      <c r="Q33199" s="5" t="s">
        <v>355</v>
      </c>
    </row>
    <row r="33200" ht="16.5" customHeight="1">
      <c r="O33200" s="5" t="s">
        <v>355</v>
      </c>
      <c r="P33200" s="5" t="s">
        <v>355</v>
      </c>
      <c r="Q33200" s="5" t="s">
        <v>355</v>
      </c>
    </row>
    <row r="33201" ht="16.5" customHeight="1">
      <c r="O33201" s="5" t="s">
        <v>355</v>
      </c>
      <c r="P33201" s="5" t="s">
        <v>355</v>
      </c>
      <c r="Q33201" s="5" t="s">
        <v>355</v>
      </c>
    </row>
    <row r="33202" ht="16.5" customHeight="1">
      <c r="O33202" s="5" t="s">
        <v>355</v>
      </c>
      <c r="P33202" s="5" t="s">
        <v>355</v>
      </c>
      <c r="Q33202" s="5" t="s">
        <v>355</v>
      </c>
    </row>
    <row r="33203" ht="16.5" customHeight="1">
      <c r="O33203" s="5" t="s">
        <v>355</v>
      </c>
      <c r="P33203" s="5" t="s">
        <v>355</v>
      </c>
      <c r="Q33203" s="5" t="s">
        <v>355</v>
      </c>
    </row>
    <row r="33204" ht="16.5" customHeight="1">
      <c r="O33204" s="5" t="s">
        <v>355</v>
      </c>
      <c r="P33204" s="5" t="s">
        <v>355</v>
      </c>
      <c r="Q33204" s="5" t="s">
        <v>355</v>
      </c>
    </row>
    <row r="33205" ht="16.5" customHeight="1">
      <c r="O33205" s="5" t="s">
        <v>355</v>
      </c>
      <c r="P33205" s="5" t="s">
        <v>355</v>
      </c>
      <c r="Q33205" s="5" t="s">
        <v>355</v>
      </c>
    </row>
    <row r="33206" ht="16.5" customHeight="1">
      <c r="O33206" s="5" t="s">
        <v>355</v>
      </c>
      <c r="P33206" s="5" t="s">
        <v>355</v>
      </c>
      <c r="Q33206" s="5" t="s">
        <v>355</v>
      </c>
    </row>
    <row r="33207" ht="16.5" customHeight="1">
      <c r="O33207" s="5" t="s">
        <v>355</v>
      </c>
      <c r="P33207" s="5" t="s">
        <v>355</v>
      </c>
      <c r="Q33207" s="5" t="s">
        <v>355</v>
      </c>
    </row>
    <row r="33208" ht="16.5" customHeight="1">
      <c r="O33208" s="5" t="s">
        <v>355</v>
      </c>
      <c r="P33208" s="5" t="s">
        <v>355</v>
      </c>
      <c r="Q33208" s="5" t="s">
        <v>355</v>
      </c>
    </row>
    <row r="33209" ht="16.5" customHeight="1">
      <c r="O33209" s="5" t="s">
        <v>355</v>
      </c>
      <c r="P33209" s="5" t="s">
        <v>355</v>
      </c>
      <c r="Q33209" s="5" t="s">
        <v>355</v>
      </c>
    </row>
    <row r="33210" ht="16.5" customHeight="1">
      <c r="O33210" s="5" t="s">
        <v>355</v>
      </c>
      <c r="P33210" s="5" t="s">
        <v>355</v>
      </c>
      <c r="Q33210" s="5" t="s">
        <v>355</v>
      </c>
    </row>
    <row r="33211" ht="16.5" customHeight="1">
      <c r="O33211" s="5" t="s">
        <v>355</v>
      </c>
      <c r="P33211" s="5" t="s">
        <v>355</v>
      </c>
      <c r="Q33211" s="5" t="s">
        <v>355</v>
      </c>
    </row>
    <row r="33212" ht="16.5" customHeight="1">
      <c r="O33212" s="5" t="s">
        <v>355</v>
      </c>
      <c r="P33212" s="5" t="s">
        <v>355</v>
      </c>
      <c r="Q33212" s="5" t="s">
        <v>355</v>
      </c>
    </row>
    <row r="33213" ht="16.5" customHeight="1">
      <c r="O33213" s="5" t="s">
        <v>355</v>
      </c>
      <c r="P33213" s="5" t="s">
        <v>355</v>
      </c>
      <c r="Q33213" s="5" t="s">
        <v>355</v>
      </c>
    </row>
    <row r="33214" ht="16.5" customHeight="1">
      <c r="O33214" s="5" t="s">
        <v>355</v>
      </c>
      <c r="P33214" s="5" t="s">
        <v>355</v>
      </c>
      <c r="Q33214" s="5" t="s">
        <v>355</v>
      </c>
    </row>
    <row r="33215" ht="16.5" customHeight="1">
      <c r="O33215" s="5" t="s">
        <v>355</v>
      </c>
      <c r="P33215" s="5" t="s">
        <v>355</v>
      </c>
      <c r="Q33215" s="5" t="s">
        <v>355</v>
      </c>
    </row>
    <row r="33216" ht="16.5" customHeight="1">
      <c r="O33216" s="5" t="s">
        <v>355</v>
      </c>
      <c r="P33216" s="5" t="s">
        <v>355</v>
      </c>
      <c r="Q33216" s="5" t="s">
        <v>355</v>
      </c>
    </row>
    <row r="33217" ht="16.5" customHeight="1">
      <c r="O33217" s="5" t="s">
        <v>355</v>
      </c>
      <c r="P33217" s="5" t="s">
        <v>355</v>
      </c>
      <c r="Q33217" s="5" t="s">
        <v>355</v>
      </c>
    </row>
    <row r="33218" ht="16.5" customHeight="1">
      <c r="O33218" s="5" t="s">
        <v>355</v>
      </c>
      <c r="P33218" s="5" t="s">
        <v>355</v>
      </c>
      <c r="Q33218" s="5" t="s">
        <v>355</v>
      </c>
    </row>
    <row r="33219" ht="16.5" customHeight="1">
      <c r="O33219" s="5" t="s">
        <v>355</v>
      </c>
      <c r="P33219" s="5" t="s">
        <v>355</v>
      </c>
      <c r="Q33219" s="5" t="s">
        <v>355</v>
      </c>
    </row>
    <row r="33220" ht="16.5" customHeight="1">
      <c r="O33220" s="5" t="s">
        <v>355</v>
      </c>
      <c r="P33220" s="5" t="s">
        <v>355</v>
      </c>
      <c r="Q33220" s="5" t="s">
        <v>355</v>
      </c>
    </row>
    <row r="33221" ht="16.5" customHeight="1">
      <c r="O33221" s="5" t="s">
        <v>355</v>
      </c>
      <c r="P33221" s="5" t="s">
        <v>355</v>
      </c>
      <c r="Q33221" s="5" t="s">
        <v>355</v>
      </c>
    </row>
    <row r="33222" ht="16.5" customHeight="1">
      <c r="O33222" s="5" t="s">
        <v>355</v>
      </c>
      <c r="P33222" s="5" t="s">
        <v>355</v>
      </c>
      <c r="Q33222" s="5" t="s">
        <v>355</v>
      </c>
    </row>
    <row r="33223" ht="16.5" customHeight="1">
      <c r="O33223" s="5" t="s">
        <v>355</v>
      </c>
      <c r="P33223" s="5" t="s">
        <v>355</v>
      </c>
      <c r="Q33223" s="5" t="s">
        <v>355</v>
      </c>
    </row>
    <row r="33224" ht="16.5" customHeight="1">
      <c r="O33224" s="5" t="s">
        <v>355</v>
      </c>
      <c r="P33224" s="5" t="s">
        <v>355</v>
      </c>
      <c r="Q33224" s="5" t="s">
        <v>355</v>
      </c>
    </row>
    <row r="33225" ht="16.5" customHeight="1">
      <c r="O33225" s="5" t="s">
        <v>355</v>
      </c>
      <c r="P33225" s="5" t="s">
        <v>355</v>
      </c>
      <c r="Q33225" s="5" t="s">
        <v>355</v>
      </c>
    </row>
    <row r="33226" ht="16.5" customHeight="1">
      <c r="O33226" s="5" t="s">
        <v>355</v>
      </c>
      <c r="P33226" s="5" t="s">
        <v>355</v>
      </c>
      <c r="Q33226" s="5" t="s">
        <v>355</v>
      </c>
    </row>
    <row r="33227" ht="16.5" customHeight="1">
      <c r="O33227" s="5" t="s">
        <v>355</v>
      </c>
      <c r="P33227" s="5" t="s">
        <v>355</v>
      </c>
      <c r="Q33227" s="5" t="s">
        <v>355</v>
      </c>
    </row>
    <row r="33228" ht="16.5" customHeight="1">
      <c r="O33228" s="5" t="s">
        <v>355</v>
      </c>
      <c r="P33228" s="5" t="s">
        <v>355</v>
      </c>
      <c r="Q33228" s="5" t="s">
        <v>355</v>
      </c>
    </row>
    <row r="33229" ht="16.5" customHeight="1">
      <c r="O33229" s="5" t="s">
        <v>355</v>
      </c>
      <c r="P33229" s="5" t="s">
        <v>355</v>
      </c>
      <c r="Q33229" s="5" t="s">
        <v>355</v>
      </c>
    </row>
    <row r="33230" ht="16.5" customHeight="1">
      <c r="O33230" s="5" t="s">
        <v>355</v>
      </c>
      <c r="P33230" s="5" t="s">
        <v>355</v>
      </c>
      <c r="Q33230" s="5" t="s">
        <v>355</v>
      </c>
    </row>
    <row r="33231" ht="16.5" customHeight="1">
      <c r="O33231" s="5" t="s">
        <v>355</v>
      </c>
      <c r="P33231" s="5" t="s">
        <v>355</v>
      </c>
      <c r="Q33231" s="5" t="s">
        <v>355</v>
      </c>
    </row>
    <row r="33232" ht="16.5" customHeight="1">
      <c r="O33232" s="5" t="s">
        <v>355</v>
      </c>
      <c r="P33232" s="5" t="s">
        <v>355</v>
      </c>
      <c r="Q33232" s="5" t="s">
        <v>355</v>
      </c>
    </row>
    <row r="33233" ht="16.5" customHeight="1">
      <c r="O33233" s="5" t="s">
        <v>355</v>
      </c>
      <c r="P33233" s="5" t="s">
        <v>355</v>
      </c>
      <c r="Q33233" s="5" t="s">
        <v>355</v>
      </c>
    </row>
    <row r="33234" ht="16.5" customHeight="1">
      <c r="O33234" s="5" t="s">
        <v>355</v>
      </c>
      <c r="P33234" s="5" t="s">
        <v>355</v>
      </c>
      <c r="Q33234" s="5" t="s">
        <v>355</v>
      </c>
    </row>
    <row r="33235" ht="16.5" customHeight="1">
      <c r="O33235" s="5" t="s">
        <v>355</v>
      </c>
      <c r="P33235" s="5" t="s">
        <v>355</v>
      </c>
      <c r="Q33235" s="5" t="s">
        <v>355</v>
      </c>
    </row>
    <row r="33236" ht="16.5" customHeight="1">
      <c r="O33236" s="5" t="s">
        <v>355</v>
      </c>
      <c r="P33236" s="5" t="s">
        <v>355</v>
      </c>
      <c r="Q33236" s="5" t="s">
        <v>355</v>
      </c>
    </row>
    <row r="33237" ht="16.5" customHeight="1">
      <c r="O33237" s="5" t="s">
        <v>355</v>
      </c>
      <c r="P33237" s="5" t="s">
        <v>355</v>
      </c>
      <c r="Q33237" s="5" t="s">
        <v>355</v>
      </c>
    </row>
    <row r="33238" ht="16.5" customHeight="1">
      <c r="O33238" s="5" t="s">
        <v>355</v>
      </c>
      <c r="P33238" s="5" t="s">
        <v>355</v>
      </c>
      <c r="Q33238" s="5" t="s">
        <v>355</v>
      </c>
    </row>
    <row r="33239" ht="16.5" customHeight="1">
      <c r="O33239" s="5" t="s">
        <v>355</v>
      </c>
      <c r="P33239" s="5" t="s">
        <v>355</v>
      </c>
      <c r="Q33239" s="5" t="s">
        <v>355</v>
      </c>
    </row>
    <row r="33240" ht="16.5" customHeight="1">
      <c r="O33240" s="5" t="s">
        <v>355</v>
      </c>
      <c r="P33240" s="5" t="s">
        <v>355</v>
      </c>
      <c r="Q33240" s="5" t="s">
        <v>355</v>
      </c>
    </row>
    <row r="33241" ht="16.5" customHeight="1">
      <c r="O33241" s="5" t="s">
        <v>355</v>
      </c>
      <c r="P33241" s="5" t="s">
        <v>355</v>
      </c>
      <c r="Q33241" s="5" t="s">
        <v>355</v>
      </c>
    </row>
    <row r="33242" ht="16.5" customHeight="1">
      <c r="O33242" s="5" t="s">
        <v>355</v>
      </c>
      <c r="P33242" s="5" t="s">
        <v>355</v>
      </c>
      <c r="Q33242" s="5" t="s">
        <v>355</v>
      </c>
    </row>
    <row r="33243" ht="16.5" customHeight="1">
      <c r="O33243" s="5" t="s">
        <v>355</v>
      </c>
      <c r="P33243" s="5" t="s">
        <v>355</v>
      </c>
      <c r="Q33243" s="5" t="s">
        <v>355</v>
      </c>
    </row>
    <row r="33244" ht="16.5" customHeight="1">
      <c r="O33244" s="5" t="s">
        <v>355</v>
      </c>
      <c r="P33244" s="5" t="s">
        <v>355</v>
      </c>
      <c r="Q33244" s="5" t="s">
        <v>355</v>
      </c>
    </row>
    <row r="33245" ht="16.5" customHeight="1">
      <c r="O33245" s="5" t="s">
        <v>355</v>
      </c>
      <c r="P33245" s="5" t="s">
        <v>355</v>
      </c>
      <c r="Q33245" s="5" t="s">
        <v>355</v>
      </c>
    </row>
    <row r="33246" ht="16.5" customHeight="1">
      <c r="O33246" s="5" t="s">
        <v>355</v>
      </c>
      <c r="P33246" s="5" t="s">
        <v>355</v>
      </c>
      <c r="Q33246" s="5" t="s">
        <v>355</v>
      </c>
    </row>
    <row r="33247" ht="16.5" customHeight="1">
      <c r="O33247" s="5" t="s">
        <v>355</v>
      </c>
      <c r="P33247" s="5" t="s">
        <v>355</v>
      </c>
      <c r="Q33247" s="5" t="s">
        <v>355</v>
      </c>
    </row>
    <row r="33248" ht="16.5" customHeight="1">
      <c r="O33248" s="5" t="s">
        <v>355</v>
      </c>
      <c r="P33248" s="5" t="s">
        <v>355</v>
      </c>
      <c r="Q33248" s="5" t="s">
        <v>355</v>
      </c>
    </row>
    <row r="33249" ht="16.5" customHeight="1">
      <c r="O33249" s="5" t="s">
        <v>355</v>
      </c>
      <c r="P33249" s="5" t="s">
        <v>355</v>
      </c>
      <c r="Q33249" s="5" t="s">
        <v>355</v>
      </c>
    </row>
    <row r="33250" ht="16.5" customHeight="1">
      <c r="O33250" s="5" t="s">
        <v>355</v>
      </c>
      <c r="P33250" s="5" t="s">
        <v>355</v>
      </c>
      <c r="Q33250" s="5" t="s">
        <v>355</v>
      </c>
    </row>
    <row r="33251" ht="16.5" customHeight="1">
      <c r="O33251" s="5" t="s">
        <v>355</v>
      </c>
      <c r="P33251" s="5" t="s">
        <v>355</v>
      </c>
      <c r="Q33251" s="5" t="s">
        <v>355</v>
      </c>
    </row>
    <row r="33252" ht="16.5" customHeight="1">
      <c r="O33252" s="5" t="s">
        <v>355</v>
      </c>
      <c r="P33252" s="5" t="s">
        <v>355</v>
      </c>
      <c r="Q33252" s="5" t="s">
        <v>355</v>
      </c>
    </row>
    <row r="33253" ht="16.5" customHeight="1">
      <c r="O33253" s="5" t="s">
        <v>355</v>
      </c>
      <c r="P33253" s="5" t="s">
        <v>355</v>
      </c>
      <c r="Q33253" s="5" t="s">
        <v>355</v>
      </c>
    </row>
    <row r="33254" ht="16.5" customHeight="1">
      <c r="O33254" s="5" t="s">
        <v>355</v>
      </c>
      <c r="P33254" s="5" t="s">
        <v>355</v>
      </c>
      <c r="Q33254" s="5" t="s">
        <v>355</v>
      </c>
    </row>
    <row r="33255" ht="16.5" customHeight="1">
      <c r="O33255" s="5" t="s">
        <v>355</v>
      </c>
      <c r="P33255" s="5" t="s">
        <v>355</v>
      </c>
      <c r="Q33255" s="5" t="s">
        <v>355</v>
      </c>
    </row>
    <row r="33256" ht="16.5" customHeight="1">
      <c r="O33256" s="5" t="s">
        <v>355</v>
      </c>
      <c r="P33256" s="5" t="s">
        <v>355</v>
      </c>
      <c r="Q33256" s="5" t="s">
        <v>355</v>
      </c>
    </row>
    <row r="33257" ht="16.5" customHeight="1">
      <c r="O33257" s="5" t="s">
        <v>355</v>
      </c>
      <c r="P33257" s="5" t="s">
        <v>355</v>
      </c>
      <c r="Q33257" s="5" t="s">
        <v>355</v>
      </c>
    </row>
    <row r="33258" ht="16.5" customHeight="1">
      <c r="O33258" s="5" t="s">
        <v>355</v>
      </c>
      <c r="P33258" s="5" t="s">
        <v>355</v>
      </c>
      <c r="Q33258" s="5" t="s">
        <v>355</v>
      </c>
    </row>
    <row r="33259" ht="16.5" customHeight="1">
      <c r="O33259" s="5" t="s">
        <v>355</v>
      </c>
      <c r="P33259" s="5" t="s">
        <v>355</v>
      </c>
      <c r="Q33259" s="5" t="s">
        <v>355</v>
      </c>
    </row>
    <row r="33260" ht="16.5" customHeight="1">
      <c r="O33260" s="5" t="s">
        <v>355</v>
      </c>
      <c r="P33260" s="5" t="s">
        <v>355</v>
      </c>
      <c r="Q33260" s="5" t="s">
        <v>355</v>
      </c>
    </row>
    <row r="33261" ht="16.5" customHeight="1">
      <c r="O33261" s="5" t="s">
        <v>355</v>
      </c>
      <c r="P33261" s="5" t="s">
        <v>355</v>
      </c>
      <c r="Q33261" s="5" t="s">
        <v>355</v>
      </c>
    </row>
    <row r="33262" ht="16.5" customHeight="1">
      <c r="O33262" s="5" t="s">
        <v>355</v>
      </c>
      <c r="P33262" s="5" t="s">
        <v>355</v>
      </c>
      <c r="Q33262" s="5" t="s">
        <v>355</v>
      </c>
    </row>
    <row r="33263" ht="16.5" customHeight="1">
      <c r="O33263" s="5" t="s">
        <v>355</v>
      </c>
      <c r="P33263" s="5" t="s">
        <v>355</v>
      </c>
      <c r="Q33263" s="5" t="s">
        <v>355</v>
      </c>
    </row>
    <row r="33264" ht="16.5" customHeight="1">
      <c r="O33264" s="5" t="s">
        <v>355</v>
      </c>
      <c r="P33264" s="5" t="s">
        <v>355</v>
      </c>
      <c r="Q33264" s="5" t="s">
        <v>355</v>
      </c>
    </row>
    <row r="33265" ht="16.5" customHeight="1">
      <c r="O33265" s="5" t="s">
        <v>355</v>
      </c>
      <c r="P33265" s="5" t="s">
        <v>355</v>
      </c>
      <c r="Q33265" s="5" t="s">
        <v>355</v>
      </c>
    </row>
    <row r="33266" ht="16.5" customHeight="1">
      <c r="O33266" s="5" t="s">
        <v>355</v>
      </c>
      <c r="P33266" s="5" t="s">
        <v>355</v>
      </c>
      <c r="Q33266" s="5" t="s">
        <v>355</v>
      </c>
    </row>
    <row r="33267" ht="16.5" customHeight="1">
      <c r="O33267" s="5" t="s">
        <v>355</v>
      </c>
      <c r="P33267" s="5" t="s">
        <v>355</v>
      </c>
      <c r="Q33267" s="5" t="s">
        <v>355</v>
      </c>
    </row>
    <row r="33268" ht="16.5" customHeight="1">
      <c r="O33268" s="5" t="s">
        <v>355</v>
      </c>
      <c r="P33268" s="5" t="s">
        <v>355</v>
      </c>
      <c r="Q33268" s="5" t="s">
        <v>355</v>
      </c>
    </row>
    <row r="33269" ht="16.5" customHeight="1">
      <c r="O33269" s="5" t="s">
        <v>355</v>
      </c>
      <c r="P33269" s="5" t="s">
        <v>355</v>
      </c>
      <c r="Q33269" s="5" t="s">
        <v>355</v>
      </c>
    </row>
    <row r="33270" ht="16.5" customHeight="1">
      <c r="O33270" s="5" t="s">
        <v>355</v>
      </c>
      <c r="P33270" s="5" t="s">
        <v>355</v>
      </c>
      <c r="Q33270" s="5" t="s">
        <v>355</v>
      </c>
    </row>
    <row r="33271" ht="16.5" customHeight="1">
      <c r="O33271" s="5" t="s">
        <v>355</v>
      </c>
      <c r="P33271" s="5" t="s">
        <v>355</v>
      </c>
      <c r="Q33271" s="5" t="s">
        <v>355</v>
      </c>
    </row>
    <row r="33272" ht="16.5" customHeight="1">
      <c r="O33272" s="5" t="s">
        <v>355</v>
      </c>
      <c r="P33272" s="5" t="s">
        <v>355</v>
      </c>
      <c r="Q33272" s="5" t="s">
        <v>355</v>
      </c>
    </row>
    <row r="33273" ht="16.5" customHeight="1">
      <c r="O33273" s="5" t="s">
        <v>355</v>
      </c>
      <c r="P33273" s="5" t="s">
        <v>355</v>
      </c>
      <c r="Q33273" s="5" t="s">
        <v>355</v>
      </c>
    </row>
    <row r="33274" ht="16.5" customHeight="1">
      <c r="O33274" s="5" t="s">
        <v>355</v>
      </c>
      <c r="P33274" s="5" t="s">
        <v>355</v>
      </c>
      <c r="Q33274" s="5" t="s">
        <v>355</v>
      </c>
    </row>
    <row r="33275" ht="16.5" customHeight="1">
      <c r="O33275" s="5" t="s">
        <v>355</v>
      </c>
      <c r="P33275" s="5" t="s">
        <v>355</v>
      </c>
      <c r="Q33275" s="5" t="s">
        <v>355</v>
      </c>
    </row>
    <row r="33276" ht="16.5" customHeight="1">
      <c r="O33276" s="5" t="s">
        <v>355</v>
      </c>
      <c r="P33276" s="5" t="s">
        <v>355</v>
      </c>
      <c r="Q33276" s="5" t="s">
        <v>355</v>
      </c>
    </row>
    <row r="33277" ht="16.5" customHeight="1">
      <c r="O33277" s="5" t="s">
        <v>355</v>
      </c>
      <c r="P33277" s="5" t="s">
        <v>355</v>
      </c>
      <c r="Q33277" s="5" t="s">
        <v>355</v>
      </c>
    </row>
    <row r="33278" ht="16.5" customHeight="1">
      <c r="O33278" s="5" t="s">
        <v>355</v>
      </c>
      <c r="P33278" s="5" t="s">
        <v>355</v>
      </c>
      <c r="Q33278" s="5" t="s">
        <v>355</v>
      </c>
    </row>
    <row r="33279" ht="16.5" customHeight="1">
      <c r="O33279" s="5" t="s">
        <v>355</v>
      </c>
      <c r="P33279" s="5" t="s">
        <v>355</v>
      </c>
      <c r="Q33279" s="5" t="s">
        <v>355</v>
      </c>
    </row>
    <row r="33280" ht="16.5" customHeight="1">
      <c r="O33280" s="5" t="s">
        <v>355</v>
      </c>
      <c r="P33280" s="5" t="s">
        <v>355</v>
      </c>
      <c r="Q33280" s="5" t="s">
        <v>355</v>
      </c>
    </row>
    <row r="33281" ht="16.5" customHeight="1">
      <c r="O33281" s="5" t="s">
        <v>355</v>
      </c>
      <c r="P33281" s="5" t="s">
        <v>355</v>
      </c>
      <c r="Q33281" s="5" t="s">
        <v>355</v>
      </c>
    </row>
    <row r="33282" ht="16.5" customHeight="1">
      <c r="O33282" s="5" t="s">
        <v>355</v>
      </c>
      <c r="P33282" s="5" t="s">
        <v>355</v>
      </c>
      <c r="Q33282" s="5" t="s">
        <v>355</v>
      </c>
    </row>
    <row r="33283" ht="16.5" customHeight="1">
      <c r="O33283" s="5" t="s">
        <v>355</v>
      </c>
      <c r="P33283" s="5" t="s">
        <v>355</v>
      </c>
      <c r="Q33283" s="5" t="s">
        <v>355</v>
      </c>
    </row>
    <row r="33284" ht="16.5" customHeight="1">
      <c r="O33284" s="5" t="s">
        <v>355</v>
      </c>
      <c r="P33284" s="5" t="s">
        <v>355</v>
      </c>
      <c r="Q33284" s="5" t="s">
        <v>355</v>
      </c>
    </row>
    <row r="33285" ht="16.5" customHeight="1">
      <c r="O33285" s="5" t="s">
        <v>355</v>
      </c>
      <c r="P33285" s="5" t="s">
        <v>355</v>
      </c>
      <c r="Q33285" s="5" t="s">
        <v>355</v>
      </c>
    </row>
    <row r="33286" ht="16.5" customHeight="1">
      <c r="O33286" s="5" t="s">
        <v>355</v>
      </c>
      <c r="P33286" s="5" t="s">
        <v>355</v>
      </c>
      <c r="Q33286" s="5" t="s">
        <v>355</v>
      </c>
    </row>
    <row r="33287" ht="16.5" customHeight="1">
      <c r="O33287" s="5" t="s">
        <v>355</v>
      </c>
      <c r="P33287" s="5" t="s">
        <v>355</v>
      </c>
      <c r="Q33287" s="5" t="s">
        <v>355</v>
      </c>
    </row>
    <row r="33288" ht="16.5" customHeight="1">
      <c r="O33288" s="5" t="s">
        <v>355</v>
      </c>
      <c r="P33288" s="5" t="s">
        <v>355</v>
      </c>
      <c r="Q33288" s="5" t="s">
        <v>355</v>
      </c>
    </row>
    <row r="33289" ht="16.5" customHeight="1">
      <c r="O33289" s="5" t="s">
        <v>355</v>
      </c>
      <c r="P33289" s="5" t="s">
        <v>355</v>
      </c>
      <c r="Q33289" s="5" t="s">
        <v>355</v>
      </c>
    </row>
    <row r="33290" ht="16.5" customHeight="1">
      <c r="O33290" s="5" t="s">
        <v>355</v>
      </c>
      <c r="P33290" s="5" t="s">
        <v>355</v>
      </c>
      <c r="Q33290" s="5" t="s">
        <v>355</v>
      </c>
    </row>
    <row r="33291" ht="16.5" customHeight="1">
      <c r="O33291" s="5" t="s">
        <v>355</v>
      </c>
      <c r="P33291" s="5" t="s">
        <v>355</v>
      </c>
      <c r="Q33291" s="5" t="s">
        <v>355</v>
      </c>
    </row>
    <row r="33292" ht="16.5" customHeight="1">
      <c r="O33292" s="5" t="s">
        <v>355</v>
      </c>
      <c r="P33292" s="5" t="s">
        <v>355</v>
      </c>
      <c r="Q33292" s="5" t="s">
        <v>355</v>
      </c>
    </row>
    <row r="33293" ht="16.5" customHeight="1">
      <c r="O33293" s="5" t="s">
        <v>355</v>
      </c>
      <c r="P33293" s="5" t="s">
        <v>355</v>
      </c>
      <c r="Q33293" s="5" t="s">
        <v>355</v>
      </c>
    </row>
    <row r="33294" ht="16.5" customHeight="1">
      <c r="O33294" s="5" t="s">
        <v>355</v>
      </c>
      <c r="P33294" s="5" t="s">
        <v>355</v>
      </c>
      <c r="Q33294" s="5" t="s">
        <v>355</v>
      </c>
    </row>
    <row r="33295" ht="16.5" customHeight="1">
      <c r="O33295" s="5" t="s">
        <v>355</v>
      </c>
      <c r="P33295" s="5" t="s">
        <v>355</v>
      </c>
      <c r="Q33295" s="5" t="s">
        <v>355</v>
      </c>
    </row>
    <row r="33296" ht="16.5" customHeight="1">
      <c r="O33296" s="5" t="s">
        <v>355</v>
      </c>
      <c r="P33296" s="5" t="s">
        <v>355</v>
      </c>
      <c r="Q33296" s="5" t="s">
        <v>355</v>
      </c>
    </row>
    <row r="33297" ht="16.5" customHeight="1">
      <c r="O33297" s="5" t="s">
        <v>355</v>
      </c>
      <c r="P33297" s="5" t="s">
        <v>355</v>
      </c>
      <c r="Q33297" s="5" t="s">
        <v>355</v>
      </c>
    </row>
    <row r="33298" ht="16.5" customHeight="1">
      <c r="O33298" s="5" t="s">
        <v>355</v>
      </c>
      <c r="P33298" s="5" t="s">
        <v>355</v>
      </c>
      <c r="Q33298" s="5" t="s">
        <v>355</v>
      </c>
    </row>
    <row r="33299" ht="16.5" customHeight="1">
      <c r="O33299" s="5" t="s">
        <v>355</v>
      </c>
      <c r="P33299" s="5" t="s">
        <v>355</v>
      </c>
      <c r="Q33299" s="5" t="s">
        <v>355</v>
      </c>
    </row>
    <row r="33300" ht="16.5" customHeight="1">
      <c r="O33300" s="5" t="s">
        <v>355</v>
      </c>
      <c r="P33300" s="5" t="s">
        <v>355</v>
      </c>
      <c r="Q33300" s="5" t="s">
        <v>355</v>
      </c>
    </row>
    <row r="33301" ht="16.5" customHeight="1">
      <c r="O33301" s="5" t="s">
        <v>355</v>
      </c>
      <c r="P33301" s="5" t="s">
        <v>355</v>
      </c>
      <c r="Q33301" s="5" t="s">
        <v>355</v>
      </c>
    </row>
    <row r="33302" ht="16.5" customHeight="1">
      <c r="O33302" s="5" t="s">
        <v>355</v>
      </c>
      <c r="P33302" s="5" t="s">
        <v>355</v>
      </c>
      <c r="Q33302" s="5" t="s">
        <v>355</v>
      </c>
    </row>
    <row r="33303" ht="16.5" customHeight="1">
      <c r="O33303" s="5" t="s">
        <v>355</v>
      </c>
      <c r="P33303" s="5" t="s">
        <v>355</v>
      </c>
      <c r="Q33303" s="5" t="s">
        <v>355</v>
      </c>
    </row>
    <row r="33304" ht="16.5" customHeight="1">
      <c r="O33304" s="5" t="s">
        <v>355</v>
      </c>
      <c r="P33304" s="5" t="s">
        <v>355</v>
      </c>
      <c r="Q33304" s="5" t="s">
        <v>355</v>
      </c>
    </row>
    <row r="33305" ht="16.5" customHeight="1">
      <c r="O33305" s="5" t="s">
        <v>355</v>
      </c>
      <c r="P33305" s="5" t="s">
        <v>355</v>
      </c>
      <c r="Q33305" s="5" t="s">
        <v>355</v>
      </c>
    </row>
    <row r="33306" ht="16.5" customHeight="1">
      <c r="O33306" s="5" t="s">
        <v>355</v>
      </c>
      <c r="P33306" s="5" t="s">
        <v>355</v>
      </c>
      <c r="Q33306" s="5" t="s">
        <v>355</v>
      </c>
    </row>
    <row r="33307" ht="16.5" customHeight="1">
      <c r="O33307" s="5" t="s">
        <v>355</v>
      </c>
      <c r="P33307" s="5" t="s">
        <v>355</v>
      </c>
      <c r="Q33307" s="5" t="s">
        <v>355</v>
      </c>
    </row>
    <row r="33308" ht="16.5" customHeight="1">
      <c r="O33308" s="5" t="s">
        <v>355</v>
      </c>
      <c r="P33308" s="5" t="s">
        <v>355</v>
      </c>
      <c r="Q33308" s="5" t="s">
        <v>355</v>
      </c>
    </row>
    <row r="33309" ht="16.5" customHeight="1">
      <c r="O33309" s="5" t="s">
        <v>355</v>
      </c>
      <c r="P33309" s="5" t="s">
        <v>355</v>
      </c>
      <c r="Q33309" s="5" t="s">
        <v>355</v>
      </c>
    </row>
    <row r="33310" ht="16.5" customHeight="1">
      <c r="O33310" s="5" t="s">
        <v>355</v>
      </c>
      <c r="P33310" s="5" t="s">
        <v>355</v>
      </c>
      <c r="Q33310" s="5" t="s">
        <v>355</v>
      </c>
    </row>
    <row r="33311" ht="16.5" customHeight="1">
      <c r="O33311" s="5" t="s">
        <v>355</v>
      </c>
      <c r="P33311" s="5" t="s">
        <v>355</v>
      </c>
      <c r="Q33311" s="5" t="s">
        <v>355</v>
      </c>
    </row>
    <row r="33312" ht="16.5" customHeight="1">
      <c r="O33312" s="5" t="s">
        <v>355</v>
      </c>
      <c r="P33312" s="5" t="s">
        <v>355</v>
      </c>
      <c r="Q33312" s="5" t="s">
        <v>355</v>
      </c>
    </row>
    <row r="33313" ht="16.5" customHeight="1">
      <c r="O33313" s="5" t="s">
        <v>355</v>
      </c>
      <c r="P33313" s="5" t="s">
        <v>355</v>
      </c>
      <c r="Q33313" s="5" t="s">
        <v>355</v>
      </c>
    </row>
    <row r="33314" ht="16.5" customHeight="1">
      <c r="O33314" s="5" t="s">
        <v>355</v>
      </c>
      <c r="P33314" s="5" t="s">
        <v>355</v>
      </c>
      <c r="Q33314" s="5" t="s">
        <v>355</v>
      </c>
    </row>
    <row r="33315" ht="16.5" customHeight="1">
      <c r="O33315" s="5" t="s">
        <v>355</v>
      </c>
      <c r="P33315" s="5" t="s">
        <v>355</v>
      </c>
      <c r="Q33315" s="5" t="s">
        <v>355</v>
      </c>
    </row>
    <row r="33316" ht="16.5" customHeight="1">
      <c r="O33316" s="5" t="s">
        <v>355</v>
      </c>
      <c r="P33316" s="5" t="s">
        <v>355</v>
      </c>
      <c r="Q33316" s="5" t="s">
        <v>355</v>
      </c>
    </row>
    <row r="33317" ht="16.5" customHeight="1">
      <c r="O33317" s="5" t="s">
        <v>355</v>
      </c>
      <c r="P33317" s="5" t="s">
        <v>355</v>
      </c>
      <c r="Q33317" s="5" t="s">
        <v>355</v>
      </c>
    </row>
    <row r="33318" ht="16.5" customHeight="1">
      <c r="O33318" s="5" t="s">
        <v>355</v>
      </c>
      <c r="P33318" s="5" t="s">
        <v>355</v>
      </c>
      <c r="Q33318" s="5" t="s">
        <v>355</v>
      </c>
    </row>
    <row r="33319" ht="16.5" customHeight="1">
      <c r="O33319" s="5" t="s">
        <v>355</v>
      </c>
      <c r="P33319" s="5" t="s">
        <v>355</v>
      </c>
      <c r="Q33319" s="5" t="s">
        <v>355</v>
      </c>
    </row>
    <row r="33320" ht="16.5" customHeight="1">
      <c r="O33320" s="5" t="s">
        <v>355</v>
      </c>
      <c r="P33320" s="5" t="s">
        <v>355</v>
      </c>
      <c r="Q33320" s="5" t="s">
        <v>355</v>
      </c>
    </row>
    <row r="33321" ht="16.5" customHeight="1">
      <c r="O33321" s="5" t="s">
        <v>355</v>
      </c>
      <c r="P33321" s="5" t="s">
        <v>355</v>
      </c>
      <c r="Q33321" s="5" t="s">
        <v>355</v>
      </c>
    </row>
    <row r="33322" ht="16.5" customHeight="1">
      <c r="O33322" s="5" t="s">
        <v>355</v>
      </c>
      <c r="P33322" s="5" t="s">
        <v>355</v>
      </c>
      <c r="Q33322" s="5" t="s">
        <v>355</v>
      </c>
    </row>
    <row r="33323" ht="16.5" customHeight="1">
      <c r="O33323" s="5" t="s">
        <v>355</v>
      </c>
      <c r="P33323" s="5" t="s">
        <v>355</v>
      </c>
      <c r="Q33323" s="5" t="s">
        <v>355</v>
      </c>
    </row>
    <row r="33324" ht="16.5" customHeight="1">
      <c r="O33324" s="5" t="s">
        <v>355</v>
      </c>
      <c r="P33324" s="5" t="s">
        <v>355</v>
      </c>
      <c r="Q33324" s="5" t="s">
        <v>355</v>
      </c>
    </row>
    <row r="33325" ht="16.5" customHeight="1">
      <c r="O33325" s="5" t="s">
        <v>355</v>
      </c>
      <c r="P33325" s="5" t="s">
        <v>355</v>
      </c>
      <c r="Q33325" s="5" t="s">
        <v>355</v>
      </c>
    </row>
    <row r="33326" ht="16.5" customHeight="1">
      <c r="O33326" s="5" t="s">
        <v>355</v>
      </c>
      <c r="P33326" s="5" t="s">
        <v>355</v>
      </c>
      <c r="Q33326" s="5" t="s">
        <v>355</v>
      </c>
    </row>
    <row r="33327" ht="16.5" customHeight="1">
      <c r="O33327" s="5" t="s">
        <v>355</v>
      </c>
      <c r="P33327" s="5" t="s">
        <v>355</v>
      </c>
      <c r="Q33327" s="5" t="s">
        <v>355</v>
      </c>
    </row>
    <row r="33328" ht="16.5" customHeight="1">
      <c r="O33328" s="5" t="s">
        <v>355</v>
      </c>
      <c r="P33328" s="5" t="s">
        <v>355</v>
      </c>
      <c r="Q33328" s="5" t="s">
        <v>355</v>
      </c>
    </row>
    <row r="33329" ht="16.5" customHeight="1">
      <c r="O33329" s="5" t="s">
        <v>355</v>
      </c>
      <c r="P33329" s="5" t="s">
        <v>355</v>
      </c>
      <c r="Q33329" s="5" t="s">
        <v>355</v>
      </c>
    </row>
    <row r="33330" ht="16.5" customHeight="1">
      <c r="O33330" s="5" t="s">
        <v>355</v>
      </c>
      <c r="P33330" s="5" t="s">
        <v>355</v>
      </c>
      <c r="Q33330" s="5" t="s">
        <v>355</v>
      </c>
    </row>
    <row r="33331" ht="16.5" customHeight="1">
      <c r="O33331" s="5" t="s">
        <v>355</v>
      </c>
      <c r="P33331" s="5" t="s">
        <v>355</v>
      </c>
      <c r="Q33331" s="5" t="s">
        <v>355</v>
      </c>
    </row>
    <row r="33332" ht="16.5" customHeight="1">
      <c r="O33332" s="5" t="s">
        <v>355</v>
      </c>
      <c r="P33332" s="5" t="s">
        <v>355</v>
      </c>
      <c r="Q33332" s="5" t="s">
        <v>355</v>
      </c>
    </row>
    <row r="33333" ht="16.5" customHeight="1">
      <c r="O33333" s="5" t="s">
        <v>355</v>
      </c>
      <c r="P33333" s="5" t="s">
        <v>355</v>
      </c>
      <c r="Q33333" s="5" t="s">
        <v>355</v>
      </c>
    </row>
    <row r="33334" ht="16.5" customHeight="1">
      <c r="O33334" s="5" t="s">
        <v>355</v>
      </c>
      <c r="P33334" s="5" t="s">
        <v>355</v>
      </c>
      <c r="Q33334" s="5" t="s">
        <v>355</v>
      </c>
    </row>
    <row r="33335" ht="16.5" customHeight="1">
      <c r="O33335" s="5" t="s">
        <v>355</v>
      </c>
      <c r="P33335" s="5" t="s">
        <v>355</v>
      </c>
      <c r="Q33335" s="5" t="s">
        <v>355</v>
      </c>
    </row>
    <row r="33336" ht="16.5" customHeight="1">
      <c r="O33336" s="5" t="s">
        <v>355</v>
      </c>
      <c r="P33336" s="5" t="s">
        <v>355</v>
      </c>
      <c r="Q33336" s="5" t="s">
        <v>355</v>
      </c>
    </row>
    <row r="33337" ht="16.5" customHeight="1">
      <c r="O33337" s="5" t="s">
        <v>355</v>
      </c>
      <c r="P33337" s="5" t="s">
        <v>355</v>
      </c>
      <c r="Q33337" s="5" t="s">
        <v>355</v>
      </c>
    </row>
    <row r="33338" ht="16.5" customHeight="1">
      <c r="O33338" s="5" t="s">
        <v>355</v>
      </c>
      <c r="P33338" s="5" t="s">
        <v>355</v>
      </c>
      <c r="Q33338" s="5" t="s">
        <v>355</v>
      </c>
    </row>
    <row r="33339" ht="16.5" customHeight="1">
      <c r="O33339" s="5" t="s">
        <v>355</v>
      </c>
      <c r="P33339" s="5" t="s">
        <v>355</v>
      </c>
      <c r="Q33339" s="5" t="s">
        <v>355</v>
      </c>
    </row>
    <row r="33340" ht="16.5" customHeight="1">
      <c r="O33340" s="5" t="s">
        <v>355</v>
      </c>
      <c r="P33340" s="5" t="s">
        <v>355</v>
      </c>
      <c r="Q33340" s="5" t="s">
        <v>355</v>
      </c>
    </row>
    <row r="33341" ht="16.5" customHeight="1">
      <c r="O33341" s="5" t="s">
        <v>355</v>
      </c>
      <c r="P33341" s="5" t="s">
        <v>355</v>
      </c>
      <c r="Q33341" s="5" t="s">
        <v>355</v>
      </c>
    </row>
    <row r="33342" ht="16.5" customHeight="1">
      <c r="O33342" s="5" t="s">
        <v>355</v>
      </c>
      <c r="P33342" s="5" t="s">
        <v>355</v>
      </c>
      <c r="Q33342" s="5" t="s">
        <v>355</v>
      </c>
    </row>
    <row r="33343" ht="16.5" customHeight="1">
      <c r="O33343" s="5" t="s">
        <v>355</v>
      </c>
      <c r="P33343" s="5" t="s">
        <v>355</v>
      </c>
      <c r="Q33343" s="5" t="s">
        <v>355</v>
      </c>
    </row>
    <row r="33344" ht="16.5" customHeight="1">
      <c r="O33344" s="5" t="s">
        <v>355</v>
      </c>
      <c r="P33344" s="5" t="s">
        <v>355</v>
      </c>
      <c r="Q33344" s="5" t="s">
        <v>355</v>
      </c>
    </row>
    <row r="33345" ht="16.5" customHeight="1">
      <c r="O33345" s="5" t="s">
        <v>355</v>
      </c>
      <c r="P33345" s="5" t="s">
        <v>355</v>
      </c>
      <c r="Q33345" s="5" t="s">
        <v>355</v>
      </c>
    </row>
    <row r="33346" ht="16.5" customHeight="1">
      <c r="O33346" s="5" t="s">
        <v>355</v>
      </c>
      <c r="P33346" s="5" t="s">
        <v>355</v>
      </c>
      <c r="Q33346" s="5" t="s">
        <v>355</v>
      </c>
    </row>
    <row r="33347" ht="16.5" customHeight="1">
      <c r="O33347" s="5" t="s">
        <v>355</v>
      </c>
      <c r="P33347" s="5" t="s">
        <v>355</v>
      </c>
      <c r="Q33347" s="5" t="s">
        <v>355</v>
      </c>
    </row>
    <row r="33348" ht="16.5" customHeight="1">
      <c r="O33348" s="5" t="s">
        <v>355</v>
      </c>
      <c r="P33348" s="5" t="s">
        <v>355</v>
      </c>
      <c r="Q33348" s="5" t="s">
        <v>355</v>
      </c>
    </row>
    <row r="33349" ht="16.5" customHeight="1">
      <c r="O33349" s="5" t="s">
        <v>355</v>
      </c>
      <c r="P33349" s="5" t="s">
        <v>355</v>
      </c>
      <c r="Q33349" s="5" t="s">
        <v>355</v>
      </c>
    </row>
    <row r="33350" ht="16.5" customHeight="1">
      <c r="O33350" s="5" t="s">
        <v>355</v>
      </c>
      <c r="P33350" s="5" t="s">
        <v>355</v>
      </c>
      <c r="Q33350" s="5" t="s">
        <v>355</v>
      </c>
    </row>
    <row r="33351" ht="16.5" customHeight="1">
      <c r="O33351" s="5" t="s">
        <v>355</v>
      </c>
      <c r="P33351" s="5" t="s">
        <v>355</v>
      </c>
      <c r="Q33351" s="5" t="s">
        <v>355</v>
      </c>
    </row>
    <row r="33352" ht="16.5" customHeight="1">
      <c r="O33352" s="5" t="s">
        <v>355</v>
      </c>
      <c r="P33352" s="5" t="s">
        <v>355</v>
      </c>
      <c r="Q33352" s="5" t="s">
        <v>355</v>
      </c>
    </row>
    <row r="33353" ht="16.5" customHeight="1">
      <c r="O33353" s="5" t="s">
        <v>355</v>
      </c>
      <c r="P33353" s="5" t="s">
        <v>355</v>
      </c>
      <c r="Q33353" s="5" t="s">
        <v>355</v>
      </c>
    </row>
    <row r="33354" ht="16.5" customHeight="1">
      <c r="O33354" s="5" t="s">
        <v>355</v>
      </c>
      <c r="P33354" s="5" t="s">
        <v>355</v>
      </c>
      <c r="Q33354" s="5" t="s">
        <v>355</v>
      </c>
    </row>
    <row r="33355" ht="16.5" customHeight="1">
      <c r="O33355" s="5" t="s">
        <v>355</v>
      </c>
      <c r="P33355" s="5" t="s">
        <v>355</v>
      </c>
      <c r="Q33355" s="5" t="s">
        <v>355</v>
      </c>
    </row>
    <row r="33356" ht="16.5" customHeight="1">
      <c r="O33356" s="5" t="s">
        <v>355</v>
      </c>
      <c r="P33356" s="5" t="s">
        <v>355</v>
      </c>
      <c r="Q33356" s="5" t="s">
        <v>355</v>
      </c>
    </row>
    <row r="33357" ht="16.5" customHeight="1">
      <c r="O33357" s="5" t="s">
        <v>355</v>
      </c>
      <c r="P33357" s="5" t="s">
        <v>355</v>
      </c>
      <c r="Q33357" s="5" t="s">
        <v>355</v>
      </c>
    </row>
    <row r="33358" ht="16.5" customHeight="1">
      <c r="O33358" s="5" t="s">
        <v>355</v>
      </c>
      <c r="P33358" s="5" t="s">
        <v>355</v>
      </c>
      <c r="Q33358" s="5" t="s">
        <v>355</v>
      </c>
    </row>
    <row r="33359" ht="16.5" customHeight="1">
      <c r="O33359" s="5" t="s">
        <v>355</v>
      </c>
      <c r="P33359" s="5" t="s">
        <v>355</v>
      </c>
      <c r="Q33359" s="5" t="s">
        <v>355</v>
      </c>
    </row>
    <row r="33360" ht="16.5" customHeight="1">
      <c r="O33360" s="5" t="s">
        <v>355</v>
      </c>
      <c r="P33360" s="5" t="s">
        <v>355</v>
      </c>
      <c r="Q33360" s="5" t="s">
        <v>355</v>
      </c>
    </row>
    <row r="33361" ht="16.5" customHeight="1">
      <c r="O33361" s="5" t="s">
        <v>355</v>
      </c>
      <c r="P33361" s="5" t="s">
        <v>355</v>
      </c>
      <c r="Q33361" s="5" t="s">
        <v>355</v>
      </c>
    </row>
    <row r="33362" ht="16.5" customHeight="1">
      <c r="O33362" s="5" t="s">
        <v>355</v>
      </c>
      <c r="P33362" s="5" t="s">
        <v>355</v>
      </c>
      <c r="Q33362" s="5" t="s">
        <v>355</v>
      </c>
    </row>
    <row r="33363" ht="16.5" customHeight="1">
      <c r="O33363" s="5" t="s">
        <v>355</v>
      </c>
      <c r="P33363" s="5" t="s">
        <v>355</v>
      </c>
      <c r="Q33363" s="5" t="s">
        <v>355</v>
      </c>
    </row>
    <row r="33364" ht="16.5" customHeight="1">
      <c r="O33364" s="5" t="s">
        <v>355</v>
      </c>
      <c r="P33364" s="5" t="s">
        <v>355</v>
      </c>
      <c r="Q33364" s="5" t="s">
        <v>355</v>
      </c>
    </row>
    <row r="33365" ht="16.5" customHeight="1">
      <c r="O33365" s="5" t="s">
        <v>355</v>
      </c>
      <c r="P33365" s="5" t="s">
        <v>355</v>
      </c>
      <c r="Q33365" s="5" t="s">
        <v>355</v>
      </c>
    </row>
    <row r="33366" ht="16.5" customHeight="1">
      <c r="O33366" s="5" t="s">
        <v>355</v>
      </c>
      <c r="P33366" s="5" t="s">
        <v>355</v>
      </c>
      <c r="Q33366" s="5" t="s">
        <v>355</v>
      </c>
    </row>
    <row r="33367" ht="16.5" customHeight="1">
      <c r="O33367" s="5" t="s">
        <v>355</v>
      </c>
      <c r="P33367" s="5" t="s">
        <v>355</v>
      </c>
      <c r="Q33367" s="5" t="s">
        <v>355</v>
      </c>
    </row>
    <row r="33368" ht="16.5" customHeight="1">
      <c r="O33368" s="5" t="s">
        <v>355</v>
      </c>
      <c r="P33368" s="5" t="s">
        <v>355</v>
      </c>
      <c r="Q33368" s="5" t="s">
        <v>355</v>
      </c>
    </row>
    <row r="33369" ht="16.5" customHeight="1">
      <c r="O33369" s="5" t="s">
        <v>355</v>
      </c>
      <c r="P33369" s="5" t="s">
        <v>355</v>
      </c>
      <c r="Q33369" s="5" t="s">
        <v>355</v>
      </c>
    </row>
    <row r="33370" ht="16.5" customHeight="1">
      <c r="O33370" s="5" t="s">
        <v>355</v>
      </c>
      <c r="P33370" s="5" t="s">
        <v>355</v>
      </c>
      <c r="Q33370" s="5" t="s">
        <v>355</v>
      </c>
    </row>
    <row r="33371" ht="16.5" customHeight="1">
      <c r="O33371" s="5" t="s">
        <v>355</v>
      </c>
      <c r="P33371" s="5" t="s">
        <v>355</v>
      </c>
      <c r="Q33371" s="5" t="s">
        <v>355</v>
      </c>
    </row>
    <row r="33372" ht="16.5" customHeight="1">
      <c r="O33372" s="5" t="s">
        <v>355</v>
      </c>
      <c r="P33372" s="5" t="s">
        <v>355</v>
      </c>
      <c r="Q33372" s="5" t="s">
        <v>355</v>
      </c>
    </row>
    <row r="33373" ht="16.5" customHeight="1">
      <c r="O33373" s="5" t="s">
        <v>355</v>
      </c>
      <c r="P33373" s="5" t="s">
        <v>355</v>
      </c>
      <c r="Q33373" s="5" t="s">
        <v>355</v>
      </c>
    </row>
    <row r="33374" ht="16.5" customHeight="1">
      <c r="O33374" s="5" t="s">
        <v>355</v>
      </c>
      <c r="P33374" s="5" t="s">
        <v>355</v>
      </c>
      <c r="Q33374" s="5" t="s">
        <v>355</v>
      </c>
    </row>
    <row r="33375" ht="16.5" customHeight="1">
      <c r="O33375" s="5" t="s">
        <v>355</v>
      </c>
      <c r="P33375" s="5" t="s">
        <v>355</v>
      </c>
      <c r="Q33375" s="5" t="s">
        <v>355</v>
      </c>
    </row>
    <row r="33376" ht="16.5" customHeight="1">
      <c r="O33376" s="5" t="s">
        <v>355</v>
      </c>
      <c r="P33376" s="5" t="s">
        <v>355</v>
      </c>
      <c r="Q33376" s="5" t="s">
        <v>355</v>
      </c>
    </row>
    <row r="33377" ht="16.5" customHeight="1">
      <c r="O33377" s="5" t="s">
        <v>355</v>
      </c>
      <c r="P33377" s="5" t="s">
        <v>355</v>
      </c>
      <c r="Q33377" s="5" t="s">
        <v>355</v>
      </c>
    </row>
    <row r="33378" ht="16.5" customHeight="1">
      <c r="O33378" s="5" t="s">
        <v>355</v>
      </c>
      <c r="P33378" s="5" t="s">
        <v>355</v>
      </c>
      <c r="Q33378" s="5" t="s">
        <v>355</v>
      </c>
    </row>
    <row r="33379" ht="16.5" customHeight="1">
      <c r="O33379" s="5" t="s">
        <v>355</v>
      </c>
      <c r="P33379" s="5" t="s">
        <v>355</v>
      </c>
      <c r="Q33379" s="5" t="s">
        <v>355</v>
      </c>
    </row>
    <row r="33380" ht="16.5" customHeight="1">
      <c r="O33380" s="5" t="s">
        <v>355</v>
      </c>
      <c r="P33380" s="5" t="s">
        <v>355</v>
      </c>
      <c r="Q33380" s="5" t="s">
        <v>355</v>
      </c>
    </row>
    <row r="33381" ht="16.5" customHeight="1">
      <c r="O33381" s="5" t="s">
        <v>355</v>
      </c>
      <c r="P33381" s="5" t="s">
        <v>355</v>
      </c>
      <c r="Q33381" s="5" t="s">
        <v>355</v>
      </c>
    </row>
    <row r="33382" ht="16.5" customHeight="1">
      <c r="O33382" s="5" t="s">
        <v>355</v>
      </c>
      <c r="P33382" s="5" t="s">
        <v>355</v>
      </c>
      <c r="Q33382" s="5" t="s">
        <v>355</v>
      </c>
    </row>
    <row r="33383" ht="16.5" customHeight="1">
      <c r="O33383" s="5" t="s">
        <v>355</v>
      </c>
      <c r="P33383" s="5" t="s">
        <v>355</v>
      </c>
      <c r="Q33383" s="5" t="s">
        <v>355</v>
      </c>
    </row>
    <row r="33384" ht="16.5" customHeight="1">
      <c r="O33384" s="5" t="s">
        <v>355</v>
      </c>
      <c r="P33384" s="5" t="s">
        <v>355</v>
      </c>
      <c r="Q33384" s="5" t="s">
        <v>355</v>
      </c>
    </row>
    <row r="33385" ht="16.5" customHeight="1">
      <c r="O33385" s="5" t="s">
        <v>355</v>
      </c>
      <c r="P33385" s="5" t="s">
        <v>355</v>
      </c>
      <c r="Q33385" s="5" t="s">
        <v>355</v>
      </c>
    </row>
    <row r="33386" ht="16.5" customHeight="1">
      <c r="O33386" s="5" t="s">
        <v>355</v>
      </c>
      <c r="P33386" s="5" t="s">
        <v>355</v>
      </c>
      <c r="Q33386" s="5" t="s">
        <v>355</v>
      </c>
    </row>
    <row r="33387" ht="16.5" customHeight="1">
      <c r="O33387" s="5" t="s">
        <v>355</v>
      </c>
      <c r="P33387" s="5" t="s">
        <v>355</v>
      </c>
      <c r="Q33387" s="5" t="s">
        <v>355</v>
      </c>
    </row>
    <row r="33388" ht="16.5" customHeight="1">
      <c r="O33388" s="5" t="s">
        <v>355</v>
      </c>
      <c r="P33388" s="5" t="s">
        <v>355</v>
      </c>
      <c r="Q33388" s="5" t="s">
        <v>355</v>
      </c>
    </row>
    <row r="33389" ht="16.5" customHeight="1">
      <c r="O33389" s="5" t="s">
        <v>355</v>
      </c>
      <c r="P33389" s="5" t="s">
        <v>355</v>
      </c>
      <c r="Q33389" s="5" t="s">
        <v>355</v>
      </c>
    </row>
    <row r="33390" ht="16.5" customHeight="1">
      <c r="O33390" s="5" t="s">
        <v>355</v>
      </c>
      <c r="P33390" s="5" t="s">
        <v>355</v>
      </c>
      <c r="Q33390" s="5" t="s">
        <v>355</v>
      </c>
    </row>
    <row r="33391" ht="16.5" customHeight="1">
      <c r="O33391" s="5" t="s">
        <v>355</v>
      </c>
      <c r="P33391" s="5" t="s">
        <v>355</v>
      </c>
      <c r="Q33391" s="5" t="s">
        <v>355</v>
      </c>
    </row>
    <row r="33392" ht="16.5" customHeight="1">
      <c r="O33392" s="5" t="s">
        <v>355</v>
      </c>
      <c r="P33392" s="5" t="s">
        <v>355</v>
      </c>
      <c r="Q33392" s="5" t="s">
        <v>355</v>
      </c>
    </row>
    <row r="33393" ht="16.5" customHeight="1">
      <c r="O33393" s="5" t="s">
        <v>355</v>
      </c>
      <c r="P33393" s="5" t="s">
        <v>355</v>
      </c>
      <c r="Q33393" s="5" t="s">
        <v>355</v>
      </c>
    </row>
    <row r="33394" ht="16.5" customHeight="1">
      <c r="O33394" s="5" t="s">
        <v>355</v>
      </c>
      <c r="P33394" s="5" t="s">
        <v>355</v>
      </c>
      <c r="Q33394" s="5" t="s">
        <v>355</v>
      </c>
    </row>
    <row r="33395" ht="16.5" customHeight="1">
      <c r="O33395" s="5" t="s">
        <v>355</v>
      </c>
      <c r="P33395" s="5" t="s">
        <v>355</v>
      </c>
      <c r="Q33395" s="5" t="s">
        <v>355</v>
      </c>
    </row>
    <row r="33396" ht="16.5" customHeight="1">
      <c r="O33396" s="5" t="s">
        <v>355</v>
      </c>
      <c r="P33396" s="5" t="s">
        <v>355</v>
      </c>
      <c r="Q33396" s="5" t="s">
        <v>355</v>
      </c>
    </row>
    <row r="33397" ht="16.5" customHeight="1">
      <c r="O33397" s="5" t="s">
        <v>355</v>
      </c>
      <c r="P33397" s="5" t="s">
        <v>355</v>
      </c>
      <c r="Q33397" s="5" t="s">
        <v>355</v>
      </c>
    </row>
    <row r="33398" ht="16.5" customHeight="1">
      <c r="O33398" s="5" t="s">
        <v>355</v>
      </c>
      <c r="P33398" s="5" t="s">
        <v>355</v>
      </c>
      <c r="Q33398" s="5" t="s">
        <v>355</v>
      </c>
    </row>
    <row r="33399" ht="16.5" customHeight="1">
      <c r="O33399" s="5" t="s">
        <v>355</v>
      </c>
      <c r="P33399" s="5" t="s">
        <v>355</v>
      </c>
      <c r="Q33399" s="5" t="s">
        <v>355</v>
      </c>
    </row>
    <row r="33400" ht="16.5" customHeight="1">
      <c r="O33400" s="5" t="s">
        <v>355</v>
      </c>
      <c r="P33400" s="5" t="s">
        <v>355</v>
      </c>
      <c r="Q33400" s="5" t="s">
        <v>355</v>
      </c>
    </row>
    <row r="33401" ht="16.5" customHeight="1">
      <c r="O33401" s="5" t="s">
        <v>355</v>
      </c>
      <c r="P33401" s="5" t="s">
        <v>355</v>
      </c>
      <c r="Q33401" s="5" t="s">
        <v>355</v>
      </c>
    </row>
    <row r="33402" ht="16.5" customHeight="1">
      <c r="O33402" s="5" t="s">
        <v>355</v>
      </c>
      <c r="P33402" s="5" t="s">
        <v>355</v>
      </c>
      <c r="Q33402" s="5" t="s">
        <v>355</v>
      </c>
    </row>
    <row r="33403" ht="16.5" customHeight="1">
      <c r="O33403" s="5" t="s">
        <v>355</v>
      </c>
      <c r="P33403" s="5" t="s">
        <v>355</v>
      </c>
      <c r="Q33403" s="5" t="s">
        <v>355</v>
      </c>
    </row>
    <row r="33404" ht="16.5" customHeight="1">
      <c r="O33404" s="5" t="s">
        <v>355</v>
      </c>
      <c r="P33404" s="5" t="s">
        <v>355</v>
      </c>
      <c r="Q33404" s="5" t="s">
        <v>355</v>
      </c>
    </row>
    <row r="33405" ht="16.5" customHeight="1">
      <c r="O33405" s="5" t="s">
        <v>355</v>
      </c>
      <c r="P33405" s="5" t="s">
        <v>355</v>
      </c>
      <c r="Q33405" s="5" t="s">
        <v>355</v>
      </c>
    </row>
    <row r="33406" ht="16.5" customHeight="1">
      <c r="O33406" s="5" t="s">
        <v>355</v>
      </c>
      <c r="P33406" s="5" t="s">
        <v>355</v>
      </c>
      <c r="Q33406" s="5" t="s">
        <v>355</v>
      </c>
    </row>
    <row r="33407" ht="16.5" customHeight="1">
      <c r="O33407" s="5" t="s">
        <v>355</v>
      </c>
      <c r="P33407" s="5" t="s">
        <v>355</v>
      </c>
      <c r="Q33407" s="5" t="s">
        <v>355</v>
      </c>
    </row>
    <row r="33408" ht="16.5" customHeight="1">
      <c r="O33408" s="5" t="s">
        <v>355</v>
      </c>
      <c r="P33408" s="5" t="s">
        <v>355</v>
      </c>
      <c r="Q33408" s="5" t="s">
        <v>355</v>
      </c>
    </row>
    <row r="33409" ht="16.5" customHeight="1">
      <c r="O33409" s="5" t="s">
        <v>355</v>
      </c>
      <c r="P33409" s="5" t="s">
        <v>355</v>
      </c>
      <c r="Q33409" s="5" t="s">
        <v>355</v>
      </c>
    </row>
    <row r="33410" ht="16.5" customHeight="1">
      <c r="O33410" s="5" t="s">
        <v>355</v>
      </c>
      <c r="P33410" s="5" t="s">
        <v>355</v>
      </c>
      <c r="Q33410" s="5" t="s">
        <v>355</v>
      </c>
    </row>
    <row r="33411" ht="16.5" customHeight="1">
      <c r="O33411" s="5" t="s">
        <v>355</v>
      </c>
      <c r="P33411" s="5" t="s">
        <v>355</v>
      </c>
      <c r="Q33411" s="5" t="s">
        <v>355</v>
      </c>
    </row>
    <row r="33412" ht="16.5" customHeight="1">
      <c r="O33412" s="5" t="s">
        <v>355</v>
      </c>
      <c r="P33412" s="5" t="s">
        <v>355</v>
      </c>
      <c r="Q33412" s="5" t="s">
        <v>355</v>
      </c>
    </row>
    <row r="33413" ht="16.5" customHeight="1">
      <c r="O33413" s="5" t="s">
        <v>355</v>
      </c>
      <c r="P33413" s="5" t="s">
        <v>355</v>
      </c>
      <c r="Q33413" s="5" t="s">
        <v>355</v>
      </c>
    </row>
    <row r="33414" ht="16.5" customHeight="1">
      <c r="O33414" s="5" t="s">
        <v>355</v>
      </c>
      <c r="P33414" s="5" t="s">
        <v>355</v>
      </c>
      <c r="Q33414" s="5" t="s">
        <v>355</v>
      </c>
    </row>
    <row r="33415" ht="16.5" customHeight="1">
      <c r="O33415" s="5" t="s">
        <v>355</v>
      </c>
      <c r="P33415" s="5" t="s">
        <v>355</v>
      </c>
      <c r="Q33415" s="5" t="s">
        <v>355</v>
      </c>
    </row>
    <row r="33416" ht="16.5" customHeight="1">
      <c r="O33416" s="5" t="s">
        <v>355</v>
      </c>
      <c r="P33416" s="5" t="s">
        <v>355</v>
      </c>
      <c r="Q33416" s="5" t="s">
        <v>355</v>
      </c>
    </row>
    <row r="33417" ht="16.5" customHeight="1">
      <c r="O33417" s="5" t="s">
        <v>355</v>
      </c>
      <c r="P33417" s="5" t="s">
        <v>355</v>
      </c>
      <c r="Q33417" s="5" t="s">
        <v>355</v>
      </c>
    </row>
    <row r="33418" ht="16.5" customHeight="1">
      <c r="O33418" s="5" t="s">
        <v>355</v>
      </c>
      <c r="P33418" s="5" t="s">
        <v>355</v>
      </c>
      <c r="Q33418" s="5" t="s">
        <v>355</v>
      </c>
    </row>
    <row r="33419" ht="16.5" customHeight="1">
      <c r="O33419" s="5" t="s">
        <v>355</v>
      </c>
      <c r="P33419" s="5" t="s">
        <v>355</v>
      </c>
      <c r="Q33419" s="5" t="s">
        <v>355</v>
      </c>
    </row>
    <row r="33420" ht="16.5" customHeight="1">
      <c r="O33420" s="5" t="s">
        <v>355</v>
      </c>
      <c r="P33420" s="5" t="s">
        <v>355</v>
      </c>
      <c r="Q33420" s="5" t="s">
        <v>355</v>
      </c>
    </row>
    <row r="33421" ht="16.5" customHeight="1">
      <c r="O33421" s="5" t="s">
        <v>355</v>
      </c>
      <c r="P33421" s="5" t="s">
        <v>355</v>
      </c>
      <c r="Q33421" s="5" t="s">
        <v>355</v>
      </c>
    </row>
    <row r="33422" ht="16.5" customHeight="1">
      <c r="O33422" s="5" t="s">
        <v>355</v>
      </c>
      <c r="P33422" s="5" t="s">
        <v>355</v>
      </c>
      <c r="Q33422" s="5" t="s">
        <v>355</v>
      </c>
    </row>
    <row r="33423" ht="16.5" customHeight="1">
      <c r="O33423" s="5" t="s">
        <v>355</v>
      </c>
      <c r="P33423" s="5" t="s">
        <v>355</v>
      </c>
      <c r="Q33423" s="5" t="s">
        <v>355</v>
      </c>
    </row>
    <row r="33424" ht="16.5" customHeight="1">
      <c r="O33424" s="5" t="s">
        <v>355</v>
      </c>
      <c r="P33424" s="5" t="s">
        <v>355</v>
      </c>
      <c r="Q33424" s="5" t="s">
        <v>355</v>
      </c>
    </row>
    <row r="33425" ht="16.5" customHeight="1">
      <c r="O33425" s="5" t="s">
        <v>355</v>
      </c>
      <c r="P33425" s="5" t="s">
        <v>355</v>
      </c>
      <c r="Q33425" s="5" t="s">
        <v>355</v>
      </c>
    </row>
    <row r="33426" ht="16.5" customHeight="1">
      <c r="O33426" s="5" t="s">
        <v>355</v>
      </c>
      <c r="P33426" s="5" t="s">
        <v>355</v>
      </c>
      <c r="Q33426" s="5" t="s">
        <v>355</v>
      </c>
    </row>
    <row r="33427" ht="16.5" customHeight="1">
      <c r="O33427" s="5" t="s">
        <v>355</v>
      </c>
      <c r="P33427" s="5" t="s">
        <v>355</v>
      </c>
      <c r="Q33427" s="5" t="s">
        <v>355</v>
      </c>
    </row>
    <row r="33428" ht="16.5" customHeight="1">
      <c r="O33428" s="5" t="s">
        <v>355</v>
      </c>
      <c r="P33428" s="5" t="s">
        <v>355</v>
      </c>
      <c r="Q33428" s="5" t="s">
        <v>355</v>
      </c>
    </row>
    <row r="33429" ht="16.5" customHeight="1">
      <c r="O33429" s="5" t="s">
        <v>355</v>
      </c>
      <c r="P33429" s="5" t="s">
        <v>355</v>
      </c>
      <c r="Q33429" s="5" t="s">
        <v>355</v>
      </c>
    </row>
    <row r="33430" ht="16.5" customHeight="1">
      <c r="O33430" s="5" t="s">
        <v>355</v>
      </c>
      <c r="P33430" s="5" t="s">
        <v>355</v>
      </c>
      <c r="Q33430" s="5" t="s">
        <v>355</v>
      </c>
    </row>
    <row r="33431" ht="16.5" customHeight="1">
      <c r="O33431" s="5" t="s">
        <v>355</v>
      </c>
      <c r="P33431" s="5" t="s">
        <v>355</v>
      </c>
      <c r="Q33431" s="5" t="s">
        <v>355</v>
      </c>
    </row>
    <row r="33432" ht="16.5" customHeight="1">
      <c r="O33432" s="5" t="s">
        <v>355</v>
      </c>
      <c r="P33432" s="5" t="s">
        <v>355</v>
      </c>
      <c r="Q33432" s="5" t="s">
        <v>355</v>
      </c>
    </row>
    <row r="33433" ht="16.5" customHeight="1">
      <c r="O33433" s="5" t="s">
        <v>355</v>
      </c>
      <c r="P33433" s="5" t="s">
        <v>355</v>
      </c>
      <c r="Q33433" s="5" t="s">
        <v>355</v>
      </c>
    </row>
    <row r="33434" ht="16.5" customHeight="1">
      <c r="O33434" s="5" t="s">
        <v>355</v>
      </c>
      <c r="P33434" s="5" t="s">
        <v>355</v>
      </c>
      <c r="Q33434" s="5" t="s">
        <v>355</v>
      </c>
    </row>
    <row r="33435" ht="16.5" customHeight="1">
      <c r="O33435" s="5" t="s">
        <v>355</v>
      </c>
      <c r="P33435" s="5" t="s">
        <v>355</v>
      </c>
      <c r="Q33435" s="5" t="s">
        <v>355</v>
      </c>
    </row>
    <row r="33436" ht="16.5" customHeight="1">
      <c r="O33436" s="5" t="s">
        <v>355</v>
      </c>
      <c r="P33436" s="5" t="s">
        <v>355</v>
      </c>
      <c r="Q33436" s="5" t="s">
        <v>355</v>
      </c>
    </row>
    <row r="33437" ht="16.5" customHeight="1">
      <c r="O33437" s="5" t="s">
        <v>355</v>
      </c>
      <c r="P33437" s="5" t="s">
        <v>355</v>
      </c>
      <c r="Q33437" s="5" t="s">
        <v>355</v>
      </c>
    </row>
    <row r="33438" ht="16.5" customHeight="1">
      <c r="O33438" s="5" t="s">
        <v>355</v>
      </c>
      <c r="P33438" s="5" t="s">
        <v>355</v>
      </c>
      <c r="Q33438" s="5" t="s">
        <v>355</v>
      </c>
    </row>
    <row r="33439" ht="16.5" customHeight="1">
      <c r="O33439" s="5" t="s">
        <v>355</v>
      </c>
      <c r="P33439" s="5" t="s">
        <v>355</v>
      </c>
      <c r="Q33439" s="5" t="s">
        <v>355</v>
      </c>
    </row>
    <row r="33440" ht="16.5" customHeight="1">
      <c r="O33440" s="5" t="s">
        <v>355</v>
      </c>
      <c r="P33440" s="5" t="s">
        <v>355</v>
      </c>
      <c r="Q33440" s="5" t="s">
        <v>355</v>
      </c>
    </row>
    <row r="33441" ht="16.5" customHeight="1">
      <c r="O33441" s="5" t="s">
        <v>355</v>
      </c>
      <c r="P33441" s="5" t="s">
        <v>355</v>
      </c>
      <c r="Q33441" s="5" t="s">
        <v>355</v>
      </c>
    </row>
    <row r="33442" ht="16.5" customHeight="1">
      <c r="O33442" s="5" t="s">
        <v>355</v>
      </c>
      <c r="P33442" s="5" t="s">
        <v>355</v>
      </c>
      <c r="Q33442" s="5" t="s">
        <v>355</v>
      </c>
    </row>
    <row r="33443" ht="16.5" customHeight="1">
      <c r="O33443" s="5" t="s">
        <v>355</v>
      </c>
      <c r="P33443" s="5" t="s">
        <v>355</v>
      </c>
      <c r="Q33443" s="5" t="s">
        <v>355</v>
      </c>
    </row>
    <row r="33444" ht="16.5" customHeight="1">
      <c r="O33444" s="5" t="s">
        <v>355</v>
      </c>
      <c r="P33444" s="5" t="s">
        <v>355</v>
      </c>
      <c r="Q33444" s="5" t="s">
        <v>355</v>
      </c>
    </row>
    <row r="33445" ht="16.5" customHeight="1">
      <c r="O33445" s="5" t="s">
        <v>355</v>
      </c>
      <c r="P33445" s="5" t="s">
        <v>355</v>
      </c>
      <c r="Q33445" s="5" t="s">
        <v>355</v>
      </c>
    </row>
    <row r="33446" ht="16.5" customHeight="1">
      <c r="O33446" s="5" t="s">
        <v>355</v>
      </c>
      <c r="P33446" s="5" t="s">
        <v>355</v>
      </c>
      <c r="Q33446" s="5" t="s">
        <v>355</v>
      </c>
    </row>
    <row r="33447" ht="16.5" customHeight="1">
      <c r="O33447" s="5" t="s">
        <v>355</v>
      </c>
      <c r="P33447" s="5" t="s">
        <v>355</v>
      </c>
      <c r="Q33447" s="5" t="s">
        <v>355</v>
      </c>
    </row>
    <row r="33448" ht="16.5" customHeight="1">
      <c r="O33448" s="5" t="s">
        <v>355</v>
      </c>
      <c r="P33448" s="5" t="s">
        <v>355</v>
      </c>
      <c r="Q33448" s="5" t="s">
        <v>355</v>
      </c>
    </row>
    <row r="33449" ht="16.5" customHeight="1">
      <c r="O33449" s="5" t="s">
        <v>355</v>
      </c>
      <c r="P33449" s="5" t="s">
        <v>355</v>
      </c>
      <c r="Q33449" s="5" t="s">
        <v>355</v>
      </c>
    </row>
    <row r="33450" ht="16.5" customHeight="1">
      <c r="O33450" s="5" t="s">
        <v>355</v>
      </c>
      <c r="P33450" s="5" t="s">
        <v>355</v>
      </c>
      <c r="Q33450" s="5" t="s">
        <v>355</v>
      </c>
    </row>
    <row r="33451" ht="16.5" customHeight="1">
      <c r="O33451" s="5" t="s">
        <v>355</v>
      </c>
      <c r="P33451" s="5" t="s">
        <v>355</v>
      </c>
      <c r="Q33451" s="5" t="s">
        <v>355</v>
      </c>
    </row>
    <row r="33452" ht="16.5" customHeight="1">
      <c r="O33452" s="5" t="s">
        <v>355</v>
      </c>
      <c r="P33452" s="5" t="s">
        <v>355</v>
      </c>
      <c r="Q33452" s="5" t="s">
        <v>355</v>
      </c>
    </row>
    <row r="33453" ht="16.5" customHeight="1">
      <c r="O33453" s="5" t="s">
        <v>355</v>
      </c>
      <c r="P33453" s="5" t="s">
        <v>355</v>
      </c>
      <c r="Q33453" s="5" t="s">
        <v>355</v>
      </c>
    </row>
    <row r="33454" ht="16.5" customHeight="1">
      <c r="O33454" s="5" t="s">
        <v>355</v>
      </c>
      <c r="P33454" s="5" t="s">
        <v>355</v>
      </c>
      <c r="Q33454" s="5" t="s">
        <v>355</v>
      </c>
    </row>
    <row r="33455" ht="16.5" customHeight="1">
      <c r="O33455" s="5" t="s">
        <v>355</v>
      </c>
      <c r="P33455" s="5" t="s">
        <v>355</v>
      </c>
      <c r="Q33455" s="5" t="s">
        <v>355</v>
      </c>
    </row>
    <row r="33456" ht="16.5" customHeight="1">
      <c r="O33456" s="5" t="s">
        <v>355</v>
      </c>
      <c r="P33456" s="5" t="s">
        <v>355</v>
      </c>
      <c r="Q33456" s="5" t="s">
        <v>355</v>
      </c>
    </row>
    <row r="33457" ht="16.5" customHeight="1">
      <c r="O33457" s="5" t="s">
        <v>355</v>
      </c>
      <c r="P33457" s="5" t="s">
        <v>355</v>
      </c>
      <c r="Q33457" s="5" t="s">
        <v>355</v>
      </c>
    </row>
    <row r="33458" ht="16.5" customHeight="1">
      <c r="O33458" s="5" t="s">
        <v>355</v>
      </c>
      <c r="P33458" s="5" t="s">
        <v>355</v>
      </c>
      <c r="Q33458" s="5" t="s">
        <v>355</v>
      </c>
    </row>
    <row r="33459" ht="16.5" customHeight="1">
      <c r="O33459" s="5" t="s">
        <v>355</v>
      </c>
      <c r="P33459" s="5" t="s">
        <v>355</v>
      </c>
      <c r="Q33459" s="5" t="s">
        <v>355</v>
      </c>
    </row>
    <row r="33460" ht="16.5" customHeight="1">
      <c r="O33460" s="5" t="s">
        <v>355</v>
      </c>
      <c r="P33460" s="5" t="s">
        <v>355</v>
      </c>
      <c r="Q33460" s="5" t="s">
        <v>355</v>
      </c>
    </row>
    <row r="33461" ht="16.5" customHeight="1">
      <c r="O33461" s="5" t="s">
        <v>355</v>
      </c>
      <c r="P33461" s="5" t="s">
        <v>355</v>
      </c>
      <c r="Q33461" s="5" t="s">
        <v>355</v>
      </c>
    </row>
    <row r="33462" ht="16.5" customHeight="1">
      <c r="O33462" s="5" t="s">
        <v>355</v>
      </c>
      <c r="P33462" s="5" t="s">
        <v>355</v>
      </c>
      <c r="Q33462" s="5" t="s">
        <v>355</v>
      </c>
    </row>
    <row r="33463" ht="16.5" customHeight="1">
      <c r="O33463" s="5" t="s">
        <v>355</v>
      </c>
      <c r="P33463" s="5" t="s">
        <v>355</v>
      </c>
      <c r="Q33463" s="5" t="s">
        <v>355</v>
      </c>
    </row>
    <row r="33464" ht="16.5" customHeight="1">
      <c r="O33464" s="5" t="s">
        <v>355</v>
      </c>
      <c r="P33464" s="5" t="s">
        <v>355</v>
      </c>
      <c r="Q33464" s="5" t="s">
        <v>355</v>
      </c>
    </row>
    <row r="33465" ht="16.5" customHeight="1">
      <c r="O33465" s="5" t="s">
        <v>355</v>
      </c>
      <c r="P33465" s="5" t="s">
        <v>355</v>
      </c>
      <c r="Q33465" s="5" t="s">
        <v>355</v>
      </c>
    </row>
    <row r="33466" ht="16.5" customHeight="1">
      <c r="O33466" s="5" t="s">
        <v>355</v>
      </c>
      <c r="P33466" s="5" t="s">
        <v>355</v>
      </c>
      <c r="Q33466" s="5" t="s">
        <v>355</v>
      </c>
    </row>
    <row r="33467" ht="16.5" customHeight="1">
      <c r="O33467" s="5" t="s">
        <v>355</v>
      </c>
      <c r="P33467" s="5" t="s">
        <v>355</v>
      </c>
      <c r="Q33467" s="5" t="s">
        <v>355</v>
      </c>
    </row>
    <row r="33468" ht="16.5" customHeight="1">
      <c r="O33468" s="5" t="s">
        <v>355</v>
      </c>
      <c r="P33468" s="5" t="s">
        <v>355</v>
      </c>
      <c r="Q33468" s="5" t="s">
        <v>355</v>
      </c>
    </row>
    <row r="33469" ht="16.5" customHeight="1">
      <c r="O33469" s="5" t="s">
        <v>355</v>
      </c>
      <c r="P33469" s="5" t="s">
        <v>355</v>
      </c>
      <c r="Q33469" s="5" t="s">
        <v>355</v>
      </c>
    </row>
    <row r="33470" ht="16.5" customHeight="1">
      <c r="O33470" s="5" t="s">
        <v>355</v>
      </c>
      <c r="P33470" s="5" t="s">
        <v>355</v>
      </c>
      <c r="Q33470" s="5" t="s">
        <v>355</v>
      </c>
    </row>
    <row r="33471" ht="16.5" customHeight="1">
      <c r="O33471" s="5" t="s">
        <v>355</v>
      </c>
      <c r="P33471" s="5" t="s">
        <v>355</v>
      </c>
      <c r="Q33471" s="5" t="s">
        <v>355</v>
      </c>
    </row>
    <row r="33472" ht="16.5" customHeight="1">
      <c r="O33472" s="5" t="s">
        <v>355</v>
      </c>
      <c r="P33472" s="5" t="s">
        <v>355</v>
      </c>
      <c r="Q33472" s="5" t="s">
        <v>355</v>
      </c>
    </row>
    <row r="33473" ht="16.5" customHeight="1">
      <c r="O33473" s="5" t="s">
        <v>355</v>
      </c>
      <c r="P33473" s="5" t="s">
        <v>355</v>
      </c>
      <c r="Q33473" s="5" t="s">
        <v>355</v>
      </c>
    </row>
    <row r="33474" ht="16.5" customHeight="1">
      <c r="O33474" s="5" t="s">
        <v>355</v>
      </c>
      <c r="P33474" s="5" t="s">
        <v>355</v>
      </c>
      <c r="Q33474" s="5" t="s">
        <v>355</v>
      </c>
    </row>
    <row r="33475" ht="16.5" customHeight="1">
      <c r="O33475" s="5" t="s">
        <v>355</v>
      </c>
      <c r="P33475" s="5" t="s">
        <v>355</v>
      </c>
      <c r="Q33475" s="5" t="s">
        <v>355</v>
      </c>
    </row>
    <row r="33476" ht="16.5" customHeight="1">
      <c r="O33476" s="5" t="s">
        <v>355</v>
      </c>
      <c r="P33476" s="5" t="s">
        <v>355</v>
      </c>
      <c r="Q33476" s="5" t="s">
        <v>355</v>
      </c>
    </row>
    <row r="33477" ht="16.5" customHeight="1">
      <c r="O33477" s="5" t="s">
        <v>355</v>
      </c>
      <c r="P33477" s="5" t="s">
        <v>355</v>
      </c>
      <c r="Q33477" s="5" t="s">
        <v>355</v>
      </c>
    </row>
    <row r="33478" ht="16.5" customHeight="1">
      <c r="O33478" s="5" t="s">
        <v>355</v>
      </c>
      <c r="P33478" s="5" t="s">
        <v>355</v>
      </c>
      <c r="Q33478" s="5" t="s">
        <v>355</v>
      </c>
    </row>
    <row r="33479" ht="16.5" customHeight="1">
      <c r="O33479" s="5" t="s">
        <v>355</v>
      </c>
      <c r="P33479" s="5" t="s">
        <v>355</v>
      </c>
      <c r="Q33479" s="5" t="s">
        <v>355</v>
      </c>
    </row>
    <row r="33480" ht="16.5" customHeight="1">
      <c r="O33480" s="5" t="s">
        <v>355</v>
      </c>
      <c r="P33480" s="5" t="s">
        <v>355</v>
      </c>
      <c r="Q33480" s="5" t="s">
        <v>355</v>
      </c>
    </row>
    <row r="33481" ht="16.5" customHeight="1">
      <c r="O33481" s="5" t="s">
        <v>355</v>
      </c>
      <c r="P33481" s="5" t="s">
        <v>355</v>
      </c>
      <c r="Q33481" s="5" t="s">
        <v>355</v>
      </c>
    </row>
    <row r="33482" ht="16.5" customHeight="1">
      <c r="O33482" s="5" t="s">
        <v>355</v>
      </c>
      <c r="P33482" s="5" t="s">
        <v>355</v>
      </c>
      <c r="Q33482" s="5" t="s">
        <v>355</v>
      </c>
    </row>
    <row r="33483" ht="16.5" customHeight="1">
      <c r="O33483" s="5" t="s">
        <v>355</v>
      </c>
      <c r="P33483" s="5" t="s">
        <v>355</v>
      </c>
      <c r="Q33483" s="5" t="s">
        <v>355</v>
      </c>
    </row>
    <row r="33484" ht="16.5" customHeight="1">
      <c r="O33484" s="5" t="s">
        <v>355</v>
      </c>
      <c r="P33484" s="5" t="s">
        <v>355</v>
      </c>
      <c r="Q33484" s="5" t="s">
        <v>355</v>
      </c>
    </row>
    <row r="33485" ht="16.5" customHeight="1">
      <c r="O33485" s="5" t="s">
        <v>355</v>
      </c>
      <c r="P33485" s="5" t="s">
        <v>355</v>
      </c>
      <c r="Q33485" s="5" t="s">
        <v>355</v>
      </c>
    </row>
    <row r="33486" ht="16.5" customHeight="1">
      <c r="O33486" s="5" t="s">
        <v>355</v>
      </c>
      <c r="P33486" s="5" t="s">
        <v>355</v>
      </c>
      <c r="Q33486" s="5" t="s">
        <v>355</v>
      </c>
    </row>
    <row r="33487" ht="16.5" customHeight="1">
      <c r="O33487" s="5" t="s">
        <v>355</v>
      </c>
      <c r="P33487" s="5" t="s">
        <v>355</v>
      </c>
      <c r="Q33487" s="5" t="s">
        <v>355</v>
      </c>
    </row>
    <row r="33488" ht="16.5" customHeight="1">
      <c r="O33488" s="5" t="s">
        <v>355</v>
      </c>
      <c r="P33488" s="5" t="s">
        <v>355</v>
      </c>
      <c r="Q33488" s="5" t="s">
        <v>355</v>
      </c>
    </row>
    <row r="33489" ht="16.5" customHeight="1">
      <c r="O33489" s="5" t="s">
        <v>355</v>
      </c>
      <c r="P33489" s="5" t="s">
        <v>355</v>
      </c>
      <c r="Q33489" s="5" t="s">
        <v>355</v>
      </c>
    </row>
    <row r="33490" ht="16.5" customHeight="1">
      <c r="O33490" s="5" t="s">
        <v>355</v>
      </c>
      <c r="P33490" s="5" t="s">
        <v>355</v>
      </c>
      <c r="Q33490" s="5" t="s">
        <v>355</v>
      </c>
    </row>
    <row r="33491" ht="16.5" customHeight="1">
      <c r="O33491" s="5" t="s">
        <v>355</v>
      </c>
      <c r="P33491" s="5" t="s">
        <v>355</v>
      </c>
      <c r="Q33491" s="5" t="s">
        <v>355</v>
      </c>
    </row>
    <row r="33492" ht="16.5" customHeight="1">
      <c r="O33492" s="5" t="s">
        <v>355</v>
      </c>
      <c r="P33492" s="5" t="s">
        <v>355</v>
      </c>
      <c r="Q33492" s="5" t="s">
        <v>355</v>
      </c>
    </row>
    <row r="33493" ht="16.5" customHeight="1">
      <c r="O33493" s="5" t="s">
        <v>355</v>
      </c>
      <c r="P33493" s="5" t="s">
        <v>355</v>
      </c>
      <c r="Q33493" s="5" t="s">
        <v>355</v>
      </c>
    </row>
    <row r="33494" ht="16.5" customHeight="1">
      <c r="O33494" s="5" t="s">
        <v>355</v>
      </c>
      <c r="P33494" s="5" t="s">
        <v>355</v>
      </c>
      <c r="Q33494" s="5" t="s">
        <v>355</v>
      </c>
    </row>
    <row r="33495" ht="16.5" customHeight="1">
      <c r="O33495" s="5" t="s">
        <v>355</v>
      </c>
      <c r="P33495" s="5" t="s">
        <v>355</v>
      </c>
      <c r="Q33495" s="5" t="s">
        <v>355</v>
      </c>
    </row>
    <row r="33496" ht="16.5" customHeight="1">
      <c r="O33496" s="5" t="s">
        <v>355</v>
      </c>
      <c r="P33496" s="5" t="s">
        <v>355</v>
      </c>
      <c r="Q33496" s="5" t="s">
        <v>355</v>
      </c>
    </row>
    <row r="33497" ht="16.5" customHeight="1">
      <c r="O33497" s="5" t="s">
        <v>355</v>
      </c>
      <c r="P33497" s="5" t="s">
        <v>355</v>
      </c>
      <c r="Q33497" s="5" t="s">
        <v>355</v>
      </c>
    </row>
    <row r="33498" ht="16.5" customHeight="1">
      <c r="O33498" s="5" t="s">
        <v>355</v>
      </c>
      <c r="P33498" s="5" t="s">
        <v>355</v>
      </c>
      <c r="Q33498" s="5" t="s">
        <v>355</v>
      </c>
    </row>
    <row r="33499" ht="16.5" customHeight="1">
      <c r="O33499" s="5" t="s">
        <v>355</v>
      </c>
      <c r="P33499" s="5" t="s">
        <v>355</v>
      </c>
      <c r="Q33499" s="5" t="s">
        <v>355</v>
      </c>
    </row>
    <row r="33500" ht="16.5" customHeight="1">
      <c r="O33500" s="5" t="s">
        <v>355</v>
      </c>
      <c r="P33500" s="5" t="s">
        <v>355</v>
      </c>
      <c r="Q33500" s="5" t="s">
        <v>355</v>
      </c>
    </row>
    <row r="33501" ht="16.5" customHeight="1">
      <c r="O33501" s="5" t="s">
        <v>355</v>
      </c>
      <c r="P33501" s="5" t="s">
        <v>355</v>
      </c>
      <c r="Q33501" s="5" t="s">
        <v>355</v>
      </c>
    </row>
    <row r="33502" ht="16.5" customHeight="1">
      <c r="O33502" s="5" t="s">
        <v>355</v>
      </c>
      <c r="P33502" s="5" t="s">
        <v>355</v>
      </c>
      <c r="Q33502" s="5" t="s">
        <v>355</v>
      </c>
    </row>
    <row r="33503" ht="16.5" customHeight="1">
      <c r="O33503" s="5" t="s">
        <v>355</v>
      </c>
      <c r="P33503" s="5" t="s">
        <v>355</v>
      </c>
      <c r="Q33503" s="5" t="s">
        <v>355</v>
      </c>
    </row>
    <row r="33504" ht="16.5" customHeight="1">
      <c r="O33504" s="5" t="s">
        <v>355</v>
      </c>
      <c r="P33504" s="5" t="s">
        <v>355</v>
      </c>
      <c r="Q33504" s="5" t="s">
        <v>355</v>
      </c>
    </row>
    <row r="33505" ht="16.5" customHeight="1">
      <c r="O33505" s="5" t="s">
        <v>355</v>
      </c>
      <c r="P33505" s="5" t="s">
        <v>355</v>
      </c>
      <c r="Q33505" s="5" t="s">
        <v>355</v>
      </c>
    </row>
    <row r="33506" ht="16.5" customHeight="1">
      <c r="O33506" s="5" t="s">
        <v>355</v>
      </c>
      <c r="P33506" s="5" t="s">
        <v>355</v>
      </c>
      <c r="Q33506" s="5" t="s">
        <v>355</v>
      </c>
    </row>
    <row r="33507" ht="16.5" customHeight="1">
      <c r="O33507" s="5" t="s">
        <v>355</v>
      </c>
      <c r="P33507" s="5" t="s">
        <v>355</v>
      </c>
      <c r="Q33507" s="5" t="s">
        <v>355</v>
      </c>
    </row>
    <row r="33508" ht="16.5" customHeight="1">
      <c r="O33508" s="5" t="s">
        <v>355</v>
      </c>
      <c r="P33508" s="5" t="s">
        <v>355</v>
      </c>
      <c r="Q33508" s="5" t="s">
        <v>355</v>
      </c>
    </row>
    <row r="33509" ht="16.5" customHeight="1">
      <c r="O33509" s="5" t="s">
        <v>355</v>
      </c>
      <c r="P33509" s="5" t="s">
        <v>355</v>
      </c>
      <c r="Q33509" s="5" t="s">
        <v>355</v>
      </c>
    </row>
    <row r="33510" ht="16.5" customHeight="1">
      <c r="O33510" s="5" t="s">
        <v>355</v>
      </c>
      <c r="P33510" s="5" t="s">
        <v>355</v>
      </c>
      <c r="Q33510" s="5" t="s">
        <v>355</v>
      </c>
    </row>
    <row r="33511" ht="16.5" customHeight="1">
      <c r="O33511" s="5" t="s">
        <v>355</v>
      </c>
      <c r="P33511" s="5" t="s">
        <v>355</v>
      </c>
      <c r="Q33511" s="5" t="s">
        <v>355</v>
      </c>
    </row>
    <row r="33512" ht="16.5" customHeight="1">
      <c r="O33512" s="5" t="s">
        <v>355</v>
      </c>
      <c r="P33512" s="5" t="s">
        <v>355</v>
      </c>
      <c r="Q33512" s="5" t="s">
        <v>355</v>
      </c>
    </row>
    <row r="33513" ht="16.5" customHeight="1">
      <c r="O33513" s="5" t="s">
        <v>355</v>
      </c>
      <c r="P33513" s="5" t="s">
        <v>355</v>
      </c>
      <c r="Q33513" s="5" t="s">
        <v>355</v>
      </c>
    </row>
    <row r="33514" ht="16.5" customHeight="1">
      <c r="O33514" s="5" t="s">
        <v>355</v>
      </c>
      <c r="P33514" s="5" t="s">
        <v>355</v>
      </c>
      <c r="Q33514" s="5" t="s">
        <v>355</v>
      </c>
    </row>
    <row r="33515" ht="16.5" customHeight="1">
      <c r="O33515" s="5" t="s">
        <v>355</v>
      </c>
      <c r="P33515" s="5" t="s">
        <v>355</v>
      </c>
      <c r="Q33515" s="5" t="s">
        <v>355</v>
      </c>
    </row>
    <row r="33516" ht="16.5" customHeight="1">
      <c r="O33516" s="5" t="s">
        <v>355</v>
      </c>
      <c r="P33516" s="5" t="s">
        <v>355</v>
      </c>
      <c r="Q33516" s="5" t="s">
        <v>355</v>
      </c>
    </row>
    <row r="33517" ht="16.5" customHeight="1">
      <c r="O33517" s="5" t="s">
        <v>355</v>
      </c>
      <c r="P33517" s="5" t="s">
        <v>355</v>
      </c>
      <c r="Q33517" s="5" t="s">
        <v>355</v>
      </c>
    </row>
    <row r="33518" ht="16.5" customHeight="1">
      <c r="O33518" s="5" t="s">
        <v>355</v>
      </c>
      <c r="P33518" s="5" t="s">
        <v>355</v>
      </c>
      <c r="Q33518" s="5" t="s">
        <v>355</v>
      </c>
    </row>
    <row r="33519" ht="16.5" customHeight="1">
      <c r="O33519" s="5" t="s">
        <v>355</v>
      </c>
      <c r="P33519" s="5" t="s">
        <v>355</v>
      </c>
      <c r="Q33519" s="5" t="s">
        <v>355</v>
      </c>
    </row>
    <row r="33520" ht="16.5" customHeight="1">
      <c r="O33520" s="5" t="s">
        <v>355</v>
      </c>
      <c r="P33520" s="5" t="s">
        <v>355</v>
      </c>
      <c r="Q33520" s="5" t="s">
        <v>355</v>
      </c>
    </row>
    <row r="33521" ht="16.5" customHeight="1">
      <c r="O33521" s="5" t="s">
        <v>355</v>
      </c>
      <c r="P33521" s="5" t="s">
        <v>355</v>
      </c>
      <c r="Q33521" s="5" t="s">
        <v>355</v>
      </c>
    </row>
    <row r="33522" ht="16.5" customHeight="1">
      <c r="O33522" s="5" t="s">
        <v>355</v>
      </c>
      <c r="P33522" s="5" t="s">
        <v>355</v>
      </c>
      <c r="Q33522" s="5" t="s">
        <v>355</v>
      </c>
    </row>
    <row r="33523" ht="16.5" customHeight="1">
      <c r="O33523" s="5" t="s">
        <v>355</v>
      </c>
      <c r="P33523" s="5" t="s">
        <v>355</v>
      </c>
      <c r="Q33523" s="5" t="s">
        <v>355</v>
      </c>
    </row>
    <row r="33524" ht="16.5" customHeight="1">
      <c r="O33524" s="5" t="s">
        <v>355</v>
      </c>
      <c r="P33524" s="5" t="s">
        <v>355</v>
      </c>
      <c r="Q33524" s="5" t="s">
        <v>355</v>
      </c>
    </row>
    <row r="33525" ht="16.5" customHeight="1">
      <c r="O33525" s="5" t="s">
        <v>355</v>
      </c>
      <c r="P33525" s="5" t="s">
        <v>355</v>
      </c>
      <c r="Q33525" s="5" t="s">
        <v>355</v>
      </c>
    </row>
    <row r="33526" ht="16.5" customHeight="1">
      <c r="O33526" s="5" t="s">
        <v>355</v>
      </c>
      <c r="P33526" s="5" t="s">
        <v>355</v>
      </c>
      <c r="Q33526" s="5" t="s">
        <v>355</v>
      </c>
    </row>
    <row r="33527" ht="16.5" customHeight="1">
      <c r="O33527" s="5" t="s">
        <v>355</v>
      </c>
      <c r="P33527" s="5" t="s">
        <v>355</v>
      </c>
      <c r="Q33527" s="5" t="s">
        <v>355</v>
      </c>
    </row>
    <row r="33528" ht="16.5" customHeight="1">
      <c r="O33528" s="5" t="s">
        <v>355</v>
      </c>
      <c r="P33528" s="5" t="s">
        <v>355</v>
      </c>
      <c r="Q33528" s="5" t="s">
        <v>355</v>
      </c>
    </row>
    <row r="33529" ht="16.5" customHeight="1">
      <c r="O33529" s="5" t="s">
        <v>355</v>
      </c>
      <c r="P33529" s="5" t="s">
        <v>355</v>
      </c>
      <c r="Q33529" s="5" t="s">
        <v>355</v>
      </c>
    </row>
    <row r="33530" ht="16.5" customHeight="1">
      <c r="O33530" s="5" t="s">
        <v>355</v>
      </c>
      <c r="P33530" s="5" t="s">
        <v>355</v>
      </c>
      <c r="Q33530" s="5" t="s">
        <v>355</v>
      </c>
    </row>
    <row r="33531" ht="16.5" customHeight="1">
      <c r="O33531" s="5" t="s">
        <v>355</v>
      </c>
      <c r="P33531" s="5" t="s">
        <v>355</v>
      </c>
      <c r="Q33531" s="5" t="s">
        <v>355</v>
      </c>
    </row>
    <row r="33532" ht="16.5" customHeight="1">
      <c r="O33532" s="5" t="s">
        <v>355</v>
      </c>
      <c r="P33532" s="5" t="s">
        <v>355</v>
      </c>
      <c r="Q33532" s="5" t="s">
        <v>355</v>
      </c>
    </row>
    <row r="33533" ht="16.5" customHeight="1">
      <c r="O33533" s="5" t="s">
        <v>355</v>
      </c>
      <c r="P33533" s="5" t="s">
        <v>355</v>
      </c>
      <c r="Q33533" s="5" t="s">
        <v>355</v>
      </c>
    </row>
    <row r="33534" ht="16.5" customHeight="1">
      <c r="O33534" s="5" t="s">
        <v>355</v>
      </c>
      <c r="P33534" s="5" t="s">
        <v>355</v>
      </c>
      <c r="Q33534" s="5" t="s">
        <v>355</v>
      </c>
    </row>
    <row r="33535" ht="16.5" customHeight="1">
      <c r="O33535" s="5" t="s">
        <v>355</v>
      </c>
      <c r="P33535" s="5" t="s">
        <v>355</v>
      </c>
      <c r="Q33535" s="5" t="s">
        <v>355</v>
      </c>
    </row>
    <row r="33536" ht="16.5" customHeight="1">
      <c r="O33536" s="5" t="s">
        <v>355</v>
      </c>
      <c r="P33536" s="5" t="s">
        <v>355</v>
      </c>
      <c r="Q33536" s="5" t="s">
        <v>355</v>
      </c>
    </row>
    <row r="33537" ht="16.5" customHeight="1">
      <c r="O33537" s="5" t="s">
        <v>355</v>
      </c>
      <c r="P33537" s="5" t="s">
        <v>355</v>
      </c>
      <c r="Q33537" s="5" t="s">
        <v>355</v>
      </c>
    </row>
    <row r="33538" ht="16.5" customHeight="1">
      <c r="O33538" s="5" t="s">
        <v>355</v>
      </c>
      <c r="P33538" s="5" t="s">
        <v>355</v>
      </c>
      <c r="Q33538" s="5" t="s">
        <v>355</v>
      </c>
    </row>
    <row r="33539" ht="16.5" customHeight="1">
      <c r="O33539" s="5" t="s">
        <v>355</v>
      </c>
      <c r="P33539" s="5" t="s">
        <v>355</v>
      </c>
      <c r="Q33539" s="5" t="s">
        <v>355</v>
      </c>
    </row>
    <row r="33540" ht="16.5" customHeight="1">
      <c r="O33540" s="5" t="s">
        <v>355</v>
      </c>
      <c r="P33540" s="5" t="s">
        <v>355</v>
      </c>
      <c r="Q33540" s="5" t="s">
        <v>355</v>
      </c>
    </row>
    <row r="33541" ht="16.5" customHeight="1">
      <c r="O33541" s="5" t="s">
        <v>355</v>
      </c>
      <c r="P33541" s="5" t="s">
        <v>355</v>
      </c>
      <c r="Q33541" s="5" t="s">
        <v>355</v>
      </c>
    </row>
    <row r="33542" ht="16.5" customHeight="1">
      <c r="O33542" s="5" t="s">
        <v>355</v>
      </c>
      <c r="P33542" s="5" t="s">
        <v>355</v>
      </c>
      <c r="Q33542" s="5" t="s">
        <v>355</v>
      </c>
    </row>
    <row r="33543" ht="16.5" customHeight="1">
      <c r="O33543" s="5" t="s">
        <v>355</v>
      </c>
      <c r="P33543" s="5" t="s">
        <v>355</v>
      </c>
      <c r="Q33543" s="5" t="s">
        <v>355</v>
      </c>
    </row>
    <row r="33544" ht="16.5" customHeight="1">
      <c r="O33544" s="5" t="s">
        <v>355</v>
      </c>
      <c r="P33544" s="5" t="s">
        <v>355</v>
      </c>
      <c r="Q33544" s="5" t="s">
        <v>355</v>
      </c>
    </row>
    <row r="33545" ht="16.5" customHeight="1">
      <c r="O33545" s="5" t="s">
        <v>355</v>
      </c>
      <c r="P33545" s="5" t="s">
        <v>355</v>
      </c>
      <c r="Q33545" s="5" t="s">
        <v>355</v>
      </c>
    </row>
    <row r="33546" ht="16.5" customHeight="1">
      <c r="O33546" s="5" t="s">
        <v>355</v>
      </c>
      <c r="P33546" s="5" t="s">
        <v>355</v>
      </c>
      <c r="Q33546" s="5" t="s">
        <v>355</v>
      </c>
    </row>
    <row r="33547" ht="16.5" customHeight="1">
      <c r="O33547" s="5" t="s">
        <v>355</v>
      </c>
      <c r="P33547" s="5" t="s">
        <v>355</v>
      </c>
      <c r="Q33547" s="5" t="s">
        <v>355</v>
      </c>
    </row>
    <row r="33548" ht="16.5" customHeight="1">
      <c r="O33548" s="5" t="s">
        <v>355</v>
      </c>
      <c r="P33548" s="5" t="s">
        <v>355</v>
      </c>
      <c r="Q33548" s="5" t="s">
        <v>355</v>
      </c>
    </row>
    <row r="33549" ht="16.5" customHeight="1">
      <c r="O33549" s="5" t="s">
        <v>355</v>
      </c>
      <c r="P33549" s="5" t="s">
        <v>355</v>
      </c>
      <c r="Q33549" s="5" t="s">
        <v>355</v>
      </c>
    </row>
    <row r="33550" ht="16.5" customHeight="1">
      <c r="O33550" s="5" t="s">
        <v>355</v>
      </c>
      <c r="P33550" s="5" t="s">
        <v>355</v>
      </c>
      <c r="Q33550" s="5" t="s">
        <v>355</v>
      </c>
    </row>
    <row r="33551" ht="16.5" customHeight="1">
      <c r="O33551" s="5" t="s">
        <v>355</v>
      </c>
      <c r="P33551" s="5" t="s">
        <v>355</v>
      </c>
      <c r="Q33551" s="5" t="s">
        <v>355</v>
      </c>
    </row>
    <row r="33552" ht="16.5" customHeight="1">
      <c r="O33552" s="5" t="s">
        <v>355</v>
      </c>
      <c r="P33552" s="5" t="s">
        <v>355</v>
      </c>
      <c r="Q33552" s="5" t="s">
        <v>355</v>
      </c>
    </row>
    <row r="33553" ht="16.5" customHeight="1">
      <c r="O33553" s="5" t="s">
        <v>355</v>
      </c>
      <c r="P33553" s="5" t="s">
        <v>355</v>
      </c>
      <c r="Q33553" s="5" t="s">
        <v>355</v>
      </c>
    </row>
    <row r="33554" ht="16.5" customHeight="1">
      <c r="O33554" s="5" t="s">
        <v>355</v>
      </c>
      <c r="P33554" s="5" t="s">
        <v>355</v>
      </c>
      <c r="Q33554" s="5" t="s">
        <v>355</v>
      </c>
    </row>
    <row r="33555" ht="16.5" customHeight="1">
      <c r="O33555" s="5" t="s">
        <v>355</v>
      </c>
      <c r="P33555" s="5" t="s">
        <v>355</v>
      </c>
      <c r="Q33555" s="5" t="s">
        <v>355</v>
      </c>
    </row>
    <row r="33556" ht="16.5" customHeight="1">
      <c r="O33556" s="5" t="s">
        <v>355</v>
      </c>
      <c r="P33556" s="5" t="s">
        <v>355</v>
      </c>
      <c r="Q33556" s="5" t="s">
        <v>355</v>
      </c>
    </row>
    <row r="33557" ht="16.5" customHeight="1">
      <c r="O33557" s="5" t="s">
        <v>355</v>
      </c>
      <c r="P33557" s="5" t="s">
        <v>355</v>
      </c>
      <c r="Q33557" s="5" t="s">
        <v>355</v>
      </c>
    </row>
    <row r="33558" ht="16.5" customHeight="1">
      <c r="O33558" s="5" t="s">
        <v>355</v>
      </c>
      <c r="P33558" s="5" t="s">
        <v>355</v>
      </c>
      <c r="Q33558" s="5" t="s">
        <v>355</v>
      </c>
    </row>
    <row r="33559" ht="16.5" customHeight="1">
      <c r="O33559" s="5" t="s">
        <v>355</v>
      </c>
      <c r="P33559" s="5" t="s">
        <v>355</v>
      </c>
      <c r="Q33559" s="5" t="s">
        <v>355</v>
      </c>
    </row>
    <row r="33560" ht="16.5" customHeight="1">
      <c r="O33560" s="5" t="s">
        <v>355</v>
      </c>
      <c r="P33560" s="5" t="s">
        <v>355</v>
      </c>
      <c r="Q33560" s="5" t="s">
        <v>355</v>
      </c>
    </row>
    <row r="33561" ht="16.5" customHeight="1">
      <c r="O33561" s="5" t="s">
        <v>355</v>
      </c>
      <c r="P33561" s="5" t="s">
        <v>355</v>
      </c>
      <c r="Q33561" s="5" t="s">
        <v>355</v>
      </c>
    </row>
    <row r="33562" ht="16.5" customHeight="1">
      <c r="O33562" s="5" t="s">
        <v>355</v>
      </c>
      <c r="P33562" s="5" t="s">
        <v>355</v>
      </c>
      <c r="Q33562" s="5" t="s">
        <v>355</v>
      </c>
    </row>
    <row r="33563" ht="16.5" customHeight="1">
      <c r="O33563" s="5" t="s">
        <v>355</v>
      </c>
      <c r="P33563" s="5" t="s">
        <v>355</v>
      </c>
      <c r="Q33563" s="5" t="s">
        <v>355</v>
      </c>
    </row>
    <row r="33564" ht="16.5" customHeight="1">
      <c r="O33564" s="5" t="s">
        <v>355</v>
      </c>
      <c r="P33564" s="5" t="s">
        <v>355</v>
      </c>
      <c r="Q33564" s="5" t="s">
        <v>355</v>
      </c>
    </row>
    <row r="33565" ht="16.5" customHeight="1">
      <c r="O33565" s="5" t="s">
        <v>355</v>
      </c>
      <c r="P33565" s="5" t="s">
        <v>355</v>
      </c>
      <c r="Q33565" s="5" t="s">
        <v>355</v>
      </c>
    </row>
    <row r="33566" ht="16.5" customHeight="1">
      <c r="O33566" s="5" t="s">
        <v>355</v>
      </c>
      <c r="P33566" s="5" t="s">
        <v>355</v>
      </c>
      <c r="Q33566" s="5" t="s">
        <v>355</v>
      </c>
    </row>
    <row r="33567" ht="16.5" customHeight="1">
      <c r="O33567" s="5" t="s">
        <v>355</v>
      </c>
      <c r="P33567" s="5" t="s">
        <v>355</v>
      </c>
      <c r="Q33567" s="5" t="s">
        <v>355</v>
      </c>
    </row>
    <row r="33568" ht="16.5" customHeight="1">
      <c r="O33568" s="5" t="s">
        <v>355</v>
      </c>
      <c r="P33568" s="5" t="s">
        <v>355</v>
      </c>
      <c r="Q33568" s="5" t="s">
        <v>355</v>
      </c>
    </row>
    <row r="33569" ht="16.5" customHeight="1">
      <c r="O33569" s="5" t="s">
        <v>355</v>
      </c>
      <c r="P33569" s="5" t="s">
        <v>355</v>
      </c>
      <c r="Q33569" s="5" t="s">
        <v>355</v>
      </c>
    </row>
    <row r="33570" ht="16.5" customHeight="1">
      <c r="O33570" s="5" t="s">
        <v>355</v>
      </c>
      <c r="P33570" s="5" t="s">
        <v>355</v>
      </c>
      <c r="Q33570" s="5" t="s">
        <v>355</v>
      </c>
    </row>
    <row r="33571" ht="16.5" customHeight="1">
      <c r="O33571" s="5" t="s">
        <v>355</v>
      </c>
      <c r="P33571" s="5" t="s">
        <v>355</v>
      </c>
      <c r="Q33571" s="5" t="s">
        <v>355</v>
      </c>
    </row>
    <row r="33572" ht="16.5" customHeight="1">
      <c r="O33572" s="5" t="s">
        <v>355</v>
      </c>
      <c r="P33572" s="5" t="s">
        <v>355</v>
      </c>
      <c r="Q33572" s="5" t="s">
        <v>355</v>
      </c>
    </row>
    <row r="33573" ht="16.5" customHeight="1">
      <c r="O33573" s="5" t="s">
        <v>355</v>
      </c>
      <c r="P33573" s="5" t="s">
        <v>355</v>
      </c>
      <c r="Q33573" s="5" t="s">
        <v>355</v>
      </c>
    </row>
    <row r="33574" ht="16.5" customHeight="1">
      <c r="O33574" s="5" t="s">
        <v>355</v>
      </c>
      <c r="P33574" s="5" t="s">
        <v>355</v>
      </c>
      <c r="Q33574" s="5" t="s">
        <v>355</v>
      </c>
    </row>
    <row r="33575" ht="16.5" customHeight="1">
      <c r="O33575" s="5" t="s">
        <v>355</v>
      </c>
      <c r="P33575" s="5" t="s">
        <v>355</v>
      </c>
      <c r="Q33575" s="5" t="s">
        <v>355</v>
      </c>
    </row>
    <row r="33576" ht="16.5" customHeight="1">
      <c r="O33576" s="5" t="s">
        <v>355</v>
      </c>
      <c r="P33576" s="5" t="s">
        <v>355</v>
      </c>
      <c r="Q33576" s="5" t="s">
        <v>355</v>
      </c>
    </row>
    <row r="33577" ht="16.5" customHeight="1">
      <c r="O33577" s="5" t="s">
        <v>355</v>
      </c>
      <c r="P33577" s="5" t="s">
        <v>355</v>
      </c>
      <c r="Q33577" s="5" t="s">
        <v>355</v>
      </c>
    </row>
    <row r="33578" ht="16.5" customHeight="1">
      <c r="O33578" s="5" t="s">
        <v>355</v>
      </c>
      <c r="P33578" s="5" t="s">
        <v>355</v>
      </c>
      <c r="Q33578" s="5" t="s">
        <v>355</v>
      </c>
    </row>
    <row r="33579" ht="16.5" customHeight="1">
      <c r="O33579" s="5" t="s">
        <v>355</v>
      </c>
      <c r="P33579" s="5" t="s">
        <v>355</v>
      </c>
      <c r="Q33579" s="5" t="s">
        <v>355</v>
      </c>
    </row>
    <row r="33580" ht="16.5" customHeight="1">
      <c r="O33580" s="5" t="s">
        <v>355</v>
      </c>
      <c r="P33580" s="5" t="s">
        <v>355</v>
      </c>
      <c r="Q33580" s="5" t="s">
        <v>355</v>
      </c>
    </row>
    <row r="33581" ht="16.5" customHeight="1">
      <c r="O33581" s="5" t="s">
        <v>355</v>
      </c>
      <c r="P33581" s="5" t="s">
        <v>355</v>
      </c>
      <c r="Q33581" s="5" t="s">
        <v>355</v>
      </c>
    </row>
    <row r="33582" ht="16.5" customHeight="1">
      <c r="O33582" s="5" t="s">
        <v>355</v>
      </c>
      <c r="P33582" s="5" t="s">
        <v>355</v>
      </c>
      <c r="Q33582" s="5" t="s">
        <v>355</v>
      </c>
    </row>
    <row r="33583" ht="16.5" customHeight="1">
      <c r="O33583" s="5" t="s">
        <v>355</v>
      </c>
      <c r="P33583" s="5" t="s">
        <v>355</v>
      </c>
      <c r="Q33583" s="5" t="s">
        <v>355</v>
      </c>
    </row>
    <row r="33584" ht="16.5" customHeight="1">
      <c r="O33584" s="5" t="s">
        <v>355</v>
      </c>
      <c r="P33584" s="5" t="s">
        <v>355</v>
      </c>
      <c r="Q33584" s="5" t="s">
        <v>355</v>
      </c>
    </row>
    <row r="33585" ht="16.5" customHeight="1">
      <c r="O33585" s="5" t="s">
        <v>355</v>
      </c>
      <c r="P33585" s="5" t="s">
        <v>355</v>
      </c>
      <c r="Q33585" s="5" t="s">
        <v>355</v>
      </c>
    </row>
    <row r="33586" ht="16.5" customHeight="1">
      <c r="O33586" s="5" t="s">
        <v>355</v>
      </c>
      <c r="P33586" s="5" t="s">
        <v>355</v>
      </c>
      <c r="Q33586" s="5" t="s">
        <v>355</v>
      </c>
    </row>
    <row r="33587" ht="16.5" customHeight="1">
      <c r="O33587" s="5" t="s">
        <v>355</v>
      </c>
      <c r="P33587" s="5" t="s">
        <v>355</v>
      </c>
      <c r="Q33587" s="5" t="s">
        <v>355</v>
      </c>
    </row>
    <row r="33588" ht="16.5" customHeight="1">
      <c r="O33588" s="5" t="s">
        <v>355</v>
      </c>
      <c r="P33588" s="5" t="s">
        <v>355</v>
      </c>
      <c r="Q33588" s="5" t="s">
        <v>355</v>
      </c>
    </row>
    <row r="33589" ht="16.5" customHeight="1">
      <c r="O33589" s="5" t="s">
        <v>355</v>
      </c>
      <c r="P33589" s="5" t="s">
        <v>355</v>
      </c>
      <c r="Q33589" s="5" t="s">
        <v>355</v>
      </c>
    </row>
    <row r="33590" ht="16.5" customHeight="1">
      <c r="O33590" s="5" t="s">
        <v>355</v>
      </c>
      <c r="P33590" s="5" t="s">
        <v>355</v>
      </c>
      <c r="Q33590" s="5" t="s">
        <v>355</v>
      </c>
    </row>
    <row r="33591" ht="16.5" customHeight="1">
      <c r="O33591" s="5" t="s">
        <v>355</v>
      </c>
      <c r="P33591" s="5" t="s">
        <v>355</v>
      </c>
      <c r="Q33591" s="5" t="s">
        <v>355</v>
      </c>
    </row>
    <row r="33592" ht="16.5" customHeight="1">
      <c r="O33592" s="5" t="s">
        <v>355</v>
      </c>
      <c r="P33592" s="5" t="s">
        <v>355</v>
      </c>
      <c r="Q33592" s="5" t="s">
        <v>355</v>
      </c>
    </row>
    <row r="33593" ht="16.5" customHeight="1">
      <c r="O33593" s="5" t="s">
        <v>355</v>
      </c>
      <c r="P33593" s="5" t="s">
        <v>355</v>
      </c>
      <c r="Q33593" s="5" t="s">
        <v>355</v>
      </c>
    </row>
    <row r="33594" ht="16.5" customHeight="1">
      <c r="O33594" s="5" t="s">
        <v>355</v>
      </c>
      <c r="P33594" s="5" t="s">
        <v>355</v>
      </c>
      <c r="Q33594" s="5" t="s">
        <v>355</v>
      </c>
    </row>
    <row r="33595" ht="16.5" customHeight="1">
      <c r="O33595" s="5" t="s">
        <v>355</v>
      </c>
      <c r="P33595" s="5" t="s">
        <v>355</v>
      </c>
      <c r="Q33595" s="5" t="s">
        <v>355</v>
      </c>
    </row>
    <row r="33596" ht="16.5" customHeight="1">
      <c r="O33596" s="5" t="s">
        <v>355</v>
      </c>
      <c r="P33596" s="5" t="s">
        <v>355</v>
      </c>
      <c r="Q33596" s="5" t="s">
        <v>355</v>
      </c>
    </row>
    <row r="33597" ht="16.5" customHeight="1">
      <c r="O33597" s="5" t="s">
        <v>355</v>
      </c>
      <c r="P33597" s="5" t="s">
        <v>355</v>
      </c>
      <c r="Q33597" s="5" t="s">
        <v>355</v>
      </c>
    </row>
    <row r="33598" ht="16.5" customHeight="1">
      <c r="O33598" s="5" t="s">
        <v>355</v>
      </c>
      <c r="P33598" s="5" t="s">
        <v>355</v>
      </c>
      <c r="Q33598" s="5" t="s">
        <v>355</v>
      </c>
    </row>
    <row r="33599" ht="16.5" customHeight="1">
      <c r="O33599" s="5" t="s">
        <v>355</v>
      </c>
      <c r="P33599" s="5" t="s">
        <v>355</v>
      </c>
      <c r="Q33599" s="5" t="s">
        <v>355</v>
      </c>
    </row>
    <row r="33600" ht="16.5" customHeight="1">
      <c r="O33600" s="5" t="s">
        <v>355</v>
      </c>
      <c r="P33600" s="5" t="s">
        <v>355</v>
      </c>
      <c r="Q33600" s="5" t="s">
        <v>355</v>
      </c>
    </row>
    <row r="33601" ht="16.5" customHeight="1">
      <c r="O33601" s="5" t="s">
        <v>355</v>
      </c>
      <c r="P33601" s="5" t="s">
        <v>355</v>
      </c>
      <c r="Q33601" s="5" t="s">
        <v>355</v>
      </c>
    </row>
    <row r="33602" ht="16.5" customHeight="1">
      <c r="O33602" s="5" t="s">
        <v>355</v>
      </c>
      <c r="P33602" s="5" t="s">
        <v>355</v>
      </c>
      <c r="Q33602" s="5" t="s">
        <v>355</v>
      </c>
    </row>
    <row r="33603" ht="16.5" customHeight="1">
      <c r="O33603" s="5" t="s">
        <v>355</v>
      </c>
      <c r="P33603" s="5" t="s">
        <v>355</v>
      </c>
      <c r="Q33603" s="5" t="s">
        <v>355</v>
      </c>
    </row>
    <row r="33604" ht="16.5" customHeight="1">
      <c r="O33604" s="5" t="s">
        <v>355</v>
      </c>
      <c r="P33604" s="5" t="s">
        <v>355</v>
      </c>
      <c r="Q33604" s="5" t="s">
        <v>355</v>
      </c>
    </row>
    <row r="33605" ht="16.5" customHeight="1">
      <c r="O33605" s="5" t="s">
        <v>355</v>
      </c>
      <c r="P33605" s="5" t="s">
        <v>355</v>
      </c>
      <c r="Q33605" s="5" t="s">
        <v>355</v>
      </c>
    </row>
    <row r="33606" ht="16.5" customHeight="1">
      <c r="O33606" s="5" t="s">
        <v>355</v>
      </c>
      <c r="P33606" s="5" t="s">
        <v>355</v>
      </c>
      <c r="Q33606" s="5" t="s">
        <v>355</v>
      </c>
    </row>
    <row r="33607" ht="16.5" customHeight="1">
      <c r="O33607" s="5" t="s">
        <v>355</v>
      </c>
      <c r="P33607" s="5" t="s">
        <v>355</v>
      </c>
      <c r="Q33607" s="5" t="s">
        <v>355</v>
      </c>
    </row>
    <row r="33608" ht="16.5" customHeight="1">
      <c r="O33608" s="5" t="s">
        <v>355</v>
      </c>
      <c r="P33608" s="5" t="s">
        <v>355</v>
      </c>
      <c r="Q33608" s="5" t="s">
        <v>355</v>
      </c>
    </row>
    <row r="33609" ht="16.5" customHeight="1">
      <c r="O33609" s="5" t="s">
        <v>355</v>
      </c>
      <c r="P33609" s="5" t="s">
        <v>355</v>
      </c>
      <c r="Q33609" s="5" t="s">
        <v>355</v>
      </c>
    </row>
    <row r="33610" ht="16.5" customHeight="1">
      <c r="O33610" s="5" t="s">
        <v>355</v>
      </c>
      <c r="P33610" s="5" t="s">
        <v>355</v>
      </c>
      <c r="Q33610" s="5" t="s">
        <v>355</v>
      </c>
    </row>
    <row r="33611" ht="16.5" customHeight="1">
      <c r="O33611" s="5" t="s">
        <v>355</v>
      </c>
      <c r="P33611" s="5" t="s">
        <v>355</v>
      </c>
      <c r="Q33611" s="5" t="s">
        <v>355</v>
      </c>
    </row>
    <row r="33612" ht="16.5" customHeight="1">
      <c r="O33612" s="5" t="s">
        <v>355</v>
      </c>
      <c r="P33612" s="5" t="s">
        <v>355</v>
      </c>
      <c r="Q33612" s="5" t="s">
        <v>355</v>
      </c>
    </row>
    <row r="33613" ht="16.5" customHeight="1">
      <c r="O33613" s="5" t="s">
        <v>355</v>
      </c>
      <c r="P33613" s="5" t="s">
        <v>355</v>
      </c>
      <c r="Q33613" s="5" t="s">
        <v>355</v>
      </c>
    </row>
    <row r="33614" ht="16.5" customHeight="1">
      <c r="O33614" s="5" t="s">
        <v>355</v>
      </c>
      <c r="P33614" s="5" t="s">
        <v>355</v>
      </c>
      <c r="Q33614" s="5" t="s">
        <v>355</v>
      </c>
    </row>
    <row r="33615" ht="16.5" customHeight="1">
      <c r="O33615" s="5" t="s">
        <v>355</v>
      </c>
      <c r="P33615" s="5" t="s">
        <v>355</v>
      </c>
      <c r="Q33615" s="5" t="s">
        <v>355</v>
      </c>
    </row>
    <row r="33616" ht="16.5" customHeight="1">
      <c r="O33616" s="5" t="s">
        <v>355</v>
      </c>
      <c r="P33616" s="5" t="s">
        <v>355</v>
      </c>
      <c r="Q33616" s="5" t="s">
        <v>355</v>
      </c>
    </row>
    <row r="33617" ht="16.5" customHeight="1">
      <c r="O33617" s="5" t="s">
        <v>355</v>
      </c>
      <c r="P33617" s="5" t="s">
        <v>355</v>
      </c>
      <c r="Q33617" s="5" t="s">
        <v>355</v>
      </c>
    </row>
    <row r="33618" ht="16.5" customHeight="1">
      <c r="O33618" s="5" t="s">
        <v>355</v>
      </c>
      <c r="P33618" s="5" t="s">
        <v>355</v>
      </c>
      <c r="Q33618" s="5" t="s">
        <v>355</v>
      </c>
    </row>
    <row r="33619" ht="16.5" customHeight="1">
      <c r="O33619" s="5" t="s">
        <v>355</v>
      </c>
      <c r="P33619" s="5" t="s">
        <v>355</v>
      </c>
      <c r="Q33619" s="5" t="s">
        <v>355</v>
      </c>
    </row>
    <row r="33620" ht="16.5" customHeight="1">
      <c r="O33620" s="5" t="s">
        <v>355</v>
      </c>
      <c r="P33620" s="5" t="s">
        <v>355</v>
      </c>
      <c r="Q33620" s="5" t="s">
        <v>355</v>
      </c>
    </row>
    <row r="33621" ht="16.5" customHeight="1">
      <c r="O33621" s="5" t="s">
        <v>355</v>
      </c>
      <c r="P33621" s="5" t="s">
        <v>355</v>
      </c>
      <c r="Q33621" s="5" t="s">
        <v>355</v>
      </c>
    </row>
    <row r="33622" ht="16.5" customHeight="1">
      <c r="O33622" s="5" t="s">
        <v>355</v>
      </c>
      <c r="P33622" s="5" t="s">
        <v>355</v>
      </c>
      <c r="Q33622" s="5" t="s">
        <v>355</v>
      </c>
    </row>
    <row r="33623" ht="16.5" customHeight="1">
      <c r="O33623" s="5" t="s">
        <v>355</v>
      </c>
      <c r="P33623" s="5" t="s">
        <v>355</v>
      </c>
      <c r="Q33623" s="5" t="s">
        <v>355</v>
      </c>
    </row>
    <row r="33624" ht="16.5" customHeight="1">
      <c r="O33624" s="5" t="s">
        <v>355</v>
      </c>
      <c r="P33624" s="5" t="s">
        <v>355</v>
      </c>
      <c r="Q33624" s="5" t="s">
        <v>355</v>
      </c>
    </row>
    <row r="33625" ht="16.5" customHeight="1">
      <c r="O33625" s="5" t="s">
        <v>355</v>
      </c>
      <c r="P33625" s="5" t="s">
        <v>355</v>
      </c>
      <c r="Q33625" s="5" t="s">
        <v>355</v>
      </c>
    </row>
    <row r="33626" ht="16.5" customHeight="1">
      <c r="O33626" s="5" t="s">
        <v>355</v>
      </c>
      <c r="P33626" s="5" t="s">
        <v>355</v>
      </c>
      <c r="Q33626" s="5" t="s">
        <v>355</v>
      </c>
    </row>
    <row r="33627" ht="16.5" customHeight="1">
      <c r="O33627" s="5" t="s">
        <v>355</v>
      </c>
      <c r="P33627" s="5" t="s">
        <v>355</v>
      </c>
      <c r="Q33627" s="5" t="s">
        <v>355</v>
      </c>
    </row>
    <row r="33628" ht="16.5" customHeight="1">
      <c r="O33628" s="5" t="s">
        <v>355</v>
      </c>
      <c r="P33628" s="5" t="s">
        <v>355</v>
      </c>
      <c r="Q33628" s="5" t="s">
        <v>355</v>
      </c>
    </row>
    <row r="33629" ht="16.5" customHeight="1">
      <c r="O33629" s="5" t="s">
        <v>355</v>
      </c>
      <c r="P33629" s="5" t="s">
        <v>355</v>
      </c>
      <c r="Q33629" s="5" t="s">
        <v>355</v>
      </c>
    </row>
    <row r="33630" ht="16.5" customHeight="1">
      <c r="O33630" s="5" t="s">
        <v>355</v>
      </c>
      <c r="P33630" s="5" t="s">
        <v>355</v>
      </c>
      <c r="Q33630" s="5" t="s">
        <v>355</v>
      </c>
    </row>
    <row r="33631" ht="16.5" customHeight="1">
      <c r="O33631" s="5" t="s">
        <v>355</v>
      </c>
      <c r="P33631" s="5" t="s">
        <v>355</v>
      </c>
      <c r="Q33631" s="5" t="s">
        <v>355</v>
      </c>
    </row>
    <row r="33632" ht="16.5" customHeight="1">
      <c r="O33632" s="5" t="s">
        <v>355</v>
      </c>
      <c r="P33632" s="5" t="s">
        <v>355</v>
      </c>
      <c r="Q33632" s="5" t="s">
        <v>355</v>
      </c>
    </row>
    <row r="33633" ht="16.5" customHeight="1">
      <c r="O33633" s="5" t="s">
        <v>355</v>
      </c>
      <c r="P33633" s="5" t="s">
        <v>355</v>
      </c>
      <c r="Q33633" s="5" t="s">
        <v>355</v>
      </c>
    </row>
    <row r="33634" ht="16.5" customHeight="1">
      <c r="O33634" s="5" t="s">
        <v>355</v>
      </c>
      <c r="P33634" s="5" t="s">
        <v>355</v>
      </c>
      <c r="Q33634" s="5" t="s">
        <v>355</v>
      </c>
    </row>
    <row r="33635" ht="16.5" customHeight="1">
      <c r="O33635" s="5" t="s">
        <v>355</v>
      </c>
      <c r="P33635" s="5" t="s">
        <v>355</v>
      </c>
      <c r="Q33635" s="5" t="s">
        <v>355</v>
      </c>
    </row>
    <row r="33636" ht="16.5" customHeight="1">
      <c r="O33636" s="5" t="s">
        <v>355</v>
      </c>
      <c r="P33636" s="5" t="s">
        <v>355</v>
      </c>
      <c r="Q33636" s="5" t="s">
        <v>355</v>
      </c>
    </row>
    <row r="33637" ht="16.5" customHeight="1">
      <c r="O33637" s="5" t="s">
        <v>355</v>
      </c>
      <c r="P33637" s="5" t="s">
        <v>355</v>
      </c>
      <c r="Q33637" s="5" t="s">
        <v>355</v>
      </c>
    </row>
    <row r="33638" ht="16.5" customHeight="1">
      <c r="O33638" s="5" t="s">
        <v>355</v>
      </c>
      <c r="P33638" s="5" t="s">
        <v>355</v>
      </c>
      <c r="Q33638" s="5" t="s">
        <v>355</v>
      </c>
    </row>
    <row r="33639" ht="16.5" customHeight="1">
      <c r="O33639" s="5" t="s">
        <v>355</v>
      </c>
      <c r="P33639" s="5" t="s">
        <v>355</v>
      </c>
      <c r="Q33639" s="5" t="s">
        <v>355</v>
      </c>
    </row>
    <row r="33640" ht="16.5" customHeight="1">
      <c r="O33640" s="5" t="s">
        <v>355</v>
      </c>
      <c r="P33640" s="5" t="s">
        <v>355</v>
      </c>
      <c r="Q33640" s="5" t="s">
        <v>355</v>
      </c>
    </row>
    <row r="33641" ht="16.5" customHeight="1">
      <c r="O33641" s="5" t="s">
        <v>355</v>
      </c>
      <c r="P33641" s="5" t="s">
        <v>355</v>
      </c>
      <c r="Q33641" s="5" t="s">
        <v>355</v>
      </c>
    </row>
    <row r="33642" ht="16.5" customHeight="1">
      <c r="O33642" s="5" t="s">
        <v>355</v>
      </c>
      <c r="P33642" s="5" t="s">
        <v>355</v>
      </c>
      <c r="Q33642" s="5" t="s">
        <v>355</v>
      </c>
    </row>
    <row r="33643" ht="16.5" customHeight="1">
      <c r="O33643" s="5" t="s">
        <v>355</v>
      </c>
      <c r="P33643" s="5" t="s">
        <v>355</v>
      </c>
      <c r="Q33643" s="5" t="s">
        <v>355</v>
      </c>
    </row>
    <row r="33644" ht="16.5" customHeight="1">
      <c r="O33644" s="5" t="s">
        <v>355</v>
      </c>
      <c r="P33644" s="5" t="s">
        <v>355</v>
      </c>
      <c r="Q33644" s="5" t="s">
        <v>355</v>
      </c>
    </row>
    <row r="33645" ht="16.5" customHeight="1">
      <c r="O33645" s="5" t="s">
        <v>355</v>
      </c>
      <c r="P33645" s="5" t="s">
        <v>355</v>
      </c>
      <c r="Q33645" s="5" t="s">
        <v>355</v>
      </c>
    </row>
    <row r="33646" ht="16.5" customHeight="1">
      <c r="O33646" s="5" t="s">
        <v>355</v>
      </c>
      <c r="P33646" s="5" t="s">
        <v>355</v>
      </c>
      <c r="Q33646" s="5" t="s">
        <v>355</v>
      </c>
    </row>
    <row r="33647" ht="16.5" customHeight="1">
      <c r="O33647" s="5" t="s">
        <v>355</v>
      </c>
      <c r="P33647" s="5" t="s">
        <v>355</v>
      </c>
      <c r="Q33647" s="5" t="s">
        <v>355</v>
      </c>
    </row>
    <row r="33648" ht="16.5" customHeight="1">
      <c r="O33648" s="5" t="s">
        <v>355</v>
      </c>
      <c r="P33648" s="5" t="s">
        <v>355</v>
      </c>
      <c r="Q33648" s="5" t="s">
        <v>355</v>
      </c>
    </row>
    <row r="33649" ht="16.5" customHeight="1">
      <c r="O33649" s="5" t="s">
        <v>355</v>
      </c>
      <c r="P33649" s="5" t="s">
        <v>355</v>
      </c>
      <c r="Q33649" s="5" t="s">
        <v>355</v>
      </c>
    </row>
    <row r="33650" ht="16.5" customHeight="1">
      <c r="O33650" s="5" t="s">
        <v>355</v>
      </c>
      <c r="P33650" s="5" t="s">
        <v>355</v>
      </c>
      <c r="Q33650" s="5" t="s">
        <v>355</v>
      </c>
    </row>
    <row r="33651" ht="16.5" customHeight="1">
      <c r="O33651" s="5" t="s">
        <v>355</v>
      </c>
      <c r="P33651" s="5" t="s">
        <v>355</v>
      </c>
      <c r="Q33651" s="5" t="s">
        <v>355</v>
      </c>
    </row>
    <row r="33652" ht="16.5" customHeight="1">
      <c r="O33652" s="5" t="s">
        <v>355</v>
      </c>
      <c r="P33652" s="5" t="s">
        <v>355</v>
      </c>
      <c r="Q33652" s="5" t="s">
        <v>355</v>
      </c>
    </row>
    <row r="33653" ht="16.5" customHeight="1">
      <c r="O33653" s="5" t="s">
        <v>355</v>
      </c>
      <c r="P33653" s="5" t="s">
        <v>355</v>
      </c>
      <c r="Q33653" s="5" t="s">
        <v>355</v>
      </c>
    </row>
    <row r="33654" ht="16.5" customHeight="1">
      <c r="O33654" s="5" t="s">
        <v>355</v>
      </c>
      <c r="P33654" s="5" t="s">
        <v>355</v>
      </c>
      <c r="Q33654" s="5" t="s">
        <v>355</v>
      </c>
    </row>
    <row r="33655" ht="16.5" customHeight="1">
      <c r="O33655" s="5" t="s">
        <v>355</v>
      </c>
      <c r="P33655" s="5" t="s">
        <v>355</v>
      </c>
      <c r="Q33655" s="5" t="s">
        <v>355</v>
      </c>
    </row>
    <row r="33656" ht="16.5" customHeight="1">
      <c r="O33656" s="5" t="s">
        <v>355</v>
      </c>
      <c r="P33656" s="5" t="s">
        <v>355</v>
      </c>
      <c r="Q33656" s="5" t="s">
        <v>355</v>
      </c>
    </row>
    <row r="33657" ht="16.5" customHeight="1">
      <c r="O33657" s="5" t="s">
        <v>355</v>
      </c>
      <c r="P33657" s="5" t="s">
        <v>355</v>
      </c>
      <c r="Q33657" s="5" t="s">
        <v>355</v>
      </c>
    </row>
    <row r="33658" ht="16.5" customHeight="1">
      <c r="O33658" s="5" t="s">
        <v>355</v>
      </c>
      <c r="P33658" s="5" t="s">
        <v>355</v>
      </c>
      <c r="Q33658" s="5" t="s">
        <v>355</v>
      </c>
    </row>
    <row r="33659" ht="16.5" customHeight="1">
      <c r="O33659" s="5" t="s">
        <v>355</v>
      </c>
      <c r="P33659" s="5" t="s">
        <v>355</v>
      </c>
      <c r="Q33659" s="5" t="s">
        <v>355</v>
      </c>
    </row>
    <row r="33660" ht="16.5" customHeight="1">
      <c r="O33660" s="5" t="s">
        <v>355</v>
      </c>
      <c r="P33660" s="5" t="s">
        <v>355</v>
      </c>
      <c r="Q33660" s="5" t="s">
        <v>355</v>
      </c>
    </row>
    <row r="33661" ht="16.5" customHeight="1">
      <c r="O33661" s="5" t="s">
        <v>355</v>
      </c>
      <c r="P33661" s="5" t="s">
        <v>355</v>
      </c>
      <c r="Q33661" s="5" t="s">
        <v>355</v>
      </c>
    </row>
    <row r="33662" ht="16.5" customHeight="1">
      <c r="O33662" s="5" t="s">
        <v>355</v>
      </c>
      <c r="P33662" s="5" t="s">
        <v>355</v>
      </c>
      <c r="Q33662" s="5" t="s">
        <v>355</v>
      </c>
    </row>
    <row r="33663" ht="16.5" customHeight="1">
      <c r="O33663" s="5" t="s">
        <v>355</v>
      </c>
      <c r="P33663" s="5" t="s">
        <v>355</v>
      </c>
      <c r="Q33663" s="5" t="s">
        <v>355</v>
      </c>
    </row>
    <row r="33664" ht="16.5" customHeight="1">
      <c r="O33664" s="5" t="s">
        <v>355</v>
      </c>
      <c r="P33664" s="5" t="s">
        <v>355</v>
      </c>
      <c r="Q33664" s="5" t="s">
        <v>355</v>
      </c>
    </row>
    <row r="33665" ht="16.5" customHeight="1">
      <c r="O33665" s="5" t="s">
        <v>355</v>
      </c>
      <c r="P33665" s="5" t="s">
        <v>355</v>
      </c>
      <c r="Q33665" s="5" t="s">
        <v>355</v>
      </c>
    </row>
    <row r="33666" ht="16.5" customHeight="1">
      <c r="O33666" s="5" t="s">
        <v>355</v>
      </c>
      <c r="P33666" s="5" t="s">
        <v>355</v>
      </c>
      <c r="Q33666" s="5" t="s">
        <v>355</v>
      </c>
    </row>
    <row r="33667" ht="16.5" customHeight="1">
      <c r="O33667" s="5" t="s">
        <v>355</v>
      </c>
      <c r="P33667" s="5" t="s">
        <v>355</v>
      </c>
      <c r="Q33667" s="5" t="s">
        <v>355</v>
      </c>
    </row>
    <row r="33668" ht="16.5" customHeight="1">
      <c r="O33668" s="5" t="s">
        <v>355</v>
      </c>
      <c r="P33668" s="5" t="s">
        <v>355</v>
      </c>
      <c r="Q33668" s="5" t="s">
        <v>355</v>
      </c>
    </row>
    <row r="33669" ht="16.5" customHeight="1">
      <c r="O33669" s="5" t="s">
        <v>355</v>
      </c>
      <c r="P33669" s="5" t="s">
        <v>355</v>
      </c>
      <c r="Q33669" s="5" t="s">
        <v>355</v>
      </c>
    </row>
    <row r="33670" ht="16.5" customHeight="1">
      <c r="O33670" s="5" t="s">
        <v>355</v>
      </c>
      <c r="P33670" s="5" t="s">
        <v>355</v>
      </c>
      <c r="Q33670" s="5" t="s">
        <v>355</v>
      </c>
    </row>
    <row r="33671" ht="16.5" customHeight="1">
      <c r="O33671" s="5" t="s">
        <v>355</v>
      </c>
      <c r="P33671" s="5" t="s">
        <v>355</v>
      </c>
      <c r="Q33671" s="5" t="s">
        <v>355</v>
      </c>
    </row>
    <row r="33672" ht="16.5" customHeight="1">
      <c r="O33672" s="5" t="s">
        <v>355</v>
      </c>
      <c r="P33672" s="5" t="s">
        <v>355</v>
      </c>
      <c r="Q33672" s="5" t="s">
        <v>355</v>
      </c>
    </row>
    <row r="33673" ht="16.5" customHeight="1">
      <c r="O33673" s="5" t="s">
        <v>355</v>
      </c>
      <c r="P33673" s="5" t="s">
        <v>355</v>
      </c>
      <c r="Q33673" s="5" t="s">
        <v>355</v>
      </c>
    </row>
    <row r="33674" ht="16.5" customHeight="1">
      <c r="O33674" s="5" t="s">
        <v>355</v>
      </c>
      <c r="P33674" s="5" t="s">
        <v>355</v>
      </c>
      <c r="Q33674" s="5" t="s">
        <v>355</v>
      </c>
    </row>
    <row r="33675" ht="16.5" customHeight="1">
      <c r="O33675" s="5" t="s">
        <v>355</v>
      </c>
      <c r="P33675" s="5" t="s">
        <v>355</v>
      </c>
      <c r="Q33675" s="5" t="s">
        <v>355</v>
      </c>
    </row>
    <row r="33676" ht="16.5" customHeight="1">
      <c r="O33676" s="5" t="s">
        <v>355</v>
      </c>
      <c r="P33676" s="5" t="s">
        <v>355</v>
      </c>
      <c r="Q33676" s="5" t="s">
        <v>355</v>
      </c>
    </row>
    <row r="33677" ht="16.5" customHeight="1">
      <c r="O33677" s="5" t="s">
        <v>355</v>
      </c>
      <c r="P33677" s="5" t="s">
        <v>355</v>
      </c>
      <c r="Q33677" s="5" t="s">
        <v>355</v>
      </c>
    </row>
    <row r="33678" ht="16.5" customHeight="1">
      <c r="O33678" s="5" t="s">
        <v>355</v>
      </c>
      <c r="P33678" s="5" t="s">
        <v>355</v>
      </c>
      <c r="Q33678" s="5" t="s">
        <v>355</v>
      </c>
    </row>
    <row r="33679" ht="16.5" customHeight="1">
      <c r="O33679" s="5" t="s">
        <v>355</v>
      </c>
      <c r="P33679" s="5" t="s">
        <v>355</v>
      </c>
      <c r="Q33679" s="5" t="s">
        <v>355</v>
      </c>
    </row>
    <row r="33680" ht="16.5" customHeight="1">
      <c r="O33680" s="5" t="s">
        <v>355</v>
      </c>
      <c r="P33680" s="5" t="s">
        <v>355</v>
      </c>
      <c r="Q33680" s="5" t="s">
        <v>355</v>
      </c>
    </row>
    <row r="33681" ht="16.5" customHeight="1">
      <c r="O33681" s="5" t="s">
        <v>355</v>
      </c>
      <c r="P33681" s="5" t="s">
        <v>355</v>
      </c>
      <c r="Q33681" s="5" t="s">
        <v>355</v>
      </c>
    </row>
    <row r="33682" ht="16.5" customHeight="1">
      <c r="O33682" s="5" t="s">
        <v>355</v>
      </c>
      <c r="P33682" s="5" t="s">
        <v>355</v>
      </c>
      <c r="Q33682" s="5" t="s">
        <v>355</v>
      </c>
    </row>
    <row r="33683" ht="16.5" customHeight="1">
      <c r="O33683" s="5" t="s">
        <v>355</v>
      </c>
      <c r="P33683" s="5" t="s">
        <v>355</v>
      </c>
      <c r="Q33683" s="5" t="s">
        <v>355</v>
      </c>
    </row>
    <row r="33684" ht="16.5" customHeight="1">
      <c r="O33684" s="5" t="s">
        <v>355</v>
      </c>
      <c r="P33684" s="5" t="s">
        <v>355</v>
      </c>
      <c r="Q33684" s="5" t="s">
        <v>355</v>
      </c>
    </row>
    <row r="33685" ht="16.5" customHeight="1">
      <c r="O33685" s="5" t="s">
        <v>355</v>
      </c>
      <c r="P33685" s="5" t="s">
        <v>355</v>
      </c>
      <c r="Q33685" s="5" t="s">
        <v>355</v>
      </c>
    </row>
    <row r="33686" ht="16.5" customHeight="1">
      <c r="O33686" s="5" t="s">
        <v>355</v>
      </c>
      <c r="P33686" s="5" t="s">
        <v>355</v>
      </c>
      <c r="Q33686" s="5" t="s">
        <v>355</v>
      </c>
    </row>
    <row r="33687" ht="16.5" customHeight="1">
      <c r="O33687" s="5" t="s">
        <v>355</v>
      </c>
      <c r="P33687" s="5" t="s">
        <v>355</v>
      </c>
      <c r="Q33687" s="5" t="s">
        <v>355</v>
      </c>
    </row>
    <row r="33688" ht="16.5" customHeight="1">
      <c r="O33688" s="5" t="s">
        <v>355</v>
      </c>
      <c r="P33688" s="5" t="s">
        <v>355</v>
      </c>
      <c r="Q33688" s="5" t="s">
        <v>355</v>
      </c>
    </row>
    <row r="33689" ht="16.5" customHeight="1">
      <c r="O33689" s="5" t="s">
        <v>355</v>
      </c>
      <c r="P33689" s="5" t="s">
        <v>355</v>
      </c>
      <c r="Q33689" s="5" t="s">
        <v>355</v>
      </c>
    </row>
    <row r="33690" ht="16.5" customHeight="1">
      <c r="O33690" s="5" t="s">
        <v>355</v>
      </c>
      <c r="P33690" s="5" t="s">
        <v>355</v>
      </c>
      <c r="Q33690" s="5" t="s">
        <v>355</v>
      </c>
    </row>
    <row r="33691" ht="16.5" customHeight="1">
      <c r="O33691" s="5" t="s">
        <v>355</v>
      </c>
      <c r="P33691" s="5" t="s">
        <v>355</v>
      </c>
      <c r="Q33691" s="5" t="s">
        <v>355</v>
      </c>
    </row>
    <row r="33692" ht="16.5" customHeight="1">
      <c r="O33692" s="5" t="s">
        <v>355</v>
      </c>
      <c r="P33692" s="5" t="s">
        <v>355</v>
      </c>
      <c r="Q33692" s="5" t="s">
        <v>355</v>
      </c>
    </row>
    <row r="33693" ht="16.5" customHeight="1">
      <c r="O33693" s="5" t="s">
        <v>355</v>
      </c>
      <c r="P33693" s="5" t="s">
        <v>355</v>
      </c>
      <c r="Q33693" s="5" t="s">
        <v>355</v>
      </c>
    </row>
    <row r="33694" ht="16.5" customHeight="1">
      <c r="O33694" s="5" t="s">
        <v>355</v>
      </c>
      <c r="P33694" s="5" t="s">
        <v>355</v>
      </c>
      <c r="Q33694" s="5" t="s">
        <v>355</v>
      </c>
    </row>
    <row r="33695" ht="16.5" customHeight="1">
      <c r="O33695" s="5" t="s">
        <v>355</v>
      </c>
      <c r="P33695" s="5" t="s">
        <v>355</v>
      </c>
      <c r="Q33695" s="5" t="s">
        <v>355</v>
      </c>
    </row>
    <row r="33696" ht="16.5" customHeight="1">
      <c r="O33696" s="5" t="s">
        <v>355</v>
      </c>
      <c r="P33696" s="5" t="s">
        <v>355</v>
      </c>
      <c r="Q33696" s="5" t="s">
        <v>355</v>
      </c>
    </row>
    <row r="33697" ht="16.5" customHeight="1">
      <c r="O33697" s="5" t="s">
        <v>355</v>
      </c>
      <c r="P33697" s="5" t="s">
        <v>355</v>
      </c>
      <c r="Q33697" s="5" t="s">
        <v>355</v>
      </c>
    </row>
    <row r="33698" ht="16.5" customHeight="1">
      <c r="O33698" s="5" t="s">
        <v>355</v>
      </c>
      <c r="P33698" s="5" t="s">
        <v>355</v>
      </c>
      <c r="Q33698" s="5" t="s">
        <v>355</v>
      </c>
    </row>
    <row r="33699" ht="16.5" customHeight="1">
      <c r="O33699" s="5" t="s">
        <v>355</v>
      </c>
      <c r="P33699" s="5" t="s">
        <v>355</v>
      </c>
      <c r="Q33699" s="5" t="s">
        <v>355</v>
      </c>
    </row>
    <row r="33700" ht="16.5" customHeight="1">
      <c r="O33700" s="5" t="s">
        <v>355</v>
      </c>
      <c r="P33700" s="5" t="s">
        <v>355</v>
      </c>
      <c r="Q33700" s="5" t="s">
        <v>355</v>
      </c>
    </row>
    <row r="33701" ht="16.5" customHeight="1">
      <c r="O33701" s="5" t="s">
        <v>355</v>
      </c>
      <c r="P33701" s="5" t="s">
        <v>355</v>
      </c>
      <c r="Q33701" s="5" t="s">
        <v>355</v>
      </c>
    </row>
    <row r="33702" ht="16.5" customHeight="1">
      <c r="O33702" s="5" t="s">
        <v>355</v>
      </c>
      <c r="P33702" s="5" t="s">
        <v>355</v>
      </c>
      <c r="Q33702" s="5" t="s">
        <v>355</v>
      </c>
    </row>
    <row r="33703" ht="16.5" customHeight="1">
      <c r="O33703" s="5" t="s">
        <v>355</v>
      </c>
      <c r="P33703" s="5" t="s">
        <v>355</v>
      </c>
      <c r="Q33703" s="5" t="s">
        <v>355</v>
      </c>
    </row>
    <row r="33704" ht="16.5" customHeight="1">
      <c r="O33704" s="5" t="s">
        <v>355</v>
      </c>
      <c r="P33704" s="5" t="s">
        <v>355</v>
      </c>
      <c r="Q33704" s="5" t="s">
        <v>355</v>
      </c>
    </row>
    <row r="33705" ht="16.5" customHeight="1">
      <c r="O33705" s="5" t="s">
        <v>355</v>
      </c>
      <c r="P33705" s="5" t="s">
        <v>355</v>
      </c>
      <c r="Q33705" s="5" t="s">
        <v>355</v>
      </c>
    </row>
    <row r="33706" ht="16.5" customHeight="1">
      <c r="O33706" s="5" t="s">
        <v>355</v>
      </c>
      <c r="P33706" s="5" t="s">
        <v>355</v>
      </c>
      <c r="Q33706" s="5" t="s">
        <v>355</v>
      </c>
    </row>
    <row r="33707" ht="16.5" customHeight="1">
      <c r="O33707" s="5" t="s">
        <v>355</v>
      </c>
      <c r="P33707" s="5" t="s">
        <v>355</v>
      </c>
      <c r="Q33707" s="5" t="s">
        <v>355</v>
      </c>
    </row>
    <row r="33708" ht="16.5" customHeight="1">
      <c r="O33708" s="5" t="s">
        <v>355</v>
      </c>
      <c r="P33708" s="5" t="s">
        <v>355</v>
      </c>
      <c r="Q33708" s="5" t="s">
        <v>355</v>
      </c>
    </row>
    <row r="33709" ht="16.5" customHeight="1">
      <c r="O33709" s="5" t="s">
        <v>355</v>
      </c>
      <c r="P33709" s="5" t="s">
        <v>355</v>
      </c>
      <c r="Q33709" s="5" t="s">
        <v>355</v>
      </c>
    </row>
    <row r="33710" ht="16.5" customHeight="1">
      <c r="O33710" s="5" t="s">
        <v>355</v>
      </c>
      <c r="P33710" s="5" t="s">
        <v>355</v>
      </c>
      <c r="Q33710" s="5" t="s">
        <v>355</v>
      </c>
    </row>
    <row r="33711" ht="16.5" customHeight="1">
      <c r="O33711" s="5" t="s">
        <v>355</v>
      </c>
      <c r="P33711" s="5" t="s">
        <v>355</v>
      </c>
      <c r="Q33711" s="5" t="s">
        <v>355</v>
      </c>
    </row>
    <row r="33712" ht="16.5" customHeight="1">
      <c r="O33712" s="5" t="s">
        <v>355</v>
      </c>
      <c r="P33712" s="5" t="s">
        <v>355</v>
      </c>
      <c r="Q33712" s="5" t="s">
        <v>355</v>
      </c>
    </row>
    <row r="33713" ht="16.5" customHeight="1">
      <c r="O33713" s="5" t="s">
        <v>355</v>
      </c>
      <c r="P33713" s="5" t="s">
        <v>355</v>
      </c>
      <c r="Q33713" s="5" t="s">
        <v>355</v>
      </c>
    </row>
    <row r="33714" ht="16.5" customHeight="1">
      <c r="O33714" s="5" t="s">
        <v>355</v>
      </c>
      <c r="P33714" s="5" t="s">
        <v>355</v>
      </c>
      <c r="Q33714" s="5" t="s">
        <v>355</v>
      </c>
    </row>
    <row r="33715" ht="16.5" customHeight="1">
      <c r="O33715" s="5" t="s">
        <v>355</v>
      </c>
      <c r="P33715" s="5" t="s">
        <v>355</v>
      </c>
      <c r="Q33715" s="5" t="s">
        <v>355</v>
      </c>
    </row>
    <row r="33716" ht="16.5" customHeight="1">
      <c r="O33716" s="5" t="s">
        <v>355</v>
      </c>
      <c r="P33716" s="5" t="s">
        <v>355</v>
      </c>
      <c r="Q33716" s="5" t="s">
        <v>355</v>
      </c>
    </row>
    <row r="33717" ht="16.5" customHeight="1">
      <c r="O33717" s="5" t="s">
        <v>355</v>
      </c>
      <c r="P33717" s="5" t="s">
        <v>355</v>
      </c>
      <c r="Q33717" s="5" t="s">
        <v>355</v>
      </c>
    </row>
    <row r="33718" ht="16.5" customHeight="1">
      <c r="O33718" s="5" t="s">
        <v>355</v>
      </c>
      <c r="P33718" s="5" t="s">
        <v>355</v>
      </c>
      <c r="Q33718" s="5" t="s">
        <v>355</v>
      </c>
    </row>
    <row r="33719" ht="16.5" customHeight="1">
      <c r="O33719" s="5" t="s">
        <v>355</v>
      </c>
      <c r="P33719" s="5" t="s">
        <v>355</v>
      </c>
      <c r="Q33719" s="5" t="s">
        <v>355</v>
      </c>
    </row>
    <row r="33720" ht="16.5" customHeight="1">
      <c r="O33720" s="5" t="s">
        <v>355</v>
      </c>
      <c r="P33720" s="5" t="s">
        <v>355</v>
      </c>
      <c r="Q33720" s="5" t="s">
        <v>355</v>
      </c>
    </row>
    <row r="33721" ht="16.5" customHeight="1">
      <c r="O33721" s="5" t="s">
        <v>355</v>
      </c>
      <c r="P33721" s="5" t="s">
        <v>355</v>
      </c>
      <c r="Q33721" s="5" t="s">
        <v>355</v>
      </c>
    </row>
    <row r="33722" ht="16.5" customHeight="1">
      <c r="O33722" s="5" t="s">
        <v>355</v>
      </c>
      <c r="P33722" s="5" t="s">
        <v>355</v>
      </c>
      <c r="Q33722" s="5" t="s">
        <v>355</v>
      </c>
    </row>
    <row r="33723" ht="16.5" customHeight="1">
      <c r="O33723" s="5" t="s">
        <v>355</v>
      </c>
      <c r="P33723" s="5" t="s">
        <v>355</v>
      </c>
      <c r="Q33723" s="5" t="s">
        <v>355</v>
      </c>
    </row>
    <row r="33724" ht="16.5" customHeight="1">
      <c r="O33724" s="5" t="s">
        <v>355</v>
      </c>
      <c r="P33724" s="5" t="s">
        <v>355</v>
      </c>
      <c r="Q33724" s="5" t="s">
        <v>355</v>
      </c>
    </row>
    <row r="33725" ht="16.5" customHeight="1">
      <c r="O33725" s="5" t="s">
        <v>355</v>
      </c>
      <c r="P33725" s="5" t="s">
        <v>355</v>
      </c>
      <c r="Q33725" s="5" t="s">
        <v>355</v>
      </c>
    </row>
    <row r="33726" ht="16.5" customHeight="1">
      <c r="O33726" s="5" t="s">
        <v>355</v>
      </c>
      <c r="P33726" s="5" t="s">
        <v>355</v>
      </c>
      <c r="Q33726" s="5" t="s">
        <v>355</v>
      </c>
    </row>
    <row r="33727" ht="16.5" customHeight="1">
      <c r="O33727" s="5" t="s">
        <v>355</v>
      </c>
      <c r="P33727" s="5" t="s">
        <v>355</v>
      </c>
      <c r="Q33727" s="5" t="s">
        <v>355</v>
      </c>
    </row>
    <row r="33728" ht="16.5" customHeight="1">
      <c r="O33728" s="5" t="s">
        <v>355</v>
      </c>
      <c r="P33728" s="5" t="s">
        <v>355</v>
      </c>
      <c r="Q33728" s="5" t="s">
        <v>355</v>
      </c>
    </row>
    <row r="33729" ht="16.5" customHeight="1">
      <c r="O33729" s="5" t="s">
        <v>355</v>
      </c>
      <c r="P33729" s="5" t="s">
        <v>355</v>
      </c>
      <c r="Q33729" s="5" t="s">
        <v>355</v>
      </c>
    </row>
    <row r="33730" ht="16.5" customHeight="1">
      <c r="O33730" s="5" t="s">
        <v>355</v>
      </c>
      <c r="P33730" s="5" t="s">
        <v>355</v>
      </c>
      <c r="Q33730" s="5" t="s">
        <v>355</v>
      </c>
    </row>
    <row r="33731" ht="16.5" customHeight="1">
      <c r="O33731" s="5" t="s">
        <v>355</v>
      </c>
      <c r="P33731" s="5" t="s">
        <v>355</v>
      </c>
      <c r="Q33731" s="5" t="s">
        <v>355</v>
      </c>
    </row>
    <row r="33732" ht="16.5" customHeight="1">
      <c r="O33732" s="5" t="s">
        <v>355</v>
      </c>
      <c r="P33732" s="5" t="s">
        <v>355</v>
      </c>
      <c r="Q33732" s="5" t="s">
        <v>355</v>
      </c>
    </row>
    <row r="33733" ht="16.5" customHeight="1">
      <c r="O33733" s="5" t="s">
        <v>355</v>
      </c>
      <c r="P33733" s="5" t="s">
        <v>355</v>
      </c>
      <c r="Q33733" s="5" t="s">
        <v>355</v>
      </c>
    </row>
    <row r="33734" ht="16.5" customHeight="1">
      <c r="O33734" s="5" t="s">
        <v>355</v>
      </c>
      <c r="P33734" s="5" t="s">
        <v>355</v>
      </c>
      <c r="Q33734" s="5" t="s">
        <v>355</v>
      </c>
    </row>
    <row r="33735" ht="16.5" customHeight="1">
      <c r="O33735" s="5" t="s">
        <v>355</v>
      </c>
      <c r="P33735" s="5" t="s">
        <v>355</v>
      </c>
      <c r="Q33735" s="5" t="s">
        <v>355</v>
      </c>
    </row>
    <row r="33736" ht="16.5" customHeight="1">
      <c r="O33736" s="5" t="s">
        <v>355</v>
      </c>
      <c r="P33736" s="5" t="s">
        <v>355</v>
      </c>
      <c r="Q33736" s="5" t="s">
        <v>355</v>
      </c>
    </row>
    <row r="33737" ht="16.5" customHeight="1">
      <c r="O33737" s="5" t="s">
        <v>355</v>
      </c>
      <c r="P33737" s="5" t="s">
        <v>355</v>
      </c>
      <c r="Q33737" s="5" t="s">
        <v>355</v>
      </c>
    </row>
    <row r="33738" ht="16.5" customHeight="1">
      <c r="O33738" s="5" t="s">
        <v>355</v>
      </c>
      <c r="P33738" s="5" t="s">
        <v>355</v>
      </c>
      <c r="Q33738" s="5" t="s">
        <v>355</v>
      </c>
    </row>
    <row r="33739" ht="16.5" customHeight="1">
      <c r="O33739" s="5" t="s">
        <v>355</v>
      </c>
      <c r="P33739" s="5" t="s">
        <v>355</v>
      </c>
      <c r="Q33739" s="5" t="s">
        <v>355</v>
      </c>
    </row>
    <row r="33740" ht="16.5" customHeight="1">
      <c r="O33740" s="5" t="s">
        <v>355</v>
      </c>
      <c r="P33740" s="5" t="s">
        <v>355</v>
      </c>
      <c r="Q33740" s="5" t="s">
        <v>355</v>
      </c>
    </row>
    <row r="33741" ht="16.5" customHeight="1">
      <c r="O33741" s="5" t="s">
        <v>355</v>
      </c>
      <c r="P33741" s="5" t="s">
        <v>355</v>
      </c>
      <c r="Q33741" s="5" t="s">
        <v>355</v>
      </c>
    </row>
    <row r="33742" ht="16.5" customHeight="1">
      <c r="O33742" s="5" t="s">
        <v>355</v>
      </c>
      <c r="P33742" s="5" t="s">
        <v>355</v>
      </c>
      <c r="Q33742" s="5" t="s">
        <v>355</v>
      </c>
    </row>
    <row r="33743" ht="16.5" customHeight="1">
      <c r="O33743" s="5" t="s">
        <v>355</v>
      </c>
      <c r="P33743" s="5" t="s">
        <v>355</v>
      </c>
      <c r="Q33743" s="5" t="s">
        <v>355</v>
      </c>
    </row>
    <row r="33744" ht="16.5" customHeight="1">
      <c r="O33744" s="5" t="s">
        <v>355</v>
      </c>
      <c r="P33744" s="5" t="s">
        <v>355</v>
      </c>
      <c r="Q33744" s="5" t="s">
        <v>355</v>
      </c>
    </row>
    <row r="33745" ht="16.5" customHeight="1">
      <c r="O33745" s="5" t="s">
        <v>355</v>
      </c>
      <c r="P33745" s="5" t="s">
        <v>355</v>
      </c>
      <c r="Q33745" s="5" t="s">
        <v>355</v>
      </c>
    </row>
    <row r="33746" ht="16.5" customHeight="1">
      <c r="O33746" s="5" t="s">
        <v>355</v>
      </c>
      <c r="P33746" s="5" t="s">
        <v>355</v>
      </c>
      <c r="Q33746" s="5" t="s">
        <v>355</v>
      </c>
    </row>
    <row r="33747" ht="16.5" customHeight="1">
      <c r="O33747" s="5" t="s">
        <v>355</v>
      </c>
      <c r="P33747" s="5" t="s">
        <v>355</v>
      </c>
      <c r="Q33747" s="5" t="s">
        <v>355</v>
      </c>
    </row>
    <row r="33748" ht="16.5" customHeight="1">
      <c r="O33748" s="5" t="s">
        <v>355</v>
      </c>
      <c r="P33748" s="5" t="s">
        <v>355</v>
      </c>
      <c r="Q33748" s="5" t="s">
        <v>355</v>
      </c>
    </row>
    <row r="33749" ht="16.5" customHeight="1">
      <c r="O33749" s="5" t="s">
        <v>355</v>
      </c>
      <c r="P33749" s="5" t="s">
        <v>355</v>
      </c>
      <c r="Q33749" s="5" t="s">
        <v>355</v>
      </c>
    </row>
    <row r="33750" ht="16.5" customHeight="1">
      <c r="O33750" s="5" t="s">
        <v>355</v>
      </c>
      <c r="P33750" s="5" t="s">
        <v>355</v>
      </c>
      <c r="Q33750" s="5" t="s">
        <v>355</v>
      </c>
    </row>
    <row r="33751" ht="16.5" customHeight="1">
      <c r="O33751" s="5" t="s">
        <v>355</v>
      </c>
      <c r="P33751" s="5" t="s">
        <v>355</v>
      </c>
      <c r="Q33751" s="5" t="s">
        <v>355</v>
      </c>
    </row>
    <row r="33752" ht="16.5" customHeight="1">
      <c r="O33752" s="5" t="s">
        <v>355</v>
      </c>
      <c r="P33752" s="5" t="s">
        <v>355</v>
      </c>
      <c r="Q33752" s="5" t="s">
        <v>355</v>
      </c>
    </row>
    <row r="33753" ht="16.5" customHeight="1">
      <c r="O33753" s="5" t="s">
        <v>355</v>
      </c>
      <c r="P33753" s="5" t="s">
        <v>355</v>
      </c>
      <c r="Q33753" s="5" t="s">
        <v>355</v>
      </c>
    </row>
    <row r="33754" ht="16.5" customHeight="1">
      <c r="O33754" s="5" t="s">
        <v>355</v>
      </c>
      <c r="P33754" s="5" t="s">
        <v>355</v>
      </c>
      <c r="Q33754" s="5" t="s">
        <v>355</v>
      </c>
    </row>
    <row r="33755" ht="16.5" customHeight="1">
      <c r="O33755" s="5" t="s">
        <v>355</v>
      </c>
      <c r="P33755" s="5" t="s">
        <v>355</v>
      </c>
      <c r="Q33755" s="5" t="s">
        <v>355</v>
      </c>
    </row>
    <row r="33756" ht="16.5" customHeight="1">
      <c r="O33756" s="5" t="s">
        <v>355</v>
      </c>
      <c r="P33756" s="5" t="s">
        <v>355</v>
      </c>
      <c r="Q33756" s="5" t="s">
        <v>355</v>
      </c>
    </row>
    <row r="33757" ht="16.5" customHeight="1">
      <c r="O33757" s="5" t="s">
        <v>355</v>
      </c>
      <c r="P33757" s="5" t="s">
        <v>355</v>
      </c>
      <c r="Q33757" s="5" t="s">
        <v>355</v>
      </c>
    </row>
    <row r="33758" ht="16.5" customHeight="1">
      <c r="O33758" s="5" t="s">
        <v>355</v>
      </c>
      <c r="P33758" s="5" t="s">
        <v>355</v>
      </c>
      <c r="Q33758" s="5" t="s">
        <v>355</v>
      </c>
    </row>
    <row r="33759" ht="16.5" customHeight="1">
      <c r="O33759" s="5" t="s">
        <v>355</v>
      </c>
      <c r="P33759" s="5" t="s">
        <v>355</v>
      </c>
      <c r="Q33759" s="5" t="s">
        <v>355</v>
      </c>
    </row>
    <row r="33760" ht="16.5" customHeight="1">
      <c r="O33760" s="5" t="s">
        <v>355</v>
      </c>
      <c r="P33760" s="5" t="s">
        <v>355</v>
      </c>
      <c r="Q33760" s="5" t="s">
        <v>355</v>
      </c>
    </row>
    <row r="33761" ht="16.5" customHeight="1">
      <c r="O33761" s="5" t="s">
        <v>355</v>
      </c>
      <c r="P33761" s="5" t="s">
        <v>355</v>
      </c>
      <c r="Q33761" s="5" t="s">
        <v>355</v>
      </c>
    </row>
    <row r="33762" ht="16.5" customHeight="1">
      <c r="O33762" s="5" t="s">
        <v>355</v>
      </c>
      <c r="P33762" s="5" t="s">
        <v>355</v>
      </c>
      <c r="Q33762" s="5" t="s">
        <v>355</v>
      </c>
    </row>
    <row r="33763" ht="16.5" customHeight="1">
      <c r="O33763" s="5" t="s">
        <v>355</v>
      </c>
      <c r="P33763" s="5" t="s">
        <v>355</v>
      </c>
      <c r="Q33763" s="5" t="s">
        <v>355</v>
      </c>
    </row>
    <row r="33764" ht="16.5" customHeight="1">
      <c r="O33764" s="5" t="s">
        <v>355</v>
      </c>
      <c r="P33764" s="5" t="s">
        <v>355</v>
      </c>
      <c r="Q33764" s="5" t="s">
        <v>355</v>
      </c>
    </row>
    <row r="33765" ht="16.5" customHeight="1">
      <c r="O33765" s="5" t="s">
        <v>355</v>
      </c>
      <c r="P33765" s="5" t="s">
        <v>355</v>
      </c>
      <c r="Q33765" s="5" t="s">
        <v>355</v>
      </c>
    </row>
    <row r="33766" ht="16.5" customHeight="1">
      <c r="O33766" s="5" t="s">
        <v>355</v>
      </c>
      <c r="P33766" s="5" t="s">
        <v>355</v>
      </c>
      <c r="Q33766" s="5" t="s">
        <v>355</v>
      </c>
    </row>
    <row r="33767" ht="16.5" customHeight="1">
      <c r="O33767" s="5" t="s">
        <v>355</v>
      </c>
      <c r="P33767" s="5" t="s">
        <v>355</v>
      </c>
      <c r="Q33767" s="5" t="s">
        <v>355</v>
      </c>
    </row>
    <row r="33768" ht="16.5" customHeight="1">
      <c r="O33768" s="5" t="s">
        <v>355</v>
      </c>
      <c r="P33768" s="5" t="s">
        <v>355</v>
      </c>
      <c r="Q33768" s="5" t="s">
        <v>355</v>
      </c>
    </row>
    <row r="33769" ht="16.5" customHeight="1">
      <c r="O33769" s="5" t="s">
        <v>355</v>
      </c>
      <c r="P33769" s="5" t="s">
        <v>355</v>
      </c>
      <c r="Q33769" s="5" t="s">
        <v>355</v>
      </c>
    </row>
    <row r="33770" ht="16.5" customHeight="1">
      <c r="O33770" s="5" t="s">
        <v>355</v>
      </c>
      <c r="P33770" s="5" t="s">
        <v>355</v>
      </c>
      <c r="Q33770" s="5" t="s">
        <v>355</v>
      </c>
    </row>
    <row r="33771" ht="16.5" customHeight="1">
      <c r="O33771" s="5" t="s">
        <v>355</v>
      </c>
      <c r="P33771" s="5" t="s">
        <v>355</v>
      </c>
      <c r="Q33771" s="5" t="s">
        <v>355</v>
      </c>
    </row>
    <row r="33772" ht="16.5" customHeight="1">
      <c r="O33772" s="5" t="s">
        <v>355</v>
      </c>
      <c r="P33772" s="5" t="s">
        <v>355</v>
      </c>
      <c r="Q33772" s="5" t="s">
        <v>355</v>
      </c>
    </row>
    <row r="33773" ht="16.5" customHeight="1">
      <c r="O33773" s="5" t="s">
        <v>355</v>
      </c>
      <c r="P33773" s="5" t="s">
        <v>355</v>
      </c>
      <c r="Q33773" s="5" t="s">
        <v>355</v>
      </c>
    </row>
    <row r="33774" ht="16.5" customHeight="1">
      <c r="O33774" s="5" t="s">
        <v>355</v>
      </c>
      <c r="P33774" s="5" t="s">
        <v>355</v>
      </c>
      <c r="Q33774" s="5" t="s">
        <v>355</v>
      </c>
    </row>
    <row r="33775" ht="16.5" customHeight="1">
      <c r="O33775" s="5" t="s">
        <v>355</v>
      </c>
      <c r="P33775" s="5" t="s">
        <v>355</v>
      </c>
      <c r="Q33775" s="5" t="s">
        <v>355</v>
      </c>
    </row>
    <row r="33776" ht="16.5" customHeight="1">
      <c r="O33776" s="5" t="s">
        <v>355</v>
      </c>
      <c r="P33776" s="5" t="s">
        <v>355</v>
      </c>
      <c r="Q33776" s="5" t="s">
        <v>355</v>
      </c>
    </row>
    <row r="33777" ht="16.5" customHeight="1">
      <c r="O33777" s="5" t="s">
        <v>355</v>
      </c>
      <c r="P33777" s="5" t="s">
        <v>355</v>
      </c>
      <c r="Q33777" s="5" t="s">
        <v>355</v>
      </c>
    </row>
    <row r="33778" ht="16.5" customHeight="1">
      <c r="O33778" s="5" t="s">
        <v>355</v>
      </c>
      <c r="P33778" s="5" t="s">
        <v>355</v>
      </c>
      <c r="Q33778" s="5" t="s">
        <v>355</v>
      </c>
    </row>
    <row r="33779" ht="16.5" customHeight="1">
      <c r="O33779" s="5" t="s">
        <v>355</v>
      </c>
      <c r="P33779" s="5" t="s">
        <v>355</v>
      </c>
      <c r="Q33779" s="5" t="s">
        <v>355</v>
      </c>
    </row>
    <row r="33780" ht="16.5" customHeight="1">
      <c r="O33780" s="5" t="s">
        <v>355</v>
      </c>
      <c r="P33780" s="5" t="s">
        <v>355</v>
      </c>
      <c r="Q33780" s="5" t="s">
        <v>355</v>
      </c>
    </row>
    <row r="33781" ht="16.5" customHeight="1">
      <c r="O33781" s="5" t="s">
        <v>355</v>
      </c>
      <c r="P33781" s="5" t="s">
        <v>355</v>
      </c>
      <c r="Q33781" s="5" t="s">
        <v>355</v>
      </c>
    </row>
    <row r="33782" ht="16.5" customHeight="1">
      <c r="O33782" s="5" t="s">
        <v>355</v>
      </c>
      <c r="P33782" s="5" t="s">
        <v>355</v>
      </c>
      <c r="Q33782" s="5" t="s">
        <v>355</v>
      </c>
    </row>
    <row r="33783" ht="16.5" customHeight="1">
      <c r="O33783" s="5" t="s">
        <v>355</v>
      </c>
      <c r="P33783" s="5" t="s">
        <v>355</v>
      </c>
      <c r="Q33783" s="5" t="s">
        <v>355</v>
      </c>
    </row>
    <row r="33784" ht="16.5" customHeight="1">
      <c r="O33784" s="5" t="s">
        <v>355</v>
      </c>
      <c r="P33784" s="5" t="s">
        <v>355</v>
      </c>
      <c r="Q33784" s="5" t="s">
        <v>355</v>
      </c>
    </row>
    <row r="33785" ht="16.5" customHeight="1">
      <c r="O33785" s="5" t="s">
        <v>355</v>
      </c>
      <c r="P33785" s="5" t="s">
        <v>355</v>
      </c>
      <c r="Q33785" s="5" t="s">
        <v>355</v>
      </c>
    </row>
    <row r="33786" ht="16.5" customHeight="1">
      <c r="O33786" s="5" t="s">
        <v>355</v>
      </c>
      <c r="P33786" s="5" t="s">
        <v>355</v>
      </c>
      <c r="Q33786" s="5" t="s">
        <v>355</v>
      </c>
    </row>
    <row r="33787" ht="16.5" customHeight="1">
      <c r="O33787" s="5" t="s">
        <v>355</v>
      </c>
      <c r="P33787" s="5" t="s">
        <v>355</v>
      </c>
      <c r="Q33787" s="5" t="s">
        <v>355</v>
      </c>
    </row>
    <row r="33788" ht="16.5" customHeight="1">
      <c r="O33788" s="5" t="s">
        <v>355</v>
      </c>
      <c r="P33788" s="5" t="s">
        <v>355</v>
      </c>
      <c r="Q33788" s="5" t="s">
        <v>355</v>
      </c>
    </row>
    <row r="33789" ht="16.5" customHeight="1">
      <c r="O33789" s="5" t="s">
        <v>355</v>
      </c>
      <c r="P33789" s="5" t="s">
        <v>355</v>
      </c>
      <c r="Q33789" s="5" t="s">
        <v>355</v>
      </c>
    </row>
    <row r="33790" ht="16.5" customHeight="1">
      <c r="O33790" s="5" t="s">
        <v>355</v>
      </c>
      <c r="P33790" s="5" t="s">
        <v>355</v>
      </c>
      <c r="Q33790" s="5" t="s">
        <v>355</v>
      </c>
    </row>
    <row r="33791" ht="16.5" customHeight="1">
      <c r="O33791" s="5" t="s">
        <v>355</v>
      </c>
      <c r="P33791" s="5" t="s">
        <v>355</v>
      </c>
      <c r="Q33791" s="5" t="s">
        <v>355</v>
      </c>
    </row>
    <row r="33792" ht="16.5" customHeight="1">
      <c r="O33792" s="5" t="s">
        <v>355</v>
      </c>
      <c r="P33792" s="5" t="s">
        <v>355</v>
      </c>
      <c r="Q33792" s="5" t="s">
        <v>355</v>
      </c>
    </row>
    <row r="33793" ht="16.5" customHeight="1">
      <c r="O33793" s="5" t="s">
        <v>355</v>
      </c>
      <c r="P33793" s="5" t="s">
        <v>355</v>
      </c>
      <c r="Q33793" s="5" t="s">
        <v>355</v>
      </c>
    </row>
    <row r="33794" ht="16.5" customHeight="1">
      <c r="O33794" s="5" t="s">
        <v>355</v>
      </c>
      <c r="P33794" s="5" t="s">
        <v>355</v>
      </c>
      <c r="Q33794" s="5" t="s">
        <v>355</v>
      </c>
    </row>
    <row r="33795" ht="16.5" customHeight="1">
      <c r="O33795" s="5" t="s">
        <v>355</v>
      </c>
      <c r="P33795" s="5" t="s">
        <v>355</v>
      </c>
      <c r="Q33795" s="5" t="s">
        <v>355</v>
      </c>
    </row>
    <row r="33796" ht="16.5" customHeight="1">
      <c r="O33796" s="5" t="s">
        <v>355</v>
      </c>
      <c r="P33796" s="5" t="s">
        <v>355</v>
      </c>
      <c r="Q33796" s="5" t="s">
        <v>355</v>
      </c>
    </row>
    <row r="33797" ht="16.5" customHeight="1">
      <c r="O33797" s="5" t="s">
        <v>355</v>
      </c>
      <c r="P33797" s="5" t="s">
        <v>355</v>
      </c>
      <c r="Q33797" s="5" t="s">
        <v>355</v>
      </c>
    </row>
    <row r="33798" ht="16.5" customHeight="1">
      <c r="O33798" s="5" t="s">
        <v>355</v>
      </c>
      <c r="P33798" s="5" t="s">
        <v>355</v>
      </c>
      <c r="Q33798" s="5" t="s">
        <v>355</v>
      </c>
    </row>
    <row r="33799" ht="16.5" customHeight="1">
      <c r="O33799" s="5" t="s">
        <v>355</v>
      </c>
      <c r="P33799" s="5" t="s">
        <v>355</v>
      </c>
      <c r="Q33799" s="5" t="s">
        <v>355</v>
      </c>
    </row>
    <row r="33800" ht="16.5" customHeight="1">
      <c r="O33800" s="5" t="s">
        <v>355</v>
      </c>
      <c r="P33800" s="5" t="s">
        <v>355</v>
      </c>
      <c r="Q33800" s="5" t="s">
        <v>355</v>
      </c>
    </row>
    <row r="33801" ht="16.5" customHeight="1">
      <c r="O33801" s="5" t="s">
        <v>355</v>
      </c>
      <c r="P33801" s="5" t="s">
        <v>355</v>
      </c>
      <c r="Q33801" s="5" t="s">
        <v>355</v>
      </c>
    </row>
    <row r="33802" ht="16.5" customHeight="1">
      <c r="O33802" s="5" t="s">
        <v>355</v>
      </c>
      <c r="P33802" s="5" t="s">
        <v>355</v>
      </c>
      <c r="Q33802" s="5" t="s">
        <v>355</v>
      </c>
    </row>
    <row r="33803" ht="16.5" customHeight="1">
      <c r="O33803" s="5" t="s">
        <v>355</v>
      </c>
      <c r="P33803" s="5" t="s">
        <v>355</v>
      </c>
      <c r="Q33803" s="5" t="s">
        <v>355</v>
      </c>
    </row>
    <row r="33804" ht="16.5" customHeight="1">
      <c r="O33804" s="5" t="s">
        <v>355</v>
      </c>
      <c r="P33804" s="5" t="s">
        <v>355</v>
      </c>
      <c r="Q33804" s="5" t="s">
        <v>355</v>
      </c>
    </row>
    <row r="33805" ht="16.5" customHeight="1">
      <c r="O33805" s="5" t="s">
        <v>355</v>
      </c>
      <c r="P33805" s="5" t="s">
        <v>355</v>
      </c>
      <c r="Q33805" s="5" t="s">
        <v>355</v>
      </c>
    </row>
    <row r="33806" ht="16.5" customHeight="1">
      <c r="O33806" s="5" t="s">
        <v>355</v>
      </c>
      <c r="P33806" s="5" t="s">
        <v>355</v>
      </c>
      <c r="Q33806" s="5" t="s">
        <v>355</v>
      </c>
    </row>
    <row r="33807" ht="16.5" customHeight="1">
      <c r="O33807" s="5" t="s">
        <v>355</v>
      </c>
      <c r="P33807" s="5" t="s">
        <v>355</v>
      </c>
      <c r="Q33807" s="5" t="s">
        <v>355</v>
      </c>
    </row>
    <row r="33808" ht="16.5" customHeight="1">
      <c r="O33808" s="5" t="s">
        <v>355</v>
      </c>
      <c r="P33808" s="5" t="s">
        <v>355</v>
      </c>
      <c r="Q33808" s="5" t="s">
        <v>355</v>
      </c>
    </row>
    <row r="33809" ht="16.5" customHeight="1">
      <c r="O33809" s="5" t="s">
        <v>355</v>
      </c>
      <c r="P33809" s="5" t="s">
        <v>355</v>
      </c>
      <c r="Q33809" s="5" t="s">
        <v>355</v>
      </c>
    </row>
    <row r="33810" ht="16.5" customHeight="1">
      <c r="O33810" s="5" t="s">
        <v>355</v>
      </c>
      <c r="P33810" s="5" t="s">
        <v>355</v>
      </c>
      <c r="Q33810" s="5" t="s">
        <v>355</v>
      </c>
    </row>
    <row r="33811" ht="16.5" customHeight="1">
      <c r="O33811" s="5" t="s">
        <v>355</v>
      </c>
      <c r="P33811" s="5" t="s">
        <v>355</v>
      </c>
      <c r="Q33811" s="5" t="s">
        <v>355</v>
      </c>
    </row>
    <row r="33812" ht="16.5" customHeight="1">
      <c r="O33812" s="5" t="s">
        <v>355</v>
      </c>
      <c r="P33812" s="5" t="s">
        <v>355</v>
      </c>
      <c r="Q33812" s="5" t="s">
        <v>355</v>
      </c>
    </row>
    <row r="33813" ht="16.5" customHeight="1">
      <c r="O33813" s="5" t="s">
        <v>355</v>
      </c>
      <c r="P33813" s="5" t="s">
        <v>355</v>
      </c>
      <c r="Q33813" s="5" t="s">
        <v>355</v>
      </c>
    </row>
    <row r="33814" ht="16.5" customHeight="1">
      <c r="O33814" s="5" t="s">
        <v>355</v>
      </c>
      <c r="P33814" s="5" t="s">
        <v>355</v>
      </c>
      <c r="Q33814" s="5" t="s">
        <v>355</v>
      </c>
    </row>
    <row r="33815" ht="16.5" customHeight="1">
      <c r="O33815" s="5" t="s">
        <v>355</v>
      </c>
      <c r="P33815" s="5" t="s">
        <v>355</v>
      </c>
      <c r="Q33815" s="5" t="s">
        <v>355</v>
      </c>
    </row>
    <row r="33816" ht="16.5" customHeight="1">
      <c r="O33816" s="5" t="s">
        <v>355</v>
      </c>
      <c r="P33816" s="5" t="s">
        <v>355</v>
      </c>
      <c r="Q33816" s="5" t="s">
        <v>355</v>
      </c>
    </row>
    <row r="33817" ht="16.5" customHeight="1">
      <c r="O33817" s="5" t="s">
        <v>355</v>
      </c>
      <c r="P33817" s="5" t="s">
        <v>355</v>
      </c>
      <c r="Q33817" s="5" t="s">
        <v>355</v>
      </c>
    </row>
    <row r="33818" ht="16.5" customHeight="1">
      <c r="O33818" s="5" t="s">
        <v>355</v>
      </c>
      <c r="P33818" s="5" t="s">
        <v>355</v>
      </c>
      <c r="Q33818" s="5" t="s">
        <v>355</v>
      </c>
    </row>
    <row r="33819" ht="16.5" customHeight="1">
      <c r="O33819" s="5" t="s">
        <v>355</v>
      </c>
      <c r="P33819" s="5" t="s">
        <v>355</v>
      </c>
      <c r="Q33819" s="5" t="s">
        <v>355</v>
      </c>
    </row>
    <row r="33820" ht="16.5" customHeight="1">
      <c r="O33820" s="5" t="s">
        <v>355</v>
      </c>
      <c r="P33820" s="5" t="s">
        <v>355</v>
      </c>
      <c r="Q33820" s="5" t="s">
        <v>355</v>
      </c>
    </row>
    <row r="33821" ht="16.5" customHeight="1">
      <c r="O33821" s="5" t="s">
        <v>355</v>
      </c>
      <c r="P33821" s="5" t="s">
        <v>355</v>
      </c>
      <c r="Q33821" s="5" t="s">
        <v>355</v>
      </c>
    </row>
    <row r="33822" ht="16.5" customHeight="1">
      <c r="O33822" s="5" t="s">
        <v>355</v>
      </c>
      <c r="P33822" s="5" t="s">
        <v>355</v>
      </c>
      <c r="Q33822" s="5" t="s">
        <v>355</v>
      </c>
    </row>
    <row r="33823" ht="16.5" customHeight="1">
      <c r="O33823" s="5" t="s">
        <v>355</v>
      </c>
      <c r="P33823" s="5" t="s">
        <v>355</v>
      </c>
      <c r="Q33823" s="5" t="s">
        <v>355</v>
      </c>
    </row>
    <row r="33824" ht="16.5" customHeight="1">
      <c r="O33824" s="5" t="s">
        <v>355</v>
      </c>
      <c r="P33824" s="5" t="s">
        <v>355</v>
      </c>
      <c r="Q33824" s="5" t="s">
        <v>355</v>
      </c>
    </row>
    <row r="33825" ht="16.5" customHeight="1">
      <c r="O33825" s="5" t="s">
        <v>355</v>
      </c>
      <c r="P33825" s="5" t="s">
        <v>355</v>
      </c>
      <c r="Q33825" s="5" t="s">
        <v>355</v>
      </c>
    </row>
    <row r="33826" ht="16.5" customHeight="1">
      <c r="O33826" s="5" t="s">
        <v>355</v>
      </c>
      <c r="P33826" s="5" t="s">
        <v>355</v>
      </c>
      <c r="Q33826" s="5" t="s">
        <v>355</v>
      </c>
    </row>
    <row r="33827" ht="16.5" customHeight="1">
      <c r="O33827" s="5" t="s">
        <v>355</v>
      </c>
      <c r="P33827" s="5" t="s">
        <v>355</v>
      </c>
      <c r="Q33827" s="5" t="s">
        <v>355</v>
      </c>
    </row>
    <row r="33828" ht="16.5" customHeight="1">
      <c r="O33828" s="5" t="s">
        <v>355</v>
      </c>
      <c r="P33828" s="5" t="s">
        <v>355</v>
      </c>
      <c r="Q33828" s="5" t="s">
        <v>355</v>
      </c>
    </row>
    <row r="33829" ht="16.5" customHeight="1">
      <c r="O33829" s="5" t="s">
        <v>355</v>
      </c>
      <c r="P33829" s="5" t="s">
        <v>355</v>
      </c>
      <c r="Q33829" s="5" t="s">
        <v>355</v>
      </c>
    </row>
    <row r="33830" ht="16.5" customHeight="1">
      <c r="O33830" s="5" t="s">
        <v>355</v>
      </c>
      <c r="P33830" s="5" t="s">
        <v>355</v>
      </c>
      <c r="Q33830" s="5" t="s">
        <v>355</v>
      </c>
    </row>
    <row r="33831" ht="16.5" customHeight="1">
      <c r="O33831" s="5" t="s">
        <v>355</v>
      </c>
      <c r="P33831" s="5" t="s">
        <v>355</v>
      </c>
      <c r="Q33831" s="5" t="s">
        <v>355</v>
      </c>
    </row>
    <row r="33832" ht="16.5" customHeight="1">
      <c r="O33832" s="5" t="s">
        <v>355</v>
      </c>
      <c r="P33832" s="5" t="s">
        <v>355</v>
      </c>
      <c r="Q33832" s="5" t="s">
        <v>355</v>
      </c>
    </row>
    <row r="33833" ht="16.5" customHeight="1">
      <c r="O33833" s="5" t="s">
        <v>355</v>
      </c>
      <c r="P33833" s="5" t="s">
        <v>355</v>
      </c>
      <c r="Q33833" s="5" t="s">
        <v>355</v>
      </c>
    </row>
    <row r="33834" ht="16.5" customHeight="1">
      <c r="O33834" s="5" t="s">
        <v>355</v>
      </c>
      <c r="P33834" s="5" t="s">
        <v>355</v>
      </c>
      <c r="Q33834" s="5" t="s">
        <v>355</v>
      </c>
    </row>
    <row r="33835" ht="16.5" customHeight="1">
      <c r="O33835" s="5" t="s">
        <v>355</v>
      </c>
      <c r="P33835" s="5" t="s">
        <v>355</v>
      </c>
      <c r="Q33835" s="5" t="s">
        <v>355</v>
      </c>
    </row>
    <row r="33836" ht="16.5" customHeight="1">
      <c r="O33836" s="5" t="s">
        <v>355</v>
      </c>
      <c r="P33836" s="5" t="s">
        <v>355</v>
      </c>
      <c r="Q33836" s="5" t="s">
        <v>355</v>
      </c>
    </row>
    <row r="33837" ht="16.5" customHeight="1">
      <c r="O33837" s="5" t="s">
        <v>355</v>
      </c>
      <c r="P33837" s="5" t="s">
        <v>355</v>
      </c>
      <c r="Q33837" s="5" t="s">
        <v>355</v>
      </c>
    </row>
    <row r="33838" ht="16.5" customHeight="1">
      <c r="O33838" s="5" t="s">
        <v>355</v>
      </c>
      <c r="P33838" s="5" t="s">
        <v>355</v>
      </c>
      <c r="Q33838" s="5" t="s">
        <v>355</v>
      </c>
    </row>
    <row r="33839" ht="16.5" customHeight="1">
      <c r="O33839" s="5" t="s">
        <v>355</v>
      </c>
      <c r="P33839" s="5" t="s">
        <v>355</v>
      </c>
      <c r="Q33839" s="5" t="s">
        <v>355</v>
      </c>
    </row>
    <row r="33840" ht="16.5" customHeight="1">
      <c r="O33840" s="5" t="s">
        <v>355</v>
      </c>
      <c r="P33840" s="5" t="s">
        <v>355</v>
      </c>
      <c r="Q33840" s="5" t="s">
        <v>355</v>
      </c>
    </row>
    <row r="33841" ht="16.5" customHeight="1">
      <c r="O33841" s="5" t="s">
        <v>355</v>
      </c>
      <c r="P33841" s="5" t="s">
        <v>355</v>
      </c>
      <c r="Q33841" s="5" t="s">
        <v>355</v>
      </c>
    </row>
    <row r="33842" ht="16.5" customHeight="1">
      <c r="O33842" s="5" t="s">
        <v>355</v>
      </c>
      <c r="P33842" s="5" t="s">
        <v>355</v>
      </c>
      <c r="Q33842" s="5" t="s">
        <v>355</v>
      </c>
    </row>
    <row r="33843" ht="16.5" customHeight="1">
      <c r="O33843" s="5" t="s">
        <v>355</v>
      </c>
      <c r="P33843" s="5" t="s">
        <v>355</v>
      </c>
      <c r="Q33843" s="5" t="s">
        <v>355</v>
      </c>
    </row>
    <row r="33844" ht="16.5" customHeight="1">
      <c r="O33844" s="5" t="s">
        <v>355</v>
      </c>
      <c r="P33844" s="5" t="s">
        <v>355</v>
      </c>
      <c r="Q33844" s="5" t="s">
        <v>355</v>
      </c>
    </row>
    <row r="33845" ht="16.5" customHeight="1">
      <c r="O33845" s="5" t="s">
        <v>355</v>
      </c>
      <c r="P33845" s="5" t="s">
        <v>355</v>
      </c>
      <c r="Q33845" s="5" t="s">
        <v>355</v>
      </c>
    </row>
    <row r="33846" ht="16.5" customHeight="1">
      <c r="O33846" s="5" t="s">
        <v>355</v>
      </c>
      <c r="P33846" s="5" t="s">
        <v>355</v>
      </c>
      <c r="Q33846" s="5" t="s">
        <v>355</v>
      </c>
    </row>
    <row r="33847" ht="16.5" customHeight="1">
      <c r="O33847" s="5" t="s">
        <v>355</v>
      </c>
      <c r="P33847" s="5" t="s">
        <v>355</v>
      </c>
      <c r="Q33847" s="5" t="s">
        <v>355</v>
      </c>
    </row>
    <row r="33848" ht="16.5" customHeight="1">
      <c r="O33848" s="5" t="s">
        <v>355</v>
      </c>
      <c r="P33848" s="5" t="s">
        <v>355</v>
      </c>
      <c r="Q33848" s="5" t="s">
        <v>355</v>
      </c>
    </row>
    <row r="33849" ht="16.5" customHeight="1">
      <c r="O33849" s="5" t="s">
        <v>355</v>
      </c>
      <c r="P33849" s="5" t="s">
        <v>355</v>
      </c>
      <c r="Q33849" s="5" t="s">
        <v>355</v>
      </c>
    </row>
    <row r="33850" ht="16.5" customHeight="1">
      <c r="O33850" s="5" t="s">
        <v>355</v>
      </c>
      <c r="P33850" s="5" t="s">
        <v>355</v>
      </c>
      <c r="Q33850" s="5" t="s">
        <v>355</v>
      </c>
    </row>
    <row r="33851" ht="16.5" customHeight="1">
      <c r="O33851" s="5" t="s">
        <v>355</v>
      </c>
      <c r="P33851" s="5" t="s">
        <v>355</v>
      </c>
      <c r="Q33851" s="5" t="s">
        <v>355</v>
      </c>
    </row>
    <row r="33852" ht="16.5" customHeight="1">
      <c r="O33852" s="5" t="s">
        <v>355</v>
      </c>
      <c r="P33852" s="5" t="s">
        <v>355</v>
      </c>
      <c r="Q33852" s="5" t="s">
        <v>355</v>
      </c>
    </row>
    <row r="33853" ht="16.5" customHeight="1">
      <c r="O33853" s="5" t="s">
        <v>355</v>
      </c>
      <c r="P33853" s="5" t="s">
        <v>355</v>
      </c>
      <c r="Q33853" s="5" t="s">
        <v>355</v>
      </c>
    </row>
    <row r="33854" ht="16.5" customHeight="1">
      <c r="O33854" s="5" t="s">
        <v>355</v>
      </c>
      <c r="P33854" s="5" t="s">
        <v>355</v>
      </c>
      <c r="Q33854" s="5" t="s">
        <v>355</v>
      </c>
    </row>
    <row r="33855" ht="16.5" customHeight="1">
      <c r="O33855" s="5" t="s">
        <v>355</v>
      </c>
      <c r="P33855" s="5" t="s">
        <v>355</v>
      </c>
      <c r="Q33855" s="5" t="s">
        <v>355</v>
      </c>
    </row>
    <row r="33856" ht="16.5" customHeight="1">
      <c r="O33856" s="5" t="s">
        <v>355</v>
      </c>
      <c r="P33856" s="5" t="s">
        <v>355</v>
      </c>
      <c r="Q33856" s="5" t="s">
        <v>355</v>
      </c>
    </row>
    <row r="33857" ht="16.5" customHeight="1">
      <c r="O33857" s="5" t="s">
        <v>355</v>
      </c>
      <c r="P33857" s="5" t="s">
        <v>355</v>
      </c>
      <c r="Q33857" s="5" t="s">
        <v>355</v>
      </c>
    </row>
    <row r="33858" ht="16.5" customHeight="1">
      <c r="O33858" s="5" t="s">
        <v>355</v>
      </c>
      <c r="P33858" s="5" t="s">
        <v>355</v>
      </c>
      <c r="Q33858" s="5" t="s">
        <v>355</v>
      </c>
    </row>
    <row r="33859" ht="16.5" customHeight="1">
      <c r="O33859" s="5" t="s">
        <v>355</v>
      </c>
      <c r="P33859" s="5" t="s">
        <v>355</v>
      </c>
      <c r="Q33859" s="5" t="s">
        <v>355</v>
      </c>
    </row>
    <row r="33860" ht="16.5" customHeight="1">
      <c r="O33860" s="5" t="s">
        <v>355</v>
      </c>
      <c r="P33860" s="5" t="s">
        <v>355</v>
      </c>
      <c r="Q33860" s="5" t="s">
        <v>355</v>
      </c>
    </row>
    <row r="33861" ht="16.5" customHeight="1">
      <c r="O33861" s="5" t="s">
        <v>355</v>
      </c>
      <c r="P33861" s="5" t="s">
        <v>355</v>
      </c>
      <c r="Q33861" s="5" t="s">
        <v>355</v>
      </c>
    </row>
    <row r="33862" ht="16.5" customHeight="1">
      <c r="O33862" s="5" t="s">
        <v>355</v>
      </c>
      <c r="P33862" s="5" t="s">
        <v>355</v>
      </c>
      <c r="Q33862" s="5" t="s">
        <v>355</v>
      </c>
    </row>
    <row r="33863" ht="16.5" customHeight="1">
      <c r="O33863" s="5" t="s">
        <v>355</v>
      </c>
      <c r="P33863" s="5" t="s">
        <v>355</v>
      </c>
      <c r="Q33863" s="5" t="s">
        <v>355</v>
      </c>
    </row>
    <row r="33864" ht="16.5" customHeight="1">
      <c r="O33864" s="5" t="s">
        <v>355</v>
      </c>
      <c r="P33864" s="5" t="s">
        <v>355</v>
      </c>
      <c r="Q33864" s="5" t="s">
        <v>355</v>
      </c>
    </row>
    <row r="33865" ht="16.5" customHeight="1">
      <c r="O33865" s="5" t="s">
        <v>355</v>
      </c>
      <c r="P33865" s="5" t="s">
        <v>355</v>
      </c>
      <c r="Q33865" s="5" t="s">
        <v>355</v>
      </c>
    </row>
    <row r="33866" ht="16.5" customHeight="1">
      <c r="O33866" s="5" t="s">
        <v>355</v>
      </c>
      <c r="P33866" s="5" t="s">
        <v>355</v>
      </c>
      <c r="Q33866" s="5" t="s">
        <v>355</v>
      </c>
    </row>
    <row r="33867" ht="16.5" customHeight="1">
      <c r="O33867" s="5" t="s">
        <v>355</v>
      </c>
      <c r="P33867" s="5" t="s">
        <v>355</v>
      </c>
      <c r="Q33867" s="5" t="s">
        <v>355</v>
      </c>
    </row>
    <row r="33868" ht="16.5" customHeight="1">
      <c r="O33868" s="5" t="s">
        <v>355</v>
      </c>
      <c r="P33868" s="5" t="s">
        <v>355</v>
      </c>
      <c r="Q33868" s="5" t="s">
        <v>355</v>
      </c>
    </row>
    <row r="33869" ht="16.5" customHeight="1">
      <c r="O33869" s="5" t="s">
        <v>355</v>
      </c>
      <c r="P33869" s="5" t="s">
        <v>355</v>
      </c>
      <c r="Q33869" s="5" t="s">
        <v>355</v>
      </c>
    </row>
    <row r="33870" ht="16.5" customHeight="1">
      <c r="O33870" s="5" t="s">
        <v>355</v>
      </c>
      <c r="P33870" s="5" t="s">
        <v>355</v>
      </c>
      <c r="Q33870" s="5" t="s">
        <v>355</v>
      </c>
    </row>
    <row r="33871" ht="16.5" customHeight="1">
      <c r="O33871" s="5" t="s">
        <v>355</v>
      </c>
      <c r="P33871" s="5" t="s">
        <v>355</v>
      </c>
      <c r="Q33871" s="5" t="s">
        <v>355</v>
      </c>
    </row>
    <row r="33872" ht="16.5" customHeight="1">
      <c r="O33872" s="5" t="s">
        <v>355</v>
      </c>
      <c r="P33872" s="5" t="s">
        <v>355</v>
      </c>
      <c r="Q33872" s="5" t="s">
        <v>355</v>
      </c>
    </row>
    <row r="33873" ht="16.5" customHeight="1">
      <c r="O33873" s="5" t="s">
        <v>355</v>
      </c>
      <c r="P33873" s="5" t="s">
        <v>355</v>
      </c>
      <c r="Q33873" s="5" t="s">
        <v>355</v>
      </c>
    </row>
    <row r="33874" ht="16.5" customHeight="1">
      <c r="O33874" s="5" t="s">
        <v>355</v>
      </c>
      <c r="P33874" s="5" t="s">
        <v>355</v>
      </c>
      <c r="Q33874" s="5" t="s">
        <v>355</v>
      </c>
    </row>
    <row r="33875" ht="16.5" customHeight="1">
      <c r="O33875" s="5" t="s">
        <v>355</v>
      </c>
      <c r="P33875" s="5" t="s">
        <v>355</v>
      </c>
      <c r="Q33875" s="5" t="s">
        <v>355</v>
      </c>
    </row>
    <row r="33876" ht="16.5" customHeight="1">
      <c r="O33876" s="5" t="s">
        <v>355</v>
      </c>
      <c r="P33876" s="5" t="s">
        <v>355</v>
      </c>
      <c r="Q33876" s="5" t="s">
        <v>355</v>
      </c>
    </row>
    <row r="33877" ht="16.5" customHeight="1">
      <c r="O33877" s="5" t="s">
        <v>355</v>
      </c>
      <c r="P33877" s="5" t="s">
        <v>355</v>
      </c>
      <c r="Q33877" s="5" t="s">
        <v>355</v>
      </c>
    </row>
    <row r="33878" ht="16.5" customHeight="1">
      <c r="O33878" s="5" t="s">
        <v>355</v>
      </c>
      <c r="P33878" s="5" t="s">
        <v>355</v>
      </c>
      <c r="Q33878" s="5" t="s">
        <v>355</v>
      </c>
    </row>
    <row r="33879" ht="16.5" customHeight="1">
      <c r="O33879" s="5" t="s">
        <v>355</v>
      </c>
      <c r="P33879" s="5" t="s">
        <v>355</v>
      </c>
      <c r="Q33879" s="5" t="s">
        <v>355</v>
      </c>
    </row>
    <row r="33880" ht="16.5" customHeight="1">
      <c r="O33880" s="5" t="s">
        <v>355</v>
      </c>
      <c r="P33880" s="5" t="s">
        <v>355</v>
      </c>
      <c r="Q33880" s="5" t="s">
        <v>355</v>
      </c>
    </row>
    <row r="33881" ht="16.5" customHeight="1">
      <c r="O33881" s="5" t="s">
        <v>355</v>
      </c>
      <c r="P33881" s="5" t="s">
        <v>355</v>
      </c>
      <c r="Q33881" s="5" t="s">
        <v>355</v>
      </c>
    </row>
    <row r="33882" ht="16.5" customHeight="1">
      <c r="O33882" s="5" t="s">
        <v>355</v>
      </c>
      <c r="P33882" s="5" t="s">
        <v>355</v>
      </c>
      <c r="Q33882" s="5" t="s">
        <v>355</v>
      </c>
    </row>
    <row r="33883" ht="16.5" customHeight="1">
      <c r="O33883" s="5" t="s">
        <v>355</v>
      </c>
      <c r="P33883" s="5" t="s">
        <v>355</v>
      </c>
      <c r="Q33883" s="5" t="s">
        <v>355</v>
      </c>
    </row>
    <row r="33884" ht="16.5" customHeight="1">
      <c r="O33884" s="5" t="s">
        <v>355</v>
      </c>
      <c r="P33884" s="5" t="s">
        <v>355</v>
      </c>
      <c r="Q33884" s="5" t="s">
        <v>355</v>
      </c>
    </row>
    <row r="33885" ht="16.5" customHeight="1">
      <c r="O33885" s="5" t="s">
        <v>355</v>
      </c>
      <c r="P33885" s="5" t="s">
        <v>355</v>
      </c>
      <c r="Q33885" s="5" t="s">
        <v>355</v>
      </c>
    </row>
    <row r="33886" ht="16.5" customHeight="1">
      <c r="O33886" s="5" t="s">
        <v>355</v>
      </c>
      <c r="P33886" s="5" t="s">
        <v>355</v>
      </c>
      <c r="Q33886" s="5" t="s">
        <v>355</v>
      </c>
    </row>
    <row r="33887" ht="16.5" customHeight="1">
      <c r="O33887" s="5" t="s">
        <v>355</v>
      </c>
      <c r="P33887" s="5" t="s">
        <v>355</v>
      </c>
      <c r="Q33887" s="5" t="s">
        <v>355</v>
      </c>
    </row>
    <row r="33888" ht="16.5" customHeight="1">
      <c r="O33888" s="5" t="s">
        <v>355</v>
      </c>
      <c r="P33888" s="5" t="s">
        <v>355</v>
      </c>
      <c r="Q33888" s="5" t="s">
        <v>355</v>
      </c>
    </row>
    <row r="33889" ht="16.5" customHeight="1">
      <c r="O33889" s="5" t="s">
        <v>355</v>
      </c>
      <c r="P33889" s="5" t="s">
        <v>355</v>
      </c>
      <c r="Q33889" s="5" t="s">
        <v>355</v>
      </c>
    </row>
    <row r="33890" ht="16.5" customHeight="1">
      <c r="O33890" s="5" t="s">
        <v>355</v>
      </c>
      <c r="P33890" s="5" t="s">
        <v>355</v>
      </c>
      <c r="Q33890" s="5" t="s">
        <v>355</v>
      </c>
    </row>
    <row r="33891" ht="16.5" customHeight="1">
      <c r="O33891" s="5" t="s">
        <v>355</v>
      </c>
      <c r="P33891" s="5" t="s">
        <v>355</v>
      </c>
      <c r="Q33891" s="5" t="s">
        <v>355</v>
      </c>
    </row>
    <row r="33892" ht="16.5" customHeight="1">
      <c r="O33892" s="5" t="s">
        <v>355</v>
      </c>
      <c r="P33892" s="5" t="s">
        <v>355</v>
      </c>
      <c r="Q33892" s="5" t="s">
        <v>355</v>
      </c>
    </row>
    <row r="33893" ht="16.5" customHeight="1">
      <c r="O33893" s="5" t="s">
        <v>355</v>
      </c>
      <c r="P33893" s="5" t="s">
        <v>355</v>
      </c>
      <c r="Q33893" s="5" t="s">
        <v>355</v>
      </c>
    </row>
    <row r="33894" ht="16.5" customHeight="1">
      <c r="O33894" s="5" t="s">
        <v>355</v>
      </c>
      <c r="P33894" s="5" t="s">
        <v>355</v>
      </c>
      <c r="Q33894" s="5" t="s">
        <v>355</v>
      </c>
    </row>
    <row r="33895" ht="16.5" customHeight="1">
      <c r="O33895" s="5" t="s">
        <v>355</v>
      </c>
      <c r="P33895" s="5" t="s">
        <v>355</v>
      </c>
      <c r="Q33895" s="5" t="s">
        <v>355</v>
      </c>
    </row>
    <row r="33896" ht="16.5" customHeight="1">
      <c r="O33896" s="5" t="s">
        <v>355</v>
      </c>
      <c r="P33896" s="5" t="s">
        <v>355</v>
      </c>
      <c r="Q33896" s="5" t="s">
        <v>355</v>
      </c>
    </row>
    <row r="33897" ht="16.5" customHeight="1">
      <c r="O33897" s="5" t="s">
        <v>355</v>
      </c>
      <c r="P33897" s="5" t="s">
        <v>355</v>
      </c>
      <c r="Q33897" s="5" t="s">
        <v>355</v>
      </c>
    </row>
    <row r="33898" ht="16.5" customHeight="1">
      <c r="O33898" s="5" t="s">
        <v>355</v>
      </c>
      <c r="P33898" s="5" t="s">
        <v>355</v>
      </c>
      <c r="Q33898" s="5" t="s">
        <v>355</v>
      </c>
    </row>
    <row r="33899" ht="16.5" customHeight="1">
      <c r="O33899" s="5" t="s">
        <v>355</v>
      </c>
      <c r="P33899" s="5" t="s">
        <v>355</v>
      </c>
      <c r="Q33899" s="5" t="s">
        <v>355</v>
      </c>
    </row>
    <row r="33900" ht="16.5" customHeight="1">
      <c r="O33900" s="5" t="s">
        <v>355</v>
      </c>
      <c r="P33900" s="5" t="s">
        <v>355</v>
      </c>
      <c r="Q33900" s="5" t="s">
        <v>355</v>
      </c>
    </row>
    <row r="33901" ht="16.5" customHeight="1">
      <c r="O33901" s="5" t="s">
        <v>355</v>
      </c>
      <c r="P33901" s="5" t="s">
        <v>355</v>
      </c>
      <c r="Q33901" s="5" t="s">
        <v>355</v>
      </c>
    </row>
    <row r="33902" ht="16.5" customHeight="1">
      <c r="O33902" s="5" t="s">
        <v>355</v>
      </c>
      <c r="P33902" s="5" t="s">
        <v>355</v>
      </c>
      <c r="Q33902" s="5" t="s">
        <v>355</v>
      </c>
    </row>
    <row r="33903" ht="16.5" customHeight="1">
      <c r="O33903" s="5" t="s">
        <v>355</v>
      </c>
      <c r="P33903" s="5" t="s">
        <v>355</v>
      </c>
      <c r="Q33903" s="5" t="s">
        <v>355</v>
      </c>
    </row>
    <row r="33904" ht="16.5" customHeight="1">
      <c r="O33904" s="5" t="s">
        <v>355</v>
      </c>
      <c r="P33904" s="5" t="s">
        <v>355</v>
      </c>
      <c r="Q33904" s="5" t="s">
        <v>355</v>
      </c>
    </row>
    <row r="33905" ht="16.5" customHeight="1">
      <c r="O33905" s="5" t="s">
        <v>355</v>
      </c>
      <c r="P33905" s="5" t="s">
        <v>355</v>
      </c>
      <c r="Q33905" s="5" t="s">
        <v>355</v>
      </c>
    </row>
    <row r="33906" ht="16.5" customHeight="1">
      <c r="O33906" s="5" t="s">
        <v>355</v>
      </c>
      <c r="P33906" s="5" t="s">
        <v>355</v>
      </c>
      <c r="Q33906" s="5" t="s">
        <v>355</v>
      </c>
    </row>
    <row r="33907" ht="16.5" customHeight="1">
      <c r="O33907" s="5" t="s">
        <v>355</v>
      </c>
      <c r="P33907" s="5" t="s">
        <v>355</v>
      </c>
      <c r="Q33907" s="5" t="s">
        <v>355</v>
      </c>
    </row>
    <row r="33908" ht="16.5" customHeight="1">
      <c r="O33908" s="5" t="s">
        <v>355</v>
      </c>
      <c r="P33908" s="5" t="s">
        <v>355</v>
      </c>
      <c r="Q33908" s="5" t="s">
        <v>355</v>
      </c>
    </row>
    <row r="33909" ht="16.5" customHeight="1">
      <c r="O33909" s="5" t="s">
        <v>355</v>
      </c>
      <c r="P33909" s="5" t="s">
        <v>355</v>
      </c>
      <c r="Q33909" s="5" t="s">
        <v>355</v>
      </c>
    </row>
    <row r="33910" ht="16.5" customHeight="1">
      <c r="O33910" s="5" t="s">
        <v>355</v>
      </c>
      <c r="P33910" s="5" t="s">
        <v>355</v>
      </c>
      <c r="Q33910" s="5" t="s">
        <v>355</v>
      </c>
    </row>
    <row r="33911" ht="16.5" customHeight="1">
      <c r="O33911" s="5" t="s">
        <v>355</v>
      </c>
      <c r="P33911" s="5" t="s">
        <v>355</v>
      </c>
      <c r="Q33911" s="5" t="s">
        <v>355</v>
      </c>
    </row>
    <row r="33912" ht="16.5" customHeight="1">
      <c r="O33912" s="5" t="s">
        <v>355</v>
      </c>
      <c r="P33912" s="5" t="s">
        <v>355</v>
      </c>
      <c r="Q33912" s="5" t="s">
        <v>355</v>
      </c>
    </row>
    <row r="33913" ht="16.5" customHeight="1">
      <c r="O33913" s="5" t="s">
        <v>355</v>
      </c>
      <c r="P33913" s="5" t="s">
        <v>355</v>
      </c>
      <c r="Q33913" s="5" t="s">
        <v>355</v>
      </c>
    </row>
    <row r="33914" ht="16.5" customHeight="1">
      <c r="O33914" s="5" t="s">
        <v>355</v>
      </c>
      <c r="P33914" s="5" t="s">
        <v>355</v>
      </c>
      <c r="Q33914" s="5" t="s">
        <v>355</v>
      </c>
    </row>
    <row r="33915" ht="16.5" customHeight="1">
      <c r="O33915" s="5" t="s">
        <v>355</v>
      </c>
      <c r="P33915" s="5" t="s">
        <v>355</v>
      </c>
      <c r="Q33915" s="5" t="s">
        <v>355</v>
      </c>
    </row>
    <row r="33916" ht="16.5" customHeight="1">
      <c r="O33916" s="5" t="s">
        <v>355</v>
      </c>
      <c r="P33916" s="5" t="s">
        <v>355</v>
      </c>
      <c r="Q33916" s="5" t="s">
        <v>355</v>
      </c>
    </row>
    <row r="33917" ht="16.5" customHeight="1">
      <c r="O33917" s="5" t="s">
        <v>355</v>
      </c>
      <c r="P33917" s="5" t="s">
        <v>355</v>
      </c>
      <c r="Q33917" s="5" t="s">
        <v>355</v>
      </c>
    </row>
    <row r="33918" ht="16.5" customHeight="1">
      <c r="O33918" s="5" t="s">
        <v>355</v>
      </c>
      <c r="P33918" s="5" t="s">
        <v>355</v>
      </c>
      <c r="Q33918" s="5" t="s">
        <v>355</v>
      </c>
    </row>
    <row r="33919" ht="16.5" customHeight="1">
      <c r="O33919" s="5" t="s">
        <v>355</v>
      </c>
      <c r="P33919" s="5" t="s">
        <v>355</v>
      </c>
      <c r="Q33919" s="5" t="s">
        <v>355</v>
      </c>
    </row>
    <row r="33920" ht="16.5" customHeight="1">
      <c r="O33920" s="5" t="s">
        <v>355</v>
      </c>
      <c r="P33920" s="5" t="s">
        <v>355</v>
      </c>
      <c r="Q33920" s="5" t="s">
        <v>355</v>
      </c>
    </row>
    <row r="33921" ht="16.5" customHeight="1">
      <c r="O33921" s="5" t="s">
        <v>355</v>
      </c>
      <c r="P33921" s="5" t="s">
        <v>355</v>
      </c>
      <c r="Q33921" s="5" t="s">
        <v>355</v>
      </c>
    </row>
    <row r="33922" ht="16.5" customHeight="1">
      <c r="O33922" s="5" t="s">
        <v>355</v>
      </c>
      <c r="P33922" s="5" t="s">
        <v>355</v>
      </c>
      <c r="Q33922" s="5" t="s">
        <v>355</v>
      </c>
    </row>
    <row r="33923" ht="16.5" customHeight="1">
      <c r="O33923" s="5" t="s">
        <v>355</v>
      </c>
      <c r="P33923" s="5" t="s">
        <v>355</v>
      </c>
      <c r="Q33923" s="5" t="s">
        <v>355</v>
      </c>
    </row>
    <row r="33924" ht="16.5" customHeight="1">
      <c r="O33924" s="5" t="s">
        <v>355</v>
      </c>
      <c r="P33924" s="5" t="s">
        <v>355</v>
      </c>
      <c r="Q33924" s="5" t="s">
        <v>355</v>
      </c>
    </row>
    <row r="33925" ht="16.5" customHeight="1">
      <c r="O33925" s="5" t="s">
        <v>355</v>
      </c>
      <c r="P33925" s="5" t="s">
        <v>355</v>
      </c>
      <c r="Q33925" s="5" t="s">
        <v>355</v>
      </c>
    </row>
    <row r="33926" ht="16.5" customHeight="1">
      <c r="O33926" s="5" t="s">
        <v>355</v>
      </c>
      <c r="P33926" s="5" t="s">
        <v>355</v>
      </c>
      <c r="Q33926" s="5" t="s">
        <v>355</v>
      </c>
    </row>
    <row r="33927" ht="16.5" customHeight="1">
      <c r="O33927" s="5" t="s">
        <v>355</v>
      </c>
      <c r="P33927" s="5" t="s">
        <v>355</v>
      </c>
      <c r="Q33927" s="5" t="s">
        <v>355</v>
      </c>
    </row>
    <row r="33928" ht="16.5" customHeight="1">
      <c r="O33928" s="5" t="s">
        <v>355</v>
      </c>
      <c r="P33928" s="5" t="s">
        <v>355</v>
      </c>
      <c r="Q33928" s="5" t="s">
        <v>355</v>
      </c>
    </row>
    <row r="33929" ht="16.5" customHeight="1">
      <c r="O33929" s="5" t="s">
        <v>355</v>
      </c>
      <c r="P33929" s="5" t="s">
        <v>355</v>
      </c>
      <c r="Q33929" s="5" t="s">
        <v>355</v>
      </c>
    </row>
    <row r="33930" ht="16.5" customHeight="1">
      <c r="O33930" s="5" t="s">
        <v>355</v>
      </c>
      <c r="P33930" s="5" t="s">
        <v>355</v>
      </c>
      <c r="Q33930" s="5" t="s">
        <v>355</v>
      </c>
    </row>
    <row r="33931" ht="16.5" customHeight="1">
      <c r="O33931" s="5" t="s">
        <v>355</v>
      </c>
      <c r="P33931" s="5" t="s">
        <v>355</v>
      </c>
      <c r="Q33931" s="5" t="s">
        <v>355</v>
      </c>
    </row>
    <row r="33932" ht="16.5" customHeight="1">
      <c r="O33932" s="5" t="s">
        <v>355</v>
      </c>
      <c r="P33932" s="5" t="s">
        <v>355</v>
      </c>
      <c r="Q33932" s="5" t="s">
        <v>355</v>
      </c>
    </row>
    <row r="33933" ht="16.5" customHeight="1">
      <c r="O33933" s="5" t="s">
        <v>355</v>
      </c>
      <c r="P33933" s="5" t="s">
        <v>355</v>
      </c>
      <c r="Q33933" s="5" t="s">
        <v>355</v>
      </c>
    </row>
    <row r="33934" ht="16.5" customHeight="1">
      <c r="O33934" s="5" t="s">
        <v>355</v>
      </c>
      <c r="P33934" s="5" t="s">
        <v>355</v>
      </c>
      <c r="Q33934" s="5" t="s">
        <v>355</v>
      </c>
    </row>
    <row r="33935" ht="16.5" customHeight="1">
      <c r="O33935" s="5" t="s">
        <v>355</v>
      </c>
      <c r="P33935" s="5" t="s">
        <v>355</v>
      </c>
      <c r="Q33935" s="5" t="s">
        <v>355</v>
      </c>
    </row>
    <row r="33936" ht="16.5" customHeight="1">
      <c r="O33936" s="5" t="s">
        <v>355</v>
      </c>
      <c r="P33936" s="5" t="s">
        <v>355</v>
      </c>
      <c r="Q33936" s="5" t="s">
        <v>355</v>
      </c>
    </row>
    <row r="33937" ht="16.5" customHeight="1">
      <c r="O33937" s="5" t="s">
        <v>355</v>
      </c>
      <c r="P33937" s="5" t="s">
        <v>355</v>
      </c>
      <c r="Q33937" s="5" t="s">
        <v>355</v>
      </c>
    </row>
    <row r="33938" ht="16.5" customHeight="1">
      <c r="O33938" s="5" t="s">
        <v>355</v>
      </c>
      <c r="P33938" s="5" t="s">
        <v>355</v>
      </c>
      <c r="Q33938" s="5" t="s">
        <v>355</v>
      </c>
    </row>
    <row r="33939" ht="16.5" customHeight="1">
      <c r="O33939" s="5" t="s">
        <v>355</v>
      </c>
      <c r="P33939" s="5" t="s">
        <v>355</v>
      </c>
      <c r="Q33939" s="5" t="s">
        <v>355</v>
      </c>
    </row>
    <row r="33940" ht="16.5" customHeight="1">
      <c r="O33940" s="5" t="s">
        <v>355</v>
      </c>
      <c r="P33940" s="5" t="s">
        <v>355</v>
      </c>
      <c r="Q33940" s="5" t="s">
        <v>355</v>
      </c>
    </row>
    <row r="33941" ht="16.5" customHeight="1">
      <c r="O33941" s="5" t="s">
        <v>355</v>
      </c>
      <c r="P33941" s="5" t="s">
        <v>355</v>
      </c>
      <c r="Q33941" s="5" t="s">
        <v>355</v>
      </c>
    </row>
    <row r="33942" ht="16.5" customHeight="1">
      <c r="O33942" s="5" t="s">
        <v>355</v>
      </c>
      <c r="P33942" s="5" t="s">
        <v>355</v>
      </c>
      <c r="Q33942" s="5" t="s">
        <v>355</v>
      </c>
    </row>
    <row r="33943" ht="16.5" customHeight="1">
      <c r="O33943" s="5" t="s">
        <v>355</v>
      </c>
      <c r="P33943" s="5" t="s">
        <v>355</v>
      </c>
      <c r="Q33943" s="5" t="s">
        <v>355</v>
      </c>
    </row>
    <row r="33944" ht="16.5" customHeight="1">
      <c r="O33944" s="5" t="s">
        <v>355</v>
      </c>
      <c r="P33944" s="5" t="s">
        <v>355</v>
      </c>
      <c r="Q33944" s="5" t="s">
        <v>355</v>
      </c>
    </row>
    <row r="33945" ht="16.5" customHeight="1">
      <c r="O33945" s="5" t="s">
        <v>355</v>
      </c>
      <c r="P33945" s="5" t="s">
        <v>355</v>
      </c>
      <c r="Q33945" s="5" t="s">
        <v>355</v>
      </c>
    </row>
    <row r="33946" ht="16.5" customHeight="1">
      <c r="O33946" s="5" t="s">
        <v>355</v>
      </c>
      <c r="P33946" s="5" t="s">
        <v>355</v>
      </c>
      <c r="Q33946" s="5" t="s">
        <v>355</v>
      </c>
    </row>
    <row r="33947" ht="16.5" customHeight="1">
      <c r="O33947" s="5" t="s">
        <v>355</v>
      </c>
      <c r="P33947" s="5" t="s">
        <v>355</v>
      </c>
      <c r="Q33947" s="5" t="s">
        <v>355</v>
      </c>
    </row>
    <row r="33948" ht="16.5" customHeight="1">
      <c r="O33948" s="5" t="s">
        <v>355</v>
      </c>
      <c r="P33948" s="5" t="s">
        <v>355</v>
      </c>
      <c r="Q33948" s="5" t="s">
        <v>355</v>
      </c>
    </row>
    <row r="33949" ht="16.5" customHeight="1">
      <c r="O33949" s="5" t="s">
        <v>355</v>
      </c>
      <c r="P33949" s="5" t="s">
        <v>355</v>
      </c>
      <c r="Q33949" s="5" t="s">
        <v>355</v>
      </c>
    </row>
    <row r="33950" ht="16.5" customHeight="1">
      <c r="O33950" s="5" t="s">
        <v>355</v>
      </c>
      <c r="P33950" s="5" t="s">
        <v>355</v>
      </c>
      <c r="Q33950" s="5" t="s">
        <v>355</v>
      </c>
    </row>
    <row r="33951" ht="16.5" customHeight="1">
      <c r="O33951" s="5" t="s">
        <v>355</v>
      </c>
      <c r="P33951" s="5" t="s">
        <v>355</v>
      </c>
      <c r="Q33951" s="5" t="s">
        <v>355</v>
      </c>
    </row>
    <row r="33952" ht="16.5" customHeight="1">
      <c r="O33952" s="5" t="s">
        <v>355</v>
      </c>
      <c r="P33952" s="5" t="s">
        <v>355</v>
      </c>
      <c r="Q33952" s="5" t="s">
        <v>355</v>
      </c>
    </row>
    <row r="33953" ht="16.5" customHeight="1">
      <c r="O33953" s="5" t="s">
        <v>355</v>
      </c>
      <c r="P33953" s="5" t="s">
        <v>355</v>
      </c>
      <c r="Q33953" s="5" t="s">
        <v>355</v>
      </c>
    </row>
    <row r="33954" ht="16.5" customHeight="1">
      <c r="O33954" s="5" t="s">
        <v>355</v>
      </c>
      <c r="P33954" s="5" t="s">
        <v>355</v>
      </c>
      <c r="Q33954" s="5" t="s">
        <v>355</v>
      </c>
    </row>
    <row r="33955" ht="16.5" customHeight="1">
      <c r="O33955" s="5" t="s">
        <v>355</v>
      </c>
      <c r="P33955" s="5" t="s">
        <v>355</v>
      </c>
      <c r="Q33955" s="5" t="s">
        <v>355</v>
      </c>
    </row>
    <row r="33956" ht="16.5" customHeight="1">
      <c r="O33956" s="5" t="s">
        <v>355</v>
      </c>
      <c r="P33956" s="5" t="s">
        <v>355</v>
      </c>
      <c r="Q33956" s="5" t="s">
        <v>355</v>
      </c>
    </row>
    <row r="33957" ht="16.5" customHeight="1">
      <c r="O33957" s="5" t="s">
        <v>355</v>
      </c>
      <c r="P33957" s="5" t="s">
        <v>355</v>
      </c>
      <c r="Q33957" s="5" t="s">
        <v>355</v>
      </c>
    </row>
    <row r="33958" ht="16.5" customHeight="1">
      <c r="O33958" s="5" t="s">
        <v>355</v>
      </c>
      <c r="P33958" s="5" t="s">
        <v>355</v>
      </c>
      <c r="Q33958" s="5" t="s">
        <v>355</v>
      </c>
    </row>
    <row r="33959" ht="16.5" customHeight="1">
      <c r="O33959" s="5" t="s">
        <v>355</v>
      </c>
      <c r="P33959" s="5" t="s">
        <v>355</v>
      </c>
      <c r="Q33959" s="5" t="s">
        <v>355</v>
      </c>
    </row>
    <row r="33960" ht="16.5" customHeight="1">
      <c r="O33960" s="5" t="s">
        <v>355</v>
      </c>
      <c r="P33960" s="5" t="s">
        <v>355</v>
      </c>
      <c r="Q33960" s="5" t="s">
        <v>355</v>
      </c>
    </row>
    <row r="33961" ht="16.5" customHeight="1">
      <c r="O33961" s="5" t="s">
        <v>355</v>
      </c>
      <c r="P33961" s="5" t="s">
        <v>355</v>
      </c>
      <c r="Q33961" s="5" t="s">
        <v>355</v>
      </c>
    </row>
    <row r="33962" ht="16.5" customHeight="1">
      <c r="O33962" s="5" t="s">
        <v>355</v>
      </c>
      <c r="P33962" s="5" t="s">
        <v>355</v>
      </c>
      <c r="Q33962" s="5" t="s">
        <v>355</v>
      </c>
    </row>
    <row r="33963" ht="16.5" customHeight="1">
      <c r="O33963" s="5" t="s">
        <v>355</v>
      </c>
      <c r="P33963" s="5" t="s">
        <v>355</v>
      </c>
      <c r="Q33963" s="5" t="s">
        <v>355</v>
      </c>
    </row>
    <row r="33964" ht="16.5" customHeight="1">
      <c r="O33964" s="5" t="s">
        <v>355</v>
      </c>
      <c r="P33964" s="5" t="s">
        <v>355</v>
      </c>
      <c r="Q33964" s="5" t="s">
        <v>355</v>
      </c>
    </row>
    <row r="33965" ht="16.5" customHeight="1">
      <c r="O33965" s="5" t="s">
        <v>355</v>
      </c>
      <c r="P33965" s="5" t="s">
        <v>355</v>
      </c>
      <c r="Q33965" s="5" t="s">
        <v>355</v>
      </c>
    </row>
    <row r="33966" ht="16.5" customHeight="1">
      <c r="O33966" s="5" t="s">
        <v>355</v>
      </c>
      <c r="P33966" s="5" t="s">
        <v>355</v>
      </c>
      <c r="Q33966" s="5" t="s">
        <v>355</v>
      </c>
    </row>
    <row r="33967" ht="16.5" customHeight="1">
      <c r="O33967" s="5" t="s">
        <v>355</v>
      </c>
      <c r="P33967" s="5" t="s">
        <v>355</v>
      </c>
      <c r="Q33967" s="5" t="s">
        <v>355</v>
      </c>
    </row>
    <row r="33968" ht="16.5" customHeight="1">
      <c r="O33968" s="5" t="s">
        <v>355</v>
      </c>
      <c r="P33968" s="5" t="s">
        <v>355</v>
      </c>
      <c r="Q33968" s="5" t="s">
        <v>355</v>
      </c>
    </row>
    <row r="33969" ht="16.5" customHeight="1">
      <c r="O33969" s="5" t="s">
        <v>355</v>
      </c>
      <c r="P33969" s="5" t="s">
        <v>355</v>
      </c>
      <c r="Q33969" s="5" t="s">
        <v>355</v>
      </c>
    </row>
    <row r="33970" ht="16.5" customHeight="1">
      <c r="O33970" s="5" t="s">
        <v>355</v>
      </c>
      <c r="P33970" s="5" t="s">
        <v>355</v>
      </c>
      <c r="Q33970" s="5" t="s">
        <v>355</v>
      </c>
    </row>
    <row r="33971" ht="16.5" customHeight="1">
      <c r="O33971" s="5" t="s">
        <v>355</v>
      </c>
      <c r="P33971" s="5" t="s">
        <v>355</v>
      </c>
      <c r="Q33971" s="5" t="s">
        <v>355</v>
      </c>
    </row>
    <row r="33972" ht="16.5" customHeight="1">
      <c r="O33972" s="5" t="s">
        <v>355</v>
      </c>
      <c r="P33972" s="5" t="s">
        <v>355</v>
      </c>
      <c r="Q33972" s="5" t="s">
        <v>355</v>
      </c>
    </row>
    <row r="33973" ht="16.5" customHeight="1">
      <c r="O33973" s="5" t="s">
        <v>355</v>
      </c>
      <c r="P33973" s="5" t="s">
        <v>355</v>
      </c>
      <c r="Q33973" s="5" t="s">
        <v>355</v>
      </c>
    </row>
    <row r="33974" ht="16.5" customHeight="1">
      <c r="O33974" s="5" t="s">
        <v>355</v>
      </c>
      <c r="P33974" s="5" t="s">
        <v>355</v>
      </c>
      <c r="Q33974" s="5" t="s">
        <v>355</v>
      </c>
    </row>
    <row r="33975" ht="16.5" customHeight="1">
      <c r="O33975" s="5" t="s">
        <v>355</v>
      </c>
      <c r="P33975" s="5" t="s">
        <v>355</v>
      </c>
      <c r="Q33975" s="5" t="s">
        <v>355</v>
      </c>
    </row>
    <row r="33976" ht="16.5" customHeight="1">
      <c r="O33976" s="5" t="s">
        <v>355</v>
      </c>
      <c r="P33976" s="5" t="s">
        <v>355</v>
      </c>
      <c r="Q33976" s="5" t="s">
        <v>355</v>
      </c>
    </row>
    <row r="33977" ht="16.5" customHeight="1">
      <c r="O33977" s="5" t="s">
        <v>355</v>
      </c>
      <c r="P33977" s="5" t="s">
        <v>355</v>
      </c>
      <c r="Q33977" s="5" t="s">
        <v>355</v>
      </c>
    </row>
    <row r="33978" ht="16.5" customHeight="1">
      <c r="O33978" s="5" t="s">
        <v>355</v>
      </c>
      <c r="P33978" s="5" t="s">
        <v>355</v>
      </c>
      <c r="Q33978" s="5" t="s">
        <v>355</v>
      </c>
    </row>
    <row r="33979" ht="16.5" customHeight="1">
      <c r="O33979" s="5" t="s">
        <v>355</v>
      </c>
      <c r="P33979" s="5" t="s">
        <v>355</v>
      </c>
      <c r="Q33979" s="5" t="s">
        <v>355</v>
      </c>
    </row>
    <row r="33980" ht="16.5" customHeight="1">
      <c r="O33980" s="5" t="s">
        <v>355</v>
      </c>
      <c r="P33980" s="5" t="s">
        <v>355</v>
      </c>
      <c r="Q33980" s="5" t="s">
        <v>355</v>
      </c>
    </row>
    <row r="33981" ht="16.5" customHeight="1">
      <c r="O33981" s="5" t="s">
        <v>355</v>
      </c>
      <c r="P33981" s="5" t="s">
        <v>355</v>
      </c>
      <c r="Q33981" s="5" t="s">
        <v>355</v>
      </c>
    </row>
    <row r="33982" ht="16.5" customHeight="1">
      <c r="O33982" s="5" t="s">
        <v>355</v>
      </c>
      <c r="P33982" s="5" t="s">
        <v>355</v>
      </c>
      <c r="Q33982" s="5" t="s">
        <v>355</v>
      </c>
    </row>
    <row r="33983" ht="16.5" customHeight="1">
      <c r="O33983" s="5" t="s">
        <v>355</v>
      </c>
      <c r="P33983" s="5" t="s">
        <v>355</v>
      </c>
      <c r="Q33983" s="5" t="s">
        <v>355</v>
      </c>
    </row>
    <row r="33984" ht="16.5" customHeight="1">
      <c r="O33984" s="5" t="s">
        <v>355</v>
      </c>
      <c r="P33984" s="5" t="s">
        <v>355</v>
      </c>
      <c r="Q33984" s="5" t="s">
        <v>355</v>
      </c>
    </row>
    <row r="33985" ht="16.5" customHeight="1">
      <c r="O33985" s="5" t="s">
        <v>355</v>
      </c>
      <c r="P33985" s="5" t="s">
        <v>355</v>
      </c>
      <c r="Q33985" s="5" t="s">
        <v>355</v>
      </c>
    </row>
    <row r="33986" ht="16.5" customHeight="1">
      <c r="O33986" s="5" t="s">
        <v>355</v>
      </c>
      <c r="P33986" s="5" t="s">
        <v>355</v>
      </c>
      <c r="Q33986" s="5" t="s">
        <v>355</v>
      </c>
    </row>
    <row r="33987" ht="16.5" customHeight="1">
      <c r="O33987" s="5" t="s">
        <v>355</v>
      </c>
      <c r="P33987" s="5" t="s">
        <v>355</v>
      </c>
      <c r="Q33987" s="5" t="s">
        <v>355</v>
      </c>
    </row>
    <row r="33988" ht="16.5" customHeight="1">
      <c r="O33988" s="5" t="s">
        <v>355</v>
      </c>
      <c r="P33988" s="5" t="s">
        <v>355</v>
      </c>
      <c r="Q33988" s="5" t="s">
        <v>355</v>
      </c>
    </row>
    <row r="33989" ht="16.5" customHeight="1">
      <c r="O33989" s="5" t="s">
        <v>355</v>
      </c>
      <c r="P33989" s="5" t="s">
        <v>355</v>
      </c>
      <c r="Q33989" s="5" t="s">
        <v>355</v>
      </c>
    </row>
    <row r="33990" ht="16.5" customHeight="1">
      <c r="O33990" s="5" t="s">
        <v>355</v>
      </c>
      <c r="P33990" s="5" t="s">
        <v>355</v>
      </c>
      <c r="Q33990" s="5" t="s">
        <v>355</v>
      </c>
    </row>
    <row r="33991" ht="16.5" customHeight="1">
      <c r="O33991" s="5" t="s">
        <v>355</v>
      </c>
      <c r="P33991" s="5" t="s">
        <v>355</v>
      </c>
      <c r="Q33991" s="5" t="s">
        <v>355</v>
      </c>
    </row>
    <row r="33992" ht="16.5" customHeight="1">
      <c r="O33992" s="5" t="s">
        <v>355</v>
      </c>
      <c r="P33992" s="5" t="s">
        <v>355</v>
      </c>
      <c r="Q33992" s="5" t="s">
        <v>355</v>
      </c>
    </row>
    <row r="33993" ht="16.5" customHeight="1">
      <c r="O33993" s="5" t="s">
        <v>355</v>
      </c>
      <c r="P33993" s="5" t="s">
        <v>355</v>
      </c>
      <c r="Q33993" s="5" t="s">
        <v>355</v>
      </c>
    </row>
    <row r="33994" ht="16.5" customHeight="1">
      <c r="O33994" s="5" t="s">
        <v>355</v>
      </c>
      <c r="P33994" s="5" t="s">
        <v>355</v>
      </c>
      <c r="Q33994" s="5" t="s">
        <v>355</v>
      </c>
    </row>
    <row r="33995" ht="16.5" customHeight="1">
      <c r="O33995" s="5" t="s">
        <v>355</v>
      </c>
      <c r="P33995" s="5" t="s">
        <v>355</v>
      </c>
      <c r="Q33995" s="5" t="s">
        <v>355</v>
      </c>
    </row>
    <row r="33996" ht="16.5" customHeight="1">
      <c r="O33996" s="5" t="s">
        <v>355</v>
      </c>
      <c r="P33996" s="5" t="s">
        <v>355</v>
      </c>
      <c r="Q33996" s="5" t="s">
        <v>355</v>
      </c>
    </row>
    <row r="33997" ht="16.5" customHeight="1">
      <c r="O33997" s="5" t="s">
        <v>355</v>
      </c>
      <c r="P33997" s="5" t="s">
        <v>355</v>
      </c>
      <c r="Q33997" s="5" t="s">
        <v>355</v>
      </c>
    </row>
    <row r="33998" ht="16.5" customHeight="1">
      <c r="O33998" s="5" t="s">
        <v>355</v>
      </c>
      <c r="P33998" s="5" t="s">
        <v>355</v>
      </c>
      <c r="Q33998" s="5" t="s">
        <v>355</v>
      </c>
    </row>
    <row r="33999" ht="16.5" customHeight="1">
      <c r="O33999" s="5" t="s">
        <v>355</v>
      </c>
      <c r="P33999" s="5" t="s">
        <v>355</v>
      </c>
      <c r="Q33999" s="5" t="s">
        <v>355</v>
      </c>
    </row>
    <row r="34000" ht="16.5" customHeight="1">
      <c r="O34000" s="5" t="s">
        <v>355</v>
      </c>
      <c r="P34000" s="5" t="s">
        <v>355</v>
      </c>
      <c r="Q34000" s="5" t="s">
        <v>355</v>
      </c>
    </row>
    <row r="34001" ht="16.5" customHeight="1">
      <c r="O34001" s="5" t="s">
        <v>355</v>
      </c>
      <c r="P34001" s="5" t="s">
        <v>355</v>
      </c>
      <c r="Q34001" s="5" t="s">
        <v>355</v>
      </c>
    </row>
    <row r="34002" ht="16.5" customHeight="1">
      <c r="O34002" s="5" t="s">
        <v>355</v>
      </c>
      <c r="P34002" s="5" t="s">
        <v>355</v>
      </c>
      <c r="Q34002" s="5" t="s">
        <v>355</v>
      </c>
    </row>
    <row r="34003" ht="16.5" customHeight="1">
      <c r="O34003" s="5" t="s">
        <v>355</v>
      </c>
      <c r="P34003" s="5" t="s">
        <v>355</v>
      </c>
      <c r="Q34003" s="5" t="s">
        <v>355</v>
      </c>
    </row>
    <row r="34004" ht="16.5" customHeight="1">
      <c r="O34004" s="5" t="s">
        <v>355</v>
      </c>
      <c r="P34004" s="5" t="s">
        <v>355</v>
      </c>
      <c r="Q34004" s="5" t="s">
        <v>355</v>
      </c>
    </row>
    <row r="34005" ht="16.5" customHeight="1">
      <c r="O34005" s="5" t="s">
        <v>355</v>
      </c>
      <c r="P34005" s="5" t="s">
        <v>355</v>
      </c>
      <c r="Q34005" s="5" t="s">
        <v>355</v>
      </c>
    </row>
    <row r="34006" ht="16.5" customHeight="1">
      <c r="O34006" s="5" t="s">
        <v>355</v>
      </c>
      <c r="P34006" s="5" t="s">
        <v>355</v>
      </c>
      <c r="Q34006" s="5" t="s">
        <v>355</v>
      </c>
    </row>
    <row r="34007" ht="16.5" customHeight="1">
      <c r="O34007" s="5" t="s">
        <v>355</v>
      </c>
      <c r="P34007" s="5" t="s">
        <v>355</v>
      </c>
      <c r="Q34007" s="5" t="s">
        <v>355</v>
      </c>
    </row>
    <row r="34008" ht="16.5" customHeight="1">
      <c r="O34008" s="5" t="s">
        <v>355</v>
      </c>
      <c r="P34008" s="5" t="s">
        <v>355</v>
      </c>
      <c r="Q34008" s="5" t="s">
        <v>355</v>
      </c>
    </row>
    <row r="34009" ht="16.5" customHeight="1">
      <c r="O34009" s="5" t="s">
        <v>355</v>
      </c>
      <c r="P34009" s="5" t="s">
        <v>355</v>
      </c>
      <c r="Q34009" s="5" t="s">
        <v>355</v>
      </c>
    </row>
    <row r="34010" ht="16.5" customHeight="1">
      <c r="O34010" s="5" t="s">
        <v>355</v>
      </c>
      <c r="P34010" s="5" t="s">
        <v>355</v>
      </c>
      <c r="Q34010" s="5" t="s">
        <v>355</v>
      </c>
    </row>
    <row r="34011" ht="16.5" customHeight="1">
      <c r="O34011" s="5" t="s">
        <v>355</v>
      </c>
      <c r="P34011" s="5" t="s">
        <v>355</v>
      </c>
      <c r="Q34011" s="5" t="s">
        <v>355</v>
      </c>
    </row>
    <row r="34012" ht="16.5" customHeight="1">
      <c r="O34012" s="5" t="s">
        <v>355</v>
      </c>
      <c r="P34012" s="5" t="s">
        <v>355</v>
      </c>
      <c r="Q34012" s="5" t="s">
        <v>355</v>
      </c>
    </row>
    <row r="34013" ht="16.5" customHeight="1">
      <c r="O34013" s="5" t="s">
        <v>355</v>
      </c>
      <c r="P34013" s="5" t="s">
        <v>355</v>
      </c>
      <c r="Q34013" s="5" t="s">
        <v>355</v>
      </c>
    </row>
    <row r="34014" ht="16.5" customHeight="1">
      <c r="O34014" s="5" t="s">
        <v>355</v>
      </c>
      <c r="P34014" s="5" t="s">
        <v>355</v>
      </c>
      <c r="Q34014" s="5" t="s">
        <v>355</v>
      </c>
    </row>
    <row r="34015" ht="16.5" customHeight="1">
      <c r="O34015" s="5" t="s">
        <v>355</v>
      </c>
      <c r="P34015" s="5" t="s">
        <v>355</v>
      </c>
      <c r="Q34015" s="5" t="s">
        <v>355</v>
      </c>
    </row>
    <row r="34016" ht="16.5" customHeight="1">
      <c r="O34016" s="5" t="s">
        <v>355</v>
      </c>
      <c r="P34016" s="5" t="s">
        <v>355</v>
      </c>
      <c r="Q34016" s="5" t="s">
        <v>355</v>
      </c>
    </row>
    <row r="34017" ht="16.5" customHeight="1">
      <c r="O34017" s="5" t="s">
        <v>355</v>
      </c>
      <c r="P34017" s="5" t="s">
        <v>355</v>
      </c>
      <c r="Q34017" s="5" t="s">
        <v>355</v>
      </c>
    </row>
    <row r="34018" ht="16.5" customHeight="1">
      <c r="O34018" s="5" t="s">
        <v>355</v>
      </c>
      <c r="P34018" s="5" t="s">
        <v>355</v>
      </c>
      <c r="Q34018" s="5" t="s">
        <v>355</v>
      </c>
    </row>
    <row r="34019" ht="16.5" customHeight="1">
      <c r="O34019" s="5" t="s">
        <v>355</v>
      </c>
      <c r="P34019" s="5" t="s">
        <v>355</v>
      </c>
      <c r="Q34019" s="5" t="s">
        <v>355</v>
      </c>
    </row>
    <row r="34020" ht="16.5" customHeight="1">
      <c r="O34020" s="5" t="s">
        <v>355</v>
      </c>
      <c r="P34020" s="5" t="s">
        <v>355</v>
      </c>
      <c r="Q34020" s="5" t="s">
        <v>355</v>
      </c>
    </row>
    <row r="34021" ht="16.5" customHeight="1">
      <c r="O34021" s="5" t="s">
        <v>355</v>
      </c>
      <c r="P34021" s="5" t="s">
        <v>355</v>
      </c>
      <c r="Q34021" s="5" t="s">
        <v>355</v>
      </c>
    </row>
    <row r="34022" ht="16.5" customHeight="1">
      <c r="O34022" s="5" t="s">
        <v>355</v>
      </c>
      <c r="P34022" s="5" t="s">
        <v>355</v>
      </c>
      <c r="Q34022" s="5" t="s">
        <v>355</v>
      </c>
    </row>
    <row r="34023" ht="16.5" customHeight="1">
      <c r="O34023" s="5" t="s">
        <v>355</v>
      </c>
      <c r="P34023" s="5" t="s">
        <v>355</v>
      </c>
      <c r="Q34023" s="5" t="s">
        <v>355</v>
      </c>
    </row>
    <row r="34024" ht="16.5" customHeight="1">
      <c r="O34024" s="5" t="s">
        <v>355</v>
      </c>
      <c r="P34024" s="5" t="s">
        <v>355</v>
      </c>
      <c r="Q34024" s="5" t="s">
        <v>355</v>
      </c>
    </row>
    <row r="34025" ht="16.5" customHeight="1">
      <c r="O34025" s="5" t="s">
        <v>355</v>
      </c>
      <c r="P34025" s="5" t="s">
        <v>355</v>
      </c>
      <c r="Q34025" s="5" t="s">
        <v>355</v>
      </c>
    </row>
    <row r="34026" ht="16.5" customHeight="1">
      <c r="O34026" s="5" t="s">
        <v>355</v>
      </c>
      <c r="P34026" s="5" t="s">
        <v>355</v>
      </c>
      <c r="Q34026" s="5" t="s">
        <v>355</v>
      </c>
    </row>
    <row r="34027" ht="16.5" customHeight="1">
      <c r="O34027" s="5" t="s">
        <v>355</v>
      </c>
      <c r="P34027" s="5" t="s">
        <v>355</v>
      </c>
      <c r="Q34027" s="5" t="s">
        <v>355</v>
      </c>
    </row>
    <row r="34028" ht="16.5" customHeight="1">
      <c r="O34028" s="5" t="s">
        <v>355</v>
      </c>
      <c r="P34028" s="5" t="s">
        <v>355</v>
      </c>
      <c r="Q34028" s="5" t="s">
        <v>355</v>
      </c>
    </row>
    <row r="34029" ht="16.5" customHeight="1">
      <c r="O34029" s="5" t="s">
        <v>355</v>
      </c>
      <c r="P34029" s="5" t="s">
        <v>355</v>
      </c>
      <c r="Q34029" s="5" t="s">
        <v>355</v>
      </c>
    </row>
    <row r="34030" ht="16.5" customHeight="1">
      <c r="O34030" s="5" t="s">
        <v>355</v>
      </c>
      <c r="P34030" s="5" t="s">
        <v>355</v>
      </c>
      <c r="Q34030" s="5" t="s">
        <v>355</v>
      </c>
    </row>
    <row r="34031" ht="16.5" customHeight="1">
      <c r="O34031" s="5" t="s">
        <v>355</v>
      </c>
      <c r="P34031" s="5" t="s">
        <v>355</v>
      </c>
      <c r="Q34031" s="5" t="s">
        <v>355</v>
      </c>
    </row>
    <row r="34032" ht="16.5" customHeight="1">
      <c r="O34032" s="5" t="s">
        <v>355</v>
      </c>
      <c r="P34032" s="5" t="s">
        <v>355</v>
      </c>
      <c r="Q34032" s="5" t="s">
        <v>355</v>
      </c>
    </row>
    <row r="34033" ht="16.5" customHeight="1">
      <c r="O34033" s="5" t="s">
        <v>355</v>
      </c>
      <c r="P34033" s="5" t="s">
        <v>355</v>
      </c>
      <c r="Q34033" s="5" t="s">
        <v>355</v>
      </c>
    </row>
    <row r="34034" ht="16.5" customHeight="1">
      <c r="O34034" s="5" t="s">
        <v>355</v>
      </c>
      <c r="P34034" s="5" t="s">
        <v>355</v>
      </c>
      <c r="Q34034" s="5" t="s">
        <v>355</v>
      </c>
    </row>
    <row r="34035" ht="16.5" customHeight="1">
      <c r="O34035" s="5" t="s">
        <v>355</v>
      </c>
      <c r="P34035" s="5" t="s">
        <v>355</v>
      </c>
      <c r="Q34035" s="5" t="s">
        <v>355</v>
      </c>
    </row>
    <row r="34036" ht="16.5" customHeight="1">
      <c r="O34036" s="5" t="s">
        <v>355</v>
      </c>
      <c r="P34036" s="5" t="s">
        <v>355</v>
      </c>
      <c r="Q34036" s="5" t="s">
        <v>355</v>
      </c>
    </row>
    <row r="34037" ht="16.5" customHeight="1">
      <c r="O34037" s="5" t="s">
        <v>355</v>
      </c>
      <c r="P34037" s="5" t="s">
        <v>355</v>
      </c>
      <c r="Q34037" s="5" t="s">
        <v>355</v>
      </c>
    </row>
    <row r="34038" ht="16.5" customHeight="1">
      <c r="O34038" s="5" t="s">
        <v>355</v>
      </c>
      <c r="P34038" s="5" t="s">
        <v>355</v>
      </c>
      <c r="Q34038" s="5" t="s">
        <v>355</v>
      </c>
    </row>
    <row r="34039" ht="16.5" customHeight="1">
      <c r="O34039" s="5" t="s">
        <v>355</v>
      </c>
      <c r="P34039" s="5" t="s">
        <v>355</v>
      </c>
      <c r="Q34039" s="5" t="s">
        <v>355</v>
      </c>
    </row>
    <row r="34040" ht="16.5" customHeight="1">
      <c r="O34040" s="5" t="s">
        <v>355</v>
      </c>
      <c r="P34040" s="5" t="s">
        <v>355</v>
      </c>
      <c r="Q34040" s="5" t="s">
        <v>355</v>
      </c>
    </row>
    <row r="34041" ht="16.5" customHeight="1">
      <c r="O34041" s="5" t="s">
        <v>355</v>
      </c>
      <c r="P34041" s="5" t="s">
        <v>355</v>
      </c>
      <c r="Q34041" s="5" t="s">
        <v>355</v>
      </c>
    </row>
    <row r="34042" ht="16.5" customHeight="1">
      <c r="O34042" s="5" t="s">
        <v>355</v>
      </c>
      <c r="P34042" s="5" t="s">
        <v>355</v>
      </c>
      <c r="Q34042" s="5" t="s">
        <v>355</v>
      </c>
    </row>
    <row r="34043" ht="16.5" customHeight="1">
      <c r="O34043" s="5" t="s">
        <v>355</v>
      </c>
      <c r="P34043" s="5" t="s">
        <v>355</v>
      </c>
      <c r="Q34043" s="5" t="s">
        <v>355</v>
      </c>
    </row>
    <row r="34044" ht="16.5" customHeight="1">
      <c r="O34044" s="5" t="s">
        <v>355</v>
      </c>
      <c r="P34044" s="5" t="s">
        <v>355</v>
      </c>
      <c r="Q34044" s="5" t="s">
        <v>355</v>
      </c>
    </row>
    <row r="34045" ht="16.5" customHeight="1">
      <c r="O34045" s="5" t="s">
        <v>355</v>
      </c>
      <c r="P34045" s="5" t="s">
        <v>355</v>
      </c>
      <c r="Q34045" s="5" t="s">
        <v>355</v>
      </c>
    </row>
    <row r="34046" ht="16.5" customHeight="1">
      <c r="O34046" s="5" t="s">
        <v>355</v>
      </c>
      <c r="P34046" s="5" t="s">
        <v>355</v>
      </c>
      <c r="Q34046" s="5" t="s">
        <v>355</v>
      </c>
    </row>
    <row r="34047" ht="16.5" customHeight="1">
      <c r="O34047" s="5" t="s">
        <v>355</v>
      </c>
      <c r="P34047" s="5" t="s">
        <v>355</v>
      </c>
      <c r="Q34047" s="5" t="s">
        <v>355</v>
      </c>
    </row>
    <row r="34048" ht="16.5" customHeight="1">
      <c r="O34048" s="5" t="s">
        <v>355</v>
      </c>
      <c r="P34048" s="5" t="s">
        <v>355</v>
      </c>
      <c r="Q34048" s="5" t="s">
        <v>355</v>
      </c>
    </row>
    <row r="34049" ht="16.5" customHeight="1">
      <c r="O34049" s="5" t="s">
        <v>355</v>
      </c>
      <c r="P34049" s="5" t="s">
        <v>355</v>
      </c>
      <c r="Q34049" s="5" t="s">
        <v>355</v>
      </c>
    </row>
    <row r="34050" ht="16.5" customHeight="1">
      <c r="O34050" s="5" t="s">
        <v>355</v>
      </c>
      <c r="P34050" s="5" t="s">
        <v>355</v>
      </c>
      <c r="Q34050" s="5" t="s">
        <v>355</v>
      </c>
    </row>
    <row r="34051" ht="16.5" customHeight="1">
      <c r="O34051" s="5" t="s">
        <v>355</v>
      </c>
      <c r="P34051" s="5" t="s">
        <v>355</v>
      </c>
      <c r="Q34051" s="5" t="s">
        <v>355</v>
      </c>
    </row>
    <row r="34052" ht="16.5" customHeight="1">
      <c r="O34052" s="5" t="s">
        <v>355</v>
      </c>
      <c r="P34052" s="5" t="s">
        <v>355</v>
      </c>
      <c r="Q34052" s="5" t="s">
        <v>355</v>
      </c>
    </row>
    <row r="34053" ht="16.5" customHeight="1">
      <c r="O34053" s="5" t="s">
        <v>355</v>
      </c>
      <c r="P34053" s="5" t="s">
        <v>355</v>
      </c>
      <c r="Q34053" s="5" t="s">
        <v>355</v>
      </c>
    </row>
    <row r="34054" ht="16.5" customHeight="1">
      <c r="O34054" s="5" t="s">
        <v>355</v>
      </c>
      <c r="P34054" s="5" t="s">
        <v>355</v>
      </c>
      <c r="Q34054" s="5" t="s">
        <v>355</v>
      </c>
    </row>
    <row r="34055" ht="16.5" customHeight="1">
      <c r="O34055" s="5" t="s">
        <v>355</v>
      </c>
      <c r="P34055" s="5" t="s">
        <v>355</v>
      </c>
      <c r="Q34055" s="5" t="s">
        <v>355</v>
      </c>
    </row>
    <row r="34056" ht="16.5" customHeight="1">
      <c r="O34056" s="5" t="s">
        <v>355</v>
      </c>
      <c r="P34056" s="5" t="s">
        <v>355</v>
      </c>
      <c r="Q34056" s="5" t="s">
        <v>355</v>
      </c>
    </row>
    <row r="34057" ht="16.5" customHeight="1">
      <c r="O34057" s="5" t="s">
        <v>355</v>
      </c>
      <c r="P34057" s="5" t="s">
        <v>355</v>
      </c>
      <c r="Q34057" s="5" t="s">
        <v>355</v>
      </c>
    </row>
    <row r="34058" ht="16.5" customHeight="1">
      <c r="O34058" s="5" t="s">
        <v>355</v>
      </c>
      <c r="P34058" s="5" t="s">
        <v>355</v>
      </c>
      <c r="Q34058" s="5" t="s">
        <v>355</v>
      </c>
    </row>
    <row r="34059" ht="16.5" customHeight="1">
      <c r="O34059" s="5" t="s">
        <v>355</v>
      </c>
      <c r="P34059" s="5" t="s">
        <v>355</v>
      </c>
      <c r="Q34059" s="5" t="s">
        <v>355</v>
      </c>
    </row>
    <row r="34060" ht="16.5" customHeight="1">
      <c r="O34060" s="5" t="s">
        <v>355</v>
      </c>
      <c r="P34060" s="5" t="s">
        <v>355</v>
      </c>
      <c r="Q34060" s="5" t="s">
        <v>355</v>
      </c>
    </row>
    <row r="34061" ht="16.5" customHeight="1">
      <c r="O34061" s="5" t="s">
        <v>355</v>
      </c>
      <c r="P34061" s="5" t="s">
        <v>355</v>
      </c>
      <c r="Q34061" s="5" t="s">
        <v>355</v>
      </c>
    </row>
    <row r="34062" ht="16.5" customHeight="1">
      <c r="O34062" s="5" t="s">
        <v>355</v>
      </c>
      <c r="P34062" s="5" t="s">
        <v>355</v>
      </c>
      <c r="Q34062" s="5" t="s">
        <v>355</v>
      </c>
    </row>
    <row r="34063" ht="16.5" customHeight="1">
      <c r="O34063" s="5" t="s">
        <v>355</v>
      </c>
      <c r="P34063" s="5" t="s">
        <v>355</v>
      </c>
      <c r="Q34063" s="5" t="s">
        <v>355</v>
      </c>
    </row>
    <row r="34064" ht="16.5" customHeight="1">
      <c r="O34064" s="5" t="s">
        <v>355</v>
      </c>
      <c r="P34064" s="5" t="s">
        <v>355</v>
      </c>
      <c r="Q34064" s="5" t="s">
        <v>355</v>
      </c>
    </row>
    <row r="34065" ht="16.5" customHeight="1">
      <c r="O34065" s="5" t="s">
        <v>355</v>
      </c>
      <c r="P34065" s="5" t="s">
        <v>355</v>
      </c>
      <c r="Q34065" s="5" t="s">
        <v>355</v>
      </c>
    </row>
    <row r="34066" ht="16.5" customHeight="1">
      <c r="O34066" s="5" t="s">
        <v>355</v>
      </c>
      <c r="P34066" s="5" t="s">
        <v>355</v>
      </c>
      <c r="Q34066" s="5" t="s">
        <v>355</v>
      </c>
    </row>
    <row r="34067" ht="16.5" customHeight="1">
      <c r="O34067" s="5" t="s">
        <v>355</v>
      </c>
      <c r="P34067" s="5" t="s">
        <v>355</v>
      </c>
      <c r="Q34067" s="5" t="s">
        <v>355</v>
      </c>
    </row>
    <row r="34068" ht="16.5" customHeight="1">
      <c r="O34068" s="5" t="s">
        <v>355</v>
      </c>
      <c r="P34068" s="5" t="s">
        <v>355</v>
      </c>
      <c r="Q34068" s="5" t="s">
        <v>355</v>
      </c>
    </row>
    <row r="34069" ht="16.5" customHeight="1">
      <c r="O34069" s="5" t="s">
        <v>355</v>
      </c>
      <c r="P34069" s="5" t="s">
        <v>355</v>
      </c>
      <c r="Q34069" s="5" t="s">
        <v>355</v>
      </c>
    </row>
    <row r="34070" ht="16.5" customHeight="1">
      <c r="O34070" s="5" t="s">
        <v>355</v>
      </c>
      <c r="P34070" s="5" t="s">
        <v>355</v>
      </c>
      <c r="Q34070" s="5" t="s">
        <v>355</v>
      </c>
    </row>
    <row r="34071" ht="16.5" customHeight="1">
      <c r="O34071" s="5" t="s">
        <v>355</v>
      </c>
      <c r="P34071" s="5" t="s">
        <v>355</v>
      </c>
      <c r="Q34071" s="5" t="s">
        <v>355</v>
      </c>
    </row>
    <row r="34072" ht="16.5" customHeight="1">
      <c r="O34072" s="5" t="s">
        <v>355</v>
      </c>
      <c r="P34072" s="5" t="s">
        <v>355</v>
      </c>
      <c r="Q34072" s="5" t="s">
        <v>355</v>
      </c>
    </row>
    <row r="34073" ht="16.5" customHeight="1">
      <c r="O34073" s="5" t="s">
        <v>355</v>
      </c>
      <c r="P34073" s="5" t="s">
        <v>355</v>
      </c>
      <c r="Q34073" s="5" t="s">
        <v>355</v>
      </c>
    </row>
    <row r="34074" ht="16.5" customHeight="1">
      <c r="O34074" s="5" t="s">
        <v>355</v>
      </c>
      <c r="P34074" s="5" t="s">
        <v>355</v>
      </c>
      <c r="Q34074" s="5" t="s">
        <v>355</v>
      </c>
    </row>
    <row r="34075" ht="16.5" customHeight="1">
      <c r="O34075" s="5" t="s">
        <v>355</v>
      </c>
      <c r="P34075" s="5" t="s">
        <v>355</v>
      </c>
      <c r="Q34075" s="5" t="s">
        <v>355</v>
      </c>
    </row>
    <row r="34076" ht="16.5" customHeight="1">
      <c r="O34076" s="5" t="s">
        <v>355</v>
      </c>
      <c r="P34076" s="5" t="s">
        <v>355</v>
      </c>
      <c r="Q34076" s="5" t="s">
        <v>355</v>
      </c>
    </row>
    <row r="34077" ht="16.5" customHeight="1">
      <c r="O34077" s="5" t="s">
        <v>355</v>
      </c>
      <c r="P34077" s="5" t="s">
        <v>355</v>
      </c>
      <c r="Q34077" s="5" t="s">
        <v>355</v>
      </c>
    </row>
    <row r="34078" ht="16.5" customHeight="1">
      <c r="O34078" s="5" t="s">
        <v>355</v>
      </c>
      <c r="P34078" s="5" t="s">
        <v>355</v>
      </c>
      <c r="Q34078" s="5" t="s">
        <v>355</v>
      </c>
    </row>
    <row r="34079" ht="16.5" customHeight="1">
      <c r="O34079" s="5" t="s">
        <v>355</v>
      </c>
      <c r="P34079" s="5" t="s">
        <v>355</v>
      </c>
      <c r="Q34079" s="5" t="s">
        <v>355</v>
      </c>
    </row>
    <row r="34080" ht="16.5" customHeight="1">
      <c r="O34080" s="5" t="s">
        <v>355</v>
      </c>
      <c r="P34080" s="5" t="s">
        <v>355</v>
      </c>
      <c r="Q34080" s="5" t="s">
        <v>355</v>
      </c>
    </row>
    <row r="34081" ht="16.5" customHeight="1">
      <c r="O34081" s="5" t="s">
        <v>355</v>
      </c>
      <c r="P34081" s="5" t="s">
        <v>355</v>
      </c>
      <c r="Q34081" s="5" t="s">
        <v>355</v>
      </c>
    </row>
    <row r="34082" ht="16.5" customHeight="1">
      <c r="O34082" s="5" t="s">
        <v>355</v>
      </c>
      <c r="P34082" s="5" t="s">
        <v>355</v>
      </c>
      <c r="Q34082" s="5" t="s">
        <v>355</v>
      </c>
    </row>
    <row r="34083" ht="16.5" customHeight="1">
      <c r="O34083" s="5" t="s">
        <v>355</v>
      </c>
      <c r="P34083" s="5" t="s">
        <v>355</v>
      </c>
      <c r="Q34083" s="5" t="s">
        <v>355</v>
      </c>
    </row>
    <row r="34084" ht="16.5" customHeight="1">
      <c r="O34084" s="5" t="s">
        <v>355</v>
      </c>
      <c r="P34084" s="5" t="s">
        <v>355</v>
      </c>
      <c r="Q34084" s="5" t="s">
        <v>355</v>
      </c>
    </row>
    <row r="34085" ht="16.5" customHeight="1">
      <c r="O34085" s="5" t="s">
        <v>355</v>
      </c>
      <c r="P34085" s="5" t="s">
        <v>355</v>
      </c>
      <c r="Q34085" s="5" t="s">
        <v>355</v>
      </c>
    </row>
    <row r="34086" ht="16.5" customHeight="1">
      <c r="O34086" s="5" t="s">
        <v>355</v>
      </c>
      <c r="P34086" s="5" t="s">
        <v>355</v>
      </c>
      <c r="Q34086" s="5" t="s">
        <v>355</v>
      </c>
    </row>
    <row r="34087" ht="16.5" customHeight="1">
      <c r="O34087" s="5" t="s">
        <v>355</v>
      </c>
      <c r="P34087" s="5" t="s">
        <v>355</v>
      </c>
      <c r="Q34087" s="5" t="s">
        <v>355</v>
      </c>
    </row>
    <row r="34088" ht="16.5" customHeight="1">
      <c r="O34088" s="5" t="s">
        <v>355</v>
      </c>
      <c r="P34088" s="5" t="s">
        <v>355</v>
      </c>
      <c r="Q34088" s="5" t="s">
        <v>355</v>
      </c>
    </row>
    <row r="34089" ht="16.5" customHeight="1">
      <c r="O34089" s="5" t="s">
        <v>355</v>
      </c>
      <c r="P34089" s="5" t="s">
        <v>355</v>
      </c>
      <c r="Q34089" s="5" t="s">
        <v>355</v>
      </c>
    </row>
    <row r="34090" ht="16.5" customHeight="1">
      <c r="O34090" s="5" t="s">
        <v>355</v>
      </c>
      <c r="P34090" s="5" t="s">
        <v>355</v>
      </c>
      <c r="Q34090" s="5" t="s">
        <v>355</v>
      </c>
    </row>
    <row r="34091" ht="16.5" customHeight="1">
      <c r="O34091" s="5" t="s">
        <v>355</v>
      </c>
      <c r="P34091" s="5" t="s">
        <v>355</v>
      </c>
      <c r="Q34091" s="5" t="s">
        <v>355</v>
      </c>
    </row>
    <row r="34092" ht="16.5" customHeight="1">
      <c r="O34092" s="5" t="s">
        <v>355</v>
      </c>
      <c r="P34092" s="5" t="s">
        <v>355</v>
      </c>
      <c r="Q34092" s="5" t="s">
        <v>355</v>
      </c>
    </row>
    <row r="34093" ht="16.5" customHeight="1">
      <c r="O34093" s="5" t="s">
        <v>355</v>
      </c>
      <c r="P34093" s="5" t="s">
        <v>355</v>
      </c>
      <c r="Q34093" s="5" t="s">
        <v>355</v>
      </c>
    </row>
    <row r="34094" ht="16.5" customHeight="1">
      <c r="O34094" s="5" t="s">
        <v>355</v>
      </c>
      <c r="P34094" s="5" t="s">
        <v>355</v>
      </c>
      <c r="Q34094" s="5" t="s">
        <v>355</v>
      </c>
    </row>
    <row r="34095" ht="16.5" customHeight="1">
      <c r="O34095" s="5" t="s">
        <v>355</v>
      </c>
      <c r="P34095" s="5" t="s">
        <v>355</v>
      </c>
      <c r="Q34095" s="5" t="s">
        <v>355</v>
      </c>
    </row>
    <row r="34096" ht="16.5" customHeight="1">
      <c r="O34096" s="5" t="s">
        <v>355</v>
      </c>
      <c r="P34096" s="5" t="s">
        <v>355</v>
      </c>
      <c r="Q34096" s="5" t="s">
        <v>355</v>
      </c>
    </row>
    <row r="34097" ht="16.5" customHeight="1">
      <c r="O34097" s="5" t="s">
        <v>355</v>
      </c>
      <c r="P34097" s="5" t="s">
        <v>355</v>
      </c>
      <c r="Q34097" s="5" t="s">
        <v>355</v>
      </c>
    </row>
    <row r="34098" ht="16.5" customHeight="1">
      <c r="O34098" s="5" t="s">
        <v>355</v>
      </c>
      <c r="P34098" s="5" t="s">
        <v>355</v>
      </c>
      <c r="Q34098" s="5" t="s">
        <v>355</v>
      </c>
    </row>
    <row r="34099" ht="16.5" customHeight="1">
      <c r="O34099" s="5" t="s">
        <v>355</v>
      </c>
      <c r="P34099" s="5" t="s">
        <v>355</v>
      </c>
      <c r="Q34099" s="5" t="s">
        <v>355</v>
      </c>
    </row>
    <row r="34100" ht="16.5" customHeight="1">
      <c r="O34100" s="5" t="s">
        <v>355</v>
      </c>
      <c r="P34100" s="5" t="s">
        <v>355</v>
      </c>
      <c r="Q34100" s="5" t="s">
        <v>355</v>
      </c>
    </row>
    <row r="34101" ht="16.5" customHeight="1">
      <c r="O34101" s="5" t="s">
        <v>355</v>
      </c>
      <c r="P34101" s="5" t="s">
        <v>355</v>
      </c>
      <c r="Q34101" s="5" t="s">
        <v>355</v>
      </c>
    </row>
    <row r="34102" ht="16.5" customHeight="1">
      <c r="O34102" s="5" t="s">
        <v>355</v>
      </c>
      <c r="P34102" s="5" t="s">
        <v>355</v>
      </c>
      <c r="Q34102" s="5" t="s">
        <v>355</v>
      </c>
    </row>
    <row r="34103" ht="16.5" customHeight="1">
      <c r="O34103" s="5" t="s">
        <v>355</v>
      </c>
      <c r="P34103" s="5" t="s">
        <v>355</v>
      </c>
      <c r="Q34103" s="5" t="s">
        <v>355</v>
      </c>
    </row>
    <row r="34104" ht="16.5" customHeight="1">
      <c r="O34104" s="5" t="s">
        <v>355</v>
      </c>
      <c r="P34104" s="5" t="s">
        <v>355</v>
      </c>
      <c r="Q34104" s="5" t="s">
        <v>355</v>
      </c>
    </row>
    <row r="34105" ht="16.5" customHeight="1">
      <c r="O34105" s="5" t="s">
        <v>355</v>
      </c>
      <c r="P34105" s="5" t="s">
        <v>355</v>
      </c>
      <c r="Q34105" s="5" t="s">
        <v>355</v>
      </c>
    </row>
    <row r="34106" ht="16.5" customHeight="1">
      <c r="O34106" s="5" t="s">
        <v>355</v>
      </c>
      <c r="P34106" s="5" t="s">
        <v>355</v>
      </c>
      <c r="Q34106" s="5" t="s">
        <v>355</v>
      </c>
    </row>
    <row r="34107" ht="16.5" customHeight="1">
      <c r="O34107" s="5" t="s">
        <v>355</v>
      </c>
      <c r="P34107" s="5" t="s">
        <v>355</v>
      </c>
      <c r="Q34107" s="5" t="s">
        <v>355</v>
      </c>
    </row>
    <row r="34108" ht="16.5" customHeight="1">
      <c r="O34108" s="5" t="s">
        <v>355</v>
      </c>
      <c r="P34108" s="5" t="s">
        <v>355</v>
      </c>
      <c r="Q34108" s="5" t="s">
        <v>355</v>
      </c>
    </row>
    <row r="34109" ht="16.5" customHeight="1">
      <c r="O34109" s="5" t="s">
        <v>355</v>
      </c>
      <c r="P34109" s="5" t="s">
        <v>355</v>
      </c>
      <c r="Q34109" s="5" t="s">
        <v>355</v>
      </c>
    </row>
    <row r="34110" ht="16.5" customHeight="1">
      <c r="O34110" s="5" t="s">
        <v>355</v>
      </c>
      <c r="P34110" s="5" t="s">
        <v>355</v>
      </c>
      <c r="Q34110" s="5" t="s">
        <v>355</v>
      </c>
    </row>
    <row r="34111" ht="16.5" customHeight="1">
      <c r="O34111" s="5" t="s">
        <v>355</v>
      </c>
      <c r="P34111" s="5" t="s">
        <v>355</v>
      </c>
      <c r="Q34111" s="5" t="s">
        <v>355</v>
      </c>
    </row>
    <row r="34112" ht="16.5" customHeight="1">
      <c r="O34112" s="5" t="s">
        <v>355</v>
      </c>
      <c r="P34112" s="5" t="s">
        <v>355</v>
      </c>
      <c r="Q34112" s="5" t="s">
        <v>355</v>
      </c>
    </row>
    <row r="34113" ht="16.5" customHeight="1">
      <c r="O34113" s="5" t="s">
        <v>355</v>
      </c>
      <c r="P34113" s="5" t="s">
        <v>355</v>
      </c>
      <c r="Q34113" s="5" t="s">
        <v>355</v>
      </c>
    </row>
    <row r="34114" ht="16.5" customHeight="1">
      <c r="O34114" s="5" t="s">
        <v>355</v>
      </c>
      <c r="P34114" s="5" t="s">
        <v>355</v>
      </c>
      <c r="Q34114" s="5" t="s">
        <v>355</v>
      </c>
    </row>
    <row r="34115" ht="16.5" customHeight="1">
      <c r="O34115" s="5" t="s">
        <v>355</v>
      </c>
      <c r="P34115" s="5" t="s">
        <v>355</v>
      </c>
      <c r="Q34115" s="5" t="s">
        <v>355</v>
      </c>
    </row>
    <row r="34116" ht="16.5" customHeight="1">
      <c r="O34116" s="5" t="s">
        <v>355</v>
      </c>
      <c r="P34116" s="5" t="s">
        <v>355</v>
      </c>
      <c r="Q34116" s="5" t="s">
        <v>355</v>
      </c>
    </row>
    <row r="34117" ht="16.5" customHeight="1">
      <c r="O34117" s="5" t="s">
        <v>355</v>
      </c>
      <c r="P34117" s="5" t="s">
        <v>355</v>
      </c>
      <c r="Q34117" s="5" t="s">
        <v>355</v>
      </c>
    </row>
    <row r="34118" ht="16.5" customHeight="1">
      <c r="O34118" s="5" t="s">
        <v>355</v>
      </c>
      <c r="P34118" s="5" t="s">
        <v>355</v>
      </c>
      <c r="Q34118" s="5" t="s">
        <v>355</v>
      </c>
    </row>
    <row r="34119" ht="16.5" customHeight="1">
      <c r="O34119" s="5" t="s">
        <v>355</v>
      </c>
      <c r="P34119" s="5" t="s">
        <v>355</v>
      </c>
      <c r="Q34119" s="5" t="s">
        <v>355</v>
      </c>
    </row>
    <row r="34120" ht="16.5" customHeight="1">
      <c r="O34120" s="5" t="s">
        <v>355</v>
      </c>
      <c r="P34120" s="5" t="s">
        <v>355</v>
      </c>
      <c r="Q34120" s="5" t="s">
        <v>355</v>
      </c>
    </row>
    <row r="34121" ht="16.5" customHeight="1">
      <c r="O34121" s="5" t="s">
        <v>355</v>
      </c>
      <c r="P34121" s="5" t="s">
        <v>355</v>
      </c>
      <c r="Q34121" s="5" t="s">
        <v>355</v>
      </c>
    </row>
    <row r="34122" ht="16.5" customHeight="1">
      <c r="O34122" s="5" t="s">
        <v>355</v>
      </c>
      <c r="P34122" s="5" t="s">
        <v>355</v>
      </c>
      <c r="Q34122" s="5" t="s">
        <v>355</v>
      </c>
    </row>
    <row r="34123" ht="16.5" customHeight="1">
      <c r="O34123" s="5" t="s">
        <v>355</v>
      </c>
      <c r="P34123" s="5" t="s">
        <v>355</v>
      </c>
      <c r="Q34123" s="5" t="s">
        <v>355</v>
      </c>
    </row>
    <row r="34124" ht="16.5" customHeight="1">
      <c r="O34124" s="5" t="s">
        <v>355</v>
      </c>
      <c r="P34124" s="5" t="s">
        <v>355</v>
      </c>
      <c r="Q34124" s="5" t="s">
        <v>355</v>
      </c>
    </row>
    <row r="34125" ht="16.5" customHeight="1">
      <c r="O34125" s="5" t="s">
        <v>355</v>
      </c>
      <c r="P34125" s="5" t="s">
        <v>355</v>
      </c>
      <c r="Q34125" s="5" t="s">
        <v>355</v>
      </c>
    </row>
    <row r="34126" ht="16.5" customHeight="1">
      <c r="O34126" s="5" t="s">
        <v>355</v>
      </c>
      <c r="P34126" s="5" t="s">
        <v>355</v>
      </c>
      <c r="Q34126" s="5" t="s">
        <v>355</v>
      </c>
    </row>
    <row r="34127" ht="16.5" customHeight="1">
      <c r="O34127" s="5" t="s">
        <v>355</v>
      </c>
      <c r="P34127" s="5" t="s">
        <v>355</v>
      </c>
      <c r="Q34127" s="5" t="s">
        <v>355</v>
      </c>
    </row>
    <row r="34128" ht="16.5" customHeight="1">
      <c r="O34128" s="5" t="s">
        <v>355</v>
      </c>
      <c r="P34128" s="5" t="s">
        <v>355</v>
      </c>
      <c r="Q34128" s="5" t="s">
        <v>355</v>
      </c>
    </row>
    <row r="34129" ht="16.5" customHeight="1">
      <c r="O34129" s="5" t="s">
        <v>355</v>
      </c>
      <c r="P34129" s="5" t="s">
        <v>355</v>
      </c>
      <c r="Q34129" s="5" t="s">
        <v>355</v>
      </c>
    </row>
    <row r="34130" ht="16.5" customHeight="1">
      <c r="O34130" s="5" t="s">
        <v>355</v>
      </c>
      <c r="P34130" s="5" t="s">
        <v>355</v>
      </c>
      <c r="Q34130" s="5" t="s">
        <v>355</v>
      </c>
    </row>
    <row r="34131" ht="16.5" customHeight="1">
      <c r="O34131" s="5" t="s">
        <v>355</v>
      </c>
      <c r="P34131" s="5" t="s">
        <v>355</v>
      </c>
      <c r="Q34131" s="5" t="s">
        <v>355</v>
      </c>
    </row>
    <row r="34132" ht="16.5" customHeight="1">
      <c r="O34132" s="5" t="s">
        <v>355</v>
      </c>
      <c r="P34132" s="5" t="s">
        <v>355</v>
      </c>
      <c r="Q34132" s="5" t="s">
        <v>355</v>
      </c>
    </row>
    <row r="34133" ht="16.5" customHeight="1">
      <c r="O34133" s="5" t="s">
        <v>355</v>
      </c>
      <c r="P34133" s="5" t="s">
        <v>355</v>
      </c>
      <c r="Q34133" s="5" t="s">
        <v>355</v>
      </c>
    </row>
    <row r="34134" ht="16.5" customHeight="1">
      <c r="O34134" s="5" t="s">
        <v>355</v>
      </c>
      <c r="P34134" s="5" t="s">
        <v>355</v>
      </c>
      <c r="Q34134" s="5" t="s">
        <v>355</v>
      </c>
    </row>
    <row r="34135" ht="16.5" customHeight="1">
      <c r="O34135" s="5" t="s">
        <v>355</v>
      </c>
      <c r="P34135" s="5" t="s">
        <v>355</v>
      </c>
      <c r="Q34135" s="5" t="s">
        <v>355</v>
      </c>
    </row>
    <row r="34136" ht="16.5" customHeight="1">
      <c r="O34136" s="5" t="s">
        <v>355</v>
      </c>
      <c r="P34136" s="5" t="s">
        <v>355</v>
      </c>
      <c r="Q34136" s="5" t="s">
        <v>355</v>
      </c>
    </row>
    <row r="34137" ht="16.5" customHeight="1">
      <c r="O34137" s="5" t="s">
        <v>355</v>
      </c>
      <c r="P34137" s="5" t="s">
        <v>355</v>
      </c>
      <c r="Q34137" s="5" t="s">
        <v>355</v>
      </c>
    </row>
    <row r="34138" ht="16.5" customHeight="1">
      <c r="O34138" s="5" t="s">
        <v>355</v>
      </c>
      <c r="P34138" s="5" t="s">
        <v>355</v>
      </c>
      <c r="Q34138" s="5" t="s">
        <v>355</v>
      </c>
    </row>
    <row r="34139" ht="16.5" customHeight="1">
      <c r="O34139" s="5" t="s">
        <v>355</v>
      </c>
      <c r="P34139" s="5" t="s">
        <v>355</v>
      </c>
      <c r="Q34139" s="5" t="s">
        <v>355</v>
      </c>
    </row>
    <row r="34140" ht="16.5" customHeight="1">
      <c r="O34140" s="5" t="s">
        <v>355</v>
      </c>
      <c r="P34140" s="5" t="s">
        <v>355</v>
      </c>
      <c r="Q34140" s="5" t="s">
        <v>355</v>
      </c>
    </row>
    <row r="34141" ht="16.5" customHeight="1">
      <c r="O34141" s="5" t="s">
        <v>355</v>
      </c>
      <c r="P34141" s="5" t="s">
        <v>355</v>
      </c>
      <c r="Q34141" s="5" t="s">
        <v>355</v>
      </c>
    </row>
    <row r="34142" ht="16.5" customHeight="1">
      <c r="O34142" s="5" t="s">
        <v>355</v>
      </c>
      <c r="P34142" s="5" t="s">
        <v>355</v>
      </c>
      <c r="Q34142" s="5" t="s">
        <v>355</v>
      </c>
    </row>
    <row r="34143" ht="16.5" customHeight="1">
      <c r="O34143" s="5" t="s">
        <v>355</v>
      </c>
      <c r="P34143" s="5" t="s">
        <v>355</v>
      </c>
      <c r="Q34143" s="5" t="s">
        <v>355</v>
      </c>
    </row>
    <row r="34144" ht="16.5" customHeight="1">
      <c r="O34144" s="5" t="s">
        <v>355</v>
      </c>
      <c r="P34144" s="5" t="s">
        <v>355</v>
      </c>
      <c r="Q34144" s="5" t="s">
        <v>355</v>
      </c>
    </row>
    <row r="34145" ht="16.5" customHeight="1">
      <c r="O34145" s="5" t="s">
        <v>355</v>
      </c>
      <c r="P34145" s="5" t="s">
        <v>355</v>
      </c>
      <c r="Q34145" s="5" t="s">
        <v>355</v>
      </c>
    </row>
    <row r="34146" ht="16.5" customHeight="1">
      <c r="O34146" s="5" t="s">
        <v>355</v>
      </c>
      <c r="P34146" s="5" t="s">
        <v>355</v>
      </c>
      <c r="Q34146" s="5" t="s">
        <v>355</v>
      </c>
    </row>
    <row r="34147" ht="16.5" customHeight="1">
      <c r="O34147" s="5" t="s">
        <v>355</v>
      </c>
      <c r="P34147" s="5" t="s">
        <v>355</v>
      </c>
      <c r="Q34147" s="5" t="s">
        <v>355</v>
      </c>
    </row>
    <row r="34148" ht="16.5" customHeight="1">
      <c r="O34148" s="5" t="s">
        <v>355</v>
      </c>
      <c r="P34148" s="5" t="s">
        <v>355</v>
      </c>
      <c r="Q34148" s="5" t="s">
        <v>355</v>
      </c>
    </row>
    <row r="34149" ht="16.5" customHeight="1">
      <c r="O34149" s="5" t="s">
        <v>355</v>
      </c>
      <c r="P34149" s="5" t="s">
        <v>355</v>
      </c>
      <c r="Q34149" s="5" t="s">
        <v>355</v>
      </c>
    </row>
    <row r="34150" ht="16.5" customHeight="1">
      <c r="O34150" s="5" t="s">
        <v>355</v>
      </c>
      <c r="P34150" s="5" t="s">
        <v>355</v>
      </c>
      <c r="Q34150" s="5" t="s">
        <v>355</v>
      </c>
    </row>
    <row r="34151" ht="16.5" customHeight="1">
      <c r="O34151" s="5" t="s">
        <v>355</v>
      </c>
      <c r="P34151" s="5" t="s">
        <v>355</v>
      </c>
      <c r="Q34151" s="5" t="s">
        <v>355</v>
      </c>
    </row>
    <row r="34152" ht="16.5" customHeight="1">
      <c r="O34152" s="5" t="s">
        <v>355</v>
      </c>
      <c r="P34152" s="5" t="s">
        <v>355</v>
      </c>
      <c r="Q34152" s="5" t="s">
        <v>355</v>
      </c>
    </row>
    <row r="34153" ht="16.5" customHeight="1">
      <c r="O34153" s="5" t="s">
        <v>355</v>
      </c>
      <c r="P34153" s="5" t="s">
        <v>355</v>
      </c>
      <c r="Q34153" s="5" t="s">
        <v>355</v>
      </c>
    </row>
    <row r="34154" ht="16.5" customHeight="1">
      <c r="O34154" s="5" t="s">
        <v>355</v>
      </c>
      <c r="P34154" s="5" t="s">
        <v>355</v>
      </c>
      <c r="Q34154" s="5" t="s">
        <v>355</v>
      </c>
    </row>
    <row r="34155" ht="16.5" customHeight="1">
      <c r="O34155" s="5" t="s">
        <v>355</v>
      </c>
      <c r="P34155" s="5" t="s">
        <v>355</v>
      </c>
      <c r="Q34155" s="5" t="s">
        <v>355</v>
      </c>
    </row>
    <row r="34156" ht="16.5" customHeight="1">
      <c r="O34156" s="5" t="s">
        <v>355</v>
      </c>
      <c r="P34156" s="5" t="s">
        <v>355</v>
      </c>
      <c r="Q34156" s="5" t="s">
        <v>355</v>
      </c>
    </row>
    <row r="34157" ht="16.5" customHeight="1">
      <c r="O34157" s="5" t="s">
        <v>355</v>
      </c>
      <c r="P34157" s="5" t="s">
        <v>355</v>
      </c>
      <c r="Q34157" s="5" t="s">
        <v>355</v>
      </c>
    </row>
    <row r="34158" ht="16.5" customHeight="1">
      <c r="O34158" s="5" t="s">
        <v>355</v>
      </c>
      <c r="P34158" s="5" t="s">
        <v>355</v>
      </c>
      <c r="Q34158" s="5" t="s">
        <v>355</v>
      </c>
    </row>
    <row r="34159" ht="16.5" customHeight="1">
      <c r="O34159" s="5" t="s">
        <v>355</v>
      </c>
      <c r="P34159" s="5" t="s">
        <v>355</v>
      </c>
      <c r="Q34159" s="5" t="s">
        <v>355</v>
      </c>
    </row>
    <row r="34160" ht="16.5" customHeight="1">
      <c r="O34160" s="5" t="s">
        <v>355</v>
      </c>
      <c r="P34160" s="5" t="s">
        <v>355</v>
      </c>
      <c r="Q34160" s="5" t="s">
        <v>355</v>
      </c>
    </row>
    <row r="34161" ht="16.5" customHeight="1">
      <c r="O34161" s="5" t="s">
        <v>355</v>
      </c>
      <c r="P34161" s="5" t="s">
        <v>355</v>
      </c>
      <c r="Q34161" s="5" t="s">
        <v>355</v>
      </c>
    </row>
    <row r="34162" ht="16.5" customHeight="1">
      <c r="O34162" s="5" t="s">
        <v>355</v>
      </c>
      <c r="P34162" s="5" t="s">
        <v>355</v>
      </c>
      <c r="Q34162" s="5" t="s">
        <v>355</v>
      </c>
    </row>
    <row r="34163" ht="16.5" customHeight="1">
      <c r="O34163" s="5" t="s">
        <v>355</v>
      </c>
      <c r="P34163" s="5" t="s">
        <v>355</v>
      </c>
      <c r="Q34163" s="5" t="s">
        <v>355</v>
      </c>
    </row>
    <row r="34164" ht="16.5" customHeight="1">
      <c r="O34164" s="5" t="s">
        <v>355</v>
      </c>
      <c r="P34164" s="5" t="s">
        <v>355</v>
      </c>
      <c r="Q34164" s="5" t="s">
        <v>355</v>
      </c>
    </row>
    <row r="34165" ht="16.5" customHeight="1">
      <c r="O34165" s="5" t="s">
        <v>355</v>
      </c>
      <c r="P34165" s="5" t="s">
        <v>355</v>
      </c>
      <c r="Q34165" s="5" t="s">
        <v>355</v>
      </c>
    </row>
    <row r="34166" ht="16.5" customHeight="1">
      <c r="O34166" s="5" t="s">
        <v>355</v>
      </c>
      <c r="P34166" s="5" t="s">
        <v>355</v>
      </c>
      <c r="Q34166" s="5" t="s">
        <v>355</v>
      </c>
    </row>
    <row r="34167" ht="16.5" customHeight="1">
      <c r="O34167" s="5" t="s">
        <v>355</v>
      </c>
      <c r="P34167" s="5" t="s">
        <v>355</v>
      </c>
      <c r="Q34167" s="5" t="s">
        <v>355</v>
      </c>
    </row>
    <row r="34168" ht="16.5" customHeight="1">
      <c r="O34168" s="5" t="s">
        <v>355</v>
      </c>
      <c r="P34168" s="5" t="s">
        <v>355</v>
      </c>
      <c r="Q34168" s="5" t="s">
        <v>355</v>
      </c>
    </row>
    <row r="34169" ht="16.5" customHeight="1">
      <c r="O34169" s="5" t="s">
        <v>355</v>
      </c>
      <c r="P34169" s="5" t="s">
        <v>355</v>
      </c>
      <c r="Q34169" s="5" t="s">
        <v>355</v>
      </c>
    </row>
    <row r="34170" ht="16.5" customHeight="1">
      <c r="O34170" s="5" t="s">
        <v>355</v>
      </c>
      <c r="P34170" s="5" t="s">
        <v>355</v>
      </c>
      <c r="Q34170" s="5" t="s">
        <v>355</v>
      </c>
    </row>
    <row r="34171" ht="16.5" customHeight="1">
      <c r="O34171" s="5" t="s">
        <v>355</v>
      </c>
      <c r="P34171" s="5" t="s">
        <v>355</v>
      </c>
      <c r="Q34171" s="5" t="s">
        <v>355</v>
      </c>
    </row>
    <row r="34172" ht="16.5" customHeight="1">
      <c r="O34172" s="5" t="s">
        <v>355</v>
      </c>
      <c r="P34172" s="5" t="s">
        <v>355</v>
      </c>
      <c r="Q34172" s="5" t="s">
        <v>355</v>
      </c>
    </row>
    <row r="34173" ht="16.5" customHeight="1">
      <c r="O34173" s="5" t="s">
        <v>355</v>
      </c>
      <c r="P34173" s="5" t="s">
        <v>355</v>
      </c>
      <c r="Q34173" s="5" t="s">
        <v>355</v>
      </c>
    </row>
    <row r="34174" ht="16.5" customHeight="1">
      <c r="O34174" s="5" t="s">
        <v>355</v>
      </c>
      <c r="P34174" s="5" t="s">
        <v>355</v>
      </c>
      <c r="Q34174" s="5" t="s">
        <v>355</v>
      </c>
    </row>
    <row r="34175" ht="16.5" customHeight="1">
      <c r="O34175" s="5" t="s">
        <v>355</v>
      </c>
      <c r="P34175" s="5" t="s">
        <v>355</v>
      </c>
      <c r="Q34175" s="5" t="s">
        <v>355</v>
      </c>
    </row>
    <row r="34176" ht="16.5" customHeight="1">
      <c r="O34176" s="5" t="s">
        <v>355</v>
      </c>
      <c r="P34176" s="5" t="s">
        <v>355</v>
      </c>
      <c r="Q34176" s="5" t="s">
        <v>355</v>
      </c>
    </row>
    <row r="34177" ht="16.5" customHeight="1">
      <c r="O34177" s="5" t="s">
        <v>355</v>
      </c>
      <c r="P34177" s="5" t="s">
        <v>355</v>
      </c>
      <c r="Q34177" s="5" t="s">
        <v>355</v>
      </c>
    </row>
    <row r="34178" ht="16.5" customHeight="1">
      <c r="O34178" s="5" t="s">
        <v>355</v>
      </c>
      <c r="P34178" s="5" t="s">
        <v>355</v>
      </c>
      <c r="Q34178" s="5" t="s">
        <v>355</v>
      </c>
    </row>
    <row r="34179" ht="16.5" customHeight="1">
      <c r="O34179" s="5" t="s">
        <v>355</v>
      </c>
      <c r="P34179" s="5" t="s">
        <v>355</v>
      </c>
      <c r="Q34179" s="5" t="s">
        <v>355</v>
      </c>
    </row>
    <row r="34180" ht="16.5" customHeight="1">
      <c r="O34180" s="5" t="s">
        <v>355</v>
      </c>
      <c r="P34180" s="5" t="s">
        <v>355</v>
      </c>
      <c r="Q34180" s="5" t="s">
        <v>355</v>
      </c>
    </row>
    <row r="34181" ht="16.5" customHeight="1">
      <c r="O34181" s="5" t="s">
        <v>355</v>
      </c>
      <c r="P34181" s="5" t="s">
        <v>355</v>
      </c>
      <c r="Q34181" s="5" t="s">
        <v>355</v>
      </c>
    </row>
    <row r="34182" ht="16.5" customHeight="1">
      <c r="O34182" s="5" t="s">
        <v>355</v>
      </c>
      <c r="P34182" s="5" t="s">
        <v>355</v>
      </c>
      <c r="Q34182" s="5" t="s">
        <v>355</v>
      </c>
    </row>
    <row r="34183" ht="16.5" customHeight="1">
      <c r="O34183" s="5" t="s">
        <v>355</v>
      </c>
      <c r="P34183" s="5" t="s">
        <v>355</v>
      </c>
      <c r="Q34183" s="5" t="s">
        <v>355</v>
      </c>
    </row>
    <row r="34184" ht="16.5" customHeight="1">
      <c r="O34184" s="5" t="s">
        <v>355</v>
      </c>
      <c r="P34184" s="5" t="s">
        <v>355</v>
      </c>
      <c r="Q34184" s="5" t="s">
        <v>355</v>
      </c>
    </row>
    <row r="34185" ht="16.5" customHeight="1">
      <c r="O34185" s="5" t="s">
        <v>355</v>
      </c>
      <c r="P34185" s="5" t="s">
        <v>355</v>
      </c>
      <c r="Q34185" s="5" t="s">
        <v>355</v>
      </c>
    </row>
    <row r="34186" ht="16.5" customHeight="1">
      <c r="O34186" s="5" t="s">
        <v>355</v>
      </c>
      <c r="P34186" s="5" t="s">
        <v>355</v>
      </c>
      <c r="Q34186" s="5" t="s">
        <v>355</v>
      </c>
    </row>
    <row r="34187" ht="16.5" customHeight="1">
      <c r="O34187" s="5" t="s">
        <v>355</v>
      </c>
      <c r="P34187" s="5" t="s">
        <v>355</v>
      </c>
      <c r="Q34187" s="5" t="s">
        <v>355</v>
      </c>
    </row>
    <row r="34188" ht="16.5" customHeight="1">
      <c r="O34188" s="5" t="s">
        <v>355</v>
      </c>
      <c r="P34188" s="5" t="s">
        <v>355</v>
      </c>
      <c r="Q34188" s="5" t="s">
        <v>355</v>
      </c>
    </row>
    <row r="34189" ht="16.5" customHeight="1">
      <c r="O34189" s="5" t="s">
        <v>355</v>
      </c>
      <c r="P34189" s="5" t="s">
        <v>355</v>
      </c>
      <c r="Q34189" s="5" t="s">
        <v>355</v>
      </c>
    </row>
    <row r="34190" ht="16.5" customHeight="1">
      <c r="O34190" s="5" t="s">
        <v>355</v>
      </c>
      <c r="P34190" s="5" t="s">
        <v>355</v>
      </c>
      <c r="Q34190" s="5" t="s">
        <v>355</v>
      </c>
    </row>
    <row r="34191" ht="16.5" customHeight="1">
      <c r="O34191" s="5" t="s">
        <v>355</v>
      </c>
      <c r="P34191" s="5" t="s">
        <v>355</v>
      </c>
      <c r="Q34191" s="5" t="s">
        <v>355</v>
      </c>
    </row>
    <row r="34192" ht="16.5" customHeight="1">
      <c r="O34192" s="5" t="s">
        <v>355</v>
      </c>
      <c r="P34192" s="5" t="s">
        <v>355</v>
      </c>
      <c r="Q34192" s="5" t="s">
        <v>355</v>
      </c>
    </row>
    <row r="34193" ht="16.5" customHeight="1">
      <c r="O34193" s="5" t="s">
        <v>355</v>
      </c>
      <c r="P34193" s="5" t="s">
        <v>355</v>
      </c>
      <c r="Q34193" s="5" t="s">
        <v>355</v>
      </c>
    </row>
    <row r="34194" ht="16.5" customHeight="1">
      <c r="O34194" s="5" t="s">
        <v>355</v>
      </c>
      <c r="P34194" s="5" t="s">
        <v>355</v>
      </c>
      <c r="Q34194" s="5" t="s">
        <v>355</v>
      </c>
    </row>
    <row r="34195" ht="16.5" customHeight="1">
      <c r="O34195" s="5" t="s">
        <v>355</v>
      </c>
      <c r="P34195" s="5" t="s">
        <v>355</v>
      </c>
      <c r="Q34195" s="5" t="s">
        <v>355</v>
      </c>
    </row>
    <row r="34196" ht="16.5" customHeight="1">
      <c r="O34196" s="5" t="s">
        <v>355</v>
      </c>
      <c r="P34196" s="5" t="s">
        <v>355</v>
      </c>
      <c r="Q34196" s="5" t="s">
        <v>355</v>
      </c>
    </row>
    <row r="34197" ht="16.5" customHeight="1">
      <c r="O34197" s="5" t="s">
        <v>355</v>
      </c>
      <c r="P34197" s="5" t="s">
        <v>355</v>
      </c>
      <c r="Q34197" s="5" t="s">
        <v>355</v>
      </c>
    </row>
    <row r="34198" ht="16.5" customHeight="1">
      <c r="O34198" s="5" t="s">
        <v>355</v>
      </c>
      <c r="P34198" s="5" t="s">
        <v>355</v>
      </c>
      <c r="Q34198" s="5" t="s">
        <v>355</v>
      </c>
    </row>
    <row r="34199" ht="16.5" customHeight="1">
      <c r="O34199" s="5" t="s">
        <v>355</v>
      </c>
      <c r="P34199" s="5" t="s">
        <v>355</v>
      </c>
      <c r="Q34199" s="5" t="s">
        <v>355</v>
      </c>
    </row>
    <row r="34200" ht="16.5" customHeight="1">
      <c r="O34200" s="5" t="s">
        <v>355</v>
      </c>
      <c r="P34200" s="5" t="s">
        <v>355</v>
      </c>
      <c r="Q34200" s="5" t="s">
        <v>355</v>
      </c>
    </row>
    <row r="34201" ht="16.5" customHeight="1">
      <c r="O34201" s="5" t="s">
        <v>355</v>
      </c>
      <c r="P34201" s="5" t="s">
        <v>355</v>
      </c>
      <c r="Q34201" s="5" t="s">
        <v>355</v>
      </c>
    </row>
    <row r="34202" ht="16.5" customHeight="1">
      <c r="O34202" s="5" t="s">
        <v>355</v>
      </c>
      <c r="P34202" s="5" t="s">
        <v>355</v>
      </c>
      <c r="Q34202" s="5" t="s">
        <v>355</v>
      </c>
    </row>
    <row r="34203" ht="16.5" customHeight="1">
      <c r="O34203" s="5" t="s">
        <v>355</v>
      </c>
      <c r="P34203" s="5" t="s">
        <v>355</v>
      </c>
      <c r="Q34203" s="5" t="s">
        <v>355</v>
      </c>
    </row>
    <row r="34204" ht="16.5" customHeight="1">
      <c r="O34204" s="5" t="s">
        <v>355</v>
      </c>
      <c r="P34204" s="5" t="s">
        <v>355</v>
      </c>
      <c r="Q34204" s="5" t="s">
        <v>355</v>
      </c>
    </row>
    <row r="34205" ht="16.5" customHeight="1">
      <c r="O34205" s="5" t="s">
        <v>355</v>
      </c>
      <c r="P34205" s="5" t="s">
        <v>355</v>
      </c>
      <c r="Q34205" s="5" t="s">
        <v>355</v>
      </c>
    </row>
    <row r="34206" ht="16.5" customHeight="1">
      <c r="O34206" s="5" t="s">
        <v>355</v>
      </c>
      <c r="P34206" s="5" t="s">
        <v>355</v>
      </c>
      <c r="Q34206" s="5" t="s">
        <v>355</v>
      </c>
    </row>
    <row r="34207" ht="16.5" customHeight="1">
      <c r="O34207" s="5" t="s">
        <v>355</v>
      </c>
      <c r="P34207" s="5" t="s">
        <v>355</v>
      </c>
      <c r="Q34207" s="5" t="s">
        <v>355</v>
      </c>
    </row>
    <row r="34208" ht="16.5" customHeight="1">
      <c r="O34208" s="5" t="s">
        <v>355</v>
      </c>
      <c r="P34208" s="5" t="s">
        <v>355</v>
      </c>
      <c r="Q34208" s="5" t="s">
        <v>355</v>
      </c>
    </row>
    <row r="34209" ht="16.5" customHeight="1">
      <c r="O34209" s="5" t="s">
        <v>355</v>
      </c>
      <c r="P34209" s="5" t="s">
        <v>355</v>
      </c>
      <c r="Q34209" s="5" t="s">
        <v>355</v>
      </c>
    </row>
    <row r="34210" ht="16.5" customHeight="1">
      <c r="O34210" s="5" t="s">
        <v>355</v>
      </c>
      <c r="P34210" s="5" t="s">
        <v>355</v>
      </c>
      <c r="Q34210" s="5" t="s">
        <v>355</v>
      </c>
    </row>
    <row r="34211" ht="16.5" customHeight="1">
      <c r="O34211" s="5" t="s">
        <v>355</v>
      </c>
      <c r="P34211" s="5" t="s">
        <v>355</v>
      </c>
      <c r="Q34211" s="5" t="s">
        <v>355</v>
      </c>
    </row>
    <row r="34212" ht="16.5" customHeight="1">
      <c r="O34212" s="5" t="s">
        <v>355</v>
      </c>
      <c r="P34212" s="5" t="s">
        <v>355</v>
      </c>
      <c r="Q34212" s="5" t="s">
        <v>355</v>
      </c>
    </row>
    <row r="34213" ht="16.5" customHeight="1">
      <c r="O34213" s="5" t="s">
        <v>355</v>
      </c>
      <c r="P34213" s="5" t="s">
        <v>355</v>
      </c>
      <c r="Q34213" s="5" t="s">
        <v>355</v>
      </c>
    </row>
    <row r="34214" ht="16.5" customHeight="1">
      <c r="O34214" s="5" t="s">
        <v>355</v>
      </c>
      <c r="P34214" s="5" t="s">
        <v>355</v>
      </c>
      <c r="Q34214" s="5" t="s">
        <v>355</v>
      </c>
    </row>
    <row r="34215" ht="16.5" customHeight="1">
      <c r="O34215" s="5" t="s">
        <v>355</v>
      </c>
      <c r="P34215" s="5" t="s">
        <v>355</v>
      </c>
      <c r="Q34215" s="5" t="s">
        <v>355</v>
      </c>
    </row>
    <row r="34216" ht="16.5" customHeight="1">
      <c r="O34216" s="5" t="s">
        <v>355</v>
      </c>
      <c r="P34216" s="5" t="s">
        <v>355</v>
      </c>
      <c r="Q34216" s="5" t="s">
        <v>355</v>
      </c>
    </row>
    <row r="34217" ht="16.5" customHeight="1">
      <c r="O34217" s="5" t="s">
        <v>355</v>
      </c>
      <c r="P34217" s="5" t="s">
        <v>355</v>
      </c>
      <c r="Q34217" s="5" t="s">
        <v>355</v>
      </c>
    </row>
    <row r="34218" ht="16.5" customHeight="1">
      <c r="O34218" s="5" t="s">
        <v>355</v>
      </c>
      <c r="P34218" s="5" t="s">
        <v>355</v>
      </c>
      <c r="Q34218" s="5" t="s">
        <v>355</v>
      </c>
    </row>
    <row r="34219" ht="16.5" customHeight="1">
      <c r="O34219" s="5" t="s">
        <v>355</v>
      </c>
      <c r="P34219" s="5" t="s">
        <v>355</v>
      </c>
      <c r="Q34219" s="5" t="s">
        <v>355</v>
      </c>
    </row>
    <row r="34220" ht="16.5" customHeight="1">
      <c r="O34220" s="5" t="s">
        <v>355</v>
      </c>
      <c r="P34220" s="5" t="s">
        <v>355</v>
      </c>
      <c r="Q34220" s="5" t="s">
        <v>355</v>
      </c>
    </row>
    <row r="34221" ht="16.5" customHeight="1">
      <c r="O34221" s="5" t="s">
        <v>355</v>
      </c>
      <c r="P34221" s="5" t="s">
        <v>355</v>
      </c>
      <c r="Q34221" s="5" t="s">
        <v>355</v>
      </c>
    </row>
    <row r="34222" ht="16.5" customHeight="1">
      <c r="O34222" s="5" t="s">
        <v>355</v>
      </c>
      <c r="P34222" s="5" t="s">
        <v>355</v>
      </c>
      <c r="Q34222" s="5" t="s">
        <v>355</v>
      </c>
    </row>
    <row r="34223" ht="16.5" customHeight="1">
      <c r="O34223" s="5" t="s">
        <v>355</v>
      </c>
      <c r="P34223" s="5" t="s">
        <v>355</v>
      </c>
      <c r="Q34223" s="5" t="s">
        <v>355</v>
      </c>
    </row>
    <row r="34224" ht="16.5" customHeight="1">
      <c r="O34224" s="5" t="s">
        <v>355</v>
      </c>
      <c r="P34224" s="5" t="s">
        <v>355</v>
      </c>
      <c r="Q34224" s="5" t="s">
        <v>355</v>
      </c>
    </row>
    <row r="34225" ht="16.5" customHeight="1">
      <c r="O34225" s="5" t="s">
        <v>355</v>
      </c>
      <c r="P34225" s="5" t="s">
        <v>355</v>
      </c>
      <c r="Q34225" s="5" t="s">
        <v>355</v>
      </c>
    </row>
    <row r="34226" ht="16.5" customHeight="1">
      <c r="O34226" s="5" t="s">
        <v>355</v>
      </c>
      <c r="P34226" s="5" t="s">
        <v>355</v>
      </c>
      <c r="Q34226" s="5" t="s">
        <v>355</v>
      </c>
    </row>
    <row r="34227" ht="16.5" customHeight="1">
      <c r="O34227" s="5" t="s">
        <v>355</v>
      </c>
      <c r="P34227" s="5" t="s">
        <v>355</v>
      </c>
      <c r="Q34227" s="5" t="s">
        <v>355</v>
      </c>
    </row>
    <row r="34228" ht="16.5" customHeight="1">
      <c r="O34228" s="5" t="s">
        <v>355</v>
      </c>
      <c r="P34228" s="5" t="s">
        <v>355</v>
      </c>
      <c r="Q34228" s="5" t="s">
        <v>355</v>
      </c>
    </row>
    <row r="34229" ht="16.5" customHeight="1">
      <c r="O34229" s="5" t="s">
        <v>355</v>
      </c>
      <c r="P34229" s="5" t="s">
        <v>355</v>
      </c>
      <c r="Q34229" s="5" t="s">
        <v>355</v>
      </c>
    </row>
    <row r="34230" ht="16.5" customHeight="1">
      <c r="O34230" s="5" t="s">
        <v>355</v>
      </c>
      <c r="P34230" s="5" t="s">
        <v>355</v>
      </c>
      <c r="Q34230" s="5" t="s">
        <v>355</v>
      </c>
    </row>
    <row r="34231" ht="16.5" customHeight="1">
      <c r="O34231" s="5" t="s">
        <v>355</v>
      </c>
      <c r="P34231" s="5" t="s">
        <v>355</v>
      </c>
      <c r="Q34231" s="5" t="s">
        <v>355</v>
      </c>
    </row>
    <row r="34232" ht="16.5" customHeight="1">
      <c r="O34232" s="5" t="s">
        <v>355</v>
      </c>
      <c r="P34232" s="5" t="s">
        <v>355</v>
      </c>
      <c r="Q34232" s="5" t="s">
        <v>355</v>
      </c>
    </row>
    <row r="34233" ht="16.5" customHeight="1">
      <c r="O34233" s="5" t="s">
        <v>355</v>
      </c>
      <c r="P34233" s="5" t="s">
        <v>355</v>
      </c>
      <c r="Q34233" s="5" t="s">
        <v>355</v>
      </c>
    </row>
    <row r="34234" ht="16.5" customHeight="1">
      <c r="O34234" s="5" t="s">
        <v>355</v>
      </c>
      <c r="P34234" s="5" t="s">
        <v>355</v>
      </c>
      <c r="Q34234" s="5" t="s">
        <v>355</v>
      </c>
    </row>
    <row r="34235" ht="16.5" customHeight="1">
      <c r="O34235" s="5" t="s">
        <v>355</v>
      </c>
      <c r="P34235" s="5" t="s">
        <v>355</v>
      </c>
      <c r="Q34235" s="5" t="s">
        <v>355</v>
      </c>
    </row>
    <row r="34236" ht="16.5" customHeight="1">
      <c r="O34236" s="5" t="s">
        <v>355</v>
      </c>
      <c r="P34236" s="5" t="s">
        <v>355</v>
      </c>
      <c r="Q34236" s="5" t="s">
        <v>355</v>
      </c>
    </row>
    <row r="34237" ht="16.5" customHeight="1">
      <c r="O34237" s="5" t="s">
        <v>355</v>
      </c>
      <c r="P34237" s="5" t="s">
        <v>355</v>
      </c>
      <c r="Q34237" s="5" t="s">
        <v>355</v>
      </c>
    </row>
    <row r="34238" ht="16.5" customHeight="1">
      <c r="O34238" s="5" t="s">
        <v>355</v>
      </c>
      <c r="P34238" s="5" t="s">
        <v>355</v>
      </c>
      <c r="Q34238" s="5" t="s">
        <v>355</v>
      </c>
    </row>
    <row r="34239" ht="16.5" customHeight="1">
      <c r="O34239" s="5" t="s">
        <v>355</v>
      </c>
      <c r="P34239" s="5" t="s">
        <v>355</v>
      </c>
      <c r="Q34239" s="5" t="s">
        <v>355</v>
      </c>
    </row>
    <row r="34240" ht="16.5" customHeight="1">
      <c r="O34240" s="5" t="s">
        <v>355</v>
      </c>
      <c r="P34240" s="5" t="s">
        <v>355</v>
      </c>
      <c r="Q34240" s="5" t="s">
        <v>355</v>
      </c>
    </row>
    <row r="34241" ht="16.5" customHeight="1">
      <c r="O34241" s="5" t="s">
        <v>355</v>
      </c>
      <c r="P34241" s="5" t="s">
        <v>355</v>
      </c>
      <c r="Q34241" s="5" t="s">
        <v>355</v>
      </c>
    </row>
    <row r="34242" ht="16.5" customHeight="1">
      <c r="O34242" s="5" t="s">
        <v>355</v>
      </c>
      <c r="P34242" s="5" t="s">
        <v>355</v>
      </c>
      <c r="Q34242" s="5" t="s">
        <v>355</v>
      </c>
    </row>
    <row r="34243" ht="16.5" customHeight="1">
      <c r="O34243" s="5" t="s">
        <v>355</v>
      </c>
      <c r="P34243" s="5" t="s">
        <v>355</v>
      </c>
      <c r="Q34243" s="5" t="s">
        <v>355</v>
      </c>
    </row>
    <row r="34244" ht="16.5" customHeight="1">
      <c r="O34244" s="5" t="s">
        <v>355</v>
      </c>
      <c r="P34244" s="5" t="s">
        <v>355</v>
      </c>
      <c r="Q34244" s="5" t="s">
        <v>355</v>
      </c>
    </row>
    <row r="34245" ht="16.5" customHeight="1">
      <c r="O34245" s="5" t="s">
        <v>355</v>
      </c>
      <c r="P34245" s="5" t="s">
        <v>355</v>
      </c>
      <c r="Q34245" s="5" t="s">
        <v>355</v>
      </c>
    </row>
    <row r="34246" ht="16.5" customHeight="1">
      <c r="O34246" s="5" t="s">
        <v>355</v>
      </c>
      <c r="P34246" s="5" t="s">
        <v>355</v>
      </c>
      <c r="Q34246" s="5" t="s">
        <v>355</v>
      </c>
    </row>
    <row r="34247" ht="16.5" customHeight="1">
      <c r="O34247" s="5" t="s">
        <v>355</v>
      </c>
      <c r="P34247" s="5" t="s">
        <v>355</v>
      </c>
      <c r="Q34247" s="5" t="s">
        <v>355</v>
      </c>
    </row>
    <row r="34248" ht="16.5" customHeight="1">
      <c r="O34248" s="5" t="s">
        <v>355</v>
      </c>
      <c r="P34248" s="5" t="s">
        <v>355</v>
      </c>
      <c r="Q34248" s="5" t="s">
        <v>355</v>
      </c>
    </row>
    <row r="34249" ht="16.5" customHeight="1">
      <c r="O34249" s="5" t="s">
        <v>355</v>
      </c>
      <c r="P34249" s="5" t="s">
        <v>355</v>
      </c>
      <c r="Q34249" s="5" t="s">
        <v>355</v>
      </c>
    </row>
    <row r="34250" ht="16.5" customHeight="1">
      <c r="O34250" s="5" t="s">
        <v>355</v>
      </c>
      <c r="P34250" s="5" t="s">
        <v>355</v>
      </c>
      <c r="Q34250" s="5" t="s">
        <v>355</v>
      </c>
    </row>
    <row r="34251" ht="16.5" customHeight="1">
      <c r="O34251" s="5" t="s">
        <v>355</v>
      </c>
      <c r="P34251" s="5" t="s">
        <v>355</v>
      </c>
      <c r="Q34251" s="5" t="s">
        <v>355</v>
      </c>
    </row>
    <row r="34252" ht="16.5" customHeight="1">
      <c r="O34252" s="5" t="s">
        <v>355</v>
      </c>
      <c r="P34252" s="5" t="s">
        <v>355</v>
      </c>
      <c r="Q34252" s="5" t="s">
        <v>355</v>
      </c>
    </row>
    <row r="34253" ht="16.5" customHeight="1">
      <c r="O34253" s="5" t="s">
        <v>355</v>
      </c>
      <c r="P34253" s="5" t="s">
        <v>355</v>
      </c>
      <c r="Q34253" s="5" t="s">
        <v>355</v>
      </c>
    </row>
    <row r="34254" ht="16.5" customHeight="1">
      <c r="O34254" s="5" t="s">
        <v>355</v>
      </c>
      <c r="P34254" s="5" t="s">
        <v>355</v>
      </c>
      <c r="Q34254" s="5" t="s">
        <v>355</v>
      </c>
    </row>
    <row r="34255" ht="16.5" customHeight="1">
      <c r="O34255" s="5" t="s">
        <v>355</v>
      </c>
      <c r="P34255" s="5" t="s">
        <v>355</v>
      </c>
      <c r="Q34255" s="5" t="s">
        <v>355</v>
      </c>
    </row>
    <row r="34256" ht="16.5" customHeight="1">
      <c r="O34256" s="5" t="s">
        <v>355</v>
      </c>
      <c r="P34256" s="5" t="s">
        <v>355</v>
      </c>
      <c r="Q34256" s="5" t="s">
        <v>355</v>
      </c>
    </row>
    <row r="34257" ht="16.5" customHeight="1">
      <c r="O34257" s="5" t="s">
        <v>355</v>
      </c>
      <c r="P34257" s="5" t="s">
        <v>355</v>
      </c>
      <c r="Q34257" s="5" t="s">
        <v>355</v>
      </c>
    </row>
    <row r="34258" ht="16.5" customHeight="1">
      <c r="O34258" s="5" t="s">
        <v>355</v>
      </c>
      <c r="P34258" s="5" t="s">
        <v>355</v>
      </c>
      <c r="Q34258" s="5" t="s">
        <v>355</v>
      </c>
    </row>
    <row r="34259" ht="16.5" customHeight="1">
      <c r="O34259" s="5" t="s">
        <v>355</v>
      </c>
      <c r="P34259" s="5" t="s">
        <v>355</v>
      </c>
      <c r="Q34259" s="5" t="s">
        <v>355</v>
      </c>
    </row>
    <row r="34260" ht="16.5" customHeight="1">
      <c r="O34260" s="5" t="s">
        <v>355</v>
      </c>
      <c r="P34260" s="5" t="s">
        <v>355</v>
      </c>
      <c r="Q34260" s="5" t="s">
        <v>355</v>
      </c>
    </row>
    <row r="34261" ht="16.5" customHeight="1">
      <c r="O34261" s="5" t="s">
        <v>355</v>
      </c>
      <c r="P34261" s="5" t="s">
        <v>355</v>
      </c>
      <c r="Q34261" s="5" t="s">
        <v>355</v>
      </c>
    </row>
    <row r="34262" ht="16.5" customHeight="1">
      <c r="O34262" s="5" t="s">
        <v>355</v>
      </c>
      <c r="P34262" s="5" t="s">
        <v>355</v>
      </c>
      <c r="Q34262" s="5" t="s">
        <v>355</v>
      </c>
    </row>
    <row r="34263" ht="16.5" customHeight="1">
      <c r="O34263" s="5" t="s">
        <v>355</v>
      </c>
      <c r="P34263" s="5" t="s">
        <v>355</v>
      </c>
      <c r="Q34263" s="5" t="s">
        <v>355</v>
      </c>
    </row>
    <row r="34264" ht="16.5" customHeight="1">
      <c r="O34264" s="5" t="s">
        <v>355</v>
      </c>
      <c r="P34264" s="5" t="s">
        <v>355</v>
      </c>
      <c r="Q34264" s="5" t="s">
        <v>355</v>
      </c>
    </row>
    <row r="34265" ht="16.5" customHeight="1">
      <c r="O34265" s="5" t="s">
        <v>355</v>
      </c>
      <c r="P34265" s="5" t="s">
        <v>355</v>
      </c>
      <c r="Q34265" s="5" t="s">
        <v>355</v>
      </c>
    </row>
    <row r="34266" ht="16.5" customHeight="1">
      <c r="O34266" s="5" t="s">
        <v>355</v>
      </c>
      <c r="P34266" s="5" t="s">
        <v>355</v>
      </c>
      <c r="Q34266" s="5" t="s">
        <v>355</v>
      </c>
    </row>
    <row r="34267" ht="16.5" customHeight="1">
      <c r="O34267" s="5" t="s">
        <v>355</v>
      </c>
      <c r="P34267" s="5" t="s">
        <v>355</v>
      </c>
      <c r="Q34267" s="5" t="s">
        <v>355</v>
      </c>
    </row>
    <row r="34268" ht="16.5" customHeight="1">
      <c r="O34268" s="5" t="s">
        <v>355</v>
      </c>
      <c r="P34268" s="5" t="s">
        <v>355</v>
      </c>
      <c r="Q34268" s="5" t="s">
        <v>355</v>
      </c>
    </row>
    <row r="34269" ht="16.5" customHeight="1">
      <c r="O34269" s="5" t="s">
        <v>355</v>
      </c>
      <c r="P34269" s="5" t="s">
        <v>355</v>
      </c>
      <c r="Q34269" s="5" t="s">
        <v>355</v>
      </c>
    </row>
    <row r="34270" ht="16.5" customHeight="1">
      <c r="O34270" s="5" t="s">
        <v>355</v>
      </c>
      <c r="P34270" s="5" t="s">
        <v>355</v>
      </c>
      <c r="Q34270" s="5" t="s">
        <v>355</v>
      </c>
    </row>
    <row r="34271" ht="16.5" customHeight="1">
      <c r="O34271" s="5" t="s">
        <v>355</v>
      </c>
      <c r="P34271" s="5" t="s">
        <v>355</v>
      </c>
      <c r="Q34271" s="5" t="s">
        <v>355</v>
      </c>
    </row>
    <row r="34272" ht="16.5" customHeight="1">
      <c r="O34272" s="5" t="s">
        <v>355</v>
      </c>
      <c r="P34272" s="5" t="s">
        <v>355</v>
      </c>
      <c r="Q34272" s="5" t="s">
        <v>355</v>
      </c>
    </row>
    <row r="34273" ht="16.5" customHeight="1">
      <c r="O34273" s="5" t="s">
        <v>355</v>
      </c>
      <c r="P34273" s="5" t="s">
        <v>355</v>
      </c>
      <c r="Q34273" s="5" t="s">
        <v>355</v>
      </c>
    </row>
    <row r="34274" ht="16.5" customHeight="1">
      <c r="O34274" s="5" t="s">
        <v>355</v>
      </c>
      <c r="P34274" s="5" t="s">
        <v>355</v>
      </c>
      <c r="Q34274" s="5" t="s">
        <v>355</v>
      </c>
    </row>
    <row r="34275" ht="16.5" customHeight="1">
      <c r="O34275" s="5" t="s">
        <v>355</v>
      </c>
      <c r="P34275" s="5" t="s">
        <v>355</v>
      </c>
      <c r="Q34275" s="5" t="s">
        <v>355</v>
      </c>
    </row>
    <row r="34276" ht="16.5" customHeight="1">
      <c r="O34276" s="5" t="s">
        <v>355</v>
      </c>
      <c r="P34276" s="5" t="s">
        <v>355</v>
      </c>
      <c r="Q34276" s="5" t="s">
        <v>355</v>
      </c>
    </row>
    <row r="34277" ht="16.5" customHeight="1">
      <c r="O34277" s="5" t="s">
        <v>355</v>
      </c>
      <c r="P34277" s="5" t="s">
        <v>355</v>
      </c>
      <c r="Q34277" s="5" t="s">
        <v>355</v>
      </c>
    </row>
    <row r="34278" ht="16.5" customHeight="1">
      <c r="O34278" s="5" t="s">
        <v>355</v>
      </c>
      <c r="P34278" s="5" t="s">
        <v>355</v>
      </c>
      <c r="Q34278" s="5" t="s">
        <v>355</v>
      </c>
    </row>
    <row r="34279" ht="16.5" customHeight="1">
      <c r="O34279" s="5" t="s">
        <v>355</v>
      </c>
      <c r="P34279" s="5" t="s">
        <v>355</v>
      </c>
      <c r="Q34279" s="5" t="s">
        <v>355</v>
      </c>
    </row>
    <row r="34280" ht="16.5" customHeight="1">
      <c r="O34280" s="5" t="s">
        <v>355</v>
      </c>
      <c r="P34280" s="5" t="s">
        <v>355</v>
      </c>
      <c r="Q34280" s="5" t="s">
        <v>355</v>
      </c>
    </row>
    <row r="34281" ht="16.5" customHeight="1">
      <c r="O34281" s="5" t="s">
        <v>355</v>
      </c>
      <c r="P34281" s="5" t="s">
        <v>355</v>
      </c>
      <c r="Q34281" s="5" t="s">
        <v>355</v>
      </c>
    </row>
    <row r="34282" ht="16.5" customHeight="1">
      <c r="O34282" s="5" t="s">
        <v>355</v>
      </c>
      <c r="P34282" s="5" t="s">
        <v>355</v>
      </c>
      <c r="Q34282" s="5" t="s">
        <v>355</v>
      </c>
    </row>
    <row r="34283" ht="16.5" customHeight="1">
      <c r="O34283" s="5" t="s">
        <v>355</v>
      </c>
      <c r="P34283" s="5" t="s">
        <v>355</v>
      </c>
      <c r="Q34283" s="5" t="s">
        <v>355</v>
      </c>
    </row>
    <row r="34284" ht="16.5" customHeight="1">
      <c r="O34284" s="5" t="s">
        <v>355</v>
      </c>
      <c r="P34284" s="5" t="s">
        <v>355</v>
      </c>
      <c r="Q34284" s="5" t="s">
        <v>355</v>
      </c>
    </row>
    <row r="34285" ht="16.5" customHeight="1">
      <c r="O34285" s="5" t="s">
        <v>355</v>
      </c>
      <c r="P34285" s="5" t="s">
        <v>355</v>
      </c>
      <c r="Q34285" s="5" t="s">
        <v>355</v>
      </c>
    </row>
    <row r="34286" ht="16.5" customHeight="1">
      <c r="O34286" s="5" t="s">
        <v>355</v>
      </c>
      <c r="P34286" s="5" t="s">
        <v>355</v>
      </c>
      <c r="Q34286" s="5" t="s">
        <v>355</v>
      </c>
    </row>
    <row r="34287" ht="16.5" customHeight="1">
      <c r="O34287" s="5" t="s">
        <v>355</v>
      </c>
      <c r="P34287" s="5" t="s">
        <v>355</v>
      </c>
      <c r="Q34287" s="5" t="s">
        <v>355</v>
      </c>
    </row>
    <row r="34288" ht="16.5" customHeight="1">
      <c r="O34288" s="5" t="s">
        <v>355</v>
      </c>
      <c r="P34288" s="5" t="s">
        <v>355</v>
      </c>
      <c r="Q34288" s="5" t="s">
        <v>355</v>
      </c>
    </row>
    <row r="34289" ht="16.5" customHeight="1">
      <c r="O34289" s="5" t="s">
        <v>355</v>
      </c>
      <c r="P34289" s="5" t="s">
        <v>355</v>
      </c>
      <c r="Q34289" s="5" t="s">
        <v>355</v>
      </c>
    </row>
    <row r="34290" ht="16.5" customHeight="1">
      <c r="O34290" s="5" t="s">
        <v>355</v>
      </c>
      <c r="P34290" s="5" t="s">
        <v>355</v>
      </c>
      <c r="Q34290" s="5" t="s">
        <v>355</v>
      </c>
    </row>
    <row r="34291" ht="16.5" customHeight="1">
      <c r="O34291" s="5" t="s">
        <v>355</v>
      </c>
      <c r="P34291" s="5" t="s">
        <v>355</v>
      </c>
      <c r="Q34291" s="5" t="s">
        <v>355</v>
      </c>
    </row>
    <row r="34292" ht="16.5" customHeight="1">
      <c r="O34292" s="5" t="s">
        <v>355</v>
      </c>
      <c r="P34292" s="5" t="s">
        <v>355</v>
      </c>
      <c r="Q34292" s="5" t="s">
        <v>355</v>
      </c>
    </row>
    <row r="34293" ht="16.5" customHeight="1">
      <c r="O34293" s="5" t="s">
        <v>355</v>
      </c>
      <c r="P34293" s="5" t="s">
        <v>355</v>
      </c>
      <c r="Q34293" s="5" t="s">
        <v>355</v>
      </c>
    </row>
    <row r="34294" ht="16.5" customHeight="1">
      <c r="O34294" s="5" t="s">
        <v>355</v>
      </c>
      <c r="P34294" s="5" t="s">
        <v>355</v>
      </c>
      <c r="Q34294" s="5" t="s">
        <v>355</v>
      </c>
    </row>
    <row r="34295" ht="16.5" customHeight="1">
      <c r="O34295" s="5" t="s">
        <v>355</v>
      </c>
      <c r="P34295" s="5" t="s">
        <v>355</v>
      </c>
      <c r="Q34295" s="5" t="s">
        <v>355</v>
      </c>
    </row>
    <row r="34296" ht="16.5" customHeight="1">
      <c r="O34296" s="5" t="s">
        <v>355</v>
      </c>
      <c r="P34296" s="5" t="s">
        <v>355</v>
      </c>
      <c r="Q34296" s="5" t="s">
        <v>355</v>
      </c>
    </row>
    <row r="34297" ht="16.5" customHeight="1">
      <c r="O34297" s="5" t="s">
        <v>355</v>
      </c>
      <c r="P34297" s="5" t="s">
        <v>355</v>
      </c>
      <c r="Q34297" s="5" t="s">
        <v>355</v>
      </c>
    </row>
    <row r="34298" ht="16.5" customHeight="1">
      <c r="O34298" s="5" t="s">
        <v>355</v>
      </c>
      <c r="P34298" s="5" t="s">
        <v>355</v>
      </c>
      <c r="Q34298" s="5" t="s">
        <v>355</v>
      </c>
    </row>
    <row r="34299" ht="16.5" customHeight="1">
      <c r="O34299" s="5" t="s">
        <v>355</v>
      </c>
      <c r="P34299" s="5" t="s">
        <v>355</v>
      </c>
      <c r="Q34299" s="5" t="s">
        <v>355</v>
      </c>
    </row>
    <row r="34300" ht="16.5" customHeight="1">
      <c r="O34300" s="5" t="s">
        <v>355</v>
      </c>
      <c r="P34300" s="5" t="s">
        <v>355</v>
      </c>
      <c r="Q34300" s="5" t="s">
        <v>355</v>
      </c>
    </row>
    <row r="34301" ht="16.5" customHeight="1">
      <c r="O34301" s="5" t="s">
        <v>355</v>
      </c>
      <c r="P34301" s="5" t="s">
        <v>355</v>
      </c>
      <c r="Q34301" s="5" t="s">
        <v>355</v>
      </c>
    </row>
    <row r="34302" ht="16.5" customHeight="1">
      <c r="O34302" s="5" t="s">
        <v>355</v>
      </c>
      <c r="P34302" s="5" t="s">
        <v>355</v>
      </c>
      <c r="Q34302" s="5" t="s">
        <v>355</v>
      </c>
    </row>
    <row r="34303" ht="16.5" customHeight="1">
      <c r="O34303" s="5" t="s">
        <v>355</v>
      </c>
      <c r="P34303" s="5" t="s">
        <v>355</v>
      </c>
      <c r="Q34303" s="5" t="s">
        <v>355</v>
      </c>
    </row>
    <row r="34304" ht="16.5" customHeight="1">
      <c r="O34304" s="5" t="s">
        <v>355</v>
      </c>
      <c r="P34304" s="5" t="s">
        <v>355</v>
      </c>
      <c r="Q34304" s="5" t="s">
        <v>355</v>
      </c>
    </row>
    <row r="34305" ht="16.5" customHeight="1">
      <c r="O34305" s="5" t="s">
        <v>355</v>
      </c>
      <c r="P34305" s="5" t="s">
        <v>355</v>
      </c>
      <c r="Q34305" s="5" t="s">
        <v>355</v>
      </c>
    </row>
    <row r="34306" ht="16.5" customHeight="1">
      <c r="O34306" s="5" t="s">
        <v>355</v>
      </c>
      <c r="P34306" s="5" t="s">
        <v>355</v>
      </c>
      <c r="Q34306" s="5" t="s">
        <v>355</v>
      </c>
    </row>
    <row r="34307" ht="16.5" customHeight="1">
      <c r="O34307" s="5" t="s">
        <v>355</v>
      </c>
      <c r="P34307" s="5" t="s">
        <v>355</v>
      </c>
      <c r="Q34307" s="5" t="s">
        <v>355</v>
      </c>
    </row>
    <row r="34308" ht="16.5" customHeight="1">
      <c r="O34308" s="5" t="s">
        <v>355</v>
      </c>
      <c r="P34308" s="5" t="s">
        <v>355</v>
      </c>
      <c r="Q34308" s="5" t="s">
        <v>355</v>
      </c>
    </row>
    <row r="34309" ht="16.5" customHeight="1">
      <c r="O34309" s="5" t="s">
        <v>355</v>
      </c>
      <c r="P34309" s="5" t="s">
        <v>355</v>
      </c>
      <c r="Q34309" s="5" t="s">
        <v>355</v>
      </c>
    </row>
    <row r="34310" ht="16.5" customHeight="1">
      <c r="O34310" s="5" t="s">
        <v>355</v>
      </c>
      <c r="P34310" s="5" t="s">
        <v>355</v>
      </c>
      <c r="Q34310" s="5" t="s">
        <v>355</v>
      </c>
    </row>
    <row r="34311" ht="16.5" customHeight="1">
      <c r="O34311" s="5" t="s">
        <v>355</v>
      </c>
      <c r="P34311" s="5" t="s">
        <v>355</v>
      </c>
      <c r="Q34311" s="5" t="s">
        <v>355</v>
      </c>
    </row>
    <row r="34312" ht="16.5" customHeight="1">
      <c r="O34312" s="5" t="s">
        <v>355</v>
      </c>
      <c r="P34312" s="5" t="s">
        <v>355</v>
      </c>
      <c r="Q34312" s="5" t="s">
        <v>355</v>
      </c>
    </row>
    <row r="34313" ht="16.5" customHeight="1">
      <c r="O34313" s="5" t="s">
        <v>355</v>
      </c>
      <c r="P34313" s="5" t="s">
        <v>355</v>
      </c>
      <c r="Q34313" s="5" t="s">
        <v>355</v>
      </c>
    </row>
    <row r="34314" ht="16.5" customHeight="1">
      <c r="O34314" s="5" t="s">
        <v>355</v>
      </c>
      <c r="P34314" s="5" t="s">
        <v>355</v>
      </c>
      <c r="Q34314" s="5" t="s">
        <v>355</v>
      </c>
    </row>
    <row r="34315" ht="16.5" customHeight="1">
      <c r="O34315" s="5" t="s">
        <v>355</v>
      </c>
      <c r="P34315" s="5" t="s">
        <v>355</v>
      </c>
      <c r="Q34315" s="5" t="s">
        <v>355</v>
      </c>
    </row>
    <row r="34316" ht="16.5" customHeight="1">
      <c r="O34316" s="5" t="s">
        <v>355</v>
      </c>
      <c r="P34316" s="5" t="s">
        <v>355</v>
      </c>
      <c r="Q34316" s="5" t="s">
        <v>355</v>
      </c>
    </row>
    <row r="34317" ht="16.5" customHeight="1">
      <c r="O34317" s="5" t="s">
        <v>355</v>
      </c>
      <c r="P34317" s="5" t="s">
        <v>355</v>
      </c>
      <c r="Q34317" s="5" t="s">
        <v>355</v>
      </c>
    </row>
    <row r="34318" ht="16.5" customHeight="1">
      <c r="O34318" s="5" t="s">
        <v>355</v>
      </c>
      <c r="P34318" s="5" t="s">
        <v>355</v>
      </c>
      <c r="Q34318" s="5" t="s">
        <v>355</v>
      </c>
    </row>
    <row r="34319" ht="16.5" customHeight="1">
      <c r="O34319" s="5" t="s">
        <v>355</v>
      </c>
      <c r="P34319" s="5" t="s">
        <v>355</v>
      </c>
      <c r="Q34319" s="5" t="s">
        <v>355</v>
      </c>
    </row>
    <row r="34320" ht="16.5" customHeight="1">
      <c r="O34320" s="5" t="s">
        <v>355</v>
      </c>
      <c r="P34320" s="5" t="s">
        <v>355</v>
      </c>
      <c r="Q34320" s="5" t="s">
        <v>355</v>
      </c>
    </row>
    <row r="34321" ht="16.5" customHeight="1">
      <c r="O34321" s="5" t="s">
        <v>355</v>
      </c>
      <c r="P34321" s="5" t="s">
        <v>355</v>
      </c>
      <c r="Q34321" s="5" t="s">
        <v>355</v>
      </c>
    </row>
    <row r="34322" ht="16.5" customHeight="1">
      <c r="O34322" s="5" t="s">
        <v>355</v>
      </c>
      <c r="P34322" s="5" t="s">
        <v>355</v>
      </c>
      <c r="Q34322" s="5" t="s">
        <v>355</v>
      </c>
    </row>
    <row r="34323" ht="16.5" customHeight="1">
      <c r="O34323" s="5" t="s">
        <v>355</v>
      </c>
      <c r="P34323" s="5" t="s">
        <v>355</v>
      </c>
      <c r="Q34323" s="5" t="s">
        <v>355</v>
      </c>
    </row>
    <row r="34324" ht="16.5" customHeight="1">
      <c r="O34324" s="5" t="s">
        <v>355</v>
      </c>
      <c r="P34324" s="5" t="s">
        <v>355</v>
      </c>
      <c r="Q34324" s="5" t="s">
        <v>355</v>
      </c>
    </row>
    <row r="34325" ht="16.5" customHeight="1">
      <c r="O34325" s="5" t="s">
        <v>355</v>
      </c>
      <c r="P34325" s="5" t="s">
        <v>355</v>
      </c>
      <c r="Q34325" s="5" t="s">
        <v>355</v>
      </c>
    </row>
    <row r="34326" ht="16.5" customHeight="1">
      <c r="O34326" s="5" t="s">
        <v>355</v>
      </c>
      <c r="P34326" s="5" t="s">
        <v>355</v>
      </c>
      <c r="Q34326" s="5" t="s">
        <v>355</v>
      </c>
    </row>
    <row r="34327" ht="16.5" customHeight="1">
      <c r="O34327" s="5" t="s">
        <v>355</v>
      </c>
      <c r="P34327" s="5" t="s">
        <v>355</v>
      </c>
      <c r="Q34327" s="5" t="s">
        <v>355</v>
      </c>
    </row>
    <row r="34328" ht="16.5" customHeight="1">
      <c r="O34328" s="5" t="s">
        <v>355</v>
      </c>
      <c r="P34328" s="5" t="s">
        <v>355</v>
      </c>
      <c r="Q34328" s="5" t="s">
        <v>355</v>
      </c>
    </row>
    <row r="34329" ht="16.5" customHeight="1">
      <c r="O34329" s="5" t="s">
        <v>355</v>
      </c>
      <c r="P34329" s="5" t="s">
        <v>355</v>
      </c>
      <c r="Q34329" s="5" t="s">
        <v>355</v>
      </c>
    </row>
    <row r="34330" ht="16.5" customHeight="1">
      <c r="O34330" s="5" t="s">
        <v>355</v>
      </c>
      <c r="P34330" s="5" t="s">
        <v>355</v>
      </c>
      <c r="Q34330" s="5" t="s">
        <v>355</v>
      </c>
    </row>
    <row r="34331" ht="16.5" customHeight="1">
      <c r="O34331" s="5" t="s">
        <v>355</v>
      </c>
      <c r="P34331" s="5" t="s">
        <v>355</v>
      </c>
      <c r="Q34331" s="5" t="s">
        <v>355</v>
      </c>
    </row>
    <row r="34332" ht="16.5" customHeight="1">
      <c r="O34332" s="5" t="s">
        <v>355</v>
      </c>
      <c r="P34332" s="5" t="s">
        <v>355</v>
      </c>
      <c r="Q34332" s="5" t="s">
        <v>355</v>
      </c>
    </row>
    <row r="34333" ht="16.5" customHeight="1">
      <c r="O34333" s="5" t="s">
        <v>355</v>
      </c>
      <c r="P34333" s="5" t="s">
        <v>355</v>
      </c>
      <c r="Q34333" s="5" t="s">
        <v>355</v>
      </c>
    </row>
    <row r="34334" ht="16.5" customHeight="1">
      <c r="O34334" s="5" t="s">
        <v>355</v>
      </c>
      <c r="P34334" s="5" t="s">
        <v>355</v>
      </c>
      <c r="Q34334" s="5" t="s">
        <v>355</v>
      </c>
    </row>
    <row r="34335" ht="16.5" customHeight="1">
      <c r="O34335" s="5" t="s">
        <v>355</v>
      </c>
      <c r="P34335" s="5" t="s">
        <v>355</v>
      </c>
      <c r="Q34335" s="5" t="s">
        <v>355</v>
      </c>
    </row>
    <row r="34336" ht="16.5" customHeight="1">
      <c r="O34336" s="5" t="s">
        <v>355</v>
      </c>
      <c r="P34336" s="5" t="s">
        <v>355</v>
      </c>
      <c r="Q34336" s="5" t="s">
        <v>355</v>
      </c>
    </row>
    <row r="34337" ht="16.5" customHeight="1">
      <c r="O34337" s="5" t="s">
        <v>355</v>
      </c>
      <c r="P34337" s="5" t="s">
        <v>355</v>
      </c>
      <c r="Q34337" s="5" t="s">
        <v>355</v>
      </c>
    </row>
    <row r="34338" ht="16.5" customHeight="1">
      <c r="O34338" s="5" t="s">
        <v>355</v>
      </c>
      <c r="P34338" s="5" t="s">
        <v>355</v>
      </c>
      <c r="Q34338" s="5" t="s">
        <v>355</v>
      </c>
    </row>
    <row r="34339" ht="16.5" customHeight="1">
      <c r="O34339" s="5" t="s">
        <v>355</v>
      </c>
      <c r="P34339" s="5" t="s">
        <v>355</v>
      </c>
      <c r="Q34339" s="5" t="s">
        <v>355</v>
      </c>
    </row>
    <row r="34340" ht="16.5" customHeight="1">
      <c r="O34340" s="5" t="s">
        <v>355</v>
      </c>
      <c r="P34340" s="5" t="s">
        <v>355</v>
      </c>
      <c r="Q34340" s="5" t="s">
        <v>355</v>
      </c>
    </row>
    <row r="34341" ht="16.5" customHeight="1">
      <c r="O34341" s="5" t="s">
        <v>355</v>
      </c>
      <c r="P34341" s="5" t="s">
        <v>355</v>
      </c>
      <c r="Q34341" s="5" t="s">
        <v>355</v>
      </c>
    </row>
    <row r="34342" ht="16.5" customHeight="1">
      <c r="O34342" s="5" t="s">
        <v>355</v>
      </c>
      <c r="P34342" s="5" t="s">
        <v>355</v>
      </c>
      <c r="Q34342" s="5" t="s">
        <v>355</v>
      </c>
    </row>
    <row r="34343" ht="16.5" customHeight="1">
      <c r="O34343" s="5" t="s">
        <v>355</v>
      </c>
      <c r="P34343" s="5" t="s">
        <v>355</v>
      </c>
      <c r="Q34343" s="5" t="s">
        <v>355</v>
      </c>
    </row>
    <row r="34344" ht="16.5" customHeight="1">
      <c r="O34344" s="5" t="s">
        <v>355</v>
      </c>
      <c r="P34344" s="5" t="s">
        <v>355</v>
      </c>
      <c r="Q34344" s="5" t="s">
        <v>355</v>
      </c>
    </row>
    <row r="34345" ht="16.5" customHeight="1">
      <c r="O34345" s="5" t="s">
        <v>355</v>
      </c>
      <c r="P34345" s="5" t="s">
        <v>355</v>
      </c>
      <c r="Q34345" s="5" t="s">
        <v>355</v>
      </c>
    </row>
    <row r="34346" ht="16.5" customHeight="1">
      <c r="O34346" s="5" t="s">
        <v>355</v>
      </c>
      <c r="P34346" s="5" t="s">
        <v>355</v>
      </c>
      <c r="Q34346" s="5" t="s">
        <v>355</v>
      </c>
    </row>
    <row r="34347" ht="16.5" customHeight="1">
      <c r="O34347" s="5" t="s">
        <v>355</v>
      </c>
      <c r="P34347" s="5" t="s">
        <v>355</v>
      </c>
      <c r="Q34347" s="5" t="s">
        <v>355</v>
      </c>
    </row>
    <row r="34348" ht="16.5" customHeight="1">
      <c r="O34348" s="5" t="s">
        <v>355</v>
      </c>
      <c r="P34348" s="5" t="s">
        <v>355</v>
      </c>
      <c r="Q34348" s="5" t="s">
        <v>355</v>
      </c>
    </row>
    <row r="34349" ht="16.5" customHeight="1">
      <c r="O34349" s="5" t="s">
        <v>355</v>
      </c>
      <c r="P34349" s="5" t="s">
        <v>355</v>
      </c>
      <c r="Q34349" s="5" t="s">
        <v>355</v>
      </c>
    </row>
    <row r="34350" ht="16.5" customHeight="1">
      <c r="O34350" s="5" t="s">
        <v>355</v>
      </c>
      <c r="P34350" s="5" t="s">
        <v>355</v>
      </c>
      <c r="Q34350" s="5" t="s">
        <v>355</v>
      </c>
    </row>
    <row r="34351" ht="16.5" customHeight="1">
      <c r="O34351" s="5" t="s">
        <v>355</v>
      </c>
      <c r="P34351" s="5" t="s">
        <v>355</v>
      </c>
      <c r="Q34351" s="5" t="s">
        <v>355</v>
      </c>
    </row>
    <row r="34352" ht="16.5" customHeight="1">
      <c r="O34352" s="5" t="s">
        <v>355</v>
      </c>
      <c r="P34352" s="5" t="s">
        <v>355</v>
      </c>
      <c r="Q34352" s="5" t="s">
        <v>355</v>
      </c>
    </row>
    <row r="34353" ht="16.5" customHeight="1">
      <c r="O34353" s="5" t="s">
        <v>355</v>
      </c>
      <c r="P34353" s="5" t="s">
        <v>355</v>
      </c>
      <c r="Q34353" s="5" t="s">
        <v>355</v>
      </c>
    </row>
    <row r="34354" ht="16.5" customHeight="1">
      <c r="O34354" s="5" t="s">
        <v>355</v>
      </c>
      <c r="P34354" s="5" t="s">
        <v>355</v>
      </c>
      <c r="Q34354" s="5" t="s">
        <v>355</v>
      </c>
    </row>
    <row r="34355" ht="16.5" customHeight="1">
      <c r="O34355" s="5" t="s">
        <v>355</v>
      </c>
      <c r="P34355" s="5" t="s">
        <v>355</v>
      </c>
      <c r="Q34355" s="5" t="s">
        <v>355</v>
      </c>
    </row>
    <row r="34356" ht="16.5" customHeight="1">
      <c r="O34356" s="5" t="s">
        <v>355</v>
      </c>
      <c r="P34356" s="5" t="s">
        <v>355</v>
      </c>
      <c r="Q34356" s="5" t="s">
        <v>355</v>
      </c>
    </row>
    <row r="34357" ht="16.5" customHeight="1">
      <c r="O34357" s="5" t="s">
        <v>355</v>
      </c>
      <c r="P34357" s="5" t="s">
        <v>355</v>
      </c>
      <c r="Q34357" s="5" t="s">
        <v>355</v>
      </c>
    </row>
    <row r="34358" ht="16.5" customHeight="1">
      <c r="O34358" s="5" t="s">
        <v>355</v>
      </c>
      <c r="P34358" s="5" t="s">
        <v>355</v>
      </c>
      <c r="Q34358" s="5" t="s">
        <v>355</v>
      </c>
    </row>
    <row r="34359" ht="16.5" customHeight="1">
      <c r="O34359" s="5" t="s">
        <v>355</v>
      </c>
      <c r="P34359" s="5" t="s">
        <v>355</v>
      </c>
      <c r="Q34359" s="5" t="s">
        <v>355</v>
      </c>
    </row>
    <row r="34360" ht="16.5" customHeight="1">
      <c r="O34360" s="5" t="s">
        <v>355</v>
      </c>
      <c r="P34360" s="5" t="s">
        <v>355</v>
      </c>
      <c r="Q34360" s="5" t="s">
        <v>355</v>
      </c>
    </row>
    <row r="34361" ht="16.5" customHeight="1">
      <c r="O34361" s="5" t="s">
        <v>355</v>
      </c>
      <c r="P34361" s="5" t="s">
        <v>355</v>
      </c>
      <c r="Q34361" s="5" t="s">
        <v>355</v>
      </c>
    </row>
    <row r="34362" ht="16.5" customHeight="1">
      <c r="O34362" s="5" t="s">
        <v>355</v>
      </c>
      <c r="P34362" s="5" t="s">
        <v>355</v>
      </c>
      <c r="Q34362" s="5" t="s">
        <v>355</v>
      </c>
    </row>
    <row r="34363" ht="16.5" customHeight="1">
      <c r="O34363" s="5" t="s">
        <v>355</v>
      </c>
      <c r="P34363" s="5" t="s">
        <v>355</v>
      </c>
      <c r="Q34363" s="5" t="s">
        <v>355</v>
      </c>
    </row>
    <row r="34364" ht="16.5" customHeight="1">
      <c r="O34364" s="5" t="s">
        <v>355</v>
      </c>
      <c r="P34364" s="5" t="s">
        <v>355</v>
      </c>
      <c r="Q34364" s="5" t="s">
        <v>355</v>
      </c>
    </row>
    <row r="34365" ht="16.5" customHeight="1">
      <c r="O34365" s="5" t="s">
        <v>355</v>
      </c>
      <c r="P34365" s="5" t="s">
        <v>355</v>
      </c>
      <c r="Q34365" s="5" t="s">
        <v>355</v>
      </c>
    </row>
    <row r="34366" ht="16.5" customHeight="1">
      <c r="O34366" s="5" t="s">
        <v>355</v>
      </c>
      <c r="P34366" s="5" t="s">
        <v>355</v>
      </c>
      <c r="Q34366" s="5" t="s">
        <v>355</v>
      </c>
    </row>
    <row r="34367" ht="16.5" customHeight="1">
      <c r="O34367" s="5" t="s">
        <v>355</v>
      </c>
      <c r="P34367" s="5" t="s">
        <v>355</v>
      </c>
      <c r="Q34367" s="5" t="s">
        <v>355</v>
      </c>
    </row>
    <row r="34368" ht="16.5" customHeight="1">
      <c r="O34368" s="5" t="s">
        <v>355</v>
      </c>
      <c r="P34368" s="5" t="s">
        <v>355</v>
      </c>
      <c r="Q34368" s="5" t="s">
        <v>355</v>
      </c>
    </row>
    <row r="34369" ht="16.5" customHeight="1">
      <c r="O34369" s="5" t="s">
        <v>355</v>
      </c>
      <c r="P34369" s="5" t="s">
        <v>355</v>
      </c>
      <c r="Q34369" s="5" t="s">
        <v>355</v>
      </c>
    </row>
    <row r="34370" ht="16.5" customHeight="1">
      <c r="O34370" s="5" t="s">
        <v>355</v>
      </c>
      <c r="P34370" s="5" t="s">
        <v>355</v>
      </c>
      <c r="Q34370" s="5" t="s">
        <v>355</v>
      </c>
    </row>
    <row r="34371" ht="16.5" customHeight="1">
      <c r="O34371" s="5" t="s">
        <v>355</v>
      </c>
      <c r="P34371" s="5" t="s">
        <v>355</v>
      </c>
      <c r="Q34371" s="5" t="s">
        <v>355</v>
      </c>
    </row>
    <row r="34372" ht="16.5" customHeight="1">
      <c r="O34372" s="5" t="s">
        <v>355</v>
      </c>
      <c r="P34372" s="5" t="s">
        <v>355</v>
      </c>
      <c r="Q34372" s="5" t="s">
        <v>355</v>
      </c>
    </row>
    <row r="34373" ht="16.5" customHeight="1">
      <c r="O34373" s="5" t="s">
        <v>355</v>
      </c>
      <c r="P34373" s="5" t="s">
        <v>355</v>
      </c>
      <c r="Q34373" s="5" t="s">
        <v>355</v>
      </c>
    </row>
    <row r="34374" ht="16.5" customHeight="1">
      <c r="O34374" s="5" t="s">
        <v>355</v>
      </c>
      <c r="P34374" s="5" t="s">
        <v>355</v>
      </c>
      <c r="Q34374" s="5" t="s">
        <v>355</v>
      </c>
    </row>
    <row r="34375" ht="16.5" customHeight="1">
      <c r="O34375" s="5" t="s">
        <v>355</v>
      </c>
      <c r="P34375" s="5" t="s">
        <v>355</v>
      </c>
      <c r="Q34375" s="5" t="s">
        <v>355</v>
      </c>
    </row>
    <row r="34376" ht="16.5" customHeight="1">
      <c r="O34376" s="5" t="s">
        <v>355</v>
      </c>
      <c r="P34376" s="5" t="s">
        <v>355</v>
      </c>
      <c r="Q34376" s="5" t="s">
        <v>355</v>
      </c>
    </row>
    <row r="34377" ht="16.5" customHeight="1">
      <c r="O34377" s="5" t="s">
        <v>355</v>
      </c>
      <c r="P34377" s="5" t="s">
        <v>355</v>
      </c>
      <c r="Q34377" s="5" t="s">
        <v>355</v>
      </c>
    </row>
    <row r="34378" ht="16.5" customHeight="1">
      <c r="O34378" s="5" t="s">
        <v>355</v>
      </c>
      <c r="P34378" s="5" t="s">
        <v>355</v>
      </c>
      <c r="Q34378" s="5" t="s">
        <v>355</v>
      </c>
    </row>
    <row r="34379" ht="16.5" customHeight="1">
      <c r="O34379" s="5" t="s">
        <v>355</v>
      </c>
      <c r="P34379" s="5" t="s">
        <v>355</v>
      </c>
      <c r="Q34379" s="5" t="s">
        <v>355</v>
      </c>
    </row>
    <row r="34380" ht="16.5" customHeight="1">
      <c r="O34380" s="5" t="s">
        <v>355</v>
      </c>
      <c r="P34380" s="5" t="s">
        <v>355</v>
      </c>
      <c r="Q34380" s="5" t="s">
        <v>355</v>
      </c>
    </row>
    <row r="34381" ht="16.5" customHeight="1">
      <c r="O34381" s="5" t="s">
        <v>355</v>
      </c>
      <c r="P34381" s="5" t="s">
        <v>355</v>
      </c>
      <c r="Q34381" s="5" t="s">
        <v>355</v>
      </c>
    </row>
    <row r="34382" ht="16.5" customHeight="1">
      <c r="O34382" s="5" t="s">
        <v>355</v>
      </c>
      <c r="P34382" s="5" t="s">
        <v>355</v>
      </c>
      <c r="Q34382" s="5" t="s">
        <v>355</v>
      </c>
    </row>
    <row r="34383" ht="16.5" customHeight="1">
      <c r="O34383" s="5" t="s">
        <v>355</v>
      </c>
      <c r="P34383" s="5" t="s">
        <v>355</v>
      </c>
      <c r="Q34383" s="5" t="s">
        <v>355</v>
      </c>
    </row>
    <row r="34384" ht="16.5" customHeight="1">
      <c r="O34384" s="5" t="s">
        <v>355</v>
      </c>
      <c r="P34384" s="5" t="s">
        <v>355</v>
      </c>
      <c r="Q34384" s="5" t="s">
        <v>355</v>
      </c>
    </row>
    <row r="34385" ht="16.5" customHeight="1">
      <c r="O34385" s="5" t="s">
        <v>355</v>
      </c>
      <c r="P34385" s="5" t="s">
        <v>355</v>
      </c>
      <c r="Q34385" s="5" t="s">
        <v>355</v>
      </c>
    </row>
    <row r="34386" ht="16.5" customHeight="1">
      <c r="O34386" s="5" t="s">
        <v>355</v>
      </c>
      <c r="P34386" s="5" t="s">
        <v>355</v>
      </c>
      <c r="Q34386" s="5" t="s">
        <v>355</v>
      </c>
    </row>
    <row r="34387" ht="16.5" customHeight="1">
      <c r="O34387" s="5" t="s">
        <v>355</v>
      </c>
      <c r="P34387" s="5" t="s">
        <v>355</v>
      </c>
      <c r="Q34387" s="5" t="s">
        <v>355</v>
      </c>
    </row>
    <row r="34388" ht="16.5" customHeight="1">
      <c r="O34388" s="5" t="s">
        <v>355</v>
      </c>
      <c r="P34388" s="5" t="s">
        <v>355</v>
      </c>
      <c r="Q34388" s="5" t="s">
        <v>355</v>
      </c>
    </row>
    <row r="34389" ht="16.5" customHeight="1">
      <c r="O34389" s="5" t="s">
        <v>355</v>
      </c>
      <c r="P34389" s="5" t="s">
        <v>355</v>
      </c>
      <c r="Q34389" s="5" t="s">
        <v>355</v>
      </c>
    </row>
    <row r="34390" ht="16.5" customHeight="1">
      <c r="O34390" s="5" t="s">
        <v>355</v>
      </c>
      <c r="P34390" s="5" t="s">
        <v>355</v>
      </c>
      <c r="Q34390" s="5" t="s">
        <v>355</v>
      </c>
    </row>
    <row r="34391" ht="16.5" customHeight="1">
      <c r="O34391" s="5" t="s">
        <v>355</v>
      </c>
      <c r="P34391" s="5" t="s">
        <v>355</v>
      </c>
      <c r="Q34391" s="5" t="s">
        <v>355</v>
      </c>
    </row>
    <row r="34392" ht="16.5" customHeight="1">
      <c r="O34392" s="5" t="s">
        <v>355</v>
      </c>
      <c r="P34392" s="5" t="s">
        <v>355</v>
      </c>
      <c r="Q34392" s="5" t="s">
        <v>355</v>
      </c>
    </row>
    <row r="34393" ht="16.5" customHeight="1">
      <c r="O34393" s="5" t="s">
        <v>355</v>
      </c>
      <c r="P34393" s="5" t="s">
        <v>355</v>
      </c>
      <c r="Q34393" s="5" t="s">
        <v>355</v>
      </c>
    </row>
    <row r="34394" ht="16.5" customHeight="1">
      <c r="O34394" s="5" t="s">
        <v>355</v>
      </c>
      <c r="P34394" s="5" t="s">
        <v>355</v>
      </c>
      <c r="Q34394" s="5" t="s">
        <v>355</v>
      </c>
    </row>
    <row r="34395" ht="16.5" customHeight="1">
      <c r="O34395" s="5" t="s">
        <v>355</v>
      </c>
      <c r="P34395" s="5" t="s">
        <v>355</v>
      </c>
      <c r="Q34395" s="5" t="s">
        <v>355</v>
      </c>
    </row>
    <row r="34396" ht="16.5" customHeight="1">
      <c r="O34396" s="5" t="s">
        <v>355</v>
      </c>
      <c r="P34396" s="5" t="s">
        <v>355</v>
      </c>
      <c r="Q34396" s="5" t="s">
        <v>355</v>
      </c>
    </row>
    <row r="34397" ht="16.5" customHeight="1">
      <c r="O34397" s="5" t="s">
        <v>355</v>
      </c>
      <c r="P34397" s="5" t="s">
        <v>355</v>
      </c>
      <c r="Q34397" s="5" t="s">
        <v>355</v>
      </c>
    </row>
    <row r="34398" ht="16.5" customHeight="1">
      <c r="O34398" s="5" t="s">
        <v>355</v>
      </c>
      <c r="P34398" s="5" t="s">
        <v>355</v>
      </c>
      <c r="Q34398" s="5" t="s">
        <v>355</v>
      </c>
    </row>
    <row r="34399" ht="16.5" customHeight="1">
      <c r="O34399" s="5" t="s">
        <v>355</v>
      </c>
      <c r="P34399" s="5" t="s">
        <v>355</v>
      </c>
      <c r="Q34399" s="5" t="s">
        <v>355</v>
      </c>
    </row>
    <row r="34400" ht="16.5" customHeight="1">
      <c r="O34400" s="5" t="s">
        <v>355</v>
      </c>
      <c r="P34400" s="5" t="s">
        <v>355</v>
      </c>
      <c r="Q34400" s="5" t="s">
        <v>355</v>
      </c>
    </row>
    <row r="34401" ht="16.5" customHeight="1">
      <c r="O34401" s="5" t="s">
        <v>355</v>
      </c>
      <c r="P34401" s="5" t="s">
        <v>355</v>
      </c>
      <c r="Q34401" s="5" t="s">
        <v>355</v>
      </c>
    </row>
    <row r="34402" ht="16.5" customHeight="1">
      <c r="O34402" s="5" t="s">
        <v>355</v>
      </c>
      <c r="P34402" s="5" t="s">
        <v>355</v>
      </c>
      <c r="Q34402" s="5" t="s">
        <v>355</v>
      </c>
    </row>
    <row r="34403" ht="16.5" customHeight="1">
      <c r="O34403" s="5" t="s">
        <v>355</v>
      </c>
      <c r="P34403" s="5" t="s">
        <v>355</v>
      </c>
      <c r="Q34403" s="5" t="s">
        <v>355</v>
      </c>
    </row>
    <row r="34404" ht="16.5" customHeight="1">
      <c r="O34404" s="5" t="s">
        <v>355</v>
      </c>
      <c r="P34404" s="5" t="s">
        <v>355</v>
      </c>
      <c r="Q34404" s="5" t="s">
        <v>355</v>
      </c>
    </row>
    <row r="34405" ht="16.5" customHeight="1">
      <c r="O34405" s="5" t="s">
        <v>355</v>
      </c>
      <c r="P34405" s="5" t="s">
        <v>355</v>
      </c>
      <c r="Q34405" s="5" t="s">
        <v>355</v>
      </c>
    </row>
    <row r="34406" ht="16.5" customHeight="1">
      <c r="O34406" s="5" t="s">
        <v>355</v>
      </c>
      <c r="P34406" s="5" t="s">
        <v>355</v>
      </c>
      <c r="Q34406" s="5" t="s">
        <v>355</v>
      </c>
    </row>
    <row r="34407" ht="16.5" customHeight="1">
      <c r="O34407" s="5" t="s">
        <v>355</v>
      </c>
      <c r="P34407" s="5" t="s">
        <v>355</v>
      </c>
      <c r="Q34407" s="5" t="s">
        <v>355</v>
      </c>
    </row>
    <row r="34408" ht="16.5" customHeight="1">
      <c r="O34408" s="5" t="s">
        <v>355</v>
      </c>
      <c r="P34408" s="5" t="s">
        <v>355</v>
      </c>
      <c r="Q34408" s="5" t="s">
        <v>355</v>
      </c>
    </row>
    <row r="34409" ht="16.5" customHeight="1">
      <c r="O34409" s="5" t="s">
        <v>355</v>
      </c>
      <c r="P34409" s="5" t="s">
        <v>355</v>
      </c>
      <c r="Q34409" s="5" t="s">
        <v>355</v>
      </c>
    </row>
    <row r="34410" ht="16.5" customHeight="1">
      <c r="O34410" s="5" t="s">
        <v>355</v>
      </c>
      <c r="P34410" s="5" t="s">
        <v>355</v>
      </c>
      <c r="Q34410" s="5" t="s">
        <v>355</v>
      </c>
    </row>
    <row r="34411" ht="16.5" customHeight="1">
      <c r="O34411" s="5" t="s">
        <v>355</v>
      </c>
      <c r="P34411" s="5" t="s">
        <v>355</v>
      </c>
      <c r="Q34411" s="5" t="s">
        <v>355</v>
      </c>
    </row>
    <row r="34412" ht="16.5" customHeight="1">
      <c r="O34412" s="5" t="s">
        <v>355</v>
      </c>
      <c r="P34412" s="5" t="s">
        <v>355</v>
      </c>
      <c r="Q34412" s="5" t="s">
        <v>355</v>
      </c>
    </row>
    <row r="34413" ht="16.5" customHeight="1">
      <c r="O34413" s="5" t="s">
        <v>355</v>
      </c>
      <c r="P34413" s="5" t="s">
        <v>355</v>
      </c>
      <c r="Q34413" s="5" t="s">
        <v>355</v>
      </c>
    </row>
    <row r="34414" ht="16.5" customHeight="1">
      <c r="O34414" s="5" t="s">
        <v>355</v>
      </c>
      <c r="P34414" s="5" t="s">
        <v>355</v>
      </c>
      <c r="Q34414" s="5" t="s">
        <v>355</v>
      </c>
    </row>
    <row r="34415" ht="16.5" customHeight="1">
      <c r="O34415" s="5" t="s">
        <v>355</v>
      </c>
      <c r="P34415" s="5" t="s">
        <v>355</v>
      </c>
      <c r="Q34415" s="5" t="s">
        <v>355</v>
      </c>
    </row>
    <row r="34416" ht="16.5" customHeight="1">
      <c r="O34416" s="5" t="s">
        <v>355</v>
      </c>
      <c r="P34416" s="5" t="s">
        <v>355</v>
      </c>
      <c r="Q34416" s="5" t="s">
        <v>355</v>
      </c>
    </row>
    <row r="34417" ht="16.5" customHeight="1">
      <c r="O34417" s="5" t="s">
        <v>355</v>
      </c>
      <c r="P34417" s="5" t="s">
        <v>355</v>
      </c>
      <c r="Q34417" s="5" t="s">
        <v>355</v>
      </c>
    </row>
    <row r="34418" ht="16.5" customHeight="1">
      <c r="O34418" s="5" t="s">
        <v>355</v>
      </c>
      <c r="P34418" s="5" t="s">
        <v>355</v>
      </c>
      <c r="Q34418" s="5" t="s">
        <v>355</v>
      </c>
    </row>
    <row r="34419" ht="16.5" customHeight="1">
      <c r="O34419" s="5" t="s">
        <v>355</v>
      </c>
      <c r="P34419" s="5" t="s">
        <v>355</v>
      </c>
      <c r="Q34419" s="5" t="s">
        <v>355</v>
      </c>
    </row>
    <row r="34420" ht="16.5" customHeight="1">
      <c r="O34420" s="5" t="s">
        <v>355</v>
      </c>
      <c r="P34420" s="5" t="s">
        <v>355</v>
      </c>
      <c r="Q34420" s="5" t="s">
        <v>355</v>
      </c>
    </row>
    <row r="34421" ht="16.5" customHeight="1">
      <c r="O34421" s="5" t="s">
        <v>355</v>
      </c>
      <c r="P34421" s="5" t="s">
        <v>355</v>
      </c>
      <c r="Q34421" s="5" t="s">
        <v>355</v>
      </c>
    </row>
    <row r="34422" ht="16.5" customHeight="1">
      <c r="O34422" s="5" t="s">
        <v>355</v>
      </c>
      <c r="P34422" s="5" t="s">
        <v>355</v>
      </c>
      <c r="Q34422" s="5" t="s">
        <v>355</v>
      </c>
    </row>
    <row r="34423" ht="16.5" customHeight="1">
      <c r="O34423" s="5" t="s">
        <v>355</v>
      </c>
      <c r="P34423" s="5" t="s">
        <v>355</v>
      </c>
      <c r="Q34423" s="5" t="s">
        <v>355</v>
      </c>
    </row>
    <row r="34424" ht="16.5" customHeight="1">
      <c r="O34424" s="5" t="s">
        <v>355</v>
      </c>
      <c r="P34424" s="5" t="s">
        <v>355</v>
      </c>
      <c r="Q34424" s="5" t="s">
        <v>355</v>
      </c>
    </row>
    <row r="34425" ht="16.5" customHeight="1">
      <c r="O34425" s="5" t="s">
        <v>355</v>
      </c>
      <c r="P34425" s="5" t="s">
        <v>355</v>
      </c>
      <c r="Q34425" s="5" t="s">
        <v>355</v>
      </c>
    </row>
    <row r="34426" ht="16.5" customHeight="1">
      <c r="O34426" s="5" t="s">
        <v>355</v>
      </c>
      <c r="P34426" s="5" t="s">
        <v>355</v>
      </c>
      <c r="Q34426" s="5" t="s">
        <v>355</v>
      </c>
    </row>
    <row r="34427" ht="16.5" customHeight="1">
      <c r="O34427" s="5" t="s">
        <v>355</v>
      </c>
      <c r="P34427" s="5" t="s">
        <v>355</v>
      </c>
      <c r="Q34427" s="5" t="s">
        <v>355</v>
      </c>
    </row>
    <row r="34428" ht="16.5" customHeight="1">
      <c r="O34428" s="5" t="s">
        <v>355</v>
      </c>
      <c r="P34428" s="5" t="s">
        <v>355</v>
      </c>
      <c r="Q34428" s="5" t="s">
        <v>355</v>
      </c>
    </row>
    <row r="34429" ht="16.5" customHeight="1">
      <c r="O34429" s="5" t="s">
        <v>355</v>
      </c>
      <c r="P34429" s="5" t="s">
        <v>355</v>
      </c>
      <c r="Q34429" s="5" t="s">
        <v>355</v>
      </c>
    </row>
    <row r="34430" ht="16.5" customHeight="1">
      <c r="O34430" s="5" t="s">
        <v>355</v>
      </c>
      <c r="P34430" s="5" t="s">
        <v>355</v>
      </c>
      <c r="Q34430" s="5" t="s">
        <v>355</v>
      </c>
    </row>
    <row r="34431" ht="16.5" customHeight="1">
      <c r="O34431" s="5" t="s">
        <v>355</v>
      </c>
      <c r="P34431" s="5" t="s">
        <v>355</v>
      </c>
      <c r="Q34431" s="5" t="s">
        <v>355</v>
      </c>
    </row>
    <row r="34432" ht="16.5" customHeight="1">
      <c r="O34432" s="5" t="s">
        <v>355</v>
      </c>
      <c r="P34432" s="5" t="s">
        <v>355</v>
      </c>
      <c r="Q34432" s="5" t="s">
        <v>355</v>
      </c>
    </row>
    <row r="34433" ht="16.5" customHeight="1">
      <c r="O34433" s="5" t="s">
        <v>355</v>
      </c>
      <c r="P34433" s="5" t="s">
        <v>355</v>
      </c>
      <c r="Q34433" s="5" t="s">
        <v>355</v>
      </c>
    </row>
    <row r="34434" ht="16.5" customHeight="1">
      <c r="O34434" s="5" t="s">
        <v>355</v>
      </c>
      <c r="P34434" s="5" t="s">
        <v>355</v>
      </c>
      <c r="Q34434" s="5" t="s">
        <v>355</v>
      </c>
    </row>
    <row r="34435" ht="16.5" customHeight="1">
      <c r="O34435" s="5" t="s">
        <v>355</v>
      </c>
      <c r="P34435" s="5" t="s">
        <v>355</v>
      </c>
      <c r="Q34435" s="5" t="s">
        <v>355</v>
      </c>
    </row>
    <row r="34436" ht="16.5" customHeight="1">
      <c r="O34436" s="5" t="s">
        <v>355</v>
      </c>
      <c r="P34436" s="5" t="s">
        <v>355</v>
      </c>
      <c r="Q34436" s="5" t="s">
        <v>355</v>
      </c>
    </row>
    <row r="34437" ht="16.5" customHeight="1">
      <c r="O34437" s="5" t="s">
        <v>355</v>
      </c>
      <c r="P34437" s="5" t="s">
        <v>355</v>
      </c>
      <c r="Q34437" s="5" t="s">
        <v>355</v>
      </c>
    </row>
    <row r="34438" ht="16.5" customHeight="1">
      <c r="O34438" s="5" t="s">
        <v>355</v>
      </c>
      <c r="P34438" s="5" t="s">
        <v>355</v>
      </c>
      <c r="Q34438" s="5" t="s">
        <v>355</v>
      </c>
    </row>
    <row r="34439" ht="16.5" customHeight="1">
      <c r="O34439" s="5" t="s">
        <v>355</v>
      </c>
      <c r="P34439" s="5" t="s">
        <v>355</v>
      </c>
      <c r="Q34439" s="5" t="s">
        <v>355</v>
      </c>
    </row>
    <row r="34440" ht="16.5" customHeight="1">
      <c r="O34440" s="5" t="s">
        <v>355</v>
      </c>
      <c r="P34440" s="5" t="s">
        <v>355</v>
      </c>
      <c r="Q34440" s="5" t="s">
        <v>355</v>
      </c>
    </row>
    <row r="34441" ht="16.5" customHeight="1">
      <c r="O34441" s="5" t="s">
        <v>355</v>
      </c>
      <c r="P34441" s="5" t="s">
        <v>355</v>
      </c>
      <c r="Q34441" s="5" t="s">
        <v>355</v>
      </c>
    </row>
    <row r="34442" ht="16.5" customHeight="1">
      <c r="O34442" s="5" t="s">
        <v>355</v>
      </c>
      <c r="P34442" s="5" t="s">
        <v>355</v>
      </c>
      <c r="Q34442" s="5" t="s">
        <v>355</v>
      </c>
    </row>
    <row r="34443" ht="16.5" customHeight="1">
      <c r="O34443" s="5" t="s">
        <v>355</v>
      </c>
      <c r="P34443" s="5" t="s">
        <v>355</v>
      </c>
      <c r="Q34443" s="5" t="s">
        <v>355</v>
      </c>
    </row>
    <row r="34444" ht="16.5" customHeight="1">
      <c r="O34444" s="5" t="s">
        <v>355</v>
      </c>
      <c r="P34444" s="5" t="s">
        <v>355</v>
      </c>
      <c r="Q34444" s="5" t="s">
        <v>355</v>
      </c>
    </row>
    <row r="34445" ht="16.5" customHeight="1">
      <c r="O34445" s="5" t="s">
        <v>355</v>
      </c>
      <c r="P34445" s="5" t="s">
        <v>355</v>
      </c>
      <c r="Q34445" s="5" t="s">
        <v>355</v>
      </c>
    </row>
    <row r="34446" ht="16.5" customHeight="1">
      <c r="O34446" s="5" t="s">
        <v>355</v>
      </c>
      <c r="P34446" s="5" t="s">
        <v>355</v>
      </c>
      <c r="Q34446" s="5" t="s">
        <v>355</v>
      </c>
    </row>
    <row r="34447" ht="16.5" customHeight="1">
      <c r="O34447" s="5" t="s">
        <v>355</v>
      </c>
      <c r="P34447" s="5" t="s">
        <v>355</v>
      </c>
      <c r="Q34447" s="5" t="s">
        <v>355</v>
      </c>
    </row>
    <row r="34448" ht="16.5" customHeight="1">
      <c r="O34448" s="5" t="s">
        <v>355</v>
      </c>
      <c r="P34448" s="5" t="s">
        <v>355</v>
      </c>
      <c r="Q34448" s="5" t="s">
        <v>355</v>
      </c>
    </row>
    <row r="34449" ht="16.5" customHeight="1">
      <c r="O34449" s="5" t="s">
        <v>355</v>
      </c>
      <c r="P34449" s="5" t="s">
        <v>355</v>
      </c>
      <c r="Q34449" s="5" t="s">
        <v>355</v>
      </c>
    </row>
    <row r="34450" ht="16.5" customHeight="1">
      <c r="O34450" s="5" t="s">
        <v>355</v>
      </c>
      <c r="P34450" s="5" t="s">
        <v>355</v>
      </c>
      <c r="Q34450" s="5" t="s">
        <v>355</v>
      </c>
    </row>
    <row r="34451" ht="16.5" customHeight="1">
      <c r="O34451" s="5" t="s">
        <v>355</v>
      </c>
      <c r="P34451" s="5" t="s">
        <v>355</v>
      </c>
      <c r="Q34451" s="5" t="s">
        <v>355</v>
      </c>
    </row>
    <row r="34452" ht="16.5" customHeight="1">
      <c r="O34452" s="5" t="s">
        <v>355</v>
      </c>
      <c r="P34452" s="5" t="s">
        <v>355</v>
      </c>
      <c r="Q34452" s="5" t="s">
        <v>355</v>
      </c>
    </row>
    <row r="34453" ht="16.5" customHeight="1">
      <c r="O34453" s="5" t="s">
        <v>355</v>
      </c>
      <c r="P34453" s="5" t="s">
        <v>355</v>
      </c>
      <c r="Q34453" s="5" t="s">
        <v>355</v>
      </c>
    </row>
    <row r="34454" ht="16.5" customHeight="1">
      <c r="O34454" s="5" t="s">
        <v>355</v>
      </c>
      <c r="P34454" s="5" t="s">
        <v>355</v>
      </c>
      <c r="Q34454" s="5" t="s">
        <v>355</v>
      </c>
    </row>
    <row r="34455" ht="16.5" customHeight="1">
      <c r="O34455" s="5" t="s">
        <v>355</v>
      </c>
      <c r="P34455" s="5" t="s">
        <v>355</v>
      </c>
      <c r="Q34455" s="5" t="s">
        <v>355</v>
      </c>
    </row>
    <row r="34456" ht="16.5" customHeight="1">
      <c r="O34456" s="5" t="s">
        <v>355</v>
      </c>
      <c r="P34456" s="5" t="s">
        <v>355</v>
      </c>
      <c r="Q34456" s="5" t="s">
        <v>355</v>
      </c>
    </row>
    <row r="34457" ht="16.5" customHeight="1">
      <c r="O34457" s="5" t="s">
        <v>355</v>
      </c>
      <c r="P34457" s="5" t="s">
        <v>355</v>
      </c>
      <c r="Q34457" s="5" t="s">
        <v>355</v>
      </c>
    </row>
    <row r="34458" ht="16.5" customHeight="1">
      <c r="O34458" s="5" t="s">
        <v>355</v>
      </c>
      <c r="P34458" s="5" t="s">
        <v>355</v>
      </c>
      <c r="Q34458" s="5" t="s">
        <v>355</v>
      </c>
    </row>
    <row r="34459" ht="16.5" customHeight="1">
      <c r="O34459" s="5" t="s">
        <v>355</v>
      </c>
      <c r="P34459" s="5" t="s">
        <v>355</v>
      </c>
      <c r="Q34459" s="5" t="s">
        <v>355</v>
      </c>
    </row>
    <row r="34460" ht="16.5" customHeight="1">
      <c r="O34460" s="5" t="s">
        <v>355</v>
      </c>
      <c r="P34460" s="5" t="s">
        <v>355</v>
      </c>
      <c r="Q34460" s="5" t="s">
        <v>355</v>
      </c>
    </row>
    <row r="34461" ht="16.5" customHeight="1">
      <c r="O34461" s="5" t="s">
        <v>355</v>
      </c>
      <c r="P34461" s="5" t="s">
        <v>355</v>
      </c>
      <c r="Q34461" s="5" t="s">
        <v>355</v>
      </c>
    </row>
    <row r="34462" ht="16.5" customHeight="1">
      <c r="O34462" s="5" t="s">
        <v>355</v>
      </c>
      <c r="P34462" s="5" t="s">
        <v>355</v>
      </c>
      <c r="Q34462" s="5" t="s">
        <v>355</v>
      </c>
    </row>
    <row r="34463" ht="16.5" customHeight="1">
      <c r="O34463" s="5" t="s">
        <v>355</v>
      </c>
      <c r="P34463" s="5" t="s">
        <v>355</v>
      </c>
      <c r="Q34463" s="5" t="s">
        <v>355</v>
      </c>
    </row>
    <row r="34464" ht="16.5" customHeight="1">
      <c r="O34464" s="5" t="s">
        <v>355</v>
      </c>
      <c r="P34464" s="5" t="s">
        <v>355</v>
      </c>
      <c r="Q34464" s="5" t="s">
        <v>355</v>
      </c>
    </row>
    <row r="34465" ht="16.5" customHeight="1">
      <c r="O34465" s="5" t="s">
        <v>355</v>
      </c>
      <c r="P34465" s="5" t="s">
        <v>355</v>
      </c>
      <c r="Q34465" s="5" t="s">
        <v>355</v>
      </c>
    </row>
    <row r="34466" ht="16.5" customHeight="1">
      <c r="O34466" s="5" t="s">
        <v>355</v>
      </c>
      <c r="P34466" s="5" t="s">
        <v>355</v>
      </c>
      <c r="Q34466" s="5" t="s">
        <v>355</v>
      </c>
    </row>
    <row r="34467" ht="16.5" customHeight="1">
      <c r="O34467" s="5" t="s">
        <v>355</v>
      </c>
      <c r="P34467" s="5" t="s">
        <v>355</v>
      </c>
      <c r="Q34467" s="5" t="s">
        <v>355</v>
      </c>
    </row>
    <row r="34468" ht="16.5" customHeight="1">
      <c r="O34468" s="5" t="s">
        <v>355</v>
      </c>
      <c r="P34468" s="5" t="s">
        <v>355</v>
      </c>
      <c r="Q34468" s="5" t="s">
        <v>355</v>
      </c>
    </row>
    <row r="34469" ht="16.5" customHeight="1">
      <c r="O34469" s="5" t="s">
        <v>355</v>
      </c>
      <c r="P34469" s="5" t="s">
        <v>355</v>
      </c>
      <c r="Q34469" s="5" t="s">
        <v>355</v>
      </c>
    </row>
    <row r="34470" ht="16.5" customHeight="1">
      <c r="O34470" s="5" t="s">
        <v>355</v>
      </c>
      <c r="P34470" s="5" t="s">
        <v>355</v>
      </c>
      <c r="Q34470" s="5" t="s">
        <v>355</v>
      </c>
    </row>
    <row r="34471" ht="16.5" customHeight="1">
      <c r="O34471" s="5" t="s">
        <v>355</v>
      </c>
      <c r="P34471" s="5" t="s">
        <v>355</v>
      </c>
      <c r="Q34471" s="5" t="s">
        <v>355</v>
      </c>
    </row>
    <row r="34472" ht="16.5" customHeight="1">
      <c r="O34472" s="5" t="s">
        <v>355</v>
      </c>
      <c r="P34472" s="5" t="s">
        <v>355</v>
      </c>
      <c r="Q34472" s="5" t="s">
        <v>355</v>
      </c>
    </row>
    <row r="34473" ht="16.5" customHeight="1">
      <c r="O34473" s="5" t="s">
        <v>355</v>
      </c>
      <c r="P34473" s="5" t="s">
        <v>355</v>
      </c>
      <c r="Q34473" s="5" t="s">
        <v>355</v>
      </c>
    </row>
    <row r="34474" ht="16.5" customHeight="1">
      <c r="O34474" s="5" t="s">
        <v>355</v>
      </c>
      <c r="P34474" s="5" t="s">
        <v>355</v>
      </c>
      <c r="Q34474" s="5" t="s">
        <v>355</v>
      </c>
    </row>
    <row r="34475" ht="16.5" customHeight="1">
      <c r="O34475" s="5" t="s">
        <v>355</v>
      </c>
      <c r="P34475" s="5" t="s">
        <v>355</v>
      </c>
      <c r="Q34475" s="5" t="s">
        <v>355</v>
      </c>
    </row>
    <row r="34476" ht="16.5" customHeight="1">
      <c r="O34476" s="5" t="s">
        <v>355</v>
      </c>
      <c r="P34476" s="5" t="s">
        <v>355</v>
      </c>
      <c r="Q34476" s="5" t="s">
        <v>355</v>
      </c>
    </row>
    <row r="34477" ht="16.5" customHeight="1">
      <c r="O34477" s="5" t="s">
        <v>355</v>
      </c>
      <c r="P34477" s="5" t="s">
        <v>355</v>
      </c>
      <c r="Q34477" s="5" t="s">
        <v>355</v>
      </c>
    </row>
    <row r="34478" ht="16.5" customHeight="1">
      <c r="O34478" s="5" t="s">
        <v>355</v>
      </c>
      <c r="P34478" s="5" t="s">
        <v>355</v>
      </c>
      <c r="Q34478" s="5" t="s">
        <v>355</v>
      </c>
    </row>
    <row r="34479" ht="16.5" customHeight="1">
      <c r="O34479" s="5" t="s">
        <v>355</v>
      </c>
      <c r="P34479" s="5" t="s">
        <v>355</v>
      </c>
      <c r="Q34479" s="5" t="s">
        <v>355</v>
      </c>
    </row>
    <row r="34480" ht="16.5" customHeight="1">
      <c r="O34480" s="5" t="s">
        <v>355</v>
      </c>
      <c r="P34480" s="5" t="s">
        <v>355</v>
      </c>
      <c r="Q34480" s="5" t="s">
        <v>355</v>
      </c>
    </row>
    <row r="34481" ht="16.5" customHeight="1">
      <c r="O34481" s="5" t="s">
        <v>355</v>
      </c>
      <c r="P34481" s="5" t="s">
        <v>355</v>
      </c>
      <c r="Q34481" s="5" t="s">
        <v>355</v>
      </c>
    </row>
    <row r="34482" ht="16.5" customHeight="1">
      <c r="O34482" s="5" t="s">
        <v>355</v>
      </c>
      <c r="P34482" s="5" t="s">
        <v>355</v>
      </c>
      <c r="Q34482" s="5" t="s">
        <v>355</v>
      </c>
    </row>
    <row r="34483" ht="16.5" customHeight="1">
      <c r="O34483" s="5" t="s">
        <v>355</v>
      </c>
      <c r="P34483" s="5" t="s">
        <v>355</v>
      </c>
      <c r="Q34483" s="5" t="s">
        <v>355</v>
      </c>
    </row>
    <row r="34484" ht="16.5" customHeight="1">
      <c r="O34484" s="5" t="s">
        <v>355</v>
      </c>
      <c r="P34484" s="5" t="s">
        <v>355</v>
      </c>
      <c r="Q34484" s="5" t="s">
        <v>355</v>
      </c>
    </row>
    <row r="34485" ht="16.5" customHeight="1">
      <c r="O34485" s="5" t="s">
        <v>355</v>
      </c>
      <c r="P34485" s="5" t="s">
        <v>355</v>
      </c>
      <c r="Q34485" s="5" t="s">
        <v>355</v>
      </c>
    </row>
    <row r="34486" ht="16.5" customHeight="1">
      <c r="O34486" s="5" t="s">
        <v>355</v>
      </c>
      <c r="P34486" s="5" t="s">
        <v>355</v>
      </c>
      <c r="Q34486" s="5" t="s">
        <v>355</v>
      </c>
    </row>
    <row r="34487" ht="16.5" customHeight="1">
      <c r="O34487" s="5" t="s">
        <v>355</v>
      </c>
      <c r="P34487" s="5" t="s">
        <v>355</v>
      </c>
      <c r="Q34487" s="5" t="s">
        <v>355</v>
      </c>
    </row>
    <row r="34488" ht="16.5" customHeight="1">
      <c r="O34488" s="5" t="s">
        <v>355</v>
      </c>
      <c r="P34488" s="5" t="s">
        <v>355</v>
      </c>
      <c r="Q34488" s="5" t="s">
        <v>355</v>
      </c>
    </row>
    <row r="34489" ht="16.5" customHeight="1">
      <c r="O34489" s="5" t="s">
        <v>355</v>
      </c>
      <c r="P34489" s="5" t="s">
        <v>355</v>
      </c>
      <c r="Q34489" s="5" t="s">
        <v>355</v>
      </c>
    </row>
    <row r="34490" ht="16.5" customHeight="1">
      <c r="O34490" s="5" t="s">
        <v>355</v>
      </c>
      <c r="P34490" s="5" t="s">
        <v>355</v>
      </c>
      <c r="Q34490" s="5" t="s">
        <v>355</v>
      </c>
    </row>
    <row r="34491" ht="16.5" customHeight="1">
      <c r="O34491" s="5" t="s">
        <v>355</v>
      </c>
      <c r="P34491" s="5" t="s">
        <v>355</v>
      </c>
      <c r="Q34491" s="5" t="s">
        <v>355</v>
      </c>
    </row>
    <row r="34492" ht="16.5" customHeight="1">
      <c r="O34492" s="5" t="s">
        <v>355</v>
      </c>
      <c r="P34492" s="5" t="s">
        <v>355</v>
      </c>
      <c r="Q34492" s="5" t="s">
        <v>355</v>
      </c>
    </row>
    <row r="34493" ht="16.5" customHeight="1">
      <c r="O34493" s="5" t="s">
        <v>355</v>
      </c>
      <c r="P34493" s="5" t="s">
        <v>355</v>
      </c>
      <c r="Q34493" s="5" t="s">
        <v>355</v>
      </c>
    </row>
    <row r="34494" ht="16.5" customHeight="1">
      <c r="O34494" s="5" t="s">
        <v>355</v>
      </c>
      <c r="P34494" s="5" t="s">
        <v>355</v>
      </c>
      <c r="Q34494" s="5" t="s">
        <v>355</v>
      </c>
    </row>
    <row r="34495" ht="16.5" customHeight="1">
      <c r="O34495" s="5" t="s">
        <v>355</v>
      </c>
      <c r="P34495" s="5" t="s">
        <v>355</v>
      </c>
      <c r="Q34495" s="5" t="s">
        <v>355</v>
      </c>
    </row>
    <row r="34496" ht="16.5" customHeight="1">
      <c r="O34496" s="5" t="s">
        <v>355</v>
      </c>
      <c r="P34496" s="5" t="s">
        <v>355</v>
      </c>
      <c r="Q34496" s="5" t="s">
        <v>355</v>
      </c>
    </row>
    <row r="34497" ht="16.5" customHeight="1">
      <c r="O34497" s="5" t="s">
        <v>355</v>
      </c>
      <c r="P34497" s="5" t="s">
        <v>355</v>
      </c>
      <c r="Q34497" s="5" t="s">
        <v>355</v>
      </c>
    </row>
    <row r="34498" ht="16.5" customHeight="1">
      <c r="O34498" s="5" t="s">
        <v>355</v>
      </c>
      <c r="P34498" s="5" t="s">
        <v>355</v>
      </c>
      <c r="Q34498" s="5" t="s">
        <v>355</v>
      </c>
    </row>
    <row r="34499" ht="16.5" customHeight="1">
      <c r="O34499" s="5" t="s">
        <v>355</v>
      </c>
      <c r="P34499" s="5" t="s">
        <v>355</v>
      </c>
      <c r="Q34499" s="5" t="s">
        <v>355</v>
      </c>
    </row>
    <row r="34500" ht="16.5" customHeight="1">
      <c r="O34500" s="5" t="s">
        <v>355</v>
      </c>
      <c r="P34500" s="5" t="s">
        <v>355</v>
      </c>
      <c r="Q34500" s="5" t="s">
        <v>355</v>
      </c>
    </row>
    <row r="34501" ht="16.5" customHeight="1">
      <c r="O34501" s="5" t="s">
        <v>355</v>
      </c>
      <c r="P34501" s="5" t="s">
        <v>355</v>
      </c>
      <c r="Q34501" s="5" t="s">
        <v>355</v>
      </c>
    </row>
    <row r="34502" ht="16.5" customHeight="1">
      <c r="O34502" s="5" t="s">
        <v>355</v>
      </c>
      <c r="P34502" s="5" t="s">
        <v>355</v>
      </c>
      <c r="Q34502" s="5" t="s">
        <v>355</v>
      </c>
    </row>
    <row r="34503" ht="16.5" customHeight="1">
      <c r="O34503" s="5" t="s">
        <v>355</v>
      </c>
      <c r="P34503" s="5" t="s">
        <v>355</v>
      </c>
      <c r="Q34503" s="5" t="s">
        <v>355</v>
      </c>
    </row>
    <row r="34504" ht="16.5" customHeight="1">
      <c r="O34504" s="5" t="s">
        <v>355</v>
      </c>
      <c r="P34504" s="5" t="s">
        <v>355</v>
      </c>
      <c r="Q34504" s="5" t="s">
        <v>355</v>
      </c>
    </row>
    <row r="34505" ht="16.5" customHeight="1">
      <c r="O34505" s="5" t="s">
        <v>355</v>
      </c>
      <c r="P34505" s="5" t="s">
        <v>355</v>
      </c>
      <c r="Q34505" s="5" t="s">
        <v>355</v>
      </c>
    </row>
    <row r="34506" ht="16.5" customHeight="1">
      <c r="O34506" s="5" t="s">
        <v>355</v>
      </c>
      <c r="P34506" s="5" t="s">
        <v>355</v>
      </c>
      <c r="Q34506" s="5" t="s">
        <v>355</v>
      </c>
    </row>
    <row r="34507" ht="16.5" customHeight="1">
      <c r="O34507" s="5" t="s">
        <v>355</v>
      </c>
      <c r="P34507" s="5" t="s">
        <v>355</v>
      </c>
      <c r="Q34507" s="5" t="s">
        <v>355</v>
      </c>
    </row>
    <row r="34508" ht="16.5" customHeight="1">
      <c r="O34508" s="5" t="s">
        <v>355</v>
      </c>
      <c r="P34508" s="5" t="s">
        <v>355</v>
      </c>
      <c r="Q34508" s="5" t="s">
        <v>355</v>
      </c>
    </row>
    <row r="34509" ht="16.5" customHeight="1">
      <c r="O34509" s="5" t="s">
        <v>355</v>
      </c>
      <c r="P34509" s="5" t="s">
        <v>355</v>
      </c>
      <c r="Q34509" s="5" t="s">
        <v>355</v>
      </c>
    </row>
    <row r="34510" ht="16.5" customHeight="1">
      <c r="O34510" s="5" t="s">
        <v>355</v>
      </c>
      <c r="P34510" s="5" t="s">
        <v>355</v>
      </c>
      <c r="Q34510" s="5" t="s">
        <v>355</v>
      </c>
    </row>
    <row r="34511" ht="16.5" customHeight="1">
      <c r="O34511" s="5" t="s">
        <v>355</v>
      </c>
      <c r="P34511" s="5" t="s">
        <v>355</v>
      </c>
      <c r="Q34511" s="5" t="s">
        <v>355</v>
      </c>
    </row>
    <row r="34512" ht="16.5" customHeight="1">
      <c r="O34512" s="5" t="s">
        <v>355</v>
      </c>
      <c r="P34512" s="5" t="s">
        <v>355</v>
      </c>
      <c r="Q34512" s="5" t="s">
        <v>355</v>
      </c>
    </row>
    <row r="34513" ht="16.5" customHeight="1">
      <c r="O34513" s="5" t="s">
        <v>355</v>
      </c>
      <c r="P34513" s="5" t="s">
        <v>355</v>
      </c>
      <c r="Q34513" s="5" t="s">
        <v>355</v>
      </c>
    </row>
    <row r="34514" ht="16.5" customHeight="1">
      <c r="O34514" s="5" t="s">
        <v>355</v>
      </c>
      <c r="P34514" s="5" t="s">
        <v>355</v>
      </c>
      <c r="Q34514" s="5" t="s">
        <v>355</v>
      </c>
    </row>
    <row r="34515" ht="16.5" customHeight="1">
      <c r="O34515" s="5" t="s">
        <v>355</v>
      </c>
      <c r="P34515" s="5" t="s">
        <v>355</v>
      </c>
      <c r="Q34515" s="5" t="s">
        <v>355</v>
      </c>
    </row>
    <row r="34516" ht="16.5" customHeight="1">
      <c r="O34516" s="5" t="s">
        <v>355</v>
      </c>
      <c r="P34516" s="5" t="s">
        <v>355</v>
      </c>
      <c r="Q34516" s="5" t="s">
        <v>355</v>
      </c>
    </row>
    <row r="34517" ht="16.5" customHeight="1">
      <c r="O34517" s="5" t="s">
        <v>355</v>
      </c>
      <c r="P34517" s="5" t="s">
        <v>355</v>
      </c>
      <c r="Q34517" s="5" t="s">
        <v>355</v>
      </c>
    </row>
    <row r="34518" ht="16.5" customHeight="1">
      <c r="O34518" s="5" t="s">
        <v>355</v>
      </c>
      <c r="P34518" s="5" t="s">
        <v>355</v>
      </c>
      <c r="Q34518" s="5" t="s">
        <v>355</v>
      </c>
    </row>
    <row r="34519" ht="16.5" customHeight="1">
      <c r="O34519" s="5" t="s">
        <v>355</v>
      </c>
      <c r="P34519" s="5" t="s">
        <v>355</v>
      </c>
      <c r="Q34519" s="5" t="s">
        <v>355</v>
      </c>
    </row>
    <row r="34520" ht="16.5" customHeight="1">
      <c r="O34520" s="5" t="s">
        <v>355</v>
      </c>
      <c r="P34520" s="5" t="s">
        <v>355</v>
      </c>
      <c r="Q34520" s="5" t="s">
        <v>355</v>
      </c>
    </row>
    <row r="34521" ht="16.5" customHeight="1">
      <c r="O34521" s="5" t="s">
        <v>355</v>
      </c>
      <c r="P34521" s="5" t="s">
        <v>355</v>
      </c>
      <c r="Q34521" s="5" t="s">
        <v>355</v>
      </c>
    </row>
    <row r="34522" ht="16.5" customHeight="1">
      <c r="O34522" s="5" t="s">
        <v>355</v>
      </c>
      <c r="P34522" s="5" t="s">
        <v>355</v>
      </c>
      <c r="Q34522" s="5" t="s">
        <v>355</v>
      </c>
    </row>
    <row r="34523" ht="16.5" customHeight="1">
      <c r="O34523" s="5" t="s">
        <v>355</v>
      </c>
      <c r="P34523" s="5" t="s">
        <v>355</v>
      </c>
      <c r="Q34523" s="5" t="s">
        <v>355</v>
      </c>
    </row>
    <row r="34524" ht="16.5" customHeight="1">
      <c r="O34524" s="5" t="s">
        <v>355</v>
      </c>
      <c r="P34524" s="5" t="s">
        <v>355</v>
      </c>
      <c r="Q34524" s="5" t="s">
        <v>355</v>
      </c>
    </row>
    <row r="34525" ht="16.5" customHeight="1">
      <c r="O34525" s="5" t="s">
        <v>355</v>
      </c>
      <c r="P34525" s="5" t="s">
        <v>355</v>
      </c>
      <c r="Q34525" s="5" t="s">
        <v>355</v>
      </c>
    </row>
    <row r="34526" ht="16.5" customHeight="1">
      <c r="O34526" s="5" t="s">
        <v>355</v>
      </c>
      <c r="P34526" s="5" t="s">
        <v>355</v>
      </c>
      <c r="Q34526" s="5" t="s">
        <v>355</v>
      </c>
    </row>
    <row r="34527" ht="16.5" customHeight="1">
      <c r="O34527" s="5" t="s">
        <v>355</v>
      </c>
      <c r="P34527" s="5" t="s">
        <v>355</v>
      </c>
      <c r="Q34527" s="5" t="s">
        <v>355</v>
      </c>
    </row>
    <row r="34528" ht="16.5" customHeight="1">
      <c r="O34528" s="5" t="s">
        <v>355</v>
      </c>
      <c r="P34528" s="5" t="s">
        <v>355</v>
      </c>
      <c r="Q34528" s="5" t="s">
        <v>355</v>
      </c>
    </row>
    <row r="34529" ht="16.5" customHeight="1">
      <c r="O34529" s="5" t="s">
        <v>355</v>
      </c>
      <c r="P34529" s="5" t="s">
        <v>355</v>
      </c>
      <c r="Q34529" s="5" t="s">
        <v>355</v>
      </c>
    </row>
    <row r="34530" ht="16.5" customHeight="1">
      <c r="O34530" s="5" t="s">
        <v>355</v>
      </c>
      <c r="P34530" s="5" t="s">
        <v>355</v>
      </c>
      <c r="Q34530" s="5" t="s">
        <v>355</v>
      </c>
    </row>
    <row r="34531" ht="16.5" customHeight="1">
      <c r="O34531" s="5" t="s">
        <v>355</v>
      </c>
      <c r="P34531" s="5" t="s">
        <v>355</v>
      </c>
      <c r="Q34531" s="5" t="s">
        <v>355</v>
      </c>
    </row>
    <row r="34532" ht="16.5" customHeight="1">
      <c r="O34532" s="5" t="s">
        <v>355</v>
      </c>
      <c r="P34532" s="5" t="s">
        <v>355</v>
      </c>
      <c r="Q34532" s="5" t="s">
        <v>355</v>
      </c>
    </row>
    <row r="34533" ht="16.5" customHeight="1">
      <c r="O34533" s="5" t="s">
        <v>355</v>
      </c>
      <c r="P34533" s="5" t="s">
        <v>355</v>
      </c>
      <c r="Q34533" s="5" t="s">
        <v>355</v>
      </c>
    </row>
    <row r="34534" ht="16.5" customHeight="1">
      <c r="O34534" s="5" t="s">
        <v>355</v>
      </c>
      <c r="P34534" s="5" t="s">
        <v>355</v>
      </c>
      <c r="Q34534" s="5" t="s">
        <v>355</v>
      </c>
    </row>
    <row r="34535" ht="16.5" customHeight="1">
      <c r="O34535" s="5" t="s">
        <v>355</v>
      </c>
      <c r="P34535" s="5" t="s">
        <v>355</v>
      </c>
      <c r="Q34535" s="5" t="s">
        <v>355</v>
      </c>
    </row>
    <row r="34536" ht="16.5" customHeight="1">
      <c r="O34536" s="5" t="s">
        <v>355</v>
      </c>
      <c r="P34536" s="5" t="s">
        <v>355</v>
      </c>
      <c r="Q34536" s="5" t="s">
        <v>355</v>
      </c>
    </row>
    <row r="34537" ht="16.5" customHeight="1">
      <c r="O34537" s="5" t="s">
        <v>355</v>
      </c>
      <c r="P34537" s="5" t="s">
        <v>355</v>
      </c>
      <c r="Q34537" s="5" t="s">
        <v>355</v>
      </c>
    </row>
    <row r="34538" ht="16.5" customHeight="1">
      <c r="O34538" s="5" t="s">
        <v>355</v>
      </c>
      <c r="P34538" s="5" t="s">
        <v>355</v>
      </c>
      <c r="Q34538" s="5" t="s">
        <v>355</v>
      </c>
    </row>
    <row r="34539" ht="16.5" customHeight="1">
      <c r="O34539" s="5" t="s">
        <v>355</v>
      </c>
      <c r="P34539" s="5" t="s">
        <v>355</v>
      </c>
      <c r="Q34539" s="5" t="s">
        <v>355</v>
      </c>
    </row>
    <row r="34540" ht="16.5" customHeight="1">
      <c r="O34540" s="5" t="s">
        <v>355</v>
      </c>
      <c r="P34540" s="5" t="s">
        <v>355</v>
      </c>
      <c r="Q34540" s="5" t="s">
        <v>355</v>
      </c>
    </row>
    <row r="34541" ht="16.5" customHeight="1">
      <c r="O34541" s="5" t="s">
        <v>355</v>
      </c>
      <c r="P34541" s="5" t="s">
        <v>355</v>
      </c>
      <c r="Q34541" s="5" t="s">
        <v>355</v>
      </c>
    </row>
    <row r="34542" ht="16.5" customHeight="1">
      <c r="O34542" s="5" t="s">
        <v>355</v>
      </c>
      <c r="P34542" s="5" t="s">
        <v>355</v>
      </c>
      <c r="Q34542" s="5" t="s">
        <v>355</v>
      </c>
    </row>
    <row r="34543" ht="16.5" customHeight="1">
      <c r="O34543" s="5" t="s">
        <v>355</v>
      </c>
      <c r="P34543" s="5" t="s">
        <v>355</v>
      </c>
      <c r="Q34543" s="5" t="s">
        <v>355</v>
      </c>
    </row>
    <row r="34544" ht="16.5" customHeight="1">
      <c r="O34544" s="5" t="s">
        <v>355</v>
      </c>
      <c r="P34544" s="5" t="s">
        <v>355</v>
      </c>
      <c r="Q34544" s="5" t="s">
        <v>355</v>
      </c>
    </row>
    <row r="34545" ht="16.5" customHeight="1">
      <c r="O34545" s="5" t="s">
        <v>355</v>
      </c>
      <c r="P34545" s="5" t="s">
        <v>355</v>
      </c>
      <c r="Q34545" s="5" t="s">
        <v>355</v>
      </c>
    </row>
    <row r="34546" ht="16.5" customHeight="1">
      <c r="O34546" s="5" t="s">
        <v>355</v>
      </c>
      <c r="P34546" s="5" t="s">
        <v>355</v>
      </c>
      <c r="Q34546" s="5" t="s">
        <v>355</v>
      </c>
    </row>
    <row r="34547" ht="16.5" customHeight="1">
      <c r="O34547" s="5" t="s">
        <v>355</v>
      </c>
      <c r="P34547" s="5" t="s">
        <v>355</v>
      </c>
      <c r="Q34547" s="5" t="s">
        <v>355</v>
      </c>
    </row>
    <row r="34548" ht="16.5" customHeight="1">
      <c r="O34548" s="5" t="s">
        <v>355</v>
      </c>
      <c r="P34548" s="5" t="s">
        <v>355</v>
      </c>
      <c r="Q34548" s="5" t="s">
        <v>355</v>
      </c>
    </row>
    <row r="34549" ht="16.5" customHeight="1">
      <c r="O34549" s="5" t="s">
        <v>355</v>
      </c>
      <c r="P34549" s="5" t="s">
        <v>355</v>
      </c>
      <c r="Q34549" s="5" t="s">
        <v>355</v>
      </c>
    </row>
    <row r="34550" ht="16.5" customHeight="1">
      <c r="O34550" s="5" t="s">
        <v>355</v>
      </c>
      <c r="P34550" s="5" t="s">
        <v>355</v>
      </c>
      <c r="Q34550" s="5" t="s">
        <v>355</v>
      </c>
    </row>
    <row r="34551" ht="16.5" customHeight="1">
      <c r="O34551" s="5" t="s">
        <v>355</v>
      </c>
      <c r="P34551" s="5" t="s">
        <v>355</v>
      </c>
      <c r="Q34551" s="5" t="s">
        <v>355</v>
      </c>
    </row>
    <row r="34552" ht="16.5" customHeight="1">
      <c r="O34552" s="5" t="s">
        <v>355</v>
      </c>
      <c r="P34552" s="5" t="s">
        <v>355</v>
      </c>
      <c r="Q34552" s="5" t="s">
        <v>355</v>
      </c>
    </row>
    <row r="34553" ht="16.5" customHeight="1">
      <c r="O34553" s="5" t="s">
        <v>355</v>
      </c>
      <c r="P34553" s="5" t="s">
        <v>355</v>
      </c>
      <c r="Q34553" s="5" t="s">
        <v>355</v>
      </c>
    </row>
    <row r="34554" ht="16.5" customHeight="1">
      <c r="O34554" s="5" t="s">
        <v>355</v>
      </c>
      <c r="P34554" s="5" t="s">
        <v>355</v>
      </c>
      <c r="Q34554" s="5" t="s">
        <v>355</v>
      </c>
    </row>
    <row r="34555" ht="16.5" customHeight="1">
      <c r="O34555" s="5" t="s">
        <v>355</v>
      </c>
      <c r="P34555" s="5" t="s">
        <v>355</v>
      </c>
      <c r="Q34555" s="5" t="s">
        <v>355</v>
      </c>
    </row>
    <row r="34556" ht="16.5" customHeight="1">
      <c r="O34556" s="5" t="s">
        <v>355</v>
      </c>
      <c r="P34556" s="5" t="s">
        <v>355</v>
      </c>
      <c r="Q34556" s="5" t="s">
        <v>355</v>
      </c>
    </row>
    <row r="34557" ht="16.5" customHeight="1">
      <c r="O34557" s="5" t="s">
        <v>355</v>
      </c>
      <c r="P34557" s="5" t="s">
        <v>355</v>
      </c>
      <c r="Q34557" s="5" t="s">
        <v>355</v>
      </c>
    </row>
    <row r="34558" ht="16.5" customHeight="1">
      <c r="O34558" s="5" t="s">
        <v>355</v>
      </c>
      <c r="P34558" s="5" t="s">
        <v>355</v>
      </c>
      <c r="Q34558" s="5" t="s">
        <v>355</v>
      </c>
    </row>
    <row r="34559" ht="16.5" customHeight="1">
      <c r="O34559" s="5" t="s">
        <v>355</v>
      </c>
      <c r="P34559" s="5" t="s">
        <v>355</v>
      </c>
      <c r="Q34559" s="5" t="s">
        <v>355</v>
      </c>
    </row>
    <row r="34560" ht="16.5" customHeight="1">
      <c r="O34560" s="5" t="s">
        <v>355</v>
      </c>
      <c r="P34560" s="5" t="s">
        <v>355</v>
      </c>
      <c r="Q34560" s="5" t="s">
        <v>355</v>
      </c>
    </row>
    <row r="34561" ht="16.5" customHeight="1">
      <c r="O34561" s="5" t="s">
        <v>355</v>
      </c>
      <c r="P34561" s="5" t="s">
        <v>355</v>
      </c>
      <c r="Q34561" s="5" t="s">
        <v>355</v>
      </c>
    </row>
    <row r="34562" ht="16.5" customHeight="1">
      <c r="O34562" s="5" t="s">
        <v>355</v>
      </c>
      <c r="P34562" s="5" t="s">
        <v>355</v>
      </c>
      <c r="Q34562" s="5" t="s">
        <v>355</v>
      </c>
    </row>
    <row r="34563" ht="16.5" customHeight="1">
      <c r="O34563" s="5" t="s">
        <v>355</v>
      </c>
      <c r="P34563" s="5" t="s">
        <v>355</v>
      </c>
      <c r="Q34563" s="5" t="s">
        <v>355</v>
      </c>
    </row>
    <row r="34564" ht="16.5" customHeight="1">
      <c r="O34564" s="5" t="s">
        <v>355</v>
      </c>
      <c r="P34564" s="5" t="s">
        <v>355</v>
      </c>
      <c r="Q34564" s="5" t="s">
        <v>355</v>
      </c>
    </row>
    <row r="34565" ht="16.5" customHeight="1">
      <c r="O34565" s="5" t="s">
        <v>355</v>
      </c>
      <c r="P34565" s="5" t="s">
        <v>355</v>
      </c>
      <c r="Q34565" s="5" t="s">
        <v>355</v>
      </c>
    </row>
    <row r="34566" ht="16.5" customHeight="1">
      <c r="O34566" s="5" t="s">
        <v>355</v>
      </c>
      <c r="P34566" s="5" t="s">
        <v>355</v>
      </c>
      <c r="Q34566" s="5" t="s">
        <v>355</v>
      </c>
    </row>
    <row r="34567" ht="16.5" customHeight="1">
      <c r="O34567" s="5" t="s">
        <v>355</v>
      </c>
      <c r="P34567" s="5" t="s">
        <v>355</v>
      </c>
      <c r="Q34567" s="5" t="s">
        <v>355</v>
      </c>
    </row>
    <row r="34568" ht="16.5" customHeight="1">
      <c r="O34568" s="5" t="s">
        <v>355</v>
      </c>
      <c r="P34568" s="5" t="s">
        <v>355</v>
      </c>
      <c r="Q34568" s="5" t="s">
        <v>355</v>
      </c>
    </row>
    <row r="34569" ht="16.5" customHeight="1">
      <c r="O34569" s="5" t="s">
        <v>355</v>
      </c>
      <c r="P34569" s="5" t="s">
        <v>355</v>
      </c>
      <c r="Q34569" s="5" t="s">
        <v>355</v>
      </c>
    </row>
    <row r="34570" ht="16.5" customHeight="1">
      <c r="O34570" s="5" t="s">
        <v>355</v>
      </c>
      <c r="P34570" s="5" t="s">
        <v>355</v>
      </c>
      <c r="Q34570" s="5" t="s">
        <v>355</v>
      </c>
    </row>
    <row r="34571" ht="16.5" customHeight="1">
      <c r="O34571" s="5" t="s">
        <v>355</v>
      </c>
      <c r="P34571" s="5" t="s">
        <v>355</v>
      </c>
      <c r="Q34571" s="5" t="s">
        <v>355</v>
      </c>
    </row>
    <row r="34572" ht="16.5" customHeight="1">
      <c r="O34572" s="5" t="s">
        <v>355</v>
      </c>
      <c r="P34572" s="5" t="s">
        <v>355</v>
      </c>
      <c r="Q34572" s="5" t="s">
        <v>355</v>
      </c>
    </row>
    <row r="34573" ht="16.5" customHeight="1">
      <c r="O34573" s="5" t="s">
        <v>355</v>
      </c>
      <c r="P34573" s="5" t="s">
        <v>355</v>
      </c>
      <c r="Q34573" s="5" t="s">
        <v>355</v>
      </c>
    </row>
    <row r="34574" ht="16.5" customHeight="1">
      <c r="O34574" s="5" t="s">
        <v>355</v>
      </c>
      <c r="P34574" s="5" t="s">
        <v>355</v>
      </c>
      <c r="Q34574" s="5" t="s">
        <v>355</v>
      </c>
    </row>
    <row r="34575" ht="16.5" customHeight="1">
      <c r="O34575" s="5" t="s">
        <v>355</v>
      </c>
      <c r="P34575" s="5" t="s">
        <v>355</v>
      </c>
      <c r="Q34575" s="5" t="s">
        <v>355</v>
      </c>
    </row>
    <row r="34576" ht="16.5" customHeight="1">
      <c r="O34576" s="5" t="s">
        <v>355</v>
      </c>
      <c r="P34576" s="5" t="s">
        <v>355</v>
      </c>
      <c r="Q34576" s="5" t="s">
        <v>355</v>
      </c>
    </row>
    <row r="34577" ht="16.5" customHeight="1">
      <c r="O34577" s="5" t="s">
        <v>355</v>
      </c>
      <c r="P34577" s="5" t="s">
        <v>355</v>
      </c>
      <c r="Q34577" s="5" t="s">
        <v>355</v>
      </c>
    </row>
    <row r="34578" ht="16.5" customHeight="1">
      <c r="O34578" s="5" t="s">
        <v>355</v>
      </c>
      <c r="P34578" s="5" t="s">
        <v>355</v>
      </c>
      <c r="Q34578" s="5" t="s">
        <v>355</v>
      </c>
    </row>
    <row r="34579" ht="16.5" customHeight="1">
      <c r="O34579" s="5" t="s">
        <v>355</v>
      </c>
      <c r="P34579" s="5" t="s">
        <v>355</v>
      </c>
      <c r="Q34579" s="5" t="s">
        <v>355</v>
      </c>
    </row>
    <row r="34580" ht="16.5" customHeight="1">
      <c r="O34580" s="5" t="s">
        <v>355</v>
      </c>
      <c r="P34580" s="5" t="s">
        <v>355</v>
      </c>
      <c r="Q34580" s="5" t="s">
        <v>355</v>
      </c>
    </row>
    <row r="34581" ht="16.5" customHeight="1">
      <c r="O34581" s="5" t="s">
        <v>355</v>
      </c>
      <c r="P34581" s="5" t="s">
        <v>355</v>
      </c>
      <c r="Q34581" s="5" t="s">
        <v>355</v>
      </c>
    </row>
    <row r="34582" ht="16.5" customHeight="1">
      <c r="O34582" s="5" t="s">
        <v>355</v>
      </c>
      <c r="P34582" s="5" t="s">
        <v>355</v>
      </c>
      <c r="Q34582" s="5" t="s">
        <v>355</v>
      </c>
    </row>
    <row r="34583" ht="16.5" customHeight="1">
      <c r="O34583" s="5" t="s">
        <v>355</v>
      </c>
      <c r="P34583" s="5" t="s">
        <v>355</v>
      </c>
      <c r="Q34583" s="5" t="s">
        <v>355</v>
      </c>
    </row>
    <row r="34584" ht="16.5" customHeight="1">
      <c r="O34584" s="5" t="s">
        <v>355</v>
      </c>
      <c r="P34584" s="5" t="s">
        <v>355</v>
      </c>
      <c r="Q34584" s="5" t="s">
        <v>355</v>
      </c>
    </row>
    <row r="34585" ht="16.5" customHeight="1">
      <c r="O34585" s="5" t="s">
        <v>355</v>
      </c>
      <c r="P34585" s="5" t="s">
        <v>355</v>
      </c>
      <c r="Q34585" s="5" t="s">
        <v>355</v>
      </c>
    </row>
    <row r="34586" ht="16.5" customHeight="1">
      <c r="O34586" s="5" t="s">
        <v>355</v>
      </c>
      <c r="P34586" s="5" t="s">
        <v>355</v>
      </c>
      <c r="Q34586" s="5" t="s">
        <v>355</v>
      </c>
    </row>
    <row r="34587" ht="16.5" customHeight="1">
      <c r="O34587" s="5" t="s">
        <v>355</v>
      </c>
      <c r="P34587" s="5" t="s">
        <v>355</v>
      </c>
      <c r="Q34587" s="5" t="s">
        <v>355</v>
      </c>
    </row>
    <row r="34588" ht="16.5" customHeight="1">
      <c r="O34588" s="5" t="s">
        <v>355</v>
      </c>
      <c r="P34588" s="5" t="s">
        <v>355</v>
      </c>
      <c r="Q34588" s="5" t="s">
        <v>355</v>
      </c>
    </row>
    <row r="34589" ht="16.5" customHeight="1">
      <c r="O34589" s="5" t="s">
        <v>355</v>
      </c>
      <c r="P34589" s="5" t="s">
        <v>355</v>
      </c>
      <c r="Q34589" s="5" t="s">
        <v>355</v>
      </c>
    </row>
    <row r="34590" ht="16.5" customHeight="1">
      <c r="O34590" s="5" t="s">
        <v>355</v>
      </c>
      <c r="P34590" s="5" t="s">
        <v>355</v>
      </c>
      <c r="Q34590" s="5" t="s">
        <v>355</v>
      </c>
    </row>
    <row r="34591" ht="16.5" customHeight="1">
      <c r="O34591" s="5" t="s">
        <v>355</v>
      </c>
      <c r="P34591" s="5" t="s">
        <v>355</v>
      </c>
      <c r="Q34591" s="5" t="s">
        <v>355</v>
      </c>
    </row>
    <row r="34592" ht="16.5" customHeight="1">
      <c r="O34592" s="5" t="s">
        <v>355</v>
      </c>
      <c r="P34592" s="5" t="s">
        <v>355</v>
      </c>
      <c r="Q34592" s="5" t="s">
        <v>355</v>
      </c>
    </row>
    <row r="34593" ht="16.5" customHeight="1">
      <c r="O34593" s="5" t="s">
        <v>355</v>
      </c>
      <c r="P34593" s="5" t="s">
        <v>355</v>
      </c>
      <c r="Q34593" s="5" t="s">
        <v>355</v>
      </c>
    </row>
    <row r="34594" ht="16.5" customHeight="1">
      <c r="O34594" s="5" t="s">
        <v>355</v>
      </c>
      <c r="P34594" s="5" t="s">
        <v>355</v>
      </c>
      <c r="Q34594" s="5" t="s">
        <v>355</v>
      </c>
    </row>
    <row r="34595" ht="16.5" customHeight="1">
      <c r="O34595" s="5" t="s">
        <v>355</v>
      </c>
      <c r="P34595" s="5" t="s">
        <v>355</v>
      </c>
      <c r="Q34595" s="5" t="s">
        <v>355</v>
      </c>
    </row>
    <row r="34596" ht="16.5" customHeight="1">
      <c r="O34596" s="5" t="s">
        <v>355</v>
      </c>
      <c r="P34596" s="5" t="s">
        <v>355</v>
      </c>
      <c r="Q34596" s="5" t="s">
        <v>355</v>
      </c>
    </row>
    <row r="34597" ht="16.5" customHeight="1">
      <c r="O34597" s="5" t="s">
        <v>355</v>
      </c>
      <c r="P34597" s="5" t="s">
        <v>355</v>
      </c>
      <c r="Q34597" s="5" t="s">
        <v>355</v>
      </c>
    </row>
    <row r="34598" ht="16.5" customHeight="1">
      <c r="O34598" s="5" t="s">
        <v>355</v>
      </c>
      <c r="P34598" s="5" t="s">
        <v>355</v>
      </c>
      <c r="Q34598" s="5" t="s">
        <v>355</v>
      </c>
    </row>
    <row r="34599" ht="16.5" customHeight="1">
      <c r="O34599" s="5" t="s">
        <v>355</v>
      </c>
      <c r="P34599" s="5" t="s">
        <v>355</v>
      </c>
      <c r="Q34599" s="5" t="s">
        <v>355</v>
      </c>
    </row>
    <row r="34600" ht="16.5" customHeight="1">
      <c r="O34600" s="5" t="s">
        <v>355</v>
      </c>
      <c r="P34600" s="5" t="s">
        <v>355</v>
      </c>
      <c r="Q34600" s="5" t="s">
        <v>355</v>
      </c>
    </row>
    <row r="34601" ht="16.5" customHeight="1">
      <c r="O34601" s="5" t="s">
        <v>355</v>
      </c>
      <c r="P34601" s="5" t="s">
        <v>355</v>
      </c>
      <c r="Q34601" s="5" t="s">
        <v>355</v>
      </c>
    </row>
    <row r="34602" ht="16.5" customHeight="1">
      <c r="O34602" s="5" t="s">
        <v>355</v>
      </c>
      <c r="P34602" s="5" t="s">
        <v>355</v>
      </c>
      <c r="Q34602" s="5" t="s">
        <v>355</v>
      </c>
    </row>
    <row r="34603" ht="16.5" customHeight="1">
      <c r="O34603" s="5" t="s">
        <v>355</v>
      </c>
      <c r="P34603" s="5" t="s">
        <v>355</v>
      </c>
      <c r="Q34603" s="5" t="s">
        <v>355</v>
      </c>
    </row>
    <row r="34604" ht="16.5" customHeight="1">
      <c r="O34604" s="5" t="s">
        <v>355</v>
      </c>
      <c r="P34604" s="5" t="s">
        <v>355</v>
      </c>
      <c r="Q34604" s="5" t="s">
        <v>355</v>
      </c>
    </row>
    <row r="34605" ht="16.5" customHeight="1">
      <c r="O34605" s="5" t="s">
        <v>355</v>
      </c>
      <c r="P34605" s="5" t="s">
        <v>355</v>
      </c>
      <c r="Q34605" s="5" t="s">
        <v>355</v>
      </c>
    </row>
    <row r="34606" ht="16.5" customHeight="1">
      <c r="O34606" s="5" t="s">
        <v>355</v>
      </c>
      <c r="P34606" s="5" t="s">
        <v>355</v>
      </c>
      <c r="Q34606" s="5" t="s">
        <v>355</v>
      </c>
    </row>
    <row r="34607" ht="16.5" customHeight="1">
      <c r="O34607" s="5" t="s">
        <v>355</v>
      </c>
      <c r="P34607" s="5" t="s">
        <v>355</v>
      </c>
      <c r="Q34607" s="5" t="s">
        <v>355</v>
      </c>
    </row>
    <row r="34608" ht="16.5" customHeight="1">
      <c r="O34608" s="5" t="s">
        <v>355</v>
      </c>
      <c r="P34608" s="5" t="s">
        <v>355</v>
      </c>
      <c r="Q34608" s="5" t="s">
        <v>355</v>
      </c>
    </row>
    <row r="34609" ht="16.5" customHeight="1">
      <c r="O34609" s="5" t="s">
        <v>355</v>
      </c>
      <c r="P34609" s="5" t="s">
        <v>355</v>
      </c>
      <c r="Q34609" s="5" t="s">
        <v>355</v>
      </c>
    </row>
    <row r="34610" ht="16.5" customHeight="1">
      <c r="O34610" s="5" t="s">
        <v>355</v>
      </c>
      <c r="P34610" s="5" t="s">
        <v>355</v>
      </c>
      <c r="Q34610" s="5" t="s">
        <v>355</v>
      </c>
    </row>
    <row r="34611" ht="16.5" customHeight="1">
      <c r="O34611" s="5" t="s">
        <v>355</v>
      </c>
      <c r="P34611" s="5" t="s">
        <v>355</v>
      </c>
      <c r="Q34611" s="5" t="s">
        <v>355</v>
      </c>
    </row>
    <row r="34612" ht="16.5" customHeight="1">
      <c r="O34612" s="5" t="s">
        <v>355</v>
      </c>
      <c r="P34612" s="5" t="s">
        <v>355</v>
      </c>
      <c r="Q34612" s="5" t="s">
        <v>355</v>
      </c>
    </row>
    <row r="34613" ht="16.5" customHeight="1">
      <c r="O34613" s="5" t="s">
        <v>355</v>
      </c>
      <c r="P34613" s="5" t="s">
        <v>355</v>
      </c>
      <c r="Q34613" s="5" t="s">
        <v>355</v>
      </c>
    </row>
    <row r="34614" ht="16.5" customHeight="1">
      <c r="O34614" s="5" t="s">
        <v>355</v>
      </c>
      <c r="P34614" s="5" t="s">
        <v>355</v>
      </c>
      <c r="Q34614" s="5" t="s">
        <v>355</v>
      </c>
    </row>
    <row r="34615" ht="16.5" customHeight="1">
      <c r="O34615" s="5" t="s">
        <v>355</v>
      </c>
      <c r="P34615" s="5" t="s">
        <v>355</v>
      </c>
      <c r="Q34615" s="5" t="s">
        <v>355</v>
      </c>
    </row>
    <row r="34616" ht="16.5" customHeight="1">
      <c r="O34616" s="5" t="s">
        <v>355</v>
      </c>
      <c r="P34616" s="5" t="s">
        <v>355</v>
      </c>
      <c r="Q34616" s="5" t="s">
        <v>355</v>
      </c>
    </row>
    <row r="34617" ht="16.5" customHeight="1">
      <c r="O34617" s="5" t="s">
        <v>355</v>
      </c>
      <c r="P34617" s="5" t="s">
        <v>355</v>
      </c>
      <c r="Q34617" s="5" t="s">
        <v>355</v>
      </c>
    </row>
    <row r="34618" ht="16.5" customHeight="1">
      <c r="O34618" s="5" t="s">
        <v>355</v>
      </c>
      <c r="P34618" s="5" t="s">
        <v>355</v>
      </c>
      <c r="Q34618" s="5" t="s">
        <v>355</v>
      </c>
    </row>
    <row r="34619" ht="16.5" customHeight="1">
      <c r="O34619" s="5" t="s">
        <v>355</v>
      </c>
      <c r="P34619" s="5" t="s">
        <v>355</v>
      </c>
      <c r="Q34619" s="5" t="s">
        <v>355</v>
      </c>
    </row>
    <row r="34620" ht="16.5" customHeight="1">
      <c r="O34620" s="5" t="s">
        <v>355</v>
      </c>
      <c r="P34620" s="5" t="s">
        <v>355</v>
      </c>
      <c r="Q34620" s="5" t="s">
        <v>355</v>
      </c>
    </row>
    <row r="34621" ht="16.5" customHeight="1">
      <c r="O34621" s="5" t="s">
        <v>355</v>
      </c>
      <c r="P34621" s="5" t="s">
        <v>355</v>
      </c>
      <c r="Q34621" s="5" t="s">
        <v>355</v>
      </c>
    </row>
    <row r="34622" ht="16.5" customHeight="1">
      <c r="O34622" s="5" t="s">
        <v>355</v>
      </c>
      <c r="P34622" s="5" t="s">
        <v>355</v>
      </c>
      <c r="Q34622" s="5" t="s">
        <v>355</v>
      </c>
    </row>
    <row r="34623" ht="16.5" customHeight="1">
      <c r="O34623" s="5" t="s">
        <v>355</v>
      </c>
      <c r="P34623" s="5" t="s">
        <v>355</v>
      </c>
      <c r="Q34623" s="5" t="s">
        <v>355</v>
      </c>
    </row>
    <row r="34624" ht="16.5" customHeight="1">
      <c r="O34624" s="5" t="s">
        <v>355</v>
      </c>
      <c r="P34624" s="5" t="s">
        <v>355</v>
      </c>
      <c r="Q34624" s="5" t="s">
        <v>355</v>
      </c>
    </row>
    <row r="34625" ht="16.5" customHeight="1">
      <c r="O34625" s="5" t="s">
        <v>355</v>
      </c>
      <c r="P34625" s="5" t="s">
        <v>355</v>
      </c>
      <c r="Q34625" s="5" t="s">
        <v>355</v>
      </c>
    </row>
    <row r="34626" ht="16.5" customHeight="1">
      <c r="O34626" s="5" t="s">
        <v>355</v>
      </c>
      <c r="P34626" s="5" t="s">
        <v>355</v>
      </c>
      <c r="Q34626" s="5" t="s">
        <v>355</v>
      </c>
    </row>
    <row r="34627" ht="16.5" customHeight="1">
      <c r="O34627" s="5" t="s">
        <v>355</v>
      </c>
      <c r="P34627" s="5" t="s">
        <v>355</v>
      </c>
      <c r="Q34627" s="5" t="s">
        <v>355</v>
      </c>
    </row>
    <row r="34628" ht="16.5" customHeight="1">
      <c r="O34628" s="5" t="s">
        <v>355</v>
      </c>
      <c r="P34628" s="5" t="s">
        <v>355</v>
      </c>
      <c r="Q34628" s="5" t="s">
        <v>355</v>
      </c>
    </row>
    <row r="34629" ht="16.5" customHeight="1">
      <c r="O34629" s="5" t="s">
        <v>355</v>
      </c>
      <c r="P34629" s="5" t="s">
        <v>355</v>
      </c>
      <c r="Q34629" s="5" t="s">
        <v>355</v>
      </c>
    </row>
    <row r="34630" ht="16.5" customHeight="1">
      <c r="O34630" s="5" t="s">
        <v>355</v>
      </c>
      <c r="P34630" s="5" t="s">
        <v>355</v>
      </c>
      <c r="Q34630" s="5" t="s">
        <v>355</v>
      </c>
    </row>
    <row r="34631" ht="16.5" customHeight="1">
      <c r="O34631" s="5" t="s">
        <v>355</v>
      </c>
      <c r="P34631" s="5" t="s">
        <v>355</v>
      </c>
      <c r="Q34631" s="5" t="s">
        <v>355</v>
      </c>
    </row>
    <row r="34632" ht="16.5" customHeight="1">
      <c r="O34632" s="5" t="s">
        <v>355</v>
      </c>
      <c r="P34632" s="5" t="s">
        <v>355</v>
      </c>
      <c r="Q34632" s="5" t="s">
        <v>355</v>
      </c>
    </row>
    <row r="34633" ht="16.5" customHeight="1">
      <c r="O34633" s="5" t="s">
        <v>355</v>
      </c>
      <c r="P34633" s="5" t="s">
        <v>355</v>
      </c>
      <c r="Q34633" s="5" t="s">
        <v>355</v>
      </c>
    </row>
    <row r="34634" ht="16.5" customHeight="1">
      <c r="O34634" s="5" t="s">
        <v>355</v>
      </c>
      <c r="P34634" s="5" t="s">
        <v>355</v>
      </c>
      <c r="Q34634" s="5" t="s">
        <v>355</v>
      </c>
    </row>
    <row r="34635" ht="16.5" customHeight="1">
      <c r="O34635" s="5" t="s">
        <v>355</v>
      </c>
      <c r="P34635" s="5" t="s">
        <v>355</v>
      </c>
      <c r="Q34635" s="5" t="s">
        <v>355</v>
      </c>
    </row>
    <row r="34636" ht="16.5" customHeight="1">
      <c r="O34636" s="5" t="s">
        <v>355</v>
      </c>
      <c r="P34636" s="5" t="s">
        <v>355</v>
      </c>
      <c r="Q34636" s="5" t="s">
        <v>355</v>
      </c>
    </row>
    <row r="34637" ht="16.5" customHeight="1">
      <c r="O34637" s="5" t="s">
        <v>355</v>
      </c>
      <c r="P34637" s="5" t="s">
        <v>355</v>
      </c>
      <c r="Q34637" s="5" t="s">
        <v>355</v>
      </c>
    </row>
    <row r="34638" ht="16.5" customHeight="1">
      <c r="O34638" s="5" t="s">
        <v>355</v>
      </c>
      <c r="P34638" s="5" t="s">
        <v>355</v>
      </c>
      <c r="Q34638" s="5" t="s">
        <v>355</v>
      </c>
    </row>
    <row r="34639" ht="16.5" customHeight="1">
      <c r="O34639" s="5" t="s">
        <v>355</v>
      </c>
      <c r="P34639" s="5" t="s">
        <v>355</v>
      </c>
      <c r="Q34639" s="5" t="s">
        <v>355</v>
      </c>
    </row>
    <row r="34640" ht="16.5" customHeight="1">
      <c r="O34640" s="5" t="s">
        <v>355</v>
      </c>
      <c r="P34640" s="5" t="s">
        <v>355</v>
      </c>
      <c r="Q34640" s="5" t="s">
        <v>355</v>
      </c>
    </row>
    <row r="34641" ht="16.5" customHeight="1">
      <c r="O34641" s="5" t="s">
        <v>355</v>
      </c>
      <c r="P34641" s="5" t="s">
        <v>355</v>
      </c>
      <c r="Q34641" s="5" t="s">
        <v>355</v>
      </c>
    </row>
    <row r="34642" ht="16.5" customHeight="1">
      <c r="O34642" s="5" t="s">
        <v>355</v>
      </c>
      <c r="P34642" s="5" t="s">
        <v>355</v>
      </c>
      <c r="Q34642" s="5" t="s">
        <v>355</v>
      </c>
    </row>
    <row r="34643" ht="16.5" customHeight="1">
      <c r="O34643" s="5" t="s">
        <v>355</v>
      </c>
      <c r="P34643" s="5" t="s">
        <v>355</v>
      </c>
      <c r="Q34643" s="5" t="s">
        <v>355</v>
      </c>
    </row>
    <row r="34644" ht="16.5" customHeight="1">
      <c r="O34644" s="5" t="s">
        <v>355</v>
      </c>
      <c r="P34644" s="5" t="s">
        <v>355</v>
      </c>
      <c r="Q34644" s="5" t="s">
        <v>355</v>
      </c>
    </row>
    <row r="34645" ht="16.5" customHeight="1">
      <c r="O34645" s="5" t="s">
        <v>355</v>
      </c>
      <c r="P34645" s="5" t="s">
        <v>355</v>
      </c>
      <c r="Q34645" s="5" t="s">
        <v>355</v>
      </c>
    </row>
    <row r="34646" ht="16.5" customHeight="1">
      <c r="O34646" s="5" t="s">
        <v>355</v>
      </c>
      <c r="P34646" s="5" t="s">
        <v>355</v>
      </c>
      <c r="Q34646" s="5" t="s">
        <v>355</v>
      </c>
    </row>
    <row r="34647" ht="16.5" customHeight="1">
      <c r="O34647" s="5" t="s">
        <v>355</v>
      </c>
      <c r="P34647" s="5" t="s">
        <v>355</v>
      </c>
      <c r="Q34647" s="5" t="s">
        <v>355</v>
      </c>
    </row>
    <row r="34648" ht="16.5" customHeight="1">
      <c r="O34648" s="5" t="s">
        <v>355</v>
      </c>
      <c r="P34648" s="5" t="s">
        <v>355</v>
      </c>
      <c r="Q34648" s="5" t="s">
        <v>355</v>
      </c>
    </row>
    <row r="34649" ht="16.5" customHeight="1">
      <c r="O34649" s="5" t="s">
        <v>355</v>
      </c>
      <c r="P34649" s="5" t="s">
        <v>355</v>
      </c>
      <c r="Q34649" s="5" t="s">
        <v>355</v>
      </c>
    </row>
    <row r="34650" ht="16.5" customHeight="1">
      <c r="O34650" s="5" t="s">
        <v>355</v>
      </c>
      <c r="P34650" s="5" t="s">
        <v>355</v>
      </c>
      <c r="Q34650" s="5" t="s">
        <v>355</v>
      </c>
    </row>
    <row r="34651" ht="16.5" customHeight="1">
      <c r="O34651" s="5" t="s">
        <v>355</v>
      </c>
      <c r="P34651" s="5" t="s">
        <v>355</v>
      </c>
      <c r="Q34651" s="5" t="s">
        <v>355</v>
      </c>
    </row>
    <row r="34652" ht="16.5" customHeight="1">
      <c r="O34652" s="5" t="s">
        <v>355</v>
      </c>
      <c r="P34652" s="5" t="s">
        <v>355</v>
      </c>
      <c r="Q34652" s="5" t="s">
        <v>355</v>
      </c>
    </row>
    <row r="34653" ht="16.5" customHeight="1">
      <c r="O34653" s="5" t="s">
        <v>355</v>
      </c>
      <c r="P34653" s="5" t="s">
        <v>355</v>
      </c>
      <c r="Q34653" s="5" t="s">
        <v>355</v>
      </c>
    </row>
    <row r="34654" ht="16.5" customHeight="1">
      <c r="O34654" s="5" t="s">
        <v>355</v>
      </c>
      <c r="P34654" s="5" t="s">
        <v>355</v>
      </c>
      <c r="Q34654" s="5" t="s">
        <v>355</v>
      </c>
    </row>
    <row r="34655" ht="16.5" customHeight="1">
      <c r="O34655" s="5" t="s">
        <v>355</v>
      </c>
      <c r="P34655" s="5" t="s">
        <v>355</v>
      </c>
      <c r="Q34655" s="5" t="s">
        <v>355</v>
      </c>
    </row>
    <row r="34656" ht="16.5" customHeight="1">
      <c r="O34656" s="5" t="s">
        <v>355</v>
      </c>
      <c r="P34656" s="5" t="s">
        <v>355</v>
      </c>
      <c r="Q34656" s="5" t="s">
        <v>355</v>
      </c>
    </row>
    <row r="34657" ht="16.5" customHeight="1">
      <c r="O34657" s="5" t="s">
        <v>355</v>
      </c>
      <c r="P34657" s="5" t="s">
        <v>355</v>
      </c>
      <c r="Q34657" s="5" t="s">
        <v>355</v>
      </c>
    </row>
    <row r="34658" ht="16.5" customHeight="1">
      <c r="O34658" s="5" t="s">
        <v>355</v>
      </c>
      <c r="P34658" s="5" t="s">
        <v>355</v>
      </c>
      <c r="Q34658" s="5" t="s">
        <v>355</v>
      </c>
    </row>
    <row r="34659" ht="16.5" customHeight="1">
      <c r="O34659" s="5" t="s">
        <v>355</v>
      </c>
      <c r="P34659" s="5" t="s">
        <v>355</v>
      </c>
      <c r="Q34659" s="5" t="s">
        <v>355</v>
      </c>
    </row>
    <row r="34660" ht="16.5" customHeight="1">
      <c r="O34660" s="5" t="s">
        <v>355</v>
      </c>
      <c r="P34660" s="5" t="s">
        <v>355</v>
      </c>
      <c r="Q34660" s="5" t="s">
        <v>355</v>
      </c>
    </row>
    <row r="34661" ht="16.5" customHeight="1">
      <c r="O34661" s="5" t="s">
        <v>355</v>
      </c>
      <c r="P34661" s="5" t="s">
        <v>355</v>
      </c>
      <c r="Q34661" s="5" t="s">
        <v>355</v>
      </c>
    </row>
    <row r="34662" ht="16.5" customHeight="1">
      <c r="O34662" s="5" t="s">
        <v>355</v>
      </c>
      <c r="P34662" s="5" t="s">
        <v>355</v>
      </c>
      <c r="Q34662" s="5" t="s">
        <v>355</v>
      </c>
    </row>
    <row r="34663" ht="16.5" customHeight="1">
      <c r="O34663" s="5" t="s">
        <v>355</v>
      </c>
      <c r="P34663" s="5" t="s">
        <v>355</v>
      </c>
      <c r="Q34663" s="5" t="s">
        <v>355</v>
      </c>
    </row>
    <row r="34664" ht="16.5" customHeight="1">
      <c r="O34664" s="5" t="s">
        <v>355</v>
      </c>
      <c r="P34664" s="5" t="s">
        <v>355</v>
      </c>
      <c r="Q34664" s="5" t="s">
        <v>355</v>
      </c>
    </row>
    <row r="34665" ht="16.5" customHeight="1">
      <c r="O34665" s="5" t="s">
        <v>355</v>
      </c>
      <c r="P34665" s="5" t="s">
        <v>355</v>
      </c>
      <c r="Q34665" s="5" t="s">
        <v>355</v>
      </c>
    </row>
    <row r="34666" ht="16.5" customHeight="1">
      <c r="O34666" s="5" t="s">
        <v>355</v>
      </c>
      <c r="P34666" s="5" t="s">
        <v>355</v>
      </c>
      <c r="Q34666" s="5" t="s">
        <v>355</v>
      </c>
    </row>
    <row r="34667" ht="16.5" customHeight="1">
      <c r="O34667" s="5" t="s">
        <v>355</v>
      </c>
      <c r="P34667" s="5" t="s">
        <v>355</v>
      </c>
      <c r="Q34667" s="5" t="s">
        <v>355</v>
      </c>
    </row>
    <row r="34668" ht="16.5" customHeight="1">
      <c r="O34668" s="5" t="s">
        <v>355</v>
      </c>
      <c r="P34668" s="5" t="s">
        <v>355</v>
      </c>
      <c r="Q34668" s="5" t="s">
        <v>355</v>
      </c>
    </row>
    <row r="34669" ht="16.5" customHeight="1">
      <c r="O34669" s="5" t="s">
        <v>355</v>
      </c>
      <c r="P34669" s="5" t="s">
        <v>355</v>
      </c>
      <c r="Q34669" s="5" t="s">
        <v>355</v>
      </c>
    </row>
    <row r="34670" ht="16.5" customHeight="1">
      <c r="O34670" s="5" t="s">
        <v>355</v>
      </c>
      <c r="P34670" s="5" t="s">
        <v>355</v>
      </c>
      <c r="Q34670" s="5" t="s">
        <v>355</v>
      </c>
    </row>
    <row r="34671" ht="16.5" customHeight="1">
      <c r="O34671" s="5" t="s">
        <v>355</v>
      </c>
      <c r="P34671" s="5" t="s">
        <v>355</v>
      </c>
      <c r="Q34671" s="5" t="s">
        <v>355</v>
      </c>
    </row>
    <row r="34672" ht="16.5" customHeight="1">
      <c r="O34672" s="5" t="s">
        <v>355</v>
      </c>
      <c r="P34672" s="5" t="s">
        <v>355</v>
      </c>
      <c r="Q34672" s="5" t="s">
        <v>355</v>
      </c>
    </row>
    <row r="34673" ht="16.5" customHeight="1">
      <c r="O34673" s="5" t="s">
        <v>355</v>
      </c>
      <c r="P34673" s="5" t="s">
        <v>355</v>
      </c>
      <c r="Q34673" s="5" t="s">
        <v>355</v>
      </c>
    </row>
    <row r="34674" ht="16.5" customHeight="1">
      <c r="O34674" s="5" t="s">
        <v>355</v>
      </c>
      <c r="P34674" s="5" t="s">
        <v>355</v>
      </c>
      <c r="Q34674" s="5" t="s">
        <v>355</v>
      </c>
    </row>
    <row r="34675" ht="16.5" customHeight="1">
      <c r="O34675" s="5" t="s">
        <v>355</v>
      </c>
      <c r="P34675" s="5" t="s">
        <v>355</v>
      </c>
      <c r="Q34675" s="5" t="s">
        <v>355</v>
      </c>
    </row>
    <row r="34676" ht="16.5" customHeight="1">
      <c r="O34676" s="5" t="s">
        <v>355</v>
      </c>
      <c r="P34676" s="5" t="s">
        <v>355</v>
      </c>
      <c r="Q34676" s="5" t="s">
        <v>355</v>
      </c>
    </row>
    <row r="34677" ht="16.5" customHeight="1">
      <c r="O34677" s="5" t="s">
        <v>355</v>
      </c>
      <c r="P34677" s="5" t="s">
        <v>355</v>
      </c>
      <c r="Q34677" s="5" t="s">
        <v>355</v>
      </c>
    </row>
    <row r="34678" ht="16.5" customHeight="1">
      <c r="O34678" s="5" t="s">
        <v>355</v>
      </c>
      <c r="P34678" s="5" t="s">
        <v>355</v>
      </c>
      <c r="Q34678" s="5" t="s">
        <v>355</v>
      </c>
    </row>
    <row r="34679" ht="16.5" customHeight="1">
      <c r="O34679" s="5" t="s">
        <v>355</v>
      </c>
      <c r="P34679" s="5" t="s">
        <v>355</v>
      </c>
      <c r="Q34679" s="5" t="s">
        <v>355</v>
      </c>
    </row>
    <row r="34680" ht="16.5" customHeight="1">
      <c r="O34680" s="5" t="s">
        <v>355</v>
      </c>
      <c r="P34680" s="5" t="s">
        <v>355</v>
      </c>
      <c r="Q34680" s="5" t="s">
        <v>355</v>
      </c>
    </row>
    <row r="34681" ht="16.5" customHeight="1">
      <c r="O34681" s="5" t="s">
        <v>355</v>
      </c>
      <c r="P34681" s="5" t="s">
        <v>355</v>
      </c>
      <c r="Q34681" s="5" t="s">
        <v>355</v>
      </c>
    </row>
    <row r="34682" ht="16.5" customHeight="1">
      <c r="O34682" s="5" t="s">
        <v>355</v>
      </c>
      <c r="P34682" s="5" t="s">
        <v>355</v>
      </c>
      <c r="Q34682" s="5" t="s">
        <v>355</v>
      </c>
    </row>
    <row r="34683" ht="16.5" customHeight="1">
      <c r="O34683" s="5" t="s">
        <v>355</v>
      </c>
      <c r="P34683" s="5" t="s">
        <v>355</v>
      </c>
      <c r="Q34683" s="5" t="s">
        <v>355</v>
      </c>
    </row>
    <row r="34684" ht="16.5" customHeight="1">
      <c r="O34684" s="5" t="s">
        <v>355</v>
      </c>
      <c r="P34684" s="5" t="s">
        <v>355</v>
      </c>
      <c r="Q34684" s="5" t="s">
        <v>355</v>
      </c>
    </row>
    <row r="34685" ht="16.5" customHeight="1">
      <c r="O34685" s="5" t="s">
        <v>355</v>
      </c>
      <c r="P34685" s="5" t="s">
        <v>355</v>
      </c>
      <c r="Q34685" s="5" t="s">
        <v>355</v>
      </c>
    </row>
    <row r="34686" ht="16.5" customHeight="1">
      <c r="O34686" s="5" t="s">
        <v>355</v>
      </c>
      <c r="P34686" s="5" t="s">
        <v>355</v>
      </c>
      <c r="Q34686" s="5" t="s">
        <v>355</v>
      </c>
    </row>
    <row r="34687" ht="16.5" customHeight="1">
      <c r="O34687" s="5" t="s">
        <v>355</v>
      </c>
      <c r="P34687" s="5" t="s">
        <v>355</v>
      </c>
      <c r="Q34687" s="5" t="s">
        <v>355</v>
      </c>
    </row>
    <row r="34688" ht="16.5" customHeight="1">
      <c r="O34688" s="5" t="s">
        <v>355</v>
      </c>
      <c r="P34688" s="5" t="s">
        <v>355</v>
      </c>
      <c r="Q34688" s="5" t="s">
        <v>355</v>
      </c>
    </row>
    <row r="34689" ht="16.5" customHeight="1">
      <c r="O34689" s="5" t="s">
        <v>355</v>
      </c>
      <c r="P34689" s="5" t="s">
        <v>355</v>
      </c>
      <c r="Q34689" s="5" t="s">
        <v>355</v>
      </c>
    </row>
    <row r="34690" ht="16.5" customHeight="1">
      <c r="O34690" s="5" t="s">
        <v>355</v>
      </c>
      <c r="P34690" s="5" t="s">
        <v>355</v>
      </c>
      <c r="Q34690" s="5" t="s">
        <v>355</v>
      </c>
    </row>
    <row r="34691" ht="16.5" customHeight="1">
      <c r="O34691" s="5" t="s">
        <v>355</v>
      </c>
      <c r="P34691" s="5" t="s">
        <v>355</v>
      </c>
      <c r="Q34691" s="5" t="s">
        <v>355</v>
      </c>
    </row>
    <row r="34692" ht="16.5" customHeight="1">
      <c r="O34692" s="5" t="s">
        <v>355</v>
      </c>
      <c r="P34692" s="5" t="s">
        <v>355</v>
      </c>
      <c r="Q34692" s="5" t="s">
        <v>355</v>
      </c>
    </row>
    <row r="34693" ht="16.5" customHeight="1">
      <c r="O34693" s="5" t="s">
        <v>355</v>
      </c>
      <c r="P34693" s="5" t="s">
        <v>355</v>
      </c>
      <c r="Q34693" s="5" t="s">
        <v>355</v>
      </c>
    </row>
    <row r="34694" ht="16.5" customHeight="1">
      <c r="O34694" s="5" t="s">
        <v>355</v>
      </c>
      <c r="P34694" s="5" t="s">
        <v>355</v>
      </c>
      <c r="Q34694" s="5" t="s">
        <v>355</v>
      </c>
    </row>
    <row r="34695" ht="16.5" customHeight="1">
      <c r="O34695" s="5" t="s">
        <v>355</v>
      </c>
      <c r="P34695" s="5" t="s">
        <v>355</v>
      </c>
      <c r="Q34695" s="5" t="s">
        <v>355</v>
      </c>
    </row>
    <row r="34696" ht="16.5" customHeight="1">
      <c r="O34696" s="5" t="s">
        <v>355</v>
      </c>
      <c r="P34696" s="5" t="s">
        <v>355</v>
      </c>
      <c r="Q34696" s="5" t="s">
        <v>355</v>
      </c>
    </row>
    <row r="34697" ht="16.5" customHeight="1">
      <c r="O34697" s="5" t="s">
        <v>355</v>
      </c>
      <c r="P34697" s="5" t="s">
        <v>355</v>
      </c>
      <c r="Q34697" s="5" t="s">
        <v>355</v>
      </c>
    </row>
    <row r="34698" ht="16.5" customHeight="1">
      <c r="O34698" s="5" t="s">
        <v>355</v>
      </c>
      <c r="P34698" s="5" t="s">
        <v>355</v>
      </c>
      <c r="Q34698" s="5" t="s">
        <v>355</v>
      </c>
    </row>
    <row r="34699" ht="16.5" customHeight="1">
      <c r="O34699" s="5" t="s">
        <v>355</v>
      </c>
      <c r="P34699" s="5" t="s">
        <v>355</v>
      </c>
      <c r="Q34699" s="5" t="s">
        <v>355</v>
      </c>
    </row>
    <row r="34700" ht="16.5" customHeight="1">
      <c r="O34700" s="5" t="s">
        <v>355</v>
      </c>
      <c r="P34700" s="5" t="s">
        <v>355</v>
      </c>
      <c r="Q34700" s="5" t="s">
        <v>355</v>
      </c>
    </row>
    <row r="34701" ht="16.5" customHeight="1">
      <c r="O34701" s="5" t="s">
        <v>355</v>
      </c>
      <c r="P34701" s="5" t="s">
        <v>355</v>
      </c>
      <c r="Q34701" s="5" t="s">
        <v>355</v>
      </c>
    </row>
    <row r="34702" ht="16.5" customHeight="1">
      <c r="O34702" s="5" t="s">
        <v>355</v>
      </c>
      <c r="P34702" s="5" t="s">
        <v>355</v>
      </c>
      <c r="Q34702" s="5" t="s">
        <v>355</v>
      </c>
    </row>
    <row r="34703" ht="16.5" customHeight="1">
      <c r="O34703" s="5" t="s">
        <v>355</v>
      </c>
      <c r="P34703" s="5" t="s">
        <v>355</v>
      </c>
      <c r="Q34703" s="5" t="s">
        <v>355</v>
      </c>
    </row>
    <row r="34704" ht="16.5" customHeight="1">
      <c r="O34704" s="5" t="s">
        <v>355</v>
      </c>
      <c r="P34704" s="5" t="s">
        <v>355</v>
      </c>
      <c r="Q34704" s="5" t="s">
        <v>355</v>
      </c>
    </row>
    <row r="34705" ht="16.5" customHeight="1">
      <c r="O34705" s="5" t="s">
        <v>355</v>
      </c>
      <c r="P34705" s="5" t="s">
        <v>355</v>
      </c>
      <c r="Q34705" s="5" t="s">
        <v>355</v>
      </c>
    </row>
    <row r="34706" ht="16.5" customHeight="1">
      <c r="O34706" s="5" t="s">
        <v>355</v>
      </c>
      <c r="P34706" s="5" t="s">
        <v>355</v>
      </c>
      <c r="Q34706" s="5" t="s">
        <v>355</v>
      </c>
    </row>
    <row r="34707" ht="16.5" customHeight="1">
      <c r="O34707" s="5" t="s">
        <v>355</v>
      </c>
      <c r="P34707" s="5" t="s">
        <v>355</v>
      </c>
      <c r="Q34707" s="5" t="s">
        <v>355</v>
      </c>
    </row>
    <row r="34708" ht="16.5" customHeight="1">
      <c r="O34708" s="5" t="s">
        <v>355</v>
      </c>
      <c r="P34708" s="5" t="s">
        <v>355</v>
      </c>
      <c r="Q34708" s="5" t="s">
        <v>355</v>
      </c>
    </row>
    <row r="34709" ht="16.5" customHeight="1">
      <c r="O34709" s="5" t="s">
        <v>355</v>
      </c>
      <c r="P34709" s="5" t="s">
        <v>355</v>
      </c>
      <c r="Q34709" s="5" t="s">
        <v>355</v>
      </c>
    </row>
    <row r="34710" ht="16.5" customHeight="1">
      <c r="O34710" s="5" t="s">
        <v>355</v>
      </c>
      <c r="P34710" s="5" t="s">
        <v>355</v>
      </c>
      <c r="Q34710" s="5" t="s">
        <v>355</v>
      </c>
    </row>
    <row r="34711" ht="16.5" customHeight="1">
      <c r="O34711" s="5" t="s">
        <v>355</v>
      </c>
      <c r="P34711" s="5" t="s">
        <v>355</v>
      </c>
      <c r="Q34711" s="5" t="s">
        <v>355</v>
      </c>
    </row>
    <row r="34712" ht="16.5" customHeight="1">
      <c r="O34712" s="5" t="s">
        <v>355</v>
      </c>
      <c r="P34712" s="5" t="s">
        <v>355</v>
      </c>
      <c r="Q34712" s="5" t="s">
        <v>355</v>
      </c>
    </row>
    <row r="34713" ht="16.5" customHeight="1">
      <c r="O34713" s="5" t="s">
        <v>355</v>
      </c>
      <c r="P34713" s="5" t="s">
        <v>355</v>
      </c>
      <c r="Q34713" s="5" t="s">
        <v>355</v>
      </c>
    </row>
    <row r="34714" ht="16.5" customHeight="1">
      <c r="O34714" s="5" t="s">
        <v>355</v>
      </c>
      <c r="P34714" s="5" t="s">
        <v>355</v>
      </c>
      <c r="Q34714" s="5" t="s">
        <v>355</v>
      </c>
    </row>
    <row r="34715" ht="16.5" customHeight="1">
      <c r="O34715" s="5" t="s">
        <v>355</v>
      </c>
      <c r="P34715" s="5" t="s">
        <v>355</v>
      </c>
      <c r="Q34715" s="5" t="s">
        <v>355</v>
      </c>
    </row>
    <row r="34716" ht="16.5" customHeight="1">
      <c r="O34716" s="5" t="s">
        <v>355</v>
      </c>
      <c r="P34716" s="5" t="s">
        <v>355</v>
      </c>
      <c r="Q34716" s="5" t="s">
        <v>355</v>
      </c>
    </row>
    <row r="34717" ht="16.5" customHeight="1">
      <c r="O34717" s="5" t="s">
        <v>355</v>
      </c>
      <c r="P34717" s="5" t="s">
        <v>355</v>
      </c>
      <c r="Q34717" s="5" t="s">
        <v>355</v>
      </c>
    </row>
    <row r="34718" ht="16.5" customHeight="1">
      <c r="O34718" s="5" t="s">
        <v>355</v>
      </c>
      <c r="P34718" s="5" t="s">
        <v>355</v>
      </c>
      <c r="Q34718" s="5" t="s">
        <v>355</v>
      </c>
    </row>
    <row r="34719" ht="16.5" customHeight="1">
      <c r="O34719" s="5" t="s">
        <v>355</v>
      </c>
      <c r="P34719" s="5" t="s">
        <v>355</v>
      </c>
      <c r="Q34719" s="5" t="s">
        <v>355</v>
      </c>
    </row>
    <row r="34720" ht="16.5" customHeight="1">
      <c r="O34720" s="5" t="s">
        <v>355</v>
      </c>
      <c r="P34720" s="5" t="s">
        <v>355</v>
      </c>
      <c r="Q34720" s="5" t="s">
        <v>355</v>
      </c>
    </row>
    <row r="34721" ht="16.5" customHeight="1">
      <c r="O34721" s="5" t="s">
        <v>355</v>
      </c>
      <c r="P34721" s="5" t="s">
        <v>355</v>
      </c>
      <c r="Q34721" s="5" t="s">
        <v>355</v>
      </c>
    </row>
    <row r="34722" ht="16.5" customHeight="1">
      <c r="O34722" s="5" t="s">
        <v>355</v>
      </c>
      <c r="P34722" s="5" t="s">
        <v>355</v>
      </c>
      <c r="Q34722" s="5" t="s">
        <v>355</v>
      </c>
    </row>
    <row r="34723" ht="16.5" customHeight="1">
      <c r="O34723" s="5" t="s">
        <v>355</v>
      </c>
      <c r="P34723" s="5" t="s">
        <v>355</v>
      </c>
      <c r="Q34723" s="5" t="s">
        <v>355</v>
      </c>
    </row>
    <row r="34724" ht="16.5" customHeight="1">
      <c r="O34724" s="5" t="s">
        <v>355</v>
      </c>
      <c r="P34724" s="5" t="s">
        <v>355</v>
      </c>
      <c r="Q34724" s="5" t="s">
        <v>355</v>
      </c>
    </row>
    <row r="34725" ht="16.5" customHeight="1">
      <c r="O34725" s="5" t="s">
        <v>355</v>
      </c>
      <c r="P34725" s="5" t="s">
        <v>355</v>
      </c>
      <c r="Q34725" s="5" t="s">
        <v>355</v>
      </c>
    </row>
    <row r="34726" ht="16.5" customHeight="1">
      <c r="O34726" s="5" t="s">
        <v>355</v>
      </c>
      <c r="P34726" s="5" t="s">
        <v>355</v>
      </c>
      <c r="Q34726" s="5" t="s">
        <v>355</v>
      </c>
    </row>
    <row r="34727" ht="16.5" customHeight="1">
      <c r="O34727" s="5" t="s">
        <v>355</v>
      </c>
      <c r="P34727" s="5" t="s">
        <v>355</v>
      </c>
      <c r="Q34727" s="5" t="s">
        <v>355</v>
      </c>
    </row>
    <row r="34728" ht="16.5" customHeight="1">
      <c r="O34728" s="5" t="s">
        <v>355</v>
      </c>
      <c r="P34728" s="5" t="s">
        <v>355</v>
      </c>
      <c r="Q34728" s="5" t="s">
        <v>355</v>
      </c>
    </row>
    <row r="34729" ht="16.5" customHeight="1">
      <c r="O34729" s="5" t="s">
        <v>355</v>
      </c>
      <c r="P34729" s="5" t="s">
        <v>355</v>
      </c>
      <c r="Q34729" s="5" t="s">
        <v>355</v>
      </c>
    </row>
    <row r="34730" ht="16.5" customHeight="1">
      <c r="O34730" s="5" t="s">
        <v>355</v>
      </c>
      <c r="P34730" s="5" t="s">
        <v>355</v>
      </c>
      <c r="Q34730" s="5" t="s">
        <v>355</v>
      </c>
    </row>
    <row r="34731" ht="16.5" customHeight="1">
      <c r="O34731" s="5" t="s">
        <v>355</v>
      </c>
      <c r="P34731" s="5" t="s">
        <v>355</v>
      </c>
      <c r="Q34731" s="5" t="s">
        <v>355</v>
      </c>
    </row>
    <row r="34732" ht="16.5" customHeight="1">
      <c r="O34732" s="5" t="s">
        <v>355</v>
      </c>
      <c r="P34732" s="5" t="s">
        <v>355</v>
      </c>
      <c r="Q34732" s="5" t="s">
        <v>355</v>
      </c>
    </row>
    <row r="34733" ht="16.5" customHeight="1">
      <c r="O34733" s="5" t="s">
        <v>355</v>
      </c>
      <c r="P34733" s="5" t="s">
        <v>355</v>
      </c>
      <c r="Q34733" s="5" t="s">
        <v>355</v>
      </c>
    </row>
    <row r="34734" ht="16.5" customHeight="1">
      <c r="O34734" s="5" t="s">
        <v>355</v>
      </c>
      <c r="P34734" s="5" t="s">
        <v>355</v>
      </c>
      <c r="Q34734" s="5" t="s">
        <v>355</v>
      </c>
    </row>
    <row r="34735" ht="16.5" customHeight="1">
      <c r="O34735" s="5" t="s">
        <v>355</v>
      </c>
      <c r="P34735" s="5" t="s">
        <v>355</v>
      </c>
      <c r="Q34735" s="5" t="s">
        <v>355</v>
      </c>
    </row>
    <row r="34736" ht="16.5" customHeight="1">
      <c r="O34736" s="5" t="s">
        <v>355</v>
      </c>
      <c r="P34736" s="5" t="s">
        <v>355</v>
      </c>
      <c r="Q34736" s="5" t="s">
        <v>355</v>
      </c>
    </row>
    <row r="34737" ht="16.5" customHeight="1">
      <c r="O34737" s="5" t="s">
        <v>355</v>
      </c>
      <c r="P34737" s="5" t="s">
        <v>355</v>
      </c>
      <c r="Q34737" s="5" t="s">
        <v>355</v>
      </c>
    </row>
    <row r="34738" ht="16.5" customHeight="1">
      <c r="O34738" s="5" t="s">
        <v>355</v>
      </c>
      <c r="P34738" s="5" t="s">
        <v>355</v>
      </c>
      <c r="Q34738" s="5" t="s">
        <v>355</v>
      </c>
    </row>
    <row r="34739" ht="16.5" customHeight="1">
      <c r="O34739" s="5" t="s">
        <v>355</v>
      </c>
      <c r="P34739" s="5" t="s">
        <v>355</v>
      </c>
      <c r="Q34739" s="5" t="s">
        <v>355</v>
      </c>
    </row>
    <row r="34740" ht="16.5" customHeight="1">
      <c r="O34740" s="5" t="s">
        <v>355</v>
      </c>
      <c r="P34740" s="5" t="s">
        <v>355</v>
      </c>
      <c r="Q34740" s="5" t="s">
        <v>355</v>
      </c>
    </row>
    <row r="34741" ht="16.5" customHeight="1">
      <c r="O34741" s="5" t="s">
        <v>355</v>
      </c>
      <c r="P34741" s="5" t="s">
        <v>355</v>
      </c>
      <c r="Q34741" s="5" t="s">
        <v>355</v>
      </c>
    </row>
    <row r="34742" ht="16.5" customHeight="1">
      <c r="O34742" s="5" t="s">
        <v>355</v>
      </c>
      <c r="P34742" s="5" t="s">
        <v>355</v>
      </c>
      <c r="Q34742" s="5" t="s">
        <v>355</v>
      </c>
    </row>
    <row r="34743" ht="16.5" customHeight="1">
      <c r="O34743" s="5" t="s">
        <v>355</v>
      </c>
      <c r="P34743" s="5" t="s">
        <v>355</v>
      </c>
      <c r="Q34743" s="5" t="s">
        <v>355</v>
      </c>
    </row>
    <row r="34744" ht="16.5" customHeight="1">
      <c r="O34744" s="5" t="s">
        <v>355</v>
      </c>
      <c r="P34744" s="5" t="s">
        <v>355</v>
      </c>
      <c r="Q34744" s="5" t="s">
        <v>355</v>
      </c>
    </row>
    <row r="34745" ht="16.5" customHeight="1">
      <c r="O34745" s="5" t="s">
        <v>355</v>
      </c>
      <c r="P34745" s="5" t="s">
        <v>355</v>
      </c>
      <c r="Q34745" s="5" t="s">
        <v>355</v>
      </c>
    </row>
    <row r="34746" ht="16.5" customHeight="1">
      <c r="O34746" s="5" t="s">
        <v>355</v>
      </c>
      <c r="P34746" s="5" t="s">
        <v>355</v>
      </c>
      <c r="Q34746" s="5" t="s">
        <v>355</v>
      </c>
    </row>
    <row r="34747" ht="16.5" customHeight="1">
      <c r="O34747" s="5" t="s">
        <v>355</v>
      </c>
      <c r="P34747" s="5" t="s">
        <v>355</v>
      </c>
      <c r="Q34747" s="5" t="s">
        <v>355</v>
      </c>
    </row>
    <row r="34748" ht="16.5" customHeight="1">
      <c r="O34748" s="5" t="s">
        <v>355</v>
      </c>
      <c r="P34748" s="5" t="s">
        <v>355</v>
      </c>
      <c r="Q34748" s="5" t="s">
        <v>355</v>
      </c>
    </row>
    <row r="34749" ht="16.5" customHeight="1">
      <c r="O34749" s="5" t="s">
        <v>355</v>
      </c>
      <c r="P34749" s="5" t="s">
        <v>355</v>
      </c>
      <c r="Q34749" s="5" t="s">
        <v>355</v>
      </c>
    </row>
    <row r="34750" ht="16.5" customHeight="1">
      <c r="O34750" s="5" t="s">
        <v>355</v>
      </c>
      <c r="P34750" s="5" t="s">
        <v>355</v>
      </c>
      <c r="Q34750" s="5" t="s">
        <v>355</v>
      </c>
    </row>
    <row r="34751" ht="16.5" customHeight="1">
      <c r="O34751" s="5" t="s">
        <v>355</v>
      </c>
      <c r="P34751" s="5" t="s">
        <v>355</v>
      </c>
      <c r="Q34751" s="5" t="s">
        <v>355</v>
      </c>
    </row>
    <row r="34752" ht="16.5" customHeight="1">
      <c r="O34752" s="5" t="s">
        <v>355</v>
      </c>
      <c r="P34752" s="5" t="s">
        <v>355</v>
      </c>
      <c r="Q34752" s="5" t="s">
        <v>355</v>
      </c>
    </row>
    <row r="34753" ht="16.5" customHeight="1">
      <c r="O34753" s="5" t="s">
        <v>355</v>
      </c>
      <c r="P34753" s="5" t="s">
        <v>355</v>
      </c>
      <c r="Q34753" s="5" t="s">
        <v>355</v>
      </c>
    </row>
    <row r="34754" ht="16.5" customHeight="1">
      <c r="O34754" s="5" t="s">
        <v>355</v>
      </c>
      <c r="P34754" s="5" t="s">
        <v>355</v>
      </c>
      <c r="Q34754" s="5" t="s">
        <v>355</v>
      </c>
    </row>
    <row r="34755" ht="16.5" customHeight="1">
      <c r="O34755" s="5" t="s">
        <v>355</v>
      </c>
      <c r="P34755" s="5" t="s">
        <v>355</v>
      </c>
      <c r="Q34755" s="5" t="s">
        <v>355</v>
      </c>
    </row>
    <row r="34756" ht="16.5" customHeight="1">
      <c r="O34756" s="5" t="s">
        <v>355</v>
      </c>
      <c r="P34756" s="5" t="s">
        <v>355</v>
      </c>
      <c r="Q34756" s="5" t="s">
        <v>355</v>
      </c>
    </row>
    <row r="34757" ht="16.5" customHeight="1">
      <c r="O34757" s="5" t="s">
        <v>355</v>
      </c>
      <c r="P34757" s="5" t="s">
        <v>355</v>
      </c>
      <c r="Q34757" s="5" t="s">
        <v>355</v>
      </c>
    </row>
    <row r="34758" ht="16.5" customHeight="1">
      <c r="O34758" s="5" t="s">
        <v>355</v>
      </c>
      <c r="P34758" s="5" t="s">
        <v>355</v>
      </c>
      <c r="Q34758" s="5" t="s">
        <v>355</v>
      </c>
    </row>
    <row r="34759" ht="16.5" customHeight="1">
      <c r="O34759" s="5" t="s">
        <v>355</v>
      </c>
      <c r="P34759" s="5" t="s">
        <v>355</v>
      </c>
      <c r="Q34759" s="5" t="s">
        <v>355</v>
      </c>
    </row>
    <row r="34760" ht="16.5" customHeight="1">
      <c r="O34760" s="5" t="s">
        <v>355</v>
      </c>
      <c r="P34760" s="5" t="s">
        <v>355</v>
      </c>
      <c r="Q34760" s="5" t="s">
        <v>355</v>
      </c>
    </row>
    <row r="34761" ht="16.5" customHeight="1">
      <c r="O34761" s="5" t="s">
        <v>355</v>
      </c>
      <c r="P34761" s="5" t="s">
        <v>355</v>
      </c>
      <c r="Q34761" s="5" t="s">
        <v>355</v>
      </c>
    </row>
    <row r="34762" ht="16.5" customHeight="1">
      <c r="O34762" s="5" t="s">
        <v>355</v>
      </c>
      <c r="P34762" s="5" t="s">
        <v>355</v>
      </c>
      <c r="Q34762" s="5" t="s">
        <v>355</v>
      </c>
    </row>
    <row r="34763" ht="16.5" customHeight="1">
      <c r="O34763" s="5" t="s">
        <v>355</v>
      </c>
      <c r="P34763" s="5" t="s">
        <v>355</v>
      </c>
      <c r="Q34763" s="5" t="s">
        <v>355</v>
      </c>
    </row>
    <row r="34764" ht="16.5" customHeight="1">
      <c r="O34764" s="5" t="s">
        <v>355</v>
      </c>
      <c r="P34764" s="5" t="s">
        <v>355</v>
      </c>
      <c r="Q34764" s="5" t="s">
        <v>355</v>
      </c>
    </row>
    <row r="34765" ht="16.5" customHeight="1">
      <c r="O34765" s="5" t="s">
        <v>355</v>
      </c>
      <c r="P34765" s="5" t="s">
        <v>355</v>
      </c>
      <c r="Q34765" s="5" t="s">
        <v>355</v>
      </c>
    </row>
    <row r="34766" ht="16.5" customHeight="1">
      <c r="O34766" s="5" t="s">
        <v>355</v>
      </c>
      <c r="P34766" s="5" t="s">
        <v>355</v>
      </c>
      <c r="Q34766" s="5" t="s">
        <v>355</v>
      </c>
    </row>
    <row r="34767" ht="16.5" customHeight="1">
      <c r="O34767" s="5" t="s">
        <v>355</v>
      </c>
      <c r="P34767" s="5" t="s">
        <v>355</v>
      </c>
      <c r="Q34767" s="5" t="s">
        <v>355</v>
      </c>
    </row>
    <row r="34768" ht="16.5" customHeight="1">
      <c r="O34768" s="5" t="s">
        <v>355</v>
      </c>
      <c r="P34768" s="5" t="s">
        <v>355</v>
      </c>
      <c r="Q34768" s="5" t="s">
        <v>355</v>
      </c>
    </row>
    <row r="34769" ht="16.5" customHeight="1">
      <c r="O34769" s="5" t="s">
        <v>355</v>
      </c>
      <c r="P34769" s="5" t="s">
        <v>355</v>
      </c>
      <c r="Q34769" s="5" t="s">
        <v>355</v>
      </c>
    </row>
    <row r="34770" ht="16.5" customHeight="1">
      <c r="O34770" s="5" t="s">
        <v>355</v>
      </c>
      <c r="P34770" s="5" t="s">
        <v>355</v>
      </c>
      <c r="Q34770" s="5" t="s">
        <v>355</v>
      </c>
    </row>
    <row r="34771" ht="16.5" customHeight="1">
      <c r="O34771" s="5" t="s">
        <v>355</v>
      </c>
      <c r="P34771" s="5" t="s">
        <v>355</v>
      </c>
      <c r="Q34771" s="5" t="s">
        <v>355</v>
      </c>
    </row>
    <row r="34772" ht="16.5" customHeight="1">
      <c r="O34772" s="5" t="s">
        <v>355</v>
      </c>
      <c r="P34772" s="5" t="s">
        <v>355</v>
      </c>
      <c r="Q34772" s="5" t="s">
        <v>355</v>
      </c>
    </row>
    <row r="34773" ht="16.5" customHeight="1">
      <c r="O34773" s="5" t="s">
        <v>355</v>
      </c>
      <c r="P34773" s="5" t="s">
        <v>355</v>
      </c>
      <c r="Q34773" s="5" t="s">
        <v>355</v>
      </c>
    </row>
    <row r="34774" ht="16.5" customHeight="1">
      <c r="O34774" s="5" t="s">
        <v>355</v>
      </c>
      <c r="P34774" s="5" t="s">
        <v>355</v>
      </c>
      <c r="Q34774" s="5" t="s">
        <v>355</v>
      </c>
    </row>
    <row r="34775" ht="16.5" customHeight="1">
      <c r="O34775" s="5" t="s">
        <v>355</v>
      </c>
      <c r="P34775" s="5" t="s">
        <v>355</v>
      </c>
      <c r="Q34775" s="5" t="s">
        <v>355</v>
      </c>
    </row>
    <row r="34776" ht="16.5" customHeight="1">
      <c r="O34776" s="5" t="s">
        <v>355</v>
      </c>
      <c r="P34776" s="5" t="s">
        <v>355</v>
      </c>
      <c r="Q34776" s="5" t="s">
        <v>355</v>
      </c>
    </row>
    <row r="34777" ht="16.5" customHeight="1">
      <c r="O34777" s="5" t="s">
        <v>355</v>
      </c>
      <c r="P34777" s="5" t="s">
        <v>355</v>
      </c>
      <c r="Q34777" s="5" t="s">
        <v>355</v>
      </c>
    </row>
    <row r="34778" ht="16.5" customHeight="1">
      <c r="O34778" s="5" t="s">
        <v>355</v>
      </c>
      <c r="P34778" s="5" t="s">
        <v>355</v>
      </c>
      <c r="Q34778" s="5" t="s">
        <v>355</v>
      </c>
    </row>
    <row r="34779" ht="16.5" customHeight="1">
      <c r="O34779" s="5" t="s">
        <v>355</v>
      </c>
      <c r="P34779" s="5" t="s">
        <v>355</v>
      </c>
      <c r="Q34779" s="5" t="s">
        <v>355</v>
      </c>
    </row>
    <row r="34780" ht="16.5" customHeight="1">
      <c r="O34780" s="5" t="s">
        <v>355</v>
      </c>
      <c r="P34780" s="5" t="s">
        <v>355</v>
      </c>
      <c r="Q34780" s="5" t="s">
        <v>355</v>
      </c>
    </row>
    <row r="34781" ht="16.5" customHeight="1">
      <c r="O34781" s="5" t="s">
        <v>355</v>
      </c>
      <c r="P34781" s="5" t="s">
        <v>355</v>
      </c>
      <c r="Q34781" s="5" t="s">
        <v>355</v>
      </c>
    </row>
    <row r="34782" ht="16.5" customHeight="1">
      <c r="O34782" s="5" t="s">
        <v>355</v>
      </c>
      <c r="P34782" s="5" t="s">
        <v>355</v>
      </c>
      <c r="Q34782" s="5" t="s">
        <v>355</v>
      </c>
    </row>
    <row r="34783" ht="16.5" customHeight="1">
      <c r="O34783" s="5" t="s">
        <v>355</v>
      </c>
      <c r="P34783" s="5" t="s">
        <v>355</v>
      </c>
      <c r="Q34783" s="5" t="s">
        <v>355</v>
      </c>
    </row>
    <row r="34784" ht="16.5" customHeight="1">
      <c r="O34784" s="5" t="s">
        <v>355</v>
      </c>
      <c r="P34784" s="5" t="s">
        <v>355</v>
      </c>
      <c r="Q34784" s="5" t="s">
        <v>355</v>
      </c>
    </row>
    <row r="34785" ht="16.5" customHeight="1">
      <c r="O34785" s="5" t="s">
        <v>355</v>
      </c>
      <c r="P34785" s="5" t="s">
        <v>355</v>
      </c>
      <c r="Q34785" s="5" t="s">
        <v>355</v>
      </c>
    </row>
    <row r="34786" ht="16.5" customHeight="1">
      <c r="O34786" s="5" t="s">
        <v>355</v>
      </c>
      <c r="P34786" s="5" t="s">
        <v>355</v>
      </c>
      <c r="Q34786" s="5" t="s">
        <v>355</v>
      </c>
    </row>
    <row r="34787" ht="16.5" customHeight="1">
      <c r="O34787" s="5" t="s">
        <v>355</v>
      </c>
      <c r="P34787" s="5" t="s">
        <v>355</v>
      </c>
      <c r="Q34787" s="5" t="s">
        <v>355</v>
      </c>
    </row>
    <row r="34788" ht="16.5" customHeight="1">
      <c r="O34788" s="5" t="s">
        <v>355</v>
      </c>
      <c r="P34788" s="5" t="s">
        <v>355</v>
      </c>
      <c r="Q34788" s="5" t="s">
        <v>355</v>
      </c>
    </row>
    <row r="34789" ht="16.5" customHeight="1">
      <c r="O34789" s="5" t="s">
        <v>355</v>
      </c>
      <c r="P34789" s="5" t="s">
        <v>355</v>
      </c>
      <c r="Q34789" s="5" t="s">
        <v>355</v>
      </c>
    </row>
    <row r="34790" ht="16.5" customHeight="1">
      <c r="O34790" s="5" t="s">
        <v>355</v>
      </c>
      <c r="P34790" s="5" t="s">
        <v>355</v>
      </c>
      <c r="Q34790" s="5" t="s">
        <v>355</v>
      </c>
    </row>
    <row r="34791" ht="16.5" customHeight="1">
      <c r="O34791" s="5" t="s">
        <v>355</v>
      </c>
      <c r="P34791" s="5" t="s">
        <v>355</v>
      </c>
      <c r="Q34791" s="5" t="s">
        <v>355</v>
      </c>
    </row>
    <row r="34792" ht="16.5" customHeight="1">
      <c r="O34792" s="5" t="s">
        <v>355</v>
      </c>
      <c r="P34792" s="5" t="s">
        <v>355</v>
      </c>
      <c r="Q34792" s="5" t="s">
        <v>355</v>
      </c>
    </row>
    <row r="34793" ht="16.5" customHeight="1">
      <c r="O34793" s="5" t="s">
        <v>355</v>
      </c>
      <c r="P34793" s="5" t="s">
        <v>355</v>
      </c>
      <c r="Q34793" s="5" t="s">
        <v>355</v>
      </c>
    </row>
    <row r="34794" ht="16.5" customHeight="1">
      <c r="O34794" s="5" t="s">
        <v>355</v>
      </c>
      <c r="P34794" s="5" t="s">
        <v>355</v>
      </c>
      <c r="Q34794" s="5" t="s">
        <v>355</v>
      </c>
    </row>
    <row r="34795" ht="16.5" customHeight="1">
      <c r="O34795" s="5" t="s">
        <v>355</v>
      </c>
      <c r="P34795" s="5" t="s">
        <v>355</v>
      </c>
      <c r="Q34795" s="5" t="s">
        <v>355</v>
      </c>
    </row>
    <row r="34796" ht="16.5" customHeight="1">
      <c r="O34796" s="5" t="s">
        <v>355</v>
      </c>
      <c r="P34796" s="5" t="s">
        <v>355</v>
      </c>
      <c r="Q34796" s="5" t="s">
        <v>355</v>
      </c>
    </row>
    <row r="34797" ht="16.5" customHeight="1">
      <c r="O34797" s="5" t="s">
        <v>355</v>
      </c>
      <c r="P34797" s="5" t="s">
        <v>355</v>
      </c>
      <c r="Q34797" s="5" t="s">
        <v>355</v>
      </c>
    </row>
    <row r="34798" ht="16.5" customHeight="1">
      <c r="O34798" s="5" t="s">
        <v>355</v>
      </c>
      <c r="P34798" s="5" t="s">
        <v>355</v>
      </c>
      <c r="Q34798" s="5" t="s">
        <v>355</v>
      </c>
    </row>
    <row r="34799" ht="16.5" customHeight="1">
      <c r="O34799" s="5" t="s">
        <v>355</v>
      </c>
      <c r="P34799" s="5" t="s">
        <v>355</v>
      </c>
      <c r="Q34799" s="5" t="s">
        <v>355</v>
      </c>
    </row>
    <row r="34800" ht="16.5" customHeight="1">
      <c r="O34800" s="5" t="s">
        <v>355</v>
      </c>
      <c r="P34800" s="5" t="s">
        <v>355</v>
      </c>
      <c r="Q34800" s="5" t="s">
        <v>355</v>
      </c>
    </row>
    <row r="34801" ht="16.5" customHeight="1">
      <c r="O34801" s="5" t="s">
        <v>355</v>
      </c>
      <c r="P34801" s="5" t="s">
        <v>355</v>
      </c>
      <c r="Q34801" s="5" t="s">
        <v>355</v>
      </c>
    </row>
    <row r="34802" ht="16.5" customHeight="1">
      <c r="O34802" s="5" t="s">
        <v>355</v>
      </c>
      <c r="P34802" s="5" t="s">
        <v>355</v>
      </c>
      <c r="Q34802" s="5" t="s">
        <v>355</v>
      </c>
    </row>
    <row r="34803" ht="16.5" customHeight="1">
      <c r="O34803" s="5" t="s">
        <v>355</v>
      </c>
      <c r="P34803" s="5" t="s">
        <v>355</v>
      </c>
      <c r="Q34803" s="5" t="s">
        <v>355</v>
      </c>
    </row>
    <row r="34804" ht="16.5" customHeight="1">
      <c r="O34804" s="5" t="s">
        <v>355</v>
      </c>
      <c r="P34804" s="5" t="s">
        <v>355</v>
      </c>
      <c r="Q34804" s="5" t="s">
        <v>355</v>
      </c>
    </row>
    <row r="34805" ht="16.5" customHeight="1">
      <c r="O34805" s="5" t="s">
        <v>355</v>
      </c>
      <c r="P34805" s="5" t="s">
        <v>355</v>
      </c>
      <c r="Q34805" s="5" t="s">
        <v>355</v>
      </c>
    </row>
    <row r="34806" ht="16.5" customHeight="1">
      <c r="O34806" s="5" t="s">
        <v>355</v>
      </c>
      <c r="P34806" s="5" t="s">
        <v>355</v>
      </c>
      <c r="Q34806" s="5" t="s">
        <v>355</v>
      </c>
    </row>
    <row r="34807" ht="16.5" customHeight="1">
      <c r="O34807" s="5" t="s">
        <v>355</v>
      </c>
      <c r="P34807" s="5" t="s">
        <v>355</v>
      </c>
      <c r="Q34807" s="5" t="s">
        <v>355</v>
      </c>
    </row>
    <row r="34808" ht="16.5" customHeight="1">
      <c r="O34808" s="5" t="s">
        <v>355</v>
      </c>
      <c r="P34808" s="5" t="s">
        <v>355</v>
      </c>
      <c r="Q34808" s="5" t="s">
        <v>355</v>
      </c>
    </row>
    <row r="34809" ht="16.5" customHeight="1">
      <c r="O34809" s="5" t="s">
        <v>355</v>
      </c>
      <c r="P34809" s="5" t="s">
        <v>355</v>
      </c>
      <c r="Q34809" s="5" t="s">
        <v>355</v>
      </c>
    </row>
    <row r="34810" ht="16.5" customHeight="1">
      <c r="O34810" s="5" t="s">
        <v>355</v>
      </c>
      <c r="P34810" s="5" t="s">
        <v>355</v>
      </c>
      <c r="Q34810" s="5" t="s">
        <v>355</v>
      </c>
    </row>
    <row r="34811" ht="16.5" customHeight="1">
      <c r="O34811" s="5" t="s">
        <v>355</v>
      </c>
      <c r="P34811" s="5" t="s">
        <v>355</v>
      </c>
      <c r="Q34811" s="5" t="s">
        <v>355</v>
      </c>
    </row>
    <row r="34812" ht="16.5" customHeight="1">
      <c r="O34812" s="5" t="s">
        <v>355</v>
      </c>
      <c r="P34812" s="5" t="s">
        <v>355</v>
      </c>
      <c r="Q34812" s="5" t="s">
        <v>355</v>
      </c>
    </row>
    <row r="34813" ht="16.5" customHeight="1">
      <c r="O34813" s="5" t="s">
        <v>355</v>
      </c>
      <c r="P34813" s="5" t="s">
        <v>355</v>
      </c>
      <c r="Q34813" s="5" t="s">
        <v>355</v>
      </c>
    </row>
    <row r="34814" ht="16.5" customHeight="1">
      <c r="O34814" s="5" t="s">
        <v>355</v>
      </c>
      <c r="P34814" s="5" t="s">
        <v>355</v>
      </c>
      <c r="Q34814" s="5" t="s">
        <v>355</v>
      </c>
    </row>
    <row r="34815" ht="16.5" customHeight="1">
      <c r="O34815" s="5" t="s">
        <v>355</v>
      </c>
      <c r="P34815" s="5" t="s">
        <v>355</v>
      </c>
      <c r="Q34815" s="5" t="s">
        <v>355</v>
      </c>
    </row>
    <row r="34816" ht="16.5" customHeight="1">
      <c r="O34816" s="5" t="s">
        <v>355</v>
      </c>
      <c r="P34816" s="5" t="s">
        <v>355</v>
      </c>
      <c r="Q34816" s="5" t="s">
        <v>355</v>
      </c>
    </row>
    <row r="34817" ht="16.5" customHeight="1">
      <c r="O34817" s="5" t="s">
        <v>355</v>
      </c>
      <c r="P34817" s="5" t="s">
        <v>355</v>
      </c>
      <c r="Q34817" s="5" t="s">
        <v>355</v>
      </c>
    </row>
    <row r="34818" ht="16.5" customHeight="1">
      <c r="O34818" s="5" t="s">
        <v>355</v>
      </c>
      <c r="P34818" s="5" t="s">
        <v>355</v>
      </c>
      <c r="Q34818" s="5" t="s">
        <v>355</v>
      </c>
    </row>
    <row r="34819" ht="16.5" customHeight="1">
      <c r="O34819" s="5" t="s">
        <v>355</v>
      </c>
      <c r="P34819" s="5" t="s">
        <v>355</v>
      </c>
      <c r="Q34819" s="5" t="s">
        <v>355</v>
      </c>
    </row>
    <row r="34820" ht="16.5" customHeight="1">
      <c r="O34820" s="5" t="s">
        <v>355</v>
      </c>
      <c r="P34820" s="5" t="s">
        <v>355</v>
      </c>
      <c r="Q34820" s="5" t="s">
        <v>355</v>
      </c>
    </row>
    <row r="34821" ht="16.5" customHeight="1">
      <c r="O34821" s="5" t="s">
        <v>355</v>
      </c>
      <c r="P34821" s="5" t="s">
        <v>355</v>
      </c>
      <c r="Q34821" s="5" t="s">
        <v>355</v>
      </c>
    </row>
    <row r="34822" ht="16.5" customHeight="1">
      <c r="O34822" s="5" t="s">
        <v>355</v>
      </c>
      <c r="P34822" s="5" t="s">
        <v>355</v>
      </c>
      <c r="Q34822" s="5" t="s">
        <v>355</v>
      </c>
    </row>
    <row r="34823" ht="16.5" customHeight="1">
      <c r="O34823" s="5" t="s">
        <v>355</v>
      </c>
      <c r="P34823" s="5" t="s">
        <v>355</v>
      </c>
      <c r="Q34823" s="5" t="s">
        <v>355</v>
      </c>
    </row>
    <row r="34824" ht="16.5" customHeight="1">
      <c r="O34824" s="5" t="s">
        <v>355</v>
      </c>
      <c r="P34824" s="5" t="s">
        <v>355</v>
      </c>
      <c r="Q34824" s="5" t="s">
        <v>355</v>
      </c>
    </row>
    <row r="34825" ht="16.5" customHeight="1">
      <c r="O34825" s="5" t="s">
        <v>355</v>
      </c>
      <c r="P34825" s="5" t="s">
        <v>355</v>
      </c>
      <c r="Q34825" s="5" t="s">
        <v>355</v>
      </c>
    </row>
    <row r="34826" ht="16.5" customHeight="1">
      <c r="O34826" s="5" t="s">
        <v>355</v>
      </c>
      <c r="P34826" s="5" t="s">
        <v>355</v>
      </c>
      <c r="Q34826" s="5" t="s">
        <v>355</v>
      </c>
    </row>
    <row r="34827" ht="16.5" customHeight="1">
      <c r="O34827" s="5" t="s">
        <v>355</v>
      </c>
      <c r="P34827" s="5" t="s">
        <v>355</v>
      </c>
      <c r="Q34827" s="5" t="s">
        <v>355</v>
      </c>
    </row>
    <row r="34828" ht="16.5" customHeight="1">
      <c r="O34828" s="5" t="s">
        <v>355</v>
      </c>
      <c r="P34828" s="5" t="s">
        <v>355</v>
      </c>
      <c r="Q34828" s="5" t="s">
        <v>355</v>
      </c>
    </row>
    <row r="34829" ht="16.5" customHeight="1">
      <c r="O34829" s="5" t="s">
        <v>355</v>
      </c>
      <c r="P34829" s="5" t="s">
        <v>355</v>
      </c>
      <c r="Q34829" s="5" t="s">
        <v>355</v>
      </c>
    </row>
    <row r="34830" ht="16.5" customHeight="1">
      <c r="O34830" s="5" t="s">
        <v>355</v>
      </c>
      <c r="P34830" s="5" t="s">
        <v>355</v>
      </c>
      <c r="Q34830" s="5" t="s">
        <v>355</v>
      </c>
    </row>
    <row r="34831" ht="16.5" customHeight="1">
      <c r="O34831" s="5" t="s">
        <v>355</v>
      </c>
      <c r="P34831" s="5" t="s">
        <v>355</v>
      </c>
      <c r="Q34831" s="5" t="s">
        <v>355</v>
      </c>
    </row>
    <row r="34832" ht="16.5" customHeight="1">
      <c r="O34832" s="5" t="s">
        <v>355</v>
      </c>
      <c r="P34832" s="5" t="s">
        <v>355</v>
      </c>
      <c r="Q34832" s="5" t="s">
        <v>355</v>
      </c>
    </row>
    <row r="34833" ht="16.5" customHeight="1">
      <c r="O34833" s="5" t="s">
        <v>355</v>
      </c>
      <c r="P34833" s="5" t="s">
        <v>355</v>
      </c>
      <c r="Q34833" s="5" t="s">
        <v>355</v>
      </c>
    </row>
    <row r="34834" ht="16.5" customHeight="1">
      <c r="O34834" s="5" t="s">
        <v>355</v>
      </c>
      <c r="P34834" s="5" t="s">
        <v>355</v>
      </c>
      <c r="Q34834" s="5" t="s">
        <v>355</v>
      </c>
    </row>
    <row r="34835" ht="16.5" customHeight="1">
      <c r="O34835" s="5" t="s">
        <v>355</v>
      </c>
      <c r="P34835" s="5" t="s">
        <v>355</v>
      </c>
      <c r="Q34835" s="5" t="s">
        <v>355</v>
      </c>
    </row>
    <row r="34836" ht="16.5" customHeight="1">
      <c r="O34836" s="5" t="s">
        <v>355</v>
      </c>
      <c r="P34836" s="5" t="s">
        <v>355</v>
      </c>
      <c r="Q34836" s="5" t="s">
        <v>355</v>
      </c>
    </row>
    <row r="34837" ht="16.5" customHeight="1">
      <c r="O34837" s="5" t="s">
        <v>355</v>
      </c>
      <c r="P34837" s="5" t="s">
        <v>355</v>
      </c>
      <c r="Q34837" s="5" t="s">
        <v>355</v>
      </c>
    </row>
    <row r="34838" ht="16.5" customHeight="1">
      <c r="O34838" s="5" t="s">
        <v>355</v>
      </c>
      <c r="P34838" s="5" t="s">
        <v>355</v>
      </c>
      <c r="Q34838" s="5" t="s">
        <v>355</v>
      </c>
    </row>
    <row r="34839" ht="16.5" customHeight="1">
      <c r="O34839" s="5" t="s">
        <v>355</v>
      </c>
      <c r="P34839" s="5" t="s">
        <v>355</v>
      </c>
      <c r="Q34839" s="5" t="s">
        <v>355</v>
      </c>
    </row>
    <row r="34840" ht="16.5" customHeight="1">
      <c r="O34840" s="5" t="s">
        <v>355</v>
      </c>
      <c r="P34840" s="5" t="s">
        <v>355</v>
      </c>
      <c r="Q34840" s="5" t="s">
        <v>355</v>
      </c>
    </row>
    <row r="34841" ht="16.5" customHeight="1">
      <c r="O34841" s="5" t="s">
        <v>355</v>
      </c>
      <c r="P34841" s="5" t="s">
        <v>355</v>
      </c>
      <c r="Q34841" s="5" t="s">
        <v>355</v>
      </c>
    </row>
    <row r="34842" ht="16.5" customHeight="1">
      <c r="O34842" s="5" t="s">
        <v>355</v>
      </c>
      <c r="P34842" s="5" t="s">
        <v>355</v>
      </c>
      <c r="Q34842" s="5" t="s">
        <v>355</v>
      </c>
    </row>
    <row r="34843" ht="16.5" customHeight="1">
      <c r="O34843" s="5" t="s">
        <v>355</v>
      </c>
      <c r="P34843" s="5" t="s">
        <v>355</v>
      </c>
      <c r="Q34843" s="5" t="s">
        <v>355</v>
      </c>
    </row>
    <row r="34844" ht="16.5" customHeight="1">
      <c r="O34844" s="5" t="s">
        <v>355</v>
      </c>
      <c r="P34844" s="5" t="s">
        <v>355</v>
      </c>
      <c r="Q34844" s="5" t="s">
        <v>355</v>
      </c>
    </row>
    <row r="34845" ht="16.5" customHeight="1">
      <c r="O34845" s="5" t="s">
        <v>355</v>
      </c>
      <c r="P34845" s="5" t="s">
        <v>355</v>
      </c>
      <c r="Q34845" s="5" t="s">
        <v>355</v>
      </c>
    </row>
    <row r="34846" ht="16.5" customHeight="1">
      <c r="O34846" s="5" t="s">
        <v>355</v>
      </c>
      <c r="P34846" s="5" t="s">
        <v>355</v>
      </c>
      <c r="Q34846" s="5" t="s">
        <v>355</v>
      </c>
    </row>
    <row r="34847" ht="16.5" customHeight="1">
      <c r="O34847" s="5" t="s">
        <v>355</v>
      </c>
      <c r="P34847" s="5" t="s">
        <v>355</v>
      </c>
      <c r="Q34847" s="5" t="s">
        <v>355</v>
      </c>
    </row>
    <row r="34848" ht="16.5" customHeight="1">
      <c r="O34848" s="5" t="s">
        <v>355</v>
      </c>
      <c r="P34848" s="5" t="s">
        <v>355</v>
      </c>
      <c r="Q34848" s="5" t="s">
        <v>355</v>
      </c>
    </row>
    <row r="34849" ht="16.5" customHeight="1">
      <c r="O34849" s="5" t="s">
        <v>355</v>
      </c>
      <c r="P34849" s="5" t="s">
        <v>355</v>
      </c>
      <c r="Q34849" s="5" t="s">
        <v>355</v>
      </c>
    </row>
    <row r="34850" ht="16.5" customHeight="1">
      <c r="O34850" s="5" t="s">
        <v>355</v>
      </c>
      <c r="P34850" s="5" t="s">
        <v>355</v>
      </c>
      <c r="Q34850" s="5" t="s">
        <v>355</v>
      </c>
    </row>
    <row r="34851" ht="16.5" customHeight="1">
      <c r="O34851" s="5" t="s">
        <v>355</v>
      </c>
      <c r="P34851" s="5" t="s">
        <v>355</v>
      </c>
      <c r="Q34851" s="5" t="s">
        <v>355</v>
      </c>
    </row>
    <row r="34852" ht="16.5" customHeight="1">
      <c r="O34852" s="5" t="s">
        <v>355</v>
      </c>
      <c r="P34852" s="5" t="s">
        <v>355</v>
      </c>
      <c r="Q34852" s="5" t="s">
        <v>355</v>
      </c>
    </row>
    <row r="34853" ht="16.5" customHeight="1">
      <c r="O34853" s="5" t="s">
        <v>355</v>
      </c>
      <c r="P34853" s="5" t="s">
        <v>355</v>
      </c>
      <c r="Q34853" s="5" t="s">
        <v>355</v>
      </c>
    </row>
    <row r="34854" ht="16.5" customHeight="1">
      <c r="O34854" s="5" t="s">
        <v>355</v>
      </c>
      <c r="P34854" s="5" t="s">
        <v>355</v>
      </c>
      <c r="Q34854" s="5" t="s">
        <v>355</v>
      </c>
    </row>
    <row r="34855" ht="16.5" customHeight="1">
      <c r="O34855" s="5" t="s">
        <v>355</v>
      </c>
      <c r="P34855" s="5" t="s">
        <v>355</v>
      </c>
      <c r="Q34855" s="5" t="s">
        <v>355</v>
      </c>
    </row>
    <row r="34856" ht="16.5" customHeight="1">
      <c r="O34856" s="5" t="s">
        <v>355</v>
      </c>
      <c r="P34856" s="5" t="s">
        <v>355</v>
      </c>
      <c r="Q34856" s="5" t="s">
        <v>355</v>
      </c>
    </row>
    <row r="34857" ht="16.5" customHeight="1">
      <c r="O34857" s="5" t="s">
        <v>355</v>
      </c>
      <c r="P34857" s="5" t="s">
        <v>355</v>
      </c>
      <c r="Q34857" s="5" t="s">
        <v>355</v>
      </c>
    </row>
    <row r="34858" ht="16.5" customHeight="1">
      <c r="O34858" s="5" t="s">
        <v>355</v>
      </c>
      <c r="P34858" s="5" t="s">
        <v>355</v>
      </c>
      <c r="Q34858" s="5" t="s">
        <v>355</v>
      </c>
    </row>
    <row r="34859" ht="16.5" customHeight="1">
      <c r="O34859" s="5" t="s">
        <v>355</v>
      </c>
      <c r="P34859" s="5" t="s">
        <v>355</v>
      </c>
      <c r="Q34859" s="5" t="s">
        <v>355</v>
      </c>
    </row>
    <row r="34860" ht="16.5" customHeight="1">
      <c r="O34860" s="5" t="s">
        <v>355</v>
      </c>
      <c r="P34860" s="5" t="s">
        <v>355</v>
      </c>
      <c r="Q34860" s="5" t="s">
        <v>355</v>
      </c>
    </row>
    <row r="34861" ht="16.5" customHeight="1">
      <c r="O34861" s="5" t="s">
        <v>355</v>
      </c>
      <c r="P34861" s="5" t="s">
        <v>355</v>
      </c>
      <c r="Q34861" s="5" t="s">
        <v>355</v>
      </c>
    </row>
    <row r="34862" ht="16.5" customHeight="1">
      <c r="O34862" s="5" t="s">
        <v>355</v>
      </c>
      <c r="P34862" s="5" t="s">
        <v>355</v>
      </c>
      <c r="Q34862" s="5" t="s">
        <v>355</v>
      </c>
    </row>
    <row r="34863" ht="16.5" customHeight="1">
      <c r="O34863" s="5" t="s">
        <v>355</v>
      </c>
      <c r="P34863" s="5" t="s">
        <v>355</v>
      </c>
      <c r="Q34863" s="5" t="s">
        <v>355</v>
      </c>
    </row>
    <row r="34864" ht="16.5" customHeight="1">
      <c r="O34864" s="5" t="s">
        <v>355</v>
      </c>
      <c r="P34864" s="5" t="s">
        <v>355</v>
      </c>
      <c r="Q34864" s="5" t="s">
        <v>355</v>
      </c>
    </row>
    <row r="34865" ht="16.5" customHeight="1">
      <c r="O34865" s="5" t="s">
        <v>355</v>
      </c>
      <c r="P34865" s="5" t="s">
        <v>355</v>
      </c>
      <c r="Q34865" s="5" t="s">
        <v>355</v>
      </c>
    </row>
    <row r="34866" ht="16.5" customHeight="1">
      <c r="O34866" s="5" t="s">
        <v>355</v>
      </c>
      <c r="P34866" s="5" t="s">
        <v>355</v>
      </c>
      <c r="Q34866" s="5" t="s">
        <v>355</v>
      </c>
    </row>
    <row r="34867" ht="16.5" customHeight="1">
      <c r="O34867" s="5" t="s">
        <v>355</v>
      </c>
      <c r="P34867" s="5" t="s">
        <v>355</v>
      </c>
      <c r="Q34867" s="5" t="s">
        <v>355</v>
      </c>
    </row>
    <row r="34868" ht="16.5" customHeight="1">
      <c r="O34868" s="5" t="s">
        <v>355</v>
      </c>
      <c r="P34868" s="5" t="s">
        <v>355</v>
      </c>
      <c r="Q34868" s="5" t="s">
        <v>355</v>
      </c>
    </row>
    <row r="34869" ht="16.5" customHeight="1">
      <c r="O34869" s="5" t="s">
        <v>355</v>
      </c>
      <c r="P34869" s="5" t="s">
        <v>355</v>
      </c>
      <c r="Q34869" s="5" t="s">
        <v>355</v>
      </c>
    </row>
    <row r="34870" ht="16.5" customHeight="1">
      <c r="O34870" s="5" t="s">
        <v>355</v>
      </c>
      <c r="P34870" s="5" t="s">
        <v>355</v>
      </c>
      <c r="Q34870" s="5" t="s">
        <v>355</v>
      </c>
    </row>
    <row r="34871" ht="16.5" customHeight="1">
      <c r="O34871" s="5" t="s">
        <v>355</v>
      </c>
      <c r="P34871" s="5" t="s">
        <v>355</v>
      </c>
      <c r="Q34871" s="5" t="s">
        <v>355</v>
      </c>
    </row>
    <row r="34872" ht="16.5" customHeight="1">
      <c r="O34872" s="5" t="s">
        <v>355</v>
      </c>
      <c r="P34872" s="5" t="s">
        <v>355</v>
      </c>
      <c r="Q34872" s="5" t="s">
        <v>355</v>
      </c>
    </row>
    <row r="34873" ht="16.5" customHeight="1">
      <c r="O34873" s="5" t="s">
        <v>355</v>
      </c>
      <c r="P34873" s="5" t="s">
        <v>355</v>
      </c>
      <c r="Q34873" s="5" t="s">
        <v>355</v>
      </c>
    </row>
    <row r="34874" ht="16.5" customHeight="1">
      <c r="O34874" s="5" t="s">
        <v>355</v>
      </c>
      <c r="P34874" s="5" t="s">
        <v>355</v>
      </c>
      <c r="Q34874" s="5" t="s">
        <v>355</v>
      </c>
    </row>
    <row r="34875" ht="16.5" customHeight="1">
      <c r="O34875" s="5" t="s">
        <v>355</v>
      </c>
      <c r="P34875" s="5" t="s">
        <v>355</v>
      </c>
      <c r="Q34875" s="5" t="s">
        <v>355</v>
      </c>
    </row>
    <row r="34876" ht="16.5" customHeight="1">
      <c r="O34876" s="5" t="s">
        <v>355</v>
      </c>
      <c r="P34876" s="5" t="s">
        <v>355</v>
      </c>
      <c r="Q34876" s="5" t="s">
        <v>355</v>
      </c>
    </row>
    <row r="34877" ht="16.5" customHeight="1">
      <c r="O34877" s="5" t="s">
        <v>355</v>
      </c>
      <c r="P34877" s="5" t="s">
        <v>355</v>
      </c>
      <c r="Q34877" s="5" t="s">
        <v>355</v>
      </c>
    </row>
    <row r="34878" ht="16.5" customHeight="1">
      <c r="O34878" s="5" t="s">
        <v>355</v>
      </c>
      <c r="P34878" s="5" t="s">
        <v>355</v>
      </c>
      <c r="Q34878" s="5" t="s">
        <v>355</v>
      </c>
    </row>
    <row r="34879" ht="16.5" customHeight="1">
      <c r="O34879" s="5" t="s">
        <v>355</v>
      </c>
      <c r="P34879" s="5" t="s">
        <v>355</v>
      </c>
      <c r="Q34879" s="5" t="s">
        <v>355</v>
      </c>
    </row>
    <row r="34880" ht="16.5" customHeight="1">
      <c r="O34880" s="5" t="s">
        <v>355</v>
      </c>
      <c r="P34880" s="5" t="s">
        <v>355</v>
      </c>
      <c r="Q34880" s="5" t="s">
        <v>355</v>
      </c>
    </row>
    <row r="34881" ht="16.5" customHeight="1">
      <c r="O34881" s="5" t="s">
        <v>355</v>
      </c>
      <c r="P34881" s="5" t="s">
        <v>355</v>
      </c>
      <c r="Q34881" s="5" t="s">
        <v>355</v>
      </c>
    </row>
    <row r="34882" ht="16.5" customHeight="1">
      <c r="O34882" s="5" t="s">
        <v>355</v>
      </c>
      <c r="P34882" s="5" t="s">
        <v>355</v>
      </c>
      <c r="Q34882" s="5" t="s">
        <v>355</v>
      </c>
    </row>
    <row r="34883" ht="16.5" customHeight="1">
      <c r="O34883" s="5" t="s">
        <v>355</v>
      </c>
      <c r="P34883" s="5" t="s">
        <v>355</v>
      </c>
      <c r="Q34883" s="5" t="s">
        <v>355</v>
      </c>
    </row>
    <row r="34884" ht="16.5" customHeight="1">
      <c r="O34884" s="5" t="s">
        <v>355</v>
      </c>
      <c r="P34884" s="5" t="s">
        <v>355</v>
      </c>
      <c r="Q34884" s="5" t="s">
        <v>355</v>
      </c>
    </row>
    <row r="34885" ht="16.5" customHeight="1">
      <c r="O34885" s="5" t="s">
        <v>355</v>
      </c>
      <c r="P34885" s="5" t="s">
        <v>355</v>
      </c>
      <c r="Q34885" s="5" t="s">
        <v>355</v>
      </c>
    </row>
    <row r="34886" ht="16.5" customHeight="1">
      <c r="O34886" s="5" t="s">
        <v>355</v>
      </c>
      <c r="P34886" s="5" t="s">
        <v>355</v>
      </c>
      <c r="Q34886" s="5" t="s">
        <v>355</v>
      </c>
    </row>
    <row r="34887" ht="16.5" customHeight="1">
      <c r="O34887" s="5" t="s">
        <v>355</v>
      </c>
      <c r="P34887" s="5" t="s">
        <v>355</v>
      </c>
      <c r="Q34887" s="5" t="s">
        <v>355</v>
      </c>
    </row>
    <row r="34888" ht="16.5" customHeight="1">
      <c r="O34888" s="5" t="s">
        <v>355</v>
      </c>
      <c r="P34888" s="5" t="s">
        <v>355</v>
      </c>
      <c r="Q34888" s="5" t="s">
        <v>355</v>
      </c>
    </row>
    <row r="34889" ht="16.5" customHeight="1">
      <c r="O34889" s="5" t="s">
        <v>355</v>
      </c>
      <c r="P34889" s="5" t="s">
        <v>355</v>
      </c>
      <c r="Q34889" s="5" t="s">
        <v>355</v>
      </c>
    </row>
    <row r="34890" ht="16.5" customHeight="1">
      <c r="O34890" s="5" t="s">
        <v>355</v>
      </c>
      <c r="P34890" s="5" t="s">
        <v>355</v>
      </c>
      <c r="Q34890" s="5" t="s">
        <v>355</v>
      </c>
    </row>
    <row r="34891" ht="16.5" customHeight="1">
      <c r="O34891" s="5" t="s">
        <v>355</v>
      </c>
      <c r="P34891" s="5" t="s">
        <v>355</v>
      </c>
      <c r="Q34891" s="5" t="s">
        <v>355</v>
      </c>
    </row>
    <row r="34892" ht="16.5" customHeight="1">
      <c r="O34892" s="5" t="s">
        <v>355</v>
      </c>
      <c r="P34892" s="5" t="s">
        <v>355</v>
      </c>
      <c r="Q34892" s="5" t="s">
        <v>355</v>
      </c>
    </row>
    <row r="34893" ht="16.5" customHeight="1">
      <c r="O34893" s="5" t="s">
        <v>355</v>
      </c>
      <c r="P34893" s="5" t="s">
        <v>355</v>
      </c>
      <c r="Q34893" s="5" t="s">
        <v>355</v>
      </c>
    </row>
    <row r="34894" ht="16.5" customHeight="1">
      <c r="O34894" s="5" t="s">
        <v>355</v>
      </c>
      <c r="P34894" s="5" t="s">
        <v>355</v>
      </c>
      <c r="Q34894" s="5" t="s">
        <v>355</v>
      </c>
    </row>
    <row r="34895" ht="16.5" customHeight="1">
      <c r="O34895" s="5" t="s">
        <v>355</v>
      </c>
      <c r="P34895" s="5" t="s">
        <v>355</v>
      </c>
      <c r="Q34895" s="5" t="s">
        <v>355</v>
      </c>
    </row>
    <row r="34896" ht="16.5" customHeight="1">
      <c r="O34896" s="5" t="s">
        <v>355</v>
      </c>
      <c r="P34896" s="5" t="s">
        <v>355</v>
      </c>
      <c r="Q34896" s="5" t="s">
        <v>355</v>
      </c>
    </row>
    <row r="34897" ht="16.5" customHeight="1">
      <c r="O34897" s="5" t="s">
        <v>355</v>
      </c>
      <c r="P34897" s="5" t="s">
        <v>355</v>
      </c>
      <c r="Q34897" s="5" t="s">
        <v>355</v>
      </c>
    </row>
    <row r="34898" ht="16.5" customHeight="1">
      <c r="O34898" s="5" t="s">
        <v>355</v>
      </c>
      <c r="P34898" s="5" t="s">
        <v>355</v>
      </c>
      <c r="Q34898" s="5" t="s">
        <v>355</v>
      </c>
    </row>
    <row r="34899" ht="16.5" customHeight="1">
      <c r="O34899" s="5" t="s">
        <v>355</v>
      </c>
      <c r="P34899" s="5" t="s">
        <v>355</v>
      </c>
      <c r="Q34899" s="5" t="s">
        <v>355</v>
      </c>
    </row>
    <row r="34900" ht="16.5" customHeight="1">
      <c r="O34900" s="5" t="s">
        <v>355</v>
      </c>
      <c r="P34900" s="5" t="s">
        <v>355</v>
      </c>
      <c r="Q34900" s="5" t="s">
        <v>355</v>
      </c>
    </row>
    <row r="34901" ht="16.5" customHeight="1">
      <c r="O34901" s="5" t="s">
        <v>355</v>
      </c>
      <c r="P34901" s="5" t="s">
        <v>355</v>
      </c>
      <c r="Q34901" s="5" t="s">
        <v>355</v>
      </c>
    </row>
    <row r="34902" ht="16.5" customHeight="1">
      <c r="O34902" s="5" t="s">
        <v>355</v>
      </c>
      <c r="P34902" s="5" t="s">
        <v>355</v>
      </c>
      <c r="Q34902" s="5" t="s">
        <v>355</v>
      </c>
    </row>
    <row r="34903" ht="16.5" customHeight="1">
      <c r="O34903" s="5" t="s">
        <v>355</v>
      </c>
      <c r="P34903" s="5" t="s">
        <v>355</v>
      </c>
      <c r="Q34903" s="5" t="s">
        <v>355</v>
      </c>
    </row>
    <row r="34904" ht="16.5" customHeight="1">
      <c r="O34904" s="5" t="s">
        <v>355</v>
      </c>
      <c r="P34904" s="5" t="s">
        <v>355</v>
      </c>
      <c r="Q34904" s="5" t="s">
        <v>355</v>
      </c>
    </row>
    <row r="34905" ht="16.5" customHeight="1">
      <c r="O34905" s="5" t="s">
        <v>355</v>
      </c>
      <c r="P34905" s="5" t="s">
        <v>355</v>
      </c>
      <c r="Q34905" s="5" t="s">
        <v>355</v>
      </c>
    </row>
    <row r="34906" ht="16.5" customHeight="1">
      <c r="O34906" s="5" t="s">
        <v>355</v>
      </c>
      <c r="P34906" s="5" t="s">
        <v>355</v>
      </c>
      <c r="Q34906" s="5" t="s">
        <v>355</v>
      </c>
    </row>
    <row r="34907" ht="16.5" customHeight="1">
      <c r="O34907" s="5" t="s">
        <v>355</v>
      </c>
      <c r="P34907" s="5" t="s">
        <v>355</v>
      </c>
      <c r="Q34907" s="5" t="s">
        <v>355</v>
      </c>
    </row>
    <row r="34908" ht="16.5" customHeight="1">
      <c r="O34908" s="5" t="s">
        <v>355</v>
      </c>
      <c r="P34908" s="5" t="s">
        <v>355</v>
      </c>
      <c r="Q34908" s="5" t="s">
        <v>355</v>
      </c>
    </row>
    <row r="34909" ht="16.5" customHeight="1">
      <c r="O34909" s="5" t="s">
        <v>355</v>
      </c>
      <c r="P34909" s="5" t="s">
        <v>355</v>
      </c>
      <c r="Q34909" s="5" t="s">
        <v>355</v>
      </c>
    </row>
    <row r="34910" ht="16.5" customHeight="1">
      <c r="O34910" s="5" t="s">
        <v>355</v>
      </c>
      <c r="P34910" s="5" t="s">
        <v>355</v>
      </c>
      <c r="Q34910" s="5" t="s">
        <v>355</v>
      </c>
    </row>
    <row r="34911" ht="16.5" customHeight="1">
      <c r="O34911" s="5" t="s">
        <v>355</v>
      </c>
      <c r="P34911" s="5" t="s">
        <v>355</v>
      </c>
      <c r="Q34911" s="5" t="s">
        <v>355</v>
      </c>
    </row>
    <row r="34912" ht="16.5" customHeight="1">
      <c r="O34912" s="5" t="s">
        <v>355</v>
      </c>
      <c r="P34912" s="5" t="s">
        <v>355</v>
      </c>
      <c r="Q34912" s="5" t="s">
        <v>355</v>
      </c>
    </row>
    <row r="34913" ht="16.5" customHeight="1">
      <c r="O34913" s="5" t="s">
        <v>355</v>
      </c>
      <c r="P34913" s="5" t="s">
        <v>355</v>
      </c>
      <c r="Q34913" s="5" t="s">
        <v>355</v>
      </c>
    </row>
    <row r="34914" ht="16.5" customHeight="1">
      <c r="O34914" s="5" t="s">
        <v>355</v>
      </c>
      <c r="P34914" s="5" t="s">
        <v>355</v>
      </c>
      <c r="Q34914" s="5" t="s">
        <v>355</v>
      </c>
    </row>
    <row r="34915" ht="16.5" customHeight="1">
      <c r="O34915" s="5" t="s">
        <v>355</v>
      </c>
      <c r="P34915" s="5" t="s">
        <v>355</v>
      </c>
      <c r="Q34915" s="5" t="s">
        <v>355</v>
      </c>
    </row>
    <row r="34916" ht="16.5" customHeight="1">
      <c r="O34916" s="5" t="s">
        <v>355</v>
      </c>
      <c r="P34916" s="5" t="s">
        <v>355</v>
      </c>
      <c r="Q34916" s="5" t="s">
        <v>355</v>
      </c>
    </row>
    <row r="34917" ht="16.5" customHeight="1">
      <c r="O34917" s="5" t="s">
        <v>355</v>
      </c>
      <c r="P34917" s="5" t="s">
        <v>355</v>
      </c>
      <c r="Q34917" s="5" t="s">
        <v>355</v>
      </c>
    </row>
    <row r="34918" ht="16.5" customHeight="1">
      <c r="O34918" s="5" t="s">
        <v>355</v>
      </c>
      <c r="P34918" s="5" t="s">
        <v>355</v>
      </c>
      <c r="Q34918" s="5" t="s">
        <v>355</v>
      </c>
    </row>
    <row r="34919" ht="16.5" customHeight="1">
      <c r="O34919" s="5" t="s">
        <v>355</v>
      </c>
      <c r="P34919" s="5" t="s">
        <v>355</v>
      </c>
      <c r="Q34919" s="5" t="s">
        <v>355</v>
      </c>
    </row>
    <row r="34920" ht="16.5" customHeight="1">
      <c r="O34920" s="5" t="s">
        <v>355</v>
      </c>
      <c r="P34920" s="5" t="s">
        <v>355</v>
      </c>
      <c r="Q34920" s="5" t="s">
        <v>355</v>
      </c>
    </row>
    <row r="34921" ht="16.5" customHeight="1">
      <c r="O34921" s="5" t="s">
        <v>355</v>
      </c>
      <c r="P34921" s="5" t="s">
        <v>355</v>
      </c>
      <c r="Q34921" s="5" t="s">
        <v>355</v>
      </c>
    </row>
    <row r="34922" ht="16.5" customHeight="1">
      <c r="O34922" s="5" t="s">
        <v>355</v>
      </c>
      <c r="P34922" s="5" t="s">
        <v>355</v>
      </c>
      <c r="Q34922" s="5" t="s">
        <v>355</v>
      </c>
    </row>
    <row r="34923" ht="16.5" customHeight="1">
      <c r="O34923" s="5" t="s">
        <v>355</v>
      </c>
      <c r="P34923" s="5" t="s">
        <v>355</v>
      </c>
      <c r="Q34923" s="5" t="s">
        <v>355</v>
      </c>
    </row>
    <row r="34924" ht="16.5" customHeight="1">
      <c r="O34924" s="5" t="s">
        <v>355</v>
      </c>
      <c r="P34924" s="5" t="s">
        <v>355</v>
      </c>
      <c r="Q34924" s="5" t="s">
        <v>355</v>
      </c>
    </row>
    <row r="34925" ht="16.5" customHeight="1">
      <c r="O34925" s="5" t="s">
        <v>355</v>
      </c>
      <c r="P34925" s="5" t="s">
        <v>355</v>
      </c>
      <c r="Q34925" s="5" t="s">
        <v>355</v>
      </c>
    </row>
    <row r="34926" ht="16.5" customHeight="1">
      <c r="O34926" s="5" t="s">
        <v>355</v>
      </c>
      <c r="P34926" s="5" t="s">
        <v>355</v>
      </c>
      <c r="Q34926" s="5" t="s">
        <v>355</v>
      </c>
    </row>
    <row r="34927" ht="16.5" customHeight="1">
      <c r="O34927" s="5" t="s">
        <v>355</v>
      </c>
      <c r="P34927" s="5" t="s">
        <v>355</v>
      </c>
      <c r="Q34927" s="5" t="s">
        <v>355</v>
      </c>
    </row>
    <row r="34928" ht="16.5" customHeight="1">
      <c r="O34928" s="5" t="s">
        <v>355</v>
      </c>
      <c r="P34928" s="5" t="s">
        <v>355</v>
      </c>
      <c r="Q34928" s="5" t="s">
        <v>355</v>
      </c>
    </row>
    <row r="34929" ht="16.5" customHeight="1">
      <c r="O34929" s="5" t="s">
        <v>355</v>
      </c>
      <c r="P34929" s="5" t="s">
        <v>355</v>
      </c>
      <c r="Q34929" s="5" t="s">
        <v>355</v>
      </c>
    </row>
    <row r="34930" ht="16.5" customHeight="1">
      <c r="O34930" s="5" t="s">
        <v>355</v>
      </c>
      <c r="P34930" s="5" t="s">
        <v>355</v>
      </c>
      <c r="Q34930" s="5" t="s">
        <v>355</v>
      </c>
    </row>
    <row r="34931" ht="16.5" customHeight="1">
      <c r="O34931" s="5" t="s">
        <v>355</v>
      </c>
      <c r="P34931" s="5" t="s">
        <v>355</v>
      </c>
      <c r="Q34931" s="5" t="s">
        <v>355</v>
      </c>
    </row>
    <row r="34932" ht="16.5" customHeight="1">
      <c r="O34932" s="5" t="s">
        <v>355</v>
      </c>
      <c r="P34932" s="5" t="s">
        <v>355</v>
      </c>
      <c r="Q34932" s="5" t="s">
        <v>355</v>
      </c>
    </row>
    <row r="34933" ht="16.5" customHeight="1">
      <c r="O34933" s="5" t="s">
        <v>355</v>
      </c>
      <c r="P34933" s="5" t="s">
        <v>355</v>
      </c>
      <c r="Q34933" s="5" t="s">
        <v>355</v>
      </c>
    </row>
    <row r="34934" ht="16.5" customHeight="1">
      <c r="O34934" s="5" t="s">
        <v>355</v>
      </c>
      <c r="P34934" s="5" t="s">
        <v>355</v>
      </c>
      <c r="Q34934" s="5" t="s">
        <v>355</v>
      </c>
    </row>
    <row r="34935" ht="16.5" customHeight="1">
      <c r="O34935" s="5" t="s">
        <v>355</v>
      </c>
      <c r="P34935" s="5" t="s">
        <v>355</v>
      </c>
      <c r="Q34935" s="5" t="s">
        <v>355</v>
      </c>
    </row>
    <row r="34936" ht="16.5" customHeight="1">
      <c r="O34936" s="5" t="s">
        <v>355</v>
      </c>
      <c r="P34936" s="5" t="s">
        <v>355</v>
      </c>
      <c r="Q34936" s="5" t="s">
        <v>355</v>
      </c>
    </row>
    <row r="34937" ht="16.5" customHeight="1">
      <c r="O34937" s="5" t="s">
        <v>355</v>
      </c>
      <c r="P34937" s="5" t="s">
        <v>355</v>
      </c>
      <c r="Q34937" s="5" t="s">
        <v>355</v>
      </c>
    </row>
    <row r="34938" ht="16.5" customHeight="1">
      <c r="O34938" s="5" t="s">
        <v>355</v>
      </c>
      <c r="P34938" s="5" t="s">
        <v>355</v>
      </c>
      <c r="Q34938" s="5" t="s">
        <v>355</v>
      </c>
    </row>
    <row r="34939" ht="16.5" customHeight="1">
      <c r="O34939" s="5" t="s">
        <v>355</v>
      </c>
      <c r="P34939" s="5" t="s">
        <v>355</v>
      </c>
      <c r="Q34939" s="5" t="s">
        <v>355</v>
      </c>
    </row>
    <row r="34940" ht="16.5" customHeight="1">
      <c r="O34940" s="5" t="s">
        <v>355</v>
      </c>
      <c r="P34940" s="5" t="s">
        <v>355</v>
      </c>
      <c r="Q34940" s="5" t="s">
        <v>355</v>
      </c>
    </row>
    <row r="34941" ht="16.5" customHeight="1">
      <c r="O34941" s="5" t="s">
        <v>355</v>
      </c>
      <c r="P34941" s="5" t="s">
        <v>355</v>
      </c>
      <c r="Q34941" s="5" t="s">
        <v>355</v>
      </c>
    </row>
    <row r="34942" ht="16.5" customHeight="1">
      <c r="O34942" s="5" t="s">
        <v>355</v>
      </c>
      <c r="P34942" s="5" t="s">
        <v>355</v>
      </c>
      <c r="Q34942" s="5" t="s">
        <v>355</v>
      </c>
    </row>
    <row r="34943" ht="16.5" customHeight="1">
      <c r="O34943" s="5" t="s">
        <v>355</v>
      </c>
      <c r="P34943" s="5" t="s">
        <v>355</v>
      </c>
      <c r="Q34943" s="5" t="s">
        <v>355</v>
      </c>
    </row>
    <row r="34944" ht="16.5" customHeight="1">
      <c r="O34944" s="5" t="s">
        <v>355</v>
      </c>
      <c r="P34944" s="5" t="s">
        <v>355</v>
      </c>
      <c r="Q34944" s="5" t="s">
        <v>355</v>
      </c>
    </row>
    <row r="34945" ht="16.5" customHeight="1">
      <c r="O34945" s="5" t="s">
        <v>355</v>
      </c>
      <c r="P34945" s="5" t="s">
        <v>355</v>
      </c>
      <c r="Q34945" s="5" t="s">
        <v>355</v>
      </c>
    </row>
    <row r="34946" ht="16.5" customHeight="1">
      <c r="O34946" s="5" t="s">
        <v>355</v>
      </c>
      <c r="P34946" s="5" t="s">
        <v>355</v>
      </c>
      <c r="Q34946" s="5" t="s">
        <v>355</v>
      </c>
    </row>
    <row r="34947" ht="16.5" customHeight="1">
      <c r="O34947" s="5" t="s">
        <v>355</v>
      </c>
      <c r="P34947" s="5" t="s">
        <v>355</v>
      </c>
      <c r="Q34947" s="5" t="s">
        <v>355</v>
      </c>
    </row>
    <row r="34948" ht="16.5" customHeight="1">
      <c r="O34948" s="5" t="s">
        <v>355</v>
      </c>
      <c r="P34948" s="5" t="s">
        <v>355</v>
      </c>
      <c r="Q34948" s="5" t="s">
        <v>355</v>
      </c>
    </row>
    <row r="34949" ht="16.5" customHeight="1">
      <c r="O34949" s="5" t="s">
        <v>355</v>
      </c>
      <c r="P34949" s="5" t="s">
        <v>355</v>
      </c>
      <c r="Q34949" s="5" t="s">
        <v>355</v>
      </c>
    </row>
    <row r="34950" ht="16.5" customHeight="1">
      <c r="O34950" s="5" t="s">
        <v>355</v>
      </c>
      <c r="P34950" s="5" t="s">
        <v>355</v>
      </c>
      <c r="Q34950" s="5" t="s">
        <v>355</v>
      </c>
    </row>
    <row r="34951" ht="16.5" customHeight="1">
      <c r="O34951" s="5" t="s">
        <v>355</v>
      </c>
      <c r="P34951" s="5" t="s">
        <v>355</v>
      </c>
      <c r="Q34951" s="5" t="s">
        <v>355</v>
      </c>
    </row>
    <row r="34952" ht="16.5" customHeight="1">
      <c r="O34952" s="5" t="s">
        <v>355</v>
      </c>
      <c r="P34952" s="5" t="s">
        <v>355</v>
      </c>
      <c r="Q34952" s="5" t="s">
        <v>355</v>
      </c>
    </row>
    <row r="34953" ht="16.5" customHeight="1">
      <c r="O34953" s="5" t="s">
        <v>355</v>
      </c>
      <c r="P34953" s="5" t="s">
        <v>355</v>
      </c>
      <c r="Q34953" s="5" t="s">
        <v>355</v>
      </c>
    </row>
    <row r="34954" ht="16.5" customHeight="1">
      <c r="O34954" s="5" t="s">
        <v>355</v>
      </c>
      <c r="P34954" s="5" t="s">
        <v>355</v>
      </c>
      <c r="Q34954" s="5" t="s">
        <v>355</v>
      </c>
    </row>
    <row r="34955" ht="16.5" customHeight="1">
      <c r="O34955" s="5" t="s">
        <v>355</v>
      </c>
      <c r="P34955" s="5" t="s">
        <v>355</v>
      </c>
      <c r="Q34955" s="5" t="s">
        <v>355</v>
      </c>
    </row>
    <row r="34956" ht="16.5" customHeight="1">
      <c r="O34956" s="5" t="s">
        <v>355</v>
      </c>
      <c r="P34956" s="5" t="s">
        <v>355</v>
      </c>
      <c r="Q34956" s="5" t="s">
        <v>355</v>
      </c>
    </row>
    <row r="34957" ht="16.5" customHeight="1">
      <c r="O34957" s="5" t="s">
        <v>355</v>
      </c>
      <c r="P34957" s="5" t="s">
        <v>355</v>
      </c>
      <c r="Q34957" s="5" t="s">
        <v>355</v>
      </c>
    </row>
    <row r="34958" ht="16.5" customHeight="1">
      <c r="O34958" s="5" t="s">
        <v>355</v>
      </c>
      <c r="P34958" s="5" t="s">
        <v>355</v>
      </c>
      <c r="Q34958" s="5" t="s">
        <v>355</v>
      </c>
    </row>
    <row r="34959" ht="16.5" customHeight="1">
      <c r="O34959" s="5" t="s">
        <v>355</v>
      </c>
      <c r="P34959" s="5" t="s">
        <v>355</v>
      </c>
      <c r="Q34959" s="5" t="s">
        <v>355</v>
      </c>
    </row>
    <row r="34960" ht="16.5" customHeight="1">
      <c r="O34960" s="5" t="s">
        <v>355</v>
      </c>
      <c r="P34960" s="5" t="s">
        <v>355</v>
      </c>
      <c r="Q34960" s="5" t="s">
        <v>355</v>
      </c>
    </row>
    <row r="34961" ht="16.5" customHeight="1">
      <c r="O34961" s="5" t="s">
        <v>355</v>
      </c>
      <c r="P34961" s="5" t="s">
        <v>355</v>
      </c>
      <c r="Q34961" s="5" t="s">
        <v>355</v>
      </c>
    </row>
    <row r="34962" ht="16.5" customHeight="1">
      <c r="O34962" s="5" t="s">
        <v>355</v>
      </c>
      <c r="P34962" s="5" t="s">
        <v>355</v>
      </c>
      <c r="Q34962" s="5" t="s">
        <v>355</v>
      </c>
    </row>
    <row r="34963" ht="16.5" customHeight="1">
      <c r="O34963" s="5" t="s">
        <v>355</v>
      </c>
      <c r="P34963" s="5" t="s">
        <v>355</v>
      </c>
      <c r="Q34963" s="5" t="s">
        <v>355</v>
      </c>
    </row>
    <row r="34964" ht="16.5" customHeight="1">
      <c r="O34964" s="5" t="s">
        <v>355</v>
      </c>
      <c r="P34964" s="5" t="s">
        <v>355</v>
      </c>
      <c r="Q34964" s="5" t="s">
        <v>355</v>
      </c>
    </row>
    <row r="34965" ht="16.5" customHeight="1">
      <c r="O34965" s="5" t="s">
        <v>355</v>
      </c>
      <c r="P34965" s="5" t="s">
        <v>355</v>
      </c>
      <c r="Q34965" s="5" t="s">
        <v>355</v>
      </c>
    </row>
    <row r="34966" ht="16.5" customHeight="1">
      <c r="O34966" s="5" t="s">
        <v>355</v>
      </c>
      <c r="P34966" s="5" t="s">
        <v>355</v>
      </c>
      <c r="Q34966" s="5" t="s">
        <v>355</v>
      </c>
    </row>
    <row r="34967" ht="16.5" customHeight="1">
      <c r="O34967" s="5" t="s">
        <v>355</v>
      </c>
      <c r="P34967" s="5" t="s">
        <v>355</v>
      </c>
      <c r="Q34967" s="5" t="s">
        <v>355</v>
      </c>
    </row>
    <row r="34968" ht="16.5" customHeight="1">
      <c r="O34968" s="5" t="s">
        <v>355</v>
      </c>
      <c r="P34968" s="5" t="s">
        <v>355</v>
      </c>
      <c r="Q34968" s="5" t="s">
        <v>355</v>
      </c>
    </row>
    <row r="34969" ht="16.5" customHeight="1">
      <c r="O34969" s="5" t="s">
        <v>355</v>
      </c>
      <c r="P34969" s="5" t="s">
        <v>355</v>
      </c>
      <c r="Q34969" s="5" t="s">
        <v>355</v>
      </c>
    </row>
    <row r="34970" ht="16.5" customHeight="1">
      <c r="O34970" s="5" t="s">
        <v>355</v>
      </c>
      <c r="P34970" s="5" t="s">
        <v>355</v>
      </c>
      <c r="Q34970" s="5" t="s">
        <v>355</v>
      </c>
    </row>
    <row r="34971" ht="16.5" customHeight="1">
      <c r="O34971" s="5" t="s">
        <v>355</v>
      </c>
      <c r="P34971" s="5" t="s">
        <v>355</v>
      </c>
      <c r="Q34971" s="5" t="s">
        <v>355</v>
      </c>
    </row>
    <row r="34972" ht="16.5" customHeight="1">
      <c r="O34972" s="5" t="s">
        <v>355</v>
      </c>
      <c r="P34972" s="5" t="s">
        <v>355</v>
      </c>
      <c r="Q34972" s="5" t="s">
        <v>355</v>
      </c>
    </row>
    <row r="34973" ht="16.5" customHeight="1">
      <c r="O34973" s="5" t="s">
        <v>355</v>
      </c>
      <c r="P34973" s="5" t="s">
        <v>355</v>
      </c>
      <c r="Q34973" s="5" t="s">
        <v>355</v>
      </c>
    </row>
    <row r="34974" ht="16.5" customHeight="1">
      <c r="O34974" s="5" t="s">
        <v>355</v>
      </c>
      <c r="P34974" s="5" t="s">
        <v>355</v>
      </c>
      <c r="Q34974" s="5" t="s">
        <v>355</v>
      </c>
    </row>
    <row r="34975" ht="16.5" customHeight="1">
      <c r="O34975" s="5" t="s">
        <v>355</v>
      </c>
      <c r="P34975" s="5" t="s">
        <v>355</v>
      </c>
      <c r="Q34975" s="5" t="s">
        <v>355</v>
      </c>
    </row>
    <row r="34976" ht="16.5" customHeight="1">
      <c r="O34976" s="5" t="s">
        <v>355</v>
      </c>
      <c r="P34976" s="5" t="s">
        <v>355</v>
      </c>
      <c r="Q34976" s="5" t="s">
        <v>355</v>
      </c>
    </row>
    <row r="34977" ht="16.5" customHeight="1">
      <c r="O34977" s="5" t="s">
        <v>355</v>
      </c>
      <c r="P34977" s="5" t="s">
        <v>355</v>
      </c>
      <c r="Q34977" s="5" t="s">
        <v>355</v>
      </c>
    </row>
    <row r="34978" ht="16.5" customHeight="1">
      <c r="O34978" s="5" t="s">
        <v>355</v>
      </c>
      <c r="P34978" s="5" t="s">
        <v>355</v>
      </c>
      <c r="Q34978" s="5" t="s">
        <v>355</v>
      </c>
    </row>
    <row r="34979" ht="16.5" customHeight="1">
      <c r="O34979" s="5" t="s">
        <v>355</v>
      </c>
      <c r="P34979" s="5" t="s">
        <v>355</v>
      </c>
      <c r="Q34979" s="5" t="s">
        <v>355</v>
      </c>
    </row>
    <row r="34980" ht="16.5" customHeight="1">
      <c r="O34980" s="5" t="s">
        <v>355</v>
      </c>
      <c r="P34980" s="5" t="s">
        <v>355</v>
      </c>
      <c r="Q34980" s="5" t="s">
        <v>355</v>
      </c>
    </row>
    <row r="34981" ht="16.5" customHeight="1">
      <c r="O34981" s="5" t="s">
        <v>355</v>
      </c>
      <c r="P34981" s="5" t="s">
        <v>355</v>
      </c>
      <c r="Q34981" s="5" t="s">
        <v>355</v>
      </c>
    </row>
    <row r="34982" ht="16.5" customHeight="1">
      <c r="O34982" s="5" t="s">
        <v>355</v>
      </c>
      <c r="P34982" s="5" t="s">
        <v>355</v>
      </c>
      <c r="Q34982" s="5" t="s">
        <v>355</v>
      </c>
    </row>
    <row r="34983" ht="16.5" customHeight="1">
      <c r="O34983" s="5" t="s">
        <v>355</v>
      </c>
      <c r="P34983" s="5" t="s">
        <v>355</v>
      </c>
      <c r="Q34983" s="5" t="s">
        <v>355</v>
      </c>
    </row>
    <row r="34984" ht="16.5" customHeight="1">
      <c r="O34984" s="5" t="s">
        <v>355</v>
      </c>
      <c r="P34984" s="5" t="s">
        <v>355</v>
      </c>
      <c r="Q34984" s="5" t="s">
        <v>355</v>
      </c>
    </row>
    <row r="34985" ht="16.5" customHeight="1">
      <c r="O34985" s="5" t="s">
        <v>355</v>
      </c>
      <c r="P34985" s="5" t="s">
        <v>355</v>
      </c>
      <c r="Q34985" s="5" t="s">
        <v>355</v>
      </c>
    </row>
    <row r="34986" ht="16.5" customHeight="1">
      <c r="O34986" s="5" t="s">
        <v>355</v>
      </c>
      <c r="P34986" s="5" t="s">
        <v>355</v>
      </c>
      <c r="Q34986" s="5" t="s">
        <v>355</v>
      </c>
    </row>
    <row r="34987" ht="16.5" customHeight="1">
      <c r="O34987" s="5" t="s">
        <v>355</v>
      </c>
      <c r="P34987" s="5" t="s">
        <v>355</v>
      </c>
      <c r="Q34987" s="5" t="s">
        <v>355</v>
      </c>
    </row>
    <row r="34988" ht="16.5" customHeight="1">
      <c r="O34988" s="5" t="s">
        <v>355</v>
      </c>
      <c r="P34988" s="5" t="s">
        <v>355</v>
      </c>
      <c r="Q34988" s="5" t="s">
        <v>355</v>
      </c>
    </row>
    <row r="34989" ht="16.5" customHeight="1">
      <c r="O34989" s="5" t="s">
        <v>355</v>
      </c>
      <c r="P34989" s="5" t="s">
        <v>355</v>
      </c>
      <c r="Q34989" s="5" t="s">
        <v>355</v>
      </c>
    </row>
    <row r="34990" ht="16.5" customHeight="1">
      <c r="O34990" s="5" t="s">
        <v>355</v>
      </c>
      <c r="P34990" s="5" t="s">
        <v>355</v>
      </c>
      <c r="Q34990" s="5" t="s">
        <v>355</v>
      </c>
    </row>
    <row r="34991" ht="16.5" customHeight="1">
      <c r="O34991" s="5" t="s">
        <v>355</v>
      </c>
      <c r="P34991" s="5" t="s">
        <v>355</v>
      </c>
      <c r="Q34991" s="5" t="s">
        <v>355</v>
      </c>
    </row>
    <row r="34992" ht="16.5" customHeight="1">
      <c r="O34992" s="5" t="s">
        <v>355</v>
      </c>
      <c r="P34992" s="5" t="s">
        <v>355</v>
      </c>
      <c r="Q34992" s="5" t="s">
        <v>355</v>
      </c>
    </row>
    <row r="34993" ht="16.5" customHeight="1">
      <c r="O34993" s="5" t="s">
        <v>355</v>
      </c>
      <c r="P34993" s="5" t="s">
        <v>355</v>
      </c>
      <c r="Q34993" s="5" t="s">
        <v>355</v>
      </c>
    </row>
    <row r="34994" ht="16.5" customHeight="1">
      <c r="O34994" s="5" t="s">
        <v>355</v>
      </c>
      <c r="P34994" s="5" t="s">
        <v>355</v>
      </c>
      <c r="Q34994" s="5" t="s">
        <v>355</v>
      </c>
    </row>
    <row r="34995" ht="16.5" customHeight="1">
      <c r="O34995" s="5" t="s">
        <v>355</v>
      </c>
      <c r="P34995" s="5" t="s">
        <v>355</v>
      </c>
      <c r="Q34995" s="5" t="s">
        <v>355</v>
      </c>
    </row>
    <row r="34996" ht="16.5" customHeight="1">
      <c r="O34996" s="5" t="s">
        <v>355</v>
      </c>
      <c r="P34996" s="5" t="s">
        <v>355</v>
      </c>
      <c r="Q34996" s="5" t="s">
        <v>355</v>
      </c>
    </row>
    <row r="34997" ht="16.5" customHeight="1">
      <c r="O34997" s="5" t="s">
        <v>355</v>
      </c>
      <c r="P34997" s="5" t="s">
        <v>355</v>
      </c>
      <c r="Q34997" s="5" t="s">
        <v>355</v>
      </c>
    </row>
    <row r="34998" ht="16.5" customHeight="1">
      <c r="O34998" s="5" t="s">
        <v>355</v>
      </c>
      <c r="P34998" s="5" t="s">
        <v>355</v>
      </c>
      <c r="Q34998" s="5" t="s">
        <v>355</v>
      </c>
    </row>
    <row r="34999" ht="16.5" customHeight="1">
      <c r="O34999" s="5" t="s">
        <v>355</v>
      </c>
      <c r="P34999" s="5" t="s">
        <v>355</v>
      </c>
      <c r="Q34999" s="5" t="s">
        <v>355</v>
      </c>
    </row>
    <row r="35000" ht="16.5" customHeight="1">
      <c r="O35000" s="5" t="s">
        <v>355</v>
      </c>
      <c r="P35000" s="5" t="s">
        <v>355</v>
      </c>
      <c r="Q35000" s="5" t="s">
        <v>355</v>
      </c>
    </row>
    <row r="35001" ht="16.5" customHeight="1">
      <c r="O35001" s="5" t="s">
        <v>355</v>
      </c>
      <c r="P35001" s="5" t="s">
        <v>355</v>
      </c>
      <c r="Q35001" s="5" t="s">
        <v>355</v>
      </c>
    </row>
    <row r="35002" ht="16.5" customHeight="1">
      <c r="O35002" s="5" t="s">
        <v>355</v>
      </c>
      <c r="P35002" s="5" t="s">
        <v>355</v>
      </c>
      <c r="Q35002" s="5" t="s">
        <v>355</v>
      </c>
    </row>
    <row r="35003" ht="16.5" customHeight="1">
      <c r="O35003" s="5" t="s">
        <v>355</v>
      </c>
      <c r="P35003" s="5" t="s">
        <v>355</v>
      </c>
      <c r="Q35003" s="5" t="s">
        <v>355</v>
      </c>
    </row>
    <row r="35004" ht="16.5" customHeight="1">
      <c r="O35004" s="5" t="s">
        <v>355</v>
      </c>
      <c r="P35004" s="5" t="s">
        <v>355</v>
      </c>
      <c r="Q35004" s="5" t="s">
        <v>355</v>
      </c>
    </row>
    <row r="35005" ht="16.5" customHeight="1">
      <c r="O35005" s="5" t="s">
        <v>355</v>
      </c>
      <c r="P35005" s="5" t="s">
        <v>355</v>
      </c>
      <c r="Q35005" s="5" t="s">
        <v>355</v>
      </c>
    </row>
    <row r="35006" ht="16.5" customHeight="1">
      <c r="O35006" s="5" t="s">
        <v>355</v>
      </c>
      <c r="P35006" s="5" t="s">
        <v>355</v>
      </c>
      <c r="Q35006" s="5" t="s">
        <v>355</v>
      </c>
    </row>
    <row r="35007" ht="16.5" customHeight="1">
      <c r="O35007" s="5" t="s">
        <v>355</v>
      </c>
      <c r="P35007" s="5" t="s">
        <v>355</v>
      </c>
      <c r="Q35007" s="5" t="s">
        <v>355</v>
      </c>
    </row>
    <row r="35008" ht="16.5" customHeight="1">
      <c r="O35008" s="5" t="s">
        <v>355</v>
      </c>
      <c r="P35008" s="5" t="s">
        <v>355</v>
      </c>
      <c r="Q35008" s="5" t="s">
        <v>355</v>
      </c>
    </row>
    <row r="35009" ht="16.5" customHeight="1">
      <c r="O35009" s="5" t="s">
        <v>355</v>
      </c>
      <c r="P35009" s="5" t="s">
        <v>355</v>
      </c>
      <c r="Q35009" s="5" t="s">
        <v>355</v>
      </c>
    </row>
    <row r="35010" ht="16.5" customHeight="1">
      <c r="O35010" s="5" t="s">
        <v>355</v>
      </c>
      <c r="P35010" s="5" t="s">
        <v>355</v>
      </c>
      <c r="Q35010" s="5" t="s">
        <v>355</v>
      </c>
    </row>
    <row r="35011" ht="16.5" customHeight="1">
      <c r="O35011" s="5" t="s">
        <v>355</v>
      </c>
      <c r="P35011" s="5" t="s">
        <v>355</v>
      </c>
      <c r="Q35011" s="5" t="s">
        <v>355</v>
      </c>
    </row>
    <row r="35012" ht="16.5" customHeight="1">
      <c r="O35012" s="5" t="s">
        <v>355</v>
      </c>
      <c r="P35012" s="5" t="s">
        <v>355</v>
      </c>
      <c r="Q35012" s="5" t="s">
        <v>355</v>
      </c>
    </row>
    <row r="35013" ht="16.5" customHeight="1">
      <c r="O35013" s="5" t="s">
        <v>355</v>
      </c>
      <c r="P35013" s="5" t="s">
        <v>355</v>
      </c>
      <c r="Q35013" s="5" t="s">
        <v>355</v>
      </c>
    </row>
    <row r="35014" ht="16.5" customHeight="1">
      <c r="O35014" s="5" t="s">
        <v>355</v>
      </c>
      <c r="P35014" s="5" t="s">
        <v>355</v>
      </c>
      <c r="Q35014" s="5" t="s">
        <v>355</v>
      </c>
    </row>
    <row r="35015" ht="16.5" customHeight="1">
      <c r="O35015" s="5" t="s">
        <v>355</v>
      </c>
      <c r="P35015" s="5" t="s">
        <v>355</v>
      </c>
      <c r="Q35015" s="5" t="s">
        <v>355</v>
      </c>
    </row>
    <row r="35016" ht="16.5" customHeight="1">
      <c r="O35016" s="5" t="s">
        <v>355</v>
      </c>
      <c r="P35016" s="5" t="s">
        <v>355</v>
      </c>
      <c r="Q35016" s="5" t="s">
        <v>355</v>
      </c>
    </row>
    <row r="35017" ht="16.5" customHeight="1">
      <c r="O35017" s="5" t="s">
        <v>355</v>
      </c>
      <c r="P35017" s="5" t="s">
        <v>355</v>
      </c>
      <c r="Q35017" s="5" t="s">
        <v>355</v>
      </c>
    </row>
    <row r="35018" ht="16.5" customHeight="1">
      <c r="O35018" s="5" t="s">
        <v>355</v>
      </c>
      <c r="P35018" s="5" t="s">
        <v>355</v>
      </c>
      <c r="Q35018" s="5" t="s">
        <v>355</v>
      </c>
    </row>
    <row r="35019" ht="16.5" customHeight="1">
      <c r="O35019" s="5" t="s">
        <v>355</v>
      </c>
      <c r="P35019" s="5" t="s">
        <v>355</v>
      </c>
      <c r="Q35019" s="5" t="s">
        <v>355</v>
      </c>
    </row>
    <row r="35020" ht="16.5" customHeight="1">
      <c r="O35020" s="5" t="s">
        <v>355</v>
      </c>
      <c r="P35020" s="5" t="s">
        <v>355</v>
      </c>
      <c r="Q35020" s="5" t="s">
        <v>355</v>
      </c>
    </row>
    <row r="35021" ht="16.5" customHeight="1">
      <c r="O35021" s="5" t="s">
        <v>355</v>
      </c>
      <c r="P35021" s="5" t="s">
        <v>355</v>
      </c>
      <c r="Q35021" s="5" t="s">
        <v>355</v>
      </c>
    </row>
    <row r="35022" ht="16.5" customHeight="1">
      <c r="O35022" s="5" t="s">
        <v>355</v>
      </c>
      <c r="P35022" s="5" t="s">
        <v>355</v>
      </c>
      <c r="Q35022" s="5" t="s">
        <v>355</v>
      </c>
    </row>
    <row r="35023" ht="16.5" customHeight="1">
      <c r="O35023" s="5" t="s">
        <v>355</v>
      </c>
      <c r="P35023" s="5" t="s">
        <v>355</v>
      </c>
      <c r="Q35023" s="5" t="s">
        <v>355</v>
      </c>
    </row>
    <row r="35024" ht="16.5" customHeight="1">
      <c r="O35024" s="5" t="s">
        <v>355</v>
      </c>
      <c r="P35024" s="5" t="s">
        <v>355</v>
      </c>
      <c r="Q35024" s="5" t="s">
        <v>355</v>
      </c>
    </row>
    <row r="35025" ht="16.5" customHeight="1">
      <c r="O35025" s="5" t="s">
        <v>355</v>
      </c>
      <c r="P35025" s="5" t="s">
        <v>355</v>
      </c>
      <c r="Q35025" s="5" t="s">
        <v>355</v>
      </c>
    </row>
    <row r="35026" ht="16.5" customHeight="1">
      <c r="O35026" s="5" t="s">
        <v>355</v>
      </c>
      <c r="P35026" s="5" t="s">
        <v>355</v>
      </c>
      <c r="Q35026" s="5" t="s">
        <v>355</v>
      </c>
    </row>
    <row r="35027" ht="16.5" customHeight="1">
      <c r="O35027" s="5" t="s">
        <v>355</v>
      </c>
      <c r="P35027" s="5" t="s">
        <v>355</v>
      </c>
      <c r="Q35027" s="5" t="s">
        <v>355</v>
      </c>
    </row>
    <row r="35028" ht="16.5" customHeight="1">
      <c r="O35028" s="5" t="s">
        <v>355</v>
      </c>
      <c r="P35028" s="5" t="s">
        <v>355</v>
      </c>
      <c r="Q35028" s="5" t="s">
        <v>355</v>
      </c>
    </row>
    <row r="35029" ht="16.5" customHeight="1">
      <c r="O35029" s="5" t="s">
        <v>355</v>
      </c>
      <c r="P35029" s="5" t="s">
        <v>355</v>
      </c>
      <c r="Q35029" s="5" t="s">
        <v>355</v>
      </c>
    </row>
    <row r="35030" ht="16.5" customHeight="1">
      <c r="O35030" s="5" t="s">
        <v>355</v>
      </c>
      <c r="P35030" s="5" t="s">
        <v>355</v>
      </c>
      <c r="Q35030" s="5" t="s">
        <v>355</v>
      </c>
    </row>
    <row r="35031" ht="16.5" customHeight="1">
      <c r="O35031" s="5" t="s">
        <v>355</v>
      </c>
      <c r="P35031" s="5" t="s">
        <v>355</v>
      </c>
      <c r="Q35031" s="5" t="s">
        <v>355</v>
      </c>
    </row>
    <row r="35032" ht="16.5" customHeight="1">
      <c r="O35032" s="5" t="s">
        <v>355</v>
      </c>
      <c r="P35032" s="5" t="s">
        <v>355</v>
      </c>
      <c r="Q35032" s="5" t="s">
        <v>355</v>
      </c>
    </row>
    <row r="35033" ht="16.5" customHeight="1">
      <c r="O35033" s="5" t="s">
        <v>355</v>
      </c>
      <c r="P35033" s="5" t="s">
        <v>355</v>
      </c>
      <c r="Q35033" s="5" t="s">
        <v>355</v>
      </c>
    </row>
    <row r="35034" ht="16.5" customHeight="1">
      <c r="O35034" s="5" t="s">
        <v>355</v>
      </c>
      <c r="P35034" s="5" t="s">
        <v>355</v>
      </c>
      <c r="Q35034" s="5" t="s">
        <v>355</v>
      </c>
    </row>
    <row r="35035" ht="16.5" customHeight="1">
      <c r="O35035" s="5" t="s">
        <v>355</v>
      </c>
      <c r="P35035" s="5" t="s">
        <v>355</v>
      </c>
      <c r="Q35035" s="5" t="s">
        <v>355</v>
      </c>
    </row>
    <row r="35036" ht="16.5" customHeight="1">
      <c r="O35036" s="5" t="s">
        <v>355</v>
      </c>
      <c r="P35036" s="5" t="s">
        <v>355</v>
      </c>
      <c r="Q35036" s="5" t="s">
        <v>355</v>
      </c>
    </row>
    <row r="35037" ht="16.5" customHeight="1">
      <c r="O35037" s="5" t="s">
        <v>355</v>
      </c>
      <c r="P35037" s="5" t="s">
        <v>355</v>
      </c>
      <c r="Q35037" s="5" t="s">
        <v>355</v>
      </c>
    </row>
    <row r="35038" ht="16.5" customHeight="1">
      <c r="O35038" s="5" t="s">
        <v>355</v>
      </c>
      <c r="P35038" s="5" t="s">
        <v>355</v>
      </c>
      <c r="Q35038" s="5" t="s">
        <v>355</v>
      </c>
    </row>
    <row r="35039" ht="16.5" customHeight="1">
      <c r="O35039" s="5" t="s">
        <v>355</v>
      </c>
      <c r="P35039" s="5" t="s">
        <v>355</v>
      </c>
      <c r="Q35039" s="5" t="s">
        <v>355</v>
      </c>
    </row>
    <row r="35040" ht="16.5" customHeight="1">
      <c r="O35040" s="5" t="s">
        <v>355</v>
      </c>
      <c r="P35040" s="5" t="s">
        <v>355</v>
      </c>
      <c r="Q35040" s="5" t="s">
        <v>355</v>
      </c>
    </row>
    <row r="35041" ht="16.5" customHeight="1">
      <c r="O35041" s="5" t="s">
        <v>355</v>
      </c>
      <c r="P35041" s="5" t="s">
        <v>355</v>
      </c>
      <c r="Q35041" s="5" t="s">
        <v>355</v>
      </c>
    </row>
    <row r="35042" ht="16.5" customHeight="1">
      <c r="O35042" s="5" t="s">
        <v>355</v>
      </c>
      <c r="P35042" s="5" t="s">
        <v>355</v>
      </c>
      <c r="Q35042" s="5" t="s">
        <v>355</v>
      </c>
    </row>
    <row r="35043" ht="16.5" customHeight="1">
      <c r="O35043" s="5" t="s">
        <v>355</v>
      </c>
      <c r="P35043" s="5" t="s">
        <v>355</v>
      </c>
      <c r="Q35043" s="5" t="s">
        <v>355</v>
      </c>
    </row>
    <row r="35044" ht="16.5" customHeight="1">
      <c r="O35044" s="5" t="s">
        <v>355</v>
      </c>
      <c r="P35044" s="5" t="s">
        <v>355</v>
      </c>
      <c r="Q35044" s="5" t="s">
        <v>355</v>
      </c>
    </row>
    <row r="35045" ht="16.5" customHeight="1">
      <c r="O35045" s="5" t="s">
        <v>355</v>
      </c>
      <c r="P35045" s="5" t="s">
        <v>355</v>
      </c>
      <c r="Q35045" s="5" t="s">
        <v>355</v>
      </c>
    </row>
    <row r="35046" ht="16.5" customHeight="1">
      <c r="O35046" s="5" t="s">
        <v>355</v>
      </c>
      <c r="P35046" s="5" t="s">
        <v>355</v>
      </c>
      <c r="Q35046" s="5" t="s">
        <v>355</v>
      </c>
    </row>
    <row r="35047" ht="16.5" customHeight="1">
      <c r="O35047" s="5" t="s">
        <v>355</v>
      </c>
      <c r="P35047" s="5" t="s">
        <v>355</v>
      </c>
      <c r="Q35047" s="5" t="s">
        <v>355</v>
      </c>
    </row>
    <row r="35048" ht="16.5" customHeight="1">
      <c r="O35048" s="5" t="s">
        <v>355</v>
      </c>
      <c r="P35048" s="5" t="s">
        <v>355</v>
      </c>
      <c r="Q35048" s="5" t="s">
        <v>355</v>
      </c>
    </row>
    <row r="35049" ht="16.5" customHeight="1">
      <c r="O35049" s="5" t="s">
        <v>355</v>
      </c>
      <c r="P35049" s="5" t="s">
        <v>355</v>
      </c>
      <c r="Q35049" s="5" t="s">
        <v>355</v>
      </c>
    </row>
    <row r="35050" ht="16.5" customHeight="1">
      <c r="O35050" s="5" t="s">
        <v>355</v>
      </c>
      <c r="P35050" s="5" t="s">
        <v>355</v>
      </c>
      <c r="Q35050" s="5" t="s">
        <v>355</v>
      </c>
    </row>
    <row r="35051" ht="16.5" customHeight="1">
      <c r="O35051" s="5" t="s">
        <v>355</v>
      </c>
      <c r="P35051" s="5" t="s">
        <v>355</v>
      </c>
      <c r="Q35051" s="5" t="s">
        <v>355</v>
      </c>
    </row>
    <row r="35052" ht="16.5" customHeight="1">
      <c r="O35052" s="5" t="s">
        <v>355</v>
      </c>
      <c r="P35052" s="5" t="s">
        <v>355</v>
      </c>
      <c r="Q35052" s="5" t="s">
        <v>355</v>
      </c>
    </row>
    <row r="35053" ht="16.5" customHeight="1">
      <c r="O35053" s="5" t="s">
        <v>355</v>
      </c>
      <c r="P35053" s="5" t="s">
        <v>355</v>
      </c>
      <c r="Q35053" s="5" t="s">
        <v>355</v>
      </c>
    </row>
    <row r="35054" ht="16.5" customHeight="1">
      <c r="O35054" s="5" t="s">
        <v>355</v>
      </c>
      <c r="P35054" s="5" t="s">
        <v>355</v>
      </c>
      <c r="Q35054" s="5" t="s">
        <v>355</v>
      </c>
    </row>
    <row r="35055" ht="16.5" customHeight="1">
      <c r="O35055" s="5" t="s">
        <v>355</v>
      </c>
      <c r="P35055" s="5" t="s">
        <v>355</v>
      </c>
      <c r="Q35055" s="5" t="s">
        <v>355</v>
      </c>
    </row>
    <row r="35056" ht="16.5" customHeight="1">
      <c r="O35056" s="5" t="s">
        <v>355</v>
      </c>
      <c r="P35056" s="5" t="s">
        <v>355</v>
      </c>
      <c r="Q35056" s="5" t="s">
        <v>355</v>
      </c>
    </row>
    <row r="35057" ht="16.5" customHeight="1">
      <c r="O35057" s="5" t="s">
        <v>355</v>
      </c>
      <c r="P35057" s="5" t="s">
        <v>355</v>
      </c>
      <c r="Q35057" s="5" t="s">
        <v>355</v>
      </c>
    </row>
    <row r="35058" ht="16.5" customHeight="1">
      <c r="O35058" s="5" t="s">
        <v>355</v>
      </c>
      <c r="P35058" s="5" t="s">
        <v>355</v>
      </c>
      <c r="Q35058" s="5" t="s">
        <v>355</v>
      </c>
    </row>
    <row r="35059" ht="16.5" customHeight="1">
      <c r="O35059" s="5" t="s">
        <v>355</v>
      </c>
      <c r="P35059" s="5" t="s">
        <v>355</v>
      </c>
      <c r="Q35059" s="5" t="s">
        <v>355</v>
      </c>
    </row>
    <row r="35060" ht="16.5" customHeight="1">
      <c r="O35060" s="5" t="s">
        <v>355</v>
      </c>
      <c r="P35060" s="5" t="s">
        <v>355</v>
      </c>
      <c r="Q35060" s="5" t="s">
        <v>355</v>
      </c>
    </row>
    <row r="35061" ht="16.5" customHeight="1">
      <c r="O35061" s="5" t="s">
        <v>355</v>
      </c>
      <c r="P35061" s="5" t="s">
        <v>355</v>
      </c>
      <c r="Q35061" s="5" t="s">
        <v>355</v>
      </c>
    </row>
    <row r="35062" ht="16.5" customHeight="1">
      <c r="O35062" s="5" t="s">
        <v>355</v>
      </c>
      <c r="P35062" s="5" t="s">
        <v>355</v>
      </c>
      <c r="Q35062" s="5" t="s">
        <v>355</v>
      </c>
    </row>
    <row r="35063" ht="16.5" customHeight="1">
      <c r="O35063" s="5" t="s">
        <v>355</v>
      </c>
      <c r="P35063" s="5" t="s">
        <v>355</v>
      </c>
      <c r="Q35063" s="5" t="s">
        <v>355</v>
      </c>
    </row>
    <row r="35064" ht="16.5" customHeight="1">
      <c r="O35064" s="5" t="s">
        <v>355</v>
      </c>
      <c r="P35064" s="5" t="s">
        <v>355</v>
      </c>
      <c r="Q35064" s="5" t="s">
        <v>355</v>
      </c>
    </row>
    <row r="35065" ht="16.5" customHeight="1">
      <c r="O35065" s="5" t="s">
        <v>355</v>
      </c>
      <c r="P35065" s="5" t="s">
        <v>355</v>
      </c>
      <c r="Q35065" s="5" t="s">
        <v>355</v>
      </c>
    </row>
    <row r="35066" ht="16.5" customHeight="1">
      <c r="O35066" s="5" t="s">
        <v>355</v>
      </c>
      <c r="P35066" s="5" t="s">
        <v>355</v>
      </c>
      <c r="Q35066" s="5" t="s">
        <v>355</v>
      </c>
    </row>
    <row r="35067" ht="16.5" customHeight="1">
      <c r="O35067" s="5" t="s">
        <v>355</v>
      </c>
      <c r="P35067" s="5" t="s">
        <v>355</v>
      </c>
      <c r="Q35067" s="5" t="s">
        <v>355</v>
      </c>
    </row>
    <row r="35068" ht="16.5" customHeight="1">
      <c r="O35068" s="5" t="s">
        <v>355</v>
      </c>
      <c r="P35068" s="5" t="s">
        <v>355</v>
      </c>
      <c r="Q35068" s="5" t="s">
        <v>355</v>
      </c>
    </row>
    <row r="35069" ht="16.5" customHeight="1">
      <c r="O35069" s="5" t="s">
        <v>355</v>
      </c>
      <c r="P35069" s="5" t="s">
        <v>355</v>
      </c>
      <c r="Q35069" s="5" t="s">
        <v>355</v>
      </c>
    </row>
    <row r="35070" ht="16.5" customHeight="1">
      <c r="O35070" s="5" t="s">
        <v>355</v>
      </c>
      <c r="P35070" s="5" t="s">
        <v>355</v>
      </c>
      <c r="Q35070" s="5" t="s">
        <v>355</v>
      </c>
    </row>
    <row r="35071" ht="16.5" customHeight="1">
      <c r="O35071" s="5" t="s">
        <v>355</v>
      </c>
      <c r="P35071" s="5" t="s">
        <v>355</v>
      </c>
      <c r="Q35071" s="5" t="s">
        <v>355</v>
      </c>
    </row>
    <row r="35072" ht="16.5" customHeight="1">
      <c r="O35072" s="5" t="s">
        <v>355</v>
      </c>
      <c r="P35072" s="5" t="s">
        <v>355</v>
      </c>
      <c r="Q35072" s="5" t="s">
        <v>355</v>
      </c>
    </row>
    <row r="35073" ht="16.5" customHeight="1">
      <c r="O35073" s="5" t="s">
        <v>355</v>
      </c>
      <c r="P35073" s="5" t="s">
        <v>355</v>
      </c>
      <c r="Q35073" s="5" t="s">
        <v>355</v>
      </c>
    </row>
    <row r="35074" ht="16.5" customHeight="1">
      <c r="O35074" s="5" t="s">
        <v>355</v>
      </c>
      <c r="P35074" s="5" t="s">
        <v>355</v>
      </c>
      <c r="Q35074" s="5" t="s">
        <v>355</v>
      </c>
    </row>
    <row r="35075" ht="16.5" customHeight="1">
      <c r="O35075" s="5" t="s">
        <v>355</v>
      </c>
      <c r="P35075" s="5" t="s">
        <v>355</v>
      </c>
      <c r="Q35075" s="5" t="s">
        <v>355</v>
      </c>
    </row>
    <row r="35076" ht="16.5" customHeight="1">
      <c r="O35076" s="5" t="s">
        <v>355</v>
      </c>
      <c r="P35076" s="5" t="s">
        <v>355</v>
      </c>
      <c r="Q35076" s="5" t="s">
        <v>355</v>
      </c>
    </row>
    <row r="35077" ht="16.5" customHeight="1">
      <c r="O35077" s="5" t="s">
        <v>355</v>
      </c>
      <c r="P35077" s="5" t="s">
        <v>355</v>
      </c>
      <c r="Q35077" s="5" t="s">
        <v>355</v>
      </c>
    </row>
    <row r="35078" ht="16.5" customHeight="1">
      <c r="O35078" s="5" t="s">
        <v>355</v>
      </c>
      <c r="P35078" s="5" t="s">
        <v>355</v>
      </c>
      <c r="Q35078" s="5" t="s">
        <v>355</v>
      </c>
    </row>
    <row r="35079" ht="16.5" customHeight="1">
      <c r="O35079" s="5" t="s">
        <v>355</v>
      </c>
      <c r="P35079" s="5" t="s">
        <v>355</v>
      </c>
      <c r="Q35079" s="5" t="s">
        <v>355</v>
      </c>
    </row>
    <row r="35080" ht="16.5" customHeight="1">
      <c r="O35080" s="5" t="s">
        <v>355</v>
      </c>
      <c r="P35080" s="5" t="s">
        <v>355</v>
      </c>
      <c r="Q35080" s="5" t="s">
        <v>355</v>
      </c>
    </row>
    <row r="35081" ht="16.5" customHeight="1">
      <c r="O35081" s="5" t="s">
        <v>355</v>
      </c>
      <c r="P35081" s="5" t="s">
        <v>355</v>
      </c>
      <c r="Q35081" s="5" t="s">
        <v>355</v>
      </c>
    </row>
    <row r="35082" ht="16.5" customHeight="1">
      <c r="O35082" s="5" t="s">
        <v>355</v>
      </c>
      <c r="P35082" s="5" t="s">
        <v>355</v>
      </c>
      <c r="Q35082" s="5" t="s">
        <v>355</v>
      </c>
    </row>
    <row r="35083" ht="16.5" customHeight="1">
      <c r="O35083" s="5" t="s">
        <v>355</v>
      </c>
      <c r="P35083" s="5" t="s">
        <v>355</v>
      </c>
      <c r="Q35083" s="5" t="s">
        <v>355</v>
      </c>
    </row>
    <row r="35084" ht="16.5" customHeight="1">
      <c r="O35084" s="5" t="s">
        <v>355</v>
      </c>
      <c r="P35084" s="5" t="s">
        <v>355</v>
      </c>
      <c r="Q35084" s="5" t="s">
        <v>355</v>
      </c>
    </row>
    <row r="35085" ht="16.5" customHeight="1">
      <c r="O35085" s="5" t="s">
        <v>355</v>
      </c>
      <c r="P35085" s="5" t="s">
        <v>355</v>
      </c>
      <c r="Q35085" s="5" t="s">
        <v>355</v>
      </c>
    </row>
    <row r="35086" ht="16.5" customHeight="1">
      <c r="O35086" s="5" t="s">
        <v>355</v>
      </c>
      <c r="P35086" s="5" t="s">
        <v>355</v>
      </c>
      <c r="Q35086" s="5" t="s">
        <v>355</v>
      </c>
    </row>
    <row r="35087" ht="16.5" customHeight="1">
      <c r="O35087" s="5" t="s">
        <v>355</v>
      </c>
      <c r="P35087" s="5" t="s">
        <v>355</v>
      </c>
      <c r="Q35087" s="5" t="s">
        <v>355</v>
      </c>
    </row>
    <row r="35088" ht="16.5" customHeight="1">
      <c r="O35088" s="5" t="s">
        <v>355</v>
      </c>
      <c r="P35088" s="5" t="s">
        <v>355</v>
      </c>
      <c r="Q35088" s="5" t="s">
        <v>355</v>
      </c>
    </row>
    <row r="35089" ht="16.5" customHeight="1">
      <c r="O35089" s="5" t="s">
        <v>355</v>
      </c>
      <c r="P35089" s="5" t="s">
        <v>355</v>
      </c>
      <c r="Q35089" s="5" t="s">
        <v>355</v>
      </c>
    </row>
    <row r="35090" ht="16.5" customHeight="1">
      <c r="O35090" s="5" t="s">
        <v>355</v>
      </c>
      <c r="P35090" s="5" t="s">
        <v>355</v>
      </c>
      <c r="Q35090" s="5" t="s">
        <v>355</v>
      </c>
    </row>
    <row r="35091" ht="16.5" customHeight="1">
      <c r="O35091" s="5" t="s">
        <v>355</v>
      </c>
      <c r="P35091" s="5" t="s">
        <v>355</v>
      </c>
      <c r="Q35091" s="5" t="s">
        <v>355</v>
      </c>
    </row>
    <row r="35092" ht="16.5" customHeight="1">
      <c r="O35092" s="5" t="s">
        <v>355</v>
      </c>
      <c r="P35092" s="5" t="s">
        <v>355</v>
      </c>
      <c r="Q35092" s="5" t="s">
        <v>355</v>
      </c>
    </row>
    <row r="35093" ht="16.5" customHeight="1">
      <c r="O35093" s="5" t="s">
        <v>355</v>
      </c>
      <c r="P35093" s="5" t="s">
        <v>355</v>
      </c>
      <c r="Q35093" s="5" t="s">
        <v>355</v>
      </c>
    </row>
    <row r="35094" ht="16.5" customHeight="1">
      <c r="O35094" s="5" t="s">
        <v>355</v>
      </c>
      <c r="P35094" s="5" t="s">
        <v>355</v>
      </c>
      <c r="Q35094" s="5" t="s">
        <v>355</v>
      </c>
    </row>
    <row r="35095" ht="16.5" customHeight="1">
      <c r="O35095" s="5" t="s">
        <v>355</v>
      </c>
      <c r="P35095" s="5" t="s">
        <v>355</v>
      </c>
      <c r="Q35095" s="5" t="s">
        <v>355</v>
      </c>
    </row>
    <row r="35096" ht="16.5" customHeight="1">
      <c r="O35096" s="5" t="s">
        <v>355</v>
      </c>
      <c r="P35096" s="5" t="s">
        <v>355</v>
      </c>
      <c r="Q35096" s="5" t="s">
        <v>355</v>
      </c>
    </row>
    <row r="35097" ht="16.5" customHeight="1">
      <c r="O35097" s="5" t="s">
        <v>355</v>
      </c>
      <c r="P35097" s="5" t="s">
        <v>355</v>
      </c>
      <c r="Q35097" s="5" t="s">
        <v>355</v>
      </c>
    </row>
    <row r="35098" ht="16.5" customHeight="1">
      <c r="O35098" s="5" t="s">
        <v>355</v>
      </c>
      <c r="P35098" s="5" t="s">
        <v>355</v>
      </c>
      <c r="Q35098" s="5" t="s">
        <v>355</v>
      </c>
    </row>
    <row r="35099" ht="16.5" customHeight="1">
      <c r="O35099" s="5" t="s">
        <v>355</v>
      </c>
      <c r="P35099" s="5" t="s">
        <v>355</v>
      </c>
      <c r="Q35099" s="5" t="s">
        <v>355</v>
      </c>
    </row>
    <row r="35100" ht="16.5" customHeight="1">
      <c r="O35100" s="5" t="s">
        <v>355</v>
      </c>
      <c r="P35100" s="5" t="s">
        <v>355</v>
      </c>
      <c r="Q35100" s="5" t="s">
        <v>355</v>
      </c>
    </row>
    <row r="35101" ht="16.5" customHeight="1">
      <c r="O35101" s="5" t="s">
        <v>355</v>
      </c>
      <c r="P35101" s="5" t="s">
        <v>355</v>
      </c>
      <c r="Q35101" s="5" t="s">
        <v>355</v>
      </c>
    </row>
    <row r="35102" ht="16.5" customHeight="1">
      <c r="O35102" s="5" t="s">
        <v>355</v>
      </c>
      <c r="P35102" s="5" t="s">
        <v>355</v>
      </c>
      <c r="Q35102" s="5" t="s">
        <v>355</v>
      </c>
    </row>
    <row r="35103" ht="16.5" customHeight="1">
      <c r="O35103" s="5" t="s">
        <v>355</v>
      </c>
      <c r="P35103" s="5" t="s">
        <v>355</v>
      </c>
      <c r="Q35103" s="5" t="s">
        <v>355</v>
      </c>
    </row>
    <row r="35104" ht="16.5" customHeight="1">
      <c r="O35104" s="5" t="s">
        <v>355</v>
      </c>
      <c r="P35104" s="5" t="s">
        <v>355</v>
      </c>
      <c r="Q35104" s="5" t="s">
        <v>355</v>
      </c>
    </row>
    <row r="35105" ht="16.5" customHeight="1">
      <c r="O35105" s="5" t="s">
        <v>355</v>
      </c>
      <c r="P35105" s="5" t="s">
        <v>355</v>
      </c>
      <c r="Q35105" s="5" t="s">
        <v>355</v>
      </c>
    </row>
    <row r="35106" ht="16.5" customHeight="1">
      <c r="O35106" s="5" t="s">
        <v>355</v>
      </c>
      <c r="P35106" s="5" t="s">
        <v>355</v>
      </c>
      <c r="Q35106" s="5" t="s">
        <v>355</v>
      </c>
    </row>
    <row r="35107" ht="16.5" customHeight="1">
      <c r="O35107" s="5" t="s">
        <v>355</v>
      </c>
      <c r="P35107" s="5" t="s">
        <v>355</v>
      </c>
      <c r="Q35107" s="5" t="s">
        <v>355</v>
      </c>
    </row>
    <row r="35108" ht="16.5" customHeight="1">
      <c r="O35108" s="5" t="s">
        <v>355</v>
      </c>
      <c r="P35108" s="5" t="s">
        <v>355</v>
      </c>
      <c r="Q35108" s="5" t="s">
        <v>355</v>
      </c>
    </row>
    <row r="35109" ht="16.5" customHeight="1">
      <c r="O35109" s="5" t="s">
        <v>355</v>
      </c>
      <c r="P35109" s="5" t="s">
        <v>355</v>
      </c>
      <c r="Q35109" s="5" t="s">
        <v>355</v>
      </c>
    </row>
    <row r="35110" ht="16.5" customHeight="1">
      <c r="O35110" s="5" t="s">
        <v>355</v>
      </c>
      <c r="P35110" s="5" t="s">
        <v>355</v>
      </c>
      <c r="Q35110" s="5" t="s">
        <v>355</v>
      </c>
    </row>
    <row r="35111" ht="16.5" customHeight="1">
      <c r="O35111" s="5" t="s">
        <v>355</v>
      </c>
      <c r="P35111" s="5" t="s">
        <v>355</v>
      </c>
      <c r="Q35111" s="5" t="s">
        <v>355</v>
      </c>
    </row>
    <row r="35112" ht="16.5" customHeight="1">
      <c r="O35112" s="5" t="s">
        <v>355</v>
      </c>
      <c r="P35112" s="5" t="s">
        <v>355</v>
      </c>
      <c r="Q35112" s="5" t="s">
        <v>355</v>
      </c>
    </row>
    <row r="35113" ht="16.5" customHeight="1">
      <c r="O35113" s="5" t="s">
        <v>355</v>
      </c>
      <c r="P35113" s="5" t="s">
        <v>355</v>
      </c>
      <c r="Q35113" s="5" t="s">
        <v>355</v>
      </c>
    </row>
    <row r="35114" ht="16.5" customHeight="1">
      <c r="O35114" s="5" t="s">
        <v>355</v>
      </c>
      <c r="P35114" s="5" t="s">
        <v>355</v>
      </c>
      <c r="Q35114" s="5" t="s">
        <v>355</v>
      </c>
    </row>
    <row r="35115" ht="16.5" customHeight="1">
      <c r="O35115" s="5" t="s">
        <v>355</v>
      </c>
      <c r="P35115" s="5" t="s">
        <v>355</v>
      </c>
      <c r="Q35115" s="5" t="s">
        <v>355</v>
      </c>
    </row>
    <row r="35116" ht="16.5" customHeight="1">
      <c r="O35116" s="5" t="s">
        <v>355</v>
      </c>
      <c r="P35116" s="5" t="s">
        <v>355</v>
      </c>
      <c r="Q35116" s="5" t="s">
        <v>355</v>
      </c>
    </row>
    <row r="35117" ht="16.5" customHeight="1">
      <c r="O35117" s="5" t="s">
        <v>355</v>
      </c>
      <c r="P35117" s="5" t="s">
        <v>355</v>
      </c>
      <c r="Q35117" s="5" t="s">
        <v>355</v>
      </c>
    </row>
    <row r="35118" ht="16.5" customHeight="1">
      <c r="O35118" s="5" t="s">
        <v>355</v>
      </c>
      <c r="P35118" s="5" t="s">
        <v>355</v>
      </c>
      <c r="Q35118" s="5" t="s">
        <v>355</v>
      </c>
    </row>
    <row r="35119" ht="16.5" customHeight="1">
      <c r="O35119" s="5" t="s">
        <v>355</v>
      </c>
      <c r="P35119" s="5" t="s">
        <v>355</v>
      </c>
      <c r="Q35119" s="5" t="s">
        <v>355</v>
      </c>
    </row>
    <row r="35120" ht="16.5" customHeight="1">
      <c r="O35120" s="5" t="s">
        <v>355</v>
      </c>
      <c r="P35120" s="5" t="s">
        <v>355</v>
      </c>
      <c r="Q35120" s="5" t="s">
        <v>355</v>
      </c>
    </row>
    <row r="35121" ht="16.5" customHeight="1">
      <c r="O35121" s="5" t="s">
        <v>355</v>
      </c>
      <c r="P35121" s="5" t="s">
        <v>355</v>
      </c>
      <c r="Q35121" s="5" t="s">
        <v>355</v>
      </c>
    </row>
    <row r="35122" ht="16.5" customHeight="1">
      <c r="O35122" s="5" t="s">
        <v>355</v>
      </c>
      <c r="P35122" s="5" t="s">
        <v>355</v>
      </c>
      <c r="Q35122" s="5" t="s">
        <v>355</v>
      </c>
    </row>
    <row r="35123" ht="16.5" customHeight="1">
      <c r="O35123" s="5" t="s">
        <v>355</v>
      </c>
      <c r="P35123" s="5" t="s">
        <v>355</v>
      </c>
      <c r="Q35123" s="5" t="s">
        <v>355</v>
      </c>
    </row>
    <row r="35124" ht="16.5" customHeight="1">
      <c r="O35124" s="5" t="s">
        <v>355</v>
      </c>
      <c r="P35124" s="5" t="s">
        <v>355</v>
      </c>
      <c r="Q35124" s="5" t="s">
        <v>355</v>
      </c>
    </row>
    <row r="35125" ht="16.5" customHeight="1">
      <c r="O35125" s="5" t="s">
        <v>355</v>
      </c>
      <c r="P35125" s="5" t="s">
        <v>355</v>
      </c>
      <c r="Q35125" s="5" t="s">
        <v>355</v>
      </c>
    </row>
    <row r="35126" ht="16.5" customHeight="1">
      <c r="O35126" s="5" t="s">
        <v>355</v>
      </c>
      <c r="P35126" s="5" t="s">
        <v>355</v>
      </c>
      <c r="Q35126" s="5" t="s">
        <v>355</v>
      </c>
    </row>
    <row r="35127" ht="16.5" customHeight="1">
      <c r="O35127" s="5" t="s">
        <v>355</v>
      </c>
      <c r="P35127" s="5" t="s">
        <v>355</v>
      </c>
      <c r="Q35127" s="5" t="s">
        <v>355</v>
      </c>
    </row>
    <row r="35128" ht="16.5" customHeight="1">
      <c r="O35128" s="5" t="s">
        <v>355</v>
      </c>
      <c r="P35128" s="5" t="s">
        <v>355</v>
      </c>
      <c r="Q35128" s="5" t="s">
        <v>355</v>
      </c>
    </row>
    <row r="35129" ht="16.5" customHeight="1">
      <c r="O35129" s="5" t="s">
        <v>355</v>
      </c>
      <c r="P35129" s="5" t="s">
        <v>355</v>
      </c>
      <c r="Q35129" s="5" t="s">
        <v>355</v>
      </c>
    </row>
    <row r="35130" ht="16.5" customHeight="1">
      <c r="O35130" s="5" t="s">
        <v>355</v>
      </c>
      <c r="P35130" s="5" t="s">
        <v>355</v>
      </c>
      <c r="Q35130" s="5" t="s">
        <v>355</v>
      </c>
    </row>
    <row r="35131" ht="16.5" customHeight="1">
      <c r="O35131" s="5" t="s">
        <v>355</v>
      </c>
      <c r="P35131" s="5" t="s">
        <v>355</v>
      </c>
      <c r="Q35131" s="5" t="s">
        <v>355</v>
      </c>
    </row>
    <row r="35132" ht="16.5" customHeight="1">
      <c r="O35132" s="5" t="s">
        <v>355</v>
      </c>
      <c r="P35132" s="5" t="s">
        <v>355</v>
      </c>
      <c r="Q35132" s="5" t="s">
        <v>355</v>
      </c>
    </row>
    <row r="35133" ht="16.5" customHeight="1">
      <c r="O35133" s="5" t="s">
        <v>355</v>
      </c>
      <c r="P35133" s="5" t="s">
        <v>355</v>
      </c>
      <c r="Q35133" s="5" t="s">
        <v>355</v>
      </c>
    </row>
    <row r="35134" ht="16.5" customHeight="1">
      <c r="O35134" s="5" t="s">
        <v>355</v>
      </c>
      <c r="P35134" s="5" t="s">
        <v>355</v>
      </c>
      <c r="Q35134" s="5" t="s">
        <v>355</v>
      </c>
    </row>
    <row r="35135" ht="16.5" customHeight="1">
      <c r="O35135" s="5" t="s">
        <v>355</v>
      </c>
      <c r="P35135" s="5" t="s">
        <v>355</v>
      </c>
      <c r="Q35135" s="5" t="s">
        <v>355</v>
      </c>
    </row>
    <row r="35136" ht="16.5" customHeight="1">
      <c r="O35136" s="5" t="s">
        <v>355</v>
      </c>
      <c r="P35136" s="5" t="s">
        <v>355</v>
      </c>
      <c r="Q35136" s="5" t="s">
        <v>355</v>
      </c>
    </row>
    <row r="35137" ht="16.5" customHeight="1">
      <c r="O35137" s="5" t="s">
        <v>355</v>
      </c>
      <c r="P35137" s="5" t="s">
        <v>355</v>
      </c>
      <c r="Q35137" s="5" t="s">
        <v>355</v>
      </c>
    </row>
    <row r="35138" ht="16.5" customHeight="1">
      <c r="O35138" s="5" t="s">
        <v>355</v>
      </c>
      <c r="P35138" s="5" t="s">
        <v>355</v>
      </c>
      <c r="Q35138" s="5" t="s">
        <v>355</v>
      </c>
    </row>
    <row r="35139" ht="16.5" customHeight="1">
      <c r="O35139" s="5" t="s">
        <v>355</v>
      </c>
      <c r="P35139" s="5" t="s">
        <v>355</v>
      </c>
      <c r="Q35139" s="5" t="s">
        <v>355</v>
      </c>
    </row>
    <row r="35140" ht="16.5" customHeight="1">
      <c r="O35140" s="5" t="s">
        <v>355</v>
      </c>
      <c r="P35140" s="5" t="s">
        <v>355</v>
      </c>
      <c r="Q35140" s="5" t="s">
        <v>355</v>
      </c>
    </row>
    <row r="35141" ht="16.5" customHeight="1">
      <c r="O35141" s="5" t="s">
        <v>355</v>
      </c>
      <c r="P35141" s="5" t="s">
        <v>355</v>
      </c>
      <c r="Q35141" s="5" t="s">
        <v>355</v>
      </c>
    </row>
    <row r="35142" ht="16.5" customHeight="1">
      <c r="O35142" s="5" t="s">
        <v>355</v>
      </c>
      <c r="P35142" s="5" t="s">
        <v>355</v>
      </c>
      <c r="Q35142" s="5" t="s">
        <v>355</v>
      </c>
    </row>
    <row r="35143" ht="16.5" customHeight="1">
      <c r="O35143" s="5" t="s">
        <v>355</v>
      </c>
      <c r="P35143" s="5" t="s">
        <v>355</v>
      </c>
      <c r="Q35143" s="5" t="s">
        <v>355</v>
      </c>
    </row>
    <row r="35144" ht="16.5" customHeight="1">
      <c r="O35144" s="5" t="s">
        <v>355</v>
      </c>
      <c r="P35144" s="5" t="s">
        <v>355</v>
      </c>
      <c r="Q35144" s="5" t="s">
        <v>355</v>
      </c>
    </row>
    <row r="35145" ht="16.5" customHeight="1">
      <c r="O35145" s="5" t="s">
        <v>355</v>
      </c>
      <c r="P35145" s="5" t="s">
        <v>355</v>
      </c>
      <c r="Q35145" s="5" t="s">
        <v>355</v>
      </c>
    </row>
    <row r="35146" ht="16.5" customHeight="1">
      <c r="O35146" s="5" t="s">
        <v>355</v>
      </c>
      <c r="P35146" s="5" t="s">
        <v>355</v>
      </c>
      <c r="Q35146" s="5" t="s">
        <v>355</v>
      </c>
    </row>
    <row r="35147" ht="16.5" customHeight="1">
      <c r="O35147" s="5" t="s">
        <v>355</v>
      </c>
      <c r="P35147" s="5" t="s">
        <v>355</v>
      </c>
      <c r="Q35147" s="5" t="s">
        <v>355</v>
      </c>
    </row>
    <row r="35148" ht="16.5" customHeight="1">
      <c r="O35148" s="5" t="s">
        <v>355</v>
      </c>
      <c r="P35148" s="5" t="s">
        <v>355</v>
      </c>
      <c r="Q35148" s="5" t="s">
        <v>355</v>
      </c>
    </row>
    <row r="35149" ht="16.5" customHeight="1">
      <c r="O35149" s="5" t="s">
        <v>355</v>
      </c>
      <c r="P35149" s="5" t="s">
        <v>355</v>
      </c>
      <c r="Q35149" s="5" t="s">
        <v>355</v>
      </c>
    </row>
    <row r="35150" ht="16.5" customHeight="1">
      <c r="O35150" s="5" t="s">
        <v>355</v>
      </c>
      <c r="P35150" s="5" t="s">
        <v>355</v>
      </c>
      <c r="Q35150" s="5" t="s">
        <v>355</v>
      </c>
    </row>
    <row r="35151" ht="16.5" customHeight="1">
      <c r="O35151" s="5" t="s">
        <v>355</v>
      </c>
      <c r="P35151" s="5" t="s">
        <v>355</v>
      </c>
      <c r="Q35151" s="5" t="s">
        <v>355</v>
      </c>
    </row>
    <row r="35152" ht="16.5" customHeight="1">
      <c r="O35152" s="5" t="s">
        <v>355</v>
      </c>
      <c r="P35152" s="5" t="s">
        <v>355</v>
      </c>
      <c r="Q35152" s="5" t="s">
        <v>355</v>
      </c>
    </row>
    <row r="35153" ht="16.5" customHeight="1">
      <c r="O35153" s="5" t="s">
        <v>355</v>
      </c>
      <c r="P35153" s="5" t="s">
        <v>355</v>
      </c>
      <c r="Q35153" s="5" t="s">
        <v>355</v>
      </c>
    </row>
    <row r="35154" ht="16.5" customHeight="1">
      <c r="O35154" s="5" t="s">
        <v>355</v>
      </c>
      <c r="P35154" s="5" t="s">
        <v>355</v>
      </c>
      <c r="Q35154" s="5" t="s">
        <v>355</v>
      </c>
    </row>
    <row r="35155" ht="16.5" customHeight="1">
      <c r="O35155" s="5" t="s">
        <v>355</v>
      </c>
      <c r="P35155" s="5" t="s">
        <v>355</v>
      </c>
      <c r="Q35155" s="5" t="s">
        <v>355</v>
      </c>
    </row>
    <row r="35156" ht="16.5" customHeight="1">
      <c r="O35156" s="5" t="s">
        <v>355</v>
      </c>
      <c r="P35156" s="5" t="s">
        <v>355</v>
      </c>
      <c r="Q35156" s="5" t="s">
        <v>355</v>
      </c>
    </row>
    <row r="35157" ht="16.5" customHeight="1">
      <c r="O35157" s="5" t="s">
        <v>355</v>
      </c>
      <c r="P35157" s="5" t="s">
        <v>355</v>
      </c>
      <c r="Q35157" s="5" t="s">
        <v>355</v>
      </c>
    </row>
    <row r="35158" ht="16.5" customHeight="1">
      <c r="O35158" s="5" t="s">
        <v>355</v>
      </c>
      <c r="P35158" s="5" t="s">
        <v>355</v>
      </c>
      <c r="Q35158" s="5" t="s">
        <v>355</v>
      </c>
    </row>
    <row r="35159" ht="16.5" customHeight="1">
      <c r="O35159" s="5" t="s">
        <v>355</v>
      </c>
      <c r="P35159" s="5" t="s">
        <v>355</v>
      </c>
      <c r="Q35159" s="5" t="s">
        <v>355</v>
      </c>
    </row>
    <row r="35160" ht="16.5" customHeight="1">
      <c r="O35160" s="5" t="s">
        <v>355</v>
      </c>
      <c r="P35160" s="5" t="s">
        <v>355</v>
      </c>
      <c r="Q35160" s="5" t="s">
        <v>355</v>
      </c>
    </row>
    <row r="35161" ht="16.5" customHeight="1">
      <c r="O35161" s="5" t="s">
        <v>355</v>
      </c>
      <c r="P35161" s="5" t="s">
        <v>355</v>
      </c>
      <c r="Q35161" s="5" t="s">
        <v>355</v>
      </c>
    </row>
    <row r="35162" ht="16.5" customHeight="1">
      <c r="O35162" s="5" t="s">
        <v>355</v>
      </c>
      <c r="P35162" s="5" t="s">
        <v>355</v>
      </c>
      <c r="Q35162" s="5" t="s">
        <v>355</v>
      </c>
    </row>
    <row r="35163" ht="16.5" customHeight="1">
      <c r="O35163" s="5" t="s">
        <v>355</v>
      </c>
      <c r="P35163" s="5" t="s">
        <v>355</v>
      </c>
      <c r="Q35163" s="5" t="s">
        <v>355</v>
      </c>
    </row>
    <row r="35164" ht="16.5" customHeight="1">
      <c r="O35164" s="5" t="s">
        <v>355</v>
      </c>
      <c r="P35164" s="5" t="s">
        <v>355</v>
      </c>
      <c r="Q35164" s="5" t="s">
        <v>355</v>
      </c>
    </row>
    <row r="35165" ht="16.5" customHeight="1">
      <c r="O35165" s="5" t="s">
        <v>355</v>
      </c>
      <c r="P35165" s="5" t="s">
        <v>355</v>
      </c>
      <c r="Q35165" s="5" t="s">
        <v>355</v>
      </c>
    </row>
    <row r="35166" ht="16.5" customHeight="1">
      <c r="O35166" s="5" t="s">
        <v>355</v>
      </c>
      <c r="P35166" s="5" t="s">
        <v>355</v>
      </c>
      <c r="Q35166" s="5" t="s">
        <v>355</v>
      </c>
    </row>
    <row r="35167" ht="16.5" customHeight="1">
      <c r="O35167" s="5" t="s">
        <v>355</v>
      </c>
      <c r="P35167" s="5" t="s">
        <v>355</v>
      </c>
      <c r="Q35167" s="5" t="s">
        <v>355</v>
      </c>
    </row>
    <row r="35168" ht="16.5" customHeight="1">
      <c r="O35168" s="5" t="s">
        <v>355</v>
      </c>
      <c r="P35168" s="5" t="s">
        <v>355</v>
      </c>
      <c r="Q35168" s="5" t="s">
        <v>355</v>
      </c>
    </row>
    <row r="35169" ht="16.5" customHeight="1">
      <c r="O35169" s="5" t="s">
        <v>355</v>
      </c>
      <c r="P35169" s="5" t="s">
        <v>355</v>
      </c>
      <c r="Q35169" s="5" t="s">
        <v>355</v>
      </c>
    </row>
    <row r="35170" ht="16.5" customHeight="1">
      <c r="O35170" s="5" t="s">
        <v>355</v>
      </c>
      <c r="P35170" s="5" t="s">
        <v>355</v>
      </c>
      <c r="Q35170" s="5" t="s">
        <v>355</v>
      </c>
    </row>
    <row r="35171" ht="16.5" customHeight="1">
      <c r="O35171" s="5" t="s">
        <v>355</v>
      </c>
      <c r="P35171" s="5" t="s">
        <v>355</v>
      </c>
      <c r="Q35171" s="5" t="s">
        <v>355</v>
      </c>
    </row>
    <row r="35172" ht="16.5" customHeight="1">
      <c r="O35172" s="5" t="s">
        <v>355</v>
      </c>
      <c r="P35172" s="5" t="s">
        <v>355</v>
      </c>
      <c r="Q35172" s="5" t="s">
        <v>355</v>
      </c>
    </row>
    <row r="35173" ht="16.5" customHeight="1">
      <c r="O35173" s="5" t="s">
        <v>355</v>
      </c>
      <c r="P35173" s="5" t="s">
        <v>355</v>
      </c>
      <c r="Q35173" s="5" t="s">
        <v>355</v>
      </c>
    </row>
    <row r="35174" ht="16.5" customHeight="1">
      <c r="O35174" s="5" t="s">
        <v>355</v>
      </c>
      <c r="P35174" s="5" t="s">
        <v>355</v>
      </c>
      <c r="Q35174" s="5" t="s">
        <v>355</v>
      </c>
    </row>
    <row r="35175" ht="16.5" customHeight="1">
      <c r="O35175" s="5" t="s">
        <v>355</v>
      </c>
      <c r="P35175" s="5" t="s">
        <v>355</v>
      </c>
      <c r="Q35175" s="5" t="s">
        <v>355</v>
      </c>
    </row>
    <row r="35176" ht="16.5" customHeight="1">
      <c r="O35176" s="5" t="s">
        <v>355</v>
      </c>
      <c r="P35176" s="5" t="s">
        <v>355</v>
      </c>
      <c r="Q35176" s="5" t="s">
        <v>355</v>
      </c>
    </row>
    <row r="35177" ht="16.5" customHeight="1">
      <c r="O35177" s="5" t="s">
        <v>355</v>
      </c>
      <c r="P35177" s="5" t="s">
        <v>355</v>
      </c>
      <c r="Q35177" s="5" t="s">
        <v>355</v>
      </c>
    </row>
    <row r="35178" ht="16.5" customHeight="1">
      <c r="O35178" s="5" t="s">
        <v>355</v>
      </c>
      <c r="P35178" s="5" t="s">
        <v>355</v>
      </c>
      <c r="Q35178" s="5" t="s">
        <v>355</v>
      </c>
    </row>
    <row r="35179" ht="16.5" customHeight="1">
      <c r="O35179" s="5" t="s">
        <v>355</v>
      </c>
      <c r="P35179" s="5" t="s">
        <v>355</v>
      </c>
      <c r="Q35179" s="5" t="s">
        <v>355</v>
      </c>
    </row>
    <row r="35180" ht="16.5" customHeight="1">
      <c r="O35180" s="5" t="s">
        <v>355</v>
      </c>
      <c r="P35180" s="5" t="s">
        <v>355</v>
      </c>
      <c r="Q35180" s="5" t="s">
        <v>355</v>
      </c>
    </row>
    <row r="35181" ht="16.5" customHeight="1">
      <c r="O35181" s="5" t="s">
        <v>355</v>
      </c>
      <c r="P35181" s="5" t="s">
        <v>355</v>
      </c>
      <c r="Q35181" s="5" t="s">
        <v>355</v>
      </c>
    </row>
    <row r="35182" ht="16.5" customHeight="1">
      <c r="O35182" s="5" t="s">
        <v>355</v>
      </c>
      <c r="P35182" s="5" t="s">
        <v>355</v>
      </c>
      <c r="Q35182" s="5" t="s">
        <v>355</v>
      </c>
    </row>
    <row r="35183" ht="16.5" customHeight="1">
      <c r="O35183" s="5" t="s">
        <v>355</v>
      </c>
      <c r="P35183" s="5" t="s">
        <v>355</v>
      </c>
      <c r="Q35183" s="5" t="s">
        <v>355</v>
      </c>
    </row>
    <row r="35184" ht="16.5" customHeight="1">
      <c r="O35184" s="5" t="s">
        <v>355</v>
      </c>
      <c r="P35184" s="5" t="s">
        <v>355</v>
      </c>
      <c r="Q35184" s="5" t="s">
        <v>355</v>
      </c>
    </row>
    <row r="35185" ht="16.5" customHeight="1">
      <c r="O35185" s="5" t="s">
        <v>355</v>
      </c>
      <c r="P35185" s="5" t="s">
        <v>355</v>
      </c>
      <c r="Q35185" s="5" t="s">
        <v>355</v>
      </c>
    </row>
    <row r="35186" ht="16.5" customHeight="1">
      <c r="O35186" s="5" t="s">
        <v>355</v>
      </c>
      <c r="P35186" s="5" t="s">
        <v>355</v>
      </c>
      <c r="Q35186" s="5" t="s">
        <v>355</v>
      </c>
    </row>
    <row r="35187" ht="16.5" customHeight="1">
      <c r="O35187" s="5" t="s">
        <v>355</v>
      </c>
      <c r="P35187" s="5" t="s">
        <v>355</v>
      </c>
      <c r="Q35187" s="5" t="s">
        <v>355</v>
      </c>
    </row>
    <row r="35188" ht="16.5" customHeight="1">
      <c r="O35188" s="5" t="s">
        <v>355</v>
      </c>
      <c r="P35188" s="5" t="s">
        <v>355</v>
      </c>
      <c r="Q35188" s="5" t="s">
        <v>355</v>
      </c>
    </row>
    <row r="35189" ht="16.5" customHeight="1">
      <c r="O35189" s="5" t="s">
        <v>355</v>
      </c>
      <c r="P35189" s="5" t="s">
        <v>355</v>
      </c>
      <c r="Q35189" s="5" t="s">
        <v>355</v>
      </c>
    </row>
    <row r="35190" ht="16.5" customHeight="1">
      <c r="O35190" s="5" t="s">
        <v>355</v>
      </c>
      <c r="P35190" s="5" t="s">
        <v>355</v>
      </c>
      <c r="Q35190" s="5" t="s">
        <v>355</v>
      </c>
    </row>
    <row r="35191" ht="16.5" customHeight="1">
      <c r="O35191" s="5" t="s">
        <v>355</v>
      </c>
      <c r="P35191" s="5" t="s">
        <v>355</v>
      </c>
      <c r="Q35191" s="5" t="s">
        <v>355</v>
      </c>
    </row>
    <row r="35192" ht="16.5" customHeight="1">
      <c r="O35192" s="5" t="s">
        <v>355</v>
      </c>
      <c r="P35192" s="5" t="s">
        <v>355</v>
      </c>
      <c r="Q35192" s="5" t="s">
        <v>355</v>
      </c>
    </row>
    <row r="35193" ht="16.5" customHeight="1">
      <c r="O35193" s="5" t="s">
        <v>355</v>
      </c>
      <c r="P35193" s="5" t="s">
        <v>355</v>
      </c>
      <c r="Q35193" s="5" t="s">
        <v>355</v>
      </c>
    </row>
    <row r="35194" ht="16.5" customHeight="1">
      <c r="O35194" s="5" t="s">
        <v>355</v>
      </c>
      <c r="P35194" s="5" t="s">
        <v>355</v>
      </c>
      <c r="Q35194" s="5" t="s">
        <v>355</v>
      </c>
    </row>
    <row r="35195" ht="16.5" customHeight="1">
      <c r="O35195" s="5" t="s">
        <v>355</v>
      </c>
      <c r="P35195" s="5" t="s">
        <v>355</v>
      </c>
      <c r="Q35195" s="5" t="s">
        <v>355</v>
      </c>
    </row>
    <row r="35196" ht="16.5" customHeight="1">
      <c r="O35196" s="5" t="s">
        <v>355</v>
      </c>
      <c r="P35196" s="5" t="s">
        <v>355</v>
      </c>
      <c r="Q35196" s="5" t="s">
        <v>355</v>
      </c>
    </row>
    <row r="35197" ht="16.5" customHeight="1">
      <c r="O35197" s="5" t="s">
        <v>355</v>
      </c>
      <c r="P35197" s="5" t="s">
        <v>355</v>
      </c>
      <c r="Q35197" s="5" t="s">
        <v>355</v>
      </c>
    </row>
    <row r="35198" ht="16.5" customHeight="1">
      <c r="O35198" s="5" t="s">
        <v>355</v>
      </c>
      <c r="P35198" s="5" t="s">
        <v>355</v>
      </c>
      <c r="Q35198" s="5" t="s">
        <v>355</v>
      </c>
    </row>
    <row r="35199" ht="16.5" customHeight="1">
      <c r="O35199" s="5" t="s">
        <v>355</v>
      </c>
      <c r="P35199" s="5" t="s">
        <v>355</v>
      </c>
      <c r="Q35199" s="5" t="s">
        <v>355</v>
      </c>
    </row>
    <row r="35200" ht="16.5" customHeight="1">
      <c r="O35200" s="5" t="s">
        <v>355</v>
      </c>
      <c r="P35200" s="5" t="s">
        <v>355</v>
      </c>
      <c r="Q35200" s="5" t="s">
        <v>355</v>
      </c>
    </row>
    <row r="35201" ht="16.5" customHeight="1">
      <c r="O35201" s="5" t="s">
        <v>355</v>
      </c>
      <c r="P35201" s="5" t="s">
        <v>355</v>
      </c>
      <c r="Q35201" s="5" t="s">
        <v>355</v>
      </c>
    </row>
    <row r="35202" ht="16.5" customHeight="1">
      <c r="O35202" s="5" t="s">
        <v>355</v>
      </c>
      <c r="P35202" s="5" t="s">
        <v>355</v>
      </c>
      <c r="Q35202" s="5" t="s">
        <v>355</v>
      </c>
    </row>
    <row r="35203" ht="16.5" customHeight="1">
      <c r="O35203" s="5" t="s">
        <v>355</v>
      </c>
      <c r="P35203" s="5" t="s">
        <v>355</v>
      </c>
      <c r="Q35203" s="5" t="s">
        <v>355</v>
      </c>
    </row>
    <row r="35204" ht="16.5" customHeight="1">
      <c r="O35204" s="5" t="s">
        <v>355</v>
      </c>
      <c r="P35204" s="5" t="s">
        <v>355</v>
      </c>
      <c r="Q35204" s="5" t="s">
        <v>355</v>
      </c>
    </row>
    <row r="35205" ht="16.5" customHeight="1">
      <c r="O35205" s="5" t="s">
        <v>355</v>
      </c>
      <c r="P35205" s="5" t="s">
        <v>355</v>
      </c>
      <c r="Q35205" s="5" t="s">
        <v>355</v>
      </c>
    </row>
    <row r="35206" ht="16.5" customHeight="1">
      <c r="O35206" s="5" t="s">
        <v>355</v>
      </c>
      <c r="P35206" s="5" t="s">
        <v>355</v>
      </c>
      <c r="Q35206" s="5" t="s">
        <v>355</v>
      </c>
    </row>
    <row r="35207" ht="16.5" customHeight="1">
      <c r="O35207" s="5" t="s">
        <v>355</v>
      </c>
      <c r="P35207" s="5" t="s">
        <v>355</v>
      </c>
      <c r="Q35207" s="5" t="s">
        <v>355</v>
      </c>
    </row>
    <row r="35208" ht="16.5" customHeight="1">
      <c r="O35208" s="5" t="s">
        <v>355</v>
      </c>
      <c r="P35208" s="5" t="s">
        <v>355</v>
      </c>
      <c r="Q35208" s="5" t="s">
        <v>355</v>
      </c>
    </row>
    <row r="35209" ht="16.5" customHeight="1">
      <c r="O35209" s="5" t="s">
        <v>355</v>
      </c>
      <c r="P35209" s="5" t="s">
        <v>355</v>
      </c>
      <c r="Q35209" s="5" t="s">
        <v>355</v>
      </c>
    </row>
    <row r="35210" ht="16.5" customHeight="1">
      <c r="O35210" s="5" t="s">
        <v>355</v>
      </c>
      <c r="P35210" s="5" t="s">
        <v>355</v>
      </c>
      <c r="Q35210" s="5" t="s">
        <v>355</v>
      </c>
    </row>
    <row r="35211" ht="16.5" customHeight="1">
      <c r="O35211" s="5" t="s">
        <v>355</v>
      </c>
      <c r="P35211" s="5" t="s">
        <v>355</v>
      </c>
      <c r="Q35211" s="5" t="s">
        <v>355</v>
      </c>
    </row>
    <row r="35212" ht="16.5" customHeight="1">
      <c r="O35212" s="5" t="s">
        <v>355</v>
      </c>
      <c r="P35212" s="5" t="s">
        <v>355</v>
      </c>
      <c r="Q35212" s="5" t="s">
        <v>355</v>
      </c>
    </row>
    <row r="35213" ht="16.5" customHeight="1">
      <c r="O35213" s="5" t="s">
        <v>355</v>
      </c>
      <c r="P35213" s="5" t="s">
        <v>355</v>
      </c>
      <c r="Q35213" s="5" t="s">
        <v>355</v>
      </c>
    </row>
    <row r="35214" ht="16.5" customHeight="1">
      <c r="O35214" s="5" t="s">
        <v>355</v>
      </c>
      <c r="P35214" s="5" t="s">
        <v>355</v>
      </c>
      <c r="Q35214" s="5" t="s">
        <v>355</v>
      </c>
    </row>
    <row r="35215" ht="16.5" customHeight="1">
      <c r="O35215" s="5" t="s">
        <v>355</v>
      </c>
      <c r="P35215" s="5" t="s">
        <v>355</v>
      </c>
      <c r="Q35215" s="5" t="s">
        <v>355</v>
      </c>
    </row>
    <row r="35216" ht="16.5" customHeight="1">
      <c r="O35216" s="5" t="s">
        <v>355</v>
      </c>
      <c r="P35216" s="5" t="s">
        <v>355</v>
      </c>
      <c r="Q35216" s="5" t="s">
        <v>355</v>
      </c>
    </row>
    <row r="35217" ht="16.5" customHeight="1">
      <c r="O35217" s="5" t="s">
        <v>355</v>
      </c>
      <c r="P35217" s="5" t="s">
        <v>355</v>
      </c>
      <c r="Q35217" s="5" t="s">
        <v>355</v>
      </c>
    </row>
    <row r="35218" ht="16.5" customHeight="1">
      <c r="O35218" s="5" t="s">
        <v>355</v>
      </c>
      <c r="P35218" s="5" t="s">
        <v>355</v>
      </c>
      <c r="Q35218" s="5" t="s">
        <v>355</v>
      </c>
    </row>
    <row r="35219" ht="16.5" customHeight="1">
      <c r="O35219" s="5" t="s">
        <v>355</v>
      </c>
      <c r="P35219" s="5" t="s">
        <v>355</v>
      </c>
      <c r="Q35219" s="5" t="s">
        <v>355</v>
      </c>
    </row>
    <row r="35220" ht="16.5" customHeight="1">
      <c r="O35220" s="5" t="s">
        <v>355</v>
      </c>
      <c r="P35220" s="5" t="s">
        <v>355</v>
      </c>
      <c r="Q35220" s="5" t="s">
        <v>355</v>
      </c>
    </row>
    <row r="35221" ht="16.5" customHeight="1">
      <c r="O35221" s="5" t="s">
        <v>355</v>
      </c>
      <c r="P35221" s="5" t="s">
        <v>355</v>
      </c>
      <c r="Q35221" s="5" t="s">
        <v>355</v>
      </c>
    </row>
    <row r="35222" ht="16.5" customHeight="1">
      <c r="O35222" s="5" t="s">
        <v>355</v>
      </c>
      <c r="P35222" s="5" t="s">
        <v>355</v>
      </c>
      <c r="Q35222" s="5" t="s">
        <v>355</v>
      </c>
    </row>
    <row r="35223" ht="16.5" customHeight="1">
      <c r="O35223" s="5" t="s">
        <v>355</v>
      </c>
      <c r="P35223" s="5" t="s">
        <v>355</v>
      </c>
      <c r="Q35223" s="5" t="s">
        <v>355</v>
      </c>
    </row>
    <row r="35224" ht="16.5" customHeight="1">
      <c r="O35224" s="5" t="s">
        <v>355</v>
      </c>
      <c r="P35224" s="5" t="s">
        <v>355</v>
      </c>
      <c r="Q35224" s="5" t="s">
        <v>355</v>
      </c>
    </row>
    <row r="35225" ht="16.5" customHeight="1">
      <c r="O35225" s="5" t="s">
        <v>355</v>
      </c>
      <c r="P35225" s="5" t="s">
        <v>355</v>
      </c>
      <c r="Q35225" s="5" t="s">
        <v>355</v>
      </c>
    </row>
    <row r="35226" ht="16.5" customHeight="1">
      <c r="O35226" s="5" t="s">
        <v>355</v>
      </c>
      <c r="P35226" s="5" t="s">
        <v>355</v>
      </c>
      <c r="Q35226" s="5" t="s">
        <v>355</v>
      </c>
    </row>
    <row r="35227" ht="16.5" customHeight="1">
      <c r="O35227" s="5" t="s">
        <v>355</v>
      </c>
      <c r="P35227" s="5" t="s">
        <v>355</v>
      </c>
      <c r="Q35227" s="5" t="s">
        <v>355</v>
      </c>
    </row>
    <row r="35228" ht="16.5" customHeight="1">
      <c r="O35228" s="5" t="s">
        <v>355</v>
      </c>
      <c r="P35228" s="5" t="s">
        <v>355</v>
      </c>
      <c r="Q35228" s="5" t="s">
        <v>355</v>
      </c>
    </row>
    <row r="35229" ht="16.5" customHeight="1">
      <c r="O35229" s="5" t="s">
        <v>355</v>
      </c>
      <c r="P35229" s="5" t="s">
        <v>355</v>
      </c>
      <c r="Q35229" s="5" t="s">
        <v>355</v>
      </c>
    </row>
    <row r="35230" ht="16.5" customHeight="1">
      <c r="O35230" s="5" t="s">
        <v>355</v>
      </c>
      <c r="P35230" s="5" t="s">
        <v>355</v>
      </c>
      <c r="Q35230" s="5" t="s">
        <v>355</v>
      </c>
    </row>
    <row r="35231" ht="16.5" customHeight="1">
      <c r="O35231" s="5" t="s">
        <v>355</v>
      </c>
      <c r="P35231" s="5" t="s">
        <v>355</v>
      </c>
      <c r="Q35231" s="5" t="s">
        <v>355</v>
      </c>
    </row>
    <row r="35232" ht="16.5" customHeight="1">
      <c r="O35232" s="5" t="s">
        <v>355</v>
      </c>
      <c r="P35232" s="5" t="s">
        <v>355</v>
      </c>
      <c r="Q35232" s="5" t="s">
        <v>355</v>
      </c>
    </row>
    <row r="35233" ht="16.5" customHeight="1">
      <c r="O35233" s="5" t="s">
        <v>355</v>
      </c>
      <c r="P35233" s="5" t="s">
        <v>355</v>
      </c>
      <c r="Q35233" s="5" t="s">
        <v>355</v>
      </c>
    </row>
    <row r="35234" ht="16.5" customHeight="1">
      <c r="O35234" s="5" t="s">
        <v>355</v>
      </c>
      <c r="P35234" s="5" t="s">
        <v>355</v>
      </c>
      <c r="Q35234" s="5" t="s">
        <v>355</v>
      </c>
    </row>
    <row r="35235" ht="16.5" customHeight="1">
      <c r="O35235" s="5" t="s">
        <v>355</v>
      </c>
      <c r="P35235" s="5" t="s">
        <v>355</v>
      </c>
      <c r="Q35235" s="5" t="s">
        <v>355</v>
      </c>
    </row>
    <row r="35236" ht="16.5" customHeight="1">
      <c r="O35236" s="5" t="s">
        <v>355</v>
      </c>
      <c r="P35236" s="5" t="s">
        <v>355</v>
      </c>
      <c r="Q35236" s="5" t="s">
        <v>355</v>
      </c>
    </row>
    <row r="35237" ht="16.5" customHeight="1">
      <c r="O35237" s="5" t="s">
        <v>355</v>
      </c>
      <c r="P35237" s="5" t="s">
        <v>355</v>
      </c>
      <c r="Q35237" s="5" t="s">
        <v>355</v>
      </c>
    </row>
    <row r="35238" ht="16.5" customHeight="1">
      <c r="O35238" s="5" t="s">
        <v>355</v>
      </c>
      <c r="P35238" s="5" t="s">
        <v>355</v>
      </c>
      <c r="Q35238" s="5" t="s">
        <v>355</v>
      </c>
    </row>
    <row r="35239" ht="16.5" customHeight="1">
      <c r="O35239" s="5" t="s">
        <v>355</v>
      </c>
      <c r="P35239" s="5" t="s">
        <v>355</v>
      </c>
      <c r="Q35239" s="5" t="s">
        <v>355</v>
      </c>
    </row>
    <row r="35240" ht="16.5" customHeight="1">
      <c r="O35240" s="5" t="s">
        <v>355</v>
      </c>
      <c r="P35240" s="5" t="s">
        <v>355</v>
      </c>
      <c r="Q35240" s="5" t="s">
        <v>355</v>
      </c>
    </row>
    <row r="35241" ht="16.5" customHeight="1">
      <c r="O35241" s="5" t="s">
        <v>355</v>
      </c>
      <c r="P35241" s="5" t="s">
        <v>355</v>
      </c>
      <c r="Q35241" s="5" t="s">
        <v>355</v>
      </c>
    </row>
    <row r="35242" ht="16.5" customHeight="1">
      <c r="O35242" s="5" t="s">
        <v>355</v>
      </c>
      <c r="P35242" s="5" t="s">
        <v>355</v>
      </c>
      <c r="Q35242" s="5" t="s">
        <v>355</v>
      </c>
    </row>
    <row r="35243" ht="16.5" customHeight="1">
      <c r="O35243" s="5" t="s">
        <v>355</v>
      </c>
      <c r="P35243" s="5" t="s">
        <v>355</v>
      </c>
      <c r="Q35243" s="5" t="s">
        <v>355</v>
      </c>
    </row>
    <row r="35244" ht="16.5" customHeight="1">
      <c r="O35244" s="5" t="s">
        <v>355</v>
      </c>
      <c r="P35244" s="5" t="s">
        <v>355</v>
      </c>
      <c r="Q35244" s="5" t="s">
        <v>355</v>
      </c>
    </row>
    <row r="35245" ht="16.5" customHeight="1">
      <c r="O35245" s="5" t="s">
        <v>355</v>
      </c>
      <c r="P35245" s="5" t="s">
        <v>355</v>
      </c>
      <c r="Q35245" s="5" t="s">
        <v>355</v>
      </c>
    </row>
    <row r="35246" ht="16.5" customHeight="1">
      <c r="O35246" s="5" t="s">
        <v>355</v>
      </c>
      <c r="P35246" s="5" t="s">
        <v>355</v>
      </c>
      <c r="Q35246" s="5" t="s">
        <v>355</v>
      </c>
    </row>
    <row r="35247" ht="16.5" customHeight="1">
      <c r="O35247" s="5" t="s">
        <v>355</v>
      </c>
      <c r="P35247" s="5" t="s">
        <v>355</v>
      </c>
      <c r="Q35247" s="5" t="s">
        <v>355</v>
      </c>
    </row>
    <row r="35248" ht="16.5" customHeight="1">
      <c r="O35248" s="5" t="s">
        <v>355</v>
      </c>
      <c r="P35248" s="5" t="s">
        <v>355</v>
      </c>
      <c r="Q35248" s="5" t="s">
        <v>355</v>
      </c>
    </row>
    <row r="35249" ht="16.5" customHeight="1">
      <c r="O35249" s="5" t="s">
        <v>355</v>
      </c>
      <c r="P35249" s="5" t="s">
        <v>355</v>
      </c>
      <c r="Q35249" s="5" t="s">
        <v>355</v>
      </c>
    </row>
    <row r="35250" ht="16.5" customHeight="1">
      <c r="O35250" s="5" t="s">
        <v>355</v>
      </c>
      <c r="P35250" s="5" t="s">
        <v>355</v>
      </c>
      <c r="Q35250" s="5" t="s">
        <v>355</v>
      </c>
    </row>
    <row r="35251" ht="16.5" customHeight="1">
      <c r="O35251" s="5" t="s">
        <v>355</v>
      </c>
      <c r="P35251" s="5" t="s">
        <v>355</v>
      </c>
      <c r="Q35251" s="5" t="s">
        <v>355</v>
      </c>
    </row>
    <row r="35252" ht="16.5" customHeight="1">
      <c r="O35252" s="5" t="s">
        <v>355</v>
      </c>
      <c r="P35252" s="5" t="s">
        <v>355</v>
      </c>
      <c r="Q35252" s="5" t="s">
        <v>355</v>
      </c>
    </row>
    <row r="35253" ht="16.5" customHeight="1">
      <c r="O35253" s="5" t="s">
        <v>355</v>
      </c>
      <c r="P35253" s="5" t="s">
        <v>355</v>
      </c>
      <c r="Q35253" s="5" t="s">
        <v>355</v>
      </c>
    </row>
    <row r="35254" ht="16.5" customHeight="1">
      <c r="O35254" s="5" t="s">
        <v>355</v>
      </c>
      <c r="P35254" s="5" t="s">
        <v>355</v>
      </c>
      <c r="Q35254" s="5" t="s">
        <v>355</v>
      </c>
    </row>
    <row r="35255" ht="16.5" customHeight="1">
      <c r="O35255" s="5" t="s">
        <v>355</v>
      </c>
      <c r="P35255" s="5" t="s">
        <v>355</v>
      </c>
      <c r="Q35255" s="5" t="s">
        <v>355</v>
      </c>
    </row>
    <row r="35256" ht="16.5" customHeight="1">
      <c r="O35256" s="5" t="s">
        <v>355</v>
      </c>
      <c r="P35256" s="5" t="s">
        <v>355</v>
      </c>
      <c r="Q35256" s="5" t="s">
        <v>355</v>
      </c>
    </row>
    <row r="35257" ht="16.5" customHeight="1">
      <c r="O35257" s="5" t="s">
        <v>355</v>
      </c>
      <c r="P35257" s="5" t="s">
        <v>355</v>
      </c>
      <c r="Q35257" s="5" t="s">
        <v>355</v>
      </c>
    </row>
    <row r="35258" ht="16.5" customHeight="1">
      <c r="O35258" s="5" t="s">
        <v>355</v>
      </c>
      <c r="P35258" s="5" t="s">
        <v>355</v>
      </c>
      <c r="Q35258" s="5" t="s">
        <v>355</v>
      </c>
    </row>
    <row r="35259" ht="16.5" customHeight="1">
      <c r="O35259" s="5" t="s">
        <v>355</v>
      </c>
      <c r="P35259" s="5" t="s">
        <v>355</v>
      </c>
      <c r="Q35259" s="5" t="s">
        <v>355</v>
      </c>
    </row>
    <row r="35260" ht="16.5" customHeight="1">
      <c r="O35260" s="5" t="s">
        <v>355</v>
      </c>
      <c r="P35260" s="5" t="s">
        <v>355</v>
      </c>
      <c r="Q35260" s="5" t="s">
        <v>355</v>
      </c>
    </row>
    <row r="35261" ht="16.5" customHeight="1">
      <c r="O35261" s="5" t="s">
        <v>355</v>
      </c>
      <c r="P35261" s="5" t="s">
        <v>355</v>
      </c>
      <c r="Q35261" s="5" t="s">
        <v>355</v>
      </c>
    </row>
    <row r="35262" ht="16.5" customHeight="1">
      <c r="O35262" s="5" t="s">
        <v>355</v>
      </c>
      <c r="P35262" s="5" t="s">
        <v>355</v>
      </c>
      <c r="Q35262" s="5" t="s">
        <v>355</v>
      </c>
    </row>
    <row r="35263" ht="16.5" customHeight="1">
      <c r="O35263" s="5" t="s">
        <v>355</v>
      </c>
      <c r="P35263" s="5" t="s">
        <v>355</v>
      </c>
      <c r="Q35263" s="5" t="s">
        <v>355</v>
      </c>
    </row>
    <row r="35264" ht="16.5" customHeight="1">
      <c r="O35264" s="5" t="s">
        <v>355</v>
      </c>
      <c r="P35264" s="5" t="s">
        <v>355</v>
      </c>
      <c r="Q35264" s="5" t="s">
        <v>355</v>
      </c>
    </row>
    <row r="35265" ht="16.5" customHeight="1">
      <c r="O35265" s="5" t="s">
        <v>355</v>
      </c>
      <c r="P35265" s="5" t="s">
        <v>355</v>
      </c>
      <c r="Q35265" s="5" t="s">
        <v>355</v>
      </c>
    </row>
    <row r="35266" ht="16.5" customHeight="1">
      <c r="O35266" s="5" t="s">
        <v>355</v>
      </c>
      <c r="P35266" s="5" t="s">
        <v>355</v>
      </c>
      <c r="Q35266" s="5" t="s">
        <v>355</v>
      </c>
    </row>
    <row r="35267" ht="16.5" customHeight="1">
      <c r="O35267" s="5" t="s">
        <v>355</v>
      </c>
      <c r="P35267" s="5" t="s">
        <v>355</v>
      </c>
      <c r="Q35267" s="5" t="s">
        <v>355</v>
      </c>
    </row>
    <row r="35268" ht="16.5" customHeight="1">
      <c r="O35268" s="5" t="s">
        <v>355</v>
      </c>
      <c r="P35268" s="5" t="s">
        <v>355</v>
      </c>
      <c r="Q35268" s="5" t="s">
        <v>355</v>
      </c>
    </row>
    <row r="35269" ht="16.5" customHeight="1">
      <c r="O35269" s="5" t="s">
        <v>355</v>
      </c>
      <c r="P35269" s="5" t="s">
        <v>355</v>
      </c>
      <c r="Q35269" s="5" t="s">
        <v>355</v>
      </c>
    </row>
    <row r="35270" ht="16.5" customHeight="1">
      <c r="O35270" s="5" t="s">
        <v>355</v>
      </c>
      <c r="P35270" s="5" t="s">
        <v>355</v>
      </c>
      <c r="Q35270" s="5" t="s">
        <v>355</v>
      </c>
    </row>
    <row r="35271" ht="16.5" customHeight="1">
      <c r="O35271" s="5" t="s">
        <v>355</v>
      </c>
      <c r="P35271" s="5" t="s">
        <v>355</v>
      </c>
      <c r="Q35271" s="5" t="s">
        <v>355</v>
      </c>
    </row>
    <row r="35272" ht="16.5" customHeight="1">
      <c r="O35272" s="5" t="s">
        <v>355</v>
      </c>
      <c r="P35272" s="5" t="s">
        <v>355</v>
      </c>
      <c r="Q35272" s="5" t="s">
        <v>355</v>
      </c>
    </row>
    <row r="35273" ht="16.5" customHeight="1">
      <c r="O35273" s="5" t="s">
        <v>355</v>
      </c>
      <c r="P35273" s="5" t="s">
        <v>355</v>
      </c>
      <c r="Q35273" s="5" t="s">
        <v>355</v>
      </c>
    </row>
    <row r="35274" ht="16.5" customHeight="1">
      <c r="O35274" s="5" t="s">
        <v>355</v>
      </c>
      <c r="P35274" s="5" t="s">
        <v>355</v>
      </c>
      <c r="Q35274" s="5" t="s">
        <v>355</v>
      </c>
    </row>
    <row r="35275" ht="16.5" customHeight="1">
      <c r="O35275" s="5" t="s">
        <v>355</v>
      </c>
      <c r="P35275" s="5" t="s">
        <v>355</v>
      </c>
      <c r="Q35275" s="5" t="s">
        <v>355</v>
      </c>
    </row>
    <row r="35276" ht="16.5" customHeight="1">
      <c r="O35276" s="5" t="s">
        <v>355</v>
      </c>
      <c r="P35276" s="5" t="s">
        <v>355</v>
      </c>
      <c r="Q35276" s="5" t="s">
        <v>355</v>
      </c>
    </row>
    <row r="35277" ht="16.5" customHeight="1">
      <c r="O35277" s="5" t="s">
        <v>355</v>
      </c>
      <c r="P35277" s="5" t="s">
        <v>355</v>
      </c>
      <c r="Q35277" s="5" t="s">
        <v>355</v>
      </c>
    </row>
    <row r="35278" ht="16.5" customHeight="1">
      <c r="O35278" s="5" t="s">
        <v>355</v>
      </c>
      <c r="P35278" s="5" t="s">
        <v>355</v>
      </c>
      <c r="Q35278" s="5" t="s">
        <v>355</v>
      </c>
    </row>
    <row r="35279" ht="16.5" customHeight="1">
      <c r="O35279" s="5" t="s">
        <v>355</v>
      </c>
      <c r="P35279" s="5" t="s">
        <v>355</v>
      </c>
      <c r="Q35279" s="5" t="s">
        <v>355</v>
      </c>
    </row>
    <row r="35280" ht="16.5" customHeight="1">
      <c r="O35280" s="5" t="s">
        <v>355</v>
      </c>
      <c r="P35280" s="5" t="s">
        <v>355</v>
      </c>
      <c r="Q35280" s="5" t="s">
        <v>355</v>
      </c>
    </row>
    <row r="35281" ht="16.5" customHeight="1">
      <c r="O35281" s="5" t="s">
        <v>355</v>
      </c>
      <c r="P35281" s="5" t="s">
        <v>355</v>
      </c>
      <c r="Q35281" s="5" t="s">
        <v>355</v>
      </c>
    </row>
    <row r="35282" ht="16.5" customHeight="1">
      <c r="O35282" s="5" t="s">
        <v>355</v>
      </c>
      <c r="P35282" s="5" t="s">
        <v>355</v>
      </c>
      <c r="Q35282" s="5" t="s">
        <v>355</v>
      </c>
    </row>
    <row r="35283" ht="16.5" customHeight="1">
      <c r="O35283" s="5" t="s">
        <v>355</v>
      </c>
      <c r="P35283" s="5" t="s">
        <v>355</v>
      </c>
      <c r="Q35283" s="5" t="s">
        <v>355</v>
      </c>
    </row>
    <row r="35284" ht="16.5" customHeight="1">
      <c r="O35284" s="5" t="s">
        <v>355</v>
      </c>
      <c r="P35284" s="5" t="s">
        <v>355</v>
      </c>
      <c r="Q35284" s="5" t="s">
        <v>355</v>
      </c>
    </row>
    <row r="35285" ht="16.5" customHeight="1">
      <c r="O35285" s="5" t="s">
        <v>355</v>
      </c>
      <c r="P35285" s="5" t="s">
        <v>355</v>
      </c>
      <c r="Q35285" s="5" t="s">
        <v>355</v>
      </c>
    </row>
    <row r="35286" ht="16.5" customHeight="1">
      <c r="O35286" s="5" t="s">
        <v>355</v>
      </c>
      <c r="P35286" s="5" t="s">
        <v>355</v>
      </c>
      <c r="Q35286" s="5" t="s">
        <v>355</v>
      </c>
    </row>
    <row r="35287" ht="16.5" customHeight="1">
      <c r="O35287" s="5" t="s">
        <v>355</v>
      </c>
      <c r="P35287" s="5" t="s">
        <v>355</v>
      </c>
      <c r="Q35287" s="5" t="s">
        <v>355</v>
      </c>
    </row>
    <row r="35288" ht="16.5" customHeight="1">
      <c r="O35288" s="5" t="s">
        <v>355</v>
      </c>
      <c r="P35288" s="5" t="s">
        <v>355</v>
      </c>
      <c r="Q35288" s="5" t="s">
        <v>355</v>
      </c>
    </row>
    <row r="35289" ht="16.5" customHeight="1">
      <c r="O35289" s="5" t="s">
        <v>355</v>
      </c>
      <c r="P35289" s="5" t="s">
        <v>355</v>
      </c>
      <c r="Q35289" s="5" t="s">
        <v>355</v>
      </c>
    </row>
    <row r="35290" ht="16.5" customHeight="1">
      <c r="O35290" s="5" t="s">
        <v>355</v>
      </c>
      <c r="P35290" s="5" t="s">
        <v>355</v>
      </c>
      <c r="Q35290" s="5" t="s">
        <v>355</v>
      </c>
    </row>
    <row r="35291" ht="16.5" customHeight="1">
      <c r="O35291" s="5" t="s">
        <v>355</v>
      </c>
      <c r="P35291" s="5" t="s">
        <v>355</v>
      </c>
      <c r="Q35291" s="5" t="s">
        <v>355</v>
      </c>
    </row>
    <row r="35292" ht="16.5" customHeight="1">
      <c r="O35292" s="5" t="s">
        <v>355</v>
      </c>
      <c r="P35292" s="5" t="s">
        <v>355</v>
      </c>
      <c r="Q35292" s="5" t="s">
        <v>355</v>
      </c>
    </row>
    <row r="35293" ht="16.5" customHeight="1">
      <c r="O35293" s="5" t="s">
        <v>355</v>
      </c>
      <c r="P35293" s="5" t="s">
        <v>355</v>
      </c>
      <c r="Q35293" s="5" t="s">
        <v>355</v>
      </c>
    </row>
    <row r="35294" ht="16.5" customHeight="1">
      <c r="O35294" s="5" t="s">
        <v>355</v>
      </c>
      <c r="P35294" s="5" t="s">
        <v>355</v>
      </c>
      <c r="Q35294" s="5" t="s">
        <v>355</v>
      </c>
    </row>
    <row r="35295" ht="16.5" customHeight="1">
      <c r="O35295" s="5" t="s">
        <v>355</v>
      </c>
      <c r="P35295" s="5" t="s">
        <v>355</v>
      </c>
      <c r="Q35295" s="5" t="s">
        <v>355</v>
      </c>
    </row>
    <row r="35296" ht="16.5" customHeight="1">
      <c r="O35296" s="5" t="s">
        <v>355</v>
      </c>
      <c r="P35296" s="5" t="s">
        <v>355</v>
      </c>
      <c r="Q35296" s="5" t="s">
        <v>355</v>
      </c>
    </row>
    <row r="35297" ht="16.5" customHeight="1">
      <c r="O35297" s="5" t="s">
        <v>355</v>
      </c>
      <c r="P35297" s="5" t="s">
        <v>355</v>
      </c>
      <c r="Q35297" s="5" t="s">
        <v>355</v>
      </c>
    </row>
    <row r="35298" ht="16.5" customHeight="1">
      <c r="O35298" s="5" t="s">
        <v>355</v>
      </c>
      <c r="P35298" s="5" t="s">
        <v>355</v>
      </c>
      <c r="Q35298" s="5" t="s">
        <v>355</v>
      </c>
    </row>
    <row r="35299" ht="16.5" customHeight="1">
      <c r="O35299" s="5" t="s">
        <v>355</v>
      </c>
      <c r="P35299" s="5" t="s">
        <v>355</v>
      </c>
      <c r="Q35299" s="5" t="s">
        <v>355</v>
      </c>
    </row>
    <row r="35300" ht="16.5" customHeight="1">
      <c r="O35300" s="5" t="s">
        <v>355</v>
      </c>
      <c r="P35300" s="5" t="s">
        <v>355</v>
      </c>
      <c r="Q35300" s="5" t="s">
        <v>355</v>
      </c>
    </row>
    <row r="35301" ht="16.5" customHeight="1">
      <c r="O35301" s="5" t="s">
        <v>355</v>
      </c>
      <c r="P35301" s="5" t="s">
        <v>355</v>
      </c>
      <c r="Q35301" s="5" t="s">
        <v>355</v>
      </c>
    </row>
    <row r="35302" ht="16.5" customHeight="1">
      <c r="O35302" s="5" t="s">
        <v>355</v>
      </c>
      <c r="P35302" s="5" t="s">
        <v>355</v>
      </c>
      <c r="Q35302" s="5" t="s">
        <v>355</v>
      </c>
    </row>
    <row r="35303" ht="16.5" customHeight="1">
      <c r="O35303" s="5" t="s">
        <v>355</v>
      </c>
      <c r="P35303" s="5" t="s">
        <v>355</v>
      </c>
      <c r="Q35303" s="5" t="s">
        <v>355</v>
      </c>
    </row>
    <row r="35304" ht="16.5" customHeight="1">
      <c r="O35304" s="5" t="s">
        <v>355</v>
      </c>
      <c r="P35304" s="5" t="s">
        <v>355</v>
      </c>
      <c r="Q35304" s="5" t="s">
        <v>355</v>
      </c>
    </row>
    <row r="35305" ht="16.5" customHeight="1">
      <c r="O35305" s="5" t="s">
        <v>355</v>
      </c>
      <c r="P35305" s="5" t="s">
        <v>355</v>
      </c>
      <c r="Q35305" s="5" t="s">
        <v>355</v>
      </c>
    </row>
    <row r="35306" ht="16.5" customHeight="1">
      <c r="O35306" s="5" t="s">
        <v>355</v>
      </c>
      <c r="P35306" s="5" t="s">
        <v>355</v>
      </c>
      <c r="Q35306" s="5" t="s">
        <v>355</v>
      </c>
    </row>
    <row r="35307" ht="16.5" customHeight="1">
      <c r="O35307" s="5" t="s">
        <v>355</v>
      </c>
      <c r="P35307" s="5" t="s">
        <v>355</v>
      </c>
      <c r="Q35307" s="5" t="s">
        <v>355</v>
      </c>
    </row>
    <row r="35308" ht="16.5" customHeight="1">
      <c r="O35308" s="5" t="s">
        <v>355</v>
      </c>
      <c r="P35308" s="5" t="s">
        <v>355</v>
      </c>
      <c r="Q35308" s="5" t="s">
        <v>355</v>
      </c>
    </row>
    <row r="35309" ht="16.5" customHeight="1">
      <c r="O35309" s="5" t="s">
        <v>355</v>
      </c>
      <c r="P35309" s="5" t="s">
        <v>355</v>
      </c>
      <c r="Q35309" s="5" t="s">
        <v>355</v>
      </c>
    </row>
    <row r="35310" ht="16.5" customHeight="1">
      <c r="O35310" s="5" t="s">
        <v>355</v>
      </c>
      <c r="P35310" s="5" t="s">
        <v>355</v>
      </c>
      <c r="Q35310" s="5" t="s">
        <v>355</v>
      </c>
    </row>
    <row r="35311" ht="16.5" customHeight="1">
      <c r="O35311" s="5" t="s">
        <v>355</v>
      </c>
      <c r="P35311" s="5" t="s">
        <v>355</v>
      </c>
      <c r="Q35311" s="5" t="s">
        <v>355</v>
      </c>
    </row>
    <row r="35312" ht="16.5" customHeight="1">
      <c r="O35312" s="5" t="s">
        <v>355</v>
      </c>
      <c r="P35312" s="5" t="s">
        <v>355</v>
      </c>
      <c r="Q35312" s="5" t="s">
        <v>355</v>
      </c>
    </row>
    <row r="35313" ht="16.5" customHeight="1">
      <c r="O35313" s="5" t="s">
        <v>355</v>
      </c>
      <c r="P35313" s="5" t="s">
        <v>355</v>
      </c>
      <c r="Q35313" s="5" t="s">
        <v>355</v>
      </c>
    </row>
    <row r="35314" ht="16.5" customHeight="1">
      <c r="O35314" s="5" t="s">
        <v>355</v>
      </c>
      <c r="P35314" s="5" t="s">
        <v>355</v>
      </c>
      <c r="Q35314" s="5" t="s">
        <v>355</v>
      </c>
    </row>
    <row r="35315" ht="16.5" customHeight="1">
      <c r="O35315" s="5" t="s">
        <v>355</v>
      </c>
      <c r="P35315" s="5" t="s">
        <v>355</v>
      </c>
      <c r="Q35315" s="5" t="s">
        <v>355</v>
      </c>
    </row>
    <row r="35316" ht="16.5" customHeight="1">
      <c r="O35316" s="5" t="s">
        <v>355</v>
      </c>
      <c r="P35316" s="5" t="s">
        <v>355</v>
      </c>
      <c r="Q35316" s="5" t="s">
        <v>355</v>
      </c>
    </row>
    <row r="35317" ht="16.5" customHeight="1">
      <c r="O35317" s="5" t="s">
        <v>355</v>
      </c>
      <c r="P35317" s="5" t="s">
        <v>355</v>
      </c>
      <c r="Q35317" s="5" t="s">
        <v>355</v>
      </c>
    </row>
    <row r="35318" ht="16.5" customHeight="1">
      <c r="O35318" s="5" t="s">
        <v>355</v>
      </c>
      <c r="P35318" s="5" t="s">
        <v>355</v>
      </c>
      <c r="Q35318" s="5" t="s">
        <v>355</v>
      </c>
    </row>
    <row r="35319" ht="16.5" customHeight="1">
      <c r="O35319" s="5" t="s">
        <v>355</v>
      </c>
      <c r="P35319" s="5" t="s">
        <v>355</v>
      </c>
      <c r="Q35319" s="5" t="s">
        <v>355</v>
      </c>
    </row>
    <row r="35320" ht="16.5" customHeight="1">
      <c r="O35320" s="5" t="s">
        <v>355</v>
      </c>
      <c r="P35320" s="5" t="s">
        <v>355</v>
      </c>
      <c r="Q35320" s="5" t="s">
        <v>355</v>
      </c>
    </row>
    <row r="35321" ht="16.5" customHeight="1">
      <c r="O35321" s="5" t="s">
        <v>355</v>
      </c>
      <c r="P35321" s="5" t="s">
        <v>355</v>
      </c>
      <c r="Q35321" s="5" t="s">
        <v>355</v>
      </c>
    </row>
    <row r="35322" ht="16.5" customHeight="1">
      <c r="O35322" s="5" t="s">
        <v>355</v>
      </c>
      <c r="P35322" s="5" t="s">
        <v>355</v>
      </c>
      <c r="Q35322" s="5" t="s">
        <v>355</v>
      </c>
    </row>
    <row r="35323" ht="16.5" customHeight="1">
      <c r="O35323" s="5" t="s">
        <v>355</v>
      </c>
      <c r="P35323" s="5" t="s">
        <v>355</v>
      </c>
      <c r="Q35323" s="5" t="s">
        <v>355</v>
      </c>
    </row>
    <row r="35324" ht="16.5" customHeight="1">
      <c r="O35324" s="5" t="s">
        <v>355</v>
      </c>
      <c r="P35324" s="5" t="s">
        <v>355</v>
      </c>
      <c r="Q35324" s="5" t="s">
        <v>355</v>
      </c>
    </row>
    <row r="35325" ht="16.5" customHeight="1">
      <c r="O35325" s="5" t="s">
        <v>355</v>
      </c>
      <c r="P35325" s="5" t="s">
        <v>355</v>
      </c>
      <c r="Q35325" s="5" t="s">
        <v>355</v>
      </c>
    </row>
    <row r="35326" ht="16.5" customHeight="1">
      <c r="O35326" s="5" t="s">
        <v>355</v>
      </c>
      <c r="P35326" s="5" t="s">
        <v>355</v>
      </c>
      <c r="Q35326" s="5" t="s">
        <v>355</v>
      </c>
    </row>
    <row r="35327" ht="16.5" customHeight="1">
      <c r="O35327" s="5" t="s">
        <v>355</v>
      </c>
      <c r="P35327" s="5" t="s">
        <v>355</v>
      </c>
      <c r="Q35327" s="5" t="s">
        <v>355</v>
      </c>
    </row>
    <row r="35328" ht="16.5" customHeight="1">
      <c r="O35328" s="5" t="s">
        <v>355</v>
      </c>
      <c r="P35328" s="5" t="s">
        <v>355</v>
      </c>
      <c r="Q35328" s="5" t="s">
        <v>355</v>
      </c>
    </row>
    <row r="35329" ht="16.5" customHeight="1">
      <c r="O35329" s="5" t="s">
        <v>355</v>
      </c>
      <c r="P35329" s="5" t="s">
        <v>355</v>
      </c>
      <c r="Q35329" s="5" t="s">
        <v>355</v>
      </c>
    </row>
    <row r="35330" ht="16.5" customHeight="1">
      <c r="O35330" s="5" t="s">
        <v>355</v>
      </c>
      <c r="P35330" s="5" t="s">
        <v>355</v>
      </c>
      <c r="Q35330" s="5" t="s">
        <v>355</v>
      </c>
    </row>
    <row r="35331" ht="16.5" customHeight="1">
      <c r="O35331" s="5" t="s">
        <v>355</v>
      </c>
      <c r="P35331" s="5" t="s">
        <v>355</v>
      </c>
      <c r="Q35331" s="5" t="s">
        <v>355</v>
      </c>
    </row>
    <row r="35332" ht="16.5" customHeight="1">
      <c r="O35332" s="5" t="s">
        <v>355</v>
      </c>
      <c r="P35332" s="5" t="s">
        <v>355</v>
      </c>
      <c r="Q35332" s="5" t="s">
        <v>355</v>
      </c>
    </row>
    <row r="35333" ht="16.5" customHeight="1">
      <c r="O35333" s="5" t="s">
        <v>355</v>
      </c>
      <c r="P35333" s="5" t="s">
        <v>355</v>
      </c>
      <c r="Q35333" s="5" t="s">
        <v>355</v>
      </c>
    </row>
    <row r="35334" ht="16.5" customHeight="1">
      <c r="O35334" s="5" t="s">
        <v>355</v>
      </c>
      <c r="P35334" s="5" t="s">
        <v>355</v>
      </c>
      <c r="Q35334" s="5" t="s">
        <v>355</v>
      </c>
    </row>
    <row r="35335" ht="16.5" customHeight="1">
      <c r="O35335" s="5" t="s">
        <v>355</v>
      </c>
      <c r="P35335" s="5" t="s">
        <v>355</v>
      </c>
      <c r="Q35335" s="5" t="s">
        <v>355</v>
      </c>
    </row>
    <row r="35336" ht="16.5" customHeight="1">
      <c r="O35336" s="5" t="s">
        <v>355</v>
      </c>
      <c r="P35336" s="5" t="s">
        <v>355</v>
      </c>
      <c r="Q35336" s="5" t="s">
        <v>355</v>
      </c>
    </row>
    <row r="35337" ht="16.5" customHeight="1">
      <c r="O35337" s="5" t="s">
        <v>355</v>
      </c>
      <c r="P35337" s="5" t="s">
        <v>355</v>
      </c>
      <c r="Q35337" s="5" t="s">
        <v>355</v>
      </c>
    </row>
    <row r="35338" ht="16.5" customHeight="1">
      <c r="O35338" s="5" t="s">
        <v>355</v>
      </c>
      <c r="P35338" s="5" t="s">
        <v>355</v>
      </c>
      <c r="Q35338" s="5" t="s">
        <v>355</v>
      </c>
    </row>
    <row r="35339" ht="16.5" customHeight="1">
      <c r="O35339" s="5" t="s">
        <v>355</v>
      </c>
      <c r="P35339" s="5" t="s">
        <v>355</v>
      </c>
      <c r="Q35339" s="5" t="s">
        <v>355</v>
      </c>
    </row>
    <row r="35340" ht="16.5" customHeight="1">
      <c r="O35340" s="5" t="s">
        <v>355</v>
      </c>
      <c r="P35340" s="5" t="s">
        <v>355</v>
      </c>
      <c r="Q35340" s="5" t="s">
        <v>355</v>
      </c>
    </row>
    <row r="35341" ht="16.5" customHeight="1">
      <c r="O35341" s="5" t="s">
        <v>355</v>
      </c>
      <c r="P35341" s="5" t="s">
        <v>355</v>
      </c>
      <c r="Q35341" s="5" t="s">
        <v>355</v>
      </c>
    </row>
    <row r="35342" ht="16.5" customHeight="1">
      <c r="O35342" s="5" t="s">
        <v>355</v>
      </c>
      <c r="P35342" s="5" t="s">
        <v>355</v>
      </c>
      <c r="Q35342" s="5" t="s">
        <v>355</v>
      </c>
    </row>
    <row r="35343" ht="16.5" customHeight="1">
      <c r="O35343" s="5" t="s">
        <v>355</v>
      </c>
      <c r="P35343" s="5" t="s">
        <v>355</v>
      </c>
      <c r="Q35343" s="5" t="s">
        <v>355</v>
      </c>
    </row>
    <row r="35344" ht="16.5" customHeight="1">
      <c r="O35344" s="5" t="s">
        <v>355</v>
      </c>
      <c r="P35344" s="5" t="s">
        <v>355</v>
      </c>
      <c r="Q35344" s="5" t="s">
        <v>355</v>
      </c>
    </row>
    <row r="35345" ht="16.5" customHeight="1">
      <c r="O35345" s="5" t="s">
        <v>355</v>
      </c>
      <c r="P35345" s="5" t="s">
        <v>355</v>
      </c>
      <c r="Q35345" s="5" t="s">
        <v>355</v>
      </c>
    </row>
    <row r="35346" ht="16.5" customHeight="1">
      <c r="O35346" s="5" t="s">
        <v>355</v>
      </c>
      <c r="P35346" s="5" t="s">
        <v>355</v>
      </c>
      <c r="Q35346" s="5" t="s">
        <v>355</v>
      </c>
    </row>
    <row r="35347" ht="16.5" customHeight="1">
      <c r="O35347" s="5" t="s">
        <v>355</v>
      </c>
      <c r="P35347" s="5" t="s">
        <v>355</v>
      </c>
      <c r="Q35347" s="5" t="s">
        <v>355</v>
      </c>
    </row>
    <row r="35348" ht="16.5" customHeight="1">
      <c r="O35348" s="5" t="s">
        <v>355</v>
      </c>
      <c r="P35348" s="5" t="s">
        <v>355</v>
      </c>
      <c r="Q35348" s="5" t="s">
        <v>355</v>
      </c>
    </row>
    <row r="35349" ht="16.5" customHeight="1">
      <c r="O35349" s="5" t="s">
        <v>355</v>
      </c>
      <c r="P35349" s="5" t="s">
        <v>355</v>
      </c>
      <c r="Q35349" s="5" t="s">
        <v>355</v>
      </c>
    </row>
    <row r="35350" ht="16.5" customHeight="1">
      <c r="O35350" s="5" t="s">
        <v>355</v>
      </c>
      <c r="P35350" s="5" t="s">
        <v>355</v>
      </c>
      <c r="Q35350" s="5" t="s">
        <v>355</v>
      </c>
    </row>
    <row r="35351" ht="16.5" customHeight="1">
      <c r="O35351" s="5" t="s">
        <v>355</v>
      </c>
      <c r="P35351" s="5" t="s">
        <v>355</v>
      </c>
      <c r="Q35351" s="5" t="s">
        <v>355</v>
      </c>
    </row>
    <row r="35352" ht="16.5" customHeight="1">
      <c r="O35352" s="5" t="s">
        <v>355</v>
      </c>
      <c r="P35352" s="5" t="s">
        <v>355</v>
      </c>
      <c r="Q35352" s="5" t="s">
        <v>355</v>
      </c>
    </row>
    <row r="35353" ht="16.5" customHeight="1">
      <c r="O35353" s="5" t="s">
        <v>355</v>
      </c>
      <c r="P35353" s="5" t="s">
        <v>355</v>
      </c>
      <c r="Q35353" s="5" t="s">
        <v>355</v>
      </c>
    </row>
    <row r="35354" ht="16.5" customHeight="1">
      <c r="O35354" s="5" t="s">
        <v>355</v>
      </c>
      <c r="P35354" s="5" t="s">
        <v>355</v>
      </c>
      <c r="Q35354" s="5" t="s">
        <v>355</v>
      </c>
    </row>
    <row r="35355" ht="16.5" customHeight="1">
      <c r="O35355" s="5" t="s">
        <v>355</v>
      </c>
      <c r="P35355" s="5" t="s">
        <v>355</v>
      </c>
      <c r="Q35355" s="5" t="s">
        <v>355</v>
      </c>
    </row>
    <row r="35356" ht="16.5" customHeight="1">
      <c r="O35356" s="5" t="s">
        <v>355</v>
      </c>
      <c r="P35356" s="5" t="s">
        <v>355</v>
      </c>
      <c r="Q35356" s="5" t="s">
        <v>355</v>
      </c>
    </row>
    <row r="35357" ht="16.5" customHeight="1">
      <c r="O35357" s="5" t="s">
        <v>355</v>
      </c>
      <c r="P35357" s="5" t="s">
        <v>355</v>
      </c>
      <c r="Q35357" s="5" t="s">
        <v>355</v>
      </c>
    </row>
    <row r="35358" ht="16.5" customHeight="1">
      <c r="O35358" s="5" t="s">
        <v>355</v>
      </c>
      <c r="P35358" s="5" t="s">
        <v>355</v>
      </c>
      <c r="Q35358" s="5" t="s">
        <v>355</v>
      </c>
    </row>
    <row r="35359" ht="16.5" customHeight="1">
      <c r="O35359" s="5" t="s">
        <v>355</v>
      </c>
      <c r="P35359" s="5" t="s">
        <v>355</v>
      </c>
      <c r="Q35359" s="5" t="s">
        <v>355</v>
      </c>
    </row>
    <row r="35360" ht="16.5" customHeight="1">
      <c r="O35360" s="5" t="s">
        <v>355</v>
      </c>
      <c r="P35360" s="5" t="s">
        <v>355</v>
      </c>
      <c r="Q35360" s="5" t="s">
        <v>355</v>
      </c>
    </row>
    <row r="35361" ht="16.5" customHeight="1">
      <c r="O35361" s="5" t="s">
        <v>355</v>
      </c>
      <c r="P35361" s="5" t="s">
        <v>355</v>
      </c>
      <c r="Q35361" s="5" t="s">
        <v>355</v>
      </c>
    </row>
    <row r="35362" ht="16.5" customHeight="1">
      <c r="O35362" s="5" t="s">
        <v>355</v>
      </c>
      <c r="P35362" s="5" t="s">
        <v>355</v>
      </c>
      <c r="Q35362" s="5" t="s">
        <v>355</v>
      </c>
    </row>
    <row r="35363" ht="16.5" customHeight="1">
      <c r="O35363" s="5" t="s">
        <v>355</v>
      </c>
      <c r="P35363" s="5" t="s">
        <v>355</v>
      </c>
      <c r="Q35363" s="5" t="s">
        <v>355</v>
      </c>
    </row>
    <row r="35364" ht="16.5" customHeight="1">
      <c r="O35364" s="5" t="s">
        <v>355</v>
      </c>
      <c r="P35364" s="5" t="s">
        <v>355</v>
      </c>
      <c r="Q35364" s="5" t="s">
        <v>355</v>
      </c>
    </row>
    <row r="35365" ht="16.5" customHeight="1">
      <c r="O35365" s="5" t="s">
        <v>355</v>
      </c>
      <c r="P35365" s="5" t="s">
        <v>355</v>
      </c>
      <c r="Q35365" s="5" t="s">
        <v>355</v>
      </c>
    </row>
    <row r="35366" ht="16.5" customHeight="1">
      <c r="O35366" s="5" t="s">
        <v>355</v>
      </c>
      <c r="P35366" s="5" t="s">
        <v>355</v>
      </c>
      <c r="Q35366" s="5" t="s">
        <v>355</v>
      </c>
    </row>
    <row r="35367" ht="16.5" customHeight="1">
      <c r="O35367" s="5" t="s">
        <v>355</v>
      </c>
      <c r="P35367" s="5" t="s">
        <v>355</v>
      </c>
      <c r="Q35367" s="5" t="s">
        <v>355</v>
      </c>
    </row>
    <row r="35368" ht="16.5" customHeight="1">
      <c r="O35368" s="5" t="s">
        <v>355</v>
      </c>
      <c r="P35368" s="5" t="s">
        <v>355</v>
      </c>
      <c r="Q35368" s="5" t="s">
        <v>355</v>
      </c>
    </row>
    <row r="35369" ht="16.5" customHeight="1">
      <c r="O35369" s="5" t="s">
        <v>355</v>
      </c>
      <c r="P35369" s="5" t="s">
        <v>355</v>
      </c>
      <c r="Q35369" s="5" t="s">
        <v>355</v>
      </c>
    </row>
    <row r="35370" ht="16.5" customHeight="1">
      <c r="O35370" s="5" t="s">
        <v>355</v>
      </c>
      <c r="P35370" s="5" t="s">
        <v>355</v>
      </c>
      <c r="Q35370" s="5" t="s">
        <v>355</v>
      </c>
    </row>
    <row r="35371" ht="16.5" customHeight="1">
      <c r="O35371" s="5" t="s">
        <v>355</v>
      </c>
      <c r="P35371" s="5" t="s">
        <v>355</v>
      </c>
      <c r="Q35371" s="5" t="s">
        <v>355</v>
      </c>
    </row>
    <row r="35372" ht="16.5" customHeight="1">
      <c r="O35372" s="5" t="s">
        <v>355</v>
      </c>
      <c r="P35372" s="5" t="s">
        <v>355</v>
      </c>
      <c r="Q35372" s="5" t="s">
        <v>355</v>
      </c>
    </row>
    <row r="35373" ht="16.5" customHeight="1">
      <c r="O35373" s="5" t="s">
        <v>355</v>
      </c>
      <c r="P35373" s="5" t="s">
        <v>355</v>
      </c>
      <c r="Q35373" s="5" t="s">
        <v>355</v>
      </c>
    </row>
    <row r="35374" ht="16.5" customHeight="1">
      <c r="O35374" s="5" t="s">
        <v>355</v>
      </c>
      <c r="P35374" s="5" t="s">
        <v>355</v>
      </c>
      <c r="Q35374" s="5" t="s">
        <v>355</v>
      </c>
    </row>
    <row r="35375" ht="16.5" customHeight="1">
      <c r="O35375" s="5" t="s">
        <v>355</v>
      </c>
      <c r="P35375" s="5" t="s">
        <v>355</v>
      </c>
      <c r="Q35375" s="5" t="s">
        <v>355</v>
      </c>
    </row>
    <row r="35376" ht="16.5" customHeight="1">
      <c r="O35376" s="5" t="s">
        <v>355</v>
      </c>
      <c r="P35376" s="5" t="s">
        <v>355</v>
      </c>
      <c r="Q35376" s="5" t="s">
        <v>355</v>
      </c>
    </row>
    <row r="35377" ht="16.5" customHeight="1">
      <c r="O35377" s="5" t="s">
        <v>355</v>
      </c>
      <c r="P35377" s="5" t="s">
        <v>355</v>
      </c>
      <c r="Q35377" s="5" t="s">
        <v>355</v>
      </c>
    </row>
    <row r="35378" ht="16.5" customHeight="1">
      <c r="O35378" s="5" t="s">
        <v>355</v>
      </c>
      <c r="P35378" s="5" t="s">
        <v>355</v>
      </c>
      <c r="Q35378" s="5" t="s">
        <v>355</v>
      </c>
    </row>
    <row r="35379" ht="16.5" customHeight="1">
      <c r="O35379" s="5" t="s">
        <v>355</v>
      </c>
      <c r="P35379" s="5" t="s">
        <v>355</v>
      </c>
      <c r="Q35379" s="5" t="s">
        <v>355</v>
      </c>
    </row>
    <row r="35380" ht="16.5" customHeight="1">
      <c r="O35380" s="5" t="s">
        <v>355</v>
      </c>
      <c r="P35380" s="5" t="s">
        <v>355</v>
      </c>
      <c r="Q35380" s="5" t="s">
        <v>355</v>
      </c>
    </row>
    <row r="35381" ht="16.5" customHeight="1">
      <c r="O35381" s="5" t="s">
        <v>355</v>
      </c>
      <c r="P35381" s="5" t="s">
        <v>355</v>
      </c>
      <c r="Q35381" s="5" t="s">
        <v>355</v>
      </c>
    </row>
    <row r="35382" ht="16.5" customHeight="1">
      <c r="O35382" s="5" t="s">
        <v>355</v>
      </c>
      <c r="P35382" s="5" t="s">
        <v>355</v>
      </c>
      <c r="Q35382" s="5" t="s">
        <v>355</v>
      </c>
    </row>
    <row r="35383" ht="16.5" customHeight="1">
      <c r="O35383" s="5" t="s">
        <v>355</v>
      </c>
      <c r="P35383" s="5" t="s">
        <v>355</v>
      </c>
      <c r="Q35383" s="5" t="s">
        <v>355</v>
      </c>
    </row>
    <row r="35384" ht="16.5" customHeight="1">
      <c r="O35384" s="5" t="s">
        <v>355</v>
      </c>
      <c r="P35384" s="5" t="s">
        <v>355</v>
      </c>
      <c r="Q35384" s="5" t="s">
        <v>355</v>
      </c>
    </row>
    <row r="35385" ht="16.5" customHeight="1">
      <c r="O35385" s="5" t="s">
        <v>355</v>
      </c>
      <c r="P35385" s="5" t="s">
        <v>355</v>
      </c>
      <c r="Q35385" s="5" t="s">
        <v>355</v>
      </c>
    </row>
    <row r="35386" ht="16.5" customHeight="1">
      <c r="O35386" s="5" t="s">
        <v>355</v>
      </c>
      <c r="P35386" s="5" t="s">
        <v>355</v>
      </c>
      <c r="Q35386" s="5" t="s">
        <v>355</v>
      </c>
    </row>
    <row r="35387" ht="16.5" customHeight="1">
      <c r="O35387" s="5" t="s">
        <v>355</v>
      </c>
      <c r="P35387" s="5" t="s">
        <v>355</v>
      </c>
      <c r="Q35387" s="5" t="s">
        <v>355</v>
      </c>
    </row>
    <row r="35388" ht="16.5" customHeight="1">
      <c r="O35388" s="5" t="s">
        <v>355</v>
      </c>
      <c r="P35388" s="5" t="s">
        <v>355</v>
      </c>
      <c r="Q35388" s="5" t="s">
        <v>355</v>
      </c>
    </row>
    <row r="35389" ht="16.5" customHeight="1">
      <c r="O35389" s="5" t="s">
        <v>355</v>
      </c>
      <c r="P35389" s="5" t="s">
        <v>355</v>
      </c>
      <c r="Q35389" s="5" t="s">
        <v>355</v>
      </c>
    </row>
    <row r="35390" ht="16.5" customHeight="1">
      <c r="O35390" s="5" t="s">
        <v>355</v>
      </c>
      <c r="P35390" s="5" t="s">
        <v>355</v>
      </c>
      <c r="Q35390" s="5" t="s">
        <v>355</v>
      </c>
    </row>
    <row r="35391" ht="16.5" customHeight="1">
      <c r="O35391" s="5" t="s">
        <v>355</v>
      </c>
      <c r="P35391" s="5" t="s">
        <v>355</v>
      </c>
      <c r="Q35391" s="5" t="s">
        <v>355</v>
      </c>
    </row>
    <row r="35392" ht="16.5" customHeight="1">
      <c r="O35392" s="5" t="s">
        <v>355</v>
      </c>
      <c r="P35392" s="5" t="s">
        <v>355</v>
      </c>
      <c r="Q35392" s="5" t="s">
        <v>355</v>
      </c>
    </row>
    <row r="35393" ht="16.5" customHeight="1">
      <c r="O35393" s="5" t="s">
        <v>355</v>
      </c>
      <c r="P35393" s="5" t="s">
        <v>355</v>
      </c>
      <c r="Q35393" s="5" t="s">
        <v>355</v>
      </c>
    </row>
    <row r="35394" ht="16.5" customHeight="1">
      <c r="O35394" s="5" t="s">
        <v>355</v>
      </c>
      <c r="P35394" s="5" t="s">
        <v>355</v>
      </c>
      <c r="Q35394" s="5" t="s">
        <v>355</v>
      </c>
    </row>
    <row r="35395" ht="16.5" customHeight="1">
      <c r="O35395" s="5" t="s">
        <v>355</v>
      </c>
      <c r="P35395" s="5" t="s">
        <v>355</v>
      </c>
      <c r="Q35395" s="5" t="s">
        <v>355</v>
      </c>
    </row>
    <row r="35396" ht="16.5" customHeight="1">
      <c r="O35396" s="5" t="s">
        <v>355</v>
      </c>
      <c r="P35396" s="5" t="s">
        <v>355</v>
      </c>
      <c r="Q35396" s="5" t="s">
        <v>355</v>
      </c>
    </row>
    <row r="35397" ht="16.5" customHeight="1">
      <c r="O35397" s="5" t="s">
        <v>355</v>
      </c>
      <c r="P35397" s="5" t="s">
        <v>355</v>
      </c>
      <c r="Q35397" s="5" t="s">
        <v>355</v>
      </c>
    </row>
    <row r="35398" ht="16.5" customHeight="1">
      <c r="O35398" s="5" t="s">
        <v>355</v>
      </c>
      <c r="P35398" s="5" t="s">
        <v>355</v>
      </c>
      <c r="Q35398" s="5" t="s">
        <v>355</v>
      </c>
    </row>
    <row r="35399" ht="16.5" customHeight="1">
      <c r="O35399" s="5" t="s">
        <v>355</v>
      </c>
      <c r="P35399" s="5" t="s">
        <v>355</v>
      </c>
      <c r="Q35399" s="5" t="s">
        <v>355</v>
      </c>
    </row>
    <row r="35400" ht="16.5" customHeight="1">
      <c r="O35400" s="5" t="s">
        <v>355</v>
      </c>
      <c r="P35400" s="5" t="s">
        <v>355</v>
      </c>
      <c r="Q35400" s="5" t="s">
        <v>355</v>
      </c>
    </row>
    <row r="35401" ht="16.5" customHeight="1">
      <c r="O35401" s="5" t="s">
        <v>355</v>
      </c>
      <c r="P35401" s="5" t="s">
        <v>355</v>
      </c>
      <c r="Q35401" s="5" t="s">
        <v>355</v>
      </c>
    </row>
    <row r="35402" ht="16.5" customHeight="1">
      <c r="O35402" s="5" t="s">
        <v>355</v>
      </c>
      <c r="P35402" s="5" t="s">
        <v>355</v>
      </c>
      <c r="Q35402" s="5" t="s">
        <v>355</v>
      </c>
    </row>
    <row r="35403" ht="16.5" customHeight="1">
      <c r="O35403" s="5" t="s">
        <v>355</v>
      </c>
      <c r="P35403" s="5" t="s">
        <v>355</v>
      </c>
      <c r="Q35403" s="5" t="s">
        <v>355</v>
      </c>
    </row>
    <row r="35404" ht="16.5" customHeight="1">
      <c r="O35404" s="5" t="s">
        <v>355</v>
      </c>
      <c r="P35404" s="5" t="s">
        <v>355</v>
      </c>
      <c r="Q35404" s="5" t="s">
        <v>355</v>
      </c>
    </row>
    <row r="35405" ht="16.5" customHeight="1">
      <c r="O35405" s="5" t="s">
        <v>355</v>
      </c>
      <c r="P35405" s="5" t="s">
        <v>355</v>
      </c>
      <c r="Q35405" s="5" t="s">
        <v>355</v>
      </c>
    </row>
    <row r="35406" ht="16.5" customHeight="1">
      <c r="O35406" s="5" t="s">
        <v>355</v>
      </c>
      <c r="P35406" s="5" t="s">
        <v>355</v>
      </c>
      <c r="Q35406" s="5" t="s">
        <v>355</v>
      </c>
    </row>
    <row r="35407" ht="16.5" customHeight="1">
      <c r="O35407" s="5" t="s">
        <v>355</v>
      </c>
      <c r="P35407" s="5" t="s">
        <v>355</v>
      </c>
      <c r="Q35407" s="5" t="s">
        <v>355</v>
      </c>
    </row>
    <row r="35408" ht="16.5" customHeight="1">
      <c r="O35408" s="5" t="s">
        <v>355</v>
      </c>
      <c r="P35408" s="5" t="s">
        <v>355</v>
      </c>
      <c r="Q35408" s="5" t="s">
        <v>355</v>
      </c>
    </row>
    <row r="35409" ht="16.5" customHeight="1">
      <c r="O35409" s="5" t="s">
        <v>355</v>
      </c>
      <c r="P35409" s="5" t="s">
        <v>355</v>
      </c>
      <c r="Q35409" s="5" t="s">
        <v>355</v>
      </c>
    </row>
    <row r="35410" ht="16.5" customHeight="1">
      <c r="O35410" s="5" t="s">
        <v>355</v>
      </c>
      <c r="P35410" s="5" t="s">
        <v>355</v>
      </c>
      <c r="Q35410" s="5" t="s">
        <v>355</v>
      </c>
    </row>
    <row r="35411" ht="16.5" customHeight="1">
      <c r="O35411" s="5" t="s">
        <v>355</v>
      </c>
      <c r="P35411" s="5" t="s">
        <v>355</v>
      </c>
      <c r="Q35411" s="5" t="s">
        <v>355</v>
      </c>
    </row>
    <row r="35412" ht="16.5" customHeight="1">
      <c r="O35412" s="5" t="s">
        <v>355</v>
      </c>
      <c r="P35412" s="5" t="s">
        <v>355</v>
      </c>
      <c r="Q35412" s="5" t="s">
        <v>355</v>
      </c>
    </row>
    <row r="35413" ht="16.5" customHeight="1">
      <c r="O35413" s="5" t="s">
        <v>355</v>
      </c>
      <c r="P35413" s="5" t="s">
        <v>355</v>
      </c>
      <c r="Q35413" s="5" t="s">
        <v>355</v>
      </c>
    </row>
    <row r="35414" ht="16.5" customHeight="1">
      <c r="O35414" s="5" t="s">
        <v>355</v>
      </c>
      <c r="P35414" s="5" t="s">
        <v>355</v>
      </c>
      <c r="Q35414" s="5" t="s">
        <v>355</v>
      </c>
    </row>
    <row r="35415" ht="16.5" customHeight="1">
      <c r="O35415" s="5" t="s">
        <v>355</v>
      </c>
      <c r="P35415" s="5" t="s">
        <v>355</v>
      </c>
      <c r="Q35415" s="5" t="s">
        <v>355</v>
      </c>
    </row>
    <row r="35416" ht="16.5" customHeight="1">
      <c r="O35416" s="5" t="s">
        <v>355</v>
      </c>
      <c r="P35416" s="5" t="s">
        <v>355</v>
      </c>
      <c r="Q35416" s="5" t="s">
        <v>355</v>
      </c>
    </row>
    <row r="35417" ht="16.5" customHeight="1">
      <c r="O35417" s="5" t="s">
        <v>355</v>
      </c>
      <c r="P35417" s="5" t="s">
        <v>355</v>
      </c>
      <c r="Q35417" s="5" t="s">
        <v>355</v>
      </c>
    </row>
    <row r="35418" ht="16.5" customHeight="1">
      <c r="O35418" s="5" t="s">
        <v>355</v>
      </c>
      <c r="P35418" s="5" t="s">
        <v>355</v>
      </c>
      <c r="Q35418" s="5" t="s">
        <v>355</v>
      </c>
    </row>
    <row r="35419" ht="16.5" customHeight="1">
      <c r="O35419" s="5" t="s">
        <v>355</v>
      </c>
      <c r="P35419" s="5" t="s">
        <v>355</v>
      </c>
      <c r="Q35419" s="5" t="s">
        <v>355</v>
      </c>
    </row>
    <row r="35420" ht="16.5" customHeight="1">
      <c r="O35420" s="5" t="s">
        <v>355</v>
      </c>
      <c r="P35420" s="5" t="s">
        <v>355</v>
      </c>
      <c r="Q35420" s="5" t="s">
        <v>355</v>
      </c>
    </row>
    <row r="35421" ht="16.5" customHeight="1">
      <c r="O35421" s="5" t="s">
        <v>355</v>
      </c>
      <c r="P35421" s="5" t="s">
        <v>355</v>
      </c>
      <c r="Q35421" s="5" t="s">
        <v>355</v>
      </c>
    </row>
    <row r="35422" ht="16.5" customHeight="1">
      <c r="O35422" s="5" t="s">
        <v>355</v>
      </c>
      <c r="P35422" s="5" t="s">
        <v>355</v>
      </c>
      <c r="Q35422" s="5" t="s">
        <v>355</v>
      </c>
    </row>
    <row r="35423" ht="16.5" customHeight="1">
      <c r="O35423" s="5" t="s">
        <v>355</v>
      </c>
      <c r="P35423" s="5" t="s">
        <v>355</v>
      </c>
      <c r="Q35423" s="5" t="s">
        <v>355</v>
      </c>
    </row>
    <row r="35424" ht="16.5" customHeight="1">
      <c r="O35424" s="5" t="s">
        <v>355</v>
      </c>
      <c r="P35424" s="5" t="s">
        <v>355</v>
      </c>
      <c r="Q35424" s="5" t="s">
        <v>355</v>
      </c>
    </row>
    <row r="35425" ht="16.5" customHeight="1">
      <c r="O35425" s="5" t="s">
        <v>355</v>
      </c>
      <c r="P35425" s="5" t="s">
        <v>355</v>
      </c>
      <c r="Q35425" s="5" t="s">
        <v>355</v>
      </c>
    </row>
    <row r="35426" ht="16.5" customHeight="1">
      <c r="O35426" s="5" t="s">
        <v>355</v>
      </c>
      <c r="P35426" s="5" t="s">
        <v>355</v>
      </c>
      <c r="Q35426" s="5" t="s">
        <v>355</v>
      </c>
    </row>
    <row r="35427" ht="16.5" customHeight="1">
      <c r="O35427" s="5" t="s">
        <v>355</v>
      </c>
      <c r="P35427" s="5" t="s">
        <v>355</v>
      </c>
      <c r="Q35427" s="5" t="s">
        <v>355</v>
      </c>
    </row>
    <row r="35428" ht="16.5" customHeight="1">
      <c r="O35428" s="5" t="s">
        <v>355</v>
      </c>
      <c r="P35428" s="5" t="s">
        <v>355</v>
      </c>
      <c r="Q35428" s="5" t="s">
        <v>355</v>
      </c>
    </row>
    <row r="35429" ht="16.5" customHeight="1">
      <c r="O35429" s="5" t="s">
        <v>355</v>
      </c>
      <c r="P35429" s="5" t="s">
        <v>355</v>
      </c>
      <c r="Q35429" s="5" t="s">
        <v>355</v>
      </c>
    </row>
    <row r="35430" ht="16.5" customHeight="1">
      <c r="O35430" s="5" t="s">
        <v>355</v>
      </c>
      <c r="P35430" s="5" t="s">
        <v>355</v>
      </c>
      <c r="Q35430" s="5" t="s">
        <v>355</v>
      </c>
    </row>
    <row r="35431" ht="16.5" customHeight="1">
      <c r="O35431" s="5" t="s">
        <v>355</v>
      </c>
      <c r="P35431" s="5" t="s">
        <v>355</v>
      </c>
      <c r="Q35431" s="5" t="s">
        <v>355</v>
      </c>
    </row>
    <row r="35432" ht="16.5" customHeight="1">
      <c r="O35432" s="5" t="s">
        <v>355</v>
      </c>
      <c r="P35432" s="5" t="s">
        <v>355</v>
      </c>
      <c r="Q35432" s="5" t="s">
        <v>355</v>
      </c>
    </row>
    <row r="35433" ht="16.5" customHeight="1">
      <c r="O35433" s="5" t="s">
        <v>355</v>
      </c>
      <c r="P35433" s="5" t="s">
        <v>355</v>
      </c>
      <c r="Q35433" s="5" t="s">
        <v>355</v>
      </c>
    </row>
    <row r="35434" ht="16.5" customHeight="1">
      <c r="O35434" s="5" t="s">
        <v>355</v>
      </c>
      <c r="P35434" s="5" t="s">
        <v>355</v>
      </c>
      <c r="Q35434" s="5" t="s">
        <v>355</v>
      </c>
    </row>
    <row r="35435" ht="16.5" customHeight="1">
      <c r="O35435" s="5" t="s">
        <v>355</v>
      </c>
      <c r="P35435" s="5" t="s">
        <v>355</v>
      </c>
      <c r="Q35435" s="5" t="s">
        <v>355</v>
      </c>
    </row>
    <row r="35436" ht="16.5" customHeight="1">
      <c r="O35436" s="5" t="s">
        <v>355</v>
      </c>
      <c r="P35436" s="5" t="s">
        <v>355</v>
      </c>
      <c r="Q35436" s="5" t="s">
        <v>355</v>
      </c>
    </row>
    <row r="35437" ht="16.5" customHeight="1">
      <c r="O35437" s="5" t="s">
        <v>355</v>
      </c>
      <c r="P35437" s="5" t="s">
        <v>355</v>
      </c>
      <c r="Q35437" s="5" t="s">
        <v>355</v>
      </c>
    </row>
    <row r="35438" ht="16.5" customHeight="1">
      <c r="O35438" s="5" t="s">
        <v>355</v>
      </c>
      <c r="P35438" s="5" t="s">
        <v>355</v>
      </c>
      <c r="Q35438" s="5" t="s">
        <v>355</v>
      </c>
    </row>
    <row r="35439" ht="16.5" customHeight="1">
      <c r="O35439" s="5" t="s">
        <v>355</v>
      </c>
      <c r="P35439" s="5" t="s">
        <v>355</v>
      </c>
      <c r="Q35439" s="5" t="s">
        <v>355</v>
      </c>
    </row>
    <row r="35440" ht="16.5" customHeight="1">
      <c r="O35440" s="5" t="s">
        <v>355</v>
      </c>
      <c r="P35440" s="5" t="s">
        <v>355</v>
      </c>
      <c r="Q35440" s="5" t="s">
        <v>355</v>
      </c>
    </row>
    <row r="35441" ht="16.5" customHeight="1">
      <c r="O35441" s="5" t="s">
        <v>355</v>
      </c>
      <c r="P35441" s="5" t="s">
        <v>355</v>
      </c>
      <c r="Q35441" s="5" t="s">
        <v>355</v>
      </c>
    </row>
    <row r="35442" ht="16.5" customHeight="1">
      <c r="O35442" s="5" t="s">
        <v>355</v>
      </c>
      <c r="P35442" s="5" t="s">
        <v>355</v>
      </c>
      <c r="Q35442" s="5" t="s">
        <v>355</v>
      </c>
    </row>
    <row r="35443" ht="16.5" customHeight="1">
      <c r="O35443" s="5" t="s">
        <v>355</v>
      </c>
      <c r="P35443" s="5" t="s">
        <v>355</v>
      </c>
      <c r="Q35443" s="5" t="s">
        <v>355</v>
      </c>
    </row>
    <row r="35444" ht="16.5" customHeight="1">
      <c r="O35444" s="5" t="s">
        <v>355</v>
      </c>
      <c r="P35444" s="5" t="s">
        <v>355</v>
      </c>
      <c r="Q35444" s="5" t="s">
        <v>355</v>
      </c>
    </row>
    <row r="35445" ht="16.5" customHeight="1">
      <c r="O35445" s="5" t="s">
        <v>355</v>
      </c>
      <c r="P35445" s="5" t="s">
        <v>355</v>
      </c>
      <c r="Q35445" s="5" t="s">
        <v>355</v>
      </c>
    </row>
    <row r="35446" ht="16.5" customHeight="1">
      <c r="O35446" s="5" t="s">
        <v>355</v>
      </c>
      <c r="P35446" s="5" t="s">
        <v>355</v>
      </c>
      <c r="Q35446" s="5" t="s">
        <v>355</v>
      </c>
    </row>
    <row r="35447" ht="16.5" customHeight="1">
      <c r="O35447" s="5" t="s">
        <v>355</v>
      </c>
      <c r="P35447" s="5" t="s">
        <v>355</v>
      </c>
      <c r="Q35447" s="5" t="s">
        <v>355</v>
      </c>
    </row>
    <row r="35448" ht="16.5" customHeight="1">
      <c r="O35448" s="5" t="s">
        <v>355</v>
      </c>
      <c r="P35448" s="5" t="s">
        <v>355</v>
      </c>
      <c r="Q35448" s="5" t="s">
        <v>355</v>
      </c>
    </row>
    <row r="35449" ht="16.5" customHeight="1">
      <c r="O35449" s="5" t="s">
        <v>355</v>
      </c>
      <c r="P35449" s="5" t="s">
        <v>355</v>
      </c>
      <c r="Q35449" s="5" t="s">
        <v>355</v>
      </c>
    </row>
    <row r="35450" ht="16.5" customHeight="1">
      <c r="O35450" s="5" t="s">
        <v>355</v>
      </c>
      <c r="P35450" s="5" t="s">
        <v>355</v>
      </c>
      <c r="Q35450" s="5" t="s">
        <v>355</v>
      </c>
    </row>
    <row r="35451" ht="16.5" customHeight="1">
      <c r="O35451" s="5" t="s">
        <v>355</v>
      </c>
      <c r="P35451" s="5" t="s">
        <v>355</v>
      </c>
      <c r="Q35451" s="5" t="s">
        <v>355</v>
      </c>
    </row>
    <row r="35452" ht="16.5" customHeight="1">
      <c r="O35452" s="5" t="s">
        <v>355</v>
      </c>
      <c r="P35452" s="5" t="s">
        <v>355</v>
      </c>
      <c r="Q35452" s="5" t="s">
        <v>355</v>
      </c>
    </row>
    <row r="35453" ht="16.5" customHeight="1">
      <c r="O35453" s="5" t="s">
        <v>355</v>
      </c>
      <c r="P35453" s="5" t="s">
        <v>355</v>
      </c>
      <c r="Q35453" s="5" t="s">
        <v>355</v>
      </c>
    </row>
    <row r="35454" ht="16.5" customHeight="1">
      <c r="O35454" s="5" t="s">
        <v>355</v>
      </c>
      <c r="P35454" s="5" t="s">
        <v>355</v>
      </c>
      <c r="Q35454" s="5" t="s">
        <v>355</v>
      </c>
    </row>
    <row r="35455" ht="16.5" customHeight="1">
      <c r="O35455" s="5" t="s">
        <v>355</v>
      </c>
      <c r="P35455" s="5" t="s">
        <v>355</v>
      </c>
      <c r="Q35455" s="5" t="s">
        <v>355</v>
      </c>
    </row>
    <row r="35456" ht="16.5" customHeight="1">
      <c r="O35456" s="5" t="s">
        <v>355</v>
      </c>
      <c r="P35456" s="5" t="s">
        <v>355</v>
      </c>
      <c r="Q35456" s="5" t="s">
        <v>355</v>
      </c>
    </row>
    <row r="35457" ht="16.5" customHeight="1">
      <c r="O35457" s="5" t="s">
        <v>355</v>
      </c>
      <c r="P35457" s="5" t="s">
        <v>355</v>
      </c>
      <c r="Q35457" s="5" t="s">
        <v>355</v>
      </c>
    </row>
    <row r="35458" ht="16.5" customHeight="1">
      <c r="O35458" s="5" t="s">
        <v>355</v>
      </c>
      <c r="P35458" s="5" t="s">
        <v>355</v>
      </c>
      <c r="Q35458" s="5" t="s">
        <v>355</v>
      </c>
    </row>
    <row r="35459" ht="16.5" customHeight="1">
      <c r="O35459" s="5" t="s">
        <v>355</v>
      </c>
      <c r="P35459" s="5" t="s">
        <v>355</v>
      </c>
      <c r="Q35459" s="5" t="s">
        <v>355</v>
      </c>
    </row>
    <row r="35460" ht="16.5" customHeight="1">
      <c r="O35460" s="5" t="s">
        <v>355</v>
      </c>
      <c r="P35460" s="5" t="s">
        <v>355</v>
      </c>
      <c r="Q35460" s="5" t="s">
        <v>355</v>
      </c>
    </row>
    <row r="35461" ht="16.5" customHeight="1">
      <c r="O35461" s="5" t="s">
        <v>355</v>
      </c>
      <c r="P35461" s="5" t="s">
        <v>355</v>
      </c>
      <c r="Q35461" s="5" t="s">
        <v>355</v>
      </c>
    </row>
    <row r="35462" ht="16.5" customHeight="1">
      <c r="O35462" s="5" t="s">
        <v>355</v>
      </c>
      <c r="P35462" s="5" t="s">
        <v>355</v>
      </c>
      <c r="Q35462" s="5" t="s">
        <v>355</v>
      </c>
    </row>
    <row r="35463" ht="16.5" customHeight="1">
      <c r="O35463" s="5" t="s">
        <v>355</v>
      </c>
      <c r="P35463" s="5" t="s">
        <v>355</v>
      </c>
      <c r="Q35463" s="5" t="s">
        <v>355</v>
      </c>
    </row>
    <row r="35464" ht="16.5" customHeight="1">
      <c r="O35464" s="5" t="s">
        <v>355</v>
      </c>
      <c r="P35464" s="5" t="s">
        <v>355</v>
      </c>
      <c r="Q35464" s="5" t="s">
        <v>355</v>
      </c>
    </row>
    <row r="35465" ht="16.5" customHeight="1">
      <c r="O35465" s="5" t="s">
        <v>355</v>
      </c>
      <c r="P35465" s="5" t="s">
        <v>355</v>
      </c>
      <c r="Q35465" s="5" t="s">
        <v>355</v>
      </c>
    </row>
    <row r="35466" ht="16.5" customHeight="1">
      <c r="O35466" s="5" t="s">
        <v>355</v>
      </c>
      <c r="P35466" s="5" t="s">
        <v>355</v>
      </c>
      <c r="Q35466" s="5" t="s">
        <v>355</v>
      </c>
    </row>
    <row r="35467" ht="16.5" customHeight="1">
      <c r="O35467" s="5" t="s">
        <v>355</v>
      </c>
      <c r="P35467" s="5" t="s">
        <v>355</v>
      </c>
      <c r="Q35467" s="5" t="s">
        <v>355</v>
      </c>
    </row>
    <row r="35468" ht="16.5" customHeight="1">
      <c r="O35468" s="5" t="s">
        <v>355</v>
      </c>
      <c r="P35468" s="5" t="s">
        <v>355</v>
      </c>
      <c r="Q35468" s="5" t="s">
        <v>355</v>
      </c>
    </row>
    <row r="35469" ht="16.5" customHeight="1">
      <c r="O35469" s="5" t="s">
        <v>355</v>
      </c>
      <c r="P35469" s="5" t="s">
        <v>355</v>
      </c>
      <c r="Q35469" s="5" t="s">
        <v>355</v>
      </c>
    </row>
    <row r="35470" ht="16.5" customHeight="1">
      <c r="O35470" s="5" t="s">
        <v>355</v>
      </c>
      <c r="P35470" s="5" t="s">
        <v>355</v>
      </c>
      <c r="Q35470" s="5" t="s">
        <v>355</v>
      </c>
    </row>
    <row r="35471" ht="16.5" customHeight="1">
      <c r="O35471" s="5" t="s">
        <v>355</v>
      </c>
      <c r="P35471" s="5" t="s">
        <v>355</v>
      </c>
      <c r="Q35471" s="5" t="s">
        <v>355</v>
      </c>
    </row>
    <row r="35472" ht="16.5" customHeight="1">
      <c r="O35472" s="5" t="s">
        <v>355</v>
      </c>
      <c r="P35472" s="5" t="s">
        <v>355</v>
      </c>
      <c r="Q35472" s="5" t="s">
        <v>355</v>
      </c>
    </row>
    <row r="35473" ht="16.5" customHeight="1">
      <c r="O35473" s="5" t="s">
        <v>355</v>
      </c>
      <c r="P35473" s="5" t="s">
        <v>355</v>
      </c>
      <c r="Q35473" s="5" t="s">
        <v>355</v>
      </c>
    </row>
    <row r="35474" ht="16.5" customHeight="1">
      <c r="O35474" s="5" t="s">
        <v>355</v>
      </c>
      <c r="P35474" s="5" t="s">
        <v>355</v>
      </c>
      <c r="Q35474" s="5" t="s">
        <v>355</v>
      </c>
    </row>
    <row r="35475" ht="16.5" customHeight="1">
      <c r="O35475" s="5" t="s">
        <v>355</v>
      </c>
      <c r="P35475" s="5" t="s">
        <v>355</v>
      </c>
      <c r="Q35475" s="5" t="s">
        <v>355</v>
      </c>
    </row>
    <row r="35476" ht="16.5" customHeight="1">
      <c r="O35476" s="5" t="s">
        <v>355</v>
      </c>
      <c r="P35476" s="5" t="s">
        <v>355</v>
      </c>
      <c r="Q35476" s="5" t="s">
        <v>355</v>
      </c>
    </row>
    <row r="35477" ht="16.5" customHeight="1">
      <c r="O35477" s="5" t="s">
        <v>355</v>
      </c>
      <c r="P35477" s="5" t="s">
        <v>355</v>
      </c>
      <c r="Q35477" s="5" t="s">
        <v>355</v>
      </c>
    </row>
    <row r="35478" ht="16.5" customHeight="1">
      <c r="O35478" s="5" t="s">
        <v>355</v>
      </c>
      <c r="P35478" s="5" t="s">
        <v>355</v>
      </c>
      <c r="Q35478" s="5" t="s">
        <v>355</v>
      </c>
    </row>
    <row r="35479" ht="16.5" customHeight="1">
      <c r="O35479" s="5" t="s">
        <v>355</v>
      </c>
      <c r="P35479" s="5" t="s">
        <v>355</v>
      </c>
      <c r="Q35479" s="5" t="s">
        <v>355</v>
      </c>
    </row>
    <row r="35480" ht="16.5" customHeight="1">
      <c r="O35480" s="5" t="s">
        <v>355</v>
      </c>
      <c r="P35480" s="5" t="s">
        <v>355</v>
      </c>
      <c r="Q35480" s="5" t="s">
        <v>355</v>
      </c>
    </row>
    <row r="35481" ht="16.5" customHeight="1">
      <c r="O35481" s="5" t="s">
        <v>355</v>
      </c>
      <c r="P35481" s="5" t="s">
        <v>355</v>
      </c>
      <c r="Q35481" s="5" t="s">
        <v>355</v>
      </c>
    </row>
    <row r="35482" ht="16.5" customHeight="1">
      <c r="O35482" s="5" t="s">
        <v>355</v>
      </c>
      <c r="P35482" s="5" t="s">
        <v>355</v>
      </c>
      <c r="Q35482" s="5" t="s">
        <v>355</v>
      </c>
    </row>
    <row r="35483" ht="16.5" customHeight="1">
      <c r="O35483" s="5" t="s">
        <v>355</v>
      </c>
      <c r="P35483" s="5" t="s">
        <v>355</v>
      </c>
      <c r="Q35483" s="5" t="s">
        <v>355</v>
      </c>
    </row>
    <row r="35484" ht="16.5" customHeight="1">
      <c r="O35484" s="5" t="s">
        <v>355</v>
      </c>
      <c r="P35484" s="5" t="s">
        <v>355</v>
      </c>
      <c r="Q35484" s="5" t="s">
        <v>355</v>
      </c>
    </row>
    <row r="35485" ht="16.5" customHeight="1">
      <c r="O35485" s="5" t="s">
        <v>355</v>
      </c>
      <c r="P35485" s="5" t="s">
        <v>355</v>
      </c>
      <c r="Q35485" s="5" t="s">
        <v>355</v>
      </c>
    </row>
    <row r="35486" ht="16.5" customHeight="1">
      <c r="O35486" s="5" t="s">
        <v>355</v>
      </c>
      <c r="P35486" s="5" t="s">
        <v>355</v>
      </c>
      <c r="Q35486" s="5" t="s">
        <v>355</v>
      </c>
    </row>
    <row r="35487" ht="16.5" customHeight="1">
      <c r="O35487" s="5" t="s">
        <v>355</v>
      </c>
      <c r="P35487" s="5" t="s">
        <v>355</v>
      </c>
      <c r="Q35487" s="5" t="s">
        <v>355</v>
      </c>
    </row>
    <row r="35488" ht="16.5" customHeight="1">
      <c r="O35488" s="5" t="s">
        <v>355</v>
      </c>
      <c r="P35488" s="5" t="s">
        <v>355</v>
      </c>
      <c r="Q35488" s="5" t="s">
        <v>355</v>
      </c>
    </row>
    <row r="35489" ht="16.5" customHeight="1">
      <c r="O35489" s="5" t="s">
        <v>355</v>
      </c>
      <c r="P35489" s="5" t="s">
        <v>355</v>
      </c>
      <c r="Q35489" s="5" t="s">
        <v>355</v>
      </c>
    </row>
    <row r="35490" ht="16.5" customHeight="1">
      <c r="O35490" s="5" t="s">
        <v>355</v>
      </c>
      <c r="P35490" s="5" t="s">
        <v>355</v>
      </c>
      <c r="Q35490" s="5" t="s">
        <v>355</v>
      </c>
    </row>
    <row r="35491" ht="16.5" customHeight="1">
      <c r="O35491" s="5" t="s">
        <v>355</v>
      </c>
      <c r="P35491" s="5" t="s">
        <v>355</v>
      </c>
      <c r="Q35491" s="5" t="s">
        <v>355</v>
      </c>
    </row>
    <row r="35492" ht="16.5" customHeight="1">
      <c r="O35492" s="5" t="s">
        <v>355</v>
      </c>
      <c r="P35492" s="5" t="s">
        <v>355</v>
      </c>
      <c r="Q35492" s="5" t="s">
        <v>355</v>
      </c>
    </row>
    <row r="35493" ht="16.5" customHeight="1">
      <c r="O35493" s="5" t="s">
        <v>355</v>
      </c>
      <c r="P35493" s="5" t="s">
        <v>355</v>
      </c>
      <c r="Q35493" s="5" t="s">
        <v>355</v>
      </c>
    </row>
    <row r="35494" ht="16.5" customHeight="1">
      <c r="O35494" s="5" t="s">
        <v>355</v>
      </c>
      <c r="P35494" s="5" t="s">
        <v>355</v>
      </c>
      <c r="Q35494" s="5" t="s">
        <v>355</v>
      </c>
    </row>
    <row r="35495" ht="16.5" customHeight="1">
      <c r="O35495" s="5" t="s">
        <v>355</v>
      </c>
      <c r="P35495" s="5" t="s">
        <v>355</v>
      </c>
      <c r="Q35495" s="5" t="s">
        <v>355</v>
      </c>
    </row>
    <row r="35496" ht="16.5" customHeight="1">
      <c r="O35496" s="5" t="s">
        <v>355</v>
      </c>
      <c r="P35496" s="5" t="s">
        <v>355</v>
      </c>
      <c r="Q35496" s="5" t="s">
        <v>355</v>
      </c>
    </row>
    <row r="35497" ht="16.5" customHeight="1">
      <c r="O35497" s="5" t="s">
        <v>355</v>
      </c>
      <c r="P35497" s="5" t="s">
        <v>355</v>
      </c>
      <c r="Q35497" s="5" t="s">
        <v>355</v>
      </c>
    </row>
    <row r="35498" ht="16.5" customHeight="1">
      <c r="O35498" s="5" t="s">
        <v>355</v>
      </c>
      <c r="P35498" s="5" t="s">
        <v>355</v>
      </c>
      <c r="Q35498" s="5" t="s">
        <v>355</v>
      </c>
    </row>
    <row r="35499" ht="16.5" customHeight="1">
      <c r="O35499" s="5" t="s">
        <v>355</v>
      </c>
      <c r="P35499" s="5" t="s">
        <v>355</v>
      </c>
      <c r="Q35499" s="5" t="s">
        <v>355</v>
      </c>
    </row>
    <row r="35500" ht="16.5" customHeight="1">
      <c r="O35500" s="5" t="s">
        <v>355</v>
      </c>
      <c r="P35500" s="5" t="s">
        <v>355</v>
      </c>
      <c r="Q35500" s="5" t="s">
        <v>355</v>
      </c>
    </row>
    <row r="35501" ht="16.5" customHeight="1">
      <c r="O35501" s="5" t="s">
        <v>355</v>
      </c>
      <c r="P35501" s="5" t="s">
        <v>355</v>
      </c>
      <c r="Q35501" s="5" t="s">
        <v>355</v>
      </c>
    </row>
    <row r="35502" ht="16.5" customHeight="1">
      <c r="O35502" s="5" t="s">
        <v>355</v>
      </c>
      <c r="P35502" s="5" t="s">
        <v>355</v>
      </c>
      <c r="Q35502" s="5" t="s">
        <v>355</v>
      </c>
    </row>
    <row r="35503" ht="16.5" customHeight="1">
      <c r="O35503" s="5" t="s">
        <v>355</v>
      </c>
      <c r="P35503" s="5" t="s">
        <v>355</v>
      </c>
      <c r="Q35503" s="5" t="s">
        <v>355</v>
      </c>
    </row>
    <row r="35504" ht="16.5" customHeight="1">
      <c r="O35504" s="5" t="s">
        <v>355</v>
      </c>
      <c r="P35504" s="5" t="s">
        <v>355</v>
      </c>
      <c r="Q35504" s="5" t="s">
        <v>355</v>
      </c>
    </row>
    <row r="35505" ht="16.5" customHeight="1">
      <c r="O35505" s="5" t="s">
        <v>355</v>
      </c>
      <c r="P35505" s="5" t="s">
        <v>355</v>
      </c>
      <c r="Q35505" s="5" t="s">
        <v>355</v>
      </c>
    </row>
    <row r="35506" ht="16.5" customHeight="1">
      <c r="O35506" s="5" t="s">
        <v>355</v>
      </c>
      <c r="P35506" s="5" t="s">
        <v>355</v>
      </c>
      <c r="Q35506" s="5" t="s">
        <v>355</v>
      </c>
    </row>
    <row r="35507" ht="16.5" customHeight="1">
      <c r="O35507" s="5" t="s">
        <v>355</v>
      </c>
      <c r="P35507" s="5" t="s">
        <v>355</v>
      </c>
      <c r="Q35507" s="5" t="s">
        <v>355</v>
      </c>
    </row>
    <row r="35508" ht="16.5" customHeight="1">
      <c r="O35508" s="5" t="s">
        <v>355</v>
      </c>
      <c r="P35508" s="5" t="s">
        <v>355</v>
      </c>
      <c r="Q35508" s="5" t="s">
        <v>355</v>
      </c>
    </row>
    <row r="35509" ht="16.5" customHeight="1">
      <c r="O35509" s="5" t="s">
        <v>355</v>
      </c>
      <c r="P35509" s="5" t="s">
        <v>355</v>
      </c>
      <c r="Q35509" s="5" t="s">
        <v>355</v>
      </c>
    </row>
    <row r="35510" ht="16.5" customHeight="1">
      <c r="O35510" s="5" t="s">
        <v>355</v>
      </c>
      <c r="P35510" s="5" t="s">
        <v>355</v>
      </c>
      <c r="Q35510" s="5" t="s">
        <v>355</v>
      </c>
    </row>
    <row r="35511" ht="16.5" customHeight="1">
      <c r="O35511" s="5" t="s">
        <v>355</v>
      </c>
      <c r="P35511" s="5" t="s">
        <v>355</v>
      </c>
      <c r="Q35511" s="5" t="s">
        <v>355</v>
      </c>
    </row>
    <row r="35512" ht="16.5" customHeight="1">
      <c r="O35512" s="5" t="s">
        <v>355</v>
      </c>
      <c r="P35512" s="5" t="s">
        <v>355</v>
      </c>
      <c r="Q35512" s="5" t="s">
        <v>355</v>
      </c>
    </row>
    <row r="35513" ht="16.5" customHeight="1">
      <c r="O35513" s="5" t="s">
        <v>355</v>
      </c>
      <c r="P35513" s="5" t="s">
        <v>355</v>
      </c>
      <c r="Q35513" s="5" t="s">
        <v>355</v>
      </c>
    </row>
    <row r="35514" ht="16.5" customHeight="1">
      <c r="O35514" s="5" t="s">
        <v>355</v>
      </c>
      <c r="P35514" s="5" t="s">
        <v>355</v>
      </c>
      <c r="Q35514" s="5" t="s">
        <v>355</v>
      </c>
    </row>
    <row r="35515" ht="16.5" customHeight="1">
      <c r="O35515" s="5" t="s">
        <v>355</v>
      </c>
      <c r="P35515" s="5" t="s">
        <v>355</v>
      </c>
      <c r="Q35515" s="5" t="s">
        <v>355</v>
      </c>
    </row>
    <row r="35516" ht="16.5" customHeight="1">
      <c r="O35516" s="5" t="s">
        <v>355</v>
      </c>
      <c r="P35516" s="5" t="s">
        <v>355</v>
      </c>
      <c r="Q35516" s="5" t="s">
        <v>355</v>
      </c>
    </row>
    <row r="35517" ht="16.5" customHeight="1">
      <c r="O35517" s="5" t="s">
        <v>355</v>
      </c>
      <c r="P35517" s="5" t="s">
        <v>355</v>
      </c>
      <c r="Q35517" s="5" t="s">
        <v>355</v>
      </c>
    </row>
    <row r="35518" ht="16.5" customHeight="1">
      <c r="O35518" s="5" t="s">
        <v>355</v>
      </c>
      <c r="P35518" s="5" t="s">
        <v>355</v>
      </c>
      <c r="Q35518" s="5" t="s">
        <v>355</v>
      </c>
    </row>
    <row r="35519" ht="16.5" customHeight="1">
      <c r="O35519" s="5" t="s">
        <v>355</v>
      </c>
      <c r="P35519" s="5" t="s">
        <v>355</v>
      </c>
      <c r="Q35519" s="5" t="s">
        <v>355</v>
      </c>
    </row>
    <row r="35520" ht="16.5" customHeight="1">
      <c r="O35520" s="5" t="s">
        <v>355</v>
      </c>
      <c r="P35520" s="5" t="s">
        <v>355</v>
      </c>
      <c r="Q35520" s="5" t="s">
        <v>355</v>
      </c>
    </row>
    <row r="35521" ht="16.5" customHeight="1">
      <c r="O35521" s="5" t="s">
        <v>355</v>
      </c>
      <c r="P35521" s="5" t="s">
        <v>355</v>
      </c>
      <c r="Q35521" s="5" t="s">
        <v>355</v>
      </c>
    </row>
    <row r="35522" ht="16.5" customHeight="1">
      <c r="O35522" s="5" t="s">
        <v>355</v>
      </c>
      <c r="P35522" s="5" t="s">
        <v>355</v>
      </c>
      <c r="Q35522" s="5" t="s">
        <v>355</v>
      </c>
    </row>
    <row r="35523" ht="16.5" customHeight="1">
      <c r="O35523" s="5" t="s">
        <v>355</v>
      </c>
      <c r="P35523" s="5" t="s">
        <v>355</v>
      </c>
      <c r="Q35523" s="5" t="s">
        <v>355</v>
      </c>
    </row>
    <row r="35524" ht="16.5" customHeight="1">
      <c r="O35524" s="5" t="s">
        <v>355</v>
      </c>
      <c r="P35524" s="5" t="s">
        <v>355</v>
      </c>
      <c r="Q35524" s="5" t="s">
        <v>355</v>
      </c>
    </row>
    <row r="35525" ht="16.5" customHeight="1">
      <c r="O35525" s="5" t="s">
        <v>355</v>
      </c>
      <c r="P35525" s="5" t="s">
        <v>355</v>
      </c>
      <c r="Q35525" s="5" t="s">
        <v>355</v>
      </c>
    </row>
    <row r="35526" ht="16.5" customHeight="1">
      <c r="O35526" s="5" t="s">
        <v>355</v>
      </c>
      <c r="P35526" s="5" t="s">
        <v>355</v>
      </c>
      <c r="Q35526" s="5" t="s">
        <v>355</v>
      </c>
    </row>
    <row r="35527" ht="16.5" customHeight="1">
      <c r="O35527" s="5" t="s">
        <v>355</v>
      </c>
      <c r="P35527" s="5" t="s">
        <v>355</v>
      </c>
      <c r="Q35527" s="5" t="s">
        <v>355</v>
      </c>
    </row>
    <row r="35528" ht="16.5" customHeight="1">
      <c r="O35528" s="5" t="s">
        <v>355</v>
      </c>
      <c r="P35528" s="5" t="s">
        <v>355</v>
      </c>
      <c r="Q35528" s="5" t="s">
        <v>355</v>
      </c>
    </row>
    <row r="35529" ht="16.5" customHeight="1">
      <c r="O35529" s="5" t="s">
        <v>355</v>
      </c>
      <c r="P35529" s="5" t="s">
        <v>355</v>
      </c>
      <c r="Q35529" s="5" t="s">
        <v>355</v>
      </c>
    </row>
    <row r="35530" ht="16.5" customHeight="1">
      <c r="O35530" s="5" t="s">
        <v>355</v>
      </c>
      <c r="P35530" s="5" t="s">
        <v>355</v>
      </c>
      <c r="Q35530" s="5" t="s">
        <v>355</v>
      </c>
    </row>
    <row r="35531" ht="16.5" customHeight="1">
      <c r="O35531" s="5" t="s">
        <v>355</v>
      </c>
      <c r="P35531" s="5" t="s">
        <v>355</v>
      </c>
      <c r="Q35531" s="5" t="s">
        <v>355</v>
      </c>
    </row>
    <row r="35532" ht="16.5" customHeight="1">
      <c r="O35532" s="5" t="s">
        <v>355</v>
      </c>
      <c r="P35532" s="5" t="s">
        <v>355</v>
      </c>
      <c r="Q35532" s="5" t="s">
        <v>355</v>
      </c>
    </row>
    <row r="35533" ht="16.5" customHeight="1">
      <c r="O35533" s="5" t="s">
        <v>355</v>
      </c>
      <c r="P35533" s="5" t="s">
        <v>355</v>
      </c>
      <c r="Q35533" s="5" t="s">
        <v>355</v>
      </c>
    </row>
    <row r="35534" ht="16.5" customHeight="1">
      <c r="O35534" s="5" t="s">
        <v>355</v>
      </c>
      <c r="P35534" s="5" t="s">
        <v>355</v>
      </c>
      <c r="Q35534" s="5" t="s">
        <v>355</v>
      </c>
    </row>
    <row r="35535" ht="16.5" customHeight="1">
      <c r="O35535" s="5" t="s">
        <v>355</v>
      </c>
      <c r="P35535" s="5" t="s">
        <v>355</v>
      </c>
      <c r="Q35535" s="5" t="s">
        <v>355</v>
      </c>
    </row>
    <row r="35536" ht="16.5" customHeight="1">
      <c r="O35536" s="5" t="s">
        <v>355</v>
      </c>
      <c r="P35536" s="5" t="s">
        <v>355</v>
      </c>
      <c r="Q35536" s="5" t="s">
        <v>355</v>
      </c>
    </row>
    <row r="35537" ht="16.5" customHeight="1">
      <c r="O35537" s="5" t="s">
        <v>355</v>
      </c>
      <c r="P35537" s="5" t="s">
        <v>355</v>
      </c>
      <c r="Q35537" s="5" t="s">
        <v>355</v>
      </c>
    </row>
    <row r="35538" ht="16.5" customHeight="1">
      <c r="O35538" s="5" t="s">
        <v>355</v>
      </c>
      <c r="P35538" s="5" t="s">
        <v>355</v>
      </c>
      <c r="Q35538" s="5" t="s">
        <v>355</v>
      </c>
    </row>
    <row r="35539" ht="16.5" customHeight="1">
      <c r="O35539" s="5" t="s">
        <v>355</v>
      </c>
      <c r="P35539" s="5" t="s">
        <v>355</v>
      </c>
      <c r="Q35539" s="5" t="s">
        <v>355</v>
      </c>
    </row>
    <row r="35540" ht="16.5" customHeight="1">
      <c r="O35540" s="5" t="s">
        <v>355</v>
      </c>
      <c r="P35540" s="5" t="s">
        <v>355</v>
      </c>
      <c r="Q35540" s="5" t="s">
        <v>355</v>
      </c>
    </row>
    <row r="35541" ht="16.5" customHeight="1">
      <c r="O35541" s="5" t="s">
        <v>355</v>
      </c>
      <c r="P35541" s="5" t="s">
        <v>355</v>
      </c>
      <c r="Q35541" s="5" t="s">
        <v>355</v>
      </c>
    </row>
    <row r="35542" ht="16.5" customHeight="1">
      <c r="O35542" s="5" t="s">
        <v>355</v>
      </c>
      <c r="P35542" s="5" t="s">
        <v>355</v>
      </c>
      <c r="Q35542" s="5" t="s">
        <v>355</v>
      </c>
    </row>
    <row r="35543" ht="16.5" customHeight="1">
      <c r="O35543" s="5" t="s">
        <v>355</v>
      </c>
      <c r="P35543" s="5" t="s">
        <v>355</v>
      </c>
      <c r="Q35543" s="5" t="s">
        <v>355</v>
      </c>
    </row>
    <row r="35544" ht="16.5" customHeight="1">
      <c r="O35544" s="5" t="s">
        <v>355</v>
      </c>
      <c r="P35544" s="5" t="s">
        <v>355</v>
      </c>
      <c r="Q35544" s="5" t="s">
        <v>355</v>
      </c>
    </row>
    <row r="35545" ht="16.5" customHeight="1">
      <c r="O35545" s="5" t="s">
        <v>355</v>
      </c>
      <c r="P35545" s="5" t="s">
        <v>355</v>
      </c>
      <c r="Q35545" s="5" t="s">
        <v>355</v>
      </c>
    </row>
    <row r="35546" ht="16.5" customHeight="1">
      <c r="O35546" s="5" t="s">
        <v>355</v>
      </c>
      <c r="P35546" s="5" t="s">
        <v>355</v>
      </c>
      <c r="Q35546" s="5" t="s">
        <v>355</v>
      </c>
    </row>
    <row r="35547" ht="16.5" customHeight="1">
      <c r="O35547" s="5" t="s">
        <v>355</v>
      </c>
      <c r="P35547" s="5" t="s">
        <v>355</v>
      </c>
      <c r="Q35547" s="5" t="s">
        <v>355</v>
      </c>
    </row>
    <row r="35548" ht="16.5" customHeight="1">
      <c r="O35548" s="5" t="s">
        <v>355</v>
      </c>
      <c r="P35548" s="5" t="s">
        <v>355</v>
      </c>
      <c r="Q35548" s="5" t="s">
        <v>355</v>
      </c>
    </row>
    <row r="35549" ht="16.5" customHeight="1">
      <c r="O35549" s="5" t="s">
        <v>355</v>
      </c>
      <c r="P35549" s="5" t="s">
        <v>355</v>
      </c>
      <c r="Q35549" s="5" t="s">
        <v>355</v>
      </c>
    </row>
    <row r="35550" ht="16.5" customHeight="1">
      <c r="O35550" s="5" t="s">
        <v>355</v>
      </c>
      <c r="P35550" s="5" t="s">
        <v>355</v>
      </c>
      <c r="Q35550" s="5" t="s">
        <v>355</v>
      </c>
    </row>
    <row r="35551" ht="16.5" customHeight="1">
      <c r="O35551" s="5" t="s">
        <v>355</v>
      </c>
      <c r="P35551" s="5" t="s">
        <v>355</v>
      </c>
      <c r="Q35551" s="5" t="s">
        <v>355</v>
      </c>
    </row>
    <row r="35552" ht="16.5" customHeight="1">
      <c r="O35552" s="5" t="s">
        <v>355</v>
      </c>
      <c r="P35552" s="5" t="s">
        <v>355</v>
      </c>
      <c r="Q35552" s="5" t="s">
        <v>355</v>
      </c>
    </row>
    <row r="35553" ht="16.5" customHeight="1">
      <c r="O35553" s="5" t="s">
        <v>355</v>
      </c>
      <c r="P35553" s="5" t="s">
        <v>355</v>
      </c>
      <c r="Q35553" s="5" t="s">
        <v>355</v>
      </c>
    </row>
    <row r="35554" ht="16.5" customHeight="1">
      <c r="O35554" s="5" t="s">
        <v>355</v>
      </c>
      <c r="P35554" s="5" t="s">
        <v>355</v>
      </c>
      <c r="Q35554" s="5" t="s">
        <v>355</v>
      </c>
    </row>
    <row r="35555" ht="16.5" customHeight="1">
      <c r="O35555" s="5" t="s">
        <v>355</v>
      </c>
      <c r="P35555" s="5" t="s">
        <v>355</v>
      </c>
      <c r="Q35555" s="5" t="s">
        <v>355</v>
      </c>
    </row>
    <row r="35556" ht="16.5" customHeight="1">
      <c r="O35556" s="5" t="s">
        <v>355</v>
      </c>
      <c r="P35556" s="5" t="s">
        <v>355</v>
      </c>
      <c r="Q35556" s="5" t="s">
        <v>355</v>
      </c>
    </row>
    <row r="35557" ht="16.5" customHeight="1">
      <c r="O35557" s="5" t="s">
        <v>355</v>
      </c>
      <c r="P35557" s="5" t="s">
        <v>355</v>
      </c>
      <c r="Q35557" s="5" t="s">
        <v>355</v>
      </c>
    </row>
    <row r="35558" ht="16.5" customHeight="1">
      <c r="O35558" s="5" t="s">
        <v>355</v>
      </c>
      <c r="P35558" s="5" t="s">
        <v>355</v>
      </c>
      <c r="Q35558" s="5" t="s">
        <v>355</v>
      </c>
    </row>
    <row r="35559" ht="16.5" customHeight="1">
      <c r="O35559" s="5" t="s">
        <v>355</v>
      </c>
      <c r="P35559" s="5" t="s">
        <v>355</v>
      </c>
      <c r="Q35559" s="5" t="s">
        <v>355</v>
      </c>
    </row>
    <row r="35560" ht="16.5" customHeight="1">
      <c r="O35560" s="5" t="s">
        <v>355</v>
      </c>
      <c r="P35560" s="5" t="s">
        <v>355</v>
      </c>
      <c r="Q35560" s="5" t="s">
        <v>355</v>
      </c>
    </row>
    <row r="35561" ht="16.5" customHeight="1">
      <c r="O35561" s="5" t="s">
        <v>355</v>
      </c>
      <c r="P35561" s="5" t="s">
        <v>355</v>
      </c>
      <c r="Q35561" s="5" t="s">
        <v>355</v>
      </c>
    </row>
    <row r="35562" ht="16.5" customHeight="1">
      <c r="O35562" s="5" t="s">
        <v>355</v>
      </c>
      <c r="P35562" s="5" t="s">
        <v>355</v>
      </c>
      <c r="Q35562" s="5" t="s">
        <v>355</v>
      </c>
    </row>
    <row r="35563" ht="16.5" customHeight="1">
      <c r="O35563" s="5" t="s">
        <v>355</v>
      </c>
      <c r="P35563" s="5" t="s">
        <v>355</v>
      </c>
      <c r="Q35563" s="5" t="s">
        <v>355</v>
      </c>
    </row>
    <row r="35564" ht="16.5" customHeight="1">
      <c r="O35564" s="5" t="s">
        <v>355</v>
      </c>
      <c r="P35564" s="5" t="s">
        <v>355</v>
      </c>
      <c r="Q35564" s="5" t="s">
        <v>355</v>
      </c>
    </row>
    <row r="35565" ht="16.5" customHeight="1">
      <c r="O35565" s="5" t="s">
        <v>355</v>
      </c>
      <c r="P35565" s="5" t="s">
        <v>355</v>
      </c>
      <c r="Q35565" s="5" t="s">
        <v>355</v>
      </c>
    </row>
    <row r="35566" ht="16.5" customHeight="1">
      <c r="O35566" s="5" t="s">
        <v>355</v>
      </c>
      <c r="P35566" s="5" t="s">
        <v>355</v>
      </c>
      <c r="Q35566" s="5" t="s">
        <v>355</v>
      </c>
    </row>
    <row r="35567" ht="16.5" customHeight="1">
      <c r="O35567" s="5" t="s">
        <v>355</v>
      </c>
      <c r="P35567" s="5" t="s">
        <v>355</v>
      </c>
      <c r="Q35567" s="5" t="s">
        <v>355</v>
      </c>
    </row>
    <row r="35568" ht="16.5" customHeight="1">
      <c r="O35568" s="5" t="s">
        <v>355</v>
      </c>
      <c r="P35568" s="5" t="s">
        <v>355</v>
      </c>
      <c r="Q35568" s="5" t="s">
        <v>355</v>
      </c>
    </row>
    <row r="35569" ht="16.5" customHeight="1">
      <c r="O35569" s="5" t="s">
        <v>355</v>
      </c>
      <c r="P35569" s="5" t="s">
        <v>355</v>
      </c>
      <c r="Q35569" s="5" t="s">
        <v>355</v>
      </c>
    </row>
    <row r="35570" ht="16.5" customHeight="1">
      <c r="O35570" s="5" t="s">
        <v>355</v>
      </c>
      <c r="P35570" s="5" t="s">
        <v>355</v>
      </c>
      <c r="Q35570" s="5" t="s">
        <v>355</v>
      </c>
    </row>
    <row r="35571" ht="16.5" customHeight="1">
      <c r="O35571" s="5" t="s">
        <v>355</v>
      </c>
      <c r="P35571" s="5" t="s">
        <v>355</v>
      </c>
      <c r="Q35571" s="5" t="s">
        <v>355</v>
      </c>
    </row>
    <row r="35572" ht="16.5" customHeight="1">
      <c r="O35572" s="5" t="s">
        <v>355</v>
      </c>
      <c r="P35572" s="5" t="s">
        <v>355</v>
      </c>
      <c r="Q35572" s="5" t="s">
        <v>355</v>
      </c>
    </row>
    <row r="35573" ht="16.5" customHeight="1">
      <c r="O35573" s="5" t="s">
        <v>355</v>
      </c>
      <c r="P35573" s="5" t="s">
        <v>355</v>
      </c>
      <c r="Q35573" s="5" t="s">
        <v>355</v>
      </c>
    </row>
    <row r="35574" ht="16.5" customHeight="1">
      <c r="O35574" s="5" t="s">
        <v>355</v>
      </c>
      <c r="P35574" s="5" t="s">
        <v>355</v>
      </c>
      <c r="Q35574" s="5" t="s">
        <v>355</v>
      </c>
    </row>
    <row r="35575" ht="16.5" customHeight="1">
      <c r="O35575" s="5" t="s">
        <v>355</v>
      </c>
      <c r="P35575" s="5" t="s">
        <v>355</v>
      </c>
      <c r="Q35575" s="5" t="s">
        <v>355</v>
      </c>
    </row>
    <row r="35576" ht="16.5" customHeight="1">
      <c r="O35576" s="5" t="s">
        <v>355</v>
      </c>
      <c r="P35576" s="5" t="s">
        <v>355</v>
      </c>
      <c r="Q35576" s="5" t="s">
        <v>355</v>
      </c>
    </row>
    <row r="35577" ht="16.5" customHeight="1">
      <c r="O35577" s="5" t="s">
        <v>355</v>
      </c>
      <c r="P35577" s="5" t="s">
        <v>355</v>
      </c>
      <c r="Q35577" s="5" t="s">
        <v>355</v>
      </c>
    </row>
    <row r="35578" ht="16.5" customHeight="1">
      <c r="O35578" s="5" t="s">
        <v>355</v>
      </c>
      <c r="P35578" s="5" t="s">
        <v>355</v>
      </c>
      <c r="Q35578" s="5" t="s">
        <v>355</v>
      </c>
    </row>
    <row r="35579" ht="16.5" customHeight="1">
      <c r="O35579" s="5" t="s">
        <v>355</v>
      </c>
      <c r="P35579" s="5" t="s">
        <v>355</v>
      </c>
      <c r="Q35579" s="5" t="s">
        <v>355</v>
      </c>
    </row>
    <row r="35580" ht="16.5" customHeight="1">
      <c r="O35580" s="5" t="s">
        <v>355</v>
      </c>
      <c r="P35580" s="5" t="s">
        <v>355</v>
      </c>
      <c r="Q35580" s="5" t="s">
        <v>355</v>
      </c>
    </row>
    <row r="35581" ht="16.5" customHeight="1">
      <c r="O35581" s="5" t="s">
        <v>355</v>
      </c>
      <c r="P35581" s="5" t="s">
        <v>355</v>
      </c>
      <c r="Q35581" s="5" t="s">
        <v>355</v>
      </c>
    </row>
    <row r="35582" ht="16.5" customHeight="1">
      <c r="O35582" s="5" t="s">
        <v>355</v>
      </c>
      <c r="P35582" s="5" t="s">
        <v>355</v>
      </c>
      <c r="Q35582" s="5" t="s">
        <v>355</v>
      </c>
    </row>
    <row r="35583" ht="16.5" customHeight="1">
      <c r="O35583" s="5" t="s">
        <v>355</v>
      </c>
      <c r="P35583" s="5" t="s">
        <v>355</v>
      </c>
      <c r="Q35583" s="5" t="s">
        <v>355</v>
      </c>
    </row>
    <row r="35584" ht="16.5" customHeight="1">
      <c r="O35584" s="5" t="s">
        <v>355</v>
      </c>
      <c r="P35584" s="5" t="s">
        <v>355</v>
      </c>
      <c r="Q35584" s="5" t="s">
        <v>355</v>
      </c>
    </row>
    <row r="35585" ht="16.5" customHeight="1">
      <c r="O35585" s="5" t="s">
        <v>355</v>
      </c>
      <c r="P35585" s="5" t="s">
        <v>355</v>
      </c>
      <c r="Q35585" s="5" t="s">
        <v>355</v>
      </c>
    </row>
    <row r="35586" ht="16.5" customHeight="1">
      <c r="O35586" s="5" t="s">
        <v>355</v>
      </c>
      <c r="P35586" s="5" t="s">
        <v>355</v>
      </c>
      <c r="Q35586" s="5" t="s">
        <v>355</v>
      </c>
    </row>
    <row r="35587" ht="16.5" customHeight="1">
      <c r="O35587" s="5" t="s">
        <v>355</v>
      </c>
      <c r="P35587" s="5" t="s">
        <v>355</v>
      </c>
      <c r="Q35587" s="5" t="s">
        <v>355</v>
      </c>
    </row>
    <row r="35588" ht="16.5" customHeight="1">
      <c r="O35588" s="5" t="s">
        <v>355</v>
      </c>
      <c r="P35588" s="5" t="s">
        <v>355</v>
      </c>
      <c r="Q35588" s="5" t="s">
        <v>355</v>
      </c>
    </row>
    <row r="35589" ht="16.5" customHeight="1">
      <c r="O35589" s="5" t="s">
        <v>355</v>
      </c>
      <c r="P35589" s="5" t="s">
        <v>355</v>
      </c>
      <c r="Q35589" s="5" t="s">
        <v>355</v>
      </c>
    </row>
    <row r="35590" ht="16.5" customHeight="1">
      <c r="O35590" s="5" t="s">
        <v>355</v>
      </c>
      <c r="P35590" s="5" t="s">
        <v>355</v>
      </c>
      <c r="Q35590" s="5" t="s">
        <v>355</v>
      </c>
    </row>
    <row r="35591" ht="16.5" customHeight="1">
      <c r="O35591" s="5" t="s">
        <v>355</v>
      </c>
      <c r="P35591" s="5" t="s">
        <v>355</v>
      </c>
      <c r="Q35591" s="5" t="s">
        <v>355</v>
      </c>
    </row>
    <row r="35592" ht="16.5" customHeight="1">
      <c r="O35592" s="5" t="s">
        <v>355</v>
      </c>
      <c r="P35592" s="5" t="s">
        <v>355</v>
      </c>
      <c r="Q35592" s="5" t="s">
        <v>355</v>
      </c>
    </row>
    <row r="35593" ht="16.5" customHeight="1">
      <c r="O35593" s="5" t="s">
        <v>355</v>
      </c>
      <c r="P35593" s="5" t="s">
        <v>355</v>
      </c>
      <c r="Q35593" s="5" t="s">
        <v>355</v>
      </c>
    </row>
    <row r="35594" ht="16.5" customHeight="1">
      <c r="O35594" s="5" t="s">
        <v>355</v>
      </c>
      <c r="P35594" s="5" t="s">
        <v>355</v>
      </c>
      <c r="Q35594" s="5" t="s">
        <v>355</v>
      </c>
    </row>
    <row r="35595" ht="16.5" customHeight="1">
      <c r="O35595" s="5" t="s">
        <v>355</v>
      </c>
      <c r="P35595" s="5" t="s">
        <v>355</v>
      </c>
      <c r="Q35595" s="5" t="s">
        <v>355</v>
      </c>
    </row>
    <row r="35596" ht="16.5" customHeight="1">
      <c r="O35596" s="5" t="s">
        <v>355</v>
      </c>
      <c r="P35596" s="5" t="s">
        <v>355</v>
      </c>
      <c r="Q35596" s="5" t="s">
        <v>355</v>
      </c>
    </row>
    <row r="35597" ht="16.5" customHeight="1">
      <c r="O35597" s="5" t="s">
        <v>355</v>
      </c>
      <c r="P35597" s="5" t="s">
        <v>355</v>
      </c>
      <c r="Q35597" s="5" t="s">
        <v>355</v>
      </c>
    </row>
    <row r="35598" ht="16.5" customHeight="1">
      <c r="O35598" s="5" t="s">
        <v>355</v>
      </c>
      <c r="P35598" s="5" t="s">
        <v>355</v>
      </c>
      <c r="Q35598" s="5" t="s">
        <v>355</v>
      </c>
    </row>
    <row r="35599" ht="16.5" customHeight="1">
      <c r="O35599" s="5" t="s">
        <v>355</v>
      </c>
      <c r="P35599" s="5" t="s">
        <v>355</v>
      </c>
      <c r="Q35599" s="5" t="s">
        <v>355</v>
      </c>
    </row>
    <row r="35600" ht="16.5" customHeight="1">
      <c r="O35600" s="5" t="s">
        <v>355</v>
      </c>
      <c r="P35600" s="5" t="s">
        <v>355</v>
      </c>
      <c r="Q35600" s="5" t="s">
        <v>355</v>
      </c>
    </row>
    <row r="35601" ht="16.5" customHeight="1">
      <c r="O35601" s="5" t="s">
        <v>355</v>
      </c>
      <c r="P35601" s="5" t="s">
        <v>355</v>
      </c>
      <c r="Q35601" s="5" t="s">
        <v>355</v>
      </c>
    </row>
    <row r="35602" ht="16.5" customHeight="1">
      <c r="O35602" s="5" t="s">
        <v>355</v>
      </c>
      <c r="P35602" s="5" t="s">
        <v>355</v>
      </c>
      <c r="Q35602" s="5" t="s">
        <v>355</v>
      </c>
    </row>
    <row r="35603" ht="16.5" customHeight="1">
      <c r="O35603" s="5" t="s">
        <v>355</v>
      </c>
      <c r="P35603" s="5" t="s">
        <v>355</v>
      </c>
      <c r="Q35603" s="5" t="s">
        <v>355</v>
      </c>
    </row>
    <row r="35604" ht="16.5" customHeight="1">
      <c r="O35604" s="5" t="s">
        <v>355</v>
      </c>
      <c r="P35604" s="5" t="s">
        <v>355</v>
      </c>
      <c r="Q35604" s="5" t="s">
        <v>355</v>
      </c>
    </row>
    <row r="35605" ht="16.5" customHeight="1">
      <c r="O35605" s="5" t="s">
        <v>355</v>
      </c>
      <c r="P35605" s="5" t="s">
        <v>355</v>
      </c>
      <c r="Q35605" s="5" t="s">
        <v>355</v>
      </c>
    </row>
    <row r="35606" ht="16.5" customHeight="1">
      <c r="O35606" s="5" t="s">
        <v>355</v>
      </c>
      <c r="P35606" s="5" t="s">
        <v>355</v>
      </c>
      <c r="Q35606" s="5" t="s">
        <v>355</v>
      </c>
    </row>
    <row r="35607" ht="16.5" customHeight="1">
      <c r="O35607" s="5" t="s">
        <v>355</v>
      </c>
      <c r="P35607" s="5" t="s">
        <v>355</v>
      </c>
      <c r="Q35607" s="5" t="s">
        <v>355</v>
      </c>
    </row>
    <row r="35608" ht="16.5" customHeight="1">
      <c r="O35608" s="5" t="s">
        <v>355</v>
      </c>
      <c r="P35608" s="5" t="s">
        <v>355</v>
      </c>
      <c r="Q35608" s="5" t="s">
        <v>355</v>
      </c>
    </row>
    <row r="35609" ht="16.5" customHeight="1">
      <c r="O35609" s="5" t="s">
        <v>355</v>
      </c>
      <c r="P35609" s="5" t="s">
        <v>355</v>
      </c>
      <c r="Q35609" s="5" t="s">
        <v>355</v>
      </c>
    </row>
    <row r="35610" ht="16.5" customHeight="1">
      <c r="O35610" s="5" t="s">
        <v>355</v>
      </c>
      <c r="P35610" s="5" t="s">
        <v>355</v>
      </c>
      <c r="Q35610" s="5" t="s">
        <v>355</v>
      </c>
    </row>
    <row r="35611" ht="16.5" customHeight="1">
      <c r="O35611" s="5" t="s">
        <v>355</v>
      </c>
      <c r="P35611" s="5" t="s">
        <v>355</v>
      </c>
      <c r="Q35611" s="5" t="s">
        <v>355</v>
      </c>
    </row>
    <row r="35612" ht="16.5" customHeight="1">
      <c r="O35612" s="5" t="s">
        <v>355</v>
      </c>
      <c r="P35612" s="5" t="s">
        <v>355</v>
      </c>
      <c r="Q35612" s="5" t="s">
        <v>355</v>
      </c>
    </row>
    <row r="35613" ht="16.5" customHeight="1">
      <c r="O35613" s="5" t="s">
        <v>355</v>
      </c>
      <c r="P35613" s="5" t="s">
        <v>355</v>
      </c>
      <c r="Q35613" s="5" t="s">
        <v>355</v>
      </c>
    </row>
    <row r="35614" ht="16.5" customHeight="1">
      <c r="O35614" s="5" t="s">
        <v>355</v>
      </c>
      <c r="P35614" s="5" t="s">
        <v>355</v>
      </c>
      <c r="Q35614" s="5" t="s">
        <v>355</v>
      </c>
    </row>
    <row r="35615" ht="16.5" customHeight="1">
      <c r="O35615" s="5" t="s">
        <v>355</v>
      </c>
      <c r="P35615" s="5" t="s">
        <v>355</v>
      </c>
      <c r="Q35615" s="5" t="s">
        <v>355</v>
      </c>
    </row>
    <row r="35616" ht="16.5" customHeight="1">
      <c r="O35616" s="5" t="s">
        <v>355</v>
      </c>
      <c r="P35616" s="5" t="s">
        <v>355</v>
      </c>
      <c r="Q35616" s="5" t="s">
        <v>355</v>
      </c>
    </row>
    <row r="35617" ht="16.5" customHeight="1">
      <c r="O35617" s="5" t="s">
        <v>355</v>
      </c>
      <c r="P35617" s="5" t="s">
        <v>355</v>
      </c>
      <c r="Q35617" s="5" t="s">
        <v>355</v>
      </c>
    </row>
    <row r="35618" ht="16.5" customHeight="1">
      <c r="O35618" s="5" t="s">
        <v>355</v>
      </c>
      <c r="P35618" s="5" t="s">
        <v>355</v>
      </c>
      <c r="Q35618" s="5" t="s">
        <v>355</v>
      </c>
    </row>
    <row r="35619" ht="16.5" customHeight="1">
      <c r="O35619" s="5" t="s">
        <v>355</v>
      </c>
      <c r="P35619" s="5" t="s">
        <v>355</v>
      </c>
      <c r="Q35619" s="5" t="s">
        <v>355</v>
      </c>
    </row>
    <row r="35620" ht="16.5" customHeight="1">
      <c r="O35620" s="5" t="s">
        <v>355</v>
      </c>
      <c r="P35620" s="5" t="s">
        <v>355</v>
      </c>
      <c r="Q35620" s="5" t="s">
        <v>355</v>
      </c>
    </row>
    <row r="35621" ht="16.5" customHeight="1">
      <c r="O35621" s="5" t="s">
        <v>355</v>
      </c>
      <c r="P35621" s="5" t="s">
        <v>355</v>
      </c>
      <c r="Q35621" s="5" t="s">
        <v>355</v>
      </c>
    </row>
    <row r="35622" ht="16.5" customHeight="1">
      <c r="O35622" s="5" t="s">
        <v>355</v>
      </c>
      <c r="P35622" s="5" t="s">
        <v>355</v>
      </c>
      <c r="Q35622" s="5" t="s">
        <v>355</v>
      </c>
    </row>
    <row r="35623" ht="16.5" customHeight="1">
      <c r="O35623" s="5" t="s">
        <v>355</v>
      </c>
      <c r="P35623" s="5" t="s">
        <v>355</v>
      </c>
      <c r="Q35623" s="5" t="s">
        <v>355</v>
      </c>
    </row>
    <row r="35624" ht="16.5" customHeight="1">
      <c r="O35624" s="5" t="s">
        <v>355</v>
      </c>
      <c r="P35624" s="5" t="s">
        <v>355</v>
      </c>
      <c r="Q35624" s="5" t="s">
        <v>355</v>
      </c>
    </row>
    <row r="35625" ht="16.5" customHeight="1">
      <c r="O35625" s="5" t="s">
        <v>355</v>
      </c>
      <c r="P35625" s="5" t="s">
        <v>355</v>
      </c>
      <c r="Q35625" s="5" t="s">
        <v>355</v>
      </c>
    </row>
    <row r="35626" ht="16.5" customHeight="1">
      <c r="O35626" s="5" t="s">
        <v>355</v>
      </c>
      <c r="P35626" s="5" t="s">
        <v>355</v>
      </c>
      <c r="Q35626" s="5" t="s">
        <v>355</v>
      </c>
    </row>
    <row r="35627" ht="16.5" customHeight="1">
      <c r="O35627" s="5" t="s">
        <v>355</v>
      </c>
      <c r="P35627" s="5" t="s">
        <v>355</v>
      </c>
      <c r="Q35627" s="5" t="s">
        <v>355</v>
      </c>
    </row>
    <row r="35628" ht="16.5" customHeight="1">
      <c r="O35628" s="5" t="s">
        <v>355</v>
      </c>
      <c r="P35628" s="5" t="s">
        <v>355</v>
      </c>
      <c r="Q35628" s="5" t="s">
        <v>355</v>
      </c>
    </row>
    <row r="35629" ht="16.5" customHeight="1">
      <c r="O35629" s="5" t="s">
        <v>355</v>
      </c>
      <c r="P35629" s="5" t="s">
        <v>355</v>
      </c>
      <c r="Q35629" s="5" t="s">
        <v>355</v>
      </c>
    </row>
    <row r="35630" ht="16.5" customHeight="1">
      <c r="O35630" s="5" t="s">
        <v>355</v>
      </c>
      <c r="P35630" s="5" t="s">
        <v>355</v>
      </c>
      <c r="Q35630" s="5" t="s">
        <v>355</v>
      </c>
    </row>
    <row r="35631" ht="16.5" customHeight="1">
      <c r="O35631" s="5" t="s">
        <v>355</v>
      </c>
      <c r="P35631" s="5" t="s">
        <v>355</v>
      </c>
      <c r="Q35631" s="5" t="s">
        <v>355</v>
      </c>
    </row>
    <row r="35632" ht="16.5" customHeight="1">
      <c r="O35632" s="5" t="s">
        <v>355</v>
      </c>
      <c r="P35632" s="5" t="s">
        <v>355</v>
      </c>
      <c r="Q35632" s="5" t="s">
        <v>355</v>
      </c>
    </row>
    <row r="35633" ht="16.5" customHeight="1">
      <c r="O35633" s="5" t="s">
        <v>355</v>
      </c>
      <c r="P35633" s="5" t="s">
        <v>355</v>
      </c>
      <c r="Q35633" s="5" t="s">
        <v>355</v>
      </c>
    </row>
    <row r="35634" ht="16.5" customHeight="1">
      <c r="O35634" s="5" t="s">
        <v>355</v>
      </c>
      <c r="P35634" s="5" t="s">
        <v>355</v>
      </c>
      <c r="Q35634" s="5" t="s">
        <v>355</v>
      </c>
    </row>
    <row r="35635" ht="16.5" customHeight="1">
      <c r="O35635" s="5" t="s">
        <v>355</v>
      </c>
      <c r="P35635" s="5" t="s">
        <v>355</v>
      </c>
      <c r="Q35635" s="5" t="s">
        <v>355</v>
      </c>
    </row>
    <row r="35636" ht="16.5" customHeight="1">
      <c r="O35636" s="5" t="s">
        <v>355</v>
      </c>
      <c r="P35636" s="5" t="s">
        <v>355</v>
      </c>
      <c r="Q35636" s="5" t="s">
        <v>355</v>
      </c>
    </row>
    <row r="35637" ht="16.5" customHeight="1">
      <c r="O35637" s="5" t="s">
        <v>355</v>
      </c>
      <c r="P35637" s="5" t="s">
        <v>355</v>
      </c>
      <c r="Q35637" s="5" t="s">
        <v>355</v>
      </c>
    </row>
    <row r="35638" ht="16.5" customHeight="1">
      <c r="O35638" s="5" t="s">
        <v>355</v>
      </c>
      <c r="P35638" s="5" t="s">
        <v>355</v>
      </c>
      <c r="Q35638" s="5" t="s">
        <v>355</v>
      </c>
    </row>
    <row r="35639" ht="16.5" customHeight="1">
      <c r="O35639" s="5" t="s">
        <v>355</v>
      </c>
      <c r="P35639" s="5" t="s">
        <v>355</v>
      </c>
      <c r="Q35639" s="5" t="s">
        <v>355</v>
      </c>
    </row>
    <row r="35640" ht="16.5" customHeight="1">
      <c r="O35640" s="5" t="s">
        <v>355</v>
      </c>
      <c r="P35640" s="5" t="s">
        <v>355</v>
      </c>
      <c r="Q35640" s="5" t="s">
        <v>355</v>
      </c>
    </row>
    <row r="35641" ht="16.5" customHeight="1">
      <c r="O35641" s="5" t="s">
        <v>355</v>
      </c>
      <c r="P35641" s="5" t="s">
        <v>355</v>
      </c>
      <c r="Q35641" s="5" t="s">
        <v>355</v>
      </c>
    </row>
    <row r="35642" ht="16.5" customHeight="1">
      <c r="O35642" s="5" t="s">
        <v>355</v>
      </c>
      <c r="P35642" s="5" t="s">
        <v>355</v>
      </c>
      <c r="Q35642" s="5" t="s">
        <v>355</v>
      </c>
    </row>
    <row r="35643" ht="16.5" customHeight="1">
      <c r="O35643" s="5" t="s">
        <v>355</v>
      </c>
      <c r="P35643" s="5" t="s">
        <v>355</v>
      </c>
      <c r="Q35643" s="5" t="s">
        <v>355</v>
      </c>
    </row>
    <row r="35644" ht="16.5" customHeight="1">
      <c r="O35644" s="5" t="s">
        <v>355</v>
      </c>
      <c r="P35644" s="5" t="s">
        <v>355</v>
      </c>
      <c r="Q35644" s="5" t="s">
        <v>355</v>
      </c>
    </row>
    <row r="35645" ht="16.5" customHeight="1">
      <c r="O35645" s="5" t="s">
        <v>355</v>
      </c>
      <c r="P35645" s="5" t="s">
        <v>355</v>
      </c>
      <c r="Q35645" s="5" t="s">
        <v>355</v>
      </c>
    </row>
    <row r="35646" ht="16.5" customHeight="1">
      <c r="O35646" s="5" t="s">
        <v>355</v>
      </c>
      <c r="P35646" s="5" t="s">
        <v>355</v>
      </c>
      <c r="Q35646" s="5" t="s">
        <v>355</v>
      </c>
    </row>
    <row r="35647" ht="16.5" customHeight="1">
      <c r="O35647" s="5" t="s">
        <v>355</v>
      </c>
      <c r="P35647" s="5" t="s">
        <v>355</v>
      </c>
      <c r="Q35647" s="5" t="s">
        <v>355</v>
      </c>
    </row>
    <row r="35648" ht="16.5" customHeight="1">
      <c r="O35648" s="5" t="s">
        <v>355</v>
      </c>
      <c r="P35648" s="5" t="s">
        <v>355</v>
      </c>
      <c r="Q35648" s="5" t="s">
        <v>355</v>
      </c>
    </row>
    <row r="35649" ht="16.5" customHeight="1">
      <c r="O35649" s="5" t="s">
        <v>355</v>
      </c>
      <c r="P35649" s="5" t="s">
        <v>355</v>
      </c>
      <c r="Q35649" s="5" t="s">
        <v>355</v>
      </c>
    </row>
    <row r="35650" ht="16.5" customHeight="1">
      <c r="O35650" s="5" t="s">
        <v>355</v>
      </c>
      <c r="P35650" s="5" t="s">
        <v>355</v>
      </c>
      <c r="Q35650" s="5" t="s">
        <v>355</v>
      </c>
    </row>
    <row r="35651" ht="16.5" customHeight="1">
      <c r="O35651" s="5" t="s">
        <v>355</v>
      </c>
      <c r="P35651" s="5" t="s">
        <v>355</v>
      </c>
      <c r="Q35651" s="5" t="s">
        <v>355</v>
      </c>
    </row>
    <row r="35652" ht="16.5" customHeight="1">
      <c r="O35652" s="5" t="s">
        <v>355</v>
      </c>
      <c r="P35652" s="5" t="s">
        <v>355</v>
      </c>
      <c r="Q35652" s="5" t="s">
        <v>355</v>
      </c>
    </row>
    <row r="35653" ht="16.5" customHeight="1">
      <c r="O35653" s="5" t="s">
        <v>355</v>
      </c>
      <c r="P35653" s="5" t="s">
        <v>355</v>
      </c>
      <c r="Q35653" s="5" t="s">
        <v>355</v>
      </c>
    </row>
    <row r="35654" ht="16.5" customHeight="1">
      <c r="O35654" s="5" t="s">
        <v>355</v>
      </c>
      <c r="P35654" s="5" t="s">
        <v>355</v>
      </c>
      <c r="Q35654" s="5" t="s">
        <v>355</v>
      </c>
    </row>
    <row r="35655" ht="16.5" customHeight="1">
      <c r="O35655" s="5" t="s">
        <v>355</v>
      </c>
      <c r="P35655" s="5" t="s">
        <v>355</v>
      </c>
      <c r="Q35655" s="5" t="s">
        <v>355</v>
      </c>
    </row>
    <row r="35656" ht="16.5" customHeight="1">
      <c r="O35656" s="5" t="s">
        <v>355</v>
      </c>
      <c r="P35656" s="5" t="s">
        <v>355</v>
      </c>
      <c r="Q35656" s="5" t="s">
        <v>355</v>
      </c>
    </row>
    <row r="35657" ht="16.5" customHeight="1">
      <c r="O35657" s="5" t="s">
        <v>355</v>
      </c>
      <c r="P35657" s="5" t="s">
        <v>355</v>
      </c>
      <c r="Q35657" s="5" t="s">
        <v>355</v>
      </c>
    </row>
    <row r="35658" ht="16.5" customHeight="1">
      <c r="O35658" s="5" t="s">
        <v>355</v>
      </c>
      <c r="P35658" s="5" t="s">
        <v>355</v>
      </c>
      <c r="Q35658" s="5" t="s">
        <v>355</v>
      </c>
    </row>
    <row r="35659" ht="16.5" customHeight="1">
      <c r="O35659" s="5" t="s">
        <v>355</v>
      </c>
      <c r="P35659" s="5" t="s">
        <v>355</v>
      </c>
      <c r="Q35659" s="5" t="s">
        <v>355</v>
      </c>
    </row>
    <row r="35660" ht="16.5" customHeight="1">
      <c r="O35660" s="5" t="s">
        <v>355</v>
      </c>
      <c r="P35660" s="5" t="s">
        <v>355</v>
      </c>
      <c r="Q35660" s="5" t="s">
        <v>355</v>
      </c>
    </row>
    <row r="35661" ht="16.5" customHeight="1">
      <c r="O35661" s="5" t="s">
        <v>355</v>
      </c>
      <c r="P35661" s="5" t="s">
        <v>355</v>
      </c>
      <c r="Q35661" s="5" t="s">
        <v>355</v>
      </c>
    </row>
    <row r="35662" ht="16.5" customHeight="1">
      <c r="O35662" s="5" t="s">
        <v>355</v>
      </c>
      <c r="P35662" s="5" t="s">
        <v>355</v>
      </c>
      <c r="Q35662" s="5" t="s">
        <v>355</v>
      </c>
    </row>
    <row r="35663" ht="16.5" customHeight="1">
      <c r="O35663" s="5" t="s">
        <v>355</v>
      </c>
      <c r="P35663" s="5" t="s">
        <v>355</v>
      </c>
      <c r="Q35663" s="5" t="s">
        <v>355</v>
      </c>
    </row>
    <row r="35664" ht="16.5" customHeight="1">
      <c r="O35664" s="5" t="s">
        <v>355</v>
      </c>
      <c r="P35664" s="5" t="s">
        <v>355</v>
      </c>
      <c r="Q35664" s="5" t="s">
        <v>355</v>
      </c>
    </row>
    <row r="35665" ht="16.5" customHeight="1">
      <c r="O35665" s="5" t="s">
        <v>355</v>
      </c>
      <c r="P35665" s="5" t="s">
        <v>355</v>
      </c>
      <c r="Q35665" s="5" t="s">
        <v>355</v>
      </c>
    </row>
    <row r="35666" ht="16.5" customHeight="1">
      <c r="O35666" s="5" t="s">
        <v>355</v>
      </c>
      <c r="P35666" s="5" t="s">
        <v>355</v>
      </c>
      <c r="Q35666" s="5" t="s">
        <v>355</v>
      </c>
    </row>
    <row r="35667" ht="16.5" customHeight="1">
      <c r="O35667" s="5" t="s">
        <v>355</v>
      </c>
      <c r="P35667" s="5" t="s">
        <v>355</v>
      </c>
      <c r="Q35667" s="5" t="s">
        <v>355</v>
      </c>
    </row>
    <row r="35668" ht="16.5" customHeight="1">
      <c r="O35668" s="5" t="s">
        <v>355</v>
      </c>
      <c r="P35668" s="5" t="s">
        <v>355</v>
      </c>
      <c r="Q35668" s="5" t="s">
        <v>355</v>
      </c>
    </row>
    <row r="35669" ht="16.5" customHeight="1">
      <c r="O35669" s="5" t="s">
        <v>355</v>
      </c>
      <c r="P35669" s="5" t="s">
        <v>355</v>
      </c>
      <c r="Q35669" s="5" t="s">
        <v>355</v>
      </c>
    </row>
    <row r="35670" ht="16.5" customHeight="1">
      <c r="O35670" s="5" t="s">
        <v>355</v>
      </c>
      <c r="P35670" s="5" t="s">
        <v>355</v>
      </c>
      <c r="Q35670" s="5" t="s">
        <v>355</v>
      </c>
    </row>
    <row r="35671" ht="16.5" customHeight="1">
      <c r="O35671" s="5" t="s">
        <v>355</v>
      </c>
      <c r="P35671" s="5" t="s">
        <v>355</v>
      </c>
      <c r="Q35671" s="5" t="s">
        <v>355</v>
      </c>
    </row>
    <row r="35672" ht="16.5" customHeight="1">
      <c r="O35672" s="5" t="s">
        <v>355</v>
      </c>
      <c r="P35672" s="5" t="s">
        <v>355</v>
      </c>
      <c r="Q35672" s="5" t="s">
        <v>355</v>
      </c>
    </row>
    <row r="35673" ht="16.5" customHeight="1">
      <c r="O35673" s="5" t="s">
        <v>355</v>
      </c>
      <c r="P35673" s="5" t="s">
        <v>355</v>
      </c>
      <c r="Q35673" s="5" t="s">
        <v>355</v>
      </c>
    </row>
    <row r="35674" ht="16.5" customHeight="1">
      <c r="O35674" s="5" t="s">
        <v>355</v>
      </c>
      <c r="P35674" s="5" t="s">
        <v>355</v>
      </c>
      <c r="Q35674" s="5" t="s">
        <v>355</v>
      </c>
    </row>
    <row r="35675" ht="16.5" customHeight="1">
      <c r="O35675" s="5" t="s">
        <v>355</v>
      </c>
      <c r="P35675" s="5" t="s">
        <v>355</v>
      </c>
      <c r="Q35675" s="5" t="s">
        <v>355</v>
      </c>
    </row>
    <row r="35676" ht="16.5" customHeight="1">
      <c r="O35676" s="5" t="s">
        <v>355</v>
      </c>
      <c r="P35676" s="5" t="s">
        <v>355</v>
      </c>
      <c r="Q35676" s="5" t="s">
        <v>355</v>
      </c>
    </row>
    <row r="35677" ht="16.5" customHeight="1">
      <c r="O35677" s="5" t="s">
        <v>355</v>
      </c>
      <c r="P35677" s="5" t="s">
        <v>355</v>
      </c>
      <c r="Q35677" s="5" t="s">
        <v>355</v>
      </c>
    </row>
    <row r="35678" ht="16.5" customHeight="1">
      <c r="O35678" s="5" t="s">
        <v>355</v>
      </c>
      <c r="P35678" s="5" t="s">
        <v>355</v>
      </c>
      <c r="Q35678" s="5" t="s">
        <v>355</v>
      </c>
    </row>
    <row r="35679" ht="16.5" customHeight="1">
      <c r="O35679" s="5" t="s">
        <v>355</v>
      </c>
      <c r="P35679" s="5" t="s">
        <v>355</v>
      </c>
      <c r="Q35679" s="5" t="s">
        <v>355</v>
      </c>
    </row>
    <row r="35680" ht="16.5" customHeight="1">
      <c r="O35680" s="5" t="s">
        <v>355</v>
      </c>
      <c r="P35680" s="5" t="s">
        <v>355</v>
      </c>
      <c r="Q35680" s="5" t="s">
        <v>355</v>
      </c>
    </row>
    <row r="35681" ht="16.5" customHeight="1">
      <c r="O35681" s="5" t="s">
        <v>355</v>
      </c>
      <c r="P35681" s="5" t="s">
        <v>355</v>
      </c>
      <c r="Q35681" s="5" t="s">
        <v>355</v>
      </c>
    </row>
    <row r="35682" ht="16.5" customHeight="1">
      <c r="O35682" s="5" t="s">
        <v>355</v>
      </c>
      <c r="P35682" s="5" t="s">
        <v>355</v>
      </c>
      <c r="Q35682" s="5" t="s">
        <v>355</v>
      </c>
    </row>
    <row r="35683" ht="16.5" customHeight="1">
      <c r="O35683" s="5" t="s">
        <v>355</v>
      </c>
      <c r="P35683" s="5" t="s">
        <v>355</v>
      </c>
      <c r="Q35683" s="5" t="s">
        <v>355</v>
      </c>
    </row>
    <row r="35684" ht="16.5" customHeight="1">
      <c r="O35684" s="5" t="s">
        <v>355</v>
      </c>
      <c r="P35684" s="5" t="s">
        <v>355</v>
      </c>
      <c r="Q35684" s="5" t="s">
        <v>355</v>
      </c>
    </row>
    <row r="35685" ht="16.5" customHeight="1">
      <c r="O35685" s="5" t="s">
        <v>355</v>
      </c>
      <c r="P35685" s="5" t="s">
        <v>355</v>
      </c>
      <c r="Q35685" s="5" t="s">
        <v>355</v>
      </c>
    </row>
    <row r="35686" ht="16.5" customHeight="1">
      <c r="O35686" s="5" t="s">
        <v>355</v>
      </c>
      <c r="P35686" s="5" t="s">
        <v>355</v>
      </c>
      <c r="Q35686" s="5" t="s">
        <v>355</v>
      </c>
    </row>
    <row r="35687" ht="16.5" customHeight="1">
      <c r="O35687" s="5" t="s">
        <v>355</v>
      </c>
      <c r="P35687" s="5" t="s">
        <v>355</v>
      </c>
      <c r="Q35687" s="5" t="s">
        <v>355</v>
      </c>
    </row>
    <row r="35688" ht="16.5" customHeight="1">
      <c r="O35688" s="5" t="s">
        <v>355</v>
      </c>
      <c r="P35688" s="5" t="s">
        <v>355</v>
      </c>
      <c r="Q35688" s="5" t="s">
        <v>355</v>
      </c>
    </row>
    <row r="35689" ht="16.5" customHeight="1">
      <c r="O35689" s="5" t="s">
        <v>355</v>
      </c>
      <c r="P35689" s="5" t="s">
        <v>355</v>
      </c>
      <c r="Q35689" s="5" t="s">
        <v>355</v>
      </c>
    </row>
    <row r="35690" ht="16.5" customHeight="1">
      <c r="O35690" s="5" t="s">
        <v>355</v>
      </c>
      <c r="P35690" s="5" t="s">
        <v>355</v>
      </c>
      <c r="Q35690" s="5" t="s">
        <v>355</v>
      </c>
    </row>
    <row r="35691" ht="16.5" customHeight="1">
      <c r="O35691" s="5" t="s">
        <v>355</v>
      </c>
      <c r="P35691" s="5" t="s">
        <v>355</v>
      </c>
      <c r="Q35691" s="5" t="s">
        <v>355</v>
      </c>
    </row>
    <row r="35692" ht="16.5" customHeight="1">
      <c r="O35692" s="5" t="s">
        <v>355</v>
      </c>
      <c r="P35692" s="5" t="s">
        <v>355</v>
      </c>
      <c r="Q35692" s="5" t="s">
        <v>355</v>
      </c>
    </row>
    <row r="35693" ht="16.5" customHeight="1">
      <c r="O35693" s="5" t="s">
        <v>355</v>
      </c>
      <c r="P35693" s="5" t="s">
        <v>355</v>
      </c>
      <c r="Q35693" s="5" t="s">
        <v>355</v>
      </c>
    </row>
    <row r="35694" ht="16.5" customHeight="1">
      <c r="O35694" s="5" t="s">
        <v>355</v>
      </c>
      <c r="P35694" s="5" t="s">
        <v>355</v>
      </c>
      <c r="Q35694" s="5" t="s">
        <v>355</v>
      </c>
    </row>
    <row r="35695" ht="16.5" customHeight="1">
      <c r="O35695" s="5" t="s">
        <v>355</v>
      </c>
      <c r="P35695" s="5" t="s">
        <v>355</v>
      </c>
      <c r="Q35695" s="5" t="s">
        <v>355</v>
      </c>
    </row>
    <row r="35696" ht="16.5" customHeight="1">
      <c r="O35696" s="5" t="s">
        <v>355</v>
      </c>
      <c r="P35696" s="5" t="s">
        <v>355</v>
      </c>
      <c r="Q35696" s="5" t="s">
        <v>355</v>
      </c>
    </row>
    <row r="35697" ht="16.5" customHeight="1">
      <c r="O35697" s="5" t="s">
        <v>355</v>
      </c>
      <c r="P35697" s="5" t="s">
        <v>355</v>
      </c>
      <c r="Q35697" s="5" t="s">
        <v>355</v>
      </c>
    </row>
    <row r="35698" ht="16.5" customHeight="1">
      <c r="O35698" s="5" t="s">
        <v>355</v>
      </c>
      <c r="P35698" s="5" t="s">
        <v>355</v>
      </c>
      <c r="Q35698" s="5" t="s">
        <v>355</v>
      </c>
    </row>
    <row r="35699" ht="16.5" customHeight="1">
      <c r="O35699" s="5" t="s">
        <v>355</v>
      </c>
      <c r="P35699" s="5" t="s">
        <v>355</v>
      </c>
      <c r="Q35699" s="5" t="s">
        <v>355</v>
      </c>
    </row>
    <row r="35700" ht="16.5" customHeight="1">
      <c r="O35700" s="5" t="s">
        <v>355</v>
      </c>
      <c r="P35700" s="5" t="s">
        <v>355</v>
      </c>
      <c r="Q35700" s="5" t="s">
        <v>355</v>
      </c>
    </row>
    <row r="35701" ht="16.5" customHeight="1">
      <c r="O35701" s="5" t="s">
        <v>355</v>
      </c>
      <c r="P35701" s="5" t="s">
        <v>355</v>
      </c>
      <c r="Q35701" s="5" t="s">
        <v>355</v>
      </c>
    </row>
    <row r="35702" ht="16.5" customHeight="1">
      <c r="O35702" s="5" t="s">
        <v>355</v>
      </c>
      <c r="P35702" s="5" t="s">
        <v>355</v>
      </c>
      <c r="Q35702" s="5" t="s">
        <v>355</v>
      </c>
    </row>
    <row r="35703" ht="16.5" customHeight="1">
      <c r="O35703" s="5" t="s">
        <v>355</v>
      </c>
      <c r="P35703" s="5" t="s">
        <v>355</v>
      </c>
      <c r="Q35703" s="5" t="s">
        <v>355</v>
      </c>
    </row>
    <row r="35704" ht="16.5" customHeight="1">
      <c r="O35704" s="5" t="s">
        <v>355</v>
      </c>
      <c r="P35704" s="5" t="s">
        <v>355</v>
      </c>
      <c r="Q35704" s="5" t="s">
        <v>355</v>
      </c>
    </row>
    <row r="35705" ht="16.5" customHeight="1">
      <c r="O35705" s="5" t="s">
        <v>355</v>
      </c>
      <c r="P35705" s="5" t="s">
        <v>355</v>
      </c>
      <c r="Q35705" s="5" t="s">
        <v>355</v>
      </c>
    </row>
    <row r="35706" ht="16.5" customHeight="1">
      <c r="O35706" s="5" t="s">
        <v>355</v>
      </c>
      <c r="P35706" s="5" t="s">
        <v>355</v>
      </c>
      <c r="Q35706" s="5" t="s">
        <v>355</v>
      </c>
    </row>
    <row r="35707" ht="16.5" customHeight="1">
      <c r="O35707" s="5" t="s">
        <v>355</v>
      </c>
      <c r="P35707" s="5" t="s">
        <v>355</v>
      </c>
      <c r="Q35707" s="5" t="s">
        <v>355</v>
      </c>
    </row>
    <row r="35708" ht="16.5" customHeight="1">
      <c r="O35708" s="5" t="s">
        <v>355</v>
      </c>
      <c r="P35708" s="5" t="s">
        <v>355</v>
      </c>
      <c r="Q35708" s="5" t="s">
        <v>355</v>
      </c>
    </row>
    <row r="35709" ht="16.5" customHeight="1">
      <c r="O35709" s="5" t="s">
        <v>355</v>
      </c>
      <c r="P35709" s="5" t="s">
        <v>355</v>
      </c>
      <c r="Q35709" s="5" t="s">
        <v>355</v>
      </c>
    </row>
    <row r="35710" ht="16.5" customHeight="1">
      <c r="O35710" s="5" t="s">
        <v>355</v>
      </c>
      <c r="P35710" s="5" t="s">
        <v>355</v>
      </c>
      <c r="Q35710" s="5" t="s">
        <v>355</v>
      </c>
    </row>
    <row r="35711" ht="16.5" customHeight="1">
      <c r="O35711" s="5" t="s">
        <v>355</v>
      </c>
      <c r="P35711" s="5" t="s">
        <v>355</v>
      </c>
      <c r="Q35711" s="5" t="s">
        <v>355</v>
      </c>
    </row>
    <row r="35712" ht="16.5" customHeight="1">
      <c r="O35712" s="5" t="s">
        <v>355</v>
      </c>
      <c r="P35712" s="5" t="s">
        <v>355</v>
      </c>
      <c r="Q35712" s="5" t="s">
        <v>355</v>
      </c>
    </row>
    <row r="35713" ht="16.5" customHeight="1">
      <c r="O35713" s="5" t="s">
        <v>355</v>
      </c>
      <c r="P35713" s="5" t="s">
        <v>355</v>
      </c>
      <c r="Q35713" s="5" t="s">
        <v>355</v>
      </c>
    </row>
    <row r="35714" ht="16.5" customHeight="1">
      <c r="O35714" s="5" t="s">
        <v>355</v>
      </c>
      <c r="P35714" s="5" t="s">
        <v>355</v>
      </c>
      <c r="Q35714" s="5" t="s">
        <v>355</v>
      </c>
    </row>
    <row r="35715" ht="16.5" customHeight="1">
      <c r="O35715" s="5" t="s">
        <v>355</v>
      </c>
      <c r="P35715" s="5" t="s">
        <v>355</v>
      </c>
      <c r="Q35715" s="5" t="s">
        <v>355</v>
      </c>
    </row>
    <row r="35716" ht="16.5" customHeight="1">
      <c r="O35716" s="5" t="s">
        <v>355</v>
      </c>
      <c r="P35716" s="5" t="s">
        <v>355</v>
      </c>
      <c r="Q35716" s="5" t="s">
        <v>355</v>
      </c>
    </row>
    <row r="35717" ht="16.5" customHeight="1">
      <c r="O35717" s="5" t="s">
        <v>355</v>
      </c>
      <c r="P35717" s="5" t="s">
        <v>355</v>
      </c>
      <c r="Q35717" s="5" t="s">
        <v>355</v>
      </c>
    </row>
    <row r="35718" ht="16.5" customHeight="1">
      <c r="O35718" s="5" t="s">
        <v>355</v>
      </c>
      <c r="P35718" s="5" t="s">
        <v>355</v>
      </c>
      <c r="Q35718" s="5" t="s">
        <v>355</v>
      </c>
    </row>
    <row r="35719" ht="16.5" customHeight="1">
      <c r="O35719" s="5" t="s">
        <v>355</v>
      </c>
      <c r="P35719" s="5" t="s">
        <v>355</v>
      </c>
      <c r="Q35719" s="5" t="s">
        <v>355</v>
      </c>
    </row>
    <row r="35720" ht="16.5" customHeight="1">
      <c r="O35720" s="5" t="s">
        <v>355</v>
      </c>
      <c r="P35720" s="5" t="s">
        <v>355</v>
      </c>
      <c r="Q35720" s="5" t="s">
        <v>355</v>
      </c>
    </row>
    <row r="35721" ht="16.5" customHeight="1">
      <c r="O35721" s="5" t="s">
        <v>355</v>
      </c>
      <c r="P35721" s="5" t="s">
        <v>355</v>
      </c>
      <c r="Q35721" s="5" t="s">
        <v>355</v>
      </c>
    </row>
    <row r="35722" ht="16.5" customHeight="1">
      <c r="O35722" s="5" t="s">
        <v>355</v>
      </c>
      <c r="P35722" s="5" t="s">
        <v>355</v>
      </c>
      <c r="Q35722" s="5" t="s">
        <v>355</v>
      </c>
    </row>
    <row r="35723" ht="16.5" customHeight="1">
      <c r="O35723" s="5" t="s">
        <v>355</v>
      </c>
      <c r="P35723" s="5" t="s">
        <v>355</v>
      </c>
      <c r="Q35723" s="5" t="s">
        <v>355</v>
      </c>
    </row>
    <row r="35724" ht="16.5" customHeight="1">
      <c r="O35724" s="5" t="s">
        <v>355</v>
      </c>
      <c r="P35724" s="5" t="s">
        <v>355</v>
      </c>
      <c r="Q35724" s="5" t="s">
        <v>355</v>
      </c>
    </row>
    <row r="35725" ht="16.5" customHeight="1">
      <c r="O35725" s="5" t="s">
        <v>355</v>
      </c>
      <c r="P35725" s="5" t="s">
        <v>355</v>
      </c>
      <c r="Q35725" s="5" t="s">
        <v>355</v>
      </c>
    </row>
    <row r="35726" ht="16.5" customHeight="1">
      <c r="O35726" s="5" t="s">
        <v>355</v>
      </c>
      <c r="P35726" s="5" t="s">
        <v>355</v>
      </c>
      <c r="Q35726" s="5" t="s">
        <v>355</v>
      </c>
    </row>
    <row r="35727" ht="16.5" customHeight="1">
      <c r="O35727" s="5" t="s">
        <v>355</v>
      </c>
      <c r="P35727" s="5" t="s">
        <v>355</v>
      </c>
      <c r="Q35727" s="5" t="s">
        <v>355</v>
      </c>
    </row>
    <row r="35728" ht="16.5" customHeight="1">
      <c r="O35728" s="5" t="s">
        <v>355</v>
      </c>
      <c r="P35728" s="5" t="s">
        <v>355</v>
      </c>
      <c r="Q35728" s="5" t="s">
        <v>355</v>
      </c>
    </row>
    <row r="35729" ht="16.5" customHeight="1">
      <c r="O35729" s="5" t="s">
        <v>355</v>
      </c>
      <c r="P35729" s="5" t="s">
        <v>355</v>
      </c>
      <c r="Q35729" s="5" t="s">
        <v>355</v>
      </c>
    </row>
    <row r="35730" ht="16.5" customHeight="1">
      <c r="O35730" s="5" t="s">
        <v>355</v>
      </c>
      <c r="P35730" s="5" t="s">
        <v>355</v>
      </c>
      <c r="Q35730" s="5" t="s">
        <v>355</v>
      </c>
    </row>
    <row r="35731" ht="16.5" customHeight="1">
      <c r="O35731" s="5" t="s">
        <v>355</v>
      </c>
      <c r="P35731" s="5" t="s">
        <v>355</v>
      </c>
      <c r="Q35731" s="5" t="s">
        <v>355</v>
      </c>
    </row>
    <row r="35732" ht="16.5" customHeight="1">
      <c r="O35732" s="5" t="s">
        <v>355</v>
      </c>
      <c r="P35732" s="5" t="s">
        <v>355</v>
      </c>
      <c r="Q35732" s="5" t="s">
        <v>355</v>
      </c>
    </row>
    <row r="35733" ht="16.5" customHeight="1">
      <c r="O35733" s="5" t="s">
        <v>355</v>
      </c>
      <c r="P35733" s="5" t="s">
        <v>355</v>
      </c>
      <c r="Q35733" s="5" t="s">
        <v>355</v>
      </c>
    </row>
    <row r="35734" ht="16.5" customHeight="1">
      <c r="O35734" s="5" t="s">
        <v>355</v>
      </c>
      <c r="P35734" s="5" t="s">
        <v>355</v>
      </c>
      <c r="Q35734" s="5" t="s">
        <v>355</v>
      </c>
    </row>
    <row r="35735" ht="16.5" customHeight="1">
      <c r="O35735" s="5" t="s">
        <v>355</v>
      </c>
      <c r="P35735" s="5" t="s">
        <v>355</v>
      </c>
      <c r="Q35735" s="5" t="s">
        <v>355</v>
      </c>
    </row>
    <row r="35736" ht="16.5" customHeight="1">
      <c r="O35736" s="5" t="s">
        <v>355</v>
      </c>
      <c r="P35736" s="5" t="s">
        <v>355</v>
      </c>
      <c r="Q35736" s="5" t="s">
        <v>355</v>
      </c>
    </row>
    <row r="35737" ht="16.5" customHeight="1">
      <c r="O35737" s="5" t="s">
        <v>355</v>
      </c>
      <c r="P35737" s="5" t="s">
        <v>355</v>
      </c>
      <c r="Q35737" s="5" t="s">
        <v>355</v>
      </c>
    </row>
    <row r="35738" ht="16.5" customHeight="1">
      <c r="O35738" s="5" t="s">
        <v>355</v>
      </c>
      <c r="P35738" s="5" t="s">
        <v>355</v>
      </c>
      <c r="Q35738" s="5" t="s">
        <v>355</v>
      </c>
    </row>
    <row r="35739" ht="16.5" customHeight="1">
      <c r="O35739" s="5" t="s">
        <v>355</v>
      </c>
      <c r="P35739" s="5" t="s">
        <v>355</v>
      </c>
      <c r="Q35739" s="5" t="s">
        <v>355</v>
      </c>
    </row>
    <row r="35740" ht="16.5" customHeight="1">
      <c r="O35740" s="5" t="s">
        <v>355</v>
      </c>
      <c r="P35740" s="5" t="s">
        <v>355</v>
      </c>
      <c r="Q35740" s="5" t="s">
        <v>355</v>
      </c>
    </row>
    <row r="35741" ht="16.5" customHeight="1">
      <c r="O35741" s="5" t="s">
        <v>355</v>
      </c>
      <c r="P35741" s="5" t="s">
        <v>355</v>
      </c>
      <c r="Q35741" s="5" t="s">
        <v>355</v>
      </c>
    </row>
    <row r="35742" ht="16.5" customHeight="1">
      <c r="O35742" s="5" t="s">
        <v>355</v>
      </c>
      <c r="P35742" s="5" t="s">
        <v>355</v>
      </c>
      <c r="Q35742" s="5" t="s">
        <v>355</v>
      </c>
    </row>
    <row r="35743" ht="16.5" customHeight="1">
      <c r="O35743" s="5" t="s">
        <v>355</v>
      </c>
      <c r="P35743" s="5" t="s">
        <v>355</v>
      </c>
      <c r="Q35743" s="5" t="s">
        <v>355</v>
      </c>
    </row>
    <row r="35744" ht="16.5" customHeight="1">
      <c r="O35744" s="5" t="s">
        <v>355</v>
      </c>
      <c r="P35744" s="5" t="s">
        <v>355</v>
      </c>
      <c r="Q35744" s="5" t="s">
        <v>355</v>
      </c>
    </row>
    <row r="35745" ht="16.5" customHeight="1">
      <c r="O35745" s="5" t="s">
        <v>355</v>
      </c>
      <c r="P35745" s="5" t="s">
        <v>355</v>
      </c>
      <c r="Q35745" s="5" t="s">
        <v>355</v>
      </c>
    </row>
    <row r="35746" ht="16.5" customHeight="1">
      <c r="O35746" s="5" t="s">
        <v>355</v>
      </c>
      <c r="P35746" s="5" t="s">
        <v>355</v>
      </c>
      <c r="Q35746" s="5" t="s">
        <v>355</v>
      </c>
    </row>
    <row r="35747" ht="16.5" customHeight="1">
      <c r="O35747" s="5" t="s">
        <v>355</v>
      </c>
      <c r="P35747" s="5" t="s">
        <v>355</v>
      </c>
      <c r="Q35747" s="5" t="s">
        <v>355</v>
      </c>
    </row>
    <row r="35748" ht="16.5" customHeight="1">
      <c r="O35748" s="5" t="s">
        <v>355</v>
      </c>
      <c r="P35748" s="5" t="s">
        <v>355</v>
      </c>
      <c r="Q35748" s="5" t="s">
        <v>355</v>
      </c>
    </row>
    <row r="35749" ht="16.5" customHeight="1">
      <c r="O35749" s="5" t="s">
        <v>355</v>
      </c>
      <c r="P35749" s="5" t="s">
        <v>355</v>
      </c>
      <c r="Q35749" s="5" t="s">
        <v>355</v>
      </c>
    </row>
    <row r="35750" ht="16.5" customHeight="1">
      <c r="O35750" s="5" t="s">
        <v>355</v>
      </c>
      <c r="P35750" s="5" t="s">
        <v>355</v>
      </c>
      <c r="Q35750" s="5" t="s">
        <v>355</v>
      </c>
    </row>
    <row r="35751" ht="16.5" customHeight="1">
      <c r="O35751" s="5" t="s">
        <v>355</v>
      </c>
      <c r="P35751" s="5" t="s">
        <v>355</v>
      </c>
      <c r="Q35751" s="5" t="s">
        <v>355</v>
      </c>
    </row>
    <row r="35752" ht="16.5" customHeight="1">
      <c r="O35752" s="5" t="s">
        <v>355</v>
      </c>
      <c r="P35752" s="5" t="s">
        <v>355</v>
      </c>
      <c r="Q35752" s="5" t="s">
        <v>355</v>
      </c>
    </row>
    <row r="35753" ht="16.5" customHeight="1">
      <c r="O35753" s="5" t="s">
        <v>355</v>
      </c>
      <c r="P35753" s="5" t="s">
        <v>355</v>
      </c>
      <c r="Q35753" s="5" t="s">
        <v>355</v>
      </c>
    </row>
    <row r="35754" ht="16.5" customHeight="1">
      <c r="O35754" s="5" t="s">
        <v>355</v>
      </c>
      <c r="P35754" s="5" t="s">
        <v>355</v>
      </c>
      <c r="Q35754" s="5" t="s">
        <v>355</v>
      </c>
    </row>
    <row r="35755" ht="16.5" customHeight="1">
      <c r="O35755" s="5" t="s">
        <v>355</v>
      </c>
      <c r="P35755" s="5" t="s">
        <v>355</v>
      </c>
      <c r="Q35755" s="5" t="s">
        <v>355</v>
      </c>
    </row>
    <row r="35756" ht="16.5" customHeight="1">
      <c r="O35756" s="5" t="s">
        <v>355</v>
      </c>
      <c r="P35756" s="5" t="s">
        <v>355</v>
      </c>
      <c r="Q35756" s="5" t="s">
        <v>355</v>
      </c>
    </row>
    <row r="35757" ht="16.5" customHeight="1">
      <c r="O35757" s="5" t="s">
        <v>355</v>
      </c>
      <c r="P35757" s="5" t="s">
        <v>355</v>
      </c>
      <c r="Q35757" s="5" t="s">
        <v>355</v>
      </c>
    </row>
    <row r="35758" ht="16.5" customHeight="1">
      <c r="O35758" s="5" t="s">
        <v>355</v>
      </c>
      <c r="P35758" s="5" t="s">
        <v>355</v>
      </c>
      <c r="Q35758" s="5" t="s">
        <v>355</v>
      </c>
    </row>
    <row r="35759" ht="16.5" customHeight="1">
      <c r="O35759" s="5" t="s">
        <v>355</v>
      </c>
      <c r="P35759" s="5" t="s">
        <v>355</v>
      </c>
      <c r="Q35759" s="5" t="s">
        <v>355</v>
      </c>
    </row>
    <row r="35760" ht="16.5" customHeight="1">
      <c r="O35760" s="5" t="s">
        <v>355</v>
      </c>
      <c r="P35760" s="5" t="s">
        <v>355</v>
      </c>
      <c r="Q35760" s="5" t="s">
        <v>355</v>
      </c>
    </row>
    <row r="35761" ht="16.5" customHeight="1">
      <c r="O35761" s="5" t="s">
        <v>355</v>
      </c>
      <c r="P35761" s="5" t="s">
        <v>355</v>
      </c>
      <c r="Q35761" s="5" t="s">
        <v>355</v>
      </c>
    </row>
    <row r="35762" ht="16.5" customHeight="1">
      <c r="O35762" s="5" t="s">
        <v>355</v>
      </c>
      <c r="P35762" s="5" t="s">
        <v>355</v>
      </c>
      <c r="Q35762" s="5" t="s">
        <v>355</v>
      </c>
    </row>
    <row r="35763" ht="16.5" customHeight="1">
      <c r="O35763" s="5" t="s">
        <v>355</v>
      </c>
      <c r="P35763" s="5" t="s">
        <v>355</v>
      </c>
      <c r="Q35763" s="5" t="s">
        <v>355</v>
      </c>
    </row>
    <row r="35764" ht="16.5" customHeight="1">
      <c r="O35764" s="5" t="s">
        <v>355</v>
      </c>
      <c r="P35764" s="5" t="s">
        <v>355</v>
      </c>
      <c r="Q35764" s="5" t="s">
        <v>355</v>
      </c>
    </row>
    <row r="35765" ht="16.5" customHeight="1">
      <c r="O35765" s="5" t="s">
        <v>355</v>
      </c>
      <c r="P35765" s="5" t="s">
        <v>355</v>
      </c>
      <c r="Q35765" s="5" t="s">
        <v>355</v>
      </c>
    </row>
    <row r="35766" ht="16.5" customHeight="1">
      <c r="O35766" s="5" t="s">
        <v>355</v>
      </c>
      <c r="P35766" s="5" t="s">
        <v>355</v>
      </c>
      <c r="Q35766" s="5" t="s">
        <v>355</v>
      </c>
    </row>
    <row r="35767" ht="16.5" customHeight="1">
      <c r="O35767" s="5" t="s">
        <v>355</v>
      </c>
      <c r="P35767" s="5" t="s">
        <v>355</v>
      </c>
      <c r="Q35767" s="5" t="s">
        <v>355</v>
      </c>
    </row>
    <row r="35768" ht="16.5" customHeight="1">
      <c r="O35768" s="5" t="s">
        <v>355</v>
      </c>
      <c r="P35768" s="5" t="s">
        <v>355</v>
      </c>
      <c r="Q35768" s="5" t="s">
        <v>355</v>
      </c>
    </row>
    <row r="35769" ht="16.5" customHeight="1">
      <c r="O35769" s="5" t="s">
        <v>355</v>
      </c>
      <c r="P35769" s="5" t="s">
        <v>355</v>
      </c>
      <c r="Q35769" s="5" t="s">
        <v>355</v>
      </c>
    </row>
    <row r="35770" ht="16.5" customHeight="1">
      <c r="O35770" s="5" t="s">
        <v>355</v>
      </c>
      <c r="P35770" s="5" t="s">
        <v>355</v>
      </c>
      <c r="Q35770" s="5" t="s">
        <v>355</v>
      </c>
    </row>
    <row r="35771" ht="16.5" customHeight="1">
      <c r="O35771" s="5" t="s">
        <v>355</v>
      </c>
      <c r="P35771" s="5" t="s">
        <v>355</v>
      </c>
      <c r="Q35771" s="5" t="s">
        <v>355</v>
      </c>
    </row>
    <row r="35772" ht="16.5" customHeight="1">
      <c r="O35772" s="5" t="s">
        <v>355</v>
      </c>
      <c r="P35772" s="5" t="s">
        <v>355</v>
      </c>
      <c r="Q35772" s="5" t="s">
        <v>355</v>
      </c>
    </row>
    <row r="35773" ht="16.5" customHeight="1">
      <c r="O35773" s="5" t="s">
        <v>355</v>
      </c>
      <c r="P35773" s="5" t="s">
        <v>355</v>
      </c>
      <c r="Q35773" s="5" t="s">
        <v>355</v>
      </c>
    </row>
    <row r="35774" ht="16.5" customHeight="1">
      <c r="O35774" s="5" t="s">
        <v>355</v>
      </c>
      <c r="P35774" s="5" t="s">
        <v>355</v>
      </c>
      <c r="Q35774" s="5" t="s">
        <v>355</v>
      </c>
    </row>
    <row r="35775" ht="16.5" customHeight="1">
      <c r="O35775" s="5" t="s">
        <v>355</v>
      </c>
      <c r="P35775" s="5" t="s">
        <v>355</v>
      </c>
      <c r="Q35775" s="5" t="s">
        <v>355</v>
      </c>
    </row>
    <row r="35776" ht="16.5" customHeight="1">
      <c r="O35776" s="5" t="s">
        <v>355</v>
      </c>
      <c r="P35776" s="5" t="s">
        <v>355</v>
      </c>
      <c r="Q35776" s="5" t="s">
        <v>355</v>
      </c>
    </row>
    <row r="35777" ht="16.5" customHeight="1">
      <c r="O35777" s="5" t="s">
        <v>355</v>
      </c>
      <c r="P35777" s="5" t="s">
        <v>355</v>
      </c>
      <c r="Q35777" s="5" t="s">
        <v>355</v>
      </c>
    </row>
    <row r="35778" ht="16.5" customHeight="1">
      <c r="O35778" s="5" t="s">
        <v>355</v>
      </c>
      <c r="P35778" s="5" t="s">
        <v>355</v>
      </c>
      <c r="Q35778" s="5" t="s">
        <v>355</v>
      </c>
    </row>
    <row r="35779" ht="16.5" customHeight="1">
      <c r="O35779" s="5" t="s">
        <v>355</v>
      </c>
      <c r="P35779" s="5" t="s">
        <v>355</v>
      </c>
      <c r="Q35779" s="5" t="s">
        <v>355</v>
      </c>
    </row>
    <row r="35780" ht="16.5" customHeight="1">
      <c r="O35780" s="5" t="s">
        <v>355</v>
      </c>
      <c r="P35780" s="5" t="s">
        <v>355</v>
      </c>
      <c r="Q35780" s="5" t="s">
        <v>355</v>
      </c>
    </row>
    <row r="35781" ht="16.5" customHeight="1">
      <c r="O35781" s="5" t="s">
        <v>355</v>
      </c>
      <c r="P35781" s="5" t="s">
        <v>355</v>
      </c>
      <c r="Q35781" s="5" t="s">
        <v>355</v>
      </c>
    </row>
    <row r="35782" ht="16.5" customHeight="1">
      <c r="O35782" s="5" t="s">
        <v>355</v>
      </c>
      <c r="P35782" s="5" t="s">
        <v>355</v>
      </c>
      <c r="Q35782" s="5" t="s">
        <v>355</v>
      </c>
    </row>
    <row r="35783" ht="16.5" customHeight="1">
      <c r="O35783" s="5" t="s">
        <v>355</v>
      </c>
      <c r="P35783" s="5" t="s">
        <v>355</v>
      </c>
      <c r="Q35783" s="5" t="s">
        <v>355</v>
      </c>
    </row>
    <row r="35784" ht="16.5" customHeight="1">
      <c r="O35784" s="5" t="s">
        <v>355</v>
      </c>
      <c r="P35784" s="5" t="s">
        <v>355</v>
      </c>
      <c r="Q35784" s="5" t="s">
        <v>355</v>
      </c>
    </row>
    <row r="35785" ht="16.5" customHeight="1">
      <c r="O35785" s="5" t="s">
        <v>355</v>
      </c>
      <c r="P35785" s="5" t="s">
        <v>355</v>
      </c>
      <c r="Q35785" s="5" t="s">
        <v>355</v>
      </c>
    </row>
    <row r="35786" ht="16.5" customHeight="1">
      <c r="O35786" s="5" t="s">
        <v>355</v>
      </c>
      <c r="P35786" s="5" t="s">
        <v>355</v>
      </c>
      <c r="Q35786" s="5" t="s">
        <v>355</v>
      </c>
    </row>
    <row r="35787" ht="16.5" customHeight="1">
      <c r="O35787" s="5" t="s">
        <v>355</v>
      </c>
      <c r="P35787" s="5" t="s">
        <v>355</v>
      </c>
      <c r="Q35787" s="5" t="s">
        <v>355</v>
      </c>
    </row>
    <row r="35788" ht="16.5" customHeight="1">
      <c r="O35788" s="5" t="s">
        <v>355</v>
      </c>
      <c r="P35788" s="5" t="s">
        <v>355</v>
      </c>
      <c r="Q35788" s="5" t="s">
        <v>355</v>
      </c>
    </row>
    <row r="35789" ht="16.5" customHeight="1">
      <c r="O35789" s="5" t="s">
        <v>355</v>
      </c>
      <c r="P35789" s="5" t="s">
        <v>355</v>
      </c>
      <c r="Q35789" s="5" t="s">
        <v>355</v>
      </c>
    </row>
    <row r="35790" ht="16.5" customHeight="1">
      <c r="O35790" s="5" t="s">
        <v>355</v>
      </c>
      <c r="P35790" s="5" t="s">
        <v>355</v>
      </c>
      <c r="Q35790" s="5" t="s">
        <v>355</v>
      </c>
    </row>
    <row r="35791" ht="16.5" customHeight="1">
      <c r="O35791" s="5" t="s">
        <v>355</v>
      </c>
      <c r="P35791" s="5" t="s">
        <v>355</v>
      </c>
      <c r="Q35791" s="5" t="s">
        <v>355</v>
      </c>
    </row>
    <row r="35792" ht="16.5" customHeight="1">
      <c r="O35792" s="5" t="s">
        <v>355</v>
      </c>
      <c r="P35792" s="5" t="s">
        <v>355</v>
      </c>
      <c r="Q35792" s="5" t="s">
        <v>355</v>
      </c>
    </row>
    <row r="35793" ht="16.5" customHeight="1">
      <c r="O35793" s="5" t="s">
        <v>355</v>
      </c>
      <c r="P35793" s="5" t="s">
        <v>355</v>
      </c>
      <c r="Q35793" s="5" t="s">
        <v>355</v>
      </c>
    </row>
    <row r="35794" ht="16.5" customHeight="1">
      <c r="O35794" s="5" t="s">
        <v>355</v>
      </c>
      <c r="P35794" s="5" t="s">
        <v>355</v>
      </c>
      <c r="Q35794" s="5" t="s">
        <v>355</v>
      </c>
    </row>
    <row r="35795" ht="16.5" customHeight="1">
      <c r="O35795" s="5" t="s">
        <v>355</v>
      </c>
      <c r="P35795" s="5" t="s">
        <v>355</v>
      </c>
      <c r="Q35795" s="5" t="s">
        <v>355</v>
      </c>
    </row>
    <row r="35796" ht="16.5" customHeight="1">
      <c r="O35796" s="5" t="s">
        <v>355</v>
      </c>
      <c r="P35796" s="5" t="s">
        <v>355</v>
      </c>
      <c r="Q35796" s="5" t="s">
        <v>355</v>
      </c>
    </row>
    <row r="35797" ht="16.5" customHeight="1">
      <c r="O35797" s="5" t="s">
        <v>355</v>
      </c>
      <c r="P35797" s="5" t="s">
        <v>355</v>
      </c>
      <c r="Q35797" s="5" t="s">
        <v>355</v>
      </c>
    </row>
    <row r="35798" ht="16.5" customHeight="1">
      <c r="O35798" s="5" t="s">
        <v>355</v>
      </c>
      <c r="P35798" s="5" t="s">
        <v>355</v>
      </c>
      <c r="Q35798" s="5" t="s">
        <v>355</v>
      </c>
    </row>
    <row r="35799" ht="16.5" customHeight="1">
      <c r="O35799" s="5" t="s">
        <v>355</v>
      </c>
      <c r="P35799" s="5" t="s">
        <v>355</v>
      </c>
      <c r="Q35799" s="5" t="s">
        <v>355</v>
      </c>
    </row>
    <row r="35800" ht="16.5" customHeight="1">
      <c r="O35800" s="5" t="s">
        <v>355</v>
      </c>
      <c r="P35800" s="5" t="s">
        <v>355</v>
      </c>
      <c r="Q35800" s="5" t="s">
        <v>355</v>
      </c>
    </row>
    <row r="35801" ht="16.5" customHeight="1">
      <c r="O35801" s="5" t="s">
        <v>355</v>
      </c>
      <c r="P35801" s="5" t="s">
        <v>355</v>
      </c>
      <c r="Q35801" s="5" t="s">
        <v>355</v>
      </c>
    </row>
    <row r="35802" ht="16.5" customHeight="1">
      <c r="O35802" s="5" t="s">
        <v>355</v>
      </c>
      <c r="P35802" s="5" t="s">
        <v>355</v>
      </c>
      <c r="Q35802" s="5" t="s">
        <v>355</v>
      </c>
    </row>
    <row r="35803" ht="16.5" customHeight="1">
      <c r="O35803" s="5" t="s">
        <v>355</v>
      </c>
      <c r="P35803" s="5" t="s">
        <v>355</v>
      </c>
      <c r="Q35803" s="5" t="s">
        <v>355</v>
      </c>
    </row>
    <row r="35804" ht="16.5" customHeight="1">
      <c r="O35804" s="5" t="s">
        <v>355</v>
      </c>
      <c r="P35804" s="5" t="s">
        <v>355</v>
      </c>
      <c r="Q35804" s="5" t="s">
        <v>355</v>
      </c>
    </row>
    <row r="35805" ht="16.5" customHeight="1">
      <c r="O35805" s="5" t="s">
        <v>355</v>
      </c>
      <c r="P35805" s="5" t="s">
        <v>355</v>
      </c>
      <c r="Q35805" s="5" t="s">
        <v>355</v>
      </c>
    </row>
    <row r="35806" ht="16.5" customHeight="1">
      <c r="O35806" s="5" t="s">
        <v>355</v>
      </c>
      <c r="P35806" s="5" t="s">
        <v>355</v>
      </c>
      <c r="Q35806" s="5" t="s">
        <v>355</v>
      </c>
    </row>
    <row r="35807" ht="16.5" customHeight="1">
      <c r="O35807" s="5" t="s">
        <v>355</v>
      </c>
      <c r="P35807" s="5" t="s">
        <v>355</v>
      </c>
      <c r="Q35807" s="5" t="s">
        <v>355</v>
      </c>
    </row>
    <row r="35808" ht="16.5" customHeight="1">
      <c r="O35808" s="5" t="s">
        <v>355</v>
      </c>
      <c r="P35808" s="5" t="s">
        <v>355</v>
      </c>
      <c r="Q35808" s="5" t="s">
        <v>355</v>
      </c>
    </row>
    <row r="35809" ht="16.5" customHeight="1">
      <c r="O35809" s="5" t="s">
        <v>355</v>
      </c>
      <c r="P35809" s="5" t="s">
        <v>355</v>
      </c>
      <c r="Q35809" s="5" t="s">
        <v>355</v>
      </c>
    </row>
    <row r="35810" ht="16.5" customHeight="1">
      <c r="O35810" s="5" t="s">
        <v>355</v>
      </c>
      <c r="P35810" s="5" t="s">
        <v>355</v>
      </c>
      <c r="Q35810" s="5" t="s">
        <v>355</v>
      </c>
    </row>
    <row r="35811" ht="16.5" customHeight="1">
      <c r="O35811" s="5" t="s">
        <v>355</v>
      </c>
      <c r="P35811" s="5" t="s">
        <v>355</v>
      </c>
      <c r="Q35811" s="5" t="s">
        <v>355</v>
      </c>
    </row>
    <row r="35812" ht="16.5" customHeight="1">
      <c r="O35812" s="5" t="s">
        <v>355</v>
      </c>
      <c r="P35812" s="5" t="s">
        <v>355</v>
      </c>
      <c r="Q35812" s="5" t="s">
        <v>355</v>
      </c>
    </row>
    <row r="35813" ht="16.5" customHeight="1">
      <c r="O35813" s="5" t="s">
        <v>355</v>
      </c>
      <c r="P35813" s="5" t="s">
        <v>355</v>
      </c>
      <c r="Q35813" s="5" t="s">
        <v>355</v>
      </c>
    </row>
    <row r="35814" ht="16.5" customHeight="1">
      <c r="O35814" s="5" t="s">
        <v>355</v>
      </c>
      <c r="P35814" s="5" t="s">
        <v>355</v>
      </c>
      <c r="Q35814" s="5" t="s">
        <v>355</v>
      </c>
    </row>
    <row r="35815" ht="16.5" customHeight="1">
      <c r="O35815" s="5" t="s">
        <v>355</v>
      </c>
      <c r="P35815" s="5" t="s">
        <v>355</v>
      </c>
      <c r="Q35815" s="5" t="s">
        <v>355</v>
      </c>
    </row>
    <row r="35816" ht="16.5" customHeight="1">
      <c r="O35816" s="5" t="s">
        <v>355</v>
      </c>
      <c r="P35816" s="5" t="s">
        <v>355</v>
      </c>
      <c r="Q35816" s="5" t="s">
        <v>355</v>
      </c>
    </row>
    <row r="35817" ht="16.5" customHeight="1">
      <c r="O35817" s="5" t="s">
        <v>355</v>
      </c>
      <c r="P35817" s="5" t="s">
        <v>355</v>
      </c>
      <c r="Q35817" s="5" t="s">
        <v>355</v>
      </c>
    </row>
    <row r="35818" ht="16.5" customHeight="1">
      <c r="O35818" s="5" t="s">
        <v>355</v>
      </c>
      <c r="P35818" s="5" t="s">
        <v>355</v>
      </c>
      <c r="Q35818" s="5" t="s">
        <v>355</v>
      </c>
    </row>
    <row r="35819" ht="16.5" customHeight="1">
      <c r="O35819" s="5" t="s">
        <v>355</v>
      </c>
      <c r="P35819" s="5" t="s">
        <v>355</v>
      </c>
      <c r="Q35819" s="5" t="s">
        <v>355</v>
      </c>
    </row>
    <row r="35820" ht="16.5" customHeight="1">
      <c r="O35820" s="5" t="s">
        <v>355</v>
      </c>
      <c r="P35820" s="5" t="s">
        <v>355</v>
      </c>
      <c r="Q35820" s="5" t="s">
        <v>355</v>
      </c>
    </row>
    <row r="35821" ht="16.5" customHeight="1">
      <c r="O35821" s="5" t="s">
        <v>355</v>
      </c>
      <c r="P35821" s="5" t="s">
        <v>355</v>
      </c>
      <c r="Q35821" s="5" t="s">
        <v>355</v>
      </c>
    </row>
    <row r="35822" ht="16.5" customHeight="1">
      <c r="O35822" s="5" t="s">
        <v>355</v>
      </c>
      <c r="P35822" s="5" t="s">
        <v>355</v>
      </c>
      <c r="Q35822" s="5" t="s">
        <v>355</v>
      </c>
    </row>
    <row r="35823" ht="16.5" customHeight="1">
      <c r="O35823" s="5" t="s">
        <v>355</v>
      </c>
      <c r="P35823" s="5" t="s">
        <v>355</v>
      </c>
      <c r="Q35823" s="5" t="s">
        <v>355</v>
      </c>
    </row>
    <row r="35824" ht="16.5" customHeight="1">
      <c r="O35824" s="5" t="s">
        <v>355</v>
      </c>
      <c r="P35824" s="5" t="s">
        <v>355</v>
      </c>
      <c r="Q35824" s="5" t="s">
        <v>355</v>
      </c>
    </row>
    <row r="35825" ht="16.5" customHeight="1">
      <c r="O35825" s="5" t="s">
        <v>355</v>
      </c>
      <c r="P35825" s="5" t="s">
        <v>355</v>
      </c>
      <c r="Q35825" s="5" t="s">
        <v>355</v>
      </c>
    </row>
    <row r="35826" ht="16.5" customHeight="1">
      <c r="O35826" s="5" t="s">
        <v>355</v>
      </c>
      <c r="P35826" s="5" t="s">
        <v>355</v>
      </c>
      <c r="Q35826" s="5" t="s">
        <v>355</v>
      </c>
    </row>
    <row r="35827" ht="16.5" customHeight="1">
      <c r="O35827" s="5" t="s">
        <v>355</v>
      </c>
      <c r="P35827" s="5" t="s">
        <v>355</v>
      </c>
      <c r="Q35827" s="5" t="s">
        <v>355</v>
      </c>
    </row>
    <row r="35828" ht="16.5" customHeight="1">
      <c r="O35828" s="5" t="s">
        <v>355</v>
      </c>
      <c r="P35828" s="5" t="s">
        <v>355</v>
      </c>
      <c r="Q35828" s="5" t="s">
        <v>355</v>
      </c>
    </row>
    <row r="35829" ht="16.5" customHeight="1">
      <c r="O35829" s="5" t="s">
        <v>355</v>
      </c>
      <c r="P35829" s="5" t="s">
        <v>355</v>
      </c>
      <c r="Q35829" s="5" t="s">
        <v>355</v>
      </c>
    </row>
    <row r="35830" ht="16.5" customHeight="1">
      <c r="O35830" s="5" t="s">
        <v>355</v>
      </c>
      <c r="P35830" s="5" t="s">
        <v>355</v>
      </c>
      <c r="Q35830" s="5" t="s">
        <v>355</v>
      </c>
    </row>
    <row r="35831" ht="16.5" customHeight="1">
      <c r="O35831" s="5" t="s">
        <v>355</v>
      </c>
      <c r="P35831" s="5" t="s">
        <v>355</v>
      </c>
      <c r="Q35831" s="5" t="s">
        <v>355</v>
      </c>
    </row>
    <row r="35832" ht="16.5" customHeight="1">
      <c r="O35832" s="5" t="s">
        <v>355</v>
      </c>
      <c r="P35832" s="5" t="s">
        <v>355</v>
      </c>
      <c r="Q35832" s="5" t="s">
        <v>355</v>
      </c>
    </row>
    <row r="35833" ht="16.5" customHeight="1">
      <c r="O35833" s="5" t="s">
        <v>355</v>
      </c>
      <c r="P35833" s="5" t="s">
        <v>355</v>
      </c>
      <c r="Q35833" s="5" t="s">
        <v>355</v>
      </c>
    </row>
    <row r="35834" ht="16.5" customHeight="1">
      <c r="O35834" s="5" t="s">
        <v>355</v>
      </c>
      <c r="P35834" s="5" t="s">
        <v>355</v>
      </c>
      <c r="Q35834" s="5" t="s">
        <v>355</v>
      </c>
    </row>
    <row r="35835" ht="16.5" customHeight="1">
      <c r="O35835" s="5" t="s">
        <v>355</v>
      </c>
      <c r="P35835" s="5" t="s">
        <v>355</v>
      </c>
      <c r="Q35835" s="5" t="s">
        <v>355</v>
      </c>
    </row>
    <row r="35836" ht="16.5" customHeight="1">
      <c r="O35836" s="5" t="s">
        <v>355</v>
      </c>
      <c r="P35836" s="5" t="s">
        <v>355</v>
      </c>
      <c r="Q35836" s="5" t="s">
        <v>355</v>
      </c>
    </row>
    <row r="35837" ht="16.5" customHeight="1">
      <c r="O35837" s="5" t="s">
        <v>355</v>
      </c>
      <c r="P35837" s="5" t="s">
        <v>355</v>
      </c>
      <c r="Q35837" s="5" t="s">
        <v>355</v>
      </c>
    </row>
    <row r="35838" ht="16.5" customHeight="1">
      <c r="O35838" s="5" t="s">
        <v>355</v>
      </c>
      <c r="P35838" s="5" t="s">
        <v>355</v>
      </c>
      <c r="Q35838" s="5" t="s">
        <v>355</v>
      </c>
    </row>
    <row r="35839" ht="16.5" customHeight="1">
      <c r="O35839" s="5" t="s">
        <v>355</v>
      </c>
      <c r="P35839" s="5" t="s">
        <v>355</v>
      </c>
      <c r="Q35839" s="5" t="s">
        <v>355</v>
      </c>
    </row>
    <row r="35840" ht="16.5" customHeight="1">
      <c r="O35840" s="5" t="s">
        <v>355</v>
      </c>
      <c r="P35840" s="5" t="s">
        <v>355</v>
      </c>
      <c r="Q35840" s="5" t="s">
        <v>355</v>
      </c>
    </row>
    <row r="35841" ht="16.5" customHeight="1">
      <c r="O35841" s="5" t="s">
        <v>355</v>
      </c>
      <c r="P35841" s="5" t="s">
        <v>355</v>
      </c>
      <c r="Q35841" s="5" t="s">
        <v>355</v>
      </c>
    </row>
    <row r="35842" ht="16.5" customHeight="1">
      <c r="O35842" s="5" t="s">
        <v>355</v>
      </c>
      <c r="P35842" s="5" t="s">
        <v>355</v>
      </c>
      <c r="Q35842" s="5" t="s">
        <v>355</v>
      </c>
    </row>
    <row r="35843" ht="16.5" customHeight="1">
      <c r="O35843" s="5" t="s">
        <v>355</v>
      </c>
      <c r="P35843" s="5" t="s">
        <v>355</v>
      </c>
      <c r="Q35843" s="5" t="s">
        <v>355</v>
      </c>
    </row>
    <row r="35844" ht="16.5" customHeight="1">
      <c r="O35844" s="5" t="s">
        <v>355</v>
      </c>
      <c r="P35844" s="5" t="s">
        <v>355</v>
      </c>
      <c r="Q35844" s="5" t="s">
        <v>355</v>
      </c>
    </row>
    <row r="35845" ht="16.5" customHeight="1">
      <c r="O35845" s="5" t="s">
        <v>355</v>
      </c>
      <c r="P35845" s="5" t="s">
        <v>355</v>
      </c>
      <c r="Q35845" s="5" t="s">
        <v>355</v>
      </c>
    </row>
    <row r="35846" ht="16.5" customHeight="1">
      <c r="O35846" s="5" t="s">
        <v>355</v>
      </c>
      <c r="P35846" s="5" t="s">
        <v>355</v>
      </c>
      <c r="Q35846" s="5" t="s">
        <v>355</v>
      </c>
    </row>
    <row r="35847" ht="16.5" customHeight="1">
      <c r="O35847" s="5" t="s">
        <v>355</v>
      </c>
      <c r="P35847" s="5" t="s">
        <v>355</v>
      </c>
      <c r="Q35847" s="5" t="s">
        <v>355</v>
      </c>
    </row>
    <row r="35848" ht="16.5" customHeight="1">
      <c r="O35848" s="5" t="s">
        <v>355</v>
      </c>
      <c r="P35848" s="5" t="s">
        <v>355</v>
      </c>
      <c r="Q35848" s="5" t="s">
        <v>355</v>
      </c>
    </row>
    <row r="35849" ht="16.5" customHeight="1">
      <c r="O35849" s="5" t="s">
        <v>355</v>
      </c>
      <c r="P35849" s="5" t="s">
        <v>355</v>
      </c>
      <c r="Q35849" s="5" t="s">
        <v>355</v>
      </c>
    </row>
    <row r="35850" ht="16.5" customHeight="1">
      <c r="O35850" s="5" t="s">
        <v>355</v>
      </c>
      <c r="P35850" s="5" t="s">
        <v>355</v>
      </c>
      <c r="Q35850" s="5" t="s">
        <v>355</v>
      </c>
    </row>
    <row r="35851" ht="16.5" customHeight="1">
      <c r="O35851" s="5" t="s">
        <v>355</v>
      </c>
      <c r="P35851" s="5" t="s">
        <v>355</v>
      </c>
      <c r="Q35851" s="5" t="s">
        <v>355</v>
      </c>
    </row>
    <row r="35852" ht="16.5" customHeight="1">
      <c r="O35852" s="5" t="s">
        <v>355</v>
      </c>
      <c r="P35852" s="5" t="s">
        <v>355</v>
      </c>
      <c r="Q35852" s="5" t="s">
        <v>355</v>
      </c>
    </row>
    <row r="35853" ht="16.5" customHeight="1">
      <c r="O35853" s="5" t="s">
        <v>355</v>
      </c>
      <c r="P35853" s="5" t="s">
        <v>355</v>
      </c>
      <c r="Q35853" s="5" t="s">
        <v>355</v>
      </c>
    </row>
    <row r="35854" ht="16.5" customHeight="1">
      <c r="O35854" s="5" t="s">
        <v>355</v>
      </c>
      <c r="P35854" s="5" t="s">
        <v>355</v>
      </c>
      <c r="Q35854" s="5" t="s">
        <v>355</v>
      </c>
    </row>
    <row r="35855" ht="16.5" customHeight="1">
      <c r="O35855" s="5" t="s">
        <v>355</v>
      </c>
      <c r="P35855" s="5" t="s">
        <v>355</v>
      </c>
      <c r="Q35855" s="5" t="s">
        <v>355</v>
      </c>
    </row>
    <row r="35856" ht="16.5" customHeight="1">
      <c r="O35856" s="5" t="s">
        <v>355</v>
      </c>
      <c r="P35856" s="5" t="s">
        <v>355</v>
      </c>
      <c r="Q35856" s="5" t="s">
        <v>355</v>
      </c>
    </row>
    <row r="35857" ht="16.5" customHeight="1">
      <c r="O35857" s="5" t="s">
        <v>355</v>
      </c>
      <c r="P35857" s="5" t="s">
        <v>355</v>
      </c>
      <c r="Q35857" s="5" t="s">
        <v>355</v>
      </c>
    </row>
    <row r="35858" ht="16.5" customHeight="1">
      <c r="O35858" s="5" t="s">
        <v>355</v>
      </c>
      <c r="P35858" s="5" t="s">
        <v>355</v>
      </c>
      <c r="Q35858" s="5" t="s">
        <v>355</v>
      </c>
    </row>
    <row r="35859" ht="16.5" customHeight="1">
      <c r="O35859" s="5" t="s">
        <v>355</v>
      </c>
      <c r="P35859" s="5" t="s">
        <v>355</v>
      </c>
      <c r="Q35859" s="5" t="s">
        <v>355</v>
      </c>
    </row>
    <row r="35860" ht="16.5" customHeight="1">
      <c r="O35860" s="5" t="s">
        <v>355</v>
      </c>
      <c r="P35860" s="5" t="s">
        <v>355</v>
      </c>
      <c r="Q35860" s="5" t="s">
        <v>355</v>
      </c>
    </row>
    <row r="35861" ht="16.5" customHeight="1">
      <c r="O35861" s="5" t="s">
        <v>355</v>
      </c>
      <c r="P35861" s="5" t="s">
        <v>355</v>
      </c>
      <c r="Q35861" s="5" t="s">
        <v>355</v>
      </c>
    </row>
    <row r="35862" ht="16.5" customHeight="1">
      <c r="O35862" s="5" t="s">
        <v>355</v>
      </c>
      <c r="P35862" s="5" t="s">
        <v>355</v>
      </c>
      <c r="Q35862" s="5" t="s">
        <v>355</v>
      </c>
    </row>
    <row r="35863" ht="16.5" customHeight="1">
      <c r="O35863" s="5" t="s">
        <v>355</v>
      </c>
      <c r="P35863" s="5" t="s">
        <v>355</v>
      </c>
      <c r="Q35863" s="5" t="s">
        <v>355</v>
      </c>
    </row>
    <row r="35864" ht="16.5" customHeight="1">
      <c r="O35864" s="5" t="s">
        <v>355</v>
      </c>
      <c r="P35864" s="5" t="s">
        <v>355</v>
      </c>
      <c r="Q35864" s="5" t="s">
        <v>355</v>
      </c>
    </row>
    <row r="35865" ht="16.5" customHeight="1">
      <c r="O35865" s="5" t="s">
        <v>355</v>
      </c>
      <c r="P35865" s="5" t="s">
        <v>355</v>
      </c>
      <c r="Q35865" s="5" t="s">
        <v>355</v>
      </c>
    </row>
    <row r="35866" ht="16.5" customHeight="1">
      <c r="O35866" s="5" t="s">
        <v>355</v>
      </c>
      <c r="P35866" s="5" t="s">
        <v>355</v>
      </c>
      <c r="Q35866" s="5" t="s">
        <v>355</v>
      </c>
    </row>
    <row r="35867" ht="16.5" customHeight="1">
      <c r="O35867" s="5" t="s">
        <v>355</v>
      </c>
      <c r="P35867" s="5" t="s">
        <v>355</v>
      </c>
      <c r="Q35867" s="5" t="s">
        <v>355</v>
      </c>
    </row>
    <row r="35868" ht="16.5" customHeight="1">
      <c r="O35868" s="5" t="s">
        <v>355</v>
      </c>
      <c r="P35868" s="5" t="s">
        <v>355</v>
      </c>
      <c r="Q35868" s="5" t="s">
        <v>355</v>
      </c>
    </row>
    <row r="35869" ht="16.5" customHeight="1">
      <c r="O35869" s="5" t="s">
        <v>355</v>
      </c>
      <c r="P35869" s="5" t="s">
        <v>355</v>
      </c>
      <c r="Q35869" s="5" t="s">
        <v>355</v>
      </c>
    </row>
    <row r="35870" ht="16.5" customHeight="1">
      <c r="O35870" s="5" t="s">
        <v>355</v>
      </c>
      <c r="P35870" s="5" t="s">
        <v>355</v>
      </c>
      <c r="Q35870" s="5" t="s">
        <v>355</v>
      </c>
    </row>
    <row r="35871" ht="16.5" customHeight="1">
      <c r="O35871" s="5" t="s">
        <v>355</v>
      </c>
      <c r="P35871" s="5" t="s">
        <v>355</v>
      </c>
      <c r="Q35871" s="5" t="s">
        <v>355</v>
      </c>
    </row>
    <row r="35872" ht="16.5" customHeight="1">
      <c r="O35872" s="5" t="s">
        <v>355</v>
      </c>
      <c r="P35872" s="5" t="s">
        <v>355</v>
      </c>
      <c r="Q35872" s="5" t="s">
        <v>355</v>
      </c>
    </row>
    <row r="35873" ht="16.5" customHeight="1">
      <c r="O35873" s="5" t="s">
        <v>355</v>
      </c>
      <c r="P35873" s="5" t="s">
        <v>355</v>
      </c>
      <c r="Q35873" s="5" t="s">
        <v>355</v>
      </c>
    </row>
    <row r="35874" ht="16.5" customHeight="1">
      <c r="O35874" s="5" t="s">
        <v>355</v>
      </c>
      <c r="P35874" s="5" t="s">
        <v>355</v>
      </c>
      <c r="Q35874" s="5" t="s">
        <v>355</v>
      </c>
    </row>
    <row r="35875" ht="16.5" customHeight="1">
      <c r="O35875" s="5" t="s">
        <v>355</v>
      </c>
      <c r="P35875" s="5" t="s">
        <v>355</v>
      </c>
      <c r="Q35875" s="5" t="s">
        <v>355</v>
      </c>
    </row>
    <row r="35876" ht="16.5" customHeight="1">
      <c r="O35876" s="5" t="s">
        <v>355</v>
      </c>
      <c r="P35876" s="5" t="s">
        <v>355</v>
      </c>
      <c r="Q35876" s="5" t="s">
        <v>355</v>
      </c>
    </row>
    <row r="35877" ht="16.5" customHeight="1">
      <c r="O35877" s="5" t="s">
        <v>355</v>
      </c>
      <c r="P35877" s="5" t="s">
        <v>355</v>
      </c>
      <c r="Q35877" s="5" t="s">
        <v>355</v>
      </c>
    </row>
    <row r="35878" ht="16.5" customHeight="1">
      <c r="O35878" s="5" t="s">
        <v>355</v>
      </c>
      <c r="P35878" s="5" t="s">
        <v>355</v>
      </c>
      <c r="Q35878" s="5" t="s">
        <v>355</v>
      </c>
    </row>
    <row r="35879" ht="16.5" customHeight="1">
      <c r="O35879" s="5" t="s">
        <v>355</v>
      </c>
      <c r="P35879" s="5" t="s">
        <v>355</v>
      </c>
      <c r="Q35879" s="5" t="s">
        <v>355</v>
      </c>
    </row>
    <row r="35880" ht="16.5" customHeight="1">
      <c r="O35880" s="5" t="s">
        <v>355</v>
      </c>
      <c r="P35880" s="5" t="s">
        <v>355</v>
      </c>
      <c r="Q35880" s="5" t="s">
        <v>355</v>
      </c>
    </row>
    <row r="35881" ht="16.5" customHeight="1">
      <c r="O35881" s="5" t="s">
        <v>355</v>
      </c>
      <c r="P35881" s="5" t="s">
        <v>355</v>
      </c>
      <c r="Q35881" s="5" t="s">
        <v>355</v>
      </c>
    </row>
    <row r="35882" ht="16.5" customHeight="1">
      <c r="O35882" s="5" t="s">
        <v>355</v>
      </c>
      <c r="P35882" s="5" t="s">
        <v>355</v>
      </c>
      <c r="Q35882" s="5" t="s">
        <v>355</v>
      </c>
    </row>
    <row r="35883" ht="16.5" customHeight="1">
      <c r="O35883" s="5" t="s">
        <v>355</v>
      </c>
      <c r="P35883" s="5" t="s">
        <v>355</v>
      </c>
      <c r="Q35883" s="5" t="s">
        <v>355</v>
      </c>
    </row>
    <row r="35884" ht="16.5" customHeight="1">
      <c r="O35884" s="5" t="s">
        <v>355</v>
      </c>
      <c r="P35884" s="5" t="s">
        <v>355</v>
      </c>
      <c r="Q35884" s="5" t="s">
        <v>355</v>
      </c>
    </row>
    <row r="35885" ht="16.5" customHeight="1">
      <c r="O35885" s="5" t="s">
        <v>355</v>
      </c>
      <c r="P35885" s="5" t="s">
        <v>355</v>
      </c>
      <c r="Q35885" s="5" t="s">
        <v>355</v>
      </c>
    </row>
    <row r="35886" ht="16.5" customHeight="1">
      <c r="O35886" s="5" t="s">
        <v>355</v>
      </c>
      <c r="P35886" s="5" t="s">
        <v>355</v>
      </c>
      <c r="Q35886" s="5" t="s">
        <v>355</v>
      </c>
    </row>
    <row r="35887" ht="16.5" customHeight="1">
      <c r="O35887" s="5" t="s">
        <v>355</v>
      </c>
      <c r="P35887" s="5" t="s">
        <v>355</v>
      </c>
      <c r="Q35887" s="5" t="s">
        <v>355</v>
      </c>
    </row>
    <row r="35888" ht="16.5" customHeight="1">
      <c r="O35888" s="5" t="s">
        <v>355</v>
      </c>
      <c r="P35888" s="5" t="s">
        <v>355</v>
      </c>
      <c r="Q35888" s="5" t="s">
        <v>355</v>
      </c>
    </row>
    <row r="35889" ht="16.5" customHeight="1">
      <c r="O35889" s="5" t="s">
        <v>355</v>
      </c>
      <c r="P35889" s="5" t="s">
        <v>355</v>
      </c>
      <c r="Q35889" s="5" t="s">
        <v>355</v>
      </c>
    </row>
    <row r="35890" ht="16.5" customHeight="1">
      <c r="O35890" s="5" t="s">
        <v>355</v>
      </c>
      <c r="P35890" s="5" t="s">
        <v>355</v>
      </c>
      <c r="Q35890" s="5" t="s">
        <v>355</v>
      </c>
    </row>
    <row r="35891" ht="16.5" customHeight="1">
      <c r="O35891" s="5" t="s">
        <v>355</v>
      </c>
      <c r="P35891" s="5" t="s">
        <v>355</v>
      </c>
      <c r="Q35891" s="5" t="s">
        <v>355</v>
      </c>
    </row>
    <row r="35892" ht="16.5" customHeight="1">
      <c r="O35892" s="5" t="s">
        <v>355</v>
      </c>
      <c r="P35892" s="5" t="s">
        <v>355</v>
      </c>
      <c r="Q35892" s="5" t="s">
        <v>355</v>
      </c>
    </row>
    <row r="35893" ht="16.5" customHeight="1">
      <c r="O35893" s="5" t="s">
        <v>355</v>
      </c>
      <c r="P35893" s="5" t="s">
        <v>355</v>
      </c>
      <c r="Q35893" s="5" t="s">
        <v>355</v>
      </c>
    </row>
    <row r="35894" ht="16.5" customHeight="1">
      <c r="O35894" s="5" t="s">
        <v>355</v>
      </c>
      <c r="P35894" s="5" t="s">
        <v>355</v>
      </c>
      <c r="Q35894" s="5" t="s">
        <v>355</v>
      </c>
    </row>
    <row r="35895" ht="16.5" customHeight="1">
      <c r="O35895" s="5" t="s">
        <v>355</v>
      </c>
      <c r="P35895" s="5" t="s">
        <v>355</v>
      </c>
      <c r="Q35895" s="5" t="s">
        <v>355</v>
      </c>
    </row>
    <row r="35896" ht="16.5" customHeight="1">
      <c r="O35896" s="5" t="s">
        <v>355</v>
      </c>
      <c r="P35896" s="5" t="s">
        <v>355</v>
      </c>
      <c r="Q35896" s="5" t="s">
        <v>355</v>
      </c>
    </row>
    <row r="35897" ht="16.5" customHeight="1">
      <c r="O35897" s="5" t="s">
        <v>355</v>
      </c>
      <c r="P35897" s="5" t="s">
        <v>355</v>
      </c>
      <c r="Q35897" s="5" t="s">
        <v>355</v>
      </c>
    </row>
    <row r="35898" ht="16.5" customHeight="1">
      <c r="O35898" s="5" t="s">
        <v>355</v>
      </c>
      <c r="P35898" s="5" t="s">
        <v>355</v>
      </c>
      <c r="Q35898" s="5" t="s">
        <v>355</v>
      </c>
    </row>
    <row r="35899" ht="16.5" customHeight="1">
      <c r="O35899" s="5" t="s">
        <v>355</v>
      </c>
      <c r="P35899" s="5" t="s">
        <v>355</v>
      </c>
      <c r="Q35899" s="5" t="s">
        <v>355</v>
      </c>
    </row>
    <row r="35900" ht="16.5" customHeight="1">
      <c r="O35900" s="5" t="s">
        <v>355</v>
      </c>
      <c r="P35900" s="5" t="s">
        <v>355</v>
      </c>
      <c r="Q35900" s="5" t="s">
        <v>355</v>
      </c>
    </row>
    <row r="35901" ht="16.5" customHeight="1">
      <c r="O35901" s="5" t="s">
        <v>355</v>
      </c>
      <c r="P35901" s="5" t="s">
        <v>355</v>
      </c>
      <c r="Q35901" s="5" t="s">
        <v>355</v>
      </c>
    </row>
    <row r="35902" ht="16.5" customHeight="1">
      <c r="O35902" s="5" t="s">
        <v>355</v>
      </c>
      <c r="P35902" s="5" t="s">
        <v>355</v>
      </c>
      <c r="Q35902" s="5" t="s">
        <v>355</v>
      </c>
    </row>
    <row r="35903" ht="16.5" customHeight="1">
      <c r="O35903" s="5" t="s">
        <v>355</v>
      </c>
      <c r="P35903" s="5" t="s">
        <v>355</v>
      </c>
      <c r="Q35903" s="5" t="s">
        <v>355</v>
      </c>
    </row>
    <row r="35904" ht="16.5" customHeight="1">
      <c r="O35904" s="5" t="s">
        <v>355</v>
      </c>
      <c r="P35904" s="5" t="s">
        <v>355</v>
      </c>
      <c r="Q35904" s="5" t="s">
        <v>355</v>
      </c>
    </row>
    <row r="35905" ht="16.5" customHeight="1">
      <c r="O35905" s="5" t="s">
        <v>355</v>
      </c>
      <c r="P35905" s="5" t="s">
        <v>355</v>
      </c>
      <c r="Q35905" s="5" t="s">
        <v>355</v>
      </c>
    </row>
    <row r="35906" ht="16.5" customHeight="1">
      <c r="O35906" s="5" t="s">
        <v>355</v>
      </c>
      <c r="P35906" s="5" t="s">
        <v>355</v>
      </c>
      <c r="Q35906" s="5" t="s">
        <v>355</v>
      </c>
    </row>
    <row r="35907" ht="16.5" customHeight="1">
      <c r="O35907" s="5" t="s">
        <v>355</v>
      </c>
      <c r="P35907" s="5" t="s">
        <v>355</v>
      </c>
      <c r="Q35907" s="5" t="s">
        <v>355</v>
      </c>
    </row>
    <row r="35908" ht="16.5" customHeight="1">
      <c r="O35908" s="5" t="s">
        <v>355</v>
      </c>
      <c r="P35908" s="5" t="s">
        <v>355</v>
      </c>
      <c r="Q35908" s="5" t="s">
        <v>355</v>
      </c>
    </row>
    <row r="35909" ht="16.5" customHeight="1">
      <c r="O35909" s="5" t="s">
        <v>355</v>
      </c>
      <c r="P35909" s="5" t="s">
        <v>355</v>
      </c>
      <c r="Q35909" s="5" t="s">
        <v>355</v>
      </c>
    </row>
    <row r="35910" ht="16.5" customHeight="1">
      <c r="O35910" s="5" t="s">
        <v>355</v>
      </c>
      <c r="P35910" s="5" t="s">
        <v>355</v>
      </c>
      <c r="Q35910" s="5" t="s">
        <v>355</v>
      </c>
    </row>
    <row r="35911" ht="16.5" customHeight="1">
      <c r="O35911" s="5" t="s">
        <v>355</v>
      </c>
      <c r="P35911" s="5" t="s">
        <v>355</v>
      </c>
      <c r="Q35911" s="5" t="s">
        <v>355</v>
      </c>
    </row>
    <row r="35912" ht="16.5" customHeight="1">
      <c r="O35912" s="5" t="s">
        <v>355</v>
      </c>
      <c r="P35912" s="5" t="s">
        <v>355</v>
      </c>
      <c r="Q35912" s="5" t="s">
        <v>355</v>
      </c>
    </row>
    <row r="35913" ht="16.5" customHeight="1">
      <c r="O35913" s="5" t="s">
        <v>355</v>
      </c>
      <c r="P35913" s="5" t="s">
        <v>355</v>
      </c>
      <c r="Q35913" s="5" t="s">
        <v>355</v>
      </c>
    </row>
    <row r="35914" ht="16.5" customHeight="1">
      <c r="O35914" s="5" t="s">
        <v>355</v>
      </c>
      <c r="P35914" s="5" t="s">
        <v>355</v>
      </c>
      <c r="Q35914" s="5" t="s">
        <v>355</v>
      </c>
    </row>
    <row r="35915" ht="16.5" customHeight="1">
      <c r="O35915" s="5" t="s">
        <v>355</v>
      </c>
      <c r="P35915" s="5" t="s">
        <v>355</v>
      </c>
      <c r="Q35915" s="5" t="s">
        <v>355</v>
      </c>
    </row>
    <row r="35916" ht="16.5" customHeight="1">
      <c r="O35916" s="5" t="s">
        <v>355</v>
      </c>
      <c r="P35916" s="5" t="s">
        <v>355</v>
      </c>
      <c r="Q35916" s="5" t="s">
        <v>355</v>
      </c>
    </row>
    <row r="35917" ht="16.5" customHeight="1">
      <c r="O35917" s="5" t="s">
        <v>355</v>
      </c>
      <c r="P35917" s="5" t="s">
        <v>355</v>
      </c>
      <c r="Q35917" s="5" t="s">
        <v>355</v>
      </c>
    </row>
    <row r="35918" ht="16.5" customHeight="1">
      <c r="O35918" s="5" t="s">
        <v>355</v>
      </c>
      <c r="P35918" s="5" t="s">
        <v>355</v>
      </c>
      <c r="Q35918" s="5" t="s">
        <v>355</v>
      </c>
    </row>
    <row r="35919" ht="16.5" customHeight="1">
      <c r="O35919" s="5" t="s">
        <v>355</v>
      </c>
      <c r="P35919" s="5" t="s">
        <v>355</v>
      </c>
      <c r="Q35919" s="5" t="s">
        <v>355</v>
      </c>
    </row>
    <row r="35920" ht="16.5" customHeight="1">
      <c r="O35920" s="5" t="s">
        <v>355</v>
      </c>
      <c r="P35920" s="5" t="s">
        <v>355</v>
      </c>
      <c r="Q35920" s="5" t="s">
        <v>355</v>
      </c>
    </row>
    <row r="35921" ht="16.5" customHeight="1">
      <c r="O35921" s="5" t="s">
        <v>355</v>
      </c>
      <c r="P35921" s="5" t="s">
        <v>355</v>
      </c>
      <c r="Q35921" s="5" t="s">
        <v>355</v>
      </c>
    </row>
    <row r="35922" ht="16.5" customHeight="1">
      <c r="O35922" s="5" t="s">
        <v>355</v>
      </c>
      <c r="P35922" s="5" t="s">
        <v>355</v>
      </c>
      <c r="Q35922" s="5" t="s">
        <v>355</v>
      </c>
    </row>
    <row r="35923" ht="16.5" customHeight="1">
      <c r="O35923" s="5" t="s">
        <v>355</v>
      </c>
      <c r="P35923" s="5" t="s">
        <v>355</v>
      </c>
      <c r="Q35923" s="5" t="s">
        <v>355</v>
      </c>
    </row>
    <row r="35924" ht="16.5" customHeight="1">
      <c r="O35924" s="5" t="s">
        <v>355</v>
      </c>
      <c r="P35924" s="5" t="s">
        <v>355</v>
      </c>
      <c r="Q35924" s="5" t="s">
        <v>355</v>
      </c>
    </row>
    <row r="35925" ht="16.5" customHeight="1">
      <c r="O35925" s="5" t="s">
        <v>355</v>
      </c>
      <c r="P35925" s="5" t="s">
        <v>355</v>
      </c>
      <c r="Q35925" s="5" t="s">
        <v>355</v>
      </c>
    </row>
    <row r="35926" ht="16.5" customHeight="1">
      <c r="O35926" s="5" t="s">
        <v>355</v>
      </c>
      <c r="P35926" s="5" t="s">
        <v>355</v>
      </c>
      <c r="Q35926" s="5" t="s">
        <v>355</v>
      </c>
    </row>
    <row r="35927" ht="16.5" customHeight="1">
      <c r="O35927" s="5" t="s">
        <v>355</v>
      </c>
      <c r="P35927" s="5" t="s">
        <v>355</v>
      </c>
      <c r="Q35927" s="5" t="s">
        <v>355</v>
      </c>
    </row>
    <row r="35928" ht="16.5" customHeight="1">
      <c r="O35928" s="5" t="s">
        <v>355</v>
      </c>
      <c r="P35928" s="5" t="s">
        <v>355</v>
      </c>
      <c r="Q35928" s="5" t="s">
        <v>355</v>
      </c>
    </row>
    <row r="35929" ht="16.5" customHeight="1">
      <c r="O35929" s="5" t="s">
        <v>355</v>
      </c>
      <c r="P35929" s="5" t="s">
        <v>355</v>
      </c>
      <c r="Q35929" s="5" t="s">
        <v>355</v>
      </c>
    </row>
    <row r="35930" ht="16.5" customHeight="1">
      <c r="O35930" s="5" t="s">
        <v>355</v>
      </c>
      <c r="P35930" s="5" t="s">
        <v>355</v>
      </c>
      <c r="Q35930" s="5" t="s">
        <v>355</v>
      </c>
    </row>
    <row r="35931" ht="16.5" customHeight="1">
      <c r="O35931" s="5" t="s">
        <v>355</v>
      </c>
      <c r="P35931" s="5" t="s">
        <v>355</v>
      </c>
      <c r="Q35931" s="5" t="s">
        <v>355</v>
      </c>
    </row>
    <row r="35932" ht="16.5" customHeight="1">
      <c r="O35932" s="5" t="s">
        <v>355</v>
      </c>
      <c r="P35932" s="5" t="s">
        <v>355</v>
      </c>
      <c r="Q35932" s="5" t="s">
        <v>355</v>
      </c>
    </row>
    <row r="35933" ht="16.5" customHeight="1">
      <c r="O35933" s="5" t="s">
        <v>355</v>
      </c>
      <c r="P35933" s="5" t="s">
        <v>355</v>
      </c>
      <c r="Q35933" s="5" t="s">
        <v>355</v>
      </c>
    </row>
    <row r="35934" ht="16.5" customHeight="1">
      <c r="O35934" s="5" t="s">
        <v>355</v>
      </c>
      <c r="P35934" s="5" t="s">
        <v>355</v>
      </c>
      <c r="Q35934" s="5" t="s">
        <v>355</v>
      </c>
    </row>
    <row r="35935" ht="16.5" customHeight="1">
      <c r="O35935" s="5" t="s">
        <v>355</v>
      </c>
      <c r="P35935" s="5" t="s">
        <v>355</v>
      </c>
      <c r="Q35935" s="5" t="s">
        <v>355</v>
      </c>
    </row>
    <row r="35936" ht="16.5" customHeight="1">
      <c r="O35936" s="5" t="s">
        <v>355</v>
      </c>
      <c r="P35936" s="5" t="s">
        <v>355</v>
      </c>
      <c r="Q35936" s="5" t="s">
        <v>355</v>
      </c>
    </row>
    <row r="35937" ht="16.5" customHeight="1">
      <c r="O35937" s="5" t="s">
        <v>355</v>
      </c>
      <c r="P35937" s="5" t="s">
        <v>355</v>
      </c>
      <c r="Q35937" s="5" t="s">
        <v>355</v>
      </c>
    </row>
    <row r="35938" ht="16.5" customHeight="1">
      <c r="O35938" s="5" t="s">
        <v>355</v>
      </c>
      <c r="P35938" s="5" t="s">
        <v>355</v>
      </c>
      <c r="Q35938" s="5" t="s">
        <v>355</v>
      </c>
    </row>
    <row r="35939" ht="16.5" customHeight="1">
      <c r="O35939" s="5" t="s">
        <v>355</v>
      </c>
      <c r="P35939" s="5" t="s">
        <v>355</v>
      </c>
      <c r="Q35939" s="5" t="s">
        <v>355</v>
      </c>
    </row>
    <row r="35940" ht="16.5" customHeight="1">
      <c r="O35940" s="5" t="s">
        <v>355</v>
      </c>
      <c r="P35940" s="5" t="s">
        <v>355</v>
      </c>
      <c r="Q35940" s="5" t="s">
        <v>355</v>
      </c>
    </row>
    <row r="35941" ht="16.5" customHeight="1">
      <c r="O35941" s="5" t="s">
        <v>355</v>
      </c>
      <c r="P35941" s="5" t="s">
        <v>355</v>
      </c>
      <c r="Q35941" s="5" t="s">
        <v>355</v>
      </c>
    </row>
    <row r="35942" ht="16.5" customHeight="1">
      <c r="O35942" s="5" t="s">
        <v>355</v>
      </c>
      <c r="P35942" s="5" t="s">
        <v>355</v>
      </c>
      <c r="Q35942" s="5" t="s">
        <v>355</v>
      </c>
    </row>
    <row r="35943" ht="16.5" customHeight="1">
      <c r="O35943" s="5" t="s">
        <v>355</v>
      </c>
      <c r="P35943" s="5" t="s">
        <v>355</v>
      </c>
      <c r="Q35943" s="5" t="s">
        <v>355</v>
      </c>
    </row>
    <row r="35944" ht="16.5" customHeight="1">
      <c r="O35944" s="5" t="s">
        <v>355</v>
      </c>
      <c r="P35944" s="5" t="s">
        <v>355</v>
      </c>
      <c r="Q35944" s="5" t="s">
        <v>355</v>
      </c>
    </row>
    <row r="35945" ht="16.5" customHeight="1">
      <c r="O35945" s="5" t="s">
        <v>355</v>
      </c>
      <c r="P35945" s="5" t="s">
        <v>355</v>
      </c>
      <c r="Q35945" s="5" t="s">
        <v>355</v>
      </c>
    </row>
    <row r="35946" ht="16.5" customHeight="1">
      <c r="O35946" s="5" t="s">
        <v>355</v>
      </c>
      <c r="P35946" s="5" t="s">
        <v>355</v>
      </c>
      <c r="Q35946" s="5" t="s">
        <v>355</v>
      </c>
    </row>
    <row r="35947" ht="16.5" customHeight="1">
      <c r="O35947" s="5" t="s">
        <v>355</v>
      </c>
      <c r="P35947" s="5" t="s">
        <v>355</v>
      </c>
      <c r="Q35947" s="5" t="s">
        <v>355</v>
      </c>
    </row>
    <row r="35948" ht="16.5" customHeight="1">
      <c r="O35948" s="5" t="s">
        <v>355</v>
      </c>
      <c r="P35948" s="5" t="s">
        <v>355</v>
      </c>
      <c r="Q35948" s="5" t="s">
        <v>355</v>
      </c>
    </row>
    <row r="35949" ht="16.5" customHeight="1">
      <c r="O35949" s="5" t="s">
        <v>355</v>
      </c>
      <c r="P35949" s="5" t="s">
        <v>355</v>
      </c>
      <c r="Q35949" s="5" t="s">
        <v>355</v>
      </c>
    </row>
    <row r="35950" ht="16.5" customHeight="1">
      <c r="O35950" s="5" t="s">
        <v>355</v>
      </c>
      <c r="P35950" s="5" t="s">
        <v>355</v>
      </c>
      <c r="Q35950" s="5" t="s">
        <v>355</v>
      </c>
    </row>
    <row r="35951" ht="16.5" customHeight="1">
      <c r="O35951" s="5" t="s">
        <v>355</v>
      </c>
      <c r="P35951" s="5" t="s">
        <v>355</v>
      </c>
      <c r="Q35951" s="5" t="s">
        <v>355</v>
      </c>
    </row>
    <row r="35952" ht="16.5" customHeight="1">
      <c r="O35952" s="5" t="s">
        <v>355</v>
      </c>
      <c r="P35952" s="5" t="s">
        <v>355</v>
      </c>
      <c r="Q35952" s="5" t="s">
        <v>355</v>
      </c>
    </row>
    <row r="35953" ht="16.5" customHeight="1">
      <c r="O35953" s="5" t="s">
        <v>355</v>
      </c>
      <c r="P35953" s="5" t="s">
        <v>355</v>
      </c>
      <c r="Q35953" s="5" t="s">
        <v>355</v>
      </c>
    </row>
    <row r="35954" ht="16.5" customHeight="1">
      <c r="O35954" s="5" t="s">
        <v>355</v>
      </c>
      <c r="P35954" s="5" t="s">
        <v>355</v>
      </c>
      <c r="Q35954" s="5" t="s">
        <v>355</v>
      </c>
    </row>
    <row r="35955" ht="16.5" customHeight="1">
      <c r="O35955" s="5" t="s">
        <v>355</v>
      </c>
      <c r="P35955" s="5" t="s">
        <v>355</v>
      </c>
      <c r="Q35955" s="5" t="s">
        <v>355</v>
      </c>
    </row>
    <row r="35956" ht="16.5" customHeight="1">
      <c r="O35956" s="5" t="s">
        <v>355</v>
      </c>
      <c r="P35956" s="5" t="s">
        <v>355</v>
      </c>
      <c r="Q35956" s="5" t="s">
        <v>355</v>
      </c>
    </row>
    <row r="35957" ht="16.5" customHeight="1">
      <c r="O35957" s="5" t="s">
        <v>355</v>
      </c>
      <c r="P35957" s="5" t="s">
        <v>355</v>
      </c>
      <c r="Q35957" s="5" t="s">
        <v>355</v>
      </c>
    </row>
    <row r="35958" ht="16.5" customHeight="1">
      <c r="O35958" s="5" t="s">
        <v>355</v>
      </c>
      <c r="P35958" s="5" t="s">
        <v>355</v>
      </c>
      <c r="Q35958" s="5" t="s">
        <v>355</v>
      </c>
    </row>
    <row r="35959" ht="16.5" customHeight="1">
      <c r="O35959" s="5" t="s">
        <v>355</v>
      </c>
      <c r="P35959" s="5" t="s">
        <v>355</v>
      </c>
      <c r="Q35959" s="5" t="s">
        <v>355</v>
      </c>
    </row>
    <row r="35960" ht="16.5" customHeight="1">
      <c r="O35960" s="5" t="s">
        <v>355</v>
      </c>
      <c r="P35960" s="5" t="s">
        <v>355</v>
      </c>
      <c r="Q35960" s="5" t="s">
        <v>355</v>
      </c>
    </row>
    <row r="35961" ht="16.5" customHeight="1">
      <c r="O35961" s="5" t="s">
        <v>355</v>
      </c>
      <c r="P35961" s="5" t="s">
        <v>355</v>
      </c>
      <c r="Q35961" s="5" t="s">
        <v>355</v>
      </c>
    </row>
    <row r="35962" ht="16.5" customHeight="1">
      <c r="O35962" s="5" t="s">
        <v>355</v>
      </c>
      <c r="P35962" s="5" t="s">
        <v>355</v>
      </c>
      <c r="Q35962" s="5" t="s">
        <v>355</v>
      </c>
    </row>
    <row r="35963" ht="16.5" customHeight="1">
      <c r="O35963" s="5" t="s">
        <v>355</v>
      </c>
      <c r="P35963" s="5" t="s">
        <v>355</v>
      </c>
      <c r="Q35963" s="5" t="s">
        <v>355</v>
      </c>
    </row>
    <row r="35964" ht="16.5" customHeight="1">
      <c r="O35964" s="5" t="s">
        <v>355</v>
      </c>
      <c r="P35964" s="5" t="s">
        <v>355</v>
      </c>
      <c r="Q35964" s="5" t="s">
        <v>355</v>
      </c>
    </row>
    <row r="35965" ht="16.5" customHeight="1">
      <c r="O35965" s="5" t="s">
        <v>355</v>
      </c>
      <c r="P35965" s="5" t="s">
        <v>355</v>
      </c>
      <c r="Q35965" s="5" t="s">
        <v>355</v>
      </c>
    </row>
    <row r="35966" ht="16.5" customHeight="1">
      <c r="O35966" s="5" t="s">
        <v>355</v>
      </c>
      <c r="P35966" s="5" t="s">
        <v>355</v>
      </c>
      <c r="Q35966" s="5" t="s">
        <v>355</v>
      </c>
    </row>
    <row r="35967" ht="16.5" customHeight="1">
      <c r="O35967" s="5" t="s">
        <v>355</v>
      </c>
      <c r="P35967" s="5" t="s">
        <v>355</v>
      </c>
      <c r="Q35967" s="5" t="s">
        <v>355</v>
      </c>
    </row>
    <row r="35968" ht="16.5" customHeight="1">
      <c r="O35968" s="5" t="s">
        <v>355</v>
      </c>
      <c r="P35968" s="5" t="s">
        <v>355</v>
      </c>
      <c r="Q35968" s="5" t="s">
        <v>355</v>
      </c>
    </row>
    <row r="35969" ht="16.5" customHeight="1">
      <c r="O35969" s="5" t="s">
        <v>355</v>
      </c>
      <c r="P35969" s="5" t="s">
        <v>355</v>
      </c>
      <c r="Q35969" s="5" t="s">
        <v>355</v>
      </c>
    </row>
    <row r="35970" ht="16.5" customHeight="1">
      <c r="O35970" s="5" t="s">
        <v>355</v>
      </c>
      <c r="P35970" s="5" t="s">
        <v>355</v>
      </c>
      <c r="Q35970" s="5" t="s">
        <v>355</v>
      </c>
    </row>
    <row r="35971" ht="16.5" customHeight="1">
      <c r="O35971" s="5" t="s">
        <v>355</v>
      </c>
      <c r="P35971" s="5" t="s">
        <v>355</v>
      </c>
      <c r="Q35971" s="5" t="s">
        <v>355</v>
      </c>
    </row>
    <row r="35972" ht="16.5" customHeight="1">
      <c r="O35972" s="5" t="s">
        <v>355</v>
      </c>
      <c r="P35972" s="5" t="s">
        <v>355</v>
      </c>
      <c r="Q35972" s="5" t="s">
        <v>355</v>
      </c>
    </row>
    <row r="35973" ht="16.5" customHeight="1">
      <c r="O35973" s="5" t="s">
        <v>355</v>
      </c>
      <c r="P35973" s="5" t="s">
        <v>355</v>
      </c>
      <c r="Q35973" s="5" t="s">
        <v>355</v>
      </c>
    </row>
    <row r="35974" ht="16.5" customHeight="1">
      <c r="O35974" s="5" t="s">
        <v>355</v>
      </c>
      <c r="P35974" s="5" t="s">
        <v>355</v>
      </c>
      <c r="Q35974" s="5" t="s">
        <v>355</v>
      </c>
    </row>
    <row r="35975" ht="16.5" customHeight="1">
      <c r="O35975" s="5" t="s">
        <v>355</v>
      </c>
      <c r="P35975" s="5" t="s">
        <v>355</v>
      </c>
      <c r="Q35975" s="5" t="s">
        <v>355</v>
      </c>
    </row>
    <row r="35976" ht="16.5" customHeight="1">
      <c r="O35976" s="5" t="s">
        <v>355</v>
      </c>
      <c r="P35976" s="5" t="s">
        <v>355</v>
      </c>
      <c r="Q35976" s="5" t="s">
        <v>355</v>
      </c>
    </row>
    <row r="35977" ht="16.5" customHeight="1">
      <c r="O35977" s="5" t="s">
        <v>355</v>
      </c>
      <c r="P35977" s="5" t="s">
        <v>355</v>
      </c>
      <c r="Q35977" s="5" t="s">
        <v>355</v>
      </c>
    </row>
    <row r="35978" ht="16.5" customHeight="1">
      <c r="O35978" s="5" t="s">
        <v>355</v>
      </c>
      <c r="P35978" s="5" t="s">
        <v>355</v>
      </c>
      <c r="Q35978" s="5" t="s">
        <v>355</v>
      </c>
    </row>
    <row r="35979" ht="16.5" customHeight="1">
      <c r="O35979" s="5" t="s">
        <v>355</v>
      </c>
      <c r="P35979" s="5" t="s">
        <v>355</v>
      </c>
      <c r="Q35979" s="5" t="s">
        <v>355</v>
      </c>
    </row>
    <row r="35980" ht="16.5" customHeight="1">
      <c r="O35980" s="5" t="s">
        <v>355</v>
      </c>
      <c r="P35980" s="5" t="s">
        <v>355</v>
      </c>
      <c r="Q35980" s="5" t="s">
        <v>355</v>
      </c>
    </row>
    <row r="35981" ht="16.5" customHeight="1">
      <c r="O35981" s="5" t="s">
        <v>355</v>
      </c>
      <c r="P35981" s="5" t="s">
        <v>355</v>
      </c>
      <c r="Q35981" s="5" t="s">
        <v>355</v>
      </c>
    </row>
    <row r="35982" ht="16.5" customHeight="1">
      <c r="O35982" s="5" t="s">
        <v>355</v>
      </c>
      <c r="P35982" s="5" t="s">
        <v>355</v>
      </c>
      <c r="Q35982" s="5" t="s">
        <v>355</v>
      </c>
    </row>
    <row r="35983" ht="16.5" customHeight="1">
      <c r="O35983" s="5" t="s">
        <v>355</v>
      </c>
      <c r="P35983" s="5" t="s">
        <v>355</v>
      </c>
      <c r="Q35983" s="5" t="s">
        <v>355</v>
      </c>
    </row>
    <row r="35984" ht="16.5" customHeight="1">
      <c r="O35984" s="5" t="s">
        <v>355</v>
      </c>
      <c r="P35984" s="5" t="s">
        <v>355</v>
      </c>
      <c r="Q35984" s="5" t="s">
        <v>355</v>
      </c>
    </row>
    <row r="35985" ht="16.5" customHeight="1">
      <c r="O35985" s="5" t="s">
        <v>355</v>
      </c>
      <c r="P35985" s="5" t="s">
        <v>355</v>
      </c>
      <c r="Q35985" s="5" t="s">
        <v>355</v>
      </c>
    </row>
    <row r="35986" ht="16.5" customHeight="1">
      <c r="O35986" s="5" t="s">
        <v>355</v>
      </c>
      <c r="P35986" s="5" t="s">
        <v>355</v>
      </c>
      <c r="Q35986" s="5" t="s">
        <v>355</v>
      </c>
    </row>
    <row r="35987" ht="16.5" customHeight="1">
      <c r="O35987" s="5" t="s">
        <v>355</v>
      </c>
      <c r="P35987" s="5" t="s">
        <v>355</v>
      </c>
      <c r="Q35987" s="5" t="s">
        <v>355</v>
      </c>
    </row>
    <row r="35988" ht="16.5" customHeight="1">
      <c r="O35988" s="5" t="s">
        <v>355</v>
      </c>
      <c r="P35988" s="5" t="s">
        <v>355</v>
      </c>
      <c r="Q35988" s="5" t="s">
        <v>355</v>
      </c>
    </row>
    <row r="35989" ht="16.5" customHeight="1">
      <c r="O35989" s="5" t="s">
        <v>355</v>
      </c>
      <c r="P35989" s="5" t="s">
        <v>355</v>
      </c>
      <c r="Q35989" s="5" t="s">
        <v>355</v>
      </c>
    </row>
    <row r="35990" ht="16.5" customHeight="1">
      <c r="O35990" s="5" t="s">
        <v>355</v>
      </c>
      <c r="P35990" s="5" t="s">
        <v>355</v>
      </c>
      <c r="Q35990" s="5" t="s">
        <v>355</v>
      </c>
    </row>
    <row r="35991" ht="16.5" customHeight="1">
      <c r="O35991" s="5" t="s">
        <v>355</v>
      </c>
      <c r="P35991" s="5" t="s">
        <v>355</v>
      </c>
      <c r="Q35991" s="5" t="s">
        <v>355</v>
      </c>
    </row>
    <row r="35992" ht="16.5" customHeight="1">
      <c r="O35992" s="5" t="s">
        <v>355</v>
      </c>
      <c r="P35992" s="5" t="s">
        <v>355</v>
      </c>
      <c r="Q35992" s="5" t="s">
        <v>355</v>
      </c>
    </row>
    <row r="35993" ht="16.5" customHeight="1">
      <c r="O35993" s="5" t="s">
        <v>355</v>
      </c>
      <c r="P35993" s="5" t="s">
        <v>355</v>
      </c>
      <c r="Q35993" s="5" t="s">
        <v>355</v>
      </c>
    </row>
    <row r="35994" ht="16.5" customHeight="1">
      <c r="O35994" s="5" t="s">
        <v>355</v>
      </c>
      <c r="P35994" s="5" t="s">
        <v>355</v>
      </c>
      <c r="Q35994" s="5" t="s">
        <v>355</v>
      </c>
    </row>
    <row r="35995" ht="16.5" customHeight="1">
      <c r="O35995" s="5" t="s">
        <v>355</v>
      </c>
      <c r="P35995" s="5" t="s">
        <v>355</v>
      </c>
      <c r="Q35995" s="5" t="s">
        <v>355</v>
      </c>
    </row>
    <row r="35996" ht="16.5" customHeight="1">
      <c r="O35996" s="5" t="s">
        <v>355</v>
      </c>
      <c r="P35996" s="5" t="s">
        <v>355</v>
      </c>
      <c r="Q35996" s="5" t="s">
        <v>355</v>
      </c>
    </row>
    <row r="35997" ht="16.5" customHeight="1">
      <c r="O35997" s="5" t="s">
        <v>355</v>
      </c>
      <c r="P35997" s="5" t="s">
        <v>355</v>
      </c>
      <c r="Q35997" s="5" t="s">
        <v>355</v>
      </c>
    </row>
    <row r="35998" ht="16.5" customHeight="1">
      <c r="O35998" s="5" t="s">
        <v>355</v>
      </c>
      <c r="P35998" s="5" t="s">
        <v>355</v>
      </c>
      <c r="Q35998" s="5" t="s">
        <v>355</v>
      </c>
    </row>
    <row r="35999" ht="16.5" customHeight="1">
      <c r="O35999" s="5" t="s">
        <v>355</v>
      </c>
      <c r="P35999" s="5" t="s">
        <v>355</v>
      </c>
      <c r="Q35999" s="5" t="s">
        <v>355</v>
      </c>
    </row>
    <row r="36000" ht="16.5" customHeight="1">
      <c r="O36000" s="5" t="s">
        <v>355</v>
      </c>
      <c r="P36000" s="5" t="s">
        <v>355</v>
      </c>
      <c r="Q36000" s="5" t="s">
        <v>355</v>
      </c>
    </row>
    <row r="36001" ht="16.5" customHeight="1">
      <c r="O36001" s="5" t="s">
        <v>355</v>
      </c>
      <c r="P36001" s="5" t="s">
        <v>355</v>
      </c>
      <c r="Q36001" s="5" t="s">
        <v>355</v>
      </c>
    </row>
    <row r="36002" ht="16.5" customHeight="1">
      <c r="O36002" s="5" t="s">
        <v>355</v>
      </c>
      <c r="P36002" s="5" t="s">
        <v>355</v>
      </c>
      <c r="Q36002" s="5" t="s">
        <v>355</v>
      </c>
    </row>
    <row r="36003" ht="16.5" customHeight="1">
      <c r="O36003" s="5" t="s">
        <v>355</v>
      </c>
      <c r="P36003" s="5" t="s">
        <v>355</v>
      </c>
      <c r="Q36003" s="5" t="s">
        <v>355</v>
      </c>
    </row>
    <row r="36004" ht="16.5" customHeight="1">
      <c r="O36004" s="5" t="s">
        <v>355</v>
      </c>
      <c r="P36004" s="5" t="s">
        <v>355</v>
      </c>
      <c r="Q36004" s="5" t="s">
        <v>355</v>
      </c>
    </row>
    <row r="36005" ht="16.5" customHeight="1">
      <c r="O36005" s="5" t="s">
        <v>355</v>
      </c>
      <c r="P36005" s="5" t="s">
        <v>355</v>
      </c>
      <c r="Q36005" s="5" t="s">
        <v>355</v>
      </c>
    </row>
    <row r="36006" ht="16.5" customHeight="1">
      <c r="O36006" s="5" t="s">
        <v>355</v>
      </c>
      <c r="P36006" s="5" t="s">
        <v>355</v>
      </c>
      <c r="Q36006" s="5" t="s">
        <v>355</v>
      </c>
    </row>
    <row r="36007" ht="16.5" customHeight="1">
      <c r="O36007" s="5" t="s">
        <v>355</v>
      </c>
      <c r="P36007" s="5" t="s">
        <v>355</v>
      </c>
      <c r="Q36007" s="5" t="s">
        <v>355</v>
      </c>
    </row>
    <row r="36008" ht="16.5" customHeight="1">
      <c r="O36008" s="5" t="s">
        <v>355</v>
      </c>
      <c r="P36008" s="5" t="s">
        <v>355</v>
      </c>
      <c r="Q36008" s="5" t="s">
        <v>355</v>
      </c>
    </row>
    <row r="36009" ht="16.5" customHeight="1">
      <c r="O36009" s="5" t="s">
        <v>355</v>
      </c>
      <c r="P36009" s="5" t="s">
        <v>355</v>
      </c>
      <c r="Q36009" s="5" t="s">
        <v>355</v>
      </c>
    </row>
    <row r="36010" ht="16.5" customHeight="1">
      <c r="O36010" s="5" t="s">
        <v>355</v>
      </c>
      <c r="P36010" s="5" t="s">
        <v>355</v>
      </c>
      <c r="Q36010" s="5" t="s">
        <v>355</v>
      </c>
    </row>
    <row r="36011" ht="16.5" customHeight="1">
      <c r="O36011" s="5" t="s">
        <v>355</v>
      </c>
      <c r="P36011" s="5" t="s">
        <v>355</v>
      </c>
      <c r="Q36011" s="5" t="s">
        <v>355</v>
      </c>
    </row>
    <row r="36012" ht="16.5" customHeight="1">
      <c r="O36012" s="5" t="s">
        <v>355</v>
      </c>
      <c r="P36012" s="5" t="s">
        <v>355</v>
      </c>
      <c r="Q36012" s="5" t="s">
        <v>355</v>
      </c>
    </row>
    <row r="36013" ht="16.5" customHeight="1">
      <c r="O36013" s="5" t="s">
        <v>355</v>
      </c>
      <c r="P36013" s="5" t="s">
        <v>355</v>
      </c>
      <c r="Q36013" s="5" t="s">
        <v>355</v>
      </c>
    </row>
    <row r="36014" ht="16.5" customHeight="1">
      <c r="O36014" s="5" t="s">
        <v>355</v>
      </c>
      <c r="P36014" s="5" t="s">
        <v>355</v>
      </c>
      <c r="Q36014" s="5" t="s">
        <v>355</v>
      </c>
    </row>
    <row r="36015" ht="16.5" customHeight="1">
      <c r="O36015" s="5" t="s">
        <v>355</v>
      </c>
      <c r="P36015" s="5" t="s">
        <v>355</v>
      </c>
      <c r="Q36015" s="5" t="s">
        <v>355</v>
      </c>
    </row>
    <row r="36016" ht="16.5" customHeight="1">
      <c r="O36016" s="5" t="s">
        <v>355</v>
      </c>
      <c r="P36016" s="5" t="s">
        <v>355</v>
      </c>
      <c r="Q36016" s="5" t="s">
        <v>355</v>
      </c>
    </row>
    <row r="36017" ht="16.5" customHeight="1">
      <c r="O36017" s="5" t="s">
        <v>355</v>
      </c>
      <c r="P36017" s="5" t="s">
        <v>355</v>
      </c>
      <c r="Q36017" s="5" t="s">
        <v>355</v>
      </c>
    </row>
    <row r="36018" ht="16.5" customHeight="1">
      <c r="O36018" s="5" t="s">
        <v>355</v>
      </c>
      <c r="P36018" s="5" t="s">
        <v>355</v>
      </c>
      <c r="Q36018" s="5" t="s">
        <v>355</v>
      </c>
    </row>
    <row r="36019" ht="16.5" customHeight="1">
      <c r="O36019" s="5" t="s">
        <v>355</v>
      </c>
      <c r="P36019" s="5" t="s">
        <v>355</v>
      </c>
      <c r="Q36019" s="5" t="s">
        <v>355</v>
      </c>
    </row>
    <row r="36020" ht="16.5" customHeight="1">
      <c r="O36020" s="5" t="s">
        <v>355</v>
      </c>
      <c r="P36020" s="5" t="s">
        <v>355</v>
      </c>
      <c r="Q36020" s="5" t="s">
        <v>355</v>
      </c>
    </row>
    <row r="36021" ht="16.5" customHeight="1">
      <c r="O36021" s="5" t="s">
        <v>355</v>
      </c>
      <c r="P36021" s="5" t="s">
        <v>355</v>
      </c>
      <c r="Q36021" s="5" t="s">
        <v>355</v>
      </c>
    </row>
    <row r="36022" ht="16.5" customHeight="1">
      <c r="O36022" s="5" t="s">
        <v>355</v>
      </c>
      <c r="P36022" s="5" t="s">
        <v>355</v>
      </c>
      <c r="Q36022" s="5" t="s">
        <v>355</v>
      </c>
    </row>
    <row r="36023" ht="16.5" customHeight="1">
      <c r="O36023" s="5" t="s">
        <v>355</v>
      </c>
      <c r="P36023" s="5" t="s">
        <v>355</v>
      </c>
      <c r="Q36023" s="5" t="s">
        <v>355</v>
      </c>
    </row>
    <row r="36024" ht="16.5" customHeight="1">
      <c r="O36024" s="5" t="s">
        <v>355</v>
      </c>
      <c r="P36024" s="5" t="s">
        <v>355</v>
      </c>
      <c r="Q36024" s="5" t="s">
        <v>355</v>
      </c>
    </row>
    <row r="36025" ht="16.5" customHeight="1">
      <c r="O36025" s="5" t="s">
        <v>355</v>
      </c>
      <c r="P36025" s="5" t="s">
        <v>355</v>
      </c>
      <c r="Q36025" s="5" t="s">
        <v>355</v>
      </c>
    </row>
    <row r="36026" ht="16.5" customHeight="1">
      <c r="O36026" s="5" t="s">
        <v>355</v>
      </c>
      <c r="P36026" s="5" t="s">
        <v>355</v>
      </c>
      <c r="Q36026" s="5" t="s">
        <v>355</v>
      </c>
    </row>
    <row r="36027" ht="16.5" customHeight="1">
      <c r="O36027" s="5" t="s">
        <v>355</v>
      </c>
      <c r="P36027" s="5" t="s">
        <v>355</v>
      </c>
      <c r="Q36027" s="5" t="s">
        <v>355</v>
      </c>
    </row>
    <row r="36028" ht="16.5" customHeight="1">
      <c r="O36028" s="5" t="s">
        <v>355</v>
      </c>
      <c r="P36028" s="5" t="s">
        <v>355</v>
      </c>
      <c r="Q36028" s="5" t="s">
        <v>355</v>
      </c>
    </row>
    <row r="36029" ht="16.5" customHeight="1">
      <c r="O36029" s="5" t="s">
        <v>355</v>
      </c>
      <c r="P36029" s="5" t="s">
        <v>355</v>
      </c>
      <c r="Q36029" s="5" t="s">
        <v>355</v>
      </c>
    </row>
    <row r="36030" ht="16.5" customHeight="1">
      <c r="O36030" s="5" t="s">
        <v>355</v>
      </c>
      <c r="P36030" s="5" t="s">
        <v>355</v>
      </c>
      <c r="Q36030" s="5" t="s">
        <v>355</v>
      </c>
    </row>
    <row r="36031" ht="16.5" customHeight="1">
      <c r="O36031" s="5" t="s">
        <v>355</v>
      </c>
      <c r="P36031" s="5" t="s">
        <v>355</v>
      </c>
      <c r="Q36031" s="5" t="s">
        <v>355</v>
      </c>
    </row>
    <row r="36032" ht="16.5" customHeight="1">
      <c r="O36032" s="5" t="s">
        <v>355</v>
      </c>
      <c r="P36032" s="5" t="s">
        <v>355</v>
      </c>
      <c r="Q36032" s="5" t="s">
        <v>355</v>
      </c>
    </row>
    <row r="36033" ht="16.5" customHeight="1">
      <c r="O36033" s="5" t="s">
        <v>355</v>
      </c>
      <c r="P36033" s="5" t="s">
        <v>355</v>
      </c>
      <c r="Q36033" s="5" t="s">
        <v>355</v>
      </c>
    </row>
    <row r="36034" ht="16.5" customHeight="1">
      <c r="O36034" s="5" t="s">
        <v>355</v>
      </c>
      <c r="P36034" s="5" t="s">
        <v>355</v>
      </c>
      <c r="Q36034" s="5" t="s">
        <v>355</v>
      </c>
    </row>
    <row r="36035" ht="16.5" customHeight="1">
      <c r="O36035" s="5" t="s">
        <v>355</v>
      </c>
      <c r="P36035" s="5" t="s">
        <v>355</v>
      </c>
      <c r="Q36035" s="5" t="s">
        <v>355</v>
      </c>
    </row>
    <row r="36036" ht="16.5" customHeight="1">
      <c r="O36036" s="5" t="s">
        <v>355</v>
      </c>
      <c r="P36036" s="5" t="s">
        <v>355</v>
      </c>
      <c r="Q36036" s="5" t="s">
        <v>355</v>
      </c>
    </row>
    <row r="36037" ht="16.5" customHeight="1">
      <c r="O36037" s="5" t="s">
        <v>355</v>
      </c>
      <c r="P36037" s="5" t="s">
        <v>355</v>
      </c>
      <c r="Q36037" s="5" t="s">
        <v>355</v>
      </c>
    </row>
    <row r="36038" ht="16.5" customHeight="1">
      <c r="O36038" s="5" t="s">
        <v>355</v>
      </c>
      <c r="P36038" s="5" t="s">
        <v>355</v>
      </c>
      <c r="Q36038" s="5" t="s">
        <v>355</v>
      </c>
    </row>
    <row r="36039" ht="16.5" customHeight="1">
      <c r="O36039" s="5" t="s">
        <v>355</v>
      </c>
      <c r="P36039" s="5" t="s">
        <v>355</v>
      </c>
      <c r="Q36039" s="5" t="s">
        <v>355</v>
      </c>
    </row>
    <row r="36040" ht="16.5" customHeight="1">
      <c r="O36040" s="5" t="s">
        <v>355</v>
      </c>
      <c r="P36040" s="5" t="s">
        <v>355</v>
      </c>
      <c r="Q36040" s="5" t="s">
        <v>355</v>
      </c>
    </row>
    <row r="36041" ht="16.5" customHeight="1">
      <c r="O36041" s="5" t="s">
        <v>355</v>
      </c>
      <c r="P36041" s="5" t="s">
        <v>355</v>
      </c>
      <c r="Q36041" s="5" t="s">
        <v>355</v>
      </c>
    </row>
    <row r="36042" ht="16.5" customHeight="1">
      <c r="O36042" s="5" t="s">
        <v>355</v>
      </c>
      <c r="P36042" s="5" t="s">
        <v>355</v>
      </c>
      <c r="Q36042" s="5" t="s">
        <v>355</v>
      </c>
    </row>
    <row r="36043" ht="16.5" customHeight="1">
      <c r="O36043" s="5" t="s">
        <v>355</v>
      </c>
      <c r="P36043" s="5" t="s">
        <v>355</v>
      </c>
      <c r="Q36043" s="5" t="s">
        <v>355</v>
      </c>
    </row>
    <row r="36044" ht="16.5" customHeight="1">
      <c r="O36044" s="5" t="s">
        <v>355</v>
      </c>
      <c r="P36044" s="5" t="s">
        <v>355</v>
      </c>
      <c r="Q36044" s="5" t="s">
        <v>355</v>
      </c>
    </row>
    <row r="36045" ht="16.5" customHeight="1">
      <c r="O36045" s="5" t="s">
        <v>355</v>
      </c>
      <c r="P36045" s="5" t="s">
        <v>355</v>
      </c>
      <c r="Q36045" s="5" t="s">
        <v>355</v>
      </c>
    </row>
    <row r="36046" ht="16.5" customHeight="1">
      <c r="O36046" s="5" t="s">
        <v>355</v>
      </c>
      <c r="P36046" s="5" t="s">
        <v>355</v>
      </c>
      <c r="Q36046" s="5" t="s">
        <v>355</v>
      </c>
    </row>
    <row r="36047" ht="16.5" customHeight="1">
      <c r="O36047" s="5" t="s">
        <v>355</v>
      </c>
      <c r="P36047" s="5" t="s">
        <v>355</v>
      </c>
      <c r="Q36047" s="5" t="s">
        <v>355</v>
      </c>
    </row>
    <row r="36048" ht="16.5" customHeight="1">
      <c r="O36048" s="5" t="s">
        <v>355</v>
      </c>
      <c r="P36048" s="5" t="s">
        <v>355</v>
      </c>
      <c r="Q36048" s="5" t="s">
        <v>355</v>
      </c>
    </row>
    <row r="36049" ht="16.5" customHeight="1">
      <c r="O36049" s="5" t="s">
        <v>355</v>
      </c>
      <c r="P36049" s="5" t="s">
        <v>355</v>
      </c>
      <c r="Q36049" s="5" t="s">
        <v>355</v>
      </c>
    </row>
    <row r="36050" ht="16.5" customHeight="1">
      <c r="O36050" s="5" t="s">
        <v>355</v>
      </c>
      <c r="P36050" s="5" t="s">
        <v>355</v>
      </c>
      <c r="Q36050" s="5" t="s">
        <v>355</v>
      </c>
    </row>
    <row r="36051" ht="16.5" customHeight="1">
      <c r="O36051" s="5" t="s">
        <v>355</v>
      </c>
      <c r="P36051" s="5" t="s">
        <v>355</v>
      </c>
      <c r="Q36051" s="5" t="s">
        <v>355</v>
      </c>
    </row>
    <row r="36052" ht="16.5" customHeight="1">
      <c r="O36052" s="5" t="s">
        <v>355</v>
      </c>
      <c r="P36052" s="5" t="s">
        <v>355</v>
      </c>
      <c r="Q36052" s="5" t="s">
        <v>355</v>
      </c>
    </row>
    <row r="36053" ht="16.5" customHeight="1">
      <c r="O36053" s="5" t="s">
        <v>355</v>
      </c>
      <c r="P36053" s="5" t="s">
        <v>355</v>
      </c>
      <c r="Q36053" s="5" t="s">
        <v>355</v>
      </c>
    </row>
    <row r="36054" ht="16.5" customHeight="1">
      <c r="O36054" s="5" t="s">
        <v>355</v>
      </c>
      <c r="P36054" s="5" t="s">
        <v>355</v>
      </c>
      <c r="Q36054" s="5" t="s">
        <v>355</v>
      </c>
    </row>
    <row r="36055" ht="16.5" customHeight="1">
      <c r="O36055" s="5" t="s">
        <v>355</v>
      </c>
      <c r="P36055" s="5" t="s">
        <v>355</v>
      </c>
      <c r="Q36055" s="5" t="s">
        <v>355</v>
      </c>
    </row>
    <row r="36056" ht="16.5" customHeight="1">
      <c r="O36056" s="5" t="s">
        <v>355</v>
      </c>
      <c r="P36056" s="5" t="s">
        <v>355</v>
      </c>
      <c r="Q36056" s="5" t="s">
        <v>355</v>
      </c>
    </row>
    <row r="36057" ht="16.5" customHeight="1">
      <c r="O36057" s="5" t="s">
        <v>355</v>
      </c>
      <c r="P36057" s="5" t="s">
        <v>355</v>
      </c>
      <c r="Q36057" s="5" t="s">
        <v>355</v>
      </c>
    </row>
    <row r="36058" ht="16.5" customHeight="1">
      <c r="O36058" s="5" t="s">
        <v>355</v>
      </c>
      <c r="P36058" s="5" t="s">
        <v>355</v>
      </c>
      <c r="Q36058" s="5" t="s">
        <v>355</v>
      </c>
    </row>
    <row r="36059" ht="16.5" customHeight="1">
      <c r="O36059" s="5" t="s">
        <v>355</v>
      </c>
      <c r="P36059" s="5" t="s">
        <v>355</v>
      </c>
      <c r="Q36059" s="5" t="s">
        <v>355</v>
      </c>
    </row>
    <row r="36060" ht="16.5" customHeight="1">
      <c r="O36060" s="5" t="s">
        <v>355</v>
      </c>
      <c r="P36060" s="5" t="s">
        <v>355</v>
      </c>
      <c r="Q36060" s="5" t="s">
        <v>355</v>
      </c>
    </row>
    <row r="36061" ht="16.5" customHeight="1">
      <c r="O36061" s="5" t="s">
        <v>355</v>
      </c>
      <c r="P36061" s="5" t="s">
        <v>355</v>
      </c>
      <c r="Q36061" s="5" t="s">
        <v>355</v>
      </c>
    </row>
    <row r="36062" ht="16.5" customHeight="1">
      <c r="O36062" s="5" t="s">
        <v>355</v>
      </c>
      <c r="P36062" s="5" t="s">
        <v>355</v>
      </c>
      <c r="Q36062" s="5" t="s">
        <v>355</v>
      </c>
    </row>
    <row r="36063" ht="16.5" customHeight="1">
      <c r="O36063" s="5" t="s">
        <v>355</v>
      </c>
      <c r="P36063" s="5" t="s">
        <v>355</v>
      </c>
      <c r="Q36063" s="5" t="s">
        <v>355</v>
      </c>
    </row>
    <row r="36064" ht="16.5" customHeight="1">
      <c r="O36064" s="5" t="s">
        <v>355</v>
      </c>
      <c r="P36064" s="5" t="s">
        <v>355</v>
      </c>
      <c r="Q36064" s="5" t="s">
        <v>355</v>
      </c>
    </row>
    <row r="36065" ht="16.5" customHeight="1">
      <c r="O36065" s="5" t="s">
        <v>355</v>
      </c>
      <c r="P36065" s="5" t="s">
        <v>355</v>
      </c>
      <c r="Q36065" s="5" t="s">
        <v>355</v>
      </c>
    </row>
    <row r="36066" ht="16.5" customHeight="1">
      <c r="O36066" s="5" t="s">
        <v>355</v>
      </c>
      <c r="P36066" s="5" t="s">
        <v>355</v>
      </c>
      <c r="Q36066" s="5" t="s">
        <v>355</v>
      </c>
    </row>
    <row r="36067" ht="16.5" customHeight="1">
      <c r="O36067" s="5" t="s">
        <v>355</v>
      </c>
      <c r="P36067" s="5" t="s">
        <v>355</v>
      </c>
      <c r="Q36067" s="5" t="s">
        <v>355</v>
      </c>
    </row>
    <row r="36068" ht="16.5" customHeight="1">
      <c r="O36068" s="5" t="s">
        <v>355</v>
      </c>
      <c r="P36068" s="5" t="s">
        <v>355</v>
      </c>
      <c r="Q36068" s="5" t="s">
        <v>355</v>
      </c>
    </row>
    <row r="36069" ht="16.5" customHeight="1">
      <c r="O36069" s="5" t="s">
        <v>355</v>
      </c>
      <c r="P36069" s="5" t="s">
        <v>355</v>
      </c>
      <c r="Q36069" s="5" t="s">
        <v>355</v>
      </c>
    </row>
    <row r="36070" ht="16.5" customHeight="1">
      <c r="O36070" s="5" t="s">
        <v>355</v>
      </c>
      <c r="P36070" s="5" t="s">
        <v>355</v>
      </c>
      <c r="Q36070" s="5" t="s">
        <v>355</v>
      </c>
    </row>
    <row r="36071" ht="16.5" customHeight="1">
      <c r="O36071" s="5" t="s">
        <v>355</v>
      </c>
      <c r="P36071" s="5" t="s">
        <v>355</v>
      </c>
      <c r="Q36071" s="5" t="s">
        <v>355</v>
      </c>
    </row>
    <row r="36072" ht="16.5" customHeight="1">
      <c r="O36072" s="5" t="s">
        <v>355</v>
      </c>
      <c r="P36072" s="5" t="s">
        <v>355</v>
      </c>
      <c r="Q36072" s="5" t="s">
        <v>355</v>
      </c>
    </row>
    <row r="36073" ht="16.5" customHeight="1">
      <c r="O36073" s="5" t="s">
        <v>355</v>
      </c>
      <c r="P36073" s="5" t="s">
        <v>355</v>
      </c>
      <c r="Q36073" s="5" t="s">
        <v>355</v>
      </c>
    </row>
    <row r="36074" ht="16.5" customHeight="1">
      <c r="O36074" s="5" t="s">
        <v>355</v>
      </c>
      <c r="P36074" s="5" t="s">
        <v>355</v>
      </c>
      <c r="Q36074" s="5" t="s">
        <v>355</v>
      </c>
    </row>
    <row r="36075" ht="16.5" customHeight="1">
      <c r="O36075" s="5" t="s">
        <v>355</v>
      </c>
      <c r="P36075" s="5" t="s">
        <v>355</v>
      </c>
      <c r="Q36075" s="5" t="s">
        <v>355</v>
      </c>
    </row>
    <row r="36076" ht="16.5" customHeight="1">
      <c r="O36076" s="5" t="s">
        <v>355</v>
      </c>
      <c r="P36076" s="5" t="s">
        <v>355</v>
      </c>
      <c r="Q36076" s="5" t="s">
        <v>355</v>
      </c>
    </row>
    <row r="36077" ht="16.5" customHeight="1">
      <c r="O36077" s="5" t="s">
        <v>355</v>
      </c>
      <c r="P36077" s="5" t="s">
        <v>355</v>
      </c>
      <c r="Q36077" s="5" t="s">
        <v>355</v>
      </c>
    </row>
    <row r="36078" ht="16.5" customHeight="1">
      <c r="O36078" s="5" t="s">
        <v>355</v>
      </c>
      <c r="P36078" s="5" t="s">
        <v>355</v>
      </c>
      <c r="Q36078" s="5" t="s">
        <v>355</v>
      </c>
    </row>
    <row r="36079" ht="16.5" customHeight="1">
      <c r="O36079" s="5" t="s">
        <v>355</v>
      </c>
      <c r="P36079" s="5" t="s">
        <v>355</v>
      </c>
      <c r="Q36079" s="5" t="s">
        <v>355</v>
      </c>
    </row>
    <row r="36080" ht="16.5" customHeight="1">
      <c r="O36080" s="5" t="s">
        <v>355</v>
      </c>
      <c r="P36080" s="5" t="s">
        <v>355</v>
      </c>
      <c r="Q36080" s="5" t="s">
        <v>355</v>
      </c>
    </row>
    <row r="36081" ht="16.5" customHeight="1">
      <c r="O36081" s="5" t="s">
        <v>355</v>
      </c>
      <c r="P36081" s="5" t="s">
        <v>355</v>
      </c>
      <c r="Q36081" s="5" t="s">
        <v>355</v>
      </c>
    </row>
    <row r="36082" ht="16.5" customHeight="1">
      <c r="O36082" s="5" t="s">
        <v>355</v>
      </c>
      <c r="P36082" s="5" t="s">
        <v>355</v>
      </c>
      <c r="Q36082" s="5" t="s">
        <v>355</v>
      </c>
    </row>
    <row r="36083" ht="16.5" customHeight="1">
      <c r="O36083" s="5" t="s">
        <v>355</v>
      </c>
      <c r="P36083" s="5" t="s">
        <v>355</v>
      </c>
      <c r="Q36083" s="5" t="s">
        <v>355</v>
      </c>
    </row>
    <row r="36084" ht="16.5" customHeight="1">
      <c r="O36084" s="5" t="s">
        <v>355</v>
      </c>
      <c r="P36084" s="5" t="s">
        <v>355</v>
      </c>
      <c r="Q36084" s="5" t="s">
        <v>355</v>
      </c>
    </row>
    <row r="36085" ht="16.5" customHeight="1">
      <c r="O36085" s="5" t="s">
        <v>355</v>
      </c>
      <c r="P36085" s="5" t="s">
        <v>355</v>
      </c>
      <c r="Q36085" s="5" t="s">
        <v>355</v>
      </c>
    </row>
    <row r="36086" ht="16.5" customHeight="1">
      <c r="O36086" s="5" t="s">
        <v>355</v>
      </c>
      <c r="P36086" s="5" t="s">
        <v>355</v>
      </c>
      <c r="Q36086" s="5" t="s">
        <v>355</v>
      </c>
    </row>
    <row r="36087" ht="16.5" customHeight="1">
      <c r="O36087" s="5" t="s">
        <v>355</v>
      </c>
      <c r="P36087" s="5" t="s">
        <v>355</v>
      </c>
      <c r="Q36087" s="5" t="s">
        <v>355</v>
      </c>
    </row>
    <row r="36088" ht="16.5" customHeight="1">
      <c r="O36088" s="5" t="s">
        <v>355</v>
      </c>
      <c r="P36088" s="5" t="s">
        <v>355</v>
      </c>
      <c r="Q36088" s="5" t="s">
        <v>355</v>
      </c>
    </row>
    <row r="36089" ht="16.5" customHeight="1">
      <c r="O36089" s="5" t="s">
        <v>355</v>
      </c>
      <c r="P36089" s="5" t="s">
        <v>355</v>
      </c>
      <c r="Q36089" s="5" t="s">
        <v>355</v>
      </c>
    </row>
    <row r="36090" ht="16.5" customHeight="1">
      <c r="O36090" s="5" t="s">
        <v>355</v>
      </c>
      <c r="P36090" s="5" t="s">
        <v>355</v>
      </c>
      <c r="Q36090" s="5" t="s">
        <v>355</v>
      </c>
    </row>
    <row r="36091" ht="16.5" customHeight="1">
      <c r="O36091" s="5" t="s">
        <v>355</v>
      </c>
      <c r="P36091" s="5" t="s">
        <v>355</v>
      </c>
      <c r="Q36091" s="5" t="s">
        <v>355</v>
      </c>
    </row>
    <row r="36092" ht="16.5" customHeight="1">
      <c r="O36092" s="5" t="s">
        <v>355</v>
      </c>
      <c r="P36092" s="5" t="s">
        <v>355</v>
      </c>
      <c r="Q36092" s="5" t="s">
        <v>355</v>
      </c>
    </row>
    <row r="36093" ht="16.5" customHeight="1">
      <c r="O36093" s="5" t="s">
        <v>355</v>
      </c>
      <c r="P36093" s="5" t="s">
        <v>355</v>
      </c>
      <c r="Q36093" s="5" t="s">
        <v>355</v>
      </c>
    </row>
    <row r="36094" ht="16.5" customHeight="1">
      <c r="O36094" s="5" t="s">
        <v>355</v>
      </c>
      <c r="P36094" s="5" t="s">
        <v>355</v>
      </c>
      <c r="Q36094" s="5" t="s">
        <v>355</v>
      </c>
    </row>
    <row r="36095" ht="16.5" customHeight="1">
      <c r="O36095" s="5" t="s">
        <v>355</v>
      </c>
      <c r="P36095" s="5" t="s">
        <v>355</v>
      </c>
      <c r="Q36095" s="5" t="s">
        <v>355</v>
      </c>
    </row>
    <row r="36096" ht="16.5" customHeight="1">
      <c r="O36096" s="5" t="s">
        <v>355</v>
      </c>
      <c r="P36096" s="5" t="s">
        <v>355</v>
      </c>
      <c r="Q36096" s="5" t="s">
        <v>355</v>
      </c>
    </row>
    <row r="36097" ht="16.5" customHeight="1">
      <c r="O36097" s="5" t="s">
        <v>355</v>
      </c>
      <c r="P36097" s="5" t="s">
        <v>355</v>
      </c>
      <c r="Q36097" s="5" t="s">
        <v>355</v>
      </c>
    </row>
    <row r="36098" ht="16.5" customHeight="1">
      <c r="O36098" s="5" t="s">
        <v>355</v>
      </c>
      <c r="P36098" s="5" t="s">
        <v>355</v>
      </c>
      <c r="Q36098" s="5" t="s">
        <v>355</v>
      </c>
    </row>
    <row r="36099" ht="16.5" customHeight="1">
      <c r="O36099" s="5" t="s">
        <v>355</v>
      </c>
      <c r="P36099" s="5" t="s">
        <v>355</v>
      </c>
      <c r="Q36099" s="5" t="s">
        <v>355</v>
      </c>
    </row>
    <row r="36100" ht="16.5" customHeight="1">
      <c r="O36100" s="5" t="s">
        <v>355</v>
      </c>
      <c r="P36100" s="5" t="s">
        <v>355</v>
      </c>
      <c r="Q36100" s="5" t="s">
        <v>355</v>
      </c>
    </row>
    <row r="36101" ht="16.5" customHeight="1">
      <c r="O36101" s="5" t="s">
        <v>355</v>
      </c>
      <c r="P36101" s="5" t="s">
        <v>355</v>
      </c>
      <c r="Q36101" s="5" t="s">
        <v>355</v>
      </c>
    </row>
    <row r="36102" ht="16.5" customHeight="1">
      <c r="O36102" s="5" t="s">
        <v>355</v>
      </c>
      <c r="P36102" s="5" t="s">
        <v>355</v>
      </c>
      <c r="Q36102" s="5" t="s">
        <v>355</v>
      </c>
    </row>
    <row r="36103" ht="16.5" customHeight="1">
      <c r="O36103" s="5" t="s">
        <v>355</v>
      </c>
      <c r="P36103" s="5" t="s">
        <v>355</v>
      </c>
      <c r="Q36103" s="5" t="s">
        <v>355</v>
      </c>
    </row>
    <row r="36104" ht="16.5" customHeight="1">
      <c r="O36104" s="5" t="s">
        <v>355</v>
      </c>
      <c r="P36104" s="5" t="s">
        <v>355</v>
      </c>
      <c r="Q36104" s="5" t="s">
        <v>355</v>
      </c>
    </row>
    <row r="36105" ht="16.5" customHeight="1">
      <c r="O36105" s="5" t="s">
        <v>355</v>
      </c>
      <c r="P36105" s="5" t="s">
        <v>355</v>
      </c>
      <c r="Q36105" s="5" t="s">
        <v>355</v>
      </c>
    </row>
    <row r="36106" ht="16.5" customHeight="1">
      <c r="O36106" s="5" t="s">
        <v>355</v>
      </c>
      <c r="P36106" s="5" t="s">
        <v>355</v>
      </c>
      <c r="Q36106" s="5" t="s">
        <v>355</v>
      </c>
    </row>
    <row r="36107" ht="16.5" customHeight="1">
      <c r="O36107" s="5" t="s">
        <v>355</v>
      </c>
      <c r="P36107" s="5" t="s">
        <v>355</v>
      </c>
      <c r="Q36107" s="5" t="s">
        <v>355</v>
      </c>
    </row>
    <row r="36108" ht="16.5" customHeight="1">
      <c r="O36108" s="5" t="s">
        <v>355</v>
      </c>
      <c r="P36108" s="5" t="s">
        <v>355</v>
      </c>
      <c r="Q36108" s="5" t="s">
        <v>355</v>
      </c>
    </row>
    <row r="36109" ht="16.5" customHeight="1">
      <c r="O36109" s="5" t="s">
        <v>355</v>
      </c>
      <c r="P36109" s="5" t="s">
        <v>355</v>
      </c>
      <c r="Q36109" s="5" t="s">
        <v>355</v>
      </c>
    </row>
    <row r="36110" ht="16.5" customHeight="1">
      <c r="O36110" s="5" t="s">
        <v>355</v>
      </c>
      <c r="P36110" s="5" t="s">
        <v>355</v>
      </c>
      <c r="Q36110" s="5" t="s">
        <v>355</v>
      </c>
    </row>
    <row r="36111" ht="16.5" customHeight="1">
      <c r="O36111" s="5" t="s">
        <v>355</v>
      </c>
      <c r="P36111" s="5" t="s">
        <v>355</v>
      </c>
      <c r="Q36111" s="5" t="s">
        <v>355</v>
      </c>
    </row>
    <row r="36112" ht="16.5" customHeight="1">
      <c r="O36112" s="5" t="s">
        <v>355</v>
      </c>
      <c r="P36112" s="5" t="s">
        <v>355</v>
      </c>
      <c r="Q36112" s="5" t="s">
        <v>355</v>
      </c>
    </row>
    <row r="36113" ht="16.5" customHeight="1">
      <c r="O36113" s="5" t="s">
        <v>355</v>
      </c>
      <c r="P36113" s="5" t="s">
        <v>355</v>
      </c>
      <c r="Q36113" s="5" t="s">
        <v>355</v>
      </c>
    </row>
    <row r="36114" ht="16.5" customHeight="1">
      <c r="O36114" s="5" t="s">
        <v>355</v>
      </c>
      <c r="P36114" s="5" t="s">
        <v>355</v>
      </c>
      <c r="Q36114" s="5" t="s">
        <v>355</v>
      </c>
    </row>
    <row r="36115" ht="16.5" customHeight="1">
      <c r="O36115" s="5" t="s">
        <v>355</v>
      </c>
      <c r="P36115" s="5" t="s">
        <v>355</v>
      </c>
      <c r="Q36115" s="5" t="s">
        <v>355</v>
      </c>
    </row>
    <row r="36116" ht="16.5" customHeight="1">
      <c r="O36116" s="5" t="s">
        <v>355</v>
      </c>
      <c r="P36116" s="5" t="s">
        <v>355</v>
      </c>
      <c r="Q36116" s="5" t="s">
        <v>355</v>
      </c>
    </row>
    <row r="36117" ht="16.5" customHeight="1">
      <c r="O36117" s="5" t="s">
        <v>355</v>
      </c>
      <c r="P36117" s="5" t="s">
        <v>355</v>
      </c>
      <c r="Q36117" s="5" t="s">
        <v>355</v>
      </c>
    </row>
    <row r="36118" ht="16.5" customHeight="1">
      <c r="O36118" s="5" t="s">
        <v>355</v>
      </c>
      <c r="P36118" s="5" t="s">
        <v>355</v>
      </c>
      <c r="Q36118" s="5" t="s">
        <v>355</v>
      </c>
    </row>
    <row r="36119" ht="16.5" customHeight="1">
      <c r="O36119" s="5" t="s">
        <v>355</v>
      </c>
      <c r="P36119" s="5" t="s">
        <v>355</v>
      </c>
      <c r="Q36119" s="5" t="s">
        <v>355</v>
      </c>
    </row>
    <row r="36120" ht="16.5" customHeight="1">
      <c r="O36120" s="5" t="s">
        <v>355</v>
      </c>
      <c r="P36120" s="5" t="s">
        <v>355</v>
      </c>
      <c r="Q36120" s="5" t="s">
        <v>355</v>
      </c>
    </row>
    <row r="36121" ht="16.5" customHeight="1">
      <c r="O36121" s="5" t="s">
        <v>355</v>
      </c>
      <c r="P36121" s="5" t="s">
        <v>355</v>
      </c>
      <c r="Q36121" s="5" t="s">
        <v>355</v>
      </c>
    </row>
    <row r="36122" ht="16.5" customHeight="1">
      <c r="O36122" s="5" t="s">
        <v>355</v>
      </c>
      <c r="P36122" s="5" t="s">
        <v>355</v>
      </c>
      <c r="Q36122" s="5" t="s">
        <v>355</v>
      </c>
    </row>
    <row r="36123" ht="16.5" customHeight="1">
      <c r="O36123" s="5" t="s">
        <v>355</v>
      </c>
      <c r="P36123" s="5" t="s">
        <v>355</v>
      </c>
      <c r="Q36123" s="5" t="s">
        <v>355</v>
      </c>
    </row>
    <row r="36124" ht="16.5" customHeight="1">
      <c r="O36124" s="5" t="s">
        <v>355</v>
      </c>
      <c r="P36124" s="5" t="s">
        <v>355</v>
      </c>
      <c r="Q36124" s="5" t="s">
        <v>355</v>
      </c>
    </row>
    <row r="36125" ht="16.5" customHeight="1">
      <c r="O36125" s="5" t="s">
        <v>355</v>
      </c>
      <c r="P36125" s="5" t="s">
        <v>355</v>
      </c>
      <c r="Q36125" s="5" t="s">
        <v>355</v>
      </c>
    </row>
    <row r="36126" ht="16.5" customHeight="1">
      <c r="O36126" s="5" t="s">
        <v>355</v>
      </c>
      <c r="P36126" s="5" t="s">
        <v>355</v>
      </c>
      <c r="Q36126" s="5" t="s">
        <v>355</v>
      </c>
    </row>
    <row r="36127" ht="16.5" customHeight="1">
      <c r="O36127" s="5" t="s">
        <v>355</v>
      </c>
      <c r="P36127" s="5" t="s">
        <v>355</v>
      </c>
      <c r="Q36127" s="5" t="s">
        <v>355</v>
      </c>
    </row>
    <row r="36128" ht="16.5" customHeight="1">
      <c r="O36128" s="5" t="s">
        <v>355</v>
      </c>
      <c r="P36128" s="5" t="s">
        <v>355</v>
      </c>
      <c r="Q36128" s="5" t="s">
        <v>355</v>
      </c>
    </row>
    <row r="36129" ht="16.5" customHeight="1">
      <c r="O36129" s="5" t="s">
        <v>355</v>
      </c>
      <c r="P36129" s="5" t="s">
        <v>355</v>
      </c>
      <c r="Q36129" s="5" t="s">
        <v>355</v>
      </c>
    </row>
    <row r="36130" ht="16.5" customHeight="1">
      <c r="O36130" s="5" t="s">
        <v>355</v>
      </c>
      <c r="P36130" s="5" t="s">
        <v>355</v>
      </c>
      <c r="Q36130" s="5" t="s">
        <v>355</v>
      </c>
    </row>
    <row r="36131" ht="16.5" customHeight="1">
      <c r="O36131" s="5" t="s">
        <v>355</v>
      </c>
      <c r="P36131" s="5" t="s">
        <v>355</v>
      </c>
      <c r="Q36131" s="5" t="s">
        <v>355</v>
      </c>
    </row>
    <row r="36132" ht="16.5" customHeight="1">
      <c r="O36132" s="5" t="s">
        <v>355</v>
      </c>
      <c r="P36132" s="5" t="s">
        <v>355</v>
      </c>
      <c r="Q36132" s="5" t="s">
        <v>355</v>
      </c>
    </row>
    <row r="36133" ht="16.5" customHeight="1">
      <c r="O36133" s="5" t="s">
        <v>355</v>
      </c>
      <c r="P36133" s="5" t="s">
        <v>355</v>
      </c>
      <c r="Q36133" s="5" t="s">
        <v>355</v>
      </c>
    </row>
    <row r="36134" ht="16.5" customHeight="1">
      <c r="O36134" s="5" t="s">
        <v>355</v>
      </c>
      <c r="P36134" s="5" t="s">
        <v>355</v>
      </c>
      <c r="Q36134" s="5" t="s">
        <v>355</v>
      </c>
    </row>
    <row r="36135" ht="16.5" customHeight="1">
      <c r="O36135" s="5" t="s">
        <v>355</v>
      </c>
      <c r="P36135" s="5" t="s">
        <v>355</v>
      </c>
      <c r="Q36135" s="5" t="s">
        <v>355</v>
      </c>
    </row>
    <row r="36136" ht="16.5" customHeight="1">
      <c r="O36136" s="5" t="s">
        <v>355</v>
      </c>
      <c r="P36136" s="5" t="s">
        <v>355</v>
      </c>
      <c r="Q36136" s="5" t="s">
        <v>355</v>
      </c>
    </row>
    <row r="36137" ht="16.5" customHeight="1">
      <c r="O36137" s="5" t="s">
        <v>355</v>
      </c>
      <c r="P36137" s="5" t="s">
        <v>355</v>
      </c>
      <c r="Q36137" s="5" t="s">
        <v>355</v>
      </c>
    </row>
    <row r="36138" ht="16.5" customHeight="1">
      <c r="O36138" s="5" t="s">
        <v>355</v>
      </c>
      <c r="P36138" s="5" t="s">
        <v>355</v>
      </c>
      <c r="Q36138" s="5" t="s">
        <v>355</v>
      </c>
    </row>
    <row r="36139" ht="16.5" customHeight="1">
      <c r="O36139" s="5" t="s">
        <v>355</v>
      </c>
      <c r="P36139" s="5" t="s">
        <v>355</v>
      </c>
      <c r="Q36139" s="5" t="s">
        <v>355</v>
      </c>
    </row>
    <row r="36140" ht="16.5" customHeight="1">
      <c r="O36140" s="5" t="s">
        <v>355</v>
      </c>
      <c r="P36140" s="5" t="s">
        <v>355</v>
      </c>
      <c r="Q36140" s="5" t="s">
        <v>355</v>
      </c>
    </row>
    <row r="36141" ht="16.5" customHeight="1">
      <c r="O36141" s="5" t="s">
        <v>355</v>
      </c>
      <c r="P36141" s="5" t="s">
        <v>355</v>
      </c>
      <c r="Q36141" s="5" t="s">
        <v>355</v>
      </c>
    </row>
    <row r="36142" ht="16.5" customHeight="1">
      <c r="O36142" s="5" t="s">
        <v>355</v>
      </c>
      <c r="P36142" s="5" t="s">
        <v>355</v>
      </c>
      <c r="Q36142" s="5" t="s">
        <v>355</v>
      </c>
    </row>
    <row r="36143" ht="16.5" customHeight="1">
      <c r="O36143" s="5" t="s">
        <v>355</v>
      </c>
      <c r="P36143" s="5" t="s">
        <v>355</v>
      </c>
      <c r="Q36143" s="5" t="s">
        <v>355</v>
      </c>
    </row>
    <row r="36144" ht="16.5" customHeight="1">
      <c r="O36144" s="5" t="s">
        <v>355</v>
      </c>
      <c r="P36144" s="5" t="s">
        <v>355</v>
      </c>
      <c r="Q36144" s="5" t="s">
        <v>355</v>
      </c>
    </row>
    <row r="36145" ht="16.5" customHeight="1">
      <c r="O36145" s="5" t="s">
        <v>355</v>
      </c>
      <c r="P36145" s="5" t="s">
        <v>355</v>
      </c>
      <c r="Q36145" s="5" t="s">
        <v>355</v>
      </c>
    </row>
    <row r="36146" ht="16.5" customHeight="1">
      <c r="O36146" s="5" t="s">
        <v>355</v>
      </c>
      <c r="P36146" s="5" t="s">
        <v>355</v>
      </c>
      <c r="Q36146" s="5" t="s">
        <v>355</v>
      </c>
    </row>
    <row r="36147" ht="16.5" customHeight="1">
      <c r="O36147" s="5" t="s">
        <v>355</v>
      </c>
      <c r="P36147" s="5" t="s">
        <v>355</v>
      </c>
      <c r="Q36147" s="5" t="s">
        <v>355</v>
      </c>
    </row>
    <row r="36148" ht="16.5" customHeight="1">
      <c r="O36148" s="5" t="s">
        <v>355</v>
      </c>
      <c r="P36148" s="5" t="s">
        <v>355</v>
      </c>
      <c r="Q36148" s="5" t="s">
        <v>355</v>
      </c>
    </row>
    <row r="36149" ht="16.5" customHeight="1">
      <c r="O36149" s="5" t="s">
        <v>355</v>
      </c>
      <c r="P36149" s="5" t="s">
        <v>355</v>
      </c>
      <c r="Q36149" s="5" t="s">
        <v>355</v>
      </c>
    </row>
    <row r="36150" ht="16.5" customHeight="1">
      <c r="O36150" s="5" t="s">
        <v>355</v>
      </c>
      <c r="P36150" s="5" t="s">
        <v>355</v>
      </c>
      <c r="Q36150" s="5" t="s">
        <v>355</v>
      </c>
    </row>
    <row r="36151" ht="16.5" customHeight="1">
      <c r="O36151" s="5" t="s">
        <v>355</v>
      </c>
      <c r="P36151" s="5" t="s">
        <v>355</v>
      </c>
      <c r="Q36151" s="5" t="s">
        <v>355</v>
      </c>
    </row>
    <row r="36152" ht="16.5" customHeight="1">
      <c r="O36152" s="5" t="s">
        <v>355</v>
      </c>
      <c r="P36152" s="5" t="s">
        <v>355</v>
      </c>
      <c r="Q36152" s="5" t="s">
        <v>355</v>
      </c>
    </row>
    <row r="36153" ht="16.5" customHeight="1">
      <c r="O36153" s="5" t="s">
        <v>355</v>
      </c>
      <c r="P36153" s="5" t="s">
        <v>355</v>
      </c>
      <c r="Q36153" s="5" t="s">
        <v>355</v>
      </c>
    </row>
    <row r="36154" ht="16.5" customHeight="1">
      <c r="O36154" s="5" t="s">
        <v>355</v>
      </c>
      <c r="P36154" s="5" t="s">
        <v>355</v>
      </c>
      <c r="Q36154" s="5" t="s">
        <v>355</v>
      </c>
    </row>
    <row r="36155" ht="16.5" customHeight="1">
      <c r="O36155" s="5" t="s">
        <v>355</v>
      </c>
      <c r="P36155" s="5" t="s">
        <v>355</v>
      </c>
      <c r="Q36155" s="5" t="s">
        <v>355</v>
      </c>
    </row>
    <row r="36156" ht="16.5" customHeight="1">
      <c r="O36156" s="5" t="s">
        <v>355</v>
      </c>
      <c r="P36156" s="5" t="s">
        <v>355</v>
      </c>
      <c r="Q36156" s="5" t="s">
        <v>355</v>
      </c>
    </row>
    <row r="36157" ht="16.5" customHeight="1">
      <c r="O36157" s="5" t="s">
        <v>355</v>
      </c>
      <c r="P36157" s="5" t="s">
        <v>355</v>
      </c>
      <c r="Q36157" s="5" t="s">
        <v>355</v>
      </c>
    </row>
    <row r="36158" ht="16.5" customHeight="1">
      <c r="O36158" s="5" t="s">
        <v>355</v>
      </c>
      <c r="P36158" s="5" t="s">
        <v>355</v>
      </c>
      <c r="Q36158" s="5" t="s">
        <v>355</v>
      </c>
    </row>
    <row r="36159" ht="16.5" customHeight="1">
      <c r="O36159" s="5" t="s">
        <v>355</v>
      </c>
      <c r="P36159" s="5" t="s">
        <v>355</v>
      </c>
      <c r="Q36159" s="5" t="s">
        <v>355</v>
      </c>
    </row>
    <row r="36160" ht="16.5" customHeight="1">
      <c r="O36160" s="5" t="s">
        <v>355</v>
      </c>
      <c r="P36160" s="5" t="s">
        <v>355</v>
      </c>
      <c r="Q36160" s="5" t="s">
        <v>355</v>
      </c>
    </row>
    <row r="36161" ht="16.5" customHeight="1">
      <c r="O36161" s="5" t="s">
        <v>355</v>
      </c>
      <c r="P36161" s="5" t="s">
        <v>355</v>
      </c>
      <c r="Q36161" s="5" t="s">
        <v>355</v>
      </c>
    </row>
    <row r="36162" ht="16.5" customHeight="1">
      <c r="O36162" s="5" t="s">
        <v>355</v>
      </c>
      <c r="P36162" s="5" t="s">
        <v>355</v>
      </c>
      <c r="Q36162" s="5" t="s">
        <v>355</v>
      </c>
    </row>
    <row r="36163" ht="16.5" customHeight="1">
      <c r="O36163" s="5" t="s">
        <v>355</v>
      </c>
      <c r="P36163" s="5" t="s">
        <v>355</v>
      </c>
      <c r="Q36163" s="5" t="s">
        <v>355</v>
      </c>
    </row>
    <row r="36164" ht="16.5" customHeight="1">
      <c r="O36164" s="5" t="s">
        <v>355</v>
      </c>
      <c r="P36164" s="5" t="s">
        <v>355</v>
      </c>
      <c r="Q36164" s="5" t="s">
        <v>355</v>
      </c>
    </row>
    <row r="36165" ht="16.5" customHeight="1">
      <c r="O36165" s="5" t="s">
        <v>355</v>
      </c>
      <c r="P36165" s="5" t="s">
        <v>355</v>
      </c>
      <c r="Q36165" s="5" t="s">
        <v>355</v>
      </c>
    </row>
    <row r="36166" ht="16.5" customHeight="1">
      <c r="O36166" s="5" t="s">
        <v>355</v>
      </c>
      <c r="P36166" s="5" t="s">
        <v>355</v>
      </c>
      <c r="Q36166" s="5" t="s">
        <v>355</v>
      </c>
    </row>
    <row r="36167" ht="16.5" customHeight="1">
      <c r="O36167" s="5" t="s">
        <v>355</v>
      </c>
      <c r="P36167" s="5" t="s">
        <v>355</v>
      </c>
      <c r="Q36167" s="5" t="s">
        <v>355</v>
      </c>
    </row>
    <row r="36168" ht="16.5" customHeight="1">
      <c r="O36168" s="5" t="s">
        <v>355</v>
      </c>
      <c r="P36168" s="5" t="s">
        <v>355</v>
      </c>
      <c r="Q36168" s="5" t="s">
        <v>355</v>
      </c>
    </row>
    <row r="36169" ht="16.5" customHeight="1">
      <c r="O36169" s="5" t="s">
        <v>355</v>
      </c>
      <c r="P36169" s="5" t="s">
        <v>355</v>
      </c>
      <c r="Q36169" s="5" t="s">
        <v>355</v>
      </c>
    </row>
    <row r="36170" ht="16.5" customHeight="1">
      <c r="O36170" s="5" t="s">
        <v>355</v>
      </c>
      <c r="P36170" s="5" t="s">
        <v>355</v>
      </c>
      <c r="Q36170" s="5" t="s">
        <v>355</v>
      </c>
    </row>
    <row r="36171" ht="16.5" customHeight="1">
      <c r="O36171" s="5" t="s">
        <v>355</v>
      </c>
      <c r="P36171" s="5" t="s">
        <v>355</v>
      </c>
      <c r="Q36171" s="5" t="s">
        <v>355</v>
      </c>
    </row>
    <row r="36172" ht="16.5" customHeight="1">
      <c r="O36172" s="5" t="s">
        <v>355</v>
      </c>
      <c r="P36172" s="5" t="s">
        <v>355</v>
      </c>
      <c r="Q36172" s="5" t="s">
        <v>355</v>
      </c>
    </row>
    <row r="36173" ht="16.5" customHeight="1">
      <c r="O36173" s="5" t="s">
        <v>355</v>
      </c>
      <c r="P36173" s="5" t="s">
        <v>355</v>
      </c>
      <c r="Q36173" s="5" t="s">
        <v>355</v>
      </c>
    </row>
    <row r="36174" ht="16.5" customHeight="1">
      <c r="O36174" s="5" t="s">
        <v>355</v>
      </c>
      <c r="P36174" s="5" t="s">
        <v>355</v>
      </c>
      <c r="Q36174" s="5" t="s">
        <v>355</v>
      </c>
    </row>
    <row r="36175" ht="16.5" customHeight="1">
      <c r="O36175" s="5" t="s">
        <v>355</v>
      </c>
      <c r="P36175" s="5" t="s">
        <v>355</v>
      </c>
      <c r="Q36175" s="5" t="s">
        <v>355</v>
      </c>
    </row>
    <row r="36176" ht="16.5" customHeight="1">
      <c r="O36176" s="5" t="s">
        <v>355</v>
      </c>
      <c r="P36176" s="5" t="s">
        <v>355</v>
      </c>
      <c r="Q36176" s="5" t="s">
        <v>355</v>
      </c>
    </row>
    <row r="36177" ht="16.5" customHeight="1">
      <c r="O36177" s="5" t="s">
        <v>355</v>
      </c>
      <c r="P36177" s="5" t="s">
        <v>355</v>
      </c>
      <c r="Q36177" s="5" t="s">
        <v>355</v>
      </c>
    </row>
    <row r="36178" ht="16.5" customHeight="1">
      <c r="O36178" s="5" t="s">
        <v>355</v>
      </c>
      <c r="P36178" s="5" t="s">
        <v>355</v>
      </c>
      <c r="Q36178" s="5" t="s">
        <v>355</v>
      </c>
    </row>
    <row r="36179" ht="16.5" customHeight="1">
      <c r="O36179" s="5" t="s">
        <v>355</v>
      </c>
      <c r="P36179" s="5" t="s">
        <v>355</v>
      </c>
      <c r="Q36179" s="5" t="s">
        <v>355</v>
      </c>
    </row>
    <row r="36180" ht="16.5" customHeight="1">
      <c r="O36180" s="5" t="s">
        <v>355</v>
      </c>
      <c r="P36180" s="5" t="s">
        <v>355</v>
      </c>
      <c r="Q36180" s="5" t="s">
        <v>355</v>
      </c>
    </row>
    <row r="36181" ht="16.5" customHeight="1">
      <c r="O36181" s="5" t="s">
        <v>355</v>
      </c>
      <c r="P36181" s="5" t="s">
        <v>355</v>
      </c>
      <c r="Q36181" s="5" t="s">
        <v>355</v>
      </c>
    </row>
    <row r="36182" ht="16.5" customHeight="1">
      <c r="O36182" s="5" t="s">
        <v>355</v>
      </c>
      <c r="P36182" s="5" t="s">
        <v>355</v>
      </c>
      <c r="Q36182" s="5" t="s">
        <v>355</v>
      </c>
    </row>
    <row r="36183" ht="16.5" customHeight="1">
      <c r="O36183" s="5" t="s">
        <v>355</v>
      </c>
      <c r="P36183" s="5" t="s">
        <v>355</v>
      </c>
      <c r="Q36183" s="5" t="s">
        <v>355</v>
      </c>
    </row>
    <row r="36184" ht="16.5" customHeight="1">
      <c r="O36184" s="5" t="s">
        <v>355</v>
      </c>
      <c r="P36184" s="5" t="s">
        <v>355</v>
      </c>
      <c r="Q36184" s="5" t="s">
        <v>355</v>
      </c>
    </row>
    <row r="36185" ht="16.5" customHeight="1">
      <c r="O36185" s="5" t="s">
        <v>355</v>
      </c>
      <c r="P36185" s="5" t="s">
        <v>355</v>
      </c>
      <c r="Q36185" s="5" t="s">
        <v>355</v>
      </c>
    </row>
    <row r="36186" ht="16.5" customHeight="1">
      <c r="O36186" s="5" t="s">
        <v>355</v>
      </c>
      <c r="P36186" s="5" t="s">
        <v>355</v>
      </c>
      <c r="Q36186" s="5" t="s">
        <v>355</v>
      </c>
    </row>
    <row r="36187" ht="16.5" customHeight="1">
      <c r="O36187" s="5" t="s">
        <v>355</v>
      </c>
      <c r="P36187" s="5" t="s">
        <v>355</v>
      </c>
      <c r="Q36187" s="5" t="s">
        <v>355</v>
      </c>
    </row>
    <row r="36188" ht="16.5" customHeight="1">
      <c r="O36188" s="5" t="s">
        <v>355</v>
      </c>
      <c r="P36188" s="5" t="s">
        <v>355</v>
      </c>
      <c r="Q36188" s="5" t="s">
        <v>355</v>
      </c>
    </row>
    <row r="36189" ht="16.5" customHeight="1">
      <c r="O36189" s="5" t="s">
        <v>355</v>
      </c>
      <c r="P36189" s="5" t="s">
        <v>355</v>
      </c>
      <c r="Q36189" s="5" t="s">
        <v>355</v>
      </c>
    </row>
    <row r="36190" ht="16.5" customHeight="1">
      <c r="O36190" s="5" t="s">
        <v>355</v>
      </c>
      <c r="P36190" s="5" t="s">
        <v>355</v>
      </c>
      <c r="Q36190" s="5" t="s">
        <v>355</v>
      </c>
    </row>
    <row r="36191" ht="16.5" customHeight="1">
      <c r="O36191" s="5" t="s">
        <v>355</v>
      </c>
      <c r="P36191" s="5" t="s">
        <v>355</v>
      </c>
      <c r="Q36191" s="5" t="s">
        <v>355</v>
      </c>
    </row>
    <row r="36192" ht="16.5" customHeight="1">
      <c r="O36192" s="5" t="s">
        <v>355</v>
      </c>
      <c r="P36192" s="5" t="s">
        <v>355</v>
      </c>
      <c r="Q36192" s="5" t="s">
        <v>355</v>
      </c>
    </row>
    <row r="36193" ht="16.5" customHeight="1">
      <c r="O36193" s="5" t="s">
        <v>355</v>
      </c>
      <c r="P36193" s="5" t="s">
        <v>355</v>
      </c>
      <c r="Q36193" s="5" t="s">
        <v>355</v>
      </c>
    </row>
    <row r="36194" ht="16.5" customHeight="1">
      <c r="O36194" s="5" t="s">
        <v>355</v>
      </c>
      <c r="P36194" s="5" t="s">
        <v>355</v>
      </c>
      <c r="Q36194" s="5" t="s">
        <v>355</v>
      </c>
    </row>
    <row r="36195" ht="16.5" customHeight="1">
      <c r="O36195" s="5" t="s">
        <v>355</v>
      </c>
      <c r="P36195" s="5" t="s">
        <v>355</v>
      </c>
      <c r="Q36195" s="5" t="s">
        <v>355</v>
      </c>
    </row>
    <row r="36196" ht="16.5" customHeight="1">
      <c r="O36196" s="5" t="s">
        <v>355</v>
      </c>
      <c r="P36196" s="5" t="s">
        <v>355</v>
      </c>
      <c r="Q36196" s="5" t="s">
        <v>355</v>
      </c>
    </row>
    <row r="36197" ht="16.5" customHeight="1">
      <c r="O36197" s="5" t="s">
        <v>355</v>
      </c>
      <c r="P36197" s="5" t="s">
        <v>355</v>
      </c>
      <c r="Q36197" s="5" t="s">
        <v>355</v>
      </c>
    </row>
    <row r="36198" ht="16.5" customHeight="1">
      <c r="O36198" s="5" t="s">
        <v>355</v>
      </c>
      <c r="P36198" s="5" t="s">
        <v>355</v>
      </c>
      <c r="Q36198" s="5" t="s">
        <v>355</v>
      </c>
    </row>
    <row r="36199" ht="16.5" customHeight="1">
      <c r="O36199" s="5" t="s">
        <v>355</v>
      </c>
      <c r="P36199" s="5" t="s">
        <v>355</v>
      </c>
      <c r="Q36199" s="5" t="s">
        <v>355</v>
      </c>
    </row>
    <row r="36200" ht="16.5" customHeight="1">
      <c r="O36200" s="5" t="s">
        <v>355</v>
      </c>
      <c r="P36200" s="5" t="s">
        <v>355</v>
      </c>
      <c r="Q36200" s="5" t="s">
        <v>355</v>
      </c>
    </row>
    <row r="36201" ht="16.5" customHeight="1">
      <c r="O36201" s="5" t="s">
        <v>355</v>
      </c>
      <c r="P36201" s="5" t="s">
        <v>355</v>
      </c>
      <c r="Q36201" s="5" t="s">
        <v>355</v>
      </c>
    </row>
    <row r="36202" ht="16.5" customHeight="1">
      <c r="O36202" s="5" t="s">
        <v>355</v>
      </c>
      <c r="P36202" s="5" t="s">
        <v>355</v>
      </c>
      <c r="Q36202" s="5" t="s">
        <v>355</v>
      </c>
    </row>
    <row r="36203" ht="16.5" customHeight="1">
      <c r="O36203" s="5" t="s">
        <v>355</v>
      </c>
      <c r="P36203" s="5" t="s">
        <v>355</v>
      </c>
      <c r="Q36203" s="5" t="s">
        <v>355</v>
      </c>
    </row>
    <row r="36204" ht="16.5" customHeight="1">
      <c r="O36204" s="5" t="s">
        <v>355</v>
      </c>
      <c r="P36204" s="5" t="s">
        <v>355</v>
      </c>
      <c r="Q36204" s="5" t="s">
        <v>355</v>
      </c>
    </row>
    <row r="36205" ht="16.5" customHeight="1">
      <c r="O36205" s="5" t="s">
        <v>355</v>
      </c>
      <c r="P36205" s="5" t="s">
        <v>355</v>
      </c>
      <c r="Q36205" s="5" t="s">
        <v>355</v>
      </c>
    </row>
    <row r="36206" ht="16.5" customHeight="1">
      <c r="O36206" s="5" t="s">
        <v>355</v>
      </c>
      <c r="P36206" s="5" t="s">
        <v>355</v>
      </c>
      <c r="Q36206" s="5" t="s">
        <v>355</v>
      </c>
    </row>
    <row r="36207" ht="16.5" customHeight="1">
      <c r="O36207" s="5" t="s">
        <v>355</v>
      </c>
      <c r="P36207" s="5" t="s">
        <v>355</v>
      </c>
      <c r="Q36207" s="5" t="s">
        <v>355</v>
      </c>
    </row>
    <row r="36208" ht="16.5" customHeight="1">
      <c r="O36208" s="5" t="s">
        <v>355</v>
      </c>
      <c r="P36208" s="5" t="s">
        <v>355</v>
      </c>
      <c r="Q36208" s="5" t="s">
        <v>355</v>
      </c>
    </row>
    <row r="36209" ht="16.5" customHeight="1">
      <c r="O36209" s="5" t="s">
        <v>355</v>
      </c>
      <c r="P36209" s="5" t="s">
        <v>355</v>
      </c>
      <c r="Q36209" s="5" t="s">
        <v>355</v>
      </c>
    </row>
    <row r="36210" ht="16.5" customHeight="1">
      <c r="O36210" s="5" t="s">
        <v>355</v>
      </c>
      <c r="P36210" s="5" t="s">
        <v>355</v>
      </c>
      <c r="Q36210" s="5" t="s">
        <v>355</v>
      </c>
    </row>
    <row r="36211" ht="16.5" customHeight="1">
      <c r="O36211" s="5" t="s">
        <v>355</v>
      </c>
      <c r="P36211" s="5" t="s">
        <v>355</v>
      </c>
      <c r="Q36211" s="5" t="s">
        <v>355</v>
      </c>
    </row>
    <row r="36212" ht="16.5" customHeight="1">
      <c r="O36212" s="5" t="s">
        <v>355</v>
      </c>
      <c r="P36212" s="5" t="s">
        <v>355</v>
      </c>
      <c r="Q36212" s="5" t="s">
        <v>355</v>
      </c>
    </row>
    <row r="36213" ht="16.5" customHeight="1">
      <c r="O36213" s="5" t="s">
        <v>355</v>
      </c>
      <c r="P36213" s="5" t="s">
        <v>355</v>
      </c>
      <c r="Q36213" s="5" t="s">
        <v>355</v>
      </c>
    </row>
    <row r="36214" ht="16.5" customHeight="1">
      <c r="O36214" s="5" t="s">
        <v>355</v>
      </c>
      <c r="P36214" s="5" t="s">
        <v>355</v>
      </c>
      <c r="Q36214" s="5" t="s">
        <v>355</v>
      </c>
    </row>
    <row r="36215" ht="16.5" customHeight="1">
      <c r="O36215" s="5" t="s">
        <v>355</v>
      </c>
      <c r="P36215" s="5" t="s">
        <v>355</v>
      </c>
      <c r="Q36215" s="5" t="s">
        <v>355</v>
      </c>
    </row>
    <row r="36216" ht="16.5" customHeight="1">
      <c r="O36216" s="5" t="s">
        <v>355</v>
      </c>
      <c r="P36216" s="5" t="s">
        <v>355</v>
      </c>
      <c r="Q36216" s="5" t="s">
        <v>355</v>
      </c>
    </row>
    <row r="36217" ht="16.5" customHeight="1">
      <c r="O36217" s="5" t="s">
        <v>355</v>
      </c>
      <c r="P36217" s="5" t="s">
        <v>355</v>
      </c>
      <c r="Q36217" s="5" t="s">
        <v>355</v>
      </c>
    </row>
    <row r="36218" ht="16.5" customHeight="1">
      <c r="O36218" s="5" t="s">
        <v>355</v>
      </c>
      <c r="P36218" s="5" t="s">
        <v>355</v>
      </c>
      <c r="Q36218" s="5" t="s">
        <v>355</v>
      </c>
    </row>
    <row r="36219" ht="16.5" customHeight="1">
      <c r="O36219" s="5" t="s">
        <v>355</v>
      </c>
      <c r="P36219" s="5" t="s">
        <v>355</v>
      </c>
      <c r="Q36219" s="5" t="s">
        <v>355</v>
      </c>
    </row>
    <row r="36220" ht="16.5" customHeight="1">
      <c r="O36220" s="5" t="s">
        <v>355</v>
      </c>
      <c r="P36220" s="5" t="s">
        <v>355</v>
      </c>
      <c r="Q36220" s="5" t="s">
        <v>355</v>
      </c>
    </row>
    <row r="36221" ht="16.5" customHeight="1">
      <c r="O36221" s="5" t="s">
        <v>355</v>
      </c>
      <c r="P36221" s="5" t="s">
        <v>355</v>
      </c>
      <c r="Q36221" s="5" t="s">
        <v>355</v>
      </c>
    </row>
    <row r="36222" ht="16.5" customHeight="1">
      <c r="O36222" s="5" t="s">
        <v>355</v>
      </c>
      <c r="P36222" s="5" t="s">
        <v>355</v>
      </c>
      <c r="Q36222" s="5" t="s">
        <v>355</v>
      </c>
    </row>
    <row r="36223" ht="16.5" customHeight="1">
      <c r="O36223" s="5" t="s">
        <v>355</v>
      </c>
      <c r="P36223" s="5" t="s">
        <v>355</v>
      </c>
      <c r="Q36223" s="5" t="s">
        <v>355</v>
      </c>
    </row>
    <row r="36224" ht="16.5" customHeight="1">
      <c r="O36224" s="5" t="s">
        <v>355</v>
      </c>
      <c r="P36224" s="5" t="s">
        <v>355</v>
      </c>
      <c r="Q36224" s="5" t="s">
        <v>355</v>
      </c>
    </row>
    <row r="36225" ht="16.5" customHeight="1">
      <c r="O36225" s="5" t="s">
        <v>355</v>
      </c>
      <c r="P36225" s="5" t="s">
        <v>355</v>
      </c>
      <c r="Q36225" s="5" t="s">
        <v>355</v>
      </c>
    </row>
    <row r="36226" ht="16.5" customHeight="1">
      <c r="O36226" s="5" t="s">
        <v>355</v>
      </c>
      <c r="P36226" s="5" t="s">
        <v>355</v>
      </c>
      <c r="Q36226" s="5" t="s">
        <v>355</v>
      </c>
    </row>
    <row r="36227" ht="16.5" customHeight="1">
      <c r="O36227" s="5" t="s">
        <v>355</v>
      </c>
      <c r="P36227" s="5" t="s">
        <v>355</v>
      </c>
      <c r="Q36227" s="5" t="s">
        <v>355</v>
      </c>
    </row>
    <row r="36228" ht="16.5" customHeight="1">
      <c r="O36228" s="5" t="s">
        <v>355</v>
      </c>
      <c r="P36228" s="5" t="s">
        <v>355</v>
      </c>
      <c r="Q36228" s="5" t="s">
        <v>355</v>
      </c>
    </row>
    <row r="36229" ht="16.5" customHeight="1">
      <c r="O36229" s="5" t="s">
        <v>355</v>
      </c>
      <c r="P36229" s="5" t="s">
        <v>355</v>
      </c>
      <c r="Q36229" s="5" t="s">
        <v>355</v>
      </c>
    </row>
    <row r="36230" ht="16.5" customHeight="1">
      <c r="O36230" s="5" t="s">
        <v>355</v>
      </c>
      <c r="P36230" s="5" t="s">
        <v>355</v>
      </c>
      <c r="Q36230" s="5" t="s">
        <v>355</v>
      </c>
    </row>
    <row r="36231" ht="16.5" customHeight="1">
      <c r="O36231" s="5" t="s">
        <v>355</v>
      </c>
      <c r="P36231" s="5" t="s">
        <v>355</v>
      </c>
      <c r="Q36231" s="5" t="s">
        <v>355</v>
      </c>
    </row>
    <row r="36232" ht="16.5" customHeight="1">
      <c r="O36232" s="5" t="s">
        <v>355</v>
      </c>
      <c r="P36232" s="5" t="s">
        <v>355</v>
      </c>
      <c r="Q36232" s="5" t="s">
        <v>355</v>
      </c>
    </row>
    <row r="36233" ht="16.5" customHeight="1">
      <c r="O36233" s="5" t="s">
        <v>355</v>
      </c>
      <c r="P36233" s="5" t="s">
        <v>355</v>
      </c>
      <c r="Q36233" s="5" t="s">
        <v>355</v>
      </c>
    </row>
    <row r="36234" ht="16.5" customHeight="1">
      <c r="O36234" s="5" t="s">
        <v>355</v>
      </c>
      <c r="P36234" s="5" t="s">
        <v>355</v>
      </c>
      <c r="Q36234" s="5" t="s">
        <v>355</v>
      </c>
    </row>
    <row r="36235" ht="16.5" customHeight="1">
      <c r="O36235" s="5" t="s">
        <v>355</v>
      </c>
      <c r="P36235" s="5" t="s">
        <v>355</v>
      </c>
      <c r="Q36235" s="5" t="s">
        <v>355</v>
      </c>
    </row>
    <row r="36236" ht="16.5" customHeight="1">
      <c r="O36236" s="5" t="s">
        <v>355</v>
      </c>
      <c r="P36236" s="5" t="s">
        <v>355</v>
      </c>
      <c r="Q36236" s="5" t="s">
        <v>355</v>
      </c>
    </row>
    <row r="36237" ht="16.5" customHeight="1">
      <c r="O36237" s="5" t="s">
        <v>355</v>
      </c>
      <c r="P36237" s="5" t="s">
        <v>355</v>
      </c>
      <c r="Q36237" s="5" t="s">
        <v>355</v>
      </c>
    </row>
    <row r="36238" ht="16.5" customHeight="1">
      <c r="O36238" s="5" t="s">
        <v>355</v>
      </c>
      <c r="P36238" s="5" t="s">
        <v>355</v>
      </c>
      <c r="Q36238" s="5" t="s">
        <v>355</v>
      </c>
    </row>
    <row r="36239" ht="16.5" customHeight="1">
      <c r="O36239" s="5" t="s">
        <v>355</v>
      </c>
      <c r="P36239" s="5" t="s">
        <v>355</v>
      </c>
      <c r="Q36239" s="5" t="s">
        <v>355</v>
      </c>
    </row>
    <row r="36240" ht="16.5" customHeight="1">
      <c r="O36240" s="5" t="s">
        <v>355</v>
      </c>
      <c r="P36240" s="5" t="s">
        <v>355</v>
      </c>
      <c r="Q36240" s="5" t="s">
        <v>355</v>
      </c>
    </row>
    <row r="36241" ht="16.5" customHeight="1">
      <c r="O36241" s="5" t="s">
        <v>355</v>
      </c>
      <c r="P36241" s="5" t="s">
        <v>355</v>
      </c>
      <c r="Q36241" s="5" t="s">
        <v>355</v>
      </c>
    </row>
    <row r="36242" ht="16.5" customHeight="1">
      <c r="O36242" s="5" t="s">
        <v>355</v>
      </c>
      <c r="P36242" s="5" t="s">
        <v>355</v>
      </c>
      <c r="Q36242" s="5" t="s">
        <v>355</v>
      </c>
    </row>
    <row r="36243" ht="16.5" customHeight="1">
      <c r="O36243" s="5" t="s">
        <v>355</v>
      </c>
      <c r="P36243" s="5" t="s">
        <v>355</v>
      </c>
      <c r="Q36243" s="5" t="s">
        <v>355</v>
      </c>
    </row>
    <row r="36244" ht="16.5" customHeight="1">
      <c r="O36244" s="5" t="s">
        <v>355</v>
      </c>
      <c r="P36244" s="5" t="s">
        <v>355</v>
      </c>
      <c r="Q36244" s="5" t="s">
        <v>355</v>
      </c>
    </row>
    <row r="36245" ht="16.5" customHeight="1">
      <c r="O36245" s="5" t="s">
        <v>355</v>
      </c>
      <c r="P36245" s="5" t="s">
        <v>355</v>
      </c>
      <c r="Q36245" s="5" t="s">
        <v>355</v>
      </c>
    </row>
    <row r="36246" ht="16.5" customHeight="1">
      <c r="O36246" s="5" t="s">
        <v>355</v>
      </c>
      <c r="P36246" s="5" t="s">
        <v>355</v>
      </c>
      <c r="Q36246" s="5" t="s">
        <v>355</v>
      </c>
    </row>
    <row r="36247" ht="16.5" customHeight="1">
      <c r="O36247" s="5" t="s">
        <v>355</v>
      </c>
      <c r="P36247" s="5" t="s">
        <v>355</v>
      </c>
      <c r="Q36247" s="5" t="s">
        <v>355</v>
      </c>
    </row>
    <row r="36248" ht="16.5" customHeight="1">
      <c r="O36248" s="5" t="s">
        <v>355</v>
      </c>
      <c r="P36248" s="5" t="s">
        <v>355</v>
      </c>
      <c r="Q36248" s="5" t="s">
        <v>355</v>
      </c>
    </row>
    <row r="36249" ht="16.5" customHeight="1">
      <c r="O36249" s="5" t="s">
        <v>355</v>
      </c>
      <c r="P36249" s="5" t="s">
        <v>355</v>
      </c>
      <c r="Q36249" s="5" t="s">
        <v>355</v>
      </c>
    </row>
    <row r="36250" ht="16.5" customHeight="1">
      <c r="O36250" s="5" t="s">
        <v>355</v>
      </c>
      <c r="P36250" s="5" t="s">
        <v>355</v>
      </c>
      <c r="Q36250" s="5" t="s">
        <v>355</v>
      </c>
    </row>
    <row r="36251" ht="16.5" customHeight="1">
      <c r="O36251" s="5" t="s">
        <v>355</v>
      </c>
      <c r="P36251" s="5" t="s">
        <v>355</v>
      </c>
      <c r="Q36251" s="5" t="s">
        <v>355</v>
      </c>
    </row>
    <row r="36252" ht="16.5" customHeight="1">
      <c r="O36252" s="5" t="s">
        <v>355</v>
      </c>
      <c r="P36252" s="5" t="s">
        <v>355</v>
      </c>
      <c r="Q36252" s="5" t="s">
        <v>355</v>
      </c>
    </row>
    <row r="36253" ht="16.5" customHeight="1">
      <c r="O36253" s="5" t="s">
        <v>355</v>
      </c>
      <c r="P36253" s="5" t="s">
        <v>355</v>
      </c>
      <c r="Q36253" s="5" t="s">
        <v>355</v>
      </c>
    </row>
    <row r="36254" ht="16.5" customHeight="1">
      <c r="O36254" s="5" t="s">
        <v>355</v>
      </c>
      <c r="P36254" s="5" t="s">
        <v>355</v>
      </c>
      <c r="Q36254" s="5" t="s">
        <v>355</v>
      </c>
    </row>
    <row r="36255" ht="16.5" customHeight="1">
      <c r="O36255" s="5" t="s">
        <v>355</v>
      </c>
      <c r="P36255" s="5" t="s">
        <v>355</v>
      </c>
      <c r="Q36255" s="5" t="s">
        <v>355</v>
      </c>
    </row>
    <row r="36256" ht="16.5" customHeight="1">
      <c r="O36256" s="5" t="s">
        <v>355</v>
      </c>
      <c r="P36256" s="5" t="s">
        <v>355</v>
      </c>
      <c r="Q36256" s="5" t="s">
        <v>355</v>
      </c>
    </row>
    <row r="36257" ht="16.5" customHeight="1">
      <c r="O36257" s="5" t="s">
        <v>355</v>
      </c>
      <c r="P36257" s="5" t="s">
        <v>355</v>
      </c>
      <c r="Q36257" s="5" t="s">
        <v>355</v>
      </c>
    </row>
    <row r="36258" ht="16.5" customHeight="1">
      <c r="O36258" s="5" t="s">
        <v>355</v>
      </c>
      <c r="P36258" s="5" t="s">
        <v>355</v>
      </c>
      <c r="Q36258" s="5" t="s">
        <v>355</v>
      </c>
    </row>
    <row r="36259" ht="16.5" customHeight="1">
      <c r="O36259" s="5" t="s">
        <v>355</v>
      </c>
      <c r="P36259" s="5" t="s">
        <v>355</v>
      </c>
      <c r="Q36259" s="5" t="s">
        <v>355</v>
      </c>
    </row>
    <row r="36260" ht="16.5" customHeight="1">
      <c r="O36260" s="5" t="s">
        <v>355</v>
      </c>
      <c r="P36260" s="5" t="s">
        <v>355</v>
      </c>
      <c r="Q36260" s="5" t="s">
        <v>355</v>
      </c>
    </row>
    <row r="36261" ht="16.5" customHeight="1">
      <c r="O36261" s="5" t="s">
        <v>355</v>
      </c>
      <c r="P36261" s="5" t="s">
        <v>355</v>
      </c>
      <c r="Q36261" s="5" t="s">
        <v>355</v>
      </c>
    </row>
    <row r="36262" ht="16.5" customHeight="1">
      <c r="O36262" s="5" t="s">
        <v>355</v>
      </c>
      <c r="P36262" s="5" t="s">
        <v>355</v>
      </c>
      <c r="Q36262" s="5" t="s">
        <v>355</v>
      </c>
    </row>
    <row r="36263" ht="16.5" customHeight="1">
      <c r="O36263" s="5" t="s">
        <v>355</v>
      </c>
      <c r="P36263" s="5" t="s">
        <v>355</v>
      </c>
      <c r="Q36263" s="5" t="s">
        <v>355</v>
      </c>
    </row>
    <row r="36264" ht="16.5" customHeight="1">
      <c r="O36264" s="5" t="s">
        <v>355</v>
      </c>
      <c r="P36264" s="5" t="s">
        <v>355</v>
      </c>
      <c r="Q36264" s="5" t="s">
        <v>355</v>
      </c>
    </row>
    <row r="36265" ht="16.5" customHeight="1">
      <c r="O36265" s="5" t="s">
        <v>355</v>
      </c>
      <c r="P36265" s="5" t="s">
        <v>355</v>
      </c>
      <c r="Q36265" s="5" t="s">
        <v>355</v>
      </c>
    </row>
    <row r="36266" ht="16.5" customHeight="1">
      <c r="O36266" s="5" t="s">
        <v>355</v>
      </c>
      <c r="P36266" s="5" t="s">
        <v>355</v>
      </c>
      <c r="Q36266" s="5" t="s">
        <v>355</v>
      </c>
    </row>
    <row r="36267" ht="16.5" customHeight="1">
      <c r="O36267" s="5" t="s">
        <v>355</v>
      </c>
      <c r="P36267" s="5" t="s">
        <v>355</v>
      </c>
      <c r="Q36267" s="5" t="s">
        <v>355</v>
      </c>
    </row>
    <row r="36268" ht="16.5" customHeight="1">
      <c r="O36268" s="5" t="s">
        <v>355</v>
      </c>
      <c r="P36268" s="5" t="s">
        <v>355</v>
      </c>
      <c r="Q36268" s="5" t="s">
        <v>355</v>
      </c>
    </row>
    <row r="36269" ht="16.5" customHeight="1">
      <c r="O36269" s="5" t="s">
        <v>355</v>
      </c>
      <c r="P36269" s="5" t="s">
        <v>355</v>
      </c>
      <c r="Q36269" s="5" t="s">
        <v>355</v>
      </c>
    </row>
    <row r="36270" ht="16.5" customHeight="1">
      <c r="O36270" s="5" t="s">
        <v>355</v>
      </c>
      <c r="P36270" s="5" t="s">
        <v>355</v>
      </c>
      <c r="Q36270" s="5" t="s">
        <v>355</v>
      </c>
    </row>
    <row r="36271" ht="16.5" customHeight="1">
      <c r="O36271" s="5" t="s">
        <v>355</v>
      </c>
      <c r="P36271" s="5" t="s">
        <v>355</v>
      </c>
      <c r="Q36271" s="5" t="s">
        <v>355</v>
      </c>
    </row>
    <row r="36272" ht="16.5" customHeight="1">
      <c r="O36272" s="5" t="s">
        <v>355</v>
      </c>
      <c r="P36272" s="5" t="s">
        <v>355</v>
      </c>
      <c r="Q36272" s="5" t="s">
        <v>355</v>
      </c>
    </row>
    <row r="36273" ht="16.5" customHeight="1">
      <c r="O36273" s="5" t="s">
        <v>355</v>
      </c>
      <c r="P36273" s="5" t="s">
        <v>355</v>
      </c>
      <c r="Q36273" s="5" t="s">
        <v>355</v>
      </c>
    </row>
    <row r="36274" ht="16.5" customHeight="1">
      <c r="O36274" s="5" t="s">
        <v>355</v>
      </c>
      <c r="P36274" s="5" t="s">
        <v>355</v>
      </c>
      <c r="Q36274" s="5" t="s">
        <v>355</v>
      </c>
    </row>
    <row r="36275" ht="16.5" customHeight="1">
      <c r="O36275" s="5" t="s">
        <v>355</v>
      </c>
      <c r="P36275" s="5" t="s">
        <v>355</v>
      </c>
      <c r="Q36275" s="5" t="s">
        <v>355</v>
      </c>
    </row>
    <row r="36276" ht="16.5" customHeight="1">
      <c r="O36276" s="5" t="s">
        <v>355</v>
      </c>
      <c r="P36276" s="5" t="s">
        <v>355</v>
      </c>
      <c r="Q36276" s="5" t="s">
        <v>355</v>
      </c>
    </row>
    <row r="36277" ht="16.5" customHeight="1">
      <c r="O36277" s="5" t="s">
        <v>355</v>
      </c>
      <c r="P36277" s="5" t="s">
        <v>355</v>
      </c>
      <c r="Q36277" s="5" t="s">
        <v>355</v>
      </c>
    </row>
    <row r="36278" ht="16.5" customHeight="1">
      <c r="O36278" s="5" t="s">
        <v>355</v>
      </c>
      <c r="P36278" s="5" t="s">
        <v>355</v>
      </c>
      <c r="Q36278" s="5" t="s">
        <v>355</v>
      </c>
    </row>
    <row r="36279" ht="16.5" customHeight="1">
      <c r="O36279" s="5" t="s">
        <v>355</v>
      </c>
      <c r="P36279" s="5" t="s">
        <v>355</v>
      </c>
      <c r="Q36279" s="5" t="s">
        <v>355</v>
      </c>
    </row>
    <row r="36280" ht="16.5" customHeight="1">
      <c r="O36280" s="5" t="s">
        <v>355</v>
      </c>
      <c r="P36280" s="5" t="s">
        <v>355</v>
      </c>
      <c r="Q36280" s="5" t="s">
        <v>355</v>
      </c>
    </row>
    <row r="36281" ht="16.5" customHeight="1">
      <c r="O36281" s="5" t="s">
        <v>355</v>
      </c>
      <c r="P36281" s="5" t="s">
        <v>355</v>
      </c>
      <c r="Q36281" s="5" t="s">
        <v>355</v>
      </c>
    </row>
    <row r="36282" ht="16.5" customHeight="1">
      <c r="O36282" s="5" t="s">
        <v>355</v>
      </c>
      <c r="P36282" s="5" t="s">
        <v>355</v>
      </c>
      <c r="Q36282" s="5" t="s">
        <v>355</v>
      </c>
    </row>
    <row r="36283" ht="16.5" customHeight="1">
      <c r="O36283" s="5" t="s">
        <v>355</v>
      </c>
      <c r="P36283" s="5" t="s">
        <v>355</v>
      </c>
      <c r="Q36283" s="5" t="s">
        <v>355</v>
      </c>
    </row>
    <row r="36284" ht="16.5" customHeight="1">
      <c r="O36284" s="5" t="s">
        <v>355</v>
      </c>
      <c r="P36284" s="5" t="s">
        <v>355</v>
      </c>
      <c r="Q36284" s="5" t="s">
        <v>355</v>
      </c>
    </row>
    <row r="36285" ht="16.5" customHeight="1">
      <c r="O36285" s="5" t="s">
        <v>355</v>
      </c>
      <c r="P36285" s="5" t="s">
        <v>355</v>
      </c>
      <c r="Q36285" s="5" t="s">
        <v>355</v>
      </c>
    </row>
    <row r="36286" ht="16.5" customHeight="1">
      <c r="O36286" s="5" t="s">
        <v>355</v>
      </c>
      <c r="P36286" s="5" t="s">
        <v>355</v>
      </c>
      <c r="Q36286" s="5" t="s">
        <v>355</v>
      </c>
    </row>
    <row r="36287" ht="16.5" customHeight="1">
      <c r="O36287" s="5" t="s">
        <v>355</v>
      </c>
      <c r="P36287" s="5" t="s">
        <v>355</v>
      </c>
      <c r="Q36287" s="5" t="s">
        <v>355</v>
      </c>
    </row>
    <row r="36288" ht="16.5" customHeight="1">
      <c r="O36288" s="5" t="s">
        <v>355</v>
      </c>
      <c r="P36288" s="5" t="s">
        <v>355</v>
      </c>
      <c r="Q36288" s="5" t="s">
        <v>355</v>
      </c>
    </row>
    <row r="36289" ht="16.5" customHeight="1">
      <c r="O36289" s="5" t="s">
        <v>355</v>
      </c>
      <c r="P36289" s="5" t="s">
        <v>355</v>
      </c>
      <c r="Q36289" s="5" t="s">
        <v>355</v>
      </c>
    </row>
    <row r="36290" ht="16.5" customHeight="1">
      <c r="O36290" s="5" t="s">
        <v>355</v>
      </c>
      <c r="P36290" s="5" t="s">
        <v>355</v>
      </c>
      <c r="Q36290" s="5" t="s">
        <v>355</v>
      </c>
    </row>
    <row r="36291" ht="16.5" customHeight="1">
      <c r="O36291" s="5" t="s">
        <v>355</v>
      </c>
      <c r="P36291" s="5" t="s">
        <v>355</v>
      </c>
      <c r="Q36291" s="5" t="s">
        <v>355</v>
      </c>
    </row>
    <row r="36292" ht="16.5" customHeight="1">
      <c r="O36292" s="5" t="s">
        <v>355</v>
      </c>
      <c r="P36292" s="5" t="s">
        <v>355</v>
      </c>
      <c r="Q36292" s="5" t="s">
        <v>355</v>
      </c>
    </row>
    <row r="36293" ht="16.5" customHeight="1">
      <c r="O36293" s="5" t="s">
        <v>355</v>
      </c>
      <c r="P36293" s="5" t="s">
        <v>355</v>
      </c>
      <c r="Q36293" s="5" t="s">
        <v>355</v>
      </c>
    </row>
    <row r="36294" ht="16.5" customHeight="1">
      <c r="O36294" s="5" t="s">
        <v>355</v>
      </c>
      <c r="P36294" s="5" t="s">
        <v>355</v>
      </c>
      <c r="Q36294" s="5" t="s">
        <v>355</v>
      </c>
    </row>
    <row r="36295" ht="16.5" customHeight="1">
      <c r="O36295" s="5" t="s">
        <v>355</v>
      </c>
      <c r="P36295" s="5" t="s">
        <v>355</v>
      </c>
      <c r="Q36295" s="5" t="s">
        <v>355</v>
      </c>
    </row>
    <row r="36296" ht="16.5" customHeight="1">
      <c r="O36296" s="5" t="s">
        <v>355</v>
      </c>
      <c r="P36296" s="5" t="s">
        <v>355</v>
      </c>
      <c r="Q36296" s="5" t="s">
        <v>355</v>
      </c>
    </row>
    <row r="36297" ht="16.5" customHeight="1">
      <c r="O36297" s="5" t="s">
        <v>355</v>
      </c>
      <c r="P36297" s="5" t="s">
        <v>355</v>
      </c>
      <c r="Q36297" s="5" t="s">
        <v>355</v>
      </c>
    </row>
    <row r="36298" ht="16.5" customHeight="1">
      <c r="O36298" s="5" t="s">
        <v>355</v>
      </c>
      <c r="P36298" s="5" t="s">
        <v>355</v>
      </c>
      <c r="Q36298" s="5" t="s">
        <v>355</v>
      </c>
    </row>
    <row r="36299" ht="16.5" customHeight="1">
      <c r="O36299" s="5" t="s">
        <v>355</v>
      </c>
      <c r="P36299" s="5" t="s">
        <v>355</v>
      </c>
      <c r="Q36299" s="5" t="s">
        <v>355</v>
      </c>
    </row>
    <row r="36300" ht="16.5" customHeight="1">
      <c r="O36300" s="5" t="s">
        <v>355</v>
      </c>
      <c r="P36300" s="5" t="s">
        <v>355</v>
      </c>
      <c r="Q36300" s="5" t="s">
        <v>355</v>
      </c>
    </row>
    <row r="36301" ht="16.5" customHeight="1">
      <c r="O36301" s="5" t="s">
        <v>355</v>
      </c>
      <c r="P36301" s="5" t="s">
        <v>355</v>
      </c>
      <c r="Q36301" s="5" t="s">
        <v>355</v>
      </c>
    </row>
    <row r="36302" ht="16.5" customHeight="1">
      <c r="O36302" s="5" t="s">
        <v>355</v>
      </c>
      <c r="P36302" s="5" t="s">
        <v>355</v>
      </c>
      <c r="Q36302" s="5" t="s">
        <v>355</v>
      </c>
    </row>
    <row r="36303" ht="16.5" customHeight="1">
      <c r="O36303" s="5" t="s">
        <v>355</v>
      </c>
      <c r="P36303" s="5" t="s">
        <v>355</v>
      </c>
      <c r="Q36303" s="5" t="s">
        <v>355</v>
      </c>
    </row>
    <row r="36304" ht="16.5" customHeight="1">
      <c r="O36304" s="5" t="s">
        <v>355</v>
      </c>
      <c r="P36304" s="5" t="s">
        <v>355</v>
      </c>
      <c r="Q36304" s="5" t="s">
        <v>355</v>
      </c>
    </row>
    <row r="36305" ht="16.5" customHeight="1">
      <c r="O36305" s="5" t="s">
        <v>355</v>
      </c>
      <c r="P36305" s="5" t="s">
        <v>355</v>
      </c>
      <c r="Q36305" s="5" t="s">
        <v>355</v>
      </c>
    </row>
    <row r="36306" ht="16.5" customHeight="1">
      <c r="O36306" s="5" t="s">
        <v>355</v>
      </c>
      <c r="P36306" s="5" t="s">
        <v>355</v>
      </c>
      <c r="Q36306" s="5" t="s">
        <v>355</v>
      </c>
    </row>
    <row r="36307" ht="16.5" customHeight="1">
      <c r="O36307" s="5" t="s">
        <v>355</v>
      </c>
      <c r="P36307" s="5" t="s">
        <v>355</v>
      </c>
      <c r="Q36307" s="5" t="s">
        <v>355</v>
      </c>
    </row>
    <row r="36308" ht="16.5" customHeight="1">
      <c r="O36308" s="5" t="s">
        <v>355</v>
      </c>
      <c r="P36308" s="5" t="s">
        <v>355</v>
      </c>
      <c r="Q36308" s="5" t="s">
        <v>355</v>
      </c>
    </row>
    <row r="36309" ht="16.5" customHeight="1">
      <c r="O36309" s="5" t="s">
        <v>355</v>
      </c>
      <c r="P36309" s="5" t="s">
        <v>355</v>
      </c>
      <c r="Q36309" s="5" t="s">
        <v>355</v>
      </c>
    </row>
    <row r="36310" ht="16.5" customHeight="1">
      <c r="O36310" s="5" t="s">
        <v>355</v>
      </c>
      <c r="P36310" s="5" t="s">
        <v>355</v>
      </c>
      <c r="Q36310" s="5" t="s">
        <v>355</v>
      </c>
    </row>
    <row r="36311" ht="16.5" customHeight="1">
      <c r="O36311" s="5" t="s">
        <v>355</v>
      </c>
      <c r="P36311" s="5" t="s">
        <v>355</v>
      </c>
      <c r="Q36311" s="5" t="s">
        <v>355</v>
      </c>
    </row>
    <row r="36312" ht="16.5" customHeight="1">
      <c r="O36312" s="5" t="s">
        <v>355</v>
      </c>
      <c r="P36312" s="5" t="s">
        <v>355</v>
      </c>
      <c r="Q36312" s="5" t="s">
        <v>355</v>
      </c>
    </row>
    <row r="36313" ht="16.5" customHeight="1">
      <c r="O36313" s="5" t="s">
        <v>355</v>
      </c>
      <c r="P36313" s="5" t="s">
        <v>355</v>
      </c>
      <c r="Q36313" s="5" t="s">
        <v>355</v>
      </c>
    </row>
    <row r="36314" ht="16.5" customHeight="1">
      <c r="O36314" s="5" t="s">
        <v>355</v>
      </c>
      <c r="P36314" s="5" t="s">
        <v>355</v>
      </c>
      <c r="Q36314" s="5" t="s">
        <v>355</v>
      </c>
    </row>
    <row r="36315" ht="16.5" customHeight="1">
      <c r="O36315" s="5" t="s">
        <v>355</v>
      </c>
      <c r="P36315" s="5" t="s">
        <v>355</v>
      </c>
      <c r="Q36315" s="5" t="s">
        <v>355</v>
      </c>
    </row>
    <row r="36316" ht="16.5" customHeight="1">
      <c r="O36316" s="5" t="s">
        <v>355</v>
      </c>
      <c r="P36316" s="5" t="s">
        <v>355</v>
      </c>
      <c r="Q36316" s="5" t="s">
        <v>355</v>
      </c>
    </row>
    <row r="36317" ht="16.5" customHeight="1">
      <c r="O36317" s="5" t="s">
        <v>355</v>
      </c>
      <c r="P36317" s="5" t="s">
        <v>355</v>
      </c>
      <c r="Q36317" s="5" t="s">
        <v>355</v>
      </c>
    </row>
    <row r="36318" ht="16.5" customHeight="1">
      <c r="O36318" s="5" t="s">
        <v>355</v>
      </c>
      <c r="P36318" s="5" t="s">
        <v>355</v>
      </c>
      <c r="Q36318" s="5" t="s">
        <v>355</v>
      </c>
    </row>
    <row r="36319" ht="16.5" customHeight="1">
      <c r="O36319" s="5" t="s">
        <v>355</v>
      </c>
      <c r="P36319" s="5" t="s">
        <v>355</v>
      </c>
      <c r="Q36319" s="5" t="s">
        <v>355</v>
      </c>
    </row>
    <row r="36320" ht="16.5" customHeight="1">
      <c r="O36320" s="5" t="s">
        <v>355</v>
      </c>
      <c r="P36320" s="5" t="s">
        <v>355</v>
      </c>
      <c r="Q36320" s="5" t="s">
        <v>355</v>
      </c>
    </row>
    <row r="36321" ht="16.5" customHeight="1">
      <c r="O36321" s="5" t="s">
        <v>355</v>
      </c>
      <c r="P36321" s="5" t="s">
        <v>355</v>
      </c>
      <c r="Q36321" s="5" t="s">
        <v>355</v>
      </c>
    </row>
    <row r="36322" ht="16.5" customHeight="1">
      <c r="O36322" s="5" t="s">
        <v>355</v>
      </c>
      <c r="P36322" s="5" t="s">
        <v>355</v>
      </c>
      <c r="Q36322" s="5" t="s">
        <v>355</v>
      </c>
    </row>
    <row r="36323" ht="16.5" customHeight="1">
      <c r="O36323" s="5" t="s">
        <v>355</v>
      </c>
      <c r="P36323" s="5" t="s">
        <v>355</v>
      </c>
      <c r="Q36323" s="5" t="s">
        <v>355</v>
      </c>
    </row>
    <row r="36324" ht="16.5" customHeight="1">
      <c r="O36324" s="5" t="s">
        <v>355</v>
      </c>
      <c r="P36324" s="5" t="s">
        <v>355</v>
      </c>
      <c r="Q36324" s="5" t="s">
        <v>355</v>
      </c>
    </row>
    <row r="36325" ht="16.5" customHeight="1">
      <c r="O36325" s="5" t="s">
        <v>355</v>
      </c>
      <c r="P36325" s="5" t="s">
        <v>355</v>
      </c>
      <c r="Q36325" s="5" t="s">
        <v>355</v>
      </c>
    </row>
    <row r="36326" ht="16.5" customHeight="1">
      <c r="O36326" s="5" t="s">
        <v>355</v>
      </c>
      <c r="P36326" s="5" t="s">
        <v>355</v>
      </c>
      <c r="Q36326" s="5" t="s">
        <v>355</v>
      </c>
    </row>
    <row r="36327" ht="16.5" customHeight="1">
      <c r="O36327" s="5" t="s">
        <v>355</v>
      </c>
      <c r="P36327" s="5" t="s">
        <v>355</v>
      </c>
      <c r="Q36327" s="5" t="s">
        <v>355</v>
      </c>
    </row>
    <row r="36328" ht="16.5" customHeight="1">
      <c r="O36328" s="5" t="s">
        <v>355</v>
      </c>
      <c r="P36328" s="5" t="s">
        <v>355</v>
      </c>
      <c r="Q36328" s="5" t="s">
        <v>355</v>
      </c>
    </row>
    <row r="36329" ht="16.5" customHeight="1">
      <c r="O36329" s="5" t="s">
        <v>355</v>
      </c>
      <c r="P36329" s="5" t="s">
        <v>355</v>
      </c>
      <c r="Q36329" s="5" t="s">
        <v>355</v>
      </c>
    </row>
    <row r="36330" ht="16.5" customHeight="1">
      <c r="O36330" s="5" t="s">
        <v>355</v>
      </c>
      <c r="P36330" s="5" t="s">
        <v>355</v>
      </c>
      <c r="Q36330" s="5" t="s">
        <v>355</v>
      </c>
    </row>
    <row r="36331" ht="16.5" customHeight="1">
      <c r="O36331" s="5" t="s">
        <v>355</v>
      </c>
      <c r="P36331" s="5" t="s">
        <v>355</v>
      </c>
      <c r="Q36331" s="5" t="s">
        <v>355</v>
      </c>
    </row>
    <row r="36332" ht="16.5" customHeight="1">
      <c r="O36332" s="5" t="s">
        <v>355</v>
      </c>
      <c r="P36332" s="5" t="s">
        <v>355</v>
      </c>
      <c r="Q36332" s="5" t="s">
        <v>355</v>
      </c>
    </row>
    <row r="36333" ht="16.5" customHeight="1">
      <c r="O36333" s="5" t="s">
        <v>355</v>
      </c>
      <c r="P36333" s="5" t="s">
        <v>355</v>
      </c>
      <c r="Q36333" s="5" t="s">
        <v>355</v>
      </c>
    </row>
    <row r="36334" ht="16.5" customHeight="1">
      <c r="O36334" s="5" t="s">
        <v>355</v>
      </c>
      <c r="P36334" s="5" t="s">
        <v>355</v>
      </c>
      <c r="Q36334" s="5" t="s">
        <v>355</v>
      </c>
    </row>
    <row r="36335" ht="16.5" customHeight="1">
      <c r="O36335" s="5" t="s">
        <v>355</v>
      </c>
      <c r="P36335" s="5" t="s">
        <v>355</v>
      </c>
      <c r="Q36335" s="5" t="s">
        <v>355</v>
      </c>
    </row>
    <row r="36336" ht="16.5" customHeight="1">
      <c r="O36336" s="5" t="s">
        <v>355</v>
      </c>
      <c r="P36336" s="5" t="s">
        <v>355</v>
      </c>
      <c r="Q36336" s="5" t="s">
        <v>355</v>
      </c>
    </row>
    <row r="36337" ht="16.5" customHeight="1">
      <c r="O36337" s="5" t="s">
        <v>355</v>
      </c>
      <c r="P36337" s="5" t="s">
        <v>355</v>
      </c>
      <c r="Q36337" s="5" t="s">
        <v>355</v>
      </c>
    </row>
    <row r="36338" ht="16.5" customHeight="1">
      <c r="O36338" s="5" t="s">
        <v>355</v>
      </c>
      <c r="P36338" s="5" t="s">
        <v>355</v>
      </c>
      <c r="Q36338" s="5" t="s">
        <v>355</v>
      </c>
    </row>
    <row r="36339" ht="16.5" customHeight="1">
      <c r="O36339" s="5" t="s">
        <v>355</v>
      </c>
      <c r="P36339" s="5" t="s">
        <v>355</v>
      </c>
      <c r="Q36339" s="5" t="s">
        <v>355</v>
      </c>
    </row>
    <row r="36340" ht="16.5" customHeight="1">
      <c r="O36340" s="5" t="s">
        <v>355</v>
      </c>
      <c r="P36340" s="5" t="s">
        <v>355</v>
      </c>
      <c r="Q36340" s="5" t="s">
        <v>355</v>
      </c>
    </row>
    <row r="36341" ht="16.5" customHeight="1">
      <c r="O36341" s="5" t="s">
        <v>355</v>
      </c>
      <c r="P36341" s="5" t="s">
        <v>355</v>
      </c>
      <c r="Q36341" s="5" t="s">
        <v>355</v>
      </c>
    </row>
    <row r="36342" ht="16.5" customHeight="1">
      <c r="O36342" s="5" t="s">
        <v>355</v>
      </c>
      <c r="P36342" s="5" t="s">
        <v>355</v>
      </c>
      <c r="Q36342" s="5" t="s">
        <v>355</v>
      </c>
    </row>
    <row r="36343" ht="16.5" customHeight="1">
      <c r="O36343" s="5" t="s">
        <v>355</v>
      </c>
      <c r="P36343" s="5" t="s">
        <v>355</v>
      </c>
      <c r="Q36343" s="5" t="s">
        <v>355</v>
      </c>
    </row>
    <row r="36344" ht="16.5" customHeight="1">
      <c r="O36344" s="5" t="s">
        <v>355</v>
      </c>
      <c r="P36344" s="5" t="s">
        <v>355</v>
      </c>
      <c r="Q36344" s="5" t="s">
        <v>355</v>
      </c>
    </row>
    <row r="36345" ht="16.5" customHeight="1">
      <c r="O36345" s="5" t="s">
        <v>355</v>
      </c>
      <c r="P36345" s="5" t="s">
        <v>355</v>
      </c>
      <c r="Q36345" s="5" t="s">
        <v>355</v>
      </c>
    </row>
    <row r="36346" ht="16.5" customHeight="1">
      <c r="O36346" s="5" t="s">
        <v>355</v>
      </c>
      <c r="P36346" s="5" t="s">
        <v>355</v>
      </c>
      <c r="Q36346" s="5" t="s">
        <v>355</v>
      </c>
    </row>
    <row r="36347" ht="16.5" customHeight="1">
      <c r="O36347" s="5" t="s">
        <v>355</v>
      </c>
      <c r="P36347" s="5" t="s">
        <v>355</v>
      </c>
      <c r="Q36347" s="5" t="s">
        <v>355</v>
      </c>
    </row>
    <row r="36348" ht="16.5" customHeight="1">
      <c r="O36348" s="5" t="s">
        <v>355</v>
      </c>
      <c r="P36348" s="5" t="s">
        <v>355</v>
      </c>
      <c r="Q36348" s="5" t="s">
        <v>355</v>
      </c>
    </row>
    <row r="36349" ht="16.5" customHeight="1">
      <c r="O36349" s="5" t="s">
        <v>355</v>
      </c>
      <c r="P36349" s="5" t="s">
        <v>355</v>
      </c>
      <c r="Q36349" s="5" t="s">
        <v>355</v>
      </c>
    </row>
    <row r="36350" ht="16.5" customHeight="1">
      <c r="O36350" s="5" t="s">
        <v>355</v>
      </c>
      <c r="P36350" s="5" t="s">
        <v>355</v>
      </c>
      <c r="Q36350" s="5" t="s">
        <v>355</v>
      </c>
    </row>
    <row r="36351" ht="16.5" customHeight="1">
      <c r="O36351" s="5" t="s">
        <v>355</v>
      </c>
      <c r="P36351" s="5" t="s">
        <v>355</v>
      </c>
      <c r="Q36351" s="5" t="s">
        <v>355</v>
      </c>
    </row>
    <row r="36352" ht="16.5" customHeight="1">
      <c r="O36352" s="5" t="s">
        <v>355</v>
      </c>
      <c r="P36352" s="5" t="s">
        <v>355</v>
      </c>
      <c r="Q36352" s="5" t="s">
        <v>355</v>
      </c>
    </row>
    <row r="36353" ht="16.5" customHeight="1">
      <c r="O36353" s="5" t="s">
        <v>355</v>
      </c>
      <c r="P36353" s="5" t="s">
        <v>355</v>
      </c>
      <c r="Q36353" s="5" t="s">
        <v>355</v>
      </c>
    </row>
    <row r="36354" ht="16.5" customHeight="1">
      <c r="O36354" s="5" t="s">
        <v>355</v>
      </c>
      <c r="P36354" s="5" t="s">
        <v>355</v>
      </c>
      <c r="Q36354" s="5" t="s">
        <v>355</v>
      </c>
    </row>
    <row r="36355" ht="16.5" customHeight="1">
      <c r="O36355" s="5" t="s">
        <v>355</v>
      </c>
      <c r="P36355" s="5" t="s">
        <v>355</v>
      </c>
      <c r="Q36355" s="5" t="s">
        <v>355</v>
      </c>
    </row>
    <row r="36356" ht="16.5" customHeight="1">
      <c r="O36356" s="5" t="s">
        <v>355</v>
      </c>
      <c r="P36356" s="5" t="s">
        <v>355</v>
      </c>
      <c r="Q36356" s="5" t="s">
        <v>355</v>
      </c>
    </row>
    <row r="36357" ht="16.5" customHeight="1">
      <c r="O36357" s="5" t="s">
        <v>355</v>
      </c>
      <c r="P36357" s="5" t="s">
        <v>355</v>
      </c>
      <c r="Q36357" s="5" t="s">
        <v>355</v>
      </c>
    </row>
    <row r="36358" ht="16.5" customHeight="1">
      <c r="O36358" s="5" t="s">
        <v>355</v>
      </c>
      <c r="P36358" s="5" t="s">
        <v>355</v>
      </c>
      <c r="Q36358" s="5" t="s">
        <v>355</v>
      </c>
    </row>
    <row r="36359" ht="16.5" customHeight="1">
      <c r="O36359" s="5" t="s">
        <v>355</v>
      </c>
      <c r="P36359" s="5" t="s">
        <v>355</v>
      </c>
      <c r="Q36359" s="5" t="s">
        <v>355</v>
      </c>
    </row>
    <row r="36360" ht="16.5" customHeight="1">
      <c r="O36360" s="5" t="s">
        <v>355</v>
      </c>
      <c r="P36360" s="5" t="s">
        <v>355</v>
      </c>
      <c r="Q36360" s="5" t="s">
        <v>355</v>
      </c>
    </row>
    <row r="36361" ht="16.5" customHeight="1">
      <c r="O36361" s="5" t="s">
        <v>355</v>
      </c>
      <c r="P36361" s="5" t="s">
        <v>355</v>
      </c>
      <c r="Q36361" s="5" t="s">
        <v>355</v>
      </c>
    </row>
    <row r="36362" ht="16.5" customHeight="1">
      <c r="O36362" s="5" t="s">
        <v>355</v>
      </c>
      <c r="P36362" s="5" t="s">
        <v>355</v>
      </c>
      <c r="Q36362" s="5" t="s">
        <v>355</v>
      </c>
    </row>
    <row r="36363" ht="16.5" customHeight="1">
      <c r="O36363" s="5" t="s">
        <v>355</v>
      </c>
      <c r="P36363" s="5" t="s">
        <v>355</v>
      </c>
      <c r="Q36363" s="5" t="s">
        <v>355</v>
      </c>
    </row>
    <row r="36364" ht="16.5" customHeight="1">
      <c r="O36364" s="5" t="s">
        <v>355</v>
      </c>
      <c r="P36364" s="5" t="s">
        <v>355</v>
      </c>
      <c r="Q36364" s="5" t="s">
        <v>355</v>
      </c>
    </row>
    <row r="36365" ht="16.5" customHeight="1">
      <c r="O36365" s="5" t="s">
        <v>355</v>
      </c>
      <c r="P36365" s="5" t="s">
        <v>355</v>
      </c>
      <c r="Q36365" s="5" t="s">
        <v>355</v>
      </c>
    </row>
    <row r="36366" ht="16.5" customHeight="1">
      <c r="O36366" s="5" t="s">
        <v>355</v>
      </c>
      <c r="P36366" s="5" t="s">
        <v>355</v>
      </c>
      <c r="Q36366" s="5" t="s">
        <v>355</v>
      </c>
    </row>
    <row r="36367" ht="16.5" customHeight="1">
      <c r="O36367" s="5" t="s">
        <v>355</v>
      </c>
      <c r="P36367" s="5" t="s">
        <v>355</v>
      </c>
      <c r="Q36367" s="5" t="s">
        <v>355</v>
      </c>
    </row>
    <row r="36368" ht="16.5" customHeight="1">
      <c r="O36368" s="5" t="s">
        <v>355</v>
      </c>
      <c r="P36368" s="5" t="s">
        <v>355</v>
      </c>
      <c r="Q36368" s="5" t="s">
        <v>355</v>
      </c>
    </row>
    <row r="36369" ht="16.5" customHeight="1">
      <c r="O36369" s="5" t="s">
        <v>355</v>
      </c>
      <c r="P36369" s="5" t="s">
        <v>355</v>
      </c>
      <c r="Q36369" s="5" t="s">
        <v>355</v>
      </c>
    </row>
    <row r="36370" ht="16.5" customHeight="1">
      <c r="O36370" s="5" t="s">
        <v>355</v>
      </c>
      <c r="P36370" s="5" t="s">
        <v>355</v>
      </c>
      <c r="Q36370" s="5" t="s">
        <v>355</v>
      </c>
    </row>
    <row r="36371" ht="16.5" customHeight="1">
      <c r="O36371" s="5" t="s">
        <v>355</v>
      </c>
      <c r="P36371" s="5" t="s">
        <v>355</v>
      </c>
      <c r="Q36371" s="5" t="s">
        <v>355</v>
      </c>
    </row>
    <row r="36372" ht="16.5" customHeight="1">
      <c r="O36372" s="5" t="s">
        <v>355</v>
      </c>
      <c r="P36372" s="5" t="s">
        <v>355</v>
      </c>
      <c r="Q36372" s="5" t="s">
        <v>355</v>
      </c>
    </row>
    <row r="36373" ht="16.5" customHeight="1">
      <c r="O36373" s="5" t="s">
        <v>355</v>
      </c>
      <c r="P36373" s="5" t="s">
        <v>355</v>
      </c>
      <c r="Q36373" s="5" t="s">
        <v>355</v>
      </c>
    </row>
    <row r="36374" ht="16.5" customHeight="1">
      <c r="O36374" s="5" t="s">
        <v>355</v>
      </c>
      <c r="P36374" s="5" t="s">
        <v>355</v>
      </c>
      <c r="Q36374" s="5" t="s">
        <v>355</v>
      </c>
    </row>
    <row r="36375" ht="16.5" customHeight="1">
      <c r="O36375" s="5" t="s">
        <v>355</v>
      </c>
      <c r="P36375" s="5" t="s">
        <v>355</v>
      </c>
      <c r="Q36375" s="5" t="s">
        <v>355</v>
      </c>
    </row>
    <row r="36376" ht="16.5" customHeight="1">
      <c r="O36376" s="5" t="s">
        <v>355</v>
      </c>
      <c r="P36376" s="5" t="s">
        <v>355</v>
      </c>
      <c r="Q36376" s="5" t="s">
        <v>355</v>
      </c>
    </row>
    <row r="36377" ht="16.5" customHeight="1">
      <c r="O36377" s="5" t="s">
        <v>355</v>
      </c>
      <c r="P36377" s="5" t="s">
        <v>355</v>
      </c>
      <c r="Q36377" s="5" t="s">
        <v>355</v>
      </c>
    </row>
    <row r="36378" ht="16.5" customHeight="1">
      <c r="O36378" s="5" t="s">
        <v>355</v>
      </c>
      <c r="P36378" s="5" t="s">
        <v>355</v>
      </c>
      <c r="Q36378" s="5" t="s">
        <v>355</v>
      </c>
    </row>
    <row r="36379" ht="16.5" customHeight="1">
      <c r="O36379" s="5" t="s">
        <v>355</v>
      </c>
      <c r="P36379" s="5" t="s">
        <v>355</v>
      </c>
      <c r="Q36379" s="5" t="s">
        <v>355</v>
      </c>
    </row>
    <row r="36380" ht="16.5" customHeight="1">
      <c r="O36380" s="5" t="s">
        <v>355</v>
      </c>
      <c r="P36380" s="5" t="s">
        <v>355</v>
      </c>
      <c r="Q36380" s="5" t="s">
        <v>355</v>
      </c>
    </row>
    <row r="36381" ht="16.5" customHeight="1">
      <c r="O36381" s="5" t="s">
        <v>355</v>
      </c>
      <c r="P36381" s="5" t="s">
        <v>355</v>
      </c>
      <c r="Q36381" s="5" t="s">
        <v>355</v>
      </c>
    </row>
    <row r="36382" ht="16.5" customHeight="1">
      <c r="O36382" s="5" t="s">
        <v>355</v>
      </c>
      <c r="P36382" s="5" t="s">
        <v>355</v>
      </c>
      <c r="Q36382" s="5" t="s">
        <v>355</v>
      </c>
    </row>
    <row r="36383" ht="16.5" customHeight="1">
      <c r="O36383" s="5" t="s">
        <v>355</v>
      </c>
      <c r="P36383" s="5" t="s">
        <v>355</v>
      </c>
      <c r="Q36383" s="5" t="s">
        <v>355</v>
      </c>
    </row>
    <row r="36384" ht="16.5" customHeight="1">
      <c r="O36384" s="5" t="s">
        <v>355</v>
      </c>
      <c r="P36384" s="5" t="s">
        <v>355</v>
      </c>
      <c r="Q36384" s="5" t="s">
        <v>355</v>
      </c>
    </row>
    <row r="36385" ht="16.5" customHeight="1">
      <c r="O36385" s="5" t="s">
        <v>355</v>
      </c>
      <c r="P36385" s="5" t="s">
        <v>355</v>
      </c>
      <c r="Q36385" s="5" t="s">
        <v>355</v>
      </c>
    </row>
    <row r="36386" ht="16.5" customHeight="1">
      <c r="O36386" s="5" t="s">
        <v>355</v>
      </c>
      <c r="P36386" s="5" t="s">
        <v>355</v>
      </c>
      <c r="Q36386" s="5" t="s">
        <v>355</v>
      </c>
    </row>
    <row r="36387" ht="16.5" customHeight="1">
      <c r="O36387" s="5" t="s">
        <v>355</v>
      </c>
      <c r="P36387" s="5" t="s">
        <v>355</v>
      </c>
      <c r="Q36387" s="5" t="s">
        <v>355</v>
      </c>
    </row>
    <row r="36388" ht="16.5" customHeight="1">
      <c r="O36388" s="5" t="s">
        <v>355</v>
      </c>
      <c r="P36388" s="5" t="s">
        <v>355</v>
      </c>
      <c r="Q36388" s="5" t="s">
        <v>355</v>
      </c>
    </row>
    <row r="36389" ht="16.5" customHeight="1">
      <c r="O36389" s="5" t="s">
        <v>355</v>
      </c>
      <c r="P36389" s="5" t="s">
        <v>355</v>
      </c>
      <c r="Q36389" s="5" t="s">
        <v>355</v>
      </c>
    </row>
    <row r="36390" ht="16.5" customHeight="1">
      <c r="O36390" s="5" t="s">
        <v>355</v>
      </c>
      <c r="P36390" s="5" t="s">
        <v>355</v>
      </c>
      <c r="Q36390" s="5" t="s">
        <v>355</v>
      </c>
    </row>
    <row r="36391" ht="16.5" customHeight="1">
      <c r="O36391" s="5" t="s">
        <v>355</v>
      </c>
      <c r="P36391" s="5" t="s">
        <v>355</v>
      </c>
      <c r="Q36391" s="5" t="s">
        <v>355</v>
      </c>
    </row>
    <row r="36392" ht="16.5" customHeight="1">
      <c r="O36392" s="5" t="s">
        <v>355</v>
      </c>
      <c r="P36392" s="5" t="s">
        <v>355</v>
      </c>
      <c r="Q36392" s="5" t="s">
        <v>355</v>
      </c>
    </row>
    <row r="36393" ht="16.5" customHeight="1">
      <c r="O36393" s="5" t="s">
        <v>355</v>
      </c>
      <c r="P36393" s="5" t="s">
        <v>355</v>
      </c>
      <c r="Q36393" s="5" t="s">
        <v>355</v>
      </c>
    </row>
    <row r="36394" ht="16.5" customHeight="1">
      <c r="O36394" s="5" t="s">
        <v>355</v>
      </c>
      <c r="P36394" s="5" t="s">
        <v>355</v>
      </c>
      <c r="Q36394" s="5" t="s">
        <v>355</v>
      </c>
    </row>
    <row r="36395" ht="16.5" customHeight="1">
      <c r="O36395" s="5" t="s">
        <v>355</v>
      </c>
      <c r="P36395" s="5" t="s">
        <v>355</v>
      </c>
      <c r="Q36395" s="5" t="s">
        <v>355</v>
      </c>
    </row>
    <row r="36396" ht="16.5" customHeight="1">
      <c r="O36396" s="5" t="s">
        <v>355</v>
      </c>
      <c r="P36396" s="5" t="s">
        <v>355</v>
      </c>
      <c r="Q36396" s="5" t="s">
        <v>355</v>
      </c>
    </row>
    <row r="36397" ht="16.5" customHeight="1">
      <c r="O36397" s="5" t="s">
        <v>355</v>
      </c>
      <c r="P36397" s="5" t="s">
        <v>355</v>
      </c>
      <c r="Q36397" s="5" t="s">
        <v>355</v>
      </c>
    </row>
    <row r="36398" ht="16.5" customHeight="1">
      <c r="O36398" s="5" t="s">
        <v>355</v>
      </c>
      <c r="P36398" s="5" t="s">
        <v>355</v>
      </c>
      <c r="Q36398" s="5" t="s">
        <v>355</v>
      </c>
    </row>
    <row r="36399" ht="16.5" customHeight="1">
      <c r="O36399" s="5" t="s">
        <v>355</v>
      </c>
      <c r="P36399" s="5" t="s">
        <v>355</v>
      </c>
      <c r="Q36399" s="5" t="s">
        <v>355</v>
      </c>
    </row>
    <row r="36400" ht="16.5" customHeight="1">
      <c r="O36400" s="5" t="s">
        <v>355</v>
      </c>
      <c r="P36400" s="5" t="s">
        <v>355</v>
      </c>
      <c r="Q36400" s="5" t="s">
        <v>355</v>
      </c>
    </row>
    <row r="36401" ht="16.5" customHeight="1">
      <c r="O36401" s="5" t="s">
        <v>355</v>
      </c>
      <c r="P36401" s="5" t="s">
        <v>355</v>
      </c>
      <c r="Q36401" s="5" t="s">
        <v>355</v>
      </c>
    </row>
    <row r="36402" ht="16.5" customHeight="1">
      <c r="O36402" s="5" t="s">
        <v>355</v>
      </c>
      <c r="P36402" s="5" t="s">
        <v>355</v>
      </c>
      <c r="Q36402" s="5" t="s">
        <v>355</v>
      </c>
    </row>
    <row r="36403" ht="16.5" customHeight="1">
      <c r="O36403" s="5" t="s">
        <v>355</v>
      </c>
      <c r="P36403" s="5" t="s">
        <v>355</v>
      </c>
      <c r="Q36403" s="5" t="s">
        <v>355</v>
      </c>
    </row>
    <row r="36404" ht="16.5" customHeight="1">
      <c r="O36404" s="5" t="s">
        <v>355</v>
      </c>
      <c r="P36404" s="5" t="s">
        <v>355</v>
      </c>
      <c r="Q36404" s="5" t="s">
        <v>355</v>
      </c>
    </row>
    <row r="36405" ht="16.5" customHeight="1">
      <c r="O36405" s="5" t="s">
        <v>355</v>
      </c>
      <c r="P36405" s="5" t="s">
        <v>355</v>
      </c>
      <c r="Q36405" s="5" t="s">
        <v>355</v>
      </c>
    </row>
    <row r="36406" ht="16.5" customHeight="1">
      <c r="O36406" s="5" t="s">
        <v>355</v>
      </c>
      <c r="P36406" s="5" t="s">
        <v>355</v>
      </c>
      <c r="Q36406" s="5" t="s">
        <v>355</v>
      </c>
    </row>
    <row r="36407" ht="16.5" customHeight="1">
      <c r="O36407" s="5" t="s">
        <v>355</v>
      </c>
      <c r="P36407" s="5" t="s">
        <v>355</v>
      </c>
      <c r="Q36407" s="5" t="s">
        <v>355</v>
      </c>
    </row>
    <row r="36408" ht="16.5" customHeight="1">
      <c r="O36408" s="5" t="s">
        <v>355</v>
      </c>
      <c r="P36408" s="5" t="s">
        <v>355</v>
      </c>
      <c r="Q36408" s="5" t="s">
        <v>355</v>
      </c>
    </row>
    <row r="36409" ht="16.5" customHeight="1">
      <c r="O36409" s="5" t="s">
        <v>355</v>
      </c>
      <c r="P36409" s="5" t="s">
        <v>355</v>
      </c>
      <c r="Q36409" s="5" t="s">
        <v>355</v>
      </c>
    </row>
    <row r="36410" ht="16.5" customHeight="1">
      <c r="O36410" s="5" t="s">
        <v>355</v>
      </c>
      <c r="P36410" s="5" t="s">
        <v>355</v>
      </c>
      <c r="Q36410" s="5" t="s">
        <v>355</v>
      </c>
    </row>
    <row r="36411" ht="16.5" customHeight="1">
      <c r="O36411" s="5" t="s">
        <v>355</v>
      </c>
      <c r="P36411" s="5" t="s">
        <v>355</v>
      </c>
      <c r="Q36411" s="5" t="s">
        <v>355</v>
      </c>
    </row>
    <row r="36412" ht="16.5" customHeight="1">
      <c r="O36412" s="5" t="s">
        <v>355</v>
      </c>
      <c r="P36412" s="5" t="s">
        <v>355</v>
      </c>
      <c r="Q36412" s="5" t="s">
        <v>355</v>
      </c>
    </row>
    <row r="36413" ht="16.5" customHeight="1">
      <c r="O36413" s="5" t="s">
        <v>355</v>
      </c>
      <c r="P36413" s="5" t="s">
        <v>355</v>
      </c>
      <c r="Q36413" s="5" t="s">
        <v>355</v>
      </c>
    </row>
    <row r="36414" ht="16.5" customHeight="1">
      <c r="O36414" s="5" t="s">
        <v>355</v>
      </c>
      <c r="P36414" s="5" t="s">
        <v>355</v>
      </c>
      <c r="Q36414" s="5" t="s">
        <v>355</v>
      </c>
    </row>
    <row r="36415" ht="16.5" customHeight="1">
      <c r="O36415" s="5" t="s">
        <v>355</v>
      </c>
      <c r="P36415" s="5" t="s">
        <v>355</v>
      </c>
      <c r="Q36415" s="5" t="s">
        <v>355</v>
      </c>
    </row>
    <row r="36416" ht="16.5" customHeight="1">
      <c r="O36416" s="5" t="s">
        <v>355</v>
      </c>
      <c r="P36416" s="5" t="s">
        <v>355</v>
      </c>
      <c r="Q36416" s="5" t="s">
        <v>355</v>
      </c>
    </row>
    <row r="36417" ht="16.5" customHeight="1">
      <c r="O36417" s="5" t="s">
        <v>355</v>
      </c>
      <c r="P36417" s="5" t="s">
        <v>355</v>
      </c>
      <c r="Q36417" s="5" t="s">
        <v>355</v>
      </c>
    </row>
    <row r="36418" ht="16.5" customHeight="1">
      <c r="O36418" s="5" t="s">
        <v>355</v>
      </c>
      <c r="P36418" s="5" t="s">
        <v>355</v>
      </c>
      <c r="Q36418" s="5" t="s">
        <v>355</v>
      </c>
    </row>
    <row r="36419" ht="16.5" customHeight="1">
      <c r="O36419" s="5" t="s">
        <v>355</v>
      </c>
      <c r="P36419" s="5" t="s">
        <v>355</v>
      </c>
      <c r="Q36419" s="5" t="s">
        <v>355</v>
      </c>
    </row>
    <row r="36420" ht="16.5" customHeight="1">
      <c r="O36420" s="5" t="s">
        <v>355</v>
      </c>
      <c r="P36420" s="5" t="s">
        <v>355</v>
      </c>
      <c r="Q36420" s="5" t="s">
        <v>355</v>
      </c>
    </row>
    <row r="36421" ht="16.5" customHeight="1">
      <c r="O36421" s="5" t="s">
        <v>355</v>
      </c>
      <c r="P36421" s="5" t="s">
        <v>355</v>
      </c>
      <c r="Q36421" s="5" t="s">
        <v>355</v>
      </c>
    </row>
    <row r="36422" ht="16.5" customHeight="1">
      <c r="O36422" s="5" t="s">
        <v>355</v>
      </c>
      <c r="P36422" s="5" t="s">
        <v>355</v>
      </c>
      <c r="Q36422" s="5" t="s">
        <v>355</v>
      </c>
    </row>
    <row r="36423" ht="16.5" customHeight="1">
      <c r="O36423" s="5" t="s">
        <v>355</v>
      </c>
      <c r="P36423" s="5" t="s">
        <v>355</v>
      </c>
      <c r="Q36423" s="5" t="s">
        <v>355</v>
      </c>
    </row>
    <row r="36424" ht="16.5" customHeight="1">
      <c r="O36424" s="5" t="s">
        <v>355</v>
      </c>
      <c r="P36424" s="5" t="s">
        <v>355</v>
      </c>
      <c r="Q36424" s="5" t="s">
        <v>355</v>
      </c>
    </row>
    <row r="36425" ht="16.5" customHeight="1">
      <c r="O36425" s="5" t="s">
        <v>355</v>
      </c>
      <c r="P36425" s="5" t="s">
        <v>355</v>
      </c>
      <c r="Q36425" s="5" t="s">
        <v>355</v>
      </c>
    </row>
    <row r="36426" ht="16.5" customHeight="1">
      <c r="O36426" s="5" t="s">
        <v>355</v>
      </c>
      <c r="P36426" s="5" t="s">
        <v>355</v>
      </c>
      <c r="Q36426" s="5" t="s">
        <v>355</v>
      </c>
    </row>
    <row r="36427" ht="16.5" customHeight="1">
      <c r="O36427" s="5" t="s">
        <v>355</v>
      </c>
      <c r="P36427" s="5" t="s">
        <v>355</v>
      </c>
      <c r="Q36427" s="5" t="s">
        <v>355</v>
      </c>
    </row>
    <row r="36428" ht="16.5" customHeight="1">
      <c r="O36428" s="5" t="s">
        <v>355</v>
      </c>
      <c r="P36428" s="5" t="s">
        <v>355</v>
      </c>
      <c r="Q36428" s="5" t="s">
        <v>355</v>
      </c>
    </row>
    <row r="36429" ht="16.5" customHeight="1">
      <c r="O36429" s="5" t="s">
        <v>355</v>
      </c>
      <c r="P36429" s="5" t="s">
        <v>355</v>
      </c>
      <c r="Q36429" s="5" t="s">
        <v>355</v>
      </c>
    </row>
    <row r="36430" ht="16.5" customHeight="1">
      <c r="O36430" s="5" t="s">
        <v>355</v>
      </c>
      <c r="P36430" s="5" t="s">
        <v>355</v>
      </c>
      <c r="Q36430" s="5" t="s">
        <v>355</v>
      </c>
    </row>
    <row r="36431" ht="16.5" customHeight="1">
      <c r="O36431" s="5" t="s">
        <v>355</v>
      </c>
      <c r="P36431" s="5" t="s">
        <v>355</v>
      </c>
      <c r="Q36431" s="5" t="s">
        <v>355</v>
      </c>
    </row>
    <row r="36432" ht="16.5" customHeight="1">
      <c r="O36432" s="5" t="s">
        <v>355</v>
      </c>
      <c r="P36432" s="5" t="s">
        <v>355</v>
      </c>
      <c r="Q36432" s="5" t="s">
        <v>355</v>
      </c>
    </row>
    <row r="36433" ht="16.5" customHeight="1">
      <c r="O36433" s="5" t="s">
        <v>355</v>
      </c>
      <c r="P36433" s="5" t="s">
        <v>355</v>
      </c>
      <c r="Q36433" s="5" t="s">
        <v>355</v>
      </c>
    </row>
    <row r="36434" ht="16.5" customHeight="1">
      <c r="O36434" s="5" t="s">
        <v>355</v>
      </c>
      <c r="P36434" s="5" t="s">
        <v>355</v>
      </c>
      <c r="Q36434" s="5" t="s">
        <v>355</v>
      </c>
    </row>
    <row r="36435" ht="16.5" customHeight="1">
      <c r="O36435" s="5" t="s">
        <v>355</v>
      </c>
      <c r="P36435" s="5" t="s">
        <v>355</v>
      </c>
      <c r="Q36435" s="5" t="s">
        <v>355</v>
      </c>
    </row>
    <row r="36436" ht="16.5" customHeight="1">
      <c r="O36436" s="5" t="s">
        <v>355</v>
      </c>
      <c r="P36436" s="5" t="s">
        <v>355</v>
      </c>
      <c r="Q36436" s="5" t="s">
        <v>355</v>
      </c>
    </row>
    <row r="36437" ht="16.5" customHeight="1">
      <c r="O36437" s="5" t="s">
        <v>355</v>
      </c>
      <c r="P36437" s="5" t="s">
        <v>355</v>
      </c>
      <c r="Q36437" s="5" t="s">
        <v>355</v>
      </c>
    </row>
    <row r="36438" ht="16.5" customHeight="1">
      <c r="O36438" s="5" t="s">
        <v>355</v>
      </c>
      <c r="P36438" s="5" t="s">
        <v>355</v>
      </c>
      <c r="Q36438" s="5" t="s">
        <v>355</v>
      </c>
    </row>
    <row r="36439" ht="16.5" customHeight="1">
      <c r="O36439" s="5" t="s">
        <v>355</v>
      </c>
      <c r="P36439" s="5" t="s">
        <v>355</v>
      </c>
      <c r="Q36439" s="5" t="s">
        <v>355</v>
      </c>
    </row>
    <row r="36440" ht="16.5" customHeight="1">
      <c r="O36440" s="5" t="s">
        <v>355</v>
      </c>
      <c r="P36440" s="5" t="s">
        <v>355</v>
      </c>
      <c r="Q36440" s="5" t="s">
        <v>355</v>
      </c>
    </row>
    <row r="36441" ht="16.5" customHeight="1">
      <c r="O36441" s="5" t="s">
        <v>355</v>
      </c>
      <c r="P36441" s="5" t="s">
        <v>355</v>
      </c>
      <c r="Q36441" s="5" t="s">
        <v>355</v>
      </c>
    </row>
    <row r="36442" ht="16.5" customHeight="1">
      <c r="O36442" s="5" t="s">
        <v>355</v>
      </c>
      <c r="P36442" s="5" t="s">
        <v>355</v>
      </c>
      <c r="Q36442" s="5" t="s">
        <v>355</v>
      </c>
    </row>
    <row r="36443" ht="16.5" customHeight="1">
      <c r="O36443" s="5" t="s">
        <v>355</v>
      </c>
      <c r="P36443" s="5" t="s">
        <v>355</v>
      </c>
      <c r="Q36443" s="5" t="s">
        <v>355</v>
      </c>
    </row>
    <row r="36444" ht="16.5" customHeight="1">
      <c r="O36444" s="5" t="s">
        <v>355</v>
      </c>
      <c r="P36444" s="5" t="s">
        <v>355</v>
      </c>
      <c r="Q36444" s="5" t="s">
        <v>355</v>
      </c>
    </row>
    <row r="36445" ht="16.5" customHeight="1">
      <c r="O36445" s="5" t="s">
        <v>355</v>
      </c>
      <c r="P36445" s="5" t="s">
        <v>355</v>
      </c>
      <c r="Q36445" s="5" t="s">
        <v>355</v>
      </c>
    </row>
    <row r="36446" ht="16.5" customHeight="1">
      <c r="O36446" s="5" t="s">
        <v>355</v>
      </c>
      <c r="P36446" s="5" t="s">
        <v>355</v>
      </c>
      <c r="Q36446" s="5" t="s">
        <v>355</v>
      </c>
    </row>
    <row r="36447" ht="16.5" customHeight="1">
      <c r="O36447" s="5" t="s">
        <v>355</v>
      </c>
      <c r="P36447" s="5" t="s">
        <v>355</v>
      </c>
      <c r="Q36447" s="5" t="s">
        <v>355</v>
      </c>
    </row>
    <row r="36448" ht="16.5" customHeight="1">
      <c r="O36448" s="5" t="s">
        <v>355</v>
      </c>
      <c r="P36448" s="5" t="s">
        <v>355</v>
      </c>
      <c r="Q36448" s="5" t="s">
        <v>355</v>
      </c>
    </row>
    <row r="36449" ht="16.5" customHeight="1">
      <c r="O36449" s="5" t="s">
        <v>355</v>
      </c>
      <c r="P36449" s="5" t="s">
        <v>355</v>
      </c>
      <c r="Q36449" s="5" t="s">
        <v>355</v>
      </c>
    </row>
    <row r="36450" ht="16.5" customHeight="1">
      <c r="O36450" s="5" t="s">
        <v>355</v>
      </c>
      <c r="P36450" s="5" t="s">
        <v>355</v>
      </c>
      <c r="Q36450" s="5" t="s">
        <v>355</v>
      </c>
    </row>
    <row r="36451" ht="16.5" customHeight="1">
      <c r="O36451" s="5" t="s">
        <v>355</v>
      </c>
      <c r="P36451" s="5" t="s">
        <v>355</v>
      </c>
      <c r="Q36451" s="5" t="s">
        <v>355</v>
      </c>
    </row>
    <row r="36452" ht="16.5" customHeight="1">
      <c r="O36452" s="5" t="s">
        <v>355</v>
      </c>
      <c r="P36452" s="5" t="s">
        <v>355</v>
      </c>
      <c r="Q36452" s="5" t="s">
        <v>355</v>
      </c>
    </row>
    <row r="36453" ht="16.5" customHeight="1">
      <c r="O36453" s="5" t="s">
        <v>355</v>
      </c>
      <c r="P36453" s="5" t="s">
        <v>355</v>
      </c>
      <c r="Q36453" s="5" t="s">
        <v>355</v>
      </c>
    </row>
    <row r="36454" ht="16.5" customHeight="1">
      <c r="O36454" s="5" t="s">
        <v>355</v>
      </c>
      <c r="P36454" s="5" t="s">
        <v>355</v>
      </c>
      <c r="Q36454" s="5" t="s">
        <v>355</v>
      </c>
    </row>
    <row r="36455" ht="16.5" customHeight="1">
      <c r="O36455" s="5" t="s">
        <v>355</v>
      </c>
      <c r="P36455" s="5" t="s">
        <v>355</v>
      </c>
      <c r="Q36455" s="5" t="s">
        <v>355</v>
      </c>
    </row>
    <row r="36456" ht="16.5" customHeight="1">
      <c r="O36456" s="5" t="s">
        <v>355</v>
      </c>
      <c r="P36456" s="5" t="s">
        <v>355</v>
      </c>
      <c r="Q36456" s="5" t="s">
        <v>355</v>
      </c>
    </row>
    <row r="36457" ht="16.5" customHeight="1">
      <c r="O36457" s="5" t="s">
        <v>355</v>
      </c>
      <c r="P36457" s="5" t="s">
        <v>355</v>
      </c>
      <c r="Q36457" s="5" t="s">
        <v>355</v>
      </c>
    </row>
    <row r="36458" ht="16.5" customHeight="1">
      <c r="O36458" s="5" t="s">
        <v>355</v>
      </c>
      <c r="P36458" s="5" t="s">
        <v>355</v>
      </c>
      <c r="Q36458" s="5" t="s">
        <v>355</v>
      </c>
    </row>
    <row r="36459" ht="16.5" customHeight="1">
      <c r="O36459" s="5" t="s">
        <v>355</v>
      </c>
      <c r="P36459" s="5" t="s">
        <v>355</v>
      </c>
      <c r="Q36459" s="5" t="s">
        <v>355</v>
      </c>
    </row>
    <row r="36460" ht="16.5" customHeight="1">
      <c r="O36460" s="5" t="s">
        <v>355</v>
      </c>
      <c r="P36460" s="5" t="s">
        <v>355</v>
      </c>
      <c r="Q36460" s="5" t="s">
        <v>355</v>
      </c>
    </row>
    <row r="36461" ht="16.5" customHeight="1">
      <c r="O36461" s="5" t="s">
        <v>355</v>
      </c>
      <c r="P36461" s="5" t="s">
        <v>355</v>
      </c>
      <c r="Q36461" s="5" t="s">
        <v>355</v>
      </c>
    </row>
    <row r="36462" ht="16.5" customHeight="1">
      <c r="O36462" s="5" t="s">
        <v>355</v>
      </c>
      <c r="P36462" s="5" t="s">
        <v>355</v>
      </c>
      <c r="Q36462" s="5" t="s">
        <v>355</v>
      </c>
    </row>
    <row r="36463" ht="16.5" customHeight="1">
      <c r="O36463" s="5" t="s">
        <v>355</v>
      </c>
      <c r="P36463" s="5" t="s">
        <v>355</v>
      </c>
      <c r="Q36463" s="5" t="s">
        <v>355</v>
      </c>
    </row>
    <row r="36464" ht="16.5" customHeight="1">
      <c r="O36464" s="5" t="s">
        <v>355</v>
      </c>
      <c r="P36464" s="5" t="s">
        <v>355</v>
      </c>
      <c r="Q36464" s="5" t="s">
        <v>355</v>
      </c>
    </row>
    <row r="36465" ht="16.5" customHeight="1">
      <c r="O36465" s="5" t="s">
        <v>355</v>
      </c>
      <c r="P36465" s="5" t="s">
        <v>355</v>
      </c>
      <c r="Q36465" s="5" t="s">
        <v>355</v>
      </c>
    </row>
    <row r="36466" ht="16.5" customHeight="1">
      <c r="O36466" s="5" t="s">
        <v>355</v>
      </c>
      <c r="P36466" s="5" t="s">
        <v>355</v>
      </c>
      <c r="Q36466" s="5" t="s">
        <v>355</v>
      </c>
    </row>
    <row r="36467" ht="16.5" customHeight="1">
      <c r="O36467" s="5" t="s">
        <v>355</v>
      </c>
      <c r="P36467" s="5" t="s">
        <v>355</v>
      </c>
      <c r="Q36467" s="5" t="s">
        <v>355</v>
      </c>
    </row>
    <row r="36468" ht="16.5" customHeight="1">
      <c r="O36468" s="5" t="s">
        <v>355</v>
      </c>
      <c r="P36468" s="5" t="s">
        <v>355</v>
      </c>
      <c r="Q36468" s="5" t="s">
        <v>355</v>
      </c>
    </row>
    <row r="36469" ht="16.5" customHeight="1">
      <c r="O36469" s="5" t="s">
        <v>355</v>
      </c>
      <c r="P36469" s="5" t="s">
        <v>355</v>
      </c>
      <c r="Q36469" s="5" t="s">
        <v>355</v>
      </c>
    </row>
    <row r="36470" ht="16.5" customHeight="1">
      <c r="O36470" s="5" t="s">
        <v>355</v>
      </c>
      <c r="P36470" s="5" t="s">
        <v>355</v>
      </c>
      <c r="Q36470" s="5" t="s">
        <v>355</v>
      </c>
    </row>
    <row r="36471" ht="16.5" customHeight="1">
      <c r="O36471" s="5" t="s">
        <v>355</v>
      </c>
      <c r="P36471" s="5" t="s">
        <v>355</v>
      </c>
      <c r="Q36471" s="5" t="s">
        <v>355</v>
      </c>
    </row>
    <row r="36472" ht="16.5" customHeight="1">
      <c r="O36472" s="5" t="s">
        <v>355</v>
      </c>
      <c r="P36472" s="5" t="s">
        <v>355</v>
      </c>
      <c r="Q36472" s="5" t="s">
        <v>355</v>
      </c>
    </row>
    <row r="36473" ht="16.5" customHeight="1">
      <c r="O36473" s="5" t="s">
        <v>355</v>
      </c>
      <c r="P36473" s="5" t="s">
        <v>355</v>
      </c>
      <c r="Q36473" s="5" t="s">
        <v>355</v>
      </c>
    </row>
    <row r="36474" ht="16.5" customHeight="1">
      <c r="O36474" s="5" t="s">
        <v>355</v>
      </c>
      <c r="P36474" s="5" t="s">
        <v>355</v>
      </c>
      <c r="Q36474" s="5" t="s">
        <v>355</v>
      </c>
    </row>
    <row r="36475" ht="16.5" customHeight="1">
      <c r="O36475" s="5" t="s">
        <v>355</v>
      </c>
      <c r="P36475" s="5" t="s">
        <v>355</v>
      </c>
      <c r="Q36475" s="5" t="s">
        <v>355</v>
      </c>
    </row>
    <row r="36476" ht="16.5" customHeight="1">
      <c r="O36476" s="5" t="s">
        <v>355</v>
      </c>
      <c r="P36476" s="5" t="s">
        <v>355</v>
      </c>
      <c r="Q36476" s="5" t="s">
        <v>355</v>
      </c>
    </row>
    <row r="36477" ht="16.5" customHeight="1">
      <c r="O36477" s="5" t="s">
        <v>355</v>
      </c>
      <c r="P36477" s="5" t="s">
        <v>355</v>
      </c>
      <c r="Q36477" s="5" t="s">
        <v>355</v>
      </c>
    </row>
    <row r="36478" ht="16.5" customHeight="1">
      <c r="O36478" s="5" t="s">
        <v>355</v>
      </c>
      <c r="P36478" s="5" t="s">
        <v>355</v>
      </c>
      <c r="Q36478" s="5" t="s">
        <v>355</v>
      </c>
    </row>
    <row r="36479" ht="16.5" customHeight="1">
      <c r="O36479" s="5" t="s">
        <v>355</v>
      </c>
      <c r="P36479" s="5" t="s">
        <v>355</v>
      </c>
      <c r="Q36479" s="5" t="s">
        <v>355</v>
      </c>
    </row>
    <row r="36480" ht="16.5" customHeight="1">
      <c r="O36480" s="5" t="s">
        <v>355</v>
      </c>
      <c r="P36480" s="5" t="s">
        <v>355</v>
      </c>
      <c r="Q36480" s="5" t="s">
        <v>355</v>
      </c>
    </row>
    <row r="36481" ht="16.5" customHeight="1">
      <c r="O36481" s="5" t="s">
        <v>355</v>
      </c>
      <c r="P36481" s="5" t="s">
        <v>355</v>
      </c>
      <c r="Q36481" s="5" t="s">
        <v>355</v>
      </c>
    </row>
    <row r="36482" ht="16.5" customHeight="1">
      <c r="O36482" s="5" t="s">
        <v>355</v>
      </c>
      <c r="P36482" s="5" t="s">
        <v>355</v>
      </c>
      <c r="Q36482" s="5" t="s">
        <v>355</v>
      </c>
    </row>
    <row r="36483" ht="16.5" customHeight="1">
      <c r="O36483" s="5" t="s">
        <v>355</v>
      </c>
      <c r="P36483" s="5" t="s">
        <v>355</v>
      </c>
      <c r="Q36483" s="5" t="s">
        <v>355</v>
      </c>
    </row>
    <row r="36484" ht="16.5" customHeight="1">
      <c r="O36484" s="5" t="s">
        <v>355</v>
      </c>
      <c r="P36484" s="5" t="s">
        <v>355</v>
      </c>
      <c r="Q36484" s="5" t="s">
        <v>355</v>
      </c>
    </row>
    <row r="36485" ht="16.5" customHeight="1">
      <c r="O36485" s="5" t="s">
        <v>355</v>
      </c>
      <c r="P36485" s="5" t="s">
        <v>355</v>
      </c>
      <c r="Q36485" s="5" t="s">
        <v>355</v>
      </c>
    </row>
    <row r="36486" ht="16.5" customHeight="1">
      <c r="O36486" s="5" t="s">
        <v>355</v>
      </c>
      <c r="P36486" s="5" t="s">
        <v>355</v>
      </c>
      <c r="Q36486" s="5" t="s">
        <v>355</v>
      </c>
    </row>
    <row r="36487" ht="16.5" customHeight="1">
      <c r="O36487" s="5" t="s">
        <v>355</v>
      </c>
      <c r="P36487" s="5" t="s">
        <v>355</v>
      </c>
      <c r="Q36487" s="5" t="s">
        <v>355</v>
      </c>
    </row>
    <row r="36488" ht="16.5" customHeight="1">
      <c r="O36488" s="5" t="s">
        <v>355</v>
      </c>
      <c r="P36488" s="5" t="s">
        <v>355</v>
      </c>
      <c r="Q36488" s="5" t="s">
        <v>355</v>
      </c>
    </row>
    <row r="36489" ht="16.5" customHeight="1">
      <c r="O36489" s="5" t="s">
        <v>355</v>
      </c>
      <c r="P36489" s="5" t="s">
        <v>355</v>
      </c>
      <c r="Q36489" s="5" t="s">
        <v>355</v>
      </c>
    </row>
    <row r="36490" ht="16.5" customHeight="1">
      <c r="O36490" s="5" t="s">
        <v>355</v>
      </c>
      <c r="P36490" s="5" t="s">
        <v>355</v>
      </c>
      <c r="Q36490" s="5" t="s">
        <v>355</v>
      </c>
    </row>
    <row r="36491" ht="16.5" customHeight="1">
      <c r="O36491" s="5" t="s">
        <v>355</v>
      </c>
      <c r="P36491" s="5" t="s">
        <v>355</v>
      </c>
      <c r="Q36491" s="5" t="s">
        <v>355</v>
      </c>
    </row>
    <row r="36492" ht="16.5" customHeight="1">
      <c r="O36492" s="5" t="s">
        <v>355</v>
      </c>
      <c r="P36492" s="5" t="s">
        <v>355</v>
      </c>
      <c r="Q36492" s="5" t="s">
        <v>355</v>
      </c>
    </row>
    <row r="36493" ht="16.5" customHeight="1">
      <c r="O36493" s="5" t="s">
        <v>355</v>
      </c>
      <c r="P36493" s="5" t="s">
        <v>355</v>
      </c>
      <c r="Q36493" s="5" t="s">
        <v>355</v>
      </c>
    </row>
    <row r="36494" ht="16.5" customHeight="1">
      <c r="O36494" s="5" t="s">
        <v>355</v>
      </c>
      <c r="P36494" s="5" t="s">
        <v>355</v>
      </c>
      <c r="Q36494" s="5" t="s">
        <v>355</v>
      </c>
    </row>
    <row r="36495" ht="16.5" customHeight="1">
      <c r="O36495" s="5" t="s">
        <v>355</v>
      </c>
      <c r="P36495" s="5" t="s">
        <v>355</v>
      </c>
      <c r="Q36495" s="5" t="s">
        <v>355</v>
      </c>
    </row>
    <row r="36496" ht="16.5" customHeight="1">
      <c r="O36496" s="5" t="s">
        <v>355</v>
      </c>
      <c r="P36496" s="5" t="s">
        <v>355</v>
      </c>
      <c r="Q36496" s="5" t="s">
        <v>355</v>
      </c>
    </row>
    <row r="36497" ht="16.5" customHeight="1">
      <c r="O36497" s="5" t="s">
        <v>355</v>
      </c>
      <c r="P36497" s="5" t="s">
        <v>355</v>
      </c>
      <c r="Q36497" s="5" t="s">
        <v>355</v>
      </c>
    </row>
    <row r="36498" ht="16.5" customHeight="1">
      <c r="O36498" s="5" t="s">
        <v>355</v>
      </c>
      <c r="P36498" s="5" t="s">
        <v>355</v>
      </c>
      <c r="Q36498" s="5" t="s">
        <v>355</v>
      </c>
    </row>
    <row r="36499" ht="16.5" customHeight="1">
      <c r="O36499" s="5" t="s">
        <v>355</v>
      </c>
      <c r="P36499" s="5" t="s">
        <v>355</v>
      </c>
      <c r="Q36499" s="5" t="s">
        <v>355</v>
      </c>
    </row>
    <row r="36500" ht="16.5" customHeight="1">
      <c r="O36500" s="5" t="s">
        <v>355</v>
      </c>
      <c r="P36500" s="5" t="s">
        <v>355</v>
      </c>
      <c r="Q36500" s="5" t="s">
        <v>355</v>
      </c>
    </row>
    <row r="36501" ht="16.5" customHeight="1">
      <c r="O36501" s="5" t="s">
        <v>355</v>
      </c>
      <c r="P36501" s="5" t="s">
        <v>355</v>
      </c>
      <c r="Q36501" s="5" t="s">
        <v>355</v>
      </c>
    </row>
    <row r="36502" ht="16.5" customHeight="1">
      <c r="O36502" s="5" t="s">
        <v>355</v>
      </c>
      <c r="P36502" s="5" t="s">
        <v>355</v>
      </c>
      <c r="Q36502" s="5" t="s">
        <v>355</v>
      </c>
    </row>
    <row r="36503" ht="16.5" customHeight="1">
      <c r="O36503" s="5" t="s">
        <v>355</v>
      </c>
      <c r="P36503" s="5" t="s">
        <v>355</v>
      </c>
      <c r="Q36503" s="5" t="s">
        <v>355</v>
      </c>
    </row>
    <row r="36504" ht="16.5" customHeight="1">
      <c r="O36504" s="5" t="s">
        <v>355</v>
      </c>
      <c r="P36504" s="5" t="s">
        <v>355</v>
      </c>
      <c r="Q36504" s="5" t="s">
        <v>355</v>
      </c>
    </row>
    <row r="36505" ht="16.5" customHeight="1">
      <c r="O36505" s="5" t="s">
        <v>355</v>
      </c>
      <c r="P36505" s="5" t="s">
        <v>355</v>
      </c>
      <c r="Q36505" s="5" t="s">
        <v>355</v>
      </c>
    </row>
    <row r="36506" ht="16.5" customHeight="1">
      <c r="O36506" s="5" t="s">
        <v>355</v>
      </c>
      <c r="P36506" s="5" t="s">
        <v>355</v>
      </c>
      <c r="Q36506" s="5" t="s">
        <v>355</v>
      </c>
    </row>
    <row r="36507" ht="16.5" customHeight="1">
      <c r="O36507" s="5" t="s">
        <v>355</v>
      </c>
      <c r="P36507" s="5" t="s">
        <v>355</v>
      </c>
      <c r="Q36507" s="5" t="s">
        <v>355</v>
      </c>
    </row>
    <row r="36508" ht="16.5" customHeight="1">
      <c r="O36508" s="5" t="s">
        <v>355</v>
      </c>
      <c r="P36508" s="5" t="s">
        <v>355</v>
      </c>
      <c r="Q36508" s="5" t="s">
        <v>355</v>
      </c>
    </row>
    <row r="36509" ht="16.5" customHeight="1">
      <c r="O36509" s="5" t="s">
        <v>355</v>
      </c>
      <c r="P36509" s="5" t="s">
        <v>355</v>
      </c>
      <c r="Q36509" s="5" t="s">
        <v>355</v>
      </c>
    </row>
    <row r="36510" ht="16.5" customHeight="1">
      <c r="O36510" s="5" t="s">
        <v>355</v>
      </c>
      <c r="P36510" s="5" t="s">
        <v>355</v>
      </c>
      <c r="Q36510" s="5" t="s">
        <v>355</v>
      </c>
    </row>
    <row r="36511" ht="16.5" customHeight="1">
      <c r="O36511" s="5" t="s">
        <v>355</v>
      </c>
      <c r="P36511" s="5" t="s">
        <v>355</v>
      </c>
      <c r="Q36511" s="5" t="s">
        <v>355</v>
      </c>
    </row>
    <row r="36512" ht="16.5" customHeight="1">
      <c r="O36512" s="5" t="s">
        <v>355</v>
      </c>
      <c r="P36512" s="5" t="s">
        <v>355</v>
      </c>
      <c r="Q36512" s="5" t="s">
        <v>355</v>
      </c>
    </row>
    <row r="36513" ht="16.5" customHeight="1">
      <c r="O36513" s="5" t="s">
        <v>355</v>
      </c>
      <c r="P36513" s="5" t="s">
        <v>355</v>
      </c>
      <c r="Q36513" s="5" t="s">
        <v>355</v>
      </c>
    </row>
    <row r="36514" ht="16.5" customHeight="1">
      <c r="O36514" s="5" t="s">
        <v>355</v>
      </c>
      <c r="P36514" s="5" t="s">
        <v>355</v>
      </c>
      <c r="Q36514" s="5" t="s">
        <v>355</v>
      </c>
    </row>
    <row r="36515" ht="16.5" customHeight="1">
      <c r="O36515" s="5" t="s">
        <v>355</v>
      </c>
      <c r="P36515" s="5" t="s">
        <v>355</v>
      </c>
      <c r="Q36515" s="5" t="s">
        <v>355</v>
      </c>
    </row>
    <row r="36516" ht="16.5" customHeight="1">
      <c r="O36516" s="5" t="s">
        <v>355</v>
      </c>
      <c r="P36516" s="5" t="s">
        <v>355</v>
      </c>
      <c r="Q36516" s="5" t="s">
        <v>355</v>
      </c>
    </row>
    <row r="36517" ht="16.5" customHeight="1">
      <c r="O36517" s="5" t="s">
        <v>355</v>
      </c>
      <c r="P36517" s="5" t="s">
        <v>355</v>
      </c>
      <c r="Q36517" s="5" t="s">
        <v>355</v>
      </c>
    </row>
    <row r="36518" ht="16.5" customHeight="1">
      <c r="O36518" s="5" t="s">
        <v>355</v>
      </c>
      <c r="P36518" s="5" t="s">
        <v>355</v>
      </c>
      <c r="Q36518" s="5" t="s">
        <v>355</v>
      </c>
    </row>
    <row r="36519" ht="16.5" customHeight="1">
      <c r="O36519" s="5" t="s">
        <v>355</v>
      </c>
      <c r="P36519" s="5" t="s">
        <v>355</v>
      </c>
      <c r="Q36519" s="5" t="s">
        <v>355</v>
      </c>
    </row>
    <row r="36520" ht="16.5" customHeight="1">
      <c r="O36520" s="5" t="s">
        <v>355</v>
      </c>
      <c r="P36520" s="5" t="s">
        <v>355</v>
      </c>
      <c r="Q36520" s="5" t="s">
        <v>355</v>
      </c>
    </row>
    <row r="36521" ht="16.5" customHeight="1">
      <c r="O36521" s="5" t="s">
        <v>355</v>
      </c>
      <c r="P36521" s="5" t="s">
        <v>355</v>
      </c>
      <c r="Q36521" s="5" t="s">
        <v>355</v>
      </c>
    </row>
    <row r="36522" ht="16.5" customHeight="1">
      <c r="O36522" s="5" t="s">
        <v>355</v>
      </c>
      <c r="P36522" s="5" t="s">
        <v>355</v>
      </c>
      <c r="Q36522" s="5" t="s">
        <v>355</v>
      </c>
    </row>
    <row r="36523" ht="16.5" customHeight="1">
      <c r="O36523" s="5" t="s">
        <v>355</v>
      </c>
      <c r="P36523" s="5" t="s">
        <v>355</v>
      </c>
      <c r="Q36523" s="5" t="s">
        <v>355</v>
      </c>
    </row>
    <row r="36524" ht="16.5" customHeight="1">
      <c r="O36524" s="5" t="s">
        <v>355</v>
      </c>
      <c r="P36524" s="5" t="s">
        <v>355</v>
      </c>
      <c r="Q36524" s="5" t="s">
        <v>355</v>
      </c>
    </row>
    <row r="36525" ht="16.5" customHeight="1">
      <c r="O36525" s="5" t="s">
        <v>355</v>
      </c>
      <c r="P36525" s="5" t="s">
        <v>355</v>
      </c>
      <c r="Q36525" s="5" t="s">
        <v>355</v>
      </c>
    </row>
    <row r="36526" ht="16.5" customHeight="1">
      <c r="O36526" s="5" t="s">
        <v>355</v>
      </c>
      <c r="P36526" s="5" t="s">
        <v>355</v>
      </c>
      <c r="Q36526" s="5" t="s">
        <v>355</v>
      </c>
    </row>
    <row r="36527" ht="16.5" customHeight="1">
      <c r="O36527" s="5" t="s">
        <v>355</v>
      </c>
      <c r="P36527" s="5" t="s">
        <v>355</v>
      </c>
      <c r="Q36527" s="5" t="s">
        <v>355</v>
      </c>
    </row>
    <row r="36528" ht="16.5" customHeight="1">
      <c r="O36528" s="5" t="s">
        <v>355</v>
      </c>
      <c r="P36528" s="5" t="s">
        <v>355</v>
      </c>
      <c r="Q36528" s="5" t="s">
        <v>355</v>
      </c>
    </row>
    <row r="36529" ht="16.5" customHeight="1">
      <c r="O36529" s="5" t="s">
        <v>355</v>
      </c>
      <c r="P36529" s="5" t="s">
        <v>355</v>
      </c>
      <c r="Q36529" s="5" t="s">
        <v>355</v>
      </c>
    </row>
    <row r="36530" ht="16.5" customHeight="1">
      <c r="O36530" s="5" t="s">
        <v>355</v>
      </c>
      <c r="P36530" s="5" t="s">
        <v>355</v>
      </c>
      <c r="Q36530" s="5" t="s">
        <v>355</v>
      </c>
    </row>
    <row r="36531" ht="16.5" customHeight="1">
      <c r="O36531" s="5" t="s">
        <v>355</v>
      </c>
      <c r="P36531" s="5" t="s">
        <v>355</v>
      </c>
      <c r="Q36531" s="5" t="s">
        <v>355</v>
      </c>
    </row>
    <row r="36532" ht="16.5" customHeight="1">
      <c r="O36532" s="5" t="s">
        <v>355</v>
      </c>
      <c r="P36532" s="5" t="s">
        <v>355</v>
      </c>
      <c r="Q36532" s="5" t="s">
        <v>355</v>
      </c>
    </row>
    <row r="36533" ht="16.5" customHeight="1">
      <c r="O36533" s="5" t="s">
        <v>355</v>
      </c>
      <c r="P36533" s="5" t="s">
        <v>355</v>
      </c>
      <c r="Q36533" s="5" t="s">
        <v>355</v>
      </c>
    </row>
    <row r="36534" ht="16.5" customHeight="1">
      <c r="O36534" s="5" t="s">
        <v>355</v>
      </c>
      <c r="P36534" s="5" t="s">
        <v>355</v>
      </c>
      <c r="Q36534" s="5" t="s">
        <v>355</v>
      </c>
    </row>
    <row r="36535" ht="16.5" customHeight="1">
      <c r="O36535" s="5" t="s">
        <v>355</v>
      </c>
      <c r="P36535" s="5" t="s">
        <v>355</v>
      </c>
      <c r="Q36535" s="5" t="s">
        <v>355</v>
      </c>
    </row>
    <row r="36536" ht="16.5" customHeight="1">
      <c r="O36536" s="5" t="s">
        <v>355</v>
      </c>
      <c r="P36536" s="5" t="s">
        <v>355</v>
      </c>
      <c r="Q36536" s="5" t="s">
        <v>355</v>
      </c>
    </row>
    <row r="36537" ht="16.5" customHeight="1">
      <c r="O36537" s="5" t="s">
        <v>355</v>
      </c>
      <c r="P36537" s="5" t="s">
        <v>355</v>
      </c>
      <c r="Q36537" s="5" t="s">
        <v>355</v>
      </c>
    </row>
    <row r="36538" ht="16.5" customHeight="1">
      <c r="O36538" s="5" t="s">
        <v>355</v>
      </c>
      <c r="P36538" s="5" t="s">
        <v>355</v>
      </c>
      <c r="Q36538" s="5" t="s">
        <v>355</v>
      </c>
    </row>
    <row r="36539" ht="16.5" customHeight="1">
      <c r="O36539" s="5" t="s">
        <v>355</v>
      </c>
      <c r="P36539" s="5" t="s">
        <v>355</v>
      </c>
      <c r="Q36539" s="5" t="s">
        <v>355</v>
      </c>
    </row>
    <row r="36540" ht="16.5" customHeight="1">
      <c r="O36540" s="5" t="s">
        <v>355</v>
      </c>
      <c r="P36540" s="5" t="s">
        <v>355</v>
      </c>
      <c r="Q36540" s="5" t="s">
        <v>355</v>
      </c>
    </row>
    <row r="36541" ht="16.5" customHeight="1">
      <c r="O36541" s="5" t="s">
        <v>355</v>
      </c>
      <c r="P36541" s="5" t="s">
        <v>355</v>
      </c>
      <c r="Q36541" s="5" t="s">
        <v>355</v>
      </c>
    </row>
    <row r="36542" ht="16.5" customHeight="1">
      <c r="O36542" s="5" t="s">
        <v>355</v>
      </c>
      <c r="P36542" s="5" t="s">
        <v>355</v>
      </c>
      <c r="Q36542" s="5" t="s">
        <v>355</v>
      </c>
    </row>
    <row r="36543" ht="16.5" customHeight="1">
      <c r="O36543" s="5" t="s">
        <v>355</v>
      </c>
      <c r="P36543" s="5" t="s">
        <v>355</v>
      </c>
      <c r="Q36543" s="5" t="s">
        <v>355</v>
      </c>
    </row>
    <row r="36544" ht="16.5" customHeight="1">
      <c r="O36544" s="5" t="s">
        <v>355</v>
      </c>
      <c r="P36544" s="5" t="s">
        <v>355</v>
      </c>
      <c r="Q36544" s="5" t="s">
        <v>355</v>
      </c>
    </row>
    <row r="36545" ht="16.5" customHeight="1">
      <c r="O36545" s="5" t="s">
        <v>355</v>
      </c>
      <c r="P36545" s="5" t="s">
        <v>355</v>
      </c>
      <c r="Q36545" s="5" t="s">
        <v>355</v>
      </c>
    </row>
    <row r="36546" ht="16.5" customHeight="1">
      <c r="O36546" s="5" t="s">
        <v>355</v>
      </c>
      <c r="P36546" s="5" t="s">
        <v>355</v>
      </c>
      <c r="Q36546" s="5" t="s">
        <v>355</v>
      </c>
    </row>
    <row r="36547" ht="16.5" customHeight="1">
      <c r="O36547" s="5" t="s">
        <v>355</v>
      </c>
      <c r="P36547" s="5" t="s">
        <v>355</v>
      </c>
      <c r="Q36547" s="5" t="s">
        <v>355</v>
      </c>
    </row>
    <row r="36548" ht="16.5" customHeight="1">
      <c r="O36548" s="5" t="s">
        <v>355</v>
      </c>
      <c r="P36548" s="5" t="s">
        <v>355</v>
      </c>
      <c r="Q36548" s="5" t="s">
        <v>355</v>
      </c>
    </row>
    <row r="36549" ht="16.5" customHeight="1">
      <c r="O36549" s="5" t="s">
        <v>355</v>
      </c>
      <c r="P36549" s="5" t="s">
        <v>355</v>
      </c>
      <c r="Q36549" s="5" t="s">
        <v>355</v>
      </c>
    </row>
    <row r="36550" ht="16.5" customHeight="1">
      <c r="O36550" s="5" t="s">
        <v>355</v>
      </c>
      <c r="P36550" s="5" t="s">
        <v>355</v>
      </c>
      <c r="Q36550" s="5" t="s">
        <v>355</v>
      </c>
    </row>
    <row r="36551" ht="16.5" customHeight="1">
      <c r="O36551" s="5" t="s">
        <v>355</v>
      </c>
      <c r="P36551" s="5" t="s">
        <v>355</v>
      </c>
      <c r="Q36551" s="5" t="s">
        <v>355</v>
      </c>
    </row>
    <row r="36552" ht="16.5" customHeight="1">
      <c r="O36552" s="5" t="s">
        <v>355</v>
      </c>
      <c r="P36552" s="5" t="s">
        <v>355</v>
      </c>
      <c r="Q36552" s="5" t="s">
        <v>355</v>
      </c>
    </row>
    <row r="36553" ht="16.5" customHeight="1">
      <c r="O36553" s="5" t="s">
        <v>355</v>
      </c>
      <c r="P36553" s="5" t="s">
        <v>355</v>
      </c>
      <c r="Q36553" s="5" t="s">
        <v>355</v>
      </c>
    </row>
    <row r="36554" ht="16.5" customHeight="1">
      <c r="O36554" s="5" t="s">
        <v>355</v>
      </c>
      <c r="P36554" s="5" t="s">
        <v>355</v>
      </c>
      <c r="Q36554" s="5" t="s">
        <v>355</v>
      </c>
    </row>
    <row r="36555" ht="16.5" customHeight="1">
      <c r="O36555" s="5" t="s">
        <v>355</v>
      </c>
      <c r="P36555" s="5" t="s">
        <v>355</v>
      </c>
      <c r="Q36555" s="5" t="s">
        <v>355</v>
      </c>
    </row>
    <row r="36556" ht="16.5" customHeight="1">
      <c r="O36556" s="5" t="s">
        <v>355</v>
      </c>
      <c r="P36556" s="5" t="s">
        <v>355</v>
      </c>
      <c r="Q36556" s="5" t="s">
        <v>355</v>
      </c>
    </row>
    <row r="36557" ht="16.5" customHeight="1">
      <c r="O36557" s="5" t="s">
        <v>355</v>
      </c>
      <c r="P36557" s="5" t="s">
        <v>355</v>
      </c>
      <c r="Q36557" s="5" t="s">
        <v>355</v>
      </c>
    </row>
    <row r="36558" ht="16.5" customHeight="1">
      <c r="O36558" s="5" t="s">
        <v>355</v>
      </c>
      <c r="P36558" s="5" t="s">
        <v>355</v>
      </c>
      <c r="Q36558" s="5" t="s">
        <v>355</v>
      </c>
    </row>
    <row r="36559" ht="16.5" customHeight="1">
      <c r="O36559" s="5" t="s">
        <v>355</v>
      </c>
      <c r="P36559" s="5" t="s">
        <v>355</v>
      </c>
      <c r="Q36559" s="5" t="s">
        <v>355</v>
      </c>
    </row>
    <row r="36560" ht="16.5" customHeight="1">
      <c r="O36560" s="5" t="s">
        <v>355</v>
      </c>
      <c r="P36560" s="5" t="s">
        <v>355</v>
      </c>
      <c r="Q36560" s="5" t="s">
        <v>355</v>
      </c>
    </row>
    <row r="36561" ht="16.5" customHeight="1">
      <c r="O36561" s="5" t="s">
        <v>355</v>
      </c>
      <c r="P36561" s="5" t="s">
        <v>355</v>
      </c>
      <c r="Q36561" s="5" t="s">
        <v>355</v>
      </c>
    </row>
    <row r="36562" ht="16.5" customHeight="1">
      <c r="O36562" s="5" t="s">
        <v>355</v>
      </c>
      <c r="P36562" s="5" t="s">
        <v>355</v>
      </c>
      <c r="Q36562" s="5" t="s">
        <v>355</v>
      </c>
    </row>
    <row r="36563" ht="16.5" customHeight="1">
      <c r="O36563" s="5" t="s">
        <v>355</v>
      </c>
      <c r="P36563" s="5" t="s">
        <v>355</v>
      </c>
      <c r="Q36563" s="5" t="s">
        <v>355</v>
      </c>
    </row>
    <row r="36564" ht="16.5" customHeight="1">
      <c r="O36564" s="5" t="s">
        <v>355</v>
      </c>
      <c r="P36564" s="5" t="s">
        <v>355</v>
      </c>
      <c r="Q36564" s="5" t="s">
        <v>355</v>
      </c>
    </row>
    <row r="36565" ht="16.5" customHeight="1">
      <c r="O36565" s="5" t="s">
        <v>355</v>
      </c>
      <c r="P36565" s="5" t="s">
        <v>355</v>
      </c>
      <c r="Q36565" s="5" t="s">
        <v>355</v>
      </c>
    </row>
    <row r="36566" ht="16.5" customHeight="1">
      <c r="O36566" s="5" t="s">
        <v>355</v>
      </c>
      <c r="P36566" s="5" t="s">
        <v>355</v>
      </c>
      <c r="Q36566" s="5" t="s">
        <v>355</v>
      </c>
    </row>
    <row r="36567" ht="16.5" customHeight="1">
      <c r="O36567" s="5" t="s">
        <v>355</v>
      </c>
      <c r="P36567" s="5" t="s">
        <v>355</v>
      </c>
      <c r="Q36567" s="5" t="s">
        <v>355</v>
      </c>
    </row>
    <row r="36568" ht="16.5" customHeight="1">
      <c r="O36568" s="5" t="s">
        <v>355</v>
      </c>
      <c r="P36568" s="5" t="s">
        <v>355</v>
      </c>
      <c r="Q36568" s="5" t="s">
        <v>355</v>
      </c>
    </row>
    <row r="36569" ht="16.5" customHeight="1">
      <c r="O36569" s="5" t="s">
        <v>355</v>
      </c>
      <c r="P36569" s="5" t="s">
        <v>355</v>
      </c>
      <c r="Q36569" s="5" t="s">
        <v>355</v>
      </c>
    </row>
    <row r="36570" ht="16.5" customHeight="1">
      <c r="O36570" s="5" t="s">
        <v>355</v>
      </c>
      <c r="P36570" s="5" t="s">
        <v>355</v>
      </c>
      <c r="Q36570" s="5" t="s">
        <v>355</v>
      </c>
    </row>
    <row r="36571" ht="16.5" customHeight="1">
      <c r="O36571" s="5" t="s">
        <v>355</v>
      </c>
      <c r="P36571" s="5" t="s">
        <v>355</v>
      </c>
      <c r="Q36571" s="5" t="s">
        <v>355</v>
      </c>
    </row>
    <row r="36572" ht="16.5" customHeight="1">
      <c r="O36572" s="5" t="s">
        <v>355</v>
      </c>
      <c r="P36572" s="5" t="s">
        <v>355</v>
      </c>
      <c r="Q36572" s="5" t="s">
        <v>355</v>
      </c>
    </row>
    <row r="36573" ht="16.5" customHeight="1">
      <c r="O36573" s="5" t="s">
        <v>355</v>
      </c>
      <c r="P36573" s="5" t="s">
        <v>355</v>
      </c>
      <c r="Q36573" s="5" t="s">
        <v>355</v>
      </c>
    </row>
    <row r="36574" ht="16.5" customHeight="1">
      <c r="O36574" s="5" t="s">
        <v>355</v>
      </c>
      <c r="P36574" s="5" t="s">
        <v>355</v>
      </c>
      <c r="Q36574" s="5" t="s">
        <v>355</v>
      </c>
    </row>
    <row r="36575" ht="16.5" customHeight="1">
      <c r="O36575" s="5" t="s">
        <v>355</v>
      </c>
      <c r="P36575" s="5" t="s">
        <v>355</v>
      </c>
      <c r="Q36575" s="5" t="s">
        <v>355</v>
      </c>
    </row>
    <row r="36576" ht="16.5" customHeight="1">
      <c r="O36576" s="5" t="s">
        <v>355</v>
      </c>
      <c r="P36576" s="5" t="s">
        <v>355</v>
      </c>
      <c r="Q36576" s="5" t="s">
        <v>355</v>
      </c>
    </row>
    <row r="36577" ht="16.5" customHeight="1">
      <c r="O36577" s="5" t="s">
        <v>355</v>
      </c>
      <c r="P36577" s="5" t="s">
        <v>355</v>
      </c>
      <c r="Q36577" s="5" t="s">
        <v>355</v>
      </c>
    </row>
    <row r="36578" ht="16.5" customHeight="1">
      <c r="O36578" s="5" t="s">
        <v>355</v>
      </c>
      <c r="P36578" s="5" t="s">
        <v>355</v>
      </c>
      <c r="Q36578" s="5" t="s">
        <v>355</v>
      </c>
    </row>
    <row r="36579" ht="16.5" customHeight="1">
      <c r="O36579" s="5" t="s">
        <v>355</v>
      </c>
      <c r="P36579" s="5" t="s">
        <v>355</v>
      </c>
      <c r="Q36579" s="5" t="s">
        <v>355</v>
      </c>
    </row>
    <row r="36580" ht="16.5" customHeight="1">
      <c r="O36580" s="5" t="s">
        <v>355</v>
      </c>
      <c r="P36580" s="5" t="s">
        <v>355</v>
      </c>
      <c r="Q36580" s="5" t="s">
        <v>355</v>
      </c>
    </row>
    <row r="36581" ht="16.5" customHeight="1">
      <c r="O36581" s="5" t="s">
        <v>355</v>
      </c>
      <c r="P36581" s="5" t="s">
        <v>355</v>
      </c>
      <c r="Q36581" s="5" t="s">
        <v>355</v>
      </c>
    </row>
    <row r="36582" ht="16.5" customHeight="1">
      <c r="O36582" s="5" t="s">
        <v>355</v>
      </c>
      <c r="P36582" s="5" t="s">
        <v>355</v>
      </c>
      <c r="Q36582" s="5" t="s">
        <v>355</v>
      </c>
    </row>
    <row r="36583" ht="16.5" customHeight="1">
      <c r="O36583" s="5" t="s">
        <v>355</v>
      </c>
      <c r="P36583" s="5" t="s">
        <v>355</v>
      </c>
      <c r="Q36583" s="5" t="s">
        <v>355</v>
      </c>
    </row>
    <row r="36584" ht="16.5" customHeight="1">
      <c r="O36584" s="5" t="s">
        <v>355</v>
      </c>
      <c r="P36584" s="5" t="s">
        <v>355</v>
      </c>
      <c r="Q36584" s="5" t="s">
        <v>355</v>
      </c>
    </row>
    <row r="36585" ht="16.5" customHeight="1">
      <c r="O36585" s="5" t="s">
        <v>355</v>
      </c>
      <c r="P36585" s="5" t="s">
        <v>355</v>
      </c>
      <c r="Q36585" s="5" t="s">
        <v>355</v>
      </c>
    </row>
    <row r="36586" ht="16.5" customHeight="1">
      <c r="O36586" s="5" t="s">
        <v>355</v>
      </c>
      <c r="P36586" s="5" t="s">
        <v>355</v>
      </c>
      <c r="Q36586" s="5" t="s">
        <v>355</v>
      </c>
    </row>
    <row r="36587" ht="16.5" customHeight="1">
      <c r="O36587" s="5" t="s">
        <v>355</v>
      </c>
      <c r="P36587" s="5" t="s">
        <v>355</v>
      </c>
      <c r="Q36587" s="5" t="s">
        <v>355</v>
      </c>
    </row>
    <row r="36588" ht="16.5" customHeight="1">
      <c r="O36588" s="5" t="s">
        <v>355</v>
      </c>
      <c r="P36588" s="5" t="s">
        <v>355</v>
      </c>
      <c r="Q36588" s="5" t="s">
        <v>355</v>
      </c>
    </row>
    <row r="36589" ht="16.5" customHeight="1">
      <c r="O36589" s="5" t="s">
        <v>355</v>
      </c>
      <c r="P36589" s="5" t="s">
        <v>355</v>
      </c>
      <c r="Q36589" s="5" t="s">
        <v>355</v>
      </c>
    </row>
    <row r="36590" ht="16.5" customHeight="1">
      <c r="O36590" s="5" t="s">
        <v>355</v>
      </c>
      <c r="P36590" s="5" t="s">
        <v>355</v>
      </c>
      <c r="Q36590" s="5" t="s">
        <v>355</v>
      </c>
    </row>
    <row r="36591" ht="16.5" customHeight="1">
      <c r="O36591" s="5" t="s">
        <v>355</v>
      </c>
      <c r="P36591" s="5" t="s">
        <v>355</v>
      </c>
      <c r="Q36591" s="5" t="s">
        <v>355</v>
      </c>
    </row>
    <row r="36592" ht="16.5" customHeight="1">
      <c r="O36592" s="5" t="s">
        <v>355</v>
      </c>
      <c r="P36592" s="5" t="s">
        <v>355</v>
      </c>
      <c r="Q36592" s="5" t="s">
        <v>355</v>
      </c>
    </row>
    <row r="36593" ht="16.5" customHeight="1">
      <c r="O36593" s="5" t="s">
        <v>355</v>
      </c>
      <c r="P36593" s="5" t="s">
        <v>355</v>
      </c>
      <c r="Q36593" s="5" t="s">
        <v>355</v>
      </c>
    </row>
    <row r="36594" ht="16.5" customHeight="1">
      <c r="O36594" s="5" t="s">
        <v>355</v>
      </c>
      <c r="P36594" s="5" t="s">
        <v>355</v>
      </c>
      <c r="Q36594" s="5" t="s">
        <v>355</v>
      </c>
    </row>
    <row r="36595" ht="16.5" customHeight="1">
      <c r="O36595" s="5" t="s">
        <v>355</v>
      </c>
      <c r="P36595" s="5" t="s">
        <v>355</v>
      </c>
      <c r="Q36595" s="5" t="s">
        <v>355</v>
      </c>
    </row>
    <row r="36596" ht="16.5" customHeight="1">
      <c r="O36596" s="5" t="s">
        <v>355</v>
      </c>
      <c r="P36596" s="5" t="s">
        <v>355</v>
      </c>
      <c r="Q36596" s="5" t="s">
        <v>355</v>
      </c>
    </row>
    <row r="36597" ht="16.5" customHeight="1">
      <c r="O36597" s="5" t="s">
        <v>355</v>
      </c>
      <c r="P36597" s="5" t="s">
        <v>355</v>
      </c>
      <c r="Q36597" s="5" t="s">
        <v>355</v>
      </c>
    </row>
    <row r="36598" ht="16.5" customHeight="1">
      <c r="O36598" s="5" t="s">
        <v>355</v>
      </c>
      <c r="P36598" s="5" t="s">
        <v>355</v>
      </c>
      <c r="Q36598" s="5" t="s">
        <v>355</v>
      </c>
    </row>
    <row r="36599" ht="16.5" customHeight="1">
      <c r="O36599" s="5" t="s">
        <v>355</v>
      </c>
      <c r="P36599" s="5" t="s">
        <v>355</v>
      </c>
      <c r="Q36599" s="5" t="s">
        <v>355</v>
      </c>
    </row>
    <row r="36600" ht="16.5" customHeight="1">
      <c r="O36600" s="5" t="s">
        <v>355</v>
      </c>
      <c r="P36600" s="5" t="s">
        <v>355</v>
      </c>
      <c r="Q36600" s="5" t="s">
        <v>355</v>
      </c>
    </row>
    <row r="36601" ht="16.5" customHeight="1">
      <c r="O36601" s="5" t="s">
        <v>355</v>
      </c>
      <c r="P36601" s="5" t="s">
        <v>355</v>
      </c>
      <c r="Q36601" s="5" t="s">
        <v>355</v>
      </c>
    </row>
    <row r="36602" ht="16.5" customHeight="1">
      <c r="O36602" s="5" t="s">
        <v>355</v>
      </c>
      <c r="P36602" s="5" t="s">
        <v>355</v>
      </c>
      <c r="Q36602" s="5" t="s">
        <v>355</v>
      </c>
    </row>
    <row r="36603" ht="16.5" customHeight="1">
      <c r="O36603" s="5" t="s">
        <v>355</v>
      </c>
      <c r="P36603" s="5" t="s">
        <v>355</v>
      </c>
      <c r="Q36603" s="5" t="s">
        <v>355</v>
      </c>
    </row>
    <row r="36604" ht="16.5" customHeight="1">
      <c r="O36604" s="5" t="s">
        <v>355</v>
      </c>
      <c r="P36604" s="5" t="s">
        <v>355</v>
      </c>
      <c r="Q36604" s="5" t="s">
        <v>355</v>
      </c>
    </row>
    <row r="36605" ht="16.5" customHeight="1">
      <c r="O36605" s="5" t="s">
        <v>355</v>
      </c>
      <c r="P36605" s="5" t="s">
        <v>355</v>
      </c>
      <c r="Q36605" s="5" t="s">
        <v>355</v>
      </c>
    </row>
    <row r="36606" ht="16.5" customHeight="1">
      <c r="O36606" s="5" t="s">
        <v>355</v>
      </c>
      <c r="P36606" s="5" t="s">
        <v>355</v>
      </c>
      <c r="Q36606" s="5" t="s">
        <v>355</v>
      </c>
    </row>
    <row r="36607" ht="16.5" customHeight="1">
      <c r="O36607" s="5" t="s">
        <v>355</v>
      </c>
      <c r="P36607" s="5" t="s">
        <v>355</v>
      </c>
      <c r="Q36607" s="5" t="s">
        <v>355</v>
      </c>
    </row>
    <row r="36608" ht="16.5" customHeight="1">
      <c r="O36608" s="5" t="s">
        <v>355</v>
      </c>
      <c r="P36608" s="5" t="s">
        <v>355</v>
      </c>
      <c r="Q36608" s="5" t="s">
        <v>355</v>
      </c>
    </row>
    <row r="36609" ht="16.5" customHeight="1">
      <c r="O36609" s="5" t="s">
        <v>355</v>
      </c>
      <c r="P36609" s="5" t="s">
        <v>355</v>
      </c>
      <c r="Q36609" s="5" t="s">
        <v>355</v>
      </c>
    </row>
    <row r="36610" ht="16.5" customHeight="1">
      <c r="O36610" s="5" t="s">
        <v>355</v>
      </c>
      <c r="P36610" s="5" t="s">
        <v>355</v>
      </c>
      <c r="Q36610" s="5" t="s">
        <v>355</v>
      </c>
    </row>
    <row r="36611" ht="16.5" customHeight="1">
      <c r="O36611" s="5" t="s">
        <v>355</v>
      </c>
      <c r="P36611" s="5" t="s">
        <v>355</v>
      </c>
      <c r="Q36611" s="5" t="s">
        <v>355</v>
      </c>
    </row>
    <row r="36612" ht="16.5" customHeight="1">
      <c r="O36612" s="5" t="s">
        <v>355</v>
      </c>
      <c r="P36612" s="5" t="s">
        <v>355</v>
      </c>
      <c r="Q36612" s="5" t="s">
        <v>355</v>
      </c>
    </row>
    <row r="36613" ht="16.5" customHeight="1">
      <c r="O36613" s="5" t="s">
        <v>355</v>
      </c>
      <c r="P36613" s="5" t="s">
        <v>355</v>
      </c>
      <c r="Q36613" s="5" t="s">
        <v>355</v>
      </c>
    </row>
    <row r="36614" ht="16.5" customHeight="1">
      <c r="O36614" s="5" t="s">
        <v>355</v>
      </c>
      <c r="P36614" s="5" t="s">
        <v>355</v>
      </c>
      <c r="Q36614" s="5" t="s">
        <v>355</v>
      </c>
    </row>
    <row r="36615" ht="16.5" customHeight="1">
      <c r="O36615" s="5" t="s">
        <v>355</v>
      </c>
      <c r="P36615" s="5" t="s">
        <v>355</v>
      </c>
      <c r="Q36615" s="5" t="s">
        <v>355</v>
      </c>
    </row>
    <row r="36616" ht="16.5" customHeight="1">
      <c r="O36616" s="5" t="s">
        <v>355</v>
      </c>
      <c r="P36616" s="5" t="s">
        <v>355</v>
      </c>
      <c r="Q36616" s="5" t="s">
        <v>355</v>
      </c>
    </row>
    <row r="36617" ht="16.5" customHeight="1">
      <c r="O36617" s="5" t="s">
        <v>355</v>
      </c>
      <c r="P36617" s="5" t="s">
        <v>355</v>
      </c>
      <c r="Q36617" s="5" t="s">
        <v>355</v>
      </c>
    </row>
    <row r="36618" ht="16.5" customHeight="1">
      <c r="O36618" s="5" t="s">
        <v>355</v>
      </c>
      <c r="P36618" s="5" t="s">
        <v>355</v>
      </c>
      <c r="Q36618" s="5" t="s">
        <v>355</v>
      </c>
    </row>
    <row r="36619" ht="16.5" customHeight="1">
      <c r="O36619" s="5" t="s">
        <v>355</v>
      </c>
      <c r="P36619" s="5" t="s">
        <v>355</v>
      </c>
      <c r="Q36619" s="5" t="s">
        <v>355</v>
      </c>
    </row>
    <row r="36620" ht="16.5" customHeight="1">
      <c r="O36620" s="5" t="s">
        <v>355</v>
      </c>
      <c r="P36620" s="5" t="s">
        <v>355</v>
      </c>
      <c r="Q36620" s="5" t="s">
        <v>355</v>
      </c>
    </row>
    <row r="36621" ht="16.5" customHeight="1">
      <c r="O36621" s="5" t="s">
        <v>355</v>
      </c>
      <c r="P36621" s="5" t="s">
        <v>355</v>
      </c>
      <c r="Q36621" s="5" t="s">
        <v>355</v>
      </c>
    </row>
    <row r="36622" ht="16.5" customHeight="1">
      <c r="O36622" s="5" t="s">
        <v>355</v>
      </c>
      <c r="P36622" s="5" t="s">
        <v>355</v>
      </c>
      <c r="Q36622" s="5" t="s">
        <v>355</v>
      </c>
    </row>
    <row r="36623" ht="16.5" customHeight="1">
      <c r="O36623" s="5" t="s">
        <v>355</v>
      </c>
      <c r="P36623" s="5" t="s">
        <v>355</v>
      </c>
      <c r="Q36623" s="5" t="s">
        <v>355</v>
      </c>
    </row>
    <row r="36624" ht="16.5" customHeight="1">
      <c r="O36624" s="5" t="s">
        <v>355</v>
      </c>
      <c r="P36624" s="5" t="s">
        <v>355</v>
      </c>
      <c r="Q36624" s="5" t="s">
        <v>355</v>
      </c>
    </row>
    <row r="36625" ht="16.5" customHeight="1">
      <c r="O36625" s="5" t="s">
        <v>355</v>
      </c>
      <c r="P36625" s="5" t="s">
        <v>355</v>
      </c>
      <c r="Q36625" s="5" t="s">
        <v>355</v>
      </c>
    </row>
    <row r="36626" ht="16.5" customHeight="1">
      <c r="O36626" s="5" t="s">
        <v>355</v>
      </c>
      <c r="P36626" s="5" t="s">
        <v>355</v>
      </c>
      <c r="Q36626" s="5" t="s">
        <v>355</v>
      </c>
    </row>
    <row r="36627" ht="16.5" customHeight="1">
      <c r="O36627" s="5" t="s">
        <v>355</v>
      </c>
      <c r="P36627" s="5" t="s">
        <v>355</v>
      </c>
      <c r="Q36627" s="5" t="s">
        <v>355</v>
      </c>
    </row>
    <row r="36628" ht="16.5" customHeight="1">
      <c r="O36628" s="5" t="s">
        <v>355</v>
      </c>
      <c r="P36628" s="5" t="s">
        <v>355</v>
      </c>
      <c r="Q36628" s="5" t="s">
        <v>355</v>
      </c>
    </row>
    <row r="36629" ht="16.5" customHeight="1">
      <c r="O36629" s="5" t="s">
        <v>355</v>
      </c>
      <c r="P36629" s="5" t="s">
        <v>355</v>
      </c>
      <c r="Q36629" s="5" t="s">
        <v>355</v>
      </c>
    </row>
    <row r="36630" ht="16.5" customHeight="1">
      <c r="O36630" s="5" t="s">
        <v>355</v>
      </c>
      <c r="P36630" s="5" t="s">
        <v>355</v>
      </c>
      <c r="Q36630" s="5" t="s">
        <v>355</v>
      </c>
    </row>
    <row r="36631" ht="16.5" customHeight="1">
      <c r="O36631" s="5" t="s">
        <v>355</v>
      </c>
      <c r="P36631" s="5" t="s">
        <v>355</v>
      </c>
      <c r="Q36631" s="5" t="s">
        <v>355</v>
      </c>
    </row>
    <row r="36632" ht="16.5" customHeight="1">
      <c r="O36632" s="5" t="s">
        <v>355</v>
      </c>
      <c r="P36632" s="5" t="s">
        <v>355</v>
      </c>
      <c r="Q36632" s="5" t="s">
        <v>355</v>
      </c>
    </row>
    <row r="36633" ht="16.5" customHeight="1">
      <c r="O36633" s="5" t="s">
        <v>355</v>
      </c>
      <c r="P36633" s="5" t="s">
        <v>355</v>
      </c>
      <c r="Q36633" s="5" t="s">
        <v>355</v>
      </c>
    </row>
    <row r="36634" ht="16.5" customHeight="1">
      <c r="O36634" s="5" t="s">
        <v>355</v>
      </c>
      <c r="P36634" s="5" t="s">
        <v>355</v>
      </c>
      <c r="Q36634" s="5" t="s">
        <v>355</v>
      </c>
    </row>
    <row r="36635" ht="16.5" customHeight="1">
      <c r="O36635" s="5" t="s">
        <v>355</v>
      </c>
      <c r="P36635" s="5" t="s">
        <v>355</v>
      </c>
      <c r="Q36635" s="5" t="s">
        <v>355</v>
      </c>
    </row>
    <row r="36636" ht="16.5" customHeight="1">
      <c r="O36636" s="5" t="s">
        <v>355</v>
      </c>
      <c r="P36636" s="5" t="s">
        <v>355</v>
      </c>
      <c r="Q36636" s="5" t="s">
        <v>355</v>
      </c>
    </row>
    <row r="36637" ht="16.5" customHeight="1">
      <c r="O36637" s="5" t="s">
        <v>355</v>
      </c>
      <c r="P36637" s="5" t="s">
        <v>355</v>
      </c>
      <c r="Q36637" s="5" t="s">
        <v>355</v>
      </c>
    </row>
    <row r="36638" ht="16.5" customHeight="1">
      <c r="O36638" s="5" t="s">
        <v>355</v>
      </c>
      <c r="P36638" s="5" t="s">
        <v>355</v>
      </c>
      <c r="Q36638" s="5" t="s">
        <v>355</v>
      </c>
    </row>
    <row r="36639" ht="16.5" customHeight="1">
      <c r="O36639" s="5" t="s">
        <v>355</v>
      </c>
      <c r="P36639" s="5" t="s">
        <v>355</v>
      </c>
      <c r="Q36639" s="5" t="s">
        <v>355</v>
      </c>
    </row>
    <row r="36640" ht="16.5" customHeight="1">
      <c r="O36640" s="5" t="s">
        <v>355</v>
      </c>
      <c r="P36640" s="5" t="s">
        <v>355</v>
      </c>
      <c r="Q36640" s="5" t="s">
        <v>355</v>
      </c>
    </row>
    <row r="36641" ht="16.5" customHeight="1">
      <c r="O36641" s="5" t="s">
        <v>355</v>
      </c>
      <c r="P36641" s="5" t="s">
        <v>355</v>
      </c>
      <c r="Q36641" s="5" t="s">
        <v>355</v>
      </c>
    </row>
    <row r="36642" ht="16.5" customHeight="1">
      <c r="O36642" s="5" t="s">
        <v>355</v>
      </c>
      <c r="P36642" s="5" t="s">
        <v>355</v>
      </c>
      <c r="Q36642" s="5" t="s">
        <v>355</v>
      </c>
    </row>
    <row r="36643" ht="16.5" customHeight="1">
      <c r="O36643" s="5" t="s">
        <v>355</v>
      </c>
      <c r="P36643" s="5" t="s">
        <v>355</v>
      </c>
      <c r="Q36643" s="5" t="s">
        <v>355</v>
      </c>
    </row>
    <row r="36644" ht="16.5" customHeight="1">
      <c r="O36644" s="5" t="s">
        <v>355</v>
      </c>
      <c r="P36644" s="5" t="s">
        <v>355</v>
      </c>
      <c r="Q36644" s="5" t="s">
        <v>355</v>
      </c>
    </row>
    <row r="36645" ht="16.5" customHeight="1">
      <c r="O36645" s="5" t="s">
        <v>355</v>
      </c>
      <c r="P36645" s="5" t="s">
        <v>355</v>
      </c>
      <c r="Q36645" s="5" t="s">
        <v>355</v>
      </c>
    </row>
    <row r="36646" ht="16.5" customHeight="1">
      <c r="O36646" s="5" t="s">
        <v>355</v>
      </c>
      <c r="P36646" s="5" t="s">
        <v>355</v>
      </c>
      <c r="Q36646" s="5" t="s">
        <v>355</v>
      </c>
    </row>
    <row r="36647" ht="16.5" customHeight="1">
      <c r="O36647" s="5" t="s">
        <v>355</v>
      </c>
      <c r="P36647" s="5" t="s">
        <v>355</v>
      </c>
      <c r="Q36647" s="5" t="s">
        <v>355</v>
      </c>
    </row>
    <row r="36648" ht="16.5" customHeight="1">
      <c r="O36648" s="5" t="s">
        <v>355</v>
      </c>
      <c r="P36648" s="5" t="s">
        <v>355</v>
      </c>
      <c r="Q36648" s="5" t="s">
        <v>355</v>
      </c>
    </row>
    <row r="36649" ht="16.5" customHeight="1">
      <c r="O36649" s="5" t="s">
        <v>355</v>
      </c>
      <c r="P36649" s="5" t="s">
        <v>355</v>
      </c>
      <c r="Q36649" s="5" t="s">
        <v>355</v>
      </c>
    </row>
    <row r="36650" ht="16.5" customHeight="1">
      <c r="O36650" s="5" t="s">
        <v>355</v>
      </c>
      <c r="P36650" s="5" t="s">
        <v>355</v>
      </c>
      <c r="Q36650" s="5" t="s">
        <v>355</v>
      </c>
    </row>
    <row r="36651" ht="16.5" customHeight="1">
      <c r="O36651" s="5" t="s">
        <v>355</v>
      </c>
      <c r="P36651" s="5" t="s">
        <v>355</v>
      </c>
      <c r="Q36651" s="5" t="s">
        <v>355</v>
      </c>
    </row>
    <row r="36652" ht="16.5" customHeight="1">
      <c r="O36652" s="5" t="s">
        <v>355</v>
      </c>
      <c r="P36652" s="5" t="s">
        <v>355</v>
      </c>
      <c r="Q36652" s="5" t="s">
        <v>355</v>
      </c>
    </row>
    <row r="36653" ht="16.5" customHeight="1">
      <c r="O36653" s="5" t="s">
        <v>355</v>
      </c>
      <c r="P36653" s="5" t="s">
        <v>355</v>
      </c>
      <c r="Q36653" s="5" t="s">
        <v>355</v>
      </c>
    </row>
    <row r="36654" ht="16.5" customHeight="1">
      <c r="O36654" s="5" t="s">
        <v>355</v>
      </c>
      <c r="P36654" s="5" t="s">
        <v>355</v>
      </c>
      <c r="Q36654" s="5" t="s">
        <v>355</v>
      </c>
    </row>
    <row r="36655" ht="16.5" customHeight="1">
      <c r="O36655" s="5" t="s">
        <v>355</v>
      </c>
      <c r="P36655" s="5" t="s">
        <v>355</v>
      </c>
      <c r="Q36655" s="5" t="s">
        <v>355</v>
      </c>
    </row>
    <row r="36656" ht="16.5" customHeight="1">
      <c r="O36656" s="5" t="s">
        <v>355</v>
      </c>
      <c r="P36656" s="5" t="s">
        <v>355</v>
      </c>
      <c r="Q36656" s="5" t="s">
        <v>355</v>
      </c>
    </row>
    <row r="36657" ht="16.5" customHeight="1">
      <c r="O36657" s="5" t="s">
        <v>355</v>
      </c>
      <c r="P36657" s="5" t="s">
        <v>355</v>
      </c>
      <c r="Q36657" s="5" t="s">
        <v>355</v>
      </c>
    </row>
    <row r="36658" ht="16.5" customHeight="1">
      <c r="O36658" s="5" t="s">
        <v>355</v>
      </c>
      <c r="P36658" s="5" t="s">
        <v>355</v>
      </c>
      <c r="Q36658" s="5" t="s">
        <v>355</v>
      </c>
    </row>
    <row r="36659" ht="16.5" customHeight="1">
      <c r="O36659" s="5" t="s">
        <v>355</v>
      </c>
      <c r="P36659" s="5" t="s">
        <v>355</v>
      </c>
      <c r="Q36659" s="5" t="s">
        <v>355</v>
      </c>
    </row>
    <row r="36660" ht="16.5" customHeight="1">
      <c r="O36660" s="5" t="s">
        <v>355</v>
      </c>
      <c r="P36660" s="5" t="s">
        <v>355</v>
      </c>
      <c r="Q36660" s="5" t="s">
        <v>355</v>
      </c>
    </row>
    <row r="36661" ht="16.5" customHeight="1">
      <c r="O36661" s="5" t="s">
        <v>355</v>
      </c>
      <c r="P36661" s="5" t="s">
        <v>355</v>
      </c>
      <c r="Q36661" s="5" t="s">
        <v>355</v>
      </c>
    </row>
    <row r="36662" ht="16.5" customHeight="1">
      <c r="O36662" s="5" t="s">
        <v>355</v>
      </c>
      <c r="P36662" s="5" t="s">
        <v>355</v>
      </c>
      <c r="Q36662" s="5" t="s">
        <v>355</v>
      </c>
    </row>
    <row r="36663" ht="16.5" customHeight="1">
      <c r="O36663" s="5" t="s">
        <v>355</v>
      </c>
      <c r="P36663" s="5" t="s">
        <v>355</v>
      </c>
      <c r="Q36663" s="5" t="s">
        <v>355</v>
      </c>
    </row>
    <row r="36664" ht="16.5" customHeight="1">
      <c r="O36664" s="5" t="s">
        <v>355</v>
      </c>
      <c r="P36664" s="5" t="s">
        <v>355</v>
      </c>
      <c r="Q36664" s="5" t="s">
        <v>355</v>
      </c>
    </row>
    <row r="36665" ht="16.5" customHeight="1">
      <c r="O36665" s="5" t="s">
        <v>355</v>
      </c>
      <c r="P36665" s="5" t="s">
        <v>355</v>
      </c>
      <c r="Q36665" s="5" t="s">
        <v>355</v>
      </c>
    </row>
    <row r="36666" ht="16.5" customHeight="1">
      <c r="O36666" s="5" t="s">
        <v>355</v>
      </c>
      <c r="P36666" s="5" t="s">
        <v>355</v>
      </c>
      <c r="Q36666" s="5" t="s">
        <v>355</v>
      </c>
    </row>
    <row r="36667" ht="16.5" customHeight="1">
      <c r="O36667" s="5" t="s">
        <v>355</v>
      </c>
      <c r="P36667" s="5" t="s">
        <v>355</v>
      </c>
      <c r="Q36667" s="5" t="s">
        <v>355</v>
      </c>
    </row>
    <row r="36668" ht="16.5" customHeight="1">
      <c r="O36668" s="5" t="s">
        <v>355</v>
      </c>
      <c r="P36668" s="5" t="s">
        <v>355</v>
      </c>
      <c r="Q36668" s="5" t="s">
        <v>355</v>
      </c>
    </row>
    <row r="36669" ht="16.5" customHeight="1">
      <c r="O36669" s="5" t="s">
        <v>355</v>
      </c>
      <c r="P36669" s="5" t="s">
        <v>355</v>
      </c>
      <c r="Q36669" s="5" t="s">
        <v>355</v>
      </c>
    </row>
    <row r="36670" ht="16.5" customHeight="1">
      <c r="O36670" s="5" t="s">
        <v>355</v>
      </c>
      <c r="P36670" s="5" t="s">
        <v>355</v>
      </c>
      <c r="Q36670" s="5" t="s">
        <v>355</v>
      </c>
    </row>
    <row r="36671" ht="16.5" customHeight="1">
      <c r="O36671" s="5" t="s">
        <v>355</v>
      </c>
      <c r="P36671" s="5" t="s">
        <v>355</v>
      </c>
      <c r="Q36671" s="5" t="s">
        <v>355</v>
      </c>
    </row>
    <row r="36672" ht="16.5" customHeight="1">
      <c r="O36672" s="5" t="s">
        <v>355</v>
      </c>
      <c r="P36672" s="5" t="s">
        <v>355</v>
      </c>
      <c r="Q36672" s="5" t="s">
        <v>355</v>
      </c>
    </row>
    <row r="36673" ht="16.5" customHeight="1">
      <c r="O36673" s="5" t="s">
        <v>355</v>
      </c>
      <c r="P36673" s="5" t="s">
        <v>355</v>
      </c>
      <c r="Q36673" s="5" t="s">
        <v>355</v>
      </c>
    </row>
    <row r="36674" ht="16.5" customHeight="1">
      <c r="O36674" s="5" t="s">
        <v>355</v>
      </c>
      <c r="P36674" s="5" t="s">
        <v>355</v>
      </c>
      <c r="Q36674" s="5" t="s">
        <v>355</v>
      </c>
    </row>
    <row r="36675" ht="16.5" customHeight="1">
      <c r="O36675" s="5" t="s">
        <v>355</v>
      </c>
      <c r="P36675" s="5" t="s">
        <v>355</v>
      </c>
      <c r="Q36675" s="5" t="s">
        <v>355</v>
      </c>
    </row>
    <row r="36676" ht="16.5" customHeight="1">
      <c r="O36676" s="5" t="s">
        <v>355</v>
      </c>
      <c r="P36676" s="5" t="s">
        <v>355</v>
      </c>
      <c r="Q36676" s="5" t="s">
        <v>355</v>
      </c>
    </row>
    <row r="36677" ht="16.5" customHeight="1">
      <c r="O36677" s="5" t="s">
        <v>355</v>
      </c>
      <c r="P36677" s="5" t="s">
        <v>355</v>
      </c>
      <c r="Q36677" s="5" t="s">
        <v>355</v>
      </c>
    </row>
    <row r="36678" ht="16.5" customHeight="1">
      <c r="O36678" s="5" t="s">
        <v>355</v>
      </c>
      <c r="P36678" s="5" t="s">
        <v>355</v>
      </c>
      <c r="Q36678" s="5" t="s">
        <v>355</v>
      </c>
    </row>
    <row r="36679" ht="16.5" customHeight="1">
      <c r="O36679" s="5" t="s">
        <v>355</v>
      </c>
      <c r="P36679" s="5" t="s">
        <v>355</v>
      </c>
      <c r="Q36679" s="5" t="s">
        <v>355</v>
      </c>
    </row>
    <row r="36680" ht="16.5" customHeight="1">
      <c r="O36680" s="5" t="s">
        <v>355</v>
      </c>
      <c r="P36680" s="5" t="s">
        <v>355</v>
      </c>
      <c r="Q36680" s="5" t="s">
        <v>355</v>
      </c>
    </row>
    <row r="36681" ht="16.5" customHeight="1">
      <c r="O36681" s="5" t="s">
        <v>355</v>
      </c>
      <c r="P36681" s="5" t="s">
        <v>355</v>
      </c>
      <c r="Q36681" s="5" t="s">
        <v>355</v>
      </c>
    </row>
    <row r="36682" ht="16.5" customHeight="1">
      <c r="O36682" s="5" t="s">
        <v>355</v>
      </c>
      <c r="P36682" s="5" t="s">
        <v>355</v>
      </c>
      <c r="Q36682" s="5" t="s">
        <v>355</v>
      </c>
    </row>
    <row r="36683" ht="16.5" customHeight="1">
      <c r="O36683" s="5" t="s">
        <v>355</v>
      </c>
      <c r="P36683" s="5" t="s">
        <v>355</v>
      </c>
      <c r="Q36683" s="5" t="s">
        <v>355</v>
      </c>
    </row>
    <row r="36684" ht="16.5" customHeight="1">
      <c r="O36684" s="5" t="s">
        <v>355</v>
      </c>
      <c r="P36684" s="5" t="s">
        <v>355</v>
      </c>
      <c r="Q36684" s="5" t="s">
        <v>355</v>
      </c>
    </row>
    <row r="36685" ht="16.5" customHeight="1">
      <c r="O36685" s="5" t="s">
        <v>355</v>
      </c>
      <c r="P36685" s="5" t="s">
        <v>355</v>
      </c>
      <c r="Q36685" s="5" t="s">
        <v>355</v>
      </c>
    </row>
    <row r="36686" ht="16.5" customHeight="1">
      <c r="O36686" s="5" t="s">
        <v>355</v>
      </c>
      <c r="P36686" s="5" t="s">
        <v>355</v>
      </c>
      <c r="Q36686" s="5" t="s">
        <v>355</v>
      </c>
    </row>
    <row r="36687" ht="16.5" customHeight="1">
      <c r="O36687" s="5" t="s">
        <v>355</v>
      </c>
      <c r="P36687" s="5" t="s">
        <v>355</v>
      </c>
      <c r="Q36687" s="5" t="s">
        <v>355</v>
      </c>
    </row>
    <row r="36688" ht="16.5" customHeight="1">
      <c r="O36688" s="5" t="s">
        <v>355</v>
      </c>
      <c r="P36688" s="5" t="s">
        <v>355</v>
      </c>
      <c r="Q36688" s="5" t="s">
        <v>355</v>
      </c>
    </row>
    <row r="36689" ht="16.5" customHeight="1">
      <c r="O36689" s="5" t="s">
        <v>355</v>
      </c>
      <c r="P36689" s="5" t="s">
        <v>355</v>
      </c>
      <c r="Q36689" s="5" t="s">
        <v>355</v>
      </c>
    </row>
    <row r="36690" ht="16.5" customHeight="1">
      <c r="O36690" s="5" t="s">
        <v>355</v>
      </c>
      <c r="P36690" s="5" t="s">
        <v>355</v>
      </c>
      <c r="Q36690" s="5" t="s">
        <v>355</v>
      </c>
    </row>
    <row r="36691" ht="16.5" customHeight="1">
      <c r="O36691" s="5" t="s">
        <v>355</v>
      </c>
      <c r="P36691" s="5" t="s">
        <v>355</v>
      </c>
      <c r="Q36691" s="5" t="s">
        <v>355</v>
      </c>
    </row>
    <row r="36692" ht="16.5" customHeight="1">
      <c r="O36692" s="5" t="s">
        <v>355</v>
      </c>
      <c r="P36692" s="5" t="s">
        <v>355</v>
      </c>
      <c r="Q36692" s="5" t="s">
        <v>355</v>
      </c>
    </row>
    <row r="36693" ht="16.5" customHeight="1">
      <c r="O36693" s="5" t="s">
        <v>355</v>
      </c>
      <c r="P36693" s="5" t="s">
        <v>355</v>
      </c>
      <c r="Q36693" s="5" t="s">
        <v>355</v>
      </c>
    </row>
    <row r="36694" ht="16.5" customHeight="1">
      <c r="O36694" s="5" t="s">
        <v>355</v>
      </c>
      <c r="P36694" s="5" t="s">
        <v>355</v>
      </c>
      <c r="Q36694" s="5" t="s">
        <v>355</v>
      </c>
    </row>
    <row r="36695" ht="16.5" customHeight="1">
      <c r="O36695" s="5" t="s">
        <v>355</v>
      </c>
      <c r="P36695" s="5" t="s">
        <v>355</v>
      </c>
      <c r="Q36695" s="5" t="s">
        <v>355</v>
      </c>
    </row>
    <row r="36696" ht="16.5" customHeight="1">
      <c r="O36696" s="5" t="s">
        <v>355</v>
      </c>
      <c r="P36696" s="5" t="s">
        <v>355</v>
      </c>
      <c r="Q36696" s="5" t="s">
        <v>355</v>
      </c>
    </row>
    <row r="36697" ht="16.5" customHeight="1">
      <c r="O36697" s="5" t="s">
        <v>355</v>
      </c>
      <c r="P36697" s="5" t="s">
        <v>355</v>
      </c>
      <c r="Q36697" s="5" t="s">
        <v>355</v>
      </c>
    </row>
    <row r="36698" ht="16.5" customHeight="1">
      <c r="O36698" s="5" t="s">
        <v>355</v>
      </c>
      <c r="P36698" s="5" t="s">
        <v>355</v>
      </c>
      <c r="Q36698" s="5" t="s">
        <v>355</v>
      </c>
    </row>
    <row r="36699" ht="16.5" customHeight="1">
      <c r="O36699" s="5" t="s">
        <v>355</v>
      </c>
      <c r="P36699" s="5" t="s">
        <v>355</v>
      </c>
      <c r="Q36699" s="5" t="s">
        <v>355</v>
      </c>
    </row>
    <row r="36700" ht="16.5" customHeight="1">
      <c r="O36700" s="5" t="s">
        <v>355</v>
      </c>
      <c r="P36700" s="5" t="s">
        <v>355</v>
      </c>
      <c r="Q36700" s="5" t="s">
        <v>355</v>
      </c>
    </row>
    <row r="36701" ht="16.5" customHeight="1">
      <c r="O36701" s="5" t="s">
        <v>355</v>
      </c>
      <c r="P36701" s="5" t="s">
        <v>355</v>
      </c>
      <c r="Q36701" s="5" t="s">
        <v>355</v>
      </c>
    </row>
    <row r="36702" ht="16.5" customHeight="1">
      <c r="O36702" s="5" t="s">
        <v>355</v>
      </c>
      <c r="P36702" s="5" t="s">
        <v>355</v>
      </c>
      <c r="Q36702" s="5" t="s">
        <v>355</v>
      </c>
    </row>
    <row r="36703" ht="16.5" customHeight="1">
      <c r="O36703" s="5" t="s">
        <v>355</v>
      </c>
      <c r="P36703" s="5" t="s">
        <v>355</v>
      </c>
      <c r="Q36703" s="5" t="s">
        <v>355</v>
      </c>
    </row>
    <row r="36704" ht="16.5" customHeight="1">
      <c r="O36704" s="5" t="s">
        <v>355</v>
      </c>
      <c r="P36704" s="5" t="s">
        <v>355</v>
      </c>
      <c r="Q36704" s="5" t="s">
        <v>355</v>
      </c>
    </row>
    <row r="36705" ht="16.5" customHeight="1">
      <c r="O36705" s="5" t="s">
        <v>355</v>
      </c>
      <c r="P36705" s="5" t="s">
        <v>355</v>
      </c>
      <c r="Q36705" s="5" t="s">
        <v>355</v>
      </c>
    </row>
    <row r="36706" ht="16.5" customHeight="1">
      <c r="O36706" s="5" t="s">
        <v>355</v>
      </c>
      <c r="P36706" s="5" t="s">
        <v>355</v>
      </c>
      <c r="Q36706" s="5" t="s">
        <v>355</v>
      </c>
    </row>
    <row r="36707" ht="16.5" customHeight="1">
      <c r="O36707" s="5" t="s">
        <v>355</v>
      </c>
      <c r="P36707" s="5" t="s">
        <v>355</v>
      </c>
      <c r="Q36707" s="5" t="s">
        <v>355</v>
      </c>
    </row>
    <row r="36708" ht="16.5" customHeight="1">
      <c r="O36708" s="5" t="s">
        <v>355</v>
      </c>
      <c r="P36708" s="5" t="s">
        <v>355</v>
      </c>
      <c r="Q36708" s="5" t="s">
        <v>355</v>
      </c>
    </row>
    <row r="36709" ht="16.5" customHeight="1">
      <c r="O36709" s="5" t="s">
        <v>355</v>
      </c>
      <c r="P36709" s="5" t="s">
        <v>355</v>
      </c>
      <c r="Q36709" s="5" t="s">
        <v>355</v>
      </c>
    </row>
    <row r="36710" ht="16.5" customHeight="1">
      <c r="O36710" s="5" t="s">
        <v>355</v>
      </c>
      <c r="P36710" s="5" t="s">
        <v>355</v>
      </c>
      <c r="Q36710" s="5" t="s">
        <v>355</v>
      </c>
    </row>
    <row r="36711" ht="16.5" customHeight="1">
      <c r="O36711" s="5" t="s">
        <v>355</v>
      </c>
      <c r="P36711" s="5" t="s">
        <v>355</v>
      </c>
      <c r="Q36711" s="5" t="s">
        <v>355</v>
      </c>
    </row>
    <row r="36712" ht="16.5" customHeight="1">
      <c r="O36712" s="5" t="s">
        <v>355</v>
      </c>
      <c r="P36712" s="5" t="s">
        <v>355</v>
      </c>
      <c r="Q36712" s="5" t="s">
        <v>355</v>
      </c>
    </row>
    <row r="36713" ht="16.5" customHeight="1">
      <c r="O36713" s="5" t="s">
        <v>355</v>
      </c>
      <c r="P36713" s="5" t="s">
        <v>355</v>
      </c>
      <c r="Q36713" s="5" t="s">
        <v>355</v>
      </c>
    </row>
    <row r="36714" ht="16.5" customHeight="1">
      <c r="O36714" s="5" t="s">
        <v>355</v>
      </c>
      <c r="P36714" s="5" t="s">
        <v>355</v>
      </c>
      <c r="Q36714" s="5" t="s">
        <v>355</v>
      </c>
    </row>
    <row r="36715" ht="16.5" customHeight="1">
      <c r="O36715" s="5" t="s">
        <v>355</v>
      </c>
      <c r="P36715" s="5" t="s">
        <v>355</v>
      </c>
      <c r="Q36715" s="5" t="s">
        <v>355</v>
      </c>
    </row>
    <row r="36716" ht="16.5" customHeight="1">
      <c r="O36716" s="5" t="s">
        <v>355</v>
      </c>
      <c r="P36716" s="5" t="s">
        <v>355</v>
      </c>
      <c r="Q36716" s="5" t="s">
        <v>355</v>
      </c>
    </row>
    <row r="36717" ht="16.5" customHeight="1">
      <c r="O36717" s="5" t="s">
        <v>355</v>
      </c>
      <c r="P36717" s="5" t="s">
        <v>355</v>
      </c>
      <c r="Q36717" s="5" t="s">
        <v>355</v>
      </c>
    </row>
    <row r="36718" ht="16.5" customHeight="1">
      <c r="O36718" s="5" t="s">
        <v>355</v>
      </c>
      <c r="P36718" s="5" t="s">
        <v>355</v>
      </c>
      <c r="Q36718" s="5" t="s">
        <v>355</v>
      </c>
    </row>
    <row r="36719" ht="16.5" customHeight="1">
      <c r="O36719" s="5" t="s">
        <v>355</v>
      </c>
      <c r="P36719" s="5" t="s">
        <v>355</v>
      </c>
      <c r="Q36719" s="5" t="s">
        <v>355</v>
      </c>
    </row>
    <row r="36720" ht="16.5" customHeight="1">
      <c r="O36720" s="5" t="s">
        <v>355</v>
      </c>
      <c r="P36720" s="5" t="s">
        <v>355</v>
      </c>
      <c r="Q36720" s="5" t="s">
        <v>355</v>
      </c>
    </row>
    <row r="36721" ht="16.5" customHeight="1">
      <c r="O36721" s="5" t="s">
        <v>355</v>
      </c>
      <c r="P36721" s="5" t="s">
        <v>355</v>
      </c>
      <c r="Q36721" s="5" t="s">
        <v>355</v>
      </c>
    </row>
    <row r="36722" ht="16.5" customHeight="1">
      <c r="O36722" s="5" t="s">
        <v>355</v>
      </c>
      <c r="P36722" s="5" t="s">
        <v>355</v>
      </c>
      <c r="Q36722" s="5" t="s">
        <v>355</v>
      </c>
    </row>
    <row r="36723" ht="16.5" customHeight="1">
      <c r="O36723" s="5" t="s">
        <v>355</v>
      </c>
      <c r="P36723" s="5" t="s">
        <v>355</v>
      </c>
      <c r="Q36723" s="5" t="s">
        <v>355</v>
      </c>
    </row>
    <row r="36724" ht="16.5" customHeight="1">
      <c r="O36724" s="5" t="s">
        <v>355</v>
      </c>
      <c r="P36724" s="5" t="s">
        <v>355</v>
      </c>
      <c r="Q36724" s="5" t="s">
        <v>355</v>
      </c>
    </row>
    <row r="36725" ht="16.5" customHeight="1">
      <c r="O36725" s="5" t="s">
        <v>355</v>
      </c>
      <c r="P36725" s="5" t="s">
        <v>355</v>
      </c>
      <c r="Q36725" s="5" t="s">
        <v>355</v>
      </c>
    </row>
    <row r="36726" ht="16.5" customHeight="1">
      <c r="O36726" s="5" t="s">
        <v>355</v>
      </c>
      <c r="P36726" s="5" t="s">
        <v>355</v>
      </c>
      <c r="Q36726" s="5" t="s">
        <v>355</v>
      </c>
    </row>
    <row r="36727" ht="16.5" customHeight="1">
      <c r="O36727" s="5" t="s">
        <v>355</v>
      </c>
      <c r="P36727" s="5" t="s">
        <v>355</v>
      </c>
      <c r="Q36727" s="5" t="s">
        <v>355</v>
      </c>
    </row>
    <row r="36728" ht="16.5" customHeight="1">
      <c r="O36728" s="5" t="s">
        <v>355</v>
      </c>
      <c r="P36728" s="5" t="s">
        <v>355</v>
      </c>
      <c r="Q36728" s="5" t="s">
        <v>355</v>
      </c>
    </row>
    <row r="36729" ht="16.5" customHeight="1">
      <c r="O36729" s="5" t="s">
        <v>355</v>
      </c>
      <c r="P36729" s="5" t="s">
        <v>355</v>
      </c>
      <c r="Q36729" s="5" t="s">
        <v>355</v>
      </c>
    </row>
    <row r="36730" ht="16.5" customHeight="1">
      <c r="O36730" s="5" t="s">
        <v>355</v>
      </c>
      <c r="P36730" s="5" t="s">
        <v>355</v>
      </c>
      <c r="Q36730" s="5" t="s">
        <v>355</v>
      </c>
    </row>
    <row r="36731" ht="16.5" customHeight="1">
      <c r="O36731" s="5" t="s">
        <v>355</v>
      </c>
      <c r="P36731" s="5" t="s">
        <v>355</v>
      </c>
      <c r="Q36731" s="5" t="s">
        <v>355</v>
      </c>
    </row>
    <row r="36732" ht="16.5" customHeight="1">
      <c r="O36732" s="5" t="s">
        <v>355</v>
      </c>
      <c r="P36732" s="5" t="s">
        <v>355</v>
      </c>
      <c r="Q36732" s="5" t="s">
        <v>355</v>
      </c>
    </row>
    <row r="36733" ht="16.5" customHeight="1">
      <c r="O36733" s="5" t="s">
        <v>355</v>
      </c>
      <c r="P36733" s="5" t="s">
        <v>355</v>
      </c>
      <c r="Q36733" s="5" t="s">
        <v>355</v>
      </c>
    </row>
    <row r="36734" ht="16.5" customHeight="1">
      <c r="O36734" s="5" t="s">
        <v>355</v>
      </c>
      <c r="P36734" s="5" t="s">
        <v>355</v>
      </c>
      <c r="Q36734" s="5" t="s">
        <v>355</v>
      </c>
    </row>
    <row r="36735" ht="16.5" customHeight="1">
      <c r="O36735" s="5" t="s">
        <v>355</v>
      </c>
      <c r="P36735" s="5" t="s">
        <v>355</v>
      </c>
      <c r="Q36735" s="5" t="s">
        <v>355</v>
      </c>
    </row>
    <row r="36736" ht="16.5" customHeight="1">
      <c r="O36736" s="5" t="s">
        <v>355</v>
      </c>
      <c r="P36736" s="5" t="s">
        <v>355</v>
      </c>
      <c r="Q36736" s="5" t="s">
        <v>355</v>
      </c>
    </row>
    <row r="36737" ht="16.5" customHeight="1">
      <c r="O36737" s="5" t="s">
        <v>355</v>
      </c>
      <c r="P36737" s="5" t="s">
        <v>355</v>
      </c>
      <c r="Q36737" s="5" t="s">
        <v>355</v>
      </c>
    </row>
    <row r="36738" ht="16.5" customHeight="1">
      <c r="O36738" s="5" t="s">
        <v>355</v>
      </c>
      <c r="P36738" s="5" t="s">
        <v>355</v>
      </c>
      <c r="Q36738" s="5" t="s">
        <v>355</v>
      </c>
    </row>
    <row r="36739" ht="16.5" customHeight="1">
      <c r="O36739" s="5" t="s">
        <v>355</v>
      </c>
      <c r="P36739" s="5" t="s">
        <v>355</v>
      </c>
      <c r="Q36739" s="5" t="s">
        <v>355</v>
      </c>
    </row>
    <row r="36740" ht="16.5" customHeight="1">
      <c r="O36740" s="5" t="s">
        <v>355</v>
      </c>
      <c r="P36740" s="5" t="s">
        <v>355</v>
      </c>
      <c r="Q36740" s="5" t="s">
        <v>355</v>
      </c>
    </row>
    <row r="36741" ht="16.5" customHeight="1">
      <c r="O36741" s="5" t="s">
        <v>355</v>
      </c>
      <c r="P36741" s="5" t="s">
        <v>355</v>
      </c>
      <c r="Q36741" s="5" t="s">
        <v>355</v>
      </c>
    </row>
    <row r="36742" ht="16.5" customHeight="1">
      <c r="O36742" s="5" t="s">
        <v>355</v>
      </c>
      <c r="P36742" s="5" t="s">
        <v>355</v>
      </c>
      <c r="Q36742" s="5" t="s">
        <v>355</v>
      </c>
    </row>
    <row r="36743" ht="16.5" customHeight="1">
      <c r="O36743" s="5" t="s">
        <v>355</v>
      </c>
      <c r="P36743" s="5" t="s">
        <v>355</v>
      </c>
      <c r="Q36743" s="5" t="s">
        <v>355</v>
      </c>
    </row>
    <row r="36744" ht="16.5" customHeight="1">
      <c r="O36744" s="5" t="s">
        <v>355</v>
      </c>
      <c r="P36744" s="5" t="s">
        <v>355</v>
      </c>
      <c r="Q36744" s="5" t="s">
        <v>355</v>
      </c>
    </row>
    <row r="36745" ht="16.5" customHeight="1">
      <c r="O36745" s="5" t="s">
        <v>355</v>
      </c>
      <c r="P36745" s="5" t="s">
        <v>355</v>
      </c>
      <c r="Q36745" s="5" t="s">
        <v>355</v>
      </c>
    </row>
    <row r="36746" ht="16.5" customHeight="1">
      <c r="O36746" s="5" t="s">
        <v>355</v>
      </c>
      <c r="P36746" s="5" t="s">
        <v>355</v>
      </c>
      <c r="Q36746" s="5" t="s">
        <v>355</v>
      </c>
    </row>
    <row r="36747" ht="16.5" customHeight="1">
      <c r="O36747" s="5" t="s">
        <v>355</v>
      </c>
      <c r="P36747" s="5" t="s">
        <v>355</v>
      </c>
      <c r="Q36747" s="5" t="s">
        <v>355</v>
      </c>
    </row>
    <row r="36748" ht="16.5" customHeight="1">
      <c r="O36748" s="5" t="s">
        <v>355</v>
      </c>
      <c r="P36748" s="5" t="s">
        <v>355</v>
      </c>
      <c r="Q36748" s="5" t="s">
        <v>355</v>
      </c>
    </row>
    <row r="36749" ht="16.5" customHeight="1">
      <c r="O36749" s="5" t="s">
        <v>355</v>
      </c>
      <c r="P36749" s="5" t="s">
        <v>355</v>
      </c>
      <c r="Q36749" s="5" t="s">
        <v>355</v>
      </c>
    </row>
    <row r="36750" ht="16.5" customHeight="1">
      <c r="O36750" s="5" t="s">
        <v>355</v>
      </c>
      <c r="P36750" s="5" t="s">
        <v>355</v>
      </c>
      <c r="Q36750" s="5" t="s">
        <v>355</v>
      </c>
    </row>
    <row r="36751" ht="16.5" customHeight="1">
      <c r="O36751" s="5" t="s">
        <v>355</v>
      </c>
      <c r="P36751" s="5" t="s">
        <v>355</v>
      </c>
      <c r="Q36751" s="5" t="s">
        <v>355</v>
      </c>
    </row>
    <row r="36752" ht="16.5" customHeight="1">
      <c r="O36752" s="5" t="s">
        <v>355</v>
      </c>
      <c r="P36752" s="5" t="s">
        <v>355</v>
      </c>
      <c r="Q36752" s="5" t="s">
        <v>355</v>
      </c>
    </row>
    <row r="36753" ht="16.5" customHeight="1">
      <c r="O36753" s="5" t="s">
        <v>355</v>
      </c>
      <c r="P36753" s="5" t="s">
        <v>355</v>
      </c>
      <c r="Q36753" s="5" t="s">
        <v>355</v>
      </c>
    </row>
    <row r="36754" ht="16.5" customHeight="1">
      <c r="O36754" s="5" t="s">
        <v>355</v>
      </c>
      <c r="P36754" s="5" t="s">
        <v>355</v>
      </c>
      <c r="Q36754" s="5" t="s">
        <v>355</v>
      </c>
    </row>
    <row r="36755" ht="16.5" customHeight="1">
      <c r="O36755" s="5" t="s">
        <v>355</v>
      </c>
      <c r="P36755" s="5" t="s">
        <v>355</v>
      </c>
      <c r="Q36755" s="5" t="s">
        <v>355</v>
      </c>
    </row>
    <row r="36756" ht="16.5" customHeight="1">
      <c r="O36756" s="5" t="s">
        <v>355</v>
      </c>
      <c r="P36756" s="5" t="s">
        <v>355</v>
      </c>
      <c r="Q36756" s="5" t="s">
        <v>355</v>
      </c>
    </row>
    <row r="36757" ht="16.5" customHeight="1">
      <c r="O36757" s="5" t="s">
        <v>355</v>
      </c>
      <c r="P36757" s="5" t="s">
        <v>355</v>
      </c>
      <c r="Q36757" s="5" t="s">
        <v>355</v>
      </c>
    </row>
    <row r="36758" ht="16.5" customHeight="1">
      <c r="O36758" s="5" t="s">
        <v>355</v>
      </c>
      <c r="P36758" s="5" t="s">
        <v>355</v>
      </c>
      <c r="Q36758" s="5" t="s">
        <v>355</v>
      </c>
    </row>
    <row r="36759" ht="16.5" customHeight="1">
      <c r="O36759" s="5" t="s">
        <v>355</v>
      </c>
      <c r="P36759" s="5" t="s">
        <v>355</v>
      </c>
      <c r="Q36759" s="5" t="s">
        <v>355</v>
      </c>
    </row>
    <row r="36760" ht="16.5" customHeight="1">
      <c r="O36760" s="5" t="s">
        <v>355</v>
      </c>
      <c r="P36760" s="5" t="s">
        <v>355</v>
      </c>
      <c r="Q36760" s="5" t="s">
        <v>355</v>
      </c>
    </row>
    <row r="36761" ht="16.5" customHeight="1">
      <c r="O36761" s="5" t="s">
        <v>355</v>
      </c>
      <c r="P36761" s="5" t="s">
        <v>355</v>
      </c>
      <c r="Q36761" s="5" t="s">
        <v>355</v>
      </c>
    </row>
    <row r="36762" ht="16.5" customHeight="1">
      <c r="O36762" s="5" t="s">
        <v>355</v>
      </c>
      <c r="P36762" s="5" t="s">
        <v>355</v>
      </c>
      <c r="Q36762" s="5" t="s">
        <v>355</v>
      </c>
    </row>
    <row r="36763" ht="16.5" customHeight="1">
      <c r="O36763" s="5" t="s">
        <v>355</v>
      </c>
      <c r="P36763" s="5" t="s">
        <v>355</v>
      </c>
      <c r="Q36763" s="5" t="s">
        <v>355</v>
      </c>
    </row>
    <row r="36764" ht="16.5" customHeight="1">
      <c r="O36764" s="5" t="s">
        <v>355</v>
      </c>
      <c r="P36764" s="5" t="s">
        <v>355</v>
      </c>
      <c r="Q36764" s="5" t="s">
        <v>355</v>
      </c>
    </row>
    <row r="36765" ht="16.5" customHeight="1">
      <c r="O36765" s="5" t="s">
        <v>355</v>
      </c>
      <c r="P36765" s="5" t="s">
        <v>355</v>
      </c>
      <c r="Q36765" s="5" t="s">
        <v>355</v>
      </c>
    </row>
    <row r="36766" ht="16.5" customHeight="1">
      <c r="O36766" s="5" t="s">
        <v>355</v>
      </c>
      <c r="P36766" s="5" t="s">
        <v>355</v>
      </c>
      <c r="Q36766" s="5" t="s">
        <v>355</v>
      </c>
    </row>
    <row r="36767" ht="16.5" customHeight="1">
      <c r="O36767" s="5" t="s">
        <v>355</v>
      </c>
      <c r="P36767" s="5" t="s">
        <v>355</v>
      </c>
      <c r="Q36767" s="5" t="s">
        <v>355</v>
      </c>
    </row>
    <row r="36768" ht="16.5" customHeight="1">
      <c r="O36768" s="5" t="s">
        <v>355</v>
      </c>
      <c r="P36768" s="5" t="s">
        <v>355</v>
      </c>
      <c r="Q36768" s="5" t="s">
        <v>355</v>
      </c>
    </row>
    <row r="36769" ht="16.5" customHeight="1">
      <c r="O36769" s="5" t="s">
        <v>355</v>
      </c>
      <c r="P36769" s="5" t="s">
        <v>355</v>
      </c>
      <c r="Q36769" s="5" t="s">
        <v>355</v>
      </c>
    </row>
    <row r="36770" ht="16.5" customHeight="1">
      <c r="O36770" s="5" t="s">
        <v>355</v>
      </c>
      <c r="P36770" s="5" t="s">
        <v>355</v>
      </c>
      <c r="Q36770" s="5" t="s">
        <v>355</v>
      </c>
    </row>
    <row r="36771" ht="16.5" customHeight="1">
      <c r="O36771" s="5" t="s">
        <v>355</v>
      </c>
      <c r="P36771" s="5" t="s">
        <v>355</v>
      </c>
      <c r="Q36771" s="5" t="s">
        <v>355</v>
      </c>
    </row>
    <row r="36772" ht="16.5" customHeight="1">
      <c r="O36772" s="5" t="s">
        <v>355</v>
      </c>
      <c r="P36772" s="5" t="s">
        <v>355</v>
      </c>
      <c r="Q36772" s="5" t="s">
        <v>355</v>
      </c>
    </row>
    <row r="36773" ht="16.5" customHeight="1">
      <c r="O36773" s="5" t="s">
        <v>355</v>
      </c>
      <c r="P36773" s="5" t="s">
        <v>355</v>
      </c>
      <c r="Q36773" s="5" t="s">
        <v>355</v>
      </c>
    </row>
    <row r="36774" ht="16.5" customHeight="1">
      <c r="O36774" s="5" t="s">
        <v>355</v>
      </c>
      <c r="P36774" s="5" t="s">
        <v>355</v>
      </c>
      <c r="Q36774" s="5" t="s">
        <v>355</v>
      </c>
    </row>
    <row r="36775" ht="16.5" customHeight="1">
      <c r="O36775" s="5" t="s">
        <v>355</v>
      </c>
      <c r="P36775" s="5" t="s">
        <v>355</v>
      </c>
      <c r="Q36775" s="5" t="s">
        <v>355</v>
      </c>
    </row>
    <row r="36776" ht="16.5" customHeight="1">
      <c r="O36776" s="5" t="s">
        <v>355</v>
      </c>
      <c r="P36776" s="5" t="s">
        <v>355</v>
      </c>
      <c r="Q36776" s="5" t="s">
        <v>355</v>
      </c>
    </row>
    <row r="36777" ht="16.5" customHeight="1">
      <c r="O36777" s="5" t="s">
        <v>355</v>
      </c>
      <c r="P36777" s="5" t="s">
        <v>355</v>
      </c>
      <c r="Q36777" s="5" t="s">
        <v>355</v>
      </c>
    </row>
    <row r="36778" ht="16.5" customHeight="1">
      <c r="O36778" s="5" t="s">
        <v>355</v>
      </c>
      <c r="P36778" s="5" t="s">
        <v>355</v>
      </c>
      <c r="Q36778" s="5" t="s">
        <v>355</v>
      </c>
    </row>
    <row r="36779" ht="16.5" customHeight="1">
      <c r="O36779" s="5" t="s">
        <v>355</v>
      </c>
      <c r="P36779" s="5" t="s">
        <v>355</v>
      </c>
      <c r="Q36779" s="5" t="s">
        <v>355</v>
      </c>
    </row>
    <row r="36780" ht="16.5" customHeight="1">
      <c r="O36780" s="5" t="s">
        <v>355</v>
      </c>
      <c r="P36780" s="5" t="s">
        <v>355</v>
      </c>
      <c r="Q36780" s="5" t="s">
        <v>355</v>
      </c>
    </row>
    <row r="36781" ht="16.5" customHeight="1">
      <c r="O36781" s="5" t="s">
        <v>355</v>
      </c>
      <c r="P36781" s="5" t="s">
        <v>355</v>
      </c>
      <c r="Q36781" s="5" t="s">
        <v>355</v>
      </c>
    </row>
    <row r="36782" ht="16.5" customHeight="1">
      <c r="O36782" s="5" t="s">
        <v>355</v>
      </c>
      <c r="P36782" s="5" t="s">
        <v>355</v>
      </c>
      <c r="Q36782" s="5" t="s">
        <v>355</v>
      </c>
    </row>
    <row r="36783" ht="16.5" customHeight="1">
      <c r="O36783" s="5" t="s">
        <v>355</v>
      </c>
      <c r="P36783" s="5" t="s">
        <v>355</v>
      </c>
      <c r="Q36783" s="5" t="s">
        <v>355</v>
      </c>
    </row>
    <row r="36784" ht="16.5" customHeight="1">
      <c r="O36784" s="5" t="s">
        <v>355</v>
      </c>
      <c r="P36784" s="5" t="s">
        <v>355</v>
      </c>
      <c r="Q36784" s="5" t="s">
        <v>355</v>
      </c>
    </row>
    <row r="36785" ht="16.5" customHeight="1">
      <c r="O36785" s="5" t="s">
        <v>355</v>
      </c>
      <c r="P36785" s="5" t="s">
        <v>355</v>
      </c>
      <c r="Q36785" s="5" t="s">
        <v>355</v>
      </c>
    </row>
    <row r="36786" ht="16.5" customHeight="1">
      <c r="O36786" s="5" t="s">
        <v>355</v>
      </c>
      <c r="P36786" s="5" t="s">
        <v>355</v>
      </c>
      <c r="Q36786" s="5" t="s">
        <v>355</v>
      </c>
    </row>
    <row r="36787" ht="16.5" customHeight="1">
      <c r="O36787" s="5" t="s">
        <v>355</v>
      </c>
      <c r="P36787" s="5" t="s">
        <v>355</v>
      </c>
      <c r="Q36787" s="5" t="s">
        <v>355</v>
      </c>
    </row>
    <row r="36788" ht="16.5" customHeight="1">
      <c r="O36788" s="5" t="s">
        <v>355</v>
      </c>
      <c r="P36788" s="5" t="s">
        <v>355</v>
      </c>
      <c r="Q36788" s="5" t="s">
        <v>355</v>
      </c>
    </row>
    <row r="36789" ht="16.5" customHeight="1">
      <c r="O36789" s="5" t="s">
        <v>355</v>
      </c>
      <c r="P36789" s="5" t="s">
        <v>355</v>
      </c>
      <c r="Q36789" s="5" t="s">
        <v>355</v>
      </c>
    </row>
    <row r="36790" ht="16.5" customHeight="1">
      <c r="O36790" s="5" t="s">
        <v>355</v>
      </c>
      <c r="P36790" s="5" t="s">
        <v>355</v>
      </c>
      <c r="Q36790" s="5" t="s">
        <v>355</v>
      </c>
    </row>
    <row r="36791" ht="16.5" customHeight="1">
      <c r="O36791" s="5" t="s">
        <v>355</v>
      </c>
      <c r="P36791" s="5" t="s">
        <v>355</v>
      </c>
      <c r="Q36791" s="5" t="s">
        <v>355</v>
      </c>
    </row>
    <row r="36792" ht="16.5" customHeight="1">
      <c r="O36792" s="5" t="s">
        <v>355</v>
      </c>
      <c r="P36792" s="5" t="s">
        <v>355</v>
      </c>
      <c r="Q36792" s="5" t="s">
        <v>355</v>
      </c>
    </row>
    <row r="36793" ht="16.5" customHeight="1">
      <c r="O36793" s="5" t="s">
        <v>355</v>
      </c>
      <c r="P36793" s="5" t="s">
        <v>355</v>
      </c>
      <c r="Q36793" s="5" t="s">
        <v>355</v>
      </c>
    </row>
    <row r="36794" ht="16.5" customHeight="1">
      <c r="O36794" s="5" t="s">
        <v>355</v>
      </c>
      <c r="P36794" s="5" t="s">
        <v>355</v>
      </c>
      <c r="Q36794" s="5" t="s">
        <v>355</v>
      </c>
    </row>
    <row r="36795" ht="16.5" customHeight="1">
      <c r="O36795" s="5" t="s">
        <v>355</v>
      </c>
      <c r="P36795" s="5" t="s">
        <v>355</v>
      </c>
      <c r="Q36795" s="5" t="s">
        <v>355</v>
      </c>
    </row>
    <row r="36796" ht="16.5" customHeight="1">
      <c r="O36796" s="5" t="s">
        <v>355</v>
      </c>
      <c r="P36796" s="5" t="s">
        <v>355</v>
      </c>
      <c r="Q36796" s="5" t="s">
        <v>355</v>
      </c>
    </row>
    <row r="36797" ht="16.5" customHeight="1">
      <c r="O36797" s="5" t="s">
        <v>355</v>
      </c>
      <c r="P36797" s="5" t="s">
        <v>355</v>
      </c>
      <c r="Q36797" s="5" t="s">
        <v>355</v>
      </c>
    </row>
    <row r="36798" ht="16.5" customHeight="1">
      <c r="O36798" s="5" t="s">
        <v>355</v>
      </c>
      <c r="P36798" s="5" t="s">
        <v>355</v>
      </c>
      <c r="Q36798" s="5" t="s">
        <v>355</v>
      </c>
    </row>
    <row r="36799" ht="16.5" customHeight="1">
      <c r="O36799" s="5" t="s">
        <v>355</v>
      </c>
      <c r="P36799" s="5" t="s">
        <v>355</v>
      </c>
      <c r="Q36799" s="5" t="s">
        <v>355</v>
      </c>
    </row>
    <row r="36800" ht="16.5" customHeight="1">
      <c r="O36800" s="5" t="s">
        <v>355</v>
      </c>
      <c r="P36800" s="5" t="s">
        <v>355</v>
      </c>
      <c r="Q36800" s="5" t="s">
        <v>355</v>
      </c>
    </row>
    <row r="36801" ht="16.5" customHeight="1">
      <c r="O36801" s="5" t="s">
        <v>355</v>
      </c>
      <c r="P36801" s="5" t="s">
        <v>355</v>
      </c>
      <c r="Q36801" s="5" t="s">
        <v>355</v>
      </c>
    </row>
    <row r="36802" ht="16.5" customHeight="1">
      <c r="O36802" s="5" t="s">
        <v>355</v>
      </c>
      <c r="P36802" s="5" t="s">
        <v>355</v>
      </c>
      <c r="Q36802" s="5" t="s">
        <v>355</v>
      </c>
    </row>
    <row r="36803" ht="16.5" customHeight="1">
      <c r="O36803" s="5" t="s">
        <v>355</v>
      </c>
      <c r="P36803" s="5" t="s">
        <v>355</v>
      </c>
      <c r="Q36803" s="5" t="s">
        <v>355</v>
      </c>
    </row>
    <row r="36804" ht="16.5" customHeight="1">
      <c r="O36804" s="5" t="s">
        <v>355</v>
      </c>
      <c r="P36804" s="5" t="s">
        <v>355</v>
      </c>
      <c r="Q36804" s="5" t="s">
        <v>355</v>
      </c>
    </row>
    <row r="36805" ht="16.5" customHeight="1">
      <c r="O36805" s="5" t="s">
        <v>355</v>
      </c>
      <c r="P36805" s="5" t="s">
        <v>355</v>
      </c>
      <c r="Q36805" s="5" t="s">
        <v>355</v>
      </c>
    </row>
    <row r="36806" ht="16.5" customHeight="1">
      <c r="O36806" s="5" t="s">
        <v>355</v>
      </c>
      <c r="P36806" s="5" t="s">
        <v>355</v>
      </c>
      <c r="Q36806" s="5" t="s">
        <v>355</v>
      </c>
    </row>
    <row r="36807" ht="16.5" customHeight="1">
      <c r="O36807" s="5" t="s">
        <v>355</v>
      </c>
      <c r="P36807" s="5" t="s">
        <v>355</v>
      </c>
      <c r="Q36807" s="5" t="s">
        <v>355</v>
      </c>
    </row>
    <row r="36808" ht="16.5" customHeight="1">
      <c r="O36808" s="5" t="s">
        <v>355</v>
      </c>
      <c r="P36808" s="5" t="s">
        <v>355</v>
      </c>
      <c r="Q36808" s="5" t="s">
        <v>355</v>
      </c>
    </row>
    <row r="36809" ht="16.5" customHeight="1">
      <c r="O36809" s="5" t="s">
        <v>355</v>
      </c>
      <c r="P36809" s="5" t="s">
        <v>355</v>
      </c>
      <c r="Q36809" s="5" t="s">
        <v>355</v>
      </c>
    </row>
    <row r="36810" ht="16.5" customHeight="1">
      <c r="O36810" s="5" t="s">
        <v>355</v>
      </c>
      <c r="P36810" s="5" t="s">
        <v>355</v>
      </c>
      <c r="Q36810" s="5" t="s">
        <v>355</v>
      </c>
    </row>
    <row r="36811" ht="16.5" customHeight="1">
      <c r="O36811" s="5" t="s">
        <v>355</v>
      </c>
      <c r="P36811" s="5" t="s">
        <v>355</v>
      </c>
      <c r="Q36811" s="5" t="s">
        <v>355</v>
      </c>
    </row>
    <row r="36812" ht="16.5" customHeight="1">
      <c r="O36812" s="5" t="s">
        <v>355</v>
      </c>
      <c r="P36812" s="5" t="s">
        <v>355</v>
      </c>
      <c r="Q36812" s="5" t="s">
        <v>355</v>
      </c>
    </row>
    <row r="36813" ht="16.5" customHeight="1">
      <c r="O36813" s="5" t="s">
        <v>355</v>
      </c>
      <c r="P36813" s="5" t="s">
        <v>355</v>
      </c>
      <c r="Q36813" s="5" t="s">
        <v>355</v>
      </c>
    </row>
    <row r="36814" ht="16.5" customHeight="1">
      <c r="O36814" s="5" t="s">
        <v>355</v>
      </c>
      <c r="P36814" s="5" t="s">
        <v>355</v>
      </c>
      <c r="Q36814" s="5" t="s">
        <v>355</v>
      </c>
    </row>
    <row r="36815" ht="16.5" customHeight="1">
      <c r="O36815" s="5" t="s">
        <v>355</v>
      </c>
      <c r="P36815" s="5" t="s">
        <v>355</v>
      </c>
      <c r="Q36815" s="5" t="s">
        <v>355</v>
      </c>
    </row>
    <row r="36816" ht="16.5" customHeight="1">
      <c r="O36816" s="5" t="s">
        <v>355</v>
      </c>
      <c r="P36816" s="5" t="s">
        <v>355</v>
      </c>
      <c r="Q36816" s="5" t="s">
        <v>355</v>
      </c>
    </row>
    <row r="36817" ht="16.5" customHeight="1">
      <c r="O36817" s="5" t="s">
        <v>355</v>
      </c>
      <c r="P36817" s="5" t="s">
        <v>355</v>
      </c>
      <c r="Q36817" s="5" t="s">
        <v>355</v>
      </c>
    </row>
    <row r="36818" ht="16.5" customHeight="1">
      <c r="O36818" s="5" t="s">
        <v>355</v>
      </c>
      <c r="P36818" s="5" t="s">
        <v>355</v>
      </c>
      <c r="Q36818" s="5" t="s">
        <v>355</v>
      </c>
    </row>
    <row r="36819" ht="16.5" customHeight="1">
      <c r="O36819" s="5" t="s">
        <v>355</v>
      </c>
      <c r="P36819" s="5" t="s">
        <v>355</v>
      </c>
      <c r="Q36819" s="5" t="s">
        <v>355</v>
      </c>
    </row>
    <row r="36820" ht="16.5" customHeight="1">
      <c r="O36820" s="5" t="s">
        <v>355</v>
      </c>
      <c r="P36820" s="5" t="s">
        <v>355</v>
      </c>
      <c r="Q36820" s="5" t="s">
        <v>355</v>
      </c>
    </row>
    <row r="36821" ht="16.5" customHeight="1">
      <c r="O36821" s="5" t="s">
        <v>355</v>
      </c>
      <c r="P36821" s="5" t="s">
        <v>355</v>
      </c>
      <c r="Q36821" s="5" t="s">
        <v>355</v>
      </c>
    </row>
    <row r="36822" ht="16.5" customHeight="1">
      <c r="O36822" s="5" t="s">
        <v>355</v>
      </c>
      <c r="P36822" s="5" t="s">
        <v>355</v>
      </c>
      <c r="Q36822" s="5" t="s">
        <v>355</v>
      </c>
    </row>
    <row r="36823" ht="16.5" customHeight="1">
      <c r="O36823" s="5" t="s">
        <v>355</v>
      </c>
      <c r="P36823" s="5" t="s">
        <v>355</v>
      </c>
      <c r="Q36823" s="5" t="s">
        <v>355</v>
      </c>
    </row>
    <row r="36824" ht="16.5" customHeight="1">
      <c r="O36824" s="5" t="s">
        <v>355</v>
      </c>
      <c r="P36824" s="5" t="s">
        <v>355</v>
      </c>
      <c r="Q36824" s="5" t="s">
        <v>355</v>
      </c>
    </row>
    <row r="36825" ht="16.5" customHeight="1">
      <c r="O36825" s="5" t="s">
        <v>355</v>
      </c>
      <c r="P36825" s="5" t="s">
        <v>355</v>
      </c>
      <c r="Q36825" s="5" t="s">
        <v>355</v>
      </c>
    </row>
    <row r="36826" ht="16.5" customHeight="1">
      <c r="O36826" s="5" t="s">
        <v>355</v>
      </c>
      <c r="P36826" s="5" t="s">
        <v>355</v>
      </c>
      <c r="Q36826" s="5" t="s">
        <v>355</v>
      </c>
    </row>
    <row r="36827" ht="16.5" customHeight="1">
      <c r="O36827" s="5" t="s">
        <v>355</v>
      </c>
      <c r="P36827" s="5" t="s">
        <v>355</v>
      </c>
      <c r="Q36827" s="5" t="s">
        <v>355</v>
      </c>
    </row>
    <row r="36828" ht="16.5" customHeight="1">
      <c r="O36828" s="5" t="s">
        <v>355</v>
      </c>
      <c r="P36828" s="5" t="s">
        <v>355</v>
      </c>
      <c r="Q36828" s="5" t="s">
        <v>355</v>
      </c>
    </row>
    <row r="36829" ht="16.5" customHeight="1">
      <c r="O36829" s="5" t="s">
        <v>355</v>
      </c>
      <c r="P36829" s="5" t="s">
        <v>355</v>
      </c>
      <c r="Q36829" s="5" t="s">
        <v>355</v>
      </c>
    </row>
    <row r="36830" ht="16.5" customHeight="1">
      <c r="O36830" s="5" t="s">
        <v>355</v>
      </c>
      <c r="P36830" s="5" t="s">
        <v>355</v>
      </c>
      <c r="Q36830" s="5" t="s">
        <v>355</v>
      </c>
    </row>
    <row r="36831" ht="16.5" customHeight="1">
      <c r="O36831" s="5" t="s">
        <v>355</v>
      </c>
      <c r="P36831" s="5" t="s">
        <v>355</v>
      </c>
      <c r="Q36831" s="5" t="s">
        <v>355</v>
      </c>
    </row>
    <row r="36832" ht="16.5" customHeight="1">
      <c r="O36832" s="5" t="s">
        <v>355</v>
      </c>
      <c r="P36832" s="5" t="s">
        <v>355</v>
      </c>
      <c r="Q36832" s="5" t="s">
        <v>355</v>
      </c>
    </row>
    <row r="36833" ht="16.5" customHeight="1">
      <c r="O36833" s="5" t="s">
        <v>355</v>
      </c>
      <c r="P36833" s="5" t="s">
        <v>355</v>
      </c>
      <c r="Q36833" s="5" t="s">
        <v>355</v>
      </c>
    </row>
    <row r="36834" ht="16.5" customHeight="1">
      <c r="O36834" s="5" t="s">
        <v>355</v>
      </c>
      <c r="P36834" s="5" t="s">
        <v>355</v>
      </c>
      <c r="Q36834" s="5" t="s">
        <v>355</v>
      </c>
    </row>
    <row r="36835" ht="16.5" customHeight="1">
      <c r="O36835" s="5" t="s">
        <v>355</v>
      </c>
      <c r="P36835" s="5" t="s">
        <v>355</v>
      </c>
      <c r="Q36835" s="5" t="s">
        <v>355</v>
      </c>
    </row>
    <row r="36836" ht="16.5" customHeight="1">
      <c r="O36836" s="5" t="s">
        <v>355</v>
      </c>
      <c r="P36836" s="5" t="s">
        <v>355</v>
      </c>
      <c r="Q36836" s="5" t="s">
        <v>355</v>
      </c>
    </row>
    <row r="36837" ht="16.5" customHeight="1">
      <c r="O36837" s="5" t="s">
        <v>355</v>
      </c>
      <c r="P36837" s="5" t="s">
        <v>355</v>
      </c>
      <c r="Q36837" s="5" t="s">
        <v>355</v>
      </c>
    </row>
    <row r="36838" ht="16.5" customHeight="1">
      <c r="O36838" s="5" t="s">
        <v>355</v>
      </c>
      <c r="P36838" s="5" t="s">
        <v>355</v>
      </c>
      <c r="Q36838" s="5" t="s">
        <v>355</v>
      </c>
    </row>
    <row r="36839" ht="16.5" customHeight="1">
      <c r="O36839" s="5" t="s">
        <v>355</v>
      </c>
      <c r="P36839" s="5" t="s">
        <v>355</v>
      </c>
      <c r="Q36839" s="5" t="s">
        <v>355</v>
      </c>
    </row>
    <row r="36840" ht="16.5" customHeight="1">
      <c r="O36840" s="5" t="s">
        <v>355</v>
      </c>
      <c r="P36840" s="5" t="s">
        <v>355</v>
      </c>
      <c r="Q36840" s="5" t="s">
        <v>355</v>
      </c>
    </row>
    <row r="36841" ht="16.5" customHeight="1">
      <c r="O36841" s="5" t="s">
        <v>355</v>
      </c>
      <c r="P36841" s="5" t="s">
        <v>355</v>
      </c>
      <c r="Q36841" s="5" t="s">
        <v>355</v>
      </c>
    </row>
    <row r="36842" ht="16.5" customHeight="1">
      <c r="O36842" s="5" t="s">
        <v>355</v>
      </c>
      <c r="P36842" s="5" t="s">
        <v>355</v>
      </c>
      <c r="Q36842" s="5" t="s">
        <v>355</v>
      </c>
    </row>
    <row r="36843" ht="16.5" customHeight="1">
      <c r="O36843" s="5" t="s">
        <v>355</v>
      </c>
      <c r="P36843" s="5" t="s">
        <v>355</v>
      </c>
      <c r="Q36843" s="5" t="s">
        <v>355</v>
      </c>
    </row>
    <row r="36844" ht="16.5" customHeight="1">
      <c r="O36844" s="5" t="s">
        <v>355</v>
      </c>
      <c r="P36844" s="5" t="s">
        <v>355</v>
      </c>
      <c r="Q36844" s="5" t="s">
        <v>355</v>
      </c>
    </row>
    <row r="36845" ht="16.5" customHeight="1">
      <c r="O36845" s="5" t="s">
        <v>355</v>
      </c>
      <c r="P36845" s="5" t="s">
        <v>355</v>
      </c>
      <c r="Q36845" s="5" t="s">
        <v>355</v>
      </c>
    </row>
    <row r="36846" ht="16.5" customHeight="1">
      <c r="O36846" s="5" t="s">
        <v>355</v>
      </c>
      <c r="P36846" s="5" t="s">
        <v>355</v>
      </c>
      <c r="Q36846" s="5" t="s">
        <v>355</v>
      </c>
    </row>
    <row r="36847" ht="16.5" customHeight="1">
      <c r="O36847" s="5" t="s">
        <v>355</v>
      </c>
      <c r="P36847" s="5" t="s">
        <v>355</v>
      </c>
      <c r="Q36847" s="5" t="s">
        <v>355</v>
      </c>
    </row>
    <row r="36848" ht="16.5" customHeight="1">
      <c r="O36848" s="5" t="s">
        <v>355</v>
      </c>
      <c r="P36848" s="5" t="s">
        <v>355</v>
      </c>
      <c r="Q36848" s="5" t="s">
        <v>355</v>
      </c>
    </row>
    <row r="36849" ht="16.5" customHeight="1">
      <c r="O36849" s="5" t="s">
        <v>355</v>
      </c>
      <c r="P36849" s="5" t="s">
        <v>355</v>
      </c>
      <c r="Q36849" s="5" t="s">
        <v>355</v>
      </c>
    </row>
    <row r="36850" ht="16.5" customHeight="1">
      <c r="O36850" s="5" t="s">
        <v>355</v>
      </c>
      <c r="P36850" s="5" t="s">
        <v>355</v>
      </c>
      <c r="Q36850" s="5" t="s">
        <v>355</v>
      </c>
    </row>
    <row r="36851" ht="16.5" customHeight="1">
      <c r="O36851" s="5" t="s">
        <v>355</v>
      </c>
      <c r="P36851" s="5" t="s">
        <v>355</v>
      </c>
      <c r="Q36851" s="5" t="s">
        <v>355</v>
      </c>
    </row>
    <row r="36852" ht="16.5" customHeight="1">
      <c r="O36852" s="5" t="s">
        <v>355</v>
      </c>
      <c r="P36852" s="5" t="s">
        <v>355</v>
      </c>
      <c r="Q36852" s="5" t="s">
        <v>355</v>
      </c>
    </row>
    <row r="36853" ht="16.5" customHeight="1">
      <c r="O36853" s="5" t="s">
        <v>355</v>
      </c>
      <c r="P36853" s="5" t="s">
        <v>355</v>
      </c>
      <c r="Q36853" s="5" t="s">
        <v>355</v>
      </c>
    </row>
    <row r="36854" ht="16.5" customHeight="1">
      <c r="O36854" s="5" t="s">
        <v>355</v>
      </c>
      <c r="P36854" s="5" t="s">
        <v>355</v>
      </c>
      <c r="Q36854" s="5" t="s">
        <v>355</v>
      </c>
    </row>
    <row r="36855" ht="16.5" customHeight="1">
      <c r="O36855" s="5" t="s">
        <v>355</v>
      </c>
      <c r="P36855" s="5" t="s">
        <v>355</v>
      </c>
      <c r="Q36855" s="5" t="s">
        <v>355</v>
      </c>
    </row>
    <row r="36856" ht="16.5" customHeight="1">
      <c r="O36856" s="5" t="s">
        <v>355</v>
      </c>
      <c r="P36856" s="5" t="s">
        <v>355</v>
      </c>
      <c r="Q36856" s="5" t="s">
        <v>355</v>
      </c>
    </row>
    <row r="36857" ht="16.5" customHeight="1">
      <c r="O36857" s="5" t="s">
        <v>355</v>
      </c>
      <c r="P36857" s="5" t="s">
        <v>355</v>
      </c>
      <c r="Q36857" s="5" t="s">
        <v>355</v>
      </c>
    </row>
    <row r="36858" ht="16.5" customHeight="1">
      <c r="O36858" s="5" t="s">
        <v>355</v>
      </c>
      <c r="P36858" s="5" t="s">
        <v>355</v>
      </c>
      <c r="Q36858" s="5" t="s">
        <v>355</v>
      </c>
    </row>
    <row r="36859" ht="16.5" customHeight="1">
      <c r="O36859" s="5" t="s">
        <v>355</v>
      </c>
      <c r="P36859" s="5" t="s">
        <v>355</v>
      </c>
      <c r="Q36859" s="5" t="s">
        <v>355</v>
      </c>
    </row>
    <row r="36860" ht="16.5" customHeight="1">
      <c r="O36860" s="5" t="s">
        <v>355</v>
      </c>
      <c r="P36860" s="5" t="s">
        <v>355</v>
      </c>
      <c r="Q36860" s="5" t="s">
        <v>355</v>
      </c>
    </row>
    <row r="36861" ht="16.5" customHeight="1">
      <c r="O36861" s="5" t="s">
        <v>355</v>
      </c>
      <c r="P36861" s="5" t="s">
        <v>355</v>
      </c>
      <c r="Q36861" s="5" t="s">
        <v>355</v>
      </c>
    </row>
    <row r="36862" ht="16.5" customHeight="1">
      <c r="O36862" s="5" t="s">
        <v>355</v>
      </c>
      <c r="P36862" s="5" t="s">
        <v>355</v>
      </c>
      <c r="Q36862" s="5" t="s">
        <v>355</v>
      </c>
    </row>
    <row r="36863" ht="16.5" customHeight="1">
      <c r="O36863" s="5" t="s">
        <v>355</v>
      </c>
      <c r="P36863" s="5" t="s">
        <v>355</v>
      </c>
      <c r="Q36863" s="5" t="s">
        <v>355</v>
      </c>
    </row>
    <row r="36864" ht="16.5" customHeight="1">
      <c r="O36864" s="5" t="s">
        <v>355</v>
      </c>
      <c r="P36864" s="5" t="s">
        <v>355</v>
      </c>
      <c r="Q36864" s="5" t="s">
        <v>355</v>
      </c>
    </row>
    <row r="36865" ht="16.5" customHeight="1">
      <c r="O36865" s="5" t="s">
        <v>355</v>
      </c>
      <c r="P36865" s="5" t="s">
        <v>355</v>
      </c>
      <c r="Q36865" s="5" t="s">
        <v>355</v>
      </c>
    </row>
    <row r="36866" ht="16.5" customHeight="1">
      <c r="O36866" s="5" t="s">
        <v>355</v>
      </c>
      <c r="P36866" s="5" t="s">
        <v>355</v>
      </c>
      <c r="Q36866" s="5" t="s">
        <v>355</v>
      </c>
    </row>
    <row r="36867" ht="16.5" customHeight="1">
      <c r="O36867" s="5" t="s">
        <v>355</v>
      </c>
      <c r="P36867" s="5" t="s">
        <v>355</v>
      </c>
      <c r="Q36867" s="5" t="s">
        <v>355</v>
      </c>
    </row>
    <row r="36868" ht="16.5" customHeight="1">
      <c r="O36868" s="5" t="s">
        <v>355</v>
      </c>
      <c r="P36868" s="5" t="s">
        <v>355</v>
      </c>
      <c r="Q36868" s="5" t="s">
        <v>355</v>
      </c>
    </row>
    <row r="36869" ht="16.5" customHeight="1">
      <c r="O36869" s="5" t="s">
        <v>355</v>
      </c>
      <c r="P36869" s="5" t="s">
        <v>355</v>
      </c>
      <c r="Q36869" s="5" t="s">
        <v>355</v>
      </c>
    </row>
    <row r="36870" ht="16.5" customHeight="1">
      <c r="O36870" s="5" t="s">
        <v>355</v>
      </c>
      <c r="P36870" s="5" t="s">
        <v>355</v>
      </c>
      <c r="Q36870" s="5" t="s">
        <v>355</v>
      </c>
    </row>
    <row r="36871" ht="16.5" customHeight="1">
      <c r="O36871" s="5" t="s">
        <v>355</v>
      </c>
      <c r="P36871" s="5" t="s">
        <v>355</v>
      </c>
      <c r="Q36871" s="5" t="s">
        <v>355</v>
      </c>
    </row>
    <row r="36872" ht="16.5" customHeight="1">
      <c r="O36872" s="5" t="s">
        <v>355</v>
      </c>
      <c r="P36872" s="5" t="s">
        <v>355</v>
      </c>
      <c r="Q36872" s="5" t="s">
        <v>355</v>
      </c>
    </row>
    <row r="36873" ht="16.5" customHeight="1">
      <c r="O36873" s="5" t="s">
        <v>355</v>
      </c>
      <c r="P36873" s="5" t="s">
        <v>355</v>
      </c>
      <c r="Q36873" s="5" t="s">
        <v>355</v>
      </c>
    </row>
    <row r="36874" ht="16.5" customHeight="1">
      <c r="O36874" s="5" t="s">
        <v>355</v>
      </c>
      <c r="P36874" s="5" t="s">
        <v>355</v>
      </c>
      <c r="Q36874" s="5" t="s">
        <v>355</v>
      </c>
    </row>
    <row r="36875" ht="16.5" customHeight="1">
      <c r="O36875" s="5" t="s">
        <v>355</v>
      </c>
      <c r="P36875" s="5" t="s">
        <v>355</v>
      </c>
      <c r="Q36875" s="5" t="s">
        <v>355</v>
      </c>
    </row>
    <row r="36876" ht="16.5" customHeight="1">
      <c r="O36876" s="5" t="s">
        <v>355</v>
      </c>
      <c r="P36876" s="5" t="s">
        <v>355</v>
      </c>
      <c r="Q36876" s="5" t="s">
        <v>355</v>
      </c>
    </row>
    <row r="36877" ht="16.5" customHeight="1">
      <c r="O36877" s="5" t="s">
        <v>355</v>
      </c>
      <c r="P36877" s="5" t="s">
        <v>355</v>
      </c>
      <c r="Q36877" s="5" t="s">
        <v>355</v>
      </c>
    </row>
    <row r="36878" ht="16.5" customHeight="1">
      <c r="O36878" s="5" t="s">
        <v>355</v>
      </c>
      <c r="P36878" s="5" t="s">
        <v>355</v>
      </c>
      <c r="Q36878" s="5" t="s">
        <v>355</v>
      </c>
    </row>
    <row r="36879" ht="16.5" customHeight="1">
      <c r="O36879" s="5" t="s">
        <v>355</v>
      </c>
      <c r="P36879" s="5" t="s">
        <v>355</v>
      </c>
      <c r="Q36879" s="5" t="s">
        <v>355</v>
      </c>
    </row>
    <row r="36880" ht="16.5" customHeight="1">
      <c r="O36880" s="5" t="s">
        <v>355</v>
      </c>
      <c r="P36880" s="5" t="s">
        <v>355</v>
      </c>
      <c r="Q36880" s="5" t="s">
        <v>355</v>
      </c>
    </row>
    <row r="36881" ht="16.5" customHeight="1">
      <c r="O36881" s="5" t="s">
        <v>355</v>
      </c>
      <c r="P36881" s="5" t="s">
        <v>355</v>
      </c>
      <c r="Q36881" s="5" t="s">
        <v>355</v>
      </c>
    </row>
    <row r="36882" ht="16.5" customHeight="1">
      <c r="O36882" s="5" t="s">
        <v>355</v>
      </c>
      <c r="P36882" s="5" t="s">
        <v>355</v>
      </c>
      <c r="Q36882" s="5" t="s">
        <v>355</v>
      </c>
    </row>
    <row r="36883" ht="16.5" customHeight="1">
      <c r="O36883" s="5" t="s">
        <v>355</v>
      </c>
      <c r="P36883" s="5" t="s">
        <v>355</v>
      </c>
      <c r="Q36883" s="5" t="s">
        <v>355</v>
      </c>
    </row>
    <row r="36884" ht="16.5" customHeight="1">
      <c r="O36884" s="5" t="s">
        <v>355</v>
      </c>
      <c r="P36884" s="5" t="s">
        <v>355</v>
      </c>
      <c r="Q36884" s="5" t="s">
        <v>355</v>
      </c>
    </row>
    <row r="36885" ht="16.5" customHeight="1">
      <c r="O36885" s="5" t="s">
        <v>355</v>
      </c>
      <c r="P36885" s="5" t="s">
        <v>355</v>
      </c>
      <c r="Q36885" s="5" t="s">
        <v>355</v>
      </c>
    </row>
    <row r="36886" ht="16.5" customHeight="1">
      <c r="O36886" s="5" t="s">
        <v>355</v>
      </c>
      <c r="P36886" s="5" t="s">
        <v>355</v>
      </c>
      <c r="Q36886" s="5" t="s">
        <v>355</v>
      </c>
    </row>
    <row r="36887" ht="16.5" customHeight="1">
      <c r="O36887" s="5" t="s">
        <v>355</v>
      </c>
      <c r="P36887" s="5" t="s">
        <v>355</v>
      </c>
      <c r="Q36887" s="5" t="s">
        <v>355</v>
      </c>
    </row>
    <row r="36888" ht="16.5" customHeight="1">
      <c r="O36888" s="5" t="s">
        <v>355</v>
      </c>
      <c r="P36888" s="5" t="s">
        <v>355</v>
      </c>
      <c r="Q36888" s="5" t="s">
        <v>355</v>
      </c>
    </row>
    <row r="36889" ht="16.5" customHeight="1">
      <c r="O36889" s="5" t="s">
        <v>355</v>
      </c>
      <c r="P36889" s="5" t="s">
        <v>355</v>
      </c>
      <c r="Q36889" s="5" t="s">
        <v>355</v>
      </c>
    </row>
    <row r="36890" ht="16.5" customHeight="1">
      <c r="O36890" s="5" t="s">
        <v>355</v>
      </c>
      <c r="P36890" s="5" t="s">
        <v>355</v>
      </c>
      <c r="Q36890" s="5" t="s">
        <v>355</v>
      </c>
    </row>
    <row r="36891" ht="16.5" customHeight="1">
      <c r="O36891" s="5" t="s">
        <v>355</v>
      </c>
      <c r="P36891" s="5" t="s">
        <v>355</v>
      </c>
      <c r="Q36891" s="5" t="s">
        <v>355</v>
      </c>
    </row>
    <row r="36892" ht="16.5" customHeight="1">
      <c r="O36892" s="5" t="s">
        <v>355</v>
      </c>
      <c r="P36892" s="5" t="s">
        <v>355</v>
      </c>
      <c r="Q36892" s="5" t="s">
        <v>355</v>
      </c>
    </row>
    <row r="36893" ht="16.5" customHeight="1">
      <c r="O36893" s="5" t="s">
        <v>355</v>
      </c>
      <c r="P36893" s="5" t="s">
        <v>355</v>
      </c>
      <c r="Q36893" s="5" t="s">
        <v>355</v>
      </c>
    </row>
    <row r="36894" ht="16.5" customHeight="1">
      <c r="O36894" s="5" t="s">
        <v>355</v>
      </c>
      <c r="P36894" s="5" t="s">
        <v>355</v>
      </c>
      <c r="Q36894" s="5" t="s">
        <v>355</v>
      </c>
    </row>
    <row r="36895" ht="16.5" customHeight="1">
      <c r="O36895" s="5" t="s">
        <v>355</v>
      </c>
      <c r="P36895" s="5" t="s">
        <v>355</v>
      </c>
      <c r="Q36895" s="5" t="s">
        <v>355</v>
      </c>
    </row>
    <row r="36896" ht="16.5" customHeight="1">
      <c r="O36896" s="5" t="s">
        <v>355</v>
      </c>
      <c r="P36896" s="5" t="s">
        <v>355</v>
      </c>
      <c r="Q36896" s="5" t="s">
        <v>355</v>
      </c>
    </row>
    <row r="36897" ht="16.5" customHeight="1">
      <c r="O36897" s="5" t="s">
        <v>355</v>
      </c>
      <c r="P36897" s="5" t="s">
        <v>355</v>
      </c>
      <c r="Q36897" s="5" t="s">
        <v>355</v>
      </c>
    </row>
    <row r="36898" ht="16.5" customHeight="1">
      <c r="O36898" s="5" t="s">
        <v>355</v>
      </c>
      <c r="P36898" s="5" t="s">
        <v>355</v>
      </c>
      <c r="Q36898" s="5" t="s">
        <v>355</v>
      </c>
    </row>
    <row r="36899" ht="16.5" customHeight="1">
      <c r="O36899" s="5" t="s">
        <v>355</v>
      </c>
      <c r="P36899" s="5" t="s">
        <v>355</v>
      </c>
      <c r="Q36899" s="5" t="s">
        <v>355</v>
      </c>
    </row>
    <row r="36900" ht="16.5" customHeight="1">
      <c r="O36900" s="5" t="s">
        <v>355</v>
      </c>
      <c r="P36900" s="5" t="s">
        <v>355</v>
      </c>
      <c r="Q36900" s="5" t="s">
        <v>355</v>
      </c>
    </row>
    <row r="36901" ht="16.5" customHeight="1">
      <c r="O36901" s="5" t="s">
        <v>355</v>
      </c>
      <c r="P36901" s="5" t="s">
        <v>355</v>
      </c>
      <c r="Q36901" s="5" t="s">
        <v>355</v>
      </c>
    </row>
    <row r="36902" ht="16.5" customHeight="1">
      <c r="O36902" s="5" t="s">
        <v>355</v>
      </c>
      <c r="P36902" s="5" t="s">
        <v>355</v>
      </c>
      <c r="Q36902" s="5" t="s">
        <v>355</v>
      </c>
    </row>
    <row r="36903" ht="16.5" customHeight="1">
      <c r="O36903" s="5" t="s">
        <v>355</v>
      </c>
      <c r="P36903" s="5" t="s">
        <v>355</v>
      </c>
      <c r="Q36903" s="5" t="s">
        <v>355</v>
      </c>
    </row>
    <row r="36904" ht="16.5" customHeight="1">
      <c r="O36904" s="5" t="s">
        <v>355</v>
      </c>
      <c r="P36904" s="5" t="s">
        <v>355</v>
      </c>
      <c r="Q36904" s="5" t="s">
        <v>355</v>
      </c>
    </row>
    <row r="36905" ht="16.5" customHeight="1">
      <c r="O36905" s="5" t="s">
        <v>355</v>
      </c>
      <c r="P36905" s="5" t="s">
        <v>355</v>
      </c>
      <c r="Q36905" s="5" t="s">
        <v>355</v>
      </c>
    </row>
    <row r="36906" ht="16.5" customHeight="1">
      <c r="O36906" s="5" t="s">
        <v>355</v>
      </c>
      <c r="P36906" s="5" t="s">
        <v>355</v>
      </c>
      <c r="Q36906" s="5" t="s">
        <v>355</v>
      </c>
    </row>
    <row r="36907" ht="16.5" customHeight="1">
      <c r="O36907" s="5" t="s">
        <v>355</v>
      </c>
      <c r="P36907" s="5" t="s">
        <v>355</v>
      </c>
      <c r="Q36907" s="5" t="s">
        <v>355</v>
      </c>
    </row>
    <row r="36908" ht="16.5" customHeight="1">
      <c r="O36908" s="5" t="s">
        <v>355</v>
      </c>
      <c r="P36908" s="5" t="s">
        <v>355</v>
      </c>
      <c r="Q36908" s="5" t="s">
        <v>355</v>
      </c>
    </row>
    <row r="36909" ht="16.5" customHeight="1">
      <c r="O36909" s="5" t="s">
        <v>355</v>
      </c>
      <c r="P36909" s="5" t="s">
        <v>355</v>
      </c>
      <c r="Q36909" s="5" t="s">
        <v>355</v>
      </c>
    </row>
    <row r="36910" ht="16.5" customHeight="1">
      <c r="O36910" s="5" t="s">
        <v>355</v>
      </c>
      <c r="P36910" s="5" t="s">
        <v>355</v>
      </c>
      <c r="Q36910" s="5" t="s">
        <v>355</v>
      </c>
    </row>
    <row r="36911" ht="16.5" customHeight="1">
      <c r="O36911" s="5" t="s">
        <v>355</v>
      </c>
      <c r="P36911" s="5" t="s">
        <v>355</v>
      </c>
      <c r="Q36911" s="5" t="s">
        <v>355</v>
      </c>
    </row>
    <row r="36912" ht="16.5" customHeight="1">
      <c r="O36912" s="5" t="s">
        <v>355</v>
      </c>
      <c r="P36912" s="5" t="s">
        <v>355</v>
      </c>
      <c r="Q36912" s="5" t="s">
        <v>355</v>
      </c>
    </row>
    <row r="36913" ht="16.5" customHeight="1">
      <c r="O36913" s="5" t="s">
        <v>355</v>
      </c>
      <c r="P36913" s="5" t="s">
        <v>355</v>
      </c>
      <c r="Q36913" s="5" t="s">
        <v>355</v>
      </c>
    </row>
    <row r="36914" ht="16.5" customHeight="1">
      <c r="O36914" s="5" t="s">
        <v>355</v>
      </c>
      <c r="P36914" s="5" t="s">
        <v>355</v>
      </c>
      <c r="Q36914" s="5" t="s">
        <v>355</v>
      </c>
    </row>
    <row r="36915" ht="16.5" customHeight="1">
      <c r="O36915" s="5" t="s">
        <v>355</v>
      </c>
      <c r="P36915" s="5" t="s">
        <v>355</v>
      </c>
      <c r="Q36915" s="5" t="s">
        <v>355</v>
      </c>
    </row>
    <row r="36916" ht="16.5" customHeight="1">
      <c r="O36916" s="5" t="s">
        <v>355</v>
      </c>
      <c r="P36916" s="5" t="s">
        <v>355</v>
      </c>
      <c r="Q36916" s="5" t="s">
        <v>355</v>
      </c>
    </row>
    <row r="36917" ht="16.5" customHeight="1">
      <c r="O36917" s="5" t="s">
        <v>355</v>
      </c>
      <c r="P36917" s="5" t="s">
        <v>355</v>
      </c>
      <c r="Q36917" s="5" t="s">
        <v>355</v>
      </c>
    </row>
    <row r="36918" ht="16.5" customHeight="1">
      <c r="O36918" s="5" t="s">
        <v>355</v>
      </c>
      <c r="P36918" s="5" t="s">
        <v>355</v>
      </c>
      <c r="Q36918" s="5" t="s">
        <v>355</v>
      </c>
    </row>
    <row r="36919" ht="16.5" customHeight="1">
      <c r="O36919" s="5" t="s">
        <v>355</v>
      </c>
      <c r="P36919" s="5" t="s">
        <v>355</v>
      </c>
      <c r="Q36919" s="5" t="s">
        <v>355</v>
      </c>
    </row>
    <row r="36920" ht="16.5" customHeight="1">
      <c r="O36920" s="5" t="s">
        <v>355</v>
      </c>
      <c r="P36920" s="5" t="s">
        <v>355</v>
      </c>
      <c r="Q36920" s="5" t="s">
        <v>355</v>
      </c>
    </row>
    <row r="36921" ht="16.5" customHeight="1">
      <c r="O36921" s="5" t="s">
        <v>355</v>
      </c>
      <c r="P36921" s="5" t="s">
        <v>355</v>
      </c>
      <c r="Q36921" s="5" t="s">
        <v>355</v>
      </c>
    </row>
    <row r="36922" ht="16.5" customHeight="1">
      <c r="O36922" s="5" t="s">
        <v>355</v>
      </c>
      <c r="P36922" s="5" t="s">
        <v>355</v>
      </c>
      <c r="Q36922" s="5" t="s">
        <v>355</v>
      </c>
    </row>
    <row r="36923" ht="16.5" customHeight="1">
      <c r="O36923" s="5" t="s">
        <v>355</v>
      </c>
      <c r="P36923" s="5" t="s">
        <v>355</v>
      </c>
      <c r="Q36923" s="5" t="s">
        <v>355</v>
      </c>
    </row>
    <row r="36924" ht="16.5" customHeight="1">
      <c r="O36924" s="5" t="s">
        <v>355</v>
      </c>
      <c r="P36924" s="5" t="s">
        <v>355</v>
      </c>
      <c r="Q36924" s="5" t="s">
        <v>355</v>
      </c>
    </row>
    <row r="36925" ht="16.5" customHeight="1">
      <c r="O36925" s="5" t="s">
        <v>355</v>
      </c>
      <c r="P36925" s="5" t="s">
        <v>355</v>
      </c>
      <c r="Q36925" s="5" t="s">
        <v>355</v>
      </c>
    </row>
    <row r="36926" ht="16.5" customHeight="1">
      <c r="O36926" s="5" t="s">
        <v>355</v>
      </c>
      <c r="P36926" s="5" t="s">
        <v>355</v>
      </c>
      <c r="Q36926" s="5" t="s">
        <v>355</v>
      </c>
    </row>
    <row r="36927" ht="16.5" customHeight="1">
      <c r="O36927" s="5" t="s">
        <v>355</v>
      </c>
      <c r="P36927" s="5" t="s">
        <v>355</v>
      </c>
      <c r="Q36927" s="5" t="s">
        <v>355</v>
      </c>
    </row>
    <row r="36928" ht="16.5" customHeight="1">
      <c r="O36928" s="5" t="s">
        <v>355</v>
      </c>
      <c r="P36928" s="5" t="s">
        <v>355</v>
      </c>
      <c r="Q36928" s="5" t="s">
        <v>355</v>
      </c>
    </row>
    <row r="36929" ht="16.5" customHeight="1">
      <c r="O36929" s="5" t="s">
        <v>355</v>
      </c>
      <c r="P36929" s="5" t="s">
        <v>355</v>
      </c>
      <c r="Q36929" s="5" t="s">
        <v>355</v>
      </c>
    </row>
    <row r="36930" ht="16.5" customHeight="1">
      <c r="O36930" s="5" t="s">
        <v>355</v>
      </c>
      <c r="P36930" s="5" t="s">
        <v>355</v>
      </c>
      <c r="Q36930" s="5" t="s">
        <v>355</v>
      </c>
    </row>
    <row r="36931" ht="16.5" customHeight="1">
      <c r="O36931" s="5" t="s">
        <v>355</v>
      </c>
      <c r="P36931" s="5" t="s">
        <v>355</v>
      </c>
      <c r="Q36931" s="5" t="s">
        <v>355</v>
      </c>
    </row>
    <row r="36932" ht="16.5" customHeight="1">
      <c r="O36932" s="5" t="s">
        <v>355</v>
      </c>
      <c r="P36932" s="5" t="s">
        <v>355</v>
      </c>
      <c r="Q36932" s="5" t="s">
        <v>355</v>
      </c>
    </row>
    <row r="36933" ht="16.5" customHeight="1">
      <c r="O36933" s="5" t="s">
        <v>355</v>
      </c>
      <c r="P36933" s="5" t="s">
        <v>355</v>
      </c>
      <c r="Q36933" s="5" t="s">
        <v>355</v>
      </c>
    </row>
    <row r="36934" ht="16.5" customHeight="1">
      <c r="O36934" s="5" t="s">
        <v>355</v>
      </c>
      <c r="P36934" s="5" t="s">
        <v>355</v>
      </c>
      <c r="Q36934" s="5" t="s">
        <v>355</v>
      </c>
    </row>
    <row r="36935" ht="16.5" customHeight="1">
      <c r="O36935" s="5" t="s">
        <v>355</v>
      </c>
      <c r="P36935" s="5" t="s">
        <v>355</v>
      </c>
      <c r="Q36935" s="5" t="s">
        <v>355</v>
      </c>
    </row>
    <row r="36936" ht="16.5" customHeight="1">
      <c r="O36936" s="5" t="s">
        <v>355</v>
      </c>
      <c r="P36936" s="5" t="s">
        <v>355</v>
      </c>
      <c r="Q36936" s="5" t="s">
        <v>355</v>
      </c>
    </row>
    <row r="36937" ht="16.5" customHeight="1">
      <c r="O36937" s="5" t="s">
        <v>355</v>
      </c>
      <c r="P36937" s="5" t="s">
        <v>355</v>
      </c>
      <c r="Q36937" s="5" t="s">
        <v>355</v>
      </c>
    </row>
    <row r="36938" ht="16.5" customHeight="1">
      <c r="O36938" s="5" t="s">
        <v>355</v>
      </c>
      <c r="P36938" s="5" t="s">
        <v>355</v>
      </c>
      <c r="Q36938" s="5" t="s">
        <v>355</v>
      </c>
    </row>
    <row r="36939" ht="16.5" customHeight="1">
      <c r="O36939" s="5" t="s">
        <v>355</v>
      </c>
      <c r="P36939" s="5" t="s">
        <v>355</v>
      </c>
      <c r="Q36939" s="5" t="s">
        <v>355</v>
      </c>
    </row>
    <row r="36940" ht="16.5" customHeight="1">
      <c r="O36940" s="5" t="s">
        <v>355</v>
      </c>
      <c r="P36940" s="5" t="s">
        <v>355</v>
      </c>
      <c r="Q36940" s="5" t="s">
        <v>355</v>
      </c>
    </row>
    <row r="36941" ht="16.5" customHeight="1">
      <c r="O36941" s="5" t="s">
        <v>355</v>
      </c>
      <c r="P36941" s="5" t="s">
        <v>355</v>
      </c>
      <c r="Q36941" s="5" t="s">
        <v>355</v>
      </c>
    </row>
    <row r="36942" ht="16.5" customHeight="1">
      <c r="O36942" s="5" t="s">
        <v>355</v>
      </c>
      <c r="P36942" s="5" t="s">
        <v>355</v>
      </c>
      <c r="Q36942" s="5" t="s">
        <v>355</v>
      </c>
    </row>
    <row r="36943" ht="16.5" customHeight="1">
      <c r="O36943" s="5" t="s">
        <v>355</v>
      </c>
      <c r="P36943" s="5" t="s">
        <v>355</v>
      </c>
      <c r="Q36943" s="5" t="s">
        <v>355</v>
      </c>
    </row>
    <row r="36944" ht="16.5" customHeight="1">
      <c r="O36944" s="5" t="s">
        <v>355</v>
      </c>
      <c r="P36944" s="5" t="s">
        <v>355</v>
      </c>
      <c r="Q36944" s="5" t="s">
        <v>355</v>
      </c>
    </row>
    <row r="36945" ht="16.5" customHeight="1">
      <c r="O36945" s="5" t="s">
        <v>355</v>
      </c>
      <c r="P36945" s="5" t="s">
        <v>355</v>
      </c>
      <c r="Q36945" s="5" t="s">
        <v>355</v>
      </c>
    </row>
    <row r="36946" ht="16.5" customHeight="1">
      <c r="O36946" s="5" t="s">
        <v>355</v>
      </c>
      <c r="P36946" s="5" t="s">
        <v>355</v>
      </c>
      <c r="Q36946" s="5" t="s">
        <v>355</v>
      </c>
    </row>
    <row r="36947" ht="16.5" customHeight="1">
      <c r="O36947" s="5" t="s">
        <v>355</v>
      </c>
      <c r="P36947" s="5" t="s">
        <v>355</v>
      </c>
      <c r="Q36947" s="5" t="s">
        <v>355</v>
      </c>
    </row>
    <row r="36948" ht="16.5" customHeight="1">
      <c r="O36948" s="5" t="s">
        <v>355</v>
      </c>
      <c r="P36948" s="5" t="s">
        <v>355</v>
      </c>
      <c r="Q36948" s="5" t="s">
        <v>355</v>
      </c>
    </row>
    <row r="36949" ht="16.5" customHeight="1">
      <c r="O36949" s="5" t="s">
        <v>355</v>
      </c>
      <c r="P36949" s="5" t="s">
        <v>355</v>
      </c>
      <c r="Q36949" s="5" t="s">
        <v>355</v>
      </c>
    </row>
    <row r="36950" ht="16.5" customHeight="1">
      <c r="O36950" s="5" t="s">
        <v>355</v>
      </c>
      <c r="P36950" s="5" t="s">
        <v>355</v>
      </c>
      <c r="Q36950" s="5" t="s">
        <v>355</v>
      </c>
    </row>
    <row r="36951" ht="16.5" customHeight="1">
      <c r="O36951" s="5" t="s">
        <v>355</v>
      </c>
      <c r="P36951" s="5" t="s">
        <v>355</v>
      </c>
      <c r="Q36951" s="5" t="s">
        <v>355</v>
      </c>
    </row>
    <row r="36952" ht="16.5" customHeight="1">
      <c r="O36952" s="5" t="s">
        <v>355</v>
      </c>
      <c r="P36952" s="5" t="s">
        <v>355</v>
      </c>
      <c r="Q36952" s="5" t="s">
        <v>355</v>
      </c>
    </row>
    <row r="36953" ht="16.5" customHeight="1">
      <c r="O36953" s="5" t="s">
        <v>355</v>
      </c>
      <c r="P36953" s="5" t="s">
        <v>355</v>
      </c>
      <c r="Q36953" s="5" t="s">
        <v>355</v>
      </c>
    </row>
    <row r="36954" ht="16.5" customHeight="1">
      <c r="O36954" s="5" t="s">
        <v>355</v>
      </c>
      <c r="P36954" s="5" t="s">
        <v>355</v>
      </c>
      <c r="Q36954" s="5" t="s">
        <v>355</v>
      </c>
    </row>
    <row r="36955" ht="16.5" customHeight="1">
      <c r="O36955" s="5" t="s">
        <v>355</v>
      </c>
      <c r="P36955" s="5" t="s">
        <v>355</v>
      </c>
      <c r="Q36955" s="5" t="s">
        <v>355</v>
      </c>
    </row>
    <row r="36956" ht="16.5" customHeight="1">
      <c r="O36956" s="5" t="s">
        <v>355</v>
      </c>
      <c r="P36956" s="5" t="s">
        <v>355</v>
      </c>
      <c r="Q36956" s="5" t="s">
        <v>355</v>
      </c>
    </row>
    <row r="36957" ht="16.5" customHeight="1">
      <c r="O36957" s="5" t="s">
        <v>355</v>
      </c>
      <c r="P36957" s="5" t="s">
        <v>355</v>
      </c>
      <c r="Q36957" s="5" t="s">
        <v>355</v>
      </c>
    </row>
    <row r="36958" ht="16.5" customHeight="1">
      <c r="O36958" s="5" t="s">
        <v>355</v>
      </c>
      <c r="P36958" s="5" t="s">
        <v>355</v>
      </c>
      <c r="Q36958" s="5" t="s">
        <v>355</v>
      </c>
    </row>
    <row r="36959" ht="16.5" customHeight="1">
      <c r="O36959" s="5" t="s">
        <v>355</v>
      </c>
      <c r="P36959" s="5" t="s">
        <v>355</v>
      </c>
      <c r="Q36959" s="5" t="s">
        <v>355</v>
      </c>
    </row>
    <row r="36960" ht="16.5" customHeight="1">
      <c r="O36960" s="5" t="s">
        <v>355</v>
      </c>
      <c r="P36960" s="5" t="s">
        <v>355</v>
      </c>
      <c r="Q36960" s="5" t="s">
        <v>355</v>
      </c>
    </row>
    <row r="36961" ht="16.5" customHeight="1">
      <c r="O36961" s="5" t="s">
        <v>355</v>
      </c>
      <c r="P36961" s="5" t="s">
        <v>355</v>
      </c>
      <c r="Q36961" s="5" t="s">
        <v>355</v>
      </c>
    </row>
    <row r="36962" ht="16.5" customHeight="1">
      <c r="O36962" s="5" t="s">
        <v>355</v>
      </c>
      <c r="P36962" s="5" t="s">
        <v>355</v>
      </c>
      <c r="Q36962" s="5" t="s">
        <v>355</v>
      </c>
    </row>
    <row r="36963" ht="16.5" customHeight="1">
      <c r="O36963" s="5" t="s">
        <v>355</v>
      </c>
      <c r="P36963" s="5" t="s">
        <v>355</v>
      </c>
      <c r="Q36963" s="5" t="s">
        <v>355</v>
      </c>
    </row>
    <row r="36964" ht="16.5" customHeight="1">
      <c r="O36964" s="5" t="s">
        <v>355</v>
      </c>
      <c r="P36964" s="5" t="s">
        <v>355</v>
      </c>
      <c r="Q36964" s="5" t="s">
        <v>355</v>
      </c>
    </row>
    <row r="36965" ht="16.5" customHeight="1">
      <c r="O36965" s="5" t="s">
        <v>355</v>
      </c>
      <c r="P36965" s="5" t="s">
        <v>355</v>
      </c>
      <c r="Q36965" s="5" t="s">
        <v>355</v>
      </c>
    </row>
    <row r="36966" ht="16.5" customHeight="1">
      <c r="O36966" s="5" t="s">
        <v>355</v>
      </c>
      <c r="P36966" s="5" t="s">
        <v>355</v>
      </c>
      <c r="Q36966" s="5" t="s">
        <v>355</v>
      </c>
    </row>
    <row r="36967" ht="16.5" customHeight="1">
      <c r="O36967" s="5" t="s">
        <v>355</v>
      </c>
      <c r="P36967" s="5" t="s">
        <v>355</v>
      </c>
      <c r="Q36967" s="5" t="s">
        <v>355</v>
      </c>
    </row>
    <row r="36968" ht="16.5" customHeight="1">
      <c r="O36968" s="5" t="s">
        <v>355</v>
      </c>
      <c r="P36968" s="5" t="s">
        <v>355</v>
      </c>
      <c r="Q36968" s="5" t="s">
        <v>355</v>
      </c>
    </row>
    <row r="36969" ht="16.5" customHeight="1">
      <c r="O36969" s="5" t="s">
        <v>355</v>
      </c>
      <c r="P36969" s="5" t="s">
        <v>355</v>
      </c>
      <c r="Q36969" s="5" t="s">
        <v>355</v>
      </c>
    </row>
    <row r="36970" ht="16.5" customHeight="1">
      <c r="O36970" s="5" t="s">
        <v>355</v>
      </c>
      <c r="P36970" s="5" t="s">
        <v>355</v>
      </c>
      <c r="Q36970" s="5" t="s">
        <v>355</v>
      </c>
    </row>
    <row r="36971" ht="16.5" customHeight="1">
      <c r="O36971" s="5" t="s">
        <v>355</v>
      </c>
      <c r="P36971" s="5" t="s">
        <v>355</v>
      </c>
      <c r="Q36971" s="5" t="s">
        <v>355</v>
      </c>
    </row>
    <row r="36972" ht="16.5" customHeight="1">
      <c r="O36972" s="5" t="s">
        <v>355</v>
      </c>
      <c r="P36972" s="5" t="s">
        <v>355</v>
      </c>
      <c r="Q36972" s="5" t="s">
        <v>355</v>
      </c>
    </row>
    <row r="36973" ht="16.5" customHeight="1">
      <c r="O36973" s="5" t="s">
        <v>355</v>
      </c>
      <c r="P36973" s="5" t="s">
        <v>355</v>
      </c>
      <c r="Q36973" s="5" t="s">
        <v>355</v>
      </c>
    </row>
    <row r="36974" ht="16.5" customHeight="1">
      <c r="O36974" s="5" t="s">
        <v>355</v>
      </c>
      <c r="P36974" s="5" t="s">
        <v>355</v>
      </c>
      <c r="Q36974" s="5" t="s">
        <v>355</v>
      </c>
    </row>
    <row r="36975" ht="16.5" customHeight="1">
      <c r="O36975" s="5" t="s">
        <v>355</v>
      </c>
      <c r="P36975" s="5" t="s">
        <v>355</v>
      </c>
      <c r="Q36975" s="5" t="s">
        <v>355</v>
      </c>
    </row>
    <row r="36976" ht="16.5" customHeight="1">
      <c r="O36976" s="5" t="s">
        <v>355</v>
      </c>
      <c r="P36976" s="5" t="s">
        <v>355</v>
      </c>
      <c r="Q36976" s="5" t="s">
        <v>355</v>
      </c>
    </row>
    <row r="36977" ht="16.5" customHeight="1">
      <c r="O36977" s="5" t="s">
        <v>355</v>
      </c>
      <c r="P36977" s="5" t="s">
        <v>355</v>
      </c>
      <c r="Q36977" s="5" t="s">
        <v>355</v>
      </c>
    </row>
    <row r="36978" ht="16.5" customHeight="1">
      <c r="O36978" s="5" t="s">
        <v>355</v>
      </c>
      <c r="P36978" s="5" t="s">
        <v>355</v>
      </c>
      <c r="Q36978" s="5" t="s">
        <v>355</v>
      </c>
    </row>
    <row r="36979" ht="16.5" customHeight="1">
      <c r="O36979" s="5" t="s">
        <v>355</v>
      </c>
      <c r="P36979" s="5" t="s">
        <v>355</v>
      </c>
      <c r="Q36979" s="5" t="s">
        <v>355</v>
      </c>
    </row>
    <row r="36980" ht="16.5" customHeight="1">
      <c r="O36980" s="5" t="s">
        <v>355</v>
      </c>
      <c r="P36980" s="5" t="s">
        <v>355</v>
      </c>
      <c r="Q36980" s="5" t="s">
        <v>355</v>
      </c>
    </row>
    <row r="36981" ht="16.5" customHeight="1">
      <c r="O36981" s="5" t="s">
        <v>355</v>
      </c>
      <c r="P36981" s="5" t="s">
        <v>355</v>
      </c>
      <c r="Q36981" s="5" t="s">
        <v>355</v>
      </c>
    </row>
    <row r="36982" ht="16.5" customHeight="1">
      <c r="O36982" s="5" t="s">
        <v>355</v>
      </c>
      <c r="P36982" s="5" t="s">
        <v>355</v>
      </c>
      <c r="Q36982" s="5" t="s">
        <v>355</v>
      </c>
    </row>
    <row r="36983" ht="16.5" customHeight="1">
      <c r="O36983" s="5" t="s">
        <v>355</v>
      </c>
      <c r="P36983" s="5" t="s">
        <v>355</v>
      </c>
      <c r="Q36983" s="5" t="s">
        <v>355</v>
      </c>
    </row>
    <row r="36984" ht="16.5" customHeight="1">
      <c r="O36984" s="5" t="s">
        <v>355</v>
      </c>
      <c r="P36984" s="5" t="s">
        <v>355</v>
      </c>
      <c r="Q36984" s="5" t="s">
        <v>355</v>
      </c>
    </row>
    <row r="36985" ht="16.5" customHeight="1">
      <c r="O36985" s="5" t="s">
        <v>355</v>
      </c>
      <c r="P36985" s="5" t="s">
        <v>355</v>
      </c>
      <c r="Q36985" s="5" t="s">
        <v>355</v>
      </c>
    </row>
    <row r="36986" ht="16.5" customHeight="1">
      <c r="O36986" s="5" t="s">
        <v>355</v>
      </c>
      <c r="P36986" s="5" t="s">
        <v>355</v>
      </c>
      <c r="Q36986" s="5" t="s">
        <v>355</v>
      </c>
    </row>
    <row r="36987" ht="16.5" customHeight="1">
      <c r="O36987" s="5" t="s">
        <v>355</v>
      </c>
      <c r="P36987" s="5" t="s">
        <v>355</v>
      </c>
      <c r="Q36987" s="5" t="s">
        <v>355</v>
      </c>
    </row>
    <row r="36988" ht="16.5" customHeight="1">
      <c r="O36988" s="5" t="s">
        <v>355</v>
      </c>
      <c r="P36988" s="5" t="s">
        <v>355</v>
      </c>
      <c r="Q36988" s="5" t="s">
        <v>355</v>
      </c>
    </row>
    <row r="36989" ht="16.5" customHeight="1">
      <c r="O36989" s="5" t="s">
        <v>355</v>
      </c>
      <c r="P36989" s="5" t="s">
        <v>355</v>
      </c>
      <c r="Q36989" s="5" t="s">
        <v>355</v>
      </c>
    </row>
    <row r="36990" ht="16.5" customHeight="1">
      <c r="O36990" s="5" t="s">
        <v>355</v>
      </c>
      <c r="P36990" s="5" t="s">
        <v>355</v>
      </c>
      <c r="Q36990" s="5" t="s">
        <v>355</v>
      </c>
    </row>
    <row r="36991" ht="16.5" customHeight="1">
      <c r="O36991" s="5" t="s">
        <v>355</v>
      </c>
      <c r="P36991" s="5" t="s">
        <v>355</v>
      </c>
      <c r="Q36991" s="5" t="s">
        <v>355</v>
      </c>
    </row>
    <row r="36992" ht="16.5" customHeight="1">
      <c r="O36992" s="5" t="s">
        <v>355</v>
      </c>
      <c r="P36992" s="5" t="s">
        <v>355</v>
      </c>
      <c r="Q36992" s="5" t="s">
        <v>355</v>
      </c>
    </row>
    <row r="36993" ht="16.5" customHeight="1">
      <c r="O36993" s="5" t="s">
        <v>355</v>
      </c>
      <c r="P36993" s="5" t="s">
        <v>355</v>
      </c>
      <c r="Q36993" s="5" t="s">
        <v>355</v>
      </c>
    </row>
    <row r="36994" ht="16.5" customHeight="1">
      <c r="O36994" s="5" t="s">
        <v>355</v>
      </c>
      <c r="P36994" s="5" t="s">
        <v>355</v>
      </c>
      <c r="Q36994" s="5" t="s">
        <v>355</v>
      </c>
    </row>
    <row r="36995" ht="16.5" customHeight="1">
      <c r="O36995" s="5" t="s">
        <v>355</v>
      </c>
      <c r="P36995" s="5" t="s">
        <v>355</v>
      </c>
      <c r="Q36995" s="5" t="s">
        <v>355</v>
      </c>
    </row>
    <row r="36996" ht="16.5" customHeight="1">
      <c r="O36996" s="5" t="s">
        <v>355</v>
      </c>
      <c r="P36996" s="5" t="s">
        <v>355</v>
      </c>
      <c r="Q36996" s="5" t="s">
        <v>355</v>
      </c>
    </row>
    <row r="36997" ht="16.5" customHeight="1">
      <c r="O36997" s="5" t="s">
        <v>355</v>
      </c>
      <c r="P36997" s="5" t="s">
        <v>355</v>
      </c>
      <c r="Q36997" s="5" t="s">
        <v>355</v>
      </c>
    </row>
    <row r="36998" ht="16.5" customHeight="1">
      <c r="O36998" s="5" t="s">
        <v>355</v>
      </c>
      <c r="P36998" s="5" t="s">
        <v>355</v>
      </c>
      <c r="Q36998" s="5" t="s">
        <v>355</v>
      </c>
    </row>
    <row r="36999" ht="16.5" customHeight="1">
      <c r="O36999" s="5" t="s">
        <v>355</v>
      </c>
      <c r="P36999" s="5" t="s">
        <v>355</v>
      </c>
      <c r="Q36999" s="5" t="s">
        <v>355</v>
      </c>
    </row>
    <row r="37000" ht="16.5" customHeight="1">
      <c r="O37000" s="5" t="s">
        <v>355</v>
      </c>
      <c r="P37000" s="5" t="s">
        <v>355</v>
      </c>
      <c r="Q37000" s="5" t="s">
        <v>355</v>
      </c>
    </row>
    <row r="37001" ht="16.5" customHeight="1">
      <c r="O37001" s="5" t="s">
        <v>355</v>
      </c>
      <c r="P37001" s="5" t="s">
        <v>355</v>
      </c>
      <c r="Q37001" s="5" t="s">
        <v>355</v>
      </c>
    </row>
    <row r="37002" ht="16.5" customHeight="1">
      <c r="O37002" s="5" t="s">
        <v>355</v>
      </c>
      <c r="P37002" s="5" t="s">
        <v>355</v>
      </c>
      <c r="Q37002" s="5" t="s">
        <v>355</v>
      </c>
    </row>
    <row r="37003" ht="16.5" customHeight="1">
      <c r="O37003" s="5" t="s">
        <v>355</v>
      </c>
      <c r="P37003" s="5" t="s">
        <v>355</v>
      </c>
      <c r="Q37003" s="5" t="s">
        <v>355</v>
      </c>
    </row>
    <row r="37004" ht="16.5" customHeight="1">
      <c r="O37004" s="5" t="s">
        <v>355</v>
      </c>
      <c r="P37004" s="5" t="s">
        <v>355</v>
      </c>
      <c r="Q37004" s="5" t="s">
        <v>355</v>
      </c>
    </row>
    <row r="37005" ht="16.5" customHeight="1">
      <c r="O37005" s="5" t="s">
        <v>355</v>
      </c>
      <c r="P37005" s="5" t="s">
        <v>355</v>
      </c>
      <c r="Q37005" s="5" t="s">
        <v>355</v>
      </c>
    </row>
    <row r="37006" ht="16.5" customHeight="1">
      <c r="O37006" s="5" t="s">
        <v>355</v>
      </c>
      <c r="P37006" s="5" t="s">
        <v>355</v>
      </c>
      <c r="Q37006" s="5" t="s">
        <v>355</v>
      </c>
    </row>
    <row r="37007" ht="16.5" customHeight="1">
      <c r="O37007" s="5" t="s">
        <v>355</v>
      </c>
      <c r="P37007" s="5" t="s">
        <v>355</v>
      </c>
      <c r="Q37007" s="5" t="s">
        <v>355</v>
      </c>
    </row>
    <row r="37008" ht="16.5" customHeight="1">
      <c r="O37008" s="5" t="s">
        <v>355</v>
      </c>
      <c r="P37008" s="5" t="s">
        <v>355</v>
      </c>
      <c r="Q37008" s="5" t="s">
        <v>355</v>
      </c>
    </row>
    <row r="37009" ht="16.5" customHeight="1">
      <c r="O37009" s="5" t="s">
        <v>355</v>
      </c>
      <c r="P37009" s="5" t="s">
        <v>355</v>
      </c>
      <c r="Q37009" s="5" t="s">
        <v>355</v>
      </c>
    </row>
    <row r="37010" ht="16.5" customHeight="1">
      <c r="O37010" s="5" t="s">
        <v>355</v>
      </c>
      <c r="P37010" s="5" t="s">
        <v>355</v>
      </c>
      <c r="Q37010" s="5" t="s">
        <v>355</v>
      </c>
    </row>
    <row r="37011" ht="16.5" customHeight="1">
      <c r="O37011" s="5" t="s">
        <v>355</v>
      </c>
      <c r="P37011" s="5" t="s">
        <v>355</v>
      </c>
      <c r="Q37011" s="5" t="s">
        <v>355</v>
      </c>
    </row>
    <row r="37012" ht="16.5" customHeight="1">
      <c r="O37012" s="5" t="s">
        <v>355</v>
      </c>
      <c r="P37012" s="5" t="s">
        <v>355</v>
      </c>
      <c r="Q37012" s="5" t="s">
        <v>355</v>
      </c>
    </row>
    <row r="37013" ht="16.5" customHeight="1">
      <c r="O37013" s="5" t="s">
        <v>355</v>
      </c>
      <c r="P37013" s="5" t="s">
        <v>355</v>
      </c>
      <c r="Q37013" s="5" t="s">
        <v>355</v>
      </c>
    </row>
    <row r="37014" ht="16.5" customHeight="1">
      <c r="O37014" s="5" t="s">
        <v>355</v>
      </c>
      <c r="P37014" s="5" t="s">
        <v>355</v>
      </c>
      <c r="Q37014" s="5" t="s">
        <v>355</v>
      </c>
    </row>
    <row r="37015" ht="16.5" customHeight="1">
      <c r="O37015" s="5" t="s">
        <v>355</v>
      </c>
      <c r="P37015" s="5" t="s">
        <v>355</v>
      </c>
      <c r="Q37015" s="5" t="s">
        <v>355</v>
      </c>
    </row>
    <row r="37016" ht="16.5" customHeight="1">
      <c r="O37016" s="5" t="s">
        <v>355</v>
      </c>
      <c r="P37016" s="5" t="s">
        <v>355</v>
      </c>
      <c r="Q37016" s="5" t="s">
        <v>355</v>
      </c>
    </row>
    <row r="37017" ht="16.5" customHeight="1">
      <c r="O37017" s="5" t="s">
        <v>355</v>
      </c>
      <c r="P37017" s="5" t="s">
        <v>355</v>
      </c>
      <c r="Q37017" s="5" t="s">
        <v>355</v>
      </c>
    </row>
    <row r="37018" ht="16.5" customHeight="1">
      <c r="O37018" s="5" t="s">
        <v>355</v>
      </c>
      <c r="P37018" s="5" t="s">
        <v>355</v>
      </c>
      <c r="Q37018" s="5" t="s">
        <v>355</v>
      </c>
    </row>
    <row r="37019" ht="16.5" customHeight="1">
      <c r="O37019" s="5" t="s">
        <v>355</v>
      </c>
      <c r="P37019" s="5" t="s">
        <v>355</v>
      </c>
      <c r="Q37019" s="5" t="s">
        <v>355</v>
      </c>
    </row>
    <row r="37020" ht="16.5" customHeight="1">
      <c r="O37020" s="5" t="s">
        <v>355</v>
      </c>
      <c r="P37020" s="5" t="s">
        <v>355</v>
      </c>
      <c r="Q37020" s="5" t="s">
        <v>355</v>
      </c>
    </row>
    <row r="37021" ht="16.5" customHeight="1">
      <c r="O37021" s="5" t="s">
        <v>355</v>
      </c>
      <c r="P37021" s="5" t="s">
        <v>355</v>
      </c>
      <c r="Q37021" s="5" t="s">
        <v>355</v>
      </c>
    </row>
    <row r="37022" ht="16.5" customHeight="1">
      <c r="O37022" s="5" t="s">
        <v>355</v>
      </c>
      <c r="P37022" s="5" t="s">
        <v>355</v>
      </c>
      <c r="Q37022" s="5" t="s">
        <v>355</v>
      </c>
    </row>
    <row r="37023" ht="16.5" customHeight="1">
      <c r="O37023" s="5" t="s">
        <v>355</v>
      </c>
      <c r="P37023" s="5" t="s">
        <v>355</v>
      </c>
      <c r="Q37023" s="5" t="s">
        <v>355</v>
      </c>
    </row>
    <row r="37024" ht="16.5" customHeight="1">
      <c r="O37024" s="5" t="s">
        <v>355</v>
      </c>
      <c r="P37024" s="5" t="s">
        <v>355</v>
      </c>
      <c r="Q37024" s="5" t="s">
        <v>355</v>
      </c>
    </row>
    <row r="37025" ht="16.5" customHeight="1">
      <c r="O37025" s="5" t="s">
        <v>355</v>
      </c>
      <c r="P37025" s="5" t="s">
        <v>355</v>
      </c>
      <c r="Q37025" s="5" t="s">
        <v>355</v>
      </c>
    </row>
    <row r="37026" ht="16.5" customHeight="1">
      <c r="O37026" s="5" t="s">
        <v>355</v>
      </c>
      <c r="P37026" s="5" t="s">
        <v>355</v>
      </c>
      <c r="Q37026" s="5" t="s">
        <v>355</v>
      </c>
    </row>
    <row r="37027" ht="16.5" customHeight="1">
      <c r="O37027" s="5" t="s">
        <v>355</v>
      </c>
      <c r="P37027" s="5" t="s">
        <v>355</v>
      </c>
      <c r="Q37027" s="5" t="s">
        <v>355</v>
      </c>
    </row>
    <row r="37028" ht="16.5" customHeight="1">
      <c r="O37028" s="5" t="s">
        <v>355</v>
      </c>
      <c r="P37028" s="5" t="s">
        <v>355</v>
      </c>
      <c r="Q37028" s="5" t="s">
        <v>355</v>
      </c>
    </row>
    <row r="37029" ht="16.5" customHeight="1">
      <c r="O37029" s="5" t="s">
        <v>355</v>
      </c>
      <c r="P37029" s="5" t="s">
        <v>355</v>
      </c>
      <c r="Q37029" s="5" t="s">
        <v>355</v>
      </c>
    </row>
    <row r="37030" ht="16.5" customHeight="1">
      <c r="O37030" s="5" t="s">
        <v>355</v>
      </c>
      <c r="P37030" s="5" t="s">
        <v>355</v>
      </c>
      <c r="Q37030" s="5" t="s">
        <v>355</v>
      </c>
    </row>
    <row r="37031" ht="16.5" customHeight="1">
      <c r="O37031" s="5" t="s">
        <v>355</v>
      </c>
      <c r="P37031" s="5" t="s">
        <v>355</v>
      </c>
      <c r="Q37031" s="5" t="s">
        <v>355</v>
      </c>
    </row>
    <row r="37032" ht="16.5" customHeight="1">
      <c r="O37032" s="5" t="s">
        <v>355</v>
      </c>
      <c r="P37032" s="5" t="s">
        <v>355</v>
      </c>
      <c r="Q37032" s="5" t="s">
        <v>355</v>
      </c>
    </row>
    <row r="37033" ht="16.5" customHeight="1">
      <c r="O37033" s="5" t="s">
        <v>355</v>
      </c>
      <c r="P37033" s="5" t="s">
        <v>355</v>
      </c>
      <c r="Q37033" s="5" t="s">
        <v>355</v>
      </c>
    </row>
    <row r="37034" ht="16.5" customHeight="1">
      <c r="O37034" s="5" t="s">
        <v>355</v>
      </c>
      <c r="P37034" s="5" t="s">
        <v>355</v>
      </c>
      <c r="Q37034" s="5" t="s">
        <v>355</v>
      </c>
    </row>
    <row r="37035" ht="16.5" customHeight="1">
      <c r="O37035" s="5" t="s">
        <v>355</v>
      </c>
      <c r="P37035" s="5" t="s">
        <v>355</v>
      </c>
      <c r="Q37035" s="5" t="s">
        <v>355</v>
      </c>
    </row>
    <row r="37036" ht="16.5" customHeight="1">
      <c r="O37036" s="5" t="s">
        <v>355</v>
      </c>
      <c r="P37036" s="5" t="s">
        <v>355</v>
      </c>
      <c r="Q37036" s="5" t="s">
        <v>355</v>
      </c>
    </row>
    <row r="37037" ht="16.5" customHeight="1">
      <c r="O37037" s="5" t="s">
        <v>355</v>
      </c>
      <c r="P37037" s="5" t="s">
        <v>355</v>
      </c>
      <c r="Q37037" s="5" t="s">
        <v>355</v>
      </c>
    </row>
    <row r="37038" ht="16.5" customHeight="1">
      <c r="O37038" s="5" t="s">
        <v>355</v>
      </c>
      <c r="P37038" s="5" t="s">
        <v>355</v>
      </c>
      <c r="Q37038" s="5" t="s">
        <v>355</v>
      </c>
    </row>
    <row r="37039" ht="16.5" customHeight="1">
      <c r="O37039" s="5" t="s">
        <v>355</v>
      </c>
      <c r="P37039" s="5" t="s">
        <v>355</v>
      </c>
      <c r="Q37039" s="5" t="s">
        <v>355</v>
      </c>
    </row>
    <row r="37040" ht="16.5" customHeight="1">
      <c r="O37040" s="5" t="s">
        <v>355</v>
      </c>
      <c r="P37040" s="5" t="s">
        <v>355</v>
      </c>
      <c r="Q37040" s="5" t="s">
        <v>355</v>
      </c>
    </row>
    <row r="37041" ht="16.5" customHeight="1">
      <c r="O37041" s="5" t="s">
        <v>355</v>
      </c>
      <c r="P37041" s="5" t="s">
        <v>355</v>
      </c>
      <c r="Q37041" s="5" t="s">
        <v>355</v>
      </c>
    </row>
    <row r="37042" ht="16.5" customHeight="1">
      <c r="O37042" s="5" t="s">
        <v>355</v>
      </c>
      <c r="P37042" s="5" t="s">
        <v>355</v>
      </c>
      <c r="Q37042" s="5" t="s">
        <v>355</v>
      </c>
    </row>
    <row r="37043" ht="16.5" customHeight="1">
      <c r="O37043" s="5" t="s">
        <v>355</v>
      </c>
      <c r="P37043" s="5" t="s">
        <v>355</v>
      </c>
      <c r="Q37043" s="5" t="s">
        <v>355</v>
      </c>
    </row>
    <row r="37044" ht="16.5" customHeight="1">
      <c r="O37044" s="5" t="s">
        <v>355</v>
      </c>
      <c r="P37044" s="5" t="s">
        <v>355</v>
      </c>
      <c r="Q37044" s="5" t="s">
        <v>355</v>
      </c>
    </row>
    <row r="37045" ht="16.5" customHeight="1">
      <c r="O37045" s="5" t="s">
        <v>355</v>
      </c>
      <c r="P37045" s="5" t="s">
        <v>355</v>
      </c>
      <c r="Q37045" s="5" t="s">
        <v>355</v>
      </c>
    </row>
    <row r="37046" ht="16.5" customHeight="1">
      <c r="O37046" s="5" t="s">
        <v>355</v>
      </c>
      <c r="P37046" s="5" t="s">
        <v>355</v>
      </c>
      <c r="Q37046" s="5" t="s">
        <v>355</v>
      </c>
    </row>
    <row r="37047" ht="16.5" customHeight="1">
      <c r="O37047" s="5" t="s">
        <v>355</v>
      </c>
      <c r="P37047" s="5" t="s">
        <v>355</v>
      </c>
      <c r="Q37047" s="5" t="s">
        <v>355</v>
      </c>
    </row>
    <row r="37048" ht="16.5" customHeight="1">
      <c r="O37048" s="5" t="s">
        <v>355</v>
      </c>
      <c r="P37048" s="5" t="s">
        <v>355</v>
      </c>
      <c r="Q37048" s="5" t="s">
        <v>355</v>
      </c>
    </row>
    <row r="37049" ht="16.5" customHeight="1">
      <c r="O37049" s="5" t="s">
        <v>355</v>
      </c>
      <c r="P37049" s="5" t="s">
        <v>355</v>
      </c>
      <c r="Q37049" s="5" t="s">
        <v>355</v>
      </c>
    </row>
    <row r="37050" ht="16.5" customHeight="1">
      <c r="O37050" s="5" t="s">
        <v>355</v>
      </c>
      <c r="P37050" s="5" t="s">
        <v>355</v>
      </c>
      <c r="Q37050" s="5" t="s">
        <v>355</v>
      </c>
    </row>
    <row r="37051" ht="16.5" customHeight="1">
      <c r="O37051" s="5" t="s">
        <v>355</v>
      </c>
      <c r="P37051" s="5" t="s">
        <v>355</v>
      </c>
      <c r="Q37051" s="5" t="s">
        <v>355</v>
      </c>
    </row>
    <row r="37052" ht="16.5" customHeight="1">
      <c r="O37052" s="5" t="s">
        <v>355</v>
      </c>
      <c r="P37052" s="5" t="s">
        <v>355</v>
      </c>
      <c r="Q37052" s="5" t="s">
        <v>355</v>
      </c>
    </row>
    <row r="37053" ht="16.5" customHeight="1">
      <c r="O37053" s="5" t="s">
        <v>355</v>
      </c>
      <c r="P37053" s="5" t="s">
        <v>355</v>
      </c>
      <c r="Q37053" s="5" t="s">
        <v>355</v>
      </c>
    </row>
    <row r="37054" ht="16.5" customHeight="1">
      <c r="O37054" s="5" t="s">
        <v>355</v>
      </c>
      <c r="P37054" s="5" t="s">
        <v>355</v>
      </c>
      <c r="Q37054" s="5" t="s">
        <v>355</v>
      </c>
    </row>
    <row r="37055" ht="16.5" customHeight="1">
      <c r="O37055" s="5" t="s">
        <v>355</v>
      </c>
      <c r="P37055" s="5" t="s">
        <v>355</v>
      </c>
      <c r="Q37055" s="5" t="s">
        <v>355</v>
      </c>
    </row>
    <row r="37056" ht="16.5" customHeight="1">
      <c r="O37056" s="5" t="s">
        <v>355</v>
      </c>
      <c r="P37056" s="5" t="s">
        <v>355</v>
      </c>
      <c r="Q37056" s="5" t="s">
        <v>355</v>
      </c>
    </row>
    <row r="37057" ht="16.5" customHeight="1">
      <c r="O37057" s="5" t="s">
        <v>355</v>
      </c>
      <c r="P37057" s="5" t="s">
        <v>355</v>
      </c>
      <c r="Q37057" s="5" t="s">
        <v>355</v>
      </c>
    </row>
    <row r="37058" ht="16.5" customHeight="1">
      <c r="O37058" s="5" t="s">
        <v>355</v>
      </c>
      <c r="P37058" s="5" t="s">
        <v>355</v>
      </c>
      <c r="Q37058" s="5" t="s">
        <v>355</v>
      </c>
    </row>
    <row r="37059" ht="16.5" customHeight="1">
      <c r="O37059" s="5" t="s">
        <v>355</v>
      </c>
      <c r="P37059" s="5" t="s">
        <v>355</v>
      </c>
      <c r="Q37059" s="5" t="s">
        <v>355</v>
      </c>
    </row>
    <row r="37060" ht="16.5" customHeight="1">
      <c r="O37060" s="5" t="s">
        <v>355</v>
      </c>
      <c r="P37060" s="5" t="s">
        <v>355</v>
      </c>
      <c r="Q37060" s="5" t="s">
        <v>355</v>
      </c>
    </row>
    <row r="37061" ht="16.5" customHeight="1">
      <c r="O37061" s="5" t="s">
        <v>355</v>
      </c>
      <c r="P37061" s="5" t="s">
        <v>355</v>
      </c>
      <c r="Q37061" s="5" t="s">
        <v>355</v>
      </c>
    </row>
    <row r="37062" ht="16.5" customHeight="1">
      <c r="O37062" s="5" t="s">
        <v>355</v>
      </c>
      <c r="P37062" s="5" t="s">
        <v>355</v>
      </c>
      <c r="Q37062" s="5" t="s">
        <v>355</v>
      </c>
    </row>
    <row r="37063" ht="16.5" customHeight="1">
      <c r="O37063" s="5" t="s">
        <v>355</v>
      </c>
      <c r="P37063" s="5" t="s">
        <v>355</v>
      </c>
      <c r="Q37063" s="5" t="s">
        <v>355</v>
      </c>
    </row>
    <row r="37064" ht="16.5" customHeight="1">
      <c r="O37064" s="5" t="s">
        <v>355</v>
      </c>
      <c r="P37064" s="5" t="s">
        <v>355</v>
      </c>
      <c r="Q37064" s="5" t="s">
        <v>355</v>
      </c>
    </row>
    <row r="37065" ht="16.5" customHeight="1">
      <c r="O37065" s="5" t="s">
        <v>355</v>
      </c>
      <c r="P37065" s="5" t="s">
        <v>355</v>
      </c>
      <c r="Q37065" s="5" t="s">
        <v>355</v>
      </c>
    </row>
    <row r="37066" ht="16.5" customHeight="1">
      <c r="O37066" s="5" t="s">
        <v>355</v>
      </c>
      <c r="P37066" s="5" t="s">
        <v>355</v>
      </c>
      <c r="Q37066" s="5" t="s">
        <v>355</v>
      </c>
    </row>
    <row r="37067" ht="16.5" customHeight="1">
      <c r="O37067" s="5" t="s">
        <v>355</v>
      </c>
      <c r="P37067" s="5" t="s">
        <v>355</v>
      </c>
      <c r="Q37067" s="5" t="s">
        <v>355</v>
      </c>
    </row>
    <row r="37068" ht="16.5" customHeight="1">
      <c r="O37068" s="5" t="s">
        <v>355</v>
      </c>
      <c r="P37068" s="5" t="s">
        <v>355</v>
      </c>
      <c r="Q37068" s="5" t="s">
        <v>355</v>
      </c>
    </row>
    <row r="37069" ht="16.5" customHeight="1">
      <c r="O37069" s="5" t="s">
        <v>355</v>
      </c>
      <c r="P37069" s="5" t="s">
        <v>355</v>
      </c>
      <c r="Q37069" s="5" t="s">
        <v>355</v>
      </c>
    </row>
    <row r="37070" ht="16.5" customHeight="1">
      <c r="O37070" s="5" t="s">
        <v>355</v>
      </c>
      <c r="P37070" s="5" t="s">
        <v>355</v>
      </c>
      <c r="Q37070" s="5" t="s">
        <v>355</v>
      </c>
    </row>
    <row r="37071" ht="16.5" customHeight="1">
      <c r="O37071" s="5" t="s">
        <v>355</v>
      </c>
      <c r="P37071" s="5" t="s">
        <v>355</v>
      </c>
      <c r="Q37071" s="5" t="s">
        <v>355</v>
      </c>
    </row>
    <row r="37072" ht="16.5" customHeight="1">
      <c r="O37072" s="5" t="s">
        <v>355</v>
      </c>
      <c r="P37072" s="5" t="s">
        <v>355</v>
      </c>
      <c r="Q37072" s="5" t="s">
        <v>355</v>
      </c>
    </row>
    <row r="37073" ht="16.5" customHeight="1">
      <c r="O37073" s="5" t="s">
        <v>355</v>
      </c>
      <c r="P37073" s="5" t="s">
        <v>355</v>
      </c>
      <c r="Q37073" s="5" t="s">
        <v>355</v>
      </c>
    </row>
    <row r="37074" ht="16.5" customHeight="1">
      <c r="O37074" s="5" t="s">
        <v>355</v>
      </c>
      <c r="P37074" s="5" t="s">
        <v>355</v>
      </c>
      <c r="Q37074" s="5" t="s">
        <v>355</v>
      </c>
    </row>
    <row r="37075" ht="16.5" customHeight="1">
      <c r="O37075" s="5" t="s">
        <v>355</v>
      </c>
      <c r="P37075" s="5" t="s">
        <v>355</v>
      </c>
      <c r="Q37075" s="5" t="s">
        <v>355</v>
      </c>
    </row>
    <row r="37076" ht="16.5" customHeight="1">
      <c r="O37076" s="5" t="s">
        <v>355</v>
      </c>
      <c r="P37076" s="5" t="s">
        <v>355</v>
      </c>
      <c r="Q37076" s="5" t="s">
        <v>355</v>
      </c>
    </row>
    <row r="37077" ht="16.5" customHeight="1">
      <c r="O37077" s="5" t="s">
        <v>355</v>
      </c>
      <c r="P37077" s="5" t="s">
        <v>355</v>
      </c>
      <c r="Q37077" s="5" t="s">
        <v>355</v>
      </c>
    </row>
    <row r="37078" ht="16.5" customHeight="1">
      <c r="O37078" s="5" t="s">
        <v>355</v>
      </c>
      <c r="P37078" s="5" t="s">
        <v>355</v>
      </c>
      <c r="Q37078" s="5" t="s">
        <v>355</v>
      </c>
    </row>
    <row r="37079" ht="16.5" customHeight="1">
      <c r="O37079" s="5" t="s">
        <v>355</v>
      </c>
      <c r="P37079" s="5" t="s">
        <v>355</v>
      </c>
      <c r="Q37079" s="5" t="s">
        <v>355</v>
      </c>
    </row>
    <row r="37080" ht="16.5" customHeight="1">
      <c r="O37080" s="5" t="s">
        <v>355</v>
      </c>
      <c r="P37080" s="5" t="s">
        <v>355</v>
      </c>
      <c r="Q37080" s="5" t="s">
        <v>355</v>
      </c>
    </row>
    <row r="37081" ht="16.5" customHeight="1">
      <c r="O37081" s="5" t="s">
        <v>355</v>
      </c>
      <c r="P37081" s="5" t="s">
        <v>355</v>
      </c>
      <c r="Q37081" s="5" t="s">
        <v>355</v>
      </c>
    </row>
    <row r="37082" ht="16.5" customHeight="1">
      <c r="O37082" s="5" t="s">
        <v>355</v>
      </c>
      <c r="P37082" s="5" t="s">
        <v>355</v>
      </c>
      <c r="Q37082" s="5" t="s">
        <v>355</v>
      </c>
    </row>
    <row r="37083" ht="16.5" customHeight="1">
      <c r="O37083" s="5" t="s">
        <v>355</v>
      </c>
      <c r="P37083" s="5" t="s">
        <v>355</v>
      </c>
      <c r="Q37083" s="5" t="s">
        <v>355</v>
      </c>
    </row>
    <row r="37084" ht="16.5" customHeight="1">
      <c r="O37084" s="5" t="s">
        <v>355</v>
      </c>
      <c r="P37084" s="5" t="s">
        <v>355</v>
      </c>
      <c r="Q37084" s="5" t="s">
        <v>355</v>
      </c>
    </row>
    <row r="37085" ht="16.5" customHeight="1">
      <c r="O37085" s="5" t="s">
        <v>355</v>
      </c>
      <c r="P37085" s="5" t="s">
        <v>355</v>
      </c>
      <c r="Q37085" s="5" t="s">
        <v>355</v>
      </c>
    </row>
    <row r="37086" ht="16.5" customHeight="1">
      <c r="O37086" s="5" t="s">
        <v>355</v>
      </c>
      <c r="P37086" s="5" t="s">
        <v>355</v>
      </c>
      <c r="Q37086" s="5" t="s">
        <v>355</v>
      </c>
    </row>
    <row r="37087" ht="16.5" customHeight="1">
      <c r="O37087" s="5" t="s">
        <v>355</v>
      </c>
      <c r="P37087" s="5" t="s">
        <v>355</v>
      </c>
      <c r="Q37087" s="5" t="s">
        <v>355</v>
      </c>
    </row>
    <row r="37088" ht="16.5" customHeight="1">
      <c r="O37088" s="5" t="s">
        <v>355</v>
      </c>
      <c r="P37088" s="5" t="s">
        <v>355</v>
      </c>
      <c r="Q37088" s="5" t="s">
        <v>355</v>
      </c>
    </row>
    <row r="37089" ht="16.5" customHeight="1">
      <c r="O37089" s="5" t="s">
        <v>355</v>
      </c>
      <c r="P37089" s="5" t="s">
        <v>355</v>
      </c>
      <c r="Q37089" s="5" t="s">
        <v>355</v>
      </c>
    </row>
    <row r="37090" ht="16.5" customHeight="1">
      <c r="O37090" s="5" t="s">
        <v>355</v>
      </c>
      <c r="P37090" s="5" t="s">
        <v>355</v>
      </c>
      <c r="Q37090" s="5" t="s">
        <v>355</v>
      </c>
    </row>
    <row r="37091" ht="16.5" customHeight="1">
      <c r="O37091" s="5" t="s">
        <v>355</v>
      </c>
      <c r="P37091" s="5" t="s">
        <v>355</v>
      </c>
      <c r="Q37091" s="5" t="s">
        <v>355</v>
      </c>
    </row>
    <row r="37092" ht="16.5" customHeight="1">
      <c r="O37092" s="5" t="s">
        <v>355</v>
      </c>
      <c r="P37092" s="5" t="s">
        <v>355</v>
      </c>
      <c r="Q37092" s="5" t="s">
        <v>355</v>
      </c>
    </row>
    <row r="37093" ht="16.5" customHeight="1">
      <c r="O37093" s="5" t="s">
        <v>355</v>
      </c>
      <c r="P37093" s="5" t="s">
        <v>355</v>
      </c>
      <c r="Q37093" s="5" t="s">
        <v>355</v>
      </c>
    </row>
    <row r="37094" ht="16.5" customHeight="1">
      <c r="O37094" s="5" t="s">
        <v>355</v>
      </c>
      <c r="P37094" s="5" t="s">
        <v>355</v>
      </c>
      <c r="Q37094" s="5" t="s">
        <v>355</v>
      </c>
    </row>
    <row r="37095" ht="16.5" customHeight="1">
      <c r="O37095" s="5" t="s">
        <v>355</v>
      </c>
      <c r="P37095" s="5" t="s">
        <v>355</v>
      </c>
      <c r="Q37095" s="5" t="s">
        <v>355</v>
      </c>
    </row>
    <row r="37096" ht="16.5" customHeight="1">
      <c r="O37096" s="5" t="s">
        <v>355</v>
      </c>
      <c r="P37096" s="5" t="s">
        <v>355</v>
      </c>
      <c r="Q37096" s="5" t="s">
        <v>355</v>
      </c>
    </row>
    <row r="37097" ht="16.5" customHeight="1">
      <c r="O37097" s="5" t="s">
        <v>355</v>
      </c>
      <c r="P37097" s="5" t="s">
        <v>355</v>
      </c>
      <c r="Q37097" s="5" t="s">
        <v>355</v>
      </c>
    </row>
    <row r="37098" ht="16.5" customHeight="1">
      <c r="O37098" s="5" t="s">
        <v>355</v>
      </c>
      <c r="P37098" s="5" t="s">
        <v>355</v>
      </c>
      <c r="Q37098" s="5" t="s">
        <v>355</v>
      </c>
    </row>
    <row r="37099" ht="16.5" customHeight="1">
      <c r="O37099" s="5" t="s">
        <v>355</v>
      </c>
      <c r="P37099" s="5" t="s">
        <v>355</v>
      </c>
      <c r="Q37099" s="5" t="s">
        <v>355</v>
      </c>
    </row>
    <row r="37100" ht="16.5" customHeight="1">
      <c r="O37100" s="5" t="s">
        <v>355</v>
      </c>
      <c r="P37100" s="5" t="s">
        <v>355</v>
      </c>
      <c r="Q37100" s="5" t="s">
        <v>355</v>
      </c>
    </row>
    <row r="37101" ht="16.5" customHeight="1">
      <c r="O37101" s="5" t="s">
        <v>355</v>
      </c>
      <c r="P37101" s="5" t="s">
        <v>355</v>
      </c>
      <c r="Q37101" s="5" t="s">
        <v>355</v>
      </c>
    </row>
    <row r="37102" ht="16.5" customHeight="1">
      <c r="O37102" s="5" t="s">
        <v>355</v>
      </c>
      <c r="P37102" s="5" t="s">
        <v>355</v>
      </c>
      <c r="Q37102" s="5" t="s">
        <v>355</v>
      </c>
    </row>
    <row r="37103" ht="16.5" customHeight="1">
      <c r="O37103" s="5" t="s">
        <v>355</v>
      </c>
      <c r="P37103" s="5" t="s">
        <v>355</v>
      </c>
      <c r="Q37103" s="5" t="s">
        <v>355</v>
      </c>
    </row>
    <row r="37104" ht="16.5" customHeight="1">
      <c r="O37104" s="5" t="s">
        <v>355</v>
      </c>
      <c r="P37104" s="5" t="s">
        <v>355</v>
      </c>
      <c r="Q37104" s="5" t="s">
        <v>355</v>
      </c>
    </row>
    <row r="37105" ht="16.5" customHeight="1">
      <c r="O37105" s="5" t="s">
        <v>355</v>
      </c>
      <c r="P37105" s="5" t="s">
        <v>355</v>
      </c>
      <c r="Q37105" s="5" t="s">
        <v>355</v>
      </c>
    </row>
    <row r="37106" ht="16.5" customHeight="1">
      <c r="O37106" s="5" t="s">
        <v>355</v>
      </c>
      <c r="P37106" s="5" t="s">
        <v>355</v>
      </c>
      <c r="Q37106" s="5" t="s">
        <v>355</v>
      </c>
    </row>
    <row r="37107" ht="16.5" customHeight="1">
      <c r="O37107" s="5" t="s">
        <v>355</v>
      </c>
      <c r="P37107" s="5" t="s">
        <v>355</v>
      </c>
      <c r="Q37107" s="5" t="s">
        <v>355</v>
      </c>
    </row>
    <row r="37108" ht="16.5" customHeight="1">
      <c r="O37108" s="5" t="s">
        <v>355</v>
      </c>
      <c r="P37108" s="5" t="s">
        <v>355</v>
      </c>
      <c r="Q37108" s="5" t="s">
        <v>355</v>
      </c>
    </row>
    <row r="37109" ht="16.5" customHeight="1">
      <c r="O37109" s="5" t="s">
        <v>355</v>
      </c>
      <c r="P37109" s="5" t="s">
        <v>355</v>
      </c>
      <c r="Q37109" s="5" t="s">
        <v>355</v>
      </c>
    </row>
    <row r="37110" ht="16.5" customHeight="1">
      <c r="O37110" s="5" t="s">
        <v>355</v>
      </c>
      <c r="P37110" s="5" t="s">
        <v>355</v>
      </c>
      <c r="Q37110" s="5" t="s">
        <v>355</v>
      </c>
    </row>
    <row r="37111" ht="16.5" customHeight="1">
      <c r="O37111" s="5" t="s">
        <v>355</v>
      </c>
      <c r="P37111" s="5" t="s">
        <v>355</v>
      </c>
      <c r="Q37111" s="5" t="s">
        <v>355</v>
      </c>
    </row>
    <row r="37112" ht="16.5" customHeight="1">
      <c r="O37112" s="5" t="s">
        <v>355</v>
      </c>
      <c r="P37112" s="5" t="s">
        <v>355</v>
      </c>
      <c r="Q37112" s="5" t="s">
        <v>355</v>
      </c>
    </row>
    <row r="37113" ht="16.5" customHeight="1">
      <c r="O37113" s="5" t="s">
        <v>355</v>
      </c>
      <c r="P37113" s="5" t="s">
        <v>355</v>
      </c>
      <c r="Q37113" s="5" t="s">
        <v>355</v>
      </c>
    </row>
    <row r="37114" ht="16.5" customHeight="1">
      <c r="O37114" s="5" t="s">
        <v>355</v>
      </c>
      <c r="P37114" s="5" t="s">
        <v>355</v>
      </c>
      <c r="Q37114" s="5" t="s">
        <v>355</v>
      </c>
    </row>
    <row r="37115" ht="16.5" customHeight="1">
      <c r="O37115" s="5" t="s">
        <v>355</v>
      </c>
      <c r="P37115" s="5" t="s">
        <v>355</v>
      </c>
      <c r="Q37115" s="5" t="s">
        <v>355</v>
      </c>
    </row>
    <row r="37116" ht="16.5" customHeight="1">
      <c r="O37116" s="5" t="s">
        <v>355</v>
      </c>
      <c r="P37116" s="5" t="s">
        <v>355</v>
      </c>
      <c r="Q37116" s="5" t="s">
        <v>355</v>
      </c>
    </row>
    <row r="37117" ht="16.5" customHeight="1">
      <c r="O37117" s="5" t="s">
        <v>355</v>
      </c>
      <c r="P37117" s="5" t="s">
        <v>355</v>
      </c>
      <c r="Q37117" s="5" t="s">
        <v>355</v>
      </c>
    </row>
    <row r="37118" ht="16.5" customHeight="1">
      <c r="O37118" s="5" t="s">
        <v>355</v>
      </c>
      <c r="P37118" s="5" t="s">
        <v>355</v>
      </c>
      <c r="Q37118" s="5" t="s">
        <v>355</v>
      </c>
    </row>
    <row r="37119" ht="16.5" customHeight="1">
      <c r="O37119" s="5" t="s">
        <v>355</v>
      </c>
      <c r="P37119" s="5" t="s">
        <v>355</v>
      </c>
      <c r="Q37119" s="5" t="s">
        <v>355</v>
      </c>
    </row>
    <row r="37120" ht="16.5" customHeight="1">
      <c r="O37120" s="5" t="s">
        <v>355</v>
      </c>
      <c r="P37120" s="5" t="s">
        <v>355</v>
      </c>
      <c r="Q37120" s="5" t="s">
        <v>355</v>
      </c>
    </row>
    <row r="37121" ht="16.5" customHeight="1">
      <c r="O37121" s="5" t="s">
        <v>355</v>
      </c>
      <c r="P37121" s="5" t="s">
        <v>355</v>
      </c>
      <c r="Q37121" s="5" t="s">
        <v>355</v>
      </c>
    </row>
    <row r="37122" ht="16.5" customHeight="1">
      <c r="O37122" s="5" t="s">
        <v>355</v>
      </c>
      <c r="P37122" s="5" t="s">
        <v>355</v>
      </c>
      <c r="Q37122" s="5" t="s">
        <v>355</v>
      </c>
    </row>
    <row r="37123" ht="16.5" customHeight="1">
      <c r="O37123" s="5" t="s">
        <v>355</v>
      </c>
      <c r="P37123" s="5" t="s">
        <v>355</v>
      </c>
      <c r="Q37123" s="5" t="s">
        <v>355</v>
      </c>
    </row>
    <row r="37124" ht="16.5" customHeight="1">
      <c r="O37124" s="5" t="s">
        <v>355</v>
      </c>
      <c r="P37124" s="5" t="s">
        <v>355</v>
      </c>
      <c r="Q37124" s="5" t="s">
        <v>355</v>
      </c>
    </row>
    <row r="37125" ht="16.5" customHeight="1">
      <c r="O37125" s="5" t="s">
        <v>355</v>
      </c>
      <c r="P37125" s="5" t="s">
        <v>355</v>
      </c>
      <c r="Q37125" s="5" t="s">
        <v>355</v>
      </c>
    </row>
    <row r="37126" ht="16.5" customHeight="1">
      <c r="O37126" s="5" t="s">
        <v>355</v>
      </c>
      <c r="P37126" s="5" t="s">
        <v>355</v>
      </c>
      <c r="Q37126" s="5" t="s">
        <v>355</v>
      </c>
    </row>
    <row r="37127" ht="16.5" customHeight="1">
      <c r="O37127" s="5" t="s">
        <v>355</v>
      </c>
      <c r="P37127" s="5" t="s">
        <v>355</v>
      </c>
      <c r="Q37127" s="5" t="s">
        <v>355</v>
      </c>
    </row>
    <row r="37128" ht="16.5" customHeight="1">
      <c r="O37128" s="5" t="s">
        <v>355</v>
      </c>
      <c r="P37128" s="5" t="s">
        <v>355</v>
      </c>
      <c r="Q37128" s="5" t="s">
        <v>355</v>
      </c>
    </row>
    <row r="37129" ht="16.5" customHeight="1">
      <c r="O37129" s="5" t="s">
        <v>355</v>
      </c>
      <c r="P37129" s="5" t="s">
        <v>355</v>
      </c>
      <c r="Q37129" s="5" t="s">
        <v>355</v>
      </c>
    </row>
    <row r="37130" ht="16.5" customHeight="1">
      <c r="O37130" s="5" t="s">
        <v>355</v>
      </c>
      <c r="P37130" s="5" t="s">
        <v>355</v>
      </c>
      <c r="Q37130" s="5" t="s">
        <v>355</v>
      </c>
    </row>
    <row r="37131" ht="16.5" customHeight="1">
      <c r="O37131" s="5" t="s">
        <v>355</v>
      </c>
      <c r="P37131" s="5" t="s">
        <v>355</v>
      </c>
      <c r="Q37131" s="5" t="s">
        <v>355</v>
      </c>
    </row>
    <row r="37132" ht="16.5" customHeight="1">
      <c r="O37132" s="5" t="s">
        <v>355</v>
      </c>
      <c r="P37132" s="5" t="s">
        <v>355</v>
      </c>
      <c r="Q37132" s="5" t="s">
        <v>355</v>
      </c>
    </row>
    <row r="37133" ht="16.5" customHeight="1">
      <c r="O37133" s="5" t="s">
        <v>355</v>
      </c>
      <c r="P37133" s="5" t="s">
        <v>355</v>
      </c>
      <c r="Q37133" s="5" t="s">
        <v>355</v>
      </c>
    </row>
    <row r="37134" ht="16.5" customHeight="1">
      <c r="O37134" s="5" t="s">
        <v>355</v>
      </c>
      <c r="P37134" s="5" t="s">
        <v>355</v>
      </c>
      <c r="Q37134" s="5" t="s">
        <v>355</v>
      </c>
    </row>
    <row r="37135" ht="16.5" customHeight="1">
      <c r="O37135" s="5" t="s">
        <v>355</v>
      </c>
      <c r="P37135" s="5" t="s">
        <v>355</v>
      </c>
      <c r="Q37135" s="5" t="s">
        <v>355</v>
      </c>
    </row>
    <row r="37136" ht="16.5" customHeight="1">
      <c r="O37136" s="5" t="s">
        <v>355</v>
      </c>
      <c r="P37136" s="5" t="s">
        <v>355</v>
      </c>
      <c r="Q37136" s="5" t="s">
        <v>355</v>
      </c>
    </row>
    <row r="37137" ht="16.5" customHeight="1">
      <c r="O37137" s="5" t="s">
        <v>355</v>
      </c>
      <c r="P37137" s="5" t="s">
        <v>355</v>
      </c>
      <c r="Q37137" s="5" t="s">
        <v>355</v>
      </c>
    </row>
    <row r="37138" ht="16.5" customHeight="1">
      <c r="O37138" s="5" t="s">
        <v>355</v>
      </c>
      <c r="P37138" s="5" t="s">
        <v>355</v>
      </c>
      <c r="Q37138" s="5" t="s">
        <v>355</v>
      </c>
    </row>
    <row r="37139" ht="16.5" customHeight="1">
      <c r="O37139" s="5" t="s">
        <v>355</v>
      </c>
      <c r="P37139" s="5" t="s">
        <v>355</v>
      </c>
      <c r="Q37139" s="5" t="s">
        <v>355</v>
      </c>
    </row>
    <row r="37140" ht="16.5" customHeight="1">
      <c r="O37140" s="5" t="s">
        <v>355</v>
      </c>
      <c r="P37140" s="5" t="s">
        <v>355</v>
      </c>
      <c r="Q37140" s="5" t="s">
        <v>355</v>
      </c>
    </row>
    <row r="37141" ht="16.5" customHeight="1">
      <c r="O37141" s="5" t="s">
        <v>355</v>
      </c>
      <c r="P37141" s="5" t="s">
        <v>355</v>
      </c>
      <c r="Q37141" s="5" t="s">
        <v>355</v>
      </c>
    </row>
    <row r="37142" ht="16.5" customHeight="1">
      <c r="O37142" s="5" t="s">
        <v>355</v>
      </c>
      <c r="P37142" s="5" t="s">
        <v>355</v>
      </c>
      <c r="Q37142" s="5" t="s">
        <v>355</v>
      </c>
    </row>
    <row r="37143" ht="16.5" customHeight="1">
      <c r="O37143" s="5" t="s">
        <v>355</v>
      </c>
      <c r="P37143" s="5" t="s">
        <v>355</v>
      </c>
      <c r="Q37143" s="5" t="s">
        <v>355</v>
      </c>
    </row>
    <row r="37144" ht="16.5" customHeight="1">
      <c r="O37144" s="5" t="s">
        <v>355</v>
      </c>
      <c r="P37144" s="5" t="s">
        <v>355</v>
      </c>
      <c r="Q37144" s="5" t="s">
        <v>355</v>
      </c>
    </row>
    <row r="37145" ht="16.5" customHeight="1">
      <c r="O37145" s="5" t="s">
        <v>355</v>
      </c>
      <c r="P37145" s="5" t="s">
        <v>355</v>
      </c>
      <c r="Q37145" s="5" t="s">
        <v>355</v>
      </c>
    </row>
    <row r="37146" ht="16.5" customHeight="1">
      <c r="O37146" s="5" t="s">
        <v>355</v>
      </c>
      <c r="P37146" s="5" t="s">
        <v>355</v>
      </c>
      <c r="Q37146" s="5" t="s">
        <v>355</v>
      </c>
    </row>
    <row r="37147" ht="16.5" customHeight="1">
      <c r="O37147" s="5" t="s">
        <v>355</v>
      </c>
      <c r="P37147" s="5" t="s">
        <v>355</v>
      </c>
      <c r="Q37147" s="5" t="s">
        <v>355</v>
      </c>
    </row>
    <row r="37148" ht="16.5" customHeight="1">
      <c r="O37148" s="5" t="s">
        <v>355</v>
      </c>
      <c r="P37148" s="5" t="s">
        <v>355</v>
      </c>
      <c r="Q37148" s="5" t="s">
        <v>355</v>
      </c>
    </row>
    <row r="37149" ht="16.5" customHeight="1">
      <c r="O37149" s="5" t="s">
        <v>355</v>
      </c>
      <c r="P37149" s="5" t="s">
        <v>355</v>
      </c>
      <c r="Q37149" s="5" t="s">
        <v>355</v>
      </c>
    </row>
    <row r="37150" ht="16.5" customHeight="1">
      <c r="O37150" s="5" t="s">
        <v>355</v>
      </c>
      <c r="P37150" s="5" t="s">
        <v>355</v>
      </c>
      <c r="Q37150" s="5" t="s">
        <v>355</v>
      </c>
    </row>
    <row r="37151" ht="16.5" customHeight="1">
      <c r="O37151" s="5" t="s">
        <v>355</v>
      </c>
      <c r="P37151" s="5" t="s">
        <v>355</v>
      </c>
      <c r="Q37151" s="5" t="s">
        <v>355</v>
      </c>
    </row>
    <row r="37152" ht="16.5" customHeight="1">
      <c r="O37152" s="5" t="s">
        <v>355</v>
      </c>
      <c r="P37152" s="5" t="s">
        <v>355</v>
      </c>
      <c r="Q37152" s="5" t="s">
        <v>355</v>
      </c>
    </row>
    <row r="37153" ht="16.5" customHeight="1">
      <c r="O37153" s="5" t="s">
        <v>355</v>
      </c>
      <c r="P37153" s="5" t="s">
        <v>355</v>
      </c>
      <c r="Q37153" s="5" t="s">
        <v>355</v>
      </c>
    </row>
    <row r="37154" ht="16.5" customHeight="1">
      <c r="O37154" s="5" t="s">
        <v>355</v>
      </c>
      <c r="P37154" s="5" t="s">
        <v>355</v>
      </c>
      <c r="Q37154" s="5" t="s">
        <v>355</v>
      </c>
    </row>
    <row r="37155" ht="16.5" customHeight="1">
      <c r="O37155" s="5" t="s">
        <v>355</v>
      </c>
      <c r="P37155" s="5" t="s">
        <v>355</v>
      </c>
      <c r="Q37155" s="5" t="s">
        <v>355</v>
      </c>
    </row>
    <row r="37156" ht="16.5" customHeight="1">
      <c r="O37156" s="5" t="s">
        <v>355</v>
      </c>
      <c r="P37156" s="5" t="s">
        <v>355</v>
      </c>
      <c r="Q37156" s="5" t="s">
        <v>355</v>
      </c>
    </row>
    <row r="37157" ht="16.5" customHeight="1">
      <c r="O37157" s="5" t="s">
        <v>355</v>
      </c>
      <c r="P37157" s="5" t="s">
        <v>355</v>
      </c>
      <c r="Q37157" s="5" t="s">
        <v>355</v>
      </c>
    </row>
    <row r="37158" ht="16.5" customHeight="1">
      <c r="O37158" s="5" t="s">
        <v>355</v>
      </c>
      <c r="P37158" s="5" t="s">
        <v>355</v>
      </c>
      <c r="Q37158" s="5" t="s">
        <v>355</v>
      </c>
    </row>
    <row r="37159" ht="16.5" customHeight="1">
      <c r="O37159" s="5" t="s">
        <v>355</v>
      </c>
      <c r="P37159" s="5" t="s">
        <v>355</v>
      </c>
      <c r="Q37159" s="5" t="s">
        <v>355</v>
      </c>
    </row>
    <row r="37160" ht="16.5" customHeight="1">
      <c r="O37160" s="5" t="s">
        <v>355</v>
      </c>
      <c r="P37160" s="5" t="s">
        <v>355</v>
      </c>
      <c r="Q37160" s="5" t="s">
        <v>355</v>
      </c>
    </row>
    <row r="37161" ht="16.5" customHeight="1">
      <c r="O37161" s="5" t="s">
        <v>355</v>
      </c>
      <c r="P37161" s="5" t="s">
        <v>355</v>
      </c>
      <c r="Q37161" s="5" t="s">
        <v>355</v>
      </c>
    </row>
    <row r="37162" ht="16.5" customHeight="1">
      <c r="O37162" s="5" t="s">
        <v>355</v>
      </c>
      <c r="P37162" s="5" t="s">
        <v>355</v>
      </c>
      <c r="Q37162" s="5" t="s">
        <v>355</v>
      </c>
    </row>
    <row r="37163" ht="16.5" customHeight="1">
      <c r="O37163" s="5" t="s">
        <v>355</v>
      </c>
      <c r="P37163" s="5" t="s">
        <v>355</v>
      </c>
      <c r="Q37163" s="5" t="s">
        <v>355</v>
      </c>
    </row>
    <row r="37164" ht="16.5" customHeight="1">
      <c r="O37164" s="5" t="s">
        <v>355</v>
      </c>
      <c r="P37164" s="5" t="s">
        <v>355</v>
      </c>
      <c r="Q37164" s="5" t="s">
        <v>355</v>
      </c>
    </row>
    <row r="37165" ht="16.5" customHeight="1">
      <c r="O37165" s="5" t="s">
        <v>355</v>
      </c>
      <c r="P37165" s="5" t="s">
        <v>355</v>
      </c>
      <c r="Q37165" s="5" t="s">
        <v>355</v>
      </c>
    </row>
    <row r="37166" ht="16.5" customHeight="1">
      <c r="O37166" s="5" t="s">
        <v>355</v>
      </c>
      <c r="P37166" s="5" t="s">
        <v>355</v>
      </c>
      <c r="Q37166" s="5" t="s">
        <v>355</v>
      </c>
    </row>
    <row r="37167" ht="16.5" customHeight="1">
      <c r="O37167" s="5" t="s">
        <v>355</v>
      </c>
      <c r="P37167" s="5" t="s">
        <v>355</v>
      </c>
      <c r="Q37167" s="5" t="s">
        <v>355</v>
      </c>
    </row>
    <row r="37168" ht="16.5" customHeight="1">
      <c r="O37168" s="5" t="s">
        <v>355</v>
      </c>
      <c r="P37168" s="5" t="s">
        <v>355</v>
      </c>
      <c r="Q37168" s="5" t="s">
        <v>355</v>
      </c>
    </row>
    <row r="37169" ht="16.5" customHeight="1">
      <c r="O37169" s="5" t="s">
        <v>355</v>
      </c>
      <c r="P37169" s="5" t="s">
        <v>355</v>
      </c>
      <c r="Q37169" s="5" t="s">
        <v>355</v>
      </c>
    </row>
    <row r="37170" ht="16.5" customHeight="1">
      <c r="O37170" s="5" t="s">
        <v>355</v>
      </c>
      <c r="P37170" s="5" t="s">
        <v>355</v>
      </c>
      <c r="Q37170" s="5" t="s">
        <v>355</v>
      </c>
    </row>
    <row r="37171" ht="16.5" customHeight="1">
      <c r="O37171" s="5" t="s">
        <v>355</v>
      </c>
      <c r="P37171" s="5" t="s">
        <v>355</v>
      </c>
      <c r="Q37171" s="5" t="s">
        <v>355</v>
      </c>
    </row>
    <row r="37172" ht="16.5" customHeight="1">
      <c r="O37172" s="5" t="s">
        <v>355</v>
      </c>
      <c r="P37172" s="5" t="s">
        <v>355</v>
      </c>
      <c r="Q37172" s="5" t="s">
        <v>355</v>
      </c>
    </row>
    <row r="37173" ht="16.5" customHeight="1">
      <c r="O37173" s="5" t="s">
        <v>355</v>
      </c>
      <c r="P37173" s="5" t="s">
        <v>355</v>
      </c>
      <c r="Q37173" s="5" t="s">
        <v>355</v>
      </c>
    </row>
    <row r="37174" ht="16.5" customHeight="1">
      <c r="O37174" s="5" t="s">
        <v>355</v>
      </c>
      <c r="P37174" s="5" t="s">
        <v>355</v>
      </c>
      <c r="Q37174" s="5" t="s">
        <v>355</v>
      </c>
    </row>
    <row r="37175" ht="16.5" customHeight="1">
      <c r="O37175" s="5" t="s">
        <v>355</v>
      </c>
      <c r="P37175" s="5" t="s">
        <v>355</v>
      </c>
      <c r="Q37175" s="5" t="s">
        <v>355</v>
      </c>
    </row>
    <row r="37176" ht="16.5" customHeight="1">
      <c r="O37176" s="5" t="s">
        <v>355</v>
      </c>
      <c r="P37176" s="5" t="s">
        <v>355</v>
      </c>
      <c r="Q37176" s="5" t="s">
        <v>355</v>
      </c>
    </row>
    <row r="37177" ht="16.5" customHeight="1">
      <c r="O37177" s="5" t="s">
        <v>355</v>
      </c>
      <c r="P37177" s="5" t="s">
        <v>355</v>
      </c>
      <c r="Q37177" s="5" t="s">
        <v>355</v>
      </c>
    </row>
    <row r="37178" ht="16.5" customHeight="1">
      <c r="O37178" s="5" t="s">
        <v>355</v>
      </c>
      <c r="P37178" s="5" t="s">
        <v>355</v>
      </c>
      <c r="Q37178" s="5" t="s">
        <v>355</v>
      </c>
    </row>
    <row r="37179" ht="16.5" customHeight="1">
      <c r="O37179" s="5" t="s">
        <v>355</v>
      </c>
      <c r="P37179" s="5" t="s">
        <v>355</v>
      </c>
      <c r="Q37179" s="5" t="s">
        <v>355</v>
      </c>
    </row>
    <row r="37180" ht="16.5" customHeight="1">
      <c r="O37180" s="5" t="s">
        <v>355</v>
      </c>
      <c r="P37180" s="5" t="s">
        <v>355</v>
      </c>
      <c r="Q37180" s="5" t="s">
        <v>355</v>
      </c>
    </row>
    <row r="37181" ht="16.5" customHeight="1">
      <c r="O37181" s="5" t="s">
        <v>355</v>
      </c>
      <c r="P37181" s="5" t="s">
        <v>355</v>
      </c>
      <c r="Q37181" s="5" t="s">
        <v>355</v>
      </c>
    </row>
    <row r="37182" ht="16.5" customHeight="1">
      <c r="O37182" s="5" t="s">
        <v>355</v>
      </c>
      <c r="P37182" s="5" t="s">
        <v>355</v>
      </c>
      <c r="Q37182" s="5" t="s">
        <v>355</v>
      </c>
    </row>
    <row r="37183" ht="16.5" customHeight="1">
      <c r="O37183" s="5" t="s">
        <v>355</v>
      </c>
      <c r="P37183" s="5" t="s">
        <v>355</v>
      </c>
      <c r="Q37183" s="5" t="s">
        <v>355</v>
      </c>
    </row>
    <row r="37184" ht="16.5" customHeight="1">
      <c r="O37184" s="5" t="s">
        <v>355</v>
      </c>
      <c r="P37184" s="5" t="s">
        <v>355</v>
      </c>
      <c r="Q37184" s="5" t="s">
        <v>355</v>
      </c>
    </row>
    <row r="37185" ht="16.5" customHeight="1">
      <c r="O37185" s="5" t="s">
        <v>355</v>
      </c>
      <c r="P37185" s="5" t="s">
        <v>355</v>
      </c>
      <c r="Q37185" s="5" t="s">
        <v>355</v>
      </c>
    </row>
    <row r="37186" ht="16.5" customHeight="1">
      <c r="O37186" s="5" t="s">
        <v>355</v>
      </c>
      <c r="P37186" s="5" t="s">
        <v>355</v>
      </c>
      <c r="Q37186" s="5" t="s">
        <v>355</v>
      </c>
    </row>
    <row r="37187" ht="16.5" customHeight="1">
      <c r="O37187" s="5" t="s">
        <v>355</v>
      </c>
      <c r="P37187" s="5" t="s">
        <v>355</v>
      </c>
      <c r="Q37187" s="5" t="s">
        <v>355</v>
      </c>
    </row>
    <row r="37188" ht="16.5" customHeight="1">
      <c r="O37188" s="5" t="s">
        <v>355</v>
      </c>
      <c r="P37188" s="5" t="s">
        <v>355</v>
      </c>
      <c r="Q37188" s="5" t="s">
        <v>355</v>
      </c>
    </row>
    <row r="37189" ht="16.5" customHeight="1">
      <c r="O37189" s="5" t="s">
        <v>355</v>
      </c>
      <c r="P37189" s="5" t="s">
        <v>355</v>
      </c>
      <c r="Q37189" s="5" t="s">
        <v>355</v>
      </c>
    </row>
    <row r="37190" ht="16.5" customHeight="1">
      <c r="O37190" s="5" t="s">
        <v>355</v>
      </c>
      <c r="P37190" s="5" t="s">
        <v>355</v>
      </c>
      <c r="Q37190" s="5" t="s">
        <v>355</v>
      </c>
    </row>
    <row r="37191" ht="16.5" customHeight="1">
      <c r="O37191" s="5" t="s">
        <v>355</v>
      </c>
      <c r="P37191" s="5" t="s">
        <v>355</v>
      </c>
      <c r="Q37191" s="5" t="s">
        <v>355</v>
      </c>
    </row>
    <row r="37192" ht="16.5" customHeight="1">
      <c r="O37192" s="5" t="s">
        <v>355</v>
      </c>
      <c r="P37192" s="5" t="s">
        <v>355</v>
      </c>
      <c r="Q37192" s="5" t="s">
        <v>355</v>
      </c>
    </row>
    <row r="37193" ht="16.5" customHeight="1">
      <c r="O37193" s="5" t="s">
        <v>355</v>
      </c>
      <c r="P37193" s="5" t="s">
        <v>355</v>
      </c>
      <c r="Q37193" s="5" t="s">
        <v>355</v>
      </c>
    </row>
    <row r="37194" ht="16.5" customHeight="1">
      <c r="O37194" s="5" t="s">
        <v>355</v>
      </c>
      <c r="P37194" s="5" t="s">
        <v>355</v>
      </c>
      <c r="Q37194" s="5" t="s">
        <v>355</v>
      </c>
    </row>
    <row r="37195" ht="16.5" customHeight="1">
      <c r="O37195" s="5" t="s">
        <v>355</v>
      </c>
      <c r="P37195" s="5" t="s">
        <v>355</v>
      </c>
      <c r="Q37195" s="5" t="s">
        <v>355</v>
      </c>
    </row>
    <row r="37196" ht="16.5" customHeight="1">
      <c r="O37196" s="5" t="s">
        <v>355</v>
      </c>
      <c r="P37196" s="5" t="s">
        <v>355</v>
      </c>
      <c r="Q37196" s="5" t="s">
        <v>355</v>
      </c>
    </row>
    <row r="37197" ht="16.5" customHeight="1">
      <c r="O37197" s="5" t="s">
        <v>355</v>
      </c>
      <c r="P37197" s="5" t="s">
        <v>355</v>
      </c>
      <c r="Q37197" s="5" t="s">
        <v>355</v>
      </c>
    </row>
    <row r="37198" ht="16.5" customHeight="1">
      <c r="O37198" s="5" t="s">
        <v>355</v>
      </c>
      <c r="P37198" s="5" t="s">
        <v>355</v>
      </c>
      <c r="Q37198" s="5" t="s">
        <v>355</v>
      </c>
    </row>
    <row r="37199" ht="16.5" customHeight="1">
      <c r="O37199" s="5" t="s">
        <v>355</v>
      </c>
      <c r="P37199" s="5" t="s">
        <v>355</v>
      </c>
      <c r="Q37199" s="5" t="s">
        <v>355</v>
      </c>
    </row>
    <row r="37200" ht="16.5" customHeight="1">
      <c r="O37200" s="5" t="s">
        <v>355</v>
      </c>
      <c r="P37200" s="5" t="s">
        <v>355</v>
      </c>
      <c r="Q37200" s="5" t="s">
        <v>355</v>
      </c>
    </row>
    <row r="37201" ht="16.5" customHeight="1">
      <c r="O37201" s="5" t="s">
        <v>355</v>
      </c>
      <c r="P37201" s="5" t="s">
        <v>355</v>
      </c>
      <c r="Q37201" s="5" t="s">
        <v>355</v>
      </c>
    </row>
    <row r="37202" ht="16.5" customHeight="1">
      <c r="O37202" s="5" t="s">
        <v>355</v>
      </c>
      <c r="P37202" s="5" t="s">
        <v>355</v>
      </c>
      <c r="Q37202" s="5" t="s">
        <v>355</v>
      </c>
    </row>
    <row r="37203" ht="16.5" customHeight="1">
      <c r="O37203" s="5" t="s">
        <v>355</v>
      </c>
      <c r="P37203" s="5" t="s">
        <v>355</v>
      </c>
      <c r="Q37203" s="5" t="s">
        <v>355</v>
      </c>
    </row>
    <row r="37204" ht="16.5" customHeight="1">
      <c r="O37204" s="5" t="s">
        <v>355</v>
      </c>
      <c r="P37204" s="5" t="s">
        <v>355</v>
      </c>
      <c r="Q37204" s="5" t="s">
        <v>355</v>
      </c>
    </row>
    <row r="37205" ht="16.5" customHeight="1">
      <c r="O37205" s="5" t="s">
        <v>355</v>
      </c>
      <c r="P37205" s="5" t="s">
        <v>355</v>
      </c>
      <c r="Q37205" s="5" t="s">
        <v>355</v>
      </c>
    </row>
    <row r="37206" ht="16.5" customHeight="1">
      <c r="O37206" s="5" t="s">
        <v>355</v>
      </c>
      <c r="P37206" s="5" t="s">
        <v>355</v>
      </c>
      <c r="Q37206" s="5" t="s">
        <v>355</v>
      </c>
    </row>
    <row r="37207" ht="16.5" customHeight="1">
      <c r="O37207" s="5" t="s">
        <v>355</v>
      </c>
      <c r="P37207" s="5" t="s">
        <v>355</v>
      </c>
      <c r="Q37207" s="5" t="s">
        <v>355</v>
      </c>
    </row>
    <row r="37208" ht="16.5" customHeight="1">
      <c r="O37208" s="5" t="s">
        <v>355</v>
      </c>
      <c r="P37208" s="5" t="s">
        <v>355</v>
      </c>
      <c r="Q37208" s="5" t="s">
        <v>355</v>
      </c>
    </row>
    <row r="37209" ht="16.5" customHeight="1">
      <c r="O37209" s="5" t="s">
        <v>355</v>
      </c>
      <c r="P37209" s="5" t="s">
        <v>355</v>
      </c>
      <c r="Q37209" s="5" t="s">
        <v>355</v>
      </c>
    </row>
    <row r="37210" ht="16.5" customHeight="1">
      <c r="O37210" s="5" t="s">
        <v>355</v>
      </c>
      <c r="P37210" s="5" t="s">
        <v>355</v>
      </c>
      <c r="Q37210" s="5" t="s">
        <v>355</v>
      </c>
    </row>
    <row r="37211" ht="16.5" customHeight="1">
      <c r="O37211" s="5" t="s">
        <v>355</v>
      </c>
      <c r="P37211" s="5" t="s">
        <v>355</v>
      </c>
      <c r="Q37211" s="5" t="s">
        <v>355</v>
      </c>
    </row>
    <row r="37212" ht="16.5" customHeight="1">
      <c r="O37212" s="5" t="s">
        <v>355</v>
      </c>
      <c r="P37212" s="5" t="s">
        <v>355</v>
      </c>
      <c r="Q37212" s="5" t="s">
        <v>355</v>
      </c>
    </row>
    <row r="37213" ht="16.5" customHeight="1">
      <c r="O37213" s="5" t="s">
        <v>355</v>
      </c>
      <c r="P37213" s="5" t="s">
        <v>355</v>
      </c>
      <c r="Q37213" s="5" t="s">
        <v>355</v>
      </c>
    </row>
    <row r="37214" ht="16.5" customHeight="1">
      <c r="O37214" s="5" t="s">
        <v>355</v>
      </c>
      <c r="P37214" s="5" t="s">
        <v>355</v>
      </c>
      <c r="Q37214" s="5" t="s">
        <v>355</v>
      </c>
    </row>
    <row r="37215" ht="16.5" customHeight="1">
      <c r="O37215" s="5" t="s">
        <v>355</v>
      </c>
      <c r="P37215" s="5" t="s">
        <v>355</v>
      </c>
      <c r="Q37215" s="5" t="s">
        <v>355</v>
      </c>
    </row>
    <row r="37216" ht="16.5" customHeight="1">
      <c r="O37216" s="5" t="s">
        <v>355</v>
      </c>
      <c r="P37216" s="5" t="s">
        <v>355</v>
      </c>
      <c r="Q37216" s="5" t="s">
        <v>355</v>
      </c>
    </row>
    <row r="37217" ht="16.5" customHeight="1">
      <c r="O37217" s="5" t="s">
        <v>355</v>
      </c>
      <c r="P37217" s="5" t="s">
        <v>355</v>
      </c>
      <c r="Q37217" s="5" t="s">
        <v>355</v>
      </c>
    </row>
    <row r="37218" ht="16.5" customHeight="1">
      <c r="O37218" s="5" t="s">
        <v>355</v>
      </c>
      <c r="P37218" s="5" t="s">
        <v>355</v>
      </c>
      <c r="Q37218" s="5" t="s">
        <v>355</v>
      </c>
    </row>
    <row r="37219" ht="16.5" customHeight="1">
      <c r="O37219" s="5" t="s">
        <v>355</v>
      </c>
      <c r="P37219" s="5" t="s">
        <v>355</v>
      </c>
      <c r="Q37219" s="5" t="s">
        <v>355</v>
      </c>
    </row>
    <row r="37220" ht="16.5" customHeight="1">
      <c r="O37220" s="5" t="s">
        <v>355</v>
      </c>
      <c r="P37220" s="5" t="s">
        <v>355</v>
      </c>
      <c r="Q37220" s="5" t="s">
        <v>355</v>
      </c>
    </row>
    <row r="37221" ht="16.5" customHeight="1">
      <c r="O37221" s="5" t="s">
        <v>355</v>
      </c>
      <c r="P37221" s="5" t="s">
        <v>355</v>
      </c>
      <c r="Q37221" s="5" t="s">
        <v>355</v>
      </c>
    </row>
    <row r="37222" ht="16.5" customHeight="1">
      <c r="O37222" s="5" t="s">
        <v>355</v>
      </c>
      <c r="P37222" s="5" t="s">
        <v>355</v>
      </c>
      <c r="Q37222" s="5" t="s">
        <v>355</v>
      </c>
    </row>
    <row r="37223" ht="16.5" customHeight="1">
      <c r="O37223" s="5" t="s">
        <v>355</v>
      </c>
      <c r="P37223" s="5" t="s">
        <v>355</v>
      </c>
      <c r="Q37223" s="5" t="s">
        <v>355</v>
      </c>
    </row>
    <row r="37224" ht="16.5" customHeight="1">
      <c r="O37224" s="5" t="s">
        <v>355</v>
      </c>
      <c r="P37224" s="5" t="s">
        <v>355</v>
      </c>
      <c r="Q37224" s="5" t="s">
        <v>355</v>
      </c>
    </row>
    <row r="37225" ht="16.5" customHeight="1">
      <c r="O37225" s="5" t="s">
        <v>355</v>
      </c>
      <c r="P37225" s="5" t="s">
        <v>355</v>
      </c>
      <c r="Q37225" s="5" t="s">
        <v>355</v>
      </c>
    </row>
    <row r="37226" ht="16.5" customHeight="1">
      <c r="O37226" s="5" t="s">
        <v>355</v>
      </c>
      <c r="P37226" s="5" t="s">
        <v>355</v>
      </c>
      <c r="Q37226" s="5" t="s">
        <v>355</v>
      </c>
    </row>
    <row r="37227" ht="16.5" customHeight="1">
      <c r="O37227" s="5" t="s">
        <v>355</v>
      </c>
      <c r="P37227" s="5" t="s">
        <v>355</v>
      </c>
      <c r="Q37227" s="5" t="s">
        <v>355</v>
      </c>
    </row>
    <row r="37228" ht="16.5" customHeight="1">
      <c r="O37228" s="5" t="s">
        <v>355</v>
      </c>
      <c r="P37228" s="5" t="s">
        <v>355</v>
      </c>
      <c r="Q37228" s="5" t="s">
        <v>355</v>
      </c>
    </row>
    <row r="37229" ht="16.5" customHeight="1">
      <c r="O37229" s="5" t="s">
        <v>355</v>
      </c>
      <c r="P37229" s="5" t="s">
        <v>355</v>
      </c>
      <c r="Q37229" s="5" t="s">
        <v>355</v>
      </c>
    </row>
    <row r="37230" ht="16.5" customHeight="1">
      <c r="O37230" s="5" t="s">
        <v>355</v>
      </c>
      <c r="P37230" s="5" t="s">
        <v>355</v>
      </c>
      <c r="Q37230" s="5" t="s">
        <v>355</v>
      </c>
    </row>
    <row r="37231" ht="16.5" customHeight="1">
      <c r="O37231" s="5" t="s">
        <v>355</v>
      </c>
      <c r="P37231" s="5" t="s">
        <v>355</v>
      </c>
      <c r="Q37231" s="5" t="s">
        <v>355</v>
      </c>
    </row>
    <row r="37232" ht="16.5" customHeight="1">
      <c r="O37232" s="5" t="s">
        <v>355</v>
      </c>
      <c r="P37232" s="5" t="s">
        <v>355</v>
      </c>
      <c r="Q37232" s="5" t="s">
        <v>355</v>
      </c>
    </row>
    <row r="37233" ht="16.5" customHeight="1">
      <c r="O37233" s="5" t="s">
        <v>355</v>
      </c>
      <c r="P37233" s="5" t="s">
        <v>355</v>
      </c>
      <c r="Q37233" s="5" t="s">
        <v>355</v>
      </c>
    </row>
    <row r="37234" ht="16.5" customHeight="1">
      <c r="O37234" s="5" t="s">
        <v>355</v>
      </c>
      <c r="P37234" s="5" t="s">
        <v>355</v>
      </c>
      <c r="Q37234" s="5" t="s">
        <v>355</v>
      </c>
    </row>
    <row r="37235" ht="16.5" customHeight="1">
      <c r="O37235" s="5" t="s">
        <v>355</v>
      </c>
      <c r="P37235" s="5" t="s">
        <v>355</v>
      </c>
      <c r="Q37235" s="5" t="s">
        <v>355</v>
      </c>
    </row>
    <row r="37236" ht="16.5" customHeight="1">
      <c r="O37236" s="5" t="s">
        <v>355</v>
      </c>
      <c r="P37236" s="5" t="s">
        <v>355</v>
      </c>
      <c r="Q37236" s="5" t="s">
        <v>355</v>
      </c>
    </row>
    <row r="37237" ht="16.5" customHeight="1">
      <c r="O37237" s="5" t="s">
        <v>355</v>
      </c>
      <c r="P37237" s="5" t="s">
        <v>355</v>
      </c>
      <c r="Q37237" s="5" t="s">
        <v>355</v>
      </c>
    </row>
    <row r="37238" ht="16.5" customHeight="1">
      <c r="O37238" s="5" t="s">
        <v>355</v>
      </c>
      <c r="P37238" s="5" t="s">
        <v>355</v>
      </c>
      <c r="Q37238" s="5" t="s">
        <v>355</v>
      </c>
    </row>
    <row r="37239" ht="16.5" customHeight="1">
      <c r="O37239" s="5" t="s">
        <v>355</v>
      </c>
      <c r="P37239" s="5" t="s">
        <v>355</v>
      </c>
      <c r="Q37239" s="5" t="s">
        <v>355</v>
      </c>
    </row>
    <row r="37240" ht="16.5" customHeight="1">
      <c r="O37240" s="5" t="s">
        <v>355</v>
      </c>
      <c r="P37240" s="5" t="s">
        <v>355</v>
      </c>
      <c r="Q37240" s="5" t="s">
        <v>355</v>
      </c>
    </row>
    <row r="37241" ht="16.5" customHeight="1">
      <c r="O37241" s="5" t="s">
        <v>355</v>
      </c>
      <c r="P37241" s="5" t="s">
        <v>355</v>
      </c>
      <c r="Q37241" s="5" t="s">
        <v>355</v>
      </c>
    </row>
    <row r="37242" ht="16.5" customHeight="1">
      <c r="O37242" s="5" t="s">
        <v>355</v>
      </c>
      <c r="P37242" s="5" t="s">
        <v>355</v>
      </c>
      <c r="Q37242" s="5" t="s">
        <v>355</v>
      </c>
    </row>
    <row r="37243" ht="16.5" customHeight="1">
      <c r="O37243" s="5" t="s">
        <v>355</v>
      </c>
      <c r="P37243" s="5" t="s">
        <v>355</v>
      </c>
      <c r="Q37243" s="5" t="s">
        <v>355</v>
      </c>
    </row>
    <row r="37244" ht="16.5" customHeight="1">
      <c r="O37244" s="5" t="s">
        <v>355</v>
      </c>
      <c r="P37244" s="5" t="s">
        <v>355</v>
      </c>
      <c r="Q37244" s="5" t="s">
        <v>355</v>
      </c>
    </row>
    <row r="37245" ht="16.5" customHeight="1">
      <c r="O37245" s="5" t="s">
        <v>355</v>
      </c>
      <c r="P37245" s="5" t="s">
        <v>355</v>
      </c>
      <c r="Q37245" s="5" t="s">
        <v>355</v>
      </c>
    </row>
    <row r="37246" ht="16.5" customHeight="1">
      <c r="O37246" s="5" t="s">
        <v>355</v>
      </c>
      <c r="P37246" s="5" t="s">
        <v>355</v>
      </c>
      <c r="Q37246" s="5" t="s">
        <v>355</v>
      </c>
    </row>
    <row r="37247" ht="16.5" customHeight="1">
      <c r="O37247" s="5" t="s">
        <v>355</v>
      </c>
      <c r="P37247" s="5" t="s">
        <v>355</v>
      </c>
      <c r="Q37247" s="5" t="s">
        <v>355</v>
      </c>
    </row>
    <row r="37248" ht="16.5" customHeight="1">
      <c r="O37248" s="5" t="s">
        <v>355</v>
      </c>
      <c r="P37248" s="5" t="s">
        <v>355</v>
      </c>
      <c r="Q37248" s="5" t="s">
        <v>355</v>
      </c>
    </row>
    <row r="37249" ht="16.5" customHeight="1">
      <c r="O37249" s="5" t="s">
        <v>355</v>
      </c>
      <c r="P37249" s="5" t="s">
        <v>355</v>
      </c>
      <c r="Q37249" s="5" t="s">
        <v>355</v>
      </c>
    </row>
    <row r="37250" ht="16.5" customHeight="1">
      <c r="O37250" s="5" t="s">
        <v>355</v>
      </c>
      <c r="P37250" s="5" t="s">
        <v>355</v>
      </c>
      <c r="Q37250" s="5" t="s">
        <v>355</v>
      </c>
    </row>
    <row r="37251" ht="16.5" customHeight="1">
      <c r="O37251" s="5" t="s">
        <v>355</v>
      </c>
      <c r="P37251" s="5" t="s">
        <v>355</v>
      </c>
      <c r="Q37251" s="5" t="s">
        <v>355</v>
      </c>
    </row>
    <row r="37252" ht="16.5" customHeight="1">
      <c r="O37252" s="5" t="s">
        <v>355</v>
      </c>
      <c r="P37252" s="5" t="s">
        <v>355</v>
      </c>
      <c r="Q37252" s="5" t="s">
        <v>355</v>
      </c>
    </row>
    <row r="37253" ht="16.5" customHeight="1">
      <c r="O37253" s="5" t="s">
        <v>355</v>
      </c>
      <c r="P37253" s="5" t="s">
        <v>355</v>
      </c>
      <c r="Q37253" s="5" t="s">
        <v>355</v>
      </c>
    </row>
    <row r="37254" ht="16.5" customHeight="1">
      <c r="O37254" s="5" t="s">
        <v>355</v>
      </c>
      <c r="P37254" s="5" t="s">
        <v>355</v>
      </c>
      <c r="Q37254" s="5" t="s">
        <v>355</v>
      </c>
    </row>
    <row r="37255" ht="16.5" customHeight="1">
      <c r="O37255" s="5" t="s">
        <v>355</v>
      </c>
      <c r="P37255" s="5" t="s">
        <v>355</v>
      </c>
      <c r="Q37255" s="5" t="s">
        <v>355</v>
      </c>
    </row>
    <row r="37256" ht="16.5" customHeight="1">
      <c r="O37256" s="5" t="s">
        <v>355</v>
      </c>
      <c r="P37256" s="5" t="s">
        <v>355</v>
      </c>
      <c r="Q37256" s="5" t="s">
        <v>355</v>
      </c>
    </row>
    <row r="37257" ht="16.5" customHeight="1">
      <c r="O37257" s="5" t="s">
        <v>355</v>
      </c>
      <c r="P37257" s="5" t="s">
        <v>355</v>
      </c>
      <c r="Q37257" s="5" t="s">
        <v>355</v>
      </c>
    </row>
    <row r="37258" ht="16.5" customHeight="1">
      <c r="O37258" s="5" t="s">
        <v>355</v>
      </c>
      <c r="P37258" s="5" t="s">
        <v>355</v>
      </c>
      <c r="Q37258" s="5" t="s">
        <v>355</v>
      </c>
    </row>
    <row r="37259" ht="16.5" customHeight="1">
      <c r="O37259" s="5" t="s">
        <v>355</v>
      </c>
      <c r="P37259" s="5" t="s">
        <v>355</v>
      </c>
      <c r="Q37259" s="5" t="s">
        <v>355</v>
      </c>
    </row>
    <row r="37260" ht="16.5" customHeight="1">
      <c r="O37260" s="5" t="s">
        <v>355</v>
      </c>
      <c r="P37260" s="5" t="s">
        <v>355</v>
      </c>
      <c r="Q37260" s="5" t="s">
        <v>355</v>
      </c>
    </row>
    <row r="37261" ht="16.5" customHeight="1">
      <c r="O37261" s="5" t="s">
        <v>355</v>
      </c>
      <c r="P37261" s="5" t="s">
        <v>355</v>
      </c>
      <c r="Q37261" s="5" t="s">
        <v>355</v>
      </c>
    </row>
    <row r="37262" ht="16.5" customHeight="1">
      <c r="O37262" s="5" t="s">
        <v>355</v>
      </c>
      <c r="P37262" s="5" t="s">
        <v>355</v>
      </c>
      <c r="Q37262" s="5" t="s">
        <v>355</v>
      </c>
    </row>
    <row r="37263" ht="16.5" customHeight="1">
      <c r="O37263" s="5" t="s">
        <v>355</v>
      </c>
      <c r="P37263" s="5" t="s">
        <v>355</v>
      </c>
      <c r="Q37263" s="5" t="s">
        <v>355</v>
      </c>
    </row>
    <row r="37264" ht="16.5" customHeight="1">
      <c r="O37264" s="5" t="s">
        <v>355</v>
      </c>
      <c r="P37264" s="5" t="s">
        <v>355</v>
      </c>
      <c r="Q37264" s="5" t="s">
        <v>355</v>
      </c>
    </row>
    <row r="37265" ht="16.5" customHeight="1">
      <c r="O37265" s="5" t="s">
        <v>355</v>
      </c>
      <c r="P37265" s="5" t="s">
        <v>355</v>
      </c>
      <c r="Q37265" s="5" t="s">
        <v>355</v>
      </c>
    </row>
    <row r="37266" ht="16.5" customHeight="1">
      <c r="O37266" s="5" t="s">
        <v>355</v>
      </c>
      <c r="P37266" s="5" t="s">
        <v>355</v>
      </c>
      <c r="Q37266" s="5" t="s">
        <v>355</v>
      </c>
    </row>
    <row r="37267" ht="16.5" customHeight="1">
      <c r="O37267" s="5" t="s">
        <v>355</v>
      </c>
      <c r="P37267" s="5" t="s">
        <v>355</v>
      </c>
      <c r="Q37267" s="5" t="s">
        <v>355</v>
      </c>
    </row>
    <row r="37268" ht="16.5" customHeight="1">
      <c r="O37268" s="5" t="s">
        <v>355</v>
      </c>
      <c r="P37268" s="5" t="s">
        <v>355</v>
      </c>
      <c r="Q37268" s="5" t="s">
        <v>355</v>
      </c>
    </row>
    <row r="37269" ht="16.5" customHeight="1">
      <c r="O37269" s="5" t="s">
        <v>355</v>
      </c>
      <c r="P37269" s="5" t="s">
        <v>355</v>
      </c>
      <c r="Q37269" s="5" t="s">
        <v>355</v>
      </c>
    </row>
    <row r="37270" ht="16.5" customHeight="1">
      <c r="O37270" s="5" t="s">
        <v>355</v>
      </c>
      <c r="P37270" s="5" t="s">
        <v>355</v>
      </c>
      <c r="Q37270" s="5" t="s">
        <v>355</v>
      </c>
    </row>
    <row r="37271" ht="16.5" customHeight="1">
      <c r="O37271" s="5" t="s">
        <v>355</v>
      </c>
      <c r="P37271" s="5" t="s">
        <v>355</v>
      </c>
      <c r="Q37271" s="5" t="s">
        <v>355</v>
      </c>
    </row>
    <row r="37272" ht="16.5" customHeight="1">
      <c r="O37272" s="5" t="s">
        <v>355</v>
      </c>
      <c r="P37272" s="5" t="s">
        <v>355</v>
      </c>
      <c r="Q37272" s="5" t="s">
        <v>355</v>
      </c>
    </row>
    <row r="37273" ht="16.5" customHeight="1">
      <c r="O37273" s="5" t="s">
        <v>355</v>
      </c>
      <c r="P37273" s="5" t="s">
        <v>355</v>
      </c>
      <c r="Q37273" s="5" t="s">
        <v>355</v>
      </c>
    </row>
    <row r="37274" ht="16.5" customHeight="1">
      <c r="O37274" s="5" t="s">
        <v>355</v>
      </c>
      <c r="P37274" s="5" t="s">
        <v>355</v>
      </c>
      <c r="Q37274" s="5" t="s">
        <v>355</v>
      </c>
    </row>
    <row r="37275" ht="16.5" customHeight="1">
      <c r="O37275" s="5" t="s">
        <v>355</v>
      </c>
      <c r="P37275" s="5" t="s">
        <v>355</v>
      </c>
      <c r="Q37275" s="5" t="s">
        <v>355</v>
      </c>
    </row>
    <row r="37276" ht="16.5" customHeight="1">
      <c r="O37276" s="5" t="s">
        <v>355</v>
      </c>
      <c r="P37276" s="5" t="s">
        <v>355</v>
      </c>
      <c r="Q37276" s="5" t="s">
        <v>355</v>
      </c>
    </row>
    <row r="37277" ht="16.5" customHeight="1">
      <c r="O37277" s="5" t="s">
        <v>355</v>
      </c>
      <c r="P37277" s="5" t="s">
        <v>355</v>
      </c>
      <c r="Q37277" s="5" t="s">
        <v>355</v>
      </c>
    </row>
    <row r="37278" ht="16.5" customHeight="1">
      <c r="O37278" s="5" t="s">
        <v>355</v>
      </c>
      <c r="P37278" s="5" t="s">
        <v>355</v>
      </c>
      <c r="Q37278" s="5" t="s">
        <v>355</v>
      </c>
    </row>
    <row r="37279" ht="16.5" customHeight="1">
      <c r="O37279" s="5" t="s">
        <v>355</v>
      </c>
      <c r="P37279" s="5" t="s">
        <v>355</v>
      </c>
      <c r="Q37279" s="5" t="s">
        <v>355</v>
      </c>
    </row>
    <row r="37280" ht="16.5" customHeight="1">
      <c r="O37280" s="5" t="s">
        <v>355</v>
      </c>
      <c r="P37280" s="5" t="s">
        <v>355</v>
      </c>
      <c r="Q37280" s="5" t="s">
        <v>355</v>
      </c>
    </row>
    <row r="37281" ht="16.5" customHeight="1">
      <c r="O37281" s="5" t="s">
        <v>355</v>
      </c>
      <c r="P37281" s="5" t="s">
        <v>355</v>
      </c>
      <c r="Q37281" s="5" t="s">
        <v>355</v>
      </c>
    </row>
    <row r="37282" ht="16.5" customHeight="1">
      <c r="O37282" s="5" t="s">
        <v>355</v>
      </c>
      <c r="P37282" s="5" t="s">
        <v>355</v>
      </c>
      <c r="Q37282" s="5" t="s">
        <v>355</v>
      </c>
    </row>
    <row r="37283" ht="16.5" customHeight="1">
      <c r="O37283" s="5" t="s">
        <v>355</v>
      </c>
      <c r="P37283" s="5" t="s">
        <v>355</v>
      </c>
      <c r="Q37283" s="5" t="s">
        <v>355</v>
      </c>
    </row>
    <row r="37284" ht="16.5" customHeight="1">
      <c r="O37284" s="5" t="s">
        <v>355</v>
      </c>
      <c r="P37284" s="5" t="s">
        <v>355</v>
      </c>
      <c r="Q37284" s="5" t="s">
        <v>355</v>
      </c>
    </row>
    <row r="37285" ht="16.5" customHeight="1">
      <c r="O37285" s="5" t="s">
        <v>355</v>
      </c>
      <c r="P37285" s="5" t="s">
        <v>355</v>
      </c>
      <c r="Q37285" s="5" t="s">
        <v>355</v>
      </c>
    </row>
    <row r="37286" ht="16.5" customHeight="1">
      <c r="O37286" s="5" t="s">
        <v>355</v>
      </c>
      <c r="P37286" s="5" t="s">
        <v>355</v>
      </c>
      <c r="Q37286" s="5" t="s">
        <v>355</v>
      </c>
    </row>
    <row r="37287" ht="16.5" customHeight="1">
      <c r="O37287" s="5" t="s">
        <v>355</v>
      </c>
      <c r="P37287" s="5" t="s">
        <v>355</v>
      </c>
      <c r="Q37287" s="5" t="s">
        <v>355</v>
      </c>
    </row>
    <row r="37288" ht="16.5" customHeight="1">
      <c r="O37288" s="5" t="s">
        <v>355</v>
      </c>
      <c r="P37288" s="5" t="s">
        <v>355</v>
      </c>
      <c r="Q37288" s="5" t="s">
        <v>355</v>
      </c>
    </row>
    <row r="37289" ht="16.5" customHeight="1">
      <c r="O37289" s="5" t="s">
        <v>355</v>
      </c>
      <c r="P37289" s="5" t="s">
        <v>355</v>
      </c>
      <c r="Q37289" s="5" t="s">
        <v>355</v>
      </c>
    </row>
    <row r="37290" ht="16.5" customHeight="1">
      <c r="O37290" s="5" t="s">
        <v>355</v>
      </c>
      <c r="P37290" s="5" t="s">
        <v>355</v>
      </c>
      <c r="Q37290" s="5" t="s">
        <v>355</v>
      </c>
    </row>
    <row r="37291" ht="16.5" customHeight="1">
      <c r="O37291" s="5" t="s">
        <v>355</v>
      </c>
      <c r="P37291" s="5" t="s">
        <v>355</v>
      </c>
      <c r="Q37291" s="5" t="s">
        <v>355</v>
      </c>
    </row>
    <row r="37292" ht="16.5" customHeight="1">
      <c r="O37292" s="5" t="s">
        <v>355</v>
      </c>
      <c r="P37292" s="5" t="s">
        <v>355</v>
      </c>
      <c r="Q37292" s="5" t="s">
        <v>355</v>
      </c>
    </row>
    <row r="37293" ht="16.5" customHeight="1">
      <c r="O37293" s="5" t="s">
        <v>355</v>
      </c>
      <c r="P37293" s="5" t="s">
        <v>355</v>
      </c>
      <c r="Q37293" s="5" t="s">
        <v>355</v>
      </c>
    </row>
    <row r="37294" ht="16.5" customHeight="1">
      <c r="O37294" s="5" t="s">
        <v>355</v>
      </c>
      <c r="P37294" s="5" t="s">
        <v>355</v>
      </c>
      <c r="Q37294" s="5" t="s">
        <v>355</v>
      </c>
    </row>
    <row r="37295" ht="16.5" customHeight="1">
      <c r="O37295" s="5" t="s">
        <v>355</v>
      </c>
      <c r="P37295" s="5" t="s">
        <v>355</v>
      </c>
      <c r="Q37295" s="5" t="s">
        <v>355</v>
      </c>
    </row>
    <row r="37296" ht="16.5" customHeight="1">
      <c r="O37296" s="5" t="s">
        <v>355</v>
      </c>
      <c r="P37296" s="5" t="s">
        <v>355</v>
      </c>
      <c r="Q37296" s="5" t="s">
        <v>355</v>
      </c>
    </row>
    <row r="37297" ht="16.5" customHeight="1">
      <c r="O37297" s="5" t="s">
        <v>355</v>
      </c>
      <c r="P37297" s="5" t="s">
        <v>355</v>
      </c>
      <c r="Q37297" s="5" t="s">
        <v>355</v>
      </c>
    </row>
    <row r="37298" ht="16.5" customHeight="1">
      <c r="O37298" s="5" t="s">
        <v>355</v>
      </c>
      <c r="P37298" s="5" t="s">
        <v>355</v>
      </c>
      <c r="Q37298" s="5" t="s">
        <v>355</v>
      </c>
    </row>
    <row r="37299" ht="16.5" customHeight="1">
      <c r="O37299" s="5" t="s">
        <v>355</v>
      </c>
      <c r="P37299" s="5" t="s">
        <v>355</v>
      </c>
      <c r="Q37299" s="5" t="s">
        <v>355</v>
      </c>
    </row>
    <row r="37300" ht="16.5" customHeight="1">
      <c r="O37300" s="5" t="s">
        <v>355</v>
      </c>
      <c r="P37300" s="5" t="s">
        <v>355</v>
      </c>
      <c r="Q37300" s="5" t="s">
        <v>355</v>
      </c>
    </row>
    <row r="37301" ht="16.5" customHeight="1">
      <c r="O37301" s="5" t="s">
        <v>355</v>
      </c>
      <c r="P37301" s="5" t="s">
        <v>355</v>
      </c>
      <c r="Q37301" s="5" t="s">
        <v>355</v>
      </c>
    </row>
    <row r="37302" ht="16.5" customHeight="1">
      <c r="O37302" s="5" t="s">
        <v>355</v>
      </c>
      <c r="P37302" s="5" t="s">
        <v>355</v>
      </c>
      <c r="Q37302" s="5" t="s">
        <v>355</v>
      </c>
    </row>
    <row r="37303" ht="16.5" customHeight="1">
      <c r="O37303" s="5" t="s">
        <v>355</v>
      </c>
      <c r="P37303" s="5" t="s">
        <v>355</v>
      </c>
      <c r="Q37303" s="5" t="s">
        <v>355</v>
      </c>
    </row>
    <row r="37304" ht="16.5" customHeight="1">
      <c r="O37304" s="5" t="s">
        <v>355</v>
      </c>
      <c r="P37304" s="5" t="s">
        <v>355</v>
      </c>
      <c r="Q37304" s="5" t="s">
        <v>355</v>
      </c>
    </row>
    <row r="37305" ht="16.5" customHeight="1">
      <c r="O37305" s="5" t="s">
        <v>355</v>
      </c>
      <c r="P37305" s="5" t="s">
        <v>355</v>
      </c>
      <c r="Q37305" s="5" t="s">
        <v>355</v>
      </c>
    </row>
    <row r="37306" ht="16.5" customHeight="1">
      <c r="O37306" s="5" t="s">
        <v>355</v>
      </c>
      <c r="P37306" s="5" t="s">
        <v>355</v>
      </c>
      <c r="Q37306" s="5" t="s">
        <v>355</v>
      </c>
    </row>
    <row r="37307" ht="16.5" customHeight="1">
      <c r="O37307" s="5" t="s">
        <v>355</v>
      </c>
      <c r="P37307" s="5" t="s">
        <v>355</v>
      </c>
      <c r="Q37307" s="5" t="s">
        <v>355</v>
      </c>
    </row>
    <row r="37308" ht="16.5" customHeight="1">
      <c r="O37308" s="5" t="s">
        <v>355</v>
      </c>
      <c r="P37308" s="5" t="s">
        <v>355</v>
      </c>
      <c r="Q37308" s="5" t="s">
        <v>355</v>
      </c>
    </row>
    <row r="37309" ht="16.5" customHeight="1">
      <c r="O37309" s="5" t="s">
        <v>355</v>
      </c>
      <c r="P37309" s="5" t="s">
        <v>355</v>
      </c>
      <c r="Q37309" s="5" t="s">
        <v>355</v>
      </c>
    </row>
    <row r="37310" ht="16.5" customHeight="1">
      <c r="O37310" s="5" t="s">
        <v>355</v>
      </c>
      <c r="P37310" s="5" t="s">
        <v>355</v>
      </c>
      <c r="Q37310" s="5" t="s">
        <v>355</v>
      </c>
    </row>
    <row r="37311" ht="16.5" customHeight="1">
      <c r="O37311" s="5" t="s">
        <v>355</v>
      </c>
      <c r="P37311" s="5" t="s">
        <v>355</v>
      </c>
      <c r="Q37311" s="5" t="s">
        <v>355</v>
      </c>
    </row>
    <row r="37312" ht="16.5" customHeight="1">
      <c r="O37312" s="5" t="s">
        <v>355</v>
      </c>
      <c r="P37312" s="5" t="s">
        <v>355</v>
      </c>
      <c r="Q37312" s="5" t="s">
        <v>355</v>
      </c>
    </row>
    <row r="37313" ht="16.5" customHeight="1">
      <c r="O37313" s="5" t="s">
        <v>355</v>
      </c>
      <c r="P37313" s="5" t="s">
        <v>355</v>
      </c>
      <c r="Q37313" s="5" t="s">
        <v>355</v>
      </c>
    </row>
    <row r="37314" ht="16.5" customHeight="1">
      <c r="O37314" s="5" t="s">
        <v>355</v>
      </c>
      <c r="P37314" s="5" t="s">
        <v>355</v>
      </c>
      <c r="Q37314" s="5" t="s">
        <v>355</v>
      </c>
    </row>
    <row r="37315" ht="16.5" customHeight="1">
      <c r="O37315" s="5" t="s">
        <v>355</v>
      </c>
      <c r="P37315" s="5" t="s">
        <v>355</v>
      </c>
      <c r="Q37315" s="5" t="s">
        <v>355</v>
      </c>
    </row>
    <row r="37316" ht="16.5" customHeight="1">
      <c r="O37316" s="5" t="s">
        <v>355</v>
      </c>
      <c r="P37316" s="5" t="s">
        <v>355</v>
      </c>
      <c r="Q37316" s="5" t="s">
        <v>355</v>
      </c>
    </row>
    <row r="37317" ht="16.5" customHeight="1">
      <c r="O37317" s="5" t="s">
        <v>355</v>
      </c>
      <c r="P37317" s="5" t="s">
        <v>355</v>
      </c>
      <c r="Q37317" s="5" t="s">
        <v>355</v>
      </c>
    </row>
    <row r="37318" ht="16.5" customHeight="1">
      <c r="O37318" s="5" t="s">
        <v>355</v>
      </c>
      <c r="P37318" s="5" t="s">
        <v>355</v>
      </c>
      <c r="Q37318" s="5" t="s">
        <v>355</v>
      </c>
    </row>
    <row r="37319" ht="16.5" customHeight="1">
      <c r="O37319" s="5" t="s">
        <v>355</v>
      </c>
      <c r="P37319" s="5" t="s">
        <v>355</v>
      </c>
      <c r="Q37319" s="5" t="s">
        <v>355</v>
      </c>
    </row>
    <row r="37320" ht="16.5" customHeight="1">
      <c r="O37320" s="5" t="s">
        <v>355</v>
      </c>
      <c r="P37320" s="5" t="s">
        <v>355</v>
      </c>
      <c r="Q37320" s="5" t="s">
        <v>355</v>
      </c>
    </row>
    <row r="37321" ht="16.5" customHeight="1">
      <c r="O37321" s="5" t="s">
        <v>355</v>
      </c>
      <c r="P37321" s="5" t="s">
        <v>355</v>
      </c>
      <c r="Q37321" s="5" t="s">
        <v>355</v>
      </c>
    </row>
    <row r="37322" ht="16.5" customHeight="1">
      <c r="O37322" s="5" t="s">
        <v>355</v>
      </c>
      <c r="P37322" s="5" t="s">
        <v>355</v>
      </c>
      <c r="Q37322" s="5" t="s">
        <v>355</v>
      </c>
    </row>
    <row r="37323" ht="16.5" customHeight="1">
      <c r="O37323" s="5" t="s">
        <v>355</v>
      </c>
      <c r="P37323" s="5" t="s">
        <v>355</v>
      </c>
      <c r="Q37323" s="5" t="s">
        <v>355</v>
      </c>
    </row>
    <row r="37324" ht="16.5" customHeight="1">
      <c r="O37324" s="5" t="s">
        <v>355</v>
      </c>
      <c r="P37324" s="5" t="s">
        <v>355</v>
      </c>
      <c r="Q37324" s="5" t="s">
        <v>355</v>
      </c>
    </row>
    <row r="37325" ht="16.5" customHeight="1">
      <c r="O37325" s="5" t="s">
        <v>355</v>
      </c>
      <c r="P37325" s="5" t="s">
        <v>355</v>
      </c>
      <c r="Q37325" s="5" t="s">
        <v>355</v>
      </c>
    </row>
    <row r="37326" ht="16.5" customHeight="1">
      <c r="O37326" s="5" t="s">
        <v>355</v>
      </c>
      <c r="P37326" s="5" t="s">
        <v>355</v>
      </c>
      <c r="Q37326" s="5" t="s">
        <v>355</v>
      </c>
    </row>
    <row r="37327" ht="16.5" customHeight="1">
      <c r="O37327" s="5" t="s">
        <v>355</v>
      </c>
      <c r="P37327" s="5" t="s">
        <v>355</v>
      </c>
      <c r="Q37327" s="5" t="s">
        <v>355</v>
      </c>
    </row>
    <row r="37328" ht="16.5" customHeight="1">
      <c r="O37328" s="5" t="s">
        <v>355</v>
      </c>
      <c r="P37328" s="5" t="s">
        <v>355</v>
      </c>
      <c r="Q37328" s="5" t="s">
        <v>355</v>
      </c>
    </row>
    <row r="37329" ht="16.5" customHeight="1">
      <c r="O37329" s="5" t="s">
        <v>355</v>
      </c>
      <c r="P37329" s="5" t="s">
        <v>355</v>
      </c>
      <c r="Q37329" s="5" t="s">
        <v>355</v>
      </c>
    </row>
    <row r="37330" ht="16.5" customHeight="1">
      <c r="O37330" s="5" t="s">
        <v>355</v>
      </c>
      <c r="P37330" s="5" t="s">
        <v>355</v>
      </c>
      <c r="Q37330" s="5" t="s">
        <v>355</v>
      </c>
    </row>
    <row r="37331" ht="16.5" customHeight="1">
      <c r="O37331" s="5" t="s">
        <v>355</v>
      </c>
      <c r="P37331" s="5" t="s">
        <v>355</v>
      </c>
      <c r="Q37331" s="5" t="s">
        <v>355</v>
      </c>
    </row>
    <row r="37332" ht="16.5" customHeight="1">
      <c r="O37332" s="5" t="s">
        <v>355</v>
      </c>
      <c r="P37332" s="5" t="s">
        <v>355</v>
      </c>
      <c r="Q37332" s="5" t="s">
        <v>355</v>
      </c>
    </row>
    <row r="37333" ht="16.5" customHeight="1">
      <c r="O37333" s="5" t="s">
        <v>355</v>
      </c>
      <c r="P37333" s="5" t="s">
        <v>355</v>
      </c>
      <c r="Q37333" s="5" t="s">
        <v>355</v>
      </c>
    </row>
    <row r="37334" ht="16.5" customHeight="1">
      <c r="O37334" s="5" t="s">
        <v>355</v>
      </c>
      <c r="P37334" s="5" t="s">
        <v>355</v>
      </c>
      <c r="Q37334" s="5" t="s">
        <v>355</v>
      </c>
    </row>
    <row r="37335" ht="16.5" customHeight="1">
      <c r="O37335" s="5" t="s">
        <v>355</v>
      </c>
      <c r="P37335" s="5" t="s">
        <v>355</v>
      </c>
      <c r="Q37335" s="5" t="s">
        <v>355</v>
      </c>
    </row>
    <row r="37336" ht="16.5" customHeight="1">
      <c r="O37336" s="5" t="s">
        <v>355</v>
      </c>
      <c r="P37336" s="5" t="s">
        <v>355</v>
      </c>
      <c r="Q37336" s="5" t="s">
        <v>355</v>
      </c>
    </row>
    <row r="37337" ht="16.5" customHeight="1">
      <c r="O37337" s="5" t="s">
        <v>355</v>
      </c>
      <c r="P37337" s="5" t="s">
        <v>355</v>
      </c>
      <c r="Q37337" s="5" t="s">
        <v>355</v>
      </c>
    </row>
    <row r="37338" ht="16.5" customHeight="1">
      <c r="O37338" s="5" t="s">
        <v>355</v>
      </c>
      <c r="P37338" s="5" t="s">
        <v>355</v>
      </c>
      <c r="Q37338" s="5" t="s">
        <v>355</v>
      </c>
    </row>
    <row r="37339" ht="16.5" customHeight="1">
      <c r="O37339" s="5" t="s">
        <v>355</v>
      </c>
      <c r="P37339" s="5" t="s">
        <v>355</v>
      </c>
      <c r="Q37339" s="5" t="s">
        <v>355</v>
      </c>
    </row>
    <row r="37340" ht="16.5" customHeight="1">
      <c r="O37340" s="5" t="s">
        <v>355</v>
      </c>
      <c r="P37340" s="5" t="s">
        <v>355</v>
      </c>
      <c r="Q37340" s="5" t="s">
        <v>355</v>
      </c>
    </row>
    <row r="37341" ht="16.5" customHeight="1">
      <c r="O37341" s="5" t="s">
        <v>355</v>
      </c>
      <c r="P37341" s="5" t="s">
        <v>355</v>
      </c>
      <c r="Q37341" s="5" t="s">
        <v>355</v>
      </c>
    </row>
    <row r="37342" ht="16.5" customHeight="1">
      <c r="O37342" s="5" t="s">
        <v>355</v>
      </c>
      <c r="P37342" s="5" t="s">
        <v>355</v>
      </c>
      <c r="Q37342" s="5" t="s">
        <v>355</v>
      </c>
    </row>
    <row r="37343" ht="16.5" customHeight="1">
      <c r="O37343" s="5" t="s">
        <v>355</v>
      </c>
      <c r="P37343" s="5" t="s">
        <v>355</v>
      </c>
      <c r="Q37343" s="5" t="s">
        <v>355</v>
      </c>
    </row>
    <row r="37344" ht="16.5" customHeight="1">
      <c r="O37344" s="5" t="s">
        <v>355</v>
      </c>
      <c r="P37344" s="5" t="s">
        <v>355</v>
      </c>
      <c r="Q37344" s="5" t="s">
        <v>355</v>
      </c>
    </row>
    <row r="37345" ht="16.5" customHeight="1">
      <c r="O37345" s="5" t="s">
        <v>355</v>
      </c>
      <c r="P37345" s="5" t="s">
        <v>355</v>
      </c>
      <c r="Q37345" s="5" t="s">
        <v>355</v>
      </c>
    </row>
    <row r="37346" ht="16.5" customHeight="1">
      <c r="O37346" s="5" t="s">
        <v>355</v>
      </c>
      <c r="P37346" s="5" t="s">
        <v>355</v>
      </c>
      <c r="Q37346" s="5" t="s">
        <v>355</v>
      </c>
    </row>
    <row r="37347" ht="16.5" customHeight="1">
      <c r="O37347" s="5" t="s">
        <v>355</v>
      </c>
      <c r="P37347" s="5" t="s">
        <v>355</v>
      </c>
      <c r="Q37347" s="5" t="s">
        <v>355</v>
      </c>
    </row>
    <row r="37348" ht="16.5" customHeight="1">
      <c r="O37348" s="5" t="s">
        <v>355</v>
      </c>
      <c r="P37348" s="5" t="s">
        <v>355</v>
      </c>
      <c r="Q37348" s="5" t="s">
        <v>355</v>
      </c>
    </row>
    <row r="37349" ht="16.5" customHeight="1">
      <c r="O37349" s="5" t="s">
        <v>355</v>
      </c>
      <c r="P37349" s="5" t="s">
        <v>355</v>
      </c>
      <c r="Q37349" s="5" t="s">
        <v>355</v>
      </c>
    </row>
    <row r="37350" ht="16.5" customHeight="1">
      <c r="O37350" s="5" t="s">
        <v>355</v>
      </c>
      <c r="P37350" s="5" t="s">
        <v>355</v>
      </c>
      <c r="Q37350" s="5" t="s">
        <v>355</v>
      </c>
    </row>
    <row r="37351" ht="16.5" customHeight="1">
      <c r="O37351" s="5" t="s">
        <v>355</v>
      </c>
      <c r="P37351" s="5" t="s">
        <v>355</v>
      </c>
      <c r="Q37351" s="5" t="s">
        <v>355</v>
      </c>
    </row>
    <row r="37352" ht="16.5" customHeight="1">
      <c r="O37352" s="5" t="s">
        <v>355</v>
      </c>
      <c r="P37352" s="5" t="s">
        <v>355</v>
      </c>
      <c r="Q37352" s="5" t="s">
        <v>355</v>
      </c>
    </row>
    <row r="37353" ht="16.5" customHeight="1">
      <c r="O37353" s="5" t="s">
        <v>355</v>
      </c>
      <c r="P37353" s="5" t="s">
        <v>355</v>
      </c>
      <c r="Q37353" s="5" t="s">
        <v>355</v>
      </c>
    </row>
    <row r="37354" ht="16.5" customHeight="1">
      <c r="O37354" s="5" t="s">
        <v>355</v>
      </c>
      <c r="P37354" s="5" t="s">
        <v>355</v>
      </c>
      <c r="Q37354" s="5" t="s">
        <v>355</v>
      </c>
    </row>
    <row r="37355" ht="16.5" customHeight="1">
      <c r="O37355" s="5" t="s">
        <v>355</v>
      </c>
      <c r="P37355" s="5" t="s">
        <v>355</v>
      </c>
      <c r="Q37355" s="5" t="s">
        <v>355</v>
      </c>
    </row>
    <row r="37356" ht="16.5" customHeight="1">
      <c r="O37356" s="5" t="s">
        <v>355</v>
      </c>
      <c r="P37356" s="5" t="s">
        <v>355</v>
      </c>
      <c r="Q37356" s="5" t="s">
        <v>355</v>
      </c>
    </row>
    <row r="37357" ht="16.5" customHeight="1">
      <c r="O37357" s="5" t="s">
        <v>355</v>
      </c>
      <c r="P37357" s="5" t="s">
        <v>355</v>
      </c>
      <c r="Q37357" s="5" t="s">
        <v>355</v>
      </c>
    </row>
    <row r="37358" ht="16.5" customHeight="1">
      <c r="O37358" s="5" t="s">
        <v>355</v>
      </c>
      <c r="P37358" s="5" t="s">
        <v>355</v>
      </c>
      <c r="Q37358" s="5" t="s">
        <v>355</v>
      </c>
    </row>
    <row r="37359" ht="16.5" customHeight="1">
      <c r="O37359" s="5" t="s">
        <v>355</v>
      </c>
      <c r="P37359" s="5" t="s">
        <v>355</v>
      </c>
      <c r="Q37359" s="5" t="s">
        <v>355</v>
      </c>
    </row>
    <row r="37360" ht="16.5" customHeight="1">
      <c r="O37360" s="5" t="s">
        <v>355</v>
      </c>
      <c r="P37360" s="5" t="s">
        <v>355</v>
      </c>
      <c r="Q37360" s="5" t="s">
        <v>355</v>
      </c>
    </row>
    <row r="37361" ht="16.5" customHeight="1">
      <c r="O37361" s="5" t="s">
        <v>355</v>
      </c>
      <c r="P37361" s="5" t="s">
        <v>355</v>
      </c>
      <c r="Q37361" s="5" t="s">
        <v>355</v>
      </c>
    </row>
    <row r="37362" ht="16.5" customHeight="1">
      <c r="O37362" s="5" t="s">
        <v>355</v>
      </c>
      <c r="P37362" s="5" t="s">
        <v>355</v>
      </c>
      <c r="Q37362" s="5" t="s">
        <v>355</v>
      </c>
    </row>
    <row r="37363" ht="16.5" customHeight="1">
      <c r="O37363" s="5" t="s">
        <v>355</v>
      </c>
      <c r="P37363" s="5" t="s">
        <v>355</v>
      </c>
      <c r="Q37363" s="5" t="s">
        <v>355</v>
      </c>
    </row>
    <row r="37364" ht="16.5" customHeight="1">
      <c r="O37364" s="5" t="s">
        <v>355</v>
      </c>
      <c r="P37364" s="5" t="s">
        <v>355</v>
      </c>
      <c r="Q37364" s="5" t="s">
        <v>355</v>
      </c>
    </row>
    <row r="37365" ht="16.5" customHeight="1">
      <c r="O37365" s="5" t="s">
        <v>355</v>
      </c>
      <c r="P37365" s="5" t="s">
        <v>355</v>
      </c>
      <c r="Q37365" s="5" t="s">
        <v>355</v>
      </c>
    </row>
    <row r="37366" ht="16.5" customHeight="1">
      <c r="O37366" s="5" t="s">
        <v>355</v>
      </c>
      <c r="P37366" s="5" t="s">
        <v>355</v>
      </c>
      <c r="Q37366" s="5" t="s">
        <v>355</v>
      </c>
    </row>
    <row r="37367" ht="16.5" customHeight="1">
      <c r="O37367" s="5" t="s">
        <v>355</v>
      </c>
      <c r="P37367" s="5" t="s">
        <v>355</v>
      </c>
      <c r="Q37367" s="5" t="s">
        <v>355</v>
      </c>
    </row>
    <row r="37368" ht="16.5" customHeight="1">
      <c r="O37368" s="5" t="s">
        <v>355</v>
      </c>
      <c r="P37368" s="5" t="s">
        <v>355</v>
      </c>
      <c r="Q37368" s="5" t="s">
        <v>355</v>
      </c>
    </row>
    <row r="37369" ht="16.5" customHeight="1">
      <c r="O37369" s="5" t="s">
        <v>355</v>
      </c>
      <c r="P37369" s="5" t="s">
        <v>355</v>
      </c>
      <c r="Q37369" s="5" t="s">
        <v>355</v>
      </c>
    </row>
    <row r="37370" ht="16.5" customHeight="1">
      <c r="O37370" s="5" t="s">
        <v>355</v>
      </c>
      <c r="P37370" s="5" t="s">
        <v>355</v>
      </c>
      <c r="Q37370" s="5" t="s">
        <v>355</v>
      </c>
    </row>
    <row r="37371" ht="16.5" customHeight="1">
      <c r="O37371" s="5" t="s">
        <v>355</v>
      </c>
      <c r="P37371" s="5" t="s">
        <v>355</v>
      </c>
      <c r="Q37371" s="5" t="s">
        <v>355</v>
      </c>
    </row>
    <row r="37372" ht="16.5" customHeight="1">
      <c r="O37372" s="5" t="s">
        <v>355</v>
      </c>
      <c r="P37372" s="5" t="s">
        <v>355</v>
      </c>
      <c r="Q37372" s="5" t="s">
        <v>355</v>
      </c>
    </row>
    <row r="37373" ht="16.5" customHeight="1">
      <c r="O37373" s="5" t="s">
        <v>355</v>
      </c>
      <c r="P37373" s="5" t="s">
        <v>355</v>
      </c>
      <c r="Q37373" s="5" t="s">
        <v>355</v>
      </c>
    </row>
    <row r="37374" ht="16.5" customHeight="1">
      <c r="O37374" s="5" t="s">
        <v>355</v>
      </c>
      <c r="P37374" s="5" t="s">
        <v>355</v>
      </c>
      <c r="Q37374" s="5" t="s">
        <v>355</v>
      </c>
    </row>
    <row r="37375" ht="16.5" customHeight="1">
      <c r="O37375" s="5" t="s">
        <v>355</v>
      </c>
      <c r="P37375" s="5" t="s">
        <v>355</v>
      </c>
      <c r="Q37375" s="5" t="s">
        <v>355</v>
      </c>
    </row>
    <row r="37376" ht="16.5" customHeight="1">
      <c r="O37376" s="5" t="s">
        <v>355</v>
      </c>
      <c r="P37376" s="5" t="s">
        <v>355</v>
      </c>
      <c r="Q37376" s="5" t="s">
        <v>355</v>
      </c>
    </row>
    <row r="37377" ht="16.5" customHeight="1">
      <c r="O37377" s="5" t="s">
        <v>355</v>
      </c>
      <c r="P37377" s="5" t="s">
        <v>355</v>
      </c>
      <c r="Q37377" s="5" t="s">
        <v>355</v>
      </c>
    </row>
    <row r="37378" ht="16.5" customHeight="1">
      <c r="O37378" s="5" t="s">
        <v>355</v>
      </c>
      <c r="P37378" s="5" t="s">
        <v>355</v>
      </c>
      <c r="Q37378" s="5" t="s">
        <v>355</v>
      </c>
    </row>
    <row r="37379" ht="16.5" customHeight="1">
      <c r="O37379" s="5" t="s">
        <v>355</v>
      </c>
      <c r="P37379" s="5" t="s">
        <v>355</v>
      </c>
      <c r="Q37379" s="5" t="s">
        <v>355</v>
      </c>
    </row>
    <row r="37380" ht="16.5" customHeight="1">
      <c r="O37380" s="5" t="s">
        <v>355</v>
      </c>
      <c r="P37380" s="5" t="s">
        <v>355</v>
      </c>
      <c r="Q37380" s="5" t="s">
        <v>355</v>
      </c>
    </row>
    <row r="37381" ht="16.5" customHeight="1">
      <c r="O37381" s="5" t="s">
        <v>355</v>
      </c>
      <c r="P37381" s="5" t="s">
        <v>355</v>
      </c>
      <c r="Q37381" s="5" t="s">
        <v>355</v>
      </c>
    </row>
    <row r="37382" ht="16.5" customHeight="1">
      <c r="O37382" s="5" t="s">
        <v>355</v>
      </c>
      <c r="P37382" s="5" t="s">
        <v>355</v>
      </c>
      <c r="Q37382" s="5" t="s">
        <v>355</v>
      </c>
    </row>
    <row r="37383" ht="16.5" customHeight="1">
      <c r="O37383" s="5" t="s">
        <v>355</v>
      </c>
      <c r="P37383" s="5" t="s">
        <v>355</v>
      </c>
      <c r="Q37383" s="5" t="s">
        <v>355</v>
      </c>
    </row>
    <row r="37384" ht="16.5" customHeight="1">
      <c r="O37384" s="5" t="s">
        <v>355</v>
      </c>
      <c r="P37384" s="5" t="s">
        <v>355</v>
      </c>
      <c r="Q37384" s="5" t="s">
        <v>355</v>
      </c>
    </row>
    <row r="37385" ht="16.5" customHeight="1">
      <c r="O37385" s="5" t="s">
        <v>355</v>
      </c>
      <c r="P37385" s="5" t="s">
        <v>355</v>
      </c>
      <c r="Q37385" s="5" t="s">
        <v>355</v>
      </c>
    </row>
    <row r="37386" ht="16.5" customHeight="1">
      <c r="O37386" s="5" t="s">
        <v>355</v>
      </c>
      <c r="P37386" s="5" t="s">
        <v>355</v>
      </c>
      <c r="Q37386" s="5" t="s">
        <v>355</v>
      </c>
    </row>
    <row r="37387" ht="16.5" customHeight="1">
      <c r="O37387" s="5" t="s">
        <v>355</v>
      </c>
      <c r="P37387" s="5" t="s">
        <v>355</v>
      </c>
      <c r="Q37387" s="5" t="s">
        <v>355</v>
      </c>
    </row>
    <row r="37388" ht="16.5" customHeight="1">
      <c r="O37388" s="5" t="s">
        <v>355</v>
      </c>
      <c r="P37388" s="5" t="s">
        <v>355</v>
      </c>
      <c r="Q37388" s="5" t="s">
        <v>355</v>
      </c>
    </row>
    <row r="37389" ht="16.5" customHeight="1">
      <c r="O37389" s="5" t="s">
        <v>355</v>
      </c>
      <c r="P37389" s="5" t="s">
        <v>355</v>
      </c>
      <c r="Q37389" s="5" t="s">
        <v>355</v>
      </c>
    </row>
    <row r="37390" ht="16.5" customHeight="1">
      <c r="O37390" s="5" t="s">
        <v>355</v>
      </c>
      <c r="P37390" s="5" t="s">
        <v>355</v>
      </c>
      <c r="Q37390" s="5" t="s">
        <v>355</v>
      </c>
    </row>
    <row r="37391" ht="16.5" customHeight="1">
      <c r="O37391" s="5" t="s">
        <v>355</v>
      </c>
      <c r="P37391" s="5" t="s">
        <v>355</v>
      </c>
      <c r="Q37391" s="5" t="s">
        <v>355</v>
      </c>
    </row>
    <row r="37392" ht="16.5" customHeight="1">
      <c r="O37392" s="5" t="s">
        <v>355</v>
      </c>
      <c r="P37392" s="5" t="s">
        <v>355</v>
      </c>
      <c r="Q37392" s="5" t="s">
        <v>355</v>
      </c>
    </row>
    <row r="37393" ht="16.5" customHeight="1">
      <c r="O37393" s="5" t="s">
        <v>355</v>
      </c>
      <c r="P37393" s="5" t="s">
        <v>355</v>
      </c>
      <c r="Q37393" s="5" t="s">
        <v>355</v>
      </c>
    </row>
    <row r="37394" ht="16.5" customHeight="1">
      <c r="O37394" s="5" t="s">
        <v>355</v>
      </c>
      <c r="P37394" s="5" t="s">
        <v>355</v>
      </c>
      <c r="Q37394" s="5" t="s">
        <v>355</v>
      </c>
    </row>
    <row r="37395" ht="16.5" customHeight="1">
      <c r="O37395" s="5" t="s">
        <v>355</v>
      </c>
      <c r="P37395" s="5" t="s">
        <v>355</v>
      </c>
      <c r="Q37395" s="5" t="s">
        <v>355</v>
      </c>
    </row>
    <row r="37396" ht="16.5" customHeight="1">
      <c r="O37396" s="5" t="s">
        <v>355</v>
      </c>
      <c r="P37396" s="5" t="s">
        <v>355</v>
      </c>
      <c r="Q37396" s="5" t="s">
        <v>355</v>
      </c>
    </row>
    <row r="37397" ht="16.5" customHeight="1">
      <c r="O37397" s="5" t="s">
        <v>355</v>
      </c>
      <c r="P37397" s="5" t="s">
        <v>355</v>
      </c>
      <c r="Q37397" s="5" t="s">
        <v>355</v>
      </c>
    </row>
    <row r="37398" ht="16.5" customHeight="1">
      <c r="O37398" s="5" t="s">
        <v>355</v>
      </c>
      <c r="P37398" s="5" t="s">
        <v>355</v>
      </c>
      <c r="Q37398" s="5" t="s">
        <v>355</v>
      </c>
    </row>
    <row r="37399" ht="16.5" customHeight="1">
      <c r="O37399" s="5" t="s">
        <v>355</v>
      </c>
      <c r="P37399" s="5" t="s">
        <v>355</v>
      </c>
      <c r="Q37399" s="5" t="s">
        <v>355</v>
      </c>
    </row>
    <row r="37400" ht="16.5" customHeight="1">
      <c r="O37400" s="5" t="s">
        <v>355</v>
      </c>
      <c r="P37400" s="5" t="s">
        <v>355</v>
      </c>
      <c r="Q37400" s="5" t="s">
        <v>355</v>
      </c>
    </row>
    <row r="37401" ht="16.5" customHeight="1">
      <c r="O37401" s="5" t="s">
        <v>355</v>
      </c>
      <c r="P37401" s="5" t="s">
        <v>355</v>
      </c>
      <c r="Q37401" s="5" t="s">
        <v>355</v>
      </c>
    </row>
    <row r="37402" ht="16.5" customHeight="1">
      <c r="O37402" s="5" t="s">
        <v>355</v>
      </c>
      <c r="P37402" s="5" t="s">
        <v>355</v>
      </c>
      <c r="Q37402" s="5" t="s">
        <v>355</v>
      </c>
    </row>
    <row r="37403" ht="16.5" customHeight="1">
      <c r="O37403" s="5" t="s">
        <v>355</v>
      </c>
      <c r="P37403" s="5" t="s">
        <v>355</v>
      </c>
      <c r="Q37403" s="5" t="s">
        <v>355</v>
      </c>
    </row>
    <row r="37404" ht="16.5" customHeight="1">
      <c r="O37404" s="5" t="s">
        <v>355</v>
      </c>
      <c r="P37404" s="5" t="s">
        <v>355</v>
      </c>
      <c r="Q37404" s="5" t="s">
        <v>355</v>
      </c>
    </row>
    <row r="37405" ht="16.5" customHeight="1">
      <c r="O37405" s="5" t="s">
        <v>355</v>
      </c>
      <c r="P37405" s="5" t="s">
        <v>355</v>
      </c>
      <c r="Q37405" s="5" t="s">
        <v>355</v>
      </c>
    </row>
    <row r="37406" ht="16.5" customHeight="1">
      <c r="O37406" s="5" t="s">
        <v>355</v>
      </c>
      <c r="P37406" s="5" t="s">
        <v>355</v>
      </c>
      <c r="Q37406" s="5" t="s">
        <v>355</v>
      </c>
    </row>
    <row r="37407" ht="16.5" customHeight="1">
      <c r="O37407" s="5" t="s">
        <v>355</v>
      </c>
      <c r="P37407" s="5" t="s">
        <v>355</v>
      </c>
      <c r="Q37407" s="5" t="s">
        <v>355</v>
      </c>
    </row>
    <row r="37408" ht="16.5" customHeight="1">
      <c r="O37408" s="5" t="s">
        <v>355</v>
      </c>
      <c r="P37408" s="5" t="s">
        <v>355</v>
      </c>
      <c r="Q37408" s="5" t="s">
        <v>355</v>
      </c>
    </row>
    <row r="37409" ht="16.5" customHeight="1">
      <c r="O37409" s="5" t="s">
        <v>355</v>
      </c>
      <c r="P37409" s="5" t="s">
        <v>355</v>
      </c>
      <c r="Q37409" s="5" t="s">
        <v>355</v>
      </c>
    </row>
    <row r="37410" ht="16.5" customHeight="1">
      <c r="O37410" s="5" t="s">
        <v>355</v>
      </c>
      <c r="P37410" s="5" t="s">
        <v>355</v>
      </c>
      <c r="Q37410" s="5" t="s">
        <v>355</v>
      </c>
    </row>
    <row r="37411" ht="16.5" customHeight="1">
      <c r="O37411" s="5" t="s">
        <v>355</v>
      </c>
      <c r="P37411" s="5" t="s">
        <v>355</v>
      </c>
      <c r="Q37411" s="5" t="s">
        <v>355</v>
      </c>
    </row>
    <row r="37412" ht="16.5" customHeight="1">
      <c r="O37412" s="5" t="s">
        <v>355</v>
      </c>
      <c r="P37412" s="5" t="s">
        <v>355</v>
      </c>
      <c r="Q37412" s="5" t="s">
        <v>355</v>
      </c>
    </row>
    <row r="37413" ht="16.5" customHeight="1">
      <c r="O37413" s="5" t="s">
        <v>355</v>
      </c>
      <c r="P37413" s="5" t="s">
        <v>355</v>
      </c>
      <c r="Q37413" s="5" t="s">
        <v>355</v>
      </c>
    </row>
    <row r="37414" ht="16.5" customHeight="1">
      <c r="O37414" s="5" t="s">
        <v>355</v>
      </c>
      <c r="P37414" s="5" t="s">
        <v>355</v>
      </c>
      <c r="Q37414" s="5" t="s">
        <v>355</v>
      </c>
    </row>
    <row r="37415" ht="16.5" customHeight="1">
      <c r="O37415" s="5" t="s">
        <v>355</v>
      </c>
      <c r="P37415" s="5" t="s">
        <v>355</v>
      </c>
      <c r="Q37415" s="5" t="s">
        <v>355</v>
      </c>
    </row>
    <row r="37416" ht="16.5" customHeight="1">
      <c r="O37416" s="5" t="s">
        <v>355</v>
      </c>
      <c r="P37416" s="5" t="s">
        <v>355</v>
      </c>
      <c r="Q37416" s="5" t="s">
        <v>355</v>
      </c>
    </row>
    <row r="37417" ht="16.5" customHeight="1">
      <c r="O37417" s="5" t="s">
        <v>355</v>
      </c>
      <c r="P37417" s="5" t="s">
        <v>355</v>
      </c>
      <c r="Q37417" s="5" t="s">
        <v>355</v>
      </c>
    </row>
    <row r="37418" ht="16.5" customHeight="1">
      <c r="O37418" s="5" t="s">
        <v>355</v>
      </c>
      <c r="P37418" s="5" t="s">
        <v>355</v>
      </c>
      <c r="Q37418" s="5" t="s">
        <v>355</v>
      </c>
    </row>
    <row r="37419" ht="16.5" customHeight="1">
      <c r="O37419" s="5" t="s">
        <v>355</v>
      </c>
      <c r="P37419" s="5" t="s">
        <v>355</v>
      </c>
      <c r="Q37419" s="5" t="s">
        <v>355</v>
      </c>
    </row>
    <row r="37420" ht="16.5" customHeight="1">
      <c r="O37420" s="5" t="s">
        <v>355</v>
      </c>
      <c r="P37420" s="5" t="s">
        <v>355</v>
      </c>
      <c r="Q37420" s="5" t="s">
        <v>355</v>
      </c>
    </row>
    <row r="37421" ht="16.5" customHeight="1">
      <c r="O37421" s="5" t="s">
        <v>355</v>
      </c>
      <c r="P37421" s="5" t="s">
        <v>355</v>
      </c>
      <c r="Q37421" s="5" t="s">
        <v>355</v>
      </c>
    </row>
    <row r="37422" ht="16.5" customHeight="1">
      <c r="O37422" s="5" t="s">
        <v>355</v>
      </c>
      <c r="P37422" s="5" t="s">
        <v>355</v>
      </c>
      <c r="Q37422" s="5" t="s">
        <v>355</v>
      </c>
    </row>
    <row r="37423" ht="16.5" customHeight="1">
      <c r="O37423" s="5" t="s">
        <v>355</v>
      </c>
      <c r="P37423" s="5" t="s">
        <v>355</v>
      </c>
      <c r="Q37423" s="5" t="s">
        <v>355</v>
      </c>
    </row>
    <row r="37424" ht="16.5" customHeight="1">
      <c r="O37424" s="5" t="s">
        <v>355</v>
      </c>
      <c r="P37424" s="5" t="s">
        <v>355</v>
      </c>
      <c r="Q37424" s="5" t="s">
        <v>355</v>
      </c>
    </row>
    <row r="37425" ht="16.5" customHeight="1">
      <c r="O37425" s="5" t="s">
        <v>355</v>
      </c>
      <c r="P37425" s="5" t="s">
        <v>355</v>
      </c>
      <c r="Q37425" s="5" t="s">
        <v>355</v>
      </c>
    </row>
    <row r="37426" ht="16.5" customHeight="1">
      <c r="O37426" s="5" t="s">
        <v>355</v>
      </c>
      <c r="P37426" s="5" t="s">
        <v>355</v>
      </c>
      <c r="Q37426" s="5" t="s">
        <v>355</v>
      </c>
    </row>
    <row r="37427" ht="16.5" customHeight="1">
      <c r="O37427" s="5" t="s">
        <v>355</v>
      </c>
      <c r="P37427" s="5" t="s">
        <v>355</v>
      </c>
      <c r="Q37427" s="5" t="s">
        <v>355</v>
      </c>
    </row>
    <row r="37428" ht="16.5" customHeight="1">
      <c r="O37428" s="5" t="s">
        <v>355</v>
      </c>
      <c r="P37428" s="5" t="s">
        <v>355</v>
      </c>
      <c r="Q37428" s="5" t="s">
        <v>355</v>
      </c>
    </row>
    <row r="37429" ht="16.5" customHeight="1">
      <c r="O37429" s="5" t="s">
        <v>355</v>
      </c>
      <c r="P37429" s="5" t="s">
        <v>355</v>
      </c>
      <c r="Q37429" s="5" t="s">
        <v>355</v>
      </c>
    </row>
    <row r="37430" ht="16.5" customHeight="1">
      <c r="O37430" s="5" t="s">
        <v>355</v>
      </c>
      <c r="P37430" s="5" t="s">
        <v>355</v>
      </c>
      <c r="Q37430" s="5" t="s">
        <v>355</v>
      </c>
    </row>
    <row r="37431" ht="16.5" customHeight="1">
      <c r="O37431" s="5" t="s">
        <v>355</v>
      </c>
      <c r="P37431" s="5" t="s">
        <v>355</v>
      </c>
      <c r="Q37431" s="5" t="s">
        <v>355</v>
      </c>
    </row>
    <row r="37432" ht="16.5" customHeight="1">
      <c r="O37432" s="5" t="s">
        <v>355</v>
      </c>
      <c r="P37432" s="5" t="s">
        <v>355</v>
      </c>
      <c r="Q37432" s="5" t="s">
        <v>355</v>
      </c>
    </row>
    <row r="37433" ht="16.5" customHeight="1">
      <c r="O37433" s="5" t="s">
        <v>355</v>
      </c>
      <c r="P37433" s="5" t="s">
        <v>355</v>
      </c>
      <c r="Q37433" s="5" t="s">
        <v>355</v>
      </c>
    </row>
    <row r="37434" ht="16.5" customHeight="1">
      <c r="O37434" s="5" t="s">
        <v>355</v>
      </c>
      <c r="P37434" s="5" t="s">
        <v>355</v>
      </c>
      <c r="Q37434" s="5" t="s">
        <v>355</v>
      </c>
    </row>
    <row r="37435" ht="16.5" customHeight="1">
      <c r="O37435" s="5" t="s">
        <v>355</v>
      </c>
      <c r="P37435" s="5" t="s">
        <v>355</v>
      </c>
      <c r="Q37435" s="5" t="s">
        <v>355</v>
      </c>
    </row>
    <row r="37436" ht="16.5" customHeight="1">
      <c r="O37436" s="5" t="s">
        <v>355</v>
      </c>
      <c r="P37436" s="5" t="s">
        <v>355</v>
      </c>
      <c r="Q37436" s="5" t="s">
        <v>355</v>
      </c>
    </row>
    <row r="37437" ht="16.5" customHeight="1">
      <c r="O37437" s="5" t="s">
        <v>355</v>
      </c>
      <c r="P37437" s="5" t="s">
        <v>355</v>
      </c>
      <c r="Q37437" s="5" t="s">
        <v>355</v>
      </c>
    </row>
    <row r="37438" ht="16.5" customHeight="1">
      <c r="O37438" s="5" t="s">
        <v>355</v>
      </c>
      <c r="P37438" s="5" t="s">
        <v>355</v>
      </c>
      <c r="Q37438" s="5" t="s">
        <v>355</v>
      </c>
    </row>
    <row r="37439" ht="16.5" customHeight="1">
      <c r="O37439" s="5" t="s">
        <v>355</v>
      </c>
      <c r="P37439" s="5" t="s">
        <v>355</v>
      </c>
      <c r="Q37439" s="5" t="s">
        <v>355</v>
      </c>
    </row>
    <row r="37440" ht="16.5" customHeight="1">
      <c r="O37440" s="5" t="s">
        <v>355</v>
      </c>
      <c r="P37440" s="5" t="s">
        <v>355</v>
      </c>
      <c r="Q37440" s="5" t="s">
        <v>355</v>
      </c>
    </row>
    <row r="37441" ht="16.5" customHeight="1">
      <c r="O37441" s="5" t="s">
        <v>355</v>
      </c>
      <c r="P37441" s="5" t="s">
        <v>355</v>
      </c>
      <c r="Q37441" s="5" t="s">
        <v>355</v>
      </c>
    </row>
    <row r="37442" ht="16.5" customHeight="1">
      <c r="O37442" s="5" t="s">
        <v>355</v>
      </c>
      <c r="P37442" s="5" t="s">
        <v>355</v>
      </c>
      <c r="Q37442" s="5" t="s">
        <v>355</v>
      </c>
    </row>
    <row r="37443" ht="16.5" customHeight="1">
      <c r="O37443" s="5" t="s">
        <v>355</v>
      </c>
      <c r="P37443" s="5" t="s">
        <v>355</v>
      </c>
      <c r="Q37443" s="5" t="s">
        <v>355</v>
      </c>
    </row>
    <row r="37444" ht="16.5" customHeight="1">
      <c r="O37444" s="5" t="s">
        <v>355</v>
      </c>
      <c r="P37444" s="5" t="s">
        <v>355</v>
      </c>
      <c r="Q37444" s="5" t="s">
        <v>355</v>
      </c>
    </row>
    <row r="37445" ht="16.5" customHeight="1">
      <c r="O37445" s="5" t="s">
        <v>355</v>
      </c>
      <c r="P37445" s="5" t="s">
        <v>355</v>
      </c>
      <c r="Q37445" s="5" t="s">
        <v>355</v>
      </c>
    </row>
    <row r="37446" ht="16.5" customHeight="1">
      <c r="O37446" s="5" t="s">
        <v>355</v>
      </c>
      <c r="P37446" s="5" t="s">
        <v>355</v>
      </c>
      <c r="Q37446" s="5" t="s">
        <v>355</v>
      </c>
    </row>
    <row r="37447" ht="16.5" customHeight="1">
      <c r="O37447" s="5" t="s">
        <v>355</v>
      </c>
      <c r="P37447" s="5" t="s">
        <v>355</v>
      </c>
      <c r="Q37447" s="5" t="s">
        <v>355</v>
      </c>
    </row>
    <row r="37448" ht="16.5" customHeight="1">
      <c r="O37448" s="5" t="s">
        <v>355</v>
      </c>
      <c r="P37448" s="5" t="s">
        <v>355</v>
      </c>
      <c r="Q37448" s="5" t="s">
        <v>355</v>
      </c>
    </row>
    <row r="37449" ht="16.5" customHeight="1">
      <c r="O37449" s="5" t="s">
        <v>355</v>
      </c>
      <c r="P37449" s="5" t="s">
        <v>355</v>
      </c>
      <c r="Q37449" s="5" t="s">
        <v>355</v>
      </c>
    </row>
    <row r="37450" ht="16.5" customHeight="1">
      <c r="O37450" s="5" t="s">
        <v>355</v>
      </c>
      <c r="P37450" s="5" t="s">
        <v>355</v>
      </c>
      <c r="Q37450" s="5" t="s">
        <v>355</v>
      </c>
    </row>
    <row r="37451" ht="16.5" customHeight="1">
      <c r="O37451" s="5" t="s">
        <v>355</v>
      </c>
      <c r="P37451" s="5" t="s">
        <v>355</v>
      </c>
      <c r="Q37451" s="5" t="s">
        <v>355</v>
      </c>
    </row>
    <row r="37452" ht="16.5" customHeight="1">
      <c r="O37452" s="5" t="s">
        <v>355</v>
      </c>
      <c r="P37452" s="5" t="s">
        <v>355</v>
      </c>
      <c r="Q37452" s="5" t="s">
        <v>355</v>
      </c>
    </row>
    <row r="37453" ht="16.5" customHeight="1">
      <c r="O37453" s="5" t="s">
        <v>355</v>
      </c>
      <c r="P37453" s="5" t="s">
        <v>355</v>
      </c>
      <c r="Q37453" s="5" t="s">
        <v>355</v>
      </c>
    </row>
    <row r="37454" ht="16.5" customHeight="1">
      <c r="O37454" s="5" t="s">
        <v>355</v>
      </c>
      <c r="P37454" s="5" t="s">
        <v>355</v>
      </c>
      <c r="Q37454" s="5" t="s">
        <v>355</v>
      </c>
    </row>
    <row r="37455" ht="16.5" customHeight="1">
      <c r="O37455" s="5" t="s">
        <v>355</v>
      </c>
      <c r="P37455" s="5" t="s">
        <v>355</v>
      </c>
      <c r="Q37455" s="5" t="s">
        <v>355</v>
      </c>
    </row>
    <row r="37456" ht="16.5" customHeight="1">
      <c r="O37456" s="5" t="s">
        <v>355</v>
      </c>
      <c r="P37456" s="5" t="s">
        <v>355</v>
      </c>
      <c r="Q37456" s="5" t="s">
        <v>355</v>
      </c>
    </row>
    <row r="37457" ht="16.5" customHeight="1">
      <c r="O37457" s="5" t="s">
        <v>355</v>
      </c>
      <c r="P37457" s="5" t="s">
        <v>355</v>
      </c>
      <c r="Q37457" s="5" t="s">
        <v>355</v>
      </c>
    </row>
    <row r="37458" ht="16.5" customHeight="1">
      <c r="O37458" s="5" t="s">
        <v>355</v>
      </c>
      <c r="P37458" s="5" t="s">
        <v>355</v>
      </c>
      <c r="Q37458" s="5" t="s">
        <v>355</v>
      </c>
    </row>
    <row r="37459" ht="16.5" customHeight="1">
      <c r="O37459" s="5" t="s">
        <v>355</v>
      </c>
      <c r="P37459" s="5" t="s">
        <v>355</v>
      </c>
      <c r="Q37459" s="5" t="s">
        <v>355</v>
      </c>
    </row>
    <row r="37460" ht="16.5" customHeight="1">
      <c r="O37460" s="5" t="s">
        <v>355</v>
      </c>
      <c r="P37460" s="5" t="s">
        <v>355</v>
      </c>
      <c r="Q37460" s="5" t="s">
        <v>355</v>
      </c>
    </row>
    <row r="37461" ht="16.5" customHeight="1">
      <c r="O37461" s="5" t="s">
        <v>355</v>
      </c>
      <c r="P37461" s="5" t="s">
        <v>355</v>
      </c>
      <c r="Q37461" s="5" t="s">
        <v>355</v>
      </c>
    </row>
    <row r="37462" ht="16.5" customHeight="1">
      <c r="O37462" s="5" t="s">
        <v>355</v>
      </c>
      <c r="P37462" s="5" t="s">
        <v>355</v>
      </c>
      <c r="Q37462" s="5" t="s">
        <v>355</v>
      </c>
    </row>
    <row r="37463" ht="16.5" customHeight="1">
      <c r="O37463" s="5" t="s">
        <v>355</v>
      </c>
      <c r="P37463" s="5" t="s">
        <v>355</v>
      </c>
      <c r="Q37463" s="5" t="s">
        <v>355</v>
      </c>
    </row>
    <row r="37464" ht="16.5" customHeight="1">
      <c r="O37464" s="5" t="s">
        <v>355</v>
      </c>
      <c r="P37464" s="5" t="s">
        <v>355</v>
      </c>
      <c r="Q37464" s="5" t="s">
        <v>355</v>
      </c>
    </row>
    <row r="37465" ht="16.5" customHeight="1">
      <c r="O37465" s="5" t="s">
        <v>355</v>
      </c>
      <c r="P37465" s="5" t="s">
        <v>355</v>
      </c>
      <c r="Q37465" s="5" t="s">
        <v>355</v>
      </c>
    </row>
    <row r="37466" ht="16.5" customHeight="1">
      <c r="O37466" s="5" t="s">
        <v>355</v>
      </c>
      <c r="P37466" s="5" t="s">
        <v>355</v>
      </c>
      <c r="Q37466" s="5" t="s">
        <v>355</v>
      </c>
    </row>
    <row r="37467" ht="16.5" customHeight="1">
      <c r="O37467" s="5" t="s">
        <v>355</v>
      </c>
      <c r="P37467" s="5" t="s">
        <v>355</v>
      </c>
      <c r="Q37467" s="5" t="s">
        <v>355</v>
      </c>
    </row>
    <row r="37468" ht="16.5" customHeight="1">
      <c r="O37468" s="5" t="s">
        <v>355</v>
      </c>
      <c r="P37468" s="5" t="s">
        <v>355</v>
      </c>
      <c r="Q37468" s="5" t="s">
        <v>355</v>
      </c>
    </row>
    <row r="37469" ht="16.5" customHeight="1">
      <c r="O37469" s="5" t="s">
        <v>355</v>
      </c>
      <c r="P37469" s="5" t="s">
        <v>355</v>
      </c>
      <c r="Q37469" s="5" t="s">
        <v>355</v>
      </c>
    </row>
    <row r="37470" ht="16.5" customHeight="1">
      <c r="O37470" s="5" t="s">
        <v>355</v>
      </c>
      <c r="P37470" s="5" t="s">
        <v>355</v>
      </c>
      <c r="Q37470" s="5" t="s">
        <v>355</v>
      </c>
    </row>
    <row r="37471" ht="16.5" customHeight="1">
      <c r="O37471" s="5" t="s">
        <v>355</v>
      </c>
      <c r="P37471" s="5" t="s">
        <v>355</v>
      </c>
      <c r="Q37471" s="5" t="s">
        <v>355</v>
      </c>
    </row>
    <row r="37472" ht="16.5" customHeight="1">
      <c r="O37472" s="5" t="s">
        <v>355</v>
      </c>
      <c r="P37472" s="5" t="s">
        <v>355</v>
      </c>
      <c r="Q37472" s="5" t="s">
        <v>355</v>
      </c>
    </row>
    <row r="37473" ht="16.5" customHeight="1">
      <c r="O37473" s="5" t="s">
        <v>355</v>
      </c>
      <c r="P37473" s="5" t="s">
        <v>355</v>
      </c>
      <c r="Q37473" s="5" t="s">
        <v>355</v>
      </c>
    </row>
    <row r="37474" ht="16.5" customHeight="1">
      <c r="O37474" s="5" t="s">
        <v>355</v>
      </c>
      <c r="P37474" s="5" t="s">
        <v>355</v>
      </c>
      <c r="Q37474" s="5" t="s">
        <v>355</v>
      </c>
    </row>
    <row r="37475" ht="16.5" customHeight="1">
      <c r="O37475" s="5" t="s">
        <v>355</v>
      </c>
      <c r="P37475" s="5" t="s">
        <v>355</v>
      </c>
      <c r="Q37475" s="5" t="s">
        <v>355</v>
      </c>
    </row>
    <row r="37476" ht="16.5" customHeight="1">
      <c r="O37476" s="5" t="s">
        <v>355</v>
      </c>
      <c r="P37476" s="5" t="s">
        <v>355</v>
      </c>
      <c r="Q37476" s="5" t="s">
        <v>355</v>
      </c>
    </row>
    <row r="37477" ht="16.5" customHeight="1">
      <c r="O37477" s="5" t="s">
        <v>355</v>
      </c>
      <c r="P37477" s="5" t="s">
        <v>355</v>
      </c>
      <c r="Q37477" s="5" t="s">
        <v>355</v>
      </c>
    </row>
    <row r="37478" ht="16.5" customHeight="1">
      <c r="O37478" s="5" t="s">
        <v>355</v>
      </c>
      <c r="P37478" s="5" t="s">
        <v>355</v>
      </c>
      <c r="Q37478" s="5" t="s">
        <v>355</v>
      </c>
    </row>
    <row r="37479" ht="16.5" customHeight="1">
      <c r="O37479" s="5" t="s">
        <v>355</v>
      </c>
      <c r="P37479" s="5" t="s">
        <v>355</v>
      </c>
      <c r="Q37479" s="5" t="s">
        <v>355</v>
      </c>
    </row>
    <row r="37480" ht="16.5" customHeight="1">
      <c r="O37480" s="5" t="s">
        <v>355</v>
      </c>
      <c r="P37480" s="5" t="s">
        <v>355</v>
      </c>
      <c r="Q37480" s="5" t="s">
        <v>355</v>
      </c>
    </row>
    <row r="37481" ht="16.5" customHeight="1">
      <c r="O37481" s="5" t="s">
        <v>355</v>
      </c>
      <c r="P37481" s="5" t="s">
        <v>355</v>
      </c>
      <c r="Q37481" s="5" t="s">
        <v>355</v>
      </c>
    </row>
    <row r="37482" ht="16.5" customHeight="1">
      <c r="O37482" s="5" t="s">
        <v>355</v>
      </c>
      <c r="P37482" s="5" t="s">
        <v>355</v>
      </c>
      <c r="Q37482" s="5" t="s">
        <v>355</v>
      </c>
    </row>
    <row r="37483" ht="16.5" customHeight="1">
      <c r="O37483" s="5" t="s">
        <v>355</v>
      </c>
      <c r="P37483" s="5" t="s">
        <v>355</v>
      </c>
      <c r="Q37483" s="5" t="s">
        <v>355</v>
      </c>
    </row>
    <row r="37484" ht="16.5" customHeight="1">
      <c r="O37484" s="5" t="s">
        <v>355</v>
      </c>
      <c r="P37484" s="5" t="s">
        <v>355</v>
      </c>
      <c r="Q37484" s="5" t="s">
        <v>355</v>
      </c>
    </row>
    <row r="37485" ht="16.5" customHeight="1">
      <c r="O37485" s="5" t="s">
        <v>355</v>
      </c>
      <c r="P37485" s="5" t="s">
        <v>355</v>
      </c>
      <c r="Q37485" s="5" t="s">
        <v>355</v>
      </c>
    </row>
    <row r="37486" ht="16.5" customHeight="1">
      <c r="O37486" s="5" t="s">
        <v>355</v>
      </c>
      <c r="P37486" s="5" t="s">
        <v>355</v>
      </c>
      <c r="Q37486" s="5" t="s">
        <v>355</v>
      </c>
    </row>
    <row r="37487" ht="16.5" customHeight="1">
      <c r="O37487" s="5" t="s">
        <v>355</v>
      </c>
      <c r="P37487" s="5" t="s">
        <v>355</v>
      </c>
      <c r="Q37487" s="5" t="s">
        <v>355</v>
      </c>
    </row>
    <row r="37488" ht="16.5" customHeight="1">
      <c r="O37488" s="5" t="s">
        <v>355</v>
      </c>
      <c r="P37488" s="5" t="s">
        <v>355</v>
      </c>
      <c r="Q37488" s="5" t="s">
        <v>355</v>
      </c>
    </row>
    <row r="37489" ht="16.5" customHeight="1">
      <c r="O37489" s="5" t="s">
        <v>355</v>
      </c>
      <c r="P37489" s="5" t="s">
        <v>355</v>
      </c>
      <c r="Q37489" s="5" t="s">
        <v>355</v>
      </c>
    </row>
    <row r="37490" ht="16.5" customHeight="1">
      <c r="O37490" s="5" t="s">
        <v>355</v>
      </c>
      <c r="P37490" s="5" t="s">
        <v>355</v>
      </c>
      <c r="Q37490" s="5" t="s">
        <v>355</v>
      </c>
    </row>
    <row r="37491" ht="16.5" customHeight="1">
      <c r="O37491" s="5" t="s">
        <v>355</v>
      </c>
      <c r="P37491" s="5" t="s">
        <v>355</v>
      </c>
      <c r="Q37491" s="5" t="s">
        <v>355</v>
      </c>
    </row>
    <row r="37492" ht="16.5" customHeight="1">
      <c r="O37492" s="5" t="s">
        <v>355</v>
      </c>
      <c r="P37492" s="5" t="s">
        <v>355</v>
      </c>
      <c r="Q37492" s="5" t="s">
        <v>355</v>
      </c>
    </row>
    <row r="37493" ht="16.5" customHeight="1">
      <c r="O37493" s="5" t="s">
        <v>355</v>
      </c>
      <c r="P37493" s="5" t="s">
        <v>355</v>
      </c>
      <c r="Q37493" s="5" t="s">
        <v>355</v>
      </c>
    </row>
    <row r="37494" ht="16.5" customHeight="1">
      <c r="O37494" s="5" t="s">
        <v>355</v>
      </c>
      <c r="P37494" s="5" t="s">
        <v>355</v>
      </c>
      <c r="Q37494" s="5" t="s">
        <v>355</v>
      </c>
    </row>
    <row r="37495" ht="16.5" customHeight="1">
      <c r="O37495" s="5" t="s">
        <v>355</v>
      </c>
      <c r="P37495" s="5" t="s">
        <v>355</v>
      </c>
      <c r="Q37495" s="5" t="s">
        <v>355</v>
      </c>
    </row>
    <row r="37496" ht="16.5" customHeight="1">
      <c r="O37496" s="5" t="s">
        <v>355</v>
      </c>
      <c r="P37496" s="5" t="s">
        <v>355</v>
      </c>
      <c r="Q37496" s="5" t="s">
        <v>355</v>
      </c>
    </row>
    <row r="37497" ht="16.5" customHeight="1">
      <c r="O37497" s="5" t="s">
        <v>355</v>
      </c>
      <c r="P37497" s="5" t="s">
        <v>355</v>
      </c>
      <c r="Q37497" s="5" t="s">
        <v>355</v>
      </c>
    </row>
    <row r="37498" ht="16.5" customHeight="1">
      <c r="O37498" s="5" t="s">
        <v>355</v>
      </c>
      <c r="P37498" s="5" t="s">
        <v>355</v>
      </c>
      <c r="Q37498" s="5" t="s">
        <v>355</v>
      </c>
    </row>
    <row r="37499" ht="16.5" customHeight="1">
      <c r="O37499" s="5" t="s">
        <v>355</v>
      </c>
      <c r="P37499" s="5" t="s">
        <v>355</v>
      </c>
      <c r="Q37499" s="5" t="s">
        <v>355</v>
      </c>
    </row>
    <row r="37500" ht="16.5" customHeight="1">
      <c r="O37500" s="5" t="s">
        <v>355</v>
      </c>
      <c r="P37500" s="5" t="s">
        <v>355</v>
      </c>
      <c r="Q37500" s="5" t="s">
        <v>355</v>
      </c>
    </row>
    <row r="37501" ht="16.5" customHeight="1">
      <c r="O37501" s="5" t="s">
        <v>355</v>
      </c>
      <c r="P37501" s="5" t="s">
        <v>355</v>
      </c>
      <c r="Q37501" s="5" t="s">
        <v>355</v>
      </c>
    </row>
    <row r="37502" ht="16.5" customHeight="1">
      <c r="O37502" s="5" t="s">
        <v>355</v>
      </c>
      <c r="P37502" s="5" t="s">
        <v>355</v>
      </c>
      <c r="Q37502" s="5" t="s">
        <v>355</v>
      </c>
    </row>
    <row r="37503" ht="16.5" customHeight="1">
      <c r="O37503" s="5" t="s">
        <v>355</v>
      </c>
      <c r="P37503" s="5" t="s">
        <v>355</v>
      </c>
      <c r="Q37503" s="5" t="s">
        <v>355</v>
      </c>
    </row>
    <row r="37504" ht="16.5" customHeight="1">
      <c r="O37504" s="5" t="s">
        <v>355</v>
      </c>
      <c r="P37504" s="5" t="s">
        <v>355</v>
      </c>
      <c r="Q37504" s="5" t="s">
        <v>355</v>
      </c>
    </row>
    <row r="37505" ht="16.5" customHeight="1">
      <c r="O37505" s="5" t="s">
        <v>355</v>
      </c>
      <c r="P37505" s="5" t="s">
        <v>355</v>
      </c>
      <c r="Q37505" s="5" t="s">
        <v>355</v>
      </c>
    </row>
    <row r="37506" ht="16.5" customHeight="1">
      <c r="O37506" s="5" t="s">
        <v>355</v>
      </c>
      <c r="P37506" s="5" t="s">
        <v>355</v>
      </c>
      <c r="Q37506" s="5" t="s">
        <v>355</v>
      </c>
    </row>
    <row r="37507" ht="16.5" customHeight="1">
      <c r="O37507" s="5" t="s">
        <v>355</v>
      </c>
      <c r="P37507" s="5" t="s">
        <v>355</v>
      </c>
      <c r="Q37507" s="5" t="s">
        <v>355</v>
      </c>
    </row>
    <row r="37508" ht="16.5" customHeight="1">
      <c r="O37508" s="5" t="s">
        <v>355</v>
      </c>
      <c r="P37508" s="5" t="s">
        <v>355</v>
      </c>
      <c r="Q37508" s="5" t="s">
        <v>355</v>
      </c>
    </row>
    <row r="37509" ht="16.5" customHeight="1">
      <c r="O37509" s="5" t="s">
        <v>355</v>
      </c>
      <c r="P37509" s="5" t="s">
        <v>355</v>
      </c>
      <c r="Q37509" s="5" t="s">
        <v>355</v>
      </c>
    </row>
    <row r="37510" ht="16.5" customHeight="1">
      <c r="O37510" s="5" t="s">
        <v>355</v>
      </c>
      <c r="P37510" s="5" t="s">
        <v>355</v>
      </c>
      <c r="Q37510" s="5" t="s">
        <v>355</v>
      </c>
    </row>
    <row r="37511" ht="16.5" customHeight="1">
      <c r="O37511" s="5" t="s">
        <v>355</v>
      </c>
      <c r="P37511" s="5" t="s">
        <v>355</v>
      </c>
      <c r="Q37511" s="5" t="s">
        <v>355</v>
      </c>
    </row>
    <row r="37512" ht="16.5" customHeight="1">
      <c r="O37512" s="5" t="s">
        <v>355</v>
      </c>
      <c r="P37512" s="5" t="s">
        <v>355</v>
      </c>
      <c r="Q37512" s="5" t="s">
        <v>355</v>
      </c>
    </row>
    <row r="37513" ht="16.5" customHeight="1">
      <c r="O37513" s="5" t="s">
        <v>355</v>
      </c>
      <c r="P37513" s="5" t="s">
        <v>355</v>
      </c>
      <c r="Q37513" s="5" t="s">
        <v>355</v>
      </c>
    </row>
    <row r="37514" ht="16.5" customHeight="1">
      <c r="O37514" s="5" t="s">
        <v>355</v>
      </c>
      <c r="P37514" s="5" t="s">
        <v>355</v>
      </c>
      <c r="Q37514" s="5" t="s">
        <v>355</v>
      </c>
    </row>
    <row r="37515" ht="16.5" customHeight="1">
      <c r="O37515" s="5" t="s">
        <v>355</v>
      </c>
      <c r="P37515" s="5" t="s">
        <v>355</v>
      </c>
      <c r="Q37515" s="5" t="s">
        <v>355</v>
      </c>
    </row>
    <row r="37516" ht="16.5" customHeight="1">
      <c r="O37516" s="5" t="s">
        <v>355</v>
      </c>
      <c r="P37516" s="5" t="s">
        <v>355</v>
      </c>
      <c r="Q37516" s="5" t="s">
        <v>355</v>
      </c>
    </row>
    <row r="37517" ht="16.5" customHeight="1">
      <c r="O37517" s="5" t="s">
        <v>355</v>
      </c>
      <c r="P37517" s="5" t="s">
        <v>355</v>
      </c>
      <c r="Q37517" s="5" t="s">
        <v>355</v>
      </c>
    </row>
    <row r="37518" ht="16.5" customHeight="1">
      <c r="O37518" s="5" t="s">
        <v>355</v>
      </c>
      <c r="P37518" s="5" t="s">
        <v>355</v>
      </c>
      <c r="Q37518" s="5" t="s">
        <v>355</v>
      </c>
    </row>
    <row r="37519" ht="16.5" customHeight="1">
      <c r="O37519" s="5" t="s">
        <v>355</v>
      </c>
      <c r="P37519" s="5" t="s">
        <v>355</v>
      </c>
      <c r="Q37519" s="5" t="s">
        <v>355</v>
      </c>
    </row>
    <row r="37520" ht="16.5" customHeight="1">
      <c r="O37520" s="5" t="s">
        <v>355</v>
      </c>
      <c r="P37520" s="5" t="s">
        <v>355</v>
      </c>
      <c r="Q37520" s="5" t="s">
        <v>355</v>
      </c>
    </row>
    <row r="37521" ht="16.5" customHeight="1">
      <c r="O37521" s="5" t="s">
        <v>355</v>
      </c>
      <c r="P37521" s="5" t="s">
        <v>355</v>
      </c>
      <c r="Q37521" s="5" t="s">
        <v>355</v>
      </c>
    </row>
    <row r="37522" ht="16.5" customHeight="1">
      <c r="O37522" s="5" t="s">
        <v>355</v>
      </c>
      <c r="P37522" s="5" t="s">
        <v>355</v>
      </c>
      <c r="Q37522" s="5" t="s">
        <v>355</v>
      </c>
    </row>
    <row r="37523" ht="16.5" customHeight="1">
      <c r="O37523" s="5" t="s">
        <v>355</v>
      </c>
      <c r="P37523" s="5" t="s">
        <v>355</v>
      </c>
      <c r="Q37523" s="5" t="s">
        <v>355</v>
      </c>
    </row>
    <row r="37524" ht="16.5" customHeight="1">
      <c r="O37524" s="5" t="s">
        <v>355</v>
      </c>
      <c r="P37524" s="5" t="s">
        <v>355</v>
      </c>
      <c r="Q37524" s="5" t="s">
        <v>355</v>
      </c>
    </row>
    <row r="37525" ht="16.5" customHeight="1">
      <c r="O37525" s="5" t="s">
        <v>355</v>
      </c>
      <c r="P37525" s="5" t="s">
        <v>355</v>
      </c>
      <c r="Q37525" s="5" t="s">
        <v>355</v>
      </c>
    </row>
    <row r="37526" ht="16.5" customHeight="1">
      <c r="O37526" s="5" t="s">
        <v>355</v>
      </c>
      <c r="P37526" s="5" t="s">
        <v>355</v>
      </c>
      <c r="Q37526" s="5" t="s">
        <v>355</v>
      </c>
    </row>
    <row r="37527" ht="16.5" customHeight="1">
      <c r="O37527" s="5" t="s">
        <v>355</v>
      </c>
      <c r="P37527" s="5" t="s">
        <v>355</v>
      </c>
      <c r="Q37527" s="5" t="s">
        <v>355</v>
      </c>
    </row>
    <row r="37528" ht="16.5" customHeight="1">
      <c r="O37528" s="5" t="s">
        <v>355</v>
      </c>
      <c r="P37528" s="5" t="s">
        <v>355</v>
      </c>
      <c r="Q37528" s="5" t="s">
        <v>355</v>
      </c>
    </row>
    <row r="37529" ht="16.5" customHeight="1">
      <c r="O37529" s="5" t="s">
        <v>355</v>
      </c>
      <c r="P37529" s="5" t="s">
        <v>355</v>
      </c>
      <c r="Q37529" s="5" t="s">
        <v>355</v>
      </c>
    </row>
    <row r="37530" ht="16.5" customHeight="1">
      <c r="O37530" s="5" t="s">
        <v>355</v>
      </c>
      <c r="P37530" s="5" t="s">
        <v>355</v>
      </c>
      <c r="Q37530" s="5" t="s">
        <v>355</v>
      </c>
    </row>
    <row r="37531" ht="16.5" customHeight="1">
      <c r="O37531" s="5" t="s">
        <v>355</v>
      </c>
      <c r="P37531" s="5" t="s">
        <v>355</v>
      </c>
      <c r="Q37531" s="5" t="s">
        <v>355</v>
      </c>
    </row>
    <row r="37532" ht="16.5" customHeight="1">
      <c r="O37532" s="5" t="s">
        <v>355</v>
      </c>
      <c r="P37532" s="5" t="s">
        <v>355</v>
      </c>
      <c r="Q37532" s="5" t="s">
        <v>355</v>
      </c>
    </row>
    <row r="37533" ht="16.5" customHeight="1">
      <c r="O37533" s="5" t="s">
        <v>355</v>
      </c>
      <c r="P37533" s="5" t="s">
        <v>355</v>
      </c>
      <c r="Q37533" s="5" t="s">
        <v>355</v>
      </c>
    </row>
    <row r="37534" ht="16.5" customHeight="1">
      <c r="O37534" s="5" t="s">
        <v>355</v>
      </c>
      <c r="P37534" s="5" t="s">
        <v>355</v>
      </c>
      <c r="Q37534" s="5" t="s">
        <v>355</v>
      </c>
    </row>
    <row r="37535" ht="16.5" customHeight="1">
      <c r="O37535" s="5" t="s">
        <v>355</v>
      </c>
      <c r="P37535" s="5" t="s">
        <v>355</v>
      </c>
      <c r="Q37535" s="5" t="s">
        <v>355</v>
      </c>
    </row>
    <row r="37536" ht="16.5" customHeight="1">
      <c r="O37536" s="5" t="s">
        <v>355</v>
      </c>
      <c r="P37536" s="5" t="s">
        <v>355</v>
      </c>
      <c r="Q37536" s="5" t="s">
        <v>355</v>
      </c>
    </row>
    <row r="37537" ht="16.5" customHeight="1">
      <c r="O37537" s="5" t="s">
        <v>355</v>
      </c>
      <c r="P37537" s="5" t="s">
        <v>355</v>
      </c>
      <c r="Q37537" s="5" t="s">
        <v>355</v>
      </c>
    </row>
    <row r="37538" ht="16.5" customHeight="1">
      <c r="O37538" s="5" t="s">
        <v>355</v>
      </c>
      <c r="P37538" s="5" t="s">
        <v>355</v>
      </c>
      <c r="Q37538" s="5" t="s">
        <v>355</v>
      </c>
    </row>
    <row r="37539" ht="16.5" customHeight="1">
      <c r="O37539" s="5" t="s">
        <v>355</v>
      </c>
      <c r="P37539" s="5" t="s">
        <v>355</v>
      </c>
      <c r="Q37539" s="5" t="s">
        <v>355</v>
      </c>
    </row>
    <row r="37540" ht="16.5" customHeight="1">
      <c r="O37540" s="5" t="s">
        <v>355</v>
      </c>
      <c r="P37540" s="5" t="s">
        <v>355</v>
      </c>
      <c r="Q37540" s="5" t="s">
        <v>355</v>
      </c>
    </row>
    <row r="37541" ht="16.5" customHeight="1">
      <c r="O37541" s="5" t="s">
        <v>355</v>
      </c>
      <c r="P37541" s="5" t="s">
        <v>355</v>
      </c>
      <c r="Q37541" s="5" t="s">
        <v>355</v>
      </c>
    </row>
    <row r="37542" ht="16.5" customHeight="1">
      <c r="O37542" s="5" t="s">
        <v>355</v>
      </c>
      <c r="P37542" s="5" t="s">
        <v>355</v>
      </c>
      <c r="Q37542" s="5" t="s">
        <v>355</v>
      </c>
    </row>
    <row r="37543" ht="16.5" customHeight="1">
      <c r="O37543" s="5" t="s">
        <v>355</v>
      </c>
      <c r="P37543" s="5" t="s">
        <v>355</v>
      </c>
      <c r="Q37543" s="5" t="s">
        <v>355</v>
      </c>
    </row>
    <row r="37544" ht="16.5" customHeight="1">
      <c r="O37544" s="5" t="s">
        <v>355</v>
      </c>
      <c r="P37544" s="5" t="s">
        <v>355</v>
      </c>
      <c r="Q37544" s="5" t="s">
        <v>355</v>
      </c>
    </row>
    <row r="37545" ht="16.5" customHeight="1">
      <c r="O37545" s="5" t="s">
        <v>355</v>
      </c>
      <c r="P37545" s="5" t="s">
        <v>355</v>
      </c>
      <c r="Q37545" s="5" t="s">
        <v>355</v>
      </c>
    </row>
    <row r="37546" ht="16.5" customHeight="1">
      <c r="O37546" s="5" t="s">
        <v>355</v>
      </c>
      <c r="P37546" s="5" t="s">
        <v>355</v>
      </c>
      <c r="Q37546" s="5" t="s">
        <v>355</v>
      </c>
    </row>
    <row r="37547" ht="16.5" customHeight="1">
      <c r="O37547" s="5" t="s">
        <v>355</v>
      </c>
      <c r="P37547" s="5" t="s">
        <v>355</v>
      </c>
      <c r="Q37547" s="5" t="s">
        <v>355</v>
      </c>
    </row>
    <row r="37548" ht="16.5" customHeight="1">
      <c r="O37548" s="5" t="s">
        <v>355</v>
      </c>
      <c r="P37548" s="5" t="s">
        <v>355</v>
      </c>
      <c r="Q37548" s="5" t="s">
        <v>355</v>
      </c>
    </row>
    <row r="37549" ht="16.5" customHeight="1">
      <c r="O37549" s="5" t="s">
        <v>355</v>
      </c>
      <c r="P37549" s="5" t="s">
        <v>355</v>
      </c>
      <c r="Q37549" s="5" t="s">
        <v>355</v>
      </c>
    </row>
    <row r="37550" ht="16.5" customHeight="1">
      <c r="O37550" s="5" t="s">
        <v>355</v>
      </c>
      <c r="P37550" s="5" t="s">
        <v>355</v>
      </c>
      <c r="Q37550" s="5" t="s">
        <v>355</v>
      </c>
    </row>
    <row r="37551" ht="16.5" customHeight="1">
      <c r="O37551" s="5" t="s">
        <v>355</v>
      </c>
      <c r="P37551" s="5" t="s">
        <v>355</v>
      </c>
      <c r="Q37551" s="5" t="s">
        <v>355</v>
      </c>
    </row>
    <row r="37552" ht="16.5" customHeight="1">
      <c r="O37552" s="5" t="s">
        <v>355</v>
      </c>
      <c r="P37552" s="5" t="s">
        <v>355</v>
      </c>
      <c r="Q37552" s="5" t="s">
        <v>355</v>
      </c>
    </row>
    <row r="37553" ht="16.5" customHeight="1">
      <c r="O37553" s="5" t="s">
        <v>355</v>
      </c>
      <c r="P37553" s="5" t="s">
        <v>355</v>
      </c>
      <c r="Q37553" s="5" t="s">
        <v>355</v>
      </c>
    </row>
    <row r="37554" ht="16.5" customHeight="1">
      <c r="O37554" s="5" t="s">
        <v>355</v>
      </c>
      <c r="P37554" s="5" t="s">
        <v>355</v>
      </c>
      <c r="Q37554" s="5" t="s">
        <v>355</v>
      </c>
    </row>
    <row r="37555" ht="16.5" customHeight="1">
      <c r="O37555" s="5" t="s">
        <v>355</v>
      </c>
      <c r="P37555" s="5" t="s">
        <v>355</v>
      </c>
      <c r="Q37555" s="5" t="s">
        <v>355</v>
      </c>
    </row>
    <row r="37556" ht="16.5" customHeight="1">
      <c r="O37556" s="5" t="s">
        <v>355</v>
      </c>
      <c r="P37556" s="5" t="s">
        <v>355</v>
      </c>
      <c r="Q37556" s="5" t="s">
        <v>355</v>
      </c>
    </row>
    <row r="37557" ht="16.5" customHeight="1">
      <c r="O37557" s="5" t="s">
        <v>355</v>
      </c>
      <c r="P37557" s="5" t="s">
        <v>355</v>
      </c>
      <c r="Q37557" s="5" t="s">
        <v>355</v>
      </c>
    </row>
    <row r="37558" ht="16.5" customHeight="1">
      <c r="O37558" s="5" t="s">
        <v>355</v>
      </c>
      <c r="P37558" s="5" t="s">
        <v>355</v>
      </c>
      <c r="Q37558" s="5" t="s">
        <v>355</v>
      </c>
    </row>
    <row r="37559" ht="16.5" customHeight="1">
      <c r="O37559" s="5" t="s">
        <v>355</v>
      </c>
      <c r="P37559" s="5" t="s">
        <v>355</v>
      </c>
      <c r="Q37559" s="5" t="s">
        <v>355</v>
      </c>
    </row>
    <row r="37560" ht="16.5" customHeight="1">
      <c r="O37560" s="5" t="s">
        <v>355</v>
      </c>
      <c r="P37560" s="5" t="s">
        <v>355</v>
      </c>
      <c r="Q37560" s="5" t="s">
        <v>355</v>
      </c>
    </row>
    <row r="37561" ht="16.5" customHeight="1">
      <c r="O37561" s="5" t="s">
        <v>355</v>
      </c>
      <c r="P37561" s="5" t="s">
        <v>355</v>
      </c>
      <c r="Q37561" s="5" t="s">
        <v>355</v>
      </c>
    </row>
    <row r="37562" ht="16.5" customHeight="1">
      <c r="O37562" s="5" t="s">
        <v>355</v>
      </c>
      <c r="P37562" s="5" t="s">
        <v>355</v>
      </c>
      <c r="Q37562" s="5" t="s">
        <v>355</v>
      </c>
    </row>
    <row r="37563" ht="16.5" customHeight="1">
      <c r="O37563" s="5" t="s">
        <v>355</v>
      </c>
      <c r="P37563" s="5" t="s">
        <v>355</v>
      </c>
      <c r="Q37563" s="5" t="s">
        <v>355</v>
      </c>
    </row>
    <row r="37564" ht="16.5" customHeight="1">
      <c r="O37564" s="5" t="s">
        <v>355</v>
      </c>
      <c r="P37564" s="5" t="s">
        <v>355</v>
      </c>
      <c r="Q37564" s="5" t="s">
        <v>355</v>
      </c>
    </row>
    <row r="37565" ht="16.5" customHeight="1">
      <c r="O37565" s="5" t="s">
        <v>355</v>
      </c>
      <c r="P37565" s="5" t="s">
        <v>355</v>
      </c>
      <c r="Q37565" s="5" t="s">
        <v>355</v>
      </c>
    </row>
    <row r="37566" ht="16.5" customHeight="1">
      <c r="O37566" s="5" t="s">
        <v>355</v>
      </c>
      <c r="P37566" s="5" t="s">
        <v>355</v>
      </c>
      <c r="Q37566" s="5" t="s">
        <v>355</v>
      </c>
    </row>
    <row r="37567" ht="16.5" customHeight="1">
      <c r="O37567" s="5" t="s">
        <v>355</v>
      </c>
      <c r="P37567" s="5" t="s">
        <v>355</v>
      </c>
      <c r="Q37567" s="5" t="s">
        <v>355</v>
      </c>
    </row>
    <row r="37568" ht="16.5" customHeight="1">
      <c r="O37568" s="5" t="s">
        <v>355</v>
      </c>
      <c r="P37568" s="5" t="s">
        <v>355</v>
      </c>
      <c r="Q37568" s="5" t="s">
        <v>355</v>
      </c>
    </row>
    <row r="37569" ht="16.5" customHeight="1">
      <c r="O37569" s="5" t="s">
        <v>355</v>
      </c>
      <c r="P37569" s="5" t="s">
        <v>355</v>
      </c>
      <c r="Q37569" s="5" t="s">
        <v>355</v>
      </c>
    </row>
    <row r="37570" ht="16.5" customHeight="1">
      <c r="O37570" s="5" t="s">
        <v>355</v>
      </c>
      <c r="P37570" s="5" t="s">
        <v>355</v>
      </c>
      <c r="Q37570" s="5" t="s">
        <v>355</v>
      </c>
    </row>
    <row r="37571" ht="16.5" customHeight="1">
      <c r="O37571" s="5" t="s">
        <v>355</v>
      </c>
      <c r="P37571" s="5" t="s">
        <v>355</v>
      </c>
      <c r="Q37571" s="5" t="s">
        <v>355</v>
      </c>
    </row>
    <row r="37572" ht="16.5" customHeight="1">
      <c r="O37572" s="5" t="s">
        <v>355</v>
      </c>
      <c r="P37572" s="5" t="s">
        <v>355</v>
      </c>
      <c r="Q37572" s="5" t="s">
        <v>355</v>
      </c>
    </row>
    <row r="37573" ht="16.5" customHeight="1">
      <c r="O37573" s="5" t="s">
        <v>355</v>
      </c>
      <c r="P37573" s="5" t="s">
        <v>355</v>
      </c>
      <c r="Q37573" s="5" t="s">
        <v>355</v>
      </c>
    </row>
    <row r="37574" ht="16.5" customHeight="1">
      <c r="O37574" s="5" t="s">
        <v>355</v>
      </c>
      <c r="P37574" s="5" t="s">
        <v>355</v>
      </c>
      <c r="Q37574" s="5" t="s">
        <v>355</v>
      </c>
    </row>
    <row r="37575" ht="16.5" customHeight="1">
      <c r="O37575" s="5" t="s">
        <v>355</v>
      </c>
      <c r="P37575" s="5" t="s">
        <v>355</v>
      </c>
      <c r="Q37575" s="5" t="s">
        <v>355</v>
      </c>
    </row>
    <row r="37576" ht="16.5" customHeight="1">
      <c r="O37576" s="5" t="s">
        <v>355</v>
      </c>
      <c r="P37576" s="5" t="s">
        <v>355</v>
      </c>
      <c r="Q37576" s="5" t="s">
        <v>355</v>
      </c>
    </row>
    <row r="37577" ht="16.5" customHeight="1">
      <c r="O37577" s="5" t="s">
        <v>355</v>
      </c>
      <c r="P37577" s="5" t="s">
        <v>355</v>
      </c>
      <c r="Q37577" s="5" t="s">
        <v>355</v>
      </c>
    </row>
    <row r="37578" ht="16.5" customHeight="1">
      <c r="O37578" s="5" t="s">
        <v>355</v>
      </c>
      <c r="P37578" s="5" t="s">
        <v>355</v>
      </c>
      <c r="Q37578" s="5" t="s">
        <v>355</v>
      </c>
    </row>
    <row r="37579" ht="16.5" customHeight="1">
      <c r="O37579" s="5" t="s">
        <v>355</v>
      </c>
      <c r="P37579" s="5" t="s">
        <v>355</v>
      </c>
      <c r="Q37579" s="5" t="s">
        <v>355</v>
      </c>
    </row>
    <row r="37580" ht="16.5" customHeight="1">
      <c r="O37580" s="5" t="s">
        <v>355</v>
      </c>
      <c r="P37580" s="5" t="s">
        <v>355</v>
      </c>
      <c r="Q37580" s="5" t="s">
        <v>355</v>
      </c>
    </row>
    <row r="37581" ht="16.5" customHeight="1">
      <c r="O37581" s="5" t="s">
        <v>355</v>
      </c>
      <c r="P37581" s="5" t="s">
        <v>355</v>
      </c>
      <c r="Q37581" s="5" t="s">
        <v>355</v>
      </c>
    </row>
    <row r="37582" ht="16.5" customHeight="1">
      <c r="O37582" s="5" t="s">
        <v>355</v>
      </c>
      <c r="P37582" s="5" t="s">
        <v>355</v>
      </c>
      <c r="Q37582" s="5" t="s">
        <v>355</v>
      </c>
    </row>
    <row r="37583" ht="16.5" customHeight="1">
      <c r="O37583" s="5" t="s">
        <v>355</v>
      </c>
      <c r="P37583" s="5" t="s">
        <v>355</v>
      </c>
      <c r="Q37583" s="5" t="s">
        <v>355</v>
      </c>
    </row>
    <row r="37584" ht="16.5" customHeight="1">
      <c r="O37584" s="5" t="s">
        <v>355</v>
      </c>
      <c r="P37584" s="5" t="s">
        <v>355</v>
      </c>
      <c r="Q37584" s="5" t="s">
        <v>355</v>
      </c>
    </row>
    <row r="37585" ht="16.5" customHeight="1">
      <c r="O37585" s="5" t="s">
        <v>355</v>
      </c>
      <c r="P37585" s="5" t="s">
        <v>355</v>
      </c>
      <c r="Q37585" s="5" t="s">
        <v>355</v>
      </c>
    </row>
    <row r="37586" ht="16.5" customHeight="1">
      <c r="O37586" s="5" t="s">
        <v>355</v>
      </c>
      <c r="P37586" s="5" t="s">
        <v>355</v>
      </c>
      <c r="Q37586" s="5" t="s">
        <v>355</v>
      </c>
    </row>
    <row r="37587" ht="16.5" customHeight="1">
      <c r="O37587" s="5" t="s">
        <v>355</v>
      </c>
      <c r="P37587" s="5" t="s">
        <v>355</v>
      </c>
      <c r="Q37587" s="5" t="s">
        <v>355</v>
      </c>
    </row>
    <row r="37588" ht="16.5" customHeight="1">
      <c r="O37588" s="5" t="s">
        <v>355</v>
      </c>
      <c r="P37588" s="5" t="s">
        <v>355</v>
      </c>
      <c r="Q37588" s="5" t="s">
        <v>355</v>
      </c>
    </row>
    <row r="37589" ht="16.5" customHeight="1">
      <c r="O37589" s="5" t="s">
        <v>355</v>
      </c>
      <c r="P37589" s="5" t="s">
        <v>355</v>
      </c>
      <c r="Q37589" s="5" t="s">
        <v>355</v>
      </c>
    </row>
    <row r="37590" ht="16.5" customHeight="1">
      <c r="O37590" s="5" t="s">
        <v>355</v>
      </c>
      <c r="P37590" s="5" t="s">
        <v>355</v>
      </c>
      <c r="Q37590" s="5" t="s">
        <v>355</v>
      </c>
    </row>
    <row r="37591" ht="16.5" customHeight="1">
      <c r="O37591" s="5" t="s">
        <v>355</v>
      </c>
      <c r="P37591" s="5" t="s">
        <v>355</v>
      </c>
      <c r="Q37591" s="5" t="s">
        <v>355</v>
      </c>
    </row>
    <row r="37592" ht="16.5" customHeight="1">
      <c r="O37592" s="5" t="s">
        <v>355</v>
      </c>
      <c r="P37592" s="5" t="s">
        <v>355</v>
      </c>
      <c r="Q37592" s="5" t="s">
        <v>355</v>
      </c>
    </row>
    <row r="37593" ht="16.5" customHeight="1">
      <c r="O37593" s="5" t="s">
        <v>355</v>
      </c>
      <c r="P37593" s="5" t="s">
        <v>355</v>
      </c>
      <c r="Q37593" s="5" t="s">
        <v>355</v>
      </c>
    </row>
    <row r="37594" ht="16.5" customHeight="1">
      <c r="O37594" s="5" t="s">
        <v>355</v>
      </c>
      <c r="P37594" s="5" t="s">
        <v>355</v>
      </c>
      <c r="Q37594" s="5" t="s">
        <v>355</v>
      </c>
    </row>
    <row r="37595" ht="16.5" customHeight="1">
      <c r="O37595" s="5" t="s">
        <v>355</v>
      </c>
      <c r="P37595" s="5" t="s">
        <v>355</v>
      </c>
      <c r="Q37595" s="5" t="s">
        <v>355</v>
      </c>
    </row>
    <row r="37596" ht="16.5" customHeight="1">
      <c r="O37596" s="5" t="s">
        <v>355</v>
      </c>
      <c r="P37596" s="5" t="s">
        <v>355</v>
      </c>
      <c r="Q37596" s="5" t="s">
        <v>355</v>
      </c>
    </row>
    <row r="37597" ht="16.5" customHeight="1">
      <c r="O37597" s="5" t="s">
        <v>355</v>
      </c>
      <c r="P37597" s="5" t="s">
        <v>355</v>
      </c>
      <c r="Q37597" s="5" t="s">
        <v>355</v>
      </c>
    </row>
    <row r="37598" ht="16.5" customHeight="1">
      <c r="O37598" s="5" t="s">
        <v>355</v>
      </c>
      <c r="P37598" s="5" t="s">
        <v>355</v>
      </c>
      <c r="Q37598" s="5" t="s">
        <v>355</v>
      </c>
    </row>
    <row r="37599" ht="16.5" customHeight="1">
      <c r="O37599" s="5" t="s">
        <v>355</v>
      </c>
      <c r="P37599" s="5" t="s">
        <v>355</v>
      </c>
      <c r="Q37599" s="5" t="s">
        <v>355</v>
      </c>
    </row>
    <row r="37600" ht="16.5" customHeight="1">
      <c r="O37600" s="5" t="s">
        <v>355</v>
      </c>
      <c r="P37600" s="5" t="s">
        <v>355</v>
      </c>
      <c r="Q37600" s="5" t="s">
        <v>355</v>
      </c>
    </row>
    <row r="37601" ht="16.5" customHeight="1">
      <c r="O37601" s="5" t="s">
        <v>355</v>
      </c>
      <c r="P37601" s="5" t="s">
        <v>355</v>
      </c>
      <c r="Q37601" s="5" t="s">
        <v>355</v>
      </c>
    </row>
    <row r="37602" ht="16.5" customHeight="1">
      <c r="O37602" s="5" t="s">
        <v>355</v>
      </c>
      <c r="P37602" s="5" t="s">
        <v>355</v>
      </c>
      <c r="Q37602" s="5" t="s">
        <v>355</v>
      </c>
    </row>
    <row r="37603" ht="16.5" customHeight="1">
      <c r="O37603" s="5" t="s">
        <v>355</v>
      </c>
      <c r="P37603" s="5" t="s">
        <v>355</v>
      </c>
      <c r="Q37603" s="5" t="s">
        <v>355</v>
      </c>
    </row>
    <row r="37604" ht="16.5" customHeight="1">
      <c r="O37604" s="5" t="s">
        <v>355</v>
      </c>
      <c r="P37604" s="5" t="s">
        <v>355</v>
      </c>
      <c r="Q37604" s="5" t="s">
        <v>355</v>
      </c>
    </row>
    <row r="37605" ht="16.5" customHeight="1">
      <c r="O37605" s="5" t="s">
        <v>355</v>
      </c>
      <c r="P37605" s="5" t="s">
        <v>355</v>
      </c>
      <c r="Q37605" s="5" t="s">
        <v>355</v>
      </c>
    </row>
    <row r="37606" ht="16.5" customHeight="1">
      <c r="O37606" s="5" t="s">
        <v>355</v>
      </c>
      <c r="P37606" s="5" t="s">
        <v>355</v>
      </c>
      <c r="Q37606" s="5" t="s">
        <v>355</v>
      </c>
    </row>
    <row r="37607" ht="16.5" customHeight="1">
      <c r="O37607" s="5" t="s">
        <v>355</v>
      </c>
      <c r="P37607" s="5" t="s">
        <v>355</v>
      </c>
      <c r="Q37607" s="5" t="s">
        <v>355</v>
      </c>
    </row>
    <row r="37608" ht="16.5" customHeight="1">
      <c r="O37608" s="5" t="s">
        <v>355</v>
      </c>
      <c r="P37608" s="5" t="s">
        <v>355</v>
      </c>
      <c r="Q37608" s="5" t="s">
        <v>355</v>
      </c>
    </row>
    <row r="37609" ht="16.5" customHeight="1">
      <c r="O37609" s="5" t="s">
        <v>355</v>
      </c>
      <c r="P37609" s="5" t="s">
        <v>355</v>
      </c>
      <c r="Q37609" s="5" t="s">
        <v>355</v>
      </c>
    </row>
    <row r="37610" ht="16.5" customHeight="1">
      <c r="O37610" s="5" t="s">
        <v>355</v>
      </c>
      <c r="P37610" s="5" t="s">
        <v>355</v>
      </c>
      <c r="Q37610" s="5" t="s">
        <v>355</v>
      </c>
    </row>
    <row r="37611" ht="16.5" customHeight="1">
      <c r="O37611" s="5" t="s">
        <v>355</v>
      </c>
      <c r="P37611" s="5" t="s">
        <v>355</v>
      </c>
      <c r="Q37611" s="5" t="s">
        <v>355</v>
      </c>
    </row>
    <row r="37612" ht="16.5" customHeight="1">
      <c r="O37612" s="5" t="s">
        <v>355</v>
      </c>
      <c r="P37612" s="5" t="s">
        <v>355</v>
      </c>
      <c r="Q37612" s="5" t="s">
        <v>355</v>
      </c>
    </row>
    <row r="37613" ht="16.5" customHeight="1">
      <c r="O37613" s="5" t="s">
        <v>355</v>
      </c>
      <c r="P37613" s="5" t="s">
        <v>355</v>
      </c>
      <c r="Q37613" s="5" t="s">
        <v>355</v>
      </c>
    </row>
    <row r="37614" ht="16.5" customHeight="1">
      <c r="O37614" s="5" t="s">
        <v>355</v>
      </c>
      <c r="P37614" s="5" t="s">
        <v>355</v>
      </c>
      <c r="Q37614" s="5" t="s">
        <v>355</v>
      </c>
    </row>
    <row r="37615" ht="16.5" customHeight="1">
      <c r="O37615" s="5" t="s">
        <v>355</v>
      </c>
      <c r="P37615" s="5" t="s">
        <v>355</v>
      </c>
      <c r="Q37615" s="5" t="s">
        <v>355</v>
      </c>
    </row>
    <row r="37616" ht="16.5" customHeight="1">
      <c r="O37616" s="5" t="s">
        <v>355</v>
      </c>
      <c r="P37616" s="5" t="s">
        <v>355</v>
      </c>
      <c r="Q37616" s="5" t="s">
        <v>355</v>
      </c>
    </row>
    <row r="37617" ht="16.5" customHeight="1">
      <c r="O37617" s="5" t="s">
        <v>355</v>
      </c>
      <c r="P37617" s="5" t="s">
        <v>355</v>
      </c>
      <c r="Q37617" s="5" t="s">
        <v>355</v>
      </c>
    </row>
    <row r="37618" ht="16.5" customHeight="1">
      <c r="O37618" s="5" t="s">
        <v>355</v>
      </c>
      <c r="P37618" s="5" t="s">
        <v>355</v>
      </c>
      <c r="Q37618" s="5" t="s">
        <v>355</v>
      </c>
    </row>
    <row r="37619" ht="16.5" customHeight="1">
      <c r="O37619" s="5" t="s">
        <v>355</v>
      </c>
      <c r="P37619" s="5" t="s">
        <v>355</v>
      </c>
      <c r="Q37619" s="5" t="s">
        <v>355</v>
      </c>
    </row>
    <row r="37620" ht="16.5" customHeight="1">
      <c r="O37620" s="5" t="s">
        <v>355</v>
      </c>
      <c r="P37620" s="5" t="s">
        <v>355</v>
      </c>
      <c r="Q37620" s="5" t="s">
        <v>355</v>
      </c>
    </row>
    <row r="37621" ht="16.5" customHeight="1">
      <c r="O37621" s="5" t="s">
        <v>355</v>
      </c>
      <c r="P37621" s="5" t="s">
        <v>355</v>
      </c>
      <c r="Q37621" s="5" t="s">
        <v>355</v>
      </c>
    </row>
    <row r="37622" ht="16.5" customHeight="1">
      <c r="O37622" s="5" t="s">
        <v>355</v>
      </c>
      <c r="P37622" s="5" t="s">
        <v>355</v>
      </c>
      <c r="Q37622" s="5" t="s">
        <v>355</v>
      </c>
    </row>
    <row r="37623" ht="16.5" customHeight="1">
      <c r="O37623" s="5" t="s">
        <v>355</v>
      </c>
      <c r="P37623" s="5" t="s">
        <v>355</v>
      </c>
      <c r="Q37623" s="5" t="s">
        <v>355</v>
      </c>
    </row>
    <row r="37624" ht="16.5" customHeight="1">
      <c r="O37624" s="5" t="s">
        <v>355</v>
      </c>
      <c r="P37624" s="5" t="s">
        <v>355</v>
      </c>
      <c r="Q37624" s="5" t="s">
        <v>355</v>
      </c>
    </row>
    <row r="37625" ht="16.5" customHeight="1">
      <c r="O37625" s="5" t="s">
        <v>355</v>
      </c>
      <c r="P37625" s="5" t="s">
        <v>355</v>
      </c>
      <c r="Q37625" s="5" t="s">
        <v>355</v>
      </c>
    </row>
    <row r="37626" ht="16.5" customHeight="1">
      <c r="O37626" s="5" t="s">
        <v>355</v>
      </c>
      <c r="P37626" s="5" t="s">
        <v>355</v>
      </c>
      <c r="Q37626" s="5" t="s">
        <v>355</v>
      </c>
    </row>
    <row r="37627" ht="16.5" customHeight="1">
      <c r="O37627" s="5" t="s">
        <v>355</v>
      </c>
      <c r="P37627" s="5" t="s">
        <v>355</v>
      </c>
      <c r="Q37627" s="5" t="s">
        <v>355</v>
      </c>
    </row>
    <row r="37628" ht="16.5" customHeight="1">
      <c r="O37628" s="5" t="s">
        <v>355</v>
      </c>
      <c r="P37628" s="5" t="s">
        <v>355</v>
      </c>
      <c r="Q37628" s="5" t="s">
        <v>355</v>
      </c>
    </row>
    <row r="37629" ht="16.5" customHeight="1">
      <c r="O37629" s="5" t="s">
        <v>355</v>
      </c>
      <c r="P37629" s="5" t="s">
        <v>355</v>
      </c>
      <c r="Q37629" s="5" t="s">
        <v>355</v>
      </c>
    </row>
    <row r="37630" ht="16.5" customHeight="1">
      <c r="O37630" s="5" t="s">
        <v>355</v>
      </c>
      <c r="P37630" s="5" t="s">
        <v>355</v>
      </c>
      <c r="Q37630" s="5" t="s">
        <v>355</v>
      </c>
    </row>
    <row r="37631" ht="16.5" customHeight="1">
      <c r="O37631" s="5" t="s">
        <v>355</v>
      </c>
      <c r="P37631" s="5" t="s">
        <v>355</v>
      </c>
      <c r="Q37631" s="5" t="s">
        <v>355</v>
      </c>
    </row>
    <row r="37632" ht="16.5" customHeight="1">
      <c r="O37632" s="5" t="s">
        <v>355</v>
      </c>
      <c r="P37632" s="5" t="s">
        <v>355</v>
      </c>
      <c r="Q37632" s="5" t="s">
        <v>355</v>
      </c>
    </row>
    <row r="37633" ht="16.5" customHeight="1">
      <c r="O37633" s="5" t="s">
        <v>355</v>
      </c>
      <c r="P37633" s="5" t="s">
        <v>355</v>
      </c>
      <c r="Q37633" s="5" t="s">
        <v>355</v>
      </c>
    </row>
    <row r="37634" ht="16.5" customHeight="1">
      <c r="O37634" s="5" t="s">
        <v>355</v>
      </c>
      <c r="P37634" s="5" t="s">
        <v>355</v>
      </c>
      <c r="Q37634" s="5" t="s">
        <v>355</v>
      </c>
    </row>
    <row r="37635" ht="16.5" customHeight="1">
      <c r="O37635" s="5" t="s">
        <v>355</v>
      </c>
      <c r="P37635" s="5" t="s">
        <v>355</v>
      </c>
      <c r="Q37635" s="5" t="s">
        <v>355</v>
      </c>
    </row>
    <row r="37636" ht="16.5" customHeight="1">
      <c r="O37636" s="5" t="s">
        <v>355</v>
      </c>
      <c r="P37636" s="5" t="s">
        <v>355</v>
      </c>
      <c r="Q37636" s="5" t="s">
        <v>355</v>
      </c>
    </row>
    <row r="37637" ht="16.5" customHeight="1">
      <c r="O37637" s="5" t="s">
        <v>355</v>
      </c>
      <c r="P37637" s="5" t="s">
        <v>355</v>
      </c>
      <c r="Q37637" s="5" t="s">
        <v>355</v>
      </c>
    </row>
    <row r="37638" ht="16.5" customHeight="1">
      <c r="O37638" s="5" t="s">
        <v>355</v>
      </c>
      <c r="P37638" s="5" t="s">
        <v>355</v>
      </c>
      <c r="Q37638" s="5" t="s">
        <v>355</v>
      </c>
    </row>
    <row r="37639" ht="16.5" customHeight="1">
      <c r="O37639" s="5" t="s">
        <v>355</v>
      </c>
      <c r="P37639" s="5" t="s">
        <v>355</v>
      </c>
      <c r="Q37639" s="5" t="s">
        <v>355</v>
      </c>
    </row>
    <row r="37640" ht="16.5" customHeight="1">
      <c r="O37640" s="5" t="s">
        <v>355</v>
      </c>
      <c r="P37640" s="5" t="s">
        <v>355</v>
      </c>
      <c r="Q37640" s="5" t="s">
        <v>355</v>
      </c>
    </row>
    <row r="37641" ht="16.5" customHeight="1">
      <c r="O37641" s="5" t="s">
        <v>355</v>
      </c>
      <c r="P37641" s="5" t="s">
        <v>355</v>
      </c>
      <c r="Q37641" s="5" t="s">
        <v>355</v>
      </c>
    </row>
    <row r="37642" ht="16.5" customHeight="1">
      <c r="O37642" s="5" t="s">
        <v>355</v>
      </c>
      <c r="P37642" s="5" t="s">
        <v>355</v>
      </c>
      <c r="Q37642" s="5" t="s">
        <v>355</v>
      </c>
    </row>
    <row r="37643" ht="16.5" customHeight="1">
      <c r="O37643" s="5" t="s">
        <v>355</v>
      </c>
      <c r="P37643" s="5" t="s">
        <v>355</v>
      </c>
      <c r="Q37643" s="5" t="s">
        <v>355</v>
      </c>
    </row>
    <row r="37644" ht="16.5" customHeight="1">
      <c r="O37644" s="5" t="s">
        <v>355</v>
      </c>
      <c r="P37644" s="5" t="s">
        <v>355</v>
      </c>
      <c r="Q37644" s="5" t="s">
        <v>355</v>
      </c>
    </row>
    <row r="37645" ht="16.5" customHeight="1">
      <c r="O37645" s="5" t="s">
        <v>355</v>
      </c>
      <c r="P37645" s="5" t="s">
        <v>355</v>
      </c>
      <c r="Q37645" s="5" t="s">
        <v>355</v>
      </c>
    </row>
    <row r="37646" ht="16.5" customHeight="1">
      <c r="O37646" s="5" t="s">
        <v>355</v>
      </c>
      <c r="P37646" s="5" t="s">
        <v>355</v>
      </c>
      <c r="Q37646" s="5" t="s">
        <v>355</v>
      </c>
    </row>
    <row r="37647" ht="16.5" customHeight="1">
      <c r="O37647" s="5" t="s">
        <v>355</v>
      </c>
      <c r="P37647" s="5" t="s">
        <v>355</v>
      </c>
      <c r="Q37647" s="5" t="s">
        <v>355</v>
      </c>
    </row>
    <row r="37648" ht="16.5" customHeight="1">
      <c r="O37648" s="5" t="s">
        <v>355</v>
      </c>
      <c r="P37648" s="5" t="s">
        <v>355</v>
      </c>
      <c r="Q37648" s="5" t="s">
        <v>355</v>
      </c>
    </row>
    <row r="37649" ht="16.5" customHeight="1">
      <c r="O37649" s="5" t="s">
        <v>355</v>
      </c>
      <c r="P37649" s="5" t="s">
        <v>355</v>
      </c>
      <c r="Q37649" s="5" t="s">
        <v>355</v>
      </c>
    </row>
    <row r="37650" ht="16.5" customHeight="1">
      <c r="O37650" s="5" t="s">
        <v>355</v>
      </c>
      <c r="P37650" s="5" t="s">
        <v>355</v>
      </c>
      <c r="Q37650" s="5" t="s">
        <v>355</v>
      </c>
    </row>
    <row r="37651" ht="16.5" customHeight="1">
      <c r="O37651" s="5" t="s">
        <v>355</v>
      </c>
      <c r="P37651" s="5" t="s">
        <v>355</v>
      </c>
      <c r="Q37651" s="5" t="s">
        <v>355</v>
      </c>
    </row>
    <row r="37652" ht="16.5" customHeight="1">
      <c r="O37652" s="5" t="s">
        <v>355</v>
      </c>
      <c r="P37652" s="5" t="s">
        <v>355</v>
      </c>
      <c r="Q37652" s="5" t="s">
        <v>355</v>
      </c>
    </row>
    <row r="37653" ht="16.5" customHeight="1">
      <c r="O37653" s="5" t="s">
        <v>355</v>
      </c>
      <c r="P37653" s="5" t="s">
        <v>355</v>
      </c>
      <c r="Q37653" s="5" t="s">
        <v>355</v>
      </c>
    </row>
    <row r="37654" ht="16.5" customHeight="1">
      <c r="O37654" s="5" t="s">
        <v>355</v>
      </c>
      <c r="P37654" s="5" t="s">
        <v>355</v>
      </c>
      <c r="Q37654" s="5" t="s">
        <v>355</v>
      </c>
    </row>
    <row r="37655" ht="16.5" customHeight="1">
      <c r="O37655" s="5" t="s">
        <v>355</v>
      </c>
      <c r="P37655" s="5" t="s">
        <v>355</v>
      </c>
      <c r="Q37655" s="5" t="s">
        <v>355</v>
      </c>
    </row>
    <row r="37656" ht="16.5" customHeight="1">
      <c r="O37656" s="5" t="s">
        <v>355</v>
      </c>
      <c r="P37656" s="5" t="s">
        <v>355</v>
      </c>
      <c r="Q37656" s="5" t="s">
        <v>355</v>
      </c>
    </row>
    <row r="37657" ht="16.5" customHeight="1">
      <c r="O37657" s="5" t="s">
        <v>355</v>
      </c>
      <c r="P37657" s="5" t="s">
        <v>355</v>
      </c>
      <c r="Q37657" s="5" t="s">
        <v>355</v>
      </c>
    </row>
    <row r="37658" ht="16.5" customHeight="1">
      <c r="O37658" s="5" t="s">
        <v>355</v>
      </c>
      <c r="P37658" s="5" t="s">
        <v>355</v>
      </c>
      <c r="Q37658" s="5" t="s">
        <v>355</v>
      </c>
    </row>
    <row r="37659" ht="16.5" customHeight="1">
      <c r="O37659" s="5" t="s">
        <v>355</v>
      </c>
      <c r="P37659" s="5" t="s">
        <v>355</v>
      </c>
      <c r="Q37659" s="5" t="s">
        <v>355</v>
      </c>
    </row>
    <row r="37660" ht="16.5" customHeight="1">
      <c r="O37660" s="5" t="s">
        <v>355</v>
      </c>
      <c r="P37660" s="5" t="s">
        <v>355</v>
      </c>
      <c r="Q37660" s="5" t="s">
        <v>355</v>
      </c>
    </row>
    <row r="37661" ht="16.5" customHeight="1">
      <c r="O37661" s="5" t="s">
        <v>355</v>
      </c>
      <c r="P37661" s="5" t="s">
        <v>355</v>
      </c>
      <c r="Q37661" s="5" t="s">
        <v>355</v>
      </c>
    </row>
    <row r="37662" ht="16.5" customHeight="1">
      <c r="O37662" s="5" t="s">
        <v>355</v>
      </c>
      <c r="P37662" s="5" t="s">
        <v>355</v>
      </c>
      <c r="Q37662" s="5" t="s">
        <v>355</v>
      </c>
    </row>
    <row r="37663" ht="16.5" customHeight="1">
      <c r="O37663" s="5" t="s">
        <v>355</v>
      </c>
      <c r="P37663" s="5" t="s">
        <v>355</v>
      </c>
      <c r="Q37663" s="5" t="s">
        <v>355</v>
      </c>
    </row>
    <row r="37664" ht="16.5" customHeight="1">
      <c r="O37664" s="5" t="s">
        <v>355</v>
      </c>
      <c r="P37664" s="5" t="s">
        <v>355</v>
      </c>
      <c r="Q37664" s="5" t="s">
        <v>355</v>
      </c>
    </row>
    <row r="37665" ht="16.5" customHeight="1">
      <c r="O37665" s="5" t="s">
        <v>355</v>
      </c>
      <c r="P37665" s="5" t="s">
        <v>355</v>
      </c>
      <c r="Q37665" s="5" t="s">
        <v>355</v>
      </c>
    </row>
    <row r="37666" ht="16.5" customHeight="1">
      <c r="O37666" s="5" t="s">
        <v>355</v>
      </c>
      <c r="P37666" s="5" t="s">
        <v>355</v>
      </c>
      <c r="Q37666" s="5" t="s">
        <v>355</v>
      </c>
    </row>
    <row r="37667" ht="16.5" customHeight="1">
      <c r="O37667" s="5" t="s">
        <v>355</v>
      </c>
      <c r="P37667" s="5" t="s">
        <v>355</v>
      </c>
      <c r="Q37667" s="5" t="s">
        <v>355</v>
      </c>
    </row>
    <row r="37668" ht="16.5" customHeight="1">
      <c r="O37668" s="5" t="s">
        <v>355</v>
      </c>
      <c r="P37668" s="5" t="s">
        <v>355</v>
      </c>
      <c r="Q37668" s="5" t="s">
        <v>355</v>
      </c>
    </row>
    <row r="37669" ht="16.5" customHeight="1">
      <c r="O37669" s="5" t="s">
        <v>355</v>
      </c>
      <c r="P37669" s="5" t="s">
        <v>355</v>
      </c>
      <c r="Q37669" s="5" t="s">
        <v>355</v>
      </c>
    </row>
    <row r="37670" ht="16.5" customHeight="1">
      <c r="O37670" s="5" t="s">
        <v>355</v>
      </c>
      <c r="P37670" s="5" t="s">
        <v>355</v>
      </c>
      <c r="Q37670" s="5" t="s">
        <v>355</v>
      </c>
    </row>
    <row r="37671" ht="16.5" customHeight="1">
      <c r="O37671" s="5" t="s">
        <v>355</v>
      </c>
      <c r="P37671" s="5" t="s">
        <v>355</v>
      </c>
      <c r="Q37671" s="5" t="s">
        <v>355</v>
      </c>
    </row>
    <row r="37672" ht="16.5" customHeight="1">
      <c r="O37672" s="5" t="s">
        <v>355</v>
      </c>
      <c r="P37672" s="5" t="s">
        <v>355</v>
      </c>
      <c r="Q37672" s="5" t="s">
        <v>355</v>
      </c>
    </row>
    <row r="37673" ht="16.5" customHeight="1">
      <c r="O37673" s="5" t="s">
        <v>355</v>
      </c>
      <c r="P37673" s="5" t="s">
        <v>355</v>
      </c>
      <c r="Q37673" s="5" t="s">
        <v>355</v>
      </c>
    </row>
    <row r="37674" ht="16.5" customHeight="1">
      <c r="O37674" s="5" t="s">
        <v>355</v>
      </c>
      <c r="P37674" s="5" t="s">
        <v>355</v>
      </c>
      <c r="Q37674" s="5" t="s">
        <v>355</v>
      </c>
    </row>
    <row r="37675" ht="16.5" customHeight="1">
      <c r="O37675" s="5" t="s">
        <v>355</v>
      </c>
      <c r="P37675" s="5" t="s">
        <v>355</v>
      </c>
      <c r="Q37675" s="5" t="s">
        <v>355</v>
      </c>
    </row>
    <row r="37676" ht="16.5" customHeight="1">
      <c r="O37676" s="5" t="s">
        <v>355</v>
      </c>
      <c r="P37676" s="5" t="s">
        <v>355</v>
      </c>
      <c r="Q37676" s="5" t="s">
        <v>355</v>
      </c>
    </row>
    <row r="37677" ht="16.5" customHeight="1">
      <c r="O37677" s="5" t="s">
        <v>355</v>
      </c>
      <c r="P37677" s="5" t="s">
        <v>355</v>
      </c>
      <c r="Q37677" s="5" t="s">
        <v>355</v>
      </c>
    </row>
    <row r="37678" ht="16.5" customHeight="1">
      <c r="O37678" s="5" t="s">
        <v>355</v>
      </c>
      <c r="P37678" s="5" t="s">
        <v>355</v>
      </c>
      <c r="Q37678" s="5" t="s">
        <v>355</v>
      </c>
    </row>
    <row r="37679" ht="16.5" customHeight="1">
      <c r="O37679" s="5" t="s">
        <v>355</v>
      </c>
      <c r="P37679" s="5" t="s">
        <v>355</v>
      </c>
      <c r="Q37679" s="5" t="s">
        <v>355</v>
      </c>
    </row>
    <row r="37680" ht="16.5" customHeight="1">
      <c r="O37680" s="5" t="s">
        <v>355</v>
      </c>
      <c r="P37680" s="5" t="s">
        <v>355</v>
      </c>
      <c r="Q37680" s="5" t="s">
        <v>355</v>
      </c>
    </row>
    <row r="37681" ht="16.5" customHeight="1">
      <c r="O37681" s="5" t="s">
        <v>355</v>
      </c>
      <c r="P37681" s="5" t="s">
        <v>355</v>
      </c>
      <c r="Q37681" s="5" t="s">
        <v>355</v>
      </c>
    </row>
    <row r="37682" ht="16.5" customHeight="1">
      <c r="O37682" s="5" t="s">
        <v>355</v>
      </c>
      <c r="P37682" s="5" t="s">
        <v>355</v>
      </c>
      <c r="Q37682" s="5" t="s">
        <v>355</v>
      </c>
    </row>
    <row r="37683" ht="16.5" customHeight="1">
      <c r="O37683" s="5" t="s">
        <v>355</v>
      </c>
      <c r="P37683" s="5" t="s">
        <v>355</v>
      </c>
      <c r="Q37683" s="5" t="s">
        <v>355</v>
      </c>
    </row>
    <row r="37684" ht="16.5" customHeight="1">
      <c r="O37684" s="5" t="s">
        <v>355</v>
      </c>
      <c r="P37684" s="5" t="s">
        <v>355</v>
      </c>
      <c r="Q37684" s="5" t="s">
        <v>355</v>
      </c>
    </row>
    <row r="37685" ht="16.5" customHeight="1">
      <c r="O37685" s="5" t="s">
        <v>355</v>
      </c>
      <c r="P37685" s="5" t="s">
        <v>355</v>
      </c>
      <c r="Q37685" s="5" t="s">
        <v>355</v>
      </c>
    </row>
    <row r="37686" ht="16.5" customHeight="1">
      <c r="O37686" s="5" t="s">
        <v>355</v>
      </c>
      <c r="P37686" s="5" t="s">
        <v>355</v>
      </c>
      <c r="Q37686" s="5" t="s">
        <v>355</v>
      </c>
    </row>
    <row r="37687" ht="16.5" customHeight="1">
      <c r="O37687" s="5" t="s">
        <v>355</v>
      </c>
      <c r="P37687" s="5" t="s">
        <v>355</v>
      </c>
      <c r="Q37687" s="5" t="s">
        <v>355</v>
      </c>
    </row>
    <row r="37688" ht="16.5" customHeight="1">
      <c r="O37688" s="5" t="s">
        <v>355</v>
      </c>
      <c r="P37688" s="5" t="s">
        <v>355</v>
      </c>
      <c r="Q37688" s="5" t="s">
        <v>355</v>
      </c>
    </row>
    <row r="37689" ht="16.5" customHeight="1">
      <c r="O37689" s="5" t="s">
        <v>355</v>
      </c>
      <c r="P37689" s="5" t="s">
        <v>355</v>
      </c>
      <c r="Q37689" s="5" t="s">
        <v>355</v>
      </c>
    </row>
    <row r="37690" ht="16.5" customHeight="1">
      <c r="O37690" s="5" t="s">
        <v>355</v>
      </c>
      <c r="P37690" s="5" t="s">
        <v>355</v>
      </c>
      <c r="Q37690" s="5" t="s">
        <v>355</v>
      </c>
    </row>
    <row r="37691" ht="16.5" customHeight="1">
      <c r="O37691" s="5" t="s">
        <v>355</v>
      </c>
      <c r="P37691" s="5" t="s">
        <v>355</v>
      </c>
      <c r="Q37691" s="5" t="s">
        <v>355</v>
      </c>
    </row>
    <row r="37692" ht="16.5" customHeight="1">
      <c r="O37692" s="5" t="s">
        <v>355</v>
      </c>
      <c r="P37692" s="5" t="s">
        <v>355</v>
      </c>
      <c r="Q37692" s="5" t="s">
        <v>355</v>
      </c>
    </row>
    <row r="37693" ht="16.5" customHeight="1">
      <c r="O37693" s="5" t="s">
        <v>355</v>
      </c>
      <c r="P37693" s="5" t="s">
        <v>355</v>
      </c>
      <c r="Q37693" s="5" t="s">
        <v>355</v>
      </c>
    </row>
    <row r="37694" ht="16.5" customHeight="1">
      <c r="O37694" s="5" t="s">
        <v>355</v>
      </c>
      <c r="P37694" s="5" t="s">
        <v>355</v>
      </c>
      <c r="Q37694" s="5" t="s">
        <v>355</v>
      </c>
    </row>
    <row r="37695" ht="16.5" customHeight="1">
      <c r="O37695" s="5" t="s">
        <v>355</v>
      </c>
      <c r="P37695" s="5" t="s">
        <v>355</v>
      </c>
      <c r="Q37695" s="5" t="s">
        <v>355</v>
      </c>
    </row>
    <row r="37696" ht="16.5" customHeight="1">
      <c r="O37696" s="5" t="s">
        <v>355</v>
      </c>
      <c r="P37696" s="5" t="s">
        <v>355</v>
      </c>
      <c r="Q37696" s="5" t="s">
        <v>355</v>
      </c>
    </row>
    <row r="37697" ht="16.5" customHeight="1">
      <c r="O37697" s="5" t="s">
        <v>355</v>
      </c>
      <c r="P37697" s="5" t="s">
        <v>355</v>
      </c>
      <c r="Q37697" s="5" t="s">
        <v>355</v>
      </c>
    </row>
    <row r="37698" ht="16.5" customHeight="1">
      <c r="O37698" s="5" t="s">
        <v>355</v>
      </c>
      <c r="P37698" s="5" t="s">
        <v>355</v>
      </c>
      <c r="Q37698" s="5" t="s">
        <v>355</v>
      </c>
    </row>
    <row r="37699" ht="16.5" customHeight="1">
      <c r="O37699" s="5" t="s">
        <v>355</v>
      </c>
      <c r="P37699" s="5" t="s">
        <v>355</v>
      </c>
      <c r="Q37699" s="5" t="s">
        <v>355</v>
      </c>
    </row>
    <row r="37700" ht="16.5" customHeight="1">
      <c r="O37700" s="5" t="s">
        <v>355</v>
      </c>
      <c r="P37700" s="5" t="s">
        <v>355</v>
      </c>
      <c r="Q37700" s="5" t="s">
        <v>355</v>
      </c>
    </row>
    <row r="37701" ht="16.5" customHeight="1">
      <c r="O37701" s="5" t="s">
        <v>355</v>
      </c>
      <c r="P37701" s="5" t="s">
        <v>355</v>
      </c>
      <c r="Q37701" s="5" t="s">
        <v>355</v>
      </c>
    </row>
    <row r="37702" ht="16.5" customHeight="1">
      <c r="O37702" s="5" t="s">
        <v>355</v>
      </c>
      <c r="P37702" s="5" t="s">
        <v>355</v>
      </c>
      <c r="Q37702" s="5" t="s">
        <v>355</v>
      </c>
    </row>
    <row r="37703" ht="16.5" customHeight="1">
      <c r="O37703" s="5" t="s">
        <v>355</v>
      </c>
      <c r="P37703" s="5" t="s">
        <v>355</v>
      </c>
      <c r="Q37703" s="5" t="s">
        <v>355</v>
      </c>
    </row>
    <row r="37704" ht="16.5" customHeight="1">
      <c r="O37704" s="5" t="s">
        <v>355</v>
      </c>
      <c r="P37704" s="5" t="s">
        <v>355</v>
      </c>
      <c r="Q37704" s="5" t="s">
        <v>355</v>
      </c>
    </row>
    <row r="37705" ht="16.5" customHeight="1">
      <c r="O37705" s="5" t="s">
        <v>355</v>
      </c>
      <c r="P37705" s="5" t="s">
        <v>355</v>
      </c>
      <c r="Q37705" s="5" t="s">
        <v>355</v>
      </c>
    </row>
    <row r="37706" ht="16.5" customHeight="1">
      <c r="O37706" s="5" t="s">
        <v>355</v>
      </c>
      <c r="P37706" s="5" t="s">
        <v>355</v>
      </c>
      <c r="Q37706" s="5" t="s">
        <v>355</v>
      </c>
    </row>
    <row r="37707" ht="16.5" customHeight="1">
      <c r="O37707" s="5" t="s">
        <v>355</v>
      </c>
      <c r="P37707" s="5" t="s">
        <v>355</v>
      </c>
      <c r="Q37707" s="5" t="s">
        <v>355</v>
      </c>
    </row>
    <row r="37708" ht="16.5" customHeight="1">
      <c r="O37708" s="5" t="s">
        <v>355</v>
      </c>
      <c r="P37708" s="5" t="s">
        <v>355</v>
      </c>
      <c r="Q37708" s="5" t="s">
        <v>355</v>
      </c>
    </row>
    <row r="37709" ht="16.5" customHeight="1">
      <c r="O37709" s="5" t="s">
        <v>355</v>
      </c>
      <c r="P37709" s="5" t="s">
        <v>355</v>
      </c>
      <c r="Q37709" s="5" t="s">
        <v>355</v>
      </c>
    </row>
    <row r="37710" ht="16.5" customHeight="1">
      <c r="O37710" s="5" t="s">
        <v>355</v>
      </c>
      <c r="P37710" s="5" t="s">
        <v>355</v>
      </c>
      <c r="Q37710" s="5" t="s">
        <v>355</v>
      </c>
    </row>
    <row r="37711" ht="16.5" customHeight="1">
      <c r="O37711" s="5" t="s">
        <v>355</v>
      </c>
      <c r="P37711" s="5" t="s">
        <v>355</v>
      </c>
      <c r="Q37711" s="5" t="s">
        <v>355</v>
      </c>
    </row>
    <row r="37712" ht="16.5" customHeight="1">
      <c r="O37712" s="5" t="s">
        <v>355</v>
      </c>
      <c r="P37712" s="5" t="s">
        <v>355</v>
      </c>
      <c r="Q37712" s="5" t="s">
        <v>355</v>
      </c>
    </row>
    <row r="37713" ht="16.5" customHeight="1">
      <c r="O37713" s="5" t="s">
        <v>355</v>
      </c>
      <c r="P37713" s="5" t="s">
        <v>355</v>
      </c>
      <c r="Q37713" s="5" t="s">
        <v>355</v>
      </c>
    </row>
    <row r="37714" ht="16.5" customHeight="1">
      <c r="O37714" s="5" t="s">
        <v>355</v>
      </c>
      <c r="P37714" s="5" t="s">
        <v>355</v>
      </c>
      <c r="Q37714" s="5" t="s">
        <v>355</v>
      </c>
    </row>
    <row r="37715" ht="16.5" customHeight="1">
      <c r="O37715" s="5" t="s">
        <v>355</v>
      </c>
      <c r="P37715" s="5" t="s">
        <v>355</v>
      </c>
      <c r="Q37715" s="5" t="s">
        <v>355</v>
      </c>
    </row>
    <row r="37716" ht="16.5" customHeight="1">
      <c r="O37716" s="5" t="s">
        <v>355</v>
      </c>
      <c r="P37716" s="5" t="s">
        <v>355</v>
      </c>
      <c r="Q37716" s="5" t="s">
        <v>355</v>
      </c>
    </row>
    <row r="37717" ht="16.5" customHeight="1">
      <c r="O37717" s="5" t="s">
        <v>355</v>
      </c>
      <c r="P37717" s="5" t="s">
        <v>355</v>
      </c>
      <c r="Q37717" s="5" t="s">
        <v>355</v>
      </c>
    </row>
    <row r="37718" ht="16.5" customHeight="1">
      <c r="O37718" s="5" t="s">
        <v>355</v>
      </c>
      <c r="P37718" s="5" t="s">
        <v>355</v>
      </c>
      <c r="Q37718" s="5" t="s">
        <v>355</v>
      </c>
    </row>
    <row r="37719" ht="16.5" customHeight="1">
      <c r="O37719" s="5" t="s">
        <v>355</v>
      </c>
      <c r="P37719" s="5" t="s">
        <v>355</v>
      </c>
      <c r="Q37719" s="5" t="s">
        <v>355</v>
      </c>
    </row>
    <row r="37720" ht="16.5" customHeight="1">
      <c r="O37720" s="5" t="s">
        <v>355</v>
      </c>
      <c r="P37720" s="5" t="s">
        <v>355</v>
      </c>
      <c r="Q37720" s="5" t="s">
        <v>355</v>
      </c>
    </row>
    <row r="37721" ht="16.5" customHeight="1">
      <c r="O37721" s="5" t="s">
        <v>355</v>
      </c>
      <c r="P37721" s="5" t="s">
        <v>355</v>
      </c>
      <c r="Q37721" s="5" t="s">
        <v>355</v>
      </c>
    </row>
    <row r="37722" ht="16.5" customHeight="1">
      <c r="O37722" s="5" t="s">
        <v>355</v>
      </c>
      <c r="P37722" s="5" t="s">
        <v>355</v>
      </c>
      <c r="Q37722" s="5" t="s">
        <v>355</v>
      </c>
    </row>
    <row r="37723" ht="16.5" customHeight="1">
      <c r="O37723" s="5" t="s">
        <v>355</v>
      </c>
      <c r="P37723" s="5" t="s">
        <v>355</v>
      </c>
      <c r="Q37723" s="5" t="s">
        <v>355</v>
      </c>
    </row>
    <row r="37724" ht="16.5" customHeight="1">
      <c r="O37724" s="5" t="s">
        <v>355</v>
      </c>
      <c r="P37724" s="5" t="s">
        <v>355</v>
      </c>
      <c r="Q37724" s="5" t="s">
        <v>355</v>
      </c>
    </row>
    <row r="37725" ht="16.5" customHeight="1">
      <c r="O37725" s="5" t="s">
        <v>355</v>
      </c>
      <c r="P37725" s="5" t="s">
        <v>355</v>
      </c>
      <c r="Q37725" s="5" t="s">
        <v>355</v>
      </c>
    </row>
    <row r="37726" ht="16.5" customHeight="1">
      <c r="O37726" s="5" t="s">
        <v>355</v>
      </c>
      <c r="P37726" s="5" t="s">
        <v>355</v>
      </c>
      <c r="Q37726" s="5" t="s">
        <v>355</v>
      </c>
    </row>
    <row r="37727" ht="16.5" customHeight="1">
      <c r="O37727" s="5" t="s">
        <v>355</v>
      </c>
      <c r="P37727" s="5" t="s">
        <v>355</v>
      </c>
      <c r="Q37727" s="5" t="s">
        <v>355</v>
      </c>
    </row>
    <row r="37728" ht="16.5" customHeight="1">
      <c r="O37728" s="5" t="s">
        <v>355</v>
      </c>
      <c r="P37728" s="5" t="s">
        <v>355</v>
      </c>
      <c r="Q37728" s="5" t="s">
        <v>355</v>
      </c>
    </row>
    <row r="37729" ht="16.5" customHeight="1">
      <c r="O37729" s="5" t="s">
        <v>355</v>
      </c>
      <c r="P37729" s="5" t="s">
        <v>355</v>
      </c>
      <c r="Q37729" s="5" t="s">
        <v>355</v>
      </c>
    </row>
    <row r="37730" ht="16.5" customHeight="1">
      <c r="O37730" s="5" t="s">
        <v>355</v>
      </c>
      <c r="P37730" s="5" t="s">
        <v>355</v>
      </c>
      <c r="Q37730" s="5" t="s">
        <v>355</v>
      </c>
    </row>
    <row r="37731" ht="16.5" customHeight="1">
      <c r="O37731" s="5" t="s">
        <v>355</v>
      </c>
      <c r="P37731" s="5" t="s">
        <v>355</v>
      </c>
      <c r="Q37731" s="5" t="s">
        <v>355</v>
      </c>
    </row>
    <row r="37732" ht="16.5" customHeight="1">
      <c r="O37732" s="5" t="s">
        <v>355</v>
      </c>
      <c r="P37732" s="5" t="s">
        <v>355</v>
      </c>
      <c r="Q37732" s="5" t="s">
        <v>355</v>
      </c>
    </row>
    <row r="37733" ht="16.5" customHeight="1">
      <c r="O37733" s="5" t="s">
        <v>355</v>
      </c>
      <c r="P37733" s="5" t="s">
        <v>355</v>
      </c>
      <c r="Q37733" s="5" t="s">
        <v>355</v>
      </c>
    </row>
    <row r="37734" ht="16.5" customHeight="1">
      <c r="O37734" s="5" t="s">
        <v>355</v>
      </c>
      <c r="P37734" s="5" t="s">
        <v>355</v>
      </c>
      <c r="Q37734" s="5" t="s">
        <v>355</v>
      </c>
    </row>
    <row r="37735" ht="16.5" customHeight="1">
      <c r="O37735" s="5" t="s">
        <v>355</v>
      </c>
      <c r="P37735" s="5" t="s">
        <v>355</v>
      </c>
      <c r="Q37735" s="5" t="s">
        <v>355</v>
      </c>
    </row>
    <row r="37736" ht="16.5" customHeight="1">
      <c r="O37736" s="5" t="s">
        <v>355</v>
      </c>
      <c r="P37736" s="5" t="s">
        <v>355</v>
      </c>
      <c r="Q37736" s="5" t="s">
        <v>355</v>
      </c>
    </row>
    <row r="37737" ht="16.5" customHeight="1">
      <c r="O37737" s="5" t="s">
        <v>355</v>
      </c>
      <c r="P37737" s="5" t="s">
        <v>355</v>
      </c>
      <c r="Q37737" s="5" t="s">
        <v>355</v>
      </c>
    </row>
    <row r="37738" ht="16.5" customHeight="1">
      <c r="O37738" s="5" t="s">
        <v>355</v>
      </c>
      <c r="P37738" s="5" t="s">
        <v>355</v>
      </c>
      <c r="Q37738" s="5" t="s">
        <v>355</v>
      </c>
    </row>
    <row r="37739" ht="16.5" customHeight="1">
      <c r="O37739" s="5" t="s">
        <v>355</v>
      </c>
      <c r="P37739" s="5" t="s">
        <v>355</v>
      </c>
      <c r="Q37739" s="5" t="s">
        <v>355</v>
      </c>
    </row>
    <row r="37740" ht="16.5" customHeight="1">
      <c r="O37740" s="5" t="s">
        <v>355</v>
      </c>
      <c r="P37740" s="5" t="s">
        <v>355</v>
      </c>
      <c r="Q37740" s="5" t="s">
        <v>355</v>
      </c>
    </row>
    <row r="37741" ht="16.5" customHeight="1">
      <c r="O37741" s="5" t="s">
        <v>355</v>
      </c>
      <c r="P37741" s="5" t="s">
        <v>355</v>
      </c>
      <c r="Q37741" s="5" t="s">
        <v>355</v>
      </c>
    </row>
    <row r="37742" ht="16.5" customHeight="1">
      <c r="O37742" s="5" t="s">
        <v>355</v>
      </c>
      <c r="P37742" s="5" t="s">
        <v>355</v>
      </c>
      <c r="Q37742" s="5" t="s">
        <v>355</v>
      </c>
    </row>
    <row r="37743" ht="16.5" customHeight="1">
      <c r="O37743" s="5" t="s">
        <v>355</v>
      </c>
      <c r="P37743" s="5" t="s">
        <v>355</v>
      </c>
      <c r="Q37743" s="5" t="s">
        <v>355</v>
      </c>
    </row>
    <row r="37744" ht="16.5" customHeight="1">
      <c r="O37744" s="5" t="s">
        <v>355</v>
      </c>
      <c r="P37744" s="5" t="s">
        <v>355</v>
      </c>
      <c r="Q37744" s="5" t="s">
        <v>355</v>
      </c>
    </row>
    <row r="37745" ht="16.5" customHeight="1">
      <c r="O37745" s="5" t="s">
        <v>355</v>
      </c>
      <c r="P37745" s="5" t="s">
        <v>355</v>
      </c>
      <c r="Q37745" s="5" t="s">
        <v>355</v>
      </c>
    </row>
    <row r="37746" ht="16.5" customHeight="1">
      <c r="O37746" s="5" t="s">
        <v>355</v>
      </c>
      <c r="P37746" s="5" t="s">
        <v>355</v>
      </c>
      <c r="Q37746" s="5" t="s">
        <v>355</v>
      </c>
    </row>
    <row r="37747" ht="16.5" customHeight="1">
      <c r="O37747" s="5" t="s">
        <v>355</v>
      </c>
      <c r="P37747" s="5" t="s">
        <v>355</v>
      </c>
      <c r="Q37747" s="5" t="s">
        <v>355</v>
      </c>
    </row>
    <row r="37748" ht="16.5" customHeight="1">
      <c r="O37748" s="5" t="s">
        <v>355</v>
      </c>
      <c r="P37748" s="5" t="s">
        <v>355</v>
      </c>
      <c r="Q37748" s="5" t="s">
        <v>355</v>
      </c>
    </row>
    <row r="37749" ht="16.5" customHeight="1">
      <c r="O37749" s="5" t="s">
        <v>355</v>
      </c>
      <c r="P37749" s="5" t="s">
        <v>355</v>
      </c>
      <c r="Q37749" s="5" t="s">
        <v>355</v>
      </c>
    </row>
    <row r="37750" ht="16.5" customHeight="1">
      <c r="O37750" s="5" t="s">
        <v>355</v>
      </c>
      <c r="P37750" s="5" t="s">
        <v>355</v>
      </c>
      <c r="Q37750" s="5" t="s">
        <v>355</v>
      </c>
    </row>
    <row r="37751" ht="16.5" customHeight="1">
      <c r="O37751" s="5" t="s">
        <v>355</v>
      </c>
      <c r="P37751" s="5" t="s">
        <v>355</v>
      </c>
      <c r="Q37751" s="5" t="s">
        <v>355</v>
      </c>
    </row>
    <row r="37752" ht="16.5" customHeight="1">
      <c r="O37752" s="5" t="s">
        <v>355</v>
      </c>
      <c r="P37752" s="5" t="s">
        <v>355</v>
      </c>
      <c r="Q37752" s="5" t="s">
        <v>355</v>
      </c>
    </row>
    <row r="37753" ht="16.5" customHeight="1">
      <c r="O37753" s="5" t="s">
        <v>355</v>
      </c>
      <c r="P37753" s="5" t="s">
        <v>355</v>
      </c>
      <c r="Q37753" s="5" t="s">
        <v>355</v>
      </c>
    </row>
    <row r="37754" ht="16.5" customHeight="1">
      <c r="O37754" s="5" t="s">
        <v>355</v>
      </c>
      <c r="P37754" s="5" t="s">
        <v>355</v>
      </c>
      <c r="Q37754" s="5" t="s">
        <v>355</v>
      </c>
    </row>
    <row r="37755" ht="16.5" customHeight="1">
      <c r="O37755" s="5" t="s">
        <v>355</v>
      </c>
      <c r="P37755" s="5" t="s">
        <v>355</v>
      </c>
      <c r="Q37755" s="5" t="s">
        <v>355</v>
      </c>
    </row>
    <row r="37756" ht="16.5" customHeight="1">
      <c r="O37756" s="5" t="s">
        <v>355</v>
      </c>
      <c r="P37756" s="5" t="s">
        <v>355</v>
      </c>
      <c r="Q37756" s="5" t="s">
        <v>355</v>
      </c>
    </row>
    <row r="37757" ht="16.5" customHeight="1">
      <c r="O37757" s="5" t="s">
        <v>355</v>
      </c>
      <c r="P37757" s="5" t="s">
        <v>355</v>
      </c>
      <c r="Q37757" s="5" t="s">
        <v>355</v>
      </c>
    </row>
    <row r="37758" ht="16.5" customHeight="1">
      <c r="O37758" s="5" t="s">
        <v>355</v>
      </c>
      <c r="P37758" s="5" t="s">
        <v>355</v>
      </c>
      <c r="Q37758" s="5" t="s">
        <v>355</v>
      </c>
    </row>
    <row r="37759" ht="16.5" customHeight="1">
      <c r="O37759" s="5" t="s">
        <v>355</v>
      </c>
      <c r="P37759" s="5" t="s">
        <v>355</v>
      </c>
      <c r="Q37759" s="5" t="s">
        <v>355</v>
      </c>
    </row>
    <row r="37760" ht="16.5" customHeight="1">
      <c r="O37760" s="5" t="s">
        <v>355</v>
      </c>
      <c r="P37760" s="5" t="s">
        <v>355</v>
      </c>
      <c r="Q37760" s="5" t="s">
        <v>355</v>
      </c>
    </row>
    <row r="37761" ht="16.5" customHeight="1">
      <c r="O37761" s="5" t="s">
        <v>355</v>
      </c>
      <c r="P37761" s="5" t="s">
        <v>355</v>
      </c>
      <c r="Q37761" s="5" t="s">
        <v>355</v>
      </c>
    </row>
    <row r="37762" ht="16.5" customHeight="1">
      <c r="O37762" s="5" t="s">
        <v>355</v>
      </c>
      <c r="P37762" s="5" t="s">
        <v>355</v>
      </c>
      <c r="Q37762" s="5" t="s">
        <v>355</v>
      </c>
    </row>
    <row r="37763" ht="16.5" customHeight="1">
      <c r="O37763" s="5" t="s">
        <v>355</v>
      </c>
      <c r="P37763" s="5" t="s">
        <v>355</v>
      </c>
      <c r="Q37763" s="5" t="s">
        <v>355</v>
      </c>
    </row>
    <row r="37764" ht="16.5" customHeight="1">
      <c r="O37764" s="5" t="s">
        <v>355</v>
      </c>
      <c r="P37764" s="5" t="s">
        <v>355</v>
      </c>
      <c r="Q37764" s="5" t="s">
        <v>355</v>
      </c>
    </row>
    <row r="37765" ht="16.5" customHeight="1">
      <c r="O37765" s="5" t="s">
        <v>355</v>
      </c>
      <c r="P37765" s="5" t="s">
        <v>355</v>
      </c>
      <c r="Q37765" s="5" t="s">
        <v>355</v>
      </c>
    </row>
    <row r="37766" ht="16.5" customHeight="1">
      <c r="O37766" s="5" t="s">
        <v>355</v>
      </c>
      <c r="P37766" s="5" t="s">
        <v>355</v>
      </c>
      <c r="Q37766" s="5" t="s">
        <v>355</v>
      </c>
    </row>
    <row r="37767" ht="16.5" customHeight="1">
      <c r="O37767" s="5" t="s">
        <v>355</v>
      </c>
      <c r="P37767" s="5" t="s">
        <v>355</v>
      </c>
      <c r="Q37767" s="5" t="s">
        <v>355</v>
      </c>
    </row>
    <row r="37768" ht="16.5" customHeight="1">
      <c r="O37768" s="5" t="s">
        <v>355</v>
      </c>
      <c r="P37768" s="5" t="s">
        <v>355</v>
      </c>
      <c r="Q37768" s="5" t="s">
        <v>355</v>
      </c>
    </row>
    <row r="37769" ht="16.5" customHeight="1">
      <c r="O37769" s="5" t="s">
        <v>355</v>
      </c>
      <c r="P37769" s="5" t="s">
        <v>355</v>
      </c>
      <c r="Q37769" s="5" t="s">
        <v>355</v>
      </c>
    </row>
    <row r="37770" ht="16.5" customHeight="1">
      <c r="O37770" s="5" t="s">
        <v>355</v>
      </c>
      <c r="P37770" s="5" t="s">
        <v>355</v>
      </c>
      <c r="Q37770" s="5" t="s">
        <v>355</v>
      </c>
    </row>
    <row r="37771" ht="16.5" customHeight="1">
      <c r="O37771" s="5" t="s">
        <v>355</v>
      </c>
      <c r="P37771" s="5" t="s">
        <v>355</v>
      </c>
      <c r="Q37771" s="5" t="s">
        <v>355</v>
      </c>
    </row>
    <row r="37772" ht="16.5" customHeight="1">
      <c r="O37772" s="5" t="s">
        <v>355</v>
      </c>
      <c r="P37772" s="5" t="s">
        <v>355</v>
      </c>
      <c r="Q37772" s="5" t="s">
        <v>355</v>
      </c>
    </row>
    <row r="37773" ht="16.5" customHeight="1">
      <c r="O37773" s="5" t="s">
        <v>355</v>
      </c>
      <c r="P37773" s="5" t="s">
        <v>355</v>
      </c>
      <c r="Q37773" s="5" t="s">
        <v>355</v>
      </c>
    </row>
    <row r="37774" ht="16.5" customHeight="1">
      <c r="O37774" s="5" t="s">
        <v>355</v>
      </c>
      <c r="P37774" s="5" t="s">
        <v>355</v>
      </c>
      <c r="Q37774" s="5" t="s">
        <v>355</v>
      </c>
    </row>
    <row r="37775" ht="16.5" customHeight="1">
      <c r="O37775" s="5" t="s">
        <v>355</v>
      </c>
      <c r="P37775" s="5" t="s">
        <v>355</v>
      </c>
      <c r="Q37775" s="5" t="s">
        <v>355</v>
      </c>
    </row>
    <row r="37776" ht="16.5" customHeight="1">
      <c r="O37776" s="5" t="s">
        <v>355</v>
      </c>
      <c r="P37776" s="5" t="s">
        <v>355</v>
      </c>
      <c r="Q37776" s="5" t="s">
        <v>355</v>
      </c>
    </row>
    <row r="37777" ht="16.5" customHeight="1">
      <c r="O37777" s="5" t="s">
        <v>355</v>
      </c>
      <c r="P37777" s="5" t="s">
        <v>355</v>
      </c>
      <c r="Q37777" s="5" t="s">
        <v>355</v>
      </c>
    </row>
    <row r="37778" ht="16.5" customHeight="1">
      <c r="O37778" s="5" t="s">
        <v>355</v>
      </c>
      <c r="P37778" s="5" t="s">
        <v>355</v>
      </c>
      <c r="Q37778" s="5" t="s">
        <v>355</v>
      </c>
    </row>
    <row r="37779" ht="16.5" customHeight="1">
      <c r="O37779" s="5" t="s">
        <v>355</v>
      </c>
      <c r="P37779" s="5" t="s">
        <v>355</v>
      </c>
      <c r="Q37779" s="5" t="s">
        <v>355</v>
      </c>
    </row>
    <row r="37780" ht="16.5" customHeight="1">
      <c r="O37780" s="5" t="s">
        <v>355</v>
      </c>
      <c r="P37780" s="5" t="s">
        <v>355</v>
      </c>
      <c r="Q37780" s="5" t="s">
        <v>355</v>
      </c>
    </row>
    <row r="37781" ht="16.5" customHeight="1">
      <c r="O37781" s="5" t="s">
        <v>355</v>
      </c>
      <c r="P37781" s="5" t="s">
        <v>355</v>
      </c>
      <c r="Q37781" s="5" t="s">
        <v>355</v>
      </c>
    </row>
    <row r="37782" ht="16.5" customHeight="1">
      <c r="O37782" s="5" t="s">
        <v>355</v>
      </c>
      <c r="P37782" s="5" t="s">
        <v>355</v>
      </c>
      <c r="Q37782" s="5" t="s">
        <v>355</v>
      </c>
    </row>
    <row r="37783" ht="16.5" customHeight="1">
      <c r="O37783" s="5" t="s">
        <v>355</v>
      </c>
      <c r="P37783" s="5" t="s">
        <v>355</v>
      </c>
      <c r="Q37783" s="5" t="s">
        <v>355</v>
      </c>
    </row>
    <row r="37784" ht="16.5" customHeight="1">
      <c r="O37784" s="5" t="s">
        <v>355</v>
      </c>
      <c r="P37784" s="5" t="s">
        <v>355</v>
      </c>
      <c r="Q37784" s="5" t="s">
        <v>355</v>
      </c>
    </row>
    <row r="37785" ht="16.5" customHeight="1">
      <c r="O37785" s="5" t="s">
        <v>355</v>
      </c>
      <c r="P37785" s="5" t="s">
        <v>355</v>
      </c>
      <c r="Q37785" s="5" t="s">
        <v>355</v>
      </c>
    </row>
    <row r="37786" ht="16.5" customHeight="1">
      <c r="O37786" s="5" t="s">
        <v>355</v>
      </c>
      <c r="P37786" s="5" t="s">
        <v>355</v>
      </c>
      <c r="Q37786" s="5" t="s">
        <v>355</v>
      </c>
    </row>
    <row r="37787" ht="16.5" customHeight="1">
      <c r="O37787" s="5" t="s">
        <v>355</v>
      </c>
      <c r="P37787" s="5" t="s">
        <v>355</v>
      </c>
      <c r="Q37787" s="5" t="s">
        <v>355</v>
      </c>
    </row>
    <row r="37788" ht="16.5" customHeight="1">
      <c r="O37788" s="5" t="s">
        <v>355</v>
      </c>
      <c r="P37788" s="5" t="s">
        <v>355</v>
      </c>
      <c r="Q37788" s="5" t="s">
        <v>355</v>
      </c>
    </row>
    <row r="37789" ht="16.5" customHeight="1">
      <c r="O37789" s="5" t="s">
        <v>355</v>
      </c>
      <c r="P37789" s="5" t="s">
        <v>355</v>
      </c>
      <c r="Q37789" s="5" t="s">
        <v>355</v>
      </c>
    </row>
    <row r="37790" ht="16.5" customHeight="1">
      <c r="O37790" s="5" t="s">
        <v>355</v>
      </c>
      <c r="P37790" s="5" t="s">
        <v>355</v>
      </c>
      <c r="Q37790" s="5" t="s">
        <v>355</v>
      </c>
    </row>
    <row r="37791" ht="16.5" customHeight="1">
      <c r="O37791" s="5" t="s">
        <v>355</v>
      </c>
      <c r="P37791" s="5" t="s">
        <v>355</v>
      </c>
      <c r="Q37791" s="5" t="s">
        <v>355</v>
      </c>
    </row>
    <row r="37792" ht="16.5" customHeight="1">
      <c r="O37792" s="5" t="s">
        <v>355</v>
      </c>
      <c r="P37792" s="5" t="s">
        <v>355</v>
      </c>
      <c r="Q37792" s="5" t="s">
        <v>355</v>
      </c>
    </row>
    <row r="37793" ht="16.5" customHeight="1">
      <c r="O37793" s="5" t="s">
        <v>355</v>
      </c>
      <c r="P37793" s="5" t="s">
        <v>355</v>
      </c>
      <c r="Q37793" s="5" t="s">
        <v>355</v>
      </c>
    </row>
    <row r="37794" ht="16.5" customHeight="1">
      <c r="O37794" s="5" t="s">
        <v>355</v>
      </c>
      <c r="P37794" s="5" t="s">
        <v>355</v>
      </c>
      <c r="Q37794" s="5" t="s">
        <v>355</v>
      </c>
    </row>
    <row r="37795" ht="16.5" customHeight="1">
      <c r="O37795" s="5" t="s">
        <v>355</v>
      </c>
      <c r="P37795" s="5" t="s">
        <v>355</v>
      </c>
      <c r="Q37795" s="5" t="s">
        <v>355</v>
      </c>
    </row>
    <row r="37796" ht="16.5" customHeight="1">
      <c r="O37796" s="5" t="s">
        <v>355</v>
      </c>
      <c r="P37796" s="5" t="s">
        <v>355</v>
      </c>
      <c r="Q37796" s="5" t="s">
        <v>355</v>
      </c>
    </row>
    <row r="37797" ht="16.5" customHeight="1">
      <c r="O37797" s="5" t="s">
        <v>355</v>
      </c>
      <c r="P37797" s="5" t="s">
        <v>355</v>
      </c>
      <c r="Q37797" s="5" t="s">
        <v>355</v>
      </c>
    </row>
    <row r="37798" ht="16.5" customHeight="1">
      <c r="O37798" s="5" t="s">
        <v>355</v>
      </c>
      <c r="P37798" s="5" t="s">
        <v>355</v>
      </c>
      <c r="Q37798" s="5" t="s">
        <v>355</v>
      </c>
    </row>
    <row r="37799" ht="16.5" customHeight="1">
      <c r="O37799" s="5" t="s">
        <v>355</v>
      </c>
      <c r="P37799" s="5" t="s">
        <v>355</v>
      </c>
      <c r="Q37799" s="5" t="s">
        <v>355</v>
      </c>
    </row>
    <row r="37800" ht="16.5" customHeight="1">
      <c r="O37800" s="5" t="s">
        <v>355</v>
      </c>
      <c r="P37800" s="5" t="s">
        <v>355</v>
      </c>
      <c r="Q37800" s="5" t="s">
        <v>355</v>
      </c>
    </row>
    <row r="37801" ht="16.5" customHeight="1">
      <c r="O37801" s="5" t="s">
        <v>355</v>
      </c>
      <c r="P37801" s="5" t="s">
        <v>355</v>
      </c>
      <c r="Q37801" s="5" t="s">
        <v>355</v>
      </c>
    </row>
    <row r="37802" ht="16.5" customHeight="1">
      <c r="O37802" s="5" t="s">
        <v>355</v>
      </c>
      <c r="P37802" s="5" t="s">
        <v>355</v>
      </c>
      <c r="Q37802" s="5" t="s">
        <v>355</v>
      </c>
    </row>
    <row r="37803" ht="16.5" customHeight="1">
      <c r="O37803" s="5" t="s">
        <v>355</v>
      </c>
      <c r="P37803" s="5" t="s">
        <v>355</v>
      </c>
      <c r="Q37803" s="5" t="s">
        <v>355</v>
      </c>
    </row>
    <row r="37804" ht="16.5" customHeight="1">
      <c r="O37804" s="5" t="s">
        <v>355</v>
      </c>
      <c r="P37804" s="5" t="s">
        <v>355</v>
      </c>
      <c r="Q37804" s="5" t="s">
        <v>355</v>
      </c>
    </row>
    <row r="37805" ht="16.5" customHeight="1">
      <c r="O37805" s="5" t="s">
        <v>355</v>
      </c>
      <c r="P37805" s="5" t="s">
        <v>355</v>
      </c>
      <c r="Q37805" s="5" t="s">
        <v>355</v>
      </c>
    </row>
    <row r="37806" ht="16.5" customHeight="1">
      <c r="O37806" s="5" t="s">
        <v>355</v>
      </c>
      <c r="P37806" s="5" t="s">
        <v>355</v>
      </c>
      <c r="Q37806" s="5" t="s">
        <v>355</v>
      </c>
    </row>
    <row r="37807" ht="16.5" customHeight="1">
      <c r="O37807" s="5" t="s">
        <v>355</v>
      </c>
      <c r="P37807" s="5" t="s">
        <v>355</v>
      </c>
      <c r="Q37807" s="5" t="s">
        <v>355</v>
      </c>
    </row>
    <row r="37808" ht="16.5" customHeight="1">
      <c r="O37808" s="5" t="s">
        <v>355</v>
      </c>
      <c r="P37808" s="5" t="s">
        <v>355</v>
      </c>
      <c r="Q37808" s="5" t="s">
        <v>355</v>
      </c>
    </row>
    <row r="37809" ht="16.5" customHeight="1">
      <c r="O37809" s="5" t="s">
        <v>355</v>
      </c>
      <c r="P37809" s="5" t="s">
        <v>355</v>
      </c>
      <c r="Q37809" s="5" t="s">
        <v>355</v>
      </c>
    </row>
    <row r="37810" ht="16.5" customHeight="1">
      <c r="O37810" s="5" t="s">
        <v>355</v>
      </c>
      <c r="P37810" s="5" t="s">
        <v>355</v>
      </c>
      <c r="Q37810" s="5" t="s">
        <v>355</v>
      </c>
    </row>
    <row r="37811" ht="16.5" customHeight="1">
      <c r="O37811" s="5" t="s">
        <v>355</v>
      </c>
      <c r="P37811" s="5" t="s">
        <v>355</v>
      </c>
      <c r="Q37811" s="5" t="s">
        <v>355</v>
      </c>
    </row>
    <row r="37812" ht="16.5" customHeight="1">
      <c r="O37812" s="5" t="s">
        <v>355</v>
      </c>
      <c r="P37812" s="5" t="s">
        <v>355</v>
      </c>
      <c r="Q37812" s="5" t="s">
        <v>355</v>
      </c>
    </row>
    <row r="37813" ht="16.5" customHeight="1">
      <c r="O37813" s="5" t="s">
        <v>355</v>
      </c>
      <c r="P37813" s="5" t="s">
        <v>355</v>
      </c>
      <c r="Q37813" s="5" t="s">
        <v>355</v>
      </c>
    </row>
    <row r="37814" ht="16.5" customHeight="1">
      <c r="O37814" s="5" t="s">
        <v>355</v>
      </c>
      <c r="P37814" s="5" t="s">
        <v>355</v>
      </c>
      <c r="Q37814" s="5" t="s">
        <v>355</v>
      </c>
    </row>
    <row r="37815" ht="16.5" customHeight="1">
      <c r="O37815" s="5" t="s">
        <v>355</v>
      </c>
      <c r="P37815" s="5" t="s">
        <v>355</v>
      </c>
      <c r="Q37815" s="5" t="s">
        <v>355</v>
      </c>
    </row>
    <row r="37816" ht="16.5" customHeight="1">
      <c r="O37816" s="5" t="s">
        <v>355</v>
      </c>
      <c r="P37816" s="5" t="s">
        <v>355</v>
      </c>
      <c r="Q37816" s="5" t="s">
        <v>355</v>
      </c>
    </row>
    <row r="37817" ht="16.5" customHeight="1">
      <c r="O37817" s="5" t="s">
        <v>355</v>
      </c>
      <c r="P37817" s="5" t="s">
        <v>355</v>
      </c>
      <c r="Q37817" s="5" t="s">
        <v>355</v>
      </c>
    </row>
    <row r="37818" ht="16.5" customHeight="1">
      <c r="O37818" s="5" t="s">
        <v>355</v>
      </c>
      <c r="P37818" s="5" t="s">
        <v>355</v>
      </c>
      <c r="Q37818" s="5" t="s">
        <v>355</v>
      </c>
    </row>
    <row r="37819" ht="16.5" customHeight="1">
      <c r="O37819" s="5" t="s">
        <v>355</v>
      </c>
      <c r="P37819" s="5" t="s">
        <v>355</v>
      </c>
      <c r="Q37819" s="5" t="s">
        <v>355</v>
      </c>
    </row>
    <row r="37820" ht="16.5" customHeight="1">
      <c r="O37820" s="5" t="s">
        <v>355</v>
      </c>
      <c r="P37820" s="5" t="s">
        <v>355</v>
      </c>
      <c r="Q37820" s="5" t="s">
        <v>355</v>
      </c>
    </row>
    <row r="37821" ht="16.5" customHeight="1">
      <c r="O37821" s="5" t="s">
        <v>355</v>
      </c>
      <c r="P37821" s="5" t="s">
        <v>355</v>
      </c>
      <c r="Q37821" s="5" t="s">
        <v>355</v>
      </c>
    </row>
    <row r="37822" ht="16.5" customHeight="1">
      <c r="O37822" s="5" t="s">
        <v>355</v>
      </c>
      <c r="P37822" s="5" t="s">
        <v>355</v>
      </c>
      <c r="Q37822" s="5" t="s">
        <v>355</v>
      </c>
    </row>
    <row r="37823" ht="16.5" customHeight="1">
      <c r="O37823" s="5" t="s">
        <v>355</v>
      </c>
      <c r="P37823" s="5" t="s">
        <v>355</v>
      </c>
      <c r="Q37823" s="5" t="s">
        <v>355</v>
      </c>
    </row>
    <row r="37824" ht="16.5" customHeight="1">
      <c r="O37824" s="5" t="s">
        <v>355</v>
      </c>
      <c r="P37824" s="5" t="s">
        <v>355</v>
      </c>
      <c r="Q37824" s="5" t="s">
        <v>355</v>
      </c>
    </row>
    <row r="37825" ht="16.5" customHeight="1">
      <c r="O37825" s="5" t="s">
        <v>355</v>
      </c>
      <c r="P37825" s="5" t="s">
        <v>355</v>
      </c>
      <c r="Q37825" s="5" t="s">
        <v>355</v>
      </c>
    </row>
    <row r="37826" ht="16.5" customHeight="1">
      <c r="O37826" s="5" t="s">
        <v>355</v>
      </c>
      <c r="P37826" s="5" t="s">
        <v>355</v>
      </c>
      <c r="Q37826" s="5" t="s">
        <v>355</v>
      </c>
    </row>
    <row r="37827" ht="16.5" customHeight="1">
      <c r="O37827" s="5" t="s">
        <v>355</v>
      </c>
      <c r="P37827" s="5" t="s">
        <v>355</v>
      </c>
      <c r="Q37827" s="5" t="s">
        <v>355</v>
      </c>
    </row>
    <row r="37828" ht="16.5" customHeight="1">
      <c r="O37828" s="5" t="s">
        <v>355</v>
      </c>
      <c r="P37828" s="5" t="s">
        <v>355</v>
      </c>
      <c r="Q37828" s="5" t="s">
        <v>355</v>
      </c>
    </row>
    <row r="37829" ht="16.5" customHeight="1">
      <c r="O37829" s="5" t="s">
        <v>355</v>
      </c>
      <c r="P37829" s="5" t="s">
        <v>355</v>
      </c>
      <c r="Q37829" s="5" t="s">
        <v>355</v>
      </c>
    </row>
    <row r="37830" ht="16.5" customHeight="1">
      <c r="O37830" s="5" t="s">
        <v>355</v>
      </c>
      <c r="P37830" s="5" t="s">
        <v>355</v>
      </c>
      <c r="Q37830" s="5" t="s">
        <v>355</v>
      </c>
    </row>
    <row r="37831" ht="16.5" customHeight="1">
      <c r="O37831" s="5" t="s">
        <v>355</v>
      </c>
      <c r="P37831" s="5" t="s">
        <v>355</v>
      </c>
      <c r="Q37831" s="5" t="s">
        <v>355</v>
      </c>
    </row>
    <row r="37832" ht="16.5" customHeight="1">
      <c r="O37832" s="5" t="s">
        <v>355</v>
      </c>
      <c r="P37832" s="5" t="s">
        <v>355</v>
      </c>
      <c r="Q37832" s="5" t="s">
        <v>355</v>
      </c>
    </row>
    <row r="37833" ht="16.5" customHeight="1">
      <c r="O37833" s="5" t="s">
        <v>355</v>
      </c>
      <c r="P37833" s="5" t="s">
        <v>355</v>
      </c>
      <c r="Q37833" s="5" t="s">
        <v>355</v>
      </c>
    </row>
    <row r="37834" ht="16.5" customHeight="1">
      <c r="O37834" s="5" t="s">
        <v>355</v>
      </c>
      <c r="P37834" s="5" t="s">
        <v>355</v>
      </c>
      <c r="Q37834" s="5" t="s">
        <v>355</v>
      </c>
    </row>
    <row r="37835" ht="16.5" customHeight="1">
      <c r="O37835" s="5" t="s">
        <v>355</v>
      </c>
      <c r="P37835" s="5" t="s">
        <v>355</v>
      </c>
      <c r="Q37835" s="5" t="s">
        <v>355</v>
      </c>
    </row>
    <row r="37836" ht="16.5" customHeight="1">
      <c r="O37836" s="5" t="s">
        <v>355</v>
      </c>
      <c r="P37836" s="5" t="s">
        <v>355</v>
      </c>
      <c r="Q37836" s="5" t="s">
        <v>355</v>
      </c>
    </row>
    <row r="37837" ht="16.5" customHeight="1">
      <c r="O37837" s="5" t="s">
        <v>355</v>
      </c>
      <c r="P37837" s="5" t="s">
        <v>355</v>
      </c>
      <c r="Q37837" s="5" t="s">
        <v>355</v>
      </c>
    </row>
    <row r="37838" ht="16.5" customHeight="1">
      <c r="O37838" s="5" t="s">
        <v>355</v>
      </c>
      <c r="P37838" s="5" t="s">
        <v>355</v>
      </c>
      <c r="Q37838" s="5" t="s">
        <v>355</v>
      </c>
    </row>
    <row r="37839" ht="16.5" customHeight="1">
      <c r="O37839" s="5" t="s">
        <v>355</v>
      </c>
      <c r="P37839" s="5" t="s">
        <v>355</v>
      </c>
      <c r="Q37839" s="5" t="s">
        <v>355</v>
      </c>
    </row>
    <row r="37840" ht="16.5" customHeight="1">
      <c r="O37840" s="5" t="s">
        <v>355</v>
      </c>
      <c r="P37840" s="5" t="s">
        <v>355</v>
      </c>
      <c r="Q37840" s="5" t="s">
        <v>355</v>
      </c>
    </row>
    <row r="37841" ht="16.5" customHeight="1">
      <c r="O37841" s="5" t="s">
        <v>355</v>
      </c>
      <c r="P37841" s="5" t="s">
        <v>355</v>
      </c>
      <c r="Q37841" s="5" t="s">
        <v>355</v>
      </c>
    </row>
    <row r="37842" ht="16.5" customHeight="1">
      <c r="O37842" s="5" t="s">
        <v>355</v>
      </c>
      <c r="P37842" s="5" t="s">
        <v>355</v>
      </c>
      <c r="Q37842" s="5" t="s">
        <v>355</v>
      </c>
    </row>
    <row r="37843" ht="16.5" customHeight="1">
      <c r="O37843" s="5" t="s">
        <v>355</v>
      </c>
      <c r="P37843" s="5" t="s">
        <v>355</v>
      </c>
      <c r="Q37843" s="5" t="s">
        <v>355</v>
      </c>
    </row>
    <row r="37844" ht="16.5" customHeight="1">
      <c r="O37844" s="5" t="s">
        <v>355</v>
      </c>
      <c r="P37844" s="5" t="s">
        <v>355</v>
      </c>
      <c r="Q37844" s="5" t="s">
        <v>355</v>
      </c>
    </row>
    <row r="37845" ht="16.5" customHeight="1">
      <c r="O37845" s="5" t="s">
        <v>355</v>
      </c>
      <c r="P37845" s="5" t="s">
        <v>355</v>
      </c>
      <c r="Q37845" s="5" t="s">
        <v>355</v>
      </c>
    </row>
    <row r="37846" ht="16.5" customHeight="1">
      <c r="O37846" s="5" t="s">
        <v>355</v>
      </c>
      <c r="P37846" s="5" t="s">
        <v>355</v>
      </c>
      <c r="Q37846" s="5" t="s">
        <v>355</v>
      </c>
    </row>
    <row r="37847" ht="16.5" customHeight="1">
      <c r="O37847" s="5" t="s">
        <v>355</v>
      </c>
      <c r="P37847" s="5" t="s">
        <v>355</v>
      </c>
      <c r="Q37847" s="5" t="s">
        <v>355</v>
      </c>
    </row>
    <row r="37848" ht="16.5" customHeight="1">
      <c r="O37848" s="5" t="s">
        <v>355</v>
      </c>
      <c r="P37848" s="5" t="s">
        <v>355</v>
      </c>
      <c r="Q37848" s="5" t="s">
        <v>355</v>
      </c>
    </row>
    <row r="37849" ht="16.5" customHeight="1">
      <c r="O37849" s="5" t="s">
        <v>355</v>
      </c>
      <c r="P37849" s="5" t="s">
        <v>355</v>
      </c>
      <c r="Q37849" s="5" t="s">
        <v>355</v>
      </c>
    </row>
    <row r="37850" ht="16.5" customHeight="1">
      <c r="O37850" s="5" t="s">
        <v>355</v>
      </c>
      <c r="P37850" s="5" t="s">
        <v>355</v>
      </c>
      <c r="Q37850" s="5" t="s">
        <v>355</v>
      </c>
    </row>
    <row r="37851" ht="16.5" customHeight="1">
      <c r="O37851" s="5" t="s">
        <v>355</v>
      </c>
      <c r="P37851" s="5" t="s">
        <v>355</v>
      </c>
      <c r="Q37851" s="5" t="s">
        <v>355</v>
      </c>
    </row>
    <row r="37852" ht="16.5" customHeight="1">
      <c r="O37852" s="5" t="s">
        <v>355</v>
      </c>
      <c r="P37852" s="5" t="s">
        <v>355</v>
      </c>
      <c r="Q37852" s="5" t="s">
        <v>355</v>
      </c>
    </row>
    <row r="37853" ht="16.5" customHeight="1">
      <c r="O37853" s="5" t="s">
        <v>355</v>
      </c>
      <c r="P37853" s="5" t="s">
        <v>355</v>
      </c>
      <c r="Q37853" s="5" t="s">
        <v>355</v>
      </c>
    </row>
    <row r="37854" ht="16.5" customHeight="1">
      <c r="O37854" s="5" t="s">
        <v>355</v>
      </c>
      <c r="P37854" s="5" t="s">
        <v>355</v>
      </c>
      <c r="Q37854" s="5" t="s">
        <v>355</v>
      </c>
    </row>
    <row r="37855" ht="16.5" customHeight="1">
      <c r="O37855" s="5" t="s">
        <v>355</v>
      </c>
      <c r="P37855" s="5" t="s">
        <v>355</v>
      </c>
      <c r="Q37855" s="5" t="s">
        <v>355</v>
      </c>
    </row>
    <row r="37856" ht="16.5" customHeight="1">
      <c r="O37856" s="5" t="s">
        <v>355</v>
      </c>
      <c r="P37856" s="5" t="s">
        <v>355</v>
      </c>
      <c r="Q37856" s="5" t="s">
        <v>355</v>
      </c>
    </row>
    <row r="37857" ht="16.5" customHeight="1">
      <c r="O37857" s="5" t="s">
        <v>355</v>
      </c>
      <c r="P37857" s="5" t="s">
        <v>355</v>
      </c>
      <c r="Q37857" s="5" t="s">
        <v>355</v>
      </c>
    </row>
    <row r="37858" ht="16.5" customHeight="1">
      <c r="O37858" s="5" t="s">
        <v>355</v>
      </c>
      <c r="P37858" s="5" t="s">
        <v>355</v>
      </c>
      <c r="Q37858" s="5" t="s">
        <v>355</v>
      </c>
    </row>
    <row r="37859" ht="16.5" customHeight="1">
      <c r="O37859" s="5" t="s">
        <v>355</v>
      </c>
      <c r="P37859" s="5" t="s">
        <v>355</v>
      </c>
      <c r="Q37859" s="5" t="s">
        <v>355</v>
      </c>
    </row>
    <row r="37860" ht="16.5" customHeight="1">
      <c r="O37860" s="5" t="s">
        <v>355</v>
      </c>
      <c r="P37860" s="5" t="s">
        <v>355</v>
      </c>
      <c r="Q37860" s="5" t="s">
        <v>355</v>
      </c>
    </row>
    <row r="37861" ht="16.5" customHeight="1">
      <c r="O37861" s="5" t="s">
        <v>355</v>
      </c>
      <c r="P37861" s="5" t="s">
        <v>355</v>
      </c>
      <c r="Q37861" s="5" t="s">
        <v>355</v>
      </c>
    </row>
    <row r="37862" ht="16.5" customHeight="1">
      <c r="O37862" s="5" t="s">
        <v>355</v>
      </c>
      <c r="P37862" s="5" t="s">
        <v>355</v>
      </c>
      <c r="Q37862" s="5" t="s">
        <v>355</v>
      </c>
    </row>
    <row r="37863" ht="16.5" customHeight="1">
      <c r="O37863" s="5" t="s">
        <v>355</v>
      </c>
      <c r="P37863" s="5" t="s">
        <v>355</v>
      </c>
      <c r="Q37863" s="5" t="s">
        <v>355</v>
      </c>
    </row>
    <row r="37864" ht="16.5" customHeight="1">
      <c r="O37864" s="5" t="s">
        <v>355</v>
      </c>
      <c r="P37864" s="5" t="s">
        <v>355</v>
      </c>
      <c r="Q37864" s="5" t="s">
        <v>355</v>
      </c>
    </row>
    <row r="37865" ht="16.5" customHeight="1">
      <c r="O37865" s="5" t="s">
        <v>355</v>
      </c>
      <c r="P37865" s="5" t="s">
        <v>355</v>
      </c>
      <c r="Q37865" s="5" t="s">
        <v>355</v>
      </c>
    </row>
    <row r="37866" ht="16.5" customHeight="1">
      <c r="O37866" s="5" t="s">
        <v>355</v>
      </c>
      <c r="P37866" s="5" t="s">
        <v>355</v>
      </c>
      <c r="Q37866" s="5" t="s">
        <v>355</v>
      </c>
    </row>
    <row r="37867" ht="16.5" customHeight="1">
      <c r="O37867" s="5" t="s">
        <v>355</v>
      </c>
      <c r="P37867" s="5" t="s">
        <v>355</v>
      </c>
      <c r="Q37867" s="5" t="s">
        <v>355</v>
      </c>
    </row>
    <row r="37868" ht="16.5" customHeight="1">
      <c r="O37868" s="5" t="s">
        <v>355</v>
      </c>
      <c r="P37868" s="5" t="s">
        <v>355</v>
      </c>
      <c r="Q37868" s="5" t="s">
        <v>355</v>
      </c>
    </row>
    <row r="37869" ht="16.5" customHeight="1">
      <c r="O37869" s="5" t="s">
        <v>355</v>
      </c>
      <c r="P37869" s="5" t="s">
        <v>355</v>
      </c>
      <c r="Q37869" s="5" t="s">
        <v>355</v>
      </c>
    </row>
    <row r="37870" ht="16.5" customHeight="1">
      <c r="O37870" s="5" t="s">
        <v>355</v>
      </c>
      <c r="P37870" s="5" t="s">
        <v>355</v>
      </c>
      <c r="Q37870" s="5" t="s">
        <v>355</v>
      </c>
    </row>
    <row r="37871" ht="16.5" customHeight="1">
      <c r="O37871" s="5" t="s">
        <v>355</v>
      </c>
      <c r="P37871" s="5" t="s">
        <v>355</v>
      </c>
      <c r="Q37871" s="5" t="s">
        <v>355</v>
      </c>
    </row>
    <row r="37872" ht="16.5" customHeight="1">
      <c r="O37872" s="5" t="s">
        <v>355</v>
      </c>
      <c r="P37872" s="5" t="s">
        <v>355</v>
      </c>
      <c r="Q37872" s="5" t="s">
        <v>355</v>
      </c>
    </row>
    <row r="37873" ht="16.5" customHeight="1">
      <c r="O37873" s="5" t="s">
        <v>355</v>
      </c>
      <c r="P37873" s="5" t="s">
        <v>355</v>
      </c>
      <c r="Q37873" s="5" t="s">
        <v>355</v>
      </c>
    </row>
    <row r="37874" ht="16.5" customHeight="1">
      <c r="O37874" s="5" t="s">
        <v>355</v>
      </c>
      <c r="P37874" s="5" t="s">
        <v>355</v>
      </c>
      <c r="Q37874" s="5" t="s">
        <v>355</v>
      </c>
    </row>
    <row r="37875" ht="16.5" customHeight="1">
      <c r="O37875" s="5" t="s">
        <v>355</v>
      </c>
      <c r="P37875" s="5" t="s">
        <v>355</v>
      </c>
      <c r="Q37875" s="5" t="s">
        <v>355</v>
      </c>
    </row>
    <row r="37876" ht="16.5" customHeight="1">
      <c r="O37876" s="5" t="s">
        <v>355</v>
      </c>
      <c r="P37876" s="5" t="s">
        <v>355</v>
      </c>
      <c r="Q37876" s="5" t="s">
        <v>355</v>
      </c>
    </row>
    <row r="37877" ht="16.5" customHeight="1">
      <c r="O37877" s="5" t="s">
        <v>355</v>
      </c>
      <c r="P37877" s="5" t="s">
        <v>355</v>
      </c>
      <c r="Q37877" s="5" t="s">
        <v>355</v>
      </c>
    </row>
    <row r="37878" ht="16.5" customHeight="1">
      <c r="O37878" s="5" t="s">
        <v>355</v>
      </c>
      <c r="P37878" s="5" t="s">
        <v>355</v>
      </c>
      <c r="Q37878" s="5" t="s">
        <v>355</v>
      </c>
    </row>
    <row r="37879" ht="16.5" customHeight="1">
      <c r="O37879" s="5" t="s">
        <v>355</v>
      </c>
      <c r="P37879" s="5" t="s">
        <v>355</v>
      </c>
      <c r="Q37879" s="5" t="s">
        <v>355</v>
      </c>
    </row>
    <row r="37880" ht="16.5" customHeight="1">
      <c r="O37880" s="5" t="s">
        <v>355</v>
      </c>
      <c r="P37880" s="5" t="s">
        <v>355</v>
      </c>
      <c r="Q37880" s="5" t="s">
        <v>355</v>
      </c>
    </row>
    <row r="37881" ht="16.5" customHeight="1">
      <c r="O37881" s="5" t="s">
        <v>355</v>
      </c>
      <c r="P37881" s="5" t="s">
        <v>355</v>
      </c>
      <c r="Q37881" s="5" t="s">
        <v>355</v>
      </c>
    </row>
    <row r="37882" ht="16.5" customHeight="1">
      <c r="O37882" s="5" t="s">
        <v>355</v>
      </c>
      <c r="P37882" s="5" t="s">
        <v>355</v>
      </c>
      <c r="Q37882" s="5" t="s">
        <v>355</v>
      </c>
    </row>
    <row r="37883" ht="16.5" customHeight="1">
      <c r="O37883" s="5" t="s">
        <v>355</v>
      </c>
      <c r="P37883" s="5" t="s">
        <v>355</v>
      </c>
      <c r="Q37883" s="5" t="s">
        <v>355</v>
      </c>
    </row>
    <row r="37884" ht="16.5" customHeight="1">
      <c r="O37884" s="5" t="s">
        <v>355</v>
      </c>
      <c r="P37884" s="5" t="s">
        <v>355</v>
      </c>
      <c r="Q37884" s="5" t="s">
        <v>355</v>
      </c>
    </row>
    <row r="37885" ht="16.5" customHeight="1">
      <c r="O37885" s="5" t="s">
        <v>355</v>
      </c>
      <c r="P37885" s="5" t="s">
        <v>355</v>
      </c>
      <c r="Q37885" s="5" t="s">
        <v>355</v>
      </c>
    </row>
    <row r="37886" ht="16.5" customHeight="1">
      <c r="O37886" s="5" t="s">
        <v>355</v>
      </c>
      <c r="P37886" s="5" t="s">
        <v>355</v>
      </c>
      <c r="Q37886" s="5" t="s">
        <v>355</v>
      </c>
    </row>
    <row r="37887" ht="16.5" customHeight="1">
      <c r="O37887" s="5" t="s">
        <v>355</v>
      </c>
      <c r="P37887" s="5" t="s">
        <v>355</v>
      </c>
      <c r="Q37887" s="5" t="s">
        <v>355</v>
      </c>
    </row>
    <row r="37888" ht="16.5" customHeight="1">
      <c r="O37888" s="5" t="s">
        <v>355</v>
      </c>
      <c r="P37888" s="5" t="s">
        <v>355</v>
      </c>
      <c r="Q37888" s="5" t="s">
        <v>355</v>
      </c>
    </row>
    <row r="37889" ht="16.5" customHeight="1">
      <c r="O37889" s="5" t="s">
        <v>355</v>
      </c>
      <c r="P37889" s="5" t="s">
        <v>355</v>
      </c>
      <c r="Q37889" s="5" t="s">
        <v>355</v>
      </c>
    </row>
    <row r="37890" ht="16.5" customHeight="1">
      <c r="O37890" s="5" t="s">
        <v>355</v>
      </c>
      <c r="P37890" s="5" t="s">
        <v>355</v>
      </c>
      <c r="Q37890" s="5" t="s">
        <v>355</v>
      </c>
    </row>
    <row r="37891" ht="16.5" customHeight="1">
      <c r="O37891" s="5" t="s">
        <v>355</v>
      </c>
      <c r="P37891" s="5" t="s">
        <v>355</v>
      </c>
      <c r="Q37891" s="5" t="s">
        <v>355</v>
      </c>
    </row>
    <row r="37892" ht="16.5" customHeight="1">
      <c r="O37892" s="5" t="s">
        <v>355</v>
      </c>
      <c r="P37892" s="5" t="s">
        <v>355</v>
      </c>
      <c r="Q37892" s="5" t="s">
        <v>355</v>
      </c>
    </row>
    <row r="37893" ht="16.5" customHeight="1">
      <c r="O37893" s="5" t="s">
        <v>355</v>
      </c>
      <c r="P37893" s="5" t="s">
        <v>355</v>
      </c>
      <c r="Q37893" s="5" t="s">
        <v>355</v>
      </c>
    </row>
    <row r="37894" ht="16.5" customHeight="1">
      <c r="O37894" s="5" t="s">
        <v>355</v>
      </c>
      <c r="P37894" s="5" t="s">
        <v>355</v>
      </c>
      <c r="Q37894" s="5" t="s">
        <v>355</v>
      </c>
    </row>
    <row r="37895" ht="16.5" customHeight="1">
      <c r="O37895" s="5" t="s">
        <v>355</v>
      </c>
      <c r="P37895" s="5" t="s">
        <v>355</v>
      </c>
      <c r="Q37895" s="5" t="s">
        <v>355</v>
      </c>
    </row>
    <row r="37896" ht="16.5" customHeight="1">
      <c r="O37896" s="5" t="s">
        <v>355</v>
      </c>
      <c r="P37896" s="5" t="s">
        <v>355</v>
      </c>
      <c r="Q37896" s="5" t="s">
        <v>355</v>
      </c>
    </row>
    <row r="37897" ht="16.5" customHeight="1">
      <c r="O37897" s="5" t="s">
        <v>355</v>
      </c>
      <c r="P37897" s="5" t="s">
        <v>355</v>
      </c>
      <c r="Q37897" s="5" t="s">
        <v>355</v>
      </c>
    </row>
    <row r="37898" ht="16.5" customHeight="1">
      <c r="O37898" s="5" t="s">
        <v>355</v>
      </c>
      <c r="P37898" s="5" t="s">
        <v>355</v>
      </c>
      <c r="Q37898" s="5" t="s">
        <v>355</v>
      </c>
    </row>
    <row r="37899" ht="16.5" customHeight="1">
      <c r="O37899" s="5" t="s">
        <v>355</v>
      </c>
      <c r="P37899" s="5" t="s">
        <v>355</v>
      </c>
      <c r="Q37899" s="5" t="s">
        <v>355</v>
      </c>
    </row>
    <row r="37900" ht="16.5" customHeight="1">
      <c r="O37900" s="5" t="s">
        <v>355</v>
      </c>
      <c r="P37900" s="5" t="s">
        <v>355</v>
      </c>
      <c r="Q37900" s="5" t="s">
        <v>355</v>
      </c>
    </row>
    <row r="37901" ht="16.5" customHeight="1">
      <c r="O37901" s="5" t="s">
        <v>355</v>
      </c>
      <c r="P37901" s="5" t="s">
        <v>355</v>
      </c>
      <c r="Q37901" s="5" t="s">
        <v>355</v>
      </c>
    </row>
    <row r="37902" ht="16.5" customHeight="1">
      <c r="O37902" s="5" t="s">
        <v>355</v>
      </c>
      <c r="P37902" s="5" t="s">
        <v>355</v>
      </c>
      <c r="Q37902" s="5" t="s">
        <v>355</v>
      </c>
    </row>
    <row r="37903" ht="16.5" customHeight="1">
      <c r="O37903" s="5" t="s">
        <v>355</v>
      </c>
      <c r="P37903" s="5" t="s">
        <v>355</v>
      </c>
      <c r="Q37903" s="5" t="s">
        <v>355</v>
      </c>
    </row>
    <row r="37904" ht="16.5" customHeight="1">
      <c r="O37904" s="5" t="s">
        <v>355</v>
      </c>
      <c r="P37904" s="5" t="s">
        <v>355</v>
      </c>
      <c r="Q37904" s="5" t="s">
        <v>355</v>
      </c>
    </row>
    <row r="37905" ht="16.5" customHeight="1">
      <c r="O37905" s="5" t="s">
        <v>355</v>
      </c>
      <c r="P37905" s="5" t="s">
        <v>355</v>
      </c>
      <c r="Q37905" s="5" t="s">
        <v>355</v>
      </c>
    </row>
    <row r="37906" ht="16.5" customHeight="1">
      <c r="O37906" s="5" t="s">
        <v>355</v>
      </c>
      <c r="P37906" s="5" t="s">
        <v>355</v>
      </c>
      <c r="Q37906" s="5" t="s">
        <v>355</v>
      </c>
    </row>
    <row r="37907" ht="16.5" customHeight="1">
      <c r="O37907" s="5" t="s">
        <v>355</v>
      </c>
      <c r="P37907" s="5" t="s">
        <v>355</v>
      </c>
      <c r="Q37907" s="5" t="s">
        <v>355</v>
      </c>
    </row>
    <row r="37908" ht="16.5" customHeight="1">
      <c r="O37908" s="5" t="s">
        <v>355</v>
      </c>
      <c r="P37908" s="5" t="s">
        <v>355</v>
      </c>
      <c r="Q37908" s="5" t="s">
        <v>355</v>
      </c>
    </row>
    <row r="37909" ht="16.5" customHeight="1">
      <c r="O37909" s="5" t="s">
        <v>355</v>
      </c>
      <c r="P37909" s="5" t="s">
        <v>355</v>
      </c>
      <c r="Q37909" s="5" t="s">
        <v>355</v>
      </c>
    </row>
    <row r="37910" ht="16.5" customHeight="1">
      <c r="O37910" s="5" t="s">
        <v>355</v>
      </c>
      <c r="P37910" s="5" t="s">
        <v>355</v>
      </c>
      <c r="Q37910" s="5" t="s">
        <v>355</v>
      </c>
    </row>
    <row r="37911" ht="16.5" customHeight="1">
      <c r="O37911" s="5" t="s">
        <v>355</v>
      </c>
      <c r="P37911" s="5" t="s">
        <v>355</v>
      </c>
      <c r="Q37911" s="5" t="s">
        <v>355</v>
      </c>
    </row>
    <row r="37912" ht="16.5" customHeight="1">
      <c r="O37912" s="5" t="s">
        <v>355</v>
      </c>
      <c r="P37912" s="5" t="s">
        <v>355</v>
      </c>
      <c r="Q37912" s="5" t="s">
        <v>355</v>
      </c>
    </row>
    <row r="37913" ht="16.5" customHeight="1">
      <c r="O37913" s="5" t="s">
        <v>355</v>
      </c>
      <c r="P37913" s="5" t="s">
        <v>355</v>
      </c>
      <c r="Q37913" s="5" t="s">
        <v>355</v>
      </c>
    </row>
    <row r="37914" ht="16.5" customHeight="1">
      <c r="O37914" s="5" t="s">
        <v>355</v>
      </c>
      <c r="P37914" s="5" t="s">
        <v>355</v>
      </c>
      <c r="Q37914" s="5" t="s">
        <v>355</v>
      </c>
    </row>
    <row r="37915" ht="16.5" customHeight="1">
      <c r="O37915" s="5" t="s">
        <v>355</v>
      </c>
      <c r="P37915" s="5" t="s">
        <v>355</v>
      </c>
      <c r="Q37915" s="5" t="s">
        <v>355</v>
      </c>
    </row>
    <row r="37916" ht="16.5" customHeight="1">
      <c r="O37916" s="5" t="s">
        <v>355</v>
      </c>
      <c r="P37916" s="5" t="s">
        <v>355</v>
      </c>
      <c r="Q37916" s="5" t="s">
        <v>355</v>
      </c>
    </row>
    <row r="37917" ht="16.5" customHeight="1">
      <c r="O37917" s="5" t="s">
        <v>355</v>
      </c>
      <c r="P37917" s="5" t="s">
        <v>355</v>
      </c>
      <c r="Q37917" s="5" t="s">
        <v>355</v>
      </c>
    </row>
    <row r="37918" ht="16.5" customHeight="1">
      <c r="O37918" s="5" t="s">
        <v>355</v>
      </c>
      <c r="P37918" s="5" t="s">
        <v>355</v>
      </c>
      <c r="Q37918" s="5" t="s">
        <v>355</v>
      </c>
    </row>
    <row r="37919" ht="16.5" customHeight="1">
      <c r="O37919" s="5" t="s">
        <v>355</v>
      </c>
      <c r="P37919" s="5" t="s">
        <v>355</v>
      </c>
      <c r="Q37919" s="5" t="s">
        <v>355</v>
      </c>
    </row>
    <row r="37920" ht="16.5" customHeight="1">
      <c r="O37920" s="5" t="s">
        <v>355</v>
      </c>
      <c r="P37920" s="5" t="s">
        <v>355</v>
      </c>
      <c r="Q37920" s="5" t="s">
        <v>355</v>
      </c>
    </row>
    <row r="37921" ht="16.5" customHeight="1">
      <c r="O37921" s="5" t="s">
        <v>355</v>
      </c>
      <c r="P37921" s="5" t="s">
        <v>355</v>
      </c>
      <c r="Q37921" s="5" t="s">
        <v>355</v>
      </c>
    </row>
    <row r="37922" ht="16.5" customHeight="1">
      <c r="O37922" s="5" t="s">
        <v>355</v>
      </c>
      <c r="P37922" s="5" t="s">
        <v>355</v>
      </c>
      <c r="Q37922" s="5" t="s">
        <v>355</v>
      </c>
    </row>
    <row r="37923" ht="16.5" customHeight="1">
      <c r="O37923" s="5" t="s">
        <v>355</v>
      </c>
      <c r="P37923" s="5" t="s">
        <v>355</v>
      </c>
      <c r="Q37923" s="5" t="s">
        <v>355</v>
      </c>
    </row>
    <row r="37924" ht="16.5" customHeight="1">
      <c r="O37924" s="5" t="s">
        <v>355</v>
      </c>
      <c r="P37924" s="5" t="s">
        <v>355</v>
      </c>
      <c r="Q37924" s="5" t="s">
        <v>355</v>
      </c>
    </row>
    <row r="37925" ht="16.5" customHeight="1">
      <c r="O37925" s="5" t="s">
        <v>355</v>
      </c>
      <c r="P37925" s="5" t="s">
        <v>355</v>
      </c>
      <c r="Q37925" s="5" t="s">
        <v>355</v>
      </c>
    </row>
    <row r="37926" ht="16.5" customHeight="1">
      <c r="O37926" s="5" t="s">
        <v>355</v>
      </c>
      <c r="P37926" s="5" t="s">
        <v>355</v>
      </c>
      <c r="Q37926" s="5" t="s">
        <v>355</v>
      </c>
    </row>
    <row r="37927" ht="16.5" customHeight="1">
      <c r="O37927" s="5" t="s">
        <v>355</v>
      </c>
      <c r="P37927" s="5" t="s">
        <v>355</v>
      </c>
      <c r="Q37927" s="5" t="s">
        <v>355</v>
      </c>
    </row>
    <row r="37928" ht="16.5" customHeight="1">
      <c r="O37928" s="5" t="s">
        <v>355</v>
      </c>
      <c r="P37928" s="5" t="s">
        <v>355</v>
      </c>
      <c r="Q37928" s="5" t="s">
        <v>355</v>
      </c>
    </row>
    <row r="37929" ht="16.5" customHeight="1">
      <c r="O37929" s="5" t="s">
        <v>355</v>
      </c>
      <c r="P37929" s="5" t="s">
        <v>355</v>
      </c>
      <c r="Q37929" s="5" t="s">
        <v>355</v>
      </c>
    </row>
    <row r="37930" ht="16.5" customHeight="1">
      <c r="O37930" s="5" t="s">
        <v>355</v>
      </c>
      <c r="P37930" s="5" t="s">
        <v>355</v>
      </c>
      <c r="Q37930" s="5" t="s">
        <v>355</v>
      </c>
    </row>
    <row r="37931" ht="16.5" customHeight="1">
      <c r="O37931" s="5" t="s">
        <v>355</v>
      </c>
      <c r="P37931" s="5" t="s">
        <v>355</v>
      </c>
      <c r="Q37931" s="5" t="s">
        <v>355</v>
      </c>
    </row>
    <row r="37932" ht="16.5" customHeight="1">
      <c r="O37932" s="5" t="s">
        <v>355</v>
      </c>
      <c r="P37932" s="5" t="s">
        <v>355</v>
      </c>
      <c r="Q37932" s="5" t="s">
        <v>355</v>
      </c>
    </row>
    <row r="37933" ht="16.5" customHeight="1">
      <c r="O37933" s="5" t="s">
        <v>355</v>
      </c>
      <c r="P37933" s="5" t="s">
        <v>355</v>
      </c>
      <c r="Q37933" s="5" t="s">
        <v>355</v>
      </c>
    </row>
    <row r="37934" ht="16.5" customHeight="1">
      <c r="O37934" s="5" t="s">
        <v>355</v>
      </c>
      <c r="P37934" s="5" t="s">
        <v>355</v>
      </c>
      <c r="Q37934" s="5" t="s">
        <v>355</v>
      </c>
    </row>
    <row r="37935" ht="16.5" customHeight="1">
      <c r="O37935" s="5" t="s">
        <v>355</v>
      </c>
      <c r="P37935" s="5" t="s">
        <v>355</v>
      </c>
      <c r="Q37935" s="5" t="s">
        <v>355</v>
      </c>
    </row>
    <row r="37936" ht="16.5" customHeight="1">
      <c r="O37936" s="5" t="s">
        <v>355</v>
      </c>
      <c r="P37936" s="5" t="s">
        <v>355</v>
      </c>
      <c r="Q37936" s="5" t="s">
        <v>355</v>
      </c>
    </row>
    <row r="37937" ht="16.5" customHeight="1">
      <c r="O37937" s="5" t="s">
        <v>355</v>
      </c>
      <c r="P37937" s="5" t="s">
        <v>355</v>
      </c>
      <c r="Q37937" s="5" t="s">
        <v>355</v>
      </c>
    </row>
    <row r="37938" ht="16.5" customHeight="1">
      <c r="O37938" s="5" t="s">
        <v>355</v>
      </c>
      <c r="P37938" s="5" t="s">
        <v>355</v>
      </c>
      <c r="Q37938" s="5" t="s">
        <v>355</v>
      </c>
    </row>
    <row r="37939" ht="16.5" customHeight="1">
      <c r="O37939" s="5" t="s">
        <v>355</v>
      </c>
      <c r="P37939" s="5" t="s">
        <v>355</v>
      </c>
      <c r="Q37939" s="5" t="s">
        <v>355</v>
      </c>
    </row>
    <row r="37940" ht="16.5" customHeight="1">
      <c r="O37940" s="5" t="s">
        <v>355</v>
      </c>
      <c r="P37940" s="5" t="s">
        <v>355</v>
      </c>
      <c r="Q37940" s="5" t="s">
        <v>355</v>
      </c>
    </row>
    <row r="37941" ht="16.5" customHeight="1">
      <c r="O37941" s="5" t="s">
        <v>355</v>
      </c>
      <c r="P37941" s="5" t="s">
        <v>355</v>
      </c>
      <c r="Q37941" s="5" t="s">
        <v>355</v>
      </c>
    </row>
    <row r="37942" ht="16.5" customHeight="1">
      <c r="O37942" s="5" t="s">
        <v>355</v>
      </c>
      <c r="P37942" s="5" t="s">
        <v>355</v>
      </c>
      <c r="Q37942" s="5" t="s">
        <v>355</v>
      </c>
    </row>
    <row r="37943" ht="16.5" customHeight="1">
      <c r="O37943" s="5" t="s">
        <v>355</v>
      </c>
      <c r="P37943" s="5" t="s">
        <v>355</v>
      </c>
      <c r="Q37943" s="5" t="s">
        <v>355</v>
      </c>
    </row>
    <row r="37944" ht="16.5" customHeight="1">
      <c r="O37944" s="5" t="s">
        <v>355</v>
      </c>
      <c r="P37944" s="5" t="s">
        <v>355</v>
      </c>
      <c r="Q37944" s="5" t="s">
        <v>355</v>
      </c>
    </row>
    <row r="37945" ht="16.5" customHeight="1">
      <c r="O37945" s="5" t="s">
        <v>355</v>
      </c>
      <c r="P37945" s="5" t="s">
        <v>355</v>
      </c>
      <c r="Q37945" s="5" t="s">
        <v>355</v>
      </c>
    </row>
    <row r="37946" ht="16.5" customHeight="1">
      <c r="O37946" s="5" t="s">
        <v>355</v>
      </c>
      <c r="P37946" s="5" t="s">
        <v>355</v>
      </c>
      <c r="Q37946" s="5" t="s">
        <v>355</v>
      </c>
    </row>
    <row r="37947" ht="16.5" customHeight="1">
      <c r="O37947" s="5" t="s">
        <v>355</v>
      </c>
      <c r="P37947" s="5" t="s">
        <v>355</v>
      </c>
      <c r="Q37947" s="5" t="s">
        <v>355</v>
      </c>
    </row>
    <row r="37948" ht="16.5" customHeight="1">
      <c r="O37948" s="5" t="s">
        <v>355</v>
      </c>
      <c r="P37948" s="5" t="s">
        <v>355</v>
      </c>
      <c r="Q37948" s="5" t="s">
        <v>355</v>
      </c>
    </row>
    <row r="37949" ht="16.5" customHeight="1">
      <c r="O37949" s="5" t="s">
        <v>355</v>
      </c>
      <c r="P37949" s="5" t="s">
        <v>355</v>
      </c>
      <c r="Q37949" s="5" t="s">
        <v>355</v>
      </c>
    </row>
    <row r="37950" ht="16.5" customHeight="1">
      <c r="O37950" s="5" t="s">
        <v>355</v>
      </c>
      <c r="P37950" s="5" t="s">
        <v>355</v>
      </c>
      <c r="Q37950" s="5" t="s">
        <v>355</v>
      </c>
    </row>
    <row r="37951" ht="16.5" customHeight="1">
      <c r="O37951" s="5" t="s">
        <v>355</v>
      </c>
      <c r="P37951" s="5" t="s">
        <v>355</v>
      </c>
      <c r="Q37951" s="5" t="s">
        <v>355</v>
      </c>
    </row>
    <row r="37952" ht="16.5" customHeight="1">
      <c r="O37952" s="5" t="s">
        <v>355</v>
      </c>
      <c r="P37952" s="5" t="s">
        <v>355</v>
      </c>
      <c r="Q37952" s="5" t="s">
        <v>355</v>
      </c>
    </row>
    <row r="37953" ht="16.5" customHeight="1">
      <c r="O37953" s="5" t="s">
        <v>355</v>
      </c>
      <c r="P37953" s="5" t="s">
        <v>355</v>
      </c>
      <c r="Q37953" s="5" t="s">
        <v>355</v>
      </c>
    </row>
    <row r="37954" ht="16.5" customHeight="1">
      <c r="O37954" s="5" t="s">
        <v>355</v>
      </c>
      <c r="P37954" s="5" t="s">
        <v>355</v>
      </c>
      <c r="Q37954" s="5" t="s">
        <v>355</v>
      </c>
    </row>
    <row r="37955" ht="16.5" customHeight="1">
      <c r="O37955" s="5" t="s">
        <v>355</v>
      </c>
      <c r="P37955" s="5" t="s">
        <v>355</v>
      </c>
      <c r="Q37955" s="5" t="s">
        <v>355</v>
      </c>
    </row>
    <row r="37956" ht="16.5" customHeight="1">
      <c r="O37956" s="5" t="s">
        <v>355</v>
      </c>
      <c r="P37956" s="5" t="s">
        <v>355</v>
      </c>
      <c r="Q37956" s="5" t="s">
        <v>355</v>
      </c>
    </row>
    <row r="37957" ht="16.5" customHeight="1">
      <c r="O37957" s="5" t="s">
        <v>355</v>
      </c>
      <c r="P37957" s="5" t="s">
        <v>355</v>
      </c>
      <c r="Q37957" s="5" t="s">
        <v>355</v>
      </c>
    </row>
    <row r="37958" ht="16.5" customHeight="1">
      <c r="O37958" s="5" t="s">
        <v>355</v>
      </c>
      <c r="P37958" s="5" t="s">
        <v>355</v>
      </c>
      <c r="Q37958" s="5" t="s">
        <v>355</v>
      </c>
    </row>
    <row r="37959" ht="16.5" customHeight="1">
      <c r="O37959" s="5" t="s">
        <v>355</v>
      </c>
      <c r="P37959" s="5" t="s">
        <v>355</v>
      </c>
      <c r="Q37959" s="5" t="s">
        <v>355</v>
      </c>
    </row>
    <row r="37960" ht="16.5" customHeight="1">
      <c r="O37960" s="5" t="s">
        <v>355</v>
      </c>
      <c r="P37960" s="5" t="s">
        <v>355</v>
      </c>
      <c r="Q37960" s="5" t="s">
        <v>355</v>
      </c>
    </row>
    <row r="37961" ht="16.5" customHeight="1">
      <c r="O37961" s="5" t="s">
        <v>355</v>
      </c>
      <c r="P37961" s="5" t="s">
        <v>355</v>
      </c>
      <c r="Q37961" s="5" t="s">
        <v>355</v>
      </c>
    </row>
    <row r="37962" ht="16.5" customHeight="1">
      <c r="O37962" s="5" t="s">
        <v>355</v>
      </c>
      <c r="P37962" s="5" t="s">
        <v>355</v>
      </c>
      <c r="Q37962" s="5" t="s">
        <v>355</v>
      </c>
    </row>
    <row r="37963" ht="16.5" customHeight="1">
      <c r="O37963" s="5" t="s">
        <v>355</v>
      </c>
      <c r="P37963" s="5" t="s">
        <v>355</v>
      </c>
      <c r="Q37963" s="5" t="s">
        <v>355</v>
      </c>
    </row>
    <row r="37964" ht="16.5" customHeight="1">
      <c r="O37964" s="5" t="s">
        <v>355</v>
      </c>
      <c r="P37964" s="5" t="s">
        <v>355</v>
      </c>
      <c r="Q37964" s="5" t="s">
        <v>355</v>
      </c>
    </row>
    <row r="37965" ht="16.5" customHeight="1">
      <c r="O37965" s="5" t="s">
        <v>355</v>
      </c>
      <c r="P37965" s="5" t="s">
        <v>355</v>
      </c>
      <c r="Q37965" s="5" t="s">
        <v>355</v>
      </c>
    </row>
    <row r="37966" ht="16.5" customHeight="1">
      <c r="O37966" s="5" t="s">
        <v>355</v>
      </c>
      <c r="P37966" s="5" t="s">
        <v>355</v>
      </c>
      <c r="Q37966" s="5" t="s">
        <v>355</v>
      </c>
    </row>
    <row r="37967" ht="16.5" customHeight="1">
      <c r="O37967" s="5" t="s">
        <v>355</v>
      </c>
      <c r="P37967" s="5" t="s">
        <v>355</v>
      </c>
      <c r="Q37967" s="5" t="s">
        <v>355</v>
      </c>
    </row>
    <row r="37968" ht="16.5" customHeight="1">
      <c r="O37968" s="5" t="s">
        <v>355</v>
      </c>
      <c r="P37968" s="5" t="s">
        <v>355</v>
      </c>
      <c r="Q37968" s="5" t="s">
        <v>355</v>
      </c>
    </row>
    <row r="37969" ht="16.5" customHeight="1">
      <c r="O37969" s="5" t="s">
        <v>355</v>
      </c>
      <c r="P37969" s="5" t="s">
        <v>355</v>
      </c>
      <c r="Q37969" s="5" t="s">
        <v>355</v>
      </c>
    </row>
    <row r="37970" ht="16.5" customHeight="1">
      <c r="O37970" s="5" t="s">
        <v>355</v>
      </c>
      <c r="P37970" s="5" t="s">
        <v>355</v>
      </c>
      <c r="Q37970" s="5" t="s">
        <v>355</v>
      </c>
    </row>
    <row r="37971" ht="16.5" customHeight="1">
      <c r="O37971" s="5" t="s">
        <v>355</v>
      </c>
      <c r="P37971" s="5" t="s">
        <v>355</v>
      </c>
      <c r="Q37971" s="5" t="s">
        <v>355</v>
      </c>
    </row>
    <row r="37972" ht="16.5" customHeight="1">
      <c r="O37972" s="5" t="s">
        <v>355</v>
      </c>
      <c r="P37972" s="5" t="s">
        <v>355</v>
      </c>
      <c r="Q37972" s="5" t="s">
        <v>355</v>
      </c>
    </row>
    <row r="37973" ht="16.5" customHeight="1">
      <c r="O37973" s="5" t="s">
        <v>355</v>
      </c>
      <c r="P37973" s="5" t="s">
        <v>355</v>
      </c>
      <c r="Q37973" s="5" t="s">
        <v>355</v>
      </c>
    </row>
    <row r="37974" ht="16.5" customHeight="1">
      <c r="O37974" s="5" t="s">
        <v>355</v>
      </c>
      <c r="P37974" s="5" t="s">
        <v>355</v>
      </c>
      <c r="Q37974" s="5" t="s">
        <v>355</v>
      </c>
    </row>
    <row r="37975" ht="16.5" customHeight="1">
      <c r="O37975" s="5" t="s">
        <v>355</v>
      </c>
      <c r="P37975" s="5" t="s">
        <v>355</v>
      </c>
      <c r="Q37975" s="5" t="s">
        <v>355</v>
      </c>
    </row>
    <row r="37976" ht="16.5" customHeight="1">
      <c r="O37976" s="5" t="s">
        <v>355</v>
      </c>
      <c r="P37976" s="5" t="s">
        <v>355</v>
      </c>
      <c r="Q37976" s="5" t="s">
        <v>355</v>
      </c>
    </row>
    <row r="37977" ht="16.5" customHeight="1">
      <c r="O37977" s="5" t="s">
        <v>355</v>
      </c>
      <c r="P37977" s="5" t="s">
        <v>355</v>
      </c>
      <c r="Q37977" s="5" t="s">
        <v>355</v>
      </c>
    </row>
    <row r="37978" ht="16.5" customHeight="1">
      <c r="O37978" s="5" t="s">
        <v>355</v>
      </c>
      <c r="P37978" s="5" t="s">
        <v>355</v>
      </c>
      <c r="Q37978" s="5" t="s">
        <v>355</v>
      </c>
    </row>
    <row r="37979" ht="16.5" customHeight="1">
      <c r="O37979" s="5" t="s">
        <v>355</v>
      </c>
      <c r="P37979" s="5" t="s">
        <v>355</v>
      </c>
      <c r="Q37979" s="5" t="s">
        <v>355</v>
      </c>
    </row>
    <row r="37980" ht="16.5" customHeight="1">
      <c r="O37980" s="5" t="s">
        <v>355</v>
      </c>
      <c r="P37980" s="5" t="s">
        <v>355</v>
      </c>
      <c r="Q37980" s="5" t="s">
        <v>355</v>
      </c>
    </row>
    <row r="37981" ht="16.5" customHeight="1">
      <c r="O37981" s="5" t="s">
        <v>355</v>
      </c>
      <c r="P37981" s="5" t="s">
        <v>355</v>
      </c>
      <c r="Q37981" s="5" t="s">
        <v>355</v>
      </c>
    </row>
    <row r="37982" ht="16.5" customHeight="1">
      <c r="O37982" s="5" t="s">
        <v>355</v>
      </c>
      <c r="P37982" s="5" t="s">
        <v>355</v>
      </c>
      <c r="Q37982" s="5" t="s">
        <v>355</v>
      </c>
    </row>
    <row r="37983" ht="16.5" customHeight="1">
      <c r="O37983" s="5" t="s">
        <v>355</v>
      </c>
      <c r="P37983" s="5" t="s">
        <v>355</v>
      </c>
      <c r="Q37983" s="5" t="s">
        <v>355</v>
      </c>
    </row>
    <row r="37984" ht="16.5" customHeight="1">
      <c r="O37984" s="5" t="s">
        <v>355</v>
      </c>
      <c r="P37984" s="5" t="s">
        <v>355</v>
      </c>
      <c r="Q37984" s="5" t="s">
        <v>355</v>
      </c>
    </row>
    <row r="37985" ht="16.5" customHeight="1">
      <c r="O37985" s="5" t="s">
        <v>355</v>
      </c>
      <c r="P37985" s="5" t="s">
        <v>355</v>
      </c>
      <c r="Q37985" s="5" t="s">
        <v>355</v>
      </c>
    </row>
    <row r="37986" ht="16.5" customHeight="1">
      <c r="O37986" s="5" t="s">
        <v>355</v>
      </c>
      <c r="P37986" s="5" t="s">
        <v>355</v>
      </c>
      <c r="Q37986" s="5" t="s">
        <v>355</v>
      </c>
    </row>
    <row r="37987" ht="16.5" customHeight="1">
      <c r="O37987" s="5" t="s">
        <v>355</v>
      </c>
      <c r="P37987" s="5" t="s">
        <v>355</v>
      </c>
      <c r="Q37987" s="5" t="s">
        <v>355</v>
      </c>
    </row>
    <row r="37988" ht="16.5" customHeight="1">
      <c r="O37988" s="5" t="s">
        <v>355</v>
      </c>
      <c r="P37988" s="5" t="s">
        <v>355</v>
      </c>
      <c r="Q37988" s="5" t="s">
        <v>355</v>
      </c>
    </row>
    <row r="37989" ht="16.5" customHeight="1">
      <c r="O37989" s="5" t="s">
        <v>355</v>
      </c>
      <c r="P37989" s="5" t="s">
        <v>355</v>
      </c>
      <c r="Q37989" s="5" t="s">
        <v>355</v>
      </c>
    </row>
    <row r="37990" ht="16.5" customHeight="1">
      <c r="O37990" s="5" t="s">
        <v>355</v>
      </c>
      <c r="P37990" s="5" t="s">
        <v>355</v>
      </c>
      <c r="Q37990" s="5" t="s">
        <v>355</v>
      </c>
    </row>
    <row r="37991" ht="16.5" customHeight="1">
      <c r="O37991" s="5" t="s">
        <v>355</v>
      </c>
      <c r="P37991" s="5" t="s">
        <v>355</v>
      </c>
      <c r="Q37991" s="5" t="s">
        <v>355</v>
      </c>
    </row>
    <row r="37992" ht="16.5" customHeight="1">
      <c r="O37992" s="5" t="s">
        <v>355</v>
      </c>
      <c r="P37992" s="5" t="s">
        <v>355</v>
      </c>
      <c r="Q37992" s="5" t="s">
        <v>355</v>
      </c>
    </row>
    <row r="37993" ht="16.5" customHeight="1">
      <c r="O37993" s="5" t="s">
        <v>355</v>
      </c>
      <c r="P37993" s="5" t="s">
        <v>355</v>
      </c>
      <c r="Q37993" s="5" t="s">
        <v>355</v>
      </c>
    </row>
    <row r="37994" ht="16.5" customHeight="1">
      <c r="O37994" s="5" t="s">
        <v>355</v>
      </c>
      <c r="P37994" s="5" t="s">
        <v>355</v>
      </c>
      <c r="Q37994" s="5" t="s">
        <v>355</v>
      </c>
    </row>
    <row r="37995" ht="16.5" customHeight="1">
      <c r="O37995" s="5" t="s">
        <v>355</v>
      </c>
      <c r="P37995" s="5" t="s">
        <v>355</v>
      </c>
      <c r="Q37995" s="5" t="s">
        <v>355</v>
      </c>
    </row>
    <row r="37996" ht="16.5" customHeight="1">
      <c r="O37996" s="5" t="s">
        <v>355</v>
      </c>
      <c r="P37996" s="5" t="s">
        <v>355</v>
      </c>
      <c r="Q37996" s="5" t="s">
        <v>355</v>
      </c>
    </row>
    <row r="37997" ht="16.5" customHeight="1">
      <c r="O37997" s="5" t="s">
        <v>355</v>
      </c>
      <c r="P37997" s="5" t="s">
        <v>355</v>
      </c>
      <c r="Q37997" s="5" t="s">
        <v>355</v>
      </c>
    </row>
    <row r="37998" ht="16.5" customHeight="1">
      <c r="O37998" s="5" t="s">
        <v>355</v>
      </c>
      <c r="P37998" s="5" t="s">
        <v>355</v>
      </c>
      <c r="Q37998" s="5" t="s">
        <v>355</v>
      </c>
    </row>
    <row r="37999" ht="16.5" customHeight="1">
      <c r="O37999" s="5" t="s">
        <v>355</v>
      </c>
      <c r="P37999" s="5" t="s">
        <v>355</v>
      </c>
      <c r="Q37999" s="5" t="s">
        <v>355</v>
      </c>
    </row>
    <row r="38000" ht="16.5" customHeight="1">
      <c r="O38000" s="5" t="s">
        <v>355</v>
      </c>
      <c r="P38000" s="5" t="s">
        <v>355</v>
      </c>
      <c r="Q38000" s="5" t="s">
        <v>355</v>
      </c>
    </row>
    <row r="38001" ht="16.5" customHeight="1">
      <c r="O38001" s="5" t="s">
        <v>355</v>
      </c>
      <c r="P38001" s="5" t="s">
        <v>355</v>
      </c>
      <c r="Q38001" s="5" t="s">
        <v>355</v>
      </c>
    </row>
    <row r="38002" ht="16.5" customHeight="1">
      <c r="O38002" s="5" t="s">
        <v>355</v>
      </c>
      <c r="P38002" s="5" t="s">
        <v>355</v>
      </c>
      <c r="Q38002" s="5" t="s">
        <v>355</v>
      </c>
    </row>
    <row r="38003" ht="16.5" customHeight="1">
      <c r="O38003" s="5" t="s">
        <v>355</v>
      </c>
      <c r="P38003" s="5" t="s">
        <v>355</v>
      </c>
      <c r="Q38003" s="5" t="s">
        <v>355</v>
      </c>
    </row>
    <row r="38004" ht="16.5" customHeight="1">
      <c r="O38004" s="5" t="s">
        <v>355</v>
      </c>
      <c r="P38004" s="5" t="s">
        <v>355</v>
      </c>
      <c r="Q38004" s="5" t="s">
        <v>355</v>
      </c>
    </row>
    <row r="38005" ht="16.5" customHeight="1">
      <c r="O38005" s="5" t="s">
        <v>355</v>
      </c>
      <c r="P38005" s="5" t="s">
        <v>355</v>
      </c>
      <c r="Q38005" s="5" t="s">
        <v>355</v>
      </c>
    </row>
    <row r="38006" ht="16.5" customHeight="1">
      <c r="O38006" s="5" t="s">
        <v>355</v>
      </c>
      <c r="P38006" s="5" t="s">
        <v>355</v>
      </c>
      <c r="Q38006" s="5" t="s">
        <v>355</v>
      </c>
    </row>
    <row r="38007" ht="16.5" customHeight="1">
      <c r="O38007" s="5" t="s">
        <v>355</v>
      </c>
      <c r="P38007" s="5" t="s">
        <v>355</v>
      </c>
      <c r="Q38007" s="5" t="s">
        <v>355</v>
      </c>
    </row>
    <row r="38008" ht="16.5" customHeight="1">
      <c r="O38008" s="5" t="s">
        <v>355</v>
      </c>
      <c r="P38008" s="5" t="s">
        <v>355</v>
      </c>
      <c r="Q38008" s="5" t="s">
        <v>355</v>
      </c>
    </row>
    <row r="38009" ht="16.5" customHeight="1">
      <c r="O38009" s="5" t="s">
        <v>355</v>
      </c>
      <c r="P38009" s="5" t="s">
        <v>355</v>
      </c>
      <c r="Q38009" s="5" t="s">
        <v>355</v>
      </c>
    </row>
    <row r="38010" ht="16.5" customHeight="1">
      <c r="O38010" s="5" t="s">
        <v>355</v>
      </c>
      <c r="P38010" s="5" t="s">
        <v>355</v>
      </c>
      <c r="Q38010" s="5" t="s">
        <v>355</v>
      </c>
    </row>
    <row r="38011" ht="16.5" customHeight="1">
      <c r="O38011" s="5" t="s">
        <v>355</v>
      </c>
      <c r="P38011" s="5" t="s">
        <v>355</v>
      </c>
      <c r="Q38011" s="5" t="s">
        <v>355</v>
      </c>
    </row>
    <row r="38012" ht="16.5" customHeight="1">
      <c r="O38012" s="5" t="s">
        <v>355</v>
      </c>
      <c r="P38012" s="5" t="s">
        <v>355</v>
      </c>
      <c r="Q38012" s="5" t="s">
        <v>355</v>
      </c>
    </row>
    <row r="38013" ht="16.5" customHeight="1">
      <c r="O38013" s="5" t="s">
        <v>355</v>
      </c>
      <c r="P38013" s="5" t="s">
        <v>355</v>
      </c>
      <c r="Q38013" s="5" t="s">
        <v>355</v>
      </c>
    </row>
    <row r="38014" ht="16.5" customHeight="1">
      <c r="O38014" s="5" t="s">
        <v>355</v>
      </c>
      <c r="P38014" s="5" t="s">
        <v>355</v>
      </c>
      <c r="Q38014" s="5" t="s">
        <v>355</v>
      </c>
    </row>
    <row r="38015" ht="16.5" customHeight="1">
      <c r="O38015" s="5" t="s">
        <v>355</v>
      </c>
      <c r="P38015" s="5" t="s">
        <v>355</v>
      </c>
      <c r="Q38015" s="5" t="s">
        <v>355</v>
      </c>
    </row>
    <row r="38016" ht="16.5" customHeight="1">
      <c r="O38016" s="5" t="s">
        <v>355</v>
      </c>
      <c r="P38016" s="5" t="s">
        <v>355</v>
      </c>
      <c r="Q38016" s="5" t="s">
        <v>355</v>
      </c>
    </row>
    <row r="38017" ht="16.5" customHeight="1">
      <c r="O38017" s="5" t="s">
        <v>355</v>
      </c>
      <c r="P38017" s="5" t="s">
        <v>355</v>
      </c>
      <c r="Q38017" s="5" t="s">
        <v>355</v>
      </c>
    </row>
    <row r="38018" ht="16.5" customHeight="1">
      <c r="O38018" s="5" t="s">
        <v>355</v>
      </c>
      <c r="P38018" s="5" t="s">
        <v>355</v>
      </c>
      <c r="Q38018" s="5" t="s">
        <v>355</v>
      </c>
    </row>
    <row r="38019" ht="16.5" customHeight="1">
      <c r="O38019" s="5" t="s">
        <v>355</v>
      </c>
      <c r="P38019" s="5" t="s">
        <v>355</v>
      </c>
      <c r="Q38019" s="5" t="s">
        <v>355</v>
      </c>
    </row>
    <row r="38020" ht="16.5" customHeight="1">
      <c r="O38020" s="5" t="s">
        <v>355</v>
      </c>
      <c r="P38020" s="5" t="s">
        <v>355</v>
      </c>
      <c r="Q38020" s="5" t="s">
        <v>355</v>
      </c>
    </row>
    <row r="38021" ht="16.5" customHeight="1">
      <c r="O38021" s="5" t="s">
        <v>355</v>
      </c>
      <c r="P38021" s="5" t="s">
        <v>355</v>
      </c>
      <c r="Q38021" s="5" t="s">
        <v>355</v>
      </c>
    </row>
    <row r="38022" ht="16.5" customHeight="1">
      <c r="O38022" s="5" t="s">
        <v>355</v>
      </c>
      <c r="P38022" s="5" t="s">
        <v>355</v>
      </c>
      <c r="Q38022" s="5" t="s">
        <v>355</v>
      </c>
    </row>
    <row r="38023" ht="16.5" customHeight="1">
      <c r="O38023" s="5" t="s">
        <v>355</v>
      </c>
      <c r="P38023" s="5" t="s">
        <v>355</v>
      </c>
      <c r="Q38023" s="5" t="s">
        <v>355</v>
      </c>
    </row>
    <row r="38024" ht="16.5" customHeight="1">
      <c r="O38024" s="5" t="s">
        <v>355</v>
      </c>
      <c r="P38024" s="5" t="s">
        <v>355</v>
      </c>
      <c r="Q38024" s="5" t="s">
        <v>355</v>
      </c>
    </row>
    <row r="38025" ht="16.5" customHeight="1">
      <c r="O38025" s="5" t="s">
        <v>355</v>
      </c>
      <c r="P38025" s="5" t="s">
        <v>355</v>
      </c>
      <c r="Q38025" s="5" t="s">
        <v>355</v>
      </c>
    </row>
    <row r="38026" ht="16.5" customHeight="1">
      <c r="O38026" s="5" t="s">
        <v>355</v>
      </c>
      <c r="P38026" s="5" t="s">
        <v>355</v>
      </c>
      <c r="Q38026" s="5" t="s">
        <v>355</v>
      </c>
    </row>
    <row r="38027" ht="16.5" customHeight="1">
      <c r="O38027" s="5" t="s">
        <v>355</v>
      </c>
      <c r="P38027" s="5" t="s">
        <v>355</v>
      </c>
      <c r="Q38027" s="5" t="s">
        <v>355</v>
      </c>
    </row>
    <row r="38028" ht="16.5" customHeight="1">
      <c r="O38028" s="5" t="s">
        <v>355</v>
      </c>
      <c r="P38028" s="5" t="s">
        <v>355</v>
      </c>
      <c r="Q38028" s="5" t="s">
        <v>355</v>
      </c>
    </row>
    <row r="38029" ht="16.5" customHeight="1">
      <c r="O38029" s="5" t="s">
        <v>355</v>
      </c>
      <c r="P38029" s="5" t="s">
        <v>355</v>
      </c>
      <c r="Q38029" s="5" t="s">
        <v>355</v>
      </c>
    </row>
    <row r="38030" ht="16.5" customHeight="1">
      <c r="O38030" s="5" t="s">
        <v>355</v>
      </c>
      <c r="P38030" s="5" t="s">
        <v>355</v>
      </c>
      <c r="Q38030" s="5" t="s">
        <v>355</v>
      </c>
    </row>
    <row r="38031" ht="16.5" customHeight="1">
      <c r="O38031" s="5" t="s">
        <v>355</v>
      </c>
      <c r="P38031" s="5" t="s">
        <v>355</v>
      </c>
      <c r="Q38031" s="5" t="s">
        <v>355</v>
      </c>
    </row>
    <row r="38032" ht="16.5" customHeight="1">
      <c r="O38032" s="5" t="s">
        <v>355</v>
      </c>
      <c r="P38032" s="5" t="s">
        <v>355</v>
      </c>
      <c r="Q38032" s="5" t="s">
        <v>355</v>
      </c>
    </row>
    <row r="38033" ht="16.5" customHeight="1">
      <c r="O38033" s="5" t="s">
        <v>355</v>
      </c>
      <c r="P38033" s="5" t="s">
        <v>355</v>
      </c>
      <c r="Q38033" s="5" t="s">
        <v>355</v>
      </c>
    </row>
    <row r="38034" ht="16.5" customHeight="1">
      <c r="O38034" s="5" t="s">
        <v>355</v>
      </c>
      <c r="P38034" s="5" t="s">
        <v>355</v>
      </c>
      <c r="Q38034" s="5" t="s">
        <v>355</v>
      </c>
    </row>
    <row r="38035" ht="16.5" customHeight="1">
      <c r="O38035" s="5" t="s">
        <v>355</v>
      </c>
      <c r="P38035" s="5" t="s">
        <v>355</v>
      </c>
      <c r="Q38035" s="5" t="s">
        <v>355</v>
      </c>
    </row>
    <row r="38036" ht="16.5" customHeight="1">
      <c r="O38036" s="5" t="s">
        <v>355</v>
      </c>
      <c r="P38036" s="5" t="s">
        <v>355</v>
      </c>
      <c r="Q38036" s="5" t="s">
        <v>355</v>
      </c>
    </row>
    <row r="38037" ht="16.5" customHeight="1">
      <c r="O38037" s="5" t="s">
        <v>355</v>
      </c>
      <c r="P38037" s="5" t="s">
        <v>355</v>
      </c>
      <c r="Q38037" s="5" t="s">
        <v>355</v>
      </c>
    </row>
    <row r="38038" ht="16.5" customHeight="1">
      <c r="O38038" s="5" t="s">
        <v>355</v>
      </c>
      <c r="P38038" s="5" t="s">
        <v>355</v>
      </c>
      <c r="Q38038" s="5" t="s">
        <v>355</v>
      </c>
    </row>
    <row r="38039" ht="16.5" customHeight="1">
      <c r="O38039" s="5" t="s">
        <v>355</v>
      </c>
      <c r="P38039" s="5" t="s">
        <v>355</v>
      </c>
      <c r="Q38039" s="5" t="s">
        <v>355</v>
      </c>
    </row>
    <row r="38040" ht="16.5" customHeight="1">
      <c r="O38040" s="5" t="s">
        <v>355</v>
      </c>
      <c r="P38040" s="5" t="s">
        <v>355</v>
      </c>
      <c r="Q38040" s="5" t="s">
        <v>355</v>
      </c>
    </row>
    <row r="38041" ht="16.5" customHeight="1">
      <c r="O38041" s="5" t="s">
        <v>355</v>
      </c>
      <c r="P38041" s="5" t="s">
        <v>355</v>
      </c>
      <c r="Q38041" s="5" t="s">
        <v>355</v>
      </c>
    </row>
    <row r="38042" ht="16.5" customHeight="1">
      <c r="O38042" s="5" t="s">
        <v>355</v>
      </c>
      <c r="P38042" s="5" t="s">
        <v>355</v>
      </c>
      <c r="Q38042" s="5" t="s">
        <v>355</v>
      </c>
    </row>
    <row r="38043" ht="16.5" customHeight="1">
      <c r="O38043" s="5" t="s">
        <v>355</v>
      </c>
      <c r="P38043" s="5" t="s">
        <v>355</v>
      </c>
      <c r="Q38043" s="5" t="s">
        <v>355</v>
      </c>
    </row>
    <row r="38044" ht="16.5" customHeight="1">
      <c r="O38044" s="5" t="s">
        <v>355</v>
      </c>
      <c r="P38044" s="5" t="s">
        <v>355</v>
      </c>
      <c r="Q38044" s="5" t="s">
        <v>355</v>
      </c>
    </row>
    <row r="38045" ht="16.5" customHeight="1">
      <c r="O38045" s="5" t="s">
        <v>355</v>
      </c>
      <c r="P38045" s="5" t="s">
        <v>355</v>
      </c>
      <c r="Q38045" s="5" t="s">
        <v>355</v>
      </c>
    </row>
    <row r="38046" ht="16.5" customHeight="1">
      <c r="O38046" s="5" t="s">
        <v>355</v>
      </c>
      <c r="P38046" s="5" t="s">
        <v>355</v>
      </c>
      <c r="Q38046" s="5" t="s">
        <v>355</v>
      </c>
    </row>
    <row r="38047" ht="16.5" customHeight="1">
      <c r="O38047" s="5" t="s">
        <v>355</v>
      </c>
      <c r="P38047" s="5" t="s">
        <v>355</v>
      </c>
      <c r="Q38047" s="5" t="s">
        <v>355</v>
      </c>
    </row>
    <row r="38048" ht="16.5" customHeight="1">
      <c r="O38048" s="5" t="s">
        <v>355</v>
      </c>
      <c r="P38048" s="5" t="s">
        <v>355</v>
      </c>
      <c r="Q38048" s="5" t="s">
        <v>355</v>
      </c>
    </row>
    <row r="38049" ht="16.5" customHeight="1">
      <c r="O38049" s="5" t="s">
        <v>355</v>
      </c>
      <c r="P38049" s="5" t="s">
        <v>355</v>
      </c>
      <c r="Q38049" s="5" t="s">
        <v>355</v>
      </c>
    </row>
    <row r="38050" ht="16.5" customHeight="1">
      <c r="O38050" s="5" t="s">
        <v>355</v>
      </c>
      <c r="P38050" s="5" t="s">
        <v>355</v>
      </c>
      <c r="Q38050" s="5" t="s">
        <v>355</v>
      </c>
    </row>
    <row r="38051" ht="16.5" customHeight="1">
      <c r="O38051" s="5" t="s">
        <v>355</v>
      </c>
      <c r="P38051" s="5" t="s">
        <v>355</v>
      </c>
      <c r="Q38051" s="5" t="s">
        <v>355</v>
      </c>
    </row>
    <row r="38052" ht="16.5" customHeight="1">
      <c r="O38052" s="5" t="s">
        <v>355</v>
      </c>
      <c r="P38052" s="5" t="s">
        <v>355</v>
      </c>
      <c r="Q38052" s="5" t="s">
        <v>355</v>
      </c>
    </row>
    <row r="38053" ht="16.5" customHeight="1">
      <c r="O38053" s="5" t="s">
        <v>355</v>
      </c>
      <c r="P38053" s="5" t="s">
        <v>355</v>
      </c>
      <c r="Q38053" s="5" t="s">
        <v>355</v>
      </c>
    </row>
    <row r="38054" ht="16.5" customHeight="1">
      <c r="O38054" s="5" t="s">
        <v>355</v>
      </c>
      <c r="P38054" s="5" t="s">
        <v>355</v>
      </c>
      <c r="Q38054" s="5" t="s">
        <v>355</v>
      </c>
    </row>
    <row r="38055" ht="16.5" customHeight="1">
      <c r="O38055" s="5" t="s">
        <v>355</v>
      </c>
      <c r="P38055" s="5" t="s">
        <v>355</v>
      </c>
      <c r="Q38055" s="5" t="s">
        <v>355</v>
      </c>
    </row>
    <row r="38056" ht="16.5" customHeight="1">
      <c r="O38056" s="5" t="s">
        <v>355</v>
      </c>
      <c r="P38056" s="5" t="s">
        <v>355</v>
      </c>
      <c r="Q38056" s="5" t="s">
        <v>355</v>
      </c>
    </row>
    <row r="38057" ht="16.5" customHeight="1">
      <c r="O38057" s="5" t="s">
        <v>355</v>
      </c>
      <c r="P38057" s="5" t="s">
        <v>355</v>
      </c>
      <c r="Q38057" s="5" t="s">
        <v>355</v>
      </c>
    </row>
    <row r="38058" ht="16.5" customHeight="1">
      <c r="O38058" s="5" t="s">
        <v>355</v>
      </c>
      <c r="P38058" s="5" t="s">
        <v>355</v>
      </c>
      <c r="Q38058" s="5" t="s">
        <v>355</v>
      </c>
    </row>
    <row r="38059" ht="16.5" customHeight="1">
      <c r="O38059" s="5" t="s">
        <v>355</v>
      </c>
      <c r="P38059" s="5" t="s">
        <v>355</v>
      </c>
      <c r="Q38059" s="5" t="s">
        <v>355</v>
      </c>
    </row>
    <row r="38060" ht="16.5" customHeight="1">
      <c r="O38060" s="5" t="s">
        <v>355</v>
      </c>
      <c r="P38060" s="5" t="s">
        <v>355</v>
      </c>
      <c r="Q38060" s="5" t="s">
        <v>355</v>
      </c>
    </row>
    <row r="38061" ht="16.5" customHeight="1">
      <c r="O38061" s="5" t="s">
        <v>355</v>
      </c>
      <c r="P38061" s="5" t="s">
        <v>355</v>
      </c>
      <c r="Q38061" s="5" t="s">
        <v>355</v>
      </c>
    </row>
    <row r="38062" ht="16.5" customHeight="1">
      <c r="O38062" s="5" t="s">
        <v>355</v>
      </c>
      <c r="P38062" s="5" t="s">
        <v>355</v>
      </c>
      <c r="Q38062" s="5" t="s">
        <v>355</v>
      </c>
    </row>
    <row r="38063" ht="16.5" customHeight="1">
      <c r="O38063" s="5" t="s">
        <v>355</v>
      </c>
      <c r="P38063" s="5" t="s">
        <v>355</v>
      </c>
      <c r="Q38063" s="5" t="s">
        <v>355</v>
      </c>
    </row>
    <row r="38064" ht="16.5" customHeight="1">
      <c r="O38064" s="5" t="s">
        <v>355</v>
      </c>
      <c r="P38064" s="5" t="s">
        <v>355</v>
      </c>
      <c r="Q38064" s="5" t="s">
        <v>355</v>
      </c>
    </row>
    <row r="38065" ht="16.5" customHeight="1">
      <c r="O38065" s="5" t="s">
        <v>355</v>
      </c>
      <c r="P38065" s="5" t="s">
        <v>355</v>
      </c>
      <c r="Q38065" s="5" t="s">
        <v>355</v>
      </c>
    </row>
    <row r="38066" ht="16.5" customHeight="1">
      <c r="O38066" s="5" t="s">
        <v>355</v>
      </c>
      <c r="P38066" s="5" t="s">
        <v>355</v>
      </c>
      <c r="Q38066" s="5" t="s">
        <v>355</v>
      </c>
    </row>
    <row r="38067" ht="16.5" customHeight="1">
      <c r="O38067" s="5" t="s">
        <v>355</v>
      </c>
      <c r="P38067" s="5" t="s">
        <v>355</v>
      </c>
      <c r="Q38067" s="5" t="s">
        <v>355</v>
      </c>
    </row>
    <row r="38068" ht="16.5" customHeight="1">
      <c r="O38068" s="5" t="s">
        <v>355</v>
      </c>
      <c r="P38068" s="5" t="s">
        <v>355</v>
      </c>
      <c r="Q38068" s="5" t="s">
        <v>355</v>
      </c>
    </row>
    <row r="38069" ht="16.5" customHeight="1">
      <c r="O38069" s="5" t="s">
        <v>355</v>
      </c>
      <c r="P38069" s="5" t="s">
        <v>355</v>
      </c>
      <c r="Q38069" s="5" t="s">
        <v>355</v>
      </c>
    </row>
    <row r="38070" ht="16.5" customHeight="1">
      <c r="O38070" s="5" t="s">
        <v>355</v>
      </c>
      <c r="P38070" s="5" t="s">
        <v>355</v>
      </c>
      <c r="Q38070" s="5" t="s">
        <v>355</v>
      </c>
    </row>
    <row r="38071" ht="16.5" customHeight="1">
      <c r="O38071" s="5" t="s">
        <v>355</v>
      </c>
      <c r="P38071" s="5" t="s">
        <v>355</v>
      </c>
      <c r="Q38071" s="5" t="s">
        <v>355</v>
      </c>
    </row>
    <row r="38072" ht="16.5" customHeight="1">
      <c r="O38072" s="5" t="s">
        <v>355</v>
      </c>
      <c r="P38072" s="5" t="s">
        <v>355</v>
      </c>
      <c r="Q38072" s="5" t="s">
        <v>355</v>
      </c>
    </row>
    <row r="38073" ht="16.5" customHeight="1">
      <c r="O38073" s="5" t="s">
        <v>355</v>
      </c>
      <c r="P38073" s="5" t="s">
        <v>355</v>
      </c>
      <c r="Q38073" s="5" t="s">
        <v>355</v>
      </c>
    </row>
    <row r="38074" ht="16.5" customHeight="1">
      <c r="O38074" s="5" t="s">
        <v>355</v>
      </c>
      <c r="P38074" s="5" t="s">
        <v>355</v>
      </c>
      <c r="Q38074" s="5" t="s">
        <v>355</v>
      </c>
    </row>
    <row r="38075" ht="16.5" customHeight="1">
      <c r="O38075" s="5" t="s">
        <v>355</v>
      </c>
      <c r="P38075" s="5" t="s">
        <v>355</v>
      </c>
      <c r="Q38075" s="5" t="s">
        <v>355</v>
      </c>
    </row>
    <row r="38076" ht="16.5" customHeight="1">
      <c r="O38076" s="5" t="s">
        <v>355</v>
      </c>
      <c r="P38076" s="5" t="s">
        <v>355</v>
      </c>
      <c r="Q38076" s="5" t="s">
        <v>355</v>
      </c>
    </row>
    <row r="38077" ht="16.5" customHeight="1">
      <c r="O38077" s="5" t="s">
        <v>355</v>
      </c>
      <c r="P38077" s="5" t="s">
        <v>355</v>
      </c>
      <c r="Q38077" s="5" t="s">
        <v>355</v>
      </c>
    </row>
    <row r="38078" ht="16.5" customHeight="1">
      <c r="O38078" s="5" t="s">
        <v>355</v>
      </c>
      <c r="P38078" s="5" t="s">
        <v>355</v>
      </c>
      <c r="Q38078" s="5" t="s">
        <v>355</v>
      </c>
    </row>
    <row r="38079" ht="16.5" customHeight="1">
      <c r="O38079" s="5" t="s">
        <v>355</v>
      </c>
      <c r="P38079" s="5" t="s">
        <v>355</v>
      </c>
      <c r="Q38079" s="5" t="s">
        <v>355</v>
      </c>
    </row>
    <row r="38080" ht="16.5" customHeight="1">
      <c r="O38080" s="5" t="s">
        <v>355</v>
      </c>
      <c r="P38080" s="5" t="s">
        <v>355</v>
      </c>
      <c r="Q38080" s="5" t="s">
        <v>355</v>
      </c>
    </row>
    <row r="38081" ht="16.5" customHeight="1">
      <c r="O38081" s="5" t="s">
        <v>355</v>
      </c>
      <c r="P38081" s="5" t="s">
        <v>355</v>
      </c>
      <c r="Q38081" s="5" t="s">
        <v>355</v>
      </c>
    </row>
    <row r="38082" ht="16.5" customHeight="1">
      <c r="O38082" s="5" t="s">
        <v>355</v>
      </c>
      <c r="P38082" s="5" t="s">
        <v>355</v>
      </c>
      <c r="Q38082" s="5" t="s">
        <v>355</v>
      </c>
    </row>
    <row r="38083" ht="16.5" customHeight="1">
      <c r="O38083" s="5" t="s">
        <v>355</v>
      </c>
      <c r="P38083" s="5" t="s">
        <v>355</v>
      </c>
      <c r="Q38083" s="5" t="s">
        <v>355</v>
      </c>
    </row>
    <row r="38084" ht="16.5" customHeight="1">
      <c r="O38084" s="5" t="s">
        <v>355</v>
      </c>
      <c r="P38084" s="5" t="s">
        <v>355</v>
      </c>
      <c r="Q38084" s="5" t="s">
        <v>355</v>
      </c>
    </row>
    <row r="38085" ht="16.5" customHeight="1">
      <c r="O38085" s="5" t="s">
        <v>355</v>
      </c>
      <c r="P38085" s="5" t="s">
        <v>355</v>
      </c>
      <c r="Q38085" s="5" t="s">
        <v>355</v>
      </c>
    </row>
    <row r="38086" ht="16.5" customHeight="1">
      <c r="O38086" s="5" t="s">
        <v>355</v>
      </c>
      <c r="P38086" s="5" t="s">
        <v>355</v>
      </c>
      <c r="Q38086" s="5" t="s">
        <v>355</v>
      </c>
    </row>
    <row r="38087" ht="16.5" customHeight="1">
      <c r="O38087" s="5" t="s">
        <v>355</v>
      </c>
      <c r="P38087" s="5" t="s">
        <v>355</v>
      </c>
      <c r="Q38087" s="5" t="s">
        <v>355</v>
      </c>
    </row>
    <row r="38088" ht="16.5" customHeight="1">
      <c r="O38088" s="5" t="s">
        <v>355</v>
      </c>
      <c r="P38088" s="5" t="s">
        <v>355</v>
      </c>
      <c r="Q38088" s="5" t="s">
        <v>355</v>
      </c>
    </row>
    <row r="38089" ht="16.5" customHeight="1">
      <c r="O38089" s="5" t="s">
        <v>355</v>
      </c>
      <c r="P38089" s="5" t="s">
        <v>355</v>
      </c>
      <c r="Q38089" s="5" t="s">
        <v>355</v>
      </c>
    </row>
    <row r="38090" ht="16.5" customHeight="1">
      <c r="O38090" s="5" t="s">
        <v>355</v>
      </c>
      <c r="P38090" s="5" t="s">
        <v>355</v>
      </c>
      <c r="Q38090" s="5" t="s">
        <v>355</v>
      </c>
    </row>
    <row r="38091" ht="16.5" customHeight="1">
      <c r="O38091" s="5" t="s">
        <v>355</v>
      </c>
      <c r="P38091" s="5" t="s">
        <v>355</v>
      </c>
      <c r="Q38091" s="5" t="s">
        <v>355</v>
      </c>
    </row>
    <row r="38092" ht="16.5" customHeight="1">
      <c r="O38092" s="5" t="s">
        <v>355</v>
      </c>
      <c r="P38092" s="5" t="s">
        <v>355</v>
      </c>
      <c r="Q38092" s="5" t="s">
        <v>355</v>
      </c>
    </row>
    <row r="38093" ht="16.5" customHeight="1">
      <c r="O38093" s="5" t="s">
        <v>355</v>
      </c>
      <c r="P38093" s="5" t="s">
        <v>355</v>
      </c>
      <c r="Q38093" s="5" t="s">
        <v>355</v>
      </c>
    </row>
    <row r="38094" ht="16.5" customHeight="1">
      <c r="O38094" s="5" t="s">
        <v>355</v>
      </c>
      <c r="P38094" s="5" t="s">
        <v>355</v>
      </c>
      <c r="Q38094" s="5" t="s">
        <v>355</v>
      </c>
    </row>
    <row r="38095" ht="16.5" customHeight="1">
      <c r="O38095" s="5" t="s">
        <v>355</v>
      </c>
      <c r="P38095" s="5" t="s">
        <v>355</v>
      </c>
      <c r="Q38095" s="5" t="s">
        <v>355</v>
      </c>
    </row>
    <row r="38096" ht="16.5" customHeight="1">
      <c r="O38096" s="5" t="s">
        <v>355</v>
      </c>
      <c r="P38096" s="5" t="s">
        <v>355</v>
      </c>
      <c r="Q38096" s="5" t="s">
        <v>355</v>
      </c>
    </row>
    <row r="38097" ht="16.5" customHeight="1">
      <c r="O38097" s="5" t="s">
        <v>355</v>
      </c>
      <c r="P38097" s="5" t="s">
        <v>355</v>
      </c>
      <c r="Q38097" s="5" t="s">
        <v>355</v>
      </c>
    </row>
    <row r="38098" ht="16.5" customHeight="1">
      <c r="O38098" s="5" t="s">
        <v>355</v>
      </c>
      <c r="P38098" s="5" t="s">
        <v>355</v>
      </c>
      <c r="Q38098" s="5" t="s">
        <v>355</v>
      </c>
    </row>
    <row r="38099" ht="16.5" customHeight="1">
      <c r="O38099" s="5" t="s">
        <v>355</v>
      </c>
      <c r="P38099" s="5" t="s">
        <v>355</v>
      </c>
      <c r="Q38099" s="5" t="s">
        <v>355</v>
      </c>
    </row>
    <row r="38100" ht="16.5" customHeight="1">
      <c r="O38100" s="5" t="s">
        <v>355</v>
      </c>
      <c r="P38100" s="5" t="s">
        <v>355</v>
      </c>
      <c r="Q38100" s="5" t="s">
        <v>355</v>
      </c>
    </row>
    <row r="38101" ht="16.5" customHeight="1">
      <c r="O38101" s="5" t="s">
        <v>355</v>
      </c>
      <c r="P38101" s="5" t="s">
        <v>355</v>
      </c>
      <c r="Q38101" s="5" t="s">
        <v>355</v>
      </c>
    </row>
    <row r="38102" ht="16.5" customHeight="1">
      <c r="O38102" s="5" t="s">
        <v>355</v>
      </c>
      <c r="P38102" s="5" t="s">
        <v>355</v>
      </c>
      <c r="Q38102" s="5" t="s">
        <v>355</v>
      </c>
    </row>
    <row r="38103" ht="16.5" customHeight="1">
      <c r="O38103" s="5" t="s">
        <v>355</v>
      </c>
      <c r="P38103" s="5" t="s">
        <v>355</v>
      </c>
      <c r="Q38103" s="5" t="s">
        <v>355</v>
      </c>
    </row>
    <row r="38104" ht="16.5" customHeight="1">
      <c r="O38104" s="5" t="s">
        <v>355</v>
      </c>
      <c r="P38104" s="5" t="s">
        <v>355</v>
      </c>
      <c r="Q38104" s="5" t="s">
        <v>355</v>
      </c>
    </row>
    <row r="38105" ht="16.5" customHeight="1">
      <c r="O38105" s="5" t="s">
        <v>355</v>
      </c>
      <c r="P38105" s="5" t="s">
        <v>355</v>
      </c>
      <c r="Q38105" s="5" t="s">
        <v>355</v>
      </c>
    </row>
    <row r="38106" ht="16.5" customHeight="1">
      <c r="O38106" s="5" t="s">
        <v>355</v>
      </c>
      <c r="P38106" s="5" t="s">
        <v>355</v>
      </c>
      <c r="Q38106" s="5" t="s">
        <v>355</v>
      </c>
    </row>
    <row r="38107" ht="16.5" customHeight="1">
      <c r="O38107" s="5" t="s">
        <v>355</v>
      </c>
      <c r="P38107" s="5" t="s">
        <v>355</v>
      </c>
      <c r="Q38107" s="5" t="s">
        <v>355</v>
      </c>
    </row>
    <row r="38108" ht="16.5" customHeight="1">
      <c r="O38108" s="5" t="s">
        <v>355</v>
      </c>
      <c r="P38108" s="5" t="s">
        <v>355</v>
      </c>
      <c r="Q38108" s="5" t="s">
        <v>355</v>
      </c>
    </row>
    <row r="38109" ht="16.5" customHeight="1">
      <c r="O38109" s="5" t="s">
        <v>355</v>
      </c>
      <c r="P38109" s="5" t="s">
        <v>355</v>
      </c>
      <c r="Q38109" s="5" t="s">
        <v>355</v>
      </c>
    </row>
    <row r="38110" ht="16.5" customHeight="1">
      <c r="O38110" s="5" t="s">
        <v>355</v>
      </c>
      <c r="P38110" s="5" t="s">
        <v>355</v>
      </c>
      <c r="Q38110" s="5" t="s">
        <v>355</v>
      </c>
    </row>
    <row r="38111" ht="16.5" customHeight="1">
      <c r="O38111" s="5" t="s">
        <v>355</v>
      </c>
      <c r="P38111" s="5" t="s">
        <v>355</v>
      </c>
      <c r="Q38111" s="5" t="s">
        <v>355</v>
      </c>
    </row>
    <row r="38112" ht="16.5" customHeight="1">
      <c r="O38112" s="5" t="s">
        <v>355</v>
      </c>
      <c r="P38112" s="5" t="s">
        <v>355</v>
      </c>
      <c r="Q38112" s="5" t="s">
        <v>355</v>
      </c>
    </row>
    <row r="38113" ht="16.5" customHeight="1">
      <c r="O38113" s="5" t="s">
        <v>355</v>
      </c>
      <c r="P38113" s="5" t="s">
        <v>355</v>
      </c>
      <c r="Q38113" s="5" t="s">
        <v>355</v>
      </c>
    </row>
    <row r="38114" ht="16.5" customHeight="1">
      <c r="O38114" s="5" t="s">
        <v>355</v>
      </c>
      <c r="P38114" s="5" t="s">
        <v>355</v>
      </c>
      <c r="Q38114" s="5" t="s">
        <v>355</v>
      </c>
    </row>
    <row r="38115" ht="16.5" customHeight="1">
      <c r="O38115" s="5" t="s">
        <v>355</v>
      </c>
      <c r="P38115" s="5" t="s">
        <v>355</v>
      </c>
      <c r="Q38115" s="5" t="s">
        <v>355</v>
      </c>
    </row>
    <row r="38116" ht="16.5" customHeight="1">
      <c r="O38116" s="5" t="s">
        <v>355</v>
      </c>
      <c r="P38116" s="5" t="s">
        <v>355</v>
      </c>
      <c r="Q38116" s="5" t="s">
        <v>355</v>
      </c>
    </row>
    <row r="38117" ht="16.5" customHeight="1">
      <c r="O38117" s="5" t="s">
        <v>355</v>
      </c>
      <c r="P38117" s="5" t="s">
        <v>355</v>
      </c>
      <c r="Q38117" s="5" t="s">
        <v>355</v>
      </c>
    </row>
    <row r="38118" ht="16.5" customHeight="1">
      <c r="O38118" s="5" t="s">
        <v>355</v>
      </c>
      <c r="P38118" s="5" t="s">
        <v>355</v>
      </c>
      <c r="Q38118" s="5" t="s">
        <v>355</v>
      </c>
    </row>
    <row r="38119" ht="16.5" customHeight="1">
      <c r="O38119" s="5" t="s">
        <v>355</v>
      </c>
      <c r="P38119" s="5" t="s">
        <v>355</v>
      </c>
      <c r="Q38119" s="5" t="s">
        <v>355</v>
      </c>
    </row>
    <row r="38120" ht="16.5" customHeight="1">
      <c r="O38120" s="5" t="s">
        <v>355</v>
      </c>
      <c r="P38120" s="5" t="s">
        <v>355</v>
      </c>
      <c r="Q38120" s="5" t="s">
        <v>355</v>
      </c>
    </row>
    <row r="38121" ht="16.5" customHeight="1">
      <c r="O38121" s="5" t="s">
        <v>355</v>
      </c>
      <c r="P38121" s="5" t="s">
        <v>355</v>
      </c>
      <c r="Q38121" s="5" t="s">
        <v>355</v>
      </c>
    </row>
    <row r="38122" ht="16.5" customHeight="1">
      <c r="O38122" s="5" t="s">
        <v>355</v>
      </c>
      <c r="P38122" s="5" t="s">
        <v>355</v>
      </c>
      <c r="Q38122" s="5" t="s">
        <v>355</v>
      </c>
    </row>
    <row r="38123" ht="16.5" customHeight="1">
      <c r="O38123" s="5" t="s">
        <v>355</v>
      </c>
      <c r="P38123" s="5" t="s">
        <v>355</v>
      </c>
      <c r="Q38123" s="5" t="s">
        <v>355</v>
      </c>
    </row>
    <row r="38124" ht="16.5" customHeight="1">
      <c r="O38124" s="5" t="s">
        <v>355</v>
      </c>
      <c r="P38124" s="5" t="s">
        <v>355</v>
      </c>
      <c r="Q38124" s="5" t="s">
        <v>355</v>
      </c>
    </row>
    <row r="38125" ht="16.5" customHeight="1">
      <c r="O38125" s="5" t="s">
        <v>355</v>
      </c>
      <c r="P38125" s="5" t="s">
        <v>355</v>
      </c>
      <c r="Q38125" s="5" t="s">
        <v>355</v>
      </c>
    </row>
    <row r="38126" ht="16.5" customHeight="1">
      <c r="O38126" s="5" t="s">
        <v>355</v>
      </c>
      <c r="P38126" s="5" t="s">
        <v>355</v>
      </c>
      <c r="Q38126" s="5" t="s">
        <v>355</v>
      </c>
    </row>
    <row r="38127" ht="16.5" customHeight="1">
      <c r="O38127" s="5" t="s">
        <v>355</v>
      </c>
      <c r="P38127" s="5" t="s">
        <v>355</v>
      </c>
      <c r="Q38127" s="5" t="s">
        <v>355</v>
      </c>
    </row>
    <row r="38128" ht="16.5" customHeight="1">
      <c r="O38128" s="5" t="s">
        <v>355</v>
      </c>
      <c r="P38128" s="5" t="s">
        <v>355</v>
      </c>
      <c r="Q38128" s="5" t="s">
        <v>355</v>
      </c>
    </row>
    <row r="38129" ht="16.5" customHeight="1">
      <c r="O38129" s="5" t="s">
        <v>355</v>
      </c>
      <c r="P38129" s="5" t="s">
        <v>355</v>
      </c>
      <c r="Q38129" s="5" t="s">
        <v>355</v>
      </c>
    </row>
    <row r="38130" ht="16.5" customHeight="1">
      <c r="O38130" s="5" t="s">
        <v>355</v>
      </c>
      <c r="P38130" s="5" t="s">
        <v>355</v>
      </c>
      <c r="Q38130" s="5" t="s">
        <v>355</v>
      </c>
    </row>
    <row r="38131" ht="16.5" customHeight="1">
      <c r="O38131" s="5" t="s">
        <v>355</v>
      </c>
      <c r="P38131" s="5" t="s">
        <v>355</v>
      </c>
      <c r="Q38131" s="5" t="s">
        <v>355</v>
      </c>
    </row>
    <row r="38132" ht="16.5" customHeight="1">
      <c r="O38132" s="5" t="s">
        <v>355</v>
      </c>
      <c r="P38132" s="5" t="s">
        <v>355</v>
      </c>
      <c r="Q38132" s="5" t="s">
        <v>355</v>
      </c>
    </row>
    <row r="38133" ht="16.5" customHeight="1">
      <c r="O38133" s="5" t="s">
        <v>355</v>
      </c>
      <c r="P38133" s="5" t="s">
        <v>355</v>
      </c>
      <c r="Q38133" s="5" t="s">
        <v>355</v>
      </c>
    </row>
    <row r="38134" ht="16.5" customHeight="1">
      <c r="O38134" s="5" t="s">
        <v>355</v>
      </c>
      <c r="P38134" s="5" t="s">
        <v>355</v>
      </c>
      <c r="Q38134" s="5" t="s">
        <v>355</v>
      </c>
    </row>
    <row r="38135" ht="16.5" customHeight="1">
      <c r="O38135" s="5" t="s">
        <v>355</v>
      </c>
      <c r="P38135" s="5" t="s">
        <v>355</v>
      </c>
      <c r="Q38135" s="5" t="s">
        <v>355</v>
      </c>
    </row>
    <row r="38136" ht="16.5" customHeight="1">
      <c r="O38136" s="5" t="s">
        <v>355</v>
      </c>
      <c r="P38136" s="5" t="s">
        <v>355</v>
      </c>
      <c r="Q38136" s="5" t="s">
        <v>355</v>
      </c>
    </row>
    <row r="38137" ht="16.5" customHeight="1">
      <c r="O38137" s="5" t="s">
        <v>355</v>
      </c>
      <c r="P38137" s="5" t="s">
        <v>355</v>
      </c>
      <c r="Q38137" s="5" t="s">
        <v>355</v>
      </c>
    </row>
    <row r="38138" ht="16.5" customHeight="1">
      <c r="O38138" s="5" t="s">
        <v>355</v>
      </c>
      <c r="P38138" s="5" t="s">
        <v>355</v>
      </c>
      <c r="Q38138" s="5" t="s">
        <v>355</v>
      </c>
    </row>
    <row r="38139" ht="16.5" customHeight="1">
      <c r="O38139" s="5" t="s">
        <v>355</v>
      </c>
      <c r="P38139" s="5" t="s">
        <v>355</v>
      </c>
      <c r="Q38139" s="5" t="s">
        <v>355</v>
      </c>
    </row>
    <row r="38140" ht="16.5" customHeight="1">
      <c r="O38140" s="5" t="s">
        <v>355</v>
      </c>
      <c r="P38140" s="5" t="s">
        <v>355</v>
      </c>
      <c r="Q38140" s="5" t="s">
        <v>355</v>
      </c>
    </row>
    <row r="38141" ht="16.5" customHeight="1">
      <c r="O38141" s="5" t="s">
        <v>355</v>
      </c>
      <c r="P38141" s="5" t="s">
        <v>355</v>
      </c>
      <c r="Q38141" s="5" t="s">
        <v>355</v>
      </c>
    </row>
    <row r="38142" ht="16.5" customHeight="1">
      <c r="O38142" s="5" t="s">
        <v>355</v>
      </c>
      <c r="P38142" s="5" t="s">
        <v>355</v>
      </c>
      <c r="Q38142" s="5" t="s">
        <v>355</v>
      </c>
    </row>
    <row r="38143" ht="16.5" customHeight="1">
      <c r="O38143" s="5" t="s">
        <v>355</v>
      </c>
      <c r="P38143" s="5" t="s">
        <v>355</v>
      </c>
      <c r="Q38143" s="5" t="s">
        <v>355</v>
      </c>
    </row>
    <row r="38144" ht="16.5" customHeight="1">
      <c r="O38144" s="5" t="s">
        <v>355</v>
      </c>
      <c r="P38144" s="5" t="s">
        <v>355</v>
      </c>
      <c r="Q38144" s="5" t="s">
        <v>355</v>
      </c>
    </row>
    <row r="38145" ht="16.5" customHeight="1">
      <c r="O38145" s="5" t="s">
        <v>355</v>
      </c>
      <c r="P38145" s="5" t="s">
        <v>355</v>
      </c>
      <c r="Q38145" s="5" t="s">
        <v>355</v>
      </c>
    </row>
    <row r="38146" ht="16.5" customHeight="1">
      <c r="O38146" s="5" t="s">
        <v>355</v>
      </c>
      <c r="P38146" s="5" t="s">
        <v>355</v>
      </c>
      <c r="Q38146" s="5" t="s">
        <v>355</v>
      </c>
    </row>
    <row r="38147" ht="16.5" customHeight="1">
      <c r="O38147" s="5" t="s">
        <v>355</v>
      </c>
      <c r="P38147" s="5" t="s">
        <v>355</v>
      </c>
      <c r="Q38147" s="5" t="s">
        <v>355</v>
      </c>
    </row>
    <row r="38148" ht="16.5" customHeight="1">
      <c r="O38148" s="5" t="s">
        <v>355</v>
      </c>
      <c r="P38148" s="5" t="s">
        <v>355</v>
      </c>
      <c r="Q38148" s="5" t="s">
        <v>355</v>
      </c>
    </row>
    <row r="38149" ht="16.5" customHeight="1">
      <c r="O38149" s="5" t="s">
        <v>355</v>
      </c>
      <c r="P38149" s="5" t="s">
        <v>355</v>
      </c>
      <c r="Q38149" s="5" t="s">
        <v>355</v>
      </c>
    </row>
    <row r="38150" ht="16.5" customHeight="1">
      <c r="O38150" s="5" t="s">
        <v>355</v>
      </c>
      <c r="P38150" s="5" t="s">
        <v>355</v>
      </c>
      <c r="Q38150" s="5" t="s">
        <v>355</v>
      </c>
    </row>
    <row r="38151" ht="16.5" customHeight="1">
      <c r="O38151" s="5" t="s">
        <v>355</v>
      </c>
      <c r="P38151" s="5" t="s">
        <v>355</v>
      </c>
      <c r="Q38151" s="5" t="s">
        <v>355</v>
      </c>
    </row>
    <row r="38152" ht="16.5" customHeight="1">
      <c r="O38152" s="5" t="s">
        <v>355</v>
      </c>
      <c r="P38152" s="5" t="s">
        <v>355</v>
      </c>
      <c r="Q38152" s="5" t="s">
        <v>355</v>
      </c>
    </row>
    <row r="38153" ht="16.5" customHeight="1">
      <c r="O38153" s="5" t="s">
        <v>355</v>
      </c>
      <c r="P38153" s="5" t="s">
        <v>355</v>
      </c>
      <c r="Q38153" s="5" t="s">
        <v>355</v>
      </c>
    </row>
    <row r="38154" ht="16.5" customHeight="1">
      <c r="O38154" s="5" t="s">
        <v>355</v>
      </c>
      <c r="P38154" s="5" t="s">
        <v>355</v>
      </c>
      <c r="Q38154" s="5" t="s">
        <v>355</v>
      </c>
    </row>
    <row r="38155" ht="16.5" customHeight="1">
      <c r="O38155" s="5" t="s">
        <v>355</v>
      </c>
      <c r="P38155" s="5" t="s">
        <v>355</v>
      </c>
      <c r="Q38155" s="5" t="s">
        <v>355</v>
      </c>
    </row>
    <row r="38156" ht="16.5" customHeight="1">
      <c r="O38156" s="5" t="s">
        <v>355</v>
      </c>
      <c r="P38156" s="5" t="s">
        <v>355</v>
      </c>
      <c r="Q38156" s="5" t="s">
        <v>355</v>
      </c>
    </row>
    <row r="38157" ht="16.5" customHeight="1">
      <c r="O38157" s="5" t="s">
        <v>355</v>
      </c>
      <c r="P38157" s="5" t="s">
        <v>355</v>
      </c>
      <c r="Q38157" s="5" t="s">
        <v>355</v>
      </c>
    </row>
    <row r="38158" ht="16.5" customHeight="1">
      <c r="O38158" s="5" t="s">
        <v>355</v>
      </c>
      <c r="P38158" s="5" t="s">
        <v>355</v>
      </c>
      <c r="Q38158" s="5" t="s">
        <v>355</v>
      </c>
    </row>
    <row r="38159" ht="16.5" customHeight="1">
      <c r="O38159" s="5" t="s">
        <v>355</v>
      </c>
      <c r="P38159" s="5" t="s">
        <v>355</v>
      </c>
      <c r="Q38159" s="5" t="s">
        <v>355</v>
      </c>
    </row>
    <row r="38160" ht="16.5" customHeight="1">
      <c r="O38160" s="5" t="s">
        <v>355</v>
      </c>
      <c r="P38160" s="5" t="s">
        <v>355</v>
      </c>
      <c r="Q38160" s="5" t="s">
        <v>355</v>
      </c>
    </row>
    <row r="38161" ht="16.5" customHeight="1">
      <c r="O38161" s="5" t="s">
        <v>355</v>
      </c>
      <c r="P38161" s="5" t="s">
        <v>355</v>
      </c>
      <c r="Q38161" s="5" t="s">
        <v>355</v>
      </c>
    </row>
    <row r="38162" ht="16.5" customHeight="1">
      <c r="O38162" s="5" t="s">
        <v>355</v>
      </c>
      <c r="P38162" s="5" t="s">
        <v>355</v>
      </c>
      <c r="Q38162" s="5" t="s">
        <v>355</v>
      </c>
    </row>
    <row r="38163" ht="16.5" customHeight="1">
      <c r="O38163" s="5" t="s">
        <v>355</v>
      </c>
      <c r="P38163" s="5" t="s">
        <v>355</v>
      </c>
      <c r="Q38163" s="5" t="s">
        <v>355</v>
      </c>
    </row>
    <row r="38164" ht="16.5" customHeight="1">
      <c r="O38164" s="5" t="s">
        <v>355</v>
      </c>
      <c r="P38164" s="5" t="s">
        <v>355</v>
      </c>
      <c r="Q38164" s="5" t="s">
        <v>355</v>
      </c>
    </row>
    <row r="38165" ht="16.5" customHeight="1">
      <c r="O38165" s="5" t="s">
        <v>355</v>
      </c>
      <c r="P38165" s="5" t="s">
        <v>355</v>
      </c>
      <c r="Q38165" s="5" t="s">
        <v>355</v>
      </c>
    </row>
    <row r="38166" ht="16.5" customHeight="1">
      <c r="O38166" s="5" t="s">
        <v>355</v>
      </c>
      <c r="P38166" s="5" t="s">
        <v>355</v>
      </c>
      <c r="Q38166" s="5" t="s">
        <v>355</v>
      </c>
    </row>
    <row r="38167" ht="16.5" customHeight="1">
      <c r="O38167" s="5" t="s">
        <v>355</v>
      </c>
      <c r="P38167" s="5" t="s">
        <v>355</v>
      </c>
      <c r="Q38167" s="5" t="s">
        <v>355</v>
      </c>
    </row>
    <row r="38168" ht="16.5" customHeight="1">
      <c r="O38168" s="5" t="s">
        <v>355</v>
      </c>
      <c r="P38168" s="5" t="s">
        <v>355</v>
      </c>
      <c r="Q38168" s="5" t="s">
        <v>355</v>
      </c>
    </row>
    <row r="38169" ht="16.5" customHeight="1">
      <c r="O38169" s="5" t="s">
        <v>355</v>
      </c>
      <c r="P38169" s="5" t="s">
        <v>355</v>
      </c>
      <c r="Q38169" s="5" t="s">
        <v>355</v>
      </c>
    </row>
    <row r="38170" ht="16.5" customHeight="1">
      <c r="O38170" s="5" t="s">
        <v>355</v>
      </c>
      <c r="P38170" s="5" t="s">
        <v>355</v>
      </c>
      <c r="Q38170" s="5" t="s">
        <v>355</v>
      </c>
    </row>
    <row r="38171" ht="16.5" customHeight="1">
      <c r="O38171" s="5" t="s">
        <v>355</v>
      </c>
      <c r="P38171" s="5" t="s">
        <v>355</v>
      </c>
      <c r="Q38171" s="5" t="s">
        <v>355</v>
      </c>
    </row>
    <row r="38172" ht="16.5" customHeight="1">
      <c r="O38172" s="5" t="s">
        <v>355</v>
      </c>
      <c r="P38172" s="5" t="s">
        <v>355</v>
      </c>
      <c r="Q38172" s="5" t="s">
        <v>355</v>
      </c>
    </row>
    <row r="38173" ht="16.5" customHeight="1">
      <c r="O38173" s="5" t="s">
        <v>355</v>
      </c>
      <c r="P38173" s="5" t="s">
        <v>355</v>
      </c>
      <c r="Q38173" s="5" t="s">
        <v>355</v>
      </c>
    </row>
    <row r="38174" ht="16.5" customHeight="1">
      <c r="O38174" s="5" t="s">
        <v>355</v>
      </c>
      <c r="P38174" s="5" t="s">
        <v>355</v>
      </c>
      <c r="Q38174" s="5" t="s">
        <v>355</v>
      </c>
    </row>
    <row r="38175" ht="16.5" customHeight="1">
      <c r="O38175" s="5" t="s">
        <v>355</v>
      </c>
      <c r="P38175" s="5" t="s">
        <v>355</v>
      </c>
      <c r="Q38175" s="5" t="s">
        <v>355</v>
      </c>
    </row>
    <row r="38176" ht="16.5" customHeight="1">
      <c r="O38176" s="5" t="s">
        <v>355</v>
      </c>
      <c r="P38176" s="5" t="s">
        <v>355</v>
      </c>
      <c r="Q38176" s="5" t="s">
        <v>355</v>
      </c>
    </row>
    <row r="38177" ht="16.5" customHeight="1">
      <c r="O38177" s="5" t="s">
        <v>355</v>
      </c>
      <c r="P38177" s="5" t="s">
        <v>355</v>
      </c>
      <c r="Q38177" s="5" t="s">
        <v>355</v>
      </c>
    </row>
    <row r="38178" ht="16.5" customHeight="1">
      <c r="O38178" s="5" t="s">
        <v>355</v>
      </c>
      <c r="P38178" s="5" t="s">
        <v>355</v>
      </c>
      <c r="Q38178" s="5" t="s">
        <v>355</v>
      </c>
    </row>
    <row r="38179" ht="16.5" customHeight="1">
      <c r="O38179" s="5" t="s">
        <v>355</v>
      </c>
      <c r="P38179" s="5" t="s">
        <v>355</v>
      </c>
      <c r="Q38179" s="5" t="s">
        <v>355</v>
      </c>
    </row>
    <row r="38180" ht="16.5" customHeight="1">
      <c r="O38180" s="5" t="s">
        <v>355</v>
      </c>
      <c r="P38180" s="5" t="s">
        <v>355</v>
      </c>
      <c r="Q38180" s="5" t="s">
        <v>355</v>
      </c>
    </row>
    <row r="38181" ht="16.5" customHeight="1">
      <c r="O38181" s="5" t="s">
        <v>355</v>
      </c>
      <c r="P38181" s="5" t="s">
        <v>355</v>
      </c>
      <c r="Q38181" s="5" t="s">
        <v>355</v>
      </c>
    </row>
    <row r="38182" ht="16.5" customHeight="1">
      <c r="O38182" s="5" t="s">
        <v>355</v>
      </c>
      <c r="P38182" s="5" t="s">
        <v>355</v>
      </c>
      <c r="Q38182" s="5" t="s">
        <v>355</v>
      </c>
    </row>
    <row r="38183" ht="16.5" customHeight="1">
      <c r="O38183" s="5" t="s">
        <v>355</v>
      </c>
      <c r="P38183" s="5" t="s">
        <v>355</v>
      </c>
      <c r="Q38183" s="5" t="s">
        <v>355</v>
      </c>
    </row>
    <row r="38184" ht="16.5" customHeight="1">
      <c r="O38184" s="5" t="s">
        <v>355</v>
      </c>
      <c r="P38184" s="5" t="s">
        <v>355</v>
      </c>
      <c r="Q38184" s="5" t="s">
        <v>355</v>
      </c>
    </row>
    <row r="38185" ht="16.5" customHeight="1">
      <c r="O38185" s="5" t="s">
        <v>355</v>
      </c>
      <c r="P38185" s="5" t="s">
        <v>355</v>
      </c>
      <c r="Q38185" s="5" t="s">
        <v>355</v>
      </c>
    </row>
    <row r="38186" ht="16.5" customHeight="1">
      <c r="O38186" s="5" t="s">
        <v>355</v>
      </c>
      <c r="P38186" s="5" t="s">
        <v>355</v>
      </c>
      <c r="Q38186" s="5" t="s">
        <v>355</v>
      </c>
    </row>
    <row r="38187" ht="16.5" customHeight="1">
      <c r="O38187" s="5" t="s">
        <v>355</v>
      </c>
      <c r="P38187" s="5" t="s">
        <v>355</v>
      </c>
      <c r="Q38187" s="5" t="s">
        <v>355</v>
      </c>
    </row>
    <row r="38188" ht="16.5" customHeight="1">
      <c r="O38188" s="5" t="s">
        <v>355</v>
      </c>
      <c r="P38188" s="5" t="s">
        <v>355</v>
      </c>
      <c r="Q38188" s="5" t="s">
        <v>355</v>
      </c>
    </row>
    <row r="38189" ht="16.5" customHeight="1">
      <c r="O38189" s="5" t="s">
        <v>355</v>
      </c>
      <c r="P38189" s="5" t="s">
        <v>355</v>
      </c>
      <c r="Q38189" s="5" t="s">
        <v>355</v>
      </c>
    </row>
    <row r="38190" ht="16.5" customHeight="1">
      <c r="O38190" s="5" t="s">
        <v>355</v>
      </c>
      <c r="P38190" s="5" t="s">
        <v>355</v>
      </c>
      <c r="Q38190" s="5" t="s">
        <v>355</v>
      </c>
    </row>
    <row r="38191" ht="16.5" customHeight="1">
      <c r="O38191" s="5" t="s">
        <v>355</v>
      </c>
      <c r="P38191" s="5" t="s">
        <v>355</v>
      </c>
      <c r="Q38191" s="5" t="s">
        <v>355</v>
      </c>
    </row>
    <row r="38192" ht="16.5" customHeight="1">
      <c r="O38192" s="5" t="s">
        <v>355</v>
      </c>
      <c r="P38192" s="5" t="s">
        <v>355</v>
      </c>
      <c r="Q38192" s="5" t="s">
        <v>355</v>
      </c>
    </row>
    <row r="38193" ht="16.5" customHeight="1">
      <c r="O38193" s="5" t="s">
        <v>355</v>
      </c>
      <c r="P38193" s="5" t="s">
        <v>355</v>
      </c>
      <c r="Q38193" s="5" t="s">
        <v>355</v>
      </c>
    </row>
    <row r="38194" ht="16.5" customHeight="1">
      <c r="O38194" s="5" t="s">
        <v>355</v>
      </c>
      <c r="P38194" s="5" t="s">
        <v>355</v>
      </c>
      <c r="Q38194" s="5" t="s">
        <v>355</v>
      </c>
    </row>
    <row r="38195" ht="16.5" customHeight="1">
      <c r="O38195" s="5" t="s">
        <v>355</v>
      </c>
      <c r="P38195" s="5" t="s">
        <v>355</v>
      </c>
      <c r="Q38195" s="5" t="s">
        <v>355</v>
      </c>
    </row>
    <row r="38196" ht="16.5" customHeight="1">
      <c r="O38196" s="5" t="s">
        <v>355</v>
      </c>
      <c r="P38196" s="5" t="s">
        <v>355</v>
      </c>
      <c r="Q38196" s="5" t="s">
        <v>355</v>
      </c>
    </row>
    <row r="38197" ht="16.5" customHeight="1">
      <c r="O38197" s="5" t="s">
        <v>355</v>
      </c>
      <c r="P38197" s="5" t="s">
        <v>355</v>
      </c>
      <c r="Q38197" s="5" t="s">
        <v>355</v>
      </c>
    </row>
    <row r="38198" ht="16.5" customHeight="1">
      <c r="O38198" s="5" t="s">
        <v>355</v>
      </c>
      <c r="P38198" s="5" t="s">
        <v>355</v>
      </c>
      <c r="Q38198" s="5" t="s">
        <v>355</v>
      </c>
    </row>
    <row r="38199" ht="16.5" customHeight="1">
      <c r="O38199" s="5" t="s">
        <v>355</v>
      </c>
      <c r="P38199" s="5" t="s">
        <v>355</v>
      </c>
      <c r="Q38199" s="5" t="s">
        <v>355</v>
      </c>
    </row>
    <row r="38200" ht="16.5" customHeight="1">
      <c r="O38200" s="5" t="s">
        <v>355</v>
      </c>
      <c r="P38200" s="5" t="s">
        <v>355</v>
      </c>
      <c r="Q38200" s="5" t="s">
        <v>355</v>
      </c>
    </row>
    <row r="38201" ht="16.5" customHeight="1">
      <c r="O38201" s="5" t="s">
        <v>355</v>
      </c>
      <c r="P38201" s="5" t="s">
        <v>355</v>
      </c>
      <c r="Q38201" s="5" t="s">
        <v>355</v>
      </c>
    </row>
    <row r="38202" ht="16.5" customHeight="1">
      <c r="O38202" s="5" t="s">
        <v>355</v>
      </c>
      <c r="P38202" s="5" t="s">
        <v>355</v>
      </c>
      <c r="Q38202" s="5" t="s">
        <v>355</v>
      </c>
    </row>
    <row r="38203" ht="16.5" customHeight="1">
      <c r="O38203" s="5" t="s">
        <v>355</v>
      </c>
      <c r="P38203" s="5" t="s">
        <v>355</v>
      </c>
      <c r="Q38203" s="5" t="s">
        <v>355</v>
      </c>
    </row>
    <row r="38204" ht="16.5" customHeight="1">
      <c r="O38204" s="5" t="s">
        <v>355</v>
      </c>
      <c r="P38204" s="5" t="s">
        <v>355</v>
      </c>
      <c r="Q38204" s="5" t="s">
        <v>355</v>
      </c>
    </row>
    <row r="38205" ht="16.5" customHeight="1">
      <c r="O38205" s="5" t="s">
        <v>355</v>
      </c>
      <c r="P38205" s="5" t="s">
        <v>355</v>
      </c>
      <c r="Q38205" s="5" t="s">
        <v>355</v>
      </c>
    </row>
    <row r="38206" ht="16.5" customHeight="1">
      <c r="O38206" s="5" t="s">
        <v>355</v>
      </c>
      <c r="P38206" s="5" t="s">
        <v>355</v>
      </c>
      <c r="Q38206" s="5" t="s">
        <v>355</v>
      </c>
    </row>
    <row r="38207" ht="16.5" customHeight="1">
      <c r="O38207" s="5" t="s">
        <v>355</v>
      </c>
      <c r="P38207" s="5" t="s">
        <v>355</v>
      </c>
      <c r="Q38207" s="5" t="s">
        <v>355</v>
      </c>
    </row>
    <row r="38208" ht="16.5" customHeight="1">
      <c r="O38208" s="5" t="s">
        <v>355</v>
      </c>
      <c r="P38208" s="5" t="s">
        <v>355</v>
      </c>
      <c r="Q38208" s="5" t="s">
        <v>355</v>
      </c>
    </row>
    <row r="38209" ht="16.5" customHeight="1">
      <c r="O38209" s="5" t="s">
        <v>355</v>
      </c>
      <c r="P38209" s="5" t="s">
        <v>355</v>
      </c>
      <c r="Q38209" s="5" t="s">
        <v>355</v>
      </c>
    </row>
    <row r="38210" ht="16.5" customHeight="1">
      <c r="O38210" s="5" t="s">
        <v>355</v>
      </c>
      <c r="P38210" s="5" t="s">
        <v>355</v>
      </c>
      <c r="Q38210" s="5" t="s">
        <v>355</v>
      </c>
    </row>
    <row r="38211" ht="16.5" customHeight="1">
      <c r="O38211" s="5" t="s">
        <v>355</v>
      </c>
      <c r="P38211" s="5" t="s">
        <v>355</v>
      </c>
      <c r="Q38211" s="5" t="s">
        <v>355</v>
      </c>
    </row>
    <row r="38212" ht="16.5" customHeight="1">
      <c r="O38212" s="5" t="s">
        <v>355</v>
      </c>
      <c r="P38212" s="5" t="s">
        <v>355</v>
      </c>
      <c r="Q38212" s="5" t="s">
        <v>355</v>
      </c>
    </row>
    <row r="38213" ht="16.5" customHeight="1">
      <c r="O38213" s="5" t="s">
        <v>355</v>
      </c>
      <c r="P38213" s="5" t="s">
        <v>355</v>
      </c>
      <c r="Q38213" s="5" t="s">
        <v>355</v>
      </c>
    </row>
    <row r="38214" ht="16.5" customHeight="1">
      <c r="O38214" s="5" t="s">
        <v>355</v>
      </c>
      <c r="P38214" s="5" t="s">
        <v>355</v>
      </c>
      <c r="Q38214" s="5" t="s">
        <v>355</v>
      </c>
    </row>
    <row r="38215" ht="16.5" customHeight="1">
      <c r="O38215" s="5" t="s">
        <v>355</v>
      </c>
      <c r="P38215" s="5" t="s">
        <v>355</v>
      </c>
      <c r="Q38215" s="5" t="s">
        <v>355</v>
      </c>
    </row>
    <row r="38216" ht="16.5" customHeight="1">
      <c r="O38216" s="5" t="s">
        <v>355</v>
      </c>
      <c r="P38216" s="5" t="s">
        <v>355</v>
      </c>
      <c r="Q38216" s="5" t="s">
        <v>355</v>
      </c>
    </row>
    <row r="38217" ht="16.5" customHeight="1">
      <c r="O38217" s="5" t="s">
        <v>355</v>
      </c>
      <c r="P38217" s="5" t="s">
        <v>355</v>
      </c>
      <c r="Q38217" s="5" t="s">
        <v>355</v>
      </c>
    </row>
    <row r="38218" ht="16.5" customHeight="1">
      <c r="O38218" s="5" t="s">
        <v>355</v>
      </c>
      <c r="P38218" s="5" t="s">
        <v>355</v>
      </c>
      <c r="Q38218" s="5" t="s">
        <v>355</v>
      </c>
    </row>
    <row r="38219" ht="16.5" customHeight="1">
      <c r="O38219" s="5" t="s">
        <v>355</v>
      </c>
      <c r="P38219" s="5" t="s">
        <v>355</v>
      </c>
      <c r="Q38219" s="5" t="s">
        <v>355</v>
      </c>
    </row>
    <row r="38220" ht="16.5" customHeight="1">
      <c r="O38220" s="5" t="s">
        <v>355</v>
      </c>
      <c r="P38220" s="5" t="s">
        <v>355</v>
      </c>
      <c r="Q38220" s="5" t="s">
        <v>355</v>
      </c>
    </row>
    <row r="38221" ht="16.5" customHeight="1">
      <c r="O38221" s="5" t="s">
        <v>355</v>
      </c>
      <c r="P38221" s="5" t="s">
        <v>355</v>
      </c>
      <c r="Q38221" s="5" t="s">
        <v>355</v>
      </c>
    </row>
    <row r="38222" ht="16.5" customHeight="1">
      <c r="O38222" s="5" t="s">
        <v>355</v>
      </c>
      <c r="P38222" s="5" t="s">
        <v>355</v>
      </c>
      <c r="Q38222" s="5" t="s">
        <v>355</v>
      </c>
    </row>
    <row r="38223" ht="16.5" customHeight="1">
      <c r="O38223" s="5" t="s">
        <v>355</v>
      </c>
      <c r="P38223" s="5" t="s">
        <v>355</v>
      </c>
      <c r="Q38223" s="5" t="s">
        <v>355</v>
      </c>
    </row>
    <row r="38224" ht="16.5" customHeight="1">
      <c r="O38224" s="5" t="s">
        <v>355</v>
      </c>
      <c r="P38224" s="5" t="s">
        <v>355</v>
      </c>
      <c r="Q38224" s="5" t="s">
        <v>355</v>
      </c>
    </row>
    <row r="38225" ht="16.5" customHeight="1">
      <c r="O38225" s="5" t="s">
        <v>355</v>
      </c>
      <c r="P38225" s="5" t="s">
        <v>355</v>
      </c>
      <c r="Q38225" s="5" t="s">
        <v>355</v>
      </c>
    </row>
    <row r="38226" ht="16.5" customHeight="1">
      <c r="O38226" s="5" t="s">
        <v>355</v>
      </c>
      <c r="P38226" s="5" t="s">
        <v>355</v>
      </c>
      <c r="Q38226" s="5" t="s">
        <v>355</v>
      </c>
    </row>
    <row r="38227" ht="16.5" customHeight="1">
      <c r="O38227" s="5" t="s">
        <v>355</v>
      </c>
      <c r="P38227" s="5" t="s">
        <v>355</v>
      </c>
      <c r="Q38227" s="5" t="s">
        <v>355</v>
      </c>
    </row>
    <row r="38228" ht="16.5" customHeight="1">
      <c r="O38228" s="5" t="s">
        <v>355</v>
      </c>
      <c r="P38228" s="5" t="s">
        <v>355</v>
      </c>
      <c r="Q38228" s="5" t="s">
        <v>355</v>
      </c>
    </row>
    <row r="38229" ht="16.5" customHeight="1">
      <c r="O38229" s="5" t="s">
        <v>355</v>
      </c>
      <c r="P38229" s="5" t="s">
        <v>355</v>
      </c>
      <c r="Q38229" s="5" t="s">
        <v>355</v>
      </c>
    </row>
    <row r="38230" ht="16.5" customHeight="1">
      <c r="O38230" s="5" t="s">
        <v>355</v>
      </c>
      <c r="P38230" s="5" t="s">
        <v>355</v>
      </c>
      <c r="Q38230" s="5" t="s">
        <v>355</v>
      </c>
    </row>
    <row r="38231" ht="16.5" customHeight="1">
      <c r="O38231" s="5" t="s">
        <v>355</v>
      </c>
      <c r="P38231" s="5" t="s">
        <v>355</v>
      </c>
      <c r="Q38231" s="5" t="s">
        <v>355</v>
      </c>
    </row>
    <row r="38232" ht="16.5" customHeight="1">
      <c r="O38232" s="5" t="s">
        <v>355</v>
      </c>
      <c r="P38232" s="5" t="s">
        <v>355</v>
      </c>
      <c r="Q38232" s="5" t="s">
        <v>355</v>
      </c>
    </row>
    <row r="38233" ht="16.5" customHeight="1">
      <c r="O38233" s="5" t="s">
        <v>355</v>
      </c>
      <c r="P38233" s="5" t="s">
        <v>355</v>
      </c>
      <c r="Q38233" s="5" t="s">
        <v>355</v>
      </c>
    </row>
    <row r="38234" ht="16.5" customHeight="1">
      <c r="O38234" s="5" t="s">
        <v>355</v>
      </c>
      <c r="P38234" s="5" t="s">
        <v>355</v>
      </c>
      <c r="Q38234" s="5" t="s">
        <v>355</v>
      </c>
    </row>
    <row r="38235" ht="16.5" customHeight="1">
      <c r="O38235" s="5" t="s">
        <v>355</v>
      </c>
      <c r="P38235" s="5" t="s">
        <v>355</v>
      </c>
      <c r="Q38235" s="5" t="s">
        <v>355</v>
      </c>
    </row>
    <row r="38236" ht="16.5" customHeight="1">
      <c r="O38236" s="5" t="s">
        <v>355</v>
      </c>
      <c r="P38236" s="5" t="s">
        <v>355</v>
      </c>
      <c r="Q38236" s="5" t="s">
        <v>355</v>
      </c>
    </row>
    <row r="38237" ht="16.5" customHeight="1">
      <c r="O38237" s="5" t="s">
        <v>355</v>
      </c>
      <c r="P38237" s="5" t="s">
        <v>355</v>
      </c>
      <c r="Q38237" s="5" t="s">
        <v>355</v>
      </c>
    </row>
    <row r="38238" ht="16.5" customHeight="1">
      <c r="O38238" s="5" t="s">
        <v>355</v>
      </c>
      <c r="P38238" s="5" t="s">
        <v>355</v>
      </c>
      <c r="Q38238" s="5" t="s">
        <v>355</v>
      </c>
    </row>
    <row r="38239" ht="16.5" customHeight="1">
      <c r="O38239" s="5" t="s">
        <v>355</v>
      </c>
      <c r="P38239" s="5" t="s">
        <v>355</v>
      </c>
      <c r="Q38239" s="5" t="s">
        <v>355</v>
      </c>
    </row>
    <row r="38240" ht="16.5" customHeight="1">
      <c r="O38240" s="5" t="s">
        <v>355</v>
      </c>
      <c r="P38240" s="5" t="s">
        <v>355</v>
      </c>
      <c r="Q38240" s="5" t="s">
        <v>355</v>
      </c>
    </row>
    <row r="38241" ht="16.5" customHeight="1">
      <c r="O38241" s="5" t="s">
        <v>355</v>
      </c>
      <c r="P38241" s="5" t="s">
        <v>355</v>
      </c>
      <c r="Q38241" s="5" t="s">
        <v>355</v>
      </c>
    </row>
    <row r="38242" ht="16.5" customHeight="1">
      <c r="O38242" s="5" t="s">
        <v>355</v>
      </c>
      <c r="P38242" s="5" t="s">
        <v>355</v>
      </c>
      <c r="Q38242" s="5" t="s">
        <v>355</v>
      </c>
    </row>
    <row r="38243" ht="16.5" customHeight="1">
      <c r="O38243" s="5" t="s">
        <v>355</v>
      </c>
      <c r="P38243" s="5" t="s">
        <v>355</v>
      </c>
      <c r="Q38243" s="5" t="s">
        <v>355</v>
      </c>
    </row>
    <row r="38244" ht="16.5" customHeight="1">
      <c r="O38244" s="5" t="s">
        <v>355</v>
      </c>
      <c r="P38244" s="5" t="s">
        <v>355</v>
      </c>
      <c r="Q38244" s="5" t="s">
        <v>355</v>
      </c>
    </row>
    <row r="38245" ht="16.5" customHeight="1">
      <c r="O38245" s="5" t="s">
        <v>355</v>
      </c>
      <c r="P38245" s="5" t="s">
        <v>355</v>
      </c>
      <c r="Q38245" s="5" t="s">
        <v>355</v>
      </c>
    </row>
    <row r="38246" ht="16.5" customHeight="1">
      <c r="O38246" s="5" t="s">
        <v>355</v>
      </c>
      <c r="P38246" s="5" t="s">
        <v>355</v>
      </c>
      <c r="Q38246" s="5" t="s">
        <v>355</v>
      </c>
    </row>
    <row r="38247" ht="16.5" customHeight="1">
      <c r="O38247" s="5" t="s">
        <v>355</v>
      </c>
      <c r="P38247" s="5" t="s">
        <v>355</v>
      </c>
      <c r="Q38247" s="5" t="s">
        <v>355</v>
      </c>
    </row>
    <row r="38248" ht="16.5" customHeight="1">
      <c r="O38248" s="5" t="s">
        <v>355</v>
      </c>
      <c r="P38248" s="5" t="s">
        <v>355</v>
      </c>
      <c r="Q38248" s="5" t="s">
        <v>355</v>
      </c>
    </row>
    <row r="38249" ht="16.5" customHeight="1">
      <c r="O38249" s="5" t="s">
        <v>355</v>
      </c>
      <c r="P38249" s="5" t="s">
        <v>355</v>
      </c>
      <c r="Q38249" s="5" t="s">
        <v>355</v>
      </c>
    </row>
    <row r="38250" ht="16.5" customHeight="1">
      <c r="O38250" s="5" t="s">
        <v>355</v>
      </c>
      <c r="P38250" s="5" t="s">
        <v>355</v>
      </c>
      <c r="Q38250" s="5" t="s">
        <v>355</v>
      </c>
    </row>
    <row r="38251" ht="16.5" customHeight="1">
      <c r="O38251" s="5" t="s">
        <v>355</v>
      </c>
      <c r="P38251" s="5" t="s">
        <v>355</v>
      </c>
      <c r="Q38251" s="5" t="s">
        <v>355</v>
      </c>
    </row>
    <row r="38252" ht="16.5" customHeight="1">
      <c r="O38252" s="5" t="s">
        <v>355</v>
      </c>
      <c r="P38252" s="5" t="s">
        <v>355</v>
      </c>
      <c r="Q38252" s="5" t="s">
        <v>355</v>
      </c>
    </row>
    <row r="38253" ht="16.5" customHeight="1">
      <c r="O38253" s="5" t="s">
        <v>355</v>
      </c>
      <c r="P38253" s="5" t="s">
        <v>355</v>
      </c>
      <c r="Q38253" s="5" t="s">
        <v>355</v>
      </c>
    </row>
    <row r="38254" ht="16.5" customHeight="1">
      <c r="O38254" s="5" t="s">
        <v>355</v>
      </c>
      <c r="P38254" s="5" t="s">
        <v>355</v>
      </c>
      <c r="Q38254" s="5" t="s">
        <v>355</v>
      </c>
    </row>
    <row r="38255" ht="16.5" customHeight="1">
      <c r="O38255" s="5" t="s">
        <v>355</v>
      </c>
      <c r="P38255" s="5" t="s">
        <v>355</v>
      </c>
      <c r="Q38255" s="5" t="s">
        <v>355</v>
      </c>
    </row>
    <row r="38256" ht="16.5" customHeight="1">
      <c r="O38256" s="5" t="s">
        <v>355</v>
      </c>
      <c r="P38256" s="5" t="s">
        <v>355</v>
      </c>
      <c r="Q38256" s="5" t="s">
        <v>355</v>
      </c>
    </row>
    <row r="38257" ht="16.5" customHeight="1">
      <c r="O38257" s="5" t="s">
        <v>355</v>
      </c>
      <c r="P38257" s="5" t="s">
        <v>355</v>
      </c>
      <c r="Q38257" s="5" t="s">
        <v>355</v>
      </c>
    </row>
    <row r="38258" ht="16.5" customHeight="1">
      <c r="O38258" s="5" t="s">
        <v>355</v>
      </c>
      <c r="P38258" s="5" t="s">
        <v>355</v>
      </c>
      <c r="Q38258" s="5" t="s">
        <v>355</v>
      </c>
    </row>
    <row r="38259" ht="16.5" customHeight="1">
      <c r="O38259" s="5" t="s">
        <v>355</v>
      </c>
      <c r="P38259" s="5" t="s">
        <v>355</v>
      </c>
      <c r="Q38259" s="5" t="s">
        <v>355</v>
      </c>
    </row>
    <row r="38260" ht="16.5" customHeight="1">
      <c r="O38260" s="5" t="s">
        <v>355</v>
      </c>
      <c r="P38260" s="5" t="s">
        <v>355</v>
      </c>
      <c r="Q38260" s="5" t="s">
        <v>355</v>
      </c>
    </row>
    <row r="38261" ht="16.5" customHeight="1">
      <c r="O38261" s="5" t="s">
        <v>355</v>
      </c>
      <c r="P38261" s="5" t="s">
        <v>355</v>
      </c>
      <c r="Q38261" s="5" t="s">
        <v>355</v>
      </c>
    </row>
    <row r="38262" ht="16.5" customHeight="1">
      <c r="O38262" s="5" t="s">
        <v>355</v>
      </c>
      <c r="P38262" s="5" t="s">
        <v>355</v>
      </c>
      <c r="Q38262" s="5" t="s">
        <v>355</v>
      </c>
    </row>
    <row r="38263" ht="16.5" customHeight="1">
      <c r="O38263" s="5" t="s">
        <v>355</v>
      </c>
      <c r="P38263" s="5" t="s">
        <v>355</v>
      </c>
      <c r="Q38263" s="5" t="s">
        <v>355</v>
      </c>
    </row>
    <row r="38264" ht="16.5" customHeight="1">
      <c r="O38264" s="5" t="s">
        <v>355</v>
      </c>
      <c r="P38264" s="5" t="s">
        <v>355</v>
      </c>
      <c r="Q38264" s="5" t="s">
        <v>355</v>
      </c>
    </row>
    <row r="38265" ht="16.5" customHeight="1">
      <c r="O38265" s="5" t="s">
        <v>355</v>
      </c>
      <c r="P38265" s="5" t="s">
        <v>355</v>
      </c>
      <c r="Q38265" s="5" t="s">
        <v>355</v>
      </c>
    </row>
    <row r="38266" ht="16.5" customHeight="1">
      <c r="O38266" s="5" t="s">
        <v>355</v>
      </c>
      <c r="P38266" s="5" t="s">
        <v>355</v>
      </c>
      <c r="Q38266" s="5" t="s">
        <v>355</v>
      </c>
    </row>
    <row r="38267" ht="16.5" customHeight="1">
      <c r="O38267" s="5" t="s">
        <v>355</v>
      </c>
      <c r="P38267" s="5" t="s">
        <v>355</v>
      </c>
      <c r="Q38267" s="5" t="s">
        <v>355</v>
      </c>
    </row>
    <row r="38268" ht="16.5" customHeight="1">
      <c r="O38268" s="5" t="s">
        <v>355</v>
      </c>
      <c r="P38268" s="5" t="s">
        <v>355</v>
      </c>
      <c r="Q38268" s="5" t="s">
        <v>355</v>
      </c>
    </row>
    <row r="38269" ht="16.5" customHeight="1">
      <c r="O38269" s="5" t="s">
        <v>355</v>
      </c>
      <c r="P38269" s="5" t="s">
        <v>355</v>
      </c>
      <c r="Q38269" s="5" t="s">
        <v>355</v>
      </c>
    </row>
    <row r="38270" ht="16.5" customHeight="1">
      <c r="O38270" s="5" t="s">
        <v>355</v>
      </c>
      <c r="P38270" s="5" t="s">
        <v>355</v>
      </c>
      <c r="Q38270" s="5" t="s">
        <v>355</v>
      </c>
    </row>
    <row r="38271" ht="16.5" customHeight="1">
      <c r="O38271" s="5" t="s">
        <v>355</v>
      </c>
      <c r="P38271" s="5" t="s">
        <v>355</v>
      </c>
      <c r="Q38271" s="5" t="s">
        <v>355</v>
      </c>
    </row>
    <row r="38272" ht="16.5" customHeight="1">
      <c r="O38272" s="5" t="s">
        <v>355</v>
      </c>
      <c r="P38272" s="5" t="s">
        <v>355</v>
      </c>
      <c r="Q38272" s="5" t="s">
        <v>355</v>
      </c>
    </row>
    <row r="38273" ht="16.5" customHeight="1">
      <c r="O38273" s="5" t="s">
        <v>355</v>
      </c>
      <c r="P38273" s="5" t="s">
        <v>355</v>
      </c>
      <c r="Q38273" s="5" t="s">
        <v>355</v>
      </c>
    </row>
    <row r="38274" ht="16.5" customHeight="1">
      <c r="O38274" s="5" t="s">
        <v>355</v>
      </c>
      <c r="P38274" s="5" t="s">
        <v>355</v>
      </c>
      <c r="Q38274" s="5" t="s">
        <v>355</v>
      </c>
    </row>
    <row r="38275" ht="16.5" customHeight="1">
      <c r="O38275" s="5" t="s">
        <v>355</v>
      </c>
      <c r="P38275" s="5" t="s">
        <v>355</v>
      </c>
      <c r="Q38275" s="5" t="s">
        <v>355</v>
      </c>
    </row>
    <row r="38276" ht="16.5" customHeight="1">
      <c r="O38276" s="5" t="s">
        <v>355</v>
      </c>
      <c r="P38276" s="5" t="s">
        <v>355</v>
      </c>
      <c r="Q38276" s="5" t="s">
        <v>355</v>
      </c>
    </row>
    <row r="38277" ht="16.5" customHeight="1">
      <c r="O38277" s="5" t="s">
        <v>355</v>
      </c>
      <c r="P38277" s="5" t="s">
        <v>355</v>
      </c>
      <c r="Q38277" s="5" t="s">
        <v>355</v>
      </c>
    </row>
    <row r="38278" ht="16.5" customHeight="1">
      <c r="O38278" s="5" t="s">
        <v>355</v>
      </c>
      <c r="P38278" s="5" t="s">
        <v>355</v>
      </c>
      <c r="Q38278" s="5" t="s">
        <v>355</v>
      </c>
    </row>
    <row r="38279" ht="16.5" customHeight="1">
      <c r="O38279" s="5" t="s">
        <v>355</v>
      </c>
      <c r="P38279" s="5" t="s">
        <v>355</v>
      </c>
      <c r="Q38279" s="5" t="s">
        <v>355</v>
      </c>
    </row>
    <row r="38280" ht="16.5" customHeight="1">
      <c r="O38280" s="5" t="s">
        <v>355</v>
      </c>
      <c r="P38280" s="5" t="s">
        <v>355</v>
      </c>
      <c r="Q38280" s="5" t="s">
        <v>355</v>
      </c>
    </row>
    <row r="38281" ht="16.5" customHeight="1">
      <c r="O38281" s="5" t="s">
        <v>355</v>
      </c>
      <c r="P38281" s="5" t="s">
        <v>355</v>
      </c>
      <c r="Q38281" s="5" t="s">
        <v>355</v>
      </c>
    </row>
    <row r="38282" ht="16.5" customHeight="1">
      <c r="O38282" s="5" t="s">
        <v>355</v>
      </c>
      <c r="P38282" s="5" t="s">
        <v>355</v>
      </c>
      <c r="Q38282" s="5" t="s">
        <v>355</v>
      </c>
    </row>
    <row r="38283" ht="16.5" customHeight="1">
      <c r="O38283" s="5" t="s">
        <v>355</v>
      </c>
      <c r="P38283" s="5" t="s">
        <v>355</v>
      </c>
      <c r="Q38283" s="5" t="s">
        <v>355</v>
      </c>
    </row>
    <row r="38284" ht="16.5" customHeight="1">
      <c r="O38284" s="5" t="s">
        <v>355</v>
      </c>
      <c r="P38284" s="5" t="s">
        <v>355</v>
      </c>
      <c r="Q38284" s="5" t="s">
        <v>355</v>
      </c>
    </row>
    <row r="38285" ht="16.5" customHeight="1">
      <c r="O38285" s="5" t="s">
        <v>355</v>
      </c>
      <c r="P38285" s="5" t="s">
        <v>355</v>
      </c>
      <c r="Q38285" s="5" t="s">
        <v>355</v>
      </c>
    </row>
    <row r="38286" ht="16.5" customHeight="1">
      <c r="O38286" s="5" t="s">
        <v>355</v>
      </c>
      <c r="P38286" s="5" t="s">
        <v>355</v>
      </c>
      <c r="Q38286" s="5" t="s">
        <v>355</v>
      </c>
    </row>
    <row r="38287" ht="16.5" customHeight="1">
      <c r="O38287" s="5" t="s">
        <v>355</v>
      </c>
      <c r="P38287" s="5" t="s">
        <v>355</v>
      </c>
      <c r="Q38287" s="5" t="s">
        <v>355</v>
      </c>
    </row>
    <row r="38288" ht="16.5" customHeight="1">
      <c r="O38288" s="5" t="s">
        <v>355</v>
      </c>
      <c r="P38288" s="5" t="s">
        <v>355</v>
      </c>
      <c r="Q38288" s="5" t="s">
        <v>355</v>
      </c>
    </row>
    <row r="38289" ht="16.5" customHeight="1">
      <c r="O38289" s="5" t="s">
        <v>355</v>
      </c>
      <c r="P38289" s="5" t="s">
        <v>355</v>
      </c>
      <c r="Q38289" s="5" t="s">
        <v>355</v>
      </c>
    </row>
    <row r="38290" ht="16.5" customHeight="1">
      <c r="O38290" s="5" t="s">
        <v>355</v>
      </c>
      <c r="P38290" s="5" t="s">
        <v>355</v>
      </c>
      <c r="Q38290" s="5" t="s">
        <v>355</v>
      </c>
    </row>
    <row r="38291" ht="16.5" customHeight="1">
      <c r="O38291" s="5" t="s">
        <v>355</v>
      </c>
      <c r="P38291" s="5" t="s">
        <v>355</v>
      </c>
      <c r="Q38291" s="5" t="s">
        <v>355</v>
      </c>
    </row>
    <row r="38292" ht="16.5" customHeight="1">
      <c r="O38292" s="5" t="s">
        <v>355</v>
      </c>
      <c r="P38292" s="5" t="s">
        <v>355</v>
      </c>
      <c r="Q38292" s="5" t="s">
        <v>355</v>
      </c>
    </row>
    <row r="38293" ht="16.5" customHeight="1">
      <c r="O38293" s="5" t="s">
        <v>355</v>
      </c>
      <c r="P38293" s="5" t="s">
        <v>355</v>
      </c>
      <c r="Q38293" s="5" t="s">
        <v>355</v>
      </c>
    </row>
    <row r="38294" ht="16.5" customHeight="1">
      <c r="O38294" s="5" t="s">
        <v>355</v>
      </c>
      <c r="P38294" s="5" t="s">
        <v>355</v>
      </c>
      <c r="Q38294" s="5" t="s">
        <v>355</v>
      </c>
    </row>
    <row r="38295" ht="16.5" customHeight="1">
      <c r="O38295" s="5" t="s">
        <v>355</v>
      </c>
      <c r="P38295" s="5" t="s">
        <v>355</v>
      </c>
      <c r="Q38295" s="5" t="s">
        <v>355</v>
      </c>
    </row>
    <row r="38296" ht="16.5" customHeight="1">
      <c r="O38296" s="5" t="s">
        <v>355</v>
      </c>
      <c r="P38296" s="5" t="s">
        <v>355</v>
      </c>
      <c r="Q38296" s="5" t="s">
        <v>355</v>
      </c>
    </row>
    <row r="38297" ht="16.5" customHeight="1">
      <c r="O38297" s="5" t="s">
        <v>355</v>
      </c>
      <c r="P38297" s="5" t="s">
        <v>355</v>
      </c>
      <c r="Q38297" s="5" t="s">
        <v>355</v>
      </c>
    </row>
    <row r="38298" ht="16.5" customHeight="1">
      <c r="O38298" s="5" t="s">
        <v>355</v>
      </c>
      <c r="P38298" s="5" t="s">
        <v>355</v>
      </c>
      <c r="Q38298" s="5" t="s">
        <v>355</v>
      </c>
    </row>
    <row r="38299" ht="16.5" customHeight="1">
      <c r="O38299" s="5" t="s">
        <v>355</v>
      </c>
      <c r="P38299" s="5" t="s">
        <v>355</v>
      </c>
      <c r="Q38299" s="5" t="s">
        <v>355</v>
      </c>
    </row>
    <row r="38300" ht="16.5" customHeight="1">
      <c r="O38300" s="5" t="s">
        <v>355</v>
      </c>
      <c r="P38300" s="5" t="s">
        <v>355</v>
      </c>
      <c r="Q38300" s="5" t="s">
        <v>355</v>
      </c>
    </row>
    <row r="38301" ht="16.5" customHeight="1">
      <c r="O38301" s="5" t="s">
        <v>355</v>
      </c>
      <c r="P38301" s="5" t="s">
        <v>355</v>
      </c>
      <c r="Q38301" s="5" t="s">
        <v>355</v>
      </c>
    </row>
    <row r="38302" ht="16.5" customHeight="1">
      <c r="O38302" s="5" t="s">
        <v>355</v>
      </c>
      <c r="P38302" s="5" t="s">
        <v>355</v>
      </c>
      <c r="Q38302" s="5" t="s">
        <v>355</v>
      </c>
    </row>
    <row r="38303" ht="16.5" customHeight="1">
      <c r="O38303" s="5" t="s">
        <v>355</v>
      </c>
      <c r="P38303" s="5" t="s">
        <v>355</v>
      </c>
      <c r="Q38303" s="5" t="s">
        <v>355</v>
      </c>
    </row>
    <row r="38304" ht="16.5" customHeight="1">
      <c r="O38304" s="5" t="s">
        <v>355</v>
      </c>
      <c r="P38304" s="5" t="s">
        <v>355</v>
      </c>
      <c r="Q38304" s="5" t="s">
        <v>355</v>
      </c>
    </row>
    <row r="38305" ht="16.5" customHeight="1">
      <c r="O38305" s="5" t="s">
        <v>355</v>
      </c>
      <c r="P38305" s="5" t="s">
        <v>355</v>
      </c>
      <c r="Q38305" s="5" t="s">
        <v>355</v>
      </c>
    </row>
    <row r="38306" ht="16.5" customHeight="1">
      <c r="O38306" s="5" t="s">
        <v>355</v>
      </c>
      <c r="P38306" s="5" t="s">
        <v>355</v>
      </c>
      <c r="Q38306" s="5" t="s">
        <v>355</v>
      </c>
    </row>
    <row r="38307" ht="16.5" customHeight="1">
      <c r="O38307" s="5" t="s">
        <v>355</v>
      </c>
      <c r="P38307" s="5" t="s">
        <v>355</v>
      </c>
      <c r="Q38307" s="5" t="s">
        <v>355</v>
      </c>
    </row>
    <row r="38308" ht="16.5" customHeight="1">
      <c r="O38308" s="5" t="s">
        <v>355</v>
      </c>
      <c r="P38308" s="5" t="s">
        <v>355</v>
      </c>
      <c r="Q38308" s="5" t="s">
        <v>355</v>
      </c>
    </row>
    <row r="38309" ht="16.5" customHeight="1">
      <c r="O38309" s="5" t="s">
        <v>355</v>
      </c>
      <c r="P38309" s="5" t="s">
        <v>355</v>
      </c>
      <c r="Q38309" s="5" t="s">
        <v>355</v>
      </c>
    </row>
    <row r="38310" ht="16.5" customHeight="1">
      <c r="O38310" s="5" t="s">
        <v>355</v>
      </c>
      <c r="P38310" s="5" t="s">
        <v>355</v>
      </c>
      <c r="Q38310" s="5" t="s">
        <v>355</v>
      </c>
    </row>
    <row r="38311" ht="16.5" customHeight="1">
      <c r="O38311" s="5" t="s">
        <v>355</v>
      </c>
      <c r="P38311" s="5" t="s">
        <v>355</v>
      </c>
      <c r="Q38311" s="5" t="s">
        <v>355</v>
      </c>
    </row>
    <row r="38312" ht="16.5" customHeight="1">
      <c r="O38312" s="5" t="s">
        <v>355</v>
      </c>
      <c r="P38312" s="5" t="s">
        <v>355</v>
      </c>
      <c r="Q38312" s="5" t="s">
        <v>355</v>
      </c>
    </row>
    <row r="38313" ht="16.5" customHeight="1">
      <c r="O38313" s="5" t="s">
        <v>355</v>
      </c>
      <c r="P38313" s="5" t="s">
        <v>355</v>
      </c>
      <c r="Q38313" s="5" t="s">
        <v>355</v>
      </c>
    </row>
    <row r="38314" ht="16.5" customHeight="1">
      <c r="O38314" s="5" t="s">
        <v>355</v>
      </c>
      <c r="P38314" s="5" t="s">
        <v>355</v>
      </c>
      <c r="Q38314" s="5" t="s">
        <v>355</v>
      </c>
    </row>
    <row r="38315" ht="16.5" customHeight="1">
      <c r="O38315" s="5" t="s">
        <v>355</v>
      </c>
      <c r="P38315" s="5" t="s">
        <v>355</v>
      </c>
      <c r="Q38315" s="5" t="s">
        <v>355</v>
      </c>
    </row>
    <row r="38316" ht="16.5" customHeight="1">
      <c r="O38316" s="5" t="s">
        <v>355</v>
      </c>
      <c r="P38316" s="5" t="s">
        <v>355</v>
      </c>
      <c r="Q38316" s="5" t="s">
        <v>355</v>
      </c>
    </row>
    <row r="38317" ht="16.5" customHeight="1">
      <c r="O38317" s="5" t="s">
        <v>355</v>
      </c>
      <c r="P38317" s="5" t="s">
        <v>355</v>
      </c>
      <c r="Q38317" s="5" t="s">
        <v>355</v>
      </c>
    </row>
    <row r="38318" ht="16.5" customHeight="1">
      <c r="O38318" s="5" t="s">
        <v>355</v>
      </c>
      <c r="P38318" s="5" t="s">
        <v>355</v>
      </c>
      <c r="Q38318" s="5" t="s">
        <v>355</v>
      </c>
    </row>
    <row r="38319" ht="16.5" customHeight="1">
      <c r="O38319" s="5" t="s">
        <v>355</v>
      </c>
      <c r="P38319" s="5" t="s">
        <v>355</v>
      </c>
      <c r="Q38319" s="5" t="s">
        <v>355</v>
      </c>
    </row>
    <row r="38320" ht="16.5" customHeight="1">
      <c r="O38320" s="5" t="s">
        <v>355</v>
      </c>
      <c r="P38320" s="5" t="s">
        <v>355</v>
      </c>
      <c r="Q38320" s="5" t="s">
        <v>355</v>
      </c>
    </row>
    <row r="38321" ht="16.5" customHeight="1">
      <c r="O38321" s="5" t="s">
        <v>355</v>
      </c>
      <c r="P38321" s="5" t="s">
        <v>355</v>
      </c>
      <c r="Q38321" s="5" t="s">
        <v>355</v>
      </c>
    </row>
    <row r="38322" ht="16.5" customHeight="1">
      <c r="O38322" s="5" t="s">
        <v>355</v>
      </c>
      <c r="P38322" s="5" t="s">
        <v>355</v>
      </c>
      <c r="Q38322" s="5" t="s">
        <v>355</v>
      </c>
    </row>
    <row r="38323" ht="16.5" customHeight="1">
      <c r="O38323" s="5" t="s">
        <v>355</v>
      </c>
      <c r="P38323" s="5" t="s">
        <v>355</v>
      </c>
      <c r="Q38323" s="5" t="s">
        <v>355</v>
      </c>
    </row>
    <row r="38324" ht="16.5" customHeight="1">
      <c r="O38324" s="5" t="s">
        <v>355</v>
      </c>
      <c r="P38324" s="5" t="s">
        <v>355</v>
      </c>
      <c r="Q38324" s="5" t="s">
        <v>355</v>
      </c>
    </row>
    <row r="38325" ht="16.5" customHeight="1">
      <c r="O38325" s="5" t="s">
        <v>355</v>
      </c>
      <c r="P38325" s="5" t="s">
        <v>355</v>
      </c>
      <c r="Q38325" s="5" t="s">
        <v>355</v>
      </c>
    </row>
    <row r="38326" ht="16.5" customHeight="1">
      <c r="O38326" s="5" t="s">
        <v>355</v>
      </c>
      <c r="P38326" s="5" t="s">
        <v>355</v>
      </c>
      <c r="Q38326" s="5" t="s">
        <v>355</v>
      </c>
    </row>
    <row r="38327" ht="16.5" customHeight="1">
      <c r="O38327" s="5" t="s">
        <v>355</v>
      </c>
      <c r="P38327" s="5" t="s">
        <v>355</v>
      </c>
      <c r="Q38327" s="5" t="s">
        <v>355</v>
      </c>
    </row>
    <row r="38328" ht="16.5" customHeight="1">
      <c r="O38328" s="5" t="s">
        <v>355</v>
      </c>
      <c r="P38328" s="5" t="s">
        <v>355</v>
      </c>
      <c r="Q38328" s="5" t="s">
        <v>355</v>
      </c>
    </row>
    <row r="38329" ht="16.5" customHeight="1">
      <c r="O38329" s="5" t="s">
        <v>355</v>
      </c>
      <c r="P38329" s="5" t="s">
        <v>355</v>
      </c>
      <c r="Q38329" s="5" t="s">
        <v>355</v>
      </c>
    </row>
    <row r="38330" ht="16.5" customHeight="1">
      <c r="O38330" s="5" t="s">
        <v>355</v>
      </c>
      <c r="P38330" s="5" t="s">
        <v>355</v>
      </c>
      <c r="Q38330" s="5" t="s">
        <v>355</v>
      </c>
    </row>
    <row r="38331" ht="16.5" customHeight="1">
      <c r="O38331" s="5" t="s">
        <v>355</v>
      </c>
      <c r="P38331" s="5" t="s">
        <v>355</v>
      </c>
      <c r="Q38331" s="5" t="s">
        <v>355</v>
      </c>
    </row>
    <row r="38332" ht="16.5" customHeight="1">
      <c r="O38332" s="5" t="s">
        <v>355</v>
      </c>
      <c r="P38332" s="5" t="s">
        <v>355</v>
      </c>
      <c r="Q38332" s="5" t="s">
        <v>355</v>
      </c>
    </row>
    <row r="38333" ht="16.5" customHeight="1">
      <c r="O38333" s="5" t="s">
        <v>355</v>
      </c>
      <c r="P38333" s="5" t="s">
        <v>355</v>
      </c>
      <c r="Q38333" s="5" t="s">
        <v>355</v>
      </c>
    </row>
    <row r="38334" ht="16.5" customHeight="1">
      <c r="O38334" s="5" t="s">
        <v>355</v>
      </c>
      <c r="P38334" s="5" t="s">
        <v>355</v>
      </c>
      <c r="Q38334" s="5" t="s">
        <v>355</v>
      </c>
    </row>
    <row r="38335" ht="16.5" customHeight="1">
      <c r="O38335" s="5" t="s">
        <v>355</v>
      </c>
      <c r="P38335" s="5" t="s">
        <v>355</v>
      </c>
      <c r="Q38335" s="5" t="s">
        <v>355</v>
      </c>
    </row>
    <row r="38336" ht="16.5" customHeight="1">
      <c r="O38336" s="5" t="s">
        <v>355</v>
      </c>
      <c r="P38336" s="5" t="s">
        <v>355</v>
      </c>
      <c r="Q38336" s="5" t="s">
        <v>355</v>
      </c>
    </row>
    <row r="38337" ht="16.5" customHeight="1">
      <c r="O38337" s="5" t="s">
        <v>355</v>
      </c>
      <c r="P38337" s="5" t="s">
        <v>355</v>
      </c>
      <c r="Q38337" s="5" t="s">
        <v>355</v>
      </c>
    </row>
    <row r="38338" ht="16.5" customHeight="1">
      <c r="O38338" s="5" t="s">
        <v>355</v>
      </c>
      <c r="P38338" s="5" t="s">
        <v>355</v>
      </c>
      <c r="Q38338" s="5" t="s">
        <v>355</v>
      </c>
    </row>
    <row r="38339" ht="16.5" customHeight="1">
      <c r="O38339" s="5" t="s">
        <v>355</v>
      </c>
      <c r="P38339" s="5" t="s">
        <v>355</v>
      </c>
      <c r="Q38339" s="5" t="s">
        <v>355</v>
      </c>
    </row>
    <row r="38340" ht="16.5" customHeight="1">
      <c r="O38340" s="5" t="s">
        <v>355</v>
      </c>
      <c r="P38340" s="5" t="s">
        <v>355</v>
      </c>
      <c r="Q38340" s="5" t="s">
        <v>355</v>
      </c>
    </row>
    <row r="38341" ht="16.5" customHeight="1">
      <c r="O38341" s="5" t="s">
        <v>355</v>
      </c>
      <c r="P38341" s="5" t="s">
        <v>355</v>
      </c>
      <c r="Q38341" s="5" t="s">
        <v>355</v>
      </c>
    </row>
    <row r="38342" ht="16.5" customHeight="1">
      <c r="O38342" s="5" t="s">
        <v>355</v>
      </c>
      <c r="P38342" s="5" t="s">
        <v>355</v>
      </c>
      <c r="Q38342" s="5" t="s">
        <v>355</v>
      </c>
    </row>
    <row r="38343" ht="16.5" customHeight="1">
      <c r="O38343" s="5" t="s">
        <v>355</v>
      </c>
      <c r="P38343" s="5" t="s">
        <v>355</v>
      </c>
      <c r="Q38343" s="5" t="s">
        <v>355</v>
      </c>
    </row>
    <row r="38344" ht="16.5" customHeight="1">
      <c r="O38344" s="5" t="s">
        <v>355</v>
      </c>
      <c r="P38344" s="5" t="s">
        <v>355</v>
      </c>
      <c r="Q38344" s="5" t="s">
        <v>355</v>
      </c>
    </row>
    <row r="38345" ht="16.5" customHeight="1">
      <c r="O38345" s="5" t="s">
        <v>355</v>
      </c>
      <c r="P38345" s="5" t="s">
        <v>355</v>
      </c>
      <c r="Q38345" s="5" t="s">
        <v>355</v>
      </c>
    </row>
    <row r="38346" ht="16.5" customHeight="1">
      <c r="O38346" s="5" t="s">
        <v>355</v>
      </c>
      <c r="P38346" s="5" t="s">
        <v>355</v>
      </c>
      <c r="Q38346" s="5" t="s">
        <v>355</v>
      </c>
    </row>
    <row r="38347" ht="16.5" customHeight="1">
      <c r="O38347" s="5" t="s">
        <v>355</v>
      </c>
      <c r="P38347" s="5" t="s">
        <v>355</v>
      </c>
      <c r="Q38347" s="5" t="s">
        <v>355</v>
      </c>
    </row>
    <row r="38348" ht="16.5" customHeight="1">
      <c r="O38348" s="5" t="s">
        <v>355</v>
      </c>
      <c r="P38348" s="5" t="s">
        <v>355</v>
      </c>
      <c r="Q38348" s="5" t="s">
        <v>355</v>
      </c>
    </row>
    <row r="38349" ht="16.5" customHeight="1">
      <c r="O38349" s="5" t="s">
        <v>355</v>
      </c>
      <c r="P38349" s="5" t="s">
        <v>355</v>
      </c>
      <c r="Q38349" s="5" t="s">
        <v>355</v>
      </c>
    </row>
    <row r="38350" ht="16.5" customHeight="1">
      <c r="O38350" s="5" t="s">
        <v>355</v>
      </c>
      <c r="P38350" s="5" t="s">
        <v>355</v>
      </c>
      <c r="Q38350" s="5" t="s">
        <v>355</v>
      </c>
    </row>
    <row r="38351" ht="16.5" customHeight="1">
      <c r="O38351" s="5" t="s">
        <v>355</v>
      </c>
      <c r="P38351" s="5" t="s">
        <v>355</v>
      </c>
      <c r="Q38351" s="5" t="s">
        <v>355</v>
      </c>
    </row>
    <row r="38352" ht="16.5" customHeight="1">
      <c r="O38352" s="5" t="s">
        <v>355</v>
      </c>
      <c r="P38352" s="5" t="s">
        <v>355</v>
      </c>
      <c r="Q38352" s="5" t="s">
        <v>355</v>
      </c>
    </row>
    <row r="38353" ht="16.5" customHeight="1">
      <c r="O38353" s="5" t="s">
        <v>355</v>
      </c>
      <c r="P38353" s="5" t="s">
        <v>355</v>
      </c>
      <c r="Q38353" s="5" t="s">
        <v>355</v>
      </c>
    </row>
    <row r="38354" ht="16.5" customHeight="1">
      <c r="O38354" s="5" t="s">
        <v>355</v>
      </c>
      <c r="P38354" s="5" t="s">
        <v>355</v>
      </c>
      <c r="Q38354" s="5" t="s">
        <v>355</v>
      </c>
    </row>
    <row r="38355" ht="16.5" customHeight="1">
      <c r="O38355" s="5" t="s">
        <v>355</v>
      </c>
      <c r="P38355" s="5" t="s">
        <v>355</v>
      </c>
      <c r="Q38355" s="5" t="s">
        <v>355</v>
      </c>
    </row>
    <row r="38356" ht="16.5" customHeight="1">
      <c r="O38356" s="5" t="s">
        <v>355</v>
      </c>
      <c r="P38356" s="5" t="s">
        <v>355</v>
      </c>
      <c r="Q38356" s="5" t="s">
        <v>355</v>
      </c>
    </row>
    <row r="38357" ht="16.5" customHeight="1">
      <c r="O38357" s="5" t="s">
        <v>355</v>
      </c>
      <c r="P38357" s="5" t="s">
        <v>355</v>
      </c>
      <c r="Q38357" s="5" t="s">
        <v>355</v>
      </c>
    </row>
    <row r="38358" ht="16.5" customHeight="1">
      <c r="O38358" s="5" t="s">
        <v>355</v>
      </c>
      <c r="P38358" s="5" t="s">
        <v>355</v>
      </c>
      <c r="Q38358" s="5" t="s">
        <v>355</v>
      </c>
    </row>
    <row r="38359" ht="16.5" customHeight="1">
      <c r="O38359" s="5" t="s">
        <v>355</v>
      </c>
      <c r="P38359" s="5" t="s">
        <v>355</v>
      </c>
      <c r="Q38359" s="5" t="s">
        <v>355</v>
      </c>
    </row>
    <row r="38360" ht="16.5" customHeight="1">
      <c r="O38360" s="5" t="s">
        <v>355</v>
      </c>
      <c r="P38360" s="5" t="s">
        <v>355</v>
      </c>
      <c r="Q38360" s="5" t="s">
        <v>355</v>
      </c>
    </row>
    <row r="38361" ht="16.5" customHeight="1">
      <c r="O38361" s="5" t="s">
        <v>355</v>
      </c>
      <c r="P38361" s="5" t="s">
        <v>355</v>
      </c>
      <c r="Q38361" s="5" t="s">
        <v>355</v>
      </c>
    </row>
    <row r="38362" ht="16.5" customHeight="1">
      <c r="O38362" s="5" t="s">
        <v>355</v>
      </c>
      <c r="P38362" s="5" t="s">
        <v>355</v>
      </c>
      <c r="Q38362" s="5" t="s">
        <v>355</v>
      </c>
    </row>
    <row r="38363" ht="16.5" customHeight="1">
      <c r="O38363" s="5" t="s">
        <v>355</v>
      </c>
      <c r="P38363" s="5" t="s">
        <v>355</v>
      </c>
      <c r="Q38363" s="5" t="s">
        <v>355</v>
      </c>
    </row>
    <row r="38364" ht="16.5" customHeight="1">
      <c r="O38364" s="5" t="s">
        <v>355</v>
      </c>
      <c r="P38364" s="5" t="s">
        <v>355</v>
      </c>
      <c r="Q38364" s="5" t="s">
        <v>355</v>
      </c>
    </row>
    <row r="38365" ht="16.5" customHeight="1">
      <c r="O38365" s="5" t="s">
        <v>355</v>
      </c>
      <c r="P38365" s="5" t="s">
        <v>355</v>
      </c>
      <c r="Q38365" s="5" t="s">
        <v>355</v>
      </c>
    </row>
    <row r="38366" ht="16.5" customHeight="1">
      <c r="O38366" s="5" t="s">
        <v>355</v>
      </c>
      <c r="P38366" s="5" t="s">
        <v>355</v>
      </c>
      <c r="Q38366" s="5" t="s">
        <v>355</v>
      </c>
    </row>
    <row r="38367" ht="16.5" customHeight="1">
      <c r="O38367" s="5" t="s">
        <v>355</v>
      </c>
      <c r="P38367" s="5" t="s">
        <v>355</v>
      </c>
      <c r="Q38367" s="5" t="s">
        <v>355</v>
      </c>
    </row>
    <row r="38368" ht="16.5" customHeight="1">
      <c r="O38368" s="5" t="s">
        <v>355</v>
      </c>
      <c r="P38368" s="5" t="s">
        <v>355</v>
      </c>
      <c r="Q38368" s="5" t="s">
        <v>355</v>
      </c>
    </row>
    <row r="38369" ht="16.5" customHeight="1">
      <c r="O38369" s="5" t="s">
        <v>355</v>
      </c>
      <c r="P38369" s="5" t="s">
        <v>355</v>
      </c>
      <c r="Q38369" s="5" t="s">
        <v>355</v>
      </c>
    </row>
    <row r="38370" ht="16.5" customHeight="1">
      <c r="O38370" s="5" t="s">
        <v>355</v>
      </c>
      <c r="P38370" s="5" t="s">
        <v>355</v>
      </c>
      <c r="Q38370" s="5" t="s">
        <v>355</v>
      </c>
    </row>
    <row r="38371" ht="16.5" customHeight="1">
      <c r="O38371" s="5" t="s">
        <v>355</v>
      </c>
      <c r="P38371" s="5" t="s">
        <v>355</v>
      </c>
      <c r="Q38371" s="5" t="s">
        <v>355</v>
      </c>
    </row>
    <row r="38372" ht="16.5" customHeight="1">
      <c r="O38372" s="5" t="s">
        <v>355</v>
      </c>
      <c r="P38372" s="5" t="s">
        <v>355</v>
      </c>
      <c r="Q38372" s="5" t="s">
        <v>355</v>
      </c>
    </row>
    <row r="38373" ht="16.5" customHeight="1">
      <c r="O38373" s="5" t="s">
        <v>355</v>
      </c>
      <c r="P38373" s="5" t="s">
        <v>355</v>
      </c>
      <c r="Q38373" s="5" t="s">
        <v>355</v>
      </c>
    </row>
    <row r="38374" ht="16.5" customHeight="1">
      <c r="O38374" s="5" t="s">
        <v>355</v>
      </c>
      <c r="P38374" s="5" t="s">
        <v>355</v>
      </c>
      <c r="Q38374" s="5" t="s">
        <v>355</v>
      </c>
    </row>
    <row r="38375" ht="16.5" customHeight="1">
      <c r="O38375" s="5" t="s">
        <v>355</v>
      </c>
      <c r="P38375" s="5" t="s">
        <v>355</v>
      </c>
      <c r="Q38375" s="5" t="s">
        <v>355</v>
      </c>
    </row>
    <row r="38376" ht="16.5" customHeight="1">
      <c r="O38376" s="5" t="s">
        <v>355</v>
      </c>
      <c r="P38376" s="5" t="s">
        <v>355</v>
      </c>
      <c r="Q38376" s="5" t="s">
        <v>355</v>
      </c>
    </row>
    <row r="38377" ht="16.5" customHeight="1">
      <c r="O38377" s="5" t="s">
        <v>355</v>
      </c>
      <c r="P38377" s="5" t="s">
        <v>355</v>
      </c>
      <c r="Q38377" s="5" t="s">
        <v>355</v>
      </c>
    </row>
    <row r="38378" ht="16.5" customHeight="1">
      <c r="O38378" s="5" t="s">
        <v>355</v>
      </c>
      <c r="P38378" s="5" t="s">
        <v>355</v>
      </c>
      <c r="Q38378" s="5" t="s">
        <v>355</v>
      </c>
    </row>
    <row r="38379" ht="16.5" customHeight="1">
      <c r="O38379" s="5" t="s">
        <v>355</v>
      </c>
      <c r="P38379" s="5" t="s">
        <v>355</v>
      </c>
      <c r="Q38379" s="5" t="s">
        <v>355</v>
      </c>
    </row>
    <row r="38380" ht="16.5" customHeight="1">
      <c r="O38380" s="5" t="s">
        <v>355</v>
      </c>
      <c r="P38380" s="5" t="s">
        <v>355</v>
      </c>
      <c r="Q38380" s="5" t="s">
        <v>355</v>
      </c>
    </row>
    <row r="38381" ht="16.5" customHeight="1">
      <c r="O38381" s="5" t="s">
        <v>355</v>
      </c>
      <c r="P38381" s="5" t="s">
        <v>355</v>
      </c>
      <c r="Q38381" s="5" t="s">
        <v>355</v>
      </c>
    </row>
    <row r="38382" ht="16.5" customHeight="1">
      <c r="O38382" s="5" t="s">
        <v>355</v>
      </c>
      <c r="P38382" s="5" t="s">
        <v>355</v>
      </c>
      <c r="Q38382" s="5" t="s">
        <v>355</v>
      </c>
    </row>
    <row r="38383" ht="16.5" customHeight="1">
      <c r="O38383" s="5" t="s">
        <v>355</v>
      </c>
      <c r="P38383" s="5" t="s">
        <v>355</v>
      </c>
      <c r="Q38383" s="5" t="s">
        <v>355</v>
      </c>
    </row>
    <row r="38384" ht="16.5" customHeight="1">
      <c r="O38384" s="5" t="s">
        <v>355</v>
      </c>
      <c r="P38384" s="5" t="s">
        <v>355</v>
      </c>
      <c r="Q38384" s="5" t="s">
        <v>355</v>
      </c>
    </row>
    <row r="38385" ht="16.5" customHeight="1">
      <c r="O38385" s="5" t="s">
        <v>355</v>
      </c>
      <c r="P38385" s="5" t="s">
        <v>355</v>
      </c>
      <c r="Q38385" s="5" t="s">
        <v>355</v>
      </c>
    </row>
    <row r="38386" ht="16.5" customHeight="1">
      <c r="O38386" s="5" t="s">
        <v>355</v>
      </c>
      <c r="P38386" s="5" t="s">
        <v>355</v>
      </c>
      <c r="Q38386" s="5" t="s">
        <v>355</v>
      </c>
    </row>
    <row r="38387" ht="16.5" customHeight="1">
      <c r="O38387" s="5" t="s">
        <v>355</v>
      </c>
      <c r="P38387" s="5" t="s">
        <v>355</v>
      </c>
      <c r="Q38387" s="5" t="s">
        <v>355</v>
      </c>
    </row>
    <row r="38388" ht="16.5" customHeight="1">
      <c r="O38388" s="5" t="s">
        <v>355</v>
      </c>
      <c r="P38388" s="5" t="s">
        <v>355</v>
      </c>
      <c r="Q38388" s="5" t="s">
        <v>355</v>
      </c>
    </row>
    <row r="38389" ht="16.5" customHeight="1">
      <c r="O38389" s="5" t="s">
        <v>355</v>
      </c>
      <c r="P38389" s="5" t="s">
        <v>355</v>
      </c>
      <c r="Q38389" s="5" t="s">
        <v>355</v>
      </c>
    </row>
    <row r="38390" ht="16.5" customHeight="1">
      <c r="O38390" s="5" t="s">
        <v>355</v>
      </c>
      <c r="P38390" s="5" t="s">
        <v>355</v>
      </c>
      <c r="Q38390" s="5" t="s">
        <v>355</v>
      </c>
    </row>
    <row r="38391" ht="16.5" customHeight="1">
      <c r="O38391" s="5" t="s">
        <v>355</v>
      </c>
      <c r="P38391" s="5" t="s">
        <v>355</v>
      </c>
      <c r="Q38391" s="5" t="s">
        <v>355</v>
      </c>
    </row>
    <row r="38392" ht="16.5" customHeight="1">
      <c r="O38392" s="5" t="s">
        <v>355</v>
      </c>
      <c r="P38392" s="5" t="s">
        <v>355</v>
      </c>
      <c r="Q38392" s="5" t="s">
        <v>355</v>
      </c>
    </row>
    <row r="38393" ht="16.5" customHeight="1">
      <c r="O38393" s="5" t="s">
        <v>355</v>
      </c>
      <c r="P38393" s="5" t="s">
        <v>355</v>
      </c>
      <c r="Q38393" s="5" t="s">
        <v>355</v>
      </c>
    </row>
    <row r="38394" ht="16.5" customHeight="1">
      <c r="O38394" s="5" t="s">
        <v>355</v>
      </c>
      <c r="P38394" s="5" t="s">
        <v>355</v>
      </c>
      <c r="Q38394" s="5" t="s">
        <v>355</v>
      </c>
    </row>
    <row r="38395" ht="16.5" customHeight="1">
      <c r="O38395" s="5" t="s">
        <v>355</v>
      </c>
      <c r="P38395" s="5" t="s">
        <v>355</v>
      </c>
      <c r="Q38395" s="5" t="s">
        <v>355</v>
      </c>
    </row>
    <row r="38396" ht="16.5" customHeight="1">
      <c r="O38396" s="5" t="s">
        <v>355</v>
      </c>
      <c r="P38396" s="5" t="s">
        <v>355</v>
      </c>
      <c r="Q38396" s="5" t="s">
        <v>355</v>
      </c>
    </row>
    <row r="38397" ht="16.5" customHeight="1">
      <c r="O38397" s="5" t="s">
        <v>355</v>
      </c>
      <c r="P38397" s="5" t="s">
        <v>355</v>
      </c>
      <c r="Q38397" s="5" t="s">
        <v>355</v>
      </c>
    </row>
    <row r="38398" ht="16.5" customHeight="1">
      <c r="O38398" s="5" t="s">
        <v>355</v>
      </c>
      <c r="P38398" s="5" t="s">
        <v>355</v>
      </c>
      <c r="Q38398" s="5" t="s">
        <v>355</v>
      </c>
    </row>
    <row r="38399" ht="16.5" customHeight="1">
      <c r="O38399" s="5" t="s">
        <v>355</v>
      </c>
      <c r="P38399" s="5" t="s">
        <v>355</v>
      </c>
      <c r="Q38399" s="5" t="s">
        <v>355</v>
      </c>
    </row>
    <row r="38400" ht="16.5" customHeight="1">
      <c r="O38400" s="5" t="s">
        <v>355</v>
      </c>
      <c r="P38400" s="5" t="s">
        <v>355</v>
      </c>
      <c r="Q38400" s="5" t="s">
        <v>355</v>
      </c>
    </row>
    <row r="38401" ht="16.5" customHeight="1">
      <c r="O38401" s="5" t="s">
        <v>355</v>
      </c>
      <c r="P38401" s="5" t="s">
        <v>355</v>
      </c>
      <c r="Q38401" s="5" t="s">
        <v>355</v>
      </c>
    </row>
    <row r="38402" ht="16.5" customHeight="1">
      <c r="O38402" s="5" t="s">
        <v>355</v>
      </c>
      <c r="P38402" s="5" t="s">
        <v>355</v>
      </c>
      <c r="Q38402" s="5" t="s">
        <v>355</v>
      </c>
    </row>
    <row r="38403" ht="16.5" customHeight="1">
      <c r="O38403" s="5" t="s">
        <v>355</v>
      </c>
      <c r="P38403" s="5" t="s">
        <v>355</v>
      </c>
      <c r="Q38403" s="5" t="s">
        <v>355</v>
      </c>
    </row>
    <row r="38404" ht="16.5" customHeight="1">
      <c r="O38404" s="5" t="s">
        <v>355</v>
      </c>
      <c r="P38404" s="5" t="s">
        <v>355</v>
      </c>
      <c r="Q38404" s="5" t="s">
        <v>355</v>
      </c>
    </row>
    <row r="38405" ht="16.5" customHeight="1">
      <c r="O38405" s="5" t="s">
        <v>355</v>
      </c>
      <c r="P38405" s="5" t="s">
        <v>355</v>
      </c>
      <c r="Q38405" s="5" t="s">
        <v>355</v>
      </c>
    </row>
    <row r="38406" ht="16.5" customHeight="1">
      <c r="O38406" s="5" t="s">
        <v>355</v>
      </c>
      <c r="P38406" s="5" t="s">
        <v>355</v>
      </c>
      <c r="Q38406" s="5" t="s">
        <v>355</v>
      </c>
    </row>
    <row r="38407" ht="16.5" customHeight="1">
      <c r="O38407" s="5" t="s">
        <v>355</v>
      </c>
      <c r="P38407" s="5" t="s">
        <v>355</v>
      </c>
      <c r="Q38407" s="5" t="s">
        <v>355</v>
      </c>
    </row>
    <row r="38408" ht="16.5" customHeight="1">
      <c r="O38408" s="5" t="s">
        <v>355</v>
      </c>
      <c r="P38408" s="5" t="s">
        <v>355</v>
      </c>
      <c r="Q38408" s="5" t="s">
        <v>355</v>
      </c>
    </row>
    <row r="38409" ht="16.5" customHeight="1">
      <c r="O38409" s="5" t="s">
        <v>355</v>
      </c>
      <c r="P38409" s="5" t="s">
        <v>355</v>
      </c>
      <c r="Q38409" s="5" t="s">
        <v>355</v>
      </c>
    </row>
    <row r="38410" ht="16.5" customHeight="1">
      <c r="O38410" s="5" t="s">
        <v>355</v>
      </c>
      <c r="P38410" s="5" t="s">
        <v>355</v>
      </c>
      <c r="Q38410" s="5" t="s">
        <v>355</v>
      </c>
    </row>
    <row r="38411" ht="16.5" customHeight="1">
      <c r="O38411" s="5" t="s">
        <v>355</v>
      </c>
      <c r="P38411" s="5" t="s">
        <v>355</v>
      </c>
      <c r="Q38411" s="5" t="s">
        <v>355</v>
      </c>
    </row>
    <row r="38412" ht="16.5" customHeight="1">
      <c r="O38412" s="5" t="s">
        <v>355</v>
      </c>
      <c r="P38412" s="5" t="s">
        <v>355</v>
      </c>
      <c r="Q38412" s="5" t="s">
        <v>355</v>
      </c>
    </row>
    <row r="38413" ht="16.5" customHeight="1">
      <c r="O38413" s="5" t="s">
        <v>355</v>
      </c>
      <c r="P38413" s="5" t="s">
        <v>355</v>
      </c>
      <c r="Q38413" s="5" t="s">
        <v>355</v>
      </c>
    </row>
    <row r="38414" ht="16.5" customHeight="1">
      <c r="O38414" s="5" t="s">
        <v>355</v>
      </c>
      <c r="P38414" s="5" t="s">
        <v>355</v>
      </c>
      <c r="Q38414" s="5" t="s">
        <v>355</v>
      </c>
    </row>
    <row r="38415" ht="16.5" customHeight="1">
      <c r="O38415" s="5" t="s">
        <v>355</v>
      </c>
      <c r="P38415" s="5" t="s">
        <v>355</v>
      </c>
      <c r="Q38415" s="5" t="s">
        <v>355</v>
      </c>
    </row>
    <row r="38416" ht="16.5" customHeight="1">
      <c r="O38416" s="5" t="s">
        <v>355</v>
      </c>
      <c r="P38416" s="5" t="s">
        <v>355</v>
      </c>
      <c r="Q38416" s="5" t="s">
        <v>355</v>
      </c>
    </row>
    <row r="38417" ht="16.5" customHeight="1">
      <c r="O38417" s="5" t="s">
        <v>355</v>
      </c>
      <c r="P38417" s="5" t="s">
        <v>355</v>
      </c>
      <c r="Q38417" s="5" t="s">
        <v>355</v>
      </c>
    </row>
    <row r="38418" ht="16.5" customHeight="1">
      <c r="O38418" s="5" t="s">
        <v>355</v>
      </c>
      <c r="P38418" s="5" t="s">
        <v>355</v>
      </c>
      <c r="Q38418" s="5" t="s">
        <v>355</v>
      </c>
    </row>
    <row r="38419" ht="16.5" customHeight="1">
      <c r="O38419" s="5" t="s">
        <v>355</v>
      </c>
      <c r="P38419" s="5" t="s">
        <v>355</v>
      </c>
      <c r="Q38419" s="5" t="s">
        <v>355</v>
      </c>
    </row>
    <row r="38420" ht="16.5" customHeight="1">
      <c r="O38420" s="5" t="s">
        <v>355</v>
      </c>
      <c r="P38420" s="5" t="s">
        <v>355</v>
      </c>
      <c r="Q38420" s="5" t="s">
        <v>355</v>
      </c>
    </row>
    <row r="38421" ht="16.5" customHeight="1">
      <c r="O38421" s="5" t="s">
        <v>355</v>
      </c>
      <c r="P38421" s="5" t="s">
        <v>355</v>
      </c>
      <c r="Q38421" s="5" t="s">
        <v>355</v>
      </c>
    </row>
    <row r="38422" ht="16.5" customHeight="1">
      <c r="O38422" s="5" t="s">
        <v>355</v>
      </c>
      <c r="P38422" s="5" t="s">
        <v>355</v>
      </c>
      <c r="Q38422" s="5" t="s">
        <v>355</v>
      </c>
    </row>
    <row r="38423" ht="16.5" customHeight="1">
      <c r="O38423" s="5" t="s">
        <v>355</v>
      </c>
      <c r="P38423" s="5" t="s">
        <v>355</v>
      </c>
      <c r="Q38423" s="5" t="s">
        <v>355</v>
      </c>
    </row>
    <row r="38424" ht="16.5" customHeight="1">
      <c r="O38424" s="5" t="s">
        <v>355</v>
      </c>
      <c r="P38424" s="5" t="s">
        <v>355</v>
      </c>
      <c r="Q38424" s="5" t="s">
        <v>355</v>
      </c>
    </row>
    <row r="38425" ht="16.5" customHeight="1">
      <c r="O38425" s="5" t="s">
        <v>355</v>
      </c>
      <c r="P38425" s="5" t="s">
        <v>355</v>
      </c>
      <c r="Q38425" s="5" t="s">
        <v>355</v>
      </c>
    </row>
    <row r="38426" ht="16.5" customHeight="1">
      <c r="O38426" s="5" t="s">
        <v>355</v>
      </c>
      <c r="P38426" s="5" t="s">
        <v>355</v>
      </c>
      <c r="Q38426" s="5" t="s">
        <v>355</v>
      </c>
    </row>
    <row r="38427" ht="16.5" customHeight="1">
      <c r="O38427" s="5" t="s">
        <v>355</v>
      </c>
      <c r="P38427" s="5" t="s">
        <v>355</v>
      </c>
      <c r="Q38427" s="5" t="s">
        <v>355</v>
      </c>
    </row>
    <row r="38428" ht="16.5" customHeight="1">
      <c r="O38428" s="5" t="s">
        <v>355</v>
      </c>
      <c r="P38428" s="5" t="s">
        <v>355</v>
      </c>
      <c r="Q38428" s="5" t="s">
        <v>355</v>
      </c>
    </row>
    <row r="38429" ht="16.5" customHeight="1">
      <c r="O38429" s="5" t="s">
        <v>355</v>
      </c>
      <c r="P38429" s="5" t="s">
        <v>355</v>
      </c>
      <c r="Q38429" s="5" t="s">
        <v>355</v>
      </c>
    </row>
    <row r="38430" ht="16.5" customHeight="1">
      <c r="O38430" s="5" t="s">
        <v>355</v>
      </c>
      <c r="P38430" s="5" t="s">
        <v>355</v>
      </c>
      <c r="Q38430" s="5" t="s">
        <v>355</v>
      </c>
    </row>
    <row r="38431" ht="16.5" customHeight="1">
      <c r="O38431" s="5" t="s">
        <v>355</v>
      </c>
      <c r="P38431" s="5" t="s">
        <v>355</v>
      </c>
      <c r="Q38431" s="5" t="s">
        <v>355</v>
      </c>
    </row>
    <row r="38432" ht="16.5" customHeight="1">
      <c r="O38432" s="5" t="s">
        <v>355</v>
      </c>
      <c r="P38432" s="5" t="s">
        <v>355</v>
      </c>
      <c r="Q38432" s="5" t="s">
        <v>355</v>
      </c>
    </row>
    <row r="38433" ht="16.5" customHeight="1">
      <c r="O38433" s="5" t="s">
        <v>355</v>
      </c>
      <c r="P38433" s="5" t="s">
        <v>355</v>
      </c>
      <c r="Q38433" s="5" t="s">
        <v>355</v>
      </c>
    </row>
    <row r="38434" ht="16.5" customHeight="1">
      <c r="O38434" s="5" t="s">
        <v>355</v>
      </c>
      <c r="P38434" s="5" t="s">
        <v>355</v>
      </c>
      <c r="Q38434" s="5" t="s">
        <v>355</v>
      </c>
    </row>
    <row r="38435" ht="16.5" customHeight="1">
      <c r="O38435" s="5" t="s">
        <v>355</v>
      </c>
      <c r="P38435" s="5" t="s">
        <v>355</v>
      </c>
      <c r="Q38435" s="5" t="s">
        <v>355</v>
      </c>
    </row>
    <row r="38436" ht="16.5" customHeight="1">
      <c r="O38436" s="5" t="s">
        <v>355</v>
      </c>
      <c r="P38436" s="5" t="s">
        <v>355</v>
      </c>
      <c r="Q38436" s="5" t="s">
        <v>355</v>
      </c>
    </row>
    <row r="38437" ht="16.5" customHeight="1">
      <c r="O38437" s="5" t="s">
        <v>355</v>
      </c>
      <c r="P38437" s="5" t="s">
        <v>355</v>
      </c>
      <c r="Q38437" s="5" t="s">
        <v>355</v>
      </c>
    </row>
    <row r="38438" ht="16.5" customHeight="1">
      <c r="O38438" s="5" t="s">
        <v>355</v>
      </c>
      <c r="P38438" s="5" t="s">
        <v>355</v>
      </c>
      <c r="Q38438" s="5" t="s">
        <v>355</v>
      </c>
    </row>
    <row r="38439" ht="16.5" customHeight="1">
      <c r="O38439" s="5" t="s">
        <v>355</v>
      </c>
      <c r="P38439" s="5" t="s">
        <v>355</v>
      </c>
      <c r="Q38439" s="5" t="s">
        <v>355</v>
      </c>
    </row>
    <row r="38440" ht="16.5" customHeight="1">
      <c r="O38440" s="5" t="s">
        <v>355</v>
      </c>
      <c r="P38440" s="5" t="s">
        <v>355</v>
      </c>
      <c r="Q38440" s="5" t="s">
        <v>355</v>
      </c>
    </row>
    <row r="38441" ht="16.5" customHeight="1">
      <c r="O38441" s="5" t="s">
        <v>355</v>
      </c>
      <c r="P38441" s="5" t="s">
        <v>355</v>
      </c>
      <c r="Q38441" s="5" t="s">
        <v>355</v>
      </c>
    </row>
    <row r="38442" ht="16.5" customHeight="1">
      <c r="O38442" s="5" t="s">
        <v>355</v>
      </c>
      <c r="P38442" s="5" t="s">
        <v>355</v>
      </c>
      <c r="Q38442" s="5" t="s">
        <v>355</v>
      </c>
    </row>
    <row r="38443" ht="16.5" customHeight="1">
      <c r="O38443" s="5" t="s">
        <v>355</v>
      </c>
      <c r="P38443" s="5" t="s">
        <v>355</v>
      </c>
      <c r="Q38443" s="5" t="s">
        <v>355</v>
      </c>
    </row>
    <row r="38444" ht="16.5" customHeight="1">
      <c r="O38444" s="5" t="s">
        <v>355</v>
      </c>
      <c r="P38444" s="5" t="s">
        <v>355</v>
      </c>
      <c r="Q38444" s="5" t="s">
        <v>355</v>
      </c>
    </row>
    <row r="38445" ht="16.5" customHeight="1">
      <c r="O38445" s="5" t="s">
        <v>355</v>
      </c>
      <c r="P38445" s="5" t="s">
        <v>355</v>
      </c>
      <c r="Q38445" s="5" t="s">
        <v>355</v>
      </c>
    </row>
    <row r="38446" ht="16.5" customHeight="1">
      <c r="O38446" s="5" t="s">
        <v>355</v>
      </c>
      <c r="P38446" s="5" t="s">
        <v>355</v>
      </c>
      <c r="Q38446" s="5" t="s">
        <v>355</v>
      </c>
    </row>
    <row r="38447" ht="16.5" customHeight="1">
      <c r="O38447" s="5" t="s">
        <v>355</v>
      </c>
      <c r="P38447" s="5" t="s">
        <v>355</v>
      </c>
      <c r="Q38447" s="5" t="s">
        <v>355</v>
      </c>
    </row>
    <row r="38448" ht="16.5" customHeight="1">
      <c r="O38448" s="5" t="s">
        <v>355</v>
      </c>
      <c r="P38448" s="5" t="s">
        <v>355</v>
      </c>
      <c r="Q38448" s="5" t="s">
        <v>355</v>
      </c>
    </row>
    <row r="38449" ht="16.5" customHeight="1">
      <c r="O38449" s="5" t="s">
        <v>355</v>
      </c>
      <c r="P38449" s="5" t="s">
        <v>355</v>
      </c>
      <c r="Q38449" s="5" t="s">
        <v>355</v>
      </c>
    </row>
    <row r="38450" ht="16.5" customHeight="1">
      <c r="O38450" s="5" t="s">
        <v>355</v>
      </c>
      <c r="P38450" s="5" t="s">
        <v>355</v>
      </c>
      <c r="Q38450" s="5" t="s">
        <v>355</v>
      </c>
    </row>
    <row r="38451" ht="16.5" customHeight="1">
      <c r="O38451" s="5" t="s">
        <v>355</v>
      </c>
      <c r="P38451" s="5" t="s">
        <v>355</v>
      </c>
      <c r="Q38451" s="5" t="s">
        <v>355</v>
      </c>
    </row>
    <row r="38452" ht="16.5" customHeight="1">
      <c r="O38452" s="5" t="s">
        <v>355</v>
      </c>
      <c r="P38452" s="5" t="s">
        <v>355</v>
      </c>
      <c r="Q38452" s="5" t="s">
        <v>355</v>
      </c>
    </row>
    <row r="38453" ht="16.5" customHeight="1">
      <c r="O38453" s="5" t="s">
        <v>355</v>
      </c>
      <c r="P38453" s="5" t="s">
        <v>355</v>
      </c>
      <c r="Q38453" s="5" t="s">
        <v>355</v>
      </c>
    </row>
    <row r="38454" ht="16.5" customHeight="1">
      <c r="O38454" s="5" t="s">
        <v>355</v>
      </c>
      <c r="P38454" s="5" t="s">
        <v>355</v>
      </c>
      <c r="Q38454" s="5" t="s">
        <v>355</v>
      </c>
    </row>
    <row r="38455" ht="16.5" customHeight="1">
      <c r="O38455" s="5" t="s">
        <v>355</v>
      </c>
      <c r="P38455" s="5" t="s">
        <v>355</v>
      </c>
      <c r="Q38455" s="5" t="s">
        <v>355</v>
      </c>
    </row>
    <row r="38456" ht="16.5" customHeight="1">
      <c r="O38456" s="5" t="s">
        <v>355</v>
      </c>
      <c r="P38456" s="5" t="s">
        <v>355</v>
      </c>
      <c r="Q38456" s="5" t="s">
        <v>355</v>
      </c>
    </row>
    <row r="38457" ht="16.5" customHeight="1">
      <c r="O38457" s="5" t="s">
        <v>355</v>
      </c>
      <c r="P38457" s="5" t="s">
        <v>355</v>
      </c>
      <c r="Q38457" s="5" t="s">
        <v>355</v>
      </c>
    </row>
    <row r="38458" ht="16.5" customHeight="1">
      <c r="O38458" s="5" t="s">
        <v>355</v>
      </c>
      <c r="P38458" s="5" t="s">
        <v>355</v>
      </c>
      <c r="Q38458" s="5" t="s">
        <v>355</v>
      </c>
    </row>
    <row r="38459" ht="16.5" customHeight="1">
      <c r="O38459" s="5" t="s">
        <v>355</v>
      </c>
      <c r="P38459" s="5" t="s">
        <v>355</v>
      </c>
      <c r="Q38459" s="5" t="s">
        <v>355</v>
      </c>
    </row>
    <row r="38460" ht="16.5" customHeight="1">
      <c r="O38460" s="5" t="s">
        <v>355</v>
      </c>
      <c r="P38460" s="5" t="s">
        <v>355</v>
      </c>
      <c r="Q38460" s="5" t="s">
        <v>355</v>
      </c>
    </row>
    <row r="38461" ht="16.5" customHeight="1">
      <c r="O38461" s="5" t="s">
        <v>355</v>
      </c>
      <c r="P38461" s="5" t="s">
        <v>355</v>
      </c>
      <c r="Q38461" s="5" t="s">
        <v>355</v>
      </c>
    </row>
    <row r="38462" ht="16.5" customHeight="1">
      <c r="O38462" s="5" t="s">
        <v>355</v>
      </c>
      <c r="P38462" s="5" t="s">
        <v>355</v>
      </c>
      <c r="Q38462" s="5" t="s">
        <v>355</v>
      </c>
    </row>
    <row r="38463" ht="16.5" customHeight="1">
      <c r="O38463" s="5" t="s">
        <v>355</v>
      </c>
      <c r="P38463" s="5" t="s">
        <v>355</v>
      </c>
      <c r="Q38463" s="5" t="s">
        <v>355</v>
      </c>
    </row>
    <row r="38464" ht="16.5" customHeight="1">
      <c r="O38464" s="5" t="s">
        <v>355</v>
      </c>
      <c r="P38464" s="5" t="s">
        <v>355</v>
      </c>
      <c r="Q38464" s="5" t="s">
        <v>355</v>
      </c>
    </row>
    <row r="38465" ht="16.5" customHeight="1">
      <c r="O38465" s="5" t="s">
        <v>355</v>
      </c>
      <c r="P38465" s="5" t="s">
        <v>355</v>
      </c>
      <c r="Q38465" s="5" t="s">
        <v>355</v>
      </c>
    </row>
    <row r="38466" ht="16.5" customHeight="1">
      <c r="O38466" s="5" t="s">
        <v>355</v>
      </c>
      <c r="P38466" s="5" t="s">
        <v>355</v>
      </c>
      <c r="Q38466" s="5" t="s">
        <v>355</v>
      </c>
    </row>
    <row r="38467" ht="16.5" customHeight="1">
      <c r="O38467" s="5" t="s">
        <v>355</v>
      </c>
      <c r="P38467" s="5" t="s">
        <v>355</v>
      </c>
      <c r="Q38467" s="5" t="s">
        <v>355</v>
      </c>
    </row>
    <row r="38468" ht="16.5" customHeight="1">
      <c r="O38468" s="5" t="s">
        <v>355</v>
      </c>
      <c r="P38468" s="5" t="s">
        <v>355</v>
      </c>
      <c r="Q38468" s="5" t="s">
        <v>355</v>
      </c>
    </row>
    <row r="38469" ht="16.5" customHeight="1">
      <c r="O38469" s="5" t="s">
        <v>355</v>
      </c>
      <c r="P38469" s="5" t="s">
        <v>355</v>
      </c>
      <c r="Q38469" s="5" t="s">
        <v>355</v>
      </c>
    </row>
    <row r="38470" ht="16.5" customHeight="1">
      <c r="O38470" s="5" t="s">
        <v>355</v>
      </c>
      <c r="P38470" s="5" t="s">
        <v>355</v>
      </c>
      <c r="Q38470" s="5" t="s">
        <v>355</v>
      </c>
    </row>
    <row r="38471" ht="16.5" customHeight="1">
      <c r="O38471" s="5" t="s">
        <v>355</v>
      </c>
      <c r="P38471" s="5" t="s">
        <v>355</v>
      </c>
      <c r="Q38471" s="5" t="s">
        <v>355</v>
      </c>
    </row>
    <row r="38472" ht="16.5" customHeight="1">
      <c r="O38472" s="5" t="s">
        <v>355</v>
      </c>
      <c r="P38472" s="5" t="s">
        <v>355</v>
      </c>
      <c r="Q38472" s="5" t="s">
        <v>355</v>
      </c>
    </row>
    <row r="38473" ht="16.5" customHeight="1">
      <c r="O38473" s="5" t="s">
        <v>355</v>
      </c>
      <c r="P38473" s="5" t="s">
        <v>355</v>
      </c>
      <c r="Q38473" s="5" t="s">
        <v>355</v>
      </c>
    </row>
    <row r="38474" ht="16.5" customHeight="1">
      <c r="O38474" s="5" t="s">
        <v>355</v>
      </c>
      <c r="P38474" s="5" t="s">
        <v>355</v>
      </c>
      <c r="Q38474" s="5" t="s">
        <v>355</v>
      </c>
    </row>
    <row r="38475" ht="16.5" customHeight="1">
      <c r="O38475" s="5" t="s">
        <v>355</v>
      </c>
      <c r="P38475" s="5" t="s">
        <v>355</v>
      </c>
      <c r="Q38475" s="5" t="s">
        <v>355</v>
      </c>
    </row>
    <row r="38476" ht="16.5" customHeight="1">
      <c r="O38476" s="5" t="s">
        <v>355</v>
      </c>
      <c r="P38476" s="5" t="s">
        <v>355</v>
      </c>
      <c r="Q38476" s="5" t="s">
        <v>355</v>
      </c>
    </row>
    <row r="38477" ht="16.5" customHeight="1">
      <c r="O38477" s="5" t="s">
        <v>355</v>
      </c>
      <c r="P38477" s="5" t="s">
        <v>355</v>
      </c>
      <c r="Q38477" s="5" t="s">
        <v>355</v>
      </c>
    </row>
    <row r="38478" ht="16.5" customHeight="1">
      <c r="O38478" s="5" t="s">
        <v>355</v>
      </c>
      <c r="P38478" s="5" t="s">
        <v>355</v>
      </c>
      <c r="Q38478" s="5" t="s">
        <v>355</v>
      </c>
    </row>
    <row r="38479" ht="16.5" customHeight="1">
      <c r="O38479" s="5" t="s">
        <v>355</v>
      </c>
      <c r="P38479" s="5" t="s">
        <v>355</v>
      </c>
      <c r="Q38479" s="5" t="s">
        <v>355</v>
      </c>
    </row>
    <row r="38480" ht="16.5" customHeight="1">
      <c r="O38480" s="5" t="s">
        <v>355</v>
      </c>
      <c r="P38480" s="5" t="s">
        <v>355</v>
      </c>
      <c r="Q38480" s="5" t="s">
        <v>355</v>
      </c>
    </row>
    <row r="38481" ht="16.5" customHeight="1">
      <c r="O38481" s="5" t="s">
        <v>355</v>
      </c>
      <c r="P38481" s="5" t="s">
        <v>355</v>
      </c>
      <c r="Q38481" s="5" t="s">
        <v>355</v>
      </c>
    </row>
    <row r="38482" ht="16.5" customHeight="1">
      <c r="O38482" s="5" t="s">
        <v>355</v>
      </c>
      <c r="P38482" s="5" t="s">
        <v>355</v>
      </c>
      <c r="Q38482" s="5" t="s">
        <v>355</v>
      </c>
    </row>
    <row r="38483" ht="16.5" customHeight="1">
      <c r="O38483" s="5" t="s">
        <v>355</v>
      </c>
      <c r="P38483" s="5" t="s">
        <v>355</v>
      </c>
      <c r="Q38483" s="5" t="s">
        <v>355</v>
      </c>
    </row>
    <row r="38484" ht="16.5" customHeight="1">
      <c r="O38484" s="5" t="s">
        <v>355</v>
      </c>
      <c r="P38484" s="5" t="s">
        <v>355</v>
      </c>
      <c r="Q38484" s="5" t="s">
        <v>355</v>
      </c>
    </row>
    <row r="38485" ht="16.5" customHeight="1">
      <c r="O38485" s="5" t="s">
        <v>355</v>
      </c>
      <c r="P38485" s="5" t="s">
        <v>355</v>
      </c>
      <c r="Q38485" s="5" t="s">
        <v>355</v>
      </c>
    </row>
    <row r="38486" ht="16.5" customHeight="1">
      <c r="O38486" s="5" t="s">
        <v>355</v>
      </c>
      <c r="P38486" s="5" t="s">
        <v>355</v>
      </c>
      <c r="Q38486" s="5" t="s">
        <v>355</v>
      </c>
    </row>
    <row r="38487" ht="16.5" customHeight="1">
      <c r="O38487" s="5" t="s">
        <v>355</v>
      </c>
      <c r="P38487" s="5" t="s">
        <v>355</v>
      </c>
      <c r="Q38487" s="5" t="s">
        <v>355</v>
      </c>
    </row>
    <row r="38488" ht="16.5" customHeight="1">
      <c r="O38488" s="5" t="s">
        <v>355</v>
      </c>
      <c r="P38488" s="5" t="s">
        <v>355</v>
      </c>
      <c r="Q38488" s="5" t="s">
        <v>355</v>
      </c>
    </row>
    <row r="38489" ht="16.5" customHeight="1">
      <c r="O38489" s="5" t="s">
        <v>355</v>
      </c>
      <c r="P38489" s="5" t="s">
        <v>355</v>
      </c>
      <c r="Q38489" s="5" t="s">
        <v>355</v>
      </c>
    </row>
    <row r="38490" ht="16.5" customHeight="1">
      <c r="O38490" s="5" t="s">
        <v>355</v>
      </c>
      <c r="P38490" s="5" t="s">
        <v>355</v>
      </c>
      <c r="Q38490" s="5" t="s">
        <v>355</v>
      </c>
    </row>
    <row r="38491" ht="16.5" customHeight="1">
      <c r="O38491" s="5" t="s">
        <v>355</v>
      </c>
      <c r="P38491" s="5" t="s">
        <v>355</v>
      </c>
      <c r="Q38491" s="5" t="s">
        <v>355</v>
      </c>
    </row>
    <row r="38492" ht="16.5" customHeight="1">
      <c r="O38492" s="5" t="s">
        <v>355</v>
      </c>
      <c r="P38492" s="5" t="s">
        <v>355</v>
      </c>
      <c r="Q38492" s="5" t="s">
        <v>355</v>
      </c>
    </row>
    <row r="38493" ht="16.5" customHeight="1">
      <c r="O38493" s="5" t="s">
        <v>355</v>
      </c>
      <c r="P38493" s="5" t="s">
        <v>355</v>
      </c>
      <c r="Q38493" s="5" t="s">
        <v>355</v>
      </c>
    </row>
    <row r="38494" ht="16.5" customHeight="1">
      <c r="O38494" s="5" t="s">
        <v>355</v>
      </c>
      <c r="P38494" s="5" t="s">
        <v>355</v>
      </c>
      <c r="Q38494" s="5" t="s">
        <v>355</v>
      </c>
    </row>
    <row r="38495" ht="16.5" customHeight="1">
      <c r="O38495" s="5" t="s">
        <v>355</v>
      </c>
      <c r="P38495" s="5" t="s">
        <v>355</v>
      </c>
      <c r="Q38495" s="5" t="s">
        <v>355</v>
      </c>
    </row>
    <row r="38496" ht="16.5" customHeight="1">
      <c r="O38496" s="5" t="s">
        <v>355</v>
      </c>
      <c r="P38496" s="5" t="s">
        <v>355</v>
      </c>
      <c r="Q38496" s="5" t="s">
        <v>355</v>
      </c>
    </row>
    <row r="38497" ht="16.5" customHeight="1">
      <c r="O38497" s="5" t="s">
        <v>355</v>
      </c>
      <c r="P38497" s="5" t="s">
        <v>355</v>
      </c>
      <c r="Q38497" s="5" t="s">
        <v>355</v>
      </c>
    </row>
    <row r="38498" ht="16.5" customHeight="1">
      <c r="O38498" s="5" t="s">
        <v>355</v>
      </c>
      <c r="P38498" s="5" t="s">
        <v>355</v>
      </c>
      <c r="Q38498" s="5" t="s">
        <v>355</v>
      </c>
    </row>
    <row r="38499" ht="16.5" customHeight="1">
      <c r="O38499" s="5" t="s">
        <v>355</v>
      </c>
      <c r="P38499" s="5" t="s">
        <v>355</v>
      </c>
      <c r="Q38499" s="5" t="s">
        <v>355</v>
      </c>
    </row>
    <row r="38500" ht="16.5" customHeight="1">
      <c r="O38500" s="5" t="s">
        <v>355</v>
      </c>
      <c r="P38500" s="5" t="s">
        <v>355</v>
      </c>
      <c r="Q38500" s="5" t="s">
        <v>355</v>
      </c>
    </row>
    <row r="38501" ht="16.5" customHeight="1">
      <c r="O38501" s="5" t="s">
        <v>355</v>
      </c>
      <c r="P38501" s="5" t="s">
        <v>355</v>
      </c>
      <c r="Q38501" s="5" t="s">
        <v>355</v>
      </c>
    </row>
    <row r="38502" ht="16.5" customHeight="1">
      <c r="O38502" s="5" t="s">
        <v>355</v>
      </c>
      <c r="P38502" s="5" t="s">
        <v>355</v>
      </c>
      <c r="Q38502" s="5" t="s">
        <v>355</v>
      </c>
    </row>
    <row r="38503" ht="16.5" customHeight="1">
      <c r="O38503" s="5" t="s">
        <v>355</v>
      </c>
      <c r="P38503" s="5" t="s">
        <v>355</v>
      </c>
      <c r="Q38503" s="5" t="s">
        <v>355</v>
      </c>
    </row>
    <row r="38504" ht="16.5" customHeight="1">
      <c r="O38504" s="5" t="s">
        <v>355</v>
      </c>
      <c r="P38504" s="5" t="s">
        <v>355</v>
      </c>
      <c r="Q38504" s="5" t="s">
        <v>355</v>
      </c>
    </row>
    <row r="38505" ht="16.5" customHeight="1">
      <c r="O38505" s="5" t="s">
        <v>355</v>
      </c>
      <c r="P38505" s="5" t="s">
        <v>355</v>
      </c>
      <c r="Q38505" s="5" t="s">
        <v>355</v>
      </c>
    </row>
    <row r="38506" ht="16.5" customHeight="1">
      <c r="O38506" s="5" t="s">
        <v>355</v>
      </c>
      <c r="P38506" s="5" t="s">
        <v>355</v>
      </c>
      <c r="Q38506" s="5" t="s">
        <v>355</v>
      </c>
    </row>
    <row r="38507" ht="16.5" customHeight="1">
      <c r="O38507" s="5" t="s">
        <v>355</v>
      </c>
      <c r="P38507" s="5" t="s">
        <v>355</v>
      </c>
      <c r="Q38507" s="5" t="s">
        <v>355</v>
      </c>
    </row>
    <row r="38508" ht="16.5" customHeight="1">
      <c r="O38508" s="5" t="s">
        <v>355</v>
      </c>
      <c r="P38508" s="5" t="s">
        <v>355</v>
      </c>
      <c r="Q38508" s="5" t="s">
        <v>355</v>
      </c>
    </row>
    <row r="38509" ht="16.5" customHeight="1">
      <c r="O38509" s="5" t="s">
        <v>355</v>
      </c>
      <c r="P38509" s="5" t="s">
        <v>355</v>
      </c>
      <c r="Q38509" s="5" t="s">
        <v>355</v>
      </c>
    </row>
    <row r="38510" ht="16.5" customHeight="1">
      <c r="O38510" s="5" t="s">
        <v>355</v>
      </c>
      <c r="P38510" s="5" t="s">
        <v>355</v>
      </c>
      <c r="Q38510" s="5" t="s">
        <v>355</v>
      </c>
    </row>
    <row r="38511" ht="16.5" customHeight="1">
      <c r="O38511" s="5" t="s">
        <v>355</v>
      </c>
      <c r="P38511" s="5" t="s">
        <v>355</v>
      </c>
      <c r="Q38511" s="5" t="s">
        <v>355</v>
      </c>
    </row>
    <row r="38512" ht="16.5" customHeight="1">
      <c r="O38512" s="5" t="s">
        <v>355</v>
      </c>
      <c r="P38512" s="5" t="s">
        <v>355</v>
      </c>
      <c r="Q38512" s="5" t="s">
        <v>355</v>
      </c>
    </row>
    <row r="38513" ht="16.5" customHeight="1">
      <c r="O38513" s="5" t="s">
        <v>355</v>
      </c>
      <c r="P38513" s="5" t="s">
        <v>355</v>
      </c>
      <c r="Q38513" s="5" t="s">
        <v>355</v>
      </c>
    </row>
    <row r="38514" ht="16.5" customHeight="1">
      <c r="O38514" s="5" t="s">
        <v>355</v>
      </c>
      <c r="P38514" s="5" t="s">
        <v>355</v>
      </c>
      <c r="Q38514" s="5" t="s">
        <v>355</v>
      </c>
    </row>
    <row r="38515" ht="16.5" customHeight="1">
      <c r="O38515" s="5" t="s">
        <v>355</v>
      </c>
      <c r="P38515" s="5" t="s">
        <v>355</v>
      </c>
      <c r="Q38515" s="5" t="s">
        <v>355</v>
      </c>
    </row>
    <row r="38516" ht="16.5" customHeight="1">
      <c r="O38516" s="5" t="s">
        <v>355</v>
      </c>
      <c r="P38516" s="5" t="s">
        <v>355</v>
      </c>
      <c r="Q38516" s="5" t="s">
        <v>355</v>
      </c>
    </row>
    <row r="38517" ht="16.5" customHeight="1">
      <c r="O38517" s="5" t="s">
        <v>355</v>
      </c>
      <c r="P38517" s="5" t="s">
        <v>355</v>
      </c>
      <c r="Q38517" s="5" t="s">
        <v>355</v>
      </c>
    </row>
    <row r="38518" ht="16.5" customHeight="1">
      <c r="O38518" s="5" t="s">
        <v>355</v>
      </c>
      <c r="P38518" s="5" t="s">
        <v>355</v>
      </c>
      <c r="Q38518" s="5" t="s">
        <v>355</v>
      </c>
    </row>
    <row r="38519" ht="16.5" customHeight="1">
      <c r="O38519" s="5" t="s">
        <v>355</v>
      </c>
      <c r="P38519" s="5" t="s">
        <v>355</v>
      </c>
      <c r="Q38519" s="5" t="s">
        <v>355</v>
      </c>
    </row>
    <row r="38520" ht="16.5" customHeight="1">
      <c r="O38520" s="5" t="s">
        <v>355</v>
      </c>
      <c r="P38520" s="5" t="s">
        <v>355</v>
      </c>
      <c r="Q38520" s="5" t="s">
        <v>355</v>
      </c>
    </row>
    <row r="38521" ht="16.5" customHeight="1">
      <c r="O38521" s="5" t="s">
        <v>355</v>
      </c>
      <c r="P38521" s="5" t="s">
        <v>355</v>
      </c>
      <c r="Q38521" s="5" t="s">
        <v>355</v>
      </c>
    </row>
    <row r="38522" ht="16.5" customHeight="1">
      <c r="O38522" s="5" t="s">
        <v>355</v>
      </c>
      <c r="P38522" s="5" t="s">
        <v>355</v>
      </c>
      <c r="Q38522" s="5" t="s">
        <v>355</v>
      </c>
    </row>
    <row r="38523" ht="16.5" customHeight="1">
      <c r="O38523" s="5" t="s">
        <v>355</v>
      </c>
      <c r="P38523" s="5" t="s">
        <v>355</v>
      </c>
      <c r="Q38523" s="5" t="s">
        <v>355</v>
      </c>
    </row>
    <row r="38524" ht="16.5" customHeight="1">
      <c r="O38524" s="5" t="s">
        <v>355</v>
      </c>
      <c r="P38524" s="5" t="s">
        <v>355</v>
      </c>
      <c r="Q38524" s="5" t="s">
        <v>355</v>
      </c>
    </row>
    <row r="38525" ht="16.5" customHeight="1">
      <c r="O38525" s="5" t="s">
        <v>355</v>
      </c>
      <c r="P38525" s="5" t="s">
        <v>355</v>
      </c>
      <c r="Q38525" s="5" t="s">
        <v>355</v>
      </c>
    </row>
    <row r="38526" ht="16.5" customHeight="1">
      <c r="O38526" s="5" t="s">
        <v>355</v>
      </c>
      <c r="P38526" s="5" t="s">
        <v>355</v>
      </c>
      <c r="Q38526" s="5" t="s">
        <v>355</v>
      </c>
    </row>
    <row r="38527" ht="16.5" customHeight="1">
      <c r="O38527" s="5" t="s">
        <v>355</v>
      </c>
      <c r="P38527" s="5" t="s">
        <v>355</v>
      </c>
      <c r="Q38527" s="5" t="s">
        <v>355</v>
      </c>
    </row>
    <row r="38528" ht="16.5" customHeight="1">
      <c r="O38528" s="5" t="s">
        <v>355</v>
      </c>
      <c r="P38528" s="5" t="s">
        <v>355</v>
      </c>
      <c r="Q38528" s="5" t="s">
        <v>355</v>
      </c>
    </row>
    <row r="38529" ht="16.5" customHeight="1">
      <c r="O38529" s="5" t="s">
        <v>355</v>
      </c>
      <c r="P38529" s="5" t="s">
        <v>355</v>
      </c>
      <c r="Q38529" s="5" t="s">
        <v>355</v>
      </c>
    </row>
    <row r="38530" ht="16.5" customHeight="1">
      <c r="O38530" s="5" t="s">
        <v>355</v>
      </c>
      <c r="P38530" s="5" t="s">
        <v>355</v>
      </c>
      <c r="Q38530" s="5" t="s">
        <v>355</v>
      </c>
    </row>
    <row r="38531" ht="16.5" customHeight="1">
      <c r="O38531" s="5" t="s">
        <v>355</v>
      </c>
      <c r="P38531" s="5" t="s">
        <v>355</v>
      </c>
      <c r="Q38531" s="5" t="s">
        <v>355</v>
      </c>
    </row>
    <row r="38532" ht="16.5" customHeight="1">
      <c r="O38532" s="5" t="s">
        <v>355</v>
      </c>
      <c r="P38532" s="5" t="s">
        <v>355</v>
      </c>
      <c r="Q38532" s="5" t="s">
        <v>355</v>
      </c>
    </row>
    <row r="38533" ht="16.5" customHeight="1">
      <c r="O38533" s="5" t="s">
        <v>355</v>
      </c>
      <c r="P38533" s="5" t="s">
        <v>355</v>
      </c>
      <c r="Q38533" s="5" t="s">
        <v>355</v>
      </c>
    </row>
    <row r="38534" ht="16.5" customHeight="1">
      <c r="O38534" s="5" t="s">
        <v>355</v>
      </c>
      <c r="P38534" s="5" t="s">
        <v>355</v>
      </c>
      <c r="Q38534" s="5" t="s">
        <v>355</v>
      </c>
    </row>
    <row r="38535" ht="16.5" customHeight="1">
      <c r="O38535" s="5" t="s">
        <v>355</v>
      </c>
      <c r="P38535" s="5" t="s">
        <v>355</v>
      </c>
      <c r="Q38535" s="5" t="s">
        <v>355</v>
      </c>
    </row>
    <row r="38536" ht="16.5" customHeight="1">
      <c r="O38536" s="5" t="s">
        <v>355</v>
      </c>
      <c r="P38536" s="5" t="s">
        <v>355</v>
      </c>
      <c r="Q38536" s="5" t="s">
        <v>355</v>
      </c>
    </row>
    <row r="38537" ht="16.5" customHeight="1">
      <c r="O38537" s="5" t="s">
        <v>355</v>
      </c>
      <c r="P38537" s="5" t="s">
        <v>355</v>
      </c>
      <c r="Q38537" s="5" t="s">
        <v>355</v>
      </c>
    </row>
    <row r="38538" ht="16.5" customHeight="1">
      <c r="O38538" s="5" t="s">
        <v>355</v>
      </c>
      <c r="P38538" s="5" t="s">
        <v>355</v>
      </c>
      <c r="Q38538" s="5" t="s">
        <v>355</v>
      </c>
    </row>
    <row r="38539" ht="16.5" customHeight="1">
      <c r="O38539" s="5" t="s">
        <v>355</v>
      </c>
      <c r="P38539" s="5" t="s">
        <v>355</v>
      </c>
      <c r="Q38539" s="5" t="s">
        <v>355</v>
      </c>
    </row>
    <row r="38540" ht="16.5" customHeight="1">
      <c r="O38540" s="5" t="s">
        <v>355</v>
      </c>
      <c r="P38540" s="5" t="s">
        <v>355</v>
      </c>
      <c r="Q38540" s="5" t="s">
        <v>355</v>
      </c>
    </row>
    <row r="38541" ht="16.5" customHeight="1">
      <c r="O38541" s="5" t="s">
        <v>355</v>
      </c>
      <c r="P38541" s="5" t="s">
        <v>355</v>
      </c>
      <c r="Q38541" s="5" t="s">
        <v>355</v>
      </c>
    </row>
    <row r="38542" ht="16.5" customHeight="1">
      <c r="O38542" s="5" t="s">
        <v>355</v>
      </c>
      <c r="P38542" s="5" t="s">
        <v>355</v>
      </c>
      <c r="Q38542" s="5" t="s">
        <v>355</v>
      </c>
    </row>
    <row r="38543" ht="16.5" customHeight="1">
      <c r="O38543" s="5" t="s">
        <v>355</v>
      </c>
      <c r="P38543" s="5" t="s">
        <v>355</v>
      </c>
      <c r="Q38543" s="5" t="s">
        <v>355</v>
      </c>
    </row>
    <row r="38544" ht="16.5" customHeight="1">
      <c r="O38544" s="5" t="s">
        <v>355</v>
      </c>
      <c r="P38544" s="5" t="s">
        <v>355</v>
      </c>
      <c r="Q38544" s="5" t="s">
        <v>355</v>
      </c>
    </row>
    <row r="38545" ht="16.5" customHeight="1">
      <c r="O38545" s="5" t="s">
        <v>355</v>
      </c>
      <c r="P38545" s="5" t="s">
        <v>355</v>
      </c>
      <c r="Q38545" s="5" t="s">
        <v>355</v>
      </c>
    </row>
    <row r="38546" ht="16.5" customHeight="1">
      <c r="O38546" s="5" t="s">
        <v>355</v>
      </c>
      <c r="P38546" s="5" t="s">
        <v>355</v>
      </c>
      <c r="Q38546" s="5" t="s">
        <v>355</v>
      </c>
    </row>
    <row r="38547" ht="16.5" customHeight="1">
      <c r="O38547" s="5" t="s">
        <v>355</v>
      </c>
      <c r="P38547" s="5" t="s">
        <v>355</v>
      </c>
      <c r="Q38547" s="5" t="s">
        <v>355</v>
      </c>
    </row>
    <row r="38548" ht="16.5" customHeight="1">
      <c r="O38548" s="5" t="s">
        <v>355</v>
      </c>
      <c r="P38548" s="5" t="s">
        <v>355</v>
      </c>
      <c r="Q38548" s="5" t="s">
        <v>355</v>
      </c>
    </row>
    <row r="38549" ht="16.5" customHeight="1">
      <c r="O38549" s="5" t="s">
        <v>355</v>
      </c>
      <c r="P38549" s="5" t="s">
        <v>355</v>
      </c>
      <c r="Q38549" s="5" t="s">
        <v>355</v>
      </c>
    </row>
    <row r="38550" ht="16.5" customHeight="1">
      <c r="O38550" s="5" t="s">
        <v>355</v>
      </c>
      <c r="P38550" s="5" t="s">
        <v>355</v>
      </c>
      <c r="Q38550" s="5" t="s">
        <v>355</v>
      </c>
    </row>
    <row r="38551" ht="16.5" customHeight="1">
      <c r="O38551" s="5" t="s">
        <v>355</v>
      </c>
      <c r="P38551" s="5" t="s">
        <v>355</v>
      </c>
      <c r="Q38551" s="5" t="s">
        <v>355</v>
      </c>
    </row>
    <row r="38552" ht="16.5" customHeight="1">
      <c r="O38552" s="5" t="s">
        <v>355</v>
      </c>
      <c r="P38552" s="5" t="s">
        <v>355</v>
      </c>
      <c r="Q38552" s="5" t="s">
        <v>355</v>
      </c>
    </row>
    <row r="38553" ht="16.5" customHeight="1">
      <c r="O38553" s="5" t="s">
        <v>355</v>
      </c>
      <c r="P38553" s="5" t="s">
        <v>355</v>
      </c>
      <c r="Q38553" s="5" t="s">
        <v>355</v>
      </c>
    </row>
    <row r="38554" ht="16.5" customHeight="1">
      <c r="O38554" s="5" t="s">
        <v>355</v>
      </c>
      <c r="P38554" s="5" t="s">
        <v>355</v>
      </c>
      <c r="Q38554" s="5" t="s">
        <v>355</v>
      </c>
    </row>
    <row r="38555" ht="16.5" customHeight="1">
      <c r="O38555" s="5" t="s">
        <v>355</v>
      </c>
      <c r="P38555" s="5" t="s">
        <v>355</v>
      </c>
      <c r="Q38555" s="5" t="s">
        <v>355</v>
      </c>
    </row>
    <row r="38556" ht="16.5" customHeight="1">
      <c r="O38556" s="5" t="s">
        <v>355</v>
      </c>
      <c r="P38556" s="5" t="s">
        <v>355</v>
      </c>
      <c r="Q38556" s="5" t="s">
        <v>355</v>
      </c>
    </row>
    <row r="38557" ht="16.5" customHeight="1">
      <c r="O38557" s="5" t="s">
        <v>355</v>
      </c>
      <c r="P38557" s="5" t="s">
        <v>355</v>
      </c>
      <c r="Q38557" s="5" t="s">
        <v>355</v>
      </c>
    </row>
    <row r="38558" ht="16.5" customHeight="1">
      <c r="O38558" s="5" t="s">
        <v>355</v>
      </c>
      <c r="P38558" s="5" t="s">
        <v>355</v>
      </c>
      <c r="Q38558" s="5" t="s">
        <v>355</v>
      </c>
    </row>
    <row r="38559" ht="16.5" customHeight="1">
      <c r="O38559" s="5" t="s">
        <v>355</v>
      </c>
      <c r="P38559" s="5" t="s">
        <v>355</v>
      </c>
      <c r="Q38559" s="5" t="s">
        <v>355</v>
      </c>
    </row>
    <row r="38560" ht="16.5" customHeight="1">
      <c r="O38560" s="5" t="s">
        <v>355</v>
      </c>
      <c r="P38560" s="5" t="s">
        <v>355</v>
      </c>
      <c r="Q38560" s="5" t="s">
        <v>355</v>
      </c>
    </row>
    <row r="38561" ht="16.5" customHeight="1">
      <c r="O38561" s="5" t="s">
        <v>355</v>
      </c>
      <c r="P38561" s="5" t="s">
        <v>355</v>
      </c>
      <c r="Q38561" s="5" t="s">
        <v>355</v>
      </c>
    </row>
    <row r="38562" ht="16.5" customHeight="1">
      <c r="O38562" s="5" t="s">
        <v>355</v>
      </c>
      <c r="P38562" s="5" t="s">
        <v>355</v>
      </c>
      <c r="Q38562" s="5" t="s">
        <v>355</v>
      </c>
    </row>
    <row r="38563" ht="16.5" customHeight="1">
      <c r="O38563" s="5" t="s">
        <v>355</v>
      </c>
      <c r="P38563" s="5" t="s">
        <v>355</v>
      </c>
      <c r="Q38563" s="5" t="s">
        <v>355</v>
      </c>
    </row>
    <row r="38564" ht="16.5" customHeight="1">
      <c r="O38564" s="5" t="s">
        <v>355</v>
      </c>
      <c r="P38564" s="5" t="s">
        <v>355</v>
      </c>
      <c r="Q38564" s="5" t="s">
        <v>355</v>
      </c>
    </row>
    <row r="38565" ht="16.5" customHeight="1">
      <c r="O38565" s="5" t="s">
        <v>355</v>
      </c>
      <c r="P38565" s="5" t="s">
        <v>355</v>
      </c>
      <c r="Q38565" s="5" t="s">
        <v>355</v>
      </c>
    </row>
    <row r="38566" ht="16.5" customHeight="1">
      <c r="O38566" s="5" t="s">
        <v>355</v>
      </c>
      <c r="P38566" s="5" t="s">
        <v>355</v>
      </c>
      <c r="Q38566" s="5" t="s">
        <v>355</v>
      </c>
    </row>
    <row r="38567" ht="16.5" customHeight="1">
      <c r="O38567" s="5" t="s">
        <v>355</v>
      </c>
      <c r="P38567" s="5" t="s">
        <v>355</v>
      </c>
      <c r="Q38567" s="5" t="s">
        <v>355</v>
      </c>
    </row>
    <row r="38568" ht="16.5" customHeight="1">
      <c r="O38568" s="5" t="s">
        <v>355</v>
      </c>
      <c r="P38568" s="5" t="s">
        <v>355</v>
      </c>
      <c r="Q38568" s="5" t="s">
        <v>355</v>
      </c>
    </row>
    <row r="38569" ht="16.5" customHeight="1">
      <c r="O38569" s="5" t="s">
        <v>355</v>
      </c>
      <c r="P38569" s="5" t="s">
        <v>355</v>
      </c>
      <c r="Q38569" s="5" t="s">
        <v>355</v>
      </c>
    </row>
    <row r="38570" ht="16.5" customHeight="1">
      <c r="O38570" s="5" t="s">
        <v>355</v>
      </c>
      <c r="P38570" s="5" t="s">
        <v>355</v>
      </c>
      <c r="Q38570" s="5" t="s">
        <v>355</v>
      </c>
    </row>
    <row r="38571" ht="16.5" customHeight="1">
      <c r="O38571" s="5" t="s">
        <v>355</v>
      </c>
      <c r="P38571" s="5" t="s">
        <v>355</v>
      </c>
      <c r="Q38571" s="5" t="s">
        <v>355</v>
      </c>
    </row>
    <row r="38572" ht="16.5" customHeight="1">
      <c r="O38572" s="5" t="s">
        <v>355</v>
      </c>
      <c r="P38572" s="5" t="s">
        <v>355</v>
      </c>
      <c r="Q38572" s="5" t="s">
        <v>355</v>
      </c>
    </row>
    <row r="38573" ht="16.5" customHeight="1">
      <c r="O38573" s="5" t="s">
        <v>355</v>
      </c>
      <c r="P38573" s="5" t="s">
        <v>355</v>
      </c>
      <c r="Q38573" s="5" t="s">
        <v>355</v>
      </c>
    </row>
    <row r="38574" ht="16.5" customHeight="1">
      <c r="O38574" s="5" t="s">
        <v>355</v>
      </c>
      <c r="P38574" s="5" t="s">
        <v>355</v>
      </c>
      <c r="Q38574" s="5" t="s">
        <v>355</v>
      </c>
    </row>
    <row r="38575" ht="16.5" customHeight="1">
      <c r="O38575" s="5" t="s">
        <v>355</v>
      </c>
      <c r="P38575" s="5" t="s">
        <v>355</v>
      </c>
      <c r="Q38575" s="5" t="s">
        <v>355</v>
      </c>
    </row>
    <row r="38576" ht="16.5" customHeight="1">
      <c r="O38576" s="5" t="s">
        <v>355</v>
      </c>
      <c r="P38576" s="5" t="s">
        <v>355</v>
      </c>
      <c r="Q38576" s="5" t="s">
        <v>355</v>
      </c>
    </row>
    <row r="38577" ht="16.5" customHeight="1">
      <c r="O38577" s="5" t="s">
        <v>355</v>
      </c>
      <c r="P38577" s="5" t="s">
        <v>355</v>
      </c>
      <c r="Q38577" s="5" t="s">
        <v>355</v>
      </c>
    </row>
    <row r="38578" ht="16.5" customHeight="1">
      <c r="O38578" s="5" t="s">
        <v>355</v>
      </c>
      <c r="P38578" s="5" t="s">
        <v>355</v>
      </c>
      <c r="Q38578" s="5" t="s">
        <v>355</v>
      </c>
    </row>
    <row r="38579" ht="16.5" customHeight="1">
      <c r="O38579" s="5" t="s">
        <v>355</v>
      </c>
      <c r="P38579" s="5" t="s">
        <v>355</v>
      </c>
      <c r="Q38579" s="5" t="s">
        <v>355</v>
      </c>
    </row>
    <row r="38580" ht="16.5" customHeight="1">
      <c r="O38580" s="5" t="s">
        <v>355</v>
      </c>
      <c r="P38580" s="5" t="s">
        <v>355</v>
      </c>
      <c r="Q38580" s="5" t="s">
        <v>355</v>
      </c>
    </row>
    <row r="38581" ht="16.5" customHeight="1">
      <c r="O38581" s="5" t="s">
        <v>355</v>
      </c>
      <c r="P38581" s="5" t="s">
        <v>355</v>
      </c>
      <c r="Q38581" s="5" t="s">
        <v>355</v>
      </c>
    </row>
    <row r="38582" ht="16.5" customHeight="1">
      <c r="O38582" s="5" t="s">
        <v>355</v>
      </c>
      <c r="P38582" s="5" t="s">
        <v>355</v>
      </c>
      <c r="Q38582" s="5" t="s">
        <v>355</v>
      </c>
    </row>
    <row r="38583" ht="16.5" customHeight="1">
      <c r="O38583" s="5" t="s">
        <v>355</v>
      </c>
      <c r="P38583" s="5" t="s">
        <v>355</v>
      </c>
      <c r="Q38583" s="5" t="s">
        <v>355</v>
      </c>
    </row>
    <row r="38584" ht="16.5" customHeight="1">
      <c r="O38584" s="5" t="s">
        <v>355</v>
      </c>
      <c r="P38584" s="5" t="s">
        <v>355</v>
      </c>
      <c r="Q38584" s="5" t="s">
        <v>355</v>
      </c>
    </row>
    <row r="38585" ht="16.5" customHeight="1">
      <c r="O38585" s="5" t="s">
        <v>355</v>
      </c>
      <c r="P38585" s="5" t="s">
        <v>355</v>
      </c>
      <c r="Q38585" s="5" t="s">
        <v>355</v>
      </c>
    </row>
    <row r="38586" ht="16.5" customHeight="1">
      <c r="O38586" s="5" t="s">
        <v>355</v>
      </c>
      <c r="P38586" s="5" t="s">
        <v>355</v>
      </c>
      <c r="Q38586" s="5" t="s">
        <v>355</v>
      </c>
    </row>
    <row r="38587" ht="16.5" customHeight="1">
      <c r="O38587" s="5" t="s">
        <v>355</v>
      </c>
      <c r="P38587" s="5" t="s">
        <v>355</v>
      </c>
      <c r="Q38587" s="5" t="s">
        <v>355</v>
      </c>
    </row>
    <row r="38588" ht="16.5" customHeight="1">
      <c r="O38588" s="5" t="s">
        <v>355</v>
      </c>
      <c r="P38588" s="5" t="s">
        <v>355</v>
      </c>
      <c r="Q38588" s="5" t="s">
        <v>355</v>
      </c>
    </row>
    <row r="38589" ht="16.5" customHeight="1">
      <c r="O38589" s="5" t="s">
        <v>355</v>
      </c>
      <c r="P38589" s="5" t="s">
        <v>355</v>
      </c>
      <c r="Q38589" s="5" t="s">
        <v>355</v>
      </c>
    </row>
    <row r="38590" ht="16.5" customHeight="1">
      <c r="O38590" s="5" t="s">
        <v>355</v>
      </c>
      <c r="P38590" s="5" t="s">
        <v>355</v>
      </c>
      <c r="Q38590" s="5" t="s">
        <v>355</v>
      </c>
    </row>
    <row r="38591" ht="16.5" customHeight="1">
      <c r="O38591" s="5" t="s">
        <v>355</v>
      </c>
      <c r="P38591" s="5" t="s">
        <v>355</v>
      </c>
      <c r="Q38591" s="5" t="s">
        <v>355</v>
      </c>
    </row>
    <row r="38592" ht="16.5" customHeight="1">
      <c r="O38592" s="5" t="s">
        <v>355</v>
      </c>
      <c r="P38592" s="5" t="s">
        <v>355</v>
      </c>
      <c r="Q38592" s="5" t="s">
        <v>355</v>
      </c>
    </row>
    <row r="38593" ht="16.5" customHeight="1">
      <c r="O38593" s="5" t="s">
        <v>355</v>
      </c>
      <c r="P38593" s="5" t="s">
        <v>355</v>
      </c>
      <c r="Q38593" s="5" t="s">
        <v>355</v>
      </c>
    </row>
    <row r="38594" ht="16.5" customHeight="1">
      <c r="O38594" s="5" t="s">
        <v>355</v>
      </c>
      <c r="P38594" s="5" t="s">
        <v>355</v>
      </c>
      <c r="Q38594" s="5" t="s">
        <v>355</v>
      </c>
    </row>
    <row r="38595" ht="16.5" customHeight="1">
      <c r="O38595" s="5" t="s">
        <v>355</v>
      </c>
      <c r="P38595" s="5" t="s">
        <v>355</v>
      </c>
      <c r="Q38595" s="5" t="s">
        <v>355</v>
      </c>
    </row>
    <row r="38596" ht="16.5" customHeight="1">
      <c r="O38596" s="5" t="s">
        <v>355</v>
      </c>
      <c r="P38596" s="5" t="s">
        <v>355</v>
      </c>
      <c r="Q38596" s="5" t="s">
        <v>355</v>
      </c>
    </row>
    <row r="38597" ht="16.5" customHeight="1">
      <c r="O38597" s="5" t="s">
        <v>355</v>
      </c>
      <c r="P38597" s="5" t="s">
        <v>355</v>
      </c>
      <c r="Q38597" s="5" t="s">
        <v>355</v>
      </c>
    </row>
    <row r="38598" ht="16.5" customHeight="1">
      <c r="O38598" s="5" t="s">
        <v>355</v>
      </c>
      <c r="P38598" s="5" t="s">
        <v>355</v>
      </c>
      <c r="Q38598" s="5" t="s">
        <v>355</v>
      </c>
    </row>
    <row r="38599" ht="16.5" customHeight="1">
      <c r="O38599" s="5" t="s">
        <v>355</v>
      </c>
      <c r="P38599" s="5" t="s">
        <v>355</v>
      </c>
      <c r="Q38599" s="5" t="s">
        <v>355</v>
      </c>
    </row>
    <row r="38600" ht="16.5" customHeight="1">
      <c r="O38600" s="5" t="s">
        <v>355</v>
      </c>
      <c r="P38600" s="5" t="s">
        <v>355</v>
      </c>
      <c r="Q38600" s="5" t="s">
        <v>355</v>
      </c>
    </row>
    <row r="38601" ht="16.5" customHeight="1">
      <c r="O38601" s="5" t="s">
        <v>355</v>
      </c>
      <c r="P38601" s="5" t="s">
        <v>355</v>
      </c>
      <c r="Q38601" s="5" t="s">
        <v>355</v>
      </c>
    </row>
    <row r="38602" ht="16.5" customHeight="1">
      <c r="O38602" s="5" t="s">
        <v>355</v>
      </c>
      <c r="P38602" s="5" t="s">
        <v>355</v>
      </c>
      <c r="Q38602" s="5" t="s">
        <v>355</v>
      </c>
    </row>
    <row r="38603" ht="16.5" customHeight="1">
      <c r="O38603" s="5" t="s">
        <v>355</v>
      </c>
      <c r="P38603" s="5" t="s">
        <v>355</v>
      </c>
      <c r="Q38603" s="5" t="s">
        <v>355</v>
      </c>
    </row>
    <row r="38604" ht="16.5" customHeight="1">
      <c r="O38604" s="5" t="s">
        <v>355</v>
      </c>
      <c r="P38604" s="5" t="s">
        <v>355</v>
      </c>
      <c r="Q38604" s="5" t="s">
        <v>355</v>
      </c>
    </row>
    <row r="38605" ht="16.5" customHeight="1">
      <c r="O38605" s="5" t="s">
        <v>355</v>
      </c>
      <c r="P38605" s="5" t="s">
        <v>355</v>
      </c>
      <c r="Q38605" s="5" t="s">
        <v>355</v>
      </c>
    </row>
    <row r="38606" ht="16.5" customHeight="1">
      <c r="O38606" s="5" t="s">
        <v>355</v>
      </c>
      <c r="P38606" s="5" t="s">
        <v>355</v>
      </c>
      <c r="Q38606" s="5" t="s">
        <v>355</v>
      </c>
    </row>
    <row r="38607" ht="16.5" customHeight="1">
      <c r="O38607" s="5" t="s">
        <v>355</v>
      </c>
      <c r="P38607" s="5" t="s">
        <v>355</v>
      </c>
      <c r="Q38607" s="5" t="s">
        <v>355</v>
      </c>
    </row>
    <row r="38608" ht="16.5" customHeight="1">
      <c r="O38608" s="5" t="s">
        <v>355</v>
      </c>
      <c r="P38608" s="5" t="s">
        <v>355</v>
      </c>
      <c r="Q38608" s="5" t="s">
        <v>355</v>
      </c>
    </row>
    <row r="38609" ht="16.5" customHeight="1">
      <c r="O38609" s="5" t="s">
        <v>355</v>
      </c>
      <c r="P38609" s="5" t="s">
        <v>355</v>
      </c>
      <c r="Q38609" s="5" t="s">
        <v>355</v>
      </c>
    </row>
    <row r="38610" ht="16.5" customHeight="1">
      <c r="O38610" s="5" t="s">
        <v>355</v>
      </c>
      <c r="P38610" s="5" t="s">
        <v>355</v>
      </c>
      <c r="Q38610" s="5" t="s">
        <v>355</v>
      </c>
    </row>
    <row r="38611" ht="16.5" customHeight="1">
      <c r="O38611" s="5" t="s">
        <v>355</v>
      </c>
      <c r="P38611" s="5" t="s">
        <v>355</v>
      </c>
      <c r="Q38611" s="5" t="s">
        <v>355</v>
      </c>
    </row>
    <row r="38612" ht="16.5" customHeight="1">
      <c r="O38612" s="5" t="s">
        <v>355</v>
      </c>
      <c r="P38612" s="5" t="s">
        <v>355</v>
      </c>
      <c r="Q38612" s="5" t="s">
        <v>355</v>
      </c>
    </row>
    <row r="38613" ht="16.5" customHeight="1">
      <c r="O38613" s="5" t="s">
        <v>355</v>
      </c>
      <c r="P38613" s="5" t="s">
        <v>355</v>
      </c>
      <c r="Q38613" s="5" t="s">
        <v>355</v>
      </c>
    </row>
    <row r="38614" ht="16.5" customHeight="1">
      <c r="O38614" s="5" t="s">
        <v>355</v>
      </c>
      <c r="P38614" s="5" t="s">
        <v>355</v>
      </c>
      <c r="Q38614" s="5" t="s">
        <v>355</v>
      </c>
    </row>
    <row r="38615" ht="16.5" customHeight="1">
      <c r="O38615" s="5" t="s">
        <v>355</v>
      </c>
      <c r="P38615" s="5" t="s">
        <v>355</v>
      </c>
      <c r="Q38615" s="5" t="s">
        <v>355</v>
      </c>
    </row>
    <row r="38616" ht="16.5" customHeight="1">
      <c r="O38616" s="5" t="s">
        <v>355</v>
      </c>
      <c r="P38616" s="5" t="s">
        <v>355</v>
      </c>
      <c r="Q38616" s="5" t="s">
        <v>355</v>
      </c>
    </row>
    <row r="38617" ht="16.5" customHeight="1">
      <c r="O38617" s="5" t="s">
        <v>355</v>
      </c>
      <c r="P38617" s="5" t="s">
        <v>355</v>
      </c>
      <c r="Q38617" s="5" t="s">
        <v>355</v>
      </c>
    </row>
    <row r="38618" ht="16.5" customHeight="1">
      <c r="O38618" s="5" t="s">
        <v>355</v>
      </c>
      <c r="P38618" s="5" t="s">
        <v>355</v>
      </c>
      <c r="Q38618" s="5" t="s">
        <v>355</v>
      </c>
    </row>
    <row r="38619" ht="16.5" customHeight="1">
      <c r="O38619" s="5" t="s">
        <v>355</v>
      </c>
      <c r="P38619" s="5" t="s">
        <v>355</v>
      </c>
      <c r="Q38619" s="5" t="s">
        <v>355</v>
      </c>
    </row>
    <row r="38620" ht="16.5" customHeight="1">
      <c r="O38620" s="5" t="s">
        <v>355</v>
      </c>
      <c r="P38620" s="5" t="s">
        <v>355</v>
      </c>
      <c r="Q38620" s="5" t="s">
        <v>355</v>
      </c>
    </row>
    <row r="38621" ht="16.5" customHeight="1">
      <c r="O38621" s="5" t="s">
        <v>355</v>
      </c>
      <c r="P38621" s="5" t="s">
        <v>355</v>
      </c>
      <c r="Q38621" s="5" t="s">
        <v>355</v>
      </c>
    </row>
    <row r="38622" ht="16.5" customHeight="1">
      <c r="O38622" s="5" t="s">
        <v>355</v>
      </c>
      <c r="P38622" s="5" t="s">
        <v>355</v>
      </c>
      <c r="Q38622" s="5" t="s">
        <v>355</v>
      </c>
    </row>
    <row r="38623" ht="16.5" customHeight="1">
      <c r="O38623" s="5" t="s">
        <v>355</v>
      </c>
      <c r="P38623" s="5" t="s">
        <v>355</v>
      </c>
      <c r="Q38623" s="5" t="s">
        <v>355</v>
      </c>
    </row>
    <row r="38624" ht="16.5" customHeight="1">
      <c r="O38624" s="5" t="s">
        <v>355</v>
      </c>
      <c r="P38624" s="5" t="s">
        <v>355</v>
      </c>
      <c r="Q38624" s="5" t="s">
        <v>355</v>
      </c>
    </row>
    <row r="38625" ht="16.5" customHeight="1">
      <c r="O38625" s="5" t="s">
        <v>355</v>
      </c>
      <c r="P38625" s="5" t="s">
        <v>355</v>
      </c>
      <c r="Q38625" s="5" t="s">
        <v>355</v>
      </c>
    </row>
    <row r="38626" ht="16.5" customHeight="1">
      <c r="O38626" s="5" t="s">
        <v>355</v>
      </c>
      <c r="P38626" s="5" t="s">
        <v>355</v>
      </c>
      <c r="Q38626" s="5" t="s">
        <v>355</v>
      </c>
    </row>
    <row r="38627" ht="16.5" customHeight="1">
      <c r="O38627" s="5" t="s">
        <v>355</v>
      </c>
      <c r="P38627" s="5" t="s">
        <v>355</v>
      </c>
      <c r="Q38627" s="5" t="s">
        <v>355</v>
      </c>
    </row>
    <row r="38628" ht="16.5" customHeight="1">
      <c r="O38628" s="5" t="s">
        <v>355</v>
      </c>
      <c r="P38628" s="5" t="s">
        <v>355</v>
      </c>
      <c r="Q38628" s="5" t="s">
        <v>355</v>
      </c>
    </row>
    <row r="38629" ht="16.5" customHeight="1">
      <c r="O38629" s="5" t="s">
        <v>355</v>
      </c>
      <c r="P38629" s="5" t="s">
        <v>355</v>
      </c>
      <c r="Q38629" s="5" t="s">
        <v>355</v>
      </c>
    </row>
    <row r="38630" ht="16.5" customHeight="1">
      <c r="O38630" s="5" t="s">
        <v>355</v>
      </c>
      <c r="P38630" s="5" t="s">
        <v>355</v>
      </c>
      <c r="Q38630" s="5" t="s">
        <v>355</v>
      </c>
    </row>
    <row r="38631" ht="16.5" customHeight="1">
      <c r="O38631" s="5" t="s">
        <v>355</v>
      </c>
      <c r="P38631" s="5" t="s">
        <v>355</v>
      </c>
      <c r="Q38631" s="5" t="s">
        <v>355</v>
      </c>
    </row>
    <row r="38632" ht="16.5" customHeight="1">
      <c r="O38632" s="5" t="s">
        <v>355</v>
      </c>
      <c r="P38632" s="5" t="s">
        <v>355</v>
      </c>
      <c r="Q38632" s="5" t="s">
        <v>355</v>
      </c>
    </row>
    <row r="38633" ht="16.5" customHeight="1">
      <c r="O38633" s="5" t="s">
        <v>355</v>
      </c>
      <c r="P38633" s="5" t="s">
        <v>355</v>
      </c>
      <c r="Q38633" s="5" t="s">
        <v>355</v>
      </c>
    </row>
    <row r="38634" ht="16.5" customHeight="1">
      <c r="O38634" s="5" t="s">
        <v>355</v>
      </c>
      <c r="P38634" s="5" t="s">
        <v>355</v>
      </c>
      <c r="Q38634" s="5" t="s">
        <v>355</v>
      </c>
    </row>
    <row r="38635" ht="16.5" customHeight="1">
      <c r="O38635" s="5" t="s">
        <v>355</v>
      </c>
      <c r="P38635" s="5" t="s">
        <v>355</v>
      </c>
      <c r="Q38635" s="5" t="s">
        <v>355</v>
      </c>
    </row>
    <row r="38636" ht="16.5" customHeight="1">
      <c r="O38636" s="5" t="s">
        <v>355</v>
      </c>
      <c r="P38636" s="5" t="s">
        <v>355</v>
      </c>
      <c r="Q38636" s="5" t="s">
        <v>355</v>
      </c>
    </row>
    <row r="38637" ht="16.5" customHeight="1">
      <c r="O38637" s="5" t="s">
        <v>355</v>
      </c>
      <c r="P38637" s="5" t="s">
        <v>355</v>
      </c>
      <c r="Q38637" s="5" t="s">
        <v>355</v>
      </c>
    </row>
    <row r="38638" ht="16.5" customHeight="1">
      <c r="O38638" s="5" t="s">
        <v>355</v>
      </c>
      <c r="P38638" s="5" t="s">
        <v>355</v>
      </c>
      <c r="Q38638" s="5" t="s">
        <v>355</v>
      </c>
    </row>
    <row r="38639" ht="16.5" customHeight="1">
      <c r="O38639" s="5" t="s">
        <v>355</v>
      </c>
      <c r="P38639" s="5" t="s">
        <v>355</v>
      </c>
      <c r="Q38639" s="5" t="s">
        <v>355</v>
      </c>
    </row>
    <row r="38640" ht="16.5" customHeight="1">
      <c r="O38640" s="5" t="s">
        <v>355</v>
      </c>
      <c r="P38640" s="5" t="s">
        <v>355</v>
      </c>
      <c r="Q38640" s="5" t="s">
        <v>355</v>
      </c>
    </row>
    <row r="38641" ht="16.5" customHeight="1">
      <c r="O38641" s="5" t="s">
        <v>355</v>
      </c>
      <c r="P38641" s="5" t="s">
        <v>355</v>
      </c>
      <c r="Q38641" s="5" t="s">
        <v>355</v>
      </c>
    </row>
    <row r="38642" ht="16.5" customHeight="1">
      <c r="O38642" s="5" t="s">
        <v>355</v>
      </c>
      <c r="P38642" s="5" t="s">
        <v>355</v>
      </c>
      <c r="Q38642" s="5" t="s">
        <v>355</v>
      </c>
    </row>
    <row r="38643" ht="16.5" customHeight="1">
      <c r="O38643" s="5" t="s">
        <v>355</v>
      </c>
      <c r="P38643" s="5" t="s">
        <v>355</v>
      </c>
      <c r="Q38643" s="5" t="s">
        <v>355</v>
      </c>
    </row>
    <row r="38644" ht="16.5" customHeight="1">
      <c r="O38644" s="5" t="s">
        <v>355</v>
      </c>
      <c r="P38644" s="5" t="s">
        <v>355</v>
      </c>
      <c r="Q38644" s="5" t="s">
        <v>355</v>
      </c>
    </row>
    <row r="38645" ht="16.5" customHeight="1">
      <c r="O38645" s="5" t="s">
        <v>355</v>
      </c>
      <c r="P38645" s="5" t="s">
        <v>355</v>
      </c>
      <c r="Q38645" s="5" t="s">
        <v>355</v>
      </c>
    </row>
    <row r="38646" ht="16.5" customHeight="1">
      <c r="O38646" s="5" t="s">
        <v>355</v>
      </c>
      <c r="P38646" s="5" t="s">
        <v>355</v>
      </c>
      <c r="Q38646" s="5" t="s">
        <v>355</v>
      </c>
    </row>
    <row r="38647" ht="16.5" customHeight="1">
      <c r="O38647" s="5" t="s">
        <v>355</v>
      </c>
      <c r="P38647" s="5" t="s">
        <v>355</v>
      </c>
      <c r="Q38647" s="5" t="s">
        <v>355</v>
      </c>
    </row>
    <row r="38648" ht="16.5" customHeight="1">
      <c r="O38648" s="5" t="s">
        <v>355</v>
      </c>
      <c r="P38648" s="5" t="s">
        <v>355</v>
      </c>
      <c r="Q38648" s="5" t="s">
        <v>355</v>
      </c>
    </row>
    <row r="38649" ht="16.5" customHeight="1">
      <c r="O38649" s="5" t="s">
        <v>355</v>
      </c>
      <c r="P38649" s="5" t="s">
        <v>355</v>
      </c>
      <c r="Q38649" s="5" t="s">
        <v>355</v>
      </c>
    </row>
    <row r="38650" ht="16.5" customHeight="1">
      <c r="O38650" s="5" t="s">
        <v>355</v>
      </c>
      <c r="P38650" s="5" t="s">
        <v>355</v>
      </c>
      <c r="Q38650" s="5" t="s">
        <v>355</v>
      </c>
    </row>
    <row r="38651" ht="16.5" customHeight="1">
      <c r="O38651" s="5" t="s">
        <v>355</v>
      </c>
      <c r="P38651" s="5" t="s">
        <v>355</v>
      </c>
      <c r="Q38651" s="5" t="s">
        <v>355</v>
      </c>
    </row>
    <row r="38652" ht="16.5" customHeight="1">
      <c r="O38652" s="5" t="s">
        <v>355</v>
      </c>
      <c r="P38652" s="5" t="s">
        <v>355</v>
      </c>
      <c r="Q38652" s="5" t="s">
        <v>355</v>
      </c>
    </row>
    <row r="38653" ht="16.5" customHeight="1">
      <c r="O38653" s="5" t="s">
        <v>355</v>
      </c>
      <c r="P38653" s="5" t="s">
        <v>355</v>
      </c>
      <c r="Q38653" s="5" t="s">
        <v>355</v>
      </c>
    </row>
    <row r="38654" ht="16.5" customHeight="1">
      <c r="O38654" s="5" t="s">
        <v>355</v>
      </c>
      <c r="P38654" s="5" t="s">
        <v>355</v>
      </c>
      <c r="Q38654" s="5" t="s">
        <v>355</v>
      </c>
    </row>
    <row r="38655" ht="16.5" customHeight="1">
      <c r="O38655" s="5" t="s">
        <v>355</v>
      </c>
      <c r="P38655" s="5" t="s">
        <v>355</v>
      </c>
      <c r="Q38655" s="5" t="s">
        <v>355</v>
      </c>
    </row>
    <row r="38656" ht="16.5" customHeight="1">
      <c r="O38656" s="5" t="s">
        <v>355</v>
      </c>
      <c r="P38656" s="5" t="s">
        <v>355</v>
      </c>
      <c r="Q38656" s="5" t="s">
        <v>355</v>
      </c>
    </row>
    <row r="38657" ht="16.5" customHeight="1">
      <c r="O38657" s="5" t="s">
        <v>355</v>
      </c>
      <c r="P38657" s="5" t="s">
        <v>355</v>
      </c>
      <c r="Q38657" s="5" t="s">
        <v>355</v>
      </c>
    </row>
    <row r="38658" ht="16.5" customHeight="1">
      <c r="O38658" s="5" t="s">
        <v>355</v>
      </c>
      <c r="P38658" s="5" t="s">
        <v>355</v>
      </c>
      <c r="Q38658" s="5" t="s">
        <v>355</v>
      </c>
    </row>
    <row r="38659" ht="16.5" customHeight="1">
      <c r="O38659" s="5" t="s">
        <v>355</v>
      </c>
      <c r="P38659" s="5" t="s">
        <v>355</v>
      </c>
      <c r="Q38659" s="5" t="s">
        <v>355</v>
      </c>
    </row>
    <row r="38660" ht="16.5" customHeight="1">
      <c r="O38660" s="5" t="s">
        <v>355</v>
      </c>
      <c r="P38660" s="5" t="s">
        <v>355</v>
      </c>
      <c r="Q38660" s="5" t="s">
        <v>355</v>
      </c>
    </row>
    <row r="38661" ht="16.5" customHeight="1">
      <c r="O38661" s="5" t="s">
        <v>355</v>
      </c>
      <c r="P38661" s="5" t="s">
        <v>355</v>
      </c>
      <c r="Q38661" s="5" t="s">
        <v>355</v>
      </c>
    </row>
    <row r="38662" ht="16.5" customHeight="1">
      <c r="O38662" s="5" t="s">
        <v>355</v>
      </c>
      <c r="P38662" s="5" t="s">
        <v>355</v>
      </c>
      <c r="Q38662" s="5" t="s">
        <v>355</v>
      </c>
    </row>
    <row r="38663" ht="16.5" customHeight="1">
      <c r="O38663" s="5" t="s">
        <v>355</v>
      </c>
      <c r="P38663" s="5" t="s">
        <v>355</v>
      </c>
      <c r="Q38663" s="5" t="s">
        <v>355</v>
      </c>
    </row>
    <row r="38664" ht="16.5" customHeight="1">
      <c r="O38664" s="5" t="s">
        <v>355</v>
      </c>
      <c r="P38664" s="5" t="s">
        <v>355</v>
      </c>
      <c r="Q38664" s="5" t="s">
        <v>355</v>
      </c>
    </row>
    <row r="38665" ht="16.5" customHeight="1">
      <c r="O38665" s="5" t="s">
        <v>355</v>
      </c>
      <c r="P38665" s="5" t="s">
        <v>355</v>
      </c>
      <c r="Q38665" s="5" t="s">
        <v>355</v>
      </c>
    </row>
    <row r="38666" ht="16.5" customHeight="1">
      <c r="O38666" s="5" t="s">
        <v>355</v>
      </c>
      <c r="P38666" s="5" t="s">
        <v>355</v>
      </c>
      <c r="Q38666" s="5" t="s">
        <v>355</v>
      </c>
    </row>
    <row r="38667" ht="16.5" customHeight="1">
      <c r="O38667" s="5" t="s">
        <v>355</v>
      </c>
      <c r="P38667" s="5" t="s">
        <v>355</v>
      </c>
      <c r="Q38667" s="5" t="s">
        <v>355</v>
      </c>
    </row>
    <row r="38668" ht="16.5" customHeight="1">
      <c r="O38668" s="5" t="s">
        <v>355</v>
      </c>
      <c r="P38668" s="5" t="s">
        <v>355</v>
      </c>
      <c r="Q38668" s="5" t="s">
        <v>355</v>
      </c>
    </row>
    <row r="38669" ht="16.5" customHeight="1">
      <c r="O38669" s="5" t="s">
        <v>355</v>
      </c>
      <c r="P38669" s="5" t="s">
        <v>355</v>
      </c>
      <c r="Q38669" s="5" t="s">
        <v>355</v>
      </c>
    </row>
    <row r="38670" ht="16.5" customHeight="1">
      <c r="O38670" s="5" t="s">
        <v>355</v>
      </c>
      <c r="P38670" s="5" t="s">
        <v>355</v>
      </c>
      <c r="Q38670" s="5" t="s">
        <v>355</v>
      </c>
    </row>
    <row r="38671" ht="16.5" customHeight="1">
      <c r="O38671" s="5" t="s">
        <v>355</v>
      </c>
      <c r="P38671" s="5" t="s">
        <v>355</v>
      </c>
      <c r="Q38671" s="5" t="s">
        <v>355</v>
      </c>
    </row>
    <row r="38672" ht="16.5" customHeight="1">
      <c r="O38672" s="5" t="s">
        <v>355</v>
      </c>
      <c r="P38672" s="5" t="s">
        <v>355</v>
      </c>
      <c r="Q38672" s="5" t="s">
        <v>355</v>
      </c>
    </row>
    <row r="38673" ht="16.5" customHeight="1">
      <c r="O38673" s="5" t="s">
        <v>355</v>
      </c>
      <c r="P38673" s="5" t="s">
        <v>355</v>
      </c>
      <c r="Q38673" s="5" t="s">
        <v>355</v>
      </c>
    </row>
    <row r="38674" ht="16.5" customHeight="1">
      <c r="O38674" s="5" t="s">
        <v>355</v>
      </c>
      <c r="P38674" s="5" t="s">
        <v>355</v>
      </c>
      <c r="Q38674" s="5" t="s">
        <v>355</v>
      </c>
    </row>
    <row r="38675" ht="16.5" customHeight="1">
      <c r="O38675" s="5" t="s">
        <v>355</v>
      </c>
      <c r="P38675" s="5" t="s">
        <v>355</v>
      </c>
      <c r="Q38675" s="5" t="s">
        <v>355</v>
      </c>
    </row>
    <row r="38676" ht="16.5" customHeight="1">
      <c r="O38676" s="5" t="s">
        <v>355</v>
      </c>
      <c r="P38676" s="5" t="s">
        <v>355</v>
      </c>
      <c r="Q38676" s="5" t="s">
        <v>355</v>
      </c>
    </row>
    <row r="38677" ht="16.5" customHeight="1">
      <c r="O38677" s="5" t="s">
        <v>355</v>
      </c>
      <c r="P38677" s="5" t="s">
        <v>355</v>
      </c>
      <c r="Q38677" s="5" t="s">
        <v>355</v>
      </c>
    </row>
    <row r="38678" ht="16.5" customHeight="1">
      <c r="O38678" s="5" t="s">
        <v>355</v>
      </c>
      <c r="P38678" s="5" t="s">
        <v>355</v>
      </c>
      <c r="Q38678" s="5" t="s">
        <v>355</v>
      </c>
    </row>
    <row r="38679" ht="16.5" customHeight="1">
      <c r="O38679" s="5" t="s">
        <v>355</v>
      </c>
      <c r="P38679" s="5" t="s">
        <v>355</v>
      </c>
      <c r="Q38679" s="5" t="s">
        <v>355</v>
      </c>
    </row>
    <row r="38680" ht="16.5" customHeight="1">
      <c r="O38680" s="5" t="s">
        <v>355</v>
      </c>
      <c r="P38680" s="5" t="s">
        <v>355</v>
      </c>
      <c r="Q38680" s="5" t="s">
        <v>355</v>
      </c>
    </row>
    <row r="38681" ht="16.5" customHeight="1">
      <c r="O38681" s="5" t="s">
        <v>355</v>
      </c>
      <c r="P38681" s="5" t="s">
        <v>355</v>
      </c>
      <c r="Q38681" s="5" t="s">
        <v>355</v>
      </c>
    </row>
    <row r="38682" ht="16.5" customHeight="1">
      <c r="O38682" s="5" t="s">
        <v>355</v>
      </c>
      <c r="P38682" s="5" t="s">
        <v>355</v>
      </c>
      <c r="Q38682" s="5" t="s">
        <v>355</v>
      </c>
    </row>
    <row r="38683" ht="16.5" customHeight="1">
      <c r="O38683" s="5" t="s">
        <v>355</v>
      </c>
      <c r="P38683" s="5" t="s">
        <v>355</v>
      </c>
      <c r="Q38683" s="5" t="s">
        <v>355</v>
      </c>
    </row>
    <row r="38684" ht="16.5" customHeight="1">
      <c r="O38684" s="5" t="s">
        <v>355</v>
      </c>
      <c r="P38684" s="5" t="s">
        <v>355</v>
      </c>
      <c r="Q38684" s="5" t="s">
        <v>355</v>
      </c>
    </row>
    <row r="38685" ht="16.5" customHeight="1">
      <c r="O38685" s="5" t="s">
        <v>355</v>
      </c>
      <c r="P38685" s="5" t="s">
        <v>355</v>
      </c>
      <c r="Q38685" s="5" t="s">
        <v>355</v>
      </c>
    </row>
    <row r="38686" ht="16.5" customHeight="1">
      <c r="O38686" s="5" t="s">
        <v>355</v>
      </c>
      <c r="P38686" s="5" t="s">
        <v>355</v>
      </c>
      <c r="Q38686" s="5" t="s">
        <v>355</v>
      </c>
    </row>
    <row r="38687" ht="16.5" customHeight="1">
      <c r="O38687" s="5" t="s">
        <v>355</v>
      </c>
      <c r="P38687" s="5" t="s">
        <v>355</v>
      </c>
      <c r="Q38687" s="5" t="s">
        <v>355</v>
      </c>
    </row>
    <row r="38688" ht="16.5" customHeight="1">
      <c r="O38688" s="5" t="s">
        <v>355</v>
      </c>
      <c r="P38688" s="5" t="s">
        <v>355</v>
      </c>
      <c r="Q38688" s="5" t="s">
        <v>355</v>
      </c>
    </row>
    <row r="38689" ht="16.5" customHeight="1">
      <c r="O38689" s="5" t="s">
        <v>355</v>
      </c>
      <c r="P38689" s="5" t="s">
        <v>355</v>
      </c>
      <c r="Q38689" s="5" t="s">
        <v>355</v>
      </c>
    </row>
    <row r="38690" ht="16.5" customHeight="1">
      <c r="O38690" s="5" t="s">
        <v>355</v>
      </c>
      <c r="P38690" s="5" t="s">
        <v>355</v>
      </c>
      <c r="Q38690" s="5" t="s">
        <v>355</v>
      </c>
    </row>
    <row r="38691" ht="16.5" customHeight="1">
      <c r="O38691" s="5" t="s">
        <v>355</v>
      </c>
      <c r="P38691" s="5" t="s">
        <v>355</v>
      </c>
      <c r="Q38691" s="5" t="s">
        <v>355</v>
      </c>
    </row>
    <row r="38692" ht="16.5" customHeight="1">
      <c r="O38692" s="5" t="s">
        <v>355</v>
      </c>
      <c r="P38692" s="5" t="s">
        <v>355</v>
      </c>
      <c r="Q38692" s="5" t="s">
        <v>355</v>
      </c>
    </row>
    <row r="38693" ht="16.5" customHeight="1">
      <c r="O38693" s="5" t="s">
        <v>355</v>
      </c>
      <c r="P38693" s="5" t="s">
        <v>355</v>
      </c>
      <c r="Q38693" s="5" t="s">
        <v>355</v>
      </c>
    </row>
    <row r="38694" ht="16.5" customHeight="1">
      <c r="O38694" s="5" t="s">
        <v>355</v>
      </c>
      <c r="P38694" s="5" t="s">
        <v>355</v>
      </c>
      <c r="Q38694" s="5" t="s">
        <v>355</v>
      </c>
    </row>
    <row r="38695" ht="16.5" customHeight="1">
      <c r="O38695" s="5" t="s">
        <v>355</v>
      </c>
      <c r="P38695" s="5" t="s">
        <v>355</v>
      </c>
      <c r="Q38695" s="5" t="s">
        <v>355</v>
      </c>
    </row>
    <row r="38696" ht="16.5" customHeight="1">
      <c r="O38696" s="5" t="s">
        <v>355</v>
      </c>
      <c r="P38696" s="5" t="s">
        <v>355</v>
      </c>
      <c r="Q38696" s="5" t="s">
        <v>355</v>
      </c>
    </row>
    <row r="38697" ht="16.5" customHeight="1">
      <c r="O38697" s="5" t="s">
        <v>355</v>
      </c>
      <c r="P38697" s="5" t="s">
        <v>355</v>
      </c>
      <c r="Q38697" s="5" t="s">
        <v>355</v>
      </c>
    </row>
    <row r="38698" ht="16.5" customHeight="1">
      <c r="O38698" s="5" t="s">
        <v>355</v>
      </c>
      <c r="P38698" s="5" t="s">
        <v>355</v>
      </c>
      <c r="Q38698" s="5" t="s">
        <v>355</v>
      </c>
    </row>
    <row r="38699" ht="16.5" customHeight="1">
      <c r="O38699" s="5" t="s">
        <v>355</v>
      </c>
      <c r="P38699" s="5" t="s">
        <v>355</v>
      </c>
      <c r="Q38699" s="5" t="s">
        <v>355</v>
      </c>
    </row>
    <row r="38700" ht="16.5" customHeight="1">
      <c r="O38700" s="5" t="s">
        <v>355</v>
      </c>
      <c r="P38700" s="5" t="s">
        <v>355</v>
      </c>
      <c r="Q38700" s="5" t="s">
        <v>355</v>
      </c>
    </row>
    <row r="38701" ht="16.5" customHeight="1">
      <c r="O38701" s="5" t="s">
        <v>355</v>
      </c>
      <c r="P38701" s="5" t="s">
        <v>355</v>
      </c>
      <c r="Q38701" s="5" t="s">
        <v>355</v>
      </c>
    </row>
    <row r="38702" ht="16.5" customHeight="1">
      <c r="O38702" s="5" t="s">
        <v>355</v>
      </c>
      <c r="P38702" s="5" t="s">
        <v>355</v>
      </c>
      <c r="Q38702" s="5" t="s">
        <v>355</v>
      </c>
    </row>
    <row r="38703" ht="16.5" customHeight="1">
      <c r="O38703" s="5" t="s">
        <v>355</v>
      </c>
      <c r="P38703" s="5" t="s">
        <v>355</v>
      </c>
      <c r="Q38703" s="5" t="s">
        <v>355</v>
      </c>
    </row>
    <row r="38704" ht="16.5" customHeight="1">
      <c r="O38704" s="5" t="s">
        <v>355</v>
      </c>
      <c r="P38704" s="5" t="s">
        <v>355</v>
      </c>
      <c r="Q38704" s="5" t="s">
        <v>355</v>
      </c>
    </row>
    <row r="38705" ht="16.5" customHeight="1">
      <c r="O38705" s="5" t="s">
        <v>355</v>
      </c>
      <c r="P38705" s="5" t="s">
        <v>355</v>
      </c>
      <c r="Q38705" s="5" t="s">
        <v>355</v>
      </c>
    </row>
    <row r="38706" ht="16.5" customHeight="1">
      <c r="O38706" s="5" t="s">
        <v>355</v>
      </c>
      <c r="P38706" s="5" t="s">
        <v>355</v>
      </c>
      <c r="Q38706" s="5" t="s">
        <v>355</v>
      </c>
    </row>
    <row r="38707" ht="16.5" customHeight="1">
      <c r="O38707" s="5" t="s">
        <v>355</v>
      </c>
      <c r="P38707" s="5" t="s">
        <v>355</v>
      </c>
      <c r="Q38707" s="5" t="s">
        <v>355</v>
      </c>
    </row>
    <row r="38708" ht="16.5" customHeight="1">
      <c r="O38708" s="5" t="s">
        <v>355</v>
      </c>
      <c r="P38708" s="5" t="s">
        <v>355</v>
      </c>
      <c r="Q38708" s="5" t="s">
        <v>355</v>
      </c>
    </row>
    <row r="38709" ht="16.5" customHeight="1">
      <c r="O38709" s="5" t="s">
        <v>355</v>
      </c>
      <c r="P38709" s="5" t="s">
        <v>355</v>
      </c>
      <c r="Q38709" s="5" t="s">
        <v>355</v>
      </c>
    </row>
    <row r="38710" ht="16.5" customHeight="1">
      <c r="O38710" s="5" t="s">
        <v>355</v>
      </c>
      <c r="P38710" s="5" t="s">
        <v>355</v>
      </c>
      <c r="Q38710" s="5" t="s">
        <v>355</v>
      </c>
    </row>
    <row r="38711" ht="16.5" customHeight="1">
      <c r="O38711" s="5" t="s">
        <v>355</v>
      </c>
      <c r="P38711" s="5" t="s">
        <v>355</v>
      </c>
      <c r="Q38711" s="5" t="s">
        <v>355</v>
      </c>
    </row>
    <row r="38712" ht="16.5" customHeight="1">
      <c r="O38712" s="5" t="s">
        <v>355</v>
      </c>
      <c r="P38712" s="5" t="s">
        <v>355</v>
      </c>
      <c r="Q38712" s="5" t="s">
        <v>355</v>
      </c>
    </row>
    <row r="38713" ht="16.5" customHeight="1">
      <c r="O38713" s="5" t="s">
        <v>355</v>
      </c>
      <c r="P38713" s="5" t="s">
        <v>355</v>
      </c>
      <c r="Q38713" s="5" t="s">
        <v>355</v>
      </c>
    </row>
    <row r="38714" ht="16.5" customHeight="1">
      <c r="O38714" s="5" t="s">
        <v>355</v>
      </c>
      <c r="P38714" s="5" t="s">
        <v>355</v>
      </c>
      <c r="Q38714" s="5" t="s">
        <v>355</v>
      </c>
    </row>
    <row r="38715" ht="16.5" customHeight="1">
      <c r="O38715" s="5" t="s">
        <v>355</v>
      </c>
      <c r="P38715" s="5" t="s">
        <v>355</v>
      </c>
      <c r="Q38715" s="5" t="s">
        <v>355</v>
      </c>
    </row>
    <row r="38716" ht="16.5" customHeight="1">
      <c r="O38716" s="5" t="s">
        <v>355</v>
      </c>
      <c r="P38716" s="5" t="s">
        <v>355</v>
      </c>
      <c r="Q38716" s="5" t="s">
        <v>355</v>
      </c>
    </row>
    <row r="38717" ht="16.5" customHeight="1">
      <c r="O38717" s="5" t="s">
        <v>355</v>
      </c>
      <c r="P38717" s="5" t="s">
        <v>355</v>
      </c>
      <c r="Q38717" s="5" t="s">
        <v>355</v>
      </c>
    </row>
    <row r="38718" ht="16.5" customHeight="1">
      <c r="O38718" s="5" t="s">
        <v>355</v>
      </c>
      <c r="P38718" s="5" t="s">
        <v>355</v>
      </c>
      <c r="Q38718" s="5" t="s">
        <v>355</v>
      </c>
    </row>
    <row r="38719" ht="16.5" customHeight="1">
      <c r="O38719" s="5" t="s">
        <v>355</v>
      </c>
      <c r="P38719" s="5" t="s">
        <v>355</v>
      </c>
      <c r="Q38719" s="5" t="s">
        <v>355</v>
      </c>
    </row>
    <row r="38720" ht="16.5" customHeight="1">
      <c r="O38720" s="5" t="s">
        <v>355</v>
      </c>
      <c r="P38720" s="5" t="s">
        <v>355</v>
      </c>
      <c r="Q38720" s="5" t="s">
        <v>355</v>
      </c>
    </row>
    <row r="38721" ht="16.5" customHeight="1">
      <c r="O38721" s="5" t="s">
        <v>355</v>
      </c>
      <c r="P38721" s="5" t="s">
        <v>355</v>
      </c>
      <c r="Q38721" s="5" t="s">
        <v>355</v>
      </c>
    </row>
    <row r="38722" ht="16.5" customHeight="1">
      <c r="O38722" s="5" t="s">
        <v>355</v>
      </c>
      <c r="P38722" s="5" t="s">
        <v>355</v>
      </c>
      <c r="Q38722" s="5" t="s">
        <v>355</v>
      </c>
    </row>
    <row r="38723" ht="16.5" customHeight="1">
      <c r="O38723" s="5" t="s">
        <v>355</v>
      </c>
      <c r="P38723" s="5" t="s">
        <v>355</v>
      </c>
      <c r="Q38723" s="5" t="s">
        <v>355</v>
      </c>
    </row>
    <row r="38724" ht="16.5" customHeight="1">
      <c r="O38724" s="5" t="s">
        <v>355</v>
      </c>
      <c r="P38724" s="5" t="s">
        <v>355</v>
      </c>
      <c r="Q38724" s="5" t="s">
        <v>355</v>
      </c>
    </row>
    <row r="38725" ht="16.5" customHeight="1">
      <c r="O38725" s="5" t="s">
        <v>355</v>
      </c>
      <c r="P38725" s="5" t="s">
        <v>355</v>
      </c>
      <c r="Q38725" s="5" t="s">
        <v>355</v>
      </c>
    </row>
    <row r="38726" ht="16.5" customHeight="1">
      <c r="O38726" s="5" t="s">
        <v>355</v>
      </c>
      <c r="P38726" s="5" t="s">
        <v>355</v>
      </c>
      <c r="Q38726" s="5" t="s">
        <v>355</v>
      </c>
    </row>
    <row r="38727" ht="16.5" customHeight="1">
      <c r="O38727" s="5" t="s">
        <v>355</v>
      </c>
      <c r="P38727" s="5" t="s">
        <v>355</v>
      </c>
      <c r="Q38727" s="5" t="s">
        <v>355</v>
      </c>
    </row>
    <row r="38728" ht="16.5" customHeight="1">
      <c r="O38728" s="5" t="s">
        <v>355</v>
      </c>
      <c r="P38728" s="5" t="s">
        <v>355</v>
      </c>
      <c r="Q38728" s="5" t="s">
        <v>355</v>
      </c>
    </row>
    <row r="38729" ht="16.5" customHeight="1">
      <c r="O38729" s="5" t="s">
        <v>355</v>
      </c>
      <c r="P38729" s="5" t="s">
        <v>355</v>
      </c>
      <c r="Q38729" s="5" t="s">
        <v>355</v>
      </c>
    </row>
    <row r="38730" ht="16.5" customHeight="1">
      <c r="O38730" s="5" t="s">
        <v>355</v>
      </c>
      <c r="P38730" s="5" t="s">
        <v>355</v>
      </c>
      <c r="Q38730" s="5" t="s">
        <v>355</v>
      </c>
    </row>
    <row r="38731" ht="16.5" customHeight="1">
      <c r="O38731" s="5" t="s">
        <v>355</v>
      </c>
      <c r="P38731" s="5" t="s">
        <v>355</v>
      </c>
      <c r="Q38731" s="5" t="s">
        <v>355</v>
      </c>
    </row>
    <row r="38732" ht="16.5" customHeight="1">
      <c r="O38732" s="5" t="s">
        <v>355</v>
      </c>
      <c r="P38732" s="5" t="s">
        <v>355</v>
      </c>
      <c r="Q38732" s="5" t="s">
        <v>355</v>
      </c>
    </row>
    <row r="38733" ht="16.5" customHeight="1">
      <c r="O38733" s="5" t="s">
        <v>355</v>
      </c>
      <c r="P38733" s="5" t="s">
        <v>355</v>
      </c>
      <c r="Q38733" s="5" t="s">
        <v>355</v>
      </c>
    </row>
    <row r="38734" ht="16.5" customHeight="1">
      <c r="O38734" s="5" t="s">
        <v>355</v>
      </c>
      <c r="P38734" s="5" t="s">
        <v>355</v>
      </c>
      <c r="Q38734" s="5" t="s">
        <v>355</v>
      </c>
    </row>
    <row r="38735" ht="16.5" customHeight="1">
      <c r="O38735" s="5" t="s">
        <v>355</v>
      </c>
      <c r="P38735" s="5" t="s">
        <v>355</v>
      </c>
      <c r="Q38735" s="5" t="s">
        <v>355</v>
      </c>
    </row>
    <row r="38736" ht="16.5" customHeight="1">
      <c r="O38736" s="5" t="s">
        <v>355</v>
      </c>
      <c r="P38736" s="5" t="s">
        <v>355</v>
      </c>
      <c r="Q38736" s="5" t="s">
        <v>355</v>
      </c>
    </row>
    <row r="38737" ht="16.5" customHeight="1">
      <c r="O38737" s="5" t="s">
        <v>355</v>
      </c>
      <c r="P38737" s="5" t="s">
        <v>355</v>
      </c>
      <c r="Q38737" s="5" t="s">
        <v>355</v>
      </c>
    </row>
    <row r="38738" ht="16.5" customHeight="1">
      <c r="O38738" s="5" t="s">
        <v>355</v>
      </c>
      <c r="P38738" s="5" t="s">
        <v>355</v>
      </c>
      <c r="Q38738" s="5" t="s">
        <v>355</v>
      </c>
    </row>
    <row r="38739" ht="16.5" customHeight="1">
      <c r="O38739" s="5" t="s">
        <v>355</v>
      </c>
      <c r="P38739" s="5" t="s">
        <v>355</v>
      </c>
      <c r="Q38739" s="5" t="s">
        <v>355</v>
      </c>
    </row>
    <row r="38740" ht="16.5" customHeight="1">
      <c r="O38740" s="5" t="s">
        <v>355</v>
      </c>
      <c r="P38740" s="5" t="s">
        <v>355</v>
      </c>
      <c r="Q38740" s="5" t="s">
        <v>355</v>
      </c>
    </row>
    <row r="38741" ht="16.5" customHeight="1">
      <c r="O38741" s="5" t="s">
        <v>355</v>
      </c>
      <c r="P38741" s="5" t="s">
        <v>355</v>
      </c>
      <c r="Q38741" s="5" t="s">
        <v>355</v>
      </c>
    </row>
    <row r="38742" ht="16.5" customHeight="1">
      <c r="O38742" s="5" t="s">
        <v>355</v>
      </c>
      <c r="P38742" s="5" t="s">
        <v>355</v>
      </c>
      <c r="Q38742" s="5" t="s">
        <v>355</v>
      </c>
    </row>
    <row r="38743" ht="16.5" customHeight="1">
      <c r="O38743" s="5" t="s">
        <v>355</v>
      </c>
      <c r="P38743" s="5" t="s">
        <v>355</v>
      </c>
      <c r="Q38743" s="5" t="s">
        <v>355</v>
      </c>
    </row>
    <row r="38744" ht="16.5" customHeight="1">
      <c r="O38744" s="5" t="s">
        <v>355</v>
      </c>
      <c r="P38744" s="5" t="s">
        <v>355</v>
      </c>
      <c r="Q38744" s="5" t="s">
        <v>355</v>
      </c>
    </row>
    <row r="38745" ht="16.5" customHeight="1">
      <c r="O38745" s="5" t="s">
        <v>355</v>
      </c>
      <c r="P38745" s="5" t="s">
        <v>355</v>
      </c>
      <c r="Q38745" s="5" t="s">
        <v>355</v>
      </c>
    </row>
    <row r="38746" ht="16.5" customHeight="1">
      <c r="O38746" s="5" t="s">
        <v>355</v>
      </c>
      <c r="P38746" s="5" t="s">
        <v>355</v>
      </c>
      <c r="Q38746" s="5" t="s">
        <v>355</v>
      </c>
    </row>
    <row r="38747" ht="16.5" customHeight="1">
      <c r="O38747" s="5" t="s">
        <v>355</v>
      </c>
      <c r="P38747" s="5" t="s">
        <v>355</v>
      </c>
      <c r="Q38747" s="5" t="s">
        <v>355</v>
      </c>
    </row>
    <row r="38748" ht="16.5" customHeight="1">
      <c r="O38748" s="5" t="s">
        <v>355</v>
      </c>
      <c r="P38748" s="5" t="s">
        <v>355</v>
      </c>
      <c r="Q38748" s="5" t="s">
        <v>355</v>
      </c>
    </row>
    <row r="38749" ht="16.5" customHeight="1">
      <c r="O38749" s="5" t="s">
        <v>355</v>
      </c>
      <c r="P38749" s="5" t="s">
        <v>355</v>
      </c>
      <c r="Q38749" s="5" t="s">
        <v>355</v>
      </c>
    </row>
    <row r="38750" ht="16.5" customHeight="1">
      <c r="O38750" s="5" t="s">
        <v>355</v>
      </c>
      <c r="P38750" s="5" t="s">
        <v>355</v>
      </c>
      <c r="Q38750" s="5" t="s">
        <v>355</v>
      </c>
    </row>
    <row r="38751" ht="16.5" customHeight="1">
      <c r="O38751" s="5" t="s">
        <v>355</v>
      </c>
      <c r="P38751" s="5" t="s">
        <v>355</v>
      </c>
      <c r="Q38751" s="5" t="s">
        <v>355</v>
      </c>
    </row>
    <row r="38752" ht="16.5" customHeight="1">
      <c r="O38752" s="5" t="s">
        <v>355</v>
      </c>
      <c r="P38752" s="5" t="s">
        <v>355</v>
      </c>
      <c r="Q38752" s="5" t="s">
        <v>355</v>
      </c>
    </row>
    <row r="38753" ht="16.5" customHeight="1">
      <c r="O38753" s="5" t="s">
        <v>355</v>
      </c>
      <c r="P38753" s="5" t="s">
        <v>355</v>
      </c>
      <c r="Q38753" s="5" t="s">
        <v>355</v>
      </c>
    </row>
    <row r="38754" ht="16.5" customHeight="1">
      <c r="O38754" s="5" t="s">
        <v>355</v>
      </c>
      <c r="P38754" s="5" t="s">
        <v>355</v>
      </c>
      <c r="Q38754" s="5" t="s">
        <v>355</v>
      </c>
    </row>
    <row r="38755" ht="16.5" customHeight="1">
      <c r="O38755" s="5" t="s">
        <v>355</v>
      </c>
      <c r="P38755" s="5" t="s">
        <v>355</v>
      </c>
      <c r="Q38755" s="5" t="s">
        <v>355</v>
      </c>
    </row>
    <row r="38756" ht="16.5" customHeight="1">
      <c r="O38756" s="5" t="s">
        <v>355</v>
      </c>
      <c r="P38756" s="5" t="s">
        <v>355</v>
      </c>
      <c r="Q38756" s="5" t="s">
        <v>355</v>
      </c>
    </row>
    <row r="38757" ht="16.5" customHeight="1">
      <c r="O38757" s="5" t="s">
        <v>355</v>
      </c>
      <c r="P38757" s="5" t="s">
        <v>355</v>
      </c>
      <c r="Q38757" s="5" t="s">
        <v>355</v>
      </c>
    </row>
    <row r="38758" ht="16.5" customHeight="1">
      <c r="O38758" s="5" t="s">
        <v>355</v>
      </c>
      <c r="P38758" s="5" t="s">
        <v>355</v>
      </c>
      <c r="Q38758" s="5" t="s">
        <v>355</v>
      </c>
    </row>
    <row r="38759" ht="16.5" customHeight="1">
      <c r="O38759" s="5" t="s">
        <v>355</v>
      </c>
      <c r="P38759" s="5" t="s">
        <v>355</v>
      </c>
      <c r="Q38759" s="5" t="s">
        <v>355</v>
      </c>
    </row>
    <row r="38760" ht="16.5" customHeight="1">
      <c r="O38760" s="5" t="s">
        <v>355</v>
      </c>
      <c r="P38760" s="5" t="s">
        <v>355</v>
      </c>
      <c r="Q38760" s="5" t="s">
        <v>355</v>
      </c>
    </row>
    <row r="38761" ht="16.5" customHeight="1">
      <c r="O38761" s="5" t="s">
        <v>355</v>
      </c>
      <c r="P38761" s="5" t="s">
        <v>355</v>
      </c>
      <c r="Q38761" s="5" t="s">
        <v>355</v>
      </c>
    </row>
    <row r="38762" ht="16.5" customHeight="1">
      <c r="O38762" s="5" t="s">
        <v>355</v>
      </c>
      <c r="P38762" s="5" t="s">
        <v>355</v>
      </c>
      <c r="Q38762" s="5" t="s">
        <v>355</v>
      </c>
    </row>
    <row r="38763" ht="16.5" customHeight="1">
      <c r="O38763" s="5" t="s">
        <v>355</v>
      </c>
      <c r="P38763" s="5" t="s">
        <v>355</v>
      </c>
      <c r="Q38763" s="5" t="s">
        <v>355</v>
      </c>
    </row>
    <row r="38764" ht="16.5" customHeight="1">
      <c r="O38764" s="5" t="s">
        <v>355</v>
      </c>
      <c r="P38764" s="5" t="s">
        <v>355</v>
      </c>
      <c r="Q38764" s="5" t="s">
        <v>355</v>
      </c>
    </row>
    <row r="38765" ht="16.5" customHeight="1">
      <c r="O38765" s="5" t="s">
        <v>355</v>
      </c>
      <c r="P38765" s="5" t="s">
        <v>355</v>
      </c>
      <c r="Q38765" s="5" t="s">
        <v>355</v>
      </c>
    </row>
    <row r="38766" ht="16.5" customHeight="1">
      <c r="O38766" s="5" t="s">
        <v>355</v>
      </c>
      <c r="P38766" s="5" t="s">
        <v>355</v>
      </c>
      <c r="Q38766" s="5" t="s">
        <v>355</v>
      </c>
    </row>
    <row r="38767" ht="16.5" customHeight="1">
      <c r="O38767" s="5" t="s">
        <v>355</v>
      </c>
      <c r="P38767" s="5" t="s">
        <v>355</v>
      </c>
      <c r="Q38767" s="5" t="s">
        <v>355</v>
      </c>
    </row>
    <row r="38768" ht="16.5" customHeight="1">
      <c r="O38768" s="5" t="s">
        <v>355</v>
      </c>
      <c r="P38768" s="5" t="s">
        <v>355</v>
      </c>
      <c r="Q38768" s="5" t="s">
        <v>355</v>
      </c>
    </row>
    <row r="38769" ht="16.5" customHeight="1">
      <c r="O38769" s="5" t="s">
        <v>355</v>
      </c>
      <c r="P38769" s="5" t="s">
        <v>355</v>
      </c>
      <c r="Q38769" s="5" t="s">
        <v>355</v>
      </c>
    </row>
    <row r="38770" ht="16.5" customHeight="1">
      <c r="O38770" s="5" t="s">
        <v>355</v>
      </c>
      <c r="P38770" s="5" t="s">
        <v>355</v>
      </c>
      <c r="Q38770" s="5" t="s">
        <v>355</v>
      </c>
    </row>
    <row r="38771" ht="16.5" customHeight="1">
      <c r="O38771" s="5" t="s">
        <v>355</v>
      </c>
      <c r="P38771" s="5" t="s">
        <v>355</v>
      </c>
      <c r="Q38771" s="5" t="s">
        <v>355</v>
      </c>
    </row>
    <row r="38772" ht="16.5" customHeight="1">
      <c r="O38772" s="5" t="s">
        <v>355</v>
      </c>
      <c r="P38772" s="5" t="s">
        <v>355</v>
      </c>
      <c r="Q38772" s="5" t="s">
        <v>355</v>
      </c>
    </row>
    <row r="38773" ht="16.5" customHeight="1">
      <c r="O38773" s="5" t="s">
        <v>355</v>
      </c>
      <c r="P38773" s="5" t="s">
        <v>355</v>
      </c>
      <c r="Q38773" s="5" t="s">
        <v>355</v>
      </c>
    </row>
    <row r="38774" ht="16.5" customHeight="1">
      <c r="O38774" s="5" t="s">
        <v>355</v>
      </c>
      <c r="P38774" s="5" t="s">
        <v>355</v>
      </c>
      <c r="Q38774" s="5" t="s">
        <v>355</v>
      </c>
    </row>
    <row r="38775" ht="16.5" customHeight="1">
      <c r="O38775" s="5" t="s">
        <v>355</v>
      </c>
      <c r="P38775" s="5" t="s">
        <v>355</v>
      </c>
      <c r="Q38775" s="5" t="s">
        <v>355</v>
      </c>
    </row>
    <row r="38776" ht="16.5" customHeight="1">
      <c r="O38776" s="5" t="s">
        <v>355</v>
      </c>
      <c r="P38776" s="5" t="s">
        <v>355</v>
      </c>
      <c r="Q38776" s="5" t="s">
        <v>355</v>
      </c>
    </row>
    <row r="38777" ht="16.5" customHeight="1">
      <c r="O38777" s="5" t="s">
        <v>355</v>
      </c>
      <c r="P38777" s="5" t="s">
        <v>355</v>
      </c>
      <c r="Q38777" s="5" t="s">
        <v>355</v>
      </c>
    </row>
    <row r="38778" ht="16.5" customHeight="1">
      <c r="O38778" s="5" t="s">
        <v>355</v>
      </c>
      <c r="P38778" s="5" t="s">
        <v>355</v>
      </c>
      <c r="Q38778" s="5" t="s">
        <v>355</v>
      </c>
    </row>
    <row r="38779" ht="16.5" customHeight="1">
      <c r="O38779" s="5" t="s">
        <v>355</v>
      </c>
      <c r="P38779" s="5" t="s">
        <v>355</v>
      </c>
      <c r="Q38779" s="5" t="s">
        <v>355</v>
      </c>
    </row>
    <row r="38780" ht="16.5" customHeight="1">
      <c r="O38780" s="5" t="s">
        <v>355</v>
      </c>
      <c r="P38780" s="5" t="s">
        <v>355</v>
      </c>
      <c r="Q38780" s="5" t="s">
        <v>355</v>
      </c>
    </row>
    <row r="38781" ht="16.5" customHeight="1">
      <c r="O38781" s="5" t="s">
        <v>355</v>
      </c>
      <c r="P38781" s="5" t="s">
        <v>355</v>
      </c>
      <c r="Q38781" s="5" t="s">
        <v>355</v>
      </c>
    </row>
    <row r="38782" ht="16.5" customHeight="1">
      <c r="O38782" s="5" t="s">
        <v>355</v>
      </c>
      <c r="P38782" s="5" t="s">
        <v>355</v>
      </c>
      <c r="Q38782" s="5" t="s">
        <v>355</v>
      </c>
    </row>
    <row r="38783" ht="16.5" customHeight="1">
      <c r="O38783" s="5" t="s">
        <v>355</v>
      </c>
      <c r="P38783" s="5" t="s">
        <v>355</v>
      </c>
      <c r="Q38783" s="5" t="s">
        <v>355</v>
      </c>
    </row>
    <row r="38784" ht="16.5" customHeight="1">
      <c r="O38784" s="5" t="s">
        <v>355</v>
      </c>
      <c r="P38784" s="5" t="s">
        <v>355</v>
      </c>
      <c r="Q38784" s="5" t="s">
        <v>355</v>
      </c>
    </row>
    <row r="38785" ht="16.5" customHeight="1">
      <c r="O38785" s="5" t="s">
        <v>355</v>
      </c>
      <c r="P38785" s="5" t="s">
        <v>355</v>
      </c>
      <c r="Q38785" s="5" t="s">
        <v>355</v>
      </c>
    </row>
    <row r="38786" ht="16.5" customHeight="1">
      <c r="O38786" s="5" t="s">
        <v>355</v>
      </c>
      <c r="P38786" s="5" t="s">
        <v>355</v>
      </c>
      <c r="Q38786" s="5" t="s">
        <v>355</v>
      </c>
    </row>
    <row r="38787" ht="16.5" customHeight="1">
      <c r="O38787" s="5" t="s">
        <v>355</v>
      </c>
      <c r="P38787" s="5" t="s">
        <v>355</v>
      </c>
      <c r="Q38787" s="5" t="s">
        <v>355</v>
      </c>
    </row>
    <row r="38788" ht="16.5" customHeight="1">
      <c r="O38788" s="5" t="s">
        <v>355</v>
      </c>
      <c r="P38788" s="5" t="s">
        <v>355</v>
      </c>
      <c r="Q38788" s="5" t="s">
        <v>355</v>
      </c>
    </row>
    <row r="38789" ht="16.5" customHeight="1">
      <c r="O38789" s="5" t="s">
        <v>355</v>
      </c>
      <c r="P38789" s="5" t="s">
        <v>355</v>
      </c>
      <c r="Q38789" s="5" t="s">
        <v>355</v>
      </c>
    </row>
    <row r="38790" ht="16.5" customHeight="1">
      <c r="O38790" s="5" t="s">
        <v>355</v>
      </c>
      <c r="P38790" s="5" t="s">
        <v>355</v>
      </c>
      <c r="Q38790" s="5" t="s">
        <v>355</v>
      </c>
    </row>
    <row r="38791" ht="16.5" customHeight="1">
      <c r="O38791" s="5" t="s">
        <v>355</v>
      </c>
      <c r="P38791" s="5" t="s">
        <v>355</v>
      </c>
      <c r="Q38791" s="5" t="s">
        <v>355</v>
      </c>
    </row>
    <row r="38792" ht="16.5" customHeight="1">
      <c r="O38792" s="5" t="s">
        <v>355</v>
      </c>
      <c r="P38792" s="5" t="s">
        <v>355</v>
      </c>
      <c r="Q38792" s="5" t="s">
        <v>355</v>
      </c>
    </row>
    <row r="38793" ht="16.5" customHeight="1">
      <c r="O38793" s="5" t="s">
        <v>355</v>
      </c>
      <c r="P38793" s="5" t="s">
        <v>355</v>
      </c>
      <c r="Q38793" s="5" t="s">
        <v>355</v>
      </c>
    </row>
    <row r="38794" ht="16.5" customHeight="1">
      <c r="O38794" s="5" t="s">
        <v>355</v>
      </c>
      <c r="P38794" s="5" t="s">
        <v>355</v>
      </c>
      <c r="Q38794" s="5" t="s">
        <v>355</v>
      </c>
    </row>
    <row r="38795" ht="16.5" customHeight="1">
      <c r="O38795" s="5" t="s">
        <v>355</v>
      </c>
      <c r="P38795" s="5" t="s">
        <v>355</v>
      </c>
      <c r="Q38795" s="5" t="s">
        <v>355</v>
      </c>
    </row>
    <row r="38796" ht="16.5" customHeight="1">
      <c r="O38796" s="5" t="s">
        <v>355</v>
      </c>
      <c r="P38796" s="5" t="s">
        <v>355</v>
      </c>
      <c r="Q38796" s="5" t="s">
        <v>355</v>
      </c>
    </row>
    <row r="38797" ht="16.5" customHeight="1">
      <c r="O38797" s="5" t="s">
        <v>355</v>
      </c>
      <c r="P38797" s="5" t="s">
        <v>355</v>
      </c>
      <c r="Q38797" s="5" t="s">
        <v>355</v>
      </c>
    </row>
    <row r="38798" ht="16.5" customHeight="1">
      <c r="O38798" s="5" t="s">
        <v>355</v>
      </c>
      <c r="P38798" s="5" t="s">
        <v>355</v>
      </c>
      <c r="Q38798" s="5" t="s">
        <v>355</v>
      </c>
    </row>
    <row r="38799" ht="16.5" customHeight="1">
      <c r="O38799" s="5" t="s">
        <v>355</v>
      </c>
      <c r="P38799" s="5" t="s">
        <v>355</v>
      </c>
      <c r="Q38799" s="5" t="s">
        <v>355</v>
      </c>
    </row>
    <row r="38800" ht="16.5" customHeight="1">
      <c r="O38800" s="5" t="s">
        <v>355</v>
      </c>
      <c r="P38800" s="5" t="s">
        <v>355</v>
      </c>
      <c r="Q38800" s="5" t="s">
        <v>355</v>
      </c>
    </row>
    <row r="38801" ht="16.5" customHeight="1">
      <c r="O38801" s="5" t="s">
        <v>355</v>
      </c>
      <c r="P38801" s="5" t="s">
        <v>355</v>
      </c>
      <c r="Q38801" s="5" t="s">
        <v>355</v>
      </c>
    </row>
    <row r="38802" ht="16.5" customHeight="1">
      <c r="O38802" s="5" t="s">
        <v>355</v>
      </c>
      <c r="P38802" s="5" t="s">
        <v>355</v>
      </c>
      <c r="Q38802" s="5" t="s">
        <v>355</v>
      </c>
    </row>
    <row r="38803" ht="16.5" customHeight="1">
      <c r="O38803" s="5" t="s">
        <v>355</v>
      </c>
      <c r="P38803" s="5" t="s">
        <v>355</v>
      </c>
      <c r="Q38803" s="5" t="s">
        <v>355</v>
      </c>
    </row>
    <row r="38804" ht="16.5" customHeight="1">
      <c r="O38804" s="5" t="s">
        <v>355</v>
      </c>
      <c r="P38804" s="5" t="s">
        <v>355</v>
      </c>
      <c r="Q38804" s="5" t="s">
        <v>355</v>
      </c>
    </row>
    <row r="38805" ht="16.5" customHeight="1">
      <c r="O38805" s="5" t="s">
        <v>355</v>
      </c>
      <c r="P38805" s="5" t="s">
        <v>355</v>
      </c>
      <c r="Q38805" s="5" t="s">
        <v>355</v>
      </c>
    </row>
    <row r="38806" ht="16.5" customHeight="1">
      <c r="O38806" s="5" t="s">
        <v>355</v>
      </c>
      <c r="P38806" s="5" t="s">
        <v>355</v>
      </c>
      <c r="Q38806" s="5" t="s">
        <v>355</v>
      </c>
    </row>
    <row r="38807" ht="16.5" customHeight="1">
      <c r="O38807" s="5" t="s">
        <v>355</v>
      </c>
      <c r="P38807" s="5" t="s">
        <v>355</v>
      </c>
      <c r="Q38807" s="5" t="s">
        <v>355</v>
      </c>
    </row>
    <row r="38808" ht="16.5" customHeight="1">
      <c r="O38808" s="5" t="s">
        <v>355</v>
      </c>
      <c r="P38808" s="5" t="s">
        <v>355</v>
      </c>
      <c r="Q38808" s="5" t="s">
        <v>355</v>
      </c>
    </row>
    <row r="38809" ht="16.5" customHeight="1">
      <c r="O38809" s="5" t="s">
        <v>355</v>
      </c>
      <c r="P38809" s="5" t="s">
        <v>355</v>
      </c>
      <c r="Q38809" s="5" t="s">
        <v>355</v>
      </c>
    </row>
    <row r="38810" ht="16.5" customHeight="1">
      <c r="O38810" s="5" t="s">
        <v>355</v>
      </c>
      <c r="P38810" s="5" t="s">
        <v>355</v>
      </c>
      <c r="Q38810" s="5" t="s">
        <v>355</v>
      </c>
    </row>
    <row r="38811" ht="16.5" customHeight="1">
      <c r="O38811" s="5" t="s">
        <v>355</v>
      </c>
      <c r="P38811" s="5" t="s">
        <v>355</v>
      </c>
      <c r="Q38811" s="5" t="s">
        <v>355</v>
      </c>
    </row>
    <row r="38812" ht="16.5" customHeight="1">
      <c r="O38812" s="5" t="s">
        <v>355</v>
      </c>
      <c r="P38812" s="5" t="s">
        <v>355</v>
      </c>
      <c r="Q38812" s="5" t="s">
        <v>355</v>
      </c>
    </row>
    <row r="38813" ht="16.5" customHeight="1">
      <c r="O38813" s="5" t="s">
        <v>355</v>
      </c>
      <c r="P38813" s="5" t="s">
        <v>355</v>
      </c>
      <c r="Q38813" s="5" t="s">
        <v>355</v>
      </c>
    </row>
    <row r="38814" ht="16.5" customHeight="1">
      <c r="O38814" s="5" t="s">
        <v>355</v>
      </c>
      <c r="P38814" s="5" t="s">
        <v>355</v>
      </c>
      <c r="Q38814" s="5" t="s">
        <v>355</v>
      </c>
    </row>
    <row r="38815" ht="16.5" customHeight="1">
      <c r="O38815" s="5" t="s">
        <v>355</v>
      </c>
      <c r="P38815" s="5" t="s">
        <v>355</v>
      </c>
      <c r="Q38815" s="5" t="s">
        <v>355</v>
      </c>
    </row>
    <row r="38816" ht="16.5" customHeight="1">
      <c r="O38816" s="5" t="s">
        <v>355</v>
      </c>
      <c r="P38816" s="5" t="s">
        <v>355</v>
      </c>
      <c r="Q38816" s="5" t="s">
        <v>355</v>
      </c>
    </row>
    <row r="38817" ht="16.5" customHeight="1">
      <c r="O38817" s="5" t="s">
        <v>355</v>
      </c>
      <c r="P38817" s="5" t="s">
        <v>355</v>
      </c>
      <c r="Q38817" s="5" t="s">
        <v>355</v>
      </c>
    </row>
    <row r="38818" ht="16.5" customHeight="1">
      <c r="O38818" s="5" t="s">
        <v>355</v>
      </c>
      <c r="P38818" s="5" t="s">
        <v>355</v>
      </c>
      <c r="Q38818" s="5" t="s">
        <v>355</v>
      </c>
    </row>
    <row r="38819" ht="16.5" customHeight="1">
      <c r="O38819" s="5" t="s">
        <v>355</v>
      </c>
      <c r="P38819" s="5" t="s">
        <v>355</v>
      </c>
      <c r="Q38819" s="5" t="s">
        <v>355</v>
      </c>
    </row>
    <row r="38820" ht="16.5" customHeight="1">
      <c r="O38820" s="5" t="s">
        <v>355</v>
      </c>
      <c r="P38820" s="5" t="s">
        <v>355</v>
      </c>
      <c r="Q38820" s="5" t="s">
        <v>355</v>
      </c>
    </row>
    <row r="38821" ht="16.5" customHeight="1">
      <c r="O38821" s="5" t="s">
        <v>355</v>
      </c>
      <c r="P38821" s="5" t="s">
        <v>355</v>
      </c>
      <c r="Q38821" s="5" t="s">
        <v>355</v>
      </c>
    </row>
    <row r="38822" ht="16.5" customHeight="1">
      <c r="O38822" s="5" t="s">
        <v>355</v>
      </c>
      <c r="P38822" s="5" t="s">
        <v>355</v>
      </c>
      <c r="Q38822" s="5" t="s">
        <v>355</v>
      </c>
    </row>
    <row r="38823" ht="16.5" customHeight="1">
      <c r="O38823" s="5" t="s">
        <v>355</v>
      </c>
      <c r="P38823" s="5" t="s">
        <v>355</v>
      </c>
      <c r="Q38823" s="5" t="s">
        <v>355</v>
      </c>
    </row>
    <row r="38824" ht="16.5" customHeight="1">
      <c r="O38824" s="5" t="s">
        <v>355</v>
      </c>
      <c r="P38824" s="5" t="s">
        <v>355</v>
      </c>
      <c r="Q38824" s="5" t="s">
        <v>355</v>
      </c>
    </row>
    <row r="38825" ht="16.5" customHeight="1">
      <c r="O38825" s="5" t="s">
        <v>355</v>
      </c>
      <c r="P38825" s="5" t="s">
        <v>355</v>
      </c>
      <c r="Q38825" s="5" t="s">
        <v>355</v>
      </c>
    </row>
    <row r="38826" ht="16.5" customHeight="1">
      <c r="O38826" s="5" t="s">
        <v>355</v>
      </c>
      <c r="P38826" s="5" t="s">
        <v>355</v>
      </c>
      <c r="Q38826" s="5" t="s">
        <v>355</v>
      </c>
    </row>
    <row r="38827" ht="16.5" customHeight="1">
      <c r="O38827" s="5" t="s">
        <v>355</v>
      </c>
      <c r="P38827" s="5" t="s">
        <v>355</v>
      </c>
      <c r="Q38827" s="5" t="s">
        <v>355</v>
      </c>
    </row>
    <row r="38828" ht="16.5" customHeight="1">
      <c r="O38828" s="5" t="s">
        <v>355</v>
      </c>
      <c r="P38828" s="5" t="s">
        <v>355</v>
      </c>
      <c r="Q38828" s="5" t="s">
        <v>355</v>
      </c>
    </row>
    <row r="38829" ht="16.5" customHeight="1">
      <c r="O38829" s="5" t="s">
        <v>355</v>
      </c>
      <c r="P38829" s="5" t="s">
        <v>355</v>
      </c>
      <c r="Q38829" s="5" t="s">
        <v>355</v>
      </c>
    </row>
    <row r="38830" ht="16.5" customHeight="1">
      <c r="O38830" s="5" t="s">
        <v>355</v>
      </c>
      <c r="P38830" s="5" t="s">
        <v>355</v>
      </c>
      <c r="Q38830" s="5" t="s">
        <v>355</v>
      </c>
    </row>
    <row r="38831" ht="16.5" customHeight="1">
      <c r="O38831" s="5" t="s">
        <v>355</v>
      </c>
      <c r="P38831" s="5" t="s">
        <v>355</v>
      </c>
      <c r="Q38831" s="5" t="s">
        <v>355</v>
      </c>
    </row>
    <row r="38832" ht="16.5" customHeight="1">
      <c r="O38832" s="5" t="s">
        <v>355</v>
      </c>
      <c r="P38832" s="5" t="s">
        <v>355</v>
      </c>
      <c r="Q38832" s="5" t="s">
        <v>355</v>
      </c>
    </row>
    <row r="38833" ht="16.5" customHeight="1">
      <c r="O38833" s="5" t="s">
        <v>355</v>
      </c>
      <c r="P38833" s="5" t="s">
        <v>355</v>
      </c>
      <c r="Q38833" s="5" t="s">
        <v>355</v>
      </c>
    </row>
    <row r="38834" ht="16.5" customHeight="1">
      <c r="O38834" s="5" t="s">
        <v>355</v>
      </c>
      <c r="P38834" s="5" t="s">
        <v>355</v>
      </c>
      <c r="Q38834" s="5" t="s">
        <v>355</v>
      </c>
    </row>
    <row r="38835" ht="16.5" customHeight="1">
      <c r="O38835" s="5" t="s">
        <v>355</v>
      </c>
      <c r="P38835" s="5" t="s">
        <v>355</v>
      </c>
      <c r="Q38835" s="5" t="s">
        <v>355</v>
      </c>
    </row>
    <row r="38836" ht="16.5" customHeight="1">
      <c r="O38836" s="5" t="s">
        <v>355</v>
      </c>
      <c r="P38836" s="5" t="s">
        <v>355</v>
      </c>
      <c r="Q38836" s="5" t="s">
        <v>355</v>
      </c>
    </row>
    <row r="38837" ht="16.5" customHeight="1">
      <c r="O38837" s="5" t="s">
        <v>355</v>
      </c>
      <c r="P38837" s="5" t="s">
        <v>355</v>
      </c>
      <c r="Q38837" s="5" t="s">
        <v>355</v>
      </c>
    </row>
    <row r="38838" ht="16.5" customHeight="1">
      <c r="O38838" s="5" t="s">
        <v>355</v>
      </c>
      <c r="P38838" s="5" t="s">
        <v>355</v>
      </c>
      <c r="Q38838" s="5" t="s">
        <v>355</v>
      </c>
    </row>
    <row r="38839" ht="16.5" customHeight="1">
      <c r="O38839" s="5" t="s">
        <v>355</v>
      </c>
      <c r="P38839" s="5" t="s">
        <v>355</v>
      </c>
      <c r="Q38839" s="5" t="s">
        <v>355</v>
      </c>
    </row>
    <row r="38840" ht="16.5" customHeight="1">
      <c r="O38840" s="5" t="s">
        <v>355</v>
      </c>
      <c r="P38840" s="5" t="s">
        <v>355</v>
      </c>
      <c r="Q38840" s="5" t="s">
        <v>355</v>
      </c>
    </row>
    <row r="38841" ht="16.5" customHeight="1">
      <c r="O38841" s="5" t="s">
        <v>355</v>
      </c>
      <c r="P38841" s="5" t="s">
        <v>355</v>
      </c>
      <c r="Q38841" s="5" t="s">
        <v>355</v>
      </c>
    </row>
    <row r="38842" ht="16.5" customHeight="1">
      <c r="O38842" s="5" t="s">
        <v>355</v>
      </c>
      <c r="P38842" s="5" t="s">
        <v>355</v>
      </c>
      <c r="Q38842" s="5" t="s">
        <v>355</v>
      </c>
    </row>
    <row r="38843" ht="16.5" customHeight="1">
      <c r="O38843" s="5" t="s">
        <v>355</v>
      </c>
      <c r="P38843" s="5" t="s">
        <v>355</v>
      </c>
      <c r="Q38843" s="5" t="s">
        <v>355</v>
      </c>
    </row>
    <row r="38844" ht="16.5" customHeight="1">
      <c r="O38844" s="5" t="s">
        <v>355</v>
      </c>
      <c r="P38844" s="5" t="s">
        <v>355</v>
      </c>
      <c r="Q38844" s="5" t="s">
        <v>355</v>
      </c>
    </row>
    <row r="38845" ht="16.5" customHeight="1">
      <c r="O38845" s="5" t="s">
        <v>355</v>
      </c>
      <c r="P38845" s="5" t="s">
        <v>355</v>
      </c>
      <c r="Q38845" s="5" t="s">
        <v>355</v>
      </c>
    </row>
    <row r="38846" ht="16.5" customHeight="1">
      <c r="O38846" s="5" t="s">
        <v>355</v>
      </c>
      <c r="P38846" s="5" t="s">
        <v>355</v>
      </c>
      <c r="Q38846" s="5" t="s">
        <v>355</v>
      </c>
    </row>
    <row r="38847" ht="16.5" customHeight="1">
      <c r="O38847" s="5" t="s">
        <v>355</v>
      </c>
      <c r="P38847" s="5" t="s">
        <v>355</v>
      </c>
      <c r="Q38847" s="5" t="s">
        <v>355</v>
      </c>
    </row>
    <row r="38848" ht="16.5" customHeight="1">
      <c r="O38848" s="5" t="s">
        <v>355</v>
      </c>
      <c r="P38848" s="5" t="s">
        <v>355</v>
      </c>
      <c r="Q38848" s="5" t="s">
        <v>355</v>
      </c>
    </row>
    <row r="38849" ht="16.5" customHeight="1">
      <c r="O38849" s="5" t="s">
        <v>355</v>
      </c>
      <c r="P38849" s="5" t="s">
        <v>355</v>
      </c>
      <c r="Q38849" s="5" t="s">
        <v>355</v>
      </c>
    </row>
    <row r="38850" ht="16.5" customHeight="1">
      <c r="O38850" s="5" t="s">
        <v>355</v>
      </c>
      <c r="P38850" s="5" t="s">
        <v>355</v>
      </c>
      <c r="Q38850" s="5" t="s">
        <v>355</v>
      </c>
    </row>
    <row r="38851" ht="16.5" customHeight="1">
      <c r="O38851" s="5" t="s">
        <v>355</v>
      </c>
      <c r="P38851" s="5" t="s">
        <v>355</v>
      </c>
      <c r="Q38851" s="5" t="s">
        <v>355</v>
      </c>
    </row>
    <row r="38852" ht="16.5" customHeight="1">
      <c r="O38852" s="5" t="s">
        <v>355</v>
      </c>
      <c r="P38852" s="5" t="s">
        <v>355</v>
      </c>
      <c r="Q38852" s="5" t="s">
        <v>355</v>
      </c>
    </row>
    <row r="38853" ht="16.5" customHeight="1">
      <c r="O38853" s="5" t="s">
        <v>355</v>
      </c>
      <c r="P38853" s="5" t="s">
        <v>355</v>
      </c>
      <c r="Q38853" s="5" t="s">
        <v>355</v>
      </c>
    </row>
    <row r="38854" ht="16.5" customHeight="1">
      <c r="O38854" s="5" t="s">
        <v>355</v>
      </c>
      <c r="P38854" s="5" t="s">
        <v>355</v>
      </c>
      <c r="Q38854" s="5" t="s">
        <v>355</v>
      </c>
    </row>
    <row r="38855" ht="16.5" customHeight="1">
      <c r="O38855" s="5" t="s">
        <v>355</v>
      </c>
      <c r="P38855" s="5" t="s">
        <v>355</v>
      </c>
      <c r="Q38855" s="5" t="s">
        <v>355</v>
      </c>
    </row>
    <row r="38856" ht="16.5" customHeight="1">
      <c r="O38856" s="5" t="s">
        <v>355</v>
      </c>
      <c r="P38856" s="5" t="s">
        <v>355</v>
      </c>
      <c r="Q38856" s="5" t="s">
        <v>355</v>
      </c>
    </row>
    <row r="38857" ht="16.5" customHeight="1">
      <c r="O38857" s="5" t="s">
        <v>355</v>
      </c>
      <c r="P38857" s="5" t="s">
        <v>355</v>
      </c>
      <c r="Q38857" s="5" t="s">
        <v>355</v>
      </c>
    </row>
    <row r="38858" ht="16.5" customHeight="1">
      <c r="O38858" s="5" t="s">
        <v>355</v>
      </c>
      <c r="P38858" s="5" t="s">
        <v>355</v>
      </c>
      <c r="Q38858" s="5" t="s">
        <v>355</v>
      </c>
    </row>
    <row r="38859" ht="16.5" customHeight="1">
      <c r="O38859" s="5" t="s">
        <v>355</v>
      </c>
      <c r="P38859" s="5" t="s">
        <v>355</v>
      </c>
      <c r="Q38859" s="5" t="s">
        <v>355</v>
      </c>
    </row>
    <row r="38860" ht="16.5" customHeight="1">
      <c r="O38860" s="5" t="s">
        <v>355</v>
      </c>
      <c r="P38860" s="5" t="s">
        <v>355</v>
      </c>
      <c r="Q38860" s="5" t="s">
        <v>355</v>
      </c>
    </row>
    <row r="38861" ht="16.5" customHeight="1">
      <c r="O38861" s="5" t="s">
        <v>355</v>
      </c>
      <c r="P38861" s="5" t="s">
        <v>355</v>
      </c>
      <c r="Q38861" s="5" t="s">
        <v>355</v>
      </c>
    </row>
    <row r="38862" ht="16.5" customHeight="1">
      <c r="O38862" s="5" t="s">
        <v>355</v>
      </c>
      <c r="P38862" s="5" t="s">
        <v>355</v>
      </c>
      <c r="Q38862" s="5" t="s">
        <v>355</v>
      </c>
    </row>
    <row r="38863" ht="16.5" customHeight="1">
      <c r="O38863" s="5" t="s">
        <v>355</v>
      </c>
      <c r="P38863" s="5" t="s">
        <v>355</v>
      </c>
      <c r="Q38863" s="5" t="s">
        <v>355</v>
      </c>
    </row>
    <row r="38864" ht="16.5" customHeight="1">
      <c r="O38864" s="5" t="s">
        <v>355</v>
      </c>
      <c r="P38864" s="5" t="s">
        <v>355</v>
      </c>
      <c r="Q38864" s="5" t="s">
        <v>355</v>
      </c>
    </row>
    <row r="38865" ht="16.5" customHeight="1">
      <c r="O38865" s="5" t="s">
        <v>355</v>
      </c>
      <c r="P38865" s="5" t="s">
        <v>355</v>
      </c>
      <c r="Q38865" s="5" t="s">
        <v>355</v>
      </c>
    </row>
    <row r="38866" ht="16.5" customHeight="1">
      <c r="O38866" s="5" t="s">
        <v>355</v>
      </c>
      <c r="P38866" s="5" t="s">
        <v>355</v>
      </c>
      <c r="Q38866" s="5" t="s">
        <v>355</v>
      </c>
    </row>
    <row r="38867" ht="16.5" customHeight="1">
      <c r="O38867" s="5" t="s">
        <v>355</v>
      </c>
      <c r="P38867" s="5" t="s">
        <v>355</v>
      </c>
      <c r="Q38867" s="5" t="s">
        <v>355</v>
      </c>
    </row>
    <row r="38868" ht="16.5" customHeight="1">
      <c r="O38868" s="5" t="s">
        <v>355</v>
      </c>
      <c r="P38868" s="5" t="s">
        <v>355</v>
      </c>
      <c r="Q38868" s="5" t="s">
        <v>355</v>
      </c>
    </row>
    <row r="38869" ht="16.5" customHeight="1">
      <c r="O38869" s="5" t="s">
        <v>355</v>
      </c>
      <c r="P38869" s="5" t="s">
        <v>355</v>
      </c>
      <c r="Q38869" s="5" t="s">
        <v>355</v>
      </c>
    </row>
    <row r="38870" ht="16.5" customHeight="1">
      <c r="O38870" s="5" t="s">
        <v>355</v>
      </c>
      <c r="P38870" s="5" t="s">
        <v>355</v>
      </c>
      <c r="Q38870" s="5" t="s">
        <v>355</v>
      </c>
    </row>
    <row r="38871" ht="16.5" customHeight="1">
      <c r="O38871" s="5" t="s">
        <v>355</v>
      </c>
      <c r="P38871" s="5" t="s">
        <v>355</v>
      </c>
      <c r="Q38871" s="5" t="s">
        <v>355</v>
      </c>
    </row>
    <row r="38872" ht="16.5" customHeight="1">
      <c r="O38872" s="5" t="s">
        <v>355</v>
      </c>
      <c r="P38872" s="5" t="s">
        <v>355</v>
      </c>
      <c r="Q38872" s="5" t="s">
        <v>355</v>
      </c>
    </row>
    <row r="38873" ht="16.5" customHeight="1">
      <c r="O38873" s="5" t="s">
        <v>355</v>
      </c>
      <c r="P38873" s="5" t="s">
        <v>355</v>
      </c>
      <c r="Q38873" s="5" t="s">
        <v>355</v>
      </c>
    </row>
    <row r="38874" ht="16.5" customHeight="1">
      <c r="O38874" s="5" t="s">
        <v>355</v>
      </c>
      <c r="P38874" s="5" t="s">
        <v>355</v>
      </c>
      <c r="Q38874" s="5" t="s">
        <v>355</v>
      </c>
    </row>
    <row r="38875" ht="16.5" customHeight="1">
      <c r="O38875" s="5" t="s">
        <v>355</v>
      </c>
      <c r="P38875" s="5" t="s">
        <v>355</v>
      </c>
      <c r="Q38875" s="5" t="s">
        <v>355</v>
      </c>
    </row>
    <row r="38876" ht="16.5" customHeight="1">
      <c r="O38876" s="5" t="s">
        <v>355</v>
      </c>
      <c r="P38876" s="5" t="s">
        <v>355</v>
      </c>
      <c r="Q38876" s="5" t="s">
        <v>355</v>
      </c>
    </row>
    <row r="38877" ht="16.5" customHeight="1">
      <c r="O38877" s="5" t="s">
        <v>355</v>
      </c>
      <c r="P38877" s="5" t="s">
        <v>355</v>
      </c>
      <c r="Q38877" s="5" t="s">
        <v>355</v>
      </c>
    </row>
    <row r="38878" ht="16.5" customHeight="1">
      <c r="O38878" s="5" t="s">
        <v>355</v>
      </c>
      <c r="P38878" s="5" t="s">
        <v>355</v>
      </c>
      <c r="Q38878" s="5" t="s">
        <v>355</v>
      </c>
    </row>
    <row r="38879" ht="16.5" customHeight="1">
      <c r="O38879" s="5" t="s">
        <v>355</v>
      </c>
      <c r="P38879" s="5" t="s">
        <v>355</v>
      </c>
      <c r="Q38879" s="5" t="s">
        <v>355</v>
      </c>
    </row>
    <row r="38880" ht="16.5" customHeight="1">
      <c r="O38880" s="5" t="s">
        <v>355</v>
      </c>
      <c r="P38880" s="5" t="s">
        <v>355</v>
      </c>
      <c r="Q38880" s="5" t="s">
        <v>355</v>
      </c>
    </row>
    <row r="38881" ht="16.5" customHeight="1">
      <c r="O38881" s="5" t="s">
        <v>355</v>
      </c>
      <c r="P38881" s="5" t="s">
        <v>355</v>
      </c>
      <c r="Q38881" s="5" t="s">
        <v>355</v>
      </c>
    </row>
    <row r="38882" ht="16.5" customHeight="1">
      <c r="O38882" s="5" t="s">
        <v>355</v>
      </c>
      <c r="P38882" s="5" t="s">
        <v>355</v>
      </c>
      <c r="Q38882" s="5" t="s">
        <v>355</v>
      </c>
    </row>
    <row r="38883" ht="16.5" customHeight="1">
      <c r="O38883" s="5" t="s">
        <v>355</v>
      </c>
      <c r="P38883" s="5" t="s">
        <v>355</v>
      </c>
      <c r="Q38883" s="5" t="s">
        <v>355</v>
      </c>
    </row>
    <row r="38884" ht="16.5" customHeight="1">
      <c r="O38884" s="5" t="s">
        <v>355</v>
      </c>
      <c r="P38884" s="5" t="s">
        <v>355</v>
      </c>
      <c r="Q38884" s="5" t="s">
        <v>355</v>
      </c>
    </row>
    <row r="38885" ht="16.5" customHeight="1">
      <c r="O38885" s="5" t="s">
        <v>355</v>
      </c>
      <c r="P38885" s="5" t="s">
        <v>355</v>
      </c>
      <c r="Q38885" s="5" t="s">
        <v>355</v>
      </c>
    </row>
    <row r="38886" ht="16.5" customHeight="1">
      <c r="O38886" s="5" t="s">
        <v>355</v>
      </c>
      <c r="P38886" s="5" t="s">
        <v>355</v>
      </c>
      <c r="Q38886" s="5" t="s">
        <v>355</v>
      </c>
    </row>
    <row r="38887" ht="16.5" customHeight="1">
      <c r="O38887" s="5" t="s">
        <v>355</v>
      </c>
      <c r="P38887" s="5" t="s">
        <v>355</v>
      </c>
      <c r="Q38887" s="5" t="s">
        <v>355</v>
      </c>
    </row>
    <row r="38888" ht="16.5" customHeight="1">
      <c r="O38888" s="5" t="s">
        <v>355</v>
      </c>
      <c r="P38888" s="5" t="s">
        <v>355</v>
      </c>
      <c r="Q38888" s="5" t="s">
        <v>355</v>
      </c>
    </row>
    <row r="38889" ht="16.5" customHeight="1">
      <c r="O38889" s="5" t="s">
        <v>355</v>
      </c>
      <c r="P38889" s="5" t="s">
        <v>355</v>
      </c>
      <c r="Q38889" s="5" t="s">
        <v>355</v>
      </c>
    </row>
    <row r="38890" ht="16.5" customHeight="1">
      <c r="O38890" s="5" t="s">
        <v>355</v>
      </c>
      <c r="P38890" s="5" t="s">
        <v>355</v>
      </c>
      <c r="Q38890" s="5" t="s">
        <v>355</v>
      </c>
    </row>
    <row r="38891" ht="16.5" customHeight="1">
      <c r="O38891" s="5" t="s">
        <v>355</v>
      </c>
      <c r="P38891" s="5" t="s">
        <v>355</v>
      </c>
      <c r="Q38891" s="5" t="s">
        <v>355</v>
      </c>
    </row>
    <row r="38892" ht="16.5" customHeight="1">
      <c r="O38892" s="5" t="s">
        <v>355</v>
      </c>
      <c r="P38892" s="5" t="s">
        <v>355</v>
      </c>
      <c r="Q38892" s="5" t="s">
        <v>355</v>
      </c>
    </row>
    <row r="38893" ht="16.5" customHeight="1">
      <c r="O38893" s="5" t="s">
        <v>355</v>
      </c>
      <c r="P38893" s="5" t="s">
        <v>355</v>
      </c>
      <c r="Q38893" s="5" t="s">
        <v>355</v>
      </c>
    </row>
    <row r="38894" ht="16.5" customHeight="1">
      <c r="O38894" s="5" t="s">
        <v>355</v>
      </c>
      <c r="P38894" s="5" t="s">
        <v>355</v>
      </c>
      <c r="Q38894" s="5" t="s">
        <v>355</v>
      </c>
    </row>
    <row r="38895" ht="16.5" customHeight="1">
      <c r="O38895" s="5" t="s">
        <v>355</v>
      </c>
      <c r="P38895" s="5" t="s">
        <v>355</v>
      </c>
      <c r="Q38895" s="5" t="s">
        <v>355</v>
      </c>
    </row>
    <row r="38896" ht="16.5" customHeight="1">
      <c r="O38896" s="5" t="s">
        <v>355</v>
      </c>
      <c r="P38896" s="5" t="s">
        <v>355</v>
      </c>
      <c r="Q38896" s="5" t="s">
        <v>355</v>
      </c>
    </row>
    <row r="38897" ht="16.5" customHeight="1">
      <c r="O38897" s="5" t="s">
        <v>355</v>
      </c>
      <c r="P38897" s="5" t="s">
        <v>355</v>
      </c>
      <c r="Q38897" s="5" t="s">
        <v>355</v>
      </c>
    </row>
    <row r="38898" ht="16.5" customHeight="1">
      <c r="O38898" s="5" t="s">
        <v>355</v>
      </c>
      <c r="P38898" s="5" t="s">
        <v>355</v>
      </c>
      <c r="Q38898" s="5" t="s">
        <v>355</v>
      </c>
    </row>
    <row r="38899" ht="16.5" customHeight="1">
      <c r="O38899" s="5" t="s">
        <v>355</v>
      </c>
      <c r="P38899" s="5" t="s">
        <v>355</v>
      </c>
      <c r="Q38899" s="5" t="s">
        <v>355</v>
      </c>
    </row>
    <row r="38900" ht="16.5" customHeight="1">
      <c r="O38900" s="5" t="s">
        <v>355</v>
      </c>
      <c r="P38900" s="5" t="s">
        <v>355</v>
      </c>
      <c r="Q38900" s="5" t="s">
        <v>355</v>
      </c>
    </row>
    <row r="38901" ht="16.5" customHeight="1">
      <c r="O38901" s="5" t="s">
        <v>355</v>
      </c>
      <c r="P38901" s="5" t="s">
        <v>355</v>
      </c>
      <c r="Q38901" s="5" t="s">
        <v>355</v>
      </c>
    </row>
    <row r="38902" ht="16.5" customHeight="1">
      <c r="O38902" s="5" t="s">
        <v>355</v>
      </c>
      <c r="P38902" s="5" t="s">
        <v>355</v>
      </c>
      <c r="Q38902" s="5" t="s">
        <v>355</v>
      </c>
    </row>
    <row r="38903" ht="16.5" customHeight="1">
      <c r="O38903" s="5" t="s">
        <v>355</v>
      </c>
      <c r="P38903" s="5" t="s">
        <v>355</v>
      </c>
      <c r="Q38903" s="5" t="s">
        <v>355</v>
      </c>
    </row>
    <row r="38904" ht="16.5" customHeight="1">
      <c r="O38904" s="5" t="s">
        <v>355</v>
      </c>
      <c r="P38904" s="5" t="s">
        <v>355</v>
      </c>
      <c r="Q38904" s="5" t="s">
        <v>355</v>
      </c>
    </row>
    <row r="38905" ht="16.5" customHeight="1">
      <c r="O38905" s="5" t="s">
        <v>355</v>
      </c>
      <c r="P38905" s="5" t="s">
        <v>355</v>
      </c>
      <c r="Q38905" s="5" t="s">
        <v>355</v>
      </c>
    </row>
    <row r="38906" ht="16.5" customHeight="1">
      <c r="O38906" s="5" t="s">
        <v>355</v>
      </c>
      <c r="P38906" s="5" t="s">
        <v>355</v>
      </c>
      <c r="Q38906" s="5" t="s">
        <v>355</v>
      </c>
    </row>
    <row r="38907" ht="16.5" customHeight="1">
      <c r="O38907" s="5" t="s">
        <v>355</v>
      </c>
      <c r="P38907" s="5" t="s">
        <v>355</v>
      </c>
      <c r="Q38907" s="5" t="s">
        <v>355</v>
      </c>
    </row>
    <row r="38908" ht="16.5" customHeight="1">
      <c r="O38908" s="5" t="s">
        <v>355</v>
      </c>
      <c r="P38908" s="5" t="s">
        <v>355</v>
      </c>
      <c r="Q38908" s="5" t="s">
        <v>355</v>
      </c>
    </row>
    <row r="38909" ht="16.5" customHeight="1">
      <c r="O38909" s="5" t="s">
        <v>355</v>
      </c>
      <c r="P38909" s="5" t="s">
        <v>355</v>
      </c>
      <c r="Q38909" s="5" t="s">
        <v>355</v>
      </c>
    </row>
    <row r="38910" ht="16.5" customHeight="1">
      <c r="O38910" s="5" t="s">
        <v>355</v>
      </c>
      <c r="P38910" s="5" t="s">
        <v>355</v>
      </c>
      <c r="Q38910" s="5" t="s">
        <v>355</v>
      </c>
    </row>
    <row r="38911" ht="16.5" customHeight="1">
      <c r="O38911" s="5" t="s">
        <v>355</v>
      </c>
      <c r="P38911" s="5" t="s">
        <v>355</v>
      </c>
      <c r="Q38911" s="5" t="s">
        <v>355</v>
      </c>
    </row>
    <row r="38912" ht="16.5" customHeight="1">
      <c r="O38912" s="5" t="s">
        <v>355</v>
      </c>
      <c r="P38912" s="5" t="s">
        <v>355</v>
      </c>
      <c r="Q38912" s="5" t="s">
        <v>355</v>
      </c>
    </row>
    <row r="38913" ht="16.5" customHeight="1">
      <c r="O38913" s="5" t="s">
        <v>355</v>
      </c>
      <c r="P38913" s="5" t="s">
        <v>355</v>
      </c>
      <c r="Q38913" s="5" t="s">
        <v>355</v>
      </c>
    </row>
    <row r="38914" ht="16.5" customHeight="1">
      <c r="O38914" s="5" t="s">
        <v>355</v>
      </c>
      <c r="P38914" s="5" t="s">
        <v>355</v>
      </c>
      <c r="Q38914" s="5" t="s">
        <v>355</v>
      </c>
    </row>
    <row r="38915" ht="16.5" customHeight="1">
      <c r="O38915" s="5" t="s">
        <v>355</v>
      </c>
      <c r="P38915" s="5" t="s">
        <v>355</v>
      </c>
      <c r="Q38915" s="5" t="s">
        <v>355</v>
      </c>
    </row>
    <row r="38916" ht="16.5" customHeight="1">
      <c r="O38916" s="5" t="s">
        <v>355</v>
      </c>
      <c r="P38916" s="5" t="s">
        <v>355</v>
      </c>
      <c r="Q38916" s="5" t="s">
        <v>355</v>
      </c>
    </row>
    <row r="38917" ht="16.5" customHeight="1">
      <c r="O38917" s="5" t="s">
        <v>355</v>
      </c>
      <c r="P38917" s="5" t="s">
        <v>355</v>
      </c>
      <c r="Q38917" s="5" t="s">
        <v>355</v>
      </c>
    </row>
    <row r="38918" ht="16.5" customHeight="1">
      <c r="O38918" s="5" t="s">
        <v>355</v>
      </c>
      <c r="P38918" s="5" t="s">
        <v>355</v>
      </c>
      <c r="Q38918" s="5" t="s">
        <v>355</v>
      </c>
    </row>
    <row r="38919" ht="16.5" customHeight="1">
      <c r="O38919" s="5" t="s">
        <v>355</v>
      </c>
      <c r="P38919" s="5" t="s">
        <v>355</v>
      </c>
      <c r="Q38919" s="5" t="s">
        <v>355</v>
      </c>
    </row>
    <row r="38920" ht="16.5" customHeight="1">
      <c r="O38920" s="5" t="s">
        <v>355</v>
      </c>
      <c r="P38920" s="5" t="s">
        <v>355</v>
      </c>
      <c r="Q38920" s="5" t="s">
        <v>355</v>
      </c>
    </row>
    <row r="38921" ht="16.5" customHeight="1">
      <c r="O38921" s="5" t="s">
        <v>355</v>
      </c>
      <c r="P38921" s="5" t="s">
        <v>355</v>
      </c>
      <c r="Q38921" s="5" t="s">
        <v>355</v>
      </c>
    </row>
    <row r="38922" ht="16.5" customHeight="1">
      <c r="O38922" s="5" t="s">
        <v>355</v>
      </c>
      <c r="P38922" s="5" t="s">
        <v>355</v>
      </c>
      <c r="Q38922" s="5" t="s">
        <v>355</v>
      </c>
    </row>
    <row r="38923" ht="16.5" customHeight="1">
      <c r="O38923" s="5" t="s">
        <v>355</v>
      </c>
      <c r="P38923" s="5" t="s">
        <v>355</v>
      </c>
      <c r="Q38923" s="5" t="s">
        <v>355</v>
      </c>
    </row>
    <row r="38924" ht="16.5" customHeight="1">
      <c r="O38924" s="5" t="s">
        <v>355</v>
      </c>
      <c r="P38924" s="5" t="s">
        <v>355</v>
      </c>
      <c r="Q38924" s="5" t="s">
        <v>355</v>
      </c>
    </row>
    <row r="38925" ht="16.5" customHeight="1">
      <c r="O38925" s="5" t="s">
        <v>355</v>
      </c>
      <c r="P38925" s="5" t="s">
        <v>355</v>
      </c>
      <c r="Q38925" s="5" t="s">
        <v>355</v>
      </c>
    </row>
    <row r="38926" ht="16.5" customHeight="1">
      <c r="O38926" s="5" t="s">
        <v>355</v>
      </c>
      <c r="P38926" s="5" t="s">
        <v>355</v>
      </c>
      <c r="Q38926" s="5" t="s">
        <v>355</v>
      </c>
    </row>
    <row r="38927" ht="16.5" customHeight="1">
      <c r="O38927" s="5" t="s">
        <v>355</v>
      </c>
      <c r="P38927" s="5" t="s">
        <v>355</v>
      </c>
      <c r="Q38927" s="5" t="s">
        <v>355</v>
      </c>
    </row>
    <row r="38928" ht="16.5" customHeight="1">
      <c r="O38928" s="5" t="s">
        <v>355</v>
      </c>
      <c r="P38928" s="5" t="s">
        <v>355</v>
      </c>
      <c r="Q38928" s="5" t="s">
        <v>355</v>
      </c>
    </row>
    <row r="38929" ht="16.5" customHeight="1">
      <c r="O38929" s="5" t="s">
        <v>355</v>
      </c>
      <c r="P38929" s="5" t="s">
        <v>355</v>
      </c>
      <c r="Q38929" s="5" t="s">
        <v>355</v>
      </c>
    </row>
    <row r="38930" ht="16.5" customHeight="1">
      <c r="O38930" s="5" t="s">
        <v>355</v>
      </c>
      <c r="P38930" s="5" t="s">
        <v>355</v>
      </c>
      <c r="Q38930" s="5" t="s">
        <v>355</v>
      </c>
    </row>
    <row r="38931" ht="16.5" customHeight="1">
      <c r="O38931" s="5" t="s">
        <v>355</v>
      </c>
      <c r="P38931" s="5" t="s">
        <v>355</v>
      </c>
      <c r="Q38931" s="5" t="s">
        <v>355</v>
      </c>
    </row>
    <row r="38932" ht="16.5" customHeight="1">
      <c r="O38932" s="5" t="s">
        <v>355</v>
      </c>
      <c r="P38932" s="5" t="s">
        <v>355</v>
      </c>
      <c r="Q38932" s="5" t="s">
        <v>355</v>
      </c>
    </row>
    <row r="38933" ht="16.5" customHeight="1">
      <c r="O38933" s="5" t="s">
        <v>355</v>
      </c>
      <c r="P38933" s="5" t="s">
        <v>355</v>
      </c>
      <c r="Q38933" s="5" t="s">
        <v>355</v>
      </c>
    </row>
    <row r="38934" ht="16.5" customHeight="1">
      <c r="O38934" s="5" t="s">
        <v>355</v>
      </c>
      <c r="P38934" s="5" t="s">
        <v>355</v>
      </c>
      <c r="Q38934" s="5" t="s">
        <v>355</v>
      </c>
    </row>
    <row r="38935" ht="16.5" customHeight="1">
      <c r="O38935" s="5" t="s">
        <v>355</v>
      </c>
      <c r="P38935" s="5" t="s">
        <v>355</v>
      </c>
      <c r="Q38935" s="5" t="s">
        <v>355</v>
      </c>
    </row>
    <row r="38936" ht="16.5" customHeight="1">
      <c r="O38936" s="5" t="s">
        <v>355</v>
      </c>
      <c r="P38936" s="5" t="s">
        <v>355</v>
      </c>
      <c r="Q38936" s="5" t="s">
        <v>355</v>
      </c>
    </row>
    <row r="38937" ht="16.5" customHeight="1">
      <c r="O38937" s="5" t="s">
        <v>355</v>
      </c>
      <c r="P38937" s="5" t="s">
        <v>355</v>
      </c>
      <c r="Q38937" s="5" t="s">
        <v>355</v>
      </c>
    </row>
    <row r="38938" ht="16.5" customHeight="1">
      <c r="O38938" s="5" t="s">
        <v>355</v>
      </c>
      <c r="P38938" s="5" t="s">
        <v>355</v>
      </c>
      <c r="Q38938" s="5" t="s">
        <v>355</v>
      </c>
    </row>
    <row r="38939" ht="16.5" customHeight="1">
      <c r="O38939" s="5" t="s">
        <v>355</v>
      </c>
      <c r="P38939" s="5" t="s">
        <v>355</v>
      </c>
      <c r="Q38939" s="5" t="s">
        <v>355</v>
      </c>
    </row>
    <row r="38940" ht="16.5" customHeight="1">
      <c r="O38940" s="5" t="s">
        <v>355</v>
      </c>
      <c r="P38940" s="5" t="s">
        <v>355</v>
      </c>
      <c r="Q38940" s="5" t="s">
        <v>355</v>
      </c>
    </row>
    <row r="38941" ht="16.5" customHeight="1">
      <c r="O38941" s="5" t="s">
        <v>355</v>
      </c>
      <c r="P38941" s="5" t="s">
        <v>355</v>
      </c>
      <c r="Q38941" s="5" t="s">
        <v>355</v>
      </c>
    </row>
    <row r="38942" ht="16.5" customHeight="1">
      <c r="O38942" s="5" t="s">
        <v>355</v>
      </c>
      <c r="P38942" s="5" t="s">
        <v>355</v>
      </c>
      <c r="Q38942" s="5" t="s">
        <v>355</v>
      </c>
    </row>
    <row r="38943" ht="16.5" customHeight="1">
      <c r="O38943" s="5" t="s">
        <v>355</v>
      </c>
      <c r="P38943" s="5" t="s">
        <v>355</v>
      </c>
      <c r="Q38943" s="5" t="s">
        <v>355</v>
      </c>
    </row>
    <row r="38944" ht="16.5" customHeight="1">
      <c r="O38944" s="5" t="s">
        <v>355</v>
      </c>
      <c r="P38944" s="5" t="s">
        <v>355</v>
      </c>
      <c r="Q38944" s="5" t="s">
        <v>355</v>
      </c>
    </row>
    <row r="38945" ht="16.5" customHeight="1">
      <c r="O38945" s="5" t="s">
        <v>355</v>
      </c>
      <c r="P38945" s="5" t="s">
        <v>355</v>
      </c>
      <c r="Q38945" s="5" t="s">
        <v>355</v>
      </c>
    </row>
    <row r="38946" ht="16.5" customHeight="1">
      <c r="O38946" s="5" t="s">
        <v>355</v>
      </c>
      <c r="P38946" s="5" t="s">
        <v>355</v>
      </c>
      <c r="Q38946" s="5" t="s">
        <v>355</v>
      </c>
    </row>
    <row r="38947" ht="16.5" customHeight="1">
      <c r="O38947" s="5" t="s">
        <v>355</v>
      </c>
      <c r="P38947" s="5" t="s">
        <v>355</v>
      </c>
      <c r="Q38947" s="5" t="s">
        <v>355</v>
      </c>
    </row>
    <row r="38948" ht="16.5" customHeight="1">
      <c r="O38948" s="5" t="s">
        <v>355</v>
      </c>
      <c r="P38948" s="5" t="s">
        <v>355</v>
      </c>
      <c r="Q38948" s="5" t="s">
        <v>355</v>
      </c>
    </row>
    <row r="38949" ht="16.5" customHeight="1">
      <c r="O38949" s="5" t="s">
        <v>355</v>
      </c>
      <c r="P38949" s="5" t="s">
        <v>355</v>
      </c>
      <c r="Q38949" s="5" t="s">
        <v>355</v>
      </c>
    </row>
    <row r="38950" ht="16.5" customHeight="1">
      <c r="O38950" s="5" t="s">
        <v>355</v>
      </c>
      <c r="P38950" s="5" t="s">
        <v>355</v>
      </c>
      <c r="Q38950" s="5" t="s">
        <v>355</v>
      </c>
    </row>
    <row r="38951" ht="16.5" customHeight="1">
      <c r="O38951" s="5" t="s">
        <v>355</v>
      </c>
      <c r="P38951" s="5" t="s">
        <v>355</v>
      </c>
      <c r="Q38951" s="5" t="s">
        <v>355</v>
      </c>
    </row>
    <row r="38952" ht="16.5" customHeight="1">
      <c r="O38952" s="5" t="s">
        <v>355</v>
      </c>
      <c r="P38952" s="5" t="s">
        <v>355</v>
      </c>
      <c r="Q38952" s="5" t="s">
        <v>355</v>
      </c>
    </row>
    <row r="38953" ht="16.5" customHeight="1">
      <c r="O38953" s="5" t="s">
        <v>355</v>
      </c>
      <c r="P38953" s="5" t="s">
        <v>355</v>
      </c>
      <c r="Q38953" s="5" t="s">
        <v>355</v>
      </c>
    </row>
    <row r="38954" ht="16.5" customHeight="1">
      <c r="O38954" s="5" t="s">
        <v>355</v>
      </c>
      <c r="P38954" s="5" t="s">
        <v>355</v>
      </c>
      <c r="Q38954" s="5" t="s">
        <v>355</v>
      </c>
    </row>
    <row r="38955" ht="16.5" customHeight="1">
      <c r="O38955" s="5" t="s">
        <v>355</v>
      </c>
      <c r="P38955" s="5" t="s">
        <v>355</v>
      </c>
      <c r="Q38955" s="5" t="s">
        <v>355</v>
      </c>
    </row>
    <row r="38956" ht="16.5" customHeight="1">
      <c r="O38956" s="5" t="s">
        <v>355</v>
      </c>
      <c r="P38956" s="5" t="s">
        <v>355</v>
      </c>
      <c r="Q38956" s="5" t="s">
        <v>355</v>
      </c>
    </row>
    <row r="38957" ht="16.5" customHeight="1">
      <c r="O38957" s="5" t="s">
        <v>355</v>
      </c>
      <c r="P38957" s="5" t="s">
        <v>355</v>
      </c>
      <c r="Q38957" s="5" t="s">
        <v>355</v>
      </c>
    </row>
    <row r="38958" ht="16.5" customHeight="1">
      <c r="O38958" s="5" t="s">
        <v>355</v>
      </c>
      <c r="P38958" s="5" t="s">
        <v>355</v>
      </c>
      <c r="Q38958" s="5" t="s">
        <v>355</v>
      </c>
    </row>
    <row r="38959" ht="16.5" customHeight="1">
      <c r="O38959" s="5" t="s">
        <v>355</v>
      </c>
      <c r="P38959" s="5" t="s">
        <v>355</v>
      </c>
      <c r="Q38959" s="5" t="s">
        <v>355</v>
      </c>
    </row>
    <row r="38960" ht="16.5" customHeight="1">
      <c r="O38960" s="5" t="s">
        <v>355</v>
      </c>
      <c r="P38960" s="5" t="s">
        <v>355</v>
      </c>
      <c r="Q38960" s="5" t="s">
        <v>355</v>
      </c>
    </row>
    <row r="38961" ht="16.5" customHeight="1">
      <c r="O38961" s="5" t="s">
        <v>355</v>
      </c>
      <c r="P38961" s="5" t="s">
        <v>355</v>
      </c>
      <c r="Q38961" s="5" t="s">
        <v>355</v>
      </c>
    </row>
    <row r="38962" ht="16.5" customHeight="1">
      <c r="O38962" s="5" t="s">
        <v>355</v>
      </c>
      <c r="P38962" s="5" t="s">
        <v>355</v>
      </c>
      <c r="Q38962" s="5" t="s">
        <v>355</v>
      </c>
    </row>
    <row r="38963" ht="16.5" customHeight="1">
      <c r="O38963" s="5" t="s">
        <v>355</v>
      </c>
      <c r="P38963" s="5" t="s">
        <v>355</v>
      </c>
      <c r="Q38963" s="5" t="s">
        <v>355</v>
      </c>
    </row>
    <row r="38964" ht="16.5" customHeight="1">
      <c r="O38964" s="5" t="s">
        <v>355</v>
      </c>
      <c r="P38964" s="5" t="s">
        <v>355</v>
      </c>
      <c r="Q38964" s="5" t="s">
        <v>355</v>
      </c>
    </row>
    <row r="38965" ht="16.5" customHeight="1">
      <c r="O38965" s="5" t="s">
        <v>355</v>
      </c>
      <c r="P38965" s="5" t="s">
        <v>355</v>
      </c>
      <c r="Q38965" s="5" t="s">
        <v>355</v>
      </c>
    </row>
    <row r="38966" ht="16.5" customHeight="1">
      <c r="O38966" s="5" t="s">
        <v>355</v>
      </c>
      <c r="P38966" s="5" t="s">
        <v>355</v>
      </c>
      <c r="Q38966" s="5" t="s">
        <v>355</v>
      </c>
    </row>
    <row r="38967" ht="16.5" customHeight="1">
      <c r="O38967" s="5" t="s">
        <v>355</v>
      </c>
      <c r="P38967" s="5" t="s">
        <v>355</v>
      </c>
      <c r="Q38967" s="5" t="s">
        <v>355</v>
      </c>
    </row>
    <row r="38968" ht="16.5" customHeight="1">
      <c r="O38968" s="5" t="s">
        <v>355</v>
      </c>
      <c r="P38968" s="5" t="s">
        <v>355</v>
      </c>
      <c r="Q38968" s="5" t="s">
        <v>355</v>
      </c>
    </row>
    <row r="38969" ht="16.5" customHeight="1">
      <c r="O38969" s="5" t="s">
        <v>355</v>
      </c>
      <c r="P38969" s="5" t="s">
        <v>355</v>
      </c>
      <c r="Q38969" s="5" t="s">
        <v>355</v>
      </c>
    </row>
    <row r="38970" ht="16.5" customHeight="1">
      <c r="O38970" s="5" t="s">
        <v>355</v>
      </c>
      <c r="P38970" s="5" t="s">
        <v>355</v>
      </c>
      <c r="Q38970" s="5" t="s">
        <v>355</v>
      </c>
    </row>
    <row r="38971" ht="16.5" customHeight="1">
      <c r="O38971" s="5" t="s">
        <v>355</v>
      </c>
      <c r="P38971" s="5" t="s">
        <v>355</v>
      </c>
      <c r="Q38971" s="5" t="s">
        <v>355</v>
      </c>
    </row>
    <row r="38972" ht="16.5" customHeight="1">
      <c r="O38972" s="5" t="s">
        <v>355</v>
      </c>
      <c r="P38972" s="5" t="s">
        <v>355</v>
      </c>
      <c r="Q38972" s="5" t="s">
        <v>355</v>
      </c>
    </row>
    <row r="38973" ht="16.5" customHeight="1">
      <c r="O38973" s="5" t="s">
        <v>355</v>
      </c>
      <c r="P38973" s="5" t="s">
        <v>355</v>
      </c>
      <c r="Q38973" s="5" t="s">
        <v>355</v>
      </c>
    </row>
    <row r="38974" ht="16.5" customHeight="1">
      <c r="O38974" s="5" t="s">
        <v>355</v>
      </c>
      <c r="P38974" s="5" t="s">
        <v>355</v>
      </c>
      <c r="Q38974" s="5" t="s">
        <v>355</v>
      </c>
    </row>
    <row r="38975" ht="16.5" customHeight="1">
      <c r="O38975" s="5" t="s">
        <v>355</v>
      </c>
      <c r="P38975" s="5" t="s">
        <v>355</v>
      </c>
      <c r="Q38975" s="5" t="s">
        <v>355</v>
      </c>
    </row>
    <row r="38976" ht="16.5" customHeight="1">
      <c r="O38976" s="5" t="s">
        <v>355</v>
      </c>
      <c r="P38976" s="5" t="s">
        <v>355</v>
      </c>
      <c r="Q38976" s="5" t="s">
        <v>355</v>
      </c>
    </row>
    <row r="38977" ht="16.5" customHeight="1">
      <c r="O38977" s="5" t="s">
        <v>355</v>
      </c>
      <c r="P38977" s="5" t="s">
        <v>355</v>
      </c>
      <c r="Q38977" s="5" t="s">
        <v>355</v>
      </c>
    </row>
    <row r="38978" ht="16.5" customHeight="1">
      <c r="O38978" s="5" t="s">
        <v>355</v>
      </c>
      <c r="P38978" s="5" t="s">
        <v>355</v>
      </c>
      <c r="Q38978" s="5" t="s">
        <v>355</v>
      </c>
    </row>
    <row r="38979" ht="16.5" customHeight="1">
      <c r="O38979" s="5" t="s">
        <v>355</v>
      </c>
      <c r="P38979" s="5" t="s">
        <v>355</v>
      </c>
      <c r="Q38979" s="5" t="s">
        <v>355</v>
      </c>
    </row>
    <row r="38980" ht="16.5" customHeight="1">
      <c r="O38980" s="5" t="s">
        <v>355</v>
      </c>
      <c r="P38980" s="5" t="s">
        <v>355</v>
      </c>
      <c r="Q38980" s="5" t="s">
        <v>355</v>
      </c>
    </row>
    <row r="38981" ht="16.5" customHeight="1">
      <c r="O38981" s="5" t="s">
        <v>355</v>
      </c>
      <c r="P38981" s="5" t="s">
        <v>355</v>
      </c>
      <c r="Q38981" s="5" t="s">
        <v>355</v>
      </c>
    </row>
    <row r="38982" ht="16.5" customHeight="1">
      <c r="O38982" s="5" t="s">
        <v>355</v>
      </c>
      <c r="P38982" s="5" t="s">
        <v>355</v>
      </c>
      <c r="Q38982" s="5" t="s">
        <v>355</v>
      </c>
    </row>
    <row r="38983" ht="16.5" customHeight="1">
      <c r="O38983" s="5" t="s">
        <v>355</v>
      </c>
      <c r="P38983" s="5" t="s">
        <v>355</v>
      </c>
      <c r="Q38983" s="5" t="s">
        <v>355</v>
      </c>
    </row>
    <row r="38984" ht="16.5" customHeight="1">
      <c r="O38984" s="5" t="s">
        <v>355</v>
      </c>
      <c r="P38984" s="5" t="s">
        <v>355</v>
      </c>
      <c r="Q38984" s="5" t="s">
        <v>355</v>
      </c>
    </row>
    <row r="38985" ht="16.5" customHeight="1">
      <c r="O38985" s="5" t="s">
        <v>355</v>
      </c>
      <c r="P38985" s="5" t="s">
        <v>355</v>
      </c>
      <c r="Q38985" s="5" t="s">
        <v>355</v>
      </c>
    </row>
    <row r="38986" ht="16.5" customHeight="1">
      <c r="O38986" s="5" t="s">
        <v>355</v>
      </c>
      <c r="P38986" s="5" t="s">
        <v>355</v>
      </c>
      <c r="Q38986" s="5" t="s">
        <v>355</v>
      </c>
    </row>
    <row r="38987" ht="16.5" customHeight="1">
      <c r="O38987" s="5" t="s">
        <v>355</v>
      </c>
      <c r="P38987" s="5" t="s">
        <v>355</v>
      </c>
      <c r="Q38987" s="5" t="s">
        <v>355</v>
      </c>
    </row>
    <row r="38988" ht="16.5" customHeight="1">
      <c r="O38988" s="5" t="s">
        <v>355</v>
      </c>
      <c r="P38988" s="5" t="s">
        <v>355</v>
      </c>
      <c r="Q38988" s="5" t="s">
        <v>355</v>
      </c>
    </row>
    <row r="38989" ht="16.5" customHeight="1">
      <c r="O38989" s="5" t="s">
        <v>355</v>
      </c>
      <c r="P38989" s="5" t="s">
        <v>355</v>
      </c>
      <c r="Q38989" s="5" t="s">
        <v>355</v>
      </c>
    </row>
    <row r="38990" ht="16.5" customHeight="1">
      <c r="O38990" s="5" t="s">
        <v>355</v>
      </c>
      <c r="P38990" s="5" t="s">
        <v>355</v>
      </c>
      <c r="Q38990" s="5" t="s">
        <v>355</v>
      </c>
    </row>
    <row r="38991" ht="16.5" customHeight="1">
      <c r="O38991" s="5" t="s">
        <v>355</v>
      </c>
      <c r="P38991" s="5" t="s">
        <v>355</v>
      </c>
      <c r="Q38991" s="5" t="s">
        <v>355</v>
      </c>
    </row>
    <row r="38992" ht="16.5" customHeight="1">
      <c r="O38992" s="5" t="s">
        <v>355</v>
      </c>
      <c r="P38992" s="5" t="s">
        <v>355</v>
      </c>
      <c r="Q38992" s="5" t="s">
        <v>355</v>
      </c>
    </row>
    <row r="38993" ht="16.5" customHeight="1">
      <c r="O38993" s="5" t="s">
        <v>355</v>
      </c>
      <c r="P38993" s="5" t="s">
        <v>355</v>
      </c>
      <c r="Q38993" s="5" t="s">
        <v>355</v>
      </c>
    </row>
    <row r="38994" ht="16.5" customHeight="1">
      <c r="O38994" s="5" t="s">
        <v>355</v>
      </c>
      <c r="P38994" s="5" t="s">
        <v>355</v>
      </c>
      <c r="Q38994" s="5" t="s">
        <v>355</v>
      </c>
    </row>
    <row r="38995" ht="16.5" customHeight="1">
      <c r="O38995" s="5" t="s">
        <v>355</v>
      </c>
      <c r="P38995" s="5" t="s">
        <v>355</v>
      </c>
      <c r="Q38995" s="5" t="s">
        <v>355</v>
      </c>
    </row>
    <row r="38996" ht="16.5" customHeight="1">
      <c r="O38996" s="5" t="s">
        <v>355</v>
      </c>
      <c r="P38996" s="5" t="s">
        <v>355</v>
      </c>
      <c r="Q38996" s="5" t="s">
        <v>355</v>
      </c>
    </row>
    <row r="38997" ht="16.5" customHeight="1">
      <c r="O38997" s="5" t="s">
        <v>355</v>
      </c>
      <c r="P38997" s="5" t="s">
        <v>355</v>
      </c>
      <c r="Q38997" s="5" t="s">
        <v>355</v>
      </c>
    </row>
    <row r="38998" ht="16.5" customHeight="1">
      <c r="O38998" s="5" t="s">
        <v>355</v>
      </c>
      <c r="P38998" s="5" t="s">
        <v>355</v>
      </c>
      <c r="Q38998" s="5" t="s">
        <v>355</v>
      </c>
    </row>
    <row r="38999" ht="16.5" customHeight="1">
      <c r="O38999" s="5" t="s">
        <v>355</v>
      </c>
      <c r="P38999" s="5" t="s">
        <v>355</v>
      </c>
      <c r="Q38999" s="5" t="s">
        <v>355</v>
      </c>
    </row>
    <row r="39000" ht="16.5" customHeight="1">
      <c r="O39000" s="5" t="s">
        <v>355</v>
      </c>
      <c r="P39000" s="5" t="s">
        <v>355</v>
      </c>
      <c r="Q39000" s="5" t="s">
        <v>355</v>
      </c>
    </row>
    <row r="39001" ht="16.5" customHeight="1">
      <c r="O39001" s="5" t="s">
        <v>355</v>
      </c>
      <c r="P39001" s="5" t="s">
        <v>355</v>
      </c>
      <c r="Q39001" s="5" t="s">
        <v>355</v>
      </c>
    </row>
    <row r="39002" ht="16.5" customHeight="1">
      <c r="O39002" s="5" t="s">
        <v>355</v>
      </c>
      <c r="P39002" s="5" t="s">
        <v>355</v>
      </c>
      <c r="Q39002" s="5" t="s">
        <v>355</v>
      </c>
    </row>
    <row r="39003" ht="16.5" customHeight="1">
      <c r="O39003" s="5" t="s">
        <v>355</v>
      </c>
      <c r="P39003" s="5" t="s">
        <v>355</v>
      </c>
      <c r="Q39003" s="5" t="s">
        <v>355</v>
      </c>
    </row>
    <row r="39004" ht="16.5" customHeight="1">
      <c r="O39004" s="5" t="s">
        <v>355</v>
      </c>
      <c r="P39004" s="5" t="s">
        <v>355</v>
      </c>
      <c r="Q39004" s="5" t="s">
        <v>355</v>
      </c>
    </row>
    <row r="39005" ht="16.5" customHeight="1">
      <c r="O39005" s="5" t="s">
        <v>355</v>
      </c>
      <c r="P39005" s="5" t="s">
        <v>355</v>
      </c>
      <c r="Q39005" s="5" t="s">
        <v>355</v>
      </c>
    </row>
    <row r="39006" ht="16.5" customHeight="1">
      <c r="O39006" s="5" t="s">
        <v>355</v>
      </c>
      <c r="P39006" s="5" t="s">
        <v>355</v>
      </c>
      <c r="Q39006" s="5" t="s">
        <v>355</v>
      </c>
    </row>
    <row r="39007" ht="16.5" customHeight="1">
      <c r="O39007" s="5" t="s">
        <v>355</v>
      </c>
      <c r="P39007" s="5" t="s">
        <v>355</v>
      </c>
      <c r="Q39007" s="5" t="s">
        <v>355</v>
      </c>
    </row>
    <row r="39008" ht="16.5" customHeight="1">
      <c r="O39008" s="5" t="s">
        <v>355</v>
      </c>
      <c r="P39008" s="5" t="s">
        <v>355</v>
      </c>
      <c r="Q39008" s="5" t="s">
        <v>355</v>
      </c>
    </row>
    <row r="39009" ht="16.5" customHeight="1">
      <c r="O39009" s="5" t="s">
        <v>355</v>
      </c>
      <c r="P39009" s="5" t="s">
        <v>355</v>
      </c>
      <c r="Q39009" s="5" t="s">
        <v>355</v>
      </c>
    </row>
    <row r="39010" ht="16.5" customHeight="1">
      <c r="O39010" s="5" t="s">
        <v>355</v>
      </c>
      <c r="P39010" s="5" t="s">
        <v>355</v>
      </c>
      <c r="Q39010" s="5" t="s">
        <v>355</v>
      </c>
    </row>
    <row r="39011" ht="16.5" customHeight="1">
      <c r="O39011" s="5" t="s">
        <v>355</v>
      </c>
      <c r="P39011" s="5" t="s">
        <v>355</v>
      </c>
      <c r="Q39011" s="5" t="s">
        <v>355</v>
      </c>
    </row>
    <row r="39012" ht="16.5" customHeight="1">
      <c r="O39012" s="5" t="s">
        <v>355</v>
      </c>
      <c r="P39012" s="5" t="s">
        <v>355</v>
      </c>
      <c r="Q39012" s="5" t="s">
        <v>355</v>
      </c>
    </row>
    <row r="39013" ht="16.5" customHeight="1">
      <c r="O39013" s="5" t="s">
        <v>355</v>
      </c>
      <c r="P39013" s="5" t="s">
        <v>355</v>
      </c>
      <c r="Q39013" s="5" t="s">
        <v>355</v>
      </c>
    </row>
    <row r="39014" ht="16.5" customHeight="1">
      <c r="O39014" s="5" t="s">
        <v>355</v>
      </c>
      <c r="P39014" s="5" t="s">
        <v>355</v>
      </c>
      <c r="Q39014" s="5" t="s">
        <v>355</v>
      </c>
    </row>
    <row r="39015" ht="16.5" customHeight="1">
      <c r="O39015" s="5" t="s">
        <v>355</v>
      </c>
      <c r="P39015" s="5" t="s">
        <v>355</v>
      </c>
      <c r="Q39015" s="5" t="s">
        <v>355</v>
      </c>
    </row>
    <row r="39016" ht="16.5" customHeight="1">
      <c r="O39016" s="5" t="s">
        <v>355</v>
      </c>
      <c r="P39016" s="5" t="s">
        <v>355</v>
      </c>
      <c r="Q39016" s="5" t="s">
        <v>355</v>
      </c>
    </row>
    <row r="39017" ht="16.5" customHeight="1">
      <c r="O39017" s="5" t="s">
        <v>355</v>
      </c>
      <c r="P39017" s="5" t="s">
        <v>355</v>
      </c>
      <c r="Q39017" s="5" t="s">
        <v>355</v>
      </c>
    </row>
    <row r="39018" ht="16.5" customHeight="1">
      <c r="O39018" s="5" t="s">
        <v>355</v>
      </c>
      <c r="P39018" s="5" t="s">
        <v>355</v>
      </c>
      <c r="Q39018" s="5" t="s">
        <v>355</v>
      </c>
    </row>
    <row r="39019" ht="16.5" customHeight="1">
      <c r="O39019" s="5" t="s">
        <v>355</v>
      </c>
      <c r="P39019" s="5" t="s">
        <v>355</v>
      </c>
      <c r="Q39019" s="5" t="s">
        <v>355</v>
      </c>
    </row>
    <row r="39020" ht="16.5" customHeight="1">
      <c r="O39020" s="5" t="s">
        <v>355</v>
      </c>
      <c r="P39020" s="5" t="s">
        <v>355</v>
      </c>
      <c r="Q39020" s="5" t="s">
        <v>355</v>
      </c>
    </row>
    <row r="39021" ht="16.5" customHeight="1">
      <c r="O39021" s="5" t="s">
        <v>355</v>
      </c>
      <c r="P39021" s="5" t="s">
        <v>355</v>
      </c>
      <c r="Q39021" s="5" t="s">
        <v>355</v>
      </c>
    </row>
    <row r="39022" ht="16.5" customHeight="1">
      <c r="O39022" s="5" t="s">
        <v>355</v>
      </c>
      <c r="P39022" s="5" t="s">
        <v>355</v>
      </c>
      <c r="Q39022" s="5" t="s">
        <v>355</v>
      </c>
    </row>
    <row r="39023" ht="16.5" customHeight="1">
      <c r="O39023" s="5" t="s">
        <v>355</v>
      </c>
      <c r="P39023" s="5" t="s">
        <v>355</v>
      </c>
      <c r="Q39023" s="5" t="s">
        <v>355</v>
      </c>
    </row>
    <row r="39024" ht="16.5" customHeight="1">
      <c r="O39024" s="5" t="s">
        <v>355</v>
      </c>
      <c r="P39024" s="5" t="s">
        <v>355</v>
      </c>
      <c r="Q39024" s="5" t="s">
        <v>355</v>
      </c>
    </row>
    <row r="39025" ht="16.5" customHeight="1">
      <c r="O39025" s="5" t="s">
        <v>355</v>
      </c>
      <c r="P39025" s="5" t="s">
        <v>355</v>
      </c>
      <c r="Q39025" s="5" t="s">
        <v>355</v>
      </c>
    </row>
    <row r="39026" ht="16.5" customHeight="1">
      <c r="O39026" s="5" t="s">
        <v>355</v>
      </c>
      <c r="P39026" s="5" t="s">
        <v>355</v>
      </c>
      <c r="Q39026" s="5" t="s">
        <v>355</v>
      </c>
    </row>
    <row r="39027" ht="16.5" customHeight="1">
      <c r="O39027" s="5" t="s">
        <v>355</v>
      </c>
      <c r="P39027" s="5" t="s">
        <v>355</v>
      </c>
      <c r="Q39027" s="5" t="s">
        <v>355</v>
      </c>
    </row>
    <row r="39028" ht="16.5" customHeight="1">
      <c r="O39028" s="5" t="s">
        <v>355</v>
      </c>
      <c r="P39028" s="5" t="s">
        <v>355</v>
      </c>
      <c r="Q39028" s="5" t="s">
        <v>355</v>
      </c>
    </row>
    <row r="39029" ht="16.5" customHeight="1">
      <c r="O39029" s="5" t="s">
        <v>355</v>
      </c>
      <c r="P39029" s="5" t="s">
        <v>355</v>
      </c>
      <c r="Q39029" s="5" t="s">
        <v>355</v>
      </c>
    </row>
    <row r="39030" ht="16.5" customHeight="1">
      <c r="O39030" s="5" t="s">
        <v>355</v>
      </c>
      <c r="P39030" s="5" t="s">
        <v>355</v>
      </c>
      <c r="Q39030" s="5" t="s">
        <v>355</v>
      </c>
    </row>
    <row r="39031" ht="16.5" customHeight="1">
      <c r="O39031" s="5" t="s">
        <v>355</v>
      </c>
      <c r="P39031" s="5" t="s">
        <v>355</v>
      </c>
      <c r="Q39031" s="5" t="s">
        <v>355</v>
      </c>
    </row>
    <row r="39032" ht="16.5" customHeight="1">
      <c r="O39032" s="5" t="s">
        <v>355</v>
      </c>
      <c r="P39032" s="5" t="s">
        <v>355</v>
      </c>
      <c r="Q39032" s="5" t="s">
        <v>355</v>
      </c>
    </row>
    <row r="39033" ht="16.5" customHeight="1">
      <c r="O39033" s="5" t="s">
        <v>355</v>
      </c>
      <c r="P39033" s="5" t="s">
        <v>355</v>
      </c>
      <c r="Q39033" s="5" t="s">
        <v>355</v>
      </c>
    </row>
    <row r="39034" ht="16.5" customHeight="1">
      <c r="O39034" s="5" t="s">
        <v>355</v>
      </c>
      <c r="P39034" s="5" t="s">
        <v>355</v>
      </c>
      <c r="Q39034" s="5" t="s">
        <v>355</v>
      </c>
    </row>
    <row r="39035" ht="16.5" customHeight="1">
      <c r="O39035" s="5" t="s">
        <v>355</v>
      </c>
      <c r="P39035" s="5" t="s">
        <v>355</v>
      </c>
      <c r="Q39035" s="5" t="s">
        <v>355</v>
      </c>
    </row>
    <row r="39036" ht="16.5" customHeight="1">
      <c r="O39036" s="5" t="s">
        <v>355</v>
      </c>
      <c r="P39036" s="5" t="s">
        <v>355</v>
      </c>
      <c r="Q39036" s="5" t="s">
        <v>355</v>
      </c>
    </row>
    <row r="39037" ht="16.5" customHeight="1">
      <c r="O39037" s="5" t="s">
        <v>355</v>
      </c>
      <c r="P39037" s="5" t="s">
        <v>355</v>
      </c>
      <c r="Q39037" s="5" t="s">
        <v>355</v>
      </c>
    </row>
    <row r="39038" ht="16.5" customHeight="1">
      <c r="O39038" s="5" t="s">
        <v>355</v>
      </c>
      <c r="P39038" s="5" t="s">
        <v>355</v>
      </c>
      <c r="Q39038" s="5" t="s">
        <v>355</v>
      </c>
    </row>
    <row r="39039" ht="16.5" customHeight="1">
      <c r="O39039" s="5" t="s">
        <v>355</v>
      </c>
      <c r="P39039" s="5" t="s">
        <v>355</v>
      </c>
      <c r="Q39039" s="5" t="s">
        <v>355</v>
      </c>
    </row>
    <row r="39040" ht="16.5" customHeight="1">
      <c r="O39040" s="5" t="s">
        <v>355</v>
      </c>
      <c r="P39040" s="5" t="s">
        <v>355</v>
      </c>
      <c r="Q39040" s="5" t="s">
        <v>355</v>
      </c>
    </row>
    <row r="39041" ht="16.5" customHeight="1">
      <c r="O39041" s="5" t="s">
        <v>355</v>
      </c>
      <c r="P39041" s="5" t="s">
        <v>355</v>
      </c>
      <c r="Q39041" s="5" t="s">
        <v>355</v>
      </c>
    </row>
    <row r="39042" ht="16.5" customHeight="1">
      <c r="O39042" s="5" t="s">
        <v>355</v>
      </c>
      <c r="P39042" s="5" t="s">
        <v>355</v>
      </c>
      <c r="Q39042" s="5" t="s">
        <v>355</v>
      </c>
    </row>
    <row r="39043" ht="16.5" customHeight="1">
      <c r="O39043" s="5" t="s">
        <v>355</v>
      </c>
      <c r="P39043" s="5" t="s">
        <v>355</v>
      </c>
      <c r="Q39043" s="5" t="s">
        <v>355</v>
      </c>
    </row>
    <row r="39044" ht="16.5" customHeight="1">
      <c r="O39044" s="5" t="s">
        <v>355</v>
      </c>
      <c r="P39044" s="5" t="s">
        <v>355</v>
      </c>
      <c r="Q39044" s="5" t="s">
        <v>355</v>
      </c>
    </row>
    <row r="39045" ht="16.5" customHeight="1">
      <c r="O39045" s="5" t="s">
        <v>355</v>
      </c>
      <c r="P39045" s="5" t="s">
        <v>355</v>
      </c>
      <c r="Q39045" s="5" t="s">
        <v>355</v>
      </c>
    </row>
    <row r="39046" ht="16.5" customHeight="1">
      <c r="O39046" s="5" t="s">
        <v>355</v>
      </c>
      <c r="P39046" s="5" t="s">
        <v>355</v>
      </c>
      <c r="Q39046" s="5" t="s">
        <v>355</v>
      </c>
    </row>
    <row r="39047" ht="16.5" customHeight="1">
      <c r="O39047" s="5" t="s">
        <v>355</v>
      </c>
      <c r="P39047" s="5" t="s">
        <v>355</v>
      </c>
      <c r="Q39047" s="5" t="s">
        <v>355</v>
      </c>
    </row>
    <row r="39048" ht="16.5" customHeight="1">
      <c r="O39048" s="5" t="s">
        <v>355</v>
      </c>
      <c r="P39048" s="5" t="s">
        <v>355</v>
      </c>
      <c r="Q39048" s="5" t="s">
        <v>355</v>
      </c>
    </row>
    <row r="39049" ht="16.5" customHeight="1">
      <c r="O39049" s="5" t="s">
        <v>355</v>
      </c>
      <c r="P39049" s="5" t="s">
        <v>355</v>
      </c>
      <c r="Q39049" s="5" t="s">
        <v>355</v>
      </c>
    </row>
    <row r="39050" ht="16.5" customHeight="1">
      <c r="O39050" s="5" t="s">
        <v>355</v>
      </c>
      <c r="P39050" s="5" t="s">
        <v>355</v>
      </c>
      <c r="Q39050" s="5" t="s">
        <v>355</v>
      </c>
    </row>
    <row r="39051" ht="16.5" customHeight="1">
      <c r="O39051" s="5" t="s">
        <v>355</v>
      </c>
      <c r="P39051" s="5" t="s">
        <v>355</v>
      </c>
      <c r="Q39051" s="5" t="s">
        <v>355</v>
      </c>
    </row>
    <row r="39052" ht="16.5" customHeight="1">
      <c r="O39052" s="5" t="s">
        <v>355</v>
      </c>
      <c r="P39052" s="5" t="s">
        <v>355</v>
      </c>
      <c r="Q39052" s="5" t="s">
        <v>355</v>
      </c>
    </row>
    <row r="39053" ht="16.5" customHeight="1">
      <c r="O39053" s="5" t="s">
        <v>355</v>
      </c>
      <c r="P39053" s="5" t="s">
        <v>355</v>
      </c>
      <c r="Q39053" s="5" t="s">
        <v>355</v>
      </c>
    </row>
    <row r="39054" ht="16.5" customHeight="1">
      <c r="O39054" s="5" t="s">
        <v>355</v>
      </c>
      <c r="P39054" s="5" t="s">
        <v>355</v>
      </c>
      <c r="Q39054" s="5" t="s">
        <v>355</v>
      </c>
    </row>
    <row r="39055" ht="16.5" customHeight="1">
      <c r="O39055" s="5" t="s">
        <v>355</v>
      </c>
      <c r="P39055" s="5" t="s">
        <v>355</v>
      </c>
      <c r="Q39055" s="5" t="s">
        <v>355</v>
      </c>
    </row>
    <row r="39056" ht="16.5" customHeight="1">
      <c r="O39056" s="5" t="s">
        <v>355</v>
      </c>
      <c r="P39056" s="5" t="s">
        <v>355</v>
      </c>
      <c r="Q39056" s="5" t="s">
        <v>355</v>
      </c>
    </row>
    <row r="39057" ht="16.5" customHeight="1">
      <c r="O39057" s="5" t="s">
        <v>355</v>
      </c>
      <c r="P39057" s="5" t="s">
        <v>355</v>
      </c>
      <c r="Q39057" s="5" t="s">
        <v>355</v>
      </c>
    </row>
    <row r="39058" ht="16.5" customHeight="1">
      <c r="O39058" s="5" t="s">
        <v>355</v>
      </c>
      <c r="P39058" s="5" t="s">
        <v>355</v>
      </c>
      <c r="Q39058" s="5" t="s">
        <v>355</v>
      </c>
    </row>
    <row r="39059" ht="16.5" customHeight="1">
      <c r="O39059" s="5" t="s">
        <v>355</v>
      </c>
      <c r="P39059" s="5" t="s">
        <v>355</v>
      </c>
      <c r="Q39059" s="5" t="s">
        <v>355</v>
      </c>
    </row>
    <row r="39060" ht="16.5" customHeight="1">
      <c r="O39060" s="5" t="s">
        <v>355</v>
      </c>
      <c r="P39060" s="5" t="s">
        <v>355</v>
      </c>
      <c r="Q39060" s="5" t="s">
        <v>355</v>
      </c>
    </row>
    <row r="39061" ht="16.5" customHeight="1">
      <c r="O39061" s="5" t="s">
        <v>355</v>
      </c>
      <c r="P39061" s="5" t="s">
        <v>355</v>
      </c>
      <c r="Q39061" s="5" t="s">
        <v>355</v>
      </c>
    </row>
    <row r="39062" ht="16.5" customHeight="1">
      <c r="O39062" s="5" t="s">
        <v>355</v>
      </c>
      <c r="P39062" s="5" t="s">
        <v>355</v>
      </c>
      <c r="Q39062" s="5" t="s">
        <v>355</v>
      </c>
    </row>
    <row r="39063" ht="16.5" customHeight="1">
      <c r="O39063" s="5" t="s">
        <v>355</v>
      </c>
      <c r="P39063" s="5" t="s">
        <v>355</v>
      </c>
      <c r="Q39063" s="5" t="s">
        <v>355</v>
      </c>
    </row>
    <row r="39064" ht="16.5" customHeight="1">
      <c r="O39064" s="5" t="s">
        <v>355</v>
      </c>
      <c r="P39064" s="5" t="s">
        <v>355</v>
      </c>
      <c r="Q39064" s="5" t="s">
        <v>355</v>
      </c>
    </row>
    <row r="39065" ht="16.5" customHeight="1">
      <c r="O39065" s="5" t="s">
        <v>355</v>
      </c>
      <c r="P39065" s="5" t="s">
        <v>355</v>
      </c>
      <c r="Q39065" s="5" t="s">
        <v>355</v>
      </c>
    </row>
    <row r="39066" ht="16.5" customHeight="1">
      <c r="O39066" s="5" t="s">
        <v>355</v>
      </c>
      <c r="P39066" s="5" t="s">
        <v>355</v>
      </c>
      <c r="Q39066" s="5" t="s">
        <v>355</v>
      </c>
    </row>
    <row r="39067" ht="16.5" customHeight="1">
      <c r="O39067" s="5" t="s">
        <v>355</v>
      </c>
      <c r="P39067" s="5" t="s">
        <v>355</v>
      </c>
      <c r="Q39067" s="5" t="s">
        <v>355</v>
      </c>
    </row>
    <row r="39068" ht="16.5" customHeight="1">
      <c r="O39068" s="5" t="s">
        <v>355</v>
      </c>
      <c r="P39068" s="5" t="s">
        <v>355</v>
      </c>
      <c r="Q39068" s="5" t="s">
        <v>355</v>
      </c>
    </row>
    <row r="39069" ht="16.5" customHeight="1">
      <c r="O39069" s="5" t="s">
        <v>355</v>
      </c>
      <c r="P39069" s="5" t="s">
        <v>355</v>
      </c>
      <c r="Q39069" s="5" t="s">
        <v>355</v>
      </c>
    </row>
    <row r="39070" ht="16.5" customHeight="1">
      <c r="O39070" s="5" t="s">
        <v>355</v>
      </c>
      <c r="P39070" s="5" t="s">
        <v>355</v>
      </c>
      <c r="Q39070" s="5" t="s">
        <v>355</v>
      </c>
    </row>
    <row r="39071" ht="16.5" customHeight="1">
      <c r="O39071" s="5" t="s">
        <v>355</v>
      </c>
      <c r="P39071" s="5" t="s">
        <v>355</v>
      </c>
      <c r="Q39071" s="5" t="s">
        <v>355</v>
      </c>
    </row>
    <row r="39072" ht="16.5" customHeight="1">
      <c r="O39072" s="5" t="s">
        <v>355</v>
      </c>
      <c r="P39072" s="5" t="s">
        <v>355</v>
      </c>
      <c r="Q39072" s="5" t="s">
        <v>355</v>
      </c>
    </row>
    <row r="39073" ht="16.5" customHeight="1">
      <c r="O39073" s="5" t="s">
        <v>355</v>
      </c>
      <c r="P39073" s="5" t="s">
        <v>355</v>
      </c>
      <c r="Q39073" s="5" t="s">
        <v>355</v>
      </c>
    </row>
    <row r="39074" ht="16.5" customHeight="1">
      <c r="O39074" s="5" t="s">
        <v>355</v>
      </c>
      <c r="P39074" s="5" t="s">
        <v>355</v>
      </c>
      <c r="Q39074" s="5" t="s">
        <v>355</v>
      </c>
    </row>
    <row r="39075" ht="16.5" customHeight="1">
      <c r="O39075" s="5" t="s">
        <v>355</v>
      </c>
      <c r="P39075" s="5" t="s">
        <v>355</v>
      </c>
      <c r="Q39075" s="5" t="s">
        <v>355</v>
      </c>
    </row>
    <row r="39076" ht="16.5" customHeight="1">
      <c r="O39076" s="5" t="s">
        <v>355</v>
      </c>
      <c r="P39076" s="5" t="s">
        <v>355</v>
      </c>
      <c r="Q39076" s="5" t="s">
        <v>355</v>
      </c>
    </row>
    <row r="39077" ht="16.5" customHeight="1">
      <c r="O39077" s="5" t="s">
        <v>355</v>
      </c>
      <c r="P39077" s="5" t="s">
        <v>355</v>
      </c>
      <c r="Q39077" s="5" t="s">
        <v>355</v>
      </c>
    </row>
    <row r="39078" ht="16.5" customHeight="1">
      <c r="O39078" s="5" t="s">
        <v>355</v>
      </c>
      <c r="P39078" s="5" t="s">
        <v>355</v>
      </c>
      <c r="Q39078" s="5" t="s">
        <v>355</v>
      </c>
    </row>
    <row r="39079" ht="16.5" customHeight="1">
      <c r="O39079" s="5" t="s">
        <v>355</v>
      </c>
      <c r="P39079" s="5" t="s">
        <v>355</v>
      </c>
      <c r="Q39079" s="5" t="s">
        <v>355</v>
      </c>
    </row>
    <row r="39080" ht="16.5" customHeight="1">
      <c r="O39080" s="5" t="s">
        <v>355</v>
      </c>
      <c r="P39080" s="5" t="s">
        <v>355</v>
      </c>
      <c r="Q39080" s="5" t="s">
        <v>355</v>
      </c>
    </row>
    <row r="39081" ht="16.5" customHeight="1">
      <c r="O39081" s="5" t="s">
        <v>355</v>
      </c>
      <c r="P39081" s="5" t="s">
        <v>355</v>
      </c>
      <c r="Q39081" s="5" t="s">
        <v>355</v>
      </c>
    </row>
    <row r="39082" ht="16.5" customHeight="1">
      <c r="O39082" s="5" t="s">
        <v>355</v>
      </c>
      <c r="P39082" s="5" t="s">
        <v>355</v>
      </c>
      <c r="Q39082" s="5" t="s">
        <v>355</v>
      </c>
    </row>
    <row r="39083" ht="16.5" customHeight="1">
      <c r="O39083" s="5" t="s">
        <v>355</v>
      </c>
      <c r="P39083" s="5" t="s">
        <v>355</v>
      </c>
      <c r="Q39083" s="5" t="s">
        <v>355</v>
      </c>
    </row>
    <row r="39084" ht="16.5" customHeight="1">
      <c r="O39084" s="5" t="s">
        <v>355</v>
      </c>
      <c r="P39084" s="5" t="s">
        <v>355</v>
      </c>
      <c r="Q39084" s="5" t="s">
        <v>355</v>
      </c>
    </row>
    <row r="39085" ht="16.5" customHeight="1">
      <c r="O39085" s="5" t="s">
        <v>355</v>
      </c>
      <c r="P39085" s="5" t="s">
        <v>355</v>
      </c>
      <c r="Q39085" s="5" t="s">
        <v>355</v>
      </c>
    </row>
    <row r="39086" ht="16.5" customHeight="1">
      <c r="O39086" s="5" t="s">
        <v>355</v>
      </c>
      <c r="P39086" s="5" t="s">
        <v>355</v>
      </c>
      <c r="Q39086" s="5" t="s">
        <v>355</v>
      </c>
    </row>
    <row r="39087" ht="16.5" customHeight="1">
      <c r="O39087" s="5" t="s">
        <v>355</v>
      </c>
      <c r="P39087" s="5" t="s">
        <v>355</v>
      </c>
      <c r="Q39087" s="5" t="s">
        <v>355</v>
      </c>
    </row>
    <row r="39088" ht="16.5" customHeight="1">
      <c r="O39088" s="5" t="s">
        <v>355</v>
      </c>
      <c r="P39088" s="5" t="s">
        <v>355</v>
      </c>
      <c r="Q39088" s="5" t="s">
        <v>355</v>
      </c>
    </row>
    <row r="39089" ht="16.5" customHeight="1">
      <c r="O39089" s="5" t="s">
        <v>355</v>
      </c>
      <c r="P39089" s="5" t="s">
        <v>355</v>
      </c>
      <c r="Q39089" s="5" t="s">
        <v>355</v>
      </c>
    </row>
    <row r="39090" ht="16.5" customHeight="1">
      <c r="O39090" s="5" t="s">
        <v>355</v>
      </c>
      <c r="P39090" s="5" t="s">
        <v>355</v>
      </c>
      <c r="Q39090" s="5" t="s">
        <v>355</v>
      </c>
    </row>
    <row r="39091" ht="16.5" customHeight="1">
      <c r="O39091" s="5" t="s">
        <v>355</v>
      </c>
      <c r="P39091" s="5" t="s">
        <v>355</v>
      </c>
      <c r="Q39091" s="5" t="s">
        <v>355</v>
      </c>
    </row>
    <row r="39092" ht="16.5" customHeight="1">
      <c r="O39092" s="5" t="s">
        <v>355</v>
      </c>
      <c r="P39092" s="5" t="s">
        <v>355</v>
      </c>
      <c r="Q39092" s="5" t="s">
        <v>355</v>
      </c>
    </row>
    <row r="39093" ht="16.5" customHeight="1">
      <c r="O39093" s="5" t="s">
        <v>355</v>
      </c>
      <c r="P39093" s="5" t="s">
        <v>355</v>
      </c>
      <c r="Q39093" s="5" t="s">
        <v>355</v>
      </c>
    </row>
    <row r="39094" ht="16.5" customHeight="1">
      <c r="O39094" s="5" t="s">
        <v>355</v>
      </c>
      <c r="P39094" s="5" t="s">
        <v>355</v>
      </c>
      <c r="Q39094" s="5" t="s">
        <v>355</v>
      </c>
    </row>
    <row r="39095" ht="16.5" customHeight="1">
      <c r="O39095" s="5" t="s">
        <v>355</v>
      </c>
      <c r="P39095" s="5" t="s">
        <v>355</v>
      </c>
      <c r="Q39095" s="5" t="s">
        <v>355</v>
      </c>
    </row>
    <row r="39096" ht="16.5" customHeight="1">
      <c r="O39096" s="5" t="s">
        <v>355</v>
      </c>
      <c r="P39096" s="5" t="s">
        <v>355</v>
      </c>
      <c r="Q39096" s="5" t="s">
        <v>355</v>
      </c>
    </row>
    <row r="39097" ht="16.5" customHeight="1">
      <c r="O39097" s="5" t="s">
        <v>355</v>
      </c>
      <c r="P39097" s="5" t="s">
        <v>355</v>
      </c>
      <c r="Q39097" s="5" t="s">
        <v>355</v>
      </c>
    </row>
    <row r="39098" ht="16.5" customHeight="1">
      <c r="O39098" s="5" t="s">
        <v>355</v>
      </c>
      <c r="P39098" s="5" t="s">
        <v>355</v>
      </c>
      <c r="Q39098" s="5" t="s">
        <v>355</v>
      </c>
    </row>
    <row r="39099" ht="16.5" customHeight="1">
      <c r="O39099" s="5" t="s">
        <v>355</v>
      </c>
      <c r="P39099" s="5" t="s">
        <v>355</v>
      </c>
      <c r="Q39099" s="5" t="s">
        <v>355</v>
      </c>
    </row>
    <row r="39100" ht="16.5" customHeight="1">
      <c r="O39100" s="5" t="s">
        <v>355</v>
      </c>
      <c r="P39100" s="5" t="s">
        <v>355</v>
      </c>
      <c r="Q39100" s="5" t="s">
        <v>355</v>
      </c>
    </row>
    <row r="39101" ht="16.5" customHeight="1">
      <c r="O39101" s="5" t="s">
        <v>355</v>
      </c>
      <c r="P39101" s="5" t="s">
        <v>355</v>
      </c>
      <c r="Q39101" s="5" t="s">
        <v>355</v>
      </c>
    </row>
    <row r="39102" ht="16.5" customHeight="1">
      <c r="O39102" s="5" t="s">
        <v>355</v>
      </c>
      <c r="P39102" s="5" t="s">
        <v>355</v>
      </c>
      <c r="Q39102" s="5" t="s">
        <v>355</v>
      </c>
    </row>
    <row r="39103" ht="16.5" customHeight="1">
      <c r="O39103" s="5" t="s">
        <v>355</v>
      </c>
      <c r="P39103" s="5" t="s">
        <v>355</v>
      </c>
      <c r="Q39103" s="5" t="s">
        <v>355</v>
      </c>
    </row>
    <row r="39104" ht="16.5" customHeight="1">
      <c r="O39104" s="5" t="s">
        <v>355</v>
      </c>
      <c r="P39104" s="5" t="s">
        <v>355</v>
      </c>
      <c r="Q39104" s="5" t="s">
        <v>355</v>
      </c>
    </row>
    <row r="39105" ht="16.5" customHeight="1">
      <c r="O39105" s="5" t="s">
        <v>355</v>
      </c>
      <c r="P39105" s="5" t="s">
        <v>355</v>
      </c>
      <c r="Q39105" s="5" t="s">
        <v>355</v>
      </c>
    </row>
    <row r="39106" ht="16.5" customHeight="1">
      <c r="O39106" s="5" t="s">
        <v>355</v>
      </c>
      <c r="P39106" s="5" t="s">
        <v>355</v>
      </c>
      <c r="Q39106" s="5" t="s">
        <v>355</v>
      </c>
    </row>
    <row r="39107" ht="16.5" customHeight="1">
      <c r="O39107" s="5" t="s">
        <v>355</v>
      </c>
      <c r="P39107" s="5" t="s">
        <v>355</v>
      </c>
      <c r="Q39107" s="5" t="s">
        <v>355</v>
      </c>
    </row>
    <row r="39108" ht="16.5" customHeight="1">
      <c r="O39108" s="5" t="s">
        <v>355</v>
      </c>
      <c r="P39108" s="5" t="s">
        <v>355</v>
      </c>
      <c r="Q39108" s="5" t="s">
        <v>355</v>
      </c>
    </row>
    <row r="39109" ht="16.5" customHeight="1">
      <c r="O39109" s="5" t="s">
        <v>355</v>
      </c>
      <c r="P39109" s="5" t="s">
        <v>355</v>
      </c>
      <c r="Q39109" s="5" t="s">
        <v>355</v>
      </c>
    </row>
    <row r="39110" ht="16.5" customHeight="1">
      <c r="O39110" s="5" t="s">
        <v>355</v>
      </c>
      <c r="P39110" s="5" t="s">
        <v>355</v>
      </c>
      <c r="Q39110" s="5" t="s">
        <v>355</v>
      </c>
    </row>
    <row r="39111" ht="16.5" customHeight="1">
      <c r="O39111" s="5" t="s">
        <v>355</v>
      </c>
      <c r="P39111" s="5" t="s">
        <v>355</v>
      </c>
      <c r="Q39111" s="5" t="s">
        <v>355</v>
      </c>
    </row>
    <row r="39112" ht="16.5" customHeight="1">
      <c r="O39112" s="5" t="s">
        <v>355</v>
      </c>
      <c r="P39112" s="5" t="s">
        <v>355</v>
      </c>
      <c r="Q39112" s="5" t="s">
        <v>355</v>
      </c>
    </row>
    <row r="39113" ht="16.5" customHeight="1">
      <c r="O39113" s="5" t="s">
        <v>355</v>
      </c>
      <c r="P39113" s="5" t="s">
        <v>355</v>
      </c>
      <c r="Q39113" s="5" t="s">
        <v>355</v>
      </c>
    </row>
    <row r="39114" ht="16.5" customHeight="1">
      <c r="O39114" s="5" t="s">
        <v>355</v>
      </c>
      <c r="P39114" s="5" t="s">
        <v>355</v>
      </c>
      <c r="Q39114" s="5" t="s">
        <v>355</v>
      </c>
    </row>
    <row r="39115" ht="16.5" customHeight="1">
      <c r="O39115" s="5" t="s">
        <v>355</v>
      </c>
      <c r="P39115" s="5" t="s">
        <v>355</v>
      </c>
      <c r="Q39115" s="5" t="s">
        <v>355</v>
      </c>
    </row>
    <row r="39116" ht="16.5" customHeight="1">
      <c r="O39116" s="5" t="s">
        <v>355</v>
      </c>
      <c r="P39116" s="5" t="s">
        <v>355</v>
      </c>
      <c r="Q39116" s="5" t="s">
        <v>355</v>
      </c>
    </row>
    <row r="39117" ht="16.5" customHeight="1">
      <c r="O39117" s="5" t="s">
        <v>355</v>
      </c>
      <c r="P39117" s="5" t="s">
        <v>355</v>
      </c>
      <c r="Q39117" s="5" t="s">
        <v>355</v>
      </c>
    </row>
    <row r="39118" ht="16.5" customHeight="1">
      <c r="O39118" s="5" t="s">
        <v>355</v>
      </c>
      <c r="P39118" s="5" t="s">
        <v>355</v>
      </c>
      <c r="Q39118" s="5" t="s">
        <v>355</v>
      </c>
    </row>
    <row r="39119" ht="16.5" customHeight="1">
      <c r="O39119" s="5" t="s">
        <v>355</v>
      </c>
      <c r="P39119" s="5" t="s">
        <v>355</v>
      </c>
      <c r="Q39119" s="5" t="s">
        <v>355</v>
      </c>
    </row>
    <row r="39120" ht="16.5" customHeight="1">
      <c r="O39120" s="5" t="s">
        <v>355</v>
      </c>
      <c r="P39120" s="5" t="s">
        <v>355</v>
      </c>
      <c r="Q39120" s="5" t="s">
        <v>355</v>
      </c>
    </row>
    <row r="39121" ht="16.5" customHeight="1">
      <c r="O39121" s="5" t="s">
        <v>355</v>
      </c>
      <c r="P39121" s="5" t="s">
        <v>355</v>
      </c>
      <c r="Q39121" s="5" t="s">
        <v>355</v>
      </c>
    </row>
    <row r="39122" ht="16.5" customHeight="1">
      <c r="O39122" s="5" t="s">
        <v>355</v>
      </c>
      <c r="P39122" s="5" t="s">
        <v>355</v>
      </c>
      <c r="Q39122" s="5" t="s">
        <v>355</v>
      </c>
    </row>
    <row r="39123" ht="16.5" customHeight="1">
      <c r="O39123" s="5" t="s">
        <v>355</v>
      </c>
      <c r="P39123" s="5" t="s">
        <v>355</v>
      </c>
      <c r="Q39123" s="5" t="s">
        <v>355</v>
      </c>
    </row>
    <row r="39124" ht="16.5" customHeight="1">
      <c r="O39124" s="5" t="s">
        <v>355</v>
      </c>
      <c r="P39124" s="5" t="s">
        <v>355</v>
      </c>
      <c r="Q39124" s="5" t="s">
        <v>355</v>
      </c>
    </row>
    <row r="39125" ht="16.5" customHeight="1">
      <c r="O39125" s="5" t="s">
        <v>355</v>
      </c>
      <c r="P39125" s="5" t="s">
        <v>355</v>
      </c>
      <c r="Q39125" s="5" t="s">
        <v>355</v>
      </c>
    </row>
    <row r="39126" ht="16.5" customHeight="1">
      <c r="O39126" s="5" t="s">
        <v>355</v>
      </c>
      <c r="P39126" s="5" t="s">
        <v>355</v>
      </c>
      <c r="Q39126" s="5" t="s">
        <v>355</v>
      </c>
    </row>
    <row r="39127" ht="16.5" customHeight="1">
      <c r="O39127" s="5" t="s">
        <v>355</v>
      </c>
      <c r="P39127" s="5" t="s">
        <v>355</v>
      </c>
      <c r="Q39127" s="5" t="s">
        <v>355</v>
      </c>
    </row>
    <row r="39128" ht="16.5" customHeight="1">
      <c r="O39128" s="5" t="s">
        <v>355</v>
      </c>
      <c r="P39128" s="5" t="s">
        <v>355</v>
      </c>
      <c r="Q39128" s="5" t="s">
        <v>355</v>
      </c>
    </row>
    <row r="39129" ht="16.5" customHeight="1">
      <c r="O39129" s="5" t="s">
        <v>355</v>
      </c>
      <c r="P39129" s="5" t="s">
        <v>355</v>
      </c>
      <c r="Q39129" s="5" t="s">
        <v>355</v>
      </c>
    </row>
    <row r="39130" ht="16.5" customHeight="1">
      <c r="O39130" s="5" t="s">
        <v>355</v>
      </c>
      <c r="P39130" s="5" t="s">
        <v>355</v>
      </c>
      <c r="Q39130" s="5" t="s">
        <v>355</v>
      </c>
    </row>
    <row r="39131" ht="16.5" customHeight="1">
      <c r="O39131" s="5" t="s">
        <v>355</v>
      </c>
      <c r="P39131" s="5" t="s">
        <v>355</v>
      </c>
      <c r="Q39131" s="5" t="s">
        <v>355</v>
      </c>
    </row>
    <row r="39132" ht="16.5" customHeight="1">
      <c r="O39132" s="5" t="s">
        <v>355</v>
      </c>
      <c r="P39132" s="5" t="s">
        <v>355</v>
      </c>
      <c r="Q39132" s="5" t="s">
        <v>355</v>
      </c>
    </row>
    <row r="39133" ht="16.5" customHeight="1">
      <c r="O39133" s="5" t="s">
        <v>355</v>
      </c>
      <c r="P39133" s="5" t="s">
        <v>355</v>
      </c>
      <c r="Q39133" s="5" t="s">
        <v>355</v>
      </c>
    </row>
    <row r="39134" ht="16.5" customHeight="1">
      <c r="O39134" s="5" t="s">
        <v>355</v>
      </c>
      <c r="P39134" s="5" t="s">
        <v>355</v>
      </c>
      <c r="Q39134" s="5" t="s">
        <v>355</v>
      </c>
    </row>
    <row r="39135" ht="16.5" customHeight="1">
      <c r="O39135" s="5" t="s">
        <v>355</v>
      </c>
      <c r="P39135" s="5" t="s">
        <v>355</v>
      </c>
      <c r="Q39135" s="5" t="s">
        <v>355</v>
      </c>
    </row>
    <row r="39136" ht="16.5" customHeight="1">
      <c r="O39136" s="5" t="s">
        <v>355</v>
      </c>
      <c r="P39136" s="5" t="s">
        <v>355</v>
      </c>
      <c r="Q39136" s="5" t="s">
        <v>355</v>
      </c>
    </row>
    <row r="39137" ht="16.5" customHeight="1">
      <c r="O39137" s="5" t="s">
        <v>355</v>
      </c>
      <c r="P39137" s="5" t="s">
        <v>355</v>
      </c>
      <c r="Q39137" s="5" t="s">
        <v>355</v>
      </c>
    </row>
    <row r="39138" ht="16.5" customHeight="1">
      <c r="O39138" s="5" t="s">
        <v>355</v>
      </c>
      <c r="P39138" s="5" t="s">
        <v>355</v>
      </c>
      <c r="Q39138" s="5" t="s">
        <v>355</v>
      </c>
    </row>
    <row r="39139" ht="16.5" customHeight="1">
      <c r="O39139" s="5" t="s">
        <v>355</v>
      </c>
      <c r="P39139" s="5" t="s">
        <v>355</v>
      </c>
      <c r="Q39139" s="5" t="s">
        <v>355</v>
      </c>
    </row>
    <row r="39140" ht="16.5" customHeight="1">
      <c r="O39140" s="5" t="s">
        <v>355</v>
      </c>
      <c r="P39140" s="5" t="s">
        <v>355</v>
      </c>
      <c r="Q39140" s="5" t="s">
        <v>355</v>
      </c>
    </row>
    <row r="39141" ht="16.5" customHeight="1">
      <c r="O39141" s="5" t="s">
        <v>355</v>
      </c>
      <c r="P39141" s="5" t="s">
        <v>355</v>
      </c>
      <c r="Q39141" s="5" t="s">
        <v>355</v>
      </c>
    </row>
    <row r="39142" ht="16.5" customHeight="1">
      <c r="O39142" s="5" t="s">
        <v>355</v>
      </c>
      <c r="P39142" s="5" t="s">
        <v>355</v>
      </c>
      <c r="Q39142" s="5" t="s">
        <v>355</v>
      </c>
    </row>
    <row r="39143" ht="16.5" customHeight="1">
      <c r="O39143" s="5" t="s">
        <v>355</v>
      </c>
      <c r="P39143" s="5" t="s">
        <v>355</v>
      </c>
      <c r="Q39143" s="5" t="s">
        <v>355</v>
      </c>
    </row>
    <row r="39144" ht="16.5" customHeight="1">
      <c r="O39144" s="5" t="s">
        <v>355</v>
      </c>
      <c r="P39144" s="5" t="s">
        <v>355</v>
      </c>
      <c r="Q39144" s="5" t="s">
        <v>355</v>
      </c>
    </row>
    <row r="39145" ht="16.5" customHeight="1">
      <c r="O39145" s="5" t="s">
        <v>355</v>
      </c>
      <c r="P39145" s="5" t="s">
        <v>355</v>
      </c>
      <c r="Q39145" s="5" t="s">
        <v>355</v>
      </c>
    </row>
    <row r="39146" ht="16.5" customHeight="1">
      <c r="O39146" s="5" t="s">
        <v>355</v>
      </c>
      <c r="P39146" s="5" t="s">
        <v>355</v>
      </c>
      <c r="Q39146" s="5" t="s">
        <v>355</v>
      </c>
    </row>
    <row r="39147" ht="16.5" customHeight="1">
      <c r="O39147" s="5" t="s">
        <v>355</v>
      </c>
      <c r="P39147" s="5" t="s">
        <v>355</v>
      </c>
      <c r="Q39147" s="5" t="s">
        <v>355</v>
      </c>
    </row>
    <row r="39148" ht="16.5" customHeight="1">
      <c r="O39148" s="5" t="s">
        <v>355</v>
      </c>
      <c r="P39148" s="5" t="s">
        <v>355</v>
      </c>
      <c r="Q39148" s="5" t="s">
        <v>355</v>
      </c>
    </row>
    <row r="39149" ht="16.5" customHeight="1">
      <c r="O39149" s="5" t="s">
        <v>355</v>
      </c>
      <c r="P39149" s="5" t="s">
        <v>355</v>
      </c>
      <c r="Q39149" s="5" t="s">
        <v>355</v>
      </c>
    </row>
    <row r="39150" ht="16.5" customHeight="1">
      <c r="O39150" s="5" t="s">
        <v>355</v>
      </c>
      <c r="P39150" s="5" t="s">
        <v>355</v>
      </c>
      <c r="Q39150" s="5" t="s">
        <v>355</v>
      </c>
    </row>
    <row r="39151" ht="16.5" customHeight="1">
      <c r="O39151" s="5" t="s">
        <v>355</v>
      </c>
      <c r="P39151" s="5" t="s">
        <v>355</v>
      </c>
      <c r="Q39151" s="5" t="s">
        <v>355</v>
      </c>
    </row>
    <row r="39152" ht="16.5" customHeight="1">
      <c r="O39152" s="5" t="s">
        <v>355</v>
      </c>
      <c r="P39152" s="5" t="s">
        <v>355</v>
      </c>
      <c r="Q39152" s="5" t="s">
        <v>355</v>
      </c>
    </row>
    <row r="39153" ht="16.5" customHeight="1">
      <c r="O39153" s="5" t="s">
        <v>355</v>
      </c>
      <c r="P39153" s="5" t="s">
        <v>355</v>
      </c>
      <c r="Q39153" s="5" t="s">
        <v>355</v>
      </c>
    </row>
    <row r="39154" ht="16.5" customHeight="1">
      <c r="O39154" s="5" t="s">
        <v>355</v>
      </c>
      <c r="P39154" s="5" t="s">
        <v>355</v>
      </c>
      <c r="Q39154" s="5" t="s">
        <v>355</v>
      </c>
    </row>
    <row r="39155" ht="16.5" customHeight="1">
      <c r="O39155" s="5" t="s">
        <v>355</v>
      </c>
      <c r="P39155" s="5" t="s">
        <v>355</v>
      </c>
      <c r="Q39155" s="5" t="s">
        <v>355</v>
      </c>
    </row>
    <row r="39156" ht="16.5" customHeight="1">
      <c r="O39156" s="5" t="s">
        <v>355</v>
      </c>
      <c r="P39156" s="5" t="s">
        <v>355</v>
      </c>
      <c r="Q39156" s="5" t="s">
        <v>355</v>
      </c>
    </row>
    <row r="39157" ht="16.5" customHeight="1">
      <c r="O39157" s="5" t="s">
        <v>355</v>
      </c>
      <c r="P39157" s="5" t="s">
        <v>355</v>
      </c>
      <c r="Q39157" s="5" t="s">
        <v>355</v>
      </c>
    </row>
    <row r="39158" ht="16.5" customHeight="1">
      <c r="O39158" s="5" t="s">
        <v>355</v>
      </c>
      <c r="P39158" s="5" t="s">
        <v>355</v>
      </c>
      <c r="Q39158" s="5" t="s">
        <v>355</v>
      </c>
    </row>
    <row r="39159" ht="16.5" customHeight="1">
      <c r="O39159" s="5" t="s">
        <v>355</v>
      </c>
      <c r="P39159" s="5" t="s">
        <v>355</v>
      </c>
      <c r="Q39159" s="5" t="s">
        <v>355</v>
      </c>
    </row>
    <row r="39160" ht="16.5" customHeight="1">
      <c r="O39160" s="5" t="s">
        <v>355</v>
      </c>
      <c r="P39160" s="5" t="s">
        <v>355</v>
      </c>
      <c r="Q39160" s="5" t="s">
        <v>355</v>
      </c>
    </row>
    <row r="39161" ht="16.5" customHeight="1">
      <c r="O39161" s="5" t="s">
        <v>355</v>
      </c>
      <c r="P39161" s="5" t="s">
        <v>355</v>
      </c>
      <c r="Q39161" s="5" t="s">
        <v>355</v>
      </c>
    </row>
    <row r="39162" ht="16.5" customHeight="1">
      <c r="O39162" s="5" t="s">
        <v>355</v>
      </c>
      <c r="P39162" s="5" t="s">
        <v>355</v>
      </c>
      <c r="Q39162" s="5" t="s">
        <v>355</v>
      </c>
    </row>
    <row r="39163" ht="16.5" customHeight="1">
      <c r="O39163" s="5" t="s">
        <v>355</v>
      </c>
      <c r="P39163" s="5" t="s">
        <v>355</v>
      </c>
      <c r="Q39163" s="5" t="s">
        <v>355</v>
      </c>
    </row>
    <row r="39164" ht="16.5" customHeight="1">
      <c r="O39164" s="5" t="s">
        <v>355</v>
      </c>
      <c r="P39164" s="5" t="s">
        <v>355</v>
      </c>
      <c r="Q39164" s="5" t="s">
        <v>355</v>
      </c>
    </row>
    <row r="39165" ht="16.5" customHeight="1">
      <c r="O39165" s="5" t="s">
        <v>355</v>
      </c>
      <c r="P39165" s="5" t="s">
        <v>355</v>
      </c>
      <c r="Q39165" s="5" t="s">
        <v>355</v>
      </c>
    </row>
    <row r="39166" ht="16.5" customHeight="1">
      <c r="O39166" s="5" t="s">
        <v>355</v>
      </c>
      <c r="P39166" s="5" t="s">
        <v>355</v>
      </c>
      <c r="Q39166" s="5" t="s">
        <v>355</v>
      </c>
    </row>
    <row r="39167" ht="16.5" customHeight="1">
      <c r="O39167" s="5" t="s">
        <v>355</v>
      </c>
      <c r="P39167" s="5" t="s">
        <v>355</v>
      </c>
      <c r="Q39167" s="5" t="s">
        <v>355</v>
      </c>
    </row>
    <row r="39168" ht="16.5" customHeight="1">
      <c r="O39168" s="5" t="s">
        <v>355</v>
      </c>
      <c r="P39168" s="5" t="s">
        <v>355</v>
      </c>
      <c r="Q39168" s="5" t="s">
        <v>355</v>
      </c>
    </row>
    <row r="39169" ht="16.5" customHeight="1">
      <c r="O39169" s="5" t="s">
        <v>355</v>
      </c>
      <c r="P39169" s="5" t="s">
        <v>355</v>
      </c>
      <c r="Q39169" s="5" t="s">
        <v>355</v>
      </c>
    </row>
    <row r="39170" ht="16.5" customHeight="1">
      <c r="O39170" s="5" t="s">
        <v>355</v>
      </c>
      <c r="P39170" s="5" t="s">
        <v>355</v>
      </c>
      <c r="Q39170" s="5" t="s">
        <v>355</v>
      </c>
    </row>
    <row r="39171" ht="16.5" customHeight="1">
      <c r="O39171" s="5" t="s">
        <v>355</v>
      </c>
      <c r="P39171" s="5" t="s">
        <v>355</v>
      </c>
      <c r="Q39171" s="5" t="s">
        <v>355</v>
      </c>
    </row>
    <row r="39172" ht="16.5" customHeight="1">
      <c r="O39172" s="5" t="s">
        <v>355</v>
      </c>
      <c r="P39172" s="5" t="s">
        <v>355</v>
      </c>
      <c r="Q39172" s="5" t="s">
        <v>355</v>
      </c>
    </row>
    <row r="39173" ht="16.5" customHeight="1">
      <c r="O39173" s="5" t="s">
        <v>355</v>
      </c>
      <c r="P39173" s="5" t="s">
        <v>355</v>
      </c>
      <c r="Q39173" s="5" t="s">
        <v>355</v>
      </c>
    </row>
    <row r="39174" ht="16.5" customHeight="1">
      <c r="O39174" s="5" t="s">
        <v>355</v>
      </c>
      <c r="P39174" s="5" t="s">
        <v>355</v>
      </c>
      <c r="Q39174" s="5" t="s">
        <v>355</v>
      </c>
    </row>
    <row r="39175" ht="16.5" customHeight="1">
      <c r="O39175" s="5" t="s">
        <v>355</v>
      </c>
      <c r="P39175" s="5" t="s">
        <v>355</v>
      </c>
      <c r="Q39175" s="5" t="s">
        <v>355</v>
      </c>
    </row>
    <row r="39176" ht="16.5" customHeight="1">
      <c r="O39176" s="5" t="s">
        <v>355</v>
      </c>
      <c r="P39176" s="5" t="s">
        <v>355</v>
      </c>
      <c r="Q39176" s="5" t="s">
        <v>355</v>
      </c>
    </row>
    <row r="39177" ht="16.5" customHeight="1">
      <c r="O39177" s="5" t="s">
        <v>355</v>
      </c>
      <c r="P39177" s="5" t="s">
        <v>355</v>
      </c>
      <c r="Q39177" s="5" t="s">
        <v>355</v>
      </c>
    </row>
    <row r="39178" ht="16.5" customHeight="1">
      <c r="O39178" s="5" t="s">
        <v>355</v>
      </c>
      <c r="P39178" s="5" t="s">
        <v>355</v>
      </c>
      <c r="Q39178" s="5" t="s">
        <v>355</v>
      </c>
    </row>
    <row r="39179" ht="16.5" customHeight="1">
      <c r="O39179" s="5" t="s">
        <v>355</v>
      </c>
      <c r="P39179" s="5" t="s">
        <v>355</v>
      </c>
      <c r="Q39179" s="5" t="s">
        <v>355</v>
      </c>
    </row>
    <row r="39180" ht="16.5" customHeight="1">
      <c r="O39180" s="5" t="s">
        <v>355</v>
      </c>
      <c r="P39180" s="5" t="s">
        <v>355</v>
      </c>
      <c r="Q39180" s="5" t="s">
        <v>355</v>
      </c>
    </row>
    <row r="39181" ht="16.5" customHeight="1">
      <c r="O39181" s="5" t="s">
        <v>355</v>
      </c>
      <c r="P39181" s="5" t="s">
        <v>355</v>
      </c>
      <c r="Q39181" s="5" t="s">
        <v>355</v>
      </c>
    </row>
    <row r="39182" ht="16.5" customHeight="1">
      <c r="O39182" s="5" t="s">
        <v>355</v>
      </c>
      <c r="P39182" s="5" t="s">
        <v>355</v>
      </c>
      <c r="Q39182" s="5" t="s">
        <v>355</v>
      </c>
    </row>
    <row r="39183" ht="16.5" customHeight="1">
      <c r="O39183" s="5" t="s">
        <v>355</v>
      </c>
      <c r="P39183" s="5" t="s">
        <v>355</v>
      </c>
      <c r="Q39183" s="5" t="s">
        <v>355</v>
      </c>
    </row>
    <row r="39184" ht="16.5" customHeight="1">
      <c r="O39184" s="5" t="s">
        <v>355</v>
      </c>
      <c r="P39184" s="5" t="s">
        <v>355</v>
      </c>
      <c r="Q39184" s="5" t="s">
        <v>355</v>
      </c>
    </row>
    <row r="39185" ht="16.5" customHeight="1">
      <c r="O39185" s="5" t="s">
        <v>355</v>
      </c>
      <c r="P39185" s="5" t="s">
        <v>355</v>
      </c>
      <c r="Q39185" s="5" t="s">
        <v>355</v>
      </c>
    </row>
    <row r="39186" ht="16.5" customHeight="1">
      <c r="O39186" s="5" t="s">
        <v>355</v>
      </c>
      <c r="P39186" s="5" t="s">
        <v>355</v>
      </c>
      <c r="Q39186" s="5" t="s">
        <v>355</v>
      </c>
    </row>
    <row r="39187" ht="16.5" customHeight="1">
      <c r="O39187" s="5" t="s">
        <v>355</v>
      </c>
      <c r="P39187" s="5" t="s">
        <v>355</v>
      </c>
      <c r="Q39187" s="5" t="s">
        <v>355</v>
      </c>
    </row>
    <row r="39188" ht="16.5" customHeight="1">
      <c r="O39188" s="5" t="s">
        <v>355</v>
      </c>
      <c r="P39188" s="5" t="s">
        <v>355</v>
      </c>
      <c r="Q39188" s="5" t="s">
        <v>355</v>
      </c>
    </row>
    <row r="39189" ht="16.5" customHeight="1">
      <c r="O39189" s="5" t="s">
        <v>355</v>
      </c>
      <c r="P39189" s="5" t="s">
        <v>355</v>
      </c>
      <c r="Q39189" s="5" t="s">
        <v>355</v>
      </c>
    </row>
    <row r="39190" ht="16.5" customHeight="1">
      <c r="O39190" s="5" t="s">
        <v>355</v>
      </c>
      <c r="P39190" s="5" t="s">
        <v>355</v>
      </c>
      <c r="Q39190" s="5" t="s">
        <v>355</v>
      </c>
    </row>
    <row r="39191" ht="16.5" customHeight="1">
      <c r="O39191" s="5" t="s">
        <v>355</v>
      </c>
      <c r="P39191" s="5" t="s">
        <v>355</v>
      </c>
      <c r="Q39191" s="5" t="s">
        <v>355</v>
      </c>
    </row>
    <row r="39192" ht="16.5" customHeight="1">
      <c r="O39192" s="5" t="s">
        <v>355</v>
      </c>
      <c r="P39192" s="5" t="s">
        <v>355</v>
      </c>
      <c r="Q39192" s="5" t="s">
        <v>355</v>
      </c>
    </row>
    <row r="39193" ht="16.5" customHeight="1">
      <c r="O39193" s="5" t="s">
        <v>355</v>
      </c>
      <c r="P39193" s="5" t="s">
        <v>355</v>
      </c>
      <c r="Q39193" s="5" t="s">
        <v>355</v>
      </c>
    </row>
    <row r="39194" ht="16.5" customHeight="1">
      <c r="O39194" s="5" t="s">
        <v>355</v>
      </c>
      <c r="P39194" s="5" t="s">
        <v>355</v>
      </c>
      <c r="Q39194" s="5" t="s">
        <v>355</v>
      </c>
    </row>
    <row r="39195" ht="16.5" customHeight="1">
      <c r="O39195" s="5" t="s">
        <v>355</v>
      </c>
      <c r="P39195" s="5" t="s">
        <v>355</v>
      </c>
      <c r="Q39195" s="5" t="s">
        <v>355</v>
      </c>
    </row>
    <row r="39196" ht="16.5" customHeight="1">
      <c r="O39196" s="5" t="s">
        <v>355</v>
      </c>
      <c r="P39196" s="5" t="s">
        <v>355</v>
      </c>
      <c r="Q39196" s="5" t="s">
        <v>355</v>
      </c>
    </row>
    <row r="39197" ht="16.5" customHeight="1">
      <c r="O39197" s="5" t="s">
        <v>355</v>
      </c>
      <c r="P39197" s="5" t="s">
        <v>355</v>
      </c>
      <c r="Q39197" s="5" t="s">
        <v>355</v>
      </c>
    </row>
    <row r="39198" ht="16.5" customHeight="1">
      <c r="O39198" s="5" t="s">
        <v>355</v>
      </c>
      <c r="P39198" s="5" t="s">
        <v>355</v>
      </c>
      <c r="Q39198" s="5" t="s">
        <v>355</v>
      </c>
    </row>
    <row r="39199" ht="16.5" customHeight="1">
      <c r="O39199" s="5" t="s">
        <v>355</v>
      </c>
      <c r="P39199" s="5" t="s">
        <v>355</v>
      </c>
      <c r="Q39199" s="5" t="s">
        <v>355</v>
      </c>
    </row>
    <row r="39200" ht="16.5" customHeight="1">
      <c r="O39200" s="5" t="s">
        <v>355</v>
      </c>
      <c r="P39200" s="5" t="s">
        <v>355</v>
      </c>
      <c r="Q39200" s="5" t="s">
        <v>355</v>
      </c>
    </row>
    <row r="39201" ht="16.5" customHeight="1">
      <c r="O39201" s="5" t="s">
        <v>355</v>
      </c>
      <c r="P39201" s="5" t="s">
        <v>355</v>
      </c>
      <c r="Q39201" s="5" t="s">
        <v>355</v>
      </c>
    </row>
    <row r="39202" ht="16.5" customHeight="1">
      <c r="O39202" s="5" t="s">
        <v>355</v>
      </c>
      <c r="P39202" s="5" t="s">
        <v>355</v>
      </c>
      <c r="Q39202" s="5" t="s">
        <v>355</v>
      </c>
    </row>
    <row r="39203" ht="16.5" customHeight="1">
      <c r="O39203" s="5" t="s">
        <v>355</v>
      </c>
      <c r="P39203" s="5" t="s">
        <v>355</v>
      </c>
      <c r="Q39203" s="5" t="s">
        <v>355</v>
      </c>
    </row>
    <row r="39204" ht="16.5" customHeight="1">
      <c r="O39204" s="5" t="s">
        <v>355</v>
      </c>
      <c r="P39204" s="5" t="s">
        <v>355</v>
      </c>
      <c r="Q39204" s="5" t="s">
        <v>355</v>
      </c>
    </row>
    <row r="39205" ht="16.5" customHeight="1">
      <c r="O39205" s="5" t="s">
        <v>355</v>
      </c>
      <c r="P39205" s="5" t="s">
        <v>355</v>
      </c>
      <c r="Q39205" s="5" t="s">
        <v>355</v>
      </c>
    </row>
    <row r="39206" ht="16.5" customHeight="1">
      <c r="O39206" s="5" t="s">
        <v>355</v>
      </c>
      <c r="P39206" s="5" t="s">
        <v>355</v>
      </c>
      <c r="Q39206" s="5" t="s">
        <v>355</v>
      </c>
    </row>
    <row r="39207" ht="16.5" customHeight="1">
      <c r="O39207" s="5" t="s">
        <v>355</v>
      </c>
      <c r="P39207" s="5" t="s">
        <v>355</v>
      </c>
      <c r="Q39207" s="5" t="s">
        <v>355</v>
      </c>
    </row>
    <row r="39208" ht="16.5" customHeight="1">
      <c r="O39208" s="5" t="s">
        <v>355</v>
      </c>
      <c r="P39208" s="5" t="s">
        <v>355</v>
      </c>
      <c r="Q39208" s="5" t="s">
        <v>355</v>
      </c>
    </row>
    <row r="39209" ht="16.5" customHeight="1">
      <c r="O39209" s="5" t="s">
        <v>355</v>
      </c>
      <c r="P39209" s="5" t="s">
        <v>355</v>
      </c>
      <c r="Q39209" s="5" t="s">
        <v>355</v>
      </c>
    </row>
    <row r="39210" ht="16.5" customHeight="1">
      <c r="O39210" s="5" t="s">
        <v>355</v>
      </c>
      <c r="P39210" s="5" t="s">
        <v>355</v>
      </c>
      <c r="Q39210" s="5" t="s">
        <v>355</v>
      </c>
    </row>
    <row r="39211" ht="16.5" customHeight="1">
      <c r="O39211" s="5" t="s">
        <v>355</v>
      </c>
      <c r="P39211" s="5" t="s">
        <v>355</v>
      </c>
      <c r="Q39211" s="5" t="s">
        <v>355</v>
      </c>
    </row>
    <row r="39212" ht="16.5" customHeight="1">
      <c r="O39212" s="5" t="s">
        <v>355</v>
      </c>
      <c r="P39212" s="5" t="s">
        <v>355</v>
      </c>
      <c r="Q39212" s="5" t="s">
        <v>355</v>
      </c>
    </row>
    <row r="39213" ht="16.5" customHeight="1">
      <c r="O39213" s="5" t="s">
        <v>355</v>
      </c>
      <c r="P39213" s="5" t="s">
        <v>355</v>
      </c>
      <c r="Q39213" s="5" t="s">
        <v>355</v>
      </c>
    </row>
    <row r="39214" ht="16.5" customHeight="1">
      <c r="O39214" s="5" t="s">
        <v>355</v>
      </c>
      <c r="P39214" s="5" t="s">
        <v>355</v>
      </c>
      <c r="Q39214" s="5" t="s">
        <v>355</v>
      </c>
    </row>
    <row r="39215" ht="16.5" customHeight="1">
      <c r="O39215" s="5" t="s">
        <v>355</v>
      </c>
      <c r="P39215" s="5" t="s">
        <v>355</v>
      </c>
      <c r="Q39215" s="5" t="s">
        <v>355</v>
      </c>
    </row>
    <row r="39216" ht="16.5" customHeight="1">
      <c r="O39216" s="5" t="s">
        <v>355</v>
      </c>
      <c r="P39216" s="5" t="s">
        <v>355</v>
      </c>
      <c r="Q39216" s="5" t="s">
        <v>355</v>
      </c>
    </row>
    <row r="39217" ht="16.5" customHeight="1">
      <c r="O39217" s="5" t="s">
        <v>355</v>
      </c>
      <c r="P39217" s="5" t="s">
        <v>355</v>
      </c>
      <c r="Q39217" s="5" t="s">
        <v>355</v>
      </c>
    </row>
    <row r="39218" ht="16.5" customHeight="1">
      <c r="O39218" s="5" t="s">
        <v>355</v>
      </c>
      <c r="P39218" s="5" t="s">
        <v>355</v>
      </c>
      <c r="Q39218" s="5" t="s">
        <v>355</v>
      </c>
    </row>
    <row r="39219" ht="16.5" customHeight="1">
      <c r="O39219" s="5" t="s">
        <v>355</v>
      </c>
      <c r="P39219" s="5" t="s">
        <v>355</v>
      </c>
      <c r="Q39219" s="5" t="s">
        <v>355</v>
      </c>
    </row>
    <row r="39220" ht="16.5" customHeight="1">
      <c r="O39220" s="5" t="s">
        <v>355</v>
      </c>
      <c r="P39220" s="5" t="s">
        <v>355</v>
      </c>
      <c r="Q39220" s="5" t="s">
        <v>355</v>
      </c>
    </row>
    <row r="39221" ht="16.5" customHeight="1">
      <c r="O39221" s="5" t="s">
        <v>355</v>
      </c>
      <c r="P39221" s="5" t="s">
        <v>355</v>
      </c>
      <c r="Q39221" s="5" t="s">
        <v>355</v>
      </c>
    </row>
    <row r="39222" ht="16.5" customHeight="1">
      <c r="O39222" s="5" t="s">
        <v>355</v>
      </c>
      <c r="P39222" s="5" t="s">
        <v>355</v>
      </c>
      <c r="Q39222" s="5" t="s">
        <v>355</v>
      </c>
    </row>
    <row r="39223" ht="16.5" customHeight="1">
      <c r="O39223" s="5" t="s">
        <v>355</v>
      </c>
      <c r="P39223" s="5" t="s">
        <v>355</v>
      </c>
      <c r="Q39223" s="5" t="s">
        <v>355</v>
      </c>
    </row>
    <row r="39224" ht="16.5" customHeight="1">
      <c r="O39224" s="5" t="s">
        <v>355</v>
      </c>
      <c r="P39224" s="5" t="s">
        <v>355</v>
      </c>
      <c r="Q39224" s="5" t="s">
        <v>355</v>
      </c>
    </row>
    <row r="39225" ht="16.5" customHeight="1">
      <c r="O39225" s="5" t="s">
        <v>355</v>
      </c>
      <c r="P39225" s="5" t="s">
        <v>355</v>
      </c>
      <c r="Q39225" s="5" t="s">
        <v>355</v>
      </c>
    </row>
    <row r="39226" ht="16.5" customHeight="1">
      <c r="O39226" s="5" t="s">
        <v>355</v>
      </c>
      <c r="P39226" s="5" t="s">
        <v>355</v>
      </c>
      <c r="Q39226" s="5" t="s">
        <v>355</v>
      </c>
    </row>
    <row r="39227" ht="16.5" customHeight="1">
      <c r="O39227" s="5" t="s">
        <v>355</v>
      </c>
      <c r="P39227" s="5" t="s">
        <v>355</v>
      </c>
      <c r="Q39227" s="5" t="s">
        <v>355</v>
      </c>
    </row>
    <row r="39228" ht="16.5" customHeight="1">
      <c r="O39228" s="5" t="s">
        <v>355</v>
      </c>
      <c r="P39228" s="5" t="s">
        <v>355</v>
      </c>
      <c r="Q39228" s="5" t="s">
        <v>355</v>
      </c>
    </row>
    <row r="39229" ht="16.5" customHeight="1">
      <c r="O39229" s="5" t="s">
        <v>355</v>
      </c>
      <c r="P39229" s="5" t="s">
        <v>355</v>
      </c>
      <c r="Q39229" s="5" t="s">
        <v>355</v>
      </c>
    </row>
    <row r="39230" ht="16.5" customHeight="1">
      <c r="O39230" s="5" t="s">
        <v>355</v>
      </c>
      <c r="P39230" s="5" t="s">
        <v>355</v>
      </c>
      <c r="Q39230" s="5" t="s">
        <v>355</v>
      </c>
    </row>
    <row r="39231" ht="16.5" customHeight="1">
      <c r="O39231" s="5" t="s">
        <v>355</v>
      </c>
      <c r="P39231" s="5" t="s">
        <v>355</v>
      </c>
      <c r="Q39231" s="5" t="s">
        <v>355</v>
      </c>
    </row>
    <row r="39232" ht="16.5" customHeight="1">
      <c r="O39232" s="5" t="s">
        <v>355</v>
      </c>
      <c r="P39232" s="5" t="s">
        <v>355</v>
      </c>
      <c r="Q39232" s="5" t="s">
        <v>355</v>
      </c>
    </row>
    <row r="39233" ht="16.5" customHeight="1">
      <c r="O39233" s="5" t="s">
        <v>355</v>
      </c>
      <c r="P39233" s="5" t="s">
        <v>355</v>
      </c>
      <c r="Q39233" s="5" t="s">
        <v>355</v>
      </c>
    </row>
    <row r="39234" ht="16.5" customHeight="1">
      <c r="O39234" s="5" t="s">
        <v>355</v>
      </c>
      <c r="P39234" s="5" t="s">
        <v>355</v>
      </c>
      <c r="Q39234" s="5" t="s">
        <v>355</v>
      </c>
    </row>
    <row r="39235" ht="16.5" customHeight="1">
      <c r="O39235" s="5" t="s">
        <v>355</v>
      </c>
      <c r="P39235" s="5" t="s">
        <v>355</v>
      </c>
      <c r="Q39235" s="5" t="s">
        <v>355</v>
      </c>
    </row>
    <row r="39236" ht="16.5" customHeight="1">
      <c r="O39236" s="5" t="s">
        <v>355</v>
      </c>
      <c r="P39236" s="5" t="s">
        <v>355</v>
      </c>
      <c r="Q39236" s="5" t="s">
        <v>355</v>
      </c>
    </row>
    <row r="39237" ht="16.5" customHeight="1">
      <c r="O39237" s="5" t="s">
        <v>355</v>
      </c>
      <c r="P39237" s="5" t="s">
        <v>355</v>
      </c>
      <c r="Q39237" s="5" t="s">
        <v>355</v>
      </c>
    </row>
    <row r="39238" ht="16.5" customHeight="1">
      <c r="O39238" s="5" t="s">
        <v>355</v>
      </c>
      <c r="P39238" s="5" t="s">
        <v>355</v>
      </c>
      <c r="Q39238" s="5" t="s">
        <v>355</v>
      </c>
    </row>
    <row r="39239" ht="16.5" customHeight="1">
      <c r="O39239" s="5" t="s">
        <v>355</v>
      </c>
      <c r="P39239" s="5" t="s">
        <v>355</v>
      </c>
      <c r="Q39239" s="5" t="s">
        <v>355</v>
      </c>
    </row>
    <row r="39240" ht="16.5" customHeight="1">
      <c r="O39240" s="5" t="s">
        <v>355</v>
      </c>
      <c r="P39240" s="5" t="s">
        <v>355</v>
      </c>
      <c r="Q39240" s="5" t="s">
        <v>355</v>
      </c>
    </row>
    <row r="39241" ht="16.5" customHeight="1">
      <c r="O39241" s="5" t="s">
        <v>355</v>
      </c>
      <c r="P39241" s="5" t="s">
        <v>355</v>
      </c>
      <c r="Q39241" s="5" t="s">
        <v>355</v>
      </c>
    </row>
    <row r="39242" ht="16.5" customHeight="1">
      <c r="O39242" s="5" t="s">
        <v>355</v>
      </c>
      <c r="P39242" s="5" t="s">
        <v>355</v>
      </c>
      <c r="Q39242" s="5" t="s">
        <v>355</v>
      </c>
    </row>
    <row r="39243" ht="16.5" customHeight="1">
      <c r="O39243" s="5" t="s">
        <v>355</v>
      </c>
      <c r="P39243" s="5" t="s">
        <v>355</v>
      </c>
      <c r="Q39243" s="5" t="s">
        <v>355</v>
      </c>
    </row>
    <row r="39244" ht="16.5" customHeight="1">
      <c r="O39244" s="5" t="s">
        <v>355</v>
      </c>
      <c r="P39244" s="5" t="s">
        <v>355</v>
      </c>
      <c r="Q39244" s="5" t="s">
        <v>355</v>
      </c>
    </row>
    <row r="39245" ht="16.5" customHeight="1">
      <c r="O39245" s="5" t="s">
        <v>355</v>
      </c>
      <c r="P39245" s="5" t="s">
        <v>355</v>
      </c>
      <c r="Q39245" s="5" t="s">
        <v>355</v>
      </c>
    </row>
    <row r="39246" ht="16.5" customHeight="1">
      <c r="O39246" s="5" t="s">
        <v>355</v>
      </c>
      <c r="P39246" s="5" t="s">
        <v>355</v>
      </c>
      <c r="Q39246" s="5" t="s">
        <v>355</v>
      </c>
    </row>
    <row r="39247" ht="16.5" customHeight="1">
      <c r="O39247" s="5" t="s">
        <v>355</v>
      </c>
      <c r="P39247" s="5" t="s">
        <v>355</v>
      </c>
      <c r="Q39247" s="5" t="s">
        <v>355</v>
      </c>
    </row>
    <row r="39248" ht="16.5" customHeight="1">
      <c r="O39248" s="5" t="s">
        <v>355</v>
      </c>
      <c r="P39248" s="5" t="s">
        <v>355</v>
      </c>
      <c r="Q39248" s="5" t="s">
        <v>355</v>
      </c>
    </row>
    <row r="39249" ht="16.5" customHeight="1">
      <c r="O39249" s="5" t="s">
        <v>355</v>
      </c>
      <c r="P39249" s="5" t="s">
        <v>355</v>
      </c>
      <c r="Q39249" s="5" t="s">
        <v>355</v>
      </c>
    </row>
    <row r="39250" ht="16.5" customHeight="1">
      <c r="O39250" s="5" t="s">
        <v>355</v>
      </c>
      <c r="P39250" s="5" t="s">
        <v>355</v>
      </c>
      <c r="Q39250" s="5" t="s">
        <v>355</v>
      </c>
    </row>
    <row r="39251" ht="16.5" customHeight="1">
      <c r="O39251" s="5" t="s">
        <v>355</v>
      </c>
      <c r="P39251" s="5" t="s">
        <v>355</v>
      </c>
      <c r="Q39251" s="5" t="s">
        <v>355</v>
      </c>
    </row>
    <row r="39252" ht="16.5" customHeight="1">
      <c r="O39252" s="5" t="s">
        <v>355</v>
      </c>
      <c r="P39252" s="5" t="s">
        <v>355</v>
      </c>
      <c r="Q39252" s="5" t="s">
        <v>355</v>
      </c>
    </row>
    <row r="39253" ht="16.5" customHeight="1">
      <c r="O39253" s="5" t="s">
        <v>355</v>
      </c>
      <c r="P39253" s="5" t="s">
        <v>355</v>
      </c>
      <c r="Q39253" s="5" t="s">
        <v>355</v>
      </c>
    </row>
    <row r="39254" ht="16.5" customHeight="1">
      <c r="O39254" s="5" t="s">
        <v>355</v>
      </c>
      <c r="P39254" s="5" t="s">
        <v>355</v>
      </c>
      <c r="Q39254" s="5" t="s">
        <v>355</v>
      </c>
    </row>
    <row r="39255" ht="16.5" customHeight="1">
      <c r="O39255" s="5" t="s">
        <v>355</v>
      </c>
      <c r="P39255" s="5" t="s">
        <v>355</v>
      </c>
      <c r="Q39255" s="5" t="s">
        <v>355</v>
      </c>
    </row>
    <row r="39256" ht="16.5" customHeight="1">
      <c r="O39256" s="5" t="s">
        <v>355</v>
      </c>
      <c r="P39256" s="5" t="s">
        <v>355</v>
      </c>
      <c r="Q39256" s="5" t="s">
        <v>355</v>
      </c>
    </row>
    <row r="39257" ht="16.5" customHeight="1">
      <c r="O39257" s="5" t="s">
        <v>355</v>
      </c>
      <c r="P39257" s="5" t="s">
        <v>355</v>
      </c>
      <c r="Q39257" s="5" t="s">
        <v>355</v>
      </c>
    </row>
    <row r="39258" ht="16.5" customHeight="1">
      <c r="O39258" s="5" t="s">
        <v>355</v>
      </c>
      <c r="P39258" s="5" t="s">
        <v>355</v>
      </c>
      <c r="Q39258" s="5" t="s">
        <v>355</v>
      </c>
    </row>
    <row r="39259" ht="16.5" customHeight="1">
      <c r="O39259" s="5" t="s">
        <v>355</v>
      </c>
      <c r="P39259" s="5" t="s">
        <v>355</v>
      </c>
      <c r="Q39259" s="5" t="s">
        <v>355</v>
      </c>
    </row>
    <row r="39260" ht="16.5" customHeight="1">
      <c r="O39260" s="5" t="s">
        <v>355</v>
      </c>
      <c r="P39260" s="5" t="s">
        <v>355</v>
      </c>
      <c r="Q39260" s="5" t="s">
        <v>355</v>
      </c>
    </row>
    <row r="39261" ht="16.5" customHeight="1">
      <c r="O39261" s="5" t="s">
        <v>355</v>
      </c>
      <c r="P39261" s="5" t="s">
        <v>355</v>
      </c>
      <c r="Q39261" s="5" t="s">
        <v>355</v>
      </c>
    </row>
    <row r="39262" ht="16.5" customHeight="1">
      <c r="O39262" s="5" t="s">
        <v>355</v>
      </c>
      <c r="P39262" s="5" t="s">
        <v>355</v>
      </c>
      <c r="Q39262" s="5" t="s">
        <v>355</v>
      </c>
    </row>
    <row r="39263" ht="16.5" customHeight="1">
      <c r="O39263" s="5" t="s">
        <v>355</v>
      </c>
      <c r="P39263" s="5" t="s">
        <v>355</v>
      </c>
      <c r="Q39263" s="5" t="s">
        <v>355</v>
      </c>
    </row>
    <row r="39264" ht="16.5" customHeight="1">
      <c r="O39264" s="5" t="s">
        <v>355</v>
      </c>
      <c r="P39264" s="5" t="s">
        <v>355</v>
      </c>
      <c r="Q39264" s="5" t="s">
        <v>355</v>
      </c>
    </row>
    <row r="39265" ht="16.5" customHeight="1">
      <c r="O39265" s="5" t="s">
        <v>355</v>
      </c>
      <c r="P39265" s="5" t="s">
        <v>355</v>
      </c>
      <c r="Q39265" s="5" t="s">
        <v>355</v>
      </c>
    </row>
    <row r="39266" ht="16.5" customHeight="1">
      <c r="O39266" s="5" t="s">
        <v>355</v>
      </c>
      <c r="P39266" s="5" t="s">
        <v>355</v>
      </c>
      <c r="Q39266" s="5" t="s">
        <v>355</v>
      </c>
    </row>
    <row r="39267" ht="16.5" customHeight="1">
      <c r="O39267" s="5" t="s">
        <v>355</v>
      </c>
      <c r="P39267" s="5" t="s">
        <v>355</v>
      </c>
      <c r="Q39267" s="5" t="s">
        <v>355</v>
      </c>
    </row>
    <row r="39268" ht="16.5" customHeight="1">
      <c r="O39268" s="5" t="s">
        <v>355</v>
      </c>
      <c r="P39268" s="5" t="s">
        <v>355</v>
      </c>
      <c r="Q39268" s="5" t="s">
        <v>355</v>
      </c>
    </row>
    <row r="39269" ht="16.5" customHeight="1">
      <c r="O39269" s="5" t="s">
        <v>355</v>
      </c>
      <c r="P39269" s="5" t="s">
        <v>355</v>
      </c>
      <c r="Q39269" s="5" t="s">
        <v>355</v>
      </c>
    </row>
    <row r="39270" ht="16.5" customHeight="1">
      <c r="O39270" s="5" t="s">
        <v>355</v>
      </c>
      <c r="P39270" s="5" t="s">
        <v>355</v>
      </c>
      <c r="Q39270" s="5" t="s">
        <v>355</v>
      </c>
    </row>
    <row r="39271" ht="16.5" customHeight="1">
      <c r="O39271" s="5" t="s">
        <v>355</v>
      </c>
      <c r="P39271" s="5" t="s">
        <v>355</v>
      </c>
      <c r="Q39271" s="5" t="s">
        <v>355</v>
      </c>
    </row>
    <row r="39272" ht="16.5" customHeight="1">
      <c r="O39272" s="5" t="s">
        <v>355</v>
      </c>
      <c r="P39272" s="5" t="s">
        <v>355</v>
      </c>
      <c r="Q39272" s="5" t="s">
        <v>355</v>
      </c>
    </row>
    <row r="39273" ht="16.5" customHeight="1">
      <c r="O39273" s="5" t="s">
        <v>355</v>
      </c>
      <c r="P39273" s="5" t="s">
        <v>355</v>
      </c>
      <c r="Q39273" s="5" t="s">
        <v>355</v>
      </c>
    </row>
    <row r="39274" ht="16.5" customHeight="1">
      <c r="O39274" s="5" t="s">
        <v>355</v>
      </c>
      <c r="P39274" s="5" t="s">
        <v>355</v>
      </c>
      <c r="Q39274" s="5" t="s">
        <v>355</v>
      </c>
    </row>
    <row r="39275" ht="16.5" customHeight="1">
      <c r="O39275" s="5" t="s">
        <v>355</v>
      </c>
      <c r="P39275" s="5" t="s">
        <v>355</v>
      </c>
      <c r="Q39275" s="5" t="s">
        <v>355</v>
      </c>
    </row>
    <row r="39276" ht="16.5" customHeight="1">
      <c r="O39276" s="5" t="s">
        <v>355</v>
      </c>
      <c r="P39276" s="5" t="s">
        <v>355</v>
      </c>
      <c r="Q39276" s="5" t="s">
        <v>355</v>
      </c>
    </row>
    <row r="39277" ht="16.5" customHeight="1">
      <c r="O39277" s="5" t="s">
        <v>355</v>
      </c>
      <c r="P39277" s="5" t="s">
        <v>355</v>
      </c>
      <c r="Q39277" s="5" t="s">
        <v>355</v>
      </c>
    </row>
    <row r="39278" ht="16.5" customHeight="1">
      <c r="O39278" s="5" t="s">
        <v>355</v>
      </c>
      <c r="P39278" s="5" t="s">
        <v>355</v>
      </c>
      <c r="Q39278" s="5" t="s">
        <v>355</v>
      </c>
    </row>
    <row r="39279" ht="16.5" customHeight="1">
      <c r="O39279" s="5" t="s">
        <v>355</v>
      </c>
      <c r="P39279" s="5" t="s">
        <v>355</v>
      </c>
      <c r="Q39279" s="5" t="s">
        <v>355</v>
      </c>
    </row>
    <row r="39280" ht="16.5" customHeight="1">
      <c r="O39280" s="5" t="s">
        <v>355</v>
      </c>
      <c r="P39280" s="5" t="s">
        <v>355</v>
      </c>
      <c r="Q39280" s="5" t="s">
        <v>355</v>
      </c>
    </row>
    <row r="39281" ht="16.5" customHeight="1">
      <c r="O39281" s="5" t="s">
        <v>355</v>
      </c>
      <c r="P39281" s="5" t="s">
        <v>355</v>
      </c>
      <c r="Q39281" s="5" t="s">
        <v>355</v>
      </c>
    </row>
    <row r="39282" ht="16.5" customHeight="1">
      <c r="O39282" s="5" t="s">
        <v>355</v>
      </c>
      <c r="P39282" s="5" t="s">
        <v>355</v>
      </c>
      <c r="Q39282" s="5" t="s">
        <v>355</v>
      </c>
    </row>
    <row r="39283" ht="16.5" customHeight="1">
      <c r="O39283" s="5" t="s">
        <v>355</v>
      </c>
      <c r="P39283" s="5" t="s">
        <v>355</v>
      </c>
      <c r="Q39283" s="5" t="s">
        <v>355</v>
      </c>
    </row>
    <row r="39284" ht="16.5" customHeight="1">
      <c r="O39284" s="5" t="s">
        <v>355</v>
      </c>
      <c r="P39284" s="5" t="s">
        <v>355</v>
      </c>
      <c r="Q39284" s="5" t="s">
        <v>355</v>
      </c>
    </row>
    <row r="39285" ht="16.5" customHeight="1">
      <c r="O39285" s="5" t="s">
        <v>355</v>
      </c>
      <c r="P39285" s="5" t="s">
        <v>355</v>
      </c>
      <c r="Q39285" s="5" t="s">
        <v>355</v>
      </c>
    </row>
    <row r="39286" ht="16.5" customHeight="1">
      <c r="O39286" s="5" t="s">
        <v>355</v>
      </c>
      <c r="P39286" s="5" t="s">
        <v>355</v>
      </c>
      <c r="Q39286" s="5" t="s">
        <v>355</v>
      </c>
    </row>
    <row r="39287" ht="16.5" customHeight="1">
      <c r="O39287" s="5" t="s">
        <v>355</v>
      </c>
      <c r="P39287" s="5" t="s">
        <v>355</v>
      </c>
      <c r="Q39287" s="5" t="s">
        <v>355</v>
      </c>
    </row>
    <row r="39288" ht="16.5" customHeight="1">
      <c r="O39288" s="5" t="s">
        <v>355</v>
      </c>
      <c r="P39288" s="5" t="s">
        <v>355</v>
      </c>
      <c r="Q39288" s="5" t="s">
        <v>355</v>
      </c>
    </row>
    <row r="39289" ht="16.5" customHeight="1">
      <c r="O39289" s="5" t="s">
        <v>355</v>
      </c>
      <c r="P39289" s="5" t="s">
        <v>355</v>
      </c>
      <c r="Q39289" s="5" t="s">
        <v>355</v>
      </c>
    </row>
    <row r="39290" ht="16.5" customHeight="1">
      <c r="O39290" s="5" t="s">
        <v>355</v>
      </c>
      <c r="P39290" s="5" t="s">
        <v>355</v>
      </c>
      <c r="Q39290" s="5" t="s">
        <v>355</v>
      </c>
    </row>
    <row r="39291" ht="16.5" customHeight="1">
      <c r="O39291" s="5" t="s">
        <v>355</v>
      </c>
      <c r="P39291" s="5" t="s">
        <v>355</v>
      </c>
      <c r="Q39291" s="5" t="s">
        <v>355</v>
      </c>
    </row>
    <row r="39292" ht="16.5" customHeight="1">
      <c r="O39292" s="5" t="s">
        <v>355</v>
      </c>
      <c r="P39292" s="5" t="s">
        <v>355</v>
      </c>
      <c r="Q39292" s="5" t="s">
        <v>355</v>
      </c>
    </row>
    <row r="39293" ht="16.5" customHeight="1">
      <c r="O39293" s="5" t="s">
        <v>355</v>
      </c>
      <c r="P39293" s="5" t="s">
        <v>355</v>
      </c>
      <c r="Q39293" s="5" t="s">
        <v>355</v>
      </c>
    </row>
    <row r="39294" ht="16.5" customHeight="1">
      <c r="O39294" s="5" t="s">
        <v>355</v>
      </c>
      <c r="P39294" s="5" t="s">
        <v>355</v>
      </c>
      <c r="Q39294" s="5" t="s">
        <v>355</v>
      </c>
    </row>
    <row r="39295" ht="16.5" customHeight="1">
      <c r="O39295" s="5" t="s">
        <v>355</v>
      </c>
      <c r="P39295" s="5" t="s">
        <v>355</v>
      </c>
      <c r="Q39295" s="5" t="s">
        <v>355</v>
      </c>
    </row>
    <row r="39296" ht="16.5" customHeight="1">
      <c r="O39296" s="5" t="s">
        <v>355</v>
      </c>
      <c r="P39296" s="5" t="s">
        <v>355</v>
      </c>
      <c r="Q39296" s="5" t="s">
        <v>355</v>
      </c>
    </row>
    <row r="39297" ht="16.5" customHeight="1">
      <c r="O39297" s="5" t="s">
        <v>355</v>
      </c>
      <c r="P39297" s="5" t="s">
        <v>355</v>
      </c>
      <c r="Q39297" s="5" t="s">
        <v>355</v>
      </c>
    </row>
    <row r="39298" ht="16.5" customHeight="1">
      <c r="O39298" s="5" t="s">
        <v>355</v>
      </c>
      <c r="P39298" s="5" t="s">
        <v>355</v>
      </c>
      <c r="Q39298" s="5" t="s">
        <v>355</v>
      </c>
    </row>
    <row r="39299" ht="16.5" customHeight="1">
      <c r="O39299" s="5" t="s">
        <v>355</v>
      </c>
      <c r="P39299" s="5" t="s">
        <v>355</v>
      </c>
      <c r="Q39299" s="5" t="s">
        <v>355</v>
      </c>
    </row>
    <row r="39300" ht="16.5" customHeight="1">
      <c r="O39300" s="5" t="s">
        <v>355</v>
      </c>
      <c r="P39300" s="5" t="s">
        <v>355</v>
      </c>
      <c r="Q39300" s="5" t="s">
        <v>355</v>
      </c>
    </row>
    <row r="39301" ht="16.5" customHeight="1">
      <c r="O39301" s="5" t="s">
        <v>355</v>
      </c>
      <c r="P39301" s="5" t="s">
        <v>355</v>
      </c>
      <c r="Q39301" s="5" t="s">
        <v>355</v>
      </c>
    </row>
    <row r="39302" ht="16.5" customHeight="1">
      <c r="O39302" s="5" t="s">
        <v>355</v>
      </c>
      <c r="P39302" s="5" t="s">
        <v>355</v>
      </c>
      <c r="Q39302" s="5" t="s">
        <v>355</v>
      </c>
    </row>
    <row r="39303" ht="16.5" customHeight="1">
      <c r="O39303" s="5" t="s">
        <v>355</v>
      </c>
      <c r="P39303" s="5" t="s">
        <v>355</v>
      </c>
      <c r="Q39303" s="5" t="s">
        <v>355</v>
      </c>
    </row>
    <row r="39304" ht="16.5" customHeight="1">
      <c r="O39304" s="5" t="s">
        <v>355</v>
      </c>
      <c r="P39304" s="5" t="s">
        <v>355</v>
      </c>
      <c r="Q39304" s="5" t="s">
        <v>355</v>
      </c>
    </row>
    <row r="39305" ht="16.5" customHeight="1">
      <c r="O39305" s="5" t="s">
        <v>355</v>
      </c>
      <c r="P39305" s="5" t="s">
        <v>355</v>
      </c>
      <c r="Q39305" s="5" t="s">
        <v>355</v>
      </c>
    </row>
    <row r="39306" ht="16.5" customHeight="1">
      <c r="O39306" s="5" t="s">
        <v>355</v>
      </c>
      <c r="P39306" s="5" t="s">
        <v>355</v>
      </c>
      <c r="Q39306" s="5" t="s">
        <v>355</v>
      </c>
    </row>
    <row r="39307" ht="16.5" customHeight="1">
      <c r="O39307" s="5" t="s">
        <v>355</v>
      </c>
      <c r="P39307" s="5" t="s">
        <v>355</v>
      </c>
      <c r="Q39307" s="5" t="s">
        <v>355</v>
      </c>
    </row>
    <row r="39308" ht="16.5" customHeight="1">
      <c r="O39308" s="5" t="s">
        <v>355</v>
      </c>
      <c r="P39308" s="5" t="s">
        <v>355</v>
      </c>
      <c r="Q39308" s="5" t="s">
        <v>355</v>
      </c>
    </row>
    <row r="39309" ht="16.5" customHeight="1">
      <c r="O39309" s="5" t="s">
        <v>355</v>
      </c>
      <c r="P39309" s="5" t="s">
        <v>355</v>
      </c>
      <c r="Q39309" s="5" t="s">
        <v>355</v>
      </c>
    </row>
    <row r="39310" ht="16.5" customHeight="1">
      <c r="O39310" s="5" t="s">
        <v>355</v>
      </c>
      <c r="P39310" s="5" t="s">
        <v>355</v>
      </c>
      <c r="Q39310" s="5" t="s">
        <v>355</v>
      </c>
    </row>
    <row r="39311" ht="16.5" customHeight="1">
      <c r="O39311" s="5" t="s">
        <v>355</v>
      </c>
      <c r="P39311" s="5" t="s">
        <v>355</v>
      </c>
      <c r="Q39311" s="5" t="s">
        <v>355</v>
      </c>
    </row>
    <row r="39312" ht="16.5" customHeight="1">
      <c r="O39312" s="5" t="s">
        <v>355</v>
      </c>
      <c r="P39312" s="5" t="s">
        <v>355</v>
      </c>
      <c r="Q39312" s="5" t="s">
        <v>355</v>
      </c>
    </row>
    <row r="39313" ht="16.5" customHeight="1">
      <c r="O39313" s="5" t="s">
        <v>355</v>
      </c>
      <c r="P39313" s="5" t="s">
        <v>355</v>
      </c>
      <c r="Q39313" s="5" t="s">
        <v>355</v>
      </c>
    </row>
    <row r="39314" ht="16.5" customHeight="1">
      <c r="O39314" s="5" t="s">
        <v>355</v>
      </c>
      <c r="P39314" s="5" t="s">
        <v>355</v>
      </c>
      <c r="Q39314" s="5" t="s">
        <v>355</v>
      </c>
    </row>
    <row r="39315" ht="16.5" customHeight="1">
      <c r="O39315" s="5" t="s">
        <v>355</v>
      </c>
      <c r="P39315" s="5" t="s">
        <v>355</v>
      </c>
      <c r="Q39315" s="5" t="s">
        <v>355</v>
      </c>
    </row>
    <row r="39316" ht="16.5" customHeight="1">
      <c r="O39316" s="5" t="s">
        <v>355</v>
      </c>
      <c r="P39316" s="5" t="s">
        <v>355</v>
      </c>
      <c r="Q39316" s="5" t="s">
        <v>355</v>
      </c>
    </row>
    <row r="39317" ht="16.5" customHeight="1">
      <c r="O39317" s="5" t="s">
        <v>355</v>
      </c>
      <c r="P39317" s="5" t="s">
        <v>355</v>
      </c>
      <c r="Q39317" s="5" t="s">
        <v>355</v>
      </c>
    </row>
    <row r="39318" ht="16.5" customHeight="1">
      <c r="O39318" s="5" t="s">
        <v>355</v>
      </c>
      <c r="P39318" s="5" t="s">
        <v>355</v>
      </c>
      <c r="Q39318" s="5" t="s">
        <v>355</v>
      </c>
    </row>
    <row r="39319" ht="16.5" customHeight="1">
      <c r="O39319" s="5" t="s">
        <v>355</v>
      </c>
      <c r="P39319" s="5" t="s">
        <v>355</v>
      </c>
      <c r="Q39319" s="5" t="s">
        <v>355</v>
      </c>
    </row>
    <row r="39320" ht="16.5" customHeight="1">
      <c r="O39320" s="5" t="s">
        <v>355</v>
      </c>
      <c r="P39320" s="5" t="s">
        <v>355</v>
      </c>
      <c r="Q39320" s="5" t="s">
        <v>355</v>
      </c>
    </row>
    <row r="39321" ht="16.5" customHeight="1">
      <c r="O39321" s="5" t="s">
        <v>355</v>
      </c>
      <c r="P39321" s="5" t="s">
        <v>355</v>
      </c>
      <c r="Q39321" s="5" t="s">
        <v>355</v>
      </c>
    </row>
    <row r="39322" ht="16.5" customHeight="1">
      <c r="O39322" s="5" t="s">
        <v>355</v>
      </c>
      <c r="P39322" s="5" t="s">
        <v>355</v>
      </c>
      <c r="Q39322" s="5" t="s">
        <v>355</v>
      </c>
    </row>
    <row r="39323" ht="16.5" customHeight="1">
      <c r="O39323" s="5" t="s">
        <v>355</v>
      </c>
      <c r="P39323" s="5" t="s">
        <v>355</v>
      </c>
      <c r="Q39323" s="5" t="s">
        <v>355</v>
      </c>
    </row>
    <row r="39324" ht="16.5" customHeight="1">
      <c r="O39324" s="5" t="s">
        <v>355</v>
      </c>
      <c r="P39324" s="5" t="s">
        <v>355</v>
      </c>
      <c r="Q39324" s="5" t="s">
        <v>355</v>
      </c>
    </row>
    <row r="39325" ht="16.5" customHeight="1">
      <c r="O39325" s="5" t="s">
        <v>355</v>
      </c>
      <c r="P39325" s="5" t="s">
        <v>355</v>
      </c>
      <c r="Q39325" s="5" t="s">
        <v>355</v>
      </c>
    </row>
    <row r="39326" ht="16.5" customHeight="1">
      <c r="O39326" s="5" t="s">
        <v>355</v>
      </c>
      <c r="P39326" s="5" t="s">
        <v>355</v>
      </c>
      <c r="Q39326" s="5" t="s">
        <v>355</v>
      </c>
    </row>
    <row r="39327" ht="16.5" customHeight="1">
      <c r="O39327" s="5" t="s">
        <v>355</v>
      </c>
      <c r="P39327" s="5" t="s">
        <v>355</v>
      </c>
      <c r="Q39327" s="5" t="s">
        <v>355</v>
      </c>
    </row>
    <row r="39328" ht="16.5" customHeight="1">
      <c r="O39328" s="5" t="s">
        <v>355</v>
      </c>
      <c r="P39328" s="5" t="s">
        <v>355</v>
      </c>
      <c r="Q39328" s="5" t="s">
        <v>355</v>
      </c>
    </row>
    <row r="39329" ht="16.5" customHeight="1">
      <c r="O39329" s="5" t="s">
        <v>355</v>
      </c>
      <c r="P39329" s="5" t="s">
        <v>355</v>
      </c>
      <c r="Q39329" s="5" t="s">
        <v>355</v>
      </c>
    </row>
    <row r="39330" ht="16.5" customHeight="1">
      <c r="O39330" s="5" t="s">
        <v>355</v>
      </c>
      <c r="P39330" s="5" t="s">
        <v>355</v>
      </c>
      <c r="Q39330" s="5" t="s">
        <v>355</v>
      </c>
    </row>
    <row r="39331" ht="16.5" customHeight="1">
      <c r="O39331" s="5" t="s">
        <v>355</v>
      </c>
      <c r="P39331" s="5" t="s">
        <v>355</v>
      </c>
      <c r="Q39331" s="5" t="s">
        <v>355</v>
      </c>
    </row>
    <row r="39332" ht="16.5" customHeight="1">
      <c r="O39332" s="5" t="s">
        <v>355</v>
      </c>
      <c r="P39332" s="5" t="s">
        <v>355</v>
      </c>
      <c r="Q39332" s="5" t="s">
        <v>355</v>
      </c>
    </row>
    <row r="39333" ht="16.5" customHeight="1">
      <c r="O39333" s="5" t="s">
        <v>355</v>
      </c>
      <c r="P39333" s="5" t="s">
        <v>355</v>
      </c>
      <c r="Q39333" s="5" t="s">
        <v>355</v>
      </c>
    </row>
    <row r="39334" ht="16.5" customHeight="1">
      <c r="O39334" s="5" t="s">
        <v>355</v>
      </c>
      <c r="P39334" s="5" t="s">
        <v>355</v>
      </c>
      <c r="Q39334" s="5" t="s">
        <v>355</v>
      </c>
    </row>
    <row r="39335" ht="16.5" customHeight="1">
      <c r="O39335" s="5" t="s">
        <v>355</v>
      </c>
      <c r="P39335" s="5" t="s">
        <v>355</v>
      </c>
      <c r="Q39335" s="5" t="s">
        <v>355</v>
      </c>
    </row>
    <row r="39336" ht="16.5" customHeight="1">
      <c r="O39336" s="5" t="s">
        <v>355</v>
      </c>
      <c r="P39336" s="5" t="s">
        <v>355</v>
      </c>
      <c r="Q39336" s="5" t="s">
        <v>355</v>
      </c>
    </row>
    <row r="39337" ht="16.5" customHeight="1">
      <c r="O39337" s="5" t="s">
        <v>355</v>
      </c>
      <c r="P39337" s="5" t="s">
        <v>355</v>
      </c>
      <c r="Q39337" s="5" t="s">
        <v>355</v>
      </c>
    </row>
    <row r="39338" ht="16.5" customHeight="1">
      <c r="O39338" s="5" t="s">
        <v>355</v>
      </c>
      <c r="P39338" s="5" t="s">
        <v>355</v>
      </c>
      <c r="Q39338" s="5" t="s">
        <v>355</v>
      </c>
    </row>
    <row r="39339" ht="16.5" customHeight="1">
      <c r="O39339" s="5" t="s">
        <v>355</v>
      </c>
      <c r="P39339" s="5" t="s">
        <v>355</v>
      </c>
      <c r="Q39339" s="5" t="s">
        <v>355</v>
      </c>
    </row>
    <row r="39340" ht="16.5" customHeight="1">
      <c r="O39340" s="5" t="s">
        <v>355</v>
      </c>
      <c r="P39340" s="5" t="s">
        <v>355</v>
      </c>
      <c r="Q39340" s="5" t="s">
        <v>355</v>
      </c>
    </row>
    <row r="39341" ht="16.5" customHeight="1">
      <c r="O39341" s="5" t="s">
        <v>355</v>
      </c>
      <c r="P39341" s="5" t="s">
        <v>355</v>
      </c>
      <c r="Q39341" s="5" t="s">
        <v>355</v>
      </c>
    </row>
    <row r="39342" ht="16.5" customHeight="1">
      <c r="O39342" s="5" t="s">
        <v>355</v>
      </c>
      <c r="P39342" s="5" t="s">
        <v>355</v>
      </c>
      <c r="Q39342" s="5" t="s">
        <v>355</v>
      </c>
    </row>
    <row r="39343" ht="16.5" customHeight="1">
      <c r="O39343" s="5" t="s">
        <v>355</v>
      </c>
      <c r="P39343" s="5" t="s">
        <v>355</v>
      </c>
      <c r="Q39343" s="5" t="s">
        <v>355</v>
      </c>
    </row>
    <row r="39344" ht="16.5" customHeight="1">
      <c r="O39344" s="5" t="s">
        <v>355</v>
      </c>
      <c r="P39344" s="5" t="s">
        <v>355</v>
      </c>
      <c r="Q39344" s="5" t="s">
        <v>355</v>
      </c>
    </row>
    <row r="39345" ht="16.5" customHeight="1">
      <c r="O39345" s="5" t="s">
        <v>355</v>
      </c>
      <c r="P39345" s="5" t="s">
        <v>355</v>
      </c>
      <c r="Q39345" s="5" t="s">
        <v>355</v>
      </c>
    </row>
    <row r="39346" ht="16.5" customHeight="1">
      <c r="O39346" s="5" t="s">
        <v>355</v>
      </c>
      <c r="P39346" s="5" t="s">
        <v>355</v>
      </c>
      <c r="Q39346" s="5" t="s">
        <v>355</v>
      </c>
    </row>
    <row r="39347" ht="16.5" customHeight="1">
      <c r="O39347" s="5" t="s">
        <v>355</v>
      </c>
      <c r="P39347" s="5" t="s">
        <v>355</v>
      </c>
      <c r="Q39347" s="5" t="s">
        <v>355</v>
      </c>
    </row>
    <row r="39348" ht="16.5" customHeight="1">
      <c r="O39348" s="5" t="s">
        <v>355</v>
      </c>
      <c r="P39348" s="5" t="s">
        <v>355</v>
      </c>
      <c r="Q39348" s="5" t="s">
        <v>355</v>
      </c>
    </row>
    <row r="39349" ht="16.5" customHeight="1">
      <c r="O39349" s="5" t="s">
        <v>355</v>
      </c>
      <c r="P39349" s="5" t="s">
        <v>355</v>
      </c>
      <c r="Q39349" s="5" t="s">
        <v>355</v>
      </c>
    </row>
    <row r="39350" ht="16.5" customHeight="1">
      <c r="O39350" s="5" t="s">
        <v>355</v>
      </c>
      <c r="P39350" s="5" t="s">
        <v>355</v>
      </c>
      <c r="Q39350" s="5" t="s">
        <v>355</v>
      </c>
    </row>
    <row r="39351" ht="16.5" customHeight="1">
      <c r="O39351" s="5" t="s">
        <v>355</v>
      </c>
      <c r="P39351" s="5" t="s">
        <v>355</v>
      </c>
      <c r="Q39351" s="5" t="s">
        <v>355</v>
      </c>
    </row>
    <row r="39352" ht="16.5" customHeight="1">
      <c r="O39352" s="5" t="s">
        <v>355</v>
      </c>
      <c r="P39352" s="5" t="s">
        <v>355</v>
      </c>
      <c r="Q39352" s="5" t="s">
        <v>355</v>
      </c>
    </row>
    <row r="39353" ht="16.5" customHeight="1">
      <c r="O39353" s="5" t="s">
        <v>355</v>
      </c>
      <c r="P39353" s="5" t="s">
        <v>355</v>
      </c>
      <c r="Q39353" s="5" t="s">
        <v>355</v>
      </c>
    </row>
    <row r="39354" ht="16.5" customHeight="1">
      <c r="O39354" s="5" t="s">
        <v>355</v>
      </c>
      <c r="P39354" s="5" t="s">
        <v>355</v>
      </c>
      <c r="Q39354" s="5" t="s">
        <v>355</v>
      </c>
    </row>
    <row r="39355" ht="16.5" customHeight="1">
      <c r="O39355" s="5" t="s">
        <v>355</v>
      </c>
      <c r="P39355" s="5" t="s">
        <v>355</v>
      </c>
      <c r="Q39355" s="5" t="s">
        <v>355</v>
      </c>
    </row>
    <row r="39356" ht="16.5" customHeight="1">
      <c r="O39356" s="5" t="s">
        <v>355</v>
      </c>
      <c r="P39356" s="5" t="s">
        <v>355</v>
      </c>
      <c r="Q39356" s="5" t="s">
        <v>355</v>
      </c>
    </row>
    <row r="39357" ht="16.5" customHeight="1">
      <c r="O39357" s="5" t="s">
        <v>355</v>
      </c>
      <c r="P39357" s="5" t="s">
        <v>355</v>
      </c>
      <c r="Q39357" s="5" t="s">
        <v>355</v>
      </c>
    </row>
    <row r="39358" ht="16.5" customHeight="1">
      <c r="O39358" s="5" t="s">
        <v>355</v>
      </c>
      <c r="P39358" s="5" t="s">
        <v>355</v>
      </c>
      <c r="Q39358" s="5" t="s">
        <v>355</v>
      </c>
    </row>
    <row r="39359" ht="16.5" customHeight="1">
      <c r="O39359" s="5" t="s">
        <v>355</v>
      </c>
      <c r="P39359" s="5" t="s">
        <v>355</v>
      </c>
      <c r="Q39359" s="5" t="s">
        <v>355</v>
      </c>
    </row>
    <row r="39360" ht="16.5" customHeight="1">
      <c r="O39360" s="5" t="s">
        <v>355</v>
      </c>
      <c r="P39360" s="5" t="s">
        <v>355</v>
      </c>
      <c r="Q39360" s="5" t="s">
        <v>355</v>
      </c>
    </row>
    <row r="39361" ht="16.5" customHeight="1">
      <c r="O39361" s="5" t="s">
        <v>355</v>
      </c>
      <c r="P39361" s="5" t="s">
        <v>355</v>
      </c>
      <c r="Q39361" s="5" t="s">
        <v>355</v>
      </c>
    </row>
    <row r="39362" ht="16.5" customHeight="1">
      <c r="O39362" s="5" t="s">
        <v>355</v>
      </c>
      <c r="P39362" s="5" t="s">
        <v>355</v>
      </c>
      <c r="Q39362" s="5" t="s">
        <v>355</v>
      </c>
    </row>
    <row r="39363" ht="16.5" customHeight="1">
      <c r="O39363" s="5" t="s">
        <v>355</v>
      </c>
      <c r="P39363" s="5" t="s">
        <v>355</v>
      </c>
      <c r="Q39363" s="5" t="s">
        <v>355</v>
      </c>
    </row>
    <row r="39364" ht="16.5" customHeight="1">
      <c r="O39364" s="5" t="s">
        <v>355</v>
      </c>
      <c r="P39364" s="5" t="s">
        <v>355</v>
      </c>
      <c r="Q39364" s="5" t="s">
        <v>355</v>
      </c>
    </row>
    <row r="39365" ht="16.5" customHeight="1">
      <c r="O39365" s="5" t="s">
        <v>355</v>
      </c>
      <c r="P39365" s="5" t="s">
        <v>355</v>
      </c>
      <c r="Q39365" s="5" t="s">
        <v>355</v>
      </c>
    </row>
    <row r="39366" ht="16.5" customHeight="1">
      <c r="O39366" s="5" t="s">
        <v>355</v>
      </c>
      <c r="P39366" s="5" t="s">
        <v>355</v>
      </c>
      <c r="Q39366" s="5" t="s">
        <v>355</v>
      </c>
    </row>
    <row r="39367" ht="16.5" customHeight="1">
      <c r="O39367" s="5" t="s">
        <v>355</v>
      </c>
      <c r="P39367" s="5" t="s">
        <v>355</v>
      </c>
      <c r="Q39367" s="5" t="s">
        <v>355</v>
      </c>
    </row>
    <row r="39368" ht="16.5" customHeight="1">
      <c r="O39368" s="5" t="s">
        <v>355</v>
      </c>
      <c r="P39368" s="5" t="s">
        <v>355</v>
      </c>
      <c r="Q39368" s="5" t="s">
        <v>355</v>
      </c>
    </row>
    <row r="39369" ht="16.5" customHeight="1">
      <c r="O39369" s="5" t="s">
        <v>355</v>
      </c>
      <c r="P39369" s="5" t="s">
        <v>355</v>
      </c>
      <c r="Q39369" s="5" t="s">
        <v>355</v>
      </c>
    </row>
    <row r="39370" ht="16.5" customHeight="1">
      <c r="O39370" s="5" t="s">
        <v>355</v>
      </c>
      <c r="P39370" s="5" t="s">
        <v>355</v>
      </c>
      <c r="Q39370" s="5" t="s">
        <v>355</v>
      </c>
    </row>
    <row r="39371" ht="16.5" customHeight="1">
      <c r="O39371" s="5" t="s">
        <v>355</v>
      </c>
      <c r="P39371" s="5" t="s">
        <v>355</v>
      </c>
      <c r="Q39371" s="5" t="s">
        <v>355</v>
      </c>
    </row>
    <row r="39372" ht="16.5" customHeight="1">
      <c r="O39372" s="5" t="s">
        <v>355</v>
      </c>
      <c r="P39372" s="5" t="s">
        <v>355</v>
      </c>
      <c r="Q39372" s="5" t="s">
        <v>355</v>
      </c>
    </row>
    <row r="39373" ht="16.5" customHeight="1">
      <c r="O39373" s="5" t="s">
        <v>355</v>
      </c>
      <c r="P39373" s="5" t="s">
        <v>355</v>
      </c>
      <c r="Q39373" s="5" t="s">
        <v>355</v>
      </c>
    </row>
    <row r="39374" ht="16.5" customHeight="1">
      <c r="O39374" s="5" t="s">
        <v>355</v>
      </c>
      <c r="P39374" s="5" t="s">
        <v>355</v>
      </c>
      <c r="Q39374" s="5" t="s">
        <v>355</v>
      </c>
    </row>
    <row r="39375" ht="16.5" customHeight="1">
      <c r="O39375" s="5" t="s">
        <v>355</v>
      </c>
      <c r="P39375" s="5" t="s">
        <v>355</v>
      </c>
      <c r="Q39375" s="5" t="s">
        <v>355</v>
      </c>
    </row>
    <row r="39376" ht="16.5" customHeight="1">
      <c r="O39376" s="5" t="s">
        <v>355</v>
      </c>
      <c r="P39376" s="5" t="s">
        <v>355</v>
      </c>
      <c r="Q39376" s="5" t="s">
        <v>355</v>
      </c>
    </row>
    <row r="39377" ht="16.5" customHeight="1">
      <c r="O39377" s="5" t="s">
        <v>355</v>
      </c>
      <c r="P39377" s="5" t="s">
        <v>355</v>
      </c>
      <c r="Q39377" s="5" t="s">
        <v>355</v>
      </c>
    </row>
    <row r="39378" ht="16.5" customHeight="1">
      <c r="O39378" s="5" t="s">
        <v>355</v>
      </c>
      <c r="P39378" s="5" t="s">
        <v>355</v>
      </c>
      <c r="Q39378" s="5" t="s">
        <v>355</v>
      </c>
    </row>
    <row r="39379" ht="16.5" customHeight="1">
      <c r="O39379" s="5" t="s">
        <v>355</v>
      </c>
      <c r="P39379" s="5" t="s">
        <v>355</v>
      </c>
      <c r="Q39379" s="5" t="s">
        <v>355</v>
      </c>
    </row>
    <row r="39380" ht="16.5" customHeight="1">
      <c r="O39380" s="5" t="s">
        <v>355</v>
      </c>
      <c r="P39380" s="5" t="s">
        <v>355</v>
      </c>
      <c r="Q39380" s="5" t="s">
        <v>355</v>
      </c>
    </row>
    <row r="39381" ht="16.5" customHeight="1">
      <c r="O39381" s="5" t="s">
        <v>355</v>
      </c>
      <c r="P39381" s="5" t="s">
        <v>355</v>
      </c>
      <c r="Q39381" s="5" t="s">
        <v>355</v>
      </c>
    </row>
    <row r="39382" ht="16.5" customHeight="1">
      <c r="O39382" s="5" t="s">
        <v>355</v>
      </c>
      <c r="P39382" s="5" t="s">
        <v>355</v>
      </c>
      <c r="Q39382" s="5" t="s">
        <v>355</v>
      </c>
    </row>
    <row r="39383" ht="16.5" customHeight="1">
      <c r="O39383" s="5" t="s">
        <v>355</v>
      </c>
      <c r="P39383" s="5" t="s">
        <v>355</v>
      </c>
      <c r="Q39383" s="5" t="s">
        <v>355</v>
      </c>
    </row>
    <row r="39384" ht="16.5" customHeight="1">
      <c r="O39384" s="5" t="s">
        <v>355</v>
      </c>
      <c r="P39384" s="5" t="s">
        <v>355</v>
      </c>
      <c r="Q39384" s="5" t="s">
        <v>355</v>
      </c>
    </row>
    <row r="39385" ht="16.5" customHeight="1">
      <c r="O39385" s="5" t="s">
        <v>355</v>
      </c>
      <c r="P39385" s="5" t="s">
        <v>355</v>
      </c>
      <c r="Q39385" s="5" t="s">
        <v>355</v>
      </c>
    </row>
    <row r="39386" ht="16.5" customHeight="1">
      <c r="O39386" s="5" t="s">
        <v>355</v>
      </c>
      <c r="P39386" s="5" t="s">
        <v>355</v>
      </c>
      <c r="Q39386" s="5" t="s">
        <v>355</v>
      </c>
    </row>
    <row r="39387" ht="16.5" customHeight="1">
      <c r="O39387" s="5" t="s">
        <v>355</v>
      </c>
      <c r="P39387" s="5" t="s">
        <v>355</v>
      </c>
      <c r="Q39387" s="5" t="s">
        <v>355</v>
      </c>
    </row>
    <row r="39388" ht="16.5" customHeight="1">
      <c r="O39388" s="5" t="s">
        <v>355</v>
      </c>
      <c r="P39388" s="5" t="s">
        <v>355</v>
      </c>
      <c r="Q39388" s="5" t="s">
        <v>355</v>
      </c>
    </row>
    <row r="39389" ht="16.5" customHeight="1">
      <c r="O39389" s="5" t="s">
        <v>355</v>
      </c>
      <c r="P39389" s="5" t="s">
        <v>355</v>
      </c>
      <c r="Q39389" s="5" t="s">
        <v>355</v>
      </c>
    </row>
    <row r="39390" ht="16.5" customHeight="1">
      <c r="O39390" s="5" t="s">
        <v>355</v>
      </c>
      <c r="P39390" s="5" t="s">
        <v>355</v>
      </c>
      <c r="Q39390" s="5" t="s">
        <v>355</v>
      </c>
    </row>
    <row r="39391" ht="16.5" customHeight="1">
      <c r="O39391" s="5" t="s">
        <v>355</v>
      </c>
      <c r="P39391" s="5" t="s">
        <v>355</v>
      </c>
      <c r="Q39391" s="5" t="s">
        <v>355</v>
      </c>
    </row>
    <row r="39392" ht="16.5" customHeight="1">
      <c r="O39392" s="5" t="s">
        <v>355</v>
      </c>
      <c r="P39392" s="5" t="s">
        <v>355</v>
      </c>
      <c r="Q39392" s="5" t="s">
        <v>355</v>
      </c>
    </row>
    <row r="39393" ht="16.5" customHeight="1">
      <c r="O39393" s="5" t="s">
        <v>355</v>
      </c>
      <c r="P39393" s="5" t="s">
        <v>355</v>
      </c>
      <c r="Q39393" s="5" t="s">
        <v>355</v>
      </c>
    </row>
    <row r="39394" ht="16.5" customHeight="1">
      <c r="O39394" s="5" t="s">
        <v>355</v>
      </c>
      <c r="P39394" s="5" t="s">
        <v>355</v>
      </c>
      <c r="Q39394" s="5" t="s">
        <v>355</v>
      </c>
    </row>
    <row r="39395" ht="16.5" customHeight="1">
      <c r="O39395" s="5" t="s">
        <v>355</v>
      </c>
      <c r="P39395" s="5" t="s">
        <v>355</v>
      </c>
      <c r="Q39395" s="5" t="s">
        <v>355</v>
      </c>
    </row>
    <row r="39396" ht="16.5" customHeight="1">
      <c r="O39396" s="5" t="s">
        <v>355</v>
      </c>
      <c r="P39396" s="5" t="s">
        <v>355</v>
      </c>
      <c r="Q39396" s="5" t="s">
        <v>355</v>
      </c>
    </row>
    <row r="39397" ht="16.5" customHeight="1">
      <c r="O39397" s="5" t="s">
        <v>355</v>
      </c>
      <c r="P39397" s="5" t="s">
        <v>355</v>
      </c>
      <c r="Q39397" s="5" t="s">
        <v>355</v>
      </c>
    </row>
    <row r="39398" ht="16.5" customHeight="1">
      <c r="O39398" s="5" t="s">
        <v>355</v>
      </c>
      <c r="P39398" s="5" t="s">
        <v>355</v>
      </c>
      <c r="Q39398" s="5" t="s">
        <v>355</v>
      </c>
    </row>
    <row r="39399" ht="16.5" customHeight="1">
      <c r="O39399" s="5" t="s">
        <v>355</v>
      </c>
      <c r="P39399" s="5" t="s">
        <v>355</v>
      </c>
      <c r="Q39399" s="5" t="s">
        <v>355</v>
      </c>
    </row>
    <row r="39400" ht="16.5" customHeight="1">
      <c r="O39400" s="5" t="s">
        <v>355</v>
      </c>
      <c r="P39400" s="5" t="s">
        <v>355</v>
      </c>
      <c r="Q39400" s="5" t="s">
        <v>355</v>
      </c>
    </row>
    <row r="39401" ht="16.5" customHeight="1">
      <c r="O39401" s="5" t="s">
        <v>355</v>
      </c>
      <c r="P39401" s="5" t="s">
        <v>355</v>
      </c>
      <c r="Q39401" s="5" t="s">
        <v>355</v>
      </c>
    </row>
    <row r="39402" ht="16.5" customHeight="1">
      <c r="O39402" s="5" t="s">
        <v>355</v>
      </c>
      <c r="P39402" s="5" t="s">
        <v>355</v>
      </c>
      <c r="Q39402" s="5" t="s">
        <v>355</v>
      </c>
    </row>
    <row r="39403" ht="16.5" customHeight="1">
      <c r="O39403" s="5" t="s">
        <v>355</v>
      </c>
      <c r="P39403" s="5" t="s">
        <v>355</v>
      </c>
      <c r="Q39403" s="5" t="s">
        <v>355</v>
      </c>
    </row>
    <row r="39404" ht="16.5" customHeight="1">
      <c r="O39404" s="5" t="s">
        <v>355</v>
      </c>
      <c r="P39404" s="5" t="s">
        <v>355</v>
      </c>
      <c r="Q39404" s="5" t="s">
        <v>355</v>
      </c>
    </row>
    <row r="39405" ht="16.5" customHeight="1">
      <c r="O39405" s="5" t="s">
        <v>355</v>
      </c>
      <c r="P39405" s="5" t="s">
        <v>355</v>
      </c>
      <c r="Q39405" s="5" t="s">
        <v>355</v>
      </c>
    </row>
    <row r="39406" ht="16.5" customHeight="1">
      <c r="O39406" s="5" t="s">
        <v>355</v>
      </c>
      <c r="P39406" s="5" t="s">
        <v>355</v>
      </c>
      <c r="Q39406" s="5" t="s">
        <v>355</v>
      </c>
    </row>
    <row r="39407" ht="16.5" customHeight="1">
      <c r="O39407" s="5" t="s">
        <v>355</v>
      </c>
      <c r="P39407" s="5" t="s">
        <v>355</v>
      </c>
      <c r="Q39407" s="5" t="s">
        <v>355</v>
      </c>
    </row>
    <row r="39408" ht="16.5" customHeight="1">
      <c r="O39408" s="5" t="s">
        <v>355</v>
      </c>
      <c r="P39408" s="5" t="s">
        <v>355</v>
      </c>
      <c r="Q39408" s="5" t="s">
        <v>355</v>
      </c>
    </row>
    <row r="39409" ht="16.5" customHeight="1">
      <c r="O39409" s="5" t="s">
        <v>355</v>
      </c>
      <c r="P39409" s="5" t="s">
        <v>355</v>
      </c>
      <c r="Q39409" s="5" t="s">
        <v>355</v>
      </c>
    </row>
    <row r="39410" ht="16.5" customHeight="1">
      <c r="O39410" s="5" t="s">
        <v>355</v>
      </c>
      <c r="P39410" s="5" t="s">
        <v>355</v>
      </c>
      <c r="Q39410" s="5" t="s">
        <v>355</v>
      </c>
    </row>
    <row r="39411" ht="16.5" customHeight="1">
      <c r="O39411" s="5" t="s">
        <v>355</v>
      </c>
      <c r="P39411" s="5" t="s">
        <v>355</v>
      </c>
      <c r="Q39411" s="5" t="s">
        <v>355</v>
      </c>
    </row>
    <row r="39412" ht="16.5" customHeight="1">
      <c r="O39412" s="5" t="s">
        <v>355</v>
      </c>
      <c r="P39412" s="5" t="s">
        <v>355</v>
      </c>
      <c r="Q39412" s="5" t="s">
        <v>355</v>
      </c>
    </row>
    <row r="39413" ht="16.5" customHeight="1">
      <c r="O39413" s="5" t="s">
        <v>355</v>
      </c>
      <c r="P39413" s="5" t="s">
        <v>355</v>
      </c>
      <c r="Q39413" s="5" t="s">
        <v>355</v>
      </c>
    </row>
    <row r="39414" ht="16.5" customHeight="1">
      <c r="O39414" s="5" t="s">
        <v>355</v>
      </c>
      <c r="P39414" s="5" t="s">
        <v>355</v>
      </c>
      <c r="Q39414" s="5" t="s">
        <v>355</v>
      </c>
    </row>
    <row r="39415" ht="16.5" customHeight="1">
      <c r="O39415" s="5" t="s">
        <v>355</v>
      </c>
      <c r="P39415" s="5" t="s">
        <v>355</v>
      </c>
      <c r="Q39415" s="5" t="s">
        <v>355</v>
      </c>
    </row>
    <row r="39416" ht="16.5" customHeight="1">
      <c r="O39416" s="5" t="s">
        <v>355</v>
      </c>
      <c r="P39416" s="5" t="s">
        <v>355</v>
      </c>
      <c r="Q39416" s="5" t="s">
        <v>355</v>
      </c>
    </row>
    <row r="39417" ht="16.5" customHeight="1">
      <c r="O39417" s="5" t="s">
        <v>355</v>
      </c>
      <c r="P39417" s="5" t="s">
        <v>355</v>
      </c>
      <c r="Q39417" s="5" t="s">
        <v>355</v>
      </c>
    </row>
    <row r="39418" ht="16.5" customHeight="1">
      <c r="O39418" s="5" t="s">
        <v>355</v>
      </c>
      <c r="P39418" s="5" t="s">
        <v>355</v>
      </c>
      <c r="Q39418" s="5" t="s">
        <v>355</v>
      </c>
    </row>
    <row r="39419" ht="16.5" customHeight="1">
      <c r="O39419" s="5" t="s">
        <v>355</v>
      </c>
      <c r="P39419" s="5" t="s">
        <v>355</v>
      </c>
      <c r="Q39419" s="5" t="s">
        <v>355</v>
      </c>
    </row>
    <row r="39420" ht="16.5" customHeight="1">
      <c r="O39420" s="5" t="s">
        <v>355</v>
      </c>
      <c r="P39420" s="5" t="s">
        <v>355</v>
      </c>
      <c r="Q39420" s="5" t="s">
        <v>355</v>
      </c>
    </row>
    <row r="39421" ht="16.5" customHeight="1">
      <c r="O39421" s="5" t="s">
        <v>355</v>
      </c>
      <c r="P39421" s="5" t="s">
        <v>355</v>
      </c>
      <c r="Q39421" s="5" t="s">
        <v>355</v>
      </c>
    </row>
    <row r="39422" ht="16.5" customHeight="1">
      <c r="O39422" s="5" t="s">
        <v>355</v>
      </c>
      <c r="P39422" s="5" t="s">
        <v>355</v>
      </c>
      <c r="Q39422" s="5" t="s">
        <v>355</v>
      </c>
    </row>
    <row r="39423" ht="16.5" customHeight="1">
      <c r="O39423" s="5" t="s">
        <v>355</v>
      </c>
      <c r="P39423" s="5" t="s">
        <v>355</v>
      </c>
      <c r="Q39423" s="5" t="s">
        <v>355</v>
      </c>
    </row>
    <row r="39424" ht="16.5" customHeight="1">
      <c r="O39424" s="5" t="s">
        <v>355</v>
      </c>
      <c r="P39424" s="5" t="s">
        <v>355</v>
      </c>
      <c r="Q39424" s="5" t="s">
        <v>355</v>
      </c>
    </row>
    <row r="39425" ht="16.5" customHeight="1">
      <c r="O39425" s="5" t="s">
        <v>355</v>
      </c>
      <c r="P39425" s="5" t="s">
        <v>355</v>
      </c>
      <c r="Q39425" s="5" t="s">
        <v>355</v>
      </c>
    </row>
    <row r="39426" ht="16.5" customHeight="1">
      <c r="O39426" s="5" t="s">
        <v>355</v>
      </c>
      <c r="P39426" s="5" t="s">
        <v>355</v>
      </c>
      <c r="Q39426" s="5" t="s">
        <v>355</v>
      </c>
    </row>
    <row r="39427" ht="16.5" customHeight="1">
      <c r="O39427" s="5" t="s">
        <v>355</v>
      </c>
      <c r="P39427" s="5" t="s">
        <v>355</v>
      </c>
      <c r="Q39427" s="5" t="s">
        <v>355</v>
      </c>
    </row>
    <row r="39428" ht="16.5" customHeight="1">
      <c r="O39428" s="5" t="s">
        <v>355</v>
      </c>
      <c r="P39428" s="5" t="s">
        <v>355</v>
      </c>
      <c r="Q39428" s="5" t="s">
        <v>355</v>
      </c>
    </row>
    <row r="39429" ht="16.5" customHeight="1">
      <c r="O39429" s="5" t="s">
        <v>355</v>
      </c>
      <c r="P39429" s="5" t="s">
        <v>355</v>
      </c>
      <c r="Q39429" s="5" t="s">
        <v>355</v>
      </c>
    </row>
    <row r="39430" ht="16.5" customHeight="1">
      <c r="O39430" s="5" t="s">
        <v>355</v>
      </c>
      <c r="P39430" s="5" t="s">
        <v>355</v>
      </c>
      <c r="Q39430" s="5" t="s">
        <v>355</v>
      </c>
    </row>
    <row r="39431" ht="16.5" customHeight="1">
      <c r="O39431" s="5" t="s">
        <v>355</v>
      </c>
      <c r="P39431" s="5" t="s">
        <v>355</v>
      </c>
      <c r="Q39431" s="5" t="s">
        <v>355</v>
      </c>
    </row>
    <row r="39432" ht="16.5" customHeight="1">
      <c r="O39432" s="5" t="s">
        <v>355</v>
      </c>
      <c r="P39432" s="5" t="s">
        <v>355</v>
      </c>
      <c r="Q39432" s="5" t="s">
        <v>355</v>
      </c>
    </row>
    <row r="39433" ht="16.5" customHeight="1">
      <c r="O39433" s="5" t="s">
        <v>355</v>
      </c>
      <c r="P39433" s="5" t="s">
        <v>355</v>
      </c>
      <c r="Q39433" s="5" t="s">
        <v>355</v>
      </c>
    </row>
    <row r="39434" ht="16.5" customHeight="1">
      <c r="O39434" s="5" t="s">
        <v>355</v>
      </c>
      <c r="P39434" s="5" t="s">
        <v>355</v>
      </c>
      <c r="Q39434" s="5" t="s">
        <v>355</v>
      </c>
    </row>
    <row r="39435" ht="16.5" customHeight="1">
      <c r="O39435" s="5" t="s">
        <v>355</v>
      </c>
      <c r="P39435" s="5" t="s">
        <v>355</v>
      </c>
      <c r="Q39435" s="5" t="s">
        <v>355</v>
      </c>
    </row>
    <row r="39436" ht="16.5" customHeight="1">
      <c r="O39436" s="5" t="s">
        <v>355</v>
      </c>
      <c r="P39436" s="5" t="s">
        <v>355</v>
      </c>
      <c r="Q39436" s="5" t="s">
        <v>355</v>
      </c>
    </row>
    <row r="39437" ht="16.5" customHeight="1">
      <c r="O39437" s="5" t="s">
        <v>355</v>
      </c>
      <c r="P39437" s="5" t="s">
        <v>355</v>
      </c>
      <c r="Q39437" s="5" t="s">
        <v>355</v>
      </c>
    </row>
    <row r="39438" ht="16.5" customHeight="1">
      <c r="O39438" s="5" t="s">
        <v>355</v>
      </c>
      <c r="P39438" s="5" t="s">
        <v>355</v>
      </c>
      <c r="Q39438" s="5" t="s">
        <v>355</v>
      </c>
    </row>
    <row r="39439" ht="16.5" customHeight="1">
      <c r="O39439" s="5" t="s">
        <v>355</v>
      </c>
      <c r="P39439" s="5" t="s">
        <v>355</v>
      </c>
      <c r="Q39439" s="5" t="s">
        <v>355</v>
      </c>
    </row>
    <row r="39440" ht="16.5" customHeight="1">
      <c r="O39440" s="5" t="s">
        <v>355</v>
      </c>
      <c r="P39440" s="5" t="s">
        <v>355</v>
      </c>
      <c r="Q39440" s="5" t="s">
        <v>355</v>
      </c>
    </row>
    <row r="39441" ht="16.5" customHeight="1">
      <c r="O39441" s="5" t="s">
        <v>355</v>
      </c>
      <c r="P39441" s="5" t="s">
        <v>355</v>
      </c>
      <c r="Q39441" s="5" t="s">
        <v>355</v>
      </c>
    </row>
    <row r="39442" ht="16.5" customHeight="1">
      <c r="O39442" s="5" t="s">
        <v>355</v>
      </c>
      <c r="P39442" s="5" t="s">
        <v>355</v>
      </c>
      <c r="Q39442" s="5" t="s">
        <v>355</v>
      </c>
    </row>
    <row r="39443" ht="16.5" customHeight="1">
      <c r="O39443" s="5" t="s">
        <v>355</v>
      </c>
      <c r="P39443" s="5" t="s">
        <v>355</v>
      </c>
      <c r="Q39443" s="5" t="s">
        <v>355</v>
      </c>
    </row>
    <row r="39444" ht="16.5" customHeight="1">
      <c r="O39444" s="5" t="s">
        <v>355</v>
      </c>
      <c r="P39444" s="5" t="s">
        <v>355</v>
      </c>
      <c r="Q39444" s="5" t="s">
        <v>355</v>
      </c>
    </row>
    <row r="39445" ht="16.5" customHeight="1">
      <c r="O39445" s="5" t="s">
        <v>355</v>
      </c>
      <c r="P39445" s="5" t="s">
        <v>355</v>
      </c>
      <c r="Q39445" s="5" t="s">
        <v>355</v>
      </c>
    </row>
    <row r="39446" ht="16.5" customHeight="1">
      <c r="O39446" s="5" t="s">
        <v>355</v>
      </c>
      <c r="P39446" s="5" t="s">
        <v>355</v>
      </c>
      <c r="Q39446" s="5" t="s">
        <v>355</v>
      </c>
    </row>
    <row r="39447" ht="16.5" customHeight="1">
      <c r="O39447" s="5" t="s">
        <v>355</v>
      </c>
      <c r="P39447" s="5" t="s">
        <v>355</v>
      </c>
      <c r="Q39447" s="5" t="s">
        <v>355</v>
      </c>
    </row>
    <row r="39448" ht="16.5" customHeight="1">
      <c r="O39448" s="5" t="s">
        <v>355</v>
      </c>
      <c r="P39448" s="5" t="s">
        <v>355</v>
      </c>
      <c r="Q39448" s="5" t="s">
        <v>355</v>
      </c>
    </row>
    <row r="39449" ht="16.5" customHeight="1">
      <c r="O39449" s="5" t="s">
        <v>355</v>
      </c>
      <c r="P39449" s="5" t="s">
        <v>355</v>
      </c>
      <c r="Q39449" s="5" t="s">
        <v>355</v>
      </c>
    </row>
    <row r="39450" ht="16.5" customHeight="1">
      <c r="O39450" s="5" t="s">
        <v>355</v>
      </c>
      <c r="P39450" s="5" t="s">
        <v>355</v>
      </c>
      <c r="Q39450" s="5" t="s">
        <v>355</v>
      </c>
    </row>
    <row r="39451" ht="16.5" customHeight="1">
      <c r="O39451" s="5" t="s">
        <v>355</v>
      </c>
      <c r="P39451" s="5" t="s">
        <v>355</v>
      </c>
      <c r="Q39451" s="5" t="s">
        <v>355</v>
      </c>
    </row>
    <row r="39452" ht="16.5" customHeight="1">
      <c r="O39452" s="5" t="s">
        <v>355</v>
      </c>
      <c r="P39452" s="5" t="s">
        <v>355</v>
      </c>
      <c r="Q39452" s="5" t="s">
        <v>355</v>
      </c>
    </row>
    <row r="39453" ht="16.5" customHeight="1">
      <c r="O39453" s="5" t="s">
        <v>355</v>
      </c>
      <c r="P39453" s="5" t="s">
        <v>355</v>
      </c>
      <c r="Q39453" s="5" t="s">
        <v>355</v>
      </c>
    </row>
    <row r="39454" ht="16.5" customHeight="1">
      <c r="O39454" s="5" t="s">
        <v>355</v>
      </c>
      <c r="P39454" s="5" t="s">
        <v>355</v>
      </c>
      <c r="Q39454" s="5" t="s">
        <v>355</v>
      </c>
    </row>
    <row r="39455" ht="16.5" customHeight="1">
      <c r="O39455" s="5" t="s">
        <v>355</v>
      </c>
      <c r="P39455" s="5" t="s">
        <v>355</v>
      </c>
      <c r="Q39455" s="5" t="s">
        <v>355</v>
      </c>
    </row>
    <row r="39456" ht="16.5" customHeight="1">
      <c r="O39456" s="5" t="s">
        <v>355</v>
      </c>
      <c r="P39456" s="5" t="s">
        <v>355</v>
      </c>
      <c r="Q39456" s="5" t="s">
        <v>355</v>
      </c>
    </row>
    <row r="39457" ht="16.5" customHeight="1">
      <c r="O39457" s="5" t="s">
        <v>355</v>
      </c>
      <c r="P39457" s="5" t="s">
        <v>355</v>
      </c>
      <c r="Q39457" s="5" t="s">
        <v>355</v>
      </c>
    </row>
    <row r="39458" ht="16.5" customHeight="1">
      <c r="O39458" s="5" t="s">
        <v>355</v>
      </c>
      <c r="P39458" s="5" t="s">
        <v>355</v>
      </c>
      <c r="Q39458" s="5" t="s">
        <v>355</v>
      </c>
    </row>
    <row r="39459" ht="16.5" customHeight="1">
      <c r="O39459" s="5" t="s">
        <v>355</v>
      </c>
      <c r="P39459" s="5" t="s">
        <v>355</v>
      </c>
      <c r="Q39459" s="5" t="s">
        <v>355</v>
      </c>
    </row>
    <row r="39460" ht="16.5" customHeight="1">
      <c r="O39460" s="5" t="s">
        <v>355</v>
      </c>
      <c r="P39460" s="5" t="s">
        <v>355</v>
      </c>
      <c r="Q39460" s="5" t="s">
        <v>355</v>
      </c>
    </row>
    <row r="39461" ht="16.5" customHeight="1">
      <c r="O39461" s="5" t="s">
        <v>355</v>
      </c>
      <c r="P39461" s="5" t="s">
        <v>355</v>
      </c>
      <c r="Q39461" s="5" t="s">
        <v>355</v>
      </c>
    </row>
    <row r="39462" ht="16.5" customHeight="1">
      <c r="O39462" s="5" t="s">
        <v>355</v>
      </c>
      <c r="P39462" s="5" t="s">
        <v>355</v>
      </c>
      <c r="Q39462" s="5" t="s">
        <v>355</v>
      </c>
    </row>
    <row r="39463" ht="16.5" customHeight="1">
      <c r="O39463" s="5" t="s">
        <v>355</v>
      </c>
      <c r="P39463" s="5" t="s">
        <v>355</v>
      </c>
      <c r="Q39463" s="5" t="s">
        <v>355</v>
      </c>
    </row>
    <row r="39464" ht="16.5" customHeight="1">
      <c r="O39464" s="5" t="s">
        <v>355</v>
      </c>
      <c r="P39464" s="5" t="s">
        <v>355</v>
      </c>
      <c r="Q39464" s="5" t="s">
        <v>355</v>
      </c>
    </row>
    <row r="39465" ht="16.5" customHeight="1">
      <c r="O39465" s="5" t="s">
        <v>355</v>
      </c>
      <c r="P39465" s="5" t="s">
        <v>355</v>
      </c>
      <c r="Q39465" s="5" t="s">
        <v>355</v>
      </c>
    </row>
    <row r="39466" ht="16.5" customHeight="1">
      <c r="O39466" s="5" t="s">
        <v>355</v>
      </c>
      <c r="P39466" s="5" t="s">
        <v>355</v>
      </c>
      <c r="Q39466" s="5" t="s">
        <v>355</v>
      </c>
    </row>
    <row r="39467" ht="16.5" customHeight="1">
      <c r="O39467" s="5" t="s">
        <v>355</v>
      </c>
      <c r="P39467" s="5" t="s">
        <v>355</v>
      </c>
      <c r="Q39467" s="5" t="s">
        <v>355</v>
      </c>
    </row>
    <row r="39468" ht="16.5" customHeight="1">
      <c r="O39468" s="5" t="s">
        <v>355</v>
      </c>
      <c r="P39468" s="5" t="s">
        <v>355</v>
      </c>
      <c r="Q39468" s="5" t="s">
        <v>355</v>
      </c>
    </row>
    <row r="39469" ht="16.5" customHeight="1">
      <c r="O39469" s="5" t="s">
        <v>355</v>
      </c>
      <c r="P39469" s="5" t="s">
        <v>355</v>
      </c>
      <c r="Q39469" s="5" t="s">
        <v>355</v>
      </c>
    </row>
    <row r="39470" ht="16.5" customHeight="1">
      <c r="O39470" s="5" t="s">
        <v>355</v>
      </c>
      <c r="P39470" s="5" t="s">
        <v>355</v>
      </c>
      <c r="Q39470" s="5" t="s">
        <v>355</v>
      </c>
    </row>
    <row r="39471" ht="16.5" customHeight="1">
      <c r="O39471" s="5" t="s">
        <v>355</v>
      </c>
      <c r="P39471" s="5" t="s">
        <v>355</v>
      </c>
      <c r="Q39471" s="5" t="s">
        <v>355</v>
      </c>
    </row>
    <row r="39472" ht="16.5" customHeight="1">
      <c r="O39472" s="5" t="s">
        <v>355</v>
      </c>
      <c r="P39472" s="5" t="s">
        <v>355</v>
      </c>
      <c r="Q39472" s="5" t="s">
        <v>355</v>
      </c>
    </row>
    <row r="39473" ht="16.5" customHeight="1">
      <c r="O39473" s="5" t="s">
        <v>355</v>
      </c>
      <c r="P39473" s="5" t="s">
        <v>355</v>
      </c>
      <c r="Q39473" s="5" t="s">
        <v>355</v>
      </c>
    </row>
    <row r="39474" ht="16.5" customHeight="1">
      <c r="O39474" s="5" t="s">
        <v>355</v>
      </c>
      <c r="P39474" s="5" t="s">
        <v>355</v>
      </c>
      <c r="Q39474" s="5" t="s">
        <v>355</v>
      </c>
    </row>
    <row r="39475" ht="16.5" customHeight="1">
      <c r="O39475" s="5" t="s">
        <v>355</v>
      </c>
      <c r="P39475" s="5" t="s">
        <v>355</v>
      </c>
      <c r="Q39475" s="5" t="s">
        <v>355</v>
      </c>
    </row>
    <row r="39476" ht="16.5" customHeight="1">
      <c r="O39476" s="5" t="s">
        <v>355</v>
      </c>
      <c r="P39476" s="5" t="s">
        <v>355</v>
      </c>
      <c r="Q39476" s="5" t="s">
        <v>355</v>
      </c>
    </row>
    <row r="39477" ht="16.5" customHeight="1">
      <c r="O39477" s="5" t="s">
        <v>355</v>
      </c>
      <c r="P39477" s="5" t="s">
        <v>355</v>
      </c>
      <c r="Q39477" s="5" t="s">
        <v>355</v>
      </c>
    </row>
    <row r="39478" ht="16.5" customHeight="1">
      <c r="O39478" s="5" t="s">
        <v>355</v>
      </c>
      <c r="P39478" s="5" t="s">
        <v>355</v>
      </c>
      <c r="Q39478" s="5" t="s">
        <v>355</v>
      </c>
    </row>
    <row r="39479" ht="16.5" customHeight="1">
      <c r="O39479" s="5" t="s">
        <v>355</v>
      </c>
      <c r="P39479" s="5" t="s">
        <v>355</v>
      </c>
      <c r="Q39479" s="5" t="s">
        <v>355</v>
      </c>
    </row>
    <row r="39480" ht="16.5" customHeight="1">
      <c r="O39480" s="5" t="s">
        <v>355</v>
      </c>
      <c r="P39480" s="5" t="s">
        <v>355</v>
      </c>
      <c r="Q39480" s="5" t="s">
        <v>355</v>
      </c>
    </row>
    <row r="39481" ht="16.5" customHeight="1">
      <c r="O39481" s="5" t="s">
        <v>355</v>
      </c>
      <c r="P39481" s="5" t="s">
        <v>355</v>
      </c>
      <c r="Q39481" s="5" t="s">
        <v>355</v>
      </c>
    </row>
    <row r="39482" ht="16.5" customHeight="1">
      <c r="O39482" s="5" t="s">
        <v>355</v>
      </c>
      <c r="P39482" s="5" t="s">
        <v>355</v>
      </c>
      <c r="Q39482" s="5" t="s">
        <v>355</v>
      </c>
    </row>
    <row r="39483" ht="16.5" customHeight="1">
      <c r="O39483" s="5" t="s">
        <v>355</v>
      </c>
      <c r="P39483" s="5" t="s">
        <v>355</v>
      </c>
      <c r="Q39483" s="5" t="s">
        <v>355</v>
      </c>
    </row>
    <row r="39484" ht="16.5" customHeight="1">
      <c r="O39484" s="5" t="s">
        <v>355</v>
      </c>
      <c r="P39484" s="5" t="s">
        <v>355</v>
      </c>
      <c r="Q39484" s="5" t="s">
        <v>355</v>
      </c>
    </row>
    <row r="39485" ht="16.5" customHeight="1">
      <c r="O39485" s="5" t="s">
        <v>355</v>
      </c>
      <c r="P39485" s="5" t="s">
        <v>355</v>
      </c>
      <c r="Q39485" s="5" t="s">
        <v>355</v>
      </c>
    </row>
    <row r="39486" ht="16.5" customHeight="1">
      <c r="O39486" s="5" t="s">
        <v>355</v>
      </c>
      <c r="P39486" s="5" t="s">
        <v>355</v>
      </c>
      <c r="Q39486" s="5" t="s">
        <v>355</v>
      </c>
    </row>
    <row r="39487" ht="16.5" customHeight="1">
      <c r="O39487" s="5" t="s">
        <v>355</v>
      </c>
      <c r="P39487" s="5" t="s">
        <v>355</v>
      </c>
      <c r="Q39487" s="5" t="s">
        <v>355</v>
      </c>
    </row>
    <row r="39488" ht="16.5" customHeight="1">
      <c r="O39488" s="5" t="s">
        <v>355</v>
      </c>
      <c r="P39488" s="5" t="s">
        <v>355</v>
      </c>
      <c r="Q39488" s="5" t="s">
        <v>355</v>
      </c>
    </row>
    <row r="39489" ht="16.5" customHeight="1">
      <c r="O39489" s="5" t="s">
        <v>355</v>
      </c>
      <c r="P39489" s="5" t="s">
        <v>355</v>
      </c>
      <c r="Q39489" s="5" t="s">
        <v>355</v>
      </c>
    </row>
    <row r="39490" ht="16.5" customHeight="1">
      <c r="O39490" s="5" t="s">
        <v>355</v>
      </c>
      <c r="P39490" s="5" t="s">
        <v>355</v>
      </c>
      <c r="Q39490" s="5" t="s">
        <v>355</v>
      </c>
    </row>
    <row r="39491" ht="16.5" customHeight="1">
      <c r="O39491" s="5" t="s">
        <v>355</v>
      </c>
      <c r="P39491" s="5" t="s">
        <v>355</v>
      </c>
      <c r="Q39491" s="5" t="s">
        <v>355</v>
      </c>
    </row>
    <row r="39492" ht="16.5" customHeight="1">
      <c r="O39492" s="5" t="s">
        <v>355</v>
      </c>
      <c r="P39492" s="5" t="s">
        <v>355</v>
      </c>
      <c r="Q39492" s="5" t="s">
        <v>355</v>
      </c>
    </row>
    <row r="39493" ht="16.5" customHeight="1">
      <c r="O39493" s="5" t="s">
        <v>355</v>
      </c>
      <c r="P39493" s="5" t="s">
        <v>355</v>
      </c>
      <c r="Q39493" s="5" t="s">
        <v>355</v>
      </c>
    </row>
    <row r="39494" ht="16.5" customHeight="1">
      <c r="O39494" s="5" t="s">
        <v>355</v>
      </c>
      <c r="P39494" s="5" t="s">
        <v>355</v>
      </c>
      <c r="Q39494" s="5" t="s">
        <v>355</v>
      </c>
    </row>
    <row r="39495" ht="16.5" customHeight="1">
      <c r="O39495" s="5" t="s">
        <v>355</v>
      </c>
      <c r="P39495" s="5" t="s">
        <v>355</v>
      </c>
      <c r="Q39495" s="5" t="s">
        <v>355</v>
      </c>
    </row>
    <row r="39496" ht="16.5" customHeight="1">
      <c r="O39496" s="5" t="s">
        <v>355</v>
      </c>
      <c r="P39496" s="5" t="s">
        <v>355</v>
      </c>
      <c r="Q39496" s="5" t="s">
        <v>355</v>
      </c>
    </row>
    <row r="39497" ht="16.5" customHeight="1">
      <c r="O39497" s="5" t="s">
        <v>355</v>
      </c>
      <c r="P39497" s="5" t="s">
        <v>355</v>
      </c>
      <c r="Q39497" s="5" t="s">
        <v>355</v>
      </c>
    </row>
    <row r="39498" ht="16.5" customHeight="1">
      <c r="O39498" s="5" t="s">
        <v>355</v>
      </c>
      <c r="P39498" s="5" t="s">
        <v>355</v>
      </c>
      <c r="Q39498" s="5" t="s">
        <v>355</v>
      </c>
    </row>
    <row r="39499" ht="16.5" customHeight="1">
      <c r="O39499" s="5" t="s">
        <v>355</v>
      </c>
      <c r="P39499" s="5" t="s">
        <v>355</v>
      </c>
      <c r="Q39499" s="5" t="s">
        <v>355</v>
      </c>
    </row>
    <row r="39500" ht="16.5" customHeight="1">
      <c r="O39500" s="5" t="s">
        <v>355</v>
      </c>
      <c r="P39500" s="5" t="s">
        <v>355</v>
      </c>
      <c r="Q39500" s="5" t="s">
        <v>355</v>
      </c>
    </row>
    <row r="39501" ht="16.5" customHeight="1">
      <c r="O39501" s="5" t="s">
        <v>355</v>
      </c>
      <c r="P39501" s="5" t="s">
        <v>355</v>
      </c>
      <c r="Q39501" s="5" t="s">
        <v>355</v>
      </c>
    </row>
    <row r="39502" ht="16.5" customHeight="1">
      <c r="O39502" s="5" t="s">
        <v>355</v>
      </c>
      <c r="P39502" s="5" t="s">
        <v>355</v>
      </c>
      <c r="Q39502" s="5" t="s">
        <v>355</v>
      </c>
    </row>
    <row r="39503" ht="16.5" customHeight="1">
      <c r="O39503" s="5" t="s">
        <v>355</v>
      </c>
      <c r="P39503" s="5" t="s">
        <v>355</v>
      </c>
      <c r="Q39503" s="5" t="s">
        <v>355</v>
      </c>
    </row>
    <row r="39504" ht="16.5" customHeight="1">
      <c r="O39504" s="5" t="s">
        <v>355</v>
      </c>
      <c r="P39504" s="5" t="s">
        <v>355</v>
      </c>
      <c r="Q39504" s="5" t="s">
        <v>355</v>
      </c>
    </row>
    <row r="39505" ht="16.5" customHeight="1">
      <c r="O39505" s="5" t="s">
        <v>355</v>
      </c>
      <c r="P39505" s="5" t="s">
        <v>355</v>
      </c>
      <c r="Q39505" s="5" t="s">
        <v>355</v>
      </c>
    </row>
    <row r="39506" ht="16.5" customHeight="1">
      <c r="O39506" s="5" t="s">
        <v>355</v>
      </c>
      <c r="P39506" s="5" t="s">
        <v>355</v>
      </c>
      <c r="Q39506" s="5" t="s">
        <v>355</v>
      </c>
    </row>
    <row r="39507" ht="16.5" customHeight="1">
      <c r="O39507" s="5" t="s">
        <v>355</v>
      </c>
      <c r="P39507" s="5" t="s">
        <v>355</v>
      </c>
      <c r="Q39507" s="5" t="s">
        <v>355</v>
      </c>
    </row>
    <row r="39508" ht="16.5" customHeight="1">
      <c r="O39508" s="5" t="s">
        <v>355</v>
      </c>
      <c r="P39508" s="5" t="s">
        <v>355</v>
      </c>
      <c r="Q39508" s="5" t="s">
        <v>355</v>
      </c>
    </row>
    <row r="39509" ht="16.5" customHeight="1">
      <c r="O39509" s="5" t="s">
        <v>355</v>
      </c>
      <c r="P39509" s="5" t="s">
        <v>355</v>
      </c>
      <c r="Q39509" s="5" t="s">
        <v>355</v>
      </c>
    </row>
    <row r="39510" ht="16.5" customHeight="1">
      <c r="O39510" s="5" t="s">
        <v>355</v>
      </c>
      <c r="P39510" s="5" t="s">
        <v>355</v>
      </c>
      <c r="Q39510" s="5" t="s">
        <v>355</v>
      </c>
    </row>
    <row r="39511" ht="16.5" customHeight="1">
      <c r="O39511" s="5" t="s">
        <v>355</v>
      </c>
      <c r="P39511" s="5" t="s">
        <v>355</v>
      </c>
      <c r="Q39511" s="5" t="s">
        <v>355</v>
      </c>
    </row>
    <row r="39512" ht="16.5" customHeight="1">
      <c r="O39512" s="5" t="s">
        <v>355</v>
      </c>
      <c r="P39512" s="5" t="s">
        <v>355</v>
      </c>
      <c r="Q39512" s="5" t="s">
        <v>355</v>
      </c>
    </row>
    <row r="39513" ht="16.5" customHeight="1">
      <c r="O39513" s="5" t="s">
        <v>355</v>
      </c>
      <c r="P39513" s="5" t="s">
        <v>355</v>
      </c>
      <c r="Q39513" s="5" t="s">
        <v>355</v>
      </c>
    </row>
    <row r="39514" ht="16.5" customHeight="1">
      <c r="O39514" s="5" t="s">
        <v>355</v>
      </c>
      <c r="P39514" s="5" t="s">
        <v>355</v>
      </c>
      <c r="Q39514" s="5" t="s">
        <v>355</v>
      </c>
    </row>
    <row r="39515" ht="16.5" customHeight="1">
      <c r="O39515" s="5" t="s">
        <v>355</v>
      </c>
      <c r="P39515" s="5" t="s">
        <v>355</v>
      </c>
      <c r="Q39515" s="5" t="s">
        <v>355</v>
      </c>
    </row>
    <row r="39516" ht="16.5" customHeight="1">
      <c r="O39516" s="5" t="s">
        <v>355</v>
      </c>
      <c r="P39516" s="5" t="s">
        <v>355</v>
      </c>
      <c r="Q39516" s="5" t="s">
        <v>355</v>
      </c>
    </row>
    <row r="39517" ht="16.5" customHeight="1">
      <c r="O39517" s="5" t="s">
        <v>355</v>
      </c>
      <c r="P39517" s="5" t="s">
        <v>355</v>
      </c>
      <c r="Q39517" s="5" t="s">
        <v>355</v>
      </c>
    </row>
    <row r="39518" ht="16.5" customHeight="1">
      <c r="O39518" s="5" t="s">
        <v>355</v>
      </c>
      <c r="P39518" s="5" t="s">
        <v>355</v>
      </c>
      <c r="Q39518" s="5" t="s">
        <v>355</v>
      </c>
    </row>
    <row r="39519" ht="16.5" customHeight="1">
      <c r="O39519" s="5" t="s">
        <v>355</v>
      </c>
      <c r="P39519" s="5" t="s">
        <v>355</v>
      </c>
      <c r="Q39519" s="5" t="s">
        <v>355</v>
      </c>
    </row>
    <row r="39520" ht="16.5" customHeight="1">
      <c r="O39520" s="5" t="s">
        <v>355</v>
      </c>
      <c r="P39520" s="5" t="s">
        <v>355</v>
      </c>
      <c r="Q39520" s="5" t="s">
        <v>355</v>
      </c>
    </row>
    <row r="39521" ht="16.5" customHeight="1">
      <c r="O39521" s="5" t="s">
        <v>355</v>
      </c>
      <c r="P39521" s="5" t="s">
        <v>355</v>
      </c>
      <c r="Q39521" s="5" t="s">
        <v>355</v>
      </c>
    </row>
    <row r="39522" ht="16.5" customHeight="1">
      <c r="O39522" s="5" t="s">
        <v>355</v>
      </c>
      <c r="P39522" s="5" t="s">
        <v>355</v>
      </c>
      <c r="Q39522" s="5" t="s">
        <v>355</v>
      </c>
    </row>
    <row r="39523" ht="16.5" customHeight="1">
      <c r="O39523" s="5" t="s">
        <v>355</v>
      </c>
      <c r="P39523" s="5" t="s">
        <v>355</v>
      </c>
      <c r="Q39523" s="5" t="s">
        <v>355</v>
      </c>
    </row>
    <row r="39524" ht="16.5" customHeight="1">
      <c r="O39524" s="5" t="s">
        <v>355</v>
      </c>
      <c r="P39524" s="5" t="s">
        <v>355</v>
      </c>
      <c r="Q39524" s="5" t="s">
        <v>355</v>
      </c>
    </row>
    <row r="39525" ht="16.5" customHeight="1">
      <c r="O39525" s="5" t="s">
        <v>355</v>
      </c>
      <c r="P39525" s="5" t="s">
        <v>355</v>
      </c>
      <c r="Q39525" s="5" t="s">
        <v>355</v>
      </c>
    </row>
    <row r="39526" ht="16.5" customHeight="1">
      <c r="O39526" s="5" t="s">
        <v>355</v>
      </c>
      <c r="P39526" s="5" t="s">
        <v>355</v>
      </c>
      <c r="Q39526" s="5" t="s">
        <v>355</v>
      </c>
    </row>
    <row r="39527" ht="16.5" customHeight="1">
      <c r="O39527" s="5" t="s">
        <v>355</v>
      </c>
      <c r="P39527" s="5" t="s">
        <v>355</v>
      </c>
      <c r="Q39527" s="5" t="s">
        <v>355</v>
      </c>
    </row>
    <row r="39528" ht="16.5" customHeight="1">
      <c r="O39528" s="5" t="s">
        <v>355</v>
      </c>
      <c r="P39528" s="5" t="s">
        <v>355</v>
      </c>
      <c r="Q39528" s="5" t="s">
        <v>355</v>
      </c>
    </row>
    <row r="39529" ht="16.5" customHeight="1">
      <c r="O39529" s="5" t="s">
        <v>355</v>
      </c>
      <c r="P39529" s="5" t="s">
        <v>355</v>
      </c>
      <c r="Q39529" s="5" t="s">
        <v>355</v>
      </c>
    </row>
    <row r="39530" ht="16.5" customHeight="1">
      <c r="O39530" s="5" t="s">
        <v>355</v>
      </c>
      <c r="P39530" s="5" t="s">
        <v>355</v>
      </c>
      <c r="Q39530" s="5" t="s">
        <v>355</v>
      </c>
    </row>
    <row r="39531" ht="16.5" customHeight="1">
      <c r="O39531" s="5" t="s">
        <v>355</v>
      </c>
      <c r="P39531" s="5" t="s">
        <v>355</v>
      </c>
      <c r="Q39531" s="5" t="s">
        <v>355</v>
      </c>
    </row>
    <row r="39532" ht="16.5" customHeight="1">
      <c r="O39532" s="5" t="s">
        <v>355</v>
      </c>
      <c r="P39532" s="5" t="s">
        <v>355</v>
      </c>
      <c r="Q39532" s="5" t="s">
        <v>355</v>
      </c>
    </row>
    <row r="39533" ht="16.5" customHeight="1">
      <c r="O39533" s="5" t="s">
        <v>355</v>
      </c>
      <c r="P39533" s="5" t="s">
        <v>355</v>
      </c>
      <c r="Q39533" s="5" t="s">
        <v>355</v>
      </c>
    </row>
    <row r="39534" ht="16.5" customHeight="1">
      <c r="O39534" s="5" t="s">
        <v>355</v>
      </c>
      <c r="P39534" s="5" t="s">
        <v>355</v>
      </c>
      <c r="Q39534" s="5" t="s">
        <v>355</v>
      </c>
    </row>
    <row r="39535" ht="16.5" customHeight="1">
      <c r="O39535" s="5" t="s">
        <v>355</v>
      </c>
      <c r="P39535" s="5" t="s">
        <v>355</v>
      </c>
      <c r="Q39535" s="5" t="s">
        <v>355</v>
      </c>
    </row>
    <row r="39536" ht="16.5" customHeight="1">
      <c r="O39536" s="5" t="s">
        <v>355</v>
      </c>
      <c r="P39536" s="5" t="s">
        <v>355</v>
      </c>
      <c r="Q39536" s="5" t="s">
        <v>355</v>
      </c>
    </row>
    <row r="39537" ht="16.5" customHeight="1">
      <c r="O39537" s="5" t="s">
        <v>355</v>
      </c>
      <c r="P39537" s="5" t="s">
        <v>355</v>
      </c>
      <c r="Q39537" s="5" t="s">
        <v>355</v>
      </c>
    </row>
    <row r="39538" ht="16.5" customHeight="1">
      <c r="O39538" s="5" t="s">
        <v>355</v>
      </c>
      <c r="P39538" s="5" t="s">
        <v>355</v>
      </c>
      <c r="Q39538" s="5" t="s">
        <v>355</v>
      </c>
    </row>
    <row r="39539" ht="16.5" customHeight="1">
      <c r="O39539" s="5" t="s">
        <v>355</v>
      </c>
      <c r="P39539" s="5" t="s">
        <v>355</v>
      </c>
      <c r="Q39539" s="5" t="s">
        <v>355</v>
      </c>
    </row>
    <row r="39540" ht="16.5" customHeight="1">
      <c r="O39540" s="5" t="s">
        <v>355</v>
      </c>
      <c r="P39540" s="5" t="s">
        <v>355</v>
      </c>
      <c r="Q39540" s="5" t="s">
        <v>355</v>
      </c>
    </row>
    <row r="39541" ht="16.5" customHeight="1">
      <c r="O39541" s="5" t="s">
        <v>355</v>
      </c>
      <c r="P39541" s="5" t="s">
        <v>355</v>
      </c>
      <c r="Q39541" s="5" t="s">
        <v>355</v>
      </c>
    </row>
    <row r="39542" ht="16.5" customHeight="1">
      <c r="O39542" s="5" t="s">
        <v>355</v>
      </c>
      <c r="P39542" s="5" t="s">
        <v>355</v>
      </c>
      <c r="Q39542" s="5" t="s">
        <v>355</v>
      </c>
    </row>
    <row r="39543" ht="16.5" customHeight="1">
      <c r="O39543" s="5" t="s">
        <v>355</v>
      </c>
      <c r="P39543" s="5" t="s">
        <v>355</v>
      </c>
      <c r="Q39543" s="5" t="s">
        <v>355</v>
      </c>
    </row>
    <row r="39544" ht="16.5" customHeight="1">
      <c r="O39544" s="5" t="s">
        <v>355</v>
      </c>
      <c r="P39544" s="5" t="s">
        <v>355</v>
      </c>
      <c r="Q39544" s="5" t="s">
        <v>355</v>
      </c>
    </row>
    <row r="39545" ht="16.5" customHeight="1">
      <c r="O39545" s="5" t="s">
        <v>355</v>
      </c>
      <c r="P39545" s="5" t="s">
        <v>355</v>
      </c>
      <c r="Q39545" s="5" t="s">
        <v>355</v>
      </c>
    </row>
    <row r="39546" ht="16.5" customHeight="1">
      <c r="O39546" s="5" t="s">
        <v>355</v>
      </c>
      <c r="P39546" s="5" t="s">
        <v>355</v>
      </c>
      <c r="Q39546" s="5" t="s">
        <v>355</v>
      </c>
    </row>
    <row r="39547" ht="16.5" customHeight="1">
      <c r="O39547" s="5" t="s">
        <v>355</v>
      </c>
      <c r="P39547" s="5" t="s">
        <v>355</v>
      </c>
      <c r="Q39547" s="5" t="s">
        <v>355</v>
      </c>
    </row>
    <row r="39548" ht="16.5" customHeight="1">
      <c r="O39548" s="5" t="s">
        <v>355</v>
      </c>
      <c r="P39548" s="5" t="s">
        <v>355</v>
      </c>
      <c r="Q39548" s="5" t="s">
        <v>355</v>
      </c>
    </row>
    <row r="39549" ht="16.5" customHeight="1">
      <c r="O39549" s="5" t="s">
        <v>355</v>
      </c>
      <c r="P39549" s="5" t="s">
        <v>355</v>
      </c>
      <c r="Q39549" s="5" t="s">
        <v>355</v>
      </c>
    </row>
    <row r="39550" ht="16.5" customHeight="1">
      <c r="O39550" s="5" t="s">
        <v>355</v>
      </c>
      <c r="P39550" s="5" t="s">
        <v>355</v>
      </c>
      <c r="Q39550" s="5" t="s">
        <v>355</v>
      </c>
    </row>
    <row r="39551" ht="16.5" customHeight="1">
      <c r="O39551" s="5" t="s">
        <v>355</v>
      </c>
      <c r="P39551" s="5" t="s">
        <v>355</v>
      </c>
      <c r="Q39551" s="5" t="s">
        <v>355</v>
      </c>
    </row>
    <row r="39552" ht="16.5" customHeight="1">
      <c r="O39552" s="5" t="s">
        <v>355</v>
      </c>
      <c r="P39552" s="5" t="s">
        <v>355</v>
      </c>
      <c r="Q39552" s="5" t="s">
        <v>355</v>
      </c>
    </row>
    <row r="39553" ht="16.5" customHeight="1">
      <c r="O39553" s="5" t="s">
        <v>355</v>
      </c>
      <c r="P39553" s="5" t="s">
        <v>355</v>
      </c>
      <c r="Q39553" s="5" t="s">
        <v>355</v>
      </c>
    </row>
    <row r="39554" ht="16.5" customHeight="1">
      <c r="O39554" s="5" t="s">
        <v>355</v>
      </c>
      <c r="P39554" s="5" t="s">
        <v>355</v>
      </c>
      <c r="Q39554" s="5" t="s">
        <v>355</v>
      </c>
    </row>
    <row r="39555" ht="16.5" customHeight="1">
      <c r="O39555" s="5" t="s">
        <v>355</v>
      </c>
      <c r="P39555" s="5" t="s">
        <v>355</v>
      </c>
      <c r="Q39555" s="5" t="s">
        <v>355</v>
      </c>
    </row>
    <row r="39556" ht="16.5" customHeight="1">
      <c r="O39556" s="5" t="s">
        <v>355</v>
      </c>
      <c r="P39556" s="5" t="s">
        <v>355</v>
      </c>
      <c r="Q39556" s="5" t="s">
        <v>355</v>
      </c>
    </row>
    <row r="39557" ht="16.5" customHeight="1">
      <c r="O39557" s="5" t="s">
        <v>355</v>
      </c>
      <c r="P39557" s="5" t="s">
        <v>355</v>
      </c>
      <c r="Q39557" s="5" t="s">
        <v>355</v>
      </c>
    </row>
    <row r="39558" ht="16.5" customHeight="1">
      <c r="O39558" s="5" t="s">
        <v>355</v>
      </c>
      <c r="P39558" s="5" t="s">
        <v>355</v>
      </c>
      <c r="Q39558" s="5" t="s">
        <v>355</v>
      </c>
    </row>
    <row r="39559" ht="16.5" customHeight="1">
      <c r="O39559" s="5" t="s">
        <v>355</v>
      </c>
      <c r="P39559" s="5" t="s">
        <v>355</v>
      </c>
      <c r="Q39559" s="5" t="s">
        <v>355</v>
      </c>
    </row>
    <row r="39560" ht="16.5" customHeight="1">
      <c r="O39560" s="5" t="s">
        <v>355</v>
      </c>
      <c r="P39560" s="5" t="s">
        <v>355</v>
      </c>
      <c r="Q39560" s="5" t="s">
        <v>355</v>
      </c>
    </row>
    <row r="39561" ht="16.5" customHeight="1">
      <c r="O39561" s="5" t="s">
        <v>355</v>
      </c>
      <c r="P39561" s="5" t="s">
        <v>355</v>
      </c>
      <c r="Q39561" s="5" t="s">
        <v>355</v>
      </c>
    </row>
    <row r="39562" ht="16.5" customHeight="1">
      <c r="O39562" s="5" t="s">
        <v>355</v>
      </c>
      <c r="P39562" s="5" t="s">
        <v>355</v>
      </c>
      <c r="Q39562" s="5" t="s">
        <v>355</v>
      </c>
    </row>
    <row r="39563" ht="16.5" customHeight="1">
      <c r="O39563" s="5" t="s">
        <v>355</v>
      </c>
      <c r="P39563" s="5" t="s">
        <v>355</v>
      </c>
      <c r="Q39563" s="5" t="s">
        <v>355</v>
      </c>
    </row>
    <row r="39564" ht="16.5" customHeight="1">
      <c r="O39564" s="5" t="s">
        <v>355</v>
      </c>
      <c r="P39564" s="5" t="s">
        <v>355</v>
      </c>
      <c r="Q39564" s="5" t="s">
        <v>355</v>
      </c>
    </row>
    <row r="39565" ht="16.5" customHeight="1">
      <c r="O39565" s="5" t="s">
        <v>355</v>
      </c>
      <c r="P39565" s="5" t="s">
        <v>355</v>
      </c>
      <c r="Q39565" s="5" t="s">
        <v>355</v>
      </c>
    </row>
    <row r="39566" ht="16.5" customHeight="1">
      <c r="O39566" s="5" t="s">
        <v>355</v>
      </c>
      <c r="P39566" s="5" t="s">
        <v>355</v>
      </c>
      <c r="Q39566" s="5" t="s">
        <v>355</v>
      </c>
    </row>
    <row r="39567" ht="16.5" customHeight="1">
      <c r="O39567" s="5" t="s">
        <v>355</v>
      </c>
      <c r="P39567" s="5" t="s">
        <v>355</v>
      </c>
      <c r="Q39567" s="5" t="s">
        <v>355</v>
      </c>
    </row>
    <row r="39568" ht="16.5" customHeight="1">
      <c r="O39568" s="5" t="s">
        <v>355</v>
      </c>
      <c r="P39568" s="5" t="s">
        <v>355</v>
      </c>
      <c r="Q39568" s="5" t="s">
        <v>355</v>
      </c>
    </row>
    <row r="39569" ht="16.5" customHeight="1">
      <c r="O39569" s="5" t="s">
        <v>355</v>
      </c>
      <c r="P39569" s="5" t="s">
        <v>355</v>
      </c>
      <c r="Q39569" s="5" t="s">
        <v>355</v>
      </c>
    </row>
    <row r="39570" ht="16.5" customHeight="1">
      <c r="O39570" s="5" t="s">
        <v>355</v>
      </c>
      <c r="P39570" s="5" t="s">
        <v>355</v>
      </c>
      <c r="Q39570" s="5" t="s">
        <v>355</v>
      </c>
    </row>
    <row r="39571" ht="16.5" customHeight="1">
      <c r="O39571" s="5" t="s">
        <v>355</v>
      </c>
      <c r="P39571" s="5" t="s">
        <v>355</v>
      </c>
      <c r="Q39571" s="5" t="s">
        <v>355</v>
      </c>
    </row>
    <row r="39572" ht="16.5" customHeight="1">
      <c r="O39572" s="5" t="s">
        <v>355</v>
      </c>
      <c r="P39572" s="5" t="s">
        <v>355</v>
      </c>
      <c r="Q39572" s="5" t="s">
        <v>355</v>
      </c>
    </row>
    <row r="39573" ht="16.5" customHeight="1">
      <c r="O39573" s="5" t="s">
        <v>355</v>
      </c>
      <c r="P39573" s="5" t="s">
        <v>355</v>
      </c>
      <c r="Q39573" s="5" t="s">
        <v>355</v>
      </c>
    </row>
    <row r="39574" ht="16.5" customHeight="1">
      <c r="O39574" s="5" t="s">
        <v>355</v>
      </c>
      <c r="P39574" s="5" t="s">
        <v>355</v>
      </c>
      <c r="Q39574" s="5" t="s">
        <v>355</v>
      </c>
    </row>
    <row r="39575" ht="16.5" customHeight="1">
      <c r="O39575" s="5" t="s">
        <v>355</v>
      </c>
      <c r="P39575" s="5" t="s">
        <v>355</v>
      </c>
      <c r="Q39575" s="5" t="s">
        <v>355</v>
      </c>
    </row>
    <row r="39576" ht="16.5" customHeight="1">
      <c r="O39576" s="5" t="s">
        <v>355</v>
      </c>
      <c r="P39576" s="5" t="s">
        <v>355</v>
      </c>
      <c r="Q39576" s="5" t="s">
        <v>355</v>
      </c>
    </row>
    <row r="39577" ht="16.5" customHeight="1">
      <c r="O39577" s="5" t="s">
        <v>355</v>
      </c>
      <c r="P39577" s="5" t="s">
        <v>355</v>
      </c>
      <c r="Q39577" s="5" t="s">
        <v>355</v>
      </c>
    </row>
    <row r="39578" ht="16.5" customHeight="1">
      <c r="O39578" s="5" t="s">
        <v>355</v>
      </c>
      <c r="P39578" s="5" t="s">
        <v>355</v>
      </c>
      <c r="Q39578" s="5" t="s">
        <v>355</v>
      </c>
    </row>
    <row r="39579" ht="16.5" customHeight="1">
      <c r="O39579" s="5" t="s">
        <v>355</v>
      </c>
      <c r="P39579" s="5" t="s">
        <v>355</v>
      </c>
      <c r="Q39579" s="5" t="s">
        <v>355</v>
      </c>
    </row>
    <row r="39580" ht="16.5" customHeight="1">
      <c r="O39580" s="5" t="s">
        <v>355</v>
      </c>
      <c r="P39580" s="5" t="s">
        <v>355</v>
      </c>
      <c r="Q39580" s="5" t="s">
        <v>355</v>
      </c>
    </row>
    <row r="39581" ht="16.5" customHeight="1">
      <c r="O39581" s="5" t="s">
        <v>355</v>
      </c>
      <c r="P39581" s="5" t="s">
        <v>355</v>
      </c>
      <c r="Q39581" s="5" t="s">
        <v>355</v>
      </c>
    </row>
    <row r="39582" ht="16.5" customHeight="1">
      <c r="O39582" s="5" t="s">
        <v>355</v>
      </c>
      <c r="P39582" s="5" t="s">
        <v>355</v>
      </c>
      <c r="Q39582" s="5" t="s">
        <v>355</v>
      </c>
    </row>
    <row r="39583" ht="16.5" customHeight="1">
      <c r="O39583" s="5" t="s">
        <v>355</v>
      </c>
      <c r="P39583" s="5" t="s">
        <v>355</v>
      </c>
      <c r="Q39583" s="5" t="s">
        <v>355</v>
      </c>
    </row>
    <row r="39584" ht="16.5" customHeight="1">
      <c r="O39584" s="5" t="s">
        <v>355</v>
      </c>
      <c r="P39584" s="5" t="s">
        <v>355</v>
      </c>
      <c r="Q39584" s="5" t="s">
        <v>355</v>
      </c>
    </row>
    <row r="39585" ht="16.5" customHeight="1">
      <c r="O39585" s="5" t="s">
        <v>355</v>
      </c>
      <c r="P39585" s="5" t="s">
        <v>355</v>
      </c>
      <c r="Q39585" s="5" t="s">
        <v>355</v>
      </c>
    </row>
    <row r="39586" ht="16.5" customHeight="1">
      <c r="O39586" s="5" t="s">
        <v>355</v>
      </c>
      <c r="P39586" s="5" t="s">
        <v>355</v>
      </c>
      <c r="Q39586" s="5" t="s">
        <v>355</v>
      </c>
    </row>
    <row r="39587" ht="16.5" customHeight="1">
      <c r="O39587" s="5" t="s">
        <v>355</v>
      </c>
      <c r="P39587" s="5" t="s">
        <v>355</v>
      </c>
      <c r="Q39587" s="5" t="s">
        <v>355</v>
      </c>
    </row>
    <row r="39588" ht="16.5" customHeight="1">
      <c r="O39588" s="5" t="s">
        <v>355</v>
      </c>
      <c r="P39588" s="5" t="s">
        <v>355</v>
      </c>
      <c r="Q39588" s="5" t="s">
        <v>355</v>
      </c>
    </row>
    <row r="39589" ht="16.5" customHeight="1">
      <c r="O39589" s="5" t="s">
        <v>355</v>
      </c>
      <c r="P39589" s="5" t="s">
        <v>355</v>
      </c>
      <c r="Q39589" s="5" t="s">
        <v>355</v>
      </c>
    </row>
    <row r="39590" ht="16.5" customHeight="1">
      <c r="O39590" s="5" t="s">
        <v>355</v>
      </c>
      <c r="P39590" s="5" t="s">
        <v>355</v>
      </c>
      <c r="Q39590" s="5" t="s">
        <v>355</v>
      </c>
    </row>
    <row r="39591" ht="16.5" customHeight="1">
      <c r="O39591" s="5" t="s">
        <v>355</v>
      </c>
      <c r="P39591" s="5" t="s">
        <v>355</v>
      </c>
      <c r="Q39591" s="5" t="s">
        <v>355</v>
      </c>
    </row>
    <row r="39592" ht="16.5" customHeight="1">
      <c r="O39592" s="5" t="s">
        <v>355</v>
      </c>
      <c r="P39592" s="5" t="s">
        <v>355</v>
      </c>
      <c r="Q39592" s="5" t="s">
        <v>355</v>
      </c>
    </row>
    <row r="39593" ht="16.5" customHeight="1">
      <c r="O39593" s="5" t="s">
        <v>355</v>
      </c>
      <c r="P39593" s="5" t="s">
        <v>355</v>
      </c>
      <c r="Q39593" s="5" t="s">
        <v>355</v>
      </c>
    </row>
    <row r="39594" ht="16.5" customHeight="1">
      <c r="O39594" s="5" t="s">
        <v>355</v>
      </c>
      <c r="P39594" s="5" t="s">
        <v>355</v>
      </c>
      <c r="Q39594" s="5" t="s">
        <v>355</v>
      </c>
    </row>
    <row r="39595" ht="16.5" customHeight="1">
      <c r="O39595" s="5" t="s">
        <v>355</v>
      </c>
      <c r="P39595" s="5" t="s">
        <v>355</v>
      </c>
      <c r="Q39595" s="5" t="s">
        <v>355</v>
      </c>
    </row>
    <row r="39596" ht="16.5" customHeight="1">
      <c r="O39596" s="5" t="s">
        <v>355</v>
      </c>
      <c r="P39596" s="5" t="s">
        <v>355</v>
      </c>
      <c r="Q39596" s="5" t="s">
        <v>355</v>
      </c>
    </row>
    <row r="39597" ht="16.5" customHeight="1">
      <c r="O39597" s="5" t="s">
        <v>355</v>
      </c>
      <c r="P39597" s="5" t="s">
        <v>355</v>
      </c>
      <c r="Q39597" s="5" t="s">
        <v>355</v>
      </c>
    </row>
    <row r="39598" ht="16.5" customHeight="1">
      <c r="O39598" s="5" t="s">
        <v>355</v>
      </c>
      <c r="P39598" s="5" t="s">
        <v>355</v>
      </c>
      <c r="Q39598" s="5" t="s">
        <v>355</v>
      </c>
    </row>
    <row r="39599" ht="16.5" customHeight="1">
      <c r="O39599" s="5" t="s">
        <v>355</v>
      </c>
      <c r="P39599" s="5" t="s">
        <v>355</v>
      </c>
      <c r="Q39599" s="5" t="s">
        <v>355</v>
      </c>
    </row>
    <row r="39600" ht="16.5" customHeight="1">
      <c r="O39600" s="5" t="s">
        <v>355</v>
      </c>
      <c r="P39600" s="5" t="s">
        <v>355</v>
      </c>
      <c r="Q39600" s="5" t="s">
        <v>355</v>
      </c>
    </row>
    <row r="39601" ht="16.5" customHeight="1">
      <c r="O39601" s="5" t="s">
        <v>355</v>
      </c>
      <c r="P39601" s="5" t="s">
        <v>355</v>
      </c>
      <c r="Q39601" s="5" t="s">
        <v>355</v>
      </c>
    </row>
    <row r="39602" ht="16.5" customHeight="1">
      <c r="O39602" s="5" t="s">
        <v>355</v>
      </c>
      <c r="P39602" s="5" t="s">
        <v>355</v>
      </c>
      <c r="Q39602" s="5" t="s">
        <v>355</v>
      </c>
    </row>
    <row r="39603" ht="16.5" customHeight="1">
      <c r="O39603" s="5" t="s">
        <v>355</v>
      </c>
      <c r="P39603" s="5" t="s">
        <v>355</v>
      </c>
      <c r="Q39603" s="5" t="s">
        <v>355</v>
      </c>
    </row>
    <row r="39604" ht="16.5" customHeight="1">
      <c r="O39604" s="5" t="s">
        <v>355</v>
      </c>
      <c r="P39604" s="5" t="s">
        <v>355</v>
      </c>
      <c r="Q39604" s="5" t="s">
        <v>355</v>
      </c>
    </row>
    <row r="39605" ht="16.5" customHeight="1">
      <c r="O39605" s="5" t="s">
        <v>355</v>
      </c>
      <c r="P39605" s="5" t="s">
        <v>355</v>
      </c>
      <c r="Q39605" s="5" t="s">
        <v>355</v>
      </c>
    </row>
    <row r="39606" ht="16.5" customHeight="1">
      <c r="O39606" s="5" t="s">
        <v>355</v>
      </c>
      <c r="P39606" s="5" t="s">
        <v>355</v>
      </c>
      <c r="Q39606" s="5" t="s">
        <v>355</v>
      </c>
    </row>
    <row r="39607" ht="16.5" customHeight="1">
      <c r="O39607" s="5" t="s">
        <v>355</v>
      </c>
      <c r="P39607" s="5" t="s">
        <v>355</v>
      </c>
      <c r="Q39607" s="5" t="s">
        <v>355</v>
      </c>
    </row>
    <row r="39608" ht="16.5" customHeight="1">
      <c r="O39608" s="5" t="s">
        <v>355</v>
      </c>
      <c r="P39608" s="5" t="s">
        <v>355</v>
      </c>
      <c r="Q39608" s="5" t="s">
        <v>355</v>
      </c>
    </row>
    <row r="39609" ht="16.5" customHeight="1">
      <c r="O39609" s="5" t="s">
        <v>355</v>
      </c>
      <c r="P39609" s="5" t="s">
        <v>355</v>
      </c>
      <c r="Q39609" s="5" t="s">
        <v>355</v>
      </c>
    </row>
    <row r="39610" ht="16.5" customHeight="1">
      <c r="O39610" s="5" t="s">
        <v>355</v>
      </c>
      <c r="P39610" s="5" t="s">
        <v>355</v>
      </c>
      <c r="Q39610" s="5" t="s">
        <v>355</v>
      </c>
    </row>
    <row r="39611" ht="16.5" customHeight="1">
      <c r="O39611" s="5" t="s">
        <v>355</v>
      </c>
      <c r="P39611" s="5" t="s">
        <v>355</v>
      </c>
      <c r="Q39611" s="5" t="s">
        <v>355</v>
      </c>
    </row>
    <row r="39612" ht="16.5" customHeight="1">
      <c r="O39612" s="5" t="s">
        <v>355</v>
      </c>
      <c r="P39612" s="5" t="s">
        <v>355</v>
      </c>
      <c r="Q39612" s="5" t="s">
        <v>355</v>
      </c>
    </row>
    <row r="39613" ht="16.5" customHeight="1">
      <c r="O39613" s="5" t="s">
        <v>355</v>
      </c>
      <c r="P39613" s="5" t="s">
        <v>355</v>
      </c>
      <c r="Q39613" s="5" t="s">
        <v>355</v>
      </c>
    </row>
    <row r="39614" ht="16.5" customHeight="1">
      <c r="O39614" s="5" t="s">
        <v>355</v>
      </c>
      <c r="P39614" s="5" t="s">
        <v>355</v>
      </c>
      <c r="Q39614" s="5" t="s">
        <v>355</v>
      </c>
    </row>
    <row r="39615" ht="16.5" customHeight="1">
      <c r="O39615" s="5" t="s">
        <v>355</v>
      </c>
      <c r="P39615" s="5" t="s">
        <v>355</v>
      </c>
      <c r="Q39615" s="5" t="s">
        <v>355</v>
      </c>
    </row>
    <row r="39616" ht="16.5" customHeight="1">
      <c r="O39616" s="5" t="s">
        <v>355</v>
      </c>
      <c r="P39616" s="5" t="s">
        <v>355</v>
      </c>
      <c r="Q39616" s="5" t="s">
        <v>355</v>
      </c>
    </row>
    <row r="39617" ht="16.5" customHeight="1">
      <c r="O39617" s="5" t="s">
        <v>355</v>
      </c>
      <c r="P39617" s="5" t="s">
        <v>355</v>
      </c>
      <c r="Q39617" s="5" t="s">
        <v>355</v>
      </c>
    </row>
    <row r="39618" ht="16.5" customHeight="1">
      <c r="O39618" s="5" t="s">
        <v>355</v>
      </c>
      <c r="P39618" s="5" t="s">
        <v>355</v>
      </c>
      <c r="Q39618" s="5" t="s">
        <v>355</v>
      </c>
    </row>
    <row r="39619" ht="16.5" customHeight="1">
      <c r="O39619" s="5" t="s">
        <v>355</v>
      </c>
      <c r="P39619" s="5" t="s">
        <v>355</v>
      </c>
      <c r="Q39619" s="5" t="s">
        <v>355</v>
      </c>
    </row>
    <row r="39620" ht="16.5" customHeight="1">
      <c r="O39620" s="5" t="s">
        <v>355</v>
      </c>
      <c r="P39620" s="5" t="s">
        <v>355</v>
      </c>
      <c r="Q39620" s="5" t="s">
        <v>355</v>
      </c>
    </row>
    <row r="39621" ht="16.5" customHeight="1">
      <c r="O39621" s="5" t="s">
        <v>355</v>
      </c>
      <c r="P39621" s="5" t="s">
        <v>355</v>
      </c>
      <c r="Q39621" s="5" t="s">
        <v>355</v>
      </c>
    </row>
    <row r="39622" ht="16.5" customHeight="1">
      <c r="O39622" s="5" t="s">
        <v>355</v>
      </c>
      <c r="P39622" s="5" t="s">
        <v>355</v>
      </c>
      <c r="Q39622" s="5" t="s">
        <v>355</v>
      </c>
    </row>
    <row r="39623" ht="16.5" customHeight="1">
      <c r="O39623" s="5" t="s">
        <v>355</v>
      </c>
      <c r="P39623" s="5" t="s">
        <v>355</v>
      </c>
      <c r="Q39623" s="5" t="s">
        <v>355</v>
      </c>
    </row>
    <row r="39624" ht="16.5" customHeight="1">
      <c r="O39624" s="5" t="s">
        <v>355</v>
      </c>
      <c r="P39624" s="5" t="s">
        <v>355</v>
      </c>
      <c r="Q39624" s="5" t="s">
        <v>355</v>
      </c>
    </row>
    <row r="39625" ht="16.5" customHeight="1">
      <c r="O39625" s="5" t="s">
        <v>355</v>
      </c>
      <c r="P39625" s="5" t="s">
        <v>355</v>
      </c>
      <c r="Q39625" s="5" t="s">
        <v>355</v>
      </c>
    </row>
    <row r="39626" ht="16.5" customHeight="1">
      <c r="O39626" s="5" t="s">
        <v>355</v>
      </c>
      <c r="P39626" s="5" t="s">
        <v>355</v>
      </c>
      <c r="Q39626" s="5" t="s">
        <v>355</v>
      </c>
    </row>
    <row r="39627" ht="16.5" customHeight="1">
      <c r="O39627" s="5" t="s">
        <v>355</v>
      </c>
      <c r="P39627" s="5" t="s">
        <v>355</v>
      </c>
      <c r="Q39627" s="5" t="s">
        <v>355</v>
      </c>
    </row>
    <row r="39628" ht="16.5" customHeight="1">
      <c r="O39628" s="5" t="s">
        <v>355</v>
      </c>
      <c r="P39628" s="5" t="s">
        <v>355</v>
      </c>
      <c r="Q39628" s="5" t="s">
        <v>355</v>
      </c>
    </row>
    <row r="39629" ht="16.5" customHeight="1">
      <c r="O39629" s="5" t="s">
        <v>355</v>
      </c>
      <c r="P39629" s="5" t="s">
        <v>355</v>
      </c>
      <c r="Q39629" s="5" t="s">
        <v>355</v>
      </c>
    </row>
    <row r="39630" ht="16.5" customHeight="1">
      <c r="O39630" s="5" t="s">
        <v>355</v>
      </c>
      <c r="P39630" s="5" t="s">
        <v>355</v>
      </c>
      <c r="Q39630" s="5" t="s">
        <v>355</v>
      </c>
    </row>
    <row r="39631" ht="16.5" customHeight="1">
      <c r="O39631" s="5" t="s">
        <v>355</v>
      </c>
      <c r="P39631" s="5" t="s">
        <v>355</v>
      </c>
      <c r="Q39631" s="5" t="s">
        <v>355</v>
      </c>
    </row>
    <row r="39632" ht="16.5" customHeight="1">
      <c r="O39632" s="5" t="s">
        <v>355</v>
      </c>
      <c r="P39632" s="5" t="s">
        <v>355</v>
      </c>
      <c r="Q39632" s="5" t="s">
        <v>355</v>
      </c>
    </row>
    <row r="39633" ht="16.5" customHeight="1">
      <c r="O39633" s="5" t="s">
        <v>355</v>
      </c>
      <c r="P39633" s="5" t="s">
        <v>355</v>
      </c>
      <c r="Q39633" s="5" t="s">
        <v>355</v>
      </c>
    </row>
    <row r="39634" ht="16.5" customHeight="1">
      <c r="O39634" s="5" t="s">
        <v>355</v>
      </c>
      <c r="P39634" s="5" t="s">
        <v>355</v>
      </c>
      <c r="Q39634" s="5" t="s">
        <v>355</v>
      </c>
    </row>
    <row r="39635" ht="16.5" customHeight="1">
      <c r="O39635" s="5" t="s">
        <v>355</v>
      </c>
      <c r="P39635" s="5" t="s">
        <v>355</v>
      </c>
      <c r="Q39635" s="5" t="s">
        <v>355</v>
      </c>
    </row>
    <row r="39636" ht="16.5" customHeight="1">
      <c r="O39636" s="5" t="s">
        <v>355</v>
      </c>
      <c r="P39636" s="5" t="s">
        <v>355</v>
      </c>
      <c r="Q39636" s="5" t="s">
        <v>355</v>
      </c>
    </row>
    <row r="39637" ht="16.5" customHeight="1">
      <c r="O39637" s="5" t="s">
        <v>355</v>
      </c>
      <c r="P39637" s="5" t="s">
        <v>355</v>
      </c>
      <c r="Q39637" s="5" t="s">
        <v>355</v>
      </c>
    </row>
    <row r="39638" ht="16.5" customHeight="1">
      <c r="O39638" s="5" t="s">
        <v>355</v>
      </c>
      <c r="P39638" s="5" t="s">
        <v>355</v>
      </c>
      <c r="Q39638" s="5" t="s">
        <v>355</v>
      </c>
    </row>
    <row r="39639" ht="16.5" customHeight="1">
      <c r="O39639" s="5" t="s">
        <v>355</v>
      </c>
      <c r="P39639" s="5" t="s">
        <v>355</v>
      </c>
      <c r="Q39639" s="5" t="s">
        <v>355</v>
      </c>
    </row>
    <row r="39640" ht="16.5" customHeight="1">
      <c r="O39640" s="5" t="s">
        <v>355</v>
      </c>
      <c r="P39640" s="5" t="s">
        <v>355</v>
      </c>
      <c r="Q39640" s="5" t="s">
        <v>355</v>
      </c>
    </row>
    <row r="39641" ht="16.5" customHeight="1">
      <c r="O39641" s="5" t="s">
        <v>355</v>
      </c>
      <c r="P39641" s="5" t="s">
        <v>355</v>
      </c>
      <c r="Q39641" s="5" t="s">
        <v>355</v>
      </c>
    </row>
    <row r="39642" ht="16.5" customHeight="1">
      <c r="O39642" s="5" t="s">
        <v>355</v>
      </c>
      <c r="P39642" s="5" t="s">
        <v>355</v>
      </c>
      <c r="Q39642" s="5" t="s">
        <v>355</v>
      </c>
    </row>
    <row r="39643" ht="16.5" customHeight="1">
      <c r="O39643" s="5" t="s">
        <v>355</v>
      </c>
      <c r="P39643" s="5" t="s">
        <v>355</v>
      </c>
      <c r="Q39643" s="5" t="s">
        <v>355</v>
      </c>
    </row>
    <row r="39644" ht="16.5" customHeight="1">
      <c r="O39644" s="5" t="s">
        <v>355</v>
      </c>
      <c r="P39644" s="5" t="s">
        <v>355</v>
      </c>
      <c r="Q39644" s="5" t="s">
        <v>355</v>
      </c>
    </row>
    <row r="39645" ht="16.5" customHeight="1">
      <c r="O39645" s="5" t="s">
        <v>355</v>
      </c>
      <c r="P39645" s="5" t="s">
        <v>355</v>
      </c>
      <c r="Q39645" s="5" t="s">
        <v>355</v>
      </c>
    </row>
    <row r="39646" ht="16.5" customHeight="1">
      <c r="O39646" s="5" t="s">
        <v>355</v>
      </c>
      <c r="P39646" s="5" t="s">
        <v>355</v>
      </c>
      <c r="Q39646" s="5" t="s">
        <v>355</v>
      </c>
    </row>
    <row r="39647" ht="16.5" customHeight="1">
      <c r="O39647" s="5" t="s">
        <v>355</v>
      </c>
      <c r="P39647" s="5" t="s">
        <v>355</v>
      </c>
      <c r="Q39647" s="5" t="s">
        <v>355</v>
      </c>
    </row>
    <row r="39648" ht="16.5" customHeight="1">
      <c r="O39648" s="5" t="s">
        <v>355</v>
      </c>
      <c r="P39648" s="5" t="s">
        <v>355</v>
      </c>
      <c r="Q39648" s="5" t="s">
        <v>355</v>
      </c>
    </row>
    <row r="39649" ht="16.5" customHeight="1">
      <c r="O39649" s="5" t="s">
        <v>355</v>
      </c>
      <c r="P39649" s="5" t="s">
        <v>355</v>
      </c>
      <c r="Q39649" s="5" t="s">
        <v>355</v>
      </c>
    </row>
    <row r="39650" ht="16.5" customHeight="1">
      <c r="O39650" s="5" t="s">
        <v>355</v>
      </c>
      <c r="P39650" s="5" t="s">
        <v>355</v>
      </c>
      <c r="Q39650" s="5" t="s">
        <v>355</v>
      </c>
    </row>
    <row r="39651" ht="16.5" customHeight="1">
      <c r="O39651" s="5" t="s">
        <v>355</v>
      </c>
      <c r="P39651" s="5" t="s">
        <v>355</v>
      </c>
      <c r="Q39651" s="5" t="s">
        <v>355</v>
      </c>
    </row>
    <row r="39652" ht="16.5" customHeight="1">
      <c r="O39652" s="5" t="s">
        <v>355</v>
      </c>
      <c r="P39652" s="5" t="s">
        <v>355</v>
      </c>
      <c r="Q39652" s="5" t="s">
        <v>355</v>
      </c>
    </row>
    <row r="39653" ht="16.5" customHeight="1">
      <c r="O39653" s="5" t="s">
        <v>355</v>
      </c>
      <c r="P39653" s="5" t="s">
        <v>355</v>
      </c>
      <c r="Q39653" s="5" t="s">
        <v>355</v>
      </c>
    </row>
    <row r="39654" ht="16.5" customHeight="1">
      <c r="O39654" s="5" t="s">
        <v>355</v>
      </c>
      <c r="P39654" s="5" t="s">
        <v>355</v>
      </c>
      <c r="Q39654" s="5" t="s">
        <v>355</v>
      </c>
    </row>
    <row r="39655" ht="16.5" customHeight="1">
      <c r="O39655" s="5" t="s">
        <v>355</v>
      </c>
      <c r="P39655" s="5" t="s">
        <v>355</v>
      </c>
      <c r="Q39655" s="5" t="s">
        <v>355</v>
      </c>
    </row>
    <row r="39656" ht="16.5" customHeight="1">
      <c r="O39656" s="5" t="s">
        <v>355</v>
      </c>
      <c r="P39656" s="5" t="s">
        <v>355</v>
      </c>
      <c r="Q39656" s="5" t="s">
        <v>355</v>
      </c>
    </row>
    <row r="39657" ht="16.5" customHeight="1">
      <c r="O39657" s="5" t="s">
        <v>355</v>
      </c>
      <c r="P39657" s="5" t="s">
        <v>355</v>
      </c>
      <c r="Q39657" s="5" t="s">
        <v>355</v>
      </c>
    </row>
    <row r="39658" ht="16.5" customHeight="1">
      <c r="O39658" s="5" t="s">
        <v>355</v>
      </c>
      <c r="P39658" s="5" t="s">
        <v>355</v>
      </c>
      <c r="Q39658" s="5" t="s">
        <v>355</v>
      </c>
    </row>
    <row r="39659" ht="16.5" customHeight="1">
      <c r="O39659" s="5" t="s">
        <v>355</v>
      </c>
      <c r="P39659" s="5" t="s">
        <v>355</v>
      </c>
      <c r="Q39659" s="5" t="s">
        <v>355</v>
      </c>
    </row>
    <row r="39660" ht="16.5" customHeight="1">
      <c r="O39660" s="5" t="s">
        <v>355</v>
      </c>
      <c r="P39660" s="5" t="s">
        <v>355</v>
      </c>
      <c r="Q39660" s="5" t="s">
        <v>355</v>
      </c>
    </row>
    <row r="39661" ht="16.5" customHeight="1">
      <c r="O39661" s="5" t="s">
        <v>355</v>
      </c>
      <c r="P39661" s="5" t="s">
        <v>355</v>
      </c>
      <c r="Q39661" s="5" t="s">
        <v>355</v>
      </c>
    </row>
    <row r="39662" ht="16.5" customHeight="1">
      <c r="O39662" s="5" t="s">
        <v>355</v>
      </c>
      <c r="P39662" s="5" t="s">
        <v>355</v>
      </c>
      <c r="Q39662" s="5" t="s">
        <v>355</v>
      </c>
    </row>
    <row r="39663" ht="16.5" customHeight="1">
      <c r="O39663" s="5" t="s">
        <v>355</v>
      </c>
      <c r="P39663" s="5" t="s">
        <v>355</v>
      </c>
      <c r="Q39663" s="5" t="s">
        <v>355</v>
      </c>
    </row>
    <row r="39664" ht="16.5" customHeight="1">
      <c r="O39664" s="5" t="s">
        <v>355</v>
      </c>
      <c r="P39664" s="5" t="s">
        <v>355</v>
      </c>
      <c r="Q39664" s="5" t="s">
        <v>355</v>
      </c>
    </row>
    <row r="39665" ht="16.5" customHeight="1">
      <c r="O39665" s="5" t="s">
        <v>355</v>
      </c>
      <c r="P39665" s="5" t="s">
        <v>355</v>
      </c>
      <c r="Q39665" s="5" t="s">
        <v>355</v>
      </c>
    </row>
    <row r="39666" ht="16.5" customHeight="1">
      <c r="O39666" s="5" t="s">
        <v>355</v>
      </c>
      <c r="P39666" s="5" t="s">
        <v>355</v>
      </c>
      <c r="Q39666" s="5" t="s">
        <v>355</v>
      </c>
    </row>
    <row r="39667" ht="16.5" customHeight="1">
      <c r="O39667" s="5" t="s">
        <v>355</v>
      </c>
      <c r="P39667" s="5" t="s">
        <v>355</v>
      </c>
      <c r="Q39667" s="5" t="s">
        <v>355</v>
      </c>
    </row>
    <row r="39668" ht="16.5" customHeight="1">
      <c r="O39668" s="5" t="s">
        <v>355</v>
      </c>
      <c r="P39668" s="5" t="s">
        <v>355</v>
      </c>
      <c r="Q39668" s="5" t="s">
        <v>355</v>
      </c>
    </row>
    <row r="39669" ht="16.5" customHeight="1">
      <c r="O39669" s="5" t="s">
        <v>355</v>
      </c>
      <c r="P39669" s="5" t="s">
        <v>355</v>
      </c>
      <c r="Q39669" s="5" t="s">
        <v>355</v>
      </c>
    </row>
    <row r="39670" ht="16.5" customHeight="1">
      <c r="O39670" s="5" t="s">
        <v>355</v>
      </c>
      <c r="P39670" s="5" t="s">
        <v>355</v>
      </c>
      <c r="Q39670" s="5" t="s">
        <v>355</v>
      </c>
    </row>
    <row r="39671" ht="16.5" customHeight="1">
      <c r="O39671" s="5" t="s">
        <v>355</v>
      </c>
      <c r="P39671" s="5" t="s">
        <v>355</v>
      </c>
      <c r="Q39671" s="5" t="s">
        <v>355</v>
      </c>
    </row>
    <row r="39672" ht="16.5" customHeight="1">
      <c r="O39672" s="5" t="s">
        <v>355</v>
      </c>
      <c r="P39672" s="5" t="s">
        <v>355</v>
      </c>
      <c r="Q39672" s="5" t="s">
        <v>355</v>
      </c>
    </row>
    <row r="39673" ht="16.5" customHeight="1">
      <c r="O39673" s="5" t="s">
        <v>355</v>
      </c>
      <c r="P39673" s="5" t="s">
        <v>355</v>
      </c>
      <c r="Q39673" s="5" t="s">
        <v>355</v>
      </c>
    </row>
    <row r="39674" ht="16.5" customHeight="1">
      <c r="O39674" s="5" t="s">
        <v>355</v>
      </c>
      <c r="P39674" s="5" t="s">
        <v>355</v>
      </c>
      <c r="Q39674" s="5" t="s">
        <v>355</v>
      </c>
    </row>
    <row r="39675" ht="16.5" customHeight="1">
      <c r="O39675" s="5" t="s">
        <v>355</v>
      </c>
      <c r="P39675" s="5" t="s">
        <v>355</v>
      </c>
      <c r="Q39675" s="5" t="s">
        <v>355</v>
      </c>
    </row>
    <row r="39676" ht="16.5" customHeight="1">
      <c r="O39676" s="5" t="s">
        <v>355</v>
      </c>
      <c r="P39676" s="5" t="s">
        <v>355</v>
      </c>
      <c r="Q39676" s="5" t="s">
        <v>355</v>
      </c>
    </row>
    <row r="39677" ht="16.5" customHeight="1">
      <c r="O39677" s="5" t="s">
        <v>355</v>
      </c>
      <c r="P39677" s="5" t="s">
        <v>355</v>
      </c>
      <c r="Q39677" s="5" t="s">
        <v>355</v>
      </c>
    </row>
    <row r="39678" ht="16.5" customHeight="1">
      <c r="O39678" s="5" t="s">
        <v>355</v>
      </c>
      <c r="P39678" s="5" t="s">
        <v>355</v>
      </c>
      <c r="Q39678" s="5" t="s">
        <v>355</v>
      </c>
    </row>
    <row r="39679" ht="16.5" customHeight="1">
      <c r="O39679" s="5" t="s">
        <v>355</v>
      </c>
      <c r="P39679" s="5" t="s">
        <v>355</v>
      </c>
      <c r="Q39679" s="5" t="s">
        <v>355</v>
      </c>
    </row>
    <row r="39680" ht="16.5" customHeight="1">
      <c r="O39680" s="5" t="s">
        <v>355</v>
      </c>
      <c r="P39680" s="5" t="s">
        <v>355</v>
      </c>
      <c r="Q39680" s="5" t="s">
        <v>355</v>
      </c>
    </row>
    <row r="39681" ht="16.5" customHeight="1">
      <c r="O39681" s="5" t="s">
        <v>355</v>
      </c>
      <c r="P39681" s="5" t="s">
        <v>355</v>
      </c>
      <c r="Q39681" s="5" t="s">
        <v>355</v>
      </c>
    </row>
    <row r="39682" ht="16.5" customHeight="1">
      <c r="O39682" s="5" t="s">
        <v>355</v>
      </c>
      <c r="P39682" s="5" t="s">
        <v>355</v>
      </c>
      <c r="Q39682" s="5" t="s">
        <v>355</v>
      </c>
    </row>
    <row r="39683" ht="16.5" customHeight="1">
      <c r="O39683" s="5" t="s">
        <v>355</v>
      </c>
      <c r="P39683" s="5" t="s">
        <v>355</v>
      </c>
      <c r="Q39683" s="5" t="s">
        <v>355</v>
      </c>
    </row>
    <row r="39684" ht="16.5" customHeight="1">
      <c r="O39684" s="5" t="s">
        <v>355</v>
      </c>
      <c r="P39684" s="5" t="s">
        <v>355</v>
      </c>
      <c r="Q39684" s="5" t="s">
        <v>355</v>
      </c>
    </row>
    <row r="39685" ht="16.5" customHeight="1">
      <c r="O39685" s="5" t="s">
        <v>355</v>
      </c>
      <c r="P39685" s="5" t="s">
        <v>355</v>
      </c>
      <c r="Q39685" s="5" t="s">
        <v>355</v>
      </c>
    </row>
    <row r="39686" ht="16.5" customHeight="1">
      <c r="O39686" s="5" t="s">
        <v>355</v>
      </c>
      <c r="P39686" s="5" t="s">
        <v>355</v>
      </c>
      <c r="Q39686" s="5" t="s">
        <v>355</v>
      </c>
    </row>
    <row r="39687" ht="16.5" customHeight="1">
      <c r="O39687" s="5" t="s">
        <v>355</v>
      </c>
      <c r="P39687" s="5" t="s">
        <v>355</v>
      </c>
      <c r="Q39687" s="5" t="s">
        <v>355</v>
      </c>
    </row>
    <row r="39688" ht="16.5" customHeight="1">
      <c r="O39688" s="5" t="s">
        <v>355</v>
      </c>
      <c r="P39688" s="5" t="s">
        <v>355</v>
      </c>
      <c r="Q39688" s="5" t="s">
        <v>355</v>
      </c>
    </row>
    <row r="39689" ht="16.5" customHeight="1">
      <c r="O39689" s="5" t="s">
        <v>355</v>
      </c>
      <c r="P39689" s="5" t="s">
        <v>355</v>
      </c>
      <c r="Q39689" s="5" t="s">
        <v>355</v>
      </c>
    </row>
    <row r="39690" ht="16.5" customHeight="1">
      <c r="O39690" s="5" t="s">
        <v>355</v>
      </c>
      <c r="P39690" s="5" t="s">
        <v>355</v>
      </c>
      <c r="Q39690" s="5" t="s">
        <v>355</v>
      </c>
    </row>
    <row r="39691" ht="16.5" customHeight="1">
      <c r="O39691" s="5" t="s">
        <v>355</v>
      </c>
      <c r="P39691" s="5" t="s">
        <v>355</v>
      </c>
      <c r="Q39691" s="5" t="s">
        <v>355</v>
      </c>
    </row>
    <row r="39692" ht="16.5" customHeight="1">
      <c r="O39692" s="5" t="s">
        <v>355</v>
      </c>
      <c r="P39692" s="5" t="s">
        <v>355</v>
      </c>
      <c r="Q39692" s="5" t="s">
        <v>355</v>
      </c>
    </row>
    <row r="39693" ht="16.5" customHeight="1">
      <c r="O39693" s="5" t="s">
        <v>355</v>
      </c>
      <c r="P39693" s="5" t="s">
        <v>355</v>
      </c>
      <c r="Q39693" s="5" t="s">
        <v>355</v>
      </c>
    </row>
    <row r="39694" ht="16.5" customHeight="1">
      <c r="O39694" s="5" t="s">
        <v>355</v>
      </c>
      <c r="P39694" s="5" t="s">
        <v>355</v>
      </c>
      <c r="Q39694" s="5" t="s">
        <v>355</v>
      </c>
    </row>
    <row r="39695" ht="16.5" customHeight="1">
      <c r="O39695" s="5" t="s">
        <v>355</v>
      </c>
      <c r="P39695" s="5" t="s">
        <v>355</v>
      </c>
      <c r="Q39695" s="5" t="s">
        <v>355</v>
      </c>
    </row>
    <row r="39696" ht="16.5" customHeight="1">
      <c r="O39696" s="5" t="s">
        <v>355</v>
      </c>
      <c r="P39696" s="5" t="s">
        <v>355</v>
      </c>
      <c r="Q39696" s="5" t="s">
        <v>355</v>
      </c>
    </row>
    <row r="39697" ht="16.5" customHeight="1">
      <c r="O39697" s="5" t="s">
        <v>355</v>
      </c>
      <c r="P39697" s="5" t="s">
        <v>355</v>
      </c>
      <c r="Q39697" s="5" t="s">
        <v>355</v>
      </c>
    </row>
    <row r="39698" ht="16.5" customHeight="1">
      <c r="O39698" s="5" t="s">
        <v>355</v>
      </c>
      <c r="P39698" s="5" t="s">
        <v>355</v>
      </c>
      <c r="Q39698" s="5" t="s">
        <v>355</v>
      </c>
    </row>
    <row r="39699" ht="16.5" customHeight="1">
      <c r="O39699" s="5" t="s">
        <v>355</v>
      </c>
      <c r="P39699" s="5" t="s">
        <v>355</v>
      </c>
      <c r="Q39699" s="5" t="s">
        <v>355</v>
      </c>
    </row>
    <row r="39700" ht="16.5" customHeight="1">
      <c r="O39700" s="5" t="s">
        <v>355</v>
      </c>
      <c r="P39700" s="5" t="s">
        <v>355</v>
      </c>
      <c r="Q39700" s="5" t="s">
        <v>355</v>
      </c>
    </row>
    <row r="39701" ht="16.5" customHeight="1">
      <c r="O39701" s="5" t="s">
        <v>355</v>
      </c>
      <c r="P39701" s="5" t="s">
        <v>355</v>
      </c>
      <c r="Q39701" s="5" t="s">
        <v>355</v>
      </c>
    </row>
    <row r="39702" ht="16.5" customHeight="1">
      <c r="O39702" s="5" t="s">
        <v>355</v>
      </c>
      <c r="P39702" s="5" t="s">
        <v>355</v>
      </c>
      <c r="Q39702" s="5" t="s">
        <v>355</v>
      </c>
    </row>
    <row r="39703" ht="16.5" customHeight="1">
      <c r="O39703" s="5" t="s">
        <v>355</v>
      </c>
      <c r="P39703" s="5" t="s">
        <v>355</v>
      </c>
      <c r="Q39703" s="5" t="s">
        <v>355</v>
      </c>
    </row>
    <row r="39704" ht="16.5" customHeight="1">
      <c r="O39704" s="5" t="s">
        <v>355</v>
      </c>
      <c r="P39704" s="5" t="s">
        <v>355</v>
      </c>
      <c r="Q39704" s="5" t="s">
        <v>355</v>
      </c>
    </row>
    <row r="39705" ht="16.5" customHeight="1">
      <c r="O39705" s="5" t="s">
        <v>355</v>
      </c>
      <c r="P39705" s="5" t="s">
        <v>355</v>
      </c>
      <c r="Q39705" s="5" t="s">
        <v>355</v>
      </c>
    </row>
    <row r="39706" ht="16.5" customHeight="1">
      <c r="O39706" s="5" t="s">
        <v>355</v>
      </c>
      <c r="P39706" s="5" t="s">
        <v>355</v>
      </c>
      <c r="Q39706" s="5" t="s">
        <v>355</v>
      </c>
    </row>
    <row r="39707" ht="16.5" customHeight="1">
      <c r="O39707" s="5" t="s">
        <v>355</v>
      </c>
      <c r="P39707" s="5" t="s">
        <v>355</v>
      </c>
      <c r="Q39707" s="5" t="s">
        <v>355</v>
      </c>
    </row>
    <row r="39708" ht="16.5" customHeight="1">
      <c r="O39708" s="5" t="s">
        <v>355</v>
      </c>
      <c r="P39708" s="5" t="s">
        <v>355</v>
      </c>
      <c r="Q39708" s="5" t="s">
        <v>355</v>
      </c>
    </row>
    <row r="39709" ht="16.5" customHeight="1">
      <c r="O39709" s="5" t="s">
        <v>355</v>
      </c>
      <c r="P39709" s="5" t="s">
        <v>355</v>
      </c>
      <c r="Q39709" s="5" t="s">
        <v>355</v>
      </c>
    </row>
    <row r="39710" ht="16.5" customHeight="1">
      <c r="O39710" s="5" t="s">
        <v>355</v>
      </c>
      <c r="P39710" s="5" t="s">
        <v>355</v>
      </c>
      <c r="Q39710" s="5" t="s">
        <v>355</v>
      </c>
    </row>
    <row r="39711" ht="16.5" customHeight="1">
      <c r="O39711" s="5" t="s">
        <v>355</v>
      </c>
      <c r="P39711" s="5" t="s">
        <v>355</v>
      </c>
      <c r="Q39711" s="5" t="s">
        <v>355</v>
      </c>
    </row>
    <row r="39712" ht="16.5" customHeight="1">
      <c r="O39712" s="5" t="s">
        <v>355</v>
      </c>
      <c r="P39712" s="5" t="s">
        <v>355</v>
      </c>
      <c r="Q39712" s="5" t="s">
        <v>355</v>
      </c>
    </row>
    <row r="39713" ht="16.5" customHeight="1">
      <c r="O39713" s="5" t="s">
        <v>355</v>
      </c>
      <c r="P39713" s="5" t="s">
        <v>355</v>
      </c>
      <c r="Q39713" s="5" t="s">
        <v>355</v>
      </c>
    </row>
    <row r="39714" ht="16.5" customHeight="1">
      <c r="O39714" s="5" t="s">
        <v>355</v>
      </c>
      <c r="P39714" s="5" t="s">
        <v>355</v>
      </c>
      <c r="Q39714" s="5" t="s">
        <v>355</v>
      </c>
    </row>
    <row r="39715" ht="16.5" customHeight="1">
      <c r="O39715" s="5" t="s">
        <v>355</v>
      </c>
      <c r="P39715" s="5" t="s">
        <v>355</v>
      </c>
      <c r="Q39715" s="5" t="s">
        <v>355</v>
      </c>
    </row>
    <row r="39716" ht="16.5" customHeight="1">
      <c r="O39716" s="5" t="s">
        <v>355</v>
      </c>
      <c r="P39716" s="5" t="s">
        <v>355</v>
      </c>
      <c r="Q39716" s="5" t="s">
        <v>355</v>
      </c>
    </row>
    <row r="39717" ht="16.5" customHeight="1">
      <c r="O39717" s="5" t="s">
        <v>355</v>
      </c>
      <c r="P39717" s="5" t="s">
        <v>355</v>
      </c>
      <c r="Q39717" s="5" t="s">
        <v>355</v>
      </c>
    </row>
    <row r="39718" ht="16.5" customHeight="1">
      <c r="O39718" s="5" t="s">
        <v>355</v>
      </c>
      <c r="P39718" s="5" t="s">
        <v>355</v>
      </c>
      <c r="Q39718" s="5" t="s">
        <v>355</v>
      </c>
    </row>
    <row r="39719" ht="16.5" customHeight="1">
      <c r="O39719" s="5" t="s">
        <v>355</v>
      </c>
      <c r="P39719" s="5" t="s">
        <v>355</v>
      </c>
      <c r="Q39719" s="5" t="s">
        <v>355</v>
      </c>
    </row>
    <row r="39720" ht="16.5" customHeight="1">
      <c r="O39720" s="5" t="s">
        <v>355</v>
      </c>
      <c r="P39720" s="5" t="s">
        <v>355</v>
      </c>
      <c r="Q39720" s="5" t="s">
        <v>355</v>
      </c>
    </row>
    <row r="39721" ht="16.5" customHeight="1">
      <c r="O39721" s="5" t="s">
        <v>355</v>
      </c>
      <c r="P39721" s="5" t="s">
        <v>355</v>
      </c>
      <c r="Q39721" s="5" t="s">
        <v>355</v>
      </c>
    </row>
    <row r="39722" ht="16.5" customHeight="1">
      <c r="O39722" s="5" t="s">
        <v>355</v>
      </c>
      <c r="P39722" s="5" t="s">
        <v>355</v>
      </c>
      <c r="Q39722" s="5" t="s">
        <v>355</v>
      </c>
    </row>
    <row r="39723" ht="16.5" customHeight="1">
      <c r="O39723" s="5" t="s">
        <v>355</v>
      </c>
      <c r="P39723" s="5" t="s">
        <v>355</v>
      </c>
      <c r="Q39723" s="5" t="s">
        <v>355</v>
      </c>
    </row>
    <row r="39724" ht="16.5" customHeight="1">
      <c r="O39724" s="5" t="s">
        <v>355</v>
      </c>
      <c r="P39724" s="5" t="s">
        <v>355</v>
      </c>
      <c r="Q39724" s="5" t="s">
        <v>355</v>
      </c>
    </row>
    <row r="39725" ht="16.5" customHeight="1">
      <c r="O39725" s="5" t="s">
        <v>355</v>
      </c>
      <c r="P39725" s="5" t="s">
        <v>355</v>
      </c>
      <c r="Q39725" s="5" t="s">
        <v>355</v>
      </c>
    </row>
    <row r="39726" ht="16.5" customHeight="1">
      <c r="O39726" s="5" t="s">
        <v>355</v>
      </c>
      <c r="P39726" s="5" t="s">
        <v>355</v>
      </c>
      <c r="Q39726" s="5" t="s">
        <v>355</v>
      </c>
    </row>
    <row r="39727" ht="16.5" customHeight="1">
      <c r="O39727" s="5" t="s">
        <v>355</v>
      </c>
      <c r="P39727" s="5" t="s">
        <v>355</v>
      </c>
      <c r="Q39727" s="5" t="s">
        <v>355</v>
      </c>
    </row>
    <row r="39728" ht="16.5" customHeight="1">
      <c r="O39728" s="5" t="s">
        <v>355</v>
      </c>
      <c r="P39728" s="5" t="s">
        <v>355</v>
      </c>
      <c r="Q39728" s="5" t="s">
        <v>355</v>
      </c>
    </row>
    <row r="39729" ht="16.5" customHeight="1">
      <c r="O39729" s="5" t="s">
        <v>355</v>
      </c>
      <c r="P39729" s="5" t="s">
        <v>355</v>
      </c>
      <c r="Q39729" s="5" t="s">
        <v>355</v>
      </c>
    </row>
    <row r="39730" ht="16.5" customHeight="1">
      <c r="O39730" s="5" t="s">
        <v>355</v>
      </c>
      <c r="P39730" s="5" t="s">
        <v>355</v>
      </c>
      <c r="Q39730" s="5" t="s">
        <v>355</v>
      </c>
    </row>
    <row r="39731" ht="16.5" customHeight="1">
      <c r="O39731" s="5" t="s">
        <v>355</v>
      </c>
      <c r="P39731" s="5" t="s">
        <v>355</v>
      </c>
      <c r="Q39731" s="5" t="s">
        <v>355</v>
      </c>
    </row>
    <row r="39732" ht="16.5" customHeight="1">
      <c r="O39732" s="5" t="s">
        <v>355</v>
      </c>
      <c r="P39732" s="5" t="s">
        <v>355</v>
      </c>
      <c r="Q39732" s="5" t="s">
        <v>355</v>
      </c>
    </row>
    <row r="39733" ht="16.5" customHeight="1">
      <c r="O39733" s="5" t="s">
        <v>355</v>
      </c>
      <c r="P39733" s="5" t="s">
        <v>355</v>
      </c>
      <c r="Q39733" s="5" t="s">
        <v>355</v>
      </c>
    </row>
    <row r="39734" ht="16.5" customHeight="1">
      <c r="O39734" s="5" t="s">
        <v>355</v>
      </c>
      <c r="P39734" s="5" t="s">
        <v>355</v>
      </c>
      <c r="Q39734" s="5" t="s">
        <v>355</v>
      </c>
    </row>
    <row r="39735" ht="16.5" customHeight="1">
      <c r="O39735" s="5" t="s">
        <v>355</v>
      </c>
      <c r="P39735" s="5" t="s">
        <v>355</v>
      </c>
      <c r="Q39735" s="5" t="s">
        <v>355</v>
      </c>
    </row>
    <row r="39736" ht="16.5" customHeight="1">
      <c r="O39736" s="5" t="s">
        <v>355</v>
      </c>
      <c r="P39736" s="5" t="s">
        <v>355</v>
      </c>
      <c r="Q39736" s="5" t="s">
        <v>355</v>
      </c>
    </row>
    <row r="39737" ht="16.5" customHeight="1">
      <c r="O39737" s="5" t="s">
        <v>355</v>
      </c>
      <c r="P39737" s="5" t="s">
        <v>355</v>
      </c>
      <c r="Q39737" s="5" t="s">
        <v>355</v>
      </c>
    </row>
    <row r="39738" ht="16.5" customHeight="1">
      <c r="O39738" s="5" t="s">
        <v>355</v>
      </c>
      <c r="P39738" s="5" t="s">
        <v>355</v>
      </c>
      <c r="Q39738" s="5" t="s">
        <v>355</v>
      </c>
    </row>
    <row r="39739" ht="16.5" customHeight="1">
      <c r="O39739" s="5" t="s">
        <v>355</v>
      </c>
      <c r="P39739" s="5" t="s">
        <v>355</v>
      </c>
      <c r="Q39739" s="5" t="s">
        <v>355</v>
      </c>
    </row>
    <row r="39740" ht="16.5" customHeight="1">
      <c r="O39740" s="5" t="s">
        <v>355</v>
      </c>
      <c r="P39740" s="5" t="s">
        <v>355</v>
      </c>
      <c r="Q39740" s="5" t="s">
        <v>355</v>
      </c>
    </row>
    <row r="39741" ht="16.5" customHeight="1">
      <c r="O39741" s="5" t="s">
        <v>355</v>
      </c>
      <c r="P39741" s="5" t="s">
        <v>355</v>
      </c>
      <c r="Q39741" s="5" t="s">
        <v>355</v>
      </c>
    </row>
    <row r="39742" ht="16.5" customHeight="1">
      <c r="O39742" s="5" t="s">
        <v>355</v>
      </c>
      <c r="P39742" s="5" t="s">
        <v>355</v>
      </c>
      <c r="Q39742" s="5" t="s">
        <v>355</v>
      </c>
    </row>
    <row r="39743" ht="16.5" customHeight="1">
      <c r="O39743" s="5" t="s">
        <v>355</v>
      </c>
      <c r="P39743" s="5" t="s">
        <v>355</v>
      </c>
      <c r="Q39743" s="5" t="s">
        <v>355</v>
      </c>
    </row>
    <row r="39744" ht="16.5" customHeight="1">
      <c r="O39744" s="5" t="s">
        <v>355</v>
      </c>
      <c r="P39744" s="5" t="s">
        <v>355</v>
      </c>
      <c r="Q39744" s="5" t="s">
        <v>355</v>
      </c>
    </row>
    <row r="39745" ht="16.5" customHeight="1">
      <c r="O39745" s="5" t="s">
        <v>355</v>
      </c>
      <c r="P39745" s="5" t="s">
        <v>355</v>
      </c>
      <c r="Q39745" s="5" t="s">
        <v>355</v>
      </c>
    </row>
    <row r="39746" ht="16.5" customHeight="1">
      <c r="O39746" s="5" t="s">
        <v>355</v>
      </c>
      <c r="P39746" s="5" t="s">
        <v>355</v>
      </c>
      <c r="Q39746" s="5" t="s">
        <v>355</v>
      </c>
    </row>
    <row r="39747" ht="16.5" customHeight="1">
      <c r="O39747" s="5" t="s">
        <v>355</v>
      </c>
      <c r="P39747" s="5" t="s">
        <v>355</v>
      </c>
      <c r="Q39747" s="5" t="s">
        <v>355</v>
      </c>
    </row>
    <row r="39748" ht="16.5" customHeight="1">
      <c r="O39748" s="5" t="s">
        <v>355</v>
      </c>
      <c r="P39748" s="5" t="s">
        <v>355</v>
      </c>
      <c r="Q39748" s="5" t="s">
        <v>355</v>
      </c>
    </row>
    <row r="39749" ht="16.5" customHeight="1">
      <c r="O39749" s="5" t="s">
        <v>355</v>
      </c>
      <c r="P39749" s="5" t="s">
        <v>355</v>
      </c>
      <c r="Q39749" s="5" t="s">
        <v>355</v>
      </c>
    </row>
    <row r="39750" ht="16.5" customHeight="1">
      <c r="O39750" s="5" t="s">
        <v>355</v>
      </c>
      <c r="P39750" s="5" t="s">
        <v>355</v>
      </c>
      <c r="Q39750" s="5" t="s">
        <v>355</v>
      </c>
    </row>
    <row r="39751" ht="16.5" customHeight="1">
      <c r="O39751" s="5" t="s">
        <v>355</v>
      </c>
      <c r="P39751" s="5" t="s">
        <v>355</v>
      </c>
      <c r="Q39751" s="5" t="s">
        <v>355</v>
      </c>
    </row>
    <row r="39752" ht="16.5" customHeight="1">
      <c r="O39752" s="5" t="s">
        <v>355</v>
      </c>
      <c r="P39752" s="5" t="s">
        <v>355</v>
      </c>
      <c r="Q39752" s="5" t="s">
        <v>355</v>
      </c>
    </row>
    <row r="39753" ht="16.5" customHeight="1">
      <c r="O39753" s="5" t="s">
        <v>355</v>
      </c>
      <c r="P39753" s="5" t="s">
        <v>355</v>
      </c>
      <c r="Q39753" s="5" t="s">
        <v>355</v>
      </c>
    </row>
    <row r="39754" ht="16.5" customHeight="1">
      <c r="O39754" s="5" t="s">
        <v>355</v>
      </c>
      <c r="P39754" s="5" t="s">
        <v>355</v>
      </c>
      <c r="Q39754" s="5" t="s">
        <v>355</v>
      </c>
    </row>
    <row r="39755" ht="16.5" customHeight="1">
      <c r="O39755" s="5" t="s">
        <v>355</v>
      </c>
      <c r="P39755" s="5" t="s">
        <v>355</v>
      </c>
      <c r="Q39755" s="5" t="s">
        <v>355</v>
      </c>
    </row>
    <row r="39756" ht="16.5" customHeight="1">
      <c r="O39756" s="5" t="s">
        <v>355</v>
      </c>
      <c r="P39756" s="5" t="s">
        <v>355</v>
      </c>
      <c r="Q39756" s="5" t="s">
        <v>355</v>
      </c>
    </row>
    <row r="39757" ht="16.5" customHeight="1">
      <c r="O39757" s="5" t="s">
        <v>355</v>
      </c>
      <c r="P39757" s="5" t="s">
        <v>355</v>
      </c>
      <c r="Q39757" s="5" t="s">
        <v>355</v>
      </c>
    </row>
    <row r="39758" ht="16.5" customHeight="1">
      <c r="O39758" s="5" t="s">
        <v>355</v>
      </c>
      <c r="P39758" s="5" t="s">
        <v>355</v>
      </c>
      <c r="Q39758" s="5" t="s">
        <v>355</v>
      </c>
    </row>
    <row r="39759" ht="16.5" customHeight="1">
      <c r="O39759" s="5" t="s">
        <v>355</v>
      </c>
      <c r="P39759" s="5" t="s">
        <v>355</v>
      </c>
      <c r="Q39759" s="5" t="s">
        <v>355</v>
      </c>
    </row>
    <row r="39760" ht="16.5" customHeight="1">
      <c r="O39760" s="5" t="s">
        <v>355</v>
      </c>
      <c r="P39760" s="5" t="s">
        <v>355</v>
      </c>
      <c r="Q39760" s="5" t="s">
        <v>355</v>
      </c>
    </row>
    <row r="39761" ht="16.5" customHeight="1">
      <c r="O39761" s="5" t="s">
        <v>355</v>
      </c>
      <c r="P39761" s="5" t="s">
        <v>355</v>
      </c>
      <c r="Q39761" s="5" t="s">
        <v>355</v>
      </c>
    </row>
    <row r="39762" ht="16.5" customHeight="1">
      <c r="O39762" s="5" t="s">
        <v>355</v>
      </c>
      <c r="P39762" s="5" t="s">
        <v>355</v>
      </c>
      <c r="Q39762" s="5" t="s">
        <v>355</v>
      </c>
    </row>
    <row r="39763" ht="16.5" customHeight="1">
      <c r="O39763" s="5" t="s">
        <v>355</v>
      </c>
      <c r="P39763" s="5" t="s">
        <v>355</v>
      </c>
      <c r="Q39763" s="5" t="s">
        <v>355</v>
      </c>
    </row>
    <row r="39764" ht="16.5" customHeight="1">
      <c r="O39764" s="5" t="s">
        <v>355</v>
      </c>
      <c r="P39764" s="5" t="s">
        <v>355</v>
      </c>
      <c r="Q39764" s="5" t="s">
        <v>355</v>
      </c>
    </row>
    <row r="39765" ht="16.5" customHeight="1">
      <c r="O39765" s="5" t="s">
        <v>355</v>
      </c>
      <c r="P39765" s="5" t="s">
        <v>355</v>
      </c>
      <c r="Q39765" s="5" t="s">
        <v>355</v>
      </c>
    </row>
    <row r="39766" ht="16.5" customHeight="1">
      <c r="O39766" s="5" t="s">
        <v>355</v>
      </c>
      <c r="P39766" s="5" t="s">
        <v>355</v>
      </c>
      <c r="Q39766" s="5" t="s">
        <v>355</v>
      </c>
    </row>
    <row r="39767" ht="16.5" customHeight="1">
      <c r="O39767" s="5" t="s">
        <v>355</v>
      </c>
      <c r="P39767" s="5" t="s">
        <v>355</v>
      </c>
      <c r="Q39767" s="5" t="s">
        <v>355</v>
      </c>
    </row>
    <row r="39768" ht="16.5" customHeight="1">
      <c r="O39768" s="5" t="s">
        <v>355</v>
      </c>
      <c r="P39768" s="5" t="s">
        <v>355</v>
      </c>
      <c r="Q39768" s="5" t="s">
        <v>355</v>
      </c>
    </row>
    <row r="39769" ht="16.5" customHeight="1">
      <c r="O39769" s="5" t="s">
        <v>355</v>
      </c>
      <c r="P39769" s="5" t="s">
        <v>355</v>
      </c>
      <c r="Q39769" s="5" t="s">
        <v>355</v>
      </c>
    </row>
    <row r="39770" ht="16.5" customHeight="1">
      <c r="O39770" s="5" t="s">
        <v>355</v>
      </c>
      <c r="P39770" s="5" t="s">
        <v>355</v>
      </c>
      <c r="Q39770" s="5" t="s">
        <v>355</v>
      </c>
    </row>
    <row r="39771" ht="16.5" customHeight="1">
      <c r="O39771" s="5" t="s">
        <v>355</v>
      </c>
      <c r="P39771" s="5" t="s">
        <v>355</v>
      </c>
      <c r="Q39771" s="5" t="s">
        <v>355</v>
      </c>
    </row>
    <row r="39772" ht="16.5" customHeight="1">
      <c r="O39772" s="5" t="s">
        <v>355</v>
      </c>
      <c r="P39772" s="5" t="s">
        <v>355</v>
      </c>
      <c r="Q39772" s="5" t="s">
        <v>355</v>
      </c>
    </row>
    <row r="39773" ht="16.5" customHeight="1">
      <c r="O39773" s="5" t="s">
        <v>355</v>
      </c>
      <c r="P39773" s="5" t="s">
        <v>355</v>
      </c>
      <c r="Q39773" s="5" t="s">
        <v>355</v>
      </c>
    </row>
    <row r="39774" ht="16.5" customHeight="1">
      <c r="O39774" s="5" t="s">
        <v>355</v>
      </c>
      <c r="P39774" s="5" t="s">
        <v>355</v>
      </c>
      <c r="Q39774" s="5" t="s">
        <v>355</v>
      </c>
    </row>
    <row r="39775" ht="16.5" customHeight="1">
      <c r="O39775" s="5" t="s">
        <v>355</v>
      </c>
      <c r="P39775" s="5" t="s">
        <v>355</v>
      </c>
      <c r="Q39775" s="5" t="s">
        <v>355</v>
      </c>
    </row>
    <row r="39776" ht="16.5" customHeight="1">
      <c r="O39776" s="5" t="s">
        <v>355</v>
      </c>
      <c r="P39776" s="5" t="s">
        <v>355</v>
      </c>
      <c r="Q39776" s="5" t="s">
        <v>355</v>
      </c>
    </row>
    <row r="39777" ht="16.5" customHeight="1">
      <c r="O39777" s="5" t="s">
        <v>355</v>
      </c>
      <c r="P39777" s="5" t="s">
        <v>355</v>
      </c>
      <c r="Q39777" s="5" t="s">
        <v>355</v>
      </c>
    </row>
    <row r="39778" ht="16.5" customHeight="1">
      <c r="O39778" s="5" t="s">
        <v>355</v>
      </c>
      <c r="P39778" s="5" t="s">
        <v>355</v>
      </c>
      <c r="Q39778" s="5" t="s">
        <v>355</v>
      </c>
    </row>
    <row r="39779" ht="16.5" customHeight="1">
      <c r="O39779" s="5" t="s">
        <v>355</v>
      </c>
      <c r="P39779" s="5" t="s">
        <v>355</v>
      </c>
      <c r="Q39779" s="5" t="s">
        <v>355</v>
      </c>
    </row>
    <row r="39780" ht="16.5" customHeight="1">
      <c r="O39780" s="5" t="s">
        <v>355</v>
      </c>
      <c r="P39780" s="5" t="s">
        <v>355</v>
      </c>
      <c r="Q39780" s="5" t="s">
        <v>355</v>
      </c>
    </row>
    <row r="39781" ht="16.5" customHeight="1">
      <c r="O39781" s="5" t="s">
        <v>355</v>
      </c>
      <c r="P39781" s="5" t="s">
        <v>355</v>
      </c>
      <c r="Q39781" s="5" t="s">
        <v>355</v>
      </c>
    </row>
    <row r="39782" ht="16.5" customHeight="1">
      <c r="O39782" s="5" t="s">
        <v>355</v>
      </c>
      <c r="P39782" s="5" t="s">
        <v>355</v>
      </c>
      <c r="Q39782" s="5" t="s">
        <v>355</v>
      </c>
    </row>
    <row r="39783" ht="16.5" customHeight="1">
      <c r="O39783" s="5" t="s">
        <v>355</v>
      </c>
      <c r="P39783" s="5" t="s">
        <v>355</v>
      </c>
      <c r="Q39783" s="5" t="s">
        <v>355</v>
      </c>
    </row>
    <row r="39784" ht="16.5" customHeight="1">
      <c r="O39784" s="5" t="s">
        <v>355</v>
      </c>
      <c r="P39784" s="5" t="s">
        <v>355</v>
      </c>
      <c r="Q39784" s="5" t="s">
        <v>355</v>
      </c>
    </row>
    <row r="39785" ht="16.5" customHeight="1">
      <c r="O39785" s="5" t="s">
        <v>355</v>
      </c>
      <c r="P39785" s="5" t="s">
        <v>355</v>
      </c>
      <c r="Q39785" s="5" t="s">
        <v>355</v>
      </c>
    </row>
    <row r="39786" ht="16.5" customHeight="1">
      <c r="O39786" s="5" t="s">
        <v>355</v>
      </c>
      <c r="P39786" s="5" t="s">
        <v>355</v>
      </c>
      <c r="Q39786" s="5" t="s">
        <v>355</v>
      </c>
    </row>
    <row r="39787" ht="16.5" customHeight="1">
      <c r="O39787" s="5" t="s">
        <v>355</v>
      </c>
      <c r="P39787" s="5" t="s">
        <v>355</v>
      </c>
      <c r="Q39787" s="5" t="s">
        <v>355</v>
      </c>
    </row>
    <row r="39788" ht="16.5" customHeight="1">
      <c r="O39788" s="5" t="s">
        <v>355</v>
      </c>
      <c r="P39788" s="5" t="s">
        <v>355</v>
      </c>
      <c r="Q39788" s="5" t="s">
        <v>355</v>
      </c>
    </row>
    <row r="39789" ht="16.5" customHeight="1">
      <c r="O39789" s="5" t="s">
        <v>355</v>
      </c>
      <c r="P39789" s="5" t="s">
        <v>355</v>
      </c>
      <c r="Q39789" s="5" t="s">
        <v>355</v>
      </c>
    </row>
    <row r="39790" ht="16.5" customHeight="1">
      <c r="O39790" s="5" t="s">
        <v>355</v>
      </c>
      <c r="P39790" s="5" t="s">
        <v>355</v>
      </c>
      <c r="Q39790" s="5" t="s">
        <v>355</v>
      </c>
    </row>
    <row r="39791" ht="16.5" customHeight="1">
      <c r="O39791" s="5" t="s">
        <v>355</v>
      </c>
      <c r="P39791" s="5" t="s">
        <v>355</v>
      </c>
      <c r="Q39791" s="5" t="s">
        <v>355</v>
      </c>
    </row>
    <row r="39792" ht="16.5" customHeight="1">
      <c r="O39792" s="5" t="s">
        <v>355</v>
      </c>
      <c r="P39792" s="5" t="s">
        <v>355</v>
      </c>
      <c r="Q39792" s="5" t="s">
        <v>355</v>
      </c>
    </row>
    <row r="39793" ht="16.5" customHeight="1">
      <c r="O39793" s="5" t="s">
        <v>355</v>
      </c>
      <c r="P39793" s="5" t="s">
        <v>355</v>
      </c>
      <c r="Q39793" s="5" t="s">
        <v>355</v>
      </c>
    </row>
    <row r="39794" ht="16.5" customHeight="1">
      <c r="O39794" s="5" t="s">
        <v>355</v>
      </c>
      <c r="P39794" s="5" t="s">
        <v>355</v>
      </c>
      <c r="Q39794" s="5" t="s">
        <v>355</v>
      </c>
    </row>
    <row r="39795" ht="16.5" customHeight="1">
      <c r="O39795" s="5" t="s">
        <v>355</v>
      </c>
      <c r="P39795" s="5" t="s">
        <v>355</v>
      </c>
      <c r="Q39795" s="5" t="s">
        <v>355</v>
      </c>
    </row>
    <row r="39796" ht="16.5" customHeight="1">
      <c r="O39796" s="5" t="s">
        <v>355</v>
      </c>
      <c r="P39796" s="5" t="s">
        <v>355</v>
      </c>
      <c r="Q39796" s="5" t="s">
        <v>355</v>
      </c>
    </row>
    <row r="39797" ht="16.5" customHeight="1">
      <c r="O39797" s="5" t="s">
        <v>355</v>
      </c>
      <c r="P39797" s="5" t="s">
        <v>355</v>
      </c>
      <c r="Q39797" s="5" t="s">
        <v>355</v>
      </c>
    </row>
    <row r="39798" ht="16.5" customHeight="1">
      <c r="O39798" s="5" t="s">
        <v>355</v>
      </c>
      <c r="P39798" s="5" t="s">
        <v>355</v>
      </c>
      <c r="Q39798" s="5" t="s">
        <v>355</v>
      </c>
    </row>
    <row r="39799" ht="16.5" customHeight="1">
      <c r="O39799" s="5" t="s">
        <v>355</v>
      </c>
      <c r="P39799" s="5" t="s">
        <v>355</v>
      </c>
      <c r="Q39799" s="5" t="s">
        <v>355</v>
      </c>
    </row>
    <row r="39800" ht="16.5" customHeight="1">
      <c r="O39800" s="5" t="s">
        <v>355</v>
      </c>
      <c r="P39800" s="5" t="s">
        <v>355</v>
      </c>
      <c r="Q39800" s="5" t="s">
        <v>355</v>
      </c>
    </row>
    <row r="39801" ht="16.5" customHeight="1">
      <c r="O39801" s="5" t="s">
        <v>355</v>
      </c>
      <c r="P39801" s="5" t="s">
        <v>355</v>
      </c>
      <c r="Q39801" s="5" t="s">
        <v>355</v>
      </c>
    </row>
    <row r="39802" ht="16.5" customHeight="1">
      <c r="O39802" s="5" t="s">
        <v>355</v>
      </c>
      <c r="P39802" s="5" t="s">
        <v>355</v>
      </c>
      <c r="Q39802" s="5" t="s">
        <v>355</v>
      </c>
    </row>
    <row r="39803" ht="16.5" customHeight="1">
      <c r="O39803" s="5" t="s">
        <v>355</v>
      </c>
      <c r="P39803" s="5" t="s">
        <v>355</v>
      </c>
      <c r="Q39803" s="5" t="s">
        <v>355</v>
      </c>
    </row>
    <row r="39804" ht="16.5" customHeight="1">
      <c r="O39804" s="5" t="s">
        <v>355</v>
      </c>
      <c r="P39804" s="5" t="s">
        <v>355</v>
      </c>
      <c r="Q39804" s="5" t="s">
        <v>355</v>
      </c>
    </row>
    <row r="39805" ht="16.5" customHeight="1">
      <c r="O39805" s="5" t="s">
        <v>355</v>
      </c>
      <c r="P39805" s="5" t="s">
        <v>355</v>
      </c>
      <c r="Q39805" s="5" t="s">
        <v>355</v>
      </c>
    </row>
    <row r="39806" ht="16.5" customHeight="1">
      <c r="O39806" s="5" t="s">
        <v>355</v>
      </c>
      <c r="P39806" s="5" t="s">
        <v>355</v>
      </c>
      <c r="Q39806" s="5" t="s">
        <v>355</v>
      </c>
    </row>
    <row r="39807" ht="16.5" customHeight="1">
      <c r="O39807" s="5" t="s">
        <v>355</v>
      </c>
      <c r="P39807" s="5" t="s">
        <v>355</v>
      </c>
      <c r="Q39807" s="5" t="s">
        <v>355</v>
      </c>
    </row>
    <row r="39808" ht="16.5" customHeight="1">
      <c r="O39808" s="5" t="s">
        <v>355</v>
      </c>
      <c r="P39808" s="5" t="s">
        <v>355</v>
      </c>
      <c r="Q39808" s="5" t="s">
        <v>355</v>
      </c>
    </row>
    <row r="39809" ht="16.5" customHeight="1">
      <c r="O39809" s="5" t="s">
        <v>355</v>
      </c>
      <c r="P39809" s="5" t="s">
        <v>355</v>
      </c>
      <c r="Q39809" s="5" t="s">
        <v>355</v>
      </c>
    </row>
    <row r="39810" ht="16.5" customHeight="1">
      <c r="O39810" s="5" t="s">
        <v>355</v>
      </c>
      <c r="P39810" s="5" t="s">
        <v>355</v>
      </c>
      <c r="Q39810" s="5" t="s">
        <v>355</v>
      </c>
    </row>
    <row r="39811" ht="16.5" customHeight="1">
      <c r="O39811" s="5" t="s">
        <v>355</v>
      </c>
      <c r="P39811" s="5" t="s">
        <v>355</v>
      </c>
      <c r="Q39811" s="5" t="s">
        <v>355</v>
      </c>
    </row>
    <row r="39812" ht="16.5" customHeight="1">
      <c r="O39812" s="5" t="s">
        <v>355</v>
      </c>
      <c r="P39812" s="5" t="s">
        <v>355</v>
      </c>
      <c r="Q39812" s="5" t="s">
        <v>355</v>
      </c>
    </row>
    <row r="39813" ht="16.5" customHeight="1">
      <c r="O39813" s="5" t="s">
        <v>355</v>
      </c>
      <c r="P39813" s="5" t="s">
        <v>355</v>
      </c>
      <c r="Q39813" s="5" t="s">
        <v>355</v>
      </c>
    </row>
    <row r="39814" ht="16.5" customHeight="1">
      <c r="O39814" s="5" t="s">
        <v>355</v>
      </c>
      <c r="P39814" s="5" t="s">
        <v>355</v>
      </c>
      <c r="Q39814" s="5" t="s">
        <v>355</v>
      </c>
    </row>
    <row r="39815" ht="16.5" customHeight="1">
      <c r="O39815" s="5" t="s">
        <v>355</v>
      </c>
      <c r="P39815" s="5" t="s">
        <v>355</v>
      </c>
      <c r="Q39815" s="5" t="s">
        <v>355</v>
      </c>
    </row>
    <row r="39816" ht="16.5" customHeight="1">
      <c r="O39816" s="5" t="s">
        <v>355</v>
      </c>
      <c r="P39816" s="5" t="s">
        <v>355</v>
      </c>
      <c r="Q39816" s="5" t="s">
        <v>355</v>
      </c>
    </row>
    <row r="39817" ht="16.5" customHeight="1">
      <c r="O39817" s="5" t="s">
        <v>355</v>
      </c>
      <c r="P39817" s="5" t="s">
        <v>355</v>
      </c>
      <c r="Q39817" s="5" t="s">
        <v>355</v>
      </c>
    </row>
    <row r="39818" ht="16.5" customHeight="1">
      <c r="O39818" s="5" t="s">
        <v>355</v>
      </c>
      <c r="P39818" s="5" t="s">
        <v>355</v>
      </c>
      <c r="Q39818" s="5" t="s">
        <v>355</v>
      </c>
    </row>
    <row r="39819" ht="16.5" customHeight="1">
      <c r="O39819" s="5" t="s">
        <v>355</v>
      </c>
      <c r="P39819" s="5" t="s">
        <v>355</v>
      </c>
      <c r="Q39819" s="5" t="s">
        <v>355</v>
      </c>
    </row>
    <row r="39820" ht="16.5" customHeight="1">
      <c r="O39820" s="5" t="s">
        <v>355</v>
      </c>
      <c r="P39820" s="5" t="s">
        <v>355</v>
      </c>
      <c r="Q39820" s="5" t="s">
        <v>355</v>
      </c>
    </row>
    <row r="39821" ht="16.5" customHeight="1">
      <c r="O39821" s="5" t="s">
        <v>355</v>
      </c>
      <c r="P39821" s="5" t="s">
        <v>355</v>
      </c>
      <c r="Q39821" s="5" t="s">
        <v>355</v>
      </c>
    </row>
    <row r="39822" ht="16.5" customHeight="1">
      <c r="O39822" s="5" t="s">
        <v>355</v>
      </c>
      <c r="P39822" s="5" t="s">
        <v>355</v>
      </c>
      <c r="Q39822" s="5" t="s">
        <v>355</v>
      </c>
    </row>
    <row r="39823" ht="16.5" customHeight="1">
      <c r="O39823" s="5" t="s">
        <v>355</v>
      </c>
      <c r="P39823" s="5" t="s">
        <v>355</v>
      </c>
      <c r="Q39823" s="5" t="s">
        <v>355</v>
      </c>
    </row>
    <row r="39824" ht="16.5" customHeight="1">
      <c r="O39824" s="5" t="s">
        <v>355</v>
      </c>
      <c r="P39824" s="5" t="s">
        <v>355</v>
      </c>
      <c r="Q39824" s="5" t="s">
        <v>355</v>
      </c>
    </row>
    <row r="39825" ht="16.5" customHeight="1">
      <c r="O39825" s="5" t="s">
        <v>355</v>
      </c>
      <c r="P39825" s="5" t="s">
        <v>355</v>
      </c>
      <c r="Q39825" s="5" t="s">
        <v>355</v>
      </c>
    </row>
    <row r="39826" ht="16.5" customHeight="1">
      <c r="O39826" s="5" t="s">
        <v>355</v>
      </c>
      <c r="P39826" s="5" t="s">
        <v>355</v>
      </c>
      <c r="Q39826" s="5" t="s">
        <v>355</v>
      </c>
    </row>
    <row r="39827" ht="16.5" customHeight="1">
      <c r="O39827" s="5" t="s">
        <v>355</v>
      </c>
      <c r="P39827" s="5" t="s">
        <v>355</v>
      </c>
      <c r="Q39827" s="5" t="s">
        <v>355</v>
      </c>
    </row>
    <row r="39828" ht="16.5" customHeight="1">
      <c r="O39828" s="5" t="s">
        <v>355</v>
      </c>
      <c r="P39828" s="5" t="s">
        <v>355</v>
      </c>
      <c r="Q39828" s="5" t="s">
        <v>355</v>
      </c>
    </row>
    <row r="39829" ht="16.5" customHeight="1">
      <c r="O39829" s="5" t="s">
        <v>355</v>
      </c>
      <c r="P39829" s="5" t="s">
        <v>355</v>
      </c>
      <c r="Q39829" s="5" t="s">
        <v>355</v>
      </c>
    </row>
    <row r="39830" ht="16.5" customHeight="1">
      <c r="O39830" s="5" t="s">
        <v>355</v>
      </c>
      <c r="P39830" s="5" t="s">
        <v>355</v>
      </c>
      <c r="Q39830" s="5" t="s">
        <v>355</v>
      </c>
    </row>
    <row r="39831" ht="16.5" customHeight="1">
      <c r="O39831" s="5" t="s">
        <v>355</v>
      </c>
      <c r="P39831" s="5" t="s">
        <v>355</v>
      </c>
      <c r="Q39831" s="5" t="s">
        <v>355</v>
      </c>
    </row>
    <row r="39832" ht="16.5" customHeight="1">
      <c r="O39832" s="5" t="s">
        <v>355</v>
      </c>
      <c r="P39832" s="5" t="s">
        <v>355</v>
      </c>
      <c r="Q39832" s="5" t="s">
        <v>355</v>
      </c>
    </row>
    <row r="39833" ht="16.5" customHeight="1">
      <c r="O39833" s="5" t="s">
        <v>355</v>
      </c>
      <c r="P39833" s="5" t="s">
        <v>355</v>
      </c>
      <c r="Q39833" s="5" t="s">
        <v>355</v>
      </c>
    </row>
    <row r="39834" ht="16.5" customHeight="1">
      <c r="O39834" s="5" t="s">
        <v>355</v>
      </c>
      <c r="P39834" s="5" t="s">
        <v>355</v>
      </c>
      <c r="Q39834" s="5" t="s">
        <v>355</v>
      </c>
    </row>
    <row r="39835" ht="16.5" customHeight="1">
      <c r="O39835" s="5" t="s">
        <v>355</v>
      </c>
      <c r="P39835" s="5" t="s">
        <v>355</v>
      </c>
      <c r="Q39835" s="5" t="s">
        <v>355</v>
      </c>
    </row>
    <row r="39836" ht="16.5" customHeight="1">
      <c r="O39836" s="5" t="s">
        <v>355</v>
      </c>
      <c r="P39836" s="5" t="s">
        <v>355</v>
      </c>
      <c r="Q39836" s="5" t="s">
        <v>355</v>
      </c>
    </row>
    <row r="39837" ht="16.5" customHeight="1">
      <c r="O39837" s="5" t="s">
        <v>355</v>
      </c>
      <c r="P39837" s="5" t="s">
        <v>355</v>
      </c>
      <c r="Q39837" s="5" t="s">
        <v>355</v>
      </c>
    </row>
    <row r="39838" ht="16.5" customHeight="1">
      <c r="O39838" s="5" t="s">
        <v>355</v>
      </c>
      <c r="P39838" s="5" t="s">
        <v>355</v>
      </c>
      <c r="Q39838" s="5" t="s">
        <v>355</v>
      </c>
    </row>
    <row r="39839" ht="16.5" customHeight="1">
      <c r="O39839" s="5" t="s">
        <v>355</v>
      </c>
      <c r="P39839" s="5" t="s">
        <v>355</v>
      </c>
      <c r="Q39839" s="5" t="s">
        <v>355</v>
      </c>
    </row>
    <row r="39840" ht="16.5" customHeight="1">
      <c r="O39840" s="5" t="s">
        <v>355</v>
      </c>
      <c r="P39840" s="5" t="s">
        <v>355</v>
      </c>
      <c r="Q39840" s="5" t="s">
        <v>355</v>
      </c>
    </row>
    <row r="39841" ht="16.5" customHeight="1">
      <c r="O39841" s="5" t="s">
        <v>355</v>
      </c>
      <c r="P39841" s="5" t="s">
        <v>355</v>
      </c>
      <c r="Q39841" s="5" t="s">
        <v>355</v>
      </c>
    </row>
    <row r="39842" ht="16.5" customHeight="1">
      <c r="O39842" s="5" t="s">
        <v>355</v>
      </c>
      <c r="P39842" s="5" t="s">
        <v>355</v>
      </c>
      <c r="Q39842" s="5" t="s">
        <v>355</v>
      </c>
    </row>
    <row r="39843" ht="16.5" customHeight="1">
      <c r="O39843" s="5" t="s">
        <v>355</v>
      </c>
      <c r="P39843" s="5" t="s">
        <v>355</v>
      </c>
      <c r="Q39843" s="5" t="s">
        <v>355</v>
      </c>
    </row>
    <row r="39844" ht="16.5" customHeight="1">
      <c r="O39844" s="5" t="s">
        <v>355</v>
      </c>
      <c r="P39844" s="5" t="s">
        <v>355</v>
      </c>
      <c r="Q39844" s="5" t="s">
        <v>355</v>
      </c>
    </row>
    <row r="39845" ht="16.5" customHeight="1">
      <c r="O39845" s="5" t="s">
        <v>355</v>
      </c>
      <c r="P39845" s="5" t="s">
        <v>355</v>
      </c>
      <c r="Q39845" s="5" t="s">
        <v>355</v>
      </c>
    </row>
    <row r="39846" ht="16.5" customHeight="1">
      <c r="O39846" s="5" t="s">
        <v>355</v>
      </c>
      <c r="P39846" s="5" t="s">
        <v>355</v>
      </c>
      <c r="Q39846" s="5" t="s">
        <v>355</v>
      </c>
    </row>
    <row r="39847" ht="16.5" customHeight="1">
      <c r="O39847" s="5" t="s">
        <v>355</v>
      </c>
      <c r="P39847" s="5" t="s">
        <v>355</v>
      </c>
      <c r="Q39847" s="5" t="s">
        <v>355</v>
      </c>
    </row>
    <row r="39848" ht="16.5" customHeight="1">
      <c r="O39848" s="5" t="s">
        <v>355</v>
      </c>
      <c r="P39848" s="5" t="s">
        <v>355</v>
      </c>
      <c r="Q39848" s="5" t="s">
        <v>355</v>
      </c>
    </row>
    <row r="39849" ht="16.5" customHeight="1">
      <c r="O39849" s="5" t="s">
        <v>355</v>
      </c>
      <c r="P39849" s="5" t="s">
        <v>355</v>
      </c>
      <c r="Q39849" s="5" t="s">
        <v>355</v>
      </c>
    </row>
    <row r="39850" ht="16.5" customHeight="1">
      <c r="O39850" s="5" t="s">
        <v>355</v>
      </c>
      <c r="P39850" s="5" t="s">
        <v>355</v>
      </c>
      <c r="Q39850" s="5" t="s">
        <v>355</v>
      </c>
    </row>
    <row r="39851" ht="16.5" customHeight="1">
      <c r="O39851" s="5" t="s">
        <v>355</v>
      </c>
      <c r="P39851" s="5" t="s">
        <v>355</v>
      </c>
      <c r="Q39851" s="5" t="s">
        <v>355</v>
      </c>
    </row>
    <row r="39852" ht="16.5" customHeight="1">
      <c r="O39852" s="5" t="s">
        <v>355</v>
      </c>
      <c r="P39852" s="5" t="s">
        <v>355</v>
      </c>
      <c r="Q39852" s="5" t="s">
        <v>355</v>
      </c>
    </row>
    <row r="39853" ht="16.5" customHeight="1">
      <c r="O39853" s="5" t="s">
        <v>355</v>
      </c>
      <c r="P39853" s="5" t="s">
        <v>355</v>
      </c>
      <c r="Q39853" s="5" t="s">
        <v>355</v>
      </c>
    </row>
    <row r="39854" ht="16.5" customHeight="1">
      <c r="O39854" s="5" t="s">
        <v>355</v>
      </c>
      <c r="P39854" s="5" t="s">
        <v>355</v>
      </c>
      <c r="Q39854" s="5" t="s">
        <v>355</v>
      </c>
    </row>
    <row r="39855" ht="16.5" customHeight="1">
      <c r="O39855" s="5" t="s">
        <v>355</v>
      </c>
      <c r="P39855" s="5" t="s">
        <v>355</v>
      </c>
      <c r="Q39855" s="5" t="s">
        <v>355</v>
      </c>
    </row>
    <row r="39856" ht="16.5" customHeight="1">
      <c r="O39856" s="5" t="s">
        <v>355</v>
      </c>
      <c r="P39856" s="5" t="s">
        <v>355</v>
      </c>
      <c r="Q39856" s="5" t="s">
        <v>355</v>
      </c>
    </row>
    <row r="39857" ht="16.5" customHeight="1">
      <c r="O39857" s="5" t="s">
        <v>355</v>
      </c>
      <c r="P39857" s="5" t="s">
        <v>355</v>
      </c>
      <c r="Q39857" s="5" t="s">
        <v>355</v>
      </c>
    </row>
    <row r="39858" ht="16.5" customHeight="1">
      <c r="O39858" s="5" t="s">
        <v>355</v>
      </c>
      <c r="P39858" s="5" t="s">
        <v>355</v>
      </c>
      <c r="Q39858" s="5" t="s">
        <v>355</v>
      </c>
    </row>
    <row r="39859" ht="16.5" customHeight="1">
      <c r="O39859" s="5" t="s">
        <v>355</v>
      </c>
      <c r="P39859" s="5" t="s">
        <v>355</v>
      </c>
      <c r="Q39859" s="5" t="s">
        <v>355</v>
      </c>
    </row>
    <row r="39860" ht="16.5" customHeight="1">
      <c r="O39860" s="5" t="s">
        <v>355</v>
      </c>
      <c r="P39860" s="5" t="s">
        <v>355</v>
      </c>
      <c r="Q39860" s="5" t="s">
        <v>355</v>
      </c>
    </row>
    <row r="39861" ht="16.5" customHeight="1">
      <c r="O39861" s="5" t="s">
        <v>355</v>
      </c>
      <c r="P39861" s="5" t="s">
        <v>355</v>
      </c>
      <c r="Q39861" s="5" t="s">
        <v>355</v>
      </c>
    </row>
    <row r="39862" ht="16.5" customHeight="1">
      <c r="O39862" s="5" t="s">
        <v>355</v>
      </c>
      <c r="P39862" s="5" t="s">
        <v>355</v>
      </c>
      <c r="Q39862" s="5" t="s">
        <v>355</v>
      </c>
    </row>
    <row r="39863" ht="16.5" customHeight="1">
      <c r="O39863" s="5" t="s">
        <v>355</v>
      </c>
      <c r="P39863" s="5" t="s">
        <v>355</v>
      </c>
      <c r="Q39863" s="5" t="s">
        <v>355</v>
      </c>
    </row>
    <row r="39864" ht="16.5" customHeight="1">
      <c r="O39864" s="5" t="s">
        <v>355</v>
      </c>
      <c r="P39864" s="5" t="s">
        <v>355</v>
      </c>
      <c r="Q39864" s="5" t="s">
        <v>355</v>
      </c>
    </row>
    <row r="39865" ht="16.5" customHeight="1">
      <c r="O39865" s="5" t="s">
        <v>355</v>
      </c>
      <c r="P39865" s="5" t="s">
        <v>355</v>
      </c>
      <c r="Q39865" s="5" t="s">
        <v>355</v>
      </c>
    </row>
    <row r="39866" ht="16.5" customHeight="1">
      <c r="O39866" s="5" t="s">
        <v>355</v>
      </c>
      <c r="P39866" s="5" t="s">
        <v>355</v>
      </c>
      <c r="Q39866" s="5" t="s">
        <v>355</v>
      </c>
    </row>
    <row r="39867" ht="16.5" customHeight="1">
      <c r="O39867" s="5" t="s">
        <v>355</v>
      </c>
      <c r="P39867" s="5" t="s">
        <v>355</v>
      </c>
      <c r="Q39867" s="5" t="s">
        <v>355</v>
      </c>
    </row>
    <row r="39868" ht="16.5" customHeight="1">
      <c r="O39868" s="5" t="s">
        <v>355</v>
      </c>
      <c r="P39868" s="5" t="s">
        <v>355</v>
      </c>
      <c r="Q39868" s="5" t="s">
        <v>355</v>
      </c>
    </row>
    <row r="39869" ht="16.5" customHeight="1">
      <c r="O39869" s="5" t="s">
        <v>355</v>
      </c>
      <c r="P39869" s="5" t="s">
        <v>355</v>
      </c>
      <c r="Q39869" s="5" t="s">
        <v>355</v>
      </c>
    </row>
    <row r="39870" ht="16.5" customHeight="1">
      <c r="O39870" s="5" t="s">
        <v>355</v>
      </c>
      <c r="P39870" s="5" t="s">
        <v>355</v>
      </c>
      <c r="Q39870" s="5" t="s">
        <v>355</v>
      </c>
    </row>
    <row r="39871" ht="16.5" customHeight="1">
      <c r="O39871" s="5" t="s">
        <v>355</v>
      </c>
      <c r="P39871" s="5" t="s">
        <v>355</v>
      </c>
      <c r="Q39871" s="5" t="s">
        <v>355</v>
      </c>
    </row>
    <row r="39872" ht="16.5" customHeight="1">
      <c r="O39872" s="5" t="s">
        <v>355</v>
      </c>
      <c r="P39872" s="5" t="s">
        <v>355</v>
      </c>
      <c r="Q39872" s="5" t="s">
        <v>355</v>
      </c>
    </row>
    <row r="39873" ht="16.5" customHeight="1">
      <c r="O39873" s="5" t="s">
        <v>355</v>
      </c>
      <c r="P39873" s="5" t="s">
        <v>355</v>
      </c>
      <c r="Q39873" s="5" t="s">
        <v>355</v>
      </c>
    </row>
    <row r="39874" ht="16.5" customHeight="1">
      <c r="O39874" s="5" t="s">
        <v>355</v>
      </c>
      <c r="P39874" s="5" t="s">
        <v>355</v>
      </c>
      <c r="Q39874" s="5" t="s">
        <v>355</v>
      </c>
    </row>
    <row r="39875" ht="16.5" customHeight="1">
      <c r="O39875" s="5" t="s">
        <v>355</v>
      </c>
      <c r="P39875" s="5" t="s">
        <v>355</v>
      </c>
      <c r="Q39875" s="5" t="s">
        <v>355</v>
      </c>
    </row>
    <row r="39876" ht="16.5" customHeight="1">
      <c r="O39876" s="5" t="s">
        <v>355</v>
      </c>
      <c r="P39876" s="5" t="s">
        <v>355</v>
      </c>
      <c r="Q39876" s="5" t="s">
        <v>355</v>
      </c>
    </row>
    <row r="39877" ht="16.5" customHeight="1">
      <c r="O39877" s="5" t="s">
        <v>355</v>
      </c>
      <c r="P39877" s="5" t="s">
        <v>355</v>
      </c>
      <c r="Q39877" s="5" t="s">
        <v>355</v>
      </c>
    </row>
    <row r="39878" ht="16.5" customHeight="1">
      <c r="O39878" s="5" t="s">
        <v>355</v>
      </c>
      <c r="P39878" s="5" t="s">
        <v>355</v>
      </c>
      <c r="Q39878" s="5" t="s">
        <v>355</v>
      </c>
    </row>
    <row r="39879" ht="16.5" customHeight="1">
      <c r="O39879" s="5" t="s">
        <v>355</v>
      </c>
      <c r="P39879" s="5" t="s">
        <v>355</v>
      </c>
      <c r="Q39879" s="5" t="s">
        <v>355</v>
      </c>
    </row>
    <row r="39880" ht="16.5" customHeight="1">
      <c r="O39880" s="5" t="s">
        <v>355</v>
      </c>
      <c r="P39880" s="5" t="s">
        <v>355</v>
      </c>
      <c r="Q39880" s="5" t="s">
        <v>355</v>
      </c>
    </row>
    <row r="39881" ht="16.5" customHeight="1">
      <c r="O39881" s="5" t="s">
        <v>355</v>
      </c>
      <c r="P39881" s="5" t="s">
        <v>355</v>
      </c>
      <c r="Q39881" s="5" t="s">
        <v>355</v>
      </c>
    </row>
    <row r="39882" ht="16.5" customHeight="1">
      <c r="O39882" s="5" t="s">
        <v>355</v>
      </c>
      <c r="P39882" s="5" t="s">
        <v>355</v>
      </c>
      <c r="Q39882" s="5" t="s">
        <v>355</v>
      </c>
    </row>
    <row r="39883" ht="16.5" customHeight="1">
      <c r="O39883" s="5" t="s">
        <v>355</v>
      </c>
      <c r="P39883" s="5" t="s">
        <v>355</v>
      </c>
      <c r="Q39883" s="5" t="s">
        <v>355</v>
      </c>
    </row>
    <row r="39884" ht="16.5" customHeight="1">
      <c r="O39884" s="5" t="s">
        <v>355</v>
      </c>
      <c r="P39884" s="5" t="s">
        <v>355</v>
      </c>
      <c r="Q39884" s="5" t="s">
        <v>355</v>
      </c>
    </row>
    <row r="39885" ht="16.5" customHeight="1">
      <c r="O39885" s="5" t="s">
        <v>355</v>
      </c>
      <c r="P39885" s="5" t="s">
        <v>355</v>
      </c>
      <c r="Q39885" s="5" t="s">
        <v>355</v>
      </c>
    </row>
    <row r="39886" ht="16.5" customHeight="1">
      <c r="O39886" s="5" t="s">
        <v>355</v>
      </c>
      <c r="P39886" s="5" t="s">
        <v>355</v>
      </c>
      <c r="Q39886" s="5" t="s">
        <v>355</v>
      </c>
    </row>
    <row r="39887" ht="16.5" customHeight="1">
      <c r="O39887" s="5" t="s">
        <v>355</v>
      </c>
      <c r="P39887" s="5" t="s">
        <v>355</v>
      </c>
      <c r="Q39887" s="5" t="s">
        <v>355</v>
      </c>
    </row>
    <row r="39888" ht="16.5" customHeight="1">
      <c r="O39888" s="5" t="s">
        <v>355</v>
      </c>
      <c r="P39888" s="5" t="s">
        <v>355</v>
      </c>
      <c r="Q39888" s="5" t="s">
        <v>355</v>
      </c>
    </row>
    <row r="39889" ht="16.5" customHeight="1">
      <c r="O39889" s="5" t="s">
        <v>355</v>
      </c>
      <c r="P39889" s="5" t="s">
        <v>355</v>
      </c>
      <c r="Q39889" s="5" t="s">
        <v>355</v>
      </c>
    </row>
    <row r="39890" ht="16.5" customHeight="1">
      <c r="O39890" s="5" t="s">
        <v>355</v>
      </c>
      <c r="P39890" s="5" t="s">
        <v>355</v>
      </c>
      <c r="Q39890" s="5" t="s">
        <v>355</v>
      </c>
    </row>
    <row r="39891" ht="16.5" customHeight="1">
      <c r="O39891" s="5" t="s">
        <v>355</v>
      </c>
      <c r="P39891" s="5" t="s">
        <v>355</v>
      </c>
      <c r="Q39891" s="5" t="s">
        <v>355</v>
      </c>
    </row>
    <row r="39892" ht="16.5" customHeight="1">
      <c r="O39892" s="5" t="s">
        <v>355</v>
      </c>
      <c r="P39892" s="5" t="s">
        <v>355</v>
      </c>
      <c r="Q39892" s="5" t="s">
        <v>355</v>
      </c>
    </row>
    <row r="39893" ht="16.5" customHeight="1">
      <c r="O39893" s="5" t="s">
        <v>355</v>
      </c>
      <c r="P39893" s="5" t="s">
        <v>355</v>
      </c>
      <c r="Q39893" s="5" t="s">
        <v>355</v>
      </c>
    </row>
    <row r="39894" ht="16.5" customHeight="1">
      <c r="O39894" s="5" t="s">
        <v>355</v>
      </c>
      <c r="P39894" s="5" t="s">
        <v>355</v>
      </c>
      <c r="Q39894" s="5" t="s">
        <v>355</v>
      </c>
    </row>
    <row r="39895" ht="16.5" customHeight="1">
      <c r="O39895" s="5" t="s">
        <v>355</v>
      </c>
      <c r="P39895" s="5" t="s">
        <v>355</v>
      </c>
      <c r="Q39895" s="5" t="s">
        <v>355</v>
      </c>
    </row>
    <row r="39896" ht="16.5" customHeight="1">
      <c r="O39896" s="5" t="s">
        <v>355</v>
      </c>
      <c r="P39896" s="5" t="s">
        <v>355</v>
      </c>
      <c r="Q39896" s="5" t="s">
        <v>355</v>
      </c>
    </row>
    <row r="39897" ht="16.5" customHeight="1">
      <c r="O39897" s="5" t="s">
        <v>355</v>
      </c>
      <c r="P39897" s="5" t="s">
        <v>355</v>
      </c>
      <c r="Q39897" s="5" t="s">
        <v>355</v>
      </c>
    </row>
    <row r="39898" ht="16.5" customHeight="1">
      <c r="O39898" s="5" t="s">
        <v>355</v>
      </c>
      <c r="P39898" s="5" t="s">
        <v>355</v>
      </c>
      <c r="Q39898" s="5" t="s">
        <v>355</v>
      </c>
    </row>
    <row r="39899" ht="16.5" customHeight="1">
      <c r="O39899" s="5" t="s">
        <v>355</v>
      </c>
      <c r="P39899" s="5" t="s">
        <v>355</v>
      </c>
      <c r="Q39899" s="5" t="s">
        <v>355</v>
      </c>
    </row>
    <row r="39900" ht="16.5" customHeight="1">
      <c r="O39900" s="5" t="s">
        <v>355</v>
      </c>
      <c r="P39900" s="5" t="s">
        <v>355</v>
      </c>
      <c r="Q39900" s="5" t="s">
        <v>355</v>
      </c>
    </row>
    <row r="39901" ht="16.5" customHeight="1">
      <c r="O39901" s="5" t="s">
        <v>355</v>
      </c>
      <c r="P39901" s="5" t="s">
        <v>355</v>
      </c>
      <c r="Q39901" s="5" t="s">
        <v>355</v>
      </c>
    </row>
    <row r="39902" ht="16.5" customHeight="1">
      <c r="O39902" s="5" t="s">
        <v>355</v>
      </c>
      <c r="P39902" s="5" t="s">
        <v>355</v>
      </c>
      <c r="Q39902" s="5" t="s">
        <v>355</v>
      </c>
    </row>
    <row r="39903" ht="16.5" customHeight="1">
      <c r="O39903" s="5" t="s">
        <v>355</v>
      </c>
      <c r="P39903" s="5" t="s">
        <v>355</v>
      </c>
      <c r="Q39903" s="5" t="s">
        <v>355</v>
      </c>
    </row>
    <row r="39904" ht="16.5" customHeight="1">
      <c r="O39904" s="5" t="s">
        <v>355</v>
      </c>
      <c r="P39904" s="5" t="s">
        <v>355</v>
      </c>
      <c r="Q39904" s="5" t="s">
        <v>355</v>
      </c>
    </row>
    <row r="39905" ht="16.5" customHeight="1">
      <c r="O39905" s="5" t="s">
        <v>355</v>
      </c>
      <c r="P39905" s="5" t="s">
        <v>355</v>
      </c>
      <c r="Q39905" s="5" t="s">
        <v>355</v>
      </c>
    </row>
    <row r="39906" ht="16.5" customHeight="1">
      <c r="O39906" s="5" t="s">
        <v>355</v>
      </c>
      <c r="P39906" s="5" t="s">
        <v>355</v>
      </c>
      <c r="Q39906" s="5" t="s">
        <v>355</v>
      </c>
    </row>
    <row r="39907" ht="16.5" customHeight="1">
      <c r="O39907" s="5" t="s">
        <v>355</v>
      </c>
      <c r="P39907" s="5" t="s">
        <v>355</v>
      </c>
      <c r="Q39907" s="5" t="s">
        <v>355</v>
      </c>
    </row>
    <row r="39908" ht="16.5" customHeight="1">
      <c r="O39908" s="5" t="s">
        <v>355</v>
      </c>
      <c r="P39908" s="5" t="s">
        <v>355</v>
      </c>
      <c r="Q39908" s="5" t="s">
        <v>355</v>
      </c>
    </row>
    <row r="39909" ht="16.5" customHeight="1">
      <c r="O39909" s="5" t="s">
        <v>355</v>
      </c>
      <c r="P39909" s="5" t="s">
        <v>355</v>
      </c>
      <c r="Q39909" s="5" t="s">
        <v>355</v>
      </c>
    </row>
    <row r="39910" ht="16.5" customHeight="1">
      <c r="O39910" s="5" t="s">
        <v>355</v>
      </c>
      <c r="P39910" s="5" t="s">
        <v>355</v>
      </c>
      <c r="Q39910" s="5" t="s">
        <v>355</v>
      </c>
    </row>
    <row r="39911" ht="16.5" customHeight="1">
      <c r="O39911" s="5" t="s">
        <v>355</v>
      </c>
      <c r="P39911" s="5" t="s">
        <v>355</v>
      </c>
      <c r="Q39911" s="5" t="s">
        <v>355</v>
      </c>
    </row>
    <row r="39912" ht="16.5" customHeight="1">
      <c r="O39912" s="5" t="s">
        <v>355</v>
      </c>
      <c r="P39912" s="5" t="s">
        <v>355</v>
      </c>
      <c r="Q39912" s="5" t="s">
        <v>355</v>
      </c>
    </row>
    <row r="39913" ht="16.5" customHeight="1">
      <c r="O39913" s="5" t="s">
        <v>355</v>
      </c>
      <c r="P39913" s="5" t="s">
        <v>355</v>
      </c>
      <c r="Q39913" s="5" t="s">
        <v>355</v>
      </c>
    </row>
    <row r="39914" ht="16.5" customHeight="1">
      <c r="O39914" s="5" t="s">
        <v>355</v>
      </c>
      <c r="P39914" s="5" t="s">
        <v>355</v>
      </c>
      <c r="Q39914" s="5" t="s">
        <v>355</v>
      </c>
    </row>
    <row r="39915" ht="16.5" customHeight="1">
      <c r="O39915" s="5" t="s">
        <v>355</v>
      </c>
      <c r="P39915" s="5" t="s">
        <v>355</v>
      </c>
      <c r="Q39915" s="5" t="s">
        <v>355</v>
      </c>
    </row>
    <row r="39916" ht="16.5" customHeight="1">
      <c r="O39916" s="5" t="s">
        <v>355</v>
      </c>
      <c r="P39916" s="5" t="s">
        <v>355</v>
      </c>
      <c r="Q39916" s="5" t="s">
        <v>355</v>
      </c>
    </row>
    <row r="39917" ht="16.5" customHeight="1">
      <c r="O39917" s="5" t="s">
        <v>355</v>
      </c>
      <c r="P39917" s="5" t="s">
        <v>355</v>
      </c>
      <c r="Q39917" s="5" t="s">
        <v>355</v>
      </c>
    </row>
    <row r="39918" ht="16.5" customHeight="1">
      <c r="O39918" s="5" t="s">
        <v>355</v>
      </c>
      <c r="P39918" s="5" t="s">
        <v>355</v>
      </c>
      <c r="Q39918" s="5" t="s">
        <v>355</v>
      </c>
    </row>
    <row r="39919" ht="16.5" customHeight="1">
      <c r="O39919" s="5" t="s">
        <v>355</v>
      </c>
      <c r="P39919" s="5" t="s">
        <v>355</v>
      </c>
      <c r="Q39919" s="5" t="s">
        <v>355</v>
      </c>
    </row>
    <row r="39920" ht="16.5" customHeight="1">
      <c r="O39920" s="5" t="s">
        <v>355</v>
      </c>
      <c r="P39920" s="5" t="s">
        <v>355</v>
      </c>
      <c r="Q39920" s="5" t="s">
        <v>355</v>
      </c>
    </row>
    <row r="39921" ht="16.5" customHeight="1">
      <c r="O39921" s="5" t="s">
        <v>355</v>
      </c>
      <c r="P39921" s="5" t="s">
        <v>355</v>
      </c>
      <c r="Q39921" s="5" t="s">
        <v>355</v>
      </c>
    </row>
    <row r="39922" ht="16.5" customHeight="1">
      <c r="O39922" s="5" t="s">
        <v>355</v>
      </c>
      <c r="P39922" s="5" t="s">
        <v>355</v>
      </c>
      <c r="Q39922" s="5" t="s">
        <v>355</v>
      </c>
    </row>
    <row r="39923" ht="16.5" customHeight="1">
      <c r="O39923" s="5" t="s">
        <v>355</v>
      </c>
      <c r="P39923" s="5" t="s">
        <v>355</v>
      </c>
      <c r="Q39923" s="5" t="s">
        <v>355</v>
      </c>
    </row>
    <row r="39924" ht="16.5" customHeight="1">
      <c r="O39924" s="5" t="s">
        <v>355</v>
      </c>
      <c r="P39924" s="5" t="s">
        <v>355</v>
      </c>
      <c r="Q39924" s="5" t="s">
        <v>355</v>
      </c>
    </row>
    <row r="39925" ht="16.5" customHeight="1">
      <c r="O39925" s="5" t="s">
        <v>355</v>
      </c>
      <c r="P39925" s="5" t="s">
        <v>355</v>
      </c>
      <c r="Q39925" s="5" t="s">
        <v>355</v>
      </c>
    </row>
    <row r="39926" ht="16.5" customHeight="1">
      <c r="O39926" s="5" t="s">
        <v>355</v>
      </c>
      <c r="P39926" s="5" t="s">
        <v>355</v>
      </c>
      <c r="Q39926" s="5" t="s">
        <v>355</v>
      </c>
    </row>
    <row r="39927" ht="16.5" customHeight="1">
      <c r="O39927" s="5" t="s">
        <v>355</v>
      </c>
      <c r="P39927" s="5" t="s">
        <v>355</v>
      </c>
      <c r="Q39927" s="5" t="s">
        <v>355</v>
      </c>
    </row>
    <row r="39928" ht="16.5" customHeight="1">
      <c r="O39928" s="5" t="s">
        <v>355</v>
      </c>
      <c r="P39928" s="5" t="s">
        <v>355</v>
      </c>
      <c r="Q39928" s="5" t="s">
        <v>355</v>
      </c>
    </row>
    <row r="39929" ht="16.5" customHeight="1">
      <c r="O39929" s="5" t="s">
        <v>355</v>
      </c>
      <c r="P39929" s="5" t="s">
        <v>355</v>
      </c>
      <c r="Q39929" s="5" t="s">
        <v>355</v>
      </c>
    </row>
    <row r="39930" ht="16.5" customHeight="1">
      <c r="O39930" s="5" t="s">
        <v>355</v>
      </c>
      <c r="P39930" s="5" t="s">
        <v>355</v>
      </c>
      <c r="Q39930" s="5" t="s">
        <v>355</v>
      </c>
    </row>
    <row r="39931" ht="16.5" customHeight="1">
      <c r="O39931" s="5" t="s">
        <v>355</v>
      </c>
      <c r="P39931" s="5" t="s">
        <v>355</v>
      </c>
      <c r="Q39931" s="5" t="s">
        <v>355</v>
      </c>
    </row>
    <row r="39932" ht="16.5" customHeight="1">
      <c r="O39932" s="5" t="s">
        <v>355</v>
      </c>
      <c r="P39932" s="5" t="s">
        <v>355</v>
      </c>
      <c r="Q39932" s="5" t="s">
        <v>355</v>
      </c>
    </row>
    <row r="39933" ht="16.5" customHeight="1">
      <c r="O39933" s="5" t="s">
        <v>355</v>
      </c>
      <c r="P39933" s="5" t="s">
        <v>355</v>
      </c>
      <c r="Q39933" s="5" t="s">
        <v>355</v>
      </c>
    </row>
    <row r="39934" ht="16.5" customHeight="1">
      <c r="O39934" s="5" t="s">
        <v>355</v>
      </c>
      <c r="P39934" s="5" t="s">
        <v>355</v>
      </c>
      <c r="Q39934" s="5" t="s">
        <v>355</v>
      </c>
    </row>
    <row r="39935" ht="16.5" customHeight="1">
      <c r="O39935" s="5" t="s">
        <v>355</v>
      </c>
      <c r="P39935" s="5" t="s">
        <v>355</v>
      </c>
      <c r="Q39935" s="5" t="s">
        <v>355</v>
      </c>
    </row>
    <row r="39936" ht="16.5" customHeight="1">
      <c r="O39936" s="5" t="s">
        <v>355</v>
      </c>
      <c r="P39936" s="5" t="s">
        <v>355</v>
      </c>
      <c r="Q39936" s="5" t="s">
        <v>355</v>
      </c>
    </row>
    <row r="39937" ht="16.5" customHeight="1">
      <c r="O39937" s="5" t="s">
        <v>355</v>
      </c>
      <c r="P39937" s="5" t="s">
        <v>355</v>
      </c>
      <c r="Q39937" s="5" t="s">
        <v>355</v>
      </c>
    </row>
    <row r="39938" ht="16.5" customHeight="1">
      <c r="O39938" s="5" t="s">
        <v>355</v>
      </c>
      <c r="P39938" s="5" t="s">
        <v>355</v>
      </c>
      <c r="Q39938" s="5" t="s">
        <v>355</v>
      </c>
    </row>
    <row r="39939" ht="16.5" customHeight="1">
      <c r="O39939" s="5" t="s">
        <v>355</v>
      </c>
      <c r="P39939" s="5" t="s">
        <v>355</v>
      </c>
      <c r="Q39939" s="5" t="s">
        <v>355</v>
      </c>
    </row>
    <row r="39940" ht="16.5" customHeight="1">
      <c r="O39940" s="5" t="s">
        <v>355</v>
      </c>
      <c r="P39940" s="5" t="s">
        <v>355</v>
      </c>
      <c r="Q39940" s="5" t="s">
        <v>355</v>
      </c>
    </row>
    <row r="39941" ht="16.5" customHeight="1">
      <c r="O39941" s="5" t="s">
        <v>355</v>
      </c>
      <c r="P39941" s="5" t="s">
        <v>355</v>
      </c>
      <c r="Q39941" s="5" t="s">
        <v>355</v>
      </c>
    </row>
    <row r="39942" ht="16.5" customHeight="1">
      <c r="O39942" s="5" t="s">
        <v>355</v>
      </c>
      <c r="P39942" s="5" t="s">
        <v>355</v>
      </c>
      <c r="Q39942" s="5" t="s">
        <v>355</v>
      </c>
    </row>
    <row r="39943" ht="16.5" customHeight="1">
      <c r="O39943" s="5" t="s">
        <v>355</v>
      </c>
      <c r="P39943" s="5" t="s">
        <v>355</v>
      </c>
      <c r="Q39943" s="5" t="s">
        <v>355</v>
      </c>
    </row>
    <row r="39944" ht="16.5" customHeight="1">
      <c r="O39944" s="5" t="s">
        <v>355</v>
      </c>
      <c r="P39944" s="5" t="s">
        <v>355</v>
      </c>
      <c r="Q39944" s="5" t="s">
        <v>355</v>
      </c>
    </row>
    <row r="39945" ht="16.5" customHeight="1">
      <c r="O39945" s="5" t="s">
        <v>355</v>
      </c>
      <c r="P39945" s="5" t="s">
        <v>355</v>
      </c>
      <c r="Q39945" s="5" t="s">
        <v>355</v>
      </c>
    </row>
    <row r="39946" ht="16.5" customHeight="1">
      <c r="O39946" s="5" t="s">
        <v>355</v>
      </c>
      <c r="P39946" s="5" t="s">
        <v>355</v>
      </c>
      <c r="Q39946" s="5" t="s">
        <v>355</v>
      </c>
    </row>
    <row r="39947" ht="16.5" customHeight="1">
      <c r="O39947" s="5" t="s">
        <v>355</v>
      </c>
      <c r="P39947" s="5" t="s">
        <v>355</v>
      </c>
      <c r="Q39947" s="5" t="s">
        <v>355</v>
      </c>
    </row>
    <row r="39948" ht="16.5" customHeight="1">
      <c r="O39948" s="5" t="s">
        <v>355</v>
      </c>
      <c r="P39948" s="5" t="s">
        <v>355</v>
      </c>
      <c r="Q39948" s="5" t="s">
        <v>355</v>
      </c>
    </row>
    <row r="39949" ht="16.5" customHeight="1">
      <c r="O39949" s="5" t="s">
        <v>355</v>
      </c>
      <c r="P39949" s="5" t="s">
        <v>355</v>
      </c>
      <c r="Q39949" s="5" t="s">
        <v>355</v>
      </c>
    </row>
    <row r="39950" ht="16.5" customHeight="1">
      <c r="O39950" s="5" t="s">
        <v>355</v>
      </c>
      <c r="P39950" s="5" t="s">
        <v>355</v>
      </c>
      <c r="Q39950" s="5" t="s">
        <v>355</v>
      </c>
    </row>
    <row r="39951" ht="16.5" customHeight="1">
      <c r="O39951" s="5" t="s">
        <v>355</v>
      </c>
      <c r="P39951" s="5" t="s">
        <v>355</v>
      </c>
      <c r="Q39951" s="5" t="s">
        <v>355</v>
      </c>
    </row>
    <row r="39952" ht="16.5" customHeight="1">
      <c r="O39952" s="5" t="s">
        <v>355</v>
      </c>
      <c r="P39952" s="5" t="s">
        <v>355</v>
      </c>
      <c r="Q39952" s="5" t="s">
        <v>355</v>
      </c>
    </row>
    <row r="39953" ht="16.5" customHeight="1">
      <c r="O39953" s="5" t="s">
        <v>355</v>
      </c>
      <c r="P39953" s="5" t="s">
        <v>355</v>
      </c>
      <c r="Q39953" s="5" t="s">
        <v>355</v>
      </c>
    </row>
    <row r="39954" ht="16.5" customHeight="1">
      <c r="O39954" s="5" t="s">
        <v>355</v>
      </c>
      <c r="P39954" s="5" t="s">
        <v>355</v>
      </c>
      <c r="Q39954" s="5" t="s">
        <v>355</v>
      </c>
    </row>
    <row r="39955" ht="16.5" customHeight="1">
      <c r="O39955" s="5" t="s">
        <v>355</v>
      </c>
      <c r="P39955" s="5" t="s">
        <v>355</v>
      </c>
      <c r="Q39955" s="5" t="s">
        <v>355</v>
      </c>
    </row>
    <row r="39956" ht="16.5" customHeight="1">
      <c r="O39956" s="5" t="s">
        <v>355</v>
      </c>
      <c r="P39956" s="5" t="s">
        <v>355</v>
      </c>
      <c r="Q39956" s="5" t="s">
        <v>355</v>
      </c>
    </row>
    <row r="39957" ht="16.5" customHeight="1">
      <c r="O39957" s="5" t="s">
        <v>355</v>
      </c>
      <c r="P39957" s="5" t="s">
        <v>355</v>
      </c>
      <c r="Q39957" s="5" t="s">
        <v>355</v>
      </c>
    </row>
    <row r="39958" ht="16.5" customHeight="1">
      <c r="O39958" s="5" t="s">
        <v>355</v>
      </c>
      <c r="P39958" s="5" t="s">
        <v>355</v>
      </c>
      <c r="Q39958" s="5" t="s">
        <v>355</v>
      </c>
    </row>
    <row r="39959" ht="16.5" customHeight="1">
      <c r="O39959" s="5" t="s">
        <v>355</v>
      </c>
      <c r="P39959" s="5" t="s">
        <v>355</v>
      </c>
      <c r="Q39959" s="5" t="s">
        <v>355</v>
      </c>
    </row>
    <row r="39960" ht="16.5" customHeight="1">
      <c r="O39960" s="5" t="s">
        <v>355</v>
      </c>
      <c r="P39960" s="5" t="s">
        <v>355</v>
      </c>
      <c r="Q39960" s="5" t="s">
        <v>355</v>
      </c>
    </row>
    <row r="39961" ht="16.5" customHeight="1">
      <c r="O39961" s="5" t="s">
        <v>355</v>
      </c>
      <c r="P39961" s="5" t="s">
        <v>355</v>
      </c>
      <c r="Q39961" s="5" t="s">
        <v>355</v>
      </c>
    </row>
    <row r="39962" ht="16.5" customHeight="1">
      <c r="O39962" s="5" t="s">
        <v>355</v>
      </c>
      <c r="P39962" s="5" t="s">
        <v>355</v>
      </c>
      <c r="Q39962" s="5" t="s">
        <v>355</v>
      </c>
    </row>
    <row r="39963" ht="16.5" customHeight="1">
      <c r="O39963" s="5" t="s">
        <v>355</v>
      </c>
      <c r="P39963" s="5" t="s">
        <v>355</v>
      </c>
      <c r="Q39963" s="5" t="s">
        <v>355</v>
      </c>
    </row>
    <row r="39964" ht="16.5" customHeight="1">
      <c r="O39964" s="5" t="s">
        <v>355</v>
      </c>
      <c r="P39964" s="5" t="s">
        <v>355</v>
      </c>
      <c r="Q39964" s="5" t="s">
        <v>355</v>
      </c>
    </row>
    <row r="39965" ht="16.5" customHeight="1">
      <c r="O39965" s="5" t="s">
        <v>355</v>
      </c>
      <c r="P39965" s="5" t="s">
        <v>355</v>
      </c>
      <c r="Q39965" s="5" t="s">
        <v>355</v>
      </c>
    </row>
    <row r="39966" ht="16.5" customHeight="1">
      <c r="O39966" s="5" t="s">
        <v>355</v>
      </c>
      <c r="P39966" s="5" t="s">
        <v>355</v>
      </c>
      <c r="Q39966" s="5" t="s">
        <v>355</v>
      </c>
    </row>
    <row r="39967" ht="16.5" customHeight="1">
      <c r="O39967" s="5" t="s">
        <v>355</v>
      </c>
      <c r="P39967" s="5" t="s">
        <v>355</v>
      </c>
      <c r="Q39967" s="5" t="s">
        <v>355</v>
      </c>
    </row>
    <row r="39968" ht="16.5" customHeight="1">
      <c r="O39968" s="5" t="s">
        <v>355</v>
      </c>
      <c r="P39968" s="5" t="s">
        <v>355</v>
      </c>
      <c r="Q39968" s="5" t="s">
        <v>355</v>
      </c>
    </row>
    <row r="39969" ht="16.5" customHeight="1">
      <c r="O39969" s="5" t="s">
        <v>355</v>
      </c>
      <c r="P39969" s="5" t="s">
        <v>355</v>
      </c>
      <c r="Q39969" s="5" t="s">
        <v>355</v>
      </c>
    </row>
    <row r="39970" ht="16.5" customHeight="1">
      <c r="O39970" s="5" t="s">
        <v>355</v>
      </c>
      <c r="P39970" s="5" t="s">
        <v>355</v>
      </c>
      <c r="Q39970" s="5" t="s">
        <v>355</v>
      </c>
    </row>
    <row r="39971" ht="16.5" customHeight="1">
      <c r="O39971" s="5" t="s">
        <v>355</v>
      </c>
      <c r="P39971" s="5" t="s">
        <v>355</v>
      </c>
      <c r="Q39971" s="5" t="s">
        <v>355</v>
      </c>
    </row>
    <row r="39972" ht="16.5" customHeight="1">
      <c r="O39972" s="5" t="s">
        <v>355</v>
      </c>
      <c r="P39972" s="5" t="s">
        <v>355</v>
      </c>
      <c r="Q39972" s="5" t="s">
        <v>355</v>
      </c>
    </row>
    <row r="39973" ht="16.5" customHeight="1">
      <c r="O39973" s="5" t="s">
        <v>355</v>
      </c>
      <c r="P39973" s="5" t="s">
        <v>355</v>
      </c>
      <c r="Q39973" s="5" t="s">
        <v>355</v>
      </c>
    </row>
    <row r="39974" ht="16.5" customHeight="1">
      <c r="O39974" s="5" t="s">
        <v>355</v>
      </c>
      <c r="P39974" s="5" t="s">
        <v>355</v>
      </c>
      <c r="Q39974" s="5" t="s">
        <v>355</v>
      </c>
    </row>
    <row r="39975" ht="16.5" customHeight="1">
      <c r="O39975" s="5" t="s">
        <v>355</v>
      </c>
      <c r="P39975" s="5" t="s">
        <v>355</v>
      </c>
      <c r="Q39975" s="5" t="s">
        <v>355</v>
      </c>
    </row>
    <row r="39976" ht="16.5" customHeight="1">
      <c r="O39976" s="5" t="s">
        <v>355</v>
      </c>
      <c r="P39976" s="5" t="s">
        <v>355</v>
      </c>
      <c r="Q39976" s="5" t="s">
        <v>355</v>
      </c>
    </row>
    <row r="39977" ht="16.5" customHeight="1">
      <c r="O39977" s="5" t="s">
        <v>355</v>
      </c>
      <c r="P39977" s="5" t="s">
        <v>355</v>
      </c>
      <c r="Q39977" s="5" t="s">
        <v>355</v>
      </c>
    </row>
    <row r="39978" ht="16.5" customHeight="1">
      <c r="O39978" s="5" t="s">
        <v>355</v>
      </c>
      <c r="P39978" s="5" t="s">
        <v>355</v>
      </c>
      <c r="Q39978" s="5" t="s">
        <v>355</v>
      </c>
    </row>
    <row r="39979" ht="16.5" customHeight="1">
      <c r="O39979" s="5" t="s">
        <v>355</v>
      </c>
      <c r="P39979" s="5" t="s">
        <v>355</v>
      </c>
      <c r="Q39979" s="5" t="s">
        <v>355</v>
      </c>
    </row>
    <row r="39980" ht="16.5" customHeight="1">
      <c r="O39980" s="5" t="s">
        <v>355</v>
      </c>
      <c r="P39980" s="5" t="s">
        <v>355</v>
      </c>
      <c r="Q39980" s="5" t="s">
        <v>355</v>
      </c>
    </row>
    <row r="39981" ht="16.5" customHeight="1">
      <c r="O39981" s="5" t="s">
        <v>355</v>
      </c>
      <c r="P39981" s="5" t="s">
        <v>355</v>
      </c>
      <c r="Q39981" s="5" t="s">
        <v>355</v>
      </c>
    </row>
    <row r="39982" ht="16.5" customHeight="1">
      <c r="O39982" s="5" t="s">
        <v>355</v>
      </c>
      <c r="P39982" s="5" t="s">
        <v>355</v>
      </c>
      <c r="Q39982" s="5" t="s">
        <v>355</v>
      </c>
    </row>
    <row r="39983" ht="16.5" customHeight="1">
      <c r="O39983" s="5" t="s">
        <v>355</v>
      </c>
      <c r="P39983" s="5" t="s">
        <v>355</v>
      </c>
      <c r="Q39983" s="5" t="s">
        <v>355</v>
      </c>
    </row>
    <row r="39984" ht="16.5" customHeight="1">
      <c r="O39984" s="5" t="s">
        <v>355</v>
      </c>
      <c r="P39984" s="5" t="s">
        <v>355</v>
      </c>
      <c r="Q39984" s="5" t="s">
        <v>355</v>
      </c>
    </row>
    <row r="39985" ht="16.5" customHeight="1">
      <c r="O39985" s="5" t="s">
        <v>355</v>
      </c>
      <c r="P39985" s="5" t="s">
        <v>355</v>
      </c>
      <c r="Q39985" s="5" t="s">
        <v>355</v>
      </c>
    </row>
    <row r="39986" ht="16.5" customHeight="1">
      <c r="O39986" s="5" t="s">
        <v>355</v>
      </c>
      <c r="P39986" s="5" t="s">
        <v>355</v>
      </c>
      <c r="Q39986" s="5" t="s">
        <v>355</v>
      </c>
    </row>
    <row r="39987" ht="16.5" customHeight="1">
      <c r="O39987" s="5" t="s">
        <v>355</v>
      </c>
      <c r="P39987" s="5" t="s">
        <v>355</v>
      </c>
      <c r="Q39987" s="5" t="s">
        <v>355</v>
      </c>
    </row>
    <row r="39988" ht="16.5" customHeight="1">
      <c r="O39988" s="5" t="s">
        <v>355</v>
      </c>
      <c r="P39988" s="5" t="s">
        <v>355</v>
      </c>
      <c r="Q39988" s="5" t="s">
        <v>355</v>
      </c>
    </row>
    <row r="39989" ht="16.5" customHeight="1">
      <c r="O39989" s="5" t="s">
        <v>355</v>
      </c>
      <c r="P39989" s="5" t="s">
        <v>355</v>
      </c>
      <c r="Q39989" s="5" t="s">
        <v>355</v>
      </c>
    </row>
    <row r="39990" ht="16.5" customHeight="1">
      <c r="O39990" s="5" t="s">
        <v>355</v>
      </c>
      <c r="P39990" s="5" t="s">
        <v>355</v>
      </c>
      <c r="Q39990" s="5" t="s">
        <v>355</v>
      </c>
    </row>
    <row r="39991" ht="16.5" customHeight="1">
      <c r="O39991" s="5" t="s">
        <v>355</v>
      </c>
      <c r="P39991" s="5" t="s">
        <v>355</v>
      </c>
      <c r="Q39991" s="5" t="s">
        <v>355</v>
      </c>
    </row>
    <row r="39992" ht="16.5" customHeight="1">
      <c r="O39992" s="5" t="s">
        <v>355</v>
      </c>
      <c r="P39992" s="5" t="s">
        <v>355</v>
      </c>
      <c r="Q39992" s="5" t="s">
        <v>355</v>
      </c>
    </row>
    <row r="39993" ht="16.5" customHeight="1">
      <c r="O39993" s="5" t="s">
        <v>355</v>
      </c>
      <c r="P39993" s="5" t="s">
        <v>355</v>
      </c>
      <c r="Q39993" s="5" t="s">
        <v>355</v>
      </c>
    </row>
    <row r="39994" ht="16.5" customHeight="1">
      <c r="O39994" s="5" t="s">
        <v>355</v>
      </c>
      <c r="P39994" s="5" t="s">
        <v>355</v>
      </c>
      <c r="Q39994" s="5" t="s">
        <v>355</v>
      </c>
    </row>
    <row r="39995" ht="16.5" customHeight="1">
      <c r="O39995" s="5" t="s">
        <v>355</v>
      </c>
      <c r="P39995" s="5" t="s">
        <v>355</v>
      </c>
      <c r="Q39995" s="5" t="s">
        <v>355</v>
      </c>
    </row>
    <row r="39996" ht="16.5" customHeight="1">
      <c r="O39996" s="5" t="s">
        <v>355</v>
      </c>
      <c r="P39996" s="5" t="s">
        <v>355</v>
      </c>
      <c r="Q39996" s="5" t="s">
        <v>355</v>
      </c>
    </row>
    <row r="39997" ht="16.5" customHeight="1">
      <c r="O39997" s="5" t="s">
        <v>355</v>
      </c>
      <c r="P39997" s="5" t="s">
        <v>355</v>
      </c>
      <c r="Q39997" s="5" t="s">
        <v>355</v>
      </c>
    </row>
    <row r="39998" ht="16.5" customHeight="1">
      <c r="O39998" s="5" t="s">
        <v>355</v>
      </c>
      <c r="P39998" s="5" t="s">
        <v>355</v>
      </c>
      <c r="Q39998" s="5" t="s">
        <v>355</v>
      </c>
    </row>
    <row r="39999" ht="16.5" customHeight="1">
      <c r="O39999" s="5" t="s">
        <v>355</v>
      </c>
      <c r="P39999" s="5" t="s">
        <v>355</v>
      </c>
      <c r="Q39999" s="5" t="s">
        <v>355</v>
      </c>
    </row>
    <row r="40000" ht="16.5" customHeight="1">
      <c r="O40000" s="5" t="s">
        <v>355</v>
      </c>
      <c r="P40000" s="5" t="s">
        <v>355</v>
      </c>
      <c r="Q40000" s="5" t="s">
        <v>355</v>
      </c>
    </row>
    <row r="40001" ht="16.5" customHeight="1">
      <c r="O40001" s="5" t="s">
        <v>355</v>
      </c>
      <c r="P40001" s="5" t="s">
        <v>355</v>
      </c>
      <c r="Q40001" s="5" t="s">
        <v>355</v>
      </c>
    </row>
    <row r="40002" ht="16.5" customHeight="1">
      <c r="O40002" s="5" t="s">
        <v>355</v>
      </c>
      <c r="P40002" s="5" t="s">
        <v>355</v>
      </c>
      <c r="Q40002" s="5" t="s">
        <v>355</v>
      </c>
    </row>
    <row r="40003" ht="16.5" customHeight="1">
      <c r="O40003" s="5" t="s">
        <v>355</v>
      </c>
      <c r="P40003" s="5" t="s">
        <v>355</v>
      </c>
      <c r="Q40003" s="5" t="s">
        <v>355</v>
      </c>
    </row>
    <row r="40004" ht="16.5" customHeight="1">
      <c r="O40004" s="5" t="s">
        <v>355</v>
      </c>
      <c r="P40004" s="5" t="s">
        <v>355</v>
      </c>
      <c r="Q40004" s="5" t="s">
        <v>355</v>
      </c>
    </row>
    <row r="40005" ht="16.5" customHeight="1">
      <c r="O40005" s="5" t="s">
        <v>355</v>
      </c>
      <c r="P40005" s="5" t="s">
        <v>355</v>
      </c>
      <c r="Q40005" s="5" t="s">
        <v>355</v>
      </c>
    </row>
    <row r="40006" ht="16.5" customHeight="1">
      <c r="O40006" s="5" t="s">
        <v>355</v>
      </c>
      <c r="P40006" s="5" t="s">
        <v>355</v>
      </c>
      <c r="Q40006" s="5" t="s">
        <v>355</v>
      </c>
    </row>
    <row r="40007" ht="16.5" customHeight="1">
      <c r="O40007" s="5" t="s">
        <v>355</v>
      </c>
      <c r="P40007" s="5" t="s">
        <v>355</v>
      </c>
      <c r="Q40007" s="5" t="s">
        <v>355</v>
      </c>
    </row>
    <row r="40008" ht="16.5" customHeight="1">
      <c r="O40008" s="5" t="s">
        <v>355</v>
      </c>
      <c r="P40008" s="5" t="s">
        <v>355</v>
      </c>
      <c r="Q40008" s="5" t="s">
        <v>355</v>
      </c>
    </row>
    <row r="40009" ht="16.5" customHeight="1">
      <c r="O40009" s="5" t="s">
        <v>355</v>
      </c>
      <c r="P40009" s="5" t="s">
        <v>355</v>
      </c>
      <c r="Q40009" s="5" t="s">
        <v>355</v>
      </c>
    </row>
    <row r="40010" ht="16.5" customHeight="1">
      <c r="O40010" s="5" t="s">
        <v>355</v>
      </c>
      <c r="P40010" s="5" t="s">
        <v>355</v>
      </c>
      <c r="Q40010" s="5" t="s">
        <v>355</v>
      </c>
    </row>
    <row r="40011" ht="16.5" customHeight="1">
      <c r="O40011" s="5" t="s">
        <v>355</v>
      </c>
      <c r="P40011" s="5" t="s">
        <v>355</v>
      </c>
      <c r="Q40011" s="5" t="s">
        <v>355</v>
      </c>
    </row>
    <row r="40012" ht="16.5" customHeight="1">
      <c r="O40012" s="5" t="s">
        <v>355</v>
      </c>
      <c r="P40012" s="5" t="s">
        <v>355</v>
      </c>
      <c r="Q40012" s="5" t="s">
        <v>355</v>
      </c>
    </row>
    <row r="40013" ht="16.5" customHeight="1">
      <c r="O40013" s="5" t="s">
        <v>355</v>
      </c>
      <c r="P40013" s="5" t="s">
        <v>355</v>
      </c>
      <c r="Q40013" s="5" t="s">
        <v>355</v>
      </c>
    </row>
    <row r="40014" ht="16.5" customHeight="1">
      <c r="O40014" s="5" t="s">
        <v>355</v>
      </c>
      <c r="P40014" s="5" t="s">
        <v>355</v>
      </c>
      <c r="Q40014" s="5" t="s">
        <v>355</v>
      </c>
    </row>
    <row r="40015" ht="16.5" customHeight="1">
      <c r="O40015" s="5" t="s">
        <v>355</v>
      </c>
      <c r="P40015" s="5" t="s">
        <v>355</v>
      </c>
      <c r="Q40015" s="5" t="s">
        <v>355</v>
      </c>
    </row>
    <row r="40016" ht="16.5" customHeight="1">
      <c r="O40016" s="5" t="s">
        <v>355</v>
      </c>
      <c r="P40016" s="5" t="s">
        <v>355</v>
      </c>
      <c r="Q40016" s="5" t="s">
        <v>355</v>
      </c>
    </row>
    <row r="40017" ht="16.5" customHeight="1">
      <c r="O40017" s="5" t="s">
        <v>355</v>
      </c>
      <c r="P40017" s="5" t="s">
        <v>355</v>
      </c>
      <c r="Q40017" s="5" t="s">
        <v>355</v>
      </c>
    </row>
    <row r="40018" ht="16.5" customHeight="1">
      <c r="O40018" s="5" t="s">
        <v>355</v>
      </c>
      <c r="P40018" s="5" t="s">
        <v>355</v>
      </c>
      <c r="Q40018" s="5" t="s">
        <v>355</v>
      </c>
    </row>
    <row r="40019" ht="16.5" customHeight="1">
      <c r="O40019" s="5" t="s">
        <v>355</v>
      </c>
      <c r="P40019" s="5" t="s">
        <v>355</v>
      </c>
      <c r="Q40019" s="5" t="s">
        <v>355</v>
      </c>
    </row>
    <row r="40020" ht="16.5" customHeight="1">
      <c r="O40020" s="5" t="s">
        <v>355</v>
      </c>
      <c r="P40020" s="5" t="s">
        <v>355</v>
      </c>
      <c r="Q40020" s="5" t="s">
        <v>355</v>
      </c>
    </row>
    <row r="40021" ht="16.5" customHeight="1">
      <c r="O40021" s="5" t="s">
        <v>355</v>
      </c>
      <c r="P40021" s="5" t="s">
        <v>355</v>
      </c>
      <c r="Q40021" s="5" t="s">
        <v>355</v>
      </c>
    </row>
    <row r="40022" ht="16.5" customHeight="1">
      <c r="O40022" s="5" t="s">
        <v>355</v>
      </c>
      <c r="P40022" s="5" t="s">
        <v>355</v>
      </c>
      <c r="Q40022" s="5" t="s">
        <v>355</v>
      </c>
    </row>
    <row r="40023" ht="16.5" customHeight="1">
      <c r="O40023" s="5" t="s">
        <v>355</v>
      </c>
      <c r="P40023" s="5" t="s">
        <v>355</v>
      </c>
      <c r="Q40023" s="5" t="s">
        <v>355</v>
      </c>
    </row>
    <row r="40024" ht="16.5" customHeight="1">
      <c r="O40024" s="5" t="s">
        <v>355</v>
      </c>
      <c r="P40024" s="5" t="s">
        <v>355</v>
      </c>
      <c r="Q40024" s="5" t="s">
        <v>355</v>
      </c>
    </row>
    <row r="40025" ht="16.5" customHeight="1">
      <c r="O40025" s="5" t="s">
        <v>355</v>
      </c>
      <c r="P40025" s="5" t="s">
        <v>355</v>
      </c>
      <c r="Q40025" s="5" t="s">
        <v>355</v>
      </c>
    </row>
    <row r="40026" ht="16.5" customHeight="1">
      <c r="O40026" s="5" t="s">
        <v>355</v>
      </c>
      <c r="P40026" s="5" t="s">
        <v>355</v>
      </c>
      <c r="Q40026" s="5" t="s">
        <v>355</v>
      </c>
    </row>
    <row r="40027" ht="16.5" customHeight="1">
      <c r="O40027" s="5" t="s">
        <v>355</v>
      </c>
      <c r="P40027" s="5" t="s">
        <v>355</v>
      </c>
      <c r="Q40027" s="5" t="s">
        <v>355</v>
      </c>
    </row>
    <row r="40028" ht="16.5" customHeight="1">
      <c r="O40028" s="5" t="s">
        <v>355</v>
      </c>
      <c r="P40028" s="5" t="s">
        <v>355</v>
      </c>
      <c r="Q40028" s="5" t="s">
        <v>355</v>
      </c>
    </row>
    <row r="40029" ht="16.5" customHeight="1">
      <c r="O40029" s="5" t="s">
        <v>355</v>
      </c>
      <c r="P40029" s="5" t="s">
        <v>355</v>
      </c>
      <c r="Q40029" s="5" t="s">
        <v>355</v>
      </c>
    </row>
    <row r="40030" ht="16.5" customHeight="1">
      <c r="O40030" s="5" t="s">
        <v>355</v>
      </c>
      <c r="P40030" s="5" t="s">
        <v>355</v>
      </c>
      <c r="Q40030" s="5" t="s">
        <v>355</v>
      </c>
    </row>
    <row r="40031" ht="16.5" customHeight="1">
      <c r="O40031" s="5" t="s">
        <v>355</v>
      </c>
      <c r="P40031" s="5" t="s">
        <v>355</v>
      </c>
      <c r="Q40031" s="5" t="s">
        <v>355</v>
      </c>
    </row>
    <row r="40032" ht="16.5" customHeight="1">
      <c r="O40032" s="5" t="s">
        <v>355</v>
      </c>
      <c r="P40032" s="5" t="s">
        <v>355</v>
      </c>
      <c r="Q40032" s="5" t="s">
        <v>355</v>
      </c>
    </row>
    <row r="40033" ht="16.5" customHeight="1">
      <c r="O40033" s="5" t="s">
        <v>355</v>
      </c>
      <c r="P40033" s="5" t="s">
        <v>355</v>
      </c>
      <c r="Q40033" s="5" t="s">
        <v>355</v>
      </c>
    </row>
    <row r="40034" ht="16.5" customHeight="1">
      <c r="O40034" s="5" t="s">
        <v>355</v>
      </c>
      <c r="P40034" s="5" t="s">
        <v>355</v>
      </c>
      <c r="Q40034" s="5" t="s">
        <v>355</v>
      </c>
    </row>
    <row r="40035" ht="16.5" customHeight="1">
      <c r="O40035" s="5" t="s">
        <v>355</v>
      </c>
      <c r="P40035" s="5" t="s">
        <v>355</v>
      </c>
      <c r="Q40035" s="5" t="s">
        <v>355</v>
      </c>
    </row>
    <row r="40036" ht="16.5" customHeight="1">
      <c r="O40036" s="5" t="s">
        <v>355</v>
      </c>
      <c r="P40036" s="5" t="s">
        <v>355</v>
      </c>
      <c r="Q40036" s="5" t="s">
        <v>355</v>
      </c>
    </row>
    <row r="40037" ht="16.5" customHeight="1">
      <c r="O40037" s="5" t="s">
        <v>355</v>
      </c>
      <c r="P40037" s="5" t="s">
        <v>355</v>
      </c>
      <c r="Q40037" s="5" t="s">
        <v>355</v>
      </c>
    </row>
    <row r="40038" ht="16.5" customHeight="1">
      <c r="O40038" s="5" t="s">
        <v>355</v>
      </c>
      <c r="P40038" s="5" t="s">
        <v>355</v>
      </c>
      <c r="Q40038" s="5" t="s">
        <v>355</v>
      </c>
    </row>
    <row r="40039" ht="16.5" customHeight="1">
      <c r="O40039" s="5" t="s">
        <v>355</v>
      </c>
      <c r="P40039" s="5" t="s">
        <v>355</v>
      </c>
      <c r="Q40039" s="5" t="s">
        <v>355</v>
      </c>
    </row>
    <row r="40040" ht="16.5" customHeight="1">
      <c r="O40040" s="5" t="s">
        <v>355</v>
      </c>
      <c r="P40040" s="5" t="s">
        <v>355</v>
      </c>
      <c r="Q40040" s="5" t="s">
        <v>355</v>
      </c>
    </row>
    <row r="40041" ht="16.5" customHeight="1">
      <c r="O40041" s="5" t="s">
        <v>355</v>
      </c>
      <c r="P40041" s="5" t="s">
        <v>355</v>
      </c>
      <c r="Q40041" s="5" t="s">
        <v>355</v>
      </c>
    </row>
    <row r="40042" ht="16.5" customHeight="1">
      <c r="O40042" s="5" t="s">
        <v>355</v>
      </c>
      <c r="P40042" s="5" t="s">
        <v>355</v>
      </c>
      <c r="Q40042" s="5" t="s">
        <v>355</v>
      </c>
    </row>
    <row r="40043" ht="16.5" customHeight="1">
      <c r="O40043" s="5" t="s">
        <v>355</v>
      </c>
      <c r="P40043" s="5" t="s">
        <v>355</v>
      </c>
      <c r="Q40043" s="5" t="s">
        <v>355</v>
      </c>
    </row>
    <row r="40044" ht="16.5" customHeight="1">
      <c r="O40044" s="5" t="s">
        <v>355</v>
      </c>
      <c r="P40044" s="5" t="s">
        <v>355</v>
      </c>
      <c r="Q40044" s="5" t="s">
        <v>355</v>
      </c>
    </row>
    <row r="40045" ht="16.5" customHeight="1">
      <c r="O40045" s="5" t="s">
        <v>355</v>
      </c>
      <c r="P40045" s="5" t="s">
        <v>355</v>
      </c>
      <c r="Q40045" s="5" t="s">
        <v>355</v>
      </c>
    </row>
    <row r="40046" ht="16.5" customHeight="1">
      <c r="O40046" s="5" t="s">
        <v>355</v>
      </c>
      <c r="P40046" s="5" t="s">
        <v>355</v>
      </c>
      <c r="Q40046" s="5" t="s">
        <v>355</v>
      </c>
    </row>
    <row r="40047" ht="16.5" customHeight="1">
      <c r="O40047" s="5" t="s">
        <v>355</v>
      </c>
      <c r="P40047" s="5" t="s">
        <v>355</v>
      </c>
      <c r="Q40047" s="5" t="s">
        <v>355</v>
      </c>
    </row>
    <row r="40048" ht="16.5" customHeight="1">
      <c r="O40048" s="5" t="s">
        <v>355</v>
      </c>
      <c r="P40048" s="5" t="s">
        <v>355</v>
      </c>
      <c r="Q40048" s="5" t="s">
        <v>355</v>
      </c>
    </row>
    <row r="40049" ht="16.5" customHeight="1">
      <c r="O40049" s="5" t="s">
        <v>355</v>
      </c>
      <c r="P40049" s="5" t="s">
        <v>355</v>
      </c>
      <c r="Q40049" s="5" t="s">
        <v>355</v>
      </c>
    </row>
    <row r="40050" ht="16.5" customHeight="1">
      <c r="O40050" s="5" t="s">
        <v>355</v>
      </c>
      <c r="P40050" s="5" t="s">
        <v>355</v>
      </c>
      <c r="Q40050" s="5" t="s">
        <v>355</v>
      </c>
    </row>
    <row r="40051" ht="16.5" customHeight="1">
      <c r="O40051" s="5" t="s">
        <v>355</v>
      </c>
      <c r="P40051" s="5" t="s">
        <v>355</v>
      </c>
      <c r="Q40051" s="5" t="s">
        <v>355</v>
      </c>
    </row>
    <row r="40052" ht="16.5" customHeight="1">
      <c r="O40052" s="5" t="s">
        <v>355</v>
      </c>
      <c r="P40052" s="5" t="s">
        <v>355</v>
      </c>
      <c r="Q40052" s="5" t="s">
        <v>355</v>
      </c>
    </row>
    <row r="40053" ht="16.5" customHeight="1">
      <c r="O40053" s="5" t="s">
        <v>355</v>
      </c>
      <c r="P40053" s="5" t="s">
        <v>355</v>
      </c>
      <c r="Q40053" s="5" t="s">
        <v>355</v>
      </c>
    </row>
    <row r="40054" ht="16.5" customHeight="1">
      <c r="O40054" s="5" t="s">
        <v>355</v>
      </c>
      <c r="P40054" s="5" t="s">
        <v>355</v>
      </c>
      <c r="Q40054" s="5" t="s">
        <v>355</v>
      </c>
    </row>
    <row r="40055" ht="16.5" customHeight="1">
      <c r="O40055" s="5" t="s">
        <v>355</v>
      </c>
      <c r="P40055" s="5" t="s">
        <v>355</v>
      </c>
      <c r="Q40055" s="5" t="s">
        <v>355</v>
      </c>
    </row>
    <row r="40056" ht="16.5" customHeight="1">
      <c r="O40056" s="5" t="s">
        <v>355</v>
      </c>
      <c r="P40056" s="5" t="s">
        <v>355</v>
      </c>
      <c r="Q40056" s="5" t="s">
        <v>355</v>
      </c>
    </row>
    <row r="40057" ht="16.5" customHeight="1">
      <c r="O40057" s="5" t="s">
        <v>355</v>
      </c>
      <c r="P40057" s="5" t="s">
        <v>355</v>
      </c>
      <c r="Q40057" s="5" t="s">
        <v>355</v>
      </c>
    </row>
    <row r="40058" ht="16.5" customHeight="1">
      <c r="O40058" s="5" t="s">
        <v>355</v>
      </c>
      <c r="P40058" s="5" t="s">
        <v>355</v>
      </c>
      <c r="Q40058" s="5" t="s">
        <v>355</v>
      </c>
    </row>
    <row r="40059" ht="16.5" customHeight="1">
      <c r="O40059" s="5" t="s">
        <v>355</v>
      </c>
      <c r="P40059" s="5" t="s">
        <v>355</v>
      </c>
      <c r="Q40059" s="5" t="s">
        <v>355</v>
      </c>
    </row>
    <row r="40060" ht="16.5" customHeight="1">
      <c r="O40060" s="5" t="s">
        <v>355</v>
      </c>
      <c r="P40060" s="5" t="s">
        <v>355</v>
      </c>
      <c r="Q40060" s="5" t="s">
        <v>355</v>
      </c>
    </row>
    <row r="40061" ht="16.5" customHeight="1">
      <c r="O40061" s="5" t="s">
        <v>355</v>
      </c>
      <c r="P40061" s="5" t="s">
        <v>355</v>
      </c>
      <c r="Q40061" s="5" t="s">
        <v>355</v>
      </c>
    </row>
    <row r="40062" ht="16.5" customHeight="1">
      <c r="O40062" s="5" t="s">
        <v>355</v>
      </c>
      <c r="P40062" s="5" t="s">
        <v>355</v>
      </c>
      <c r="Q40062" s="5" t="s">
        <v>355</v>
      </c>
    </row>
    <row r="40063" ht="16.5" customHeight="1">
      <c r="O40063" s="5" t="s">
        <v>355</v>
      </c>
      <c r="P40063" s="5" t="s">
        <v>355</v>
      </c>
      <c r="Q40063" s="5" t="s">
        <v>355</v>
      </c>
    </row>
    <row r="40064" ht="16.5" customHeight="1">
      <c r="O40064" s="5" t="s">
        <v>355</v>
      </c>
      <c r="P40064" s="5" t="s">
        <v>355</v>
      </c>
      <c r="Q40064" s="5" t="s">
        <v>355</v>
      </c>
    </row>
    <row r="40065" ht="16.5" customHeight="1">
      <c r="O40065" s="5" t="s">
        <v>355</v>
      </c>
      <c r="P40065" s="5" t="s">
        <v>355</v>
      </c>
      <c r="Q40065" s="5" t="s">
        <v>355</v>
      </c>
    </row>
    <row r="40066" ht="16.5" customHeight="1">
      <c r="O40066" s="5" t="s">
        <v>355</v>
      </c>
      <c r="P40066" s="5" t="s">
        <v>355</v>
      </c>
      <c r="Q40066" s="5" t="s">
        <v>355</v>
      </c>
    </row>
    <row r="40067" ht="16.5" customHeight="1">
      <c r="O40067" s="5" t="s">
        <v>355</v>
      </c>
      <c r="P40067" s="5" t="s">
        <v>355</v>
      </c>
      <c r="Q40067" s="5" t="s">
        <v>355</v>
      </c>
    </row>
    <row r="40068" ht="16.5" customHeight="1">
      <c r="O40068" s="5" t="s">
        <v>355</v>
      </c>
      <c r="P40068" s="5" t="s">
        <v>355</v>
      </c>
      <c r="Q40068" s="5" t="s">
        <v>355</v>
      </c>
    </row>
    <row r="40069" ht="16.5" customHeight="1">
      <c r="O40069" s="5" t="s">
        <v>355</v>
      </c>
      <c r="P40069" s="5" t="s">
        <v>355</v>
      </c>
      <c r="Q40069" s="5" t="s">
        <v>355</v>
      </c>
    </row>
    <row r="40070" ht="16.5" customHeight="1">
      <c r="O40070" s="5" t="s">
        <v>355</v>
      </c>
      <c r="P40070" s="5" t="s">
        <v>355</v>
      </c>
      <c r="Q40070" s="5" t="s">
        <v>355</v>
      </c>
    </row>
    <row r="40071" ht="16.5" customHeight="1">
      <c r="O40071" s="5" t="s">
        <v>355</v>
      </c>
      <c r="P40071" s="5" t="s">
        <v>355</v>
      </c>
      <c r="Q40071" s="5" t="s">
        <v>355</v>
      </c>
    </row>
    <row r="40072" ht="16.5" customHeight="1">
      <c r="O40072" s="5" t="s">
        <v>355</v>
      </c>
      <c r="P40072" s="5" t="s">
        <v>355</v>
      </c>
      <c r="Q40072" s="5" t="s">
        <v>355</v>
      </c>
    </row>
    <row r="40073" ht="16.5" customHeight="1">
      <c r="O40073" s="5" t="s">
        <v>355</v>
      </c>
      <c r="P40073" s="5" t="s">
        <v>355</v>
      </c>
      <c r="Q40073" s="5" t="s">
        <v>355</v>
      </c>
    </row>
    <row r="40074" ht="16.5" customHeight="1">
      <c r="O40074" s="5" t="s">
        <v>355</v>
      </c>
      <c r="P40074" s="5" t="s">
        <v>355</v>
      </c>
      <c r="Q40074" s="5" t="s">
        <v>355</v>
      </c>
    </row>
    <row r="40075" ht="16.5" customHeight="1">
      <c r="O40075" s="5" t="s">
        <v>355</v>
      </c>
      <c r="P40075" s="5" t="s">
        <v>355</v>
      </c>
      <c r="Q40075" s="5" t="s">
        <v>355</v>
      </c>
    </row>
    <row r="40076" ht="16.5" customHeight="1">
      <c r="O40076" s="5" t="s">
        <v>355</v>
      </c>
      <c r="P40076" s="5" t="s">
        <v>355</v>
      </c>
      <c r="Q40076" s="5" t="s">
        <v>355</v>
      </c>
    </row>
    <row r="40077" ht="16.5" customHeight="1">
      <c r="O40077" s="5" t="s">
        <v>355</v>
      </c>
      <c r="P40077" s="5" t="s">
        <v>355</v>
      </c>
      <c r="Q40077" s="5" t="s">
        <v>355</v>
      </c>
    </row>
    <row r="40078" ht="16.5" customHeight="1">
      <c r="O40078" s="5" t="s">
        <v>355</v>
      </c>
      <c r="P40078" s="5" t="s">
        <v>355</v>
      </c>
      <c r="Q40078" s="5" t="s">
        <v>355</v>
      </c>
    </row>
    <row r="40079" ht="16.5" customHeight="1">
      <c r="O40079" s="5" t="s">
        <v>355</v>
      </c>
      <c r="P40079" s="5" t="s">
        <v>355</v>
      </c>
      <c r="Q40079" s="5" t="s">
        <v>355</v>
      </c>
    </row>
    <row r="40080" ht="16.5" customHeight="1">
      <c r="O40080" s="5" t="s">
        <v>355</v>
      </c>
      <c r="P40080" s="5" t="s">
        <v>355</v>
      </c>
      <c r="Q40080" s="5" t="s">
        <v>355</v>
      </c>
    </row>
    <row r="40081" ht="16.5" customHeight="1">
      <c r="O40081" s="5" t="s">
        <v>355</v>
      </c>
      <c r="P40081" s="5" t="s">
        <v>355</v>
      </c>
      <c r="Q40081" s="5" t="s">
        <v>355</v>
      </c>
    </row>
    <row r="40082" ht="16.5" customHeight="1">
      <c r="O40082" s="5" t="s">
        <v>355</v>
      </c>
      <c r="P40082" s="5" t="s">
        <v>355</v>
      </c>
      <c r="Q40082" s="5" t="s">
        <v>355</v>
      </c>
    </row>
    <row r="40083" ht="16.5" customHeight="1">
      <c r="O40083" s="5" t="s">
        <v>355</v>
      </c>
      <c r="P40083" s="5" t="s">
        <v>355</v>
      </c>
      <c r="Q40083" s="5" t="s">
        <v>355</v>
      </c>
    </row>
    <row r="40084" ht="16.5" customHeight="1">
      <c r="O40084" s="5" t="s">
        <v>355</v>
      </c>
      <c r="P40084" s="5" t="s">
        <v>355</v>
      </c>
      <c r="Q40084" s="5" t="s">
        <v>355</v>
      </c>
    </row>
    <row r="40085" ht="16.5" customHeight="1">
      <c r="O40085" s="5" t="s">
        <v>355</v>
      </c>
      <c r="P40085" s="5" t="s">
        <v>355</v>
      </c>
      <c r="Q40085" s="5" t="s">
        <v>355</v>
      </c>
    </row>
    <row r="40086" ht="16.5" customHeight="1">
      <c r="O40086" s="5" t="s">
        <v>355</v>
      </c>
      <c r="P40086" s="5" t="s">
        <v>355</v>
      </c>
      <c r="Q40086" s="5" t="s">
        <v>355</v>
      </c>
    </row>
    <row r="40087" ht="16.5" customHeight="1">
      <c r="O40087" s="5" t="s">
        <v>355</v>
      </c>
      <c r="P40087" s="5" t="s">
        <v>355</v>
      </c>
      <c r="Q40087" s="5" t="s">
        <v>355</v>
      </c>
    </row>
    <row r="40088" ht="16.5" customHeight="1">
      <c r="O40088" s="5" t="s">
        <v>355</v>
      </c>
      <c r="P40088" s="5" t="s">
        <v>355</v>
      </c>
      <c r="Q40088" s="5" t="s">
        <v>355</v>
      </c>
    </row>
    <row r="40089" ht="16.5" customHeight="1">
      <c r="O40089" s="5" t="s">
        <v>355</v>
      </c>
      <c r="P40089" s="5" t="s">
        <v>355</v>
      </c>
      <c r="Q40089" s="5" t="s">
        <v>355</v>
      </c>
    </row>
    <row r="40090" ht="16.5" customHeight="1">
      <c r="O40090" s="5" t="s">
        <v>355</v>
      </c>
      <c r="P40090" s="5" t="s">
        <v>355</v>
      </c>
      <c r="Q40090" s="5" t="s">
        <v>355</v>
      </c>
    </row>
    <row r="40091" ht="16.5" customHeight="1">
      <c r="O40091" s="5" t="s">
        <v>355</v>
      </c>
      <c r="P40091" s="5" t="s">
        <v>355</v>
      </c>
      <c r="Q40091" s="5" t="s">
        <v>355</v>
      </c>
    </row>
    <row r="40092" ht="16.5" customHeight="1">
      <c r="O40092" s="5" t="s">
        <v>355</v>
      </c>
      <c r="P40092" s="5" t="s">
        <v>355</v>
      </c>
      <c r="Q40092" s="5" t="s">
        <v>355</v>
      </c>
    </row>
    <row r="40093" ht="16.5" customHeight="1">
      <c r="O40093" s="5" t="s">
        <v>355</v>
      </c>
      <c r="P40093" s="5" t="s">
        <v>355</v>
      </c>
      <c r="Q40093" s="5" t="s">
        <v>355</v>
      </c>
    </row>
    <row r="40094" ht="16.5" customHeight="1">
      <c r="O40094" s="5" t="s">
        <v>355</v>
      </c>
      <c r="P40094" s="5" t="s">
        <v>355</v>
      </c>
      <c r="Q40094" s="5" t="s">
        <v>355</v>
      </c>
    </row>
    <row r="40095" ht="16.5" customHeight="1">
      <c r="O40095" s="5" t="s">
        <v>355</v>
      </c>
      <c r="P40095" s="5" t="s">
        <v>355</v>
      </c>
      <c r="Q40095" s="5" t="s">
        <v>355</v>
      </c>
    </row>
    <row r="40096" ht="16.5" customHeight="1">
      <c r="O40096" s="5" t="s">
        <v>355</v>
      </c>
      <c r="P40096" s="5" t="s">
        <v>355</v>
      </c>
      <c r="Q40096" s="5" t="s">
        <v>355</v>
      </c>
    </row>
    <row r="40097" ht="16.5" customHeight="1">
      <c r="O40097" s="5" t="s">
        <v>355</v>
      </c>
      <c r="P40097" s="5" t="s">
        <v>355</v>
      </c>
      <c r="Q40097" s="5" t="s">
        <v>355</v>
      </c>
    </row>
    <row r="40098" ht="16.5" customHeight="1">
      <c r="O40098" s="5" t="s">
        <v>355</v>
      </c>
      <c r="P40098" s="5" t="s">
        <v>355</v>
      </c>
      <c r="Q40098" s="5" t="s">
        <v>355</v>
      </c>
    </row>
    <row r="40099" ht="16.5" customHeight="1">
      <c r="O40099" s="5" t="s">
        <v>355</v>
      </c>
      <c r="P40099" s="5" t="s">
        <v>355</v>
      </c>
      <c r="Q40099" s="5" t="s">
        <v>355</v>
      </c>
    </row>
    <row r="40100" ht="16.5" customHeight="1">
      <c r="O40100" s="5" t="s">
        <v>355</v>
      </c>
      <c r="P40100" s="5" t="s">
        <v>355</v>
      </c>
      <c r="Q40100" s="5" t="s">
        <v>355</v>
      </c>
    </row>
    <row r="40101" ht="16.5" customHeight="1">
      <c r="O40101" s="5" t="s">
        <v>355</v>
      </c>
      <c r="P40101" s="5" t="s">
        <v>355</v>
      </c>
      <c r="Q40101" s="5" t="s">
        <v>355</v>
      </c>
    </row>
    <row r="40102" ht="16.5" customHeight="1">
      <c r="O40102" s="5" t="s">
        <v>355</v>
      </c>
      <c r="P40102" s="5" t="s">
        <v>355</v>
      </c>
      <c r="Q40102" s="5" t="s">
        <v>355</v>
      </c>
    </row>
    <row r="40103" ht="16.5" customHeight="1">
      <c r="O40103" s="5" t="s">
        <v>355</v>
      </c>
      <c r="P40103" s="5" t="s">
        <v>355</v>
      </c>
      <c r="Q40103" s="5" t="s">
        <v>355</v>
      </c>
    </row>
    <row r="40104" ht="16.5" customHeight="1">
      <c r="O40104" s="5" t="s">
        <v>355</v>
      </c>
      <c r="P40104" s="5" t="s">
        <v>355</v>
      </c>
      <c r="Q40104" s="5" t="s">
        <v>355</v>
      </c>
    </row>
    <row r="40105" ht="16.5" customHeight="1">
      <c r="O40105" s="5" t="s">
        <v>355</v>
      </c>
      <c r="P40105" s="5" t="s">
        <v>355</v>
      </c>
      <c r="Q40105" s="5" t="s">
        <v>355</v>
      </c>
    </row>
    <row r="40106" ht="16.5" customHeight="1">
      <c r="O40106" s="5" t="s">
        <v>355</v>
      </c>
      <c r="P40106" s="5" t="s">
        <v>355</v>
      </c>
      <c r="Q40106" s="5" t="s">
        <v>355</v>
      </c>
    </row>
    <row r="40107" ht="16.5" customHeight="1">
      <c r="O40107" s="5" t="s">
        <v>355</v>
      </c>
      <c r="P40107" s="5" t="s">
        <v>355</v>
      </c>
      <c r="Q40107" s="5" t="s">
        <v>355</v>
      </c>
    </row>
    <row r="40108" ht="16.5" customHeight="1">
      <c r="O40108" s="5" t="s">
        <v>355</v>
      </c>
      <c r="P40108" s="5" t="s">
        <v>355</v>
      </c>
      <c r="Q40108" s="5" t="s">
        <v>355</v>
      </c>
    </row>
    <row r="40109" ht="16.5" customHeight="1">
      <c r="O40109" s="5" t="s">
        <v>355</v>
      </c>
      <c r="P40109" s="5" t="s">
        <v>355</v>
      </c>
      <c r="Q40109" s="5" t="s">
        <v>355</v>
      </c>
    </row>
    <row r="40110" ht="16.5" customHeight="1">
      <c r="O40110" s="5" t="s">
        <v>355</v>
      </c>
      <c r="P40110" s="5" t="s">
        <v>355</v>
      </c>
      <c r="Q40110" s="5" t="s">
        <v>355</v>
      </c>
    </row>
    <row r="40111" ht="16.5" customHeight="1">
      <c r="O40111" s="5" t="s">
        <v>355</v>
      </c>
      <c r="P40111" s="5" t="s">
        <v>355</v>
      </c>
      <c r="Q40111" s="5" t="s">
        <v>355</v>
      </c>
    </row>
    <row r="40112" ht="16.5" customHeight="1">
      <c r="O40112" s="5" t="s">
        <v>355</v>
      </c>
      <c r="P40112" s="5" t="s">
        <v>355</v>
      </c>
      <c r="Q40112" s="5" t="s">
        <v>355</v>
      </c>
    </row>
    <row r="40113" ht="16.5" customHeight="1">
      <c r="O40113" s="5" t="s">
        <v>355</v>
      </c>
      <c r="P40113" s="5" t="s">
        <v>355</v>
      </c>
      <c r="Q40113" s="5" t="s">
        <v>355</v>
      </c>
    </row>
    <row r="40114" ht="16.5" customHeight="1">
      <c r="O40114" s="5" t="s">
        <v>355</v>
      </c>
      <c r="P40114" s="5" t="s">
        <v>355</v>
      </c>
      <c r="Q40114" s="5" t="s">
        <v>355</v>
      </c>
    </row>
    <row r="40115" ht="16.5" customHeight="1">
      <c r="O40115" s="5" t="s">
        <v>355</v>
      </c>
      <c r="P40115" s="5" t="s">
        <v>355</v>
      </c>
      <c r="Q40115" s="5" t="s">
        <v>355</v>
      </c>
    </row>
    <row r="40116" ht="16.5" customHeight="1">
      <c r="O40116" s="5" t="s">
        <v>355</v>
      </c>
      <c r="P40116" s="5" t="s">
        <v>355</v>
      </c>
      <c r="Q40116" s="5" t="s">
        <v>355</v>
      </c>
    </row>
    <row r="40117" ht="16.5" customHeight="1">
      <c r="O40117" s="5" t="s">
        <v>355</v>
      </c>
      <c r="P40117" s="5" t="s">
        <v>355</v>
      </c>
      <c r="Q40117" s="5" t="s">
        <v>355</v>
      </c>
    </row>
    <row r="40118" ht="16.5" customHeight="1">
      <c r="O40118" s="5" t="s">
        <v>355</v>
      </c>
      <c r="P40118" s="5" t="s">
        <v>355</v>
      </c>
      <c r="Q40118" s="5" t="s">
        <v>355</v>
      </c>
    </row>
    <row r="40119" ht="16.5" customHeight="1">
      <c r="O40119" s="5" t="s">
        <v>355</v>
      </c>
      <c r="P40119" s="5" t="s">
        <v>355</v>
      </c>
      <c r="Q40119" s="5" t="s">
        <v>355</v>
      </c>
    </row>
    <row r="40120" ht="16.5" customHeight="1">
      <c r="O40120" s="5" t="s">
        <v>355</v>
      </c>
      <c r="P40120" s="5" t="s">
        <v>355</v>
      </c>
      <c r="Q40120" s="5" t="s">
        <v>355</v>
      </c>
    </row>
    <row r="40121" ht="16.5" customHeight="1">
      <c r="O40121" s="5" t="s">
        <v>355</v>
      </c>
      <c r="P40121" s="5" t="s">
        <v>355</v>
      </c>
      <c r="Q40121" s="5" t="s">
        <v>355</v>
      </c>
    </row>
    <row r="40122" ht="16.5" customHeight="1">
      <c r="O40122" s="5" t="s">
        <v>355</v>
      </c>
      <c r="P40122" s="5" t="s">
        <v>355</v>
      </c>
      <c r="Q40122" s="5" t="s">
        <v>355</v>
      </c>
    </row>
    <row r="40123" ht="16.5" customHeight="1">
      <c r="O40123" s="5" t="s">
        <v>355</v>
      </c>
      <c r="P40123" s="5" t="s">
        <v>355</v>
      </c>
      <c r="Q40123" s="5" t="s">
        <v>355</v>
      </c>
    </row>
    <row r="40124" ht="16.5" customHeight="1">
      <c r="O40124" s="5" t="s">
        <v>355</v>
      </c>
      <c r="P40124" s="5" t="s">
        <v>355</v>
      </c>
      <c r="Q40124" s="5" t="s">
        <v>355</v>
      </c>
    </row>
    <row r="40125" ht="16.5" customHeight="1">
      <c r="O40125" s="5" t="s">
        <v>355</v>
      </c>
      <c r="P40125" s="5" t="s">
        <v>355</v>
      </c>
      <c r="Q40125" s="5" t="s">
        <v>355</v>
      </c>
    </row>
    <row r="40126" ht="16.5" customHeight="1">
      <c r="O40126" s="5" t="s">
        <v>355</v>
      </c>
      <c r="P40126" s="5" t="s">
        <v>355</v>
      </c>
      <c r="Q40126" s="5" t="s">
        <v>355</v>
      </c>
    </row>
    <row r="40127" ht="16.5" customHeight="1">
      <c r="O40127" s="5" t="s">
        <v>355</v>
      </c>
      <c r="P40127" s="5" t="s">
        <v>355</v>
      </c>
      <c r="Q40127" s="5" t="s">
        <v>355</v>
      </c>
    </row>
    <row r="40128" ht="16.5" customHeight="1">
      <c r="O40128" s="5" t="s">
        <v>355</v>
      </c>
      <c r="P40128" s="5" t="s">
        <v>355</v>
      </c>
      <c r="Q40128" s="5" t="s">
        <v>355</v>
      </c>
    </row>
    <row r="40129" ht="16.5" customHeight="1">
      <c r="O40129" s="5" t="s">
        <v>355</v>
      </c>
      <c r="P40129" s="5" t="s">
        <v>355</v>
      </c>
      <c r="Q40129" s="5" t="s">
        <v>355</v>
      </c>
    </row>
    <row r="40130" ht="16.5" customHeight="1">
      <c r="O40130" s="5" t="s">
        <v>355</v>
      </c>
      <c r="P40130" s="5" t="s">
        <v>355</v>
      </c>
      <c r="Q40130" s="5" t="s">
        <v>355</v>
      </c>
    </row>
    <row r="40131" ht="16.5" customHeight="1">
      <c r="O40131" s="5" t="s">
        <v>355</v>
      </c>
      <c r="P40131" s="5" t="s">
        <v>355</v>
      </c>
      <c r="Q40131" s="5" t="s">
        <v>355</v>
      </c>
    </row>
    <row r="40132" ht="16.5" customHeight="1">
      <c r="O40132" s="5" t="s">
        <v>355</v>
      </c>
      <c r="P40132" s="5" t="s">
        <v>355</v>
      </c>
      <c r="Q40132" s="5" t="s">
        <v>355</v>
      </c>
    </row>
    <row r="40133" ht="16.5" customHeight="1">
      <c r="O40133" s="5" t="s">
        <v>355</v>
      </c>
      <c r="P40133" s="5" t="s">
        <v>355</v>
      </c>
      <c r="Q40133" s="5" t="s">
        <v>355</v>
      </c>
    </row>
    <row r="40134" ht="16.5" customHeight="1">
      <c r="O40134" s="5" t="s">
        <v>355</v>
      </c>
      <c r="P40134" s="5" t="s">
        <v>355</v>
      </c>
      <c r="Q40134" s="5" t="s">
        <v>355</v>
      </c>
    </row>
    <row r="40135" ht="16.5" customHeight="1">
      <c r="O40135" s="5" t="s">
        <v>355</v>
      </c>
      <c r="P40135" s="5" t="s">
        <v>355</v>
      </c>
      <c r="Q40135" s="5" t="s">
        <v>355</v>
      </c>
    </row>
    <row r="40136" ht="16.5" customHeight="1">
      <c r="O40136" s="5" t="s">
        <v>355</v>
      </c>
      <c r="P40136" s="5" t="s">
        <v>355</v>
      </c>
      <c r="Q40136" s="5" t="s">
        <v>355</v>
      </c>
    </row>
    <row r="40137" ht="16.5" customHeight="1">
      <c r="O40137" s="5" t="s">
        <v>355</v>
      </c>
      <c r="P40137" s="5" t="s">
        <v>355</v>
      </c>
      <c r="Q40137" s="5" t="s">
        <v>355</v>
      </c>
    </row>
    <row r="40138" ht="16.5" customHeight="1">
      <c r="O40138" s="5" t="s">
        <v>355</v>
      </c>
      <c r="P40138" s="5" t="s">
        <v>355</v>
      </c>
      <c r="Q40138" s="5" t="s">
        <v>355</v>
      </c>
    </row>
    <row r="40139" ht="16.5" customHeight="1">
      <c r="O40139" s="5" t="s">
        <v>355</v>
      </c>
      <c r="P40139" s="5" t="s">
        <v>355</v>
      </c>
      <c r="Q40139" s="5" t="s">
        <v>355</v>
      </c>
    </row>
    <row r="40140" ht="16.5" customHeight="1">
      <c r="O40140" s="5" t="s">
        <v>355</v>
      </c>
      <c r="P40140" s="5" t="s">
        <v>355</v>
      </c>
      <c r="Q40140" s="5" t="s">
        <v>355</v>
      </c>
    </row>
    <row r="40141" ht="16.5" customHeight="1">
      <c r="O40141" s="5" t="s">
        <v>355</v>
      </c>
      <c r="P40141" s="5" t="s">
        <v>355</v>
      </c>
      <c r="Q40141" s="5" t="s">
        <v>355</v>
      </c>
    </row>
    <row r="40142" ht="16.5" customHeight="1">
      <c r="O40142" s="5" t="s">
        <v>355</v>
      </c>
      <c r="P40142" s="5" t="s">
        <v>355</v>
      </c>
      <c r="Q40142" s="5" t="s">
        <v>355</v>
      </c>
    </row>
    <row r="40143" ht="16.5" customHeight="1">
      <c r="O40143" s="5" t="s">
        <v>355</v>
      </c>
      <c r="P40143" s="5" t="s">
        <v>355</v>
      </c>
      <c r="Q40143" s="5" t="s">
        <v>355</v>
      </c>
    </row>
    <row r="40144" ht="16.5" customHeight="1">
      <c r="O40144" s="5" t="s">
        <v>355</v>
      </c>
      <c r="P40144" s="5" t="s">
        <v>355</v>
      </c>
      <c r="Q40144" s="5" t="s">
        <v>355</v>
      </c>
    </row>
    <row r="40145" ht="16.5" customHeight="1">
      <c r="O40145" s="5" t="s">
        <v>355</v>
      </c>
      <c r="P40145" s="5" t="s">
        <v>355</v>
      </c>
      <c r="Q40145" s="5" t="s">
        <v>355</v>
      </c>
    </row>
    <row r="40146" ht="16.5" customHeight="1">
      <c r="O40146" s="5" t="s">
        <v>355</v>
      </c>
      <c r="P40146" s="5" t="s">
        <v>355</v>
      </c>
      <c r="Q40146" s="5" t="s">
        <v>355</v>
      </c>
    </row>
    <row r="40147" ht="16.5" customHeight="1">
      <c r="O40147" s="5" t="s">
        <v>355</v>
      </c>
      <c r="P40147" s="5" t="s">
        <v>355</v>
      </c>
      <c r="Q40147" s="5" t="s">
        <v>355</v>
      </c>
    </row>
    <row r="40148" ht="16.5" customHeight="1">
      <c r="O40148" s="5" t="s">
        <v>355</v>
      </c>
      <c r="P40148" s="5" t="s">
        <v>355</v>
      </c>
      <c r="Q40148" s="5" t="s">
        <v>355</v>
      </c>
    </row>
    <row r="40149" ht="16.5" customHeight="1">
      <c r="O40149" s="5" t="s">
        <v>355</v>
      </c>
      <c r="P40149" s="5" t="s">
        <v>355</v>
      </c>
      <c r="Q40149" s="5" t="s">
        <v>355</v>
      </c>
    </row>
    <row r="40150" ht="16.5" customHeight="1">
      <c r="O40150" s="5" t="s">
        <v>355</v>
      </c>
      <c r="P40150" s="5" t="s">
        <v>355</v>
      </c>
      <c r="Q40150" s="5" t="s">
        <v>355</v>
      </c>
    </row>
    <row r="40151" ht="16.5" customHeight="1">
      <c r="O40151" s="5" t="s">
        <v>355</v>
      </c>
      <c r="P40151" s="5" t="s">
        <v>355</v>
      </c>
      <c r="Q40151" s="5" t="s">
        <v>355</v>
      </c>
    </row>
    <row r="40152" ht="16.5" customHeight="1">
      <c r="O40152" s="5" t="s">
        <v>355</v>
      </c>
      <c r="P40152" s="5" t="s">
        <v>355</v>
      </c>
      <c r="Q40152" s="5" t="s">
        <v>355</v>
      </c>
    </row>
    <row r="40153" ht="16.5" customHeight="1">
      <c r="O40153" s="5" t="s">
        <v>355</v>
      </c>
      <c r="P40153" s="5" t="s">
        <v>355</v>
      </c>
      <c r="Q40153" s="5" t="s">
        <v>355</v>
      </c>
    </row>
    <row r="40154" ht="16.5" customHeight="1">
      <c r="O40154" s="5" t="s">
        <v>355</v>
      </c>
      <c r="P40154" s="5" t="s">
        <v>355</v>
      </c>
      <c r="Q40154" s="5" t="s">
        <v>355</v>
      </c>
    </row>
    <row r="40155" ht="16.5" customHeight="1">
      <c r="O40155" s="5" t="s">
        <v>355</v>
      </c>
      <c r="P40155" s="5" t="s">
        <v>355</v>
      </c>
      <c r="Q40155" s="5" t="s">
        <v>355</v>
      </c>
    </row>
    <row r="40156" ht="16.5" customHeight="1">
      <c r="O40156" s="5" t="s">
        <v>355</v>
      </c>
      <c r="P40156" s="5" t="s">
        <v>355</v>
      </c>
      <c r="Q40156" s="5" t="s">
        <v>355</v>
      </c>
    </row>
    <row r="40157" ht="16.5" customHeight="1">
      <c r="O40157" s="5" t="s">
        <v>355</v>
      </c>
      <c r="P40157" s="5" t="s">
        <v>355</v>
      </c>
      <c r="Q40157" s="5" t="s">
        <v>355</v>
      </c>
    </row>
    <row r="40158" ht="16.5" customHeight="1">
      <c r="O40158" s="5" t="s">
        <v>355</v>
      </c>
      <c r="P40158" s="5" t="s">
        <v>355</v>
      </c>
      <c r="Q40158" s="5" t="s">
        <v>355</v>
      </c>
    </row>
    <row r="40159" ht="16.5" customHeight="1">
      <c r="O40159" s="5" t="s">
        <v>355</v>
      </c>
      <c r="P40159" s="5" t="s">
        <v>355</v>
      </c>
      <c r="Q40159" s="5" t="s">
        <v>355</v>
      </c>
    </row>
    <row r="40160" ht="16.5" customHeight="1">
      <c r="O40160" s="5" t="s">
        <v>355</v>
      </c>
      <c r="P40160" s="5" t="s">
        <v>355</v>
      </c>
      <c r="Q40160" s="5" t="s">
        <v>355</v>
      </c>
    </row>
    <row r="40161" ht="16.5" customHeight="1">
      <c r="O40161" s="5" t="s">
        <v>355</v>
      </c>
      <c r="P40161" s="5" t="s">
        <v>355</v>
      </c>
      <c r="Q40161" s="5" t="s">
        <v>355</v>
      </c>
    </row>
    <row r="40162" ht="16.5" customHeight="1">
      <c r="O40162" s="5" t="s">
        <v>355</v>
      </c>
      <c r="P40162" s="5" t="s">
        <v>355</v>
      </c>
      <c r="Q40162" s="5" t="s">
        <v>355</v>
      </c>
    </row>
    <row r="40163" ht="16.5" customHeight="1">
      <c r="O40163" s="5" t="s">
        <v>355</v>
      </c>
      <c r="P40163" s="5" t="s">
        <v>355</v>
      </c>
      <c r="Q40163" s="5" t="s">
        <v>355</v>
      </c>
    </row>
    <row r="40164" ht="16.5" customHeight="1">
      <c r="O40164" s="5" t="s">
        <v>355</v>
      </c>
      <c r="P40164" s="5" t="s">
        <v>355</v>
      </c>
      <c r="Q40164" s="5" t="s">
        <v>355</v>
      </c>
    </row>
    <row r="40165" ht="16.5" customHeight="1">
      <c r="O40165" s="5" t="s">
        <v>355</v>
      </c>
      <c r="P40165" s="5" t="s">
        <v>355</v>
      </c>
      <c r="Q40165" s="5" t="s">
        <v>355</v>
      </c>
    </row>
    <row r="40166" ht="16.5" customHeight="1">
      <c r="O40166" s="5" t="s">
        <v>355</v>
      </c>
      <c r="P40166" s="5" t="s">
        <v>355</v>
      </c>
      <c r="Q40166" s="5" t="s">
        <v>355</v>
      </c>
    </row>
    <row r="40167" ht="16.5" customHeight="1">
      <c r="O40167" s="5" t="s">
        <v>355</v>
      </c>
      <c r="P40167" s="5" t="s">
        <v>355</v>
      </c>
      <c r="Q40167" s="5" t="s">
        <v>355</v>
      </c>
    </row>
    <row r="40168" ht="16.5" customHeight="1">
      <c r="O40168" s="5" t="s">
        <v>355</v>
      </c>
      <c r="P40168" s="5" t="s">
        <v>355</v>
      </c>
      <c r="Q40168" s="5" t="s">
        <v>355</v>
      </c>
    </row>
    <row r="40169" ht="16.5" customHeight="1">
      <c r="O40169" s="5" t="s">
        <v>355</v>
      </c>
      <c r="P40169" s="5" t="s">
        <v>355</v>
      </c>
      <c r="Q40169" s="5" t="s">
        <v>355</v>
      </c>
    </row>
    <row r="40170" ht="16.5" customHeight="1">
      <c r="O40170" s="5" t="s">
        <v>355</v>
      </c>
      <c r="P40170" s="5" t="s">
        <v>355</v>
      </c>
      <c r="Q40170" s="5" t="s">
        <v>355</v>
      </c>
    </row>
    <row r="40171" ht="16.5" customHeight="1">
      <c r="O40171" s="5" t="s">
        <v>355</v>
      </c>
      <c r="P40171" s="5" t="s">
        <v>355</v>
      </c>
      <c r="Q40171" s="5" t="s">
        <v>355</v>
      </c>
    </row>
    <row r="40172" ht="16.5" customHeight="1">
      <c r="O40172" s="5" t="s">
        <v>355</v>
      </c>
      <c r="P40172" s="5" t="s">
        <v>355</v>
      </c>
      <c r="Q40172" s="5" t="s">
        <v>355</v>
      </c>
    </row>
    <row r="40173" ht="16.5" customHeight="1">
      <c r="O40173" s="5" t="s">
        <v>355</v>
      </c>
      <c r="P40173" s="5" t="s">
        <v>355</v>
      </c>
      <c r="Q40173" s="5" t="s">
        <v>355</v>
      </c>
    </row>
    <row r="40174" ht="16.5" customHeight="1">
      <c r="O40174" s="5" t="s">
        <v>355</v>
      </c>
      <c r="P40174" s="5" t="s">
        <v>355</v>
      </c>
      <c r="Q40174" s="5" t="s">
        <v>355</v>
      </c>
    </row>
    <row r="40175" ht="16.5" customHeight="1">
      <c r="O40175" s="5" t="s">
        <v>355</v>
      </c>
      <c r="P40175" s="5" t="s">
        <v>355</v>
      </c>
      <c r="Q40175" s="5" t="s">
        <v>355</v>
      </c>
    </row>
    <row r="40176" ht="16.5" customHeight="1">
      <c r="O40176" s="5" t="s">
        <v>355</v>
      </c>
      <c r="P40176" s="5" t="s">
        <v>355</v>
      </c>
      <c r="Q40176" s="5" t="s">
        <v>355</v>
      </c>
    </row>
    <row r="40177" ht="16.5" customHeight="1">
      <c r="O40177" s="5" t="s">
        <v>355</v>
      </c>
      <c r="P40177" s="5" t="s">
        <v>355</v>
      </c>
      <c r="Q40177" s="5" t="s">
        <v>355</v>
      </c>
    </row>
    <row r="40178" ht="16.5" customHeight="1">
      <c r="O40178" s="5" t="s">
        <v>355</v>
      </c>
      <c r="P40178" s="5" t="s">
        <v>355</v>
      </c>
      <c r="Q40178" s="5" t="s">
        <v>355</v>
      </c>
    </row>
    <row r="40179" ht="16.5" customHeight="1">
      <c r="O40179" s="5" t="s">
        <v>355</v>
      </c>
      <c r="P40179" s="5" t="s">
        <v>355</v>
      </c>
      <c r="Q40179" s="5" t="s">
        <v>355</v>
      </c>
    </row>
    <row r="40180" ht="16.5" customHeight="1">
      <c r="O40180" s="5" t="s">
        <v>355</v>
      </c>
      <c r="P40180" s="5" t="s">
        <v>355</v>
      </c>
      <c r="Q40180" s="5" t="s">
        <v>355</v>
      </c>
    </row>
    <row r="40181" ht="16.5" customHeight="1">
      <c r="O40181" s="5" t="s">
        <v>355</v>
      </c>
      <c r="P40181" s="5" t="s">
        <v>355</v>
      </c>
      <c r="Q40181" s="5" t="s">
        <v>355</v>
      </c>
    </row>
    <row r="40182" ht="16.5" customHeight="1">
      <c r="O40182" s="5" t="s">
        <v>355</v>
      </c>
      <c r="P40182" s="5" t="s">
        <v>355</v>
      </c>
      <c r="Q40182" s="5" t="s">
        <v>355</v>
      </c>
    </row>
    <row r="40183" ht="16.5" customHeight="1">
      <c r="O40183" s="5" t="s">
        <v>355</v>
      </c>
      <c r="P40183" s="5" t="s">
        <v>355</v>
      </c>
      <c r="Q40183" s="5" t="s">
        <v>355</v>
      </c>
    </row>
    <row r="40184" ht="16.5" customHeight="1">
      <c r="O40184" s="5" t="s">
        <v>355</v>
      </c>
      <c r="P40184" s="5" t="s">
        <v>355</v>
      </c>
      <c r="Q40184" s="5" t="s">
        <v>355</v>
      </c>
    </row>
    <row r="40185" ht="16.5" customHeight="1">
      <c r="O40185" s="5" t="s">
        <v>355</v>
      </c>
      <c r="P40185" s="5" t="s">
        <v>355</v>
      </c>
      <c r="Q40185" s="5" t="s">
        <v>355</v>
      </c>
    </row>
    <row r="40186" ht="16.5" customHeight="1">
      <c r="O40186" s="5" t="s">
        <v>355</v>
      </c>
      <c r="P40186" s="5" t="s">
        <v>355</v>
      </c>
      <c r="Q40186" s="5" t="s">
        <v>355</v>
      </c>
    </row>
    <row r="40187" ht="16.5" customHeight="1">
      <c r="O40187" s="5" t="s">
        <v>355</v>
      </c>
      <c r="P40187" s="5" t="s">
        <v>355</v>
      </c>
      <c r="Q40187" s="5" t="s">
        <v>355</v>
      </c>
    </row>
    <row r="40188" ht="16.5" customHeight="1">
      <c r="O40188" s="5" t="s">
        <v>355</v>
      </c>
      <c r="P40188" s="5" t="s">
        <v>355</v>
      </c>
      <c r="Q40188" s="5" t="s">
        <v>355</v>
      </c>
    </row>
    <row r="40189" ht="16.5" customHeight="1">
      <c r="O40189" s="5" t="s">
        <v>355</v>
      </c>
      <c r="P40189" s="5" t="s">
        <v>355</v>
      </c>
      <c r="Q40189" s="5" t="s">
        <v>355</v>
      </c>
    </row>
    <row r="40190" ht="16.5" customHeight="1">
      <c r="O40190" s="5" t="s">
        <v>355</v>
      </c>
      <c r="P40190" s="5" t="s">
        <v>355</v>
      </c>
      <c r="Q40190" s="5" t="s">
        <v>355</v>
      </c>
    </row>
    <row r="40191" ht="16.5" customHeight="1">
      <c r="O40191" s="5" t="s">
        <v>355</v>
      </c>
      <c r="P40191" s="5" t="s">
        <v>355</v>
      </c>
      <c r="Q40191" s="5" t="s">
        <v>355</v>
      </c>
    </row>
    <row r="40192" ht="16.5" customHeight="1">
      <c r="O40192" s="5" t="s">
        <v>355</v>
      </c>
      <c r="P40192" s="5" t="s">
        <v>355</v>
      </c>
      <c r="Q40192" s="5" t="s">
        <v>355</v>
      </c>
    </row>
    <row r="40193" ht="16.5" customHeight="1">
      <c r="O40193" s="5" t="s">
        <v>355</v>
      </c>
      <c r="P40193" s="5" t="s">
        <v>355</v>
      </c>
      <c r="Q40193" s="5" t="s">
        <v>355</v>
      </c>
    </row>
    <row r="40194" ht="16.5" customHeight="1">
      <c r="O40194" s="5" t="s">
        <v>355</v>
      </c>
      <c r="P40194" s="5" t="s">
        <v>355</v>
      </c>
      <c r="Q40194" s="5" t="s">
        <v>355</v>
      </c>
    </row>
    <row r="40195" ht="16.5" customHeight="1">
      <c r="O40195" s="5" t="s">
        <v>355</v>
      </c>
      <c r="P40195" s="5" t="s">
        <v>355</v>
      </c>
      <c r="Q40195" s="5" t="s">
        <v>355</v>
      </c>
    </row>
    <row r="40196" ht="16.5" customHeight="1">
      <c r="O40196" s="5" t="s">
        <v>355</v>
      </c>
      <c r="P40196" s="5" t="s">
        <v>355</v>
      </c>
      <c r="Q40196" s="5" t="s">
        <v>355</v>
      </c>
    </row>
    <row r="40197" ht="16.5" customHeight="1">
      <c r="O40197" s="5" t="s">
        <v>355</v>
      </c>
      <c r="P40197" s="5" t="s">
        <v>355</v>
      </c>
      <c r="Q40197" s="5" t="s">
        <v>355</v>
      </c>
    </row>
    <row r="40198" ht="16.5" customHeight="1">
      <c r="O40198" s="5" t="s">
        <v>355</v>
      </c>
      <c r="P40198" s="5" t="s">
        <v>355</v>
      </c>
      <c r="Q40198" s="5" t="s">
        <v>355</v>
      </c>
    </row>
    <row r="40199" ht="16.5" customHeight="1">
      <c r="O40199" s="5" t="s">
        <v>355</v>
      </c>
      <c r="P40199" s="5" t="s">
        <v>355</v>
      </c>
      <c r="Q40199" s="5" t="s">
        <v>355</v>
      </c>
    </row>
    <row r="40200" ht="16.5" customHeight="1">
      <c r="O40200" s="5" t="s">
        <v>355</v>
      </c>
      <c r="P40200" s="5" t="s">
        <v>355</v>
      </c>
      <c r="Q40200" s="5" t="s">
        <v>355</v>
      </c>
    </row>
    <row r="40201" ht="16.5" customHeight="1">
      <c r="O40201" s="5" t="s">
        <v>355</v>
      </c>
      <c r="P40201" s="5" t="s">
        <v>355</v>
      </c>
      <c r="Q40201" s="5" t="s">
        <v>355</v>
      </c>
    </row>
    <row r="40202" ht="16.5" customHeight="1">
      <c r="O40202" s="5" t="s">
        <v>355</v>
      </c>
      <c r="P40202" s="5" t="s">
        <v>355</v>
      </c>
      <c r="Q40202" s="5" t="s">
        <v>355</v>
      </c>
    </row>
    <row r="40203" ht="16.5" customHeight="1">
      <c r="O40203" s="5" t="s">
        <v>355</v>
      </c>
      <c r="P40203" s="5" t="s">
        <v>355</v>
      </c>
      <c r="Q40203" s="5" t="s">
        <v>355</v>
      </c>
    </row>
    <row r="40204" ht="16.5" customHeight="1">
      <c r="O40204" s="5" t="s">
        <v>355</v>
      </c>
      <c r="P40204" s="5" t="s">
        <v>355</v>
      </c>
      <c r="Q40204" s="5" t="s">
        <v>355</v>
      </c>
    </row>
    <row r="40205" ht="16.5" customHeight="1">
      <c r="O40205" s="5" t="s">
        <v>355</v>
      </c>
      <c r="P40205" s="5" t="s">
        <v>355</v>
      </c>
      <c r="Q40205" s="5" t="s">
        <v>355</v>
      </c>
    </row>
    <row r="40206" ht="16.5" customHeight="1">
      <c r="O40206" s="5" t="s">
        <v>355</v>
      </c>
      <c r="P40206" s="5" t="s">
        <v>355</v>
      </c>
      <c r="Q40206" s="5" t="s">
        <v>355</v>
      </c>
    </row>
    <row r="40207" ht="16.5" customHeight="1">
      <c r="O40207" s="5" t="s">
        <v>355</v>
      </c>
      <c r="P40207" s="5" t="s">
        <v>355</v>
      </c>
      <c r="Q40207" s="5" t="s">
        <v>355</v>
      </c>
    </row>
    <row r="40208" ht="16.5" customHeight="1">
      <c r="O40208" s="5" t="s">
        <v>355</v>
      </c>
      <c r="P40208" s="5" t="s">
        <v>355</v>
      </c>
      <c r="Q40208" s="5" t="s">
        <v>355</v>
      </c>
    </row>
    <row r="40209" ht="16.5" customHeight="1">
      <c r="O40209" s="5" t="s">
        <v>355</v>
      </c>
      <c r="P40209" s="5" t="s">
        <v>355</v>
      </c>
      <c r="Q40209" s="5" t="s">
        <v>355</v>
      </c>
    </row>
    <row r="40210" ht="16.5" customHeight="1">
      <c r="O40210" s="5" t="s">
        <v>355</v>
      </c>
      <c r="P40210" s="5" t="s">
        <v>355</v>
      </c>
      <c r="Q40210" s="5" t="s">
        <v>355</v>
      </c>
    </row>
    <row r="40211" ht="16.5" customHeight="1">
      <c r="O40211" s="5" t="s">
        <v>355</v>
      </c>
      <c r="P40211" s="5" t="s">
        <v>355</v>
      </c>
      <c r="Q40211" s="5" t="s">
        <v>355</v>
      </c>
    </row>
    <row r="40212" ht="16.5" customHeight="1">
      <c r="O40212" s="5" t="s">
        <v>355</v>
      </c>
      <c r="P40212" s="5" t="s">
        <v>355</v>
      </c>
      <c r="Q40212" s="5" t="s">
        <v>355</v>
      </c>
    </row>
    <row r="40213" ht="16.5" customHeight="1">
      <c r="O40213" s="5" t="s">
        <v>355</v>
      </c>
      <c r="P40213" s="5" t="s">
        <v>355</v>
      </c>
      <c r="Q40213" s="5" t="s">
        <v>355</v>
      </c>
    </row>
    <row r="40214" ht="16.5" customHeight="1">
      <c r="O40214" s="5" t="s">
        <v>355</v>
      </c>
      <c r="P40214" s="5" t="s">
        <v>355</v>
      </c>
      <c r="Q40214" s="5" t="s">
        <v>355</v>
      </c>
    </row>
    <row r="40215" ht="16.5" customHeight="1">
      <c r="O40215" s="5" t="s">
        <v>355</v>
      </c>
      <c r="P40215" s="5" t="s">
        <v>355</v>
      </c>
      <c r="Q40215" s="5" t="s">
        <v>355</v>
      </c>
    </row>
    <row r="40216" ht="16.5" customHeight="1">
      <c r="O40216" s="5" t="s">
        <v>355</v>
      </c>
      <c r="P40216" s="5" t="s">
        <v>355</v>
      </c>
      <c r="Q40216" s="5" t="s">
        <v>355</v>
      </c>
    </row>
    <row r="40217" ht="16.5" customHeight="1">
      <c r="O40217" s="5" t="s">
        <v>355</v>
      </c>
      <c r="P40217" s="5" t="s">
        <v>355</v>
      </c>
      <c r="Q40217" s="5" t="s">
        <v>355</v>
      </c>
    </row>
    <row r="40218" ht="16.5" customHeight="1">
      <c r="O40218" s="5" t="s">
        <v>355</v>
      </c>
      <c r="P40218" s="5" t="s">
        <v>355</v>
      </c>
      <c r="Q40218" s="5" t="s">
        <v>355</v>
      </c>
    </row>
    <row r="40219" ht="16.5" customHeight="1">
      <c r="O40219" s="5" t="s">
        <v>355</v>
      </c>
      <c r="P40219" s="5" t="s">
        <v>355</v>
      </c>
      <c r="Q40219" s="5" t="s">
        <v>355</v>
      </c>
    </row>
    <row r="40220" ht="16.5" customHeight="1">
      <c r="O40220" s="5" t="s">
        <v>355</v>
      </c>
      <c r="P40220" s="5" t="s">
        <v>355</v>
      </c>
      <c r="Q40220" s="5" t="s">
        <v>355</v>
      </c>
    </row>
    <row r="40221" ht="16.5" customHeight="1">
      <c r="O40221" s="5" t="s">
        <v>355</v>
      </c>
      <c r="P40221" s="5" t="s">
        <v>355</v>
      </c>
      <c r="Q40221" s="5" t="s">
        <v>355</v>
      </c>
    </row>
    <row r="40222" ht="16.5" customHeight="1">
      <c r="O40222" s="5" t="s">
        <v>355</v>
      </c>
      <c r="P40222" s="5" t="s">
        <v>355</v>
      </c>
      <c r="Q40222" s="5" t="s">
        <v>355</v>
      </c>
    </row>
    <row r="40223" ht="16.5" customHeight="1">
      <c r="O40223" s="5" t="s">
        <v>355</v>
      </c>
      <c r="P40223" s="5" t="s">
        <v>355</v>
      </c>
      <c r="Q40223" s="5" t="s">
        <v>355</v>
      </c>
    </row>
    <row r="40224" ht="16.5" customHeight="1">
      <c r="O40224" s="5" t="s">
        <v>355</v>
      </c>
      <c r="P40224" s="5" t="s">
        <v>355</v>
      </c>
      <c r="Q40224" s="5" t="s">
        <v>355</v>
      </c>
    </row>
    <row r="40225" ht="16.5" customHeight="1">
      <c r="O40225" s="5" t="s">
        <v>355</v>
      </c>
      <c r="P40225" s="5" t="s">
        <v>355</v>
      </c>
      <c r="Q40225" s="5" t="s">
        <v>355</v>
      </c>
    </row>
    <row r="40226" ht="16.5" customHeight="1">
      <c r="O40226" s="5" t="s">
        <v>355</v>
      </c>
      <c r="P40226" s="5" t="s">
        <v>355</v>
      </c>
      <c r="Q40226" s="5" t="s">
        <v>355</v>
      </c>
    </row>
    <row r="40227" ht="16.5" customHeight="1">
      <c r="O40227" s="5" t="s">
        <v>355</v>
      </c>
      <c r="P40227" s="5" t="s">
        <v>355</v>
      </c>
      <c r="Q40227" s="5" t="s">
        <v>355</v>
      </c>
    </row>
    <row r="40228" ht="16.5" customHeight="1">
      <c r="O40228" s="5" t="s">
        <v>355</v>
      </c>
      <c r="P40228" s="5" t="s">
        <v>355</v>
      </c>
      <c r="Q40228" s="5" t="s">
        <v>355</v>
      </c>
    </row>
    <row r="40229" ht="16.5" customHeight="1">
      <c r="O40229" s="5" t="s">
        <v>355</v>
      </c>
      <c r="P40229" s="5" t="s">
        <v>355</v>
      </c>
      <c r="Q40229" s="5" t="s">
        <v>355</v>
      </c>
    </row>
    <row r="40230" ht="16.5" customHeight="1">
      <c r="O40230" s="5" t="s">
        <v>355</v>
      </c>
      <c r="P40230" s="5" t="s">
        <v>355</v>
      </c>
      <c r="Q40230" s="5" t="s">
        <v>355</v>
      </c>
    </row>
    <row r="40231" ht="16.5" customHeight="1">
      <c r="O40231" s="5" t="s">
        <v>355</v>
      </c>
      <c r="P40231" s="5" t="s">
        <v>355</v>
      </c>
      <c r="Q40231" s="5" t="s">
        <v>355</v>
      </c>
    </row>
    <row r="40232" ht="16.5" customHeight="1">
      <c r="O40232" s="5" t="s">
        <v>355</v>
      </c>
      <c r="P40232" s="5" t="s">
        <v>355</v>
      </c>
      <c r="Q40232" s="5" t="s">
        <v>355</v>
      </c>
    </row>
    <row r="40233" ht="16.5" customHeight="1">
      <c r="O40233" s="5" t="s">
        <v>355</v>
      </c>
      <c r="P40233" s="5" t="s">
        <v>355</v>
      </c>
      <c r="Q40233" s="5" t="s">
        <v>355</v>
      </c>
    </row>
    <row r="40234" ht="16.5" customHeight="1">
      <c r="O40234" s="5" t="s">
        <v>355</v>
      </c>
      <c r="P40234" s="5" t="s">
        <v>355</v>
      </c>
      <c r="Q40234" s="5" t="s">
        <v>355</v>
      </c>
    </row>
    <row r="40235" ht="16.5" customHeight="1">
      <c r="O40235" s="5" t="s">
        <v>355</v>
      </c>
      <c r="P40235" s="5" t="s">
        <v>355</v>
      </c>
      <c r="Q40235" s="5" t="s">
        <v>355</v>
      </c>
    </row>
    <row r="40236" ht="16.5" customHeight="1">
      <c r="O40236" s="5" t="s">
        <v>355</v>
      </c>
      <c r="P40236" s="5" t="s">
        <v>355</v>
      </c>
      <c r="Q40236" s="5" t="s">
        <v>355</v>
      </c>
    </row>
    <row r="40237" ht="16.5" customHeight="1">
      <c r="O40237" s="5" t="s">
        <v>355</v>
      </c>
      <c r="P40237" s="5" t="s">
        <v>355</v>
      </c>
      <c r="Q40237" s="5" t="s">
        <v>355</v>
      </c>
    </row>
    <row r="40238" ht="16.5" customHeight="1">
      <c r="O40238" s="5" t="s">
        <v>355</v>
      </c>
      <c r="P40238" s="5" t="s">
        <v>355</v>
      </c>
      <c r="Q40238" s="5" t="s">
        <v>355</v>
      </c>
    </row>
    <row r="40239" ht="16.5" customHeight="1">
      <c r="O40239" s="5" t="s">
        <v>355</v>
      </c>
      <c r="P40239" s="5" t="s">
        <v>355</v>
      </c>
      <c r="Q40239" s="5" t="s">
        <v>355</v>
      </c>
    </row>
    <row r="40240" ht="16.5" customHeight="1">
      <c r="O40240" s="5" t="s">
        <v>355</v>
      </c>
      <c r="P40240" s="5" t="s">
        <v>355</v>
      </c>
      <c r="Q40240" s="5" t="s">
        <v>355</v>
      </c>
    </row>
    <row r="40241" ht="16.5" customHeight="1">
      <c r="O40241" s="5" t="s">
        <v>355</v>
      </c>
      <c r="P40241" s="5" t="s">
        <v>355</v>
      </c>
      <c r="Q40241" s="5" t="s">
        <v>355</v>
      </c>
    </row>
    <row r="40242" ht="16.5" customHeight="1">
      <c r="O40242" s="5" t="s">
        <v>355</v>
      </c>
      <c r="P40242" s="5" t="s">
        <v>355</v>
      </c>
      <c r="Q40242" s="5" t="s">
        <v>355</v>
      </c>
    </row>
    <row r="40243" ht="16.5" customHeight="1">
      <c r="O40243" s="5" t="s">
        <v>355</v>
      </c>
      <c r="P40243" s="5" t="s">
        <v>355</v>
      </c>
      <c r="Q40243" s="5" t="s">
        <v>355</v>
      </c>
    </row>
    <row r="40244" ht="16.5" customHeight="1">
      <c r="O40244" s="5" t="s">
        <v>355</v>
      </c>
      <c r="P40244" s="5" t="s">
        <v>355</v>
      </c>
      <c r="Q40244" s="5" t="s">
        <v>355</v>
      </c>
    </row>
    <row r="40245" ht="16.5" customHeight="1">
      <c r="O40245" s="5" t="s">
        <v>355</v>
      </c>
      <c r="P40245" s="5" t="s">
        <v>355</v>
      </c>
      <c r="Q40245" s="5" t="s">
        <v>355</v>
      </c>
    </row>
    <row r="40246" ht="16.5" customHeight="1">
      <c r="O40246" s="5" t="s">
        <v>355</v>
      </c>
      <c r="P40246" s="5" t="s">
        <v>355</v>
      </c>
      <c r="Q40246" s="5" t="s">
        <v>355</v>
      </c>
    </row>
    <row r="40247" ht="16.5" customHeight="1">
      <c r="O40247" s="5" t="s">
        <v>355</v>
      </c>
      <c r="P40247" s="5" t="s">
        <v>355</v>
      </c>
      <c r="Q40247" s="5" t="s">
        <v>355</v>
      </c>
    </row>
    <row r="40248" ht="16.5" customHeight="1">
      <c r="O40248" s="5" t="s">
        <v>355</v>
      </c>
      <c r="P40248" s="5" t="s">
        <v>355</v>
      </c>
      <c r="Q40248" s="5" t="s">
        <v>355</v>
      </c>
    </row>
    <row r="40249" ht="16.5" customHeight="1">
      <c r="O40249" s="5" t="s">
        <v>355</v>
      </c>
      <c r="P40249" s="5" t="s">
        <v>355</v>
      </c>
      <c r="Q40249" s="5" t="s">
        <v>355</v>
      </c>
    </row>
    <row r="40250" ht="16.5" customHeight="1">
      <c r="O40250" s="5" t="s">
        <v>355</v>
      </c>
      <c r="P40250" s="5" t="s">
        <v>355</v>
      </c>
      <c r="Q40250" s="5" t="s">
        <v>355</v>
      </c>
    </row>
    <row r="40251" ht="16.5" customHeight="1">
      <c r="O40251" s="5" t="s">
        <v>355</v>
      </c>
      <c r="P40251" s="5" t="s">
        <v>355</v>
      </c>
      <c r="Q40251" s="5" t="s">
        <v>355</v>
      </c>
    </row>
    <row r="40252" ht="16.5" customHeight="1">
      <c r="O40252" s="5" t="s">
        <v>355</v>
      </c>
      <c r="P40252" s="5" t="s">
        <v>355</v>
      </c>
      <c r="Q40252" s="5" t="s">
        <v>355</v>
      </c>
    </row>
    <row r="40253" ht="16.5" customHeight="1">
      <c r="O40253" s="5" t="s">
        <v>355</v>
      </c>
      <c r="P40253" s="5" t="s">
        <v>355</v>
      </c>
      <c r="Q40253" s="5" t="s">
        <v>355</v>
      </c>
    </row>
    <row r="40254" ht="16.5" customHeight="1">
      <c r="O40254" s="5" t="s">
        <v>355</v>
      </c>
      <c r="P40254" s="5" t="s">
        <v>355</v>
      </c>
      <c r="Q40254" s="5" t="s">
        <v>355</v>
      </c>
    </row>
    <row r="40255" ht="16.5" customHeight="1">
      <c r="O40255" s="5" t="s">
        <v>355</v>
      </c>
      <c r="P40255" s="5" t="s">
        <v>355</v>
      </c>
      <c r="Q40255" s="5" t="s">
        <v>355</v>
      </c>
    </row>
    <row r="40256" ht="16.5" customHeight="1">
      <c r="O40256" s="5" t="s">
        <v>355</v>
      </c>
      <c r="P40256" s="5" t="s">
        <v>355</v>
      </c>
      <c r="Q40256" s="5" t="s">
        <v>355</v>
      </c>
    </row>
    <row r="40257" ht="16.5" customHeight="1">
      <c r="O40257" s="5" t="s">
        <v>355</v>
      </c>
      <c r="P40257" s="5" t="s">
        <v>355</v>
      </c>
      <c r="Q40257" s="5" t="s">
        <v>355</v>
      </c>
    </row>
    <row r="40258" ht="16.5" customHeight="1">
      <c r="O40258" s="5" t="s">
        <v>355</v>
      </c>
      <c r="P40258" s="5" t="s">
        <v>355</v>
      </c>
      <c r="Q40258" s="5" t="s">
        <v>355</v>
      </c>
    </row>
    <row r="40259" ht="16.5" customHeight="1">
      <c r="O40259" s="5" t="s">
        <v>355</v>
      </c>
      <c r="P40259" s="5" t="s">
        <v>355</v>
      </c>
      <c r="Q40259" s="5" t="s">
        <v>355</v>
      </c>
    </row>
    <row r="40260" ht="16.5" customHeight="1">
      <c r="O40260" s="5" t="s">
        <v>355</v>
      </c>
      <c r="P40260" s="5" t="s">
        <v>355</v>
      </c>
      <c r="Q40260" s="5" t="s">
        <v>355</v>
      </c>
    </row>
    <row r="40261" ht="16.5" customHeight="1">
      <c r="O40261" s="5" t="s">
        <v>355</v>
      </c>
      <c r="P40261" s="5" t="s">
        <v>355</v>
      </c>
      <c r="Q40261" s="5" t="s">
        <v>355</v>
      </c>
    </row>
    <row r="40262" ht="16.5" customHeight="1">
      <c r="O40262" s="5" t="s">
        <v>355</v>
      </c>
      <c r="P40262" s="5" t="s">
        <v>355</v>
      </c>
      <c r="Q40262" s="5" t="s">
        <v>355</v>
      </c>
    </row>
    <row r="40263" ht="16.5" customHeight="1">
      <c r="O40263" s="5" t="s">
        <v>355</v>
      </c>
      <c r="P40263" s="5" t="s">
        <v>355</v>
      </c>
      <c r="Q40263" s="5" t="s">
        <v>355</v>
      </c>
    </row>
    <row r="40264" ht="16.5" customHeight="1">
      <c r="O40264" s="5" t="s">
        <v>355</v>
      </c>
      <c r="P40264" s="5" t="s">
        <v>355</v>
      </c>
      <c r="Q40264" s="5" t="s">
        <v>355</v>
      </c>
    </row>
    <row r="40265" ht="16.5" customHeight="1">
      <c r="O40265" s="5" t="s">
        <v>355</v>
      </c>
      <c r="P40265" s="5" t="s">
        <v>355</v>
      </c>
      <c r="Q40265" s="5" t="s">
        <v>355</v>
      </c>
    </row>
    <row r="40266" ht="16.5" customHeight="1">
      <c r="O40266" s="5" t="s">
        <v>355</v>
      </c>
      <c r="P40266" s="5" t="s">
        <v>355</v>
      </c>
      <c r="Q40266" s="5" t="s">
        <v>355</v>
      </c>
    </row>
    <row r="40267" ht="16.5" customHeight="1">
      <c r="O40267" s="5" t="s">
        <v>355</v>
      </c>
      <c r="P40267" s="5" t="s">
        <v>355</v>
      </c>
      <c r="Q40267" s="5" t="s">
        <v>355</v>
      </c>
    </row>
    <row r="40268" ht="16.5" customHeight="1">
      <c r="O40268" s="5" t="s">
        <v>355</v>
      </c>
      <c r="P40268" s="5" t="s">
        <v>355</v>
      </c>
      <c r="Q40268" s="5" t="s">
        <v>355</v>
      </c>
    </row>
    <row r="40269" ht="16.5" customHeight="1">
      <c r="O40269" s="5" t="s">
        <v>355</v>
      </c>
      <c r="P40269" s="5" t="s">
        <v>355</v>
      </c>
      <c r="Q40269" s="5" t="s">
        <v>355</v>
      </c>
    </row>
    <row r="40270" ht="16.5" customHeight="1">
      <c r="O40270" s="5" t="s">
        <v>355</v>
      </c>
      <c r="P40270" s="5" t="s">
        <v>355</v>
      </c>
      <c r="Q40270" s="5" t="s">
        <v>355</v>
      </c>
    </row>
    <row r="40271" ht="16.5" customHeight="1">
      <c r="O40271" s="5" t="s">
        <v>355</v>
      </c>
      <c r="P40271" s="5" t="s">
        <v>355</v>
      </c>
      <c r="Q40271" s="5" t="s">
        <v>355</v>
      </c>
    </row>
    <row r="40272" ht="16.5" customHeight="1">
      <c r="O40272" s="5" t="s">
        <v>355</v>
      </c>
      <c r="P40272" s="5" t="s">
        <v>355</v>
      </c>
      <c r="Q40272" s="5" t="s">
        <v>355</v>
      </c>
    </row>
    <row r="40273" ht="16.5" customHeight="1">
      <c r="O40273" s="5" t="s">
        <v>355</v>
      </c>
      <c r="P40273" s="5" t="s">
        <v>355</v>
      </c>
      <c r="Q40273" s="5" t="s">
        <v>355</v>
      </c>
    </row>
    <row r="40274" ht="16.5" customHeight="1">
      <c r="O40274" s="5" t="s">
        <v>355</v>
      </c>
      <c r="P40274" s="5" t="s">
        <v>355</v>
      </c>
      <c r="Q40274" s="5" t="s">
        <v>355</v>
      </c>
    </row>
    <row r="40275" ht="16.5" customHeight="1">
      <c r="O40275" s="5" t="s">
        <v>355</v>
      </c>
      <c r="P40275" s="5" t="s">
        <v>355</v>
      </c>
      <c r="Q40275" s="5" t="s">
        <v>355</v>
      </c>
    </row>
    <row r="40276" ht="16.5" customHeight="1">
      <c r="O40276" s="5" t="s">
        <v>355</v>
      </c>
      <c r="P40276" s="5" t="s">
        <v>355</v>
      </c>
      <c r="Q40276" s="5" t="s">
        <v>355</v>
      </c>
    </row>
    <row r="40277" ht="16.5" customHeight="1">
      <c r="O40277" s="5" t="s">
        <v>355</v>
      </c>
      <c r="P40277" s="5" t="s">
        <v>355</v>
      </c>
      <c r="Q40277" s="5" t="s">
        <v>355</v>
      </c>
    </row>
    <row r="40278" ht="16.5" customHeight="1">
      <c r="O40278" s="5" t="s">
        <v>355</v>
      </c>
      <c r="P40278" s="5" t="s">
        <v>355</v>
      </c>
      <c r="Q40278" s="5" t="s">
        <v>355</v>
      </c>
    </row>
    <row r="40279" ht="16.5" customHeight="1">
      <c r="O40279" s="5" t="s">
        <v>355</v>
      </c>
      <c r="P40279" s="5" t="s">
        <v>355</v>
      </c>
      <c r="Q40279" s="5" t="s">
        <v>355</v>
      </c>
    </row>
    <row r="40280" ht="16.5" customHeight="1">
      <c r="O40280" s="5" t="s">
        <v>355</v>
      </c>
      <c r="P40280" s="5" t="s">
        <v>355</v>
      </c>
      <c r="Q40280" s="5" t="s">
        <v>355</v>
      </c>
    </row>
    <row r="40281" ht="16.5" customHeight="1">
      <c r="O40281" s="5" t="s">
        <v>355</v>
      </c>
      <c r="P40281" s="5" t="s">
        <v>355</v>
      </c>
      <c r="Q40281" s="5" t="s">
        <v>355</v>
      </c>
    </row>
    <row r="40282" ht="16.5" customHeight="1">
      <c r="O40282" s="5" t="s">
        <v>355</v>
      </c>
      <c r="P40282" s="5" t="s">
        <v>355</v>
      </c>
      <c r="Q40282" s="5" t="s">
        <v>355</v>
      </c>
    </row>
    <row r="40283" ht="16.5" customHeight="1">
      <c r="O40283" s="5" t="s">
        <v>355</v>
      </c>
      <c r="P40283" s="5" t="s">
        <v>355</v>
      </c>
      <c r="Q40283" s="5" t="s">
        <v>355</v>
      </c>
    </row>
    <row r="40284" ht="16.5" customHeight="1">
      <c r="O40284" s="5" t="s">
        <v>355</v>
      </c>
      <c r="P40284" s="5" t="s">
        <v>355</v>
      </c>
      <c r="Q40284" s="5" t="s">
        <v>355</v>
      </c>
    </row>
    <row r="40285" ht="16.5" customHeight="1">
      <c r="O40285" s="5" t="s">
        <v>355</v>
      </c>
      <c r="P40285" s="5" t="s">
        <v>355</v>
      </c>
      <c r="Q40285" s="5" t="s">
        <v>355</v>
      </c>
    </row>
    <row r="40286" ht="16.5" customHeight="1">
      <c r="O40286" s="5" t="s">
        <v>355</v>
      </c>
      <c r="P40286" s="5" t="s">
        <v>355</v>
      </c>
      <c r="Q40286" s="5" t="s">
        <v>355</v>
      </c>
    </row>
    <row r="40287" ht="16.5" customHeight="1">
      <c r="O40287" s="5" t="s">
        <v>355</v>
      </c>
      <c r="P40287" s="5" t="s">
        <v>355</v>
      </c>
      <c r="Q40287" s="5" t="s">
        <v>355</v>
      </c>
    </row>
    <row r="40288" ht="16.5" customHeight="1">
      <c r="O40288" s="5" t="s">
        <v>355</v>
      </c>
      <c r="P40288" s="5" t="s">
        <v>355</v>
      </c>
      <c r="Q40288" s="5" t="s">
        <v>355</v>
      </c>
    </row>
    <row r="40289" ht="16.5" customHeight="1">
      <c r="O40289" s="5" t="s">
        <v>355</v>
      </c>
      <c r="P40289" s="5" t="s">
        <v>355</v>
      </c>
      <c r="Q40289" s="5" t="s">
        <v>355</v>
      </c>
    </row>
    <row r="40290" ht="16.5" customHeight="1">
      <c r="O40290" s="5" t="s">
        <v>355</v>
      </c>
      <c r="P40290" s="5" t="s">
        <v>355</v>
      </c>
      <c r="Q40290" s="5" t="s">
        <v>355</v>
      </c>
    </row>
    <row r="40291" ht="16.5" customHeight="1">
      <c r="O40291" s="5" t="s">
        <v>355</v>
      </c>
      <c r="P40291" s="5" t="s">
        <v>355</v>
      </c>
      <c r="Q40291" s="5" t="s">
        <v>355</v>
      </c>
    </row>
    <row r="40292" ht="16.5" customHeight="1">
      <c r="O40292" s="5" t="s">
        <v>355</v>
      </c>
      <c r="P40292" s="5" t="s">
        <v>355</v>
      </c>
      <c r="Q40292" s="5" t="s">
        <v>355</v>
      </c>
    </row>
    <row r="40293" ht="16.5" customHeight="1">
      <c r="O40293" s="5" t="s">
        <v>355</v>
      </c>
      <c r="P40293" s="5" t="s">
        <v>355</v>
      </c>
      <c r="Q40293" s="5" t="s">
        <v>355</v>
      </c>
    </row>
    <row r="40294" ht="16.5" customHeight="1">
      <c r="O40294" s="5" t="s">
        <v>355</v>
      </c>
      <c r="P40294" s="5" t="s">
        <v>355</v>
      </c>
      <c r="Q40294" s="5" t="s">
        <v>355</v>
      </c>
    </row>
    <row r="40295" ht="16.5" customHeight="1">
      <c r="O40295" s="5" t="s">
        <v>355</v>
      </c>
      <c r="P40295" s="5" t="s">
        <v>355</v>
      </c>
      <c r="Q40295" s="5" t="s">
        <v>355</v>
      </c>
    </row>
    <row r="40296" ht="16.5" customHeight="1">
      <c r="O40296" s="5" t="s">
        <v>355</v>
      </c>
      <c r="P40296" s="5" t="s">
        <v>355</v>
      </c>
      <c r="Q40296" s="5" t="s">
        <v>355</v>
      </c>
    </row>
    <row r="40297" ht="16.5" customHeight="1">
      <c r="O40297" s="5" t="s">
        <v>355</v>
      </c>
      <c r="P40297" s="5" t="s">
        <v>355</v>
      </c>
      <c r="Q40297" s="5" t="s">
        <v>355</v>
      </c>
    </row>
    <row r="40298" ht="16.5" customHeight="1">
      <c r="O40298" s="5" t="s">
        <v>355</v>
      </c>
      <c r="P40298" s="5" t="s">
        <v>355</v>
      </c>
      <c r="Q40298" s="5" t="s">
        <v>355</v>
      </c>
    </row>
    <row r="40299" ht="16.5" customHeight="1">
      <c r="O40299" s="5" t="s">
        <v>355</v>
      </c>
      <c r="P40299" s="5" t="s">
        <v>355</v>
      </c>
      <c r="Q40299" s="5" t="s">
        <v>355</v>
      </c>
    </row>
    <row r="40300" ht="16.5" customHeight="1">
      <c r="O40300" s="5" t="s">
        <v>355</v>
      </c>
      <c r="P40300" s="5" t="s">
        <v>355</v>
      </c>
      <c r="Q40300" s="5" t="s">
        <v>355</v>
      </c>
    </row>
    <row r="40301" ht="16.5" customHeight="1">
      <c r="O40301" s="5" t="s">
        <v>355</v>
      </c>
      <c r="P40301" s="5" t="s">
        <v>355</v>
      </c>
      <c r="Q40301" s="5" t="s">
        <v>355</v>
      </c>
    </row>
    <row r="40302" ht="16.5" customHeight="1">
      <c r="O40302" s="5" t="s">
        <v>355</v>
      </c>
      <c r="P40302" s="5" t="s">
        <v>355</v>
      </c>
      <c r="Q40302" s="5" t="s">
        <v>355</v>
      </c>
    </row>
    <row r="40303" ht="16.5" customHeight="1">
      <c r="O40303" s="5" t="s">
        <v>355</v>
      </c>
      <c r="P40303" s="5" t="s">
        <v>355</v>
      </c>
      <c r="Q40303" s="5" t="s">
        <v>355</v>
      </c>
    </row>
    <row r="40304" ht="16.5" customHeight="1">
      <c r="O40304" s="5" t="s">
        <v>355</v>
      </c>
      <c r="P40304" s="5" t="s">
        <v>355</v>
      </c>
      <c r="Q40304" s="5" t="s">
        <v>355</v>
      </c>
    </row>
    <row r="40305" ht="16.5" customHeight="1">
      <c r="O40305" s="5" t="s">
        <v>355</v>
      </c>
      <c r="P40305" s="5" t="s">
        <v>355</v>
      </c>
      <c r="Q40305" s="5" t="s">
        <v>355</v>
      </c>
    </row>
    <row r="40306" ht="16.5" customHeight="1">
      <c r="O40306" s="5" t="s">
        <v>355</v>
      </c>
      <c r="P40306" s="5" t="s">
        <v>355</v>
      </c>
      <c r="Q40306" s="5" t="s">
        <v>355</v>
      </c>
    </row>
    <row r="40307" ht="16.5" customHeight="1">
      <c r="O40307" s="5" t="s">
        <v>355</v>
      </c>
      <c r="P40307" s="5" t="s">
        <v>355</v>
      </c>
      <c r="Q40307" s="5" t="s">
        <v>355</v>
      </c>
    </row>
    <row r="40308" ht="16.5" customHeight="1">
      <c r="O40308" s="5" t="s">
        <v>355</v>
      </c>
      <c r="P40308" s="5" t="s">
        <v>355</v>
      </c>
      <c r="Q40308" s="5" t="s">
        <v>355</v>
      </c>
    </row>
    <row r="40309" ht="16.5" customHeight="1">
      <c r="O40309" s="5" t="s">
        <v>355</v>
      </c>
      <c r="P40309" s="5" t="s">
        <v>355</v>
      </c>
      <c r="Q40309" s="5" t="s">
        <v>355</v>
      </c>
    </row>
    <row r="40310" ht="16.5" customHeight="1">
      <c r="O40310" s="5" t="s">
        <v>355</v>
      </c>
      <c r="P40310" s="5" t="s">
        <v>355</v>
      </c>
      <c r="Q40310" s="5" t="s">
        <v>355</v>
      </c>
    </row>
    <row r="40311" ht="16.5" customHeight="1">
      <c r="O40311" s="5" t="s">
        <v>355</v>
      </c>
      <c r="P40311" s="5" t="s">
        <v>355</v>
      </c>
      <c r="Q40311" s="5" t="s">
        <v>355</v>
      </c>
    </row>
    <row r="40312" ht="16.5" customHeight="1">
      <c r="O40312" s="5" t="s">
        <v>355</v>
      </c>
      <c r="P40312" s="5" t="s">
        <v>355</v>
      </c>
      <c r="Q40312" s="5" t="s">
        <v>355</v>
      </c>
    </row>
    <row r="40313" ht="16.5" customHeight="1">
      <c r="O40313" s="5" t="s">
        <v>355</v>
      </c>
      <c r="P40313" s="5" t="s">
        <v>355</v>
      </c>
      <c r="Q40313" s="5" t="s">
        <v>355</v>
      </c>
    </row>
    <row r="40314" ht="16.5" customHeight="1">
      <c r="O40314" s="5" t="s">
        <v>355</v>
      </c>
      <c r="P40314" s="5" t="s">
        <v>355</v>
      </c>
      <c r="Q40314" s="5" t="s">
        <v>355</v>
      </c>
    </row>
    <row r="40315" ht="16.5" customHeight="1">
      <c r="O40315" s="5" t="s">
        <v>355</v>
      </c>
      <c r="P40315" s="5" t="s">
        <v>355</v>
      </c>
      <c r="Q40315" s="5" t="s">
        <v>355</v>
      </c>
    </row>
    <row r="40316" ht="16.5" customHeight="1">
      <c r="O40316" s="5" t="s">
        <v>355</v>
      </c>
      <c r="P40316" s="5" t="s">
        <v>355</v>
      </c>
      <c r="Q40316" s="5" t="s">
        <v>355</v>
      </c>
    </row>
    <row r="40317" ht="16.5" customHeight="1">
      <c r="O40317" s="5" t="s">
        <v>355</v>
      </c>
      <c r="P40317" s="5" t="s">
        <v>355</v>
      </c>
      <c r="Q40317" s="5" t="s">
        <v>355</v>
      </c>
    </row>
    <row r="40318" ht="16.5" customHeight="1">
      <c r="O40318" s="5" t="s">
        <v>355</v>
      </c>
      <c r="P40318" s="5" t="s">
        <v>355</v>
      </c>
      <c r="Q40318" s="5" t="s">
        <v>355</v>
      </c>
    </row>
    <row r="40319" ht="16.5" customHeight="1">
      <c r="O40319" s="5" t="s">
        <v>355</v>
      </c>
      <c r="P40319" s="5" t="s">
        <v>355</v>
      </c>
      <c r="Q40319" s="5" t="s">
        <v>355</v>
      </c>
    </row>
    <row r="40320" ht="16.5" customHeight="1">
      <c r="O40320" s="5" t="s">
        <v>355</v>
      </c>
      <c r="P40320" s="5" t="s">
        <v>355</v>
      </c>
      <c r="Q40320" s="5" t="s">
        <v>355</v>
      </c>
    </row>
    <row r="40321" ht="16.5" customHeight="1">
      <c r="O40321" s="5" t="s">
        <v>355</v>
      </c>
      <c r="P40321" s="5" t="s">
        <v>355</v>
      </c>
      <c r="Q40321" s="5" t="s">
        <v>355</v>
      </c>
    </row>
    <row r="40322" ht="16.5" customHeight="1">
      <c r="O40322" s="5" t="s">
        <v>355</v>
      </c>
      <c r="P40322" s="5" t="s">
        <v>355</v>
      </c>
      <c r="Q40322" s="5" t="s">
        <v>355</v>
      </c>
    </row>
    <row r="40323" ht="16.5" customHeight="1">
      <c r="O40323" s="5" t="s">
        <v>355</v>
      </c>
      <c r="P40323" s="5" t="s">
        <v>355</v>
      </c>
      <c r="Q40323" s="5" t="s">
        <v>355</v>
      </c>
    </row>
    <row r="40324" ht="16.5" customHeight="1">
      <c r="O40324" s="5" t="s">
        <v>355</v>
      </c>
      <c r="P40324" s="5" t="s">
        <v>355</v>
      </c>
      <c r="Q40324" s="5" t="s">
        <v>355</v>
      </c>
    </row>
    <row r="40325" ht="16.5" customHeight="1">
      <c r="O40325" s="5" t="s">
        <v>355</v>
      </c>
      <c r="P40325" s="5" t="s">
        <v>355</v>
      </c>
      <c r="Q40325" s="5" t="s">
        <v>355</v>
      </c>
    </row>
    <row r="40326" ht="16.5" customHeight="1">
      <c r="O40326" s="5" t="s">
        <v>355</v>
      </c>
      <c r="P40326" s="5" t="s">
        <v>355</v>
      </c>
      <c r="Q40326" s="5" t="s">
        <v>355</v>
      </c>
    </row>
    <row r="40327" ht="16.5" customHeight="1">
      <c r="O40327" s="5" t="s">
        <v>355</v>
      </c>
      <c r="P40327" s="5" t="s">
        <v>355</v>
      </c>
      <c r="Q40327" s="5" t="s">
        <v>355</v>
      </c>
    </row>
    <row r="40328" ht="16.5" customHeight="1">
      <c r="O40328" s="5" t="s">
        <v>355</v>
      </c>
      <c r="P40328" s="5" t="s">
        <v>355</v>
      </c>
      <c r="Q40328" s="5" t="s">
        <v>355</v>
      </c>
    </row>
    <row r="40329" ht="16.5" customHeight="1">
      <c r="O40329" s="5" t="s">
        <v>355</v>
      </c>
      <c r="P40329" s="5" t="s">
        <v>355</v>
      </c>
      <c r="Q40329" s="5" t="s">
        <v>355</v>
      </c>
    </row>
    <row r="40330" ht="16.5" customHeight="1">
      <c r="O40330" s="5" t="s">
        <v>355</v>
      </c>
      <c r="P40330" s="5" t="s">
        <v>355</v>
      </c>
      <c r="Q40330" s="5" t="s">
        <v>355</v>
      </c>
    </row>
    <row r="40331" ht="16.5" customHeight="1">
      <c r="O40331" s="5" t="s">
        <v>355</v>
      </c>
      <c r="P40331" s="5" t="s">
        <v>355</v>
      </c>
      <c r="Q40331" s="5" t="s">
        <v>355</v>
      </c>
    </row>
    <row r="40332" ht="16.5" customHeight="1">
      <c r="O40332" s="5" t="s">
        <v>355</v>
      </c>
      <c r="P40332" s="5" t="s">
        <v>355</v>
      </c>
      <c r="Q40332" s="5" t="s">
        <v>355</v>
      </c>
    </row>
    <row r="40333" ht="16.5" customHeight="1">
      <c r="O40333" s="5" t="s">
        <v>355</v>
      </c>
      <c r="P40333" s="5" t="s">
        <v>355</v>
      </c>
      <c r="Q40333" s="5" t="s">
        <v>355</v>
      </c>
    </row>
    <row r="40334" ht="16.5" customHeight="1">
      <c r="O40334" s="5" t="s">
        <v>355</v>
      </c>
      <c r="P40334" s="5" t="s">
        <v>355</v>
      </c>
      <c r="Q40334" s="5" t="s">
        <v>355</v>
      </c>
    </row>
    <row r="40335" ht="16.5" customHeight="1">
      <c r="O40335" s="5" t="s">
        <v>355</v>
      </c>
      <c r="P40335" s="5" t="s">
        <v>355</v>
      </c>
      <c r="Q40335" s="5" t="s">
        <v>355</v>
      </c>
    </row>
    <row r="40336" ht="16.5" customHeight="1">
      <c r="O40336" s="5" t="s">
        <v>355</v>
      </c>
      <c r="P40336" s="5" t="s">
        <v>355</v>
      </c>
      <c r="Q40336" s="5" t="s">
        <v>355</v>
      </c>
    </row>
    <row r="40337" ht="16.5" customHeight="1">
      <c r="O40337" s="5" t="s">
        <v>355</v>
      </c>
      <c r="P40337" s="5" t="s">
        <v>355</v>
      </c>
      <c r="Q40337" s="5" t="s">
        <v>355</v>
      </c>
    </row>
    <row r="40338" ht="16.5" customHeight="1">
      <c r="O40338" s="5" t="s">
        <v>355</v>
      </c>
      <c r="P40338" s="5" t="s">
        <v>355</v>
      </c>
      <c r="Q40338" s="5" t="s">
        <v>355</v>
      </c>
    </row>
    <row r="40339" ht="16.5" customHeight="1">
      <c r="O40339" s="5" t="s">
        <v>355</v>
      </c>
      <c r="P40339" s="5" t="s">
        <v>355</v>
      </c>
      <c r="Q40339" s="5" t="s">
        <v>355</v>
      </c>
    </row>
    <row r="40340" ht="16.5" customHeight="1">
      <c r="O40340" s="5" t="s">
        <v>355</v>
      </c>
      <c r="P40340" s="5" t="s">
        <v>355</v>
      </c>
      <c r="Q40340" s="5" t="s">
        <v>355</v>
      </c>
    </row>
    <row r="40341" ht="16.5" customHeight="1">
      <c r="O40341" s="5" t="s">
        <v>355</v>
      </c>
      <c r="P40341" s="5" t="s">
        <v>355</v>
      </c>
      <c r="Q40341" s="5" t="s">
        <v>355</v>
      </c>
    </row>
    <row r="40342" ht="16.5" customHeight="1">
      <c r="O40342" s="5" t="s">
        <v>355</v>
      </c>
      <c r="P40342" s="5" t="s">
        <v>355</v>
      </c>
      <c r="Q40342" s="5" t="s">
        <v>355</v>
      </c>
    </row>
    <row r="40343" ht="16.5" customHeight="1">
      <c r="O40343" s="5" t="s">
        <v>355</v>
      </c>
      <c r="P40343" s="5" t="s">
        <v>355</v>
      </c>
      <c r="Q40343" s="5" t="s">
        <v>355</v>
      </c>
    </row>
    <row r="40344" ht="16.5" customHeight="1">
      <c r="O40344" s="5" t="s">
        <v>355</v>
      </c>
      <c r="P40344" s="5" t="s">
        <v>355</v>
      </c>
      <c r="Q40344" s="5" t="s">
        <v>355</v>
      </c>
    </row>
    <row r="40345" ht="16.5" customHeight="1">
      <c r="O40345" s="5" t="s">
        <v>355</v>
      </c>
      <c r="P40345" s="5" t="s">
        <v>355</v>
      </c>
      <c r="Q40345" s="5" t="s">
        <v>355</v>
      </c>
    </row>
    <row r="40346" ht="16.5" customHeight="1">
      <c r="O40346" s="5" t="s">
        <v>355</v>
      </c>
      <c r="P40346" s="5" t="s">
        <v>355</v>
      </c>
      <c r="Q40346" s="5" t="s">
        <v>355</v>
      </c>
    </row>
    <row r="40347" ht="16.5" customHeight="1">
      <c r="O40347" s="5" t="s">
        <v>355</v>
      </c>
      <c r="P40347" s="5" t="s">
        <v>355</v>
      </c>
      <c r="Q40347" s="5" t="s">
        <v>355</v>
      </c>
    </row>
    <row r="40348" ht="16.5" customHeight="1">
      <c r="O40348" s="5" t="s">
        <v>355</v>
      </c>
      <c r="P40348" s="5" t="s">
        <v>355</v>
      </c>
      <c r="Q40348" s="5" t="s">
        <v>355</v>
      </c>
    </row>
    <row r="40349" ht="16.5" customHeight="1">
      <c r="O40349" s="5" t="s">
        <v>355</v>
      </c>
      <c r="P40349" s="5" t="s">
        <v>355</v>
      </c>
      <c r="Q40349" s="5" t="s">
        <v>355</v>
      </c>
    </row>
    <row r="40350" ht="16.5" customHeight="1">
      <c r="O40350" s="5" t="s">
        <v>355</v>
      </c>
      <c r="P40350" s="5" t="s">
        <v>355</v>
      </c>
      <c r="Q40350" s="5" t="s">
        <v>355</v>
      </c>
    </row>
    <row r="40351" ht="16.5" customHeight="1">
      <c r="O40351" s="5" t="s">
        <v>355</v>
      </c>
      <c r="P40351" s="5" t="s">
        <v>355</v>
      </c>
      <c r="Q40351" s="5" t="s">
        <v>355</v>
      </c>
    </row>
    <row r="40352" ht="16.5" customHeight="1">
      <c r="O40352" s="5" t="s">
        <v>355</v>
      </c>
      <c r="P40352" s="5" t="s">
        <v>355</v>
      </c>
      <c r="Q40352" s="5" t="s">
        <v>355</v>
      </c>
    </row>
    <row r="40353" ht="16.5" customHeight="1">
      <c r="O40353" s="5" t="s">
        <v>355</v>
      </c>
      <c r="P40353" s="5" t="s">
        <v>355</v>
      </c>
      <c r="Q40353" s="5" t="s">
        <v>355</v>
      </c>
    </row>
    <row r="40354" ht="16.5" customHeight="1">
      <c r="O40354" s="5" t="s">
        <v>355</v>
      </c>
      <c r="P40354" s="5" t="s">
        <v>355</v>
      </c>
      <c r="Q40354" s="5" t="s">
        <v>355</v>
      </c>
    </row>
    <row r="40355" ht="16.5" customHeight="1">
      <c r="O40355" s="5" t="s">
        <v>355</v>
      </c>
      <c r="P40355" s="5" t="s">
        <v>355</v>
      </c>
      <c r="Q40355" s="5" t="s">
        <v>355</v>
      </c>
    </row>
    <row r="40356" ht="16.5" customHeight="1">
      <c r="O40356" s="5" t="s">
        <v>355</v>
      </c>
      <c r="P40356" s="5" t="s">
        <v>355</v>
      </c>
      <c r="Q40356" s="5" t="s">
        <v>355</v>
      </c>
    </row>
    <row r="40357" ht="16.5" customHeight="1">
      <c r="O40357" s="5" t="s">
        <v>355</v>
      </c>
      <c r="P40357" s="5" t="s">
        <v>355</v>
      </c>
      <c r="Q40357" s="5" t="s">
        <v>355</v>
      </c>
    </row>
    <row r="40358" ht="16.5" customHeight="1">
      <c r="O40358" s="5" t="s">
        <v>355</v>
      </c>
      <c r="P40358" s="5" t="s">
        <v>355</v>
      </c>
      <c r="Q40358" s="5" t="s">
        <v>355</v>
      </c>
    </row>
    <row r="40359" ht="16.5" customHeight="1">
      <c r="O40359" s="5" t="s">
        <v>355</v>
      </c>
      <c r="P40359" s="5" t="s">
        <v>355</v>
      </c>
      <c r="Q40359" s="5" t="s">
        <v>355</v>
      </c>
    </row>
    <row r="40360" ht="16.5" customHeight="1">
      <c r="O40360" s="5" t="s">
        <v>355</v>
      </c>
      <c r="P40360" s="5" t="s">
        <v>355</v>
      </c>
      <c r="Q40360" s="5" t="s">
        <v>355</v>
      </c>
    </row>
    <row r="40361" ht="16.5" customHeight="1">
      <c r="O40361" s="5" t="s">
        <v>355</v>
      </c>
      <c r="P40361" s="5" t="s">
        <v>355</v>
      </c>
      <c r="Q40361" s="5" t="s">
        <v>355</v>
      </c>
    </row>
    <row r="40362" ht="16.5" customHeight="1">
      <c r="O40362" s="5" t="s">
        <v>355</v>
      </c>
      <c r="P40362" s="5" t="s">
        <v>355</v>
      </c>
      <c r="Q40362" s="5" t="s">
        <v>355</v>
      </c>
    </row>
    <row r="40363" ht="16.5" customHeight="1">
      <c r="O40363" s="5" t="s">
        <v>355</v>
      </c>
      <c r="P40363" s="5" t="s">
        <v>355</v>
      </c>
      <c r="Q40363" s="5" t="s">
        <v>355</v>
      </c>
    </row>
    <row r="40364" ht="16.5" customHeight="1">
      <c r="O40364" s="5" t="s">
        <v>355</v>
      </c>
      <c r="P40364" s="5" t="s">
        <v>355</v>
      </c>
      <c r="Q40364" s="5" t="s">
        <v>355</v>
      </c>
    </row>
    <row r="40365" ht="16.5" customHeight="1">
      <c r="O40365" s="5" t="s">
        <v>355</v>
      </c>
      <c r="P40365" s="5" t="s">
        <v>355</v>
      </c>
      <c r="Q40365" s="5" t="s">
        <v>355</v>
      </c>
    </row>
    <row r="40366" ht="16.5" customHeight="1">
      <c r="O40366" s="5" t="s">
        <v>355</v>
      </c>
      <c r="P40366" s="5" t="s">
        <v>355</v>
      </c>
      <c r="Q40366" s="5" t="s">
        <v>355</v>
      </c>
    </row>
    <row r="40367" ht="16.5" customHeight="1">
      <c r="O40367" s="5" t="s">
        <v>355</v>
      </c>
      <c r="P40367" s="5" t="s">
        <v>355</v>
      </c>
      <c r="Q40367" s="5" t="s">
        <v>355</v>
      </c>
    </row>
    <row r="40368" ht="16.5" customHeight="1">
      <c r="O40368" s="5" t="s">
        <v>355</v>
      </c>
      <c r="P40368" s="5" t="s">
        <v>355</v>
      </c>
      <c r="Q40368" s="5" t="s">
        <v>355</v>
      </c>
    </row>
    <row r="40369" ht="16.5" customHeight="1">
      <c r="O40369" s="5" t="s">
        <v>355</v>
      </c>
      <c r="P40369" s="5" t="s">
        <v>355</v>
      </c>
      <c r="Q40369" s="5" t="s">
        <v>355</v>
      </c>
    </row>
    <row r="40370" ht="16.5" customHeight="1">
      <c r="O40370" s="5" t="s">
        <v>355</v>
      </c>
      <c r="P40370" s="5" t="s">
        <v>355</v>
      </c>
      <c r="Q40370" s="5" t="s">
        <v>355</v>
      </c>
    </row>
    <row r="40371" ht="16.5" customHeight="1">
      <c r="O40371" s="5" t="s">
        <v>355</v>
      </c>
      <c r="P40371" s="5" t="s">
        <v>355</v>
      </c>
      <c r="Q40371" s="5" t="s">
        <v>355</v>
      </c>
    </row>
    <row r="40372" ht="16.5" customHeight="1">
      <c r="O40372" s="5" t="s">
        <v>355</v>
      </c>
      <c r="P40372" s="5" t="s">
        <v>355</v>
      </c>
      <c r="Q40372" s="5" t="s">
        <v>355</v>
      </c>
    </row>
    <row r="40373" ht="16.5" customHeight="1">
      <c r="O40373" s="5" t="s">
        <v>355</v>
      </c>
      <c r="P40373" s="5" t="s">
        <v>355</v>
      </c>
      <c r="Q40373" s="5" t="s">
        <v>355</v>
      </c>
    </row>
    <row r="40374" ht="16.5" customHeight="1">
      <c r="O40374" s="5" t="s">
        <v>355</v>
      </c>
      <c r="P40374" s="5" t="s">
        <v>355</v>
      </c>
      <c r="Q40374" s="5" t="s">
        <v>355</v>
      </c>
    </row>
    <row r="40375" ht="16.5" customHeight="1">
      <c r="O40375" s="5" t="s">
        <v>355</v>
      </c>
      <c r="P40375" s="5" t="s">
        <v>355</v>
      </c>
      <c r="Q40375" s="5" t="s">
        <v>355</v>
      </c>
    </row>
    <row r="40376" ht="16.5" customHeight="1">
      <c r="O40376" s="5" t="s">
        <v>355</v>
      </c>
      <c r="P40376" s="5" t="s">
        <v>355</v>
      </c>
      <c r="Q40376" s="5" t="s">
        <v>355</v>
      </c>
    </row>
    <row r="40377" ht="16.5" customHeight="1">
      <c r="O40377" s="5" t="s">
        <v>355</v>
      </c>
      <c r="P40377" s="5" t="s">
        <v>355</v>
      </c>
      <c r="Q40377" s="5" t="s">
        <v>355</v>
      </c>
    </row>
    <row r="40378" ht="16.5" customHeight="1">
      <c r="O40378" s="5" t="s">
        <v>355</v>
      </c>
      <c r="P40378" s="5" t="s">
        <v>355</v>
      </c>
      <c r="Q40378" s="5" t="s">
        <v>355</v>
      </c>
    </row>
    <row r="40379" ht="16.5" customHeight="1">
      <c r="O40379" s="5" t="s">
        <v>355</v>
      </c>
      <c r="P40379" s="5" t="s">
        <v>355</v>
      </c>
      <c r="Q40379" s="5" t="s">
        <v>355</v>
      </c>
    </row>
    <row r="40380" ht="16.5" customHeight="1">
      <c r="O40380" s="5" t="s">
        <v>355</v>
      </c>
      <c r="P40380" s="5" t="s">
        <v>355</v>
      </c>
      <c r="Q40380" s="5" t="s">
        <v>355</v>
      </c>
    </row>
    <row r="40381" ht="16.5" customHeight="1">
      <c r="O40381" s="5" t="s">
        <v>355</v>
      </c>
      <c r="P40381" s="5" t="s">
        <v>355</v>
      </c>
      <c r="Q40381" s="5" t="s">
        <v>355</v>
      </c>
    </row>
    <row r="40382" ht="16.5" customHeight="1">
      <c r="O40382" s="5" t="s">
        <v>355</v>
      </c>
      <c r="P40382" s="5" t="s">
        <v>355</v>
      </c>
      <c r="Q40382" s="5" t="s">
        <v>355</v>
      </c>
    </row>
    <row r="40383" ht="16.5" customHeight="1">
      <c r="O40383" s="5" t="s">
        <v>355</v>
      </c>
      <c r="P40383" s="5" t="s">
        <v>355</v>
      </c>
      <c r="Q40383" s="5" t="s">
        <v>355</v>
      </c>
    </row>
    <row r="40384" ht="16.5" customHeight="1">
      <c r="O40384" s="5" t="s">
        <v>355</v>
      </c>
      <c r="P40384" s="5" t="s">
        <v>355</v>
      </c>
      <c r="Q40384" s="5" t="s">
        <v>355</v>
      </c>
    </row>
    <row r="40385" ht="16.5" customHeight="1">
      <c r="O40385" s="5" t="s">
        <v>355</v>
      </c>
      <c r="P40385" s="5" t="s">
        <v>355</v>
      </c>
      <c r="Q40385" s="5" t="s">
        <v>355</v>
      </c>
    </row>
    <row r="40386" ht="16.5" customHeight="1">
      <c r="O40386" s="5" t="s">
        <v>355</v>
      </c>
      <c r="P40386" s="5" t="s">
        <v>355</v>
      </c>
      <c r="Q40386" s="5" t="s">
        <v>355</v>
      </c>
    </row>
    <row r="40387" ht="16.5" customHeight="1">
      <c r="O40387" s="5" t="s">
        <v>355</v>
      </c>
      <c r="P40387" s="5" t="s">
        <v>355</v>
      </c>
      <c r="Q40387" s="5" t="s">
        <v>355</v>
      </c>
    </row>
    <row r="40388" ht="16.5" customHeight="1">
      <c r="O40388" s="5" t="s">
        <v>355</v>
      </c>
      <c r="P40388" s="5" t="s">
        <v>355</v>
      </c>
      <c r="Q40388" s="5" t="s">
        <v>355</v>
      </c>
    </row>
    <row r="40389" ht="16.5" customHeight="1">
      <c r="O40389" s="5" t="s">
        <v>355</v>
      </c>
      <c r="P40389" s="5" t="s">
        <v>355</v>
      </c>
      <c r="Q40389" s="5" t="s">
        <v>355</v>
      </c>
    </row>
    <row r="40390" ht="16.5" customHeight="1">
      <c r="O40390" s="5" t="s">
        <v>355</v>
      </c>
      <c r="P40390" s="5" t="s">
        <v>355</v>
      </c>
      <c r="Q40390" s="5" t="s">
        <v>355</v>
      </c>
    </row>
    <row r="40391" ht="16.5" customHeight="1">
      <c r="O40391" s="5" t="s">
        <v>355</v>
      </c>
      <c r="P40391" s="5" t="s">
        <v>355</v>
      </c>
      <c r="Q40391" s="5" t="s">
        <v>355</v>
      </c>
    </row>
    <row r="40392" ht="16.5" customHeight="1">
      <c r="O40392" s="5" t="s">
        <v>355</v>
      </c>
      <c r="P40392" s="5" t="s">
        <v>355</v>
      </c>
      <c r="Q40392" s="5" t="s">
        <v>355</v>
      </c>
    </row>
    <row r="40393" ht="16.5" customHeight="1">
      <c r="O40393" s="5" t="s">
        <v>355</v>
      </c>
      <c r="P40393" s="5" t="s">
        <v>355</v>
      </c>
      <c r="Q40393" s="5" t="s">
        <v>355</v>
      </c>
    </row>
    <row r="40394" ht="16.5" customHeight="1">
      <c r="O40394" s="5" t="s">
        <v>355</v>
      </c>
      <c r="P40394" s="5" t="s">
        <v>355</v>
      </c>
      <c r="Q40394" s="5" t="s">
        <v>355</v>
      </c>
    </row>
    <row r="40395" ht="16.5" customHeight="1">
      <c r="O40395" s="5" t="s">
        <v>355</v>
      </c>
      <c r="P40395" s="5" t="s">
        <v>355</v>
      </c>
      <c r="Q40395" s="5" t="s">
        <v>355</v>
      </c>
    </row>
    <row r="40396" ht="16.5" customHeight="1">
      <c r="O40396" s="5" t="s">
        <v>355</v>
      </c>
      <c r="P40396" s="5" t="s">
        <v>355</v>
      </c>
      <c r="Q40396" s="5" t="s">
        <v>355</v>
      </c>
    </row>
    <row r="40397" ht="16.5" customHeight="1">
      <c r="O40397" s="5" t="s">
        <v>355</v>
      </c>
      <c r="P40397" s="5" t="s">
        <v>355</v>
      </c>
      <c r="Q40397" s="5" t="s">
        <v>355</v>
      </c>
    </row>
    <row r="40398" ht="16.5" customHeight="1">
      <c r="O40398" s="5" t="s">
        <v>355</v>
      </c>
      <c r="P40398" s="5" t="s">
        <v>355</v>
      </c>
      <c r="Q40398" s="5" t="s">
        <v>355</v>
      </c>
    </row>
    <row r="40399" ht="16.5" customHeight="1">
      <c r="O40399" s="5" t="s">
        <v>355</v>
      </c>
      <c r="P40399" s="5" t="s">
        <v>355</v>
      </c>
      <c r="Q40399" s="5" t="s">
        <v>355</v>
      </c>
    </row>
    <row r="40400" ht="16.5" customHeight="1">
      <c r="O40400" s="5" t="s">
        <v>355</v>
      </c>
      <c r="P40400" s="5" t="s">
        <v>355</v>
      </c>
      <c r="Q40400" s="5" t="s">
        <v>355</v>
      </c>
    </row>
    <row r="40401" ht="16.5" customHeight="1">
      <c r="O40401" s="5" t="s">
        <v>355</v>
      </c>
      <c r="P40401" s="5" t="s">
        <v>355</v>
      </c>
      <c r="Q40401" s="5" t="s">
        <v>355</v>
      </c>
    </row>
    <row r="40402" ht="16.5" customHeight="1">
      <c r="O40402" s="5" t="s">
        <v>355</v>
      </c>
      <c r="P40402" s="5" t="s">
        <v>355</v>
      </c>
      <c r="Q40402" s="5" t="s">
        <v>355</v>
      </c>
    </row>
    <row r="40403" ht="16.5" customHeight="1">
      <c r="O40403" s="5" t="s">
        <v>355</v>
      </c>
      <c r="P40403" s="5" t="s">
        <v>355</v>
      </c>
      <c r="Q40403" s="5" t="s">
        <v>355</v>
      </c>
    </row>
    <row r="40404" ht="16.5" customHeight="1">
      <c r="O40404" s="5" t="s">
        <v>355</v>
      </c>
      <c r="P40404" s="5" t="s">
        <v>355</v>
      </c>
      <c r="Q40404" s="5" t="s">
        <v>355</v>
      </c>
    </row>
    <row r="40405" ht="16.5" customHeight="1">
      <c r="O40405" s="5" t="s">
        <v>355</v>
      </c>
      <c r="P40405" s="5" t="s">
        <v>355</v>
      </c>
      <c r="Q40405" s="5" t="s">
        <v>355</v>
      </c>
    </row>
    <row r="40406" ht="16.5" customHeight="1">
      <c r="O40406" s="5" t="s">
        <v>355</v>
      </c>
      <c r="P40406" s="5" t="s">
        <v>355</v>
      </c>
      <c r="Q40406" s="5" t="s">
        <v>355</v>
      </c>
    </row>
    <row r="40407" ht="16.5" customHeight="1">
      <c r="O40407" s="5" t="s">
        <v>355</v>
      </c>
      <c r="P40407" s="5" t="s">
        <v>355</v>
      </c>
      <c r="Q40407" s="5" t="s">
        <v>355</v>
      </c>
    </row>
    <row r="40408" ht="16.5" customHeight="1">
      <c r="O40408" s="5" t="s">
        <v>355</v>
      </c>
      <c r="P40408" s="5" t="s">
        <v>355</v>
      </c>
      <c r="Q40408" s="5" t="s">
        <v>355</v>
      </c>
    </row>
    <row r="40409" ht="16.5" customHeight="1">
      <c r="O40409" s="5" t="s">
        <v>355</v>
      </c>
      <c r="P40409" s="5" t="s">
        <v>355</v>
      </c>
      <c r="Q40409" s="5" t="s">
        <v>355</v>
      </c>
    </row>
    <row r="40410" ht="16.5" customHeight="1">
      <c r="O40410" s="5" t="s">
        <v>355</v>
      </c>
      <c r="P40410" s="5" t="s">
        <v>355</v>
      </c>
      <c r="Q40410" s="5" t="s">
        <v>355</v>
      </c>
    </row>
    <row r="40411" ht="16.5" customHeight="1">
      <c r="O40411" s="5" t="s">
        <v>355</v>
      </c>
      <c r="P40411" s="5" t="s">
        <v>355</v>
      </c>
      <c r="Q40411" s="5" t="s">
        <v>355</v>
      </c>
    </row>
    <row r="40412" ht="16.5" customHeight="1">
      <c r="O40412" s="5" t="s">
        <v>355</v>
      </c>
      <c r="P40412" s="5" t="s">
        <v>355</v>
      </c>
      <c r="Q40412" s="5" t="s">
        <v>355</v>
      </c>
    </row>
    <row r="40413" ht="16.5" customHeight="1">
      <c r="O40413" s="5" t="s">
        <v>355</v>
      </c>
      <c r="P40413" s="5" t="s">
        <v>355</v>
      </c>
      <c r="Q40413" s="5" t="s">
        <v>355</v>
      </c>
    </row>
    <row r="40414" ht="16.5" customHeight="1">
      <c r="O40414" s="5" t="s">
        <v>355</v>
      </c>
      <c r="P40414" s="5" t="s">
        <v>355</v>
      </c>
      <c r="Q40414" s="5" t="s">
        <v>355</v>
      </c>
    </row>
    <row r="40415" ht="16.5" customHeight="1">
      <c r="O40415" s="5" t="s">
        <v>355</v>
      </c>
      <c r="P40415" s="5" t="s">
        <v>355</v>
      </c>
      <c r="Q40415" s="5" t="s">
        <v>355</v>
      </c>
    </row>
    <row r="40416" ht="16.5" customHeight="1">
      <c r="O40416" s="5" t="s">
        <v>355</v>
      </c>
      <c r="P40416" s="5" t="s">
        <v>355</v>
      </c>
      <c r="Q40416" s="5" t="s">
        <v>355</v>
      </c>
    </row>
    <row r="40417" ht="16.5" customHeight="1">
      <c r="O40417" s="5" t="s">
        <v>355</v>
      </c>
      <c r="P40417" s="5" t="s">
        <v>355</v>
      </c>
      <c r="Q40417" s="5" t="s">
        <v>355</v>
      </c>
    </row>
    <row r="40418" ht="16.5" customHeight="1">
      <c r="O40418" s="5" t="s">
        <v>355</v>
      </c>
      <c r="P40418" s="5" t="s">
        <v>355</v>
      </c>
      <c r="Q40418" s="5" t="s">
        <v>355</v>
      </c>
    </row>
    <row r="40419" ht="16.5" customHeight="1">
      <c r="O40419" s="5" t="s">
        <v>355</v>
      </c>
      <c r="P40419" s="5" t="s">
        <v>355</v>
      </c>
      <c r="Q40419" s="5" t="s">
        <v>355</v>
      </c>
    </row>
    <row r="40420" ht="16.5" customHeight="1">
      <c r="O40420" s="5" t="s">
        <v>355</v>
      </c>
      <c r="P40420" s="5" t="s">
        <v>355</v>
      </c>
      <c r="Q40420" s="5" t="s">
        <v>355</v>
      </c>
    </row>
    <row r="40421" ht="16.5" customHeight="1">
      <c r="O40421" s="5" t="s">
        <v>355</v>
      </c>
      <c r="P40421" s="5" t="s">
        <v>355</v>
      </c>
      <c r="Q40421" s="5" t="s">
        <v>355</v>
      </c>
    </row>
    <row r="40422" ht="16.5" customHeight="1">
      <c r="O40422" s="5" t="s">
        <v>355</v>
      </c>
      <c r="P40422" s="5" t="s">
        <v>355</v>
      </c>
      <c r="Q40422" s="5" t="s">
        <v>355</v>
      </c>
    </row>
    <row r="40423" ht="16.5" customHeight="1">
      <c r="O40423" s="5" t="s">
        <v>355</v>
      </c>
      <c r="P40423" s="5" t="s">
        <v>355</v>
      </c>
      <c r="Q40423" s="5" t="s">
        <v>355</v>
      </c>
    </row>
    <row r="40424" ht="16.5" customHeight="1">
      <c r="O40424" s="5" t="s">
        <v>355</v>
      </c>
      <c r="P40424" s="5" t="s">
        <v>355</v>
      </c>
      <c r="Q40424" s="5" t="s">
        <v>355</v>
      </c>
    </row>
    <row r="40425" ht="16.5" customHeight="1">
      <c r="O40425" s="5" t="s">
        <v>355</v>
      </c>
      <c r="P40425" s="5" t="s">
        <v>355</v>
      </c>
      <c r="Q40425" s="5" t="s">
        <v>355</v>
      </c>
    </row>
    <row r="40426" ht="16.5" customHeight="1">
      <c r="O40426" s="5" t="s">
        <v>355</v>
      </c>
      <c r="P40426" s="5" t="s">
        <v>355</v>
      </c>
      <c r="Q40426" s="5" t="s">
        <v>355</v>
      </c>
    </row>
    <row r="40427" ht="16.5" customHeight="1">
      <c r="O40427" s="5" t="s">
        <v>355</v>
      </c>
      <c r="P40427" s="5" t="s">
        <v>355</v>
      </c>
      <c r="Q40427" s="5" t="s">
        <v>355</v>
      </c>
    </row>
    <row r="40428" ht="16.5" customHeight="1">
      <c r="O40428" s="5" t="s">
        <v>355</v>
      </c>
      <c r="P40428" s="5" t="s">
        <v>355</v>
      </c>
      <c r="Q40428" s="5" t="s">
        <v>355</v>
      </c>
    </row>
    <row r="40429" ht="16.5" customHeight="1">
      <c r="O40429" s="5" t="s">
        <v>355</v>
      </c>
      <c r="P40429" s="5" t="s">
        <v>355</v>
      </c>
      <c r="Q40429" s="5" t="s">
        <v>355</v>
      </c>
    </row>
    <row r="40430" ht="16.5" customHeight="1">
      <c r="O40430" s="5" t="s">
        <v>355</v>
      </c>
      <c r="P40430" s="5" t="s">
        <v>355</v>
      </c>
      <c r="Q40430" s="5" t="s">
        <v>355</v>
      </c>
    </row>
    <row r="40431" ht="16.5" customHeight="1">
      <c r="O40431" s="5" t="s">
        <v>355</v>
      </c>
      <c r="P40431" s="5" t="s">
        <v>355</v>
      </c>
      <c r="Q40431" s="5" t="s">
        <v>355</v>
      </c>
    </row>
    <row r="40432" ht="16.5" customHeight="1">
      <c r="O40432" s="5" t="s">
        <v>355</v>
      </c>
      <c r="P40432" s="5" t="s">
        <v>355</v>
      </c>
      <c r="Q40432" s="5" t="s">
        <v>355</v>
      </c>
    </row>
    <row r="40433" ht="16.5" customHeight="1">
      <c r="O40433" s="5" t="s">
        <v>355</v>
      </c>
      <c r="P40433" s="5" t="s">
        <v>355</v>
      </c>
      <c r="Q40433" s="5" t="s">
        <v>355</v>
      </c>
    </row>
    <row r="40434" ht="16.5" customHeight="1">
      <c r="O40434" s="5" t="s">
        <v>355</v>
      </c>
      <c r="P40434" s="5" t="s">
        <v>355</v>
      </c>
      <c r="Q40434" s="5" t="s">
        <v>355</v>
      </c>
    </row>
    <row r="40435" ht="16.5" customHeight="1">
      <c r="O40435" s="5" t="s">
        <v>355</v>
      </c>
      <c r="P40435" s="5" t="s">
        <v>355</v>
      </c>
      <c r="Q40435" s="5" t="s">
        <v>355</v>
      </c>
    </row>
    <row r="40436" ht="16.5" customHeight="1">
      <c r="O40436" s="5" t="s">
        <v>355</v>
      </c>
      <c r="P40436" s="5" t="s">
        <v>355</v>
      </c>
      <c r="Q40436" s="5" t="s">
        <v>355</v>
      </c>
    </row>
    <row r="40437" ht="16.5" customHeight="1">
      <c r="O40437" s="5" t="s">
        <v>355</v>
      </c>
      <c r="P40437" s="5" t="s">
        <v>355</v>
      </c>
      <c r="Q40437" s="5" t="s">
        <v>355</v>
      </c>
    </row>
    <row r="40438" ht="16.5" customHeight="1">
      <c r="O40438" s="5" t="s">
        <v>355</v>
      </c>
      <c r="P40438" s="5" t="s">
        <v>355</v>
      </c>
      <c r="Q40438" s="5" t="s">
        <v>355</v>
      </c>
    </row>
    <row r="40439" ht="16.5" customHeight="1">
      <c r="O40439" s="5" t="s">
        <v>355</v>
      </c>
      <c r="P40439" s="5" t="s">
        <v>355</v>
      </c>
      <c r="Q40439" s="5" t="s">
        <v>355</v>
      </c>
    </row>
    <row r="40440" ht="16.5" customHeight="1">
      <c r="O40440" s="5" t="s">
        <v>355</v>
      </c>
      <c r="P40440" s="5" t="s">
        <v>355</v>
      </c>
      <c r="Q40440" s="5" t="s">
        <v>355</v>
      </c>
    </row>
    <row r="40441" ht="16.5" customHeight="1">
      <c r="O40441" s="5" t="s">
        <v>355</v>
      </c>
      <c r="P40441" s="5" t="s">
        <v>355</v>
      </c>
      <c r="Q40441" s="5" t="s">
        <v>355</v>
      </c>
    </row>
    <row r="40442" ht="16.5" customHeight="1">
      <c r="O40442" s="5" t="s">
        <v>355</v>
      </c>
      <c r="P40442" s="5" t="s">
        <v>355</v>
      </c>
      <c r="Q40442" s="5" t="s">
        <v>355</v>
      </c>
    </row>
    <row r="40443" ht="16.5" customHeight="1">
      <c r="O40443" s="5" t="s">
        <v>355</v>
      </c>
      <c r="P40443" s="5" t="s">
        <v>355</v>
      </c>
      <c r="Q40443" s="5" t="s">
        <v>355</v>
      </c>
    </row>
    <row r="40444" ht="16.5" customHeight="1">
      <c r="O40444" s="5" t="s">
        <v>355</v>
      </c>
      <c r="P40444" s="5" t="s">
        <v>355</v>
      </c>
      <c r="Q40444" s="5" t="s">
        <v>355</v>
      </c>
    </row>
    <row r="40445" ht="16.5" customHeight="1">
      <c r="O40445" s="5" t="s">
        <v>355</v>
      </c>
      <c r="P40445" s="5" t="s">
        <v>355</v>
      </c>
      <c r="Q40445" s="5" t="s">
        <v>355</v>
      </c>
    </row>
    <row r="40446" ht="16.5" customHeight="1">
      <c r="O40446" s="5" t="s">
        <v>355</v>
      </c>
      <c r="P40446" s="5" t="s">
        <v>355</v>
      </c>
      <c r="Q40446" s="5" t="s">
        <v>355</v>
      </c>
    </row>
    <row r="40447" ht="16.5" customHeight="1">
      <c r="O40447" s="5" t="s">
        <v>355</v>
      </c>
      <c r="P40447" s="5" t="s">
        <v>355</v>
      </c>
      <c r="Q40447" s="5" t="s">
        <v>355</v>
      </c>
    </row>
    <row r="40448" ht="16.5" customHeight="1">
      <c r="O40448" s="5" t="s">
        <v>355</v>
      </c>
      <c r="P40448" s="5" t="s">
        <v>355</v>
      </c>
      <c r="Q40448" s="5" t="s">
        <v>355</v>
      </c>
    </row>
    <row r="40449" ht="16.5" customHeight="1">
      <c r="O40449" s="5" t="s">
        <v>355</v>
      </c>
      <c r="P40449" s="5" t="s">
        <v>355</v>
      </c>
      <c r="Q40449" s="5" t="s">
        <v>355</v>
      </c>
    </row>
    <row r="40450" ht="16.5" customHeight="1">
      <c r="O40450" s="5" t="s">
        <v>355</v>
      </c>
      <c r="P40450" s="5" t="s">
        <v>355</v>
      </c>
      <c r="Q40450" s="5" t="s">
        <v>355</v>
      </c>
    </row>
    <row r="40451" ht="16.5" customHeight="1">
      <c r="O40451" s="5" t="s">
        <v>355</v>
      </c>
      <c r="P40451" s="5" t="s">
        <v>355</v>
      </c>
      <c r="Q40451" s="5" t="s">
        <v>355</v>
      </c>
    </row>
    <row r="40452" ht="16.5" customHeight="1">
      <c r="O40452" s="5" t="s">
        <v>355</v>
      </c>
      <c r="P40452" s="5" t="s">
        <v>355</v>
      </c>
      <c r="Q40452" s="5" t="s">
        <v>355</v>
      </c>
    </row>
    <row r="40453" ht="16.5" customHeight="1">
      <c r="O40453" s="5" t="s">
        <v>355</v>
      </c>
      <c r="P40453" s="5" t="s">
        <v>355</v>
      </c>
      <c r="Q40453" s="5" t="s">
        <v>355</v>
      </c>
    </row>
    <row r="40454" ht="16.5" customHeight="1">
      <c r="O40454" s="5" t="s">
        <v>355</v>
      </c>
      <c r="P40454" s="5" t="s">
        <v>355</v>
      </c>
      <c r="Q40454" s="5" t="s">
        <v>355</v>
      </c>
    </row>
    <row r="40455" ht="16.5" customHeight="1">
      <c r="O40455" s="5" t="s">
        <v>355</v>
      </c>
      <c r="P40455" s="5" t="s">
        <v>355</v>
      </c>
      <c r="Q40455" s="5" t="s">
        <v>355</v>
      </c>
    </row>
    <row r="40456" ht="16.5" customHeight="1">
      <c r="O40456" s="5" t="s">
        <v>355</v>
      </c>
      <c r="P40456" s="5" t="s">
        <v>355</v>
      </c>
      <c r="Q40456" s="5" t="s">
        <v>355</v>
      </c>
    </row>
    <row r="40457" ht="16.5" customHeight="1">
      <c r="O40457" s="5" t="s">
        <v>355</v>
      </c>
      <c r="P40457" s="5" t="s">
        <v>355</v>
      </c>
      <c r="Q40457" s="5" t="s">
        <v>355</v>
      </c>
    </row>
    <row r="40458" ht="16.5" customHeight="1">
      <c r="O40458" s="5" t="s">
        <v>355</v>
      </c>
      <c r="P40458" s="5" t="s">
        <v>355</v>
      </c>
      <c r="Q40458" s="5" t="s">
        <v>355</v>
      </c>
    </row>
    <row r="40459" ht="16.5" customHeight="1">
      <c r="O40459" s="5" t="s">
        <v>355</v>
      </c>
      <c r="P40459" s="5" t="s">
        <v>355</v>
      </c>
      <c r="Q40459" s="5" t="s">
        <v>355</v>
      </c>
    </row>
    <row r="40460" ht="16.5" customHeight="1">
      <c r="O40460" s="5" t="s">
        <v>355</v>
      </c>
      <c r="P40460" s="5" t="s">
        <v>355</v>
      </c>
      <c r="Q40460" s="5" t="s">
        <v>355</v>
      </c>
    </row>
    <row r="40461" ht="16.5" customHeight="1">
      <c r="O40461" s="5" t="s">
        <v>355</v>
      </c>
      <c r="P40461" s="5" t="s">
        <v>355</v>
      </c>
      <c r="Q40461" s="5" t="s">
        <v>355</v>
      </c>
    </row>
    <row r="40462" ht="16.5" customHeight="1">
      <c r="O40462" s="5" t="s">
        <v>355</v>
      </c>
      <c r="P40462" s="5" t="s">
        <v>355</v>
      </c>
      <c r="Q40462" s="5" t="s">
        <v>355</v>
      </c>
    </row>
    <row r="40463" ht="16.5" customHeight="1">
      <c r="O40463" s="5" t="s">
        <v>355</v>
      </c>
      <c r="P40463" s="5" t="s">
        <v>355</v>
      </c>
      <c r="Q40463" s="5" t="s">
        <v>355</v>
      </c>
    </row>
    <row r="40464" ht="16.5" customHeight="1">
      <c r="O40464" s="5" t="s">
        <v>355</v>
      </c>
      <c r="P40464" s="5" t="s">
        <v>355</v>
      </c>
      <c r="Q40464" s="5" t="s">
        <v>355</v>
      </c>
    </row>
    <row r="40465" ht="16.5" customHeight="1">
      <c r="O40465" s="5" t="s">
        <v>355</v>
      </c>
      <c r="P40465" s="5" t="s">
        <v>355</v>
      </c>
      <c r="Q40465" s="5" t="s">
        <v>355</v>
      </c>
    </row>
    <row r="40466" ht="16.5" customHeight="1">
      <c r="O40466" s="5" t="s">
        <v>355</v>
      </c>
      <c r="P40466" s="5" t="s">
        <v>355</v>
      </c>
      <c r="Q40466" s="5" t="s">
        <v>355</v>
      </c>
    </row>
    <row r="40467" ht="16.5" customHeight="1">
      <c r="O40467" s="5" t="s">
        <v>355</v>
      </c>
      <c r="P40467" s="5" t="s">
        <v>355</v>
      </c>
      <c r="Q40467" s="5" t="s">
        <v>355</v>
      </c>
    </row>
    <row r="40468" ht="16.5" customHeight="1">
      <c r="O40468" s="5" t="s">
        <v>355</v>
      </c>
      <c r="P40468" s="5" t="s">
        <v>355</v>
      </c>
      <c r="Q40468" s="5" t="s">
        <v>355</v>
      </c>
    </row>
    <row r="40469" ht="16.5" customHeight="1">
      <c r="O40469" s="5" t="s">
        <v>355</v>
      </c>
      <c r="P40469" s="5" t="s">
        <v>355</v>
      </c>
      <c r="Q40469" s="5" t="s">
        <v>355</v>
      </c>
    </row>
    <row r="40470" ht="16.5" customHeight="1">
      <c r="O40470" s="5" t="s">
        <v>355</v>
      </c>
      <c r="P40470" s="5" t="s">
        <v>355</v>
      </c>
      <c r="Q40470" s="5" t="s">
        <v>355</v>
      </c>
    </row>
    <row r="40471" ht="16.5" customHeight="1">
      <c r="O40471" s="5" t="s">
        <v>355</v>
      </c>
      <c r="P40471" s="5" t="s">
        <v>355</v>
      </c>
      <c r="Q40471" s="5" t="s">
        <v>355</v>
      </c>
    </row>
    <row r="40472" ht="16.5" customHeight="1">
      <c r="O40472" s="5" t="s">
        <v>355</v>
      </c>
      <c r="P40472" s="5" t="s">
        <v>355</v>
      </c>
      <c r="Q40472" s="5" t="s">
        <v>355</v>
      </c>
    </row>
    <row r="40473" ht="16.5" customHeight="1">
      <c r="O40473" s="5" t="s">
        <v>355</v>
      </c>
      <c r="P40473" s="5" t="s">
        <v>355</v>
      </c>
      <c r="Q40473" s="5" t="s">
        <v>355</v>
      </c>
    </row>
    <row r="40474" ht="16.5" customHeight="1">
      <c r="O40474" s="5" t="s">
        <v>355</v>
      </c>
      <c r="P40474" s="5" t="s">
        <v>355</v>
      </c>
      <c r="Q40474" s="5" t="s">
        <v>355</v>
      </c>
    </row>
    <row r="40475" ht="16.5" customHeight="1">
      <c r="O40475" s="5" t="s">
        <v>355</v>
      </c>
      <c r="P40475" s="5" t="s">
        <v>355</v>
      </c>
      <c r="Q40475" s="5" t="s">
        <v>355</v>
      </c>
    </row>
    <row r="40476" ht="16.5" customHeight="1">
      <c r="O40476" s="5" t="s">
        <v>355</v>
      </c>
      <c r="P40476" s="5" t="s">
        <v>355</v>
      </c>
      <c r="Q40476" s="5" t="s">
        <v>355</v>
      </c>
    </row>
    <row r="40477" ht="16.5" customHeight="1">
      <c r="O40477" s="5" t="s">
        <v>355</v>
      </c>
      <c r="P40477" s="5" t="s">
        <v>355</v>
      </c>
      <c r="Q40477" s="5" t="s">
        <v>355</v>
      </c>
    </row>
    <row r="40478" ht="16.5" customHeight="1">
      <c r="O40478" s="5" t="s">
        <v>355</v>
      </c>
      <c r="P40478" s="5" t="s">
        <v>355</v>
      </c>
      <c r="Q40478" s="5" t="s">
        <v>355</v>
      </c>
    </row>
    <row r="40479" ht="16.5" customHeight="1">
      <c r="O40479" s="5" t="s">
        <v>355</v>
      </c>
      <c r="P40479" s="5" t="s">
        <v>355</v>
      </c>
      <c r="Q40479" s="5" t="s">
        <v>355</v>
      </c>
    </row>
    <row r="40480" ht="16.5" customHeight="1">
      <c r="O40480" s="5" t="s">
        <v>355</v>
      </c>
      <c r="P40480" s="5" t="s">
        <v>355</v>
      </c>
      <c r="Q40480" s="5" t="s">
        <v>355</v>
      </c>
    </row>
    <row r="40481" ht="16.5" customHeight="1">
      <c r="O40481" s="5" t="s">
        <v>355</v>
      </c>
      <c r="P40481" s="5" t="s">
        <v>355</v>
      </c>
      <c r="Q40481" s="5" t="s">
        <v>355</v>
      </c>
    </row>
    <row r="40482" ht="16.5" customHeight="1">
      <c r="O40482" s="5" t="s">
        <v>355</v>
      </c>
      <c r="P40482" s="5" t="s">
        <v>355</v>
      </c>
      <c r="Q40482" s="5" t="s">
        <v>355</v>
      </c>
    </row>
    <row r="40483" ht="16.5" customHeight="1">
      <c r="O40483" s="5" t="s">
        <v>355</v>
      </c>
      <c r="P40483" s="5" t="s">
        <v>355</v>
      </c>
      <c r="Q40483" s="5" t="s">
        <v>355</v>
      </c>
    </row>
    <row r="40484" ht="16.5" customHeight="1">
      <c r="O40484" s="5" t="s">
        <v>355</v>
      </c>
      <c r="P40484" s="5" t="s">
        <v>355</v>
      </c>
      <c r="Q40484" s="5" t="s">
        <v>355</v>
      </c>
    </row>
    <row r="40485" ht="16.5" customHeight="1">
      <c r="O40485" s="5" t="s">
        <v>355</v>
      </c>
      <c r="P40485" s="5" t="s">
        <v>355</v>
      </c>
      <c r="Q40485" s="5" t="s">
        <v>355</v>
      </c>
    </row>
    <row r="40486" ht="16.5" customHeight="1">
      <c r="O40486" s="5" t="s">
        <v>355</v>
      </c>
      <c r="P40486" s="5" t="s">
        <v>355</v>
      </c>
      <c r="Q40486" s="5" t="s">
        <v>355</v>
      </c>
    </row>
    <row r="40487" ht="16.5" customHeight="1">
      <c r="O40487" s="5" t="s">
        <v>355</v>
      </c>
      <c r="P40487" s="5" t="s">
        <v>355</v>
      </c>
      <c r="Q40487" s="5" t="s">
        <v>355</v>
      </c>
    </row>
    <row r="40488" ht="16.5" customHeight="1">
      <c r="O40488" s="5" t="s">
        <v>355</v>
      </c>
      <c r="P40488" s="5" t="s">
        <v>355</v>
      </c>
      <c r="Q40488" s="5" t="s">
        <v>355</v>
      </c>
    </row>
    <row r="40489" ht="16.5" customHeight="1">
      <c r="O40489" s="5" t="s">
        <v>355</v>
      </c>
      <c r="P40489" s="5" t="s">
        <v>355</v>
      </c>
      <c r="Q40489" s="5" t="s">
        <v>355</v>
      </c>
    </row>
    <row r="40490" ht="16.5" customHeight="1">
      <c r="O40490" s="5" t="s">
        <v>355</v>
      </c>
      <c r="P40490" s="5" t="s">
        <v>355</v>
      </c>
      <c r="Q40490" s="5" t="s">
        <v>355</v>
      </c>
    </row>
    <row r="40491" ht="16.5" customHeight="1">
      <c r="O40491" s="5" t="s">
        <v>355</v>
      </c>
      <c r="P40491" s="5" t="s">
        <v>355</v>
      </c>
      <c r="Q40491" s="5" t="s">
        <v>355</v>
      </c>
    </row>
    <row r="40492" ht="16.5" customHeight="1">
      <c r="O40492" s="5" t="s">
        <v>355</v>
      </c>
      <c r="P40492" s="5" t="s">
        <v>355</v>
      </c>
      <c r="Q40492" s="5" t="s">
        <v>355</v>
      </c>
    </row>
    <row r="40493" ht="16.5" customHeight="1">
      <c r="O40493" s="5" t="s">
        <v>355</v>
      </c>
      <c r="P40493" s="5" t="s">
        <v>355</v>
      </c>
      <c r="Q40493" s="5" t="s">
        <v>355</v>
      </c>
    </row>
    <row r="40494" ht="16.5" customHeight="1">
      <c r="O40494" s="5" t="s">
        <v>355</v>
      </c>
      <c r="P40494" s="5" t="s">
        <v>355</v>
      </c>
      <c r="Q40494" s="5" t="s">
        <v>355</v>
      </c>
    </row>
    <row r="40495" ht="16.5" customHeight="1">
      <c r="O40495" s="5" t="s">
        <v>355</v>
      </c>
      <c r="P40495" s="5" t="s">
        <v>355</v>
      </c>
      <c r="Q40495" s="5" t="s">
        <v>355</v>
      </c>
    </row>
    <row r="40496" ht="16.5" customHeight="1">
      <c r="O40496" s="5" t="s">
        <v>355</v>
      </c>
      <c r="P40496" s="5" t="s">
        <v>355</v>
      </c>
      <c r="Q40496" s="5" t="s">
        <v>355</v>
      </c>
    </row>
    <row r="40497" ht="16.5" customHeight="1">
      <c r="O40497" s="5" t="s">
        <v>355</v>
      </c>
      <c r="P40497" s="5" t="s">
        <v>355</v>
      </c>
      <c r="Q40497" s="5" t="s">
        <v>355</v>
      </c>
    </row>
    <row r="40498" ht="16.5" customHeight="1">
      <c r="O40498" s="5" t="s">
        <v>355</v>
      </c>
      <c r="P40498" s="5" t="s">
        <v>355</v>
      </c>
      <c r="Q40498" s="5" t="s">
        <v>355</v>
      </c>
    </row>
    <row r="40499" ht="16.5" customHeight="1">
      <c r="O40499" s="5" t="s">
        <v>355</v>
      </c>
      <c r="P40499" s="5" t="s">
        <v>355</v>
      </c>
      <c r="Q40499" s="5" t="s">
        <v>355</v>
      </c>
    </row>
    <row r="40500" ht="16.5" customHeight="1">
      <c r="O40500" s="5" t="s">
        <v>355</v>
      </c>
      <c r="P40500" s="5" t="s">
        <v>355</v>
      </c>
      <c r="Q40500" s="5" t="s">
        <v>355</v>
      </c>
    </row>
    <row r="40501" ht="16.5" customHeight="1">
      <c r="O40501" s="5" t="s">
        <v>355</v>
      </c>
      <c r="P40501" s="5" t="s">
        <v>355</v>
      </c>
      <c r="Q40501" s="5" t="s">
        <v>355</v>
      </c>
    </row>
    <row r="40502" ht="16.5" customHeight="1">
      <c r="O40502" s="5" t="s">
        <v>355</v>
      </c>
      <c r="P40502" s="5" t="s">
        <v>355</v>
      </c>
      <c r="Q40502" s="5" t="s">
        <v>355</v>
      </c>
    </row>
    <row r="40503" ht="16.5" customHeight="1">
      <c r="O40503" s="5" t="s">
        <v>355</v>
      </c>
      <c r="P40503" s="5" t="s">
        <v>355</v>
      </c>
      <c r="Q40503" s="5" t="s">
        <v>355</v>
      </c>
    </row>
    <row r="40504" ht="16.5" customHeight="1">
      <c r="O40504" s="5" t="s">
        <v>355</v>
      </c>
      <c r="P40504" s="5" t="s">
        <v>355</v>
      </c>
      <c r="Q40504" s="5" t="s">
        <v>355</v>
      </c>
    </row>
    <row r="40505" ht="16.5" customHeight="1">
      <c r="O40505" s="5" t="s">
        <v>355</v>
      </c>
      <c r="P40505" s="5" t="s">
        <v>355</v>
      </c>
      <c r="Q40505" s="5" t="s">
        <v>355</v>
      </c>
    </row>
    <row r="40506" ht="16.5" customHeight="1">
      <c r="O40506" s="5" t="s">
        <v>355</v>
      </c>
      <c r="P40506" s="5" t="s">
        <v>355</v>
      </c>
      <c r="Q40506" s="5" t="s">
        <v>355</v>
      </c>
    </row>
    <row r="40507" ht="16.5" customHeight="1">
      <c r="O40507" s="5" t="s">
        <v>355</v>
      </c>
      <c r="P40507" s="5" t="s">
        <v>355</v>
      </c>
      <c r="Q40507" s="5" t="s">
        <v>355</v>
      </c>
    </row>
    <row r="40508" ht="16.5" customHeight="1">
      <c r="O40508" s="5" t="s">
        <v>355</v>
      </c>
      <c r="P40508" s="5" t="s">
        <v>355</v>
      </c>
      <c r="Q40508" s="5" t="s">
        <v>355</v>
      </c>
    </row>
    <row r="40509" ht="16.5" customHeight="1">
      <c r="O40509" s="5" t="s">
        <v>355</v>
      </c>
      <c r="P40509" s="5" t="s">
        <v>355</v>
      </c>
      <c r="Q40509" s="5" t="s">
        <v>355</v>
      </c>
    </row>
    <row r="40510" ht="16.5" customHeight="1">
      <c r="O40510" s="5" t="s">
        <v>355</v>
      </c>
      <c r="P40510" s="5" t="s">
        <v>355</v>
      </c>
      <c r="Q40510" s="5" t="s">
        <v>355</v>
      </c>
    </row>
    <row r="40511" ht="16.5" customHeight="1">
      <c r="O40511" s="5" t="s">
        <v>355</v>
      </c>
      <c r="P40511" s="5" t="s">
        <v>355</v>
      </c>
      <c r="Q40511" s="5" t="s">
        <v>355</v>
      </c>
    </row>
    <row r="40512" ht="16.5" customHeight="1">
      <c r="O40512" s="5" t="s">
        <v>355</v>
      </c>
      <c r="P40512" s="5" t="s">
        <v>355</v>
      </c>
      <c r="Q40512" s="5" t="s">
        <v>355</v>
      </c>
    </row>
    <row r="40513" ht="16.5" customHeight="1">
      <c r="O40513" s="5" t="s">
        <v>355</v>
      </c>
      <c r="P40513" s="5" t="s">
        <v>355</v>
      </c>
      <c r="Q40513" s="5" t="s">
        <v>355</v>
      </c>
    </row>
    <row r="40514" ht="16.5" customHeight="1">
      <c r="O40514" s="5" t="s">
        <v>355</v>
      </c>
      <c r="P40514" s="5" t="s">
        <v>355</v>
      </c>
      <c r="Q40514" s="5" t="s">
        <v>355</v>
      </c>
    </row>
    <row r="40515" ht="16.5" customHeight="1">
      <c r="O40515" s="5" t="s">
        <v>355</v>
      </c>
      <c r="P40515" s="5" t="s">
        <v>355</v>
      </c>
      <c r="Q40515" s="5" t="s">
        <v>355</v>
      </c>
    </row>
    <row r="40516" ht="16.5" customHeight="1">
      <c r="O40516" s="5" t="s">
        <v>355</v>
      </c>
      <c r="P40516" s="5" t="s">
        <v>355</v>
      </c>
      <c r="Q40516" s="5" t="s">
        <v>355</v>
      </c>
    </row>
    <row r="40517" ht="16.5" customHeight="1">
      <c r="O40517" s="5" t="s">
        <v>355</v>
      </c>
      <c r="P40517" s="5" t="s">
        <v>355</v>
      </c>
      <c r="Q40517" s="5" t="s">
        <v>355</v>
      </c>
    </row>
    <row r="40518" ht="16.5" customHeight="1">
      <c r="O40518" s="5" t="s">
        <v>355</v>
      </c>
      <c r="P40518" s="5" t="s">
        <v>355</v>
      </c>
      <c r="Q40518" s="5" t="s">
        <v>355</v>
      </c>
    </row>
    <row r="40519" ht="16.5" customHeight="1">
      <c r="O40519" s="5" t="s">
        <v>355</v>
      </c>
      <c r="P40519" s="5" t="s">
        <v>355</v>
      </c>
      <c r="Q40519" s="5" t="s">
        <v>355</v>
      </c>
    </row>
    <row r="40520" ht="16.5" customHeight="1">
      <c r="O40520" s="5" t="s">
        <v>355</v>
      </c>
      <c r="P40520" s="5" t="s">
        <v>355</v>
      </c>
      <c r="Q40520" s="5" t="s">
        <v>355</v>
      </c>
    </row>
    <row r="40521" ht="16.5" customHeight="1">
      <c r="O40521" s="5" t="s">
        <v>355</v>
      </c>
      <c r="P40521" s="5" t="s">
        <v>355</v>
      </c>
      <c r="Q40521" s="5" t="s">
        <v>355</v>
      </c>
    </row>
    <row r="40522" ht="16.5" customHeight="1">
      <c r="O40522" s="5" t="s">
        <v>355</v>
      </c>
      <c r="P40522" s="5" t="s">
        <v>355</v>
      </c>
      <c r="Q40522" s="5" t="s">
        <v>355</v>
      </c>
    </row>
    <row r="40523" ht="16.5" customHeight="1">
      <c r="O40523" s="5" t="s">
        <v>355</v>
      </c>
      <c r="P40523" s="5" t="s">
        <v>355</v>
      </c>
      <c r="Q40523" s="5" t="s">
        <v>355</v>
      </c>
    </row>
    <row r="40524" ht="16.5" customHeight="1">
      <c r="O40524" s="5" t="s">
        <v>355</v>
      </c>
      <c r="P40524" s="5" t="s">
        <v>355</v>
      </c>
      <c r="Q40524" s="5" t="s">
        <v>355</v>
      </c>
    </row>
    <row r="40525" ht="16.5" customHeight="1">
      <c r="O40525" s="5" t="s">
        <v>355</v>
      </c>
      <c r="P40525" s="5" t="s">
        <v>355</v>
      </c>
      <c r="Q40525" s="5" t="s">
        <v>355</v>
      </c>
    </row>
    <row r="40526" ht="16.5" customHeight="1">
      <c r="O40526" s="5" t="s">
        <v>355</v>
      </c>
      <c r="P40526" s="5" t="s">
        <v>355</v>
      </c>
      <c r="Q40526" s="5" t="s">
        <v>355</v>
      </c>
    </row>
    <row r="40527" ht="16.5" customHeight="1">
      <c r="O40527" s="5" t="s">
        <v>355</v>
      </c>
      <c r="P40527" s="5" t="s">
        <v>355</v>
      </c>
      <c r="Q40527" s="5" t="s">
        <v>355</v>
      </c>
    </row>
    <row r="40528" ht="16.5" customHeight="1">
      <c r="O40528" s="5" t="s">
        <v>355</v>
      </c>
      <c r="P40528" s="5" t="s">
        <v>355</v>
      </c>
      <c r="Q40528" s="5" t="s">
        <v>355</v>
      </c>
    </row>
    <row r="40529" ht="16.5" customHeight="1">
      <c r="O40529" s="5" t="s">
        <v>355</v>
      </c>
      <c r="P40529" s="5" t="s">
        <v>355</v>
      </c>
      <c r="Q40529" s="5" t="s">
        <v>355</v>
      </c>
    </row>
    <row r="40530" ht="16.5" customHeight="1">
      <c r="O40530" s="5" t="s">
        <v>355</v>
      </c>
      <c r="P40530" s="5" t="s">
        <v>355</v>
      </c>
      <c r="Q40530" s="5" t="s">
        <v>355</v>
      </c>
    </row>
    <row r="40531" ht="16.5" customHeight="1">
      <c r="O40531" s="5" t="s">
        <v>355</v>
      </c>
      <c r="P40531" s="5" t="s">
        <v>355</v>
      </c>
      <c r="Q40531" s="5" t="s">
        <v>355</v>
      </c>
    </row>
    <row r="40532" ht="16.5" customHeight="1">
      <c r="O40532" s="5" t="s">
        <v>355</v>
      </c>
      <c r="P40532" s="5" t="s">
        <v>355</v>
      </c>
      <c r="Q40532" s="5" t="s">
        <v>355</v>
      </c>
    </row>
    <row r="40533" ht="16.5" customHeight="1">
      <c r="O40533" s="5" t="s">
        <v>355</v>
      </c>
      <c r="P40533" s="5" t="s">
        <v>355</v>
      </c>
      <c r="Q40533" s="5" t="s">
        <v>355</v>
      </c>
    </row>
    <row r="40534" ht="16.5" customHeight="1">
      <c r="O40534" s="5" t="s">
        <v>355</v>
      </c>
      <c r="P40534" s="5" t="s">
        <v>355</v>
      </c>
      <c r="Q40534" s="5" t="s">
        <v>355</v>
      </c>
    </row>
    <row r="40535" ht="16.5" customHeight="1">
      <c r="O40535" s="5" t="s">
        <v>355</v>
      </c>
      <c r="P40535" s="5" t="s">
        <v>355</v>
      </c>
      <c r="Q40535" s="5" t="s">
        <v>355</v>
      </c>
    </row>
    <row r="40536" ht="16.5" customHeight="1">
      <c r="O40536" s="5" t="s">
        <v>355</v>
      </c>
      <c r="P40536" s="5" t="s">
        <v>355</v>
      </c>
      <c r="Q40536" s="5" t="s">
        <v>355</v>
      </c>
    </row>
    <row r="40537" ht="16.5" customHeight="1">
      <c r="O40537" s="5" t="s">
        <v>355</v>
      </c>
      <c r="P40537" s="5" t="s">
        <v>355</v>
      </c>
      <c r="Q40537" s="5" t="s">
        <v>355</v>
      </c>
    </row>
    <row r="40538" ht="16.5" customHeight="1">
      <c r="O40538" s="5" t="s">
        <v>355</v>
      </c>
      <c r="P40538" s="5" t="s">
        <v>355</v>
      </c>
      <c r="Q40538" s="5" t="s">
        <v>355</v>
      </c>
    </row>
    <row r="40539" ht="16.5" customHeight="1">
      <c r="O40539" s="5" t="s">
        <v>355</v>
      </c>
      <c r="P40539" s="5" t="s">
        <v>355</v>
      </c>
      <c r="Q40539" s="5" t="s">
        <v>355</v>
      </c>
    </row>
    <row r="40540" ht="16.5" customHeight="1">
      <c r="O40540" s="5" t="s">
        <v>355</v>
      </c>
      <c r="P40540" s="5" t="s">
        <v>355</v>
      </c>
      <c r="Q40540" s="5" t="s">
        <v>355</v>
      </c>
    </row>
    <row r="40541" ht="16.5" customHeight="1">
      <c r="O40541" s="5" t="s">
        <v>355</v>
      </c>
      <c r="P40541" s="5" t="s">
        <v>355</v>
      </c>
      <c r="Q40541" s="5" t="s">
        <v>355</v>
      </c>
    </row>
    <row r="40542" ht="16.5" customHeight="1">
      <c r="O40542" s="5" t="s">
        <v>355</v>
      </c>
      <c r="P40542" s="5" t="s">
        <v>355</v>
      </c>
      <c r="Q40542" s="5" t="s">
        <v>355</v>
      </c>
    </row>
    <row r="40543" ht="16.5" customHeight="1">
      <c r="O40543" s="5" t="s">
        <v>355</v>
      </c>
      <c r="P40543" s="5" t="s">
        <v>355</v>
      </c>
      <c r="Q40543" s="5" t="s">
        <v>355</v>
      </c>
    </row>
    <row r="40544" ht="16.5" customHeight="1">
      <c r="O40544" s="5" t="s">
        <v>355</v>
      </c>
      <c r="P40544" s="5" t="s">
        <v>355</v>
      </c>
      <c r="Q40544" s="5" t="s">
        <v>355</v>
      </c>
    </row>
    <row r="40545" ht="16.5" customHeight="1">
      <c r="O40545" s="5" t="s">
        <v>355</v>
      </c>
      <c r="P40545" s="5" t="s">
        <v>355</v>
      </c>
      <c r="Q40545" s="5" t="s">
        <v>355</v>
      </c>
    </row>
    <row r="40546" ht="16.5" customHeight="1">
      <c r="O40546" s="5" t="s">
        <v>355</v>
      </c>
      <c r="P40546" s="5" t="s">
        <v>355</v>
      </c>
      <c r="Q40546" s="5" t="s">
        <v>355</v>
      </c>
    </row>
    <row r="40547" ht="16.5" customHeight="1">
      <c r="O40547" s="5" t="s">
        <v>355</v>
      </c>
      <c r="P40547" s="5" t="s">
        <v>355</v>
      </c>
      <c r="Q40547" s="5" t="s">
        <v>355</v>
      </c>
    </row>
    <row r="40548" ht="16.5" customHeight="1">
      <c r="O40548" s="5" t="s">
        <v>355</v>
      </c>
      <c r="P40548" s="5" t="s">
        <v>355</v>
      </c>
      <c r="Q40548" s="5" t="s">
        <v>355</v>
      </c>
    </row>
    <row r="40549" ht="16.5" customHeight="1">
      <c r="O40549" s="5" t="s">
        <v>355</v>
      </c>
      <c r="P40549" s="5" t="s">
        <v>355</v>
      </c>
      <c r="Q40549" s="5" t="s">
        <v>355</v>
      </c>
    </row>
    <row r="40550" ht="16.5" customHeight="1">
      <c r="O40550" s="5" t="s">
        <v>355</v>
      </c>
      <c r="P40550" s="5" t="s">
        <v>355</v>
      </c>
      <c r="Q40550" s="5" t="s">
        <v>355</v>
      </c>
    </row>
    <row r="40551" ht="16.5" customHeight="1">
      <c r="O40551" s="5" t="s">
        <v>355</v>
      </c>
      <c r="P40551" s="5" t="s">
        <v>355</v>
      </c>
      <c r="Q40551" s="5" t="s">
        <v>355</v>
      </c>
    </row>
    <row r="40552" ht="16.5" customHeight="1">
      <c r="O40552" s="5" t="s">
        <v>355</v>
      </c>
      <c r="P40552" s="5" t="s">
        <v>355</v>
      </c>
      <c r="Q40552" s="5" t="s">
        <v>355</v>
      </c>
    </row>
    <row r="40553" ht="16.5" customHeight="1">
      <c r="O40553" s="5" t="s">
        <v>355</v>
      </c>
      <c r="P40553" s="5" t="s">
        <v>355</v>
      </c>
      <c r="Q40553" s="5" t="s">
        <v>355</v>
      </c>
    </row>
    <row r="40554" ht="16.5" customHeight="1">
      <c r="O40554" s="5" t="s">
        <v>355</v>
      </c>
      <c r="P40554" s="5" t="s">
        <v>355</v>
      </c>
      <c r="Q40554" s="5" t="s">
        <v>355</v>
      </c>
    </row>
    <row r="40555" ht="16.5" customHeight="1">
      <c r="O40555" s="5" t="s">
        <v>355</v>
      </c>
      <c r="P40555" s="5" t="s">
        <v>355</v>
      </c>
      <c r="Q40555" s="5" t="s">
        <v>355</v>
      </c>
    </row>
    <row r="40556" ht="16.5" customHeight="1">
      <c r="O40556" s="5" t="s">
        <v>355</v>
      </c>
      <c r="P40556" s="5" t="s">
        <v>355</v>
      </c>
      <c r="Q40556" s="5" t="s">
        <v>355</v>
      </c>
    </row>
    <row r="40557" ht="16.5" customHeight="1">
      <c r="O40557" s="5" t="s">
        <v>355</v>
      </c>
      <c r="P40557" s="5" t="s">
        <v>355</v>
      </c>
      <c r="Q40557" s="5" t="s">
        <v>355</v>
      </c>
    </row>
    <row r="40558" ht="16.5" customHeight="1">
      <c r="O40558" s="5" t="s">
        <v>355</v>
      </c>
      <c r="P40558" s="5" t="s">
        <v>355</v>
      </c>
      <c r="Q40558" s="5" t="s">
        <v>355</v>
      </c>
    </row>
    <row r="40559" ht="16.5" customHeight="1">
      <c r="O40559" s="5" t="s">
        <v>355</v>
      </c>
      <c r="P40559" s="5" t="s">
        <v>355</v>
      </c>
      <c r="Q40559" s="5" t="s">
        <v>355</v>
      </c>
    </row>
    <row r="40560" ht="16.5" customHeight="1">
      <c r="O40560" s="5" t="s">
        <v>355</v>
      </c>
      <c r="P40560" s="5" t="s">
        <v>355</v>
      </c>
      <c r="Q40560" s="5" t="s">
        <v>355</v>
      </c>
    </row>
    <row r="40561" ht="16.5" customHeight="1">
      <c r="O40561" s="5" t="s">
        <v>355</v>
      </c>
      <c r="P40561" s="5" t="s">
        <v>355</v>
      </c>
      <c r="Q40561" s="5" t="s">
        <v>355</v>
      </c>
    </row>
    <row r="40562" ht="16.5" customHeight="1">
      <c r="O40562" s="5" t="s">
        <v>355</v>
      </c>
      <c r="P40562" s="5" t="s">
        <v>355</v>
      </c>
      <c r="Q40562" s="5" t="s">
        <v>355</v>
      </c>
    </row>
    <row r="40563" ht="16.5" customHeight="1">
      <c r="O40563" s="5" t="s">
        <v>355</v>
      </c>
      <c r="P40563" s="5" t="s">
        <v>355</v>
      </c>
      <c r="Q40563" s="5" t="s">
        <v>355</v>
      </c>
    </row>
    <row r="40564" ht="16.5" customHeight="1">
      <c r="O40564" s="5" t="s">
        <v>355</v>
      </c>
      <c r="P40564" s="5" t="s">
        <v>355</v>
      </c>
      <c r="Q40564" s="5" t="s">
        <v>355</v>
      </c>
    </row>
    <row r="40565" ht="16.5" customHeight="1">
      <c r="O40565" s="5" t="s">
        <v>355</v>
      </c>
      <c r="P40565" s="5" t="s">
        <v>355</v>
      </c>
      <c r="Q40565" s="5" t="s">
        <v>355</v>
      </c>
    </row>
    <row r="40566" ht="16.5" customHeight="1">
      <c r="O40566" s="5" t="s">
        <v>355</v>
      </c>
      <c r="P40566" s="5" t="s">
        <v>355</v>
      </c>
      <c r="Q40566" s="5" t="s">
        <v>355</v>
      </c>
    </row>
    <row r="40567" ht="16.5" customHeight="1">
      <c r="O40567" s="5" t="s">
        <v>355</v>
      </c>
      <c r="P40567" s="5" t="s">
        <v>355</v>
      </c>
      <c r="Q40567" s="5" t="s">
        <v>355</v>
      </c>
    </row>
    <row r="40568" ht="16.5" customHeight="1">
      <c r="O40568" s="5" t="s">
        <v>355</v>
      </c>
      <c r="P40568" s="5" t="s">
        <v>355</v>
      </c>
      <c r="Q40568" s="5" t="s">
        <v>355</v>
      </c>
    </row>
    <row r="40569" ht="16.5" customHeight="1">
      <c r="O40569" s="5" t="s">
        <v>355</v>
      </c>
      <c r="P40569" s="5" t="s">
        <v>355</v>
      </c>
      <c r="Q40569" s="5" t="s">
        <v>355</v>
      </c>
    </row>
    <row r="40570" ht="16.5" customHeight="1">
      <c r="O40570" s="5" t="s">
        <v>355</v>
      </c>
      <c r="P40570" s="5" t="s">
        <v>355</v>
      </c>
      <c r="Q40570" s="5" t="s">
        <v>355</v>
      </c>
    </row>
    <row r="40571" ht="16.5" customHeight="1">
      <c r="O40571" s="5" t="s">
        <v>355</v>
      </c>
      <c r="P40571" s="5" t="s">
        <v>355</v>
      </c>
      <c r="Q40571" s="5" t="s">
        <v>355</v>
      </c>
    </row>
    <row r="40572" ht="16.5" customHeight="1">
      <c r="O40572" s="5" t="s">
        <v>355</v>
      </c>
      <c r="P40572" s="5" t="s">
        <v>355</v>
      </c>
      <c r="Q40572" s="5" t="s">
        <v>355</v>
      </c>
    </row>
    <row r="40573" ht="16.5" customHeight="1">
      <c r="O40573" s="5" t="s">
        <v>355</v>
      </c>
      <c r="P40573" s="5" t="s">
        <v>355</v>
      </c>
      <c r="Q40573" s="5" t="s">
        <v>355</v>
      </c>
    </row>
    <row r="40574" ht="16.5" customHeight="1">
      <c r="O40574" s="5" t="s">
        <v>355</v>
      </c>
      <c r="P40574" s="5" t="s">
        <v>355</v>
      </c>
      <c r="Q40574" s="5" t="s">
        <v>355</v>
      </c>
    </row>
    <row r="40575" ht="16.5" customHeight="1">
      <c r="O40575" s="5" t="s">
        <v>355</v>
      </c>
      <c r="P40575" s="5" t="s">
        <v>355</v>
      </c>
      <c r="Q40575" s="5" t="s">
        <v>355</v>
      </c>
    </row>
    <row r="40576" ht="16.5" customHeight="1">
      <c r="O40576" s="5" t="s">
        <v>355</v>
      </c>
      <c r="P40576" s="5" t="s">
        <v>355</v>
      </c>
      <c r="Q40576" s="5" t="s">
        <v>355</v>
      </c>
    </row>
    <row r="40577" ht="16.5" customHeight="1">
      <c r="O40577" s="5" t="s">
        <v>355</v>
      </c>
      <c r="P40577" s="5" t="s">
        <v>355</v>
      </c>
      <c r="Q40577" s="5" t="s">
        <v>355</v>
      </c>
    </row>
    <row r="40578" ht="16.5" customHeight="1">
      <c r="O40578" s="5" t="s">
        <v>355</v>
      </c>
      <c r="P40578" s="5" t="s">
        <v>355</v>
      </c>
      <c r="Q40578" s="5" t="s">
        <v>355</v>
      </c>
    </row>
    <row r="40579" ht="16.5" customHeight="1">
      <c r="O40579" s="5" t="s">
        <v>355</v>
      </c>
      <c r="P40579" s="5" t="s">
        <v>355</v>
      </c>
      <c r="Q40579" s="5" t="s">
        <v>355</v>
      </c>
    </row>
    <row r="40580" ht="16.5" customHeight="1">
      <c r="O40580" s="5" t="s">
        <v>355</v>
      </c>
      <c r="P40580" s="5" t="s">
        <v>355</v>
      </c>
      <c r="Q40580" s="5" t="s">
        <v>355</v>
      </c>
    </row>
    <row r="40581" ht="16.5" customHeight="1">
      <c r="O40581" s="5" t="s">
        <v>355</v>
      </c>
      <c r="P40581" s="5" t="s">
        <v>355</v>
      </c>
      <c r="Q40581" s="5" t="s">
        <v>355</v>
      </c>
    </row>
    <row r="40582" ht="16.5" customHeight="1">
      <c r="O40582" s="5" t="s">
        <v>355</v>
      </c>
      <c r="P40582" s="5" t="s">
        <v>355</v>
      </c>
      <c r="Q40582" s="5" t="s">
        <v>355</v>
      </c>
    </row>
    <row r="40583" ht="16.5" customHeight="1">
      <c r="O40583" s="5" t="s">
        <v>355</v>
      </c>
      <c r="P40583" s="5" t="s">
        <v>355</v>
      </c>
      <c r="Q40583" s="5" t="s">
        <v>355</v>
      </c>
    </row>
    <row r="40584" ht="16.5" customHeight="1">
      <c r="O40584" s="5" t="s">
        <v>355</v>
      </c>
      <c r="P40584" s="5" t="s">
        <v>355</v>
      </c>
      <c r="Q40584" s="5" t="s">
        <v>355</v>
      </c>
    </row>
    <row r="40585" ht="16.5" customHeight="1">
      <c r="O40585" s="5" t="s">
        <v>355</v>
      </c>
      <c r="P40585" s="5" t="s">
        <v>355</v>
      </c>
      <c r="Q40585" s="5" t="s">
        <v>355</v>
      </c>
    </row>
    <row r="40586" ht="16.5" customHeight="1">
      <c r="O40586" s="5" t="s">
        <v>355</v>
      </c>
      <c r="P40586" s="5" t="s">
        <v>355</v>
      </c>
      <c r="Q40586" s="5" t="s">
        <v>355</v>
      </c>
    </row>
    <row r="40587" ht="16.5" customHeight="1">
      <c r="O40587" s="5" t="s">
        <v>355</v>
      </c>
      <c r="P40587" s="5" t="s">
        <v>355</v>
      </c>
      <c r="Q40587" s="5" t="s">
        <v>355</v>
      </c>
    </row>
    <row r="40588" ht="16.5" customHeight="1">
      <c r="O40588" s="5" t="s">
        <v>355</v>
      </c>
      <c r="P40588" s="5" t="s">
        <v>355</v>
      </c>
      <c r="Q40588" s="5" t="s">
        <v>355</v>
      </c>
    </row>
    <row r="40589" ht="16.5" customHeight="1">
      <c r="O40589" s="5" t="s">
        <v>355</v>
      </c>
      <c r="P40589" s="5" t="s">
        <v>355</v>
      </c>
      <c r="Q40589" s="5" t="s">
        <v>355</v>
      </c>
    </row>
    <row r="40590" ht="16.5" customHeight="1">
      <c r="O40590" s="5" t="s">
        <v>355</v>
      </c>
      <c r="P40590" s="5" t="s">
        <v>355</v>
      </c>
      <c r="Q40590" s="5" t="s">
        <v>355</v>
      </c>
    </row>
    <row r="40591" ht="16.5" customHeight="1">
      <c r="O40591" s="5" t="s">
        <v>355</v>
      </c>
      <c r="P40591" s="5" t="s">
        <v>355</v>
      </c>
      <c r="Q40591" s="5" t="s">
        <v>355</v>
      </c>
    </row>
    <row r="40592" ht="16.5" customHeight="1">
      <c r="O40592" s="5" t="s">
        <v>355</v>
      </c>
      <c r="P40592" s="5" t="s">
        <v>355</v>
      </c>
      <c r="Q40592" s="5" t="s">
        <v>355</v>
      </c>
    </row>
    <row r="40593" ht="16.5" customHeight="1">
      <c r="O40593" s="5" t="s">
        <v>355</v>
      </c>
      <c r="P40593" s="5" t="s">
        <v>355</v>
      </c>
      <c r="Q40593" s="5" t="s">
        <v>355</v>
      </c>
    </row>
    <row r="40594" ht="16.5" customHeight="1">
      <c r="O40594" s="5" t="s">
        <v>355</v>
      </c>
      <c r="P40594" s="5" t="s">
        <v>355</v>
      </c>
      <c r="Q40594" s="5" t="s">
        <v>355</v>
      </c>
    </row>
    <row r="40595" ht="16.5" customHeight="1">
      <c r="O40595" s="5" t="s">
        <v>355</v>
      </c>
      <c r="P40595" s="5" t="s">
        <v>355</v>
      </c>
      <c r="Q40595" s="5" t="s">
        <v>355</v>
      </c>
    </row>
    <row r="40596" ht="16.5" customHeight="1">
      <c r="O40596" s="5" t="s">
        <v>355</v>
      </c>
      <c r="P40596" s="5" t="s">
        <v>355</v>
      </c>
      <c r="Q40596" s="5" t="s">
        <v>355</v>
      </c>
    </row>
    <row r="40597" ht="16.5" customHeight="1">
      <c r="O40597" s="5" t="s">
        <v>355</v>
      </c>
      <c r="P40597" s="5" t="s">
        <v>355</v>
      </c>
      <c r="Q40597" s="5" t="s">
        <v>355</v>
      </c>
    </row>
    <row r="40598" ht="16.5" customHeight="1">
      <c r="O40598" s="5" t="s">
        <v>355</v>
      </c>
      <c r="P40598" s="5" t="s">
        <v>355</v>
      </c>
      <c r="Q40598" s="5" t="s">
        <v>355</v>
      </c>
    </row>
    <row r="40599" ht="16.5" customHeight="1">
      <c r="O40599" s="5" t="s">
        <v>355</v>
      </c>
      <c r="P40599" s="5" t="s">
        <v>355</v>
      </c>
      <c r="Q40599" s="5" t="s">
        <v>355</v>
      </c>
    </row>
    <row r="40600" ht="16.5" customHeight="1">
      <c r="O40600" s="5" t="s">
        <v>355</v>
      </c>
      <c r="P40600" s="5" t="s">
        <v>355</v>
      </c>
      <c r="Q40600" s="5" t="s">
        <v>355</v>
      </c>
    </row>
    <row r="40601" ht="16.5" customHeight="1">
      <c r="O40601" s="5" t="s">
        <v>355</v>
      </c>
      <c r="P40601" s="5" t="s">
        <v>355</v>
      </c>
      <c r="Q40601" s="5" t="s">
        <v>355</v>
      </c>
    </row>
    <row r="40602" ht="16.5" customHeight="1">
      <c r="O40602" s="5" t="s">
        <v>355</v>
      </c>
      <c r="P40602" s="5" t="s">
        <v>355</v>
      </c>
      <c r="Q40602" s="5" t="s">
        <v>355</v>
      </c>
    </row>
    <row r="40603" ht="16.5" customHeight="1">
      <c r="O40603" s="5" t="s">
        <v>355</v>
      </c>
      <c r="P40603" s="5" t="s">
        <v>355</v>
      </c>
      <c r="Q40603" s="5" t="s">
        <v>355</v>
      </c>
    </row>
    <row r="40604" ht="16.5" customHeight="1">
      <c r="O40604" s="5" t="s">
        <v>355</v>
      </c>
      <c r="P40604" s="5" t="s">
        <v>355</v>
      </c>
      <c r="Q40604" s="5" t="s">
        <v>355</v>
      </c>
    </row>
    <row r="40605" ht="16.5" customHeight="1">
      <c r="O40605" s="5" t="s">
        <v>355</v>
      </c>
      <c r="P40605" s="5" t="s">
        <v>355</v>
      </c>
      <c r="Q40605" s="5" t="s">
        <v>355</v>
      </c>
    </row>
    <row r="40606" ht="16.5" customHeight="1">
      <c r="O40606" s="5" t="s">
        <v>355</v>
      </c>
      <c r="P40606" s="5" t="s">
        <v>355</v>
      </c>
      <c r="Q40606" s="5" t="s">
        <v>355</v>
      </c>
    </row>
    <row r="40607" ht="16.5" customHeight="1">
      <c r="O40607" s="5" t="s">
        <v>355</v>
      </c>
      <c r="P40607" s="5" t="s">
        <v>355</v>
      </c>
      <c r="Q40607" s="5" t="s">
        <v>355</v>
      </c>
    </row>
    <row r="40608" ht="16.5" customHeight="1">
      <c r="O40608" s="5" t="s">
        <v>355</v>
      </c>
      <c r="P40608" s="5" t="s">
        <v>355</v>
      </c>
      <c r="Q40608" s="5" t="s">
        <v>355</v>
      </c>
    </row>
    <row r="40609" ht="16.5" customHeight="1">
      <c r="O40609" s="5" t="s">
        <v>355</v>
      </c>
      <c r="P40609" s="5" t="s">
        <v>355</v>
      </c>
      <c r="Q40609" s="5" t="s">
        <v>355</v>
      </c>
    </row>
    <row r="40610" ht="16.5" customHeight="1">
      <c r="O40610" s="5" t="s">
        <v>355</v>
      </c>
      <c r="P40610" s="5" t="s">
        <v>355</v>
      </c>
      <c r="Q40610" s="5" t="s">
        <v>355</v>
      </c>
    </row>
    <row r="40611" ht="16.5" customHeight="1">
      <c r="O40611" s="5" t="s">
        <v>355</v>
      </c>
      <c r="P40611" s="5" t="s">
        <v>355</v>
      </c>
      <c r="Q40611" s="5" t="s">
        <v>355</v>
      </c>
    </row>
    <row r="40612" ht="16.5" customHeight="1">
      <c r="O40612" s="5" t="s">
        <v>355</v>
      </c>
      <c r="P40612" s="5" t="s">
        <v>355</v>
      </c>
      <c r="Q40612" s="5" t="s">
        <v>355</v>
      </c>
    </row>
    <row r="40613" ht="16.5" customHeight="1">
      <c r="O40613" s="5" t="s">
        <v>355</v>
      </c>
      <c r="P40613" s="5" t="s">
        <v>355</v>
      </c>
      <c r="Q40613" s="5" t="s">
        <v>355</v>
      </c>
    </row>
    <row r="40614" ht="16.5" customHeight="1">
      <c r="O40614" s="5" t="s">
        <v>355</v>
      </c>
      <c r="P40614" s="5" t="s">
        <v>355</v>
      </c>
      <c r="Q40614" s="5" t="s">
        <v>355</v>
      </c>
    </row>
    <row r="40615" ht="16.5" customHeight="1">
      <c r="O40615" s="5" t="s">
        <v>355</v>
      </c>
      <c r="P40615" s="5" t="s">
        <v>355</v>
      </c>
      <c r="Q40615" s="5" t="s">
        <v>355</v>
      </c>
    </row>
    <row r="40616" ht="16.5" customHeight="1">
      <c r="O40616" s="5" t="s">
        <v>355</v>
      </c>
      <c r="P40616" s="5" t="s">
        <v>355</v>
      </c>
      <c r="Q40616" s="5" t="s">
        <v>355</v>
      </c>
    </row>
    <row r="40617" ht="16.5" customHeight="1">
      <c r="O40617" s="5" t="s">
        <v>355</v>
      </c>
      <c r="P40617" s="5" t="s">
        <v>355</v>
      </c>
      <c r="Q40617" s="5" t="s">
        <v>355</v>
      </c>
    </row>
    <row r="40618" ht="16.5" customHeight="1">
      <c r="O40618" s="5" t="s">
        <v>355</v>
      </c>
      <c r="P40618" s="5" t="s">
        <v>355</v>
      </c>
      <c r="Q40618" s="5" t="s">
        <v>355</v>
      </c>
    </row>
    <row r="40619" ht="16.5" customHeight="1">
      <c r="O40619" s="5" t="s">
        <v>355</v>
      </c>
      <c r="P40619" s="5" t="s">
        <v>355</v>
      </c>
      <c r="Q40619" s="5" t="s">
        <v>355</v>
      </c>
    </row>
    <row r="40620" ht="16.5" customHeight="1">
      <c r="O40620" s="5" t="s">
        <v>355</v>
      </c>
      <c r="P40620" s="5" t="s">
        <v>355</v>
      </c>
      <c r="Q40620" s="5" t="s">
        <v>355</v>
      </c>
    </row>
    <row r="40621" ht="16.5" customHeight="1">
      <c r="O40621" s="5" t="s">
        <v>355</v>
      </c>
      <c r="P40621" s="5" t="s">
        <v>355</v>
      </c>
      <c r="Q40621" s="5" t="s">
        <v>355</v>
      </c>
    </row>
    <row r="40622" ht="16.5" customHeight="1">
      <c r="O40622" s="5" t="s">
        <v>355</v>
      </c>
      <c r="P40622" s="5" t="s">
        <v>355</v>
      </c>
      <c r="Q40622" s="5" t="s">
        <v>355</v>
      </c>
    </row>
    <row r="40623" ht="16.5" customHeight="1">
      <c r="O40623" s="5" t="s">
        <v>355</v>
      </c>
      <c r="P40623" s="5" t="s">
        <v>355</v>
      </c>
      <c r="Q40623" s="5" t="s">
        <v>355</v>
      </c>
    </row>
    <row r="40624" ht="16.5" customHeight="1">
      <c r="O40624" s="5" t="s">
        <v>355</v>
      </c>
      <c r="P40624" s="5" t="s">
        <v>355</v>
      </c>
      <c r="Q40624" s="5" t="s">
        <v>355</v>
      </c>
    </row>
    <row r="40625" ht="16.5" customHeight="1">
      <c r="O40625" s="5" t="s">
        <v>355</v>
      </c>
      <c r="P40625" s="5" t="s">
        <v>355</v>
      </c>
      <c r="Q40625" s="5" t="s">
        <v>355</v>
      </c>
    </row>
    <row r="40626" ht="16.5" customHeight="1">
      <c r="O40626" s="5" t="s">
        <v>355</v>
      </c>
      <c r="P40626" s="5" t="s">
        <v>355</v>
      </c>
      <c r="Q40626" s="5" t="s">
        <v>355</v>
      </c>
    </row>
    <row r="40627" ht="16.5" customHeight="1">
      <c r="O40627" s="5" t="s">
        <v>355</v>
      </c>
      <c r="P40627" s="5" t="s">
        <v>355</v>
      </c>
      <c r="Q40627" s="5" t="s">
        <v>355</v>
      </c>
    </row>
    <row r="40628" ht="16.5" customHeight="1">
      <c r="O40628" s="5" t="s">
        <v>355</v>
      </c>
      <c r="P40628" s="5" t="s">
        <v>355</v>
      </c>
      <c r="Q40628" s="5" t="s">
        <v>355</v>
      </c>
    </row>
    <row r="40629" ht="16.5" customHeight="1">
      <c r="O40629" s="5" t="s">
        <v>355</v>
      </c>
      <c r="P40629" s="5" t="s">
        <v>355</v>
      </c>
      <c r="Q40629" s="5" t="s">
        <v>355</v>
      </c>
    </row>
    <row r="40630" ht="16.5" customHeight="1">
      <c r="O40630" s="5" t="s">
        <v>355</v>
      </c>
      <c r="P40630" s="5" t="s">
        <v>355</v>
      </c>
      <c r="Q40630" s="5" t="s">
        <v>355</v>
      </c>
    </row>
    <row r="40631" ht="16.5" customHeight="1">
      <c r="O40631" s="5" t="s">
        <v>355</v>
      </c>
      <c r="P40631" s="5" t="s">
        <v>355</v>
      </c>
      <c r="Q40631" s="5" t="s">
        <v>355</v>
      </c>
    </row>
    <row r="40632" ht="16.5" customHeight="1">
      <c r="O40632" s="5" t="s">
        <v>355</v>
      </c>
      <c r="P40632" s="5" t="s">
        <v>355</v>
      </c>
      <c r="Q40632" s="5" t="s">
        <v>355</v>
      </c>
    </row>
    <row r="40633" ht="16.5" customHeight="1">
      <c r="O40633" s="5" t="s">
        <v>355</v>
      </c>
      <c r="P40633" s="5" t="s">
        <v>355</v>
      </c>
      <c r="Q40633" s="5" t="s">
        <v>355</v>
      </c>
    </row>
    <row r="40634" ht="16.5" customHeight="1">
      <c r="O40634" s="5" t="s">
        <v>355</v>
      </c>
      <c r="P40634" s="5" t="s">
        <v>355</v>
      </c>
      <c r="Q40634" s="5" t="s">
        <v>355</v>
      </c>
    </row>
    <row r="40635" ht="16.5" customHeight="1">
      <c r="O40635" s="5" t="s">
        <v>355</v>
      </c>
      <c r="P40635" s="5" t="s">
        <v>355</v>
      </c>
      <c r="Q40635" s="5" t="s">
        <v>355</v>
      </c>
    </row>
    <row r="40636" ht="16.5" customHeight="1">
      <c r="O40636" s="5" t="s">
        <v>355</v>
      </c>
      <c r="P40636" s="5" t="s">
        <v>355</v>
      </c>
      <c r="Q40636" s="5" t="s">
        <v>355</v>
      </c>
    </row>
    <row r="40637" ht="16.5" customHeight="1">
      <c r="O40637" s="5" t="s">
        <v>355</v>
      </c>
      <c r="P40637" s="5" t="s">
        <v>355</v>
      </c>
      <c r="Q40637" s="5" t="s">
        <v>355</v>
      </c>
    </row>
    <row r="40638" ht="16.5" customHeight="1">
      <c r="O40638" s="5" t="s">
        <v>355</v>
      </c>
      <c r="P40638" s="5" t="s">
        <v>355</v>
      </c>
      <c r="Q40638" s="5" t="s">
        <v>355</v>
      </c>
    </row>
    <row r="40639" ht="16.5" customHeight="1">
      <c r="O40639" s="5" t="s">
        <v>355</v>
      </c>
      <c r="P40639" s="5" t="s">
        <v>355</v>
      </c>
      <c r="Q40639" s="5" t="s">
        <v>355</v>
      </c>
    </row>
    <row r="40640" ht="16.5" customHeight="1">
      <c r="O40640" s="5" t="s">
        <v>355</v>
      </c>
      <c r="P40640" s="5" t="s">
        <v>355</v>
      </c>
      <c r="Q40640" s="5" t="s">
        <v>355</v>
      </c>
    </row>
    <row r="40641" ht="16.5" customHeight="1">
      <c r="O40641" s="5" t="s">
        <v>355</v>
      </c>
      <c r="P40641" s="5" t="s">
        <v>355</v>
      </c>
      <c r="Q40641" s="5" t="s">
        <v>355</v>
      </c>
    </row>
    <row r="40642" ht="16.5" customHeight="1">
      <c r="O40642" s="5" t="s">
        <v>355</v>
      </c>
      <c r="P40642" s="5" t="s">
        <v>355</v>
      </c>
      <c r="Q40642" s="5" t="s">
        <v>355</v>
      </c>
    </row>
    <row r="40643" ht="16.5" customHeight="1">
      <c r="O40643" s="5" t="s">
        <v>355</v>
      </c>
      <c r="P40643" s="5" t="s">
        <v>355</v>
      </c>
      <c r="Q40643" s="5" t="s">
        <v>355</v>
      </c>
    </row>
    <row r="40644" ht="16.5" customHeight="1">
      <c r="O40644" s="5" t="s">
        <v>355</v>
      </c>
      <c r="P40644" s="5" t="s">
        <v>355</v>
      </c>
      <c r="Q40644" s="5" t="s">
        <v>355</v>
      </c>
    </row>
    <row r="40645" ht="16.5" customHeight="1">
      <c r="O40645" s="5" t="s">
        <v>355</v>
      </c>
      <c r="P40645" s="5" t="s">
        <v>355</v>
      </c>
      <c r="Q40645" s="5" t="s">
        <v>355</v>
      </c>
    </row>
    <row r="40646" ht="16.5" customHeight="1">
      <c r="O40646" s="5" t="s">
        <v>355</v>
      </c>
      <c r="P40646" s="5" t="s">
        <v>355</v>
      </c>
      <c r="Q40646" s="5" t="s">
        <v>355</v>
      </c>
    </row>
    <row r="40647" ht="16.5" customHeight="1">
      <c r="O40647" s="5" t="s">
        <v>355</v>
      </c>
      <c r="P40647" s="5" t="s">
        <v>355</v>
      </c>
      <c r="Q40647" s="5" t="s">
        <v>355</v>
      </c>
    </row>
    <row r="40648" ht="16.5" customHeight="1">
      <c r="O40648" s="5" t="s">
        <v>355</v>
      </c>
      <c r="P40648" s="5" t="s">
        <v>355</v>
      </c>
      <c r="Q40648" s="5" t="s">
        <v>355</v>
      </c>
    </row>
    <row r="40649" ht="16.5" customHeight="1">
      <c r="O40649" s="5" t="s">
        <v>355</v>
      </c>
      <c r="P40649" s="5" t="s">
        <v>355</v>
      </c>
      <c r="Q40649" s="5" t="s">
        <v>355</v>
      </c>
    </row>
    <row r="40650" ht="16.5" customHeight="1">
      <c r="O40650" s="5" t="s">
        <v>355</v>
      </c>
      <c r="P40650" s="5" t="s">
        <v>355</v>
      </c>
      <c r="Q40650" s="5" t="s">
        <v>355</v>
      </c>
    </row>
    <row r="40651" ht="16.5" customHeight="1">
      <c r="O40651" s="5" t="s">
        <v>355</v>
      </c>
      <c r="P40651" s="5" t="s">
        <v>355</v>
      </c>
      <c r="Q40651" s="5" t="s">
        <v>355</v>
      </c>
    </row>
    <row r="40652" ht="16.5" customHeight="1">
      <c r="O40652" s="5" t="s">
        <v>355</v>
      </c>
      <c r="P40652" s="5" t="s">
        <v>355</v>
      </c>
      <c r="Q40652" s="5" t="s">
        <v>355</v>
      </c>
    </row>
    <row r="40653" ht="16.5" customHeight="1">
      <c r="O40653" s="5" t="s">
        <v>355</v>
      </c>
      <c r="P40653" s="5" t="s">
        <v>355</v>
      </c>
      <c r="Q40653" s="5" t="s">
        <v>355</v>
      </c>
    </row>
    <row r="40654" ht="16.5" customHeight="1">
      <c r="O40654" s="5" t="s">
        <v>355</v>
      </c>
      <c r="P40654" s="5" t="s">
        <v>355</v>
      </c>
      <c r="Q40654" s="5" t="s">
        <v>355</v>
      </c>
    </row>
    <row r="40655" ht="16.5" customHeight="1">
      <c r="O40655" s="5" t="s">
        <v>355</v>
      </c>
      <c r="P40655" s="5" t="s">
        <v>355</v>
      </c>
      <c r="Q40655" s="5" t="s">
        <v>355</v>
      </c>
    </row>
    <row r="40656" ht="16.5" customHeight="1">
      <c r="O40656" s="5" t="s">
        <v>355</v>
      </c>
      <c r="P40656" s="5" t="s">
        <v>355</v>
      </c>
      <c r="Q40656" s="5" t="s">
        <v>355</v>
      </c>
    </row>
    <row r="40657" ht="16.5" customHeight="1">
      <c r="O40657" s="5" t="s">
        <v>355</v>
      </c>
      <c r="P40657" s="5" t="s">
        <v>355</v>
      </c>
      <c r="Q40657" s="5" t="s">
        <v>355</v>
      </c>
    </row>
    <row r="40658" ht="16.5" customHeight="1">
      <c r="O40658" s="5" t="s">
        <v>355</v>
      </c>
      <c r="P40658" s="5" t="s">
        <v>355</v>
      </c>
      <c r="Q40658" s="5" t="s">
        <v>355</v>
      </c>
    </row>
    <row r="40659" ht="16.5" customHeight="1">
      <c r="O40659" s="5" t="s">
        <v>355</v>
      </c>
      <c r="P40659" s="5" t="s">
        <v>355</v>
      </c>
      <c r="Q40659" s="5" t="s">
        <v>355</v>
      </c>
    </row>
    <row r="40660" ht="16.5" customHeight="1">
      <c r="O40660" s="5" t="s">
        <v>355</v>
      </c>
      <c r="P40660" s="5" t="s">
        <v>355</v>
      </c>
      <c r="Q40660" s="5" t="s">
        <v>355</v>
      </c>
    </row>
    <row r="40661" ht="16.5" customHeight="1">
      <c r="O40661" s="5" t="s">
        <v>355</v>
      </c>
      <c r="P40661" s="5" t="s">
        <v>355</v>
      </c>
      <c r="Q40661" s="5" t="s">
        <v>355</v>
      </c>
    </row>
    <row r="40662" ht="16.5" customHeight="1">
      <c r="O40662" s="5" t="s">
        <v>355</v>
      </c>
      <c r="P40662" s="5" t="s">
        <v>355</v>
      </c>
      <c r="Q40662" s="5" t="s">
        <v>355</v>
      </c>
    </row>
    <row r="40663" ht="16.5" customHeight="1">
      <c r="O40663" s="5" t="s">
        <v>355</v>
      </c>
      <c r="P40663" s="5" t="s">
        <v>355</v>
      </c>
      <c r="Q40663" s="5" t="s">
        <v>355</v>
      </c>
    </row>
    <row r="40664" ht="16.5" customHeight="1">
      <c r="O40664" s="5" t="s">
        <v>355</v>
      </c>
      <c r="P40664" s="5" t="s">
        <v>355</v>
      </c>
      <c r="Q40664" s="5" t="s">
        <v>355</v>
      </c>
    </row>
    <row r="40665" ht="16.5" customHeight="1">
      <c r="O40665" s="5" t="s">
        <v>355</v>
      </c>
      <c r="P40665" s="5" t="s">
        <v>355</v>
      </c>
      <c r="Q40665" s="5" t="s">
        <v>355</v>
      </c>
    </row>
    <row r="40666" ht="16.5" customHeight="1">
      <c r="O40666" s="5" t="s">
        <v>355</v>
      </c>
      <c r="P40666" s="5" t="s">
        <v>355</v>
      </c>
      <c r="Q40666" s="5" t="s">
        <v>355</v>
      </c>
    </row>
    <row r="40667" ht="16.5" customHeight="1">
      <c r="O40667" s="5" t="s">
        <v>355</v>
      </c>
      <c r="P40667" s="5" t="s">
        <v>355</v>
      </c>
      <c r="Q40667" s="5" t="s">
        <v>355</v>
      </c>
    </row>
    <row r="40668" ht="16.5" customHeight="1">
      <c r="O40668" s="5" t="s">
        <v>355</v>
      </c>
      <c r="P40668" s="5" t="s">
        <v>355</v>
      </c>
      <c r="Q40668" s="5" t="s">
        <v>355</v>
      </c>
    </row>
    <row r="40669" ht="16.5" customHeight="1">
      <c r="O40669" s="5" t="s">
        <v>355</v>
      </c>
      <c r="P40669" s="5" t="s">
        <v>355</v>
      </c>
      <c r="Q40669" s="5" t="s">
        <v>355</v>
      </c>
    </row>
    <row r="40670" ht="16.5" customHeight="1">
      <c r="O40670" s="5" t="s">
        <v>355</v>
      </c>
      <c r="P40670" s="5" t="s">
        <v>355</v>
      </c>
      <c r="Q40670" s="5" t="s">
        <v>355</v>
      </c>
    </row>
    <row r="40671" ht="16.5" customHeight="1">
      <c r="O40671" s="5" t="s">
        <v>355</v>
      </c>
      <c r="P40671" s="5" t="s">
        <v>355</v>
      </c>
      <c r="Q40671" s="5" t="s">
        <v>355</v>
      </c>
    </row>
    <row r="40672" ht="16.5" customHeight="1">
      <c r="O40672" s="5" t="s">
        <v>355</v>
      </c>
      <c r="P40672" s="5" t="s">
        <v>355</v>
      </c>
      <c r="Q40672" s="5" t="s">
        <v>355</v>
      </c>
    </row>
    <row r="40673" ht="16.5" customHeight="1">
      <c r="O40673" s="5" t="s">
        <v>355</v>
      </c>
      <c r="P40673" s="5" t="s">
        <v>355</v>
      </c>
      <c r="Q40673" s="5" t="s">
        <v>355</v>
      </c>
    </row>
    <row r="40674" ht="16.5" customHeight="1">
      <c r="O40674" s="5" t="s">
        <v>355</v>
      </c>
      <c r="P40674" s="5" t="s">
        <v>355</v>
      </c>
      <c r="Q40674" s="5" t="s">
        <v>355</v>
      </c>
    </row>
    <row r="40675" ht="16.5" customHeight="1">
      <c r="O40675" s="5" t="s">
        <v>355</v>
      </c>
      <c r="P40675" s="5" t="s">
        <v>355</v>
      </c>
      <c r="Q40675" s="5" t="s">
        <v>355</v>
      </c>
    </row>
    <row r="40676" ht="16.5" customHeight="1">
      <c r="O40676" s="5" t="s">
        <v>355</v>
      </c>
      <c r="P40676" s="5" t="s">
        <v>355</v>
      </c>
      <c r="Q40676" s="5" t="s">
        <v>355</v>
      </c>
    </row>
    <row r="40677" ht="16.5" customHeight="1">
      <c r="O40677" s="5" t="s">
        <v>355</v>
      </c>
      <c r="P40677" s="5" t="s">
        <v>355</v>
      </c>
      <c r="Q40677" s="5" t="s">
        <v>355</v>
      </c>
    </row>
    <row r="40678" ht="16.5" customHeight="1">
      <c r="O40678" s="5" t="s">
        <v>355</v>
      </c>
      <c r="P40678" s="5" t="s">
        <v>355</v>
      </c>
      <c r="Q40678" s="5" t="s">
        <v>355</v>
      </c>
    </row>
    <row r="40679" ht="16.5" customHeight="1">
      <c r="O40679" s="5" t="s">
        <v>355</v>
      </c>
      <c r="P40679" s="5" t="s">
        <v>355</v>
      </c>
      <c r="Q40679" s="5" t="s">
        <v>355</v>
      </c>
    </row>
    <row r="40680" ht="16.5" customHeight="1">
      <c r="O40680" s="5" t="s">
        <v>355</v>
      </c>
      <c r="P40680" s="5" t="s">
        <v>355</v>
      </c>
      <c r="Q40680" s="5" t="s">
        <v>355</v>
      </c>
    </row>
    <row r="40681" ht="16.5" customHeight="1">
      <c r="O40681" s="5" t="s">
        <v>355</v>
      </c>
      <c r="P40681" s="5" t="s">
        <v>355</v>
      </c>
      <c r="Q40681" s="5" t="s">
        <v>355</v>
      </c>
    </row>
    <row r="40682" ht="16.5" customHeight="1">
      <c r="O40682" s="5" t="s">
        <v>355</v>
      </c>
      <c r="P40682" s="5" t="s">
        <v>355</v>
      </c>
      <c r="Q40682" s="5" t="s">
        <v>355</v>
      </c>
    </row>
    <row r="40683" ht="16.5" customHeight="1">
      <c r="O40683" s="5" t="s">
        <v>355</v>
      </c>
      <c r="P40683" s="5" t="s">
        <v>355</v>
      </c>
      <c r="Q40683" s="5" t="s">
        <v>355</v>
      </c>
    </row>
    <row r="40684" ht="16.5" customHeight="1">
      <c r="O40684" s="5" t="s">
        <v>355</v>
      </c>
      <c r="P40684" s="5" t="s">
        <v>355</v>
      </c>
      <c r="Q40684" s="5" t="s">
        <v>355</v>
      </c>
    </row>
    <row r="40685" ht="16.5" customHeight="1">
      <c r="O40685" s="5" t="s">
        <v>355</v>
      </c>
      <c r="P40685" s="5" t="s">
        <v>355</v>
      </c>
      <c r="Q40685" s="5" t="s">
        <v>355</v>
      </c>
    </row>
    <row r="40686" ht="16.5" customHeight="1">
      <c r="O40686" s="5" t="s">
        <v>355</v>
      </c>
      <c r="P40686" s="5" t="s">
        <v>355</v>
      </c>
      <c r="Q40686" s="5" t="s">
        <v>355</v>
      </c>
    </row>
    <row r="40687" ht="16.5" customHeight="1">
      <c r="O40687" s="5" t="s">
        <v>355</v>
      </c>
      <c r="P40687" s="5" t="s">
        <v>355</v>
      </c>
      <c r="Q40687" s="5" t="s">
        <v>355</v>
      </c>
    </row>
    <row r="40688" ht="16.5" customHeight="1">
      <c r="O40688" s="5" t="s">
        <v>355</v>
      </c>
      <c r="P40688" s="5" t="s">
        <v>355</v>
      </c>
      <c r="Q40688" s="5" t="s">
        <v>355</v>
      </c>
    </row>
    <row r="40689" ht="16.5" customHeight="1">
      <c r="O40689" s="5" t="s">
        <v>355</v>
      </c>
      <c r="P40689" s="5" t="s">
        <v>355</v>
      </c>
      <c r="Q40689" s="5" t="s">
        <v>355</v>
      </c>
    </row>
    <row r="40690" ht="16.5" customHeight="1">
      <c r="O40690" s="5" t="s">
        <v>355</v>
      </c>
      <c r="P40690" s="5" t="s">
        <v>355</v>
      </c>
      <c r="Q40690" s="5" t="s">
        <v>355</v>
      </c>
    </row>
    <row r="40691" ht="16.5" customHeight="1">
      <c r="O40691" s="5" t="s">
        <v>355</v>
      </c>
      <c r="P40691" s="5" t="s">
        <v>355</v>
      </c>
      <c r="Q40691" s="5" t="s">
        <v>355</v>
      </c>
    </row>
    <row r="40692" ht="16.5" customHeight="1">
      <c r="O40692" s="5" t="s">
        <v>355</v>
      </c>
      <c r="P40692" s="5" t="s">
        <v>355</v>
      </c>
      <c r="Q40692" s="5" t="s">
        <v>355</v>
      </c>
    </row>
    <row r="40693" ht="16.5" customHeight="1">
      <c r="O40693" s="5" t="s">
        <v>355</v>
      </c>
      <c r="P40693" s="5" t="s">
        <v>355</v>
      </c>
      <c r="Q40693" s="5" t="s">
        <v>355</v>
      </c>
    </row>
    <row r="40694" ht="16.5" customHeight="1">
      <c r="O40694" s="5" t="s">
        <v>355</v>
      </c>
      <c r="P40694" s="5" t="s">
        <v>355</v>
      </c>
      <c r="Q40694" s="5" t="s">
        <v>355</v>
      </c>
    </row>
    <row r="40695" ht="16.5" customHeight="1">
      <c r="O40695" s="5" t="s">
        <v>355</v>
      </c>
      <c r="P40695" s="5" t="s">
        <v>355</v>
      </c>
      <c r="Q40695" s="5" t="s">
        <v>355</v>
      </c>
    </row>
    <row r="40696" ht="16.5" customHeight="1">
      <c r="O40696" s="5" t="s">
        <v>355</v>
      </c>
      <c r="P40696" s="5" t="s">
        <v>355</v>
      </c>
      <c r="Q40696" s="5" t="s">
        <v>355</v>
      </c>
    </row>
    <row r="40697" ht="16.5" customHeight="1">
      <c r="O40697" s="5" t="s">
        <v>355</v>
      </c>
      <c r="P40697" s="5" t="s">
        <v>355</v>
      </c>
      <c r="Q40697" s="5" t="s">
        <v>355</v>
      </c>
    </row>
    <row r="40698" ht="16.5" customHeight="1">
      <c r="O40698" s="5" t="s">
        <v>355</v>
      </c>
      <c r="P40698" s="5" t="s">
        <v>355</v>
      </c>
      <c r="Q40698" s="5" t="s">
        <v>355</v>
      </c>
    </row>
    <row r="40699" ht="16.5" customHeight="1">
      <c r="O40699" s="5" t="s">
        <v>355</v>
      </c>
      <c r="P40699" s="5" t="s">
        <v>355</v>
      </c>
      <c r="Q40699" s="5" t="s">
        <v>355</v>
      </c>
    </row>
    <row r="40700" ht="16.5" customHeight="1">
      <c r="O40700" s="5" t="s">
        <v>355</v>
      </c>
      <c r="P40700" s="5" t="s">
        <v>355</v>
      </c>
      <c r="Q40700" s="5" t="s">
        <v>355</v>
      </c>
    </row>
    <row r="40701" ht="16.5" customHeight="1">
      <c r="O40701" s="5" t="s">
        <v>355</v>
      </c>
      <c r="P40701" s="5" t="s">
        <v>355</v>
      </c>
      <c r="Q40701" s="5" t="s">
        <v>355</v>
      </c>
    </row>
    <row r="40702" ht="16.5" customHeight="1">
      <c r="O40702" s="5" t="s">
        <v>355</v>
      </c>
      <c r="P40702" s="5" t="s">
        <v>355</v>
      </c>
      <c r="Q40702" s="5" t="s">
        <v>355</v>
      </c>
    </row>
    <row r="40703" ht="16.5" customHeight="1">
      <c r="O40703" s="5" t="s">
        <v>355</v>
      </c>
      <c r="P40703" s="5" t="s">
        <v>355</v>
      </c>
      <c r="Q40703" s="5" t="s">
        <v>355</v>
      </c>
    </row>
    <row r="40704" ht="16.5" customHeight="1">
      <c r="O40704" s="5" t="s">
        <v>355</v>
      </c>
      <c r="P40704" s="5" t="s">
        <v>355</v>
      </c>
      <c r="Q40704" s="5" t="s">
        <v>355</v>
      </c>
    </row>
    <row r="40705" ht="16.5" customHeight="1">
      <c r="O40705" s="5" t="s">
        <v>355</v>
      </c>
      <c r="P40705" s="5" t="s">
        <v>355</v>
      </c>
      <c r="Q40705" s="5" t="s">
        <v>355</v>
      </c>
    </row>
    <row r="40706" ht="16.5" customHeight="1">
      <c r="O40706" s="5" t="s">
        <v>355</v>
      </c>
      <c r="P40706" s="5" t="s">
        <v>355</v>
      </c>
      <c r="Q40706" s="5" t="s">
        <v>355</v>
      </c>
    </row>
    <row r="40707" ht="16.5" customHeight="1">
      <c r="O40707" s="5" t="s">
        <v>355</v>
      </c>
      <c r="P40707" s="5" t="s">
        <v>355</v>
      </c>
      <c r="Q40707" s="5" t="s">
        <v>355</v>
      </c>
    </row>
    <row r="40708" ht="16.5" customHeight="1">
      <c r="O40708" s="5" t="s">
        <v>355</v>
      </c>
      <c r="P40708" s="5" t="s">
        <v>355</v>
      </c>
      <c r="Q40708" s="5" t="s">
        <v>355</v>
      </c>
    </row>
    <row r="40709" ht="16.5" customHeight="1">
      <c r="O40709" s="5" t="s">
        <v>355</v>
      </c>
      <c r="P40709" s="5" t="s">
        <v>355</v>
      </c>
      <c r="Q40709" s="5" t="s">
        <v>355</v>
      </c>
    </row>
    <row r="40710" ht="16.5" customHeight="1">
      <c r="O40710" s="5" t="s">
        <v>355</v>
      </c>
      <c r="P40710" s="5" t="s">
        <v>355</v>
      </c>
      <c r="Q40710" s="5" t="s">
        <v>355</v>
      </c>
    </row>
    <row r="40711" ht="16.5" customHeight="1">
      <c r="O40711" s="5" t="s">
        <v>355</v>
      </c>
      <c r="P40711" s="5" t="s">
        <v>355</v>
      </c>
      <c r="Q40711" s="5" t="s">
        <v>355</v>
      </c>
    </row>
    <row r="40712" ht="16.5" customHeight="1">
      <c r="O40712" s="5" t="s">
        <v>355</v>
      </c>
      <c r="P40712" s="5" t="s">
        <v>355</v>
      </c>
      <c r="Q40712" s="5" t="s">
        <v>355</v>
      </c>
    </row>
    <row r="40713" ht="16.5" customHeight="1">
      <c r="O40713" s="5" t="s">
        <v>355</v>
      </c>
      <c r="P40713" s="5" t="s">
        <v>355</v>
      </c>
      <c r="Q40713" s="5" t="s">
        <v>355</v>
      </c>
    </row>
    <row r="40714" ht="16.5" customHeight="1">
      <c r="O40714" s="5" t="s">
        <v>355</v>
      </c>
      <c r="P40714" s="5" t="s">
        <v>355</v>
      </c>
      <c r="Q40714" s="5" t="s">
        <v>355</v>
      </c>
    </row>
    <row r="40715" ht="16.5" customHeight="1">
      <c r="O40715" s="5" t="s">
        <v>355</v>
      </c>
      <c r="P40715" s="5" t="s">
        <v>355</v>
      </c>
      <c r="Q40715" s="5" t="s">
        <v>355</v>
      </c>
    </row>
    <row r="40716" ht="16.5" customHeight="1">
      <c r="O40716" s="5" t="s">
        <v>355</v>
      </c>
      <c r="P40716" s="5" t="s">
        <v>355</v>
      </c>
      <c r="Q40716" s="5" t="s">
        <v>355</v>
      </c>
    </row>
    <row r="40717" ht="16.5" customHeight="1">
      <c r="O40717" s="5" t="s">
        <v>355</v>
      </c>
      <c r="P40717" s="5" t="s">
        <v>355</v>
      </c>
      <c r="Q40717" s="5" t="s">
        <v>355</v>
      </c>
    </row>
    <row r="40718" ht="16.5" customHeight="1">
      <c r="O40718" s="5" t="s">
        <v>355</v>
      </c>
      <c r="P40718" s="5" t="s">
        <v>355</v>
      </c>
      <c r="Q40718" s="5" t="s">
        <v>355</v>
      </c>
    </row>
    <row r="40719" ht="16.5" customHeight="1">
      <c r="O40719" s="5" t="s">
        <v>355</v>
      </c>
      <c r="P40719" s="5" t="s">
        <v>355</v>
      </c>
      <c r="Q40719" s="5" t="s">
        <v>355</v>
      </c>
    </row>
    <row r="40720" ht="16.5" customHeight="1">
      <c r="O40720" s="5" t="s">
        <v>355</v>
      </c>
      <c r="P40720" s="5" t="s">
        <v>355</v>
      </c>
      <c r="Q40720" s="5" t="s">
        <v>355</v>
      </c>
    </row>
    <row r="40721" ht="16.5" customHeight="1">
      <c r="O40721" s="5" t="s">
        <v>355</v>
      </c>
      <c r="P40721" s="5" t="s">
        <v>355</v>
      </c>
      <c r="Q40721" s="5" t="s">
        <v>355</v>
      </c>
    </row>
    <row r="40722" ht="16.5" customHeight="1">
      <c r="O40722" s="5" t="s">
        <v>355</v>
      </c>
      <c r="P40722" s="5" t="s">
        <v>355</v>
      </c>
      <c r="Q40722" s="5" t="s">
        <v>355</v>
      </c>
    </row>
    <row r="40723" ht="16.5" customHeight="1">
      <c r="O40723" s="5" t="s">
        <v>355</v>
      </c>
      <c r="P40723" s="5" t="s">
        <v>355</v>
      </c>
      <c r="Q40723" s="5" t="s">
        <v>355</v>
      </c>
    </row>
    <row r="40724" ht="16.5" customHeight="1">
      <c r="O40724" s="5" t="s">
        <v>355</v>
      </c>
      <c r="P40724" s="5" t="s">
        <v>355</v>
      </c>
      <c r="Q40724" s="5" t="s">
        <v>355</v>
      </c>
    </row>
    <row r="40725" ht="16.5" customHeight="1">
      <c r="O40725" s="5" t="s">
        <v>355</v>
      </c>
      <c r="P40725" s="5" t="s">
        <v>355</v>
      </c>
      <c r="Q40725" s="5" t="s">
        <v>355</v>
      </c>
    </row>
    <row r="40726" ht="16.5" customHeight="1">
      <c r="O40726" s="5" t="s">
        <v>355</v>
      </c>
      <c r="P40726" s="5" t="s">
        <v>355</v>
      </c>
      <c r="Q40726" s="5" t="s">
        <v>355</v>
      </c>
    </row>
    <row r="40727" ht="16.5" customHeight="1">
      <c r="O40727" s="5" t="s">
        <v>355</v>
      </c>
      <c r="P40727" s="5" t="s">
        <v>355</v>
      </c>
      <c r="Q40727" s="5" t="s">
        <v>355</v>
      </c>
    </row>
    <row r="40728" ht="16.5" customHeight="1">
      <c r="O40728" s="5" t="s">
        <v>355</v>
      </c>
      <c r="P40728" s="5" t="s">
        <v>355</v>
      </c>
      <c r="Q40728" s="5" t="s">
        <v>355</v>
      </c>
    </row>
    <row r="40729" ht="16.5" customHeight="1">
      <c r="O40729" s="5" t="s">
        <v>355</v>
      </c>
      <c r="P40729" s="5" t="s">
        <v>355</v>
      </c>
      <c r="Q40729" s="5" t="s">
        <v>355</v>
      </c>
    </row>
    <row r="40730" ht="16.5" customHeight="1">
      <c r="O40730" s="5" t="s">
        <v>355</v>
      </c>
      <c r="P40730" s="5" t="s">
        <v>355</v>
      </c>
      <c r="Q40730" s="5" t="s">
        <v>355</v>
      </c>
    </row>
    <row r="40731" ht="16.5" customHeight="1">
      <c r="O40731" s="5" t="s">
        <v>355</v>
      </c>
      <c r="P40731" s="5" t="s">
        <v>355</v>
      </c>
      <c r="Q40731" s="5" t="s">
        <v>355</v>
      </c>
    </row>
    <row r="40732" ht="16.5" customHeight="1">
      <c r="O40732" s="5" t="s">
        <v>355</v>
      </c>
      <c r="P40732" s="5" t="s">
        <v>355</v>
      </c>
      <c r="Q40732" s="5" t="s">
        <v>355</v>
      </c>
    </row>
    <row r="40733" ht="16.5" customHeight="1">
      <c r="O40733" s="5" t="s">
        <v>355</v>
      </c>
      <c r="P40733" s="5" t="s">
        <v>355</v>
      </c>
      <c r="Q40733" s="5" t="s">
        <v>355</v>
      </c>
    </row>
    <row r="40734" ht="16.5" customHeight="1">
      <c r="O40734" s="5" t="s">
        <v>355</v>
      </c>
      <c r="P40734" s="5" t="s">
        <v>355</v>
      </c>
      <c r="Q40734" s="5" t="s">
        <v>355</v>
      </c>
    </row>
    <row r="40735" ht="16.5" customHeight="1">
      <c r="O40735" s="5" t="s">
        <v>355</v>
      </c>
      <c r="P40735" s="5" t="s">
        <v>355</v>
      </c>
      <c r="Q40735" s="5" t="s">
        <v>355</v>
      </c>
    </row>
    <row r="40736" ht="16.5" customHeight="1">
      <c r="O40736" s="5" t="s">
        <v>355</v>
      </c>
      <c r="P40736" s="5" t="s">
        <v>355</v>
      </c>
      <c r="Q40736" s="5" t="s">
        <v>355</v>
      </c>
    </row>
    <row r="40737" ht="16.5" customHeight="1">
      <c r="O40737" s="5" t="s">
        <v>355</v>
      </c>
      <c r="P40737" s="5" t="s">
        <v>355</v>
      </c>
      <c r="Q40737" s="5" t="s">
        <v>355</v>
      </c>
    </row>
    <row r="40738" ht="16.5" customHeight="1">
      <c r="O40738" s="5" t="s">
        <v>355</v>
      </c>
      <c r="P40738" s="5" t="s">
        <v>355</v>
      </c>
      <c r="Q40738" s="5" t="s">
        <v>355</v>
      </c>
    </row>
    <row r="40739" ht="16.5" customHeight="1">
      <c r="O40739" s="5" t="s">
        <v>355</v>
      </c>
      <c r="P40739" s="5" t="s">
        <v>355</v>
      </c>
      <c r="Q40739" s="5" t="s">
        <v>355</v>
      </c>
    </row>
    <row r="40740" ht="16.5" customHeight="1">
      <c r="O40740" s="5" t="s">
        <v>355</v>
      </c>
      <c r="P40740" s="5" t="s">
        <v>355</v>
      </c>
      <c r="Q40740" s="5" t="s">
        <v>355</v>
      </c>
    </row>
    <row r="40741" ht="16.5" customHeight="1">
      <c r="O40741" s="5" t="s">
        <v>355</v>
      </c>
      <c r="P40741" s="5" t="s">
        <v>355</v>
      </c>
      <c r="Q40741" s="5" t="s">
        <v>355</v>
      </c>
    </row>
    <row r="40742" ht="16.5" customHeight="1">
      <c r="O40742" s="5" t="s">
        <v>355</v>
      </c>
      <c r="P40742" s="5" t="s">
        <v>355</v>
      </c>
      <c r="Q40742" s="5" t="s">
        <v>355</v>
      </c>
    </row>
    <row r="40743" ht="16.5" customHeight="1">
      <c r="O40743" s="5" t="s">
        <v>355</v>
      </c>
      <c r="P40743" s="5" t="s">
        <v>355</v>
      </c>
      <c r="Q40743" s="5" t="s">
        <v>355</v>
      </c>
    </row>
    <row r="40744" ht="16.5" customHeight="1">
      <c r="O40744" s="5" t="s">
        <v>355</v>
      </c>
      <c r="P40744" s="5" t="s">
        <v>355</v>
      </c>
      <c r="Q40744" s="5" t="s">
        <v>355</v>
      </c>
    </row>
    <row r="40745" ht="16.5" customHeight="1">
      <c r="O40745" s="5" t="s">
        <v>355</v>
      </c>
      <c r="P40745" s="5" t="s">
        <v>355</v>
      </c>
      <c r="Q40745" s="5" t="s">
        <v>355</v>
      </c>
    </row>
    <row r="40746" ht="16.5" customHeight="1">
      <c r="O40746" s="5" t="s">
        <v>355</v>
      </c>
      <c r="P40746" s="5" t="s">
        <v>355</v>
      </c>
      <c r="Q40746" s="5" t="s">
        <v>355</v>
      </c>
    </row>
    <row r="40747" ht="16.5" customHeight="1">
      <c r="O40747" s="5" t="s">
        <v>355</v>
      </c>
      <c r="P40747" s="5" t="s">
        <v>355</v>
      </c>
      <c r="Q40747" s="5" t="s">
        <v>355</v>
      </c>
    </row>
    <row r="40748" ht="16.5" customHeight="1">
      <c r="O40748" s="5" t="s">
        <v>355</v>
      </c>
      <c r="P40748" s="5" t="s">
        <v>355</v>
      </c>
      <c r="Q40748" s="5" t="s">
        <v>355</v>
      </c>
    </row>
    <row r="40749" ht="16.5" customHeight="1">
      <c r="O40749" s="5" t="s">
        <v>355</v>
      </c>
      <c r="P40749" s="5" t="s">
        <v>355</v>
      </c>
      <c r="Q40749" s="5" t="s">
        <v>355</v>
      </c>
    </row>
    <row r="40750" ht="16.5" customHeight="1">
      <c r="O40750" s="5" t="s">
        <v>355</v>
      </c>
      <c r="P40750" s="5" t="s">
        <v>355</v>
      </c>
      <c r="Q40750" s="5" t="s">
        <v>355</v>
      </c>
    </row>
    <row r="40751" ht="16.5" customHeight="1">
      <c r="O40751" s="5" t="s">
        <v>355</v>
      </c>
      <c r="P40751" s="5" t="s">
        <v>355</v>
      </c>
      <c r="Q40751" s="5" t="s">
        <v>355</v>
      </c>
    </row>
    <row r="40752" ht="16.5" customHeight="1">
      <c r="O40752" s="5" t="s">
        <v>355</v>
      </c>
      <c r="P40752" s="5" t="s">
        <v>355</v>
      </c>
      <c r="Q40752" s="5" t="s">
        <v>355</v>
      </c>
    </row>
    <row r="40753" ht="16.5" customHeight="1">
      <c r="O40753" s="5" t="s">
        <v>355</v>
      </c>
      <c r="P40753" s="5" t="s">
        <v>355</v>
      </c>
      <c r="Q40753" s="5" t="s">
        <v>355</v>
      </c>
    </row>
    <row r="40754" ht="16.5" customHeight="1">
      <c r="O40754" s="5" t="s">
        <v>355</v>
      </c>
      <c r="P40754" s="5" t="s">
        <v>355</v>
      </c>
      <c r="Q40754" s="5" t="s">
        <v>355</v>
      </c>
    </row>
    <row r="40755" ht="16.5" customHeight="1">
      <c r="O40755" s="5" t="s">
        <v>355</v>
      </c>
      <c r="P40755" s="5" t="s">
        <v>355</v>
      </c>
      <c r="Q40755" s="5" t="s">
        <v>355</v>
      </c>
    </row>
    <row r="40756" ht="16.5" customHeight="1">
      <c r="O40756" s="5" t="s">
        <v>355</v>
      </c>
      <c r="P40756" s="5" t="s">
        <v>355</v>
      </c>
      <c r="Q40756" s="5" t="s">
        <v>355</v>
      </c>
    </row>
    <row r="40757" ht="16.5" customHeight="1">
      <c r="O40757" s="5" t="s">
        <v>355</v>
      </c>
      <c r="P40757" s="5" t="s">
        <v>355</v>
      </c>
      <c r="Q40757" s="5" t="s">
        <v>355</v>
      </c>
    </row>
    <row r="40758" ht="16.5" customHeight="1">
      <c r="O40758" s="5" t="s">
        <v>355</v>
      </c>
      <c r="P40758" s="5" t="s">
        <v>355</v>
      </c>
      <c r="Q40758" s="5" t="s">
        <v>355</v>
      </c>
    </row>
    <row r="40759" ht="16.5" customHeight="1">
      <c r="O40759" s="5" t="s">
        <v>355</v>
      </c>
      <c r="P40759" s="5" t="s">
        <v>355</v>
      </c>
      <c r="Q40759" s="5" t="s">
        <v>355</v>
      </c>
    </row>
    <row r="40760" ht="16.5" customHeight="1">
      <c r="O40760" s="5" t="s">
        <v>355</v>
      </c>
      <c r="P40760" s="5" t="s">
        <v>355</v>
      </c>
      <c r="Q40760" s="5" t="s">
        <v>355</v>
      </c>
    </row>
    <row r="40761" ht="16.5" customHeight="1">
      <c r="O40761" s="5" t="s">
        <v>355</v>
      </c>
      <c r="P40761" s="5" t="s">
        <v>355</v>
      </c>
      <c r="Q40761" s="5" t="s">
        <v>355</v>
      </c>
    </row>
    <row r="40762" ht="16.5" customHeight="1">
      <c r="O40762" s="5" t="s">
        <v>355</v>
      </c>
      <c r="P40762" s="5" t="s">
        <v>355</v>
      </c>
      <c r="Q40762" s="5" t="s">
        <v>355</v>
      </c>
    </row>
    <row r="40763" ht="16.5" customHeight="1">
      <c r="O40763" s="5" t="s">
        <v>355</v>
      </c>
      <c r="P40763" s="5" t="s">
        <v>355</v>
      </c>
      <c r="Q40763" s="5" t="s">
        <v>355</v>
      </c>
    </row>
    <row r="40764" ht="16.5" customHeight="1">
      <c r="O40764" s="5" t="s">
        <v>355</v>
      </c>
      <c r="P40764" s="5" t="s">
        <v>355</v>
      </c>
      <c r="Q40764" s="5" t="s">
        <v>355</v>
      </c>
    </row>
    <row r="40765" ht="16.5" customHeight="1">
      <c r="O40765" s="5" t="s">
        <v>355</v>
      </c>
      <c r="P40765" s="5" t="s">
        <v>355</v>
      </c>
      <c r="Q40765" s="5" t="s">
        <v>355</v>
      </c>
    </row>
    <row r="40766" ht="16.5" customHeight="1">
      <c r="O40766" s="5" t="s">
        <v>355</v>
      </c>
      <c r="P40766" s="5" t="s">
        <v>355</v>
      </c>
      <c r="Q40766" s="5" t="s">
        <v>355</v>
      </c>
    </row>
    <row r="40767" ht="16.5" customHeight="1">
      <c r="O40767" s="5" t="s">
        <v>355</v>
      </c>
      <c r="P40767" s="5" t="s">
        <v>355</v>
      </c>
      <c r="Q40767" s="5" t="s">
        <v>355</v>
      </c>
    </row>
    <row r="40768" ht="16.5" customHeight="1">
      <c r="O40768" s="5" t="s">
        <v>355</v>
      </c>
      <c r="P40768" s="5" t="s">
        <v>355</v>
      </c>
      <c r="Q40768" s="5" t="s">
        <v>355</v>
      </c>
    </row>
    <row r="40769" ht="16.5" customHeight="1">
      <c r="O40769" s="5" t="s">
        <v>355</v>
      </c>
      <c r="P40769" s="5" t="s">
        <v>355</v>
      </c>
      <c r="Q40769" s="5" t="s">
        <v>355</v>
      </c>
    </row>
    <row r="40770" ht="16.5" customHeight="1">
      <c r="O40770" s="5" t="s">
        <v>355</v>
      </c>
      <c r="P40770" s="5" t="s">
        <v>355</v>
      </c>
      <c r="Q40770" s="5" t="s">
        <v>355</v>
      </c>
    </row>
    <row r="40771" ht="16.5" customHeight="1">
      <c r="O40771" s="5" t="s">
        <v>355</v>
      </c>
      <c r="P40771" s="5" t="s">
        <v>355</v>
      </c>
      <c r="Q40771" s="5" t="s">
        <v>355</v>
      </c>
    </row>
    <row r="40772" ht="16.5" customHeight="1">
      <c r="O40772" s="5" t="s">
        <v>355</v>
      </c>
      <c r="P40772" s="5" t="s">
        <v>355</v>
      </c>
      <c r="Q40772" s="5" t="s">
        <v>355</v>
      </c>
    </row>
    <row r="40773" ht="16.5" customHeight="1">
      <c r="O40773" s="5" t="s">
        <v>355</v>
      </c>
      <c r="P40773" s="5" t="s">
        <v>355</v>
      </c>
      <c r="Q40773" s="5" t="s">
        <v>355</v>
      </c>
    </row>
    <row r="40774" ht="16.5" customHeight="1">
      <c r="O40774" s="5" t="s">
        <v>355</v>
      </c>
      <c r="P40774" s="5" t="s">
        <v>355</v>
      </c>
      <c r="Q40774" s="5" t="s">
        <v>355</v>
      </c>
    </row>
    <row r="40775" ht="16.5" customHeight="1">
      <c r="O40775" s="5" t="s">
        <v>355</v>
      </c>
      <c r="P40775" s="5" t="s">
        <v>355</v>
      </c>
      <c r="Q40775" s="5" t="s">
        <v>355</v>
      </c>
    </row>
    <row r="40776" ht="16.5" customHeight="1">
      <c r="O40776" s="5" t="s">
        <v>355</v>
      </c>
      <c r="P40776" s="5" t="s">
        <v>355</v>
      </c>
      <c r="Q40776" s="5" t="s">
        <v>355</v>
      </c>
    </row>
    <row r="40777" ht="16.5" customHeight="1">
      <c r="O40777" s="5" t="s">
        <v>355</v>
      </c>
      <c r="P40777" s="5" t="s">
        <v>355</v>
      </c>
      <c r="Q40777" s="5" t="s">
        <v>355</v>
      </c>
    </row>
    <row r="40778" ht="16.5" customHeight="1">
      <c r="O40778" s="5" t="s">
        <v>355</v>
      </c>
      <c r="P40778" s="5" t="s">
        <v>355</v>
      </c>
      <c r="Q40778" s="5" t="s">
        <v>355</v>
      </c>
    </row>
    <row r="40779" ht="16.5" customHeight="1">
      <c r="O40779" s="5" t="s">
        <v>355</v>
      </c>
      <c r="P40779" s="5" t="s">
        <v>355</v>
      </c>
      <c r="Q40779" s="5" t="s">
        <v>355</v>
      </c>
    </row>
    <row r="40780" ht="16.5" customHeight="1">
      <c r="O40780" s="5" t="s">
        <v>355</v>
      </c>
      <c r="P40780" s="5" t="s">
        <v>355</v>
      </c>
      <c r="Q40780" s="5" t="s">
        <v>355</v>
      </c>
    </row>
    <row r="40781" ht="16.5" customHeight="1">
      <c r="O40781" s="5" t="s">
        <v>355</v>
      </c>
      <c r="P40781" s="5" t="s">
        <v>355</v>
      </c>
      <c r="Q40781" s="5" t="s">
        <v>355</v>
      </c>
    </row>
    <row r="40782" ht="16.5" customHeight="1">
      <c r="O40782" s="5" t="s">
        <v>355</v>
      </c>
      <c r="P40782" s="5" t="s">
        <v>355</v>
      </c>
      <c r="Q40782" s="5" t="s">
        <v>355</v>
      </c>
    </row>
    <row r="40783" ht="16.5" customHeight="1">
      <c r="O40783" s="5" t="s">
        <v>355</v>
      </c>
      <c r="P40783" s="5" t="s">
        <v>355</v>
      </c>
      <c r="Q40783" s="5" t="s">
        <v>355</v>
      </c>
    </row>
    <row r="40784" ht="16.5" customHeight="1">
      <c r="O40784" s="5" t="s">
        <v>355</v>
      </c>
      <c r="P40784" s="5" t="s">
        <v>355</v>
      </c>
      <c r="Q40784" s="5" t="s">
        <v>355</v>
      </c>
    </row>
    <row r="40785" ht="16.5" customHeight="1">
      <c r="O40785" s="5" t="s">
        <v>355</v>
      </c>
      <c r="P40785" s="5" t="s">
        <v>355</v>
      </c>
      <c r="Q40785" s="5" t="s">
        <v>355</v>
      </c>
    </row>
    <row r="40786" ht="16.5" customHeight="1">
      <c r="O40786" s="5" t="s">
        <v>355</v>
      </c>
      <c r="P40786" s="5" t="s">
        <v>355</v>
      </c>
      <c r="Q40786" s="5" t="s">
        <v>355</v>
      </c>
    </row>
    <row r="40787" ht="16.5" customHeight="1">
      <c r="O40787" s="5" t="s">
        <v>355</v>
      </c>
      <c r="P40787" s="5" t="s">
        <v>355</v>
      </c>
      <c r="Q40787" s="5" t="s">
        <v>355</v>
      </c>
    </row>
    <row r="40788" ht="16.5" customHeight="1">
      <c r="O40788" s="5" t="s">
        <v>355</v>
      </c>
      <c r="P40788" s="5" t="s">
        <v>355</v>
      </c>
      <c r="Q40788" s="5" t="s">
        <v>355</v>
      </c>
    </row>
    <row r="40789" ht="16.5" customHeight="1">
      <c r="O40789" s="5" t="s">
        <v>355</v>
      </c>
      <c r="P40789" s="5" t="s">
        <v>355</v>
      </c>
      <c r="Q40789" s="5" t="s">
        <v>355</v>
      </c>
    </row>
    <row r="40790" ht="16.5" customHeight="1">
      <c r="O40790" s="5" t="s">
        <v>355</v>
      </c>
      <c r="P40790" s="5" t="s">
        <v>355</v>
      </c>
      <c r="Q40790" s="5" t="s">
        <v>355</v>
      </c>
    </row>
    <row r="40791" ht="16.5" customHeight="1">
      <c r="O40791" s="5" t="s">
        <v>355</v>
      </c>
      <c r="P40791" s="5" t="s">
        <v>355</v>
      </c>
      <c r="Q40791" s="5" t="s">
        <v>355</v>
      </c>
    </row>
    <row r="40792" ht="16.5" customHeight="1">
      <c r="O40792" s="5" t="s">
        <v>355</v>
      </c>
      <c r="P40792" s="5" t="s">
        <v>355</v>
      </c>
      <c r="Q40792" s="5" t="s">
        <v>355</v>
      </c>
    </row>
    <row r="40793" ht="16.5" customHeight="1">
      <c r="O40793" s="5" t="s">
        <v>355</v>
      </c>
      <c r="P40793" s="5" t="s">
        <v>355</v>
      </c>
      <c r="Q40793" s="5" t="s">
        <v>355</v>
      </c>
    </row>
    <row r="40794" ht="16.5" customHeight="1">
      <c r="O40794" s="5" t="s">
        <v>355</v>
      </c>
      <c r="P40794" s="5" t="s">
        <v>355</v>
      </c>
      <c r="Q40794" s="5" t="s">
        <v>355</v>
      </c>
    </row>
    <row r="40795" ht="16.5" customHeight="1">
      <c r="O40795" s="5" t="s">
        <v>355</v>
      </c>
      <c r="P40795" s="5" t="s">
        <v>355</v>
      </c>
      <c r="Q40795" s="5" t="s">
        <v>355</v>
      </c>
    </row>
    <row r="40796" ht="16.5" customHeight="1">
      <c r="O40796" s="5" t="s">
        <v>355</v>
      </c>
      <c r="P40796" s="5" t="s">
        <v>355</v>
      </c>
      <c r="Q40796" s="5" t="s">
        <v>355</v>
      </c>
    </row>
    <row r="40797" ht="16.5" customHeight="1">
      <c r="O40797" s="5" t="s">
        <v>355</v>
      </c>
      <c r="P40797" s="5" t="s">
        <v>355</v>
      </c>
      <c r="Q40797" s="5" t="s">
        <v>355</v>
      </c>
    </row>
    <row r="40798" ht="16.5" customHeight="1">
      <c r="O40798" s="5" t="s">
        <v>355</v>
      </c>
      <c r="P40798" s="5" t="s">
        <v>355</v>
      </c>
      <c r="Q40798" s="5" t="s">
        <v>355</v>
      </c>
    </row>
    <row r="40799" ht="16.5" customHeight="1">
      <c r="O40799" s="5" t="s">
        <v>355</v>
      </c>
      <c r="P40799" s="5" t="s">
        <v>355</v>
      </c>
      <c r="Q40799" s="5" t="s">
        <v>355</v>
      </c>
    </row>
    <row r="40800" ht="16.5" customHeight="1">
      <c r="O40800" s="5" t="s">
        <v>355</v>
      </c>
      <c r="P40800" s="5" t="s">
        <v>355</v>
      </c>
      <c r="Q40800" s="5" t="s">
        <v>355</v>
      </c>
    </row>
    <row r="40801" ht="16.5" customHeight="1">
      <c r="O40801" s="5" t="s">
        <v>355</v>
      </c>
      <c r="P40801" s="5" t="s">
        <v>355</v>
      </c>
      <c r="Q40801" s="5" t="s">
        <v>355</v>
      </c>
    </row>
    <row r="40802" ht="16.5" customHeight="1">
      <c r="O40802" s="5" t="s">
        <v>355</v>
      </c>
      <c r="P40802" s="5" t="s">
        <v>355</v>
      </c>
      <c r="Q40802" s="5" t="s">
        <v>355</v>
      </c>
    </row>
    <row r="40803" ht="16.5" customHeight="1">
      <c r="O40803" s="5" t="s">
        <v>355</v>
      </c>
      <c r="P40803" s="5" t="s">
        <v>355</v>
      </c>
      <c r="Q40803" s="5" t="s">
        <v>355</v>
      </c>
    </row>
    <row r="40804" ht="16.5" customHeight="1">
      <c r="O40804" s="5" t="s">
        <v>355</v>
      </c>
      <c r="P40804" s="5" t="s">
        <v>355</v>
      </c>
      <c r="Q40804" s="5" t="s">
        <v>355</v>
      </c>
    </row>
    <row r="40805" ht="16.5" customHeight="1">
      <c r="O40805" s="5" t="s">
        <v>355</v>
      </c>
      <c r="P40805" s="5" t="s">
        <v>355</v>
      </c>
      <c r="Q40805" s="5" t="s">
        <v>355</v>
      </c>
    </row>
    <row r="40806" ht="16.5" customHeight="1">
      <c r="O40806" s="5" t="s">
        <v>355</v>
      </c>
      <c r="P40806" s="5" t="s">
        <v>355</v>
      </c>
      <c r="Q40806" s="5" t="s">
        <v>355</v>
      </c>
    </row>
    <row r="40807" ht="16.5" customHeight="1">
      <c r="O40807" s="5" t="s">
        <v>355</v>
      </c>
      <c r="P40807" s="5" t="s">
        <v>355</v>
      </c>
      <c r="Q40807" s="5" t="s">
        <v>355</v>
      </c>
    </row>
    <row r="40808" ht="16.5" customHeight="1">
      <c r="O40808" s="5" t="s">
        <v>355</v>
      </c>
      <c r="P40808" s="5" t="s">
        <v>355</v>
      </c>
      <c r="Q40808" s="5" t="s">
        <v>355</v>
      </c>
    </row>
    <row r="40809" ht="16.5" customHeight="1">
      <c r="O40809" s="5" t="s">
        <v>355</v>
      </c>
      <c r="P40809" s="5" t="s">
        <v>355</v>
      </c>
      <c r="Q40809" s="5" t="s">
        <v>355</v>
      </c>
    </row>
    <row r="40810" ht="16.5" customHeight="1">
      <c r="O40810" s="5" t="s">
        <v>355</v>
      </c>
      <c r="P40810" s="5" t="s">
        <v>355</v>
      </c>
      <c r="Q40810" s="5" t="s">
        <v>355</v>
      </c>
    </row>
    <row r="40811" ht="16.5" customHeight="1">
      <c r="O40811" s="5" t="s">
        <v>355</v>
      </c>
      <c r="P40811" s="5" t="s">
        <v>355</v>
      </c>
      <c r="Q40811" s="5" t="s">
        <v>355</v>
      </c>
    </row>
    <row r="40812" ht="16.5" customHeight="1">
      <c r="O40812" s="5" t="s">
        <v>355</v>
      </c>
      <c r="P40812" s="5" t="s">
        <v>355</v>
      </c>
      <c r="Q40812" s="5" t="s">
        <v>355</v>
      </c>
    </row>
    <row r="40813" ht="16.5" customHeight="1">
      <c r="O40813" s="5" t="s">
        <v>355</v>
      </c>
      <c r="P40813" s="5" t="s">
        <v>355</v>
      </c>
      <c r="Q40813" s="5" t="s">
        <v>355</v>
      </c>
    </row>
    <row r="40814" ht="16.5" customHeight="1">
      <c r="O40814" s="5" t="s">
        <v>355</v>
      </c>
      <c r="P40814" s="5" t="s">
        <v>355</v>
      </c>
      <c r="Q40814" s="5" t="s">
        <v>355</v>
      </c>
    </row>
    <row r="40815" ht="16.5" customHeight="1">
      <c r="O40815" s="5" t="s">
        <v>355</v>
      </c>
      <c r="P40815" s="5" t="s">
        <v>355</v>
      </c>
      <c r="Q40815" s="5" t="s">
        <v>355</v>
      </c>
    </row>
    <row r="40816" ht="16.5" customHeight="1">
      <c r="O40816" s="5" t="s">
        <v>355</v>
      </c>
      <c r="P40816" s="5" t="s">
        <v>355</v>
      </c>
      <c r="Q40816" s="5" t="s">
        <v>355</v>
      </c>
    </row>
    <row r="40817" ht="16.5" customHeight="1">
      <c r="O40817" s="5" t="s">
        <v>355</v>
      </c>
      <c r="P40817" s="5" t="s">
        <v>355</v>
      </c>
      <c r="Q40817" s="5" t="s">
        <v>355</v>
      </c>
    </row>
    <row r="40818" ht="16.5" customHeight="1">
      <c r="O40818" s="5" t="s">
        <v>355</v>
      </c>
      <c r="P40818" s="5" t="s">
        <v>355</v>
      </c>
      <c r="Q40818" s="5" t="s">
        <v>355</v>
      </c>
    </row>
    <row r="40819" ht="16.5" customHeight="1">
      <c r="O40819" s="5" t="s">
        <v>355</v>
      </c>
      <c r="P40819" s="5" t="s">
        <v>355</v>
      </c>
      <c r="Q40819" s="5" t="s">
        <v>355</v>
      </c>
    </row>
    <row r="40820" ht="16.5" customHeight="1">
      <c r="O40820" s="5" t="s">
        <v>355</v>
      </c>
      <c r="P40820" s="5" t="s">
        <v>355</v>
      </c>
      <c r="Q40820" s="5" t="s">
        <v>355</v>
      </c>
    </row>
    <row r="40821" ht="16.5" customHeight="1">
      <c r="O40821" s="5" t="s">
        <v>355</v>
      </c>
      <c r="P40821" s="5" t="s">
        <v>355</v>
      </c>
      <c r="Q40821" s="5" t="s">
        <v>355</v>
      </c>
    </row>
    <row r="40822" ht="16.5" customHeight="1">
      <c r="O40822" s="5" t="s">
        <v>355</v>
      </c>
      <c r="P40822" s="5" t="s">
        <v>355</v>
      </c>
      <c r="Q40822" s="5" t="s">
        <v>355</v>
      </c>
    </row>
    <row r="40823" ht="16.5" customHeight="1">
      <c r="O40823" s="5" t="s">
        <v>355</v>
      </c>
      <c r="P40823" s="5" t="s">
        <v>355</v>
      </c>
      <c r="Q40823" s="5" t="s">
        <v>355</v>
      </c>
    </row>
    <row r="40824" ht="16.5" customHeight="1">
      <c r="O40824" s="5" t="s">
        <v>355</v>
      </c>
      <c r="P40824" s="5" t="s">
        <v>355</v>
      </c>
      <c r="Q40824" s="5" t="s">
        <v>355</v>
      </c>
    </row>
    <row r="40825" ht="16.5" customHeight="1">
      <c r="O40825" s="5" t="s">
        <v>355</v>
      </c>
      <c r="P40825" s="5" t="s">
        <v>355</v>
      </c>
      <c r="Q40825" s="5" t="s">
        <v>355</v>
      </c>
    </row>
    <row r="40826" ht="16.5" customHeight="1">
      <c r="O40826" s="5" t="s">
        <v>355</v>
      </c>
      <c r="P40826" s="5" t="s">
        <v>355</v>
      </c>
      <c r="Q40826" s="5" t="s">
        <v>355</v>
      </c>
    </row>
    <row r="40827" ht="16.5" customHeight="1">
      <c r="O40827" s="5" t="s">
        <v>355</v>
      </c>
      <c r="P40827" s="5" t="s">
        <v>355</v>
      </c>
      <c r="Q40827" s="5" t="s">
        <v>355</v>
      </c>
    </row>
    <row r="40828" ht="16.5" customHeight="1">
      <c r="O40828" s="5" t="s">
        <v>355</v>
      </c>
      <c r="P40828" s="5" t="s">
        <v>355</v>
      </c>
      <c r="Q40828" s="5" t="s">
        <v>355</v>
      </c>
    </row>
    <row r="40829" ht="16.5" customHeight="1">
      <c r="O40829" s="5" t="s">
        <v>355</v>
      </c>
      <c r="P40829" s="5" t="s">
        <v>355</v>
      </c>
      <c r="Q40829" s="5" t="s">
        <v>355</v>
      </c>
    </row>
    <row r="40830" ht="16.5" customHeight="1">
      <c r="O40830" s="5" t="s">
        <v>355</v>
      </c>
      <c r="P40830" s="5" t="s">
        <v>355</v>
      </c>
      <c r="Q40830" s="5" t="s">
        <v>355</v>
      </c>
    </row>
    <row r="40831" ht="16.5" customHeight="1">
      <c r="O40831" s="5" t="s">
        <v>355</v>
      </c>
      <c r="P40831" s="5" t="s">
        <v>355</v>
      </c>
      <c r="Q40831" s="5" t="s">
        <v>355</v>
      </c>
    </row>
    <row r="40832" ht="16.5" customHeight="1">
      <c r="O40832" s="5" t="s">
        <v>355</v>
      </c>
      <c r="P40832" s="5" t="s">
        <v>355</v>
      </c>
      <c r="Q40832" s="5" t="s">
        <v>355</v>
      </c>
    </row>
    <row r="40833" ht="16.5" customHeight="1">
      <c r="O40833" s="5" t="s">
        <v>355</v>
      </c>
      <c r="P40833" s="5" t="s">
        <v>355</v>
      </c>
      <c r="Q40833" s="5" t="s">
        <v>355</v>
      </c>
    </row>
    <row r="40834" ht="16.5" customHeight="1">
      <c r="O40834" s="5" t="s">
        <v>355</v>
      </c>
      <c r="P40834" s="5" t="s">
        <v>355</v>
      </c>
      <c r="Q40834" s="5" t="s">
        <v>355</v>
      </c>
    </row>
    <row r="40835" ht="16.5" customHeight="1">
      <c r="O40835" s="5" t="s">
        <v>355</v>
      </c>
      <c r="P40835" s="5" t="s">
        <v>355</v>
      </c>
      <c r="Q40835" s="5" t="s">
        <v>355</v>
      </c>
    </row>
    <row r="40836" ht="16.5" customHeight="1">
      <c r="O40836" s="5" t="s">
        <v>355</v>
      </c>
      <c r="P40836" s="5" t="s">
        <v>355</v>
      </c>
      <c r="Q40836" s="5" t="s">
        <v>355</v>
      </c>
    </row>
    <row r="40837" ht="16.5" customHeight="1">
      <c r="O40837" s="5" t="s">
        <v>355</v>
      </c>
      <c r="P40837" s="5" t="s">
        <v>355</v>
      </c>
      <c r="Q40837" s="5" t="s">
        <v>355</v>
      </c>
    </row>
    <row r="40838" ht="16.5" customHeight="1">
      <c r="O40838" s="5" t="s">
        <v>355</v>
      </c>
      <c r="P40838" s="5" t="s">
        <v>355</v>
      </c>
      <c r="Q40838" s="5" t="s">
        <v>355</v>
      </c>
    </row>
    <row r="40839" ht="16.5" customHeight="1">
      <c r="O40839" s="5" t="s">
        <v>355</v>
      </c>
      <c r="P40839" s="5" t="s">
        <v>355</v>
      </c>
      <c r="Q40839" s="5" t="s">
        <v>355</v>
      </c>
    </row>
    <row r="40840" ht="16.5" customHeight="1">
      <c r="O40840" s="5" t="s">
        <v>355</v>
      </c>
      <c r="P40840" s="5" t="s">
        <v>355</v>
      </c>
      <c r="Q40840" s="5" t="s">
        <v>355</v>
      </c>
    </row>
    <row r="40841" ht="16.5" customHeight="1">
      <c r="O40841" s="5" t="s">
        <v>355</v>
      </c>
      <c r="P40841" s="5" t="s">
        <v>355</v>
      </c>
      <c r="Q40841" s="5" t="s">
        <v>355</v>
      </c>
    </row>
    <row r="40842" ht="16.5" customHeight="1">
      <c r="O40842" s="5" t="s">
        <v>355</v>
      </c>
      <c r="P40842" s="5" t="s">
        <v>355</v>
      </c>
      <c r="Q40842" s="5" t="s">
        <v>355</v>
      </c>
    </row>
    <row r="40843" ht="16.5" customHeight="1">
      <c r="O40843" s="5" t="s">
        <v>355</v>
      </c>
      <c r="P40843" s="5" t="s">
        <v>355</v>
      </c>
      <c r="Q40843" s="5" t="s">
        <v>355</v>
      </c>
    </row>
    <row r="40844" ht="16.5" customHeight="1">
      <c r="O40844" s="5" t="s">
        <v>355</v>
      </c>
      <c r="P40844" s="5" t="s">
        <v>355</v>
      </c>
      <c r="Q40844" s="5" t="s">
        <v>355</v>
      </c>
    </row>
    <row r="40845" ht="16.5" customHeight="1">
      <c r="O40845" s="5" t="s">
        <v>355</v>
      </c>
      <c r="P40845" s="5" t="s">
        <v>355</v>
      </c>
      <c r="Q40845" s="5" t="s">
        <v>355</v>
      </c>
    </row>
    <row r="40846" ht="16.5" customHeight="1">
      <c r="O40846" s="5" t="s">
        <v>355</v>
      </c>
      <c r="P40846" s="5" t="s">
        <v>355</v>
      </c>
      <c r="Q40846" s="5" t="s">
        <v>355</v>
      </c>
    </row>
    <row r="40847" ht="16.5" customHeight="1">
      <c r="O40847" s="5" t="s">
        <v>355</v>
      </c>
      <c r="P40847" s="5" t="s">
        <v>355</v>
      </c>
      <c r="Q40847" s="5" t="s">
        <v>355</v>
      </c>
    </row>
    <row r="40848" ht="16.5" customHeight="1">
      <c r="O40848" s="5" t="s">
        <v>355</v>
      </c>
      <c r="P40848" s="5" t="s">
        <v>355</v>
      </c>
      <c r="Q40848" s="5" t="s">
        <v>355</v>
      </c>
    </row>
    <row r="40849" ht="16.5" customHeight="1">
      <c r="O40849" s="5" t="s">
        <v>355</v>
      </c>
      <c r="P40849" s="5" t="s">
        <v>355</v>
      </c>
      <c r="Q40849" s="5" t="s">
        <v>355</v>
      </c>
    </row>
    <row r="40850" ht="16.5" customHeight="1">
      <c r="O40850" s="5" t="s">
        <v>355</v>
      </c>
      <c r="P40850" s="5" t="s">
        <v>355</v>
      </c>
      <c r="Q40850" s="5" t="s">
        <v>355</v>
      </c>
    </row>
    <row r="40851" ht="16.5" customHeight="1">
      <c r="O40851" s="5" t="s">
        <v>355</v>
      </c>
      <c r="P40851" s="5" t="s">
        <v>355</v>
      </c>
      <c r="Q40851" s="5" t="s">
        <v>355</v>
      </c>
    </row>
    <row r="40852" ht="16.5" customHeight="1">
      <c r="O40852" s="5" t="s">
        <v>355</v>
      </c>
      <c r="P40852" s="5" t="s">
        <v>355</v>
      </c>
      <c r="Q40852" s="5" t="s">
        <v>355</v>
      </c>
    </row>
    <row r="40853" ht="16.5" customHeight="1">
      <c r="O40853" s="5" t="s">
        <v>355</v>
      </c>
      <c r="P40853" s="5" t="s">
        <v>355</v>
      </c>
      <c r="Q40853" s="5" t="s">
        <v>355</v>
      </c>
    </row>
    <row r="40854" ht="16.5" customHeight="1">
      <c r="O40854" s="5" t="s">
        <v>355</v>
      </c>
      <c r="P40854" s="5" t="s">
        <v>355</v>
      </c>
      <c r="Q40854" s="5" t="s">
        <v>355</v>
      </c>
    </row>
    <row r="40855" ht="16.5" customHeight="1">
      <c r="O40855" s="5" t="s">
        <v>355</v>
      </c>
      <c r="P40855" s="5" t="s">
        <v>355</v>
      </c>
      <c r="Q40855" s="5" t="s">
        <v>355</v>
      </c>
    </row>
    <row r="40856" ht="16.5" customHeight="1">
      <c r="O40856" s="5" t="s">
        <v>355</v>
      </c>
      <c r="P40856" s="5" t="s">
        <v>355</v>
      </c>
      <c r="Q40856" s="5" t="s">
        <v>355</v>
      </c>
    </row>
    <row r="40857" ht="16.5" customHeight="1">
      <c r="O40857" s="5" t="s">
        <v>355</v>
      </c>
      <c r="P40857" s="5" t="s">
        <v>355</v>
      </c>
      <c r="Q40857" s="5" t="s">
        <v>355</v>
      </c>
    </row>
    <row r="40858" ht="16.5" customHeight="1">
      <c r="O40858" s="5" t="s">
        <v>355</v>
      </c>
      <c r="P40858" s="5" t="s">
        <v>355</v>
      </c>
      <c r="Q40858" s="5" t="s">
        <v>355</v>
      </c>
    </row>
    <row r="40859" ht="16.5" customHeight="1">
      <c r="O40859" s="5" t="s">
        <v>355</v>
      </c>
      <c r="P40859" s="5" t="s">
        <v>355</v>
      </c>
      <c r="Q40859" s="5" t="s">
        <v>355</v>
      </c>
    </row>
    <row r="40860" ht="16.5" customHeight="1">
      <c r="O40860" s="5" t="s">
        <v>355</v>
      </c>
      <c r="P40860" s="5" t="s">
        <v>355</v>
      </c>
      <c r="Q40860" s="5" t="s">
        <v>355</v>
      </c>
    </row>
    <row r="40861" ht="16.5" customHeight="1">
      <c r="O40861" s="5" t="s">
        <v>355</v>
      </c>
      <c r="P40861" s="5" t="s">
        <v>355</v>
      </c>
      <c r="Q40861" s="5" t="s">
        <v>355</v>
      </c>
    </row>
    <row r="40862" ht="16.5" customHeight="1">
      <c r="O40862" s="5" t="s">
        <v>355</v>
      </c>
      <c r="P40862" s="5" t="s">
        <v>355</v>
      </c>
      <c r="Q40862" s="5" t="s">
        <v>355</v>
      </c>
    </row>
    <row r="40863" ht="16.5" customHeight="1">
      <c r="O40863" s="5" t="s">
        <v>355</v>
      </c>
      <c r="P40863" s="5" t="s">
        <v>355</v>
      </c>
      <c r="Q40863" s="5" t="s">
        <v>355</v>
      </c>
    </row>
    <row r="40864" ht="16.5" customHeight="1">
      <c r="O40864" s="5" t="s">
        <v>355</v>
      </c>
      <c r="P40864" s="5" t="s">
        <v>355</v>
      </c>
      <c r="Q40864" s="5" t="s">
        <v>355</v>
      </c>
    </row>
    <row r="40865" ht="16.5" customHeight="1">
      <c r="O40865" s="5" t="s">
        <v>355</v>
      </c>
      <c r="P40865" s="5" t="s">
        <v>355</v>
      </c>
      <c r="Q40865" s="5" t="s">
        <v>355</v>
      </c>
    </row>
    <row r="40866" ht="16.5" customHeight="1">
      <c r="O40866" s="5" t="s">
        <v>355</v>
      </c>
      <c r="P40866" s="5" t="s">
        <v>355</v>
      </c>
      <c r="Q40866" s="5" t="s">
        <v>355</v>
      </c>
    </row>
    <row r="40867" ht="16.5" customHeight="1">
      <c r="O40867" s="5" t="s">
        <v>355</v>
      </c>
      <c r="P40867" s="5" t="s">
        <v>355</v>
      </c>
      <c r="Q40867" s="5" t="s">
        <v>355</v>
      </c>
    </row>
    <row r="40868" ht="16.5" customHeight="1">
      <c r="O40868" s="5" t="s">
        <v>355</v>
      </c>
      <c r="P40868" s="5" t="s">
        <v>355</v>
      </c>
      <c r="Q40868" s="5" t="s">
        <v>355</v>
      </c>
    </row>
    <row r="40869" ht="16.5" customHeight="1">
      <c r="O40869" s="5" t="s">
        <v>355</v>
      </c>
      <c r="P40869" s="5" t="s">
        <v>355</v>
      </c>
      <c r="Q40869" s="5" t="s">
        <v>355</v>
      </c>
    </row>
    <row r="40870" ht="16.5" customHeight="1">
      <c r="O40870" s="5" t="s">
        <v>355</v>
      </c>
      <c r="P40870" s="5" t="s">
        <v>355</v>
      </c>
      <c r="Q40870" s="5" t="s">
        <v>355</v>
      </c>
    </row>
    <row r="40871" ht="16.5" customHeight="1">
      <c r="O40871" s="5" t="s">
        <v>355</v>
      </c>
      <c r="P40871" s="5" t="s">
        <v>355</v>
      </c>
      <c r="Q40871" s="5" t="s">
        <v>355</v>
      </c>
    </row>
    <row r="40872" ht="16.5" customHeight="1">
      <c r="O40872" s="5" t="s">
        <v>355</v>
      </c>
      <c r="P40872" s="5" t="s">
        <v>355</v>
      </c>
      <c r="Q40872" s="5" t="s">
        <v>355</v>
      </c>
    </row>
    <row r="40873" ht="16.5" customHeight="1">
      <c r="O40873" s="5" t="s">
        <v>355</v>
      </c>
      <c r="P40873" s="5" t="s">
        <v>355</v>
      </c>
      <c r="Q40873" s="5" t="s">
        <v>355</v>
      </c>
    </row>
    <row r="40874" ht="16.5" customHeight="1">
      <c r="O40874" s="5" t="s">
        <v>355</v>
      </c>
      <c r="P40874" s="5" t="s">
        <v>355</v>
      </c>
      <c r="Q40874" s="5" t="s">
        <v>355</v>
      </c>
    </row>
    <row r="40875" ht="16.5" customHeight="1">
      <c r="O40875" s="5" t="s">
        <v>355</v>
      </c>
      <c r="P40875" s="5" t="s">
        <v>355</v>
      </c>
      <c r="Q40875" s="5" t="s">
        <v>355</v>
      </c>
    </row>
    <row r="40876" ht="16.5" customHeight="1">
      <c r="O40876" s="5" t="s">
        <v>355</v>
      </c>
      <c r="P40876" s="5" t="s">
        <v>355</v>
      </c>
      <c r="Q40876" s="5" t="s">
        <v>355</v>
      </c>
    </row>
    <row r="40877" ht="16.5" customHeight="1">
      <c r="O40877" s="5" t="s">
        <v>355</v>
      </c>
      <c r="P40877" s="5" t="s">
        <v>355</v>
      </c>
      <c r="Q40877" s="5" t="s">
        <v>355</v>
      </c>
    </row>
    <row r="40878" ht="16.5" customHeight="1">
      <c r="O40878" s="5" t="s">
        <v>355</v>
      </c>
      <c r="P40878" s="5" t="s">
        <v>355</v>
      </c>
      <c r="Q40878" s="5" t="s">
        <v>355</v>
      </c>
    </row>
    <row r="40879" ht="16.5" customHeight="1">
      <c r="O40879" s="5" t="s">
        <v>355</v>
      </c>
      <c r="P40879" s="5" t="s">
        <v>355</v>
      </c>
      <c r="Q40879" s="5" t="s">
        <v>355</v>
      </c>
    </row>
    <row r="40880" ht="16.5" customHeight="1">
      <c r="O40880" s="5" t="s">
        <v>355</v>
      </c>
      <c r="P40880" s="5" t="s">
        <v>355</v>
      </c>
      <c r="Q40880" s="5" t="s">
        <v>355</v>
      </c>
    </row>
    <row r="40881" ht="16.5" customHeight="1">
      <c r="O40881" s="5" t="s">
        <v>355</v>
      </c>
      <c r="P40881" s="5" t="s">
        <v>355</v>
      </c>
      <c r="Q40881" s="5" t="s">
        <v>355</v>
      </c>
    </row>
    <row r="40882" ht="16.5" customHeight="1">
      <c r="O40882" s="5" t="s">
        <v>355</v>
      </c>
      <c r="P40882" s="5" t="s">
        <v>355</v>
      </c>
      <c r="Q40882" s="5" t="s">
        <v>355</v>
      </c>
    </row>
    <row r="40883" ht="16.5" customHeight="1">
      <c r="O40883" s="5" t="s">
        <v>355</v>
      </c>
      <c r="P40883" s="5" t="s">
        <v>355</v>
      </c>
      <c r="Q40883" s="5" t="s">
        <v>355</v>
      </c>
    </row>
    <row r="40884" ht="16.5" customHeight="1">
      <c r="O40884" s="5" t="s">
        <v>355</v>
      </c>
      <c r="P40884" s="5" t="s">
        <v>355</v>
      </c>
      <c r="Q40884" s="5" t="s">
        <v>355</v>
      </c>
    </row>
    <row r="40885" ht="16.5" customHeight="1">
      <c r="O40885" s="5" t="s">
        <v>355</v>
      </c>
      <c r="P40885" s="5" t="s">
        <v>355</v>
      </c>
      <c r="Q40885" s="5" t="s">
        <v>355</v>
      </c>
    </row>
    <row r="40886" ht="16.5" customHeight="1">
      <c r="O40886" s="5" t="s">
        <v>355</v>
      </c>
      <c r="P40886" s="5" t="s">
        <v>355</v>
      </c>
      <c r="Q40886" s="5" t="s">
        <v>355</v>
      </c>
    </row>
    <row r="40887" ht="16.5" customHeight="1">
      <c r="O40887" s="5" t="s">
        <v>355</v>
      </c>
      <c r="P40887" s="5" t="s">
        <v>355</v>
      </c>
      <c r="Q40887" s="5" t="s">
        <v>355</v>
      </c>
    </row>
    <row r="40888" ht="16.5" customHeight="1">
      <c r="O40888" s="5" t="s">
        <v>355</v>
      </c>
      <c r="P40888" s="5" t="s">
        <v>355</v>
      </c>
      <c r="Q40888" s="5" t="s">
        <v>355</v>
      </c>
    </row>
    <row r="40889" ht="16.5" customHeight="1">
      <c r="O40889" s="5" t="s">
        <v>355</v>
      </c>
      <c r="P40889" s="5" t="s">
        <v>355</v>
      </c>
      <c r="Q40889" s="5" t="s">
        <v>355</v>
      </c>
    </row>
    <row r="40890" ht="16.5" customHeight="1">
      <c r="O40890" s="5" t="s">
        <v>355</v>
      </c>
      <c r="P40890" s="5" t="s">
        <v>355</v>
      </c>
      <c r="Q40890" s="5" t="s">
        <v>355</v>
      </c>
    </row>
    <row r="40891" ht="16.5" customHeight="1">
      <c r="O40891" s="5" t="s">
        <v>355</v>
      </c>
      <c r="P40891" s="5" t="s">
        <v>355</v>
      </c>
      <c r="Q40891" s="5" t="s">
        <v>355</v>
      </c>
    </row>
    <row r="40892" ht="16.5" customHeight="1">
      <c r="O40892" s="5" t="s">
        <v>355</v>
      </c>
      <c r="P40892" s="5" t="s">
        <v>355</v>
      </c>
      <c r="Q40892" s="5" t="s">
        <v>355</v>
      </c>
    </row>
    <row r="40893" ht="16.5" customHeight="1">
      <c r="O40893" s="5" t="s">
        <v>355</v>
      </c>
      <c r="P40893" s="5" t="s">
        <v>355</v>
      </c>
      <c r="Q40893" s="5" t="s">
        <v>355</v>
      </c>
    </row>
    <row r="40894" ht="16.5" customHeight="1">
      <c r="O40894" s="5" t="s">
        <v>355</v>
      </c>
      <c r="P40894" s="5" t="s">
        <v>355</v>
      </c>
      <c r="Q40894" s="5" t="s">
        <v>355</v>
      </c>
    </row>
    <row r="40895" ht="16.5" customHeight="1">
      <c r="O40895" s="5" t="s">
        <v>355</v>
      </c>
      <c r="P40895" s="5" t="s">
        <v>355</v>
      </c>
      <c r="Q40895" s="5" t="s">
        <v>355</v>
      </c>
    </row>
    <row r="40896" ht="16.5" customHeight="1">
      <c r="O40896" s="5" t="s">
        <v>355</v>
      </c>
      <c r="P40896" s="5" t="s">
        <v>355</v>
      </c>
      <c r="Q40896" s="5" t="s">
        <v>355</v>
      </c>
    </row>
    <row r="40897" ht="16.5" customHeight="1">
      <c r="O40897" s="5" t="s">
        <v>355</v>
      </c>
      <c r="P40897" s="5" t="s">
        <v>355</v>
      </c>
      <c r="Q40897" s="5" t="s">
        <v>355</v>
      </c>
    </row>
    <row r="40898" ht="16.5" customHeight="1">
      <c r="O40898" s="5" t="s">
        <v>355</v>
      </c>
      <c r="P40898" s="5" t="s">
        <v>355</v>
      </c>
      <c r="Q40898" s="5" t="s">
        <v>355</v>
      </c>
    </row>
    <row r="40899" ht="16.5" customHeight="1">
      <c r="O40899" s="5" t="s">
        <v>355</v>
      </c>
      <c r="P40899" s="5" t="s">
        <v>355</v>
      </c>
      <c r="Q40899" s="5" t="s">
        <v>355</v>
      </c>
    </row>
    <row r="40900" ht="16.5" customHeight="1">
      <c r="O40900" s="5" t="s">
        <v>355</v>
      </c>
      <c r="P40900" s="5" t="s">
        <v>355</v>
      </c>
      <c r="Q40900" s="5" t="s">
        <v>355</v>
      </c>
    </row>
    <row r="40901" ht="16.5" customHeight="1">
      <c r="O40901" s="5" t="s">
        <v>355</v>
      </c>
      <c r="P40901" s="5" t="s">
        <v>355</v>
      </c>
      <c r="Q40901" s="5" t="s">
        <v>355</v>
      </c>
    </row>
    <row r="40902" ht="16.5" customHeight="1">
      <c r="O40902" s="5" t="s">
        <v>355</v>
      </c>
      <c r="P40902" s="5" t="s">
        <v>355</v>
      </c>
      <c r="Q40902" s="5" t="s">
        <v>355</v>
      </c>
    </row>
    <row r="40903" ht="16.5" customHeight="1">
      <c r="O40903" s="5" t="s">
        <v>355</v>
      </c>
      <c r="P40903" s="5" t="s">
        <v>355</v>
      </c>
      <c r="Q40903" s="5" t="s">
        <v>355</v>
      </c>
    </row>
    <row r="40904" ht="16.5" customHeight="1">
      <c r="O40904" s="5" t="s">
        <v>355</v>
      </c>
      <c r="P40904" s="5" t="s">
        <v>355</v>
      </c>
      <c r="Q40904" s="5" t="s">
        <v>355</v>
      </c>
    </row>
    <row r="40905" ht="16.5" customHeight="1">
      <c r="O40905" s="5" t="s">
        <v>355</v>
      </c>
      <c r="P40905" s="5" t="s">
        <v>355</v>
      </c>
      <c r="Q40905" s="5" t="s">
        <v>355</v>
      </c>
    </row>
    <row r="40906" ht="16.5" customHeight="1">
      <c r="O40906" s="5" t="s">
        <v>355</v>
      </c>
      <c r="P40906" s="5" t="s">
        <v>355</v>
      </c>
      <c r="Q40906" s="5" t="s">
        <v>355</v>
      </c>
    </row>
    <row r="40907" ht="16.5" customHeight="1">
      <c r="O40907" s="5" t="s">
        <v>355</v>
      </c>
      <c r="P40907" s="5" t="s">
        <v>355</v>
      </c>
      <c r="Q40907" s="5" t="s">
        <v>355</v>
      </c>
    </row>
    <row r="40908" ht="16.5" customHeight="1">
      <c r="O40908" s="5" t="s">
        <v>355</v>
      </c>
      <c r="P40908" s="5" t="s">
        <v>355</v>
      </c>
      <c r="Q40908" s="5" t="s">
        <v>355</v>
      </c>
    </row>
    <row r="40909" ht="16.5" customHeight="1">
      <c r="O40909" s="5" t="s">
        <v>355</v>
      </c>
      <c r="P40909" s="5" t="s">
        <v>355</v>
      </c>
      <c r="Q40909" s="5" t="s">
        <v>355</v>
      </c>
    </row>
    <row r="40910" ht="16.5" customHeight="1">
      <c r="O40910" s="5" t="s">
        <v>355</v>
      </c>
      <c r="P40910" s="5" t="s">
        <v>355</v>
      </c>
      <c r="Q40910" s="5" t="s">
        <v>355</v>
      </c>
    </row>
    <row r="40911" ht="16.5" customHeight="1">
      <c r="O40911" s="5" t="s">
        <v>355</v>
      </c>
      <c r="P40911" s="5" t="s">
        <v>355</v>
      </c>
      <c r="Q40911" s="5" t="s">
        <v>355</v>
      </c>
    </row>
    <row r="40912" ht="16.5" customHeight="1">
      <c r="O40912" s="5" t="s">
        <v>355</v>
      </c>
      <c r="P40912" s="5" t="s">
        <v>355</v>
      </c>
      <c r="Q40912" s="5" t="s">
        <v>355</v>
      </c>
    </row>
    <row r="40913" ht="16.5" customHeight="1">
      <c r="O40913" s="5" t="s">
        <v>355</v>
      </c>
      <c r="P40913" s="5" t="s">
        <v>355</v>
      </c>
      <c r="Q40913" s="5" t="s">
        <v>355</v>
      </c>
    </row>
    <row r="40914" ht="16.5" customHeight="1">
      <c r="O40914" s="5" t="s">
        <v>355</v>
      </c>
      <c r="P40914" s="5" t="s">
        <v>355</v>
      </c>
      <c r="Q40914" s="5" t="s">
        <v>355</v>
      </c>
    </row>
    <row r="40915" ht="16.5" customHeight="1">
      <c r="O40915" s="5" t="s">
        <v>355</v>
      </c>
      <c r="P40915" s="5" t="s">
        <v>355</v>
      </c>
      <c r="Q40915" s="5" t="s">
        <v>355</v>
      </c>
    </row>
    <row r="40916" ht="16.5" customHeight="1">
      <c r="O40916" s="5" t="s">
        <v>355</v>
      </c>
      <c r="P40916" s="5" t="s">
        <v>355</v>
      </c>
      <c r="Q40916" s="5" t="s">
        <v>355</v>
      </c>
    </row>
    <row r="40917" ht="16.5" customHeight="1">
      <c r="O40917" s="5" t="s">
        <v>355</v>
      </c>
      <c r="P40917" s="5" t="s">
        <v>355</v>
      </c>
      <c r="Q40917" s="5" t="s">
        <v>355</v>
      </c>
    </row>
    <row r="40918" ht="16.5" customHeight="1">
      <c r="O40918" s="5" t="s">
        <v>355</v>
      </c>
      <c r="P40918" s="5" t="s">
        <v>355</v>
      </c>
      <c r="Q40918" s="5" t="s">
        <v>355</v>
      </c>
    </row>
    <row r="40919" ht="16.5" customHeight="1">
      <c r="O40919" s="5" t="s">
        <v>355</v>
      </c>
      <c r="P40919" s="5" t="s">
        <v>355</v>
      </c>
      <c r="Q40919" s="5" t="s">
        <v>355</v>
      </c>
    </row>
    <row r="40920" ht="16.5" customHeight="1">
      <c r="O40920" s="5" t="s">
        <v>355</v>
      </c>
      <c r="P40920" s="5" t="s">
        <v>355</v>
      </c>
      <c r="Q40920" s="5" t="s">
        <v>355</v>
      </c>
    </row>
    <row r="40921" ht="16.5" customHeight="1">
      <c r="O40921" s="5" t="s">
        <v>355</v>
      </c>
      <c r="P40921" s="5" t="s">
        <v>355</v>
      </c>
      <c r="Q40921" s="5" t="s">
        <v>355</v>
      </c>
    </row>
    <row r="40922" ht="16.5" customHeight="1">
      <c r="O40922" s="5" t="s">
        <v>355</v>
      </c>
      <c r="P40922" s="5" t="s">
        <v>355</v>
      </c>
      <c r="Q40922" s="5" t="s">
        <v>355</v>
      </c>
    </row>
    <row r="40923" ht="16.5" customHeight="1">
      <c r="O40923" s="5" t="s">
        <v>355</v>
      </c>
      <c r="P40923" s="5" t="s">
        <v>355</v>
      </c>
      <c r="Q40923" s="5" t="s">
        <v>355</v>
      </c>
    </row>
    <row r="40924" ht="16.5" customHeight="1">
      <c r="O40924" s="5" t="s">
        <v>355</v>
      </c>
      <c r="P40924" s="5" t="s">
        <v>355</v>
      </c>
      <c r="Q40924" s="5" t="s">
        <v>355</v>
      </c>
    </row>
    <row r="40925" ht="16.5" customHeight="1">
      <c r="O40925" s="5" t="s">
        <v>355</v>
      </c>
      <c r="P40925" s="5" t="s">
        <v>355</v>
      </c>
      <c r="Q40925" s="5" t="s">
        <v>355</v>
      </c>
    </row>
    <row r="40926" ht="16.5" customHeight="1">
      <c r="O40926" s="5" t="s">
        <v>355</v>
      </c>
      <c r="P40926" s="5" t="s">
        <v>355</v>
      </c>
      <c r="Q40926" s="5" t="s">
        <v>355</v>
      </c>
    </row>
    <row r="40927" ht="16.5" customHeight="1">
      <c r="O40927" s="5" t="s">
        <v>355</v>
      </c>
      <c r="P40927" s="5" t="s">
        <v>355</v>
      </c>
      <c r="Q40927" s="5" t="s">
        <v>355</v>
      </c>
    </row>
    <row r="40928" ht="16.5" customHeight="1">
      <c r="O40928" s="5" t="s">
        <v>355</v>
      </c>
      <c r="P40928" s="5" t="s">
        <v>355</v>
      </c>
      <c r="Q40928" s="5" t="s">
        <v>355</v>
      </c>
    </row>
    <row r="40929" ht="16.5" customHeight="1">
      <c r="O40929" s="5" t="s">
        <v>355</v>
      </c>
      <c r="P40929" s="5" t="s">
        <v>355</v>
      </c>
      <c r="Q40929" s="5" t="s">
        <v>355</v>
      </c>
    </row>
    <row r="40930" ht="16.5" customHeight="1">
      <c r="O40930" s="5" t="s">
        <v>355</v>
      </c>
      <c r="P40930" s="5" t="s">
        <v>355</v>
      </c>
      <c r="Q40930" s="5" t="s">
        <v>355</v>
      </c>
    </row>
    <row r="40931" ht="16.5" customHeight="1">
      <c r="O40931" s="5" t="s">
        <v>355</v>
      </c>
      <c r="P40931" s="5" t="s">
        <v>355</v>
      </c>
      <c r="Q40931" s="5" t="s">
        <v>355</v>
      </c>
    </row>
    <row r="40932" ht="16.5" customHeight="1">
      <c r="O40932" s="5" t="s">
        <v>355</v>
      </c>
      <c r="P40932" s="5" t="s">
        <v>355</v>
      </c>
      <c r="Q40932" s="5" t="s">
        <v>355</v>
      </c>
    </row>
    <row r="40933" ht="16.5" customHeight="1">
      <c r="O40933" s="5" t="s">
        <v>355</v>
      </c>
      <c r="P40933" s="5" t="s">
        <v>355</v>
      </c>
      <c r="Q40933" s="5" t="s">
        <v>355</v>
      </c>
    </row>
    <row r="40934" ht="16.5" customHeight="1">
      <c r="O40934" s="5" t="s">
        <v>355</v>
      </c>
      <c r="P40934" s="5" t="s">
        <v>355</v>
      </c>
      <c r="Q40934" s="5" t="s">
        <v>355</v>
      </c>
    </row>
    <row r="40935" ht="16.5" customHeight="1">
      <c r="O40935" s="5" t="s">
        <v>355</v>
      </c>
      <c r="P40935" s="5" t="s">
        <v>355</v>
      </c>
      <c r="Q40935" s="5" t="s">
        <v>355</v>
      </c>
    </row>
    <row r="40936" ht="16.5" customHeight="1">
      <c r="O40936" s="5" t="s">
        <v>355</v>
      </c>
      <c r="P40936" s="5" t="s">
        <v>355</v>
      </c>
      <c r="Q40936" s="5" t="s">
        <v>355</v>
      </c>
    </row>
    <row r="40937" ht="16.5" customHeight="1">
      <c r="O40937" s="5" t="s">
        <v>355</v>
      </c>
      <c r="P40937" s="5" t="s">
        <v>355</v>
      </c>
      <c r="Q40937" s="5" t="s">
        <v>355</v>
      </c>
    </row>
    <row r="40938" ht="16.5" customHeight="1">
      <c r="O40938" s="5" t="s">
        <v>355</v>
      </c>
      <c r="P40938" s="5" t="s">
        <v>355</v>
      </c>
      <c r="Q40938" s="5" t="s">
        <v>355</v>
      </c>
    </row>
    <row r="40939" ht="16.5" customHeight="1">
      <c r="O40939" s="5" t="s">
        <v>355</v>
      </c>
      <c r="P40939" s="5" t="s">
        <v>355</v>
      </c>
      <c r="Q40939" s="5" t="s">
        <v>355</v>
      </c>
    </row>
    <row r="40940" ht="16.5" customHeight="1">
      <c r="O40940" s="5" t="s">
        <v>355</v>
      </c>
      <c r="P40940" s="5" t="s">
        <v>355</v>
      </c>
      <c r="Q40940" s="5" t="s">
        <v>355</v>
      </c>
    </row>
    <row r="40941" ht="16.5" customHeight="1">
      <c r="O40941" s="5" t="s">
        <v>355</v>
      </c>
      <c r="P40941" s="5" t="s">
        <v>355</v>
      </c>
      <c r="Q40941" s="5" t="s">
        <v>355</v>
      </c>
    </row>
    <row r="40942" ht="16.5" customHeight="1">
      <c r="O40942" s="5" t="s">
        <v>355</v>
      </c>
      <c r="P40942" s="5" t="s">
        <v>355</v>
      </c>
      <c r="Q40942" s="5" t="s">
        <v>355</v>
      </c>
    </row>
    <row r="40943" ht="16.5" customHeight="1">
      <c r="O40943" s="5" t="s">
        <v>355</v>
      </c>
      <c r="P40943" s="5" t="s">
        <v>355</v>
      </c>
      <c r="Q40943" s="5" t="s">
        <v>355</v>
      </c>
    </row>
    <row r="40944" ht="16.5" customHeight="1">
      <c r="O40944" s="5" t="s">
        <v>355</v>
      </c>
      <c r="P40944" s="5" t="s">
        <v>355</v>
      </c>
      <c r="Q40944" s="5" t="s">
        <v>355</v>
      </c>
    </row>
    <row r="40945" ht="16.5" customHeight="1">
      <c r="O40945" s="5" t="s">
        <v>355</v>
      </c>
      <c r="P40945" s="5" t="s">
        <v>355</v>
      </c>
      <c r="Q40945" s="5" t="s">
        <v>355</v>
      </c>
    </row>
    <row r="40946" ht="16.5" customHeight="1">
      <c r="O40946" s="5" t="s">
        <v>355</v>
      </c>
      <c r="P40946" s="5" t="s">
        <v>355</v>
      </c>
      <c r="Q40946" s="5" t="s">
        <v>355</v>
      </c>
    </row>
    <row r="40947" ht="16.5" customHeight="1">
      <c r="O40947" s="5" t="s">
        <v>355</v>
      </c>
      <c r="P40947" s="5" t="s">
        <v>355</v>
      </c>
      <c r="Q40947" s="5" t="s">
        <v>355</v>
      </c>
    </row>
    <row r="40948" ht="16.5" customHeight="1">
      <c r="O40948" s="5" t="s">
        <v>355</v>
      </c>
      <c r="P40948" s="5" t="s">
        <v>355</v>
      </c>
      <c r="Q40948" s="5" t="s">
        <v>355</v>
      </c>
    </row>
    <row r="40949" ht="16.5" customHeight="1">
      <c r="O40949" s="5" t="s">
        <v>355</v>
      </c>
      <c r="P40949" s="5" t="s">
        <v>355</v>
      </c>
      <c r="Q40949" s="5" t="s">
        <v>355</v>
      </c>
    </row>
    <row r="40950" ht="16.5" customHeight="1">
      <c r="O40950" s="5" t="s">
        <v>355</v>
      </c>
      <c r="P40950" s="5" t="s">
        <v>355</v>
      </c>
      <c r="Q40950" s="5" t="s">
        <v>355</v>
      </c>
    </row>
    <row r="40951" ht="16.5" customHeight="1">
      <c r="O40951" s="5" t="s">
        <v>355</v>
      </c>
      <c r="P40951" s="5" t="s">
        <v>355</v>
      </c>
      <c r="Q40951" s="5" t="s">
        <v>355</v>
      </c>
    </row>
    <row r="40952" ht="16.5" customHeight="1">
      <c r="O40952" s="5" t="s">
        <v>355</v>
      </c>
      <c r="P40952" s="5" t="s">
        <v>355</v>
      </c>
      <c r="Q40952" s="5" t="s">
        <v>355</v>
      </c>
    </row>
    <row r="40953" ht="16.5" customHeight="1">
      <c r="O40953" s="5" t="s">
        <v>355</v>
      </c>
      <c r="P40953" s="5" t="s">
        <v>355</v>
      </c>
      <c r="Q40953" s="5" t="s">
        <v>355</v>
      </c>
    </row>
    <row r="40954" ht="16.5" customHeight="1">
      <c r="O40954" s="5" t="s">
        <v>355</v>
      </c>
      <c r="P40954" s="5" t="s">
        <v>355</v>
      </c>
      <c r="Q40954" s="5" t="s">
        <v>355</v>
      </c>
    </row>
    <row r="40955" ht="16.5" customHeight="1">
      <c r="O40955" s="5" t="s">
        <v>355</v>
      </c>
      <c r="P40955" s="5" t="s">
        <v>355</v>
      </c>
      <c r="Q40955" s="5" t="s">
        <v>355</v>
      </c>
    </row>
    <row r="40956" ht="16.5" customHeight="1">
      <c r="O40956" s="5" t="s">
        <v>355</v>
      </c>
      <c r="P40956" s="5" t="s">
        <v>355</v>
      </c>
      <c r="Q40956" s="5" t="s">
        <v>355</v>
      </c>
    </row>
    <row r="40957" ht="16.5" customHeight="1">
      <c r="O40957" s="5" t="s">
        <v>355</v>
      </c>
      <c r="P40957" s="5" t="s">
        <v>355</v>
      </c>
      <c r="Q40957" s="5" t="s">
        <v>355</v>
      </c>
    </row>
    <row r="40958" ht="16.5" customHeight="1">
      <c r="O40958" s="5" t="s">
        <v>355</v>
      </c>
      <c r="P40958" s="5" t="s">
        <v>355</v>
      </c>
      <c r="Q40958" s="5" t="s">
        <v>355</v>
      </c>
    </row>
    <row r="40959" ht="16.5" customHeight="1">
      <c r="O40959" s="5" t="s">
        <v>355</v>
      </c>
      <c r="P40959" s="5" t="s">
        <v>355</v>
      </c>
      <c r="Q40959" s="5" t="s">
        <v>355</v>
      </c>
    </row>
    <row r="40960" ht="16.5" customHeight="1">
      <c r="O40960" s="5" t="s">
        <v>355</v>
      </c>
      <c r="P40960" s="5" t="s">
        <v>355</v>
      </c>
      <c r="Q40960" s="5" t="s">
        <v>355</v>
      </c>
    </row>
    <row r="40961" ht="16.5" customHeight="1">
      <c r="O40961" s="5" t="s">
        <v>355</v>
      </c>
      <c r="P40961" s="5" t="s">
        <v>355</v>
      </c>
      <c r="Q40961" s="5" t="s">
        <v>355</v>
      </c>
    </row>
    <row r="40962" ht="16.5" customHeight="1">
      <c r="O40962" s="5" t="s">
        <v>355</v>
      </c>
      <c r="P40962" s="5" t="s">
        <v>355</v>
      </c>
      <c r="Q40962" s="5" t="s">
        <v>355</v>
      </c>
    </row>
    <row r="40963" ht="16.5" customHeight="1">
      <c r="O40963" s="5" t="s">
        <v>355</v>
      </c>
      <c r="P40963" s="5" t="s">
        <v>355</v>
      </c>
      <c r="Q40963" s="5" t="s">
        <v>355</v>
      </c>
    </row>
    <row r="40964" ht="16.5" customHeight="1">
      <c r="O40964" s="5" t="s">
        <v>355</v>
      </c>
      <c r="P40964" s="5" t="s">
        <v>355</v>
      </c>
      <c r="Q40964" s="5" t="s">
        <v>355</v>
      </c>
    </row>
    <row r="40965" ht="16.5" customHeight="1">
      <c r="O40965" s="5" t="s">
        <v>355</v>
      </c>
      <c r="P40965" s="5" t="s">
        <v>355</v>
      </c>
      <c r="Q40965" s="5" t="s">
        <v>355</v>
      </c>
    </row>
    <row r="40966" ht="16.5" customHeight="1">
      <c r="O40966" s="5" t="s">
        <v>355</v>
      </c>
      <c r="P40966" s="5" t="s">
        <v>355</v>
      </c>
      <c r="Q40966" s="5" t="s">
        <v>355</v>
      </c>
    </row>
    <row r="40967" ht="16.5" customHeight="1">
      <c r="O40967" s="5" t="s">
        <v>355</v>
      </c>
      <c r="P40967" s="5" t="s">
        <v>355</v>
      </c>
      <c r="Q40967" s="5" t="s">
        <v>355</v>
      </c>
    </row>
    <row r="40968" ht="16.5" customHeight="1">
      <c r="O40968" s="5" t="s">
        <v>355</v>
      </c>
      <c r="P40968" s="5" t="s">
        <v>355</v>
      </c>
      <c r="Q40968" s="5" t="s">
        <v>355</v>
      </c>
    </row>
    <row r="40969" ht="16.5" customHeight="1">
      <c r="O40969" s="5" t="s">
        <v>355</v>
      </c>
      <c r="P40969" s="5" t="s">
        <v>355</v>
      </c>
      <c r="Q40969" s="5" t="s">
        <v>355</v>
      </c>
    </row>
    <row r="40970" ht="16.5" customHeight="1">
      <c r="O40970" s="5" t="s">
        <v>355</v>
      </c>
      <c r="P40970" s="5" t="s">
        <v>355</v>
      </c>
      <c r="Q40970" s="5" t="s">
        <v>355</v>
      </c>
    </row>
    <row r="40971" ht="16.5" customHeight="1">
      <c r="O40971" s="5" t="s">
        <v>355</v>
      </c>
      <c r="P40971" s="5" t="s">
        <v>355</v>
      </c>
      <c r="Q40971" s="5" t="s">
        <v>355</v>
      </c>
    </row>
    <row r="40972" ht="16.5" customHeight="1">
      <c r="O40972" s="5" t="s">
        <v>355</v>
      </c>
      <c r="P40972" s="5" t="s">
        <v>355</v>
      </c>
      <c r="Q40972" s="5" t="s">
        <v>355</v>
      </c>
    </row>
    <row r="40973" ht="16.5" customHeight="1">
      <c r="O40973" s="5" t="s">
        <v>355</v>
      </c>
      <c r="P40973" s="5" t="s">
        <v>355</v>
      </c>
      <c r="Q40973" s="5" t="s">
        <v>355</v>
      </c>
    </row>
    <row r="40974" ht="16.5" customHeight="1">
      <c r="O40974" s="5" t="s">
        <v>355</v>
      </c>
      <c r="P40974" s="5" t="s">
        <v>355</v>
      </c>
      <c r="Q40974" s="5" t="s">
        <v>355</v>
      </c>
    </row>
    <row r="40975" ht="16.5" customHeight="1">
      <c r="O40975" s="5" t="s">
        <v>355</v>
      </c>
      <c r="P40975" s="5" t="s">
        <v>355</v>
      </c>
      <c r="Q40975" s="5" t="s">
        <v>355</v>
      </c>
    </row>
    <row r="40976" ht="16.5" customHeight="1">
      <c r="O40976" s="5" t="s">
        <v>355</v>
      </c>
      <c r="P40976" s="5" t="s">
        <v>355</v>
      </c>
      <c r="Q40976" s="5" t="s">
        <v>355</v>
      </c>
    </row>
    <row r="40977" ht="16.5" customHeight="1">
      <c r="O40977" s="5" t="s">
        <v>355</v>
      </c>
      <c r="P40977" s="5" t="s">
        <v>355</v>
      </c>
      <c r="Q40977" s="5" t="s">
        <v>355</v>
      </c>
    </row>
    <row r="40978" ht="16.5" customHeight="1">
      <c r="O40978" s="5" t="s">
        <v>355</v>
      </c>
      <c r="P40978" s="5" t="s">
        <v>355</v>
      </c>
      <c r="Q40978" s="5" t="s">
        <v>355</v>
      </c>
    </row>
    <row r="40979" ht="16.5" customHeight="1">
      <c r="O40979" s="5" t="s">
        <v>355</v>
      </c>
      <c r="P40979" s="5" t="s">
        <v>355</v>
      </c>
      <c r="Q40979" s="5" t="s">
        <v>355</v>
      </c>
    </row>
    <row r="40980" ht="16.5" customHeight="1">
      <c r="O40980" s="5" t="s">
        <v>355</v>
      </c>
      <c r="P40980" s="5" t="s">
        <v>355</v>
      </c>
      <c r="Q40980" s="5" t="s">
        <v>355</v>
      </c>
    </row>
    <row r="40981" ht="16.5" customHeight="1">
      <c r="O40981" s="5" t="s">
        <v>355</v>
      </c>
      <c r="P40981" s="5" t="s">
        <v>355</v>
      </c>
      <c r="Q40981" s="5" t="s">
        <v>355</v>
      </c>
    </row>
    <row r="40982" ht="16.5" customHeight="1">
      <c r="O40982" s="5" t="s">
        <v>355</v>
      </c>
      <c r="P40982" s="5" t="s">
        <v>355</v>
      </c>
      <c r="Q40982" s="5" t="s">
        <v>355</v>
      </c>
    </row>
    <row r="40983" ht="16.5" customHeight="1">
      <c r="O40983" s="5" t="s">
        <v>355</v>
      </c>
      <c r="P40983" s="5" t="s">
        <v>355</v>
      </c>
      <c r="Q40983" s="5" t="s">
        <v>355</v>
      </c>
    </row>
    <row r="40984" ht="16.5" customHeight="1">
      <c r="O40984" s="5" t="s">
        <v>355</v>
      </c>
      <c r="P40984" s="5" t="s">
        <v>355</v>
      </c>
      <c r="Q40984" s="5" t="s">
        <v>355</v>
      </c>
    </row>
    <row r="40985" ht="16.5" customHeight="1">
      <c r="O40985" s="5" t="s">
        <v>355</v>
      </c>
      <c r="P40985" s="5" t="s">
        <v>355</v>
      </c>
      <c r="Q40985" s="5" t="s">
        <v>355</v>
      </c>
    </row>
    <row r="40986" ht="16.5" customHeight="1">
      <c r="O40986" s="5" t="s">
        <v>355</v>
      </c>
      <c r="P40986" s="5" t="s">
        <v>355</v>
      </c>
      <c r="Q40986" s="5" t="s">
        <v>355</v>
      </c>
    </row>
    <row r="40987" ht="16.5" customHeight="1">
      <c r="O40987" s="5" t="s">
        <v>355</v>
      </c>
      <c r="P40987" s="5" t="s">
        <v>355</v>
      </c>
      <c r="Q40987" s="5" t="s">
        <v>355</v>
      </c>
    </row>
    <row r="40988" ht="16.5" customHeight="1">
      <c r="O40988" s="5" t="s">
        <v>355</v>
      </c>
      <c r="P40988" s="5" t="s">
        <v>355</v>
      </c>
      <c r="Q40988" s="5" t="s">
        <v>355</v>
      </c>
    </row>
    <row r="40989" ht="16.5" customHeight="1">
      <c r="O40989" s="5" t="s">
        <v>355</v>
      </c>
      <c r="P40989" s="5" t="s">
        <v>355</v>
      </c>
      <c r="Q40989" s="5" t="s">
        <v>355</v>
      </c>
    </row>
    <row r="40990" ht="16.5" customHeight="1">
      <c r="O40990" s="5" t="s">
        <v>355</v>
      </c>
      <c r="P40990" s="5" t="s">
        <v>355</v>
      </c>
      <c r="Q40990" s="5" t="s">
        <v>355</v>
      </c>
    </row>
    <row r="40991" ht="16.5" customHeight="1">
      <c r="O40991" s="5" t="s">
        <v>355</v>
      </c>
      <c r="P40991" s="5" t="s">
        <v>355</v>
      </c>
      <c r="Q40991" s="5" t="s">
        <v>355</v>
      </c>
    </row>
    <row r="40992" ht="16.5" customHeight="1">
      <c r="O40992" s="5" t="s">
        <v>355</v>
      </c>
      <c r="P40992" s="5" t="s">
        <v>355</v>
      </c>
      <c r="Q40992" s="5" t="s">
        <v>355</v>
      </c>
    </row>
    <row r="40993" ht="16.5" customHeight="1">
      <c r="O40993" s="5" t="s">
        <v>355</v>
      </c>
      <c r="P40993" s="5" t="s">
        <v>355</v>
      </c>
      <c r="Q40993" s="5" t="s">
        <v>355</v>
      </c>
    </row>
    <row r="40994" ht="16.5" customHeight="1">
      <c r="O40994" s="5" t="s">
        <v>355</v>
      </c>
      <c r="P40994" s="5" t="s">
        <v>355</v>
      </c>
      <c r="Q40994" s="5" t="s">
        <v>355</v>
      </c>
    </row>
    <row r="40995" ht="16.5" customHeight="1">
      <c r="O40995" s="5" t="s">
        <v>355</v>
      </c>
      <c r="P40995" s="5" t="s">
        <v>355</v>
      </c>
      <c r="Q40995" s="5" t="s">
        <v>355</v>
      </c>
    </row>
    <row r="40996" ht="16.5" customHeight="1">
      <c r="O40996" s="5" t="s">
        <v>355</v>
      </c>
      <c r="P40996" s="5" t="s">
        <v>355</v>
      </c>
      <c r="Q40996" s="5" t="s">
        <v>355</v>
      </c>
    </row>
    <row r="40997" ht="16.5" customHeight="1">
      <c r="O40997" s="5" t="s">
        <v>355</v>
      </c>
      <c r="P40997" s="5" t="s">
        <v>355</v>
      </c>
      <c r="Q40997" s="5" t="s">
        <v>355</v>
      </c>
    </row>
    <row r="40998" ht="16.5" customHeight="1">
      <c r="O40998" s="5" t="s">
        <v>355</v>
      </c>
      <c r="P40998" s="5" t="s">
        <v>355</v>
      </c>
      <c r="Q40998" s="5" t="s">
        <v>355</v>
      </c>
    </row>
    <row r="40999" ht="16.5" customHeight="1">
      <c r="O40999" s="5" t="s">
        <v>355</v>
      </c>
      <c r="P40999" s="5" t="s">
        <v>355</v>
      </c>
      <c r="Q40999" s="5" t="s">
        <v>355</v>
      </c>
    </row>
    <row r="41000" ht="16.5" customHeight="1">
      <c r="O41000" s="5" t="s">
        <v>355</v>
      </c>
      <c r="P41000" s="5" t="s">
        <v>355</v>
      </c>
      <c r="Q41000" s="5" t="s">
        <v>355</v>
      </c>
    </row>
    <row r="41001" ht="16.5" customHeight="1">
      <c r="O41001" s="5" t="s">
        <v>355</v>
      </c>
      <c r="P41001" s="5" t="s">
        <v>355</v>
      </c>
      <c r="Q41001" s="5" t="s">
        <v>355</v>
      </c>
    </row>
    <row r="41002" ht="16.5" customHeight="1">
      <c r="O41002" s="5" t="s">
        <v>355</v>
      </c>
      <c r="P41002" s="5" t="s">
        <v>355</v>
      </c>
      <c r="Q41002" s="5" t="s">
        <v>355</v>
      </c>
    </row>
    <row r="41003" ht="16.5" customHeight="1">
      <c r="O41003" s="5" t="s">
        <v>355</v>
      </c>
      <c r="P41003" s="5" t="s">
        <v>355</v>
      </c>
      <c r="Q41003" s="5" t="s">
        <v>355</v>
      </c>
    </row>
    <row r="41004" ht="16.5" customHeight="1">
      <c r="O41004" s="5" t="s">
        <v>355</v>
      </c>
      <c r="P41004" s="5" t="s">
        <v>355</v>
      </c>
      <c r="Q41004" s="5" t="s">
        <v>355</v>
      </c>
    </row>
    <row r="41005" ht="16.5" customHeight="1">
      <c r="O41005" s="5" t="s">
        <v>355</v>
      </c>
      <c r="P41005" s="5" t="s">
        <v>355</v>
      </c>
      <c r="Q41005" s="5" t="s">
        <v>355</v>
      </c>
    </row>
    <row r="41006" ht="16.5" customHeight="1">
      <c r="O41006" s="5" t="s">
        <v>355</v>
      </c>
      <c r="P41006" s="5" t="s">
        <v>355</v>
      </c>
      <c r="Q41006" s="5" t="s">
        <v>355</v>
      </c>
    </row>
    <row r="41007" ht="16.5" customHeight="1">
      <c r="O41007" s="5" t="s">
        <v>355</v>
      </c>
      <c r="P41007" s="5" t="s">
        <v>355</v>
      </c>
      <c r="Q41007" s="5" t="s">
        <v>355</v>
      </c>
    </row>
    <row r="41008" ht="16.5" customHeight="1">
      <c r="O41008" s="5" t="s">
        <v>355</v>
      </c>
      <c r="P41008" s="5" t="s">
        <v>355</v>
      </c>
      <c r="Q41008" s="5" t="s">
        <v>355</v>
      </c>
    </row>
    <row r="41009" ht="16.5" customHeight="1">
      <c r="O41009" s="5" t="s">
        <v>355</v>
      </c>
      <c r="P41009" s="5" t="s">
        <v>355</v>
      </c>
      <c r="Q41009" s="5" t="s">
        <v>355</v>
      </c>
    </row>
    <row r="41010" ht="16.5" customHeight="1">
      <c r="O41010" s="5" t="s">
        <v>355</v>
      </c>
      <c r="P41010" s="5" t="s">
        <v>355</v>
      </c>
      <c r="Q41010" s="5" t="s">
        <v>355</v>
      </c>
    </row>
    <row r="41011" ht="16.5" customHeight="1">
      <c r="O41011" s="5" t="s">
        <v>355</v>
      </c>
      <c r="P41011" s="5" t="s">
        <v>355</v>
      </c>
      <c r="Q41011" s="5" t="s">
        <v>355</v>
      </c>
    </row>
    <row r="41012" ht="16.5" customHeight="1">
      <c r="O41012" s="5" t="s">
        <v>355</v>
      </c>
      <c r="P41012" s="5" t="s">
        <v>355</v>
      </c>
      <c r="Q41012" s="5" t="s">
        <v>355</v>
      </c>
    </row>
    <row r="41013" ht="16.5" customHeight="1">
      <c r="O41013" s="5" t="s">
        <v>355</v>
      </c>
      <c r="P41013" s="5" t="s">
        <v>355</v>
      </c>
      <c r="Q41013" s="5" t="s">
        <v>355</v>
      </c>
    </row>
    <row r="41014" ht="16.5" customHeight="1">
      <c r="O41014" s="5" t="s">
        <v>355</v>
      </c>
      <c r="P41014" s="5" t="s">
        <v>355</v>
      </c>
      <c r="Q41014" s="5" t="s">
        <v>355</v>
      </c>
    </row>
    <row r="41015" ht="16.5" customHeight="1">
      <c r="O41015" s="5" t="s">
        <v>355</v>
      </c>
      <c r="P41015" s="5" t="s">
        <v>355</v>
      </c>
      <c r="Q41015" s="5" t="s">
        <v>355</v>
      </c>
    </row>
    <row r="41016" ht="16.5" customHeight="1">
      <c r="O41016" s="5" t="s">
        <v>355</v>
      </c>
      <c r="P41016" s="5" t="s">
        <v>355</v>
      </c>
      <c r="Q41016" s="5" t="s">
        <v>355</v>
      </c>
    </row>
    <row r="41017" ht="16.5" customHeight="1">
      <c r="O41017" s="5" t="s">
        <v>355</v>
      </c>
      <c r="P41017" s="5" t="s">
        <v>355</v>
      </c>
      <c r="Q41017" s="5" t="s">
        <v>355</v>
      </c>
    </row>
    <row r="41018" ht="16.5" customHeight="1">
      <c r="O41018" s="5" t="s">
        <v>355</v>
      </c>
      <c r="P41018" s="5" t="s">
        <v>355</v>
      </c>
      <c r="Q41018" s="5" t="s">
        <v>355</v>
      </c>
    </row>
    <row r="41019" ht="16.5" customHeight="1">
      <c r="O41019" s="5" t="s">
        <v>355</v>
      </c>
      <c r="P41019" s="5" t="s">
        <v>355</v>
      </c>
      <c r="Q41019" s="5" t="s">
        <v>355</v>
      </c>
    </row>
    <row r="41020" ht="16.5" customHeight="1">
      <c r="O41020" s="5" t="s">
        <v>355</v>
      </c>
      <c r="P41020" s="5" t="s">
        <v>355</v>
      </c>
      <c r="Q41020" s="5" t="s">
        <v>355</v>
      </c>
    </row>
    <row r="41021" ht="16.5" customHeight="1">
      <c r="O41021" s="5" t="s">
        <v>355</v>
      </c>
      <c r="P41021" s="5" t="s">
        <v>355</v>
      </c>
      <c r="Q41021" s="5" t="s">
        <v>355</v>
      </c>
    </row>
    <row r="41022" ht="16.5" customHeight="1">
      <c r="O41022" s="5" t="s">
        <v>355</v>
      </c>
      <c r="P41022" s="5" t="s">
        <v>355</v>
      </c>
      <c r="Q41022" s="5" t="s">
        <v>355</v>
      </c>
    </row>
    <row r="41023" ht="16.5" customHeight="1">
      <c r="O41023" s="5" t="s">
        <v>355</v>
      </c>
      <c r="P41023" s="5" t="s">
        <v>355</v>
      </c>
      <c r="Q41023" s="5" t="s">
        <v>355</v>
      </c>
    </row>
    <row r="41024" ht="16.5" customHeight="1">
      <c r="O41024" s="5" t="s">
        <v>355</v>
      </c>
      <c r="P41024" s="5" t="s">
        <v>355</v>
      </c>
      <c r="Q41024" s="5" t="s">
        <v>355</v>
      </c>
    </row>
    <row r="41025" ht="16.5" customHeight="1">
      <c r="O41025" s="5" t="s">
        <v>355</v>
      </c>
      <c r="P41025" s="5" t="s">
        <v>355</v>
      </c>
      <c r="Q41025" s="5" t="s">
        <v>355</v>
      </c>
    </row>
    <row r="41026" ht="16.5" customHeight="1">
      <c r="O41026" s="5" t="s">
        <v>355</v>
      </c>
      <c r="P41026" s="5" t="s">
        <v>355</v>
      </c>
      <c r="Q41026" s="5" t="s">
        <v>355</v>
      </c>
    </row>
    <row r="41027" ht="16.5" customHeight="1">
      <c r="O41027" s="5" t="s">
        <v>355</v>
      </c>
      <c r="P41027" s="5" t="s">
        <v>355</v>
      </c>
      <c r="Q41027" s="5" t="s">
        <v>355</v>
      </c>
    </row>
    <row r="41028" ht="16.5" customHeight="1">
      <c r="O41028" s="5" t="s">
        <v>355</v>
      </c>
      <c r="P41028" s="5" t="s">
        <v>355</v>
      </c>
      <c r="Q41028" s="5" t="s">
        <v>355</v>
      </c>
    </row>
    <row r="41029" ht="16.5" customHeight="1">
      <c r="O41029" s="5" t="s">
        <v>355</v>
      </c>
      <c r="P41029" s="5" t="s">
        <v>355</v>
      </c>
      <c r="Q41029" s="5" t="s">
        <v>355</v>
      </c>
    </row>
    <row r="41030" ht="16.5" customHeight="1">
      <c r="O41030" s="5" t="s">
        <v>355</v>
      </c>
      <c r="P41030" s="5" t="s">
        <v>355</v>
      </c>
      <c r="Q41030" s="5" t="s">
        <v>355</v>
      </c>
    </row>
    <row r="41031" ht="16.5" customHeight="1">
      <c r="O41031" s="5" t="s">
        <v>355</v>
      </c>
      <c r="P41031" s="5" t="s">
        <v>355</v>
      </c>
      <c r="Q41031" s="5" t="s">
        <v>355</v>
      </c>
    </row>
    <row r="41032" ht="16.5" customHeight="1">
      <c r="O41032" s="5" t="s">
        <v>355</v>
      </c>
      <c r="P41032" s="5" t="s">
        <v>355</v>
      </c>
      <c r="Q41032" s="5" t="s">
        <v>355</v>
      </c>
    </row>
    <row r="41033" ht="16.5" customHeight="1">
      <c r="O41033" s="5" t="s">
        <v>355</v>
      </c>
      <c r="P41033" s="5" t="s">
        <v>355</v>
      </c>
      <c r="Q41033" s="5" t="s">
        <v>355</v>
      </c>
    </row>
    <row r="41034" ht="16.5" customHeight="1">
      <c r="O41034" s="5" t="s">
        <v>355</v>
      </c>
      <c r="P41034" s="5" t="s">
        <v>355</v>
      </c>
      <c r="Q41034" s="5" t="s">
        <v>355</v>
      </c>
    </row>
    <row r="41035" ht="16.5" customHeight="1">
      <c r="O41035" s="5" t="s">
        <v>355</v>
      </c>
      <c r="P41035" s="5" t="s">
        <v>355</v>
      </c>
      <c r="Q41035" s="5" t="s">
        <v>355</v>
      </c>
    </row>
    <row r="41036" ht="16.5" customHeight="1">
      <c r="O41036" s="5" t="s">
        <v>355</v>
      </c>
      <c r="P41036" s="5" t="s">
        <v>355</v>
      </c>
      <c r="Q41036" s="5" t="s">
        <v>355</v>
      </c>
    </row>
    <row r="41037" ht="16.5" customHeight="1">
      <c r="O41037" s="5" t="s">
        <v>355</v>
      </c>
      <c r="P41037" s="5" t="s">
        <v>355</v>
      </c>
      <c r="Q41037" s="5" t="s">
        <v>355</v>
      </c>
    </row>
    <row r="41038" ht="16.5" customHeight="1">
      <c r="O41038" s="5" t="s">
        <v>355</v>
      </c>
      <c r="P41038" s="5" t="s">
        <v>355</v>
      </c>
      <c r="Q41038" s="5" t="s">
        <v>355</v>
      </c>
    </row>
    <row r="41039" ht="16.5" customHeight="1">
      <c r="O41039" s="5" t="s">
        <v>355</v>
      </c>
      <c r="P41039" s="5" t="s">
        <v>355</v>
      </c>
      <c r="Q41039" s="5" t="s">
        <v>355</v>
      </c>
    </row>
    <row r="41040" ht="16.5" customHeight="1">
      <c r="O41040" s="5" t="s">
        <v>355</v>
      </c>
      <c r="P41040" s="5" t="s">
        <v>355</v>
      </c>
      <c r="Q41040" s="5" t="s">
        <v>355</v>
      </c>
    </row>
    <row r="41041" ht="16.5" customHeight="1">
      <c r="O41041" s="5" t="s">
        <v>355</v>
      </c>
      <c r="P41041" s="5" t="s">
        <v>355</v>
      </c>
      <c r="Q41041" s="5" t="s">
        <v>355</v>
      </c>
    </row>
    <row r="41042" ht="16.5" customHeight="1">
      <c r="O41042" s="5" t="s">
        <v>355</v>
      </c>
      <c r="P41042" s="5" t="s">
        <v>355</v>
      </c>
      <c r="Q41042" s="5" t="s">
        <v>355</v>
      </c>
    </row>
    <row r="41043" ht="16.5" customHeight="1">
      <c r="O41043" s="5" t="s">
        <v>355</v>
      </c>
      <c r="P41043" s="5" t="s">
        <v>355</v>
      </c>
      <c r="Q41043" s="5" t="s">
        <v>355</v>
      </c>
    </row>
    <row r="41044" ht="16.5" customHeight="1">
      <c r="O41044" s="5" t="s">
        <v>355</v>
      </c>
      <c r="P41044" s="5" t="s">
        <v>355</v>
      </c>
      <c r="Q41044" s="5" t="s">
        <v>355</v>
      </c>
    </row>
    <row r="41045" ht="16.5" customHeight="1">
      <c r="O41045" s="5" t="s">
        <v>355</v>
      </c>
      <c r="P41045" s="5" t="s">
        <v>355</v>
      </c>
      <c r="Q41045" s="5" t="s">
        <v>355</v>
      </c>
    </row>
    <row r="41046" ht="16.5" customHeight="1">
      <c r="O41046" s="5" t="s">
        <v>355</v>
      </c>
      <c r="P41046" s="5" t="s">
        <v>355</v>
      </c>
      <c r="Q41046" s="5" t="s">
        <v>355</v>
      </c>
    </row>
    <row r="41047" ht="16.5" customHeight="1">
      <c r="O41047" s="5" t="s">
        <v>355</v>
      </c>
      <c r="P41047" s="5" t="s">
        <v>355</v>
      </c>
      <c r="Q41047" s="5" t="s">
        <v>355</v>
      </c>
    </row>
    <row r="41048" ht="16.5" customHeight="1">
      <c r="O41048" s="5" t="s">
        <v>355</v>
      </c>
      <c r="P41048" s="5" t="s">
        <v>355</v>
      </c>
      <c r="Q41048" s="5" t="s">
        <v>355</v>
      </c>
    </row>
    <row r="41049" ht="16.5" customHeight="1">
      <c r="O41049" s="5" t="s">
        <v>355</v>
      </c>
      <c r="P41049" s="5" t="s">
        <v>355</v>
      </c>
      <c r="Q41049" s="5" t="s">
        <v>355</v>
      </c>
    </row>
    <row r="41050" ht="16.5" customHeight="1">
      <c r="O41050" s="5" t="s">
        <v>355</v>
      </c>
      <c r="P41050" s="5" t="s">
        <v>355</v>
      </c>
      <c r="Q41050" s="5" t="s">
        <v>355</v>
      </c>
    </row>
    <row r="41051" ht="16.5" customHeight="1">
      <c r="O41051" s="5" t="s">
        <v>355</v>
      </c>
      <c r="P41051" s="5" t="s">
        <v>355</v>
      </c>
      <c r="Q41051" s="5" t="s">
        <v>355</v>
      </c>
    </row>
    <row r="41052" ht="16.5" customHeight="1">
      <c r="O41052" s="5" t="s">
        <v>355</v>
      </c>
      <c r="P41052" s="5" t="s">
        <v>355</v>
      </c>
      <c r="Q41052" s="5" t="s">
        <v>355</v>
      </c>
    </row>
    <row r="41053" ht="16.5" customHeight="1">
      <c r="O41053" s="5" t="s">
        <v>355</v>
      </c>
      <c r="P41053" s="5" t="s">
        <v>355</v>
      </c>
      <c r="Q41053" s="5" t="s">
        <v>355</v>
      </c>
    </row>
    <row r="41054" ht="16.5" customHeight="1">
      <c r="O41054" s="5" t="s">
        <v>355</v>
      </c>
      <c r="P41054" s="5" t="s">
        <v>355</v>
      </c>
      <c r="Q41054" s="5" t="s">
        <v>355</v>
      </c>
    </row>
    <row r="41055" ht="16.5" customHeight="1">
      <c r="O41055" s="5" t="s">
        <v>355</v>
      </c>
      <c r="P41055" s="5" t="s">
        <v>355</v>
      </c>
      <c r="Q41055" s="5" t="s">
        <v>355</v>
      </c>
    </row>
    <row r="41056" ht="16.5" customHeight="1">
      <c r="O41056" s="5" t="s">
        <v>355</v>
      </c>
      <c r="P41056" s="5" t="s">
        <v>355</v>
      </c>
      <c r="Q41056" s="5" t="s">
        <v>355</v>
      </c>
    </row>
    <row r="41057" ht="16.5" customHeight="1">
      <c r="O41057" s="5" t="s">
        <v>355</v>
      </c>
      <c r="P41057" s="5" t="s">
        <v>355</v>
      </c>
      <c r="Q41057" s="5" t="s">
        <v>355</v>
      </c>
    </row>
    <row r="41058" ht="16.5" customHeight="1">
      <c r="O41058" s="5" t="s">
        <v>355</v>
      </c>
      <c r="P41058" s="5" t="s">
        <v>355</v>
      </c>
      <c r="Q41058" s="5" t="s">
        <v>355</v>
      </c>
    </row>
    <row r="41059" ht="16.5" customHeight="1">
      <c r="O41059" s="5" t="s">
        <v>355</v>
      </c>
      <c r="P41059" s="5" t="s">
        <v>355</v>
      </c>
      <c r="Q41059" s="5" t="s">
        <v>355</v>
      </c>
    </row>
    <row r="41060" ht="16.5" customHeight="1">
      <c r="O41060" s="5" t="s">
        <v>355</v>
      </c>
      <c r="P41060" s="5" t="s">
        <v>355</v>
      </c>
      <c r="Q41060" s="5" t="s">
        <v>355</v>
      </c>
    </row>
    <row r="41061" ht="16.5" customHeight="1">
      <c r="O41061" s="5" t="s">
        <v>355</v>
      </c>
      <c r="P41061" s="5" t="s">
        <v>355</v>
      </c>
      <c r="Q41061" s="5" t="s">
        <v>355</v>
      </c>
    </row>
    <row r="41062" ht="16.5" customHeight="1">
      <c r="O41062" s="5" t="s">
        <v>355</v>
      </c>
      <c r="P41062" s="5" t="s">
        <v>355</v>
      </c>
      <c r="Q41062" s="5" t="s">
        <v>355</v>
      </c>
    </row>
    <row r="41063" ht="16.5" customHeight="1">
      <c r="O41063" s="5" t="s">
        <v>355</v>
      </c>
      <c r="P41063" s="5" t="s">
        <v>355</v>
      </c>
      <c r="Q41063" s="5" t="s">
        <v>355</v>
      </c>
    </row>
    <row r="41064" ht="16.5" customHeight="1">
      <c r="O41064" s="5" t="s">
        <v>355</v>
      </c>
      <c r="P41064" s="5" t="s">
        <v>355</v>
      </c>
      <c r="Q41064" s="5" t="s">
        <v>355</v>
      </c>
    </row>
    <row r="41065" ht="16.5" customHeight="1">
      <c r="O41065" s="5" t="s">
        <v>355</v>
      </c>
      <c r="P41065" s="5" t="s">
        <v>355</v>
      </c>
      <c r="Q41065" s="5" t="s">
        <v>355</v>
      </c>
    </row>
    <row r="41066" ht="16.5" customHeight="1">
      <c r="O41066" s="5" t="s">
        <v>355</v>
      </c>
      <c r="P41066" s="5" t="s">
        <v>355</v>
      </c>
      <c r="Q41066" s="5" t="s">
        <v>355</v>
      </c>
    </row>
    <row r="41067" ht="16.5" customHeight="1">
      <c r="O41067" s="5" t="s">
        <v>355</v>
      </c>
      <c r="P41067" s="5" t="s">
        <v>355</v>
      </c>
      <c r="Q41067" s="5" t="s">
        <v>355</v>
      </c>
    </row>
    <row r="41068" ht="16.5" customHeight="1">
      <c r="O41068" s="5" t="s">
        <v>355</v>
      </c>
      <c r="P41068" s="5" t="s">
        <v>355</v>
      </c>
      <c r="Q41068" s="5" t="s">
        <v>355</v>
      </c>
    </row>
    <row r="41069" ht="16.5" customHeight="1">
      <c r="O41069" s="5" t="s">
        <v>355</v>
      </c>
      <c r="P41069" s="5" t="s">
        <v>355</v>
      </c>
      <c r="Q41069" s="5" t="s">
        <v>355</v>
      </c>
    </row>
    <row r="41070" ht="16.5" customHeight="1">
      <c r="O41070" s="5" t="s">
        <v>355</v>
      </c>
      <c r="P41070" s="5" t="s">
        <v>355</v>
      </c>
      <c r="Q41070" s="5" t="s">
        <v>355</v>
      </c>
    </row>
    <row r="41071" ht="16.5" customHeight="1">
      <c r="O41071" s="5" t="s">
        <v>355</v>
      </c>
      <c r="P41071" s="5" t="s">
        <v>355</v>
      </c>
      <c r="Q41071" s="5" t="s">
        <v>355</v>
      </c>
    </row>
    <row r="41072" ht="16.5" customHeight="1">
      <c r="O41072" s="5" t="s">
        <v>355</v>
      </c>
      <c r="P41072" s="5" t="s">
        <v>355</v>
      </c>
      <c r="Q41072" s="5" t="s">
        <v>355</v>
      </c>
    </row>
    <row r="41073" ht="16.5" customHeight="1">
      <c r="O41073" s="5" t="s">
        <v>355</v>
      </c>
      <c r="P41073" s="5" t="s">
        <v>355</v>
      </c>
      <c r="Q41073" s="5" t="s">
        <v>355</v>
      </c>
    </row>
    <row r="41074" ht="16.5" customHeight="1">
      <c r="O41074" s="5" t="s">
        <v>355</v>
      </c>
      <c r="P41074" s="5" t="s">
        <v>355</v>
      </c>
      <c r="Q41074" s="5" t="s">
        <v>355</v>
      </c>
    </row>
    <row r="41075" ht="16.5" customHeight="1">
      <c r="O41075" s="5" t="s">
        <v>355</v>
      </c>
      <c r="P41075" s="5" t="s">
        <v>355</v>
      </c>
      <c r="Q41075" s="5" t="s">
        <v>355</v>
      </c>
    </row>
    <row r="41076" ht="16.5" customHeight="1">
      <c r="O41076" s="5" t="s">
        <v>355</v>
      </c>
      <c r="P41076" s="5" t="s">
        <v>355</v>
      </c>
      <c r="Q41076" s="5" t="s">
        <v>355</v>
      </c>
    </row>
    <row r="41077" ht="16.5" customHeight="1">
      <c r="O41077" s="5" t="s">
        <v>355</v>
      </c>
      <c r="P41077" s="5" t="s">
        <v>355</v>
      </c>
      <c r="Q41077" s="5" t="s">
        <v>355</v>
      </c>
    </row>
    <row r="41078" ht="16.5" customHeight="1">
      <c r="O41078" s="5" t="s">
        <v>355</v>
      </c>
      <c r="P41078" s="5" t="s">
        <v>355</v>
      </c>
      <c r="Q41078" s="5" t="s">
        <v>355</v>
      </c>
    </row>
    <row r="41079" ht="16.5" customHeight="1">
      <c r="O41079" s="5" t="s">
        <v>355</v>
      </c>
      <c r="P41079" s="5" t="s">
        <v>355</v>
      </c>
      <c r="Q41079" s="5" t="s">
        <v>355</v>
      </c>
    </row>
    <row r="41080" ht="16.5" customHeight="1">
      <c r="O41080" s="5" t="s">
        <v>355</v>
      </c>
      <c r="P41080" s="5" t="s">
        <v>355</v>
      </c>
      <c r="Q41080" s="5" t="s">
        <v>355</v>
      </c>
    </row>
    <row r="41081" ht="16.5" customHeight="1">
      <c r="O41081" s="5" t="s">
        <v>355</v>
      </c>
      <c r="P41081" s="5" t="s">
        <v>355</v>
      </c>
      <c r="Q41081" s="5" t="s">
        <v>355</v>
      </c>
    </row>
    <row r="41082" ht="16.5" customHeight="1">
      <c r="O41082" s="5" t="s">
        <v>355</v>
      </c>
      <c r="P41082" s="5" t="s">
        <v>355</v>
      </c>
      <c r="Q41082" s="5" t="s">
        <v>355</v>
      </c>
    </row>
    <row r="41083" ht="16.5" customHeight="1">
      <c r="O41083" s="5" t="s">
        <v>355</v>
      </c>
      <c r="P41083" s="5" t="s">
        <v>355</v>
      </c>
      <c r="Q41083" s="5" t="s">
        <v>355</v>
      </c>
    </row>
    <row r="41084" ht="16.5" customHeight="1">
      <c r="O41084" s="5" t="s">
        <v>355</v>
      </c>
      <c r="P41084" s="5" t="s">
        <v>355</v>
      </c>
      <c r="Q41084" s="5" t="s">
        <v>355</v>
      </c>
    </row>
    <row r="41085" ht="16.5" customHeight="1">
      <c r="O41085" s="5" t="s">
        <v>355</v>
      </c>
      <c r="P41085" s="5" t="s">
        <v>355</v>
      </c>
      <c r="Q41085" s="5" t="s">
        <v>355</v>
      </c>
    </row>
    <row r="41086" ht="16.5" customHeight="1">
      <c r="O41086" s="5" t="s">
        <v>355</v>
      </c>
      <c r="P41086" s="5" t="s">
        <v>355</v>
      </c>
      <c r="Q41086" s="5" t="s">
        <v>355</v>
      </c>
    </row>
    <row r="41087" ht="16.5" customHeight="1">
      <c r="O41087" s="5" t="s">
        <v>355</v>
      </c>
      <c r="P41087" s="5" t="s">
        <v>355</v>
      </c>
      <c r="Q41087" s="5" t="s">
        <v>355</v>
      </c>
    </row>
    <row r="41088" ht="16.5" customHeight="1">
      <c r="O41088" s="5" t="s">
        <v>355</v>
      </c>
      <c r="P41088" s="5" t="s">
        <v>355</v>
      </c>
      <c r="Q41088" s="5" t="s">
        <v>355</v>
      </c>
    </row>
    <row r="41089" ht="16.5" customHeight="1">
      <c r="O41089" s="5" t="s">
        <v>355</v>
      </c>
      <c r="P41089" s="5" t="s">
        <v>355</v>
      </c>
      <c r="Q41089" s="5" t="s">
        <v>355</v>
      </c>
    </row>
    <row r="41090" ht="16.5" customHeight="1">
      <c r="O41090" s="5" t="s">
        <v>355</v>
      </c>
      <c r="P41090" s="5" t="s">
        <v>355</v>
      </c>
      <c r="Q41090" s="5" t="s">
        <v>355</v>
      </c>
    </row>
    <row r="41091" ht="16.5" customHeight="1">
      <c r="O41091" s="5" t="s">
        <v>355</v>
      </c>
      <c r="P41091" s="5" t="s">
        <v>355</v>
      </c>
      <c r="Q41091" s="5" t="s">
        <v>355</v>
      </c>
    </row>
    <row r="41092" ht="16.5" customHeight="1">
      <c r="O41092" s="5" t="s">
        <v>355</v>
      </c>
      <c r="P41092" s="5" t="s">
        <v>355</v>
      </c>
      <c r="Q41092" s="5" t="s">
        <v>355</v>
      </c>
    </row>
    <row r="41093" ht="16.5" customHeight="1">
      <c r="O41093" s="5" t="s">
        <v>355</v>
      </c>
      <c r="P41093" s="5" t="s">
        <v>355</v>
      </c>
      <c r="Q41093" s="5" t="s">
        <v>355</v>
      </c>
    </row>
    <row r="41094" ht="16.5" customHeight="1">
      <c r="O41094" s="5" t="s">
        <v>355</v>
      </c>
      <c r="P41094" s="5" t="s">
        <v>355</v>
      </c>
      <c r="Q41094" s="5" t="s">
        <v>355</v>
      </c>
    </row>
    <row r="41095" ht="16.5" customHeight="1">
      <c r="O41095" s="5" t="s">
        <v>355</v>
      </c>
      <c r="P41095" s="5" t="s">
        <v>355</v>
      </c>
      <c r="Q41095" s="5" t="s">
        <v>355</v>
      </c>
    </row>
    <row r="41096" ht="16.5" customHeight="1">
      <c r="O41096" s="5" t="s">
        <v>355</v>
      </c>
      <c r="P41096" s="5" t="s">
        <v>355</v>
      </c>
      <c r="Q41096" s="5" t="s">
        <v>355</v>
      </c>
    </row>
    <row r="41097" ht="16.5" customHeight="1">
      <c r="O41097" s="5" t="s">
        <v>355</v>
      </c>
      <c r="P41097" s="5" t="s">
        <v>355</v>
      </c>
      <c r="Q41097" s="5" t="s">
        <v>355</v>
      </c>
    </row>
    <row r="41098" ht="16.5" customHeight="1">
      <c r="O41098" s="5" t="s">
        <v>355</v>
      </c>
      <c r="P41098" s="5" t="s">
        <v>355</v>
      </c>
      <c r="Q41098" s="5" t="s">
        <v>355</v>
      </c>
    </row>
    <row r="41099" ht="16.5" customHeight="1">
      <c r="O41099" s="5" t="s">
        <v>355</v>
      </c>
      <c r="P41099" s="5" t="s">
        <v>355</v>
      </c>
      <c r="Q41099" s="5" t="s">
        <v>355</v>
      </c>
    </row>
    <row r="41100" ht="16.5" customHeight="1">
      <c r="O41100" s="5" t="s">
        <v>355</v>
      </c>
      <c r="P41100" s="5" t="s">
        <v>355</v>
      </c>
      <c r="Q41100" s="5" t="s">
        <v>355</v>
      </c>
    </row>
    <row r="41101" ht="16.5" customHeight="1">
      <c r="O41101" s="5" t="s">
        <v>355</v>
      </c>
      <c r="P41101" s="5" t="s">
        <v>355</v>
      </c>
      <c r="Q41101" s="5" t="s">
        <v>355</v>
      </c>
    </row>
    <row r="41102" ht="16.5" customHeight="1">
      <c r="O41102" s="5" t="s">
        <v>355</v>
      </c>
      <c r="P41102" s="5" t="s">
        <v>355</v>
      </c>
      <c r="Q41102" s="5" t="s">
        <v>355</v>
      </c>
    </row>
    <row r="41103" ht="16.5" customHeight="1">
      <c r="O41103" s="5" t="s">
        <v>355</v>
      </c>
      <c r="P41103" s="5" t="s">
        <v>355</v>
      </c>
      <c r="Q41103" s="5" t="s">
        <v>355</v>
      </c>
    </row>
    <row r="41104" ht="16.5" customHeight="1">
      <c r="O41104" s="5" t="s">
        <v>355</v>
      </c>
      <c r="P41104" s="5" t="s">
        <v>355</v>
      </c>
      <c r="Q41104" s="5" t="s">
        <v>355</v>
      </c>
    </row>
    <row r="41105" ht="16.5" customHeight="1">
      <c r="O41105" s="5" t="s">
        <v>355</v>
      </c>
      <c r="P41105" s="5" t="s">
        <v>355</v>
      </c>
      <c r="Q41105" s="5" t="s">
        <v>355</v>
      </c>
    </row>
    <row r="41106" ht="16.5" customHeight="1">
      <c r="O41106" s="5" t="s">
        <v>355</v>
      </c>
      <c r="P41106" s="5" t="s">
        <v>355</v>
      </c>
      <c r="Q41106" s="5" t="s">
        <v>355</v>
      </c>
    </row>
    <row r="41107" ht="16.5" customHeight="1">
      <c r="O41107" s="5" t="s">
        <v>355</v>
      </c>
      <c r="P41107" s="5" t="s">
        <v>355</v>
      </c>
      <c r="Q41107" s="5" t="s">
        <v>355</v>
      </c>
    </row>
    <row r="41108" ht="16.5" customHeight="1">
      <c r="O41108" s="5" t="s">
        <v>355</v>
      </c>
      <c r="P41108" s="5" t="s">
        <v>355</v>
      </c>
      <c r="Q41108" s="5" t="s">
        <v>355</v>
      </c>
    </row>
    <row r="41109" ht="16.5" customHeight="1">
      <c r="O41109" s="5" t="s">
        <v>355</v>
      </c>
      <c r="P41109" s="5" t="s">
        <v>355</v>
      </c>
      <c r="Q41109" s="5" t="s">
        <v>355</v>
      </c>
    </row>
    <row r="41110" ht="16.5" customHeight="1">
      <c r="O41110" s="5" t="s">
        <v>355</v>
      </c>
      <c r="P41110" s="5" t="s">
        <v>355</v>
      </c>
      <c r="Q41110" s="5" t="s">
        <v>355</v>
      </c>
    </row>
    <row r="41111" ht="16.5" customHeight="1">
      <c r="O41111" s="5" t="s">
        <v>355</v>
      </c>
      <c r="P41111" s="5" t="s">
        <v>355</v>
      </c>
      <c r="Q41111" s="5" t="s">
        <v>355</v>
      </c>
    </row>
    <row r="41112" ht="16.5" customHeight="1">
      <c r="O41112" s="5" t="s">
        <v>355</v>
      </c>
      <c r="P41112" s="5" t="s">
        <v>355</v>
      </c>
      <c r="Q41112" s="5" t="s">
        <v>355</v>
      </c>
    </row>
    <row r="41113" ht="16.5" customHeight="1">
      <c r="O41113" s="5" t="s">
        <v>355</v>
      </c>
      <c r="P41113" s="5" t="s">
        <v>355</v>
      </c>
      <c r="Q41113" s="5" t="s">
        <v>355</v>
      </c>
    </row>
    <row r="41114" ht="16.5" customHeight="1">
      <c r="O41114" s="5" t="s">
        <v>355</v>
      </c>
      <c r="P41114" s="5" t="s">
        <v>355</v>
      </c>
      <c r="Q41114" s="5" t="s">
        <v>355</v>
      </c>
    </row>
    <row r="41115" ht="16.5" customHeight="1">
      <c r="O41115" s="5" t="s">
        <v>355</v>
      </c>
      <c r="P41115" s="5" t="s">
        <v>355</v>
      </c>
      <c r="Q41115" s="5" t="s">
        <v>355</v>
      </c>
    </row>
    <row r="41116" ht="16.5" customHeight="1">
      <c r="O41116" s="5" t="s">
        <v>355</v>
      </c>
      <c r="P41116" s="5" t="s">
        <v>355</v>
      </c>
      <c r="Q41116" s="5" t="s">
        <v>355</v>
      </c>
    </row>
    <row r="41117" ht="16.5" customHeight="1">
      <c r="O41117" s="5" t="s">
        <v>355</v>
      </c>
      <c r="P41117" s="5" t="s">
        <v>355</v>
      </c>
      <c r="Q41117" s="5" t="s">
        <v>355</v>
      </c>
    </row>
    <row r="41118" ht="16.5" customHeight="1">
      <c r="O41118" s="5" t="s">
        <v>355</v>
      </c>
      <c r="P41118" s="5" t="s">
        <v>355</v>
      </c>
      <c r="Q41118" s="5" t="s">
        <v>355</v>
      </c>
    </row>
    <row r="41119" ht="16.5" customHeight="1">
      <c r="O41119" s="5" t="s">
        <v>355</v>
      </c>
      <c r="P41119" s="5" t="s">
        <v>355</v>
      </c>
      <c r="Q41119" s="5" t="s">
        <v>355</v>
      </c>
    </row>
    <row r="41120" ht="16.5" customHeight="1">
      <c r="O41120" s="5" t="s">
        <v>355</v>
      </c>
      <c r="P41120" s="5" t="s">
        <v>355</v>
      </c>
      <c r="Q41120" s="5" t="s">
        <v>355</v>
      </c>
    </row>
    <row r="41121" ht="16.5" customHeight="1">
      <c r="O41121" s="5" t="s">
        <v>355</v>
      </c>
      <c r="P41121" s="5" t="s">
        <v>355</v>
      </c>
      <c r="Q41121" s="5" t="s">
        <v>355</v>
      </c>
    </row>
    <row r="41122" ht="16.5" customHeight="1">
      <c r="O41122" s="5" t="s">
        <v>355</v>
      </c>
      <c r="P41122" s="5" t="s">
        <v>355</v>
      </c>
      <c r="Q41122" s="5" t="s">
        <v>355</v>
      </c>
    </row>
    <row r="41123" ht="16.5" customHeight="1">
      <c r="O41123" s="5" t="s">
        <v>355</v>
      </c>
      <c r="P41123" s="5" t="s">
        <v>355</v>
      </c>
      <c r="Q41123" s="5" t="s">
        <v>355</v>
      </c>
    </row>
    <row r="41124" ht="16.5" customHeight="1">
      <c r="O41124" s="5" t="s">
        <v>355</v>
      </c>
      <c r="P41124" s="5" t="s">
        <v>355</v>
      </c>
      <c r="Q41124" s="5" t="s">
        <v>355</v>
      </c>
    </row>
    <row r="41125" ht="16.5" customHeight="1">
      <c r="O41125" s="5" t="s">
        <v>355</v>
      </c>
      <c r="P41125" s="5" t="s">
        <v>355</v>
      </c>
      <c r="Q41125" s="5" t="s">
        <v>355</v>
      </c>
    </row>
    <row r="41126" ht="16.5" customHeight="1">
      <c r="O41126" s="5" t="s">
        <v>355</v>
      </c>
      <c r="P41126" s="5" t="s">
        <v>355</v>
      </c>
      <c r="Q41126" s="5" t="s">
        <v>355</v>
      </c>
    </row>
    <row r="41127" ht="16.5" customHeight="1">
      <c r="O41127" s="5" t="s">
        <v>355</v>
      </c>
      <c r="P41127" s="5" t="s">
        <v>355</v>
      </c>
      <c r="Q41127" s="5" t="s">
        <v>355</v>
      </c>
    </row>
    <row r="41128" ht="16.5" customHeight="1">
      <c r="O41128" s="5" t="s">
        <v>355</v>
      </c>
      <c r="P41128" s="5" t="s">
        <v>355</v>
      </c>
      <c r="Q41128" s="5" t="s">
        <v>355</v>
      </c>
    </row>
    <row r="41129" ht="16.5" customHeight="1">
      <c r="O41129" s="5" t="s">
        <v>355</v>
      </c>
      <c r="P41129" s="5" t="s">
        <v>355</v>
      </c>
      <c r="Q41129" s="5" t="s">
        <v>355</v>
      </c>
    </row>
    <row r="41130" ht="16.5" customHeight="1">
      <c r="O41130" s="5" t="s">
        <v>355</v>
      </c>
      <c r="P41130" s="5" t="s">
        <v>355</v>
      </c>
      <c r="Q41130" s="5" t="s">
        <v>355</v>
      </c>
    </row>
    <row r="41131" ht="16.5" customHeight="1">
      <c r="O41131" s="5" t="s">
        <v>355</v>
      </c>
      <c r="P41131" s="5" t="s">
        <v>355</v>
      </c>
      <c r="Q41131" s="5" t="s">
        <v>355</v>
      </c>
    </row>
    <row r="41132" ht="16.5" customHeight="1">
      <c r="O41132" s="5" t="s">
        <v>355</v>
      </c>
      <c r="P41132" s="5" t="s">
        <v>355</v>
      </c>
      <c r="Q41132" s="5" t="s">
        <v>355</v>
      </c>
    </row>
    <row r="41133" ht="16.5" customHeight="1">
      <c r="O41133" s="5" t="s">
        <v>355</v>
      </c>
      <c r="P41133" s="5" t="s">
        <v>355</v>
      </c>
      <c r="Q41133" s="5" t="s">
        <v>355</v>
      </c>
    </row>
    <row r="41134" ht="16.5" customHeight="1">
      <c r="O41134" s="5" t="s">
        <v>355</v>
      </c>
      <c r="P41134" s="5" t="s">
        <v>355</v>
      </c>
      <c r="Q41134" s="5" t="s">
        <v>355</v>
      </c>
    </row>
    <row r="41135" ht="16.5" customHeight="1">
      <c r="O41135" s="5" t="s">
        <v>355</v>
      </c>
      <c r="P41135" s="5" t="s">
        <v>355</v>
      </c>
      <c r="Q41135" s="5" t="s">
        <v>355</v>
      </c>
    </row>
    <row r="41136" ht="16.5" customHeight="1">
      <c r="O41136" s="5" t="s">
        <v>355</v>
      </c>
      <c r="P41136" s="5" t="s">
        <v>355</v>
      </c>
      <c r="Q41136" s="5" t="s">
        <v>355</v>
      </c>
    </row>
    <row r="41137" ht="16.5" customHeight="1">
      <c r="O41137" s="5" t="s">
        <v>355</v>
      </c>
      <c r="P41137" s="5" t="s">
        <v>355</v>
      </c>
      <c r="Q41137" s="5" t="s">
        <v>355</v>
      </c>
    </row>
    <row r="41138" ht="16.5" customHeight="1">
      <c r="O41138" s="5" t="s">
        <v>355</v>
      </c>
      <c r="P41138" s="5" t="s">
        <v>355</v>
      </c>
      <c r="Q41138" s="5" t="s">
        <v>355</v>
      </c>
    </row>
    <row r="41139" ht="16.5" customHeight="1">
      <c r="O41139" s="5" t="s">
        <v>355</v>
      </c>
      <c r="P41139" s="5" t="s">
        <v>355</v>
      </c>
      <c r="Q41139" s="5" t="s">
        <v>355</v>
      </c>
    </row>
    <row r="41140" ht="16.5" customHeight="1">
      <c r="O41140" s="5" t="s">
        <v>355</v>
      </c>
      <c r="P41140" s="5" t="s">
        <v>355</v>
      </c>
      <c r="Q41140" s="5" t="s">
        <v>355</v>
      </c>
    </row>
    <row r="41141" ht="16.5" customHeight="1">
      <c r="O41141" s="5" t="s">
        <v>355</v>
      </c>
      <c r="P41141" s="5" t="s">
        <v>355</v>
      </c>
      <c r="Q41141" s="5" t="s">
        <v>355</v>
      </c>
    </row>
    <row r="41142" ht="16.5" customHeight="1">
      <c r="O41142" s="5" t="s">
        <v>355</v>
      </c>
      <c r="P41142" s="5" t="s">
        <v>355</v>
      </c>
      <c r="Q41142" s="5" t="s">
        <v>355</v>
      </c>
    </row>
    <row r="41143" ht="16.5" customHeight="1">
      <c r="O41143" s="5" t="s">
        <v>355</v>
      </c>
      <c r="P41143" s="5" t="s">
        <v>355</v>
      </c>
      <c r="Q41143" s="5" t="s">
        <v>355</v>
      </c>
    </row>
    <row r="41144" ht="16.5" customHeight="1">
      <c r="O41144" s="5" t="s">
        <v>355</v>
      </c>
      <c r="P41144" s="5" t="s">
        <v>355</v>
      </c>
      <c r="Q41144" s="5" t="s">
        <v>355</v>
      </c>
    </row>
    <row r="41145" ht="16.5" customHeight="1">
      <c r="O41145" s="5" t="s">
        <v>355</v>
      </c>
      <c r="P41145" s="5" t="s">
        <v>355</v>
      </c>
      <c r="Q41145" s="5" t="s">
        <v>355</v>
      </c>
    </row>
    <row r="41146" ht="16.5" customHeight="1">
      <c r="O41146" s="5" t="s">
        <v>355</v>
      </c>
      <c r="P41146" s="5" t="s">
        <v>355</v>
      </c>
      <c r="Q41146" s="5" t="s">
        <v>355</v>
      </c>
    </row>
    <row r="41147" ht="16.5" customHeight="1">
      <c r="O41147" s="5" t="s">
        <v>355</v>
      </c>
      <c r="P41147" s="5" t="s">
        <v>355</v>
      </c>
      <c r="Q41147" s="5" t="s">
        <v>355</v>
      </c>
    </row>
    <row r="41148" ht="16.5" customHeight="1">
      <c r="O41148" s="5" t="s">
        <v>355</v>
      </c>
      <c r="P41148" s="5" t="s">
        <v>355</v>
      </c>
      <c r="Q41148" s="5" t="s">
        <v>355</v>
      </c>
    </row>
    <row r="41149" ht="16.5" customHeight="1">
      <c r="O41149" s="5" t="s">
        <v>355</v>
      </c>
      <c r="P41149" s="5" t="s">
        <v>355</v>
      </c>
      <c r="Q41149" s="5" t="s">
        <v>355</v>
      </c>
    </row>
    <row r="41150" ht="16.5" customHeight="1">
      <c r="O41150" s="5" t="s">
        <v>355</v>
      </c>
      <c r="P41150" s="5" t="s">
        <v>355</v>
      </c>
      <c r="Q41150" s="5" t="s">
        <v>355</v>
      </c>
    </row>
    <row r="41151" ht="16.5" customHeight="1">
      <c r="O41151" s="5" t="s">
        <v>355</v>
      </c>
      <c r="P41151" s="5" t="s">
        <v>355</v>
      </c>
      <c r="Q41151" s="5" t="s">
        <v>355</v>
      </c>
    </row>
    <row r="41152" ht="16.5" customHeight="1">
      <c r="O41152" s="5" t="s">
        <v>355</v>
      </c>
      <c r="P41152" s="5" t="s">
        <v>355</v>
      </c>
      <c r="Q41152" s="5" t="s">
        <v>355</v>
      </c>
    </row>
    <row r="41153" ht="16.5" customHeight="1">
      <c r="O41153" s="5" t="s">
        <v>355</v>
      </c>
      <c r="P41153" s="5" t="s">
        <v>355</v>
      </c>
      <c r="Q41153" s="5" t="s">
        <v>355</v>
      </c>
    </row>
    <row r="41154" ht="16.5" customHeight="1">
      <c r="O41154" s="5" t="s">
        <v>355</v>
      </c>
      <c r="P41154" s="5" t="s">
        <v>355</v>
      </c>
      <c r="Q41154" s="5" t="s">
        <v>355</v>
      </c>
    </row>
    <row r="41155" ht="16.5" customHeight="1">
      <c r="O41155" s="5" t="s">
        <v>355</v>
      </c>
      <c r="P41155" s="5" t="s">
        <v>355</v>
      </c>
      <c r="Q41155" s="5" t="s">
        <v>355</v>
      </c>
    </row>
    <row r="41156" ht="16.5" customHeight="1">
      <c r="O41156" s="5" t="s">
        <v>355</v>
      </c>
      <c r="P41156" s="5" t="s">
        <v>355</v>
      </c>
      <c r="Q41156" s="5" t="s">
        <v>355</v>
      </c>
    </row>
    <row r="41157" ht="16.5" customHeight="1">
      <c r="O41157" s="5" t="s">
        <v>355</v>
      </c>
      <c r="P41157" s="5" t="s">
        <v>355</v>
      </c>
      <c r="Q41157" s="5" t="s">
        <v>355</v>
      </c>
    </row>
    <row r="41158" ht="16.5" customHeight="1">
      <c r="O41158" s="5" t="s">
        <v>355</v>
      </c>
      <c r="P41158" s="5" t="s">
        <v>355</v>
      </c>
      <c r="Q41158" s="5" t="s">
        <v>355</v>
      </c>
    </row>
    <row r="41159" ht="16.5" customHeight="1">
      <c r="O41159" s="5" t="s">
        <v>355</v>
      </c>
      <c r="P41159" s="5" t="s">
        <v>355</v>
      </c>
      <c r="Q41159" s="5" t="s">
        <v>355</v>
      </c>
    </row>
    <row r="41160" ht="16.5" customHeight="1">
      <c r="O41160" s="5" t="s">
        <v>355</v>
      </c>
      <c r="P41160" s="5" t="s">
        <v>355</v>
      </c>
      <c r="Q41160" s="5" t="s">
        <v>355</v>
      </c>
    </row>
    <row r="41161" ht="16.5" customHeight="1">
      <c r="O41161" s="5" t="s">
        <v>355</v>
      </c>
      <c r="P41161" s="5" t="s">
        <v>355</v>
      </c>
      <c r="Q41161" s="5" t="s">
        <v>355</v>
      </c>
    </row>
    <row r="41162" ht="16.5" customHeight="1">
      <c r="O41162" s="5" t="s">
        <v>355</v>
      </c>
      <c r="P41162" s="5" t="s">
        <v>355</v>
      </c>
      <c r="Q41162" s="5" t="s">
        <v>355</v>
      </c>
    </row>
    <row r="41163" ht="16.5" customHeight="1">
      <c r="O41163" s="5" t="s">
        <v>355</v>
      </c>
      <c r="P41163" s="5" t="s">
        <v>355</v>
      </c>
      <c r="Q41163" s="5" t="s">
        <v>355</v>
      </c>
    </row>
    <row r="41164" ht="16.5" customHeight="1">
      <c r="O41164" s="5" t="s">
        <v>355</v>
      </c>
      <c r="P41164" s="5" t="s">
        <v>355</v>
      </c>
      <c r="Q41164" s="5" t="s">
        <v>355</v>
      </c>
    </row>
    <row r="41165" ht="16.5" customHeight="1">
      <c r="O41165" s="5" t="s">
        <v>355</v>
      </c>
      <c r="P41165" s="5" t="s">
        <v>355</v>
      </c>
      <c r="Q41165" s="5" t="s">
        <v>355</v>
      </c>
    </row>
    <row r="41166" ht="16.5" customHeight="1">
      <c r="O41166" s="5" t="s">
        <v>355</v>
      </c>
      <c r="P41166" s="5" t="s">
        <v>355</v>
      </c>
      <c r="Q41166" s="5" t="s">
        <v>355</v>
      </c>
    </row>
    <row r="41167" ht="16.5" customHeight="1">
      <c r="O41167" s="5" t="s">
        <v>355</v>
      </c>
      <c r="P41167" s="5" t="s">
        <v>355</v>
      </c>
      <c r="Q41167" s="5" t="s">
        <v>355</v>
      </c>
    </row>
    <row r="41168" ht="16.5" customHeight="1">
      <c r="O41168" s="5" t="s">
        <v>355</v>
      </c>
      <c r="P41168" s="5" t="s">
        <v>355</v>
      </c>
      <c r="Q41168" s="5" t="s">
        <v>355</v>
      </c>
    </row>
    <row r="41169" ht="16.5" customHeight="1">
      <c r="O41169" s="5" t="s">
        <v>355</v>
      </c>
      <c r="P41169" s="5" t="s">
        <v>355</v>
      </c>
      <c r="Q41169" s="5" t="s">
        <v>355</v>
      </c>
    </row>
    <row r="41170" ht="16.5" customHeight="1">
      <c r="O41170" s="5" t="s">
        <v>355</v>
      </c>
      <c r="P41170" s="5" t="s">
        <v>355</v>
      </c>
      <c r="Q41170" s="5" t="s">
        <v>355</v>
      </c>
    </row>
    <row r="41171" ht="16.5" customHeight="1">
      <c r="O41171" s="5" t="s">
        <v>355</v>
      </c>
      <c r="P41171" s="5" t="s">
        <v>355</v>
      </c>
      <c r="Q41171" s="5" t="s">
        <v>355</v>
      </c>
    </row>
    <row r="41172" ht="16.5" customHeight="1">
      <c r="O41172" s="5" t="s">
        <v>355</v>
      </c>
      <c r="P41172" s="5" t="s">
        <v>355</v>
      </c>
      <c r="Q41172" s="5" t="s">
        <v>355</v>
      </c>
    </row>
    <row r="41173" ht="16.5" customHeight="1">
      <c r="O41173" s="5" t="s">
        <v>355</v>
      </c>
      <c r="P41173" s="5" t="s">
        <v>355</v>
      </c>
      <c r="Q41173" s="5" t="s">
        <v>355</v>
      </c>
    </row>
    <row r="41174" ht="16.5" customHeight="1">
      <c r="O41174" s="5" t="s">
        <v>355</v>
      </c>
      <c r="P41174" s="5" t="s">
        <v>355</v>
      </c>
      <c r="Q41174" s="5" t="s">
        <v>355</v>
      </c>
    </row>
    <row r="41175" ht="16.5" customHeight="1">
      <c r="O41175" s="5" t="s">
        <v>355</v>
      </c>
      <c r="P41175" s="5" t="s">
        <v>355</v>
      </c>
      <c r="Q41175" s="5" t="s">
        <v>355</v>
      </c>
    </row>
    <row r="41176" ht="16.5" customHeight="1">
      <c r="O41176" s="5" t="s">
        <v>355</v>
      </c>
      <c r="P41176" s="5" t="s">
        <v>355</v>
      </c>
      <c r="Q41176" s="5" t="s">
        <v>355</v>
      </c>
    </row>
    <row r="41177" ht="16.5" customHeight="1">
      <c r="O41177" s="5" t="s">
        <v>355</v>
      </c>
      <c r="P41177" s="5" t="s">
        <v>355</v>
      </c>
      <c r="Q41177" s="5" t="s">
        <v>355</v>
      </c>
    </row>
    <row r="41178" ht="16.5" customHeight="1">
      <c r="O41178" s="5" t="s">
        <v>355</v>
      </c>
      <c r="P41178" s="5" t="s">
        <v>355</v>
      </c>
      <c r="Q41178" s="5" t="s">
        <v>355</v>
      </c>
    </row>
    <row r="41179" ht="16.5" customHeight="1">
      <c r="O41179" s="5" t="s">
        <v>355</v>
      </c>
      <c r="P41179" s="5" t="s">
        <v>355</v>
      </c>
      <c r="Q41179" s="5" t="s">
        <v>355</v>
      </c>
    </row>
    <row r="41180" ht="16.5" customHeight="1">
      <c r="O41180" s="5" t="s">
        <v>355</v>
      </c>
      <c r="P41180" s="5" t="s">
        <v>355</v>
      </c>
      <c r="Q41180" s="5" t="s">
        <v>355</v>
      </c>
    </row>
    <row r="41181" ht="16.5" customHeight="1">
      <c r="O41181" s="5" t="s">
        <v>355</v>
      </c>
      <c r="P41181" s="5" t="s">
        <v>355</v>
      </c>
      <c r="Q41181" s="5" t="s">
        <v>355</v>
      </c>
    </row>
    <row r="41182" ht="16.5" customHeight="1">
      <c r="O41182" s="5" t="s">
        <v>355</v>
      </c>
      <c r="P41182" s="5" t="s">
        <v>355</v>
      </c>
      <c r="Q41182" s="5" t="s">
        <v>355</v>
      </c>
    </row>
    <row r="41183" ht="16.5" customHeight="1">
      <c r="O41183" s="5" t="s">
        <v>355</v>
      </c>
      <c r="P41183" s="5" t="s">
        <v>355</v>
      </c>
      <c r="Q41183" s="5" t="s">
        <v>355</v>
      </c>
    </row>
    <row r="41184" ht="16.5" customHeight="1">
      <c r="O41184" s="5" t="s">
        <v>355</v>
      </c>
      <c r="P41184" s="5" t="s">
        <v>355</v>
      </c>
      <c r="Q41184" s="5" t="s">
        <v>355</v>
      </c>
    </row>
    <row r="41185" ht="16.5" customHeight="1">
      <c r="O41185" s="5" t="s">
        <v>355</v>
      </c>
      <c r="P41185" s="5" t="s">
        <v>355</v>
      </c>
      <c r="Q41185" s="5" t="s">
        <v>355</v>
      </c>
    </row>
    <row r="41186" ht="16.5" customHeight="1">
      <c r="O41186" s="5" t="s">
        <v>355</v>
      </c>
      <c r="P41186" s="5" t="s">
        <v>355</v>
      </c>
      <c r="Q41186" s="5" t="s">
        <v>355</v>
      </c>
    </row>
    <row r="41187" ht="16.5" customHeight="1">
      <c r="O41187" s="5" t="s">
        <v>355</v>
      </c>
      <c r="P41187" s="5" t="s">
        <v>355</v>
      </c>
      <c r="Q41187" s="5" t="s">
        <v>355</v>
      </c>
    </row>
    <row r="41188" ht="16.5" customHeight="1">
      <c r="O41188" s="5" t="s">
        <v>355</v>
      </c>
      <c r="P41188" s="5" t="s">
        <v>355</v>
      </c>
      <c r="Q41188" s="5" t="s">
        <v>355</v>
      </c>
    </row>
    <row r="41189" ht="16.5" customHeight="1">
      <c r="O41189" s="5" t="s">
        <v>355</v>
      </c>
      <c r="P41189" s="5" t="s">
        <v>355</v>
      </c>
      <c r="Q41189" s="5" t="s">
        <v>355</v>
      </c>
    </row>
    <row r="41190" ht="16.5" customHeight="1">
      <c r="O41190" s="5" t="s">
        <v>355</v>
      </c>
      <c r="P41190" s="5" t="s">
        <v>355</v>
      </c>
      <c r="Q41190" s="5" t="s">
        <v>355</v>
      </c>
    </row>
    <row r="41191" ht="16.5" customHeight="1">
      <c r="O41191" s="5" t="s">
        <v>355</v>
      </c>
      <c r="P41191" s="5" t="s">
        <v>355</v>
      </c>
      <c r="Q41191" s="5" t="s">
        <v>355</v>
      </c>
    </row>
    <row r="41192" ht="16.5" customHeight="1">
      <c r="O41192" s="5" t="s">
        <v>355</v>
      </c>
      <c r="P41192" s="5" t="s">
        <v>355</v>
      </c>
      <c r="Q41192" s="5" t="s">
        <v>355</v>
      </c>
    </row>
    <row r="41193" ht="16.5" customHeight="1">
      <c r="O41193" s="5" t="s">
        <v>355</v>
      </c>
      <c r="P41193" s="5" t="s">
        <v>355</v>
      </c>
      <c r="Q41193" s="5" t="s">
        <v>355</v>
      </c>
    </row>
    <row r="41194" ht="16.5" customHeight="1">
      <c r="O41194" s="5" t="s">
        <v>355</v>
      </c>
      <c r="P41194" s="5" t="s">
        <v>355</v>
      </c>
      <c r="Q41194" s="5" t="s">
        <v>355</v>
      </c>
    </row>
    <row r="41195" ht="16.5" customHeight="1">
      <c r="O41195" s="5" t="s">
        <v>355</v>
      </c>
      <c r="P41195" s="5" t="s">
        <v>355</v>
      </c>
      <c r="Q41195" s="5" t="s">
        <v>355</v>
      </c>
    </row>
    <row r="41196" ht="16.5" customHeight="1">
      <c r="O41196" s="5" t="s">
        <v>355</v>
      </c>
      <c r="P41196" s="5" t="s">
        <v>355</v>
      </c>
      <c r="Q41196" s="5" t="s">
        <v>355</v>
      </c>
    </row>
    <row r="41197" ht="16.5" customHeight="1">
      <c r="O41197" s="5" t="s">
        <v>355</v>
      </c>
      <c r="P41197" s="5" t="s">
        <v>355</v>
      </c>
      <c r="Q41197" s="5" t="s">
        <v>355</v>
      </c>
    </row>
    <row r="41198" ht="16.5" customHeight="1">
      <c r="O41198" s="5" t="s">
        <v>355</v>
      </c>
      <c r="P41198" s="5" t="s">
        <v>355</v>
      </c>
      <c r="Q41198" s="5" t="s">
        <v>355</v>
      </c>
    </row>
    <row r="41199" ht="16.5" customHeight="1">
      <c r="O41199" s="5" t="s">
        <v>355</v>
      </c>
      <c r="P41199" s="5" t="s">
        <v>355</v>
      </c>
      <c r="Q41199" s="5" t="s">
        <v>355</v>
      </c>
    </row>
    <row r="41200" ht="16.5" customHeight="1">
      <c r="O41200" s="5" t="s">
        <v>355</v>
      </c>
      <c r="P41200" s="5" t="s">
        <v>355</v>
      </c>
      <c r="Q41200" s="5" t="s">
        <v>355</v>
      </c>
    </row>
    <row r="41201" ht="16.5" customHeight="1">
      <c r="O41201" s="5" t="s">
        <v>355</v>
      </c>
      <c r="P41201" s="5" t="s">
        <v>355</v>
      </c>
      <c r="Q41201" s="5" t="s">
        <v>355</v>
      </c>
    </row>
    <row r="41202" ht="16.5" customHeight="1">
      <c r="O41202" s="5" t="s">
        <v>355</v>
      </c>
      <c r="P41202" s="5" t="s">
        <v>355</v>
      </c>
      <c r="Q41202" s="5" t="s">
        <v>355</v>
      </c>
    </row>
    <row r="41203" ht="16.5" customHeight="1">
      <c r="O41203" s="5" t="s">
        <v>355</v>
      </c>
      <c r="P41203" s="5" t="s">
        <v>355</v>
      </c>
      <c r="Q41203" s="5" t="s">
        <v>355</v>
      </c>
    </row>
    <row r="41204" ht="16.5" customHeight="1">
      <c r="O41204" s="5" t="s">
        <v>355</v>
      </c>
      <c r="P41204" s="5" t="s">
        <v>355</v>
      </c>
      <c r="Q41204" s="5" t="s">
        <v>355</v>
      </c>
    </row>
    <row r="41205" ht="16.5" customHeight="1">
      <c r="O41205" s="5" t="s">
        <v>355</v>
      </c>
      <c r="P41205" s="5" t="s">
        <v>355</v>
      </c>
      <c r="Q41205" s="5" t="s">
        <v>355</v>
      </c>
    </row>
    <row r="41206" ht="16.5" customHeight="1">
      <c r="O41206" s="5" t="s">
        <v>355</v>
      </c>
      <c r="P41206" s="5" t="s">
        <v>355</v>
      </c>
      <c r="Q41206" s="5" t="s">
        <v>355</v>
      </c>
    </row>
    <row r="41207" ht="16.5" customHeight="1">
      <c r="O41207" s="5" t="s">
        <v>355</v>
      </c>
      <c r="P41207" s="5" t="s">
        <v>355</v>
      </c>
      <c r="Q41207" s="5" t="s">
        <v>355</v>
      </c>
    </row>
    <row r="41208" ht="16.5" customHeight="1">
      <c r="O41208" s="5" t="s">
        <v>355</v>
      </c>
      <c r="P41208" s="5" t="s">
        <v>355</v>
      </c>
      <c r="Q41208" s="5" t="s">
        <v>355</v>
      </c>
    </row>
    <row r="41209" ht="16.5" customHeight="1">
      <c r="O41209" s="5" t="s">
        <v>355</v>
      </c>
      <c r="P41209" s="5" t="s">
        <v>355</v>
      </c>
      <c r="Q41209" s="5" t="s">
        <v>355</v>
      </c>
    </row>
    <row r="41210" ht="16.5" customHeight="1">
      <c r="O41210" s="5" t="s">
        <v>355</v>
      </c>
      <c r="P41210" s="5" t="s">
        <v>355</v>
      </c>
      <c r="Q41210" s="5" t="s">
        <v>355</v>
      </c>
    </row>
    <row r="41211" ht="16.5" customHeight="1">
      <c r="O41211" s="5" t="s">
        <v>355</v>
      </c>
      <c r="P41211" s="5" t="s">
        <v>355</v>
      </c>
      <c r="Q41211" s="5" t="s">
        <v>355</v>
      </c>
    </row>
    <row r="41212" ht="16.5" customHeight="1">
      <c r="O41212" s="5" t="s">
        <v>355</v>
      </c>
      <c r="P41212" s="5" t="s">
        <v>355</v>
      </c>
      <c r="Q41212" s="5" t="s">
        <v>355</v>
      </c>
    </row>
    <row r="41213" ht="16.5" customHeight="1">
      <c r="O41213" s="5" t="s">
        <v>355</v>
      </c>
      <c r="P41213" s="5" t="s">
        <v>355</v>
      </c>
      <c r="Q41213" s="5" t="s">
        <v>355</v>
      </c>
    </row>
    <row r="41214" ht="16.5" customHeight="1">
      <c r="O41214" s="5" t="s">
        <v>355</v>
      </c>
      <c r="P41214" s="5" t="s">
        <v>355</v>
      </c>
      <c r="Q41214" s="5" t="s">
        <v>355</v>
      </c>
    </row>
    <row r="41215" ht="16.5" customHeight="1">
      <c r="O41215" s="5" t="s">
        <v>355</v>
      </c>
      <c r="P41215" s="5" t="s">
        <v>355</v>
      </c>
      <c r="Q41215" s="5" t="s">
        <v>355</v>
      </c>
    </row>
    <row r="41216" ht="16.5" customHeight="1">
      <c r="O41216" s="5" t="s">
        <v>355</v>
      </c>
      <c r="P41216" s="5" t="s">
        <v>355</v>
      </c>
      <c r="Q41216" s="5" t="s">
        <v>355</v>
      </c>
    </row>
    <row r="41217" ht="16.5" customHeight="1">
      <c r="O41217" s="5" t="s">
        <v>355</v>
      </c>
      <c r="P41217" s="5" t="s">
        <v>355</v>
      </c>
      <c r="Q41217" s="5" t="s">
        <v>355</v>
      </c>
    </row>
    <row r="41218" ht="16.5" customHeight="1">
      <c r="O41218" s="5" t="s">
        <v>355</v>
      </c>
      <c r="P41218" s="5" t="s">
        <v>355</v>
      </c>
      <c r="Q41218" s="5" t="s">
        <v>355</v>
      </c>
    </row>
    <row r="41219" ht="16.5" customHeight="1">
      <c r="O41219" s="5" t="s">
        <v>355</v>
      </c>
      <c r="P41219" s="5" t="s">
        <v>355</v>
      </c>
      <c r="Q41219" s="5" t="s">
        <v>355</v>
      </c>
    </row>
    <row r="41220" ht="16.5" customHeight="1">
      <c r="O41220" s="5" t="s">
        <v>355</v>
      </c>
      <c r="P41220" s="5" t="s">
        <v>355</v>
      </c>
      <c r="Q41220" s="5" t="s">
        <v>355</v>
      </c>
    </row>
    <row r="41221" ht="16.5" customHeight="1">
      <c r="O41221" s="5" t="s">
        <v>355</v>
      </c>
      <c r="P41221" s="5" t="s">
        <v>355</v>
      </c>
      <c r="Q41221" s="5" t="s">
        <v>355</v>
      </c>
    </row>
    <row r="41222" ht="16.5" customHeight="1">
      <c r="O41222" s="5" t="s">
        <v>355</v>
      </c>
      <c r="P41222" s="5" t="s">
        <v>355</v>
      </c>
      <c r="Q41222" s="5" t="s">
        <v>355</v>
      </c>
    </row>
    <row r="41223" ht="16.5" customHeight="1">
      <c r="O41223" s="5" t="s">
        <v>355</v>
      </c>
      <c r="P41223" s="5" t="s">
        <v>355</v>
      </c>
      <c r="Q41223" s="5" t="s">
        <v>355</v>
      </c>
    </row>
    <row r="41224" ht="16.5" customHeight="1">
      <c r="O41224" s="5" t="s">
        <v>355</v>
      </c>
      <c r="P41224" s="5" t="s">
        <v>355</v>
      </c>
      <c r="Q41224" s="5" t="s">
        <v>355</v>
      </c>
    </row>
    <row r="41225" ht="16.5" customHeight="1">
      <c r="O41225" s="5" t="s">
        <v>355</v>
      </c>
      <c r="P41225" s="5" t="s">
        <v>355</v>
      </c>
      <c r="Q41225" s="5" t="s">
        <v>355</v>
      </c>
    </row>
    <row r="41226" ht="16.5" customHeight="1">
      <c r="O41226" s="5" t="s">
        <v>355</v>
      </c>
      <c r="P41226" s="5" t="s">
        <v>355</v>
      </c>
      <c r="Q41226" s="5" t="s">
        <v>355</v>
      </c>
    </row>
    <row r="41227" ht="16.5" customHeight="1">
      <c r="O41227" s="5" t="s">
        <v>355</v>
      </c>
      <c r="P41227" s="5" t="s">
        <v>355</v>
      </c>
      <c r="Q41227" s="5" t="s">
        <v>355</v>
      </c>
    </row>
    <row r="41228" ht="16.5" customHeight="1">
      <c r="O41228" s="5" t="s">
        <v>355</v>
      </c>
      <c r="P41228" s="5" t="s">
        <v>355</v>
      </c>
      <c r="Q41228" s="5" t="s">
        <v>355</v>
      </c>
    </row>
    <row r="41229" ht="16.5" customHeight="1">
      <c r="O41229" s="5" t="s">
        <v>355</v>
      </c>
      <c r="P41229" s="5" t="s">
        <v>355</v>
      </c>
      <c r="Q41229" s="5" t="s">
        <v>355</v>
      </c>
    </row>
    <row r="41230" ht="16.5" customHeight="1">
      <c r="O41230" s="5" t="s">
        <v>355</v>
      </c>
      <c r="P41230" s="5" t="s">
        <v>355</v>
      </c>
      <c r="Q41230" s="5" t="s">
        <v>355</v>
      </c>
    </row>
    <row r="41231" ht="16.5" customHeight="1">
      <c r="O41231" s="5" t="s">
        <v>355</v>
      </c>
      <c r="P41231" s="5" t="s">
        <v>355</v>
      </c>
      <c r="Q41231" s="5" t="s">
        <v>355</v>
      </c>
    </row>
    <row r="41232" ht="16.5" customHeight="1">
      <c r="O41232" s="5" t="s">
        <v>355</v>
      </c>
      <c r="P41232" s="5" t="s">
        <v>355</v>
      </c>
      <c r="Q41232" s="5" t="s">
        <v>355</v>
      </c>
    </row>
    <row r="41233" ht="16.5" customHeight="1">
      <c r="O41233" s="5" t="s">
        <v>355</v>
      </c>
      <c r="P41233" s="5" t="s">
        <v>355</v>
      </c>
      <c r="Q41233" s="5" t="s">
        <v>355</v>
      </c>
    </row>
    <row r="41234" ht="16.5" customHeight="1">
      <c r="O41234" s="5" t="s">
        <v>355</v>
      </c>
      <c r="P41234" s="5" t="s">
        <v>355</v>
      </c>
      <c r="Q41234" s="5" t="s">
        <v>355</v>
      </c>
    </row>
    <row r="41235" ht="16.5" customHeight="1">
      <c r="O41235" s="5" t="s">
        <v>355</v>
      </c>
      <c r="P41235" s="5" t="s">
        <v>355</v>
      </c>
      <c r="Q41235" s="5" t="s">
        <v>355</v>
      </c>
    </row>
    <row r="41236" ht="16.5" customHeight="1">
      <c r="O41236" s="5" t="s">
        <v>355</v>
      </c>
      <c r="P41236" s="5" t="s">
        <v>355</v>
      </c>
      <c r="Q41236" s="5" t="s">
        <v>355</v>
      </c>
    </row>
    <row r="41237" ht="16.5" customHeight="1">
      <c r="O41237" s="5" t="s">
        <v>355</v>
      </c>
      <c r="P41237" s="5" t="s">
        <v>355</v>
      </c>
      <c r="Q41237" s="5" t="s">
        <v>355</v>
      </c>
    </row>
    <row r="41238" ht="16.5" customHeight="1">
      <c r="O41238" s="5" t="s">
        <v>355</v>
      </c>
      <c r="P41238" s="5" t="s">
        <v>355</v>
      </c>
      <c r="Q41238" s="5" t="s">
        <v>355</v>
      </c>
    </row>
    <row r="41239" ht="16.5" customHeight="1">
      <c r="O41239" s="5" t="s">
        <v>355</v>
      </c>
      <c r="P41239" s="5" t="s">
        <v>355</v>
      </c>
      <c r="Q41239" s="5" t="s">
        <v>355</v>
      </c>
    </row>
    <row r="41240" ht="16.5" customHeight="1">
      <c r="O41240" s="5" t="s">
        <v>355</v>
      </c>
      <c r="P41240" s="5" t="s">
        <v>355</v>
      </c>
      <c r="Q41240" s="5" t="s">
        <v>355</v>
      </c>
    </row>
    <row r="41241" ht="16.5" customHeight="1">
      <c r="O41241" s="5" t="s">
        <v>355</v>
      </c>
      <c r="P41241" s="5" t="s">
        <v>355</v>
      </c>
      <c r="Q41241" s="5" t="s">
        <v>355</v>
      </c>
    </row>
    <row r="41242" ht="16.5" customHeight="1">
      <c r="O41242" s="5" t="s">
        <v>355</v>
      </c>
      <c r="P41242" s="5" t="s">
        <v>355</v>
      </c>
      <c r="Q41242" s="5" t="s">
        <v>355</v>
      </c>
    </row>
    <row r="41243" ht="16.5" customHeight="1">
      <c r="O41243" s="5" t="s">
        <v>355</v>
      </c>
      <c r="P41243" s="5" t="s">
        <v>355</v>
      </c>
      <c r="Q41243" s="5" t="s">
        <v>355</v>
      </c>
    </row>
    <row r="41244" ht="16.5" customHeight="1">
      <c r="O41244" s="5" t="s">
        <v>355</v>
      </c>
      <c r="P41244" s="5" t="s">
        <v>355</v>
      </c>
      <c r="Q41244" s="5" t="s">
        <v>355</v>
      </c>
    </row>
    <row r="41245" ht="16.5" customHeight="1">
      <c r="O41245" s="5" t="s">
        <v>355</v>
      </c>
      <c r="P41245" s="5" t="s">
        <v>355</v>
      </c>
      <c r="Q41245" s="5" t="s">
        <v>355</v>
      </c>
    </row>
    <row r="41246" ht="16.5" customHeight="1">
      <c r="O41246" s="5" t="s">
        <v>355</v>
      </c>
      <c r="P41246" s="5" t="s">
        <v>355</v>
      </c>
      <c r="Q41246" s="5" t="s">
        <v>355</v>
      </c>
    </row>
    <row r="41247" ht="16.5" customHeight="1">
      <c r="O41247" s="5" t="s">
        <v>355</v>
      </c>
      <c r="P41247" s="5" t="s">
        <v>355</v>
      </c>
      <c r="Q41247" s="5" t="s">
        <v>355</v>
      </c>
    </row>
    <row r="41248" ht="16.5" customHeight="1">
      <c r="O41248" s="5" t="s">
        <v>355</v>
      </c>
      <c r="P41248" s="5" t="s">
        <v>355</v>
      </c>
      <c r="Q41248" s="5" t="s">
        <v>355</v>
      </c>
    </row>
    <row r="41249" ht="16.5" customHeight="1">
      <c r="O41249" s="5" t="s">
        <v>355</v>
      </c>
      <c r="P41249" s="5" t="s">
        <v>355</v>
      </c>
      <c r="Q41249" s="5" t="s">
        <v>355</v>
      </c>
    </row>
    <row r="41250" ht="16.5" customHeight="1">
      <c r="O41250" s="5" t="s">
        <v>355</v>
      </c>
      <c r="P41250" s="5" t="s">
        <v>355</v>
      </c>
      <c r="Q41250" s="5" t="s">
        <v>355</v>
      </c>
    </row>
    <row r="41251" ht="16.5" customHeight="1">
      <c r="O41251" s="5" t="s">
        <v>355</v>
      </c>
      <c r="P41251" s="5" t="s">
        <v>355</v>
      </c>
      <c r="Q41251" s="5" t="s">
        <v>355</v>
      </c>
    </row>
    <row r="41252" ht="16.5" customHeight="1">
      <c r="O41252" s="5" t="s">
        <v>355</v>
      </c>
      <c r="P41252" s="5" t="s">
        <v>355</v>
      </c>
      <c r="Q41252" s="5" t="s">
        <v>355</v>
      </c>
    </row>
    <row r="41253" ht="16.5" customHeight="1">
      <c r="O41253" s="5" t="s">
        <v>355</v>
      </c>
      <c r="P41253" s="5" t="s">
        <v>355</v>
      </c>
      <c r="Q41253" s="5" t="s">
        <v>355</v>
      </c>
    </row>
    <row r="41254" ht="16.5" customHeight="1">
      <c r="O41254" s="5" t="s">
        <v>355</v>
      </c>
      <c r="P41254" s="5" t="s">
        <v>355</v>
      </c>
      <c r="Q41254" s="5" t="s">
        <v>355</v>
      </c>
    </row>
    <row r="41255" ht="16.5" customHeight="1">
      <c r="O41255" s="5" t="s">
        <v>355</v>
      </c>
      <c r="P41255" s="5" t="s">
        <v>355</v>
      </c>
      <c r="Q41255" s="5" t="s">
        <v>355</v>
      </c>
    </row>
    <row r="41256" ht="16.5" customHeight="1">
      <c r="O41256" s="5" t="s">
        <v>355</v>
      </c>
      <c r="P41256" s="5" t="s">
        <v>355</v>
      </c>
      <c r="Q41256" s="5" t="s">
        <v>355</v>
      </c>
    </row>
    <row r="41257" ht="16.5" customHeight="1">
      <c r="O41257" s="5" t="s">
        <v>355</v>
      </c>
      <c r="P41257" s="5" t="s">
        <v>355</v>
      </c>
      <c r="Q41257" s="5" t="s">
        <v>355</v>
      </c>
    </row>
    <row r="41258" ht="16.5" customHeight="1">
      <c r="O41258" s="5" t="s">
        <v>355</v>
      </c>
      <c r="P41258" s="5" t="s">
        <v>355</v>
      </c>
      <c r="Q41258" s="5" t="s">
        <v>355</v>
      </c>
    </row>
    <row r="41259" ht="16.5" customHeight="1">
      <c r="O41259" s="5" t="s">
        <v>355</v>
      </c>
      <c r="P41259" s="5" t="s">
        <v>355</v>
      </c>
      <c r="Q41259" s="5" t="s">
        <v>355</v>
      </c>
    </row>
    <row r="41260" ht="16.5" customHeight="1">
      <c r="O41260" s="5" t="s">
        <v>355</v>
      </c>
      <c r="P41260" s="5" t="s">
        <v>355</v>
      </c>
      <c r="Q41260" s="5" t="s">
        <v>355</v>
      </c>
    </row>
    <row r="41261" ht="16.5" customHeight="1">
      <c r="O41261" s="5" t="s">
        <v>355</v>
      </c>
      <c r="P41261" s="5" t="s">
        <v>355</v>
      </c>
      <c r="Q41261" s="5" t="s">
        <v>355</v>
      </c>
    </row>
    <row r="41262" ht="16.5" customHeight="1">
      <c r="O41262" s="5" t="s">
        <v>355</v>
      </c>
      <c r="P41262" s="5" t="s">
        <v>355</v>
      </c>
      <c r="Q41262" s="5" t="s">
        <v>355</v>
      </c>
    </row>
    <row r="41263" ht="16.5" customHeight="1">
      <c r="O41263" s="5" t="s">
        <v>355</v>
      </c>
      <c r="P41263" s="5" t="s">
        <v>355</v>
      </c>
      <c r="Q41263" s="5" t="s">
        <v>355</v>
      </c>
    </row>
    <row r="41264" ht="16.5" customHeight="1">
      <c r="O41264" s="5" t="s">
        <v>355</v>
      </c>
      <c r="P41264" s="5" t="s">
        <v>355</v>
      </c>
      <c r="Q41264" s="5" t="s">
        <v>355</v>
      </c>
    </row>
    <row r="41265" ht="16.5" customHeight="1">
      <c r="O41265" s="5" t="s">
        <v>355</v>
      </c>
      <c r="P41265" s="5" t="s">
        <v>355</v>
      </c>
      <c r="Q41265" s="5" t="s">
        <v>355</v>
      </c>
    </row>
    <row r="41266" ht="16.5" customHeight="1">
      <c r="O41266" s="5" t="s">
        <v>355</v>
      </c>
      <c r="P41266" s="5" t="s">
        <v>355</v>
      </c>
      <c r="Q41266" s="5" t="s">
        <v>355</v>
      </c>
    </row>
    <row r="41267" ht="16.5" customHeight="1">
      <c r="O41267" s="5" t="s">
        <v>355</v>
      </c>
      <c r="P41267" s="5" t="s">
        <v>355</v>
      </c>
      <c r="Q41267" s="5" t="s">
        <v>355</v>
      </c>
    </row>
    <row r="41268" ht="16.5" customHeight="1">
      <c r="O41268" s="5" t="s">
        <v>355</v>
      </c>
      <c r="P41268" s="5" t="s">
        <v>355</v>
      </c>
      <c r="Q41268" s="5" t="s">
        <v>355</v>
      </c>
    </row>
    <row r="41269" ht="16.5" customHeight="1">
      <c r="O41269" s="5" t="s">
        <v>355</v>
      </c>
      <c r="P41269" s="5" t="s">
        <v>355</v>
      </c>
      <c r="Q41269" s="5" t="s">
        <v>355</v>
      </c>
    </row>
    <row r="41270" ht="16.5" customHeight="1">
      <c r="O41270" s="5" t="s">
        <v>355</v>
      </c>
      <c r="P41270" s="5" t="s">
        <v>355</v>
      </c>
      <c r="Q41270" s="5" t="s">
        <v>355</v>
      </c>
    </row>
    <row r="41271" ht="16.5" customHeight="1">
      <c r="O41271" s="5" t="s">
        <v>355</v>
      </c>
      <c r="P41271" s="5" t="s">
        <v>355</v>
      </c>
      <c r="Q41271" s="5" t="s">
        <v>355</v>
      </c>
    </row>
    <row r="41272" ht="16.5" customHeight="1">
      <c r="O41272" s="5" t="s">
        <v>355</v>
      </c>
      <c r="P41272" s="5" t="s">
        <v>355</v>
      </c>
      <c r="Q41272" s="5" t="s">
        <v>355</v>
      </c>
    </row>
    <row r="41273" ht="16.5" customHeight="1">
      <c r="O41273" s="5" t="s">
        <v>355</v>
      </c>
      <c r="P41273" s="5" t="s">
        <v>355</v>
      </c>
      <c r="Q41273" s="5" t="s">
        <v>355</v>
      </c>
    </row>
    <row r="41274" ht="16.5" customHeight="1">
      <c r="O41274" s="5" t="s">
        <v>355</v>
      </c>
      <c r="P41274" s="5" t="s">
        <v>355</v>
      </c>
      <c r="Q41274" s="5" t="s">
        <v>355</v>
      </c>
    </row>
    <row r="41275" ht="16.5" customHeight="1">
      <c r="O41275" s="5" t="s">
        <v>355</v>
      </c>
      <c r="P41275" s="5" t="s">
        <v>355</v>
      </c>
      <c r="Q41275" s="5" t="s">
        <v>355</v>
      </c>
    </row>
    <row r="41276" ht="16.5" customHeight="1">
      <c r="O41276" s="5" t="s">
        <v>355</v>
      </c>
      <c r="P41276" s="5" t="s">
        <v>355</v>
      </c>
      <c r="Q41276" s="5" t="s">
        <v>355</v>
      </c>
    </row>
    <row r="41277" ht="16.5" customHeight="1">
      <c r="O41277" s="5" t="s">
        <v>355</v>
      </c>
      <c r="P41277" s="5" t="s">
        <v>355</v>
      </c>
      <c r="Q41277" s="5" t="s">
        <v>355</v>
      </c>
    </row>
    <row r="41278" ht="16.5" customHeight="1">
      <c r="O41278" s="5" t="s">
        <v>355</v>
      </c>
      <c r="P41278" s="5" t="s">
        <v>355</v>
      </c>
      <c r="Q41278" s="5" t="s">
        <v>355</v>
      </c>
    </row>
    <row r="41279" ht="16.5" customHeight="1">
      <c r="O41279" s="5" t="s">
        <v>355</v>
      </c>
      <c r="P41279" s="5" t="s">
        <v>355</v>
      </c>
      <c r="Q41279" s="5" t="s">
        <v>355</v>
      </c>
    </row>
    <row r="41280" ht="16.5" customHeight="1">
      <c r="O41280" s="5" t="s">
        <v>355</v>
      </c>
      <c r="P41280" s="5" t="s">
        <v>355</v>
      </c>
      <c r="Q41280" s="5" t="s">
        <v>355</v>
      </c>
    </row>
    <row r="41281" ht="16.5" customHeight="1">
      <c r="O41281" s="5" t="s">
        <v>355</v>
      </c>
      <c r="P41281" s="5" t="s">
        <v>355</v>
      </c>
      <c r="Q41281" s="5" t="s">
        <v>355</v>
      </c>
    </row>
    <row r="41282" ht="16.5" customHeight="1">
      <c r="O41282" s="5" t="s">
        <v>355</v>
      </c>
      <c r="P41282" s="5" t="s">
        <v>355</v>
      </c>
      <c r="Q41282" s="5" t="s">
        <v>355</v>
      </c>
    </row>
    <row r="41283" ht="16.5" customHeight="1">
      <c r="O41283" s="5" t="s">
        <v>355</v>
      </c>
      <c r="P41283" s="5" t="s">
        <v>355</v>
      </c>
      <c r="Q41283" s="5" t="s">
        <v>355</v>
      </c>
    </row>
    <row r="41284" ht="16.5" customHeight="1">
      <c r="O41284" s="5" t="s">
        <v>355</v>
      </c>
      <c r="P41284" s="5" t="s">
        <v>355</v>
      </c>
      <c r="Q41284" s="5" t="s">
        <v>355</v>
      </c>
    </row>
    <row r="41285" ht="16.5" customHeight="1">
      <c r="O41285" s="5" t="s">
        <v>355</v>
      </c>
      <c r="P41285" s="5" t="s">
        <v>355</v>
      </c>
      <c r="Q41285" s="5" t="s">
        <v>355</v>
      </c>
    </row>
    <row r="41286" ht="16.5" customHeight="1">
      <c r="O41286" s="5" t="s">
        <v>355</v>
      </c>
      <c r="P41286" s="5" t="s">
        <v>355</v>
      </c>
      <c r="Q41286" s="5" t="s">
        <v>355</v>
      </c>
    </row>
    <row r="41287" ht="16.5" customHeight="1">
      <c r="O41287" s="5" t="s">
        <v>355</v>
      </c>
      <c r="P41287" s="5" t="s">
        <v>355</v>
      </c>
      <c r="Q41287" s="5" t="s">
        <v>355</v>
      </c>
    </row>
    <row r="41288" ht="16.5" customHeight="1">
      <c r="O41288" s="5" t="s">
        <v>355</v>
      </c>
      <c r="P41288" s="5" t="s">
        <v>355</v>
      </c>
      <c r="Q41288" s="5" t="s">
        <v>355</v>
      </c>
    </row>
    <row r="41289" ht="16.5" customHeight="1">
      <c r="O41289" s="5" t="s">
        <v>355</v>
      </c>
      <c r="P41289" s="5" t="s">
        <v>355</v>
      </c>
      <c r="Q41289" s="5" t="s">
        <v>355</v>
      </c>
    </row>
    <row r="41290" ht="16.5" customHeight="1">
      <c r="O41290" s="5" t="s">
        <v>355</v>
      </c>
      <c r="P41290" s="5" t="s">
        <v>355</v>
      </c>
      <c r="Q41290" s="5" t="s">
        <v>355</v>
      </c>
    </row>
    <row r="41291" ht="16.5" customHeight="1">
      <c r="O41291" s="5" t="s">
        <v>355</v>
      </c>
      <c r="P41291" s="5" t="s">
        <v>355</v>
      </c>
      <c r="Q41291" s="5" t="s">
        <v>355</v>
      </c>
    </row>
    <row r="41292" ht="16.5" customHeight="1">
      <c r="O41292" s="5" t="s">
        <v>355</v>
      </c>
      <c r="P41292" s="5" t="s">
        <v>355</v>
      </c>
      <c r="Q41292" s="5" t="s">
        <v>355</v>
      </c>
    </row>
    <row r="41293" ht="16.5" customHeight="1">
      <c r="O41293" s="5" t="s">
        <v>355</v>
      </c>
      <c r="P41293" s="5" t="s">
        <v>355</v>
      </c>
      <c r="Q41293" s="5" t="s">
        <v>355</v>
      </c>
    </row>
    <row r="41294" ht="16.5" customHeight="1">
      <c r="O41294" s="5" t="s">
        <v>355</v>
      </c>
      <c r="P41294" s="5" t="s">
        <v>355</v>
      </c>
      <c r="Q41294" s="5" t="s">
        <v>355</v>
      </c>
    </row>
    <row r="41295" ht="16.5" customHeight="1">
      <c r="O41295" s="5" t="s">
        <v>355</v>
      </c>
      <c r="P41295" s="5" t="s">
        <v>355</v>
      </c>
      <c r="Q41295" s="5" t="s">
        <v>355</v>
      </c>
    </row>
    <row r="41296" ht="16.5" customHeight="1">
      <c r="O41296" s="5" t="s">
        <v>355</v>
      </c>
      <c r="P41296" s="5" t="s">
        <v>355</v>
      </c>
      <c r="Q41296" s="5" t="s">
        <v>355</v>
      </c>
    </row>
    <row r="41297" ht="16.5" customHeight="1">
      <c r="O41297" s="5" t="s">
        <v>355</v>
      </c>
      <c r="P41297" s="5" t="s">
        <v>355</v>
      </c>
      <c r="Q41297" s="5" t="s">
        <v>355</v>
      </c>
    </row>
    <row r="41298" ht="16.5" customHeight="1">
      <c r="O41298" s="5" t="s">
        <v>355</v>
      </c>
      <c r="P41298" s="5" t="s">
        <v>355</v>
      </c>
      <c r="Q41298" s="5" t="s">
        <v>355</v>
      </c>
    </row>
    <row r="41299" ht="16.5" customHeight="1">
      <c r="O41299" s="5" t="s">
        <v>355</v>
      </c>
      <c r="P41299" s="5" t="s">
        <v>355</v>
      </c>
      <c r="Q41299" s="5" t="s">
        <v>355</v>
      </c>
    </row>
    <row r="41300" ht="16.5" customHeight="1">
      <c r="O41300" s="5" t="s">
        <v>355</v>
      </c>
      <c r="P41300" s="5" t="s">
        <v>355</v>
      </c>
      <c r="Q41300" s="5" t="s">
        <v>355</v>
      </c>
    </row>
    <row r="41301" ht="16.5" customHeight="1">
      <c r="O41301" s="5" t="s">
        <v>355</v>
      </c>
      <c r="P41301" s="5" t="s">
        <v>355</v>
      </c>
      <c r="Q41301" s="5" t="s">
        <v>355</v>
      </c>
    </row>
    <row r="41302" ht="16.5" customHeight="1">
      <c r="O41302" s="5" t="s">
        <v>355</v>
      </c>
      <c r="P41302" s="5" t="s">
        <v>355</v>
      </c>
      <c r="Q41302" s="5" t="s">
        <v>355</v>
      </c>
    </row>
    <row r="41303" ht="16.5" customHeight="1">
      <c r="O41303" s="5" t="s">
        <v>355</v>
      </c>
      <c r="P41303" s="5" t="s">
        <v>355</v>
      </c>
      <c r="Q41303" s="5" t="s">
        <v>355</v>
      </c>
    </row>
    <row r="41304" ht="16.5" customHeight="1">
      <c r="O41304" s="5" t="s">
        <v>355</v>
      </c>
      <c r="P41304" s="5" t="s">
        <v>355</v>
      </c>
      <c r="Q41304" s="5" t="s">
        <v>355</v>
      </c>
    </row>
    <row r="41305" ht="16.5" customHeight="1">
      <c r="O41305" s="5" t="s">
        <v>355</v>
      </c>
      <c r="P41305" s="5" t="s">
        <v>355</v>
      </c>
      <c r="Q41305" s="5" t="s">
        <v>355</v>
      </c>
    </row>
    <row r="41306" ht="16.5" customHeight="1">
      <c r="O41306" s="5" t="s">
        <v>355</v>
      </c>
      <c r="P41306" s="5" t="s">
        <v>355</v>
      </c>
      <c r="Q41306" s="5" t="s">
        <v>355</v>
      </c>
    </row>
    <row r="41307" ht="16.5" customHeight="1">
      <c r="O41307" s="5" t="s">
        <v>355</v>
      </c>
      <c r="P41307" s="5" t="s">
        <v>355</v>
      </c>
      <c r="Q41307" s="5" t="s">
        <v>355</v>
      </c>
    </row>
    <row r="41308" ht="16.5" customHeight="1">
      <c r="O41308" s="5" t="s">
        <v>355</v>
      </c>
      <c r="P41308" s="5" t="s">
        <v>355</v>
      </c>
      <c r="Q41308" s="5" t="s">
        <v>355</v>
      </c>
    </row>
    <row r="41309" ht="16.5" customHeight="1">
      <c r="O41309" s="5" t="s">
        <v>355</v>
      </c>
      <c r="P41309" s="5" t="s">
        <v>355</v>
      </c>
      <c r="Q41309" s="5" t="s">
        <v>355</v>
      </c>
    </row>
    <row r="41310" ht="16.5" customHeight="1">
      <c r="O41310" s="5" t="s">
        <v>355</v>
      </c>
      <c r="P41310" s="5" t="s">
        <v>355</v>
      </c>
      <c r="Q41310" s="5" t="s">
        <v>355</v>
      </c>
    </row>
    <row r="41311" ht="16.5" customHeight="1">
      <c r="O41311" s="5" t="s">
        <v>355</v>
      </c>
      <c r="P41311" s="5" t="s">
        <v>355</v>
      </c>
      <c r="Q41311" s="5" t="s">
        <v>355</v>
      </c>
    </row>
    <row r="41312" ht="16.5" customHeight="1">
      <c r="O41312" s="5" t="s">
        <v>355</v>
      </c>
      <c r="P41312" s="5" t="s">
        <v>355</v>
      </c>
      <c r="Q41312" s="5" t="s">
        <v>355</v>
      </c>
    </row>
    <row r="41313" ht="16.5" customHeight="1">
      <c r="O41313" s="5" t="s">
        <v>355</v>
      </c>
      <c r="P41313" s="5" t="s">
        <v>355</v>
      </c>
      <c r="Q41313" s="5" t="s">
        <v>355</v>
      </c>
    </row>
    <row r="41314" ht="16.5" customHeight="1">
      <c r="O41314" s="5" t="s">
        <v>355</v>
      </c>
      <c r="P41314" s="5" t="s">
        <v>355</v>
      </c>
      <c r="Q41314" s="5" t="s">
        <v>355</v>
      </c>
    </row>
    <row r="41315" ht="16.5" customHeight="1">
      <c r="O41315" s="5" t="s">
        <v>355</v>
      </c>
      <c r="P41315" s="5" t="s">
        <v>355</v>
      </c>
      <c r="Q41315" s="5" t="s">
        <v>355</v>
      </c>
    </row>
    <row r="41316" ht="16.5" customHeight="1">
      <c r="O41316" s="5" t="s">
        <v>355</v>
      </c>
      <c r="P41316" s="5" t="s">
        <v>355</v>
      </c>
      <c r="Q41316" s="5" t="s">
        <v>355</v>
      </c>
    </row>
    <row r="41317" ht="16.5" customHeight="1">
      <c r="O41317" s="5" t="s">
        <v>355</v>
      </c>
      <c r="P41317" s="5" t="s">
        <v>355</v>
      </c>
      <c r="Q41317" s="5" t="s">
        <v>355</v>
      </c>
    </row>
    <row r="41318" ht="16.5" customHeight="1">
      <c r="O41318" s="5" t="s">
        <v>355</v>
      </c>
      <c r="P41318" s="5" t="s">
        <v>355</v>
      </c>
      <c r="Q41318" s="5" t="s">
        <v>355</v>
      </c>
    </row>
    <row r="41319" ht="16.5" customHeight="1">
      <c r="O41319" s="5" t="s">
        <v>355</v>
      </c>
      <c r="P41319" s="5" t="s">
        <v>355</v>
      </c>
      <c r="Q41319" s="5" t="s">
        <v>355</v>
      </c>
    </row>
    <row r="41320" ht="16.5" customHeight="1">
      <c r="O41320" s="5" t="s">
        <v>355</v>
      </c>
      <c r="P41320" s="5" t="s">
        <v>355</v>
      </c>
      <c r="Q41320" s="5" t="s">
        <v>355</v>
      </c>
    </row>
    <row r="41321" ht="16.5" customHeight="1">
      <c r="O41321" s="5" t="s">
        <v>355</v>
      </c>
      <c r="P41321" s="5" t="s">
        <v>355</v>
      </c>
      <c r="Q41321" s="5" t="s">
        <v>355</v>
      </c>
    </row>
    <row r="41322" ht="16.5" customHeight="1">
      <c r="O41322" s="5" t="s">
        <v>355</v>
      </c>
      <c r="P41322" s="5" t="s">
        <v>355</v>
      </c>
      <c r="Q41322" s="5" t="s">
        <v>355</v>
      </c>
    </row>
    <row r="41323" ht="16.5" customHeight="1">
      <c r="O41323" s="5" t="s">
        <v>355</v>
      </c>
      <c r="P41323" s="5" t="s">
        <v>355</v>
      </c>
      <c r="Q41323" s="5" t="s">
        <v>355</v>
      </c>
    </row>
    <row r="41324" ht="16.5" customHeight="1">
      <c r="O41324" s="5" t="s">
        <v>355</v>
      </c>
      <c r="P41324" s="5" t="s">
        <v>355</v>
      </c>
      <c r="Q41324" s="5" t="s">
        <v>355</v>
      </c>
    </row>
    <row r="41325" ht="16.5" customHeight="1">
      <c r="O41325" s="5" t="s">
        <v>355</v>
      </c>
      <c r="P41325" s="5" t="s">
        <v>355</v>
      </c>
      <c r="Q41325" s="5" t="s">
        <v>355</v>
      </c>
    </row>
    <row r="41326" ht="16.5" customHeight="1">
      <c r="O41326" s="5" t="s">
        <v>355</v>
      </c>
      <c r="P41326" s="5" t="s">
        <v>355</v>
      </c>
      <c r="Q41326" s="5" t="s">
        <v>355</v>
      </c>
    </row>
    <row r="41327" ht="16.5" customHeight="1">
      <c r="O41327" s="5" t="s">
        <v>355</v>
      </c>
      <c r="P41327" s="5" t="s">
        <v>355</v>
      </c>
      <c r="Q41327" s="5" t="s">
        <v>355</v>
      </c>
    </row>
    <row r="41328" ht="16.5" customHeight="1">
      <c r="O41328" s="5" t="s">
        <v>355</v>
      </c>
      <c r="P41328" s="5" t="s">
        <v>355</v>
      </c>
      <c r="Q41328" s="5" t="s">
        <v>355</v>
      </c>
    </row>
    <row r="41329" ht="16.5" customHeight="1">
      <c r="O41329" s="5" t="s">
        <v>355</v>
      </c>
      <c r="P41329" s="5" t="s">
        <v>355</v>
      </c>
      <c r="Q41329" s="5" t="s">
        <v>355</v>
      </c>
    </row>
    <row r="41330" ht="16.5" customHeight="1">
      <c r="O41330" s="5" t="s">
        <v>355</v>
      </c>
      <c r="P41330" s="5" t="s">
        <v>355</v>
      </c>
      <c r="Q41330" s="5" t="s">
        <v>355</v>
      </c>
    </row>
    <row r="41331" ht="16.5" customHeight="1">
      <c r="O41331" s="5" t="s">
        <v>355</v>
      </c>
      <c r="P41331" s="5" t="s">
        <v>355</v>
      </c>
      <c r="Q41331" s="5" t="s">
        <v>355</v>
      </c>
    </row>
    <row r="41332" ht="16.5" customHeight="1">
      <c r="O41332" s="5" t="s">
        <v>355</v>
      </c>
      <c r="P41332" s="5" t="s">
        <v>355</v>
      </c>
      <c r="Q41332" s="5" t="s">
        <v>355</v>
      </c>
    </row>
    <row r="41333" ht="16.5" customHeight="1">
      <c r="O41333" s="5" t="s">
        <v>355</v>
      </c>
      <c r="P41333" s="5" t="s">
        <v>355</v>
      </c>
      <c r="Q41333" s="5" t="s">
        <v>355</v>
      </c>
    </row>
    <row r="41334" ht="16.5" customHeight="1">
      <c r="O41334" s="5" t="s">
        <v>355</v>
      </c>
      <c r="P41334" s="5" t="s">
        <v>355</v>
      </c>
      <c r="Q41334" s="5" t="s">
        <v>355</v>
      </c>
    </row>
    <row r="41335" ht="16.5" customHeight="1">
      <c r="O41335" s="5" t="s">
        <v>355</v>
      </c>
      <c r="P41335" s="5" t="s">
        <v>355</v>
      </c>
      <c r="Q41335" s="5" t="s">
        <v>355</v>
      </c>
    </row>
    <row r="41336" ht="16.5" customHeight="1">
      <c r="O41336" s="5" t="s">
        <v>355</v>
      </c>
      <c r="P41336" s="5" t="s">
        <v>355</v>
      </c>
      <c r="Q41336" s="5" t="s">
        <v>355</v>
      </c>
    </row>
    <row r="41337" ht="16.5" customHeight="1">
      <c r="O41337" s="5" t="s">
        <v>355</v>
      </c>
      <c r="P41337" s="5" t="s">
        <v>355</v>
      </c>
      <c r="Q41337" s="5" t="s">
        <v>355</v>
      </c>
    </row>
    <row r="41338" ht="16.5" customHeight="1">
      <c r="O41338" s="5" t="s">
        <v>355</v>
      </c>
      <c r="P41338" s="5" t="s">
        <v>355</v>
      </c>
      <c r="Q41338" s="5" t="s">
        <v>355</v>
      </c>
    </row>
    <row r="41339" ht="16.5" customHeight="1">
      <c r="O41339" s="5" t="s">
        <v>355</v>
      </c>
      <c r="P41339" s="5" t="s">
        <v>355</v>
      </c>
      <c r="Q41339" s="5" t="s">
        <v>355</v>
      </c>
    </row>
    <row r="41340" ht="16.5" customHeight="1">
      <c r="O41340" s="5" t="s">
        <v>355</v>
      </c>
      <c r="P41340" s="5" t="s">
        <v>355</v>
      </c>
      <c r="Q41340" s="5" t="s">
        <v>355</v>
      </c>
    </row>
    <row r="41341" ht="16.5" customHeight="1">
      <c r="O41341" s="5" t="s">
        <v>355</v>
      </c>
      <c r="P41341" s="5" t="s">
        <v>355</v>
      </c>
      <c r="Q41341" s="5" t="s">
        <v>355</v>
      </c>
    </row>
    <row r="41342" ht="16.5" customHeight="1">
      <c r="O41342" s="5" t="s">
        <v>355</v>
      </c>
      <c r="P41342" s="5" t="s">
        <v>355</v>
      </c>
      <c r="Q41342" s="5" t="s">
        <v>355</v>
      </c>
    </row>
    <row r="41343" ht="16.5" customHeight="1">
      <c r="O41343" s="5" t="s">
        <v>355</v>
      </c>
      <c r="P41343" s="5" t="s">
        <v>355</v>
      </c>
      <c r="Q41343" s="5" t="s">
        <v>355</v>
      </c>
    </row>
    <row r="41344" ht="16.5" customHeight="1">
      <c r="O41344" s="5" t="s">
        <v>355</v>
      </c>
      <c r="P41344" s="5" t="s">
        <v>355</v>
      </c>
      <c r="Q41344" s="5" t="s">
        <v>355</v>
      </c>
    </row>
    <row r="41345" ht="16.5" customHeight="1">
      <c r="O41345" s="5" t="s">
        <v>355</v>
      </c>
      <c r="P41345" s="5" t="s">
        <v>355</v>
      </c>
      <c r="Q41345" s="5" t="s">
        <v>355</v>
      </c>
    </row>
    <row r="41346" ht="16.5" customHeight="1">
      <c r="O41346" s="5" t="s">
        <v>355</v>
      </c>
      <c r="P41346" s="5" t="s">
        <v>355</v>
      </c>
      <c r="Q41346" s="5" t="s">
        <v>355</v>
      </c>
    </row>
    <row r="41347" ht="16.5" customHeight="1">
      <c r="O41347" s="5" t="s">
        <v>355</v>
      </c>
      <c r="P41347" s="5" t="s">
        <v>355</v>
      </c>
      <c r="Q41347" s="5" t="s">
        <v>355</v>
      </c>
    </row>
    <row r="41348" ht="16.5" customHeight="1">
      <c r="O41348" s="5" t="s">
        <v>355</v>
      </c>
      <c r="P41348" s="5" t="s">
        <v>355</v>
      </c>
      <c r="Q41348" s="5" t="s">
        <v>355</v>
      </c>
    </row>
    <row r="41349" ht="16.5" customHeight="1">
      <c r="O41349" s="5" t="s">
        <v>355</v>
      </c>
      <c r="P41349" s="5" t="s">
        <v>355</v>
      </c>
      <c r="Q41349" s="5" t="s">
        <v>355</v>
      </c>
    </row>
    <row r="41350" ht="16.5" customHeight="1">
      <c r="O41350" s="5" t="s">
        <v>355</v>
      </c>
      <c r="P41350" s="5" t="s">
        <v>355</v>
      </c>
      <c r="Q41350" s="5" t="s">
        <v>355</v>
      </c>
    </row>
    <row r="41351" ht="16.5" customHeight="1">
      <c r="O41351" s="5" t="s">
        <v>355</v>
      </c>
      <c r="P41351" s="5" t="s">
        <v>355</v>
      </c>
      <c r="Q41351" s="5" t="s">
        <v>355</v>
      </c>
    </row>
    <row r="41352" ht="16.5" customHeight="1">
      <c r="O41352" s="5" t="s">
        <v>355</v>
      </c>
      <c r="P41352" s="5" t="s">
        <v>355</v>
      </c>
      <c r="Q41352" s="5" t="s">
        <v>355</v>
      </c>
    </row>
    <row r="41353" ht="16.5" customHeight="1">
      <c r="O41353" s="5" t="s">
        <v>355</v>
      </c>
      <c r="P41353" s="5" t="s">
        <v>355</v>
      </c>
      <c r="Q41353" s="5" t="s">
        <v>355</v>
      </c>
    </row>
    <row r="41354" ht="16.5" customHeight="1">
      <c r="O41354" s="5" t="s">
        <v>355</v>
      </c>
      <c r="P41354" s="5" t="s">
        <v>355</v>
      </c>
      <c r="Q41354" s="5" t="s">
        <v>355</v>
      </c>
    </row>
    <row r="41355" ht="16.5" customHeight="1">
      <c r="O41355" s="5" t="s">
        <v>355</v>
      </c>
      <c r="P41355" s="5" t="s">
        <v>355</v>
      </c>
      <c r="Q41355" s="5" t="s">
        <v>355</v>
      </c>
    </row>
    <row r="41356" ht="16.5" customHeight="1">
      <c r="O41356" s="5" t="s">
        <v>355</v>
      </c>
      <c r="P41356" s="5" t="s">
        <v>355</v>
      </c>
      <c r="Q41356" s="5" t="s">
        <v>355</v>
      </c>
    </row>
    <row r="41357" ht="16.5" customHeight="1">
      <c r="O41357" s="5" t="s">
        <v>355</v>
      </c>
      <c r="P41357" s="5" t="s">
        <v>355</v>
      </c>
      <c r="Q41357" s="5" t="s">
        <v>355</v>
      </c>
    </row>
    <row r="41358" ht="16.5" customHeight="1">
      <c r="O41358" s="5" t="s">
        <v>355</v>
      </c>
      <c r="P41358" s="5" t="s">
        <v>355</v>
      </c>
      <c r="Q41358" s="5" t="s">
        <v>355</v>
      </c>
    </row>
    <row r="41359" ht="16.5" customHeight="1">
      <c r="O41359" s="5" t="s">
        <v>355</v>
      </c>
      <c r="P41359" s="5" t="s">
        <v>355</v>
      </c>
      <c r="Q41359" s="5" t="s">
        <v>355</v>
      </c>
    </row>
    <row r="41360" ht="16.5" customHeight="1">
      <c r="O41360" s="5" t="s">
        <v>355</v>
      </c>
      <c r="P41360" s="5" t="s">
        <v>355</v>
      </c>
      <c r="Q41360" s="5" t="s">
        <v>355</v>
      </c>
    </row>
    <row r="41361" ht="16.5" customHeight="1">
      <c r="O41361" s="5" t="s">
        <v>355</v>
      </c>
      <c r="P41361" s="5" t="s">
        <v>355</v>
      </c>
      <c r="Q41361" s="5" t="s">
        <v>355</v>
      </c>
    </row>
    <row r="41362" ht="16.5" customHeight="1">
      <c r="O41362" s="5" t="s">
        <v>355</v>
      </c>
      <c r="P41362" s="5" t="s">
        <v>355</v>
      </c>
      <c r="Q41362" s="5" t="s">
        <v>355</v>
      </c>
    </row>
    <row r="41363" ht="16.5" customHeight="1">
      <c r="O41363" s="5" t="s">
        <v>355</v>
      </c>
      <c r="P41363" s="5" t="s">
        <v>355</v>
      </c>
      <c r="Q41363" s="5" t="s">
        <v>355</v>
      </c>
    </row>
    <row r="41364" ht="16.5" customHeight="1">
      <c r="O41364" s="5" t="s">
        <v>355</v>
      </c>
      <c r="P41364" s="5" t="s">
        <v>355</v>
      </c>
      <c r="Q41364" s="5" t="s">
        <v>355</v>
      </c>
    </row>
    <row r="41365" ht="16.5" customHeight="1">
      <c r="O41365" s="5" t="s">
        <v>355</v>
      </c>
      <c r="P41365" s="5" t="s">
        <v>355</v>
      </c>
      <c r="Q41365" s="5" t="s">
        <v>355</v>
      </c>
    </row>
    <row r="41366" ht="16.5" customHeight="1">
      <c r="O41366" s="5" t="s">
        <v>355</v>
      </c>
      <c r="P41366" s="5" t="s">
        <v>355</v>
      </c>
      <c r="Q41366" s="5" t="s">
        <v>355</v>
      </c>
    </row>
    <row r="41367" ht="16.5" customHeight="1">
      <c r="O41367" s="5" t="s">
        <v>355</v>
      </c>
      <c r="P41367" s="5" t="s">
        <v>355</v>
      </c>
      <c r="Q41367" s="5" t="s">
        <v>355</v>
      </c>
    </row>
    <row r="41368" ht="16.5" customHeight="1">
      <c r="O41368" s="5" t="s">
        <v>355</v>
      </c>
      <c r="P41368" s="5" t="s">
        <v>355</v>
      </c>
      <c r="Q41368" s="5" t="s">
        <v>355</v>
      </c>
    </row>
    <row r="41369" ht="16.5" customHeight="1">
      <c r="O41369" s="5" t="s">
        <v>355</v>
      </c>
      <c r="P41369" s="5" t="s">
        <v>355</v>
      </c>
      <c r="Q41369" s="5" t="s">
        <v>355</v>
      </c>
    </row>
    <row r="41370" ht="16.5" customHeight="1">
      <c r="O41370" s="5" t="s">
        <v>355</v>
      </c>
      <c r="P41370" s="5" t="s">
        <v>355</v>
      </c>
      <c r="Q41370" s="5" t="s">
        <v>355</v>
      </c>
    </row>
    <row r="41371" ht="16.5" customHeight="1">
      <c r="O41371" s="5" t="s">
        <v>355</v>
      </c>
      <c r="P41371" s="5" t="s">
        <v>355</v>
      </c>
      <c r="Q41371" s="5" t="s">
        <v>355</v>
      </c>
    </row>
    <row r="41372" ht="16.5" customHeight="1">
      <c r="O41372" s="5" t="s">
        <v>355</v>
      </c>
      <c r="P41372" s="5" t="s">
        <v>355</v>
      </c>
      <c r="Q41372" s="5" t="s">
        <v>355</v>
      </c>
    </row>
    <row r="41373" ht="16.5" customHeight="1">
      <c r="O41373" s="5" t="s">
        <v>355</v>
      </c>
      <c r="P41373" s="5" t="s">
        <v>355</v>
      </c>
      <c r="Q41373" s="5" t="s">
        <v>355</v>
      </c>
    </row>
    <row r="41374" ht="16.5" customHeight="1">
      <c r="O41374" s="5" t="s">
        <v>355</v>
      </c>
      <c r="P41374" s="5" t="s">
        <v>355</v>
      </c>
      <c r="Q41374" s="5" t="s">
        <v>355</v>
      </c>
    </row>
    <row r="41375" ht="16.5" customHeight="1">
      <c r="O41375" s="5" t="s">
        <v>355</v>
      </c>
      <c r="P41375" s="5" t="s">
        <v>355</v>
      </c>
      <c r="Q41375" s="5" t="s">
        <v>355</v>
      </c>
    </row>
    <row r="41376" ht="16.5" customHeight="1">
      <c r="O41376" s="5" t="s">
        <v>355</v>
      </c>
      <c r="P41376" s="5" t="s">
        <v>355</v>
      </c>
      <c r="Q41376" s="5" t="s">
        <v>355</v>
      </c>
    </row>
    <row r="41377" ht="16.5" customHeight="1">
      <c r="O41377" s="5" t="s">
        <v>355</v>
      </c>
      <c r="P41377" s="5" t="s">
        <v>355</v>
      </c>
      <c r="Q41377" s="5" t="s">
        <v>355</v>
      </c>
    </row>
    <row r="41378" ht="16.5" customHeight="1">
      <c r="O41378" s="5" t="s">
        <v>355</v>
      </c>
      <c r="P41378" s="5" t="s">
        <v>355</v>
      </c>
      <c r="Q41378" s="5" t="s">
        <v>355</v>
      </c>
    </row>
    <row r="41379" ht="16.5" customHeight="1">
      <c r="O41379" s="5" t="s">
        <v>355</v>
      </c>
      <c r="P41379" s="5" t="s">
        <v>355</v>
      </c>
      <c r="Q41379" s="5" t="s">
        <v>355</v>
      </c>
    </row>
    <row r="41380" ht="16.5" customHeight="1">
      <c r="O41380" s="5" t="s">
        <v>355</v>
      </c>
      <c r="P41380" s="5" t="s">
        <v>355</v>
      </c>
      <c r="Q41380" s="5" t="s">
        <v>355</v>
      </c>
    </row>
    <row r="41381" ht="16.5" customHeight="1">
      <c r="O41381" s="5" t="s">
        <v>355</v>
      </c>
      <c r="P41381" s="5" t="s">
        <v>355</v>
      </c>
      <c r="Q41381" s="5" t="s">
        <v>355</v>
      </c>
    </row>
    <row r="41382" ht="16.5" customHeight="1">
      <c r="O41382" s="5" t="s">
        <v>355</v>
      </c>
      <c r="P41382" s="5" t="s">
        <v>355</v>
      </c>
      <c r="Q41382" s="5" t="s">
        <v>355</v>
      </c>
    </row>
    <row r="41383" ht="16.5" customHeight="1">
      <c r="O41383" s="5" t="s">
        <v>355</v>
      </c>
      <c r="P41383" s="5" t="s">
        <v>355</v>
      </c>
      <c r="Q41383" s="5" t="s">
        <v>355</v>
      </c>
    </row>
    <row r="41384" ht="16.5" customHeight="1">
      <c r="O41384" s="5" t="s">
        <v>355</v>
      </c>
      <c r="P41384" s="5" t="s">
        <v>355</v>
      </c>
      <c r="Q41384" s="5" t="s">
        <v>355</v>
      </c>
    </row>
    <row r="41385" ht="16.5" customHeight="1">
      <c r="O41385" s="5" t="s">
        <v>355</v>
      </c>
      <c r="P41385" s="5" t="s">
        <v>355</v>
      </c>
      <c r="Q41385" s="5" t="s">
        <v>355</v>
      </c>
    </row>
    <row r="41386" ht="16.5" customHeight="1">
      <c r="O41386" s="5" t="s">
        <v>355</v>
      </c>
      <c r="P41386" s="5" t="s">
        <v>355</v>
      </c>
      <c r="Q41386" s="5" t="s">
        <v>355</v>
      </c>
    </row>
    <row r="41387" ht="16.5" customHeight="1">
      <c r="O41387" s="5" t="s">
        <v>355</v>
      </c>
      <c r="P41387" s="5" t="s">
        <v>355</v>
      </c>
      <c r="Q41387" s="5" t="s">
        <v>355</v>
      </c>
    </row>
    <row r="41388" ht="16.5" customHeight="1">
      <c r="O41388" s="5" t="s">
        <v>355</v>
      </c>
      <c r="P41388" s="5" t="s">
        <v>355</v>
      </c>
      <c r="Q41388" s="5" t="s">
        <v>355</v>
      </c>
    </row>
    <row r="41389" ht="16.5" customHeight="1">
      <c r="O41389" s="5" t="s">
        <v>355</v>
      </c>
      <c r="P41389" s="5" t="s">
        <v>355</v>
      </c>
      <c r="Q41389" s="5" t="s">
        <v>355</v>
      </c>
    </row>
    <row r="41390" ht="16.5" customHeight="1">
      <c r="O41390" s="5" t="s">
        <v>355</v>
      </c>
      <c r="P41390" s="5" t="s">
        <v>355</v>
      </c>
      <c r="Q41390" s="5" t="s">
        <v>355</v>
      </c>
    </row>
    <row r="41391" ht="16.5" customHeight="1">
      <c r="O41391" s="5" t="s">
        <v>355</v>
      </c>
      <c r="P41391" s="5" t="s">
        <v>355</v>
      </c>
      <c r="Q41391" s="5" t="s">
        <v>355</v>
      </c>
    </row>
    <row r="41392" ht="16.5" customHeight="1">
      <c r="O41392" s="5" t="s">
        <v>355</v>
      </c>
      <c r="P41392" s="5" t="s">
        <v>355</v>
      </c>
      <c r="Q41392" s="5" t="s">
        <v>355</v>
      </c>
    </row>
    <row r="41393" ht="16.5" customHeight="1">
      <c r="O41393" s="5" t="s">
        <v>355</v>
      </c>
      <c r="P41393" s="5" t="s">
        <v>355</v>
      </c>
      <c r="Q41393" s="5" t="s">
        <v>355</v>
      </c>
    </row>
    <row r="41394" ht="16.5" customHeight="1">
      <c r="O41394" s="5" t="s">
        <v>355</v>
      </c>
      <c r="P41394" s="5" t="s">
        <v>355</v>
      </c>
      <c r="Q41394" s="5" t="s">
        <v>355</v>
      </c>
    </row>
    <row r="41395" ht="16.5" customHeight="1">
      <c r="O41395" s="5" t="s">
        <v>355</v>
      </c>
      <c r="P41395" s="5" t="s">
        <v>355</v>
      </c>
      <c r="Q41395" s="5" t="s">
        <v>355</v>
      </c>
    </row>
    <row r="41396" ht="16.5" customHeight="1">
      <c r="O41396" s="5" t="s">
        <v>355</v>
      </c>
      <c r="P41396" s="5" t="s">
        <v>355</v>
      </c>
      <c r="Q41396" s="5" t="s">
        <v>355</v>
      </c>
    </row>
    <row r="41397" ht="16.5" customHeight="1">
      <c r="O41397" s="5" t="s">
        <v>355</v>
      </c>
      <c r="P41397" s="5" t="s">
        <v>355</v>
      </c>
      <c r="Q41397" s="5" t="s">
        <v>355</v>
      </c>
    </row>
    <row r="41398" ht="16.5" customHeight="1">
      <c r="O41398" s="5" t="s">
        <v>355</v>
      </c>
      <c r="P41398" s="5" t="s">
        <v>355</v>
      </c>
      <c r="Q41398" s="5" t="s">
        <v>355</v>
      </c>
    </row>
    <row r="41399" ht="16.5" customHeight="1">
      <c r="O41399" s="5" t="s">
        <v>355</v>
      </c>
      <c r="P41399" s="5" t="s">
        <v>355</v>
      </c>
      <c r="Q41399" s="5" t="s">
        <v>355</v>
      </c>
    </row>
    <row r="41400" ht="16.5" customHeight="1">
      <c r="O41400" s="5" t="s">
        <v>355</v>
      </c>
      <c r="P41400" s="5" t="s">
        <v>355</v>
      </c>
      <c r="Q41400" s="5" t="s">
        <v>355</v>
      </c>
    </row>
    <row r="41401" ht="16.5" customHeight="1">
      <c r="O41401" s="5" t="s">
        <v>355</v>
      </c>
      <c r="P41401" s="5" t="s">
        <v>355</v>
      </c>
      <c r="Q41401" s="5" t="s">
        <v>355</v>
      </c>
    </row>
    <row r="41402" ht="16.5" customHeight="1">
      <c r="O41402" s="5" t="s">
        <v>355</v>
      </c>
      <c r="P41402" s="5" t="s">
        <v>355</v>
      </c>
      <c r="Q41402" s="5" t="s">
        <v>355</v>
      </c>
    </row>
    <row r="41403" ht="16.5" customHeight="1">
      <c r="O41403" s="5" t="s">
        <v>355</v>
      </c>
      <c r="P41403" s="5" t="s">
        <v>355</v>
      </c>
      <c r="Q41403" s="5" t="s">
        <v>355</v>
      </c>
    </row>
    <row r="41404" ht="16.5" customHeight="1">
      <c r="O41404" s="5" t="s">
        <v>355</v>
      </c>
      <c r="P41404" s="5" t="s">
        <v>355</v>
      </c>
      <c r="Q41404" s="5" t="s">
        <v>355</v>
      </c>
    </row>
    <row r="41405" ht="16.5" customHeight="1">
      <c r="O41405" s="5" t="s">
        <v>355</v>
      </c>
      <c r="P41405" s="5" t="s">
        <v>355</v>
      </c>
      <c r="Q41405" s="5" t="s">
        <v>355</v>
      </c>
    </row>
    <row r="41406" ht="16.5" customHeight="1">
      <c r="O41406" s="5" t="s">
        <v>355</v>
      </c>
      <c r="P41406" s="5" t="s">
        <v>355</v>
      </c>
      <c r="Q41406" s="5" t="s">
        <v>355</v>
      </c>
    </row>
    <row r="41407" ht="16.5" customHeight="1">
      <c r="O41407" s="5" t="s">
        <v>355</v>
      </c>
      <c r="P41407" s="5" t="s">
        <v>355</v>
      </c>
      <c r="Q41407" s="5" t="s">
        <v>355</v>
      </c>
    </row>
    <row r="41408" ht="16.5" customHeight="1">
      <c r="O41408" s="5" t="s">
        <v>355</v>
      </c>
      <c r="P41408" s="5" t="s">
        <v>355</v>
      </c>
      <c r="Q41408" s="5" t="s">
        <v>355</v>
      </c>
    </row>
    <row r="41409" ht="16.5" customHeight="1">
      <c r="O41409" s="5" t="s">
        <v>355</v>
      </c>
      <c r="P41409" s="5" t="s">
        <v>355</v>
      </c>
      <c r="Q41409" s="5" t="s">
        <v>355</v>
      </c>
    </row>
    <row r="41410" ht="16.5" customHeight="1">
      <c r="O41410" s="5" t="s">
        <v>355</v>
      </c>
      <c r="P41410" s="5" t="s">
        <v>355</v>
      </c>
      <c r="Q41410" s="5" t="s">
        <v>355</v>
      </c>
    </row>
    <row r="41411" ht="16.5" customHeight="1">
      <c r="O41411" s="5" t="s">
        <v>355</v>
      </c>
      <c r="P41411" s="5" t="s">
        <v>355</v>
      </c>
      <c r="Q41411" s="5" t="s">
        <v>355</v>
      </c>
    </row>
    <row r="41412" ht="16.5" customHeight="1">
      <c r="O41412" s="5" t="s">
        <v>355</v>
      </c>
      <c r="P41412" s="5" t="s">
        <v>355</v>
      </c>
      <c r="Q41412" s="5" t="s">
        <v>355</v>
      </c>
    </row>
    <row r="41413" ht="16.5" customHeight="1">
      <c r="O41413" s="5" t="s">
        <v>355</v>
      </c>
      <c r="P41413" s="5" t="s">
        <v>355</v>
      </c>
      <c r="Q41413" s="5" t="s">
        <v>355</v>
      </c>
    </row>
    <row r="41414" ht="16.5" customHeight="1">
      <c r="O41414" s="5" t="s">
        <v>355</v>
      </c>
      <c r="P41414" s="5" t="s">
        <v>355</v>
      </c>
      <c r="Q41414" s="5" t="s">
        <v>355</v>
      </c>
    </row>
    <row r="41415" ht="16.5" customHeight="1">
      <c r="O41415" s="5" t="s">
        <v>355</v>
      </c>
      <c r="P41415" s="5" t="s">
        <v>355</v>
      </c>
      <c r="Q41415" s="5" t="s">
        <v>355</v>
      </c>
    </row>
    <row r="41416" ht="16.5" customHeight="1">
      <c r="O41416" s="5" t="s">
        <v>355</v>
      </c>
      <c r="P41416" s="5" t="s">
        <v>355</v>
      </c>
      <c r="Q41416" s="5" t="s">
        <v>355</v>
      </c>
    </row>
    <row r="41417" ht="16.5" customHeight="1">
      <c r="O41417" s="5" t="s">
        <v>355</v>
      </c>
      <c r="P41417" s="5" t="s">
        <v>355</v>
      </c>
      <c r="Q41417" s="5" t="s">
        <v>355</v>
      </c>
    </row>
    <row r="41418" ht="16.5" customHeight="1">
      <c r="O41418" s="5" t="s">
        <v>355</v>
      </c>
      <c r="P41418" s="5" t="s">
        <v>355</v>
      </c>
      <c r="Q41418" s="5" t="s">
        <v>355</v>
      </c>
    </row>
    <row r="41419" ht="16.5" customHeight="1">
      <c r="O41419" s="5" t="s">
        <v>355</v>
      </c>
      <c r="P41419" s="5" t="s">
        <v>355</v>
      </c>
      <c r="Q41419" s="5" t="s">
        <v>355</v>
      </c>
    </row>
    <row r="41420" ht="16.5" customHeight="1">
      <c r="O41420" s="5" t="s">
        <v>355</v>
      </c>
      <c r="P41420" s="5" t="s">
        <v>355</v>
      </c>
      <c r="Q41420" s="5" t="s">
        <v>355</v>
      </c>
    </row>
    <row r="41421" ht="16.5" customHeight="1">
      <c r="O41421" s="5" t="s">
        <v>355</v>
      </c>
      <c r="P41421" s="5" t="s">
        <v>355</v>
      </c>
      <c r="Q41421" s="5" t="s">
        <v>355</v>
      </c>
    </row>
    <row r="41422" ht="16.5" customHeight="1">
      <c r="O41422" s="5" t="s">
        <v>355</v>
      </c>
      <c r="P41422" s="5" t="s">
        <v>355</v>
      </c>
      <c r="Q41422" s="5" t="s">
        <v>355</v>
      </c>
    </row>
    <row r="41423" ht="16.5" customHeight="1">
      <c r="O41423" s="5" t="s">
        <v>355</v>
      </c>
      <c r="P41423" s="5" t="s">
        <v>355</v>
      </c>
      <c r="Q41423" s="5" t="s">
        <v>355</v>
      </c>
    </row>
    <row r="41424" ht="16.5" customHeight="1">
      <c r="O41424" s="5" t="s">
        <v>355</v>
      </c>
      <c r="P41424" s="5" t="s">
        <v>355</v>
      </c>
      <c r="Q41424" s="5" t="s">
        <v>355</v>
      </c>
    </row>
    <row r="41425" ht="16.5" customHeight="1">
      <c r="O41425" s="5" t="s">
        <v>355</v>
      </c>
      <c r="P41425" s="5" t="s">
        <v>355</v>
      </c>
      <c r="Q41425" s="5" t="s">
        <v>355</v>
      </c>
    </row>
    <row r="41426" ht="16.5" customHeight="1">
      <c r="O41426" s="5" t="s">
        <v>355</v>
      </c>
      <c r="P41426" s="5" t="s">
        <v>355</v>
      </c>
      <c r="Q41426" s="5" t="s">
        <v>355</v>
      </c>
    </row>
    <row r="41427" ht="16.5" customHeight="1">
      <c r="O41427" s="5" t="s">
        <v>355</v>
      </c>
      <c r="P41427" s="5" t="s">
        <v>355</v>
      </c>
      <c r="Q41427" s="5" t="s">
        <v>355</v>
      </c>
    </row>
    <row r="41428" ht="16.5" customHeight="1">
      <c r="O41428" s="5" t="s">
        <v>355</v>
      </c>
      <c r="P41428" s="5" t="s">
        <v>355</v>
      </c>
      <c r="Q41428" s="5" t="s">
        <v>355</v>
      </c>
    </row>
    <row r="41429" ht="16.5" customHeight="1">
      <c r="O41429" s="5" t="s">
        <v>355</v>
      </c>
      <c r="P41429" s="5" t="s">
        <v>355</v>
      </c>
      <c r="Q41429" s="5" t="s">
        <v>355</v>
      </c>
    </row>
    <row r="41430" ht="16.5" customHeight="1">
      <c r="O41430" s="5" t="s">
        <v>355</v>
      </c>
      <c r="P41430" s="5" t="s">
        <v>355</v>
      </c>
      <c r="Q41430" s="5" t="s">
        <v>355</v>
      </c>
    </row>
    <row r="41431" ht="16.5" customHeight="1">
      <c r="O41431" s="5" t="s">
        <v>355</v>
      </c>
      <c r="P41431" s="5" t="s">
        <v>355</v>
      </c>
      <c r="Q41431" s="5" t="s">
        <v>355</v>
      </c>
    </row>
    <row r="41432" ht="16.5" customHeight="1">
      <c r="O41432" s="5" t="s">
        <v>355</v>
      </c>
      <c r="P41432" s="5" t="s">
        <v>355</v>
      </c>
      <c r="Q41432" s="5" t="s">
        <v>355</v>
      </c>
    </row>
    <row r="41433" ht="16.5" customHeight="1">
      <c r="O41433" s="5" t="s">
        <v>355</v>
      </c>
      <c r="P41433" s="5" t="s">
        <v>355</v>
      </c>
      <c r="Q41433" s="5" t="s">
        <v>355</v>
      </c>
    </row>
    <row r="41434" ht="16.5" customHeight="1">
      <c r="O41434" s="5" t="s">
        <v>355</v>
      </c>
      <c r="P41434" s="5" t="s">
        <v>355</v>
      </c>
      <c r="Q41434" s="5" t="s">
        <v>355</v>
      </c>
    </row>
    <row r="41435" ht="16.5" customHeight="1">
      <c r="O41435" s="5" t="s">
        <v>355</v>
      </c>
      <c r="P41435" s="5" t="s">
        <v>355</v>
      </c>
      <c r="Q41435" s="5" t="s">
        <v>355</v>
      </c>
    </row>
    <row r="41436" ht="16.5" customHeight="1">
      <c r="O41436" s="5" t="s">
        <v>355</v>
      </c>
      <c r="P41436" s="5" t="s">
        <v>355</v>
      </c>
      <c r="Q41436" s="5" t="s">
        <v>355</v>
      </c>
    </row>
    <row r="41437" ht="16.5" customHeight="1">
      <c r="O41437" s="5" t="s">
        <v>355</v>
      </c>
      <c r="P41437" s="5" t="s">
        <v>355</v>
      </c>
      <c r="Q41437" s="5" t="s">
        <v>355</v>
      </c>
    </row>
    <row r="41438" ht="16.5" customHeight="1">
      <c r="O41438" s="5" t="s">
        <v>355</v>
      </c>
      <c r="P41438" s="5" t="s">
        <v>355</v>
      </c>
      <c r="Q41438" s="5" t="s">
        <v>355</v>
      </c>
    </row>
    <row r="41439" ht="16.5" customHeight="1">
      <c r="O41439" s="5" t="s">
        <v>355</v>
      </c>
      <c r="P41439" s="5" t="s">
        <v>355</v>
      </c>
      <c r="Q41439" s="5" t="s">
        <v>355</v>
      </c>
    </row>
    <row r="41440" ht="16.5" customHeight="1">
      <c r="O41440" s="5" t="s">
        <v>355</v>
      </c>
      <c r="P41440" s="5" t="s">
        <v>355</v>
      </c>
      <c r="Q41440" s="5" t="s">
        <v>355</v>
      </c>
    </row>
    <row r="41441" ht="16.5" customHeight="1">
      <c r="O41441" s="5" t="s">
        <v>355</v>
      </c>
      <c r="P41441" s="5" t="s">
        <v>355</v>
      </c>
      <c r="Q41441" s="5" t="s">
        <v>355</v>
      </c>
    </row>
    <row r="41442" ht="16.5" customHeight="1">
      <c r="O41442" s="5" t="s">
        <v>355</v>
      </c>
      <c r="P41442" s="5" t="s">
        <v>355</v>
      </c>
      <c r="Q41442" s="5" t="s">
        <v>355</v>
      </c>
    </row>
    <row r="41443" ht="16.5" customHeight="1">
      <c r="O41443" s="5" t="s">
        <v>355</v>
      </c>
      <c r="P41443" s="5" t="s">
        <v>355</v>
      </c>
      <c r="Q41443" s="5" t="s">
        <v>355</v>
      </c>
    </row>
    <row r="41444" ht="16.5" customHeight="1">
      <c r="O41444" s="5" t="s">
        <v>355</v>
      </c>
      <c r="P41444" s="5" t="s">
        <v>355</v>
      </c>
      <c r="Q41444" s="5" t="s">
        <v>355</v>
      </c>
    </row>
    <row r="41445" ht="16.5" customHeight="1">
      <c r="O41445" s="5" t="s">
        <v>355</v>
      </c>
      <c r="P41445" s="5" t="s">
        <v>355</v>
      </c>
      <c r="Q41445" s="5" t="s">
        <v>355</v>
      </c>
    </row>
    <row r="41446" ht="16.5" customHeight="1">
      <c r="O41446" s="5" t="s">
        <v>355</v>
      </c>
      <c r="P41446" s="5" t="s">
        <v>355</v>
      </c>
      <c r="Q41446" s="5" t="s">
        <v>355</v>
      </c>
    </row>
    <row r="41447" ht="16.5" customHeight="1">
      <c r="O41447" s="5" t="s">
        <v>355</v>
      </c>
      <c r="P41447" s="5" t="s">
        <v>355</v>
      </c>
      <c r="Q41447" s="5" t="s">
        <v>355</v>
      </c>
    </row>
    <row r="41448" ht="16.5" customHeight="1">
      <c r="O41448" s="5" t="s">
        <v>355</v>
      </c>
      <c r="P41448" s="5" t="s">
        <v>355</v>
      </c>
      <c r="Q41448" s="5" t="s">
        <v>355</v>
      </c>
    </row>
    <row r="41449" ht="16.5" customHeight="1">
      <c r="O41449" s="5" t="s">
        <v>355</v>
      </c>
      <c r="P41449" s="5" t="s">
        <v>355</v>
      </c>
      <c r="Q41449" s="5" t="s">
        <v>355</v>
      </c>
    </row>
    <row r="41450" ht="16.5" customHeight="1">
      <c r="O41450" s="5" t="s">
        <v>355</v>
      </c>
      <c r="P41450" s="5" t="s">
        <v>355</v>
      </c>
      <c r="Q41450" s="5" t="s">
        <v>355</v>
      </c>
    </row>
    <row r="41451" ht="16.5" customHeight="1">
      <c r="O41451" s="5" t="s">
        <v>355</v>
      </c>
      <c r="P41451" s="5" t="s">
        <v>355</v>
      </c>
      <c r="Q41451" s="5" t="s">
        <v>355</v>
      </c>
    </row>
    <row r="41452" ht="16.5" customHeight="1">
      <c r="O41452" s="5" t="s">
        <v>355</v>
      </c>
      <c r="P41452" s="5" t="s">
        <v>355</v>
      </c>
      <c r="Q41452" s="5" t="s">
        <v>355</v>
      </c>
    </row>
    <row r="41453" ht="16.5" customHeight="1">
      <c r="O41453" s="5" t="s">
        <v>355</v>
      </c>
      <c r="P41453" s="5" t="s">
        <v>355</v>
      </c>
      <c r="Q41453" s="5" t="s">
        <v>355</v>
      </c>
    </row>
    <row r="41454" ht="16.5" customHeight="1">
      <c r="O41454" s="5" t="s">
        <v>355</v>
      </c>
      <c r="P41454" s="5" t="s">
        <v>355</v>
      </c>
      <c r="Q41454" s="5" t="s">
        <v>355</v>
      </c>
    </row>
    <row r="41455" ht="16.5" customHeight="1">
      <c r="O41455" s="5" t="s">
        <v>355</v>
      </c>
      <c r="P41455" s="5" t="s">
        <v>355</v>
      </c>
      <c r="Q41455" s="5" t="s">
        <v>355</v>
      </c>
    </row>
    <row r="41456" ht="16.5" customHeight="1">
      <c r="O41456" s="5" t="s">
        <v>355</v>
      </c>
      <c r="P41456" s="5" t="s">
        <v>355</v>
      </c>
      <c r="Q41456" s="5" t="s">
        <v>355</v>
      </c>
    </row>
    <row r="41457" ht="16.5" customHeight="1">
      <c r="O41457" s="5" t="s">
        <v>355</v>
      </c>
      <c r="P41457" s="5" t="s">
        <v>355</v>
      </c>
      <c r="Q41457" s="5" t="s">
        <v>355</v>
      </c>
    </row>
    <row r="41458" ht="16.5" customHeight="1">
      <c r="O41458" s="5" t="s">
        <v>355</v>
      </c>
      <c r="P41458" s="5" t="s">
        <v>355</v>
      </c>
      <c r="Q41458" s="5" t="s">
        <v>355</v>
      </c>
    </row>
    <row r="41459" ht="16.5" customHeight="1">
      <c r="O41459" s="5" t="s">
        <v>355</v>
      </c>
      <c r="P41459" s="5" t="s">
        <v>355</v>
      </c>
      <c r="Q41459" s="5" t="s">
        <v>355</v>
      </c>
    </row>
    <row r="41460" ht="16.5" customHeight="1">
      <c r="O41460" s="5" t="s">
        <v>355</v>
      </c>
      <c r="P41460" s="5" t="s">
        <v>355</v>
      </c>
      <c r="Q41460" s="5" t="s">
        <v>355</v>
      </c>
    </row>
    <row r="41461" ht="16.5" customHeight="1">
      <c r="O41461" s="5" t="s">
        <v>355</v>
      </c>
      <c r="P41461" s="5" t="s">
        <v>355</v>
      </c>
      <c r="Q41461" s="5" t="s">
        <v>355</v>
      </c>
    </row>
    <row r="41462" ht="16.5" customHeight="1">
      <c r="O41462" s="5" t="s">
        <v>355</v>
      </c>
      <c r="P41462" s="5" t="s">
        <v>355</v>
      </c>
      <c r="Q41462" s="5" t="s">
        <v>355</v>
      </c>
    </row>
    <row r="41463" ht="16.5" customHeight="1">
      <c r="O41463" s="5" t="s">
        <v>355</v>
      </c>
      <c r="P41463" s="5" t="s">
        <v>355</v>
      </c>
      <c r="Q41463" s="5" t="s">
        <v>355</v>
      </c>
    </row>
    <row r="41464" ht="16.5" customHeight="1">
      <c r="O41464" s="5" t="s">
        <v>355</v>
      </c>
      <c r="P41464" s="5" t="s">
        <v>355</v>
      </c>
      <c r="Q41464" s="5" t="s">
        <v>355</v>
      </c>
    </row>
    <row r="41465" ht="16.5" customHeight="1">
      <c r="O41465" s="5" t="s">
        <v>355</v>
      </c>
      <c r="P41465" s="5" t="s">
        <v>355</v>
      </c>
      <c r="Q41465" s="5" t="s">
        <v>355</v>
      </c>
    </row>
    <row r="41466" ht="16.5" customHeight="1">
      <c r="O41466" s="5" t="s">
        <v>355</v>
      </c>
      <c r="P41466" s="5" t="s">
        <v>355</v>
      </c>
      <c r="Q41466" s="5" t="s">
        <v>355</v>
      </c>
    </row>
    <row r="41467" ht="16.5" customHeight="1">
      <c r="O41467" s="5" t="s">
        <v>355</v>
      </c>
      <c r="P41467" s="5" t="s">
        <v>355</v>
      </c>
      <c r="Q41467" s="5" t="s">
        <v>355</v>
      </c>
    </row>
    <row r="41468" ht="16.5" customHeight="1">
      <c r="O41468" s="5" t="s">
        <v>355</v>
      </c>
      <c r="P41468" s="5" t="s">
        <v>355</v>
      </c>
      <c r="Q41468" s="5" t="s">
        <v>355</v>
      </c>
    </row>
    <row r="41469" ht="16.5" customHeight="1">
      <c r="O41469" s="5" t="s">
        <v>355</v>
      </c>
      <c r="P41469" s="5" t="s">
        <v>355</v>
      </c>
      <c r="Q41469" s="5" t="s">
        <v>355</v>
      </c>
    </row>
    <row r="41470" ht="16.5" customHeight="1">
      <c r="O41470" s="5" t="s">
        <v>355</v>
      </c>
      <c r="P41470" s="5" t="s">
        <v>355</v>
      </c>
      <c r="Q41470" s="5" t="s">
        <v>355</v>
      </c>
    </row>
    <row r="41471" ht="16.5" customHeight="1">
      <c r="O41471" s="5" t="s">
        <v>355</v>
      </c>
      <c r="P41471" s="5" t="s">
        <v>355</v>
      </c>
      <c r="Q41471" s="5" t="s">
        <v>355</v>
      </c>
    </row>
    <row r="41472" ht="16.5" customHeight="1">
      <c r="O41472" s="5" t="s">
        <v>355</v>
      </c>
      <c r="P41472" s="5" t="s">
        <v>355</v>
      </c>
      <c r="Q41472" s="5" t="s">
        <v>355</v>
      </c>
    </row>
    <row r="41473" ht="16.5" customHeight="1">
      <c r="O41473" s="5" t="s">
        <v>355</v>
      </c>
      <c r="P41473" s="5" t="s">
        <v>355</v>
      </c>
      <c r="Q41473" s="5" t="s">
        <v>355</v>
      </c>
    </row>
    <row r="41474" ht="16.5" customHeight="1">
      <c r="O41474" s="5" t="s">
        <v>355</v>
      </c>
      <c r="P41474" s="5" t="s">
        <v>355</v>
      </c>
      <c r="Q41474" s="5" t="s">
        <v>355</v>
      </c>
    </row>
    <row r="41475" ht="16.5" customHeight="1">
      <c r="O41475" s="5" t="s">
        <v>355</v>
      </c>
      <c r="P41475" s="5" t="s">
        <v>355</v>
      </c>
      <c r="Q41475" s="5" t="s">
        <v>355</v>
      </c>
    </row>
    <row r="41476" ht="16.5" customHeight="1">
      <c r="O41476" s="5" t="s">
        <v>355</v>
      </c>
      <c r="P41476" s="5" t="s">
        <v>355</v>
      </c>
      <c r="Q41476" s="5" t="s">
        <v>355</v>
      </c>
    </row>
    <row r="41477" ht="16.5" customHeight="1">
      <c r="O41477" s="5" t="s">
        <v>355</v>
      </c>
      <c r="P41477" s="5" t="s">
        <v>355</v>
      </c>
      <c r="Q41477" s="5" t="s">
        <v>355</v>
      </c>
    </row>
    <row r="41478" ht="16.5" customHeight="1">
      <c r="O41478" s="5" t="s">
        <v>355</v>
      </c>
      <c r="P41478" s="5" t="s">
        <v>355</v>
      </c>
      <c r="Q41478" s="5" t="s">
        <v>355</v>
      </c>
    </row>
    <row r="41479" ht="16.5" customHeight="1">
      <c r="O41479" s="5" t="s">
        <v>355</v>
      </c>
      <c r="P41479" s="5" t="s">
        <v>355</v>
      </c>
      <c r="Q41479" s="5" t="s">
        <v>355</v>
      </c>
    </row>
    <row r="41480" ht="16.5" customHeight="1">
      <c r="O41480" s="5" t="s">
        <v>355</v>
      </c>
      <c r="P41480" s="5" t="s">
        <v>355</v>
      </c>
      <c r="Q41480" s="5" t="s">
        <v>355</v>
      </c>
    </row>
    <row r="41481" ht="16.5" customHeight="1">
      <c r="O41481" s="5" t="s">
        <v>355</v>
      </c>
      <c r="P41481" s="5" t="s">
        <v>355</v>
      </c>
      <c r="Q41481" s="5" t="s">
        <v>355</v>
      </c>
    </row>
    <row r="41482" ht="16.5" customHeight="1">
      <c r="O41482" s="5" t="s">
        <v>355</v>
      </c>
      <c r="P41482" s="5" t="s">
        <v>355</v>
      </c>
      <c r="Q41482" s="5" t="s">
        <v>355</v>
      </c>
    </row>
    <row r="41483" ht="16.5" customHeight="1">
      <c r="O41483" s="5" t="s">
        <v>355</v>
      </c>
      <c r="P41483" s="5" t="s">
        <v>355</v>
      </c>
      <c r="Q41483" s="5" t="s">
        <v>355</v>
      </c>
    </row>
    <row r="41484" ht="16.5" customHeight="1">
      <c r="O41484" s="5" t="s">
        <v>355</v>
      </c>
      <c r="P41484" s="5" t="s">
        <v>355</v>
      </c>
      <c r="Q41484" s="5" t="s">
        <v>355</v>
      </c>
    </row>
    <row r="41485" ht="16.5" customHeight="1">
      <c r="O41485" s="5" t="s">
        <v>355</v>
      </c>
      <c r="P41485" s="5" t="s">
        <v>355</v>
      </c>
      <c r="Q41485" s="5" t="s">
        <v>355</v>
      </c>
    </row>
    <row r="41486" ht="16.5" customHeight="1">
      <c r="O41486" s="5" t="s">
        <v>355</v>
      </c>
      <c r="P41486" s="5" t="s">
        <v>355</v>
      </c>
      <c r="Q41486" s="5" t="s">
        <v>355</v>
      </c>
    </row>
    <row r="41487" ht="16.5" customHeight="1">
      <c r="O41487" s="5" t="s">
        <v>355</v>
      </c>
      <c r="P41487" s="5" t="s">
        <v>355</v>
      </c>
      <c r="Q41487" s="5" t="s">
        <v>355</v>
      </c>
    </row>
    <row r="41488" ht="16.5" customHeight="1">
      <c r="O41488" s="5" t="s">
        <v>355</v>
      </c>
      <c r="P41488" s="5" t="s">
        <v>355</v>
      </c>
      <c r="Q41488" s="5" t="s">
        <v>355</v>
      </c>
    </row>
    <row r="41489" ht="16.5" customHeight="1">
      <c r="O41489" s="5" t="s">
        <v>355</v>
      </c>
      <c r="P41489" s="5" t="s">
        <v>355</v>
      </c>
      <c r="Q41489" s="5" t="s">
        <v>355</v>
      </c>
    </row>
    <row r="41490" ht="16.5" customHeight="1">
      <c r="O41490" s="5" t="s">
        <v>355</v>
      </c>
      <c r="P41490" s="5" t="s">
        <v>355</v>
      </c>
      <c r="Q41490" s="5" t="s">
        <v>355</v>
      </c>
    </row>
    <row r="41491" ht="16.5" customHeight="1">
      <c r="O41491" s="5" t="s">
        <v>355</v>
      </c>
      <c r="P41491" s="5" t="s">
        <v>355</v>
      </c>
      <c r="Q41491" s="5" t="s">
        <v>355</v>
      </c>
    </row>
    <row r="41492" ht="16.5" customHeight="1">
      <c r="O41492" s="5" t="s">
        <v>355</v>
      </c>
      <c r="P41492" s="5" t="s">
        <v>355</v>
      </c>
      <c r="Q41492" s="5" t="s">
        <v>355</v>
      </c>
    </row>
    <row r="41493" ht="16.5" customHeight="1">
      <c r="O41493" s="5" t="s">
        <v>355</v>
      </c>
      <c r="P41493" s="5" t="s">
        <v>355</v>
      </c>
      <c r="Q41493" s="5" t="s">
        <v>355</v>
      </c>
    </row>
    <row r="41494" ht="16.5" customHeight="1">
      <c r="O41494" s="5" t="s">
        <v>355</v>
      </c>
      <c r="P41494" s="5" t="s">
        <v>355</v>
      </c>
      <c r="Q41494" s="5" t="s">
        <v>355</v>
      </c>
    </row>
    <row r="41495" ht="16.5" customHeight="1">
      <c r="O41495" s="5" t="s">
        <v>355</v>
      </c>
      <c r="P41495" s="5" t="s">
        <v>355</v>
      </c>
      <c r="Q41495" s="5" t="s">
        <v>355</v>
      </c>
    </row>
    <row r="41496" ht="16.5" customHeight="1">
      <c r="O41496" s="5" t="s">
        <v>355</v>
      </c>
      <c r="P41496" s="5" t="s">
        <v>355</v>
      </c>
      <c r="Q41496" s="5" t="s">
        <v>355</v>
      </c>
    </row>
    <row r="41497" ht="16.5" customHeight="1">
      <c r="O41497" s="5" t="s">
        <v>355</v>
      </c>
      <c r="P41497" s="5" t="s">
        <v>355</v>
      </c>
      <c r="Q41497" s="5" t="s">
        <v>355</v>
      </c>
    </row>
    <row r="41498" ht="16.5" customHeight="1">
      <c r="O41498" s="5" t="s">
        <v>355</v>
      </c>
      <c r="P41498" s="5" t="s">
        <v>355</v>
      </c>
      <c r="Q41498" s="5" t="s">
        <v>355</v>
      </c>
    </row>
    <row r="41499" ht="16.5" customHeight="1">
      <c r="O41499" s="5" t="s">
        <v>355</v>
      </c>
      <c r="P41499" s="5" t="s">
        <v>355</v>
      </c>
      <c r="Q41499" s="5" t="s">
        <v>355</v>
      </c>
    </row>
    <row r="41500" ht="16.5" customHeight="1">
      <c r="O41500" s="5" t="s">
        <v>355</v>
      </c>
      <c r="P41500" s="5" t="s">
        <v>355</v>
      </c>
      <c r="Q41500" s="5" t="s">
        <v>355</v>
      </c>
    </row>
    <row r="41501" ht="16.5" customHeight="1">
      <c r="O41501" s="5" t="s">
        <v>355</v>
      </c>
      <c r="P41501" s="5" t="s">
        <v>355</v>
      </c>
      <c r="Q41501" s="5" t="s">
        <v>355</v>
      </c>
    </row>
    <row r="41502" ht="16.5" customHeight="1">
      <c r="O41502" s="5" t="s">
        <v>355</v>
      </c>
      <c r="P41502" s="5" t="s">
        <v>355</v>
      </c>
      <c r="Q41502" s="5" t="s">
        <v>355</v>
      </c>
    </row>
    <row r="41503" ht="16.5" customHeight="1">
      <c r="O41503" s="5" t="s">
        <v>355</v>
      </c>
      <c r="P41503" s="5" t="s">
        <v>355</v>
      </c>
      <c r="Q41503" s="5" t="s">
        <v>355</v>
      </c>
    </row>
    <row r="41504" ht="16.5" customHeight="1">
      <c r="O41504" s="5" t="s">
        <v>355</v>
      </c>
      <c r="P41504" s="5" t="s">
        <v>355</v>
      </c>
      <c r="Q41504" s="5" t="s">
        <v>355</v>
      </c>
    </row>
    <row r="41505" ht="16.5" customHeight="1">
      <c r="O41505" s="5" t="s">
        <v>355</v>
      </c>
      <c r="P41505" s="5" t="s">
        <v>355</v>
      </c>
      <c r="Q41505" s="5" t="s">
        <v>355</v>
      </c>
    </row>
    <row r="41506" ht="16.5" customHeight="1">
      <c r="O41506" s="5" t="s">
        <v>355</v>
      </c>
      <c r="P41506" s="5" t="s">
        <v>355</v>
      </c>
      <c r="Q41506" s="5" t="s">
        <v>355</v>
      </c>
    </row>
    <row r="41507" ht="16.5" customHeight="1">
      <c r="O41507" s="5" t="s">
        <v>355</v>
      </c>
      <c r="P41507" s="5" t="s">
        <v>355</v>
      </c>
      <c r="Q41507" s="5" t="s">
        <v>355</v>
      </c>
    </row>
    <row r="41508" ht="16.5" customHeight="1">
      <c r="O41508" s="5" t="s">
        <v>355</v>
      </c>
      <c r="P41508" s="5" t="s">
        <v>355</v>
      </c>
      <c r="Q41508" s="5" t="s">
        <v>355</v>
      </c>
    </row>
    <row r="41509" ht="16.5" customHeight="1">
      <c r="O41509" s="5" t="s">
        <v>355</v>
      </c>
      <c r="P41509" s="5" t="s">
        <v>355</v>
      </c>
      <c r="Q41509" s="5" t="s">
        <v>355</v>
      </c>
    </row>
    <row r="41510" ht="16.5" customHeight="1">
      <c r="O41510" s="5" t="s">
        <v>355</v>
      </c>
      <c r="P41510" s="5" t="s">
        <v>355</v>
      </c>
      <c r="Q41510" s="5" t="s">
        <v>355</v>
      </c>
    </row>
    <row r="41511" ht="16.5" customHeight="1">
      <c r="O41511" s="5" t="s">
        <v>355</v>
      </c>
      <c r="P41511" s="5" t="s">
        <v>355</v>
      </c>
      <c r="Q41511" s="5" t="s">
        <v>355</v>
      </c>
    </row>
    <row r="41512" ht="16.5" customHeight="1">
      <c r="O41512" s="5" t="s">
        <v>355</v>
      </c>
      <c r="P41512" s="5" t="s">
        <v>355</v>
      </c>
      <c r="Q41512" s="5" t="s">
        <v>355</v>
      </c>
    </row>
    <row r="41513" ht="16.5" customHeight="1">
      <c r="O41513" s="5" t="s">
        <v>355</v>
      </c>
      <c r="P41513" s="5" t="s">
        <v>355</v>
      </c>
      <c r="Q41513" s="5" t="s">
        <v>355</v>
      </c>
    </row>
    <row r="41514" ht="16.5" customHeight="1">
      <c r="O41514" s="5" t="s">
        <v>355</v>
      </c>
      <c r="P41514" s="5" t="s">
        <v>355</v>
      </c>
      <c r="Q41514" s="5" t="s">
        <v>355</v>
      </c>
    </row>
    <row r="41515" ht="16.5" customHeight="1">
      <c r="O41515" s="5" t="s">
        <v>355</v>
      </c>
      <c r="P41515" s="5" t="s">
        <v>355</v>
      </c>
      <c r="Q41515" s="5" t="s">
        <v>355</v>
      </c>
    </row>
    <row r="41516" ht="16.5" customHeight="1">
      <c r="O41516" s="5" t="s">
        <v>355</v>
      </c>
      <c r="P41516" s="5" t="s">
        <v>355</v>
      </c>
      <c r="Q41516" s="5" t="s">
        <v>355</v>
      </c>
    </row>
    <row r="41517" ht="16.5" customHeight="1">
      <c r="O41517" s="5" t="s">
        <v>355</v>
      </c>
      <c r="P41517" s="5" t="s">
        <v>355</v>
      </c>
      <c r="Q41517" s="5" t="s">
        <v>355</v>
      </c>
    </row>
    <row r="41518" ht="16.5" customHeight="1">
      <c r="O41518" s="5" t="s">
        <v>355</v>
      </c>
      <c r="P41518" s="5" t="s">
        <v>355</v>
      </c>
      <c r="Q41518" s="5" t="s">
        <v>355</v>
      </c>
    </row>
    <row r="41519" ht="16.5" customHeight="1">
      <c r="O41519" s="5" t="s">
        <v>355</v>
      </c>
      <c r="P41519" s="5" t="s">
        <v>355</v>
      </c>
      <c r="Q41519" s="5" t="s">
        <v>355</v>
      </c>
    </row>
    <row r="41520" ht="16.5" customHeight="1">
      <c r="O41520" s="5" t="s">
        <v>355</v>
      </c>
      <c r="P41520" s="5" t="s">
        <v>355</v>
      </c>
      <c r="Q41520" s="5" t="s">
        <v>355</v>
      </c>
    </row>
    <row r="41521" ht="16.5" customHeight="1">
      <c r="O41521" s="5" t="s">
        <v>355</v>
      </c>
      <c r="P41521" s="5" t="s">
        <v>355</v>
      </c>
      <c r="Q41521" s="5" t="s">
        <v>355</v>
      </c>
    </row>
    <row r="41522" ht="16.5" customHeight="1">
      <c r="O41522" s="5" t="s">
        <v>355</v>
      </c>
      <c r="P41522" s="5" t="s">
        <v>355</v>
      </c>
      <c r="Q41522" s="5" t="s">
        <v>355</v>
      </c>
    </row>
    <row r="41523" ht="16.5" customHeight="1">
      <c r="O41523" s="5" t="s">
        <v>355</v>
      </c>
      <c r="P41523" s="5" t="s">
        <v>355</v>
      </c>
      <c r="Q41523" s="5" t="s">
        <v>355</v>
      </c>
    </row>
    <row r="41524" ht="16.5" customHeight="1">
      <c r="O41524" s="5" t="s">
        <v>355</v>
      </c>
      <c r="P41524" s="5" t="s">
        <v>355</v>
      </c>
      <c r="Q41524" s="5" t="s">
        <v>355</v>
      </c>
    </row>
    <row r="41525" ht="16.5" customHeight="1">
      <c r="O41525" s="5" t="s">
        <v>355</v>
      </c>
      <c r="P41525" s="5" t="s">
        <v>355</v>
      </c>
      <c r="Q41525" s="5" t="s">
        <v>355</v>
      </c>
    </row>
    <row r="41526" ht="16.5" customHeight="1">
      <c r="O41526" s="5" t="s">
        <v>355</v>
      </c>
      <c r="P41526" s="5" t="s">
        <v>355</v>
      </c>
      <c r="Q41526" s="5" t="s">
        <v>355</v>
      </c>
    </row>
    <row r="41527" ht="16.5" customHeight="1">
      <c r="O41527" s="5" t="s">
        <v>355</v>
      </c>
      <c r="P41527" s="5" t="s">
        <v>355</v>
      </c>
      <c r="Q41527" s="5" t="s">
        <v>355</v>
      </c>
    </row>
    <row r="41528" ht="16.5" customHeight="1">
      <c r="O41528" s="5" t="s">
        <v>355</v>
      </c>
      <c r="P41528" s="5" t="s">
        <v>355</v>
      </c>
      <c r="Q41528" s="5" t="s">
        <v>355</v>
      </c>
    </row>
    <row r="41529" ht="16.5" customHeight="1">
      <c r="O41529" s="5" t="s">
        <v>355</v>
      </c>
      <c r="P41529" s="5" t="s">
        <v>355</v>
      </c>
      <c r="Q41529" s="5" t="s">
        <v>355</v>
      </c>
    </row>
    <row r="41530" ht="16.5" customHeight="1">
      <c r="O41530" s="5" t="s">
        <v>355</v>
      </c>
      <c r="P41530" s="5" t="s">
        <v>355</v>
      </c>
      <c r="Q41530" s="5" t="s">
        <v>355</v>
      </c>
    </row>
    <row r="41531" ht="16.5" customHeight="1">
      <c r="O41531" s="5" t="s">
        <v>355</v>
      </c>
      <c r="P41531" s="5" t="s">
        <v>355</v>
      </c>
      <c r="Q41531" s="5" t="s">
        <v>355</v>
      </c>
    </row>
    <row r="41532" ht="16.5" customHeight="1">
      <c r="O41532" s="5" t="s">
        <v>355</v>
      </c>
      <c r="P41532" s="5" t="s">
        <v>355</v>
      </c>
      <c r="Q41532" s="5" t="s">
        <v>355</v>
      </c>
    </row>
    <row r="41533" ht="16.5" customHeight="1">
      <c r="O41533" s="5" t="s">
        <v>355</v>
      </c>
      <c r="P41533" s="5" t="s">
        <v>355</v>
      </c>
      <c r="Q41533" s="5" t="s">
        <v>355</v>
      </c>
    </row>
    <row r="41534" ht="16.5" customHeight="1">
      <c r="O41534" s="5" t="s">
        <v>355</v>
      </c>
      <c r="P41534" s="5" t="s">
        <v>355</v>
      </c>
      <c r="Q41534" s="5" t="s">
        <v>355</v>
      </c>
    </row>
    <row r="41535" ht="16.5" customHeight="1">
      <c r="O41535" s="5" t="s">
        <v>355</v>
      </c>
      <c r="P41535" s="5" t="s">
        <v>355</v>
      </c>
      <c r="Q41535" s="5" t="s">
        <v>355</v>
      </c>
    </row>
    <row r="41536" ht="16.5" customHeight="1">
      <c r="O41536" s="5" t="s">
        <v>355</v>
      </c>
      <c r="P41536" s="5" t="s">
        <v>355</v>
      </c>
      <c r="Q41536" s="5" t="s">
        <v>355</v>
      </c>
    </row>
    <row r="41537" ht="16.5" customHeight="1">
      <c r="O41537" s="5" t="s">
        <v>355</v>
      </c>
      <c r="P41537" s="5" t="s">
        <v>355</v>
      </c>
      <c r="Q41537" s="5" t="s">
        <v>355</v>
      </c>
    </row>
    <row r="41538" ht="16.5" customHeight="1">
      <c r="O41538" s="5" t="s">
        <v>355</v>
      </c>
      <c r="P41538" s="5" t="s">
        <v>355</v>
      </c>
      <c r="Q41538" s="5" t="s">
        <v>355</v>
      </c>
    </row>
    <row r="41539" ht="16.5" customHeight="1">
      <c r="O41539" s="5" t="s">
        <v>355</v>
      </c>
      <c r="P41539" s="5" t="s">
        <v>355</v>
      </c>
      <c r="Q41539" s="5" t="s">
        <v>355</v>
      </c>
    </row>
    <row r="41540" ht="16.5" customHeight="1">
      <c r="O41540" s="5" t="s">
        <v>355</v>
      </c>
      <c r="P41540" s="5" t="s">
        <v>355</v>
      </c>
      <c r="Q41540" s="5" t="s">
        <v>355</v>
      </c>
    </row>
    <row r="41541" ht="16.5" customHeight="1">
      <c r="O41541" s="5" t="s">
        <v>355</v>
      </c>
      <c r="P41541" s="5" t="s">
        <v>355</v>
      </c>
      <c r="Q41541" s="5" t="s">
        <v>355</v>
      </c>
    </row>
    <row r="41542" ht="16.5" customHeight="1">
      <c r="O41542" s="5" t="s">
        <v>355</v>
      </c>
      <c r="P41542" s="5" t="s">
        <v>355</v>
      </c>
      <c r="Q41542" s="5" t="s">
        <v>355</v>
      </c>
    </row>
    <row r="41543" ht="16.5" customHeight="1">
      <c r="O41543" s="5" t="s">
        <v>355</v>
      </c>
      <c r="P41543" s="5" t="s">
        <v>355</v>
      </c>
      <c r="Q41543" s="5" t="s">
        <v>355</v>
      </c>
    </row>
    <row r="41544" ht="16.5" customHeight="1">
      <c r="O41544" s="5" t="s">
        <v>355</v>
      </c>
      <c r="P41544" s="5" t="s">
        <v>355</v>
      </c>
      <c r="Q41544" s="5" t="s">
        <v>355</v>
      </c>
    </row>
    <row r="41545" ht="16.5" customHeight="1">
      <c r="O41545" s="5" t="s">
        <v>355</v>
      </c>
      <c r="P41545" s="5" t="s">
        <v>355</v>
      </c>
      <c r="Q41545" s="5" t="s">
        <v>355</v>
      </c>
    </row>
    <row r="41546" ht="16.5" customHeight="1">
      <c r="O41546" s="5" t="s">
        <v>355</v>
      </c>
      <c r="P41546" s="5" t="s">
        <v>355</v>
      </c>
      <c r="Q41546" s="5" t="s">
        <v>355</v>
      </c>
    </row>
    <row r="41547" ht="16.5" customHeight="1">
      <c r="O41547" s="5" t="s">
        <v>355</v>
      </c>
      <c r="P41547" s="5" t="s">
        <v>355</v>
      </c>
      <c r="Q41547" s="5" t="s">
        <v>355</v>
      </c>
    </row>
    <row r="41548" ht="16.5" customHeight="1">
      <c r="O41548" s="5" t="s">
        <v>355</v>
      </c>
      <c r="P41548" s="5" t="s">
        <v>355</v>
      </c>
      <c r="Q41548" s="5" t="s">
        <v>355</v>
      </c>
    </row>
    <row r="41549" ht="16.5" customHeight="1">
      <c r="O41549" s="5" t="s">
        <v>355</v>
      </c>
      <c r="P41549" s="5" t="s">
        <v>355</v>
      </c>
      <c r="Q41549" s="5" t="s">
        <v>355</v>
      </c>
    </row>
    <row r="41550" ht="16.5" customHeight="1">
      <c r="O41550" s="5" t="s">
        <v>355</v>
      </c>
      <c r="P41550" s="5" t="s">
        <v>355</v>
      </c>
      <c r="Q41550" s="5" t="s">
        <v>355</v>
      </c>
    </row>
    <row r="41551" ht="16.5" customHeight="1">
      <c r="O41551" s="5" t="s">
        <v>355</v>
      </c>
      <c r="P41551" s="5" t="s">
        <v>355</v>
      </c>
      <c r="Q41551" s="5" t="s">
        <v>355</v>
      </c>
    </row>
    <row r="41552" ht="16.5" customHeight="1">
      <c r="O41552" s="5" t="s">
        <v>355</v>
      </c>
      <c r="P41552" s="5" t="s">
        <v>355</v>
      </c>
      <c r="Q41552" s="5" t="s">
        <v>355</v>
      </c>
    </row>
    <row r="41553" ht="16.5" customHeight="1">
      <c r="O41553" s="5" t="s">
        <v>355</v>
      </c>
      <c r="P41553" s="5" t="s">
        <v>355</v>
      </c>
      <c r="Q41553" s="5" t="s">
        <v>355</v>
      </c>
    </row>
    <row r="41554" ht="16.5" customHeight="1">
      <c r="O41554" s="5" t="s">
        <v>355</v>
      </c>
      <c r="P41554" s="5" t="s">
        <v>355</v>
      </c>
      <c r="Q41554" s="5" t="s">
        <v>355</v>
      </c>
    </row>
    <row r="41555" ht="16.5" customHeight="1">
      <c r="O41555" s="5" t="s">
        <v>355</v>
      </c>
      <c r="P41555" s="5" t="s">
        <v>355</v>
      </c>
      <c r="Q41555" s="5" t="s">
        <v>355</v>
      </c>
    </row>
    <row r="41556" ht="16.5" customHeight="1">
      <c r="O41556" s="5" t="s">
        <v>355</v>
      </c>
      <c r="P41556" s="5" t="s">
        <v>355</v>
      </c>
      <c r="Q41556" s="5" t="s">
        <v>355</v>
      </c>
    </row>
    <row r="41557" ht="16.5" customHeight="1">
      <c r="O41557" s="5" t="s">
        <v>355</v>
      </c>
      <c r="P41557" s="5" t="s">
        <v>355</v>
      </c>
      <c r="Q41557" s="5" t="s">
        <v>355</v>
      </c>
    </row>
    <row r="41558" ht="16.5" customHeight="1">
      <c r="O41558" s="5" t="s">
        <v>355</v>
      </c>
      <c r="P41558" s="5" t="s">
        <v>355</v>
      </c>
      <c r="Q41558" s="5" t="s">
        <v>355</v>
      </c>
    </row>
    <row r="41559" ht="16.5" customHeight="1">
      <c r="O41559" s="5" t="s">
        <v>355</v>
      </c>
      <c r="P41559" s="5" t="s">
        <v>355</v>
      </c>
      <c r="Q41559" s="5" t="s">
        <v>355</v>
      </c>
    </row>
    <row r="41560" ht="16.5" customHeight="1">
      <c r="O41560" s="5" t="s">
        <v>355</v>
      </c>
      <c r="P41560" s="5" t="s">
        <v>355</v>
      </c>
      <c r="Q41560" s="5" t="s">
        <v>355</v>
      </c>
    </row>
    <row r="41561" ht="16.5" customHeight="1">
      <c r="O41561" s="5" t="s">
        <v>355</v>
      </c>
      <c r="P41561" s="5" t="s">
        <v>355</v>
      </c>
      <c r="Q41561" s="5" t="s">
        <v>355</v>
      </c>
    </row>
    <row r="41562" ht="16.5" customHeight="1">
      <c r="O41562" s="5" t="s">
        <v>355</v>
      </c>
      <c r="P41562" s="5" t="s">
        <v>355</v>
      </c>
      <c r="Q41562" s="5" t="s">
        <v>355</v>
      </c>
    </row>
    <row r="41563" ht="16.5" customHeight="1">
      <c r="O41563" s="5" t="s">
        <v>355</v>
      </c>
      <c r="P41563" s="5" t="s">
        <v>355</v>
      </c>
      <c r="Q41563" s="5" t="s">
        <v>355</v>
      </c>
    </row>
    <row r="41564" ht="16.5" customHeight="1">
      <c r="O41564" s="5" t="s">
        <v>355</v>
      </c>
      <c r="P41564" s="5" t="s">
        <v>355</v>
      </c>
      <c r="Q41564" s="5" t="s">
        <v>355</v>
      </c>
    </row>
    <row r="41565" ht="16.5" customHeight="1">
      <c r="O41565" s="5" t="s">
        <v>355</v>
      </c>
      <c r="P41565" s="5" t="s">
        <v>355</v>
      </c>
      <c r="Q41565" s="5" t="s">
        <v>355</v>
      </c>
    </row>
    <row r="41566" ht="16.5" customHeight="1">
      <c r="O41566" s="5" t="s">
        <v>355</v>
      </c>
      <c r="P41566" s="5" t="s">
        <v>355</v>
      </c>
      <c r="Q41566" s="5" t="s">
        <v>355</v>
      </c>
    </row>
    <row r="41567" ht="16.5" customHeight="1">
      <c r="O41567" s="5" t="s">
        <v>355</v>
      </c>
      <c r="P41567" s="5" t="s">
        <v>355</v>
      </c>
      <c r="Q41567" s="5" t="s">
        <v>355</v>
      </c>
    </row>
    <row r="41568" ht="16.5" customHeight="1">
      <c r="O41568" s="5" t="s">
        <v>355</v>
      </c>
      <c r="P41568" s="5" t="s">
        <v>355</v>
      </c>
      <c r="Q41568" s="5" t="s">
        <v>355</v>
      </c>
    </row>
    <row r="41569" ht="16.5" customHeight="1">
      <c r="O41569" s="5" t="s">
        <v>355</v>
      </c>
      <c r="P41569" s="5" t="s">
        <v>355</v>
      </c>
      <c r="Q41569" s="5" t="s">
        <v>355</v>
      </c>
    </row>
    <row r="41570" ht="16.5" customHeight="1">
      <c r="O41570" s="5" t="s">
        <v>355</v>
      </c>
      <c r="P41570" s="5" t="s">
        <v>355</v>
      </c>
      <c r="Q41570" s="5" t="s">
        <v>355</v>
      </c>
    </row>
    <row r="41571" ht="16.5" customHeight="1">
      <c r="O41571" s="5" t="s">
        <v>355</v>
      </c>
      <c r="P41571" s="5" t="s">
        <v>355</v>
      </c>
      <c r="Q41571" s="5" t="s">
        <v>355</v>
      </c>
    </row>
    <row r="41572" ht="16.5" customHeight="1">
      <c r="O41572" s="5" t="s">
        <v>355</v>
      </c>
      <c r="P41572" s="5" t="s">
        <v>355</v>
      </c>
      <c r="Q41572" s="5" t="s">
        <v>355</v>
      </c>
    </row>
    <row r="41573" ht="16.5" customHeight="1">
      <c r="O41573" s="5" t="s">
        <v>355</v>
      </c>
      <c r="P41573" s="5" t="s">
        <v>355</v>
      </c>
      <c r="Q41573" s="5" t="s">
        <v>355</v>
      </c>
    </row>
    <row r="41574" ht="16.5" customHeight="1">
      <c r="O41574" s="5" t="s">
        <v>355</v>
      </c>
      <c r="P41574" s="5" t="s">
        <v>355</v>
      </c>
      <c r="Q41574" s="5" t="s">
        <v>355</v>
      </c>
    </row>
    <row r="41575" ht="16.5" customHeight="1">
      <c r="O41575" s="5" t="s">
        <v>355</v>
      </c>
      <c r="P41575" s="5" t="s">
        <v>355</v>
      </c>
      <c r="Q41575" s="5" t="s">
        <v>355</v>
      </c>
    </row>
    <row r="41576" ht="16.5" customHeight="1">
      <c r="O41576" s="5" t="s">
        <v>355</v>
      </c>
      <c r="P41576" s="5" t="s">
        <v>355</v>
      </c>
      <c r="Q41576" s="5" t="s">
        <v>355</v>
      </c>
    </row>
    <row r="41577" ht="16.5" customHeight="1">
      <c r="O41577" s="5" t="s">
        <v>355</v>
      </c>
      <c r="P41577" s="5" t="s">
        <v>355</v>
      </c>
      <c r="Q41577" s="5" t="s">
        <v>355</v>
      </c>
    </row>
    <row r="41578" ht="16.5" customHeight="1">
      <c r="O41578" s="5" t="s">
        <v>355</v>
      </c>
      <c r="P41578" s="5" t="s">
        <v>355</v>
      </c>
      <c r="Q41578" s="5" t="s">
        <v>355</v>
      </c>
    </row>
    <row r="41579" ht="16.5" customHeight="1">
      <c r="O41579" s="5" t="s">
        <v>355</v>
      </c>
      <c r="P41579" s="5" t="s">
        <v>355</v>
      </c>
      <c r="Q41579" s="5" t="s">
        <v>355</v>
      </c>
    </row>
    <row r="41580" ht="16.5" customHeight="1">
      <c r="O41580" s="5" t="s">
        <v>355</v>
      </c>
      <c r="P41580" s="5" t="s">
        <v>355</v>
      </c>
      <c r="Q41580" s="5" t="s">
        <v>355</v>
      </c>
    </row>
    <row r="41581" ht="16.5" customHeight="1">
      <c r="O41581" s="5" t="s">
        <v>355</v>
      </c>
      <c r="P41581" s="5" t="s">
        <v>355</v>
      </c>
      <c r="Q41581" s="5" t="s">
        <v>355</v>
      </c>
    </row>
    <row r="41582" ht="16.5" customHeight="1">
      <c r="O41582" s="5" t="s">
        <v>355</v>
      </c>
      <c r="P41582" s="5" t="s">
        <v>355</v>
      </c>
      <c r="Q41582" s="5" t="s">
        <v>355</v>
      </c>
    </row>
    <row r="41583" ht="16.5" customHeight="1">
      <c r="O41583" s="5" t="s">
        <v>355</v>
      </c>
      <c r="P41583" s="5" t="s">
        <v>355</v>
      </c>
      <c r="Q41583" s="5" t="s">
        <v>355</v>
      </c>
    </row>
    <row r="41584" ht="16.5" customHeight="1">
      <c r="O41584" s="5" t="s">
        <v>355</v>
      </c>
      <c r="P41584" s="5" t="s">
        <v>355</v>
      </c>
      <c r="Q41584" s="5" t="s">
        <v>355</v>
      </c>
    </row>
    <row r="41585" ht="16.5" customHeight="1">
      <c r="O41585" s="5" t="s">
        <v>355</v>
      </c>
      <c r="P41585" s="5" t="s">
        <v>355</v>
      </c>
      <c r="Q41585" s="5" t="s">
        <v>355</v>
      </c>
    </row>
    <row r="41586" ht="16.5" customHeight="1">
      <c r="O41586" s="5" t="s">
        <v>355</v>
      </c>
      <c r="P41586" s="5" t="s">
        <v>355</v>
      </c>
      <c r="Q41586" s="5" t="s">
        <v>355</v>
      </c>
    </row>
    <row r="41587" ht="16.5" customHeight="1">
      <c r="O41587" s="5" t="s">
        <v>355</v>
      </c>
      <c r="P41587" s="5" t="s">
        <v>355</v>
      </c>
      <c r="Q41587" s="5" t="s">
        <v>355</v>
      </c>
    </row>
    <row r="41588" ht="16.5" customHeight="1">
      <c r="O41588" s="5" t="s">
        <v>355</v>
      </c>
      <c r="P41588" s="5" t="s">
        <v>355</v>
      </c>
      <c r="Q41588" s="5" t="s">
        <v>355</v>
      </c>
    </row>
    <row r="41589" ht="16.5" customHeight="1">
      <c r="O41589" s="5" t="s">
        <v>355</v>
      </c>
      <c r="P41589" s="5" t="s">
        <v>355</v>
      </c>
      <c r="Q41589" s="5" t="s">
        <v>355</v>
      </c>
    </row>
    <row r="41590" ht="16.5" customHeight="1">
      <c r="O41590" s="5" t="s">
        <v>355</v>
      </c>
      <c r="P41590" s="5" t="s">
        <v>355</v>
      </c>
      <c r="Q41590" s="5" t="s">
        <v>355</v>
      </c>
    </row>
    <row r="41591" ht="16.5" customHeight="1">
      <c r="O41591" s="5" t="s">
        <v>355</v>
      </c>
      <c r="P41591" s="5" t="s">
        <v>355</v>
      </c>
      <c r="Q41591" s="5" t="s">
        <v>355</v>
      </c>
    </row>
    <row r="41592" ht="16.5" customHeight="1">
      <c r="O41592" s="5" t="s">
        <v>355</v>
      </c>
      <c r="P41592" s="5" t="s">
        <v>355</v>
      </c>
      <c r="Q41592" s="5" t="s">
        <v>355</v>
      </c>
    </row>
    <row r="41593" ht="16.5" customHeight="1">
      <c r="O41593" s="5" t="s">
        <v>355</v>
      </c>
      <c r="P41593" s="5" t="s">
        <v>355</v>
      </c>
      <c r="Q41593" s="5" t="s">
        <v>355</v>
      </c>
    </row>
    <row r="41594" ht="16.5" customHeight="1">
      <c r="O41594" s="5" t="s">
        <v>355</v>
      </c>
      <c r="P41594" s="5" t="s">
        <v>355</v>
      </c>
      <c r="Q41594" s="5" t="s">
        <v>355</v>
      </c>
    </row>
    <row r="41595" ht="16.5" customHeight="1">
      <c r="O41595" s="5" t="s">
        <v>355</v>
      </c>
      <c r="P41595" s="5" t="s">
        <v>355</v>
      </c>
      <c r="Q41595" s="5" t="s">
        <v>355</v>
      </c>
    </row>
    <row r="41596" ht="16.5" customHeight="1">
      <c r="O41596" s="5" t="s">
        <v>355</v>
      </c>
      <c r="P41596" s="5" t="s">
        <v>355</v>
      </c>
      <c r="Q41596" s="5" t="s">
        <v>355</v>
      </c>
    </row>
    <row r="41597" ht="16.5" customHeight="1">
      <c r="O41597" s="5" t="s">
        <v>355</v>
      </c>
      <c r="P41597" s="5" t="s">
        <v>355</v>
      </c>
      <c r="Q41597" s="5" t="s">
        <v>355</v>
      </c>
    </row>
    <row r="41598" ht="16.5" customHeight="1">
      <c r="O41598" s="5" t="s">
        <v>355</v>
      </c>
      <c r="P41598" s="5" t="s">
        <v>355</v>
      </c>
      <c r="Q41598" s="5" t="s">
        <v>355</v>
      </c>
    </row>
    <row r="41599" ht="16.5" customHeight="1">
      <c r="O41599" s="5" t="s">
        <v>355</v>
      </c>
      <c r="P41599" s="5" t="s">
        <v>355</v>
      </c>
      <c r="Q41599" s="5" t="s">
        <v>355</v>
      </c>
    </row>
    <row r="41600" ht="16.5" customHeight="1">
      <c r="O41600" s="5" t="s">
        <v>355</v>
      </c>
      <c r="P41600" s="5" t="s">
        <v>355</v>
      </c>
      <c r="Q41600" s="5" t="s">
        <v>355</v>
      </c>
    </row>
    <row r="41601" ht="16.5" customHeight="1">
      <c r="O41601" s="5" t="s">
        <v>355</v>
      </c>
      <c r="P41601" s="5" t="s">
        <v>355</v>
      </c>
      <c r="Q41601" s="5" t="s">
        <v>355</v>
      </c>
    </row>
    <row r="41602" ht="16.5" customHeight="1">
      <c r="O41602" s="5" t="s">
        <v>355</v>
      </c>
      <c r="P41602" s="5" t="s">
        <v>355</v>
      </c>
      <c r="Q41602" s="5" t="s">
        <v>355</v>
      </c>
    </row>
    <row r="41603" ht="16.5" customHeight="1">
      <c r="O41603" s="5" t="s">
        <v>355</v>
      </c>
      <c r="P41603" s="5" t="s">
        <v>355</v>
      </c>
      <c r="Q41603" s="5" t="s">
        <v>355</v>
      </c>
    </row>
    <row r="41604" ht="16.5" customHeight="1">
      <c r="O41604" s="5" t="s">
        <v>355</v>
      </c>
      <c r="P41604" s="5" t="s">
        <v>355</v>
      </c>
      <c r="Q41604" s="5" t="s">
        <v>355</v>
      </c>
    </row>
    <row r="41605" ht="16.5" customHeight="1">
      <c r="O41605" s="5" t="s">
        <v>355</v>
      </c>
      <c r="P41605" s="5" t="s">
        <v>355</v>
      </c>
      <c r="Q41605" s="5" t="s">
        <v>355</v>
      </c>
    </row>
    <row r="41606" ht="16.5" customHeight="1">
      <c r="O41606" s="5" t="s">
        <v>355</v>
      </c>
      <c r="P41606" s="5" t="s">
        <v>355</v>
      </c>
      <c r="Q41606" s="5" t="s">
        <v>355</v>
      </c>
    </row>
    <row r="41607" ht="16.5" customHeight="1">
      <c r="O41607" s="5" t="s">
        <v>355</v>
      </c>
      <c r="P41607" s="5" t="s">
        <v>355</v>
      </c>
      <c r="Q41607" s="5" t="s">
        <v>355</v>
      </c>
    </row>
    <row r="41608" ht="16.5" customHeight="1">
      <c r="O41608" s="5" t="s">
        <v>355</v>
      </c>
      <c r="P41608" s="5" t="s">
        <v>355</v>
      </c>
      <c r="Q41608" s="5" t="s">
        <v>355</v>
      </c>
    </row>
    <row r="41609" ht="16.5" customHeight="1">
      <c r="O41609" s="5" t="s">
        <v>355</v>
      </c>
      <c r="P41609" s="5" t="s">
        <v>355</v>
      </c>
      <c r="Q41609" s="5" t="s">
        <v>355</v>
      </c>
    </row>
    <row r="41610" ht="16.5" customHeight="1">
      <c r="O41610" s="5" t="s">
        <v>355</v>
      </c>
      <c r="P41610" s="5" t="s">
        <v>355</v>
      </c>
      <c r="Q41610" s="5" t="s">
        <v>355</v>
      </c>
    </row>
    <row r="41611" ht="16.5" customHeight="1">
      <c r="O41611" s="5" t="s">
        <v>355</v>
      </c>
      <c r="P41611" s="5" t="s">
        <v>355</v>
      </c>
      <c r="Q41611" s="5" t="s">
        <v>355</v>
      </c>
    </row>
    <row r="41612" ht="16.5" customHeight="1">
      <c r="O41612" s="5" t="s">
        <v>355</v>
      </c>
      <c r="P41612" s="5" t="s">
        <v>355</v>
      </c>
      <c r="Q41612" s="5" t="s">
        <v>355</v>
      </c>
    </row>
    <row r="41613" ht="16.5" customHeight="1">
      <c r="O41613" s="5" t="s">
        <v>355</v>
      </c>
      <c r="P41613" s="5" t="s">
        <v>355</v>
      </c>
      <c r="Q41613" s="5" t="s">
        <v>355</v>
      </c>
    </row>
    <row r="41614" ht="16.5" customHeight="1">
      <c r="O41614" s="5" t="s">
        <v>355</v>
      </c>
      <c r="P41614" s="5" t="s">
        <v>355</v>
      </c>
      <c r="Q41614" s="5" t="s">
        <v>355</v>
      </c>
    </row>
    <row r="41615" ht="16.5" customHeight="1">
      <c r="O41615" s="5" t="s">
        <v>355</v>
      </c>
      <c r="P41615" s="5" t="s">
        <v>355</v>
      </c>
      <c r="Q41615" s="5" t="s">
        <v>355</v>
      </c>
    </row>
    <row r="41616" ht="16.5" customHeight="1">
      <c r="O41616" s="5" t="s">
        <v>355</v>
      </c>
      <c r="P41616" s="5" t="s">
        <v>355</v>
      </c>
      <c r="Q41616" s="5" t="s">
        <v>355</v>
      </c>
    </row>
    <row r="41617" ht="16.5" customHeight="1">
      <c r="O41617" s="5" t="s">
        <v>355</v>
      </c>
      <c r="P41617" s="5" t="s">
        <v>355</v>
      </c>
      <c r="Q41617" s="5" t="s">
        <v>355</v>
      </c>
    </row>
    <row r="41618" ht="16.5" customHeight="1">
      <c r="O41618" s="5" t="s">
        <v>355</v>
      </c>
      <c r="P41618" s="5" t="s">
        <v>355</v>
      </c>
      <c r="Q41618" s="5" t="s">
        <v>355</v>
      </c>
    </row>
    <row r="41619" ht="16.5" customHeight="1">
      <c r="O41619" s="5" t="s">
        <v>355</v>
      </c>
      <c r="P41619" s="5" t="s">
        <v>355</v>
      </c>
      <c r="Q41619" s="5" t="s">
        <v>355</v>
      </c>
    </row>
    <row r="41620" ht="16.5" customHeight="1">
      <c r="O41620" s="5" t="s">
        <v>355</v>
      </c>
      <c r="P41620" s="5" t="s">
        <v>355</v>
      </c>
      <c r="Q41620" s="5" t="s">
        <v>355</v>
      </c>
    </row>
    <row r="41621" ht="16.5" customHeight="1">
      <c r="O41621" s="5" t="s">
        <v>355</v>
      </c>
      <c r="P41621" s="5" t="s">
        <v>355</v>
      </c>
      <c r="Q41621" s="5" t="s">
        <v>355</v>
      </c>
    </row>
    <row r="41622" ht="16.5" customHeight="1">
      <c r="O41622" s="5" t="s">
        <v>355</v>
      </c>
      <c r="P41622" s="5" t="s">
        <v>355</v>
      </c>
      <c r="Q41622" s="5" t="s">
        <v>355</v>
      </c>
    </row>
    <row r="41623" ht="16.5" customHeight="1">
      <c r="O41623" s="5" t="s">
        <v>355</v>
      </c>
      <c r="P41623" s="5" t="s">
        <v>355</v>
      </c>
      <c r="Q41623" s="5" t="s">
        <v>355</v>
      </c>
    </row>
    <row r="41624" ht="16.5" customHeight="1">
      <c r="O41624" s="5" t="s">
        <v>355</v>
      </c>
      <c r="P41624" s="5" t="s">
        <v>355</v>
      </c>
      <c r="Q41624" s="5" t="s">
        <v>355</v>
      </c>
    </row>
    <row r="41625" ht="16.5" customHeight="1">
      <c r="O41625" s="5" t="s">
        <v>355</v>
      </c>
      <c r="P41625" s="5" t="s">
        <v>355</v>
      </c>
      <c r="Q41625" s="5" t="s">
        <v>355</v>
      </c>
    </row>
    <row r="41626" ht="16.5" customHeight="1">
      <c r="O41626" s="5" t="s">
        <v>355</v>
      </c>
      <c r="P41626" s="5" t="s">
        <v>355</v>
      </c>
      <c r="Q41626" s="5" t="s">
        <v>355</v>
      </c>
    </row>
    <row r="41627" ht="16.5" customHeight="1">
      <c r="O41627" s="5" t="s">
        <v>355</v>
      </c>
      <c r="P41627" s="5" t="s">
        <v>355</v>
      </c>
      <c r="Q41627" s="5" t="s">
        <v>355</v>
      </c>
    </row>
    <row r="41628" ht="16.5" customHeight="1">
      <c r="O41628" s="5" t="s">
        <v>355</v>
      </c>
      <c r="P41628" s="5" t="s">
        <v>355</v>
      </c>
      <c r="Q41628" s="5" t="s">
        <v>355</v>
      </c>
    </row>
    <row r="41629" ht="16.5" customHeight="1">
      <c r="O41629" s="5" t="s">
        <v>355</v>
      </c>
      <c r="P41629" s="5" t="s">
        <v>355</v>
      </c>
      <c r="Q41629" s="5" t="s">
        <v>355</v>
      </c>
    </row>
    <row r="41630" ht="16.5" customHeight="1">
      <c r="O41630" s="5" t="s">
        <v>355</v>
      </c>
      <c r="P41630" s="5" t="s">
        <v>355</v>
      </c>
      <c r="Q41630" s="5" t="s">
        <v>355</v>
      </c>
    </row>
    <row r="41631" ht="16.5" customHeight="1">
      <c r="O41631" s="5" t="s">
        <v>355</v>
      </c>
      <c r="P41631" s="5" t="s">
        <v>355</v>
      </c>
      <c r="Q41631" s="5" t="s">
        <v>355</v>
      </c>
    </row>
    <row r="41632" ht="16.5" customHeight="1">
      <c r="O41632" s="5" t="s">
        <v>355</v>
      </c>
      <c r="P41632" s="5" t="s">
        <v>355</v>
      </c>
      <c r="Q41632" s="5" t="s">
        <v>355</v>
      </c>
    </row>
    <row r="41633" ht="16.5" customHeight="1">
      <c r="O41633" s="5" t="s">
        <v>355</v>
      </c>
      <c r="P41633" s="5" t="s">
        <v>355</v>
      </c>
      <c r="Q41633" s="5" t="s">
        <v>355</v>
      </c>
    </row>
    <row r="41634" ht="16.5" customHeight="1">
      <c r="O41634" s="5" t="s">
        <v>355</v>
      </c>
      <c r="P41634" s="5" t="s">
        <v>355</v>
      </c>
      <c r="Q41634" s="5" t="s">
        <v>355</v>
      </c>
    </row>
    <row r="41635" ht="16.5" customHeight="1">
      <c r="O41635" s="5" t="s">
        <v>355</v>
      </c>
      <c r="P41635" s="5" t="s">
        <v>355</v>
      </c>
      <c r="Q41635" s="5" t="s">
        <v>355</v>
      </c>
    </row>
    <row r="41636" ht="16.5" customHeight="1">
      <c r="O41636" s="5" t="s">
        <v>355</v>
      </c>
      <c r="P41636" s="5" t="s">
        <v>355</v>
      </c>
      <c r="Q41636" s="5" t="s">
        <v>355</v>
      </c>
    </row>
    <row r="41637" ht="16.5" customHeight="1">
      <c r="O41637" s="5" t="s">
        <v>355</v>
      </c>
      <c r="P41637" s="5" t="s">
        <v>355</v>
      </c>
      <c r="Q41637" s="5" t="s">
        <v>355</v>
      </c>
    </row>
    <row r="41638" ht="16.5" customHeight="1">
      <c r="O41638" s="5" t="s">
        <v>355</v>
      </c>
      <c r="P41638" s="5" t="s">
        <v>355</v>
      </c>
      <c r="Q41638" s="5" t="s">
        <v>355</v>
      </c>
    </row>
    <row r="41639" ht="16.5" customHeight="1">
      <c r="O41639" s="5" t="s">
        <v>355</v>
      </c>
      <c r="P41639" s="5" t="s">
        <v>355</v>
      </c>
      <c r="Q41639" s="5" t="s">
        <v>355</v>
      </c>
    </row>
    <row r="41640" ht="16.5" customHeight="1">
      <c r="O41640" s="5" t="s">
        <v>355</v>
      </c>
      <c r="P41640" s="5" t="s">
        <v>355</v>
      </c>
      <c r="Q41640" s="5" t="s">
        <v>355</v>
      </c>
    </row>
    <row r="41641" ht="16.5" customHeight="1">
      <c r="O41641" s="5" t="s">
        <v>355</v>
      </c>
      <c r="P41641" s="5" t="s">
        <v>355</v>
      </c>
      <c r="Q41641" s="5" t="s">
        <v>355</v>
      </c>
    </row>
    <row r="41642" ht="16.5" customHeight="1">
      <c r="O41642" s="5" t="s">
        <v>355</v>
      </c>
      <c r="P41642" s="5" t="s">
        <v>355</v>
      </c>
      <c r="Q41642" s="5" t="s">
        <v>355</v>
      </c>
    </row>
    <row r="41643" ht="16.5" customHeight="1">
      <c r="O41643" s="5" t="s">
        <v>355</v>
      </c>
      <c r="P41643" s="5" t="s">
        <v>355</v>
      </c>
      <c r="Q41643" s="5" t="s">
        <v>355</v>
      </c>
    </row>
    <row r="41644" ht="16.5" customHeight="1">
      <c r="O41644" s="5" t="s">
        <v>355</v>
      </c>
      <c r="P41644" s="5" t="s">
        <v>355</v>
      </c>
      <c r="Q41644" s="5" t="s">
        <v>355</v>
      </c>
    </row>
    <row r="41645" ht="16.5" customHeight="1">
      <c r="O41645" s="5" t="s">
        <v>355</v>
      </c>
      <c r="P41645" s="5" t="s">
        <v>355</v>
      </c>
      <c r="Q41645" s="5" t="s">
        <v>355</v>
      </c>
    </row>
    <row r="41646" ht="16.5" customHeight="1">
      <c r="O41646" s="5" t="s">
        <v>355</v>
      </c>
      <c r="P41646" s="5" t="s">
        <v>355</v>
      </c>
      <c r="Q41646" s="5" t="s">
        <v>355</v>
      </c>
    </row>
    <row r="41647" ht="16.5" customHeight="1">
      <c r="O41647" s="5" t="s">
        <v>355</v>
      </c>
      <c r="P41647" s="5" t="s">
        <v>355</v>
      </c>
      <c r="Q41647" s="5" t="s">
        <v>355</v>
      </c>
    </row>
    <row r="41648" ht="16.5" customHeight="1">
      <c r="O41648" s="5" t="s">
        <v>355</v>
      </c>
      <c r="P41648" s="5" t="s">
        <v>355</v>
      </c>
      <c r="Q41648" s="5" t="s">
        <v>355</v>
      </c>
    </row>
    <row r="41649" ht="16.5" customHeight="1">
      <c r="O41649" s="5" t="s">
        <v>355</v>
      </c>
      <c r="P41649" s="5" t="s">
        <v>355</v>
      </c>
      <c r="Q41649" s="5" t="s">
        <v>355</v>
      </c>
    </row>
    <row r="41650" ht="16.5" customHeight="1">
      <c r="O41650" s="5" t="s">
        <v>355</v>
      </c>
      <c r="P41650" s="5" t="s">
        <v>355</v>
      </c>
      <c r="Q41650" s="5" t="s">
        <v>355</v>
      </c>
    </row>
    <row r="41651" ht="16.5" customHeight="1">
      <c r="O41651" s="5" t="s">
        <v>355</v>
      </c>
      <c r="P41651" s="5" t="s">
        <v>355</v>
      </c>
      <c r="Q41651" s="5" t="s">
        <v>355</v>
      </c>
    </row>
    <row r="41652" ht="16.5" customHeight="1">
      <c r="O41652" s="5" t="s">
        <v>355</v>
      </c>
      <c r="P41652" s="5" t="s">
        <v>355</v>
      </c>
      <c r="Q41652" s="5" t="s">
        <v>355</v>
      </c>
    </row>
    <row r="41653" ht="16.5" customHeight="1">
      <c r="O41653" s="5" t="s">
        <v>355</v>
      </c>
      <c r="P41653" s="5" t="s">
        <v>355</v>
      </c>
      <c r="Q41653" s="5" t="s">
        <v>355</v>
      </c>
    </row>
    <row r="41654" ht="16.5" customHeight="1">
      <c r="O41654" s="5" t="s">
        <v>355</v>
      </c>
      <c r="P41654" s="5" t="s">
        <v>355</v>
      </c>
      <c r="Q41654" s="5" t="s">
        <v>355</v>
      </c>
    </row>
    <row r="41655" ht="16.5" customHeight="1">
      <c r="O41655" s="5" t="s">
        <v>355</v>
      </c>
      <c r="P41655" s="5" t="s">
        <v>355</v>
      </c>
      <c r="Q41655" s="5" t="s">
        <v>355</v>
      </c>
    </row>
    <row r="41656" ht="16.5" customHeight="1">
      <c r="O41656" s="5" t="s">
        <v>355</v>
      </c>
      <c r="P41656" s="5" t="s">
        <v>355</v>
      </c>
      <c r="Q41656" s="5" t="s">
        <v>355</v>
      </c>
    </row>
    <row r="41657" ht="16.5" customHeight="1">
      <c r="O41657" s="5" t="s">
        <v>355</v>
      </c>
      <c r="P41657" s="5" t="s">
        <v>355</v>
      </c>
      <c r="Q41657" s="5" t="s">
        <v>355</v>
      </c>
    </row>
    <row r="41658" ht="16.5" customHeight="1">
      <c r="O41658" s="5" t="s">
        <v>355</v>
      </c>
      <c r="P41658" s="5" t="s">
        <v>355</v>
      </c>
      <c r="Q41658" s="5" t="s">
        <v>355</v>
      </c>
    </row>
    <row r="41659" ht="16.5" customHeight="1">
      <c r="O41659" s="5" t="s">
        <v>355</v>
      </c>
      <c r="P41659" s="5" t="s">
        <v>355</v>
      </c>
      <c r="Q41659" s="5" t="s">
        <v>355</v>
      </c>
    </row>
    <row r="41660" ht="16.5" customHeight="1">
      <c r="O41660" s="5" t="s">
        <v>355</v>
      </c>
      <c r="P41660" s="5" t="s">
        <v>355</v>
      </c>
      <c r="Q41660" s="5" t="s">
        <v>355</v>
      </c>
    </row>
    <row r="41661" ht="16.5" customHeight="1">
      <c r="O41661" s="5" t="s">
        <v>355</v>
      </c>
      <c r="P41661" s="5" t="s">
        <v>355</v>
      </c>
      <c r="Q41661" s="5" t="s">
        <v>355</v>
      </c>
    </row>
    <row r="41662" ht="16.5" customHeight="1">
      <c r="O41662" s="5" t="s">
        <v>355</v>
      </c>
      <c r="P41662" s="5" t="s">
        <v>355</v>
      </c>
      <c r="Q41662" s="5" t="s">
        <v>355</v>
      </c>
    </row>
    <row r="41663" ht="16.5" customHeight="1">
      <c r="O41663" s="5" t="s">
        <v>355</v>
      </c>
      <c r="P41663" s="5" t="s">
        <v>355</v>
      </c>
      <c r="Q41663" s="5" t="s">
        <v>355</v>
      </c>
    </row>
    <row r="41664" ht="16.5" customHeight="1">
      <c r="O41664" s="5" t="s">
        <v>355</v>
      </c>
      <c r="P41664" s="5" t="s">
        <v>355</v>
      </c>
      <c r="Q41664" s="5" t="s">
        <v>355</v>
      </c>
    </row>
    <row r="41665" ht="16.5" customHeight="1">
      <c r="O41665" s="5" t="s">
        <v>355</v>
      </c>
      <c r="P41665" s="5" t="s">
        <v>355</v>
      </c>
      <c r="Q41665" s="5" t="s">
        <v>355</v>
      </c>
    </row>
    <row r="41666" ht="16.5" customHeight="1">
      <c r="O41666" s="5" t="s">
        <v>355</v>
      </c>
      <c r="P41666" s="5" t="s">
        <v>355</v>
      </c>
      <c r="Q41666" s="5" t="s">
        <v>355</v>
      </c>
    </row>
    <row r="41667" ht="16.5" customHeight="1">
      <c r="O41667" s="5" t="s">
        <v>355</v>
      </c>
      <c r="P41667" s="5" t="s">
        <v>355</v>
      </c>
      <c r="Q41667" s="5" t="s">
        <v>355</v>
      </c>
    </row>
    <row r="41668" ht="16.5" customHeight="1">
      <c r="O41668" s="5" t="s">
        <v>355</v>
      </c>
      <c r="P41668" s="5" t="s">
        <v>355</v>
      </c>
      <c r="Q41668" s="5" t="s">
        <v>355</v>
      </c>
    </row>
    <row r="41669" ht="16.5" customHeight="1">
      <c r="O41669" s="5" t="s">
        <v>355</v>
      </c>
      <c r="P41669" s="5" t="s">
        <v>355</v>
      </c>
      <c r="Q41669" s="5" t="s">
        <v>355</v>
      </c>
    </row>
    <row r="41670" ht="16.5" customHeight="1">
      <c r="O41670" s="5" t="s">
        <v>355</v>
      </c>
      <c r="P41670" s="5" t="s">
        <v>355</v>
      </c>
      <c r="Q41670" s="5" t="s">
        <v>355</v>
      </c>
    </row>
    <row r="41671" ht="16.5" customHeight="1">
      <c r="O41671" s="5" t="s">
        <v>355</v>
      </c>
      <c r="P41671" s="5" t="s">
        <v>355</v>
      </c>
      <c r="Q41671" s="5" t="s">
        <v>355</v>
      </c>
    </row>
    <row r="41672" ht="16.5" customHeight="1">
      <c r="O41672" s="5" t="s">
        <v>355</v>
      </c>
      <c r="P41672" s="5" t="s">
        <v>355</v>
      </c>
      <c r="Q41672" s="5" t="s">
        <v>355</v>
      </c>
    </row>
    <row r="41673" ht="16.5" customHeight="1">
      <c r="O41673" s="5" t="s">
        <v>355</v>
      </c>
      <c r="P41673" s="5" t="s">
        <v>355</v>
      </c>
      <c r="Q41673" s="5" t="s">
        <v>355</v>
      </c>
    </row>
    <row r="41674" ht="16.5" customHeight="1">
      <c r="O41674" s="5" t="s">
        <v>355</v>
      </c>
      <c r="P41674" s="5" t="s">
        <v>355</v>
      </c>
      <c r="Q41674" s="5" t="s">
        <v>355</v>
      </c>
    </row>
    <row r="41675" ht="16.5" customHeight="1">
      <c r="O41675" s="5" t="s">
        <v>355</v>
      </c>
      <c r="P41675" s="5" t="s">
        <v>355</v>
      </c>
      <c r="Q41675" s="5" t="s">
        <v>355</v>
      </c>
    </row>
    <row r="41676" ht="16.5" customHeight="1">
      <c r="O41676" s="5" t="s">
        <v>355</v>
      </c>
      <c r="P41676" s="5" t="s">
        <v>355</v>
      </c>
      <c r="Q41676" s="5" t="s">
        <v>355</v>
      </c>
    </row>
    <row r="41677" ht="16.5" customHeight="1">
      <c r="O41677" s="5" t="s">
        <v>355</v>
      </c>
      <c r="P41677" s="5" t="s">
        <v>355</v>
      </c>
      <c r="Q41677" s="5" t="s">
        <v>355</v>
      </c>
    </row>
    <row r="41678" ht="16.5" customHeight="1">
      <c r="O41678" s="5" t="s">
        <v>355</v>
      </c>
      <c r="P41678" s="5" t="s">
        <v>355</v>
      </c>
      <c r="Q41678" s="5" t="s">
        <v>355</v>
      </c>
    </row>
    <row r="41679" ht="16.5" customHeight="1">
      <c r="O41679" s="5" t="s">
        <v>355</v>
      </c>
      <c r="P41679" s="5" t="s">
        <v>355</v>
      </c>
      <c r="Q41679" s="5" t="s">
        <v>355</v>
      </c>
    </row>
    <row r="41680" ht="16.5" customHeight="1">
      <c r="O41680" s="5" t="s">
        <v>355</v>
      </c>
      <c r="P41680" s="5" t="s">
        <v>355</v>
      </c>
      <c r="Q41680" s="5" t="s">
        <v>355</v>
      </c>
    </row>
    <row r="41681" ht="16.5" customHeight="1">
      <c r="O41681" s="5" t="s">
        <v>355</v>
      </c>
      <c r="P41681" s="5" t="s">
        <v>355</v>
      </c>
      <c r="Q41681" s="5" t="s">
        <v>355</v>
      </c>
    </row>
    <row r="41682" ht="16.5" customHeight="1">
      <c r="O41682" s="5" t="s">
        <v>355</v>
      </c>
      <c r="P41682" s="5" t="s">
        <v>355</v>
      </c>
      <c r="Q41682" s="5" t="s">
        <v>355</v>
      </c>
    </row>
    <row r="41683" ht="16.5" customHeight="1">
      <c r="O41683" s="5" t="s">
        <v>355</v>
      </c>
      <c r="P41683" s="5" t="s">
        <v>355</v>
      </c>
      <c r="Q41683" s="5" t="s">
        <v>355</v>
      </c>
    </row>
    <row r="41684" ht="16.5" customHeight="1">
      <c r="O41684" s="5" t="s">
        <v>355</v>
      </c>
      <c r="P41684" s="5" t="s">
        <v>355</v>
      </c>
      <c r="Q41684" s="5" t="s">
        <v>355</v>
      </c>
    </row>
    <row r="41685" ht="16.5" customHeight="1">
      <c r="O41685" s="5" t="s">
        <v>355</v>
      </c>
      <c r="P41685" s="5" t="s">
        <v>355</v>
      </c>
      <c r="Q41685" s="5" t="s">
        <v>355</v>
      </c>
    </row>
    <row r="41686" ht="16.5" customHeight="1">
      <c r="O41686" s="5" t="s">
        <v>355</v>
      </c>
      <c r="P41686" s="5" t="s">
        <v>355</v>
      </c>
      <c r="Q41686" s="5" t="s">
        <v>355</v>
      </c>
    </row>
    <row r="41687" ht="16.5" customHeight="1">
      <c r="O41687" s="5" t="s">
        <v>355</v>
      </c>
      <c r="P41687" s="5" t="s">
        <v>355</v>
      </c>
      <c r="Q41687" s="5" t="s">
        <v>355</v>
      </c>
    </row>
    <row r="41688" ht="16.5" customHeight="1">
      <c r="O41688" s="5" t="s">
        <v>355</v>
      </c>
      <c r="P41688" s="5" t="s">
        <v>355</v>
      </c>
      <c r="Q41688" s="5" t="s">
        <v>355</v>
      </c>
    </row>
    <row r="41689" ht="16.5" customHeight="1">
      <c r="O41689" s="5" t="s">
        <v>355</v>
      </c>
      <c r="P41689" s="5" t="s">
        <v>355</v>
      </c>
      <c r="Q41689" s="5" t="s">
        <v>355</v>
      </c>
    </row>
    <row r="41690" ht="16.5" customHeight="1">
      <c r="O41690" s="5" t="s">
        <v>355</v>
      </c>
      <c r="P41690" s="5" t="s">
        <v>355</v>
      </c>
      <c r="Q41690" s="5" t="s">
        <v>355</v>
      </c>
    </row>
    <row r="41691" ht="16.5" customHeight="1">
      <c r="O41691" s="5" t="s">
        <v>355</v>
      </c>
      <c r="P41691" s="5" t="s">
        <v>355</v>
      </c>
      <c r="Q41691" s="5" t="s">
        <v>355</v>
      </c>
    </row>
    <row r="41692" ht="16.5" customHeight="1">
      <c r="O41692" s="5" t="s">
        <v>355</v>
      </c>
      <c r="P41692" s="5" t="s">
        <v>355</v>
      </c>
      <c r="Q41692" s="5" t="s">
        <v>355</v>
      </c>
    </row>
    <row r="41693" ht="16.5" customHeight="1">
      <c r="O41693" s="5" t="s">
        <v>355</v>
      </c>
      <c r="P41693" s="5" t="s">
        <v>355</v>
      </c>
      <c r="Q41693" s="5" t="s">
        <v>355</v>
      </c>
    </row>
    <row r="41694" ht="16.5" customHeight="1">
      <c r="O41694" s="5" t="s">
        <v>355</v>
      </c>
      <c r="P41694" s="5" t="s">
        <v>355</v>
      </c>
      <c r="Q41694" s="5" t="s">
        <v>355</v>
      </c>
    </row>
    <row r="41695" ht="16.5" customHeight="1">
      <c r="O41695" s="5" t="s">
        <v>355</v>
      </c>
      <c r="P41695" s="5" t="s">
        <v>355</v>
      </c>
      <c r="Q41695" s="5" t="s">
        <v>355</v>
      </c>
    </row>
    <row r="41696" ht="16.5" customHeight="1">
      <c r="O41696" s="5" t="s">
        <v>355</v>
      </c>
      <c r="P41696" s="5" t="s">
        <v>355</v>
      </c>
      <c r="Q41696" s="5" t="s">
        <v>355</v>
      </c>
    </row>
    <row r="41697" ht="16.5" customHeight="1">
      <c r="O41697" s="5" t="s">
        <v>355</v>
      </c>
      <c r="P41697" s="5" t="s">
        <v>355</v>
      </c>
      <c r="Q41697" s="5" t="s">
        <v>355</v>
      </c>
    </row>
    <row r="41698" ht="16.5" customHeight="1">
      <c r="O41698" s="5" t="s">
        <v>355</v>
      </c>
      <c r="P41698" s="5" t="s">
        <v>355</v>
      </c>
      <c r="Q41698" s="5" t="s">
        <v>355</v>
      </c>
    </row>
    <row r="41699" ht="16.5" customHeight="1">
      <c r="O41699" s="5" t="s">
        <v>355</v>
      </c>
      <c r="P41699" s="5" t="s">
        <v>355</v>
      </c>
      <c r="Q41699" s="5" t="s">
        <v>355</v>
      </c>
    </row>
    <row r="41700" ht="16.5" customHeight="1">
      <c r="O41700" s="5" t="s">
        <v>355</v>
      </c>
      <c r="P41700" s="5" t="s">
        <v>355</v>
      </c>
      <c r="Q41700" s="5" t="s">
        <v>355</v>
      </c>
    </row>
    <row r="41701" ht="16.5" customHeight="1">
      <c r="O41701" s="5" t="s">
        <v>355</v>
      </c>
      <c r="P41701" s="5" t="s">
        <v>355</v>
      </c>
      <c r="Q41701" s="5" t="s">
        <v>355</v>
      </c>
    </row>
    <row r="41702" ht="16.5" customHeight="1">
      <c r="O41702" s="5" t="s">
        <v>355</v>
      </c>
      <c r="P41702" s="5" t="s">
        <v>355</v>
      </c>
      <c r="Q41702" s="5" t="s">
        <v>355</v>
      </c>
    </row>
    <row r="41703" ht="16.5" customHeight="1">
      <c r="O41703" s="5" t="s">
        <v>355</v>
      </c>
      <c r="P41703" s="5" t="s">
        <v>355</v>
      </c>
      <c r="Q41703" s="5" t="s">
        <v>355</v>
      </c>
    </row>
    <row r="41704" ht="16.5" customHeight="1">
      <c r="O41704" s="5" t="s">
        <v>355</v>
      </c>
      <c r="P41704" s="5" t="s">
        <v>355</v>
      </c>
      <c r="Q41704" s="5" t="s">
        <v>355</v>
      </c>
    </row>
    <row r="41705" ht="16.5" customHeight="1">
      <c r="O41705" s="5" t="s">
        <v>355</v>
      </c>
      <c r="P41705" s="5" t="s">
        <v>355</v>
      </c>
      <c r="Q41705" s="5" t="s">
        <v>355</v>
      </c>
    </row>
    <row r="41706" ht="16.5" customHeight="1">
      <c r="O41706" s="5" t="s">
        <v>355</v>
      </c>
      <c r="P41706" s="5" t="s">
        <v>355</v>
      </c>
      <c r="Q41706" s="5" t="s">
        <v>355</v>
      </c>
    </row>
    <row r="41707" ht="16.5" customHeight="1">
      <c r="O41707" s="5" t="s">
        <v>355</v>
      </c>
      <c r="P41707" s="5" t="s">
        <v>355</v>
      </c>
      <c r="Q41707" s="5" t="s">
        <v>355</v>
      </c>
    </row>
    <row r="41708" ht="16.5" customHeight="1">
      <c r="O41708" s="5" t="s">
        <v>355</v>
      </c>
      <c r="P41708" s="5" t="s">
        <v>355</v>
      </c>
      <c r="Q41708" s="5" t="s">
        <v>355</v>
      </c>
    </row>
    <row r="41709" ht="16.5" customHeight="1">
      <c r="O41709" s="5" t="s">
        <v>355</v>
      </c>
      <c r="P41709" s="5" t="s">
        <v>355</v>
      </c>
      <c r="Q41709" s="5" t="s">
        <v>355</v>
      </c>
    </row>
    <row r="41710" ht="16.5" customHeight="1">
      <c r="O41710" s="5" t="s">
        <v>355</v>
      </c>
      <c r="P41710" s="5" t="s">
        <v>355</v>
      </c>
      <c r="Q41710" s="5" t="s">
        <v>355</v>
      </c>
    </row>
    <row r="41711" ht="16.5" customHeight="1">
      <c r="O41711" s="5" t="s">
        <v>355</v>
      </c>
      <c r="P41711" s="5" t="s">
        <v>355</v>
      </c>
      <c r="Q41711" s="5" t="s">
        <v>355</v>
      </c>
    </row>
    <row r="41712" ht="16.5" customHeight="1">
      <c r="O41712" s="5" t="s">
        <v>355</v>
      </c>
      <c r="P41712" s="5" t="s">
        <v>355</v>
      </c>
      <c r="Q41712" s="5" t="s">
        <v>355</v>
      </c>
    </row>
    <row r="41713" ht="16.5" customHeight="1">
      <c r="O41713" s="5" t="s">
        <v>355</v>
      </c>
      <c r="P41713" s="5" t="s">
        <v>355</v>
      </c>
      <c r="Q41713" s="5" t="s">
        <v>355</v>
      </c>
    </row>
    <row r="41714" ht="16.5" customHeight="1">
      <c r="O41714" s="5" t="s">
        <v>355</v>
      </c>
      <c r="P41714" s="5" t="s">
        <v>355</v>
      </c>
      <c r="Q41714" s="5" t="s">
        <v>355</v>
      </c>
    </row>
    <row r="41715" ht="16.5" customHeight="1">
      <c r="O41715" s="5" t="s">
        <v>355</v>
      </c>
      <c r="P41715" s="5" t="s">
        <v>355</v>
      </c>
      <c r="Q41715" s="5" t="s">
        <v>355</v>
      </c>
    </row>
    <row r="41716" ht="16.5" customHeight="1">
      <c r="O41716" s="5" t="s">
        <v>355</v>
      </c>
      <c r="P41716" s="5" t="s">
        <v>355</v>
      </c>
      <c r="Q41716" s="5" t="s">
        <v>355</v>
      </c>
    </row>
    <row r="41717" ht="16.5" customHeight="1">
      <c r="O41717" s="5" t="s">
        <v>355</v>
      </c>
      <c r="P41717" s="5" t="s">
        <v>355</v>
      </c>
      <c r="Q41717" s="5" t="s">
        <v>355</v>
      </c>
    </row>
    <row r="41718" ht="16.5" customHeight="1">
      <c r="O41718" s="5" t="s">
        <v>355</v>
      </c>
      <c r="P41718" s="5" t="s">
        <v>355</v>
      </c>
      <c r="Q41718" s="5" t="s">
        <v>355</v>
      </c>
    </row>
    <row r="41719" ht="16.5" customHeight="1">
      <c r="O41719" s="5" t="s">
        <v>355</v>
      </c>
      <c r="P41719" s="5" t="s">
        <v>355</v>
      </c>
      <c r="Q41719" s="5" t="s">
        <v>355</v>
      </c>
    </row>
    <row r="41720" ht="16.5" customHeight="1">
      <c r="O41720" s="5" t="s">
        <v>355</v>
      </c>
      <c r="P41720" s="5" t="s">
        <v>355</v>
      </c>
      <c r="Q41720" s="5" t="s">
        <v>355</v>
      </c>
    </row>
    <row r="41721" ht="16.5" customHeight="1">
      <c r="O41721" s="5" t="s">
        <v>355</v>
      </c>
      <c r="P41721" s="5" t="s">
        <v>355</v>
      </c>
      <c r="Q41721" s="5" t="s">
        <v>355</v>
      </c>
    </row>
    <row r="41722" ht="16.5" customHeight="1">
      <c r="O41722" s="5" t="s">
        <v>355</v>
      </c>
      <c r="P41722" s="5" t="s">
        <v>355</v>
      </c>
      <c r="Q41722" s="5" t="s">
        <v>355</v>
      </c>
    </row>
    <row r="41723" ht="16.5" customHeight="1">
      <c r="O41723" s="5" t="s">
        <v>355</v>
      </c>
      <c r="P41723" s="5" t="s">
        <v>355</v>
      </c>
      <c r="Q41723" s="5" t="s">
        <v>355</v>
      </c>
    </row>
    <row r="41724" ht="16.5" customHeight="1">
      <c r="O41724" s="5" t="s">
        <v>355</v>
      </c>
      <c r="P41724" s="5" t="s">
        <v>355</v>
      </c>
      <c r="Q41724" s="5" t="s">
        <v>355</v>
      </c>
    </row>
    <row r="41725" ht="16.5" customHeight="1">
      <c r="O41725" s="5" t="s">
        <v>355</v>
      </c>
      <c r="P41725" s="5" t="s">
        <v>355</v>
      </c>
      <c r="Q41725" s="5" t="s">
        <v>355</v>
      </c>
    </row>
    <row r="41726" ht="16.5" customHeight="1">
      <c r="O41726" s="5" t="s">
        <v>355</v>
      </c>
      <c r="P41726" s="5" t="s">
        <v>355</v>
      </c>
      <c r="Q41726" s="5" t="s">
        <v>355</v>
      </c>
    </row>
    <row r="41727" ht="16.5" customHeight="1">
      <c r="O41727" s="5" t="s">
        <v>355</v>
      </c>
      <c r="P41727" s="5" t="s">
        <v>355</v>
      </c>
      <c r="Q41727" s="5" t="s">
        <v>355</v>
      </c>
    </row>
    <row r="41728" ht="16.5" customHeight="1">
      <c r="O41728" s="5" t="s">
        <v>355</v>
      </c>
      <c r="P41728" s="5" t="s">
        <v>355</v>
      </c>
      <c r="Q41728" s="5" t="s">
        <v>355</v>
      </c>
    </row>
    <row r="41729" ht="16.5" customHeight="1">
      <c r="O41729" s="5" t="s">
        <v>355</v>
      </c>
      <c r="P41729" s="5" t="s">
        <v>355</v>
      </c>
      <c r="Q41729" s="5" t="s">
        <v>355</v>
      </c>
    </row>
    <row r="41730" ht="16.5" customHeight="1">
      <c r="O41730" s="5" t="s">
        <v>355</v>
      </c>
      <c r="P41730" s="5" t="s">
        <v>355</v>
      </c>
      <c r="Q41730" s="5" t="s">
        <v>355</v>
      </c>
    </row>
    <row r="41731" ht="16.5" customHeight="1">
      <c r="O41731" s="5" t="s">
        <v>355</v>
      </c>
      <c r="P41731" s="5" t="s">
        <v>355</v>
      </c>
      <c r="Q41731" s="5" t="s">
        <v>355</v>
      </c>
    </row>
    <row r="41732" ht="16.5" customHeight="1">
      <c r="O41732" s="5" t="s">
        <v>355</v>
      </c>
      <c r="P41732" s="5" t="s">
        <v>355</v>
      </c>
      <c r="Q41732" s="5" t="s">
        <v>355</v>
      </c>
    </row>
    <row r="41733" ht="16.5" customHeight="1">
      <c r="O41733" s="5" t="s">
        <v>355</v>
      </c>
      <c r="P41733" s="5" t="s">
        <v>355</v>
      </c>
      <c r="Q41733" s="5" t="s">
        <v>355</v>
      </c>
    </row>
    <row r="41734" ht="16.5" customHeight="1">
      <c r="O41734" s="5" t="s">
        <v>355</v>
      </c>
      <c r="P41734" s="5" t="s">
        <v>355</v>
      </c>
      <c r="Q41734" s="5" t="s">
        <v>355</v>
      </c>
    </row>
    <row r="41735" ht="16.5" customHeight="1">
      <c r="O41735" s="5" t="s">
        <v>355</v>
      </c>
      <c r="P41735" s="5" t="s">
        <v>355</v>
      </c>
      <c r="Q41735" s="5" t="s">
        <v>355</v>
      </c>
    </row>
    <row r="41736" ht="16.5" customHeight="1">
      <c r="O41736" s="5" t="s">
        <v>355</v>
      </c>
      <c r="P41736" s="5" t="s">
        <v>355</v>
      </c>
      <c r="Q41736" s="5" t="s">
        <v>355</v>
      </c>
    </row>
    <row r="41737" ht="16.5" customHeight="1">
      <c r="O41737" s="5" t="s">
        <v>355</v>
      </c>
      <c r="P41737" s="5" t="s">
        <v>355</v>
      </c>
      <c r="Q41737" s="5" t="s">
        <v>355</v>
      </c>
    </row>
    <row r="41738" ht="16.5" customHeight="1">
      <c r="O41738" s="5" t="s">
        <v>355</v>
      </c>
      <c r="P41738" s="5" t="s">
        <v>355</v>
      </c>
      <c r="Q41738" s="5" t="s">
        <v>355</v>
      </c>
    </row>
    <row r="41739" ht="16.5" customHeight="1">
      <c r="O41739" s="5" t="s">
        <v>355</v>
      </c>
      <c r="P41739" s="5" t="s">
        <v>355</v>
      </c>
      <c r="Q41739" s="5" t="s">
        <v>355</v>
      </c>
    </row>
    <row r="41740" ht="16.5" customHeight="1">
      <c r="O41740" s="5" t="s">
        <v>355</v>
      </c>
      <c r="P41740" s="5" t="s">
        <v>355</v>
      </c>
      <c r="Q41740" s="5" t="s">
        <v>355</v>
      </c>
    </row>
    <row r="41741" ht="16.5" customHeight="1">
      <c r="O41741" s="5" t="s">
        <v>355</v>
      </c>
      <c r="P41741" s="5" t="s">
        <v>355</v>
      </c>
      <c r="Q41741" s="5" t="s">
        <v>355</v>
      </c>
    </row>
    <row r="41742" ht="16.5" customHeight="1">
      <c r="O41742" s="5" t="s">
        <v>355</v>
      </c>
      <c r="P41742" s="5" t="s">
        <v>355</v>
      </c>
      <c r="Q41742" s="5" t="s">
        <v>355</v>
      </c>
    </row>
    <row r="41743" ht="16.5" customHeight="1">
      <c r="O41743" s="5" t="s">
        <v>355</v>
      </c>
      <c r="P41743" s="5" t="s">
        <v>355</v>
      </c>
      <c r="Q41743" s="5" t="s">
        <v>355</v>
      </c>
    </row>
    <row r="41744" ht="16.5" customHeight="1">
      <c r="O41744" s="5" t="s">
        <v>355</v>
      </c>
      <c r="P41744" s="5" t="s">
        <v>355</v>
      </c>
      <c r="Q41744" s="5" t="s">
        <v>355</v>
      </c>
    </row>
    <row r="41745" ht="16.5" customHeight="1">
      <c r="O41745" s="5" t="s">
        <v>355</v>
      </c>
      <c r="P41745" s="5" t="s">
        <v>355</v>
      </c>
      <c r="Q41745" s="5" t="s">
        <v>355</v>
      </c>
    </row>
    <row r="41746" ht="16.5" customHeight="1">
      <c r="O41746" s="5" t="s">
        <v>355</v>
      </c>
      <c r="P41746" s="5" t="s">
        <v>355</v>
      </c>
      <c r="Q41746" s="5" t="s">
        <v>355</v>
      </c>
    </row>
    <row r="41747" ht="16.5" customHeight="1">
      <c r="O41747" s="5" t="s">
        <v>355</v>
      </c>
      <c r="P41747" s="5" t="s">
        <v>355</v>
      </c>
      <c r="Q41747" s="5" t="s">
        <v>355</v>
      </c>
    </row>
    <row r="41748" ht="16.5" customHeight="1">
      <c r="O41748" s="5" t="s">
        <v>355</v>
      </c>
      <c r="P41748" s="5" t="s">
        <v>355</v>
      </c>
      <c r="Q41748" s="5" t="s">
        <v>355</v>
      </c>
    </row>
    <row r="41749" ht="16.5" customHeight="1">
      <c r="O41749" s="5" t="s">
        <v>355</v>
      </c>
      <c r="P41749" s="5" t="s">
        <v>355</v>
      </c>
      <c r="Q41749" s="5" t="s">
        <v>355</v>
      </c>
    </row>
    <row r="41750" ht="16.5" customHeight="1">
      <c r="O41750" s="5" t="s">
        <v>355</v>
      </c>
      <c r="P41750" s="5" t="s">
        <v>355</v>
      </c>
      <c r="Q41750" s="5" t="s">
        <v>355</v>
      </c>
    </row>
    <row r="41751" ht="16.5" customHeight="1">
      <c r="O41751" s="5" t="s">
        <v>355</v>
      </c>
      <c r="P41751" s="5" t="s">
        <v>355</v>
      </c>
      <c r="Q41751" s="5" t="s">
        <v>355</v>
      </c>
    </row>
    <row r="41752" ht="16.5" customHeight="1">
      <c r="O41752" s="5" t="s">
        <v>355</v>
      </c>
      <c r="P41752" s="5" t="s">
        <v>355</v>
      </c>
      <c r="Q41752" s="5" t="s">
        <v>355</v>
      </c>
    </row>
    <row r="41753" ht="16.5" customHeight="1">
      <c r="O41753" s="5" t="s">
        <v>355</v>
      </c>
      <c r="P41753" s="5" t="s">
        <v>355</v>
      </c>
      <c r="Q41753" s="5" t="s">
        <v>355</v>
      </c>
    </row>
    <row r="41754" ht="16.5" customHeight="1">
      <c r="O41754" s="5" t="s">
        <v>355</v>
      </c>
      <c r="P41754" s="5" t="s">
        <v>355</v>
      </c>
      <c r="Q41754" s="5" t="s">
        <v>355</v>
      </c>
    </row>
    <row r="41755" ht="16.5" customHeight="1">
      <c r="O41755" s="5" t="s">
        <v>355</v>
      </c>
      <c r="P41755" s="5" t="s">
        <v>355</v>
      </c>
      <c r="Q41755" s="5" t="s">
        <v>355</v>
      </c>
    </row>
    <row r="41756" ht="16.5" customHeight="1">
      <c r="O41756" s="5" t="s">
        <v>355</v>
      </c>
      <c r="P41756" s="5" t="s">
        <v>355</v>
      </c>
      <c r="Q41756" s="5" t="s">
        <v>355</v>
      </c>
    </row>
    <row r="41757" ht="16.5" customHeight="1">
      <c r="O41757" s="5" t="s">
        <v>355</v>
      </c>
      <c r="P41757" s="5" t="s">
        <v>355</v>
      </c>
      <c r="Q41757" s="5" t="s">
        <v>355</v>
      </c>
    </row>
    <row r="41758" ht="16.5" customHeight="1">
      <c r="O41758" s="5" t="s">
        <v>355</v>
      </c>
      <c r="P41758" s="5" t="s">
        <v>355</v>
      </c>
      <c r="Q41758" s="5" t="s">
        <v>355</v>
      </c>
    </row>
    <row r="41759" ht="16.5" customHeight="1">
      <c r="O41759" s="5" t="s">
        <v>355</v>
      </c>
      <c r="P41759" s="5" t="s">
        <v>355</v>
      </c>
      <c r="Q41759" s="5" t="s">
        <v>355</v>
      </c>
    </row>
    <row r="41760" ht="16.5" customHeight="1">
      <c r="O41760" s="5" t="s">
        <v>355</v>
      </c>
      <c r="P41760" s="5" t="s">
        <v>355</v>
      </c>
      <c r="Q41760" s="5" t="s">
        <v>355</v>
      </c>
    </row>
    <row r="41761" ht="16.5" customHeight="1">
      <c r="O41761" s="5" t="s">
        <v>355</v>
      </c>
      <c r="P41761" s="5" t="s">
        <v>355</v>
      </c>
      <c r="Q41761" s="5" t="s">
        <v>355</v>
      </c>
    </row>
    <row r="41762" ht="16.5" customHeight="1">
      <c r="O41762" s="5" t="s">
        <v>355</v>
      </c>
      <c r="P41762" s="5" t="s">
        <v>355</v>
      </c>
      <c r="Q41762" s="5" t="s">
        <v>355</v>
      </c>
    </row>
    <row r="41763" ht="16.5" customHeight="1">
      <c r="O41763" s="5" t="s">
        <v>355</v>
      </c>
      <c r="P41763" s="5" t="s">
        <v>355</v>
      </c>
      <c r="Q41763" s="5" t="s">
        <v>355</v>
      </c>
    </row>
    <row r="41764" ht="16.5" customHeight="1">
      <c r="O41764" s="5" t="s">
        <v>355</v>
      </c>
      <c r="P41764" s="5" t="s">
        <v>355</v>
      </c>
      <c r="Q41764" s="5" t="s">
        <v>355</v>
      </c>
    </row>
    <row r="41765" ht="16.5" customHeight="1">
      <c r="O41765" s="5" t="s">
        <v>355</v>
      </c>
      <c r="P41765" s="5" t="s">
        <v>355</v>
      </c>
      <c r="Q41765" s="5" t="s">
        <v>355</v>
      </c>
    </row>
    <row r="41766" ht="16.5" customHeight="1">
      <c r="O41766" s="5" t="s">
        <v>355</v>
      </c>
      <c r="P41766" s="5" t="s">
        <v>355</v>
      </c>
      <c r="Q41766" s="5" t="s">
        <v>355</v>
      </c>
    </row>
    <row r="41767" ht="16.5" customHeight="1">
      <c r="O41767" s="5" t="s">
        <v>355</v>
      </c>
      <c r="P41767" s="5" t="s">
        <v>355</v>
      </c>
      <c r="Q41767" s="5" t="s">
        <v>355</v>
      </c>
    </row>
    <row r="41768" ht="16.5" customHeight="1">
      <c r="O41768" s="5" t="s">
        <v>355</v>
      </c>
      <c r="P41768" s="5" t="s">
        <v>355</v>
      </c>
      <c r="Q41768" s="5" t="s">
        <v>355</v>
      </c>
    </row>
    <row r="41769" ht="16.5" customHeight="1">
      <c r="O41769" s="5" t="s">
        <v>355</v>
      </c>
      <c r="P41769" s="5" t="s">
        <v>355</v>
      </c>
      <c r="Q41769" s="5" t="s">
        <v>355</v>
      </c>
    </row>
    <row r="41770" ht="16.5" customHeight="1">
      <c r="O41770" s="5" t="s">
        <v>355</v>
      </c>
      <c r="P41770" s="5" t="s">
        <v>355</v>
      </c>
      <c r="Q41770" s="5" t="s">
        <v>355</v>
      </c>
    </row>
    <row r="41771" ht="16.5" customHeight="1">
      <c r="O41771" s="5" t="s">
        <v>355</v>
      </c>
      <c r="P41771" s="5" t="s">
        <v>355</v>
      </c>
      <c r="Q41771" s="5" t="s">
        <v>355</v>
      </c>
    </row>
    <row r="41772" ht="16.5" customHeight="1">
      <c r="O41772" s="5" t="s">
        <v>355</v>
      </c>
      <c r="P41772" s="5" t="s">
        <v>355</v>
      </c>
      <c r="Q41772" s="5" t="s">
        <v>355</v>
      </c>
    </row>
    <row r="41773" ht="16.5" customHeight="1">
      <c r="O41773" s="5" t="s">
        <v>355</v>
      </c>
      <c r="P41773" s="5" t="s">
        <v>355</v>
      </c>
      <c r="Q41773" s="5" t="s">
        <v>355</v>
      </c>
    </row>
    <row r="41774" ht="16.5" customHeight="1">
      <c r="O41774" s="5" t="s">
        <v>355</v>
      </c>
      <c r="P41774" s="5" t="s">
        <v>355</v>
      </c>
      <c r="Q41774" s="5" t="s">
        <v>355</v>
      </c>
    </row>
    <row r="41775" ht="16.5" customHeight="1">
      <c r="O41775" s="5" t="s">
        <v>355</v>
      </c>
      <c r="P41775" s="5" t="s">
        <v>355</v>
      </c>
      <c r="Q41775" s="5" t="s">
        <v>355</v>
      </c>
    </row>
    <row r="41776" ht="16.5" customHeight="1">
      <c r="O41776" s="5" t="s">
        <v>355</v>
      </c>
      <c r="P41776" s="5" t="s">
        <v>355</v>
      </c>
      <c r="Q41776" s="5" t="s">
        <v>355</v>
      </c>
    </row>
    <row r="41777" ht="16.5" customHeight="1">
      <c r="O41777" s="5" t="s">
        <v>355</v>
      </c>
      <c r="P41777" s="5" t="s">
        <v>355</v>
      </c>
      <c r="Q41777" s="5" t="s">
        <v>355</v>
      </c>
    </row>
    <row r="41778" ht="16.5" customHeight="1">
      <c r="O41778" s="5" t="s">
        <v>355</v>
      </c>
      <c r="P41778" s="5" t="s">
        <v>355</v>
      </c>
      <c r="Q41778" s="5" t="s">
        <v>355</v>
      </c>
    </row>
    <row r="41779" ht="16.5" customHeight="1">
      <c r="O41779" s="5" t="s">
        <v>355</v>
      </c>
      <c r="P41779" s="5" t="s">
        <v>355</v>
      </c>
      <c r="Q41779" s="5" t="s">
        <v>355</v>
      </c>
    </row>
    <row r="41780" ht="16.5" customHeight="1">
      <c r="O41780" s="5" t="s">
        <v>355</v>
      </c>
      <c r="P41780" s="5" t="s">
        <v>355</v>
      </c>
      <c r="Q41780" s="5" t="s">
        <v>355</v>
      </c>
    </row>
    <row r="41781" ht="16.5" customHeight="1">
      <c r="O41781" s="5" t="s">
        <v>355</v>
      </c>
      <c r="P41781" s="5" t="s">
        <v>355</v>
      </c>
      <c r="Q41781" s="5" t="s">
        <v>355</v>
      </c>
    </row>
    <row r="41782" ht="16.5" customHeight="1">
      <c r="O41782" s="5" t="s">
        <v>355</v>
      </c>
      <c r="P41782" s="5" t="s">
        <v>355</v>
      </c>
      <c r="Q41782" s="5" t="s">
        <v>355</v>
      </c>
    </row>
    <row r="41783" ht="16.5" customHeight="1">
      <c r="O41783" s="5" t="s">
        <v>355</v>
      </c>
      <c r="P41783" s="5" t="s">
        <v>355</v>
      </c>
      <c r="Q41783" s="5" t="s">
        <v>355</v>
      </c>
    </row>
    <row r="41784" ht="16.5" customHeight="1">
      <c r="O41784" s="5" t="s">
        <v>355</v>
      </c>
      <c r="P41784" s="5" t="s">
        <v>355</v>
      </c>
      <c r="Q41784" s="5" t="s">
        <v>355</v>
      </c>
    </row>
    <row r="41785" ht="16.5" customHeight="1">
      <c r="O41785" s="5" t="s">
        <v>355</v>
      </c>
      <c r="P41785" s="5" t="s">
        <v>355</v>
      </c>
      <c r="Q41785" s="5" t="s">
        <v>355</v>
      </c>
    </row>
    <row r="41786" ht="16.5" customHeight="1">
      <c r="O41786" s="5" t="s">
        <v>355</v>
      </c>
      <c r="P41786" s="5" t="s">
        <v>355</v>
      </c>
      <c r="Q41786" s="5" t="s">
        <v>355</v>
      </c>
    </row>
    <row r="41787" ht="16.5" customHeight="1">
      <c r="O41787" s="5" t="s">
        <v>355</v>
      </c>
      <c r="P41787" s="5" t="s">
        <v>355</v>
      </c>
      <c r="Q41787" s="5" t="s">
        <v>355</v>
      </c>
    </row>
    <row r="41788" ht="16.5" customHeight="1">
      <c r="O41788" s="5" t="s">
        <v>355</v>
      </c>
      <c r="P41788" s="5" t="s">
        <v>355</v>
      </c>
      <c r="Q41788" s="5" t="s">
        <v>355</v>
      </c>
    </row>
    <row r="41789" ht="16.5" customHeight="1">
      <c r="O41789" s="5" t="s">
        <v>355</v>
      </c>
      <c r="P41789" s="5" t="s">
        <v>355</v>
      </c>
      <c r="Q41789" s="5" t="s">
        <v>355</v>
      </c>
    </row>
    <row r="41790" ht="16.5" customHeight="1">
      <c r="O41790" s="5" t="s">
        <v>355</v>
      </c>
      <c r="P41790" s="5" t="s">
        <v>355</v>
      </c>
      <c r="Q41790" s="5" t="s">
        <v>355</v>
      </c>
    </row>
    <row r="41791" ht="16.5" customHeight="1">
      <c r="O41791" s="5" t="s">
        <v>355</v>
      </c>
      <c r="P41791" s="5" t="s">
        <v>355</v>
      </c>
      <c r="Q41791" s="5" t="s">
        <v>355</v>
      </c>
    </row>
    <row r="41792" ht="16.5" customHeight="1">
      <c r="O41792" s="5" t="s">
        <v>355</v>
      </c>
      <c r="P41792" s="5" t="s">
        <v>355</v>
      </c>
      <c r="Q41792" s="5" t="s">
        <v>355</v>
      </c>
    </row>
    <row r="41793" ht="16.5" customHeight="1">
      <c r="O41793" s="5" t="s">
        <v>355</v>
      </c>
      <c r="P41793" s="5" t="s">
        <v>355</v>
      </c>
      <c r="Q41793" s="5" t="s">
        <v>355</v>
      </c>
    </row>
    <row r="41794" ht="16.5" customHeight="1">
      <c r="O41794" s="5" t="s">
        <v>355</v>
      </c>
      <c r="P41794" s="5" t="s">
        <v>355</v>
      </c>
      <c r="Q41794" s="5" t="s">
        <v>355</v>
      </c>
    </row>
    <row r="41795" ht="16.5" customHeight="1">
      <c r="O41795" s="5" t="s">
        <v>355</v>
      </c>
      <c r="P41795" s="5" t="s">
        <v>355</v>
      </c>
      <c r="Q41795" s="5" t="s">
        <v>355</v>
      </c>
    </row>
    <row r="41796" ht="16.5" customHeight="1">
      <c r="O41796" s="5" t="s">
        <v>355</v>
      </c>
      <c r="P41796" s="5" t="s">
        <v>355</v>
      </c>
      <c r="Q41796" s="5" t="s">
        <v>355</v>
      </c>
    </row>
    <row r="41797" ht="16.5" customHeight="1">
      <c r="O41797" s="5" t="s">
        <v>355</v>
      </c>
      <c r="P41797" s="5" t="s">
        <v>355</v>
      </c>
      <c r="Q41797" s="5" t="s">
        <v>355</v>
      </c>
    </row>
    <row r="41798" ht="16.5" customHeight="1">
      <c r="O41798" s="5" t="s">
        <v>355</v>
      </c>
      <c r="P41798" s="5" t="s">
        <v>355</v>
      </c>
      <c r="Q41798" s="5" t="s">
        <v>355</v>
      </c>
    </row>
    <row r="41799" ht="16.5" customHeight="1">
      <c r="O41799" s="5" t="s">
        <v>355</v>
      </c>
      <c r="P41799" s="5" t="s">
        <v>355</v>
      </c>
      <c r="Q41799" s="5" t="s">
        <v>355</v>
      </c>
    </row>
    <row r="41800" ht="16.5" customHeight="1">
      <c r="O41800" s="5" t="s">
        <v>355</v>
      </c>
      <c r="P41800" s="5" t="s">
        <v>355</v>
      </c>
      <c r="Q41800" s="5" t="s">
        <v>355</v>
      </c>
    </row>
    <row r="41801" ht="16.5" customHeight="1">
      <c r="O41801" s="5" t="s">
        <v>355</v>
      </c>
      <c r="P41801" s="5" t="s">
        <v>355</v>
      </c>
      <c r="Q41801" s="5" t="s">
        <v>355</v>
      </c>
    </row>
    <row r="41802" ht="16.5" customHeight="1">
      <c r="O41802" s="5" t="s">
        <v>355</v>
      </c>
      <c r="P41802" s="5" t="s">
        <v>355</v>
      </c>
      <c r="Q41802" s="5" t="s">
        <v>355</v>
      </c>
    </row>
    <row r="41803" ht="16.5" customHeight="1">
      <c r="O41803" s="5" t="s">
        <v>355</v>
      </c>
      <c r="P41803" s="5" t="s">
        <v>355</v>
      </c>
      <c r="Q41803" s="5" t="s">
        <v>355</v>
      </c>
    </row>
    <row r="41804" ht="16.5" customHeight="1">
      <c r="O41804" s="5" t="s">
        <v>355</v>
      </c>
      <c r="P41804" s="5" t="s">
        <v>355</v>
      </c>
      <c r="Q41804" s="5" t="s">
        <v>355</v>
      </c>
    </row>
    <row r="41805" ht="16.5" customHeight="1">
      <c r="O41805" s="5" t="s">
        <v>355</v>
      </c>
      <c r="P41805" s="5" t="s">
        <v>355</v>
      </c>
      <c r="Q41805" s="5" t="s">
        <v>355</v>
      </c>
    </row>
    <row r="41806" ht="16.5" customHeight="1">
      <c r="O41806" s="5" t="s">
        <v>355</v>
      </c>
      <c r="P41806" s="5" t="s">
        <v>355</v>
      </c>
      <c r="Q41806" s="5" t="s">
        <v>355</v>
      </c>
    </row>
    <row r="41807" ht="16.5" customHeight="1">
      <c r="O41807" s="5" t="s">
        <v>355</v>
      </c>
      <c r="P41807" s="5" t="s">
        <v>355</v>
      </c>
      <c r="Q41807" s="5" t="s">
        <v>355</v>
      </c>
    </row>
    <row r="41808" ht="16.5" customHeight="1">
      <c r="O41808" s="5" t="s">
        <v>355</v>
      </c>
      <c r="P41808" s="5" t="s">
        <v>355</v>
      </c>
      <c r="Q41808" s="5" t="s">
        <v>355</v>
      </c>
    </row>
    <row r="41809" ht="16.5" customHeight="1">
      <c r="O41809" s="5" t="s">
        <v>355</v>
      </c>
      <c r="P41809" s="5" t="s">
        <v>355</v>
      </c>
      <c r="Q41809" s="5" t="s">
        <v>355</v>
      </c>
    </row>
    <row r="41810" ht="16.5" customHeight="1">
      <c r="O41810" s="5" t="s">
        <v>355</v>
      </c>
      <c r="P41810" s="5" t="s">
        <v>355</v>
      </c>
      <c r="Q41810" s="5" t="s">
        <v>355</v>
      </c>
    </row>
    <row r="41811" ht="16.5" customHeight="1">
      <c r="O41811" s="5" t="s">
        <v>355</v>
      </c>
      <c r="P41811" s="5" t="s">
        <v>355</v>
      </c>
      <c r="Q41811" s="5" t="s">
        <v>355</v>
      </c>
    </row>
    <row r="41812" ht="16.5" customHeight="1">
      <c r="O41812" s="5" t="s">
        <v>355</v>
      </c>
      <c r="P41812" s="5" t="s">
        <v>355</v>
      </c>
      <c r="Q41812" s="5" t="s">
        <v>355</v>
      </c>
    </row>
    <row r="41813" ht="16.5" customHeight="1">
      <c r="O41813" s="5" t="s">
        <v>355</v>
      </c>
      <c r="P41813" s="5" t="s">
        <v>355</v>
      </c>
      <c r="Q41813" s="5" t="s">
        <v>355</v>
      </c>
    </row>
    <row r="41814" ht="16.5" customHeight="1">
      <c r="O41814" s="5" t="s">
        <v>355</v>
      </c>
      <c r="P41814" s="5" t="s">
        <v>355</v>
      </c>
      <c r="Q41814" s="5" t="s">
        <v>355</v>
      </c>
    </row>
    <row r="41815" ht="16.5" customHeight="1">
      <c r="O41815" s="5" t="s">
        <v>355</v>
      </c>
      <c r="P41815" s="5" t="s">
        <v>355</v>
      </c>
      <c r="Q41815" s="5" t="s">
        <v>355</v>
      </c>
    </row>
    <row r="41816" ht="16.5" customHeight="1">
      <c r="O41816" s="5" t="s">
        <v>355</v>
      </c>
      <c r="P41816" s="5" t="s">
        <v>355</v>
      </c>
      <c r="Q41816" s="5" t="s">
        <v>355</v>
      </c>
    </row>
    <row r="41817" ht="16.5" customHeight="1">
      <c r="O41817" s="5" t="s">
        <v>355</v>
      </c>
      <c r="P41817" s="5" t="s">
        <v>355</v>
      </c>
      <c r="Q41817" s="5" t="s">
        <v>355</v>
      </c>
    </row>
    <row r="41818" ht="16.5" customHeight="1">
      <c r="O41818" s="5" t="s">
        <v>355</v>
      </c>
      <c r="P41818" s="5" t="s">
        <v>355</v>
      </c>
      <c r="Q41818" s="5" t="s">
        <v>355</v>
      </c>
    </row>
    <row r="41819" ht="16.5" customHeight="1">
      <c r="O41819" s="5" t="s">
        <v>355</v>
      </c>
      <c r="P41819" s="5" t="s">
        <v>355</v>
      </c>
      <c r="Q41819" s="5" t="s">
        <v>355</v>
      </c>
    </row>
    <row r="41820" ht="16.5" customHeight="1">
      <c r="O41820" s="5" t="s">
        <v>355</v>
      </c>
      <c r="P41820" s="5" t="s">
        <v>355</v>
      </c>
      <c r="Q41820" s="5" t="s">
        <v>355</v>
      </c>
    </row>
    <row r="41821" ht="16.5" customHeight="1">
      <c r="O41821" s="5" t="s">
        <v>355</v>
      </c>
      <c r="P41821" s="5" t="s">
        <v>355</v>
      </c>
      <c r="Q41821" s="5" t="s">
        <v>355</v>
      </c>
    </row>
    <row r="41822" ht="16.5" customHeight="1">
      <c r="O41822" s="5" t="s">
        <v>355</v>
      </c>
      <c r="P41822" s="5" t="s">
        <v>355</v>
      </c>
      <c r="Q41822" s="5" t="s">
        <v>355</v>
      </c>
    </row>
    <row r="41823" ht="16.5" customHeight="1">
      <c r="O41823" s="5" t="s">
        <v>355</v>
      </c>
      <c r="P41823" s="5" t="s">
        <v>355</v>
      </c>
      <c r="Q41823" s="5" t="s">
        <v>355</v>
      </c>
    </row>
    <row r="41824" ht="16.5" customHeight="1">
      <c r="O41824" s="5" t="s">
        <v>355</v>
      </c>
      <c r="P41824" s="5" t="s">
        <v>355</v>
      </c>
      <c r="Q41824" s="5" t="s">
        <v>355</v>
      </c>
    </row>
    <row r="41825" ht="16.5" customHeight="1">
      <c r="O41825" s="5" t="s">
        <v>355</v>
      </c>
      <c r="P41825" s="5" t="s">
        <v>355</v>
      </c>
      <c r="Q41825" s="5" t="s">
        <v>355</v>
      </c>
    </row>
    <row r="41826" ht="16.5" customHeight="1">
      <c r="O41826" s="5" t="s">
        <v>355</v>
      </c>
      <c r="P41826" s="5" t="s">
        <v>355</v>
      </c>
      <c r="Q41826" s="5" t="s">
        <v>355</v>
      </c>
    </row>
    <row r="41827" ht="16.5" customHeight="1">
      <c r="O41827" s="5" t="s">
        <v>355</v>
      </c>
      <c r="P41827" s="5" t="s">
        <v>355</v>
      </c>
      <c r="Q41827" s="5" t="s">
        <v>355</v>
      </c>
    </row>
    <row r="41828" ht="16.5" customHeight="1">
      <c r="O41828" s="5" t="s">
        <v>355</v>
      </c>
      <c r="P41828" s="5" t="s">
        <v>355</v>
      </c>
      <c r="Q41828" s="5" t="s">
        <v>355</v>
      </c>
    </row>
    <row r="41829" ht="16.5" customHeight="1">
      <c r="O41829" s="5" t="s">
        <v>355</v>
      </c>
      <c r="P41829" s="5" t="s">
        <v>355</v>
      </c>
      <c r="Q41829" s="5" t="s">
        <v>355</v>
      </c>
    </row>
    <row r="41830" ht="16.5" customHeight="1">
      <c r="O41830" s="5" t="s">
        <v>355</v>
      </c>
      <c r="P41830" s="5" t="s">
        <v>355</v>
      </c>
      <c r="Q41830" s="5" t="s">
        <v>355</v>
      </c>
    </row>
    <row r="41831" ht="16.5" customHeight="1">
      <c r="O41831" s="5" t="s">
        <v>355</v>
      </c>
      <c r="P41831" s="5" t="s">
        <v>355</v>
      </c>
      <c r="Q41831" s="5" t="s">
        <v>355</v>
      </c>
    </row>
    <row r="41832" ht="16.5" customHeight="1">
      <c r="O41832" s="5" t="s">
        <v>355</v>
      </c>
      <c r="P41832" s="5" t="s">
        <v>355</v>
      </c>
      <c r="Q41832" s="5" t="s">
        <v>355</v>
      </c>
    </row>
    <row r="41833" ht="16.5" customHeight="1">
      <c r="O41833" s="5" t="s">
        <v>355</v>
      </c>
      <c r="P41833" s="5" t="s">
        <v>355</v>
      </c>
      <c r="Q41833" s="5" t="s">
        <v>355</v>
      </c>
    </row>
    <row r="41834" ht="16.5" customHeight="1">
      <c r="O41834" s="5" t="s">
        <v>355</v>
      </c>
      <c r="P41834" s="5" t="s">
        <v>355</v>
      </c>
      <c r="Q41834" s="5" t="s">
        <v>355</v>
      </c>
    </row>
    <row r="41835" ht="16.5" customHeight="1">
      <c r="O41835" s="5" t="s">
        <v>355</v>
      </c>
      <c r="P41835" s="5" t="s">
        <v>355</v>
      </c>
      <c r="Q41835" s="5" t="s">
        <v>355</v>
      </c>
    </row>
    <row r="41836" ht="16.5" customHeight="1">
      <c r="O41836" s="5" t="s">
        <v>355</v>
      </c>
      <c r="P41836" s="5" t="s">
        <v>355</v>
      </c>
      <c r="Q41836" s="5" t="s">
        <v>355</v>
      </c>
    </row>
    <row r="41837" ht="16.5" customHeight="1">
      <c r="O41837" s="5" t="s">
        <v>355</v>
      </c>
      <c r="P41837" s="5" t="s">
        <v>355</v>
      </c>
      <c r="Q41837" s="5" t="s">
        <v>355</v>
      </c>
    </row>
    <row r="41838" ht="16.5" customHeight="1">
      <c r="O41838" s="5" t="s">
        <v>355</v>
      </c>
      <c r="P41838" s="5" t="s">
        <v>355</v>
      </c>
      <c r="Q41838" s="5" t="s">
        <v>355</v>
      </c>
    </row>
    <row r="41839" ht="16.5" customHeight="1">
      <c r="O41839" s="5" t="s">
        <v>355</v>
      </c>
      <c r="P41839" s="5" t="s">
        <v>355</v>
      </c>
      <c r="Q41839" s="5" t="s">
        <v>355</v>
      </c>
    </row>
    <row r="41840" ht="16.5" customHeight="1">
      <c r="O41840" s="5" t="s">
        <v>355</v>
      </c>
      <c r="P41840" s="5" t="s">
        <v>355</v>
      </c>
      <c r="Q41840" s="5" t="s">
        <v>355</v>
      </c>
    </row>
    <row r="41841" ht="16.5" customHeight="1">
      <c r="O41841" s="5" t="s">
        <v>355</v>
      </c>
      <c r="P41841" s="5" t="s">
        <v>355</v>
      </c>
      <c r="Q41841" s="5" t="s">
        <v>355</v>
      </c>
    </row>
    <row r="41842" ht="16.5" customHeight="1">
      <c r="O41842" s="5" t="s">
        <v>355</v>
      </c>
      <c r="P41842" s="5" t="s">
        <v>355</v>
      </c>
      <c r="Q41842" s="5" t="s">
        <v>355</v>
      </c>
    </row>
    <row r="41843" ht="16.5" customHeight="1">
      <c r="O41843" s="5" t="s">
        <v>355</v>
      </c>
      <c r="P41843" s="5" t="s">
        <v>355</v>
      </c>
      <c r="Q41843" s="5" t="s">
        <v>355</v>
      </c>
    </row>
    <row r="41844" ht="16.5" customHeight="1">
      <c r="O41844" s="5" t="s">
        <v>355</v>
      </c>
      <c r="P41844" s="5" t="s">
        <v>355</v>
      </c>
      <c r="Q41844" s="5" t="s">
        <v>355</v>
      </c>
    </row>
    <row r="41845" ht="16.5" customHeight="1">
      <c r="O41845" s="5" t="s">
        <v>355</v>
      </c>
      <c r="P41845" s="5" t="s">
        <v>355</v>
      </c>
      <c r="Q41845" s="5" t="s">
        <v>355</v>
      </c>
    </row>
    <row r="41846" ht="16.5" customHeight="1">
      <c r="O41846" s="5" t="s">
        <v>355</v>
      </c>
      <c r="P41846" s="5" t="s">
        <v>355</v>
      </c>
      <c r="Q41846" s="5" t="s">
        <v>355</v>
      </c>
    </row>
    <row r="41847" ht="16.5" customHeight="1">
      <c r="O41847" s="5" t="s">
        <v>355</v>
      </c>
      <c r="P41847" s="5" t="s">
        <v>355</v>
      </c>
      <c r="Q41847" s="5" t="s">
        <v>355</v>
      </c>
    </row>
    <row r="41848" ht="16.5" customHeight="1">
      <c r="O41848" s="5" t="s">
        <v>355</v>
      </c>
      <c r="P41848" s="5" t="s">
        <v>355</v>
      </c>
      <c r="Q41848" s="5" t="s">
        <v>355</v>
      </c>
    </row>
    <row r="41849" ht="16.5" customHeight="1">
      <c r="O41849" s="5" t="s">
        <v>355</v>
      </c>
      <c r="P41849" s="5" t="s">
        <v>355</v>
      </c>
      <c r="Q41849" s="5" t="s">
        <v>355</v>
      </c>
    </row>
    <row r="41850" ht="16.5" customHeight="1">
      <c r="O41850" s="5" t="s">
        <v>355</v>
      </c>
      <c r="P41850" s="5" t="s">
        <v>355</v>
      </c>
      <c r="Q41850" s="5" t="s">
        <v>355</v>
      </c>
    </row>
    <row r="41851" ht="16.5" customHeight="1">
      <c r="O41851" s="5" t="s">
        <v>355</v>
      </c>
      <c r="P41851" s="5" t="s">
        <v>355</v>
      </c>
      <c r="Q41851" s="5" t="s">
        <v>355</v>
      </c>
    </row>
    <row r="41852" ht="16.5" customHeight="1">
      <c r="O41852" s="5" t="s">
        <v>355</v>
      </c>
      <c r="P41852" s="5" t="s">
        <v>355</v>
      </c>
      <c r="Q41852" s="5" t="s">
        <v>355</v>
      </c>
    </row>
    <row r="41853" ht="16.5" customHeight="1">
      <c r="O41853" s="5" t="s">
        <v>355</v>
      </c>
      <c r="P41853" s="5" t="s">
        <v>355</v>
      </c>
      <c r="Q41853" s="5" t="s">
        <v>355</v>
      </c>
    </row>
    <row r="41854" ht="16.5" customHeight="1">
      <c r="O41854" s="5" t="s">
        <v>355</v>
      </c>
      <c r="P41854" s="5" t="s">
        <v>355</v>
      </c>
      <c r="Q41854" s="5" t="s">
        <v>355</v>
      </c>
    </row>
    <row r="41855" ht="16.5" customHeight="1">
      <c r="O41855" s="5" t="s">
        <v>355</v>
      </c>
      <c r="P41855" s="5" t="s">
        <v>355</v>
      </c>
      <c r="Q41855" s="5" t="s">
        <v>355</v>
      </c>
    </row>
    <row r="41856" ht="16.5" customHeight="1">
      <c r="O41856" s="5" t="s">
        <v>355</v>
      </c>
      <c r="P41856" s="5" t="s">
        <v>355</v>
      </c>
      <c r="Q41856" s="5" t="s">
        <v>355</v>
      </c>
    </row>
    <row r="41857" ht="16.5" customHeight="1">
      <c r="O41857" s="5" t="s">
        <v>355</v>
      </c>
      <c r="P41857" s="5" t="s">
        <v>355</v>
      </c>
      <c r="Q41857" s="5" t="s">
        <v>355</v>
      </c>
    </row>
    <row r="41858" ht="16.5" customHeight="1">
      <c r="O41858" s="5" t="s">
        <v>355</v>
      </c>
      <c r="P41858" s="5" t="s">
        <v>355</v>
      </c>
      <c r="Q41858" s="5" t="s">
        <v>355</v>
      </c>
    </row>
    <row r="41859" ht="16.5" customHeight="1">
      <c r="O41859" s="5" t="s">
        <v>355</v>
      </c>
      <c r="P41859" s="5" t="s">
        <v>355</v>
      </c>
      <c r="Q41859" s="5" t="s">
        <v>355</v>
      </c>
    </row>
    <row r="41860" ht="16.5" customHeight="1">
      <c r="O41860" s="5" t="s">
        <v>355</v>
      </c>
      <c r="P41860" s="5" t="s">
        <v>355</v>
      </c>
      <c r="Q41860" s="5" t="s">
        <v>355</v>
      </c>
    </row>
    <row r="41861" ht="16.5" customHeight="1">
      <c r="O41861" s="5" t="s">
        <v>355</v>
      </c>
      <c r="P41861" s="5" t="s">
        <v>355</v>
      </c>
      <c r="Q41861" s="5" t="s">
        <v>355</v>
      </c>
    </row>
    <row r="41862" ht="16.5" customHeight="1">
      <c r="O41862" s="5" t="s">
        <v>355</v>
      </c>
      <c r="P41862" s="5" t="s">
        <v>355</v>
      </c>
      <c r="Q41862" s="5" t="s">
        <v>355</v>
      </c>
    </row>
    <row r="41863" ht="16.5" customHeight="1">
      <c r="O41863" s="5" t="s">
        <v>355</v>
      </c>
      <c r="P41863" s="5" t="s">
        <v>355</v>
      </c>
      <c r="Q41863" s="5" t="s">
        <v>355</v>
      </c>
    </row>
    <row r="41864" ht="16.5" customHeight="1">
      <c r="O41864" s="5" t="s">
        <v>355</v>
      </c>
      <c r="P41864" s="5" t="s">
        <v>355</v>
      </c>
      <c r="Q41864" s="5" t="s">
        <v>355</v>
      </c>
    </row>
    <row r="41865" ht="16.5" customHeight="1">
      <c r="O41865" s="5" t="s">
        <v>355</v>
      </c>
      <c r="P41865" s="5" t="s">
        <v>355</v>
      </c>
      <c r="Q41865" s="5" t="s">
        <v>355</v>
      </c>
    </row>
    <row r="41866" ht="16.5" customHeight="1">
      <c r="O41866" s="5" t="s">
        <v>355</v>
      </c>
      <c r="P41866" s="5" t="s">
        <v>355</v>
      </c>
      <c r="Q41866" s="5" t="s">
        <v>355</v>
      </c>
    </row>
    <row r="41867" ht="16.5" customHeight="1">
      <c r="O41867" s="5" t="s">
        <v>355</v>
      </c>
      <c r="P41867" s="5" t="s">
        <v>355</v>
      </c>
      <c r="Q41867" s="5" t="s">
        <v>355</v>
      </c>
    </row>
    <row r="41868" ht="16.5" customHeight="1">
      <c r="O41868" s="5" t="s">
        <v>355</v>
      </c>
      <c r="P41868" s="5" t="s">
        <v>355</v>
      </c>
      <c r="Q41868" s="5" t="s">
        <v>355</v>
      </c>
    </row>
    <row r="41869" ht="16.5" customHeight="1">
      <c r="O41869" s="5" t="s">
        <v>355</v>
      </c>
      <c r="P41869" s="5" t="s">
        <v>355</v>
      </c>
      <c r="Q41869" s="5" t="s">
        <v>355</v>
      </c>
    </row>
    <row r="41870" ht="16.5" customHeight="1">
      <c r="O41870" s="5" t="s">
        <v>355</v>
      </c>
      <c r="P41870" s="5" t="s">
        <v>355</v>
      </c>
      <c r="Q41870" s="5" t="s">
        <v>355</v>
      </c>
    </row>
    <row r="41871" ht="16.5" customHeight="1">
      <c r="O41871" s="5" t="s">
        <v>355</v>
      </c>
      <c r="P41871" s="5" t="s">
        <v>355</v>
      </c>
      <c r="Q41871" s="5" t="s">
        <v>355</v>
      </c>
    </row>
    <row r="41872" ht="16.5" customHeight="1">
      <c r="O41872" s="5" t="s">
        <v>355</v>
      </c>
      <c r="P41872" s="5" t="s">
        <v>355</v>
      </c>
      <c r="Q41872" s="5" t="s">
        <v>355</v>
      </c>
    </row>
    <row r="41873" ht="16.5" customHeight="1">
      <c r="O41873" s="5" t="s">
        <v>355</v>
      </c>
      <c r="P41873" s="5" t="s">
        <v>355</v>
      </c>
      <c r="Q41873" s="5" t="s">
        <v>355</v>
      </c>
    </row>
    <row r="41874" ht="16.5" customHeight="1">
      <c r="O41874" s="5" t="s">
        <v>355</v>
      </c>
      <c r="P41874" s="5" t="s">
        <v>355</v>
      </c>
      <c r="Q41874" s="5" t="s">
        <v>355</v>
      </c>
    </row>
    <row r="41875" ht="16.5" customHeight="1">
      <c r="O41875" s="5" t="s">
        <v>355</v>
      </c>
      <c r="P41875" s="5" t="s">
        <v>355</v>
      </c>
      <c r="Q41875" s="5" t="s">
        <v>355</v>
      </c>
    </row>
    <row r="41876" ht="16.5" customHeight="1">
      <c r="O41876" s="5" t="s">
        <v>355</v>
      </c>
      <c r="P41876" s="5" t="s">
        <v>355</v>
      </c>
      <c r="Q41876" s="5" t="s">
        <v>355</v>
      </c>
    </row>
    <row r="41877" ht="16.5" customHeight="1">
      <c r="O41877" s="5" t="s">
        <v>355</v>
      </c>
      <c r="P41877" s="5" t="s">
        <v>355</v>
      </c>
      <c r="Q41877" s="5" t="s">
        <v>355</v>
      </c>
    </row>
    <row r="41878" ht="16.5" customHeight="1">
      <c r="O41878" s="5" t="s">
        <v>355</v>
      </c>
      <c r="P41878" s="5" t="s">
        <v>355</v>
      </c>
      <c r="Q41878" s="5" t="s">
        <v>355</v>
      </c>
    </row>
    <row r="41879" ht="16.5" customHeight="1">
      <c r="O41879" s="5" t="s">
        <v>355</v>
      </c>
      <c r="P41879" s="5" t="s">
        <v>355</v>
      </c>
      <c r="Q41879" s="5" t="s">
        <v>355</v>
      </c>
    </row>
    <row r="41880" ht="16.5" customHeight="1">
      <c r="O41880" s="5" t="s">
        <v>355</v>
      </c>
      <c r="P41880" s="5" t="s">
        <v>355</v>
      </c>
      <c r="Q41880" s="5" t="s">
        <v>355</v>
      </c>
    </row>
    <row r="41881" ht="16.5" customHeight="1">
      <c r="O41881" s="5" t="s">
        <v>355</v>
      </c>
      <c r="P41881" s="5" t="s">
        <v>355</v>
      </c>
      <c r="Q41881" s="5" t="s">
        <v>355</v>
      </c>
    </row>
    <row r="41882" ht="16.5" customHeight="1">
      <c r="O41882" s="5" t="s">
        <v>355</v>
      </c>
      <c r="P41882" s="5" t="s">
        <v>355</v>
      </c>
      <c r="Q41882" s="5" t="s">
        <v>355</v>
      </c>
    </row>
    <row r="41883" ht="16.5" customHeight="1">
      <c r="O41883" s="5" t="s">
        <v>355</v>
      </c>
      <c r="P41883" s="5" t="s">
        <v>355</v>
      </c>
      <c r="Q41883" s="5" t="s">
        <v>355</v>
      </c>
    </row>
    <row r="41884" ht="16.5" customHeight="1">
      <c r="O41884" s="5" t="s">
        <v>355</v>
      </c>
      <c r="P41884" s="5" t="s">
        <v>355</v>
      </c>
      <c r="Q41884" s="5" t="s">
        <v>355</v>
      </c>
    </row>
    <row r="41885" ht="16.5" customHeight="1">
      <c r="O41885" s="5" t="s">
        <v>355</v>
      </c>
      <c r="P41885" s="5" t="s">
        <v>355</v>
      </c>
      <c r="Q41885" s="5" t="s">
        <v>355</v>
      </c>
    </row>
    <row r="41886" ht="16.5" customHeight="1">
      <c r="O41886" s="5" t="s">
        <v>355</v>
      </c>
      <c r="P41886" s="5" t="s">
        <v>355</v>
      </c>
      <c r="Q41886" s="5" t="s">
        <v>355</v>
      </c>
    </row>
    <row r="41887" ht="16.5" customHeight="1">
      <c r="O41887" s="5" t="s">
        <v>355</v>
      </c>
      <c r="P41887" s="5" t="s">
        <v>355</v>
      </c>
      <c r="Q41887" s="5" t="s">
        <v>355</v>
      </c>
    </row>
    <row r="41888" ht="16.5" customHeight="1">
      <c r="O41888" s="5" t="s">
        <v>355</v>
      </c>
      <c r="P41888" s="5" t="s">
        <v>355</v>
      </c>
      <c r="Q41888" s="5" t="s">
        <v>355</v>
      </c>
    </row>
    <row r="41889" ht="16.5" customHeight="1">
      <c r="O41889" s="5" t="s">
        <v>355</v>
      </c>
      <c r="P41889" s="5" t="s">
        <v>355</v>
      </c>
      <c r="Q41889" s="5" t="s">
        <v>355</v>
      </c>
    </row>
    <row r="41890" ht="16.5" customHeight="1">
      <c r="O41890" s="5" t="s">
        <v>355</v>
      </c>
      <c r="P41890" s="5" t="s">
        <v>355</v>
      </c>
      <c r="Q41890" s="5" t="s">
        <v>355</v>
      </c>
    </row>
    <row r="41891" ht="16.5" customHeight="1">
      <c r="O41891" s="5" t="s">
        <v>355</v>
      </c>
      <c r="P41891" s="5" t="s">
        <v>355</v>
      </c>
      <c r="Q41891" s="5" t="s">
        <v>355</v>
      </c>
    </row>
    <row r="41892" ht="16.5" customHeight="1">
      <c r="O41892" s="5" t="s">
        <v>355</v>
      </c>
      <c r="P41892" s="5" t="s">
        <v>355</v>
      </c>
      <c r="Q41892" s="5" t="s">
        <v>355</v>
      </c>
    </row>
    <row r="41893" ht="16.5" customHeight="1">
      <c r="O41893" s="5" t="s">
        <v>355</v>
      </c>
      <c r="P41893" s="5" t="s">
        <v>355</v>
      </c>
      <c r="Q41893" s="5" t="s">
        <v>355</v>
      </c>
    </row>
    <row r="41894" ht="16.5" customHeight="1">
      <c r="O41894" s="5" t="s">
        <v>355</v>
      </c>
      <c r="P41894" s="5" t="s">
        <v>355</v>
      </c>
      <c r="Q41894" s="5" t="s">
        <v>355</v>
      </c>
    </row>
    <row r="41895" ht="16.5" customHeight="1">
      <c r="O41895" s="5" t="s">
        <v>355</v>
      </c>
      <c r="P41895" s="5" t="s">
        <v>355</v>
      </c>
      <c r="Q41895" s="5" t="s">
        <v>355</v>
      </c>
    </row>
    <row r="41896" ht="16.5" customHeight="1">
      <c r="O41896" s="5" t="s">
        <v>355</v>
      </c>
      <c r="P41896" s="5" t="s">
        <v>355</v>
      </c>
      <c r="Q41896" s="5" t="s">
        <v>355</v>
      </c>
    </row>
    <row r="41897" ht="16.5" customHeight="1">
      <c r="O41897" s="5" t="s">
        <v>355</v>
      </c>
      <c r="P41897" s="5" t="s">
        <v>355</v>
      </c>
      <c r="Q41897" s="5" t="s">
        <v>355</v>
      </c>
    </row>
    <row r="41898" ht="16.5" customHeight="1">
      <c r="O41898" s="5" t="s">
        <v>355</v>
      </c>
      <c r="P41898" s="5" t="s">
        <v>355</v>
      </c>
      <c r="Q41898" s="5" t="s">
        <v>355</v>
      </c>
    </row>
    <row r="41899" ht="16.5" customHeight="1">
      <c r="O41899" s="5" t="s">
        <v>355</v>
      </c>
      <c r="P41899" s="5" t="s">
        <v>355</v>
      </c>
      <c r="Q41899" s="5" t="s">
        <v>355</v>
      </c>
    </row>
    <row r="41900" ht="16.5" customHeight="1">
      <c r="O41900" s="5" t="s">
        <v>355</v>
      </c>
      <c r="P41900" s="5" t="s">
        <v>355</v>
      </c>
      <c r="Q41900" s="5" t="s">
        <v>355</v>
      </c>
    </row>
    <row r="41901" ht="16.5" customHeight="1">
      <c r="O41901" s="5" t="s">
        <v>355</v>
      </c>
      <c r="P41901" s="5" t="s">
        <v>355</v>
      </c>
      <c r="Q41901" s="5" t="s">
        <v>355</v>
      </c>
    </row>
    <row r="41902" ht="16.5" customHeight="1">
      <c r="O41902" s="5" t="s">
        <v>355</v>
      </c>
      <c r="P41902" s="5" t="s">
        <v>355</v>
      </c>
      <c r="Q41902" s="5" t="s">
        <v>355</v>
      </c>
    </row>
    <row r="41903" ht="16.5" customHeight="1">
      <c r="O41903" s="5" t="s">
        <v>355</v>
      </c>
      <c r="P41903" s="5" t="s">
        <v>355</v>
      </c>
      <c r="Q41903" s="5" t="s">
        <v>355</v>
      </c>
    </row>
    <row r="41904" ht="16.5" customHeight="1">
      <c r="O41904" s="5" t="s">
        <v>355</v>
      </c>
      <c r="P41904" s="5" t="s">
        <v>355</v>
      </c>
      <c r="Q41904" s="5" t="s">
        <v>355</v>
      </c>
    </row>
    <row r="41905" ht="16.5" customHeight="1">
      <c r="O41905" s="5" t="s">
        <v>355</v>
      </c>
      <c r="P41905" s="5" t="s">
        <v>355</v>
      </c>
      <c r="Q41905" s="5" t="s">
        <v>355</v>
      </c>
    </row>
    <row r="41906" ht="16.5" customHeight="1">
      <c r="O41906" s="5" t="s">
        <v>355</v>
      </c>
      <c r="P41906" s="5" t="s">
        <v>355</v>
      </c>
      <c r="Q41906" s="5" t="s">
        <v>355</v>
      </c>
    </row>
    <row r="41907" ht="16.5" customHeight="1">
      <c r="O41907" s="5" t="s">
        <v>355</v>
      </c>
      <c r="P41907" s="5" t="s">
        <v>355</v>
      </c>
      <c r="Q41907" s="5" t="s">
        <v>355</v>
      </c>
    </row>
    <row r="41908" ht="16.5" customHeight="1">
      <c r="O41908" s="5" t="s">
        <v>355</v>
      </c>
      <c r="P41908" s="5" t="s">
        <v>355</v>
      </c>
      <c r="Q41908" s="5" t="s">
        <v>355</v>
      </c>
    </row>
    <row r="41909" ht="16.5" customHeight="1">
      <c r="O41909" s="5" t="s">
        <v>355</v>
      </c>
      <c r="P41909" s="5" t="s">
        <v>355</v>
      </c>
      <c r="Q41909" s="5" t="s">
        <v>355</v>
      </c>
    </row>
    <row r="41910" ht="16.5" customHeight="1">
      <c r="O41910" s="5" t="s">
        <v>355</v>
      </c>
      <c r="P41910" s="5" t="s">
        <v>355</v>
      </c>
      <c r="Q41910" s="5" t="s">
        <v>355</v>
      </c>
    </row>
    <row r="41911" ht="16.5" customHeight="1">
      <c r="O41911" s="5" t="s">
        <v>355</v>
      </c>
      <c r="P41911" s="5" t="s">
        <v>355</v>
      </c>
      <c r="Q41911" s="5" t="s">
        <v>355</v>
      </c>
    </row>
    <row r="41912" ht="16.5" customHeight="1">
      <c r="O41912" s="5" t="s">
        <v>355</v>
      </c>
      <c r="P41912" s="5" t="s">
        <v>355</v>
      </c>
      <c r="Q41912" s="5" t="s">
        <v>355</v>
      </c>
    </row>
    <row r="41913" ht="16.5" customHeight="1">
      <c r="O41913" s="5" t="s">
        <v>355</v>
      </c>
      <c r="P41913" s="5" t="s">
        <v>355</v>
      </c>
      <c r="Q41913" s="5" t="s">
        <v>355</v>
      </c>
    </row>
    <row r="41914" ht="16.5" customHeight="1">
      <c r="O41914" s="5" t="s">
        <v>355</v>
      </c>
      <c r="P41914" s="5" t="s">
        <v>355</v>
      </c>
      <c r="Q41914" s="5" t="s">
        <v>355</v>
      </c>
    </row>
    <row r="41915" ht="16.5" customHeight="1">
      <c r="O41915" s="5" t="s">
        <v>355</v>
      </c>
      <c r="P41915" s="5" t="s">
        <v>355</v>
      </c>
      <c r="Q41915" s="5" t="s">
        <v>355</v>
      </c>
    </row>
    <row r="41916" ht="16.5" customHeight="1">
      <c r="O41916" s="5" t="s">
        <v>355</v>
      </c>
      <c r="P41916" s="5" t="s">
        <v>355</v>
      </c>
      <c r="Q41916" s="5" t="s">
        <v>355</v>
      </c>
    </row>
    <row r="41917" ht="16.5" customHeight="1">
      <c r="O41917" s="5" t="s">
        <v>355</v>
      </c>
      <c r="P41917" s="5" t="s">
        <v>355</v>
      </c>
      <c r="Q41917" s="5" t="s">
        <v>355</v>
      </c>
    </row>
    <row r="41918" ht="16.5" customHeight="1">
      <c r="O41918" s="5" t="s">
        <v>355</v>
      </c>
      <c r="P41918" s="5" t="s">
        <v>355</v>
      </c>
      <c r="Q41918" s="5" t="s">
        <v>355</v>
      </c>
    </row>
    <row r="41919" ht="16.5" customHeight="1">
      <c r="O41919" s="5" t="s">
        <v>355</v>
      </c>
      <c r="P41919" s="5" t="s">
        <v>355</v>
      </c>
      <c r="Q41919" s="5" t="s">
        <v>355</v>
      </c>
    </row>
    <row r="41920" ht="16.5" customHeight="1">
      <c r="O41920" s="5" t="s">
        <v>355</v>
      </c>
      <c r="P41920" s="5" t="s">
        <v>355</v>
      </c>
      <c r="Q41920" s="5" t="s">
        <v>355</v>
      </c>
    </row>
    <row r="41921" ht="16.5" customHeight="1">
      <c r="O41921" s="5" t="s">
        <v>355</v>
      </c>
      <c r="P41921" s="5" t="s">
        <v>355</v>
      </c>
      <c r="Q41921" s="5" t="s">
        <v>355</v>
      </c>
    </row>
    <row r="41922" ht="16.5" customHeight="1">
      <c r="O41922" s="5" t="s">
        <v>355</v>
      </c>
      <c r="P41922" s="5" t="s">
        <v>355</v>
      </c>
      <c r="Q41922" s="5" t="s">
        <v>355</v>
      </c>
    </row>
    <row r="41923" ht="16.5" customHeight="1">
      <c r="O41923" s="5" t="s">
        <v>355</v>
      </c>
      <c r="P41923" s="5" t="s">
        <v>355</v>
      </c>
      <c r="Q41923" s="5" t="s">
        <v>355</v>
      </c>
    </row>
    <row r="41924" ht="16.5" customHeight="1">
      <c r="O41924" s="5" t="s">
        <v>355</v>
      </c>
      <c r="P41924" s="5" t="s">
        <v>355</v>
      </c>
      <c r="Q41924" s="5" t="s">
        <v>355</v>
      </c>
    </row>
    <row r="41925" ht="16.5" customHeight="1">
      <c r="O41925" s="5" t="s">
        <v>355</v>
      </c>
      <c r="P41925" s="5" t="s">
        <v>355</v>
      </c>
      <c r="Q41925" s="5" t="s">
        <v>355</v>
      </c>
    </row>
    <row r="41926" ht="16.5" customHeight="1">
      <c r="O41926" s="5" t="s">
        <v>355</v>
      </c>
      <c r="P41926" s="5" t="s">
        <v>355</v>
      </c>
      <c r="Q41926" s="5" t="s">
        <v>355</v>
      </c>
    </row>
    <row r="41927" ht="16.5" customHeight="1">
      <c r="O41927" s="5" t="s">
        <v>355</v>
      </c>
      <c r="P41927" s="5" t="s">
        <v>355</v>
      </c>
      <c r="Q41927" s="5" t="s">
        <v>355</v>
      </c>
    </row>
    <row r="41928" ht="16.5" customHeight="1">
      <c r="O41928" s="5" t="s">
        <v>355</v>
      </c>
      <c r="P41928" s="5" t="s">
        <v>355</v>
      </c>
      <c r="Q41928" s="5" t="s">
        <v>355</v>
      </c>
    </row>
    <row r="41929" ht="16.5" customHeight="1">
      <c r="O41929" s="5" t="s">
        <v>355</v>
      </c>
      <c r="P41929" s="5" t="s">
        <v>355</v>
      </c>
      <c r="Q41929" s="5" t="s">
        <v>355</v>
      </c>
    </row>
    <row r="41930" ht="16.5" customHeight="1">
      <c r="O41930" s="5" t="s">
        <v>355</v>
      </c>
      <c r="P41930" s="5" t="s">
        <v>355</v>
      </c>
      <c r="Q41930" s="5" t="s">
        <v>355</v>
      </c>
    </row>
    <row r="41931" ht="16.5" customHeight="1">
      <c r="O41931" s="5" t="s">
        <v>355</v>
      </c>
      <c r="P41931" s="5" t="s">
        <v>355</v>
      </c>
      <c r="Q41931" s="5" t="s">
        <v>355</v>
      </c>
    </row>
    <row r="41932" ht="16.5" customHeight="1">
      <c r="O41932" s="5" t="s">
        <v>355</v>
      </c>
      <c r="P41932" s="5" t="s">
        <v>355</v>
      </c>
      <c r="Q41932" s="5" t="s">
        <v>355</v>
      </c>
    </row>
    <row r="41933" ht="16.5" customHeight="1">
      <c r="O41933" s="5" t="s">
        <v>355</v>
      </c>
      <c r="P41933" s="5" t="s">
        <v>355</v>
      </c>
      <c r="Q41933" s="5" t="s">
        <v>355</v>
      </c>
    </row>
    <row r="41934" ht="16.5" customHeight="1">
      <c r="O41934" s="5" t="s">
        <v>355</v>
      </c>
      <c r="P41934" s="5" t="s">
        <v>355</v>
      </c>
      <c r="Q41934" s="5" t="s">
        <v>355</v>
      </c>
    </row>
    <row r="41935" ht="16.5" customHeight="1">
      <c r="O41935" s="5" t="s">
        <v>355</v>
      </c>
      <c r="P41935" s="5" t="s">
        <v>355</v>
      </c>
      <c r="Q41935" s="5" t="s">
        <v>355</v>
      </c>
    </row>
    <row r="41936" ht="16.5" customHeight="1">
      <c r="O41936" s="5" t="s">
        <v>355</v>
      </c>
      <c r="P41936" s="5" t="s">
        <v>355</v>
      </c>
      <c r="Q41936" s="5" t="s">
        <v>355</v>
      </c>
    </row>
    <row r="41937" ht="16.5" customHeight="1">
      <c r="O41937" s="5" t="s">
        <v>355</v>
      </c>
      <c r="P41937" s="5" t="s">
        <v>355</v>
      </c>
      <c r="Q41937" s="5" t="s">
        <v>355</v>
      </c>
    </row>
    <row r="41938" ht="16.5" customHeight="1">
      <c r="O41938" s="5" t="s">
        <v>355</v>
      </c>
      <c r="P41938" s="5" t="s">
        <v>355</v>
      </c>
      <c r="Q41938" s="5" t="s">
        <v>355</v>
      </c>
    </row>
    <row r="41939" ht="16.5" customHeight="1">
      <c r="O41939" s="5" t="s">
        <v>355</v>
      </c>
      <c r="P41939" s="5" t="s">
        <v>355</v>
      </c>
      <c r="Q41939" s="5" t="s">
        <v>355</v>
      </c>
    </row>
    <row r="41940" ht="16.5" customHeight="1">
      <c r="O41940" s="5" t="s">
        <v>355</v>
      </c>
      <c r="P41940" s="5" t="s">
        <v>355</v>
      </c>
      <c r="Q41940" s="5" t="s">
        <v>355</v>
      </c>
    </row>
    <row r="41941" ht="16.5" customHeight="1">
      <c r="O41941" s="5" t="s">
        <v>355</v>
      </c>
      <c r="P41941" s="5" t="s">
        <v>355</v>
      </c>
      <c r="Q41941" s="5" t="s">
        <v>355</v>
      </c>
    </row>
    <row r="41942" ht="16.5" customHeight="1">
      <c r="O41942" s="5" t="s">
        <v>355</v>
      </c>
      <c r="P41942" s="5" t="s">
        <v>355</v>
      </c>
      <c r="Q41942" s="5" t="s">
        <v>355</v>
      </c>
    </row>
    <row r="41943" ht="16.5" customHeight="1">
      <c r="O41943" s="5" t="s">
        <v>355</v>
      </c>
      <c r="P41943" s="5" t="s">
        <v>355</v>
      </c>
      <c r="Q41943" s="5" t="s">
        <v>355</v>
      </c>
    </row>
    <row r="41944" ht="16.5" customHeight="1">
      <c r="O41944" s="5" t="s">
        <v>355</v>
      </c>
      <c r="P41944" s="5" t="s">
        <v>355</v>
      </c>
      <c r="Q41944" s="5" t="s">
        <v>355</v>
      </c>
    </row>
    <row r="41945" ht="16.5" customHeight="1">
      <c r="O41945" s="5" t="s">
        <v>355</v>
      </c>
      <c r="P41945" s="5" t="s">
        <v>355</v>
      </c>
      <c r="Q41945" s="5" t="s">
        <v>355</v>
      </c>
    </row>
    <row r="41946" ht="16.5" customHeight="1">
      <c r="O41946" s="5" t="s">
        <v>355</v>
      </c>
      <c r="P41946" s="5" t="s">
        <v>355</v>
      </c>
      <c r="Q41946" s="5" t="s">
        <v>355</v>
      </c>
    </row>
    <row r="41947" ht="16.5" customHeight="1">
      <c r="O41947" s="5" t="s">
        <v>355</v>
      </c>
      <c r="P41947" s="5" t="s">
        <v>355</v>
      </c>
      <c r="Q41947" s="5" t="s">
        <v>355</v>
      </c>
    </row>
    <row r="41948" ht="16.5" customHeight="1">
      <c r="O41948" s="5" t="s">
        <v>355</v>
      </c>
      <c r="P41948" s="5" t="s">
        <v>355</v>
      </c>
      <c r="Q41948" s="5" t="s">
        <v>355</v>
      </c>
    </row>
    <row r="41949" ht="16.5" customHeight="1">
      <c r="O41949" s="5" t="s">
        <v>355</v>
      </c>
      <c r="P41949" s="5" t="s">
        <v>355</v>
      </c>
      <c r="Q41949" s="5" t="s">
        <v>355</v>
      </c>
    </row>
    <row r="41950" ht="16.5" customHeight="1">
      <c r="O41950" s="5" t="s">
        <v>355</v>
      </c>
      <c r="P41950" s="5" t="s">
        <v>355</v>
      </c>
      <c r="Q41950" s="5" t="s">
        <v>355</v>
      </c>
    </row>
    <row r="41951" ht="16.5" customHeight="1">
      <c r="O41951" s="5" t="s">
        <v>355</v>
      </c>
      <c r="P41951" s="5" t="s">
        <v>355</v>
      </c>
      <c r="Q41951" s="5" t="s">
        <v>355</v>
      </c>
    </row>
    <row r="41952" ht="16.5" customHeight="1">
      <c r="O41952" s="5" t="s">
        <v>355</v>
      </c>
      <c r="P41952" s="5" t="s">
        <v>355</v>
      </c>
      <c r="Q41952" s="5" t="s">
        <v>355</v>
      </c>
    </row>
    <row r="41953" ht="16.5" customHeight="1">
      <c r="O41953" s="5" t="s">
        <v>355</v>
      </c>
      <c r="P41953" s="5" t="s">
        <v>355</v>
      </c>
      <c r="Q41953" s="5" t="s">
        <v>355</v>
      </c>
    </row>
    <row r="41954" ht="16.5" customHeight="1">
      <c r="O41954" s="5" t="s">
        <v>355</v>
      </c>
      <c r="P41954" s="5" t="s">
        <v>355</v>
      </c>
      <c r="Q41954" s="5" t="s">
        <v>355</v>
      </c>
    </row>
    <row r="41955" ht="16.5" customHeight="1">
      <c r="O41955" s="5" t="s">
        <v>355</v>
      </c>
      <c r="P41955" s="5" t="s">
        <v>355</v>
      </c>
      <c r="Q41955" s="5" t="s">
        <v>355</v>
      </c>
    </row>
    <row r="41956" ht="16.5" customHeight="1">
      <c r="O41956" s="5" t="s">
        <v>355</v>
      </c>
      <c r="P41956" s="5" t="s">
        <v>355</v>
      </c>
      <c r="Q41956" s="5" t="s">
        <v>355</v>
      </c>
    </row>
    <row r="41957" ht="16.5" customHeight="1">
      <c r="O41957" s="5" t="s">
        <v>355</v>
      </c>
      <c r="P41957" s="5" t="s">
        <v>355</v>
      </c>
      <c r="Q41957" s="5" t="s">
        <v>355</v>
      </c>
    </row>
    <row r="41958" ht="16.5" customHeight="1">
      <c r="O41958" s="5" t="s">
        <v>355</v>
      </c>
      <c r="P41958" s="5" t="s">
        <v>355</v>
      </c>
      <c r="Q41958" s="5" t="s">
        <v>355</v>
      </c>
    </row>
    <row r="41959" ht="16.5" customHeight="1">
      <c r="O41959" s="5" t="s">
        <v>355</v>
      </c>
      <c r="P41959" s="5" t="s">
        <v>355</v>
      </c>
      <c r="Q41959" s="5" t="s">
        <v>355</v>
      </c>
    </row>
    <row r="41960" ht="16.5" customHeight="1">
      <c r="O41960" s="5" t="s">
        <v>355</v>
      </c>
      <c r="P41960" s="5" t="s">
        <v>355</v>
      </c>
      <c r="Q41960" s="5" t="s">
        <v>355</v>
      </c>
    </row>
    <row r="41961" ht="16.5" customHeight="1">
      <c r="O41961" s="5" t="s">
        <v>355</v>
      </c>
      <c r="P41961" s="5" t="s">
        <v>355</v>
      </c>
      <c r="Q41961" s="5" t="s">
        <v>355</v>
      </c>
    </row>
    <row r="41962" ht="16.5" customHeight="1">
      <c r="O41962" s="5" t="s">
        <v>355</v>
      </c>
      <c r="P41962" s="5" t="s">
        <v>355</v>
      </c>
      <c r="Q41962" s="5" t="s">
        <v>355</v>
      </c>
    </row>
    <row r="41963" ht="16.5" customHeight="1">
      <c r="O41963" s="5" t="s">
        <v>355</v>
      </c>
      <c r="P41963" s="5" t="s">
        <v>355</v>
      </c>
      <c r="Q41963" s="5" t="s">
        <v>355</v>
      </c>
    </row>
    <row r="41964" ht="16.5" customHeight="1">
      <c r="O41964" s="5" t="s">
        <v>355</v>
      </c>
      <c r="P41964" s="5" t="s">
        <v>355</v>
      </c>
      <c r="Q41964" s="5" t="s">
        <v>355</v>
      </c>
    </row>
    <row r="41965" ht="16.5" customHeight="1">
      <c r="O41965" s="5" t="s">
        <v>355</v>
      </c>
      <c r="P41965" s="5" t="s">
        <v>355</v>
      </c>
      <c r="Q41965" s="5" t="s">
        <v>355</v>
      </c>
    </row>
    <row r="41966" ht="16.5" customHeight="1">
      <c r="O41966" s="5" t="s">
        <v>355</v>
      </c>
      <c r="P41966" s="5" t="s">
        <v>355</v>
      </c>
      <c r="Q41966" s="5" t="s">
        <v>355</v>
      </c>
    </row>
    <row r="41967" ht="16.5" customHeight="1">
      <c r="O41967" s="5" t="s">
        <v>355</v>
      </c>
      <c r="P41967" s="5" t="s">
        <v>355</v>
      </c>
      <c r="Q41967" s="5" t="s">
        <v>355</v>
      </c>
    </row>
    <row r="41968" ht="16.5" customHeight="1">
      <c r="O41968" s="5" t="s">
        <v>355</v>
      </c>
      <c r="P41968" s="5" t="s">
        <v>355</v>
      </c>
      <c r="Q41968" s="5" t="s">
        <v>355</v>
      </c>
    </row>
    <row r="41969" ht="16.5" customHeight="1">
      <c r="O41969" s="5" t="s">
        <v>355</v>
      </c>
      <c r="P41969" s="5" t="s">
        <v>355</v>
      </c>
      <c r="Q41969" s="5" t="s">
        <v>355</v>
      </c>
    </row>
    <row r="41970" ht="16.5" customHeight="1">
      <c r="O41970" s="5" t="s">
        <v>355</v>
      </c>
      <c r="P41970" s="5" t="s">
        <v>355</v>
      </c>
      <c r="Q41970" s="5" t="s">
        <v>355</v>
      </c>
    </row>
    <row r="41971" ht="16.5" customHeight="1">
      <c r="O41971" s="5" t="s">
        <v>355</v>
      </c>
      <c r="P41971" s="5" t="s">
        <v>355</v>
      </c>
      <c r="Q41971" s="5" t="s">
        <v>355</v>
      </c>
    </row>
    <row r="41972" ht="16.5" customHeight="1">
      <c r="O41972" s="5" t="s">
        <v>355</v>
      </c>
      <c r="P41972" s="5" t="s">
        <v>355</v>
      </c>
      <c r="Q41972" s="5" t="s">
        <v>355</v>
      </c>
    </row>
    <row r="41973" ht="16.5" customHeight="1">
      <c r="O41973" s="5" t="s">
        <v>355</v>
      </c>
      <c r="P41973" s="5" t="s">
        <v>355</v>
      </c>
      <c r="Q41973" s="5" t="s">
        <v>355</v>
      </c>
    </row>
    <row r="41974" ht="16.5" customHeight="1">
      <c r="O41974" s="5" t="s">
        <v>355</v>
      </c>
      <c r="P41974" s="5" t="s">
        <v>355</v>
      </c>
      <c r="Q41974" s="5" t="s">
        <v>355</v>
      </c>
    </row>
    <row r="41975" ht="16.5" customHeight="1">
      <c r="O41975" s="5" t="s">
        <v>355</v>
      </c>
      <c r="P41975" s="5" t="s">
        <v>355</v>
      </c>
      <c r="Q41975" s="5" t="s">
        <v>355</v>
      </c>
    </row>
    <row r="41976" ht="16.5" customHeight="1">
      <c r="O41976" s="5" t="s">
        <v>355</v>
      </c>
      <c r="P41976" s="5" t="s">
        <v>355</v>
      </c>
      <c r="Q41976" s="5" t="s">
        <v>355</v>
      </c>
    </row>
    <row r="41977" ht="16.5" customHeight="1">
      <c r="O41977" s="5" t="s">
        <v>355</v>
      </c>
      <c r="P41977" s="5" t="s">
        <v>355</v>
      </c>
      <c r="Q41977" s="5" t="s">
        <v>355</v>
      </c>
    </row>
    <row r="41978" ht="16.5" customHeight="1">
      <c r="O41978" s="5" t="s">
        <v>355</v>
      </c>
      <c r="P41978" s="5" t="s">
        <v>355</v>
      </c>
      <c r="Q41978" s="5" t="s">
        <v>355</v>
      </c>
    </row>
    <row r="41979" ht="16.5" customHeight="1">
      <c r="O41979" s="5" t="s">
        <v>355</v>
      </c>
      <c r="P41979" s="5" t="s">
        <v>355</v>
      </c>
      <c r="Q41979" s="5" t="s">
        <v>355</v>
      </c>
    </row>
    <row r="41980" ht="16.5" customHeight="1">
      <c r="O41980" s="5" t="s">
        <v>355</v>
      </c>
      <c r="P41980" s="5" t="s">
        <v>355</v>
      </c>
      <c r="Q41980" s="5" t="s">
        <v>355</v>
      </c>
    </row>
    <row r="41981" ht="16.5" customHeight="1">
      <c r="O41981" s="5" t="s">
        <v>355</v>
      </c>
      <c r="P41981" s="5" t="s">
        <v>355</v>
      </c>
      <c r="Q41981" s="5" t="s">
        <v>355</v>
      </c>
    </row>
    <row r="41982" ht="16.5" customHeight="1">
      <c r="O41982" s="5" t="s">
        <v>355</v>
      </c>
      <c r="P41982" s="5" t="s">
        <v>355</v>
      </c>
      <c r="Q41982" s="5" t="s">
        <v>355</v>
      </c>
    </row>
    <row r="41983" ht="16.5" customHeight="1">
      <c r="O41983" s="5" t="s">
        <v>355</v>
      </c>
      <c r="P41983" s="5" t="s">
        <v>355</v>
      </c>
      <c r="Q41983" s="5" t="s">
        <v>355</v>
      </c>
    </row>
    <row r="41984" ht="16.5" customHeight="1">
      <c r="O41984" s="5" t="s">
        <v>355</v>
      </c>
      <c r="P41984" s="5" t="s">
        <v>355</v>
      </c>
      <c r="Q41984" s="5" t="s">
        <v>355</v>
      </c>
    </row>
    <row r="41985" ht="16.5" customHeight="1">
      <c r="O41985" s="5" t="s">
        <v>355</v>
      </c>
      <c r="P41985" s="5" t="s">
        <v>355</v>
      </c>
      <c r="Q41985" s="5" t="s">
        <v>355</v>
      </c>
    </row>
    <row r="41986" ht="16.5" customHeight="1">
      <c r="O41986" s="5" t="s">
        <v>355</v>
      </c>
      <c r="P41986" s="5" t="s">
        <v>355</v>
      </c>
      <c r="Q41986" s="5" t="s">
        <v>355</v>
      </c>
    </row>
    <row r="41987" ht="16.5" customHeight="1">
      <c r="O41987" s="5" t="s">
        <v>355</v>
      </c>
      <c r="P41987" s="5" t="s">
        <v>355</v>
      </c>
      <c r="Q41987" s="5" t="s">
        <v>355</v>
      </c>
    </row>
    <row r="41988" ht="16.5" customHeight="1">
      <c r="O41988" s="5" t="s">
        <v>355</v>
      </c>
      <c r="P41988" s="5" t="s">
        <v>355</v>
      </c>
      <c r="Q41988" s="5" t="s">
        <v>355</v>
      </c>
    </row>
    <row r="41989" ht="16.5" customHeight="1">
      <c r="O41989" s="5" t="s">
        <v>355</v>
      </c>
      <c r="P41989" s="5" t="s">
        <v>355</v>
      </c>
      <c r="Q41989" s="5" t="s">
        <v>355</v>
      </c>
    </row>
    <row r="41990" ht="16.5" customHeight="1">
      <c r="O41990" s="5" t="s">
        <v>355</v>
      </c>
      <c r="P41990" s="5" t="s">
        <v>355</v>
      </c>
      <c r="Q41990" s="5" t="s">
        <v>355</v>
      </c>
    </row>
    <row r="41991" ht="16.5" customHeight="1">
      <c r="O41991" s="5" t="s">
        <v>355</v>
      </c>
      <c r="P41991" s="5" t="s">
        <v>355</v>
      </c>
      <c r="Q41991" s="5" t="s">
        <v>355</v>
      </c>
    </row>
    <row r="41992" ht="16.5" customHeight="1">
      <c r="O41992" s="5" t="s">
        <v>355</v>
      </c>
      <c r="P41992" s="5" t="s">
        <v>355</v>
      </c>
      <c r="Q41992" s="5" t="s">
        <v>355</v>
      </c>
    </row>
    <row r="41993" ht="16.5" customHeight="1">
      <c r="O41993" s="5" t="s">
        <v>355</v>
      </c>
      <c r="P41993" s="5" t="s">
        <v>355</v>
      </c>
      <c r="Q41993" s="5" t="s">
        <v>355</v>
      </c>
    </row>
    <row r="41994" ht="16.5" customHeight="1">
      <c r="O41994" s="5" t="s">
        <v>355</v>
      </c>
      <c r="P41994" s="5" t="s">
        <v>355</v>
      </c>
      <c r="Q41994" s="5" t="s">
        <v>355</v>
      </c>
    </row>
    <row r="41995" ht="16.5" customHeight="1">
      <c r="O41995" s="5" t="s">
        <v>355</v>
      </c>
      <c r="P41995" s="5" t="s">
        <v>355</v>
      </c>
      <c r="Q41995" s="5" t="s">
        <v>355</v>
      </c>
    </row>
    <row r="41996" ht="16.5" customHeight="1">
      <c r="O41996" s="5" t="s">
        <v>355</v>
      </c>
      <c r="P41996" s="5" t="s">
        <v>355</v>
      </c>
      <c r="Q41996" s="5" t="s">
        <v>355</v>
      </c>
    </row>
    <row r="41997" ht="16.5" customHeight="1">
      <c r="O41997" s="5" t="s">
        <v>355</v>
      </c>
      <c r="P41997" s="5" t="s">
        <v>355</v>
      </c>
      <c r="Q41997" s="5" t="s">
        <v>355</v>
      </c>
    </row>
    <row r="41998" ht="16.5" customHeight="1">
      <c r="O41998" s="5" t="s">
        <v>355</v>
      </c>
      <c r="P41998" s="5" t="s">
        <v>355</v>
      </c>
      <c r="Q41998" s="5" t="s">
        <v>355</v>
      </c>
    </row>
    <row r="41999" ht="16.5" customHeight="1">
      <c r="O41999" s="5" t="s">
        <v>355</v>
      </c>
      <c r="P41999" s="5" t="s">
        <v>355</v>
      </c>
      <c r="Q41999" s="5" t="s">
        <v>355</v>
      </c>
    </row>
    <row r="42000" ht="16.5" customHeight="1">
      <c r="O42000" s="5" t="s">
        <v>355</v>
      </c>
      <c r="P42000" s="5" t="s">
        <v>355</v>
      </c>
      <c r="Q42000" s="5" t="s">
        <v>355</v>
      </c>
    </row>
    <row r="42001" ht="16.5" customHeight="1">
      <c r="O42001" s="5" t="s">
        <v>355</v>
      </c>
      <c r="P42001" s="5" t="s">
        <v>355</v>
      </c>
      <c r="Q42001" s="5" t="s">
        <v>355</v>
      </c>
    </row>
    <row r="42002" ht="16.5" customHeight="1">
      <c r="O42002" s="5" t="s">
        <v>355</v>
      </c>
      <c r="P42002" s="5" t="s">
        <v>355</v>
      </c>
      <c r="Q42002" s="5" t="s">
        <v>355</v>
      </c>
    </row>
    <row r="42003" ht="16.5" customHeight="1">
      <c r="O42003" s="5" t="s">
        <v>355</v>
      </c>
      <c r="P42003" s="5" t="s">
        <v>355</v>
      </c>
      <c r="Q42003" s="5" t="s">
        <v>355</v>
      </c>
    </row>
    <row r="42004" ht="16.5" customHeight="1">
      <c r="O42004" s="5" t="s">
        <v>355</v>
      </c>
      <c r="P42004" s="5" t="s">
        <v>355</v>
      </c>
      <c r="Q42004" s="5" t="s">
        <v>355</v>
      </c>
    </row>
    <row r="42005" ht="16.5" customHeight="1">
      <c r="O42005" s="5" t="s">
        <v>355</v>
      </c>
      <c r="P42005" s="5" t="s">
        <v>355</v>
      </c>
      <c r="Q42005" s="5" t="s">
        <v>355</v>
      </c>
    </row>
    <row r="42006" ht="16.5" customHeight="1">
      <c r="O42006" s="5" t="s">
        <v>355</v>
      </c>
      <c r="P42006" s="5" t="s">
        <v>355</v>
      </c>
      <c r="Q42006" s="5" t="s">
        <v>355</v>
      </c>
    </row>
    <row r="42007" ht="16.5" customHeight="1">
      <c r="O42007" s="5" t="s">
        <v>355</v>
      </c>
      <c r="P42007" s="5" t="s">
        <v>355</v>
      </c>
      <c r="Q42007" s="5" t="s">
        <v>355</v>
      </c>
    </row>
    <row r="42008" ht="16.5" customHeight="1">
      <c r="O42008" s="5" t="s">
        <v>355</v>
      </c>
      <c r="P42008" s="5" t="s">
        <v>355</v>
      </c>
      <c r="Q42008" s="5" t="s">
        <v>355</v>
      </c>
    </row>
    <row r="42009" ht="16.5" customHeight="1">
      <c r="O42009" s="5" t="s">
        <v>355</v>
      </c>
      <c r="P42009" s="5" t="s">
        <v>355</v>
      </c>
      <c r="Q42009" s="5" t="s">
        <v>355</v>
      </c>
    </row>
    <row r="42010" ht="16.5" customHeight="1">
      <c r="O42010" s="5" t="s">
        <v>355</v>
      </c>
      <c r="P42010" s="5" t="s">
        <v>355</v>
      </c>
      <c r="Q42010" s="5" t="s">
        <v>355</v>
      </c>
    </row>
    <row r="42011" ht="16.5" customHeight="1">
      <c r="O42011" s="5" t="s">
        <v>355</v>
      </c>
      <c r="P42011" s="5" t="s">
        <v>355</v>
      </c>
      <c r="Q42011" s="5" t="s">
        <v>355</v>
      </c>
    </row>
    <row r="42012" ht="16.5" customHeight="1">
      <c r="O42012" s="5" t="s">
        <v>355</v>
      </c>
      <c r="P42012" s="5" t="s">
        <v>355</v>
      </c>
      <c r="Q42012" s="5" t="s">
        <v>355</v>
      </c>
    </row>
    <row r="42013" ht="16.5" customHeight="1">
      <c r="O42013" s="5" t="s">
        <v>355</v>
      </c>
      <c r="P42013" s="5" t="s">
        <v>355</v>
      </c>
      <c r="Q42013" s="5" t="s">
        <v>355</v>
      </c>
    </row>
    <row r="42014" ht="16.5" customHeight="1">
      <c r="O42014" s="5" t="s">
        <v>355</v>
      </c>
      <c r="P42014" s="5" t="s">
        <v>355</v>
      </c>
      <c r="Q42014" s="5" t="s">
        <v>355</v>
      </c>
    </row>
    <row r="42015" ht="16.5" customHeight="1">
      <c r="O42015" s="5" t="s">
        <v>355</v>
      </c>
      <c r="P42015" s="5" t="s">
        <v>355</v>
      </c>
      <c r="Q42015" s="5" t="s">
        <v>355</v>
      </c>
    </row>
    <row r="42016" ht="16.5" customHeight="1">
      <c r="O42016" s="5" t="s">
        <v>355</v>
      </c>
      <c r="P42016" s="5" t="s">
        <v>355</v>
      </c>
      <c r="Q42016" s="5" t="s">
        <v>355</v>
      </c>
    </row>
    <row r="42017" ht="16.5" customHeight="1">
      <c r="O42017" s="5" t="s">
        <v>355</v>
      </c>
      <c r="P42017" s="5" t="s">
        <v>355</v>
      </c>
      <c r="Q42017" s="5" t="s">
        <v>355</v>
      </c>
    </row>
    <row r="42018" ht="16.5" customHeight="1">
      <c r="O42018" s="5" t="s">
        <v>355</v>
      </c>
      <c r="P42018" s="5" t="s">
        <v>355</v>
      </c>
      <c r="Q42018" s="5" t="s">
        <v>355</v>
      </c>
    </row>
    <row r="42019" ht="16.5" customHeight="1">
      <c r="O42019" s="5" t="s">
        <v>355</v>
      </c>
      <c r="P42019" s="5" t="s">
        <v>355</v>
      </c>
      <c r="Q42019" s="5" t="s">
        <v>355</v>
      </c>
    </row>
    <row r="42020" ht="16.5" customHeight="1">
      <c r="O42020" s="5" t="s">
        <v>355</v>
      </c>
      <c r="P42020" s="5" t="s">
        <v>355</v>
      </c>
      <c r="Q42020" s="5" t="s">
        <v>355</v>
      </c>
    </row>
    <row r="42021" ht="16.5" customHeight="1">
      <c r="O42021" s="5" t="s">
        <v>355</v>
      </c>
      <c r="P42021" s="5" t="s">
        <v>355</v>
      </c>
      <c r="Q42021" s="5" t="s">
        <v>355</v>
      </c>
    </row>
    <row r="42022" ht="16.5" customHeight="1">
      <c r="O42022" s="5" t="s">
        <v>355</v>
      </c>
      <c r="P42022" s="5" t="s">
        <v>355</v>
      </c>
      <c r="Q42022" s="5" t="s">
        <v>355</v>
      </c>
    </row>
    <row r="42023" ht="16.5" customHeight="1">
      <c r="O42023" s="5" t="s">
        <v>355</v>
      </c>
      <c r="P42023" s="5" t="s">
        <v>355</v>
      </c>
      <c r="Q42023" s="5" t="s">
        <v>355</v>
      </c>
    </row>
    <row r="42024" ht="16.5" customHeight="1">
      <c r="O42024" s="5" t="s">
        <v>355</v>
      </c>
      <c r="P42024" s="5" t="s">
        <v>355</v>
      </c>
      <c r="Q42024" s="5" t="s">
        <v>355</v>
      </c>
    </row>
    <row r="42025" ht="16.5" customHeight="1">
      <c r="O42025" s="5" t="s">
        <v>355</v>
      </c>
      <c r="P42025" s="5" t="s">
        <v>355</v>
      </c>
      <c r="Q42025" s="5" t="s">
        <v>355</v>
      </c>
    </row>
    <row r="42026" ht="16.5" customHeight="1">
      <c r="O42026" s="5" t="s">
        <v>355</v>
      </c>
      <c r="P42026" s="5" t="s">
        <v>355</v>
      </c>
      <c r="Q42026" s="5" t="s">
        <v>355</v>
      </c>
    </row>
    <row r="42027" ht="16.5" customHeight="1">
      <c r="O42027" s="5" t="s">
        <v>355</v>
      </c>
      <c r="P42027" s="5" t="s">
        <v>355</v>
      </c>
      <c r="Q42027" s="5" t="s">
        <v>355</v>
      </c>
    </row>
    <row r="42028" ht="16.5" customHeight="1">
      <c r="O42028" s="5" t="s">
        <v>355</v>
      </c>
      <c r="P42028" s="5" t="s">
        <v>355</v>
      </c>
      <c r="Q42028" s="5" t="s">
        <v>355</v>
      </c>
    </row>
    <row r="42029" ht="16.5" customHeight="1">
      <c r="O42029" s="5" t="s">
        <v>355</v>
      </c>
      <c r="P42029" s="5" t="s">
        <v>355</v>
      </c>
      <c r="Q42029" s="5" t="s">
        <v>355</v>
      </c>
    </row>
    <row r="42030" ht="16.5" customHeight="1">
      <c r="O42030" s="5" t="s">
        <v>355</v>
      </c>
      <c r="P42030" s="5" t="s">
        <v>355</v>
      </c>
      <c r="Q42030" s="5" t="s">
        <v>355</v>
      </c>
    </row>
    <row r="42031" ht="16.5" customHeight="1">
      <c r="O42031" s="5" t="s">
        <v>355</v>
      </c>
      <c r="P42031" s="5" t="s">
        <v>355</v>
      </c>
      <c r="Q42031" s="5" t="s">
        <v>355</v>
      </c>
    </row>
    <row r="42032" ht="16.5" customHeight="1">
      <c r="O42032" s="5" t="s">
        <v>355</v>
      </c>
      <c r="P42032" s="5" t="s">
        <v>355</v>
      </c>
      <c r="Q42032" s="5" t="s">
        <v>355</v>
      </c>
    </row>
    <row r="42033" ht="16.5" customHeight="1">
      <c r="O42033" s="5" t="s">
        <v>355</v>
      </c>
      <c r="P42033" s="5" t="s">
        <v>355</v>
      </c>
      <c r="Q42033" s="5" t="s">
        <v>355</v>
      </c>
    </row>
    <row r="42034" ht="16.5" customHeight="1">
      <c r="O42034" s="5" t="s">
        <v>355</v>
      </c>
      <c r="P42034" s="5" t="s">
        <v>355</v>
      </c>
      <c r="Q42034" s="5" t="s">
        <v>355</v>
      </c>
    </row>
    <row r="42035" ht="16.5" customHeight="1">
      <c r="O42035" s="5" t="s">
        <v>355</v>
      </c>
      <c r="P42035" s="5" t="s">
        <v>355</v>
      </c>
      <c r="Q42035" s="5" t="s">
        <v>355</v>
      </c>
    </row>
    <row r="42036" ht="16.5" customHeight="1">
      <c r="O42036" s="5" t="s">
        <v>355</v>
      </c>
      <c r="P42036" s="5" t="s">
        <v>355</v>
      </c>
      <c r="Q42036" s="5" t="s">
        <v>355</v>
      </c>
    </row>
    <row r="42037" ht="16.5" customHeight="1">
      <c r="O42037" s="5" t="s">
        <v>355</v>
      </c>
      <c r="P42037" s="5" t="s">
        <v>355</v>
      </c>
      <c r="Q42037" s="5" t="s">
        <v>355</v>
      </c>
    </row>
    <row r="42038" ht="16.5" customHeight="1">
      <c r="O42038" s="5" t="s">
        <v>355</v>
      </c>
      <c r="P42038" s="5" t="s">
        <v>355</v>
      </c>
      <c r="Q42038" s="5" t="s">
        <v>355</v>
      </c>
    </row>
    <row r="42039" ht="16.5" customHeight="1">
      <c r="O42039" s="5" t="s">
        <v>355</v>
      </c>
      <c r="P42039" s="5" t="s">
        <v>355</v>
      </c>
      <c r="Q42039" s="5" t="s">
        <v>355</v>
      </c>
    </row>
    <row r="42040" ht="16.5" customHeight="1">
      <c r="O42040" s="5" t="s">
        <v>355</v>
      </c>
      <c r="P42040" s="5" t="s">
        <v>355</v>
      </c>
      <c r="Q42040" s="5" t="s">
        <v>355</v>
      </c>
    </row>
    <row r="42041" ht="16.5" customHeight="1">
      <c r="O42041" s="5" t="s">
        <v>355</v>
      </c>
      <c r="P42041" s="5" t="s">
        <v>355</v>
      </c>
      <c r="Q42041" s="5" t="s">
        <v>355</v>
      </c>
    </row>
    <row r="42042" ht="16.5" customHeight="1">
      <c r="O42042" s="5" t="s">
        <v>355</v>
      </c>
      <c r="P42042" s="5" t="s">
        <v>355</v>
      </c>
      <c r="Q42042" s="5" t="s">
        <v>355</v>
      </c>
    </row>
    <row r="42043" ht="16.5" customHeight="1">
      <c r="O42043" s="5" t="s">
        <v>355</v>
      </c>
      <c r="P42043" s="5" t="s">
        <v>355</v>
      </c>
      <c r="Q42043" s="5" t="s">
        <v>355</v>
      </c>
    </row>
    <row r="42044" ht="16.5" customHeight="1">
      <c r="O42044" s="5" t="s">
        <v>355</v>
      </c>
      <c r="P42044" s="5" t="s">
        <v>355</v>
      </c>
      <c r="Q42044" s="5" t="s">
        <v>355</v>
      </c>
    </row>
    <row r="42045" ht="16.5" customHeight="1">
      <c r="O42045" s="5" t="s">
        <v>355</v>
      </c>
      <c r="P42045" s="5" t="s">
        <v>355</v>
      </c>
      <c r="Q42045" s="5" t="s">
        <v>355</v>
      </c>
    </row>
    <row r="42046" ht="16.5" customHeight="1">
      <c r="O42046" s="5" t="s">
        <v>355</v>
      </c>
      <c r="P42046" s="5" t="s">
        <v>355</v>
      </c>
      <c r="Q42046" s="5" t="s">
        <v>355</v>
      </c>
    </row>
    <row r="42047" ht="16.5" customHeight="1">
      <c r="O42047" s="5" t="s">
        <v>355</v>
      </c>
      <c r="P42047" s="5" t="s">
        <v>355</v>
      </c>
      <c r="Q42047" s="5" t="s">
        <v>355</v>
      </c>
    </row>
    <row r="42048" ht="16.5" customHeight="1">
      <c r="O42048" s="5" t="s">
        <v>355</v>
      </c>
      <c r="P42048" s="5" t="s">
        <v>355</v>
      </c>
      <c r="Q42048" s="5" t="s">
        <v>355</v>
      </c>
    </row>
    <row r="42049" ht="16.5" customHeight="1">
      <c r="O42049" s="5" t="s">
        <v>355</v>
      </c>
      <c r="P42049" s="5" t="s">
        <v>355</v>
      </c>
      <c r="Q42049" s="5" t="s">
        <v>355</v>
      </c>
    </row>
    <row r="42050" ht="16.5" customHeight="1">
      <c r="O42050" s="5" t="s">
        <v>355</v>
      </c>
      <c r="P42050" s="5" t="s">
        <v>355</v>
      </c>
      <c r="Q42050" s="5" t="s">
        <v>355</v>
      </c>
    </row>
    <row r="42051" ht="16.5" customHeight="1">
      <c r="O42051" s="5" t="s">
        <v>355</v>
      </c>
      <c r="P42051" s="5" t="s">
        <v>355</v>
      </c>
      <c r="Q42051" s="5" t="s">
        <v>355</v>
      </c>
    </row>
    <row r="42052" ht="16.5" customHeight="1">
      <c r="O42052" s="5" t="s">
        <v>355</v>
      </c>
      <c r="P42052" s="5" t="s">
        <v>355</v>
      </c>
      <c r="Q42052" s="5" t="s">
        <v>355</v>
      </c>
    </row>
    <row r="42053" ht="16.5" customHeight="1">
      <c r="O42053" s="5" t="s">
        <v>355</v>
      </c>
      <c r="P42053" s="5" t="s">
        <v>355</v>
      </c>
      <c r="Q42053" s="5" t="s">
        <v>355</v>
      </c>
    </row>
    <row r="42054" ht="16.5" customHeight="1">
      <c r="O42054" s="5" t="s">
        <v>355</v>
      </c>
      <c r="P42054" s="5" t="s">
        <v>355</v>
      </c>
      <c r="Q42054" s="5" t="s">
        <v>355</v>
      </c>
    </row>
    <row r="42055" ht="16.5" customHeight="1">
      <c r="O42055" s="5" t="s">
        <v>355</v>
      </c>
      <c r="P42055" s="5" t="s">
        <v>355</v>
      </c>
      <c r="Q42055" s="5" t="s">
        <v>355</v>
      </c>
    </row>
    <row r="42056" ht="16.5" customHeight="1">
      <c r="O42056" s="5" t="s">
        <v>355</v>
      </c>
      <c r="P42056" s="5" t="s">
        <v>355</v>
      </c>
      <c r="Q42056" s="5" t="s">
        <v>355</v>
      </c>
    </row>
    <row r="42057" ht="16.5" customHeight="1">
      <c r="O42057" s="5" t="s">
        <v>355</v>
      </c>
      <c r="P42057" s="5" t="s">
        <v>355</v>
      </c>
      <c r="Q42057" s="5" t="s">
        <v>355</v>
      </c>
    </row>
    <row r="42058" ht="16.5" customHeight="1">
      <c r="O42058" s="5" t="s">
        <v>355</v>
      </c>
      <c r="P42058" s="5" t="s">
        <v>355</v>
      </c>
      <c r="Q42058" s="5" t="s">
        <v>355</v>
      </c>
    </row>
    <row r="42059" ht="16.5" customHeight="1">
      <c r="O42059" s="5" t="s">
        <v>355</v>
      </c>
      <c r="P42059" s="5" t="s">
        <v>355</v>
      </c>
      <c r="Q42059" s="5" t="s">
        <v>355</v>
      </c>
    </row>
    <row r="42060" ht="16.5" customHeight="1">
      <c r="O42060" s="5" t="s">
        <v>355</v>
      </c>
      <c r="P42060" s="5" t="s">
        <v>355</v>
      </c>
      <c r="Q42060" s="5" t="s">
        <v>355</v>
      </c>
    </row>
    <row r="42061" ht="16.5" customHeight="1">
      <c r="O42061" s="5" t="s">
        <v>355</v>
      </c>
      <c r="P42061" s="5" t="s">
        <v>355</v>
      </c>
      <c r="Q42061" s="5" t="s">
        <v>355</v>
      </c>
    </row>
    <row r="42062" ht="16.5" customHeight="1">
      <c r="O42062" s="5" t="s">
        <v>355</v>
      </c>
      <c r="P42062" s="5" t="s">
        <v>355</v>
      </c>
      <c r="Q42062" s="5" t="s">
        <v>355</v>
      </c>
    </row>
    <row r="42063" ht="16.5" customHeight="1">
      <c r="O42063" s="5" t="s">
        <v>355</v>
      </c>
      <c r="P42063" s="5" t="s">
        <v>355</v>
      </c>
      <c r="Q42063" s="5" t="s">
        <v>355</v>
      </c>
    </row>
    <row r="42064" ht="16.5" customHeight="1">
      <c r="O42064" s="5" t="s">
        <v>355</v>
      </c>
      <c r="P42064" s="5" t="s">
        <v>355</v>
      </c>
      <c r="Q42064" s="5" t="s">
        <v>355</v>
      </c>
    </row>
    <row r="42065" ht="16.5" customHeight="1">
      <c r="O42065" s="5" t="s">
        <v>355</v>
      </c>
      <c r="P42065" s="5" t="s">
        <v>355</v>
      </c>
      <c r="Q42065" s="5" t="s">
        <v>355</v>
      </c>
    </row>
    <row r="42066" ht="16.5" customHeight="1">
      <c r="O42066" s="5" t="s">
        <v>355</v>
      </c>
      <c r="P42066" s="5" t="s">
        <v>355</v>
      </c>
      <c r="Q42066" s="5" t="s">
        <v>355</v>
      </c>
    </row>
    <row r="42067" ht="16.5" customHeight="1">
      <c r="O42067" s="5" t="s">
        <v>355</v>
      </c>
      <c r="P42067" s="5" t="s">
        <v>355</v>
      </c>
      <c r="Q42067" s="5" t="s">
        <v>355</v>
      </c>
    </row>
    <row r="42068" ht="16.5" customHeight="1">
      <c r="O42068" s="5" t="s">
        <v>355</v>
      </c>
      <c r="P42068" s="5" t="s">
        <v>355</v>
      </c>
      <c r="Q42068" s="5" t="s">
        <v>355</v>
      </c>
    </row>
    <row r="42069" ht="16.5" customHeight="1">
      <c r="O42069" s="5" t="s">
        <v>355</v>
      </c>
      <c r="P42069" s="5" t="s">
        <v>355</v>
      </c>
      <c r="Q42069" s="5" t="s">
        <v>355</v>
      </c>
    </row>
    <row r="42070" ht="16.5" customHeight="1">
      <c r="O42070" s="5" t="s">
        <v>355</v>
      </c>
      <c r="P42070" s="5" t="s">
        <v>355</v>
      </c>
      <c r="Q42070" s="5" t="s">
        <v>355</v>
      </c>
    </row>
    <row r="42071" ht="16.5" customHeight="1">
      <c r="O42071" s="5" t="s">
        <v>355</v>
      </c>
      <c r="P42071" s="5" t="s">
        <v>355</v>
      </c>
      <c r="Q42071" s="5" t="s">
        <v>355</v>
      </c>
    </row>
    <row r="42072" ht="16.5" customHeight="1">
      <c r="O42072" s="5" t="s">
        <v>355</v>
      </c>
      <c r="P42072" s="5" t="s">
        <v>355</v>
      </c>
      <c r="Q42072" s="5" t="s">
        <v>355</v>
      </c>
    </row>
    <row r="42073" ht="16.5" customHeight="1">
      <c r="O42073" s="5" t="s">
        <v>355</v>
      </c>
      <c r="P42073" s="5" t="s">
        <v>355</v>
      </c>
      <c r="Q42073" s="5" t="s">
        <v>355</v>
      </c>
    </row>
    <row r="42074" ht="16.5" customHeight="1">
      <c r="O42074" s="5" t="s">
        <v>355</v>
      </c>
      <c r="P42074" s="5" t="s">
        <v>355</v>
      </c>
      <c r="Q42074" s="5" t="s">
        <v>355</v>
      </c>
    </row>
    <row r="42075" ht="16.5" customHeight="1">
      <c r="O42075" s="5" t="s">
        <v>355</v>
      </c>
      <c r="P42075" s="5" t="s">
        <v>355</v>
      </c>
      <c r="Q42075" s="5" t="s">
        <v>355</v>
      </c>
    </row>
    <row r="42076" ht="16.5" customHeight="1">
      <c r="O42076" s="5" t="s">
        <v>355</v>
      </c>
      <c r="P42076" s="5" t="s">
        <v>355</v>
      </c>
      <c r="Q42076" s="5" t="s">
        <v>355</v>
      </c>
    </row>
    <row r="42077" ht="16.5" customHeight="1">
      <c r="O42077" s="5" t="s">
        <v>355</v>
      </c>
      <c r="P42077" s="5" t="s">
        <v>355</v>
      </c>
      <c r="Q42077" s="5" t="s">
        <v>355</v>
      </c>
    </row>
    <row r="42078" ht="16.5" customHeight="1">
      <c r="O42078" s="5" t="s">
        <v>355</v>
      </c>
      <c r="P42078" s="5" t="s">
        <v>355</v>
      </c>
      <c r="Q42078" s="5" t="s">
        <v>355</v>
      </c>
    </row>
    <row r="42079" ht="16.5" customHeight="1">
      <c r="O42079" s="5" t="s">
        <v>355</v>
      </c>
      <c r="P42079" s="5" t="s">
        <v>355</v>
      </c>
      <c r="Q42079" s="5" t="s">
        <v>355</v>
      </c>
    </row>
    <row r="42080" ht="16.5" customHeight="1">
      <c r="O42080" s="5" t="s">
        <v>355</v>
      </c>
      <c r="P42080" s="5" t="s">
        <v>355</v>
      </c>
      <c r="Q42080" s="5" t="s">
        <v>355</v>
      </c>
    </row>
    <row r="42081" ht="16.5" customHeight="1">
      <c r="O42081" s="5" t="s">
        <v>355</v>
      </c>
      <c r="P42081" s="5" t="s">
        <v>355</v>
      </c>
      <c r="Q42081" s="5" t="s">
        <v>355</v>
      </c>
    </row>
    <row r="42082" ht="16.5" customHeight="1">
      <c r="O42082" s="5" t="s">
        <v>355</v>
      </c>
      <c r="P42082" s="5" t="s">
        <v>355</v>
      </c>
      <c r="Q42082" s="5" t="s">
        <v>355</v>
      </c>
    </row>
    <row r="42083" ht="16.5" customHeight="1">
      <c r="O42083" s="5" t="s">
        <v>355</v>
      </c>
      <c r="P42083" s="5" t="s">
        <v>355</v>
      </c>
      <c r="Q42083" s="5" t="s">
        <v>355</v>
      </c>
    </row>
    <row r="42084" ht="16.5" customHeight="1">
      <c r="O42084" s="5" t="s">
        <v>355</v>
      </c>
      <c r="P42084" s="5" t="s">
        <v>355</v>
      </c>
      <c r="Q42084" s="5" t="s">
        <v>355</v>
      </c>
    </row>
    <row r="42085" ht="16.5" customHeight="1">
      <c r="O42085" s="5" t="s">
        <v>355</v>
      </c>
      <c r="P42085" s="5" t="s">
        <v>355</v>
      </c>
      <c r="Q42085" s="5" t="s">
        <v>355</v>
      </c>
    </row>
    <row r="42086" ht="16.5" customHeight="1">
      <c r="O42086" s="5" t="s">
        <v>355</v>
      </c>
      <c r="P42086" s="5" t="s">
        <v>355</v>
      </c>
      <c r="Q42086" s="5" t="s">
        <v>355</v>
      </c>
    </row>
    <row r="42087" ht="16.5" customHeight="1">
      <c r="O42087" s="5" t="s">
        <v>355</v>
      </c>
      <c r="P42087" s="5" t="s">
        <v>355</v>
      </c>
      <c r="Q42087" s="5" t="s">
        <v>355</v>
      </c>
    </row>
    <row r="42088" ht="16.5" customHeight="1">
      <c r="O42088" s="5" t="s">
        <v>355</v>
      </c>
      <c r="P42088" s="5" t="s">
        <v>355</v>
      </c>
      <c r="Q42088" s="5" t="s">
        <v>355</v>
      </c>
    </row>
    <row r="42089" ht="16.5" customHeight="1">
      <c r="O42089" s="5" t="s">
        <v>355</v>
      </c>
      <c r="P42089" s="5" t="s">
        <v>355</v>
      </c>
      <c r="Q42089" s="5" t="s">
        <v>355</v>
      </c>
    </row>
    <row r="42090" ht="16.5" customHeight="1">
      <c r="O42090" s="5" t="s">
        <v>355</v>
      </c>
      <c r="P42090" s="5" t="s">
        <v>355</v>
      </c>
      <c r="Q42090" s="5" t="s">
        <v>355</v>
      </c>
    </row>
    <row r="42091" ht="16.5" customHeight="1">
      <c r="O42091" s="5" t="s">
        <v>355</v>
      </c>
      <c r="P42091" s="5" t="s">
        <v>355</v>
      </c>
      <c r="Q42091" s="5" t="s">
        <v>355</v>
      </c>
    </row>
    <row r="42092" ht="16.5" customHeight="1">
      <c r="O42092" s="5" t="s">
        <v>355</v>
      </c>
      <c r="P42092" s="5" t="s">
        <v>355</v>
      </c>
      <c r="Q42092" s="5" t="s">
        <v>355</v>
      </c>
    </row>
    <row r="42093" ht="16.5" customHeight="1">
      <c r="O42093" s="5" t="s">
        <v>355</v>
      </c>
      <c r="P42093" s="5" t="s">
        <v>355</v>
      </c>
      <c r="Q42093" s="5" t="s">
        <v>355</v>
      </c>
    </row>
    <row r="42094" ht="16.5" customHeight="1">
      <c r="O42094" s="5" t="s">
        <v>355</v>
      </c>
      <c r="P42094" s="5" t="s">
        <v>355</v>
      </c>
      <c r="Q42094" s="5" t="s">
        <v>355</v>
      </c>
    </row>
    <row r="42095" ht="16.5" customHeight="1">
      <c r="O42095" s="5" t="s">
        <v>355</v>
      </c>
      <c r="P42095" s="5" t="s">
        <v>355</v>
      </c>
      <c r="Q42095" s="5" t="s">
        <v>355</v>
      </c>
    </row>
    <row r="42096" ht="16.5" customHeight="1">
      <c r="O42096" s="5" t="s">
        <v>355</v>
      </c>
      <c r="P42096" s="5" t="s">
        <v>355</v>
      </c>
      <c r="Q42096" s="5" t="s">
        <v>355</v>
      </c>
    </row>
    <row r="42097" ht="16.5" customHeight="1">
      <c r="O42097" s="5" t="s">
        <v>355</v>
      </c>
      <c r="P42097" s="5" t="s">
        <v>355</v>
      </c>
      <c r="Q42097" s="5" t="s">
        <v>355</v>
      </c>
    </row>
    <row r="42098" ht="16.5" customHeight="1">
      <c r="O42098" s="5" t="s">
        <v>355</v>
      </c>
      <c r="P42098" s="5" t="s">
        <v>355</v>
      </c>
      <c r="Q42098" s="5" t="s">
        <v>355</v>
      </c>
    </row>
    <row r="42099" ht="16.5" customHeight="1">
      <c r="O42099" s="5" t="s">
        <v>355</v>
      </c>
      <c r="P42099" s="5" t="s">
        <v>355</v>
      </c>
      <c r="Q42099" s="5" t="s">
        <v>355</v>
      </c>
    </row>
    <row r="42100" ht="16.5" customHeight="1">
      <c r="O42100" s="5" t="s">
        <v>355</v>
      </c>
      <c r="P42100" s="5" t="s">
        <v>355</v>
      </c>
      <c r="Q42100" s="5" t="s">
        <v>355</v>
      </c>
    </row>
    <row r="42101" ht="16.5" customHeight="1">
      <c r="O42101" s="5" t="s">
        <v>355</v>
      </c>
      <c r="P42101" s="5" t="s">
        <v>355</v>
      </c>
      <c r="Q42101" s="5" t="s">
        <v>355</v>
      </c>
    </row>
    <row r="42102" ht="16.5" customHeight="1">
      <c r="O42102" s="5" t="s">
        <v>355</v>
      </c>
      <c r="P42102" s="5" t="s">
        <v>355</v>
      </c>
      <c r="Q42102" s="5" t="s">
        <v>355</v>
      </c>
    </row>
    <row r="42103" ht="16.5" customHeight="1">
      <c r="O42103" s="5" t="s">
        <v>355</v>
      </c>
      <c r="P42103" s="5" t="s">
        <v>355</v>
      </c>
      <c r="Q42103" s="5" t="s">
        <v>355</v>
      </c>
    </row>
    <row r="42104" ht="16.5" customHeight="1">
      <c r="O42104" s="5" t="s">
        <v>355</v>
      </c>
      <c r="P42104" s="5" t="s">
        <v>355</v>
      </c>
      <c r="Q42104" s="5" t="s">
        <v>355</v>
      </c>
    </row>
    <row r="42105" ht="16.5" customHeight="1">
      <c r="O42105" s="5" t="s">
        <v>355</v>
      </c>
      <c r="P42105" s="5" t="s">
        <v>355</v>
      </c>
      <c r="Q42105" s="5" t="s">
        <v>355</v>
      </c>
    </row>
    <row r="42106" ht="16.5" customHeight="1">
      <c r="O42106" s="5" t="s">
        <v>355</v>
      </c>
      <c r="P42106" s="5" t="s">
        <v>355</v>
      </c>
      <c r="Q42106" s="5" t="s">
        <v>355</v>
      </c>
    </row>
    <row r="42107" ht="16.5" customHeight="1">
      <c r="O42107" s="5" t="s">
        <v>355</v>
      </c>
      <c r="P42107" s="5" t="s">
        <v>355</v>
      </c>
      <c r="Q42107" s="5" t="s">
        <v>355</v>
      </c>
    </row>
    <row r="42108" ht="16.5" customHeight="1">
      <c r="O42108" s="5" t="s">
        <v>355</v>
      </c>
      <c r="P42108" s="5" t="s">
        <v>355</v>
      </c>
      <c r="Q42108" s="5" t="s">
        <v>355</v>
      </c>
    </row>
    <row r="42109" ht="16.5" customHeight="1">
      <c r="O42109" s="5" t="s">
        <v>355</v>
      </c>
      <c r="P42109" s="5" t="s">
        <v>355</v>
      </c>
      <c r="Q42109" s="5" t="s">
        <v>355</v>
      </c>
    </row>
    <row r="42110" ht="16.5" customHeight="1">
      <c r="O42110" s="5" t="s">
        <v>355</v>
      </c>
      <c r="P42110" s="5" t="s">
        <v>355</v>
      </c>
      <c r="Q42110" s="5" t="s">
        <v>355</v>
      </c>
    </row>
    <row r="42111" ht="16.5" customHeight="1">
      <c r="O42111" s="5" t="s">
        <v>355</v>
      </c>
      <c r="P42111" s="5" t="s">
        <v>355</v>
      </c>
      <c r="Q42111" s="5" t="s">
        <v>355</v>
      </c>
    </row>
    <row r="42112" ht="16.5" customHeight="1">
      <c r="O42112" s="5" t="s">
        <v>355</v>
      </c>
      <c r="P42112" s="5" t="s">
        <v>355</v>
      </c>
      <c r="Q42112" s="5" t="s">
        <v>355</v>
      </c>
    </row>
    <row r="42113" ht="16.5" customHeight="1">
      <c r="O42113" s="5" t="s">
        <v>355</v>
      </c>
      <c r="P42113" s="5" t="s">
        <v>355</v>
      </c>
      <c r="Q42113" s="5" t="s">
        <v>355</v>
      </c>
    </row>
    <row r="42114" ht="16.5" customHeight="1">
      <c r="O42114" s="5" t="s">
        <v>355</v>
      </c>
      <c r="P42114" s="5" t="s">
        <v>355</v>
      </c>
      <c r="Q42114" s="5" t="s">
        <v>355</v>
      </c>
    </row>
    <row r="42115" ht="16.5" customHeight="1">
      <c r="O42115" s="5" t="s">
        <v>355</v>
      </c>
      <c r="P42115" s="5" t="s">
        <v>355</v>
      </c>
      <c r="Q42115" s="5" t="s">
        <v>355</v>
      </c>
    </row>
    <row r="42116" ht="16.5" customHeight="1">
      <c r="O42116" s="5" t="s">
        <v>355</v>
      </c>
      <c r="P42116" s="5" t="s">
        <v>355</v>
      </c>
      <c r="Q42116" s="5" t="s">
        <v>355</v>
      </c>
    </row>
    <row r="42117" ht="16.5" customHeight="1">
      <c r="O42117" s="5" t="s">
        <v>355</v>
      </c>
      <c r="P42117" s="5" t="s">
        <v>355</v>
      </c>
      <c r="Q42117" s="5" t="s">
        <v>355</v>
      </c>
    </row>
    <row r="42118" ht="16.5" customHeight="1">
      <c r="O42118" s="5" t="s">
        <v>355</v>
      </c>
      <c r="P42118" s="5" t="s">
        <v>355</v>
      </c>
      <c r="Q42118" s="5" t="s">
        <v>355</v>
      </c>
    </row>
    <row r="42119" ht="16.5" customHeight="1">
      <c r="O42119" s="5" t="s">
        <v>355</v>
      </c>
      <c r="P42119" s="5" t="s">
        <v>355</v>
      </c>
      <c r="Q42119" s="5" t="s">
        <v>355</v>
      </c>
    </row>
    <row r="42120" ht="16.5" customHeight="1">
      <c r="O42120" s="5" t="s">
        <v>355</v>
      </c>
      <c r="P42120" s="5" t="s">
        <v>355</v>
      </c>
      <c r="Q42120" s="5" t="s">
        <v>355</v>
      </c>
    </row>
    <row r="42121" ht="16.5" customHeight="1">
      <c r="O42121" s="5" t="s">
        <v>355</v>
      </c>
      <c r="P42121" s="5" t="s">
        <v>355</v>
      </c>
      <c r="Q42121" s="5" t="s">
        <v>355</v>
      </c>
    </row>
    <row r="42122" ht="16.5" customHeight="1">
      <c r="O42122" s="5" t="s">
        <v>355</v>
      </c>
      <c r="P42122" s="5" t="s">
        <v>355</v>
      </c>
      <c r="Q42122" s="5" t="s">
        <v>355</v>
      </c>
    </row>
    <row r="42123" ht="16.5" customHeight="1">
      <c r="O42123" s="5" t="s">
        <v>355</v>
      </c>
      <c r="P42123" s="5" t="s">
        <v>355</v>
      </c>
      <c r="Q42123" s="5" t="s">
        <v>355</v>
      </c>
    </row>
    <row r="42124" ht="16.5" customHeight="1">
      <c r="O42124" s="5" t="s">
        <v>355</v>
      </c>
      <c r="P42124" s="5" t="s">
        <v>355</v>
      </c>
      <c r="Q42124" s="5" t="s">
        <v>355</v>
      </c>
    </row>
    <row r="42125" ht="16.5" customHeight="1">
      <c r="O42125" s="5" t="s">
        <v>355</v>
      </c>
      <c r="P42125" s="5" t="s">
        <v>355</v>
      </c>
      <c r="Q42125" s="5" t="s">
        <v>355</v>
      </c>
    </row>
    <row r="42126" ht="16.5" customHeight="1">
      <c r="O42126" s="5" t="s">
        <v>355</v>
      </c>
      <c r="P42126" s="5" t="s">
        <v>355</v>
      </c>
      <c r="Q42126" s="5" t="s">
        <v>355</v>
      </c>
    </row>
    <row r="42127" ht="16.5" customHeight="1">
      <c r="O42127" s="5" t="s">
        <v>355</v>
      </c>
      <c r="P42127" s="5" t="s">
        <v>355</v>
      </c>
      <c r="Q42127" s="5" t="s">
        <v>355</v>
      </c>
    </row>
    <row r="42128" ht="16.5" customHeight="1">
      <c r="O42128" s="5" t="s">
        <v>355</v>
      </c>
      <c r="P42128" s="5" t="s">
        <v>355</v>
      </c>
      <c r="Q42128" s="5" t="s">
        <v>355</v>
      </c>
    </row>
    <row r="42129" ht="16.5" customHeight="1">
      <c r="O42129" s="5" t="s">
        <v>355</v>
      </c>
      <c r="P42129" s="5" t="s">
        <v>355</v>
      </c>
      <c r="Q42129" s="5" t="s">
        <v>355</v>
      </c>
    </row>
    <row r="42130" ht="16.5" customHeight="1">
      <c r="O42130" s="5" t="s">
        <v>355</v>
      </c>
      <c r="P42130" s="5" t="s">
        <v>355</v>
      </c>
      <c r="Q42130" s="5" t="s">
        <v>355</v>
      </c>
    </row>
    <row r="42131" ht="16.5" customHeight="1">
      <c r="O42131" s="5" t="s">
        <v>355</v>
      </c>
      <c r="P42131" s="5" t="s">
        <v>355</v>
      </c>
      <c r="Q42131" s="5" t="s">
        <v>355</v>
      </c>
    </row>
    <row r="42132" ht="16.5" customHeight="1">
      <c r="O42132" s="5" t="s">
        <v>355</v>
      </c>
      <c r="P42132" s="5" t="s">
        <v>355</v>
      </c>
      <c r="Q42132" s="5" t="s">
        <v>355</v>
      </c>
    </row>
    <row r="42133" ht="16.5" customHeight="1">
      <c r="O42133" s="5" t="s">
        <v>355</v>
      </c>
      <c r="P42133" s="5" t="s">
        <v>355</v>
      </c>
      <c r="Q42133" s="5" t="s">
        <v>355</v>
      </c>
    </row>
    <row r="42134" ht="16.5" customHeight="1">
      <c r="O42134" s="5" t="s">
        <v>355</v>
      </c>
      <c r="P42134" s="5" t="s">
        <v>355</v>
      </c>
      <c r="Q42134" s="5" t="s">
        <v>355</v>
      </c>
    </row>
    <row r="42135" ht="16.5" customHeight="1">
      <c r="O42135" s="5" t="s">
        <v>355</v>
      </c>
      <c r="P42135" s="5" t="s">
        <v>355</v>
      </c>
      <c r="Q42135" s="5" t="s">
        <v>355</v>
      </c>
    </row>
    <row r="42136" ht="16.5" customHeight="1">
      <c r="O42136" s="5" t="s">
        <v>355</v>
      </c>
      <c r="P42136" s="5" t="s">
        <v>355</v>
      </c>
      <c r="Q42136" s="5" t="s">
        <v>355</v>
      </c>
    </row>
    <row r="42137" ht="16.5" customHeight="1">
      <c r="O42137" s="5" t="s">
        <v>355</v>
      </c>
      <c r="P42137" s="5" t="s">
        <v>355</v>
      </c>
      <c r="Q42137" s="5" t="s">
        <v>355</v>
      </c>
    </row>
    <row r="42138" ht="16.5" customHeight="1">
      <c r="O42138" s="5" t="s">
        <v>355</v>
      </c>
      <c r="P42138" s="5" t="s">
        <v>355</v>
      </c>
      <c r="Q42138" s="5" t="s">
        <v>355</v>
      </c>
    </row>
    <row r="42139" ht="16.5" customHeight="1">
      <c r="O42139" s="5" t="s">
        <v>355</v>
      </c>
      <c r="P42139" s="5" t="s">
        <v>355</v>
      </c>
      <c r="Q42139" s="5" t="s">
        <v>355</v>
      </c>
    </row>
    <row r="42140" ht="16.5" customHeight="1">
      <c r="O42140" s="5" t="s">
        <v>355</v>
      </c>
      <c r="P42140" s="5" t="s">
        <v>355</v>
      </c>
      <c r="Q42140" s="5" t="s">
        <v>355</v>
      </c>
    </row>
    <row r="42141" ht="16.5" customHeight="1">
      <c r="O42141" s="5" t="s">
        <v>355</v>
      </c>
      <c r="P42141" s="5" t="s">
        <v>355</v>
      </c>
      <c r="Q42141" s="5" t="s">
        <v>355</v>
      </c>
    </row>
    <row r="42142" ht="16.5" customHeight="1">
      <c r="O42142" s="5" t="s">
        <v>355</v>
      </c>
      <c r="P42142" s="5" t="s">
        <v>355</v>
      </c>
      <c r="Q42142" s="5" t="s">
        <v>355</v>
      </c>
    </row>
    <row r="42143" ht="16.5" customHeight="1">
      <c r="O42143" s="5" t="s">
        <v>355</v>
      </c>
      <c r="P42143" s="5" t="s">
        <v>355</v>
      </c>
      <c r="Q42143" s="5" t="s">
        <v>355</v>
      </c>
    </row>
    <row r="42144" ht="16.5" customHeight="1">
      <c r="O42144" s="5" t="s">
        <v>355</v>
      </c>
      <c r="P42144" s="5" t="s">
        <v>355</v>
      </c>
      <c r="Q42144" s="5" t="s">
        <v>355</v>
      </c>
    </row>
    <row r="42145" ht="16.5" customHeight="1">
      <c r="O42145" s="5" t="s">
        <v>355</v>
      </c>
      <c r="P42145" s="5" t="s">
        <v>355</v>
      </c>
      <c r="Q42145" s="5" t="s">
        <v>355</v>
      </c>
    </row>
    <row r="42146" ht="16.5" customHeight="1">
      <c r="O42146" s="5" t="s">
        <v>355</v>
      </c>
      <c r="P42146" s="5" t="s">
        <v>355</v>
      </c>
      <c r="Q42146" s="5" t="s">
        <v>355</v>
      </c>
    </row>
    <row r="42147" ht="16.5" customHeight="1">
      <c r="O42147" s="5" t="s">
        <v>355</v>
      </c>
      <c r="P42147" s="5" t="s">
        <v>355</v>
      </c>
      <c r="Q42147" s="5" t="s">
        <v>355</v>
      </c>
    </row>
    <row r="42148" ht="16.5" customHeight="1">
      <c r="O42148" s="5" t="s">
        <v>355</v>
      </c>
      <c r="P42148" s="5" t="s">
        <v>355</v>
      </c>
      <c r="Q42148" s="5" t="s">
        <v>355</v>
      </c>
    </row>
    <row r="42149" ht="16.5" customHeight="1">
      <c r="O42149" s="5" t="s">
        <v>355</v>
      </c>
      <c r="P42149" s="5" t="s">
        <v>355</v>
      </c>
      <c r="Q42149" s="5" t="s">
        <v>355</v>
      </c>
    </row>
    <row r="42150" ht="16.5" customHeight="1">
      <c r="O42150" s="5" t="s">
        <v>355</v>
      </c>
      <c r="P42150" s="5" t="s">
        <v>355</v>
      </c>
      <c r="Q42150" s="5" t="s">
        <v>355</v>
      </c>
    </row>
    <row r="42151" ht="16.5" customHeight="1">
      <c r="O42151" s="5" t="s">
        <v>355</v>
      </c>
      <c r="P42151" s="5" t="s">
        <v>355</v>
      </c>
      <c r="Q42151" s="5" t="s">
        <v>355</v>
      </c>
    </row>
    <row r="42152" ht="16.5" customHeight="1">
      <c r="O42152" s="5" t="s">
        <v>355</v>
      </c>
      <c r="P42152" s="5" t="s">
        <v>355</v>
      </c>
      <c r="Q42152" s="5" t="s">
        <v>355</v>
      </c>
    </row>
    <row r="42153" ht="16.5" customHeight="1">
      <c r="O42153" s="5" t="s">
        <v>355</v>
      </c>
      <c r="P42153" s="5" t="s">
        <v>355</v>
      </c>
      <c r="Q42153" s="5" t="s">
        <v>355</v>
      </c>
    </row>
    <row r="42154" ht="16.5" customHeight="1">
      <c r="O42154" s="5" t="s">
        <v>355</v>
      </c>
      <c r="P42154" s="5" t="s">
        <v>355</v>
      </c>
      <c r="Q42154" s="5" t="s">
        <v>355</v>
      </c>
    </row>
    <row r="42155" ht="16.5" customHeight="1">
      <c r="O42155" s="5" t="s">
        <v>355</v>
      </c>
      <c r="P42155" s="5" t="s">
        <v>355</v>
      </c>
      <c r="Q42155" s="5" t="s">
        <v>355</v>
      </c>
    </row>
    <row r="42156" ht="16.5" customHeight="1">
      <c r="O42156" s="5" t="s">
        <v>355</v>
      </c>
      <c r="P42156" s="5" t="s">
        <v>355</v>
      </c>
      <c r="Q42156" s="5" t="s">
        <v>355</v>
      </c>
    </row>
    <row r="42157" ht="16.5" customHeight="1">
      <c r="O42157" s="5" t="s">
        <v>355</v>
      </c>
      <c r="P42157" s="5" t="s">
        <v>355</v>
      </c>
      <c r="Q42157" s="5" t="s">
        <v>355</v>
      </c>
    </row>
    <row r="42158" ht="16.5" customHeight="1">
      <c r="O42158" s="5" t="s">
        <v>355</v>
      </c>
      <c r="P42158" s="5" t="s">
        <v>355</v>
      </c>
      <c r="Q42158" s="5" t="s">
        <v>355</v>
      </c>
    </row>
    <row r="42159" ht="16.5" customHeight="1">
      <c r="O42159" s="5" t="s">
        <v>355</v>
      </c>
      <c r="P42159" s="5" t="s">
        <v>355</v>
      </c>
      <c r="Q42159" s="5" t="s">
        <v>355</v>
      </c>
    </row>
    <row r="42160" ht="16.5" customHeight="1">
      <c r="O42160" s="5" t="s">
        <v>355</v>
      </c>
      <c r="P42160" s="5" t="s">
        <v>355</v>
      </c>
      <c r="Q42160" s="5" t="s">
        <v>355</v>
      </c>
    </row>
    <row r="42161" ht="16.5" customHeight="1">
      <c r="O42161" s="5" t="s">
        <v>355</v>
      </c>
      <c r="P42161" s="5" t="s">
        <v>355</v>
      </c>
      <c r="Q42161" s="5" t="s">
        <v>355</v>
      </c>
    </row>
    <row r="42162" ht="16.5" customHeight="1">
      <c r="O42162" s="5" t="s">
        <v>355</v>
      </c>
      <c r="P42162" s="5" t="s">
        <v>355</v>
      </c>
      <c r="Q42162" s="5" t="s">
        <v>355</v>
      </c>
    </row>
    <row r="42163" ht="16.5" customHeight="1">
      <c r="O42163" s="5" t="s">
        <v>355</v>
      </c>
      <c r="P42163" s="5" t="s">
        <v>355</v>
      </c>
      <c r="Q42163" s="5" t="s">
        <v>355</v>
      </c>
    </row>
    <row r="42164" ht="16.5" customHeight="1">
      <c r="O42164" s="5" t="s">
        <v>355</v>
      </c>
      <c r="P42164" s="5" t="s">
        <v>355</v>
      </c>
      <c r="Q42164" s="5" t="s">
        <v>355</v>
      </c>
    </row>
    <row r="42165" ht="16.5" customHeight="1">
      <c r="O42165" s="5" t="s">
        <v>355</v>
      </c>
      <c r="P42165" s="5" t="s">
        <v>355</v>
      </c>
      <c r="Q42165" s="5" t="s">
        <v>355</v>
      </c>
    </row>
    <row r="42166" ht="16.5" customHeight="1">
      <c r="O42166" s="5" t="s">
        <v>355</v>
      </c>
      <c r="P42166" s="5" t="s">
        <v>355</v>
      </c>
      <c r="Q42166" s="5" t="s">
        <v>355</v>
      </c>
    </row>
    <row r="42167" ht="16.5" customHeight="1">
      <c r="O42167" s="5" t="s">
        <v>355</v>
      </c>
      <c r="P42167" s="5" t="s">
        <v>355</v>
      </c>
      <c r="Q42167" s="5" t="s">
        <v>355</v>
      </c>
    </row>
    <row r="42168" ht="16.5" customHeight="1">
      <c r="O42168" s="5" t="s">
        <v>355</v>
      </c>
      <c r="P42168" s="5" t="s">
        <v>355</v>
      </c>
      <c r="Q42168" s="5" t="s">
        <v>355</v>
      </c>
    </row>
    <row r="42169" ht="16.5" customHeight="1">
      <c r="O42169" s="5" t="s">
        <v>355</v>
      </c>
      <c r="P42169" s="5" t="s">
        <v>355</v>
      </c>
      <c r="Q42169" s="5" t="s">
        <v>355</v>
      </c>
    </row>
    <row r="42170" ht="16.5" customHeight="1">
      <c r="O42170" s="5" t="s">
        <v>355</v>
      </c>
      <c r="P42170" s="5" t="s">
        <v>355</v>
      </c>
      <c r="Q42170" s="5" t="s">
        <v>355</v>
      </c>
    </row>
    <row r="42171" ht="16.5" customHeight="1">
      <c r="O42171" s="5" t="s">
        <v>355</v>
      </c>
      <c r="P42171" s="5" t="s">
        <v>355</v>
      </c>
      <c r="Q42171" s="5" t="s">
        <v>355</v>
      </c>
    </row>
    <row r="42172" ht="16.5" customHeight="1">
      <c r="O42172" s="5" t="s">
        <v>355</v>
      </c>
      <c r="P42172" s="5" t="s">
        <v>355</v>
      </c>
      <c r="Q42172" s="5" t="s">
        <v>355</v>
      </c>
    </row>
    <row r="42173" ht="16.5" customHeight="1">
      <c r="O42173" s="5" t="s">
        <v>355</v>
      </c>
      <c r="P42173" s="5" t="s">
        <v>355</v>
      </c>
      <c r="Q42173" s="5" t="s">
        <v>355</v>
      </c>
    </row>
    <row r="42174" ht="16.5" customHeight="1">
      <c r="O42174" s="5" t="s">
        <v>355</v>
      </c>
      <c r="P42174" s="5" t="s">
        <v>355</v>
      </c>
      <c r="Q42174" s="5" t="s">
        <v>355</v>
      </c>
    </row>
    <row r="42175" ht="16.5" customHeight="1">
      <c r="O42175" s="5" t="s">
        <v>355</v>
      </c>
      <c r="P42175" s="5" t="s">
        <v>355</v>
      </c>
      <c r="Q42175" s="5" t="s">
        <v>355</v>
      </c>
    </row>
    <row r="42176" ht="16.5" customHeight="1">
      <c r="O42176" s="5" t="s">
        <v>355</v>
      </c>
      <c r="P42176" s="5" t="s">
        <v>355</v>
      </c>
      <c r="Q42176" s="5" t="s">
        <v>355</v>
      </c>
    </row>
    <row r="42177" ht="16.5" customHeight="1">
      <c r="O42177" s="5" t="s">
        <v>355</v>
      </c>
      <c r="P42177" s="5" t="s">
        <v>355</v>
      </c>
      <c r="Q42177" s="5" t="s">
        <v>355</v>
      </c>
    </row>
    <row r="42178" ht="16.5" customHeight="1">
      <c r="O42178" s="5" t="s">
        <v>355</v>
      </c>
      <c r="P42178" s="5" t="s">
        <v>355</v>
      </c>
      <c r="Q42178" s="5" t="s">
        <v>355</v>
      </c>
    </row>
    <row r="42179" ht="16.5" customHeight="1">
      <c r="O42179" s="5" t="s">
        <v>355</v>
      </c>
      <c r="P42179" s="5" t="s">
        <v>355</v>
      </c>
      <c r="Q42179" s="5" t="s">
        <v>355</v>
      </c>
    </row>
    <row r="42180" ht="16.5" customHeight="1">
      <c r="O42180" s="5" t="s">
        <v>355</v>
      </c>
      <c r="P42180" s="5" t="s">
        <v>355</v>
      </c>
      <c r="Q42180" s="5" t="s">
        <v>355</v>
      </c>
    </row>
    <row r="42181" ht="16.5" customHeight="1">
      <c r="O42181" s="5" t="s">
        <v>355</v>
      </c>
      <c r="P42181" s="5" t="s">
        <v>355</v>
      </c>
      <c r="Q42181" s="5" t="s">
        <v>355</v>
      </c>
    </row>
    <row r="42182" ht="16.5" customHeight="1">
      <c r="O42182" s="5" t="s">
        <v>355</v>
      </c>
      <c r="P42182" s="5" t="s">
        <v>355</v>
      </c>
      <c r="Q42182" s="5" t="s">
        <v>355</v>
      </c>
    </row>
    <row r="42183" ht="16.5" customHeight="1">
      <c r="O42183" s="5" t="s">
        <v>355</v>
      </c>
      <c r="P42183" s="5" t="s">
        <v>355</v>
      </c>
      <c r="Q42183" s="5" t="s">
        <v>355</v>
      </c>
    </row>
    <row r="42184" ht="16.5" customHeight="1">
      <c r="O42184" s="5" t="s">
        <v>355</v>
      </c>
      <c r="P42184" s="5" t="s">
        <v>355</v>
      </c>
      <c r="Q42184" s="5" t="s">
        <v>355</v>
      </c>
    </row>
    <row r="42185" ht="16.5" customHeight="1">
      <c r="O42185" s="5" t="s">
        <v>355</v>
      </c>
      <c r="P42185" s="5" t="s">
        <v>355</v>
      </c>
      <c r="Q42185" s="5" t="s">
        <v>355</v>
      </c>
    </row>
    <row r="42186" ht="16.5" customHeight="1">
      <c r="O42186" s="5" t="s">
        <v>355</v>
      </c>
      <c r="P42186" s="5" t="s">
        <v>355</v>
      </c>
      <c r="Q42186" s="5" t="s">
        <v>355</v>
      </c>
    </row>
    <row r="42187" ht="16.5" customHeight="1">
      <c r="O42187" s="5" t="s">
        <v>355</v>
      </c>
      <c r="P42187" s="5" t="s">
        <v>355</v>
      </c>
      <c r="Q42187" s="5" t="s">
        <v>355</v>
      </c>
    </row>
    <row r="42188" ht="16.5" customHeight="1">
      <c r="O42188" s="5" t="s">
        <v>355</v>
      </c>
      <c r="P42188" s="5" t="s">
        <v>355</v>
      </c>
      <c r="Q42188" s="5" t="s">
        <v>355</v>
      </c>
    </row>
    <row r="42189" ht="16.5" customHeight="1">
      <c r="O42189" s="5" t="s">
        <v>355</v>
      </c>
      <c r="P42189" s="5" t="s">
        <v>355</v>
      </c>
      <c r="Q42189" s="5" t="s">
        <v>355</v>
      </c>
    </row>
    <row r="42190" ht="16.5" customHeight="1">
      <c r="O42190" s="5" t="s">
        <v>355</v>
      </c>
      <c r="P42190" s="5" t="s">
        <v>355</v>
      </c>
      <c r="Q42190" s="5" t="s">
        <v>355</v>
      </c>
    </row>
    <row r="42191" ht="16.5" customHeight="1">
      <c r="O42191" s="5" t="s">
        <v>355</v>
      </c>
      <c r="P42191" s="5" t="s">
        <v>355</v>
      </c>
      <c r="Q42191" s="5" t="s">
        <v>355</v>
      </c>
    </row>
    <row r="42192" ht="16.5" customHeight="1">
      <c r="O42192" s="5" t="s">
        <v>355</v>
      </c>
      <c r="P42192" s="5" t="s">
        <v>355</v>
      </c>
      <c r="Q42192" s="5" t="s">
        <v>355</v>
      </c>
    </row>
    <row r="42193" ht="16.5" customHeight="1">
      <c r="O42193" s="5" t="s">
        <v>355</v>
      </c>
      <c r="P42193" s="5" t="s">
        <v>355</v>
      </c>
      <c r="Q42193" s="5" t="s">
        <v>355</v>
      </c>
    </row>
    <row r="42194" ht="16.5" customHeight="1">
      <c r="O42194" s="5" t="s">
        <v>355</v>
      </c>
      <c r="P42194" s="5" t="s">
        <v>355</v>
      </c>
      <c r="Q42194" s="5" t="s">
        <v>355</v>
      </c>
    </row>
    <row r="42195" ht="16.5" customHeight="1">
      <c r="O42195" s="5" t="s">
        <v>355</v>
      </c>
      <c r="P42195" s="5" t="s">
        <v>355</v>
      </c>
      <c r="Q42195" s="5" t="s">
        <v>355</v>
      </c>
    </row>
    <row r="42196" ht="16.5" customHeight="1">
      <c r="O42196" s="5" t="s">
        <v>355</v>
      </c>
      <c r="P42196" s="5" t="s">
        <v>355</v>
      </c>
      <c r="Q42196" s="5" t="s">
        <v>355</v>
      </c>
    </row>
    <row r="42197" ht="16.5" customHeight="1">
      <c r="O42197" s="5" t="s">
        <v>355</v>
      </c>
      <c r="P42197" s="5" t="s">
        <v>355</v>
      </c>
      <c r="Q42197" s="5" t="s">
        <v>355</v>
      </c>
    </row>
    <row r="42198" ht="16.5" customHeight="1">
      <c r="O42198" s="5" t="s">
        <v>355</v>
      </c>
      <c r="P42198" s="5" t="s">
        <v>355</v>
      </c>
      <c r="Q42198" s="5" t="s">
        <v>355</v>
      </c>
    </row>
    <row r="42199" ht="16.5" customHeight="1">
      <c r="O42199" s="5" t="s">
        <v>355</v>
      </c>
      <c r="P42199" s="5" t="s">
        <v>355</v>
      </c>
      <c r="Q42199" s="5" t="s">
        <v>355</v>
      </c>
    </row>
    <row r="42200" ht="16.5" customHeight="1">
      <c r="O42200" s="5" t="s">
        <v>355</v>
      </c>
      <c r="P42200" s="5" t="s">
        <v>355</v>
      </c>
      <c r="Q42200" s="5" t="s">
        <v>355</v>
      </c>
    </row>
    <row r="42201" ht="16.5" customHeight="1">
      <c r="O42201" s="5" t="s">
        <v>355</v>
      </c>
      <c r="P42201" s="5" t="s">
        <v>355</v>
      </c>
      <c r="Q42201" s="5" t="s">
        <v>355</v>
      </c>
    </row>
    <row r="42202" ht="16.5" customHeight="1">
      <c r="O42202" s="5" t="s">
        <v>355</v>
      </c>
      <c r="P42202" s="5" t="s">
        <v>355</v>
      </c>
      <c r="Q42202" s="5" t="s">
        <v>355</v>
      </c>
    </row>
    <row r="42203" ht="16.5" customHeight="1">
      <c r="O42203" s="5" t="s">
        <v>355</v>
      </c>
      <c r="P42203" s="5" t="s">
        <v>355</v>
      </c>
      <c r="Q42203" s="5" t="s">
        <v>355</v>
      </c>
    </row>
    <row r="42204" ht="16.5" customHeight="1">
      <c r="O42204" s="5" t="s">
        <v>355</v>
      </c>
      <c r="P42204" s="5" t="s">
        <v>355</v>
      </c>
      <c r="Q42204" s="5" t="s">
        <v>355</v>
      </c>
    </row>
    <row r="42205" ht="16.5" customHeight="1">
      <c r="O42205" s="5" t="s">
        <v>355</v>
      </c>
      <c r="P42205" s="5" t="s">
        <v>355</v>
      </c>
      <c r="Q42205" s="5" t="s">
        <v>355</v>
      </c>
    </row>
    <row r="42206" ht="16.5" customHeight="1">
      <c r="O42206" s="5" t="s">
        <v>355</v>
      </c>
      <c r="P42206" s="5" t="s">
        <v>355</v>
      </c>
      <c r="Q42206" s="5" t="s">
        <v>355</v>
      </c>
    </row>
    <row r="42207" ht="16.5" customHeight="1">
      <c r="O42207" s="5" t="s">
        <v>355</v>
      </c>
      <c r="P42207" s="5" t="s">
        <v>355</v>
      </c>
      <c r="Q42207" s="5" t="s">
        <v>355</v>
      </c>
    </row>
    <row r="42208" ht="16.5" customHeight="1">
      <c r="O42208" s="5" t="s">
        <v>355</v>
      </c>
      <c r="P42208" s="5" t="s">
        <v>355</v>
      </c>
      <c r="Q42208" s="5" t="s">
        <v>355</v>
      </c>
    </row>
    <row r="42209" ht="16.5" customHeight="1">
      <c r="O42209" s="5" t="s">
        <v>355</v>
      </c>
      <c r="P42209" s="5" t="s">
        <v>355</v>
      </c>
      <c r="Q42209" s="5" t="s">
        <v>355</v>
      </c>
    </row>
    <row r="42210" ht="16.5" customHeight="1">
      <c r="O42210" s="5" t="s">
        <v>355</v>
      </c>
      <c r="P42210" s="5" t="s">
        <v>355</v>
      </c>
      <c r="Q42210" s="5" t="s">
        <v>355</v>
      </c>
    </row>
    <row r="42211" ht="16.5" customHeight="1">
      <c r="O42211" s="5" t="s">
        <v>355</v>
      </c>
      <c r="P42211" s="5" t="s">
        <v>355</v>
      </c>
      <c r="Q42211" s="5" t="s">
        <v>355</v>
      </c>
    </row>
    <row r="42212" ht="16.5" customHeight="1">
      <c r="O42212" s="5" t="s">
        <v>355</v>
      </c>
      <c r="P42212" s="5" t="s">
        <v>355</v>
      </c>
      <c r="Q42212" s="5" t="s">
        <v>355</v>
      </c>
    </row>
    <row r="42213" ht="16.5" customHeight="1">
      <c r="O42213" s="5" t="s">
        <v>355</v>
      </c>
      <c r="P42213" s="5" t="s">
        <v>355</v>
      </c>
      <c r="Q42213" s="5" t="s">
        <v>355</v>
      </c>
    </row>
    <row r="42214" ht="16.5" customHeight="1">
      <c r="O42214" s="5" t="s">
        <v>355</v>
      </c>
      <c r="P42214" s="5" t="s">
        <v>355</v>
      </c>
      <c r="Q42214" s="5" t="s">
        <v>355</v>
      </c>
    </row>
    <row r="42215" ht="16.5" customHeight="1">
      <c r="O42215" s="5" t="s">
        <v>355</v>
      </c>
      <c r="P42215" s="5" t="s">
        <v>355</v>
      </c>
      <c r="Q42215" s="5" t="s">
        <v>355</v>
      </c>
    </row>
    <row r="42216" ht="16.5" customHeight="1">
      <c r="O42216" s="5" t="s">
        <v>355</v>
      </c>
      <c r="P42216" s="5" t="s">
        <v>355</v>
      </c>
      <c r="Q42216" s="5" t="s">
        <v>355</v>
      </c>
    </row>
    <row r="42217" ht="16.5" customHeight="1">
      <c r="O42217" s="5" t="s">
        <v>355</v>
      </c>
      <c r="P42217" s="5" t="s">
        <v>355</v>
      </c>
      <c r="Q42217" s="5" t="s">
        <v>355</v>
      </c>
    </row>
    <row r="42218" ht="16.5" customHeight="1">
      <c r="O42218" s="5" t="s">
        <v>355</v>
      </c>
      <c r="P42218" s="5" t="s">
        <v>355</v>
      </c>
      <c r="Q42218" s="5" t="s">
        <v>355</v>
      </c>
    </row>
    <row r="42219" ht="16.5" customHeight="1">
      <c r="O42219" s="5" t="s">
        <v>355</v>
      </c>
      <c r="P42219" s="5" t="s">
        <v>355</v>
      </c>
      <c r="Q42219" s="5" t="s">
        <v>355</v>
      </c>
    </row>
    <row r="42220" ht="16.5" customHeight="1">
      <c r="O42220" s="5" t="s">
        <v>355</v>
      </c>
      <c r="P42220" s="5" t="s">
        <v>355</v>
      </c>
      <c r="Q42220" s="5" t="s">
        <v>355</v>
      </c>
    </row>
    <row r="42221" ht="16.5" customHeight="1">
      <c r="O42221" s="5" t="s">
        <v>355</v>
      </c>
      <c r="P42221" s="5" t="s">
        <v>355</v>
      </c>
      <c r="Q42221" s="5" t="s">
        <v>355</v>
      </c>
    </row>
    <row r="42222" ht="16.5" customHeight="1">
      <c r="O42222" s="5" t="s">
        <v>355</v>
      </c>
      <c r="P42222" s="5" t="s">
        <v>355</v>
      </c>
      <c r="Q42222" s="5" t="s">
        <v>355</v>
      </c>
    </row>
    <row r="42223" ht="16.5" customHeight="1">
      <c r="O42223" s="5" t="s">
        <v>355</v>
      </c>
      <c r="P42223" s="5" t="s">
        <v>355</v>
      </c>
      <c r="Q42223" s="5" t="s">
        <v>355</v>
      </c>
    </row>
    <row r="42224" ht="16.5" customHeight="1">
      <c r="O42224" s="5" t="s">
        <v>355</v>
      </c>
      <c r="P42224" s="5" t="s">
        <v>355</v>
      </c>
      <c r="Q42224" s="5" t="s">
        <v>355</v>
      </c>
    </row>
    <row r="42225" ht="16.5" customHeight="1">
      <c r="O42225" s="5" t="s">
        <v>355</v>
      </c>
      <c r="P42225" s="5" t="s">
        <v>355</v>
      </c>
      <c r="Q42225" s="5" t="s">
        <v>355</v>
      </c>
    </row>
    <row r="42226" ht="16.5" customHeight="1">
      <c r="O42226" s="5" t="s">
        <v>355</v>
      </c>
      <c r="P42226" s="5" t="s">
        <v>355</v>
      </c>
      <c r="Q42226" s="5" t="s">
        <v>355</v>
      </c>
    </row>
    <row r="42227" ht="16.5" customHeight="1">
      <c r="O42227" s="5" t="s">
        <v>355</v>
      </c>
      <c r="P42227" s="5" t="s">
        <v>355</v>
      </c>
      <c r="Q42227" s="5" t="s">
        <v>355</v>
      </c>
    </row>
    <row r="42228" ht="16.5" customHeight="1">
      <c r="O42228" s="5" t="s">
        <v>355</v>
      </c>
      <c r="P42228" s="5" t="s">
        <v>355</v>
      </c>
      <c r="Q42228" s="5" t="s">
        <v>355</v>
      </c>
    </row>
    <row r="42229" ht="16.5" customHeight="1">
      <c r="O42229" s="5" t="s">
        <v>355</v>
      </c>
      <c r="P42229" s="5" t="s">
        <v>355</v>
      </c>
      <c r="Q42229" s="5" t="s">
        <v>355</v>
      </c>
    </row>
    <row r="42230" ht="16.5" customHeight="1">
      <c r="O42230" s="5" t="s">
        <v>355</v>
      </c>
      <c r="P42230" s="5" t="s">
        <v>355</v>
      </c>
      <c r="Q42230" s="5" t="s">
        <v>355</v>
      </c>
    </row>
    <row r="42231" ht="16.5" customHeight="1">
      <c r="O42231" s="5" t="s">
        <v>355</v>
      </c>
      <c r="P42231" s="5" t="s">
        <v>355</v>
      </c>
      <c r="Q42231" s="5" t="s">
        <v>355</v>
      </c>
    </row>
    <row r="42232" ht="16.5" customHeight="1">
      <c r="O42232" s="5" t="s">
        <v>355</v>
      </c>
      <c r="P42232" s="5" t="s">
        <v>355</v>
      </c>
      <c r="Q42232" s="5" t="s">
        <v>355</v>
      </c>
    </row>
    <row r="42233" ht="16.5" customHeight="1">
      <c r="O42233" s="5" t="s">
        <v>355</v>
      </c>
      <c r="P42233" s="5" t="s">
        <v>355</v>
      </c>
      <c r="Q42233" s="5" t="s">
        <v>355</v>
      </c>
    </row>
    <row r="42234" ht="16.5" customHeight="1">
      <c r="O42234" s="5" t="s">
        <v>355</v>
      </c>
      <c r="P42234" s="5" t="s">
        <v>355</v>
      </c>
      <c r="Q42234" s="5" t="s">
        <v>355</v>
      </c>
    </row>
    <row r="42235" ht="16.5" customHeight="1">
      <c r="O42235" s="5" t="s">
        <v>355</v>
      </c>
      <c r="P42235" s="5" t="s">
        <v>355</v>
      </c>
      <c r="Q42235" s="5" t="s">
        <v>355</v>
      </c>
    </row>
    <row r="42236" ht="16.5" customHeight="1">
      <c r="O42236" s="5" t="s">
        <v>355</v>
      </c>
      <c r="P42236" s="5" t="s">
        <v>355</v>
      </c>
      <c r="Q42236" s="5" t="s">
        <v>355</v>
      </c>
    </row>
    <row r="42237" ht="16.5" customHeight="1">
      <c r="O42237" s="5" t="s">
        <v>355</v>
      </c>
      <c r="P42237" s="5" t="s">
        <v>355</v>
      </c>
      <c r="Q42237" s="5" t="s">
        <v>355</v>
      </c>
    </row>
    <row r="42238" ht="16.5" customHeight="1">
      <c r="O42238" s="5" t="s">
        <v>355</v>
      </c>
      <c r="P42238" s="5" t="s">
        <v>355</v>
      </c>
      <c r="Q42238" s="5" t="s">
        <v>355</v>
      </c>
    </row>
    <row r="42239" ht="16.5" customHeight="1">
      <c r="O42239" s="5" t="s">
        <v>355</v>
      </c>
      <c r="P42239" s="5" t="s">
        <v>355</v>
      </c>
      <c r="Q42239" s="5" t="s">
        <v>355</v>
      </c>
    </row>
    <row r="42240" ht="16.5" customHeight="1">
      <c r="O42240" s="5" t="s">
        <v>355</v>
      </c>
      <c r="P42240" s="5" t="s">
        <v>355</v>
      </c>
      <c r="Q42240" s="5" t="s">
        <v>355</v>
      </c>
    </row>
    <row r="42241" ht="16.5" customHeight="1">
      <c r="O42241" s="5" t="s">
        <v>355</v>
      </c>
      <c r="P42241" s="5" t="s">
        <v>355</v>
      </c>
      <c r="Q42241" s="5" t="s">
        <v>355</v>
      </c>
    </row>
    <row r="42242" ht="16.5" customHeight="1">
      <c r="O42242" s="5" t="s">
        <v>355</v>
      </c>
      <c r="P42242" s="5" t="s">
        <v>355</v>
      </c>
      <c r="Q42242" s="5" t="s">
        <v>355</v>
      </c>
    </row>
    <row r="42243" ht="16.5" customHeight="1">
      <c r="O42243" s="5" t="s">
        <v>355</v>
      </c>
      <c r="P42243" s="5" t="s">
        <v>355</v>
      </c>
      <c r="Q42243" s="5" t="s">
        <v>355</v>
      </c>
    </row>
    <row r="42244" ht="16.5" customHeight="1">
      <c r="O42244" s="5" t="s">
        <v>355</v>
      </c>
      <c r="P42244" s="5" t="s">
        <v>355</v>
      </c>
      <c r="Q42244" s="5" t="s">
        <v>355</v>
      </c>
    </row>
    <row r="42245" ht="16.5" customHeight="1">
      <c r="O42245" s="5" t="s">
        <v>355</v>
      </c>
      <c r="P42245" s="5" t="s">
        <v>355</v>
      </c>
      <c r="Q42245" s="5" t="s">
        <v>355</v>
      </c>
    </row>
    <row r="42246" ht="16.5" customHeight="1">
      <c r="O42246" s="5" t="s">
        <v>355</v>
      </c>
      <c r="P42246" s="5" t="s">
        <v>355</v>
      </c>
      <c r="Q42246" s="5" t="s">
        <v>355</v>
      </c>
    </row>
    <row r="42247" ht="16.5" customHeight="1">
      <c r="O42247" s="5" t="s">
        <v>355</v>
      </c>
      <c r="P42247" s="5" t="s">
        <v>355</v>
      </c>
      <c r="Q42247" s="5" t="s">
        <v>355</v>
      </c>
    </row>
    <row r="42248" ht="16.5" customHeight="1">
      <c r="O42248" s="5" t="s">
        <v>355</v>
      </c>
      <c r="P42248" s="5" t="s">
        <v>355</v>
      </c>
      <c r="Q42248" s="5" t="s">
        <v>355</v>
      </c>
    </row>
    <row r="42249" ht="16.5" customHeight="1">
      <c r="O42249" s="5" t="s">
        <v>355</v>
      </c>
      <c r="P42249" s="5" t="s">
        <v>355</v>
      </c>
      <c r="Q42249" s="5" t="s">
        <v>355</v>
      </c>
    </row>
    <row r="42250" ht="16.5" customHeight="1">
      <c r="O42250" s="5" t="s">
        <v>355</v>
      </c>
      <c r="P42250" s="5" t="s">
        <v>355</v>
      </c>
      <c r="Q42250" s="5" t="s">
        <v>355</v>
      </c>
    </row>
    <row r="42251" ht="16.5" customHeight="1">
      <c r="O42251" s="5" t="s">
        <v>355</v>
      </c>
      <c r="P42251" s="5" t="s">
        <v>355</v>
      </c>
      <c r="Q42251" s="5" t="s">
        <v>355</v>
      </c>
    </row>
    <row r="42252" ht="16.5" customHeight="1">
      <c r="O42252" s="5" t="s">
        <v>355</v>
      </c>
      <c r="P42252" s="5" t="s">
        <v>355</v>
      </c>
      <c r="Q42252" s="5" t="s">
        <v>355</v>
      </c>
    </row>
    <row r="42253" ht="16.5" customHeight="1">
      <c r="O42253" s="5" t="s">
        <v>355</v>
      </c>
      <c r="P42253" s="5" t="s">
        <v>355</v>
      </c>
      <c r="Q42253" s="5" t="s">
        <v>355</v>
      </c>
    </row>
    <row r="42254" ht="16.5" customHeight="1">
      <c r="O42254" s="5" t="s">
        <v>355</v>
      </c>
      <c r="P42254" s="5" t="s">
        <v>355</v>
      </c>
      <c r="Q42254" s="5" t="s">
        <v>355</v>
      </c>
    </row>
    <row r="42255" ht="16.5" customHeight="1">
      <c r="O42255" s="5" t="s">
        <v>355</v>
      </c>
      <c r="P42255" s="5" t="s">
        <v>355</v>
      </c>
      <c r="Q42255" s="5" t="s">
        <v>355</v>
      </c>
    </row>
    <row r="42256" ht="16.5" customHeight="1">
      <c r="O42256" s="5" t="s">
        <v>355</v>
      </c>
      <c r="P42256" s="5" t="s">
        <v>355</v>
      </c>
      <c r="Q42256" s="5" t="s">
        <v>355</v>
      </c>
    </row>
    <row r="42257" ht="16.5" customHeight="1">
      <c r="O42257" s="5" t="s">
        <v>355</v>
      </c>
      <c r="P42257" s="5" t="s">
        <v>355</v>
      </c>
      <c r="Q42257" s="5" t="s">
        <v>355</v>
      </c>
    </row>
    <row r="42258" ht="16.5" customHeight="1">
      <c r="O42258" s="5" t="s">
        <v>355</v>
      </c>
      <c r="P42258" s="5" t="s">
        <v>355</v>
      </c>
      <c r="Q42258" s="5" t="s">
        <v>355</v>
      </c>
    </row>
    <row r="42259" ht="16.5" customHeight="1">
      <c r="O42259" s="5" t="s">
        <v>355</v>
      </c>
      <c r="P42259" s="5" t="s">
        <v>355</v>
      </c>
      <c r="Q42259" s="5" t="s">
        <v>355</v>
      </c>
    </row>
    <row r="42260" ht="16.5" customHeight="1">
      <c r="O42260" s="5" t="s">
        <v>355</v>
      </c>
      <c r="P42260" s="5" t="s">
        <v>355</v>
      </c>
      <c r="Q42260" s="5" t="s">
        <v>355</v>
      </c>
    </row>
    <row r="42261" ht="16.5" customHeight="1">
      <c r="O42261" s="5" t="s">
        <v>355</v>
      </c>
      <c r="P42261" s="5" t="s">
        <v>355</v>
      </c>
      <c r="Q42261" s="5" t="s">
        <v>355</v>
      </c>
    </row>
    <row r="42262" ht="16.5" customHeight="1">
      <c r="O42262" s="5" t="s">
        <v>355</v>
      </c>
      <c r="P42262" s="5" t="s">
        <v>355</v>
      </c>
      <c r="Q42262" s="5" t="s">
        <v>355</v>
      </c>
    </row>
    <row r="42263" ht="16.5" customHeight="1">
      <c r="O42263" s="5" t="s">
        <v>355</v>
      </c>
      <c r="P42263" s="5" t="s">
        <v>355</v>
      </c>
      <c r="Q42263" s="5" t="s">
        <v>355</v>
      </c>
    </row>
    <row r="42264" ht="16.5" customHeight="1">
      <c r="O42264" s="5" t="s">
        <v>355</v>
      </c>
      <c r="P42264" s="5" t="s">
        <v>355</v>
      </c>
      <c r="Q42264" s="5" t="s">
        <v>355</v>
      </c>
    </row>
    <row r="42265" ht="16.5" customHeight="1">
      <c r="O42265" s="5" t="s">
        <v>355</v>
      </c>
      <c r="P42265" s="5" t="s">
        <v>355</v>
      </c>
      <c r="Q42265" s="5" t="s">
        <v>355</v>
      </c>
    </row>
    <row r="42266" ht="16.5" customHeight="1">
      <c r="O42266" s="5" t="s">
        <v>355</v>
      </c>
      <c r="P42266" s="5" t="s">
        <v>355</v>
      </c>
      <c r="Q42266" s="5" t="s">
        <v>355</v>
      </c>
    </row>
    <row r="42267" ht="16.5" customHeight="1">
      <c r="O42267" s="5" t="s">
        <v>355</v>
      </c>
      <c r="P42267" s="5" t="s">
        <v>355</v>
      </c>
      <c r="Q42267" s="5" t="s">
        <v>355</v>
      </c>
    </row>
    <row r="42268" ht="16.5" customHeight="1">
      <c r="O42268" s="5" t="s">
        <v>355</v>
      </c>
      <c r="P42268" s="5" t="s">
        <v>355</v>
      </c>
      <c r="Q42268" s="5" t="s">
        <v>355</v>
      </c>
    </row>
    <row r="42269" ht="16.5" customHeight="1">
      <c r="O42269" s="5" t="s">
        <v>355</v>
      </c>
      <c r="P42269" s="5" t="s">
        <v>355</v>
      </c>
      <c r="Q42269" s="5" t="s">
        <v>355</v>
      </c>
    </row>
    <row r="42270" ht="16.5" customHeight="1">
      <c r="O42270" s="5" t="s">
        <v>355</v>
      </c>
      <c r="P42270" s="5" t="s">
        <v>355</v>
      </c>
      <c r="Q42270" s="5" t="s">
        <v>355</v>
      </c>
    </row>
    <row r="42271" ht="16.5" customHeight="1">
      <c r="O42271" s="5" t="s">
        <v>355</v>
      </c>
      <c r="P42271" s="5" t="s">
        <v>355</v>
      </c>
      <c r="Q42271" s="5" t="s">
        <v>355</v>
      </c>
    </row>
    <row r="42272" ht="16.5" customHeight="1">
      <c r="O42272" s="5" t="s">
        <v>355</v>
      </c>
      <c r="P42272" s="5" t="s">
        <v>355</v>
      </c>
      <c r="Q42272" s="5" t="s">
        <v>355</v>
      </c>
    </row>
    <row r="42273" ht="16.5" customHeight="1">
      <c r="O42273" s="5" t="s">
        <v>355</v>
      </c>
      <c r="P42273" s="5" t="s">
        <v>355</v>
      </c>
      <c r="Q42273" s="5" t="s">
        <v>355</v>
      </c>
    </row>
    <row r="42274" ht="16.5" customHeight="1">
      <c r="O42274" s="5" t="s">
        <v>355</v>
      </c>
      <c r="P42274" s="5" t="s">
        <v>355</v>
      </c>
      <c r="Q42274" s="5" t="s">
        <v>355</v>
      </c>
    </row>
    <row r="42275" ht="16.5" customHeight="1">
      <c r="O42275" s="5" t="s">
        <v>355</v>
      </c>
      <c r="P42275" s="5" t="s">
        <v>355</v>
      </c>
      <c r="Q42275" s="5" t="s">
        <v>355</v>
      </c>
    </row>
    <row r="42276" ht="16.5" customHeight="1">
      <c r="O42276" s="5" t="s">
        <v>355</v>
      </c>
      <c r="P42276" s="5" t="s">
        <v>355</v>
      </c>
      <c r="Q42276" s="5" t="s">
        <v>355</v>
      </c>
    </row>
    <row r="42277" ht="16.5" customHeight="1">
      <c r="O42277" s="5" t="s">
        <v>355</v>
      </c>
      <c r="P42277" s="5" t="s">
        <v>355</v>
      </c>
      <c r="Q42277" s="5" t="s">
        <v>355</v>
      </c>
    </row>
    <row r="42278" ht="16.5" customHeight="1">
      <c r="O42278" s="5" t="s">
        <v>355</v>
      </c>
      <c r="P42278" s="5" t="s">
        <v>355</v>
      </c>
      <c r="Q42278" s="5" t="s">
        <v>355</v>
      </c>
    </row>
    <row r="42279" ht="16.5" customHeight="1">
      <c r="O42279" s="5" t="s">
        <v>355</v>
      </c>
      <c r="P42279" s="5" t="s">
        <v>355</v>
      </c>
      <c r="Q42279" s="5" t="s">
        <v>355</v>
      </c>
    </row>
    <row r="42280" ht="16.5" customHeight="1">
      <c r="O42280" s="5" t="s">
        <v>355</v>
      </c>
      <c r="P42280" s="5" t="s">
        <v>355</v>
      </c>
      <c r="Q42280" s="5" t="s">
        <v>355</v>
      </c>
    </row>
    <row r="42281" ht="16.5" customHeight="1">
      <c r="O42281" s="5" t="s">
        <v>355</v>
      </c>
      <c r="P42281" s="5" t="s">
        <v>355</v>
      </c>
      <c r="Q42281" s="5" t="s">
        <v>355</v>
      </c>
    </row>
    <row r="42282" ht="16.5" customHeight="1">
      <c r="O42282" s="5" t="s">
        <v>355</v>
      </c>
      <c r="P42282" s="5" t="s">
        <v>355</v>
      </c>
      <c r="Q42282" s="5" t="s">
        <v>355</v>
      </c>
    </row>
    <row r="42283" ht="16.5" customHeight="1">
      <c r="O42283" s="5" t="s">
        <v>355</v>
      </c>
      <c r="P42283" s="5" t="s">
        <v>355</v>
      </c>
      <c r="Q42283" s="5" t="s">
        <v>355</v>
      </c>
    </row>
    <row r="42284" ht="16.5" customHeight="1">
      <c r="O42284" s="5" t="s">
        <v>355</v>
      </c>
      <c r="P42284" s="5" t="s">
        <v>355</v>
      </c>
      <c r="Q42284" s="5" t="s">
        <v>355</v>
      </c>
    </row>
    <row r="42285" ht="16.5" customHeight="1">
      <c r="O42285" s="5" t="s">
        <v>355</v>
      </c>
      <c r="P42285" s="5" t="s">
        <v>355</v>
      </c>
      <c r="Q42285" s="5" t="s">
        <v>355</v>
      </c>
    </row>
    <row r="42286" ht="16.5" customHeight="1">
      <c r="O42286" s="5" t="s">
        <v>355</v>
      </c>
      <c r="P42286" s="5" t="s">
        <v>355</v>
      </c>
      <c r="Q42286" s="5" t="s">
        <v>355</v>
      </c>
    </row>
    <row r="42287" ht="16.5" customHeight="1">
      <c r="O42287" s="5" t="s">
        <v>355</v>
      </c>
      <c r="P42287" s="5" t="s">
        <v>355</v>
      </c>
      <c r="Q42287" s="5" t="s">
        <v>355</v>
      </c>
    </row>
    <row r="42288" ht="16.5" customHeight="1">
      <c r="O42288" s="5" t="s">
        <v>355</v>
      </c>
      <c r="P42288" s="5" t="s">
        <v>355</v>
      </c>
      <c r="Q42288" s="5" t="s">
        <v>355</v>
      </c>
    </row>
    <row r="42289" ht="16.5" customHeight="1">
      <c r="O42289" s="5" t="s">
        <v>355</v>
      </c>
      <c r="P42289" s="5" t="s">
        <v>355</v>
      </c>
      <c r="Q42289" s="5" t="s">
        <v>355</v>
      </c>
    </row>
    <row r="42290" ht="16.5" customHeight="1">
      <c r="O42290" s="5" t="s">
        <v>355</v>
      </c>
      <c r="P42290" s="5" t="s">
        <v>355</v>
      </c>
      <c r="Q42290" s="5" t="s">
        <v>355</v>
      </c>
    </row>
    <row r="42291" ht="16.5" customHeight="1">
      <c r="O42291" s="5" t="s">
        <v>355</v>
      </c>
      <c r="P42291" s="5" t="s">
        <v>355</v>
      </c>
      <c r="Q42291" s="5" t="s">
        <v>355</v>
      </c>
    </row>
    <row r="42292" ht="16.5" customHeight="1">
      <c r="O42292" s="5" t="s">
        <v>355</v>
      </c>
      <c r="P42292" s="5" t="s">
        <v>355</v>
      </c>
      <c r="Q42292" s="5" t="s">
        <v>355</v>
      </c>
    </row>
    <row r="42293" ht="16.5" customHeight="1">
      <c r="O42293" s="5" t="s">
        <v>355</v>
      </c>
      <c r="P42293" s="5" t="s">
        <v>355</v>
      </c>
      <c r="Q42293" s="5" t="s">
        <v>355</v>
      </c>
    </row>
    <row r="42294" ht="16.5" customHeight="1">
      <c r="O42294" s="5" t="s">
        <v>355</v>
      </c>
      <c r="P42294" s="5" t="s">
        <v>355</v>
      </c>
      <c r="Q42294" s="5" t="s">
        <v>355</v>
      </c>
    </row>
    <row r="42295" ht="16.5" customHeight="1">
      <c r="O42295" s="5" t="s">
        <v>355</v>
      </c>
      <c r="P42295" s="5" t="s">
        <v>355</v>
      </c>
      <c r="Q42295" s="5" t="s">
        <v>355</v>
      </c>
    </row>
    <row r="42296" ht="16.5" customHeight="1">
      <c r="O42296" s="5" t="s">
        <v>355</v>
      </c>
      <c r="P42296" s="5" t="s">
        <v>355</v>
      </c>
      <c r="Q42296" s="5" t="s">
        <v>355</v>
      </c>
    </row>
    <row r="42297" ht="16.5" customHeight="1">
      <c r="O42297" s="5" t="s">
        <v>355</v>
      </c>
      <c r="P42297" s="5" t="s">
        <v>355</v>
      </c>
      <c r="Q42297" s="5" t="s">
        <v>355</v>
      </c>
    </row>
    <row r="42298" ht="16.5" customHeight="1">
      <c r="O42298" s="5" t="s">
        <v>355</v>
      </c>
      <c r="P42298" s="5" t="s">
        <v>355</v>
      </c>
      <c r="Q42298" s="5" t="s">
        <v>355</v>
      </c>
    </row>
    <row r="42299" ht="16.5" customHeight="1">
      <c r="O42299" s="5" t="s">
        <v>355</v>
      </c>
      <c r="P42299" s="5" t="s">
        <v>355</v>
      </c>
      <c r="Q42299" s="5" t="s">
        <v>355</v>
      </c>
    </row>
    <row r="42300" ht="16.5" customHeight="1">
      <c r="O42300" s="5" t="s">
        <v>355</v>
      </c>
      <c r="P42300" s="5" t="s">
        <v>355</v>
      </c>
      <c r="Q42300" s="5" t="s">
        <v>355</v>
      </c>
    </row>
    <row r="42301" ht="16.5" customHeight="1">
      <c r="O42301" s="5" t="s">
        <v>355</v>
      </c>
      <c r="P42301" s="5" t="s">
        <v>355</v>
      </c>
      <c r="Q42301" s="5" t="s">
        <v>355</v>
      </c>
    </row>
    <row r="42302" ht="16.5" customHeight="1">
      <c r="O42302" s="5" t="s">
        <v>355</v>
      </c>
      <c r="P42302" s="5" t="s">
        <v>355</v>
      </c>
      <c r="Q42302" s="5" t="s">
        <v>355</v>
      </c>
    </row>
    <row r="42303" ht="16.5" customHeight="1">
      <c r="O42303" s="5" t="s">
        <v>355</v>
      </c>
      <c r="P42303" s="5" t="s">
        <v>355</v>
      </c>
      <c r="Q42303" s="5" t="s">
        <v>355</v>
      </c>
    </row>
    <row r="42304" ht="16.5" customHeight="1">
      <c r="O42304" s="5" t="s">
        <v>355</v>
      </c>
      <c r="P42304" s="5" t="s">
        <v>355</v>
      </c>
      <c r="Q42304" s="5" t="s">
        <v>355</v>
      </c>
    </row>
    <row r="42305" ht="16.5" customHeight="1">
      <c r="O42305" s="5" t="s">
        <v>355</v>
      </c>
      <c r="P42305" s="5" t="s">
        <v>355</v>
      </c>
      <c r="Q42305" s="5" t="s">
        <v>355</v>
      </c>
    </row>
    <row r="42306" ht="16.5" customHeight="1">
      <c r="O42306" s="5" t="s">
        <v>355</v>
      </c>
      <c r="P42306" s="5" t="s">
        <v>355</v>
      </c>
      <c r="Q42306" s="5" t="s">
        <v>355</v>
      </c>
    </row>
    <row r="42307" ht="16.5" customHeight="1">
      <c r="O42307" s="5" t="s">
        <v>355</v>
      </c>
      <c r="P42307" s="5" t="s">
        <v>355</v>
      </c>
      <c r="Q42307" s="5" t="s">
        <v>355</v>
      </c>
    </row>
    <row r="42308" ht="16.5" customHeight="1">
      <c r="O42308" s="5" t="s">
        <v>355</v>
      </c>
      <c r="P42308" s="5" t="s">
        <v>355</v>
      </c>
      <c r="Q42308" s="5" t="s">
        <v>355</v>
      </c>
    </row>
    <row r="42309" ht="16.5" customHeight="1">
      <c r="O42309" s="5" t="s">
        <v>355</v>
      </c>
      <c r="P42309" s="5" t="s">
        <v>355</v>
      </c>
      <c r="Q42309" s="5" t="s">
        <v>355</v>
      </c>
    </row>
    <row r="42310" ht="16.5" customHeight="1">
      <c r="O42310" s="5" t="s">
        <v>355</v>
      </c>
      <c r="P42310" s="5" t="s">
        <v>355</v>
      </c>
      <c r="Q42310" s="5" t="s">
        <v>355</v>
      </c>
    </row>
    <row r="42311" ht="16.5" customHeight="1">
      <c r="O42311" s="5" t="s">
        <v>355</v>
      </c>
      <c r="P42311" s="5" t="s">
        <v>355</v>
      </c>
      <c r="Q42311" s="5" t="s">
        <v>355</v>
      </c>
    </row>
    <row r="42312" ht="16.5" customHeight="1">
      <c r="O42312" s="5" t="s">
        <v>355</v>
      </c>
      <c r="P42312" s="5" t="s">
        <v>355</v>
      </c>
      <c r="Q42312" s="5" t="s">
        <v>355</v>
      </c>
    </row>
    <row r="42313" ht="16.5" customHeight="1">
      <c r="O42313" s="5" t="s">
        <v>355</v>
      </c>
      <c r="P42313" s="5" t="s">
        <v>355</v>
      </c>
      <c r="Q42313" s="5" t="s">
        <v>355</v>
      </c>
    </row>
    <row r="42314" ht="16.5" customHeight="1">
      <c r="O42314" s="5" t="s">
        <v>355</v>
      </c>
      <c r="P42314" s="5" t="s">
        <v>355</v>
      </c>
      <c r="Q42314" s="5" t="s">
        <v>355</v>
      </c>
    </row>
    <row r="42315" ht="16.5" customHeight="1">
      <c r="O42315" s="5" t="s">
        <v>355</v>
      </c>
      <c r="P42315" s="5" t="s">
        <v>355</v>
      </c>
      <c r="Q42315" s="5" t="s">
        <v>355</v>
      </c>
    </row>
    <row r="42316" ht="16.5" customHeight="1">
      <c r="O42316" s="5" t="s">
        <v>355</v>
      </c>
      <c r="P42316" s="5" t="s">
        <v>355</v>
      </c>
      <c r="Q42316" s="5" t="s">
        <v>355</v>
      </c>
    </row>
    <row r="42317" ht="16.5" customHeight="1">
      <c r="O42317" s="5" t="s">
        <v>355</v>
      </c>
      <c r="P42317" s="5" t="s">
        <v>355</v>
      </c>
      <c r="Q42317" s="5" t="s">
        <v>355</v>
      </c>
    </row>
    <row r="42318" ht="16.5" customHeight="1">
      <c r="O42318" s="5" t="s">
        <v>355</v>
      </c>
      <c r="P42318" s="5" t="s">
        <v>355</v>
      </c>
      <c r="Q42318" s="5" t="s">
        <v>355</v>
      </c>
    </row>
    <row r="42319" ht="16.5" customHeight="1">
      <c r="O42319" s="5" t="s">
        <v>355</v>
      </c>
      <c r="P42319" s="5" t="s">
        <v>355</v>
      </c>
      <c r="Q42319" s="5" t="s">
        <v>355</v>
      </c>
    </row>
    <row r="42320" ht="16.5" customHeight="1">
      <c r="O42320" s="5" t="s">
        <v>355</v>
      </c>
      <c r="P42320" s="5" t="s">
        <v>355</v>
      </c>
      <c r="Q42320" s="5" t="s">
        <v>355</v>
      </c>
    </row>
    <row r="42321" ht="16.5" customHeight="1">
      <c r="O42321" s="5" t="s">
        <v>355</v>
      </c>
      <c r="P42321" s="5" t="s">
        <v>355</v>
      </c>
      <c r="Q42321" s="5" t="s">
        <v>355</v>
      </c>
    </row>
    <row r="42322" ht="16.5" customHeight="1">
      <c r="O42322" s="5" t="s">
        <v>355</v>
      </c>
      <c r="P42322" s="5" t="s">
        <v>355</v>
      </c>
      <c r="Q42322" s="5" t="s">
        <v>355</v>
      </c>
    </row>
    <row r="42323" ht="16.5" customHeight="1">
      <c r="O42323" s="5" t="s">
        <v>355</v>
      </c>
      <c r="P42323" s="5" t="s">
        <v>355</v>
      </c>
      <c r="Q42323" s="5" t="s">
        <v>355</v>
      </c>
    </row>
    <row r="42324" ht="16.5" customHeight="1">
      <c r="O42324" s="5" t="s">
        <v>355</v>
      </c>
      <c r="P42324" s="5" t="s">
        <v>355</v>
      </c>
      <c r="Q42324" s="5" t="s">
        <v>355</v>
      </c>
    </row>
    <row r="42325" ht="16.5" customHeight="1">
      <c r="O42325" s="5" t="s">
        <v>355</v>
      </c>
      <c r="P42325" s="5" t="s">
        <v>355</v>
      </c>
      <c r="Q42325" s="5" t="s">
        <v>355</v>
      </c>
    </row>
    <row r="42326" ht="16.5" customHeight="1">
      <c r="O42326" s="5" t="s">
        <v>355</v>
      </c>
      <c r="P42326" s="5" t="s">
        <v>355</v>
      </c>
      <c r="Q42326" s="5" t="s">
        <v>355</v>
      </c>
    </row>
    <row r="42327" ht="16.5" customHeight="1">
      <c r="O42327" s="5" t="s">
        <v>355</v>
      </c>
      <c r="P42327" s="5" t="s">
        <v>355</v>
      </c>
      <c r="Q42327" s="5" t="s">
        <v>355</v>
      </c>
    </row>
    <row r="42328" ht="16.5" customHeight="1">
      <c r="O42328" s="5" t="s">
        <v>355</v>
      </c>
      <c r="P42328" s="5" t="s">
        <v>355</v>
      </c>
      <c r="Q42328" s="5" t="s">
        <v>355</v>
      </c>
    </row>
    <row r="42329" ht="16.5" customHeight="1">
      <c r="O42329" s="5" t="s">
        <v>355</v>
      </c>
      <c r="P42329" s="5" t="s">
        <v>355</v>
      </c>
      <c r="Q42329" s="5" t="s">
        <v>355</v>
      </c>
    </row>
    <row r="42330" ht="16.5" customHeight="1">
      <c r="O42330" s="5" t="s">
        <v>355</v>
      </c>
      <c r="P42330" s="5" t="s">
        <v>355</v>
      </c>
      <c r="Q42330" s="5" t="s">
        <v>355</v>
      </c>
    </row>
    <row r="42331" ht="16.5" customHeight="1">
      <c r="O42331" s="5" t="s">
        <v>355</v>
      </c>
      <c r="P42331" s="5" t="s">
        <v>355</v>
      </c>
      <c r="Q42331" s="5" t="s">
        <v>355</v>
      </c>
    </row>
    <row r="42332" ht="16.5" customHeight="1">
      <c r="O42332" s="5" t="s">
        <v>355</v>
      </c>
      <c r="P42332" s="5" t="s">
        <v>355</v>
      </c>
      <c r="Q42332" s="5" t="s">
        <v>355</v>
      </c>
    </row>
    <row r="42333" ht="16.5" customHeight="1">
      <c r="O42333" s="5" t="s">
        <v>355</v>
      </c>
      <c r="P42333" s="5" t="s">
        <v>355</v>
      </c>
      <c r="Q42333" s="5" t="s">
        <v>355</v>
      </c>
    </row>
    <row r="42334" ht="16.5" customHeight="1">
      <c r="O42334" s="5" t="s">
        <v>355</v>
      </c>
      <c r="P42334" s="5" t="s">
        <v>355</v>
      </c>
      <c r="Q42334" s="5" t="s">
        <v>355</v>
      </c>
    </row>
    <row r="42335" ht="16.5" customHeight="1">
      <c r="O42335" s="5" t="s">
        <v>355</v>
      </c>
      <c r="P42335" s="5" t="s">
        <v>355</v>
      </c>
      <c r="Q42335" s="5" t="s">
        <v>355</v>
      </c>
    </row>
    <row r="42336" ht="16.5" customHeight="1">
      <c r="O42336" s="5" t="s">
        <v>355</v>
      </c>
      <c r="P42336" s="5" t="s">
        <v>355</v>
      </c>
      <c r="Q42336" s="5" t="s">
        <v>355</v>
      </c>
    </row>
    <row r="42337" ht="16.5" customHeight="1">
      <c r="O42337" s="5" t="s">
        <v>355</v>
      </c>
      <c r="P42337" s="5" t="s">
        <v>355</v>
      </c>
      <c r="Q42337" s="5" t="s">
        <v>355</v>
      </c>
    </row>
    <row r="42338" ht="16.5" customHeight="1">
      <c r="O42338" s="5" t="s">
        <v>355</v>
      </c>
      <c r="P42338" s="5" t="s">
        <v>355</v>
      </c>
      <c r="Q42338" s="5" t="s">
        <v>355</v>
      </c>
    </row>
    <row r="42339" ht="16.5" customHeight="1">
      <c r="O42339" s="5" t="s">
        <v>355</v>
      </c>
      <c r="P42339" s="5" t="s">
        <v>355</v>
      </c>
      <c r="Q42339" s="5" t="s">
        <v>355</v>
      </c>
    </row>
    <row r="42340" ht="16.5" customHeight="1">
      <c r="O42340" s="5" t="s">
        <v>355</v>
      </c>
      <c r="P42340" s="5" t="s">
        <v>355</v>
      </c>
      <c r="Q42340" s="5" t="s">
        <v>355</v>
      </c>
    </row>
    <row r="42341" ht="16.5" customHeight="1">
      <c r="O42341" s="5" t="s">
        <v>355</v>
      </c>
      <c r="P42341" s="5" t="s">
        <v>355</v>
      </c>
      <c r="Q42341" s="5" t="s">
        <v>355</v>
      </c>
    </row>
    <row r="42342" ht="16.5" customHeight="1">
      <c r="O42342" s="5" t="s">
        <v>355</v>
      </c>
      <c r="P42342" s="5" t="s">
        <v>355</v>
      </c>
      <c r="Q42342" s="5" t="s">
        <v>355</v>
      </c>
    </row>
    <row r="42343" ht="16.5" customHeight="1">
      <c r="O42343" s="5" t="s">
        <v>355</v>
      </c>
      <c r="P42343" s="5" t="s">
        <v>355</v>
      </c>
      <c r="Q42343" s="5" t="s">
        <v>355</v>
      </c>
    </row>
    <row r="42344" ht="16.5" customHeight="1">
      <c r="O42344" s="5" t="s">
        <v>355</v>
      </c>
      <c r="P42344" s="5" t="s">
        <v>355</v>
      </c>
      <c r="Q42344" s="5" t="s">
        <v>355</v>
      </c>
    </row>
    <row r="42345" ht="16.5" customHeight="1">
      <c r="O42345" s="5" t="s">
        <v>355</v>
      </c>
      <c r="P42345" s="5" t="s">
        <v>355</v>
      </c>
      <c r="Q42345" s="5" t="s">
        <v>355</v>
      </c>
    </row>
    <row r="42346" ht="16.5" customHeight="1">
      <c r="O42346" s="5" t="s">
        <v>355</v>
      </c>
      <c r="P42346" s="5" t="s">
        <v>355</v>
      </c>
      <c r="Q42346" s="5" t="s">
        <v>355</v>
      </c>
    </row>
    <row r="42347" ht="16.5" customHeight="1">
      <c r="O42347" s="5" t="s">
        <v>355</v>
      </c>
      <c r="P42347" s="5" t="s">
        <v>355</v>
      </c>
      <c r="Q42347" s="5" t="s">
        <v>355</v>
      </c>
    </row>
    <row r="42348" ht="16.5" customHeight="1">
      <c r="O42348" s="5" t="s">
        <v>355</v>
      </c>
      <c r="P42348" s="5" t="s">
        <v>355</v>
      </c>
      <c r="Q42348" s="5" t="s">
        <v>355</v>
      </c>
    </row>
    <row r="42349" ht="16.5" customHeight="1">
      <c r="O42349" s="5" t="s">
        <v>355</v>
      </c>
      <c r="P42349" s="5" t="s">
        <v>355</v>
      </c>
      <c r="Q42349" s="5" t="s">
        <v>355</v>
      </c>
    </row>
    <row r="42350" ht="16.5" customHeight="1">
      <c r="O42350" s="5" t="s">
        <v>355</v>
      </c>
      <c r="P42350" s="5" t="s">
        <v>355</v>
      </c>
      <c r="Q42350" s="5" t="s">
        <v>355</v>
      </c>
    </row>
    <row r="42351" ht="16.5" customHeight="1">
      <c r="O42351" s="5" t="s">
        <v>355</v>
      </c>
      <c r="P42351" s="5" t="s">
        <v>355</v>
      </c>
      <c r="Q42351" s="5" t="s">
        <v>355</v>
      </c>
    </row>
    <row r="42352" ht="16.5" customHeight="1">
      <c r="O42352" s="5" t="s">
        <v>355</v>
      </c>
      <c r="P42352" s="5" t="s">
        <v>355</v>
      </c>
      <c r="Q42352" s="5" t="s">
        <v>355</v>
      </c>
    </row>
    <row r="42353" ht="16.5" customHeight="1">
      <c r="O42353" s="5" t="s">
        <v>355</v>
      </c>
      <c r="P42353" s="5" t="s">
        <v>355</v>
      </c>
      <c r="Q42353" s="5" t="s">
        <v>355</v>
      </c>
    </row>
    <row r="42354" ht="16.5" customHeight="1">
      <c r="O42354" s="5" t="s">
        <v>355</v>
      </c>
      <c r="P42354" s="5" t="s">
        <v>355</v>
      </c>
      <c r="Q42354" s="5" t="s">
        <v>355</v>
      </c>
    </row>
    <row r="42355" ht="16.5" customHeight="1">
      <c r="O42355" s="5" t="s">
        <v>355</v>
      </c>
      <c r="P42355" s="5" t="s">
        <v>355</v>
      </c>
      <c r="Q42355" s="5" t="s">
        <v>355</v>
      </c>
    </row>
    <row r="42356" ht="16.5" customHeight="1">
      <c r="O42356" s="5" t="s">
        <v>355</v>
      </c>
      <c r="P42356" s="5" t="s">
        <v>355</v>
      </c>
      <c r="Q42356" s="5" t="s">
        <v>355</v>
      </c>
    </row>
    <row r="42357" ht="16.5" customHeight="1">
      <c r="O42357" s="5" t="s">
        <v>355</v>
      </c>
      <c r="P42357" s="5" t="s">
        <v>355</v>
      </c>
      <c r="Q42357" s="5" t="s">
        <v>355</v>
      </c>
    </row>
    <row r="42358" ht="16.5" customHeight="1">
      <c r="O42358" s="5" t="s">
        <v>355</v>
      </c>
      <c r="P42358" s="5" t="s">
        <v>355</v>
      </c>
      <c r="Q42358" s="5" t="s">
        <v>355</v>
      </c>
    </row>
    <row r="42359" ht="16.5" customHeight="1">
      <c r="O42359" s="5" t="s">
        <v>355</v>
      </c>
      <c r="P42359" s="5" t="s">
        <v>355</v>
      </c>
      <c r="Q42359" s="5" t="s">
        <v>355</v>
      </c>
    </row>
    <row r="42360" ht="16.5" customHeight="1">
      <c r="O42360" s="5" t="s">
        <v>355</v>
      </c>
      <c r="P42360" s="5" t="s">
        <v>355</v>
      </c>
      <c r="Q42360" s="5" t="s">
        <v>355</v>
      </c>
    </row>
    <row r="42361" ht="16.5" customHeight="1">
      <c r="O42361" s="5" t="s">
        <v>355</v>
      </c>
      <c r="P42361" s="5" t="s">
        <v>355</v>
      </c>
      <c r="Q42361" s="5" t="s">
        <v>355</v>
      </c>
    </row>
    <row r="42362" ht="16.5" customHeight="1">
      <c r="O42362" s="5" t="s">
        <v>355</v>
      </c>
      <c r="P42362" s="5" t="s">
        <v>355</v>
      </c>
      <c r="Q42362" s="5" t="s">
        <v>355</v>
      </c>
    </row>
    <row r="42363" ht="16.5" customHeight="1">
      <c r="O42363" s="5" t="s">
        <v>355</v>
      </c>
      <c r="P42363" s="5" t="s">
        <v>355</v>
      </c>
      <c r="Q42363" s="5" t="s">
        <v>355</v>
      </c>
    </row>
    <row r="42364" ht="16.5" customHeight="1">
      <c r="O42364" s="5" t="s">
        <v>355</v>
      </c>
      <c r="P42364" s="5" t="s">
        <v>355</v>
      </c>
      <c r="Q42364" s="5" t="s">
        <v>355</v>
      </c>
    </row>
    <row r="42365" ht="16.5" customHeight="1">
      <c r="O42365" s="5" t="s">
        <v>355</v>
      </c>
      <c r="P42365" s="5" t="s">
        <v>355</v>
      </c>
      <c r="Q42365" s="5" t="s">
        <v>355</v>
      </c>
    </row>
    <row r="42366" ht="16.5" customHeight="1">
      <c r="O42366" s="5" t="s">
        <v>355</v>
      </c>
      <c r="P42366" s="5" t="s">
        <v>355</v>
      </c>
      <c r="Q42366" s="5" t="s">
        <v>355</v>
      </c>
    </row>
    <row r="42367" ht="16.5" customHeight="1">
      <c r="O42367" s="5" t="s">
        <v>355</v>
      </c>
      <c r="P42367" s="5" t="s">
        <v>355</v>
      </c>
      <c r="Q42367" s="5" t="s">
        <v>355</v>
      </c>
    </row>
    <row r="42368" ht="16.5" customHeight="1">
      <c r="O42368" s="5" t="s">
        <v>355</v>
      </c>
      <c r="P42368" s="5" t="s">
        <v>355</v>
      </c>
      <c r="Q42368" s="5" t="s">
        <v>355</v>
      </c>
    </row>
    <row r="42369" ht="16.5" customHeight="1">
      <c r="O42369" s="5" t="s">
        <v>355</v>
      </c>
      <c r="P42369" s="5" t="s">
        <v>355</v>
      </c>
      <c r="Q42369" s="5" t="s">
        <v>355</v>
      </c>
    </row>
    <row r="42370" ht="16.5" customHeight="1">
      <c r="O42370" s="5" t="s">
        <v>355</v>
      </c>
      <c r="P42370" s="5" t="s">
        <v>355</v>
      </c>
      <c r="Q42370" s="5" t="s">
        <v>355</v>
      </c>
    </row>
    <row r="42371" ht="16.5" customHeight="1">
      <c r="O42371" s="5" t="s">
        <v>355</v>
      </c>
      <c r="P42371" s="5" t="s">
        <v>355</v>
      </c>
      <c r="Q42371" s="5" t="s">
        <v>355</v>
      </c>
    </row>
    <row r="42372" ht="16.5" customHeight="1">
      <c r="O42372" s="5" t="s">
        <v>355</v>
      </c>
      <c r="P42372" s="5" t="s">
        <v>355</v>
      </c>
      <c r="Q42372" s="5" t="s">
        <v>355</v>
      </c>
    </row>
    <row r="42373" ht="16.5" customHeight="1">
      <c r="O42373" s="5" t="s">
        <v>355</v>
      </c>
      <c r="P42373" s="5" t="s">
        <v>355</v>
      </c>
      <c r="Q42373" s="5" t="s">
        <v>355</v>
      </c>
    </row>
    <row r="42374" ht="16.5" customHeight="1">
      <c r="O42374" s="5" t="s">
        <v>355</v>
      </c>
      <c r="P42374" s="5" t="s">
        <v>355</v>
      </c>
      <c r="Q42374" s="5" t="s">
        <v>355</v>
      </c>
    </row>
    <row r="42375" ht="16.5" customHeight="1">
      <c r="O42375" s="5" t="s">
        <v>355</v>
      </c>
      <c r="P42375" s="5" t="s">
        <v>355</v>
      </c>
      <c r="Q42375" s="5" t="s">
        <v>355</v>
      </c>
    </row>
    <row r="42376" ht="16.5" customHeight="1">
      <c r="O42376" s="5" t="s">
        <v>355</v>
      </c>
      <c r="P42376" s="5" t="s">
        <v>355</v>
      </c>
      <c r="Q42376" s="5" t="s">
        <v>355</v>
      </c>
    </row>
    <row r="42377" ht="16.5" customHeight="1">
      <c r="O42377" s="5" t="s">
        <v>355</v>
      </c>
      <c r="P42377" s="5" t="s">
        <v>355</v>
      </c>
      <c r="Q42377" s="5" t="s">
        <v>355</v>
      </c>
    </row>
    <row r="42378" ht="16.5" customHeight="1">
      <c r="O42378" s="5" t="s">
        <v>355</v>
      </c>
      <c r="P42378" s="5" t="s">
        <v>355</v>
      </c>
      <c r="Q42378" s="5" t="s">
        <v>355</v>
      </c>
    </row>
    <row r="42379" ht="16.5" customHeight="1">
      <c r="O42379" s="5" t="s">
        <v>355</v>
      </c>
      <c r="P42379" s="5" t="s">
        <v>355</v>
      </c>
      <c r="Q42379" s="5" t="s">
        <v>355</v>
      </c>
    </row>
    <row r="42380" ht="16.5" customHeight="1">
      <c r="O42380" s="5" t="s">
        <v>355</v>
      </c>
      <c r="P42380" s="5" t="s">
        <v>355</v>
      </c>
      <c r="Q42380" s="5" t="s">
        <v>355</v>
      </c>
    </row>
    <row r="42381" ht="16.5" customHeight="1">
      <c r="O42381" s="5" t="s">
        <v>355</v>
      </c>
      <c r="P42381" s="5" t="s">
        <v>355</v>
      </c>
      <c r="Q42381" s="5" t="s">
        <v>355</v>
      </c>
    </row>
    <row r="42382" ht="16.5" customHeight="1">
      <c r="O42382" s="5" t="s">
        <v>355</v>
      </c>
      <c r="P42382" s="5" t="s">
        <v>355</v>
      </c>
      <c r="Q42382" s="5" t="s">
        <v>355</v>
      </c>
    </row>
    <row r="42383" ht="16.5" customHeight="1">
      <c r="O42383" s="5" t="s">
        <v>355</v>
      </c>
      <c r="P42383" s="5" t="s">
        <v>355</v>
      </c>
      <c r="Q42383" s="5" t="s">
        <v>355</v>
      </c>
    </row>
    <row r="42384" ht="16.5" customHeight="1">
      <c r="O42384" s="5" t="s">
        <v>355</v>
      </c>
      <c r="P42384" s="5" t="s">
        <v>355</v>
      </c>
      <c r="Q42384" s="5" t="s">
        <v>355</v>
      </c>
    </row>
    <row r="42385" ht="16.5" customHeight="1">
      <c r="O42385" s="5" t="s">
        <v>355</v>
      </c>
      <c r="P42385" s="5" t="s">
        <v>355</v>
      </c>
      <c r="Q42385" s="5" t="s">
        <v>355</v>
      </c>
    </row>
    <row r="42386" ht="16.5" customHeight="1">
      <c r="O42386" s="5" t="s">
        <v>355</v>
      </c>
      <c r="P42386" s="5" t="s">
        <v>355</v>
      </c>
      <c r="Q42386" s="5" t="s">
        <v>355</v>
      </c>
    </row>
    <row r="42387" ht="16.5" customHeight="1">
      <c r="O42387" s="5" t="s">
        <v>355</v>
      </c>
      <c r="P42387" s="5" t="s">
        <v>355</v>
      </c>
      <c r="Q42387" s="5" t="s">
        <v>355</v>
      </c>
    </row>
    <row r="42388" ht="16.5" customHeight="1">
      <c r="O42388" s="5" t="s">
        <v>355</v>
      </c>
      <c r="P42388" s="5" t="s">
        <v>355</v>
      </c>
      <c r="Q42388" s="5" t="s">
        <v>355</v>
      </c>
    </row>
    <row r="42389" ht="16.5" customHeight="1">
      <c r="O42389" s="5" t="s">
        <v>355</v>
      </c>
      <c r="P42389" s="5" t="s">
        <v>355</v>
      </c>
      <c r="Q42389" s="5" t="s">
        <v>355</v>
      </c>
    </row>
    <row r="42390" ht="16.5" customHeight="1">
      <c r="O42390" s="5" t="s">
        <v>355</v>
      </c>
      <c r="P42390" s="5" t="s">
        <v>355</v>
      </c>
      <c r="Q42390" s="5" t="s">
        <v>355</v>
      </c>
    </row>
    <row r="42391" ht="16.5" customHeight="1">
      <c r="O42391" s="5" t="s">
        <v>355</v>
      </c>
      <c r="P42391" s="5" t="s">
        <v>355</v>
      </c>
      <c r="Q42391" s="5" t="s">
        <v>355</v>
      </c>
    </row>
    <row r="42392" ht="16.5" customHeight="1">
      <c r="O42392" s="5" t="s">
        <v>355</v>
      </c>
      <c r="P42392" s="5" t="s">
        <v>355</v>
      </c>
      <c r="Q42392" s="5" t="s">
        <v>355</v>
      </c>
    </row>
    <row r="42393" ht="16.5" customHeight="1">
      <c r="O42393" s="5" t="s">
        <v>355</v>
      </c>
      <c r="P42393" s="5" t="s">
        <v>355</v>
      </c>
      <c r="Q42393" s="5" t="s">
        <v>355</v>
      </c>
    </row>
    <row r="42394" ht="16.5" customHeight="1">
      <c r="O42394" s="5" t="s">
        <v>355</v>
      </c>
      <c r="P42394" s="5" t="s">
        <v>355</v>
      </c>
      <c r="Q42394" s="5" t="s">
        <v>355</v>
      </c>
    </row>
    <row r="42395" ht="16.5" customHeight="1">
      <c r="O42395" s="5" t="s">
        <v>355</v>
      </c>
      <c r="P42395" s="5" t="s">
        <v>355</v>
      </c>
      <c r="Q42395" s="5" t="s">
        <v>355</v>
      </c>
    </row>
    <row r="42396" ht="16.5" customHeight="1">
      <c r="O42396" s="5" t="s">
        <v>355</v>
      </c>
      <c r="P42396" s="5" t="s">
        <v>355</v>
      </c>
      <c r="Q42396" s="5" t="s">
        <v>355</v>
      </c>
    </row>
    <row r="42397" ht="16.5" customHeight="1">
      <c r="O42397" s="5" t="s">
        <v>355</v>
      </c>
      <c r="P42397" s="5" t="s">
        <v>355</v>
      </c>
      <c r="Q42397" s="5" t="s">
        <v>355</v>
      </c>
    </row>
    <row r="42398" ht="16.5" customHeight="1">
      <c r="O42398" s="5" t="s">
        <v>355</v>
      </c>
      <c r="P42398" s="5" t="s">
        <v>355</v>
      </c>
      <c r="Q42398" s="5" t="s">
        <v>355</v>
      </c>
    </row>
    <row r="42399" ht="16.5" customHeight="1">
      <c r="O42399" s="5" t="s">
        <v>355</v>
      </c>
      <c r="P42399" s="5" t="s">
        <v>355</v>
      </c>
      <c r="Q42399" s="5" t="s">
        <v>355</v>
      </c>
    </row>
    <row r="42400" ht="16.5" customHeight="1">
      <c r="O42400" s="5" t="s">
        <v>355</v>
      </c>
      <c r="P42400" s="5" t="s">
        <v>355</v>
      </c>
      <c r="Q42400" s="5" t="s">
        <v>355</v>
      </c>
    </row>
    <row r="42401" ht="16.5" customHeight="1">
      <c r="O42401" s="5" t="s">
        <v>355</v>
      </c>
      <c r="P42401" s="5" t="s">
        <v>355</v>
      </c>
      <c r="Q42401" s="5" t="s">
        <v>355</v>
      </c>
    </row>
    <row r="42402" ht="16.5" customHeight="1">
      <c r="O42402" s="5" t="s">
        <v>355</v>
      </c>
      <c r="P42402" s="5" t="s">
        <v>355</v>
      </c>
      <c r="Q42402" s="5" t="s">
        <v>355</v>
      </c>
    </row>
    <row r="42403" ht="16.5" customHeight="1">
      <c r="O42403" s="5" t="s">
        <v>355</v>
      </c>
      <c r="P42403" s="5" t="s">
        <v>355</v>
      </c>
      <c r="Q42403" s="5" t="s">
        <v>355</v>
      </c>
    </row>
    <row r="42404" ht="16.5" customHeight="1">
      <c r="O42404" s="5" t="s">
        <v>355</v>
      </c>
      <c r="P42404" s="5" t="s">
        <v>355</v>
      </c>
      <c r="Q42404" s="5" t="s">
        <v>355</v>
      </c>
    </row>
    <row r="42405" ht="16.5" customHeight="1">
      <c r="O42405" s="5" t="s">
        <v>355</v>
      </c>
      <c r="P42405" s="5" t="s">
        <v>355</v>
      </c>
      <c r="Q42405" s="5" t="s">
        <v>355</v>
      </c>
    </row>
    <row r="42406" ht="16.5" customHeight="1">
      <c r="O42406" s="5" t="s">
        <v>355</v>
      </c>
      <c r="P42406" s="5" t="s">
        <v>355</v>
      </c>
      <c r="Q42406" s="5" t="s">
        <v>355</v>
      </c>
    </row>
    <row r="42407" ht="16.5" customHeight="1">
      <c r="O42407" s="5" t="s">
        <v>355</v>
      </c>
      <c r="P42407" s="5" t="s">
        <v>355</v>
      </c>
      <c r="Q42407" s="5" t="s">
        <v>355</v>
      </c>
    </row>
    <row r="42408" ht="16.5" customHeight="1">
      <c r="O42408" s="5" t="s">
        <v>355</v>
      </c>
      <c r="P42408" s="5" t="s">
        <v>355</v>
      </c>
      <c r="Q42408" s="5" t="s">
        <v>355</v>
      </c>
    </row>
    <row r="42409" ht="16.5" customHeight="1">
      <c r="O42409" s="5" t="s">
        <v>355</v>
      </c>
      <c r="P42409" s="5" t="s">
        <v>355</v>
      </c>
      <c r="Q42409" s="5" t="s">
        <v>355</v>
      </c>
    </row>
    <row r="42410" ht="16.5" customHeight="1">
      <c r="O42410" s="5" t="s">
        <v>355</v>
      </c>
      <c r="P42410" s="5" t="s">
        <v>355</v>
      </c>
      <c r="Q42410" s="5" t="s">
        <v>355</v>
      </c>
    </row>
    <row r="42411" ht="16.5" customHeight="1">
      <c r="O42411" s="5" t="s">
        <v>355</v>
      </c>
      <c r="P42411" s="5" t="s">
        <v>355</v>
      </c>
      <c r="Q42411" s="5" t="s">
        <v>355</v>
      </c>
    </row>
    <row r="42412" ht="16.5" customHeight="1">
      <c r="O42412" s="5" t="s">
        <v>355</v>
      </c>
      <c r="P42412" s="5" t="s">
        <v>355</v>
      </c>
      <c r="Q42412" s="5" t="s">
        <v>355</v>
      </c>
    </row>
    <row r="42413" ht="16.5" customHeight="1">
      <c r="O42413" s="5" t="s">
        <v>355</v>
      </c>
      <c r="P42413" s="5" t="s">
        <v>355</v>
      </c>
      <c r="Q42413" s="5" t="s">
        <v>355</v>
      </c>
    </row>
    <row r="42414" ht="16.5" customHeight="1">
      <c r="O42414" s="5" t="s">
        <v>355</v>
      </c>
      <c r="P42414" s="5" t="s">
        <v>355</v>
      </c>
      <c r="Q42414" s="5" t="s">
        <v>355</v>
      </c>
    </row>
    <row r="42415" ht="16.5" customHeight="1">
      <c r="O42415" s="5" t="s">
        <v>355</v>
      </c>
      <c r="P42415" s="5" t="s">
        <v>355</v>
      </c>
      <c r="Q42415" s="5" t="s">
        <v>355</v>
      </c>
    </row>
    <row r="42416" ht="16.5" customHeight="1">
      <c r="O42416" s="5" t="s">
        <v>355</v>
      </c>
      <c r="P42416" s="5" t="s">
        <v>355</v>
      </c>
      <c r="Q42416" s="5" t="s">
        <v>355</v>
      </c>
    </row>
    <row r="42417" ht="16.5" customHeight="1">
      <c r="O42417" s="5" t="s">
        <v>355</v>
      </c>
      <c r="P42417" s="5" t="s">
        <v>355</v>
      </c>
      <c r="Q42417" s="5" t="s">
        <v>355</v>
      </c>
    </row>
    <row r="42418" ht="16.5" customHeight="1">
      <c r="O42418" s="5" t="s">
        <v>355</v>
      </c>
      <c r="P42418" s="5" t="s">
        <v>355</v>
      </c>
      <c r="Q42418" s="5" t="s">
        <v>355</v>
      </c>
    </row>
    <row r="42419" ht="16.5" customHeight="1">
      <c r="O42419" s="5" t="s">
        <v>355</v>
      </c>
      <c r="P42419" s="5" t="s">
        <v>355</v>
      </c>
      <c r="Q42419" s="5" t="s">
        <v>355</v>
      </c>
    </row>
    <row r="42420" ht="16.5" customHeight="1">
      <c r="O42420" s="5" t="s">
        <v>355</v>
      </c>
      <c r="P42420" s="5" t="s">
        <v>355</v>
      </c>
      <c r="Q42420" s="5" t="s">
        <v>355</v>
      </c>
    </row>
    <row r="42421" ht="16.5" customHeight="1">
      <c r="O42421" s="5" t="s">
        <v>355</v>
      </c>
      <c r="P42421" s="5" t="s">
        <v>355</v>
      </c>
      <c r="Q42421" s="5" t="s">
        <v>355</v>
      </c>
    </row>
    <row r="42422" ht="16.5" customHeight="1">
      <c r="O42422" s="5" t="s">
        <v>355</v>
      </c>
      <c r="P42422" s="5" t="s">
        <v>355</v>
      </c>
      <c r="Q42422" s="5" t="s">
        <v>355</v>
      </c>
    </row>
    <row r="42423" ht="16.5" customHeight="1">
      <c r="O42423" s="5" t="s">
        <v>355</v>
      </c>
      <c r="P42423" s="5" t="s">
        <v>355</v>
      </c>
      <c r="Q42423" s="5" t="s">
        <v>355</v>
      </c>
    </row>
    <row r="42424" ht="16.5" customHeight="1">
      <c r="O42424" s="5" t="s">
        <v>355</v>
      </c>
      <c r="P42424" s="5" t="s">
        <v>355</v>
      </c>
      <c r="Q42424" s="5" t="s">
        <v>355</v>
      </c>
    </row>
    <row r="42425" ht="16.5" customHeight="1">
      <c r="O42425" s="5" t="s">
        <v>355</v>
      </c>
      <c r="P42425" s="5" t="s">
        <v>355</v>
      </c>
      <c r="Q42425" s="5" t="s">
        <v>355</v>
      </c>
    </row>
    <row r="42426" ht="16.5" customHeight="1">
      <c r="O42426" s="5" t="s">
        <v>355</v>
      </c>
      <c r="P42426" s="5" t="s">
        <v>355</v>
      </c>
      <c r="Q42426" s="5" t="s">
        <v>355</v>
      </c>
    </row>
    <row r="42427" ht="16.5" customHeight="1">
      <c r="O42427" s="5" t="s">
        <v>355</v>
      </c>
      <c r="P42427" s="5" t="s">
        <v>355</v>
      </c>
      <c r="Q42427" s="5" t="s">
        <v>355</v>
      </c>
    </row>
    <row r="42428" ht="16.5" customHeight="1">
      <c r="O42428" s="5" t="s">
        <v>355</v>
      </c>
      <c r="P42428" s="5" t="s">
        <v>355</v>
      </c>
      <c r="Q42428" s="5" t="s">
        <v>355</v>
      </c>
    </row>
    <row r="42429" ht="16.5" customHeight="1">
      <c r="O42429" s="5" t="s">
        <v>355</v>
      </c>
      <c r="P42429" s="5" t="s">
        <v>355</v>
      </c>
      <c r="Q42429" s="5" t="s">
        <v>355</v>
      </c>
    </row>
    <row r="42430" ht="16.5" customHeight="1">
      <c r="O42430" s="5" t="s">
        <v>355</v>
      </c>
      <c r="P42430" s="5" t="s">
        <v>355</v>
      </c>
      <c r="Q42430" s="5" t="s">
        <v>355</v>
      </c>
    </row>
    <row r="42431" ht="16.5" customHeight="1">
      <c r="O42431" s="5" t="s">
        <v>355</v>
      </c>
      <c r="P42431" s="5" t="s">
        <v>355</v>
      </c>
      <c r="Q42431" s="5" t="s">
        <v>355</v>
      </c>
    </row>
    <row r="42432" ht="16.5" customHeight="1">
      <c r="O42432" s="5" t="s">
        <v>355</v>
      </c>
      <c r="P42432" s="5" t="s">
        <v>355</v>
      </c>
      <c r="Q42432" s="5" t="s">
        <v>355</v>
      </c>
    </row>
    <row r="42433" ht="16.5" customHeight="1">
      <c r="O42433" s="5" t="s">
        <v>355</v>
      </c>
      <c r="P42433" s="5" t="s">
        <v>355</v>
      </c>
      <c r="Q42433" s="5" t="s">
        <v>355</v>
      </c>
    </row>
    <row r="42434" ht="16.5" customHeight="1">
      <c r="O42434" s="5" t="s">
        <v>355</v>
      </c>
      <c r="P42434" s="5" t="s">
        <v>355</v>
      </c>
      <c r="Q42434" s="5" t="s">
        <v>355</v>
      </c>
    </row>
    <row r="42435" ht="16.5" customHeight="1">
      <c r="O42435" s="5" t="s">
        <v>355</v>
      </c>
      <c r="P42435" s="5" t="s">
        <v>355</v>
      </c>
      <c r="Q42435" s="5" t="s">
        <v>355</v>
      </c>
    </row>
    <row r="42436" ht="16.5" customHeight="1">
      <c r="O42436" s="5" t="s">
        <v>355</v>
      </c>
      <c r="P42436" s="5" t="s">
        <v>355</v>
      </c>
      <c r="Q42436" s="5" t="s">
        <v>355</v>
      </c>
    </row>
    <row r="42437" ht="16.5" customHeight="1">
      <c r="O42437" s="5" t="s">
        <v>355</v>
      </c>
      <c r="P42437" s="5" t="s">
        <v>355</v>
      </c>
      <c r="Q42437" s="5" t="s">
        <v>355</v>
      </c>
    </row>
    <row r="42438" ht="16.5" customHeight="1">
      <c r="O42438" s="5" t="s">
        <v>355</v>
      </c>
      <c r="P42438" s="5" t="s">
        <v>355</v>
      </c>
      <c r="Q42438" s="5" t="s">
        <v>355</v>
      </c>
    </row>
    <row r="42439" ht="16.5" customHeight="1">
      <c r="O42439" s="5" t="s">
        <v>355</v>
      </c>
      <c r="P42439" s="5" t="s">
        <v>355</v>
      </c>
      <c r="Q42439" s="5" t="s">
        <v>355</v>
      </c>
    </row>
    <row r="42440" ht="16.5" customHeight="1">
      <c r="O42440" s="5" t="s">
        <v>355</v>
      </c>
      <c r="P42440" s="5" t="s">
        <v>355</v>
      </c>
      <c r="Q42440" s="5" t="s">
        <v>355</v>
      </c>
    </row>
    <row r="42441" ht="16.5" customHeight="1">
      <c r="O42441" s="5" t="s">
        <v>355</v>
      </c>
      <c r="P42441" s="5" t="s">
        <v>355</v>
      </c>
      <c r="Q42441" s="5" t="s">
        <v>355</v>
      </c>
    </row>
    <row r="42442" ht="16.5" customHeight="1">
      <c r="O42442" s="5" t="s">
        <v>355</v>
      </c>
      <c r="P42442" s="5" t="s">
        <v>355</v>
      </c>
      <c r="Q42442" s="5" t="s">
        <v>355</v>
      </c>
    </row>
    <row r="42443" ht="16.5" customHeight="1">
      <c r="O42443" s="5" t="s">
        <v>355</v>
      </c>
      <c r="P42443" s="5" t="s">
        <v>355</v>
      </c>
      <c r="Q42443" s="5" t="s">
        <v>355</v>
      </c>
    </row>
    <row r="42444" ht="16.5" customHeight="1">
      <c r="O42444" s="5" t="s">
        <v>355</v>
      </c>
      <c r="P42444" s="5" t="s">
        <v>355</v>
      </c>
      <c r="Q42444" s="5" t="s">
        <v>355</v>
      </c>
    </row>
    <row r="42445" ht="16.5" customHeight="1">
      <c r="O42445" s="5" t="s">
        <v>355</v>
      </c>
      <c r="P42445" s="5" t="s">
        <v>355</v>
      </c>
      <c r="Q42445" s="5" t="s">
        <v>355</v>
      </c>
    </row>
    <row r="42446" ht="16.5" customHeight="1">
      <c r="O42446" s="5" t="s">
        <v>355</v>
      </c>
      <c r="P42446" s="5" t="s">
        <v>355</v>
      </c>
      <c r="Q42446" s="5" t="s">
        <v>355</v>
      </c>
    </row>
    <row r="42447" ht="16.5" customHeight="1">
      <c r="O42447" s="5" t="s">
        <v>355</v>
      </c>
      <c r="P42447" s="5" t="s">
        <v>355</v>
      </c>
      <c r="Q42447" s="5" t="s">
        <v>355</v>
      </c>
    </row>
    <row r="42448" ht="16.5" customHeight="1">
      <c r="O42448" s="5" t="s">
        <v>355</v>
      </c>
      <c r="P42448" s="5" t="s">
        <v>355</v>
      </c>
      <c r="Q42448" s="5" t="s">
        <v>355</v>
      </c>
    </row>
    <row r="42449" ht="16.5" customHeight="1">
      <c r="O42449" s="5" t="s">
        <v>355</v>
      </c>
      <c r="P42449" s="5" t="s">
        <v>355</v>
      </c>
      <c r="Q42449" s="5" t="s">
        <v>355</v>
      </c>
    </row>
    <row r="42450" ht="16.5" customHeight="1">
      <c r="O42450" s="5" t="s">
        <v>355</v>
      </c>
      <c r="P42450" s="5" t="s">
        <v>355</v>
      </c>
      <c r="Q42450" s="5" t="s">
        <v>355</v>
      </c>
    </row>
    <row r="42451" ht="16.5" customHeight="1">
      <c r="O42451" s="5" t="s">
        <v>355</v>
      </c>
      <c r="P42451" s="5" t="s">
        <v>355</v>
      </c>
      <c r="Q42451" s="5" t="s">
        <v>355</v>
      </c>
    </row>
    <row r="42452" ht="16.5" customHeight="1">
      <c r="O42452" s="5" t="s">
        <v>355</v>
      </c>
      <c r="P42452" s="5" t="s">
        <v>355</v>
      </c>
      <c r="Q42452" s="5" t="s">
        <v>355</v>
      </c>
    </row>
    <row r="42453" ht="16.5" customHeight="1">
      <c r="O42453" s="5" t="s">
        <v>355</v>
      </c>
      <c r="P42453" s="5" t="s">
        <v>355</v>
      </c>
      <c r="Q42453" s="5" t="s">
        <v>355</v>
      </c>
    </row>
    <row r="42454" ht="16.5" customHeight="1">
      <c r="O42454" s="5" t="s">
        <v>355</v>
      </c>
      <c r="P42454" s="5" t="s">
        <v>355</v>
      </c>
      <c r="Q42454" s="5" t="s">
        <v>355</v>
      </c>
    </row>
    <row r="42455" ht="16.5" customHeight="1">
      <c r="O42455" s="5" t="s">
        <v>355</v>
      </c>
      <c r="P42455" s="5" t="s">
        <v>355</v>
      </c>
      <c r="Q42455" s="5" t="s">
        <v>355</v>
      </c>
    </row>
    <row r="42456" ht="16.5" customHeight="1">
      <c r="O42456" s="5" t="s">
        <v>355</v>
      </c>
      <c r="P42456" s="5" t="s">
        <v>355</v>
      </c>
      <c r="Q42456" s="5" t="s">
        <v>355</v>
      </c>
    </row>
    <row r="42457" ht="16.5" customHeight="1">
      <c r="O42457" s="5" t="s">
        <v>355</v>
      </c>
      <c r="P42457" s="5" t="s">
        <v>355</v>
      </c>
      <c r="Q42457" s="5" t="s">
        <v>355</v>
      </c>
    </row>
    <row r="42458" ht="16.5" customHeight="1">
      <c r="O42458" s="5" t="s">
        <v>355</v>
      </c>
      <c r="P42458" s="5" t="s">
        <v>355</v>
      </c>
      <c r="Q42458" s="5" t="s">
        <v>355</v>
      </c>
    </row>
    <row r="42459" ht="16.5" customHeight="1">
      <c r="O42459" s="5" t="s">
        <v>355</v>
      </c>
      <c r="P42459" s="5" t="s">
        <v>355</v>
      </c>
      <c r="Q42459" s="5" t="s">
        <v>355</v>
      </c>
    </row>
    <row r="42460" ht="16.5" customHeight="1">
      <c r="O42460" s="5" t="s">
        <v>355</v>
      </c>
      <c r="P42460" s="5" t="s">
        <v>355</v>
      </c>
      <c r="Q42460" s="5" t="s">
        <v>355</v>
      </c>
    </row>
    <row r="42461" ht="16.5" customHeight="1">
      <c r="O42461" s="5" t="s">
        <v>355</v>
      </c>
      <c r="P42461" s="5" t="s">
        <v>355</v>
      </c>
      <c r="Q42461" s="5" t="s">
        <v>355</v>
      </c>
    </row>
    <row r="42462" ht="16.5" customHeight="1">
      <c r="O42462" s="5" t="s">
        <v>355</v>
      </c>
      <c r="P42462" s="5" t="s">
        <v>355</v>
      </c>
      <c r="Q42462" s="5" t="s">
        <v>355</v>
      </c>
    </row>
    <row r="42463" ht="16.5" customHeight="1">
      <c r="O42463" s="5" t="s">
        <v>355</v>
      </c>
      <c r="P42463" s="5" t="s">
        <v>355</v>
      </c>
      <c r="Q42463" s="5" t="s">
        <v>355</v>
      </c>
    </row>
    <row r="42464" ht="16.5" customHeight="1">
      <c r="O42464" s="5" t="s">
        <v>355</v>
      </c>
      <c r="P42464" s="5" t="s">
        <v>355</v>
      </c>
      <c r="Q42464" s="5" t="s">
        <v>355</v>
      </c>
    </row>
    <row r="42465" ht="16.5" customHeight="1">
      <c r="O42465" s="5" t="s">
        <v>355</v>
      </c>
      <c r="P42465" s="5" t="s">
        <v>355</v>
      </c>
      <c r="Q42465" s="5" t="s">
        <v>355</v>
      </c>
    </row>
    <row r="42466" ht="16.5" customHeight="1">
      <c r="O42466" s="5" t="s">
        <v>355</v>
      </c>
      <c r="P42466" s="5" t="s">
        <v>355</v>
      </c>
      <c r="Q42466" s="5" t="s">
        <v>355</v>
      </c>
    </row>
    <row r="42467" ht="16.5" customHeight="1">
      <c r="O42467" s="5" t="s">
        <v>355</v>
      </c>
      <c r="P42467" s="5" t="s">
        <v>355</v>
      </c>
      <c r="Q42467" s="5" t="s">
        <v>355</v>
      </c>
    </row>
    <row r="42468" ht="16.5" customHeight="1">
      <c r="O42468" s="5" t="s">
        <v>355</v>
      </c>
      <c r="P42468" s="5" t="s">
        <v>355</v>
      </c>
      <c r="Q42468" s="5" t="s">
        <v>355</v>
      </c>
    </row>
    <row r="42469" ht="16.5" customHeight="1">
      <c r="O42469" s="5" t="s">
        <v>355</v>
      </c>
      <c r="P42469" s="5" t="s">
        <v>355</v>
      </c>
      <c r="Q42469" s="5" t="s">
        <v>355</v>
      </c>
    </row>
    <row r="42470" ht="16.5" customHeight="1">
      <c r="O42470" s="5" t="s">
        <v>355</v>
      </c>
      <c r="P42470" s="5" t="s">
        <v>355</v>
      </c>
      <c r="Q42470" s="5" t="s">
        <v>355</v>
      </c>
    </row>
    <row r="42471" ht="16.5" customHeight="1">
      <c r="O42471" s="5" t="s">
        <v>355</v>
      </c>
      <c r="P42471" s="5" t="s">
        <v>355</v>
      </c>
      <c r="Q42471" s="5" t="s">
        <v>355</v>
      </c>
    </row>
    <row r="42472" ht="16.5" customHeight="1">
      <c r="O42472" s="5" t="s">
        <v>355</v>
      </c>
      <c r="P42472" s="5" t="s">
        <v>355</v>
      </c>
      <c r="Q42472" s="5" t="s">
        <v>355</v>
      </c>
    </row>
    <row r="42473" ht="16.5" customHeight="1">
      <c r="O42473" s="5" t="s">
        <v>355</v>
      </c>
      <c r="P42473" s="5" t="s">
        <v>355</v>
      </c>
      <c r="Q42473" s="5" t="s">
        <v>355</v>
      </c>
    </row>
    <row r="42474" ht="16.5" customHeight="1">
      <c r="O42474" s="5" t="s">
        <v>355</v>
      </c>
      <c r="P42474" s="5" t="s">
        <v>355</v>
      </c>
      <c r="Q42474" s="5" t="s">
        <v>355</v>
      </c>
    </row>
    <row r="42475" ht="16.5" customHeight="1">
      <c r="O42475" s="5" t="s">
        <v>355</v>
      </c>
      <c r="P42475" s="5" t="s">
        <v>355</v>
      </c>
      <c r="Q42475" s="5" t="s">
        <v>355</v>
      </c>
    </row>
    <row r="42476" ht="16.5" customHeight="1">
      <c r="O42476" s="5" t="s">
        <v>355</v>
      </c>
      <c r="P42476" s="5" t="s">
        <v>355</v>
      </c>
      <c r="Q42476" s="5" t="s">
        <v>355</v>
      </c>
    </row>
    <row r="42477" ht="16.5" customHeight="1">
      <c r="O42477" s="5" t="s">
        <v>355</v>
      </c>
      <c r="P42477" s="5" t="s">
        <v>355</v>
      </c>
      <c r="Q42477" s="5" t="s">
        <v>355</v>
      </c>
    </row>
    <row r="42478" ht="16.5" customHeight="1">
      <c r="O42478" s="5" t="s">
        <v>355</v>
      </c>
      <c r="P42478" s="5" t="s">
        <v>355</v>
      </c>
      <c r="Q42478" s="5" t="s">
        <v>355</v>
      </c>
    </row>
    <row r="42479" ht="16.5" customHeight="1">
      <c r="O42479" s="5" t="s">
        <v>355</v>
      </c>
      <c r="P42479" s="5" t="s">
        <v>355</v>
      </c>
      <c r="Q42479" s="5" t="s">
        <v>355</v>
      </c>
    </row>
    <row r="42480" ht="16.5" customHeight="1">
      <c r="O42480" s="5" t="s">
        <v>355</v>
      </c>
      <c r="P42480" s="5" t="s">
        <v>355</v>
      </c>
      <c r="Q42480" s="5" t="s">
        <v>355</v>
      </c>
    </row>
    <row r="42481" ht="16.5" customHeight="1">
      <c r="O42481" s="5" t="s">
        <v>355</v>
      </c>
      <c r="P42481" s="5" t="s">
        <v>355</v>
      </c>
      <c r="Q42481" s="5" t="s">
        <v>355</v>
      </c>
    </row>
    <row r="42482" ht="16.5" customHeight="1">
      <c r="O42482" s="5" t="s">
        <v>355</v>
      </c>
      <c r="P42482" s="5" t="s">
        <v>355</v>
      </c>
      <c r="Q42482" s="5" t="s">
        <v>355</v>
      </c>
    </row>
    <row r="42483" ht="16.5" customHeight="1">
      <c r="O42483" s="5" t="s">
        <v>355</v>
      </c>
      <c r="P42483" s="5" t="s">
        <v>355</v>
      </c>
      <c r="Q42483" s="5" t="s">
        <v>355</v>
      </c>
    </row>
    <row r="42484" ht="16.5" customHeight="1">
      <c r="O42484" s="5" t="s">
        <v>355</v>
      </c>
      <c r="P42484" s="5" t="s">
        <v>355</v>
      </c>
      <c r="Q42484" s="5" t="s">
        <v>355</v>
      </c>
    </row>
    <row r="42485" ht="16.5" customHeight="1">
      <c r="O42485" s="5" t="s">
        <v>355</v>
      </c>
      <c r="P42485" s="5" t="s">
        <v>355</v>
      </c>
      <c r="Q42485" s="5" t="s">
        <v>355</v>
      </c>
    </row>
    <row r="42486" ht="16.5" customHeight="1">
      <c r="O42486" s="5" t="s">
        <v>355</v>
      </c>
      <c r="P42486" s="5" t="s">
        <v>355</v>
      </c>
      <c r="Q42486" s="5" t="s">
        <v>355</v>
      </c>
    </row>
    <row r="42487" ht="16.5" customHeight="1">
      <c r="O42487" s="5" t="s">
        <v>355</v>
      </c>
      <c r="P42487" s="5" t="s">
        <v>355</v>
      </c>
      <c r="Q42487" s="5" t="s">
        <v>355</v>
      </c>
    </row>
    <row r="42488" ht="16.5" customHeight="1">
      <c r="O42488" s="5" t="s">
        <v>355</v>
      </c>
      <c r="P42488" s="5" t="s">
        <v>355</v>
      </c>
      <c r="Q42488" s="5" t="s">
        <v>355</v>
      </c>
    </row>
    <row r="42489" ht="16.5" customHeight="1">
      <c r="O42489" s="5" t="s">
        <v>355</v>
      </c>
      <c r="P42489" s="5" t="s">
        <v>355</v>
      </c>
      <c r="Q42489" s="5" t="s">
        <v>355</v>
      </c>
    </row>
    <row r="42490" ht="16.5" customHeight="1">
      <c r="O42490" s="5" t="s">
        <v>355</v>
      </c>
      <c r="P42490" s="5" t="s">
        <v>355</v>
      </c>
      <c r="Q42490" s="5" t="s">
        <v>355</v>
      </c>
    </row>
    <row r="42491" ht="16.5" customHeight="1">
      <c r="O42491" s="5" t="s">
        <v>355</v>
      </c>
      <c r="P42491" s="5" t="s">
        <v>355</v>
      </c>
      <c r="Q42491" s="5" t="s">
        <v>355</v>
      </c>
    </row>
    <row r="42492" ht="16.5" customHeight="1">
      <c r="O42492" s="5" t="s">
        <v>355</v>
      </c>
      <c r="P42492" s="5" t="s">
        <v>355</v>
      </c>
      <c r="Q42492" s="5" t="s">
        <v>355</v>
      </c>
    </row>
    <row r="42493" ht="16.5" customHeight="1">
      <c r="O42493" s="5" t="s">
        <v>355</v>
      </c>
      <c r="P42493" s="5" t="s">
        <v>355</v>
      </c>
      <c r="Q42493" s="5" t="s">
        <v>355</v>
      </c>
    </row>
    <row r="42494" ht="16.5" customHeight="1">
      <c r="O42494" s="5" t="s">
        <v>355</v>
      </c>
      <c r="P42494" s="5" t="s">
        <v>355</v>
      </c>
      <c r="Q42494" s="5" t="s">
        <v>355</v>
      </c>
    </row>
    <row r="42495" ht="16.5" customHeight="1">
      <c r="O42495" s="5" t="s">
        <v>355</v>
      </c>
      <c r="P42495" s="5" t="s">
        <v>355</v>
      </c>
      <c r="Q42495" s="5" t="s">
        <v>355</v>
      </c>
    </row>
    <row r="42496" ht="16.5" customHeight="1">
      <c r="O42496" s="5" t="s">
        <v>355</v>
      </c>
      <c r="P42496" s="5" t="s">
        <v>355</v>
      </c>
      <c r="Q42496" s="5" t="s">
        <v>355</v>
      </c>
    </row>
    <row r="42497" ht="16.5" customHeight="1">
      <c r="O42497" s="5" t="s">
        <v>355</v>
      </c>
      <c r="P42497" s="5" t="s">
        <v>355</v>
      </c>
      <c r="Q42497" s="5" t="s">
        <v>355</v>
      </c>
    </row>
    <row r="42498" ht="16.5" customHeight="1">
      <c r="O42498" s="5" t="s">
        <v>355</v>
      </c>
      <c r="P42498" s="5" t="s">
        <v>355</v>
      </c>
      <c r="Q42498" s="5" t="s">
        <v>355</v>
      </c>
    </row>
    <row r="42499" ht="16.5" customHeight="1">
      <c r="O42499" s="5" t="s">
        <v>355</v>
      </c>
      <c r="P42499" s="5" t="s">
        <v>355</v>
      </c>
      <c r="Q42499" s="5" t="s">
        <v>355</v>
      </c>
    </row>
    <row r="42500" ht="16.5" customHeight="1">
      <c r="O42500" s="5" t="s">
        <v>355</v>
      </c>
      <c r="P42500" s="5" t="s">
        <v>355</v>
      </c>
      <c r="Q42500" s="5" t="s">
        <v>355</v>
      </c>
    </row>
    <row r="42501" ht="16.5" customHeight="1">
      <c r="O42501" s="5" t="s">
        <v>355</v>
      </c>
      <c r="P42501" s="5" t="s">
        <v>355</v>
      </c>
      <c r="Q42501" s="5" t="s">
        <v>355</v>
      </c>
    </row>
    <row r="42502" ht="16.5" customHeight="1">
      <c r="O42502" s="5" t="s">
        <v>355</v>
      </c>
      <c r="P42502" s="5" t="s">
        <v>355</v>
      </c>
      <c r="Q42502" s="5" t="s">
        <v>355</v>
      </c>
    </row>
    <row r="42503" ht="16.5" customHeight="1">
      <c r="O42503" s="5" t="s">
        <v>355</v>
      </c>
      <c r="P42503" s="5" t="s">
        <v>355</v>
      </c>
      <c r="Q42503" s="5" t="s">
        <v>355</v>
      </c>
    </row>
    <row r="42504" ht="16.5" customHeight="1">
      <c r="O42504" s="5" t="s">
        <v>355</v>
      </c>
      <c r="P42504" s="5" t="s">
        <v>355</v>
      </c>
      <c r="Q42504" s="5" t="s">
        <v>355</v>
      </c>
    </row>
    <row r="42505" ht="16.5" customHeight="1">
      <c r="O42505" s="5" t="s">
        <v>355</v>
      </c>
      <c r="P42505" s="5" t="s">
        <v>355</v>
      </c>
      <c r="Q42505" s="5" t="s">
        <v>355</v>
      </c>
    </row>
    <row r="42506" ht="16.5" customHeight="1">
      <c r="O42506" s="5" t="s">
        <v>355</v>
      </c>
      <c r="P42506" s="5" t="s">
        <v>355</v>
      </c>
      <c r="Q42506" s="5" t="s">
        <v>355</v>
      </c>
    </row>
    <row r="42507" ht="16.5" customHeight="1">
      <c r="O42507" s="5" t="s">
        <v>355</v>
      </c>
      <c r="P42507" s="5" t="s">
        <v>355</v>
      </c>
      <c r="Q42507" s="5" t="s">
        <v>355</v>
      </c>
    </row>
    <row r="42508" ht="16.5" customHeight="1">
      <c r="O42508" s="5" t="s">
        <v>355</v>
      </c>
      <c r="P42508" s="5" t="s">
        <v>355</v>
      </c>
      <c r="Q42508" s="5" t="s">
        <v>355</v>
      </c>
    </row>
    <row r="42509" ht="16.5" customHeight="1">
      <c r="O42509" s="5" t="s">
        <v>355</v>
      </c>
      <c r="P42509" s="5" t="s">
        <v>355</v>
      </c>
      <c r="Q42509" s="5" t="s">
        <v>355</v>
      </c>
    </row>
    <row r="42510" ht="16.5" customHeight="1">
      <c r="O42510" s="5" t="s">
        <v>355</v>
      </c>
      <c r="P42510" s="5" t="s">
        <v>355</v>
      </c>
      <c r="Q42510" s="5" t="s">
        <v>355</v>
      </c>
    </row>
    <row r="42511" ht="16.5" customHeight="1">
      <c r="O42511" s="5" t="s">
        <v>355</v>
      </c>
      <c r="P42511" s="5" t="s">
        <v>355</v>
      </c>
      <c r="Q42511" s="5" t="s">
        <v>355</v>
      </c>
    </row>
    <row r="42512" ht="16.5" customHeight="1">
      <c r="O42512" s="5" t="s">
        <v>355</v>
      </c>
      <c r="P42512" s="5" t="s">
        <v>355</v>
      </c>
      <c r="Q42512" s="5" t="s">
        <v>355</v>
      </c>
    </row>
    <row r="42513" ht="16.5" customHeight="1">
      <c r="O42513" s="5" t="s">
        <v>355</v>
      </c>
      <c r="P42513" s="5" t="s">
        <v>355</v>
      </c>
      <c r="Q42513" s="5" t="s">
        <v>355</v>
      </c>
    </row>
    <row r="42514" ht="16.5" customHeight="1">
      <c r="O42514" s="5" t="s">
        <v>355</v>
      </c>
      <c r="P42514" s="5" t="s">
        <v>355</v>
      </c>
      <c r="Q42514" s="5" t="s">
        <v>355</v>
      </c>
    </row>
    <row r="42515" ht="16.5" customHeight="1">
      <c r="O42515" s="5" t="s">
        <v>355</v>
      </c>
      <c r="P42515" s="5" t="s">
        <v>355</v>
      </c>
      <c r="Q42515" s="5" t="s">
        <v>355</v>
      </c>
    </row>
    <row r="42516" ht="16.5" customHeight="1">
      <c r="O42516" s="5" t="s">
        <v>355</v>
      </c>
      <c r="P42516" s="5" t="s">
        <v>355</v>
      </c>
      <c r="Q42516" s="5" t="s">
        <v>355</v>
      </c>
    </row>
    <row r="42517" ht="16.5" customHeight="1">
      <c r="O42517" s="5" t="s">
        <v>355</v>
      </c>
      <c r="P42517" s="5" t="s">
        <v>355</v>
      </c>
      <c r="Q42517" s="5" t="s">
        <v>355</v>
      </c>
    </row>
    <row r="42518" ht="16.5" customHeight="1">
      <c r="O42518" s="5" t="s">
        <v>355</v>
      </c>
      <c r="P42518" s="5" t="s">
        <v>355</v>
      </c>
      <c r="Q42518" s="5" t="s">
        <v>355</v>
      </c>
    </row>
    <row r="42519" ht="16.5" customHeight="1">
      <c r="O42519" s="5" t="s">
        <v>355</v>
      </c>
      <c r="P42519" s="5" t="s">
        <v>355</v>
      </c>
      <c r="Q42519" s="5" t="s">
        <v>355</v>
      </c>
    </row>
    <row r="42520" ht="16.5" customHeight="1">
      <c r="O42520" s="5" t="s">
        <v>355</v>
      </c>
      <c r="P42520" s="5" t="s">
        <v>355</v>
      </c>
      <c r="Q42520" s="5" t="s">
        <v>355</v>
      </c>
    </row>
    <row r="42521" ht="16.5" customHeight="1">
      <c r="O42521" s="5" t="s">
        <v>355</v>
      </c>
      <c r="P42521" s="5" t="s">
        <v>355</v>
      </c>
      <c r="Q42521" s="5" t="s">
        <v>355</v>
      </c>
    </row>
    <row r="42522" ht="16.5" customHeight="1">
      <c r="O42522" s="5" t="s">
        <v>355</v>
      </c>
      <c r="P42522" s="5" t="s">
        <v>355</v>
      </c>
      <c r="Q42522" s="5" t="s">
        <v>355</v>
      </c>
    </row>
    <row r="42523" ht="16.5" customHeight="1">
      <c r="O42523" s="5" t="s">
        <v>355</v>
      </c>
      <c r="P42523" s="5" t="s">
        <v>355</v>
      </c>
      <c r="Q42523" s="5" t="s">
        <v>355</v>
      </c>
    </row>
    <row r="42524" ht="16.5" customHeight="1">
      <c r="O42524" s="5" t="s">
        <v>355</v>
      </c>
      <c r="P42524" s="5" t="s">
        <v>355</v>
      </c>
      <c r="Q42524" s="5" t="s">
        <v>355</v>
      </c>
    </row>
    <row r="42525" ht="16.5" customHeight="1">
      <c r="O42525" s="5" t="s">
        <v>355</v>
      </c>
      <c r="P42525" s="5" t="s">
        <v>355</v>
      </c>
      <c r="Q42525" s="5" t="s">
        <v>355</v>
      </c>
    </row>
    <row r="42526" ht="16.5" customHeight="1">
      <c r="O42526" s="5" t="s">
        <v>355</v>
      </c>
      <c r="P42526" s="5" t="s">
        <v>355</v>
      </c>
      <c r="Q42526" s="5" t="s">
        <v>355</v>
      </c>
    </row>
    <row r="42527" ht="16.5" customHeight="1">
      <c r="O42527" s="5" t="s">
        <v>355</v>
      </c>
      <c r="P42527" s="5" t="s">
        <v>355</v>
      </c>
      <c r="Q42527" s="5" t="s">
        <v>355</v>
      </c>
    </row>
    <row r="42528" ht="16.5" customHeight="1">
      <c r="O42528" s="5" t="s">
        <v>355</v>
      </c>
      <c r="P42528" s="5" t="s">
        <v>355</v>
      </c>
      <c r="Q42528" s="5" t="s">
        <v>355</v>
      </c>
    </row>
    <row r="42529" ht="16.5" customHeight="1">
      <c r="O42529" s="5" t="s">
        <v>355</v>
      </c>
      <c r="P42529" s="5" t="s">
        <v>355</v>
      </c>
      <c r="Q42529" s="5" t="s">
        <v>355</v>
      </c>
    </row>
    <row r="42530" ht="16.5" customHeight="1">
      <c r="O42530" s="5" t="s">
        <v>355</v>
      </c>
      <c r="P42530" s="5" t="s">
        <v>355</v>
      </c>
      <c r="Q42530" s="5" t="s">
        <v>355</v>
      </c>
    </row>
    <row r="42531" ht="16.5" customHeight="1">
      <c r="O42531" s="5" t="s">
        <v>355</v>
      </c>
      <c r="P42531" s="5" t="s">
        <v>355</v>
      </c>
      <c r="Q42531" s="5" t="s">
        <v>355</v>
      </c>
    </row>
    <row r="42532" ht="16.5" customHeight="1">
      <c r="O42532" s="5" t="s">
        <v>355</v>
      </c>
      <c r="P42532" s="5" t="s">
        <v>355</v>
      </c>
      <c r="Q42532" s="5" t="s">
        <v>355</v>
      </c>
    </row>
    <row r="42533" ht="16.5" customHeight="1">
      <c r="O42533" s="5" t="s">
        <v>355</v>
      </c>
      <c r="P42533" s="5" t="s">
        <v>355</v>
      </c>
      <c r="Q42533" s="5" t="s">
        <v>355</v>
      </c>
    </row>
    <row r="42534" ht="16.5" customHeight="1">
      <c r="O42534" s="5" t="s">
        <v>355</v>
      </c>
      <c r="P42534" s="5" t="s">
        <v>355</v>
      </c>
      <c r="Q42534" s="5" t="s">
        <v>355</v>
      </c>
    </row>
    <row r="42535" ht="16.5" customHeight="1">
      <c r="O42535" s="5" t="s">
        <v>355</v>
      </c>
      <c r="P42535" s="5" t="s">
        <v>355</v>
      </c>
      <c r="Q42535" s="5" t="s">
        <v>355</v>
      </c>
    </row>
    <row r="42536" ht="16.5" customHeight="1">
      <c r="O42536" s="5" t="s">
        <v>355</v>
      </c>
      <c r="P42536" s="5" t="s">
        <v>355</v>
      </c>
      <c r="Q42536" s="5" t="s">
        <v>355</v>
      </c>
    </row>
    <row r="42537" ht="16.5" customHeight="1">
      <c r="O42537" s="5" t="s">
        <v>355</v>
      </c>
      <c r="P42537" s="5" t="s">
        <v>355</v>
      </c>
      <c r="Q42537" s="5" t="s">
        <v>355</v>
      </c>
    </row>
    <row r="42538" ht="16.5" customHeight="1">
      <c r="O42538" s="5" t="s">
        <v>355</v>
      </c>
      <c r="P42538" s="5" t="s">
        <v>355</v>
      </c>
      <c r="Q42538" s="5" t="s">
        <v>355</v>
      </c>
    </row>
    <row r="42539" ht="16.5" customHeight="1">
      <c r="O42539" s="5" t="s">
        <v>355</v>
      </c>
      <c r="P42539" s="5" t="s">
        <v>355</v>
      </c>
      <c r="Q42539" s="5" t="s">
        <v>355</v>
      </c>
    </row>
    <row r="42540" ht="16.5" customHeight="1">
      <c r="O42540" s="5" t="s">
        <v>355</v>
      </c>
      <c r="P42540" s="5" t="s">
        <v>355</v>
      </c>
      <c r="Q42540" s="5" t="s">
        <v>355</v>
      </c>
    </row>
    <row r="42541" ht="16.5" customHeight="1">
      <c r="O42541" s="5" t="s">
        <v>355</v>
      </c>
      <c r="P42541" s="5" t="s">
        <v>355</v>
      </c>
      <c r="Q42541" s="5" t="s">
        <v>355</v>
      </c>
    </row>
    <row r="42542" ht="16.5" customHeight="1">
      <c r="O42542" s="5" t="s">
        <v>355</v>
      </c>
      <c r="P42542" s="5" t="s">
        <v>355</v>
      </c>
      <c r="Q42542" s="5" t="s">
        <v>355</v>
      </c>
    </row>
    <row r="42543" ht="16.5" customHeight="1">
      <c r="O42543" s="5" t="s">
        <v>355</v>
      </c>
      <c r="P42543" s="5" t="s">
        <v>355</v>
      </c>
      <c r="Q42543" s="5" t="s">
        <v>355</v>
      </c>
    </row>
    <row r="42544" ht="16.5" customHeight="1">
      <c r="O42544" s="5" t="s">
        <v>355</v>
      </c>
      <c r="P42544" s="5" t="s">
        <v>355</v>
      </c>
      <c r="Q42544" s="5" t="s">
        <v>355</v>
      </c>
    </row>
    <row r="42545" ht="16.5" customHeight="1">
      <c r="O42545" s="5" t="s">
        <v>355</v>
      </c>
      <c r="P42545" s="5" t="s">
        <v>355</v>
      </c>
      <c r="Q42545" s="5" t="s">
        <v>355</v>
      </c>
    </row>
    <row r="42546" ht="16.5" customHeight="1">
      <c r="O42546" s="5" t="s">
        <v>355</v>
      </c>
      <c r="P42546" s="5" t="s">
        <v>355</v>
      </c>
      <c r="Q42546" s="5" t="s">
        <v>355</v>
      </c>
    </row>
    <row r="42547" ht="16.5" customHeight="1">
      <c r="O42547" s="5" t="s">
        <v>355</v>
      </c>
      <c r="P42547" s="5" t="s">
        <v>355</v>
      </c>
      <c r="Q42547" s="5" t="s">
        <v>355</v>
      </c>
    </row>
    <row r="42548" ht="16.5" customHeight="1">
      <c r="O42548" s="5" t="s">
        <v>355</v>
      </c>
      <c r="P42548" s="5" t="s">
        <v>355</v>
      </c>
      <c r="Q42548" s="5" t="s">
        <v>355</v>
      </c>
    </row>
    <row r="42549" ht="16.5" customHeight="1">
      <c r="O42549" s="5" t="s">
        <v>355</v>
      </c>
      <c r="P42549" s="5" t="s">
        <v>355</v>
      </c>
      <c r="Q42549" s="5" t="s">
        <v>355</v>
      </c>
    </row>
    <row r="42550" ht="16.5" customHeight="1">
      <c r="O42550" s="5" t="s">
        <v>355</v>
      </c>
      <c r="P42550" s="5" t="s">
        <v>355</v>
      </c>
      <c r="Q42550" s="5" t="s">
        <v>355</v>
      </c>
    </row>
    <row r="42551" ht="16.5" customHeight="1">
      <c r="O42551" s="5" t="s">
        <v>355</v>
      </c>
      <c r="P42551" s="5" t="s">
        <v>355</v>
      </c>
      <c r="Q42551" s="5" t="s">
        <v>355</v>
      </c>
    </row>
    <row r="42552" ht="16.5" customHeight="1">
      <c r="O42552" s="5" t="s">
        <v>355</v>
      </c>
      <c r="P42552" s="5" t="s">
        <v>355</v>
      </c>
      <c r="Q42552" s="5" t="s">
        <v>355</v>
      </c>
    </row>
    <row r="42553" ht="16.5" customHeight="1">
      <c r="O42553" s="5" t="s">
        <v>355</v>
      </c>
      <c r="P42553" s="5" t="s">
        <v>355</v>
      </c>
      <c r="Q42553" s="5" t="s">
        <v>355</v>
      </c>
    </row>
    <row r="42554" ht="16.5" customHeight="1">
      <c r="O42554" s="5" t="s">
        <v>355</v>
      </c>
      <c r="P42554" s="5" t="s">
        <v>355</v>
      </c>
      <c r="Q42554" s="5" t="s">
        <v>355</v>
      </c>
    </row>
    <row r="42555" ht="16.5" customHeight="1">
      <c r="O42555" s="5" t="s">
        <v>355</v>
      </c>
      <c r="P42555" s="5" t="s">
        <v>355</v>
      </c>
      <c r="Q42555" s="5" t="s">
        <v>355</v>
      </c>
    </row>
    <row r="42556" ht="16.5" customHeight="1">
      <c r="O42556" s="5" t="s">
        <v>355</v>
      </c>
      <c r="P42556" s="5" t="s">
        <v>355</v>
      </c>
      <c r="Q42556" s="5" t="s">
        <v>355</v>
      </c>
    </row>
    <row r="42557" ht="16.5" customHeight="1">
      <c r="O42557" s="5" t="s">
        <v>355</v>
      </c>
      <c r="P42557" s="5" t="s">
        <v>355</v>
      </c>
      <c r="Q42557" s="5" t="s">
        <v>355</v>
      </c>
    </row>
    <row r="42558" ht="16.5" customHeight="1">
      <c r="O42558" s="5" t="s">
        <v>355</v>
      </c>
      <c r="P42558" s="5" t="s">
        <v>355</v>
      </c>
      <c r="Q42558" s="5" t="s">
        <v>355</v>
      </c>
    </row>
    <row r="42559" ht="16.5" customHeight="1">
      <c r="O42559" s="5" t="s">
        <v>355</v>
      </c>
      <c r="P42559" s="5" t="s">
        <v>355</v>
      </c>
      <c r="Q42559" s="5" t="s">
        <v>355</v>
      </c>
    </row>
    <row r="42560" ht="16.5" customHeight="1">
      <c r="O42560" s="5" t="s">
        <v>355</v>
      </c>
      <c r="P42560" s="5" t="s">
        <v>355</v>
      </c>
      <c r="Q42560" s="5" t="s">
        <v>355</v>
      </c>
    </row>
    <row r="42561" ht="16.5" customHeight="1">
      <c r="O42561" s="5" t="s">
        <v>355</v>
      </c>
      <c r="P42561" s="5" t="s">
        <v>355</v>
      </c>
      <c r="Q42561" s="5" t="s">
        <v>355</v>
      </c>
    </row>
    <row r="42562" ht="16.5" customHeight="1">
      <c r="O42562" s="5" t="s">
        <v>355</v>
      </c>
      <c r="P42562" s="5" t="s">
        <v>355</v>
      </c>
      <c r="Q42562" s="5" t="s">
        <v>355</v>
      </c>
    </row>
    <row r="42563" ht="16.5" customHeight="1">
      <c r="O42563" s="5" t="s">
        <v>355</v>
      </c>
      <c r="P42563" s="5" t="s">
        <v>355</v>
      </c>
      <c r="Q42563" s="5" t="s">
        <v>355</v>
      </c>
    </row>
    <row r="42564" ht="16.5" customHeight="1">
      <c r="O42564" s="5" t="s">
        <v>355</v>
      </c>
      <c r="P42564" s="5" t="s">
        <v>355</v>
      </c>
      <c r="Q42564" s="5" t="s">
        <v>355</v>
      </c>
    </row>
    <row r="42565" ht="16.5" customHeight="1">
      <c r="O42565" s="5" t="s">
        <v>355</v>
      </c>
      <c r="P42565" s="5" t="s">
        <v>355</v>
      </c>
      <c r="Q42565" s="5" t="s">
        <v>355</v>
      </c>
    </row>
    <row r="42566" ht="16.5" customHeight="1">
      <c r="O42566" s="5" t="s">
        <v>355</v>
      </c>
      <c r="P42566" s="5" t="s">
        <v>355</v>
      </c>
      <c r="Q42566" s="5" t="s">
        <v>355</v>
      </c>
    </row>
    <row r="42567" ht="16.5" customHeight="1">
      <c r="O42567" s="5" t="s">
        <v>355</v>
      </c>
      <c r="P42567" s="5" t="s">
        <v>355</v>
      </c>
      <c r="Q42567" s="5" t="s">
        <v>355</v>
      </c>
    </row>
    <row r="42568" ht="16.5" customHeight="1">
      <c r="O42568" s="5" t="s">
        <v>355</v>
      </c>
      <c r="P42568" s="5" t="s">
        <v>355</v>
      </c>
      <c r="Q42568" s="5" t="s">
        <v>355</v>
      </c>
    </row>
    <row r="42569" ht="16.5" customHeight="1">
      <c r="O42569" s="5" t="s">
        <v>355</v>
      </c>
      <c r="P42569" s="5" t="s">
        <v>355</v>
      </c>
      <c r="Q42569" s="5" t="s">
        <v>355</v>
      </c>
    </row>
    <row r="42570" ht="16.5" customHeight="1">
      <c r="O42570" s="5" t="s">
        <v>355</v>
      </c>
      <c r="P42570" s="5" t="s">
        <v>355</v>
      </c>
      <c r="Q42570" s="5" t="s">
        <v>355</v>
      </c>
    </row>
    <row r="42571" ht="16.5" customHeight="1">
      <c r="O42571" s="5" t="s">
        <v>355</v>
      </c>
      <c r="P42571" s="5" t="s">
        <v>355</v>
      </c>
      <c r="Q42571" s="5" t="s">
        <v>355</v>
      </c>
    </row>
    <row r="42572" ht="16.5" customHeight="1">
      <c r="O42572" s="5" t="s">
        <v>355</v>
      </c>
      <c r="P42572" s="5" t="s">
        <v>355</v>
      </c>
      <c r="Q42572" s="5" t="s">
        <v>355</v>
      </c>
    </row>
    <row r="42573" ht="16.5" customHeight="1">
      <c r="O42573" s="5" t="s">
        <v>355</v>
      </c>
      <c r="P42573" s="5" t="s">
        <v>355</v>
      </c>
      <c r="Q42573" s="5" t="s">
        <v>355</v>
      </c>
    </row>
    <row r="42574" ht="16.5" customHeight="1">
      <c r="O42574" s="5" t="s">
        <v>355</v>
      </c>
      <c r="P42574" s="5" t="s">
        <v>355</v>
      </c>
      <c r="Q42574" s="5" t="s">
        <v>355</v>
      </c>
    </row>
    <row r="42575" ht="16.5" customHeight="1">
      <c r="O42575" s="5" t="s">
        <v>355</v>
      </c>
      <c r="P42575" s="5" t="s">
        <v>355</v>
      </c>
      <c r="Q42575" s="5" t="s">
        <v>355</v>
      </c>
    </row>
    <row r="42576" ht="16.5" customHeight="1">
      <c r="O42576" s="5" t="s">
        <v>355</v>
      </c>
      <c r="P42576" s="5" t="s">
        <v>355</v>
      </c>
      <c r="Q42576" s="5" t="s">
        <v>355</v>
      </c>
    </row>
    <row r="42577" ht="16.5" customHeight="1">
      <c r="O42577" s="5" t="s">
        <v>355</v>
      </c>
      <c r="P42577" s="5" t="s">
        <v>355</v>
      </c>
      <c r="Q42577" s="5" t="s">
        <v>355</v>
      </c>
    </row>
    <row r="42578" ht="16.5" customHeight="1">
      <c r="O42578" s="5" t="s">
        <v>355</v>
      </c>
      <c r="P42578" s="5" t="s">
        <v>355</v>
      </c>
      <c r="Q42578" s="5" t="s">
        <v>355</v>
      </c>
    </row>
    <row r="42579" ht="16.5" customHeight="1">
      <c r="O42579" s="5" t="s">
        <v>355</v>
      </c>
      <c r="P42579" s="5" t="s">
        <v>355</v>
      </c>
      <c r="Q42579" s="5" t="s">
        <v>355</v>
      </c>
    </row>
    <row r="42580" ht="16.5" customHeight="1">
      <c r="O42580" s="5" t="s">
        <v>355</v>
      </c>
      <c r="P42580" s="5" t="s">
        <v>355</v>
      </c>
      <c r="Q42580" s="5" t="s">
        <v>355</v>
      </c>
    </row>
    <row r="42581" ht="16.5" customHeight="1">
      <c r="O42581" s="5" t="s">
        <v>355</v>
      </c>
      <c r="P42581" s="5" t="s">
        <v>355</v>
      </c>
      <c r="Q42581" s="5" t="s">
        <v>355</v>
      </c>
    </row>
    <row r="42582" ht="16.5" customHeight="1">
      <c r="O42582" s="5" t="s">
        <v>355</v>
      </c>
      <c r="P42582" s="5" t="s">
        <v>355</v>
      </c>
      <c r="Q42582" s="5" t="s">
        <v>355</v>
      </c>
    </row>
    <row r="42583" ht="16.5" customHeight="1">
      <c r="O42583" s="5" t="s">
        <v>355</v>
      </c>
      <c r="P42583" s="5" t="s">
        <v>355</v>
      </c>
      <c r="Q42583" s="5" t="s">
        <v>355</v>
      </c>
    </row>
    <row r="42584" ht="16.5" customHeight="1">
      <c r="O42584" s="5" t="s">
        <v>355</v>
      </c>
      <c r="P42584" s="5" t="s">
        <v>355</v>
      </c>
      <c r="Q42584" s="5" t="s">
        <v>355</v>
      </c>
    </row>
    <row r="42585" ht="16.5" customHeight="1">
      <c r="O42585" s="5" t="s">
        <v>355</v>
      </c>
      <c r="P42585" s="5" t="s">
        <v>355</v>
      </c>
      <c r="Q42585" s="5" t="s">
        <v>355</v>
      </c>
    </row>
    <row r="42586" ht="16.5" customHeight="1">
      <c r="O42586" s="5" t="s">
        <v>355</v>
      </c>
      <c r="P42586" s="5" t="s">
        <v>355</v>
      </c>
      <c r="Q42586" s="5" t="s">
        <v>355</v>
      </c>
    </row>
    <row r="42587" ht="16.5" customHeight="1">
      <c r="O42587" s="5" t="s">
        <v>355</v>
      </c>
      <c r="P42587" s="5" t="s">
        <v>355</v>
      </c>
      <c r="Q42587" s="5" t="s">
        <v>355</v>
      </c>
    </row>
    <row r="42588" ht="16.5" customHeight="1">
      <c r="O42588" s="5" t="s">
        <v>355</v>
      </c>
      <c r="P42588" s="5" t="s">
        <v>355</v>
      </c>
      <c r="Q42588" s="5" t="s">
        <v>355</v>
      </c>
    </row>
    <row r="42589" ht="16.5" customHeight="1">
      <c r="O42589" s="5" t="s">
        <v>355</v>
      </c>
      <c r="P42589" s="5" t="s">
        <v>355</v>
      </c>
      <c r="Q42589" s="5" t="s">
        <v>355</v>
      </c>
    </row>
    <row r="42590" ht="16.5" customHeight="1">
      <c r="O42590" s="5" t="s">
        <v>355</v>
      </c>
      <c r="P42590" s="5" t="s">
        <v>355</v>
      </c>
      <c r="Q42590" s="5" t="s">
        <v>355</v>
      </c>
    </row>
    <row r="42591" ht="16.5" customHeight="1">
      <c r="O42591" s="5" t="s">
        <v>355</v>
      </c>
      <c r="P42591" s="5" t="s">
        <v>355</v>
      </c>
      <c r="Q42591" s="5" t="s">
        <v>355</v>
      </c>
    </row>
    <row r="42592" ht="16.5" customHeight="1">
      <c r="O42592" s="5" t="s">
        <v>355</v>
      </c>
      <c r="P42592" s="5" t="s">
        <v>355</v>
      </c>
      <c r="Q42592" s="5" t="s">
        <v>355</v>
      </c>
    </row>
    <row r="42593" ht="16.5" customHeight="1">
      <c r="O42593" s="5" t="s">
        <v>355</v>
      </c>
      <c r="P42593" s="5" t="s">
        <v>355</v>
      </c>
      <c r="Q42593" s="5" t="s">
        <v>355</v>
      </c>
    </row>
    <row r="42594" ht="16.5" customHeight="1">
      <c r="O42594" s="5" t="s">
        <v>355</v>
      </c>
      <c r="P42594" s="5" t="s">
        <v>355</v>
      </c>
      <c r="Q42594" s="5" t="s">
        <v>355</v>
      </c>
    </row>
    <row r="42595" ht="16.5" customHeight="1">
      <c r="O42595" s="5" t="s">
        <v>355</v>
      </c>
      <c r="P42595" s="5" t="s">
        <v>355</v>
      </c>
      <c r="Q42595" s="5" t="s">
        <v>355</v>
      </c>
    </row>
    <row r="42596" ht="16.5" customHeight="1">
      <c r="O42596" s="5" t="s">
        <v>355</v>
      </c>
      <c r="P42596" s="5" t="s">
        <v>355</v>
      </c>
      <c r="Q42596" s="5" t="s">
        <v>355</v>
      </c>
    </row>
    <row r="42597" ht="16.5" customHeight="1">
      <c r="O42597" s="5" t="s">
        <v>355</v>
      </c>
      <c r="P42597" s="5" t="s">
        <v>355</v>
      </c>
      <c r="Q42597" s="5" t="s">
        <v>355</v>
      </c>
    </row>
    <row r="42598" ht="16.5" customHeight="1">
      <c r="O42598" s="5" t="s">
        <v>355</v>
      </c>
      <c r="P42598" s="5" t="s">
        <v>355</v>
      </c>
      <c r="Q42598" s="5" t="s">
        <v>355</v>
      </c>
    </row>
    <row r="42599" ht="16.5" customHeight="1">
      <c r="O42599" s="5" t="s">
        <v>355</v>
      </c>
      <c r="P42599" s="5" t="s">
        <v>355</v>
      </c>
      <c r="Q42599" s="5" t="s">
        <v>355</v>
      </c>
    </row>
    <row r="42600" ht="16.5" customHeight="1">
      <c r="O42600" s="5" t="s">
        <v>355</v>
      </c>
      <c r="P42600" s="5" t="s">
        <v>355</v>
      </c>
      <c r="Q42600" s="5" t="s">
        <v>355</v>
      </c>
    </row>
    <row r="42601" ht="16.5" customHeight="1">
      <c r="O42601" s="5" t="s">
        <v>355</v>
      </c>
      <c r="P42601" s="5" t="s">
        <v>355</v>
      </c>
      <c r="Q42601" s="5" t="s">
        <v>355</v>
      </c>
    </row>
    <row r="42602" ht="16.5" customHeight="1">
      <c r="O42602" s="5" t="s">
        <v>355</v>
      </c>
      <c r="P42602" s="5" t="s">
        <v>355</v>
      </c>
      <c r="Q42602" s="5" t="s">
        <v>355</v>
      </c>
    </row>
    <row r="42603" ht="16.5" customHeight="1">
      <c r="O42603" s="5" t="s">
        <v>355</v>
      </c>
      <c r="P42603" s="5" t="s">
        <v>355</v>
      </c>
      <c r="Q42603" s="5" t="s">
        <v>355</v>
      </c>
    </row>
    <row r="42604" ht="16.5" customHeight="1">
      <c r="O42604" s="5" t="s">
        <v>355</v>
      </c>
      <c r="P42604" s="5" t="s">
        <v>355</v>
      </c>
      <c r="Q42604" s="5" t="s">
        <v>355</v>
      </c>
    </row>
    <row r="42605" ht="16.5" customHeight="1">
      <c r="O42605" s="5" t="s">
        <v>355</v>
      </c>
      <c r="P42605" s="5" t="s">
        <v>355</v>
      </c>
      <c r="Q42605" s="5" t="s">
        <v>355</v>
      </c>
    </row>
    <row r="42606" ht="16.5" customHeight="1">
      <c r="O42606" s="5" t="s">
        <v>355</v>
      </c>
      <c r="P42606" s="5" t="s">
        <v>355</v>
      </c>
      <c r="Q42606" s="5" t="s">
        <v>355</v>
      </c>
    </row>
    <row r="42607" ht="16.5" customHeight="1">
      <c r="O42607" s="5" t="s">
        <v>355</v>
      </c>
      <c r="P42607" s="5" t="s">
        <v>355</v>
      </c>
      <c r="Q42607" s="5" t="s">
        <v>355</v>
      </c>
    </row>
    <row r="42608" ht="16.5" customHeight="1">
      <c r="O42608" s="5" t="s">
        <v>355</v>
      </c>
      <c r="P42608" s="5" t="s">
        <v>355</v>
      </c>
      <c r="Q42608" s="5" t="s">
        <v>355</v>
      </c>
    </row>
    <row r="42609" ht="16.5" customHeight="1">
      <c r="O42609" s="5" t="s">
        <v>355</v>
      </c>
      <c r="P42609" s="5" t="s">
        <v>355</v>
      </c>
      <c r="Q42609" s="5" t="s">
        <v>355</v>
      </c>
    </row>
    <row r="42610" ht="16.5" customHeight="1">
      <c r="O42610" s="5" t="s">
        <v>355</v>
      </c>
      <c r="P42610" s="5" t="s">
        <v>355</v>
      </c>
      <c r="Q42610" s="5" t="s">
        <v>355</v>
      </c>
    </row>
    <row r="42611" ht="16.5" customHeight="1">
      <c r="O42611" s="5" t="s">
        <v>355</v>
      </c>
      <c r="P42611" s="5" t="s">
        <v>355</v>
      </c>
      <c r="Q42611" s="5" t="s">
        <v>355</v>
      </c>
    </row>
    <row r="42612" ht="16.5" customHeight="1">
      <c r="O42612" s="5" t="s">
        <v>355</v>
      </c>
      <c r="P42612" s="5" t="s">
        <v>355</v>
      </c>
      <c r="Q42612" s="5" t="s">
        <v>355</v>
      </c>
    </row>
    <row r="42613" ht="16.5" customHeight="1">
      <c r="O42613" s="5" t="s">
        <v>355</v>
      </c>
      <c r="P42613" s="5" t="s">
        <v>355</v>
      </c>
      <c r="Q42613" s="5" t="s">
        <v>355</v>
      </c>
    </row>
    <row r="42614" ht="16.5" customHeight="1">
      <c r="O42614" s="5" t="s">
        <v>355</v>
      </c>
      <c r="P42614" s="5" t="s">
        <v>355</v>
      </c>
      <c r="Q42614" s="5" t="s">
        <v>355</v>
      </c>
    </row>
    <row r="42615" ht="16.5" customHeight="1">
      <c r="O42615" s="5" t="s">
        <v>355</v>
      </c>
      <c r="P42615" s="5" t="s">
        <v>355</v>
      </c>
      <c r="Q42615" s="5" t="s">
        <v>355</v>
      </c>
    </row>
    <row r="42616" ht="16.5" customHeight="1">
      <c r="O42616" s="5" t="s">
        <v>355</v>
      </c>
      <c r="P42616" s="5" t="s">
        <v>355</v>
      </c>
      <c r="Q42616" s="5" t="s">
        <v>355</v>
      </c>
    </row>
    <row r="42617" ht="16.5" customHeight="1">
      <c r="O42617" s="5" t="s">
        <v>355</v>
      </c>
      <c r="P42617" s="5" t="s">
        <v>355</v>
      </c>
      <c r="Q42617" s="5" t="s">
        <v>355</v>
      </c>
    </row>
    <row r="42618" ht="16.5" customHeight="1">
      <c r="O42618" s="5" t="s">
        <v>355</v>
      </c>
      <c r="P42618" s="5" t="s">
        <v>355</v>
      </c>
      <c r="Q42618" s="5" t="s">
        <v>355</v>
      </c>
    </row>
    <row r="42619" ht="16.5" customHeight="1">
      <c r="O42619" s="5" t="s">
        <v>355</v>
      </c>
      <c r="P42619" s="5" t="s">
        <v>355</v>
      </c>
      <c r="Q42619" s="5" t="s">
        <v>355</v>
      </c>
    </row>
    <row r="42620" ht="16.5" customHeight="1">
      <c r="O42620" s="5" t="s">
        <v>355</v>
      </c>
      <c r="P42620" s="5" t="s">
        <v>355</v>
      </c>
      <c r="Q42620" s="5" t="s">
        <v>355</v>
      </c>
    </row>
    <row r="42621" ht="16.5" customHeight="1">
      <c r="O42621" s="5" t="s">
        <v>355</v>
      </c>
      <c r="P42621" s="5" t="s">
        <v>355</v>
      </c>
      <c r="Q42621" s="5" t="s">
        <v>355</v>
      </c>
    </row>
    <row r="42622" ht="16.5" customHeight="1">
      <c r="O42622" s="5" t="s">
        <v>355</v>
      </c>
      <c r="P42622" s="5" t="s">
        <v>355</v>
      </c>
      <c r="Q42622" s="5" t="s">
        <v>355</v>
      </c>
    </row>
    <row r="42623" ht="16.5" customHeight="1">
      <c r="O42623" s="5" t="s">
        <v>355</v>
      </c>
      <c r="P42623" s="5" t="s">
        <v>355</v>
      </c>
      <c r="Q42623" s="5" t="s">
        <v>355</v>
      </c>
    </row>
    <row r="42624" ht="16.5" customHeight="1">
      <c r="O42624" s="5" t="s">
        <v>355</v>
      </c>
      <c r="P42624" s="5" t="s">
        <v>355</v>
      </c>
      <c r="Q42624" s="5" t="s">
        <v>355</v>
      </c>
    </row>
    <row r="42625" ht="16.5" customHeight="1">
      <c r="O42625" s="5" t="s">
        <v>355</v>
      </c>
      <c r="P42625" s="5" t="s">
        <v>355</v>
      </c>
      <c r="Q42625" s="5" t="s">
        <v>355</v>
      </c>
    </row>
    <row r="42626" ht="16.5" customHeight="1">
      <c r="O42626" s="5" t="s">
        <v>355</v>
      </c>
      <c r="P42626" s="5" t="s">
        <v>355</v>
      </c>
      <c r="Q42626" s="5" t="s">
        <v>355</v>
      </c>
    </row>
    <row r="42627" ht="16.5" customHeight="1">
      <c r="O42627" s="5" t="s">
        <v>355</v>
      </c>
      <c r="P42627" s="5" t="s">
        <v>355</v>
      </c>
      <c r="Q42627" s="5" t="s">
        <v>355</v>
      </c>
    </row>
    <row r="42628" ht="16.5" customHeight="1">
      <c r="O42628" s="5" t="s">
        <v>355</v>
      </c>
      <c r="P42628" s="5" t="s">
        <v>355</v>
      </c>
      <c r="Q42628" s="5" t="s">
        <v>355</v>
      </c>
    </row>
    <row r="42629" ht="16.5" customHeight="1">
      <c r="O42629" s="5" t="s">
        <v>355</v>
      </c>
      <c r="P42629" s="5" t="s">
        <v>355</v>
      </c>
      <c r="Q42629" s="5" t="s">
        <v>355</v>
      </c>
    </row>
    <row r="42630" ht="16.5" customHeight="1">
      <c r="O42630" s="5" t="s">
        <v>355</v>
      </c>
      <c r="P42630" s="5" t="s">
        <v>355</v>
      </c>
      <c r="Q42630" s="5" t="s">
        <v>355</v>
      </c>
    </row>
    <row r="42631" ht="16.5" customHeight="1">
      <c r="O42631" s="5" t="s">
        <v>355</v>
      </c>
      <c r="P42631" s="5" t="s">
        <v>355</v>
      </c>
      <c r="Q42631" s="5" t="s">
        <v>355</v>
      </c>
    </row>
    <row r="42632" ht="16.5" customHeight="1">
      <c r="O42632" s="5" t="s">
        <v>355</v>
      </c>
      <c r="P42632" s="5" t="s">
        <v>355</v>
      </c>
      <c r="Q42632" s="5" t="s">
        <v>355</v>
      </c>
    </row>
    <row r="42633" ht="16.5" customHeight="1">
      <c r="O42633" s="5" t="s">
        <v>355</v>
      </c>
      <c r="P42633" s="5" t="s">
        <v>355</v>
      </c>
      <c r="Q42633" s="5" t="s">
        <v>355</v>
      </c>
    </row>
    <row r="42634" ht="16.5" customHeight="1">
      <c r="O42634" s="5" t="s">
        <v>355</v>
      </c>
      <c r="P42634" s="5" t="s">
        <v>355</v>
      </c>
      <c r="Q42634" s="5" t="s">
        <v>355</v>
      </c>
    </row>
    <row r="42635" ht="16.5" customHeight="1">
      <c r="O42635" s="5" t="s">
        <v>355</v>
      </c>
      <c r="P42635" s="5" t="s">
        <v>355</v>
      </c>
      <c r="Q42635" s="5" t="s">
        <v>355</v>
      </c>
    </row>
    <row r="42636" ht="16.5" customHeight="1">
      <c r="O42636" s="5" t="s">
        <v>355</v>
      </c>
      <c r="P42636" s="5" t="s">
        <v>355</v>
      </c>
      <c r="Q42636" s="5" t="s">
        <v>355</v>
      </c>
    </row>
    <row r="42637" ht="16.5" customHeight="1">
      <c r="O42637" s="5" t="s">
        <v>355</v>
      </c>
      <c r="P42637" s="5" t="s">
        <v>355</v>
      </c>
      <c r="Q42637" s="5" t="s">
        <v>355</v>
      </c>
    </row>
    <row r="42638" ht="16.5" customHeight="1">
      <c r="O42638" s="5" t="s">
        <v>355</v>
      </c>
      <c r="P42638" s="5" t="s">
        <v>355</v>
      </c>
      <c r="Q42638" s="5" t="s">
        <v>355</v>
      </c>
    </row>
    <row r="42639" ht="16.5" customHeight="1">
      <c r="O42639" s="5" t="s">
        <v>355</v>
      </c>
      <c r="P42639" s="5" t="s">
        <v>355</v>
      </c>
      <c r="Q42639" s="5" t="s">
        <v>355</v>
      </c>
    </row>
    <row r="42640" ht="16.5" customHeight="1">
      <c r="O42640" s="5" t="s">
        <v>355</v>
      </c>
      <c r="P42640" s="5" t="s">
        <v>355</v>
      </c>
      <c r="Q42640" s="5" t="s">
        <v>355</v>
      </c>
    </row>
    <row r="42641" ht="16.5" customHeight="1">
      <c r="O42641" s="5" t="s">
        <v>355</v>
      </c>
      <c r="P42641" s="5" t="s">
        <v>355</v>
      </c>
      <c r="Q42641" s="5" t="s">
        <v>355</v>
      </c>
    </row>
    <row r="42642" ht="16.5" customHeight="1">
      <c r="O42642" s="5" t="s">
        <v>355</v>
      </c>
      <c r="P42642" s="5" t="s">
        <v>355</v>
      </c>
      <c r="Q42642" s="5" t="s">
        <v>355</v>
      </c>
    </row>
    <row r="42643" ht="16.5" customHeight="1">
      <c r="O42643" s="5" t="s">
        <v>355</v>
      </c>
      <c r="P42643" s="5" t="s">
        <v>355</v>
      </c>
      <c r="Q42643" s="5" t="s">
        <v>355</v>
      </c>
    </row>
    <row r="42644" ht="16.5" customHeight="1">
      <c r="O42644" s="5" t="s">
        <v>355</v>
      </c>
      <c r="P42644" s="5" t="s">
        <v>355</v>
      </c>
      <c r="Q42644" s="5" t="s">
        <v>355</v>
      </c>
    </row>
    <row r="42645" ht="16.5" customHeight="1">
      <c r="O42645" s="5" t="s">
        <v>355</v>
      </c>
      <c r="P42645" s="5" t="s">
        <v>355</v>
      </c>
      <c r="Q42645" s="5" t="s">
        <v>355</v>
      </c>
    </row>
    <row r="42646" ht="16.5" customHeight="1">
      <c r="O42646" s="5" t="s">
        <v>355</v>
      </c>
      <c r="P42646" s="5" t="s">
        <v>355</v>
      </c>
      <c r="Q42646" s="5" t="s">
        <v>355</v>
      </c>
    </row>
    <row r="42647" ht="16.5" customHeight="1">
      <c r="O42647" s="5" t="s">
        <v>355</v>
      </c>
      <c r="P42647" s="5" t="s">
        <v>355</v>
      </c>
      <c r="Q42647" s="5" t="s">
        <v>355</v>
      </c>
    </row>
    <row r="42648" ht="16.5" customHeight="1">
      <c r="O42648" s="5" t="s">
        <v>355</v>
      </c>
      <c r="P42648" s="5" t="s">
        <v>355</v>
      </c>
      <c r="Q42648" s="5" t="s">
        <v>355</v>
      </c>
    </row>
    <row r="42649" ht="16.5" customHeight="1">
      <c r="O42649" s="5" t="s">
        <v>355</v>
      </c>
      <c r="P42649" s="5" t="s">
        <v>355</v>
      </c>
      <c r="Q42649" s="5" t="s">
        <v>355</v>
      </c>
    </row>
    <row r="42650" ht="16.5" customHeight="1">
      <c r="O42650" s="5" t="s">
        <v>355</v>
      </c>
      <c r="P42650" s="5" t="s">
        <v>355</v>
      </c>
      <c r="Q42650" s="5" t="s">
        <v>355</v>
      </c>
    </row>
    <row r="42651" ht="16.5" customHeight="1">
      <c r="O42651" s="5" t="s">
        <v>355</v>
      </c>
      <c r="P42651" s="5" t="s">
        <v>355</v>
      </c>
      <c r="Q42651" s="5" t="s">
        <v>355</v>
      </c>
    </row>
    <row r="42652" ht="16.5" customHeight="1">
      <c r="O42652" s="5" t="s">
        <v>355</v>
      </c>
      <c r="P42652" s="5" t="s">
        <v>355</v>
      </c>
      <c r="Q42652" s="5" t="s">
        <v>355</v>
      </c>
    </row>
    <row r="42653" ht="16.5" customHeight="1">
      <c r="O42653" s="5" t="s">
        <v>355</v>
      </c>
      <c r="P42653" s="5" t="s">
        <v>355</v>
      </c>
      <c r="Q42653" s="5" t="s">
        <v>355</v>
      </c>
    </row>
    <row r="42654" ht="16.5" customHeight="1">
      <c r="O42654" s="5" t="s">
        <v>355</v>
      </c>
      <c r="P42654" s="5" t="s">
        <v>355</v>
      </c>
      <c r="Q42654" s="5" t="s">
        <v>355</v>
      </c>
    </row>
    <row r="42655" ht="16.5" customHeight="1">
      <c r="O42655" s="5" t="s">
        <v>355</v>
      </c>
      <c r="P42655" s="5" t="s">
        <v>355</v>
      </c>
      <c r="Q42655" s="5" t="s">
        <v>355</v>
      </c>
    </row>
    <row r="42656" ht="16.5" customHeight="1">
      <c r="O42656" s="5" t="s">
        <v>355</v>
      </c>
      <c r="P42656" s="5" t="s">
        <v>355</v>
      </c>
      <c r="Q42656" s="5" t="s">
        <v>355</v>
      </c>
    </row>
    <row r="42657" ht="16.5" customHeight="1">
      <c r="O42657" s="5" t="s">
        <v>355</v>
      </c>
      <c r="P42657" s="5" t="s">
        <v>355</v>
      </c>
      <c r="Q42657" s="5" t="s">
        <v>355</v>
      </c>
    </row>
    <row r="42658" ht="16.5" customHeight="1">
      <c r="O42658" s="5" t="s">
        <v>355</v>
      </c>
      <c r="P42658" s="5" t="s">
        <v>355</v>
      </c>
      <c r="Q42658" s="5" t="s">
        <v>355</v>
      </c>
    </row>
    <row r="42659" ht="16.5" customHeight="1">
      <c r="O42659" s="5" t="s">
        <v>355</v>
      </c>
      <c r="P42659" s="5" t="s">
        <v>355</v>
      </c>
      <c r="Q42659" s="5" t="s">
        <v>355</v>
      </c>
    </row>
    <row r="42660" ht="16.5" customHeight="1">
      <c r="O42660" s="5" t="s">
        <v>355</v>
      </c>
      <c r="P42660" s="5" t="s">
        <v>355</v>
      </c>
      <c r="Q42660" s="5" t="s">
        <v>355</v>
      </c>
    </row>
    <row r="42661" ht="16.5" customHeight="1">
      <c r="O42661" s="5" t="s">
        <v>355</v>
      </c>
      <c r="P42661" s="5" t="s">
        <v>355</v>
      </c>
      <c r="Q42661" s="5" t="s">
        <v>355</v>
      </c>
    </row>
    <row r="42662" ht="16.5" customHeight="1">
      <c r="O42662" s="5" t="s">
        <v>355</v>
      </c>
      <c r="P42662" s="5" t="s">
        <v>355</v>
      </c>
      <c r="Q42662" s="5" t="s">
        <v>355</v>
      </c>
    </row>
    <row r="42663" ht="16.5" customHeight="1">
      <c r="O42663" s="5" t="s">
        <v>355</v>
      </c>
      <c r="P42663" s="5" t="s">
        <v>355</v>
      </c>
      <c r="Q42663" s="5" t="s">
        <v>355</v>
      </c>
    </row>
    <row r="42664" ht="16.5" customHeight="1">
      <c r="O42664" s="5" t="s">
        <v>355</v>
      </c>
      <c r="P42664" s="5" t="s">
        <v>355</v>
      </c>
      <c r="Q42664" s="5" t="s">
        <v>355</v>
      </c>
    </row>
    <row r="42665" ht="16.5" customHeight="1">
      <c r="O42665" s="5" t="s">
        <v>355</v>
      </c>
      <c r="P42665" s="5" t="s">
        <v>355</v>
      </c>
      <c r="Q42665" s="5" t="s">
        <v>355</v>
      </c>
    </row>
    <row r="42666" ht="16.5" customHeight="1">
      <c r="O42666" s="5" t="s">
        <v>355</v>
      </c>
      <c r="P42666" s="5" t="s">
        <v>355</v>
      </c>
      <c r="Q42666" s="5" t="s">
        <v>355</v>
      </c>
    </row>
    <row r="42667" ht="16.5" customHeight="1">
      <c r="O42667" s="5" t="s">
        <v>355</v>
      </c>
      <c r="P42667" s="5" t="s">
        <v>355</v>
      </c>
      <c r="Q42667" s="5" t="s">
        <v>355</v>
      </c>
    </row>
    <row r="42668" ht="16.5" customHeight="1">
      <c r="O42668" s="5" t="s">
        <v>355</v>
      </c>
      <c r="P42668" s="5" t="s">
        <v>355</v>
      </c>
      <c r="Q42668" s="5" t="s">
        <v>355</v>
      </c>
    </row>
    <row r="42669" ht="16.5" customHeight="1">
      <c r="O42669" s="5" t="s">
        <v>355</v>
      </c>
      <c r="P42669" s="5" t="s">
        <v>355</v>
      </c>
      <c r="Q42669" s="5" t="s">
        <v>355</v>
      </c>
    </row>
    <row r="42670" ht="16.5" customHeight="1">
      <c r="O42670" s="5" t="s">
        <v>355</v>
      </c>
      <c r="P42670" s="5" t="s">
        <v>355</v>
      </c>
      <c r="Q42670" s="5" t="s">
        <v>355</v>
      </c>
    </row>
    <row r="42671" ht="16.5" customHeight="1">
      <c r="O42671" s="5" t="s">
        <v>355</v>
      </c>
      <c r="P42671" s="5" t="s">
        <v>355</v>
      </c>
      <c r="Q42671" s="5" t="s">
        <v>355</v>
      </c>
    </row>
    <row r="42672" ht="16.5" customHeight="1">
      <c r="O42672" s="5" t="s">
        <v>355</v>
      </c>
      <c r="P42672" s="5" t="s">
        <v>355</v>
      </c>
      <c r="Q42672" s="5" t="s">
        <v>355</v>
      </c>
    </row>
    <row r="42673" ht="16.5" customHeight="1">
      <c r="O42673" s="5" t="s">
        <v>355</v>
      </c>
      <c r="P42673" s="5" t="s">
        <v>355</v>
      </c>
      <c r="Q42673" s="5" t="s">
        <v>355</v>
      </c>
    </row>
    <row r="42674" ht="16.5" customHeight="1">
      <c r="O42674" s="5" t="s">
        <v>355</v>
      </c>
      <c r="P42674" s="5" t="s">
        <v>355</v>
      </c>
      <c r="Q42674" s="5" t="s">
        <v>355</v>
      </c>
    </row>
    <row r="42675" ht="16.5" customHeight="1">
      <c r="O42675" s="5" t="s">
        <v>355</v>
      </c>
      <c r="P42675" s="5" t="s">
        <v>355</v>
      </c>
      <c r="Q42675" s="5" t="s">
        <v>355</v>
      </c>
    </row>
    <row r="42676" ht="16.5" customHeight="1">
      <c r="O42676" s="5" t="s">
        <v>355</v>
      </c>
      <c r="P42676" s="5" t="s">
        <v>355</v>
      </c>
      <c r="Q42676" s="5" t="s">
        <v>355</v>
      </c>
    </row>
    <row r="42677" ht="16.5" customHeight="1">
      <c r="O42677" s="5" t="s">
        <v>355</v>
      </c>
      <c r="P42677" s="5" t="s">
        <v>355</v>
      </c>
      <c r="Q42677" s="5" t="s">
        <v>355</v>
      </c>
    </row>
    <row r="42678" ht="16.5" customHeight="1">
      <c r="O42678" s="5" t="s">
        <v>355</v>
      </c>
      <c r="P42678" s="5" t="s">
        <v>355</v>
      </c>
      <c r="Q42678" s="5" t="s">
        <v>355</v>
      </c>
    </row>
    <row r="42679" ht="16.5" customHeight="1">
      <c r="O42679" s="5" t="s">
        <v>355</v>
      </c>
      <c r="P42679" s="5" t="s">
        <v>355</v>
      </c>
      <c r="Q42679" s="5" t="s">
        <v>355</v>
      </c>
    </row>
    <row r="42680" ht="16.5" customHeight="1">
      <c r="O42680" s="5" t="s">
        <v>355</v>
      </c>
      <c r="P42680" s="5" t="s">
        <v>355</v>
      </c>
      <c r="Q42680" s="5" t="s">
        <v>355</v>
      </c>
    </row>
    <row r="42681" ht="16.5" customHeight="1">
      <c r="O42681" s="5" t="s">
        <v>355</v>
      </c>
      <c r="P42681" s="5" t="s">
        <v>355</v>
      </c>
      <c r="Q42681" s="5" t="s">
        <v>355</v>
      </c>
    </row>
    <row r="42682" ht="16.5" customHeight="1">
      <c r="O42682" s="5" t="s">
        <v>355</v>
      </c>
      <c r="P42682" s="5" t="s">
        <v>355</v>
      </c>
      <c r="Q42682" s="5" t="s">
        <v>355</v>
      </c>
    </row>
    <row r="42683" ht="16.5" customHeight="1">
      <c r="O42683" s="5" t="s">
        <v>355</v>
      </c>
      <c r="P42683" s="5" t="s">
        <v>355</v>
      </c>
      <c r="Q42683" s="5" t="s">
        <v>355</v>
      </c>
    </row>
    <row r="42684" ht="16.5" customHeight="1">
      <c r="O42684" s="5" t="s">
        <v>355</v>
      </c>
      <c r="P42684" s="5" t="s">
        <v>355</v>
      </c>
      <c r="Q42684" s="5" t="s">
        <v>355</v>
      </c>
    </row>
    <row r="42685" ht="16.5" customHeight="1">
      <c r="O42685" s="5" t="s">
        <v>355</v>
      </c>
      <c r="P42685" s="5" t="s">
        <v>355</v>
      </c>
      <c r="Q42685" s="5" t="s">
        <v>355</v>
      </c>
    </row>
    <row r="42686" ht="16.5" customHeight="1">
      <c r="O42686" s="5" t="s">
        <v>355</v>
      </c>
      <c r="P42686" s="5" t="s">
        <v>355</v>
      </c>
      <c r="Q42686" s="5" t="s">
        <v>355</v>
      </c>
    </row>
    <row r="42687" ht="16.5" customHeight="1">
      <c r="O42687" s="5" t="s">
        <v>355</v>
      </c>
      <c r="P42687" s="5" t="s">
        <v>355</v>
      </c>
      <c r="Q42687" s="5" t="s">
        <v>355</v>
      </c>
    </row>
    <row r="42688" ht="16.5" customHeight="1">
      <c r="O42688" s="5" t="s">
        <v>355</v>
      </c>
      <c r="P42688" s="5" t="s">
        <v>355</v>
      </c>
      <c r="Q42688" s="5" t="s">
        <v>355</v>
      </c>
    </row>
    <row r="42689" ht="16.5" customHeight="1">
      <c r="O42689" s="5" t="s">
        <v>355</v>
      </c>
      <c r="P42689" s="5" t="s">
        <v>355</v>
      </c>
      <c r="Q42689" s="5" t="s">
        <v>355</v>
      </c>
    </row>
    <row r="42690" ht="16.5" customHeight="1">
      <c r="O42690" s="5" t="s">
        <v>355</v>
      </c>
      <c r="P42690" s="5" t="s">
        <v>355</v>
      </c>
      <c r="Q42690" s="5" t="s">
        <v>355</v>
      </c>
    </row>
    <row r="42691" ht="16.5" customHeight="1">
      <c r="O42691" s="5" t="s">
        <v>355</v>
      </c>
      <c r="P42691" s="5" t="s">
        <v>355</v>
      </c>
      <c r="Q42691" s="5" t="s">
        <v>355</v>
      </c>
    </row>
    <row r="42692" ht="16.5" customHeight="1">
      <c r="O42692" s="5" t="s">
        <v>355</v>
      </c>
      <c r="P42692" s="5" t="s">
        <v>355</v>
      </c>
      <c r="Q42692" s="5" t="s">
        <v>355</v>
      </c>
    </row>
    <row r="42693" ht="16.5" customHeight="1">
      <c r="O42693" s="5" t="s">
        <v>355</v>
      </c>
      <c r="P42693" s="5" t="s">
        <v>355</v>
      </c>
      <c r="Q42693" s="5" t="s">
        <v>355</v>
      </c>
    </row>
    <row r="42694" ht="16.5" customHeight="1">
      <c r="O42694" s="5" t="s">
        <v>355</v>
      </c>
      <c r="P42694" s="5" t="s">
        <v>355</v>
      </c>
      <c r="Q42694" s="5" t="s">
        <v>355</v>
      </c>
    </row>
    <row r="42695" ht="16.5" customHeight="1">
      <c r="O42695" s="5" t="s">
        <v>355</v>
      </c>
      <c r="P42695" s="5" t="s">
        <v>355</v>
      </c>
      <c r="Q42695" s="5" t="s">
        <v>355</v>
      </c>
    </row>
    <row r="42696" ht="16.5" customHeight="1">
      <c r="O42696" s="5" t="s">
        <v>355</v>
      </c>
      <c r="P42696" s="5" t="s">
        <v>355</v>
      </c>
      <c r="Q42696" s="5" t="s">
        <v>355</v>
      </c>
    </row>
    <row r="42697" ht="16.5" customHeight="1">
      <c r="O42697" s="5" t="s">
        <v>355</v>
      </c>
      <c r="P42697" s="5" t="s">
        <v>355</v>
      </c>
      <c r="Q42697" s="5" t="s">
        <v>355</v>
      </c>
    </row>
    <row r="42698" ht="16.5" customHeight="1">
      <c r="O42698" s="5" t="s">
        <v>355</v>
      </c>
      <c r="P42698" s="5" t="s">
        <v>355</v>
      </c>
      <c r="Q42698" s="5" t="s">
        <v>355</v>
      </c>
    </row>
    <row r="42699" ht="16.5" customHeight="1">
      <c r="O42699" s="5" t="s">
        <v>355</v>
      </c>
      <c r="P42699" s="5" t="s">
        <v>355</v>
      </c>
      <c r="Q42699" s="5" t="s">
        <v>355</v>
      </c>
    </row>
    <row r="42700" ht="16.5" customHeight="1">
      <c r="O42700" s="5" t="s">
        <v>355</v>
      </c>
      <c r="P42700" s="5" t="s">
        <v>355</v>
      </c>
      <c r="Q42700" s="5" t="s">
        <v>355</v>
      </c>
    </row>
    <row r="42701" ht="16.5" customHeight="1">
      <c r="O42701" s="5" t="s">
        <v>355</v>
      </c>
      <c r="P42701" s="5" t="s">
        <v>355</v>
      </c>
      <c r="Q42701" s="5" t="s">
        <v>355</v>
      </c>
    </row>
    <row r="42702" ht="16.5" customHeight="1">
      <c r="O42702" s="5" t="s">
        <v>355</v>
      </c>
      <c r="P42702" s="5" t="s">
        <v>355</v>
      </c>
      <c r="Q42702" s="5" t="s">
        <v>355</v>
      </c>
    </row>
    <row r="42703" ht="16.5" customHeight="1">
      <c r="O42703" s="5" t="s">
        <v>355</v>
      </c>
      <c r="P42703" s="5" t="s">
        <v>355</v>
      </c>
      <c r="Q42703" s="5" t="s">
        <v>355</v>
      </c>
    </row>
    <row r="42704" ht="16.5" customHeight="1">
      <c r="O42704" s="5" t="s">
        <v>355</v>
      </c>
      <c r="P42704" s="5" t="s">
        <v>355</v>
      </c>
      <c r="Q42704" s="5" t="s">
        <v>355</v>
      </c>
    </row>
    <row r="42705" ht="16.5" customHeight="1">
      <c r="O42705" s="5" t="s">
        <v>355</v>
      </c>
      <c r="P42705" s="5" t="s">
        <v>355</v>
      </c>
      <c r="Q42705" s="5" t="s">
        <v>355</v>
      </c>
    </row>
    <row r="42706" ht="16.5" customHeight="1">
      <c r="O42706" s="5" t="s">
        <v>355</v>
      </c>
      <c r="P42706" s="5" t="s">
        <v>355</v>
      </c>
      <c r="Q42706" s="5" t="s">
        <v>355</v>
      </c>
    </row>
    <row r="42707" ht="16.5" customHeight="1">
      <c r="O42707" s="5" t="s">
        <v>355</v>
      </c>
      <c r="P42707" s="5" t="s">
        <v>355</v>
      </c>
      <c r="Q42707" s="5" t="s">
        <v>355</v>
      </c>
    </row>
    <row r="42708" ht="16.5" customHeight="1">
      <c r="O42708" s="5" t="s">
        <v>355</v>
      </c>
      <c r="P42708" s="5" t="s">
        <v>355</v>
      </c>
      <c r="Q42708" s="5" t="s">
        <v>355</v>
      </c>
    </row>
    <row r="42709" ht="16.5" customHeight="1">
      <c r="O42709" s="5" t="s">
        <v>355</v>
      </c>
      <c r="P42709" s="5" t="s">
        <v>355</v>
      </c>
      <c r="Q42709" s="5" t="s">
        <v>355</v>
      </c>
    </row>
    <row r="42710" ht="16.5" customHeight="1">
      <c r="O42710" s="5" t="s">
        <v>355</v>
      </c>
      <c r="P42710" s="5" t="s">
        <v>355</v>
      </c>
      <c r="Q42710" s="5" t="s">
        <v>355</v>
      </c>
    </row>
    <row r="42711" ht="16.5" customHeight="1">
      <c r="O42711" s="5" t="s">
        <v>355</v>
      </c>
      <c r="P42711" s="5" t="s">
        <v>355</v>
      </c>
      <c r="Q42711" s="5" t="s">
        <v>355</v>
      </c>
    </row>
    <row r="42712" ht="16.5" customHeight="1">
      <c r="O42712" s="5" t="s">
        <v>355</v>
      </c>
      <c r="P42712" s="5" t="s">
        <v>355</v>
      </c>
      <c r="Q42712" s="5" t="s">
        <v>355</v>
      </c>
    </row>
    <row r="42713" ht="16.5" customHeight="1">
      <c r="O42713" s="5" t="s">
        <v>355</v>
      </c>
      <c r="P42713" s="5" t="s">
        <v>355</v>
      </c>
      <c r="Q42713" s="5" t="s">
        <v>355</v>
      </c>
    </row>
    <row r="42714" ht="16.5" customHeight="1">
      <c r="O42714" s="5" t="s">
        <v>355</v>
      </c>
      <c r="P42714" s="5" t="s">
        <v>355</v>
      </c>
      <c r="Q42714" s="5" t="s">
        <v>355</v>
      </c>
    </row>
    <row r="42715" ht="16.5" customHeight="1">
      <c r="O42715" s="5" t="s">
        <v>355</v>
      </c>
      <c r="P42715" s="5" t="s">
        <v>355</v>
      </c>
      <c r="Q42715" s="5" t="s">
        <v>355</v>
      </c>
    </row>
    <row r="42716" ht="16.5" customHeight="1">
      <c r="O42716" s="5" t="s">
        <v>355</v>
      </c>
      <c r="P42716" s="5" t="s">
        <v>355</v>
      </c>
      <c r="Q42716" s="5" t="s">
        <v>355</v>
      </c>
    </row>
    <row r="42717" ht="16.5" customHeight="1">
      <c r="O42717" s="5" t="s">
        <v>355</v>
      </c>
      <c r="P42717" s="5" t="s">
        <v>355</v>
      </c>
      <c r="Q42717" s="5" t="s">
        <v>355</v>
      </c>
    </row>
    <row r="42718" ht="16.5" customHeight="1">
      <c r="O42718" s="5" t="s">
        <v>355</v>
      </c>
      <c r="P42718" s="5" t="s">
        <v>355</v>
      </c>
      <c r="Q42718" s="5" t="s">
        <v>355</v>
      </c>
    </row>
    <row r="42719" ht="16.5" customHeight="1">
      <c r="O42719" s="5" t="s">
        <v>355</v>
      </c>
      <c r="P42719" s="5" t="s">
        <v>355</v>
      </c>
      <c r="Q42719" s="5" t="s">
        <v>355</v>
      </c>
    </row>
    <row r="42720" ht="16.5" customHeight="1">
      <c r="O42720" s="5" t="s">
        <v>355</v>
      </c>
      <c r="P42720" s="5" t="s">
        <v>355</v>
      </c>
      <c r="Q42720" s="5" t="s">
        <v>355</v>
      </c>
    </row>
    <row r="42721" ht="16.5" customHeight="1">
      <c r="O42721" s="5" t="s">
        <v>355</v>
      </c>
      <c r="P42721" s="5" t="s">
        <v>355</v>
      </c>
      <c r="Q42721" s="5" t="s">
        <v>355</v>
      </c>
    </row>
    <row r="42722" ht="16.5" customHeight="1">
      <c r="O42722" s="5" t="s">
        <v>355</v>
      </c>
      <c r="P42722" s="5" t="s">
        <v>355</v>
      </c>
      <c r="Q42722" s="5" t="s">
        <v>355</v>
      </c>
    </row>
    <row r="42723" ht="16.5" customHeight="1">
      <c r="O42723" s="5" t="s">
        <v>355</v>
      </c>
      <c r="P42723" s="5" t="s">
        <v>355</v>
      </c>
      <c r="Q42723" s="5" t="s">
        <v>355</v>
      </c>
    </row>
    <row r="42724" ht="16.5" customHeight="1">
      <c r="O42724" s="5" t="s">
        <v>355</v>
      </c>
      <c r="P42724" s="5" t="s">
        <v>355</v>
      </c>
      <c r="Q42724" s="5" t="s">
        <v>355</v>
      </c>
    </row>
    <row r="42725" ht="16.5" customHeight="1">
      <c r="O42725" s="5" t="s">
        <v>355</v>
      </c>
      <c r="P42725" s="5" t="s">
        <v>355</v>
      </c>
      <c r="Q42725" s="5" t="s">
        <v>355</v>
      </c>
    </row>
    <row r="42726" ht="16.5" customHeight="1">
      <c r="O42726" s="5" t="s">
        <v>355</v>
      </c>
      <c r="P42726" s="5" t="s">
        <v>355</v>
      </c>
      <c r="Q42726" s="5" t="s">
        <v>355</v>
      </c>
    </row>
    <row r="42727" ht="16.5" customHeight="1">
      <c r="O42727" s="5" t="s">
        <v>355</v>
      </c>
      <c r="P42727" s="5" t="s">
        <v>355</v>
      </c>
      <c r="Q42727" s="5" t="s">
        <v>355</v>
      </c>
    </row>
    <row r="42728" ht="16.5" customHeight="1">
      <c r="O42728" s="5" t="s">
        <v>355</v>
      </c>
      <c r="P42728" s="5" t="s">
        <v>355</v>
      </c>
      <c r="Q42728" s="5" t="s">
        <v>355</v>
      </c>
    </row>
    <row r="42729" ht="16.5" customHeight="1">
      <c r="O42729" s="5" t="s">
        <v>355</v>
      </c>
      <c r="P42729" s="5" t="s">
        <v>355</v>
      </c>
      <c r="Q42729" s="5" t="s">
        <v>355</v>
      </c>
    </row>
    <row r="42730" ht="16.5" customHeight="1">
      <c r="O42730" s="5" t="s">
        <v>355</v>
      </c>
      <c r="P42730" s="5" t="s">
        <v>355</v>
      </c>
      <c r="Q42730" s="5" t="s">
        <v>355</v>
      </c>
    </row>
    <row r="42731" ht="16.5" customHeight="1">
      <c r="O42731" s="5" t="s">
        <v>355</v>
      </c>
      <c r="P42731" s="5" t="s">
        <v>355</v>
      </c>
      <c r="Q42731" s="5" t="s">
        <v>355</v>
      </c>
    </row>
    <row r="42732" ht="16.5" customHeight="1">
      <c r="O42732" s="5" t="s">
        <v>355</v>
      </c>
      <c r="P42732" s="5" t="s">
        <v>355</v>
      </c>
      <c r="Q42732" s="5" t="s">
        <v>355</v>
      </c>
    </row>
    <row r="42733" ht="16.5" customHeight="1">
      <c r="O42733" s="5" t="s">
        <v>355</v>
      </c>
      <c r="P42733" s="5" t="s">
        <v>355</v>
      </c>
      <c r="Q42733" s="5" t="s">
        <v>355</v>
      </c>
    </row>
    <row r="42734" ht="16.5" customHeight="1">
      <c r="O42734" s="5" t="s">
        <v>355</v>
      </c>
      <c r="P42734" s="5" t="s">
        <v>355</v>
      </c>
      <c r="Q42734" s="5" t="s">
        <v>355</v>
      </c>
    </row>
    <row r="42735" ht="16.5" customHeight="1">
      <c r="O42735" s="5" t="s">
        <v>355</v>
      </c>
      <c r="P42735" s="5" t="s">
        <v>355</v>
      </c>
      <c r="Q42735" s="5" t="s">
        <v>355</v>
      </c>
    </row>
    <row r="42736" ht="16.5" customHeight="1">
      <c r="O42736" s="5" t="s">
        <v>355</v>
      </c>
      <c r="P42736" s="5" t="s">
        <v>355</v>
      </c>
      <c r="Q42736" s="5" t="s">
        <v>355</v>
      </c>
    </row>
    <row r="42737" ht="16.5" customHeight="1">
      <c r="O42737" s="5" t="s">
        <v>355</v>
      </c>
      <c r="P42737" s="5" t="s">
        <v>355</v>
      </c>
      <c r="Q42737" s="5" t="s">
        <v>355</v>
      </c>
    </row>
    <row r="42738" ht="16.5" customHeight="1">
      <c r="O42738" s="5" t="s">
        <v>355</v>
      </c>
      <c r="P42738" s="5" t="s">
        <v>355</v>
      </c>
      <c r="Q42738" s="5" t="s">
        <v>355</v>
      </c>
    </row>
    <row r="42739" ht="16.5" customHeight="1">
      <c r="O42739" s="5" t="s">
        <v>355</v>
      </c>
      <c r="P42739" s="5" t="s">
        <v>355</v>
      </c>
      <c r="Q42739" s="5" t="s">
        <v>355</v>
      </c>
    </row>
    <row r="42740" ht="16.5" customHeight="1">
      <c r="O42740" s="5" t="s">
        <v>355</v>
      </c>
      <c r="P42740" s="5" t="s">
        <v>355</v>
      </c>
      <c r="Q42740" s="5" t="s">
        <v>355</v>
      </c>
    </row>
    <row r="42741" ht="16.5" customHeight="1">
      <c r="O42741" s="5" t="s">
        <v>355</v>
      </c>
      <c r="P42741" s="5" t="s">
        <v>355</v>
      </c>
      <c r="Q42741" s="5" t="s">
        <v>355</v>
      </c>
    </row>
    <row r="42742" ht="16.5" customHeight="1">
      <c r="O42742" s="5" t="s">
        <v>355</v>
      </c>
      <c r="P42742" s="5" t="s">
        <v>355</v>
      </c>
      <c r="Q42742" s="5" t="s">
        <v>355</v>
      </c>
    </row>
    <row r="42743" ht="16.5" customHeight="1">
      <c r="O42743" s="5" t="s">
        <v>355</v>
      </c>
      <c r="P42743" s="5" t="s">
        <v>355</v>
      </c>
      <c r="Q42743" s="5" t="s">
        <v>355</v>
      </c>
    </row>
    <row r="42744" ht="16.5" customHeight="1">
      <c r="O42744" s="5" t="s">
        <v>355</v>
      </c>
      <c r="P42744" s="5" t="s">
        <v>355</v>
      </c>
      <c r="Q42744" s="5" t="s">
        <v>355</v>
      </c>
    </row>
    <row r="42745" ht="16.5" customHeight="1">
      <c r="O42745" s="5" t="s">
        <v>355</v>
      </c>
      <c r="P42745" s="5" t="s">
        <v>355</v>
      </c>
      <c r="Q42745" s="5" t="s">
        <v>355</v>
      </c>
    </row>
    <row r="42746" ht="16.5" customHeight="1">
      <c r="O42746" s="5" t="s">
        <v>355</v>
      </c>
      <c r="P42746" s="5" t="s">
        <v>355</v>
      </c>
      <c r="Q42746" s="5" t="s">
        <v>355</v>
      </c>
    </row>
    <row r="42747" ht="16.5" customHeight="1">
      <c r="O42747" s="5" t="s">
        <v>355</v>
      </c>
      <c r="P42747" s="5" t="s">
        <v>355</v>
      </c>
      <c r="Q42747" s="5" t="s">
        <v>355</v>
      </c>
    </row>
    <row r="42748" ht="16.5" customHeight="1">
      <c r="O42748" s="5" t="s">
        <v>355</v>
      </c>
      <c r="P42748" s="5" t="s">
        <v>355</v>
      </c>
      <c r="Q42748" s="5" t="s">
        <v>355</v>
      </c>
    </row>
    <row r="42749" ht="16.5" customHeight="1">
      <c r="O42749" s="5" t="s">
        <v>355</v>
      </c>
      <c r="P42749" s="5" t="s">
        <v>355</v>
      </c>
      <c r="Q42749" s="5" t="s">
        <v>355</v>
      </c>
    </row>
    <row r="42750" ht="16.5" customHeight="1">
      <c r="O42750" s="5" t="s">
        <v>355</v>
      </c>
      <c r="P42750" s="5" t="s">
        <v>355</v>
      </c>
      <c r="Q42750" s="5" t="s">
        <v>355</v>
      </c>
    </row>
    <row r="42751" ht="16.5" customHeight="1">
      <c r="O42751" s="5" t="s">
        <v>355</v>
      </c>
      <c r="P42751" s="5" t="s">
        <v>355</v>
      </c>
      <c r="Q42751" s="5" t="s">
        <v>355</v>
      </c>
    </row>
    <row r="42752" ht="16.5" customHeight="1">
      <c r="O42752" s="5" t="s">
        <v>355</v>
      </c>
      <c r="P42752" s="5" t="s">
        <v>355</v>
      </c>
      <c r="Q42752" s="5" t="s">
        <v>355</v>
      </c>
    </row>
    <row r="42753" ht="16.5" customHeight="1">
      <c r="O42753" s="5" t="s">
        <v>355</v>
      </c>
      <c r="P42753" s="5" t="s">
        <v>355</v>
      </c>
      <c r="Q42753" s="5" t="s">
        <v>355</v>
      </c>
    </row>
    <row r="42754" ht="16.5" customHeight="1">
      <c r="O42754" s="5" t="s">
        <v>355</v>
      </c>
      <c r="P42754" s="5" t="s">
        <v>355</v>
      </c>
      <c r="Q42754" s="5" t="s">
        <v>355</v>
      </c>
    </row>
    <row r="42755" ht="16.5" customHeight="1">
      <c r="O42755" s="5" t="s">
        <v>355</v>
      </c>
      <c r="P42755" s="5" t="s">
        <v>355</v>
      </c>
      <c r="Q42755" s="5" t="s">
        <v>355</v>
      </c>
    </row>
    <row r="42756" ht="16.5" customHeight="1">
      <c r="O42756" s="5" t="s">
        <v>355</v>
      </c>
      <c r="P42756" s="5" t="s">
        <v>355</v>
      </c>
      <c r="Q42756" s="5" t="s">
        <v>355</v>
      </c>
    </row>
    <row r="42757" ht="16.5" customHeight="1">
      <c r="O42757" s="5" t="s">
        <v>355</v>
      </c>
      <c r="P42757" s="5" t="s">
        <v>355</v>
      </c>
      <c r="Q42757" s="5" t="s">
        <v>355</v>
      </c>
    </row>
    <row r="42758" ht="16.5" customHeight="1">
      <c r="O42758" s="5" t="s">
        <v>355</v>
      </c>
      <c r="P42758" s="5" t="s">
        <v>355</v>
      </c>
      <c r="Q42758" s="5" t="s">
        <v>355</v>
      </c>
    </row>
    <row r="42759" ht="16.5" customHeight="1">
      <c r="O42759" s="5" t="s">
        <v>355</v>
      </c>
      <c r="P42759" s="5" t="s">
        <v>355</v>
      </c>
      <c r="Q42759" s="5" t="s">
        <v>355</v>
      </c>
    </row>
    <row r="42760" ht="16.5" customHeight="1">
      <c r="O42760" s="5" t="s">
        <v>355</v>
      </c>
      <c r="P42760" s="5" t="s">
        <v>355</v>
      </c>
      <c r="Q42760" s="5" t="s">
        <v>355</v>
      </c>
    </row>
    <row r="42761" ht="16.5" customHeight="1">
      <c r="O42761" s="5" t="s">
        <v>355</v>
      </c>
      <c r="P42761" s="5" t="s">
        <v>355</v>
      </c>
      <c r="Q42761" s="5" t="s">
        <v>355</v>
      </c>
    </row>
    <row r="42762" ht="16.5" customHeight="1">
      <c r="O42762" s="5" t="s">
        <v>355</v>
      </c>
      <c r="P42762" s="5" t="s">
        <v>355</v>
      </c>
      <c r="Q42762" s="5" t="s">
        <v>355</v>
      </c>
    </row>
    <row r="42763" ht="16.5" customHeight="1">
      <c r="O42763" s="5" t="s">
        <v>355</v>
      </c>
      <c r="P42763" s="5" t="s">
        <v>355</v>
      </c>
      <c r="Q42763" s="5" t="s">
        <v>355</v>
      </c>
    </row>
    <row r="42764" ht="16.5" customHeight="1">
      <c r="O42764" s="5" t="s">
        <v>355</v>
      </c>
      <c r="P42764" s="5" t="s">
        <v>355</v>
      </c>
      <c r="Q42764" s="5" t="s">
        <v>355</v>
      </c>
    </row>
    <row r="42765" ht="16.5" customHeight="1">
      <c r="O42765" s="5" t="s">
        <v>355</v>
      </c>
      <c r="P42765" s="5" t="s">
        <v>355</v>
      </c>
      <c r="Q42765" s="5" t="s">
        <v>355</v>
      </c>
    </row>
    <row r="42766" ht="16.5" customHeight="1">
      <c r="O42766" s="5" t="s">
        <v>355</v>
      </c>
      <c r="P42766" s="5" t="s">
        <v>355</v>
      </c>
      <c r="Q42766" s="5" t="s">
        <v>355</v>
      </c>
    </row>
    <row r="42767" ht="16.5" customHeight="1">
      <c r="O42767" s="5" t="s">
        <v>355</v>
      </c>
      <c r="P42767" s="5" t="s">
        <v>355</v>
      </c>
      <c r="Q42767" s="5" t="s">
        <v>355</v>
      </c>
    </row>
    <row r="42768" ht="16.5" customHeight="1">
      <c r="O42768" s="5" t="s">
        <v>355</v>
      </c>
      <c r="P42768" s="5" t="s">
        <v>355</v>
      </c>
      <c r="Q42768" s="5" t="s">
        <v>355</v>
      </c>
    </row>
    <row r="42769" ht="16.5" customHeight="1">
      <c r="O42769" s="5" t="s">
        <v>355</v>
      </c>
      <c r="P42769" s="5" t="s">
        <v>355</v>
      </c>
      <c r="Q42769" s="5" t="s">
        <v>355</v>
      </c>
    </row>
    <row r="42770" ht="16.5" customHeight="1">
      <c r="O42770" s="5" t="s">
        <v>355</v>
      </c>
      <c r="P42770" s="5" t="s">
        <v>355</v>
      </c>
      <c r="Q42770" s="5" t="s">
        <v>355</v>
      </c>
    </row>
    <row r="42771" ht="16.5" customHeight="1">
      <c r="O42771" s="5" t="s">
        <v>355</v>
      </c>
      <c r="P42771" s="5" t="s">
        <v>355</v>
      </c>
      <c r="Q42771" s="5" t="s">
        <v>355</v>
      </c>
    </row>
    <row r="42772" ht="16.5" customHeight="1">
      <c r="O42772" s="5" t="s">
        <v>355</v>
      </c>
      <c r="P42772" s="5" t="s">
        <v>355</v>
      </c>
      <c r="Q42772" s="5" t="s">
        <v>355</v>
      </c>
    </row>
    <row r="42773" ht="16.5" customHeight="1">
      <c r="O42773" s="5" t="s">
        <v>355</v>
      </c>
      <c r="P42773" s="5" t="s">
        <v>355</v>
      </c>
      <c r="Q42773" s="5" t="s">
        <v>355</v>
      </c>
    </row>
    <row r="42774" ht="16.5" customHeight="1">
      <c r="O42774" s="5" t="s">
        <v>355</v>
      </c>
      <c r="P42774" s="5" t="s">
        <v>355</v>
      </c>
      <c r="Q42774" s="5" t="s">
        <v>355</v>
      </c>
    </row>
    <row r="42775" ht="16.5" customHeight="1">
      <c r="O42775" s="5" t="s">
        <v>355</v>
      </c>
      <c r="P42775" s="5" t="s">
        <v>355</v>
      </c>
      <c r="Q42775" s="5" t="s">
        <v>355</v>
      </c>
    </row>
    <row r="42776" ht="16.5" customHeight="1">
      <c r="O42776" s="5" t="s">
        <v>355</v>
      </c>
      <c r="P42776" s="5" t="s">
        <v>355</v>
      </c>
      <c r="Q42776" s="5" t="s">
        <v>355</v>
      </c>
    </row>
    <row r="42777" ht="16.5" customHeight="1">
      <c r="O42777" s="5" t="s">
        <v>355</v>
      </c>
      <c r="P42777" s="5" t="s">
        <v>355</v>
      </c>
      <c r="Q42777" s="5" t="s">
        <v>355</v>
      </c>
    </row>
    <row r="42778" ht="16.5" customHeight="1">
      <c r="O42778" s="5" t="s">
        <v>355</v>
      </c>
      <c r="P42778" s="5" t="s">
        <v>355</v>
      </c>
      <c r="Q42778" s="5" t="s">
        <v>355</v>
      </c>
    </row>
    <row r="42779" ht="16.5" customHeight="1">
      <c r="O42779" s="5" t="s">
        <v>355</v>
      </c>
      <c r="P42779" s="5" t="s">
        <v>355</v>
      </c>
      <c r="Q42779" s="5" t="s">
        <v>355</v>
      </c>
    </row>
    <row r="42780" ht="16.5" customHeight="1">
      <c r="O42780" s="5" t="s">
        <v>355</v>
      </c>
      <c r="P42780" s="5" t="s">
        <v>355</v>
      </c>
      <c r="Q42780" s="5" t="s">
        <v>355</v>
      </c>
    </row>
    <row r="42781" ht="16.5" customHeight="1">
      <c r="O42781" s="5" t="s">
        <v>355</v>
      </c>
      <c r="P42781" s="5" t="s">
        <v>355</v>
      </c>
      <c r="Q42781" s="5" t="s">
        <v>355</v>
      </c>
    </row>
    <row r="42782" ht="16.5" customHeight="1">
      <c r="O42782" s="5" t="s">
        <v>355</v>
      </c>
      <c r="P42782" s="5" t="s">
        <v>355</v>
      </c>
      <c r="Q42782" s="5" t="s">
        <v>355</v>
      </c>
    </row>
    <row r="42783" ht="16.5" customHeight="1">
      <c r="O42783" s="5" t="s">
        <v>355</v>
      </c>
      <c r="P42783" s="5" t="s">
        <v>355</v>
      </c>
      <c r="Q42783" s="5" t="s">
        <v>355</v>
      </c>
    </row>
    <row r="42784" ht="16.5" customHeight="1">
      <c r="O42784" s="5" t="s">
        <v>355</v>
      </c>
      <c r="P42784" s="5" t="s">
        <v>355</v>
      </c>
      <c r="Q42784" s="5" t="s">
        <v>355</v>
      </c>
    </row>
    <row r="42785" ht="16.5" customHeight="1">
      <c r="O42785" s="5" t="s">
        <v>355</v>
      </c>
      <c r="P42785" s="5" t="s">
        <v>355</v>
      </c>
      <c r="Q42785" s="5" t="s">
        <v>355</v>
      </c>
    </row>
    <row r="42786" ht="16.5" customHeight="1">
      <c r="O42786" s="5" t="s">
        <v>355</v>
      </c>
      <c r="P42786" s="5" t="s">
        <v>355</v>
      </c>
      <c r="Q42786" s="5" t="s">
        <v>355</v>
      </c>
    </row>
    <row r="42787" ht="16.5" customHeight="1">
      <c r="O42787" s="5" t="s">
        <v>355</v>
      </c>
      <c r="P42787" s="5" t="s">
        <v>355</v>
      </c>
      <c r="Q42787" s="5" t="s">
        <v>355</v>
      </c>
    </row>
    <row r="42788" ht="16.5" customHeight="1">
      <c r="O42788" s="5" t="s">
        <v>355</v>
      </c>
      <c r="P42788" s="5" t="s">
        <v>355</v>
      </c>
      <c r="Q42788" s="5" t="s">
        <v>355</v>
      </c>
    </row>
    <row r="42789" ht="16.5" customHeight="1">
      <c r="O42789" s="5" t="s">
        <v>355</v>
      </c>
      <c r="P42789" s="5" t="s">
        <v>355</v>
      </c>
      <c r="Q42789" s="5" t="s">
        <v>355</v>
      </c>
    </row>
    <row r="42790" ht="16.5" customHeight="1">
      <c r="O42790" s="5" t="s">
        <v>355</v>
      </c>
      <c r="P42790" s="5" t="s">
        <v>355</v>
      </c>
      <c r="Q42790" s="5" t="s">
        <v>355</v>
      </c>
    </row>
    <row r="42791" ht="16.5" customHeight="1">
      <c r="O42791" s="5" t="s">
        <v>355</v>
      </c>
      <c r="P42791" s="5" t="s">
        <v>355</v>
      </c>
      <c r="Q42791" s="5" t="s">
        <v>355</v>
      </c>
    </row>
    <row r="42792" ht="16.5" customHeight="1">
      <c r="O42792" s="5" t="s">
        <v>355</v>
      </c>
      <c r="P42792" s="5" t="s">
        <v>355</v>
      </c>
      <c r="Q42792" s="5" t="s">
        <v>355</v>
      </c>
    </row>
    <row r="42793" ht="16.5" customHeight="1">
      <c r="O42793" s="5" t="s">
        <v>355</v>
      </c>
      <c r="P42793" s="5" t="s">
        <v>355</v>
      </c>
      <c r="Q42793" s="5" t="s">
        <v>355</v>
      </c>
    </row>
    <row r="42794" ht="16.5" customHeight="1">
      <c r="O42794" s="5" t="s">
        <v>355</v>
      </c>
      <c r="P42794" s="5" t="s">
        <v>355</v>
      </c>
      <c r="Q42794" s="5" t="s">
        <v>355</v>
      </c>
    </row>
    <row r="42795" ht="16.5" customHeight="1">
      <c r="O42795" s="5" t="s">
        <v>355</v>
      </c>
      <c r="P42795" s="5" t="s">
        <v>355</v>
      </c>
      <c r="Q42795" s="5" t="s">
        <v>355</v>
      </c>
    </row>
    <row r="42796" ht="16.5" customHeight="1">
      <c r="O42796" s="5" t="s">
        <v>355</v>
      </c>
      <c r="P42796" s="5" t="s">
        <v>355</v>
      </c>
      <c r="Q42796" s="5" t="s">
        <v>355</v>
      </c>
    </row>
    <row r="42797" ht="16.5" customHeight="1">
      <c r="O42797" s="5" t="s">
        <v>355</v>
      </c>
      <c r="P42797" s="5" t="s">
        <v>355</v>
      </c>
      <c r="Q42797" s="5" t="s">
        <v>355</v>
      </c>
    </row>
    <row r="42798" ht="16.5" customHeight="1">
      <c r="O42798" s="5" t="s">
        <v>355</v>
      </c>
      <c r="P42798" s="5" t="s">
        <v>355</v>
      </c>
      <c r="Q42798" s="5" t="s">
        <v>355</v>
      </c>
    </row>
    <row r="42799" ht="16.5" customHeight="1">
      <c r="O42799" s="5" t="s">
        <v>355</v>
      </c>
      <c r="P42799" s="5" t="s">
        <v>355</v>
      </c>
      <c r="Q42799" s="5" t="s">
        <v>355</v>
      </c>
    </row>
    <row r="42800" ht="16.5" customHeight="1">
      <c r="O42800" s="5" t="s">
        <v>355</v>
      </c>
      <c r="P42800" s="5" t="s">
        <v>355</v>
      </c>
      <c r="Q42800" s="5" t="s">
        <v>355</v>
      </c>
    </row>
    <row r="42801" ht="16.5" customHeight="1">
      <c r="O42801" s="5" t="s">
        <v>355</v>
      </c>
      <c r="P42801" s="5" t="s">
        <v>355</v>
      </c>
      <c r="Q42801" s="5" t="s">
        <v>355</v>
      </c>
    </row>
    <row r="42802" ht="16.5" customHeight="1">
      <c r="O42802" s="5" t="s">
        <v>355</v>
      </c>
      <c r="P42802" s="5" t="s">
        <v>355</v>
      </c>
      <c r="Q42802" s="5" t="s">
        <v>355</v>
      </c>
    </row>
    <row r="42803" ht="16.5" customHeight="1">
      <c r="O42803" s="5" t="s">
        <v>355</v>
      </c>
      <c r="P42803" s="5" t="s">
        <v>355</v>
      </c>
      <c r="Q42803" s="5" t="s">
        <v>355</v>
      </c>
    </row>
    <row r="42804" ht="16.5" customHeight="1">
      <c r="O42804" s="5" t="s">
        <v>355</v>
      </c>
      <c r="P42804" s="5" t="s">
        <v>355</v>
      </c>
      <c r="Q42804" s="5" t="s">
        <v>355</v>
      </c>
    </row>
    <row r="42805" ht="16.5" customHeight="1">
      <c r="O42805" s="5" t="s">
        <v>355</v>
      </c>
      <c r="P42805" s="5" t="s">
        <v>355</v>
      </c>
      <c r="Q42805" s="5" t="s">
        <v>355</v>
      </c>
    </row>
    <row r="42806" ht="16.5" customHeight="1">
      <c r="O42806" s="5" t="s">
        <v>355</v>
      </c>
      <c r="P42806" s="5" t="s">
        <v>355</v>
      </c>
      <c r="Q42806" s="5" t="s">
        <v>355</v>
      </c>
    </row>
    <row r="42807" ht="16.5" customHeight="1">
      <c r="O42807" s="5" t="s">
        <v>355</v>
      </c>
      <c r="P42807" s="5" t="s">
        <v>355</v>
      </c>
      <c r="Q42807" s="5" t="s">
        <v>355</v>
      </c>
    </row>
    <row r="42808" ht="16.5" customHeight="1">
      <c r="O42808" s="5" t="s">
        <v>355</v>
      </c>
      <c r="P42808" s="5" t="s">
        <v>355</v>
      </c>
      <c r="Q42808" s="5" t="s">
        <v>355</v>
      </c>
    </row>
    <row r="42809" ht="16.5" customHeight="1">
      <c r="O42809" s="5" t="s">
        <v>355</v>
      </c>
      <c r="P42809" s="5" t="s">
        <v>355</v>
      </c>
      <c r="Q42809" s="5" t="s">
        <v>355</v>
      </c>
    </row>
    <row r="42810" ht="16.5" customHeight="1">
      <c r="O42810" s="5" t="s">
        <v>355</v>
      </c>
      <c r="P42810" s="5" t="s">
        <v>355</v>
      </c>
      <c r="Q42810" s="5" t="s">
        <v>355</v>
      </c>
    </row>
    <row r="42811" ht="16.5" customHeight="1">
      <c r="O42811" s="5" t="s">
        <v>355</v>
      </c>
      <c r="P42811" s="5" t="s">
        <v>355</v>
      </c>
      <c r="Q42811" s="5" t="s">
        <v>355</v>
      </c>
    </row>
    <row r="42812" ht="16.5" customHeight="1">
      <c r="O42812" s="5" t="s">
        <v>355</v>
      </c>
      <c r="P42812" s="5" t="s">
        <v>355</v>
      </c>
      <c r="Q42812" s="5" t="s">
        <v>355</v>
      </c>
    </row>
    <row r="42813" ht="16.5" customHeight="1">
      <c r="O42813" s="5" t="s">
        <v>355</v>
      </c>
      <c r="P42813" s="5" t="s">
        <v>355</v>
      </c>
      <c r="Q42813" s="5" t="s">
        <v>355</v>
      </c>
    </row>
    <row r="42814" ht="16.5" customHeight="1">
      <c r="O42814" s="5" t="s">
        <v>355</v>
      </c>
      <c r="P42814" s="5" t="s">
        <v>355</v>
      </c>
      <c r="Q42814" s="5" t="s">
        <v>355</v>
      </c>
    </row>
    <row r="42815" ht="16.5" customHeight="1">
      <c r="O42815" s="5" t="s">
        <v>355</v>
      </c>
      <c r="P42815" s="5" t="s">
        <v>355</v>
      </c>
      <c r="Q42815" s="5" t="s">
        <v>355</v>
      </c>
    </row>
    <row r="42816" ht="16.5" customHeight="1">
      <c r="O42816" s="5" t="s">
        <v>355</v>
      </c>
      <c r="P42816" s="5" t="s">
        <v>355</v>
      </c>
      <c r="Q42816" s="5" t="s">
        <v>355</v>
      </c>
    </row>
    <row r="42817" ht="16.5" customHeight="1">
      <c r="O42817" s="5" t="s">
        <v>355</v>
      </c>
      <c r="P42817" s="5" t="s">
        <v>355</v>
      </c>
      <c r="Q42817" s="5" t="s">
        <v>355</v>
      </c>
    </row>
    <row r="42818" ht="16.5" customHeight="1">
      <c r="O42818" s="5" t="s">
        <v>355</v>
      </c>
      <c r="P42818" s="5" t="s">
        <v>355</v>
      </c>
      <c r="Q42818" s="5" t="s">
        <v>355</v>
      </c>
    </row>
    <row r="42819" ht="16.5" customHeight="1">
      <c r="O42819" s="5" t="s">
        <v>355</v>
      </c>
      <c r="P42819" s="5" t="s">
        <v>355</v>
      </c>
      <c r="Q42819" s="5" t="s">
        <v>355</v>
      </c>
    </row>
    <row r="42820" ht="16.5" customHeight="1">
      <c r="O42820" s="5" t="s">
        <v>355</v>
      </c>
      <c r="P42820" s="5" t="s">
        <v>355</v>
      </c>
      <c r="Q42820" s="5" t="s">
        <v>355</v>
      </c>
    </row>
    <row r="42821" ht="16.5" customHeight="1">
      <c r="O42821" s="5" t="s">
        <v>355</v>
      </c>
      <c r="P42821" s="5" t="s">
        <v>355</v>
      </c>
      <c r="Q42821" s="5" t="s">
        <v>355</v>
      </c>
    </row>
    <row r="42822" ht="16.5" customHeight="1">
      <c r="O42822" s="5" t="s">
        <v>355</v>
      </c>
      <c r="P42822" s="5" t="s">
        <v>355</v>
      </c>
      <c r="Q42822" s="5" t="s">
        <v>355</v>
      </c>
    </row>
    <row r="42823" ht="16.5" customHeight="1">
      <c r="O42823" s="5" t="s">
        <v>355</v>
      </c>
      <c r="P42823" s="5" t="s">
        <v>355</v>
      </c>
      <c r="Q42823" s="5" t="s">
        <v>355</v>
      </c>
    </row>
    <row r="42824" ht="16.5" customHeight="1">
      <c r="O42824" s="5" t="s">
        <v>355</v>
      </c>
      <c r="P42824" s="5" t="s">
        <v>355</v>
      </c>
      <c r="Q42824" s="5" t="s">
        <v>355</v>
      </c>
    </row>
    <row r="42825" ht="16.5" customHeight="1">
      <c r="O42825" s="5" t="s">
        <v>355</v>
      </c>
      <c r="P42825" s="5" t="s">
        <v>355</v>
      </c>
      <c r="Q42825" s="5" t="s">
        <v>355</v>
      </c>
    </row>
    <row r="42826" ht="16.5" customHeight="1">
      <c r="O42826" s="5" t="s">
        <v>355</v>
      </c>
      <c r="P42826" s="5" t="s">
        <v>355</v>
      </c>
      <c r="Q42826" s="5" t="s">
        <v>355</v>
      </c>
    </row>
    <row r="42827" ht="16.5" customHeight="1">
      <c r="O42827" s="5" t="s">
        <v>355</v>
      </c>
      <c r="P42827" s="5" t="s">
        <v>355</v>
      </c>
      <c r="Q42827" s="5" t="s">
        <v>355</v>
      </c>
    </row>
    <row r="42828" ht="16.5" customHeight="1">
      <c r="O42828" s="5" t="s">
        <v>355</v>
      </c>
      <c r="P42828" s="5" t="s">
        <v>355</v>
      </c>
      <c r="Q42828" s="5" t="s">
        <v>355</v>
      </c>
    </row>
    <row r="42829" ht="16.5" customHeight="1">
      <c r="O42829" s="5" t="s">
        <v>355</v>
      </c>
      <c r="P42829" s="5" t="s">
        <v>355</v>
      </c>
      <c r="Q42829" s="5" t="s">
        <v>355</v>
      </c>
    </row>
    <row r="42830" ht="16.5" customHeight="1">
      <c r="O42830" s="5" t="s">
        <v>355</v>
      </c>
      <c r="P42830" s="5" t="s">
        <v>355</v>
      </c>
      <c r="Q42830" s="5" t="s">
        <v>355</v>
      </c>
    </row>
    <row r="42831" ht="16.5" customHeight="1">
      <c r="O42831" s="5" t="s">
        <v>355</v>
      </c>
      <c r="P42831" s="5" t="s">
        <v>355</v>
      </c>
      <c r="Q42831" s="5" t="s">
        <v>355</v>
      </c>
    </row>
    <row r="42832" ht="16.5" customHeight="1">
      <c r="O42832" s="5" t="s">
        <v>355</v>
      </c>
      <c r="P42832" s="5" t="s">
        <v>355</v>
      </c>
      <c r="Q42832" s="5" t="s">
        <v>355</v>
      </c>
    </row>
    <row r="42833" ht="16.5" customHeight="1">
      <c r="O42833" s="5" t="s">
        <v>355</v>
      </c>
      <c r="P42833" s="5" t="s">
        <v>355</v>
      </c>
      <c r="Q42833" s="5" t="s">
        <v>355</v>
      </c>
    </row>
    <row r="42834" ht="16.5" customHeight="1">
      <c r="O42834" s="5" t="s">
        <v>355</v>
      </c>
      <c r="P42834" s="5" t="s">
        <v>355</v>
      </c>
      <c r="Q42834" s="5" t="s">
        <v>355</v>
      </c>
    </row>
    <row r="42835" ht="16.5" customHeight="1">
      <c r="O42835" s="5" t="s">
        <v>355</v>
      </c>
      <c r="P42835" s="5" t="s">
        <v>355</v>
      </c>
      <c r="Q42835" s="5" t="s">
        <v>355</v>
      </c>
    </row>
    <row r="42836" ht="16.5" customHeight="1">
      <c r="O42836" s="5" t="s">
        <v>355</v>
      </c>
      <c r="P42836" s="5" t="s">
        <v>355</v>
      </c>
      <c r="Q42836" s="5" t="s">
        <v>355</v>
      </c>
    </row>
    <row r="42837" ht="16.5" customHeight="1">
      <c r="O42837" s="5" t="s">
        <v>355</v>
      </c>
      <c r="P42837" s="5" t="s">
        <v>355</v>
      </c>
      <c r="Q42837" s="5" t="s">
        <v>355</v>
      </c>
    </row>
    <row r="42838" ht="16.5" customHeight="1">
      <c r="O42838" s="5" t="s">
        <v>355</v>
      </c>
      <c r="P42838" s="5" t="s">
        <v>355</v>
      </c>
      <c r="Q42838" s="5" t="s">
        <v>355</v>
      </c>
    </row>
    <row r="42839" ht="16.5" customHeight="1">
      <c r="O42839" s="5" t="s">
        <v>355</v>
      </c>
      <c r="P42839" s="5" t="s">
        <v>355</v>
      </c>
      <c r="Q42839" s="5" t="s">
        <v>355</v>
      </c>
    </row>
    <row r="42840" ht="16.5" customHeight="1">
      <c r="O42840" s="5" t="s">
        <v>355</v>
      </c>
      <c r="P42840" s="5" t="s">
        <v>355</v>
      </c>
      <c r="Q42840" s="5" t="s">
        <v>355</v>
      </c>
    </row>
    <row r="42841" ht="16.5" customHeight="1">
      <c r="O42841" s="5" t="s">
        <v>355</v>
      </c>
      <c r="P42841" s="5" t="s">
        <v>355</v>
      </c>
      <c r="Q42841" s="5" t="s">
        <v>355</v>
      </c>
    </row>
    <row r="42842" ht="16.5" customHeight="1">
      <c r="O42842" s="5" t="s">
        <v>355</v>
      </c>
      <c r="P42842" s="5" t="s">
        <v>355</v>
      </c>
      <c r="Q42842" s="5" t="s">
        <v>355</v>
      </c>
    </row>
    <row r="42843" ht="16.5" customHeight="1">
      <c r="O42843" s="5" t="s">
        <v>355</v>
      </c>
      <c r="P42843" s="5" t="s">
        <v>355</v>
      </c>
      <c r="Q42843" s="5" t="s">
        <v>355</v>
      </c>
    </row>
    <row r="42844" ht="16.5" customHeight="1">
      <c r="O42844" s="5" t="s">
        <v>355</v>
      </c>
      <c r="P42844" s="5" t="s">
        <v>355</v>
      </c>
      <c r="Q42844" s="5" t="s">
        <v>355</v>
      </c>
    </row>
    <row r="42845" ht="16.5" customHeight="1">
      <c r="O42845" s="5" t="s">
        <v>355</v>
      </c>
      <c r="P42845" s="5" t="s">
        <v>355</v>
      </c>
      <c r="Q42845" s="5" t="s">
        <v>355</v>
      </c>
    </row>
    <row r="42846" ht="16.5" customHeight="1">
      <c r="O42846" s="5" t="s">
        <v>355</v>
      </c>
      <c r="P42846" s="5" t="s">
        <v>355</v>
      </c>
      <c r="Q42846" s="5" t="s">
        <v>355</v>
      </c>
    </row>
    <row r="42847" ht="16.5" customHeight="1">
      <c r="O42847" s="5" t="s">
        <v>355</v>
      </c>
      <c r="P42847" s="5" t="s">
        <v>355</v>
      </c>
      <c r="Q42847" s="5" t="s">
        <v>355</v>
      </c>
    </row>
    <row r="42848" ht="16.5" customHeight="1">
      <c r="O42848" s="5" t="s">
        <v>355</v>
      </c>
      <c r="P42848" s="5" t="s">
        <v>355</v>
      </c>
      <c r="Q42848" s="5" t="s">
        <v>355</v>
      </c>
    </row>
    <row r="42849" ht="16.5" customHeight="1">
      <c r="O42849" s="5" t="s">
        <v>355</v>
      </c>
      <c r="P42849" s="5" t="s">
        <v>355</v>
      </c>
      <c r="Q42849" s="5" t="s">
        <v>355</v>
      </c>
    </row>
    <row r="42850" ht="16.5" customHeight="1">
      <c r="O42850" s="5" t="s">
        <v>355</v>
      </c>
      <c r="P42850" s="5" t="s">
        <v>355</v>
      </c>
      <c r="Q42850" s="5" t="s">
        <v>355</v>
      </c>
    </row>
    <row r="42851" ht="16.5" customHeight="1">
      <c r="O42851" s="5" t="s">
        <v>355</v>
      </c>
      <c r="P42851" s="5" t="s">
        <v>355</v>
      </c>
      <c r="Q42851" s="5" t="s">
        <v>355</v>
      </c>
    </row>
    <row r="42852" ht="16.5" customHeight="1">
      <c r="O42852" s="5" t="s">
        <v>355</v>
      </c>
      <c r="P42852" s="5" t="s">
        <v>355</v>
      </c>
      <c r="Q42852" s="5" t="s">
        <v>355</v>
      </c>
    </row>
    <row r="42853" ht="16.5" customHeight="1">
      <c r="O42853" s="5" t="s">
        <v>355</v>
      </c>
      <c r="P42853" s="5" t="s">
        <v>355</v>
      </c>
      <c r="Q42853" s="5" t="s">
        <v>355</v>
      </c>
    </row>
    <row r="42854" ht="16.5" customHeight="1">
      <c r="O42854" s="5" t="s">
        <v>355</v>
      </c>
      <c r="P42854" s="5" t="s">
        <v>355</v>
      </c>
      <c r="Q42854" s="5" t="s">
        <v>355</v>
      </c>
    </row>
    <row r="42855" ht="16.5" customHeight="1">
      <c r="O42855" s="5" t="s">
        <v>355</v>
      </c>
      <c r="P42855" s="5" t="s">
        <v>355</v>
      </c>
      <c r="Q42855" s="5" t="s">
        <v>355</v>
      </c>
    </row>
    <row r="42856" ht="16.5" customHeight="1">
      <c r="O42856" s="5" t="s">
        <v>355</v>
      </c>
      <c r="P42856" s="5" t="s">
        <v>355</v>
      </c>
      <c r="Q42856" s="5" t="s">
        <v>355</v>
      </c>
    </row>
    <row r="42857" ht="16.5" customHeight="1">
      <c r="O42857" s="5" t="s">
        <v>355</v>
      </c>
      <c r="P42857" s="5" t="s">
        <v>355</v>
      </c>
      <c r="Q42857" s="5" t="s">
        <v>355</v>
      </c>
    </row>
    <row r="42858" ht="16.5" customHeight="1">
      <c r="O42858" s="5" t="s">
        <v>355</v>
      </c>
      <c r="P42858" s="5" t="s">
        <v>355</v>
      </c>
      <c r="Q42858" s="5" t="s">
        <v>355</v>
      </c>
    </row>
    <row r="42859" ht="16.5" customHeight="1">
      <c r="O42859" s="5" t="s">
        <v>355</v>
      </c>
      <c r="P42859" s="5" t="s">
        <v>355</v>
      </c>
      <c r="Q42859" s="5" t="s">
        <v>355</v>
      </c>
    </row>
    <row r="42860" ht="16.5" customHeight="1">
      <c r="O42860" s="5" t="s">
        <v>355</v>
      </c>
      <c r="P42860" s="5" t="s">
        <v>355</v>
      </c>
      <c r="Q42860" s="5" t="s">
        <v>355</v>
      </c>
    </row>
    <row r="42861" ht="16.5" customHeight="1">
      <c r="O42861" s="5" t="s">
        <v>355</v>
      </c>
      <c r="P42861" s="5" t="s">
        <v>355</v>
      </c>
      <c r="Q42861" s="5" t="s">
        <v>355</v>
      </c>
    </row>
    <row r="42862" ht="16.5" customHeight="1">
      <c r="O42862" s="5" t="s">
        <v>355</v>
      </c>
      <c r="P42862" s="5" t="s">
        <v>355</v>
      </c>
      <c r="Q42862" s="5" t="s">
        <v>355</v>
      </c>
    </row>
    <row r="42863" ht="16.5" customHeight="1">
      <c r="O42863" s="5" t="s">
        <v>355</v>
      </c>
      <c r="P42863" s="5" t="s">
        <v>355</v>
      </c>
      <c r="Q42863" s="5" t="s">
        <v>355</v>
      </c>
    </row>
    <row r="42864" ht="16.5" customHeight="1">
      <c r="O42864" s="5" t="s">
        <v>355</v>
      </c>
      <c r="P42864" s="5" t="s">
        <v>355</v>
      </c>
      <c r="Q42864" s="5" t="s">
        <v>355</v>
      </c>
    </row>
    <row r="42865" ht="16.5" customHeight="1">
      <c r="O42865" s="5" t="s">
        <v>355</v>
      </c>
      <c r="P42865" s="5" t="s">
        <v>355</v>
      </c>
      <c r="Q42865" s="5" t="s">
        <v>355</v>
      </c>
    </row>
    <row r="42866" ht="16.5" customHeight="1">
      <c r="O42866" s="5" t="s">
        <v>355</v>
      </c>
      <c r="P42866" s="5" t="s">
        <v>355</v>
      </c>
      <c r="Q42866" s="5" t="s">
        <v>355</v>
      </c>
    </row>
    <row r="42867" ht="16.5" customHeight="1">
      <c r="O42867" s="5" t="s">
        <v>355</v>
      </c>
      <c r="P42867" s="5" t="s">
        <v>355</v>
      </c>
      <c r="Q42867" s="5" t="s">
        <v>355</v>
      </c>
    </row>
    <row r="42868" ht="16.5" customHeight="1">
      <c r="O42868" s="5" t="s">
        <v>355</v>
      </c>
      <c r="P42868" s="5" t="s">
        <v>355</v>
      </c>
      <c r="Q42868" s="5" t="s">
        <v>355</v>
      </c>
    </row>
    <row r="42869" ht="16.5" customHeight="1">
      <c r="O42869" s="5" t="s">
        <v>355</v>
      </c>
      <c r="P42869" s="5" t="s">
        <v>355</v>
      </c>
      <c r="Q42869" s="5" t="s">
        <v>355</v>
      </c>
    </row>
    <row r="42870" ht="16.5" customHeight="1">
      <c r="O42870" s="5" t="s">
        <v>355</v>
      </c>
      <c r="P42870" s="5" t="s">
        <v>355</v>
      </c>
      <c r="Q42870" s="5" t="s">
        <v>355</v>
      </c>
    </row>
    <row r="42871" ht="16.5" customHeight="1">
      <c r="O42871" s="5" t="s">
        <v>355</v>
      </c>
      <c r="P42871" s="5" t="s">
        <v>355</v>
      </c>
      <c r="Q42871" s="5" t="s">
        <v>355</v>
      </c>
    </row>
    <row r="42872" ht="16.5" customHeight="1">
      <c r="O42872" s="5" t="s">
        <v>355</v>
      </c>
      <c r="P42872" s="5" t="s">
        <v>355</v>
      </c>
      <c r="Q42872" s="5" t="s">
        <v>355</v>
      </c>
    </row>
    <row r="42873" ht="16.5" customHeight="1">
      <c r="O42873" s="5" t="s">
        <v>355</v>
      </c>
      <c r="P42873" s="5" t="s">
        <v>355</v>
      </c>
      <c r="Q42873" s="5" t="s">
        <v>355</v>
      </c>
    </row>
    <row r="42874" ht="16.5" customHeight="1">
      <c r="O42874" s="5" t="s">
        <v>355</v>
      </c>
      <c r="P42874" s="5" t="s">
        <v>355</v>
      </c>
      <c r="Q42874" s="5" t="s">
        <v>355</v>
      </c>
    </row>
    <row r="42875" ht="16.5" customHeight="1">
      <c r="O42875" s="5" t="s">
        <v>355</v>
      </c>
      <c r="P42875" s="5" t="s">
        <v>355</v>
      </c>
      <c r="Q42875" s="5" t="s">
        <v>355</v>
      </c>
    </row>
    <row r="42876" ht="16.5" customHeight="1">
      <c r="O42876" s="5" t="s">
        <v>355</v>
      </c>
      <c r="P42876" s="5" t="s">
        <v>355</v>
      </c>
      <c r="Q42876" s="5" t="s">
        <v>355</v>
      </c>
    </row>
    <row r="42877" ht="16.5" customHeight="1">
      <c r="O42877" s="5" t="s">
        <v>355</v>
      </c>
      <c r="P42877" s="5" t="s">
        <v>355</v>
      </c>
      <c r="Q42877" s="5" t="s">
        <v>355</v>
      </c>
    </row>
    <row r="42878" ht="16.5" customHeight="1">
      <c r="O42878" s="5" t="s">
        <v>355</v>
      </c>
      <c r="P42878" s="5" t="s">
        <v>355</v>
      </c>
      <c r="Q42878" s="5" t="s">
        <v>355</v>
      </c>
    </row>
    <row r="42879" ht="16.5" customHeight="1">
      <c r="O42879" s="5" t="s">
        <v>355</v>
      </c>
      <c r="P42879" s="5" t="s">
        <v>355</v>
      </c>
      <c r="Q42879" s="5" t="s">
        <v>355</v>
      </c>
    </row>
    <row r="42880" ht="16.5" customHeight="1">
      <c r="O42880" s="5" t="s">
        <v>355</v>
      </c>
      <c r="P42880" s="5" t="s">
        <v>355</v>
      </c>
      <c r="Q42880" s="5" t="s">
        <v>355</v>
      </c>
    </row>
    <row r="42881" ht="16.5" customHeight="1">
      <c r="O42881" s="5" t="s">
        <v>355</v>
      </c>
      <c r="P42881" s="5" t="s">
        <v>355</v>
      </c>
      <c r="Q42881" s="5" t="s">
        <v>355</v>
      </c>
    </row>
    <row r="42882" ht="16.5" customHeight="1">
      <c r="O42882" s="5" t="s">
        <v>355</v>
      </c>
      <c r="P42882" s="5" t="s">
        <v>355</v>
      </c>
      <c r="Q42882" s="5" t="s">
        <v>355</v>
      </c>
    </row>
    <row r="42883" ht="16.5" customHeight="1">
      <c r="O42883" s="5" t="s">
        <v>355</v>
      </c>
      <c r="P42883" s="5" t="s">
        <v>355</v>
      </c>
      <c r="Q42883" s="5" t="s">
        <v>355</v>
      </c>
    </row>
    <row r="42884" ht="16.5" customHeight="1">
      <c r="O42884" s="5" t="s">
        <v>355</v>
      </c>
      <c r="P42884" s="5" t="s">
        <v>355</v>
      </c>
      <c r="Q42884" s="5" t="s">
        <v>355</v>
      </c>
    </row>
    <row r="42885" ht="16.5" customHeight="1">
      <c r="O42885" s="5" t="s">
        <v>355</v>
      </c>
      <c r="P42885" s="5" t="s">
        <v>355</v>
      </c>
      <c r="Q42885" s="5" t="s">
        <v>355</v>
      </c>
    </row>
    <row r="42886" ht="16.5" customHeight="1">
      <c r="O42886" s="5" t="s">
        <v>355</v>
      </c>
      <c r="P42886" s="5" t="s">
        <v>355</v>
      </c>
      <c r="Q42886" s="5" t="s">
        <v>355</v>
      </c>
    </row>
    <row r="42887" ht="16.5" customHeight="1">
      <c r="O42887" s="5" t="s">
        <v>355</v>
      </c>
      <c r="P42887" s="5" t="s">
        <v>355</v>
      </c>
      <c r="Q42887" s="5" t="s">
        <v>355</v>
      </c>
    </row>
    <row r="42888" ht="16.5" customHeight="1">
      <c r="O42888" s="5" t="s">
        <v>355</v>
      </c>
      <c r="P42888" s="5" t="s">
        <v>355</v>
      </c>
      <c r="Q42888" s="5" t="s">
        <v>355</v>
      </c>
    </row>
    <row r="42889" ht="16.5" customHeight="1">
      <c r="O42889" s="5" t="s">
        <v>355</v>
      </c>
      <c r="P42889" s="5" t="s">
        <v>355</v>
      </c>
      <c r="Q42889" s="5" t="s">
        <v>355</v>
      </c>
    </row>
    <row r="42890" ht="16.5" customHeight="1">
      <c r="O42890" s="5" t="s">
        <v>355</v>
      </c>
      <c r="P42890" s="5" t="s">
        <v>355</v>
      </c>
      <c r="Q42890" s="5" t="s">
        <v>355</v>
      </c>
    </row>
    <row r="42891" ht="16.5" customHeight="1">
      <c r="O42891" s="5" t="s">
        <v>355</v>
      </c>
      <c r="P42891" s="5" t="s">
        <v>355</v>
      </c>
      <c r="Q42891" s="5" t="s">
        <v>355</v>
      </c>
    </row>
    <row r="42892" ht="16.5" customHeight="1">
      <c r="O42892" s="5" t="s">
        <v>355</v>
      </c>
      <c r="P42892" s="5" t="s">
        <v>355</v>
      </c>
      <c r="Q42892" s="5" t="s">
        <v>355</v>
      </c>
    </row>
    <row r="42893" ht="16.5" customHeight="1">
      <c r="O42893" s="5" t="s">
        <v>355</v>
      </c>
      <c r="P42893" s="5" t="s">
        <v>355</v>
      </c>
      <c r="Q42893" s="5" t="s">
        <v>355</v>
      </c>
    </row>
    <row r="42894" ht="16.5" customHeight="1">
      <c r="O42894" s="5" t="s">
        <v>355</v>
      </c>
      <c r="P42894" s="5" t="s">
        <v>355</v>
      </c>
      <c r="Q42894" s="5" t="s">
        <v>355</v>
      </c>
    </row>
    <row r="42895" ht="16.5" customHeight="1">
      <c r="O42895" s="5" t="s">
        <v>355</v>
      </c>
      <c r="P42895" s="5" t="s">
        <v>355</v>
      </c>
      <c r="Q42895" s="5" t="s">
        <v>355</v>
      </c>
    </row>
    <row r="42896" ht="16.5" customHeight="1">
      <c r="O42896" s="5" t="s">
        <v>355</v>
      </c>
      <c r="P42896" s="5" t="s">
        <v>355</v>
      </c>
      <c r="Q42896" s="5" t="s">
        <v>355</v>
      </c>
    </row>
    <row r="42897" ht="16.5" customHeight="1">
      <c r="O42897" s="5" t="s">
        <v>355</v>
      </c>
      <c r="P42897" s="5" t="s">
        <v>355</v>
      </c>
      <c r="Q42897" s="5" t="s">
        <v>355</v>
      </c>
    </row>
    <row r="42898" ht="16.5" customHeight="1">
      <c r="O42898" s="5" t="s">
        <v>355</v>
      </c>
      <c r="P42898" s="5" t="s">
        <v>355</v>
      </c>
      <c r="Q42898" s="5" t="s">
        <v>355</v>
      </c>
    </row>
    <row r="42899" ht="16.5" customHeight="1">
      <c r="O42899" s="5" t="s">
        <v>355</v>
      </c>
      <c r="P42899" s="5" t="s">
        <v>355</v>
      </c>
      <c r="Q42899" s="5" t="s">
        <v>355</v>
      </c>
    </row>
    <row r="42900" ht="16.5" customHeight="1">
      <c r="O42900" s="5" t="s">
        <v>355</v>
      </c>
      <c r="P42900" s="5" t="s">
        <v>355</v>
      </c>
      <c r="Q42900" s="5" t="s">
        <v>355</v>
      </c>
    </row>
    <row r="42901" ht="16.5" customHeight="1">
      <c r="O42901" s="5" t="s">
        <v>355</v>
      </c>
      <c r="P42901" s="5" t="s">
        <v>355</v>
      </c>
      <c r="Q42901" s="5" t="s">
        <v>355</v>
      </c>
    </row>
    <row r="42902" ht="16.5" customHeight="1">
      <c r="O42902" s="5" t="s">
        <v>355</v>
      </c>
      <c r="P42902" s="5" t="s">
        <v>355</v>
      </c>
      <c r="Q42902" s="5" t="s">
        <v>355</v>
      </c>
    </row>
    <row r="42903" ht="16.5" customHeight="1">
      <c r="O42903" s="5" t="s">
        <v>355</v>
      </c>
      <c r="P42903" s="5" t="s">
        <v>355</v>
      </c>
      <c r="Q42903" s="5" t="s">
        <v>355</v>
      </c>
    </row>
    <row r="42904" ht="16.5" customHeight="1">
      <c r="O42904" s="5" t="s">
        <v>355</v>
      </c>
      <c r="P42904" s="5" t="s">
        <v>355</v>
      </c>
      <c r="Q42904" s="5" t="s">
        <v>355</v>
      </c>
    </row>
    <row r="42905" ht="16.5" customHeight="1">
      <c r="O42905" s="5" t="s">
        <v>355</v>
      </c>
      <c r="P42905" s="5" t="s">
        <v>355</v>
      </c>
      <c r="Q42905" s="5" t="s">
        <v>355</v>
      </c>
    </row>
    <row r="42906" ht="16.5" customHeight="1">
      <c r="O42906" s="5" t="s">
        <v>355</v>
      </c>
      <c r="P42906" s="5" t="s">
        <v>355</v>
      </c>
      <c r="Q42906" s="5" t="s">
        <v>355</v>
      </c>
    </row>
    <row r="42907" ht="16.5" customHeight="1">
      <c r="O42907" s="5" t="s">
        <v>355</v>
      </c>
      <c r="P42907" s="5" t="s">
        <v>355</v>
      </c>
      <c r="Q42907" s="5" t="s">
        <v>355</v>
      </c>
    </row>
    <row r="42908" ht="16.5" customHeight="1">
      <c r="O42908" s="5" t="s">
        <v>355</v>
      </c>
      <c r="P42908" s="5" t="s">
        <v>355</v>
      </c>
      <c r="Q42908" s="5" t="s">
        <v>355</v>
      </c>
    </row>
    <row r="42909" ht="16.5" customHeight="1">
      <c r="O42909" s="5" t="s">
        <v>355</v>
      </c>
      <c r="P42909" s="5" t="s">
        <v>355</v>
      </c>
      <c r="Q42909" s="5" t="s">
        <v>355</v>
      </c>
    </row>
    <row r="42910" ht="16.5" customHeight="1">
      <c r="O42910" s="5" t="s">
        <v>355</v>
      </c>
      <c r="P42910" s="5" t="s">
        <v>355</v>
      </c>
      <c r="Q42910" s="5" t="s">
        <v>355</v>
      </c>
    </row>
    <row r="42911" ht="16.5" customHeight="1">
      <c r="O42911" s="5" t="s">
        <v>355</v>
      </c>
      <c r="P42911" s="5" t="s">
        <v>355</v>
      </c>
      <c r="Q42911" s="5" t="s">
        <v>355</v>
      </c>
    </row>
    <row r="42912" ht="16.5" customHeight="1">
      <c r="O42912" s="5" t="s">
        <v>355</v>
      </c>
      <c r="P42912" s="5" t="s">
        <v>355</v>
      </c>
      <c r="Q42912" s="5" t="s">
        <v>355</v>
      </c>
    </row>
    <row r="42913" ht="16.5" customHeight="1">
      <c r="O42913" s="5" t="s">
        <v>355</v>
      </c>
      <c r="P42913" s="5" t="s">
        <v>355</v>
      </c>
      <c r="Q42913" s="5" t="s">
        <v>355</v>
      </c>
    </row>
    <row r="42914" ht="16.5" customHeight="1">
      <c r="O42914" s="5" t="s">
        <v>355</v>
      </c>
      <c r="P42914" s="5" t="s">
        <v>355</v>
      </c>
      <c r="Q42914" s="5" t="s">
        <v>355</v>
      </c>
    </row>
    <row r="42915" ht="16.5" customHeight="1">
      <c r="O42915" s="5" t="s">
        <v>355</v>
      </c>
      <c r="P42915" s="5" t="s">
        <v>355</v>
      </c>
      <c r="Q42915" s="5" t="s">
        <v>355</v>
      </c>
    </row>
    <row r="42916" ht="16.5" customHeight="1">
      <c r="O42916" s="5" t="s">
        <v>355</v>
      </c>
      <c r="P42916" s="5" t="s">
        <v>355</v>
      </c>
      <c r="Q42916" s="5" t="s">
        <v>355</v>
      </c>
    </row>
    <row r="42917" ht="16.5" customHeight="1">
      <c r="O42917" s="5" t="s">
        <v>355</v>
      </c>
      <c r="P42917" s="5" t="s">
        <v>355</v>
      </c>
      <c r="Q42917" s="5" t="s">
        <v>355</v>
      </c>
    </row>
    <row r="42918" ht="16.5" customHeight="1">
      <c r="O42918" s="5" t="s">
        <v>355</v>
      </c>
      <c r="P42918" s="5" t="s">
        <v>355</v>
      </c>
      <c r="Q42918" s="5" t="s">
        <v>355</v>
      </c>
    </row>
    <row r="42919" ht="16.5" customHeight="1">
      <c r="O42919" s="5" t="s">
        <v>355</v>
      </c>
      <c r="P42919" s="5" t="s">
        <v>355</v>
      </c>
      <c r="Q42919" s="5" t="s">
        <v>355</v>
      </c>
    </row>
    <row r="42920" ht="16.5" customHeight="1">
      <c r="O42920" s="5" t="s">
        <v>355</v>
      </c>
      <c r="P42920" s="5" t="s">
        <v>355</v>
      </c>
      <c r="Q42920" s="5" t="s">
        <v>355</v>
      </c>
    </row>
    <row r="42921" ht="16.5" customHeight="1">
      <c r="O42921" s="5" t="s">
        <v>355</v>
      </c>
      <c r="P42921" s="5" t="s">
        <v>355</v>
      </c>
      <c r="Q42921" s="5" t="s">
        <v>355</v>
      </c>
    </row>
    <row r="42922" ht="16.5" customHeight="1">
      <c r="O42922" s="5" t="s">
        <v>355</v>
      </c>
      <c r="P42922" s="5" t="s">
        <v>355</v>
      </c>
      <c r="Q42922" s="5" t="s">
        <v>355</v>
      </c>
    </row>
    <row r="42923" ht="16.5" customHeight="1">
      <c r="O42923" s="5" t="s">
        <v>355</v>
      </c>
      <c r="P42923" s="5" t="s">
        <v>355</v>
      </c>
      <c r="Q42923" s="5" t="s">
        <v>355</v>
      </c>
    </row>
    <row r="42924" ht="16.5" customHeight="1">
      <c r="O42924" s="5" t="s">
        <v>355</v>
      </c>
      <c r="P42924" s="5" t="s">
        <v>355</v>
      </c>
      <c r="Q42924" s="5" t="s">
        <v>355</v>
      </c>
    </row>
    <row r="42925" ht="16.5" customHeight="1">
      <c r="O42925" s="5" t="s">
        <v>355</v>
      </c>
      <c r="P42925" s="5" t="s">
        <v>355</v>
      </c>
      <c r="Q42925" s="5" t="s">
        <v>355</v>
      </c>
    </row>
    <row r="42926" ht="16.5" customHeight="1">
      <c r="O42926" s="5" t="s">
        <v>355</v>
      </c>
      <c r="P42926" s="5" t="s">
        <v>355</v>
      </c>
      <c r="Q42926" s="5" t="s">
        <v>355</v>
      </c>
    </row>
    <row r="42927" ht="16.5" customHeight="1">
      <c r="O42927" s="5" t="s">
        <v>355</v>
      </c>
      <c r="P42927" s="5" t="s">
        <v>355</v>
      </c>
      <c r="Q42927" s="5" t="s">
        <v>355</v>
      </c>
    </row>
    <row r="42928" ht="16.5" customHeight="1">
      <c r="O42928" s="5" t="s">
        <v>355</v>
      </c>
      <c r="P42928" s="5" t="s">
        <v>355</v>
      </c>
      <c r="Q42928" s="5" t="s">
        <v>355</v>
      </c>
    </row>
    <row r="42929" ht="16.5" customHeight="1">
      <c r="O42929" s="5" t="s">
        <v>355</v>
      </c>
      <c r="P42929" s="5" t="s">
        <v>355</v>
      </c>
      <c r="Q42929" s="5" t="s">
        <v>355</v>
      </c>
    </row>
    <row r="42930" ht="16.5" customHeight="1">
      <c r="O42930" s="5" t="s">
        <v>355</v>
      </c>
      <c r="P42930" s="5" t="s">
        <v>355</v>
      </c>
      <c r="Q42930" s="5" t="s">
        <v>355</v>
      </c>
    </row>
    <row r="42931" ht="16.5" customHeight="1">
      <c r="O42931" s="5" t="s">
        <v>355</v>
      </c>
      <c r="P42931" s="5" t="s">
        <v>355</v>
      </c>
      <c r="Q42931" s="5" t="s">
        <v>355</v>
      </c>
    </row>
    <row r="42932" ht="16.5" customHeight="1">
      <c r="O42932" s="5" t="s">
        <v>355</v>
      </c>
      <c r="P42932" s="5" t="s">
        <v>355</v>
      </c>
      <c r="Q42932" s="5" t="s">
        <v>355</v>
      </c>
    </row>
    <row r="42933" ht="16.5" customHeight="1">
      <c r="O42933" s="5" t="s">
        <v>355</v>
      </c>
      <c r="P42933" s="5" t="s">
        <v>355</v>
      </c>
      <c r="Q42933" s="5" t="s">
        <v>355</v>
      </c>
    </row>
    <row r="42934" ht="16.5" customHeight="1">
      <c r="O42934" s="5" t="s">
        <v>355</v>
      </c>
      <c r="P42934" s="5" t="s">
        <v>355</v>
      </c>
      <c r="Q42934" s="5" t="s">
        <v>355</v>
      </c>
    </row>
    <row r="42935" ht="16.5" customHeight="1">
      <c r="O42935" s="5" t="s">
        <v>355</v>
      </c>
      <c r="P42935" s="5" t="s">
        <v>355</v>
      </c>
      <c r="Q42935" s="5" t="s">
        <v>355</v>
      </c>
    </row>
    <row r="42936" ht="16.5" customHeight="1">
      <c r="O42936" s="5" t="s">
        <v>355</v>
      </c>
      <c r="P42936" s="5" t="s">
        <v>355</v>
      </c>
      <c r="Q42936" s="5" t="s">
        <v>355</v>
      </c>
    </row>
    <row r="42937" ht="16.5" customHeight="1">
      <c r="O42937" s="5" t="s">
        <v>355</v>
      </c>
      <c r="P42937" s="5" t="s">
        <v>355</v>
      </c>
      <c r="Q42937" s="5" t="s">
        <v>355</v>
      </c>
    </row>
    <row r="42938" ht="16.5" customHeight="1">
      <c r="O42938" s="5" t="s">
        <v>355</v>
      </c>
      <c r="P42938" s="5" t="s">
        <v>355</v>
      </c>
      <c r="Q42938" s="5" t="s">
        <v>355</v>
      </c>
    </row>
    <row r="42939" ht="16.5" customHeight="1">
      <c r="O42939" s="5" t="s">
        <v>355</v>
      </c>
      <c r="P42939" s="5" t="s">
        <v>355</v>
      </c>
      <c r="Q42939" s="5" t="s">
        <v>355</v>
      </c>
    </row>
    <row r="42940" ht="16.5" customHeight="1">
      <c r="O42940" s="5" t="s">
        <v>355</v>
      </c>
      <c r="P42940" s="5" t="s">
        <v>355</v>
      </c>
      <c r="Q42940" s="5" t="s">
        <v>355</v>
      </c>
    </row>
    <row r="42941" ht="16.5" customHeight="1">
      <c r="O42941" s="5" t="s">
        <v>355</v>
      </c>
      <c r="P42941" s="5" t="s">
        <v>355</v>
      </c>
      <c r="Q42941" s="5" t="s">
        <v>355</v>
      </c>
    </row>
    <row r="42942" ht="16.5" customHeight="1">
      <c r="O42942" s="5" t="s">
        <v>355</v>
      </c>
      <c r="P42942" s="5" t="s">
        <v>355</v>
      </c>
      <c r="Q42942" s="5" t="s">
        <v>355</v>
      </c>
    </row>
    <row r="42943" ht="16.5" customHeight="1">
      <c r="O42943" s="5" t="s">
        <v>355</v>
      </c>
      <c r="P42943" s="5" t="s">
        <v>355</v>
      </c>
      <c r="Q42943" s="5" t="s">
        <v>355</v>
      </c>
    </row>
    <row r="42944" ht="16.5" customHeight="1">
      <c r="O42944" s="5" t="s">
        <v>355</v>
      </c>
      <c r="P42944" s="5" t="s">
        <v>355</v>
      </c>
      <c r="Q42944" s="5" t="s">
        <v>355</v>
      </c>
    </row>
    <row r="42945" ht="16.5" customHeight="1">
      <c r="O42945" s="5" t="s">
        <v>355</v>
      </c>
      <c r="P42945" s="5" t="s">
        <v>355</v>
      </c>
      <c r="Q42945" s="5" t="s">
        <v>355</v>
      </c>
    </row>
    <row r="42946" ht="16.5" customHeight="1">
      <c r="O42946" s="5" t="s">
        <v>355</v>
      </c>
      <c r="P42946" s="5" t="s">
        <v>355</v>
      </c>
      <c r="Q42946" s="5" t="s">
        <v>355</v>
      </c>
    </row>
    <row r="42947" ht="16.5" customHeight="1">
      <c r="O42947" s="5" t="s">
        <v>355</v>
      </c>
      <c r="P42947" s="5" t="s">
        <v>355</v>
      </c>
      <c r="Q42947" s="5" t="s">
        <v>355</v>
      </c>
    </row>
    <row r="42948" ht="16.5" customHeight="1">
      <c r="O42948" s="5" t="s">
        <v>355</v>
      </c>
      <c r="P42948" s="5" t="s">
        <v>355</v>
      </c>
      <c r="Q42948" s="5" t="s">
        <v>355</v>
      </c>
    </row>
    <row r="42949" ht="16.5" customHeight="1">
      <c r="O42949" s="5" t="s">
        <v>355</v>
      </c>
      <c r="P42949" s="5" t="s">
        <v>355</v>
      </c>
      <c r="Q42949" s="5" t="s">
        <v>355</v>
      </c>
    </row>
    <row r="42950" ht="16.5" customHeight="1">
      <c r="O42950" s="5" t="s">
        <v>355</v>
      </c>
      <c r="P42950" s="5" t="s">
        <v>355</v>
      </c>
      <c r="Q42950" s="5" t="s">
        <v>355</v>
      </c>
    </row>
    <row r="42951" ht="16.5" customHeight="1">
      <c r="O42951" s="5" t="s">
        <v>355</v>
      </c>
      <c r="P42951" s="5" t="s">
        <v>355</v>
      </c>
      <c r="Q42951" s="5" t="s">
        <v>355</v>
      </c>
    </row>
    <row r="42952" ht="16.5" customHeight="1">
      <c r="O42952" s="5" t="s">
        <v>355</v>
      </c>
      <c r="P42952" s="5" t="s">
        <v>355</v>
      </c>
      <c r="Q42952" s="5" t="s">
        <v>355</v>
      </c>
    </row>
    <row r="42953" ht="16.5" customHeight="1">
      <c r="O42953" s="5" t="s">
        <v>355</v>
      </c>
      <c r="P42953" s="5" t="s">
        <v>355</v>
      </c>
      <c r="Q42953" s="5" t="s">
        <v>355</v>
      </c>
    </row>
    <row r="42954" ht="16.5" customHeight="1">
      <c r="O42954" s="5" t="s">
        <v>355</v>
      </c>
      <c r="P42954" s="5" t="s">
        <v>355</v>
      </c>
      <c r="Q42954" s="5" t="s">
        <v>355</v>
      </c>
    </row>
    <row r="42955" ht="16.5" customHeight="1">
      <c r="O42955" s="5" t="s">
        <v>355</v>
      </c>
      <c r="P42955" s="5" t="s">
        <v>355</v>
      </c>
      <c r="Q42955" s="5" t="s">
        <v>355</v>
      </c>
    </row>
    <row r="42956" ht="16.5" customHeight="1">
      <c r="O42956" s="5" t="s">
        <v>355</v>
      </c>
      <c r="P42956" s="5" t="s">
        <v>355</v>
      </c>
      <c r="Q42956" s="5" t="s">
        <v>355</v>
      </c>
    </row>
    <row r="42957" ht="16.5" customHeight="1">
      <c r="O42957" s="5" t="s">
        <v>355</v>
      </c>
      <c r="P42957" s="5" t="s">
        <v>355</v>
      </c>
      <c r="Q42957" s="5" t="s">
        <v>355</v>
      </c>
    </row>
    <row r="42958" ht="16.5" customHeight="1">
      <c r="O42958" s="5" t="s">
        <v>355</v>
      </c>
      <c r="P42958" s="5" t="s">
        <v>355</v>
      </c>
      <c r="Q42958" s="5" t="s">
        <v>355</v>
      </c>
    </row>
    <row r="42959" ht="16.5" customHeight="1">
      <c r="O42959" s="5" t="s">
        <v>355</v>
      </c>
      <c r="P42959" s="5" t="s">
        <v>355</v>
      </c>
      <c r="Q42959" s="5" t="s">
        <v>355</v>
      </c>
    </row>
    <row r="42960" ht="16.5" customHeight="1">
      <c r="O42960" s="5" t="s">
        <v>355</v>
      </c>
      <c r="P42960" s="5" t="s">
        <v>355</v>
      </c>
      <c r="Q42960" s="5" t="s">
        <v>355</v>
      </c>
    </row>
    <row r="42961" ht="16.5" customHeight="1">
      <c r="O42961" s="5" t="s">
        <v>355</v>
      </c>
      <c r="P42961" s="5" t="s">
        <v>355</v>
      </c>
      <c r="Q42961" s="5" t="s">
        <v>355</v>
      </c>
    </row>
    <row r="42962" ht="16.5" customHeight="1">
      <c r="O42962" s="5" t="s">
        <v>355</v>
      </c>
      <c r="P42962" s="5" t="s">
        <v>355</v>
      </c>
      <c r="Q42962" s="5" t="s">
        <v>355</v>
      </c>
    </row>
    <row r="42963" ht="16.5" customHeight="1">
      <c r="O42963" s="5" t="s">
        <v>355</v>
      </c>
      <c r="P42963" s="5" t="s">
        <v>355</v>
      </c>
      <c r="Q42963" s="5" t="s">
        <v>355</v>
      </c>
    </row>
    <row r="42964" ht="16.5" customHeight="1">
      <c r="O42964" s="5" t="s">
        <v>355</v>
      </c>
      <c r="P42964" s="5" t="s">
        <v>355</v>
      </c>
      <c r="Q42964" s="5" t="s">
        <v>355</v>
      </c>
    </row>
    <row r="42965" ht="16.5" customHeight="1">
      <c r="O42965" s="5" t="s">
        <v>355</v>
      </c>
      <c r="P42965" s="5" t="s">
        <v>355</v>
      </c>
      <c r="Q42965" s="5" t="s">
        <v>355</v>
      </c>
    </row>
    <row r="42966" ht="16.5" customHeight="1">
      <c r="O42966" s="5" t="s">
        <v>355</v>
      </c>
      <c r="P42966" s="5" t="s">
        <v>355</v>
      </c>
      <c r="Q42966" s="5" t="s">
        <v>355</v>
      </c>
    </row>
    <row r="42967" ht="16.5" customHeight="1">
      <c r="O42967" s="5" t="s">
        <v>355</v>
      </c>
      <c r="P42967" s="5" t="s">
        <v>355</v>
      </c>
      <c r="Q42967" s="5" t="s">
        <v>355</v>
      </c>
    </row>
    <row r="42968" ht="16.5" customHeight="1">
      <c r="O42968" s="5" t="s">
        <v>355</v>
      </c>
      <c r="P42968" s="5" t="s">
        <v>355</v>
      </c>
      <c r="Q42968" s="5" t="s">
        <v>355</v>
      </c>
    </row>
    <row r="42969" ht="16.5" customHeight="1">
      <c r="O42969" s="5" t="s">
        <v>355</v>
      </c>
      <c r="P42969" s="5" t="s">
        <v>355</v>
      </c>
      <c r="Q42969" s="5" t="s">
        <v>355</v>
      </c>
    </row>
    <row r="42970" ht="16.5" customHeight="1">
      <c r="O42970" s="5" t="s">
        <v>355</v>
      </c>
      <c r="P42970" s="5" t="s">
        <v>355</v>
      </c>
      <c r="Q42970" s="5" t="s">
        <v>355</v>
      </c>
    </row>
    <row r="42971" ht="16.5" customHeight="1">
      <c r="O42971" s="5" t="s">
        <v>355</v>
      </c>
      <c r="P42971" s="5" t="s">
        <v>355</v>
      </c>
      <c r="Q42971" s="5" t="s">
        <v>355</v>
      </c>
    </row>
    <row r="42972" ht="16.5" customHeight="1">
      <c r="O42972" s="5" t="s">
        <v>355</v>
      </c>
      <c r="P42972" s="5" t="s">
        <v>355</v>
      </c>
      <c r="Q42972" s="5" t="s">
        <v>355</v>
      </c>
    </row>
    <row r="42973" ht="16.5" customHeight="1">
      <c r="O42973" s="5" t="s">
        <v>355</v>
      </c>
      <c r="P42973" s="5" t="s">
        <v>355</v>
      </c>
      <c r="Q42973" s="5" t="s">
        <v>355</v>
      </c>
    </row>
    <row r="42974" ht="16.5" customHeight="1">
      <c r="O42974" s="5" t="s">
        <v>355</v>
      </c>
      <c r="P42974" s="5" t="s">
        <v>355</v>
      </c>
      <c r="Q42974" s="5" t="s">
        <v>355</v>
      </c>
    </row>
    <row r="42975" ht="16.5" customHeight="1">
      <c r="O42975" s="5" t="s">
        <v>355</v>
      </c>
      <c r="P42975" s="5" t="s">
        <v>355</v>
      </c>
      <c r="Q42975" s="5" t="s">
        <v>355</v>
      </c>
    </row>
    <row r="42976" ht="16.5" customHeight="1">
      <c r="O42976" s="5" t="s">
        <v>355</v>
      </c>
      <c r="P42976" s="5" t="s">
        <v>355</v>
      </c>
      <c r="Q42976" s="5" t="s">
        <v>355</v>
      </c>
    </row>
    <row r="42977" ht="16.5" customHeight="1">
      <c r="O42977" s="5" t="s">
        <v>355</v>
      </c>
      <c r="P42977" s="5" t="s">
        <v>355</v>
      </c>
      <c r="Q42977" s="5" t="s">
        <v>355</v>
      </c>
    </row>
    <row r="42978" ht="16.5" customHeight="1">
      <c r="O42978" s="5" t="s">
        <v>355</v>
      </c>
      <c r="P42978" s="5" t="s">
        <v>355</v>
      </c>
      <c r="Q42978" s="5" t="s">
        <v>355</v>
      </c>
    </row>
    <row r="42979" ht="16.5" customHeight="1">
      <c r="O42979" s="5" t="s">
        <v>355</v>
      </c>
      <c r="P42979" s="5" t="s">
        <v>355</v>
      </c>
      <c r="Q42979" s="5" t="s">
        <v>355</v>
      </c>
    </row>
    <row r="42980" ht="16.5" customHeight="1">
      <c r="O42980" s="5" t="s">
        <v>355</v>
      </c>
      <c r="P42980" s="5" t="s">
        <v>355</v>
      </c>
      <c r="Q42980" s="5" t="s">
        <v>355</v>
      </c>
    </row>
    <row r="42981" ht="16.5" customHeight="1">
      <c r="O42981" s="5" t="s">
        <v>355</v>
      </c>
      <c r="P42981" s="5" t="s">
        <v>355</v>
      </c>
      <c r="Q42981" s="5" t="s">
        <v>355</v>
      </c>
    </row>
    <row r="42982" ht="16.5" customHeight="1">
      <c r="O42982" s="5" t="s">
        <v>355</v>
      </c>
      <c r="P42982" s="5" t="s">
        <v>355</v>
      </c>
      <c r="Q42982" s="5" t="s">
        <v>355</v>
      </c>
    </row>
    <row r="42983" ht="16.5" customHeight="1">
      <c r="O42983" s="5" t="s">
        <v>355</v>
      </c>
      <c r="P42983" s="5" t="s">
        <v>355</v>
      </c>
      <c r="Q42983" s="5" t="s">
        <v>355</v>
      </c>
    </row>
    <row r="42984" ht="16.5" customHeight="1">
      <c r="O42984" s="5" t="s">
        <v>355</v>
      </c>
      <c r="P42984" s="5" t="s">
        <v>355</v>
      </c>
      <c r="Q42984" s="5" t="s">
        <v>355</v>
      </c>
    </row>
    <row r="42985" ht="16.5" customHeight="1">
      <c r="O42985" s="5" t="s">
        <v>355</v>
      </c>
      <c r="P42985" s="5" t="s">
        <v>355</v>
      </c>
      <c r="Q42985" s="5" t="s">
        <v>355</v>
      </c>
    </row>
    <row r="42986" ht="16.5" customHeight="1">
      <c r="O42986" s="5" t="s">
        <v>355</v>
      </c>
      <c r="P42986" s="5" t="s">
        <v>355</v>
      </c>
      <c r="Q42986" s="5" t="s">
        <v>355</v>
      </c>
    </row>
    <row r="42987" ht="16.5" customHeight="1">
      <c r="O42987" s="5" t="s">
        <v>355</v>
      </c>
      <c r="P42987" s="5" t="s">
        <v>355</v>
      </c>
      <c r="Q42987" s="5" t="s">
        <v>355</v>
      </c>
    </row>
    <row r="42988" ht="16.5" customHeight="1">
      <c r="O42988" s="5" t="s">
        <v>355</v>
      </c>
      <c r="P42988" s="5" t="s">
        <v>355</v>
      </c>
      <c r="Q42988" s="5" t="s">
        <v>355</v>
      </c>
    </row>
    <row r="42989" ht="16.5" customHeight="1">
      <c r="O42989" s="5" t="s">
        <v>355</v>
      </c>
      <c r="P42989" s="5" t="s">
        <v>355</v>
      </c>
      <c r="Q42989" s="5" t="s">
        <v>355</v>
      </c>
    </row>
    <row r="42990" ht="16.5" customHeight="1">
      <c r="O42990" s="5" t="s">
        <v>355</v>
      </c>
      <c r="P42990" s="5" t="s">
        <v>355</v>
      </c>
      <c r="Q42990" s="5" t="s">
        <v>355</v>
      </c>
    </row>
    <row r="42991" ht="16.5" customHeight="1">
      <c r="O42991" s="5" t="s">
        <v>355</v>
      </c>
      <c r="P42991" s="5" t="s">
        <v>355</v>
      </c>
      <c r="Q42991" s="5" t="s">
        <v>355</v>
      </c>
    </row>
    <row r="42992" ht="16.5" customHeight="1">
      <c r="O42992" s="5" t="s">
        <v>355</v>
      </c>
      <c r="P42992" s="5" t="s">
        <v>355</v>
      </c>
      <c r="Q42992" s="5" t="s">
        <v>355</v>
      </c>
    </row>
    <row r="42993" ht="16.5" customHeight="1">
      <c r="O42993" s="5" t="s">
        <v>355</v>
      </c>
      <c r="P42993" s="5" t="s">
        <v>355</v>
      </c>
      <c r="Q42993" s="5" t="s">
        <v>355</v>
      </c>
    </row>
    <row r="42994" ht="16.5" customHeight="1">
      <c r="O42994" s="5" t="s">
        <v>355</v>
      </c>
      <c r="P42994" s="5" t="s">
        <v>355</v>
      </c>
      <c r="Q42994" s="5" t="s">
        <v>355</v>
      </c>
    </row>
    <row r="42995" ht="16.5" customHeight="1">
      <c r="O42995" s="5" t="s">
        <v>355</v>
      </c>
      <c r="P42995" s="5" t="s">
        <v>355</v>
      </c>
      <c r="Q42995" s="5" t="s">
        <v>355</v>
      </c>
    </row>
    <row r="42996" ht="16.5" customHeight="1">
      <c r="O42996" s="5" t="s">
        <v>355</v>
      </c>
      <c r="P42996" s="5" t="s">
        <v>355</v>
      </c>
      <c r="Q42996" s="5" t="s">
        <v>355</v>
      </c>
    </row>
    <row r="42997" ht="16.5" customHeight="1">
      <c r="O42997" s="5" t="s">
        <v>355</v>
      </c>
      <c r="P42997" s="5" t="s">
        <v>355</v>
      </c>
      <c r="Q42997" s="5" t="s">
        <v>355</v>
      </c>
    </row>
    <row r="42998" ht="16.5" customHeight="1">
      <c r="O42998" s="5" t="s">
        <v>355</v>
      </c>
      <c r="P42998" s="5" t="s">
        <v>355</v>
      </c>
      <c r="Q42998" s="5" t="s">
        <v>355</v>
      </c>
    </row>
    <row r="42999" ht="16.5" customHeight="1">
      <c r="O42999" s="5" t="s">
        <v>355</v>
      </c>
      <c r="P42999" s="5" t="s">
        <v>355</v>
      </c>
      <c r="Q42999" s="5" t="s">
        <v>355</v>
      </c>
    </row>
    <row r="43000" ht="16.5" customHeight="1">
      <c r="O43000" s="5" t="s">
        <v>355</v>
      </c>
      <c r="P43000" s="5" t="s">
        <v>355</v>
      </c>
      <c r="Q43000" s="5" t="s">
        <v>355</v>
      </c>
    </row>
    <row r="43001" ht="16.5" customHeight="1">
      <c r="O43001" s="5" t="s">
        <v>355</v>
      </c>
      <c r="P43001" s="5" t="s">
        <v>355</v>
      </c>
      <c r="Q43001" s="5" t="s">
        <v>355</v>
      </c>
    </row>
    <row r="43002" ht="16.5" customHeight="1">
      <c r="O43002" s="5" t="s">
        <v>355</v>
      </c>
      <c r="P43002" s="5" t="s">
        <v>355</v>
      </c>
      <c r="Q43002" s="5" t="s">
        <v>355</v>
      </c>
    </row>
    <row r="43003" ht="16.5" customHeight="1">
      <c r="O43003" s="5" t="s">
        <v>355</v>
      </c>
      <c r="P43003" s="5" t="s">
        <v>355</v>
      </c>
      <c r="Q43003" s="5" t="s">
        <v>355</v>
      </c>
    </row>
    <row r="43004" ht="16.5" customHeight="1">
      <c r="O43004" s="5" t="s">
        <v>355</v>
      </c>
      <c r="P43004" s="5" t="s">
        <v>355</v>
      </c>
      <c r="Q43004" s="5" t="s">
        <v>355</v>
      </c>
    </row>
    <row r="43005" ht="16.5" customHeight="1">
      <c r="O43005" s="5" t="s">
        <v>355</v>
      </c>
      <c r="P43005" s="5" t="s">
        <v>355</v>
      </c>
      <c r="Q43005" s="5" t="s">
        <v>355</v>
      </c>
    </row>
    <row r="43006" ht="16.5" customHeight="1">
      <c r="O43006" s="5" t="s">
        <v>355</v>
      </c>
      <c r="P43006" s="5" t="s">
        <v>355</v>
      </c>
      <c r="Q43006" s="5" t="s">
        <v>355</v>
      </c>
    </row>
    <row r="43007" ht="16.5" customHeight="1">
      <c r="O43007" s="5" t="s">
        <v>355</v>
      </c>
      <c r="P43007" s="5" t="s">
        <v>355</v>
      </c>
      <c r="Q43007" s="5" t="s">
        <v>355</v>
      </c>
    </row>
    <row r="43008" ht="16.5" customHeight="1">
      <c r="O43008" s="5" t="s">
        <v>355</v>
      </c>
      <c r="P43008" s="5" t="s">
        <v>355</v>
      </c>
      <c r="Q43008" s="5" t="s">
        <v>355</v>
      </c>
    </row>
    <row r="43009" ht="16.5" customHeight="1">
      <c r="O43009" s="5" t="s">
        <v>355</v>
      </c>
      <c r="P43009" s="5" t="s">
        <v>355</v>
      </c>
      <c r="Q43009" s="5" t="s">
        <v>355</v>
      </c>
    </row>
    <row r="43010" ht="16.5" customHeight="1">
      <c r="O43010" s="5" t="s">
        <v>355</v>
      </c>
      <c r="P43010" s="5" t="s">
        <v>355</v>
      </c>
      <c r="Q43010" s="5" t="s">
        <v>355</v>
      </c>
    </row>
    <row r="43011" ht="16.5" customHeight="1">
      <c r="O43011" s="5" t="s">
        <v>355</v>
      </c>
      <c r="P43011" s="5" t="s">
        <v>355</v>
      </c>
      <c r="Q43011" s="5" t="s">
        <v>355</v>
      </c>
    </row>
    <row r="43012" ht="16.5" customHeight="1">
      <c r="O43012" s="5" t="s">
        <v>355</v>
      </c>
      <c r="P43012" s="5" t="s">
        <v>355</v>
      </c>
      <c r="Q43012" s="5" t="s">
        <v>355</v>
      </c>
    </row>
    <row r="43013" ht="16.5" customHeight="1">
      <c r="O43013" s="5" t="s">
        <v>355</v>
      </c>
      <c r="P43013" s="5" t="s">
        <v>355</v>
      </c>
      <c r="Q43013" s="5" t="s">
        <v>355</v>
      </c>
    </row>
    <row r="43014" ht="16.5" customHeight="1">
      <c r="O43014" s="5" t="s">
        <v>355</v>
      </c>
      <c r="P43014" s="5" t="s">
        <v>355</v>
      </c>
      <c r="Q43014" s="5" t="s">
        <v>355</v>
      </c>
    </row>
    <row r="43015" ht="16.5" customHeight="1">
      <c r="O43015" s="5" t="s">
        <v>355</v>
      </c>
      <c r="P43015" s="5" t="s">
        <v>355</v>
      </c>
      <c r="Q43015" s="5" t="s">
        <v>355</v>
      </c>
    </row>
    <row r="43016" ht="16.5" customHeight="1">
      <c r="O43016" s="5" t="s">
        <v>355</v>
      </c>
      <c r="P43016" s="5" t="s">
        <v>355</v>
      </c>
      <c r="Q43016" s="5" t="s">
        <v>355</v>
      </c>
    </row>
    <row r="43017" ht="16.5" customHeight="1">
      <c r="O43017" s="5" t="s">
        <v>355</v>
      </c>
      <c r="P43017" s="5" t="s">
        <v>355</v>
      </c>
      <c r="Q43017" s="5" t="s">
        <v>355</v>
      </c>
    </row>
    <row r="43018" ht="16.5" customHeight="1">
      <c r="O43018" s="5" t="s">
        <v>355</v>
      </c>
      <c r="P43018" s="5" t="s">
        <v>355</v>
      </c>
      <c r="Q43018" s="5" t="s">
        <v>355</v>
      </c>
    </row>
    <row r="43019" ht="16.5" customHeight="1">
      <c r="O43019" s="5" t="s">
        <v>355</v>
      </c>
      <c r="P43019" s="5" t="s">
        <v>355</v>
      </c>
      <c r="Q43019" s="5" t="s">
        <v>355</v>
      </c>
    </row>
    <row r="43020" ht="16.5" customHeight="1">
      <c r="O43020" s="5" t="s">
        <v>355</v>
      </c>
      <c r="P43020" s="5" t="s">
        <v>355</v>
      </c>
      <c r="Q43020" s="5" t="s">
        <v>355</v>
      </c>
    </row>
    <row r="43021" ht="16.5" customHeight="1">
      <c r="O43021" s="5" t="s">
        <v>355</v>
      </c>
      <c r="P43021" s="5" t="s">
        <v>355</v>
      </c>
      <c r="Q43021" s="5" t="s">
        <v>355</v>
      </c>
    </row>
    <row r="43022" ht="16.5" customHeight="1">
      <c r="O43022" s="5" t="s">
        <v>355</v>
      </c>
      <c r="P43022" s="5" t="s">
        <v>355</v>
      </c>
      <c r="Q43022" s="5" t="s">
        <v>355</v>
      </c>
    </row>
    <row r="43023" ht="16.5" customHeight="1">
      <c r="O43023" s="5" t="s">
        <v>355</v>
      </c>
      <c r="P43023" s="5" t="s">
        <v>355</v>
      </c>
      <c r="Q43023" s="5" t="s">
        <v>355</v>
      </c>
    </row>
    <row r="43024" ht="16.5" customHeight="1">
      <c r="O43024" s="5" t="s">
        <v>355</v>
      </c>
      <c r="P43024" s="5" t="s">
        <v>355</v>
      </c>
      <c r="Q43024" s="5" t="s">
        <v>355</v>
      </c>
    </row>
    <row r="43025" ht="16.5" customHeight="1">
      <c r="O43025" s="5" t="s">
        <v>355</v>
      </c>
      <c r="P43025" s="5" t="s">
        <v>355</v>
      </c>
      <c r="Q43025" s="5" t="s">
        <v>355</v>
      </c>
    </row>
    <row r="43026" ht="16.5" customHeight="1">
      <c r="O43026" s="5" t="s">
        <v>355</v>
      </c>
      <c r="P43026" s="5" t="s">
        <v>355</v>
      </c>
      <c r="Q43026" s="5" t="s">
        <v>355</v>
      </c>
    </row>
    <row r="43027" ht="16.5" customHeight="1">
      <c r="O43027" s="5" t="s">
        <v>355</v>
      </c>
      <c r="P43027" s="5" t="s">
        <v>355</v>
      </c>
      <c r="Q43027" s="5" t="s">
        <v>355</v>
      </c>
    </row>
    <row r="43028" ht="16.5" customHeight="1">
      <c r="O43028" s="5" t="s">
        <v>355</v>
      </c>
      <c r="P43028" s="5" t="s">
        <v>355</v>
      </c>
      <c r="Q43028" s="5" t="s">
        <v>355</v>
      </c>
    </row>
    <row r="43029" ht="16.5" customHeight="1">
      <c r="O43029" s="5" t="s">
        <v>355</v>
      </c>
      <c r="P43029" s="5" t="s">
        <v>355</v>
      </c>
      <c r="Q43029" s="5" t="s">
        <v>355</v>
      </c>
    </row>
    <row r="43030" ht="16.5" customHeight="1">
      <c r="O43030" s="5" t="s">
        <v>355</v>
      </c>
      <c r="P43030" s="5" t="s">
        <v>355</v>
      </c>
      <c r="Q43030" s="5" t="s">
        <v>355</v>
      </c>
    </row>
    <row r="43031" ht="16.5" customHeight="1">
      <c r="O43031" s="5" t="s">
        <v>355</v>
      </c>
      <c r="P43031" s="5" t="s">
        <v>355</v>
      </c>
      <c r="Q43031" s="5" t="s">
        <v>355</v>
      </c>
    </row>
    <row r="43032" ht="16.5" customHeight="1">
      <c r="O43032" s="5" t="s">
        <v>355</v>
      </c>
      <c r="P43032" s="5" t="s">
        <v>355</v>
      </c>
      <c r="Q43032" s="5" t="s">
        <v>355</v>
      </c>
    </row>
    <row r="43033" ht="16.5" customHeight="1">
      <c r="O43033" s="5" t="s">
        <v>355</v>
      </c>
      <c r="P43033" s="5" t="s">
        <v>355</v>
      </c>
      <c r="Q43033" s="5" t="s">
        <v>355</v>
      </c>
    </row>
    <row r="43034" ht="16.5" customHeight="1">
      <c r="O43034" s="5" t="s">
        <v>355</v>
      </c>
      <c r="P43034" s="5" t="s">
        <v>355</v>
      </c>
      <c r="Q43034" s="5" t="s">
        <v>355</v>
      </c>
    </row>
    <row r="43035" ht="16.5" customHeight="1">
      <c r="O43035" s="5" t="s">
        <v>355</v>
      </c>
      <c r="P43035" s="5" t="s">
        <v>355</v>
      </c>
      <c r="Q43035" s="5" t="s">
        <v>355</v>
      </c>
    </row>
    <row r="43036" ht="16.5" customHeight="1">
      <c r="O43036" s="5" t="s">
        <v>355</v>
      </c>
      <c r="P43036" s="5" t="s">
        <v>355</v>
      </c>
      <c r="Q43036" s="5" t="s">
        <v>355</v>
      </c>
    </row>
    <row r="43037" ht="16.5" customHeight="1">
      <c r="O43037" s="5" t="s">
        <v>355</v>
      </c>
      <c r="P43037" s="5" t="s">
        <v>355</v>
      </c>
      <c r="Q43037" s="5" t="s">
        <v>355</v>
      </c>
    </row>
    <row r="43038" ht="16.5" customHeight="1">
      <c r="O43038" s="5" t="s">
        <v>355</v>
      </c>
      <c r="P43038" s="5" t="s">
        <v>355</v>
      </c>
      <c r="Q43038" s="5" t="s">
        <v>355</v>
      </c>
    </row>
    <row r="43039" ht="16.5" customHeight="1">
      <c r="O43039" s="5" t="s">
        <v>355</v>
      </c>
      <c r="P43039" s="5" t="s">
        <v>355</v>
      </c>
      <c r="Q43039" s="5" t="s">
        <v>355</v>
      </c>
    </row>
    <row r="43040" ht="16.5" customHeight="1">
      <c r="O43040" s="5" t="s">
        <v>355</v>
      </c>
      <c r="P43040" s="5" t="s">
        <v>355</v>
      </c>
      <c r="Q43040" s="5" t="s">
        <v>355</v>
      </c>
    </row>
    <row r="43041" ht="16.5" customHeight="1">
      <c r="O43041" s="5" t="s">
        <v>355</v>
      </c>
      <c r="P43041" s="5" t="s">
        <v>355</v>
      </c>
      <c r="Q43041" s="5" t="s">
        <v>355</v>
      </c>
    </row>
    <row r="43042" ht="16.5" customHeight="1">
      <c r="O43042" s="5" t="s">
        <v>355</v>
      </c>
      <c r="P43042" s="5" t="s">
        <v>355</v>
      </c>
      <c r="Q43042" s="5" t="s">
        <v>355</v>
      </c>
    </row>
    <row r="43043" ht="16.5" customHeight="1">
      <c r="O43043" s="5" t="s">
        <v>355</v>
      </c>
      <c r="P43043" s="5" t="s">
        <v>355</v>
      </c>
      <c r="Q43043" s="5" t="s">
        <v>355</v>
      </c>
    </row>
    <row r="43044" ht="16.5" customHeight="1">
      <c r="O43044" s="5" t="s">
        <v>355</v>
      </c>
      <c r="P43044" s="5" t="s">
        <v>355</v>
      </c>
      <c r="Q43044" s="5" t="s">
        <v>355</v>
      </c>
    </row>
    <row r="43045" ht="16.5" customHeight="1">
      <c r="O43045" s="5" t="s">
        <v>355</v>
      </c>
      <c r="P43045" s="5" t="s">
        <v>355</v>
      </c>
      <c r="Q43045" s="5" t="s">
        <v>355</v>
      </c>
    </row>
    <row r="43046" ht="16.5" customHeight="1">
      <c r="O43046" s="5" t="s">
        <v>355</v>
      </c>
      <c r="P43046" s="5" t="s">
        <v>355</v>
      </c>
      <c r="Q43046" s="5" t="s">
        <v>355</v>
      </c>
    </row>
    <row r="43047" ht="16.5" customHeight="1">
      <c r="O43047" s="5" t="s">
        <v>355</v>
      </c>
      <c r="P43047" s="5" t="s">
        <v>355</v>
      </c>
      <c r="Q43047" s="5" t="s">
        <v>355</v>
      </c>
    </row>
    <row r="43048" ht="16.5" customHeight="1">
      <c r="O43048" s="5" t="s">
        <v>355</v>
      </c>
      <c r="P43048" s="5" t="s">
        <v>355</v>
      </c>
      <c r="Q43048" s="5" t="s">
        <v>355</v>
      </c>
    </row>
    <row r="43049" ht="16.5" customHeight="1">
      <c r="O43049" s="5" t="s">
        <v>355</v>
      </c>
      <c r="P43049" s="5" t="s">
        <v>355</v>
      </c>
      <c r="Q43049" s="5" t="s">
        <v>355</v>
      </c>
    </row>
    <row r="43050" ht="16.5" customHeight="1">
      <c r="O43050" s="5" t="s">
        <v>355</v>
      </c>
      <c r="P43050" s="5" t="s">
        <v>355</v>
      </c>
      <c r="Q43050" s="5" t="s">
        <v>355</v>
      </c>
    </row>
    <row r="43051" ht="16.5" customHeight="1">
      <c r="O43051" s="5" t="s">
        <v>355</v>
      </c>
      <c r="P43051" s="5" t="s">
        <v>355</v>
      </c>
      <c r="Q43051" s="5" t="s">
        <v>355</v>
      </c>
    </row>
    <row r="43052" ht="16.5" customHeight="1">
      <c r="O43052" s="5" t="s">
        <v>355</v>
      </c>
      <c r="P43052" s="5" t="s">
        <v>355</v>
      </c>
      <c r="Q43052" s="5" t="s">
        <v>355</v>
      </c>
    </row>
    <row r="43053" ht="16.5" customHeight="1">
      <c r="O43053" s="5" t="s">
        <v>355</v>
      </c>
      <c r="P43053" s="5" t="s">
        <v>355</v>
      </c>
      <c r="Q43053" s="5" t="s">
        <v>355</v>
      </c>
    </row>
    <row r="43054" ht="16.5" customHeight="1">
      <c r="O43054" s="5" t="s">
        <v>355</v>
      </c>
      <c r="P43054" s="5" t="s">
        <v>355</v>
      </c>
      <c r="Q43054" s="5" t="s">
        <v>355</v>
      </c>
    </row>
    <row r="43055" ht="16.5" customHeight="1">
      <c r="O43055" s="5" t="s">
        <v>355</v>
      </c>
      <c r="P43055" s="5" t="s">
        <v>355</v>
      </c>
      <c r="Q43055" s="5" t="s">
        <v>355</v>
      </c>
    </row>
    <row r="43056" ht="16.5" customHeight="1">
      <c r="O43056" s="5" t="s">
        <v>355</v>
      </c>
      <c r="P43056" s="5" t="s">
        <v>355</v>
      </c>
      <c r="Q43056" s="5" t="s">
        <v>355</v>
      </c>
    </row>
    <row r="43057" ht="16.5" customHeight="1">
      <c r="O43057" s="5" t="s">
        <v>355</v>
      </c>
      <c r="P43057" s="5" t="s">
        <v>355</v>
      </c>
      <c r="Q43057" s="5" t="s">
        <v>355</v>
      </c>
    </row>
    <row r="43058" ht="16.5" customHeight="1">
      <c r="O43058" s="5" t="s">
        <v>355</v>
      </c>
      <c r="P43058" s="5" t="s">
        <v>355</v>
      </c>
      <c r="Q43058" s="5" t="s">
        <v>355</v>
      </c>
    </row>
    <row r="43059" ht="16.5" customHeight="1">
      <c r="O43059" s="5" t="s">
        <v>355</v>
      </c>
      <c r="P43059" s="5" t="s">
        <v>355</v>
      </c>
      <c r="Q43059" s="5" t="s">
        <v>355</v>
      </c>
    </row>
    <row r="43060" ht="16.5" customHeight="1">
      <c r="O43060" s="5" t="s">
        <v>355</v>
      </c>
      <c r="P43060" s="5" t="s">
        <v>355</v>
      </c>
      <c r="Q43060" s="5" t="s">
        <v>355</v>
      </c>
    </row>
    <row r="43061" ht="16.5" customHeight="1">
      <c r="O43061" s="5" t="s">
        <v>355</v>
      </c>
      <c r="P43061" s="5" t="s">
        <v>355</v>
      </c>
      <c r="Q43061" s="5" t="s">
        <v>355</v>
      </c>
    </row>
    <row r="43062" ht="16.5" customHeight="1">
      <c r="O43062" s="5" t="s">
        <v>355</v>
      </c>
      <c r="P43062" s="5" t="s">
        <v>355</v>
      </c>
      <c r="Q43062" s="5" t="s">
        <v>355</v>
      </c>
    </row>
    <row r="43063" ht="16.5" customHeight="1">
      <c r="O43063" s="5" t="s">
        <v>355</v>
      </c>
      <c r="P43063" s="5" t="s">
        <v>355</v>
      </c>
      <c r="Q43063" s="5" t="s">
        <v>355</v>
      </c>
    </row>
    <row r="43064" ht="16.5" customHeight="1">
      <c r="O43064" s="5" t="s">
        <v>355</v>
      </c>
      <c r="P43064" s="5" t="s">
        <v>355</v>
      </c>
      <c r="Q43064" s="5" t="s">
        <v>355</v>
      </c>
    </row>
    <row r="43065" ht="16.5" customHeight="1">
      <c r="O43065" s="5" t="s">
        <v>355</v>
      </c>
      <c r="P43065" s="5" t="s">
        <v>355</v>
      </c>
      <c r="Q43065" s="5" t="s">
        <v>355</v>
      </c>
    </row>
    <row r="43066" ht="16.5" customHeight="1">
      <c r="O43066" s="5" t="s">
        <v>355</v>
      </c>
      <c r="P43066" s="5" t="s">
        <v>355</v>
      </c>
      <c r="Q43066" s="5" t="s">
        <v>355</v>
      </c>
    </row>
    <row r="43067" ht="16.5" customHeight="1">
      <c r="O43067" s="5" t="s">
        <v>355</v>
      </c>
      <c r="P43067" s="5" t="s">
        <v>355</v>
      </c>
      <c r="Q43067" s="5" t="s">
        <v>355</v>
      </c>
    </row>
    <row r="43068" ht="16.5" customHeight="1">
      <c r="O43068" s="5" t="s">
        <v>355</v>
      </c>
      <c r="P43068" s="5" t="s">
        <v>355</v>
      </c>
      <c r="Q43068" s="5" t="s">
        <v>355</v>
      </c>
    </row>
    <row r="43069" ht="16.5" customHeight="1">
      <c r="O43069" s="5" t="s">
        <v>355</v>
      </c>
      <c r="P43069" s="5" t="s">
        <v>355</v>
      </c>
      <c r="Q43069" s="5" t="s">
        <v>355</v>
      </c>
    </row>
    <row r="43070" ht="16.5" customHeight="1">
      <c r="O43070" s="5" t="s">
        <v>355</v>
      </c>
      <c r="P43070" s="5" t="s">
        <v>355</v>
      </c>
      <c r="Q43070" s="5" t="s">
        <v>355</v>
      </c>
    </row>
    <row r="43071" ht="16.5" customHeight="1">
      <c r="O43071" s="5" t="s">
        <v>355</v>
      </c>
      <c r="P43071" s="5" t="s">
        <v>355</v>
      </c>
      <c r="Q43071" s="5" t="s">
        <v>355</v>
      </c>
    </row>
    <row r="43072" ht="16.5" customHeight="1">
      <c r="O43072" s="5" t="s">
        <v>355</v>
      </c>
      <c r="P43072" s="5" t="s">
        <v>355</v>
      </c>
      <c r="Q43072" s="5" t="s">
        <v>355</v>
      </c>
    </row>
    <row r="43073" ht="16.5" customHeight="1">
      <c r="O43073" s="5" t="s">
        <v>355</v>
      </c>
      <c r="P43073" s="5" t="s">
        <v>355</v>
      </c>
      <c r="Q43073" s="5" t="s">
        <v>355</v>
      </c>
    </row>
    <row r="43074" ht="16.5" customHeight="1">
      <c r="O43074" s="5" t="s">
        <v>355</v>
      </c>
      <c r="P43074" s="5" t="s">
        <v>355</v>
      </c>
      <c r="Q43074" s="5" t="s">
        <v>355</v>
      </c>
    </row>
    <row r="43075" ht="16.5" customHeight="1">
      <c r="O43075" s="5" t="s">
        <v>355</v>
      </c>
      <c r="P43075" s="5" t="s">
        <v>355</v>
      </c>
      <c r="Q43075" s="5" t="s">
        <v>355</v>
      </c>
    </row>
    <row r="43076" ht="16.5" customHeight="1">
      <c r="O43076" s="5" t="s">
        <v>355</v>
      </c>
      <c r="P43076" s="5" t="s">
        <v>355</v>
      </c>
      <c r="Q43076" s="5" t="s">
        <v>355</v>
      </c>
    </row>
    <row r="43077" ht="16.5" customHeight="1">
      <c r="O43077" s="5" t="s">
        <v>355</v>
      </c>
      <c r="P43077" s="5" t="s">
        <v>355</v>
      </c>
      <c r="Q43077" s="5" t="s">
        <v>355</v>
      </c>
    </row>
    <row r="43078" ht="16.5" customHeight="1">
      <c r="O43078" s="5" t="s">
        <v>355</v>
      </c>
      <c r="P43078" s="5" t="s">
        <v>355</v>
      </c>
      <c r="Q43078" s="5" t="s">
        <v>355</v>
      </c>
    </row>
    <row r="43079" ht="16.5" customHeight="1">
      <c r="O43079" s="5" t="s">
        <v>355</v>
      </c>
      <c r="P43079" s="5" t="s">
        <v>355</v>
      </c>
      <c r="Q43079" s="5" t="s">
        <v>355</v>
      </c>
    </row>
    <row r="43080" ht="16.5" customHeight="1">
      <c r="O43080" s="5" t="s">
        <v>355</v>
      </c>
      <c r="P43080" s="5" t="s">
        <v>355</v>
      </c>
      <c r="Q43080" s="5" t="s">
        <v>355</v>
      </c>
    </row>
    <row r="43081" ht="16.5" customHeight="1">
      <c r="O43081" s="5" t="s">
        <v>355</v>
      </c>
      <c r="P43081" s="5" t="s">
        <v>355</v>
      </c>
      <c r="Q43081" s="5" t="s">
        <v>355</v>
      </c>
    </row>
    <row r="43082" ht="16.5" customHeight="1">
      <c r="O43082" s="5" t="s">
        <v>355</v>
      </c>
      <c r="P43082" s="5" t="s">
        <v>355</v>
      </c>
      <c r="Q43082" s="5" t="s">
        <v>355</v>
      </c>
    </row>
    <row r="43083" ht="16.5" customHeight="1">
      <c r="O43083" s="5" t="s">
        <v>355</v>
      </c>
      <c r="P43083" s="5" t="s">
        <v>355</v>
      </c>
      <c r="Q43083" s="5" t="s">
        <v>355</v>
      </c>
    </row>
    <row r="43084" ht="16.5" customHeight="1">
      <c r="O43084" s="5" t="s">
        <v>355</v>
      </c>
      <c r="P43084" s="5" t="s">
        <v>355</v>
      </c>
      <c r="Q43084" s="5" t="s">
        <v>355</v>
      </c>
    </row>
    <row r="43085" ht="16.5" customHeight="1">
      <c r="O43085" s="5" t="s">
        <v>355</v>
      </c>
      <c r="P43085" s="5" t="s">
        <v>355</v>
      </c>
      <c r="Q43085" s="5" t="s">
        <v>355</v>
      </c>
    </row>
    <row r="43086" ht="16.5" customHeight="1">
      <c r="O43086" s="5" t="s">
        <v>355</v>
      </c>
      <c r="P43086" s="5" t="s">
        <v>355</v>
      </c>
      <c r="Q43086" s="5" t="s">
        <v>355</v>
      </c>
    </row>
    <row r="43087" ht="16.5" customHeight="1">
      <c r="O43087" s="5" t="s">
        <v>355</v>
      </c>
      <c r="P43087" s="5" t="s">
        <v>355</v>
      </c>
      <c r="Q43087" s="5" t="s">
        <v>355</v>
      </c>
    </row>
    <row r="43088" ht="16.5" customHeight="1">
      <c r="O43088" s="5" t="s">
        <v>355</v>
      </c>
      <c r="P43088" s="5" t="s">
        <v>355</v>
      </c>
      <c r="Q43088" s="5" t="s">
        <v>355</v>
      </c>
    </row>
    <row r="43089" ht="16.5" customHeight="1">
      <c r="O43089" s="5" t="s">
        <v>355</v>
      </c>
      <c r="P43089" s="5" t="s">
        <v>355</v>
      </c>
      <c r="Q43089" s="5" t="s">
        <v>355</v>
      </c>
    </row>
    <row r="43090" ht="16.5" customHeight="1">
      <c r="O43090" s="5" t="s">
        <v>355</v>
      </c>
      <c r="P43090" s="5" t="s">
        <v>355</v>
      </c>
      <c r="Q43090" s="5" t="s">
        <v>355</v>
      </c>
    </row>
    <row r="43091" ht="16.5" customHeight="1">
      <c r="O43091" s="5" t="s">
        <v>355</v>
      </c>
      <c r="P43091" s="5" t="s">
        <v>355</v>
      </c>
      <c r="Q43091" s="5" t="s">
        <v>355</v>
      </c>
    </row>
    <row r="43092" ht="16.5" customHeight="1">
      <c r="O43092" s="5" t="s">
        <v>355</v>
      </c>
      <c r="P43092" s="5" t="s">
        <v>355</v>
      </c>
      <c r="Q43092" s="5" t="s">
        <v>355</v>
      </c>
    </row>
    <row r="43093" ht="16.5" customHeight="1">
      <c r="O43093" s="5" t="s">
        <v>355</v>
      </c>
      <c r="P43093" s="5" t="s">
        <v>355</v>
      </c>
      <c r="Q43093" s="5" t="s">
        <v>355</v>
      </c>
    </row>
    <row r="43094" ht="16.5" customHeight="1">
      <c r="O43094" s="5" t="s">
        <v>355</v>
      </c>
      <c r="P43094" s="5" t="s">
        <v>355</v>
      </c>
      <c r="Q43094" s="5" t="s">
        <v>355</v>
      </c>
    </row>
    <row r="43095" ht="16.5" customHeight="1">
      <c r="O43095" s="5" t="s">
        <v>355</v>
      </c>
      <c r="P43095" s="5" t="s">
        <v>355</v>
      </c>
      <c r="Q43095" s="5" t="s">
        <v>355</v>
      </c>
    </row>
    <row r="43096" ht="16.5" customHeight="1">
      <c r="O43096" s="5" t="s">
        <v>355</v>
      </c>
      <c r="P43096" s="5" t="s">
        <v>355</v>
      </c>
      <c r="Q43096" s="5" t="s">
        <v>355</v>
      </c>
    </row>
    <row r="43097" ht="16.5" customHeight="1">
      <c r="O43097" s="5" t="s">
        <v>355</v>
      </c>
      <c r="P43097" s="5" t="s">
        <v>355</v>
      </c>
      <c r="Q43097" s="5" t="s">
        <v>355</v>
      </c>
    </row>
    <row r="43098" ht="16.5" customHeight="1">
      <c r="O43098" s="5" t="s">
        <v>355</v>
      </c>
      <c r="P43098" s="5" t="s">
        <v>355</v>
      </c>
      <c r="Q43098" s="5" t="s">
        <v>355</v>
      </c>
    </row>
    <row r="43099" ht="16.5" customHeight="1">
      <c r="O43099" s="5" t="s">
        <v>355</v>
      </c>
      <c r="P43099" s="5" t="s">
        <v>355</v>
      </c>
      <c r="Q43099" s="5" t="s">
        <v>355</v>
      </c>
    </row>
    <row r="43100" ht="16.5" customHeight="1">
      <c r="O43100" s="5" t="s">
        <v>355</v>
      </c>
      <c r="P43100" s="5" t="s">
        <v>355</v>
      </c>
      <c r="Q43100" s="5" t="s">
        <v>355</v>
      </c>
    </row>
    <row r="43101" ht="16.5" customHeight="1">
      <c r="O43101" s="5" t="s">
        <v>355</v>
      </c>
      <c r="P43101" s="5" t="s">
        <v>355</v>
      </c>
      <c r="Q43101" s="5" t="s">
        <v>355</v>
      </c>
    </row>
    <row r="43102" ht="16.5" customHeight="1">
      <c r="O43102" s="5" t="s">
        <v>355</v>
      </c>
      <c r="P43102" s="5" t="s">
        <v>355</v>
      </c>
      <c r="Q43102" s="5" t="s">
        <v>355</v>
      </c>
    </row>
    <row r="43103" ht="16.5" customHeight="1">
      <c r="O43103" s="5" t="s">
        <v>355</v>
      </c>
      <c r="P43103" s="5" t="s">
        <v>355</v>
      </c>
      <c r="Q43103" s="5" t="s">
        <v>355</v>
      </c>
    </row>
    <row r="43104" ht="16.5" customHeight="1">
      <c r="O43104" s="5" t="s">
        <v>355</v>
      </c>
      <c r="P43104" s="5" t="s">
        <v>355</v>
      </c>
      <c r="Q43104" s="5" t="s">
        <v>355</v>
      </c>
    </row>
    <row r="43105" ht="16.5" customHeight="1">
      <c r="O43105" s="5" t="s">
        <v>355</v>
      </c>
      <c r="P43105" s="5" t="s">
        <v>355</v>
      </c>
      <c r="Q43105" s="5" t="s">
        <v>355</v>
      </c>
    </row>
    <row r="43106" ht="16.5" customHeight="1">
      <c r="O43106" s="5" t="s">
        <v>355</v>
      </c>
      <c r="P43106" s="5" t="s">
        <v>355</v>
      </c>
      <c r="Q43106" s="5" t="s">
        <v>355</v>
      </c>
    </row>
    <row r="43107" ht="16.5" customHeight="1">
      <c r="O43107" s="5" t="s">
        <v>355</v>
      </c>
      <c r="P43107" s="5" t="s">
        <v>355</v>
      </c>
      <c r="Q43107" s="5" t="s">
        <v>355</v>
      </c>
    </row>
    <row r="43108" ht="16.5" customHeight="1">
      <c r="O43108" s="5" t="s">
        <v>355</v>
      </c>
      <c r="P43108" s="5" t="s">
        <v>355</v>
      </c>
      <c r="Q43108" s="5" t="s">
        <v>355</v>
      </c>
    </row>
    <row r="43109" ht="16.5" customHeight="1">
      <c r="O43109" s="5" t="s">
        <v>355</v>
      </c>
      <c r="P43109" s="5" t="s">
        <v>355</v>
      </c>
      <c r="Q43109" s="5" t="s">
        <v>355</v>
      </c>
    </row>
    <row r="43110" ht="16.5" customHeight="1">
      <c r="O43110" s="5" t="s">
        <v>355</v>
      </c>
      <c r="P43110" s="5" t="s">
        <v>355</v>
      </c>
      <c r="Q43110" s="5" t="s">
        <v>355</v>
      </c>
    </row>
    <row r="43111" ht="16.5" customHeight="1">
      <c r="O43111" s="5" t="s">
        <v>355</v>
      </c>
      <c r="P43111" s="5" t="s">
        <v>355</v>
      </c>
      <c r="Q43111" s="5" t="s">
        <v>355</v>
      </c>
    </row>
    <row r="43112" ht="16.5" customHeight="1">
      <c r="O43112" s="5" t="s">
        <v>355</v>
      </c>
      <c r="P43112" s="5" t="s">
        <v>355</v>
      </c>
      <c r="Q43112" s="5" t="s">
        <v>355</v>
      </c>
    </row>
    <row r="43113" ht="16.5" customHeight="1">
      <c r="O43113" s="5" t="s">
        <v>355</v>
      </c>
      <c r="P43113" s="5" t="s">
        <v>355</v>
      </c>
      <c r="Q43113" s="5" t="s">
        <v>355</v>
      </c>
    </row>
    <row r="43114" ht="16.5" customHeight="1">
      <c r="O43114" s="5" t="s">
        <v>355</v>
      </c>
      <c r="P43114" s="5" t="s">
        <v>355</v>
      </c>
      <c r="Q43114" s="5" t="s">
        <v>355</v>
      </c>
    </row>
    <row r="43115" ht="16.5" customHeight="1">
      <c r="O43115" s="5" t="s">
        <v>355</v>
      </c>
      <c r="P43115" s="5" t="s">
        <v>355</v>
      </c>
      <c r="Q43115" s="5" t="s">
        <v>355</v>
      </c>
    </row>
    <row r="43116" ht="16.5" customHeight="1">
      <c r="O43116" s="5" t="s">
        <v>355</v>
      </c>
      <c r="P43116" s="5" t="s">
        <v>355</v>
      </c>
      <c r="Q43116" s="5" t="s">
        <v>355</v>
      </c>
    </row>
    <row r="43117" ht="16.5" customHeight="1">
      <c r="O43117" s="5" t="s">
        <v>355</v>
      </c>
      <c r="P43117" s="5" t="s">
        <v>355</v>
      </c>
      <c r="Q43117" s="5" t="s">
        <v>355</v>
      </c>
    </row>
    <row r="43118" ht="16.5" customHeight="1">
      <c r="O43118" s="5" t="s">
        <v>355</v>
      </c>
      <c r="P43118" s="5" t="s">
        <v>355</v>
      </c>
      <c r="Q43118" s="5" t="s">
        <v>355</v>
      </c>
    </row>
    <row r="43119" ht="16.5" customHeight="1">
      <c r="O43119" s="5" t="s">
        <v>355</v>
      </c>
      <c r="P43119" s="5" t="s">
        <v>355</v>
      </c>
      <c r="Q43119" s="5" t="s">
        <v>355</v>
      </c>
    </row>
    <row r="43120" ht="16.5" customHeight="1">
      <c r="O43120" s="5" t="s">
        <v>355</v>
      </c>
      <c r="P43120" s="5" t="s">
        <v>355</v>
      </c>
      <c r="Q43120" s="5" t="s">
        <v>355</v>
      </c>
    </row>
    <row r="43121" ht="16.5" customHeight="1">
      <c r="O43121" s="5" t="s">
        <v>355</v>
      </c>
      <c r="P43121" s="5" t="s">
        <v>355</v>
      </c>
      <c r="Q43121" s="5" t="s">
        <v>355</v>
      </c>
    </row>
    <row r="43122" ht="16.5" customHeight="1">
      <c r="O43122" s="5" t="s">
        <v>355</v>
      </c>
      <c r="P43122" s="5" t="s">
        <v>355</v>
      </c>
      <c r="Q43122" s="5" t="s">
        <v>355</v>
      </c>
    </row>
    <row r="43123" ht="16.5" customHeight="1">
      <c r="O43123" s="5" t="s">
        <v>355</v>
      </c>
      <c r="P43123" s="5" t="s">
        <v>355</v>
      </c>
      <c r="Q43123" s="5" t="s">
        <v>355</v>
      </c>
    </row>
    <row r="43124" ht="16.5" customHeight="1">
      <c r="O43124" s="5" t="s">
        <v>355</v>
      </c>
      <c r="P43124" s="5" t="s">
        <v>355</v>
      </c>
      <c r="Q43124" s="5" t="s">
        <v>355</v>
      </c>
    </row>
    <row r="43125" ht="16.5" customHeight="1">
      <c r="O43125" s="5" t="s">
        <v>355</v>
      </c>
      <c r="P43125" s="5" t="s">
        <v>355</v>
      </c>
      <c r="Q43125" s="5" t="s">
        <v>355</v>
      </c>
    </row>
    <row r="43126" ht="16.5" customHeight="1">
      <c r="O43126" s="5" t="s">
        <v>355</v>
      </c>
      <c r="P43126" s="5" t="s">
        <v>355</v>
      </c>
      <c r="Q43126" s="5" t="s">
        <v>355</v>
      </c>
    </row>
    <row r="43127" ht="16.5" customHeight="1">
      <c r="O43127" s="5" t="s">
        <v>355</v>
      </c>
      <c r="P43127" s="5" t="s">
        <v>355</v>
      </c>
      <c r="Q43127" s="5" t="s">
        <v>355</v>
      </c>
    </row>
    <row r="43128" ht="16.5" customHeight="1">
      <c r="O43128" s="5" t="s">
        <v>355</v>
      </c>
      <c r="P43128" s="5" t="s">
        <v>355</v>
      </c>
      <c r="Q43128" s="5" t="s">
        <v>355</v>
      </c>
    </row>
    <row r="43129" ht="16.5" customHeight="1">
      <c r="O43129" s="5" t="s">
        <v>355</v>
      </c>
      <c r="P43129" s="5" t="s">
        <v>355</v>
      </c>
      <c r="Q43129" s="5" t="s">
        <v>355</v>
      </c>
    </row>
    <row r="43130" ht="16.5" customHeight="1">
      <c r="O43130" s="5" t="s">
        <v>355</v>
      </c>
      <c r="P43130" s="5" t="s">
        <v>355</v>
      </c>
      <c r="Q43130" s="5" t="s">
        <v>355</v>
      </c>
    </row>
    <row r="43131" ht="16.5" customHeight="1">
      <c r="O43131" s="5" t="s">
        <v>355</v>
      </c>
      <c r="P43131" s="5" t="s">
        <v>355</v>
      </c>
      <c r="Q43131" s="5" t="s">
        <v>355</v>
      </c>
    </row>
    <row r="43132" ht="16.5" customHeight="1">
      <c r="O43132" s="5" t="s">
        <v>355</v>
      </c>
      <c r="P43132" s="5" t="s">
        <v>355</v>
      </c>
      <c r="Q43132" s="5" t="s">
        <v>355</v>
      </c>
    </row>
    <row r="43133" ht="16.5" customHeight="1">
      <c r="O43133" s="5" t="s">
        <v>355</v>
      </c>
      <c r="P43133" s="5" t="s">
        <v>355</v>
      </c>
      <c r="Q43133" s="5" t="s">
        <v>355</v>
      </c>
    </row>
    <row r="43134" ht="16.5" customHeight="1">
      <c r="O43134" s="5" t="s">
        <v>355</v>
      </c>
      <c r="P43134" s="5" t="s">
        <v>355</v>
      </c>
      <c r="Q43134" s="5" t="s">
        <v>355</v>
      </c>
    </row>
    <row r="43135" ht="16.5" customHeight="1">
      <c r="O43135" s="5" t="s">
        <v>355</v>
      </c>
      <c r="P43135" s="5" t="s">
        <v>355</v>
      </c>
      <c r="Q43135" s="5" t="s">
        <v>355</v>
      </c>
    </row>
    <row r="43136" ht="16.5" customHeight="1">
      <c r="O43136" s="5" t="s">
        <v>355</v>
      </c>
      <c r="P43136" s="5" t="s">
        <v>355</v>
      </c>
      <c r="Q43136" s="5" t="s">
        <v>355</v>
      </c>
    </row>
    <row r="43137" ht="16.5" customHeight="1">
      <c r="O43137" s="5" t="s">
        <v>355</v>
      </c>
      <c r="P43137" s="5" t="s">
        <v>355</v>
      </c>
      <c r="Q43137" s="5" t="s">
        <v>355</v>
      </c>
    </row>
    <row r="43138" ht="16.5" customHeight="1">
      <c r="O43138" s="5" t="s">
        <v>355</v>
      </c>
      <c r="P43138" s="5" t="s">
        <v>355</v>
      </c>
      <c r="Q43138" s="5" t="s">
        <v>355</v>
      </c>
    </row>
    <row r="43139" ht="16.5" customHeight="1">
      <c r="O43139" s="5" t="s">
        <v>355</v>
      </c>
      <c r="P43139" s="5" t="s">
        <v>355</v>
      </c>
      <c r="Q43139" s="5" t="s">
        <v>355</v>
      </c>
    </row>
    <row r="43140" ht="16.5" customHeight="1">
      <c r="O43140" s="5" t="s">
        <v>355</v>
      </c>
      <c r="P43140" s="5" t="s">
        <v>355</v>
      </c>
      <c r="Q43140" s="5" t="s">
        <v>355</v>
      </c>
    </row>
    <row r="43141" ht="16.5" customHeight="1">
      <c r="O43141" s="5" t="s">
        <v>355</v>
      </c>
      <c r="P43141" s="5" t="s">
        <v>355</v>
      </c>
      <c r="Q43141" s="5" t="s">
        <v>355</v>
      </c>
    </row>
    <row r="43142" ht="16.5" customHeight="1">
      <c r="O43142" s="5" t="s">
        <v>355</v>
      </c>
      <c r="P43142" s="5" t="s">
        <v>355</v>
      </c>
      <c r="Q43142" s="5" t="s">
        <v>355</v>
      </c>
    </row>
    <row r="43143" ht="16.5" customHeight="1">
      <c r="O43143" s="5" t="s">
        <v>355</v>
      </c>
      <c r="P43143" s="5" t="s">
        <v>355</v>
      </c>
      <c r="Q43143" s="5" t="s">
        <v>355</v>
      </c>
    </row>
    <row r="43144" ht="16.5" customHeight="1">
      <c r="O43144" s="5" t="s">
        <v>355</v>
      </c>
      <c r="P43144" s="5" t="s">
        <v>355</v>
      </c>
      <c r="Q43144" s="5" t="s">
        <v>355</v>
      </c>
    </row>
    <row r="43145" ht="16.5" customHeight="1">
      <c r="O43145" s="5" t="s">
        <v>355</v>
      </c>
      <c r="P43145" s="5" t="s">
        <v>355</v>
      </c>
      <c r="Q43145" s="5" t="s">
        <v>355</v>
      </c>
    </row>
    <row r="43146" ht="16.5" customHeight="1">
      <c r="O43146" s="5" t="s">
        <v>355</v>
      </c>
      <c r="P43146" s="5" t="s">
        <v>355</v>
      </c>
      <c r="Q43146" s="5" t="s">
        <v>355</v>
      </c>
    </row>
    <row r="43147" ht="16.5" customHeight="1">
      <c r="O43147" s="5" t="s">
        <v>355</v>
      </c>
      <c r="P43147" s="5" t="s">
        <v>355</v>
      </c>
      <c r="Q43147" s="5" t="s">
        <v>355</v>
      </c>
    </row>
    <row r="43148" ht="16.5" customHeight="1">
      <c r="O43148" s="5" t="s">
        <v>355</v>
      </c>
      <c r="P43148" s="5" t="s">
        <v>355</v>
      </c>
      <c r="Q43148" s="5" t="s">
        <v>355</v>
      </c>
    </row>
    <row r="43149" ht="16.5" customHeight="1">
      <c r="O43149" s="5" t="s">
        <v>355</v>
      </c>
      <c r="P43149" s="5" t="s">
        <v>355</v>
      </c>
      <c r="Q43149" s="5" t="s">
        <v>355</v>
      </c>
    </row>
    <row r="43150" ht="16.5" customHeight="1">
      <c r="O43150" s="5" t="s">
        <v>355</v>
      </c>
      <c r="P43150" s="5" t="s">
        <v>355</v>
      </c>
      <c r="Q43150" s="5" t="s">
        <v>355</v>
      </c>
    </row>
    <row r="43151" ht="16.5" customHeight="1">
      <c r="O43151" s="5" t="s">
        <v>355</v>
      </c>
      <c r="P43151" s="5" t="s">
        <v>355</v>
      </c>
      <c r="Q43151" s="5" t="s">
        <v>355</v>
      </c>
    </row>
    <row r="43152" ht="16.5" customHeight="1">
      <c r="O43152" s="5" t="s">
        <v>355</v>
      </c>
      <c r="P43152" s="5" t="s">
        <v>355</v>
      </c>
      <c r="Q43152" s="5" t="s">
        <v>355</v>
      </c>
    </row>
    <row r="43153" ht="16.5" customHeight="1">
      <c r="O43153" s="5" t="s">
        <v>355</v>
      </c>
      <c r="P43153" s="5" t="s">
        <v>355</v>
      </c>
      <c r="Q43153" s="5" t="s">
        <v>355</v>
      </c>
    </row>
    <row r="43154" ht="16.5" customHeight="1">
      <c r="O43154" s="5" t="s">
        <v>355</v>
      </c>
      <c r="P43154" s="5" t="s">
        <v>355</v>
      </c>
      <c r="Q43154" s="5" t="s">
        <v>355</v>
      </c>
    </row>
    <row r="43155" ht="16.5" customHeight="1">
      <c r="O43155" s="5" t="s">
        <v>355</v>
      </c>
      <c r="P43155" s="5" t="s">
        <v>355</v>
      </c>
      <c r="Q43155" s="5" t="s">
        <v>355</v>
      </c>
    </row>
    <row r="43156" ht="16.5" customHeight="1">
      <c r="O43156" s="5" t="s">
        <v>355</v>
      </c>
      <c r="P43156" s="5" t="s">
        <v>355</v>
      </c>
      <c r="Q43156" s="5" t="s">
        <v>355</v>
      </c>
    </row>
    <row r="43157" ht="16.5" customHeight="1">
      <c r="O43157" s="5" t="s">
        <v>355</v>
      </c>
      <c r="P43157" s="5" t="s">
        <v>355</v>
      </c>
      <c r="Q43157" s="5" t="s">
        <v>355</v>
      </c>
    </row>
    <row r="43158" ht="16.5" customHeight="1">
      <c r="O43158" s="5" t="s">
        <v>355</v>
      </c>
      <c r="P43158" s="5" t="s">
        <v>355</v>
      </c>
      <c r="Q43158" s="5" t="s">
        <v>355</v>
      </c>
    </row>
    <row r="43159" ht="16.5" customHeight="1">
      <c r="O43159" s="5" t="s">
        <v>355</v>
      </c>
      <c r="P43159" s="5" t="s">
        <v>355</v>
      </c>
      <c r="Q43159" s="5" t="s">
        <v>355</v>
      </c>
    </row>
    <row r="43160" ht="16.5" customHeight="1">
      <c r="O43160" s="5" t="s">
        <v>355</v>
      </c>
      <c r="P43160" s="5" t="s">
        <v>355</v>
      </c>
      <c r="Q43160" s="5" t="s">
        <v>355</v>
      </c>
    </row>
    <row r="43161" ht="16.5" customHeight="1">
      <c r="O43161" s="5" t="s">
        <v>355</v>
      </c>
      <c r="P43161" s="5" t="s">
        <v>355</v>
      </c>
      <c r="Q43161" s="5" t="s">
        <v>355</v>
      </c>
    </row>
    <row r="43162" ht="16.5" customHeight="1">
      <c r="O43162" s="5" t="s">
        <v>355</v>
      </c>
      <c r="P43162" s="5" t="s">
        <v>355</v>
      </c>
      <c r="Q43162" s="5" t="s">
        <v>355</v>
      </c>
    </row>
    <row r="43163" ht="16.5" customHeight="1">
      <c r="O43163" s="5" t="s">
        <v>355</v>
      </c>
      <c r="P43163" s="5" t="s">
        <v>355</v>
      </c>
      <c r="Q43163" s="5" t="s">
        <v>355</v>
      </c>
    </row>
    <row r="43164" ht="16.5" customHeight="1">
      <c r="O43164" s="5" t="s">
        <v>355</v>
      </c>
      <c r="P43164" s="5" t="s">
        <v>355</v>
      </c>
      <c r="Q43164" s="5" t="s">
        <v>355</v>
      </c>
    </row>
    <row r="43165" ht="16.5" customHeight="1">
      <c r="O43165" s="5" t="s">
        <v>355</v>
      </c>
      <c r="P43165" s="5" t="s">
        <v>355</v>
      </c>
      <c r="Q43165" s="5" t="s">
        <v>355</v>
      </c>
    </row>
    <row r="43166" ht="16.5" customHeight="1">
      <c r="O43166" s="5" t="s">
        <v>355</v>
      </c>
      <c r="P43166" s="5" t="s">
        <v>355</v>
      </c>
      <c r="Q43166" s="5" t="s">
        <v>355</v>
      </c>
    </row>
    <row r="43167" ht="16.5" customHeight="1">
      <c r="O43167" s="5" t="s">
        <v>355</v>
      </c>
      <c r="P43167" s="5" t="s">
        <v>355</v>
      </c>
      <c r="Q43167" s="5" t="s">
        <v>355</v>
      </c>
    </row>
    <row r="43168" ht="16.5" customHeight="1">
      <c r="O43168" s="5" t="s">
        <v>355</v>
      </c>
      <c r="P43168" s="5" t="s">
        <v>355</v>
      </c>
      <c r="Q43168" s="5" t="s">
        <v>355</v>
      </c>
    </row>
    <row r="43169" ht="16.5" customHeight="1">
      <c r="O43169" s="5" t="s">
        <v>355</v>
      </c>
      <c r="P43169" s="5" t="s">
        <v>355</v>
      </c>
      <c r="Q43169" s="5" t="s">
        <v>355</v>
      </c>
    </row>
    <row r="43170" ht="16.5" customHeight="1">
      <c r="O43170" s="5" t="s">
        <v>355</v>
      </c>
      <c r="P43170" s="5" t="s">
        <v>355</v>
      </c>
      <c r="Q43170" s="5" t="s">
        <v>355</v>
      </c>
    </row>
    <row r="43171" ht="16.5" customHeight="1">
      <c r="O43171" s="5" t="s">
        <v>355</v>
      </c>
      <c r="P43171" s="5" t="s">
        <v>355</v>
      </c>
      <c r="Q43171" s="5" t="s">
        <v>355</v>
      </c>
    </row>
    <row r="43172" ht="16.5" customHeight="1">
      <c r="O43172" s="5" t="s">
        <v>355</v>
      </c>
      <c r="P43172" s="5" t="s">
        <v>355</v>
      </c>
      <c r="Q43172" s="5" t="s">
        <v>355</v>
      </c>
    </row>
    <row r="43173" ht="16.5" customHeight="1">
      <c r="O43173" s="5" t="s">
        <v>355</v>
      </c>
      <c r="P43173" s="5" t="s">
        <v>355</v>
      </c>
      <c r="Q43173" s="5" t="s">
        <v>355</v>
      </c>
    </row>
    <row r="43174" ht="16.5" customHeight="1">
      <c r="O43174" s="5" t="s">
        <v>355</v>
      </c>
      <c r="P43174" s="5" t="s">
        <v>355</v>
      </c>
      <c r="Q43174" s="5" t="s">
        <v>355</v>
      </c>
    </row>
    <row r="43175" ht="16.5" customHeight="1">
      <c r="O43175" s="5" t="s">
        <v>355</v>
      </c>
      <c r="P43175" s="5" t="s">
        <v>355</v>
      </c>
      <c r="Q43175" s="5" t="s">
        <v>355</v>
      </c>
    </row>
    <row r="43176" ht="16.5" customHeight="1">
      <c r="O43176" s="5" t="s">
        <v>355</v>
      </c>
      <c r="P43176" s="5" t="s">
        <v>355</v>
      </c>
      <c r="Q43176" s="5" t="s">
        <v>355</v>
      </c>
    </row>
    <row r="43177" ht="16.5" customHeight="1">
      <c r="O43177" s="5" t="s">
        <v>355</v>
      </c>
      <c r="P43177" s="5" t="s">
        <v>355</v>
      </c>
      <c r="Q43177" s="5" t="s">
        <v>355</v>
      </c>
    </row>
    <row r="43178" ht="16.5" customHeight="1">
      <c r="O43178" s="5" t="s">
        <v>355</v>
      </c>
      <c r="P43178" s="5" t="s">
        <v>355</v>
      </c>
      <c r="Q43178" s="5" t="s">
        <v>355</v>
      </c>
    </row>
    <row r="43179" ht="16.5" customHeight="1">
      <c r="O43179" s="5" t="s">
        <v>355</v>
      </c>
      <c r="P43179" s="5" t="s">
        <v>355</v>
      </c>
      <c r="Q43179" s="5" t="s">
        <v>355</v>
      </c>
    </row>
    <row r="43180" ht="16.5" customHeight="1">
      <c r="O43180" s="5" t="s">
        <v>355</v>
      </c>
      <c r="P43180" s="5" t="s">
        <v>355</v>
      </c>
      <c r="Q43180" s="5" t="s">
        <v>355</v>
      </c>
    </row>
    <row r="43181" ht="16.5" customHeight="1">
      <c r="O43181" s="5" t="s">
        <v>355</v>
      </c>
      <c r="P43181" s="5" t="s">
        <v>355</v>
      </c>
      <c r="Q43181" s="5" t="s">
        <v>355</v>
      </c>
    </row>
    <row r="43182" ht="16.5" customHeight="1">
      <c r="O43182" s="5" t="s">
        <v>355</v>
      </c>
      <c r="P43182" s="5" t="s">
        <v>355</v>
      </c>
      <c r="Q43182" s="5" t="s">
        <v>355</v>
      </c>
    </row>
    <row r="43183" ht="16.5" customHeight="1">
      <c r="O43183" s="5" t="s">
        <v>355</v>
      </c>
      <c r="P43183" s="5" t="s">
        <v>355</v>
      </c>
      <c r="Q43183" s="5" t="s">
        <v>355</v>
      </c>
    </row>
    <row r="43184" ht="16.5" customHeight="1">
      <c r="O43184" s="5" t="s">
        <v>355</v>
      </c>
      <c r="P43184" s="5" t="s">
        <v>355</v>
      </c>
      <c r="Q43184" s="5" t="s">
        <v>355</v>
      </c>
    </row>
    <row r="43185" ht="16.5" customHeight="1">
      <c r="O43185" s="5" t="s">
        <v>355</v>
      </c>
      <c r="P43185" s="5" t="s">
        <v>355</v>
      </c>
      <c r="Q43185" s="5" t="s">
        <v>355</v>
      </c>
    </row>
    <row r="43186" ht="16.5" customHeight="1">
      <c r="O43186" s="5" t="s">
        <v>355</v>
      </c>
      <c r="P43186" s="5" t="s">
        <v>355</v>
      </c>
      <c r="Q43186" s="5" t="s">
        <v>355</v>
      </c>
    </row>
    <row r="43187" ht="16.5" customHeight="1">
      <c r="O43187" s="5" t="s">
        <v>355</v>
      </c>
      <c r="P43187" s="5" t="s">
        <v>355</v>
      </c>
      <c r="Q43187" s="5" t="s">
        <v>355</v>
      </c>
    </row>
    <row r="43188" ht="16.5" customHeight="1">
      <c r="O43188" s="5" t="s">
        <v>355</v>
      </c>
      <c r="P43188" s="5" t="s">
        <v>355</v>
      </c>
      <c r="Q43188" s="5" t="s">
        <v>355</v>
      </c>
    </row>
    <row r="43189" ht="16.5" customHeight="1">
      <c r="O43189" s="5" t="s">
        <v>355</v>
      </c>
      <c r="P43189" s="5" t="s">
        <v>355</v>
      </c>
      <c r="Q43189" s="5" t="s">
        <v>355</v>
      </c>
    </row>
    <row r="43190" ht="16.5" customHeight="1">
      <c r="O43190" s="5" t="s">
        <v>355</v>
      </c>
      <c r="P43190" s="5" t="s">
        <v>355</v>
      </c>
      <c r="Q43190" s="5" t="s">
        <v>355</v>
      </c>
    </row>
    <row r="43191" ht="16.5" customHeight="1">
      <c r="O43191" s="5" t="s">
        <v>355</v>
      </c>
      <c r="P43191" s="5" t="s">
        <v>355</v>
      </c>
      <c r="Q43191" s="5" t="s">
        <v>355</v>
      </c>
    </row>
    <row r="43192" ht="16.5" customHeight="1">
      <c r="O43192" s="5" t="s">
        <v>355</v>
      </c>
      <c r="P43192" s="5" t="s">
        <v>355</v>
      </c>
      <c r="Q43192" s="5" t="s">
        <v>355</v>
      </c>
    </row>
    <row r="43193" ht="16.5" customHeight="1">
      <c r="O43193" s="5" t="s">
        <v>355</v>
      </c>
      <c r="P43193" s="5" t="s">
        <v>355</v>
      </c>
      <c r="Q43193" s="5" t="s">
        <v>355</v>
      </c>
    </row>
    <row r="43194" ht="16.5" customHeight="1">
      <c r="O43194" s="5" t="s">
        <v>355</v>
      </c>
      <c r="P43194" s="5" t="s">
        <v>355</v>
      </c>
      <c r="Q43194" s="5" t="s">
        <v>355</v>
      </c>
    </row>
    <row r="43195" ht="16.5" customHeight="1">
      <c r="O43195" s="5" t="s">
        <v>355</v>
      </c>
      <c r="P43195" s="5" t="s">
        <v>355</v>
      </c>
      <c r="Q43195" s="5" t="s">
        <v>355</v>
      </c>
    </row>
    <row r="43196" ht="16.5" customHeight="1">
      <c r="O43196" s="5" t="s">
        <v>355</v>
      </c>
      <c r="P43196" s="5" t="s">
        <v>355</v>
      </c>
      <c r="Q43196" s="5" t="s">
        <v>355</v>
      </c>
    </row>
    <row r="43197" ht="16.5" customHeight="1">
      <c r="O43197" s="5" t="s">
        <v>355</v>
      </c>
      <c r="P43197" s="5" t="s">
        <v>355</v>
      </c>
      <c r="Q43197" s="5" t="s">
        <v>355</v>
      </c>
    </row>
    <row r="43198" ht="16.5" customHeight="1">
      <c r="O43198" s="5" t="s">
        <v>355</v>
      </c>
      <c r="P43198" s="5" t="s">
        <v>355</v>
      </c>
      <c r="Q43198" s="5" t="s">
        <v>355</v>
      </c>
    </row>
    <row r="43199" ht="16.5" customHeight="1">
      <c r="O43199" s="5" t="s">
        <v>355</v>
      </c>
      <c r="P43199" s="5" t="s">
        <v>355</v>
      </c>
      <c r="Q43199" s="5" t="s">
        <v>355</v>
      </c>
    </row>
    <row r="43200" ht="16.5" customHeight="1">
      <c r="O43200" s="5" t="s">
        <v>355</v>
      </c>
      <c r="P43200" s="5" t="s">
        <v>355</v>
      </c>
      <c r="Q43200" s="5" t="s">
        <v>355</v>
      </c>
    </row>
    <row r="43201" ht="16.5" customHeight="1">
      <c r="O43201" s="5" t="s">
        <v>355</v>
      </c>
      <c r="P43201" s="5" t="s">
        <v>355</v>
      </c>
      <c r="Q43201" s="5" t="s">
        <v>355</v>
      </c>
    </row>
    <row r="43202" ht="16.5" customHeight="1">
      <c r="O43202" s="5" t="s">
        <v>355</v>
      </c>
      <c r="P43202" s="5" t="s">
        <v>355</v>
      </c>
      <c r="Q43202" s="5" t="s">
        <v>355</v>
      </c>
    </row>
    <row r="43203" ht="16.5" customHeight="1">
      <c r="O43203" s="5" t="s">
        <v>355</v>
      </c>
      <c r="P43203" s="5" t="s">
        <v>355</v>
      </c>
      <c r="Q43203" s="5" t="s">
        <v>355</v>
      </c>
    </row>
    <row r="43204" ht="16.5" customHeight="1">
      <c r="O43204" s="5" t="s">
        <v>355</v>
      </c>
      <c r="P43204" s="5" t="s">
        <v>355</v>
      </c>
      <c r="Q43204" s="5" t="s">
        <v>355</v>
      </c>
    </row>
    <row r="43205" ht="16.5" customHeight="1">
      <c r="O43205" s="5" t="s">
        <v>355</v>
      </c>
      <c r="P43205" s="5" t="s">
        <v>355</v>
      </c>
      <c r="Q43205" s="5" t="s">
        <v>355</v>
      </c>
    </row>
    <row r="43206" ht="16.5" customHeight="1">
      <c r="O43206" s="5" t="s">
        <v>355</v>
      </c>
      <c r="P43206" s="5" t="s">
        <v>355</v>
      </c>
      <c r="Q43206" s="5" t="s">
        <v>355</v>
      </c>
    </row>
    <row r="43207" ht="16.5" customHeight="1">
      <c r="O43207" s="5" t="s">
        <v>355</v>
      </c>
      <c r="P43207" s="5" t="s">
        <v>355</v>
      </c>
      <c r="Q43207" s="5" t="s">
        <v>355</v>
      </c>
    </row>
    <row r="43208" ht="16.5" customHeight="1">
      <c r="O43208" s="5" t="s">
        <v>355</v>
      </c>
      <c r="P43208" s="5" t="s">
        <v>355</v>
      </c>
      <c r="Q43208" s="5" t="s">
        <v>355</v>
      </c>
    </row>
    <row r="43209" ht="16.5" customHeight="1">
      <c r="O43209" s="5" t="s">
        <v>355</v>
      </c>
      <c r="P43209" s="5" t="s">
        <v>355</v>
      </c>
      <c r="Q43209" s="5" t="s">
        <v>355</v>
      </c>
    </row>
    <row r="43210" ht="16.5" customHeight="1">
      <c r="O43210" s="5" t="s">
        <v>355</v>
      </c>
      <c r="P43210" s="5" t="s">
        <v>355</v>
      </c>
      <c r="Q43210" s="5" t="s">
        <v>355</v>
      </c>
    </row>
    <row r="43211" ht="16.5" customHeight="1">
      <c r="O43211" s="5" t="s">
        <v>355</v>
      </c>
      <c r="P43211" s="5" t="s">
        <v>355</v>
      </c>
      <c r="Q43211" s="5" t="s">
        <v>355</v>
      </c>
    </row>
    <row r="43212" ht="16.5" customHeight="1">
      <c r="O43212" s="5" t="s">
        <v>355</v>
      </c>
      <c r="P43212" s="5" t="s">
        <v>355</v>
      </c>
      <c r="Q43212" s="5" t="s">
        <v>355</v>
      </c>
    </row>
    <row r="43213" ht="16.5" customHeight="1">
      <c r="O43213" s="5" t="s">
        <v>355</v>
      </c>
      <c r="P43213" s="5" t="s">
        <v>355</v>
      </c>
      <c r="Q43213" s="5" t="s">
        <v>355</v>
      </c>
    </row>
    <row r="43214" ht="16.5" customHeight="1">
      <c r="O43214" s="5" t="s">
        <v>355</v>
      </c>
      <c r="P43214" s="5" t="s">
        <v>355</v>
      </c>
      <c r="Q43214" s="5" t="s">
        <v>355</v>
      </c>
    </row>
    <row r="43215" ht="16.5" customHeight="1">
      <c r="O43215" s="5" t="s">
        <v>355</v>
      </c>
      <c r="P43215" s="5" t="s">
        <v>355</v>
      </c>
      <c r="Q43215" s="5" t="s">
        <v>355</v>
      </c>
    </row>
    <row r="43216" ht="16.5" customHeight="1">
      <c r="O43216" s="5" t="s">
        <v>355</v>
      </c>
      <c r="P43216" s="5" t="s">
        <v>355</v>
      </c>
      <c r="Q43216" s="5" t="s">
        <v>355</v>
      </c>
    </row>
    <row r="43217" ht="16.5" customHeight="1">
      <c r="O43217" s="5" t="s">
        <v>355</v>
      </c>
      <c r="P43217" s="5" t="s">
        <v>355</v>
      </c>
      <c r="Q43217" s="5" t="s">
        <v>355</v>
      </c>
    </row>
    <row r="43218" ht="16.5" customHeight="1">
      <c r="O43218" s="5" t="s">
        <v>355</v>
      </c>
      <c r="P43218" s="5" t="s">
        <v>355</v>
      </c>
      <c r="Q43218" s="5" t="s">
        <v>355</v>
      </c>
    </row>
    <row r="43219" ht="16.5" customHeight="1">
      <c r="O43219" s="5" t="s">
        <v>355</v>
      </c>
      <c r="P43219" s="5" t="s">
        <v>355</v>
      </c>
      <c r="Q43219" s="5" t="s">
        <v>355</v>
      </c>
    </row>
    <row r="43220" ht="16.5" customHeight="1">
      <c r="O43220" s="5" t="s">
        <v>355</v>
      </c>
      <c r="P43220" s="5" t="s">
        <v>355</v>
      </c>
      <c r="Q43220" s="5" t="s">
        <v>355</v>
      </c>
    </row>
    <row r="43221" ht="16.5" customHeight="1">
      <c r="O43221" s="5" t="s">
        <v>355</v>
      </c>
      <c r="P43221" s="5" t="s">
        <v>355</v>
      </c>
      <c r="Q43221" s="5" t="s">
        <v>355</v>
      </c>
    </row>
    <row r="43222" ht="16.5" customHeight="1">
      <c r="O43222" s="5" t="s">
        <v>355</v>
      </c>
      <c r="P43222" s="5" t="s">
        <v>355</v>
      </c>
      <c r="Q43222" s="5" t="s">
        <v>355</v>
      </c>
    </row>
    <row r="43223" ht="16.5" customHeight="1">
      <c r="O43223" s="5" t="s">
        <v>355</v>
      </c>
      <c r="P43223" s="5" t="s">
        <v>355</v>
      </c>
      <c r="Q43223" s="5" t="s">
        <v>355</v>
      </c>
    </row>
    <row r="43224" ht="16.5" customHeight="1">
      <c r="O43224" s="5" t="s">
        <v>355</v>
      </c>
      <c r="P43224" s="5" t="s">
        <v>355</v>
      </c>
      <c r="Q43224" s="5" t="s">
        <v>355</v>
      </c>
    </row>
    <row r="43225" ht="16.5" customHeight="1">
      <c r="O43225" s="5" t="s">
        <v>355</v>
      </c>
      <c r="P43225" s="5" t="s">
        <v>355</v>
      </c>
      <c r="Q43225" s="5" t="s">
        <v>355</v>
      </c>
    </row>
    <row r="43226" ht="16.5" customHeight="1">
      <c r="O43226" s="5" t="s">
        <v>355</v>
      </c>
      <c r="P43226" s="5" t="s">
        <v>355</v>
      </c>
      <c r="Q43226" s="5" t="s">
        <v>355</v>
      </c>
    </row>
    <row r="43227" ht="16.5" customHeight="1">
      <c r="O43227" s="5" t="s">
        <v>355</v>
      </c>
      <c r="P43227" s="5" t="s">
        <v>355</v>
      </c>
      <c r="Q43227" s="5" t="s">
        <v>355</v>
      </c>
    </row>
    <row r="43228" ht="16.5" customHeight="1">
      <c r="O43228" s="5" t="s">
        <v>355</v>
      </c>
      <c r="P43228" s="5" t="s">
        <v>355</v>
      </c>
      <c r="Q43228" s="5" t="s">
        <v>355</v>
      </c>
    </row>
    <row r="43229" ht="16.5" customHeight="1">
      <c r="O43229" s="5" t="s">
        <v>355</v>
      </c>
      <c r="P43229" s="5" t="s">
        <v>355</v>
      </c>
      <c r="Q43229" s="5" t="s">
        <v>355</v>
      </c>
    </row>
    <row r="43230" ht="16.5" customHeight="1">
      <c r="O43230" s="5" t="s">
        <v>355</v>
      </c>
      <c r="P43230" s="5" t="s">
        <v>355</v>
      </c>
      <c r="Q43230" s="5" t="s">
        <v>355</v>
      </c>
    </row>
    <row r="43231" ht="16.5" customHeight="1">
      <c r="O43231" s="5" t="s">
        <v>355</v>
      </c>
      <c r="P43231" s="5" t="s">
        <v>355</v>
      </c>
      <c r="Q43231" s="5" t="s">
        <v>355</v>
      </c>
    </row>
    <row r="43232" ht="16.5" customHeight="1">
      <c r="O43232" s="5" t="s">
        <v>355</v>
      </c>
      <c r="P43232" s="5" t="s">
        <v>355</v>
      </c>
      <c r="Q43232" s="5" t="s">
        <v>355</v>
      </c>
    </row>
    <row r="43233" ht="16.5" customHeight="1">
      <c r="O43233" s="5" t="s">
        <v>355</v>
      </c>
      <c r="P43233" s="5" t="s">
        <v>355</v>
      </c>
      <c r="Q43233" s="5" t="s">
        <v>355</v>
      </c>
    </row>
    <row r="43234" ht="16.5" customHeight="1">
      <c r="O43234" s="5" t="s">
        <v>355</v>
      </c>
      <c r="P43234" s="5" t="s">
        <v>355</v>
      </c>
      <c r="Q43234" s="5" t="s">
        <v>355</v>
      </c>
    </row>
    <row r="43235" ht="16.5" customHeight="1">
      <c r="O43235" s="5" t="s">
        <v>355</v>
      </c>
      <c r="P43235" s="5" t="s">
        <v>355</v>
      </c>
      <c r="Q43235" s="5" t="s">
        <v>355</v>
      </c>
    </row>
    <row r="43236" ht="16.5" customHeight="1">
      <c r="O43236" s="5" t="s">
        <v>355</v>
      </c>
      <c r="P43236" s="5" t="s">
        <v>355</v>
      </c>
      <c r="Q43236" s="5" t="s">
        <v>355</v>
      </c>
    </row>
    <row r="43237" ht="16.5" customHeight="1">
      <c r="O43237" s="5" t="s">
        <v>355</v>
      </c>
      <c r="P43237" s="5" t="s">
        <v>355</v>
      </c>
      <c r="Q43237" s="5" t="s">
        <v>355</v>
      </c>
    </row>
    <row r="43238" ht="16.5" customHeight="1">
      <c r="O43238" s="5" t="s">
        <v>355</v>
      </c>
      <c r="P43238" s="5" t="s">
        <v>355</v>
      </c>
      <c r="Q43238" s="5" t="s">
        <v>355</v>
      </c>
    </row>
    <row r="43239" ht="16.5" customHeight="1">
      <c r="O43239" s="5" t="s">
        <v>355</v>
      </c>
      <c r="P43239" s="5" t="s">
        <v>355</v>
      </c>
      <c r="Q43239" s="5" t="s">
        <v>355</v>
      </c>
    </row>
    <row r="43240" ht="16.5" customHeight="1">
      <c r="O43240" s="5" t="s">
        <v>355</v>
      </c>
      <c r="P43240" s="5" t="s">
        <v>355</v>
      </c>
      <c r="Q43240" s="5" t="s">
        <v>355</v>
      </c>
    </row>
    <row r="43241" ht="16.5" customHeight="1">
      <c r="O43241" s="5" t="s">
        <v>355</v>
      </c>
      <c r="P43241" s="5" t="s">
        <v>355</v>
      </c>
      <c r="Q43241" s="5" t="s">
        <v>355</v>
      </c>
    </row>
    <row r="43242" ht="16.5" customHeight="1">
      <c r="O43242" s="5" t="s">
        <v>355</v>
      </c>
      <c r="P43242" s="5" t="s">
        <v>355</v>
      </c>
      <c r="Q43242" s="5" t="s">
        <v>355</v>
      </c>
    </row>
    <row r="43243" ht="16.5" customHeight="1">
      <c r="O43243" s="5" t="s">
        <v>355</v>
      </c>
      <c r="P43243" s="5" t="s">
        <v>355</v>
      </c>
      <c r="Q43243" s="5" t="s">
        <v>355</v>
      </c>
    </row>
    <row r="43244" ht="16.5" customHeight="1">
      <c r="O43244" s="5" t="s">
        <v>355</v>
      </c>
      <c r="P43244" s="5" t="s">
        <v>355</v>
      </c>
      <c r="Q43244" s="5" t="s">
        <v>355</v>
      </c>
    </row>
    <row r="43245" ht="16.5" customHeight="1">
      <c r="O43245" s="5" t="s">
        <v>355</v>
      </c>
      <c r="P43245" s="5" t="s">
        <v>355</v>
      </c>
      <c r="Q43245" s="5" t="s">
        <v>355</v>
      </c>
    </row>
    <row r="43246" ht="16.5" customHeight="1">
      <c r="O43246" s="5" t="s">
        <v>355</v>
      </c>
      <c r="P43246" s="5" t="s">
        <v>355</v>
      </c>
      <c r="Q43246" s="5" t="s">
        <v>355</v>
      </c>
    </row>
    <row r="43247" ht="16.5" customHeight="1">
      <c r="O43247" s="5" t="s">
        <v>355</v>
      </c>
      <c r="P43247" s="5" t="s">
        <v>355</v>
      </c>
      <c r="Q43247" s="5" t="s">
        <v>355</v>
      </c>
    </row>
    <row r="43248" ht="16.5" customHeight="1">
      <c r="O43248" s="5" t="s">
        <v>355</v>
      </c>
      <c r="P43248" s="5" t="s">
        <v>355</v>
      </c>
      <c r="Q43248" s="5" t="s">
        <v>355</v>
      </c>
    </row>
    <row r="43249" ht="16.5" customHeight="1">
      <c r="O43249" s="5" t="s">
        <v>355</v>
      </c>
      <c r="P43249" s="5" t="s">
        <v>355</v>
      </c>
      <c r="Q43249" s="5" t="s">
        <v>355</v>
      </c>
    </row>
    <row r="43250" ht="16.5" customHeight="1">
      <c r="O43250" s="5" t="s">
        <v>355</v>
      </c>
      <c r="P43250" s="5" t="s">
        <v>355</v>
      </c>
      <c r="Q43250" s="5" t="s">
        <v>355</v>
      </c>
    </row>
    <row r="43251" ht="16.5" customHeight="1">
      <c r="O43251" s="5" t="s">
        <v>355</v>
      </c>
      <c r="P43251" s="5" t="s">
        <v>355</v>
      </c>
      <c r="Q43251" s="5" t="s">
        <v>355</v>
      </c>
    </row>
    <row r="43252" ht="16.5" customHeight="1">
      <c r="O43252" s="5" t="s">
        <v>355</v>
      </c>
      <c r="P43252" s="5" t="s">
        <v>355</v>
      </c>
      <c r="Q43252" s="5" t="s">
        <v>355</v>
      </c>
    </row>
    <row r="43253" ht="16.5" customHeight="1">
      <c r="O43253" s="5" t="s">
        <v>355</v>
      </c>
      <c r="P43253" s="5" t="s">
        <v>355</v>
      </c>
      <c r="Q43253" s="5" t="s">
        <v>355</v>
      </c>
    </row>
    <row r="43254" ht="16.5" customHeight="1">
      <c r="O43254" s="5" t="s">
        <v>355</v>
      </c>
      <c r="P43254" s="5" t="s">
        <v>355</v>
      </c>
      <c r="Q43254" s="5" t="s">
        <v>355</v>
      </c>
    </row>
    <row r="43255" ht="16.5" customHeight="1">
      <c r="O43255" s="5" t="s">
        <v>355</v>
      </c>
      <c r="P43255" s="5" t="s">
        <v>355</v>
      </c>
      <c r="Q43255" s="5" t="s">
        <v>355</v>
      </c>
    </row>
    <row r="43256" ht="16.5" customHeight="1">
      <c r="O43256" s="5" t="s">
        <v>355</v>
      </c>
      <c r="P43256" s="5" t="s">
        <v>355</v>
      </c>
      <c r="Q43256" s="5" t="s">
        <v>355</v>
      </c>
    </row>
    <row r="43257" ht="16.5" customHeight="1">
      <c r="O43257" s="5" t="s">
        <v>355</v>
      </c>
      <c r="P43257" s="5" t="s">
        <v>355</v>
      </c>
      <c r="Q43257" s="5" t="s">
        <v>355</v>
      </c>
    </row>
    <row r="43258" ht="16.5" customHeight="1">
      <c r="O43258" s="5" t="s">
        <v>355</v>
      </c>
      <c r="P43258" s="5" t="s">
        <v>355</v>
      </c>
      <c r="Q43258" s="5" t="s">
        <v>355</v>
      </c>
    </row>
    <row r="43259" ht="16.5" customHeight="1">
      <c r="O43259" s="5" t="s">
        <v>355</v>
      </c>
      <c r="P43259" s="5" t="s">
        <v>355</v>
      </c>
      <c r="Q43259" s="5" t="s">
        <v>355</v>
      </c>
    </row>
    <row r="43260" ht="16.5" customHeight="1">
      <c r="O43260" s="5" t="s">
        <v>355</v>
      </c>
      <c r="P43260" s="5" t="s">
        <v>355</v>
      </c>
      <c r="Q43260" s="5" t="s">
        <v>355</v>
      </c>
    </row>
    <row r="43261" ht="16.5" customHeight="1">
      <c r="O43261" s="5" t="s">
        <v>355</v>
      </c>
      <c r="P43261" s="5" t="s">
        <v>355</v>
      </c>
      <c r="Q43261" s="5" t="s">
        <v>355</v>
      </c>
    </row>
    <row r="43262" ht="16.5" customHeight="1">
      <c r="O43262" s="5" t="s">
        <v>355</v>
      </c>
      <c r="P43262" s="5" t="s">
        <v>355</v>
      </c>
      <c r="Q43262" s="5" t="s">
        <v>355</v>
      </c>
    </row>
    <row r="43263" ht="16.5" customHeight="1">
      <c r="O43263" s="5" t="s">
        <v>355</v>
      </c>
      <c r="P43263" s="5" t="s">
        <v>355</v>
      </c>
      <c r="Q43263" s="5" t="s">
        <v>355</v>
      </c>
    </row>
    <row r="43264" ht="16.5" customHeight="1">
      <c r="O43264" s="5" t="s">
        <v>355</v>
      </c>
      <c r="P43264" s="5" t="s">
        <v>355</v>
      </c>
      <c r="Q43264" s="5" t="s">
        <v>355</v>
      </c>
    </row>
    <row r="43265" ht="16.5" customHeight="1">
      <c r="O43265" s="5" t="s">
        <v>355</v>
      </c>
      <c r="P43265" s="5" t="s">
        <v>355</v>
      </c>
      <c r="Q43265" s="5" t="s">
        <v>355</v>
      </c>
    </row>
    <row r="43266" ht="16.5" customHeight="1">
      <c r="O43266" s="5" t="s">
        <v>355</v>
      </c>
      <c r="P43266" s="5" t="s">
        <v>355</v>
      </c>
      <c r="Q43266" s="5" t="s">
        <v>355</v>
      </c>
    </row>
    <row r="43267" ht="16.5" customHeight="1">
      <c r="O43267" s="5" t="s">
        <v>355</v>
      </c>
      <c r="P43267" s="5" t="s">
        <v>355</v>
      </c>
      <c r="Q43267" s="5" t="s">
        <v>355</v>
      </c>
    </row>
    <row r="43268" ht="16.5" customHeight="1">
      <c r="O43268" s="5" t="s">
        <v>355</v>
      </c>
      <c r="P43268" s="5" t="s">
        <v>355</v>
      </c>
      <c r="Q43268" s="5" t="s">
        <v>355</v>
      </c>
    </row>
    <row r="43269" ht="16.5" customHeight="1">
      <c r="O43269" s="5" t="s">
        <v>355</v>
      </c>
      <c r="P43269" s="5" t="s">
        <v>355</v>
      </c>
      <c r="Q43269" s="5" t="s">
        <v>355</v>
      </c>
    </row>
    <row r="43270" ht="16.5" customHeight="1">
      <c r="O43270" s="5" t="s">
        <v>355</v>
      </c>
      <c r="P43270" s="5" t="s">
        <v>355</v>
      </c>
      <c r="Q43270" s="5" t="s">
        <v>355</v>
      </c>
    </row>
    <row r="43271" ht="16.5" customHeight="1">
      <c r="O43271" s="5" t="s">
        <v>355</v>
      </c>
      <c r="P43271" s="5" t="s">
        <v>355</v>
      </c>
      <c r="Q43271" s="5" t="s">
        <v>355</v>
      </c>
    </row>
    <row r="43272" ht="16.5" customHeight="1">
      <c r="O43272" s="5" t="s">
        <v>355</v>
      </c>
      <c r="P43272" s="5" t="s">
        <v>355</v>
      </c>
      <c r="Q43272" s="5" t="s">
        <v>355</v>
      </c>
    </row>
    <row r="43273" ht="16.5" customHeight="1">
      <c r="O43273" s="5" t="s">
        <v>355</v>
      </c>
      <c r="P43273" s="5" t="s">
        <v>355</v>
      </c>
      <c r="Q43273" s="5" t="s">
        <v>355</v>
      </c>
    </row>
    <row r="43274" ht="16.5" customHeight="1">
      <c r="O43274" s="5" t="s">
        <v>355</v>
      </c>
      <c r="P43274" s="5" t="s">
        <v>355</v>
      </c>
      <c r="Q43274" s="5" t="s">
        <v>355</v>
      </c>
    </row>
    <row r="43275" ht="16.5" customHeight="1">
      <c r="O43275" s="5" t="s">
        <v>355</v>
      </c>
      <c r="P43275" s="5" t="s">
        <v>355</v>
      </c>
      <c r="Q43275" s="5" t="s">
        <v>355</v>
      </c>
    </row>
    <row r="43276" ht="16.5" customHeight="1">
      <c r="O43276" s="5" t="s">
        <v>355</v>
      </c>
      <c r="P43276" s="5" t="s">
        <v>355</v>
      </c>
      <c r="Q43276" s="5" t="s">
        <v>355</v>
      </c>
    </row>
    <row r="43277" ht="16.5" customHeight="1">
      <c r="O43277" s="5" t="s">
        <v>355</v>
      </c>
      <c r="P43277" s="5" t="s">
        <v>355</v>
      </c>
      <c r="Q43277" s="5" t="s">
        <v>355</v>
      </c>
    </row>
    <row r="43278" ht="16.5" customHeight="1">
      <c r="O43278" s="5" t="s">
        <v>355</v>
      </c>
      <c r="P43278" s="5" t="s">
        <v>355</v>
      </c>
      <c r="Q43278" s="5" t="s">
        <v>355</v>
      </c>
    </row>
    <row r="43279" ht="16.5" customHeight="1">
      <c r="O43279" s="5" t="s">
        <v>355</v>
      </c>
      <c r="P43279" s="5" t="s">
        <v>355</v>
      </c>
      <c r="Q43279" s="5" t="s">
        <v>355</v>
      </c>
    </row>
    <row r="43280" ht="16.5" customHeight="1">
      <c r="O43280" s="5" t="s">
        <v>355</v>
      </c>
      <c r="P43280" s="5" t="s">
        <v>355</v>
      </c>
      <c r="Q43280" s="5" t="s">
        <v>355</v>
      </c>
    </row>
    <row r="43281" ht="16.5" customHeight="1">
      <c r="O43281" s="5" t="s">
        <v>355</v>
      </c>
      <c r="P43281" s="5" t="s">
        <v>355</v>
      </c>
      <c r="Q43281" s="5" t="s">
        <v>355</v>
      </c>
    </row>
    <row r="43282" ht="16.5" customHeight="1">
      <c r="O43282" s="5" t="s">
        <v>355</v>
      </c>
      <c r="P43282" s="5" t="s">
        <v>355</v>
      </c>
      <c r="Q43282" s="5" t="s">
        <v>355</v>
      </c>
    </row>
    <row r="43283" ht="16.5" customHeight="1">
      <c r="O43283" s="5" t="s">
        <v>355</v>
      </c>
      <c r="P43283" s="5" t="s">
        <v>355</v>
      </c>
      <c r="Q43283" s="5" t="s">
        <v>355</v>
      </c>
    </row>
    <row r="43284" ht="16.5" customHeight="1">
      <c r="O43284" s="5" t="s">
        <v>355</v>
      </c>
      <c r="P43284" s="5" t="s">
        <v>355</v>
      </c>
      <c r="Q43284" s="5" t="s">
        <v>355</v>
      </c>
    </row>
    <row r="43285" ht="16.5" customHeight="1">
      <c r="O43285" s="5" t="s">
        <v>355</v>
      </c>
      <c r="P43285" s="5" t="s">
        <v>355</v>
      </c>
      <c r="Q43285" s="5" t="s">
        <v>355</v>
      </c>
    </row>
    <row r="43286" ht="16.5" customHeight="1">
      <c r="O43286" s="5" t="s">
        <v>355</v>
      </c>
      <c r="P43286" s="5" t="s">
        <v>355</v>
      </c>
      <c r="Q43286" s="5" t="s">
        <v>355</v>
      </c>
    </row>
    <row r="43287" ht="16.5" customHeight="1">
      <c r="O43287" s="5" t="s">
        <v>355</v>
      </c>
      <c r="P43287" s="5" t="s">
        <v>355</v>
      </c>
      <c r="Q43287" s="5" t="s">
        <v>355</v>
      </c>
    </row>
    <row r="43288" ht="16.5" customHeight="1">
      <c r="O43288" s="5" t="s">
        <v>355</v>
      </c>
      <c r="P43288" s="5" t="s">
        <v>355</v>
      </c>
      <c r="Q43288" s="5" t="s">
        <v>355</v>
      </c>
    </row>
    <row r="43289" ht="16.5" customHeight="1">
      <c r="O43289" s="5" t="s">
        <v>355</v>
      </c>
      <c r="P43289" s="5" t="s">
        <v>355</v>
      </c>
      <c r="Q43289" s="5" t="s">
        <v>355</v>
      </c>
    </row>
    <row r="43290" ht="16.5" customHeight="1">
      <c r="O43290" s="5" t="s">
        <v>355</v>
      </c>
      <c r="P43290" s="5" t="s">
        <v>355</v>
      </c>
      <c r="Q43290" s="5" t="s">
        <v>355</v>
      </c>
    </row>
    <row r="43291" ht="16.5" customHeight="1">
      <c r="O43291" s="5" t="s">
        <v>355</v>
      </c>
      <c r="P43291" s="5" t="s">
        <v>355</v>
      </c>
      <c r="Q43291" s="5" t="s">
        <v>355</v>
      </c>
    </row>
    <row r="43292" ht="16.5" customHeight="1">
      <c r="O43292" s="5" t="s">
        <v>355</v>
      </c>
      <c r="P43292" s="5" t="s">
        <v>355</v>
      </c>
      <c r="Q43292" s="5" t="s">
        <v>355</v>
      </c>
    </row>
    <row r="43293" ht="16.5" customHeight="1">
      <c r="O43293" s="5" t="s">
        <v>355</v>
      </c>
      <c r="P43293" s="5" t="s">
        <v>355</v>
      </c>
      <c r="Q43293" s="5" t="s">
        <v>355</v>
      </c>
    </row>
    <row r="43294" ht="16.5" customHeight="1">
      <c r="O43294" s="5" t="s">
        <v>355</v>
      </c>
      <c r="P43294" s="5" t="s">
        <v>355</v>
      </c>
      <c r="Q43294" s="5" t="s">
        <v>355</v>
      </c>
    </row>
    <row r="43295" ht="16.5" customHeight="1">
      <c r="O43295" s="5" t="s">
        <v>355</v>
      </c>
      <c r="P43295" s="5" t="s">
        <v>355</v>
      </c>
      <c r="Q43295" s="5" t="s">
        <v>355</v>
      </c>
    </row>
    <row r="43296" ht="16.5" customHeight="1">
      <c r="O43296" s="5" t="s">
        <v>355</v>
      </c>
      <c r="P43296" s="5" t="s">
        <v>355</v>
      </c>
      <c r="Q43296" s="5" t="s">
        <v>355</v>
      </c>
    </row>
    <row r="43297" ht="16.5" customHeight="1">
      <c r="O43297" s="5" t="s">
        <v>355</v>
      </c>
      <c r="P43297" s="5" t="s">
        <v>355</v>
      </c>
      <c r="Q43297" s="5" t="s">
        <v>355</v>
      </c>
    </row>
    <row r="43298" ht="16.5" customHeight="1">
      <c r="O43298" s="5" t="s">
        <v>355</v>
      </c>
      <c r="P43298" s="5" t="s">
        <v>355</v>
      </c>
      <c r="Q43298" s="5" t="s">
        <v>355</v>
      </c>
    </row>
    <row r="43299" ht="16.5" customHeight="1">
      <c r="O43299" s="5" t="s">
        <v>355</v>
      </c>
      <c r="P43299" s="5" t="s">
        <v>355</v>
      </c>
      <c r="Q43299" s="5" t="s">
        <v>355</v>
      </c>
    </row>
    <row r="43300" ht="16.5" customHeight="1">
      <c r="O43300" s="5" t="s">
        <v>355</v>
      </c>
      <c r="P43300" s="5" t="s">
        <v>355</v>
      </c>
      <c r="Q43300" s="5" t="s">
        <v>355</v>
      </c>
    </row>
    <row r="43301" ht="16.5" customHeight="1">
      <c r="O43301" s="5" t="s">
        <v>355</v>
      </c>
      <c r="P43301" s="5" t="s">
        <v>355</v>
      </c>
      <c r="Q43301" s="5" t="s">
        <v>355</v>
      </c>
    </row>
    <row r="43302" ht="16.5" customHeight="1">
      <c r="O43302" s="5" t="s">
        <v>355</v>
      </c>
      <c r="P43302" s="5" t="s">
        <v>355</v>
      </c>
      <c r="Q43302" s="5" t="s">
        <v>355</v>
      </c>
    </row>
    <row r="43303" ht="16.5" customHeight="1">
      <c r="O43303" s="5" t="s">
        <v>355</v>
      </c>
      <c r="P43303" s="5" t="s">
        <v>355</v>
      </c>
      <c r="Q43303" s="5" t="s">
        <v>355</v>
      </c>
    </row>
    <row r="43304" ht="16.5" customHeight="1">
      <c r="O43304" s="5" t="s">
        <v>355</v>
      </c>
      <c r="P43304" s="5" t="s">
        <v>355</v>
      </c>
      <c r="Q43304" s="5" t="s">
        <v>355</v>
      </c>
    </row>
    <row r="43305" ht="16.5" customHeight="1">
      <c r="O43305" s="5" t="s">
        <v>355</v>
      </c>
      <c r="P43305" s="5" t="s">
        <v>355</v>
      </c>
      <c r="Q43305" s="5" t="s">
        <v>355</v>
      </c>
    </row>
    <row r="43306" ht="16.5" customHeight="1">
      <c r="O43306" s="5" t="s">
        <v>355</v>
      </c>
      <c r="P43306" s="5" t="s">
        <v>355</v>
      </c>
      <c r="Q43306" s="5" t="s">
        <v>355</v>
      </c>
    </row>
    <row r="43307" ht="16.5" customHeight="1">
      <c r="O43307" s="5" t="s">
        <v>355</v>
      </c>
      <c r="P43307" s="5" t="s">
        <v>355</v>
      </c>
      <c r="Q43307" s="5" t="s">
        <v>355</v>
      </c>
    </row>
    <row r="43308" ht="16.5" customHeight="1">
      <c r="O43308" s="5" t="s">
        <v>355</v>
      </c>
      <c r="P43308" s="5" t="s">
        <v>355</v>
      </c>
      <c r="Q43308" s="5" t="s">
        <v>355</v>
      </c>
    </row>
    <row r="43309" ht="16.5" customHeight="1">
      <c r="O43309" s="5" t="s">
        <v>355</v>
      </c>
      <c r="P43309" s="5" t="s">
        <v>355</v>
      </c>
      <c r="Q43309" s="5" t="s">
        <v>355</v>
      </c>
    </row>
    <row r="43310" ht="16.5" customHeight="1">
      <c r="O43310" s="5" t="s">
        <v>355</v>
      </c>
      <c r="P43310" s="5" t="s">
        <v>355</v>
      </c>
      <c r="Q43310" s="5" t="s">
        <v>355</v>
      </c>
    </row>
    <row r="43311" ht="16.5" customHeight="1">
      <c r="O43311" s="5" t="s">
        <v>355</v>
      </c>
      <c r="P43311" s="5" t="s">
        <v>355</v>
      </c>
      <c r="Q43311" s="5" t="s">
        <v>355</v>
      </c>
    </row>
    <row r="43312" ht="16.5" customHeight="1">
      <c r="O43312" s="5" t="s">
        <v>355</v>
      </c>
      <c r="P43312" s="5" t="s">
        <v>355</v>
      </c>
      <c r="Q43312" s="5" t="s">
        <v>355</v>
      </c>
    </row>
    <row r="43313" ht="16.5" customHeight="1">
      <c r="O43313" s="5" t="s">
        <v>355</v>
      </c>
      <c r="P43313" s="5" t="s">
        <v>355</v>
      </c>
      <c r="Q43313" s="5" t="s">
        <v>355</v>
      </c>
    </row>
    <row r="43314" ht="16.5" customHeight="1">
      <c r="O43314" s="5" t="s">
        <v>355</v>
      </c>
      <c r="P43314" s="5" t="s">
        <v>355</v>
      </c>
      <c r="Q43314" s="5" t="s">
        <v>355</v>
      </c>
    </row>
    <row r="43315" ht="16.5" customHeight="1">
      <c r="O43315" s="5" t="s">
        <v>355</v>
      </c>
      <c r="P43315" s="5" t="s">
        <v>355</v>
      </c>
      <c r="Q43315" s="5" t="s">
        <v>355</v>
      </c>
    </row>
    <row r="43316" ht="16.5" customHeight="1">
      <c r="O43316" s="5" t="s">
        <v>355</v>
      </c>
      <c r="P43316" s="5" t="s">
        <v>355</v>
      </c>
      <c r="Q43316" s="5" t="s">
        <v>355</v>
      </c>
    </row>
    <row r="43317" ht="16.5" customHeight="1">
      <c r="O43317" s="5" t="s">
        <v>355</v>
      </c>
      <c r="P43317" s="5" t="s">
        <v>355</v>
      </c>
      <c r="Q43317" s="5" t="s">
        <v>355</v>
      </c>
    </row>
    <row r="43318" ht="16.5" customHeight="1">
      <c r="O43318" s="5" t="s">
        <v>355</v>
      </c>
      <c r="P43318" s="5" t="s">
        <v>355</v>
      </c>
      <c r="Q43318" s="5" t="s">
        <v>355</v>
      </c>
    </row>
    <row r="43319" ht="16.5" customHeight="1">
      <c r="O43319" s="5" t="s">
        <v>355</v>
      </c>
      <c r="P43319" s="5" t="s">
        <v>355</v>
      </c>
      <c r="Q43319" s="5" t="s">
        <v>355</v>
      </c>
    </row>
    <row r="43320" ht="16.5" customHeight="1">
      <c r="O43320" s="5" t="s">
        <v>355</v>
      </c>
      <c r="P43320" s="5" t="s">
        <v>355</v>
      </c>
      <c r="Q43320" s="5" t="s">
        <v>355</v>
      </c>
    </row>
    <row r="43321" ht="16.5" customHeight="1">
      <c r="O43321" s="5" t="s">
        <v>355</v>
      </c>
      <c r="P43321" s="5" t="s">
        <v>355</v>
      </c>
      <c r="Q43321" s="5" t="s">
        <v>355</v>
      </c>
    </row>
    <row r="43322" ht="16.5" customHeight="1">
      <c r="O43322" s="5" t="s">
        <v>355</v>
      </c>
      <c r="P43322" s="5" t="s">
        <v>355</v>
      </c>
      <c r="Q43322" s="5" t="s">
        <v>355</v>
      </c>
    </row>
    <row r="43323" ht="16.5" customHeight="1">
      <c r="O43323" s="5" t="s">
        <v>355</v>
      </c>
      <c r="P43323" s="5" t="s">
        <v>355</v>
      </c>
      <c r="Q43323" s="5" t="s">
        <v>355</v>
      </c>
    </row>
    <row r="43324" ht="16.5" customHeight="1">
      <c r="O43324" s="5" t="s">
        <v>355</v>
      </c>
      <c r="P43324" s="5" t="s">
        <v>355</v>
      </c>
      <c r="Q43324" s="5" t="s">
        <v>355</v>
      </c>
    </row>
    <row r="43325" ht="16.5" customHeight="1">
      <c r="O43325" s="5" t="s">
        <v>355</v>
      </c>
      <c r="P43325" s="5" t="s">
        <v>355</v>
      </c>
      <c r="Q43325" s="5" t="s">
        <v>355</v>
      </c>
    </row>
    <row r="43326" ht="16.5" customHeight="1">
      <c r="O43326" s="5" t="s">
        <v>355</v>
      </c>
      <c r="P43326" s="5" t="s">
        <v>355</v>
      </c>
      <c r="Q43326" s="5" t="s">
        <v>355</v>
      </c>
    </row>
    <row r="43327" ht="16.5" customHeight="1">
      <c r="O43327" s="5" t="s">
        <v>355</v>
      </c>
      <c r="P43327" s="5" t="s">
        <v>355</v>
      </c>
      <c r="Q43327" s="5" t="s">
        <v>355</v>
      </c>
    </row>
    <row r="43328" ht="16.5" customHeight="1">
      <c r="O43328" s="5" t="s">
        <v>355</v>
      </c>
      <c r="P43328" s="5" t="s">
        <v>355</v>
      </c>
      <c r="Q43328" s="5" t="s">
        <v>355</v>
      </c>
    </row>
    <row r="43329" ht="16.5" customHeight="1">
      <c r="O43329" s="5" t="s">
        <v>355</v>
      </c>
      <c r="P43329" s="5" t="s">
        <v>355</v>
      </c>
      <c r="Q43329" s="5" t="s">
        <v>355</v>
      </c>
    </row>
    <row r="43330" ht="16.5" customHeight="1">
      <c r="O43330" s="5" t="s">
        <v>355</v>
      </c>
      <c r="P43330" s="5" t="s">
        <v>355</v>
      </c>
      <c r="Q43330" s="5" t="s">
        <v>355</v>
      </c>
    </row>
    <row r="43331" ht="16.5" customHeight="1">
      <c r="O43331" s="5" t="s">
        <v>355</v>
      </c>
      <c r="P43331" s="5" t="s">
        <v>355</v>
      </c>
      <c r="Q43331" s="5" t="s">
        <v>355</v>
      </c>
    </row>
    <row r="43332" ht="16.5" customHeight="1">
      <c r="O43332" s="5" t="s">
        <v>355</v>
      </c>
      <c r="P43332" s="5" t="s">
        <v>355</v>
      </c>
      <c r="Q43332" s="5" t="s">
        <v>355</v>
      </c>
    </row>
    <row r="43333" ht="16.5" customHeight="1">
      <c r="O43333" s="5" t="s">
        <v>355</v>
      </c>
      <c r="P43333" s="5" t="s">
        <v>355</v>
      </c>
      <c r="Q43333" s="5" t="s">
        <v>355</v>
      </c>
    </row>
    <row r="43334" ht="16.5" customHeight="1">
      <c r="O43334" s="5" t="s">
        <v>355</v>
      </c>
      <c r="P43334" s="5" t="s">
        <v>355</v>
      </c>
      <c r="Q43334" s="5" t="s">
        <v>355</v>
      </c>
    </row>
    <row r="43335" ht="16.5" customHeight="1">
      <c r="O43335" s="5" t="s">
        <v>355</v>
      </c>
      <c r="P43335" s="5" t="s">
        <v>355</v>
      </c>
      <c r="Q43335" s="5" t="s">
        <v>355</v>
      </c>
    </row>
    <row r="43336" ht="16.5" customHeight="1">
      <c r="O43336" s="5" t="s">
        <v>355</v>
      </c>
      <c r="P43336" s="5" t="s">
        <v>355</v>
      </c>
      <c r="Q43336" s="5" t="s">
        <v>355</v>
      </c>
    </row>
    <row r="43337" ht="16.5" customHeight="1">
      <c r="O43337" s="5" t="s">
        <v>355</v>
      </c>
      <c r="P43337" s="5" t="s">
        <v>355</v>
      </c>
      <c r="Q43337" s="5" t="s">
        <v>355</v>
      </c>
    </row>
    <row r="43338" ht="16.5" customHeight="1">
      <c r="O43338" s="5" t="s">
        <v>355</v>
      </c>
      <c r="P43338" s="5" t="s">
        <v>355</v>
      </c>
      <c r="Q43338" s="5" t="s">
        <v>355</v>
      </c>
    </row>
    <row r="43339" ht="16.5" customHeight="1">
      <c r="O43339" s="5" t="s">
        <v>355</v>
      </c>
      <c r="P43339" s="5" t="s">
        <v>355</v>
      </c>
      <c r="Q43339" s="5" t="s">
        <v>355</v>
      </c>
    </row>
    <row r="43340" ht="16.5" customHeight="1">
      <c r="O43340" s="5" t="s">
        <v>355</v>
      </c>
      <c r="P43340" s="5" t="s">
        <v>355</v>
      </c>
      <c r="Q43340" s="5" t="s">
        <v>355</v>
      </c>
    </row>
    <row r="43341" ht="16.5" customHeight="1">
      <c r="O43341" s="5" t="s">
        <v>355</v>
      </c>
      <c r="P43341" s="5" t="s">
        <v>355</v>
      </c>
      <c r="Q43341" s="5" t="s">
        <v>355</v>
      </c>
    </row>
    <row r="43342" ht="16.5" customHeight="1">
      <c r="O43342" s="5" t="s">
        <v>355</v>
      </c>
      <c r="P43342" s="5" t="s">
        <v>355</v>
      </c>
      <c r="Q43342" s="5" t="s">
        <v>355</v>
      </c>
    </row>
    <row r="43343" ht="16.5" customHeight="1">
      <c r="O43343" s="5" t="s">
        <v>355</v>
      </c>
      <c r="P43343" s="5" t="s">
        <v>355</v>
      </c>
      <c r="Q43343" s="5" t="s">
        <v>355</v>
      </c>
    </row>
    <row r="43344" ht="16.5" customHeight="1">
      <c r="O43344" s="5" t="s">
        <v>355</v>
      </c>
      <c r="P43344" s="5" t="s">
        <v>355</v>
      </c>
      <c r="Q43344" s="5" t="s">
        <v>355</v>
      </c>
    </row>
    <row r="43345" ht="16.5" customHeight="1">
      <c r="O43345" s="5" t="s">
        <v>355</v>
      </c>
      <c r="P43345" s="5" t="s">
        <v>355</v>
      </c>
      <c r="Q43345" s="5" t="s">
        <v>355</v>
      </c>
    </row>
    <row r="43346" ht="16.5" customHeight="1">
      <c r="O43346" s="5" t="s">
        <v>355</v>
      </c>
      <c r="P43346" s="5" t="s">
        <v>355</v>
      </c>
      <c r="Q43346" s="5" t="s">
        <v>355</v>
      </c>
    </row>
    <row r="43347" ht="16.5" customHeight="1">
      <c r="O43347" s="5" t="s">
        <v>355</v>
      </c>
      <c r="P43347" s="5" t="s">
        <v>355</v>
      </c>
      <c r="Q43347" s="5" t="s">
        <v>355</v>
      </c>
    </row>
    <row r="43348" ht="16.5" customHeight="1">
      <c r="O43348" s="5" t="s">
        <v>355</v>
      </c>
      <c r="P43348" s="5" t="s">
        <v>355</v>
      </c>
      <c r="Q43348" s="5" t="s">
        <v>355</v>
      </c>
    </row>
    <row r="43349" ht="16.5" customHeight="1">
      <c r="O43349" s="5" t="s">
        <v>355</v>
      </c>
      <c r="P43349" s="5" t="s">
        <v>355</v>
      </c>
      <c r="Q43349" s="5" t="s">
        <v>355</v>
      </c>
    </row>
    <row r="43350" ht="16.5" customHeight="1">
      <c r="O43350" s="5" t="s">
        <v>355</v>
      </c>
      <c r="P43350" s="5" t="s">
        <v>355</v>
      </c>
      <c r="Q43350" s="5" t="s">
        <v>355</v>
      </c>
    </row>
    <row r="43351" ht="16.5" customHeight="1">
      <c r="O43351" s="5" t="s">
        <v>355</v>
      </c>
      <c r="P43351" s="5" t="s">
        <v>355</v>
      </c>
      <c r="Q43351" s="5" t="s">
        <v>355</v>
      </c>
    </row>
    <row r="43352" ht="16.5" customHeight="1">
      <c r="O43352" s="5" t="s">
        <v>355</v>
      </c>
      <c r="P43352" s="5" t="s">
        <v>355</v>
      </c>
      <c r="Q43352" s="5" t="s">
        <v>355</v>
      </c>
    </row>
    <row r="43353" ht="16.5" customHeight="1">
      <c r="O43353" s="5" t="s">
        <v>355</v>
      </c>
      <c r="P43353" s="5" t="s">
        <v>355</v>
      </c>
      <c r="Q43353" s="5" t="s">
        <v>355</v>
      </c>
    </row>
    <row r="43354" ht="16.5" customHeight="1">
      <c r="O43354" s="5" t="s">
        <v>355</v>
      </c>
      <c r="P43354" s="5" t="s">
        <v>355</v>
      </c>
      <c r="Q43354" s="5" t="s">
        <v>355</v>
      </c>
    </row>
    <row r="43355" ht="16.5" customHeight="1">
      <c r="O43355" s="5" t="s">
        <v>355</v>
      </c>
      <c r="P43355" s="5" t="s">
        <v>355</v>
      </c>
      <c r="Q43355" s="5" t="s">
        <v>355</v>
      </c>
    </row>
    <row r="43356" ht="16.5" customHeight="1">
      <c r="O43356" s="5" t="s">
        <v>355</v>
      </c>
      <c r="P43356" s="5" t="s">
        <v>355</v>
      </c>
      <c r="Q43356" s="5" t="s">
        <v>355</v>
      </c>
    </row>
    <row r="43357" ht="16.5" customHeight="1">
      <c r="O43357" s="5" t="s">
        <v>355</v>
      </c>
      <c r="P43357" s="5" t="s">
        <v>355</v>
      </c>
      <c r="Q43357" s="5" t="s">
        <v>355</v>
      </c>
    </row>
    <row r="43358" ht="16.5" customHeight="1">
      <c r="O43358" s="5" t="s">
        <v>355</v>
      </c>
      <c r="P43358" s="5" t="s">
        <v>355</v>
      </c>
      <c r="Q43358" s="5" t="s">
        <v>355</v>
      </c>
    </row>
    <row r="43359" ht="16.5" customHeight="1">
      <c r="O43359" s="5" t="s">
        <v>355</v>
      </c>
      <c r="P43359" s="5" t="s">
        <v>355</v>
      </c>
      <c r="Q43359" s="5" t="s">
        <v>355</v>
      </c>
    </row>
    <row r="43360" ht="16.5" customHeight="1">
      <c r="O43360" s="5" t="s">
        <v>355</v>
      </c>
      <c r="P43360" s="5" t="s">
        <v>355</v>
      </c>
      <c r="Q43360" s="5" t="s">
        <v>355</v>
      </c>
    </row>
    <row r="43361" ht="16.5" customHeight="1">
      <c r="O43361" s="5" t="s">
        <v>355</v>
      </c>
      <c r="P43361" s="5" t="s">
        <v>355</v>
      </c>
      <c r="Q43361" s="5" t="s">
        <v>355</v>
      </c>
    </row>
    <row r="43362" ht="16.5" customHeight="1">
      <c r="O43362" s="5" t="s">
        <v>355</v>
      </c>
      <c r="P43362" s="5" t="s">
        <v>355</v>
      </c>
      <c r="Q43362" s="5" t="s">
        <v>355</v>
      </c>
    </row>
    <row r="43363" ht="16.5" customHeight="1">
      <c r="O43363" s="5" t="s">
        <v>355</v>
      </c>
      <c r="P43363" s="5" t="s">
        <v>355</v>
      </c>
      <c r="Q43363" s="5" t="s">
        <v>355</v>
      </c>
    </row>
    <row r="43364" ht="16.5" customHeight="1">
      <c r="O43364" s="5" t="s">
        <v>355</v>
      </c>
      <c r="P43364" s="5" t="s">
        <v>355</v>
      </c>
      <c r="Q43364" s="5" t="s">
        <v>355</v>
      </c>
    </row>
    <row r="43365" ht="16.5" customHeight="1">
      <c r="O43365" s="5" t="s">
        <v>355</v>
      </c>
      <c r="P43365" s="5" t="s">
        <v>355</v>
      </c>
      <c r="Q43365" s="5" t="s">
        <v>355</v>
      </c>
    </row>
    <row r="43366" ht="16.5" customHeight="1">
      <c r="O43366" s="5" t="s">
        <v>355</v>
      </c>
      <c r="P43366" s="5" t="s">
        <v>355</v>
      </c>
      <c r="Q43366" s="5" t="s">
        <v>355</v>
      </c>
    </row>
    <row r="43367" ht="16.5" customHeight="1">
      <c r="O43367" s="5" t="s">
        <v>355</v>
      </c>
      <c r="P43367" s="5" t="s">
        <v>355</v>
      </c>
      <c r="Q43367" s="5" t="s">
        <v>355</v>
      </c>
    </row>
    <row r="43368" ht="16.5" customHeight="1">
      <c r="O43368" s="5" t="s">
        <v>355</v>
      </c>
      <c r="P43368" s="5" t="s">
        <v>355</v>
      </c>
      <c r="Q43368" s="5" t="s">
        <v>355</v>
      </c>
    </row>
    <row r="43369" ht="16.5" customHeight="1">
      <c r="O43369" s="5" t="s">
        <v>355</v>
      </c>
      <c r="P43369" s="5" t="s">
        <v>355</v>
      </c>
      <c r="Q43369" s="5" t="s">
        <v>355</v>
      </c>
    </row>
    <row r="43370" ht="16.5" customHeight="1">
      <c r="O43370" s="5" t="s">
        <v>355</v>
      </c>
      <c r="P43370" s="5" t="s">
        <v>355</v>
      </c>
      <c r="Q43370" s="5" t="s">
        <v>355</v>
      </c>
    </row>
    <row r="43371" ht="16.5" customHeight="1">
      <c r="O43371" s="5" t="s">
        <v>355</v>
      </c>
      <c r="P43371" s="5" t="s">
        <v>355</v>
      </c>
      <c r="Q43371" s="5" t="s">
        <v>355</v>
      </c>
    </row>
    <row r="43372" ht="16.5" customHeight="1">
      <c r="O43372" s="5" t="s">
        <v>355</v>
      </c>
      <c r="P43372" s="5" t="s">
        <v>355</v>
      </c>
      <c r="Q43372" s="5" t="s">
        <v>355</v>
      </c>
    </row>
    <row r="43373" ht="16.5" customHeight="1">
      <c r="O43373" s="5" t="s">
        <v>355</v>
      </c>
      <c r="P43373" s="5" t="s">
        <v>355</v>
      </c>
      <c r="Q43373" s="5" t="s">
        <v>355</v>
      </c>
    </row>
    <row r="43374" ht="16.5" customHeight="1">
      <c r="O43374" s="5" t="s">
        <v>355</v>
      </c>
      <c r="P43374" s="5" t="s">
        <v>355</v>
      </c>
      <c r="Q43374" s="5" t="s">
        <v>355</v>
      </c>
    </row>
    <row r="43375" ht="16.5" customHeight="1">
      <c r="O43375" s="5" t="s">
        <v>355</v>
      </c>
      <c r="P43375" s="5" t="s">
        <v>355</v>
      </c>
      <c r="Q43375" s="5" t="s">
        <v>355</v>
      </c>
    </row>
    <row r="43376" ht="16.5" customHeight="1">
      <c r="O43376" s="5" t="s">
        <v>355</v>
      </c>
      <c r="P43376" s="5" t="s">
        <v>355</v>
      </c>
      <c r="Q43376" s="5" t="s">
        <v>355</v>
      </c>
    </row>
    <row r="43377" ht="16.5" customHeight="1">
      <c r="O43377" s="5" t="s">
        <v>355</v>
      </c>
      <c r="P43377" s="5" t="s">
        <v>355</v>
      </c>
      <c r="Q43377" s="5" t="s">
        <v>355</v>
      </c>
    </row>
    <row r="43378" ht="16.5" customHeight="1">
      <c r="O43378" s="5" t="s">
        <v>355</v>
      </c>
      <c r="P43378" s="5" t="s">
        <v>355</v>
      </c>
      <c r="Q43378" s="5" t="s">
        <v>355</v>
      </c>
    </row>
    <row r="43379" ht="16.5" customHeight="1">
      <c r="O43379" s="5" t="s">
        <v>355</v>
      </c>
      <c r="P43379" s="5" t="s">
        <v>355</v>
      </c>
      <c r="Q43379" s="5" t="s">
        <v>355</v>
      </c>
    </row>
    <row r="43380" ht="16.5" customHeight="1">
      <c r="O43380" s="5" t="s">
        <v>355</v>
      </c>
      <c r="P43380" s="5" t="s">
        <v>355</v>
      </c>
      <c r="Q43380" s="5" t="s">
        <v>355</v>
      </c>
    </row>
    <row r="43381" ht="16.5" customHeight="1">
      <c r="O43381" s="5" t="s">
        <v>355</v>
      </c>
      <c r="P43381" s="5" t="s">
        <v>355</v>
      </c>
      <c r="Q43381" s="5" t="s">
        <v>355</v>
      </c>
    </row>
    <row r="43382" ht="16.5" customHeight="1">
      <c r="O43382" s="5" t="s">
        <v>355</v>
      </c>
      <c r="P43382" s="5" t="s">
        <v>355</v>
      </c>
      <c r="Q43382" s="5" t="s">
        <v>355</v>
      </c>
    </row>
    <row r="43383" ht="16.5" customHeight="1">
      <c r="O43383" s="5" t="s">
        <v>355</v>
      </c>
      <c r="P43383" s="5" t="s">
        <v>355</v>
      </c>
      <c r="Q43383" s="5" t="s">
        <v>355</v>
      </c>
    </row>
    <row r="43384" ht="16.5" customHeight="1">
      <c r="O43384" s="5" t="s">
        <v>355</v>
      </c>
      <c r="P43384" s="5" t="s">
        <v>355</v>
      </c>
      <c r="Q43384" s="5" t="s">
        <v>355</v>
      </c>
    </row>
    <row r="43385" ht="16.5" customHeight="1">
      <c r="O43385" s="5" t="s">
        <v>355</v>
      </c>
      <c r="P43385" s="5" t="s">
        <v>355</v>
      </c>
      <c r="Q43385" s="5" t="s">
        <v>355</v>
      </c>
    </row>
    <row r="43386" ht="16.5" customHeight="1">
      <c r="O43386" s="5" t="s">
        <v>355</v>
      </c>
      <c r="P43386" s="5" t="s">
        <v>355</v>
      </c>
      <c r="Q43386" s="5" t="s">
        <v>355</v>
      </c>
    </row>
    <row r="43387" ht="16.5" customHeight="1">
      <c r="O43387" s="5" t="s">
        <v>355</v>
      </c>
      <c r="P43387" s="5" t="s">
        <v>355</v>
      </c>
      <c r="Q43387" s="5" t="s">
        <v>355</v>
      </c>
    </row>
    <row r="43388" ht="16.5" customHeight="1">
      <c r="O43388" s="5" t="s">
        <v>355</v>
      </c>
      <c r="P43388" s="5" t="s">
        <v>355</v>
      </c>
      <c r="Q43388" s="5" t="s">
        <v>355</v>
      </c>
    </row>
    <row r="43389" ht="16.5" customHeight="1">
      <c r="O43389" s="5" t="s">
        <v>355</v>
      </c>
      <c r="P43389" s="5" t="s">
        <v>355</v>
      </c>
      <c r="Q43389" s="5" t="s">
        <v>355</v>
      </c>
    </row>
    <row r="43390" ht="16.5" customHeight="1">
      <c r="O43390" s="5" t="s">
        <v>355</v>
      </c>
      <c r="P43390" s="5" t="s">
        <v>355</v>
      </c>
      <c r="Q43390" s="5" t="s">
        <v>355</v>
      </c>
    </row>
    <row r="43391" ht="16.5" customHeight="1">
      <c r="O43391" s="5" t="s">
        <v>355</v>
      </c>
      <c r="P43391" s="5" t="s">
        <v>355</v>
      </c>
      <c r="Q43391" s="5" t="s">
        <v>355</v>
      </c>
    </row>
    <row r="43392" ht="16.5" customHeight="1">
      <c r="O43392" s="5" t="s">
        <v>355</v>
      </c>
      <c r="P43392" s="5" t="s">
        <v>355</v>
      </c>
      <c r="Q43392" s="5" t="s">
        <v>355</v>
      </c>
    </row>
    <row r="43393" ht="16.5" customHeight="1">
      <c r="O43393" s="5" t="s">
        <v>355</v>
      </c>
      <c r="P43393" s="5" t="s">
        <v>355</v>
      </c>
      <c r="Q43393" s="5" t="s">
        <v>355</v>
      </c>
    </row>
    <row r="43394" ht="16.5" customHeight="1">
      <c r="O43394" s="5" t="s">
        <v>355</v>
      </c>
      <c r="P43394" s="5" t="s">
        <v>355</v>
      </c>
      <c r="Q43394" s="5" t="s">
        <v>355</v>
      </c>
    </row>
    <row r="43395" ht="16.5" customHeight="1">
      <c r="O43395" s="5" t="s">
        <v>355</v>
      </c>
      <c r="P43395" s="5" t="s">
        <v>355</v>
      </c>
      <c r="Q43395" s="5" t="s">
        <v>355</v>
      </c>
    </row>
    <row r="43396" ht="16.5" customHeight="1">
      <c r="O43396" s="5" t="s">
        <v>355</v>
      </c>
      <c r="P43396" s="5" t="s">
        <v>355</v>
      </c>
      <c r="Q43396" s="5" t="s">
        <v>355</v>
      </c>
    </row>
    <row r="43397" ht="16.5" customHeight="1">
      <c r="O43397" s="5" t="s">
        <v>355</v>
      </c>
      <c r="P43397" s="5" t="s">
        <v>355</v>
      </c>
      <c r="Q43397" s="5" t="s">
        <v>355</v>
      </c>
    </row>
    <row r="43398" ht="16.5" customHeight="1">
      <c r="O43398" s="5" t="s">
        <v>355</v>
      </c>
      <c r="P43398" s="5" t="s">
        <v>355</v>
      </c>
      <c r="Q43398" s="5" t="s">
        <v>355</v>
      </c>
    </row>
    <row r="43399" ht="16.5" customHeight="1">
      <c r="O43399" s="5" t="s">
        <v>355</v>
      </c>
      <c r="P43399" s="5" t="s">
        <v>355</v>
      </c>
      <c r="Q43399" s="5" t="s">
        <v>355</v>
      </c>
    </row>
    <row r="43400" ht="16.5" customHeight="1">
      <c r="O43400" s="5" t="s">
        <v>355</v>
      </c>
      <c r="P43400" s="5" t="s">
        <v>355</v>
      </c>
      <c r="Q43400" s="5" t="s">
        <v>355</v>
      </c>
    </row>
    <row r="43401" ht="16.5" customHeight="1">
      <c r="O43401" s="5" t="s">
        <v>355</v>
      </c>
      <c r="P43401" s="5" t="s">
        <v>355</v>
      </c>
      <c r="Q43401" s="5" t="s">
        <v>355</v>
      </c>
    </row>
    <row r="43402" ht="16.5" customHeight="1">
      <c r="O43402" s="5" t="s">
        <v>355</v>
      </c>
      <c r="P43402" s="5" t="s">
        <v>355</v>
      </c>
      <c r="Q43402" s="5" t="s">
        <v>355</v>
      </c>
    </row>
    <row r="43403" ht="16.5" customHeight="1">
      <c r="O43403" s="5" t="s">
        <v>355</v>
      </c>
      <c r="P43403" s="5" t="s">
        <v>355</v>
      </c>
      <c r="Q43403" s="5" t="s">
        <v>355</v>
      </c>
    </row>
    <row r="43404" ht="16.5" customHeight="1">
      <c r="O43404" s="5" t="s">
        <v>355</v>
      </c>
      <c r="P43404" s="5" t="s">
        <v>355</v>
      </c>
      <c r="Q43404" s="5" t="s">
        <v>355</v>
      </c>
    </row>
    <row r="43405" ht="16.5" customHeight="1">
      <c r="O43405" s="5" t="s">
        <v>355</v>
      </c>
      <c r="P43405" s="5" t="s">
        <v>355</v>
      </c>
      <c r="Q43405" s="5" t="s">
        <v>355</v>
      </c>
    </row>
    <row r="43406" ht="16.5" customHeight="1">
      <c r="O43406" s="5" t="s">
        <v>355</v>
      </c>
      <c r="P43406" s="5" t="s">
        <v>355</v>
      </c>
      <c r="Q43406" s="5" t="s">
        <v>355</v>
      </c>
    </row>
    <row r="43407" ht="16.5" customHeight="1">
      <c r="O43407" s="5" t="s">
        <v>355</v>
      </c>
      <c r="P43407" s="5" t="s">
        <v>355</v>
      </c>
      <c r="Q43407" s="5" t="s">
        <v>355</v>
      </c>
    </row>
    <row r="43408" ht="16.5" customHeight="1">
      <c r="O43408" s="5" t="s">
        <v>355</v>
      </c>
      <c r="P43408" s="5" t="s">
        <v>355</v>
      </c>
      <c r="Q43408" s="5" t="s">
        <v>355</v>
      </c>
    </row>
    <row r="43409" ht="16.5" customHeight="1">
      <c r="O43409" s="5" t="s">
        <v>355</v>
      </c>
      <c r="P43409" s="5" t="s">
        <v>355</v>
      </c>
      <c r="Q43409" s="5" t="s">
        <v>355</v>
      </c>
    </row>
    <row r="43410" ht="16.5" customHeight="1">
      <c r="O43410" s="5" t="s">
        <v>355</v>
      </c>
      <c r="P43410" s="5" t="s">
        <v>355</v>
      </c>
      <c r="Q43410" s="5" t="s">
        <v>355</v>
      </c>
    </row>
    <row r="43411" ht="16.5" customHeight="1">
      <c r="O43411" s="5" t="s">
        <v>355</v>
      </c>
      <c r="P43411" s="5" t="s">
        <v>355</v>
      </c>
      <c r="Q43411" s="5" t="s">
        <v>355</v>
      </c>
    </row>
    <row r="43412" ht="16.5" customHeight="1">
      <c r="O43412" s="5" t="s">
        <v>355</v>
      </c>
      <c r="P43412" s="5" t="s">
        <v>355</v>
      </c>
      <c r="Q43412" s="5" t="s">
        <v>355</v>
      </c>
    </row>
    <row r="43413" ht="16.5" customHeight="1">
      <c r="O43413" s="5" t="s">
        <v>355</v>
      </c>
      <c r="P43413" s="5" t="s">
        <v>355</v>
      </c>
      <c r="Q43413" s="5" t="s">
        <v>355</v>
      </c>
    </row>
    <row r="43414" ht="16.5" customHeight="1">
      <c r="O43414" s="5" t="s">
        <v>355</v>
      </c>
      <c r="P43414" s="5" t="s">
        <v>355</v>
      </c>
      <c r="Q43414" s="5" t="s">
        <v>355</v>
      </c>
    </row>
    <row r="43415" ht="16.5" customHeight="1">
      <c r="O43415" s="5" t="s">
        <v>355</v>
      </c>
      <c r="P43415" s="5" t="s">
        <v>355</v>
      </c>
      <c r="Q43415" s="5" t="s">
        <v>355</v>
      </c>
    </row>
    <row r="43416" ht="16.5" customHeight="1">
      <c r="O43416" s="5" t="s">
        <v>355</v>
      </c>
      <c r="P43416" s="5" t="s">
        <v>355</v>
      </c>
      <c r="Q43416" s="5" t="s">
        <v>355</v>
      </c>
    </row>
    <row r="43417" ht="16.5" customHeight="1">
      <c r="O43417" s="5" t="s">
        <v>355</v>
      </c>
      <c r="P43417" s="5" t="s">
        <v>355</v>
      </c>
      <c r="Q43417" s="5" t="s">
        <v>355</v>
      </c>
    </row>
    <row r="43418" ht="16.5" customHeight="1">
      <c r="O43418" s="5" t="s">
        <v>355</v>
      </c>
      <c r="P43418" s="5" t="s">
        <v>355</v>
      </c>
      <c r="Q43418" s="5" t="s">
        <v>355</v>
      </c>
    </row>
    <row r="43419" ht="16.5" customHeight="1">
      <c r="O43419" s="5" t="s">
        <v>355</v>
      </c>
      <c r="P43419" s="5" t="s">
        <v>355</v>
      </c>
      <c r="Q43419" s="5" t="s">
        <v>355</v>
      </c>
    </row>
    <row r="43420" ht="16.5" customHeight="1">
      <c r="O43420" s="5" t="s">
        <v>355</v>
      </c>
      <c r="P43420" s="5" t="s">
        <v>355</v>
      </c>
      <c r="Q43420" s="5" t="s">
        <v>355</v>
      </c>
    </row>
    <row r="43421" ht="16.5" customHeight="1">
      <c r="O43421" s="5" t="s">
        <v>355</v>
      </c>
      <c r="P43421" s="5" t="s">
        <v>355</v>
      </c>
      <c r="Q43421" s="5" t="s">
        <v>355</v>
      </c>
    </row>
    <row r="43422" ht="16.5" customHeight="1">
      <c r="O43422" s="5" t="s">
        <v>355</v>
      </c>
      <c r="P43422" s="5" t="s">
        <v>355</v>
      </c>
      <c r="Q43422" s="5" t="s">
        <v>355</v>
      </c>
    </row>
    <row r="43423" ht="16.5" customHeight="1">
      <c r="O43423" s="5" t="s">
        <v>355</v>
      </c>
      <c r="P43423" s="5" t="s">
        <v>355</v>
      </c>
      <c r="Q43423" s="5" t="s">
        <v>355</v>
      </c>
    </row>
    <row r="43424" ht="16.5" customHeight="1">
      <c r="O43424" s="5" t="s">
        <v>355</v>
      </c>
      <c r="P43424" s="5" t="s">
        <v>355</v>
      </c>
      <c r="Q43424" s="5" t="s">
        <v>355</v>
      </c>
    </row>
    <row r="43425" ht="16.5" customHeight="1">
      <c r="O43425" s="5" t="s">
        <v>355</v>
      </c>
      <c r="P43425" s="5" t="s">
        <v>355</v>
      </c>
      <c r="Q43425" s="5" t="s">
        <v>355</v>
      </c>
    </row>
    <row r="43426" ht="16.5" customHeight="1">
      <c r="O43426" s="5" t="s">
        <v>355</v>
      </c>
      <c r="P43426" s="5" t="s">
        <v>355</v>
      </c>
      <c r="Q43426" s="5" t="s">
        <v>355</v>
      </c>
    </row>
    <row r="43427" ht="16.5" customHeight="1">
      <c r="O43427" s="5" t="s">
        <v>355</v>
      </c>
      <c r="P43427" s="5" t="s">
        <v>355</v>
      </c>
      <c r="Q43427" s="5" t="s">
        <v>355</v>
      </c>
    </row>
    <row r="43428" ht="16.5" customHeight="1">
      <c r="O43428" s="5" t="s">
        <v>355</v>
      </c>
      <c r="P43428" s="5" t="s">
        <v>355</v>
      </c>
      <c r="Q43428" s="5" t="s">
        <v>355</v>
      </c>
    </row>
    <row r="43429" ht="16.5" customHeight="1">
      <c r="O43429" s="5" t="s">
        <v>355</v>
      </c>
      <c r="P43429" s="5" t="s">
        <v>355</v>
      </c>
      <c r="Q43429" s="5" t="s">
        <v>355</v>
      </c>
    </row>
    <row r="43430" ht="16.5" customHeight="1">
      <c r="O43430" s="5" t="s">
        <v>355</v>
      </c>
      <c r="P43430" s="5" t="s">
        <v>355</v>
      </c>
      <c r="Q43430" s="5" t="s">
        <v>355</v>
      </c>
    </row>
    <row r="43431" ht="16.5" customHeight="1">
      <c r="O43431" s="5" t="s">
        <v>355</v>
      </c>
      <c r="P43431" s="5" t="s">
        <v>355</v>
      </c>
      <c r="Q43431" s="5" t="s">
        <v>355</v>
      </c>
    </row>
    <row r="43432" ht="16.5" customHeight="1">
      <c r="O43432" s="5" t="s">
        <v>355</v>
      </c>
      <c r="P43432" s="5" t="s">
        <v>355</v>
      </c>
      <c r="Q43432" s="5" t="s">
        <v>355</v>
      </c>
    </row>
    <row r="43433" ht="16.5" customHeight="1">
      <c r="O43433" s="5" t="s">
        <v>355</v>
      </c>
      <c r="P43433" s="5" t="s">
        <v>355</v>
      </c>
      <c r="Q43433" s="5" t="s">
        <v>355</v>
      </c>
    </row>
    <row r="43434" ht="16.5" customHeight="1">
      <c r="O43434" s="5" t="s">
        <v>355</v>
      </c>
      <c r="P43434" s="5" t="s">
        <v>355</v>
      </c>
      <c r="Q43434" s="5" t="s">
        <v>355</v>
      </c>
    </row>
    <row r="43435" ht="16.5" customHeight="1">
      <c r="O43435" s="5" t="s">
        <v>355</v>
      </c>
      <c r="P43435" s="5" t="s">
        <v>355</v>
      </c>
      <c r="Q43435" s="5" t="s">
        <v>355</v>
      </c>
    </row>
    <row r="43436" ht="16.5" customHeight="1">
      <c r="O43436" s="5" t="s">
        <v>355</v>
      </c>
      <c r="P43436" s="5" t="s">
        <v>355</v>
      </c>
      <c r="Q43436" s="5" t="s">
        <v>355</v>
      </c>
    </row>
    <row r="43437" ht="16.5" customHeight="1">
      <c r="O43437" s="5" t="s">
        <v>355</v>
      </c>
      <c r="P43437" s="5" t="s">
        <v>355</v>
      </c>
      <c r="Q43437" s="5" t="s">
        <v>355</v>
      </c>
    </row>
    <row r="43438" ht="16.5" customHeight="1">
      <c r="O43438" s="5" t="s">
        <v>355</v>
      </c>
      <c r="P43438" s="5" t="s">
        <v>355</v>
      </c>
      <c r="Q43438" s="5" t="s">
        <v>355</v>
      </c>
    </row>
    <row r="43439" ht="16.5" customHeight="1">
      <c r="O43439" s="5" t="s">
        <v>355</v>
      </c>
      <c r="P43439" s="5" t="s">
        <v>355</v>
      </c>
      <c r="Q43439" s="5" t="s">
        <v>355</v>
      </c>
    </row>
    <row r="43440" ht="16.5" customHeight="1">
      <c r="O43440" s="5" t="s">
        <v>355</v>
      </c>
      <c r="P43440" s="5" t="s">
        <v>355</v>
      </c>
      <c r="Q43440" s="5" t="s">
        <v>355</v>
      </c>
    </row>
    <row r="43441" ht="16.5" customHeight="1">
      <c r="O43441" s="5" t="s">
        <v>355</v>
      </c>
      <c r="P43441" s="5" t="s">
        <v>355</v>
      </c>
      <c r="Q43441" s="5" t="s">
        <v>355</v>
      </c>
    </row>
    <row r="43442" ht="16.5" customHeight="1">
      <c r="O43442" s="5" t="s">
        <v>355</v>
      </c>
      <c r="P43442" s="5" t="s">
        <v>355</v>
      </c>
      <c r="Q43442" s="5" t="s">
        <v>355</v>
      </c>
    </row>
    <row r="43443" ht="16.5" customHeight="1">
      <c r="O43443" s="5" t="s">
        <v>355</v>
      </c>
      <c r="P43443" s="5" t="s">
        <v>355</v>
      </c>
      <c r="Q43443" s="5" t="s">
        <v>355</v>
      </c>
    </row>
    <row r="43444" ht="16.5" customHeight="1">
      <c r="O43444" s="5" t="s">
        <v>355</v>
      </c>
      <c r="P43444" s="5" t="s">
        <v>355</v>
      </c>
      <c r="Q43444" s="5" t="s">
        <v>355</v>
      </c>
    </row>
    <row r="43445" ht="16.5" customHeight="1">
      <c r="O43445" s="5" t="s">
        <v>355</v>
      </c>
      <c r="P43445" s="5" t="s">
        <v>355</v>
      </c>
      <c r="Q43445" s="5" t="s">
        <v>355</v>
      </c>
    </row>
    <row r="43446" ht="16.5" customHeight="1">
      <c r="O43446" s="5" t="s">
        <v>355</v>
      </c>
      <c r="P43446" s="5" t="s">
        <v>355</v>
      </c>
      <c r="Q43446" s="5" t="s">
        <v>355</v>
      </c>
    </row>
    <row r="43447" ht="16.5" customHeight="1">
      <c r="O43447" s="5" t="s">
        <v>355</v>
      </c>
      <c r="P43447" s="5" t="s">
        <v>355</v>
      </c>
      <c r="Q43447" s="5" t="s">
        <v>355</v>
      </c>
    </row>
    <row r="43448" ht="16.5" customHeight="1">
      <c r="O43448" s="5" t="s">
        <v>355</v>
      </c>
      <c r="P43448" s="5" t="s">
        <v>355</v>
      </c>
      <c r="Q43448" s="5" t="s">
        <v>355</v>
      </c>
    </row>
    <row r="43449" ht="16.5" customHeight="1">
      <c r="O43449" s="5" t="s">
        <v>355</v>
      </c>
      <c r="P43449" s="5" t="s">
        <v>355</v>
      </c>
      <c r="Q43449" s="5" t="s">
        <v>355</v>
      </c>
    </row>
    <row r="43450" ht="16.5" customHeight="1">
      <c r="O43450" s="5" t="s">
        <v>355</v>
      </c>
      <c r="P43450" s="5" t="s">
        <v>355</v>
      </c>
      <c r="Q43450" s="5" t="s">
        <v>355</v>
      </c>
    </row>
    <row r="43451" ht="16.5" customHeight="1">
      <c r="O43451" s="5" t="s">
        <v>355</v>
      </c>
      <c r="P43451" s="5" t="s">
        <v>355</v>
      </c>
      <c r="Q43451" s="5" t="s">
        <v>355</v>
      </c>
    </row>
    <row r="43452" ht="16.5" customHeight="1">
      <c r="O43452" s="5" t="s">
        <v>355</v>
      </c>
      <c r="P43452" s="5" t="s">
        <v>355</v>
      </c>
      <c r="Q43452" s="5" t="s">
        <v>355</v>
      </c>
    </row>
    <row r="43453" ht="16.5" customHeight="1">
      <c r="O43453" s="5" t="s">
        <v>355</v>
      </c>
      <c r="P43453" s="5" t="s">
        <v>355</v>
      </c>
      <c r="Q43453" s="5" t="s">
        <v>355</v>
      </c>
    </row>
    <row r="43454" ht="16.5" customHeight="1">
      <c r="O43454" s="5" t="s">
        <v>355</v>
      </c>
      <c r="P43454" s="5" t="s">
        <v>355</v>
      </c>
      <c r="Q43454" s="5" t="s">
        <v>355</v>
      </c>
    </row>
    <row r="43455" ht="16.5" customHeight="1">
      <c r="O43455" s="5" t="s">
        <v>355</v>
      </c>
      <c r="P43455" s="5" t="s">
        <v>355</v>
      </c>
      <c r="Q43455" s="5" t="s">
        <v>355</v>
      </c>
    </row>
    <row r="43456" ht="16.5" customHeight="1">
      <c r="O43456" s="5" t="s">
        <v>355</v>
      </c>
      <c r="P43456" s="5" t="s">
        <v>355</v>
      </c>
      <c r="Q43456" s="5" t="s">
        <v>355</v>
      </c>
    </row>
    <row r="43457" ht="16.5" customHeight="1">
      <c r="O43457" s="5" t="s">
        <v>355</v>
      </c>
      <c r="P43457" s="5" t="s">
        <v>355</v>
      </c>
      <c r="Q43457" s="5" t="s">
        <v>355</v>
      </c>
    </row>
    <row r="43458" ht="16.5" customHeight="1">
      <c r="O43458" s="5" t="s">
        <v>355</v>
      </c>
      <c r="P43458" s="5" t="s">
        <v>355</v>
      </c>
      <c r="Q43458" s="5" t="s">
        <v>355</v>
      </c>
    </row>
    <row r="43459" ht="16.5" customHeight="1">
      <c r="O43459" s="5" t="s">
        <v>355</v>
      </c>
      <c r="P43459" s="5" t="s">
        <v>355</v>
      </c>
      <c r="Q43459" s="5" t="s">
        <v>355</v>
      </c>
    </row>
    <row r="43460" ht="16.5" customHeight="1">
      <c r="O43460" s="5" t="s">
        <v>355</v>
      </c>
      <c r="P43460" s="5" t="s">
        <v>355</v>
      </c>
      <c r="Q43460" s="5" t="s">
        <v>355</v>
      </c>
    </row>
    <row r="43461" ht="16.5" customHeight="1">
      <c r="O43461" s="5" t="s">
        <v>355</v>
      </c>
      <c r="P43461" s="5" t="s">
        <v>355</v>
      </c>
      <c r="Q43461" s="5" t="s">
        <v>355</v>
      </c>
    </row>
    <row r="43462" ht="16.5" customHeight="1">
      <c r="O43462" s="5" t="s">
        <v>355</v>
      </c>
      <c r="P43462" s="5" t="s">
        <v>355</v>
      </c>
      <c r="Q43462" s="5" t="s">
        <v>355</v>
      </c>
    </row>
    <row r="43463" ht="16.5" customHeight="1">
      <c r="O43463" s="5" t="s">
        <v>355</v>
      </c>
      <c r="P43463" s="5" t="s">
        <v>355</v>
      </c>
      <c r="Q43463" s="5" t="s">
        <v>355</v>
      </c>
    </row>
    <row r="43464" ht="16.5" customHeight="1">
      <c r="O43464" s="5" t="s">
        <v>355</v>
      </c>
      <c r="P43464" s="5" t="s">
        <v>355</v>
      </c>
      <c r="Q43464" s="5" t="s">
        <v>355</v>
      </c>
    </row>
    <row r="43465" ht="16.5" customHeight="1">
      <c r="O43465" s="5" t="s">
        <v>355</v>
      </c>
      <c r="P43465" s="5" t="s">
        <v>355</v>
      </c>
      <c r="Q43465" s="5" t="s">
        <v>355</v>
      </c>
    </row>
    <row r="43466" ht="16.5" customHeight="1">
      <c r="O43466" s="5" t="s">
        <v>355</v>
      </c>
      <c r="P43466" s="5" t="s">
        <v>355</v>
      </c>
      <c r="Q43466" s="5" t="s">
        <v>355</v>
      </c>
    </row>
    <row r="43467" ht="16.5" customHeight="1">
      <c r="O43467" s="5" t="s">
        <v>355</v>
      </c>
      <c r="P43467" s="5" t="s">
        <v>355</v>
      </c>
      <c r="Q43467" s="5" t="s">
        <v>355</v>
      </c>
    </row>
    <row r="43468" ht="16.5" customHeight="1">
      <c r="O43468" s="5" t="s">
        <v>355</v>
      </c>
      <c r="P43468" s="5" t="s">
        <v>355</v>
      </c>
      <c r="Q43468" s="5" t="s">
        <v>355</v>
      </c>
    </row>
    <row r="43469" ht="16.5" customHeight="1">
      <c r="O43469" s="5" t="s">
        <v>355</v>
      </c>
      <c r="P43469" s="5" t="s">
        <v>355</v>
      </c>
      <c r="Q43469" s="5" t="s">
        <v>355</v>
      </c>
    </row>
    <row r="43470" ht="16.5" customHeight="1">
      <c r="O43470" s="5" t="s">
        <v>355</v>
      </c>
      <c r="P43470" s="5" t="s">
        <v>355</v>
      </c>
      <c r="Q43470" s="5" t="s">
        <v>355</v>
      </c>
    </row>
    <row r="43471" ht="16.5" customHeight="1">
      <c r="O43471" s="5" t="s">
        <v>355</v>
      </c>
      <c r="P43471" s="5" t="s">
        <v>355</v>
      </c>
      <c r="Q43471" s="5" t="s">
        <v>355</v>
      </c>
    </row>
    <row r="43472" ht="16.5" customHeight="1">
      <c r="O43472" s="5" t="s">
        <v>355</v>
      </c>
      <c r="P43472" s="5" t="s">
        <v>355</v>
      </c>
      <c r="Q43472" s="5" t="s">
        <v>355</v>
      </c>
    </row>
    <row r="43473" ht="16.5" customHeight="1">
      <c r="O43473" s="5" t="s">
        <v>355</v>
      </c>
      <c r="P43473" s="5" t="s">
        <v>355</v>
      </c>
      <c r="Q43473" s="5" t="s">
        <v>355</v>
      </c>
    </row>
    <row r="43474" ht="16.5" customHeight="1">
      <c r="O43474" s="5" t="s">
        <v>355</v>
      </c>
      <c r="P43474" s="5" t="s">
        <v>355</v>
      </c>
      <c r="Q43474" s="5" t="s">
        <v>355</v>
      </c>
    </row>
    <row r="43475" ht="16.5" customHeight="1">
      <c r="O43475" s="5" t="s">
        <v>355</v>
      </c>
      <c r="P43475" s="5" t="s">
        <v>355</v>
      </c>
      <c r="Q43475" s="5" t="s">
        <v>355</v>
      </c>
    </row>
    <row r="43476" ht="16.5" customHeight="1">
      <c r="O43476" s="5" t="s">
        <v>355</v>
      </c>
      <c r="P43476" s="5" t="s">
        <v>355</v>
      </c>
      <c r="Q43476" s="5" t="s">
        <v>355</v>
      </c>
    </row>
    <row r="43477" ht="16.5" customHeight="1">
      <c r="O43477" s="5" t="s">
        <v>355</v>
      </c>
      <c r="P43477" s="5" t="s">
        <v>355</v>
      </c>
      <c r="Q43477" s="5" t="s">
        <v>355</v>
      </c>
    </row>
    <row r="43478" ht="16.5" customHeight="1">
      <c r="O43478" s="5" t="s">
        <v>355</v>
      </c>
      <c r="P43478" s="5" t="s">
        <v>355</v>
      </c>
      <c r="Q43478" s="5" t="s">
        <v>355</v>
      </c>
    </row>
    <row r="43479" ht="16.5" customHeight="1">
      <c r="O43479" s="5" t="s">
        <v>355</v>
      </c>
      <c r="P43479" s="5" t="s">
        <v>355</v>
      </c>
      <c r="Q43479" s="5" t="s">
        <v>355</v>
      </c>
    </row>
    <row r="43480" ht="16.5" customHeight="1">
      <c r="O43480" s="5" t="s">
        <v>355</v>
      </c>
      <c r="P43480" s="5" t="s">
        <v>355</v>
      </c>
      <c r="Q43480" s="5" t="s">
        <v>355</v>
      </c>
    </row>
    <row r="43481" ht="16.5" customHeight="1">
      <c r="O43481" s="5" t="s">
        <v>355</v>
      </c>
      <c r="P43481" s="5" t="s">
        <v>355</v>
      </c>
      <c r="Q43481" s="5" t="s">
        <v>355</v>
      </c>
    </row>
    <row r="43482" ht="16.5" customHeight="1">
      <c r="O43482" s="5" t="s">
        <v>355</v>
      </c>
      <c r="P43482" s="5" t="s">
        <v>355</v>
      </c>
      <c r="Q43482" s="5" t="s">
        <v>355</v>
      </c>
    </row>
    <row r="43483" ht="16.5" customHeight="1">
      <c r="O43483" s="5" t="s">
        <v>355</v>
      </c>
      <c r="P43483" s="5" t="s">
        <v>355</v>
      </c>
      <c r="Q43483" s="5" t="s">
        <v>355</v>
      </c>
    </row>
    <row r="43484" ht="16.5" customHeight="1">
      <c r="O43484" s="5" t="s">
        <v>355</v>
      </c>
      <c r="P43484" s="5" t="s">
        <v>355</v>
      </c>
      <c r="Q43484" s="5" t="s">
        <v>355</v>
      </c>
    </row>
    <row r="43485" ht="16.5" customHeight="1">
      <c r="O43485" s="5" t="s">
        <v>355</v>
      </c>
      <c r="P43485" s="5" t="s">
        <v>355</v>
      </c>
      <c r="Q43485" s="5" t="s">
        <v>355</v>
      </c>
    </row>
    <row r="43486" ht="16.5" customHeight="1">
      <c r="O43486" s="5" t="s">
        <v>355</v>
      </c>
      <c r="P43486" s="5" t="s">
        <v>355</v>
      </c>
      <c r="Q43486" s="5" t="s">
        <v>355</v>
      </c>
    </row>
    <row r="43487" ht="16.5" customHeight="1">
      <c r="O43487" s="5" t="s">
        <v>355</v>
      </c>
      <c r="P43487" s="5" t="s">
        <v>355</v>
      </c>
      <c r="Q43487" s="5" t="s">
        <v>355</v>
      </c>
    </row>
    <row r="43488" ht="16.5" customHeight="1">
      <c r="O43488" s="5" t="s">
        <v>355</v>
      </c>
      <c r="P43488" s="5" t="s">
        <v>355</v>
      </c>
      <c r="Q43488" s="5" t="s">
        <v>355</v>
      </c>
    </row>
    <row r="43489" ht="16.5" customHeight="1">
      <c r="O43489" s="5" t="s">
        <v>355</v>
      </c>
      <c r="P43489" s="5" t="s">
        <v>355</v>
      </c>
      <c r="Q43489" s="5" t="s">
        <v>355</v>
      </c>
    </row>
    <row r="43490" ht="16.5" customHeight="1">
      <c r="O43490" s="5" t="s">
        <v>355</v>
      </c>
      <c r="P43490" s="5" t="s">
        <v>355</v>
      </c>
      <c r="Q43490" s="5" t="s">
        <v>355</v>
      </c>
    </row>
    <row r="43491" ht="16.5" customHeight="1">
      <c r="O43491" s="5" t="s">
        <v>355</v>
      </c>
      <c r="P43491" s="5" t="s">
        <v>355</v>
      </c>
      <c r="Q43491" s="5" t="s">
        <v>355</v>
      </c>
    </row>
    <row r="43492" ht="16.5" customHeight="1">
      <c r="O43492" s="5" t="s">
        <v>355</v>
      </c>
      <c r="P43492" s="5" t="s">
        <v>355</v>
      </c>
      <c r="Q43492" s="5" t="s">
        <v>355</v>
      </c>
    </row>
    <row r="43493" ht="16.5" customHeight="1">
      <c r="O43493" s="5" t="s">
        <v>355</v>
      </c>
      <c r="P43493" s="5" t="s">
        <v>355</v>
      </c>
      <c r="Q43493" s="5" t="s">
        <v>355</v>
      </c>
    </row>
    <row r="43494" ht="16.5" customHeight="1">
      <c r="O43494" s="5" t="s">
        <v>355</v>
      </c>
      <c r="P43494" s="5" t="s">
        <v>355</v>
      </c>
      <c r="Q43494" s="5" t="s">
        <v>355</v>
      </c>
    </row>
    <row r="43495" ht="16.5" customHeight="1">
      <c r="O43495" s="5" t="s">
        <v>355</v>
      </c>
      <c r="P43495" s="5" t="s">
        <v>355</v>
      </c>
      <c r="Q43495" s="5" t="s">
        <v>355</v>
      </c>
    </row>
    <row r="43496" ht="16.5" customHeight="1">
      <c r="O43496" s="5" t="s">
        <v>355</v>
      </c>
      <c r="P43496" s="5" t="s">
        <v>355</v>
      </c>
      <c r="Q43496" s="5" t="s">
        <v>355</v>
      </c>
    </row>
    <row r="43497" ht="16.5" customHeight="1">
      <c r="O43497" s="5" t="s">
        <v>355</v>
      </c>
      <c r="P43497" s="5" t="s">
        <v>355</v>
      </c>
      <c r="Q43497" s="5" t="s">
        <v>355</v>
      </c>
    </row>
    <row r="43498" ht="16.5" customHeight="1">
      <c r="O43498" s="5" t="s">
        <v>355</v>
      </c>
      <c r="P43498" s="5" t="s">
        <v>355</v>
      </c>
      <c r="Q43498" s="5" t="s">
        <v>355</v>
      </c>
    </row>
    <row r="43499" ht="16.5" customHeight="1">
      <c r="O43499" s="5" t="s">
        <v>355</v>
      </c>
      <c r="P43499" s="5" t="s">
        <v>355</v>
      </c>
      <c r="Q43499" s="5" t="s">
        <v>355</v>
      </c>
    </row>
    <row r="43500" ht="16.5" customHeight="1">
      <c r="O43500" s="5" t="s">
        <v>355</v>
      </c>
      <c r="P43500" s="5" t="s">
        <v>355</v>
      </c>
      <c r="Q43500" s="5" t="s">
        <v>355</v>
      </c>
    </row>
    <row r="43501" ht="16.5" customHeight="1">
      <c r="O43501" s="5" t="s">
        <v>355</v>
      </c>
      <c r="P43501" s="5" t="s">
        <v>355</v>
      </c>
      <c r="Q43501" s="5" t="s">
        <v>355</v>
      </c>
    </row>
    <row r="43502" ht="16.5" customHeight="1">
      <c r="O43502" s="5" t="s">
        <v>355</v>
      </c>
      <c r="P43502" s="5" t="s">
        <v>355</v>
      </c>
      <c r="Q43502" s="5" t="s">
        <v>355</v>
      </c>
    </row>
    <row r="43503" ht="16.5" customHeight="1">
      <c r="O43503" s="5" t="s">
        <v>355</v>
      </c>
      <c r="P43503" s="5" t="s">
        <v>355</v>
      </c>
      <c r="Q43503" s="5" t="s">
        <v>355</v>
      </c>
    </row>
    <row r="43504" ht="16.5" customHeight="1">
      <c r="O43504" s="5" t="s">
        <v>355</v>
      </c>
      <c r="P43504" s="5" t="s">
        <v>355</v>
      </c>
      <c r="Q43504" s="5" t="s">
        <v>355</v>
      </c>
    </row>
    <row r="43505" ht="16.5" customHeight="1">
      <c r="O43505" s="5" t="s">
        <v>355</v>
      </c>
      <c r="P43505" s="5" t="s">
        <v>355</v>
      </c>
      <c r="Q43505" s="5" t="s">
        <v>355</v>
      </c>
    </row>
    <row r="43506" ht="16.5" customHeight="1">
      <c r="O43506" s="5" t="s">
        <v>355</v>
      </c>
      <c r="P43506" s="5" t="s">
        <v>355</v>
      </c>
      <c r="Q43506" s="5" t="s">
        <v>355</v>
      </c>
    </row>
    <row r="43507" ht="16.5" customHeight="1">
      <c r="O43507" s="5" t="s">
        <v>355</v>
      </c>
      <c r="P43507" s="5" t="s">
        <v>355</v>
      </c>
      <c r="Q43507" s="5" t="s">
        <v>355</v>
      </c>
    </row>
    <row r="43508" ht="16.5" customHeight="1">
      <c r="O43508" s="5" t="s">
        <v>355</v>
      </c>
      <c r="P43508" s="5" t="s">
        <v>355</v>
      </c>
      <c r="Q43508" s="5" t="s">
        <v>355</v>
      </c>
    </row>
    <row r="43509" ht="16.5" customHeight="1">
      <c r="O43509" s="5" t="s">
        <v>355</v>
      </c>
      <c r="P43509" s="5" t="s">
        <v>355</v>
      </c>
      <c r="Q43509" s="5" t="s">
        <v>355</v>
      </c>
    </row>
    <row r="43510" ht="16.5" customHeight="1">
      <c r="O43510" s="5" t="s">
        <v>355</v>
      </c>
      <c r="P43510" s="5" t="s">
        <v>355</v>
      </c>
      <c r="Q43510" s="5" t="s">
        <v>355</v>
      </c>
    </row>
    <row r="43511" ht="16.5" customHeight="1">
      <c r="O43511" s="5" t="s">
        <v>355</v>
      </c>
      <c r="P43511" s="5" t="s">
        <v>355</v>
      </c>
      <c r="Q43511" s="5" t="s">
        <v>355</v>
      </c>
    </row>
    <row r="43512" ht="16.5" customHeight="1">
      <c r="O43512" s="5" t="s">
        <v>355</v>
      </c>
      <c r="P43512" s="5" t="s">
        <v>355</v>
      </c>
      <c r="Q43512" s="5" t="s">
        <v>355</v>
      </c>
    </row>
    <row r="43513" ht="16.5" customHeight="1">
      <c r="O43513" s="5" t="s">
        <v>355</v>
      </c>
      <c r="P43513" s="5" t="s">
        <v>355</v>
      </c>
      <c r="Q43513" s="5" t="s">
        <v>355</v>
      </c>
    </row>
    <row r="43514" ht="16.5" customHeight="1">
      <c r="O43514" s="5" t="s">
        <v>355</v>
      </c>
      <c r="P43514" s="5" t="s">
        <v>355</v>
      </c>
      <c r="Q43514" s="5" t="s">
        <v>355</v>
      </c>
    </row>
    <row r="43515" ht="16.5" customHeight="1">
      <c r="O43515" s="5" t="s">
        <v>355</v>
      </c>
      <c r="P43515" s="5" t="s">
        <v>355</v>
      </c>
      <c r="Q43515" s="5" t="s">
        <v>355</v>
      </c>
    </row>
    <row r="43516" ht="16.5" customHeight="1">
      <c r="O43516" s="5" t="s">
        <v>355</v>
      </c>
      <c r="P43516" s="5" t="s">
        <v>355</v>
      </c>
      <c r="Q43516" s="5" t="s">
        <v>355</v>
      </c>
    </row>
    <row r="43517" ht="16.5" customHeight="1">
      <c r="O43517" s="5" t="s">
        <v>355</v>
      </c>
      <c r="P43517" s="5" t="s">
        <v>355</v>
      </c>
      <c r="Q43517" s="5" t="s">
        <v>355</v>
      </c>
    </row>
    <row r="43518" ht="16.5" customHeight="1">
      <c r="O43518" s="5" t="s">
        <v>355</v>
      </c>
      <c r="P43518" s="5" t="s">
        <v>355</v>
      </c>
      <c r="Q43518" s="5" t="s">
        <v>355</v>
      </c>
    </row>
    <row r="43519" ht="16.5" customHeight="1">
      <c r="O43519" s="5" t="s">
        <v>355</v>
      </c>
      <c r="P43519" s="5" t="s">
        <v>355</v>
      </c>
      <c r="Q43519" s="5" t="s">
        <v>355</v>
      </c>
    </row>
    <row r="43520" ht="16.5" customHeight="1">
      <c r="O43520" s="5" t="s">
        <v>355</v>
      </c>
      <c r="P43520" s="5" t="s">
        <v>355</v>
      </c>
      <c r="Q43520" s="5" t="s">
        <v>355</v>
      </c>
    </row>
    <row r="43521" ht="16.5" customHeight="1">
      <c r="O43521" s="5" t="s">
        <v>355</v>
      </c>
      <c r="P43521" s="5" t="s">
        <v>355</v>
      </c>
      <c r="Q43521" s="5" t="s">
        <v>355</v>
      </c>
    </row>
    <row r="43522" ht="16.5" customHeight="1">
      <c r="O43522" s="5" t="s">
        <v>355</v>
      </c>
      <c r="P43522" s="5" t="s">
        <v>355</v>
      </c>
      <c r="Q43522" s="5" t="s">
        <v>355</v>
      </c>
    </row>
    <row r="43523" ht="16.5" customHeight="1">
      <c r="O43523" s="5" t="s">
        <v>355</v>
      </c>
      <c r="P43523" s="5" t="s">
        <v>355</v>
      </c>
      <c r="Q43523" s="5" t="s">
        <v>355</v>
      </c>
    </row>
    <row r="43524" ht="16.5" customHeight="1">
      <c r="O43524" s="5" t="s">
        <v>355</v>
      </c>
      <c r="P43524" s="5" t="s">
        <v>355</v>
      </c>
      <c r="Q43524" s="5" t="s">
        <v>355</v>
      </c>
    </row>
    <row r="43525" ht="16.5" customHeight="1">
      <c r="O43525" s="5" t="s">
        <v>355</v>
      </c>
      <c r="P43525" s="5" t="s">
        <v>355</v>
      </c>
      <c r="Q43525" s="5" t="s">
        <v>355</v>
      </c>
    </row>
    <row r="43526" ht="16.5" customHeight="1">
      <c r="O43526" s="5" t="s">
        <v>355</v>
      </c>
      <c r="P43526" s="5" t="s">
        <v>355</v>
      </c>
      <c r="Q43526" s="5" t="s">
        <v>355</v>
      </c>
    </row>
    <row r="43527" ht="16.5" customHeight="1">
      <c r="O43527" s="5" t="s">
        <v>355</v>
      </c>
      <c r="P43527" s="5" t="s">
        <v>355</v>
      </c>
      <c r="Q43527" s="5" t="s">
        <v>355</v>
      </c>
    </row>
    <row r="43528" ht="16.5" customHeight="1">
      <c r="O43528" s="5" t="s">
        <v>355</v>
      </c>
      <c r="P43528" s="5" t="s">
        <v>355</v>
      </c>
      <c r="Q43528" s="5" t="s">
        <v>355</v>
      </c>
    </row>
    <row r="43529" ht="16.5" customHeight="1">
      <c r="O43529" s="5" t="s">
        <v>355</v>
      </c>
      <c r="P43529" s="5" t="s">
        <v>355</v>
      </c>
      <c r="Q43529" s="5" t="s">
        <v>355</v>
      </c>
    </row>
    <row r="43530" ht="16.5" customHeight="1">
      <c r="O43530" s="5" t="s">
        <v>355</v>
      </c>
      <c r="P43530" s="5" t="s">
        <v>355</v>
      </c>
      <c r="Q43530" s="5" t="s">
        <v>355</v>
      </c>
    </row>
    <row r="43531" ht="16.5" customHeight="1">
      <c r="O43531" s="5" t="s">
        <v>355</v>
      </c>
      <c r="P43531" s="5" t="s">
        <v>355</v>
      </c>
      <c r="Q43531" s="5" t="s">
        <v>355</v>
      </c>
    </row>
    <row r="43532" ht="16.5" customHeight="1">
      <c r="O43532" s="5" t="s">
        <v>355</v>
      </c>
      <c r="P43532" s="5" t="s">
        <v>355</v>
      </c>
      <c r="Q43532" s="5" t="s">
        <v>355</v>
      </c>
    </row>
    <row r="43533" ht="16.5" customHeight="1">
      <c r="O43533" s="5" t="s">
        <v>355</v>
      </c>
      <c r="P43533" s="5" t="s">
        <v>355</v>
      </c>
      <c r="Q43533" s="5" t="s">
        <v>355</v>
      </c>
    </row>
    <row r="43534" ht="16.5" customHeight="1">
      <c r="O43534" s="5" t="s">
        <v>355</v>
      </c>
      <c r="P43534" s="5" t="s">
        <v>355</v>
      </c>
      <c r="Q43534" s="5" t="s">
        <v>355</v>
      </c>
    </row>
    <row r="43535" ht="16.5" customHeight="1">
      <c r="O43535" s="5" t="s">
        <v>355</v>
      </c>
      <c r="P43535" s="5" t="s">
        <v>355</v>
      </c>
      <c r="Q43535" s="5" t="s">
        <v>355</v>
      </c>
    </row>
    <row r="43536" ht="16.5" customHeight="1">
      <c r="O43536" s="5" t="s">
        <v>355</v>
      </c>
      <c r="P43536" s="5" t="s">
        <v>355</v>
      </c>
      <c r="Q43536" s="5" t="s">
        <v>355</v>
      </c>
    </row>
    <row r="43537" ht="16.5" customHeight="1">
      <c r="O43537" s="5" t="s">
        <v>355</v>
      </c>
      <c r="P43537" s="5" t="s">
        <v>355</v>
      </c>
      <c r="Q43537" s="5" t="s">
        <v>355</v>
      </c>
    </row>
    <row r="43538" ht="16.5" customHeight="1">
      <c r="O43538" s="5" t="s">
        <v>355</v>
      </c>
      <c r="P43538" s="5" t="s">
        <v>355</v>
      </c>
      <c r="Q43538" s="5" t="s">
        <v>355</v>
      </c>
    </row>
    <row r="43539" ht="16.5" customHeight="1">
      <c r="O43539" s="5" t="s">
        <v>355</v>
      </c>
      <c r="P43539" s="5" t="s">
        <v>355</v>
      </c>
      <c r="Q43539" s="5" t="s">
        <v>355</v>
      </c>
    </row>
    <row r="43540" ht="16.5" customHeight="1">
      <c r="O43540" s="5" t="s">
        <v>355</v>
      </c>
      <c r="P43540" s="5" t="s">
        <v>355</v>
      </c>
      <c r="Q43540" s="5" t="s">
        <v>355</v>
      </c>
    </row>
    <row r="43541" ht="16.5" customHeight="1">
      <c r="O43541" s="5" t="s">
        <v>355</v>
      </c>
      <c r="P43541" s="5" t="s">
        <v>355</v>
      </c>
      <c r="Q43541" s="5" t="s">
        <v>355</v>
      </c>
    </row>
    <row r="43542" ht="16.5" customHeight="1">
      <c r="O43542" s="5" t="s">
        <v>355</v>
      </c>
      <c r="P43542" s="5" t="s">
        <v>355</v>
      </c>
      <c r="Q43542" s="5" t="s">
        <v>355</v>
      </c>
    </row>
    <row r="43543" ht="16.5" customHeight="1">
      <c r="O43543" s="5" t="s">
        <v>355</v>
      </c>
      <c r="P43543" s="5" t="s">
        <v>355</v>
      </c>
      <c r="Q43543" s="5" t="s">
        <v>355</v>
      </c>
    </row>
    <row r="43544" ht="16.5" customHeight="1">
      <c r="O43544" s="5" t="s">
        <v>355</v>
      </c>
      <c r="P43544" s="5" t="s">
        <v>355</v>
      </c>
      <c r="Q43544" s="5" t="s">
        <v>355</v>
      </c>
    </row>
    <row r="43545" ht="16.5" customHeight="1">
      <c r="O43545" s="5" t="s">
        <v>355</v>
      </c>
      <c r="P43545" s="5" t="s">
        <v>355</v>
      </c>
      <c r="Q43545" s="5" t="s">
        <v>355</v>
      </c>
    </row>
    <row r="43546" ht="16.5" customHeight="1">
      <c r="O43546" s="5" t="s">
        <v>355</v>
      </c>
      <c r="P43546" s="5" t="s">
        <v>355</v>
      </c>
      <c r="Q43546" s="5" t="s">
        <v>355</v>
      </c>
    </row>
    <row r="43547" ht="16.5" customHeight="1">
      <c r="O43547" s="5" t="s">
        <v>355</v>
      </c>
      <c r="P43547" s="5" t="s">
        <v>355</v>
      </c>
      <c r="Q43547" s="5" t="s">
        <v>355</v>
      </c>
    </row>
    <row r="43548" ht="16.5" customHeight="1">
      <c r="O43548" s="5" t="s">
        <v>355</v>
      </c>
      <c r="P43548" s="5" t="s">
        <v>355</v>
      </c>
      <c r="Q43548" s="5" t="s">
        <v>355</v>
      </c>
    </row>
    <row r="43549" ht="16.5" customHeight="1">
      <c r="O43549" s="5" t="s">
        <v>355</v>
      </c>
      <c r="P43549" s="5" t="s">
        <v>355</v>
      </c>
      <c r="Q43549" s="5" t="s">
        <v>355</v>
      </c>
    </row>
    <row r="43550" ht="16.5" customHeight="1">
      <c r="O43550" s="5" t="s">
        <v>355</v>
      </c>
      <c r="P43550" s="5" t="s">
        <v>355</v>
      </c>
      <c r="Q43550" s="5" t="s">
        <v>355</v>
      </c>
    </row>
    <row r="43551" ht="16.5" customHeight="1">
      <c r="O43551" s="5" t="s">
        <v>355</v>
      </c>
      <c r="P43551" s="5" t="s">
        <v>355</v>
      </c>
      <c r="Q43551" s="5" t="s">
        <v>355</v>
      </c>
    </row>
    <row r="43552" ht="16.5" customHeight="1">
      <c r="O43552" s="5" t="s">
        <v>355</v>
      </c>
      <c r="P43552" s="5" t="s">
        <v>355</v>
      </c>
      <c r="Q43552" s="5" t="s">
        <v>355</v>
      </c>
    </row>
    <row r="43553" ht="16.5" customHeight="1">
      <c r="O43553" s="5" t="s">
        <v>355</v>
      </c>
      <c r="P43553" s="5" t="s">
        <v>355</v>
      </c>
      <c r="Q43553" s="5" t="s">
        <v>355</v>
      </c>
    </row>
    <row r="43554" ht="16.5" customHeight="1">
      <c r="O43554" s="5" t="s">
        <v>355</v>
      </c>
      <c r="P43554" s="5" t="s">
        <v>355</v>
      </c>
      <c r="Q43554" s="5" t="s">
        <v>355</v>
      </c>
    </row>
    <row r="43555" ht="16.5" customHeight="1">
      <c r="O43555" s="5" t="s">
        <v>355</v>
      </c>
      <c r="P43555" s="5" t="s">
        <v>355</v>
      </c>
      <c r="Q43555" s="5" t="s">
        <v>355</v>
      </c>
    </row>
    <row r="43556" ht="16.5" customHeight="1">
      <c r="O43556" s="5" t="s">
        <v>355</v>
      </c>
      <c r="P43556" s="5" t="s">
        <v>355</v>
      </c>
      <c r="Q43556" s="5" t="s">
        <v>355</v>
      </c>
    </row>
    <row r="43557" ht="16.5" customHeight="1">
      <c r="O43557" s="5" t="s">
        <v>355</v>
      </c>
      <c r="P43557" s="5" t="s">
        <v>355</v>
      </c>
      <c r="Q43557" s="5" t="s">
        <v>355</v>
      </c>
    </row>
    <row r="43558" ht="16.5" customHeight="1">
      <c r="O43558" s="5" t="s">
        <v>355</v>
      </c>
      <c r="P43558" s="5" t="s">
        <v>355</v>
      </c>
      <c r="Q43558" s="5" t="s">
        <v>355</v>
      </c>
    </row>
    <row r="43559" ht="16.5" customHeight="1">
      <c r="O43559" s="5" t="s">
        <v>355</v>
      </c>
      <c r="P43559" s="5" t="s">
        <v>355</v>
      </c>
      <c r="Q43559" s="5" t="s">
        <v>355</v>
      </c>
    </row>
    <row r="43560" ht="16.5" customHeight="1">
      <c r="O43560" s="5" t="s">
        <v>355</v>
      </c>
      <c r="P43560" s="5" t="s">
        <v>355</v>
      </c>
      <c r="Q43560" s="5" t="s">
        <v>355</v>
      </c>
    </row>
    <row r="43561" ht="16.5" customHeight="1">
      <c r="O43561" s="5" t="s">
        <v>355</v>
      </c>
      <c r="P43561" s="5" t="s">
        <v>355</v>
      </c>
      <c r="Q43561" s="5" t="s">
        <v>355</v>
      </c>
    </row>
    <row r="43562" ht="16.5" customHeight="1">
      <c r="O43562" s="5" t="s">
        <v>355</v>
      </c>
      <c r="P43562" s="5" t="s">
        <v>355</v>
      </c>
      <c r="Q43562" s="5" t="s">
        <v>355</v>
      </c>
    </row>
    <row r="43563" ht="16.5" customHeight="1">
      <c r="O43563" s="5" t="s">
        <v>355</v>
      </c>
      <c r="P43563" s="5" t="s">
        <v>355</v>
      </c>
      <c r="Q43563" s="5" t="s">
        <v>355</v>
      </c>
    </row>
    <row r="43564" ht="16.5" customHeight="1">
      <c r="O43564" s="5" t="s">
        <v>355</v>
      </c>
      <c r="P43564" s="5" t="s">
        <v>355</v>
      </c>
      <c r="Q43564" s="5" t="s">
        <v>355</v>
      </c>
    </row>
    <row r="43565" ht="16.5" customHeight="1">
      <c r="O43565" s="5" t="s">
        <v>355</v>
      </c>
      <c r="P43565" s="5" t="s">
        <v>355</v>
      </c>
      <c r="Q43565" s="5" t="s">
        <v>355</v>
      </c>
    </row>
    <row r="43566" ht="16.5" customHeight="1">
      <c r="O43566" s="5" t="s">
        <v>355</v>
      </c>
      <c r="P43566" s="5" t="s">
        <v>355</v>
      </c>
      <c r="Q43566" s="5" t="s">
        <v>355</v>
      </c>
    </row>
    <row r="43567" ht="16.5" customHeight="1">
      <c r="O43567" s="5" t="s">
        <v>355</v>
      </c>
      <c r="P43567" s="5" t="s">
        <v>355</v>
      </c>
      <c r="Q43567" s="5" t="s">
        <v>355</v>
      </c>
    </row>
    <row r="43568" ht="16.5" customHeight="1">
      <c r="O43568" s="5" t="s">
        <v>355</v>
      </c>
      <c r="P43568" s="5" t="s">
        <v>355</v>
      </c>
      <c r="Q43568" s="5" t="s">
        <v>355</v>
      </c>
    </row>
    <row r="43569" ht="16.5" customHeight="1">
      <c r="O43569" s="5" t="s">
        <v>355</v>
      </c>
      <c r="P43569" s="5" t="s">
        <v>355</v>
      </c>
      <c r="Q43569" s="5" t="s">
        <v>355</v>
      </c>
    </row>
    <row r="43570" ht="16.5" customHeight="1">
      <c r="O43570" s="5" t="s">
        <v>355</v>
      </c>
      <c r="P43570" s="5" t="s">
        <v>355</v>
      </c>
      <c r="Q43570" s="5" t="s">
        <v>355</v>
      </c>
    </row>
    <row r="43571" ht="16.5" customHeight="1">
      <c r="O43571" s="5" t="s">
        <v>355</v>
      </c>
      <c r="P43571" s="5" t="s">
        <v>355</v>
      </c>
      <c r="Q43571" s="5" t="s">
        <v>355</v>
      </c>
    </row>
    <row r="43572" ht="16.5" customHeight="1">
      <c r="O43572" s="5" t="s">
        <v>355</v>
      </c>
      <c r="P43572" s="5" t="s">
        <v>355</v>
      </c>
      <c r="Q43572" s="5" t="s">
        <v>355</v>
      </c>
    </row>
    <row r="43573" ht="16.5" customHeight="1">
      <c r="O43573" s="5" t="s">
        <v>355</v>
      </c>
      <c r="P43573" s="5" t="s">
        <v>355</v>
      </c>
      <c r="Q43573" s="5" t="s">
        <v>355</v>
      </c>
    </row>
    <row r="43574" ht="16.5" customHeight="1">
      <c r="O43574" s="5" t="s">
        <v>355</v>
      </c>
      <c r="P43574" s="5" t="s">
        <v>355</v>
      </c>
      <c r="Q43574" s="5" t="s">
        <v>355</v>
      </c>
    </row>
    <row r="43575" ht="16.5" customHeight="1">
      <c r="O43575" s="5" t="s">
        <v>355</v>
      </c>
      <c r="P43575" s="5" t="s">
        <v>355</v>
      </c>
      <c r="Q43575" s="5" t="s">
        <v>355</v>
      </c>
    </row>
    <row r="43576" ht="16.5" customHeight="1">
      <c r="O43576" s="5" t="s">
        <v>355</v>
      </c>
      <c r="P43576" s="5" t="s">
        <v>355</v>
      </c>
      <c r="Q43576" s="5" t="s">
        <v>355</v>
      </c>
    </row>
    <row r="43577" ht="16.5" customHeight="1">
      <c r="O43577" s="5" t="s">
        <v>355</v>
      </c>
      <c r="P43577" s="5" t="s">
        <v>355</v>
      </c>
      <c r="Q43577" s="5" t="s">
        <v>355</v>
      </c>
    </row>
    <row r="43578" ht="16.5" customHeight="1">
      <c r="O43578" s="5" t="s">
        <v>355</v>
      </c>
      <c r="P43578" s="5" t="s">
        <v>355</v>
      </c>
      <c r="Q43578" s="5" t="s">
        <v>355</v>
      </c>
    </row>
    <row r="43579" ht="16.5" customHeight="1">
      <c r="O43579" s="5" t="s">
        <v>355</v>
      </c>
      <c r="P43579" s="5" t="s">
        <v>355</v>
      </c>
      <c r="Q43579" s="5" t="s">
        <v>355</v>
      </c>
    </row>
    <row r="43580" ht="16.5" customHeight="1">
      <c r="O43580" s="5" t="s">
        <v>355</v>
      </c>
      <c r="P43580" s="5" t="s">
        <v>355</v>
      </c>
      <c r="Q43580" s="5" t="s">
        <v>355</v>
      </c>
    </row>
    <row r="43581" ht="16.5" customHeight="1">
      <c r="O43581" s="5" t="s">
        <v>355</v>
      </c>
      <c r="P43581" s="5" t="s">
        <v>355</v>
      </c>
      <c r="Q43581" s="5" t="s">
        <v>355</v>
      </c>
    </row>
    <row r="43582" ht="16.5" customHeight="1">
      <c r="O43582" s="5" t="s">
        <v>355</v>
      </c>
      <c r="P43582" s="5" t="s">
        <v>355</v>
      </c>
      <c r="Q43582" s="5" t="s">
        <v>355</v>
      </c>
    </row>
    <row r="43583" ht="16.5" customHeight="1">
      <c r="O43583" s="5" t="s">
        <v>355</v>
      </c>
      <c r="P43583" s="5" t="s">
        <v>355</v>
      </c>
      <c r="Q43583" s="5" t="s">
        <v>355</v>
      </c>
    </row>
    <row r="43584" ht="16.5" customHeight="1">
      <c r="O43584" s="5" t="s">
        <v>355</v>
      </c>
      <c r="P43584" s="5" t="s">
        <v>355</v>
      </c>
      <c r="Q43584" s="5" t="s">
        <v>355</v>
      </c>
    </row>
    <row r="43585" ht="16.5" customHeight="1">
      <c r="O43585" s="5" t="s">
        <v>355</v>
      </c>
      <c r="P43585" s="5" t="s">
        <v>355</v>
      </c>
      <c r="Q43585" s="5" t="s">
        <v>355</v>
      </c>
    </row>
    <row r="43586" ht="16.5" customHeight="1">
      <c r="O43586" s="5" t="s">
        <v>355</v>
      </c>
      <c r="P43586" s="5" t="s">
        <v>355</v>
      </c>
      <c r="Q43586" s="5" t="s">
        <v>355</v>
      </c>
    </row>
    <row r="43587" ht="16.5" customHeight="1">
      <c r="O43587" s="5" t="s">
        <v>355</v>
      </c>
      <c r="P43587" s="5" t="s">
        <v>355</v>
      </c>
      <c r="Q43587" s="5" t="s">
        <v>355</v>
      </c>
    </row>
    <row r="43588" ht="16.5" customHeight="1">
      <c r="O43588" s="5" t="s">
        <v>355</v>
      </c>
      <c r="P43588" s="5" t="s">
        <v>355</v>
      </c>
      <c r="Q43588" s="5" t="s">
        <v>355</v>
      </c>
    </row>
    <row r="43589" ht="16.5" customHeight="1">
      <c r="O43589" s="5" t="s">
        <v>355</v>
      </c>
      <c r="P43589" s="5" t="s">
        <v>355</v>
      </c>
      <c r="Q43589" s="5" t="s">
        <v>355</v>
      </c>
    </row>
    <row r="43590" ht="16.5" customHeight="1">
      <c r="O43590" s="5" t="s">
        <v>355</v>
      </c>
      <c r="P43590" s="5" t="s">
        <v>355</v>
      </c>
      <c r="Q43590" s="5" t="s">
        <v>355</v>
      </c>
    </row>
    <row r="43591" ht="16.5" customHeight="1">
      <c r="O43591" s="5" t="s">
        <v>355</v>
      </c>
      <c r="P43591" s="5" t="s">
        <v>355</v>
      </c>
      <c r="Q43591" s="5" t="s">
        <v>355</v>
      </c>
    </row>
    <row r="43592" ht="16.5" customHeight="1">
      <c r="O43592" s="5" t="s">
        <v>355</v>
      </c>
      <c r="P43592" s="5" t="s">
        <v>355</v>
      </c>
      <c r="Q43592" s="5" t="s">
        <v>355</v>
      </c>
    </row>
    <row r="43593" ht="16.5" customHeight="1">
      <c r="O43593" s="5" t="s">
        <v>355</v>
      </c>
      <c r="P43593" s="5" t="s">
        <v>355</v>
      </c>
      <c r="Q43593" s="5" t="s">
        <v>355</v>
      </c>
    </row>
    <row r="43594" ht="16.5" customHeight="1">
      <c r="O43594" s="5" t="s">
        <v>355</v>
      </c>
      <c r="P43594" s="5" t="s">
        <v>355</v>
      </c>
      <c r="Q43594" s="5" t="s">
        <v>355</v>
      </c>
    </row>
    <row r="43595" ht="16.5" customHeight="1">
      <c r="O43595" s="5" t="s">
        <v>355</v>
      </c>
      <c r="P43595" s="5" t="s">
        <v>355</v>
      </c>
      <c r="Q43595" s="5" t="s">
        <v>355</v>
      </c>
    </row>
    <row r="43596" ht="16.5" customHeight="1">
      <c r="O43596" s="5" t="s">
        <v>355</v>
      </c>
      <c r="P43596" s="5" t="s">
        <v>355</v>
      </c>
      <c r="Q43596" s="5" t="s">
        <v>355</v>
      </c>
    </row>
    <row r="43597" ht="16.5" customHeight="1">
      <c r="O43597" s="5" t="s">
        <v>355</v>
      </c>
      <c r="P43597" s="5" t="s">
        <v>355</v>
      </c>
      <c r="Q43597" s="5" t="s">
        <v>355</v>
      </c>
    </row>
    <row r="43598" ht="16.5" customHeight="1">
      <c r="O43598" s="5" t="s">
        <v>355</v>
      </c>
      <c r="P43598" s="5" t="s">
        <v>355</v>
      </c>
      <c r="Q43598" s="5" t="s">
        <v>355</v>
      </c>
    </row>
    <row r="43599" ht="16.5" customHeight="1">
      <c r="O43599" s="5" t="s">
        <v>355</v>
      </c>
      <c r="P43599" s="5" t="s">
        <v>355</v>
      </c>
      <c r="Q43599" s="5" t="s">
        <v>355</v>
      </c>
    </row>
    <row r="43600" ht="16.5" customHeight="1">
      <c r="O43600" s="5" t="s">
        <v>355</v>
      </c>
      <c r="P43600" s="5" t="s">
        <v>355</v>
      </c>
      <c r="Q43600" s="5" t="s">
        <v>355</v>
      </c>
    </row>
    <row r="43601" ht="16.5" customHeight="1">
      <c r="O43601" s="5" t="s">
        <v>355</v>
      </c>
      <c r="P43601" s="5" t="s">
        <v>355</v>
      </c>
      <c r="Q43601" s="5" t="s">
        <v>355</v>
      </c>
    </row>
    <row r="43602" ht="16.5" customHeight="1">
      <c r="O43602" s="5" t="s">
        <v>355</v>
      </c>
      <c r="P43602" s="5" t="s">
        <v>355</v>
      </c>
      <c r="Q43602" s="5" t="s">
        <v>355</v>
      </c>
    </row>
    <row r="43603" ht="16.5" customHeight="1">
      <c r="O43603" s="5" t="s">
        <v>355</v>
      </c>
      <c r="P43603" s="5" t="s">
        <v>355</v>
      </c>
      <c r="Q43603" s="5" t="s">
        <v>355</v>
      </c>
    </row>
    <row r="43604" ht="16.5" customHeight="1">
      <c r="O43604" s="5" t="s">
        <v>355</v>
      </c>
      <c r="P43604" s="5" t="s">
        <v>355</v>
      </c>
      <c r="Q43604" s="5" t="s">
        <v>355</v>
      </c>
    </row>
    <row r="43605" ht="16.5" customHeight="1">
      <c r="O43605" s="5" t="s">
        <v>355</v>
      </c>
      <c r="P43605" s="5" t="s">
        <v>355</v>
      </c>
      <c r="Q43605" s="5" t="s">
        <v>355</v>
      </c>
    </row>
    <row r="43606" ht="16.5" customHeight="1">
      <c r="O43606" s="5" t="s">
        <v>355</v>
      </c>
      <c r="P43606" s="5" t="s">
        <v>355</v>
      </c>
      <c r="Q43606" s="5" t="s">
        <v>355</v>
      </c>
    </row>
    <row r="43607" ht="16.5" customHeight="1">
      <c r="O43607" s="5" t="s">
        <v>355</v>
      </c>
      <c r="P43607" s="5" t="s">
        <v>355</v>
      </c>
      <c r="Q43607" s="5" t="s">
        <v>355</v>
      </c>
    </row>
    <row r="43608" ht="16.5" customHeight="1">
      <c r="O43608" s="5" t="s">
        <v>355</v>
      </c>
      <c r="P43608" s="5" t="s">
        <v>355</v>
      </c>
      <c r="Q43608" s="5" t="s">
        <v>355</v>
      </c>
    </row>
    <row r="43609" ht="16.5" customHeight="1">
      <c r="O43609" s="5" t="s">
        <v>355</v>
      </c>
      <c r="P43609" s="5" t="s">
        <v>355</v>
      </c>
      <c r="Q43609" s="5" t="s">
        <v>355</v>
      </c>
    </row>
    <row r="43610" ht="16.5" customHeight="1">
      <c r="O43610" s="5" t="s">
        <v>355</v>
      </c>
      <c r="P43610" s="5" t="s">
        <v>355</v>
      </c>
      <c r="Q43610" s="5" t="s">
        <v>355</v>
      </c>
    </row>
    <row r="43611" ht="16.5" customHeight="1">
      <c r="O43611" s="5" t="s">
        <v>355</v>
      </c>
      <c r="P43611" s="5" t="s">
        <v>355</v>
      </c>
      <c r="Q43611" s="5" t="s">
        <v>355</v>
      </c>
    </row>
    <row r="43612" ht="16.5" customHeight="1">
      <c r="O43612" s="5" t="s">
        <v>355</v>
      </c>
      <c r="P43612" s="5" t="s">
        <v>355</v>
      </c>
      <c r="Q43612" s="5" t="s">
        <v>355</v>
      </c>
    </row>
    <row r="43613" ht="16.5" customHeight="1">
      <c r="O43613" s="5" t="s">
        <v>355</v>
      </c>
      <c r="P43613" s="5" t="s">
        <v>355</v>
      </c>
      <c r="Q43613" s="5" t="s">
        <v>355</v>
      </c>
    </row>
    <row r="43614" ht="16.5" customHeight="1">
      <c r="O43614" s="5" t="s">
        <v>355</v>
      </c>
      <c r="P43614" s="5" t="s">
        <v>355</v>
      </c>
      <c r="Q43614" s="5" t="s">
        <v>355</v>
      </c>
    </row>
    <row r="43615" ht="16.5" customHeight="1">
      <c r="O43615" s="5" t="s">
        <v>355</v>
      </c>
      <c r="P43615" s="5" t="s">
        <v>355</v>
      </c>
      <c r="Q43615" s="5" t="s">
        <v>355</v>
      </c>
    </row>
    <row r="43616" ht="16.5" customHeight="1">
      <c r="O43616" s="5" t="s">
        <v>355</v>
      </c>
      <c r="P43616" s="5" t="s">
        <v>355</v>
      </c>
      <c r="Q43616" s="5" t="s">
        <v>355</v>
      </c>
    </row>
    <row r="43617" ht="16.5" customHeight="1">
      <c r="O43617" s="5" t="s">
        <v>355</v>
      </c>
      <c r="P43617" s="5" t="s">
        <v>355</v>
      </c>
      <c r="Q43617" s="5" t="s">
        <v>355</v>
      </c>
    </row>
    <row r="43618" ht="16.5" customHeight="1">
      <c r="O43618" s="5" t="s">
        <v>355</v>
      </c>
      <c r="P43618" s="5" t="s">
        <v>355</v>
      </c>
      <c r="Q43618" s="5" t="s">
        <v>355</v>
      </c>
    </row>
    <row r="43619" ht="16.5" customHeight="1">
      <c r="O43619" s="5" t="s">
        <v>355</v>
      </c>
      <c r="P43619" s="5" t="s">
        <v>355</v>
      </c>
      <c r="Q43619" s="5" t="s">
        <v>355</v>
      </c>
    </row>
    <row r="43620" ht="16.5" customHeight="1">
      <c r="O43620" s="5" t="s">
        <v>355</v>
      </c>
      <c r="P43620" s="5" t="s">
        <v>355</v>
      </c>
      <c r="Q43620" s="5" t="s">
        <v>355</v>
      </c>
    </row>
    <row r="43621" ht="16.5" customHeight="1">
      <c r="O43621" s="5" t="s">
        <v>355</v>
      </c>
      <c r="P43621" s="5" t="s">
        <v>355</v>
      </c>
      <c r="Q43621" s="5" t="s">
        <v>355</v>
      </c>
    </row>
    <row r="43622" ht="16.5" customHeight="1">
      <c r="O43622" s="5" t="s">
        <v>355</v>
      </c>
      <c r="P43622" s="5" t="s">
        <v>355</v>
      </c>
      <c r="Q43622" s="5" t="s">
        <v>355</v>
      </c>
    </row>
    <row r="43623" ht="16.5" customHeight="1">
      <c r="O43623" s="5" t="s">
        <v>355</v>
      </c>
      <c r="P43623" s="5" t="s">
        <v>355</v>
      </c>
      <c r="Q43623" s="5" t="s">
        <v>355</v>
      </c>
    </row>
    <row r="43624" ht="16.5" customHeight="1">
      <c r="O43624" s="5" t="s">
        <v>355</v>
      </c>
      <c r="P43624" s="5" t="s">
        <v>355</v>
      </c>
      <c r="Q43624" s="5" t="s">
        <v>355</v>
      </c>
    </row>
    <row r="43625" ht="16.5" customHeight="1">
      <c r="O43625" s="5" t="s">
        <v>355</v>
      </c>
      <c r="P43625" s="5" t="s">
        <v>355</v>
      </c>
      <c r="Q43625" s="5" t="s">
        <v>355</v>
      </c>
    </row>
    <row r="43626" ht="16.5" customHeight="1">
      <c r="O43626" s="5" t="s">
        <v>355</v>
      </c>
      <c r="P43626" s="5" t="s">
        <v>355</v>
      </c>
      <c r="Q43626" s="5" t="s">
        <v>355</v>
      </c>
    </row>
    <row r="43627" ht="16.5" customHeight="1">
      <c r="O43627" s="5" t="s">
        <v>355</v>
      </c>
      <c r="P43627" s="5" t="s">
        <v>355</v>
      </c>
      <c r="Q43627" s="5" t="s">
        <v>355</v>
      </c>
    </row>
    <row r="43628" ht="16.5" customHeight="1">
      <c r="O43628" s="5" t="s">
        <v>355</v>
      </c>
      <c r="P43628" s="5" t="s">
        <v>355</v>
      </c>
      <c r="Q43628" s="5" t="s">
        <v>355</v>
      </c>
    </row>
    <row r="43629" ht="16.5" customHeight="1">
      <c r="O43629" s="5" t="s">
        <v>355</v>
      </c>
      <c r="P43629" s="5" t="s">
        <v>355</v>
      </c>
      <c r="Q43629" s="5" t="s">
        <v>355</v>
      </c>
    </row>
    <row r="43630" ht="16.5" customHeight="1">
      <c r="O43630" s="5" t="s">
        <v>355</v>
      </c>
      <c r="P43630" s="5" t="s">
        <v>355</v>
      </c>
      <c r="Q43630" s="5" t="s">
        <v>355</v>
      </c>
    </row>
    <row r="43631" ht="16.5" customHeight="1">
      <c r="O43631" s="5" t="s">
        <v>355</v>
      </c>
      <c r="P43631" s="5" t="s">
        <v>355</v>
      </c>
      <c r="Q43631" s="5" t="s">
        <v>355</v>
      </c>
    </row>
    <row r="43632" ht="16.5" customHeight="1">
      <c r="O43632" s="5" t="s">
        <v>355</v>
      </c>
      <c r="P43632" s="5" t="s">
        <v>355</v>
      </c>
      <c r="Q43632" s="5" t="s">
        <v>355</v>
      </c>
    </row>
    <row r="43633" ht="16.5" customHeight="1">
      <c r="O43633" s="5" t="s">
        <v>355</v>
      </c>
      <c r="P43633" s="5" t="s">
        <v>355</v>
      </c>
      <c r="Q43633" s="5" t="s">
        <v>355</v>
      </c>
    </row>
    <row r="43634" ht="16.5" customHeight="1">
      <c r="O43634" s="5" t="s">
        <v>355</v>
      </c>
      <c r="P43634" s="5" t="s">
        <v>355</v>
      </c>
      <c r="Q43634" s="5" t="s">
        <v>355</v>
      </c>
    </row>
    <row r="43635" ht="16.5" customHeight="1">
      <c r="O43635" s="5" t="s">
        <v>355</v>
      </c>
      <c r="P43635" s="5" t="s">
        <v>355</v>
      </c>
      <c r="Q43635" s="5" t="s">
        <v>355</v>
      </c>
    </row>
    <row r="43636" ht="16.5" customHeight="1">
      <c r="O43636" s="5" t="s">
        <v>355</v>
      </c>
      <c r="P43636" s="5" t="s">
        <v>355</v>
      </c>
      <c r="Q43636" s="5" t="s">
        <v>355</v>
      </c>
    </row>
    <row r="43637" ht="16.5" customHeight="1">
      <c r="O43637" s="5" t="s">
        <v>355</v>
      </c>
      <c r="P43637" s="5" t="s">
        <v>355</v>
      </c>
      <c r="Q43637" s="5" t="s">
        <v>355</v>
      </c>
    </row>
    <row r="43638" ht="16.5" customHeight="1">
      <c r="O43638" s="5" t="s">
        <v>355</v>
      </c>
      <c r="P43638" s="5" t="s">
        <v>355</v>
      </c>
      <c r="Q43638" s="5" t="s">
        <v>355</v>
      </c>
    </row>
    <row r="43639" ht="16.5" customHeight="1">
      <c r="O43639" s="5" t="s">
        <v>355</v>
      </c>
      <c r="P43639" s="5" t="s">
        <v>355</v>
      </c>
      <c r="Q43639" s="5" t="s">
        <v>355</v>
      </c>
    </row>
    <row r="43640" ht="16.5" customHeight="1">
      <c r="O43640" s="5" t="s">
        <v>355</v>
      </c>
      <c r="P43640" s="5" t="s">
        <v>355</v>
      </c>
      <c r="Q43640" s="5" t="s">
        <v>355</v>
      </c>
    </row>
    <row r="43641" ht="16.5" customHeight="1">
      <c r="O43641" s="5" t="s">
        <v>355</v>
      </c>
      <c r="P43641" s="5" t="s">
        <v>355</v>
      </c>
      <c r="Q43641" s="5" t="s">
        <v>355</v>
      </c>
    </row>
    <row r="43642" ht="16.5" customHeight="1">
      <c r="O43642" s="5" t="s">
        <v>355</v>
      </c>
      <c r="P43642" s="5" t="s">
        <v>355</v>
      </c>
      <c r="Q43642" s="5" t="s">
        <v>355</v>
      </c>
    </row>
    <row r="43643" ht="16.5" customHeight="1">
      <c r="O43643" s="5" t="s">
        <v>355</v>
      </c>
      <c r="P43643" s="5" t="s">
        <v>355</v>
      </c>
      <c r="Q43643" s="5" t="s">
        <v>355</v>
      </c>
    </row>
    <row r="43644" ht="16.5" customHeight="1">
      <c r="O43644" s="5" t="s">
        <v>355</v>
      </c>
      <c r="P43644" s="5" t="s">
        <v>355</v>
      </c>
      <c r="Q43644" s="5" t="s">
        <v>355</v>
      </c>
    </row>
    <row r="43645" ht="16.5" customHeight="1">
      <c r="O43645" s="5" t="s">
        <v>355</v>
      </c>
      <c r="P43645" s="5" t="s">
        <v>355</v>
      </c>
      <c r="Q43645" s="5" t="s">
        <v>355</v>
      </c>
    </row>
    <row r="43646" ht="16.5" customHeight="1">
      <c r="O43646" s="5" t="s">
        <v>355</v>
      </c>
      <c r="P43646" s="5" t="s">
        <v>355</v>
      </c>
      <c r="Q43646" s="5" t="s">
        <v>355</v>
      </c>
    </row>
    <row r="43647" ht="16.5" customHeight="1">
      <c r="O43647" s="5" t="s">
        <v>355</v>
      </c>
      <c r="P43647" s="5" t="s">
        <v>355</v>
      </c>
      <c r="Q43647" s="5" t="s">
        <v>355</v>
      </c>
    </row>
    <row r="43648" ht="16.5" customHeight="1">
      <c r="O43648" s="5" t="s">
        <v>355</v>
      </c>
      <c r="P43648" s="5" t="s">
        <v>355</v>
      </c>
      <c r="Q43648" s="5" t="s">
        <v>355</v>
      </c>
    </row>
    <row r="43649" ht="16.5" customHeight="1">
      <c r="O43649" s="5" t="s">
        <v>355</v>
      </c>
      <c r="P43649" s="5" t="s">
        <v>355</v>
      </c>
      <c r="Q43649" s="5" t="s">
        <v>355</v>
      </c>
    </row>
    <row r="43650" ht="16.5" customHeight="1">
      <c r="O43650" s="5" t="s">
        <v>355</v>
      </c>
      <c r="P43650" s="5" t="s">
        <v>355</v>
      </c>
      <c r="Q43650" s="5" t="s">
        <v>355</v>
      </c>
    </row>
    <row r="43651" ht="16.5" customHeight="1">
      <c r="O43651" s="5" t="s">
        <v>355</v>
      </c>
      <c r="P43651" s="5" t="s">
        <v>355</v>
      </c>
      <c r="Q43651" s="5" t="s">
        <v>355</v>
      </c>
    </row>
    <row r="43652" ht="16.5" customHeight="1">
      <c r="O43652" s="5" t="s">
        <v>355</v>
      </c>
      <c r="P43652" s="5" t="s">
        <v>355</v>
      </c>
      <c r="Q43652" s="5" t="s">
        <v>355</v>
      </c>
    </row>
    <row r="43653" ht="16.5" customHeight="1">
      <c r="O43653" s="5" t="s">
        <v>355</v>
      </c>
      <c r="P43653" s="5" t="s">
        <v>355</v>
      </c>
      <c r="Q43653" s="5" t="s">
        <v>355</v>
      </c>
    </row>
    <row r="43654" ht="16.5" customHeight="1">
      <c r="O43654" s="5" t="s">
        <v>355</v>
      </c>
      <c r="P43654" s="5" t="s">
        <v>355</v>
      </c>
      <c r="Q43654" s="5" t="s">
        <v>355</v>
      </c>
    </row>
    <row r="43655" ht="16.5" customHeight="1">
      <c r="O43655" s="5" t="s">
        <v>355</v>
      </c>
      <c r="P43655" s="5" t="s">
        <v>355</v>
      </c>
      <c r="Q43655" s="5" t="s">
        <v>355</v>
      </c>
    </row>
    <row r="43656" ht="16.5" customHeight="1">
      <c r="O43656" s="5" t="s">
        <v>355</v>
      </c>
      <c r="P43656" s="5" t="s">
        <v>355</v>
      </c>
      <c r="Q43656" s="5" t="s">
        <v>355</v>
      </c>
    </row>
    <row r="43657" ht="16.5" customHeight="1">
      <c r="O43657" s="5" t="s">
        <v>355</v>
      </c>
      <c r="P43657" s="5" t="s">
        <v>355</v>
      </c>
      <c r="Q43657" s="5" t="s">
        <v>355</v>
      </c>
    </row>
    <row r="43658" ht="16.5" customHeight="1">
      <c r="O43658" s="5" t="s">
        <v>355</v>
      </c>
      <c r="P43658" s="5" t="s">
        <v>355</v>
      </c>
      <c r="Q43658" s="5" t="s">
        <v>355</v>
      </c>
    </row>
    <row r="43659" ht="16.5" customHeight="1">
      <c r="O43659" s="5" t="s">
        <v>355</v>
      </c>
      <c r="P43659" s="5" t="s">
        <v>355</v>
      </c>
      <c r="Q43659" s="5" t="s">
        <v>355</v>
      </c>
    </row>
    <row r="43660" ht="16.5" customHeight="1">
      <c r="O43660" s="5" t="s">
        <v>355</v>
      </c>
      <c r="P43660" s="5" t="s">
        <v>355</v>
      </c>
      <c r="Q43660" s="5" t="s">
        <v>355</v>
      </c>
    </row>
    <row r="43661" ht="16.5" customHeight="1">
      <c r="O43661" s="5" t="s">
        <v>355</v>
      </c>
      <c r="P43661" s="5" t="s">
        <v>355</v>
      </c>
      <c r="Q43661" s="5" t="s">
        <v>355</v>
      </c>
    </row>
    <row r="43662" ht="16.5" customHeight="1">
      <c r="O43662" s="5" t="s">
        <v>355</v>
      </c>
      <c r="P43662" s="5" t="s">
        <v>355</v>
      </c>
      <c r="Q43662" s="5" t="s">
        <v>355</v>
      </c>
    </row>
    <row r="43663" ht="16.5" customHeight="1">
      <c r="O43663" s="5" t="s">
        <v>355</v>
      </c>
      <c r="P43663" s="5" t="s">
        <v>355</v>
      </c>
      <c r="Q43663" s="5" t="s">
        <v>355</v>
      </c>
    </row>
    <row r="43664" ht="16.5" customHeight="1">
      <c r="O43664" s="5" t="s">
        <v>355</v>
      </c>
      <c r="P43664" s="5" t="s">
        <v>355</v>
      </c>
      <c r="Q43664" s="5" t="s">
        <v>355</v>
      </c>
    </row>
    <row r="43665" ht="16.5" customHeight="1">
      <c r="O43665" s="5" t="s">
        <v>355</v>
      </c>
      <c r="P43665" s="5" t="s">
        <v>355</v>
      </c>
      <c r="Q43665" s="5" t="s">
        <v>355</v>
      </c>
    </row>
    <row r="43666" ht="16.5" customHeight="1">
      <c r="O43666" s="5" t="s">
        <v>355</v>
      </c>
      <c r="P43666" s="5" t="s">
        <v>355</v>
      </c>
      <c r="Q43666" s="5" t="s">
        <v>355</v>
      </c>
    </row>
    <row r="43667" ht="16.5" customHeight="1">
      <c r="O43667" s="5" t="s">
        <v>355</v>
      </c>
      <c r="P43667" s="5" t="s">
        <v>355</v>
      </c>
      <c r="Q43667" s="5" t="s">
        <v>355</v>
      </c>
    </row>
    <row r="43668" ht="16.5" customHeight="1">
      <c r="O43668" s="5" t="s">
        <v>355</v>
      </c>
      <c r="P43668" s="5" t="s">
        <v>355</v>
      </c>
      <c r="Q43668" s="5" t="s">
        <v>355</v>
      </c>
    </row>
    <row r="43669" ht="16.5" customHeight="1">
      <c r="O43669" s="5" t="s">
        <v>355</v>
      </c>
      <c r="P43669" s="5" t="s">
        <v>355</v>
      </c>
      <c r="Q43669" s="5" t="s">
        <v>355</v>
      </c>
    </row>
    <row r="43670" ht="16.5" customHeight="1">
      <c r="O43670" s="5" t="s">
        <v>355</v>
      </c>
      <c r="P43670" s="5" t="s">
        <v>355</v>
      </c>
      <c r="Q43670" s="5" t="s">
        <v>355</v>
      </c>
    </row>
    <row r="43671" ht="16.5" customHeight="1">
      <c r="O43671" s="5" t="s">
        <v>355</v>
      </c>
      <c r="P43671" s="5" t="s">
        <v>355</v>
      </c>
      <c r="Q43671" s="5" t="s">
        <v>355</v>
      </c>
    </row>
    <row r="43672" ht="16.5" customHeight="1">
      <c r="O43672" s="5" t="s">
        <v>355</v>
      </c>
      <c r="P43672" s="5" t="s">
        <v>355</v>
      </c>
      <c r="Q43672" s="5" t="s">
        <v>355</v>
      </c>
    </row>
    <row r="43673" ht="16.5" customHeight="1">
      <c r="O43673" s="5" t="s">
        <v>355</v>
      </c>
      <c r="P43673" s="5" t="s">
        <v>355</v>
      </c>
      <c r="Q43673" s="5" t="s">
        <v>355</v>
      </c>
    </row>
    <row r="43674" ht="16.5" customHeight="1">
      <c r="O43674" s="5" t="s">
        <v>355</v>
      </c>
      <c r="P43674" s="5" t="s">
        <v>355</v>
      </c>
      <c r="Q43674" s="5" t="s">
        <v>355</v>
      </c>
    </row>
    <row r="43675" ht="16.5" customHeight="1">
      <c r="O43675" s="5" t="s">
        <v>355</v>
      </c>
      <c r="P43675" s="5" t="s">
        <v>355</v>
      </c>
      <c r="Q43675" s="5" t="s">
        <v>355</v>
      </c>
    </row>
    <row r="43676" ht="16.5" customHeight="1">
      <c r="O43676" s="5" t="s">
        <v>355</v>
      </c>
      <c r="P43676" s="5" t="s">
        <v>355</v>
      </c>
      <c r="Q43676" s="5" t="s">
        <v>355</v>
      </c>
    </row>
    <row r="43677" ht="16.5" customHeight="1">
      <c r="O43677" s="5" t="s">
        <v>355</v>
      </c>
      <c r="P43677" s="5" t="s">
        <v>355</v>
      </c>
      <c r="Q43677" s="5" t="s">
        <v>355</v>
      </c>
    </row>
    <row r="43678" ht="16.5" customHeight="1">
      <c r="O43678" s="5" t="s">
        <v>355</v>
      </c>
      <c r="P43678" s="5" t="s">
        <v>355</v>
      </c>
      <c r="Q43678" s="5" t="s">
        <v>355</v>
      </c>
    </row>
    <row r="43679" ht="16.5" customHeight="1">
      <c r="O43679" s="5" t="s">
        <v>355</v>
      </c>
      <c r="P43679" s="5" t="s">
        <v>355</v>
      </c>
      <c r="Q43679" s="5" t="s">
        <v>355</v>
      </c>
    </row>
    <row r="43680" ht="16.5" customHeight="1">
      <c r="O43680" s="5" t="s">
        <v>355</v>
      </c>
      <c r="P43680" s="5" t="s">
        <v>355</v>
      </c>
      <c r="Q43680" s="5" t="s">
        <v>355</v>
      </c>
    </row>
    <row r="43681" ht="16.5" customHeight="1">
      <c r="O43681" s="5" t="s">
        <v>355</v>
      </c>
      <c r="P43681" s="5" t="s">
        <v>355</v>
      </c>
      <c r="Q43681" s="5" t="s">
        <v>355</v>
      </c>
    </row>
    <row r="43682" ht="16.5" customHeight="1">
      <c r="O43682" s="5" t="s">
        <v>355</v>
      </c>
      <c r="P43682" s="5" t="s">
        <v>355</v>
      </c>
      <c r="Q43682" s="5" t="s">
        <v>355</v>
      </c>
    </row>
    <row r="43683" ht="16.5" customHeight="1">
      <c r="O43683" s="5" t="s">
        <v>355</v>
      </c>
      <c r="P43683" s="5" t="s">
        <v>355</v>
      </c>
      <c r="Q43683" s="5" t="s">
        <v>355</v>
      </c>
    </row>
    <row r="43684" ht="16.5" customHeight="1">
      <c r="O43684" s="5" t="s">
        <v>355</v>
      </c>
      <c r="P43684" s="5" t="s">
        <v>355</v>
      </c>
      <c r="Q43684" s="5" t="s">
        <v>355</v>
      </c>
    </row>
    <row r="43685" ht="16.5" customHeight="1">
      <c r="O43685" s="5" t="s">
        <v>355</v>
      </c>
      <c r="P43685" s="5" t="s">
        <v>355</v>
      </c>
      <c r="Q43685" s="5" t="s">
        <v>355</v>
      </c>
    </row>
    <row r="43686" ht="16.5" customHeight="1">
      <c r="O43686" s="5" t="s">
        <v>355</v>
      </c>
      <c r="P43686" s="5" t="s">
        <v>355</v>
      </c>
      <c r="Q43686" s="5" t="s">
        <v>355</v>
      </c>
    </row>
    <row r="43687" ht="16.5" customHeight="1">
      <c r="O43687" s="5" t="s">
        <v>355</v>
      </c>
      <c r="P43687" s="5" t="s">
        <v>355</v>
      </c>
      <c r="Q43687" s="5" t="s">
        <v>355</v>
      </c>
    </row>
    <row r="43688" ht="16.5" customHeight="1">
      <c r="O43688" s="5" t="s">
        <v>355</v>
      </c>
      <c r="P43688" s="5" t="s">
        <v>355</v>
      </c>
      <c r="Q43688" s="5" t="s">
        <v>355</v>
      </c>
    </row>
    <row r="43689" ht="16.5" customHeight="1">
      <c r="O43689" s="5" t="s">
        <v>355</v>
      </c>
      <c r="P43689" s="5" t="s">
        <v>355</v>
      </c>
      <c r="Q43689" s="5" t="s">
        <v>355</v>
      </c>
    </row>
    <row r="43690" ht="16.5" customHeight="1">
      <c r="O43690" s="5" t="s">
        <v>355</v>
      </c>
      <c r="P43690" s="5" t="s">
        <v>355</v>
      </c>
      <c r="Q43690" s="5" t="s">
        <v>355</v>
      </c>
    </row>
    <row r="43691" ht="16.5" customHeight="1">
      <c r="O43691" s="5" t="s">
        <v>355</v>
      </c>
      <c r="P43691" s="5" t="s">
        <v>355</v>
      </c>
      <c r="Q43691" s="5" t="s">
        <v>355</v>
      </c>
    </row>
    <row r="43692" ht="16.5" customHeight="1">
      <c r="O43692" s="5" t="s">
        <v>355</v>
      </c>
      <c r="P43692" s="5" t="s">
        <v>355</v>
      </c>
      <c r="Q43692" s="5" t="s">
        <v>355</v>
      </c>
    </row>
    <row r="43693" ht="16.5" customHeight="1">
      <c r="O43693" s="5" t="s">
        <v>355</v>
      </c>
      <c r="P43693" s="5" t="s">
        <v>355</v>
      </c>
      <c r="Q43693" s="5" t="s">
        <v>355</v>
      </c>
    </row>
    <row r="43694" ht="16.5" customHeight="1">
      <c r="O43694" s="5" t="s">
        <v>355</v>
      </c>
      <c r="P43694" s="5" t="s">
        <v>355</v>
      </c>
      <c r="Q43694" s="5" t="s">
        <v>355</v>
      </c>
    </row>
    <row r="43695" ht="16.5" customHeight="1">
      <c r="O43695" s="5" t="s">
        <v>355</v>
      </c>
      <c r="P43695" s="5" t="s">
        <v>355</v>
      </c>
      <c r="Q43695" s="5" t="s">
        <v>355</v>
      </c>
    </row>
    <row r="43696" ht="16.5" customHeight="1">
      <c r="O43696" s="5" t="s">
        <v>355</v>
      </c>
      <c r="P43696" s="5" t="s">
        <v>355</v>
      </c>
      <c r="Q43696" s="5" t="s">
        <v>355</v>
      </c>
    </row>
    <row r="43697" ht="16.5" customHeight="1">
      <c r="O43697" s="5" t="s">
        <v>355</v>
      </c>
      <c r="P43697" s="5" t="s">
        <v>355</v>
      </c>
      <c r="Q43697" s="5" t="s">
        <v>355</v>
      </c>
    </row>
    <row r="43698" ht="16.5" customHeight="1">
      <c r="O43698" s="5" t="s">
        <v>355</v>
      </c>
      <c r="P43698" s="5" t="s">
        <v>355</v>
      </c>
      <c r="Q43698" s="5" t="s">
        <v>355</v>
      </c>
    </row>
    <row r="43699" ht="16.5" customHeight="1">
      <c r="O43699" s="5" t="s">
        <v>355</v>
      </c>
      <c r="P43699" s="5" t="s">
        <v>355</v>
      </c>
      <c r="Q43699" s="5" t="s">
        <v>355</v>
      </c>
    </row>
    <row r="43700" ht="16.5" customHeight="1">
      <c r="O43700" s="5" t="s">
        <v>355</v>
      </c>
      <c r="P43700" s="5" t="s">
        <v>355</v>
      </c>
      <c r="Q43700" s="5" t="s">
        <v>355</v>
      </c>
    </row>
    <row r="43701" ht="16.5" customHeight="1">
      <c r="O43701" s="5" t="s">
        <v>355</v>
      </c>
      <c r="P43701" s="5" t="s">
        <v>355</v>
      </c>
      <c r="Q43701" s="5" t="s">
        <v>355</v>
      </c>
    </row>
    <row r="43702" ht="16.5" customHeight="1">
      <c r="O43702" s="5" t="s">
        <v>355</v>
      </c>
      <c r="P43702" s="5" t="s">
        <v>355</v>
      </c>
      <c r="Q43702" s="5" t="s">
        <v>355</v>
      </c>
    </row>
    <row r="43703" ht="16.5" customHeight="1">
      <c r="O43703" s="5" t="s">
        <v>355</v>
      </c>
      <c r="P43703" s="5" t="s">
        <v>355</v>
      </c>
      <c r="Q43703" s="5" t="s">
        <v>355</v>
      </c>
    </row>
    <row r="43704" ht="16.5" customHeight="1">
      <c r="O43704" s="5" t="s">
        <v>355</v>
      </c>
      <c r="P43704" s="5" t="s">
        <v>355</v>
      </c>
      <c r="Q43704" s="5" t="s">
        <v>355</v>
      </c>
    </row>
    <row r="43705" ht="16.5" customHeight="1">
      <c r="O43705" s="5" t="s">
        <v>355</v>
      </c>
      <c r="P43705" s="5" t="s">
        <v>355</v>
      </c>
      <c r="Q43705" s="5" t="s">
        <v>355</v>
      </c>
    </row>
    <row r="43706" ht="16.5" customHeight="1">
      <c r="O43706" s="5" t="s">
        <v>355</v>
      </c>
      <c r="P43706" s="5" t="s">
        <v>355</v>
      </c>
      <c r="Q43706" s="5" t="s">
        <v>355</v>
      </c>
    </row>
    <row r="43707" ht="16.5" customHeight="1">
      <c r="O43707" s="5" t="s">
        <v>355</v>
      </c>
      <c r="P43707" s="5" t="s">
        <v>355</v>
      </c>
      <c r="Q43707" s="5" t="s">
        <v>355</v>
      </c>
    </row>
    <row r="43708" ht="16.5" customHeight="1">
      <c r="O43708" s="5" t="s">
        <v>355</v>
      </c>
      <c r="P43708" s="5" t="s">
        <v>355</v>
      </c>
      <c r="Q43708" s="5" t="s">
        <v>355</v>
      </c>
    </row>
    <row r="43709" ht="16.5" customHeight="1">
      <c r="O43709" s="5" t="s">
        <v>355</v>
      </c>
      <c r="P43709" s="5" t="s">
        <v>355</v>
      </c>
      <c r="Q43709" s="5" t="s">
        <v>355</v>
      </c>
    </row>
    <row r="43710" ht="16.5" customHeight="1">
      <c r="O43710" s="5" t="s">
        <v>355</v>
      </c>
      <c r="P43710" s="5" t="s">
        <v>355</v>
      </c>
      <c r="Q43710" s="5" t="s">
        <v>355</v>
      </c>
    </row>
    <row r="43711" ht="16.5" customHeight="1">
      <c r="O43711" s="5" t="s">
        <v>355</v>
      </c>
      <c r="P43711" s="5" t="s">
        <v>355</v>
      </c>
      <c r="Q43711" s="5" t="s">
        <v>355</v>
      </c>
    </row>
    <row r="43712" ht="16.5" customHeight="1">
      <c r="O43712" s="5" t="s">
        <v>355</v>
      </c>
      <c r="P43712" s="5" t="s">
        <v>355</v>
      </c>
      <c r="Q43712" s="5" t="s">
        <v>355</v>
      </c>
    </row>
    <row r="43713" ht="16.5" customHeight="1">
      <c r="O43713" s="5" t="s">
        <v>355</v>
      </c>
      <c r="P43713" s="5" t="s">
        <v>355</v>
      </c>
      <c r="Q43713" s="5" t="s">
        <v>355</v>
      </c>
    </row>
    <row r="43714" ht="16.5" customHeight="1">
      <c r="O43714" s="5" t="s">
        <v>355</v>
      </c>
      <c r="P43714" s="5" t="s">
        <v>355</v>
      </c>
      <c r="Q43714" s="5" t="s">
        <v>355</v>
      </c>
    </row>
    <row r="43715" ht="16.5" customHeight="1">
      <c r="O43715" s="5" t="s">
        <v>355</v>
      </c>
      <c r="P43715" s="5" t="s">
        <v>355</v>
      </c>
      <c r="Q43715" s="5" t="s">
        <v>355</v>
      </c>
    </row>
    <row r="43716" ht="16.5" customHeight="1">
      <c r="O43716" s="5" t="s">
        <v>355</v>
      </c>
      <c r="P43716" s="5" t="s">
        <v>355</v>
      </c>
      <c r="Q43716" s="5" t="s">
        <v>355</v>
      </c>
    </row>
    <row r="43717" ht="16.5" customHeight="1">
      <c r="O43717" s="5" t="s">
        <v>355</v>
      </c>
      <c r="P43717" s="5" t="s">
        <v>355</v>
      </c>
      <c r="Q43717" s="5" t="s">
        <v>355</v>
      </c>
    </row>
    <row r="43718" ht="16.5" customHeight="1">
      <c r="O43718" s="5" t="s">
        <v>355</v>
      </c>
      <c r="P43718" s="5" t="s">
        <v>355</v>
      </c>
      <c r="Q43718" s="5" t="s">
        <v>355</v>
      </c>
    </row>
    <row r="43719" ht="16.5" customHeight="1">
      <c r="O43719" s="5" t="s">
        <v>355</v>
      </c>
      <c r="P43719" s="5" t="s">
        <v>355</v>
      </c>
      <c r="Q43719" s="5" t="s">
        <v>355</v>
      </c>
    </row>
    <row r="43720" ht="16.5" customHeight="1">
      <c r="O43720" s="5" t="s">
        <v>355</v>
      </c>
      <c r="P43720" s="5" t="s">
        <v>355</v>
      </c>
      <c r="Q43720" s="5" t="s">
        <v>355</v>
      </c>
    </row>
    <row r="43721" ht="16.5" customHeight="1">
      <c r="O43721" s="5" t="s">
        <v>355</v>
      </c>
      <c r="P43721" s="5" t="s">
        <v>355</v>
      </c>
      <c r="Q43721" s="5" t="s">
        <v>355</v>
      </c>
    </row>
    <row r="43722" ht="16.5" customHeight="1">
      <c r="O43722" s="5" t="s">
        <v>355</v>
      </c>
      <c r="P43722" s="5" t="s">
        <v>355</v>
      </c>
      <c r="Q43722" s="5" t="s">
        <v>355</v>
      </c>
    </row>
    <row r="43723" ht="16.5" customHeight="1">
      <c r="O43723" s="5" t="s">
        <v>355</v>
      </c>
      <c r="P43723" s="5" t="s">
        <v>355</v>
      </c>
      <c r="Q43723" s="5" t="s">
        <v>355</v>
      </c>
    </row>
    <row r="43724" ht="16.5" customHeight="1">
      <c r="O43724" s="5" t="s">
        <v>355</v>
      </c>
      <c r="P43724" s="5" t="s">
        <v>355</v>
      </c>
      <c r="Q43724" s="5" t="s">
        <v>355</v>
      </c>
    </row>
    <row r="43725" ht="16.5" customHeight="1">
      <c r="O43725" s="5" t="s">
        <v>355</v>
      </c>
      <c r="P43725" s="5" t="s">
        <v>355</v>
      </c>
      <c r="Q43725" s="5" t="s">
        <v>355</v>
      </c>
    </row>
    <row r="43726" ht="16.5" customHeight="1">
      <c r="O43726" s="5" t="s">
        <v>355</v>
      </c>
      <c r="P43726" s="5" t="s">
        <v>355</v>
      </c>
      <c r="Q43726" s="5" t="s">
        <v>355</v>
      </c>
    </row>
    <row r="43727" ht="16.5" customHeight="1">
      <c r="O43727" s="5" t="s">
        <v>355</v>
      </c>
      <c r="P43727" s="5" t="s">
        <v>355</v>
      </c>
      <c r="Q43727" s="5" t="s">
        <v>355</v>
      </c>
    </row>
    <row r="43728" ht="16.5" customHeight="1">
      <c r="O43728" s="5" t="s">
        <v>355</v>
      </c>
      <c r="P43728" s="5" t="s">
        <v>355</v>
      </c>
      <c r="Q43728" s="5" t="s">
        <v>355</v>
      </c>
    </row>
    <row r="43729" ht="16.5" customHeight="1">
      <c r="O43729" s="5" t="s">
        <v>355</v>
      </c>
      <c r="P43729" s="5" t="s">
        <v>355</v>
      </c>
      <c r="Q43729" s="5" t="s">
        <v>355</v>
      </c>
    </row>
    <row r="43730" ht="16.5" customHeight="1">
      <c r="O43730" s="5" t="s">
        <v>355</v>
      </c>
      <c r="P43730" s="5" t="s">
        <v>355</v>
      </c>
      <c r="Q43730" s="5" t="s">
        <v>355</v>
      </c>
    </row>
    <row r="43731" ht="16.5" customHeight="1">
      <c r="O43731" s="5" t="s">
        <v>355</v>
      </c>
      <c r="P43731" s="5" t="s">
        <v>355</v>
      </c>
      <c r="Q43731" s="5" t="s">
        <v>355</v>
      </c>
    </row>
    <row r="43732" ht="16.5" customHeight="1">
      <c r="O43732" s="5" t="s">
        <v>355</v>
      </c>
      <c r="P43732" s="5" t="s">
        <v>355</v>
      </c>
      <c r="Q43732" s="5" t="s">
        <v>355</v>
      </c>
    </row>
    <row r="43733" ht="16.5" customHeight="1">
      <c r="O43733" s="5" t="s">
        <v>355</v>
      </c>
      <c r="P43733" s="5" t="s">
        <v>355</v>
      </c>
      <c r="Q43733" s="5" t="s">
        <v>355</v>
      </c>
    </row>
    <row r="43734" ht="16.5" customHeight="1">
      <c r="O43734" s="5" t="s">
        <v>355</v>
      </c>
      <c r="P43734" s="5" t="s">
        <v>355</v>
      </c>
      <c r="Q43734" s="5" t="s">
        <v>355</v>
      </c>
    </row>
    <row r="43735" ht="16.5" customHeight="1">
      <c r="O43735" s="5" t="s">
        <v>355</v>
      </c>
      <c r="P43735" s="5" t="s">
        <v>355</v>
      </c>
      <c r="Q43735" s="5" t="s">
        <v>355</v>
      </c>
    </row>
    <row r="43736" ht="16.5" customHeight="1">
      <c r="O43736" s="5" t="s">
        <v>355</v>
      </c>
      <c r="P43736" s="5" t="s">
        <v>355</v>
      </c>
      <c r="Q43736" s="5" t="s">
        <v>355</v>
      </c>
    </row>
    <row r="43737" ht="16.5" customHeight="1">
      <c r="O43737" s="5" t="s">
        <v>355</v>
      </c>
      <c r="P43737" s="5" t="s">
        <v>355</v>
      </c>
      <c r="Q43737" s="5" t="s">
        <v>355</v>
      </c>
    </row>
    <row r="43738" ht="16.5" customHeight="1">
      <c r="O43738" s="5" t="s">
        <v>355</v>
      </c>
      <c r="P43738" s="5" t="s">
        <v>355</v>
      </c>
      <c r="Q43738" s="5" t="s">
        <v>355</v>
      </c>
    </row>
    <row r="43739" ht="16.5" customHeight="1">
      <c r="O43739" s="5" t="s">
        <v>355</v>
      </c>
      <c r="P43739" s="5" t="s">
        <v>355</v>
      </c>
      <c r="Q43739" s="5" t="s">
        <v>355</v>
      </c>
    </row>
    <row r="43740" ht="16.5" customHeight="1">
      <c r="O43740" s="5" t="s">
        <v>355</v>
      </c>
      <c r="P43740" s="5" t="s">
        <v>355</v>
      </c>
      <c r="Q43740" s="5" t="s">
        <v>355</v>
      </c>
    </row>
    <row r="43741" ht="16.5" customHeight="1">
      <c r="O43741" s="5" t="s">
        <v>355</v>
      </c>
      <c r="P43741" s="5" t="s">
        <v>355</v>
      </c>
      <c r="Q43741" s="5" t="s">
        <v>355</v>
      </c>
    </row>
    <row r="43742" ht="16.5" customHeight="1">
      <c r="O43742" s="5" t="s">
        <v>355</v>
      </c>
      <c r="P43742" s="5" t="s">
        <v>355</v>
      </c>
      <c r="Q43742" s="5" t="s">
        <v>355</v>
      </c>
    </row>
    <row r="43743" ht="16.5" customHeight="1">
      <c r="O43743" s="5" t="s">
        <v>355</v>
      </c>
      <c r="P43743" s="5" t="s">
        <v>355</v>
      </c>
      <c r="Q43743" s="5" t="s">
        <v>355</v>
      </c>
    </row>
    <row r="43744" ht="16.5" customHeight="1">
      <c r="O43744" s="5" t="s">
        <v>355</v>
      </c>
      <c r="P43744" s="5" t="s">
        <v>355</v>
      </c>
      <c r="Q43744" s="5" t="s">
        <v>355</v>
      </c>
    </row>
    <row r="43745" ht="16.5" customHeight="1">
      <c r="O43745" s="5" t="s">
        <v>355</v>
      </c>
      <c r="P43745" s="5" t="s">
        <v>355</v>
      </c>
      <c r="Q43745" s="5" t="s">
        <v>355</v>
      </c>
    </row>
    <row r="43746" ht="16.5" customHeight="1">
      <c r="O43746" s="5" t="s">
        <v>355</v>
      </c>
      <c r="P43746" s="5" t="s">
        <v>355</v>
      </c>
      <c r="Q43746" s="5" t="s">
        <v>355</v>
      </c>
    </row>
    <row r="43747" ht="16.5" customHeight="1">
      <c r="O43747" s="5" t="s">
        <v>355</v>
      </c>
      <c r="P43747" s="5" t="s">
        <v>355</v>
      </c>
      <c r="Q43747" s="5" t="s">
        <v>355</v>
      </c>
    </row>
    <row r="43748" ht="16.5" customHeight="1">
      <c r="O43748" s="5" t="s">
        <v>355</v>
      </c>
      <c r="P43748" s="5" t="s">
        <v>355</v>
      </c>
      <c r="Q43748" s="5" t="s">
        <v>355</v>
      </c>
    </row>
    <row r="43749" ht="16.5" customHeight="1">
      <c r="O43749" s="5" t="s">
        <v>355</v>
      </c>
      <c r="P43749" s="5" t="s">
        <v>355</v>
      </c>
      <c r="Q43749" s="5" t="s">
        <v>355</v>
      </c>
    </row>
    <row r="43750" ht="16.5" customHeight="1">
      <c r="O43750" s="5" t="s">
        <v>355</v>
      </c>
      <c r="P43750" s="5" t="s">
        <v>355</v>
      </c>
      <c r="Q43750" s="5" t="s">
        <v>355</v>
      </c>
    </row>
    <row r="43751" ht="16.5" customHeight="1">
      <c r="O43751" s="5" t="s">
        <v>355</v>
      </c>
      <c r="P43751" s="5" t="s">
        <v>355</v>
      </c>
      <c r="Q43751" s="5" t="s">
        <v>355</v>
      </c>
    </row>
    <row r="43752" ht="16.5" customHeight="1">
      <c r="O43752" s="5" t="s">
        <v>355</v>
      </c>
      <c r="P43752" s="5" t="s">
        <v>355</v>
      </c>
      <c r="Q43752" s="5" t="s">
        <v>355</v>
      </c>
    </row>
    <row r="43753" ht="16.5" customHeight="1">
      <c r="O43753" s="5" t="s">
        <v>355</v>
      </c>
      <c r="P43753" s="5" t="s">
        <v>355</v>
      </c>
      <c r="Q43753" s="5" t="s">
        <v>355</v>
      </c>
    </row>
    <row r="43754" ht="16.5" customHeight="1">
      <c r="O43754" s="5" t="s">
        <v>355</v>
      </c>
      <c r="P43754" s="5" t="s">
        <v>355</v>
      </c>
      <c r="Q43754" s="5" t="s">
        <v>355</v>
      </c>
    </row>
    <row r="43755" ht="16.5" customHeight="1">
      <c r="O43755" s="5" t="s">
        <v>355</v>
      </c>
      <c r="P43755" s="5" t="s">
        <v>355</v>
      </c>
      <c r="Q43755" s="5" t="s">
        <v>355</v>
      </c>
    </row>
    <row r="43756" ht="16.5" customHeight="1">
      <c r="O43756" s="5" t="s">
        <v>355</v>
      </c>
      <c r="P43756" s="5" t="s">
        <v>355</v>
      </c>
      <c r="Q43756" s="5" t="s">
        <v>355</v>
      </c>
    </row>
    <row r="43757" ht="16.5" customHeight="1">
      <c r="O43757" s="5" t="s">
        <v>355</v>
      </c>
      <c r="P43757" s="5" t="s">
        <v>355</v>
      </c>
      <c r="Q43757" s="5" t="s">
        <v>355</v>
      </c>
    </row>
    <row r="43758" ht="16.5" customHeight="1">
      <c r="O43758" s="5" t="s">
        <v>355</v>
      </c>
      <c r="P43758" s="5" t="s">
        <v>355</v>
      </c>
      <c r="Q43758" s="5" t="s">
        <v>355</v>
      </c>
    </row>
    <row r="43759" ht="16.5" customHeight="1">
      <c r="O43759" s="5" t="s">
        <v>355</v>
      </c>
      <c r="P43759" s="5" t="s">
        <v>355</v>
      </c>
      <c r="Q43759" s="5" t="s">
        <v>355</v>
      </c>
    </row>
    <row r="43760" ht="16.5" customHeight="1">
      <c r="O43760" s="5" t="s">
        <v>355</v>
      </c>
      <c r="P43760" s="5" t="s">
        <v>355</v>
      </c>
      <c r="Q43760" s="5" t="s">
        <v>355</v>
      </c>
    </row>
    <row r="43761" ht="16.5" customHeight="1">
      <c r="O43761" s="5" t="s">
        <v>355</v>
      </c>
      <c r="P43761" s="5" t="s">
        <v>355</v>
      </c>
      <c r="Q43761" s="5" t="s">
        <v>355</v>
      </c>
    </row>
    <row r="43762" ht="16.5" customHeight="1">
      <c r="O43762" s="5" t="s">
        <v>355</v>
      </c>
      <c r="P43762" s="5" t="s">
        <v>355</v>
      </c>
      <c r="Q43762" s="5" t="s">
        <v>355</v>
      </c>
    </row>
    <row r="43763" ht="16.5" customHeight="1">
      <c r="O43763" s="5" t="s">
        <v>355</v>
      </c>
      <c r="P43763" s="5" t="s">
        <v>355</v>
      </c>
      <c r="Q43763" s="5" t="s">
        <v>355</v>
      </c>
    </row>
    <row r="43764" ht="16.5" customHeight="1">
      <c r="O43764" s="5" t="s">
        <v>355</v>
      </c>
      <c r="P43764" s="5" t="s">
        <v>355</v>
      </c>
      <c r="Q43764" s="5" t="s">
        <v>355</v>
      </c>
    </row>
    <row r="43765" ht="16.5" customHeight="1">
      <c r="O43765" s="5" t="s">
        <v>355</v>
      </c>
      <c r="P43765" s="5" t="s">
        <v>355</v>
      </c>
      <c r="Q43765" s="5" t="s">
        <v>355</v>
      </c>
    </row>
    <row r="43766" ht="16.5" customHeight="1">
      <c r="O43766" s="5" t="s">
        <v>355</v>
      </c>
      <c r="P43766" s="5" t="s">
        <v>355</v>
      </c>
      <c r="Q43766" s="5" t="s">
        <v>355</v>
      </c>
    </row>
    <row r="43767" ht="16.5" customHeight="1">
      <c r="O43767" s="5" t="s">
        <v>355</v>
      </c>
      <c r="P43767" s="5" t="s">
        <v>355</v>
      </c>
      <c r="Q43767" s="5" t="s">
        <v>355</v>
      </c>
    </row>
    <row r="43768" ht="16.5" customHeight="1">
      <c r="O43768" s="5" t="s">
        <v>355</v>
      </c>
      <c r="P43768" s="5" t="s">
        <v>355</v>
      </c>
      <c r="Q43768" s="5" t="s">
        <v>355</v>
      </c>
    </row>
    <row r="43769" ht="16.5" customHeight="1">
      <c r="O43769" s="5" t="s">
        <v>355</v>
      </c>
      <c r="P43769" s="5" t="s">
        <v>355</v>
      </c>
      <c r="Q43769" s="5" t="s">
        <v>355</v>
      </c>
    </row>
    <row r="43770" ht="16.5" customHeight="1">
      <c r="O43770" s="5" t="s">
        <v>355</v>
      </c>
      <c r="P43770" s="5" t="s">
        <v>355</v>
      </c>
      <c r="Q43770" s="5" t="s">
        <v>355</v>
      </c>
    </row>
    <row r="43771" ht="16.5" customHeight="1">
      <c r="O43771" s="5" t="s">
        <v>355</v>
      </c>
      <c r="P43771" s="5" t="s">
        <v>355</v>
      </c>
      <c r="Q43771" s="5" t="s">
        <v>355</v>
      </c>
    </row>
    <row r="43772" ht="16.5" customHeight="1">
      <c r="O43772" s="5" t="s">
        <v>355</v>
      </c>
      <c r="P43772" s="5" t="s">
        <v>355</v>
      </c>
      <c r="Q43772" s="5" t="s">
        <v>355</v>
      </c>
    </row>
    <row r="43773" ht="16.5" customHeight="1">
      <c r="O43773" s="5" t="s">
        <v>355</v>
      </c>
      <c r="P43773" s="5" t="s">
        <v>355</v>
      </c>
      <c r="Q43773" s="5" t="s">
        <v>355</v>
      </c>
    </row>
    <row r="43774" ht="16.5" customHeight="1">
      <c r="O43774" s="5" t="s">
        <v>355</v>
      </c>
      <c r="P43774" s="5" t="s">
        <v>355</v>
      </c>
      <c r="Q43774" s="5" t="s">
        <v>355</v>
      </c>
    </row>
    <row r="43775" ht="16.5" customHeight="1">
      <c r="O43775" s="5" t="s">
        <v>355</v>
      </c>
      <c r="P43775" s="5" t="s">
        <v>355</v>
      </c>
      <c r="Q43775" s="5" t="s">
        <v>355</v>
      </c>
    </row>
    <row r="43776" ht="16.5" customHeight="1">
      <c r="O43776" s="5" t="s">
        <v>355</v>
      </c>
      <c r="P43776" s="5" t="s">
        <v>355</v>
      </c>
      <c r="Q43776" s="5" t="s">
        <v>355</v>
      </c>
    </row>
    <row r="43777" ht="16.5" customHeight="1">
      <c r="O43777" s="5" t="s">
        <v>355</v>
      </c>
      <c r="P43777" s="5" t="s">
        <v>355</v>
      </c>
      <c r="Q43777" s="5" t="s">
        <v>355</v>
      </c>
    </row>
    <row r="43778" ht="16.5" customHeight="1">
      <c r="O43778" s="5" t="s">
        <v>355</v>
      </c>
      <c r="P43778" s="5" t="s">
        <v>355</v>
      </c>
      <c r="Q43778" s="5" t="s">
        <v>355</v>
      </c>
    </row>
    <row r="43779" ht="16.5" customHeight="1">
      <c r="O43779" s="5" t="s">
        <v>355</v>
      </c>
      <c r="P43779" s="5" t="s">
        <v>355</v>
      </c>
      <c r="Q43779" s="5" t="s">
        <v>355</v>
      </c>
    </row>
    <row r="43780" ht="16.5" customHeight="1">
      <c r="O43780" s="5" t="s">
        <v>355</v>
      </c>
      <c r="P43780" s="5" t="s">
        <v>355</v>
      </c>
      <c r="Q43780" s="5" t="s">
        <v>355</v>
      </c>
    </row>
    <row r="43781" ht="16.5" customHeight="1">
      <c r="O43781" s="5" t="s">
        <v>355</v>
      </c>
      <c r="P43781" s="5" t="s">
        <v>355</v>
      </c>
      <c r="Q43781" s="5" t="s">
        <v>355</v>
      </c>
    </row>
    <row r="43782" ht="16.5" customHeight="1">
      <c r="O43782" s="5" t="s">
        <v>355</v>
      </c>
      <c r="P43782" s="5" t="s">
        <v>355</v>
      </c>
      <c r="Q43782" s="5" t="s">
        <v>355</v>
      </c>
    </row>
    <row r="43783" ht="16.5" customHeight="1">
      <c r="O43783" s="5" t="s">
        <v>355</v>
      </c>
      <c r="P43783" s="5" t="s">
        <v>355</v>
      </c>
      <c r="Q43783" s="5" t="s">
        <v>355</v>
      </c>
    </row>
    <row r="43784" ht="16.5" customHeight="1">
      <c r="O43784" s="5" t="s">
        <v>355</v>
      </c>
      <c r="P43784" s="5" t="s">
        <v>355</v>
      </c>
      <c r="Q43784" s="5" t="s">
        <v>355</v>
      </c>
    </row>
    <row r="43785" ht="16.5" customHeight="1">
      <c r="O43785" s="5" t="s">
        <v>355</v>
      </c>
      <c r="P43785" s="5" t="s">
        <v>355</v>
      </c>
      <c r="Q43785" s="5" t="s">
        <v>355</v>
      </c>
    </row>
    <row r="43786" ht="16.5" customHeight="1">
      <c r="O43786" s="5" t="s">
        <v>355</v>
      </c>
      <c r="P43786" s="5" t="s">
        <v>355</v>
      </c>
      <c r="Q43786" s="5" t="s">
        <v>355</v>
      </c>
    </row>
    <row r="43787" ht="16.5" customHeight="1">
      <c r="O43787" s="5" t="s">
        <v>355</v>
      </c>
      <c r="P43787" s="5" t="s">
        <v>355</v>
      </c>
      <c r="Q43787" s="5" t="s">
        <v>355</v>
      </c>
    </row>
    <row r="43788" ht="16.5" customHeight="1">
      <c r="O43788" s="5" t="s">
        <v>355</v>
      </c>
      <c r="P43788" s="5" t="s">
        <v>355</v>
      </c>
      <c r="Q43788" s="5" t="s">
        <v>355</v>
      </c>
    </row>
    <row r="43789" ht="16.5" customHeight="1">
      <c r="O43789" s="5" t="s">
        <v>355</v>
      </c>
      <c r="P43789" s="5" t="s">
        <v>355</v>
      </c>
      <c r="Q43789" s="5" t="s">
        <v>355</v>
      </c>
    </row>
    <row r="43790" ht="16.5" customHeight="1">
      <c r="O43790" s="5" t="s">
        <v>355</v>
      </c>
      <c r="P43790" s="5" t="s">
        <v>355</v>
      </c>
      <c r="Q43790" s="5" t="s">
        <v>355</v>
      </c>
    </row>
    <row r="43791" ht="16.5" customHeight="1">
      <c r="O43791" s="5" t="s">
        <v>355</v>
      </c>
      <c r="P43791" s="5" t="s">
        <v>355</v>
      </c>
      <c r="Q43791" s="5" t="s">
        <v>355</v>
      </c>
    </row>
    <row r="43792" ht="16.5" customHeight="1">
      <c r="O43792" s="5" t="s">
        <v>355</v>
      </c>
      <c r="P43792" s="5" t="s">
        <v>355</v>
      </c>
      <c r="Q43792" s="5" t="s">
        <v>355</v>
      </c>
    </row>
    <row r="43793" ht="16.5" customHeight="1">
      <c r="O43793" s="5" t="s">
        <v>355</v>
      </c>
      <c r="P43793" s="5" t="s">
        <v>355</v>
      </c>
      <c r="Q43793" s="5" t="s">
        <v>355</v>
      </c>
    </row>
    <row r="43794" ht="16.5" customHeight="1">
      <c r="O43794" s="5" t="s">
        <v>355</v>
      </c>
      <c r="P43794" s="5" t="s">
        <v>355</v>
      </c>
      <c r="Q43794" s="5" t="s">
        <v>355</v>
      </c>
    </row>
    <row r="43795" ht="16.5" customHeight="1">
      <c r="O43795" s="5" t="s">
        <v>355</v>
      </c>
      <c r="P43795" s="5" t="s">
        <v>355</v>
      </c>
      <c r="Q43795" s="5" t="s">
        <v>355</v>
      </c>
    </row>
    <row r="43796" ht="16.5" customHeight="1">
      <c r="O43796" s="5" t="s">
        <v>355</v>
      </c>
      <c r="P43796" s="5" t="s">
        <v>355</v>
      </c>
      <c r="Q43796" s="5" t="s">
        <v>355</v>
      </c>
    </row>
    <row r="43797" ht="16.5" customHeight="1">
      <c r="O43797" s="5" t="s">
        <v>355</v>
      </c>
      <c r="P43797" s="5" t="s">
        <v>355</v>
      </c>
      <c r="Q43797" s="5" t="s">
        <v>355</v>
      </c>
    </row>
    <row r="43798" ht="16.5" customHeight="1">
      <c r="O43798" s="5" t="s">
        <v>355</v>
      </c>
      <c r="P43798" s="5" t="s">
        <v>355</v>
      </c>
      <c r="Q43798" s="5" t="s">
        <v>355</v>
      </c>
    </row>
    <row r="43799" ht="16.5" customHeight="1">
      <c r="O43799" s="5" t="s">
        <v>355</v>
      </c>
      <c r="P43799" s="5" t="s">
        <v>355</v>
      </c>
      <c r="Q43799" s="5" t="s">
        <v>355</v>
      </c>
    </row>
    <row r="43800" ht="16.5" customHeight="1">
      <c r="O43800" s="5" t="s">
        <v>355</v>
      </c>
      <c r="P43800" s="5" t="s">
        <v>355</v>
      </c>
      <c r="Q43800" s="5" t="s">
        <v>355</v>
      </c>
    </row>
    <row r="43801" ht="16.5" customHeight="1">
      <c r="O43801" s="5" t="s">
        <v>355</v>
      </c>
      <c r="P43801" s="5" t="s">
        <v>355</v>
      </c>
      <c r="Q43801" s="5" t="s">
        <v>355</v>
      </c>
    </row>
    <row r="43802" ht="16.5" customHeight="1">
      <c r="O43802" s="5" t="s">
        <v>355</v>
      </c>
      <c r="P43802" s="5" t="s">
        <v>355</v>
      </c>
      <c r="Q43802" s="5" t="s">
        <v>355</v>
      </c>
    </row>
    <row r="43803" ht="16.5" customHeight="1">
      <c r="O43803" s="5" t="s">
        <v>355</v>
      </c>
      <c r="P43803" s="5" t="s">
        <v>355</v>
      </c>
      <c r="Q43803" s="5" t="s">
        <v>355</v>
      </c>
    </row>
    <row r="43804" ht="16.5" customHeight="1">
      <c r="O43804" s="5" t="s">
        <v>355</v>
      </c>
      <c r="P43804" s="5" t="s">
        <v>355</v>
      </c>
      <c r="Q43804" s="5" t="s">
        <v>355</v>
      </c>
    </row>
    <row r="43805" ht="16.5" customHeight="1">
      <c r="O43805" s="5" t="s">
        <v>355</v>
      </c>
      <c r="P43805" s="5" t="s">
        <v>355</v>
      </c>
      <c r="Q43805" s="5" t="s">
        <v>355</v>
      </c>
    </row>
    <row r="43806" ht="16.5" customHeight="1">
      <c r="O43806" s="5" t="s">
        <v>355</v>
      </c>
      <c r="P43806" s="5" t="s">
        <v>355</v>
      </c>
      <c r="Q43806" s="5" t="s">
        <v>355</v>
      </c>
    </row>
    <row r="43807" ht="16.5" customHeight="1">
      <c r="O43807" s="5" t="s">
        <v>355</v>
      </c>
      <c r="P43807" s="5" t="s">
        <v>355</v>
      </c>
      <c r="Q43807" s="5" t="s">
        <v>355</v>
      </c>
    </row>
    <row r="43808" ht="16.5" customHeight="1">
      <c r="O43808" s="5" t="s">
        <v>355</v>
      </c>
      <c r="P43808" s="5" t="s">
        <v>355</v>
      </c>
      <c r="Q43808" s="5" t="s">
        <v>355</v>
      </c>
    </row>
    <row r="43809" ht="16.5" customHeight="1">
      <c r="O43809" s="5" t="s">
        <v>355</v>
      </c>
      <c r="P43809" s="5" t="s">
        <v>355</v>
      </c>
      <c r="Q43809" s="5" t="s">
        <v>355</v>
      </c>
    </row>
    <row r="43810" ht="16.5" customHeight="1">
      <c r="O43810" s="5" t="s">
        <v>355</v>
      </c>
      <c r="P43810" s="5" t="s">
        <v>355</v>
      </c>
      <c r="Q43810" s="5" t="s">
        <v>355</v>
      </c>
    </row>
    <row r="43811" ht="16.5" customHeight="1">
      <c r="O43811" s="5" t="s">
        <v>355</v>
      </c>
      <c r="P43811" s="5" t="s">
        <v>355</v>
      </c>
      <c r="Q43811" s="5" t="s">
        <v>355</v>
      </c>
    </row>
    <row r="43812" ht="16.5" customHeight="1">
      <c r="O43812" s="5" t="s">
        <v>355</v>
      </c>
      <c r="P43812" s="5" t="s">
        <v>355</v>
      </c>
      <c r="Q43812" s="5" t="s">
        <v>355</v>
      </c>
    </row>
    <row r="43813" ht="16.5" customHeight="1">
      <c r="O43813" s="5" t="s">
        <v>355</v>
      </c>
      <c r="P43813" s="5" t="s">
        <v>355</v>
      </c>
      <c r="Q43813" s="5" t="s">
        <v>355</v>
      </c>
    </row>
    <row r="43814" ht="16.5" customHeight="1">
      <c r="O43814" s="5" t="s">
        <v>355</v>
      </c>
      <c r="P43814" s="5" t="s">
        <v>355</v>
      </c>
      <c r="Q43814" s="5" t="s">
        <v>355</v>
      </c>
    </row>
    <row r="43815" ht="16.5" customHeight="1">
      <c r="O43815" s="5" t="s">
        <v>355</v>
      </c>
      <c r="P43815" s="5" t="s">
        <v>355</v>
      </c>
      <c r="Q43815" s="5" t="s">
        <v>355</v>
      </c>
    </row>
    <row r="43816" ht="16.5" customHeight="1">
      <c r="O43816" s="5" t="s">
        <v>355</v>
      </c>
      <c r="P43816" s="5" t="s">
        <v>355</v>
      </c>
      <c r="Q43816" s="5" t="s">
        <v>355</v>
      </c>
    </row>
    <row r="43817" ht="16.5" customHeight="1">
      <c r="O43817" s="5" t="s">
        <v>355</v>
      </c>
      <c r="P43817" s="5" t="s">
        <v>355</v>
      </c>
      <c r="Q43817" s="5" t="s">
        <v>355</v>
      </c>
    </row>
    <row r="43818" ht="16.5" customHeight="1">
      <c r="O43818" s="5" t="s">
        <v>355</v>
      </c>
      <c r="P43818" s="5" t="s">
        <v>355</v>
      </c>
      <c r="Q43818" s="5" t="s">
        <v>355</v>
      </c>
    </row>
    <row r="43819" ht="16.5" customHeight="1">
      <c r="O43819" s="5" t="s">
        <v>355</v>
      </c>
      <c r="P43819" s="5" t="s">
        <v>355</v>
      </c>
      <c r="Q43819" s="5" t="s">
        <v>355</v>
      </c>
    </row>
    <row r="43820" ht="16.5" customHeight="1">
      <c r="O43820" s="5" t="s">
        <v>355</v>
      </c>
      <c r="P43820" s="5" t="s">
        <v>355</v>
      </c>
      <c r="Q43820" s="5" t="s">
        <v>355</v>
      </c>
    </row>
    <row r="43821" ht="16.5" customHeight="1">
      <c r="O43821" s="5" t="s">
        <v>355</v>
      </c>
      <c r="P43821" s="5" t="s">
        <v>355</v>
      </c>
      <c r="Q43821" s="5" t="s">
        <v>355</v>
      </c>
    </row>
    <row r="43822" ht="16.5" customHeight="1">
      <c r="O43822" s="5" t="s">
        <v>355</v>
      </c>
      <c r="P43822" s="5" t="s">
        <v>355</v>
      </c>
      <c r="Q43822" s="5" t="s">
        <v>355</v>
      </c>
    </row>
    <row r="43823" ht="16.5" customHeight="1">
      <c r="O43823" s="5" t="s">
        <v>355</v>
      </c>
      <c r="P43823" s="5" t="s">
        <v>355</v>
      </c>
      <c r="Q43823" s="5" t="s">
        <v>355</v>
      </c>
    </row>
    <row r="43824" ht="16.5" customHeight="1">
      <c r="O43824" s="5" t="s">
        <v>355</v>
      </c>
      <c r="P43824" s="5" t="s">
        <v>355</v>
      </c>
      <c r="Q43824" s="5" t="s">
        <v>355</v>
      </c>
    </row>
    <row r="43825" ht="16.5" customHeight="1">
      <c r="O43825" s="5" t="s">
        <v>355</v>
      </c>
      <c r="P43825" s="5" t="s">
        <v>355</v>
      </c>
      <c r="Q43825" s="5" t="s">
        <v>355</v>
      </c>
    </row>
    <row r="43826" ht="16.5" customHeight="1">
      <c r="O43826" s="5" t="s">
        <v>355</v>
      </c>
      <c r="P43826" s="5" t="s">
        <v>355</v>
      </c>
      <c r="Q43826" s="5" t="s">
        <v>355</v>
      </c>
    </row>
    <row r="43827" ht="16.5" customHeight="1">
      <c r="O43827" s="5" t="s">
        <v>355</v>
      </c>
      <c r="P43827" s="5" t="s">
        <v>355</v>
      </c>
      <c r="Q43827" s="5" t="s">
        <v>355</v>
      </c>
    </row>
    <row r="43828" ht="16.5" customHeight="1">
      <c r="O43828" s="5" t="s">
        <v>355</v>
      </c>
      <c r="P43828" s="5" t="s">
        <v>355</v>
      </c>
      <c r="Q43828" s="5" t="s">
        <v>355</v>
      </c>
    </row>
    <row r="43829" ht="16.5" customHeight="1">
      <c r="O43829" s="5" t="s">
        <v>355</v>
      </c>
      <c r="P43829" s="5" t="s">
        <v>355</v>
      </c>
      <c r="Q43829" s="5" t="s">
        <v>355</v>
      </c>
    </row>
    <row r="43830" ht="16.5" customHeight="1">
      <c r="O43830" s="5" t="s">
        <v>355</v>
      </c>
      <c r="P43830" s="5" t="s">
        <v>355</v>
      </c>
      <c r="Q43830" s="5" t="s">
        <v>355</v>
      </c>
    </row>
    <row r="43831" ht="16.5" customHeight="1">
      <c r="O43831" s="5" t="s">
        <v>355</v>
      </c>
      <c r="P43831" s="5" t="s">
        <v>355</v>
      </c>
      <c r="Q43831" s="5" t="s">
        <v>355</v>
      </c>
    </row>
    <row r="43832" ht="16.5" customHeight="1">
      <c r="O43832" s="5" t="s">
        <v>355</v>
      </c>
      <c r="P43832" s="5" t="s">
        <v>355</v>
      </c>
      <c r="Q43832" s="5" t="s">
        <v>355</v>
      </c>
    </row>
    <row r="43833" ht="16.5" customHeight="1">
      <c r="O43833" s="5" t="s">
        <v>355</v>
      </c>
      <c r="P43833" s="5" t="s">
        <v>355</v>
      </c>
      <c r="Q43833" s="5" t="s">
        <v>355</v>
      </c>
    </row>
    <row r="43834" ht="16.5" customHeight="1">
      <c r="O43834" s="5" t="s">
        <v>355</v>
      </c>
      <c r="P43834" s="5" t="s">
        <v>355</v>
      </c>
      <c r="Q43834" s="5" t="s">
        <v>355</v>
      </c>
    </row>
    <row r="43835" ht="16.5" customHeight="1">
      <c r="O43835" s="5" t="s">
        <v>355</v>
      </c>
      <c r="P43835" s="5" t="s">
        <v>355</v>
      </c>
      <c r="Q43835" s="5" t="s">
        <v>355</v>
      </c>
    </row>
    <row r="43836" ht="16.5" customHeight="1">
      <c r="O43836" s="5" t="s">
        <v>355</v>
      </c>
      <c r="P43836" s="5" t="s">
        <v>355</v>
      </c>
      <c r="Q43836" s="5" t="s">
        <v>355</v>
      </c>
    </row>
    <row r="43837" ht="16.5" customHeight="1">
      <c r="O43837" s="5" t="s">
        <v>355</v>
      </c>
      <c r="P43837" s="5" t="s">
        <v>355</v>
      </c>
      <c r="Q43837" s="5" t="s">
        <v>355</v>
      </c>
    </row>
    <row r="43838" ht="16.5" customHeight="1">
      <c r="O43838" s="5" t="s">
        <v>355</v>
      </c>
      <c r="P43838" s="5" t="s">
        <v>355</v>
      </c>
      <c r="Q43838" s="5" t="s">
        <v>355</v>
      </c>
    </row>
    <row r="43839" ht="16.5" customHeight="1">
      <c r="O43839" s="5" t="s">
        <v>355</v>
      </c>
      <c r="P43839" s="5" t="s">
        <v>355</v>
      </c>
      <c r="Q43839" s="5" t="s">
        <v>355</v>
      </c>
    </row>
    <row r="43840" ht="16.5" customHeight="1">
      <c r="O43840" s="5" t="s">
        <v>355</v>
      </c>
      <c r="P43840" s="5" t="s">
        <v>355</v>
      </c>
      <c r="Q43840" s="5" t="s">
        <v>355</v>
      </c>
    </row>
    <row r="43841" ht="16.5" customHeight="1">
      <c r="O43841" s="5" t="s">
        <v>355</v>
      </c>
      <c r="P43841" s="5" t="s">
        <v>355</v>
      </c>
      <c r="Q43841" s="5" t="s">
        <v>355</v>
      </c>
    </row>
    <row r="43842" ht="16.5" customHeight="1">
      <c r="O43842" s="5" t="s">
        <v>355</v>
      </c>
      <c r="P43842" s="5" t="s">
        <v>355</v>
      </c>
      <c r="Q43842" s="5" t="s">
        <v>355</v>
      </c>
    </row>
    <row r="43843" ht="16.5" customHeight="1">
      <c r="O43843" s="5" t="s">
        <v>355</v>
      </c>
      <c r="P43843" s="5" t="s">
        <v>355</v>
      </c>
      <c r="Q43843" s="5" t="s">
        <v>355</v>
      </c>
    </row>
    <row r="43844" ht="16.5" customHeight="1">
      <c r="O43844" s="5" t="s">
        <v>355</v>
      </c>
      <c r="P43844" s="5" t="s">
        <v>355</v>
      </c>
      <c r="Q43844" s="5" t="s">
        <v>355</v>
      </c>
    </row>
    <row r="43845" ht="16.5" customHeight="1">
      <c r="O43845" s="5" t="s">
        <v>355</v>
      </c>
      <c r="P43845" s="5" t="s">
        <v>355</v>
      </c>
      <c r="Q43845" s="5" t="s">
        <v>355</v>
      </c>
    </row>
    <row r="43846" ht="16.5" customHeight="1">
      <c r="O43846" s="5" t="s">
        <v>355</v>
      </c>
      <c r="P43846" s="5" t="s">
        <v>355</v>
      </c>
      <c r="Q43846" s="5" t="s">
        <v>355</v>
      </c>
    </row>
    <row r="43847" ht="16.5" customHeight="1">
      <c r="O43847" s="5" t="s">
        <v>355</v>
      </c>
      <c r="P43847" s="5" t="s">
        <v>355</v>
      </c>
      <c r="Q43847" s="5" t="s">
        <v>355</v>
      </c>
    </row>
    <row r="43848" ht="16.5" customHeight="1">
      <c r="O43848" s="5" t="s">
        <v>355</v>
      </c>
      <c r="P43848" s="5" t="s">
        <v>355</v>
      </c>
      <c r="Q43848" s="5" t="s">
        <v>355</v>
      </c>
    </row>
    <row r="43849" ht="16.5" customHeight="1">
      <c r="O43849" s="5" t="s">
        <v>355</v>
      </c>
      <c r="P43849" s="5" t="s">
        <v>355</v>
      </c>
      <c r="Q43849" s="5" t="s">
        <v>355</v>
      </c>
    </row>
    <row r="43850" ht="16.5" customHeight="1">
      <c r="O43850" s="5" t="s">
        <v>355</v>
      </c>
      <c r="P43850" s="5" t="s">
        <v>355</v>
      </c>
      <c r="Q43850" s="5" t="s">
        <v>355</v>
      </c>
    </row>
    <row r="43851" ht="16.5" customHeight="1">
      <c r="O43851" s="5" t="s">
        <v>355</v>
      </c>
      <c r="P43851" s="5" t="s">
        <v>355</v>
      </c>
      <c r="Q43851" s="5" t="s">
        <v>355</v>
      </c>
    </row>
    <row r="43852" ht="16.5" customHeight="1">
      <c r="O43852" s="5" t="s">
        <v>355</v>
      </c>
      <c r="P43852" s="5" t="s">
        <v>355</v>
      </c>
      <c r="Q43852" s="5" t="s">
        <v>355</v>
      </c>
    </row>
    <row r="43853" ht="16.5" customHeight="1">
      <c r="O43853" s="5" t="s">
        <v>355</v>
      </c>
      <c r="P43853" s="5" t="s">
        <v>355</v>
      </c>
      <c r="Q43853" s="5" t="s">
        <v>355</v>
      </c>
    </row>
    <row r="43854" ht="16.5" customHeight="1">
      <c r="O43854" s="5" t="s">
        <v>355</v>
      </c>
      <c r="P43854" s="5" t="s">
        <v>355</v>
      </c>
      <c r="Q43854" s="5" t="s">
        <v>355</v>
      </c>
    </row>
    <row r="43855" ht="16.5" customHeight="1">
      <c r="O43855" s="5" t="s">
        <v>355</v>
      </c>
      <c r="P43855" s="5" t="s">
        <v>355</v>
      </c>
      <c r="Q43855" s="5" t="s">
        <v>355</v>
      </c>
    </row>
    <row r="43856" ht="16.5" customHeight="1">
      <c r="O43856" s="5" t="s">
        <v>355</v>
      </c>
      <c r="P43856" s="5" t="s">
        <v>355</v>
      </c>
      <c r="Q43856" s="5" t="s">
        <v>355</v>
      </c>
    </row>
    <row r="43857" ht="16.5" customHeight="1">
      <c r="O43857" s="5" t="s">
        <v>355</v>
      </c>
      <c r="P43857" s="5" t="s">
        <v>355</v>
      </c>
      <c r="Q43857" s="5" t="s">
        <v>355</v>
      </c>
    </row>
    <row r="43858" ht="16.5" customHeight="1">
      <c r="O43858" s="5" t="s">
        <v>355</v>
      </c>
      <c r="P43858" s="5" t="s">
        <v>355</v>
      </c>
      <c r="Q43858" s="5" t="s">
        <v>355</v>
      </c>
    </row>
    <row r="43859" ht="16.5" customHeight="1">
      <c r="O43859" s="5" t="s">
        <v>355</v>
      </c>
      <c r="P43859" s="5" t="s">
        <v>355</v>
      </c>
      <c r="Q43859" s="5" t="s">
        <v>355</v>
      </c>
    </row>
    <row r="43860" ht="16.5" customHeight="1">
      <c r="O43860" s="5" t="s">
        <v>355</v>
      </c>
      <c r="P43860" s="5" t="s">
        <v>355</v>
      </c>
      <c r="Q43860" s="5" t="s">
        <v>355</v>
      </c>
    </row>
    <row r="43861" ht="16.5" customHeight="1">
      <c r="O43861" s="5" t="s">
        <v>355</v>
      </c>
      <c r="P43861" s="5" t="s">
        <v>355</v>
      </c>
      <c r="Q43861" s="5" t="s">
        <v>355</v>
      </c>
    </row>
    <row r="43862" ht="16.5" customHeight="1">
      <c r="O43862" s="5" t="s">
        <v>355</v>
      </c>
      <c r="P43862" s="5" t="s">
        <v>355</v>
      </c>
      <c r="Q43862" s="5" t="s">
        <v>355</v>
      </c>
    </row>
    <row r="43863" ht="16.5" customHeight="1">
      <c r="O43863" s="5" t="s">
        <v>355</v>
      </c>
      <c r="P43863" s="5" t="s">
        <v>355</v>
      </c>
      <c r="Q43863" s="5" t="s">
        <v>355</v>
      </c>
    </row>
    <row r="43864" ht="16.5" customHeight="1">
      <c r="O43864" s="5" t="s">
        <v>355</v>
      </c>
      <c r="P43864" s="5" t="s">
        <v>355</v>
      </c>
      <c r="Q43864" s="5" t="s">
        <v>355</v>
      </c>
    </row>
    <row r="43865" ht="16.5" customHeight="1">
      <c r="O43865" s="5" t="s">
        <v>355</v>
      </c>
      <c r="P43865" s="5" t="s">
        <v>355</v>
      </c>
      <c r="Q43865" s="5" t="s">
        <v>355</v>
      </c>
    </row>
    <row r="43866" ht="16.5" customHeight="1">
      <c r="O43866" s="5" t="s">
        <v>355</v>
      </c>
      <c r="P43866" s="5" t="s">
        <v>355</v>
      </c>
      <c r="Q43866" s="5" t="s">
        <v>355</v>
      </c>
    </row>
    <row r="43867" ht="16.5" customHeight="1">
      <c r="O43867" s="5" t="s">
        <v>355</v>
      </c>
      <c r="P43867" s="5" t="s">
        <v>355</v>
      </c>
      <c r="Q43867" s="5" t="s">
        <v>355</v>
      </c>
    </row>
    <row r="43868" ht="16.5" customHeight="1">
      <c r="O43868" s="5" t="s">
        <v>355</v>
      </c>
      <c r="P43868" s="5" t="s">
        <v>355</v>
      </c>
      <c r="Q43868" s="5" t="s">
        <v>355</v>
      </c>
    </row>
    <row r="43869" ht="16.5" customHeight="1">
      <c r="O43869" s="5" t="s">
        <v>355</v>
      </c>
      <c r="P43869" s="5" t="s">
        <v>355</v>
      </c>
      <c r="Q43869" s="5" t="s">
        <v>355</v>
      </c>
    </row>
    <row r="43870" ht="16.5" customHeight="1">
      <c r="O43870" s="5" t="s">
        <v>355</v>
      </c>
      <c r="P43870" s="5" t="s">
        <v>355</v>
      </c>
      <c r="Q43870" s="5" t="s">
        <v>355</v>
      </c>
    </row>
    <row r="43871" ht="16.5" customHeight="1">
      <c r="O43871" s="5" t="s">
        <v>355</v>
      </c>
      <c r="P43871" s="5" t="s">
        <v>355</v>
      </c>
      <c r="Q43871" s="5" t="s">
        <v>355</v>
      </c>
    </row>
    <row r="43872" ht="16.5" customHeight="1">
      <c r="O43872" s="5" t="s">
        <v>355</v>
      </c>
      <c r="P43872" s="5" t="s">
        <v>355</v>
      </c>
      <c r="Q43872" s="5" t="s">
        <v>355</v>
      </c>
    </row>
    <row r="43873" ht="16.5" customHeight="1">
      <c r="O43873" s="5" t="s">
        <v>355</v>
      </c>
      <c r="P43873" s="5" t="s">
        <v>355</v>
      </c>
      <c r="Q43873" s="5" t="s">
        <v>355</v>
      </c>
    </row>
    <row r="43874" ht="16.5" customHeight="1">
      <c r="O43874" s="5" t="s">
        <v>355</v>
      </c>
      <c r="P43874" s="5" t="s">
        <v>355</v>
      </c>
      <c r="Q43874" s="5" t="s">
        <v>355</v>
      </c>
    </row>
    <row r="43875" ht="16.5" customHeight="1">
      <c r="O43875" s="5" t="s">
        <v>355</v>
      </c>
      <c r="P43875" s="5" t="s">
        <v>355</v>
      </c>
      <c r="Q43875" s="5" t="s">
        <v>355</v>
      </c>
    </row>
    <row r="43876" ht="16.5" customHeight="1">
      <c r="O43876" s="5" t="s">
        <v>355</v>
      </c>
      <c r="P43876" s="5" t="s">
        <v>355</v>
      </c>
      <c r="Q43876" s="5" t="s">
        <v>355</v>
      </c>
    </row>
    <row r="43877" ht="16.5" customHeight="1">
      <c r="O43877" s="5" t="s">
        <v>355</v>
      </c>
      <c r="P43877" s="5" t="s">
        <v>355</v>
      </c>
      <c r="Q43877" s="5" t="s">
        <v>355</v>
      </c>
    </row>
    <row r="43878" ht="16.5" customHeight="1">
      <c r="O43878" s="5" t="s">
        <v>355</v>
      </c>
      <c r="P43878" s="5" t="s">
        <v>355</v>
      </c>
      <c r="Q43878" s="5" t="s">
        <v>355</v>
      </c>
    </row>
    <row r="43879" ht="16.5" customHeight="1">
      <c r="O43879" s="5" t="s">
        <v>355</v>
      </c>
      <c r="P43879" s="5" t="s">
        <v>355</v>
      </c>
      <c r="Q43879" s="5" t="s">
        <v>355</v>
      </c>
    </row>
    <row r="43880" ht="16.5" customHeight="1">
      <c r="O43880" s="5" t="s">
        <v>355</v>
      </c>
      <c r="P43880" s="5" t="s">
        <v>355</v>
      </c>
      <c r="Q43880" s="5" t="s">
        <v>355</v>
      </c>
    </row>
    <row r="43881" ht="16.5" customHeight="1">
      <c r="O43881" s="5" t="s">
        <v>355</v>
      </c>
      <c r="P43881" s="5" t="s">
        <v>355</v>
      </c>
      <c r="Q43881" s="5" t="s">
        <v>355</v>
      </c>
    </row>
    <row r="43882" ht="16.5" customHeight="1">
      <c r="O43882" s="5" t="s">
        <v>355</v>
      </c>
      <c r="P43882" s="5" t="s">
        <v>355</v>
      </c>
      <c r="Q43882" s="5" t="s">
        <v>355</v>
      </c>
    </row>
    <row r="43883" ht="16.5" customHeight="1">
      <c r="O43883" s="5" t="s">
        <v>355</v>
      </c>
      <c r="P43883" s="5" t="s">
        <v>355</v>
      </c>
      <c r="Q43883" s="5" t="s">
        <v>355</v>
      </c>
    </row>
    <row r="43884" ht="16.5" customHeight="1">
      <c r="O43884" s="5" t="s">
        <v>355</v>
      </c>
      <c r="P43884" s="5" t="s">
        <v>355</v>
      </c>
      <c r="Q43884" s="5" t="s">
        <v>355</v>
      </c>
    </row>
    <row r="43885" ht="16.5" customHeight="1">
      <c r="O43885" s="5" t="s">
        <v>355</v>
      </c>
      <c r="P43885" s="5" t="s">
        <v>355</v>
      </c>
      <c r="Q43885" s="5" t="s">
        <v>355</v>
      </c>
    </row>
    <row r="43886" ht="16.5" customHeight="1">
      <c r="O43886" s="5" t="s">
        <v>355</v>
      </c>
      <c r="P43886" s="5" t="s">
        <v>355</v>
      </c>
      <c r="Q43886" s="5" t="s">
        <v>355</v>
      </c>
    </row>
    <row r="43887" ht="16.5" customHeight="1">
      <c r="O43887" s="5" t="s">
        <v>355</v>
      </c>
      <c r="P43887" s="5" t="s">
        <v>355</v>
      </c>
      <c r="Q43887" s="5" t="s">
        <v>355</v>
      </c>
    </row>
    <row r="43888" ht="16.5" customHeight="1">
      <c r="O43888" s="5" t="s">
        <v>355</v>
      </c>
      <c r="P43888" s="5" t="s">
        <v>355</v>
      </c>
      <c r="Q43888" s="5" t="s">
        <v>355</v>
      </c>
    </row>
    <row r="43889" ht="16.5" customHeight="1">
      <c r="O43889" s="5" t="s">
        <v>355</v>
      </c>
      <c r="P43889" s="5" t="s">
        <v>355</v>
      </c>
      <c r="Q43889" s="5" t="s">
        <v>355</v>
      </c>
    </row>
    <row r="43890" ht="16.5" customHeight="1">
      <c r="O43890" s="5" t="s">
        <v>355</v>
      </c>
      <c r="P43890" s="5" t="s">
        <v>355</v>
      </c>
      <c r="Q43890" s="5" t="s">
        <v>355</v>
      </c>
    </row>
    <row r="43891" ht="16.5" customHeight="1">
      <c r="O43891" s="5" t="s">
        <v>355</v>
      </c>
      <c r="P43891" s="5" t="s">
        <v>355</v>
      </c>
      <c r="Q43891" s="5" t="s">
        <v>355</v>
      </c>
    </row>
    <row r="43892" ht="16.5" customHeight="1">
      <c r="O43892" s="5" t="s">
        <v>355</v>
      </c>
      <c r="P43892" s="5" t="s">
        <v>355</v>
      </c>
      <c r="Q43892" s="5" t="s">
        <v>355</v>
      </c>
    </row>
    <row r="43893" ht="16.5" customHeight="1">
      <c r="O43893" s="5" t="s">
        <v>355</v>
      </c>
      <c r="P43893" s="5" t="s">
        <v>355</v>
      </c>
      <c r="Q43893" s="5" t="s">
        <v>355</v>
      </c>
    </row>
    <row r="43894" ht="16.5" customHeight="1">
      <c r="O43894" s="5" t="s">
        <v>355</v>
      </c>
      <c r="P43894" s="5" t="s">
        <v>355</v>
      </c>
      <c r="Q43894" s="5" t="s">
        <v>355</v>
      </c>
    </row>
    <row r="43895" ht="16.5" customHeight="1">
      <c r="O43895" s="5" t="s">
        <v>355</v>
      </c>
      <c r="P43895" s="5" t="s">
        <v>355</v>
      </c>
      <c r="Q43895" s="5" t="s">
        <v>355</v>
      </c>
    </row>
    <row r="43896" ht="16.5" customHeight="1">
      <c r="O43896" s="5" t="s">
        <v>355</v>
      </c>
      <c r="P43896" s="5" t="s">
        <v>355</v>
      </c>
      <c r="Q43896" s="5" t="s">
        <v>355</v>
      </c>
    </row>
    <row r="43897" ht="16.5" customHeight="1">
      <c r="O43897" s="5" t="s">
        <v>355</v>
      </c>
      <c r="P43897" s="5" t="s">
        <v>355</v>
      </c>
      <c r="Q43897" s="5" t="s">
        <v>355</v>
      </c>
    </row>
    <row r="43898" ht="16.5" customHeight="1">
      <c r="O43898" s="5" t="s">
        <v>355</v>
      </c>
      <c r="P43898" s="5" t="s">
        <v>355</v>
      </c>
      <c r="Q43898" s="5" t="s">
        <v>355</v>
      </c>
    </row>
    <row r="43899" ht="16.5" customHeight="1">
      <c r="O43899" s="5" t="s">
        <v>355</v>
      </c>
      <c r="P43899" s="5" t="s">
        <v>355</v>
      </c>
      <c r="Q43899" s="5" t="s">
        <v>355</v>
      </c>
    </row>
    <row r="43900" ht="16.5" customHeight="1">
      <c r="O43900" s="5" t="s">
        <v>355</v>
      </c>
      <c r="P43900" s="5" t="s">
        <v>355</v>
      </c>
      <c r="Q43900" s="5" t="s">
        <v>355</v>
      </c>
    </row>
    <row r="43901" ht="16.5" customHeight="1">
      <c r="O43901" s="5" t="s">
        <v>355</v>
      </c>
      <c r="P43901" s="5" t="s">
        <v>355</v>
      </c>
      <c r="Q43901" s="5" t="s">
        <v>355</v>
      </c>
    </row>
    <row r="43902" ht="16.5" customHeight="1">
      <c r="O43902" s="5" t="s">
        <v>355</v>
      </c>
      <c r="P43902" s="5" t="s">
        <v>355</v>
      </c>
      <c r="Q43902" s="5" t="s">
        <v>355</v>
      </c>
    </row>
    <row r="43903" ht="16.5" customHeight="1">
      <c r="O43903" s="5" t="s">
        <v>355</v>
      </c>
      <c r="P43903" s="5" t="s">
        <v>355</v>
      </c>
      <c r="Q43903" s="5" t="s">
        <v>355</v>
      </c>
    </row>
    <row r="43904" ht="16.5" customHeight="1">
      <c r="O43904" s="5" t="s">
        <v>355</v>
      </c>
      <c r="P43904" s="5" t="s">
        <v>355</v>
      </c>
      <c r="Q43904" s="5" t="s">
        <v>355</v>
      </c>
    </row>
    <row r="43905" ht="16.5" customHeight="1">
      <c r="O43905" s="5" t="s">
        <v>355</v>
      </c>
      <c r="P43905" s="5" t="s">
        <v>355</v>
      </c>
      <c r="Q43905" s="5" t="s">
        <v>355</v>
      </c>
    </row>
    <row r="43906" ht="16.5" customHeight="1">
      <c r="O43906" s="5" t="s">
        <v>355</v>
      </c>
      <c r="P43906" s="5" t="s">
        <v>355</v>
      </c>
      <c r="Q43906" s="5" t="s">
        <v>355</v>
      </c>
    </row>
    <row r="43907" ht="16.5" customHeight="1">
      <c r="O43907" s="5" t="s">
        <v>355</v>
      </c>
      <c r="P43907" s="5" t="s">
        <v>355</v>
      </c>
      <c r="Q43907" s="5" t="s">
        <v>355</v>
      </c>
    </row>
    <row r="43908" ht="16.5" customHeight="1">
      <c r="O43908" s="5" t="s">
        <v>355</v>
      </c>
      <c r="P43908" s="5" t="s">
        <v>355</v>
      </c>
      <c r="Q43908" s="5" t="s">
        <v>355</v>
      </c>
    </row>
    <row r="43909" ht="16.5" customHeight="1">
      <c r="O43909" s="5" t="s">
        <v>355</v>
      </c>
      <c r="P43909" s="5" t="s">
        <v>355</v>
      </c>
      <c r="Q43909" s="5" t="s">
        <v>355</v>
      </c>
    </row>
    <row r="43910" ht="16.5" customHeight="1">
      <c r="O43910" s="5" t="s">
        <v>355</v>
      </c>
      <c r="P43910" s="5" t="s">
        <v>355</v>
      </c>
      <c r="Q43910" s="5" t="s">
        <v>355</v>
      </c>
    </row>
    <row r="43911" ht="16.5" customHeight="1">
      <c r="O43911" s="5" t="s">
        <v>355</v>
      </c>
      <c r="P43911" s="5" t="s">
        <v>355</v>
      </c>
      <c r="Q43911" s="5" t="s">
        <v>355</v>
      </c>
    </row>
    <row r="43912" ht="16.5" customHeight="1">
      <c r="O43912" s="5" t="s">
        <v>355</v>
      </c>
      <c r="P43912" s="5" t="s">
        <v>355</v>
      </c>
      <c r="Q43912" s="5" t="s">
        <v>355</v>
      </c>
    </row>
    <row r="43913" ht="16.5" customHeight="1">
      <c r="O43913" s="5" t="s">
        <v>355</v>
      </c>
      <c r="P43913" s="5" t="s">
        <v>355</v>
      </c>
      <c r="Q43913" s="5" t="s">
        <v>355</v>
      </c>
    </row>
    <row r="43914" ht="16.5" customHeight="1">
      <c r="O43914" s="5" t="s">
        <v>355</v>
      </c>
      <c r="P43914" s="5" t="s">
        <v>355</v>
      </c>
      <c r="Q43914" s="5" t="s">
        <v>355</v>
      </c>
    </row>
    <row r="43915" ht="16.5" customHeight="1">
      <c r="O43915" s="5" t="s">
        <v>355</v>
      </c>
      <c r="P43915" s="5" t="s">
        <v>355</v>
      </c>
      <c r="Q43915" s="5" t="s">
        <v>355</v>
      </c>
    </row>
    <row r="43916" ht="16.5" customHeight="1">
      <c r="O43916" s="5" t="s">
        <v>355</v>
      </c>
      <c r="P43916" s="5" t="s">
        <v>355</v>
      </c>
      <c r="Q43916" s="5" t="s">
        <v>355</v>
      </c>
    </row>
    <row r="43917" ht="16.5" customHeight="1">
      <c r="O43917" s="5" t="s">
        <v>355</v>
      </c>
      <c r="P43917" s="5" t="s">
        <v>355</v>
      </c>
      <c r="Q43917" s="5" t="s">
        <v>355</v>
      </c>
    </row>
    <row r="43918" ht="16.5" customHeight="1">
      <c r="O43918" s="5" t="s">
        <v>355</v>
      </c>
      <c r="P43918" s="5" t="s">
        <v>355</v>
      </c>
      <c r="Q43918" s="5" t="s">
        <v>355</v>
      </c>
    </row>
    <row r="43919" ht="16.5" customHeight="1">
      <c r="O43919" s="5" t="s">
        <v>355</v>
      </c>
      <c r="P43919" s="5" t="s">
        <v>355</v>
      </c>
      <c r="Q43919" s="5" t="s">
        <v>355</v>
      </c>
    </row>
    <row r="43920" ht="16.5" customHeight="1">
      <c r="O43920" s="5" t="s">
        <v>355</v>
      </c>
      <c r="P43920" s="5" t="s">
        <v>355</v>
      </c>
      <c r="Q43920" s="5" t="s">
        <v>355</v>
      </c>
    </row>
    <row r="43921" ht="16.5" customHeight="1">
      <c r="O43921" s="5" t="s">
        <v>355</v>
      </c>
      <c r="P43921" s="5" t="s">
        <v>355</v>
      </c>
      <c r="Q43921" s="5" t="s">
        <v>355</v>
      </c>
    </row>
    <row r="43922" ht="16.5" customHeight="1">
      <c r="O43922" s="5" t="s">
        <v>355</v>
      </c>
      <c r="P43922" s="5" t="s">
        <v>355</v>
      </c>
      <c r="Q43922" s="5" t="s">
        <v>355</v>
      </c>
    </row>
    <row r="43923" ht="16.5" customHeight="1">
      <c r="O43923" s="5" t="s">
        <v>355</v>
      </c>
      <c r="P43923" s="5" t="s">
        <v>355</v>
      </c>
      <c r="Q43923" s="5" t="s">
        <v>355</v>
      </c>
    </row>
    <row r="43924" ht="16.5" customHeight="1">
      <c r="O43924" s="5" t="s">
        <v>355</v>
      </c>
      <c r="P43924" s="5" t="s">
        <v>355</v>
      </c>
      <c r="Q43924" s="5" t="s">
        <v>355</v>
      </c>
    </row>
    <row r="43925" ht="16.5" customHeight="1">
      <c r="O43925" s="5" t="s">
        <v>355</v>
      </c>
      <c r="P43925" s="5" t="s">
        <v>355</v>
      </c>
      <c r="Q43925" s="5" t="s">
        <v>355</v>
      </c>
    </row>
    <row r="43926" ht="16.5" customHeight="1">
      <c r="O43926" s="5" t="s">
        <v>355</v>
      </c>
      <c r="P43926" s="5" t="s">
        <v>355</v>
      </c>
      <c r="Q43926" s="5" t="s">
        <v>355</v>
      </c>
    </row>
    <row r="43927" ht="16.5" customHeight="1">
      <c r="O43927" s="5" t="s">
        <v>355</v>
      </c>
      <c r="P43927" s="5" t="s">
        <v>355</v>
      </c>
      <c r="Q43927" s="5" t="s">
        <v>355</v>
      </c>
    </row>
    <row r="43928" ht="16.5" customHeight="1">
      <c r="O43928" s="5" t="s">
        <v>355</v>
      </c>
      <c r="P43928" s="5" t="s">
        <v>355</v>
      </c>
      <c r="Q43928" s="5" t="s">
        <v>355</v>
      </c>
    </row>
    <row r="43929" ht="16.5" customHeight="1">
      <c r="O43929" s="5" t="s">
        <v>355</v>
      </c>
      <c r="P43929" s="5" t="s">
        <v>355</v>
      </c>
      <c r="Q43929" s="5" t="s">
        <v>355</v>
      </c>
    </row>
    <row r="43930" ht="16.5" customHeight="1">
      <c r="O43930" s="5" t="s">
        <v>355</v>
      </c>
      <c r="P43930" s="5" t="s">
        <v>355</v>
      </c>
      <c r="Q43930" s="5" t="s">
        <v>355</v>
      </c>
    </row>
    <row r="43931" ht="16.5" customHeight="1">
      <c r="O43931" s="5" t="s">
        <v>355</v>
      </c>
      <c r="P43931" s="5" t="s">
        <v>355</v>
      </c>
      <c r="Q43931" s="5" t="s">
        <v>355</v>
      </c>
    </row>
    <row r="43932" ht="16.5" customHeight="1">
      <c r="O43932" s="5" t="s">
        <v>355</v>
      </c>
      <c r="P43932" s="5" t="s">
        <v>355</v>
      </c>
      <c r="Q43932" s="5" t="s">
        <v>355</v>
      </c>
    </row>
    <row r="43933" ht="16.5" customHeight="1">
      <c r="O43933" s="5" t="s">
        <v>355</v>
      </c>
      <c r="P43933" s="5" t="s">
        <v>355</v>
      </c>
      <c r="Q43933" s="5" t="s">
        <v>355</v>
      </c>
    </row>
    <row r="43934" ht="16.5" customHeight="1">
      <c r="O43934" s="5" t="s">
        <v>355</v>
      </c>
      <c r="P43934" s="5" t="s">
        <v>355</v>
      </c>
      <c r="Q43934" s="5" t="s">
        <v>355</v>
      </c>
    </row>
    <row r="43935" ht="16.5" customHeight="1">
      <c r="O43935" s="5" t="s">
        <v>355</v>
      </c>
      <c r="P43935" s="5" t="s">
        <v>355</v>
      </c>
      <c r="Q43935" s="5" t="s">
        <v>355</v>
      </c>
    </row>
    <row r="43936" ht="16.5" customHeight="1">
      <c r="O43936" s="5" t="s">
        <v>355</v>
      </c>
      <c r="P43936" s="5" t="s">
        <v>355</v>
      </c>
      <c r="Q43936" s="5" t="s">
        <v>355</v>
      </c>
    </row>
    <row r="43937" ht="16.5" customHeight="1">
      <c r="O43937" s="5" t="s">
        <v>355</v>
      </c>
      <c r="P43937" s="5" t="s">
        <v>355</v>
      </c>
      <c r="Q43937" s="5" t="s">
        <v>355</v>
      </c>
    </row>
    <row r="43938" ht="16.5" customHeight="1">
      <c r="O43938" s="5" t="s">
        <v>355</v>
      </c>
      <c r="P43938" s="5" t="s">
        <v>355</v>
      </c>
      <c r="Q43938" s="5" t="s">
        <v>355</v>
      </c>
    </row>
    <row r="43939" ht="16.5" customHeight="1">
      <c r="O43939" s="5" t="s">
        <v>355</v>
      </c>
      <c r="P43939" s="5" t="s">
        <v>355</v>
      </c>
      <c r="Q43939" s="5" t="s">
        <v>355</v>
      </c>
    </row>
    <row r="43940" ht="16.5" customHeight="1">
      <c r="O43940" s="5" t="s">
        <v>355</v>
      </c>
      <c r="P43940" s="5" t="s">
        <v>355</v>
      </c>
      <c r="Q43940" s="5" t="s">
        <v>355</v>
      </c>
    </row>
    <row r="43941" ht="16.5" customHeight="1">
      <c r="O43941" s="5" t="s">
        <v>355</v>
      </c>
      <c r="P43941" s="5" t="s">
        <v>355</v>
      </c>
      <c r="Q43941" s="5" t="s">
        <v>355</v>
      </c>
    </row>
    <row r="43942" ht="16.5" customHeight="1">
      <c r="O43942" s="5" t="s">
        <v>355</v>
      </c>
      <c r="P43942" s="5" t="s">
        <v>355</v>
      </c>
      <c r="Q43942" s="5" t="s">
        <v>355</v>
      </c>
    </row>
    <row r="43943" ht="16.5" customHeight="1">
      <c r="O43943" s="5" t="s">
        <v>355</v>
      </c>
      <c r="P43943" s="5" t="s">
        <v>355</v>
      </c>
      <c r="Q43943" s="5" t="s">
        <v>355</v>
      </c>
    </row>
    <row r="43944" ht="16.5" customHeight="1">
      <c r="O43944" s="5" t="s">
        <v>355</v>
      </c>
      <c r="P43944" s="5" t="s">
        <v>355</v>
      </c>
      <c r="Q43944" s="5" t="s">
        <v>355</v>
      </c>
    </row>
    <row r="43945" ht="16.5" customHeight="1">
      <c r="O43945" s="5" t="s">
        <v>355</v>
      </c>
      <c r="P43945" s="5" t="s">
        <v>355</v>
      </c>
      <c r="Q43945" s="5" t="s">
        <v>355</v>
      </c>
    </row>
    <row r="43946" ht="16.5" customHeight="1">
      <c r="O43946" s="5" t="s">
        <v>355</v>
      </c>
      <c r="P43946" s="5" t="s">
        <v>355</v>
      </c>
      <c r="Q43946" s="5" t="s">
        <v>355</v>
      </c>
    </row>
    <row r="43947" ht="16.5" customHeight="1">
      <c r="O43947" s="5" t="s">
        <v>355</v>
      </c>
      <c r="P43947" s="5" t="s">
        <v>355</v>
      </c>
      <c r="Q43947" s="5" t="s">
        <v>355</v>
      </c>
    </row>
    <row r="43948" ht="16.5" customHeight="1">
      <c r="O43948" s="5" t="s">
        <v>355</v>
      </c>
      <c r="P43948" s="5" t="s">
        <v>355</v>
      </c>
      <c r="Q43948" s="5" t="s">
        <v>355</v>
      </c>
    </row>
    <row r="43949" ht="16.5" customHeight="1">
      <c r="O43949" s="5" t="s">
        <v>355</v>
      </c>
      <c r="P43949" s="5" t="s">
        <v>355</v>
      </c>
      <c r="Q43949" s="5" t="s">
        <v>355</v>
      </c>
    </row>
    <row r="43950" ht="16.5" customHeight="1">
      <c r="O43950" s="5" t="s">
        <v>355</v>
      </c>
      <c r="P43950" s="5" t="s">
        <v>355</v>
      </c>
      <c r="Q43950" s="5" t="s">
        <v>355</v>
      </c>
    </row>
    <row r="43951" ht="16.5" customHeight="1">
      <c r="O43951" s="5" t="s">
        <v>355</v>
      </c>
      <c r="P43951" s="5" t="s">
        <v>355</v>
      </c>
      <c r="Q43951" s="5" t="s">
        <v>355</v>
      </c>
    </row>
    <row r="43952" ht="16.5" customHeight="1">
      <c r="O43952" s="5" t="s">
        <v>355</v>
      </c>
      <c r="P43952" s="5" t="s">
        <v>355</v>
      </c>
      <c r="Q43952" s="5" t="s">
        <v>355</v>
      </c>
    </row>
    <row r="43953" ht="16.5" customHeight="1">
      <c r="O43953" s="5" t="s">
        <v>355</v>
      </c>
      <c r="P43953" s="5" t="s">
        <v>355</v>
      </c>
      <c r="Q43953" s="5" t="s">
        <v>355</v>
      </c>
    </row>
    <row r="43954" ht="16.5" customHeight="1">
      <c r="O43954" s="5" t="s">
        <v>355</v>
      </c>
      <c r="P43954" s="5" t="s">
        <v>355</v>
      </c>
      <c r="Q43954" s="5" t="s">
        <v>355</v>
      </c>
    </row>
    <row r="43955" ht="16.5" customHeight="1">
      <c r="O43955" s="5" t="s">
        <v>355</v>
      </c>
      <c r="P43955" s="5" t="s">
        <v>355</v>
      </c>
      <c r="Q43955" s="5" t="s">
        <v>355</v>
      </c>
    </row>
    <row r="43956" ht="16.5" customHeight="1">
      <c r="O43956" s="5" t="s">
        <v>355</v>
      </c>
      <c r="P43956" s="5" t="s">
        <v>355</v>
      </c>
      <c r="Q43956" s="5" t="s">
        <v>355</v>
      </c>
    </row>
    <row r="43957" ht="16.5" customHeight="1">
      <c r="O43957" s="5" t="s">
        <v>355</v>
      </c>
      <c r="P43957" s="5" t="s">
        <v>355</v>
      </c>
      <c r="Q43957" s="5" t="s">
        <v>355</v>
      </c>
    </row>
    <row r="43958" ht="16.5" customHeight="1">
      <c r="O43958" s="5" t="s">
        <v>355</v>
      </c>
      <c r="P43958" s="5" t="s">
        <v>355</v>
      </c>
      <c r="Q43958" s="5" t="s">
        <v>355</v>
      </c>
    </row>
    <row r="43959" ht="16.5" customHeight="1">
      <c r="O43959" s="5" t="s">
        <v>355</v>
      </c>
      <c r="P43959" s="5" t="s">
        <v>355</v>
      </c>
      <c r="Q43959" s="5" t="s">
        <v>355</v>
      </c>
    </row>
    <row r="43960" ht="16.5" customHeight="1">
      <c r="O43960" s="5" t="s">
        <v>355</v>
      </c>
      <c r="P43960" s="5" t="s">
        <v>355</v>
      </c>
      <c r="Q43960" s="5" t="s">
        <v>355</v>
      </c>
    </row>
    <row r="43961" ht="16.5" customHeight="1">
      <c r="O43961" s="5" t="s">
        <v>355</v>
      </c>
      <c r="P43961" s="5" t="s">
        <v>355</v>
      </c>
      <c r="Q43961" s="5" t="s">
        <v>355</v>
      </c>
    </row>
    <row r="43962" ht="16.5" customHeight="1">
      <c r="O43962" s="5" t="s">
        <v>355</v>
      </c>
      <c r="P43962" s="5" t="s">
        <v>355</v>
      </c>
      <c r="Q43962" s="5" t="s">
        <v>355</v>
      </c>
    </row>
    <row r="43963" ht="16.5" customHeight="1">
      <c r="O43963" s="5" t="s">
        <v>355</v>
      </c>
      <c r="P43963" s="5" t="s">
        <v>355</v>
      </c>
      <c r="Q43963" s="5" t="s">
        <v>355</v>
      </c>
    </row>
    <row r="43964" ht="16.5" customHeight="1">
      <c r="O43964" s="5" t="s">
        <v>355</v>
      </c>
      <c r="P43964" s="5" t="s">
        <v>355</v>
      </c>
      <c r="Q43964" s="5" t="s">
        <v>355</v>
      </c>
    </row>
    <row r="43965" ht="16.5" customHeight="1">
      <c r="O43965" s="5" t="s">
        <v>355</v>
      </c>
      <c r="P43965" s="5" t="s">
        <v>355</v>
      </c>
      <c r="Q43965" s="5" t="s">
        <v>355</v>
      </c>
    </row>
    <row r="43966" ht="16.5" customHeight="1">
      <c r="O43966" s="5" t="s">
        <v>355</v>
      </c>
      <c r="P43966" s="5" t="s">
        <v>355</v>
      </c>
      <c r="Q43966" s="5" t="s">
        <v>355</v>
      </c>
    </row>
    <row r="43967" ht="16.5" customHeight="1">
      <c r="O43967" s="5" t="s">
        <v>355</v>
      </c>
      <c r="P43967" s="5" t="s">
        <v>355</v>
      </c>
      <c r="Q43967" s="5" t="s">
        <v>355</v>
      </c>
    </row>
    <row r="43968" ht="16.5" customHeight="1">
      <c r="O43968" s="5" t="s">
        <v>355</v>
      </c>
      <c r="P43968" s="5" t="s">
        <v>355</v>
      </c>
      <c r="Q43968" s="5" t="s">
        <v>355</v>
      </c>
    </row>
    <row r="43969" ht="16.5" customHeight="1">
      <c r="O43969" s="5" t="s">
        <v>355</v>
      </c>
      <c r="P43969" s="5" t="s">
        <v>355</v>
      </c>
      <c r="Q43969" s="5" t="s">
        <v>355</v>
      </c>
    </row>
    <row r="43970" ht="16.5" customHeight="1">
      <c r="O43970" s="5" t="s">
        <v>355</v>
      </c>
      <c r="P43970" s="5" t="s">
        <v>355</v>
      </c>
      <c r="Q43970" s="5" t="s">
        <v>355</v>
      </c>
    </row>
    <row r="43971" ht="16.5" customHeight="1">
      <c r="O43971" s="5" t="s">
        <v>355</v>
      </c>
      <c r="P43971" s="5" t="s">
        <v>355</v>
      </c>
      <c r="Q43971" s="5" t="s">
        <v>355</v>
      </c>
    </row>
    <row r="43972" ht="16.5" customHeight="1">
      <c r="O43972" s="5" t="s">
        <v>355</v>
      </c>
      <c r="P43972" s="5" t="s">
        <v>355</v>
      </c>
      <c r="Q43972" s="5" t="s">
        <v>355</v>
      </c>
    </row>
    <row r="43973" ht="16.5" customHeight="1">
      <c r="O43973" s="5" t="s">
        <v>355</v>
      </c>
      <c r="P43973" s="5" t="s">
        <v>355</v>
      </c>
      <c r="Q43973" s="5" t="s">
        <v>355</v>
      </c>
    </row>
    <row r="43974" ht="16.5" customHeight="1">
      <c r="O43974" s="5" t="s">
        <v>355</v>
      </c>
      <c r="P43974" s="5" t="s">
        <v>355</v>
      </c>
      <c r="Q43974" s="5" t="s">
        <v>355</v>
      </c>
    </row>
    <row r="43975" ht="16.5" customHeight="1">
      <c r="O43975" s="5" t="s">
        <v>355</v>
      </c>
      <c r="P43975" s="5" t="s">
        <v>355</v>
      </c>
      <c r="Q43975" s="5" t="s">
        <v>355</v>
      </c>
    </row>
    <row r="43976" ht="16.5" customHeight="1">
      <c r="O43976" s="5" t="s">
        <v>355</v>
      </c>
      <c r="P43976" s="5" t="s">
        <v>355</v>
      </c>
      <c r="Q43976" s="5" t="s">
        <v>355</v>
      </c>
    </row>
    <row r="43977" ht="16.5" customHeight="1">
      <c r="O43977" s="5" t="s">
        <v>355</v>
      </c>
      <c r="P43977" s="5" t="s">
        <v>355</v>
      </c>
      <c r="Q43977" s="5" t="s">
        <v>355</v>
      </c>
    </row>
    <row r="43978" ht="16.5" customHeight="1">
      <c r="O43978" s="5" t="s">
        <v>355</v>
      </c>
      <c r="P43978" s="5" t="s">
        <v>355</v>
      </c>
      <c r="Q43978" s="5" t="s">
        <v>355</v>
      </c>
    </row>
    <row r="43979" ht="16.5" customHeight="1">
      <c r="O43979" s="5" t="s">
        <v>355</v>
      </c>
      <c r="P43979" s="5" t="s">
        <v>355</v>
      </c>
      <c r="Q43979" s="5" t="s">
        <v>355</v>
      </c>
    </row>
    <row r="43980" ht="16.5" customHeight="1">
      <c r="O43980" s="5" t="s">
        <v>355</v>
      </c>
      <c r="P43980" s="5" t="s">
        <v>355</v>
      </c>
      <c r="Q43980" s="5" t="s">
        <v>355</v>
      </c>
    </row>
    <row r="43981" ht="16.5" customHeight="1">
      <c r="O43981" s="5" t="s">
        <v>355</v>
      </c>
      <c r="P43981" s="5" t="s">
        <v>355</v>
      </c>
      <c r="Q43981" s="5" t="s">
        <v>355</v>
      </c>
    </row>
    <row r="43982" ht="16.5" customHeight="1">
      <c r="O43982" s="5" t="s">
        <v>355</v>
      </c>
      <c r="P43982" s="5" t="s">
        <v>355</v>
      </c>
      <c r="Q43982" s="5" t="s">
        <v>355</v>
      </c>
    </row>
    <row r="43983" ht="16.5" customHeight="1">
      <c r="O43983" s="5" t="s">
        <v>355</v>
      </c>
      <c r="P43983" s="5" t="s">
        <v>355</v>
      </c>
      <c r="Q43983" s="5" t="s">
        <v>355</v>
      </c>
    </row>
    <row r="43984" ht="16.5" customHeight="1">
      <c r="O43984" s="5" t="s">
        <v>355</v>
      </c>
      <c r="P43984" s="5" t="s">
        <v>355</v>
      </c>
      <c r="Q43984" s="5" t="s">
        <v>355</v>
      </c>
    </row>
    <row r="43985" ht="16.5" customHeight="1">
      <c r="O43985" s="5" t="s">
        <v>355</v>
      </c>
      <c r="P43985" s="5" t="s">
        <v>355</v>
      </c>
      <c r="Q43985" s="5" t="s">
        <v>355</v>
      </c>
    </row>
    <row r="43986" ht="16.5" customHeight="1">
      <c r="O43986" s="5" t="s">
        <v>355</v>
      </c>
      <c r="P43986" s="5" t="s">
        <v>355</v>
      </c>
      <c r="Q43986" s="5" t="s">
        <v>355</v>
      </c>
    </row>
    <row r="43987" ht="16.5" customHeight="1">
      <c r="O43987" s="5" t="s">
        <v>355</v>
      </c>
      <c r="P43987" s="5" t="s">
        <v>355</v>
      </c>
      <c r="Q43987" s="5" t="s">
        <v>355</v>
      </c>
    </row>
    <row r="43988" ht="16.5" customHeight="1">
      <c r="O43988" s="5" t="s">
        <v>355</v>
      </c>
      <c r="P43988" s="5" t="s">
        <v>355</v>
      </c>
      <c r="Q43988" s="5" t="s">
        <v>355</v>
      </c>
    </row>
    <row r="43989" ht="16.5" customHeight="1">
      <c r="O43989" s="5" t="s">
        <v>355</v>
      </c>
      <c r="P43989" s="5" t="s">
        <v>355</v>
      </c>
      <c r="Q43989" s="5" t="s">
        <v>355</v>
      </c>
    </row>
    <row r="43990" ht="16.5" customHeight="1">
      <c r="O43990" s="5" t="s">
        <v>355</v>
      </c>
      <c r="P43990" s="5" t="s">
        <v>355</v>
      </c>
      <c r="Q43990" s="5" t="s">
        <v>355</v>
      </c>
    </row>
    <row r="43991" ht="16.5" customHeight="1">
      <c r="O43991" s="5" t="s">
        <v>355</v>
      </c>
      <c r="P43991" s="5" t="s">
        <v>355</v>
      </c>
      <c r="Q43991" s="5" t="s">
        <v>355</v>
      </c>
    </row>
    <row r="43992" ht="16.5" customHeight="1">
      <c r="O43992" s="5" t="s">
        <v>355</v>
      </c>
      <c r="P43992" s="5" t="s">
        <v>355</v>
      </c>
      <c r="Q43992" s="5" t="s">
        <v>355</v>
      </c>
    </row>
    <row r="43993" ht="16.5" customHeight="1">
      <c r="O43993" s="5" t="s">
        <v>355</v>
      </c>
      <c r="P43993" s="5" t="s">
        <v>355</v>
      </c>
      <c r="Q43993" s="5" t="s">
        <v>355</v>
      </c>
    </row>
    <row r="43994" ht="16.5" customHeight="1">
      <c r="O43994" s="5" t="s">
        <v>355</v>
      </c>
      <c r="P43994" s="5" t="s">
        <v>355</v>
      </c>
      <c r="Q43994" s="5" t="s">
        <v>355</v>
      </c>
    </row>
    <row r="43995" ht="16.5" customHeight="1">
      <c r="O43995" s="5" t="s">
        <v>355</v>
      </c>
      <c r="P43995" s="5" t="s">
        <v>355</v>
      </c>
      <c r="Q43995" s="5" t="s">
        <v>355</v>
      </c>
    </row>
    <row r="43996" ht="16.5" customHeight="1">
      <c r="O43996" s="5" t="s">
        <v>355</v>
      </c>
      <c r="P43996" s="5" t="s">
        <v>355</v>
      </c>
      <c r="Q43996" s="5" t="s">
        <v>355</v>
      </c>
    </row>
    <row r="43997" ht="16.5" customHeight="1">
      <c r="O43997" s="5" t="s">
        <v>355</v>
      </c>
      <c r="P43997" s="5" t="s">
        <v>355</v>
      </c>
      <c r="Q43997" s="5" t="s">
        <v>355</v>
      </c>
    </row>
    <row r="43998" ht="16.5" customHeight="1">
      <c r="O43998" s="5" t="s">
        <v>355</v>
      </c>
      <c r="P43998" s="5" t="s">
        <v>355</v>
      </c>
      <c r="Q43998" s="5" t="s">
        <v>355</v>
      </c>
    </row>
    <row r="43999" ht="16.5" customHeight="1">
      <c r="O43999" s="5" t="s">
        <v>355</v>
      </c>
      <c r="P43999" s="5" t="s">
        <v>355</v>
      </c>
      <c r="Q43999" s="5" t="s">
        <v>355</v>
      </c>
    </row>
    <row r="44000" ht="16.5" customHeight="1">
      <c r="O44000" s="5" t="s">
        <v>355</v>
      </c>
      <c r="P44000" s="5" t="s">
        <v>355</v>
      </c>
      <c r="Q44000" s="5" t="s">
        <v>355</v>
      </c>
    </row>
    <row r="44001" ht="16.5" customHeight="1">
      <c r="O44001" s="5" t="s">
        <v>355</v>
      </c>
      <c r="P44001" s="5" t="s">
        <v>355</v>
      </c>
      <c r="Q44001" s="5" t="s">
        <v>355</v>
      </c>
    </row>
    <row r="44002" ht="16.5" customHeight="1">
      <c r="O44002" s="5" t="s">
        <v>355</v>
      </c>
      <c r="P44002" s="5" t="s">
        <v>355</v>
      </c>
      <c r="Q44002" s="5" t="s">
        <v>355</v>
      </c>
    </row>
    <row r="44003" ht="16.5" customHeight="1">
      <c r="O44003" s="5" t="s">
        <v>355</v>
      </c>
      <c r="P44003" s="5" t="s">
        <v>355</v>
      </c>
      <c r="Q44003" s="5" t="s">
        <v>355</v>
      </c>
    </row>
    <row r="44004" ht="16.5" customHeight="1">
      <c r="O44004" s="5" t="s">
        <v>355</v>
      </c>
      <c r="P44004" s="5" t="s">
        <v>355</v>
      </c>
      <c r="Q44004" s="5" t="s">
        <v>355</v>
      </c>
    </row>
    <row r="44005" ht="16.5" customHeight="1">
      <c r="O44005" s="5" t="s">
        <v>355</v>
      </c>
      <c r="P44005" s="5" t="s">
        <v>355</v>
      </c>
      <c r="Q44005" s="5" t="s">
        <v>355</v>
      </c>
    </row>
    <row r="44006" ht="16.5" customHeight="1">
      <c r="O44006" s="5" t="s">
        <v>355</v>
      </c>
      <c r="P44006" s="5" t="s">
        <v>355</v>
      </c>
      <c r="Q44006" s="5" t="s">
        <v>355</v>
      </c>
    </row>
    <row r="44007" ht="16.5" customHeight="1">
      <c r="O44007" s="5" t="s">
        <v>355</v>
      </c>
      <c r="P44007" s="5" t="s">
        <v>355</v>
      </c>
      <c r="Q44007" s="5" t="s">
        <v>355</v>
      </c>
    </row>
    <row r="44008" ht="16.5" customHeight="1">
      <c r="O44008" s="5" t="s">
        <v>355</v>
      </c>
      <c r="P44008" s="5" t="s">
        <v>355</v>
      </c>
      <c r="Q44008" s="5" t="s">
        <v>355</v>
      </c>
    </row>
    <row r="44009" ht="16.5" customHeight="1">
      <c r="O44009" s="5" t="s">
        <v>355</v>
      </c>
      <c r="P44009" s="5" t="s">
        <v>355</v>
      </c>
      <c r="Q44009" s="5" t="s">
        <v>355</v>
      </c>
    </row>
    <row r="44010" ht="16.5" customHeight="1">
      <c r="O44010" s="5" t="s">
        <v>355</v>
      </c>
      <c r="P44010" s="5" t="s">
        <v>355</v>
      </c>
      <c r="Q44010" s="5" t="s">
        <v>355</v>
      </c>
    </row>
    <row r="44011" ht="16.5" customHeight="1">
      <c r="O44011" s="5" t="s">
        <v>355</v>
      </c>
      <c r="P44011" s="5" t="s">
        <v>355</v>
      </c>
      <c r="Q44011" s="5" t="s">
        <v>355</v>
      </c>
    </row>
    <row r="44012" ht="16.5" customHeight="1">
      <c r="O44012" s="5" t="s">
        <v>355</v>
      </c>
      <c r="P44012" s="5" t="s">
        <v>355</v>
      </c>
      <c r="Q44012" s="5" t="s">
        <v>355</v>
      </c>
    </row>
    <row r="44013" ht="16.5" customHeight="1">
      <c r="O44013" s="5" t="s">
        <v>355</v>
      </c>
      <c r="P44013" s="5" t="s">
        <v>355</v>
      </c>
      <c r="Q44013" s="5" t="s">
        <v>355</v>
      </c>
    </row>
    <row r="44014" ht="16.5" customHeight="1">
      <c r="O44014" s="5" t="s">
        <v>355</v>
      </c>
      <c r="P44014" s="5" t="s">
        <v>355</v>
      </c>
      <c r="Q44014" s="5" t="s">
        <v>355</v>
      </c>
    </row>
    <row r="44015" ht="16.5" customHeight="1">
      <c r="O44015" s="5" t="s">
        <v>355</v>
      </c>
      <c r="P44015" s="5" t="s">
        <v>355</v>
      </c>
      <c r="Q44015" s="5" t="s">
        <v>355</v>
      </c>
    </row>
    <row r="44016" ht="16.5" customHeight="1">
      <c r="O44016" s="5" t="s">
        <v>355</v>
      </c>
      <c r="P44016" s="5" t="s">
        <v>355</v>
      </c>
      <c r="Q44016" s="5" t="s">
        <v>355</v>
      </c>
    </row>
    <row r="44017" ht="16.5" customHeight="1">
      <c r="O44017" s="5" t="s">
        <v>355</v>
      </c>
      <c r="P44017" s="5" t="s">
        <v>355</v>
      </c>
      <c r="Q44017" s="5" t="s">
        <v>355</v>
      </c>
    </row>
    <row r="44018" ht="16.5" customHeight="1">
      <c r="O44018" s="5" t="s">
        <v>355</v>
      </c>
      <c r="P44018" s="5" t="s">
        <v>355</v>
      </c>
      <c r="Q44018" s="5" t="s">
        <v>355</v>
      </c>
    </row>
    <row r="44019" ht="16.5" customHeight="1">
      <c r="O44019" s="5" t="s">
        <v>355</v>
      </c>
      <c r="P44019" s="5" t="s">
        <v>355</v>
      </c>
      <c r="Q44019" s="5" t="s">
        <v>355</v>
      </c>
    </row>
    <row r="44020" ht="16.5" customHeight="1">
      <c r="O44020" s="5" t="s">
        <v>355</v>
      </c>
      <c r="P44020" s="5" t="s">
        <v>355</v>
      </c>
      <c r="Q44020" s="5" t="s">
        <v>355</v>
      </c>
    </row>
    <row r="44021" ht="16.5" customHeight="1">
      <c r="O44021" s="5" t="s">
        <v>355</v>
      </c>
      <c r="P44021" s="5" t="s">
        <v>355</v>
      </c>
      <c r="Q44021" s="5" t="s">
        <v>355</v>
      </c>
    </row>
    <row r="44022" ht="16.5" customHeight="1">
      <c r="O44022" s="5" t="s">
        <v>355</v>
      </c>
      <c r="P44022" s="5" t="s">
        <v>355</v>
      </c>
      <c r="Q44022" s="5" t="s">
        <v>355</v>
      </c>
    </row>
    <row r="44023" ht="16.5" customHeight="1">
      <c r="O44023" s="5" t="s">
        <v>355</v>
      </c>
      <c r="P44023" s="5" t="s">
        <v>355</v>
      </c>
      <c r="Q44023" s="5" t="s">
        <v>355</v>
      </c>
    </row>
    <row r="44024" ht="16.5" customHeight="1">
      <c r="O44024" s="5" t="s">
        <v>355</v>
      </c>
      <c r="P44024" s="5" t="s">
        <v>355</v>
      </c>
      <c r="Q44024" s="5" t="s">
        <v>355</v>
      </c>
    </row>
    <row r="44025" ht="16.5" customHeight="1">
      <c r="O44025" s="5" t="s">
        <v>355</v>
      </c>
      <c r="P44025" s="5" t="s">
        <v>355</v>
      </c>
      <c r="Q44025" s="5" t="s">
        <v>355</v>
      </c>
    </row>
    <row r="44026" ht="16.5" customHeight="1">
      <c r="O44026" s="5" t="s">
        <v>355</v>
      </c>
      <c r="P44026" s="5" t="s">
        <v>355</v>
      </c>
      <c r="Q44026" s="5" t="s">
        <v>355</v>
      </c>
    </row>
    <row r="44027" ht="16.5" customHeight="1">
      <c r="O44027" s="5" t="s">
        <v>355</v>
      </c>
      <c r="P44027" s="5" t="s">
        <v>355</v>
      </c>
      <c r="Q44027" s="5" t="s">
        <v>355</v>
      </c>
    </row>
    <row r="44028" ht="16.5" customHeight="1">
      <c r="O44028" s="5" t="s">
        <v>355</v>
      </c>
      <c r="P44028" s="5" t="s">
        <v>355</v>
      </c>
      <c r="Q44028" s="5" t="s">
        <v>355</v>
      </c>
    </row>
    <row r="44029" ht="16.5" customHeight="1">
      <c r="O44029" s="5" t="s">
        <v>355</v>
      </c>
      <c r="P44029" s="5" t="s">
        <v>355</v>
      </c>
      <c r="Q44029" s="5" t="s">
        <v>355</v>
      </c>
    </row>
    <row r="44030" ht="16.5" customHeight="1">
      <c r="O44030" s="5" t="s">
        <v>355</v>
      </c>
      <c r="P44030" s="5" t="s">
        <v>355</v>
      </c>
      <c r="Q44030" s="5" t="s">
        <v>355</v>
      </c>
    </row>
    <row r="44031" ht="16.5" customHeight="1">
      <c r="O44031" s="5" t="s">
        <v>355</v>
      </c>
      <c r="P44031" s="5" t="s">
        <v>355</v>
      </c>
      <c r="Q44031" s="5" t="s">
        <v>355</v>
      </c>
    </row>
    <row r="44032" ht="16.5" customHeight="1">
      <c r="O44032" s="5" t="s">
        <v>355</v>
      </c>
      <c r="P44032" s="5" t="s">
        <v>355</v>
      </c>
      <c r="Q44032" s="5" t="s">
        <v>355</v>
      </c>
    </row>
    <row r="44033" ht="16.5" customHeight="1">
      <c r="O44033" s="5" t="s">
        <v>355</v>
      </c>
      <c r="P44033" s="5" t="s">
        <v>355</v>
      </c>
      <c r="Q44033" s="5" t="s">
        <v>355</v>
      </c>
    </row>
    <row r="44034" ht="16.5" customHeight="1">
      <c r="O44034" s="5" t="s">
        <v>355</v>
      </c>
      <c r="P44034" s="5" t="s">
        <v>355</v>
      </c>
      <c r="Q44034" s="5" t="s">
        <v>355</v>
      </c>
    </row>
    <row r="44035" ht="16.5" customHeight="1">
      <c r="O44035" s="5" t="s">
        <v>355</v>
      </c>
      <c r="P44035" s="5" t="s">
        <v>355</v>
      </c>
      <c r="Q44035" s="5" t="s">
        <v>355</v>
      </c>
    </row>
    <row r="44036" ht="16.5" customHeight="1">
      <c r="O44036" s="5" t="s">
        <v>355</v>
      </c>
      <c r="P44036" s="5" t="s">
        <v>355</v>
      </c>
      <c r="Q44036" s="5" t="s">
        <v>355</v>
      </c>
    </row>
    <row r="44037" ht="16.5" customHeight="1">
      <c r="O44037" s="5" t="s">
        <v>355</v>
      </c>
      <c r="P44037" s="5" t="s">
        <v>355</v>
      </c>
      <c r="Q44037" s="5" t="s">
        <v>355</v>
      </c>
    </row>
    <row r="44038" ht="16.5" customHeight="1">
      <c r="O44038" s="5" t="s">
        <v>355</v>
      </c>
      <c r="P44038" s="5" t="s">
        <v>355</v>
      </c>
      <c r="Q44038" s="5" t="s">
        <v>355</v>
      </c>
    </row>
    <row r="44039" ht="16.5" customHeight="1">
      <c r="O44039" s="5" t="s">
        <v>355</v>
      </c>
      <c r="P44039" s="5" t="s">
        <v>355</v>
      </c>
      <c r="Q44039" s="5" t="s">
        <v>355</v>
      </c>
    </row>
    <row r="44040" ht="16.5" customHeight="1">
      <c r="O44040" s="5" t="s">
        <v>355</v>
      </c>
      <c r="P44040" s="5" t="s">
        <v>355</v>
      </c>
      <c r="Q44040" s="5" t="s">
        <v>355</v>
      </c>
    </row>
    <row r="44041" ht="16.5" customHeight="1">
      <c r="O44041" s="5" t="s">
        <v>355</v>
      </c>
      <c r="P44041" s="5" t="s">
        <v>355</v>
      </c>
      <c r="Q44041" s="5" t="s">
        <v>355</v>
      </c>
    </row>
    <row r="44042" ht="16.5" customHeight="1">
      <c r="O44042" s="5" t="s">
        <v>355</v>
      </c>
      <c r="P44042" s="5" t="s">
        <v>355</v>
      </c>
      <c r="Q44042" s="5" t="s">
        <v>355</v>
      </c>
    </row>
    <row r="44043" ht="16.5" customHeight="1">
      <c r="O44043" s="5" t="s">
        <v>355</v>
      </c>
      <c r="P44043" s="5" t="s">
        <v>355</v>
      </c>
      <c r="Q44043" s="5" t="s">
        <v>355</v>
      </c>
    </row>
    <row r="44044" ht="16.5" customHeight="1">
      <c r="O44044" s="5" t="s">
        <v>355</v>
      </c>
      <c r="P44044" s="5" t="s">
        <v>355</v>
      </c>
      <c r="Q44044" s="5" t="s">
        <v>355</v>
      </c>
    </row>
    <row r="44045" ht="16.5" customHeight="1">
      <c r="O44045" s="5" t="s">
        <v>355</v>
      </c>
      <c r="P44045" s="5" t="s">
        <v>355</v>
      </c>
      <c r="Q44045" s="5" t="s">
        <v>355</v>
      </c>
    </row>
    <row r="44046" ht="16.5" customHeight="1">
      <c r="O44046" s="5" t="s">
        <v>355</v>
      </c>
      <c r="P44046" s="5" t="s">
        <v>355</v>
      </c>
      <c r="Q44046" s="5" t="s">
        <v>355</v>
      </c>
    </row>
    <row r="44047" ht="16.5" customHeight="1">
      <c r="O44047" s="5" t="s">
        <v>355</v>
      </c>
      <c r="P44047" s="5" t="s">
        <v>355</v>
      </c>
      <c r="Q44047" s="5" t="s">
        <v>355</v>
      </c>
    </row>
    <row r="44048" ht="16.5" customHeight="1">
      <c r="O44048" s="5" t="s">
        <v>355</v>
      </c>
      <c r="P44048" s="5" t="s">
        <v>355</v>
      </c>
      <c r="Q44048" s="5" t="s">
        <v>355</v>
      </c>
    </row>
    <row r="44049" ht="16.5" customHeight="1">
      <c r="O44049" s="5" t="s">
        <v>355</v>
      </c>
      <c r="P44049" s="5" t="s">
        <v>355</v>
      </c>
      <c r="Q44049" s="5" t="s">
        <v>355</v>
      </c>
    </row>
    <row r="44050" ht="16.5" customHeight="1">
      <c r="O44050" s="5" t="s">
        <v>355</v>
      </c>
      <c r="P44050" s="5" t="s">
        <v>355</v>
      </c>
      <c r="Q44050" s="5" t="s">
        <v>355</v>
      </c>
    </row>
    <row r="44051" ht="16.5" customHeight="1">
      <c r="O44051" s="5" t="s">
        <v>355</v>
      </c>
      <c r="P44051" s="5" t="s">
        <v>355</v>
      </c>
      <c r="Q44051" s="5" t="s">
        <v>355</v>
      </c>
    </row>
    <row r="44052" ht="16.5" customHeight="1">
      <c r="O44052" s="5" t="s">
        <v>355</v>
      </c>
      <c r="P44052" s="5" t="s">
        <v>355</v>
      </c>
      <c r="Q44052" s="5" t="s">
        <v>355</v>
      </c>
    </row>
    <row r="44053" ht="16.5" customHeight="1">
      <c r="O44053" s="5" t="s">
        <v>355</v>
      </c>
      <c r="P44053" s="5" t="s">
        <v>355</v>
      </c>
      <c r="Q44053" s="5" t="s">
        <v>355</v>
      </c>
    </row>
    <row r="44054" ht="16.5" customHeight="1">
      <c r="O44054" s="5" t="s">
        <v>355</v>
      </c>
      <c r="P44054" s="5" t="s">
        <v>355</v>
      </c>
      <c r="Q44054" s="5" t="s">
        <v>355</v>
      </c>
    </row>
    <row r="44055" ht="16.5" customHeight="1">
      <c r="O44055" s="5" t="s">
        <v>355</v>
      </c>
      <c r="P44055" s="5" t="s">
        <v>355</v>
      </c>
      <c r="Q44055" s="5" t="s">
        <v>355</v>
      </c>
    </row>
    <row r="44056" ht="16.5" customHeight="1">
      <c r="O44056" s="5" t="s">
        <v>355</v>
      </c>
      <c r="P44056" s="5" t="s">
        <v>355</v>
      </c>
      <c r="Q44056" s="5" t="s">
        <v>355</v>
      </c>
    </row>
    <row r="44057" ht="16.5" customHeight="1">
      <c r="O44057" s="5" t="s">
        <v>355</v>
      </c>
      <c r="P44057" s="5" t="s">
        <v>355</v>
      </c>
      <c r="Q44057" s="5" t="s">
        <v>355</v>
      </c>
    </row>
    <row r="44058" ht="16.5" customHeight="1">
      <c r="O44058" s="5" t="s">
        <v>355</v>
      </c>
      <c r="P44058" s="5" t="s">
        <v>355</v>
      </c>
      <c r="Q44058" s="5" t="s">
        <v>355</v>
      </c>
    </row>
    <row r="44059" ht="16.5" customHeight="1">
      <c r="O44059" s="5" t="s">
        <v>355</v>
      </c>
      <c r="P44059" s="5" t="s">
        <v>355</v>
      </c>
      <c r="Q44059" s="5" t="s">
        <v>355</v>
      </c>
    </row>
    <row r="44060" ht="16.5" customHeight="1">
      <c r="O44060" s="5" t="s">
        <v>355</v>
      </c>
      <c r="P44060" s="5" t="s">
        <v>355</v>
      </c>
      <c r="Q44060" s="5" t="s">
        <v>355</v>
      </c>
    </row>
    <row r="44061" ht="16.5" customHeight="1">
      <c r="O44061" s="5" t="s">
        <v>355</v>
      </c>
      <c r="P44061" s="5" t="s">
        <v>355</v>
      </c>
      <c r="Q44061" s="5" t="s">
        <v>355</v>
      </c>
    </row>
    <row r="44062" ht="16.5" customHeight="1">
      <c r="O44062" s="5" t="s">
        <v>355</v>
      </c>
      <c r="P44062" s="5" t="s">
        <v>355</v>
      </c>
      <c r="Q44062" s="5" t="s">
        <v>355</v>
      </c>
    </row>
    <row r="44063" ht="16.5" customHeight="1">
      <c r="O44063" s="5" t="s">
        <v>355</v>
      </c>
      <c r="P44063" s="5" t="s">
        <v>355</v>
      </c>
      <c r="Q44063" s="5" t="s">
        <v>355</v>
      </c>
    </row>
    <row r="44064" ht="16.5" customHeight="1">
      <c r="O44064" s="5" t="s">
        <v>355</v>
      </c>
      <c r="P44064" s="5" t="s">
        <v>355</v>
      </c>
      <c r="Q44064" s="5" t="s">
        <v>355</v>
      </c>
    </row>
    <row r="44065" ht="16.5" customHeight="1">
      <c r="O44065" s="5" t="s">
        <v>355</v>
      </c>
      <c r="P44065" s="5" t="s">
        <v>355</v>
      </c>
      <c r="Q44065" s="5" t="s">
        <v>355</v>
      </c>
    </row>
    <row r="44066" ht="16.5" customHeight="1">
      <c r="O44066" s="5" t="s">
        <v>355</v>
      </c>
      <c r="P44066" s="5" t="s">
        <v>355</v>
      </c>
      <c r="Q44066" s="5" t="s">
        <v>355</v>
      </c>
    </row>
    <row r="44067" ht="16.5" customHeight="1">
      <c r="O44067" s="5" t="s">
        <v>355</v>
      </c>
      <c r="P44067" s="5" t="s">
        <v>355</v>
      </c>
      <c r="Q44067" s="5" t="s">
        <v>355</v>
      </c>
    </row>
    <row r="44068" ht="16.5" customHeight="1">
      <c r="O44068" s="5" t="s">
        <v>355</v>
      </c>
      <c r="P44068" s="5" t="s">
        <v>355</v>
      </c>
      <c r="Q44068" s="5" t="s">
        <v>355</v>
      </c>
    </row>
    <row r="44069" ht="16.5" customHeight="1">
      <c r="O44069" s="5" t="s">
        <v>355</v>
      </c>
      <c r="P44069" s="5" t="s">
        <v>355</v>
      </c>
      <c r="Q44069" s="5" t="s">
        <v>355</v>
      </c>
    </row>
    <row r="44070" ht="16.5" customHeight="1">
      <c r="O44070" s="5" t="s">
        <v>355</v>
      </c>
      <c r="P44070" s="5" t="s">
        <v>355</v>
      </c>
      <c r="Q44070" s="5" t="s">
        <v>355</v>
      </c>
    </row>
    <row r="44071" ht="16.5" customHeight="1">
      <c r="O44071" s="5" t="s">
        <v>355</v>
      </c>
      <c r="P44071" s="5" t="s">
        <v>355</v>
      </c>
      <c r="Q44071" s="5" t="s">
        <v>355</v>
      </c>
    </row>
    <row r="44072" ht="16.5" customHeight="1">
      <c r="O44072" s="5" t="s">
        <v>355</v>
      </c>
      <c r="P44072" s="5" t="s">
        <v>355</v>
      </c>
      <c r="Q44072" s="5" t="s">
        <v>355</v>
      </c>
    </row>
    <row r="44073" ht="16.5" customHeight="1">
      <c r="O44073" s="5" t="s">
        <v>355</v>
      </c>
      <c r="P44073" s="5" t="s">
        <v>355</v>
      </c>
      <c r="Q44073" s="5" t="s">
        <v>355</v>
      </c>
    </row>
    <row r="44074" ht="16.5" customHeight="1">
      <c r="O44074" s="5" t="s">
        <v>355</v>
      </c>
      <c r="P44074" s="5" t="s">
        <v>355</v>
      </c>
      <c r="Q44074" s="5" t="s">
        <v>355</v>
      </c>
    </row>
    <row r="44075" ht="16.5" customHeight="1">
      <c r="O44075" s="5" t="s">
        <v>355</v>
      </c>
      <c r="P44075" s="5" t="s">
        <v>355</v>
      </c>
      <c r="Q44075" s="5" t="s">
        <v>355</v>
      </c>
    </row>
    <row r="44076" ht="16.5" customHeight="1">
      <c r="O44076" s="5" t="s">
        <v>355</v>
      </c>
      <c r="P44076" s="5" t="s">
        <v>355</v>
      </c>
      <c r="Q44076" s="5" t="s">
        <v>355</v>
      </c>
    </row>
    <row r="44077" ht="16.5" customHeight="1">
      <c r="O44077" s="5" t="s">
        <v>355</v>
      </c>
      <c r="P44077" s="5" t="s">
        <v>355</v>
      </c>
      <c r="Q44077" s="5" t="s">
        <v>355</v>
      </c>
    </row>
    <row r="44078" ht="16.5" customHeight="1">
      <c r="O44078" s="5" t="s">
        <v>355</v>
      </c>
      <c r="P44078" s="5" t="s">
        <v>355</v>
      </c>
      <c r="Q44078" s="5" t="s">
        <v>355</v>
      </c>
    </row>
    <row r="44079" ht="16.5" customHeight="1">
      <c r="O44079" s="5" t="s">
        <v>355</v>
      </c>
      <c r="P44079" s="5" t="s">
        <v>355</v>
      </c>
      <c r="Q44079" s="5" t="s">
        <v>355</v>
      </c>
    </row>
    <row r="44080" ht="16.5" customHeight="1">
      <c r="O44080" s="5" t="s">
        <v>355</v>
      </c>
      <c r="P44080" s="5" t="s">
        <v>355</v>
      </c>
      <c r="Q44080" s="5" t="s">
        <v>355</v>
      </c>
    </row>
    <row r="44081" ht="16.5" customHeight="1">
      <c r="O44081" s="5" t="s">
        <v>355</v>
      </c>
      <c r="P44081" s="5" t="s">
        <v>355</v>
      </c>
      <c r="Q44081" s="5" t="s">
        <v>355</v>
      </c>
    </row>
    <row r="44082" ht="16.5" customHeight="1">
      <c r="O44082" s="5" t="s">
        <v>355</v>
      </c>
      <c r="P44082" s="5" t="s">
        <v>355</v>
      </c>
      <c r="Q44082" s="5" t="s">
        <v>355</v>
      </c>
    </row>
    <row r="44083" ht="16.5" customHeight="1">
      <c r="O44083" s="5" t="s">
        <v>355</v>
      </c>
      <c r="P44083" s="5" t="s">
        <v>355</v>
      </c>
      <c r="Q44083" s="5" t="s">
        <v>355</v>
      </c>
    </row>
    <row r="44084" ht="16.5" customHeight="1">
      <c r="O44084" s="5" t="s">
        <v>355</v>
      </c>
      <c r="P44084" s="5" t="s">
        <v>355</v>
      </c>
      <c r="Q44084" s="5" t="s">
        <v>355</v>
      </c>
    </row>
    <row r="44085" ht="16.5" customHeight="1">
      <c r="O44085" s="5" t="s">
        <v>355</v>
      </c>
      <c r="P44085" s="5" t="s">
        <v>355</v>
      </c>
      <c r="Q44085" s="5" t="s">
        <v>355</v>
      </c>
    </row>
    <row r="44086" ht="16.5" customHeight="1">
      <c r="O44086" s="5" t="s">
        <v>355</v>
      </c>
      <c r="P44086" s="5" t="s">
        <v>355</v>
      </c>
      <c r="Q44086" s="5" t="s">
        <v>355</v>
      </c>
    </row>
    <row r="44087" ht="16.5" customHeight="1">
      <c r="O44087" s="5" t="s">
        <v>355</v>
      </c>
      <c r="P44087" s="5" t="s">
        <v>355</v>
      </c>
      <c r="Q44087" s="5" t="s">
        <v>355</v>
      </c>
    </row>
    <row r="44088" ht="16.5" customHeight="1">
      <c r="O44088" s="5" t="s">
        <v>355</v>
      </c>
      <c r="P44088" s="5" t="s">
        <v>355</v>
      </c>
      <c r="Q44088" s="5" t="s">
        <v>355</v>
      </c>
    </row>
    <row r="44089" ht="16.5" customHeight="1">
      <c r="O44089" s="5" t="s">
        <v>355</v>
      </c>
      <c r="P44089" s="5" t="s">
        <v>355</v>
      </c>
      <c r="Q44089" s="5" t="s">
        <v>355</v>
      </c>
    </row>
    <row r="44090" ht="16.5" customHeight="1">
      <c r="O44090" s="5" t="s">
        <v>355</v>
      </c>
      <c r="P44090" s="5" t="s">
        <v>355</v>
      </c>
      <c r="Q44090" s="5" t="s">
        <v>355</v>
      </c>
    </row>
    <row r="44091" ht="16.5" customHeight="1">
      <c r="O44091" s="5" t="s">
        <v>355</v>
      </c>
      <c r="P44091" s="5" t="s">
        <v>355</v>
      </c>
      <c r="Q44091" s="5" t="s">
        <v>355</v>
      </c>
    </row>
    <row r="44092" ht="16.5" customHeight="1">
      <c r="O44092" s="5" t="s">
        <v>355</v>
      </c>
      <c r="P44092" s="5" t="s">
        <v>355</v>
      </c>
      <c r="Q44092" s="5" t="s">
        <v>355</v>
      </c>
    </row>
    <row r="44093" ht="16.5" customHeight="1">
      <c r="O44093" s="5" t="s">
        <v>355</v>
      </c>
      <c r="P44093" s="5" t="s">
        <v>355</v>
      </c>
      <c r="Q44093" s="5" t="s">
        <v>355</v>
      </c>
    </row>
    <row r="44094" ht="16.5" customHeight="1">
      <c r="O44094" s="5" t="s">
        <v>355</v>
      </c>
      <c r="P44094" s="5" t="s">
        <v>355</v>
      </c>
      <c r="Q44094" s="5" t="s">
        <v>355</v>
      </c>
    </row>
    <row r="44095" ht="16.5" customHeight="1">
      <c r="O44095" s="5" t="s">
        <v>355</v>
      </c>
      <c r="P44095" s="5" t="s">
        <v>355</v>
      </c>
      <c r="Q44095" s="5" t="s">
        <v>355</v>
      </c>
    </row>
    <row r="44096" ht="16.5" customHeight="1">
      <c r="O44096" s="5" t="s">
        <v>355</v>
      </c>
      <c r="P44096" s="5" t="s">
        <v>355</v>
      </c>
      <c r="Q44096" s="5" t="s">
        <v>355</v>
      </c>
    </row>
    <row r="44097" ht="16.5" customHeight="1">
      <c r="O44097" s="5" t="s">
        <v>355</v>
      </c>
      <c r="P44097" s="5" t="s">
        <v>355</v>
      </c>
      <c r="Q44097" s="5" t="s">
        <v>355</v>
      </c>
    </row>
    <row r="44098" ht="16.5" customHeight="1">
      <c r="O44098" s="5" t="s">
        <v>355</v>
      </c>
      <c r="P44098" s="5" t="s">
        <v>355</v>
      </c>
      <c r="Q44098" s="5" t="s">
        <v>355</v>
      </c>
    </row>
    <row r="44099" ht="16.5" customHeight="1">
      <c r="O44099" s="5" t="s">
        <v>355</v>
      </c>
      <c r="P44099" s="5" t="s">
        <v>355</v>
      </c>
      <c r="Q44099" s="5" t="s">
        <v>355</v>
      </c>
    </row>
    <row r="44100" ht="16.5" customHeight="1">
      <c r="O44100" s="5" t="s">
        <v>355</v>
      </c>
      <c r="P44100" s="5" t="s">
        <v>355</v>
      </c>
      <c r="Q44100" s="5" t="s">
        <v>355</v>
      </c>
    </row>
    <row r="44101" ht="16.5" customHeight="1">
      <c r="O44101" s="5" t="s">
        <v>355</v>
      </c>
      <c r="P44101" s="5" t="s">
        <v>355</v>
      </c>
      <c r="Q44101" s="5" t="s">
        <v>355</v>
      </c>
    </row>
    <row r="44102" ht="16.5" customHeight="1">
      <c r="O44102" s="5" t="s">
        <v>355</v>
      </c>
      <c r="P44102" s="5" t="s">
        <v>355</v>
      </c>
      <c r="Q44102" s="5" t="s">
        <v>355</v>
      </c>
    </row>
    <row r="44103" ht="16.5" customHeight="1">
      <c r="O44103" s="5" t="s">
        <v>355</v>
      </c>
      <c r="P44103" s="5" t="s">
        <v>355</v>
      </c>
      <c r="Q44103" s="5" t="s">
        <v>355</v>
      </c>
    </row>
    <row r="44104" ht="16.5" customHeight="1">
      <c r="O44104" s="5" t="s">
        <v>355</v>
      </c>
      <c r="P44104" s="5" t="s">
        <v>355</v>
      </c>
      <c r="Q44104" s="5" t="s">
        <v>355</v>
      </c>
    </row>
    <row r="44105" ht="16.5" customHeight="1">
      <c r="O44105" s="5" t="s">
        <v>355</v>
      </c>
      <c r="P44105" s="5" t="s">
        <v>355</v>
      </c>
      <c r="Q44105" s="5" t="s">
        <v>355</v>
      </c>
    </row>
    <row r="44106" ht="16.5" customHeight="1">
      <c r="O44106" s="5" t="s">
        <v>355</v>
      </c>
      <c r="P44106" s="5" t="s">
        <v>355</v>
      </c>
      <c r="Q44106" s="5" t="s">
        <v>355</v>
      </c>
    </row>
    <row r="44107" ht="16.5" customHeight="1">
      <c r="O44107" s="5" t="s">
        <v>355</v>
      </c>
      <c r="P44107" s="5" t="s">
        <v>355</v>
      </c>
      <c r="Q44107" s="5" t="s">
        <v>355</v>
      </c>
    </row>
    <row r="44108" ht="16.5" customHeight="1">
      <c r="O44108" s="5" t="s">
        <v>355</v>
      </c>
      <c r="P44108" s="5" t="s">
        <v>355</v>
      </c>
      <c r="Q44108" s="5" t="s">
        <v>355</v>
      </c>
    </row>
    <row r="44109" ht="16.5" customHeight="1">
      <c r="O44109" s="5" t="s">
        <v>355</v>
      </c>
      <c r="P44109" s="5" t="s">
        <v>355</v>
      </c>
      <c r="Q44109" s="5" t="s">
        <v>355</v>
      </c>
    </row>
    <row r="44110" ht="16.5" customHeight="1">
      <c r="O44110" s="5" t="s">
        <v>355</v>
      </c>
      <c r="P44110" s="5" t="s">
        <v>355</v>
      </c>
      <c r="Q44110" s="5" t="s">
        <v>355</v>
      </c>
    </row>
    <row r="44111" ht="16.5" customHeight="1">
      <c r="O44111" s="5" t="s">
        <v>355</v>
      </c>
      <c r="P44111" s="5" t="s">
        <v>355</v>
      </c>
      <c r="Q44111" s="5" t="s">
        <v>355</v>
      </c>
    </row>
    <row r="44112" ht="16.5" customHeight="1">
      <c r="O44112" s="5" t="s">
        <v>355</v>
      </c>
      <c r="P44112" s="5" t="s">
        <v>355</v>
      </c>
      <c r="Q44112" s="5" t="s">
        <v>355</v>
      </c>
    </row>
    <row r="44113" ht="16.5" customHeight="1">
      <c r="O44113" s="5" t="s">
        <v>355</v>
      </c>
      <c r="P44113" s="5" t="s">
        <v>355</v>
      </c>
      <c r="Q44113" s="5" t="s">
        <v>355</v>
      </c>
    </row>
    <row r="44114" ht="16.5" customHeight="1">
      <c r="O44114" s="5" t="s">
        <v>355</v>
      </c>
      <c r="P44114" s="5" t="s">
        <v>355</v>
      </c>
      <c r="Q44114" s="5" t="s">
        <v>355</v>
      </c>
    </row>
    <row r="44115" ht="16.5" customHeight="1">
      <c r="O44115" s="5" t="s">
        <v>355</v>
      </c>
      <c r="P44115" s="5" t="s">
        <v>355</v>
      </c>
      <c r="Q44115" s="5" t="s">
        <v>355</v>
      </c>
    </row>
    <row r="44116" ht="16.5" customHeight="1">
      <c r="O44116" s="5" t="s">
        <v>355</v>
      </c>
      <c r="P44116" s="5" t="s">
        <v>355</v>
      </c>
      <c r="Q44116" s="5" t="s">
        <v>355</v>
      </c>
    </row>
    <row r="44117" ht="16.5" customHeight="1">
      <c r="O44117" s="5" t="s">
        <v>355</v>
      </c>
      <c r="P44117" s="5" t="s">
        <v>355</v>
      </c>
      <c r="Q44117" s="5" t="s">
        <v>355</v>
      </c>
    </row>
    <row r="44118" ht="16.5" customHeight="1">
      <c r="O44118" s="5" t="s">
        <v>355</v>
      </c>
      <c r="P44118" s="5" t="s">
        <v>355</v>
      </c>
      <c r="Q44118" s="5" t="s">
        <v>355</v>
      </c>
    </row>
    <row r="44119" ht="16.5" customHeight="1">
      <c r="O44119" s="5" t="s">
        <v>355</v>
      </c>
      <c r="P44119" s="5" t="s">
        <v>355</v>
      </c>
      <c r="Q44119" s="5" t="s">
        <v>355</v>
      </c>
    </row>
    <row r="44120" ht="16.5" customHeight="1">
      <c r="O44120" s="5" t="s">
        <v>355</v>
      </c>
      <c r="P44120" s="5" t="s">
        <v>355</v>
      </c>
      <c r="Q44120" s="5" t="s">
        <v>355</v>
      </c>
    </row>
    <row r="44121" ht="16.5" customHeight="1">
      <c r="O44121" s="5" t="s">
        <v>355</v>
      </c>
      <c r="P44121" s="5" t="s">
        <v>355</v>
      </c>
      <c r="Q44121" s="5" t="s">
        <v>355</v>
      </c>
    </row>
    <row r="44122" ht="16.5" customHeight="1">
      <c r="O44122" s="5" t="s">
        <v>355</v>
      </c>
      <c r="P44122" s="5" t="s">
        <v>355</v>
      </c>
      <c r="Q44122" s="5" t="s">
        <v>355</v>
      </c>
    </row>
    <row r="44123" ht="16.5" customHeight="1">
      <c r="O44123" s="5" t="s">
        <v>355</v>
      </c>
      <c r="P44123" s="5" t="s">
        <v>355</v>
      </c>
      <c r="Q44123" s="5" t="s">
        <v>355</v>
      </c>
    </row>
    <row r="44124" ht="16.5" customHeight="1">
      <c r="O44124" s="5" t="s">
        <v>355</v>
      </c>
      <c r="P44124" s="5" t="s">
        <v>355</v>
      </c>
      <c r="Q44124" s="5" t="s">
        <v>355</v>
      </c>
    </row>
    <row r="44125" ht="16.5" customHeight="1">
      <c r="O44125" s="5" t="s">
        <v>355</v>
      </c>
      <c r="P44125" s="5" t="s">
        <v>355</v>
      </c>
      <c r="Q44125" s="5" t="s">
        <v>355</v>
      </c>
    </row>
    <row r="44126" ht="16.5" customHeight="1">
      <c r="O44126" s="5" t="s">
        <v>355</v>
      </c>
      <c r="P44126" s="5" t="s">
        <v>355</v>
      </c>
      <c r="Q44126" s="5" t="s">
        <v>355</v>
      </c>
    </row>
    <row r="44127" ht="16.5" customHeight="1">
      <c r="O44127" s="5" t="s">
        <v>355</v>
      </c>
      <c r="P44127" s="5" t="s">
        <v>355</v>
      </c>
      <c r="Q44127" s="5" t="s">
        <v>355</v>
      </c>
    </row>
    <row r="44128" ht="16.5" customHeight="1">
      <c r="O44128" s="5" t="s">
        <v>355</v>
      </c>
      <c r="P44128" s="5" t="s">
        <v>355</v>
      </c>
      <c r="Q44128" s="5" t="s">
        <v>355</v>
      </c>
    </row>
    <row r="44129" ht="16.5" customHeight="1">
      <c r="O44129" s="5" t="s">
        <v>355</v>
      </c>
      <c r="P44129" s="5" t="s">
        <v>355</v>
      </c>
      <c r="Q44129" s="5" t="s">
        <v>355</v>
      </c>
    </row>
    <row r="44130" ht="16.5" customHeight="1">
      <c r="O44130" s="5" t="s">
        <v>355</v>
      </c>
      <c r="P44130" s="5" t="s">
        <v>355</v>
      </c>
      <c r="Q44130" s="5" t="s">
        <v>355</v>
      </c>
    </row>
    <row r="44131" ht="16.5" customHeight="1">
      <c r="O44131" s="5" t="s">
        <v>355</v>
      </c>
      <c r="P44131" s="5" t="s">
        <v>355</v>
      </c>
      <c r="Q44131" s="5" t="s">
        <v>355</v>
      </c>
    </row>
    <row r="44132" ht="16.5" customHeight="1">
      <c r="O44132" s="5" t="s">
        <v>355</v>
      </c>
      <c r="P44132" s="5" t="s">
        <v>355</v>
      </c>
      <c r="Q44132" s="5" t="s">
        <v>355</v>
      </c>
    </row>
    <row r="44133" ht="16.5" customHeight="1">
      <c r="O44133" s="5" t="s">
        <v>355</v>
      </c>
      <c r="P44133" s="5" t="s">
        <v>355</v>
      </c>
      <c r="Q44133" s="5" t="s">
        <v>355</v>
      </c>
    </row>
    <row r="44134" ht="16.5" customHeight="1">
      <c r="O44134" s="5" t="s">
        <v>355</v>
      </c>
      <c r="P44134" s="5" t="s">
        <v>355</v>
      </c>
      <c r="Q44134" s="5" t="s">
        <v>355</v>
      </c>
    </row>
    <row r="44135" ht="16.5" customHeight="1">
      <c r="O44135" s="5" t="s">
        <v>355</v>
      </c>
      <c r="P44135" s="5" t="s">
        <v>355</v>
      </c>
      <c r="Q44135" s="5" t="s">
        <v>355</v>
      </c>
    </row>
    <row r="44136" ht="16.5" customHeight="1">
      <c r="O44136" s="5" t="s">
        <v>355</v>
      </c>
      <c r="P44136" s="5" t="s">
        <v>355</v>
      </c>
      <c r="Q44136" s="5" t="s">
        <v>355</v>
      </c>
    </row>
    <row r="44137" ht="16.5" customHeight="1">
      <c r="O44137" s="5" t="s">
        <v>355</v>
      </c>
      <c r="P44137" s="5" t="s">
        <v>355</v>
      </c>
      <c r="Q44137" s="5" t="s">
        <v>355</v>
      </c>
    </row>
    <row r="44138" ht="16.5" customHeight="1">
      <c r="O44138" s="5" t="s">
        <v>355</v>
      </c>
      <c r="P44138" s="5" t="s">
        <v>355</v>
      </c>
      <c r="Q44138" s="5" t="s">
        <v>355</v>
      </c>
    </row>
    <row r="44139" ht="16.5" customHeight="1">
      <c r="O44139" s="5" t="s">
        <v>355</v>
      </c>
      <c r="P44139" s="5" t="s">
        <v>355</v>
      </c>
      <c r="Q44139" s="5" t="s">
        <v>355</v>
      </c>
    </row>
    <row r="44140" ht="16.5" customHeight="1">
      <c r="O44140" s="5" t="s">
        <v>355</v>
      </c>
      <c r="P44140" s="5" t="s">
        <v>355</v>
      </c>
      <c r="Q44140" s="5" t="s">
        <v>355</v>
      </c>
    </row>
    <row r="44141" ht="16.5" customHeight="1">
      <c r="O44141" s="5" t="s">
        <v>355</v>
      </c>
      <c r="P44141" s="5" t="s">
        <v>355</v>
      </c>
      <c r="Q44141" s="5" t="s">
        <v>355</v>
      </c>
    </row>
    <row r="44142" ht="16.5" customHeight="1">
      <c r="O44142" s="5" t="s">
        <v>355</v>
      </c>
      <c r="P44142" s="5" t="s">
        <v>355</v>
      </c>
      <c r="Q44142" s="5" t="s">
        <v>355</v>
      </c>
    </row>
    <row r="44143" ht="16.5" customHeight="1">
      <c r="O44143" s="5" t="s">
        <v>355</v>
      </c>
      <c r="P44143" s="5" t="s">
        <v>355</v>
      </c>
      <c r="Q44143" s="5" t="s">
        <v>355</v>
      </c>
    </row>
    <row r="44144" ht="16.5" customHeight="1">
      <c r="O44144" s="5" t="s">
        <v>355</v>
      </c>
      <c r="P44144" s="5" t="s">
        <v>355</v>
      </c>
      <c r="Q44144" s="5" t="s">
        <v>355</v>
      </c>
    </row>
    <row r="44145" ht="16.5" customHeight="1">
      <c r="O44145" s="5" t="s">
        <v>355</v>
      </c>
      <c r="P44145" s="5" t="s">
        <v>355</v>
      </c>
      <c r="Q44145" s="5" t="s">
        <v>355</v>
      </c>
    </row>
    <row r="44146" ht="16.5" customHeight="1">
      <c r="O44146" s="5" t="s">
        <v>355</v>
      </c>
      <c r="P44146" s="5" t="s">
        <v>355</v>
      </c>
      <c r="Q44146" s="5" t="s">
        <v>355</v>
      </c>
    </row>
    <row r="44147" ht="16.5" customHeight="1">
      <c r="O44147" s="5" t="s">
        <v>355</v>
      </c>
      <c r="P44147" s="5" t="s">
        <v>355</v>
      </c>
      <c r="Q44147" s="5" t="s">
        <v>355</v>
      </c>
    </row>
    <row r="44148" ht="16.5" customHeight="1">
      <c r="O44148" s="5" t="s">
        <v>355</v>
      </c>
      <c r="P44148" s="5" t="s">
        <v>355</v>
      </c>
      <c r="Q44148" s="5" t="s">
        <v>355</v>
      </c>
    </row>
    <row r="44149" ht="16.5" customHeight="1">
      <c r="O44149" s="5" t="s">
        <v>355</v>
      </c>
      <c r="P44149" s="5" t="s">
        <v>355</v>
      </c>
      <c r="Q44149" s="5" t="s">
        <v>355</v>
      </c>
    </row>
    <row r="44150" ht="16.5" customHeight="1">
      <c r="O44150" s="5" t="s">
        <v>355</v>
      </c>
      <c r="P44150" s="5" t="s">
        <v>355</v>
      </c>
      <c r="Q44150" s="5" t="s">
        <v>355</v>
      </c>
    </row>
    <row r="44151" ht="16.5" customHeight="1">
      <c r="O44151" s="5" t="s">
        <v>355</v>
      </c>
      <c r="P44151" s="5" t="s">
        <v>355</v>
      </c>
      <c r="Q44151" s="5" t="s">
        <v>355</v>
      </c>
    </row>
    <row r="44152" ht="16.5" customHeight="1">
      <c r="O44152" s="5" t="s">
        <v>355</v>
      </c>
      <c r="P44152" s="5" t="s">
        <v>355</v>
      </c>
      <c r="Q44152" s="5" t="s">
        <v>355</v>
      </c>
    </row>
    <row r="44153" ht="16.5" customHeight="1">
      <c r="O44153" s="5" t="s">
        <v>355</v>
      </c>
      <c r="P44153" s="5" t="s">
        <v>355</v>
      </c>
      <c r="Q44153" s="5" t="s">
        <v>355</v>
      </c>
    </row>
    <row r="44154" ht="16.5" customHeight="1">
      <c r="O44154" s="5" t="s">
        <v>355</v>
      </c>
      <c r="P44154" s="5" t="s">
        <v>355</v>
      </c>
      <c r="Q44154" s="5" t="s">
        <v>355</v>
      </c>
    </row>
    <row r="44155" ht="16.5" customHeight="1">
      <c r="O44155" s="5" t="s">
        <v>355</v>
      </c>
      <c r="P44155" s="5" t="s">
        <v>355</v>
      </c>
      <c r="Q44155" s="5" t="s">
        <v>355</v>
      </c>
    </row>
    <row r="44156" ht="16.5" customHeight="1">
      <c r="O44156" s="5" t="s">
        <v>355</v>
      </c>
      <c r="P44156" s="5" t="s">
        <v>355</v>
      </c>
      <c r="Q44156" s="5" t="s">
        <v>355</v>
      </c>
    </row>
    <row r="44157" ht="16.5" customHeight="1">
      <c r="O44157" s="5" t="s">
        <v>355</v>
      </c>
      <c r="P44157" s="5" t="s">
        <v>355</v>
      </c>
      <c r="Q44157" s="5" t="s">
        <v>355</v>
      </c>
    </row>
    <row r="44158" ht="16.5" customHeight="1">
      <c r="O44158" s="5" t="s">
        <v>355</v>
      </c>
      <c r="P44158" s="5" t="s">
        <v>355</v>
      </c>
      <c r="Q44158" s="5" t="s">
        <v>355</v>
      </c>
    </row>
    <row r="44159" ht="16.5" customHeight="1">
      <c r="O44159" s="5" t="s">
        <v>355</v>
      </c>
      <c r="P44159" s="5" t="s">
        <v>355</v>
      </c>
      <c r="Q44159" s="5" t="s">
        <v>355</v>
      </c>
    </row>
    <row r="44160" ht="16.5" customHeight="1">
      <c r="O44160" s="5" t="s">
        <v>355</v>
      </c>
      <c r="P44160" s="5" t="s">
        <v>355</v>
      </c>
      <c r="Q44160" s="5" t="s">
        <v>355</v>
      </c>
    </row>
    <row r="44161" ht="16.5" customHeight="1">
      <c r="O44161" s="5" t="s">
        <v>355</v>
      </c>
      <c r="P44161" s="5" t="s">
        <v>355</v>
      </c>
      <c r="Q44161" s="5" t="s">
        <v>355</v>
      </c>
    </row>
    <row r="44162" ht="16.5" customHeight="1">
      <c r="O44162" s="5" t="s">
        <v>355</v>
      </c>
      <c r="P44162" s="5" t="s">
        <v>355</v>
      </c>
      <c r="Q44162" s="5" t="s">
        <v>355</v>
      </c>
    </row>
    <row r="44163" ht="16.5" customHeight="1">
      <c r="O44163" s="5" t="s">
        <v>355</v>
      </c>
      <c r="P44163" s="5" t="s">
        <v>355</v>
      </c>
      <c r="Q44163" s="5" t="s">
        <v>355</v>
      </c>
    </row>
    <row r="44164" ht="16.5" customHeight="1">
      <c r="O44164" s="5" t="s">
        <v>355</v>
      </c>
      <c r="P44164" s="5" t="s">
        <v>355</v>
      </c>
      <c r="Q44164" s="5" t="s">
        <v>355</v>
      </c>
    </row>
    <row r="44165" ht="16.5" customHeight="1">
      <c r="O44165" s="5" t="s">
        <v>355</v>
      </c>
      <c r="P44165" s="5" t="s">
        <v>355</v>
      </c>
      <c r="Q44165" s="5" t="s">
        <v>355</v>
      </c>
    </row>
    <row r="44166" ht="16.5" customHeight="1">
      <c r="O44166" s="5" t="s">
        <v>355</v>
      </c>
      <c r="P44166" s="5" t="s">
        <v>355</v>
      </c>
      <c r="Q44166" s="5" t="s">
        <v>355</v>
      </c>
    </row>
    <row r="44167" ht="16.5" customHeight="1">
      <c r="O44167" s="5" t="s">
        <v>355</v>
      </c>
      <c r="P44167" s="5" t="s">
        <v>355</v>
      </c>
      <c r="Q44167" s="5" t="s">
        <v>355</v>
      </c>
    </row>
    <row r="44168" ht="16.5" customHeight="1">
      <c r="O44168" s="5" t="s">
        <v>355</v>
      </c>
      <c r="P44168" s="5" t="s">
        <v>355</v>
      </c>
      <c r="Q44168" s="5" t="s">
        <v>355</v>
      </c>
    </row>
    <row r="44169" ht="16.5" customHeight="1">
      <c r="O44169" s="5" t="s">
        <v>355</v>
      </c>
      <c r="P44169" s="5" t="s">
        <v>355</v>
      </c>
      <c r="Q44169" s="5" t="s">
        <v>355</v>
      </c>
    </row>
    <row r="44170" ht="16.5" customHeight="1">
      <c r="O44170" s="5" t="s">
        <v>355</v>
      </c>
      <c r="P44170" s="5" t="s">
        <v>355</v>
      </c>
      <c r="Q44170" s="5" t="s">
        <v>355</v>
      </c>
    </row>
    <row r="44171" ht="16.5" customHeight="1">
      <c r="O44171" s="5" t="s">
        <v>355</v>
      </c>
      <c r="P44171" s="5" t="s">
        <v>355</v>
      </c>
      <c r="Q44171" s="5" t="s">
        <v>355</v>
      </c>
    </row>
    <row r="44172" ht="16.5" customHeight="1">
      <c r="O44172" s="5" t="s">
        <v>355</v>
      </c>
      <c r="P44172" s="5" t="s">
        <v>355</v>
      </c>
      <c r="Q44172" s="5" t="s">
        <v>355</v>
      </c>
    </row>
    <row r="44173" ht="16.5" customHeight="1">
      <c r="O44173" s="5" t="s">
        <v>355</v>
      </c>
      <c r="P44173" s="5" t="s">
        <v>355</v>
      </c>
      <c r="Q44173" s="5" t="s">
        <v>355</v>
      </c>
    </row>
    <row r="44174" ht="16.5" customHeight="1">
      <c r="O44174" s="5" t="s">
        <v>355</v>
      </c>
      <c r="P44174" s="5" t="s">
        <v>355</v>
      </c>
      <c r="Q44174" s="5" t="s">
        <v>355</v>
      </c>
    </row>
    <row r="44175" ht="16.5" customHeight="1">
      <c r="O44175" s="5" t="s">
        <v>355</v>
      </c>
      <c r="P44175" s="5" t="s">
        <v>355</v>
      </c>
      <c r="Q44175" s="5" t="s">
        <v>355</v>
      </c>
    </row>
    <row r="44176" ht="16.5" customHeight="1">
      <c r="O44176" s="5" t="s">
        <v>355</v>
      </c>
      <c r="P44176" s="5" t="s">
        <v>355</v>
      </c>
      <c r="Q44176" s="5" t="s">
        <v>355</v>
      </c>
    </row>
    <row r="44177" ht="16.5" customHeight="1">
      <c r="O44177" s="5" t="s">
        <v>355</v>
      </c>
      <c r="P44177" s="5" t="s">
        <v>355</v>
      </c>
      <c r="Q44177" s="5" t="s">
        <v>355</v>
      </c>
    </row>
    <row r="44178" ht="16.5" customHeight="1">
      <c r="O44178" s="5" t="s">
        <v>355</v>
      </c>
      <c r="P44178" s="5" t="s">
        <v>355</v>
      </c>
      <c r="Q44178" s="5" t="s">
        <v>355</v>
      </c>
    </row>
    <row r="44179" ht="16.5" customHeight="1">
      <c r="O44179" s="5" t="s">
        <v>355</v>
      </c>
      <c r="P44179" s="5" t="s">
        <v>355</v>
      </c>
      <c r="Q44179" s="5" t="s">
        <v>355</v>
      </c>
    </row>
    <row r="44180" ht="16.5" customHeight="1">
      <c r="O44180" s="5" t="s">
        <v>355</v>
      </c>
      <c r="P44180" s="5" t="s">
        <v>355</v>
      </c>
      <c r="Q44180" s="5" t="s">
        <v>355</v>
      </c>
    </row>
    <row r="44181" ht="16.5" customHeight="1">
      <c r="O44181" s="5" t="s">
        <v>355</v>
      </c>
      <c r="P44181" s="5" t="s">
        <v>355</v>
      </c>
      <c r="Q44181" s="5" t="s">
        <v>355</v>
      </c>
    </row>
    <row r="44182" ht="16.5" customHeight="1">
      <c r="O44182" s="5" t="s">
        <v>355</v>
      </c>
      <c r="P44182" s="5" t="s">
        <v>355</v>
      </c>
      <c r="Q44182" s="5" t="s">
        <v>355</v>
      </c>
    </row>
    <row r="44183" ht="16.5" customHeight="1">
      <c r="O44183" s="5" t="s">
        <v>355</v>
      </c>
      <c r="P44183" s="5" t="s">
        <v>355</v>
      </c>
      <c r="Q44183" s="5" t="s">
        <v>355</v>
      </c>
    </row>
    <row r="44184" ht="16.5" customHeight="1">
      <c r="O44184" s="5" t="s">
        <v>355</v>
      </c>
      <c r="P44184" s="5" t="s">
        <v>355</v>
      </c>
      <c r="Q44184" s="5" t="s">
        <v>355</v>
      </c>
    </row>
    <row r="44185" ht="16.5" customHeight="1">
      <c r="O44185" s="5" t="s">
        <v>355</v>
      </c>
      <c r="P44185" s="5" t="s">
        <v>355</v>
      </c>
      <c r="Q44185" s="5" t="s">
        <v>355</v>
      </c>
    </row>
    <row r="44186" ht="16.5" customHeight="1">
      <c r="O44186" s="5" t="s">
        <v>355</v>
      </c>
      <c r="P44186" s="5" t="s">
        <v>355</v>
      </c>
      <c r="Q44186" s="5" t="s">
        <v>355</v>
      </c>
    </row>
    <row r="44187" ht="16.5" customHeight="1">
      <c r="O44187" s="5" t="s">
        <v>355</v>
      </c>
      <c r="P44187" s="5" t="s">
        <v>355</v>
      </c>
      <c r="Q44187" s="5" t="s">
        <v>355</v>
      </c>
    </row>
    <row r="44188" ht="16.5" customHeight="1">
      <c r="O44188" s="5" t="s">
        <v>355</v>
      </c>
      <c r="P44188" s="5" t="s">
        <v>355</v>
      </c>
      <c r="Q44188" s="5" t="s">
        <v>355</v>
      </c>
    </row>
    <row r="44189" ht="16.5" customHeight="1">
      <c r="O44189" s="5" t="s">
        <v>355</v>
      </c>
      <c r="P44189" s="5" t="s">
        <v>355</v>
      </c>
      <c r="Q44189" s="5" t="s">
        <v>355</v>
      </c>
    </row>
    <row r="44190" ht="16.5" customHeight="1">
      <c r="O44190" s="5" t="s">
        <v>355</v>
      </c>
      <c r="P44190" s="5" t="s">
        <v>355</v>
      </c>
      <c r="Q44190" s="5" t="s">
        <v>355</v>
      </c>
    </row>
    <row r="44191" ht="16.5" customHeight="1">
      <c r="O44191" s="5" t="s">
        <v>355</v>
      </c>
      <c r="P44191" s="5" t="s">
        <v>355</v>
      </c>
      <c r="Q44191" s="5" t="s">
        <v>355</v>
      </c>
    </row>
    <row r="44192" ht="16.5" customHeight="1">
      <c r="O44192" s="5" t="s">
        <v>355</v>
      </c>
      <c r="P44192" s="5" t="s">
        <v>355</v>
      </c>
      <c r="Q44192" s="5" t="s">
        <v>355</v>
      </c>
    </row>
    <row r="44193" ht="16.5" customHeight="1">
      <c r="O44193" s="5" t="s">
        <v>355</v>
      </c>
      <c r="P44193" s="5" t="s">
        <v>355</v>
      </c>
      <c r="Q44193" s="5" t="s">
        <v>355</v>
      </c>
    </row>
    <row r="44194" ht="16.5" customHeight="1">
      <c r="O44194" s="5" t="s">
        <v>355</v>
      </c>
      <c r="P44194" s="5" t="s">
        <v>355</v>
      </c>
      <c r="Q44194" s="5" t="s">
        <v>355</v>
      </c>
    </row>
    <row r="44195" ht="16.5" customHeight="1">
      <c r="O44195" s="5" t="s">
        <v>355</v>
      </c>
      <c r="P44195" s="5" t="s">
        <v>355</v>
      </c>
      <c r="Q44195" s="5" t="s">
        <v>355</v>
      </c>
    </row>
    <row r="44196" ht="16.5" customHeight="1">
      <c r="O44196" s="5" t="s">
        <v>355</v>
      </c>
      <c r="P44196" s="5" t="s">
        <v>355</v>
      </c>
      <c r="Q44196" s="5" t="s">
        <v>355</v>
      </c>
    </row>
    <row r="44197" ht="16.5" customHeight="1">
      <c r="O44197" s="5" t="s">
        <v>355</v>
      </c>
      <c r="P44197" s="5" t="s">
        <v>355</v>
      </c>
      <c r="Q44197" s="5" t="s">
        <v>355</v>
      </c>
    </row>
    <row r="44198" ht="16.5" customHeight="1">
      <c r="O44198" s="5" t="s">
        <v>355</v>
      </c>
      <c r="P44198" s="5" t="s">
        <v>355</v>
      </c>
      <c r="Q44198" s="5" t="s">
        <v>355</v>
      </c>
    </row>
    <row r="44199" ht="16.5" customHeight="1">
      <c r="O44199" s="5" t="s">
        <v>355</v>
      </c>
      <c r="P44199" s="5" t="s">
        <v>355</v>
      </c>
      <c r="Q44199" s="5" t="s">
        <v>355</v>
      </c>
    </row>
    <row r="44200" ht="16.5" customHeight="1">
      <c r="O44200" s="5" t="s">
        <v>355</v>
      </c>
      <c r="P44200" s="5" t="s">
        <v>355</v>
      </c>
      <c r="Q44200" s="5" t="s">
        <v>355</v>
      </c>
    </row>
    <row r="44201" ht="16.5" customHeight="1">
      <c r="O44201" s="5" t="s">
        <v>355</v>
      </c>
      <c r="P44201" s="5" t="s">
        <v>355</v>
      </c>
      <c r="Q44201" s="5" t="s">
        <v>355</v>
      </c>
    </row>
    <row r="44202" ht="16.5" customHeight="1">
      <c r="O44202" s="5" t="s">
        <v>355</v>
      </c>
      <c r="P44202" s="5" t="s">
        <v>355</v>
      </c>
      <c r="Q44202" s="5" t="s">
        <v>355</v>
      </c>
    </row>
    <row r="44203" ht="16.5" customHeight="1">
      <c r="O44203" s="5" t="s">
        <v>355</v>
      </c>
      <c r="P44203" s="5" t="s">
        <v>355</v>
      </c>
      <c r="Q44203" s="5" t="s">
        <v>355</v>
      </c>
    </row>
    <row r="44204" ht="16.5" customHeight="1">
      <c r="O44204" s="5" t="s">
        <v>355</v>
      </c>
      <c r="P44204" s="5" t="s">
        <v>355</v>
      </c>
      <c r="Q44204" s="5" t="s">
        <v>355</v>
      </c>
    </row>
    <row r="44205" ht="16.5" customHeight="1">
      <c r="O44205" s="5" t="s">
        <v>355</v>
      </c>
      <c r="P44205" s="5" t="s">
        <v>355</v>
      </c>
      <c r="Q44205" s="5" t="s">
        <v>355</v>
      </c>
    </row>
    <row r="44206" ht="16.5" customHeight="1">
      <c r="O44206" s="5" t="s">
        <v>355</v>
      </c>
      <c r="P44206" s="5" t="s">
        <v>355</v>
      </c>
      <c r="Q44206" s="5" t="s">
        <v>355</v>
      </c>
    </row>
    <row r="44207" ht="16.5" customHeight="1">
      <c r="O44207" s="5" t="s">
        <v>355</v>
      </c>
      <c r="P44207" s="5" t="s">
        <v>355</v>
      </c>
      <c r="Q44207" s="5" t="s">
        <v>355</v>
      </c>
    </row>
    <row r="44208" ht="16.5" customHeight="1">
      <c r="O44208" s="5" t="s">
        <v>355</v>
      </c>
      <c r="P44208" s="5" t="s">
        <v>355</v>
      </c>
      <c r="Q44208" s="5" t="s">
        <v>355</v>
      </c>
    </row>
    <row r="44209" ht="16.5" customHeight="1">
      <c r="O44209" s="5" t="s">
        <v>355</v>
      </c>
      <c r="P44209" s="5" t="s">
        <v>355</v>
      </c>
      <c r="Q44209" s="5" t="s">
        <v>355</v>
      </c>
    </row>
    <row r="44210" ht="16.5" customHeight="1">
      <c r="O44210" s="5" t="s">
        <v>355</v>
      </c>
      <c r="P44210" s="5" t="s">
        <v>355</v>
      </c>
      <c r="Q44210" s="5" t="s">
        <v>355</v>
      </c>
    </row>
    <row r="44211" ht="16.5" customHeight="1">
      <c r="O44211" s="5" t="s">
        <v>355</v>
      </c>
      <c r="P44211" s="5" t="s">
        <v>355</v>
      </c>
      <c r="Q44211" s="5" t="s">
        <v>355</v>
      </c>
    </row>
    <row r="44212" ht="16.5" customHeight="1">
      <c r="O44212" s="5" t="s">
        <v>355</v>
      </c>
      <c r="P44212" s="5" t="s">
        <v>355</v>
      </c>
      <c r="Q44212" s="5" t="s">
        <v>355</v>
      </c>
    </row>
    <row r="44213" ht="16.5" customHeight="1">
      <c r="O44213" s="5" t="s">
        <v>355</v>
      </c>
      <c r="P44213" s="5" t="s">
        <v>355</v>
      </c>
      <c r="Q44213" s="5" t="s">
        <v>355</v>
      </c>
    </row>
    <row r="44214" ht="16.5" customHeight="1">
      <c r="O44214" s="5" t="s">
        <v>355</v>
      </c>
      <c r="P44214" s="5" t="s">
        <v>355</v>
      </c>
      <c r="Q44214" s="5" t="s">
        <v>355</v>
      </c>
    </row>
    <row r="44215" ht="16.5" customHeight="1">
      <c r="O44215" s="5" t="s">
        <v>355</v>
      </c>
      <c r="P44215" s="5" t="s">
        <v>355</v>
      </c>
      <c r="Q44215" s="5" t="s">
        <v>355</v>
      </c>
    </row>
    <row r="44216" ht="16.5" customHeight="1">
      <c r="O44216" s="5" t="s">
        <v>355</v>
      </c>
      <c r="P44216" s="5" t="s">
        <v>355</v>
      </c>
      <c r="Q44216" s="5" t="s">
        <v>355</v>
      </c>
    </row>
    <row r="44217" ht="16.5" customHeight="1">
      <c r="O44217" s="5" t="s">
        <v>355</v>
      </c>
      <c r="P44217" s="5" t="s">
        <v>355</v>
      </c>
      <c r="Q44217" s="5" t="s">
        <v>355</v>
      </c>
    </row>
    <row r="44218" ht="16.5" customHeight="1">
      <c r="O44218" s="5" t="s">
        <v>355</v>
      </c>
      <c r="P44218" s="5" t="s">
        <v>355</v>
      </c>
      <c r="Q44218" s="5" t="s">
        <v>355</v>
      </c>
    </row>
    <row r="44219" ht="16.5" customHeight="1">
      <c r="O44219" s="5" t="s">
        <v>355</v>
      </c>
      <c r="P44219" s="5" t="s">
        <v>355</v>
      </c>
      <c r="Q44219" s="5" t="s">
        <v>355</v>
      </c>
    </row>
    <row r="44220" ht="16.5" customHeight="1">
      <c r="O44220" s="5" t="s">
        <v>355</v>
      </c>
      <c r="P44220" s="5" t="s">
        <v>355</v>
      </c>
      <c r="Q44220" s="5" t="s">
        <v>355</v>
      </c>
    </row>
    <row r="44221" ht="16.5" customHeight="1">
      <c r="O44221" s="5" t="s">
        <v>355</v>
      </c>
      <c r="P44221" s="5" t="s">
        <v>355</v>
      </c>
      <c r="Q44221" s="5" t="s">
        <v>355</v>
      </c>
    </row>
    <row r="44222" ht="16.5" customHeight="1">
      <c r="O44222" s="5" t="s">
        <v>355</v>
      </c>
      <c r="P44222" s="5" t="s">
        <v>355</v>
      </c>
      <c r="Q44222" s="5" t="s">
        <v>355</v>
      </c>
    </row>
    <row r="44223" ht="16.5" customHeight="1">
      <c r="O44223" s="5" t="s">
        <v>355</v>
      </c>
      <c r="P44223" s="5" t="s">
        <v>355</v>
      </c>
      <c r="Q44223" s="5" t="s">
        <v>355</v>
      </c>
    </row>
    <row r="44224" ht="16.5" customHeight="1">
      <c r="O44224" s="5" t="s">
        <v>355</v>
      </c>
      <c r="P44224" s="5" t="s">
        <v>355</v>
      </c>
      <c r="Q44224" s="5" t="s">
        <v>355</v>
      </c>
    </row>
    <row r="44225" ht="16.5" customHeight="1">
      <c r="O44225" s="5" t="s">
        <v>355</v>
      </c>
      <c r="P44225" s="5" t="s">
        <v>355</v>
      </c>
      <c r="Q44225" s="5" t="s">
        <v>355</v>
      </c>
    </row>
    <row r="44226" ht="16.5" customHeight="1">
      <c r="O44226" s="5" t="s">
        <v>355</v>
      </c>
      <c r="P44226" s="5" t="s">
        <v>355</v>
      </c>
      <c r="Q44226" s="5" t="s">
        <v>355</v>
      </c>
    </row>
    <row r="44227" ht="16.5" customHeight="1">
      <c r="O44227" s="5" t="s">
        <v>355</v>
      </c>
      <c r="P44227" s="5" t="s">
        <v>355</v>
      </c>
      <c r="Q44227" s="5" t="s">
        <v>355</v>
      </c>
    </row>
    <row r="44228" ht="16.5" customHeight="1">
      <c r="O44228" s="5" t="s">
        <v>355</v>
      </c>
      <c r="P44228" s="5" t="s">
        <v>355</v>
      </c>
      <c r="Q44228" s="5" t="s">
        <v>355</v>
      </c>
    </row>
    <row r="44229" ht="16.5" customHeight="1">
      <c r="O44229" s="5" t="s">
        <v>355</v>
      </c>
      <c r="P44229" s="5" t="s">
        <v>355</v>
      </c>
      <c r="Q44229" s="5" t="s">
        <v>355</v>
      </c>
    </row>
    <row r="44230" ht="16.5" customHeight="1">
      <c r="O44230" s="5" t="s">
        <v>355</v>
      </c>
      <c r="P44230" s="5" t="s">
        <v>355</v>
      </c>
      <c r="Q44230" s="5" t="s">
        <v>355</v>
      </c>
    </row>
    <row r="44231" ht="16.5" customHeight="1">
      <c r="O44231" s="5" t="s">
        <v>355</v>
      </c>
      <c r="P44231" s="5" t="s">
        <v>355</v>
      </c>
      <c r="Q44231" s="5" t="s">
        <v>355</v>
      </c>
    </row>
    <row r="44232" ht="16.5" customHeight="1">
      <c r="O44232" s="5" t="s">
        <v>355</v>
      </c>
      <c r="P44232" s="5" t="s">
        <v>355</v>
      </c>
      <c r="Q44232" s="5" t="s">
        <v>355</v>
      </c>
    </row>
    <row r="44233" ht="16.5" customHeight="1">
      <c r="O44233" s="5" t="s">
        <v>355</v>
      </c>
      <c r="P44233" s="5" t="s">
        <v>355</v>
      </c>
      <c r="Q44233" s="5" t="s">
        <v>355</v>
      </c>
    </row>
    <row r="44234" ht="16.5" customHeight="1">
      <c r="O44234" s="5" t="s">
        <v>355</v>
      </c>
      <c r="P44234" s="5" t="s">
        <v>355</v>
      </c>
      <c r="Q44234" s="5" t="s">
        <v>355</v>
      </c>
    </row>
    <row r="44235" ht="16.5" customHeight="1">
      <c r="O44235" s="5" t="s">
        <v>355</v>
      </c>
      <c r="P44235" s="5" t="s">
        <v>355</v>
      </c>
      <c r="Q44235" s="5" t="s">
        <v>355</v>
      </c>
    </row>
    <row r="44236" ht="16.5" customHeight="1">
      <c r="O44236" s="5" t="s">
        <v>355</v>
      </c>
      <c r="P44236" s="5" t="s">
        <v>355</v>
      </c>
      <c r="Q44236" s="5" t="s">
        <v>355</v>
      </c>
    </row>
    <row r="44237" ht="16.5" customHeight="1">
      <c r="O44237" s="5" t="s">
        <v>355</v>
      </c>
      <c r="P44237" s="5" t="s">
        <v>355</v>
      </c>
      <c r="Q44237" s="5" t="s">
        <v>355</v>
      </c>
    </row>
    <row r="44238" ht="16.5" customHeight="1">
      <c r="O44238" s="5" t="s">
        <v>355</v>
      </c>
      <c r="P44238" s="5" t="s">
        <v>355</v>
      </c>
      <c r="Q44238" s="5" t="s">
        <v>355</v>
      </c>
    </row>
    <row r="44239" ht="16.5" customHeight="1">
      <c r="O44239" s="5" t="s">
        <v>355</v>
      </c>
      <c r="P44239" s="5" t="s">
        <v>355</v>
      </c>
      <c r="Q44239" s="5" t="s">
        <v>355</v>
      </c>
    </row>
    <row r="44240" ht="16.5" customHeight="1">
      <c r="O44240" s="5" t="s">
        <v>355</v>
      </c>
      <c r="P44240" s="5" t="s">
        <v>355</v>
      </c>
      <c r="Q44240" s="5" t="s">
        <v>355</v>
      </c>
    </row>
    <row r="44241" ht="16.5" customHeight="1">
      <c r="O44241" s="5" t="s">
        <v>355</v>
      </c>
      <c r="P44241" s="5" t="s">
        <v>355</v>
      </c>
      <c r="Q44241" s="5" t="s">
        <v>355</v>
      </c>
    </row>
    <row r="44242" ht="16.5" customHeight="1">
      <c r="O44242" s="5" t="s">
        <v>355</v>
      </c>
      <c r="P44242" s="5" t="s">
        <v>355</v>
      </c>
      <c r="Q44242" s="5" t="s">
        <v>355</v>
      </c>
    </row>
    <row r="44243" ht="16.5" customHeight="1">
      <c r="O44243" s="5" t="s">
        <v>355</v>
      </c>
      <c r="P44243" s="5" t="s">
        <v>355</v>
      </c>
      <c r="Q44243" s="5" t="s">
        <v>355</v>
      </c>
    </row>
    <row r="44244" ht="16.5" customHeight="1">
      <c r="O44244" s="5" t="s">
        <v>355</v>
      </c>
      <c r="P44244" s="5" t="s">
        <v>355</v>
      </c>
      <c r="Q44244" s="5" t="s">
        <v>355</v>
      </c>
    </row>
    <row r="44245" ht="16.5" customHeight="1">
      <c r="O44245" s="5" t="s">
        <v>355</v>
      </c>
      <c r="P44245" s="5" t="s">
        <v>355</v>
      </c>
      <c r="Q44245" s="5" t="s">
        <v>355</v>
      </c>
    </row>
    <row r="44246" ht="16.5" customHeight="1">
      <c r="O44246" s="5" t="s">
        <v>355</v>
      </c>
      <c r="P44246" s="5" t="s">
        <v>355</v>
      </c>
      <c r="Q44246" s="5" t="s">
        <v>355</v>
      </c>
    </row>
    <row r="44247" ht="16.5" customHeight="1">
      <c r="O44247" s="5" t="s">
        <v>355</v>
      </c>
      <c r="P44247" s="5" t="s">
        <v>355</v>
      </c>
      <c r="Q44247" s="5" t="s">
        <v>355</v>
      </c>
    </row>
    <row r="44248" ht="16.5" customHeight="1">
      <c r="O44248" s="5" t="s">
        <v>355</v>
      </c>
      <c r="P44248" s="5" t="s">
        <v>355</v>
      </c>
      <c r="Q44248" s="5" t="s">
        <v>355</v>
      </c>
    </row>
    <row r="44249" ht="16.5" customHeight="1">
      <c r="O44249" s="5" t="s">
        <v>355</v>
      </c>
      <c r="P44249" s="5" t="s">
        <v>355</v>
      </c>
      <c r="Q44249" s="5" t="s">
        <v>355</v>
      </c>
    </row>
    <row r="44250" ht="16.5" customHeight="1">
      <c r="O44250" s="5" t="s">
        <v>355</v>
      </c>
      <c r="P44250" s="5" t="s">
        <v>355</v>
      </c>
      <c r="Q44250" s="5" t="s">
        <v>355</v>
      </c>
    </row>
    <row r="44251" ht="16.5" customHeight="1">
      <c r="O44251" s="5" t="s">
        <v>355</v>
      </c>
      <c r="P44251" s="5" t="s">
        <v>355</v>
      </c>
      <c r="Q44251" s="5" t="s">
        <v>355</v>
      </c>
    </row>
    <row r="44252" ht="16.5" customHeight="1">
      <c r="O44252" s="5" t="s">
        <v>355</v>
      </c>
      <c r="P44252" s="5" t="s">
        <v>355</v>
      </c>
      <c r="Q44252" s="5" t="s">
        <v>355</v>
      </c>
    </row>
    <row r="44253" ht="16.5" customHeight="1">
      <c r="O44253" s="5" t="s">
        <v>355</v>
      </c>
      <c r="P44253" s="5" t="s">
        <v>355</v>
      </c>
      <c r="Q44253" s="5" t="s">
        <v>355</v>
      </c>
    </row>
    <row r="44254" ht="16.5" customHeight="1">
      <c r="O44254" s="5" t="s">
        <v>355</v>
      </c>
      <c r="P44254" s="5" t="s">
        <v>355</v>
      </c>
      <c r="Q44254" s="5" t="s">
        <v>355</v>
      </c>
    </row>
    <row r="44255" ht="16.5" customHeight="1">
      <c r="O44255" s="5" t="s">
        <v>355</v>
      </c>
      <c r="P44255" s="5" t="s">
        <v>355</v>
      </c>
      <c r="Q44255" s="5" t="s">
        <v>355</v>
      </c>
    </row>
    <row r="44256" ht="16.5" customHeight="1">
      <c r="O44256" s="5" t="s">
        <v>355</v>
      </c>
      <c r="P44256" s="5" t="s">
        <v>355</v>
      </c>
      <c r="Q44256" s="5" t="s">
        <v>355</v>
      </c>
    </row>
    <row r="44257" ht="16.5" customHeight="1">
      <c r="O44257" s="5" t="s">
        <v>355</v>
      </c>
      <c r="P44257" s="5" t="s">
        <v>355</v>
      </c>
      <c r="Q44257" s="5" t="s">
        <v>355</v>
      </c>
    </row>
    <row r="44258" ht="16.5" customHeight="1">
      <c r="O44258" s="5" t="s">
        <v>355</v>
      </c>
      <c r="P44258" s="5" t="s">
        <v>355</v>
      </c>
      <c r="Q44258" s="5" t="s">
        <v>355</v>
      </c>
    </row>
    <row r="44259" ht="16.5" customHeight="1">
      <c r="O44259" s="5" t="s">
        <v>355</v>
      </c>
      <c r="P44259" s="5" t="s">
        <v>355</v>
      </c>
      <c r="Q44259" s="5" t="s">
        <v>355</v>
      </c>
    </row>
    <row r="44260" ht="16.5" customHeight="1">
      <c r="O44260" s="5" t="s">
        <v>355</v>
      </c>
      <c r="P44260" s="5" t="s">
        <v>355</v>
      </c>
      <c r="Q44260" s="5" t="s">
        <v>355</v>
      </c>
    </row>
    <row r="44261" ht="16.5" customHeight="1">
      <c r="O44261" s="5" t="s">
        <v>355</v>
      </c>
      <c r="P44261" s="5" t="s">
        <v>355</v>
      </c>
      <c r="Q44261" s="5" t="s">
        <v>355</v>
      </c>
    </row>
    <row r="44262" ht="16.5" customHeight="1">
      <c r="O44262" s="5" t="s">
        <v>355</v>
      </c>
      <c r="P44262" s="5" t="s">
        <v>355</v>
      </c>
      <c r="Q44262" s="5" t="s">
        <v>355</v>
      </c>
    </row>
    <row r="44263" ht="16.5" customHeight="1">
      <c r="O44263" s="5" t="s">
        <v>355</v>
      </c>
      <c r="P44263" s="5" t="s">
        <v>355</v>
      </c>
      <c r="Q44263" s="5" t="s">
        <v>355</v>
      </c>
    </row>
    <row r="44264" ht="16.5" customHeight="1">
      <c r="O44264" s="5" t="s">
        <v>355</v>
      </c>
      <c r="P44264" s="5" t="s">
        <v>355</v>
      </c>
      <c r="Q44264" s="5" t="s">
        <v>355</v>
      </c>
    </row>
    <row r="44265" ht="16.5" customHeight="1">
      <c r="O44265" s="5" t="s">
        <v>355</v>
      </c>
      <c r="P44265" s="5" t="s">
        <v>355</v>
      </c>
      <c r="Q44265" s="5" t="s">
        <v>355</v>
      </c>
    </row>
    <row r="44266" ht="16.5" customHeight="1">
      <c r="O44266" s="5" t="s">
        <v>355</v>
      </c>
      <c r="P44266" s="5" t="s">
        <v>355</v>
      </c>
      <c r="Q44266" s="5" t="s">
        <v>355</v>
      </c>
    </row>
    <row r="44267" ht="16.5" customHeight="1">
      <c r="O44267" s="5" t="s">
        <v>355</v>
      </c>
      <c r="P44267" s="5" t="s">
        <v>355</v>
      </c>
      <c r="Q44267" s="5" t="s">
        <v>355</v>
      </c>
    </row>
    <row r="44268" ht="16.5" customHeight="1">
      <c r="O44268" s="5" t="s">
        <v>355</v>
      </c>
      <c r="P44268" s="5" t="s">
        <v>355</v>
      </c>
      <c r="Q44268" s="5" t="s">
        <v>355</v>
      </c>
    </row>
    <row r="44269" ht="16.5" customHeight="1">
      <c r="O44269" s="5" t="s">
        <v>355</v>
      </c>
      <c r="P44269" s="5" t="s">
        <v>355</v>
      </c>
      <c r="Q44269" s="5" t="s">
        <v>355</v>
      </c>
    </row>
    <row r="44270" ht="16.5" customHeight="1">
      <c r="O44270" s="5" t="s">
        <v>355</v>
      </c>
      <c r="P44270" s="5" t="s">
        <v>355</v>
      </c>
      <c r="Q44270" s="5" t="s">
        <v>355</v>
      </c>
    </row>
    <row r="44271" ht="16.5" customHeight="1">
      <c r="O44271" s="5" t="s">
        <v>355</v>
      </c>
      <c r="P44271" s="5" t="s">
        <v>355</v>
      </c>
      <c r="Q44271" s="5" t="s">
        <v>355</v>
      </c>
    </row>
    <row r="44272" ht="16.5" customHeight="1">
      <c r="O44272" s="5" t="s">
        <v>355</v>
      </c>
      <c r="P44272" s="5" t="s">
        <v>355</v>
      </c>
      <c r="Q44272" s="5" t="s">
        <v>355</v>
      </c>
    </row>
    <row r="44273" ht="16.5" customHeight="1">
      <c r="O44273" s="5" t="s">
        <v>355</v>
      </c>
      <c r="P44273" s="5" t="s">
        <v>355</v>
      </c>
      <c r="Q44273" s="5" t="s">
        <v>355</v>
      </c>
    </row>
    <row r="44274" ht="16.5" customHeight="1">
      <c r="O44274" s="5" t="s">
        <v>355</v>
      </c>
      <c r="P44274" s="5" t="s">
        <v>355</v>
      </c>
      <c r="Q44274" s="5" t="s">
        <v>355</v>
      </c>
    </row>
    <row r="44275" ht="16.5" customHeight="1">
      <c r="O44275" s="5" t="s">
        <v>355</v>
      </c>
      <c r="P44275" s="5" t="s">
        <v>355</v>
      </c>
      <c r="Q44275" s="5" t="s">
        <v>355</v>
      </c>
    </row>
    <row r="44276" ht="16.5" customHeight="1">
      <c r="O44276" s="5" t="s">
        <v>355</v>
      </c>
      <c r="P44276" s="5" t="s">
        <v>355</v>
      </c>
      <c r="Q44276" s="5" t="s">
        <v>355</v>
      </c>
    </row>
    <row r="44277" ht="16.5" customHeight="1">
      <c r="O44277" s="5" t="s">
        <v>355</v>
      </c>
      <c r="P44277" s="5" t="s">
        <v>355</v>
      </c>
      <c r="Q44277" s="5" t="s">
        <v>355</v>
      </c>
    </row>
    <row r="44278" ht="16.5" customHeight="1">
      <c r="O44278" s="5" t="s">
        <v>355</v>
      </c>
      <c r="P44278" s="5" t="s">
        <v>355</v>
      </c>
      <c r="Q44278" s="5" t="s">
        <v>355</v>
      </c>
    </row>
    <row r="44279" ht="16.5" customHeight="1">
      <c r="O44279" s="5" t="s">
        <v>355</v>
      </c>
      <c r="P44279" s="5" t="s">
        <v>355</v>
      </c>
      <c r="Q44279" s="5" t="s">
        <v>355</v>
      </c>
    </row>
    <row r="44280" ht="16.5" customHeight="1">
      <c r="O44280" s="5" t="s">
        <v>355</v>
      </c>
      <c r="P44280" s="5" t="s">
        <v>355</v>
      </c>
      <c r="Q44280" s="5" t="s">
        <v>355</v>
      </c>
    </row>
    <row r="44281" ht="16.5" customHeight="1">
      <c r="O44281" s="5" t="s">
        <v>355</v>
      </c>
      <c r="P44281" s="5" t="s">
        <v>355</v>
      </c>
      <c r="Q44281" s="5" t="s">
        <v>355</v>
      </c>
    </row>
    <row r="44282" ht="16.5" customHeight="1">
      <c r="O44282" s="5" t="s">
        <v>355</v>
      </c>
      <c r="P44282" s="5" t="s">
        <v>355</v>
      </c>
      <c r="Q44282" s="5" t="s">
        <v>355</v>
      </c>
    </row>
    <row r="44283" ht="16.5" customHeight="1">
      <c r="O44283" s="5" t="s">
        <v>355</v>
      </c>
      <c r="P44283" s="5" t="s">
        <v>355</v>
      </c>
      <c r="Q44283" s="5" t="s">
        <v>355</v>
      </c>
    </row>
    <row r="44284" ht="16.5" customHeight="1">
      <c r="O44284" s="5" t="s">
        <v>355</v>
      </c>
      <c r="P44284" s="5" t="s">
        <v>355</v>
      </c>
      <c r="Q44284" s="5" t="s">
        <v>355</v>
      </c>
    </row>
    <row r="44285" ht="16.5" customHeight="1">
      <c r="O44285" s="5" t="s">
        <v>355</v>
      </c>
      <c r="P44285" s="5" t="s">
        <v>355</v>
      </c>
      <c r="Q44285" s="5" t="s">
        <v>355</v>
      </c>
    </row>
    <row r="44286" ht="16.5" customHeight="1">
      <c r="O44286" s="5" t="s">
        <v>355</v>
      </c>
      <c r="P44286" s="5" t="s">
        <v>355</v>
      </c>
      <c r="Q44286" s="5" t="s">
        <v>355</v>
      </c>
    </row>
    <row r="44287" ht="16.5" customHeight="1">
      <c r="O44287" s="5" t="s">
        <v>355</v>
      </c>
      <c r="P44287" s="5" t="s">
        <v>355</v>
      </c>
      <c r="Q44287" s="5" t="s">
        <v>355</v>
      </c>
    </row>
    <row r="44288" ht="16.5" customHeight="1">
      <c r="O44288" s="5" t="s">
        <v>355</v>
      </c>
      <c r="P44288" s="5" t="s">
        <v>355</v>
      </c>
      <c r="Q44288" s="5" t="s">
        <v>355</v>
      </c>
    </row>
    <row r="44289" ht="16.5" customHeight="1">
      <c r="O44289" s="5" t="s">
        <v>355</v>
      </c>
      <c r="P44289" s="5" t="s">
        <v>355</v>
      </c>
      <c r="Q44289" s="5" t="s">
        <v>355</v>
      </c>
    </row>
    <row r="44290" ht="16.5" customHeight="1">
      <c r="O44290" s="5" t="s">
        <v>355</v>
      </c>
      <c r="P44290" s="5" t="s">
        <v>355</v>
      </c>
      <c r="Q44290" s="5" t="s">
        <v>355</v>
      </c>
    </row>
    <row r="44291" ht="16.5" customHeight="1">
      <c r="O44291" s="5" t="s">
        <v>355</v>
      </c>
      <c r="P44291" s="5" t="s">
        <v>355</v>
      </c>
      <c r="Q44291" s="5" t="s">
        <v>355</v>
      </c>
    </row>
    <row r="44292" ht="16.5" customHeight="1">
      <c r="O44292" s="5" t="s">
        <v>355</v>
      </c>
      <c r="P44292" s="5" t="s">
        <v>355</v>
      </c>
      <c r="Q44292" s="5" t="s">
        <v>355</v>
      </c>
    </row>
    <row r="44293" ht="16.5" customHeight="1">
      <c r="O44293" s="5" t="s">
        <v>355</v>
      </c>
      <c r="P44293" s="5" t="s">
        <v>355</v>
      </c>
      <c r="Q44293" s="5" t="s">
        <v>355</v>
      </c>
    </row>
    <row r="44294" ht="16.5" customHeight="1">
      <c r="O44294" s="5" t="s">
        <v>355</v>
      </c>
      <c r="P44294" s="5" t="s">
        <v>355</v>
      </c>
      <c r="Q44294" s="5" t="s">
        <v>355</v>
      </c>
    </row>
    <row r="44295" ht="16.5" customHeight="1">
      <c r="O44295" s="5" t="s">
        <v>355</v>
      </c>
      <c r="P44295" s="5" t="s">
        <v>355</v>
      </c>
      <c r="Q44295" s="5" t="s">
        <v>355</v>
      </c>
    </row>
    <row r="44296" ht="16.5" customHeight="1">
      <c r="O44296" s="5" t="s">
        <v>355</v>
      </c>
      <c r="P44296" s="5" t="s">
        <v>355</v>
      </c>
      <c r="Q44296" s="5" t="s">
        <v>355</v>
      </c>
    </row>
    <row r="44297" ht="16.5" customHeight="1">
      <c r="O44297" s="5" t="s">
        <v>355</v>
      </c>
      <c r="P44297" s="5" t="s">
        <v>355</v>
      </c>
      <c r="Q44297" s="5" t="s">
        <v>355</v>
      </c>
    </row>
    <row r="44298" ht="16.5" customHeight="1">
      <c r="O44298" s="5" t="s">
        <v>355</v>
      </c>
      <c r="P44298" s="5" t="s">
        <v>355</v>
      </c>
      <c r="Q44298" s="5" t="s">
        <v>355</v>
      </c>
    </row>
    <row r="44299" ht="16.5" customHeight="1">
      <c r="O44299" s="5" t="s">
        <v>355</v>
      </c>
      <c r="P44299" s="5" t="s">
        <v>355</v>
      </c>
      <c r="Q44299" s="5" t="s">
        <v>355</v>
      </c>
    </row>
    <row r="44300" ht="16.5" customHeight="1">
      <c r="O44300" s="5" t="s">
        <v>355</v>
      </c>
      <c r="P44300" s="5" t="s">
        <v>355</v>
      </c>
      <c r="Q44300" s="5" t="s">
        <v>355</v>
      </c>
    </row>
    <row r="44301" ht="16.5" customHeight="1">
      <c r="O44301" s="5" t="s">
        <v>355</v>
      </c>
      <c r="P44301" s="5" t="s">
        <v>355</v>
      </c>
      <c r="Q44301" s="5" t="s">
        <v>355</v>
      </c>
    </row>
    <row r="44302" ht="16.5" customHeight="1">
      <c r="O44302" s="5" t="s">
        <v>355</v>
      </c>
      <c r="P44302" s="5" t="s">
        <v>355</v>
      </c>
      <c r="Q44302" s="5" t="s">
        <v>355</v>
      </c>
    </row>
    <row r="44303" ht="16.5" customHeight="1">
      <c r="O44303" s="5" t="s">
        <v>355</v>
      </c>
      <c r="P44303" s="5" t="s">
        <v>355</v>
      </c>
      <c r="Q44303" s="5" t="s">
        <v>355</v>
      </c>
    </row>
    <row r="44304" ht="16.5" customHeight="1">
      <c r="O44304" s="5" t="s">
        <v>355</v>
      </c>
      <c r="P44304" s="5" t="s">
        <v>355</v>
      </c>
      <c r="Q44304" s="5" t="s">
        <v>355</v>
      </c>
    </row>
    <row r="44305" ht="16.5" customHeight="1">
      <c r="O44305" s="5" t="s">
        <v>355</v>
      </c>
      <c r="P44305" s="5" t="s">
        <v>355</v>
      </c>
      <c r="Q44305" s="5" t="s">
        <v>355</v>
      </c>
    </row>
    <row r="44306" ht="16.5" customHeight="1">
      <c r="O44306" s="5" t="s">
        <v>355</v>
      </c>
      <c r="P44306" s="5" t="s">
        <v>355</v>
      </c>
      <c r="Q44306" s="5" t="s">
        <v>355</v>
      </c>
    </row>
    <row r="44307" ht="16.5" customHeight="1">
      <c r="O44307" s="5" t="s">
        <v>355</v>
      </c>
      <c r="P44307" s="5" t="s">
        <v>355</v>
      </c>
      <c r="Q44307" s="5" t="s">
        <v>355</v>
      </c>
    </row>
    <row r="44308" ht="16.5" customHeight="1">
      <c r="O44308" s="5" t="s">
        <v>355</v>
      </c>
      <c r="P44308" s="5" t="s">
        <v>355</v>
      </c>
      <c r="Q44308" s="5" t="s">
        <v>355</v>
      </c>
    </row>
    <row r="44309" ht="16.5" customHeight="1">
      <c r="O44309" s="5" t="s">
        <v>355</v>
      </c>
      <c r="P44309" s="5" t="s">
        <v>355</v>
      </c>
      <c r="Q44309" s="5" t="s">
        <v>355</v>
      </c>
    </row>
    <row r="44310" ht="16.5" customHeight="1">
      <c r="O44310" s="5" t="s">
        <v>355</v>
      </c>
      <c r="P44310" s="5" t="s">
        <v>355</v>
      </c>
      <c r="Q44310" s="5" t="s">
        <v>355</v>
      </c>
    </row>
    <row r="44311" ht="16.5" customHeight="1">
      <c r="O44311" s="5" t="s">
        <v>355</v>
      </c>
      <c r="P44311" s="5" t="s">
        <v>355</v>
      </c>
      <c r="Q44311" s="5" t="s">
        <v>355</v>
      </c>
    </row>
    <row r="44312" ht="16.5" customHeight="1">
      <c r="O44312" s="5" t="s">
        <v>355</v>
      </c>
      <c r="P44312" s="5" t="s">
        <v>355</v>
      </c>
      <c r="Q44312" s="5" t="s">
        <v>355</v>
      </c>
    </row>
    <row r="44313" ht="16.5" customHeight="1">
      <c r="O44313" s="5" t="s">
        <v>355</v>
      </c>
      <c r="P44313" s="5" t="s">
        <v>355</v>
      </c>
      <c r="Q44313" s="5" t="s">
        <v>355</v>
      </c>
    </row>
    <row r="44314" ht="16.5" customHeight="1">
      <c r="O44314" s="5" t="s">
        <v>355</v>
      </c>
      <c r="P44314" s="5" t="s">
        <v>355</v>
      </c>
      <c r="Q44314" s="5" t="s">
        <v>355</v>
      </c>
    </row>
    <row r="44315" ht="16.5" customHeight="1">
      <c r="O44315" s="5" t="s">
        <v>355</v>
      </c>
      <c r="P44315" s="5" t="s">
        <v>355</v>
      </c>
      <c r="Q44315" s="5" t="s">
        <v>355</v>
      </c>
    </row>
    <row r="44316" ht="16.5" customHeight="1">
      <c r="O44316" s="5" t="s">
        <v>355</v>
      </c>
      <c r="P44316" s="5" t="s">
        <v>355</v>
      </c>
      <c r="Q44316" s="5" t="s">
        <v>355</v>
      </c>
    </row>
    <row r="44317" ht="16.5" customHeight="1">
      <c r="O44317" s="5" t="s">
        <v>355</v>
      </c>
      <c r="P44317" s="5" t="s">
        <v>355</v>
      </c>
      <c r="Q44317" s="5" t="s">
        <v>355</v>
      </c>
    </row>
    <row r="44318" ht="16.5" customHeight="1">
      <c r="O44318" s="5" t="s">
        <v>355</v>
      </c>
      <c r="P44318" s="5" t="s">
        <v>355</v>
      </c>
      <c r="Q44318" s="5" t="s">
        <v>355</v>
      </c>
    </row>
    <row r="44319" ht="16.5" customHeight="1">
      <c r="O44319" s="5" t="s">
        <v>355</v>
      </c>
      <c r="P44319" s="5" t="s">
        <v>355</v>
      </c>
      <c r="Q44319" s="5" t="s">
        <v>355</v>
      </c>
    </row>
    <row r="44320" ht="16.5" customHeight="1">
      <c r="O44320" s="5" t="s">
        <v>355</v>
      </c>
      <c r="P44320" s="5" t="s">
        <v>355</v>
      </c>
      <c r="Q44320" s="5" t="s">
        <v>355</v>
      </c>
    </row>
    <row r="44321" ht="16.5" customHeight="1">
      <c r="O44321" s="5" t="s">
        <v>355</v>
      </c>
      <c r="P44321" s="5" t="s">
        <v>355</v>
      </c>
      <c r="Q44321" s="5" t="s">
        <v>355</v>
      </c>
    </row>
    <row r="44322" ht="16.5" customHeight="1">
      <c r="O44322" s="5" t="s">
        <v>355</v>
      </c>
      <c r="P44322" s="5" t="s">
        <v>355</v>
      </c>
      <c r="Q44322" s="5" t="s">
        <v>355</v>
      </c>
    </row>
    <row r="44323" ht="16.5" customHeight="1">
      <c r="O44323" s="5" t="s">
        <v>355</v>
      </c>
      <c r="P44323" s="5" t="s">
        <v>355</v>
      </c>
      <c r="Q44323" s="5" t="s">
        <v>355</v>
      </c>
    </row>
    <row r="44324" ht="16.5" customHeight="1">
      <c r="O44324" s="5" t="s">
        <v>355</v>
      </c>
      <c r="P44324" s="5" t="s">
        <v>355</v>
      </c>
      <c r="Q44324" s="5" t="s">
        <v>355</v>
      </c>
    </row>
    <row r="44325" ht="16.5" customHeight="1">
      <c r="O44325" s="5" t="s">
        <v>355</v>
      </c>
      <c r="P44325" s="5" t="s">
        <v>355</v>
      </c>
      <c r="Q44325" s="5" t="s">
        <v>355</v>
      </c>
    </row>
    <row r="44326" ht="16.5" customHeight="1">
      <c r="O44326" s="5" t="s">
        <v>355</v>
      </c>
      <c r="P44326" s="5" t="s">
        <v>355</v>
      </c>
      <c r="Q44326" s="5" t="s">
        <v>355</v>
      </c>
    </row>
    <row r="44327" ht="16.5" customHeight="1">
      <c r="O44327" s="5" t="s">
        <v>355</v>
      </c>
      <c r="P44327" s="5" t="s">
        <v>355</v>
      </c>
      <c r="Q44327" s="5" t="s">
        <v>355</v>
      </c>
    </row>
    <row r="44328" ht="16.5" customHeight="1">
      <c r="O44328" s="5" t="s">
        <v>355</v>
      </c>
      <c r="P44328" s="5" t="s">
        <v>355</v>
      </c>
      <c r="Q44328" s="5" t="s">
        <v>355</v>
      </c>
    </row>
    <row r="44329" ht="16.5" customHeight="1">
      <c r="O44329" s="5" t="s">
        <v>355</v>
      </c>
      <c r="P44329" s="5" t="s">
        <v>355</v>
      </c>
      <c r="Q44329" s="5" t="s">
        <v>355</v>
      </c>
    </row>
    <row r="44330" ht="16.5" customHeight="1">
      <c r="O44330" s="5" t="s">
        <v>355</v>
      </c>
      <c r="P44330" s="5" t="s">
        <v>355</v>
      </c>
      <c r="Q44330" s="5" t="s">
        <v>355</v>
      </c>
    </row>
    <row r="44331" ht="16.5" customHeight="1">
      <c r="O44331" s="5" t="s">
        <v>355</v>
      </c>
      <c r="P44331" s="5" t="s">
        <v>355</v>
      </c>
      <c r="Q44331" s="5" t="s">
        <v>355</v>
      </c>
    </row>
    <row r="44332" ht="16.5" customHeight="1">
      <c r="O44332" s="5" t="s">
        <v>355</v>
      </c>
      <c r="P44332" s="5" t="s">
        <v>355</v>
      </c>
      <c r="Q44332" s="5" t="s">
        <v>355</v>
      </c>
    </row>
    <row r="44333" ht="16.5" customHeight="1">
      <c r="O44333" s="5" t="s">
        <v>355</v>
      </c>
      <c r="P44333" s="5" t="s">
        <v>355</v>
      </c>
      <c r="Q44333" s="5" t="s">
        <v>355</v>
      </c>
    </row>
    <row r="44334" ht="16.5" customHeight="1">
      <c r="O44334" s="5" t="s">
        <v>355</v>
      </c>
      <c r="P44334" s="5" t="s">
        <v>355</v>
      </c>
      <c r="Q44334" s="5" t="s">
        <v>355</v>
      </c>
    </row>
    <row r="44335" ht="16.5" customHeight="1">
      <c r="O44335" s="5" t="s">
        <v>355</v>
      </c>
      <c r="P44335" s="5" t="s">
        <v>355</v>
      </c>
      <c r="Q44335" s="5" t="s">
        <v>355</v>
      </c>
    </row>
    <row r="44336" ht="16.5" customHeight="1">
      <c r="O44336" s="5" t="s">
        <v>355</v>
      </c>
      <c r="P44336" s="5" t="s">
        <v>355</v>
      </c>
      <c r="Q44336" s="5" t="s">
        <v>355</v>
      </c>
    </row>
    <row r="44337" ht="16.5" customHeight="1">
      <c r="O44337" s="5" t="s">
        <v>355</v>
      </c>
      <c r="P44337" s="5" t="s">
        <v>355</v>
      </c>
      <c r="Q44337" s="5" t="s">
        <v>355</v>
      </c>
    </row>
    <row r="44338" ht="16.5" customHeight="1">
      <c r="O44338" s="5" t="s">
        <v>355</v>
      </c>
      <c r="P44338" s="5" t="s">
        <v>355</v>
      </c>
      <c r="Q44338" s="5" t="s">
        <v>355</v>
      </c>
    </row>
    <row r="44339" ht="16.5" customHeight="1">
      <c r="O44339" s="5" t="s">
        <v>355</v>
      </c>
      <c r="P44339" s="5" t="s">
        <v>355</v>
      </c>
      <c r="Q44339" s="5" t="s">
        <v>355</v>
      </c>
    </row>
    <row r="44340" ht="16.5" customHeight="1">
      <c r="O44340" s="5" t="s">
        <v>355</v>
      </c>
      <c r="P44340" s="5" t="s">
        <v>355</v>
      </c>
      <c r="Q44340" s="5" t="s">
        <v>355</v>
      </c>
    </row>
    <row r="44341" ht="16.5" customHeight="1">
      <c r="O44341" s="5" t="s">
        <v>355</v>
      </c>
      <c r="P44341" s="5" t="s">
        <v>355</v>
      </c>
      <c r="Q44341" s="5" t="s">
        <v>355</v>
      </c>
    </row>
    <row r="44342" ht="16.5" customHeight="1">
      <c r="O44342" s="5" t="s">
        <v>355</v>
      </c>
      <c r="P44342" s="5" t="s">
        <v>355</v>
      </c>
      <c r="Q44342" s="5" t="s">
        <v>355</v>
      </c>
    </row>
    <row r="44343" ht="16.5" customHeight="1">
      <c r="O44343" s="5" t="s">
        <v>355</v>
      </c>
      <c r="P44343" s="5" t="s">
        <v>355</v>
      </c>
      <c r="Q44343" s="5" t="s">
        <v>355</v>
      </c>
    </row>
    <row r="44344" ht="16.5" customHeight="1">
      <c r="O44344" s="5" t="s">
        <v>355</v>
      </c>
      <c r="P44344" s="5" t="s">
        <v>355</v>
      </c>
      <c r="Q44344" s="5" t="s">
        <v>355</v>
      </c>
    </row>
    <row r="44345" ht="16.5" customHeight="1">
      <c r="O44345" s="5" t="s">
        <v>355</v>
      </c>
      <c r="P44345" s="5" t="s">
        <v>355</v>
      </c>
      <c r="Q44345" s="5" t="s">
        <v>355</v>
      </c>
    </row>
    <row r="44346" ht="16.5" customHeight="1">
      <c r="O44346" s="5" t="s">
        <v>355</v>
      </c>
      <c r="P44346" s="5" t="s">
        <v>355</v>
      </c>
      <c r="Q44346" s="5" t="s">
        <v>355</v>
      </c>
    </row>
    <row r="44347" ht="16.5" customHeight="1">
      <c r="O44347" s="5" t="s">
        <v>355</v>
      </c>
      <c r="P44347" s="5" t="s">
        <v>355</v>
      </c>
      <c r="Q44347" s="5" t="s">
        <v>355</v>
      </c>
    </row>
    <row r="44348" ht="16.5" customHeight="1">
      <c r="O44348" s="5" t="s">
        <v>355</v>
      </c>
      <c r="P44348" s="5" t="s">
        <v>355</v>
      </c>
      <c r="Q44348" s="5" t="s">
        <v>355</v>
      </c>
    </row>
    <row r="44349" ht="16.5" customHeight="1">
      <c r="O44349" s="5" t="s">
        <v>355</v>
      </c>
      <c r="P44349" s="5" t="s">
        <v>355</v>
      </c>
      <c r="Q44349" s="5" t="s">
        <v>355</v>
      </c>
    </row>
    <row r="44350" ht="16.5" customHeight="1">
      <c r="O44350" s="5" t="s">
        <v>355</v>
      </c>
      <c r="P44350" s="5" t="s">
        <v>355</v>
      </c>
      <c r="Q44350" s="5" t="s">
        <v>355</v>
      </c>
    </row>
    <row r="44351" ht="16.5" customHeight="1">
      <c r="O44351" s="5" t="s">
        <v>355</v>
      </c>
      <c r="P44351" s="5" t="s">
        <v>355</v>
      </c>
      <c r="Q44351" s="5" t="s">
        <v>355</v>
      </c>
    </row>
    <row r="44352" ht="16.5" customHeight="1">
      <c r="O44352" s="5" t="s">
        <v>355</v>
      </c>
      <c r="P44352" s="5" t="s">
        <v>355</v>
      </c>
      <c r="Q44352" s="5" t="s">
        <v>355</v>
      </c>
    </row>
    <row r="44353" ht="16.5" customHeight="1">
      <c r="O44353" s="5" t="s">
        <v>355</v>
      </c>
      <c r="P44353" s="5" t="s">
        <v>355</v>
      </c>
      <c r="Q44353" s="5" t="s">
        <v>355</v>
      </c>
    </row>
    <row r="44354" ht="16.5" customHeight="1">
      <c r="O44354" s="5" t="s">
        <v>355</v>
      </c>
      <c r="P44354" s="5" t="s">
        <v>355</v>
      </c>
      <c r="Q44354" s="5" t="s">
        <v>355</v>
      </c>
    </row>
    <row r="44355" ht="16.5" customHeight="1">
      <c r="O44355" s="5" t="s">
        <v>355</v>
      </c>
      <c r="P44355" s="5" t="s">
        <v>355</v>
      </c>
      <c r="Q44355" s="5" t="s">
        <v>355</v>
      </c>
    </row>
    <row r="44356" ht="16.5" customHeight="1">
      <c r="O44356" s="5" t="s">
        <v>355</v>
      </c>
      <c r="P44356" s="5" t="s">
        <v>355</v>
      </c>
      <c r="Q44356" s="5" t="s">
        <v>355</v>
      </c>
    </row>
    <row r="44357" ht="16.5" customHeight="1">
      <c r="O44357" s="5" t="s">
        <v>355</v>
      </c>
      <c r="P44357" s="5" t="s">
        <v>355</v>
      </c>
      <c r="Q44357" s="5" t="s">
        <v>355</v>
      </c>
    </row>
    <row r="44358" ht="16.5" customHeight="1">
      <c r="O44358" s="5" t="s">
        <v>355</v>
      </c>
      <c r="P44358" s="5" t="s">
        <v>355</v>
      </c>
      <c r="Q44358" s="5" t="s">
        <v>355</v>
      </c>
    </row>
    <row r="44359" ht="16.5" customHeight="1">
      <c r="O44359" s="5" t="s">
        <v>355</v>
      </c>
      <c r="P44359" s="5" t="s">
        <v>355</v>
      </c>
      <c r="Q44359" s="5" t="s">
        <v>355</v>
      </c>
    </row>
    <row r="44360" ht="16.5" customHeight="1">
      <c r="O44360" s="5" t="s">
        <v>355</v>
      </c>
      <c r="P44360" s="5" t="s">
        <v>355</v>
      </c>
      <c r="Q44360" s="5" t="s">
        <v>355</v>
      </c>
    </row>
    <row r="44361" ht="16.5" customHeight="1">
      <c r="O44361" s="5" t="s">
        <v>355</v>
      </c>
      <c r="P44361" s="5" t="s">
        <v>355</v>
      </c>
      <c r="Q44361" s="5" t="s">
        <v>355</v>
      </c>
    </row>
    <row r="44362" ht="16.5" customHeight="1">
      <c r="O44362" s="5" t="s">
        <v>355</v>
      </c>
      <c r="P44362" s="5" t="s">
        <v>355</v>
      </c>
      <c r="Q44362" s="5" t="s">
        <v>355</v>
      </c>
    </row>
    <row r="44363" ht="16.5" customHeight="1">
      <c r="O44363" s="5" t="s">
        <v>355</v>
      </c>
      <c r="P44363" s="5" t="s">
        <v>355</v>
      </c>
      <c r="Q44363" s="5" t="s">
        <v>355</v>
      </c>
    </row>
    <row r="44364" ht="16.5" customHeight="1">
      <c r="O44364" s="5" t="s">
        <v>355</v>
      </c>
      <c r="P44364" s="5" t="s">
        <v>355</v>
      </c>
      <c r="Q44364" s="5" t="s">
        <v>355</v>
      </c>
    </row>
    <row r="44365" ht="16.5" customHeight="1">
      <c r="O44365" s="5" t="s">
        <v>355</v>
      </c>
      <c r="P44365" s="5" t="s">
        <v>355</v>
      </c>
      <c r="Q44365" s="5" t="s">
        <v>355</v>
      </c>
    </row>
    <row r="44366" ht="16.5" customHeight="1">
      <c r="O44366" s="5" t="s">
        <v>355</v>
      </c>
      <c r="P44366" s="5" t="s">
        <v>355</v>
      </c>
      <c r="Q44366" s="5" t="s">
        <v>355</v>
      </c>
    </row>
    <row r="44367" ht="16.5" customHeight="1">
      <c r="O44367" s="5" t="s">
        <v>355</v>
      </c>
      <c r="P44367" s="5" t="s">
        <v>355</v>
      </c>
      <c r="Q44367" s="5" t="s">
        <v>355</v>
      </c>
    </row>
    <row r="44368" ht="16.5" customHeight="1">
      <c r="O44368" s="5" t="s">
        <v>355</v>
      </c>
      <c r="P44368" s="5" t="s">
        <v>355</v>
      </c>
      <c r="Q44368" s="5" t="s">
        <v>355</v>
      </c>
    </row>
    <row r="44369" ht="16.5" customHeight="1">
      <c r="O44369" s="5" t="s">
        <v>355</v>
      </c>
      <c r="P44369" s="5" t="s">
        <v>355</v>
      </c>
      <c r="Q44369" s="5" t="s">
        <v>355</v>
      </c>
    </row>
    <row r="44370" ht="16.5" customHeight="1">
      <c r="O44370" s="5" t="s">
        <v>355</v>
      </c>
      <c r="P44370" s="5" t="s">
        <v>355</v>
      </c>
      <c r="Q44370" s="5" t="s">
        <v>355</v>
      </c>
    </row>
    <row r="44371" ht="16.5" customHeight="1">
      <c r="O44371" s="5" t="s">
        <v>355</v>
      </c>
      <c r="P44371" s="5" t="s">
        <v>355</v>
      </c>
      <c r="Q44371" s="5" t="s">
        <v>355</v>
      </c>
    </row>
    <row r="44372" ht="16.5" customHeight="1">
      <c r="O44372" s="5" t="s">
        <v>355</v>
      </c>
      <c r="P44372" s="5" t="s">
        <v>355</v>
      </c>
      <c r="Q44372" s="5" t="s">
        <v>355</v>
      </c>
    </row>
    <row r="44373" ht="16.5" customHeight="1">
      <c r="O44373" s="5" t="s">
        <v>355</v>
      </c>
      <c r="P44373" s="5" t="s">
        <v>355</v>
      </c>
      <c r="Q44373" s="5" t="s">
        <v>355</v>
      </c>
    </row>
    <row r="44374" ht="16.5" customHeight="1">
      <c r="O44374" s="5" t="s">
        <v>355</v>
      </c>
      <c r="P44374" s="5" t="s">
        <v>355</v>
      </c>
      <c r="Q44374" s="5" t="s">
        <v>355</v>
      </c>
    </row>
    <row r="44375" ht="16.5" customHeight="1">
      <c r="O44375" s="5" t="s">
        <v>355</v>
      </c>
      <c r="P44375" s="5" t="s">
        <v>355</v>
      </c>
      <c r="Q44375" s="5" t="s">
        <v>355</v>
      </c>
    </row>
    <row r="44376" ht="16.5" customHeight="1">
      <c r="O44376" s="5" t="s">
        <v>355</v>
      </c>
      <c r="P44376" s="5" t="s">
        <v>355</v>
      </c>
      <c r="Q44376" s="5" t="s">
        <v>355</v>
      </c>
    </row>
    <row r="44377" ht="16.5" customHeight="1">
      <c r="O44377" s="5" t="s">
        <v>355</v>
      </c>
      <c r="P44377" s="5" t="s">
        <v>355</v>
      </c>
      <c r="Q44377" s="5" t="s">
        <v>355</v>
      </c>
    </row>
    <row r="44378" ht="16.5" customHeight="1">
      <c r="O44378" s="5" t="s">
        <v>355</v>
      </c>
      <c r="P44378" s="5" t="s">
        <v>355</v>
      </c>
      <c r="Q44378" s="5" t="s">
        <v>355</v>
      </c>
    </row>
    <row r="44379" ht="16.5" customHeight="1">
      <c r="O44379" s="5" t="s">
        <v>355</v>
      </c>
      <c r="P44379" s="5" t="s">
        <v>355</v>
      </c>
      <c r="Q44379" s="5" t="s">
        <v>355</v>
      </c>
    </row>
    <row r="44380" ht="16.5" customHeight="1">
      <c r="O44380" s="5" t="s">
        <v>355</v>
      </c>
      <c r="P44380" s="5" t="s">
        <v>355</v>
      </c>
      <c r="Q44380" s="5" t="s">
        <v>355</v>
      </c>
    </row>
    <row r="44381" ht="16.5" customHeight="1">
      <c r="O44381" s="5" t="s">
        <v>355</v>
      </c>
      <c r="P44381" s="5" t="s">
        <v>355</v>
      </c>
      <c r="Q44381" s="5" t="s">
        <v>355</v>
      </c>
    </row>
    <row r="44382" ht="16.5" customHeight="1">
      <c r="O44382" s="5" t="s">
        <v>355</v>
      </c>
      <c r="P44382" s="5" t="s">
        <v>355</v>
      </c>
      <c r="Q44382" s="5" t="s">
        <v>355</v>
      </c>
    </row>
    <row r="44383" ht="16.5" customHeight="1">
      <c r="O44383" s="5" t="s">
        <v>355</v>
      </c>
      <c r="P44383" s="5" t="s">
        <v>355</v>
      </c>
      <c r="Q44383" s="5" t="s">
        <v>355</v>
      </c>
    </row>
    <row r="44384" ht="16.5" customHeight="1">
      <c r="O44384" s="5" t="s">
        <v>355</v>
      </c>
      <c r="P44384" s="5" t="s">
        <v>355</v>
      </c>
      <c r="Q44384" s="5" t="s">
        <v>355</v>
      </c>
    </row>
    <row r="44385" ht="16.5" customHeight="1">
      <c r="O44385" s="5" t="s">
        <v>355</v>
      </c>
      <c r="P44385" s="5" t="s">
        <v>355</v>
      </c>
      <c r="Q44385" s="5" t="s">
        <v>355</v>
      </c>
    </row>
    <row r="44386" ht="16.5" customHeight="1">
      <c r="O44386" s="5" t="s">
        <v>355</v>
      </c>
      <c r="P44386" s="5" t="s">
        <v>355</v>
      </c>
      <c r="Q44386" s="5" t="s">
        <v>355</v>
      </c>
    </row>
    <row r="44387" ht="16.5" customHeight="1">
      <c r="O44387" s="5" t="s">
        <v>355</v>
      </c>
      <c r="P44387" s="5" t="s">
        <v>355</v>
      </c>
      <c r="Q44387" s="5" t="s">
        <v>355</v>
      </c>
    </row>
    <row r="44388" ht="16.5" customHeight="1">
      <c r="O44388" s="5" t="s">
        <v>355</v>
      </c>
      <c r="P44388" s="5" t="s">
        <v>355</v>
      </c>
      <c r="Q44388" s="5" t="s">
        <v>355</v>
      </c>
    </row>
    <row r="44389" ht="16.5" customHeight="1">
      <c r="O44389" s="5" t="s">
        <v>355</v>
      </c>
      <c r="P44389" s="5" t="s">
        <v>355</v>
      </c>
      <c r="Q44389" s="5" t="s">
        <v>355</v>
      </c>
    </row>
    <row r="44390" ht="16.5" customHeight="1">
      <c r="O44390" s="5" t="s">
        <v>355</v>
      </c>
      <c r="P44390" s="5" t="s">
        <v>355</v>
      </c>
      <c r="Q44390" s="5" t="s">
        <v>355</v>
      </c>
    </row>
    <row r="44391" ht="16.5" customHeight="1">
      <c r="O44391" s="5" t="s">
        <v>355</v>
      </c>
      <c r="P44391" s="5" t="s">
        <v>355</v>
      </c>
      <c r="Q44391" s="5" t="s">
        <v>355</v>
      </c>
    </row>
    <row r="44392" ht="16.5" customHeight="1">
      <c r="O44392" s="5" t="s">
        <v>355</v>
      </c>
      <c r="P44392" s="5" t="s">
        <v>355</v>
      </c>
      <c r="Q44392" s="5" t="s">
        <v>355</v>
      </c>
    </row>
    <row r="44393" ht="16.5" customHeight="1">
      <c r="O44393" s="5" t="s">
        <v>355</v>
      </c>
      <c r="P44393" s="5" t="s">
        <v>355</v>
      </c>
      <c r="Q44393" s="5" t="s">
        <v>355</v>
      </c>
    </row>
    <row r="44394" ht="16.5" customHeight="1">
      <c r="O44394" s="5" t="s">
        <v>355</v>
      </c>
      <c r="P44394" s="5" t="s">
        <v>355</v>
      </c>
      <c r="Q44394" s="5" t="s">
        <v>355</v>
      </c>
    </row>
    <row r="44395" ht="16.5" customHeight="1">
      <c r="O44395" s="5" t="s">
        <v>355</v>
      </c>
      <c r="P44395" s="5" t="s">
        <v>355</v>
      </c>
      <c r="Q44395" s="5" t="s">
        <v>355</v>
      </c>
    </row>
    <row r="44396" ht="16.5" customHeight="1">
      <c r="O44396" s="5" t="s">
        <v>355</v>
      </c>
      <c r="P44396" s="5" t="s">
        <v>355</v>
      </c>
      <c r="Q44396" s="5" t="s">
        <v>355</v>
      </c>
    </row>
    <row r="44397" ht="16.5" customHeight="1">
      <c r="O44397" s="5" t="s">
        <v>355</v>
      </c>
      <c r="P44397" s="5" t="s">
        <v>355</v>
      </c>
      <c r="Q44397" s="5" t="s">
        <v>355</v>
      </c>
    </row>
    <row r="44398" ht="16.5" customHeight="1">
      <c r="O44398" s="5" t="s">
        <v>355</v>
      </c>
      <c r="P44398" s="5" t="s">
        <v>355</v>
      </c>
      <c r="Q44398" s="5" t="s">
        <v>355</v>
      </c>
    </row>
    <row r="44399" ht="16.5" customHeight="1">
      <c r="O44399" s="5" t="s">
        <v>355</v>
      </c>
      <c r="P44399" s="5" t="s">
        <v>355</v>
      </c>
      <c r="Q44399" s="5" t="s">
        <v>355</v>
      </c>
    </row>
    <row r="44400" ht="16.5" customHeight="1">
      <c r="O44400" s="5" t="s">
        <v>355</v>
      </c>
      <c r="P44400" s="5" t="s">
        <v>355</v>
      </c>
      <c r="Q44400" s="5" t="s">
        <v>355</v>
      </c>
    </row>
    <row r="44401" ht="16.5" customHeight="1">
      <c r="O44401" s="5" t="s">
        <v>355</v>
      </c>
      <c r="P44401" s="5" t="s">
        <v>355</v>
      </c>
      <c r="Q44401" s="5" t="s">
        <v>355</v>
      </c>
    </row>
    <row r="44402" ht="16.5" customHeight="1">
      <c r="O44402" s="5" t="s">
        <v>355</v>
      </c>
      <c r="P44402" s="5" t="s">
        <v>355</v>
      </c>
      <c r="Q44402" s="5" t="s">
        <v>355</v>
      </c>
    </row>
    <row r="44403" ht="16.5" customHeight="1">
      <c r="O44403" s="5" t="s">
        <v>355</v>
      </c>
      <c r="P44403" s="5" t="s">
        <v>355</v>
      </c>
      <c r="Q44403" s="5" t="s">
        <v>355</v>
      </c>
    </row>
    <row r="44404" ht="16.5" customHeight="1">
      <c r="O44404" s="5" t="s">
        <v>355</v>
      </c>
      <c r="P44404" s="5" t="s">
        <v>355</v>
      </c>
      <c r="Q44404" s="5" t="s">
        <v>355</v>
      </c>
    </row>
    <row r="44405" ht="16.5" customHeight="1">
      <c r="O44405" s="5" t="s">
        <v>355</v>
      </c>
      <c r="P44405" s="5" t="s">
        <v>355</v>
      </c>
      <c r="Q44405" s="5" t="s">
        <v>355</v>
      </c>
    </row>
    <row r="44406" ht="16.5" customHeight="1">
      <c r="O44406" s="5" t="s">
        <v>355</v>
      </c>
      <c r="P44406" s="5" t="s">
        <v>355</v>
      </c>
      <c r="Q44406" s="5" t="s">
        <v>355</v>
      </c>
    </row>
    <row r="44407" ht="16.5" customHeight="1">
      <c r="O44407" s="5" t="s">
        <v>355</v>
      </c>
      <c r="P44407" s="5" t="s">
        <v>355</v>
      </c>
      <c r="Q44407" s="5" t="s">
        <v>355</v>
      </c>
    </row>
    <row r="44408" ht="16.5" customHeight="1">
      <c r="O44408" s="5" t="s">
        <v>355</v>
      </c>
      <c r="P44408" s="5" t="s">
        <v>355</v>
      </c>
      <c r="Q44408" s="5" t="s">
        <v>355</v>
      </c>
    </row>
    <row r="44409" ht="16.5" customHeight="1">
      <c r="O44409" s="5" t="s">
        <v>355</v>
      </c>
      <c r="P44409" s="5" t="s">
        <v>355</v>
      </c>
      <c r="Q44409" s="5" t="s">
        <v>355</v>
      </c>
    </row>
    <row r="44410" ht="16.5" customHeight="1">
      <c r="O44410" s="5" t="s">
        <v>355</v>
      </c>
      <c r="P44410" s="5" t="s">
        <v>355</v>
      </c>
      <c r="Q44410" s="5" t="s">
        <v>355</v>
      </c>
    </row>
    <row r="44411" ht="16.5" customHeight="1">
      <c r="O44411" s="5" t="s">
        <v>355</v>
      </c>
      <c r="P44411" s="5" t="s">
        <v>355</v>
      </c>
      <c r="Q44411" s="5" t="s">
        <v>355</v>
      </c>
    </row>
    <row r="44412" ht="16.5" customHeight="1">
      <c r="O44412" s="5" t="s">
        <v>355</v>
      </c>
      <c r="P44412" s="5" t="s">
        <v>355</v>
      </c>
      <c r="Q44412" s="5" t="s">
        <v>355</v>
      </c>
    </row>
    <row r="44413" ht="16.5" customHeight="1">
      <c r="O44413" s="5" t="s">
        <v>355</v>
      </c>
      <c r="P44413" s="5" t="s">
        <v>355</v>
      </c>
      <c r="Q44413" s="5" t="s">
        <v>355</v>
      </c>
    </row>
    <row r="44414" ht="16.5" customHeight="1">
      <c r="O44414" s="5" t="s">
        <v>355</v>
      </c>
      <c r="P44414" s="5" t="s">
        <v>355</v>
      </c>
      <c r="Q44414" s="5" t="s">
        <v>355</v>
      </c>
    </row>
    <row r="44415" ht="16.5" customHeight="1">
      <c r="O44415" s="5" t="s">
        <v>355</v>
      </c>
      <c r="P44415" s="5" t="s">
        <v>355</v>
      </c>
      <c r="Q44415" s="5" t="s">
        <v>355</v>
      </c>
    </row>
    <row r="44416" ht="16.5" customHeight="1">
      <c r="O44416" s="5" t="s">
        <v>355</v>
      </c>
      <c r="P44416" s="5" t="s">
        <v>355</v>
      </c>
      <c r="Q44416" s="5" t="s">
        <v>355</v>
      </c>
    </row>
    <row r="44417" ht="16.5" customHeight="1">
      <c r="O44417" s="5" t="s">
        <v>355</v>
      </c>
      <c r="P44417" s="5" t="s">
        <v>355</v>
      </c>
      <c r="Q44417" s="5" t="s">
        <v>355</v>
      </c>
    </row>
    <row r="44418" ht="16.5" customHeight="1">
      <c r="O44418" s="5" t="s">
        <v>355</v>
      </c>
      <c r="P44418" s="5" t="s">
        <v>355</v>
      </c>
      <c r="Q44418" s="5" t="s">
        <v>355</v>
      </c>
    </row>
    <row r="44419" ht="16.5" customHeight="1">
      <c r="O44419" s="5" t="s">
        <v>355</v>
      </c>
      <c r="P44419" s="5" t="s">
        <v>355</v>
      </c>
      <c r="Q44419" s="5" t="s">
        <v>355</v>
      </c>
    </row>
    <row r="44420" ht="16.5" customHeight="1">
      <c r="O44420" s="5" t="s">
        <v>355</v>
      </c>
      <c r="P44420" s="5" t="s">
        <v>355</v>
      </c>
      <c r="Q44420" s="5" t="s">
        <v>355</v>
      </c>
    </row>
    <row r="44421" ht="16.5" customHeight="1">
      <c r="O44421" s="5" t="s">
        <v>355</v>
      </c>
      <c r="P44421" s="5" t="s">
        <v>355</v>
      </c>
      <c r="Q44421" s="5" t="s">
        <v>355</v>
      </c>
    </row>
    <row r="44422" ht="16.5" customHeight="1">
      <c r="O44422" s="5" t="s">
        <v>355</v>
      </c>
      <c r="P44422" s="5" t="s">
        <v>355</v>
      </c>
      <c r="Q44422" s="5" t="s">
        <v>355</v>
      </c>
    </row>
    <row r="44423" ht="16.5" customHeight="1">
      <c r="O44423" s="5" t="s">
        <v>355</v>
      </c>
      <c r="P44423" s="5" t="s">
        <v>355</v>
      </c>
      <c r="Q44423" s="5" t="s">
        <v>355</v>
      </c>
    </row>
    <row r="44424" ht="16.5" customHeight="1">
      <c r="O44424" s="5" t="s">
        <v>355</v>
      </c>
      <c r="P44424" s="5" t="s">
        <v>355</v>
      </c>
      <c r="Q44424" s="5" t="s">
        <v>355</v>
      </c>
    </row>
    <row r="44425" ht="16.5" customHeight="1">
      <c r="O44425" s="5" t="s">
        <v>355</v>
      </c>
      <c r="P44425" s="5" t="s">
        <v>355</v>
      </c>
      <c r="Q44425" s="5" t="s">
        <v>355</v>
      </c>
    </row>
    <row r="44426" ht="16.5" customHeight="1">
      <c r="O44426" s="5" t="s">
        <v>355</v>
      </c>
      <c r="P44426" s="5" t="s">
        <v>355</v>
      </c>
      <c r="Q44426" s="5" t="s">
        <v>355</v>
      </c>
    </row>
    <row r="44427" ht="16.5" customHeight="1">
      <c r="O44427" s="5" t="s">
        <v>355</v>
      </c>
      <c r="P44427" s="5" t="s">
        <v>355</v>
      </c>
      <c r="Q44427" s="5" t="s">
        <v>355</v>
      </c>
    </row>
    <row r="44428" ht="16.5" customHeight="1">
      <c r="O44428" s="5" t="s">
        <v>355</v>
      </c>
      <c r="P44428" s="5" t="s">
        <v>355</v>
      </c>
      <c r="Q44428" s="5" t="s">
        <v>355</v>
      </c>
    </row>
    <row r="44429" ht="16.5" customHeight="1">
      <c r="O44429" s="5" t="s">
        <v>355</v>
      </c>
      <c r="P44429" s="5" t="s">
        <v>355</v>
      </c>
      <c r="Q44429" s="5" t="s">
        <v>355</v>
      </c>
    </row>
    <row r="44430" ht="16.5" customHeight="1">
      <c r="O44430" s="5" t="s">
        <v>355</v>
      </c>
      <c r="P44430" s="5" t="s">
        <v>355</v>
      </c>
      <c r="Q44430" s="5" t="s">
        <v>355</v>
      </c>
    </row>
    <row r="44431" ht="16.5" customHeight="1">
      <c r="O44431" s="5" t="s">
        <v>355</v>
      </c>
      <c r="P44431" s="5" t="s">
        <v>355</v>
      </c>
      <c r="Q44431" s="5" t="s">
        <v>355</v>
      </c>
    </row>
    <row r="44432" ht="16.5" customHeight="1">
      <c r="O44432" s="5" t="s">
        <v>355</v>
      </c>
      <c r="P44432" s="5" t="s">
        <v>355</v>
      </c>
      <c r="Q44432" s="5" t="s">
        <v>355</v>
      </c>
    </row>
    <row r="44433" ht="16.5" customHeight="1">
      <c r="O44433" s="5" t="s">
        <v>355</v>
      </c>
      <c r="P44433" s="5" t="s">
        <v>355</v>
      </c>
      <c r="Q44433" s="5" t="s">
        <v>355</v>
      </c>
    </row>
    <row r="44434" ht="16.5" customHeight="1">
      <c r="O44434" s="5" t="s">
        <v>355</v>
      </c>
      <c r="P44434" s="5" t="s">
        <v>355</v>
      </c>
      <c r="Q44434" s="5" t="s">
        <v>355</v>
      </c>
    </row>
    <row r="44435" ht="16.5" customHeight="1">
      <c r="O44435" s="5" t="s">
        <v>355</v>
      </c>
      <c r="P44435" s="5" t="s">
        <v>355</v>
      </c>
      <c r="Q44435" s="5" t="s">
        <v>355</v>
      </c>
    </row>
    <row r="44436" ht="16.5" customHeight="1">
      <c r="O44436" s="5" t="s">
        <v>355</v>
      </c>
      <c r="P44436" s="5" t="s">
        <v>355</v>
      </c>
      <c r="Q44436" s="5" t="s">
        <v>355</v>
      </c>
    </row>
    <row r="44437" ht="16.5" customHeight="1">
      <c r="O44437" s="5" t="s">
        <v>355</v>
      </c>
      <c r="P44437" s="5" t="s">
        <v>355</v>
      </c>
      <c r="Q44437" s="5" t="s">
        <v>355</v>
      </c>
    </row>
    <row r="44438" ht="16.5" customHeight="1">
      <c r="O44438" s="5" t="s">
        <v>355</v>
      </c>
      <c r="P44438" s="5" t="s">
        <v>355</v>
      </c>
      <c r="Q44438" s="5" t="s">
        <v>355</v>
      </c>
    </row>
    <row r="44439" ht="16.5" customHeight="1">
      <c r="O44439" s="5" t="s">
        <v>355</v>
      </c>
      <c r="P44439" s="5" t="s">
        <v>355</v>
      </c>
      <c r="Q44439" s="5" t="s">
        <v>355</v>
      </c>
    </row>
    <row r="44440" ht="16.5" customHeight="1">
      <c r="O44440" s="5" t="s">
        <v>355</v>
      </c>
      <c r="P44440" s="5" t="s">
        <v>355</v>
      </c>
      <c r="Q44440" s="5" t="s">
        <v>355</v>
      </c>
    </row>
    <row r="44441" ht="16.5" customHeight="1">
      <c r="O44441" s="5" t="s">
        <v>355</v>
      </c>
      <c r="P44441" s="5" t="s">
        <v>355</v>
      </c>
      <c r="Q44441" s="5" t="s">
        <v>355</v>
      </c>
    </row>
    <row r="44442" ht="16.5" customHeight="1">
      <c r="O44442" s="5" t="s">
        <v>355</v>
      </c>
      <c r="P44442" s="5" t="s">
        <v>355</v>
      </c>
      <c r="Q44442" s="5" t="s">
        <v>355</v>
      </c>
    </row>
    <row r="44443" ht="16.5" customHeight="1">
      <c r="O44443" s="5" t="s">
        <v>355</v>
      </c>
      <c r="P44443" s="5" t="s">
        <v>355</v>
      </c>
      <c r="Q44443" s="5" t="s">
        <v>355</v>
      </c>
    </row>
    <row r="44444" ht="16.5" customHeight="1">
      <c r="O44444" s="5" t="s">
        <v>355</v>
      </c>
      <c r="P44444" s="5" t="s">
        <v>355</v>
      </c>
      <c r="Q44444" s="5" t="s">
        <v>355</v>
      </c>
    </row>
    <row r="44445" ht="16.5" customHeight="1">
      <c r="O44445" s="5" t="s">
        <v>355</v>
      </c>
      <c r="P44445" s="5" t="s">
        <v>355</v>
      </c>
      <c r="Q44445" s="5" t="s">
        <v>355</v>
      </c>
    </row>
    <row r="44446" ht="16.5" customHeight="1">
      <c r="O44446" s="5" t="s">
        <v>355</v>
      </c>
      <c r="P44446" s="5" t="s">
        <v>355</v>
      </c>
      <c r="Q44446" s="5" t="s">
        <v>355</v>
      </c>
    </row>
    <row r="44447" ht="16.5" customHeight="1">
      <c r="O44447" s="5" t="s">
        <v>355</v>
      </c>
      <c r="P44447" s="5" t="s">
        <v>355</v>
      </c>
      <c r="Q44447" s="5" t="s">
        <v>355</v>
      </c>
    </row>
    <row r="44448" ht="16.5" customHeight="1">
      <c r="O44448" s="5" t="s">
        <v>355</v>
      </c>
      <c r="P44448" s="5" t="s">
        <v>355</v>
      </c>
      <c r="Q44448" s="5" t="s">
        <v>355</v>
      </c>
    </row>
    <row r="44449" ht="16.5" customHeight="1">
      <c r="O44449" s="5" t="s">
        <v>355</v>
      </c>
      <c r="P44449" s="5" t="s">
        <v>355</v>
      </c>
      <c r="Q44449" s="5" t="s">
        <v>355</v>
      </c>
    </row>
    <row r="44450" ht="16.5" customHeight="1">
      <c r="O44450" s="5" t="s">
        <v>355</v>
      </c>
      <c r="P44450" s="5" t="s">
        <v>355</v>
      </c>
      <c r="Q44450" s="5" t="s">
        <v>355</v>
      </c>
    </row>
    <row r="44451" ht="16.5" customHeight="1">
      <c r="O44451" s="5" t="s">
        <v>355</v>
      </c>
      <c r="P44451" s="5" t="s">
        <v>355</v>
      </c>
      <c r="Q44451" s="5" t="s">
        <v>355</v>
      </c>
    </row>
    <row r="44452" ht="16.5" customHeight="1">
      <c r="O44452" s="5" t="s">
        <v>355</v>
      </c>
      <c r="P44452" s="5" t="s">
        <v>355</v>
      </c>
      <c r="Q44452" s="5" t="s">
        <v>355</v>
      </c>
    </row>
    <row r="44453" ht="16.5" customHeight="1">
      <c r="O44453" s="5" t="s">
        <v>355</v>
      </c>
      <c r="P44453" s="5" t="s">
        <v>355</v>
      </c>
      <c r="Q44453" s="5" t="s">
        <v>355</v>
      </c>
    </row>
    <row r="44454" ht="16.5" customHeight="1">
      <c r="O44454" s="5" t="s">
        <v>355</v>
      </c>
      <c r="P44454" s="5" t="s">
        <v>355</v>
      </c>
      <c r="Q44454" s="5" t="s">
        <v>355</v>
      </c>
    </row>
    <row r="44455" ht="16.5" customHeight="1">
      <c r="O44455" s="5" t="s">
        <v>355</v>
      </c>
      <c r="P44455" s="5" t="s">
        <v>355</v>
      </c>
      <c r="Q44455" s="5" t="s">
        <v>355</v>
      </c>
    </row>
    <row r="44456" ht="16.5" customHeight="1">
      <c r="O44456" s="5" t="s">
        <v>355</v>
      </c>
      <c r="P44456" s="5" t="s">
        <v>355</v>
      </c>
      <c r="Q44456" s="5" t="s">
        <v>355</v>
      </c>
    </row>
    <row r="44457" ht="16.5" customHeight="1">
      <c r="O44457" s="5" t="s">
        <v>355</v>
      </c>
      <c r="P44457" s="5" t="s">
        <v>355</v>
      </c>
      <c r="Q44457" s="5" t="s">
        <v>355</v>
      </c>
    </row>
    <row r="44458" ht="16.5" customHeight="1">
      <c r="O44458" s="5" t="s">
        <v>355</v>
      </c>
      <c r="P44458" s="5" t="s">
        <v>355</v>
      </c>
      <c r="Q44458" s="5" t="s">
        <v>355</v>
      </c>
    </row>
    <row r="44459" ht="16.5" customHeight="1">
      <c r="O44459" s="5" t="s">
        <v>355</v>
      </c>
      <c r="P44459" s="5" t="s">
        <v>355</v>
      </c>
      <c r="Q44459" s="5" t="s">
        <v>355</v>
      </c>
    </row>
    <row r="44460" ht="16.5" customHeight="1">
      <c r="O44460" s="5" t="s">
        <v>355</v>
      </c>
      <c r="P44460" s="5" t="s">
        <v>355</v>
      </c>
      <c r="Q44460" s="5" t="s">
        <v>355</v>
      </c>
    </row>
    <row r="44461" ht="16.5" customHeight="1">
      <c r="O44461" s="5" t="s">
        <v>355</v>
      </c>
      <c r="P44461" s="5" t="s">
        <v>355</v>
      </c>
      <c r="Q44461" s="5" t="s">
        <v>355</v>
      </c>
    </row>
    <row r="44462" ht="16.5" customHeight="1">
      <c r="O44462" s="5" t="s">
        <v>355</v>
      </c>
      <c r="P44462" s="5" t="s">
        <v>355</v>
      </c>
      <c r="Q44462" s="5" t="s">
        <v>355</v>
      </c>
    </row>
    <row r="44463" ht="16.5" customHeight="1">
      <c r="O44463" s="5" t="s">
        <v>355</v>
      </c>
      <c r="P44463" s="5" t="s">
        <v>355</v>
      </c>
      <c r="Q44463" s="5" t="s">
        <v>355</v>
      </c>
    </row>
    <row r="44464" ht="16.5" customHeight="1">
      <c r="O44464" s="5" t="s">
        <v>355</v>
      </c>
      <c r="P44464" s="5" t="s">
        <v>355</v>
      </c>
      <c r="Q44464" s="5" t="s">
        <v>355</v>
      </c>
    </row>
    <row r="44465" ht="16.5" customHeight="1">
      <c r="O44465" s="5" t="s">
        <v>355</v>
      </c>
      <c r="P44465" s="5" t="s">
        <v>355</v>
      </c>
      <c r="Q44465" s="5" t="s">
        <v>355</v>
      </c>
    </row>
    <row r="44466" ht="16.5" customHeight="1">
      <c r="O44466" s="5" t="s">
        <v>355</v>
      </c>
      <c r="P44466" s="5" t="s">
        <v>355</v>
      </c>
      <c r="Q44466" s="5" t="s">
        <v>355</v>
      </c>
    </row>
    <row r="44467" ht="16.5" customHeight="1">
      <c r="O44467" s="5" t="s">
        <v>355</v>
      </c>
      <c r="P44467" s="5" t="s">
        <v>355</v>
      </c>
      <c r="Q44467" s="5" t="s">
        <v>355</v>
      </c>
    </row>
    <row r="44468" ht="16.5" customHeight="1">
      <c r="O44468" s="5" t="s">
        <v>355</v>
      </c>
      <c r="P44468" s="5" t="s">
        <v>355</v>
      </c>
      <c r="Q44468" s="5" t="s">
        <v>355</v>
      </c>
    </row>
    <row r="44469" ht="16.5" customHeight="1">
      <c r="O44469" s="5" t="s">
        <v>355</v>
      </c>
      <c r="P44469" s="5" t="s">
        <v>355</v>
      </c>
      <c r="Q44469" s="5" t="s">
        <v>355</v>
      </c>
    </row>
    <row r="44470" ht="16.5" customHeight="1">
      <c r="O44470" s="5" t="s">
        <v>355</v>
      </c>
      <c r="P44470" s="5" t="s">
        <v>355</v>
      </c>
      <c r="Q44470" s="5" t="s">
        <v>355</v>
      </c>
    </row>
    <row r="44471" ht="16.5" customHeight="1">
      <c r="O44471" s="5" t="s">
        <v>355</v>
      </c>
      <c r="P44471" s="5" t="s">
        <v>355</v>
      </c>
      <c r="Q44471" s="5" t="s">
        <v>355</v>
      </c>
    </row>
    <row r="44472" ht="16.5" customHeight="1">
      <c r="O44472" s="5" t="s">
        <v>355</v>
      </c>
      <c r="P44472" s="5" t="s">
        <v>355</v>
      </c>
      <c r="Q44472" s="5" t="s">
        <v>355</v>
      </c>
    </row>
    <row r="44473" ht="16.5" customHeight="1">
      <c r="O44473" s="5" t="s">
        <v>355</v>
      </c>
      <c r="P44473" s="5" t="s">
        <v>355</v>
      </c>
      <c r="Q44473" s="5" t="s">
        <v>355</v>
      </c>
    </row>
    <row r="44474" ht="16.5" customHeight="1">
      <c r="O44474" s="5" t="s">
        <v>355</v>
      </c>
      <c r="P44474" s="5" t="s">
        <v>355</v>
      </c>
      <c r="Q44474" s="5" t="s">
        <v>355</v>
      </c>
    </row>
    <row r="44475" ht="16.5" customHeight="1">
      <c r="O44475" s="5" t="s">
        <v>355</v>
      </c>
      <c r="P44475" s="5" t="s">
        <v>355</v>
      </c>
      <c r="Q44475" s="5" t="s">
        <v>355</v>
      </c>
    </row>
    <row r="44476" ht="16.5" customHeight="1">
      <c r="O44476" s="5" t="s">
        <v>355</v>
      </c>
      <c r="P44476" s="5" t="s">
        <v>355</v>
      </c>
      <c r="Q44476" s="5" t="s">
        <v>355</v>
      </c>
    </row>
    <row r="44477" ht="16.5" customHeight="1">
      <c r="O44477" s="5" t="s">
        <v>355</v>
      </c>
      <c r="P44477" s="5" t="s">
        <v>355</v>
      </c>
      <c r="Q44477" s="5" t="s">
        <v>355</v>
      </c>
    </row>
    <row r="44478" ht="16.5" customHeight="1">
      <c r="O44478" s="5" t="s">
        <v>355</v>
      </c>
      <c r="P44478" s="5" t="s">
        <v>355</v>
      </c>
      <c r="Q44478" s="5" t="s">
        <v>355</v>
      </c>
    </row>
    <row r="44479" ht="16.5" customHeight="1">
      <c r="O44479" s="5" t="s">
        <v>355</v>
      </c>
      <c r="P44479" s="5" t="s">
        <v>355</v>
      </c>
      <c r="Q44479" s="5" t="s">
        <v>355</v>
      </c>
    </row>
    <row r="44480" ht="16.5" customHeight="1">
      <c r="O44480" s="5" t="s">
        <v>355</v>
      </c>
      <c r="P44480" s="5" t="s">
        <v>355</v>
      </c>
      <c r="Q44480" s="5" t="s">
        <v>355</v>
      </c>
    </row>
    <row r="44481" ht="16.5" customHeight="1">
      <c r="O44481" s="5" t="s">
        <v>355</v>
      </c>
      <c r="P44481" s="5" t="s">
        <v>355</v>
      </c>
      <c r="Q44481" s="5" t="s">
        <v>355</v>
      </c>
    </row>
    <row r="44482" ht="16.5" customHeight="1">
      <c r="O44482" s="5" t="s">
        <v>355</v>
      </c>
      <c r="P44482" s="5" t="s">
        <v>355</v>
      </c>
      <c r="Q44482" s="5" t="s">
        <v>355</v>
      </c>
    </row>
    <row r="44483" ht="16.5" customHeight="1">
      <c r="O44483" s="5" t="s">
        <v>355</v>
      </c>
      <c r="P44483" s="5" t="s">
        <v>355</v>
      </c>
      <c r="Q44483" s="5" t="s">
        <v>355</v>
      </c>
    </row>
    <row r="44484" ht="16.5" customHeight="1">
      <c r="O44484" s="5" t="s">
        <v>355</v>
      </c>
      <c r="P44484" s="5" t="s">
        <v>355</v>
      </c>
      <c r="Q44484" s="5" t="s">
        <v>355</v>
      </c>
    </row>
    <row r="44485" ht="16.5" customHeight="1">
      <c r="O44485" s="5" t="s">
        <v>355</v>
      </c>
      <c r="P44485" s="5" t="s">
        <v>355</v>
      </c>
      <c r="Q44485" s="5" t="s">
        <v>355</v>
      </c>
    </row>
    <row r="44486" ht="16.5" customHeight="1">
      <c r="O44486" s="5" t="s">
        <v>355</v>
      </c>
      <c r="P44486" s="5" t="s">
        <v>355</v>
      </c>
      <c r="Q44486" s="5" t="s">
        <v>355</v>
      </c>
    </row>
    <row r="44487" ht="16.5" customHeight="1">
      <c r="O44487" s="5" t="s">
        <v>355</v>
      </c>
      <c r="P44487" s="5" t="s">
        <v>355</v>
      </c>
      <c r="Q44487" s="5" t="s">
        <v>355</v>
      </c>
    </row>
    <row r="44488" ht="16.5" customHeight="1">
      <c r="O44488" s="5" t="s">
        <v>355</v>
      </c>
      <c r="P44488" s="5" t="s">
        <v>355</v>
      </c>
      <c r="Q44488" s="5" t="s">
        <v>355</v>
      </c>
    </row>
    <row r="44489" ht="16.5" customHeight="1">
      <c r="O44489" s="5" t="s">
        <v>355</v>
      </c>
      <c r="P44489" s="5" t="s">
        <v>355</v>
      </c>
      <c r="Q44489" s="5" t="s">
        <v>355</v>
      </c>
    </row>
    <row r="44490" ht="16.5" customHeight="1">
      <c r="O44490" s="5" t="s">
        <v>355</v>
      </c>
      <c r="P44490" s="5" t="s">
        <v>355</v>
      </c>
      <c r="Q44490" s="5" t="s">
        <v>355</v>
      </c>
    </row>
    <row r="44491" ht="16.5" customHeight="1">
      <c r="O44491" s="5" t="s">
        <v>355</v>
      </c>
      <c r="P44491" s="5" t="s">
        <v>355</v>
      </c>
      <c r="Q44491" s="5" t="s">
        <v>355</v>
      </c>
    </row>
    <row r="44492" ht="16.5" customHeight="1">
      <c r="O44492" s="5" t="s">
        <v>355</v>
      </c>
      <c r="P44492" s="5" t="s">
        <v>355</v>
      </c>
      <c r="Q44492" s="5" t="s">
        <v>355</v>
      </c>
    </row>
    <row r="44493" ht="16.5" customHeight="1">
      <c r="O44493" s="5" t="s">
        <v>355</v>
      </c>
      <c r="P44493" s="5" t="s">
        <v>355</v>
      </c>
      <c r="Q44493" s="5" t="s">
        <v>355</v>
      </c>
    </row>
    <row r="44494" ht="16.5" customHeight="1">
      <c r="O44494" s="5" t="s">
        <v>355</v>
      </c>
      <c r="P44494" s="5" t="s">
        <v>355</v>
      </c>
      <c r="Q44494" s="5" t="s">
        <v>355</v>
      </c>
    </row>
    <row r="44495" ht="16.5" customHeight="1">
      <c r="O44495" s="5" t="s">
        <v>355</v>
      </c>
      <c r="P44495" s="5" t="s">
        <v>355</v>
      </c>
      <c r="Q44495" s="5" t="s">
        <v>355</v>
      </c>
    </row>
    <row r="44496" ht="16.5" customHeight="1">
      <c r="O44496" s="5" t="s">
        <v>355</v>
      </c>
      <c r="P44496" s="5" t="s">
        <v>355</v>
      </c>
      <c r="Q44496" s="5" t="s">
        <v>355</v>
      </c>
    </row>
    <row r="44497" ht="16.5" customHeight="1">
      <c r="O44497" s="5" t="s">
        <v>355</v>
      </c>
      <c r="P44497" s="5" t="s">
        <v>355</v>
      </c>
      <c r="Q44497" s="5" t="s">
        <v>355</v>
      </c>
    </row>
    <row r="44498" ht="16.5" customHeight="1">
      <c r="O44498" s="5" t="s">
        <v>355</v>
      </c>
      <c r="P44498" s="5" t="s">
        <v>355</v>
      </c>
      <c r="Q44498" s="5" t="s">
        <v>355</v>
      </c>
    </row>
    <row r="44499" ht="16.5" customHeight="1">
      <c r="O44499" s="5" t="s">
        <v>355</v>
      </c>
      <c r="P44499" s="5" t="s">
        <v>355</v>
      </c>
      <c r="Q44499" s="5" t="s">
        <v>355</v>
      </c>
    </row>
    <row r="44500" ht="16.5" customHeight="1">
      <c r="O44500" s="5" t="s">
        <v>355</v>
      </c>
      <c r="P44500" s="5" t="s">
        <v>355</v>
      </c>
      <c r="Q44500" s="5" t="s">
        <v>355</v>
      </c>
    </row>
    <row r="44501" ht="16.5" customHeight="1">
      <c r="O44501" s="5" t="s">
        <v>355</v>
      </c>
      <c r="P44501" s="5" t="s">
        <v>355</v>
      </c>
      <c r="Q44501" s="5" t="s">
        <v>355</v>
      </c>
    </row>
    <row r="44502" ht="16.5" customHeight="1">
      <c r="O44502" s="5" t="s">
        <v>355</v>
      </c>
      <c r="P44502" s="5" t="s">
        <v>355</v>
      </c>
      <c r="Q44502" s="5" t="s">
        <v>355</v>
      </c>
    </row>
    <row r="44503" ht="16.5" customHeight="1">
      <c r="O44503" s="5" t="s">
        <v>355</v>
      </c>
      <c r="P44503" s="5" t="s">
        <v>355</v>
      </c>
      <c r="Q44503" s="5" t="s">
        <v>355</v>
      </c>
    </row>
    <row r="44504" ht="16.5" customHeight="1">
      <c r="O44504" s="5" t="s">
        <v>355</v>
      </c>
      <c r="P44504" s="5" t="s">
        <v>355</v>
      </c>
      <c r="Q44504" s="5" t="s">
        <v>355</v>
      </c>
    </row>
    <row r="44505" ht="16.5" customHeight="1">
      <c r="O44505" s="5" t="s">
        <v>355</v>
      </c>
      <c r="P44505" s="5" t="s">
        <v>355</v>
      </c>
      <c r="Q44505" s="5" t="s">
        <v>355</v>
      </c>
    </row>
    <row r="44506" ht="16.5" customHeight="1">
      <c r="O44506" s="5" t="s">
        <v>355</v>
      </c>
      <c r="P44506" s="5" t="s">
        <v>355</v>
      </c>
      <c r="Q44506" s="5" t="s">
        <v>355</v>
      </c>
    </row>
    <row r="44507" ht="16.5" customHeight="1">
      <c r="O44507" s="5" t="s">
        <v>355</v>
      </c>
      <c r="P44507" s="5" t="s">
        <v>355</v>
      </c>
      <c r="Q44507" s="5" t="s">
        <v>355</v>
      </c>
    </row>
    <row r="44508" ht="16.5" customHeight="1">
      <c r="O44508" s="5" t="s">
        <v>355</v>
      </c>
      <c r="P44508" s="5" t="s">
        <v>355</v>
      </c>
      <c r="Q44508" s="5" t="s">
        <v>355</v>
      </c>
    </row>
    <row r="44509" ht="16.5" customHeight="1">
      <c r="O44509" s="5" t="s">
        <v>355</v>
      </c>
      <c r="P44509" s="5" t="s">
        <v>355</v>
      </c>
      <c r="Q44509" s="5" t="s">
        <v>355</v>
      </c>
    </row>
    <row r="44510" ht="16.5" customHeight="1">
      <c r="O44510" s="5" t="s">
        <v>355</v>
      </c>
      <c r="P44510" s="5" t="s">
        <v>355</v>
      </c>
      <c r="Q44510" s="5" t="s">
        <v>355</v>
      </c>
    </row>
    <row r="44511" ht="16.5" customHeight="1">
      <c r="O44511" s="5" t="s">
        <v>355</v>
      </c>
      <c r="P44511" s="5" t="s">
        <v>355</v>
      </c>
      <c r="Q44511" s="5" t="s">
        <v>355</v>
      </c>
    </row>
    <row r="44512" ht="16.5" customHeight="1">
      <c r="O44512" s="5" t="s">
        <v>355</v>
      </c>
      <c r="P44512" s="5" t="s">
        <v>355</v>
      </c>
      <c r="Q44512" s="5" t="s">
        <v>355</v>
      </c>
    </row>
    <row r="44513" ht="16.5" customHeight="1">
      <c r="O44513" s="5" t="s">
        <v>355</v>
      </c>
      <c r="P44513" s="5" t="s">
        <v>355</v>
      </c>
      <c r="Q44513" s="5" t="s">
        <v>355</v>
      </c>
    </row>
    <row r="44514" ht="16.5" customHeight="1">
      <c r="O44514" s="5" t="s">
        <v>355</v>
      </c>
      <c r="P44514" s="5" t="s">
        <v>355</v>
      </c>
      <c r="Q44514" s="5" t="s">
        <v>355</v>
      </c>
    </row>
    <row r="44515" ht="16.5" customHeight="1">
      <c r="O44515" s="5" t="s">
        <v>355</v>
      </c>
      <c r="P44515" s="5" t="s">
        <v>355</v>
      </c>
      <c r="Q44515" s="5" t="s">
        <v>355</v>
      </c>
    </row>
    <row r="44516" ht="16.5" customHeight="1">
      <c r="O44516" s="5" t="s">
        <v>355</v>
      </c>
      <c r="P44516" s="5" t="s">
        <v>355</v>
      </c>
      <c r="Q44516" s="5" t="s">
        <v>355</v>
      </c>
    </row>
    <row r="44517" ht="16.5" customHeight="1">
      <c r="O44517" s="5" t="s">
        <v>355</v>
      </c>
      <c r="P44517" s="5" t="s">
        <v>355</v>
      </c>
      <c r="Q44517" s="5" t="s">
        <v>355</v>
      </c>
    </row>
    <row r="44518" ht="16.5" customHeight="1">
      <c r="O44518" s="5" t="s">
        <v>355</v>
      </c>
      <c r="P44518" s="5" t="s">
        <v>355</v>
      </c>
      <c r="Q44518" s="5" t="s">
        <v>355</v>
      </c>
    </row>
    <row r="44519" ht="16.5" customHeight="1">
      <c r="O44519" s="5" t="s">
        <v>355</v>
      </c>
      <c r="P44519" s="5" t="s">
        <v>355</v>
      </c>
      <c r="Q44519" s="5" t="s">
        <v>355</v>
      </c>
    </row>
    <row r="44520" ht="16.5" customHeight="1">
      <c r="O44520" s="5" t="s">
        <v>355</v>
      </c>
      <c r="P44520" s="5" t="s">
        <v>355</v>
      </c>
      <c r="Q44520" s="5" t="s">
        <v>355</v>
      </c>
    </row>
    <row r="44521" ht="16.5" customHeight="1">
      <c r="O44521" s="5" t="s">
        <v>355</v>
      </c>
      <c r="P44521" s="5" t="s">
        <v>355</v>
      </c>
      <c r="Q44521" s="5" t="s">
        <v>355</v>
      </c>
    </row>
    <row r="44522" ht="16.5" customHeight="1">
      <c r="O44522" s="5" t="s">
        <v>355</v>
      </c>
      <c r="P44522" s="5" t="s">
        <v>355</v>
      </c>
      <c r="Q44522" s="5" t="s">
        <v>355</v>
      </c>
    </row>
    <row r="44523" ht="16.5" customHeight="1">
      <c r="O44523" s="5" t="s">
        <v>355</v>
      </c>
      <c r="P44523" s="5" t="s">
        <v>355</v>
      </c>
      <c r="Q44523" s="5" t="s">
        <v>355</v>
      </c>
    </row>
    <row r="44524" ht="16.5" customHeight="1">
      <c r="O44524" s="5" t="s">
        <v>355</v>
      </c>
      <c r="P44524" s="5" t="s">
        <v>355</v>
      </c>
      <c r="Q44524" s="5" t="s">
        <v>355</v>
      </c>
    </row>
    <row r="44525" ht="16.5" customHeight="1">
      <c r="O44525" s="5" t="s">
        <v>355</v>
      </c>
      <c r="P44525" s="5" t="s">
        <v>355</v>
      </c>
      <c r="Q44525" s="5" t="s">
        <v>355</v>
      </c>
    </row>
    <row r="44526" ht="16.5" customHeight="1">
      <c r="O44526" s="5" t="s">
        <v>355</v>
      </c>
      <c r="P44526" s="5" t="s">
        <v>355</v>
      </c>
      <c r="Q44526" s="5" t="s">
        <v>355</v>
      </c>
    </row>
    <row r="44527" ht="16.5" customHeight="1">
      <c r="O44527" s="5" t="s">
        <v>355</v>
      </c>
      <c r="P44527" s="5" t="s">
        <v>355</v>
      </c>
      <c r="Q44527" s="5" t="s">
        <v>355</v>
      </c>
    </row>
    <row r="44528" ht="16.5" customHeight="1">
      <c r="O44528" s="5" t="s">
        <v>355</v>
      </c>
      <c r="P44528" s="5" t="s">
        <v>355</v>
      </c>
      <c r="Q44528" s="5" t="s">
        <v>355</v>
      </c>
    </row>
    <row r="44529" ht="16.5" customHeight="1">
      <c r="O44529" s="5" t="s">
        <v>355</v>
      </c>
      <c r="P44529" s="5" t="s">
        <v>355</v>
      </c>
      <c r="Q44529" s="5" t="s">
        <v>355</v>
      </c>
    </row>
    <row r="44530" ht="16.5" customHeight="1">
      <c r="O44530" s="5" t="s">
        <v>355</v>
      </c>
      <c r="P44530" s="5" t="s">
        <v>355</v>
      </c>
      <c r="Q44530" s="5" t="s">
        <v>355</v>
      </c>
    </row>
    <row r="44531" ht="16.5" customHeight="1">
      <c r="O44531" s="5" t="s">
        <v>355</v>
      </c>
      <c r="P44531" s="5" t="s">
        <v>355</v>
      </c>
      <c r="Q44531" s="5" t="s">
        <v>355</v>
      </c>
    </row>
    <row r="44532" ht="16.5" customHeight="1">
      <c r="O44532" s="5" t="s">
        <v>355</v>
      </c>
      <c r="P44532" s="5" t="s">
        <v>355</v>
      </c>
      <c r="Q44532" s="5" t="s">
        <v>355</v>
      </c>
    </row>
    <row r="44533" ht="16.5" customHeight="1">
      <c r="O44533" s="5" t="s">
        <v>355</v>
      </c>
      <c r="P44533" s="5" t="s">
        <v>355</v>
      </c>
      <c r="Q44533" s="5" t="s">
        <v>355</v>
      </c>
    </row>
    <row r="44534" ht="16.5" customHeight="1">
      <c r="O44534" s="5" t="s">
        <v>355</v>
      </c>
      <c r="P44534" s="5" t="s">
        <v>355</v>
      </c>
      <c r="Q44534" s="5" t="s">
        <v>355</v>
      </c>
    </row>
    <row r="44535" ht="16.5" customHeight="1">
      <c r="O44535" s="5" t="s">
        <v>355</v>
      </c>
      <c r="P44535" s="5" t="s">
        <v>355</v>
      </c>
      <c r="Q44535" s="5" t="s">
        <v>355</v>
      </c>
    </row>
    <row r="44536" ht="16.5" customHeight="1">
      <c r="O44536" s="5" t="s">
        <v>355</v>
      </c>
      <c r="P44536" s="5" t="s">
        <v>355</v>
      </c>
      <c r="Q44536" s="5" t="s">
        <v>355</v>
      </c>
    </row>
    <row r="44537" ht="16.5" customHeight="1">
      <c r="O44537" s="5" t="s">
        <v>355</v>
      </c>
      <c r="P44537" s="5" t="s">
        <v>355</v>
      </c>
      <c r="Q44537" s="5" t="s">
        <v>355</v>
      </c>
    </row>
    <row r="44538" ht="16.5" customHeight="1">
      <c r="O44538" s="5" t="s">
        <v>355</v>
      </c>
      <c r="P44538" s="5" t="s">
        <v>355</v>
      </c>
      <c r="Q44538" s="5" t="s">
        <v>355</v>
      </c>
    </row>
    <row r="44539" ht="16.5" customHeight="1">
      <c r="O44539" s="5" t="s">
        <v>355</v>
      </c>
      <c r="P44539" s="5" t="s">
        <v>355</v>
      </c>
      <c r="Q44539" s="5" t="s">
        <v>355</v>
      </c>
    </row>
    <row r="44540" ht="16.5" customHeight="1">
      <c r="O44540" s="5" t="s">
        <v>355</v>
      </c>
      <c r="P44540" s="5" t="s">
        <v>355</v>
      </c>
      <c r="Q44540" s="5" t="s">
        <v>355</v>
      </c>
    </row>
    <row r="44541" ht="16.5" customHeight="1">
      <c r="O44541" s="5" t="s">
        <v>355</v>
      </c>
      <c r="P44541" s="5" t="s">
        <v>355</v>
      </c>
      <c r="Q44541" s="5" t="s">
        <v>355</v>
      </c>
    </row>
    <row r="44542" ht="16.5" customHeight="1">
      <c r="O44542" s="5" t="s">
        <v>355</v>
      </c>
      <c r="P44542" s="5" t="s">
        <v>355</v>
      </c>
      <c r="Q44542" s="5" t="s">
        <v>355</v>
      </c>
    </row>
    <row r="44543" ht="16.5" customHeight="1">
      <c r="O44543" s="5" t="s">
        <v>355</v>
      </c>
      <c r="P44543" s="5" t="s">
        <v>355</v>
      </c>
      <c r="Q44543" s="5" t="s">
        <v>355</v>
      </c>
    </row>
    <row r="44544" ht="16.5" customHeight="1">
      <c r="O44544" s="5" t="s">
        <v>355</v>
      </c>
      <c r="P44544" s="5" t="s">
        <v>355</v>
      </c>
      <c r="Q44544" s="5" t="s">
        <v>355</v>
      </c>
    </row>
    <row r="44545" ht="16.5" customHeight="1">
      <c r="O44545" s="5" t="s">
        <v>355</v>
      </c>
      <c r="P44545" s="5" t="s">
        <v>355</v>
      </c>
      <c r="Q44545" s="5" t="s">
        <v>355</v>
      </c>
    </row>
    <row r="44546" ht="16.5" customHeight="1">
      <c r="O44546" s="5" t="s">
        <v>355</v>
      </c>
      <c r="P44546" s="5" t="s">
        <v>355</v>
      </c>
      <c r="Q44546" s="5" t="s">
        <v>355</v>
      </c>
    </row>
    <row r="44547" ht="16.5" customHeight="1">
      <c r="O44547" s="5" t="s">
        <v>355</v>
      </c>
      <c r="P44547" s="5" t="s">
        <v>355</v>
      </c>
      <c r="Q44547" s="5" t="s">
        <v>355</v>
      </c>
    </row>
    <row r="44548" ht="16.5" customHeight="1">
      <c r="O44548" s="5" t="s">
        <v>355</v>
      </c>
      <c r="P44548" s="5" t="s">
        <v>355</v>
      </c>
      <c r="Q44548" s="5" t="s">
        <v>355</v>
      </c>
    </row>
    <row r="44549" ht="16.5" customHeight="1">
      <c r="O44549" s="5" t="s">
        <v>355</v>
      </c>
      <c r="P44549" s="5" t="s">
        <v>355</v>
      </c>
      <c r="Q44549" s="5" t="s">
        <v>355</v>
      </c>
    </row>
    <row r="44550" ht="16.5" customHeight="1">
      <c r="O44550" s="5" t="s">
        <v>355</v>
      </c>
      <c r="P44550" s="5" t="s">
        <v>355</v>
      </c>
      <c r="Q44550" s="5" t="s">
        <v>355</v>
      </c>
    </row>
    <row r="44551" ht="16.5" customHeight="1">
      <c r="O44551" s="5" t="s">
        <v>355</v>
      </c>
      <c r="P44551" s="5" t="s">
        <v>355</v>
      </c>
      <c r="Q44551" s="5" t="s">
        <v>355</v>
      </c>
    </row>
    <row r="44552" ht="16.5" customHeight="1">
      <c r="O44552" s="5" t="s">
        <v>355</v>
      </c>
      <c r="P44552" s="5" t="s">
        <v>355</v>
      </c>
      <c r="Q44552" s="5" t="s">
        <v>355</v>
      </c>
    </row>
    <row r="44553" ht="16.5" customHeight="1">
      <c r="O44553" s="5" t="s">
        <v>355</v>
      </c>
      <c r="P44553" s="5" t="s">
        <v>355</v>
      </c>
      <c r="Q44553" s="5" t="s">
        <v>355</v>
      </c>
    </row>
    <row r="44554" ht="16.5" customHeight="1">
      <c r="O44554" s="5" t="s">
        <v>355</v>
      </c>
      <c r="P44554" s="5" t="s">
        <v>355</v>
      </c>
      <c r="Q44554" s="5" t="s">
        <v>355</v>
      </c>
    </row>
    <row r="44555" ht="16.5" customHeight="1">
      <c r="O44555" s="5" t="s">
        <v>355</v>
      </c>
      <c r="P44555" s="5" t="s">
        <v>355</v>
      </c>
      <c r="Q44555" s="5" t="s">
        <v>355</v>
      </c>
    </row>
    <row r="44556" ht="16.5" customHeight="1">
      <c r="O44556" s="5" t="s">
        <v>355</v>
      </c>
      <c r="P44556" s="5" t="s">
        <v>355</v>
      </c>
      <c r="Q44556" s="5" t="s">
        <v>355</v>
      </c>
    </row>
    <row r="44557" ht="16.5" customHeight="1">
      <c r="O44557" s="5" t="s">
        <v>355</v>
      </c>
      <c r="P44557" s="5" t="s">
        <v>355</v>
      </c>
      <c r="Q44557" s="5" t="s">
        <v>355</v>
      </c>
    </row>
    <row r="44558" ht="16.5" customHeight="1">
      <c r="O44558" s="5" t="s">
        <v>355</v>
      </c>
      <c r="P44558" s="5" t="s">
        <v>355</v>
      </c>
      <c r="Q44558" s="5" t="s">
        <v>355</v>
      </c>
    </row>
    <row r="44559" ht="16.5" customHeight="1">
      <c r="O44559" s="5" t="s">
        <v>355</v>
      </c>
      <c r="P44559" s="5" t="s">
        <v>355</v>
      </c>
      <c r="Q44559" s="5" t="s">
        <v>355</v>
      </c>
    </row>
    <row r="44560" ht="16.5" customHeight="1">
      <c r="O44560" s="5" t="s">
        <v>355</v>
      </c>
      <c r="P44560" s="5" t="s">
        <v>355</v>
      </c>
      <c r="Q44560" s="5" t="s">
        <v>355</v>
      </c>
    </row>
    <row r="44561" ht="16.5" customHeight="1">
      <c r="O44561" s="5" t="s">
        <v>355</v>
      </c>
      <c r="P44561" s="5" t="s">
        <v>355</v>
      </c>
      <c r="Q44561" s="5" t="s">
        <v>355</v>
      </c>
    </row>
    <row r="44562" ht="16.5" customHeight="1">
      <c r="O44562" s="5" t="s">
        <v>355</v>
      </c>
      <c r="P44562" s="5" t="s">
        <v>355</v>
      </c>
      <c r="Q44562" s="5" t="s">
        <v>355</v>
      </c>
    </row>
    <row r="44563" ht="16.5" customHeight="1">
      <c r="O44563" s="5" t="s">
        <v>355</v>
      </c>
      <c r="P44563" s="5" t="s">
        <v>355</v>
      </c>
      <c r="Q44563" s="5" t="s">
        <v>355</v>
      </c>
    </row>
    <row r="44564" ht="16.5" customHeight="1">
      <c r="O44564" s="5" t="s">
        <v>355</v>
      </c>
      <c r="P44564" s="5" t="s">
        <v>355</v>
      </c>
      <c r="Q44564" s="5" t="s">
        <v>355</v>
      </c>
    </row>
    <row r="44565" ht="16.5" customHeight="1">
      <c r="O44565" s="5" t="s">
        <v>355</v>
      </c>
      <c r="P44565" s="5" t="s">
        <v>355</v>
      </c>
      <c r="Q44565" s="5" t="s">
        <v>355</v>
      </c>
    </row>
    <row r="44566" ht="16.5" customHeight="1">
      <c r="O44566" s="5" t="s">
        <v>355</v>
      </c>
      <c r="P44566" s="5" t="s">
        <v>355</v>
      </c>
      <c r="Q44566" s="5" t="s">
        <v>355</v>
      </c>
    </row>
    <row r="44567" ht="16.5" customHeight="1">
      <c r="O44567" s="5" t="s">
        <v>355</v>
      </c>
      <c r="P44567" s="5" t="s">
        <v>355</v>
      </c>
      <c r="Q44567" s="5" t="s">
        <v>355</v>
      </c>
    </row>
    <row r="44568" ht="16.5" customHeight="1">
      <c r="O44568" s="5" t="s">
        <v>355</v>
      </c>
      <c r="P44568" s="5" t="s">
        <v>355</v>
      </c>
      <c r="Q44568" s="5" t="s">
        <v>355</v>
      </c>
    </row>
    <row r="44569" ht="16.5" customHeight="1">
      <c r="O44569" s="5" t="s">
        <v>355</v>
      </c>
      <c r="P44569" s="5" t="s">
        <v>355</v>
      </c>
      <c r="Q44569" s="5" t="s">
        <v>355</v>
      </c>
    </row>
    <row r="44570" ht="16.5" customHeight="1">
      <c r="O44570" s="5" t="s">
        <v>355</v>
      </c>
      <c r="P44570" s="5" t="s">
        <v>355</v>
      </c>
      <c r="Q44570" s="5" t="s">
        <v>355</v>
      </c>
    </row>
    <row r="44571" ht="16.5" customHeight="1">
      <c r="O44571" s="5" t="s">
        <v>355</v>
      </c>
      <c r="P44571" s="5" t="s">
        <v>355</v>
      </c>
      <c r="Q44571" s="5" t="s">
        <v>355</v>
      </c>
    </row>
    <row r="44572" ht="16.5" customHeight="1">
      <c r="O44572" s="5" t="s">
        <v>355</v>
      </c>
      <c r="P44572" s="5" t="s">
        <v>355</v>
      </c>
      <c r="Q44572" s="5" t="s">
        <v>355</v>
      </c>
    </row>
    <row r="44573" ht="16.5" customHeight="1">
      <c r="O44573" s="5" t="s">
        <v>355</v>
      </c>
      <c r="P44573" s="5" t="s">
        <v>355</v>
      </c>
      <c r="Q44573" s="5" t="s">
        <v>355</v>
      </c>
    </row>
    <row r="44574" ht="16.5" customHeight="1">
      <c r="O44574" s="5" t="s">
        <v>355</v>
      </c>
      <c r="P44574" s="5" t="s">
        <v>355</v>
      </c>
      <c r="Q44574" s="5" t="s">
        <v>355</v>
      </c>
    </row>
    <row r="44575" ht="16.5" customHeight="1">
      <c r="O44575" s="5" t="s">
        <v>355</v>
      </c>
      <c r="P44575" s="5" t="s">
        <v>355</v>
      </c>
      <c r="Q44575" s="5" t="s">
        <v>355</v>
      </c>
    </row>
    <row r="44576" ht="16.5" customHeight="1">
      <c r="O44576" s="5" t="s">
        <v>355</v>
      </c>
      <c r="P44576" s="5" t="s">
        <v>355</v>
      </c>
      <c r="Q44576" s="5" t="s">
        <v>355</v>
      </c>
    </row>
    <row r="44577" ht="16.5" customHeight="1">
      <c r="O44577" s="5" t="s">
        <v>355</v>
      </c>
      <c r="P44577" s="5" t="s">
        <v>355</v>
      </c>
      <c r="Q44577" s="5" t="s">
        <v>355</v>
      </c>
    </row>
    <row r="44578" ht="16.5" customHeight="1">
      <c r="O44578" s="5" t="s">
        <v>355</v>
      </c>
      <c r="P44578" s="5" t="s">
        <v>355</v>
      </c>
      <c r="Q44578" s="5" t="s">
        <v>355</v>
      </c>
    </row>
    <row r="44579" ht="16.5" customHeight="1">
      <c r="O44579" s="5" t="s">
        <v>355</v>
      </c>
      <c r="P44579" s="5" t="s">
        <v>355</v>
      </c>
      <c r="Q44579" s="5" t="s">
        <v>355</v>
      </c>
    </row>
    <row r="44580" ht="16.5" customHeight="1">
      <c r="O44580" s="5" t="s">
        <v>355</v>
      </c>
      <c r="P44580" s="5" t="s">
        <v>355</v>
      </c>
      <c r="Q44580" s="5" t="s">
        <v>355</v>
      </c>
    </row>
    <row r="44581" ht="16.5" customHeight="1">
      <c r="O44581" s="5" t="s">
        <v>355</v>
      </c>
      <c r="P44581" s="5" t="s">
        <v>355</v>
      </c>
      <c r="Q44581" s="5" t="s">
        <v>355</v>
      </c>
    </row>
    <row r="44582" ht="16.5" customHeight="1">
      <c r="O44582" s="5" t="s">
        <v>355</v>
      </c>
      <c r="P44582" s="5" t="s">
        <v>355</v>
      </c>
      <c r="Q44582" s="5" t="s">
        <v>355</v>
      </c>
    </row>
    <row r="44583" ht="16.5" customHeight="1">
      <c r="O44583" s="5" t="s">
        <v>355</v>
      </c>
      <c r="P44583" s="5" t="s">
        <v>355</v>
      </c>
      <c r="Q44583" s="5" t="s">
        <v>355</v>
      </c>
    </row>
    <row r="44584" ht="16.5" customHeight="1">
      <c r="O44584" s="5" t="s">
        <v>355</v>
      </c>
      <c r="P44584" s="5" t="s">
        <v>355</v>
      </c>
      <c r="Q44584" s="5" t="s">
        <v>355</v>
      </c>
    </row>
    <row r="44585" ht="16.5" customHeight="1">
      <c r="O44585" s="5" t="s">
        <v>355</v>
      </c>
      <c r="P44585" s="5" t="s">
        <v>355</v>
      </c>
      <c r="Q44585" s="5" t="s">
        <v>355</v>
      </c>
    </row>
    <row r="44586" ht="16.5" customHeight="1">
      <c r="O44586" s="5" t="s">
        <v>355</v>
      </c>
      <c r="P44586" s="5" t="s">
        <v>355</v>
      </c>
      <c r="Q44586" s="5" t="s">
        <v>355</v>
      </c>
    </row>
    <row r="44587" ht="16.5" customHeight="1">
      <c r="O44587" s="5" t="s">
        <v>355</v>
      </c>
      <c r="P44587" s="5" t="s">
        <v>355</v>
      </c>
      <c r="Q44587" s="5" t="s">
        <v>355</v>
      </c>
    </row>
    <row r="44588" ht="16.5" customHeight="1">
      <c r="O44588" s="5" t="s">
        <v>355</v>
      </c>
      <c r="P44588" s="5" t="s">
        <v>355</v>
      </c>
      <c r="Q44588" s="5" t="s">
        <v>355</v>
      </c>
    </row>
    <row r="44589" ht="16.5" customHeight="1">
      <c r="O44589" s="5" t="s">
        <v>355</v>
      </c>
      <c r="P44589" s="5" t="s">
        <v>355</v>
      </c>
      <c r="Q44589" s="5" t="s">
        <v>355</v>
      </c>
    </row>
    <row r="44590" ht="16.5" customHeight="1">
      <c r="O44590" s="5" t="s">
        <v>355</v>
      </c>
      <c r="P44590" s="5" t="s">
        <v>355</v>
      </c>
      <c r="Q44590" s="5" t="s">
        <v>355</v>
      </c>
    </row>
    <row r="44591" ht="16.5" customHeight="1">
      <c r="O44591" s="5" t="s">
        <v>355</v>
      </c>
      <c r="P44591" s="5" t="s">
        <v>355</v>
      </c>
      <c r="Q44591" s="5" t="s">
        <v>355</v>
      </c>
    </row>
    <row r="44592" ht="16.5" customHeight="1">
      <c r="O44592" s="5" t="s">
        <v>355</v>
      </c>
      <c r="P44592" s="5" t="s">
        <v>355</v>
      </c>
      <c r="Q44592" s="5" t="s">
        <v>355</v>
      </c>
    </row>
    <row r="44593" ht="16.5" customHeight="1">
      <c r="O44593" s="5" t="s">
        <v>355</v>
      </c>
      <c r="P44593" s="5" t="s">
        <v>355</v>
      </c>
      <c r="Q44593" s="5" t="s">
        <v>355</v>
      </c>
    </row>
    <row r="44594" ht="16.5" customHeight="1">
      <c r="O44594" s="5" t="s">
        <v>355</v>
      </c>
      <c r="P44594" s="5" t="s">
        <v>355</v>
      </c>
      <c r="Q44594" s="5" t="s">
        <v>355</v>
      </c>
    </row>
    <row r="44595" ht="16.5" customHeight="1">
      <c r="O44595" s="5" t="s">
        <v>355</v>
      </c>
      <c r="P44595" s="5" t="s">
        <v>355</v>
      </c>
      <c r="Q44595" s="5" t="s">
        <v>355</v>
      </c>
    </row>
    <row r="44596" ht="16.5" customHeight="1">
      <c r="O44596" s="5" t="s">
        <v>355</v>
      </c>
      <c r="P44596" s="5" t="s">
        <v>355</v>
      </c>
      <c r="Q44596" s="5" t="s">
        <v>355</v>
      </c>
    </row>
    <row r="44597" ht="16.5" customHeight="1">
      <c r="O44597" s="5" t="s">
        <v>355</v>
      </c>
      <c r="P44597" s="5" t="s">
        <v>355</v>
      </c>
      <c r="Q44597" s="5" t="s">
        <v>355</v>
      </c>
    </row>
    <row r="44598" ht="16.5" customHeight="1">
      <c r="O44598" s="5" t="s">
        <v>355</v>
      </c>
      <c r="P44598" s="5" t="s">
        <v>355</v>
      </c>
      <c r="Q44598" s="5" t="s">
        <v>355</v>
      </c>
    </row>
    <row r="44599" ht="16.5" customHeight="1">
      <c r="O44599" s="5" t="s">
        <v>355</v>
      </c>
      <c r="P44599" s="5" t="s">
        <v>355</v>
      </c>
      <c r="Q44599" s="5" t="s">
        <v>355</v>
      </c>
    </row>
    <row r="44600" ht="16.5" customHeight="1">
      <c r="O44600" s="5" t="s">
        <v>355</v>
      </c>
      <c r="P44600" s="5" t="s">
        <v>355</v>
      </c>
      <c r="Q44600" s="5" t="s">
        <v>355</v>
      </c>
    </row>
    <row r="44601" ht="16.5" customHeight="1">
      <c r="O44601" s="5" t="s">
        <v>355</v>
      </c>
      <c r="P44601" s="5" t="s">
        <v>355</v>
      </c>
      <c r="Q44601" s="5" t="s">
        <v>355</v>
      </c>
    </row>
    <row r="44602" ht="16.5" customHeight="1">
      <c r="O44602" s="5" t="s">
        <v>355</v>
      </c>
      <c r="P44602" s="5" t="s">
        <v>355</v>
      </c>
      <c r="Q44602" s="5" t="s">
        <v>355</v>
      </c>
    </row>
    <row r="44603" ht="16.5" customHeight="1">
      <c r="O44603" s="5" t="s">
        <v>355</v>
      </c>
      <c r="P44603" s="5" t="s">
        <v>355</v>
      </c>
      <c r="Q44603" s="5" t="s">
        <v>355</v>
      </c>
    </row>
    <row r="44604" ht="16.5" customHeight="1">
      <c r="O44604" s="5" t="s">
        <v>355</v>
      </c>
      <c r="P44604" s="5" t="s">
        <v>355</v>
      </c>
      <c r="Q44604" s="5" t="s">
        <v>355</v>
      </c>
    </row>
    <row r="44605" ht="16.5" customHeight="1">
      <c r="O44605" s="5" t="s">
        <v>355</v>
      </c>
      <c r="P44605" s="5" t="s">
        <v>355</v>
      </c>
      <c r="Q44605" s="5" t="s">
        <v>355</v>
      </c>
    </row>
    <row r="44606" ht="16.5" customHeight="1">
      <c r="O44606" s="5" t="s">
        <v>355</v>
      </c>
      <c r="P44606" s="5" t="s">
        <v>355</v>
      </c>
      <c r="Q44606" s="5" t="s">
        <v>355</v>
      </c>
    </row>
    <row r="44607" ht="16.5" customHeight="1">
      <c r="O44607" s="5" t="s">
        <v>355</v>
      </c>
      <c r="P44607" s="5" t="s">
        <v>355</v>
      </c>
      <c r="Q44607" s="5" t="s">
        <v>355</v>
      </c>
    </row>
    <row r="44608" ht="16.5" customHeight="1">
      <c r="O44608" s="5" t="s">
        <v>355</v>
      </c>
      <c r="P44608" s="5" t="s">
        <v>355</v>
      </c>
      <c r="Q44608" s="5" t="s">
        <v>355</v>
      </c>
    </row>
    <row r="44609" ht="16.5" customHeight="1">
      <c r="O44609" s="5" t="s">
        <v>355</v>
      </c>
      <c r="P44609" s="5" t="s">
        <v>355</v>
      </c>
      <c r="Q44609" s="5" t="s">
        <v>355</v>
      </c>
    </row>
    <row r="44610" ht="16.5" customHeight="1">
      <c r="O44610" s="5" t="s">
        <v>355</v>
      </c>
      <c r="P44610" s="5" t="s">
        <v>355</v>
      </c>
      <c r="Q44610" s="5" t="s">
        <v>355</v>
      </c>
    </row>
    <row r="44611" ht="16.5" customHeight="1">
      <c r="O44611" s="5" t="s">
        <v>355</v>
      </c>
      <c r="P44611" s="5" t="s">
        <v>355</v>
      </c>
      <c r="Q44611" s="5" t="s">
        <v>355</v>
      </c>
    </row>
    <row r="44612" ht="16.5" customHeight="1">
      <c r="O44612" s="5" t="s">
        <v>355</v>
      </c>
      <c r="P44612" s="5" t="s">
        <v>355</v>
      </c>
      <c r="Q44612" s="5" t="s">
        <v>355</v>
      </c>
    </row>
    <row r="44613" ht="16.5" customHeight="1">
      <c r="O44613" s="5" t="s">
        <v>355</v>
      </c>
      <c r="P44613" s="5" t="s">
        <v>355</v>
      </c>
      <c r="Q44613" s="5" t="s">
        <v>355</v>
      </c>
    </row>
    <row r="44614" ht="16.5" customHeight="1">
      <c r="O44614" s="5" t="s">
        <v>355</v>
      </c>
      <c r="P44614" s="5" t="s">
        <v>355</v>
      </c>
      <c r="Q44614" s="5" t="s">
        <v>355</v>
      </c>
    </row>
    <row r="44615" ht="16.5" customHeight="1">
      <c r="O44615" s="5" t="s">
        <v>355</v>
      </c>
      <c r="P44615" s="5" t="s">
        <v>355</v>
      </c>
      <c r="Q44615" s="5" t="s">
        <v>355</v>
      </c>
    </row>
    <row r="44616" ht="16.5" customHeight="1">
      <c r="O44616" s="5" t="s">
        <v>355</v>
      </c>
      <c r="P44616" s="5" t="s">
        <v>355</v>
      </c>
      <c r="Q44616" s="5" t="s">
        <v>355</v>
      </c>
    </row>
    <row r="44617" ht="16.5" customHeight="1">
      <c r="O44617" s="5" t="s">
        <v>355</v>
      </c>
      <c r="P44617" s="5" t="s">
        <v>355</v>
      </c>
      <c r="Q44617" s="5" t="s">
        <v>355</v>
      </c>
    </row>
    <row r="44618" ht="16.5" customHeight="1">
      <c r="O44618" s="5" t="s">
        <v>355</v>
      </c>
      <c r="P44618" s="5" t="s">
        <v>355</v>
      </c>
      <c r="Q44618" s="5" t="s">
        <v>355</v>
      </c>
    </row>
    <row r="44619" ht="16.5" customHeight="1">
      <c r="O44619" s="5" t="s">
        <v>355</v>
      </c>
      <c r="P44619" s="5" t="s">
        <v>355</v>
      </c>
      <c r="Q44619" s="5" t="s">
        <v>355</v>
      </c>
    </row>
    <row r="44620" ht="16.5" customHeight="1">
      <c r="O44620" s="5" t="s">
        <v>355</v>
      </c>
      <c r="P44620" s="5" t="s">
        <v>355</v>
      </c>
      <c r="Q44620" s="5" t="s">
        <v>355</v>
      </c>
    </row>
    <row r="44621" ht="16.5" customHeight="1">
      <c r="O44621" s="5" t="s">
        <v>355</v>
      </c>
      <c r="P44621" s="5" t="s">
        <v>355</v>
      </c>
      <c r="Q44621" s="5" t="s">
        <v>355</v>
      </c>
    </row>
    <row r="44622" ht="16.5" customHeight="1">
      <c r="O44622" s="5" t="s">
        <v>355</v>
      </c>
      <c r="P44622" s="5" t="s">
        <v>355</v>
      </c>
      <c r="Q44622" s="5" t="s">
        <v>355</v>
      </c>
    </row>
    <row r="44623" ht="16.5" customHeight="1">
      <c r="O44623" s="5" t="s">
        <v>355</v>
      </c>
      <c r="P44623" s="5" t="s">
        <v>355</v>
      </c>
      <c r="Q44623" s="5" t="s">
        <v>355</v>
      </c>
    </row>
    <row r="44624" ht="16.5" customHeight="1">
      <c r="O44624" s="5" t="s">
        <v>355</v>
      </c>
      <c r="P44624" s="5" t="s">
        <v>355</v>
      </c>
      <c r="Q44624" s="5" t="s">
        <v>355</v>
      </c>
    </row>
    <row r="44625" ht="16.5" customHeight="1">
      <c r="O44625" s="5" t="s">
        <v>355</v>
      </c>
      <c r="P44625" s="5" t="s">
        <v>355</v>
      </c>
      <c r="Q44625" s="5" t="s">
        <v>355</v>
      </c>
    </row>
    <row r="44626" ht="16.5" customHeight="1">
      <c r="O44626" s="5" t="s">
        <v>355</v>
      </c>
      <c r="P44626" s="5" t="s">
        <v>355</v>
      </c>
      <c r="Q44626" s="5" t="s">
        <v>355</v>
      </c>
    </row>
    <row r="44627" ht="16.5" customHeight="1">
      <c r="O44627" s="5" t="s">
        <v>355</v>
      </c>
      <c r="P44627" s="5" t="s">
        <v>355</v>
      </c>
      <c r="Q44627" s="5" t="s">
        <v>355</v>
      </c>
    </row>
    <row r="44628" ht="16.5" customHeight="1">
      <c r="O44628" s="5" t="s">
        <v>355</v>
      </c>
      <c r="P44628" s="5" t="s">
        <v>355</v>
      </c>
      <c r="Q44628" s="5" t="s">
        <v>355</v>
      </c>
    </row>
    <row r="44629" ht="16.5" customHeight="1">
      <c r="O44629" s="5" t="s">
        <v>355</v>
      </c>
      <c r="P44629" s="5" t="s">
        <v>355</v>
      </c>
      <c r="Q44629" s="5" t="s">
        <v>355</v>
      </c>
    </row>
    <row r="44630" ht="16.5" customHeight="1">
      <c r="O44630" s="5" t="s">
        <v>355</v>
      </c>
      <c r="P44630" s="5" t="s">
        <v>355</v>
      </c>
      <c r="Q44630" s="5" t="s">
        <v>355</v>
      </c>
    </row>
    <row r="44631" ht="16.5" customHeight="1">
      <c r="O44631" s="5" t="s">
        <v>355</v>
      </c>
      <c r="P44631" s="5" t="s">
        <v>355</v>
      </c>
      <c r="Q44631" s="5" t="s">
        <v>355</v>
      </c>
    </row>
    <row r="44632" ht="16.5" customHeight="1">
      <c r="O44632" s="5" t="s">
        <v>355</v>
      </c>
      <c r="P44632" s="5" t="s">
        <v>355</v>
      </c>
      <c r="Q44632" s="5" t="s">
        <v>355</v>
      </c>
    </row>
    <row r="44633" ht="16.5" customHeight="1">
      <c r="O44633" s="5" t="s">
        <v>355</v>
      </c>
      <c r="P44633" s="5" t="s">
        <v>355</v>
      </c>
      <c r="Q44633" s="5" t="s">
        <v>355</v>
      </c>
    </row>
    <row r="44634" ht="16.5" customHeight="1">
      <c r="O44634" s="5" t="s">
        <v>355</v>
      </c>
      <c r="P44634" s="5" t="s">
        <v>355</v>
      </c>
      <c r="Q44634" s="5" t="s">
        <v>355</v>
      </c>
    </row>
    <row r="44635" ht="16.5" customHeight="1">
      <c r="O44635" s="5" t="s">
        <v>355</v>
      </c>
      <c r="P44635" s="5" t="s">
        <v>355</v>
      </c>
      <c r="Q44635" s="5" t="s">
        <v>355</v>
      </c>
    </row>
    <row r="44636" ht="16.5" customHeight="1">
      <c r="O44636" s="5" t="s">
        <v>355</v>
      </c>
      <c r="P44636" s="5" t="s">
        <v>355</v>
      </c>
      <c r="Q44636" s="5" t="s">
        <v>355</v>
      </c>
    </row>
    <row r="44637" ht="16.5" customHeight="1">
      <c r="O44637" s="5" t="s">
        <v>355</v>
      </c>
      <c r="P44637" s="5" t="s">
        <v>355</v>
      </c>
      <c r="Q44637" s="5" t="s">
        <v>355</v>
      </c>
    </row>
    <row r="44638" ht="16.5" customHeight="1">
      <c r="O44638" s="5" t="s">
        <v>355</v>
      </c>
      <c r="P44638" s="5" t="s">
        <v>355</v>
      </c>
      <c r="Q44638" s="5" t="s">
        <v>355</v>
      </c>
    </row>
    <row r="44639" ht="16.5" customHeight="1">
      <c r="O44639" s="5" t="s">
        <v>355</v>
      </c>
      <c r="P44639" s="5" t="s">
        <v>355</v>
      </c>
      <c r="Q44639" s="5" t="s">
        <v>355</v>
      </c>
    </row>
    <row r="44640" ht="16.5" customHeight="1">
      <c r="O44640" s="5" t="s">
        <v>355</v>
      </c>
      <c r="P44640" s="5" t="s">
        <v>355</v>
      </c>
      <c r="Q44640" s="5" t="s">
        <v>355</v>
      </c>
    </row>
    <row r="44641" ht="16.5" customHeight="1">
      <c r="O44641" s="5" t="s">
        <v>355</v>
      </c>
      <c r="P44641" s="5" t="s">
        <v>355</v>
      </c>
      <c r="Q44641" s="5" t="s">
        <v>355</v>
      </c>
    </row>
    <row r="44642" ht="16.5" customHeight="1">
      <c r="O44642" s="5" t="s">
        <v>355</v>
      </c>
      <c r="P44642" s="5" t="s">
        <v>355</v>
      </c>
      <c r="Q44642" s="5" t="s">
        <v>355</v>
      </c>
    </row>
    <row r="44643" ht="16.5" customHeight="1">
      <c r="O44643" s="5" t="s">
        <v>355</v>
      </c>
      <c r="P44643" s="5" t="s">
        <v>355</v>
      </c>
      <c r="Q44643" s="5" t="s">
        <v>355</v>
      </c>
    </row>
    <row r="44644" ht="16.5" customHeight="1">
      <c r="O44644" s="5" t="s">
        <v>355</v>
      </c>
      <c r="P44644" s="5" t="s">
        <v>355</v>
      </c>
      <c r="Q44644" s="5" t="s">
        <v>355</v>
      </c>
    </row>
    <row r="44645" ht="16.5" customHeight="1">
      <c r="O44645" s="5" t="s">
        <v>355</v>
      </c>
      <c r="P44645" s="5" t="s">
        <v>355</v>
      </c>
      <c r="Q44645" s="5" t="s">
        <v>355</v>
      </c>
    </row>
    <row r="44646" ht="16.5" customHeight="1">
      <c r="O44646" s="5" t="s">
        <v>355</v>
      </c>
      <c r="P44646" s="5" t="s">
        <v>355</v>
      </c>
      <c r="Q44646" s="5" t="s">
        <v>355</v>
      </c>
    </row>
    <row r="44647" ht="16.5" customHeight="1">
      <c r="O44647" s="5" t="s">
        <v>355</v>
      </c>
      <c r="P44647" s="5" t="s">
        <v>355</v>
      </c>
      <c r="Q44647" s="5" t="s">
        <v>355</v>
      </c>
    </row>
    <row r="44648" ht="16.5" customHeight="1">
      <c r="O44648" s="5" t="s">
        <v>355</v>
      </c>
      <c r="P44648" s="5" t="s">
        <v>355</v>
      </c>
      <c r="Q44648" s="5" t="s">
        <v>355</v>
      </c>
    </row>
    <row r="44649" ht="16.5" customHeight="1">
      <c r="O44649" s="5" t="s">
        <v>355</v>
      </c>
      <c r="P44649" s="5" t="s">
        <v>355</v>
      </c>
      <c r="Q44649" s="5" t="s">
        <v>355</v>
      </c>
    </row>
    <row r="44650" ht="16.5" customHeight="1">
      <c r="O44650" s="5" t="s">
        <v>355</v>
      </c>
      <c r="P44650" s="5" t="s">
        <v>355</v>
      </c>
      <c r="Q44650" s="5" t="s">
        <v>355</v>
      </c>
    </row>
    <row r="44651" ht="16.5" customHeight="1">
      <c r="O44651" s="5" t="s">
        <v>355</v>
      </c>
      <c r="P44651" s="5" t="s">
        <v>355</v>
      </c>
      <c r="Q44651" s="5" t="s">
        <v>355</v>
      </c>
    </row>
    <row r="44652" ht="16.5" customHeight="1">
      <c r="O44652" s="5" t="s">
        <v>355</v>
      </c>
      <c r="P44652" s="5" t="s">
        <v>355</v>
      </c>
      <c r="Q44652" s="5" t="s">
        <v>355</v>
      </c>
    </row>
    <row r="44653" ht="16.5" customHeight="1">
      <c r="O44653" s="5" t="s">
        <v>355</v>
      </c>
      <c r="P44653" s="5" t="s">
        <v>355</v>
      </c>
      <c r="Q44653" s="5" t="s">
        <v>355</v>
      </c>
    </row>
    <row r="44654" ht="16.5" customHeight="1">
      <c r="O44654" s="5" t="s">
        <v>355</v>
      </c>
      <c r="P44654" s="5" t="s">
        <v>355</v>
      </c>
      <c r="Q44654" s="5" t="s">
        <v>355</v>
      </c>
    </row>
    <row r="44655" ht="16.5" customHeight="1">
      <c r="O44655" s="5" t="s">
        <v>355</v>
      </c>
      <c r="P44655" s="5" t="s">
        <v>355</v>
      </c>
      <c r="Q44655" s="5" t="s">
        <v>355</v>
      </c>
    </row>
    <row r="44656" ht="16.5" customHeight="1">
      <c r="O44656" s="5" t="s">
        <v>355</v>
      </c>
      <c r="P44656" s="5" t="s">
        <v>355</v>
      </c>
      <c r="Q44656" s="5" t="s">
        <v>355</v>
      </c>
    </row>
    <row r="44657" ht="16.5" customHeight="1">
      <c r="O44657" s="5" t="s">
        <v>355</v>
      </c>
      <c r="P44657" s="5" t="s">
        <v>355</v>
      </c>
      <c r="Q44657" s="5" t="s">
        <v>355</v>
      </c>
    </row>
    <row r="44658" ht="16.5" customHeight="1">
      <c r="O44658" s="5" t="s">
        <v>355</v>
      </c>
      <c r="P44658" s="5" t="s">
        <v>355</v>
      </c>
      <c r="Q44658" s="5" t="s">
        <v>355</v>
      </c>
    </row>
    <row r="44659" ht="16.5" customHeight="1">
      <c r="O44659" s="5" t="s">
        <v>355</v>
      </c>
      <c r="P44659" s="5" t="s">
        <v>355</v>
      </c>
      <c r="Q44659" s="5" t="s">
        <v>355</v>
      </c>
    </row>
    <row r="44660" ht="16.5" customHeight="1">
      <c r="O44660" s="5" t="s">
        <v>355</v>
      </c>
      <c r="P44660" s="5" t="s">
        <v>355</v>
      </c>
      <c r="Q44660" s="5" t="s">
        <v>355</v>
      </c>
    </row>
    <row r="44661" ht="16.5" customHeight="1">
      <c r="O44661" s="5" t="s">
        <v>355</v>
      </c>
      <c r="P44661" s="5" t="s">
        <v>355</v>
      </c>
      <c r="Q44661" s="5" t="s">
        <v>355</v>
      </c>
    </row>
    <row r="44662" ht="16.5" customHeight="1">
      <c r="O44662" s="5" t="s">
        <v>355</v>
      </c>
      <c r="P44662" s="5" t="s">
        <v>355</v>
      </c>
      <c r="Q44662" s="5" t="s">
        <v>355</v>
      </c>
    </row>
    <row r="44663" ht="16.5" customHeight="1">
      <c r="O44663" s="5" t="s">
        <v>355</v>
      </c>
      <c r="P44663" s="5" t="s">
        <v>355</v>
      </c>
      <c r="Q44663" s="5" t="s">
        <v>355</v>
      </c>
    </row>
    <row r="44664" ht="16.5" customHeight="1">
      <c r="O44664" s="5" t="s">
        <v>355</v>
      </c>
      <c r="P44664" s="5" t="s">
        <v>355</v>
      </c>
      <c r="Q44664" s="5" t="s">
        <v>355</v>
      </c>
    </row>
    <row r="44665" ht="16.5" customHeight="1">
      <c r="O44665" s="5" t="s">
        <v>355</v>
      </c>
      <c r="P44665" s="5" t="s">
        <v>355</v>
      </c>
      <c r="Q44665" s="5" t="s">
        <v>355</v>
      </c>
    </row>
    <row r="44666" ht="16.5" customHeight="1">
      <c r="O44666" s="5" t="s">
        <v>355</v>
      </c>
      <c r="P44666" s="5" t="s">
        <v>355</v>
      </c>
      <c r="Q44666" s="5" t="s">
        <v>355</v>
      </c>
    </row>
    <row r="44667" ht="16.5" customHeight="1">
      <c r="O44667" s="5" t="s">
        <v>355</v>
      </c>
      <c r="P44667" s="5" t="s">
        <v>355</v>
      </c>
      <c r="Q44667" s="5" t="s">
        <v>355</v>
      </c>
    </row>
    <row r="44668" ht="16.5" customHeight="1">
      <c r="O44668" s="5" t="s">
        <v>355</v>
      </c>
      <c r="P44668" s="5" t="s">
        <v>355</v>
      </c>
      <c r="Q44668" s="5" t="s">
        <v>355</v>
      </c>
    </row>
    <row r="44669" ht="16.5" customHeight="1">
      <c r="O44669" s="5" t="s">
        <v>355</v>
      </c>
      <c r="P44669" s="5" t="s">
        <v>355</v>
      </c>
      <c r="Q44669" s="5" t="s">
        <v>355</v>
      </c>
    </row>
    <row r="44670" ht="16.5" customHeight="1">
      <c r="O44670" s="5" t="s">
        <v>355</v>
      </c>
      <c r="P44670" s="5" t="s">
        <v>355</v>
      </c>
      <c r="Q44670" s="5" t="s">
        <v>355</v>
      </c>
    </row>
    <row r="44671" ht="16.5" customHeight="1">
      <c r="O44671" s="5" t="s">
        <v>355</v>
      </c>
      <c r="P44671" s="5" t="s">
        <v>355</v>
      </c>
      <c r="Q44671" s="5" t="s">
        <v>355</v>
      </c>
    </row>
    <row r="44672" ht="16.5" customHeight="1">
      <c r="O44672" s="5" t="s">
        <v>355</v>
      </c>
      <c r="P44672" s="5" t="s">
        <v>355</v>
      </c>
      <c r="Q44672" s="5" t="s">
        <v>355</v>
      </c>
    </row>
    <row r="44673" ht="16.5" customHeight="1">
      <c r="O44673" s="5" t="s">
        <v>355</v>
      </c>
      <c r="P44673" s="5" t="s">
        <v>355</v>
      </c>
      <c r="Q44673" s="5" t="s">
        <v>355</v>
      </c>
    </row>
    <row r="44674" ht="16.5" customHeight="1">
      <c r="O44674" s="5" t="s">
        <v>355</v>
      </c>
      <c r="P44674" s="5" t="s">
        <v>355</v>
      </c>
      <c r="Q44674" s="5" t="s">
        <v>355</v>
      </c>
    </row>
    <row r="44675" ht="16.5" customHeight="1">
      <c r="O44675" s="5" t="s">
        <v>355</v>
      </c>
      <c r="P44675" s="5" t="s">
        <v>355</v>
      </c>
      <c r="Q44675" s="5" t="s">
        <v>355</v>
      </c>
    </row>
    <row r="44676" ht="16.5" customHeight="1">
      <c r="O44676" s="5" t="s">
        <v>355</v>
      </c>
      <c r="P44676" s="5" t="s">
        <v>355</v>
      </c>
      <c r="Q44676" s="5" t="s">
        <v>355</v>
      </c>
    </row>
    <row r="44677" ht="16.5" customHeight="1">
      <c r="O44677" s="5" t="s">
        <v>355</v>
      </c>
      <c r="P44677" s="5" t="s">
        <v>355</v>
      </c>
      <c r="Q44677" s="5" t="s">
        <v>355</v>
      </c>
    </row>
    <row r="44678" ht="16.5" customHeight="1">
      <c r="O44678" s="5" t="s">
        <v>355</v>
      </c>
      <c r="P44678" s="5" t="s">
        <v>355</v>
      </c>
      <c r="Q44678" s="5" t="s">
        <v>355</v>
      </c>
    </row>
    <row r="44679" ht="16.5" customHeight="1">
      <c r="O44679" s="5" t="s">
        <v>355</v>
      </c>
      <c r="P44679" s="5" t="s">
        <v>355</v>
      </c>
      <c r="Q44679" s="5" t="s">
        <v>355</v>
      </c>
    </row>
    <row r="44680" ht="16.5" customHeight="1">
      <c r="O44680" s="5" t="s">
        <v>355</v>
      </c>
      <c r="P44680" s="5" t="s">
        <v>355</v>
      </c>
      <c r="Q44680" s="5" t="s">
        <v>355</v>
      </c>
    </row>
    <row r="44681" ht="16.5" customHeight="1">
      <c r="O44681" s="5" t="s">
        <v>355</v>
      </c>
      <c r="P44681" s="5" t="s">
        <v>355</v>
      </c>
      <c r="Q44681" s="5" t="s">
        <v>355</v>
      </c>
    </row>
    <row r="44682" ht="16.5" customHeight="1">
      <c r="O44682" s="5" t="s">
        <v>355</v>
      </c>
      <c r="P44682" s="5" t="s">
        <v>355</v>
      </c>
      <c r="Q44682" s="5" t="s">
        <v>355</v>
      </c>
    </row>
    <row r="44683" ht="16.5" customHeight="1">
      <c r="O44683" s="5" t="s">
        <v>355</v>
      </c>
      <c r="P44683" s="5" t="s">
        <v>355</v>
      </c>
      <c r="Q44683" s="5" t="s">
        <v>355</v>
      </c>
    </row>
    <row r="44684" ht="16.5" customHeight="1">
      <c r="O44684" s="5" t="s">
        <v>355</v>
      </c>
      <c r="P44684" s="5" t="s">
        <v>355</v>
      </c>
      <c r="Q44684" s="5" t="s">
        <v>355</v>
      </c>
    </row>
    <row r="44685" ht="16.5" customHeight="1">
      <c r="O44685" s="5" t="s">
        <v>355</v>
      </c>
      <c r="P44685" s="5" t="s">
        <v>355</v>
      </c>
      <c r="Q44685" s="5" t="s">
        <v>355</v>
      </c>
    </row>
    <row r="44686" ht="16.5" customHeight="1">
      <c r="O44686" s="5" t="s">
        <v>355</v>
      </c>
      <c r="P44686" s="5" t="s">
        <v>355</v>
      </c>
      <c r="Q44686" s="5" t="s">
        <v>355</v>
      </c>
    </row>
    <row r="44687" ht="16.5" customHeight="1">
      <c r="O44687" s="5" t="s">
        <v>355</v>
      </c>
      <c r="P44687" s="5" t="s">
        <v>355</v>
      </c>
      <c r="Q44687" s="5" t="s">
        <v>355</v>
      </c>
    </row>
    <row r="44688" ht="16.5" customHeight="1">
      <c r="O44688" s="5" t="s">
        <v>355</v>
      </c>
      <c r="P44688" s="5" t="s">
        <v>355</v>
      </c>
      <c r="Q44688" s="5" t="s">
        <v>355</v>
      </c>
    </row>
    <row r="44689" ht="16.5" customHeight="1">
      <c r="O44689" s="5" t="s">
        <v>355</v>
      </c>
      <c r="P44689" s="5" t="s">
        <v>355</v>
      </c>
      <c r="Q44689" s="5" t="s">
        <v>355</v>
      </c>
    </row>
    <row r="44690" ht="16.5" customHeight="1">
      <c r="O44690" s="5" t="s">
        <v>355</v>
      </c>
      <c r="P44690" s="5" t="s">
        <v>355</v>
      </c>
      <c r="Q44690" s="5" t="s">
        <v>355</v>
      </c>
    </row>
    <row r="44691" ht="16.5" customHeight="1">
      <c r="O44691" s="5" t="s">
        <v>355</v>
      </c>
      <c r="P44691" s="5" t="s">
        <v>355</v>
      </c>
      <c r="Q44691" s="5" t="s">
        <v>355</v>
      </c>
    </row>
    <row r="44692" ht="16.5" customHeight="1">
      <c r="O44692" s="5" t="s">
        <v>355</v>
      </c>
      <c r="P44692" s="5" t="s">
        <v>355</v>
      </c>
      <c r="Q44692" s="5" t="s">
        <v>355</v>
      </c>
    </row>
    <row r="44693" ht="16.5" customHeight="1">
      <c r="O44693" s="5" t="s">
        <v>355</v>
      </c>
      <c r="P44693" s="5" t="s">
        <v>355</v>
      </c>
      <c r="Q44693" s="5" t="s">
        <v>355</v>
      </c>
    </row>
    <row r="44694" ht="16.5" customHeight="1">
      <c r="O44694" s="5" t="s">
        <v>355</v>
      </c>
      <c r="P44694" s="5" t="s">
        <v>355</v>
      </c>
      <c r="Q44694" s="5" t="s">
        <v>355</v>
      </c>
    </row>
    <row r="44695" ht="16.5" customHeight="1">
      <c r="O44695" s="5" t="s">
        <v>355</v>
      </c>
      <c r="P44695" s="5" t="s">
        <v>355</v>
      </c>
      <c r="Q44695" s="5" t="s">
        <v>355</v>
      </c>
    </row>
    <row r="44696" ht="16.5" customHeight="1">
      <c r="O44696" s="5" t="s">
        <v>355</v>
      </c>
      <c r="P44696" s="5" t="s">
        <v>355</v>
      </c>
      <c r="Q44696" s="5" t="s">
        <v>355</v>
      </c>
    </row>
    <row r="44697" ht="16.5" customHeight="1">
      <c r="O44697" s="5" t="s">
        <v>355</v>
      </c>
      <c r="P44697" s="5" t="s">
        <v>355</v>
      </c>
      <c r="Q44697" s="5" t="s">
        <v>355</v>
      </c>
    </row>
    <row r="44698" ht="16.5" customHeight="1">
      <c r="O44698" s="5" t="s">
        <v>355</v>
      </c>
      <c r="P44698" s="5" t="s">
        <v>355</v>
      </c>
      <c r="Q44698" s="5" t="s">
        <v>355</v>
      </c>
    </row>
    <row r="44699" ht="16.5" customHeight="1">
      <c r="O44699" s="5" t="s">
        <v>355</v>
      </c>
      <c r="P44699" s="5" t="s">
        <v>355</v>
      </c>
      <c r="Q44699" s="5" t="s">
        <v>355</v>
      </c>
    </row>
    <row r="44700" ht="16.5" customHeight="1">
      <c r="O44700" s="5" t="s">
        <v>355</v>
      </c>
      <c r="P44700" s="5" t="s">
        <v>355</v>
      </c>
      <c r="Q44700" s="5" t="s">
        <v>355</v>
      </c>
    </row>
    <row r="44701" ht="16.5" customHeight="1">
      <c r="O44701" s="5" t="s">
        <v>355</v>
      </c>
      <c r="P44701" s="5" t="s">
        <v>355</v>
      </c>
      <c r="Q44701" s="5" t="s">
        <v>355</v>
      </c>
    </row>
    <row r="44702" ht="16.5" customHeight="1">
      <c r="O44702" s="5" t="s">
        <v>355</v>
      </c>
      <c r="P44702" s="5" t="s">
        <v>355</v>
      </c>
      <c r="Q44702" s="5" t="s">
        <v>355</v>
      </c>
    </row>
    <row r="44703" ht="16.5" customHeight="1">
      <c r="O44703" s="5" t="s">
        <v>355</v>
      </c>
      <c r="P44703" s="5" t="s">
        <v>355</v>
      </c>
      <c r="Q44703" s="5" t="s">
        <v>355</v>
      </c>
    </row>
    <row r="44704" ht="16.5" customHeight="1">
      <c r="O44704" s="5" t="s">
        <v>355</v>
      </c>
      <c r="P44704" s="5" t="s">
        <v>355</v>
      </c>
      <c r="Q44704" s="5" t="s">
        <v>355</v>
      </c>
    </row>
    <row r="44705" ht="16.5" customHeight="1">
      <c r="O44705" s="5" t="s">
        <v>355</v>
      </c>
      <c r="P44705" s="5" t="s">
        <v>355</v>
      </c>
      <c r="Q44705" s="5" t="s">
        <v>355</v>
      </c>
    </row>
    <row r="44706" ht="16.5" customHeight="1">
      <c r="O44706" s="5" t="s">
        <v>355</v>
      </c>
      <c r="P44706" s="5" t="s">
        <v>355</v>
      </c>
      <c r="Q44706" s="5" t="s">
        <v>355</v>
      </c>
    </row>
    <row r="44707" ht="16.5" customHeight="1">
      <c r="O44707" s="5" t="s">
        <v>355</v>
      </c>
      <c r="P44707" s="5" t="s">
        <v>355</v>
      </c>
      <c r="Q44707" s="5" t="s">
        <v>355</v>
      </c>
    </row>
    <row r="44708" ht="16.5" customHeight="1">
      <c r="O44708" s="5" t="s">
        <v>355</v>
      </c>
      <c r="P44708" s="5" t="s">
        <v>355</v>
      </c>
      <c r="Q44708" s="5" t="s">
        <v>355</v>
      </c>
    </row>
    <row r="44709" ht="16.5" customHeight="1">
      <c r="O44709" s="5" t="s">
        <v>355</v>
      </c>
      <c r="P44709" s="5" t="s">
        <v>355</v>
      </c>
      <c r="Q44709" s="5" t="s">
        <v>355</v>
      </c>
    </row>
    <row r="44710" ht="16.5" customHeight="1">
      <c r="O44710" s="5" t="s">
        <v>355</v>
      </c>
      <c r="P44710" s="5" t="s">
        <v>355</v>
      </c>
      <c r="Q44710" s="5" t="s">
        <v>355</v>
      </c>
    </row>
    <row r="44711" ht="16.5" customHeight="1">
      <c r="O44711" s="5" t="s">
        <v>355</v>
      </c>
      <c r="P44711" s="5" t="s">
        <v>355</v>
      </c>
      <c r="Q44711" s="5" t="s">
        <v>355</v>
      </c>
    </row>
    <row r="44712" ht="16.5" customHeight="1">
      <c r="O44712" s="5" t="s">
        <v>355</v>
      </c>
      <c r="P44712" s="5" t="s">
        <v>355</v>
      </c>
      <c r="Q44712" s="5" t="s">
        <v>355</v>
      </c>
    </row>
    <row r="44713" ht="16.5" customHeight="1">
      <c r="O44713" s="5" t="s">
        <v>355</v>
      </c>
      <c r="P44713" s="5" t="s">
        <v>355</v>
      </c>
      <c r="Q44713" s="5" t="s">
        <v>355</v>
      </c>
    </row>
    <row r="44714" ht="16.5" customHeight="1">
      <c r="O44714" s="5" t="s">
        <v>355</v>
      </c>
      <c r="P44714" s="5" t="s">
        <v>355</v>
      </c>
      <c r="Q44714" s="5" t="s">
        <v>355</v>
      </c>
    </row>
    <row r="44715" ht="16.5" customHeight="1">
      <c r="O44715" s="5" t="s">
        <v>355</v>
      </c>
      <c r="P44715" s="5" t="s">
        <v>355</v>
      </c>
      <c r="Q44715" s="5" t="s">
        <v>355</v>
      </c>
    </row>
    <row r="44716" ht="16.5" customHeight="1">
      <c r="O44716" s="5" t="s">
        <v>355</v>
      </c>
      <c r="P44716" s="5" t="s">
        <v>355</v>
      </c>
      <c r="Q44716" s="5" t="s">
        <v>355</v>
      </c>
    </row>
    <row r="44717" ht="16.5" customHeight="1">
      <c r="O44717" s="5" t="s">
        <v>355</v>
      </c>
      <c r="P44717" s="5" t="s">
        <v>355</v>
      </c>
      <c r="Q44717" s="5" t="s">
        <v>355</v>
      </c>
    </row>
    <row r="44718" ht="16.5" customHeight="1">
      <c r="O44718" s="5" t="s">
        <v>355</v>
      </c>
      <c r="P44718" s="5" t="s">
        <v>355</v>
      </c>
      <c r="Q44718" s="5" t="s">
        <v>355</v>
      </c>
    </row>
    <row r="44719" ht="16.5" customHeight="1">
      <c r="O44719" s="5" t="s">
        <v>355</v>
      </c>
      <c r="P44719" s="5" t="s">
        <v>355</v>
      </c>
      <c r="Q44719" s="5" t="s">
        <v>355</v>
      </c>
    </row>
    <row r="44720" ht="16.5" customHeight="1">
      <c r="O44720" s="5" t="s">
        <v>355</v>
      </c>
      <c r="P44720" s="5" t="s">
        <v>355</v>
      </c>
      <c r="Q44720" s="5" t="s">
        <v>355</v>
      </c>
    </row>
    <row r="44721" ht="16.5" customHeight="1">
      <c r="O44721" s="5" t="s">
        <v>355</v>
      </c>
      <c r="P44721" s="5" t="s">
        <v>355</v>
      </c>
      <c r="Q44721" s="5" t="s">
        <v>355</v>
      </c>
    </row>
    <row r="44722" ht="16.5" customHeight="1">
      <c r="O44722" s="5" t="s">
        <v>355</v>
      </c>
      <c r="P44722" s="5" t="s">
        <v>355</v>
      </c>
      <c r="Q44722" s="5" t="s">
        <v>355</v>
      </c>
    </row>
    <row r="44723" ht="16.5" customHeight="1">
      <c r="O44723" s="5" t="s">
        <v>355</v>
      </c>
      <c r="P44723" s="5" t="s">
        <v>355</v>
      </c>
      <c r="Q44723" s="5" t="s">
        <v>355</v>
      </c>
    </row>
    <row r="44724" ht="16.5" customHeight="1">
      <c r="O44724" s="5" t="s">
        <v>355</v>
      </c>
      <c r="P44724" s="5" t="s">
        <v>355</v>
      </c>
      <c r="Q44724" s="5" t="s">
        <v>355</v>
      </c>
    </row>
    <row r="44725" ht="16.5" customHeight="1">
      <c r="O44725" s="5" t="s">
        <v>355</v>
      </c>
      <c r="P44725" s="5" t="s">
        <v>355</v>
      </c>
      <c r="Q44725" s="5" t="s">
        <v>355</v>
      </c>
    </row>
    <row r="44726" ht="16.5" customHeight="1">
      <c r="O44726" s="5" t="s">
        <v>355</v>
      </c>
      <c r="P44726" s="5" t="s">
        <v>355</v>
      </c>
      <c r="Q44726" s="5" t="s">
        <v>355</v>
      </c>
    </row>
    <row r="44727" ht="16.5" customHeight="1">
      <c r="O44727" s="5" t="s">
        <v>355</v>
      </c>
      <c r="P44727" s="5" t="s">
        <v>355</v>
      </c>
      <c r="Q44727" s="5" t="s">
        <v>355</v>
      </c>
    </row>
    <row r="44728" ht="16.5" customHeight="1">
      <c r="O44728" s="5" t="s">
        <v>355</v>
      </c>
      <c r="P44728" s="5" t="s">
        <v>355</v>
      </c>
      <c r="Q44728" s="5" t="s">
        <v>355</v>
      </c>
    </row>
    <row r="44729" ht="16.5" customHeight="1">
      <c r="O44729" s="5" t="s">
        <v>355</v>
      </c>
      <c r="P44729" s="5" t="s">
        <v>355</v>
      </c>
      <c r="Q44729" s="5" t="s">
        <v>355</v>
      </c>
    </row>
    <row r="44730" ht="16.5" customHeight="1">
      <c r="O44730" s="5" t="s">
        <v>355</v>
      </c>
      <c r="P44730" s="5" t="s">
        <v>355</v>
      </c>
      <c r="Q44730" s="5" t="s">
        <v>355</v>
      </c>
    </row>
    <row r="44731" ht="16.5" customHeight="1">
      <c r="O44731" s="5" t="s">
        <v>355</v>
      </c>
      <c r="P44731" s="5" t="s">
        <v>355</v>
      </c>
      <c r="Q44731" s="5" t="s">
        <v>355</v>
      </c>
    </row>
    <row r="44732" ht="16.5" customHeight="1">
      <c r="O44732" s="5" t="s">
        <v>355</v>
      </c>
      <c r="P44732" s="5" t="s">
        <v>355</v>
      </c>
      <c r="Q44732" s="5" t="s">
        <v>355</v>
      </c>
    </row>
    <row r="44733" ht="16.5" customHeight="1">
      <c r="O44733" s="5" t="s">
        <v>355</v>
      </c>
      <c r="P44733" s="5" t="s">
        <v>355</v>
      </c>
      <c r="Q44733" s="5" t="s">
        <v>355</v>
      </c>
    </row>
    <row r="44734" ht="16.5" customHeight="1">
      <c r="O44734" s="5" t="s">
        <v>355</v>
      </c>
      <c r="P44734" s="5" t="s">
        <v>355</v>
      </c>
      <c r="Q44734" s="5" t="s">
        <v>355</v>
      </c>
    </row>
    <row r="44735" ht="16.5" customHeight="1">
      <c r="O44735" s="5" t="s">
        <v>355</v>
      </c>
      <c r="P44735" s="5" t="s">
        <v>355</v>
      </c>
      <c r="Q44735" s="5" t="s">
        <v>355</v>
      </c>
    </row>
    <row r="44736" ht="16.5" customHeight="1">
      <c r="O44736" s="5" t="s">
        <v>355</v>
      </c>
      <c r="P44736" s="5" t="s">
        <v>355</v>
      </c>
      <c r="Q44736" s="5" t="s">
        <v>355</v>
      </c>
    </row>
    <row r="44737" ht="16.5" customHeight="1">
      <c r="O44737" s="5" t="s">
        <v>355</v>
      </c>
      <c r="P44737" s="5" t="s">
        <v>355</v>
      </c>
      <c r="Q44737" s="5" t="s">
        <v>355</v>
      </c>
    </row>
    <row r="44738" ht="16.5" customHeight="1">
      <c r="O44738" s="5" t="s">
        <v>355</v>
      </c>
      <c r="P44738" s="5" t="s">
        <v>355</v>
      </c>
      <c r="Q44738" s="5" t="s">
        <v>355</v>
      </c>
    </row>
    <row r="44739" ht="16.5" customHeight="1">
      <c r="O44739" s="5" t="s">
        <v>355</v>
      </c>
      <c r="P44739" s="5" t="s">
        <v>355</v>
      </c>
      <c r="Q44739" s="5" t="s">
        <v>355</v>
      </c>
    </row>
    <row r="44740" ht="16.5" customHeight="1">
      <c r="O44740" s="5" t="s">
        <v>355</v>
      </c>
      <c r="P44740" s="5" t="s">
        <v>355</v>
      </c>
      <c r="Q44740" s="5" t="s">
        <v>355</v>
      </c>
    </row>
    <row r="44741" ht="16.5" customHeight="1">
      <c r="O44741" s="5" t="s">
        <v>355</v>
      </c>
      <c r="P44741" s="5" t="s">
        <v>355</v>
      </c>
      <c r="Q44741" s="5" t="s">
        <v>355</v>
      </c>
    </row>
    <row r="44742" ht="16.5" customHeight="1">
      <c r="O44742" s="5" t="s">
        <v>355</v>
      </c>
      <c r="P44742" s="5" t="s">
        <v>355</v>
      </c>
      <c r="Q44742" s="5" t="s">
        <v>355</v>
      </c>
    </row>
    <row r="44743" ht="16.5" customHeight="1">
      <c r="O44743" s="5" t="s">
        <v>355</v>
      </c>
      <c r="P44743" s="5" t="s">
        <v>355</v>
      </c>
      <c r="Q44743" s="5" t="s">
        <v>355</v>
      </c>
    </row>
    <row r="44744" ht="16.5" customHeight="1">
      <c r="O44744" s="5" t="s">
        <v>355</v>
      </c>
      <c r="P44744" s="5" t="s">
        <v>355</v>
      </c>
      <c r="Q44744" s="5" t="s">
        <v>355</v>
      </c>
    </row>
    <row r="44745" ht="16.5" customHeight="1">
      <c r="O44745" s="5" t="s">
        <v>355</v>
      </c>
      <c r="P44745" s="5" t="s">
        <v>355</v>
      </c>
      <c r="Q44745" s="5" t="s">
        <v>355</v>
      </c>
    </row>
    <row r="44746" ht="16.5" customHeight="1">
      <c r="O44746" s="5" t="s">
        <v>355</v>
      </c>
      <c r="P44746" s="5" t="s">
        <v>355</v>
      </c>
      <c r="Q44746" s="5" t="s">
        <v>355</v>
      </c>
    </row>
    <row r="44747" ht="16.5" customHeight="1">
      <c r="O44747" s="5" t="s">
        <v>355</v>
      </c>
      <c r="P44747" s="5" t="s">
        <v>355</v>
      </c>
      <c r="Q44747" s="5" t="s">
        <v>355</v>
      </c>
    </row>
    <row r="44748" ht="16.5" customHeight="1">
      <c r="O44748" s="5" t="s">
        <v>355</v>
      </c>
      <c r="P44748" s="5" t="s">
        <v>355</v>
      </c>
      <c r="Q44748" s="5" t="s">
        <v>355</v>
      </c>
    </row>
    <row r="44749" ht="16.5" customHeight="1">
      <c r="O44749" s="5" t="s">
        <v>355</v>
      </c>
      <c r="P44749" s="5" t="s">
        <v>355</v>
      </c>
      <c r="Q44749" s="5" t="s">
        <v>355</v>
      </c>
    </row>
    <row r="44750" ht="16.5" customHeight="1">
      <c r="O44750" s="5" t="s">
        <v>355</v>
      </c>
      <c r="P44750" s="5" t="s">
        <v>355</v>
      </c>
      <c r="Q44750" s="5" t="s">
        <v>355</v>
      </c>
    </row>
    <row r="44751" ht="16.5" customHeight="1">
      <c r="O44751" s="5" t="s">
        <v>355</v>
      </c>
      <c r="P44751" s="5" t="s">
        <v>355</v>
      </c>
      <c r="Q44751" s="5" t="s">
        <v>355</v>
      </c>
    </row>
    <row r="44752" ht="16.5" customHeight="1">
      <c r="O44752" s="5" t="s">
        <v>355</v>
      </c>
      <c r="P44752" s="5" t="s">
        <v>355</v>
      </c>
      <c r="Q44752" s="5" t="s">
        <v>355</v>
      </c>
    </row>
    <row r="44753" ht="16.5" customHeight="1">
      <c r="O44753" s="5" t="s">
        <v>355</v>
      </c>
      <c r="P44753" s="5" t="s">
        <v>355</v>
      </c>
      <c r="Q44753" s="5" t="s">
        <v>355</v>
      </c>
    </row>
    <row r="44754" ht="16.5" customHeight="1">
      <c r="O44754" s="5" t="s">
        <v>355</v>
      </c>
      <c r="P44754" s="5" t="s">
        <v>355</v>
      </c>
      <c r="Q44754" s="5" t="s">
        <v>355</v>
      </c>
    </row>
    <row r="44755" ht="16.5" customHeight="1">
      <c r="O44755" s="5" t="s">
        <v>355</v>
      </c>
      <c r="P44755" s="5" t="s">
        <v>355</v>
      </c>
      <c r="Q44755" s="5" t="s">
        <v>355</v>
      </c>
    </row>
    <row r="44756" ht="16.5" customHeight="1">
      <c r="O44756" s="5" t="s">
        <v>355</v>
      </c>
      <c r="P44756" s="5" t="s">
        <v>355</v>
      </c>
      <c r="Q44756" s="5" t="s">
        <v>355</v>
      </c>
    </row>
    <row r="44757" ht="16.5" customHeight="1">
      <c r="O44757" s="5" t="s">
        <v>355</v>
      </c>
      <c r="P44757" s="5" t="s">
        <v>355</v>
      </c>
      <c r="Q44757" s="5" t="s">
        <v>355</v>
      </c>
    </row>
    <row r="44758" ht="16.5" customHeight="1">
      <c r="O44758" s="5" t="s">
        <v>355</v>
      </c>
      <c r="P44758" s="5" t="s">
        <v>355</v>
      </c>
      <c r="Q44758" s="5" t="s">
        <v>355</v>
      </c>
    </row>
    <row r="44759" ht="16.5" customHeight="1">
      <c r="O44759" s="5" t="s">
        <v>355</v>
      </c>
      <c r="P44759" s="5" t="s">
        <v>355</v>
      </c>
      <c r="Q44759" s="5" t="s">
        <v>355</v>
      </c>
    </row>
    <row r="44760" ht="16.5" customHeight="1">
      <c r="O44760" s="5" t="s">
        <v>355</v>
      </c>
      <c r="P44760" s="5" t="s">
        <v>355</v>
      </c>
      <c r="Q44760" s="5" t="s">
        <v>355</v>
      </c>
    </row>
    <row r="44761" ht="16.5" customHeight="1">
      <c r="O44761" s="5" t="s">
        <v>355</v>
      </c>
      <c r="P44761" s="5" t="s">
        <v>355</v>
      </c>
      <c r="Q44761" s="5" t="s">
        <v>355</v>
      </c>
    </row>
    <row r="44762" ht="16.5" customHeight="1">
      <c r="O44762" s="5" t="s">
        <v>355</v>
      </c>
      <c r="P44762" s="5" t="s">
        <v>355</v>
      </c>
      <c r="Q44762" s="5" t="s">
        <v>355</v>
      </c>
    </row>
    <row r="44763" ht="16.5" customHeight="1">
      <c r="O44763" s="5" t="s">
        <v>355</v>
      </c>
      <c r="P44763" s="5" t="s">
        <v>355</v>
      </c>
      <c r="Q44763" s="5" t="s">
        <v>355</v>
      </c>
    </row>
    <row r="44764" ht="16.5" customHeight="1">
      <c r="O44764" s="5" t="s">
        <v>355</v>
      </c>
      <c r="P44764" s="5" t="s">
        <v>355</v>
      </c>
      <c r="Q44764" s="5" t="s">
        <v>355</v>
      </c>
    </row>
    <row r="44765" ht="16.5" customHeight="1">
      <c r="O44765" s="5" t="s">
        <v>355</v>
      </c>
      <c r="P44765" s="5" t="s">
        <v>355</v>
      </c>
      <c r="Q44765" s="5" t="s">
        <v>355</v>
      </c>
    </row>
    <row r="44766" ht="16.5" customHeight="1">
      <c r="O44766" s="5" t="s">
        <v>355</v>
      </c>
      <c r="P44766" s="5" t="s">
        <v>355</v>
      </c>
      <c r="Q44766" s="5" t="s">
        <v>355</v>
      </c>
    </row>
    <row r="44767" ht="16.5" customHeight="1">
      <c r="O44767" s="5" t="s">
        <v>355</v>
      </c>
      <c r="P44767" s="5" t="s">
        <v>355</v>
      </c>
      <c r="Q44767" s="5" t="s">
        <v>355</v>
      </c>
    </row>
    <row r="44768" ht="16.5" customHeight="1">
      <c r="O44768" s="5" t="s">
        <v>355</v>
      </c>
      <c r="P44768" s="5" t="s">
        <v>355</v>
      </c>
      <c r="Q44768" s="5" t="s">
        <v>355</v>
      </c>
    </row>
    <row r="44769" ht="16.5" customHeight="1">
      <c r="O44769" s="5" t="s">
        <v>355</v>
      </c>
      <c r="P44769" s="5" t="s">
        <v>355</v>
      </c>
      <c r="Q44769" s="5" t="s">
        <v>355</v>
      </c>
    </row>
    <row r="44770" ht="16.5" customHeight="1">
      <c r="O44770" s="5" t="s">
        <v>355</v>
      </c>
      <c r="P44770" s="5" t="s">
        <v>355</v>
      </c>
      <c r="Q44770" s="5" t="s">
        <v>355</v>
      </c>
    </row>
    <row r="44771" ht="16.5" customHeight="1">
      <c r="O44771" s="5" t="s">
        <v>355</v>
      </c>
      <c r="P44771" s="5" t="s">
        <v>355</v>
      </c>
      <c r="Q44771" s="5" t="s">
        <v>355</v>
      </c>
    </row>
    <row r="44772" ht="16.5" customHeight="1">
      <c r="O44772" s="5" t="s">
        <v>355</v>
      </c>
      <c r="P44772" s="5" t="s">
        <v>355</v>
      </c>
      <c r="Q44772" s="5" t="s">
        <v>355</v>
      </c>
    </row>
    <row r="44773" ht="16.5" customHeight="1">
      <c r="O44773" s="5" t="s">
        <v>355</v>
      </c>
      <c r="P44773" s="5" t="s">
        <v>355</v>
      </c>
      <c r="Q44773" s="5" t="s">
        <v>355</v>
      </c>
    </row>
    <row r="44774" ht="16.5" customHeight="1">
      <c r="O44774" s="5" t="s">
        <v>355</v>
      </c>
      <c r="P44774" s="5" t="s">
        <v>355</v>
      </c>
      <c r="Q44774" s="5" t="s">
        <v>355</v>
      </c>
    </row>
    <row r="44775" ht="16.5" customHeight="1">
      <c r="O44775" s="5" t="s">
        <v>355</v>
      </c>
      <c r="P44775" s="5" t="s">
        <v>355</v>
      </c>
      <c r="Q44775" s="5" t="s">
        <v>355</v>
      </c>
    </row>
    <row r="44776" ht="16.5" customHeight="1">
      <c r="O44776" s="5" t="s">
        <v>355</v>
      </c>
      <c r="P44776" s="5" t="s">
        <v>355</v>
      </c>
      <c r="Q44776" s="5" t="s">
        <v>355</v>
      </c>
    </row>
    <row r="44777" ht="16.5" customHeight="1">
      <c r="O44777" s="5" t="s">
        <v>355</v>
      </c>
      <c r="P44777" s="5" t="s">
        <v>355</v>
      </c>
      <c r="Q44777" s="5" t="s">
        <v>355</v>
      </c>
    </row>
    <row r="44778" ht="16.5" customHeight="1">
      <c r="O44778" s="5" t="s">
        <v>355</v>
      </c>
      <c r="P44778" s="5" t="s">
        <v>355</v>
      </c>
      <c r="Q44778" s="5" t="s">
        <v>355</v>
      </c>
    </row>
    <row r="44779" ht="16.5" customHeight="1">
      <c r="O44779" s="5" t="s">
        <v>355</v>
      </c>
      <c r="P44779" s="5" t="s">
        <v>355</v>
      </c>
      <c r="Q44779" s="5" t="s">
        <v>355</v>
      </c>
    </row>
    <row r="44780" ht="16.5" customHeight="1">
      <c r="O44780" s="5" t="s">
        <v>355</v>
      </c>
      <c r="P44780" s="5" t="s">
        <v>355</v>
      </c>
      <c r="Q44780" s="5" t="s">
        <v>355</v>
      </c>
    </row>
    <row r="44781" ht="16.5" customHeight="1">
      <c r="O44781" s="5" t="s">
        <v>355</v>
      </c>
      <c r="P44781" s="5" t="s">
        <v>355</v>
      </c>
      <c r="Q44781" s="5" t="s">
        <v>355</v>
      </c>
    </row>
    <row r="44782" ht="16.5" customHeight="1">
      <c r="O44782" s="5" t="s">
        <v>355</v>
      </c>
      <c r="P44782" s="5" t="s">
        <v>355</v>
      </c>
      <c r="Q44782" s="5" t="s">
        <v>355</v>
      </c>
    </row>
    <row r="44783" ht="16.5" customHeight="1">
      <c r="O44783" s="5" t="s">
        <v>355</v>
      </c>
      <c r="P44783" s="5" t="s">
        <v>355</v>
      </c>
      <c r="Q44783" s="5" t="s">
        <v>355</v>
      </c>
    </row>
    <row r="44784" ht="16.5" customHeight="1">
      <c r="O44784" s="5" t="s">
        <v>355</v>
      </c>
      <c r="P44784" s="5" t="s">
        <v>355</v>
      </c>
      <c r="Q44784" s="5" t="s">
        <v>355</v>
      </c>
    </row>
    <row r="44785" ht="16.5" customHeight="1">
      <c r="O44785" s="5" t="s">
        <v>355</v>
      </c>
      <c r="P44785" s="5" t="s">
        <v>355</v>
      </c>
      <c r="Q44785" s="5" t="s">
        <v>355</v>
      </c>
    </row>
    <row r="44786" ht="16.5" customHeight="1">
      <c r="O44786" s="5" t="s">
        <v>355</v>
      </c>
      <c r="P44786" s="5" t="s">
        <v>355</v>
      </c>
      <c r="Q44786" s="5" t="s">
        <v>355</v>
      </c>
    </row>
    <row r="44787" ht="16.5" customHeight="1">
      <c r="O44787" s="5" t="s">
        <v>355</v>
      </c>
      <c r="P44787" s="5" t="s">
        <v>355</v>
      </c>
      <c r="Q44787" s="5" t="s">
        <v>355</v>
      </c>
    </row>
    <row r="44788" ht="16.5" customHeight="1">
      <c r="O44788" s="5" t="s">
        <v>355</v>
      </c>
      <c r="P44788" s="5" t="s">
        <v>355</v>
      </c>
      <c r="Q44788" s="5" t="s">
        <v>355</v>
      </c>
    </row>
    <row r="44789" ht="16.5" customHeight="1">
      <c r="O44789" s="5" t="s">
        <v>355</v>
      </c>
      <c r="P44789" s="5" t="s">
        <v>355</v>
      </c>
      <c r="Q44789" s="5" t="s">
        <v>355</v>
      </c>
    </row>
    <row r="44790" ht="16.5" customHeight="1">
      <c r="O44790" s="5" t="s">
        <v>355</v>
      </c>
      <c r="P44790" s="5" t="s">
        <v>355</v>
      </c>
      <c r="Q44790" s="5" t="s">
        <v>355</v>
      </c>
    </row>
    <row r="44791" ht="16.5" customHeight="1">
      <c r="O44791" s="5" t="s">
        <v>355</v>
      </c>
      <c r="P44791" s="5" t="s">
        <v>355</v>
      </c>
      <c r="Q44791" s="5" t="s">
        <v>355</v>
      </c>
    </row>
    <row r="44792" ht="16.5" customHeight="1">
      <c r="O44792" s="5" t="s">
        <v>355</v>
      </c>
      <c r="P44792" s="5" t="s">
        <v>355</v>
      </c>
      <c r="Q44792" s="5" t="s">
        <v>355</v>
      </c>
    </row>
    <row r="44793" ht="16.5" customHeight="1">
      <c r="O44793" s="5" t="s">
        <v>355</v>
      </c>
      <c r="P44793" s="5" t="s">
        <v>355</v>
      </c>
      <c r="Q44793" s="5" t="s">
        <v>355</v>
      </c>
    </row>
    <row r="44794" ht="16.5" customHeight="1">
      <c r="O44794" s="5" t="s">
        <v>355</v>
      </c>
      <c r="P44794" s="5" t="s">
        <v>355</v>
      </c>
      <c r="Q44794" s="5" t="s">
        <v>355</v>
      </c>
    </row>
    <row r="44795" ht="16.5" customHeight="1">
      <c r="O44795" s="5" t="s">
        <v>355</v>
      </c>
      <c r="P44795" s="5" t="s">
        <v>355</v>
      </c>
      <c r="Q44795" s="5" t="s">
        <v>355</v>
      </c>
    </row>
    <row r="44796" ht="16.5" customHeight="1">
      <c r="O44796" s="5" t="s">
        <v>355</v>
      </c>
      <c r="P44796" s="5" t="s">
        <v>355</v>
      </c>
      <c r="Q44796" s="5" t="s">
        <v>355</v>
      </c>
    </row>
    <row r="44797" ht="16.5" customHeight="1">
      <c r="O44797" s="5" t="s">
        <v>355</v>
      </c>
      <c r="P44797" s="5" t="s">
        <v>355</v>
      </c>
      <c r="Q44797" s="5" t="s">
        <v>355</v>
      </c>
    </row>
    <row r="44798" ht="16.5" customHeight="1">
      <c r="O44798" s="5" t="s">
        <v>355</v>
      </c>
      <c r="P44798" s="5" t="s">
        <v>355</v>
      </c>
      <c r="Q44798" s="5" t="s">
        <v>355</v>
      </c>
    </row>
    <row r="44799" ht="16.5" customHeight="1">
      <c r="O44799" s="5" t="s">
        <v>355</v>
      </c>
      <c r="P44799" s="5" t="s">
        <v>355</v>
      </c>
      <c r="Q44799" s="5" t="s">
        <v>355</v>
      </c>
    </row>
    <row r="44800" ht="16.5" customHeight="1">
      <c r="O44800" s="5" t="s">
        <v>355</v>
      </c>
      <c r="P44800" s="5" t="s">
        <v>355</v>
      </c>
      <c r="Q44800" s="5" t="s">
        <v>355</v>
      </c>
    </row>
    <row r="44801" ht="16.5" customHeight="1">
      <c r="O44801" s="5" t="s">
        <v>355</v>
      </c>
      <c r="P44801" s="5" t="s">
        <v>355</v>
      </c>
      <c r="Q44801" s="5" t="s">
        <v>355</v>
      </c>
    </row>
    <row r="44802" ht="16.5" customHeight="1">
      <c r="O44802" s="5" t="s">
        <v>355</v>
      </c>
      <c r="P44802" s="5" t="s">
        <v>355</v>
      </c>
      <c r="Q44802" s="5" t="s">
        <v>355</v>
      </c>
    </row>
    <row r="44803" ht="16.5" customHeight="1">
      <c r="O44803" s="5" t="s">
        <v>355</v>
      </c>
      <c r="P44803" s="5" t="s">
        <v>355</v>
      </c>
      <c r="Q44803" s="5" t="s">
        <v>355</v>
      </c>
    </row>
    <row r="44804" ht="16.5" customHeight="1">
      <c r="O44804" s="5" t="s">
        <v>355</v>
      </c>
      <c r="P44804" s="5" t="s">
        <v>355</v>
      </c>
      <c r="Q44804" s="5" t="s">
        <v>355</v>
      </c>
    </row>
    <row r="44805" ht="16.5" customHeight="1">
      <c r="O44805" s="5" t="s">
        <v>355</v>
      </c>
      <c r="P44805" s="5" t="s">
        <v>355</v>
      </c>
      <c r="Q44805" s="5" t="s">
        <v>355</v>
      </c>
    </row>
    <row r="44806" ht="16.5" customHeight="1">
      <c r="O44806" s="5" t="s">
        <v>355</v>
      </c>
      <c r="P44806" s="5" t="s">
        <v>355</v>
      </c>
      <c r="Q44806" s="5" t="s">
        <v>355</v>
      </c>
    </row>
    <row r="44807" ht="16.5" customHeight="1">
      <c r="O44807" s="5" t="s">
        <v>355</v>
      </c>
      <c r="P44807" s="5" t="s">
        <v>355</v>
      </c>
      <c r="Q44807" s="5" t="s">
        <v>355</v>
      </c>
    </row>
    <row r="44808" ht="16.5" customHeight="1">
      <c r="O44808" s="5" t="s">
        <v>355</v>
      </c>
      <c r="P44808" s="5" t="s">
        <v>355</v>
      </c>
      <c r="Q44808" s="5" t="s">
        <v>355</v>
      </c>
    </row>
    <row r="44809" ht="16.5" customHeight="1">
      <c r="O44809" s="5" t="s">
        <v>355</v>
      </c>
      <c r="P44809" s="5" t="s">
        <v>355</v>
      </c>
      <c r="Q44809" s="5" t="s">
        <v>355</v>
      </c>
    </row>
    <row r="44810" ht="16.5" customHeight="1">
      <c r="O44810" s="5" t="s">
        <v>355</v>
      </c>
      <c r="P44810" s="5" t="s">
        <v>355</v>
      </c>
      <c r="Q44810" s="5" t="s">
        <v>355</v>
      </c>
    </row>
    <row r="44811" ht="16.5" customHeight="1">
      <c r="O44811" s="5" t="s">
        <v>355</v>
      </c>
      <c r="P44811" s="5" t="s">
        <v>355</v>
      </c>
      <c r="Q44811" s="5" t="s">
        <v>355</v>
      </c>
    </row>
    <row r="44812" ht="16.5" customHeight="1">
      <c r="O44812" s="5" t="s">
        <v>355</v>
      </c>
      <c r="P44812" s="5" t="s">
        <v>355</v>
      </c>
      <c r="Q44812" s="5" t="s">
        <v>355</v>
      </c>
    </row>
    <row r="44813" ht="16.5" customHeight="1">
      <c r="O44813" s="5" t="s">
        <v>355</v>
      </c>
      <c r="P44813" s="5" t="s">
        <v>355</v>
      </c>
      <c r="Q44813" s="5" t="s">
        <v>355</v>
      </c>
    </row>
    <row r="44814" ht="16.5" customHeight="1">
      <c r="O44814" s="5" t="s">
        <v>355</v>
      </c>
      <c r="P44814" s="5" t="s">
        <v>355</v>
      </c>
      <c r="Q44814" s="5" t="s">
        <v>355</v>
      </c>
    </row>
    <row r="44815" ht="16.5" customHeight="1">
      <c r="O44815" s="5" t="s">
        <v>355</v>
      </c>
      <c r="P44815" s="5" t="s">
        <v>355</v>
      </c>
      <c r="Q44815" s="5" t="s">
        <v>355</v>
      </c>
    </row>
    <row r="44816" ht="16.5" customHeight="1">
      <c r="O44816" s="5" t="s">
        <v>355</v>
      </c>
      <c r="P44816" s="5" t="s">
        <v>355</v>
      </c>
      <c r="Q44816" s="5" t="s">
        <v>355</v>
      </c>
    </row>
    <row r="44817" ht="16.5" customHeight="1">
      <c r="O44817" s="5" t="s">
        <v>355</v>
      </c>
      <c r="P44817" s="5" t="s">
        <v>355</v>
      </c>
      <c r="Q44817" s="5" t="s">
        <v>355</v>
      </c>
    </row>
    <row r="44818" ht="16.5" customHeight="1">
      <c r="O44818" s="5" t="s">
        <v>355</v>
      </c>
      <c r="P44818" s="5" t="s">
        <v>355</v>
      </c>
      <c r="Q44818" s="5" t="s">
        <v>355</v>
      </c>
    </row>
    <row r="44819" ht="16.5" customHeight="1">
      <c r="O44819" s="5" t="s">
        <v>355</v>
      </c>
      <c r="P44819" s="5" t="s">
        <v>355</v>
      </c>
      <c r="Q44819" s="5" t="s">
        <v>355</v>
      </c>
    </row>
    <row r="44820" ht="16.5" customHeight="1">
      <c r="O44820" s="5" t="s">
        <v>355</v>
      </c>
      <c r="P44820" s="5" t="s">
        <v>355</v>
      </c>
      <c r="Q44820" s="5" t="s">
        <v>355</v>
      </c>
    </row>
    <row r="44821" ht="16.5" customHeight="1">
      <c r="O44821" s="5" t="s">
        <v>355</v>
      </c>
      <c r="P44821" s="5" t="s">
        <v>355</v>
      </c>
      <c r="Q44821" s="5" t="s">
        <v>355</v>
      </c>
    </row>
    <row r="44822" ht="16.5" customHeight="1">
      <c r="O44822" s="5" t="s">
        <v>355</v>
      </c>
      <c r="P44822" s="5" t="s">
        <v>355</v>
      </c>
      <c r="Q44822" s="5" t="s">
        <v>355</v>
      </c>
    </row>
    <row r="44823" ht="16.5" customHeight="1">
      <c r="O44823" s="5" t="s">
        <v>355</v>
      </c>
      <c r="P44823" s="5" t="s">
        <v>355</v>
      </c>
      <c r="Q44823" s="5" t="s">
        <v>355</v>
      </c>
    </row>
    <row r="44824" ht="16.5" customHeight="1">
      <c r="O44824" s="5" t="s">
        <v>355</v>
      </c>
      <c r="P44824" s="5" t="s">
        <v>355</v>
      </c>
      <c r="Q44824" s="5" t="s">
        <v>355</v>
      </c>
    </row>
    <row r="44825" ht="16.5" customHeight="1">
      <c r="O44825" s="5" t="s">
        <v>355</v>
      </c>
      <c r="P44825" s="5" t="s">
        <v>355</v>
      </c>
      <c r="Q44825" s="5" t="s">
        <v>355</v>
      </c>
    </row>
    <row r="44826" ht="16.5" customHeight="1">
      <c r="O44826" s="5" t="s">
        <v>355</v>
      </c>
      <c r="P44826" s="5" t="s">
        <v>355</v>
      </c>
      <c r="Q44826" s="5" t="s">
        <v>355</v>
      </c>
    </row>
    <row r="44827" ht="16.5" customHeight="1">
      <c r="O44827" s="5" t="s">
        <v>355</v>
      </c>
      <c r="P44827" s="5" t="s">
        <v>355</v>
      </c>
      <c r="Q44827" s="5" t="s">
        <v>355</v>
      </c>
    </row>
    <row r="44828" ht="16.5" customHeight="1">
      <c r="O44828" s="5" t="s">
        <v>355</v>
      </c>
      <c r="P44828" s="5" t="s">
        <v>355</v>
      </c>
      <c r="Q44828" s="5" t="s">
        <v>355</v>
      </c>
    </row>
    <row r="44829" ht="16.5" customHeight="1">
      <c r="O44829" s="5" t="s">
        <v>355</v>
      </c>
      <c r="P44829" s="5" t="s">
        <v>355</v>
      </c>
      <c r="Q44829" s="5" t="s">
        <v>355</v>
      </c>
    </row>
    <row r="44830" ht="16.5" customHeight="1">
      <c r="O44830" s="5" t="s">
        <v>355</v>
      </c>
      <c r="P44830" s="5" t="s">
        <v>355</v>
      </c>
      <c r="Q44830" s="5" t="s">
        <v>355</v>
      </c>
    </row>
    <row r="44831" ht="16.5" customHeight="1">
      <c r="O44831" s="5" t="s">
        <v>355</v>
      </c>
      <c r="P44831" s="5" t="s">
        <v>355</v>
      </c>
      <c r="Q44831" s="5" t="s">
        <v>355</v>
      </c>
    </row>
    <row r="44832" ht="16.5" customHeight="1">
      <c r="O44832" s="5" t="s">
        <v>355</v>
      </c>
      <c r="P44832" s="5" t="s">
        <v>355</v>
      </c>
      <c r="Q44832" s="5" t="s">
        <v>355</v>
      </c>
    </row>
    <row r="44833" ht="16.5" customHeight="1">
      <c r="O44833" s="5" t="s">
        <v>355</v>
      </c>
      <c r="P44833" s="5" t="s">
        <v>355</v>
      </c>
      <c r="Q44833" s="5" t="s">
        <v>355</v>
      </c>
    </row>
    <row r="44834" ht="16.5" customHeight="1">
      <c r="O44834" s="5" t="s">
        <v>355</v>
      </c>
      <c r="P44834" s="5" t="s">
        <v>355</v>
      </c>
      <c r="Q44834" s="5" t="s">
        <v>355</v>
      </c>
    </row>
    <row r="44835" ht="16.5" customHeight="1">
      <c r="O44835" s="5" t="s">
        <v>355</v>
      </c>
      <c r="P44835" s="5" t="s">
        <v>355</v>
      </c>
      <c r="Q44835" s="5" t="s">
        <v>355</v>
      </c>
    </row>
    <row r="44836" ht="16.5" customHeight="1">
      <c r="O44836" s="5" t="s">
        <v>355</v>
      </c>
      <c r="P44836" s="5" t="s">
        <v>355</v>
      </c>
      <c r="Q44836" s="5" t="s">
        <v>355</v>
      </c>
    </row>
    <row r="44837" ht="16.5" customHeight="1">
      <c r="O44837" s="5" t="s">
        <v>355</v>
      </c>
      <c r="P44837" s="5" t="s">
        <v>355</v>
      </c>
      <c r="Q44837" s="5" t="s">
        <v>355</v>
      </c>
    </row>
    <row r="44838" ht="16.5" customHeight="1">
      <c r="O44838" s="5" t="s">
        <v>355</v>
      </c>
      <c r="P44838" s="5" t="s">
        <v>355</v>
      </c>
      <c r="Q44838" s="5" t="s">
        <v>355</v>
      </c>
    </row>
    <row r="44839" ht="16.5" customHeight="1">
      <c r="O44839" s="5" t="s">
        <v>355</v>
      </c>
      <c r="P44839" s="5" t="s">
        <v>355</v>
      </c>
      <c r="Q44839" s="5" t="s">
        <v>355</v>
      </c>
    </row>
    <row r="44840" ht="16.5" customHeight="1">
      <c r="O44840" s="5" t="s">
        <v>355</v>
      </c>
      <c r="P44840" s="5" t="s">
        <v>355</v>
      </c>
      <c r="Q44840" s="5" t="s">
        <v>355</v>
      </c>
    </row>
    <row r="44841" ht="16.5" customHeight="1">
      <c r="O44841" s="5" t="s">
        <v>355</v>
      </c>
      <c r="P44841" s="5" t="s">
        <v>355</v>
      </c>
      <c r="Q44841" s="5" t="s">
        <v>355</v>
      </c>
    </row>
    <row r="44842" ht="16.5" customHeight="1">
      <c r="O44842" s="5" t="s">
        <v>355</v>
      </c>
      <c r="P44842" s="5" t="s">
        <v>355</v>
      </c>
      <c r="Q44842" s="5" t="s">
        <v>355</v>
      </c>
    </row>
    <row r="44843" ht="16.5" customHeight="1">
      <c r="O44843" s="5" t="s">
        <v>355</v>
      </c>
      <c r="P44843" s="5" t="s">
        <v>355</v>
      </c>
      <c r="Q44843" s="5" t="s">
        <v>355</v>
      </c>
    </row>
    <row r="44844" ht="16.5" customHeight="1">
      <c r="O44844" s="5" t="s">
        <v>355</v>
      </c>
      <c r="P44844" s="5" t="s">
        <v>355</v>
      </c>
      <c r="Q44844" s="5" t="s">
        <v>355</v>
      </c>
    </row>
    <row r="44845" ht="16.5" customHeight="1">
      <c r="O44845" s="5" t="s">
        <v>355</v>
      </c>
      <c r="P44845" s="5" t="s">
        <v>355</v>
      </c>
      <c r="Q44845" s="5" t="s">
        <v>355</v>
      </c>
    </row>
    <row r="44846" ht="16.5" customHeight="1">
      <c r="O44846" s="5" t="s">
        <v>355</v>
      </c>
      <c r="P44846" s="5" t="s">
        <v>355</v>
      </c>
      <c r="Q44846" s="5" t="s">
        <v>355</v>
      </c>
    </row>
    <row r="44847" ht="16.5" customHeight="1">
      <c r="O44847" s="5" t="s">
        <v>355</v>
      </c>
      <c r="P44847" s="5" t="s">
        <v>355</v>
      </c>
      <c r="Q44847" s="5" t="s">
        <v>355</v>
      </c>
    </row>
    <row r="44848" ht="16.5" customHeight="1">
      <c r="O44848" s="5" t="s">
        <v>355</v>
      </c>
      <c r="P44848" s="5" t="s">
        <v>355</v>
      </c>
      <c r="Q44848" s="5" t="s">
        <v>355</v>
      </c>
    </row>
    <row r="44849" ht="16.5" customHeight="1">
      <c r="O44849" s="5" t="s">
        <v>355</v>
      </c>
      <c r="P44849" s="5" t="s">
        <v>355</v>
      </c>
      <c r="Q44849" s="5" t="s">
        <v>355</v>
      </c>
    </row>
    <row r="44850" ht="16.5" customHeight="1">
      <c r="O44850" s="5" t="s">
        <v>355</v>
      </c>
      <c r="P44850" s="5" t="s">
        <v>355</v>
      </c>
      <c r="Q44850" s="5" t="s">
        <v>355</v>
      </c>
    </row>
    <row r="44851" ht="16.5" customHeight="1">
      <c r="O44851" s="5" t="s">
        <v>355</v>
      </c>
      <c r="P44851" s="5" t="s">
        <v>355</v>
      </c>
      <c r="Q44851" s="5" t="s">
        <v>355</v>
      </c>
    </row>
    <row r="44852" ht="16.5" customHeight="1">
      <c r="O44852" s="5" t="s">
        <v>355</v>
      </c>
      <c r="P44852" s="5" t="s">
        <v>355</v>
      </c>
      <c r="Q44852" s="5" t="s">
        <v>355</v>
      </c>
    </row>
    <row r="44853" ht="16.5" customHeight="1">
      <c r="O44853" s="5" t="s">
        <v>355</v>
      </c>
      <c r="P44853" s="5" t="s">
        <v>355</v>
      </c>
      <c r="Q44853" s="5" t="s">
        <v>355</v>
      </c>
    </row>
    <row r="44854" ht="16.5" customHeight="1">
      <c r="O44854" s="5" t="s">
        <v>355</v>
      </c>
      <c r="P44854" s="5" t="s">
        <v>355</v>
      </c>
      <c r="Q44854" s="5" t="s">
        <v>355</v>
      </c>
    </row>
    <row r="44855" ht="16.5" customHeight="1">
      <c r="O44855" s="5" t="s">
        <v>355</v>
      </c>
      <c r="P44855" s="5" t="s">
        <v>355</v>
      </c>
      <c r="Q44855" s="5" t="s">
        <v>355</v>
      </c>
    </row>
    <row r="44856" ht="16.5" customHeight="1">
      <c r="O44856" s="5" t="s">
        <v>355</v>
      </c>
      <c r="P44856" s="5" t="s">
        <v>355</v>
      </c>
      <c r="Q44856" s="5" t="s">
        <v>355</v>
      </c>
    </row>
    <row r="44857" ht="16.5" customHeight="1">
      <c r="O44857" s="5" t="s">
        <v>355</v>
      </c>
      <c r="P44857" s="5" t="s">
        <v>355</v>
      </c>
      <c r="Q44857" s="5" t="s">
        <v>355</v>
      </c>
    </row>
    <row r="44858" ht="16.5" customHeight="1">
      <c r="O44858" s="5" t="s">
        <v>355</v>
      </c>
      <c r="P44858" s="5" t="s">
        <v>355</v>
      </c>
      <c r="Q44858" s="5" t="s">
        <v>355</v>
      </c>
    </row>
    <row r="44859" ht="16.5" customHeight="1">
      <c r="O44859" s="5" t="s">
        <v>355</v>
      </c>
      <c r="P44859" s="5" t="s">
        <v>355</v>
      </c>
      <c r="Q44859" s="5" t="s">
        <v>355</v>
      </c>
    </row>
    <row r="44860" ht="16.5" customHeight="1">
      <c r="O44860" s="5" t="s">
        <v>355</v>
      </c>
      <c r="P44860" s="5" t="s">
        <v>355</v>
      </c>
      <c r="Q44860" s="5" t="s">
        <v>355</v>
      </c>
    </row>
    <row r="44861" ht="16.5" customHeight="1">
      <c r="O44861" s="5" t="s">
        <v>355</v>
      </c>
      <c r="P44861" s="5" t="s">
        <v>355</v>
      </c>
      <c r="Q44861" s="5" t="s">
        <v>355</v>
      </c>
    </row>
    <row r="44862" ht="16.5" customHeight="1">
      <c r="O44862" s="5" t="s">
        <v>355</v>
      </c>
      <c r="P44862" s="5" t="s">
        <v>355</v>
      </c>
      <c r="Q44862" s="5" t="s">
        <v>355</v>
      </c>
    </row>
    <row r="44863" ht="16.5" customHeight="1">
      <c r="O44863" s="5" t="s">
        <v>355</v>
      </c>
      <c r="P44863" s="5" t="s">
        <v>355</v>
      </c>
      <c r="Q44863" s="5" t="s">
        <v>355</v>
      </c>
    </row>
    <row r="44864" ht="16.5" customHeight="1">
      <c r="O44864" s="5" t="s">
        <v>355</v>
      </c>
      <c r="P44864" s="5" t="s">
        <v>355</v>
      </c>
      <c r="Q44864" s="5" t="s">
        <v>355</v>
      </c>
    </row>
    <row r="44865" ht="16.5" customHeight="1">
      <c r="O44865" s="5" t="s">
        <v>355</v>
      </c>
      <c r="P44865" s="5" t="s">
        <v>355</v>
      </c>
      <c r="Q44865" s="5" t="s">
        <v>355</v>
      </c>
    </row>
    <row r="44866" ht="16.5" customHeight="1">
      <c r="O44866" s="5" t="s">
        <v>355</v>
      </c>
      <c r="P44866" s="5" t="s">
        <v>355</v>
      </c>
      <c r="Q44866" s="5" t="s">
        <v>355</v>
      </c>
    </row>
    <row r="44867" ht="16.5" customHeight="1">
      <c r="O44867" s="5" t="s">
        <v>355</v>
      </c>
      <c r="P44867" s="5" t="s">
        <v>355</v>
      </c>
      <c r="Q44867" s="5" t="s">
        <v>355</v>
      </c>
    </row>
    <row r="44868" ht="16.5" customHeight="1">
      <c r="O44868" s="5" t="s">
        <v>355</v>
      </c>
      <c r="P44868" s="5" t="s">
        <v>355</v>
      </c>
      <c r="Q44868" s="5" t="s">
        <v>355</v>
      </c>
    </row>
    <row r="44869" ht="16.5" customHeight="1">
      <c r="O44869" s="5" t="s">
        <v>355</v>
      </c>
      <c r="P44869" s="5" t="s">
        <v>355</v>
      </c>
      <c r="Q44869" s="5" t="s">
        <v>355</v>
      </c>
    </row>
    <row r="44870" ht="16.5" customHeight="1">
      <c r="O44870" s="5" t="s">
        <v>355</v>
      </c>
      <c r="P44870" s="5" t="s">
        <v>355</v>
      </c>
      <c r="Q44870" s="5" t="s">
        <v>355</v>
      </c>
    </row>
    <row r="44871" ht="16.5" customHeight="1">
      <c r="O44871" s="5" t="s">
        <v>355</v>
      </c>
      <c r="P44871" s="5" t="s">
        <v>355</v>
      </c>
      <c r="Q44871" s="5" t="s">
        <v>355</v>
      </c>
    </row>
    <row r="44872" ht="16.5" customHeight="1">
      <c r="O44872" s="5" t="s">
        <v>355</v>
      </c>
      <c r="P44872" s="5" t="s">
        <v>355</v>
      </c>
      <c r="Q44872" s="5" t="s">
        <v>355</v>
      </c>
    </row>
    <row r="44873" ht="16.5" customHeight="1">
      <c r="O44873" s="5" t="s">
        <v>355</v>
      </c>
      <c r="P44873" s="5" t="s">
        <v>355</v>
      </c>
      <c r="Q44873" s="5" t="s">
        <v>355</v>
      </c>
    </row>
    <row r="44874" ht="16.5" customHeight="1">
      <c r="O44874" s="5" t="s">
        <v>355</v>
      </c>
      <c r="P44874" s="5" t="s">
        <v>355</v>
      </c>
      <c r="Q44874" s="5" t="s">
        <v>355</v>
      </c>
    </row>
    <row r="44875" ht="16.5" customHeight="1">
      <c r="O44875" s="5" t="s">
        <v>355</v>
      </c>
      <c r="P44875" s="5" t="s">
        <v>355</v>
      </c>
      <c r="Q44875" s="5" t="s">
        <v>355</v>
      </c>
    </row>
    <row r="44876" ht="16.5" customHeight="1">
      <c r="O44876" s="5" t="s">
        <v>355</v>
      </c>
      <c r="P44876" s="5" t="s">
        <v>355</v>
      </c>
      <c r="Q44876" s="5" t="s">
        <v>355</v>
      </c>
    </row>
    <row r="44877" ht="16.5" customHeight="1">
      <c r="O44877" s="5" t="s">
        <v>355</v>
      </c>
      <c r="P44877" s="5" t="s">
        <v>355</v>
      </c>
      <c r="Q44877" s="5" t="s">
        <v>355</v>
      </c>
    </row>
    <row r="44878" ht="16.5" customHeight="1">
      <c r="O44878" s="5" t="s">
        <v>355</v>
      </c>
      <c r="P44878" s="5" t="s">
        <v>355</v>
      </c>
      <c r="Q44878" s="5" t="s">
        <v>355</v>
      </c>
    </row>
    <row r="44879" ht="16.5" customHeight="1">
      <c r="O44879" s="5" t="s">
        <v>355</v>
      </c>
      <c r="P44879" s="5" t="s">
        <v>355</v>
      </c>
      <c r="Q44879" s="5" t="s">
        <v>355</v>
      </c>
    </row>
    <row r="44880" ht="16.5" customHeight="1">
      <c r="O44880" s="5" t="s">
        <v>355</v>
      </c>
      <c r="P44880" s="5" t="s">
        <v>355</v>
      </c>
      <c r="Q44880" s="5" t="s">
        <v>355</v>
      </c>
    </row>
    <row r="44881" ht="16.5" customHeight="1">
      <c r="O44881" s="5" t="s">
        <v>355</v>
      </c>
      <c r="P44881" s="5" t="s">
        <v>355</v>
      </c>
      <c r="Q44881" s="5" t="s">
        <v>355</v>
      </c>
    </row>
    <row r="44882" ht="16.5" customHeight="1">
      <c r="O44882" s="5" t="s">
        <v>355</v>
      </c>
      <c r="P44882" s="5" t="s">
        <v>355</v>
      </c>
      <c r="Q44882" s="5" t="s">
        <v>355</v>
      </c>
    </row>
    <row r="44883" ht="16.5" customHeight="1">
      <c r="O44883" s="5" t="s">
        <v>355</v>
      </c>
      <c r="P44883" s="5" t="s">
        <v>355</v>
      </c>
      <c r="Q44883" s="5" t="s">
        <v>355</v>
      </c>
    </row>
    <row r="44884" ht="16.5" customHeight="1">
      <c r="O44884" s="5" t="s">
        <v>355</v>
      </c>
      <c r="P44884" s="5" t="s">
        <v>355</v>
      </c>
      <c r="Q44884" s="5" t="s">
        <v>355</v>
      </c>
    </row>
    <row r="44885" ht="16.5" customHeight="1">
      <c r="O44885" s="5" t="s">
        <v>355</v>
      </c>
      <c r="P44885" s="5" t="s">
        <v>355</v>
      </c>
      <c r="Q44885" s="5" t="s">
        <v>355</v>
      </c>
    </row>
    <row r="44886" ht="16.5" customHeight="1">
      <c r="O44886" s="5" t="s">
        <v>355</v>
      </c>
      <c r="P44886" s="5" t="s">
        <v>355</v>
      </c>
      <c r="Q44886" s="5" t="s">
        <v>355</v>
      </c>
    </row>
    <row r="44887" ht="16.5" customHeight="1">
      <c r="O44887" s="5" t="s">
        <v>355</v>
      </c>
      <c r="P44887" s="5" t="s">
        <v>355</v>
      </c>
      <c r="Q44887" s="5" t="s">
        <v>355</v>
      </c>
    </row>
    <row r="44888" ht="16.5" customHeight="1">
      <c r="O44888" s="5" t="s">
        <v>355</v>
      </c>
      <c r="P44888" s="5" t="s">
        <v>355</v>
      </c>
      <c r="Q44888" s="5" t="s">
        <v>355</v>
      </c>
    </row>
    <row r="44889" ht="16.5" customHeight="1">
      <c r="O44889" s="5" t="s">
        <v>355</v>
      </c>
      <c r="P44889" s="5" t="s">
        <v>355</v>
      </c>
      <c r="Q44889" s="5" t="s">
        <v>355</v>
      </c>
    </row>
    <row r="44890" ht="16.5" customHeight="1">
      <c r="O44890" s="5" t="s">
        <v>355</v>
      </c>
      <c r="P44890" s="5" t="s">
        <v>355</v>
      </c>
      <c r="Q44890" s="5" t="s">
        <v>355</v>
      </c>
    </row>
    <row r="44891" ht="16.5" customHeight="1">
      <c r="O44891" s="5" t="s">
        <v>355</v>
      </c>
      <c r="P44891" s="5" t="s">
        <v>355</v>
      </c>
      <c r="Q44891" s="5" t="s">
        <v>355</v>
      </c>
    </row>
    <row r="44892" ht="16.5" customHeight="1">
      <c r="O44892" s="5" t="s">
        <v>355</v>
      </c>
      <c r="P44892" s="5" t="s">
        <v>355</v>
      </c>
      <c r="Q44892" s="5" t="s">
        <v>355</v>
      </c>
    </row>
    <row r="44893" ht="16.5" customHeight="1">
      <c r="O44893" s="5" t="s">
        <v>355</v>
      </c>
      <c r="P44893" s="5" t="s">
        <v>355</v>
      </c>
      <c r="Q44893" s="5" t="s">
        <v>355</v>
      </c>
    </row>
    <row r="44894" ht="16.5" customHeight="1">
      <c r="O44894" s="5" t="s">
        <v>355</v>
      </c>
      <c r="P44894" s="5" t="s">
        <v>355</v>
      </c>
      <c r="Q44894" s="5" t="s">
        <v>355</v>
      </c>
    </row>
    <row r="44895" ht="16.5" customHeight="1">
      <c r="O44895" s="5" t="s">
        <v>355</v>
      </c>
      <c r="P44895" s="5" t="s">
        <v>355</v>
      </c>
      <c r="Q44895" s="5" t="s">
        <v>355</v>
      </c>
    </row>
    <row r="44896" ht="16.5" customHeight="1">
      <c r="O44896" s="5" t="s">
        <v>355</v>
      </c>
      <c r="P44896" s="5" t="s">
        <v>355</v>
      </c>
      <c r="Q44896" s="5" t="s">
        <v>355</v>
      </c>
    </row>
    <row r="44897" ht="16.5" customHeight="1">
      <c r="O44897" s="5" t="s">
        <v>355</v>
      </c>
      <c r="P44897" s="5" t="s">
        <v>355</v>
      </c>
      <c r="Q44897" s="5" t="s">
        <v>355</v>
      </c>
    </row>
    <row r="44898" ht="16.5" customHeight="1">
      <c r="O44898" s="5" t="s">
        <v>355</v>
      </c>
      <c r="P44898" s="5" t="s">
        <v>355</v>
      </c>
      <c r="Q44898" s="5" t="s">
        <v>355</v>
      </c>
    </row>
    <row r="44899" ht="16.5" customHeight="1">
      <c r="O44899" s="5" t="s">
        <v>355</v>
      </c>
      <c r="P44899" s="5" t="s">
        <v>355</v>
      </c>
      <c r="Q44899" s="5" t="s">
        <v>355</v>
      </c>
    </row>
    <row r="44900" ht="16.5" customHeight="1">
      <c r="O44900" s="5" t="s">
        <v>355</v>
      </c>
      <c r="P44900" s="5" t="s">
        <v>355</v>
      </c>
      <c r="Q44900" s="5" t="s">
        <v>355</v>
      </c>
    </row>
    <row r="44901" ht="16.5" customHeight="1">
      <c r="O44901" s="5" t="s">
        <v>355</v>
      </c>
      <c r="P44901" s="5" t="s">
        <v>355</v>
      </c>
      <c r="Q44901" s="5" t="s">
        <v>355</v>
      </c>
    </row>
    <row r="44902" ht="16.5" customHeight="1">
      <c r="O44902" s="5" t="s">
        <v>355</v>
      </c>
      <c r="P44902" s="5" t="s">
        <v>355</v>
      </c>
      <c r="Q44902" s="5" t="s">
        <v>355</v>
      </c>
    </row>
    <row r="44903" ht="16.5" customHeight="1">
      <c r="O44903" s="5" t="s">
        <v>355</v>
      </c>
      <c r="P44903" s="5" t="s">
        <v>355</v>
      </c>
      <c r="Q44903" s="5" t="s">
        <v>355</v>
      </c>
    </row>
    <row r="44904" ht="16.5" customHeight="1">
      <c r="O44904" s="5" t="s">
        <v>355</v>
      </c>
      <c r="P44904" s="5" t="s">
        <v>355</v>
      </c>
      <c r="Q44904" s="5" t="s">
        <v>355</v>
      </c>
    </row>
    <row r="44905" ht="16.5" customHeight="1">
      <c r="O44905" s="5" t="s">
        <v>355</v>
      </c>
      <c r="P44905" s="5" t="s">
        <v>355</v>
      </c>
      <c r="Q44905" s="5" t="s">
        <v>355</v>
      </c>
    </row>
    <row r="44906" ht="16.5" customHeight="1">
      <c r="O44906" s="5" t="s">
        <v>355</v>
      </c>
      <c r="P44906" s="5" t="s">
        <v>355</v>
      </c>
      <c r="Q44906" s="5" t="s">
        <v>355</v>
      </c>
    </row>
    <row r="44907" ht="16.5" customHeight="1">
      <c r="O44907" s="5" t="s">
        <v>355</v>
      </c>
      <c r="P44907" s="5" t="s">
        <v>355</v>
      </c>
      <c r="Q44907" s="5" t="s">
        <v>355</v>
      </c>
    </row>
    <row r="44908" ht="16.5" customHeight="1">
      <c r="O44908" s="5" t="s">
        <v>355</v>
      </c>
      <c r="P44908" s="5" t="s">
        <v>355</v>
      </c>
      <c r="Q44908" s="5" t="s">
        <v>355</v>
      </c>
    </row>
    <row r="44909" ht="16.5" customHeight="1">
      <c r="O44909" s="5" t="s">
        <v>355</v>
      </c>
      <c r="P44909" s="5" t="s">
        <v>355</v>
      </c>
      <c r="Q44909" s="5" t="s">
        <v>355</v>
      </c>
    </row>
    <row r="44910" ht="16.5" customHeight="1">
      <c r="O44910" s="5" t="s">
        <v>355</v>
      </c>
      <c r="P44910" s="5" t="s">
        <v>355</v>
      </c>
      <c r="Q44910" s="5" t="s">
        <v>355</v>
      </c>
    </row>
    <row r="44911" ht="16.5" customHeight="1">
      <c r="O44911" s="5" t="s">
        <v>355</v>
      </c>
      <c r="P44911" s="5" t="s">
        <v>355</v>
      </c>
      <c r="Q44911" s="5" t="s">
        <v>355</v>
      </c>
    </row>
    <row r="44912" ht="16.5" customHeight="1">
      <c r="O44912" s="5" t="s">
        <v>355</v>
      </c>
      <c r="P44912" s="5" t="s">
        <v>355</v>
      </c>
      <c r="Q44912" s="5" t="s">
        <v>355</v>
      </c>
    </row>
    <row r="44913" ht="16.5" customHeight="1">
      <c r="O44913" s="5" t="s">
        <v>355</v>
      </c>
      <c r="P44913" s="5" t="s">
        <v>355</v>
      </c>
      <c r="Q44913" s="5" t="s">
        <v>355</v>
      </c>
    </row>
    <row r="44914" ht="16.5" customHeight="1">
      <c r="O44914" s="5" t="s">
        <v>355</v>
      </c>
      <c r="P44914" s="5" t="s">
        <v>355</v>
      </c>
      <c r="Q44914" s="5" t="s">
        <v>355</v>
      </c>
    </row>
    <row r="44915" ht="16.5" customHeight="1">
      <c r="O44915" s="5" t="s">
        <v>355</v>
      </c>
      <c r="P44915" s="5" t="s">
        <v>355</v>
      </c>
      <c r="Q44915" s="5" t="s">
        <v>355</v>
      </c>
    </row>
    <row r="44916" ht="16.5" customHeight="1">
      <c r="O44916" s="5" t="s">
        <v>355</v>
      </c>
      <c r="P44916" s="5" t="s">
        <v>355</v>
      </c>
      <c r="Q44916" s="5" t="s">
        <v>355</v>
      </c>
    </row>
    <row r="44917" ht="16.5" customHeight="1">
      <c r="O44917" s="5" t="s">
        <v>355</v>
      </c>
      <c r="P44917" s="5" t="s">
        <v>355</v>
      </c>
      <c r="Q44917" s="5" t="s">
        <v>355</v>
      </c>
    </row>
    <row r="44918" ht="16.5" customHeight="1">
      <c r="O44918" s="5" t="s">
        <v>355</v>
      </c>
      <c r="P44918" s="5" t="s">
        <v>355</v>
      </c>
      <c r="Q44918" s="5" t="s">
        <v>355</v>
      </c>
    </row>
    <row r="44919" ht="16.5" customHeight="1">
      <c r="O44919" s="5" t="s">
        <v>355</v>
      </c>
      <c r="P44919" s="5" t="s">
        <v>355</v>
      </c>
      <c r="Q44919" s="5" t="s">
        <v>355</v>
      </c>
    </row>
    <row r="44920" ht="16.5" customHeight="1">
      <c r="O44920" s="5" t="s">
        <v>355</v>
      </c>
      <c r="P44920" s="5" t="s">
        <v>355</v>
      </c>
      <c r="Q44920" s="5" t="s">
        <v>355</v>
      </c>
    </row>
    <row r="44921" ht="16.5" customHeight="1">
      <c r="O44921" s="5" t="s">
        <v>355</v>
      </c>
      <c r="P44921" s="5" t="s">
        <v>355</v>
      </c>
      <c r="Q44921" s="5" t="s">
        <v>355</v>
      </c>
    </row>
    <row r="44922" ht="16.5" customHeight="1">
      <c r="O44922" s="5" t="s">
        <v>355</v>
      </c>
      <c r="P44922" s="5" t="s">
        <v>355</v>
      </c>
      <c r="Q44922" s="5" t="s">
        <v>355</v>
      </c>
    </row>
    <row r="44923" ht="16.5" customHeight="1">
      <c r="O44923" s="5" t="s">
        <v>355</v>
      </c>
      <c r="P44923" s="5" t="s">
        <v>355</v>
      </c>
      <c r="Q44923" s="5" t="s">
        <v>355</v>
      </c>
    </row>
    <row r="44924" ht="16.5" customHeight="1">
      <c r="O44924" s="5" t="s">
        <v>355</v>
      </c>
      <c r="P44924" s="5" t="s">
        <v>355</v>
      </c>
      <c r="Q44924" s="5" t="s">
        <v>355</v>
      </c>
    </row>
    <row r="44925" ht="16.5" customHeight="1">
      <c r="O44925" s="5" t="s">
        <v>355</v>
      </c>
      <c r="P44925" s="5" t="s">
        <v>355</v>
      </c>
      <c r="Q44925" s="5" t="s">
        <v>355</v>
      </c>
    </row>
    <row r="44926" ht="16.5" customHeight="1">
      <c r="O44926" s="5" t="s">
        <v>355</v>
      </c>
      <c r="P44926" s="5" t="s">
        <v>355</v>
      </c>
      <c r="Q44926" s="5" t="s">
        <v>355</v>
      </c>
    </row>
    <row r="44927" ht="16.5" customHeight="1">
      <c r="O44927" s="5" t="s">
        <v>355</v>
      </c>
      <c r="P44927" s="5" t="s">
        <v>355</v>
      </c>
      <c r="Q44927" s="5" t="s">
        <v>355</v>
      </c>
    </row>
    <row r="44928" ht="16.5" customHeight="1">
      <c r="O44928" s="5" t="s">
        <v>355</v>
      </c>
      <c r="P44928" s="5" t="s">
        <v>355</v>
      </c>
      <c r="Q44928" s="5" t="s">
        <v>355</v>
      </c>
    </row>
    <row r="44929" ht="16.5" customHeight="1">
      <c r="O44929" s="5" t="s">
        <v>355</v>
      </c>
      <c r="P44929" s="5" t="s">
        <v>355</v>
      </c>
      <c r="Q44929" s="5" t="s">
        <v>355</v>
      </c>
    </row>
    <row r="44930" ht="16.5" customHeight="1">
      <c r="O44930" s="5" t="s">
        <v>355</v>
      </c>
      <c r="P44930" s="5" t="s">
        <v>355</v>
      </c>
      <c r="Q44930" s="5" t="s">
        <v>355</v>
      </c>
    </row>
    <row r="44931" ht="16.5" customHeight="1">
      <c r="O44931" s="5" t="s">
        <v>355</v>
      </c>
      <c r="P44931" s="5" t="s">
        <v>355</v>
      </c>
      <c r="Q44931" s="5" t="s">
        <v>355</v>
      </c>
    </row>
    <row r="44932" ht="16.5" customHeight="1">
      <c r="O44932" s="5" t="s">
        <v>355</v>
      </c>
      <c r="P44932" s="5" t="s">
        <v>355</v>
      </c>
      <c r="Q44932" s="5" t="s">
        <v>355</v>
      </c>
    </row>
    <row r="44933" ht="16.5" customHeight="1">
      <c r="O44933" s="5" t="s">
        <v>355</v>
      </c>
      <c r="P44933" s="5" t="s">
        <v>355</v>
      </c>
      <c r="Q44933" s="5" t="s">
        <v>355</v>
      </c>
    </row>
    <row r="44934" ht="16.5" customHeight="1">
      <c r="O44934" s="5" t="s">
        <v>355</v>
      </c>
      <c r="P44934" s="5" t="s">
        <v>355</v>
      </c>
      <c r="Q44934" s="5" t="s">
        <v>355</v>
      </c>
    </row>
    <row r="44935" ht="16.5" customHeight="1">
      <c r="O44935" s="5" t="s">
        <v>355</v>
      </c>
      <c r="P44935" s="5" t="s">
        <v>355</v>
      </c>
      <c r="Q44935" s="5" t="s">
        <v>355</v>
      </c>
    </row>
    <row r="44936" ht="16.5" customHeight="1">
      <c r="O44936" s="5" t="s">
        <v>355</v>
      </c>
      <c r="P44936" s="5" t="s">
        <v>355</v>
      </c>
      <c r="Q44936" s="5" t="s">
        <v>355</v>
      </c>
    </row>
    <row r="44937" ht="16.5" customHeight="1">
      <c r="O44937" s="5" t="s">
        <v>355</v>
      </c>
      <c r="P44937" s="5" t="s">
        <v>355</v>
      </c>
      <c r="Q44937" s="5" t="s">
        <v>355</v>
      </c>
    </row>
    <row r="44938" ht="16.5" customHeight="1">
      <c r="O44938" s="5" t="s">
        <v>355</v>
      </c>
      <c r="P44938" s="5" t="s">
        <v>355</v>
      </c>
      <c r="Q44938" s="5" t="s">
        <v>355</v>
      </c>
    </row>
    <row r="44939" ht="16.5" customHeight="1">
      <c r="O44939" s="5" t="s">
        <v>355</v>
      </c>
      <c r="P44939" s="5" t="s">
        <v>355</v>
      </c>
      <c r="Q44939" s="5" t="s">
        <v>355</v>
      </c>
    </row>
    <row r="44940" ht="16.5" customHeight="1">
      <c r="O44940" s="5" t="s">
        <v>355</v>
      </c>
      <c r="P44940" s="5" t="s">
        <v>355</v>
      </c>
      <c r="Q44940" s="5" t="s">
        <v>355</v>
      </c>
    </row>
    <row r="44941" ht="16.5" customHeight="1">
      <c r="O44941" s="5" t="s">
        <v>355</v>
      </c>
      <c r="P44941" s="5" t="s">
        <v>355</v>
      </c>
      <c r="Q44941" s="5" t="s">
        <v>355</v>
      </c>
    </row>
    <row r="44942" ht="16.5" customHeight="1">
      <c r="O44942" s="5" t="s">
        <v>355</v>
      </c>
      <c r="P44942" s="5" t="s">
        <v>355</v>
      </c>
      <c r="Q44942" s="5" t="s">
        <v>355</v>
      </c>
    </row>
    <row r="44943" ht="16.5" customHeight="1">
      <c r="O44943" s="5" t="s">
        <v>355</v>
      </c>
      <c r="P44943" s="5" t="s">
        <v>355</v>
      </c>
      <c r="Q44943" s="5" t="s">
        <v>355</v>
      </c>
    </row>
    <row r="44944" ht="16.5" customHeight="1">
      <c r="O44944" s="5" t="s">
        <v>355</v>
      </c>
      <c r="P44944" s="5" t="s">
        <v>355</v>
      </c>
      <c r="Q44944" s="5" t="s">
        <v>355</v>
      </c>
    </row>
    <row r="44945" ht="16.5" customHeight="1">
      <c r="O44945" s="5" t="s">
        <v>355</v>
      </c>
      <c r="P44945" s="5" t="s">
        <v>355</v>
      </c>
      <c r="Q44945" s="5" t="s">
        <v>355</v>
      </c>
    </row>
    <row r="44946" ht="16.5" customHeight="1">
      <c r="O44946" s="5" t="s">
        <v>355</v>
      </c>
      <c r="P44946" s="5" t="s">
        <v>355</v>
      </c>
      <c r="Q44946" s="5" t="s">
        <v>355</v>
      </c>
    </row>
    <row r="44947" ht="16.5" customHeight="1">
      <c r="O44947" s="5" t="s">
        <v>355</v>
      </c>
      <c r="P44947" s="5" t="s">
        <v>355</v>
      </c>
      <c r="Q44947" s="5" t="s">
        <v>355</v>
      </c>
    </row>
    <row r="44948" ht="16.5" customHeight="1">
      <c r="O44948" s="5" t="s">
        <v>355</v>
      </c>
      <c r="P44948" s="5" t="s">
        <v>355</v>
      </c>
      <c r="Q44948" s="5" t="s">
        <v>355</v>
      </c>
    </row>
    <row r="44949" ht="16.5" customHeight="1">
      <c r="O44949" s="5" t="s">
        <v>355</v>
      </c>
      <c r="P44949" s="5" t="s">
        <v>355</v>
      </c>
      <c r="Q44949" s="5" t="s">
        <v>355</v>
      </c>
    </row>
    <row r="44950" ht="16.5" customHeight="1">
      <c r="O44950" s="5" t="s">
        <v>355</v>
      </c>
      <c r="P44950" s="5" t="s">
        <v>355</v>
      </c>
      <c r="Q44950" s="5" t="s">
        <v>355</v>
      </c>
    </row>
    <row r="44951" ht="16.5" customHeight="1">
      <c r="O44951" s="5" t="s">
        <v>355</v>
      </c>
      <c r="P44951" s="5" t="s">
        <v>355</v>
      </c>
      <c r="Q44951" s="5" t="s">
        <v>355</v>
      </c>
    </row>
    <row r="44952" ht="16.5" customHeight="1">
      <c r="O44952" s="5" t="s">
        <v>355</v>
      </c>
      <c r="P44952" s="5" t="s">
        <v>355</v>
      </c>
      <c r="Q44952" s="5" t="s">
        <v>355</v>
      </c>
    </row>
    <row r="44953" ht="16.5" customHeight="1">
      <c r="O44953" s="5" t="s">
        <v>355</v>
      </c>
      <c r="P44953" s="5" t="s">
        <v>355</v>
      </c>
      <c r="Q44953" s="5" t="s">
        <v>355</v>
      </c>
    </row>
    <row r="44954" ht="16.5" customHeight="1">
      <c r="O44954" s="5" t="s">
        <v>355</v>
      </c>
      <c r="P44954" s="5" t="s">
        <v>355</v>
      </c>
      <c r="Q44954" s="5" t="s">
        <v>355</v>
      </c>
    </row>
    <row r="44955" ht="16.5" customHeight="1">
      <c r="O44955" s="5" t="s">
        <v>355</v>
      </c>
      <c r="P44955" s="5" t="s">
        <v>355</v>
      </c>
      <c r="Q44955" s="5" t="s">
        <v>355</v>
      </c>
    </row>
    <row r="44956" ht="16.5" customHeight="1">
      <c r="O44956" s="5" t="s">
        <v>355</v>
      </c>
      <c r="P44956" s="5" t="s">
        <v>355</v>
      </c>
      <c r="Q44956" s="5" t="s">
        <v>355</v>
      </c>
    </row>
    <row r="44957" ht="16.5" customHeight="1">
      <c r="O44957" s="5" t="s">
        <v>355</v>
      </c>
      <c r="P44957" s="5" t="s">
        <v>355</v>
      </c>
      <c r="Q44957" s="5" t="s">
        <v>355</v>
      </c>
    </row>
    <row r="44958" ht="16.5" customHeight="1">
      <c r="O44958" s="5" t="s">
        <v>355</v>
      </c>
      <c r="P44958" s="5" t="s">
        <v>355</v>
      </c>
      <c r="Q44958" s="5" t="s">
        <v>355</v>
      </c>
    </row>
    <row r="44959" ht="16.5" customHeight="1">
      <c r="O44959" s="5" t="s">
        <v>355</v>
      </c>
      <c r="P44959" s="5" t="s">
        <v>355</v>
      </c>
      <c r="Q44959" s="5" t="s">
        <v>355</v>
      </c>
    </row>
    <row r="44960" ht="16.5" customHeight="1">
      <c r="O44960" s="5" t="s">
        <v>355</v>
      </c>
      <c r="P44960" s="5" t="s">
        <v>355</v>
      </c>
      <c r="Q44960" s="5" t="s">
        <v>355</v>
      </c>
    </row>
    <row r="44961" ht="16.5" customHeight="1">
      <c r="O44961" s="5" t="s">
        <v>355</v>
      </c>
      <c r="P44961" s="5" t="s">
        <v>355</v>
      </c>
      <c r="Q44961" s="5" t="s">
        <v>355</v>
      </c>
    </row>
    <row r="44962" ht="16.5" customHeight="1">
      <c r="O44962" s="5" t="s">
        <v>355</v>
      </c>
      <c r="P44962" s="5" t="s">
        <v>355</v>
      </c>
      <c r="Q44962" s="5" t="s">
        <v>355</v>
      </c>
    </row>
    <row r="44963" ht="16.5" customHeight="1">
      <c r="O44963" s="5" t="s">
        <v>355</v>
      </c>
      <c r="P44963" s="5" t="s">
        <v>355</v>
      </c>
      <c r="Q44963" s="5" t="s">
        <v>355</v>
      </c>
    </row>
    <row r="44964" ht="16.5" customHeight="1">
      <c r="O44964" s="5" t="s">
        <v>355</v>
      </c>
      <c r="P44964" s="5" t="s">
        <v>355</v>
      </c>
      <c r="Q44964" s="5" t="s">
        <v>355</v>
      </c>
    </row>
    <row r="44965" ht="16.5" customHeight="1">
      <c r="O44965" s="5" t="s">
        <v>355</v>
      </c>
      <c r="P44965" s="5" t="s">
        <v>355</v>
      </c>
      <c r="Q44965" s="5" t="s">
        <v>355</v>
      </c>
    </row>
    <row r="44966" ht="16.5" customHeight="1">
      <c r="O44966" s="5" t="s">
        <v>355</v>
      </c>
      <c r="P44966" s="5" t="s">
        <v>355</v>
      </c>
      <c r="Q44966" s="5" t="s">
        <v>355</v>
      </c>
    </row>
    <row r="44967" ht="16.5" customHeight="1">
      <c r="O44967" s="5" t="s">
        <v>355</v>
      </c>
      <c r="P44967" s="5" t="s">
        <v>355</v>
      </c>
      <c r="Q44967" s="5" t="s">
        <v>355</v>
      </c>
    </row>
    <row r="44968" ht="16.5" customHeight="1">
      <c r="O44968" s="5" t="s">
        <v>355</v>
      </c>
      <c r="P44968" s="5" t="s">
        <v>355</v>
      </c>
      <c r="Q44968" s="5" t="s">
        <v>355</v>
      </c>
    </row>
    <row r="44969" ht="16.5" customHeight="1">
      <c r="O44969" s="5" t="s">
        <v>355</v>
      </c>
      <c r="P44969" s="5" t="s">
        <v>355</v>
      </c>
      <c r="Q44969" s="5" t="s">
        <v>355</v>
      </c>
    </row>
    <row r="44970" ht="16.5" customHeight="1">
      <c r="O44970" s="5" t="s">
        <v>355</v>
      </c>
      <c r="P44970" s="5" t="s">
        <v>355</v>
      </c>
      <c r="Q44970" s="5" t="s">
        <v>355</v>
      </c>
    </row>
    <row r="44971" ht="16.5" customHeight="1">
      <c r="O44971" s="5" t="s">
        <v>355</v>
      </c>
      <c r="P44971" s="5" t="s">
        <v>355</v>
      </c>
      <c r="Q44971" s="5" t="s">
        <v>355</v>
      </c>
    </row>
    <row r="44972" ht="16.5" customHeight="1">
      <c r="O44972" s="5" t="s">
        <v>355</v>
      </c>
      <c r="P44972" s="5" t="s">
        <v>355</v>
      </c>
      <c r="Q44972" s="5" t="s">
        <v>355</v>
      </c>
    </row>
    <row r="44973" ht="16.5" customHeight="1">
      <c r="O44973" s="5" t="s">
        <v>355</v>
      </c>
      <c r="P44973" s="5" t="s">
        <v>355</v>
      </c>
      <c r="Q44973" s="5" t="s">
        <v>355</v>
      </c>
    </row>
    <row r="44974" ht="16.5" customHeight="1">
      <c r="O44974" s="5" t="s">
        <v>355</v>
      </c>
      <c r="P44974" s="5" t="s">
        <v>355</v>
      </c>
      <c r="Q44974" s="5" t="s">
        <v>355</v>
      </c>
    </row>
    <row r="44975" ht="16.5" customHeight="1">
      <c r="O44975" s="5" t="s">
        <v>355</v>
      </c>
      <c r="P44975" s="5" t="s">
        <v>355</v>
      </c>
      <c r="Q44975" s="5" t="s">
        <v>355</v>
      </c>
    </row>
    <row r="44976" ht="16.5" customHeight="1">
      <c r="O44976" s="5" t="s">
        <v>355</v>
      </c>
      <c r="P44976" s="5" t="s">
        <v>355</v>
      </c>
      <c r="Q44976" s="5" t="s">
        <v>355</v>
      </c>
    </row>
    <row r="44977" ht="16.5" customHeight="1">
      <c r="O44977" s="5" t="s">
        <v>355</v>
      </c>
      <c r="P44977" s="5" t="s">
        <v>355</v>
      </c>
      <c r="Q44977" s="5" t="s">
        <v>355</v>
      </c>
    </row>
    <row r="44978" ht="16.5" customHeight="1">
      <c r="O44978" s="5" t="s">
        <v>355</v>
      </c>
      <c r="P44978" s="5" t="s">
        <v>355</v>
      </c>
      <c r="Q44978" s="5" t="s">
        <v>355</v>
      </c>
    </row>
    <row r="44979" ht="16.5" customHeight="1">
      <c r="O44979" s="5" t="s">
        <v>355</v>
      </c>
      <c r="P44979" s="5" t="s">
        <v>355</v>
      </c>
      <c r="Q44979" s="5" t="s">
        <v>355</v>
      </c>
    </row>
    <row r="44980" ht="16.5" customHeight="1">
      <c r="O44980" s="5" t="s">
        <v>355</v>
      </c>
      <c r="P44980" s="5" t="s">
        <v>355</v>
      </c>
      <c r="Q44980" s="5" t="s">
        <v>355</v>
      </c>
    </row>
    <row r="44981" ht="16.5" customHeight="1">
      <c r="O44981" s="5" t="s">
        <v>355</v>
      </c>
      <c r="P44981" s="5" t="s">
        <v>355</v>
      </c>
      <c r="Q44981" s="5" t="s">
        <v>355</v>
      </c>
    </row>
    <row r="44982" ht="16.5" customHeight="1">
      <c r="O44982" s="5" t="s">
        <v>355</v>
      </c>
      <c r="P44982" s="5" t="s">
        <v>355</v>
      </c>
      <c r="Q44982" s="5" t="s">
        <v>355</v>
      </c>
    </row>
    <row r="44983" ht="16.5" customHeight="1">
      <c r="O44983" s="5" t="s">
        <v>355</v>
      </c>
      <c r="P44983" s="5" t="s">
        <v>355</v>
      </c>
      <c r="Q44983" s="5" t="s">
        <v>355</v>
      </c>
    </row>
    <row r="44984" ht="16.5" customHeight="1">
      <c r="O44984" s="5" t="s">
        <v>355</v>
      </c>
      <c r="P44984" s="5" t="s">
        <v>355</v>
      </c>
      <c r="Q44984" s="5" t="s">
        <v>355</v>
      </c>
    </row>
    <row r="44985" ht="16.5" customHeight="1">
      <c r="O44985" s="5" t="s">
        <v>355</v>
      </c>
      <c r="P44985" s="5" t="s">
        <v>355</v>
      </c>
      <c r="Q44985" s="5" t="s">
        <v>355</v>
      </c>
    </row>
    <row r="44986" ht="16.5" customHeight="1">
      <c r="O44986" s="5" t="s">
        <v>355</v>
      </c>
      <c r="P44986" s="5" t="s">
        <v>355</v>
      </c>
      <c r="Q44986" s="5" t="s">
        <v>355</v>
      </c>
    </row>
    <row r="44987" ht="16.5" customHeight="1">
      <c r="O44987" s="5" t="s">
        <v>355</v>
      </c>
      <c r="P44987" s="5" t="s">
        <v>355</v>
      </c>
      <c r="Q44987" s="5" t="s">
        <v>355</v>
      </c>
    </row>
    <row r="44988" ht="16.5" customHeight="1">
      <c r="O44988" s="5" t="s">
        <v>355</v>
      </c>
      <c r="P44988" s="5" t="s">
        <v>355</v>
      </c>
      <c r="Q44988" s="5" t="s">
        <v>355</v>
      </c>
    </row>
    <row r="44989" ht="16.5" customHeight="1">
      <c r="O44989" s="5" t="s">
        <v>355</v>
      </c>
      <c r="P44989" s="5" t="s">
        <v>355</v>
      </c>
      <c r="Q44989" s="5" t="s">
        <v>355</v>
      </c>
    </row>
    <row r="44990" ht="16.5" customHeight="1">
      <c r="O44990" s="5" t="s">
        <v>355</v>
      </c>
      <c r="P44990" s="5" t="s">
        <v>355</v>
      </c>
      <c r="Q44990" s="5" t="s">
        <v>355</v>
      </c>
    </row>
    <row r="44991" ht="16.5" customHeight="1">
      <c r="O44991" s="5" t="s">
        <v>355</v>
      </c>
      <c r="P44991" s="5" t="s">
        <v>355</v>
      </c>
      <c r="Q44991" s="5" t="s">
        <v>355</v>
      </c>
    </row>
    <row r="44992" ht="16.5" customHeight="1">
      <c r="O44992" s="5" t="s">
        <v>355</v>
      </c>
      <c r="P44992" s="5" t="s">
        <v>355</v>
      </c>
      <c r="Q44992" s="5" t="s">
        <v>355</v>
      </c>
    </row>
    <row r="44993" ht="16.5" customHeight="1">
      <c r="O44993" s="5" t="s">
        <v>355</v>
      </c>
      <c r="P44993" s="5" t="s">
        <v>355</v>
      </c>
      <c r="Q44993" s="5" t="s">
        <v>355</v>
      </c>
    </row>
    <row r="44994" ht="16.5" customHeight="1">
      <c r="O44994" s="5" t="s">
        <v>355</v>
      </c>
      <c r="P44994" s="5" t="s">
        <v>355</v>
      </c>
      <c r="Q44994" s="5" t="s">
        <v>355</v>
      </c>
    </row>
    <row r="44995" ht="16.5" customHeight="1">
      <c r="O44995" s="5" t="s">
        <v>355</v>
      </c>
      <c r="P44995" s="5" t="s">
        <v>355</v>
      </c>
      <c r="Q44995" s="5" t="s">
        <v>355</v>
      </c>
    </row>
    <row r="44996" ht="16.5" customHeight="1">
      <c r="O44996" s="5" t="s">
        <v>355</v>
      </c>
      <c r="P44996" s="5" t="s">
        <v>355</v>
      </c>
      <c r="Q44996" s="5" t="s">
        <v>355</v>
      </c>
    </row>
    <row r="44997" ht="16.5" customHeight="1">
      <c r="O44997" s="5" t="s">
        <v>355</v>
      </c>
      <c r="P44997" s="5" t="s">
        <v>355</v>
      </c>
      <c r="Q44997" s="5" t="s">
        <v>355</v>
      </c>
    </row>
    <row r="44998" ht="16.5" customHeight="1">
      <c r="O44998" s="5" t="s">
        <v>355</v>
      </c>
      <c r="P44998" s="5" t="s">
        <v>355</v>
      </c>
      <c r="Q44998" s="5" t="s">
        <v>355</v>
      </c>
    </row>
    <row r="44999" ht="16.5" customHeight="1">
      <c r="O44999" s="5" t="s">
        <v>355</v>
      </c>
      <c r="P44999" s="5" t="s">
        <v>355</v>
      </c>
      <c r="Q44999" s="5" t="s">
        <v>355</v>
      </c>
    </row>
    <row r="45000" ht="16.5" customHeight="1">
      <c r="O45000" s="5" t="s">
        <v>355</v>
      </c>
      <c r="P45000" s="5" t="s">
        <v>355</v>
      </c>
      <c r="Q45000" s="5" t="s">
        <v>355</v>
      </c>
    </row>
    <row r="45001" ht="16.5" customHeight="1">
      <c r="O45001" s="5" t="s">
        <v>355</v>
      </c>
      <c r="P45001" s="5" t="s">
        <v>355</v>
      </c>
      <c r="Q45001" s="5" t="s">
        <v>355</v>
      </c>
    </row>
    <row r="45002" ht="16.5" customHeight="1">
      <c r="O45002" s="5" t="s">
        <v>355</v>
      </c>
      <c r="P45002" s="5" t="s">
        <v>355</v>
      </c>
      <c r="Q45002" s="5" t="s">
        <v>355</v>
      </c>
    </row>
    <row r="45003" ht="16.5" customHeight="1">
      <c r="O45003" s="5" t="s">
        <v>355</v>
      </c>
      <c r="P45003" s="5" t="s">
        <v>355</v>
      </c>
      <c r="Q45003" s="5" t="s">
        <v>355</v>
      </c>
    </row>
    <row r="45004" ht="16.5" customHeight="1">
      <c r="O45004" s="5" t="s">
        <v>355</v>
      </c>
      <c r="P45004" s="5" t="s">
        <v>355</v>
      </c>
      <c r="Q45004" s="5" t="s">
        <v>355</v>
      </c>
    </row>
    <row r="45005" ht="16.5" customHeight="1">
      <c r="O45005" s="5" t="s">
        <v>355</v>
      </c>
      <c r="P45005" s="5" t="s">
        <v>355</v>
      </c>
      <c r="Q45005" s="5" t="s">
        <v>355</v>
      </c>
    </row>
    <row r="45006" ht="16.5" customHeight="1">
      <c r="O45006" s="5" t="s">
        <v>355</v>
      </c>
      <c r="P45006" s="5" t="s">
        <v>355</v>
      </c>
      <c r="Q45006" s="5" t="s">
        <v>355</v>
      </c>
    </row>
    <row r="45007" ht="16.5" customHeight="1">
      <c r="O45007" s="5" t="s">
        <v>355</v>
      </c>
      <c r="P45007" s="5" t="s">
        <v>355</v>
      </c>
      <c r="Q45007" s="5" t="s">
        <v>355</v>
      </c>
    </row>
    <row r="45008" ht="16.5" customHeight="1">
      <c r="O45008" s="5" t="s">
        <v>355</v>
      </c>
      <c r="P45008" s="5" t="s">
        <v>355</v>
      </c>
      <c r="Q45008" s="5" t="s">
        <v>355</v>
      </c>
    </row>
    <row r="45009" ht="16.5" customHeight="1">
      <c r="O45009" s="5" t="s">
        <v>355</v>
      </c>
      <c r="P45009" s="5" t="s">
        <v>355</v>
      </c>
      <c r="Q45009" s="5" t="s">
        <v>355</v>
      </c>
    </row>
    <row r="45010" ht="16.5" customHeight="1">
      <c r="O45010" s="5" t="s">
        <v>355</v>
      </c>
      <c r="P45010" s="5" t="s">
        <v>355</v>
      </c>
      <c r="Q45010" s="5" t="s">
        <v>355</v>
      </c>
    </row>
    <row r="45011" ht="16.5" customHeight="1">
      <c r="O45011" s="5" t="s">
        <v>355</v>
      </c>
      <c r="P45011" s="5" t="s">
        <v>355</v>
      </c>
      <c r="Q45011" s="5" t="s">
        <v>355</v>
      </c>
    </row>
    <row r="45012" ht="16.5" customHeight="1">
      <c r="O45012" s="5" t="s">
        <v>355</v>
      </c>
      <c r="P45012" s="5" t="s">
        <v>355</v>
      </c>
      <c r="Q45012" s="5" t="s">
        <v>355</v>
      </c>
    </row>
    <row r="45013" ht="16.5" customHeight="1">
      <c r="O45013" s="5" t="s">
        <v>355</v>
      </c>
      <c r="P45013" s="5" t="s">
        <v>355</v>
      </c>
      <c r="Q45013" s="5" t="s">
        <v>355</v>
      </c>
    </row>
    <row r="45014" ht="16.5" customHeight="1">
      <c r="O45014" s="5" t="s">
        <v>355</v>
      </c>
      <c r="P45014" s="5" t="s">
        <v>355</v>
      </c>
      <c r="Q45014" s="5" t="s">
        <v>355</v>
      </c>
    </row>
    <row r="45015" ht="16.5" customHeight="1">
      <c r="O45015" s="5" t="s">
        <v>355</v>
      </c>
      <c r="P45015" s="5" t="s">
        <v>355</v>
      </c>
      <c r="Q45015" s="5" t="s">
        <v>355</v>
      </c>
    </row>
    <row r="45016" ht="16.5" customHeight="1">
      <c r="O45016" s="5" t="s">
        <v>355</v>
      </c>
      <c r="P45016" s="5" t="s">
        <v>355</v>
      </c>
      <c r="Q45016" s="5" t="s">
        <v>355</v>
      </c>
    </row>
    <row r="45017" ht="16.5" customHeight="1">
      <c r="O45017" s="5" t="s">
        <v>355</v>
      </c>
      <c r="P45017" s="5" t="s">
        <v>355</v>
      </c>
      <c r="Q45017" s="5" t="s">
        <v>355</v>
      </c>
    </row>
    <row r="45018" ht="16.5" customHeight="1">
      <c r="O45018" s="5" t="s">
        <v>355</v>
      </c>
      <c r="P45018" s="5" t="s">
        <v>355</v>
      </c>
      <c r="Q45018" s="5" t="s">
        <v>355</v>
      </c>
    </row>
    <row r="45019" ht="16.5" customHeight="1">
      <c r="O45019" s="5" t="s">
        <v>355</v>
      </c>
      <c r="P45019" s="5" t="s">
        <v>355</v>
      </c>
      <c r="Q45019" s="5" t="s">
        <v>355</v>
      </c>
    </row>
    <row r="45020" ht="16.5" customHeight="1">
      <c r="O45020" s="5" t="s">
        <v>355</v>
      </c>
      <c r="P45020" s="5" t="s">
        <v>355</v>
      </c>
      <c r="Q45020" s="5" t="s">
        <v>355</v>
      </c>
    </row>
    <row r="45021" ht="16.5" customHeight="1">
      <c r="O45021" s="5" t="s">
        <v>355</v>
      </c>
      <c r="P45021" s="5" t="s">
        <v>355</v>
      </c>
      <c r="Q45021" s="5" t="s">
        <v>355</v>
      </c>
    </row>
    <row r="45022" ht="16.5" customHeight="1">
      <c r="O45022" s="5" t="s">
        <v>355</v>
      </c>
      <c r="P45022" s="5" t="s">
        <v>355</v>
      </c>
      <c r="Q45022" s="5" t="s">
        <v>355</v>
      </c>
    </row>
    <row r="45023" ht="16.5" customHeight="1">
      <c r="O45023" s="5" t="s">
        <v>355</v>
      </c>
      <c r="P45023" s="5" t="s">
        <v>355</v>
      </c>
      <c r="Q45023" s="5" t="s">
        <v>355</v>
      </c>
    </row>
    <row r="45024" ht="16.5" customHeight="1">
      <c r="O45024" s="5" t="s">
        <v>355</v>
      </c>
      <c r="P45024" s="5" t="s">
        <v>355</v>
      </c>
      <c r="Q45024" s="5" t="s">
        <v>355</v>
      </c>
    </row>
    <row r="45025" ht="16.5" customHeight="1">
      <c r="O45025" s="5" t="s">
        <v>355</v>
      </c>
      <c r="P45025" s="5" t="s">
        <v>355</v>
      </c>
      <c r="Q45025" s="5" t="s">
        <v>355</v>
      </c>
    </row>
    <row r="45026" ht="16.5" customHeight="1">
      <c r="O45026" s="5" t="s">
        <v>355</v>
      </c>
      <c r="P45026" s="5" t="s">
        <v>355</v>
      </c>
      <c r="Q45026" s="5" t="s">
        <v>355</v>
      </c>
    </row>
    <row r="45027" ht="16.5" customHeight="1">
      <c r="O45027" s="5" t="s">
        <v>355</v>
      </c>
      <c r="P45027" s="5" t="s">
        <v>355</v>
      </c>
      <c r="Q45027" s="5" t="s">
        <v>355</v>
      </c>
    </row>
    <row r="45028" ht="16.5" customHeight="1">
      <c r="O45028" s="5" t="s">
        <v>355</v>
      </c>
      <c r="P45028" s="5" t="s">
        <v>355</v>
      </c>
      <c r="Q45028" s="5" t="s">
        <v>355</v>
      </c>
    </row>
    <row r="45029" ht="16.5" customHeight="1">
      <c r="O45029" s="5" t="s">
        <v>355</v>
      </c>
      <c r="P45029" s="5" t="s">
        <v>355</v>
      </c>
      <c r="Q45029" s="5" t="s">
        <v>355</v>
      </c>
    </row>
    <row r="45030" ht="16.5" customHeight="1">
      <c r="O45030" s="5" t="s">
        <v>355</v>
      </c>
      <c r="P45030" s="5" t="s">
        <v>355</v>
      </c>
      <c r="Q45030" s="5" t="s">
        <v>355</v>
      </c>
    </row>
    <row r="45031" ht="16.5" customHeight="1">
      <c r="O45031" s="5" t="s">
        <v>355</v>
      </c>
      <c r="P45031" s="5" t="s">
        <v>355</v>
      </c>
      <c r="Q45031" s="5" t="s">
        <v>355</v>
      </c>
    </row>
    <row r="45032" ht="16.5" customHeight="1">
      <c r="O45032" s="5" t="s">
        <v>355</v>
      </c>
      <c r="P45032" s="5" t="s">
        <v>355</v>
      </c>
      <c r="Q45032" s="5" t="s">
        <v>355</v>
      </c>
    </row>
    <row r="45033" ht="16.5" customHeight="1">
      <c r="O45033" s="5" t="s">
        <v>355</v>
      </c>
      <c r="P45033" s="5" t="s">
        <v>355</v>
      </c>
      <c r="Q45033" s="5" t="s">
        <v>355</v>
      </c>
    </row>
    <row r="45034" ht="16.5" customHeight="1">
      <c r="O45034" s="5" t="s">
        <v>355</v>
      </c>
      <c r="P45034" s="5" t="s">
        <v>355</v>
      </c>
      <c r="Q45034" s="5" t="s">
        <v>355</v>
      </c>
    </row>
    <row r="45035" ht="16.5" customHeight="1">
      <c r="O45035" s="5" t="s">
        <v>355</v>
      </c>
      <c r="P45035" s="5" t="s">
        <v>355</v>
      </c>
      <c r="Q45035" s="5" t="s">
        <v>355</v>
      </c>
    </row>
    <row r="45036" ht="16.5" customHeight="1">
      <c r="O45036" s="5" t="s">
        <v>355</v>
      </c>
      <c r="P45036" s="5" t="s">
        <v>355</v>
      </c>
      <c r="Q45036" s="5" t="s">
        <v>355</v>
      </c>
    </row>
    <row r="45037" ht="16.5" customHeight="1">
      <c r="O45037" s="5" t="s">
        <v>355</v>
      </c>
      <c r="P45037" s="5" t="s">
        <v>355</v>
      </c>
      <c r="Q45037" s="5" t="s">
        <v>355</v>
      </c>
    </row>
    <row r="45038" ht="16.5" customHeight="1">
      <c r="O45038" s="5" t="s">
        <v>355</v>
      </c>
      <c r="P45038" s="5" t="s">
        <v>355</v>
      </c>
      <c r="Q45038" s="5" t="s">
        <v>355</v>
      </c>
    </row>
    <row r="45039" ht="16.5" customHeight="1">
      <c r="O45039" s="5" t="s">
        <v>355</v>
      </c>
      <c r="P45039" s="5" t="s">
        <v>355</v>
      </c>
      <c r="Q45039" s="5" t="s">
        <v>355</v>
      </c>
    </row>
    <row r="45040" ht="16.5" customHeight="1">
      <c r="O45040" s="5" t="s">
        <v>355</v>
      </c>
      <c r="P45040" s="5" t="s">
        <v>355</v>
      </c>
      <c r="Q45040" s="5" t="s">
        <v>355</v>
      </c>
    </row>
    <row r="45041" ht="16.5" customHeight="1">
      <c r="O45041" s="5" t="s">
        <v>355</v>
      </c>
      <c r="P45041" s="5" t="s">
        <v>355</v>
      </c>
      <c r="Q45041" s="5" t="s">
        <v>355</v>
      </c>
    </row>
    <row r="45042" ht="16.5" customHeight="1">
      <c r="O45042" s="5" t="s">
        <v>355</v>
      </c>
      <c r="P45042" s="5" t="s">
        <v>355</v>
      </c>
      <c r="Q45042" s="5" t="s">
        <v>355</v>
      </c>
    </row>
    <row r="45043" ht="16.5" customHeight="1">
      <c r="O45043" s="5" t="s">
        <v>355</v>
      </c>
      <c r="P45043" s="5" t="s">
        <v>355</v>
      </c>
      <c r="Q45043" s="5" t="s">
        <v>355</v>
      </c>
    </row>
    <row r="45044" ht="16.5" customHeight="1">
      <c r="O45044" s="5" t="s">
        <v>355</v>
      </c>
      <c r="P45044" s="5" t="s">
        <v>355</v>
      </c>
      <c r="Q45044" s="5" t="s">
        <v>355</v>
      </c>
    </row>
    <row r="45045" ht="16.5" customHeight="1">
      <c r="O45045" s="5" t="s">
        <v>355</v>
      </c>
      <c r="P45045" s="5" t="s">
        <v>355</v>
      </c>
      <c r="Q45045" s="5" t="s">
        <v>355</v>
      </c>
    </row>
    <row r="45046" ht="16.5" customHeight="1">
      <c r="O45046" s="5" t="s">
        <v>355</v>
      </c>
      <c r="P45046" s="5" t="s">
        <v>355</v>
      </c>
      <c r="Q45046" s="5" t="s">
        <v>355</v>
      </c>
    </row>
    <row r="45047" ht="16.5" customHeight="1">
      <c r="O45047" s="5" t="s">
        <v>355</v>
      </c>
      <c r="P45047" s="5" t="s">
        <v>355</v>
      </c>
      <c r="Q45047" s="5" t="s">
        <v>355</v>
      </c>
    </row>
    <row r="45048" ht="16.5" customHeight="1">
      <c r="O45048" s="5" t="s">
        <v>355</v>
      </c>
      <c r="P45048" s="5" t="s">
        <v>355</v>
      </c>
      <c r="Q45048" s="5" t="s">
        <v>355</v>
      </c>
    </row>
    <row r="45049" ht="16.5" customHeight="1">
      <c r="O45049" s="5" t="s">
        <v>355</v>
      </c>
      <c r="P45049" s="5" t="s">
        <v>355</v>
      </c>
      <c r="Q45049" s="5" t="s">
        <v>355</v>
      </c>
    </row>
    <row r="45050" ht="16.5" customHeight="1">
      <c r="O45050" s="5" t="s">
        <v>355</v>
      </c>
      <c r="P45050" s="5" t="s">
        <v>355</v>
      </c>
      <c r="Q45050" s="5" t="s">
        <v>355</v>
      </c>
    </row>
    <row r="45051" ht="16.5" customHeight="1">
      <c r="O45051" s="5" t="s">
        <v>355</v>
      </c>
      <c r="P45051" s="5" t="s">
        <v>355</v>
      </c>
      <c r="Q45051" s="5" t="s">
        <v>355</v>
      </c>
    </row>
    <row r="45052" ht="16.5" customHeight="1">
      <c r="O45052" s="5" t="s">
        <v>355</v>
      </c>
      <c r="P45052" s="5" t="s">
        <v>355</v>
      </c>
      <c r="Q45052" s="5" t="s">
        <v>355</v>
      </c>
    </row>
    <row r="45053" ht="16.5" customHeight="1">
      <c r="O45053" s="5" t="s">
        <v>355</v>
      </c>
      <c r="P45053" s="5" t="s">
        <v>355</v>
      </c>
      <c r="Q45053" s="5" t="s">
        <v>355</v>
      </c>
    </row>
    <row r="45054" ht="16.5" customHeight="1">
      <c r="O45054" s="5" t="s">
        <v>355</v>
      </c>
      <c r="P45054" s="5" t="s">
        <v>355</v>
      </c>
      <c r="Q45054" s="5" t="s">
        <v>355</v>
      </c>
    </row>
    <row r="45055" ht="16.5" customHeight="1">
      <c r="O45055" s="5" t="s">
        <v>355</v>
      </c>
      <c r="P45055" s="5" t="s">
        <v>355</v>
      </c>
      <c r="Q45055" s="5" t="s">
        <v>355</v>
      </c>
    </row>
    <row r="45056" ht="16.5" customHeight="1">
      <c r="O45056" s="5" t="s">
        <v>355</v>
      </c>
      <c r="P45056" s="5" t="s">
        <v>355</v>
      </c>
      <c r="Q45056" s="5" t="s">
        <v>355</v>
      </c>
    </row>
    <row r="45057" ht="16.5" customHeight="1">
      <c r="O45057" s="5" t="s">
        <v>355</v>
      </c>
      <c r="P45057" s="5" t="s">
        <v>355</v>
      </c>
      <c r="Q45057" s="5" t="s">
        <v>355</v>
      </c>
    </row>
    <row r="45058" ht="16.5" customHeight="1">
      <c r="O45058" s="5" t="s">
        <v>355</v>
      </c>
      <c r="P45058" s="5" t="s">
        <v>355</v>
      </c>
      <c r="Q45058" s="5" t="s">
        <v>355</v>
      </c>
    </row>
    <row r="45059" ht="16.5" customHeight="1">
      <c r="O45059" s="5" t="s">
        <v>355</v>
      </c>
      <c r="P45059" s="5" t="s">
        <v>355</v>
      </c>
      <c r="Q45059" s="5" t="s">
        <v>355</v>
      </c>
    </row>
    <row r="45060" ht="16.5" customHeight="1">
      <c r="O45060" s="5" t="s">
        <v>355</v>
      </c>
      <c r="P45060" s="5" t="s">
        <v>355</v>
      </c>
      <c r="Q45060" s="5" t="s">
        <v>355</v>
      </c>
    </row>
    <row r="45061" ht="16.5" customHeight="1">
      <c r="O45061" s="5" t="s">
        <v>355</v>
      </c>
      <c r="P45061" s="5" t="s">
        <v>355</v>
      </c>
      <c r="Q45061" s="5" t="s">
        <v>355</v>
      </c>
    </row>
    <row r="45062" ht="16.5" customHeight="1">
      <c r="O45062" s="5" t="s">
        <v>355</v>
      </c>
      <c r="P45062" s="5" t="s">
        <v>355</v>
      </c>
      <c r="Q45062" s="5" t="s">
        <v>355</v>
      </c>
    </row>
    <row r="45063" ht="16.5" customHeight="1">
      <c r="O45063" s="5" t="s">
        <v>355</v>
      </c>
      <c r="P45063" s="5" t="s">
        <v>355</v>
      </c>
      <c r="Q45063" s="5" t="s">
        <v>355</v>
      </c>
    </row>
    <row r="45064" ht="16.5" customHeight="1">
      <c r="O45064" s="5" t="s">
        <v>355</v>
      </c>
      <c r="P45064" s="5" t="s">
        <v>355</v>
      </c>
      <c r="Q45064" s="5" t="s">
        <v>355</v>
      </c>
    </row>
    <row r="45065" ht="16.5" customHeight="1">
      <c r="O45065" s="5" t="s">
        <v>355</v>
      </c>
      <c r="P45065" s="5" t="s">
        <v>355</v>
      </c>
      <c r="Q45065" s="5" t="s">
        <v>355</v>
      </c>
    </row>
    <row r="45066" ht="16.5" customHeight="1">
      <c r="O45066" s="5" t="s">
        <v>355</v>
      </c>
      <c r="P45066" s="5" t="s">
        <v>355</v>
      </c>
      <c r="Q45066" s="5" t="s">
        <v>355</v>
      </c>
    </row>
    <row r="45067" ht="16.5" customHeight="1">
      <c r="O45067" s="5" t="s">
        <v>355</v>
      </c>
      <c r="P45067" s="5" t="s">
        <v>355</v>
      </c>
      <c r="Q45067" s="5" t="s">
        <v>355</v>
      </c>
    </row>
    <row r="45068" ht="16.5" customHeight="1">
      <c r="O45068" s="5" t="s">
        <v>355</v>
      </c>
      <c r="P45068" s="5" t="s">
        <v>355</v>
      </c>
      <c r="Q45068" s="5" t="s">
        <v>355</v>
      </c>
    </row>
    <row r="45069" ht="16.5" customHeight="1">
      <c r="O45069" s="5" t="s">
        <v>355</v>
      </c>
      <c r="P45069" s="5" t="s">
        <v>355</v>
      </c>
      <c r="Q45069" s="5" t="s">
        <v>355</v>
      </c>
    </row>
    <row r="45070" ht="16.5" customHeight="1">
      <c r="O45070" s="5" t="s">
        <v>355</v>
      </c>
      <c r="P45070" s="5" t="s">
        <v>355</v>
      </c>
      <c r="Q45070" s="5" t="s">
        <v>355</v>
      </c>
    </row>
    <row r="45071" ht="16.5" customHeight="1">
      <c r="O45071" s="5" t="s">
        <v>355</v>
      </c>
      <c r="P45071" s="5" t="s">
        <v>355</v>
      </c>
      <c r="Q45071" s="5" t="s">
        <v>355</v>
      </c>
    </row>
    <row r="45072" ht="16.5" customHeight="1">
      <c r="O45072" s="5" t="s">
        <v>355</v>
      </c>
      <c r="P45072" s="5" t="s">
        <v>355</v>
      </c>
      <c r="Q45072" s="5" t="s">
        <v>355</v>
      </c>
    </row>
    <row r="45073" ht="16.5" customHeight="1">
      <c r="O45073" s="5" t="s">
        <v>355</v>
      </c>
      <c r="P45073" s="5" t="s">
        <v>355</v>
      </c>
      <c r="Q45073" s="5" t="s">
        <v>355</v>
      </c>
    </row>
    <row r="45074" ht="16.5" customHeight="1">
      <c r="O45074" s="5" t="s">
        <v>355</v>
      </c>
      <c r="P45074" s="5" t="s">
        <v>355</v>
      </c>
      <c r="Q45074" s="5" t="s">
        <v>355</v>
      </c>
    </row>
    <row r="45075" ht="16.5" customHeight="1">
      <c r="O45075" s="5" t="s">
        <v>355</v>
      </c>
      <c r="P45075" s="5" t="s">
        <v>355</v>
      </c>
      <c r="Q45075" s="5" t="s">
        <v>355</v>
      </c>
    </row>
    <row r="45076" ht="16.5" customHeight="1">
      <c r="O45076" s="5" t="s">
        <v>355</v>
      </c>
      <c r="P45076" s="5" t="s">
        <v>355</v>
      </c>
      <c r="Q45076" s="5" t="s">
        <v>355</v>
      </c>
    </row>
    <row r="45077" ht="16.5" customHeight="1">
      <c r="O45077" s="5" t="s">
        <v>355</v>
      </c>
      <c r="P45077" s="5" t="s">
        <v>355</v>
      </c>
      <c r="Q45077" s="5" t="s">
        <v>355</v>
      </c>
    </row>
    <row r="45078" ht="16.5" customHeight="1">
      <c r="O45078" s="5" t="s">
        <v>355</v>
      </c>
      <c r="P45078" s="5" t="s">
        <v>355</v>
      </c>
      <c r="Q45078" s="5" t="s">
        <v>355</v>
      </c>
    </row>
    <row r="45079" ht="16.5" customHeight="1">
      <c r="O45079" s="5" t="s">
        <v>355</v>
      </c>
      <c r="P45079" s="5" t="s">
        <v>355</v>
      </c>
      <c r="Q45079" s="5" t="s">
        <v>355</v>
      </c>
    </row>
    <row r="45080" ht="16.5" customHeight="1">
      <c r="O45080" s="5" t="s">
        <v>355</v>
      </c>
      <c r="P45080" s="5" t="s">
        <v>355</v>
      </c>
      <c r="Q45080" s="5" t="s">
        <v>355</v>
      </c>
    </row>
    <row r="45081" ht="16.5" customHeight="1">
      <c r="O45081" s="5" t="s">
        <v>355</v>
      </c>
      <c r="P45081" s="5" t="s">
        <v>355</v>
      </c>
      <c r="Q45081" s="5" t="s">
        <v>355</v>
      </c>
    </row>
    <row r="45082" ht="16.5" customHeight="1">
      <c r="O45082" s="5" t="s">
        <v>355</v>
      </c>
      <c r="P45082" s="5" t="s">
        <v>355</v>
      </c>
      <c r="Q45082" s="5" t="s">
        <v>355</v>
      </c>
    </row>
    <row r="45083" ht="16.5" customHeight="1">
      <c r="O45083" s="5" t="s">
        <v>355</v>
      </c>
      <c r="P45083" s="5" t="s">
        <v>355</v>
      </c>
      <c r="Q45083" s="5" t="s">
        <v>355</v>
      </c>
    </row>
    <row r="45084" ht="16.5" customHeight="1">
      <c r="O45084" s="5" t="s">
        <v>355</v>
      </c>
      <c r="P45084" s="5" t="s">
        <v>355</v>
      </c>
      <c r="Q45084" s="5" t="s">
        <v>355</v>
      </c>
    </row>
    <row r="45085" ht="16.5" customHeight="1">
      <c r="O45085" s="5" t="s">
        <v>355</v>
      </c>
      <c r="P45085" s="5" t="s">
        <v>355</v>
      </c>
      <c r="Q45085" s="5" t="s">
        <v>355</v>
      </c>
    </row>
    <row r="45086" ht="16.5" customHeight="1">
      <c r="O45086" s="5" t="s">
        <v>355</v>
      </c>
      <c r="P45086" s="5" t="s">
        <v>355</v>
      </c>
      <c r="Q45086" s="5" t="s">
        <v>355</v>
      </c>
    </row>
    <row r="45087" ht="16.5" customHeight="1">
      <c r="O45087" s="5" t="s">
        <v>355</v>
      </c>
      <c r="P45087" s="5" t="s">
        <v>355</v>
      </c>
      <c r="Q45087" s="5" t="s">
        <v>355</v>
      </c>
    </row>
    <row r="45088" ht="16.5" customHeight="1">
      <c r="O45088" s="5" t="s">
        <v>355</v>
      </c>
      <c r="P45088" s="5" t="s">
        <v>355</v>
      </c>
      <c r="Q45088" s="5" t="s">
        <v>355</v>
      </c>
    </row>
    <row r="45089" ht="16.5" customHeight="1">
      <c r="O45089" s="5" t="s">
        <v>355</v>
      </c>
      <c r="P45089" s="5" t="s">
        <v>355</v>
      </c>
      <c r="Q45089" s="5" t="s">
        <v>355</v>
      </c>
    </row>
    <row r="45090" ht="16.5" customHeight="1">
      <c r="O45090" s="5" t="s">
        <v>355</v>
      </c>
      <c r="P45090" s="5" t="s">
        <v>355</v>
      </c>
      <c r="Q45090" s="5" t="s">
        <v>355</v>
      </c>
    </row>
    <row r="45091" ht="16.5" customHeight="1">
      <c r="O45091" s="5" t="s">
        <v>355</v>
      </c>
      <c r="P45091" s="5" t="s">
        <v>355</v>
      </c>
      <c r="Q45091" s="5" t="s">
        <v>355</v>
      </c>
    </row>
    <row r="45092" ht="16.5" customHeight="1">
      <c r="O45092" s="5" t="s">
        <v>355</v>
      </c>
      <c r="P45092" s="5" t="s">
        <v>355</v>
      </c>
      <c r="Q45092" s="5" t="s">
        <v>355</v>
      </c>
    </row>
    <row r="45093" ht="16.5" customHeight="1">
      <c r="O45093" s="5" t="s">
        <v>355</v>
      </c>
      <c r="P45093" s="5" t="s">
        <v>355</v>
      </c>
      <c r="Q45093" s="5" t="s">
        <v>355</v>
      </c>
    </row>
    <row r="45094" ht="16.5" customHeight="1">
      <c r="O45094" s="5" t="s">
        <v>355</v>
      </c>
      <c r="P45094" s="5" t="s">
        <v>355</v>
      </c>
      <c r="Q45094" s="5" t="s">
        <v>355</v>
      </c>
    </row>
    <row r="45095" ht="16.5" customHeight="1">
      <c r="O45095" s="5" t="s">
        <v>355</v>
      </c>
      <c r="P45095" s="5" t="s">
        <v>355</v>
      </c>
      <c r="Q45095" s="5" t="s">
        <v>355</v>
      </c>
    </row>
    <row r="45096" ht="16.5" customHeight="1">
      <c r="O45096" s="5" t="s">
        <v>355</v>
      </c>
      <c r="P45096" s="5" t="s">
        <v>355</v>
      </c>
      <c r="Q45096" s="5" t="s">
        <v>355</v>
      </c>
    </row>
    <row r="45097" ht="16.5" customHeight="1">
      <c r="O45097" s="5" t="s">
        <v>355</v>
      </c>
      <c r="P45097" s="5" t="s">
        <v>355</v>
      </c>
      <c r="Q45097" s="5" t="s">
        <v>355</v>
      </c>
    </row>
    <row r="45098" ht="16.5" customHeight="1">
      <c r="O45098" s="5" t="s">
        <v>355</v>
      </c>
      <c r="P45098" s="5" t="s">
        <v>355</v>
      </c>
      <c r="Q45098" s="5" t="s">
        <v>355</v>
      </c>
    </row>
    <row r="45099" ht="16.5" customHeight="1">
      <c r="O45099" s="5" t="s">
        <v>355</v>
      </c>
      <c r="P45099" s="5" t="s">
        <v>355</v>
      </c>
      <c r="Q45099" s="5" t="s">
        <v>355</v>
      </c>
    </row>
    <row r="45100" ht="16.5" customHeight="1">
      <c r="O45100" s="5" t="s">
        <v>355</v>
      </c>
      <c r="P45100" s="5" t="s">
        <v>355</v>
      </c>
      <c r="Q45100" s="5" t="s">
        <v>355</v>
      </c>
    </row>
    <row r="45101" ht="16.5" customHeight="1">
      <c r="O45101" s="5" t="s">
        <v>355</v>
      </c>
      <c r="P45101" s="5" t="s">
        <v>355</v>
      </c>
      <c r="Q45101" s="5" t="s">
        <v>355</v>
      </c>
    </row>
    <row r="45102" ht="16.5" customHeight="1">
      <c r="O45102" s="5" t="s">
        <v>355</v>
      </c>
      <c r="P45102" s="5" t="s">
        <v>355</v>
      </c>
      <c r="Q45102" s="5" t="s">
        <v>355</v>
      </c>
    </row>
    <row r="45103" ht="16.5" customHeight="1">
      <c r="O45103" s="5" t="s">
        <v>355</v>
      </c>
      <c r="P45103" s="5" t="s">
        <v>355</v>
      </c>
      <c r="Q45103" s="5" t="s">
        <v>355</v>
      </c>
    </row>
    <row r="45104" ht="16.5" customHeight="1">
      <c r="O45104" s="5" t="s">
        <v>355</v>
      </c>
      <c r="P45104" s="5" t="s">
        <v>355</v>
      </c>
      <c r="Q45104" s="5" t="s">
        <v>355</v>
      </c>
    </row>
    <row r="45105" ht="16.5" customHeight="1">
      <c r="O45105" s="5" t="s">
        <v>355</v>
      </c>
      <c r="P45105" s="5" t="s">
        <v>355</v>
      </c>
      <c r="Q45105" s="5" t="s">
        <v>355</v>
      </c>
    </row>
    <row r="45106" ht="16.5" customHeight="1">
      <c r="O45106" s="5" t="s">
        <v>355</v>
      </c>
      <c r="P45106" s="5" t="s">
        <v>355</v>
      </c>
      <c r="Q45106" s="5" t="s">
        <v>355</v>
      </c>
    </row>
    <row r="45107" ht="16.5" customHeight="1">
      <c r="O45107" s="5" t="s">
        <v>355</v>
      </c>
      <c r="P45107" s="5" t="s">
        <v>355</v>
      </c>
      <c r="Q45107" s="5" t="s">
        <v>355</v>
      </c>
    </row>
    <row r="45108" ht="16.5" customHeight="1">
      <c r="O45108" s="5" t="s">
        <v>355</v>
      </c>
      <c r="P45108" s="5" t="s">
        <v>355</v>
      </c>
      <c r="Q45108" s="5" t="s">
        <v>355</v>
      </c>
    </row>
    <row r="45109" ht="16.5" customHeight="1">
      <c r="O45109" s="5" t="s">
        <v>355</v>
      </c>
      <c r="P45109" s="5" t="s">
        <v>355</v>
      </c>
      <c r="Q45109" s="5" t="s">
        <v>355</v>
      </c>
    </row>
    <row r="45110" ht="16.5" customHeight="1">
      <c r="O45110" s="5" t="s">
        <v>355</v>
      </c>
      <c r="P45110" s="5" t="s">
        <v>355</v>
      </c>
      <c r="Q45110" s="5" t="s">
        <v>355</v>
      </c>
    </row>
    <row r="45111" ht="16.5" customHeight="1">
      <c r="O45111" s="5" t="s">
        <v>355</v>
      </c>
      <c r="P45111" s="5" t="s">
        <v>355</v>
      </c>
      <c r="Q45111" s="5" t="s">
        <v>355</v>
      </c>
    </row>
    <row r="45112" ht="16.5" customHeight="1">
      <c r="O45112" s="5" t="s">
        <v>355</v>
      </c>
      <c r="P45112" s="5" t="s">
        <v>355</v>
      </c>
      <c r="Q45112" s="5" t="s">
        <v>355</v>
      </c>
    </row>
    <row r="45113" ht="16.5" customHeight="1">
      <c r="O45113" s="5" t="s">
        <v>355</v>
      </c>
      <c r="P45113" s="5" t="s">
        <v>355</v>
      </c>
      <c r="Q45113" s="5" t="s">
        <v>355</v>
      </c>
    </row>
    <row r="45114" ht="16.5" customHeight="1">
      <c r="O45114" s="5" t="s">
        <v>355</v>
      </c>
      <c r="P45114" s="5" t="s">
        <v>355</v>
      </c>
      <c r="Q45114" s="5" t="s">
        <v>355</v>
      </c>
    </row>
    <row r="45115" ht="16.5" customHeight="1">
      <c r="O45115" s="5" t="s">
        <v>355</v>
      </c>
      <c r="P45115" s="5" t="s">
        <v>355</v>
      </c>
      <c r="Q45115" s="5" t="s">
        <v>355</v>
      </c>
    </row>
    <row r="45116" ht="16.5" customHeight="1">
      <c r="O45116" s="5" t="s">
        <v>355</v>
      </c>
      <c r="P45116" s="5" t="s">
        <v>355</v>
      </c>
      <c r="Q45116" s="5" t="s">
        <v>355</v>
      </c>
    </row>
    <row r="45117" ht="16.5" customHeight="1">
      <c r="O45117" s="5" t="s">
        <v>355</v>
      </c>
      <c r="P45117" s="5" t="s">
        <v>355</v>
      </c>
      <c r="Q45117" s="5" t="s">
        <v>355</v>
      </c>
    </row>
    <row r="45118" ht="16.5" customHeight="1">
      <c r="O45118" s="5" t="s">
        <v>355</v>
      </c>
      <c r="P45118" s="5" t="s">
        <v>355</v>
      </c>
      <c r="Q45118" s="5" t="s">
        <v>355</v>
      </c>
    </row>
    <row r="45119" ht="16.5" customHeight="1">
      <c r="O45119" s="5" t="s">
        <v>355</v>
      </c>
      <c r="P45119" s="5" t="s">
        <v>355</v>
      </c>
      <c r="Q45119" s="5" t="s">
        <v>355</v>
      </c>
    </row>
    <row r="45120" ht="16.5" customHeight="1">
      <c r="O45120" s="5" t="s">
        <v>355</v>
      </c>
      <c r="P45120" s="5" t="s">
        <v>355</v>
      </c>
      <c r="Q45120" s="5" t="s">
        <v>355</v>
      </c>
    </row>
    <row r="45121" ht="16.5" customHeight="1">
      <c r="O45121" s="5" t="s">
        <v>355</v>
      </c>
      <c r="P45121" s="5" t="s">
        <v>355</v>
      </c>
      <c r="Q45121" s="5" t="s">
        <v>355</v>
      </c>
    </row>
    <row r="45122" ht="16.5" customHeight="1">
      <c r="O45122" s="5" t="s">
        <v>355</v>
      </c>
      <c r="P45122" s="5" t="s">
        <v>355</v>
      </c>
      <c r="Q45122" s="5" t="s">
        <v>355</v>
      </c>
    </row>
    <row r="45123" ht="16.5" customHeight="1">
      <c r="O45123" s="5" t="s">
        <v>355</v>
      </c>
      <c r="P45123" s="5" t="s">
        <v>355</v>
      </c>
      <c r="Q45123" s="5" t="s">
        <v>355</v>
      </c>
    </row>
    <row r="45124" ht="16.5" customHeight="1">
      <c r="O45124" s="5" t="s">
        <v>355</v>
      </c>
      <c r="P45124" s="5" t="s">
        <v>355</v>
      </c>
      <c r="Q45124" s="5" t="s">
        <v>355</v>
      </c>
    </row>
    <row r="45125" ht="16.5" customHeight="1">
      <c r="O45125" s="5" t="s">
        <v>355</v>
      </c>
      <c r="P45125" s="5" t="s">
        <v>355</v>
      </c>
      <c r="Q45125" s="5" t="s">
        <v>355</v>
      </c>
    </row>
    <row r="45126" ht="16.5" customHeight="1">
      <c r="O45126" s="5" t="s">
        <v>355</v>
      </c>
      <c r="P45126" s="5" t="s">
        <v>355</v>
      </c>
      <c r="Q45126" s="5" t="s">
        <v>355</v>
      </c>
    </row>
    <row r="45127" ht="16.5" customHeight="1">
      <c r="O45127" s="5" t="s">
        <v>355</v>
      </c>
      <c r="P45127" s="5" t="s">
        <v>355</v>
      </c>
      <c r="Q45127" s="5" t="s">
        <v>355</v>
      </c>
    </row>
    <row r="45128" ht="16.5" customHeight="1">
      <c r="O45128" s="5" t="s">
        <v>355</v>
      </c>
      <c r="P45128" s="5" t="s">
        <v>355</v>
      </c>
      <c r="Q45128" s="5" t="s">
        <v>355</v>
      </c>
    </row>
    <row r="45129" ht="16.5" customHeight="1">
      <c r="O45129" s="5" t="s">
        <v>355</v>
      </c>
      <c r="P45129" s="5" t="s">
        <v>355</v>
      </c>
      <c r="Q45129" s="5" t="s">
        <v>355</v>
      </c>
    </row>
    <row r="45130" ht="16.5" customHeight="1">
      <c r="O45130" s="5" t="s">
        <v>355</v>
      </c>
      <c r="P45130" s="5" t="s">
        <v>355</v>
      </c>
      <c r="Q45130" s="5" t="s">
        <v>355</v>
      </c>
    </row>
    <row r="45131" ht="16.5" customHeight="1">
      <c r="O45131" s="5" t="s">
        <v>355</v>
      </c>
      <c r="P45131" s="5" t="s">
        <v>355</v>
      </c>
      <c r="Q45131" s="5" t="s">
        <v>355</v>
      </c>
    </row>
    <row r="45132" ht="16.5" customHeight="1">
      <c r="O45132" s="5" t="s">
        <v>355</v>
      </c>
      <c r="P45132" s="5" t="s">
        <v>355</v>
      </c>
      <c r="Q45132" s="5" t="s">
        <v>355</v>
      </c>
    </row>
    <row r="45133" ht="16.5" customHeight="1">
      <c r="O45133" s="5" t="s">
        <v>355</v>
      </c>
      <c r="P45133" s="5" t="s">
        <v>355</v>
      </c>
      <c r="Q45133" s="5" t="s">
        <v>355</v>
      </c>
    </row>
    <row r="45134" ht="16.5" customHeight="1">
      <c r="O45134" s="5" t="s">
        <v>355</v>
      </c>
      <c r="P45134" s="5" t="s">
        <v>355</v>
      </c>
      <c r="Q45134" s="5" t="s">
        <v>355</v>
      </c>
    </row>
    <row r="45135" ht="16.5" customHeight="1">
      <c r="O45135" s="5" t="s">
        <v>355</v>
      </c>
      <c r="P45135" s="5" t="s">
        <v>355</v>
      </c>
      <c r="Q45135" s="5" t="s">
        <v>355</v>
      </c>
    </row>
    <row r="45136" ht="16.5" customHeight="1">
      <c r="O45136" s="5" t="s">
        <v>355</v>
      </c>
      <c r="P45136" s="5" t="s">
        <v>355</v>
      </c>
      <c r="Q45136" s="5" t="s">
        <v>355</v>
      </c>
    </row>
    <row r="45137" ht="16.5" customHeight="1">
      <c r="O45137" s="5" t="s">
        <v>355</v>
      </c>
      <c r="P45137" s="5" t="s">
        <v>355</v>
      </c>
      <c r="Q45137" s="5" t="s">
        <v>355</v>
      </c>
    </row>
    <row r="45138" ht="16.5" customHeight="1">
      <c r="O45138" s="5" t="s">
        <v>355</v>
      </c>
      <c r="P45138" s="5" t="s">
        <v>355</v>
      </c>
      <c r="Q45138" s="5" t="s">
        <v>355</v>
      </c>
    </row>
    <row r="45139" ht="16.5" customHeight="1">
      <c r="O45139" s="5" t="s">
        <v>355</v>
      </c>
      <c r="P45139" s="5" t="s">
        <v>355</v>
      </c>
      <c r="Q45139" s="5" t="s">
        <v>355</v>
      </c>
    </row>
    <row r="45140" ht="16.5" customHeight="1">
      <c r="O45140" s="5" t="s">
        <v>355</v>
      </c>
      <c r="P45140" s="5" t="s">
        <v>355</v>
      </c>
      <c r="Q45140" s="5" t="s">
        <v>355</v>
      </c>
    </row>
    <row r="45141" ht="16.5" customHeight="1">
      <c r="O45141" s="5" t="s">
        <v>355</v>
      </c>
      <c r="P45141" s="5" t="s">
        <v>355</v>
      </c>
      <c r="Q45141" s="5" t="s">
        <v>355</v>
      </c>
    </row>
    <row r="45142" ht="16.5" customHeight="1">
      <c r="O45142" s="5" t="s">
        <v>355</v>
      </c>
      <c r="P45142" s="5" t="s">
        <v>355</v>
      </c>
      <c r="Q45142" s="5" t="s">
        <v>355</v>
      </c>
    </row>
    <row r="45143" ht="16.5" customHeight="1">
      <c r="O45143" s="5" t="s">
        <v>355</v>
      </c>
      <c r="P45143" s="5" t="s">
        <v>355</v>
      </c>
      <c r="Q45143" s="5" t="s">
        <v>355</v>
      </c>
    </row>
    <row r="45144" ht="16.5" customHeight="1">
      <c r="O45144" s="5" t="s">
        <v>355</v>
      </c>
      <c r="P45144" s="5" t="s">
        <v>355</v>
      </c>
      <c r="Q45144" s="5" t="s">
        <v>355</v>
      </c>
    </row>
    <row r="45145" ht="16.5" customHeight="1">
      <c r="O45145" s="5" t="s">
        <v>355</v>
      </c>
      <c r="P45145" s="5" t="s">
        <v>355</v>
      </c>
      <c r="Q45145" s="5" t="s">
        <v>355</v>
      </c>
    </row>
    <row r="45146" ht="16.5" customHeight="1">
      <c r="O45146" s="5" t="s">
        <v>355</v>
      </c>
      <c r="P45146" s="5" t="s">
        <v>355</v>
      </c>
      <c r="Q45146" s="5" t="s">
        <v>355</v>
      </c>
    </row>
    <row r="45147" ht="16.5" customHeight="1">
      <c r="O45147" s="5" t="s">
        <v>355</v>
      </c>
      <c r="P45147" s="5" t="s">
        <v>355</v>
      </c>
      <c r="Q45147" s="5" t="s">
        <v>355</v>
      </c>
    </row>
    <row r="45148" ht="16.5" customHeight="1">
      <c r="O45148" s="5" t="s">
        <v>355</v>
      </c>
      <c r="P45148" s="5" t="s">
        <v>355</v>
      </c>
      <c r="Q45148" s="5" t="s">
        <v>355</v>
      </c>
    </row>
    <row r="45149" ht="16.5" customHeight="1">
      <c r="O45149" s="5" t="s">
        <v>355</v>
      </c>
      <c r="P45149" s="5" t="s">
        <v>355</v>
      </c>
      <c r="Q45149" s="5" t="s">
        <v>355</v>
      </c>
    </row>
    <row r="45150" ht="16.5" customHeight="1">
      <c r="O45150" s="5" t="s">
        <v>355</v>
      </c>
      <c r="P45150" s="5" t="s">
        <v>355</v>
      </c>
      <c r="Q45150" s="5" t="s">
        <v>355</v>
      </c>
    </row>
    <row r="45151" ht="16.5" customHeight="1">
      <c r="O45151" s="5" t="s">
        <v>355</v>
      </c>
      <c r="P45151" s="5" t="s">
        <v>355</v>
      </c>
      <c r="Q45151" s="5" t="s">
        <v>355</v>
      </c>
    </row>
    <row r="45152" ht="16.5" customHeight="1">
      <c r="O45152" s="5" t="s">
        <v>355</v>
      </c>
      <c r="P45152" s="5" t="s">
        <v>355</v>
      </c>
      <c r="Q45152" s="5" t="s">
        <v>355</v>
      </c>
    </row>
    <row r="45153" ht="16.5" customHeight="1">
      <c r="O45153" s="5" t="s">
        <v>355</v>
      </c>
      <c r="P45153" s="5" t="s">
        <v>355</v>
      </c>
      <c r="Q45153" s="5" t="s">
        <v>355</v>
      </c>
    </row>
    <row r="45154" ht="16.5" customHeight="1">
      <c r="O45154" s="5" t="s">
        <v>355</v>
      </c>
      <c r="P45154" s="5" t="s">
        <v>355</v>
      </c>
      <c r="Q45154" s="5" t="s">
        <v>355</v>
      </c>
    </row>
    <row r="45155" ht="16.5" customHeight="1">
      <c r="O45155" s="5" t="s">
        <v>355</v>
      </c>
      <c r="P45155" s="5" t="s">
        <v>355</v>
      </c>
      <c r="Q45155" s="5" t="s">
        <v>355</v>
      </c>
    </row>
    <row r="45156" ht="16.5" customHeight="1">
      <c r="O45156" s="5" t="s">
        <v>355</v>
      </c>
      <c r="P45156" s="5" t="s">
        <v>355</v>
      </c>
      <c r="Q45156" s="5" t="s">
        <v>355</v>
      </c>
    </row>
    <row r="45157" ht="16.5" customHeight="1">
      <c r="O45157" s="5" t="s">
        <v>355</v>
      </c>
      <c r="P45157" s="5" t="s">
        <v>355</v>
      </c>
      <c r="Q45157" s="5" t="s">
        <v>355</v>
      </c>
    </row>
    <row r="45158" ht="16.5" customHeight="1">
      <c r="O45158" s="5" t="s">
        <v>355</v>
      </c>
      <c r="P45158" s="5" t="s">
        <v>355</v>
      </c>
      <c r="Q45158" s="5" t="s">
        <v>355</v>
      </c>
    </row>
    <row r="45159" ht="16.5" customHeight="1">
      <c r="O45159" s="5" t="s">
        <v>355</v>
      </c>
      <c r="P45159" s="5" t="s">
        <v>355</v>
      </c>
      <c r="Q45159" s="5" t="s">
        <v>355</v>
      </c>
    </row>
    <row r="45160" ht="16.5" customHeight="1">
      <c r="O45160" s="5" t="s">
        <v>355</v>
      </c>
      <c r="P45160" s="5" t="s">
        <v>355</v>
      </c>
      <c r="Q45160" s="5" t="s">
        <v>355</v>
      </c>
    </row>
    <row r="45161" ht="16.5" customHeight="1">
      <c r="O45161" s="5" t="s">
        <v>355</v>
      </c>
      <c r="P45161" s="5" t="s">
        <v>355</v>
      </c>
      <c r="Q45161" s="5" t="s">
        <v>355</v>
      </c>
    </row>
    <row r="45162" ht="16.5" customHeight="1">
      <c r="O45162" s="5" t="s">
        <v>355</v>
      </c>
      <c r="P45162" s="5" t="s">
        <v>355</v>
      </c>
      <c r="Q45162" s="5" t="s">
        <v>355</v>
      </c>
    </row>
    <row r="45163" ht="16.5" customHeight="1">
      <c r="O45163" s="5" t="s">
        <v>355</v>
      </c>
      <c r="P45163" s="5" t="s">
        <v>355</v>
      </c>
      <c r="Q45163" s="5" t="s">
        <v>355</v>
      </c>
    </row>
    <row r="45164" ht="16.5" customHeight="1">
      <c r="O45164" s="5" t="s">
        <v>355</v>
      </c>
      <c r="P45164" s="5" t="s">
        <v>355</v>
      </c>
      <c r="Q45164" s="5" t="s">
        <v>355</v>
      </c>
    </row>
    <row r="45165" ht="16.5" customHeight="1">
      <c r="O45165" s="5" t="s">
        <v>355</v>
      </c>
      <c r="P45165" s="5" t="s">
        <v>355</v>
      </c>
      <c r="Q45165" s="5" t="s">
        <v>355</v>
      </c>
    </row>
    <row r="45166" ht="16.5" customHeight="1">
      <c r="O45166" s="5" t="s">
        <v>355</v>
      </c>
      <c r="P45166" s="5" t="s">
        <v>355</v>
      </c>
      <c r="Q45166" s="5" t="s">
        <v>355</v>
      </c>
    </row>
    <row r="45167" ht="16.5" customHeight="1">
      <c r="O45167" s="5" t="s">
        <v>355</v>
      </c>
      <c r="P45167" s="5" t="s">
        <v>355</v>
      </c>
      <c r="Q45167" s="5" t="s">
        <v>355</v>
      </c>
    </row>
    <row r="45168" ht="16.5" customHeight="1">
      <c r="O45168" s="5" t="s">
        <v>355</v>
      </c>
      <c r="P45168" s="5" t="s">
        <v>355</v>
      </c>
      <c r="Q45168" s="5" t="s">
        <v>355</v>
      </c>
    </row>
    <row r="45169" ht="16.5" customHeight="1">
      <c r="O45169" s="5" t="s">
        <v>355</v>
      </c>
      <c r="P45169" s="5" t="s">
        <v>355</v>
      </c>
      <c r="Q45169" s="5" t="s">
        <v>355</v>
      </c>
    </row>
    <row r="45170" ht="16.5" customHeight="1">
      <c r="O45170" s="5" t="s">
        <v>355</v>
      </c>
      <c r="P45170" s="5" t="s">
        <v>355</v>
      </c>
      <c r="Q45170" s="5" t="s">
        <v>355</v>
      </c>
    </row>
    <row r="45171" ht="16.5" customHeight="1">
      <c r="O45171" s="5" t="s">
        <v>355</v>
      </c>
      <c r="P45171" s="5" t="s">
        <v>355</v>
      </c>
      <c r="Q45171" s="5" t="s">
        <v>355</v>
      </c>
    </row>
    <row r="45172" ht="16.5" customHeight="1">
      <c r="O45172" s="5" t="s">
        <v>355</v>
      </c>
      <c r="P45172" s="5" t="s">
        <v>355</v>
      </c>
      <c r="Q45172" s="5" t="s">
        <v>355</v>
      </c>
    </row>
    <row r="45173" ht="16.5" customHeight="1">
      <c r="O45173" s="5" t="s">
        <v>355</v>
      </c>
      <c r="P45173" s="5" t="s">
        <v>355</v>
      </c>
      <c r="Q45173" s="5" t="s">
        <v>355</v>
      </c>
    </row>
    <row r="45174" ht="16.5" customHeight="1">
      <c r="O45174" s="5" t="s">
        <v>355</v>
      </c>
      <c r="P45174" s="5" t="s">
        <v>355</v>
      </c>
      <c r="Q45174" s="5" t="s">
        <v>355</v>
      </c>
    </row>
    <row r="45175" ht="16.5" customHeight="1">
      <c r="O45175" s="5" t="s">
        <v>355</v>
      </c>
      <c r="P45175" s="5" t="s">
        <v>355</v>
      </c>
      <c r="Q45175" s="5" t="s">
        <v>355</v>
      </c>
    </row>
    <row r="45176" ht="16.5" customHeight="1">
      <c r="O45176" s="5" t="s">
        <v>355</v>
      </c>
      <c r="P45176" s="5" t="s">
        <v>355</v>
      </c>
      <c r="Q45176" s="5" t="s">
        <v>355</v>
      </c>
    </row>
    <row r="45177" ht="16.5" customHeight="1">
      <c r="O45177" s="5" t="s">
        <v>355</v>
      </c>
      <c r="P45177" s="5" t="s">
        <v>355</v>
      </c>
      <c r="Q45177" s="5" t="s">
        <v>355</v>
      </c>
    </row>
    <row r="45178" ht="16.5" customHeight="1">
      <c r="O45178" s="5" t="s">
        <v>355</v>
      </c>
      <c r="P45178" s="5" t="s">
        <v>355</v>
      </c>
      <c r="Q45178" s="5" t="s">
        <v>355</v>
      </c>
    </row>
    <row r="45179" ht="16.5" customHeight="1">
      <c r="O45179" s="5" t="s">
        <v>355</v>
      </c>
      <c r="P45179" s="5" t="s">
        <v>355</v>
      </c>
      <c r="Q45179" s="5" t="s">
        <v>355</v>
      </c>
    </row>
    <row r="45180" ht="16.5" customHeight="1">
      <c r="O45180" s="5" t="s">
        <v>355</v>
      </c>
      <c r="P45180" s="5" t="s">
        <v>355</v>
      </c>
      <c r="Q45180" s="5" t="s">
        <v>355</v>
      </c>
    </row>
    <row r="45181" ht="16.5" customHeight="1">
      <c r="O45181" s="5" t="s">
        <v>355</v>
      </c>
      <c r="P45181" s="5" t="s">
        <v>355</v>
      </c>
      <c r="Q45181" s="5" t="s">
        <v>355</v>
      </c>
    </row>
    <row r="45182" ht="16.5" customHeight="1">
      <c r="O45182" s="5" t="s">
        <v>355</v>
      </c>
      <c r="P45182" s="5" t="s">
        <v>355</v>
      </c>
      <c r="Q45182" s="5" t="s">
        <v>355</v>
      </c>
    </row>
    <row r="45183" ht="16.5" customHeight="1">
      <c r="O45183" s="5" t="s">
        <v>355</v>
      </c>
      <c r="P45183" s="5" t="s">
        <v>355</v>
      </c>
      <c r="Q45183" s="5" t="s">
        <v>355</v>
      </c>
    </row>
    <row r="45184" ht="16.5" customHeight="1">
      <c r="O45184" s="5" t="s">
        <v>355</v>
      </c>
      <c r="P45184" s="5" t="s">
        <v>355</v>
      </c>
      <c r="Q45184" s="5" t="s">
        <v>355</v>
      </c>
    </row>
    <row r="45185" ht="16.5" customHeight="1">
      <c r="O45185" s="5" t="s">
        <v>355</v>
      </c>
      <c r="P45185" s="5" t="s">
        <v>355</v>
      </c>
      <c r="Q45185" s="5" t="s">
        <v>355</v>
      </c>
    </row>
    <row r="45186" ht="16.5" customHeight="1">
      <c r="O45186" s="5" t="s">
        <v>355</v>
      </c>
      <c r="P45186" s="5" t="s">
        <v>355</v>
      </c>
      <c r="Q45186" s="5" t="s">
        <v>355</v>
      </c>
    </row>
    <row r="45187" ht="16.5" customHeight="1">
      <c r="O45187" s="5" t="s">
        <v>355</v>
      </c>
      <c r="P45187" s="5" t="s">
        <v>355</v>
      </c>
      <c r="Q45187" s="5" t="s">
        <v>355</v>
      </c>
    </row>
    <row r="45188" ht="16.5" customHeight="1">
      <c r="O45188" s="5" t="s">
        <v>355</v>
      </c>
      <c r="P45188" s="5" t="s">
        <v>355</v>
      </c>
      <c r="Q45188" s="5" t="s">
        <v>355</v>
      </c>
    </row>
    <row r="45189" ht="16.5" customHeight="1">
      <c r="O45189" s="5" t="s">
        <v>355</v>
      </c>
      <c r="P45189" s="5" t="s">
        <v>355</v>
      </c>
      <c r="Q45189" s="5" t="s">
        <v>355</v>
      </c>
    </row>
    <row r="45190" ht="16.5" customHeight="1">
      <c r="O45190" s="5" t="s">
        <v>355</v>
      </c>
      <c r="P45190" s="5" t="s">
        <v>355</v>
      </c>
      <c r="Q45190" s="5" t="s">
        <v>355</v>
      </c>
    </row>
    <row r="45191" ht="16.5" customHeight="1">
      <c r="O45191" s="5" t="s">
        <v>355</v>
      </c>
      <c r="P45191" s="5" t="s">
        <v>355</v>
      </c>
      <c r="Q45191" s="5" t="s">
        <v>355</v>
      </c>
    </row>
    <row r="45192" ht="16.5" customHeight="1">
      <c r="O45192" s="5" t="s">
        <v>355</v>
      </c>
      <c r="P45192" s="5" t="s">
        <v>355</v>
      </c>
      <c r="Q45192" s="5" t="s">
        <v>355</v>
      </c>
    </row>
    <row r="45193" ht="16.5" customHeight="1">
      <c r="O45193" s="5" t="s">
        <v>355</v>
      </c>
      <c r="P45193" s="5" t="s">
        <v>355</v>
      </c>
      <c r="Q45193" s="5" t="s">
        <v>355</v>
      </c>
    </row>
    <row r="45194" ht="16.5" customHeight="1">
      <c r="O45194" s="5" t="s">
        <v>355</v>
      </c>
      <c r="P45194" s="5" t="s">
        <v>355</v>
      </c>
      <c r="Q45194" s="5" t="s">
        <v>355</v>
      </c>
    </row>
    <row r="45195" ht="16.5" customHeight="1">
      <c r="O45195" s="5" t="s">
        <v>355</v>
      </c>
      <c r="P45195" s="5" t="s">
        <v>355</v>
      </c>
      <c r="Q45195" s="5" t="s">
        <v>355</v>
      </c>
    </row>
    <row r="45196" ht="16.5" customHeight="1">
      <c r="O45196" s="5" t="s">
        <v>355</v>
      </c>
      <c r="P45196" s="5" t="s">
        <v>355</v>
      </c>
      <c r="Q45196" s="5" t="s">
        <v>355</v>
      </c>
    </row>
    <row r="45197" ht="16.5" customHeight="1">
      <c r="O45197" s="5" t="s">
        <v>355</v>
      </c>
      <c r="P45197" s="5" t="s">
        <v>355</v>
      </c>
      <c r="Q45197" s="5" t="s">
        <v>355</v>
      </c>
    </row>
    <row r="45198" ht="16.5" customHeight="1">
      <c r="O45198" s="5" t="s">
        <v>355</v>
      </c>
      <c r="P45198" s="5" t="s">
        <v>355</v>
      </c>
      <c r="Q45198" s="5" t="s">
        <v>355</v>
      </c>
    </row>
    <row r="45199" ht="16.5" customHeight="1">
      <c r="O45199" s="5" t="s">
        <v>355</v>
      </c>
      <c r="P45199" s="5" t="s">
        <v>355</v>
      </c>
      <c r="Q45199" s="5" t="s">
        <v>355</v>
      </c>
    </row>
    <row r="45200" ht="16.5" customHeight="1">
      <c r="O45200" s="5" t="s">
        <v>355</v>
      </c>
      <c r="P45200" s="5" t="s">
        <v>355</v>
      </c>
      <c r="Q45200" s="5" t="s">
        <v>355</v>
      </c>
    </row>
    <row r="45201" ht="16.5" customHeight="1">
      <c r="O45201" s="5" t="s">
        <v>355</v>
      </c>
      <c r="P45201" s="5" t="s">
        <v>355</v>
      </c>
      <c r="Q45201" s="5" t="s">
        <v>355</v>
      </c>
    </row>
    <row r="45202" ht="16.5" customHeight="1">
      <c r="O45202" s="5" t="s">
        <v>355</v>
      </c>
      <c r="P45202" s="5" t="s">
        <v>355</v>
      </c>
      <c r="Q45202" s="5" t="s">
        <v>355</v>
      </c>
    </row>
    <row r="45203" ht="16.5" customHeight="1">
      <c r="O45203" s="5" t="s">
        <v>355</v>
      </c>
      <c r="P45203" s="5" t="s">
        <v>355</v>
      </c>
      <c r="Q45203" s="5" t="s">
        <v>355</v>
      </c>
    </row>
    <row r="45204" ht="16.5" customHeight="1">
      <c r="O45204" s="5" t="s">
        <v>355</v>
      </c>
      <c r="P45204" s="5" t="s">
        <v>355</v>
      </c>
      <c r="Q45204" s="5" t="s">
        <v>355</v>
      </c>
    </row>
    <row r="45205" ht="16.5" customHeight="1">
      <c r="O45205" s="5" t="s">
        <v>355</v>
      </c>
      <c r="P45205" s="5" t="s">
        <v>355</v>
      </c>
      <c r="Q45205" s="5" t="s">
        <v>355</v>
      </c>
    </row>
    <row r="45206" ht="16.5" customHeight="1">
      <c r="O45206" s="5" t="s">
        <v>355</v>
      </c>
      <c r="P45206" s="5" t="s">
        <v>355</v>
      </c>
      <c r="Q45206" s="5" t="s">
        <v>355</v>
      </c>
    </row>
    <row r="45207" ht="16.5" customHeight="1">
      <c r="O45207" s="5" t="s">
        <v>355</v>
      </c>
      <c r="P45207" s="5" t="s">
        <v>355</v>
      </c>
      <c r="Q45207" s="5" t="s">
        <v>355</v>
      </c>
    </row>
    <row r="45208" ht="16.5" customHeight="1">
      <c r="O45208" s="5" t="s">
        <v>355</v>
      </c>
      <c r="P45208" s="5" t="s">
        <v>355</v>
      </c>
      <c r="Q45208" s="5" t="s">
        <v>355</v>
      </c>
    </row>
    <row r="45209" ht="16.5" customHeight="1">
      <c r="O45209" s="5" t="s">
        <v>355</v>
      </c>
      <c r="P45209" s="5" t="s">
        <v>355</v>
      </c>
      <c r="Q45209" s="5" t="s">
        <v>355</v>
      </c>
    </row>
    <row r="45210" ht="16.5" customHeight="1">
      <c r="O45210" s="5" t="s">
        <v>355</v>
      </c>
      <c r="P45210" s="5" t="s">
        <v>355</v>
      </c>
      <c r="Q45210" s="5" t="s">
        <v>355</v>
      </c>
    </row>
    <row r="45211" ht="16.5" customHeight="1">
      <c r="O45211" s="5" t="s">
        <v>355</v>
      </c>
      <c r="P45211" s="5" t="s">
        <v>355</v>
      </c>
      <c r="Q45211" s="5" t="s">
        <v>355</v>
      </c>
    </row>
    <row r="45212" ht="16.5" customHeight="1">
      <c r="O45212" s="5" t="s">
        <v>355</v>
      </c>
      <c r="P45212" s="5" t="s">
        <v>355</v>
      </c>
      <c r="Q45212" s="5" t="s">
        <v>355</v>
      </c>
    </row>
    <row r="45213" ht="16.5" customHeight="1">
      <c r="O45213" s="5" t="s">
        <v>355</v>
      </c>
      <c r="P45213" s="5" t="s">
        <v>355</v>
      </c>
      <c r="Q45213" s="5" t="s">
        <v>355</v>
      </c>
    </row>
    <row r="45214" ht="16.5" customHeight="1">
      <c r="O45214" s="5" t="s">
        <v>355</v>
      </c>
      <c r="P45214" s="5" t="s">
        <v>355</v>
      </c>
      <c r="Q45214" s="5" t="s">
        <v>355</v>
      </c>
    </row>
    <row r="45215" ht="16.5" customHeight="1">
      <c r="O45215" s="5" t="s">
        <v>355</v>
      </c>
      <c r="P45215" s="5" t="s">
        <v>355</v>
      </c>
      <c r="Q45215" s="5" t="s">
        <v>355</v>
      </c>
    </row>
    <row r="45216" ht="16.5" customHeight="1">
      <c r="O45216" s="5" t="s">
        <v>355</v>
      </c>
      <c r="P45216" s="5" t="s">
        <v>355</v>
      </c>
      <c r="Q45216" s="5" t="s">
        <v>355</v>
      </c>
    </row>
    <row r="45217" ht="16.5" customHeight="1">
      <c r="O45217" s="5" t="s">
        <v>355</v>
      </c>
      <c r="P45217" s="5" t="s">
        <v>355</v>
      </c>
      <c r="Q45217" s="5" t="s">
        <v>355</v>
      </c>
    </row>
    <row r="45218" ht="16.5" customHeight="1">
      <c r="O45218" s="5" t="s">
        <v>355</v>
      </c>
      <c r="P45218" s="5" t="s">
        <v>355</v>
      </c>
      <c r="Q45218" s="5" t="s">
        <v>355</v>
      </c>
    </row>
    <row r="45219" ht="16.5" customHeight="1">
      <c r="O45219" s="5" t="s">
        <v>355</v>
      </c>
      <c r="P45219" s="5" t="s">
        <v>355</v>
      </c>
      <c r="Q45219" s="5" t="s">
        <v>355</v>
      </c>
    </row>
    <row r="45220" ht="16.5" customHeight="1">
      <c r="O45220" s="5" t="s">
        <v>355</v>
      </c>
      <c r="P45220" s="5" t="s">
        <v>355</v>
      </c>
      <c r="Q45220" s="5" t="s">
        <v>355</v>
      </c>
    </row>
    <row r="45221" ht="16.5" customHeight="1">
      <c r="O45221" s="5" t="s">
        <v>355</v>
      </c>
      <c r="P45221" s="5" t="s">
        <v>355</v>
      </c>
      <c r="Q45221" s="5" t="s">
        <v>355</v>
      </c>
    </row>
    <row r="45222" ht="16.5" customHeight="1">
      <c r="O45222" s="5" t="s">
        <v>355</v>
      </c>
      <c r="P45222" s="5" t="s">
        <v>355</v>
      </c>
      <c r="Q45222" s="5" t="s">
        <v>355</v>
      </c>
    </row>
    <row r="45223" ht="16.5" customHeight="1">
      <c r="O45223" s="5" t="s">
        <v>355</v>
      </c>
      <c r="P45223" s="5" t="s">
        <v>355</v>
      </c>
      <c r="Q45223" s="5" t="s">
        <v>355</v>
      </c>
    </row>
    <row r="45224" ht="16.5" customHeight="1">
      <c r="O45224" s="5" t="s">
        <v>355</v>
      </c>
      <c r="P45224" s="5" t="s">
        <v>355</v>
      </c>
      <c r="Q45224" s="5" t="s">
        <v>355</v>
      </c>
    </row>
    <row r="45225" ht="16.5" customHeight="1">
      <c r="O45225" s="5" t="s">
        <v>355</v>
      </c>
      <c r="P45225" s="5" t="s">
        <v>355</v>
      </c>
      <c r="Q45225" s="5" t="s">
        <v>355</v>
      </c>
    </row>
    <row r="45226" ht="16.5" customHeight="1">
      <c r="O45226" s="5" t="s">
        <v>355</v>
      </c>
      <c r="P45226" s="5" t="s">
        <v>355</v>
      </c>
      <c r="Q45226" s="5" t="s">
        <v>355</v>
      </c>
    </row>
    <row r="45227" ht="16.5" customHeight="1">
      <c r="O45227" s="5" t="s">
        <v>355</v>
      </c>
      <c r="P45227" s="5" t="s">
        <v>355</v>
      </c>
      <c r="Q45227" s="5" t="s">
        <v>355</v>
      </c>
    </row>
    <row r="45228" ht="16.5" customHeight="1">
      <c r="O45228" s="5" t="s">
        <v>355</v>
      </c>
      <c r="P45228" s="5" t="s">
        <v>355</v>
      </c>
      <c r="Q45228" s="5" t="s">
        <v>355</v>
      </c>
    </row>
    <row r="45229" ht="16.5" customHeight="1">
      <c r="O45229" s="5" t="s">
        <v>355</v>
      </c>
      <c r="P45229" s="5" t="s">
        <v>355</v>
      </c>
      <c r="Q45229" s="5" t="s">
        <v>355</v>
      </c>
    </row>
    <row r="45230" ht="16.5" customHeight="1">
      <c r="O45230" s="5" t="s">
        <v>355</v>
      </c>
      <c r="P45230" s="5" t="s">
        <v>355</v>
      </c>
      <c r="Q45230" s="5" t="s">
        <v>355</v>
      </c>
    </row>
    <row r="45231" ht="16.5" customHeight="1">
      <c r="O45231" s="5" t="s">
        <v>355</v>
      </c>
      <c r="P45231" s="5" t="s">
        <v>355</v>
      </c>
      <c r="Q45231" s="5" t="s">
        <v>355</v>
      </c>
    </row>
    <row r="45232" ht="16.5" customHeight="1">
      <c r="O45232" s="5" t="s">
        <v>355</v>
      </c>
      <c r="P45232" s="5" t="s">
        <v>355</v>
      </c>
      <c r="Q45232" s="5" t="s">
        <v>355</v>
      </c>
    </row>
    <row r="45233" ht="16.5" customHeight="1">
      <c r="O45233" s="5" t="s">
        <v>355</v>
      </c>
      <c r="P45233" s="5" t="s">
        <v>355</v>
      </c>
      <c r="Q45233" s="5" t="s">
        <v>355</v>
      </c>
    </row>
    <row r="45234" ht="16.5" customHeight="1">
      <c r="O45234" s="5" t="s">
        <v>355</v>
      </c>
      <c r="P45234" s="5" t="s">
        <v>355</v>
      </c>
      <c r="Q45234" s="5" t="s">
        <v>355</v>
      </c>
    </row>
    <row r="45235" ht="16.5" customHeight="1">
      <c r="O45235" s="5" t="s">
        <v>355</v>
      </c>
      <c r="P45235" s="5" t="s">
        <v>355</v>
      </c>
      <c r="Q45235" s="5" t="s">
        <v>355</v>
      </c>
    </row>
    <row r="45236" ht="16.5" customHeight="1">
      <c r="O45236" s="5" t="s">
        <v>355</v>
      </c>
      <c r="P45236" s="5" t="s">
        <v>355</v>
      </c>
      <c r="Q45236" s="5" t="s">
        <v>355</v>
      </c>
    </row>
    <row r="45237" ht="16.5" customHeight="1">
      <c r="O45237" s="5" t="s">
        <v>355</v>
      </c>
      <c r="P45237" s="5" t="s">
        <v>355</v>
      </c>
      <c r="Q45237" s="5" t="s">
        <v>355</v>
      </c>
    </row>
    <row r="45238" ht="16.5" customHeight="1">
      <c r="O45238" s="5" t="s">
        <v>355</v>
      </c>
      <c r="P45238" s="5" t="s">
        <v>355</v>
      </c>
      <c r="Q45238" s="5" t="s">
        <v>355</v>
      </c>
    </row>
    <row r="45239" ht="16.5" customHeight="1">
      <c r="O45239" s="5" t="s">
        <v>355</v>
      </c>
      <c r="P45239" s="5" t="s">
        <v>355</v>
      </c>
      <c r="Q45239" s="5" t="s">
        <v>355</v>
      </c>
    </row>
    <row r="45240" ht="16.5" customHeight="1">
      <c r="O45240" s="5" t="s">
        <v>355</v>
      </c>
      <c r="P45240" s="5" t="s">
        <v>355</v>
      </c>
      <c r="Q45240" s="5" t="s">
        <v>355</v>
      </c>
    </row>
    <row r="45241" ht="16.5" customHeight="1">
      <c r="O45241" s="5" t="s">
        <v>355</v>
      </c>
      <c r="P45241" s="5" t="s">
        <v>355</v>
      </c>
      <c r="Q45241" s="5" t="s">
        <v>355</v>
      </c>
    </row>
    <row r="45242" ht="16.5" customHeight="1">
      <c r="O45242" s="5" t="s">
        <v>355</v>
      </c>
      <c r="P45242" s="5" t="s">
        <v>355</v>
      </c>
      <c r="Q45242" s="5" t="s">
        <v>355</v>
      </c>
    </row>
    <row r="45243" ht="16.5" customHeight="1">
      <c r="O45243" s="5" t="s">
        <v>355</v>
      </c>
      <c r="P45243" s="5" t="s">
        <v>355</v>
      </c>
      <c r="Q45243" s="5" t="s">
        <v>355</v>
      </c>
    </row>
    <row r="45244" ht="16.5" customHeight="1">
      <c r="O45244" s="5" t="s">
        <v>355</v>
      </c>
      <c r="P45244" s="5" t="s">
        <v>355</v>
      </c>
      <c r="Q45244" s="5" t="s">
        <v>355</v>
      </c>
    </row>
    <row r="45245" ht="16.5" customHeight="1">
      <c r="O45245" s="5" t="s">
        <v>355</v>
      </c>
      <c r="P45245" s="5" t="s">
        <v>355</v>
      </c>
      <c r="Q45245" s="5" t="s">
        <v>355</v>
      </c>
    </row>
    <row r="45246" ht="16.5" customHeight="1">
      <c r="O45246" s="5" t="s">
        <v>355</v>
      </c>
      <c r="P45246" s="5" t="s">
        <v>355</v>
      </c>
      <c r="Q45246" s="5" t="s">
        <v>355</v>
      </c>
    </row>
    <row r="45247" ht="16.5" customHeight="1">
      <c r="O45247" s="5" t="s">
        <v>355</v>
      </c>
      <c r="P45247" s="5" t="s">
        <v>355</v>
      </c>
      <c r="Q45247" s="5" t="s">
        <v>355</v>
      </c>
    </row>
    <row r="45248" ht="16.5" customHeight="1">
      <c r="O45248" s="5" t="s">
        <v>355</v>
      </c>
      <c r="P45248" s="5" t="s">
        <v>355</v>
      </c>
      <c r="Q45248" s="5" t="s">
        <v>355</v>
      </c>
    </row>
    <row r="45249" ht="16.5" customHeight="1">
      <c r="O45249" s="5" t="s">
        <v>355</v>
      </c>
      <c r="P45249" s="5" t="s">
        <v>355</v>
      </c>
      <c r="Q45249" s="5" t="s">
        <v>355</v>
      </c>
    </row>
    <row r="45250" ht="16.5" customHeight="1">
      <c r="O45250" s="5" t="s">
        <v>355</v>
      </c>
      <c r="P45250" s="5" t="s">
        <v>355</v>
      </c>
      <c r="Q45250" s="5" t="s">
        <v>355</v>
      </c>
    </row>
    <row r="45251" ht="16.5" customHeight="1">
      <c r="O45251" s="5" t="s">
        <v>355</v>
      </c>
      <c r="P45251" s="5" t="s">
        <v>355</v>
      </c>
      <c r="Q45251" s="5" t="s">
        <v>355</v>
      </c>
    </row>
    <row r="45252" ht="16.5" customHeight="1">
      <c r="O45252" s="5" t="s">
        <v>355</v>
      </c>
      <c r="P45252" s="5" t="s">
        <v>355</v>
      </c>
      <c r="Q45252" s="5" t="s">
        <v>355</v>
      </c>
    </row>
    <row r="45253" ht="16.5" customHeight="1">
      <c r="O45253" s="5" t="s">
        <v>355</v>
      </c>
      <c r="P45253" s="5" t="s">
        <v>355</v>
      </c>
      <c r="Q45253" s="5" t="s">
        <v>355</v>
      </c>
    </row>
    <row r="45254" ht="16.5" customHeight="1">
      <c r="O45254" s="5" t="s">
        <v>355</v>
      </c>
      <c r="P45254" s="5" t="s">
        <v>355</v>
      </c>
      <c r="Q45254" s="5" t="s">
        <v>355</v>
      </c>
    </row>
    <row r="45255" ht="16.5" customHeight="1">
      <c r="O45255" s="5" t="s">
        <v>355</v>
      </c>
      <c r="P45255" s="5" t="s">
        <v>355</v>
      </c>
      <c r="Q45255" s="5" t="s">
        <v>355</v>
      </c>
    </row>
    <row r="45256" ht="16.5" customHeight="1">
      <c r="O45256" s="5" t="s">
        <v>355</v>
      </c>
      <c r="P45256" s="5" t="s">
        <v>355</v>
      </c>
      <c r="Q45256" s="5" t="s">
        <v>355</v>
      </c>
    </row>
    <row r="45257" ht="16.5" customHeight="1">
      <c r="O45257" s="5" t="s">
        <v>355</v>
      </c>
      <c r="P45257" s="5" t="s">
        <v>355</v>
      </c>
      <c r="Q45257" s="5" t="s">
        <v>355</v>
      </c>
    </row>
    <row r="45258" ht="16.5" customHeight="1">
      <c r="O45258" s="5" t="s">
        <v>355</v>
      </c>
      <c r="P45258" s="5" t="s">
        <v>355</v>
      </c>
      <c r="Q45258" s="5" t="s">
        <v>355</v>
      </c>
    </row>
    <row r="45259" ht="16.5" customHeight="1">
      <c r="O45259" s="5" t="s">
        <v>355</v>
      </c>
      <c r="P45259" s="5" t="s">
        <v>355</v>
      </c>
      <c r="Q45259" s="5" t="s">
        <v>355</v>
      </c>
    </row>
    <row r="45260" ht="16.5" customHeight="1">
      <c r="O45260" s="5" t="s">
        <v>355</v>
      </c>
      <c r="P45260" s="5" t="s">
        <v>355</v>
      </c>
      <c r="Q45260" s="5" t="s">
        <v>355</v>
      </c>
    </row>
    <row r="45261" ht="16.5" customHeight="1">
      <c r="O45261" s="5" t="s">
        <v>355</v>
      </c>
      <c r="P45261" s="5" t="s">
        <v>355</v>
      </c>
      <c r="Q45261" s="5" t="s">
        <v>355</v>
      </c>
    </row>
    <row r="45262" ht="16.5" customHeight="1">
      <c r="O45262" s="5" t="s">
        <v>355</v>
      </c>
      <c r="P45262" s="5" t="s">
        <v>355</v>
      </c>
      <c r="Q45262" s="5" t="s">
        <v>355</v>
      </c>
    </row>
    <row r="45263" ht="16.5" customHeight="1">
      <c r="O45263" s="5" t="s">
        <v>355</v>
      </c>
      <c r="P45263" s="5" t="s">
        <v>355</v>
      </c>
      <c r="Q45263" s="5" t="s">
        <v>355</v>
      </c>
    </row>
    <row r="45264" ht="16.5" customHeight="1">
      <c r="O45264" s="5" t="s">
        <v>355</v>
      </c>
      <c r="P45264" s="5" t="s">
        <v>355</v>
      </c>
      <c r="Q45264" s="5" t="s">
        <v>355</v>
      </c>
    </row>
    <row r="45265" ht="16.5" customHeight="1">
      <c r="O45265" s="5" t="s">
        <v>355</v>
      </c>
      <c r="P45265" s="5" t="s">
        <v>355</v>
      </c>
      <c r="Q45265" s="5" t="s">
        <v>355</v>
      </c>
    </row>
    <row r="45266" ht="16.5" customHeight="1">
      <c r="O45266" s="5" t="s">
        <v>355</v>
      </c>
      <c r="P45266" s="5" t="s">
        <v>355</v>
      </c>
      <c r="Q45266" s="5" t="s">
        <v>355</v>
      </c>
    </row>
    <row r="45267" ht="16.5" customHeight="1">
      <c r="O45267" s="5" t="s">
        <v>355</v>
      </c>
      <c r="P45267" s="5" t="s">
        <v>355</v>
      </c>
      <c r="Q45267" s="5" t="s">
        <v>355</v>
      </c>
    </row>
    <row r="45268" ht="16.5" customHeight="1">
      <c r="O45268" s="5" t="s">
        <v>355</v>
      </c>
      <c r="P45268" s="5" t="s">
        <v>355</v>
      </c>
      <c r="Q45268" s="5" t="s">
        <v>355</v>
      </c>
    </row>
    <row r="45269" ht="16.5" customHeight="1">
      <c r="O45269" s="5" t="s">
        <v>355</v>
      </c>
      <c r="P45269" s="5" t="s">
        <v>355</v>
      </c>
      <c r="Q45269" s="5" t="s">
        <v>355</v>
      </c>
    </row>
    <row r="45270" ht="16.5" customHeight="1">
      <c r="O45270" s="5" t="s">
        <v>355</v>
      </c>
      <c r="P45270" s="5" t="s">
        <v>355</v>
      </c>
      <c r="Q45270" s="5" t="s">
        <v>355</v>
      </c>
    </row>
    <row r="45271" ht="16.5" customHeight="1">
      <c r="O45271" s="5" t="s">
        <v>355</v>
      </c>
      <c r="P45271" s="5" t="s">
        <v>355</v>
      </c>
      <c r="Q45271" s="5" t="s">
        <v>355</v>
      </c>
    </row>
    <row r="45272" ht="16.5" customHeight="1">
      <c r="O45272" s="5" t="s">
        <v>355</v>
      </c>
      <c r="P45272" s="5" t="s">
        <v>355</v>
      </c>
      <c r="Q45272" s="5" t="s">
        <v>355</v>
      </c>
    </row>
    <row r="45273" ht="16.5" customHeight="1">
      <c r="O45273" s="5" t="s">
        <v>355</v>
      </c>
      <c r="P45273" s="5" t="s">
        <v>355</v>
      </c>
      <c r="Q45273" s="5" t="s">
        <v>355</v>
      </c>
    </row>
    <row r="45274" ht="16.5" customHeight="1">
      <c r="O45274" s="5" t="s">
        <v>355</v>
      </c>
      <c r="P45274" s="5" t="s">
        <v>355</v>
      </c>
      <c r="Q45274" s="5" t="s">
        <v>355</v>
      </c>
    </row>
    <row r="45275" ht="16.5" customHeight="1">
      <c r="O45275" s="5" t="s">
        <v>355</v>
      </c>
      <c r="P45275" s="5" t="s">
        <v>355</v>
      </c>
      <c r="Q45275" s="5" t="s">
        <v>355</v>
      </c>
    </row>
    <row r="45276" ht="16.5" customHeight="1">
      <c r="O45276" s="5" t="s">
        <v>355</v>
      </c>
      <c r="P45276" s="5" t="s">
        <v>355</v>
      </c>
      <c r="Q45276" s="5" t="s">
        <v>355</v>
      </c>
    </row>
    <row r="45277" ht="16.5" customHeight="1">
      <c r="O45277" s="5" t="s">
        <v>355</v>
      </c>
      <c r="P45277" s="5" t="s">
        <v>355</v>
      </c>
      <c r="Q45277" s="5" t="s">
        <v>355</v>
      </c>
    </row>
    <row r="45278" ht="16.5" customHeight="1">
      <c r="O45278" s="5" t="s">
        <v>355</v>
      </c>
      <c r="P45278" s="5" t="s">
        <v>355</v>
      </c>
      <c r="Q45278" s="5" t="s">
        <v>355</v>
      </c>
    </row>
    <row r="45279" ht="16.5" customHeight="1">
      <c r="O45279" s="5" t="s">
        <v>355</v>
      </c>
      <c r="P45279" s="5" t="s">
        <v>355</v>
      </c>
      <c r="Q45279" s="5" t="s">
        <v>355</v>
      </c>
    </row>
    <row r="45280" ht="16.5" customHeight="1">
      <c r="O45280" s="5" t="s">
        <v>355</v>
      </c>
      <c r="P45280" s="5" t="s">
        <v>355</v>
      </c>
      <c r="Q45280" s="5" t="s">
        <v>355</v>
      </c>
    </row>
    <row r="45281" ht="16.5" customHeight="1">
      <c r="O45281" s="5" t="s">
        <v>355</v>
      </c>
      <c r="P45281" s="5" t="s">
        <v>355</v>
      </c>
      <c r="Q45281" s="5" t="s">
        <v>355</v>
      </c>
    </row>
    <row r="45282" ht="16.5" customHeight="1">
      <c r="O45282" s="5" t="s">
        <v>355</v>
      </c>
      <c r="P45282" s="5" t="s">
        <v>355</v>
      </c>
      <c r="Q45282" s="5" t="s">
        <v>355</v>
      </c>
    </row>
    <row r="45283" ht="16.5" customHeight="1">
      <c r="O45283" s="5" t="s">
        <v>355</v>
      </c>
      <c r="P45283" s="5" t="s">
        <v>355</v>
      </c>
      <c r="Q45283" s="5" t="s">
        <v>355</v>
      </c>
    </row>
    <row r="45284" ht="16.5" customHeight="1">
      <c r="O45284" s="5" t="s">
        <v>355</v>
      </c>
      <c r="P45284" s="5" t="s">
        <v>355</v>
      </c>
      <c r="Q45284" s="5" t="s">
        <v>355</v>
      </c>
    </row>
    <row r="45285" ht="16.5" customHeight="1">
      <c r="O45285" s="5" t="s">
        <v>355</v>
      </c>
      <c r="P45285" s="5" t="s">
        <v>355</v>
      </c>
      <c r="Q45285" s="5" t="s">
        <v>355</v>
      </c>
    </row>
    <row r="45286" ht="16.5" customHeight="1">
      <c r="O45286" s="5" t="s">
        <v>355</v>
      </c>
      <c r="P45286" s="5" t="s">
        <v>355</v>
      </c>
      <c r="Q45286" s="5" t="s">
        <v>355</v>
      </c>
    </row>
    <row r="45287" ht="16.5" customHeight="1">
      <c r="O45287" s="5" t="s">
        <v>355</v>
      </c>
      <c r="P45287" s="5" t="s">
        <v>355</v>
      </c>
      <c r="Q45287" s="5" t="s">
        <v>355</v>
      </c>
    </row>
    <row r="45288" ht="16.5" customHeight="1">
      <c r="O45288" s="5" t="s">
        <v>355</v>
      </c>
      <c r="P45288" s="5" t="s">
        <v>355</v>
      </c>
      <c r="Q45288" s="5" t="s">
        <v>355</v>
      </c>
    </row>
    <row r="45289" ht="16.5" customHeight="1">
      <c r="O45289" s="5" t="s">
        <v>355</v>
      </c>
      <c r="P45289" s="5" t="s">
        <v>355</v>
      </c>
      <c r="Q45289" s="5" t="s">
        <v>355</v>
      </c>
    </row>
    <row r="45290" ht="16.5" customHeight="1">
      <c r="O45290" s="5" t="s">
        <v>355</v>
      </c>
      <c r="P45290" s="5" t="s">
        <v>355</v>
      </c>
      <c r="Q45290" s="5" t="s">
        <v>355</v>
      </c>
    </row>
    <row r="45291" ht="16.5" customHeight="1">
      <c r="O45291" s="5" t="s">
        <v>355</v>
      </c>
      <c r="P45291" s="5" t="s">
        <v>355</v>
      </c>
      <c r="Q45291" s="5" t="s">
        <v>355</v>
      </c>
    </row>
    <row r="45292" ht="16.5" customHeight="1">
      <c r="O45292" s="5" t="s">
        <v>355</v>
      </c>
      <c r="P45292" s="5" t="s">
        <v>355</v>
      </c>
      <c r="Q45292" s="5" t="s">
        <v>355</v>
      </c>
    </row>
    <row r="45293" ht="16.5" customHeight="1">
      <c r="O45293" s="5" t="s">
        <v>355</v>
      </c>
      <c r="P45293" s="5" t="s">
        <v>355</v>
      </c>
      <c r="Q45293" s="5" t="s">
        <v>355</v>
      </c>
    </row>
    <row r="45294" ht="16.5" customHeight="1">
      <c r="O45294" s="5" t="s">
        <v>355</v>
      </c>
      <c r="P45294" s="5" t="s">
        <v>355</v>
      </c>
      <c r="Q45294" s="5" t="s">
        <v>355</v>
      </c>
    </row>
    <row r="45295" ht="16.5" customHeight="1">
      <c r="O45295" s="5" t="s">
        <v>355</v>
      </c>
      <c r="P45295" s="5" t="s">
        <v>355</v>
      </c>
      <c r="Q45295" s="5" t="s">
        <v>355</v>
      </c>
    </row>
    <row r="45296" ht="16.5" customHeight="1">
      <c r="O45296" s="5" t="s">
        <v>355</v>
      </c>
      <c r="P45296" s="5" t="s">
        <v>355</v>
      </c>
      <c r="Q45296" s="5" t="s">
        <v>355</v>
      </c>
    </row>
    <row r="45297" ht="16.5" customHeight="1">
      <c r="O45297" s="5" t="s">
        <v>355</v>
      </c>
      <c r="P45297" s="5" t="s">
        <v>355</v>
      </c>
      <c r="Q45297" s="5" t="s">
        <v>355</v>
      </c>
    </row>
    <row r="45298" ht="16.5" customHeight="1">
      <c r="O45298" s="5" t="s">
        <v>355</v>
      </c>
      <c r="P45298" s="5" t="s">
        <v>355</v>
      </c>
      <c r="Q45298" s="5" t="s">
        <v>355</v>
      </c>
    </row>
    <row r="45299" ht="16.5" customHeight="1">
      <c r="O45299" s="5" t="s">
        <v>355</v>
      </c>
      <c r="P45299" s="5" t="s">
        <v>355</v>
      </c>
      <c r="Q45299" s="5" t="s">
        <v>355</v>
      </c>
    </row>
    <row r="45300" ht="16.5" customHeight="1">
      <c r="O45300" s="5" t="s">
        <v>355</v>
      </c>
      <c r="P45300" s="5" t="s">
        <v>355</v>
      </c>
      <c r="Q45300" s="5" t="s">
        <v>355</v>
      </c>
    </row>
    <row r="45301" ht="16.5" customHeight="1">
      <c r="O45301" s="5" t="s">
        <v>355</v>
      </c>
      <c r="P45301" s="5" t="s">
        <v>355</v>
      </c>
      <c r="Q45301" s="5" t="s">
        <v>355</v>
      </c>
    </row>
    <row r="45302" ht="16.5" customHeight="1">
      <c r="O45302" s="5" t="s">
        <v>355</v>
      </c>
      <c r="P45302" s="5" t="s">
        <v>355</v>
      </c>
      <c r="Q45302" s="5" t="s">
        <v>355</v>
      </c>
    </row>
    <row r="45303" ht="16.5" customHeight="1">
      <c r="O45303" s="5" t="s">
        <v>355</v>
      </c>
      <c r="P45303" s="5" t="s">
        <v>355</v>
      </c>
      <c r="Q45303" s="5" t="s">
        <v>355</v>
      </c>
    </row>
    <row r="45304" ht="16.5" customHeight="1">
      <c r="O45304" s="5" t="s">
        <v>355</v>
      </c>
      <c r="P45304" s="5" t="s">
        <v>355</v>
      </c>
      <c r="Q45304" s="5" t="s">
        <v>355</v>
      </c>
    </row>
    <row r="45305" ht="16.5" customHeight="1">
      <c r="O45305" s="5" t="s">
        <v>355</v>
      </c>
      <c r="P45305" s="5" t="s">
        <v>355</v>
      </c>
      <c r="Q45305" s="5" t="s">
        <v>355</v>
      </c>
    </row>
    <row r="45306" ht="16.5" customHeight="1">
      <c r="O45306" s="5" t="s">
        <v>355</v>
      </c>
      <c r="P45306" s="5" t="s">
        <v>355</v>
      </c>
      <c r="Q45306" s="5" t="s">
        <v>355</v>
      </c>
    </row>
    <row r="45307" ht="16.5" customHeight="1">
      <c r="O45307" s="5" t="s">
        <v>355</v>
      </c>
      <c r="P45307" s="5" t="s">
        <v>355</v>
      </c>
      <c r="Q45307" s="5" t="s">
        <v>355</v>
      </c>
    </row>
    <row r="45308" ht="16.5" customHeight="1">
      <c r="O45308" s="5" t="s">
        <v>355</v>
      </c>
      <c r="P45308" s="5" t="s">
        <v>355</v>
      </c>
      <c r="Q45308" s="5" t="s">
        <v>355</v>
      </c>
    </row>
    <row r="45309" ht="16.5" customHeight="1">
      <c r="O45309" s="5" t="s">
        <v>355</v>
      </c>
      <c r="P45309" s="5" t="s">
        <v>355</v>
      </c>
      <c r="Q45309" s="5" t="s">
        <v>355</v>
      </c>
    </row>
    <row r="45310" ht="16.5" customHeight="1">
      <c r="O45310" s="5" t="s">
        <v>355</v>
      </c>
      <c r="P45310" s="5" t="s">
        <v>355</v>
      </c>
      <c r="Q45310" s="5" t="s">
        <v>355</v>
      </c>
    </row>
    <row r="45311" ht="16.5" customHeight="1">
      <c r="O45311" s="5" t="s">
        <v>355</v>
      </c>
      <c r="P45311" s="5" t="s">
        <v>355</v>
      </c>
      <c r="Q45311" s="5" t="s">
        <v>355</v>
      </c>
    </row>
    <row r="45312" ht="16.5" customHeight="1">
      <c r="O45312" s="5" t="s">
        <v>355</v>
      </c>
      <c r="P45312" s="5" t="s">
        <v>355</v>
      </c>
      <c r="Q45312" s="5" t="s">
        <v>355</v>
      </c>
    </row>
    <row r="45313" ht="16.5" customHeight="1">
      <c r="O45313" s="5" t="s">
        <v>355</v>
      </c>
      <c r="P45313" s="5" t="s">
        <v>355</v>
      </c>
      <c r="Q45313" s="5" t="s">
        <v>355</v>
      </c>
    </row>
    <row r="45314" ht="16.5" customHeight="1">
      <c r="O45314" s="5" t="s">
        <v>355</v>
      </c>
      <c r="P45314" s="5" t="s">
        <v>355</v>
      </c>
      <c r="Q45314" s="5" t="s">
        <v>355</v>
      </c>
    </row>
    <row r="45315" ht="16.5" customHeight="1">
      <c r="O45315" s="5" t="s">
        <v>355</v>
      </c>
      <c r="P45315" s="5" t="s">
        <v>355</v>
      </c>
      <c r="Q45315" s="5" t="s">
        <v>355</v>
      </c>
    </row>
    <row r="45316" ht="16.5" customHeight="1">
      <c r="O45316" s="5" t="s">
        <v>355</v>
      </c>
      <c r="P45316" s="5" t="s">
        <v>355</v>
      </c>
      <c r="Q45316" s="5" t="s">
        <v>355</v>
      </c>
    </row>
    <row r="45317" ht="16.5" customHeight="1">
      <c r="O45317" s="5" t="s">
        <v>355</v>
      </c>
      <c r="P45317" s="5" t="s">
        <v>355</v>
      </c>
      <c r="Q45317" s="5" t="s">
        <v>355</v>
      </c>
    </row>
    <row r="45318" ht="16.5" customHeight="1">
      <c r="O45318" s="5" t="s">
        <v>355</v>
      </c>
      <c r="P45318" s="5" t="s">
        <v>355</v>
      </c>
      <c r="Q45318" s="5" t="s">
        <v>355</v>
      </c>
    </row>
    <row r="45319" ht="16.5" customHeight="1">
      <c r="O45319" s="5" t="s">
        <v>355</v>
      </c>
      <c r="P45319" s="5" t="s">
        <v>355</v>
      </c>
      <c r="Q45319" s="5" t="s">
        <v>355</v>
      </c>
    </row>
    <row r="45320" ht="16.5" customHeight="1">
      <c r="O45320" s="5" t="s">
        <v>355</v>
      </c>
      <c r="P45320" s="5" t="s">
        <v>355</v>
      </c>
      <c r="Q45320" s="5" t="s">
        <v>355</v>
      </c>
    </row>
    <row r="45321" ht="16.5" customHeight="1">
      <c r="O45321" s="5" t="s">
        <v>355</v>
      </c>
      <c r="P45321" s="5" t="s">
        <v>355</v>
      </c>
      <c r="Q45321" s="5" t="s">
        <v>355</v>
      </c>
    </row>
    <row r="45322" ht="16.5" customHeight="1">
      <c r="O45322" s="5" t="s">
        <v>355</v>
      </c>
      <c r="P45322" s="5" t="s">
        <v>355</v>
      </c>
      <c r="Q45322" s="5" t="s">
        <v>355</v>
      </c>
    </row>
    <row r="45323" ht="16.5" customHeight="1">
      <c r="O45323" s="5" t="s">
        <v>355</v>
      </c>
      <c r="P45323" s="5" t="s">
        <v>355</v>
      </c>
      <c r="Q45323" s="5" t="s">
        <v>355</v>
      </c>
    </row>
    <row r="45324" ht="16.5" customHeight="1">
      <c r="O45324" s="5" t="s">
        <v>355</v>
      </c>
      <c r="P45324" s="5" t="s">
        <v>355</v>
      </c>
      <c r="Q45324" s="5" t="s">
        <v>355</v>
      </c>
    </row>
    <row r="45325" ht="16.5" customHeight="1">
      <c r="O45325" s="5" t="s">
        <v>355</v>
      </c>
      <c r="P45325" s="5" t="s">
        <v>355</v>
      </c>
      <c r="Q45325" s="5" t="s">
        <v>355</v>
      </c>
    </row>
    <row r="45326" ht="16.5" customHeight="1">
      <c r="O45326" s="5" t="s">
        <v>355</v>
      </c>
      <c r="P45326" s="5" t="s">
        <v>355</v>
      </c>
      <c r="Q45326" s="5" t="s">
        <v>355</v>
      </c>
    </row>
    <row r="45327" ht="16.5" customHeight="1">
      <c r="O45327" s="5" t="s">
        <v>355</v>
      </c>
      <c r="P45327" s="5" t="s">
        <v>355</v>
      </c>
      <c r="Q45327" s="5" t="s">
        <v>355</v>
      </c>
    </row>
    <row r="45328" ht="16.5" customHeight="1">
      <c r="O45328" s="5" t="s">
        <v>355</v>
      </c>
      <c r="P45328" s="5" t="s">
        <v>355</v>
      </c>
      <c r="Q45328" s="5" t="s">
        <v>355</v>
      </c>
    </row>
    <row r="45329" ht="16.5" customHeight="1">
      <c r="O45329" s="5" t="s">
        <v>355</v>
      </c>
      <c r="P45329" s="5" t="s">
        <v>355</v>
      </c>
      <c r="Q45329" s="5" t="s">
        <v>355</v>
      </c>
    </row>
    <row r="45330" ht="16.5" customHeight="1">
      <c r="O45330" s="5" t="s">
        <v>355</v>
      </c>
      <c r="P45330" s="5" t="s">
        <v>355</v>
      </c>
      <c r="Q45330" s="5" t="s">
        <v>355</v>
      </c>
    </row>
    <row r="45331" ht="16.5" customHeight="1">
      <c r="O45331" s="5" t="s">
        <v>355</v>
      </c>
      <c r="P45331" s="5" t="s">
        <v>355</v>
      </c>
      <c r="Q45331" s="5" t="s">
        <v>355</v>
      </c>
    </row>
    <row r="45332" ht="16.5" customHeight="1">
      <c r="O45332" s="5" t="s">
        <v>355</v>
      </c>
      <c r="P45332" s="5" t="s">
        <v>355</v>
      </c>
      <c r="Q45332" s="5" t="s">
        <v>355</v>
      </c>
    </row>
    <row r="45333" ht="16.5" customHeight="1">
      <c r="O45333" s="5" t="s">
        <v>355</v>
      </c>
      <c r="P45333" s="5" t="s">
        <v>355</v>
      </c>
      <c r="Q45333" s="5" t="s">
        <v>355</v>
      </c>
    </row>
    <row r="45334" ht="16.5" customHeight="1">
      <c r="O45334" s="5" t="s">
        <v>355</v>
      </c>
      <c r="P45334" s="5" t="s">
        <v>355</v>
      </c>
      <c r="Q45334" s="5" t="s">
        <v>355</v>
      </c>
    </row>
    <row r="45335" ht="16.5" customHeight="1">
      <c r="O45335" s="5" t="s">
        <v>355</v>
      </c>
      <c r="P45335" s="5" t="s">
        <v>355</v>
      </c>
      <c r="Q45335" s="5" t="s">
        <v>355</v>
      </c>
    </row>
    <row r="45336" ht="16.5" customHeight="1">
      <c r="O45336" s="5" t="s">
        <v>355</v>
      </c>
      <c r="P45336" s="5" t="s">
        <v>355</v>
      </c>
      <c r="Q45336" s="5" t="s">
        <v>355</v>
      </c>
    </row>
    <row r="45337" ht="16.5" customHeight="1">
      <c r="O45337" s="5" t="s">
        <v>355</v>
      </c>
      <c r="P45337" s="5" t="s">
        <v>355</v>
      </c>
      <c r="Q45337" s="5" t="s">
        <v>355</v>
      </c>
    </row>
    <row r="45338" ht="16.5" customHeight="1">
      <c r="O45338" s="5" t="s">
        <v>355</v>
      </c>
      <c r="P45338" s="5" t="s">
        <v>355</v>
      </c>
      <c r="Q45338" s="5" t="s">
        <v>355</v>
      </c>
    </row>
    <row r="45339" ht="16.5" customHeight="1">
      <c r="O45339" s="5" t="s">
        <v>355</v>
      </c>
      <c r="P45339" s="5" t="s">
        <v>355</v>
      </c>
      <c r="Q45339" s="5" t="s">
        <v>355</v>
      </c>
    </row>
    <row r="45340" ht="16.5" customHeight="1">
      <c r="O45340" s="5" t="s">
        <v>355</v>
      </c>
      <c r="P45340" s="5" t="s">
        <v>355</v>
      </c>
      <c r="Q45340" s="5" t="s">
        <v>355</v>
      </c>
    </row>
    <row r="45341" ht="16.5" customHeight="1">
      <c r="O45341" s="5" t="s">
        <v>355</v>
      </c>
      <c r="P45341" s="5" t="s">
        <v>355</v>
      </c>
      <c r="Q45341" s="5" t="s">
        <v>355</v>
      </c>
    </row>
    <row r="45342" ht="16.5" customHeight="1">
      <c r="O45342" s="5" t="s">
        <v>355</v>
      </c>
      <c r="P45342" s="5" t="s">
        <v>355</v>
      </c>
      <c r="Q45342" s="5" t="s">
        <v>355</v>
      </c>
    </row>
    <row r="45343" ht="16.5" customHeight="1">
      <c r="O45343" s="5" t="s">
        <v>355</v>
      </c>
      <c r="P45343" s="5" t="s">
        <v>355</v>
      </c>
      <c r="Q45343" s="5" t="s">
        <v>355</v>
      </c>
    </row>
    <row r="45344" ht="16.5" customHeight="1">
      <c r="O45344" s="5" t="s">
        <v>355</v>
      </c>
      <c r="P45344" s="5" t="s">
        <v>355</v>
      </c>
      <c r="Q45344" s="5" t="s">
        <v>355</v>
      </c>
    </row>
    <row r="45345" ht="16.5" customHeight="1">
      <c r="O45345" s="5" t="s">
        <v>355</v>
      </c>
      <c r="P45345" s="5" t="s">
        <v>355</v>
      </c>
      <c r="Q45345" s="5" t="s">
        <v>355</v>
      </c>
    </row>
    <row r="45346" ht="16.5" customHeight="1">
      <c r="O45346" s="5" t="s">
        <v>355</v>
      </c>
      <c r="P45346" s="5" t="s">
        <v>355</v>
      </c>
      <c r="Q45346" s="5" t="s">
        <v>355</v>
      </c>
    </row>
    <row r="45347" ht="16.5" customHeight="1">
      <c r="O45347" s="5" t="s">
        <v>355</v>
      </c>
      <c r="P45347" s="5" t="s">
        <v>355</v>
      </c>
      <c r="Q45347" s="5" t="s">
        <v>355</v>
      </c>
    </row>
    <row r="45348" ht="16.5" customHeight="1">
      <c r="O45348" s="5" t="s">
        <v>355</v>
      </c>
      <c r="P45348" s="5" t="s">
        <v>355</v>
      </c>
      <c r="Q45348" s="5" t="s">
        <v>355</v>
      </c>
    </row>
    <row r="45349" ht="16.5" customHeight="1">
      <c r="O45349" s="5" t="s">
        <v>355</v>
      </c>
      <c r="P45349" s="5" t="s">
        <v>355</v>
      </c>
      <c r="Q45349" s="5" t="s">
        <v>355</v>
      </c>
    </row>
    <row r="45350" ht="16.5" customHeight="1">
      <c r="O45350" s="5" t="s">
        <v>355</v>
      </c>
      <c r="P45350" s="5" t="s">
        <v>355</v>
      </c>
      <c r="Q45350" s="5" t="s">
        <v>355</v>
      </c>
    </row>
    <row r="45351" ht="16.5" customHeight="1">
      <c r="O45351" s="5" t="s">
        <v>355</v>
      </c>
      <c r="P45351" s="5" t="s">
        <v>355</v>
      </c>
      <c r="Q45351" s="5" t="s">
        <v>355</v>
      </c>
    </row>
    <row r="45352" ht="16.5" customHeight="1">
      <c r="O45352" s="5" t="s">
        <v>355</v>
      </c>
      <c r="P45352" s="5" t="s">
        <v>355</v>
      </c>
      <c r="Q45352" s="5" t="s">
        <v>355</v>
      </c>
    </row>
    <row r="45353" ht="16.5" customHeight="1">
      <c r="O45353" s="5" t="s">
        <v>355</v>
      </c>
      <c r="P45353" s="5" t="s">
        <v>355</v>
      </c>
      <c r="Q45353" s="5" t="s">
        <v>355</v>
      </c>
    </row>
    <row r="45354" ht="16.5" customHeight="1">
      <c r="O45354" s="5" t="s">
        <v>355</v>
      </c>
      <c r="P45354" s="5" t="s">
        <v>355</v>
      </c>
      <c r="Q45354" s="5" t="s">
        <v>355</v>
      </c>
    </row>
    <row r="45355" ht="16.5" customHeight="1">
      <c r="O45355" s="5" t="s">
        <v>355</v>
      </c>
      <c r="P45355" s="5" t="s">
        <v>355</v>
      </c>
      <c r="Q45355" s="5" t="s">
        <v>355</v>
      </c>
    </row>
    <row r="45356" ht="16.5" customHeight="1">
      <c r="O45356" s="5" t="s">
        <v>355</v>
      </c>
      <c r="P45356" s="5" t="s">
        <v>355</v>
      </c>
      <c r="Q45356" s="5" t="s">
        <v>355</v>
      </c>
    </row>
    <row r="45357" ht="16.5" customHeight="1">
      <c r="O45357" s="5" t="s">
        <v>355</v>
      </c>
      <c r="P45357" s="5" t="s">
        <v>355</v>
      </c>
      <c r="Q45357" s="5" t="s">
        <v>355</v>
      </c>
    </row>
    <row r="45358" ht="16.5" customHeight="1">
      <c r="O45358" s="5" t="s">
        <v>355</v>
      </c>
      <c r="P45358" s="5" t="s">
        <v>355</v>
      </c>
      <c r="Q45358" s="5" t="s">
        <v>355</v>
      </c>
    </row>
    <row r="45359" ht="16.5" customHeight="1">
      <c r="O45359" s="5" t="s">
        <v>355</v>
      </c>
      <c r="P45359" s="5" t="s">
        <v>355</v>
      </c>
      <c r="Q45359" s="5" t="s">
        <v>355</v>
      </c>
    </row>
    <row r="45360" ht="16.5" customHeight="1">
      <c r="O45360" s="5" t="s">
        <v>355</v>
      </c>
      <c r="P45360" s="5" t="s">
        <v>355</v>
      </c>
      <c r="Q45360" s="5" t="s">
        <v>355</v>
      </c>
    </row>
    <row r="45361" ht="16.5" customHeight="1">
      <c r="O45361" s="5" t="s">
        <v>355</v>
      </c>
      <c r="P45361" s="5" t="s">
        <v>355</v>
      </c>
      <c r="Q45361" s="5" t="s">
        <v>355</v>
      </c>
    </row>
    <row r="45362" ht="16.5" customHeight="1">
      <c r="O45362" s="5" t="s">
        <v>355</v>
      </c>
      <c r="P45362" s="5" t="s">
        <v>355</v>
      </c>
      <c r="Q45362" s="5" t="s">
        <v>355</v>
      </c>
    </row>
    <row r="45363" ht="16.5" customHeight="1">
      <c r="O45363" s="5" t="s">
        <v>355</v>
      </c>
      <c r="P45363" s="5" t="s">
        <v>355</v>
      </c>
      <c r="Q45363" s="5" t="s">
        <v>355</v>
      </c>
    </row>
    <row r="45364" ht="16.5" customHeight="1">
      <c r="O45364" s="5" t="s">
        <v>355</v>
      </c>
      <c r="P45364" s="5" t="s">
        <v>355</v>
      </c>
      <c r="Q45364" s="5" t="s">
        <v>355</v>
      </c>
    </row>
    <row r="45365" ht="16.5" customHeight="1">
      <c r="O45365" s="5" t="s">
        <v>355</v>
      </c>
      <c r="P45365" s="5" t="s">
        <v>355</v>
      </c>
      <c r="Q45365" s="5" t="s">
        <v>355</v>
      </c>
    </row>
    <row r="45366" ht="16.5" customHeight="1">
      <c r="O45366" s="5" t="s">
        <v>355</v>
      </c>
      <c r="P45366" s="5" t="s">
        <v>355</v>
      </c>
      <c r="Q45366" s="5" t="s">
        <v>355</v>
      </c>
    </row>
    <row r="45367" ht="16.5" customHeight="1">
      <c r="O45367" s="5" t="s">
        <v>355</v>
      </c>
      <c r="P45367" s="5" t="s">
        <v>355</v>
      </c>
      <c r="Q45367" s="5" t="s">
        <v>355</v>
      </c>
    </row>
    <row r="45368" ht="16.5" customHeight="1">
      <c r="O45368" s="5" t="s">
        <v>355</v>
      </c>
      <c r="P45368" s="5" t="s">
        <v>355</v>
      </c>
      <c r="Q45368" s="5" t="s">
        <v>355</v>
      </c>
    </row>
    <row r="45369" ht="16.5" customHeight="1">
      <c r="O45369" s="5" t="s">
        <v>355</v>
      </c>
      <c r="P45369" s="5" t="s">
        <v>355</v>
      </c>
      <c r="Q45369" s="5" t="s">
        <v>355</v>
      </c>
    </row>
    <row r="45370" ht="16.5" customHeight="1">
      <c r="O45370" s="5" t="s">
        <v>355</v>
      </c>
      <c r="P45370" s="5" t="s">
        <v>355</v>
      </c>
      <c r="Q45370" s="5" t="s">
        <v>355</v>
      </c>
    </row>
    <row r="45371" ht="16.5" customHeight="1">
      <c r="O45371" s="5" t="s">
        <v>355</v>
      </c>
      <c r="P45371" s="5" t="s">
        <v>355</v>
      </c>
      <c r="Q45371" s="5" t="s">
        <v>355</v>
      </c>
    </row>
    <row r="45372" ht="16.5" customHeight="1">
      <c r="O45372" s="5" t="s">
        <v>355</v>
      </c>
      <c r="P45372" s="5" t="s">
        <v>355</v>
      </c>
      <c r="Q45372" s="5" t="s">
        <v>355</v>
      </c>
    </row>
    <row r="45373" ht="16.5" customHeight="1">
      <c r="O45373" s="5" t="s">
        <v>355</v>
      </c>
      <c r="P45373" s="5" t="s">
        <v>355</v>
      </c>
      <c r="Q45373" s="5" t="s">
        <v>355</v>
      </c>
    </row>
    <row r="45374" ht="16.5" customHeight="1">
      <c r="O45374" s="5" t="s">
        <v>355</v>
      </c>
      <c r="P45374" s="5" t="s">
        <v>355</v>
      </c>
      <c r="Q45374" s="5" t="s">
        <v>355</v>
      </c>
    </row>
    <row r="45375" ht="16.5" customHeight="1">
      <c r="O45375" s="5" t="s">
        <v>355</v>
      </c>
      <c r="P45375" s="5" t="s">
        <v>355</v>
      </c>
      <c r="Q45375" s="5" t="s">
        <v>355</v>
      </c>
    </row>
    <row r="45376" ht="16.5" customHeight="1">
      <c r="O45376" s="5" t="s">
        <v>355</v>
      </c>
      <c r="P45376" s="5" t="s">
        <v>355</v>
      </c>
      <c r="Q45376" s="5" t="s">
        <v>355</v>
      </c>
    </row>
    <row r="45377" ht="16.5" customHeight="1">
      <c r="O45377" s="5" t="s">
        <v>355</v>
      </c>
      <c r="P45377" s="5" t="s">
        <v>355</v>
      </c>
      <c r="Q45377" s="5" t="s">
        <v>355</v>
      </c>
    </row>
    <row r="45378" ht="16.5" customHeight="1">
      <c r="O45378" s="5" t="s">
        <v>355</v>
      </c>
      <c r="P45378" s="5" t="s">
        <v>355</v>
      </c>
      <c r="Q45378" s="5" t="s">
        <v>355</v>
      </c>
    </row>
    <row r="45379" ht="16.5" customHeight="1">
      <c r="O45379" s="5" t="s">
        <v>355</v>
      </c>
      <c r="P45379" s="5" t="s">
        <v>355</v>
      </c>
      <c r="Q45379" s="5" t="s">
        <v>355</v>
      </c>
    </row>
    <row r="45380" ht="16.5" customHeight="1">
      <c r="O45380" s="5" t="s">
        <v>355</v>
      </c>
      <c r="P45380" s="5" t="s">
        <v>355</v>
      </c>
      <c r="Q45380" s="5" t="s">
        <v>355</v>
      </c>
    </row>
    <row r="45381" ht="16.5" customHeight="1">
      <c r="O45381" s="5" t="s">
        <v>355</v>
      </c>
      <c r="P45381" s="5" t="s">
        <v>355</v>
      </c>
      <c r="Q45381" s="5" t="s">
        <v>355</v>
      </c>
    </row>
    <row r="45382" ht="16.5" customHeight="1">
      <c r="O45382" s="5" t="s">
        <v>355</v>
      </c>
      <c r="P45382" s="5" t="s">
        <v>355</v>
      </c>
      <c r="Q45382" s="5" t="s">
        <v>355</v>
      </c>
    </row>
    <row r="45383" ht="16.5" customHeight="1">
      <c r="O45383" s="5" t="s">
        <v>355</v>
      </c>
      <c r="P45383" s="5" t="s">
        <v>355</v>
      </c>
      <c r="Q45383" s="5" t="s">
        <v>355</v>
      </c>
    </row>
    <row r="45384" ht="16.5" customHeight="1">
      <c r="O45384" s="5" t="s">
        <v>355</v>
      </c>
      <c r="P45384" s="5" t="s">
        <v>355</v>
      </c>
      <c r="Q45384" s="5" t="s">
        <v>355</v>
      </c>
    </row>
    <row r="45385" ht="16.5" customHeight="1">
      <c r="O45385" s="5" t="s">
        <v>355</v>
      </c>
      <c r="P45385" s="5" t="s">
        <v>355</v>
      </c>
      <c r="Q45385" s="5" t="s">
        <v>355</v>
      </c>
    </row>
    <row r="45386" ht="16.5" customHeight="1">
      <c r="O45386" s="5" t="s">
        <v>355</v>
      </c>
      <c r="P45386" s="5" t="s">
        <v>355</v>
      </c>
      <c r="Q45386" s="5" t="s">
        <v>355</v>
      </c>
    </row>
    <row r="45387" ht="16.5" customHeight="1">
      <c r="O45387" s="5" t="s">
        <v>355</v>
      </c>
      <c r="P45387" s="5" t="s">
        <v>355</v>
      </c>
      <c r="Q45387" s="5" t="s">
        <v>355</v>
      </c>
    </row>
    <row r="45388" ht="16.5" customHeight="1">
      <c r="O45388" s="5" t="s">
        <v>355</v>
      </c>
      <c r="P45388" s="5" t="s">
        <v>355</v>
      </c>
      <c r="Q45388" s="5" t="s">
        <v>355</v>
      </c>
    </row>
    <row r="45389" ht="16.5" customHeight="1">
      <c r="O45389" s="5" t="s">
        <v>355</v>
      </c>
      <c r="P45389" s="5" t="s">
        <v>355</v>
      </c>
      <c r="Q45389" s="5" t="s">
        <v>355</v>
      </c>
    </row>
    <row r="45390" ht="16.5" customHeight="1">
      <c r="O45390" s="5" t="s">
        <v>355</v>
      </c>
      <c r="P45390" s="5" t="s">
        <v>355</v>
      </c>
      <c r="Q45390" s="5" t="s">
        <v>355</v>
      </c>
    </row>
    <row r="45391" ht="16.5" customHeight="1">
      <c r="O45391" s="5" t="s">
        <v>355</v>
      </c>
      <c r="P45391" s="5" t="s">
        <v>355</v>
      </c>
      <c r="Q45391" s="5" t="s">
        <v>355</v>
      </c>
    </row>
    <row r="45392" ht="16.5" customHeight="1">
      <c r="O45392" s="5" t="s">
        <v>355</v>
      </c>
      <c r="P45392" s="5" t="s">
        <v>355</v>
      </c>
      <c r="Q45392" s="5" t="s">
        <v>355</v>
      </c>
    </row>
    <row r="45393" ht="16.5" customHeight="1">
      <c r="O45393" s="5" t="s">
        <v>355</v>
      </c>
      <c r="P45393" s="5" t="s">
        <v>355</v>
      </c>
      <c r="Q45393" s="5" t="s">
        <v>355</v>
      </c>
    </row>
    <row r="45394" ht="16.5" customHeight="1">
      <c r="O45394" s="5" t="s">
        <v>355</v>
      </c>
      <c r="P45394" s="5" t="s">
        <v>355</v>
      </c>
      <c r="Q45394" s="5" t="s">
        <v>355</v>
      </c>
    </row>
    <row r="45395" ht="16.5" customHeight="1">
      <c r="O45395" s="5" t="s">
        <v>355</v>
      </c>
      <c r="P45395" s="5" t="s">
        <v>355</v>
      </c>
      <c r="Q45395" s="5" t="s">
        <v>355</v>
      </c>
    </row>
    <row r="45396" ht="16.5" customHeight="1">
      <c r="O45396" s="5" t="s">
        <v>355</v>
      </c>
      <c r="P45396" s="5" t="s">
        <v>355</v>
      </c>
      <c r="Q45396" s="5" t="s">
        <v>355</v>
      </c>
    </row>
    <row r="45397" ht="16.5" customHeight="1">
      <c r="O45397" s="5" t="s">
        <v>355</v>
      </c>
      <c r="P45397" s="5" t="s">
        <v>355</v>
      </c>
      <c r="Q45397" s="5" t="s">
        <v>355</v>
      </c>
    </row>
    <row r="45398" ht="16.5" customHeight="1">
      <c r="O45398" s="5" t="s">
        <v>355</v>
      </c>
      <c r="P45398" s="5" t="s">
        <v>355</v>
      </c>
      <c r="Q45398" s="5" t="s">
        <v>355</v>
      </c>
    </row>
    <row r="45399" ht="16.5" customHeight="1">
      <c r="O45399" s="5" t="s">
        <v>355</v>
      </c>
      <c r="P45399" s="5" t="s">
        <v>355</v>
      </c>
      <c r="Q45399" s="5" t="s">
        <v>355</v>
      </c>
    </row>
    <row r="45400" ht="16.5" customHeight="1">
      <c r="O45400" s="5" t="s">
        <v>355</v>
      </c>
      <c r="P45400" s="5" t="s">
        <v>355</v>
      </c>
      <c r="Q45400" s="5" t="s">
        <v>355</v>
      </c>
    </row>
    <row r="45401" ht="16.5" customHeight="1">
      <c r="O45401" s="5" t="s">
        <v>355</v>
      </c>
      <c r="P45401" s="5" t="s">
        <v>355</v>
      </c>
      <c r="Q45401" s="5" t="s">
        <v>355</v>
      </c>
    </row>
    <row r="45402" ht="16.5" customHeight="1">
      <c r="O45402" s="5" t="s">
        <v>355</v>
      </c>
      <c r="P45402" s="5" t="s">
        <v>355</v>
      </c>
      <c r="Q45402" s="5" t="s">
        <v>355</v>
      </c>
    </row>
    <row r="45403" ht="16.5" customHeight="1">
      <c r="O45403" s="5" t="s">
        <v>355</v>
      </c>
      <c r="P45403" s="5" t="s">
        <v>355</v>
      </c>
      <c r="Q45403" s="5" t="s">
        <v>355</v>
      </c>
    </row>
    <row r="45404" ht="16.5" customHeight="1">
      <c r="O45404" s="5" t="s">
        <v>355</v>
      </c>
      <c r="P45404" s="5" t="s">
        <v>355</v>
      </c>
      <c r="Q45404" s="5" t="s">
        <v>355</v>
      </c>
    </row>
    <row r="45405" ht="16.5" customHeight="1">
      <c r="O45405" s="5" t="s">
        <v>355</v>
      </c>
      <c r="P45405" s="5" t="s">
        <v>355</v>
      </c>
      <c r="Q45405" s="5" t="s">
        <v>355</v>
      </c>
    </row>
    <row r="45406" ht="16.5" customHeight="1">
      <c r="O45406" s="5" t="s">
        <v>355</v>
      </c>
      <c r="P45406" s="5" t="s">
        <v>355</v>
      </c>
      <c r="Q45406" s="5" t="s">
        <v>355</v>
      </c>
    </row>
    <row r="45407" ht="16.5" customHeight="1">
      <c r="O45407" s="5" t="s">
        <v>355</v>
      </c>
      <c r="P45407" s="5" t="s">
        <v>355</v>
      </c>
      <c r="Q45407" s="5" t="s">
        <v>355</v>
      </c>
    </row>
    <row r="45408" ht="16.5" customHeight="1">
      <c r="O45408" s="5" t="s">
        <v>355</v>
      </c>
      <c r="P45408" s="5" t="s">
        <v>355</v>
      </c>
      <c r="Q45408" s="5" t="s">
        <v>355</v>
      </c>
    </row>
    <row r="45409" ht="16.5" customHeight="1">
      <c r="O45409" s="5" t="s">
        <v>355</v>
      </c>
      <c r="P45409" s="5" t="s">
        <v>355</v>
      </c>
      <c r="Q45409" s="5" t="s">
        <v>355</v>
      </c>
    </row>
    <row r="45410" ht="16.5" customHeight="1">
      <c r="O45410" s="5" t="s">
        <v>355</v>
      </c>
      <c r="P45410" s="5" t="s">
        <v>355</v>
      </c>
      <c r="Q45410" s="5" t="s">
        <v>355</v>
      </c>
    </row>
    <row r="45411" ht="16.5" customHeight="1">
      <c r="O45411" s="5" t="s">
        <v>355</v>
      </c>
      <c r="P45411" s="5" t="s">
        <v>355</v>
      </c>
      <c r="Q45411" s="5" t="s">
        <v>355</v>
      </c>
    </row>
    <row r="45412" ht="16.5" customHeight="1">
      <c r="O45412" s="5" t="s">
        <v>355</v>
      </c>
      <c r="P45412" s="5" t="s">
        <v>355</v>
      </c>
      <c r="Q45412" s="5" t="s">
        <v>355</v>
      </c>
    </row>
    <row r="45413" ht="16.5" customHeight="1">
      <c r="O45413" s="5" t="s">
        <v>355</v>
      </c>
      <c r="P45413" s="5" t="s">
        <v>355</v>
      </c>
      <c r="Q45413" s="5" t="s">
        <v>355</v>
      </c>
    </row>
    <row r="45414" ht="16.5" customHeight="1">
      <c r="O45414" s="5" t="s">
        <v>355</v>
      </c>
      <c r="P45414" s="5" t="s">
        <v>355</v>
      </c>
      <c r="Q45414" s="5" t="s">
        <v>355</v>
      </c>
    </row>
    <row r="45415" ht="16.5" customHeight="1">
      <c r="O45415" s="5" t="s">
        <v>355</v>
      </c>
      <c r="P45415" s="5" t="s">
        <v>355</v>
      </c>
      <c r="Q45415" s="5" t="s">
        <v>355</v>
      </c>
    </row>
    <row r="45416" ht="16.5" customHeight="1">
      <c r="O45416" s="5" t="s">
        <v>355</v>
      </c>
      <c r="P45416" s="5" t="s">
        <v>355</v>
      </c>
      <c r="Q45416" s="5" t="s">
        <v>355</v>
      </c>
    </row>
    <row r="45417" ht="16.5" customHeight="1">
      <c r="O45417" s="5" t="s">
        <v>355</v>
      </c>
      <c r="P45417" s="5" t="s">
        <v>355</v>
      </c>
      <c r="Q45417" s="5" t="s">
        <v>355</v>
      </c>
    </row>
    <row r="45418" ht="16.5" customHeight="1">
      <c r="O45418" s="5" t="s">
        <v>355</v>
      </c>
      <c r="P45418" s="5" t="s">
        <v>355</v>
      </c>
      <c r="Q45418" s="5" t="s">
        <v>355</v>
      </c>
    </row>
    <row r="45419" ht="16.5" customHeight="1">
      <c r="O45419" s="5" t="s">
        <v>355</v>
      </c>
      <c r="P45419" s="5" t="s">
        <v>355</v>
      </c>
      <c r="Q45419" s="5" t="s">
        <v>355</v>
      </c>
    </row>
    <row r="45420" ht="16.5" customHeight="1">
      <c r="O45420" s="5" t="s">
        <v>355</v>
      </c>
      <c r="P45420" s="5" t="s">
        <v>355</v>
      </c>
      <c r="Q45420" s="5" t="s">
        <v>355</v>
      </c>
    </row>
    <row r="45421" ht="16.5" customHeight="1">
      <c r="O45421" s="5" t="s">
        <v>355</v>
      </c>
      <c r="P45421" s="5" t="s">
        <v>355</v>
      </c>
      <c r="Q45421" s="5" t="s">
        <v>355</v>
      </c>
    </row>
    <row r="45422" ht="16.5" customHeight="1">
      <c r="O45422" s="5" t="s">
        <v>355</v>
      </c>
      <c r="P45422" s="5" t="s">
        <v>355</v>
      </c>
      <c r="Q45422" s="5" t="s">
        <v>355</v>
      </c>
    </row>
    <row r="45423" ht="16.5" customHeight="1">
      <c r="O45423" s="5" t="s">
        <v>355</v>
      </c>
      <c r="P45423" s="5" t="s">
        <v>355</v>
      </c>
      <c r="Q45423" s="5" t="s">
        <v>355</v>
      </c>
    </row>
    <row r="45424" ht="16.5" customHeight="1">
      <c r="O45424" s="5" t="s">
        <v>355</v>
      </c>
      <c r="P45424" s="5" t="s">
        <v>355</v>
      </c>
      <c r="Q45424" s="5" t="s">
        <v>355</v>
      </c>
    </row>
    <row r="45425" ht="16.5" customHeight="1">
      <c r="O45425" s="5" t="s">
        <v>355</v>
      </c>
      <c r="P45425" s="5" t="s">
        <v>355</v>
      </c>
      <c r="Q45425" s="5" t="s">
        <v>355</v>
      </c>
    </row>
    <row r="45426" ht="16.5" customHeight="1">
      <c r="O45426" s="5" t="s">
        <v>355</v>
      </c>
      <c r="P45426" s="5" t="s">
        <v>355</v>
      </c>
      <c r="Q45426" s="5" t="s">
        <v>355</v>
      </c>
    </row>
    <row r="45427" ht="16.5" customHeight="1">
      <c r="O45427" s="5" t="s">
        <v>355</v>
      </c>
      <c r="P45427" s="5" t="s">
        <v>355</v>
      </c>
      <c r="Q45427" s="5" t="s">
        <v>355</v>
      </c>
    </row>
    <row r="45428" ht="16.5" customHeight="1">
      <c r="O45428" s="5" t="s">
        <v>355</v>
      </c>
      <c r="P45428" s="5" t="s">
        <v>355</v>
      </c>
      <c r="Q45428" s="5" t="s">
        <v>355</v>
      </c>
    </row>
    <row r="45429" ht="16.5" customHeight="1">
      <c r="O45429" s="5" t="s">
        <v>355</v>
      </c>
      <c r="P45429" s="5" t="s">
        <v>355</v>
      </c>
      <c r="Q45429" s="5" t="s">
        <v>355</v>
      </c>
    </row>
    <row r="45430" ht="16.5" customHeight="1">
      <c r="O45430" s="5" t="s">
        <v>355</v>
      </c>
      <c r="P45430" s="5" t="s">
        <v>355</v>
      </c>
      <c r="Q45430" s="5" t="s">
        <v>355</v>
      </c>
    </row>
    <row r="45431" ht="16.5" customHeight="1">
      <c r="O45431" s="5" t="s">
        <v>355</v>
      </c>
      <c r="P45431" s="5" t="s">
        <v>355</v>
      </c>
      <c r="Q45431" s="5" t="s">
        <v>355</v>
      </c>
    </row>
    <row r="45432" ht="16.5" customHeight="1">
      <c r="O45432" s="5" t="s">
        <v>355</v>
      </c>
      <c r="P45432" s="5" t="s">
        <v>355</v>
      </c>
      <c r="Q45432" s="5" t="s">
        <v>355</v>
      </c>
    </row>
    <row r="45433" ht="16.5" customHeight="1">
      <c r="O45433" s="5" t="s">
        <v>355</v>
      </c>
      <c r="P45433" s="5" t="s">
        <v>355</v>
      </c>
      <c r="Q45433" s="5" t="s">
        <v>355</v>
      </c>
    </row>
    <row r="45434" ht="16.5" customHeight="1">
      <c r="O45434" s="5" t="s">
        <v>355</v>
      </c>
      <c r="P45434" s="5" t="s">
        <v>355</v>
      </c>
      <c r="Q45434" s="5" t="s">
        <v>355</v>
      </c>
    </row>
    <row r="45435" ht="16.5" customHeight="1">
      <c r="O45435" s="5" t="s">
        <v>355</v>
      </c>
      <c r="P45435" s="5" t="s">
        <v>355</v>
      </c>
      <c r="Q45435" s="5" t="s">
        <v>355</v>
      </c>
    </row>
    <row r="45436" ht="16.5" customHeight="1">
      <c r="O45436" s="5" t="s">
        <v>355</v>
      </c>
      <c r="P45436" s="5" t="s">
        <v>355</v>
      </c>
      <c r="Q45436" s="5" t="s">
        <v>355</v>
      </c>
    </row>
    <row r="45437" ht="16.5" customHeight="1">
      <c r="O45437" s="5" t="s">
        <v>355</v>
      </c>
      <c r="P45437" s="5" t="s">
        <v>355</v>
      </c>
      <c r="Q45437" s="5" t="s">
        <v>355</v>
      </c>
    </row>
    <row r="45438" ht="16.5" customHeight="1">
      <c r="O45438" s="5" t="s">
        <v>355</v>
      </c>
      <c r="P45438" s="5" t="s">
        <v>355</v>
      </c>
      <c r="Q45438" s="5" t="s">
        <v>355</v>
      </c>
    </row>
    <row r="45439" ht="16.5" customHeight="1">
      <c r="O45439" s="5" t="s">
        <v>355</v>
      </c>
      <c r="P45439" s="5" t="s">
        <v>355</v>
      </c>
      <c r="Q45439" s="5" t="s">
        <v>355</v>
      </c>
    </row>
    <row r="45440" ht="16.5" customHeight="1">
      <c r="O45440" s="5" t="s">
        <v>355</v>
      </c>
      <c r="P45440" s="5" t="s">
        <v>355</v>
      </c>
      <c r="Q45440" s="5" t="s">
        <v>355</v>
      </c>
    </row>
    <row r="45441" ht="16.5" customHeight="1">
      <c r="O45441" s="5" t="s">
        <v>355</v>
      </c>
      <c r="P45441" s="5" t="s">
        <v>355</v>
      </c>
      <c r="Q45441" s="5" t="s">
        <v>355</v>
      </c>
    </row>
    <row r="45442" ht="16.5" customHeight="1">
      <c r="O45442" s="5" t="s">
        <v>355</v>
      </c>
      <c r="P45442" s="5" t="s">
        <v>355</v>
      </c>
      <c r="Q45442" s="5" t="s">
        <v>355</v>
      </c>
    </row>
    <row r="45443" ht="16.5" customHeight="1">
      <c r="O45443" s="5" t="s">
        <v>355</v>
      </c>
      <c r="P45443" s="5" t="s">
        <v>355</v>
      </c>
      <c r="Q45443" s="5" t="s">
        <v>355</v>
      </c>
    </row>
    <row r="45444" ht="16.5" customHeight="1">
      <c r="O45444" s="5" t="s">
        <v>355</v>
      </c>
      <c r="P45444" s="5" t="s">
        <v>355</v>
      </c>
      <c r="Q45444" s="5" t="s">
        <v>355</v>
      </c>
    </row>
    <row r="45445" ht="16.5" customHeight="1">
      <c r="O45445" s="5" t="s">
        <v>355</v>
      </c>
      <c r="P45445" s="5" t="s">
        <v>355</v>
      </c>
      <c r="Q45445" s="5" t="s">
        <v>355</v>
      </c>
    </row>
    <row r="45446" ht="16.5" customHeight="1">
      <c r="O45446" s="5" t="s">
        <v>355</v>
      </c>
      <c r="P45446" s="5" t="s">
        <v>355</v>
      </c>
      <c r="Q45446" s="5" t="s">
        <v>355</v>
      </c>
    </row>
    <row r="45447" ht="16.5" customHeight="1">
      <c r="O45447" s="5" t="s">
        <v>355</v>
      </c>
      <c r="P45447" s="5" t="s">
        <v>355</v>
      </c>
      <c r="Q45447" s="5" t="s">
        <v>355</v>
      </c>
    </row>
    <row r="45448" ht="16.5" customHeight="1">
      <c r="O45448" s="5" t="s">
        <v>355</v>
      </c>
      <c r="P45448" s="5" t="s">
        <v>355</v>
      </c>
      <c r="Q45448" s="5" t="s">
        <v>355</v>
      </c>
    </row>
    <row r="45449" ht="16.5" customHeight="1">
      <c r="O45449" s="5" t="s">
        <v>355</v>
      </c>
      <c r="P45449" s="5" t="s">
        <v>355</v>
      </c>
      <c r="Q45449" s="5" t="s">
        <v>355</v>
      </c>
    </row>
    <row r="45450" ht="16.5" customHeight="1">
      <c r="O45450" s="5" t="s">
        <v>355</v>
      </c>
      <c r="P45450" s="5" t="s">
        <v>355</v>
      </c>
      <c r="Q45450" s="5" t="s">
        <v>355</v>
      </c>
    </row>
    <row r="45451" ht="16.5" customHeight="1">
      <c r="O45451" s="5" t="s">
        <v>355</v>
      </c>
      <c r="P45451" s="5" t="s">
        <v>355</v>
      </c>
      <c r="Q45451" s="5" t="s">
        <v>355</v>
      </c>
    </row>
    <row r="45452" ht="16.5" customHeight="1">
      <c r="O45452" s="5" t="s">
        <v>355</v>
      </c>
      <c r="P45452" s="5" t="s">
        <v>355</v>
      </c>
      <c r="Q45452" s="5" t="s">
        <v>355</v>
      </c>
    </row>
    <row r="45453" ht="16.5" customHeight="1">
      <c r="O45453" s="5" t="s">
        <v>355</v>
      </c>
      <c r="P45453" s="5" t="s">
        <v>355</v>
      </c>
      <c r="Q45453" s="5" t="s">
        <v>355</v>
      </c>
    </row>
    <row r="45454" ht="16.5" customHeight="1">
      <c r="O45454" s="5" t="s">
        <v>355</v>
      </c>
      <c r="P45454" s="5" t="s">
        <v>355</v>
      </c>
      <c r="Q45454" s="5" t="s">
        <v>355</v>
      </c>
    </row>
    <row r="45455" ht="16.5" customHeight="1">
      <c r="O45455" s="5" t="s">
        <v>355</v>
      </c>
      <c r="P45455" s="5" t="s">
        <v>355</v>
      </c>
      <c r="Q45455" s="5" t="s">
        <v>355</v>
      </c>
    </row>
    <row r="45456" ht="16.5" customHeight="1">
      <c r="O45456" s="5" t="s">
        <v>355</v>
      </c>
      <c r="P45456" s="5" t="s">
        <v>355</v>
      </c>
      <c r="Q45456" s="5" t="s">
        <v>355</v>
      </c>
    </row>
    <row r="45457" ht="16.5" customHeight="1">
      <c r="O45457" s="5" t="s">
        <v>355</v>
      </c>
      <c r="P45457" s="5" t="s">
        <v>355</v>
      </c>
      <c r="Q45457" s="5" t="s">
        <v>355</v>
      </c>
    </row>
    <row r="45458" ht="16.5" customHeight="1">
      <c r="O45458" s="5" t="s">
        <v>355</v>
      </c>
      <c r="P45458" s="5" t="s">
        <v>355</v>
      </c>
      <c r="Q45458" s="5" t="s">
        <v>355</v>
      </c>
    </row>
    <row r="45459" ht="16.5" customHeight="1">
      <c r="O45459" s="5" t="s">
        <v>355</v>
      </c>
      <c r="P45459" s="5" t="s">
        <v>355</v>
      </c>
      <c r="Q45459" s="5" t="s">
        <v>355</v>
      </c>
    </row>
    <row r="45460" ht="16.5" customHeight="1">
      <c r="O45460" s="5" t="s">
        <v>355</v>
      </c>
      <c r="P45460" s="5" t="s">
        <v>355</v>
      </c>
      <c r="Q45460" s="5" t="s">
        <v>355</v>
      </c>
    </row>
    <row r="45461" ht="16.5" customHeight="1">
      <c r="O45461" s="5" t="s">
        <v>355</v>
      </c>
      <c r="P45461" s="5" t="s">
        <v>355</v>
      </c>
      <c r="Q45461" s="5" t="s">
        <v>355</v>
      </c>
    </row>
    <row r="45462" ht="16.5" customHeight="1">
      <c r="O45462" s="5" t="s">
        <v>355</v>
      </c>
      <c r="P45462" s="5" t="s">
        <v>355</v>
      </c>
      <c r="Q45462" s="5" t="s">
        <v>355</v>
      </c>
    </row>
    <row r="45463" ht="16.5" customHeight="1">
      <c r="O45463" s="5" t="s">
        <v>355</v>
      </c>
      <c r="P45463" s="5" t="s">
        <v>355</v>
      </c>
      <c r="Q45463" s="5" t="s">
        <v>355</v>
      </c>
    </row>
    <row r="45464" ht="16.5" customHeight="1">
      <c r="O45464" s="5" t="s">
        <v>355</v>
      </c>
      <c r="P45464" s="5" t="s">
        <v>355</v>
      </c>
      <c r="Q45464" s="5" t="s">
        <v>355</v>
      </c>
    </row>
    <row r="45465" ht="16.5" customHeight="1">
      <c r="O45465" s="5" t="s">
        <v>355</v>
      </c>
      <c r="P45465" s="5" t="s">
        <v>355</v>
      </c>
      <c r="Q45465" s="5" t="s">
        <v>355</v>
      </c>
    </row>
    <row r="45466" ht="16.5" customHeight="1">
      <c r="O45466" s="5" t="s">
        <v>355</v>
      </c>
      <c r="P45466" s="5" t="s">
        <v>355</v>
      </c>
      <c r="Q45466" s="5" t="s">
        <v>355</v>
      </c>
    </row>
    <row r="45467" ht="16.5" customHeight="1">
      <c r="O45467" s="5" t="s">
        <v>355</v>
      </c>
      <c r="P45467" s="5" t="s">
        <v>355</v>
      </c>
      <c r="Q45467" s="5" t="s">
        <v>355</v>
      </c>
    </row>
    <row r="45468" ht="16.5" customHeight="1">
      <c r="O45468" s="5" t="s">
        <v>355</v>
      </c>
      <c r="P45468" s="5" t="s">
        <v>355</v>
      </c>
      <c r="Q45468" s="5" t="s">
        <v>355</v>
      </c>
    </row>
    <row r="45469" ht="16.5" customHeight="1">
      <c r="O45469" s="5" t="s">
        <v>355</v>
      </c>
      <c r="P45469" s="5" t="s">
        <v>355</v>
      </c>
      <c r="Q45469" s="5" t="s">
        <v>355</v>
      </c>
    </row>
    <row r="45470" ht="16.5" customHeight="1">
      <c r="O45470" s="5" t="s">
        <v>355</v>
      </c>
      <c r="P45470" s="5" t="s">
        <v>355</v>
      </c>
      <c r="Q45470" s="5" t="s">
        <v>355</v>
      </c>
    </row>
    <row r="45471" ht="16.5" customHeight="1">
      <c r="O45471" s="5" t="s">
        <v>355</v>
      </c>
      <c r="P45471" s="5" t="s">
        <v>355</v>
      </c>
      <c r="Q45471" s="5" t="s">
        <v>355</v>
      </c>
    </row>
    <row r="45472" ht="16.5" customHeight="1">
      <c r="O45472" s="5" t="s">
        <v>355</v>
      </c>
      <c r="P45472" s="5" t="s">
        <v>355</v>
      </c>
      <c r="Q45472" s="5" t="s">
        <v>355</v>
      </c>
    </row>
    <row r="45473" ht="16.5" customHeight="1">
      <c r="O45473" s="5" t="s">
        <v>355</v>
      </c>
      <c r="P45473" s="5" t="s">
        <v>355</v>
      </c>
      <c r="Q45473" s="5" t="s">
        <v>355</v>
      </c>
    </row>
    <row r="45474" ht="16.5" customHeight="1">
      <c r="O45474" s="5" t="s">
        <v>355</v>
      </c>
      <c r="P45474" s="5" t="s">
        <v>355</v>
      </c>
      <c r="Q45474" s="5" t="s">
        <v>355</v>
      </c>
    </row>
    <row r="45475" ht="16.5" customHeight="1">
      <c r="O45475" s="5" t="s">
        <v>355</v>
      </c>
      <c r="P45475" s="5" t="s">
        <v>355</v>
      </c>
      <c r="Q45475" s="5" t="s">
        <v>355</v>
      </c>
    </row>
    <row r="45476" ht="16.5" customHeight="1">
      <c r="O45476" s="5" t="s">
        <v>355</v>
      </c>
      <c r="P45476" s="5" t="s">
        <v>355</v>
      </c>
      <c r="Q45476" s="5" t="s">
        <v>355</v>
      </c>
    </row>
    <row r="45477" ht="16.5" customHeight="1">
      <c r="O45477" s="5" t="s">
        <v>355</v>
      </c>
      <c r="P45477" s="5" t="s">
        <v>355</v>
      </c>
      <c r="Q45477" s="5" t="s">
        <v>355</v>
      </c>
    </row>
    <row r="45478" ht="16.5" customHeight="1">
      <c r="O45478" s="5" t="s">
        <v>355</v>
      </c>
      <c r="P45478" s="5" t="s">
        <v>355</v>
      </c>
      <c r="Q45478" s="5" t="s">
        <v>355</v>
      </c>
    </row>
    <row r="45479" ht="16.5" customHeight="1">
      <c r="O45479" s="5" t="s">
        <v>355</v>
      </c>
      <c r="P45479" s="5" t="s">
        <v>355</v>
      </c>
      <c r="Q45479" s="5" t="s">
        <v>355</v>
      </c>
    </row>
    <row r="45480" ht="16.5" customHeight="1">
      <c r="O45480" s="5" t="s">
        <v>355</v>
      </c>
      <c r="P45480" s="5" t="s">
        <v>355</v>
      </c>
      <c r="Q45480" s="5" t="s">
        <v>355</v>
      </c>
    </row>
    <row r="45481" ht="16.5" customHeight="1">
      <c r="O45481" s="5" t="s">
        <v>355</v>
      </c>
      <c r="P45481" s="5" t="s">
        <v>355</v>
      </c>
      <c r="Q45481" s="5" t="s">
        <v>355</v>
      </c>
    </row>
    <row r="45482" ht="16.5" customHeight="1">
      <c r="O45482" s="5" t="s">
        <v>355</v>
      </c>
      <c r="P45482" s="5" t="s">
        <v>355</v>
      </c>
      <c r="Q45482" s="5" t="s">
        <v>355</v>
      </c>
    </row>
    <row r="45483" ht="16.5" customHeight="1">
      <c r="O45483" s="5" t="s">
        <v>355</v>
      </c>
      <c r="P45483" s="5" t="s">
        <v>355</v>
      </c>
      <c r="Q45483" s="5" t="s">
        <v>355</v>
      </c>
    </row>
    <row r="45484" ht="16.5" customHeight="1">
      <c r="O45484" s="5" t="s">
        <v>355</v>
      </c>
      <c r="P45484" s="5" t="s">
        <v>355</v>
      </c>
      <c r="Q45484" s="5" t="s">
        <v>355</v>
      </c>
    </row>
    <row r="45485" ht="16.5" customHeight="1">
      <c r="O45485" s="5" t="s">
        <v>355</v>
      </c>
      <c r="P45485" s="5" t="s">
        <v>355</v>
      </c>
      <c r="Q45485" s="5" t="s">
        <v>355</v>
      </c>
    </row>
    <row r="45486" ht="16.5" customHeight="1">
      <c r="O45486" s="5" t="s">
        <v>355</v>
      </c>
      <c r="P45486" s="5" t="s">
        <v>355</v>
      </c>
      <c r="Q45486" s="5" t="s">
        <v>355</v>
      </c>
    </row>
    <row r="45487" ht="16.5" customHeight="1">
      <c r="O45487" s="5" t="s">
        <v>355</v>
      </c>
      <c r="P45487" s="5" t="s">
        <v>355</v>
      </c>
      <c r="Q45487" s="5" t="s">
        <v>355</v>
      </c>
    </row>
    <row r="45488" ht="16.5" customHeight="1">
      <c r="O45488" s="5" t="s">
        <v>355</v>
      </c>
      <c r="P45488" s="5" t="s">
        <v>355</v>
      </c>
      <c r="Q45488" s="5" t="s">
        <v>355</v>
      </c>
    </row>
    <row r="45489" ht="16.5" customHeight="1">
      <c r="O45489" s="5" t="s">
        <v>355</v>
      </c>
      <c r="P45489" s="5" t="s">
        <v>355</v>
      </c>
      <c r="Q45489" s="5" t="s">
        <v>355</v>
      </c>
    </row>
    <row r="45490" ht="16.5" customHeight="1">
      <c r="O45490" s="5" t="s">
        <v>355</v>
      </c>
      <c r="P45490" s="5" t="s">
        <v>355</v>
      </c>
      <c r="Q45490" s="5" t="s">
        <v>355</v>
      </c>
    </row>
    <row r="45491" ht="16.5" customHeight="1">
      <c r="O45491" s="5" t="s">
        <v>355</v>
      </c>
      <c r="P45491" s="5" t="s">
        <v>355</v>
      </c>
      <c r="Q45491" s="5" t="s">
        <v>355</v>
      </c>
    </row>
    <row r="45492" ht="16.5" customHeight="1">
      <c r="O45492" s="5" t="s">
        <v>355</v>
      </c>
      <c r="P45492" s="5" t="s">
        <v>355</v>
      </c>
      <c r="Q45492" s="5" t="s">
        <v>355</v>
      </c>
    </row>
    <row r="45493" ht="16.5" customHeight="1">
      <c r="O45493" s="5" t="s">
        <v>355</v>
      </c>
      <c r="P45493" s="5" t="s">
        <v>355</v>
      </c>
      <c r="Q45493" s="5" t="s">
        <v>355</v>
      </c>
    </row>
    <row r="45494" ht="16.5" customHeight="1">
      <c r="O45494" s="5" t="s">
        <v>355</v>
      </c>
      <c r="P45494" s="5" t="s">
        <v>355</v>
      </c>
      <c r="Q45494" s="5" t="s">
        <v>355</v>
      </c>
    </row>
    <row r="45495" ht="16.5" customHeight="1">
      <c r="O45495" s="5" t="s">
        <v>355</v>
      </c>
      <c r="P45495" s="5" t="s">
        <v>355</v>
      </c>
      <c r="Q45495" s="5" t="s">
        <v>355</v>
      </c>
    </row>
    <row r="45496" ht="16.5" customHeight="1">
      <c r="O45496" s="5" t="s">
        <v>355</v>
      </c>
      <c r="P45496" s="5" t="s">
        <v>355</v>
      </c>
      <c r="Q45496" s="5" t="s">
        <v>355</v>
      </c>
    </row>
    <row r="45497" ht="16.5" customHeight="1">
      <c r="O45497" s="5" t="s">
        <v>355</v>
      </c>
      <c r="P45497" s="5" t="s">
        <v>355</v>
      </c>
      <c r="Q45497" s="5" t="s">
        <v>355</v>
      </c>
    </row>
    <row r="45498" ht="16.5" customHeight="1">
      <c r="O45498" s="5" t="s">
        <v>355</v>
      </c>
      <c r="P45498" s="5" t="s">
        <v>355</v>
      </c>
      <c r="Q45498" s="5" t="s">
        <v>355</v>
      </c>
    </row>
    <row r="45499" ht="16.5" customHeight="1">
      <c r="O45499" s="5" t="s">
        <v>355</v>
      </c>
      <c r="P45499" s="5" t="s">
        <v>355</v>
      </c>
      <c r="Q45499" s="5" t="s">
        <v>355</v>
      </c>
    </row>
    <row r="45500" ht="16.5" customHeight="1">
      <c r="O45500" s="5" t="s">
        <v>355</v>
      </c>
      <c r="P45500" s="5" t="s">
        <v>355</v>
      </c>
      <c r="Q45500" s="5" t="s">
        <v>355</v>
      </c>
    </row>
    <row r="45501" ht="16.5" customHeight="1">
      <c r="O45501" s="5" t="s">
        <v>355</v>
      </c>
      <c r="P45501" s="5" t="s">
        <v>355</v>
      </c>
      <c r="Q45501" s="5" t="s">
        <v>355</v>
      </c>
    </row>
    <row r="45502" ht="16.5" customHeight="1">
      <c r="O45502" s="5" t="s">
        <v>355</v>
      </c>
      <c r="P45502" s="5" t="s">
        <v>355</v>
      </c>
      <c r="Q45502" s="5" t="s">
        <v>355</v>
      </c>
    </row>
    <row r="45503" ht="16.5" customHeight="1">
      <c r="O45503" s="5" t="s">
        <v>355</v>
      </c>
      <c r="P45503" s="5" t="s">
        <v>355</v>
      </c>
      <c r="Q45503" s="5" t="s">
        <v>355</v>
      </c>
    </row>
    <row r="45504" ht="16.5" customHeight="1">
      <c r="O45504" s="5" t="s">
        <v>355</v>
      </c>
      <c r="P45504" s="5" t="s">
        <v>355</v>
      </c>
      <c r="Q45504" s="5" t="s">
        <v>355</v>
      </c>
    </row>
    <row r="45505" ht="16.5" customHeight="1">
      <c r="O45505" s="5" t="s">
        <v>355</v>
      </c>
      <c r="P45505" s="5" t="s">
        <v>355</v>
      </c>
      <c r="Q45505" s="5" t="s">
        <v>355</v>
      </c>
    </row>
    <row r="45506" ht="16.5" customHeight="1">
      <c r="O45506" s="5" t="s">
        <v>355</v>
      </c>
      <c r="P45506" s="5" t="s">
        <v>355</v>
      </c>
      <c r="Q45506" s="5" t="s">
        <v>355</v>
      </c>
    </row>
    <row r="45507" ht="16.5" customHeight="1">
      <c r="O45507" s="5" t="s">
        <v>355</v>
      </c>
      <c r="P45507" s="5" t="s">
        <v>355</v>
      </c>
      <c r="Q45507" s="5" t="s">
        <v>355</v>
      </c>
    </row>
    <row r="45508" ht="16.5" customHeight="1">
      <c r="O45508" s="5" t="s">
        <v>355</v>
      </c>
      <c r="P45508" s="5" t="s">
        <v>355</v>
      </c>
      <c r="Q45508" s="5" t="s">
        <v>355</v>
      </c>
    </row>
    <row r="45509" ht="16.5" customHeight="1">
      <c r="O45509" s="5" t="s">
        <v>355</v>
      </c>
      <c r="P45509" s="5" t="s">
        <v>355</v>
      </c>
      <c r="Q45509" s="5" t="s">
        <v>355</v>
      </c>
    </row>
    <row r="45510" ht="16.5" customHeight="1">
      <c r="O45510" s="5" t="s">
        <v>355</v>
      </c>
      <c r="P45510" s="5" t="s">
        <v>355</v>
      </c>
      <c r="Q45510" s="5" t="s">
        <v>355</v>
      </c>
    </row>
    <row r="45511" ht="16.5" customHeight="1">
      <c r="O45511" s="5" t="s">
        <v>355</v>
      </c>
      <c r="P45511" s="5" t="s">
        <v>355</v>
      </c>
      <c r="Q45511" s="5" t="s">
        <v>355</v>
      </c>
    </row>
    <row r="45512" ht="16.5" customHeight="1">
      <c r="O45512" s="5" t="s">
        <v>355</v>
      </c>
      <c r="P45512" s="5" t="s">
        <v>355</v>
      </c>
      <c r="Q45512" s="5" t="s">
        <v>355</v>
      </c>
    </row>
    <row r="45513" ht="16.5" customHeight="1">
      <c r="O45513" s="5" t="s">
        <v>355</v>
      </c>
      <c r="P45513" s="5" t="s">
        <v>355</v>
      </c>
      <c r="Q45513" s="5" t="s">
        <v>355</v>
      </c>
    </row>
    <row r="45514" ht="16.5" customHeight="1">
      <c r="O45514" s="5" t="s">
        <v>355</v>
      </c>
      <c r="P45514" s="5" t="s">
        <v>355</v>
      </c>
      <c r="Q45514" s="5" t="s">
        <v>355</v>
      </c>
    </row>
    <row r="45515" ht="16.5" customHeight="1">
      <c r="O45515" s="5" t="s">
        <v>355</v>
      </c>
      <c r="P45515" s="5" t="s">
        <v>355</v>
      </c>
      <c r="Q45515" s="5" t="s">
        <v>355</v>
      </c>
    </row>
    <row r="45516" ht="16.5" customHeight="1">
      <c r="O45516" s="5" t="s">
        <v>355</v>
      </c>
      <c r="P45516" s="5" t="s">
        <v>355</v>
      </c>
      <c r="Q45516" s="5" t="s">
        <v>355</v>
      </c>
    </row>
    <row r="45517" ht="16.5" customHeight="1">
      <c r="O45517" s="5" t="s">
        <v>355</v>
      </c>
      <c r="P45517" s="5" t="s">
        <v>355</v>
      </c>
      <c r="Q45517" s="5" t="s">
        <v>355</v>
      </c>
    </row>
    <row r="45518" ht="16.5" customHeight="1">
      <c r="O45518" s="5" t="s">
        <v>355</v>
      </c>
      <c r="P45518" s="5" t="s">
        <v>355</v>
      </c>
      <c r="Q45518" s="5" t="s">
        <v>355</v>
      </c>
    </row>
    <row r="45519" ht="16.5" customHeight="1">
      <c r="O45519" s="5" t="s">
        <v>355</v>
      </c>
      <c r="P45519" s="5" t="s">
        <v>355</v>
      </c>
      <c r="Q45519" s="5" t="s">
        <v>355</v>
      </c>
    </row>
    <row r="45520" ht="16.5" customHeight="1">
      <c r="O45520" s="5" t="s">
        <v>355</v>
      </c>
      <c r="P45520" s="5" t="s">
        <v>355</v>
      </c>
      <c r="Q45520" s="5" t="s">
        <v>355</v>
      </c>
    </row>
    <row r="45521" ht="16.5" customHeight="1">
      <c r="O45521" s="5" t="s">
        <v>355</v>
      </c>
      <c r="P45521" s="5" t="s">
        <v>355</v>
      </c>
      <c r="Q45521" s="5" t="s">
        <v>355</v>
      </c>
    </row>
    <row r="45522" ht="16.5" customHeight="1">
      <c r="O45522" s="5" t="s">
        <v>355</v>
      </c>
      <c r="P45522" s="5" t="s">
        <v>355</v>
      </c>
      <c r="Q45522" s="5" t="s">
        <v>355</v>
      </c>
    </row>
    <row r="45523" ht="16.5" customHeight="1">
      <c r="O45523" s="5" t="s">
        <v>355</v>
      </c>
      <c r="P45523" s="5" t="s">
        <v>355</v>
      </c>
      <c r="Q45523" s="5" t="s">
        <v>355</v>
      </c>
    </row>
    <row r="45524" ht="16.5" customHeight="1">
      <c r="O45524" s="5" t="s">
        <v>355</v>
      </c>
      <c r="P45524" s="5" t="s">
        <v>355</v>
      </c>
      <c r="Q45524" s="5" t="s">
        <v>355</v>
      </c>
    </row>
    <row r="45525" ht="16.5" customHeight="1">
      <c r="O45525" s="5" t="s">
        <v>355</v>
      </c>
      <c r="P45525" s="5" t="s">
        <v>355</v>
      </c>
      <c r="Q45525" s="5" t="s">
        <v>355</v>
      </c>
    </row>
    <row r="45526" ht="16.5" customHeight="1">
      <c r="O45526" s="5" t="s">
        <v>355</v>
      </c>
      <c r="P45526" s="5" t="s">
        <v>355</v>
      </c>
      <c r="Q45526" s="5" t="s">
        <v>355</v>
      </c>
    </row>
    <row r="45527" ht="16.5" customHeight="1">
      <c r="O45527" s="5" t="s">
        <v>355</v>
      </c>
      <c r="P45527" s="5" t="s">
        <v>355</v>
      </c>
      <c r="Q45527" s="5" t="s">
        <v>355</v>
      </c>
    </row>
    <row r="45528" ht="16.5" customHeight="1">
      <c r="O45528" s="5" t="s">
        <v>355</v>
      </c>
      <c r="P45528" s="5" t="s">
        <v>355</v>
      </c>
      <c r="Q45528" s="5" t="s">
        <v>355</v>
      </c>
    </row>
    <row r="45529" ht="16.5" customHeight="1">
      <c r="O45529" s="5" t="s">
        <v>355</v>
      </c>
      <c r="P45529" s="5" t="s">
        <v>355</v>
      </c>
      <c r="Q45529" s="5" t="s">
        <v>355</v>
      </c>
    </row>
    <row r="45530" ht="16.5" customHeight="1">
      <c r="O45530" s="5" t="s">
        <v>355</v>
      </c>
      <c r="P45530" s="5" t="s">
        <v>355</v>
      </c>
      <c r="Q45530" s="5" t="s">
        <v>355</v>
      </c>
    </row>
    <row r="45531" ht="16.5" customHeight="1">
      <c r="O45531" s="5" t="s">
        <v>355</v>
      </c>
      <c r="P45531" s="5" t="s">
        <v>355</v>
      </c>
      <c r="Q45531" s="5" t="s">
        <v>355</v>
      </c>
    </row>
    <row r="45532" ht="16.5" customHeight="1">
      <c r="O45532" s="5" t="s">
        <v>355</v>
      </c>
      <c r="P45532" s="5" t="s">
        <v>355</v>
      </c>
      <c r="Q45532" s="5" t="s">
        <v>355</v>
      </c>
    </row>
    <row r="45533" ht="16.5" customHeight="1">
      <c r="O45533" s="5" t="s">
        <v>355</v>
      </c>
      <c r="P45533" s="5" t="s">
        <v>355</v>
      </c>
      <c r="Q45533" s="5" t="s">
        <v>355</v>
      </c>
    </row>
    <row r="45534" ht="16.5" customHeight="1">
      <c r="O45534" s="5" t="s">
        <v>355</v>
      </c>
      <c r="P45534" s="5" t="s">
        <v>355</v>
      </c>
      <c r="Q45534" s="5" t="s">
        <v>355</v>
      </c>
    </row>
    <row r="45535" ht="16.5" customHeight="1">
      <c r="O45535" s="5" t="s">
        <v>355</v>
      </c>
      <c r="P45535" s="5" t="s">
        <v>355</v>
      </c>
      <c r="Q45535" s="5" t="s">
        <v>355</v>
      </c>
    </row>
    <row r="45536" ht="16.5" customHeight="1">
      <c r="O45536" s="5" t="s">
        <v>355</v>
      </c>
      <c r="P45536" s="5" t="s">
        <v>355</v>
      </c>
      <c r="Q45536" s="5" t="s">
        <v>355</v>
      </c>
    </row>
    <row r="45537" ht="16.5" customHeight="1">
      <c r="O45537" s="5" t="s">
        <v>355</v>
      </c>
      <c r="P45537" s="5" t="s">
        <v>355</v>
      </c>
      <c r="Q45537" s="5" t="s">
        <v>355</v>
      </c>
    </row>
    <row r="45538" ht="16.5" customHeight="1">
      <c r="O45538" s="5" t="s">
        <v>355</v>
      </c>
      <c r="P45538" s="5" t="s">
        <v>355</v>
      </c>
      <c r="Q45538" s="5" t="s">
        <v>355</v>
      </c>
    </row>
    <row r="45539" ht="16.5" customHeight="1">
      <c r="O45539" s="5" t="s">
        <v>355</v>
      </c>
      <c r="P45539" s="5" t="s">
        <v>355</v>
      </c>
      <c r="Q45539" s="5" t="s">
        <v>355</v>
      </c>
    </row>
    <row r="45540" ht="16.5" customHeight="1">
      <c r="O45540" s="5" t="s">
        <v>355</v>
      </c>
      <c r="P45540" s="5" t="s">
        <v>355</v>
      </c>
      <c r="Q45540" s="5" t="s">
        <v>355</v>
      </c>
    </row>
    <row r="45541" ht="16.5" customHeight="1">
      <c r="O45541" s="5" t="s">
        <v>355</v>
      </c>
      <c r="P45541" s="5" t="s">
        <v>355</v>
      </c>
      <c r="Q45541" s="5" t="s">
        <v>355</v>
      </c>
    </row>
    <row r="45542" ht="16.5" customHeight="1">
      <c r="O45542" s="5" t="s">
        <v>355</v>
      </c>
      <c r="P45542" s="5" t="s">
        <v>355</v>
      </c>
      <c r="Q45542" s="5" t="s">
        <v>355</v>
      </c>
    </row>
    <row r="45543" ht="16.5" customHeight="1">
      <c r="O45543" s="5" t="s">
        <v>355</v>
      </c>
      <c r="P45543" s="5" t="s">
        <v>355</v>
      </c>
      <c r="Q45543" s="5" t="s">
        <v>355</v>
      </c>
    </row>
    <row r="45544" ht="16.5" customHeight="1">
      <c r="O45544" s="5" t="s">
        <v>355</v>
      </c>
      <c r="P45544" s="5" t="s">
        <v>355</v>
      </c>
      <c r="Q45544" s="5" t="s">
        <v>355</v>
      </c>
    </row>
    <row r="45545" ht="16.5" customHeight="1">
      <c r="O45545" s="5" t="s">
        <v>355</v>
      </c>
      <c r="P45545" s="5" t="s">
        <v>355</v>
      </c>
      <c r="Q45545" s="5" t="s">
        <v>355</v>
      </c>
    </row>
    <row r="45546" ht="16.5" customHeight="1">
      <c r="O45546" s="5" t="s">
        <v>355</v>
      </c>
      <c r="P45546" s="5" t="s">
        <v>355</v>
      </c>
      <c r="Q45546" s="5" t="s">
        <v>355</v>
      </c>
    </row>
    <row r="45547" ht="16.5" customHeight="1">
      <c r="O45547" s="5" t="s">
        <v>355</v>
      </c>
      <c r="P45547" s="5" t="s">
        <v>355</v>
      </c>
      <c r="Q45547" s="5" t="s">
        <v>355</v>
      </c>
    </row>
    <row r="45548" ht="16.5" customHeight="1">
      <c r="O45548" s="5" t="s">
        <v>355</v>
      </c>
      <c r="P45548" s="5" t="s">
        <v>355</v>
      </c>
      <c r="Q45548" s="5" t="s">
        <v>355</v>
      </c>
    </row>
    <row r="45549" ht="16.5" customHeight="1">
      <c r="O45549" s="5" t="s">
        <v>355</v>
      </c>
      <c r="P45549" s="5" t="s">
        <v>355</v>
      </c>
      <c r="Q45549" s="5" t="s">
        <v>355</v>
      </c>
    </row>
    <row r="45550" ht="16.5" customHeight="1">
      <c r="O45550" s="5" t="s">
        <v>355</v>
      </c>
      <c r="P45550" s="5" t="s">
        <v>355</v>
      </c>
      <c r="Q45550" s="5" t="s">
        <v>355</v>
      </c>
    </row>
    <row r="45551" ht="16.5" customHeight="1">
      <c r="O45551" s="5" t="s">
        <v>355</v>
      </c>
      <c r="P45551" s="5" t="s">
        <v>355</v>
      </c>
      <c r="Q45551" s="5" t="s">
        <v>355</v>
      </c>
    </row>
    <row r="45552" ht="16.5" customHeight="1">
      <c r="O45552" s="5" t="s">
        <v>355</v>
      </c>
      <c r="P45552" s="5" t="s">
        <v>355</v>
      </c>
      <c r="Q45552" s="5" t="s">
        <v>355</v>
      </c>
    </row>
    <row r="45553" ht="16.5" customHeight="1">
      <c r="O45553" s="5" t="s">
        <v>355</v>
      </c>
      <c r="P45553" s="5" t="s">
        <v>355</v>
      </c>
      <c r="Q45553" s="5" t="s">
        <v>355</v>
      </c>
    </row>
    <row r="45554" ht="16.5" customHeight="1">
      <c r="O45554" s="5" t="s">
        <v>355</v>
      </c>
      <c r="P45554" s="5" t="s">
        <v>355</v>
      </c>
      <c r="Q45554" s="5" t="s">
        <v>355</v>
      </c>
    </row>
    <row r="45555" ht="16.5" customHeight="1">
      <c r="O45555" s="5" t="s">
        <v>355</v>
      </c>
      <c r="P45555" s="5" t="s">
        <v>355</v>
      </c>
      <c r="Q45555" s="5" t="s">
        <v>355</v>
      </c>
    </row>
    <row r="45556" ht="16.5" customHeight="1">
      <c r="O45556" s="5" t="s">
        <v>355</v>
      </c>
      <c r="P45556" s="5" t="s">
        <v>355</v>
      </c>
      <c r="Q45556" s="5" t="s">
        <v>355</v>
      </c>
    </row>
    <row r="45557" ht="16.5" customHeight="1">
      <c r="O45557" s="5" t="s">
        <v>355</v>
      </c>
      <c r="P45557" s="5" t="s">
        <v>355</v>
      </c>
      <c r="Q45557" s="5" t="s">
        <v>355</v>
      </c>
    </row>
    <row r="45558" ht="16.5" customHeight="1">
      <c r="O45558" s="5" t="s">
        <v>355</v>
      </c>
      <c r="P45558" s="5" t="s">
        <v>355</v>
      </c>
      <c r="Q45558" s="5" t="s">
        <v>355</v>
      </c>
    </row>
    <row r="45559" ht="16.5" customHeight="1">
      <c r="O45559" s="5" t="s">
        <v>355</v>
      </c>
      <c r="P45559" s="5" t="s">
        <v>355</v>
      </c>
      <c r="Q45559" s="5" t="s">
        <v>355</v>
      </c>
    </row>
    <row r="45560" ht="16.5" customHeight="1">
      <c r="O45560" s="5" t="s">
        <v>355</v>
      </c>
      <c r="P45560" s="5" t="s">
        <v>355</v>
      </c>
      <c r="Q45560" s="5" t="s">
        <v>355</v>
      </c>
    </row>
    <row r="45561" ht="16.5" customHeight="1">
      <c r="O45561" s="5" t="s">
        <v>355</v>
      </c>
      <c r="P45561" s="5" t="s">
        <v>355</v>
      </c>
      <c r="Q45561" s="5" t="s">
        <v>355</v>
      </c>
    </row>
    <row r="45562" ht="16.5" customHeight="1">
      <c r="O45562" s="5" t="s">
        <v>355</v>
      </c>
      <c r="P45562" s="5" t="s">
        <v>355</v>
      </c>
      <c r="Q45562" s="5" t="s">
        <v>355</v>
      </c>
    </row>
    <row r="45563" ht="16.5" customHeight="1">
      <c r="O45563" s="5" t="s">
        <v>355</v>
      </c>
      <c r="P45563" s="5" t="s">
        <v>355</v>
      </c>
      <c r="Q45563" s="5" t="s">
        <v>355</v>
      </c>
    </row>
    <row r="45564" ht="16.5" customHeight="1">
      <c r="O45564" s="5" t="s">
        <v>355</v>
      </c>
      <c r="P45564" s="5" t="s">
        <v>355</v>
      </c>
      <c r="Q45564" s="5" t="s">
        <v>355</v>
      </c>
    </row>
    <row r="45565" ht="16.5" customHeight="1">
      <c r="O45565" s="5" t="s">
        <v>355</v>
      </c>
      <c r="P45565" s="5" t="s">
        <v>355</v>
      </c>
      <c r="Q45565" s="5" t="s">
        <v>355</v>
      </c>
    </row>
    <row r="45566" ht="16.5" customHeight="1">
      <c r="O45566" s="5" t="s">
        <v>355</v>
      </c>
      <c r="P45566" s="5" t="s">
        <v>355</v>
      </c>
      <c r="Q45566" s="5" t="s">
        <v>355</v>
      </c>
    </row>
    <row r="45567" ht="16.5" customHeight="1">
      <c r="O45567" s="5" t="s">
        <v>355</v>
      </c>
      <c r="P45567" s="5" t="s">
        <v>355</v>
      </c>
      <c r="Q45567" s="5" t="s">
        <v>355</v>
      </c>
    </row>
    <row r="45568" ht="16.5" customHeight="1">
      <c r="O45568" s="5" t="s">
        <v>355</v>
      </c>
      <c r="P45568" s="5" t="s">
        <v>355</v>
      </c>
      <c r="Q45568" s="5" t="s">
        <v>355</v>
      </c>
    </row>
    <row r="45569" ht="16.5" customHeight="1">
      <c r="O45569" s="5" t="s">
        <v>355</v>
      </c>
      <c r="P45569" s="5" t="s">
        <v>355</v>
      </c>
      <c r="Q45569" s="5" t="s">
        <v>355</v>
      </c>
    </row>
    <row r="45570" ht="16.5" customHeight="1">
      <c r="O45570" s="5" t="s">
        <v>355</v>
      </c>
      <c r="P45570" s="5" t="s">
        <v>355</v>
      </c>
      <c r="Q45570" s="5" t="s">
        <v>355</v>
      </c>
    </row>
    <row r="45571" ht="16.5" customHeight="1">
      <c r="O45571" s="5" t="s">
        <v>355</v>
      </c>
      <c r="P45571" s="5" t="s">
        <v>355</v>
      </c>
      <c r="Q45571" s="5" t="s">
        <v>355</v>
      </c>
    </row>
    <row r="45572" ht="16.5" customHeight="1">
      <c r="O45572" s="5" t="s">
        <v>355</v>
      </c>
      <c r="P45572" s="5" t="s">
        <v>355</v>
      </c>
      <c r="Q45572" s="5" t="s">
        <v>355</v>
      </c>
    </row>
    <row r="45573" ht="16.5" customHeight="1">
      <c r="O45573" s="5" t="s">
        <v>355</v>
      </c>
      <c r="P45573" s="5" t="s">
        <v>355</v>
      </c>
      <c r="Q45573" s="5" t="s">
        <v>355</v>
      </c>
    </row>
    <row r="45574" ht="16.5" customHeight="1">
      <c r="O45574" s="5" t="s">
        <v>355</v>
      </c>
      <c r="P45574" s="5" t="s">
        <v>355</v>
      </c>
      <c r="Q45574" s="5" t="s">
        <v>355</v>
      </c>
    </row>
    <row r="45575" ht="16.5" customHeight="1">
      <c r="O45575" s="5" t="s">
        <v>355</v>
      </c>
      <c r="P45575" s="5" t="s">
        <v>355</v>
      </c>
      <c r="Q45575" s="5" t="s">
        <v>355</v>
      </c>
    </row>
    <row r="45576" ht="16.5" customHeight="1">
      <c r="O45576" s="5" t="s">
        <v>355</v>
      </c>
      <c r="P45576" s="5" t="s">
        <v>355</v>
      </c>
      <c r="Q45576" s="5" t="s">
        <v>355</v>
      </c>
    </row>
    <row r="45577" ht="16.5" customHeight="1">
      <c r="O45577" s="5" t="s">
        <v>355</v>
      </c>
      <c r="P45577" s="5" t="s">
        <v>355</v>
      </c>
      <c r="Q45577" s="5" t="s">
        <v>355</v>
      </c>
    </row>
    <row r="45578" ht="16.5" customHeight="1">
      <c r="O45578" s="5" t="s">
        <v>355</v>
      </c>
      <c r="P45578" s="5" t="s">
        <v>355</v>
      </c>
      <c r="Q45578" s="5" t="s">
        <v>355</v>
      </c>
    </row>
    <row r="45579" ht="16.5" customHeight="1">
      <c r="O45579" s="5" t="s">
        <v>355</v>
      </c>
      <c r="P45579" s="5" t="s">
        <v>355</v>
      </c>
      <c r="Q45579" s="5" t="s">
        <v>355</v>
      </c>
    </row>
    <row r="45580" ht="16.5" customHeight="1">
      <c r="O45580" s="5" t="s">
        <v>355</v>
      </c>
      <c r="P45580" s="5" t="s">
        <v>355</v>
      </c>
      <c r="Q45580" s="5" t="s">
        <v>355</v>
      </c>
    </row>
    <row r="45581" ht="16.5" customHeight="1">
      <c r="O45581" s="5" t="s">
        <v>355</v>
      </c>
      <c r="P45581" s="5" t="s">
        <v>355</v>
      </c>
      <c r="Q45581" s="5" t="s">
        <v>355</v>
      </c>
    </row>
    <row r="45582" ht="16.5" customHeight="1">
      <c r="O45582" s="5" t="s">
        <v>355</v>
      </c>
      <c r="P45582" s="5" t="s">
        <v>355</v>
      </c>
      <c r="Q45582" s="5" t="s">
        <v>355</v>
      </c>
    </row>
    <row r="45583" ht="16.5" customHeight="1">
      <c r="O45583" s="5" t="s">
        <v>355</v>
      </c>
      <c r="P45583" s="5" t="s">
        <v>355</v>
      </c>
      <c r="Q45583" s="5" t="s">
        <v>355</v>
      </c>
    </row>
    <row r="45584" ht="16.5" customHeight="1">
      <c r="O45584" s="5" t="s">
        <v>355</v>
      </c>
      <c r="P45584" s="5" t="s">
        <v>355</v>
      </c>
      <c r="Q45584" s="5" t="s">
        <v>355</v>
      </c>
    </row>
    <row r="45585" ht="16.5" customHeight="1">
      <c r="O45585" s="5" t="s">
        <v>355</v>
      </c>
      <c r="P45585" s="5" t="s">
        <v>355</v>
      </c>
      <c r="Q45585" s="5" t="s">
        <v>355</v>
      </c>
    </row>
    <row r="45586" ht="16.5" customHeight="1">
      <c r="O45586" s="5" t="s">
        <v>355</v>
      </c>
      <c r="P45586" s="5" t="s">
        <v>355</v>
      </c>
      <c r="Q45586" s="5" t="s">
        <v>355</v>
      </c>
    </row>
    <row r="45587" ht="16.5" customHeight="1">
      <c r="O45587" s="5" t="s">
        <v>355</v>
      </c>
      <c r="P45587" s="5" t="s">
        <v>355</v>
      </c>
      <c r="Q45587" s="5" t="s">
        <v>355</v>
      </c>
    </row>
    <row r="45588" ht="16.5" customHeight="1">
      <c r="O45588" s="5" t="s">
        <v>355</v>
      </c>
      <c r="P45588" s="5" t="s">
        <v>355</v>
      </c>
      <c r="Q45588" s="5" t="s">
        <v>355</v>
      </c>
    </row>
    <row r="45589" ht="16.5" customHeight="1">
      <c r="O45589" s="5" t="s">
        <v>355</v>
      </c>
      <c r="P45589" s="5" t="s">
        <v>355</v>
      </c>
      <c r="Q45589" s="5" t="s">
        <v>355</v>
      </c>
    </row>
    <row r="45590" ht="16.5" customHeight="1">
      <c r="O45590" s="5" t="s">
        <v>355</v>
      </c>
      <c r="P45590" s="5" t="s">
        <v>355</v>
      </c>
      <c r="Q45590" s="5" t="s">
        <v>355</v>
      </c>
    </row>
    <row r="45591" ht="16.5" customHeight="1">
      <c r="O45591" s="5" t="s">
        <v>355</v>
      </c>
      <c r="P45591" s="5" t="s">
        <v>355</v>
      </c>
      <c r="Q45591" s="5" t="s">
        <v>355</v>
      </c>
    </row>
    <row r="45592" ht="16.5" customHeight="1">
      <c r="O45592" s="5" t="s">
        <v>355</v>
      </c>
      <c r="P45592" s="5" t="s">
        <v>355</v>
      </c>
      <c r="Q45592" s="5" t="s">
        <v>355</v>
      </c>
    </row>
    <row r="45593" ht="16.5" customHeight="1">
      <c r="O45593" s="5" t="s">
        <v>355</v>
      </c>
      <c r="P45593" s="5" t="s">
        <v>355</v>
      </c>
      <c r="Q45593" s="5" t="s">
        <v>355</v>
      </c>
    </row>
    <row r="45594" ht="16.5" customHeight="1">
      <c r="O45594" s="5" t="s">
        <v>355</v>
      </c>
      <c r="P45594" s="5" t="s">
        <v>355</v>
      </c>
      <c r="Q45594" s="5" t="s">
        <v>355</v>
      </c>
    </row>
    <row r="45595" ht="16.5" customHeight="1">
      <c r="O45595" s="5" t="s">
        <v>355</v>
      </c>
      <c r="P45595" s="5" t="s">
        <v>355</v>
      </c>
      <c r="Q45595" s="5" t="s">
        <v>355</v>
      </c>
    </row>
    <row r="45596" ht="16.5" customHeight="1">
      <c r="O45596" s="5" t="s">
        <v>355</v>
      </c>
      <c r="P45596" s="5" t="s">
        <v>355</v>
      </c>
      <c r="Q45596" s="5" t="s">
        <v>355</v>
      </c>
    </row>
    <row r="45597" ht="16.5" customHeight="1">
      <c r="O45597" s="5" t="s">
        <v>355</v>
      </c>
      <c r="P45597" s="5" t="s">
        <v>355</v>
      </c>
      <c r="Q45597" s="5" t="s">
        <v>355</v>
      </c>
    </row>
    <row r="45598" ht="16.5" customHeight="1">
      <c r="O45598" s="5" t="s">
        <v>355</v>
      </c>
      <c r="P45598" s="5" t="s">
        <v>355</v>
      </c>
      <c r="Q45598" s="5" t="s">
        <v>355</v>
      </c>
    </row>
    <row r="45599" ht="16.5" customHeight="1">
      <c r="O45599" s="5" t="s">
        <v>355</v>
      </c>
      <c r="P45599" s="5" t="s">
        <v>355</v>
      </c>
      <c r="Q45599" s="5" t="s">
        <v>355</v>
      </c>
    </row>
    <row r="45600" ht="16.5" customHeight="1">
      <c r="O45600" s="5" t="s">
        <v>355</v>
      </c>
      <c r="P45600" s="5" t="s">
        <v>355</v>
      </c>
      <c r="Q45600" s="5" t="s">
        <v>355</v>
      </c>
    </row>
    <row r="45601" ht="16.5" customHeight="1">
      <c r="O45601" s="5" t="s">
        <v>355</v>
      </c>
      <c r="P45601" s="5" t="s">
        <v>355</v>
      </c>
      <c r="Q45601" s="5" t="s">
        <v>355</v>
      </c>
    </row>
    <row r="45602" ht="16.5" customHeight="1">
      <c r="O45602" s="5" t="s">
        <v>355</v>
      </c>
      <c r="P45602" s="5" t="s">
        <v>355</v>
      </c>
      <c r="Q45602" s="5" t="s">
        <v>355</v>
      </c>
    </row>
    <row r="45603" ht="16.5" customHeight="1">
      <c r="O45603" s="5" t="s">
        <v>355</v>
      </c>
      <c r="P45603" s="5" t="s">
        <v>355</v>
      </c>
      <c r="Q45603" s="5" t="s">
        <v>355</v>
      </c>
    </row>
    <row r="45604" ht="16.5" customHeight="1">
      <c r="O45604" s="5" t="s">
        <v>355</v>
      </c>
      <c r="P45604" s="5" t="s">
        <v>355</v>
      </c>
      <c r="Q45604" s="5" t="s">
        <v>355</v>
      </c>
    </row>
    <row r="45605" ht="16.5" customHeight="1">
      <c r="O45605" s="5" t="s">
        <v>355</v>
      </c>
      <c r="P45605" s="5" t="s">
        <v>355</v>
      </c>
      <c r="Q45605" s="5" t="s">
        <v>355</v>
      </c>
    </row>
    <row r="45606" ht="16.5" customHeight="1">
      <c r="O45606" s="5" t="s">
        <v>355</v>
      </c>
      <c r="P45606" s="5" t="s">
        <v>355</v>
      </c>
      <c r="Q45606" s="5" t="s">
        <v>355</v>
      </c>
    </row>
    <row r="45607" ht="16.5" customHeight="1">
      <c r="O45607" s="5" t="s">
        <v>355</v>
      </c>
      <c r="P45607" s="5" t="s">
        <v>355</v>
      </c>
      <c r="Q45607" s="5" t="s">
        <v>355</v>
      </c>
    </row>
    <row r="45608" ht="16.5" customHeight="1">
      <c r="O45608" s="5" t="s">
        <v>355</v>
      </c>
      <c r="P45608" s="5" t="s">
        <v>355</v>
      </c>
      <c r="Q45608" s="5" t="s">
        <v>355</v>
      </c>
    </row>
    <row r="45609" ht="16.5" customHeight="1">
      <c r="O45609" s="5" t="s">
        <v>355</v>
      </c>
      <c r="P45609" s="5" t="s">
        <v>355</v>
      </c>
      <c r="Q45609" s="5" t="s">
        <v>355</v>
      </c>
    </row>
    <row r="45610" ht="16.5" customHeight="1">
      <c r="O45610" s="5" t="s">
        <v>355</v>
      </c>
      <c r="P45610" s="5" t="s">
        <v>355</v>
      </c>
      <c r="Q45610" s="5" t="s">
        <v>355</v>
      </c>
    </row>
    <row r="45611" ht="16.5" customHeight="1">
      <c r="O45611" s="5" t="s">
        <v>355</v>
      </c>
      <c r="P45611" s="5" t="s">
        <v>355</v>
      </c>
      <c r="Q45611" s="5" t="s">
        <v>355</v>
      </c>
    </row>
    <row r="45612" ht="16.5" customHeight="1">
      <c r="O45612" s="5" t="s">
        <v>355</v>
      </c>
      <c r="P45612" s="5" t="s">
        <v>355</v>
      </c>
      <c r="Q45612" s="5" t="s">
        <v>355</v>
      </c>
    </row>
    <row r="45613" ht="16.5" customHeight="1">
      <c r="O45613" s="5" t="s">
        <v>355</v>
      </c>
      <c r="P45613" s="5" t="s">
        <v>355</v>
      </c>
      <c r="Q45613" s="5" t="s">
        <v>355</v>
      </c>
    </row>
    <row r="45614" ht="16.5" customHeight="1">
      <c r="O45614" s="5" t="s">
        <v>355</v>
      </c>
      <c r="P45614" s="5" t="s">
        <v>355</v>
      </c>
      <c r="Q45614" s="5" t="s">
        <v>355</v>
      </c>
    </row>
    <row r="45615" ht="16.5" customHeight="1">
      <c r="O45615" s="5" t="s">
        <v>355</v>
      </c>
      <c r="P45615" s="5" t="s">
        <v>355</v>
      </c>
      <c r="Q45615" s="5" t="s">
        <v>355</v>
      </c>
    </row>
    <row r="45616" ht="16.5" customHeight="1">
      <c r="O45616" s="5" t="s">
        <v>355</v>
      </c>
      <c r="P45616" s="5" t="s">
        <v>355</v>
      </c>
      <c r="Q45616" s="5" t="s">
        <v>355</v>
      </c>
    </row>
    <row r="45617" ht="16.5" customHeight="1">
      <c r="O45617" s="5" t="s">
        <v>355</v>
      </c>
      <c r="P45617" s="5" t="s">
        <v>355</v>
      </c>
      <c r="Q45617" s="5" t="s">
        <v>355</v>
      </c>
    </row>
    <row r="45618" ht="16.5" customHeight="1">
      <c r="O45618" s="5" t="s">
        <v>355</v>
      </c>
      <c r="P45618" s="5" t="s">
        <v>355</v>
      </c>
      <c r="Q45618" s="5" t="s">
        <v>355</v>
      </c>
    </row>
    <row r="45619" ht="16.5" customHeight="1">
      <c r="O45619" s="5" t="s">
        <v>355</v>
      </c>
      <c r="P45619" s="5" t="s">
        <v>355</v>
      </c>
      <c r="Q45619" s="5" t="s">
        <v>355</v>
      </c>
    </row>
    <row r="45620" ht="16.5" customHeight="1">
      <c r="O45620" s="5" t="s">
        <v>355</v>
      </c>
      <c r="P45620" s="5" t="s">
        <v>355</v>
      </c>
      <c r="Q45620" s="5" t="s">
        <v>355</v>
      </c>
    </row>
    <row r="45621" ht="16.5" customHeight="1">
      <c r="O45621" s="5" t="s">
        <v>355</v>
      </c>
      <c r="P45621" s="5" t="s">
        <v>355</v>
      </c>
      <c r="Q45621" s="5" t="s">
        <v>355</v>
      </c>
    </row>
    <row r="45622" ht="16.5" customHeight="1">
      <c r="O45622" s="5" t="s">
        <v>355</v>
      </c>
      <c r="P45622" s="5" t="s">
        <v>355</v>
      </c>
      <c r="Q45622" s="5" t="s">
        <v>355</v>
      </c>
    </row>
    <row r="45623" ht="16.5" customHeight="1">
      <c r="O45623" s="5" t="s">
        <v>355</v>
      </c>
      <c r="P45623" s="5" t="s">
        <v>355</v>
      </c>
      <c r="Q45623" s="5" t="s">
        <v>355</v>
      </c>
    </row>
    <row r="45624" ht="16.5" customHeight="1">
      <c r="O45624" s="5" t="s">
        <v>355</v>
      </c>
      <c r="P45624" s="5" t="s">
        <v>355</v>
      </c>
      <c r="Q45624" s="5" t="s">
        <v>355</v>
      </c>
    </row>
    <row r="45625" ht="16.5" customHeight="1">
      <c r="O45625" s="5" t="s">
        <v>355</v>
      </c>
      <c r="P45625" s="5" t="s">
        <v>355</v>
      </c>
      <c r="Q45625" s="5" t="s">
        <v>355</v>
      </c>
    </row>
    <row r="45626" ht="16.5" customHeight="1">
      <c r="O45626" s="5" t="s">
        <v>355</v>
      </c>
      <c r="P45626" s="5" t="s">
        <v>355</v>
      </c>
      <c r="Q45626" s="5" t="s">
        <v>355</v>
      </c>
    </row>
    <row r="45627" ht="16.5" customHeight="1">
      <c r="O45627" s="5" t="s">
        <v>355</v>
      </c>
      <c r="P45627" s="5" t="s">
        <v>355</v>
      </c>
      <c r="Q45627" s="5" t="s">
        <v>355</v>
      </c>
    </row>
    <row r="45628" ht="16.5" customHeight="1">
      <c r="O45628" s="5" t="s">
        <v>355</v>
      </c>
      <c r="P45628" s="5" t="s">
        <v>355</v>
      </c>
      <c r="Q45628" s="5" t="s">
        <v>355</v>
      </c>
    </row>
    <row r="45629" ht="16.5" customHeight="1">
      <c r="O45629" s="5" t="s">
        <v>355</v>
      </c>
      <c r="P45629" s="5" t="s">
        <v>355</v>
      </c>
      <c r="Q45629" s="5" t="s">
        <v>355</v>
      </c>
    </row>
    <row r="45630" ht="16.5" customHeight="1">
      <c r="O45630" s="5" t="s">
        <v>355</v>
      </c>
      <c r="P45630" s="5" t="s">
        <v>355</v>
      </c>
      <c r="Q45630" s="5" t="s">
        <v>355</v>
      </c>
    </row>
    <row r="45631" ht="16.5" customHeight="1">
      <c r="O45631" s="5" t="s">
        <v>355</v>
      </c>
      <c r="P45631" s="5" t="s">
        <v>355</v>
      </c>
      <c r="Q45631" s="5" t="s">
        <v>355</v>
      </c>
    </row>
    <row r="45632" ht="16.5" customHeight="1">
      <c r="O45632" s="5" t="s">
        <v>355</v>
      </c>
      <c r="P45632" s="5" t="s">
        <v>355</v>
      </c>
      <c r="Q45632" s="5" t="s">
        <v>355</v>
      </c>
    </row>
    <row r="45633" ht="16.5" customHeight="1">
      <c r="O45633" s="5" t="s">
        <v>355</v>
      </c>
      <c r="P45633" s="5" t="s">
        <v>355</v>
      </c>
      <c r="Q45633" s="5" t="s">
        <v>355</v>
      </c>
    </row>
    <row r="45634" ht="16.5" customHeight="1">
      <c r="O45634" s="5" t="s">
        <v>355</v>
      </c>
      <c r="P45634" s="5" t="s">
        <v>355</v>
      </c>
      <c r="Q45634" s="5" t="s">
        <v>355</v>
      </c>
    </row>
    <row r="45635" ht="16.5" customHeight="1">
      <c r="O45635" s="5" t="s">
        <v>355</v>
      </c>
      <c r="P45635" s="5" t="s">
        <v>355</v>
      </c>
      <c r="Q45635" s="5" t="s">
        <v>355</v>
      </c>
    </row>
    <row r="45636" ht="16.5" customHeight="1">
      <c r="O45636" s="5" t="s">
        <v>355</v>
      </c>
      <c r="P45636" s="5" t="s">
        <v>355</v>
      </c>
      <c r="Q45636" s="5" t="s">
        <v>355</v>
      </c>
    </row>
    <row r="45637" ht="16.5" customHeight="1">
      <c r="O45637" s="5" t="s">
        <v>355</v>
      </c>
      <c r="P45637" s="5" t="s">
        <v>355</v>
      </c>
      <c r="Q45637" s="5" t="s">
        <v>355</v>
      </c>
    </row>
    <row r="45638" ht="16.5" customHeight="1">
      <c r="O45638" s="5" t="s">
        <v>355</v>
      </c>
      <c r="P45638" s="5" t="s">
        <v>355</v>
      </c>
      <c r="Q45638" s="5" t="s">
        <v>355</v>
      </c>
    </row>
    <row r="45639" ht="16.5" customHeight="1">
      <c r="O45639" s="5" t="s">
        <v>355</v>
      </c>
      <c r="P45639" s="5" t="s">
        <v>355</v>
      </c>
      <c r="Q45639" s="5" t="s">
        <v>355</v>
      </c>
    </row>
    <row r="45640" ht="16.5" customHeight="1">
      <c r="O45640" s="5" t="s">
        <v>355</v>
      </c>
      <c r="P45640" s="5" t="s">
        <v>355</v>
      </c>
      <c r="Q45640" s="5" t="s">
        <v>355</v>
      </c>
    </row>
    <row r="45641" ht="16.5" customHeight="1">
      <c r="O45641" s="5" t="s">
        <v>355</v>
      </c>
      <c r="P45641" s="5" t="s">
        <v>355</v>
      </c>
      <c r="Q45641" s="5" t="s">
        <v>355</v>
      </c>
    </row>
    <row r="45642" ht="16.5" customHeight="1">
      <c r="O45642" s="5" t="s">
        <v>355</v>
      </c>
      <c r="P45642" s="5" t="s">
        <v>355</v>
      </c>
      <c r="Q45642" s="5" t="s">
        <v>355</v>
      </c>
    </row>
    <row r="45643" ht="16.5" customHeight="1">
      <c r="O45643" s="5" t="s">
        <v>355</v>
      </c>
      <c r="P45643" s="5" t="s">
        <v>355</v>
      </c>
      <c r="Q45643" s="5" t="s">
        <v>355</v>
      </c>
    </row>
    <row r="45644" ht="16.5" customHeight="1">
      <c r="O45644" s="5" t="s">
        <v>355</v>
      </c>
      <c r="P45644" s="5" t="s">
        <v>355</v>
      </c>
      <c r="Q45644" s="5" t="s">
        <v>355</v>
      </c>
    </row>
    <row r="45645" ht="16.5" customHeight="1">
      <c r="O45645" s="5" t="s">
        <v>355</v>
      </c>
      <c r="P45645" s="5" t="s">
        <v>355</v>
      </c>
      <c r="Q45645" s="5" t="s">
        <v>355</v>
      </c>
    </row>
    <row r="45646" ht="16.5" customHeight="1">
      <c r="O45646" s="5" t="s">
        <v>355</v>
      </c>
      <c r="P45646" s="5" t="s">
        <v>355</v>
      </c>
      <c r="Q45646" s="5" t="s">
        <v>355</v>
      </c>
    </row>
    <row r="45647" ht="16.5" customHeight="1">
      <c r="O45647" s="5" t="s">
        <v>355</v>
      </c>
      <c r="P45647" s="5" t="s">
        <v>355</v>
      </c>
      <c r="Q45647" s="5" t="s">
        <v>355</v>
      </c>
    </row>
    <row r="45648" ht="16.5" customHeight="1">
      <c r="O45648" s="5" t="s">
        <v>355</v>
      </c>
      <c r="P45648" s="5" t="s">
        <v>355</v>
      </c>
      <c r="Q45648" s="5" t="s">
        <v>355</v>
      </c>
    </row>
    <row r="45649" ht="16.5" customHeight="1">
      <c r="O45649" s="5" t="s">
        <v>355</v>
      </c>
      <c r="P45649" s="5" t="s">
        <v>355</v>
      </c>
      <c r="Q45649" s="5" t="s">
        <v>355</v>
      </c>
    </row>
    <row r="45650" ht="16.5" customHeight="1">
      <c r="O45650" s="5" t="s">
        <v>355</v>
      </c>
      <c r="P45650" s="5" t="s">
        <v>355</v>
      </c>
      <c r="Q45650" s="5" t="s">
        <v>355</v>
      </c>
    </row>
    <row r="45651" ht="16.5" customHeight="1">
      <c r="O45651" s="5" t="s">
        <v>355</v>
      </c>
      <c r="P45651" s="5" t="s">
        <v>355</v>
      </c>
      <c r="Q45651" s="5" t="s">
        <v>355</v>
      </c>
    </row>
    <row r="45652" ht="16.5" customHeight="1">
      <c r="O45652" s="5" t="s">
        <v>355</v>
      </c>
      <c r="P45652" s="5" t="s">
        <v>355</v>
      </c>
      <c r="Q45652" s="5" t="s">
        <v>355</v>
      </c>
    </row>
    <row r="45653" ht="16.5" customHeight="1">
      <c r="O45653" s="5" t="s">
        <v>355</v>
      </c>
      <c r="P45653" s="5" t="s">
        <v>355</v>
      </c>
      <c r="Q45653" s="5" t="s">
        <v>355</v>
      </c>
    </row>
    <row r="45654" ht="16.5" customHeight="1">
      <c r="O45654" s="5" t="s">
        <v>355</v>
      </c>
      <c r="P45654" s="5" t="s">
        <v>355</v>
      </c>
      <c r="Q45654" s="5" t="s">
        <v>355</v>
      </c>
    </row>
    <row r="45655" ht="16.5" customHeight="1">
      <c r="O45655" s="5" t="s">
        <v>355</v>
      </c>
      <c r="P45655" s="5" t="s">
        <v>355</v>
      </c>
      <c r="Q45655" s="5" t="s">
        <v>355</v>
      </c>
    </row>
    <row r="45656" ht="16.5" customHeight="1">
      <c r="O45656" s="5" t="s">
        <v>355</v>
      </c>
      <c r="P45656" s="5" t="s">
        <v>355</v>
      </c>
      <c r="Q45656" s="5" t="s">
        <v>355</v>
      </c>
    </row>
    <row r="45657" ht="16.5" customHeight="1">
      <c r="O45657" s="5" t="s">
        <v>355</v>
      </c>
      <c r="P45657" s="5" t="s">
        <v>355</v>
      </c>
      <c r="Q45657" s="5" t="s">
        <v>355</v>
      </c>
    </row>
    <row r="45658" ht="16.5" customHeight="1">
      <c r="O45658" s="5" t="s">
        <v>355</v>
      </c>
      <c r="P45658" s="5" t="s">
        <v>355</v>
      </c>
      <c r="Q45658" s="5" t="s">
        <v>355</v>
      </c>
    </row>
    <row r="45659" ht="16.5" customHeight="1">
      <c r="O45659" s="5" t="s">
        <v>355</v>
      </c>
      <c r="P45659" s="5" t="s">
        <v>355</v>
      </c>
      <c r="Q45659" s="5" t="s">
        <v>355</v>
      </c>
    </row>
    <row r="45660" ht="16.5" customHeight="1">
      <c r="O45660" s="5" t="s">
        <v>355</v>
      </c>
      <c r="P45660" s="5" t="s">
        <v>355</v>
      </c>
      <c r="Q45660" s="5" t="s">
        <v>355</v>
      </c>
    </row>
    <row r="45661" ht="16.5" customHeight="1">
      <c r="O45661" s="5" t="s">
        <v>355</v>
      </c>
      <c r="P45661" s="5" t="s">
        <v>355</v>
      </c>
      <c r="Q45661" s="5" t="s">
        <v>355</v>
      </c>
    </row>
    <row r="45662" ht="16.5" customHeight="1">
      <c r="O45662" s="5" t="s">
        <v>355</v>
      </c>
      <c r="P45662" s="5" t="s">
        <v>355</v>
      </c>
      <c r="Q45662" s="5" t="s">
        <v>355</v>
      </c>
    </row>
    <row r="45663" ht="16.5" customHeight="1">
      <c r="O45663" s="5" t="s">
        <v>355</v>
      </c>
      <c r="P45663" s="5" t="s">
        <v>355</v>
      </c>
      <c r="Q45663" s="5" t="s">
        <v>355</v>
      </c>
    </row>
    <row r="45664" ht="16.5" customHeight="1">
      <c r="O45664" s="5" t="s">
        <v>355</v>
      </c>
      <c r="P45664" s="5" t="s">
        <v>355</v>
      </c>
      <c r="Q45664" s="5" t="s">
        <v>355</v>
      </c>
    </row>
    <row r="45665" ht="16.5" customHeight="1">
      <c r="O45665" s="5" t="s">
        <v>355</v>
      </c>
      <c r="P45665" s="5" t="s">
        <v>355</v>
      </c>
      <c r="Q45665" s="5" t="s">
        <v>355</v>
      </c>
    </row>
    <row r="45666" ht="16.5" customHeight="1">
      <c r="O45666" s="5" t="s">
        <v>355</v>
      </c>
      <c r="P45666" s="5" t="s">
        <v>355</v>
      </c>
      <c r="Q45666" s="5" t="s">
        <v>355</v>
      </c>
    </row>
    <row r="45667" ht="16.5" customHeight="1">
      <c r="O45667" s="5" t="s">
        <v>355</v>
      </c>
      <c r="P45667" s="5" t="s">
        <v>355</v>
      </c>
      <c r="Q45667" s="5" t="s">
        <v>355</v>
      </c>
    </row>
    <row r="45668" ht="16.5" customHeight="1">
      <c r="O45668" s="5" t="s">
        <v>355</v>
      </c>
      <c r="P45668" s="5" t="s">
        <v>355</v>
      </c>
      <c r="Q45668" s="5" t="s">
        <v>355</v>
      </c>
    </row>
    <row r="45669" ht="16.5" customHeight="1">
      <c r="O45669" s="5" t="s">
        <v>355</v>
      </c>
      <c r="P45669" s="5" t="s">
        <v>355</v>
      </c>
      <c r="Q45669" s="5" t="s">
        <v>355</v>
      </c>
    </row>
    <row r="45670" ht="16.5" customHeight="1">
      <c r="O45670" s="5" t="s">
        <v>355</v>
      </c>
      <c r="P45670" s="5" t="s">
        <v>355</v>
      </c>
      <c r="Q45670" s="5" t="s">
        <v>355</v>
      </c>
    </row>
    <row r="45671" ht="16.5" customHeight="1">
      <c r="O45671" s="5" t="s">
        <v>355</v>
      </c>
      <c r="P45671" s="5" t="s">
        <v>355</v>
      </c>
      <c r="Q45671" s="5" t="s">
        <v>355</v>
      </c>
    </row>
    <row r="45672" ht="16.5" customHeight="1">
      <c r="O45672" s="5" t="s">
        <v>355</v>
      </c>
      <c r="P45672" s="5" t="s">
        <v>355</v>
      </c>
      <c r="Q45672" s="5" t="s">
        <v>355</v>
      </c>
    </row>
    <row r="45673" ht="16.5" customHeight="1">
      <c r="O45673" s="5" t="s">
        <v>355</v>
      </c>
      <c r="P45673" s="5" t="s">
        <v>355</v>
      </c>
      <c r="Q45673" s="5" t="s">
        <v>355</v>
      </c>
    </row>
    <row r="45674" ht="16.5" customHeight="1">
      <c r="O45674" s="5" t="s">
        <v>355</v>
      </c>
      <c r="P45674" s="5" t="s">
        <v>355</v>
      </c>
      <c r="Q45674" s="5" t="s">
        <v>355</v>
      </c>
    </row>
    <row r="45675" ht="16.5" customHeight="1">
      <c r="O45675" s="5" t="s">
        <v>355</v>
      </c>
      <c r="P45675" s="5" t="s">
        <v>355</v>
      </c>
      <c r="Q45675" s="5" t="s">
        <v>355</v>
      </c>
    </row>
    <row r="45676" ht="16.5" customHeight="1">
      <c r="O45676" s="5" t="s">
        <v>355</v>
      </c>
      <c r="P45676" s="5" t="s">
        <v>355</v>
      </c>
      <c r="Q45676" s="5" t="s">
        <v>355</v>
      </c>
    </row>
    <row r="45677" ht="16.5" customHeight="1">
      <c r="O45677" s="5" t="s">
        <v>355</v>
      </c>
      <c r="P45677" s="5" t="s">
        <v>355</v>
      </c>
      <c r="Q45677" s="5" t="s">
        <v>355</v>
      </c>
    </row>
    <row r="45678" ht="16.5" customHeight="1">
      <c r="O45678" s="5" t="s">
        <v>355</v>
      </c>
      <c r="P45678" s="5" t="s">
        <v>355</v>
      </c>
      <c r="Q45678" s="5" t="s">
        <v>355</v>
      </c>
    </row>
    <row r="45679" ht="16.5" customHeight="1">
      <c r="O45679" s="5" t="s">
        <v>355</v>
      </c>
      <c r="P45679" s="5" t="s">
        <v>355</v>
      </c>
      <c r="Q45679" s="5" t="s">
        <v>355</v>
      </c>
    </row>
    <row r="45680" ht="16.5" customHeight="1">
      <c r="O45680" s="5" t="s">
        <v>355</v>
      </c>
      <c r="P45680" s="5" t="s">
        <v>355</v>
      </c>
      <c r="Q45680" s="5" t="s">
        <v>355</v>
      </c>
    </row>
    <row r="45681" ht="16.5" customHeight="1">
      <c r="O45681" s="5" t="s">
        <v>355</v>
      </c>
      <c r="P45681" s="5" t="s">
        <v>355</v>
      </c>
      <c r="Q45681" s="5" t="s">
        <v>355</v>
      </c>
    </row>
    <row r="45682" ht="16.5" customHeight="1">
      <c r="O45682" s="5" t="s">
        <v>355</v>
      </c>
      <c r="P45682" s="5" t="s">
        <v>355</v>
      </c>
      <c r="Q45682" s="5" t="s">
        <v>355</v>
      </c>
    </row>
    <row r="45683" ht="16.5" customHeight="1">
      <c r="O45683" s="5" t="s">
        <v>355</v>
      </c>
      <c r="P45683" s="5" t="s">
        <v>355</v>
      </c>
      <c r="Q45683" s="5" t="s">
        <v>355</v>
      </c>
    </row>
    <row r="45684" ht="16.5" customHeight="1">
      <c r="O45684" s="5" t="s">
        <v>355</v>
      </c>
      <c r="P45684" s="5" t="s">
        <v>355</v>
      </c>
      <c r="Q45684" s="5" t="s">
        <v>355</v>
      </c>
    </row>
    <row r="45685" ht="16.5" customHeight="1">
      <c r="O45685" s="5" t="s">
        <v>355</v>
      </c>
      <c r="P45685" s="5" t="s">
        <v>355</v>
      </c>
      <c r="Q45685" s="5" t="s">
        <v>355</v>
      </c>
    </row>
    <row r="45686" ht="16.5" customHeight="1">
      <c r="O45686" s="5" t="s">
        <v>355</v>
      </c>
      <c r="P45686" s="5" t="s">
        <v>355</v>
      </c>
      <c r="Q45686" s="5" t="s">
        <v>355</v>
      </c>
    </row>
    <row r="45687" ht="16.5" customHeight="1">
      <c r="O45687" s="5" t="s">
        <v>355</v>
      </c>
      <c r="P45687" s="5" t="s">
        <v>355</v>
      </c>
      <c r="Q45687" s="5" t="s">
        <v>355</v>
      </c>
    </row>
    <row r="45688" ht="16.5" customHeight="1">
      <c r="O45688" s="5" t="s">
        <v>355</v>
      </c>
      <c r="P45688" s="5" t="s">
        <v>355</v>
      </c>
      <c r="Q45688" s="5" t="s">
        <v>355</v>
      </c>
    </row>
    <row r="45689" ht="16.5" customHeight="1">
      <c r="O45689" s="5" t="s">
        <v>355</v>
      </c>
      <c r="P45689" s="5" t="s">
        <v>355</v>
      </c>
      <c r="Q45689" s="5" t="s">
        <v>355</v>
      </c>
    </row>
    <row r="45690" ht="16.5" customHeight="1">
      <c r="O45690" s="5" t="s">
        <v>355</v>
      </c>
      <c r="P45690" s="5" t="s">
        <v>355</v>
      </c>
      <c r="Q45690" s="5" t="s">
        <v>355</v>
      </c>
    </row>
    <row r="45691" ht="16.5" customHeight="1">
      <c r="O45691" s="5" t="s">
        <v>355</v>
      </c>
      <c r="P45691" s="5" t="s">
        <v>355</v>
      </c>
      <c r="Q45691" s="5" t="s">
        <v>355</v>
      </c>
    </row>
    <row r="45692" ht="16.5" customHeight="1">
      <c r="O45692" s="5" t="s">
        <v>355</v>
      </c>
      <c r="P45692" s="5" t="s">
        <v>355</v>
      </c>
      <c r="Q45692" s="5" t="s">
        <v>355</v>
      </c>
    </row>
    <row r="45693" ht="16.5" customHeight="1">
      <c r="O45693" s="5" t="s">
        <v>355</v>
      </c>
      <c r="P45693" s="5" t="s">
        <v>355</v>
      </c>
      <c r="Q45693" s="5" t="s">
        <v>355</v>
      </c>
    </row>
    <row r="45694" ht="16.5" customHeight="1">
      <c r="O45694" s="5" t="s">
        <v>355</v>
      </c>
      <c r="P45694" s="5" t="s">
        <v>355</v>
      </c>
      <c r="Q45694" s="5" t="s">
        <v>355</v>
      </c>
    </row>
    <row r="45695" ht="16.5" customHeight="1">
      <c r="O45695" s="5" t="s">
        <v>355</v>
      </c>
      <c r="P45695" s="5" t="s">
        <v>355</v>
      </c>
      <c r="Q45695" s="5" t="s">
        <v>355</v>
      </c>
    </row>
    <row r="45696" ht="16.5" customHeight="1">
      <c r="O45696" s="5" t="s">
        <v>355</v>
      </c>
      <c r="P45696" s="5" t="s">
        <v>355</v>
      </c>
      <c r="Q45696" s="5" t="s">
        <v>355</v>
      </c>
    </row>
    <row r="45697" ht="16.5" customHeight="1">
      <c r="O45697" s="5" t="s">
        <v>355</v>
      </c>
      <c r="P45697" s="5" t="s">
        <v>355</v>
      </c>
      <c r="Q45697" s="5" t="s">
        <v>355</v>
      </c>
    </row>
    <row r="45698" ht="16.5" customHeight="1">
      <c r="O45698" s="5" t="s">
        <v>355</v>
      </c>
      <c r="P45698" s="5" t="s">
        <v>355</v>
      </c>
      <c r="Q45698" s="5" t="s">
        <v>355</v>
      </c>
    </row>
    <row r="45699" ht="16.5" customHeight="1">
      <c r="O45699" s="5" t="s">
        <v>355</v>
      </c>
      <c r="P45699" s="5" t="s">
        <v>355</v>
      </c>
      <c r="Q45699" s="5" t="s">
        <v>355</v>
      </c>
    </row>
    <row r="45700" ht="16.5" customHeight="1">
      <c r="O45700" s="5" t="s">
        <v>355</v>
      </c>
      <c r="P45700" s="5" t="s">
        <v>355</v>
      </c>
      <c r="Q45700" s="5" t="s">
        <v>355</v>
      </c>
    </row>
    <row r="45701" ht="16.5" customHeight="1">
      <c r="O45701" s="5" t="s">
        <v>355</v>
      </c>
      <c r="P45701" s="5" t="s">
        <v>355</v>
      </c>
      <c r="Q45701" s="5" t="s">
        <v>355</v>
      </c>
    </row>
    <row r="45702" ht="16.5" customHeight="1">
      <c r="O45702" s="5" t="s">
        <v>355</v>
      </c>
      <c r="P45702" s="5" t="s">
        <v>355</v>
      </c>
      <c r="Q45702" s="5" t="s">
        <v>355</v>
      </c>
    </row>
    <row r="45703" ht="16.5" customHeight="1">
      <c r="O45703" s="5" t="s">
        <v>355</v>
      </c>
      <c r="P45703" s="5" t="s">
        <v>355</v>
      </c>
      <c r="Q45703" s="5" t="s">
        <v>355</v>
      </c>
    </row>
    <row r="45704" ht="16.5" customHeight="1">
      <c r="O45704" s="5" t="s">
        <v>355</v>
      </c>
      <c r="P45704" s="5" t="s">
        <v>355</v>
      </c>
      <c r="Q45704" s="5" t="s">
        <v>355</v>
      </c>
    </row>
    <row r="45705" ht="16.5" customHeight="1">
      <c r="O45705" s="5" t="s">
        <v>355</v>
      </c>
      <c r="P45705" s="5" t="s">
        <v>355</v>
      </c>
      <c r="Q45705" s="5" t="s">
        <v>355</v>
      </c>
    </row>
    <row r="45706" ht="16.5" customHeight="1">
      <c r="O45706" s="5" t="s">
        <v>355</v>
      </c>
      <c r="P45706" s="5" t="s">
        <v>355</v>
      </c>
      <c r="Q45706" s="5" t="s">
        <v>355</v>
      </c>
    </row>
    <row r="45707" ht="16.5" customHeight="1">
      <c r="O45707" s="5" t="s">
        <v>355</v>
      </c>
      <c r="P45707" s="5" t="s">
        <v>355</v>
      </c>
      <c r="Q45707" s="5" t="s">
        <v>355</v>
      </c>
    </row>
    <row r="45708" ht="16.5" customHeight="1">
      <c r="O45708" s="5" t="s">
        <v>355</v>
      </c>
      <c r="P45708" s="5" t="s">
        <v>355</v>
      </c>
      <c r="Q45708" s="5" t="s">
        <v>355</v>
      </c>
    </row>
    <row r="45709" ht="16.5" customHeight="1">
      <c r="O45709" s="5" t="s">
        <v>355</v>
      </c>
      <c r="P45709" s="5" t="s">
        <v>355</v>
      </c>
      <c r="Q45709" s="5" t="s">
        <v>355</v>
      </c>
    </row>
    <row r="45710" ht="16.5" customHeight="1">
      <c r="O45710" s="5" t="s">
        <v>355</v>
      </c>
      <c r="P45710" s="5" t="s">
        <v>355</v>
      </c>
      <c r="Q45710" s="5" t="s">
        <v>355</v>
      </c>
    </row>
    <row r="45711" ht="16.5" customHeight="1">
      <c r="O45711" s="5" t="s">
        <v>355</v>
      </c>
      <c r="P45711" s="5" t="s">
        <v>355</v>
      </c>
      <c r="Q45711" s="5" t="s">
        <v>355</v>
      </c>
    </row>
    <row r="45712" ht="16.5" customHeight="1">
      <c r="O45712" s="5" t="s">
        <v>355</v>
      </c>
      <c r="P45712" s="5" t="s">
        <v>355</v>
      </c>
      <c r="Q45712" s="5" t="s">
        <v>355</v>
      </c>
    </row>
    <row r="45713" ht="16.5" customHeight="1">
      <c r="O45713" s="5" t="s">
        <v>355</v>
      </c>
      <c r="P45713" s="5" t="s">
        <v>355</v>
      </c>
      <c r="Q45713" s="5" t="s">
        <v>355</v>
      </c>
    </row>
    <row r="45714" ht="16.5" customHeight="1">
      <c r="O45714" s="5" t="s">
        <v>355</v>
      </c>
      <c r="P45714" s="5" t="s">
        <v>355</v>
      </c>
      <c r="Q45714" s="5" t="s">
        <v>355</v>
      </c>
    </row>
    <row r="45715" ht="16.5" customHeight="1">
      <c r="O45715" s="5" t="s">
        <v>355</v>
      </c>
      <c r="P45715" s="5" t="s">
        <v>355</v>
      </c>
      <c r="Q45715" s="5" t="s">
        <v>355</v>
      </c>
    </row>
    <row r="45716" ht="16.5" customHeight="1">
      <c r="O45716" s="5" t="s">
        <v>355</v>
      </c>
      <c r="P45716" s="5" t="s">
        <v>355</v>
      </c>
      <c r="Q45716" s="5" t="s">
        <v>355</v>
      </c>
    </row>
    <row r="45717" ht="16.5" customHeight="1">
      <c r="O45717" s="5" t="s">
        <v>355</v>
      </c>
      <c r="P45717" s="5" t="s">
        <v>355</v>
      </c>
      <c r="Q45717" s="5" t="s">
        <v>355</v>
      </c>
    </row>
    <row r="45718" ht="16.5" customHeight="1">
      <c r="O45718" s="5" t="s">
        <v>355</v>
      </c>
      <c r="P45718" s="5" t="s">
        <v>355</v>
      </c>
      <c r="Q45718" s="5" t="s">
        <v>355</v>
      </c>
    </row>
    <row r="45719" ht="16.5" customHeight="1">
      <c r="O45719" s="5" t="s">
        <v>355</v>
      </c>
      <c r="P45719" s="5" t="s">
        <v>355</v>
      </c>
      <c r="Q45719" s="5" t="s">
        <v>355</v>
      </c>
    </row>
    <row r="45720" ht="16.5" customHeight="1">
      <c r="O45720" s="5" t="s">
        <v>355</v>
      </c>
      <c r="P45720" s="5" t="s">
        <v>355</v>
      </c>
      <c r="Q45720" s="5" t="s">
        <v>355</v>
      </c>
    </row>
    <row r="45721" ht="16.5" customHeight="1">
      <c r="O45721" s="5" t="s">
        <v>355</v>
      </c>
      <c r="P45721" s="5" t="s">
        <v>355</v>
      </c>
      <c r="Q45721" s="5" t="s">
        <v>355</v>
      </c>
    </row>
    <row r="45722" ht="16.5" customHeight="1">
      <c r="O45722" s="5" t="s">
        <v>355</v>
      </c>
      <c r="P45722" s="5" t="s">
        <v>355</v>
      </c>
      <c r="Q45722" s="5" t="s">
        <v>355</v>
      </c>
    </row>
    <row r="45723" ht="16.5" customHeight="1">
      <c r="O45723" s="5" t="s">
        <v>355</v>
      </c>
      <c r="P45723" s="5" t="s">
        <v>355</v>
      </c>
      <c r="Q45723" s="5" t="s">
        <v>355</v>
      </c>
    </row>
    <row r="45724" ht="16.5" customHeight="1">
      <c r="O45724" s="5" t="s">
        <v>355</v>
      </c>
      <c r="P45724" s="5" t="s">
        <v>355</v>
      </c>
      <c r="Q45724" s="5" t="s">
        <v>355</v>
      </c>
    </row>
    <row r="45725" ht="16.5" customHeight="1">
      <c r="O45725" s="5" t="s">
        <v>355</v>
      </c>
      <c r="P45725" s="5" t="s">
        <v>355</v>
      </c>
      <c r="Q45725" s="5" t="s">
        <v>355</v>
      </c>
    </row>
    <row r="45726" ht="16.5" customHeight="1">
      <c r="O45726" s="5" t="s">
        <v>355</v>
      </c>
      <c r="P45726" s="5" t="s">
        <v>355</v>
      </c>
      <c r="Q45726" s="5" t="s">
        <v>355</v>
      </c>
    </row>
    <row r="45727" ht="16.5" customHeight="1">
      <c r="O45727" s="5" t="s">
        <v>355</v>
      </c>
      <c r="P45727" s="5" t="s">
        <v>355</v>
      </c>
      <c r="Q45727" s="5" t="s">
        <v>355</v>
      </c>
    </row>
    <row r="45728" ht="16.5" customHeight="1">
      <c r="O45728" s="5" t="s">
        <v>355</v>
      </c>
      <c r="P45728" s="5" t="s">
        <v>355</v>
      </c>
      <c r="Q45728" s="5" t="s">
        <v>355</v>
      </c>
    </row>
    <row r="45729" ht="16.5" customHeight="1">
      <c r="O45729" s="5" t="s">
        <v>355</v>
      </c>
      <c r="P45729" s="5" t="s">
        <v>355</v>
      </c>
      <c r="Q45729" s="5" t="s">
        <v>355</v>
      </c>
    </row>
    <row r="45730" ht="16.5" customHeight="1">
      <c r="O45730" s="5" t="s">
        <v>355</v>
      </c>
      <c r="P45730" s="5" t="s">
        <v>355</v>
      </c>
      <c r="Q45730" s="5" t="s">
        <v>355</v>
      </c>
    </row>
    <row r="45731" ht="16.5" customHeight="1">
      <c r="O45731" s="5" t="s">
        <v>355</v>
      </c>
      <c r="P45731" s="5" t="s">
        <v>355</v>
      </c>
      <c r="Q45731" s="5" t="s">
        <v>355</v>
      </c>
    </row>
    <row r="45732" ht="16.5" customHeight="1">
      <c r="O45732" s="5" t="s">
        <v>355</v>
      </c>
      <c r="P45732" s="5" t="s">
        <v>355</v>
      </c>
      <c r="Q45732" s="5" t="s">
        <v>355</v>
      </c>
    </row>
    <row r="45733" ht="16.5" customHeight="1">
      <c r="O45733" s="5" t="s">
        <v>355</v>
      </c>
      <c r="P45733" s="5" t="s">
        <v>355</v>
      </c>
      <c r="Q45733" s="5" t="s">
        <v>355</v>
      </c>
    </row>
    <row r="45734" ht="16.5" customHeight="1">
      <c r="O45734" s="5" t="s">
        <v>355</v>
      </c>
      <c r="P45734" s="5" t="s">
        <v>355</v>
      </c>
      <c r="Q45734" s="5" t="s">
        <v>355</v>
      </c>
    </row>
    <row r="45735" ht="16.5" customHeight="1">
      <c r="O45735" s="5" t="s">
        <v>355</v>
      </c>
      <c r="P45735" s="5" t="s">
        <v>355</v>
      </c>
      <c r="Q45735" s="5" t="s">
        <v>355</v>
      </c>
    </row>
    <row r="45736" ht="16.5" customHeight="1">
      <c r="O45736" s="5" t="s">
        <v>355</v>
      </c>
      <c r="P45736" s="5" t="s">
        <v>355</v>
      </c>
      <c r="Q45736" s="5" t="s">
        <v>355</v>
      </c>
    </row>
    <row r="45737" ht="16.5" customHeight="1">
      <c r="O45737" s="5" t="s">
        <v>355</v>
      </c>
      <c r="P45737" s="5" t="s">
        <v>355</v>
      </c>
      <c r="Q45737" s="5" t="s">
        <v>355</v>
      </c>
    </row>
    <row r="45738" ht="16.5" customHeight="1">
      <c r="O45738" s="5" t="s">
        <v>355</v>
      </c>
      <c r="P45738" s="5" t="s">
        <v>355</v>
      </c>
      <c r="Q45738" s="5" t="s">
        <v>355</v>
      </c>
    </row>
    <row r="45739" ht="16.5" customHeight="1">
      <c r="O45739" s="5" t="s">
        <v>355</v>
      </c>
      <c r="P45739" s="5" t="s">
        <v>355</v>
      </c>
      <c r="Q45739" s="5" t="s">
        <v>355</v>
      </c>
    </row>
    <row r="45740" ht="16.5" customHeight="1">
      <c r="O45740" s="5" t="s">
        <v>355</v>
      </c>
      <c r="P45740" s="5" t="s">
        <v>355</v>
      </c>
      <c r="Q45740" s="5" t="s">
        <v>355</v>
      </c>
    </row>
    <row r="45741" ht="16.5" customHeight="1">
      <c r="O45741" s="5" t="s">
        <v>355</v>
      </c>
      <c r="P45741" s="5" t="s">
        <v>355</v>
      </c>
      <c r="Q45741" s="5" t="s">
        <v>355</v>
      </c>
    </row>
    <row r="45742" ht="16.5" customHeight="1">
      <c r="O45742" s="5" t="s">
        <v>355</v>
      </c>
      <c r="P45742" s="5" t="s">
        <v>355</v>
      </c>
      <c r="Q45742" s="5" t="s">
        <v>355</v>
      </c>
    </row>
    <row r="45743" ht="16.5" customHeight="1">
      <c r="O45743" s="5" t="s">
        <v>355</v>
      </c>
      <c r="P45743" s="5" t="s">
        <v>355</v>
      </c>
      <c r="Q45743" s="5" t="s">
        <v>355</v>
      </c>
    </row>
    <row r="45744" ht="16.5" customHeight="1">
      <c r="O45744" s="5" t="s">
        <v>355</v>
      </c>
      <c r="P45744" s="5" t="s">
        <v>355</v>
      </c>
      <c r="Q45744" s="5" t="s">
        <v>355</v>
      </c>
    </row>
    <row r="45745" ht="16.5" customHeight="1">
      <c r="O45745" s="5" t="s">
        <v>355</v>
      </c>
      <c r="P45745" s="5" t="s">
        <v>355</v>
      </c>
      <c r="Q45745" s="5" t="s">
        <v>355</v>
      </c>
    </row>
    <row r="45746" ht="16.5" customHeight="1">
      <c r="O45746" s="5" t="s">
        <v>355</v>
      </c>
      <c r="P45746" s="5" t="s">
        <v>355</v>
      </c>
      <c r="Q45746" s="5" t="s">
        <v>355</v>
      </c>
    </row>
    <row r="45747" ht="16.5" customHeight="1">
      <c r="O45747" s="5" t="s">
        <v>355</v>
      </c>
      <c r="P45747" s="5" t="s">
        <v>355</v>
      </c>
      <c r="Q45747" s="5" t="s">
        <v>355</v>
      </c>
    </row>
    <row r="45748" ht="16.5" customHeight="1">
      <c r="O45748" s="5" t="s">
        <v>355</v>
      </c>
      <c r="P45748" s="5" t="s">
        <v>355</v>
      </c>
      <c r="Q45748" s="5" t="s">
        <v>355</v>
      </c>
    </row>
    <row r="45749" ht="16.5" customHeight="1">
      <c r="O45749" s="5" t="s">
        <v>355</v>
      </c>
      <c r="P45749" s="5" t="s">
        <v>355</v>
      </c>
      <c r="Q45749" s="5" t="s">
        <v>355</v>
      </c>
    </row>
    <row r="45750" ht="16.5" customHeight="1">
      <c r="O45750" s="5" t="s">
        <v>355</v>
      </c>
      <c r="P45750" s="5" t="s">
        <v>355</v>
      </c>
      <c r="Q45750" s="5" t="s">
        <v>355</v>
      </c>
    </row>
    <row r="45751" ht="16.5" customHeight="1">
      <c r="O45751" s="5" t="s">
        <v>355</v>
      </c>
      <c r="P45751" s="5" t="s">
        <v>355</v>
      </c>
      <c r="Q45751" s="5" t="s">
        <v>355</v>
      </c>
    </row>
    <row r="45752" ht="16.5" customHeight="1">
      <c r="O45752" s="5" t="s">
        <v>355</v>
      </c>
      <c r="P45752" s="5" t="s">
        <v>355</v>
      </c>
      <c r="Q45752" s="5" t="s">
        <v>355</v>
      </c>
    </row>
    <row r="45753" ht="16.5" customHeight="1">
      <c r="O45753" s="5" t="s">
        <v>355</v>
      </c>
      <c r="P45753" s="5" t="s">
        <v>355</v>
      </c>
      <c r="Q45753" s="5" t="s">
        <v>355</v>
      </c>
    </row>
    <row r="45754" ht="16.5" customHeight="1">
      <c r="O45754" s="5" t="s">
        <v>355</v>
      </c>
      <c r="P45754" s="5" t="s">
        <v>355</v>
      </c>
      <c r="Q45754" s="5" t="s">
        <v>355</v>
      </c>
    </row>
    <row r="45755" ht="16.5" customHeight="1">
      <c r="O45755" s="5" t="s">
        <v>355</v>
      </c>
      <c r="P45755" s="5" t="s">
        <v>355</v>
      </c>
      <c r="Q45755" s="5" t="s">
        <v>355</v>
      </c>
    </row>
    <row r="45756" ht="16.5" customHeight="1">
      <c r="O45756" s="5" t="s">
        <v>355</v>
      </c>
      <c r="P45756" s="5" t="s">
        <v>355</v>
      </c>
      <c r="Q45756" s="5" t="s">
        <v>355</v>
      </c>
    </row>
    <row r="45757" ht="16.5" customHeight="1">
      <c r="O45757" s="5" t="s">
        <v>355</v>
      </c>
      <c r="P45757" s="5" t="s">
        <v>355</v>
      </c>
      <c r="Q45757" s="5" t="s">
        <v>355</v>
      </c>
    </row>
    <row r="45758" ht="16.5" customHeight="1">
      <c r="O45758" s="5" t="s">
        <v>355</v>
      </c>
      <c r="P45758" s="5" t="s">
        <v>355</v>
      </c>
      <c r="Q45758" s="5" t="s">
        <v>355</v>
      </c>
    </row>
    <row r="45759" ht="16.5" customHeight="1">
      <c r="O45759" s="5" t="s">
        <v>355</v>
      </c>
      <c r="P45759" s="5" t="s">
        <v>355</v>
      </c>
      <c r="Q45759" s="5" t="s">
        <v>355</v>
      </c>
    </row>
    <row r="45760" ht="16.5" customHeight="1">
      <c r="O45760" s="5" t="s">
        <v>355</v>
      </c>
      <c r="P45760" s="5" t="s">
        <v>355</v>
      </c>
      <c r="Q45760" s="5" t="s">
        <v>355</v>
      </c>
    </row>
    <row r="45761" ht="16.5" customHeight="1">
      <c r="O45761" s="5" t="s">
        <v>355</v>
      </c>
      <c r="P45761" s="5" t="s">
        <v>355</v>
      </c>
      <c r="Q45761" s="5" t="s">
        <v>355</v>
      </c>
    </row>
    <row r="45762" ht="16.5" customHeight="1">
      <c r="O45762" s="5" t="s">
        <v>355</v>
      </c>
      <c r="P45762" s="5" t="s">
        <v>355</v>
      </c>
      <c r="Q45762" s="5" t="s">
        <v>355</v>
      </c>
    </row>
    <row r="45763" ht="16.5" customHeight="1">
      <c r="O45763" s="5" t="s">
        <v>355</v>
      </c>
      <c r="P45763" s="5" t="s">
        <v>355</v>
      </c>
      <c r="Q45763" s="5" t="s">
        <v>355</v>
      </c>
    </row>
    <row r="45764" ht="16.5" customHeight="1">
      <c r="O45764" s="5" t="s">
        <v>355</v>
      </c>
      <c r="P45764" s="5" t="s">
        <v>355</v>
      </c>
      <c r="Q45764" s="5" t="s">
        <v>355</v>
      </c>
    </row>
    <row r="45765" ht="16.5" customHeight="1">
      <c r="O45765" s="5" t="s">
        <v>355</v>
      </c>
      <c r="P45765" s="5" t="s">
        <v>355</v>
      </c>
      <c r="Q45765" s="5" t="s">
        <v>355</v>
      </c>
    </row>
    <row r="45766" ht="16.5" customHeight="1">
      <c r="O45766" s="5" t="s">
        <v>355</v>
      </c>
      <c r="P45766" s="5" t="s">
        <v>355</v>
      </c>
      <c r="Q45766" s="5" t="s">
        <v>355</v>
      </c>
    </row>
    <row r="45767" ht="16.5" customHeight="1">
      <c r="O45767" s="5" t="s">
        <v>355</v>
      </c>
      <c r="P45767" s="5" t="s">
        <v>355</v>
      </c>
      <c r="Q45767" s="5" t="s">
        <v>355</v>
      </c>
    </row>
    <row r="45768" ht="16.5" customHeight="1">
      <c r="O45768" s="5" t="s">
        <v>355</v>
      </c>
      <c r="P45768" s="5" t="s">
        <v>355</v>
      </c>
      <c r="Q45768" s="5" t="s">
        <v>355</v>
      </c>
    </row>
    <row r="45769" ht="16.5" customHeight="1">
      <c r="O45769" s="5" t="s">
        <v>355</v>
      </c>
      <c r="P45769" s="5" t="s">
        <v>355</v>
      </c>
      <c r="Q45769" s="5" t="s">
        <v>355</v>
      </c>
    </row>
    <row r="45770" ht="16.5" customHeight="1">
      <c r="O45770" s="5" t="s">
        <v>355</v>
      </c>
      <c r="P45770" s="5" t="s">
        <v>355</v>
      </c>
      <c r="Q45770" s="5" t="s">
        <v>355</v>
      </c>
    </row>
    <row r="45771" ht="16.5" customHeight="1">
      <c r="O45771" s="5" t="s">
        <v>355</v>
      </c>
      <c r="P45771" s="5" t="s">
        <v>355</v>
      </c>
      <c r="Q45771" s="5" t="s">
        <v>355</v>
      </c>
    </row>
    <row r="45772" ht="16.5" customHeight="1">
      <c r="O45772" s="5" t="s">
        <v>355</v>
      </c>
      <c r="P45772" s="5" t="s">
        <v>355</v>
      </c>
      <c r="Q45772" s="5" t="s">
        <v>355</v>
      </c>
    </row>
    <row r="45773" ht="16.5" customHeight="1">
      <c r="O45773" s="5" t="s">
        <v>355</v>
      </c>
      <c r="P45773" s="5" t="s">
        <v>355</v>
      </c>
      <c r="Q45773" s="5" t="s">
        <v>355</v>
      </c>
    </row>
    <row r="45774" ht="16.5" customHeight="1">
      <c r="O45774" s="5" t="s">
        <v>355</v>
      </c>
      <c r="P45774" s="5" t="s">
        <v>355</v>
      </c>
      <c r="Q45774" s="5" t="s">
        <v>355</v>
      </c>
    </row>
    <row r="45775" ht="16.5" customHeight="1">
      <c r="O45775" s="5" t="s">
        <v>355</v>
      </c>
      <c r="P45775" s="5" t="s">
        <v>355</v>
      </c>
      <c r="Q45775" s="5" t="s">
        <v>355</v>
      </c>
    </row>
    <row r="45776" ht="16.5" customHeight="1">
      <c r="O45776" s="5" t="s">
        <v>355</v>
      </c>
      <c r="P45776" s="5" t="s">
        <v>355</v>
      </c>
      <c r="Q45776" s="5" t="s">
        <v>355</v>
      </c>
    </row>
    <row r="45777" ht="16.5" customHeight="1">
      <c r="O45777" s="5" t="s">
        <v>355</v>
      </c>
      <c r="P45777" s="5" t="s">
        <v>355</v>
      </c>
      <c r="Q45777" s="5" t="s">
        <v>355</v>
      </c>
    </row>
    <row r="45778" ht="16.5" customHeight="1">
      <c r="O45778" s="5" t="s">
        <v>355</v>
      </c>
      <c r="P45778" s="5" t="s">
        <v>355</v>
      </c>
      <c r="Q45778" s="5" t="s">
        <v>355</v>
      </c>
    </row>
    <row r="45779" ht="16.5" customHeight="1">
      <c r="O45779" s="5" t="s">
        <v>355</v>
      </c>
      <c r="P45779" s="5" t="s">
        <v>355</v>
      </c>
      <c r="Q45779" s="5" t="s">
        <v>355</v>
      </c>
    </row>
    <row r="45780" ht="16.5" customHeight="1">
      <c r="O45780" s="5" t="s">
        <v>355</v>
      </c>
      <c r="P45780" s="5" t="s">
        <v>355</v>
      </c>
      <c r="Q45780" s="5" t="s">
        <v>355</v>
      </c>
    </row>
    <row r="45781" ht="16.5" customHeight="1">
      <c r="O45781" s="5" t="s">
        <v>355</v>
      </c>
      <c r="P45781" s="5" t="s">
        <v>355</v>
      </c>
      <c r="Q45781" s="5" t="s">
        <v>355</v>
      </c>
    </row>
    <row r="45782" ht="16.5" customHeight="1">
      <c r="O45782" s="5" t="s">
        <v>355</v>
      </c>
      <c r="P45782" s="5" t="s">
        <v>355</v>
      </c>
      <c r="Q45782" s="5" t="s">
        <v>355</v>
      </c>
    </row>
    <row r="45783" ht="16.5" customHeight="1">
      <c r="O45783" s="5" t="s">
        <v>355</v>
      </c>
      <c r="P45783" s="5" t="s">
        <v>355</v>
      </c>
      <c r="Q45783" s="5" t="s">
        <v>355</v>
      </c>
    </row>
    <row r="45784" ht="16.5" customHeight="1">
      <c r="O45784" s="5" t="s">
        <v>355</v>
      </c>
      <c r="P45784" s="5" t="s">
        <v>355</v>
      </c>
      <c r="Q45784" s="5" t="s">
        <v>355</v>
      </c>
    </row>
    <row r="45785" ht="16.5" customHeight="1">
      <c r="O45785" s="5" t="s">
        <v>355</v>
      </c>
      <c r="P45785" s="5" t="s">
        <v>355</v>
      </c>
      <c r="Q45785" s="5" t="s">
        <v>355</v>
      </c>
    </row>
    <row r="45786" ht="16.5" customHeight="1">
      <c r="O45786" s="5" t="s">
        <v>355</v>
      </c>
      <c r="P45786" s="5" t="s">
        <v>355</v>
      </c>
      <c r="Q45786" s="5" t="s">
        <v>355</v>
      </c>
    </row>
    <row r="45787" ht="16.5" customHeight="1">
      <c r="O45787" s="5" t="s">
        <v>355</v>
      </c>
      <c r="P45787" s="5" t="s">
        <v>355</v>
      </c>
      <c r="Q45787" s="5" t="s">
        <v>355</v>
      </c>
    </row>
    <row r="45788" ht="16.5" customHeight="1">
      <c r="O45788" s="5" t="s">
        <v>355</v>
      </c>
      <c r="P45788" s="5" t="s">
        <v>355</v>
      </c>
      <c r="Q45788" s="5" t="s">
        <v>355</v>
      </c>
    </row>
    <row r="45789" ht="16.5" customHeight="1">
      <c r="O45789" s="5" t="s">
        <v>355</v>
      </c>
      <c r="P45789" s="5" t="s">
        <v>355</v>
      </c>
      <c r="Q45789" s="5" t="s">
        <v>355</v>
      </c>
    </row>
    <row r="45790" ht="16.5" customHeight="1">
      <c r="O45790" s="5" t="s">
        <v>355</v>
      </c>
      <c r="P45790" s="5" t="s">
        <v>355</v>
      </c>
      <c r="Q45790" s="5" t="s">
        <v>355</v>
      </c>
    </row>
    <row r="45791" ht="16.5" customHeight="1">
      <c r="O45791" s="5" t="s">
        <v>355</v>
      </c>
      <c r="P45791" s="5" t="s">
        <v>355</v>
      </c>
      <c r="Q45791" s="5" t="s">
        <v>355</v>
      </c>
    </row>
    <row r="45792" ht="16.5" customHeight="1">
      <c r="O45792" s="5" t="s">
        <v>355</v>
      </c>
      <c r="P45792" s="5" t="s">
        <v>355</v>
      </c>
      <c r="Q45792" s="5" t="s">
        <v>355</v>
      </c>
    </row>
    <row r="45793" ht="16.5" customHeight="1">
      <c r="O45793" s="5" t="s">
        <v>355</v>
      </c>
      <c r="P45793" s="5" t="s">
        <v>355</v>
      </c>
      <c r="Q45793" s="5" t="s">
        <v>355</v>
      </c>
    </row>
    <row r="45794" ht="16.5" customHeight="1">
      <c r="O45794" s="5" t="s">
        <v>355</v>
      </c>
      <c r="P45794" s="5" t="s">
        <v>355</v>
      </c>
      <c r="Q45794" s="5" t="s">
        <v>355</v>
      </c>
    </row>
    <row r="45795" ht="16.5" customHeight="1">
      <c r="O45795" s="5" t="s">
        <v>355</v>
      </c>
      <c r="P45795" s="5" t="s">
        <v>355</v>
      </c>
      <c r="Q45795" s="5" t="s">
        <v>355</v>
      </c>
    </row>
    <row r="45796" ht="16.5" customHeight="1">
      <c r="O45796" s="5" t="s">
        <v>355</v>
      </c>
      <c r="P45796" s="5" t="s">
        <v>355</v>
      </c>
      <c r="Q45796" s="5" t="s">
        <v>355</v>
      </c>
    </row>
    <row r="45797" ht="16.5" customHeight="1">
      <c r="O45797" s="5" t="s">
        <v>355</v>
      </c>
      <c r="P45797" s="5" t="s">
        <v>355</v>
      </c>
      <c r="Q45797" s="5" t="s">
        <v>355</v>
      </c>
    </row>
    <row r="45798" ht="16.5" customHeight="1">
      <c r="O45798" s="5" t="s">
        <v>355</v>
      </c>
      <c r="P45798" s="5" t="s">
        <v>355</v>
      </c>
      <c r="Q45798" s="5" t="s">
        <v>355</v>
      </c>
    </row>
    <row r="45799" ht="16.5" customHeight="1">
      <c r="O45799" s="5" t="s">
        <v>355</v>
      </c>
      <c r="P45799" s="5" t="s">
        <v>355</v>
      </c>
      <c r="Q45799" s="5" t="s">
        <v>355</v>
      </c>
    </row>
    <row r="45800" ht="16.5" customHeight="1">
      <c r="O45800" s="5" t="s">
        <v>355</v>
      </c>
      <c r="P45800" s="5" t="s">
        <v>355</v>
      </c>
      <c r="Q45800" s="5" t="s">
        <v>355</v>
      </c>
    </row>
    <row r="45801" ht="16.5" customHeight="1">
      <c r="O45801" s="5" t="s">
        <v>355</v>
      </c>
      <c r="P45801" s="5" t="s">
        <v>355</v>
      </c>
      <c r="Q45801" s="5" t="s">
        <v>355</v>
      </c>
    </row>
    <row r="45802" ht="16.5" customHeight="1">
      <c r="O45802" s="5" t="s">
        <v>355</v>
      </c>
      <c r="P45802" s="5" t="s">
        <v>355</v>
      </c>
      <c r="Q45802" s="5" t="s">
        <v>355</v>
      </c>
    </row>
    <row r="45803" ht="16.5" customHeight="1">
      <c r="O45803" s="5" t="s">
        <v>355</v>
      </c>
      <c r="P45803" s="5" t="s">
        <v>355</v>
      </c>
      <c r="Q45803" s="5" t="s">
        <v>355</v>
      </c>
    </row>
    <row r="45804" ht="16.5" customHeight="1">
      <c r="O45804" s="5" t="s">
        <v>355</v>
      </c>
      <c r="P45804" s="5" t="s">
        <v>355</v>
      </c>
      <c r="Q45804" s="5" t="s">
        <v>355</v>
      </c>
    </row>
    <row r="45805" ht="16.5" customHeight="1">
      <c r="O45805" s="5" t="s">
        <v>355</v>
      </c>
      <c r="P45805" s="5" t="s">
        <v>355</v>
      </c>
      <c r="Q45805" s="5" t="s">
        <v>355</v>
      </c>
    </row>
    <row r="45806" ht="16.5" customHeight="1">
      <c r="O45806" s="5" t="s">
        <v>355</v>
      </c>
      <c r="P45806" s="5" t="s">
        <v>355</v>
      </c>
      <c r="Q45806" s="5" t="s">
        <v>355</v>
      </c>
    </row>
    <row r="45807" ht="16.5" customHeight="1">
      <c r="O45807" s="5" t="s">
        <v>355</v>
      </c>
      <c r="P45807" s="5" t="s">
        <v>355</v>
      </c>
      <c r="Q45807" s="5" t="s">
        <v>355</v>
      </c>
    </row>
    <row r="45808" ht="16.5" customHeight="1">
      <c r="O45808" s="5" t="s">
        <v>355</v>
      </c>
      <c r="P45808" s="5" t="s">
        <v>355</v>
      </c>
      <c r="Q45808" s="5" t="s">
        <v>355</v>
      </c>
    </row>
    <row r="45809" ht="16.5" customHeight="1">
      <c r="O45809" s="5" t="s">
        <v>355</v>
      </c>
      <c r="P45809" s="5" t="s">
        <v>355</v>
      </c>
      <c r="Q45809" s="5" t="s">
        <v>355</v>
      </c>
    </row>
    <row r="45810" ht="16.5" customHeight="1">
      <c r="O45810" s="5" t="s">
        <v>355</v>
      </c>
      <c r="P45810" s="5" t="s">
        <v>355</v>
      </c>
      <c r="Q45810" s="5" t="s">
        <v>355</v>
      </c>
    </row>
    <row r="45811" ht="16.5" customHeight="1">
      <c r="O45811" s="5" t="s">
        <v>355</v>
      </c>
      <c r="P45811" s="5" t="s">
        <v>355</v>
      </c>
      <c r="Q45811" s="5" t="s">
        <v>355</v>
      </c>
    </row>
    <row r="45812" ht="16.5" customHeight="1">
      <c r="O45812" s="5" t="s">
        <v>355</v>
      </c>
      <c r="P45812" s="5" t="s">
        <v>355</v>
      </c>
      <c r="Q45812" s="5" t="s">
        <v>355</v>
      </c>
    </row>
    <row r="45813" ht="16.5" customHeight="1">
      <c r="O45813" s="5" t="s">
        <v>355</v>
      </c>
      <c r="P45813" s="5" t="s">
        <v>355</v>
      </c>
      <c r="Q45813" s="5" t="s">
        <v>355</v>
      </c>
    </row>
    <row r="45814" ht="16.5" customHeight="1">
      <c r="O45814" s="5" t="s">
        <v>355</v>
      </c>
      <c r="P45814" s="5" t="s">
        <v>355</v>
      </c>
      <c r="Q45814" s="5" t="s">
        <v>355</v>
      </c>
    </row>
    <row r="45815" ht="16.5" customHeight="1">
      <c r="O45815" s="5" t="s">
        <v>355</v>
      </c>
      <c r="P45815" s="5" t="s">
        <v>355</v>
      </c>
      <c r="Q45815" s="5" t="s">
        <v>355</v>
      </c>
    </row>
    <row r="45816" ht="16.5" customHeight="1">
      <c r="O45816" s="5" t="s">
        <v>355</v>
      </c>
      <c r="P45816" s="5" t="s">
        <v>355</v>
      </c>
      <c r="Q45816" s="5" t="s">
        <v>355</v>
      </c>
    </row>
    <row r="45817" ht="16.5" customHeight="1">
      <c r="O45817" s="5" t="s">
        <v>355</v>
      </c>
      <c r="P45817" s="5" t="s">
        <v>355</v>
      </c>
      <c r="Q45817" s="5" t="s">
        <v>355</v>
      </c>
    </row>
    <row r="45818" ht="16.5" customHeight="1">
      <c r="O45818" s="5" t="s">
        <v>355</v>
      </c>
      <c r="P45818" s="5" t="s">
        <v>355</v>
      </c>
      <c r="Q45818" s="5" t="s">
        <v>355</v>
      </c>
    </row>
    <row r="45819" ht="16.5" customHeight="1">
      <c r="O45819" s="5" t="s">
        <v>355</v>
      </c>
      <c r="P45819" s="5" t="s">
        <v>355</v>
      </c>
      <c r="Q45819" s="5" t="s">
        <v>355</v>
      </c>
    </row>
    <row r="45820" ht="16.5" customHeight="1">
      <c r="O45820" s="5" t="s">
        <v>355</v>
      </c>
      <c r="P45820" s="5" t="s">
        <v>355</v>
      </c>
      <c r="Q45820" s="5" t="s">
        <v>355</v>
      </c>
    </row>
    <row r="45821" ht="16.5" customHeight="1">
      <c r="O45821" s="5" t="s">
        <v>355</v>
      </c>
      <c r="P45821" s="5" t="s">
        <v>355</v>
      </c>
      <c r="Q45821" s="5" t="s">
        <v>355</v>
      </c>
    </row>
    <row r="45822" ht="16.5" customHeight="1">
      <c r="O45822" s="5" t="s">
        <v>355</v>
      </c>
      <c r="P45822" s="5" t="s">
        <v>355</v>
      </c>
      <c r="Q45822" s="5" t="s">
        <v>355</v>
      </c>
    </row>
    <row r="45823" ht="16.5" customHeight="1">
      <c r="O45823" s="5" t="s">
        <v>355</v>
      </c>
      <c r="P45823" s="5" t="s">
        <v>355</v>
      </c>
      <c r="Q45823" s="5" t="s">
        <v>355</v>
      </c>
    </row>
    <row r="45824" ht="16.5" customHeight="1">
      <c r="O45824" s="5" t="s">
        <v>355</v>
      </c>
      <c r="P45824" s="5" t="s">
        <v>355</v>
      </c>
      <c r="Q45824" s="5" t="s">
        <v>355</v>
      </c>
    </row>
    <row r="45825" ht="16.5" customHeight="1">
      <c r="O45825" s="5" t="s">
        <v>355</v>
      </c>
      <c r="P45825" s="5" t="s">
        <v>355</v>
      </c>
      <c r="Q45825" s="5" t="s">
        <v>355</v>
      </c>
    </row>
    <row r="45826" ht="16.5" customHeight="1">
      <c r="O45826" s="5" t="s">
        <v>355</v>
      </c>
      <c r="P45826" s="5" t="s">
        <v>355</v>
      </c>
      <c r="Q45826" s="5" t="s">
        <v>355</v>
      </c>
    </row>
    <row r="45827" ht="16.5" customHeight="1">
      <c r="O45827" s="5" t="s">
        <v>355</v>
      </c>
      <c r="P45827" s="5" t="s">
        <v>355</v>
      </c>
      <c r="Q45827" s="5" t="s">
        <v>355</v>
      </c>
    </row>
    <row r="45828" ht="16.5" customHeight="1">
      <c r="O45828" s="5" t="s">
        <v>355</v>
      </c>
      <c r="P45828" s="5" t="s">
        <v>355</v>
      </c>
      <c r="Q45828" s="5" t="s">
        <v>355</v>
      </c>
    </row>
    <row r="45829" ht="16.5" customHeight="1">
      <c r="O45829" s="5" t="s">
        <v>355</v>
      </c>
      <c r="P45829" s="5" t="s">
        <v>355</v>
      </c>
      <c r="Q45829" s="5" t="s">
        <v>355</v>
      </c>
    </row>
    <row r="45830" ht="16.5" customHeight="1">
      <c r="O45830" s="5" t="s">
        <v>355</v>
      </c>
      <c r="P45830" s="5" t="s">
        <v>355</v>
      </c>
      <c r="Q45830" s="5" t="s">
        <v>355</v>
      </c>
    </row>
    <row r="45831" ht="16.5" customHeight="1">
      <c r="O45831" s="5" t="s">
        <v>355</v>
      </c>
      <c r="P45831" s="5" t="s">
        <v>355</v>
      </c>
      <c r="Q45831" s="5" t="s">
        <v>355</v>
      </c>
    </row>
    <row r="45832" ht="16.5" customHeight="1">
      <c r="O45832" s="5" t="s">
        <v>355</v>
      </c>
      <c r="P45832" s="5" t="s">
        <v>355</v>
      </c>
      <c r="Q45832" s="5" t="s">
        <v>355</v>
      </c>
    </row>
    <row r="45833" ht="16.5" customHeight="1">
      <c r="O45833" s="5" t="s">
        <v>355</v>
      </c>
      <c r="P45833" s="5" t="s">
        <v>355</v>
      </c>
      <c r="Q45833" s="5" t="s">
        <v>355</v>
      </c>
    </row>
    <row r="45834" ht="16.5" customHeight="1">
      <c r="O45834" s="5" t="s">
        <v>355</v>
      </c>
      <c r="P45834" s="5" t="s">
        <v>355</v>
      </c>
      <c r="Q45834" s="5" t="s">
        <v>355</v>
      </c>
    </row>
    <row r="45835" ht="16.5" customHeight="1">
      <c r="O45835" s="5" t="s">
        <v>355</v>
      </c>
      <c r="P45835" s="5" t="s">
        <v>355</v>
      </c>
      <c r="Q45835" s="5" t="s">
        <v>355</v>
      </c>
    </row>
    <row r="45836" ht="16.5" customHeight="1">
      <c r="O45836" s="5" t="s">
        <v>355</v>
      </c>
      <c r="P45836" s="5" t="s">
        <v>355</v>
      </c>
      <c r="Q45836" s="5" t="s">
        <v>355</v>
      </c>
    </row>
    <row r="45837" ht="16.5" customHeight="1">
      <c r="O45837" s="5" t="s">
        <v>355</v>
      </c>
      <c r="P45837" s="5" t="s">
        <v>355</v>
      </c>
      <c r="Q45837" s="5" t="s">
        <v>355</v>
      </c>
    </row>
    <row r="45838" ht="16.5" customHeight="1">
      <c r="O45838" s="5" t="s">
        <v>355</v>
      </c>
      <c r="P45838" s="5" t="s">
        <v>355</v>
      </c>
      <c r="Q45838" s="5" t="s">
        <v>355</v>
      </c>
    </row>
    <row r="45839" ht="16.5" customHeight="1">
      <c r="O45839" s="5" t="s">
        <v>355</v>
      </c>
      <c r="P45839" s="5" t="s">
        <v>355</v>
      </c>
      <c r="Q45839" s="5" t="s">
        <v>355</v>
      </c>
    </row>
    <row r="45840" ht="16.5" customHeight="1">
      <c r="O45840" s="5" t="s">
        <v>355</v>
      </c>
      <c r="P45840" s="5" t="s">
        <v>355</v>
      </c>
      <c r="Q45840" s="5" t="s">
        <v>355</v>
      </c>
    </row>
    <row r="45841" ht="16.5" customHeight="1">
      <c r="O45841" s="5" t="s">
        <v>355</v>
      </c>
      <c r="P45841" s="5" t="s">
        <v>355</v>
      </c>
      <c r="Q45841" s="5" t="s">
        <v>355</v>
      </c>
    </row>
    <row r="45842" ht="16.5" customHeight="1">
      <c r="O45842" s="5" t="s">
        <v>355</v>
      </c>
      <c r="P45842" s="5" t="s">
        <v>355</v>
      </c>
      <c r="Q45842" s="5" t="s">
        <v>355</v>
      </c>
    </row>
    <row r="45843" ht="16.5" customHeight="1">
      <c r="O45843" s="5" t="s">
        <v>355</v>
      </c>
      <c r="P45843" s="5" t="s">
        <v>355</v>
      </c>
      <c r="Q45843" s="5" t="s">
        <v>355</v>
      </c>
    </row>
    <row r="45844" ht="16.5" customHeight="1">
      <c r="O45844" s="5" t="s">
        <v>355</v>
      </c>
      <c r="P45844" s="5" t="s">
        <v>355</v>
      </c>
      <c r="Q45844" s="5" t="s">
        <v>355</v>
      </c>
    </row>
    <row r="45845" ht="16.5" customHeight="1">
      <c r="O45845" s="5" t="s">
        <v>355</v>
      </c>
      <c r="P45845" s="5" t="s">
        <v>355</v>
      </c>
      <c r="Q45845" s="5" t="s">
        <v>355</v>
      </c>
    </row>
    <row r="45846" ht="16.5" customHeight="1">
      <c r="O45846" s="5" t="s">
        <v>355</v>
      </c>
      <c r="P45846" s="5" t="s">
        <v>355</v>
      </c>
      <c r="Q45846" s="5" t="s">
        <v>355</v>
      </c>
    </row>
    <row r="45847" ht="16.5" customHeight="1">
      <c r="O45847" s="5" t="s">
        <v>355</v>
      </c>
      <c r="P45847" s="5" t="s">
        <v>355</v>
      </c>
      <c r="Q45847" s="5" t="s">
        <v>355</v>
      </c>
    </row>
    <row r="45848" ht="16.5" customHeight="1">
      <c r="O45848" s="5" t="s">
        <v>355</v>
      </c>
      <c r="P45848" s="5" t="s">
        <v>355</v>
      </c>
      <c r="Q45848" s="5" t="s">
        <v>355</v>
      </c>
    </row>
    <row r="45849" ht="16.5" customHeight="1">
      <c r="O45849" s="5" t="s">
        <v>355</v>
      </c>
      <c r="P45849" s="5" t="s">
        <v>355</v>
      </c>
      <c r="Q45849" s="5" t="s">
        <v>355</v>
      </c>
    </row>
    <row r="45850" ht="16.5" customHeight="1">
      <c r="O45850" s="5" t="s">
        <v>355</v>
      </c>
      <c r="P45850" s="5" t="s">
        <v>355</v>
      </c>
      <c r="Q45850" s="5" t="s">
        <v>355</v>
      </c>
    </row>
    <row r="45851" ht="16.5" customHeight="1">
      <c r="O45851" s="5" t="s">
        <v>355</v>
      </c>
      <c r="P45851" s="5" t="s">
        <v>355</v>
      </c>
      <c r="Q45851" s="5" t="s">
        <v>355</v>
      </c>
    </row>
    <row r="45852" ht="16.5" customHeight="1">
      <c r="O45852" s="5" t="s">
        <v>355</v>
      </c>
      <c r="P45852" s="5" t="s">
        <v>355</v>
      </c>
      <c r="Q45852" s="5" t="s">
        <v>355</v>
      </c>
    </row>
    <row r="45853" ht="16.5" customHeight="1">
      <c r="O45853" s="5" t="s">
        <v>355</v>
      </c>
      <c r="P45853" s="5" t="s">
        <v>355</v>
      </c>
      <c r="Q45853" s="5" t="s">
        <v>355</v>
      </c>
    </row>
    <row r="45854" ht="16.5" customHeight="1">
      <c r="O45854" s="5" t="s">
        <v>355</v>
      </c>
      <c r="P45854" s="5" t="s">
        <v>355</v>
      </c>
      <c r="Q45854" s="5" t="s">
        <v>355</v>
      </c>
    </row>
    <row r="45855" ht="16.5" customHeight="1">
      <c r="O45855" s="5" t="s">
        <v>355</v>
      </c>
      <c r="P45855" s="5" t="s">
        <v>355</v>
      </c>
      <c r="Q45855" s="5" t="s">
        <v>355</v>
      </c>
    </row>
    <row r="45856" ht="16.5" customHeight="1">
      <c r="O45856" s="5" t="s">
        <v>355</v>
      </c>
      <c r="P45856" s="5" t="s">
        <v>355</v>
      </c>
      <c r="Q45856" s="5" t="s">
        <v>355</v>
      </c>
    </row>
    <row r="45857" ht="16.5" customHeight="1">
      <c r="O45857" s="5" t="s">
        <v>355</v>
      </c>
      <c r="P45857" s="5" t="s">
        <v>355</v>
      </c>
      <c r="Q45857" s="5" t="s">
        <v>355</v>
      </c>
    </row>
    <row r="45858" ht="16.5" customHeight="1">
      <c r="O45858" s="5" t="s">
        <v>355</v>
      </c>
      <c r="P45858" s="5" t="s">
        <v>355</v>
      </c>
      <c r="Q45858" s="5" t="s">
        <v>355</v>
      </c>
    </row>
    <row r="45859" ht="16.5" customHeight="1">
      <c r="O45859" s="5" t="s">
        <v>355</v>
      </c>
      <c r="P45859" s="5" t="s">
        <v>355</v>
      </c>
      <c r="Q45859" s="5" t="s">
        <v>355</v>
      </c>
    </row>
    <row r="45860" ht="16.5" customHeight="1">
      <c r="O45860" s="5" t="s">
        <v>355</v>
      </c>
      <c r="P45860" s="5" t="s">
        <v>355</v>
      </c>
      <c r="Q45860" s="5" t="s">
        <v>355</v>
      </c>
    </row>
    <row r="45861" ht="16.5" customHeight="1">
      <c r="O45861" s="5" t="s">
        <v>355</v>
      </c>
      <c r="P45861" s="5" t="s">
        <v>355</v>
      </c>
      <c r="Q45861" s="5" t="s">
        <v>355</v>
      </c>
    </row>
    <row r="45862" ht="16.5" customHeight="1">
      <c r="O45862" s="5" t="s">
        <v>355</v>
      </c>
      <c r="P45862" s="5" t="s">
        <v>355</v>
      </c>
      <c r="Q45862" s="5" t="s">
        <v>355</v>
      </c>
    </row>
    <row r="45863" ht="16.5" customHeight="1">
      <c r="O45863" s="5" t="s">
        <v>355</v>
      </c>
      <c r="P45863" s="5" t="s">
        <v>355</v>
      </c>
      <c r="Q45863" s="5" t="s">
        <v>355</v>
      </c>
    </row>
    <row r="45864" ht="16.5" customHeight="1">
      <c r="O45864" s="5" t="s">
        <v>355</v>
      </c>
      <c r="P45864" s="5" t="s">
        <v>355</v>
      </c>
      <c r="Q45864" s="5" t="s">
        <v>355</v>
      </c>
    </row>
    <row r="45865" ht="16.5" customHeight="1">
      <c r="O45865" s="5" t="s">
        <v>355</v>
      </c>
      <c r="P45865" s="5" t="s">
        <v>355</v>
      </c>
      <c r="Q45865" s="5" t="s">
        <v>355</v>
      </c>
    </row>
    <row r="45866" ht="16.5" customHeight="1">
      <c r="O45866" s="5" t="s">
        <v>355</v>
      </c>
      <c r="P45866" s="5" t="s">
        <v>355</v>
      </c>
      <c r="Q45866" s="5" t="s">
        <v>355</v>
      </c>
    </row>
    <row r="45867" ht="16.5" customHeight="1">
      <c r="O45867" s="5" t="s">
        <v>355</v>
      </c>
      <c r="P45867" s="5" t="s">
        <v>355</v>
      </c>
      <c r="Q45867" s="5" t="s">
        <v>355</v>
      </c>
    </row>
    <row r="45868" ht="16.5" customHeight="1">
      <c r="O45868" s="5" t="s">
        <v>355</v>
      </c>
      <c r="P45868" s="5" t="s">
        <v>355</v>
      </c>
      <c r="Q45868" s="5" t="s">
        <v>355</v>
      </c>
    </row>
    <row r="45869" ht="16.5" customHeight="1">
      <c r="O45869" s="5" t="s">
        <v>355</v>
      </c>
      <c r="P45869" s="5" t="s">
        <v>355</v>
      </c>
      <c r="Q45869" s="5" t="s">
        <v>355</v>
      </c>
    </row>
    <row r="45870" ht="16.5" customHeight="1">
      <c r="O45870" s="5" t="s">
        <v>355</v>
      </c>
      <c r="P45870" s="5" t="s">
        <v>355</v>
      </c>
      <c r="Q45870" s="5" t="s">
        <v>355</v>
      </c>
    </row>
    <row r="45871" ht="16.5" customHeight="1">
      <c r="O45871" s="5" t="s">
        <v>355</v>
      </c>
      <c r="P45871" s="5" t="s">
        <v>355</v>
      </c>
      <c r="Q45871" s="5" t="s">
        <v>355</v>
      </c>
    </row>
    <row r="45872" ht="16.5" customHeight="1">
      <c r="O45872" s="5" t="s">
        <v>355</v>
      </c>
      <c r="P45872" s="5" t="s">
        <v>355</v>
      </c>
      <c r="Q45872" s="5" t="s">
        <v>355</v>
      </c>
    </row>
    <row r="45873" ht="16.5" customHeight="1">
      <c r="O45873" s="5" t="s">
        <v>355</v>
      </c>
      <c r="P45873" s="5" t="s">
        <v>355</v>
      </c>
      <c r="Q45873" s="5" t="s">
        <v>355</v>
      </c>
    </row>
    <row r="45874" ht="16.5" customHeight="1">
      <c r="O45874" s="5" t="s">
        <v>355</v>
      </c>
      <c r="P45874" s="5" t="s">
        <v>355</v>
      </c>
      <c r="Q45874" s="5" t="s">
        <v>355</v>
      </c>
    </row>
    <row r="45875" ht="16.5" customHeight="1">
      <c r="O45875" s="5" t="s">
        <v>355</v>
      </c>
      <c r="P45875" s="5" t="s">
        <v>355</v>
      </c>
      <c r="Q45875" s="5" t="s">
        <v>355</v>
      </c>
    </row>
    <row r="45876" ht="16.5" customHeight="1">
      <c r="O45876" s="5" t="s">
        <v>355</v>
      </c>
      <c r="P45876" s="5" t="s">
        <v>355</v>
      </c>
      <c r="Q45876" s="5" t="s">
        <v>355</v>
      </c>
    </row>
    <row r="45877" ht="16.5" customHeight="1">
      <c r="O45877" s="5" t="s">
        <v>355</v>
      </c>
      <c r="P45877" s="5" t="s">
        <v>355</v>
      </c>
      <c r="Q45877" s="5" t="s">
        <v>355</v>
      </c>
    </row>
    <row r="45878" ht="16.5" customHeight="1">
      <c r="O45878" s="5" t="s">
        <v>355</v>
      </c>
      <c r="P45878" s="5" t="s">
        <v>355</v>
      </c>
      <c r="Q45878" s="5" t="s">
        <v>355</v>
      </c>
    </row>
    <row r="45879" ht="16.5" customHeight="1">
      <c r="O45879" s="5" t="s">
        <v>355</v>
      </c>
      <c r="P45879" s="5" t="s">
        <v>355</v>
      </c>
      <c r="Q45879" s="5" t="s">
        <v>355</v>
      </c>
    </row>
    <row r="45880" ht="16.5" customHeight="1">
      <c r="O45880" s="5" t="s">
        <v>355</v>
      </c>
      <c r="P45880" s="5" t="s">
        <v>355</v>
      </c>
      <c r="Q45880" s="5" t="s">
        <v>355</v>
      </c>
    </row>
    <row r="45881" ht="16.5" customHeight="1">
      <c r="O45881" s="5" t="s">
        <v>355</v>
      </c>
      <c r="P45881" s="5" t="s">
        <v>355</v>
      </c>
      <c r="Q45881" s="5" t="s">
        <v>355</v>
      </c>
    </row>
    <row r="45882" ht="16.5" customHeight="1">
      <c r="O45882" s="5" t="s">
        <v>355</v>
      </c>
      <c r="P45882" s="5" t="s">
        <v>355</v>
      </c>
      <c r="Q45882" s="5" t="s">
        <v>355</v>
      </c>
    </row>
    <row r="45883" ht="16.5" customHeight="1">
      <c r="O45883" s="5" t="s">
        <v>355</v>
      </c>
      <c r="P45883" s="5" t="s">
        <v>355</v>
      </c>
      <c r="Q45883" s="5" t="s">
        <v>355</v>
      </c>
    </row>
    <row r="45884" ht="16.5" customHeight="1">
      <c r="O45884" s="5" t="s">
        <v>355</v>
      </c>
      <c r="P45884" s="5" t="s">
        <v>355</v>
      </c>
      <c r="Q45884" s="5" t="s">
        <v>355</v>
      </c>
    </row>
    <row r="45885" ht="16.5" customHeight="1">
      <c r="O45885" s="5" t="s">
        <v>355</v>
      </c>
      <c r="P45885" s="5" t="s">
        <v>355</v>
      </c>
      <c r="Q45885" s="5" t="s">
        <v>355</v>
      </c>
    </row>
    <row r="45886" ht="16.5" customHeight="1">
      <c r="O45886" s="5" t="s">
        <v>355</v>
      </c>
      <c r="P45886" s="5" t="s">
        <v>355</v>
      </c>
      <c r="Q45886" s="5" t="s">
        <v>355</v>
      </c>
    </row>
    <row r="45887" ht="16.5" customHeight="1">
      <c r="O45887" s="5" t="s">
        <v>355</v>
      </c>
      <c r="P45887" s="5" t="s">
        <v>355</v>
      </c>
      <c r="Q45887" s="5" t="s">
        <v>355</v>
      </c>
    </row>
    <row r="45888" ht="16.5" customHeight="1">
      <c r="O45888" s="5" t="s">
        <v>355</v>
      </c>
      <c r="P45888" s="5" t="s">
        <v>355</v>
      </c>
      <c r="Q45888" s="5" t="s">
        <v>355</v>
      </c>
    </row>
    <row r="45889" ht="16.5" customHeight="1">
      <c r="O45889" s="5" t="s">
        <v>355</v>
      </c>
      <c r="P45889" s="5" t="s">
        <v>355</v>
      </c>
      <c r="Q45889" s="5" t="s">
        <v>355</v>
      </c>
    </row>
    <row r="45890" ht="16.5" customHeight="1">
      <c r="O45890" s="5" t="s">
        <v>355</v>
      </c>
      <c r="P45890" s="5" t="s">
        <v>355</v>
      </c>
      <c r="Q45890" s="5" t="s">
        <v>355</v>
      </c>
    </row>
    <row r="45891" ht="16.5" customHeight="1">
      <c r="O45891" s="5" t="s">
        <v>355</v>
      </c>
      <c r="P45891" s="5" t="s">
        <v>355</v>
      </c>
      <c r="Q45891" s="5" t="s">
        <v>355</v>
      </c>
    </row>
    <row r="45892" ht="16.5" customHeight="1">
      <c r="O45892" s="5" t="s">
        <v>355</v>
      </c>
      <c r="P45892" s="5" t="s">
        <v>355</v>
      </c>
      <c r="Q45892" s="5" t="s">
        <v>355</v>
      </c>
    </row>
    <row r="45893" ht="16.5" customHeight="1">
      <c r="O45893" s="5" t="s">
        <v>355</v>
      </c>
      <c r="P45893" s="5" t="s">
        <v>355</v>
      </c>
      <c r="Q45893" s="5" t="s">
        <v>355</v>
      </c>
    </row>
    <row r="45894" ht="16.5" customHeight="1">
      <c r="O45894" s="5" t="s">
        <v>355</v>
      </c>
      <c r="P45894" s="5" t="s">
        <v>355</v>
      </c>
      <c r="Q45894" s="5" t="s">
        <v>355</v>
      </c>
    </row>
    <row r="45895" ht="16.5" customHeight="1">
      <c r="O45895" s="5" t="s">
        <v>355</v>
      </c>
      <c r="P45895" s="5" t="s">
        <v>355</v>
      </c>
      <c r="Q45895" s="5" t="s">
        <v>355</v>
      </c>
    </row>
    <row r="45896" ht="16.5" customHeight="1">
      <c r="O45896" s="5" t="s">
        <v>355</v>
      </c>
      <c r="P45896" s="5" t="s">
        <v>355</v>
      </c>
      <c r="Q45896" s="5" t="s">
        <v>355</v>
      </c>
    </row>
    <row r="45897" ht="16.5" customHeight="1">
      <c r="O45897" s="5" t="s">
        <v>355</v>
      </c>
      <c r="P45897" s="5" t="s">
        <v>355</v>
      </c>
      <c r="Q45897" s="5" t="s">
        <v>355</v>
      </c>
    </row>
    <row r="45898" ht="16.5" customHeight="1">
      <c r="O45898" s="5" t="s">
        <v>355</v>
      </c>
      <c r="P45898" s="5" t="s">
        <v>355</v>
      </c>
      <c r="Q45898" s="5" t="s">
        <v>355</v>
      </c>
    </row>
    <row r="45899" ht="16.5" customHeight="1">
      <c r="O45899" s="5" t="s">
        <v>355</v>
      </c>
      <c r="P45899" s="5" t="s">
        <v>355</v>
      </c>
      <c r="Q45899" s="5" t="s">
        <v>355</v>
      </c>
    </row>
    <row r="45900" ht="16.5" customHeight="1">
      <c r="O45900" s="5" t="s">
        <v>355</v>
      </c>
      <c r="P45900" s="5" t="s">
        <v>355</v>
      </c>
      <c r="Q45900" s="5" t="s">
        <v>355</v>
      </c>
    </row>
    <row r="45901" ht="16.5" customHeight="1">
      <c r="O45901" s="5" t="s">
        <v>355</v>
      </c>
      <c r="P45901" s="5" t="s">
        <v>355</v>
      </c>
      <c r="Q45901" s="5" t="s">
        <v>355</v>
      </c>
    </row>
    <row r="45902" ht="16.5" customHeight="1">
      <c r="O45902" s="5" t="s">
        <v>355</v>
      </c>
      <c r="P45902" s="5" t="s">
        <v>355</v>
      </c>
      <c r="Q45902" s="5" t="s">
        <v>355</v>
      </c>
    </row>
    <row r="45903" ht="16.5" customHeight="1">
      <c r="O45903" s="5" t="s">
        <v>355</v>
      </c>
      <c r="P45903" s="5" t="s">
        <v>355</v>
      </c>
      <c r="Q45903" s="5" t="s">
        <v>355</v>
      </c>
    </row>
    <row r="45904" ht="16.5" customHeight="1">
      <c r="O45904" s="5" t="s">
        <v>355</v>
      </c>
      <c r="P45904" s="5" t="s">
        <v>355</v>
      </c>
      <c r="Q45904" s="5" t="s">
        <v>355</v>
      </c>
    </row>
    <row r="45905" ht="16.5" customHeight="1">
      <c r="O45905" s="5" t="s">
        <v>355</v>
      </c>
      <c r="P45905" s="5" t="s">
        <v>355</v>
      </c>
      <c r="Q45905" s="5" t="s">
        <v>355</v>
      </c>
    </row>
    <row r="45906" ht="16.5" customHeight="1">
      <c r="O45906" s="5" t="s">
        <v>355</v>
      </c>
      <c r="P45906" s="5" t="s">
        <v>355</v>
      </c>
      <c r="Q45906" s="5" t="s">
        <v>355</v>
      </c>
    </row>
    <row r="45907" ht="16.5" customHeight="1">
      <c r="O45907" s="5" t="s">
        <v>355</v>
      </c>
      <c r="P45907" s="5" t="s">
        <v>355</v>
      </c>
      <c r="Q45907" s="5" t="s">
        <v>355</v>
      </c>
    </row>
    <row r="45908" ht="16.5" customHeight="1">
      <c r="O45908" s="5" t="s">
        <v>355</v>
      </c>
      <c r="P45908" s="5" t="s">
        <v>355</v>
      </c>
      <c r="Q45908" s="5" t="s">
        <v>355</v>
      </c>
    </row>
    <row r="45909" ht="16.5" customHeight="1">
      <c r="O45909" s="5" t="s">
        <v>355</v>
      </c>
      <c r="P45909" s="5" t="s">
        <v>355</v>
      </c>
      <c r="Q45909" s="5" t="s">
        <v>355</v>
      </c>
    </row>
    <row r="45910" ht="16.5" customHeight="1">
      <c r="O45910" s="5" t="s">
        <v>355</v>
      </c>
      <c r="P45910" s="5" t="s">
        <v>355</v>
      </c>
      <c r="Q45910" s="5" t="s">
        <v>355</v>
      </c>
    </row>
    <row r="45911" ht="16.5" customHeight="1">
      <c r="O45911" s="5" t="s">
        <v>355</v>
      </c>
      <c r="P45911" s="5" t="s">
        <v>355</v>
      </c>
      <c r="Q45911" s="5" t="s">
        <v>355</v>
      </c>
    </row>
    <row r="45912" ht="16.5" customHeight="1">
      <c r="O45912" s="5" t="s">
        <v>355</v>
      </c>
      <c r="P45912" s="5" t="s">
        <v>355</v>
      </c>
      <c r="Q45912" s="5" t="s">
        <v>355</v>
      </c>
    </row>
    <row r="45913" ht="16.5" customHeight="1">
      <c r="O45913" s="5" t="s">
        <v>355</v>
      </c>
      <c r="P45913" s="5" t="s">
        <v>355</v>
      </c>
      <c r="Q45913" s="5" t="s">
        <v>355</v>
      </c>
    </row>
    <row r="45914" ht="16.5" customHeight="1">
      <c r="O45914" s="5" t="s">
        <v>355</v>
      </c>
      <c r="P45914" s="5" t="s">
        <v>355</v>
      </c>
      <c r="Q45914" s="5" t="s">
        <v>355</v>
      </c>
    </row>
    <row r="45915" ht="16.5" customHeight="1">
      <c r="O45915" s="5" t="s">
        <v>355</v>
      </c>
      <c r="P45915" s="5" t="s">
        <v>355</v>
      </c>
      <c r="Q45915" s="5" t="s">
        <v>355</v>
      </c>
    </row>
    <row r="45916" ht="16.5" customHeight="1">
      <c r="O45916" s="5" t="s">
        <v>355</v>
      </c>
      <c r="P45916" s="5" t="s">
        <v>355</v>
      </c>
      <c r="Q45916" s="5" t="s">
        <v>355</v>
      </c>
    </row>
    <row r="45917" ht="16.5" customHeight="1">
      <c r="O45917" s="5" t="s">
        <v>355</v>
      </c>
      <c r="P45917" s="5" t="s">
        <v>355</v>
      </c>
      <c r="Q45917" s="5" t="s">
        <v>355</v>
      </c>
    </row>
    <row r="45918" ht="16.5" customHeight="1">
      <c r="O45918" s="5" t="s">
        <v>355</v>
      </c>
      <c r="P45918" s="5" t="s">
        <v>355</v>
      </c>
      <c r="Q45918" s="5" t="s">
        <v>355</v>
      </c>
    </row>
    <row r="45919" ht="16.5" customHeight="1">
      <c r="O45919" s="5" t="s">
        <v>355</v>
      </c>
      <c r="P45919" s="5" t="s">
        <v>355</v>
      </c>
      <c r="Q45919" s="5" t="s">
        <v>355</v>
      </c>
    </row>
    <row r="45920" ht="16.5" customHeight="1">
      <c r="O45920" s="5" t="s">
        <v>355</v>
      </c>
      <c r="P45920" s="5" t="s">
        <v>355</v>
      </c>
      <c r="Q45920" s="5" t="s">
        <v>355</v>
      </c>
    </row>
    <row r="45921" ht="16.5" customHeight="1">
      <c r="O45921" s="5" t="s">
        <v>355</v>
      </c>
      <c r="P45921" s="5" t="s">
        <v>355</v>
      </c>
      <c r="Q45921" s="5" t="s">
        <v>355</v>
      </c>
    </row>
    <row r="45922" ht="16.5" customHeight="1">
      <c r="O45922" s="5" t="s">
        <v>355</v>
      </c>
      <c r="P45922" s="5" t="s">
        <v>355</v>
      </c>
      <c r="Q45922" s="5" t="s">
        <v>355</v>
      </c>
    </row>
    <row r="45923" ht="16.5" customHeight="1">
      <c r="O45923" s="5" t="s">
        <v>355</v>
      </c>
      <c r="P45923" s="5" t="s">
        <v>355</v>
      </c>
      <c r="Q45923" s="5" t="s">
        <v>355</v>
      </c>
    </row>
    <row r="45924" ht="16.5" customHeight="1">
      <c r="O45924" s="5" t="s">
        <v>355</v>
      </c>
      <c r="P45924" s="5" t="s">
        <v>355</v>
      </c>
      <c r="Q45924" s="5" t="s">
        <v>355</v>
      </c>
    </row>
    <row r="45925" ht="16.5" customHeight="1">
      <c r="O45925" s="5" t="s">
        <v>355</v>
      </c>
      <c r="P45925" s="5" t="s">
        <v>355</v>
      </c>
      <c r="Q45925" s="5" t="s">
        <v>355</v>
      </c>
    </row>
    <row r="45926" ht="16.5" customHeight="1">
      <c r="O45926" s="5" t="s">
        <v>355</v>
      </c>
      <c r="P45926" s="5" t="s">
        <v>355</v>
      </c>
      <c r="Q45926" s="5" t="s">
        <v>355</v>
      </c>
    </row>
    <row r="45927" ht="16.5" customHeight="1">
      <c r="O45927" s="5" t="s">
        <v>355</v>
      </c>
      <c r="P45927" s="5" t="s">
        <v>355</v>
      </c>
      <c r="Q45927" s="5" t="s">
        <v>355</v>
      </c>
    </row>
    <row r="45928" ht="16.5" customHeight="1">
      <c r="O45928" s="5" t="s">
        <v>355</v>
      </c>
      <c r="P45928" s="5" t="s">
        <v>355</v>
      </c>
      <c r="Q45928" s="5" t="s">
        <v>355</v>
      </c>
    </row>
    <row r="45929" ht="16.5" customHeight="1">
      <c r="O45929" s="5" t="s">
        <v>355</v>
      </c>
      <c r="P45929" s="5" t="s">
        <v>355</v>
      </c>
      <c r="Q45929" s="5" t="s">
        <v>355</v>
      </c>
    </row>
    <row r="45930" ht="16.5" customHeight="1">
      <c r="O45930" s="5" t="s">
        <v>355</v>
      </c>
      <c r="P45930" s="5" t="s">
        <v>355</v>
      </c>
      <c r="Q45930" s="5" t="s">
        <v>355</v>
      </c>
    </row>
    <row r="45931" ht="16.5" customHeight="1">
      <c r="O45931" s="5" t="s">
        <v>355</v>
      </c>
      <c r="P45931" s="5" t="s">
        <v>355</v>
      </c>
      <c r="Q45931" s="5" t="s">
        <v>355</v>
      </c>
    </row>
    <row r="45932" ht="16.5" customHeight="1">
      <c r="O45932" s="5" t="s">
        <v>355</v>
      </c>
      <c r="P45932" s="5" t="s">
        <v>355</v>
      </c>
      <c r="Q45932" s="5" t="s">
        <v>355</v>
      </c>
    </row>
    <row r="45933" ht="16.5" customHeight="1">
      <c r="O45933" s="5" t="s">
        <v>355</v>
      </c>
      <c r="P45933" s="5" t="s">
        <v>355</v>
      </c>
      <c r="Q45933" s="5" t="s">
        <v>355</v>
      </c>
    </row>
    <row r="45934" ht="16.5" customHeight="1">
      <c r="O45934" s="5" t="s">
        <v>355</v>
      </c>
      <c r="P45934" s="5" t="s">
        <v>355</v>
      </c>
      <c r="Q45934" s="5" t="s">
        <v>355</v>
      </c>
    </row>
    <row r="45935" ht="16.5" customHeight="1">
      <c r="O45935" s="5" t="s">
        <v>355</v>
      </c>
      <c r="P45935" s="5" t="s">
        <v>355</v>
      </c>
      <c r="Q45935" s="5" t="s">
        <v>355</v>
      </c>
    </row>
    <row r="45936" ht="16.5" customHeight="1">
      <c r="O45936" s="5" t="s">
        <v>355</v>
      </c>
      <c r="P45936" s="5" t="s">
        <v>355</v>
      </c>
      <c r="Q45936" s="5" t="s">
        <v>355</v>
      </c>
    </row>
    <row r="45937" ht="16.5" customHeight="1">
      <c r="O45937" s="5" t="s">
        <v>355</v>
      </c>
      <c r="P45937" s="5" t="s">
        <v>355</v>
      </c>
      <c r="Q45937" s="5" t="s">
        <v>355</v>
      </c>
    </row>
    <row r="45938" ht="16.5" customHeight="1">
      <c r="O45938" s="5" t="s">
        <v>355</v>
      </c>
      <c r="P45938" s="5" t="s">
        <v>355</v>
      </c>
      <c r="Q45938" s="5" t="s">
        <v>355</v>
      </c>
    </row>
    <row r="45939" ht="16.5" customHeight="1">
      <c r="O45939" s="5" t="s">
        <v>355</v>
      </c>
      <c r="P45939" s="5" t="s">
        <v>355</v>
      </c>
      <c r="Q45939" s="5" t="s">
        <v>355</v>
      </c>
    </row>
    <row r="45940" ht="16.5" customHeight="1">
      <c r="O45940" s="5" t="s">
        <v>355</v>
      </c>
      <c r="P45940" s="5" t="s">
        <v>355</v>
      </c>
      <c r="Q45940" s="5" t="s">
        <v>355</v>
      </c>
    </row>
    <row r="45941" ht="16.5" customHeight="1">
      <c r="O45941" s="5" t="s">
        <v>355</v>
      </c>
      <c r="P45941" s="5" t="s">
        <v>355</v>
      </c>
      <c r="Q45941" s="5" t="s">
        <v>355</v>
      </c>
    </row>
    <row r="45942" ht="16.5" customHeight="1">
      <c r="O45942" s="5" t="s">
        <v>355</v>
      </c>
      <c r="P45942" s="5" t="s">
        <v>355</v>
      </c>
      <c r="Q45942" s="5" t="s">
        <v>355</v>
      </c>
    </row>
    <row r="45943" ht="16.5" customHeight="1">
      <c r="O45943" s="5" t="s">
        <v>355</v>
      </c>
      <c r="P45943" s="5" t="s">
        <v>355</v>
      </c>
      <c r="Q45943" s="5" t="s">
        <v>355</v>
      </c>
    </row>
    <row r="45944" ht="16.5" customHeight="1">
      <c r="O45944" s="5" t="s">
        <v>355</v>
      </c>
      <c r="P45944" s="5" t="s">
        <v>355</v>
      </c>
      <c r="Q45944" s="5" t="s">
        <v>355</v>
      </c>
    </row>
    <row r="45945" ht="16.5" customHeight="1">
      <c r="O45945" s="5" t="s">
        <v>355</v>
      </c>
      <c r="P45945" s="5" t="s">
        <v>355</v>
      </c>
      <c r="Q45945" s="5" t="s">
        <v>355</v>
      </c>
    </row>
    <row r="45946" ht="16.5" customHeight="1">
      <c r="O45946" s="5" t="s">
        <v>355</v>
      </c>
      <c r="P45946" s="5" t="s">
        <v>355</v>
      </c>
      <c r="Q45946" s="5" t="s">
        <v>355</v>
      </c>
    </row>
    <row r="45947" ht="16.5" customHeight="1">
      <c r="O45947" s="5" t="s">
        <v>355</v>
      </c>
      <c r="P45947" s="5" t="s">
        <v>355</v>
      </c>
      <c r="Q45947" s="5" t="s">
        <v>355</v>
      </c>
    </row>
    <row r="45948" ht="16.5" customHeight="1">
      <c r="O45948" s="5" t="s">
        <v>355</v>
      </c>
      <c r="P45948" s="5" t="s">
        <v>355</v>
      </c>
      <c r="Q45948" s="5" t="s">
        <v>355</v>
      </c>
    </row>
    <row r="45949" ht="16.5" customHeight="1">
      <c r="O45949" s="5" t="s">
        <v>355</v>
      </c>
      <c r="P45949" s="5" t="s">
        <v>355</v>
      </c>
      <c r="Q45949" s="5" t="s">
        <v>355</v>
      </c>
    </row>
    <row r="45950" ht="16.5" customHeight="1">
      <c r="O45950" s="5" t="s">
        <v>355</v>
      </c>
      <c r="P45950" s="5" t="s">
        <v>355</v>
      </c>
      <c r="Q45950" s="5" t="s">
        <v>355</v>
      </c>
    </row>
    <row r="45951" ht="16.5" customHeight="1">
      <c r="O45951" s="5" t="s">
        <v>355</v>
      </c>
      <c r="P45951" s="5" t="s">
        <v>355</v>
      </c>
      <c r="Q45951" s="5" t="s">
        <v>355</v>
      </c>
    </row>
    <row r="45952" ht="16.5" customHeight="1">
      <c r="O45952" s="5" t="s">
        <v>355</v>
      </c>
      <c r="P45952" s="5" t="s">
        <v>355</v>
      </c>
      <c r="Q45952" s="5" t="s">
        <v>355</v>
      </c>
    </row>
    <row r="45953" ht="16.5" customHeight="1">
      <c r="O45953" s="5" t="s">
        <v>355</v>
      </c>
      <c r="P45953" s="5" t="s">
        <v>355</v>
      </c>
      <c r="Q45953" s="5" t="s">
        <v>355</v>
      </c>
    </row>
    <row r="45954" ht="16.5" customHeight="1">
      <c r="O45954" s="5" t="s">
        <v>355</v>
      </c>
      <c r="P45954" s="5" t="s">
        <v>355</v>
      </c>
      <c r="Q45954" s="5" t="s">
        <v>355</v>
      </c>
    </row>
    <row r="45955" ht="16.5" customHeight="1">
      <c r="O45955" s="5" t="s">
        <v>355</v>
      </c>
      <c r="P45955" s="5" t="s">
        <v>355</v>
      </c>
      <c r="Q45955" s="5" t="s">
        <v>355</v>
      </c>
    </row>
    <row r="45956" ht="16.5" customHeight="1">
      <c r="O45956" s="5" t="s">
        <v>355</v>
      </c>
      <c r="P45956" s="5" t="s">
        <v>355</v>
      </c>
      <c r="Q45956" s="5" t="s">
        <v>355</v>
      </c>
    </row>
    <row r="45957" ht="16.5" customHeight="1">
      <c r="O45957" s="5" t="s">
        <v>355</v>
      </c>
      <c r="P45957" s="5" t="s">
        <v>355</v>
      </c>
      <c r="Q45957" s="5" t="s">
        <v>355</v>
      </c>
    </row>
    <row r="45958" ht="16.5" customHeight="1">
      <c r="O45958" s="5" t="s">
        <v>355</v>
      </c>
      <c r="P45958" s="5" t="s">
        <v>355</v>
      </c>
      <c r="Q45958" s="5" t="s">
        <v>355</v>
      </c>
    </row>
    <row r="45959" ht="16.5" customHeight="1">
      <c r="O45959" s="5" t="s">
        <v>355</v>
      </c>
      <c r="P45959" s="5" t="s">
        <v>355</v>
      </c>
      <c r="Q45959" s="5" t="s">
        <v>355</v>
      </c>
    </row>
    <row r="45960" ht="16.5" customHeight="1">
      <c r="O45960" s="5" t="s">
        <v>355</v>
      </c>
      <c r="P45960" s="5" t="s">
        <v>355</v>
      </c>
      <c r="Q45960" s="5" t="s">
        <v>355</v>
      </c>
    </row>
    <row r="45961" ht="16.5" customHeight="1">
      <c r="O45961" s="5" t="s">
        <v>355</v>
      </c>
      <c r="P45961" s="5" t="s">
        <v>355</v>
      </c>
      <c r="Q45961" s="5" t="s">
        <v>355</v>
      </c>
    </row>
    <row r="45962" ht="16.5" customHeight="1">
      <c r="O45962" s="5" t="s">
        <v>355</v>
      </c>
      <c r="P45962" s="5" t="s">
        <v>355</v>
      </c>
      <c r="Q45962" s="5" t="s">
        <v>355</v>
      </c>
    </row>
    <row r="45963" ht="16.5" customHeight="1">
      <c r="O45963" s="5" t="s">
        <v>355</v>
      </c>
      <c r="P45963" s="5" t="s">
        <v>355</v>
      </c>
      <c r="Q45963" s="5" t="s">
        <v>355</v>
      </c>
    </row>
    <row r="45964" ht="16.5" customHeight="1">
      <c r="O45964" s="5" t="s">
        <v>355</v>
      </c>
      <c r="P45964" s="5" t="s">
        <v>355</v>
      </c>
      <c r="Q45964" s="5" t="s">
        <v>355</v>
      </c>
    </row>
    <row r="45965" ht="16.5" customHeight="1">
      <c r="O45965" s="5" t="s">
        <v>355</v>
      </c>
      <c r="P45965" s="5" t="s">
        <v>355</v>
      </c>
      <c r="Q45965" s="5" t="s">
        <v>355</v>
      </c>
    </row>
    <row r="45966" ht="16.5" customHeight="1">
      <c r="O45966" s="5" t="s">
        <v>355</v>
      </c>
      <c r="P45966" s="5" t="s">
        <v>355</v>
      </c>
      <c r="Q45966" s="5" t="s">
        <v>355</v>
      </c>
    </row>
    <row r="45967" ht="16.5" customHeight="1">
      <c r="O45967" s="5" t="s">
        <v>355</v>
      </c>
      <c r="P45967" s="5" t="s">
        <v>355</v>
      </c>
      <c r="Q45967" s="5" t="s">
        <v>355</v>
      </c>
    </row>
    <row r="45968" ht="16.5" customHeight="1">
      <c r="O45968" s="5" t="s">
        <v>355</v>
      </c>
      <c r="P45968" s="5" t="s">
        <v>355</v>
      </c>
      <c r="Q45968" s="5" t="s">
        <v>355</v>
      </c>
    </row>
    <row r="45969" ht="16.5" customHeight="1">
      <c r="O45969" s="5" t="s">
        <v>355</v>
      </c>
      <c r="P45969" s="5" t="s">
        <v>355</v>
      </c>
      <c r="Q45969" s="5" t="s">
        <v>355</v>
      </c>
    </row>
    <row r="45970" ht="16.5" customHeight="1">
      <c r="O45970" s="5" t="s">
        <v>355</v>
      </c>
      <c r="P45970" s="5" t="s">
        <v>355</v>
      </c>
      <c r="Q45970" s="5" t="s">
        <v>355</v>
      </c>
    </row>
    <row r="45971" ht="16.5" customHeight="1">
      <c r="O45971" s="5" t="s">
        <v>355</v>
      </c>
      <c r="P45971" s="5" t="s">
        <v>355</v>
      </c>
      <c r="Q45971" s="5" t="s">
        <v>355</v>
      </c>
    </row>
    <row r="45972" ht="16.5" customHeight="1">
      <c r="O45972" s="5" t="s">
        <v>355</v>
      </c>
      <c r="P45972" s="5" t="s">
        <v>355</v>
      </c>
      <c r="Q45972" s="5" t="s">
        <v>355</v>
      </c>
    </row>
    <row r="45973" ht="16.5" customHeight="1">
      <c r="O45973" s="5" t="s">
        <v>355</v>
      </c>
      <c r="P45973" s="5" t="s">
        <v>355</v>
      </c>
      <c r="Q45973" s="5" t="s">
        <v>355</v>
      </c>
    </row>
    <row r="45974" ht="16.5" customHeight="1">
      <c r="O45974" s="5" t="s">
        <v>355</v>
      </c>
      <c r="P45974" s="5" t="s">
        <v>355</v>
      </c>
      <c r="Q45974" s="5" t="s">
        <v>355</v>
      </c>
    </row>
    <row r="45975" ht="16.5" customHeight="1">
      <c r="O45975" s="5" t="s">
        <v>355</v>
      </c>
      <c r="P45975" s="5" t="s">
        <v>355</v>
      </c>
      <c r="Q45975" s="5" t="s">
        <v>355</v>
      </c>
    </row>
    <row r="45976" ht="16.5" customHeight="1">
      <c r="O45976" s="5" t="s">
        <v>355</v>
      </c>
      <c r="P45976" s="5" t="s">
        <v>355</v>
      </c>
      <c r="Q45976" s="5" t="s">
        <v>355</v>
      </c>
    </row>
    <row r="45977" ht="16.5" customHeight="1">
      <c r="O45977" s="5" t="s">
        <v>355</v>
      </c>
      <c r="P45977" s="5" t="s">
        <v>355</v>
      </c>
      <c r="Q45977" s="5" t="s">
        <v>355</v>
      </c>
    </row>
    <row r="45978" ht="16.5" customHeight="1">
      <c r="O45978" s="5" t="s">
        <v>355</v>
      </c>
      <c r="P45978" s="5" t="s">
        <v>355</v>
      </c>
      <c r="Q45978" s="5" t="s">
        <v>355</v>
      </c>
    </row>
    <row r="45979" ht="16.5" customHeight="1">
      <c r="O45979" s="5" t="s">
        <v>355</v>
      </c>
      <c r="P45979" s="5" t="s">
        <v>355</v>
      </c>
      <c r="Q45979" s="5" t="s">
        <v>355</v>
      </c>
    </row>
    <row r="45980" ht="16.5" customHeight="1">
      <c r="O45980" s="5" t="s">
        <v>355</v>
      </c>
      <c r="P45980" s="5" t="s">
        <v>355</v>
      </c>
      <c r="Q45980" s="5" t="s">
        <v>355</v>
      </c>
    </row>
    <row r="45981" ht="16.5" customHeight="1">
      <c r="O45981" s="5" t="s">
        <v>355</v>
      </c>
      <c r="P45981" s="5" t="s">
        <v>355</v>
      </c>
      <c r="Q45981" s="5" t="s">
        <v>355</v>
      </c>
    </row>
    <row r="45982" ht="16.5" customHeight="1">
      <c r="O45982" s="5" t="s">
        <v>355</v>
      </c>
      <c r="P45982" s="5" t="s">
        <v>355</v>
      </c>
      <c r="Q45982" s="5" t="s">
        <v>355</v>
      </c>
    </row>
    <row r="45983" ht="16.5" customHeight="1">
      <c r="O45983" s="5" t="s">
        <v>355</v>
      </c>
      <c r="P45983" s="5" t="s">
        <v>355</v>
      </c>
      <c r="Q45983" s="5" t="s">
        <v>355</v>
      </c>
    </row>
    <row r="45984" ht="16.5" customHeight="1">
      <c r="O45984" s="5" t="s">
        <v>355</v>
      </c>
      <c r="P45984" s="5" t="s">
        <v>355</v>
      </c>
      <c r="Q45984" s="5" t="s">
        <v>355</v>
      </c>
    </row>
    <row r="45985" ht="16.5" customHeight="1">
      <c r="O45985" s="5" t="s">
        <v>355</v>
      </c>
      <c r="P45985" s="5" t="s">
        <v>355</v>
      </c>
      <c r="Q45985" s="5" t="s">
        <v>355</v>
      </c>
    </row>
    <row r="45986" ht="16.5" customHeight="1">
      <c r="O45986" s="5" t="s">
        <v>355</v>
      </c>
      <c r="P45986" s="5" t="s">
        <v>355</v>
      </c>
      <c r="Q45986" s="5" t="s">
        <v>355</v>
      </c>
    </row>
    <row r="45987" ht="16.5" customHeight="1">
      <c r="O45987" s="5" t="s">
        <v>355</v>
      </c>
      <c r="P45987" s="5" t="s">
        <v>355</v>
      </c>
      <c r="Q45987" s="5" t="s">
        <v>355</v>
      </c>
    </row>
    <row r="45988" ht="16.5" customHeight="1">
      <c r="O45988" s="5" t="s">
        <v>355</v>
      </c>
      <c r="P45988" s="5" t="s">
        <v>355</v>
      </c>
      <c r="Q45988" s="5" t="s">
        <v>355</v>
      </c>
    </row>
    <row r="45989" ht="16.5" customHeight="1">
      <c r="O45989" s="5" t="s">
        <v>355</v>
      </c>
      <c r="P45989" s="5" t="s">
        <v>355</v>
      </c>
      <c r="Q45989" s="5" t="s">
        <v>355</v>
      </c>
    </row>
    <row r="45990" ht="16.5" customHeight="1">
      <c r="O45990" s="5" t="s">
        <v>355</v>
      </c>
      <c r="P45990" s="5" t="s">
        <v>355</v>
      </c>
      <c r="Q45990" s="5" t="s">
        <v>355</v>
      </c>
    </row>
    <row r="45991" ht="16.5" customHeight="1">
      <c r="O45991" s="5" t="s">
        <v>355</v>
      </c>
      <c r="P45991" s="5" t="s">
        <v>355</v>
      </c>
      <c r="Q45991" s="5" t="s">
        <v>355</v>
      </c>
    </row>
    <row r="45992" ht="16.5" customHeight="1">
      <c r="O45992" s="5" t="s">
        <v>355</v>
      </c>
      <c r="P45992" s="5" t="s">
        <v>355</v>
      </c>
      <c r="Q45992" s="5" t="s">
        <v>355</v>
      </c>
    </row>
    <row r="45993" ht="16.5" customHeight="1">
      <c r="O45993" s="5" t="s">
        <v>355</v>
      </c>
      <c r="P45993" s="5" t="s">
        <v>355</v>
      </c>
      <c r="Q45993" s="5" t="s">
        <v>355</v>
      </c>
    </row>
    <row r="45994" ht="16.5" customHeight="1">
      <c r="O45994" s="5" t="s">
        <v>355</v>
      </c>
      <c r="P45994" s="5" t="s">
        <v>355</v>
      </c>
      <c r="Q45994" s="5" t="s">
        <v>355</v>
      </c>
    </row>
    <row r="45995" ht="16.5" customHeight="1">
      <c r="O45995" s="5" t="s">
        <v>355</v>
      </c>
      <c r="P45995" s="5" t="s">
        <v>355</v>
      </c>
      <c r="Q45995" s="5" t="s">
        <v>355</v>
      </c>
    </row>
    <row r="45996" ht="16.5" customHeight="1">
      <c r="O45996" s="5" t="s">
        <v>355</v>
      </c>
      <c r="P45996" s="5" t="s">
        <v>355</v>
      </c>
      <c r="Q45996" s="5" t="s">
        <v>355</v>
      </c>
    </row>
    <row r="45997" ht="16.5" customHeight="1">
      <c r="O45997" s="5" t="s">
        <v>355</v>
      </c>
      <c r="P45997" s="5" t="s">
        <v>355</v>
      </c>
      <c r="Q45997" s="5" t="s">
        <v>355</v>
      </c>
    </row>
    <row r="45998" ht="16.5" customHeight="1">
      <c r="O45998" s="5" t="s">
        <v>355</v>
      </c>
      <c r="P45998" s="5" t="s">
        <v>355</v>
      </c>
      <c r="Q45998" s="5" t="s">
        <v>355</v>
      </c>
    </row>
    <row r="45999" ht="16.5" customHeight="1">
      <c r="O45999" s="5" t="s">
        <v>355</v>
      </c>
      <c r="P45999" s="5" t="s">
        <v>355</v>
      </c>
      <c r="Q45999" s="5" t="s">
        <v>355</v>
      </c>
    </row>
    <row r="46000" ht="16.5" customHeight="1">
      <c r="O46000" s="5" t="s">
        <v>355</v>
      </c>
      <c r="P46000" s="5" t="s">
        <v>355</v>
      </c>
      <c r="Q46000" s="5" t="s">
        <v>355</v>
      </c>
    </row>
    <row r="46001" ht="16.5" customHeight="1">
      <c r="O46001" s="5" t="s">
        <v>355</v>
      </c>
      <c r="P46001" s="5" t="s">
        <v>355</v>
      </c>
      <c r="Q46001" s="5" t="s">
        <v>355</v>
      </c>
    </row>
    <row r="46002" ht="16.5" customHeight="1">
      <c r="O46002" s="5" t="s">
        <v>355</v>
      </c>
      <c r="P46002" s="5" t="s">
        <v>355</v>
      </c>
      <c r="Q46002" s="5" t="s">
        <v>355</v>
      </c>
    </row>
    <row r="46003" ht="16.5" customHeight="1">
      <c r="O46003" s="5" t="s">
        <v>355</v>
      </c>
      <c r="P46003" s="5" t="s">
        <v>355</v>
      </c>
      <c r="Q46003" s="5" t="s">
        <v>355</v>
      </c>
    </row>
    <row r="46004" ht="16.5" customHeight="1">
      <c r="O46004" s="5" t="s">
        <v>355</v>
      </c>
      <c r="P46004" s="5" t="s">
        <v>355</v>
      </c>
      <c r="Q46004" s="5" t="s">
        <v>355</v>
      </c>
    </row>
    <row r="46005" ht="16.5" customHeight="1">
      <c r="O46005" s="5" t="s">
        <v>355</v>
      </c>
      <c r="P46005" s="5" t="s">
        <v>355</v>
      </c>
      <c r="Q46005" s="5" t="s">
        <v>355</v>
      </c>
    </row>
    <row r="46006" ht="16.5" customHeight="1">
      <c r="O46006" s="5" t="s">
        <v>355</v>
      </c>
      <c r="P46006" s="5" t="s">
        <v>355</v>
      </c>
      <c r="Q46006" s="5" t="s">
        <v>355</v>
      </c>
    </row>
    <row r="46007" ht="16.5" customHeight="1">
      <c r="O46007" s="5" t="s">
        <v>355</v>
      </c>
      <c r="P46007" s="5" t="s">
        <v>355</v>
      </c>
      <c r="Q46007" s="5" t="s">
        <v>355</v>
      </c>
    </row>
    <row r="46008" ht="16.5" customHeight="1">
      <c r="O46008" s="5" t="s">
        <v>355</v>
      </c>
      <c r="P46008" s="5" t="s">
        <v>355</v>
      </c>
      <c r="Q46008" s="5" t="s">
        <v>355</v>
      </c>
    </row>
    <row r="46009" ht="16.5" customHeight="1">
      <c r="O46009" s="5" t="s">
        <v>355</v>
      </c>
      <c r="P46009" s="5" t="s">
        <v>355</v>
      </c>
      <c r="Q46009" s="5" t="s">
        <v>355</v>
      </c>
    </row>
    <row r="46010" ht="16.5" customHeight="1">
      <c r="O46010" s="5" t="s">
        <v>355</v>
      </c>
      <c r="P46010" s="5" t="s">
        <v>355</v>
      </c>
      <c r="Q46010" s="5" t="s">
        <v>355</v>
      </c>
    </row>
    <row r="46011" ht="16.5" customHeight="1">
      <c r="O46011" s="5" t="s">
        <v>355</v>
      </c>
      <c r="P46011" s="5" t="s">
        <v>355</v>
      </c>
      <c r="Q46011" s="5" t="s">
        <v>355</v>
      </c>
    </row>
    <row r="46012" ht="16.5" customHeight="1">
      <c r="O46012" s="5" t="s">
        <v>355</v>
      </c>
      <c r="P46012" s="5" t="s">
        <v>355</v>
      </c>
      <c r="Q46012" s="5" t="s">
        <v>355</v>
      </c>
    </row>
    <row r="46013" ht="16.5" customHeight="1">
      <c r="O46013" s="5" t="s">
        <v>355</v>
      </c>
      <c r="P46013" s="5" t="s">
        <v>355</v>
      </c>
      <c r="Q46013" s="5" t="s">
        <v>355</v>
      </c>
    </row>
    <row r="46014" ht="16.5" customHeight="1">
      <c r="O46014" s="5" t="s">
        <v>355</v>
      </c>
      <c r="P46014" s="5" t="s">
        <v>355</v>
      </c>
      <c r="Q46014" s="5" t="s">
        <v>355</v>
      </c>
    </row>
    <row r="46015" ht="16.5" customHeight="1">
      <c r="O46015" s="5" t="s">
        <v>355</v>
      </c>
      <c r="P46015" s="5" t="s">
        <v>355</v>
      </c>
      <c r="Q46015" s="5" t="s">
        <v>355</v>
      </c>
    </row>
    <row r="46016" ht="16.5" customHeight="1">
      <c r="O46016" s="5" t="s">
        <v>355</v>
      </c>
      <c r="P46016" s="5" t="s">
        <v>355</v>
      </c>
      <c r="Q46016" s="5" t="s">
        <v>355</v>
      </c>
    </row>
    <row r="46017" ht="16.5" customHeight="1">
      <c r="O46017" s="5" t="s">
        <v>355</v>
      </c>
      <c r="P46017" s="5" t="s">
        <v>355</v>
      </c>
      <c r="Q46017" s="5" t="s">
        <v>355</v>
      </c>
    </row>
    <row r="46018" ht="16.5" customHeight="1">
      <c r="O46018" s="5" t="s">
        <v>355</v>
      </c>
      <c r="P46018" s="5" t="s">
        <v>355</v>
      </c>
      <c r="Q46018" s="5" t="s">
        <v>355</v>
      </c>
    </row>
    <row r="46019" ht="16.5" customHeight="1">
      <c r="O46019" s="5" t="s">
        <v>355</v>
      </c>
      <c r="P46019" s="5" t="s">
        <v>355</v>
      </c>
      <c r="Q46019" s="5" t="s">
        <v>355</v>
      </c>
    </row>
    <row r="46020" ht="16.5" customHeight="1">
      <c r="O46020" s="5" t="s">
        <v>355</v>
      </c>
      <c r="P46020" s="5" t="s">
        <v>355</v>
      </c>
      <c r="Q46020" s="5" t="s">
        <v>355</v>
      </c>
    </row>
    <row r="46021" ht="16.5" customHeight="1">
      <c r="O46021" s="5" t="s">
        <v>355</v>
      </c>
      <c r="P46021" s="5" t="s">
        <v>355</v>
      </c>
      <c r="Q46021" s="5" t="s">
        <v>355</v>
      </c>
    </row>
    <row r="46022" ht="16.5" customHeight="1">
      <c r="O46022" s="5" t="s">
        <v>355</v>
      </c>
      <c r="P46022" s="5" t="s">
        <v>355</v>
      </c>
      <c r="Q46022" s="5" t="s">
        <v>355</v>
      </c>
    </row>
    <row r="46023" ht="16.5" customHeight="1">
      <c r="O46023" s="5" t="s">
        <v>355</v>
      </c>
      <c r="P46023" s="5" t="s">
        <v>355</v>
      </c>
      <c r="Q46023" s="5" t="s">
        <v>355</v>
      </c>
    </row>
    <row r="46024" ht="16.5" customHeight="1">
      <c r="O46024" s="5" t="s">
        <v>355</v>
      </c>
      <c r="P46024" s="5" t="s">
        <v>355</v>
      </c>
      <c r="Q46024" s="5" t="s">
        <v>355</v>
      </c>
    </row>
    <row r="46025" ht="16.5" customHeight="1">
      <c r="O46025" s="5" t="s">
        <v>355</v>
      </c>
      <c r="P46025" s="5" t="s">
        <v>355</v>
      </c>
      <c r="Q46025" s="5" t="s">
        <v>355</v>
      </c>
    </row>
    <row r="46026" ht="16.5" customHeight="1">
      <c r="O46026" s="5" t="s">
        <v>355</v>
      </c>
      <c r="P46026" s="5" t="s">
        <v>355</v>
      </c>
      <c r="Q46026" s="5" t="s">
        <v>355</v>
      </c>
    </row>
    <row r="46027" ht="16.5" customHeight="1">
      <c r="O46027" s="5" t="s">
        <v>355</v>
      </c>
      <c r="P46027" s="5" t="s">
        <v>355</v>
      </c>
      <c r="Q46027" s="5" t="s">
        <v>355</v>
      </c>
    </row>
    <row r="46028" ht="16.5" customHeight="1">
      <c r="O46028" s="5" t="s">
        <v>355</v>
      </c>
      <c r="P46028" s="5" t="s">
        <v>355</v>
      </c>
      <c r="Q46028" s="5" t="s">
        <v>355</v>
      </c>
    </row>
    <row r="46029" ht="16.5" customHeight="1">
      <c r="O46029" s="5" t="s">
        <v>355</v>
      </c>
      <c r="P46029" s="5" t="s">
        <v>355</v>
      </c>
      <c r="Q46029" s="5" t="s">
        <v>355</v>
      </c>
    </row>
    <row r="46030" ht="16.5" customHeight="1">
      <c r="O46030" s="5" t="s">
        <v>355</v>
      </c>
      <c r="P46030" s="5" t="s">
        <v>355</v>
      </c>
      <c r="Q46030" s="5" t="s">
        <v>355</v>
      </c>
    </row>
    <row r="46031" ht="16.5" customHeight="1">
      <c r="O46031" s="5" t="s">
        <v>355</v>
      </c>
      <c r="P46031" s="5" t="s">
        <v>355</v>
      </c>
      <c r="Q46031" s="5" t="s">
        <v>355</v>
      </c>
    </row>
    <row r="46032" ht="16.5" customHeight="1">
      <c r="O46032" s="5" t="s">
        <v>355</v>
      </c>
      <c r="P46032" s="5" t="s">
        <v>355</v>
      </c>
      <c r="Q46032" s="5" t="s">
        <v>355</v>
      </c>
    </row>
    <row r="46033" ht="16.5" customHeight="1">
      <c r="O46033" s="5" t="s">
        <v>355</v>
      </c>
      <c r="P46033" s="5" t="s">
        <v>355</v>
      </c>
      <c r="Q46033" s="5" t="s">
        <v>355</v>
      </c>
    </row>
    <row r="46034" ht="16.5" customHeight="1">
      <c r="O46034" s="5" t="s">
        <v>355</v>
      </c>
      <c r="P46034" s="5" t="s">
        <v>355</v>
      </c>
      <c r="Q46034" s="5" t="s">
        <v>355</v>
      </c>
    </row>
    <row r="46035" ht="16.5" customHeight="1">
      <c r="O46035" s="5" t="s">
        <v>355</v>
      </c>
      <c r="P46035" s="5" t="s">
        <v>355</v>
      </c>
      <c r="Q46035" s="5" t="s">
        <v>355</v>
      </c>
    </row>
    <row r="46036" ht="16.5" customHeight="1">
      <c r="O46036" s="5" t="s">
        <v>355</v>
      </c>
      <c r="P46036" s="5" t="s">
        <v>355</v>
      </c>
      <c r="Q46036" s="5" t="s">
        <v>355</v>
      </c>
    </row>
    <row r="46037" ht="16.5" customHeight="1">
      <c r="O46037" s="5" t="s">
        <v>355</v>
      </c>
      <c r="P46037" s="5" t="s">
        <v>355</v>
      </c>
      <c r="Q46037" s="5" t="s">
        <v>355</v>
      </c>
    </row>
    <row r="46038" ht="16.5" customHeight="1">
      <c r="O46038" s="5" t="s">
        <v>355</v>
      </c>
      <c r="P46038" s="5" t="s">
        <v>355</v>
      </c>
      <c r="Q46038" s="5" t="s">
        <v>355</v>
      </c>
    </row>
    <row r="46039" ht="16.5" customHeight="1">
      <c r="O46039" s="5" t="s">
        <v>355</v>
      </c>
      <c r="P46039" s="5" t="s">
        <v>355</v>
      </c>
      <c r="Q46039" s="5" t="s">
        <v>355</v>
      </c>
    </row>
    <row r="46040" ht="16.5" customHeight="1">
      <c r="O46040" s="5" t="s">
        <v>355</v>
      </c>
      <c r="P46040" s="5" t="s">
        <v>355</v>
      </c>
      <c r="Q46040" s="5" t="s">
        <v>355</v>
      </c>
    </row>
    <row r="46041" ht="16.5" customHeight="1">
      <c r="O46041" s="5" t="s">
        <v>355</v>
      </c>
      <c r="P46041" s="5" t="s">
        <v>355</v>
      </c>
      <c r="Q46041" s="5" t="s">
        <v>355</v>
      </c>
    </row>
    <row r="46042" ht="16.5" customHeight="1">
      <c r="O46042" s="5" t="s">
        <v>355</v>
      </c>
      <c r="P46042" s="5" t="s">
        <v>355</v>
      </c>
      <c r="Q46042" s="5" t="s">
        <v>355</v>
      </c>
    </row>
    <row r="46043" ht="16.5" customHeight="1">
      <c r="O46043" s="5" t="s">
        <v>355</v>
      </c>
      <c r="P46043" s="5" t="s">
        <v>355</v>
      </c>
      <c r="Q46043" s="5" t="s">
        <v>355</v>
      </c>
    </row>
    <row r="46044" ht="16.5" customHeight="1">
      <c r="O46044" s="5" t="s">
        <v>355</v>
      </c>
      <c r="P46044" s="5" t="s">
        <v>355</v>
      </c>
      <c r="Q46044" s="5" t="s">
        <v>355</v>
      </c>
    </row>
    <row r="46045" ht="16.5" customHeight="1">
      <c r="O46045" s="5" t="s">
        <v>355</v>
      </c>
      <c r="P46045" s="5" t="s">
        <v>355</v>
      </c>
      <c r="Q46045" s="5" t="s">
        <v>355</v>
      </c>
    </row>
    <row r="46046" ht="16.5" customHeight="1">
      <c r="O46046" s="5" t="s">
        <v>355</v>
      </c>
      <c r="P46046" s="5" t="s">
        <v>355</v>
      </c>
      <c r="Q46046" s="5" t="s">
        <v>355</v>
      </c>
    </row>
    <row r="46047" ht="16.5" customHeight="1">
      <c r="O46047" s="5" t="s">
        <v>355</v>
      </c>
      <c r="P46047" s="5" t="s">
        <v>355</v>
      </c>
      <c r="Q46047" s="5" t="s">
        <v>355</v>
      </c>
    </row>
    <row r="46048" ht="16.5" customHeight="1">
      <c r="O46048" s="5" t="s">
        <v>355</v>
      </c>
      <c r="P46048" s="5" t="s">
        <v>355</v>
      </c>
      <c r="Q46048" s="5" t="s">
        <v>355</v>
      </c>
    </row>
    <row r="46049" ht="16.5" customHeight="1">
      <c r="O46049" s="5" t="s">
        <v>355</v>
      </c>
      <c r="P46049" s="5" t="s">
        <v>355</v>
      </c>
      <c r="Q46049" s="5" t="s">
        <v>355</v>
      </c>
    </row>
    <row r="46050" ht="16.5" customHeight="1">
      <c r="O46050" s="5" t="s">
        <v>355</v>
      </c>
      <c r="P46050" s="5" t="s">
        <v>355</v>
      </c>
      <c r="Q46050" s="5" t="s">
        <v>355</v>
      </c>
    </row>
    <row r="46051" ht="16.5" customHeight="1">
      <c r="O46051" s="5" t="s">
        <v>355</v>
      </c>
      <c r="P46051" s="5" t="s">
        <v>355</v>
      </c>
      <c r="Q46051" s="5" t="s">
        <v>355</v>
      </c>
    </row>
    <row r="46052" ht="16.5" customHeight="1">
      <c r="O46052" s="5" t="s">
        <v>355</v>
      </c>
      <c r="P46052" s="5" t="s">
        <v>355</v>
      </c>
      <c r="Q46052" s="5" t="s">
        <v>355</v>
      </c>
    </row>
    <row r="46053" ht="16.5" customHeight="1">
      <c r="O46053" s="5" t="s">
        <v>355</v>
      </c>
      <c r="P46053" s="5" t="s">
        <v>355</v>
      </c>
      <c r="Q46053" s="5" t="s">
        <v>355</v>
      </c>
    </row>
    <row r="46054" ht="16.5" customHeight="1">
      <c r="O46054" s="5" t="s">
        <v>355</v>
      </c>
      <c r="P46054" s="5" t="s">
        <v>355</v>
      </c>
      <c r="Q46054" s="5" t="s">
        <v>355</v>
      </c>
    </row>
    <row r="46055" ht="16.5" customHeight="1">
      <c r="O46055" s="5" t="s">
        <v>355</v>
      </c>
      <c r="P46055" s="5" t="s">
        <v>355</v>
      </c>
      <c r="Q46055" s="5" t="s">
        <v>355</v>
      </c>
    </row>
    <row r="46056" ht="16.5" customHeight="1">
      <c r="O46056" s="5" t="s">
        <v>355</v>
      </c>
      <c r="P46056" s="5" t="s">
        <v>355</v>
      </c>
      <c r="Q46056" s="5" t="s">
        <v>355</v>
      </c>
    </row>
    <row r="46057" ht="16.5" customHeight="1">
      <c r="O46057" s="5" t="s">
        <v>355</v>
      </c>
      <c r="P46057" s="5" t="s">
        <v>355</v>
      </c>
      <c r="Q46057" s="5" t="s">
        <v>355</v>
      </c>
    </row>
    <row r="46058" ht="16.5" customHeight="1">
      <c r="O46058" s="5" t="s">
        <v>355</v>
      </c>
      <c r="P46058" s="5" t="s">
        <v>355</v>
      </c>
      <c r="Q46058" s="5" t="s">
        <v>355</v>
      </c>
    </row>
    <row r="46059" ht="16.5" customHeight="1">
      <c r="O46059" s="5" t="s">
        <v>355</v>
      </c>
      <c r="P46059" s="5" t="s">
        <v>355</v>
      </c>
      <c r="Q46059" s="5" t="s">
        <v>355</v>
      </c>
    </row>
    <row r="46060" ht="16.5" customHeight="1">
      <c r="O46060" s="5" t="s">
        <v>355</v>
      </c>
      <c r="P46060" s="5" t="s">
        <v>355</v>
      </c>
      <c r="Q46060" s="5" t="s">
        <v>355</v>
      </c>
    </row>
    <row r="46061" ht="16.5" customHeight="1">
      <c r="O46061" s="5" t="s">
        <v>355</v>
      </c>
      <c r="P46061" s="5" t="s">
        <v>355</v>
      </c>
      <c r="Q46061" s="5" t="s">
        <v>355</v>
      </c>
    </row>
    <row r="46062" ht="16.5" customHeight="1">
      <c r="O46062" s="5" t="s">
        <v>355</v>
      </c>
      <c r="P46062" s="5" t="s">
        <v>355</v>
      </c>
      <c r="Q46062" s="5" t="s">
        <v>355</v>
      </c>
    </row>
    <row r="46063" ht="16.5" customHeight="1">
      <c r="O46063" s="5" t="s">
        <v>355</v>
      </c>
      <c r="P46063" s="5" t="s">
        <v>355</v>
      </c>
      <c r="Q46063" s="5" t="s">
        <v>355</v>
      </c>
    </row>
    <row r="46064" ht="16.5" customHeight="1">
      <c r="O46064" s="5" t="s">
        <v>355</v>
      </c>
      <c r="P46064" s="5" t="s">
        <v>355</v>
      </c>
      <c r="Q46064" s="5" t="s">
        <v>355</v>
      </c>
    </row>
    <row r="46065" ht="16.5" customHeight="1">
      <c r="O46065" s="5" t="s">
        <v>355</v>
      </c>
      <c r="P46065" s="5" t="s">
        <v>355</v>
      </c>
      <c r="Q46065" s="5" t="s">
        <v>355</v>
      </c>
    </row>
    <row r="46066" ht="16.5" customHeight="1">
      <c r="O46066" s="5" t="s">
        <v>355</v>
      </c>
      <c r="P46066" s="5" t="s">
        <v>355</v>
      </c>
      <c r="Q46066" s="5" t="s">
        <v>355</v>
      </c>
    </row>
    <row r="46067" ht="16.5" customHeight="1">
      <c r="O46067" s="5" t="s">
        <v>355</v>
      </c>
      <c r="P46067" s="5" t="s">
        <v>355</v>
      </c>
      <c r="Q46067" s="5" t="s">
        <v>355</v>
      </c>
    </row>
    <row r="46068" ht="16.5" customHeight="1">
      <c r="O46068" s="5" t="s">
        <v>355</v>
      </c>
      <c r="P46068" s="5" t="s">
        <v>355</v>
      </c>
      <c r="Q46068" s="5" t="s">
        <v>355</v>
      </c>
    </row>
    <row r="46069" ht="16.5" customHeight="1">
      <c r="O46069" s="5" t="s">
        <v>355</v>
      </c>
      <c r="P46069" s="5" t="s">
        <v>355</v>
      </c>
      <c r="Q46069" s="5" t="s">
        <v>355</v>
      </c>
    </row>
    <row r="46070" ht="16.5" customHeight="1">
      <c r="O46070" s="5" t="s">
        <v>355</v>
      </c>
      <c r="P46070" s="5" t="s">
        <v>355</v>
      </c>
      <c r="Q46070" s="5" t="s">
        <v>355</v>
      </c>
    </row>
    <row r="46071" ht="16.5" customHeight="1">
      <c r="O46071" s="5" t="s">
        <v>355</v>
      </c>
      <c r="P46071" s="5" t="s">
        <v>355</v>
      </c>
      <c r="Q46071" s="5" t="s">
        <v>355</v>
      </c>
    </row>
    <row r="46072" ht="16.5" customHeight="1">
      <c r="O46072" s="5" t="s">
        <v>355</v>
      </c>
      <c r="P46072" s="5" t="s">
        <v>355</v>
      </c>
      <c r="Q46072" s="5" t="s">
        <v>355</v>
      </c>
    </row>
    <row r="46073" ht="16.5" customHeight="1">
      <c r="O46073" s="5" t="s">
        <v>355</v>
      </c>
      <c r="P46073" s="5" t="s">
        <v>355</v>
      </c>
      <c r="Q46073" s="5" t="s">
        <v>355</v>
      </c>
    </row>
    <row r="46074" ht="16.5" customHeight="1">
      <c r="O46074" s="5" t="s">
        <v>355</v>
      </c>
      <c r="P46074" s="5" t="s">
        <v>355</v>
      </c>
      <c r="Q46074" s="5" t="s">
        <v>355</v>
      </c>
    </row>
    <row r="46075" ht="16.5" customHeight="1">
      <c r="O46075" s="5" t="s">
        <v>355</v>
      </c>
      <c r="P46075" s="5" t="s">
        <v>355</v>
      </c>
      <c r="Q46075" s="5" t="s">
        <v>355</v>
      </c>
    </row>
    <row r="46076" ht="16.5" customHeight="1">
      <c r="O46076" s="5" t="s">
        <v>355</v>
      </c>
      <c r="P46076" s="5" t="s">
        <v>355</v>
      </c>
      <c r="Q46076" s="5" t="s">
        <v>355</v>
      </c>
    </row>
    <row r="46077" ht="16.5" customHeight="1">
      <c r="O46077" s="5" t="s">
        <v>355</v>
      </c>
      <c r="P46077" s="5" t="s">
        <v>355</v>
      </c>
      <c r="Q46077" s="5" t="s">
        <v>355</v>
      </c>
    </row>
    <row r="46078" ht="16.5" customHeight="1">
      <c r="O46078" s="5" t="s">
        <v>355</v>
      </c>
      <c r="P46078" s="5" t="s">
        <v>355</v>
      </c>
      <c r="Q46078" s="5" t="s">
        <v>355</v>
      </c>
    </row>
    <row r="46079" ht="16.5" customHeight="1">
      <c r="O46079" s="5" t="s">
        <v>355</v>
      </c>
      <c r="P46079" s="5" t="s">
        <v>355</v>
      </c>
      <c r="Q46079" s="5" t="s">
        <v>355</v>
      </c>
    </row>
    <row r="46080" ht="16.5" customHeight="1">
      <c r="O46080" s="5" t="s">
        <v>355</v>
      </c>
      <c r="P46080" s="5" t="s">
        <v>355</v>
      </c>
      <c r="Q46080" s="5" t="s">
        <v>355</v>
      </c>
    </row>
    <row r="46081" ht="16.5" customHeight="1">
      <c r="O46081" s="5" t="s">
        <v>355</v>
      </c>
      <c r="P46081" s="5" t="s">
        <v>355</v>
      </c>
      <c r="Q46081" s="5" t="s">
        <v>355</v>
      </c>
    </row>
    <row r="46082" ht="16.5" customHeight="1">
      <c r="O46082" s="5" t="s">
        <v>355</v>
      </c>
      <c r="P46082" s="5" t="s">
        <v>355</v>
      </c>
      <c r="Q46082" s="5" t="s">
        <v>355</v>
      </c>
    </row>
    <row r="46083" ht="16.5" customHeight="1">
      <c r="O46083" s="5" t="s">
        <v>355</v>
      </c>
      <c r="P46083" s="5" t="s">
        <v>355</v>
      </c>
      <c r="Q46083" s="5" t="s">
        <v>355</v>
      </c>
    </row>
    <row r="46084" ht="16.5" customHeight="1">
      <c r="O46084" s="5" t="s">
        <v>355</v>
      </c>
      <c r="P46084" s="5" t="s">
        <v>355</v>
      </c>
      <c r="Q46084" s="5" t="s">
        <v>355</v>
      </c>
    </row>
    <row r="46085" ht="16.5" customHeight="1">
      <c r="O46085" s="5" t="s">
        <v>355</v>
      </c>
      <c r="P46085" s="5" t="s">
        <v>355</v>
      </c>
      <c r="Q46085" s="5" t="s">
        <v>355</v>
      </c>
    </row>
    <row r="46086" ht="16.5" customHeight="1">
      <c r="O46086" s="5" t="s">
        <v>355</v>
      </c>
      <c r="P46086" s="5" t="s">
        <v>355</v>
      </c>
      <c r="Q46086" s="5" t="s">
        <v>355</v>
      </c>
    </row>
    <row r="46087" ht="16.5" customHeight="1">
      <c r="O46087" s="5" t="s">
        <v>355</v>
      </c>
      <c r="P46087" s="5" t="s">
        <v>355</v>
      </c>
      <c r="Q46087" s="5" t="s">
        <v>355</v>
      </c>
    </row>
    <row r="46088" ht="16.5" customHeight="1">
      <c r="O46088" s="5" t="s">
        <v>355</v>
      </c>
      <c r="P46088" s="5" t="s">
        <v>355</v>
      </c>
      <c r="Q46088" s="5" t="s">
        <v>355</v>
      </c>
    </row>
    <row r="46089" ht="16.5" customHeight="1">
      <c r="O46089" s="5" t="s">
        <v>355</v>
      </c>
      <c r="P46089" s="5" t="s">
        <v>355</v>
      </c>
      <c r="Q46089" s="5" t="s">
        <v>355</v>
      </c>
    </row>
    <row r="46090" ht="16.5" customHeight="1">
      <c r="O46090" s="5" t="s">
        <v>355</v>
      </c>
      <c r="P46090" s="5" t="s">
        <v>355</v>
      </c>
      <c r="Q46090" s="5" t="s">
        <v>355</v>
      </c>
    </row>
    <row r="46091" ht="16.5" customHeight="1">
      <c r="O46091" s="5" t="s">
        <v>355</v>
      </c>
      <c r="P46091" s="5" t="s">
        <v>355</v>
      </c>
      <c r="Q46091" s="5" t="s">
        <v>355</v>
      </c>
    </row>
    <row r="46092" ht="16.5" customHeight="1">
      <c r="O46092" s="5" t="s">
        <v>355</v>
      </c>
      <c r="P46092" s="5" t="s">
        <v>355</v>
      </c>
      <c r="Q46092" s="5" t="s">
        <v>355</v>
      </c>
    </row>
    <row r="46093" ht="16.5" customHeight="1">
      <c r="O46093" s="5" t="s">
        <v>355</v>
      </c>
      <c r="P46093" s="5" t="s">
        <v>355</v>
      </c>
      <c r="Q46093" s="5" t="s">
        <v>355</v>
      </c>
    </row>
    <row r="46094" ht="16.5" customHeight="1">
      <c r="O46094" s="5" t="s">
        <v>355</v>
      </c>
      <c r="P46094" s="5" t="s">
        <v>355</v>
      </c>
      <c r="Q46094" s="5" t="s">
        <v>355</v>
      </c>
    </row>
    <row r="46095" ht="16.5" customHeight="1">
      <c r="O46095" s="5" t="s">
        <v>355</v>
      </c>
      <c r="P46095" s="5" t="s">
        <v>355</v>
      </c>
      <c r="Q46095" s="5" t="s">
        <v>355</v>
      </c>
    </row>
    <row r="46096" ht="16.5" customHeight="1">
      <c r="O46096" s="5" t="s">
        <v>355</v>
      </c>
      <c r="P46096" s="5" t="s">
        <v>355</v>
      </c>
      <c r="Q46096" s="5" t="s">
        <v>355</v>
      </c>
    </row>
    <row r="46097" ht="16.5" customHeight="1">
      <c r="O46097" s="5" t="s">
        <v>355</v>
      </c>
      <c r="P46097" s="5" t="s">
        <v>355</v>
      </c>
      <c r="Q46097" s="5" t="s">
        <v>355</v>
      </c>
    </row>
    <row r="46098" ht="16.5" customHeight="1">
      <c r="O46098" s="5" t="s">
        <v>355</v>
      </c>
      <c r="P46098" s="5" t="s">
        <v>355</v>
      </c>
      <c r="Q46098" s="5" t="s">
        <v>355</v>
      </c>
    </row>
    <row r="46099" ht="16.5" customHeight="1">
      <c r="O46099" s="5" t="s">
        <v>355</v>
      </c>
      <c r="P46099" s="5" t="s">
        <v>355</v>
      </c>
      <c r="Q46099" s="5" t="s">
        <v>355</v>
      </c>
    </row>
    <row r="46100" ht="16.5" customHeight="1">
      <c r="O46100" s="5" t="s">
        <v>355</v>
      </c>
      <c r="P46100" s="5" t="s">
        <v>355</v>
      </c>
      <c r="Q46100" s="5" t="s">
        <v>355</v>
      </c>
    </row>
    <row r="46101" ht="16.5" customHeight="1">
      <c r="O46101" s="5" t="s">
        <v>355</v>
      </c>
      <c r="P46101" s="5" t="s">
        <v>355</v>
      </c>
      <c r="Q46101" s="5" t="s">
        <v>355</v>
      </c>
    </row>
    <row r="46102" ht="16.5" customHeight="1">
      <c r="O46102" s="5" t="s">
        <v>355</v>
      </c>
      <c r="P46102" s="5" t="s">
        <v>355</v>
      </c>
      <c r="Q46102" s="5" t="s">
        <v>355</v>
      </c>
    </row>
    <row r="46103" ht="16.5" customHeight="1">
      <c r="O46103" s="5" t="s">
        <v>355</v>
      </c>
      <c r="P46103" s="5" t="s">
        <v>355</v>
      </c>
      <c r="Q46103" s="5" t="s">
        <v>355</v>
      </c>
    </row>
    <row r="46104" ht="16.5" customHeight="1">
      <c r="O46104" s="5" t="s">
        <v>355</v>
      </c>
      <c r="P46104" s="5" t="s">
        <v>355</v>
      </c>
      <c r="Q46104" s="5" t="s">
        <v>355</v>
      </c>
    </row>
    <row r="46105" ht="16.5" customHeight="1">
      <c r="O46105" s="5" t="s">
        <v>355</v>
      </c>
      <c r="P46105" s="5" t="s">
        <v>355</v>
      </c>
      <c r="Q46105" s="5" t="s">
        <v>355</v>
      </c>
    </row>
    <row r="46106" ht="16.5" customHeight="1">
      <c r="O46106" s="5" t="s">
        <v>355</v>
      </c>
      <c r="P46106" s="5" t="s">
        <v>355</v>
      </c>
      <c r="Q46106" s="5" t="s">
        <v>355</v>
      </c>
    </row>
    <row r="46107" ht="16.5" customHeight="1">
      <c r="O46107" s="5" t="s">
        <v>355</v>
      </c>
      <c r="P46107" s="5" t="s">
        <v>355</v>
      </c>
      <c r="Q46107" s="5" t="s">
        <v>355</v>
      </c>
    </row>
    <row r="46108" ht="16.5" customHeight="1">
      <c r="O46108" s="5" t="s">
        <v>355</v>
      </c>
      <c r="P46108" s="5" t="s">
        <v>355</v>
      </c>
      <c r="Q46108" s="5" t="s">
        <v>355</v>
      </c>
    </row>
    <row r="46109" ht="16.5" customHeight="1">
      <c r="O46109" s="5" t="s">
        <v>355</v>
      </c>
      <c r="P46109" s="5" t="s">
        <v>355</v>
      </c>
      <c r="Q46109" s="5" t="s">
        <v>355</v>
      </c>
    </row>
    <row r="46110" ht="16.5" customHeight="1">
      <c r="O46110" s="5" t="s">
        <v>355</v>
      </c>
      <c r="P46110" s="5" t="s">
        <v>355</v>
      </c>
      <c r="Q46110" s="5" t="s">
        <v>355</v>
      </c>
    </row>
    <row r="46111" ht="16.5" customHeight="1">
      <c r="O46111" s="5" t="s">
        <v>355</v>
      </c>
      <c r="P46111" s="5" t="s">
        <v>355</v>
      </c>
      <c r="Q46111" s="5" t="s">
        <v>355</v>
      </c>
    </row>
    <row r="46112" ht="16.5" customHeight="1">
      <c r="O46112" s="5" t="s">
        <v>355</v>
      </c>
      <c r="P46112" s="5" t="s">
        <v>355</v>
      </c>
      <c r="Q46112" s="5" t="s">
        <v>355</v>
      </c>
    </row>
    <row r="46113" ht="16.5" customHeight="1">
      <c r="O46113" s="5" t="s">
        <v>355</v>
      </c>
      <c r="P46113" s="5" t="s">
        <v>355</v>
      </c>
      <c r="Q46113" s="5" t="s">
        <v>355</v>
      </c>
    </row>
    <row r="46114" ht="16.5" customHeight="1">
      <c r="O46114" s="5" t="s">
        <v>355</v>
      </c>
      <c r="P46114" s="5" t="s">
        <v>355</v>
      </c>
      <c r="Q46114" s="5" t="s">
        <v>355</v>
      </c>
    </row>
    <row r="46115" ht="16.5" customHeight="1">
      <c r="O46115" s="5" t="s">
        <v>355</v>
      </c>
      <c r="P46115" s="5" t="s">
        <v>355</v>
      </c>
      <c r="Q46115" s="5" t="s">
        <v>355</v>
      </c>
    </row>
    <row r="46116" ht="16.5" customHeight="1">
      <c r="O46116" s="5" t="s">
        <v>355</v>
      </c>
      <c r="P46116" s="5" t="s">
        <v>355</v>
      </c>
      <c r="Q46116" s="5" t="s">
        <v>355</v>
      </c>
    </row>
    <row r="46117" ht="16.5" customHeight="1">
      <c r="O46117" s="5" t="s">
        <v>355</v>
      </c>
      <c r="P46117" s="5" t="s">
        <v>355</v>
      </c>
      <c r="Q46117" s="5" t="s">
        <v>355</v>
      </c>
    </row>
    <row r="46118" ht="16.5" customHeight="1">
      <c r="O46118" s="5" t="s">
        <v>355</v>
      </c>
      <c r="P46118" s="5" t="s">
        <v>355</v>
      </c>
      <c r="Q46118" s="5" t="s">
        <v>355</v>
      </c>
    </row>
    <row r="46119" ht="16.5" customHeight="1">
      <c r="O46119" s="5" t="s">
        <v>355</v>
      </c>
      <c r="P46119" s="5" t="s">
        <v>355</v>
      </c>
      <c r="Q46119" s="5" t="s">
        <v>355</v>
      </c>
    </row>
    <row r="46120" ht="16.5" customHeight="1">
      <c r="O46120" s="5" t="s">
        <v>355</v>
      </c>
      <c r="P46120" s="5" t="s">
        <v>355</v>
      </c>
      <c r="Q46120" s="5" t="s">
        <v>355</v>
      </c>
    </row>
    <row r="46121" ht="16.5" customHeight="1">
      <c r="O46121" s="5" t="s">
        <v>355</v>
      </c>
      <c r="P46121" s="5" t="s">
        <v>355</v>
      </c>
      <c r="Q46121" s="5" t="s">
        <v>355</v>
      </c>
    </row>
    <row r="46122" ht="16.5" customHeight="1">
      <c r="O46122" s="5" t="s">
        <v>355</v>
      </c>
      <c r="P46122" s="5" t="s">
        <v>355</v>
      </c>
      <c r="Q46122" s="5" t="s">
        <v>355</v>
      </c>
    </row>
    <row r="46123" ht="16.5" customHeight="1">
      <c r="O46123" s="5" t="s">
        <v>355</v>
      </c>
      <c r="P46123" s="5" t="s">
        <v>355</v>
      </c>
      <c r="Q46123" s="5" t="s">
        <v>355</v>
      </c>
    </row>
    <row r="46124" ht="16.5" customHeight="1">
      <c r="O46124" s="5" t="s">
        <v>355</v>
      </c>
      <c r="P46124" s="5" t="s">
        <v>355</v>
      </c>
      <c r="Q46124" s="5" t="s">
        <v>355</v>
      </c>
    </row>
    <row r="46125" ht="16.5" customHeight="1">
      <c r="O46125" s="5" t="s">
        <v>355</v>
      </c>
      <c r="P46125" s="5" t="s">
        <v>355</v>
      </c>
      <c r="Q46125" s="5" t="s">
        <v>355</v>
      </c>
    </row>
    <row r="46126" ht="16.5" customHeight="1">
      <c r="O46126" s="5" t="s">
        <v>355</v>
      </c>
      <c r="P46126" s="5" t="s">
        <v>355</v>
      </c>
      <c r="Q46126" s="5" t="s">
        <v>355</v>
      </c>
    </row>
    <row r="46127" ht="16.5" customHeight="1">
      <c r="O46127" s="5" t="s">
        <v>355</v>
      </c>
      <c r="P46127" s="5" t="s">
        <v>355</v>
      </c>
      <c r="Q46127" s="5" t="s">
        <v>355</v>
      </c>
    </row>
    <row r="46128" ht="16.5" customHeight="1">
      <c r="O46128" s="5" t="s">
        <v>355</v>
      </c>
      <c r="P46128" s="5" t="s">
        <v>355</v>
      </c>
      <c r="Q46128" s="5" t="s">
        <v>355</v>
      </c>
    </row>
    <row r="46129" ht="16.5" customHeight="1">
      <c r="O46129" s="5" t="s">
        <v>355</v>
      </c>
      <c r="P46129" s="5" t="s">
        <v>355</v>
      </c>
      <c r="Q46129" s="5" t="s">
        <v>355</v>
      </c>
    </row>
    <row r="46130" ht="16.5" customHeight="1">
      <c r="O46130" s="5" t="s">
        <v>355</v>
      </c>
      <c r="P46130" s="5" t="s">
        <v>355</v>
      </c>
      <c r="Q46130" s="5" t="s">
        <v>355</v>
      </c>
    </row>
    <row r="46131" ht="16.5" customHeight="1">
      <c r="O46131" s="5" t="s">
        <v>355</v>
      </c>
      <c r="P46131" s="5" t="s">
        <v>355</v>
      </c>
      <c r="Q46131" s="5" t="s">
        <v>355</v>
      </c>
    </row>
    <row r="46132" ht="16.5" customHeight="1">
      <c r="O46132" s="5" t="s">
        <v>355</v>
      </c>
      <c r="P46132" s="5" t="s">
        <v>355</v>
      </c>
      <c r="Q46132" s="5" t="s">
        <v>355</v>
      </c>
    </row>
    <row r="46133" ht="16.5" customHeight="1">
      <c r="O46133" s="5" t="s">
        <v>355</v>
      </c>
      <c r="P46133" s="5" t="s">
        <v>355</v>
      </c>
      <c r="Q46133" s="5" t="s">
        <v>355</v>
      </c>
    </row>
    <row r="46134" ht="16.5" customHeight="1">
      <c r="O46134" s="5" t="s">
        <v>355</v>
      </c>
      <c r="P46134" s="5" t="s">
        <v>355</v>
      </c>
      <c r="Q46134" s="5" t="s">
        <v>355</v>
      </c>
    </row>
    <row r="46135" ht="16.5" customHeight="1">
      <c r="O46135" s="5" t="s">
        <v>355</v>
      </c>
      <c r="P46135" s="5" t="s">
        <v>355</v>
      </c>
      <c r="Q46135" s="5" t="s">
        <v>355</v>
      </c>
    </row>
    <row r="46136" ht="16.5" customHeight="1">
      <c r="O46136" s="5" t="s">
        <v>355</v>
      </c>
      <c r="P46136" s="5" t="s">
        <v>355</v>
      </c>
      <c r="Q46136" s="5" t="s">
        <v>355</v>
      </c>
    </row>
    <row r="46137" ht="16.5" customHeight="1">
      <c r="O46137" s="5" t="s">
        <v>355</v>
      </c>
      <c r="P46137" s="5" t="s">
        <v>355</v>
      </c>
      <c r="Q46137" s="5" t="s">
        <v>355</v>
      </c>
    </row>
    <row r="46138" ht="16.5" customHeight="1">
      <c r="O46138" s="5" t="s">
        <v>355</v>
      </c>
      <c r="P46138" s="5" t="s">
        <v>355</v>
      </c>
      <c r="Q46138" s="5" t="s">
        <v>355</v>
      </c>
    </row>
    <row r="46139" ht="16.5" customHeight="1">
      <c r="O46139" s="5" t="s">
        <v>355</v>
      </c>
      <c r="P46139" s="5" t="s">
        <v>355</v>
      </c>
      <c r="Q46139" s="5" t="s">
        <v>355</v>
      </c>
    </row>
    <row r="46140" ht="16.5" customHeight="1">
      <c r="O46140" s="5" t="s">
        <v>355</v>
      </c>
      <c r="P46140" s="5" t="s">
        <v>355</v>
      </c>
      <c r="Q46140" s="5" t="s">
        <v>355</v>
      </c>
    </row>
    <row r="46141" ht="16.5" customHeight="1">
      <c r="O46141" s="5" t="s">
        <v>355</v>
      </c>
      <c r="P46141" s="5" t="s">
        <v>355</v>
      </c>
      <c r="Q46141" s="5" t="s">
        <v>355</v>
      </c>
    </row>
    <row r="46142" ht="16.5" customHeight="1">
      <c r="O46142" s="5" t="s">
        <v>355</v>
      </c>
      <c r="P46142" s="5" t="s">
        <v>355</v>
      </c>
      <c r="Q46142" s="5" t="s">
        <v>355</v>
      </c>
    </row>
    <row r="46143" ht="16.5" customHeight="1">
      <c r="O46143" s="5" t="s">
        <v>355</v>
      </c>
      <c r="P46143" s="5" t="s">
        <v>355</v>
      </c>
      <c r="Q46143" s="5" t="s">
        <v>355</v>
      </c>
    </row>
    <row r="46144" ht="16.5" customHeight="1">
      <c r="O46144" s="5" t="s">
        <v>355</v>
      </c>
      <c r="P46144" s="5" t="s">
        <v>355</v>
      </c>
      <c r="Q46144" s="5" t="s">
        <v>355</v>
      </c>
    </row>
    <row r="46145" ht="16.5" customHeight="1">
      <c r="O46145" s="5" t="s">
        <v>355</v>
      </c>
      <c r="P46145" s="5" t="s">
        <v>355</v>
      </c>
      <c r="Q46145" s="5" t="s">
        <v>355</v>
      </c>
    </row>
    <row r="46146" ht="16.5" customHeight="1">
      <c r="O46146" s="5" t="s">
        <v>355</v>
      </c>
      <c r="P46146" s="5" t="s">
        <v>355</v>
      </c>
      <c r="Q46146" s="5" t="s">
        <v>355</v>
      </c>
    </row>
    <row r="46147" ht="16.5" customHeight="1">
      <c r="O46147" s="5" t="s">
        <v>355</v>
      </c>
      <c r="P46147" s="5" t="s">
        <v>355</v>
      </c>
      <c r="Q46147" s="5" t="s">
        <v>355</v>
      </c>
    </row>
    <row r="46148" ht="16.5" customHeight="1">
      <c r="O46148" s="5" t="s">
        <v>355</v>
      </c>
      <c r="P46148" s="5" t="s">
        <v>355</v>
      </c>
      <c r="Q46148" s="5" t="s">
        <v>355</v>
      </c>
    </row>
    <row r="46149" ht="16.5" customHeight="1">
      <c r="O46149" s="5" t="s">
        <v>355</v>
      </c>
      <c r="P46149" s="5" t="s">
        <v>355</v>
      </c>
      <c r="Q46149" s="5" t="s">
        <v>355</v>
      </c>
    </row>
    <row r="46150" ht="16.5" customHeight="1">
      <c r="O46150" s="5" t="s">
        <v>355</v>
      </c>
      <c r="P46150" s="5" t="s">
        <v>355</v>
      </c>
      <c r="Q46150" s="5" t="s">
        <v>355</v>
      </c>
    </row>
    <row r="46151" ht="16.5" customHeight="1">
      <c r="O46151" s="5" t="s">
        <v>355</v>
      </c>
      <c r="P46151" s="5" t="s">
        <v>355</v>
      </c>
      <c r="Q46151" s="5" t="s">
        <v>355</v>
      </c>
    </row>
    <row r="46152" ht="16.5" customHeight="1">
      <c r="O46152" s="5" t="s">
        <v>355</v>
      </c>
      <c r="P46152" s="5" t="s">
        <v>355</v>
      </c>
      <c r="Q46152" s="5" t="s">
        <v>355</v>
      </c>
    </row>
    <row r="46153" ht="16.5" customHeight="1">
      <c r="O46153" s="5" t="s">
        <v>355</v>
      </c>
      <c r="P46153" s="5" t="s">
        <v>355</v>
      </c>
      <c r="Q46153" s="5" t="s">
        <v>355</v>
      </c>
    </row>
    <row r="46154" ht="16.5" customHeight="1">
      <c r="O46154" s="5" t="s">
        <v>355</v>
      </c>
      <c r="P46154" s="5" t="s">
        <v>355</v>
      </c>
      <c r="Q46154" s="5" t="s">
        <v>355</v>
      </c>
    </row>
    <row r="46155" ht="16.5" customHeight="1">
      <c r="O46155" s="5" t="s">
        <v>355</v>
      </c>
      <c r="P46155" s="5" t="s">
        <v>355</v>
      </c>
      <c r="Q46155" s="5" t="s">
        <v>355</v>
      </c>
    </row>
    <row r="46156" ht="16.5" customHeight="1">
      <c r="O46156" s="5" t="s">
        <v>355</v>
      </c>
      <c r="P46156" s="5" t="s">
        <v>355</v>
      </c>
      <c r="Q46156" s="5" t="s">
        <v>355</v>
      </c>
    </row>
    <row r="46157" ht="16.5" customHeight="1">
      <c r="O46157" s="5" t="s">
        <v>355</v>
      </c>
      <c r="P46157" s="5" t="s">
        <v>355</v>
      </c>
      <c r="Q46157" s="5" t="s">
        <v>355</v>
      </c>
    </row>
    <row r="46158" ht="16.5" customHeight="1">
      <c r="O46158" s="5" t="s">
        <v>355</v>
      </c>
      <c r="P46158" s="5" t="s">
        <v>355</v>
      </c>
      <c r="Q46158" s="5" t="s">
        <v>355</v>
      </c>
    </row>
    <row r="46159" ht="16.5" customHeight="1">
      <c r="O46159" s="5" t="s">
        <v>355</v>
      </c>
      <c r="P46159" s="5" t="s">
        <v>355</v>
      </c>
      <c r="Q46159" s="5" t="s">
        <v>355</v>
      </c>
    </row>
    <row r="46160" ht="16.5" customHeight="1">
      <c r="O46160" s="5" t="s">
        <v>355</v>
      </c>
      <c r="P46160" s="5" t="s">
        <v>355</v>
      </c>
      <c r="Q46160" s="5" t="s">
        <v>355</v>
      </c>
    </row>
    <row r="46161" ht="16.5" customHeight="1">
      <c r="O46161" s="5" t="s">
        <v>355</v>
      </c>
      <c r="P46161" s="5" t="s">
        <v>355</v>
      </c>
      <c r="Q46161" s="5" t="s">
        <v>355</v>
      </c>
    </row>
    <row r="46162" ht="16.5" customHeight="1">
      <c r="O46162" s="5" t="s">
        <v>355</v>
      </c>
      <c r="P46162" s="5" t="s">
        <v>355</v>
      </c>
      <c r="Q46162" s="5" t="s">
        <v>355</v>
      </c>
    </row>
    <row r="46163" ht="16.5" customHeight="1">
      <c r="O46163" s="5" t="s">
        <v>355</v>
      </c>
      <c r="P46163" s="5" t="s">
        <v>355</v>
      </c>
      <c r="Q46163" s="5" t="s">
        <v>355</v>
      </c>
    </row>
    <row r="46164" ht="16.5" customHeight="1">
      <c r="O46164" s="5" t="s">
        <v>355</v>
      </c>
      <c r="P46164" s="5" t="s">
        <v>355</v>
      </c>
      <c r="Q46164" s="5" t="s">
        <v>355</v>
      </c>
    </row>
    <row r="46165" ht="16.5" customHeight="1">
      <c r="O46165" s="5" t="s">
        <v>355</v>
      </c>
      <c r="P46165" s="5" t="s">
        <v>355</v>
      </c>
      <c r="Q46165" s="5" t="s">
        <v>355</v>
      </c>
    </row>
    <row r="46166" ht="16.5" customHeight="1">
      <c r="O46166" s="5" t="s">
        <v>355</v>
      </c>
      <c r="P46166" s="5" t="s">
        <v>355</v>
      </c>
      <c r="Q46166" s="5" t="s">
        <v>355</v>
      </c>
    </row>
    <row r="46167" ht="16.5" customHeight="1">
      <c r="O46167" s="5" t="s">
        <v>355</v>
      </c>
      <c r="P46167" s="5" t="s">
        <v>355</v>
      </c>
      <c r="Q46167" s="5" t="s">
        <v>355</v>
      </c>
    </row>
    <row r="46168" ht="16.5" customHeight="1">
      <c r="O46168" s="5" t="s">
        <v>355</v>
      </c>
      <c r="P46168" s="5" t="s">
        <v>355</v>
      </c>
      <c r="Q46168" s="5" t="s">
        <v>355</v>
      </c>
    </row>
    <row r="46169" ht="16.5" customHeight="1">
      <c r="O46169" s="5" t="s">
        <v>355</v>
      </c>
      <c r="P46169" s="5" t="s">
        <v>355</v>
      </c>
      <c r="Q46169" s="5" t="s">
        <v>355</v>
      </c>
    </row>
    <row r="46170" ht="16.5" customHeight="1">
      <c r="O46170" s="5" t="s">
        <v>355</v>
      </c>
      <c r="P46170" s="5" t="s">
        <v>355</v>
      </c>
      <c r="Q46170" s="5" t="s">
        <v>355</v>
      </c>
    </row>
    <row r="46171" ht="16.5" customHeight="1">
      <c r="O46171" s="5" t="s">
        <v>355</v>
      </c>
      <c r="P46171" s="5" t="s">
        <v>355</v>
      </c>
      <c r="Q46171" s="5" t="s">
        <v>355</v>
      </c>
    </row>
    <row r="46172" ht="16.5" customHeight="1">
      <c r="O46172" s="5" t="s">
        <v>355</v>
      </c>
      <c r="P46172" s="5" t="s">
        <v>355</v>
      </c>
      <c r="Q46172" s="5" t="s">
        <v>355</v>
      </c>
    </row>
    <row r="46173" ht="16.5" customHeight="1">
      <c r="O46173" s="5" t="s">
        <v>355</v>
      </c>
      <c r="P46173" s="5" t="s">
        <v>355</v>
      </c>
      <c r="Q46173" s="5" t="s">
        <v>355</v>
      </c>
    </row>
    <row r="46174" ht="16.5" customHeight="1">
      <c r="O46174" s="5" t="s">
        <v>355</v>
      </c>
      <c r="P46174" s="5" t="s">
        <v>355</v>
      </c>
      <c r="Q46174" s="5" t="s">
        <v>355</v>
      </c>
    </row>
    <row r="46175" ht="16.5" customHeight="1">
      <c r="O46175" s="5" t="s">
        <v>355</v>
      </c>
      <c r="P46175" s="5" t="s">
        <v>355</v>
      </c>
      <c r="Q46175" s="5" t="s">
        <v>355</v>
      </c>
    </row>
    <row r="46176" ht="16.5" customHeight="1">
      <c r="O46176" s="5" t="s">
        <v>355</v>
      </c>
      <c r="P46176" s="5" t="s">
        <v>355</v>
      </c>
      <c r="Q46176" s="5" t="s">
        <v>355</v>
      </c>
    </row>
    <row r="46177" ht="16.5" customHeight="1">
      <c r="O46177" s="5" t="s">
        <v>355</v>
      </c>
      <c r="P46177" s="5" t="s">
        <v>355</v>
      </c>
      <c r="Q46177" s="5" t="s">
        <v>355</v>
      </c>
    </row>
    <row r="46178" ht="16.5" customHeight="1">
      <c r="O46178" s="5" t="s">
        <v>355</v>
      </c>
      <c r="P46178" s="5" t="s">
        <v>355</v>
      </c>
      <c r="Q46178" s="5" t="s">
        <v>355</v>
      </c>
    </row>
    <row r="46179" ht="16.5" customHeight="1">
      <c r="O46179" s="5" t="s">
        <v>355</v>
      </c>
      <c r="P46179" s="5" t="s">
        <v>355</v>
      </c>
      <c r="Q46179" s="5" t="s">
        <v>355</v>
      </c>
    </row>
    <row r="46180" ht="16.5" customHeight="1">
      <c r="O46180" s="5" t="s">
        <v>355</v>
      </c>
      <c r="P46180" s="5" t="s">
        <v>355</v>
      </c>
      <c r="Q46180" s="5" t="s">
        <v>355</v>
      </c>
    </row>
    <row r="46181" ht="16.5" customHeight="1">
      <c r="O46181" s="5" t="s">
        <v>355</v>
      </c>
      <c r="P46181" s="5" t="s">
        <v>355</v>
      </c>
      <c r="Q46181" s="5" t="s">
        <v>355</v>
      </c>
    </row>
    <row r="46182" ht="16.5" customHeight="1">
      <c r="O46182" s="5" t="s">
        <v>355</v>
      </c>
      <c r="P46182" s="5" t="s">
        <v>355</v>
      </c>
      <c r="Q46182" s="5" t="s">
        <v>355</v>
      </c>
    </row>
    <row r="46183" ht="16.5" customHeight="1">
      <c r="O46183" s="5" t="s">
        <v>355</v>
      </c>
      <c r="P46183" s="5" t="s">
        <v>355</v>
      </c>
      <c r="Q46183" s="5" t="s">
        <v>355</v>
      </c>
    </row>
    <row r="46184" ht="16.5" customHeight="1">
      <c r="O46184" s="5" t="s">
        <v>355</v>
      </c>
      <c r="P46184" s="5" t="s">
        <v>355</v>
      </c>
      <c r="Q46184" s="5" t="s">
        <v>355</v>
      </c>
    </row>
    <row r="46185" ht="16.5" customHeight="1">
      <c r="O46185" s="5" t="s">
        <v>355</v>
      </c>
      <c r="P46185" s="5" t="s">
        <v>355</v>
      </c>
      <c r="Q46185" s="5" t="s">
        <v>355</v>
      </c>
    </row>
    <row r="46186" ht="16.5" customHeight="1">
      <c r="O46186" s="5" t="s">
        <v>355</v>
      </c>
      <c r="P46186" s="5" t="s">
        <v>355</v>
      </c>
      <c r="Q46186" s="5" t="s">
        <v>355</v>
      </c>
    </row>
    <row r="46187" ht="16.5" customHeight="1">
      <c r="O46187" s="5" t="s">
        <v>355</v>
      </c>
      <c r="P46187" s="5" t="s">
        <v>355</v>
      </c>
      <c r="Q46187" s="5" t="s">
        <v>355</v>
      </c>
    </row>
    <row r="46188" ht="16.5" customHeight="1">
      <c r="O46188" s="5" t="s">
        <v>355</v>
      </c>
      <c r="P46188" s="5" t="s">
        <v>355</v>
      </c>
      <c r="Q46188" s="5" t="s">
        <v>355</v>
      </c>
    </row>
    <row r="46189" ht="16.5" customHeight="1">
      <c r="O46189" s="5" t="s">
        <v>355</v>
      </c>
      <c r="P46189" s="5" t="s">
        <v>355</v>
      </c>
      <c r="Q46189" s="5" t="s">
        <v>355</v>
      </c>
    </row>
    <row r="46190" ht="16.5" customHeight="1">
      <c r="O46190" s="5" t="s">
        <v>355</v>
      </c>
      <c r="P46190" s="5" t="s">
        <v>355</v>
      </c>
      <c r="Q46190" s="5" t="s">
        <v>355</v>
      </c>
    </row>
    <row r="46191" ht="16.5" customHeight="1">
      <c r="O46191" s="5" t="s">
        <v>355</v>
      </c>
      <c r="P46191" s="5" t="s">
        <v>355</v>
      </c>
      <c r="Q46191" s="5" t="s">
        <v>355</v>
      </c>
    </row>
    <row r="46192" ht="16.5" customHeight="1">
      <c r="O46192" s="5" t="s">
        <v>355</v>
      </c>
      <c r="P46192" s="5" t="s">
        <v>355</v>
      </c>
      <c r="Q46192" s="5" t="s">
        <v>355</v>
      </c>
    </row>
    <row r="46193" ht="16.5" customHeight="1">
      <c r="O46193" s="5" t="s">
        <v>355</v>
      </c>
      <c r="P46193" s="5" t="s">
        <v>355</v>
      </c>
      <c r="Q46193" s="5" t="s">
        <v>355</v>
      </c>
    </row>
    <row r="46194" ht="16.5" customHeight="1">
      <c r="O46194" s="5" t="s">
        <v>355</v>
      </c>
      <c r="P46194" s="5" t="s">
        <v>355</v>
      </c>
      <c r="Q46194" s="5" t="s">
        <v>355</v>
      </c>
    </row>
    <row r="46195" ht="16.5" customHeight="1">
      <c r="O46195" s="5" t="s">
        <v>355</v>
      </c>
      <c r="P46195" s="5" t="s">
        <v>355</v>
      </c>
      <c r="Q46195" s="5" t="s">
        <v>355</v>
      </c>
    </row>
    <row r="46196" ht="16.5" customHeight="1">
      <c r="O46196" s="5" t="s">
        <v>355</v>
      </c>
      <c r="P46196" s="5" t="s">
        <v>355</v>
      </c>
      <c r="Q46196" s="5" t="s">
        <v>355</v>
      </c>
    </row>
    <row r="46197" ht="16.5" customHeight="1">
      <c r="O46197" s="5" t="s">
        <v>355</v>
      </c>
      <c r="P46197" s="5" t="s">
        <v>355</v>
      </c>
      <c r="Q46197" s="5" t="s">
        <v>355</v>
      </c>
    </row>
    <row r="46198" ht="16.5" customHeight="1">
      <c r="O46198" s="5" t="s">
        <v>355</v>
      </c>
      <c r="P46198" s="5" t="s">
        <v>355</v>
      </c>
      <c r="Q46198" s="5" t="s">
        <v>355</v>
      </c>
    </row>
    <row r="46199" ht="16.5" customHeight="1">
      <c r="O46199" s="5" t="s">
        <v>355</v>
      </c>
      <c r="P46199" s="5" t="s">
        <v>355</v>
      </c>
      <c r="Q46199" s="5" t="s">
        <v>355</v>
      </c>
    </row>
    <row r="46200" ht="16.5" customHeight="1">
      <c r="O46200" s="5" t="s">
        <v>355</v>
      </c>
      <c r="P46200" s="5" t="s">
        <v>355</v>
      </c>
      <c r="Q46200" s="5" t="s">
        <v>355</v>
      </c>
    </row>
    <row r="46201" ht="16.5" customHeight="1">
      <c r="O46201" s="5" t="s">
        <v>355</v>
      </c>
      <c r="P46201" s="5" t="s">
        <v>355</v>
      </c>
      <c r="Q46201" s="5" t="s">
        <v>355</v>
      </c>
    </row>
    <row r="46202" ht="16.5" customHeight="1">
      <c r="O46202" s="5" t="s">
        <v>355</v>
      </c>
      <c r="P46202" s="5" t="s">
        <v>355</v>
      </c>
      <c r="Q46202" s="5" t="s">
        <v>355</v>
      </c>
    </row>
    <row r="46203" ht="16.5" customHeight="1">
      <c r="O46203" s="5" t="s">
        <v>355</v>
      </c>
      <c r="P46203" s="5" t="s">
        <v>355</v>
      </c>
      <c r="Q46203" s="5" t="s">
        <v>355</v>
      </c>
    </row>
    <row r="46204" ht="16.5" customHeight="1">
      <c r="O46204" s="5" t="s">
        <v>355</v>
      </c>
      <c r="P46204" s="5" t="s">
        <v>355</v>
      </c>
      <c r="Q46204" s="5" t="s">
        <v>355</v>
      </c>
    </row>
    <row r="46205" ht="16.5" customHeight="1">
      <c r="O46205" s="5" t="s">
        <v>355</v>
      </c>
      <c r="P46205" s="5" t="s">
        <v>355</v>
      </c>
      <c r="Q46205" s="5" t="s">
        <v>355</v>
      </c>
    </row>
    <row r="46206" ht="16.5" customHeight="1">
      <c r="O46206" s="5" t="s">
        <v>355</v>
      </c>
      <c r="P46206" s="5" t="s">
        <v>355</v>
      </c>
      <c r="Q46206" s="5" t="s">
        <v>355</v>
      </c>
    </row>
    <row r="46207" ht="16.5" customHeight="1">
      <c r="O46207" s="5" t="s">
        <v>355</v>
      </c>
      <c r="P46207" s="5" t="s">
        <v>355</v>
      </c>
      <c r="Q46207" s="5" t="s">
        <v>355</v>
      </c>
    </row>
    <row r="46208" ht="16.5" customHeight="1">
      <c r="O46208" s="5" t="s">
        <v>355</v>
      </c>
      <c r="P46208" s="5" t="s">
        <v>355</v>
      </c>
      <c r="Q46208" s="5" t="s">
        <v>355</v>
      </c>
    </row>
    <row r="46209" ht="16.5" customHeight="1">
      <c r="O46209" s="5" t="s">
        <v>355</v>
      </c>
      <c r="P46209" s="5" t="s">
        <v>355</v>
      </c>
      <c r="Q46209" s="5" t="s">
        <v>355</v>
      </c>
    </row>
    <row r="46210" ht="16.5" customHeight="1">
      <c r="O46210" s="5" t="s">
        <v>355</v>
      </c>
      <c r="P46210" s="5" t="s">
        <v>355</v>
      </c>
      <c r="Q46210" s="5" t="s">
        <v>355</v>
      </c>
    </row>
    <row r="46211" ht="16.5" customHeight="1">
      <c r="O46211" s="5" t="s">
        <v>355</v>
      </c>
      <c r="P46211" s="5" t="s">
        <v>355</v>
      </c>
      <c r="Q46211" s="5" t="s">
        <v>355</v>
      </c>
    </row>
    <row r="46212" ht="16.5" customHeight="1">
      <c r="O46212" s="5" t="s">
        <v>355</v>
      </c>
      <c r="P46212" s="5" t="s">
        <v>355</v>
      </c>
      <c r="Q46212" s="5" t="s">
        <v>355</v>
      </c>
    </row>
    <row r="46213" ht="16.5" customHeight="1">
      <c r="O46213" s="5" t="s">
        <v>355</v>
      </c>
      <c r="P46213" s="5" t="s">
        <v>355</v>
      </c>
      <c r="Q46213" s="5" t="s">
        <v>355</v>
      </c>
    </row>
    <row r="46214" ht="16.5" customHeight="1">
      <c r="O46214" s="5" t="s">
        <v>355</v>
      </c>
      <c r="P46214" s="5" t="s">
        <v>355</v>
      </c>
      <c r="Q46214" s="5" t="s">
        <v>355</v>
      </c>
    </row>
    <row r="46215" ht="16.5" customHeight="1">
      <c r="O46215" s="5" t="s">
        <v>355</v>
      </c>
      <c r="P46215" s="5" t="s">
        <v>355</v>
      </c>
      <c r="Q46215" s="5" t="s">
        <v>355</v>
      </c>
    </row>
    <row r="46216" ht="16.5" customHeight="1">
      <c r="O46216" s="5" t="s">
        <v>355</v>
      </c>
      <c r="P46216" s="5" t="s">
        <v>355</v>
      </c>
      <c r="Q46216" s="5" t="s">
        <v>355</v>
      </c>
    </row>
    <row r="46217" ht="16.5" customHeight="1">
      <c r="O46217" s="5" t="s">
        <v>355</v>
      </c>
      <c r="P46217" s="5" t="s">
        <v>355</v>
      </c>
      <c r="Q46217" s="5" t="s">
        <v>355</v>
      </c>
    </row>
    <row r="46218" ht="16.5" customHeight="1">
      <c r="O46218" s="5" t="s">
        <v>355</v>
      </c>
      <c r="P46218" s="5" t="s">
        <v>355</v>
      </c>
      <c r="Q46218" s="5" t="s">
        <v>355</v>
      </c>
    </row>
    <row r="46219" ht="16.5" customHeight="1">
      <c r="O46219" s="5" t="s">
        <v>355</v>
      </c>
      <c r="P46219" s="5" t="s">
        <v>355</v>
      </c>
      <c r="Q46219" s="5" t="s">
        <v>355</v>
      </c>
    </row>
    <row r="46220" ht="16.5" customHeight="1">
      <c r="O46220" s="5" t="s">
        <v>355</v>
      </c>
      <c r="P46220" s="5" t="s">
        <v>355</v>
      </c>
      <c r="Q46220" s="5" t="s">
        <v>355</v>
      </c>
    </row>
    <row r="46221" ht="16.5" customHeight="1">
      <c r="O46221" s="5" t="s">
        <v>355</v>
      </c>
      <c r="P46221" s="5" t="s">
        <v>355</v>
      </c>
      <c r="Q46221" s="5" t="s">
        <v>355</v>
      </c>
    </row>
    <row r="46222" ht="16.5" customHeight="1">
      <c r="O46222" s="5" t="s">
        <v>355</v>
      </c>
      <c r="P46222" s="5" t="s">
        <v>355</v>
      </c>
      <c r="Q46222" s="5" t="s">
        <v>355</v>
      </c>
    </row>
    <row r="46223" ht="16.5" customHeight="1">
      <c r="O46223" s="5" t="s">
        <v>355</v>
      </c>
      <c r="P46223" s="5" t="s">
        <v>355</v>
      </c>
      <c r="Q46223" s="5" t="s">
        <v>355</v>
      </c>
    </row>
    <row r="46224" ht="16.5" customHeight="1">
      <c r="O46224" s="5" t="s">
        <v>355</v>
      </c>
      <c r="P46224" s="5" t="s">
        <v>355</v>
      </c>
      <c r="Q46224" s="5" t="s">
        <v>355</v>
      </c>
    </row>
    <row r="46225" ht="16.5" customHeight="1">
      <c r="O46225" s="5" t="s">
        <v>355</v>
      </c>
      <c r="P46225" s="5" t="s">
        <v>355</v>
      </c>
      <c r="Q46225" s="5" t="s">
        <v>355</v>
      </c>
    </row>
    <row r="46226" ht="16.5" customHeight="1">
      <c r="O46226" s="5" t="s">
        <v>355</v>
      </c>
      <c r="P46226" s="5" t="s">
        <v>355</v>
      </c>
      <c r="Q46226" s="5" t="s">
        <v>355</v>
      </c>
    </row>
    <row r="46227" ht="16.5" customHeight="1">
      <c r="O46227" s="5" t="s">
        <v>355</v>
      </c>
      <c r="P46227" s="5" t="s">
        <v>355</v>
      </c>
      <c r="Q46227" s="5" t="s">
        <v>355</v>
      </c>
    </row>
    <row r="46228" ht="16.5" customHeight="1">
      <c r="O46228" s="5" t="s">
        <v>355</v>
      </c>
      <c r="P46228" s="5" t="s">
        <v>355</v>
      </c>
      <c r="Q46228" s="5" t="s">
        <v>355</v>
      </c>
    </row>
    <row r="46229" ht="16.5" customHeight="1">
      <c r="O46229" s="5" t="s">
        <v>355</v>
      </c>
      <c r="P46229" s="5" t="s">
        <v>355</v>
      </c>
      <c r="Q46229" s="5" t="s">
        <v>355</v>
      </c>
    </row>
    <row r="46230" ht="16.5" customHeight="1">
      <c r="O46230" s="5" t="s">
        <v>355</v>
      </c>
      <c r="P46230" s="5" t="s">
        <v>355</v>
      </c>
      <c r="Q46230" s="5" t="s">
        <v>355</v>
      </c>
    </row>
    <row r="46231" ht="16.5" customHeight="1">
      <c r="O46231" s="5" t="s">
        <v>355</v>
      </c>
      <c r="P46231" s="5" t="s">
        <v>355</v>
      </c>
      <c r="Q46231" s="5" t="s">
        <v>355</v>
      </c>
    </row>
    <row r="46232" ht="16.5" customHeight="1">
      <c r="O46232" s="5" t="s">
        <v>355</v>
      </c>
      <c r="P46232" s="5" t="s">
        <v>355</v>
      </c>
      <c r="Q46232" s="5" t="s">
        <v>355</v>
      </c>
    </row>
    <row r="46233" ht="16.5" customHeight="1">
      <c r="O46233" s="5" t="s">
        <v>355</v>
      </c>
      <c r="P46233" s="5" t="s">
        <v>355</v>
      </c>
      <c r="Q46233" s="5" t="s">
        <v>355</v>
      </c>
    </row>
    <row r="46234" ht="16.5" customHeight="1">
      <c r="O46234" s="5" t="s">
        <v>355</v>
      </c>
      <c r="P46234" s="5" t="s">
        <v>355</v>
      </c>
      <c r="Q46234" s="5" t="s">
        <v>355</v>
      </c>
    </row>
    <row r="46235" ht="16.5" customHeight="1">
      <c r="O46235" s="5" t="s">
        <v>355</v>
      </c>
      <c r="P46235" s="5" t="s">
        <v>355</v>
      </c>
      <c r="Q46235" s="5" t="s">
        <v>355</v>
      </c>
    </row>
    <row r="46236" ht="16.5" customHeight="1">
      <c r="O46236" s="5" t="s">
        <v>355</v>
      </c>
      <c r="P46236" s="5" t="s">
        <v>355</v>
      </c>
      <c r="Q46236" s="5" t="s">
        <v>355</v>
      </c>
    </row>
    <row r="46237" ht="16.5" customHeight="1">
      <c r="O46237" s="5" t="s">
        <v>355</v>
      </c>
      <c r="P46237" s="5" t="s">
        <v>355</v>
      </c>
      <c r="Q46237" s="5" t="s">
        <v>355</v>
      </c>
    </row>
    <row r="46238" ht="16.5" customHeight="1">
      <c r="O46238" s="5" t="s">
        <v>355</v>
      </c>
      <c r="P46238" s="5" t="s">
        <v>355</v>
      </c>
      <c r="Q46238" s="5" t="s">
        <v>355</v>
      </c>
    </row>
    <row r="46239" ht="16.5" customHeight="1">
      <c r="O46239" s="5" t="s">
        <v>355</v>
      </c>
      <c r="P46239" s="5" t="s">
        <v>355</v>
      </c>
      <c r="Q46239" s="5" t="s">
        <v>355</v>
      </c>
    </row>
    <row r="46240" ht="16.5" customHeight="1">
      <c r="O46240" s="5" t="s">
        <v>355</v>
      </c>
      <c r="P46240" s="5" t="s">
        <v>355</v>
      </c>
      <c r="Q46240" s="5" t="s">
        <v>355</v>
      </c>
    </row>
    <row r="46241" ht="16.5" customHeight="1">
      <c r="O46241" s="5" t="s">
        <v>355</v>
      </c>
      <c r="P46241" s="5" t="s">
        <v>355</v>
      </c>
      <c r="Q46241" s="5" t="s">
        <v>355</v>
      </c>
    </row>
    <row r="46242" ht="16.5" customHeight="1">
      <c r="O46242" s="5" t="s">
        <v>355</v>
      </c>
      <c r="P46242" s="5" t="s">
        <v>355</v>
      </c>
      <c r="Q46242" s="5" t="s">
        <v>355</v>
      </c>
    </row>
    <row r="46243" ht="16.5" customHeight="1">
      <c r="O46243" s="5" t="s">
        <v>355</v>
      </c>
      <c r="P46243" s="5" t="s">
        <v>355</v>
      </c>
      <c r="Q46243" s="5" t="s">
        <v>355</v>
      </c>
    </row>
    <row r="46244" ht="16.5" customHeight="1">
      <c r="O46244" s="5" t="s">
        <v>355</v>
      </c>
      <c r="P46244" s="5" t="s">
        <v>355</v>
      </c>
      <c r="Q46244" s="5" t="s">
        <v>355</v>
      </c>
    </row>
    <row r="46245" ht="16.5" customHeight="1">
      <c r="O46245" s="5" t="s">
        <v>355</v>
      </c>
      <c r="P46245" s="5" t="s">
        <v>355</v>
      </c>
      <c r="Q46245" s="5" t="s">
        <v>355</v>
      </c>
    </row>
    <row r="46246" ht="16.5" customHeight="1">
      <c r="O46246" s="5" t="s">
        <v>355</v>
      </c>
      <c r="P46246" s="5" t="s">
        <v>355</v>
      </c>
      <c r="Q46246" s="5" t="s">
        <v>355</v>
      </c>
    </row>
    <row r="46247" ht="16.5" customHeight="1">
      <c r="O46247" s="5" t="s">
        <v>355</v>
      </c>
      <c r="P46247" s="5" t="s">
        <v>355</v>
      </c>
      <c r="Q46247" s="5" t="s">
        <v>355</v>
      </c>
    </row>
    <row r="46248" ht="16.5" customHeight="1">
      <c r="O46248" s="5" t="s">
        <v>355</v>
      </c>
      <c r="P46248" s="5" t="s">
        <v>355</v>
      </c>
      <c r="Q46248" s="5" t="s">
        <v>355</v>
      </c>
    </row>
    <row r="46249" ht="16.5" customHeight="1">
      <c r="O46249" s="5" t="s">
        <v>355</v>
      </c>
      <c r="P46249" s="5" t="s">
        <v>355</v>
      </c>
      <c r="Q46249" s="5" t="s">
        <v>355</v>
      </c>
    </row>
    <row r="46250" ht="16.5" customHeight="1">
      <c r="O46250" s="5" t="s">
        <v>355</v>
      </c>
      <c r="P46250" s="5" t="s">
        <v>355</v>
      </c>
      <c r="Q46250" s="5" t="s">
        <v>355</v>
      </c>
    </row>
    <row r="46251" ht="16.5" customHeight="1">
      <c r="O46251" s="5" t="s">
        <v>355</v>
      </c>
      <c r="P46251" s="5" t="s">
        <v>355</v>
      </c>
      <c r="Q46251" s="5" t="s">
        <v>355</v>
      </c>
    </row>
    <row r="46252" ht="16.5" customHeight="1">
      <c r="O46252" s="5" t="s">
        <v>355</v>
      </c>
      <c r="P46252" s="5" t="s">
        <v>355</v>
      </c>
      <c r="Q46252" s="5" t="s">
        <v>355</v>
      </c>
    </row>
    <row r="46253" ht="16.5" customHeight="1">
      <c r="O46253" s="5" t="s">
        <v>355</v>
      </c>
      <c r="P46253" s="5" t="s">
        <v>355</v>
      </c>
      <c r="Q46253" s="5" t="s">
        <v>355</v>
      </c>
    </row>
    <row r="46254" ht="16.5" customHeight="1">
      <c r="O46254" s="5" t="s">
        <v>355</v>
      </c>
      <c r="P46254" s="5" t="s">
        <v>355</v>
      </c>
      <c r="Q46254" s="5" t="s">
        <v>355</v>
      </c>
    </row>
    <row r="46255" ht="16.5" customHeight="1">
      <c r="O46255" s="5" t="s">
        <v>355</v>
      </c>
      <c r="P46255" s="5" t="s">
        <v>355</v>
      </c>
      <c r="Q46255" s="5" t="s">
        <v>355</v>
      </c>
    </row>
    <row r="46256" ht="16.5" customHeight="1">
      <c r="O46256" s="5" t="s">
        <v>355</v>
      </c>
      <c r="P46256" s="5" t="s">
        <v>355</v>
      </c>
      <c r="Q46256" s="5" t="s">
        <v>355</v>
      </c>
    </row>
    <row r="46257" ht="16.5" customHeight="1">
      <c r="O46257" s="5" t="s">
        <v>355</v>
      </c>
      <c r="P46257" s="5" t="s">
        <v>355</v>
      </c>
      <c r="Q46257" s="5" t="s">
        <v>355</v>
      </c>
    </row>
    <row r="46258" ht="16.5" customHeight="1">
      <c r="O46258" s="5" t="s">
        <v>355</v>
      </c>
      <c r="P46258" s="5" t="s">
        <v>355</v>
      </c>
      <c r="Q46258" s="5" t="s">
        <v>355</v>
      </c>
    </row>
    <row r="46259" ht="16.5" customHeight="1">
      <c r="O46259" s="5" t="s">
        <v>355</v>
      </c>
      <c r="P46259" s="5" t="s">
        <v>355</v>
      </c>
      <c r="Q46259" s="5" t="s">
        <v>355</v>
      </c>
    </row>
    <row r="46260" ht="16.5" customHeight="1">
      <c r="O46260" s="5" t="s">
        <v>355</v>
      </c>
      <c r="P46260" s="5" t="s">
        <v>355</v>
      </c>
      <c r="Q46260" s="5" t="s">
        <v>355</v>
      </c>
    </row>
    <row r="46261" ht="16.5" customHeight="1">
      <c r="O46261" s="5" t="s">
        <v>355</v>
      </c>
      <c r="P46261" s="5" t="s">
        <v>355</v>
      </c>
      <c r="Q46261" s="5" t="s">
        <v>355</v>
      </c>
    </row>
    <row r="46262" ht="16.5" customHeight="1">
      <c r="O46262" s="5" t="s">
        <v>355</v>
      </c>
      <c r="P46262" s="5" t="s">
        <v>355</v>
      </c>
      <c r="Q46262" s="5" t="s">
        <v>355</v>
      </c>
    </row>
    <row r="46263" ht="16.5" customHeight="1">
      <c r="O46263" s="5" t="s">
        <v>355</v>
      </c>
      <c r="P46263" s="5" t="s">
        <v>355</v>
      </c>
      <c r="Q46263" s="5" t="s">
        <v>355</v>
      </c>
    </row>
    <row r="46264" ht="16.5" customHeight="1">
      <c r="O46264" s="5" t="s">
        <v>355</v>
      </c>
      <c r="P46264" s="5" t="s">
        <v>355</v>
      </c>
      <c r="Q46264" s="5" t="s">
        <v>355</v>
      </c>
    </row>
    <row r="46265" ht="16.5" customHeight="1">
      <c r="O46265" s="5" t="s">
        <v>355</v>
      </c>
      <c r="P46265" s="5" t="s">
        <v>355</v>
      </c>
      <c r="Q46265" s="5" t="s">
        <v>355</v>
      </c>
    </row>
    <row r="46266" ht="16.5" customHeight="1">
      <c r="O46266" s="5" t="s">
        <v>355</v>
      </c>
      <c r="P46266" s="5" t="s">
        <v>355</v>
      </c>
      <c r="Q46266" s="5" t="s">
        <v>355</v>
      </c>
    </row>
    <row r="46267" ht="16.5" customHeight="1">
      <c r="O46267" s="5" t="s">
        <v>355</v>
      </c>
      <c r="P46267" s="5" t="s">
        <v>355</v>
      </c>
      <c r="Q46267" s="5" t="s">
        <v>355</v>
      </c>
    </row>
    <row r="46268" ht="16.5" customHeight="1">
      <c r="O46268" s="5" t="s">
        <v>355</v>
      </c>
      <c r="P46268" s="5" t="s">
        <v>355</v>
      </c>
      <c r="Q46268" s="5" t="s">
        <v>355</v>
      </c>
    </row>
    <row r="46269" ht="16.5" customHeight="1">
      <c r="O46269" s="5" t="s">
        <v>355</v>
      </c>
      <c r="P46269" s="5" t="s">
        <v>355</v>
      </c>
      <c r="Q46269" s="5" t="s">
        <v>355</v>
      </c>
    </row>
    <row r="46270" ht="16.5" customHeight="1">
      <c r="O46270" s="5" t="s">
        <v>355</v>
      </c>
      <c r="P46270" s="5" t="s">
        <v>355</v>
      </c>
      <c r="Q46270" s="5" t="s">
        <v>355</v>
      </c>
    </row>
    <row r="46271" ht="16.5" customHeight="1">
      <c r="O46271" s="5" t="s">
        <v>355</v>
      </c>
      <c r="P46271" s="5" t="s">
        <v>355</v>
      </c>
      <c r="Q46271" s="5" t="s">
        <v>355</v>
      </c>
    </row>
    <row r="46272" ht="16.5" customHeight="1">
      <c r="O46272" s="5" t="s">
        <v>355</v>
      </c>
      <c r="P46272" s="5" t="s">
        <v>355</v>
      </c>
      <c r="Q46272" s="5" t="s">
        <v>355</v>
      </c>
    </row>
    <row r="46273" ht="16.5" customHeight="1">
      <c r="O46273" s="5" t="s">
        <v>355</v>
      </c>
      <c r="P46273" s="5" t="s">
        <v>355</v>
      </c>
      <c r="Q46273" s="5" t="s">
        <v>355</v>
      </c>
    </row>
    <row r="46274" ht="16.5" customHeight="1">
      <c r="O46274" s="5" t="s">
        <v>355</v>
      </c>
      <c r="P46274" s="5" t="s">
        <v>355</v>
      </c>
      <c r="Q46274" s="5" t="s">
        <v>355</v>
      </c>
    </row>
    <row r="46275" ht="16.5" customHeight="1">
      <c r="O46275" s="5" t="s">
        <v>355</v>
      </c>
      <c r="P46275" s="5" t="s">
        <v>355</v>
      </c>
      <c r="Q46275" s="5" t="s">
        <v>355</v>
      </c>
    </row>
    <row r="46276" ht="16.5" customHeight="1">
      <c r="O46276" s="5" t="s">
        <v>355</v>
      </c>
      <c r="P46276" s="5" t="s">
        <v>355</v>
      </c>
      <c r="Q46276" s="5" t="s">
        <v>355</v>
      </c>
    </row>
    <row r="46277" ht="16.5" customHeight="1">
      <c r="O46277" s="5" t="s">
        <v>355</v>
      </c>
      <c r="P46277" s="5" t="s">
        <v>355</v>
      </c>
      <c r="Q46277" s="5" t="s">
        <v>355</v>
      </c>
    </row>
    <row r="46278" ht="16.5" customHeight="1">
      <c r="O46278" s="5" t="s">
        <v>355</v>
      </c>
      <c r="P46278" s="5" t="s">
        <v>355</v>
      </c>
      <c r="Q46278" s="5" t="s">
        <v>355</v>
      </c>
    </row>
    <row r="46279" ht="16.5" customHeight="1">
      <c r="O46279" s="5" t="s">
        <v>355</v>
      </c>
      <c r="P46279" s="5" t="s">
        <v>355</v>
      </c>
      <c r="Q46279" s="5" t="s">
        <v>355</v>
      </c>
    </row>
    <row r="46280" ht="16.5" customHeight="1">
      <c r="O46280" s="5" t="s">
        <v>355</v>
      </c>
      <c r="P46280" s="5" t="s">
        <v>355</v>
      </c>
      <c r="Q46280" s="5" t="s">
        <v>355</v>
      </c>
    </row>
    <row r="46281" ht="16.5" customHeight="1">
      <c r="O46281" s="5" t="s">
        <v>355</v>
      </c>
      <c r="P46281" s="5" t="s">
        <v>355</v>
      </c>
      <c r="Q46281" s="5" t="s">
        <v>355</v>
      </c>
    </row>
    <row r="46282" ht="16.5" customHeight="1">
      <c r="O46282" s="5" t="s">
        <v>355</v>
      </c>
      <c r="P46282" s="5" t="s">
        <v>355</v>
      </c>
      <c r="Q46282" s="5" t="s">
        <v>355</v>
      </c>
    </row>
    <row r="46283" ht="16.5" customHeight="1">
      <c r="O46283" s="5" t="s">
        <v>355</v>
      </c>
      <c r="P46283" s="5" t="s">
        <v>355</v>
      </c>
      <c r="Q46283" s="5" t="s">
        <v>355</v>
      </c>
    </row>
    <row r="46284" ht="16.5" customHeight="1">
      <c r="O46284" s="5" t="s">
        <v>355</v>
      </c>
      <c r="P46284" s="5" t="s">
        <v>355</v>
      </c>
      <c r="Q46284" s="5" t="s">
        <v>355</v>
      </c>
    </row>
    <row r="46285" ht="16.5" customHeight="1">
      <c r="O46285" s="5" t="s">
        <v>355</v>
      </c>
      <c r="P46285" s="5" t="s">
        <v>355</v>
      </c>
      <c r="Q46285" s="5" t="s">
        <v>355</v>
      </c>
    </row>
    <row r="46286" ht="16.5" customHeight="1">
      <c r="O46286" s="5" t="s">
        <v>355</v>
      </c>
      <c r="P46286" s="5" t="s">
        <v>355</v>
      </c>
      <c r="Q46286" s="5" t="s">
        <v>355</v>
      </c>
    </row>
    <row r="46287" ht="16.5" customHeight="1">
      <c r="O46287" s="5" t="s">
        <v>355</v>
      </c>
      <c r="P46287" s="5" t="s">
        <v>355</v>
      </c>
      <c r="Q46287" s="5" t="s">
        <v>355</v>
      </c>
    </row>
    <row r="46288" ht="16.5" customHeight="1">
      <c r="O46288" s="5" t="s">
        <v>355</v>
      </c>
      <c r="P46288" s="5" t="s">
        <v>355</v>
      </c>
      <c r="Q46288" s="5" t="s">
        <v>355</v>
      </c>
    </row>
    <row r="46289" ht="16.5" customHeight="1">
      <c r="O46289" s="5" t="s">
        <v>355</v>
      </c>
      <c r="P46289" s="5" t="s">
        <v>355</v>
      </c>
      <c r="Q46289" s="5" t="s">
        <v>355</v>
      </c>
    </row>
    <row r="46290" ht="16.5" customHeight="1">
      <c r="O46290" s="5" t="s">
        <v>355</v>
      </c>
      <c r="P46290" s="5" t="s">
        <v>355</v>
      </c>
      <c r="Q46290" s="5" t="s">
        <v>355</v>
      </c>
    </row>
    <row r="46291" ht="16.5" customHeight="1">
      <c r="O46291" s="5" t="s">
        <v>355</v>
      </c>
      <c r="P46291" s="5" t="s">
        <v>355</v>
      </c>
      <c r="Q46291" s="5" t="s">
        <v>355</v>
      </c>
    </row>
    <row r="46292" ht="16.5" customHeight="1">
      <c r="O46292" s="5" t="s">
        <v>355</v>
      </c>
      <c r="P46292" s="5" t="s">
        <v>355</v>
      </c>
      <c r="Q46292" s="5" t="s">
        <v>355</v>
      </c>
    </row>
    <row r="46293" ht="16.5" customHeight="1">
      <c r="O46293" s="5" t="s">
        <v>355</v>
      </c>
      <c r="P46293" s="5" t="s">
        <v>355</v>
      </c>
      <c r="Q46293" s="5" t="s">
        <v>355</v>
      </c>
    </row>
    <row r="46294" ht="16.5" customHeight="1">
      <c r="O46294" s="5" t="s">
        <v>355</v>
      </c>
      <c r="P46294" s="5" t="s">
        <v>355</v>
      </c>
      <c r="Q46294" s="5" t="s">
        <v>355</v>
      </c>
    </row>
    <row r="46295" ht="16.5" customHeight="1">
      <c r="O46295" s="5" t="s">
        <v>355</v>
      </c>
      <c r="P46295" s="5" t="s">
        <v>355</v>
      </c>
      <c r="Q46295" s="5" t="s">
        <v>355</v>
      </c>
    </row>
    <row r="46296" ht="16.5" customHeight="1">
      <c r="O46296" s="5" t="s">
        <v>355</v>
      </c>
      <c r="P46296" s="5" t="s">
        <v>355</v>
      </c>
      <c r="Q46296" s="5" t="s">
        <v>355</v>
      </c>
    </row>
    <row r="46297" ht="16.5" customHeight="1">
      <c r="O46297" s="5" t="s">
        <v>355</v>
      </c>
      <c r="P46297" s="5" t="s">
        <v>355</v>
      </c>
      <c r="Q46297" s="5" t="s">
        <v>355</v>
      </c>
    </row>
    <row r="46298" ht="16.5" customHeight="1">
      <c r="O46298" s="5" t="s">
        <v>355</v>
      </c>
      <c r="P46298" s="5" t="s">
        <v>355</v>
      </c>
      <c r="Q46298" s="5" t="s">
        <v>355</v>
      </c>
    </row>
    <row r="46299" ht="16.5" customHeight="1">
      <c r="O46299" s="5" t="s">
        <v>355</v>
      </c>
      <c r="P46299" s="5" t="s">
        <v>355</v>
      </c>
      <c r="Q46299" s="5" t="s">
        <v>355</v>
      </c>
    </row>
    <row r="46300" ht="16.5" customHeight="1">
      <c r="O46300" s="5" t="s">
        <v>355</v>
      </c>
      <c r="P46300" s="5" t="s">
        <v>355</v>
      </c>
      <c r="Q46300" s="5" t="s">
        <v>355</v>
      </c>
    </row>
    <row r="46301" ht="16.5" customHeight="1">
      <c r="O46301" s="5" t="s">
        <v>355</v>
      </c>
      <c r="P46301" s="5" t="s">
        <v>355</v>
      </c>
      <c r="Q46301" s="5" t="s">
        <v>355</v>
      </c>
    </row>
    <row r="46302" ht="16.5" customHeight="1">
      <c r="O46302" s="5" t="s">
        <v>355</v>
      </c>
      <c r="P46302" s="5" t="s">
        <v>355</v>
      </c>
      <c r="Q46302" s="5" t="s">
        <v>355</v>
      </c>
    </row>
    <row r="46303" ht="16.5" customHeight="1">
      <c r="O46303" s="5" t="s">
        <v>355</v>
      </c>
      <c r="P46303" s="5" t="s">
        <v>355</v>
      </c>
      <c r="Q46303" s="5" t="s">
        <v>355</v>
      </c>
    </row>
    <row r="46304" ht="16.5" customHeight="1">
      <c r="O46304" s="5" t="s">
        <v>355</v>
      </c>
      <c r="P46304" s="5" t="s">
        <v>355</v>
      </c>
      <c r="Q46304" s="5" t="s">
        <v>355</v>
      </c>
    </row>
    <row r="46305" ht="16.5" customHeight="1">
      <c r="O46305" s="5" t="s">
        <v>355</v>
      </c>
      <c r="P46305" s="5" t="s">
        <v>355</v>
      </c>
      <c r="Q46305" s="5" t="s">
        <v>355</v>
      </c>
    </row>
    <row r="46306" ht="16.5" customHeight="1">
      <c r="O46306" s="5" t="s">
        <v>355</v>
      </c>
      <c r="P46306" s="5" t="s">
        <v>355</v>
      </c>
      <c r="Q46306" s="5" t="s">
        <v>355</v>
      </c>
    </row>
    <row r="46307" ht="16.5" customHeight="1">
      <c r="O46307" s="5" t="s">
        <v>355</v>
      </c>
      <c r="P46307" s="5" t="s">
        <v>355</v>
      </c>
      <c r="Q46307" s="5" t="s">
        <v>355</v>
      </c>
    </row>
    <row r="46308" ht="16.5" customHeight="1">
      <c r="O46308" s="5" t="s">
        <v>355</v>
      </c>
      <c r="P46308" s="5" t="s">
        <v>355</v>
      </c>
      <c r="Q46308" s="5" t="s">
        <v>355</v>
      </c>
    </row>
    <row r="46309" ht="16.5" customHeight="1">
      <c r="O46309" s="5" t="s">
        <v>355</v>
      </c>
      <c r="P46309" s="5" t="s">
        <v>355</v>
      </c>
      <c r="Q46309" s="5" t="s">
        <v>355</v>
      </c>
    </row>
    <row r="46310" ht="16.5" customHeight="1">
      <c r="O46310" s="5" t="s">
        <v>355</v>
      </c>
      <c r="P46310" s="5" t="s">
        <v>355</v>
      </c>
      <c r="Q46310" s="5" t="s">
        <v>355</v>
      </c>
    </row>
    <row r="46311" ht="16.5" customHeight="1">
      <c r="O46311" s="5" t="s">
        <v>355</v>
      </c>
      <c r="P46311" s="5" t="s">
        <v>355</v>
      </c>
      <c r="Q46311" s="5" t="s">
        <v>355</v>
      </c>
    </row>
    <row r="46312" ht="16.5" customHeight="1">
      <c r="O46312" s="5" t="s">
        <v>355</v>
      </c>
      <c r="P46312" s="5" t="s">
        <v>355</v>
      </c>
      <c r="Q46312" s="5" t="s">
        <v>355</v>
      </c>
    </row>
    <row r="46313" ht="16.5" customHeight="1">
      <c r="O46313" s="5" t="s">
        <v>355</v>
      </c>
      <c r="P46313" s="5" t="s">
        <v>355</v>
      </c>
      <c r="Q46313" s="5" t="s">
        <v>355</v>
      </c>
    </row>
    <row r="46314" ht="16.5" customHeight="1">
      <c r="O46314" s="5" t="s">
        <v>355</v>
      </c>
      <c r="P46314" s="5" t="s">
        <v>355</v>
      </c>
      <c r="Q46314" s="5" t="s">
        <v>355</v>
      </c>
    </row>
    <row r="46315" ht="16.5" customHeight="1">
      <c r="O46315" s="5" t="s">
        <v>355</v>
      </c>
      <c r="P46315" s="5" t="s">
        <v>355</v>
      </c>
      <c r="Q46315" s="5" t="s">
        <v>355</v>
      </c>
    </row>
    <row r="46316" ht="16.5" customHeight="1">
      <c r="O46316" s="5" t="s">
        <v>355</v>
      </c>
      <c r="P46316" s="5" t="s">
        <v>355</v>
      </c>
      <c r="Q46316" s="5" t="s">
        <v>355</v>
      </c>
    </row>
    <row r="46317" ht="16.5" customHeight="1">
      <c r="O46317" s="5" t="s">
        <v>355</v>
      </c>
      <c r="P46317" s="5" t="s">
        <v>355</v>
      </c>
      <c r="Q46317" s="5" t="s">
        <v>355</v>
      </c>
    </row>
    <row r="46318" ht="16.5" customHeight="1">
      <c r="O46318" s="5" t="s">
        <v>355</v>
      </c>
      <c r="P46318" s="5" t="s">
        <v>355</v>
      </c>
      <c r="Q46318" s="5" t="s">
        <v>355</v>
      </c>
    </row>
    <row r="46319" ht="16.5" customHeight="1">
      <c r="O46319" s="5" t="s">
        <v>355</v>
      </c>
      <c r="P46319" s="5" t="s">
        <v>355</v>
      </c>
      <c r="Q46319" s="5" t="s">
        <v>355</v>
      </c>
    </row>
    <row r="46320" ht="16.5" customHeight="1">
      <c r="O46320" s="5" t="s">
        <v>355</v>
      </c>
      <c r="P46320" s="5" t="s">
        <v>355</v>
      </c>
      <c r="Q46320" s="5" t="s">
        <v>355</v>
      </c>
    </row>
    <row r="46321" ht="16.5" customHeight="1">
      <c r="O46321" s="5" t="s">
        <v>355</v>
      </c>
      <c r="P46321" s="5" t="s">
        <v>355</v>
      </c>
      <c r="Q46321" s="5" t="s">
        <v>355</v>
      </c>
    </row>
    <row r="46322" ht="16.5" customHeight="1">
      <c r="O46322" s="5" t="s">
        <v>355</v>
      </c>
      <c r="P46322" s="5" t="s">
        <v>355</v>
      </c>
      <c r="Q46322" s="5" t="s">
        <v>355</v>
      </c>
    </row>
    <row r="46323" ht="16.5" customHeight="1">
      <c r="O46323" s="5" t="s">
        <v>355</v>
      </c>
      <c r="P46323" s="5" t="s">
        <v>355</v>
      </c>
      <c r="Q46323" s="5" t="s">
        <v>355</v>
      </c>
    </row>
    <row r="46324" ht="16.5" customHeight="1">
      <c r="O46324" s="5" t="s">
        <v>355</v>
      </c>
      <c r="P46324" s="5" t="s">
        <v>355</v>
      </c>
      <c r="Q46324" s="5" t="s">
        <v>355</v>
      </c>
    </row>
    <row r="46325" ht="16.5" customHeight="1">
      <c r="O46325" s="5" t="s">
        <v>355</v>
      </c>
      <c r="P46325" s="5" t="s">
        <v>355</v>
      </c>
      <c r="Q46325" s="5" t="s">
        <v>355</v>
      </c>
    </row>
    <row r="46326" ht="16.5" customHeight="1">
      <c r="O46326" s="5" t="s">
        <v>355</v>
      </c>
      <c r="P46326" s="5" t="s">
        <v>355</v>
      </c>
      <c r="Q46326" s="5" t="s">
        <v>355</v>
      </c>
    </row>
    <row r="46327" ht="16.5" customHeight="1">
      <c r="O46327" s="5" t="s">
        <v>355</v>
      </c>
      <c r="P46327" s="5" t="s">
        <v>355</v>
      </c>
      <c r="Q46327" s="5" t="s">
        <v>355</v>
      </c>
    </row>
    <row r="46328" ht="16.5" customHeight="1">
      <c r="O46328" s="5" t="s">
        <v>355</v>
      </c>
      <c r="P46328" s="5" t="s">
        <v>355</v>
      </c>
      <c r="Q46328" s="5" t="s">
        <v>355</v>
      </c>
    </row>
    <row r="46329" ht="16.5" customHeight="1">
      <c r="O46329" s="5" t="s">
        <v>355</v>
      </c>
      <c r="P46329" s="5" t="s">
        <v>355</v>
      </c>
      <c r="Q46329" s="5" t="s">
        <v>355</v>
      </c>
    </row>
    <row r="46330" ht="16.5" customHeight="1">
      <c r="O46330" s="5" t="s">
        <v>355</v>
      </c>
      <c r="P46330" s="5" t="s">
        <v>355</v>
      </c>
      <c r="Q46330" s="5" t="s">
        <v>355</v>
      </c>
    </row>
    <row r="46331" ht="16.5" customHeight="1">
      <c r="O46331" s="5" t="s">
        <v>355</v>
      </c>
      <c r="P46331" s="5" t="s">
        <v>355</v>
      </c>
      <c r="Q46331" s="5" t="s">
        <v>355</v>
      </c>
    </row>
    <row r="46332" ht="16.5" customHeight="1">
      <c r="O46332" s="5" t="s">
        <v>355</v>
      </c>
      <c r="P46332" s="5" t="s">
        <v>355</v>
      </c>
      <c r="Q46332" s="5" t="s">
        <v>355</v>
      </c>
    </row>
    <row r="46333" ht="16.5" customHeight="1">
      <c r="O46333" s="5" t="s">
        <v>355</v>
      </c>
      <c r="P46333" s="5" t="s">
        <v>355</v>
      </c>
      <c r="Q46333" s="5" t="s">
        <v>355</v>
      </c>
    </row>
    <row r="46334" ht="16.5" customHeight="1">
      <c r="O46334" s="5" t="s">
        <v>355</v>
      </c>
      <c r="P46334" s="5" t="s">
        <v>355</v>
      </c>
      <c r="Q46334" s="5" t="s">
        <v>355</v>
      </c>
    </row>
    <row r="46335" ht="16.5" customHeight="1">
      <c r="O46335" s="5" t="s">
        <v>355</v>
      </c>
      <c r="P46335" s="5" t="s">
        <v>355</v>
      </c>
      <c r="Q46335" s="5" t="s">
        <v>355</v>
      </c>
    </row>
    <row r="46336" ht="16.5" customHeight="1">
      <c r="O46336" s="5" t="s">
        <v>355</v>
      </c>
      <c r="P46336" s="5" t="s">
        <v>355</v>
      </c>
      <c r="Q46336" s="5" t="s">
        <v>355</v>
      </c>
    </row>
    <row r="46337" ht="16.5" customHeight="1">
      <c r="O46337" s="5" t="s">
        <v>355</v>
      </c>
      <c r="P46337" s="5" t="s">
        <v>355</v>
      </c>
      <c r="Q46337" s="5" t="s">
        <v>355</v>
      </c>
    </row>
    <row r="46338" ht="16.5" customHeight="1">
      <c r="O46338" s="5" t="s">
        <v>355</v>
      </c>
      <c r="P46338" s="5" t="s">
        <v>355</v>
      </c>
      <c r="Q46338" s="5" t="s">
        <v>355</v>
      </c>
    </row>
    <row r="46339" ht="16.5" customHeight="1">
      <c r="O46339" s="5" t="s">
        <v>355</v>
      </c>
      <c r="P46339" s="5" t="s">
        <v>355</v>
      </c>
      <c r="Q46339" s="5" t="s">
        <v>355</v>
      </c>
    </row>
    <row r="46340" ht="16.5" customHeight="1">
      <c r="O46340" s="5" t="s">
        <v>355</v>
      </c>
      <c r="P46340" s="5" t="s">
        <v>355</v>
      </c>
      <c r="Q46340" s="5" t="s">
        <v>355</v>
      </c>
    </row>
    <row r="46341" ht="16.5" customHeight="1">
      <c r="O46341" s="5" t="s">
        <v>355</v>
      </c>
      <c r="P46341" s="5" t="s">
        <v>355</v>
      </c>
      <c r="Q46341" s="5" t="s">
        <v>355</v>
      </c>
    </row>
    <row r="46342" ht="16.5" customHeight="1">
      <c r="O46342" s="5" t="s">
        <v>355</v>
      </c>
      <c r="P46342" s="5" t="s">
        <v>355</v>
      </c>
      <c r="Q46342" s="5" t="s">
        <v>355</v>
      </c>
    </row>
    <row r="46343" ht="16.5" customHeight="1">
      <c r="O46343" s="5" t="s">
        <v>355</v>
      </c>
      <c r="P46343" s="5" t="s">
        <v>355</v>
      </c>
      <c r="Q46343" s="5" t="s">
        <v>355</v>
      </c>
    </row>
    <row r="46344" ht="16.5" customHeight="1">
      <c r="O46344" s="5" t="s">
        <v>355</v>
      </c>
      <c r="P46344" s="5" t="s">
        <v>355</v>
      </c>
      <c r="Q46344" s="5" t="s">
        <v>355</v>
      </c>
    </row>
    <row r="46345" ht="16.5" customHeight="1">
      <c r="O46345" s="5" t="s">
        <v>355</v>
      </c>
      <c r="P46345" s="5" t="s">
        <v>355</v>
      </c>
      <c r="Q46345" s="5" t="s">
        <v>355</v>
      </c>
    </row>
    <row r="46346" ht="16.5" customHeight="1">
      <c r="O46346" s="5" t="s">
        <v>355</v>
      </c>
      <c r="P46346" s="5" t="s">
        <v>355</v>
      </c>
      <c r="Q46346" s="5" t="s">
        <v>355</v>
      </c>
    </row>
    <row r="46347" ht="16.5" customHeight="1">
      <c r="O46347" s="5" t="s">
        <v>355</v>
      </c>
      <c r="P46347" s="5" t="s">
        <v>355</v>
      </c>
      <c r="Q46347" s="5" t="s">
        <v>355</v>
      </c>
    </row>
    <row r="46348" ht="16.5" customHeight="1">
      <c r="O46348" s="5" t="s">
        <v>355</v>
      </c>
      <c r="P46348" s="5" t="s">
        <v>355</v>
      </c>
      <c r="Q46348" s="5" t="s">
        <v>355</v>
      </c>
    </row>
    <row r="46349" ht="16.5" customHeight="1">
      <c r="O46349" s="5" t="s">
        <v>355</v>
      </c>
      <c r="P46349" s="5" t="s">
        <v>355</v>
      </c>
      <c r="Q46349" s="5" t="s">
        <v>355</v>
      </c>
    </row>
    <row r="46350" ht="16.5" customHeight="1">
      <c r="O46350" s="5" t="s">
        <v>355</v>
      </c>
      <c r="P46350" s="5" t="s">
        <v>355</v>
      </c>
      <c r="Q46350" s="5" t="s">
        <v>355</v>
      </c>
    </row>
    <row r="46351" ht="16.5" customHeight="1">
      <c r="O46351" s="5" t="s">
        <v>355</v>
      </c>
      <c r="P46351" s="5" t="s">
        <v>355</v>
      </c>
      <c r="Q46351" s="5" t="s">
        <v>355</v>
      </c>
    </row>
    <row r="46352" ht="16.5" customHeight="1">
      <c r="O46352" s="5" t="s">
        <v>355</v>
      </c>
      <c r="P46352" s="5" t="s">
        <v>355</v>
      </c>
      <c r="Q46352" s="5" t="s">
        <v>355</v>
      </c>
    </row>
    <row r="46353" ht="16.5" customHeight="1">
      <c r="O46353" s="5" t="s">
        <v>355</v>
      </c>
      <c r="P46353" s="5" t="s">
        <v>355</v>
      </c>
      <c r="Q46353" s="5" t="s">
        <v>355</v>
      </c>
    </row>
    <row r="46354" ht="16.5" customHeight="1">
      <c r="O46354" s="5" t="s">
        <v>355</v>
      </c>
      <c r="P46354" s="5" t="s">
        <v>355</v>
      </c>
      <c r="Q46354" s="5" t="s">
        <v>355</v>
      </c>
    </row>
    <row r="46355" ht="16.5" customHeight="1">
      <c r="O46355" s="5" t="s">
        <v>355</v>
      </c>
      <c r="P46355" s="5" t="s">
        <v>355</v>
      </c>
      <c r="Q46355" s="5" t="s">
        <v>355</v>
      </c>
    </row>
    <row r="46356" ht="16.5" customHeight="1">
      <c r="O46356" s="5" t="s">
        <v>355</v>
      </c>
      <c r="P46356" s="5" t="s">
        <v>355</v>
      </c>
      <c r="Q46356" s="5" t="s">
        <v>355</v>
      </c>
    </row>
    <row r="46357" ht="16.5" customHeight="1">
      <c r="O46357" s="5" t="s">
        <v>355</v>
      </c>
      <c r="P46357" s="5" t="s">
        <v>355</v>
      </c>
      <c r="Q46357" s="5" t="s">
        <v>355</v>
      </c>
    </row>
    <row r="46358" ht="16.5" customHeight="1">
      <c r="O46358" s="5" t="s">
        <v>355</v>
      </c>
      <c r="P46358" s="5" t="s">
        <v>355</v>
      </c>
      <c r="Q46358" s="5" t="s">
        <v>355</v>
      </c>
    </row>
    <row r="46359" ht="16.5" customHeight="1">
      <c r="O46359" s="5" t="s">
        <v>355</v>
      </c>
      <c r="P46359" s="5" t="s">
        <v>355</v>
      </c>
      <c r="Q46359" s="5" t="s">
        <v>355</v>
      </c>
    </row>
    <row r="46360" ht="16.5" customHeight="1">
      <c r="O46360" s="5" t="s">
        <v>355</v>
      </c>
      <c r="P46360" s="5" t="s">
        <v>355</v>
      </c>
      <c r="Q46360" s="5" t="s">
        <v>355</v>
      </c>
    </row>
    <row r="46361" ht="16.5" customHeight="1">
      <c r="O46361" s="5" t="s">
        <v>355</v>
      </c>
      <c r="P46361" s="5" t="s">
        <v>355</v>
      </c>
      <c r="Q46361" s="5" t="s">
        <v>355</v>
      </c>
    </row>
    <row r="46362" ht="16.5" customHeight="1">
      <c r="O46362" s="5" t="s">
        <v>355</v>
      </c>
      <c r="P46362" s="5" t="s">
        <v>355</v>
      </c>
      <c r="Q46362" s="5" t="s">
        <v>355</v>
      </c>
    </row>
    <row r="46363" ht="16.5" customHeight="1">
      <c r="O46363" s="5" t="s">
        <v>355</v>
      </c>
      <c r="P46363" s="5" t="s">
        <v>355</v>
      </c>
      <c r="Q46363" s="5" t="s">
        <v>355</v>
      </c>
    </row>
    <row r="46364" ht="16.5" customHeight="1">
      <c r="O46364" s="5" t="s">
        <v>355</v>
      </c>
      <c r="P46364" s="5" t="s">
        <v>355</v>
      </c>
      <c r="Q46364" s="5" t="s">
        <v>355</v>
      </c>
    </row>
    <row r="46365" ht="16.5" customHeight="1">
      <c r="O46365" s="5" t="s">
        <v>355</v>
      </c>
      <c r="P46365" s="5" t="s">
        <v>355</v>
      </c>
      <c r="Q46365" s="5" t="s">
        <v>355</v>
      </c>
    </row>
    <row r="46366" ht="16.5" customHeight="1">
      <c r="O46366" s="5" t="s">
        <v>355</v>
      </c>
      <c r="P46366" s="5" t="s">
        <v>355</v>
      </c>
      <c r="Q46366" s="5" t="s">
        <v>355</v>
      </c>
    </row>
    <row r="46367" ht="16.5" customHeight="1">
      <c r="O46367" s="5" t="s">
        <v>355</v>
      </c>
      <c r="P46367" s="5" t="s">
        <v>355</v>
      </c>
      <c r="Q46367" s="5" t="s">
        <v>355</v>
      </c>
    </row>
    <row r="46368" ht="16.5" customHeight="1">
      <c r="O46368" s="5" t="s">
        <v>355</v>
      </c>
      <c r="P46368" s="5" t="s">
        <v>355</v>
      </c>
      <c r="Q46368" s="5" t="s">
        <v>355</v>
      </c>
    </row>
    <row r="46369" ht="16.5" customHeight="1">
      <c r="O46369" s="5" t="s">
        <v>355</v>
      </c>
      <c r="P46369" s="5" t="s">
        <v>355</v>
      </c>
      <c r="Q46369" s="5" t="s">
        <v>355</v>
      </c>
    </row>
    <row r="46370" ht="16.5" customHeight="1">
      <c r="O46370" s="5" t="s">
        <v>355</v>
      </c>
      <c r="P46370" s="5" t="s">
        <v>355</v>
      </c>
      <c r="Q46370" s="5" t="s">
        <v>355</v>
      </c>
    </row>
    <row r="46371" ht="16.5" customHeight="1">
      <c r="O46371" s="5" t="s">
        <v>355</v>
      </c>
      <c r="P46371" s="5" t="s">
        <v>355</v>
      </c>
      <c r="Q46371" s="5" t="s">
        <v>355</v>
      </c>
    </row>
    <row r="46372" ht="16.5" customHeight="1">
      <c r="O46372" s="5" t="s">
        <v>355</v>
      </c>
      <c r="P46372" s="5" t="s">
        <v>355</v>
      </c>
      <c r="Q46372" s="5" t="s">
        <v>355</v>
      </c>
    </row>
    <row r="46373" ht="16.5" customHeight="1">
      <c r="O46373" s="5" t="s">
        <v>355</v>
      </c>
      <c r="P46373" s="5" t="s">
        <v>355</v>
      </c>
      <c r="Q46373" s="5" t="s">
        <v>355</v>
      </c>
    </row>
    <row r="46374" ht="16.5" customHeight="1">
      <c r="O46374" s="5" t="s">
        <v>355</v>
      </c>
      <c r="P46374" s="5" t="s">
        <v>355</v>
      </c>
      <c r="Q46374" s="5" t="s">
        <v>355</v>
      </c>
    </row>
    <row r="46375" ht="16.5" customHeight="1">
      <c r="O46375" s="5" t="s">
        <v>355</v>
      </c>
      <c r="P46375" s="5" t="s">
        <v>355</v>
      </c>
      <c r="Q46375" s="5" t="s">
        <v>355</v>
      </c>
    </row>
    <row r="46376" ht="16.5" customHeight="1">
      <c r="O46376" s="5" t="s">
        <v>355</v>
      </c>
      <c r="P46376" s="5" t="s">
        <v>355</v>
      </c>
      <c r="Q46376" s="5" t="s">
        <v>355</v>
      </c>
    </row>
    <row r="46377" ht="16.5" customHeight="1">
      <c r="O46377" s="5" t="s">
        <v>355</v>
      </c>
      <c r="P46377" s="5" t="s">
        <v>355</v>
      </c>
      <c r="Q46377" s="5" t="s">
        <v>355</v>
      </c>
    </row>
    <row r="46378" ht="16.5" customHeight="1">
      <c r="O46378" s="5" t="s">
        <v>355</v>
      </c>
      <c r="P46378" s="5" t="s">
        <v>355</v>
      </c>
      <c r="Q46378" s="5" t="s">
        <v>355</v>
      </c>
    </row>
    <row r="46379" ht="16.5" customHeight="1">
      <c r="O46379" s="5" t="s">
        <v>355</v>
      </c>
      <c r="P46379" s="5" t="s">
        <v>355</v>
      </c>
      <c r="Q46379" s="5" t="s">
        <v>355</v>
      </c>
    </row>
    <row r="46380" ht="16.5" customHeight="1">
      <c r="O46380" s="5" t="s">
        <v>355</v>
      </c>
      <c r="P46380" s="5" t="s">
        <v>355</v>
      </c>
      <c r="Q46380" s="5" t="s">
        <v>355</v>
      </c>
    </row>
    <row r="46381" ht="16.5" customHeight="1">
      <c r="O46381" s="5" t="s">
        <v>355</v>
      </c>
      <c r="P46381" s="5" t="s">
        <v>355</v>
      </c>
      <c r="Q46381" s="5" t="s">
        <v>355</v>
      </c>
    </row>
    <row r="46382" ht="16.5" customHeight="1">
      <c r="O46382" s="5" t="s">
        <v>355</v>
      </c>
      <c r="P46382" s="5" t="s">
        <v>355</v>
      </c>
      <c r="Q46382" s="5" t="s">
        <v>355</v>
      </c>
    </row>
    <row r="46383" ht="16.5" customHeight="1">
      <c r="O46383" s="5" t="s">
        <v>355</v>
      </c>
      <c r="P46383" s="5" t="s">
        <v>355</v>
      </c>
      <c r="Q46383" s="5" t="s">
        <v>355</v>
      </c>
    </row>
    <row r="46384" ht="16.5" customHeight="1">
      <c r="O46384" s="5" t="s">
        <v>355</v>
      </c>
      <c r="P46384" s="5" t="s">
        <v>355</v>
      </c>
      <c r="Q46384" s="5" t="s">
        <v>355</v>
      </c>
    </row>
    <row r="46385" ht="16.5" customHeight="1">
      <c r="O46385" s="5" t="s">
        <v>355</v>
      </c>
      <c r="P46385" s="5" t="s">
        <v>355</v>
      </c>
      <c r="Q46385" s="5" t="s">
        <v>355</v>
      </c>
    </row>
    <row r="46386" ht="16.5" customHeight="1">
      <c r="O46386" s="5" t="s">
        <v>355</v>
      </c>
      <c r="P46386" s="5" t="s">
        <v>355</v>
      </c>
      <c r="Q46386" s="5" t="s">
        <v>355</v>
      </c>
    </row>
    <row r="46387" ht="16.5" customHeight="1">
      <c r="O46387" s="5" t="s">
        <v>355</v>
      </c>
      <c r="P46387" s="5" t="s">
        <v>355</v>
      </c>
      <c r="Q46387" s="5" t="s">
        <v>355</v>
      </c>
    </row>
    <row r="46388" ht="16.5" customHeight="1">
      <c r="O46388" s="5" t="s">
        <v>355</v>
      </c>
      <c r="P46388" s="5" t="s">
        <v>355</v>
      </c>
      <c r="Q46388" s="5" t="s">
        <v>355</v>
      </c>
    </row>
    <row r="46389" ht="16.5" customHeight="1">
      <c r="O46389" s="5" t="s">
        <v>355</v>
      </c>
      <c r="P46389" s="5" t="s">
        <v>355</v>
      </c>
      <c r="Q46389" s="5" t="s">
        <v>355</v>
      </c>
    </row>
    <row r="46390" ht="16.5" customHeight="1">
      <c r="O46390" s="5" t="s">
        <v>355</v>
      </c>
      <c r="P46390" s="5" t="s">
        <v>355</v>
      </c>
      <c r="Q46390" s="5" t="s">
        <v>355</v>
      </c>
    </row>
    <row r="46391" ht="16.5" customHeight="1">
      <c r="O46391" s="5" t="s">
        <v>355</v>
      </c>
      <c r="P46391" s="5" t="s">
        <v>355</v>
      </c>
      <c r="Q46391" s="5" t="s">
        <v>355</v>
      </c>
    </row>
    <row r="46392" ht="16.5" customHeight="1">
      <c r="O46392" s="5" t="s">
        <v>355</v>
      </c>
      <c r="P46392" s="5" t="s">
        <v>355</v>
      </c>
      <c r="Q46392" s="5" t="s">
        <v>355</v>
      </c>
    </row>
    <row r="46393" ht="16.5" customHeight="1">
      <c r="O46393" s="5" t="s">
        <v>355</v>
      </c>
      <c r="P46393" s="5" t="s">
        <v>355</v>
      </c>
      <c r="Q46393" s="5" t="s">
        <v>355</v>
      </c>
    </row>
    <row r="46394" ht="16.5" customHeight="1">
      <c r="O46394" s="5" t="s">
        <v>355</v>
      </c>
      <c r="P46394" s="5" t="s">
        <v>355</v>
      </c>
      <c r="Q46394" s="5" t="s">
        <v>355</v>
      </c>
    </row>
    <row r="46395" ht="16.5" customHeight="1">
      <c r="O46395" s="5" t="s">
        <v>355</v>
      </c>
      <c r="P46395" s="5" t="s">
        <v>355</v>
      </c>
      <c r="Q46395" s="5" t="s">
        <v>355</v>
      </c>
    </row>
    <row r="46396" ht="16.5" customHeight="1">
      <c r="O46396" s="5" t="s">
        <v>355</v>
      </c>
      <c r="P46396" s="5" t="s">
        <v>355</v>
      </c>
      <c r="Q46396" s="5" t="s">
        <v>355</v>
      </c>
    </row>
    <row r="46397" ht="16.5" customHeight="1">
      <c r="O46397" s="5" t="s">
        <v>355</v>
      </c>
      <c r="P46397" s="5" t="s">
        <v>355</v>
      </c>
      <c r="Q46397" s="5" t="s">
        <v>355</v>
      </c>
    </row>
    <row r="46398" ht="16.5" customHeight="1">
      <c r="O46398" s="5" t="s">
        <v>355</v>
      </c>
      <c r="P46398" s="5" t="s">
        <v>355</v>
      </c>
      <c r="Q46398" s="5" t="s">
        <v>355</v>
      </c>
    </row>
    <row r="46399" ht="16.5" customHeight="1">
      <c r="O46399" s="5" t="s">
        <v>355</v>
      </c>
      <c r="P46399" s="5" t="s">
        <v>355</v>
      </c>
      <c r="Q46399" s="5" t="s">
        <v>355</v>
      </c>
    </row>
    <row r="46400" ht="16.5" customHeight="1">
      <c r="O46400" s="5" t="s">
        <v>355</v>
      </c>
      <c r="P46400" s="5" t="s">
        <v>355</v>
      </c>
      <c r="Q46400" s="5" t="s">
        <v>355</v>
      </c>
    </row>
    <row r="46401" ht="16.5" customHeight="1">
      <c r="O46401" s="5" t="s">
        <v>355</v>
      </c>
      <c r="P46401" s="5" t="s">
        <v>355</v>
      </c>
      <c r="Q46401" s="5" t="s">
        <v>355</v>
      </c>
    </row>
    <row r="46402" ht="16.5" customHeight="1">
      <c r="O46402" s="5" t="s">
        <v>355</v>
      </c>
      <c r="P46402" s="5" t="s">
        <v>355</v>
      </c>
      <c r="Q46402" s="5" t="s">
        <v>355</v>
      </c>
    </row>
    <row r="46403" ht="16.5" customHeight="1">
      <c r="O46403" s="5" t="s">
        <v>355</v>
      </c>
      <c r="P46403" s="5" t="s">
        <v>355</v>
      </c>
      <c r="Q46403" s="5" t="s">
        <v>355</v>
      </c>
    </row>
    <row r="46404" ht="16.5" customHeight="1">
      <c r="O46404" s="5" t="s">
        <v>355</v>
      </c>
      <c r="P46404" s="5" t="s">
        <v>355</v>
      </c>
      <c r="Q46404" s="5" t="s">
        <v>355</v>
      </c>
    </row>
    <row r="46405" ht="16.5" customHeight="1">
      <c r="O46405" s="5" t="s">
        <v>355</v>
      </c>
      <c r="P46405" s="5" t="s">
        <v>355</v>
      </c>
      <c r="Q46405" s="5" t="s">
        <v>355</v>
      </c>
    </row>
    <row r="46406" ht="16.5" customHeight="1">
      <c r="O46406" s="5" t="s">
        <v>355</v>
      </c>
      <c r="P46406" s="5" t="s">
        <v>355</v>
      </c>
      <c r="Q46406" s="5" t="s">
        <v>355</v>
      </c>
    </row>
    <row r="46407" ht="16.5" customHeight="1">
      <c r="O46407" s="5" t="s">
        <v>355</v>
      </c>
      <c r="P46407" s="5" t="s">
        <v>355</v>
      </c>
      <c r="Q46407" s="5" t="s">
        <v>355</v>
      </c>
    </row>
    <row r="46408" ht="16.5" customHeight="1">
      <c r="O46408" s="5" t="s">
        <v>355</v>
      </c>
      <c r="P46408" s="5" t="s">
        <v>355</v>
      </c>
      <c r="Q46408" s="5" t="s">
        <v>355</v>
      </c>
    </row>
    <row r="46409" ht="16.5" customHeight="1">
      <c r="O46409" s="5" t="s">
        <v>355</v>
      </c>
      <c r="P46409" s="5" t="s">
        <v>355</v>
      </c>
      <c r="Q46409" s="5" t="s">
        <v>355</v>
      </c>
    </row>
    <row r="46410" ht="16.5" customHeight="1">
      <c r="O46410" s="5" t="s">
        <v>355</v>
      </c>
      <c r="P46410" s="5" t="s">
        <v>355</v>
      </c>
      <c r="Q46410" s="5" t="s">
        <v>355</v>
      </c>
    </row>
    <row r="46411" ht="16.5" customHeight="1">
      <c r="O46411" s="5" t="s">
        <v>355</v>
      </c>
      <c r="P46411" s="5" t="s">
        <v>355</v>
      </c>
      <c r="Q46411" s="5" t="s">
        <v>355</v>
      </c>
    </row>
    <row r="46412" ht="16.5" customHeight="1">
      <c r="O46412" s="5" t="s">
        <v>355</v>
      </c>
      <c r="P46412" s="5" t="s">
        <v>355</v>
      </c>
      <c r="Q46412" s="5" t="s">
        <v>355</v>
      </c>
    </row>
    <row r="46413" ht="16.5" customHeight="1">
      <c r="O46413" s="5" t="s">
        <v>355</v>
      </c>
      <c r="P46413" s="5" t="s">
        <v>355</v>
      </c>
      <c r="Q46413" s="5" t="s">
        <v>355</v>
      </c>
    </row>
    <row r="46414" ht="16.5" customHeight="1">
      <c r="O46414" s="5" t="s">
        <v>355</v>
      </c>
      <c r="P46414" s="5" t="s">
        <v>355</v>
      </c>
      <c r="Q46414" s="5" t="s">
        <v>355</v>
      </c>
    </row>
    <row r="46415" ht="16.5" customHeight="1">
      <c r="O46415" s="5" t="s">
        <v>355</v>
      </c>
      <c r="P46415" s="5" t="s">
        <v>355</v>
      </c>
      <c r="Q46415" s="5" t="s">
        <v>355</v>
      </c>
    </row>
    <row r="46416" ht="16.5" customHeight="1">
      <c r="O46416" s="5" t="s">
        <v>355</v>
      </c>
      <c r="P46416" s="5" t="s">
        <v>355</v>
      </c>
      <c r="Q46416" s="5" t="s">
        <v>355</v>
      </c>
    </row>
    <row r="46417" ht="16.5" customHeight="1">
      <c r="O46417" s="5" t="s">
        <v>355</v>
      </c>
      <c r="P46417" s="5" t="s">
        <v>355</v>
      </c>
      <c r="Q46417" s="5" t="s">
        <v>355</v>
      </c>
    </row>
    <row r="46418" ht="16.5" customHeight="1">
      <c r="O46418" s="5" t="s">
        <v>355</v>
      </c>
      <c r="P46418" s="5" t="s">
        <v>355</v>
      </c>
      <c r="Q46418" s="5" t="s">
        <v>355</v>
      </c>
    </row>
    <row r="46419" ht="16.5" customHeight="1">
      <c r="O46419" s="5" t="s">
        <v>355</v>
      </c>
      <c r="P46419" s="5" t="s">
        <v>355</v>
      </c>
      <c r="Q46419" s="5" t="s">
        <v>355</v>
      </c>
    </row>
    <row r="46420" ht="16.5" customHeight="1">
      <c r="O46420" s="5" t="s">
        <v>355</v>
      </c>
      <c r="P46420" s="5" t="s">
        <v>355</v>
      </c>
      <c r="Q46420" s="5" t="s">
        <v>355</v>
      </c>
    </row>
    <row r="46421" ht="16.5" customHeight="1">
      <c r="O46421" s="5" t="s">
        <v>355</v>
      </c>
      <c r="P46421" s="5" t="s">
        <v>355</v>
      </c>
      <c r="Q46421" s="5" t="s">
        <v>355</v>
      </c>
    </row>
    <row r="46422" ht="16.5" customHeight="1">
      <c r="O46422" s="5" t="s">
        <v>355</v>
      </c>
      <c r="P46422" s="5" t="s">
        <v>355</v>
      </c>
      <c r="Q46422" s="5" t="s">
        <v>355</v>
      </c>
    </row>
    <row r="46423" ht="16.5" customHeight="1">
      <c r="O46423" s="5" t="s">
        <v>355</v>
      </c>
      <c r="P46423" s="5" t="s">
        <v>355</v>
      </c>
      <c r="Q46423" s="5" t="s">
        <v>355</v>
      </c>
    </row>
    <row r="46424" ht="16.5" customHeight="1">
      <c r="O46424" s="5" t="s">
        <v>355</v>
      </c>
      <c r="P46424" s="5" t="s">
        <v>355</v>
      </c>
      <c r="Q46424" s="5" t="s">
        <v>355</v>
      </c>
    </row>
    <row r="46425" ht="16.5" customHeight="1">
      <c r="O46425" s="5" t="s">
        <v>355</v>
      </c>
      <c r="P46425" s="5" t="s">
        <v>355</v>
      </c>
      <c r="Q46425" s="5" t="s">
        <v>355</v>
      </c>
    </row>
    <row r="46426" ht="16.5" customHeight="1">
      <c r="O46426" s="5" t="s">
        <v>355</v>
      </c>
      <c r="P46426" s="5" t="s">
        <v>355</v>
      </c>
      <c r="Q46426" s="5" t="s">
        <v>355</v>
      </c>
    </row>
    <row r="46427" ht="16.5" customHeight="1">
      <c r="O46427" s="5" t="s">
        <v>355</v>
      </c>
      <c r="P46427" s="5" t="s">
        <v>355</v>
      </c>
      <c r="Q46427" s="5" t="s">
        <v>355</v>
      </c>
    </row>
    <row r="46428" ht="16.5" customHeight="1">
      <c r="O46428" s="5" t="s">
        <v>355</v>
      </c>
      <c r="P46428" s="5" t="s">
        <v>355</v>
      </c>
      <c r="Q46428" s="5" t="s">
        <v>355</v>
      </c>
    </row>
    <row r="46429" ht="16.5" customHeight="1">
      <c r="O46429" s="5" t="s">
        <v>355</v>
      </c>
      <c r="P46429" s="5" t="s">
        <v>355</v>
      </c>
      <c r="Q46429" s="5" t="s">
        <v>355</v>
      </c>
    </row>
    <row r="46430" ht="16.5" customHeight="1">
      <c r="O46430" s="5" t="s">
        <v>355</v>
      </c>
      <c r="P46430" s="5" t="s">
        <v>355</v>
      </c>
      <c r="Q46430" s="5" t="s">
        <v>355</v>
      </c>
    </row>
    <row r="46431" ht="16.5" customHeight="1">
      <c r="O46431" s="5" t="s">
        <v>355</v>
      </c>
      <c r="P46431" s="5" t="s">
        <v>355</v>
      </c>
      <c r="Q46431" s="5" t="s">
        <v>355</v>
      </c>
    </row>
    <row r="46432" ht="16.5" customHeight="1">
      <c r="O46432" s="5" t="s">
        <v>355</v>
      </c>
      <c r="P46432" s="5" t="s">
        <v>355</v>
      </c>
      <c r="Q46432" s="5" t="s">
        <v>355</v>
      </c>
    </row>
    <row r="46433" ht="16.5" customHeight="1">
      <c r="O46433" s="5" t="s">
        <v>355</v>
      </c>
      <c r="P46433" s="5" t="s">
        <v>355</v>
      </c>
      <c r="Q46433" s="5" t="s">
        <v>355</v>
      </c>
    </row>
    <row r="46434" ht="16.5" customHeight="1">
      <c r="O46434" s="5" t="s">
        <v>355</v>
      </c>
      <c r="P46434" s="5" t="s">
        <v>355</v>
      </c>
      <c r="Q46434" s="5" t="s">
        <v>355</v>
      </c>
    </row>
    <row r="46435" ht="16.5" customHeight="1">
      <c r="O46435" s="5" t="s">
        <v>355</v>
      </c>
      <c r="P46435" s="5" t="s">
        <v>355</v>
      </c>
      <c r="Q46435" s="5" t="s">
        <v>355</v>
      </c>
    </row>
    <row r="46436" ht="16.5" customHeight="1">
      <c r="O46436" s="5" t="s">
        <v>355</v>
      </c>
      <c r="P46436" s="5" t="s">
        <v>355</v>
      </c>
      <c r="Q46436" s="5" t="s">
        <v>355</v>
      </c>
    </row>
    <row r="46437" ht="16.5" customHeight="1">
      <c r="O46437" s="5" t="s">
        <v>355</v>
      </c>
      <c r="P46437" s="5" t="s">
        <v>355</v>
      </c>
      <c r="Q46437" s="5" t="s">
        <v>355</v>
      </c>
    </row>
    <row r="46438" ht="16.5" customHeight="1">
      <c r="O46438" s="5" t="s">
        <v>355</v>
      </c>
      <c r="P46438" s="5" t="s">
        <v>355</v>
      </c>
      <c r="Q46438" s="5" t="s">
        <v>355</v>
      </c>
    </row>
    <row r="46439" ht="16.5" customHeight="1">
      <c r="O46439" s="5" t="s">
        <v>355</v>
      </c>
      <c r="P46439" s="5" t="s">
        <v>355</v>
      </c>
      <c r="Q46439" s="5" t="s">
        <v>355</v>
      </c>
    </row>
    <row r="46440" ht="16.5" customHeight="1">
      <c r="O46440" s="5" t="s">
        <v>355</v>
      </c>
      <c r="P46440" s="5" t="s">
        <v>355</v>
      </c>
      <c r="Q46440" s="5" t="s">
        <v>355</v>
      </c>
    </row>
    <row r="46441" ht="16.5" customHeight="1">
      <c r="O46441" s="5" t="s">
        <v>355</v>
      </c>
      <c r="P46441" s="5" t="s">
        <v>355</v>
      </c>
      <c r="Q46441" s="5" t="s">
        <v>355</v>
      </c>
    </row>
    <row r="46442" ht="16.5" customHeight="1">
      <c r="O46442" s="5" t="s">
        <v>355</v>
      </c>
      <c r="P46442" s="5" t="s">
        <v>355</v>
      </c>
      <c r="Q46442" s="5" t="s">
        <v>355</v>
      </c>
    </row>
    <row r="46443" ht="16.5" customHeight="1">
      <c r="O46443" s="5" t="s">
        <v>355</v>
      </c>
      <c r="P46443" s="5" t="s">
        <v>355</v>
      </c>
      <c r="Q46443" s="5" t="s">
        <v>355</v>
      </c>
    </row>
    <row r="46444" ht="16.5" customHeight="1">
      <c r="O46444" s="5" t="s">
        <v>355</v>
      </c>
      <c r="P46444" s="5" t="s">
        <v>355</v>
      </c>
      <c r="Q46444" s="5" t="s">
        <v>355</v>
      </c>
    </row>
    <row r="46445" ht="16.5" customHeight="1">
      <c r="O46445" s="5" t="s">
        <v>355</v>
      </c>
      <c r="P46445" s="5" t="s">
        <v>355</v>
      </c>
      <c r="Q46445" s="5" t="s">
        <v>355</v>
      </c>
    </row>
    <row r="46446" ht="16.5" customHeight="1">
      <c r="O46446" s="5" t="s">
        <v>355</v>
      </c>
      <c r="P46446" s="5" t="s">
        <v>355</v>
      </c>
      <c r="Q46446" s="5" t="s">
        <v>355</v>
      </c>
    </row>
    <row r="46447" ht="16.5" customHeight="1">
      <c r="O46447" s="5" t="s">
        <v>355</v>
      </c>
      <c r="P46447" s="5" t="s">
        <v>355</v>
      </c>
      <c r="Q46447" s="5" t="s">
        <v>355</v>
      </c>
    </row>
    <row r="46448" ht="16.5" customHeight="1">
      <c r="O46448" s="5" t="s">
        <v>355</v>
      </c>
      <c r="P46448" s="5" t="s">
        <v>355</v>
      </c>
      <c r="Q46448" s="5" t="s">
        <v>355</v>
      </c>
    </row>
    <row r="46449" ht="16.5" customHeight="1">
      <c r="O46449" s="5" t="s">
        <v>355</v>
      </c>
      <c r="P46449" s="5" t="s">
        <v>355</v>
      </c>
      <c r="Q46449" s="5" t="s">
        <v>355</v>
      </c>
    </row>
    <row r="46450" ht="16.5" customHeight="1">
      <c r="O46450" s="5" t="s">
        <v>355</v>
      </c>
      <c r="P46450" s="5" t="s">
        <v>355</v>
      </c>
      <c r="Q46450" s="5" t="s">
        <v>355</v>
      </c>
    </row>
    <row r="46451" ht="16.5" customHeight="1">
      <c r="O46451" s="5" t="s">
        <v>355</v>
      </c>
      <c r="P46451" s="5" t="s">
        <v>355</v>
      </c>
      <c r="Q46451" s="5" t="s">
        <v>355</v>
      </c>
    </row>
    <row r="46452" ht="16.5" customHeight="1">
      <c r="O46452" s="5" t="s">
        <v>355</v>
      </c>
      <c r="P46452" s="5" t="s">
        <v>355</v>
      </c>
      <c r="Q46452" s="5" t="s">
        <v>355</v>
      </c>
    </row>
    <row r="46453" ht="16.5" customHeight="1">
      <c r="O46453" s="5" t="s">
        <v>355</v>
      </c>
      <c r="P46453" s="5" t="s">
        <v>355</v>
      </c>
      <c r="Q46453" s="5" t="s">
        <v>355</v>
      </c>
    </row>
    <row r="46454" ht="16.5" customHeight="1">
      <c r="O46454" s="5" t="s">
        <v>355</v>
      </c>
      <c r="P46454" s="5" t="s">
        <v>355</v>
      </c>
      <c r="Q46454" s="5" t="s">
        <v>355</v>
      </c>
    </row>
    <row r="46455" ht="16.5" customHeight="1">
      <c r="O46455" s="5" t="s">
        <v>355</v>
      </c>
      <c r="P46455" s="5" t="s">
        <v>355</v>
      </c>
      <c r="Q46455" s="5" t="s">
        <v>355</v>
      </c>
    </row>
    <row r="46456" ht="16.5" customHeight="1">
      <c r="O46456" s="5" t="s">
        <v>355</v>
      </c>
      <c r="P46456" s="5" t="s">
        <v>355</v>
      </c>
      <c r="Q46456" s="5" t="s">
        <v>355</v>
      </c>
    </row>
    <row r="46457" ht="16.5" customHeight="1">
      <c r="O46457" s="5" t="s">
        <v>355</v>
      </c>
      <c r="P46457" s="5" t="s">
        <v>355</v>
      </c>
      <c r="Q46457" s="5" t="s">
        <v>355</v>
      </c>
    </row>
    <row r="46458" ht="16.5" customHeight="1">
      <c r="O46458" s="5" t="s">
        <v>355</v>
      </c>
      <c r="P46458" s="5" t="s">
        <v>355</v>
      </c>
      <c r="Q46458" s="5" t="s">
        <v>355</v>
      </c>
    </row>
    <row r="46459" ht="16.5" customHeight="1">
      <c r="O46459" s="5" t="s">
        <v>355</v>
      </c>
      <c r="P46459" s="5" t="s">
        <v>355</v>
      </c>
      <c r="Q46459" s="5" t="s">
        <v>355</v>
      </c>
    </row>
    <row r="46460" ht="16.5" customHeight="1">
      <c r="O46460" s="5" t="s">
        <v>355</v>
      </c>
      <c r="P46460" s="5" t="s">
        <v>355</v>
      </c>
      <c r="Q46460" s="5" t="s">
        <v>355</v>
      </c>
    </row>
    <row r="46461" ht="16.5" customHeight="1">
      <c r="O46461" s="5" t="s">
        <v>355</v>
      </c>
      <c r="P46461" s="5" t="s">
        <v>355</v>
      </c>
      <c r="Q46461" s="5" t="s">
        <v>355</v>
      </c>
    </row>
    <row r="46462" ht="16.5" customHeight="1">
      <c r="O46462" s="5" t="s">
        <v>355</v>
      </c>
      <c r="P46462" s="5" t="s">
        <v>355</v>
      </c>
      <c r="Q46462" s="5" t="s">
        <v>355</v>
      </c>
    </row>
    <row r="46463" ht="16.5" customHeight="1">
      <c r="O46463" s="5" t="s">
        <v>355</v>
      </c>
      <c r="P46463" s="5" t="s">
        <v>355</v>
      </c>
      <c r="Q46463" s="5" t="s">
        <v>355</v>
      </c>
    </row>
    <row r="46464" ht="16.5" customHeight="1">
      <c r="O46464" s="5" t="s">
        <v>355</v>
      </c>
      <c r="P46464" s="5" t="s">
        <v>355</v>
      </c>
      <c r="Q46464" s="5" t="s">
        <v>355</v>
      </c>
    </row>
    <row r="46465" ht="16.5" customHeight="1">
      <c r="O46465" s="5" t="s">
        <v>355</v>
      </c>
      <c r="P46465" s="5" t="s">
        <v>355</v>
      </c>
      <c r="Q46465" s="5" t="s">
        <v>355</v>
      </c>
    </row>
    <row r="46466" ht="16.5" customHeight="1">
      <c r="O46466" s="5" t="s">
        <v>355</v>
      </c>
      <c r="P46466" s="5" t="s">
        <v>355</v>
      </c>
      <c r="Q46466" s="5" t="s">
        <v>355</v>
      </c>
    </row>
    <row r="46467" ht="16.5" customHeight="1">
      <c r="O46467" s="5" t="s">
        <v>355</v>
      </c>
      <c r="P46467" s="5" t="s">
        <v>355</v>
      </c>
      <c r="Q46467" s="5" t="s">
        <v>355</v>
      </c>
    </row>
    <row r="46468" ht="16.5" customHeight="1">
      <c r="O46468" s="5" t="s">
        <v>355</v>
      </c>
      <c r="P46468" s="5" t="s">
        <v>355</v>
      </c>
      <c r="Q46468" s="5" t="s">
        <v>355</v>
      </c>
    </row>
    <row r="46469" ht="16.5" customHeight="1">
      <c r="O46469" s="5" t="s">
        <v>355</v>
      </c>
      <c r="P46469" s="5" t="s">
        <v>355</v>
      </c>
      <c r="Q46469" s="5" t="s">
        <v>355</v>
      </c>
    </row>
    <row r="46470" ht="16.5" customHeight="1">
      <c r="O46470" s="5" t="s">
        <v>355</v>
      </c>
      <c r="P46470" s="5" t="s">
        <v>355</v>
      </c>
      <c r="Q46470" s="5" t="s">
        <v>355</v>
      </c>
    </row>
    <row r="46471" ht="16.5" customHeight="1">
      <c r="O46471" s="5" t="s">
        <v>355</v>
      </c>
      <c r="P46471" s="5" t="s">
        <v>355</v>
      </c>
      <c r="Q46471" s="5" t="s">
        <v>355</v>
      </c>
    </row>
    <row r="46472" ht="16.5" customHeight="1">
      <c r="O46472" s="5" t="s">
        <v>355</v>
      </c>
      <c r="P46472" s="5" t="s">
        <v>355</v>
      </c>
      <c r="Q46472" s="5" t="s">
        <v>355</v>
      </c>
    </row>
    <row r="46473" ht="16.5" customHeight="1">
      <c r="O46473" s="5" t="s">
        <v>355</v>
      </c>
      <c r="P46473" s="5" t="s">
        <v>355</v>
      </c>
      <c r="Q46473" s="5" t="s">
        <v>355</v>
      </c>
    </row>
    <row r="46474" ht="16.5" customHeight="1">
      <c r="O46474" s="5" t="s">
        <v>355</v>
      </c>
      <c r="P46474" s="5" t="s">
        <v>355</v>
      </c>
      <c r="Q46474" s="5" t="s">
        <v>355</v>
      </c>
    </row>
    <row r="46475" ht="16.5" customHeight="1">
      <c r="O46475" s="5" t="s">
        <v>355</v>
      </c>
      <c r="P46475" s="5" t="s">
        <v>355</v>
      </c>
      <c r="Q46475" s="5" t="s">
        <v>355</v>
      </c>
    </row>
    <row r="46476" ht="16.5" customHeight="1">
      <c r="O46476" s="5" t="s">
        <v>355</v>
      </c>
      <c r="P46476" s="5" t="s">
        <v>355</v>
      </c>
      <c r="Q46476" s="5" t="s">
        <v>355</v>
      </c>
    </row>
    <row r="46477" ht="16.5" customHeight="1">
      <c r="O46477" s="5" t="s">
        <v>355</v>
      </c>
      <c r="P46477" s="5" t="s">
        <v>355</v>
      </c>
      <c r="Q46477" s="5" t="s">
        <v>355</v>
      </c>
    </row>
    <row r="46478" ht="16.5" customHeight="1">
      <c r="O46478" s="5" t="s">
        <v>355</v>
      </c>
      <c r="P46478" s="5" t="s">
        <v>355</v>
      </c>
      <c r="Q46478" s="5" t="s">
        <v>355</v>
      </c>
    </row>
    <row r="46479" ht="16.5" customHeight="1">
      <c r="O46479" s="5" t="s">
        <v>355</v>
      </c>
      <c r="P46479" s="5" t="s">
        <v>355</v>
      </c>
      <c r="Q46479" s="5" t="s">
        <v>355</v>
      </c>
    </row>
    <row r="46480" ht="16.5" customHeight="1">
      <c r="O46480" s="5" t="s">
        <v>355</v>
      </c>
      <c r="P46480" s="5" t="s">
        <v>355</v>
      </c>
      <c r="Q46480" s="5" t="s">
        <v>355</v>
      </c>
    </row>
    <row r="46481" ht="16.5" customHeight="1">
      <c r="O46481" s="5" t="s">
        <v>355</v>
      </c>
      <c r="P46481" s="5" t="s">
        <v>355</v>
      </c>
      <c r="Q46481" s="5" t="s">
        <v>355</v>
      </c>
    </row>
    <row r="46482" ht="16.5" customHeight="1">
      <c r="O46482" s="5" t="s">
        <v>355</v>
      </c>
      <c r="P46482" s="5" t="s">
        <v>355</v>
      </c>
      <c r="Q46482" s="5" t="s">
        <v>355</v>
      </c>
    </row>
    <row r="46483" ht="16.5" customHeight="1">
      <c r="O46483" s="5" t="s">
        <v>355</v>
      </c>
      <c r="P46483" s="5" t="s">
        <v>355</v>
      </c>
      <c r="Q46483" s="5" t="s">
        <v>355</v>
      </c>
    </row>
    <row r="46484" ht="16.5" customHeight="1">
      <c r="O46484" s="5" t="s">
        <v>355</v>
      </c>
      <c r="P46484" s="5" t="s">
        <v>355</v>
      </c>
      <c r="Q46484" s="5" t="s">
        <v>355</v>
      </c>
    </row>
    <row r="46485" ht="16.5" customHeight="1">
      <c r="O46485" s="5" t="s">
        <v>355</v>
      </c>
      <c r="P46485" s="5" t="s">
        <v>355</v>
      </c>
      <c r="Q46485" s="5" t="s">
        <v>355</v>
      </c>
    </row>
    <row r="46486" ht="16.5" customHeight="1">
      <c r="O46486" s="5" t="s">
        <v>355</v>
      </c>
      <c r="P46486" s="5" t="s">
        <v>355</v>
      </c>
      <c r="Q46486" s="5" t="s">
        <v>355</v>
      </c>
    </row>
    <row r="46487" ht="16.5" customHeight="1">
      <c r="O46487" s="5" t="s">
        <v>355</v>
      </c>
      <c r="P46487" s="5" t="s">
        <v>355</v>
      </c>
      <c r="Q46487" s="5" t="s">
        <v>355</v>
      </c>
    </row>
    <row r="46488" ht="16.5" customHeight="1">
      <c r="O46488" s="5" t="s">
        <v>355</v>
      </c>
      <c r="P46488" s="5" t="s">
        <v>355</v>
      </c>
      <c r="Q46488" s="5" t="s">
        <v>355</v>
      </c>
    </row>
    <row r="46489" ht="16.5" customHeight="1">
      <c r="O46489" s="5" t="s">
        <v>355</v>
      </c>
      <c r="P46489" s="5" t="s">
        <v>355</v>
      </c>
      <c r="Q46489" s="5" t="s">
        <v>355</v>
      </c>
    </row>
    <row r="46490" ht="16.5" customHeight="1">
      <c r="O46490" s="5" t="s">
        <v>355</v>
      </c>
      <c r="P46490" s="5" t="s">
        <v>355</v>
      </c>
      <c r="Q46490" s="5" t="s">
        <v>355</v>
      </c>
    </row>
    <row r="46491" ht="16.5" customHeight="1">
      <c r="O46491" s="5" t="s">
        <v>355</v>
      </c>
      <c r="P46491" s="5" t="s">
        <v>355</v>
      </c>
      <c r="Q46491" s="5" t="s">
        <v>355</v>
      </c>
    </row>
    <row r="46492" ht="16.5" customHeight="1">
      <c r="O46492" s="5" t="s">
        <v>355</v>
      </c>
      <c r="P46492" s="5" t="s">
        <v>355</v>
      </c>
      <c r="Q46492" s="5" t="s">
        <v>355</v>
      </c>
    </row>
    <row r="46493" ht="16.5" customHeight="1">
      <c r="O46493" s="5" t="s">
        <v>355</v>
      </c>
      <c r="P46493" s="5" t="s">
        <v>355</v>
      </c>
      <c r="Q46493" s="5" t="s">
        <v>355</v>
      </c>
    </row>
    <row r="46494" ht="16.5" customHeight="1">
      <c r="O46494" s="5" t="s">
        <v>355</v>
      </c>
      <c r="P46494" s="5" t="s">
        <v>355</v>
      </c>
      <c r="Q46494" s="5" t="s">
        <v>355</v>
      </c>
    </row>
    <row r="46495" ht="16.5" customHeight="1">
      <c r="O46495" s="5" t="s">
        <v>355</v>
      </c>
      <c r="P46495" s="5" t="s">
        <v>355</v>
      </c>
      <c r="Q46495" s="5" t="s">
        <v>355</v>
      </c>
    </row>
    <row r="46496" ht="16.5" customHeight="1">
      <c r="O46496" s="5" t="s">
        <v>355</v>
      </c>
      <c r="P46496" s="5" t="s">
        <v>355</v>
      </c>
      <c r="Q46496" s="5" t="s">
        <v>355</v>
      </c>
    </row>
    <row r="46497" ht="16.5" customHeight="1">
      <c r="O46497" s="5" t="s">
        <v>355</v>
      </c>
      <c r="P46497" s="5" t="s">
        <v>355</v>
      </c>
      <c r="Q46497" s="5" t="s">
        <v>355</v>
      </c>
    </row>
    <row r="46498" ht="16.5" customHeight="1">
      <c r="O46498" s="5" t="s">
        <v>355</v>
      </c>
      <c r="P46498" s="5" t="s">
        <v>355</v>
      </c>
      <c r="Q46498" s="5" t="s">
        <v>355</v>
      </c>
    </row>
    <row r="46499" ht="16.5" customHeight="1">
      <c r="O46499" s="5" t="s">
        <v>355</v>
      </c>
      <c r="P46499" s="5" t="s">
        <v>355</v>
      </c>
      <c r="Q46499" s="5" t="s">
        <v>355</v>
      </c>
    </row>
    <row r="46500" ht="16.5" customHeight="1">
      <c r="O46500" s="5" t="s">
        <v>355</v>
      </c>
      <c r="P46500" s="5" t="s">
        <v>355</v>
      </c>
      <c r="Q46500" s="5" t="s">
        <v>355</v>
      </c>
    </row>
    <row r="46501" ht="16.5" customHeight="1">
      <c r="O46501" s="5" t="s">
        <v>355</v>
      </c>
      <c r="P46501" s="5" t="s">
        <v>355</v>
      </c>
      <c r="Q46501" s="5" t="s">
        <v>355</v>
      </c>
    </row>
    <row r="46502" ht="16.5" customHeight="1">
      <c r="O46502" s="5" t="s">
        <v>355</v>
      </c>
      <c r="P46502" s="5" t="s">
        <v>355</v>
      </c>
      <c r="Q46502" s="5" t="s">
        <v>355</v>
      </c>
    </row>
    <row r="46503" ht="16.5" customHeight="1">
      <c r="O46503" s="5" t="s">
        <v>355</v>
      </c>
      <c r="P46503" s="5" t="s">
        <v>355</v>
      </c>
      <c r="Q46503" s="5" t="s">
        <v>355</v>
      </c>
    </row>
    <row r="46504" ht="16.5" customHeight="1">
      <c r="O46504" s="5" t="s">
        <v>355</v>
      </c>
      <c r="P46504" s="5" t="s">
        <v>355</v>
      </c>
      <c r="Q46504" s="5" t="s">
        <v>355</v>
      </c>
    </row>
    <row r="46505" ht="16.5" customHeight="1">
      <c r="O46505" s="5" t="s">
        <v>355</v>
      </c>
      <c r="P46505" s="5" t="s">
        <v>355</v>
      </c>
      <c r="Q46505" s="5" t="s">
        <v>355</v>
      </c>
    </row>
    <row r="46506" ht="16.5" customHeight="1">
      <c r="O46506" s="5" t="s">
        <v>355</v>
      </c>
      <c r="P46506" s="5" t="s">
        <v>355</v>
      </c>
      <c r="Q46506" s="5" t="s">
        <v>355</v>
      </c>
    </row>
    <row r="46507" ht="16.5" customHeight="1">
      <c r="O46507" s="5" t="s">
        <v>355</v>
      </c>
      <c r="P46507" s="5" t="s">
        <v>355</v>
      </c>
      <c r="Q46507" s="5" t="s">
        <v>355</v>
      </c>
    </row>
    <row r="46508" ht="16.5" customHeight="1">
      <c r="O46508" s="5" t="s">
        <v>355</v>
      </c>
      <c r="P46508" s="5" t="s">
        <v>355</v>
      </c>
      <c r="Q46508" s="5" t="s">
        <v>355</v>
      </c>
    </row>
    <row r="46509" ht="16.5" customHeight="1">
      <c r="O46509" s="5" t="s">
        <v>355</v>
      </c>
      <c r="P46509" s="5" t="s">
        <v>355</v>
      </c>
      <c r="Q46509" s="5" t="s">
        <v>355</v>
      </c>
    </row>
    <row r="46510" ht="16.5" customHeight="1">
      <c r="O46510" s="5" t="s">
        <v>355</v>
      </c>
      <c r="P46510" s="5" t="s">
        <v>355</v>
      </c>
      <c r="Q46510" s="5" t="s">
        <v>355</v>
      </c>
    </row>
    <row r="46511" ht="16.5" customHeight="1">
      <c r="O46511" s="5" t="s">
        <v>355</v>
      </c>
      <c r="P46511" s="5" t="s">
        <v>355</v>
      </c>
      <c r="Q46511" s="5" t="s">
        <v>355</v>
      </c>
    </row>
    <row r="46512" ht="16.5" customHeight="1">
      <c r="O46512" s="5" t="s">
        <v>355</v>
      </c>
      <c r="P46512" s="5" t="s">
        <v>355</v>
      </c>
      <c r="Q46512" s="5" t="s">
        <v>355</v>
      </c>
    </row>
    <row r="46513" ht="16.5" customHeight="1">
      <c r="O46513" s="5" t="s">
        <v>355</v>
      </c>
      <c r="P46513" s="5" t="s">
        <v>355</v>
      </c>
      <c r="Q46513" s="5" t="s">
        <v>355</v>
      </c>
    </row>
    <row r="46514" ht="16.5" customHeight="1">
      <c r="O46514" s="5" t="s">
        <v>355</v>
      </c>
      <c r="P46514" s="5" t="s">
        <v>355</v>
      </c>
      <c r="Q46514" s="5" t="s">
        <v>355</v>
      </c>
    </row>
    <row r="46515" ht="16.5" customHeight="1">
      <c r="O46515" s="5" t="s">
        <v>355</v>
      </c>
      <c r="P46515" s="5" t="s">
        <v>355</v>
      </c>
      <c r="Q46515" s="5" t="s">
        <v>355</v>
      </c>
    </row>
    <row r="46516" ht="16.5" customHeight="1">
      <c r="O46516" s="5" t="s">
        <v>355</v>
      </c>
      <c r="P46516" s="5" t="s">
        <v>355</v>
      </c>
      <c r="Q46516" s="5" t="s">
        <v>355</v>
      </c>
    </row>
    <row r="46517" ht="16.5" customHeight="1">
      <c r="O46517" s="5" t="s">
        <v>355</v>
      </c>
      <c r="P46517" s="5" t="s">
        <v>355</v>
      </c>
      <c r="Q46517" s="5" t="s">
        <v>355</v>
      </c>
    </row>
    <row r="46518" ht="16.5" customHeight="1">
      <c r="O46518" s="5" t="s">
        <v>355</v>
      </c>
      <c r="P46518" s="5" t="s">
        <v>355</v>
      </c>
      <c r="Q46518" s="5" t="s">
        <v>355</v>
      </c>
    </row>
    <row r="46519" ht="16.5" customHeight="1">
      <c r="O46519" s="5" t="s">
        <v>355</v>
      </c>
      <c r="P46519" s="5" t="s">
        <v>355</v>
      </c>
      <c r="Q46519" s="5" t="s">
        <v>355</v>
      </c>
    </row>
    <row r="46520" ht="16.5" customHeight="1">
      <c r="O46520" s="5" t="s">
        <v>355</v>
      </c>
      <c r="P46520" s="5" t="s">
        <v>355</v>
      </c>
      <c r="Q46520" s="5" t="s">
        <v>355</v>
      </c>
    </row>
    <row r="46521" ht="16.5" customHeight="1">
      <c r="O46521" s="5" t="s">
        <v>355</v>
      </c>
      <c r="P46521" s="5" t="s">
        <v>355</v>
      </c>
      <c r="Q46521" s="5" t="s">
        <v>355</v>
      </c>
    </row>
    <row r="46522" ht="16.5" customHeight="1">
      <c r="O46522" s="5" t="s">
        <v>355</v>
      </c>
      <c r="P46522" s="5" t="s">
        <v>355</v>
      </c>
      <c r="Q46522" s="5" t="s">
        <v>355</v>
      </c>
    </row>
    <row r="46523" ht="16.5" customHeight="1">
      <c r="O46523" s="5" t="s">
        <v>355</v>
      </c>
      <c r="P46523" s="5" t="s">
        <v>355</v>
      </c>
      <c r="Q46523" s="5" t="s">
        <v>355</v>
      </c>
    </row>
    <row r="46524" ht="16.5" customHeight="1">
      <c r="O46524" s="5" t="s">
        <v>355</v>
      </c>
      <c r="P46524" s="5" t="s">
        <v>355</v>
      </c>
      <c r="Q46524" s="5" t="s">
        <v>355</v>
      </c>
    </row>
    <row r="46525" ht="16.5" customHeight="1">
      <c r="O46525" s="5" t="s">
        <v>355</v>
      </c>
      <c r="P46525" s="5" t="s">
        <v>355</v>
      </c>
      <c r="Q46525" s="5" t="s">
        <v>355</v>
      </c>
    </row>
    <row r="46526" ht="16.5" customHeight="1">
      <c r="O46526" s="5" t="s">
        <v>355</v>
      </c>
      <c r="P46526" s="5" t="s">
        <v>355</v>
      </c>
      <c r="Q46526" s="5" t="s">
        <v>355</v>
      </c>
    </row>
    <row r="46527" ht="16.5" customHeight="1">
      <c r="O46527" s="5" t="s">
        <v>355</v>
      </c>
      <c r="P46527" s="5" t="s">
        <v>355</v>
      </c>
      <c r="Q46527" s="5" t="s">
        <v>355</v>
      </c>
    </row>
    <row r="46528" ht="16.5" customHeight="1">
      <c r="O46528" s="5" t="s">
        <v>355</v>
      </c>
      <c r="P46528" s="5" t="s">
        <v>355</v>
      </c>
      <c r="Q46528" s="5" t="s">
        <v>355</v>
      </c>
    </row>
    <row r="46529" ht="16.5" customHeight="1">
      <c r="O46529" s="5" t="s">
        <v>355</v>
      </c>
      <c r="P46529" s="5" t="s">
        <v>355</v>
      </c>
      <c r="Q46529" s="5" t="s">
        <v>355</v>
      </c>
    </row>
    <row r="46530" ht="16.5" customHeight="1">
      <c r="O46530" s="5" t="s">
        <v>355</v>
      </c>
      <c r="P46530" s="5" t="s">
        <v>355</v>
      </c>
      <c r="Q46530" s="5" t="s">
        <v>355</v>
      </c>
    </row>
    <row r="46531" ht="16.5" customHeight="1">
      <c r="O46531" s="5" t="s">
        <v>355</v>
      </c>
      <c r="P46531" s="5" t="s">
        <v>355</v>
      </c>
      <c r="Q46531" s="5" t="s">
        <v>355</v>
      </c>
    </row>
    <row r="46532" ht="16.5" customHeight="1">
      <c r="O46532" s="5" t="s">
        <v>355</v>
      </c>
      <c r="P46532" s="5" t="s">
        <v>355</v>
      </c>
      <c r="Q46532" s="5" t="s">
        <v>355</v>
      </c>
    </row>
    <row r="46533" ht="16.5" customHeight="1">
      <c r="O46533" s="5" t="s">
        <v>355</v>
      </c>
      <c r="P46533" s="5" t="s">
        <v>355</v>
      </c>
      <c r="Q46533" s="5" t="s">
        <v>355</v>
      </c>
    </row>
    <row r="46534" ht="16.5" customHeight="1">
      <c r="O46534" s="5" t="s">
        <v>355</v>
      </c>
      <c r="P46534" s="5" t="s">
        <v>355</v>
      </c>
      <c r="Q46534" s="5" t="s">
        <v>355</v>
      </c>
    </row>
    <row r="46535" ht="16.5" customHeight="1">
      <c r="O46535" s="5" t="s">
        <v>355</v>
      </c>
      <c r="P46535" s="5" t="s">
        <v>355</v>
      </c>
      <c r="Q46535" s="5" t="s">
        <v>355</v>
      </c>
    </row>
    <row r="46536" ht="16.5" customHeight="1">
      <c r="O46536" s="5" t="s">
        <v>355</v>
      </c>
      <c r="P46536" s="5" t="s">
        <v>355</v>
      </c>
      <c r="Q46536" s="5" t="s">
        <v>355</v>
      </c>
    </row>
    <row r="46537" ht="16.5" customHeight="1">
      <c r="O46537" s="5" t="s">
        <v>355</v>
      </c>
      <c r="P46537" s="5" t="s">
        <v>355</v>
      </c>
      <c r="Q46537" s="5" t="s">
        <v>355</v>
      </c>
    </row>
    <row r="46538" ht="16.5" customHeight="1">
      <c r="O46538" s="5" t="s">
        <v>355</v>
      </c>
      <c r="P46538" s="5" t="s">
        <v>355</v>
      </c>
      <c r="Q46538" s="5" t="s">
        <v>355</v>
      </c>
    </row>
    <row r="46539" ht="16.5" customHeight="1">
      <c r="O46539" s="5" t="s">
        <v>355</v>
      </c>
      <c r="P46539" s="5" t="s">
        <v>355</v>
      </c>
      <c r="Q46539" s="5" t="s">
        <v>355</v>
      </c>
    </row>
    <row r="46540" ht="16.5" customHeight="1">
      <c r="O46540" s="5" t="s">
        <v>355</v>
      </c>
      <c r="P46540" s="5" t="s">
        <v>355</v>
      </c>
      <c r="Q46540" s="5" t="s">
        <v>355</v>
      </c>
    </row>
    <row r="46541" ht="16.5" customHeight="1">
      <c r="O46541" s="5" t="s">
        <v>355</v>
      </c>
      <c r="P46541" s="5" t="s">
        <v>355</v>
      </c>
      <c r="Q46541" s="5" t="s">
        <v>355</v>
      </c>
    </row>
    <row r="46542" ht="16.5" customHeight="1">
      <c r="O46542" s="5" t="s">
        <v>355</v>
      </c>
      <c r="P46542" s="5" t="s">
        <v>355</v>
      </c>
      <c r="Q46542" s="5" t="s">
        <v>355</v>
      </c>
    </row>
    <row r="46543" ht="16.5" customHeight="1">
      <c r="O46543" s="5" t="s">
        <v>355</v>
      </c>
      <c r="P46543" s="5" t="s">
        <v>355</v>
      </c>
      <c r="Q46543" s="5" t="s">
        <v>355</v>
      </c>
    </row>
    <row r="46544" ht="16.5" customHeight="1">
      <c r="O46544" s="5" t="s">
        <v>355</v>
      </c>
      <c r="P46544" s="5" t="s">
        <v>355</v>
      </c>
      <c r="Q46544" s="5" t="s">
        <v>355</v>
      </c>
    </row>
    <row r="46545" ht="16.5" customHeight="1">
      <c r="O46545" s="5" t="s">
        <v>355</v>
      </c>
      <c r="P46545" s="5" t="s">
        <v>355</v>
      </c>
      <c r="Q46545" s="5" t="s">
        <v>355</v>
      </c>
    </row>
    <row r="46546" ht="16.5" customHeight="1">
      <c r="O46546" s="5" t="s">
        <v>355</v>
      </c>
      <c r="P46546" s="5" t="s">
        <v>355</v>
      </c>
      <c r="Q46546" s="5" t="s">
        <v>355</v>
      </c>
    </row>
    <row r="46547" ht="16.5" customHeight="1">
      <c r="O46547" s="5" t="s">
        <v>355</v>
      </c>
      <c r="P46547" s="5" t="s">
        <v>355</v>
      </c>
      <c r="Q46547" s="5" t="s">
        <v>355</v>
      </c>
    </row>
    <row r="46548" ht="16.5" customHeight="1">
      <c r="O46548" s="5" t="s">
        <v>355</v>
      </c>
      <c r="P46548" s="5" t="s">
        <v>355</v>
      </c>
      <c r="Q46548" s="5" t="s">
        <v>355</v>
      </c>
    </row>
    <row r="46549" ht="16.5" customHeight="1">
      <c r="O46549" s="5" t="s">
        <v>355</v>
      </c>
      <c r="P46549" s="5" t="s">
        <v>355</v>
      </c>
      <c r="Q46549" s="5" t="s">
        <v>355</v>
      </c>
    </row>
    <row r="46550" ht="16.5" customHeight="1">
      <c r="O46550" s="5" t="s">
        <v>355</v>
      </c>
      <c r="P46550" s="5" t="s">
        <v>355</v>
      </c>
      <c r="Q46550" s="5" t="s">
        <v>355</v>
      </c>
    </row>
    <row r="46551" ht="16.5" customHeight="1">
      <c r="O46551" s="5" t="s">
        <v>355</v>
      </c>
      <c r="P46551" s="5" t="s">
        <v>355</v>
      </c>
      <c r="Q46551" s="5" t="s">
        <v>355</v>
      </c>
    </row>
    <row r="46552" ht="16.5" customHeight="1">
      <c r="O46552" s="5" t="s">
        <v>355</v>
      </c>
      <c r="P46552" s="5" t="s">
        <v>355</v>
      </c>
      <c r="Q46552" s="5" t="s">
        <v>355</v>
      </c>
    </row>
    <row r="46553" ht="16.5" customHeight="1">
      <c r="O46553" s="5" t="s">
        <v>355</v>
      </c>
      <c r="P46553" s="5" t="s">
        <v>355</v>
      </c>
      <c r="Q46553" s="5" t="s">
        <v>355</v>
      </c>
    </row>
    <row r="46554" ht="16.5" customHeight="1">
      <c r="O46554" s="5" t="s">
        <v>355</v>
      </c>
      <c r="P46554" s="5" t="s">
        <v>355</v>
      </c>
      <c r="Q46554" s="5" t="s">
        <v>355</v>
      </c>
    </row>
    <row r="46555" ht="16.5" customHeight="1">
      <c r="O46555" s="5" t="s">
        <v>355</v>
      </c>
      <c r="P46555" s="5" t="s">
        <v>355</v>
      </c>
      <c r="Q46555" s="5" t="s">
        <v>355</v>
      </c>
    </row>
    <row r="46556" ht="16.5" customHeight="1">
      <c r="O46556" s="5" t="s">
        <v>355</v>
      </c>
      <c r="P46556" s="5" t="s">
        <v>355</v>
      </c>
      <c r="Q46556" s="5" t="s">
        <v>355</v>
      </c>
    </row>
    <row r="46557" ht="16.5" customHeight="1">
      <c r="O46557" s="5" t="s">
        <v>355</v>
      </c>
      <c r="P46557" s="5" t="s">
        <v>355</v>
      </c>
      <c r="Q46557" s="5" t="s">
        <v>355</v>
      </c>
    </row>
    <row r="46558" ht="16.5" customHeight="1">
      <c r="O46558" s="5" t="s">
        <v>355</v>
      </c>
      <c r="P46558" s="5" t="s">
        <v>355</v>
      </c>
      <c r="Q46558" s="5" t="s">
        <v>355</v>
      </c>
    </row>
    <row r="46559" ht="16.5" customHeight="1">
      <c r="O46559" s="5" t="s">
        <v>355</v>
      </c>
      <c r="P46559" s="5" t="s">
        <v>355</v>
      </c>
      <c r="Q46559" s="5" t="s">
        <v>355</v>
      </c>
    </row>
    <row r="46560" ht="16.5" customHeight="1">
      <c r="O46560" s="5" t="s">
        <v>355</v>
      </c>
      <c r="P46560" s="5" t="s">
        <v>355</v>
      </c>
      <c r="Q46560" s="5" t="s">
        <v>355</v>
      </c>
    </row>
    <row r="46561" ht="16.5" customHeight="1">
      <c r="O46561" s="5" t="s">
        <v>355</v>
      </c>
      <c r="P46561" s="5" t="s">
        <v>355</v>
      </c>
      <c r="Q46561" s="5" t="s">
        <v>355</v>
      </c>
    </row>
    <row r="46562" ht="16.5" customHeight="1">
      <c r="O46562" s="5" t="s">
        <v>355</v>
      </c>
      <c r="P46562" s="5" t="s">
        <v>355</v>
      </c>
      <c r="Q46562" s="5" t="s">
        <v>355</v>
      </c>
    </row>
    <row r="46563" ht="16.5" customHeight="1">
      <c r="O46563" s="5" t="s">
        <v>355</v>
      </c>
      <c r="P46563" s="5" t="s">
        <v>355</v>
      </c>
      <c r="Q46563" s="5" t="s">
        <v>355</v>
      </c>
    </row>
    <row r="46564" ht="16.5" customHeight="1">
      <c r="O46564" s="5" t="s">
        <v>355</v>
      </c>
      <c r="P46564" s="5" t="s">
        <v>355</v>
      </c>
      <c r="Q46564" s="5" t="s">
        <v>355</v>
      </c>
    </row>
    <row r="46565" ht="16.5" customHeight="1">
      <c r="O46565" s="5" t="s">
        <v>355</v>
      </c>
      <c r="P46565" s="5" t="s">
        <v>355</v>
      </c>
      <c r="Q46565" s="5" t="s">
        <v>355</v>
      </c>
    </row>
    <row r="46566" ht="16.5" customHeight="1">
      <c r="O46566" s="5" t="s">
        <v>355</v>
      </c>
      <c r="P46566" s="5" t="s">
        <v>355</v>
      </c>
      <c r="Q46566" s="5" t="s">
        <v>355</v>
      </c>
    </row>
    <row r="46567" ht="16.5" customHeight="1">
      <c r="O46567" s="5" t="s">
        <v>355</v>
      </c>
      <c r="P46567" s="5" t="s">
        <v>355</v>
      </c>
      <c r="Q46567" s="5" t="s">
        <v>355</v>
      </c>
    </row>
    <row r="46568" ht="16.5" customHeight="1">
      <c r="O46568" s="5" t="s">
        <v>355</v>
      </c>
      <c r="P46568" s="5" t="s">
        <v>355</v>
      </c>
      <c r="Q46568" s="5" t="s">
        <v>355</v>
      </c>
    </row>
    <row r="46569" ht="16.5" customHeight="1">
      <c r="O46569" s="5" t="s">
        <v>355</v>
      </c>
      <c r="P46569" s="5" t="s">
        <v>355</v>
      </c>
      <c r="Q46569" s="5" t="s">
        <v>355</v>
      </c>
    </row>
    <row r="46570" ht="16.5" customHeight="1">
      <c r="O46570" s="5" t="s">
        <v>355</v>
      </c>
      <c r="P46570" s="5" t="s">
        <v>355</v>
      </c>
      <c r="Q46570" s="5" t="s">
        <v>355</v>
      </c>
    </row>
    <row r="46571" ht="16.5" customHeight="1">
      <c r="O46571" s="5" t="s">
        <v>355</v>
      </c>
      <c r="P46571" s="5" t="s">
        <v>355</v>
      </c>
      <c r="Q46571" s="5" t="s">
        <v>355</v>
      </c>
    </row>
    <row r="46572" ht="16.5" customHeight="1">
      <c r="O46572" s="5" t="s">
        <v>355</v>
      </c>
      <c r="P46572" s="5" t="s">
        <v>355</v>
      </c>
      <c r="Q46572" s="5" t="s">
        <v>355</v>
      </c>
    </row>
    <row r="46573" ht="16.5" customHeight="1">
      <c r="O46573" s="5" t="s">
        <v>355</v>
      </c>
      <c r="P46573" s="5" t="s">
        <v>355</v>
      </c>
      <c r="Q46573" s="5" t="s">
        <v>355</v>
      </c>
    </row>
    <row r="46574" ht="16.5" customHeight="1">
      <c r="O46574" s="5" t="s">
        <v>355</v>
      </c>
      <c r="P46574" s="5" t="s">
        <v>355</v>
      </c>
      <c r="Q46574" s="5" t="s">
        <v>355</v>
      </c>
    </row>
    <row r="46575" ht="16.5" customHeight="1">
      <c r="O46575" s="5" t="s">
        <v>355</v>
      </c>
      <c r="P46575" s="5" t="s">
        <v>355</v>
      </c>
      <c r="Q46575" s="5" t="s">
        <v>355</v>
      </c>
    </row>
    <row r="46576" ht="16.5" customHeight="1">
      <c r="O46576" s="5" t="s">
        <v>355</v>
      </c>
      <c r="P46576" s="5" t="s">
        <v>355</v>
      </c>
      <c r="Q46576" s="5" t="s">
        <v>355</v>
      </c>
    </row>
    <row r="46577" ht="16.5" customHeight="1">
      <c r="O46577" s="5" t="s">
        <v>355</v>
      </c>
      <c r="P46577" s="5" t="s">
        <v>355</v>
      </c>
      <c r="Q46577" s="5" t="s">
        <v>355</v>
      </c>
    </row>
    <row r="46578" ht="16.5" customHeight="1">
      <c r="O46578" s="5" t="s">
        <v>355</v>
      </c>
      <c r="P46578" s="5" t="s">
        <v>355</v>
      </c>
      <c r="Q46578" s="5" t="s">
        <v>355</v>
      </c>
    </row>
    <row r="46579" ht="16.5" customHeight="1">
      <c r="O46579" s="5" t="s">
        <v>355</v>
      </c>
      <c r="P46579" s="5" t="s">
        <v>355</v>
      </c>
      <c r="Q46579" s="5" t="s">
        <v>355</v>
      </c>
    </row>
    <row r="46580" ht="16.5" customHeight="1">
      <c r="O46580" s="5" t="s">
        <v>355</v>
      </c>
      <c r="P46580" s="5" t="s">
        <v>355</v>
      </c>
      <c r="Q46580" s="5" t="s">
        <v>355</v>
      </c>
    </row>
    <row r="46581" ht="16.5" customHeight="1">
      <c r="O46581" s="5" t="s">
        <v>355</v>
      </c>
      <c r="P46581" s="5" t="s">
        <v>355</v>
      </c>
      <c r="Q46581" s="5" t="s">
        <v>355</v>
      </c>
    </row>
    <row r="46582" ht="16.5" customHeight="1">
      <c r="O46582" s="5" t="s">
        <v>355</v>
      </c>
      <c r="P46582" s="5" t="s">
        <v>355</v>
      </c>
      <c r="Q46582" s="5" t="s">
        <v>355</v>
      </c>
    </row>
    <row r="46583" ht="16.5" customHeight="1">
      <c r="O46583" s="5" t="s">
        <v>355</v>
      </c>
      <c r="P46583" s="5" t="s">
        <v>355</v>
      </c>
      <c r="Q46583" s="5" t="s">
        <v>355</v>
      </c>
    </row>
    <row r="46584" ht="16.5" customHeight="1">
      <c r="O46584" s="5" t="s">
        <v>355</v>
      </c>
      <c r="P46584" s="5" t="s">
        <v>355</v>
      </c>
      <c r="Q46584" s="5" t="s">
        <v>355</v>
      </c>
    </row>
    <row r="46585" ht="16.5" customHeight="1">
      <c r="O46585" s="5" t="s">
        <v>355</v>
      </c>
      <c r="P46585" s="5" t="s">
        <v>355</v>
      </c>
      <c r="Q46585" s="5" t="s">
        <v>355</v>
      </c>
    </row>
    <row r="46586" ht="16.5" customHeight="1">
      <c r="O46586" s="5" t="s">
        <v>355</v>
      </c>
      <c r="P46586" s="5" t="s">
        <v>355</v>
      </c>
      <c r="Q46586" s="5" t="s">
        <v>355</v>
      </c>
    </row>
    <row r="46587" ht="16.5" customHeight="1">
      <c r="O46587" s="5" t="s">
        <v>355</v>
      </c>
      <c r="P46587" s="5" t="s">
        <v>355</v>
      </c>
      <c r="Q46587" s="5" t="s">
        <v>355</v>
      </c>
    </row>
    <row r="46588" ht="16.5" customHeight="1">
      <c r="O46588" s="5" t="s">
        <v>355</v>
      </c>
      <c r="P46588" s="5" t="s">
        <v>355</v>
      </c>
      <c r="Q46588" s="5" t="s">
        <v>355</v>
      </c>
    </row>
    <row r="46589" ht="16.5" customHeight="1">
      <c r="O46589" s="5" t="s">
        <v>355</v>
      </c>
      <c r="P46589" s="5" t="s">
        <v>355</v>
      </c>
      <c r="Q46589" s="5" t="s">
        <v>355</v>
      </c>
    </row>
    <row r="46590" ht="16.5" customHeight="1">
      <c r="O46590" s="5" t="s">
        <v>355</v>
      </c>
      <c r="P46590" s="5" t="s">
        <v>355</v>
      </c>
      <c r="Q46590" s="5" t="s">
        <v>355</v>
      </c>
    </row>
    <row r="46591" ht="16.5" customHeight="1">
      <c r="O46591" s="5" t="s">
        <v>355</v>
      </c>
      <c r="P46591" s="5" t="s">
        <v>355</v>
      </c>
      <c r="Q46591" s="5" t="s">
        <v>355</v>
      </c>
    </row>
    <row r="46592" ht="16.5" customHeight="1">
      <c r="O46592" s="5" t="s">
        <v>355</v>
      </c>
      <c r="P46592" s="5" t="s">
        <v>355</v>
      </c>
      <c r="Q46592" s="5" t="s">
        <v>355</v>
      </c>
    </row>
    <row r="46593" ht="16.5" customHeight="1">
      <c r="O46593" s="5" t="s">
        <v>355</v>
      </c>
      <c r="P46593" s="5" t="s">
        <v>355</v>
      </c>
      <c r="Q46593" s="5" t="s">
        <v>355</v>
      </c>
    </row>
    <row r="46594" ht="16.5" customHeight="1">
      <c r="O46594" s="5" t="s">
        <v>355</v>
      </c>
      <c r="P46594" s="5" t="s">
        <v>355</v>
      </c>
      <c r="Q46594" s="5" t="s">
        <v>355</v>
      </c>
    </row>
    <row r="46595" ht="16.5" customHeight="1">
      <c r="O46595" s="5" t="s">
        <v>355</v>
      </c>
      <c r="P46595" s="5" t="s">
        <v>355</v>
      </c>
      <c r="Q46595" s="5" t="s">
        <v>355</v>
      </c>
    </row>
    <row r="46596" ht="16.5" customHeight="1">
      <c r="O46596" s="5" t="s">
        <v>355</v>
      </c>
      <c r="P46596" s="5" t="s">
        <v>355</v>
      </c>
      <c r="Q46596" s="5" t="s">
        <v>355</v>
      </c>
    </row>
    <row r="46597" ht="16.5" customHeight="1">
      <c r="O46597" s="5" t="s">
        <v>355</v>
      </c>
      <c r="P46597" s="5" t="s">
        <v>355</v>
      </c>
      <c r="Q46597" s="5" t="s">
        <v>355</v>
      </c>
    </row>
    <row r="46598" ht="16.5" customHeight="1">
      <c r="O46598" s="5" t="s">
        <v>355</v>
      </c>
      <c r="P46598" s="5" t="s">
        <v>355</v>
      </c>
      <c r="Q46598" s="5" t="s">
        <v>355</v>
      </c>
    </row>
    <row r="46599" ht="16.5" customHeight="1">
      <c r="O46599" s="5" t="s">
        <v>355</v>
      </c>
      <c r="P46599" s="5" t="s">
        <v>355</v>
      </c>
      <c r="Q46599" s="5" t="s">
        <v>355</v>
      </c>
    </row>
    <row r="46600" ht="16.5" customHeight="1">
      <c r="O46600" s="5" t="s">
        <v>355</v>
      </c>
      <c r="P46600" s="5" t="s">
        <v>355</v>
      </c>
      <c r="Q46600" s="5" t="s">
        <v>355</v>
      </c>
    </row>
    <row r="46601" ht="16.5" customHeight="1">
      <c r="O46601" s="5" t="s">
        <v>355</v>
      </c>
      <c r="P46601" s="5" t="s">
        <v>355</v>
      </c>
      <c r="Q46601" s="5" t="s">
        <v>355</v>
      </c>
    </row>
    <row r="46602" ht="16.5" customHeight="1">
      <c r="O46602" s="5" t="s">
        <v>355</v>
      </c>
      <c r="P46602" s="5" t="s">
        <v>355</v>
      </c>
      <c r="Q46602" s="5" t="s">
        <v>355</v>
      </c>
    </row>
    <row r="46603" ht="16.5" customHeight="1">
      <c r="O46603" s="5" t="s">
        <v>355</v>
      </c>
      <c r="P46603" s="5" t="s">
        <v>355</v>
      </c>
      <c r="Q46603" s="5" t="s">
        <v>355</v>
      </c>
    </row>
    <row r="46604" ht="16.5" customHeight="1">
      <c r="O46604" s="5" t="s">
        <v>355</v>
      </c>
      <c r="P46604" s="5" t="s">
        <v>355</v>
      </c>
      <c r="Q46604" s="5" t="s">
        <v>355</v>
      </c>
    </row>
    <row r="46605" ht="16.5" customHeight="1">
      <c r="O46605" s="5" t="s">
        <v>355</v>
      </c>
      <c r="P46605" s="5" t="s">
        <v>355</v>
      </c>
      <c r="Q46605" s="5" t="s">
        <v>355</v>
      </c>
    </row>
    <row r="46606" ht="16.5" customHeight="1">
      <c r="O46606" s="5" t="s">
        <v>355</v>
      </c>
      <c r="P46606" s="5" t="s">
        <v>355</v>
      </c>
      <c r="Q46606" s="5" t="s">
        <v>355</v>
      </c>
    </row>
    <row r="46607" ht="16.5" customHeight="1">
      <c r="O46607" s="5" t="s">
        <v>355</v>
      </c>
      <c r="P46607" s="5" t="s">
        <v>355</v>
      </c>
      <c r="Q46607" s="5" t="s">
        <v>355</v>
      </c>
    </row>
    <row r="46608" ht="16.5" customHeight="1">
      <c r="O46608" s="5" t="s">
        <v>355</v>
      </c>
      <c r="P46608" s="5" t="s">
        <v>355</v>
      </c>
      <c r="Q46608" s="5" t="s">
        <v>355</v>
      </c>
    </row>
    <row r="46609" ht="16.5" customHeight="1">
      <c r="O46609" s="5" t="s">
        <v>355</v>
      </c>
      <c r="P46609" s="5" t="s">
        <v>355</v>
      </c>
      <c r="Q46609" s="5" t="s">
        <v>355</v>
      </c>
    </row>
    <row r="46610" ht="16.5" customHeight="1">
      <c r="O46610" s="5" t="s">
        <v>355</v>
      </c>
      <c r="P46610" s="5" t="s">
        <v>355</v>
      </c>
      <c r="Q46610" s="5" t="s">
        <v>355</v>
      </c>
    </row>
    <row r="46611" ht="16.5" customHeight="1">
      <c r="O46611" s="5" t="s">
        <v>355</v>
      </c>
      <c r="P46611" s="5" t="s">
        <v>355</v>
      </c>
      <c r="Q46611" s="5" t="s">
        <v>355</v>
      </c>
    </row>
    <row r="46612" ht="16.5" customHeight="1">
      <c r="O46612" s="5" t="s">
        <v>355</v>
      </c>
      <c r="P46612" s="5" t="s">
        <v>355</v>
      </c>
      <c r="Q46612" s="5" t="s">
        <v>355</v>
      </c>
    </row>
    <row r="46613" ht="16.5" customHeight="1">
      <c r="O46613" s="5" t="s">
        <v>355</v>
      </c>
      <c r="P46613" s="5" t="s">
        <v>355</v>
      </c>
      <c r="Q46613" s="5" t="s">
        <v>355</v>
      </c>
    </row>
    <row r="46614" ht="16.5" customHeight="1">
      <c r="O46614" s="5" t="s">
        <v>355</v>
      </c>
      <c r="P46614" s="5" t="s">
        <v>355</v>
      </c>
      <c r="Q46614" s="5" t="s">
        <v>355</v>
      </c>
    </row>
    <row r="46615" ht="16.5" customHeight="1">
      <c r="O46615" s="5" t="s">
        <v>355</v>
      </c>
      <c r="P46615" s="5" t="s">
        <v>355</v>
      </c>
      <c r="Q46615" s="5" t="s">
        <v>355</v>
      </c>
    </row>
    <row r="46616" ht="16.5" customHeight="1">
      <c r="O46616" s="5" t="s">
        <v>355</v>
      </c>
      <c r="P46616" s="5" t="s">
        <v>355</v>
      </c>
      <c r="Q46616" s="5" t="s">
        <v>355</v>
      </c>
    </row>
    <row r="46617" ht="16.5" customHeight="1">
      <c r="O46617" s="5" t="s">
        <v>355</v>
      </c>
      <c r="P46617" s="5" t="s">
        <v>355</v>
      </c>
      <c r="Q46617" s="5" t="s">
        <v>355</v>
      </c>
    </row>
    <row r="46618" ht="16.5" customHeight="1">
      <c r="O46618" s="5" t="s">
        <v>355</v>
      </c>
      <c r="P46618" s="5" t="s">
        <v>355</v>
      </c>
      <c r="Q46618" s="5" t="s">
        <v>355</v>
      </c>
    </row>
    <row r="46619" ht="16.5" customHeight="1">
      <c r="O46619" s="5" t="s">
        <v>355</v>
      </c>
      <c r="P46619" s="5" t="s">
        <v>355</v>
      </c>
      <c r="Q46619" s="5" t="s">
        <v>355</v>
      </c>
    </row>
    <row r="46620" ht="16.5" customHeight="1">
      <c r="O46620" s="5" t="s">
        <v>355</v>
      </c>
      <c r="P46620" s="5" t="s">
        <v>355</v>
      </c>
      <c r="Q46620" s="5" t="s">
        <v>355</v>
      </c>
    </row>
    <row r="46621" ht="16.5" customHeight="1">
      <c r="O46621" s="5" t="s">
        <v>355</v>
      </c>
      <c r="P46621" s="5" t="s">
        <v>355</v>
      </c>
      <c r="Q46621" s="5" t="s">
        <v>355</v>
      </c>
    </row>
    <row r="46622" ht="16.5" customHeight="1">
      <c r="O46622" s="5" t="s">
        <v>355</v>
      </c>
      <c r="P46622" s="5" t="s">
        <v>355</v>
      </c>
      <c r="Q46622" s="5" t="s">
        <v>355</v>
      </c>
    </row>
    <row r="46623" ht="16.5" customHeight="1">
      <c r="O46623" s="5" t="s">
        <v>355</v>
      </c>
      <c r="P46623" s="5" t="s">
        <v>355</v>
      </c>
      <c r="Q46623" s="5" t="s">
        <v>355</v>
      </c>
    </row>
    <row r="46624" ht="16.5" customHeight="1">
      <c r="O46624" s="5" t="s">
        <v>355</v>
      </c>
      <c r="P46624" s="5" t="s">
        <v>355</v>
      </c>
      <c r="Q46624" s="5" t="s">
        <v>355</v>
      </c>
    </row>
    <row r="46625" ht="16.5" customHeight="1">
      <c r="O46625" s="5" t="s">
        <v>355</v>
      </c>
      <c r="P46625" s="5" t="s">
        <v>355</v>
      </c>
      <c r="Q46625" s="5" t="s">
        <v>355</v>
      </c>
    </row>
    <row r="46626" ht="16.5" customHeight="1">
      <c r="O46626" s="5" t="s">
        <v>355</v>
      </c>
      <c r="P46626" s="5" t="s">
        <v>355</v>
      </c>
      <c r="Q46626" s="5" t="s">
        <v>355</v>
      </c>
    </row>
    <row r="46627" ht="16.5" customHeight="1">
      <c r="O46627" s="5" t="s">
        <v>355</v>
      </c>
      <c r="P46627" s="5" t="s">
        <v>355</v>
      </c>
      <c r="Q46627" s="5" t="s">
        <v>355</v>
      </c>
    </row>
    <row r="46628" ht="16.5" customHeight="1">
      <c r="O46628" s="5" t="s">
        <v>355</v>
      </c>
      <c r="P46628" s="5" t="s">
        <v>355</v>
      </c>
      <c r="Q46628" s="5" t="s">
        <v>355</v>
      </c>
    </row>
    <row r="46629" ht="16.5" customHeight="1">
      <c r="O46629" s="5" t="s">
        <v>355</v>
      </c>
      <c r="P46629" s="5" t="s">
        <v>355</v>
      </c>
      <c r="Q46629" s="5" t="s">
        <v>355</v>
      </c>
    </row>
    <row r="46630" ht="16.5" customHeight="1">
      <c r="O46630" s="5" t="s">
        <v>355</v>
      </c>
      <c r="P46630" s="5" t="s">
        <v>355</v>
      </c>
      <c r="Q46630" s="5" t="s">
        <v>355</v>
      </c>
    </row>
    <row r="46631" ht="16.5" customHeight="1">
      <c r="O46631" s="5" t="s">
        <v>355</v>
      </c>
      <c r="P46631" s="5" t="s">
        <v>355</v>
      </c>
      <c r="Q46631" s="5" t="s">
        <v>355</v>
      </c>
    </row>
    <row r="46632" ht="16.5" customHeight="1">
      <c r="O46632" s="5" t="s">
        <v>355</v>
      </c>
      <c r="P46632" s="5" t="s">
        <v>355</v>
      </c>
      <c r="Q46632" s="5" t="s">
        <v>355</v>
      </c>
    </row>
    <row r="46633" ht="16.5" customHeight="1">
      <c r="O46633" s="5" t="s">
        <v>355</v>
      </c>
      <c r="P46633" s="5" t="s">
        <v>355</v>
      </c>
      <c r="Q46633" s="5" t="s">
        <v>355</v>
      </c>
    </row>
    <row r="46634" ht="16.5" customHeight="1">
      <c r="O46634" s="5" t="s">
        <v>355</v>
      </c>
      <c r="P46634" s="5" t="s">
        <v>355</v>
      </c>
      <c r="Q46634" s="5" t="s">
        <v>355</v>
      </c>
    </row>
    <row r="46635" ht="16.5" customHeight="1">
      <c r="O46635" s="5" t="s">
        <v>355</v>
      </c>
      <c r="P46635" s="5" t="s">
        <v>355</v>
      </c>
      <c r="Q46635" s="5" t="s">
        <v>355</v>
      </c>
    </row>
    <row r="46636" ht="16.5" customHeight="1">
      <c r="O46636" s="5" t="s">
        <v>355</v>
      </c>
      <c r="P46636" s="5" t="s">
        <v>355</v>
      </c>
      <c r="Q46636" s="5" t="s">
        <v>355</v>
      </c>
    </row>
    <row r="46637" ht="16.5" customHeight="1">
      <c r="O46637" s="5" t="s">
        <v>355</v>
      </c>
      <c r="P46637" s="5" t="s">
        <v>355</v>
      </c>
      <c r="Q46637" s="5" t="s">
        <v>355</v>
      </c>
    </row>
    <row r="46638" ht="16.5" customHeight="1">
      <c r="O46638" s="5" t="s">
        <v>355</v>
      </c>
      <c r="P46638" s="5" t="s">
        <v>355</v>
      </c>
      <c r="Q46638" s="5" t="s">
        <v>355</v>
      </c>
    </row>
    <row r="46639" ht="16.5" customHeight="1">
      <c r="O46639" s="5" t="s">
        <v>355</v>
      </c>
      <c r="P46639" s="5" t="s">
        <v>355</v>
      </c>
      <c r="Q46639" s="5" t="s">
        <v>355</v>
      </c>
    </row>
    <row r="46640" ht="16.5" customHeight="1">
      <c r="O46640" s="5" t="s">
        <v>355</v>
      </c>
      <c r="P46640" s="5" t="s">
        <v>355</v>
      </c>
      <c r="Q46640" s="5" t="s">
        <v>355</v>
      </c>
    </row>
    <row r="46641" ht="16.5" customHeight="1">
      <c r="O46641" s="5" t="s">
        <v>355</v>
      </c>
      <c r="P46641" s="5" t="s">
        <v>355</v>
      </c>
      <c r="Q46641" s="5" t="s">
        <v>355</v>
      </c>
    </row>
    <row r="46642" ht="16.5" customHeight="1">
      <c r="O46642" s="5" t="s">
        <v>355</v>
      </c>
      <c r="P46642" s="5" t="s">
        <v>355</v>
      </c>
      <c r="Q46642" s="5" t="s">
        <v>355</v>
      </c>
    </row>
    <row r="46643" ht="16.5" customHeight="1">
      <c r="O46643" s="5" t="s">
        <v>355</v>
      </c>
      <c r="P46643" s="5" t="s">
        <v>355</v>
      </c>
      <c r="Q46643" s="5" t="s">
        <v>355</v>
      </c>
    </row>
    <row r="46644" ht="16.5" customHeight="1">
      <c r="O46644" s="5" t="s">
        <v>355</v>
      </c>
      <c r="P46644" s="5" t="s">
        <v>355</v>
      </c>
      <c r="Q46644" s="5" t="s">
        <v>355</v>
      </c>
    </row>
    <row r="46645" ht="16.5" customHeight="1">
      <c r="O46645" s="5" t="s">
        <v>355</v>
      </c>
      <c r="P46645" s="5" t="s">
        <v>355</v>
      </c>
      <c r="Q46645" s="5" t="s">
        <v>355</v>
      </c>
    </row>
    <row r="46646" ht="16.5" customHeight="1">
      <c r="O46646" s="5" t="s">
        <v>355</v>
      </c>
      <c r="P46646" s="5" t="s">
        <v>355</v>
      </c>
      <c r="Q46646" s="5" t="s">
        <v>355</v>
      </c>
    </row>
    <row r="46647" ht="16.5" customHeight="1">
      <c r="O46647" s="5" t="s">
        <v>355</v>
      </c>
      <c r="P46647" s="5" t="s">
        <v>355</v>
      </c>
      <c r="Q46647" s="5" t="s">
        <v>355</v>
      </c>
    </row>
    <row r="46648" ht="16.5" customHeight="1">
      <c r="O46648" s="5" t="s">
        <v>355</v>
      </c>
      <c r="P46648" s="5" t="s">
        <v>355</v>
      </c>
      <c r="Q46648" s="5" t="s">
        <v>355</v>
      </c>
    </row>
    <row r="46649" ht="16.5" customHeight="1">
      <c r="O46649" s="5" t="s">
        <v>355</v>
      </c>
      <c r="P46649" s="5" t="s">
        <v>355</v>
      </c>
      <c r="Q46649" s="5" t="s">
        <v>355</v>
      </c>
    </row>
    <row r="46650" ht="16.5" customHeight="1">
      <c r="O46650" s="5" t="s">
        <v>355</v>
      </c>
      <c r="P46650" s="5" t="s">
        <v>355</v>
      </c>
      <c r="Q46650" s="5" t="s">
        <v>355</v>
      </c>
    </row>
    <row r="46651" ht="16.5" customHeight="1">
      <c r="O46651" s="5" t="s">
        <v>355</v>
      </c>
      <c r="P46651" s="5" t="s">
        <v>355</v>
      </c>
      <c r="Q46651" s="5" t="s">
        <v>355</v>
      </c>
    </row>
    <row r="46652" ht="16.5" customHeight="1">
      <c r="O46652" s="5" t="s">
        <v>355</v>
      </c>
      <c r="P46652" s="5" t="s">
        <v>355</v>
      </c>
      <c r="Q46652" s="5" t="s">
        <v>355</v>
      </c>
    </row>
    <row r="46653" ht="16.5" customHeight="1">
      <c r="O46653" s="5" t="s">
        <v>355</v>
      </c>
      <c r="P46653" s="5" t="s">
        <v>355</v>
      </c>
      <c r="Q46653" s="5" t="s">
        <v>355</v>
      </c>
    </row>
    <row r="46654" ht="16.5" customHeight="1">
      <c r="O46654" s="5" t="s">
        <v>355</v>
      </c>
      <c r="P46654" s="5" t="s">
        <v>355</v>
      </c>
      <c r="Q46654" s="5" t="s">
        <v>355</v>
      </c>
    </row>
    <row r="46655" ht="16.5" customHeight="1">
      <c r="O46655" s="5" t="s">
        <v>355</v>
      </c>
      <c r="P46655" s="5" t="s">
        <v>355</v>
      </c>
      <c r="Q46655" s="5" t="s">
        <v>355</v>
      </c>
    </row>
    <row r="46656" ht="16.5" customHeight="1">
      <c r="O46656" s="5" t="s">
        <v>355</v>
      </c>
      <c r="P46656" s="5" t="s">
        <v>355</v>
      </c>
      <c r="Q46656" s="5" t="s">
        <v>355</v>
      </c>
    </row>
    <row r="46657" ht="16.5" customHeight="1">
      <c r="O46657" s="5" t="s">
        <v>355</v>
      </c>
      <c r="P46657" s="5" t="s">
        <v>355</v>
      </c>
      <c r="Q46657" s="5" t="s">
        <v>355</v>
      </c>
    </row>
    <row r="46658" ht="16.5" customHeight="1">
      <c r="O46658" s="5" t="s">
        <v>355</v>
      </c>
      <c r="P46658" s="5" t="s">
        <v>355</v>
      </c>
      <c r="Q46658" s="5" t="s">
        <v>355</v>
      </c>
    </row>
    <row r="46659" ht="16.5" customHeight="1">
      <c r="O46659" s="5" t="s">
        <v>355</v>
      </c>
      <c r="P46659" s="5" t="s">
        <v>355</v>
      </c>
      <c r="Q46659" s="5" t="s">
        <v>355</v>
      </c>
    </row>
    <row r="46660" ht="16.5" customHeight="1">
      <c r="O46660" s="5" t="s">
        <v>355</v>
      </c>
      <c r="P46660" s="5" t="s">
        <v>355</v>
      </c>
      <c r="Q46660" s="5" t="s">
        <v>355</v>
      </c>
    </row>
    <row r="46661" ht="16.5" customHeight="1">
      <c r="O46661" s="5" t="s">
        <v>355</v>
      </c>
      <c r="P46661" s="5" t="s">
        <v>355</v>
      </c>
      <c r="Q46661" s="5" t="s">
        <v>355</v>
      </c>
    </row>
    <row r="46662" ht="16.5" customHeight="1">
      <c r="O46662" s="5" t="s">
        <v>355</v>
      </c>
      <c r="P46662" s="5" t="s">
        <v>355</v>
      </c>
      <c r="Q46662" s="5" t="s">
        <v>355</v>
      </c>
    </row>
    <row r="46663" ht="16.5" customHeight="1">
      <c r="O46663" s="5" t="s">
        <v>355</v>
      </c>
      <c r="P46663" s="5" t="s">
        <v>355</v>
      </c>
      <c r="Q46663" s="5" t="s">
        <v>355</v>
      </c>
    </row>
    <row r="46664" ht="16.5" customHeight="1">
      <c r="O46664" s="5" t="s">
        <v>355</v>
      </c>
      <c r="P46664" s="5" t="s">
        <v>355</v>
      </c>
      <c r="Q46664" s="5" t="s">
        <v>355</v>
      </c>
    </row>
    <row r="46665" ht="16.5" customHeight="1">
      <c r="O46665" s="5" t="s">
        <v>355</v>
      </c>
      <c r="P46665" s="5" t="s">
        <v>355</v>
      </c>
      <c r="Q46665" s="5" t="s">
        <v>355</v>
      </c>
    </row>
    <row r="46666" ht="16.5" customHeight="1">
      <c r="O46666" s="5" t="s">
        <v>355</v>
      </c>
      <c r="P46666" s="5" t="s">
        <v>355</v>
      </c>
      <c r="Q46666" s="5" t="s">
        <v>355</v>
      </c>
    </row>
    <row r="46667" ht="16.5" customHeight="1">
      <c r="O46667" s="5" t="s">
        <v>355</v>
      </c>
      <c r="P46667" s="5" t="s">
        <v>355</v>
      </c>
      <c r="Q46667" s="5" t="s">
        <v>355</v>
      </c>
    </row>
    <row r="46668" ht="16.5" customHeight="1">
      <c r="O46668" s="5" t="s">
        <v>355</v>
      </c>
      <c r="P46668" s="5" t="s">
        <v>355</v>
      </c>
      <c r="Q46668" s="5" t="s">
        <v>355</v>
      </c>
    </row>
    <row r="46669" ht="16.5" customHeight="1">
      <c r="O46669" s="5" t="s">
        <v>355</v>
      </c>
      <c r="P46669" s="5" t="s">
        <v>355</v>
      </c>
      <c r="Q46669" s="5" t="s">
        <v>355</v>
      </c>
    </row>
    <row r="46670" ht="16.5" customHeight="1">
      <c r="O46670" s="5" t="s">
        <v>355</v>
      </c>
      <c r="P46670" s="5" t="s">
        <v>355</v>
      </c>
      <c r="Q46670" s="5" t="s">
        <v>355</v>
      </c>
    </row>
    <row r="46671" ht="16.5" customHeight="1">
      <c r="O46671" s="5" t="s">
        <v>355</v>
      </c>
      <c r="P46671" s="5" t="s">
        <v>355</v>
      </c>
      <c r="Q46671" s="5" t="s">
        <v>355</v>
      </c>
    </row>
    <row r="46672" ht="16.5" customHeight="1">
      <c r="O46672" s="5" t="s">
        <v>355</v>
      </c>
      <c r="P46672" s="5" t="s">
        <v>355</v>
      </c>
      <c r="Q46672" s="5" t="s">
        <v>355</v>
      </c>
    </row>
    <row r="46673" ht="16.5" customHeight="1">
      <c r="O46673" s="5" t="s">
        <v>355</v>
      </c>
      <c r="P46673" s="5" t="s">
        <v>355</v>
      </c>
      <c r="Q46673" s="5" t="s">
        <v>355</v>
      </c>
    </row>
    <row r="46674" ht="16.5" customHeight="1">
      <c r="O46674" s="5" t="s">
        <v>355</v>
      </c>
      <c r="P46674" s="5" t="s">
        <v>355</v>
      </c>
      <c r="Q46674" s="5" t="s">
        <v>355</v>
      </c>
    </row>
    <row r="46675" ht="16.5" customHeight="1">
      <c r="O46675" s="5" t="s">
        <v>355</v>
      </c>
      <c r="P46675" s="5" t="s">
        <v>355</v>
      </c>
      <c r="Q46675" s="5" t="s">
        <v>355</v>
      </c>
    </row>
    <row r="46676" ht="16.5" customHeight="1">
      <c r="O46676" s="5" t="s">
        <v>355</v>
      </c>
      <c r="P46676" s="5" t="s">
        <v>355</v>
      </c>
      <c r="Q46676" s="5" t="s">
        <v>355</v>
      </c>
    </row>
    <row r="46677" ht="16.5" customHeight="1">
      <c r="O46677" s="5" t="s">
        <v>355</v>
      </c>
      <c r="P46677" s="5" t="s">
        <v>355</v>
      </c>
      <c r="Q46677" s="5" t="s">
        <v>355</v>
      </c>
    </row>
    <row r="46678" ht="16.5" customHeight="1">
      <c r="O46678" s="5" t="s">
        <v>355</v>
      </c>
      <c r="P46678" s="5" t="s">
        <v>355</v>
      </c>
      <c r="Q46678" s="5" t="s">
        <v>355</v>
      </c>
    </row>
    <row r="46679" ht="16.5" customHeight="1">
      <c r="O46679" s="5" t="s">
        <v>355</v>
      </c>
      <c r="P46679" s="5" t="s">
        <v>355</v>
      </c>
      <c r="Q46679" s="5" t="s">
        <v>355</v>
      </c>
    </row>
    <row r="46680" ht="16.5" customHeight="1">
      <c r="O46680" s="5" t="s">
        <v>355</v>
      </c>
      <c r="P46680" s="5" t="s">
        <v>355</v>
      </c>
      <c r="Q46680" s="5" t="s">
        <v>355</v>
      </c>
    </row>
    <row r="46681" ht="16.5" customHeight="1">
      <c r="O46681" s="5" t="s">
        <v>355</v>
      </c>
      <c r="P46681" s="5" t="s">
        <v>355</v>
      </c>
      <c r="Q46681" s="5" t="s">
        <v>355</v>
      </c>
    </row>
    <row r="46682" ht="16.5" customHeight="1">
      <c r="O46682" s="5" t="s">
        <v>355</v>
      </c>
      <c r="P46682" s="5" t="s">
        <v>355</v>
      </c>
      <c r="Q46682" s="5" t="s">
        <v>355</v>
      </c>
    </row>
    <row r="46683" ht="16.5" customHeight="1">
      <c r="O46683" s="5" t="s">
        <v>355</v>
      </c>
      <c r="P46683" s="5" t="s">
        <v>355</v>
      </c>
      <c r="Q46683" s="5" t="s">
        <v>355</v>
      </c>
    </row>
    <row r="46684" ht="16.5" customHeight="1">
      <c r="O46684" s="5" t="s">
        <v>355</v>
      </c>
      <c r="P46684" s="5" t="s">
        <v>355</v>
      </c>
      <c r="Q46684" s="5" t="s">
        <v>355</v>
      </c>
    </row>
    <row r="46685" ht="16.5" customHeight="1">
      <c r="O46685" s="5" t="s">
        <v>355</v>
      </c>
      <c r="P46685" s="5" t="s">
        <v>355</v>
      </c>
      <c r="Q46685" s="5" t="s">
        <v>355</v>
      </c>
    </row>
    <row r="46686" ht="16.5" customHeight="1">
      <c r="O46686" s="5" t="s">
        <v>355</v>
      </c>
      <c r="P46686" s="5" t="s">
        <v>355</v>
      </c>
      <c r="Q46686" s="5" t="s">
        <v>355</v>
      </c>
    </row>
    <row r="46687" ht="16.5" customHeight="1">
      <c r="O46687" s="5" t="s">
        <v>355</v>
      </c>
      <c r="P46687" s="5" t="s">
        <v>355</v>
      </c>
      <c r="Q46687" s="5" t="s">
        <v>355</v>
      </c>
    </row>
    <row r="46688" ht="16.5" customHeight="1">
      <c r="O46688" s="5" t="s">
        <v>355</v>
      </c>
      <c r="P46688" s="5" t="s">
        <v>355</v>
      </c>
      <c r="Q46688" s="5" t="s">
        <v>355</v>
      </c>
    </row>
    <row r="46689" ht="16.5" customHeight="1">
      <c r="O46689" s="5" t="s">
        <v>355</v>
      </c>
      <c r="P46689" s="5" t="s">
        <v>355</v>
      </c>
      <c r="Q46689" s="5" t="s">
        <v>355</v>
      </c>
    </row>
    <row r="46690" ht="16.5" customHeight="1">
      <c r="O46690" s="5" t="s">
        <v>355</v>
      </c>
      <c r="P46690" s="5" t="s">
        <v>355</v>
      </c>
      <c r="Q46690" s="5" t="s">
        <v>355</v>
      </c>
    </row>
    <row r="46691" ht="16.5" customHeight="1">
      <c r="O46691" s="5" t="s">
        <v>355</v>
      </c>
      <c r="P46691" s="5" t="s">
        <v>355</v>
      </c>
      <c r="Q46691" s="5" t="s">
        <v>355</v>
      </c>
    </row>
    <row r="46692" ht="16.5" customHeight="1">
      <c r="O46692" s="5" t="s">
        <v>355</v>
      </c>
      <c r="P46692" s="5" t="s">
        <v>355</v>
      </c>
      <c r="Q46692" s="5" t="s">
        <v>355</v>
      </c>
    </row>
    <row r="46693" ht="16.5" customHeight="1">
      <c r="O46693" s="5" t="s">
        <v>355</v>
      </c>
      <c r="P46693" s="5" t="s">
        <v>355</v>
      </c>
      <c r="Q46693" s="5" t="s">
        <v>355</v>
      </c>
    </row>
    <row r="46694" ht="16.5" customHeight="1">
      <c r="O46694" s="5" t="s">
        <v>355</v>
      </c>
      <c r="P46694" s="5" t="s">
        <v>355</v>
      </c>
      <c r="Q46694" s="5" t="s">
        <v>355</v>
      </c>
    </row>
    <row r="46695" ht="16.5" customHeight="1">
      <c r="O46695" s="5" t="s">
        <v>355</v>
      </c>
      <c r="P46695" s="5" t="s">
        <v>355</v>
      </c>
      <c r="Q46695" s="5" t="s">
        <v>355</v>
      </c>
    </row>
    <row r="46696" ht="16.5" customHeight="1">
      <c r="O46696" s="5" t="s">
        <v>355</v>
      </c>
      <c r="P46696" s="5" t="s">
        <v>355</v>
      </c>
      <c r="Q46696" s="5" t="s">
        <v>355</v>
      </c>
    </row>
    <row r="46697" ht="16.5" customHeight="1">
      <c r="O46697" s="5" t="s">
        <v>355</v>
      </c>
      <c r="P46697" s="5" t="s">
        <v>355</v>
      </c>
      <c r="Q46697" s="5" t="s">
        <v>355</v>
      </c>
    </row>
    <row r="46698" ht="16.5" customHeight="1">
      <c r="O46698" s="5" t="s">
        <v>355</v>
      </c>
      <c r="P46698" s="5" t="s">
        <v>355</v>
      </c>
      <c r="Q46698" s="5" t="s">
        <v>355</v>
      </c>
    </row>
    <row r="46699" ht="16.5" customHeight="1">
      <c r="O46699" s="5" t="s">
        <v>355</v>
      </c>
      <c r="P46699" s="5" t="s">
        <v>355</v>
      </c>
      <c r="Q46699" s="5" t="s">
        <v>355</v>
      </c>
    </row>
    <row r="46700" ht="16.5" customHeight="1">
      <c r="O46700" s="5" t="s">
        <v>355</v>
      </c>
      <c r="P46700" s="5" t="s">
        <v>355</v>
      </c>
      <c r="Q46700" s="5" t="s">
        <v>355</v>
      </c>
    </row>
    <row r="46701" ht="16.5" customHeight="1">
      <c r="O46701" s="5" t="s">
        <v>355</v>
      </c>
      <c r="P46701" s="5" t="s">
        <v>355</v>
      </c>
      <c r="Q46701" s="5" t="s">
        <v>355</v>
      </c>
    </row>
    <row r="46702" ht="16.5" customHeight="1">
      <c r="O46702" s="5" t="s">
        <v>355</v>
      </c>
      <c r="P46702" s="5" t="s">
        <v>355</v>
      </c>
      <c r="Q46702" s="5" t="s">
        <v>355</v>
      </c>
    </row>
    <row r="46703" ht="16.5" customHeight="1">
      <c r="O46703" s="5" t="s">
        <v>355</v>
      </c>
      <c r="P46703" s="5" t="s">
        <v>355</v>
      </c>
      <c r="Q46703" s="5" t="s">
        <v>355</v>
      </c>
    </row>
    <row r="46704" ht="16.5" customHeight="1">
      <c r="O46704" s="5" t="s">
        <v>355</v>
      </c>
      <c r="P46704" s="5" t="s">
        <v>355</v>
      </c>
      <c r="Q46704" s="5" t="s">
        <v>355</v>
      </c>
    </row>
    <row r="46705" ht="16.5" customHeight="1">
      <c r="O46705" s="5" t="s">
        <v>355</v>
      </c>
      <c r="P46705" s="5" t="s">
        <v>355</v>
      </c>
      <c r="Q46705" s="5" t="s">
        <v>355</v>
      </c>
    </row>
    <row r="46706" ht="16.5" customHeight="1">
      <c r="O46706" s="5" t="s">
        <v>355</v>
      </c>
      <c r="P46706" s="5" t="s">
        <v>355</v>
      </c>
      <c r="Q46706" s="5" t="s">
        <v>355</v>
      </c>
    </row>
    <row r="46707" ht="16.5" customHeight="1">
      <c r="O46707" s="5" t="s">
        <v>355</v>
      </c>
      <c r="P46707" s="5" t="s">
        <v>355</v>
      </c>
      <c r="Q46707" s="5" t="s">
        <v>355</v>
      </c>
    </row>
    <row r="46708" ht="16.5" customHeight="1">
      <c r="O46708" s="5" t="s">
        <v>355</v>
      </c>
      <c r="P46708" s="5" t="s">
        <v>355</v>
      </c>
      <c r="Q46708" s="5" t="s">
        <v>355</v>
      </c>
    </row>
    <row r="46709" ht="16.5" customHeight="1">
      <c r="O46709" s="5" t="s">
        <v>355</v>
      </c>
      <c r="P46709" s="5" t="s">
        <v>355</v>
      </c>
      <c r="Q46709" s="5" t="s">
        <v>355</v>
      </c>
    </row>
    <row r="46710" ht="16.5" customHeight="1">
      <c r="O46710" s="5" t="s">
        <v>355</v>
      </c>
      <c r="P46710" s="5" t="s">
        <v>355</v>
      </c>
      <c r="Q46710" s="5" t="s">
        <v>355</v>
      </c>
    </row>
    <row r="46711" ht="16.5" customHeight="1">
      <c r="O46711" s="5" t="s">
        <v>355</v>
      </c>
      <c r="P46711" s="5" t="s">
        <v>355</v>
      </c>
      <c r="Q46711" s="5" t="s">
        <v>355</v>
      </c>
    </row>
    <row r="46712" ht="16.5" customHeight="1">
      <c r="O46712" s="5" t="s">
        <v>355</v>
      </c>
      <c r="P46712" s="5" t="s">
        <v>355</v>
      </c>
      <c r="Q46712" s="5" t="s">
        <v>355</v>
      </c>
    </row>
    <row r="46713" ht="16.5" customHeight="1">
      <c r="O46713" s="5" t="s">
        <v>355</v>
      </c>
      <c r="P46713" s="5" t="s">
        <v>355</v>
      </c>
      <c r="Q46713" s="5" t="s">
        <v>355</v>
      </c>
    </row>
    <row r="46714" ht="16.5" customHeight="1">
      <c r="O46714" s="5" t="s">
        <v>355</v>
      </c>
      <c r="P46714" s="5" t="s">
        <v>355</v>
      </c>
      <c r="Q46714" s="5" t="s">
        <v>355</v>
      </c>
    </row>
    <row r="46715" ht="16.5" customHeight="1">
      <c r="O46715" s="5" t="s">
        <v>355</v>
      </c>
      <c r="P46715" s="5" t="s">
        <v>355</v>
      </c>
      <c r="Q46715" s="5" t="s">
        <v>355</v>
      </c>
    </row>
    <row r="46716" ht="16.5" customHeight="1">
      <c r="O46716" s="5" t="s">
        <v>355</v>
      </c>
      <c r="P46716" s="5" t="s">
        <v>355</v>
      </c>
      <c r="Q46716" s="5" t="s">
        <v>355</v>
      </c>
    </row>
    <row r="46717" ht="16.5" customHeight="1">
      <c r="O46717" s="5" t="s">
        <v>355</v>
      </c>
      <c r="P46717" s="5" t="s">
        <v>355</v>
      </c>
      <c r="Q46717" s="5" t="s">
        <v>355</v>
      </c>
    </row>
    <row r="46718" ht="16.5" customHeight="1">
      <c r="O46718" s="5" t="s">
        <v>355</v>
      </c>
      <c r="P46718" s="5" t="s">
        <v>355</v>
      </c>
      <c r="Q46718" s="5" t="s">
        <v>355</v>
      </c>
    </row>
    <row r="46719" ht="16.5" customHeight="1">
      <c r="O46719" s="5" t="s">
        <v>355</v>
      </c>
      <c r="P46719" s="5" t="s">
        <v>355</v>
      </c>
      <c r="Q46719" s="5" t="s">
        <v>355</v>
      </c>
    </row>
    <row r="46720" ht="16.5" customHeight="1">
      <c r="O46720" s="5" t="s">
        <v>355</v>
      </c>
      <c r="P46720" s="5" t="s">
        <v>355</v>
      </c>
      <c r="Q46720" s="5" t="s">
        <v>355</v>
      </c>
    </row>
    <row r="46721" ht="16.5" customHeight="1">
      <c r="O46721" s="5" t="s">
        <v>355</v>
      </c>
      <c r="P46721" s="5" t="s">
        <v>355</v>
      </c>
      <c r="Q46721" s="5" t="s">
        <v>355</v>
      </c>
    </row>
    <row r="46722" ht="16.5" customHeight="1">
      <c r="O46722" s="5" t="s">
        <v>355</v>
      </c>
      <c r="P46722" s="5" t="s">
        <v>355</v>
      </c>
      <c r="Q46722" s="5" t="s">
        <v>355</v>
      </c>
    </row>
    <row r="46723" ht="16.5" customHeight="1">
      <c r="O46723" s="5" t="s">
        <v>355</v>
      </c>
      <c r="P46723" s="5" t="s">
        <v>355</v>
      </c>
      <c r="Q46723" s="5" t="s">
        <v>355</v>
      </c>
    </row>
    <row r="46724" ht="16.5" customHeight="1">
      <c r="O46724" s="5" t="s">
        <v>355</v>
      </c>
      <c r="P46724" s="5" t="s">
        <v>355</v>
      </c>
      <c r="Q46724" s="5" t="s">
        <v>355</v>
      </c>
    </row>
    <row r="46725" ht="16.5" customHeight="1">
      <c r="O46725" s="5" t="s">
        <v>355</v>
      </c>
      <c r="P46725" s="5" t="s">
        <v>355</v>
      </c>
      <c r="Q46725" s="5" t="s">
        <v>355</v>
      </c>
    </row>
    <row r="46726" ht="16.5" customHeight="1">
      <c r="O46726" s="5" t="s">
        <v>355</v>
      </c>
      <c r="P46726" s="5" t="s">
        <v>355</v>
      </c>
      <c r="Q46726" s="5" t="s">
        <v>355</v>
      </c>
    </row>
    <row r="46727" ht="16.5" customHeight="1">
      <c r="O46727" s="5" t="s">
        <v>355</v>
      </c>
      <c r="P46727" s="5" t="s">
        <v>355</v>
      </c>
      <c r="Q46727" s="5" t="s">
        <v>355</v>
      </c>
    </row>
    <row r="46728" ht="16.5" customHeight="1">
      <c r="O46728" s="5" t="s">
        <v>355</v>
      </c>
      <c r="P46728" s="5" t="s">
        <v>355</v>
      </c>
      <c r="Q46728" s="5" t="s">
        <v>355</v>
      </c>
    </row>
    <row r="46729" ht="16.5" customHeight="1">
      <c r="O46729" s="5" t="s">
        <v>355</v>
      </c>
      <c r="P46729" s="5" t="s">
        <v>355</v>
      </c>
      <c r="Q46729" s="5" t="s">
        <v>355</v>
      </c>
    </row>
    <row r="46730" ht="16.5" customHeight="1">
      <c r="O46730" s="5" t="s">
        <v>355</v>
      </c>
      <c r="P46730" s="5" t="s">
        <v>355</v>
      </c>
      <c r="Q46730" s="5" t="s">
        <v>355</v>
      </c>
    </row>
    <row r="46731" ht="16.5" customHeight="1">
      <c r="O46731" s="5" t="s">
        <v>355</v>
      </c>
      <c r="P46731" s="5" t="s">
        <v>355</v>
      </c>
      <c r="Q46731" s="5" t="s">
        <v>355</v>
      </c>
    </row>
    <row r="46732" ht="16.5" customHeight="1">
      <c r="O46732" s="5" t="s">
        <v>355</v>
      </c>
      <c r="P46732" s="5" t="s">
        <v>355</v>
      </c>
      <c r="Q46732" s="5" t="s">
        <v>355</v>
      </c>
    </row>
    <row r="46733" ht="16.5" customHeight="1">
      <c r="O46733" s="5" t="s">
        <v>355</v>
      </c>
      <c r="P46733" s="5" t="s">
        <v>355</v>
      </c>
      <c r="Q46733" s="5" t="s">
        <v>355</v>
      </c>
    </row>
    <row r="46734" ht="16.5" customHeight="1">
      <c r="O46734" s="5" t="s">
        <v>355</v>
      </c>
      <c r="P46734" s="5" t="s">
        <v>355</v>
      </c>
      <c r="Q46734" s="5" t="s">
        <v>355</v>
      </c>
    </row>
    <row r="46735" ht="16.5" customHeight="1">
      <c r="O46735" s="5" t="s">
        <v>355</v>
      </c>
      <c r="P46735" s="5" t="s">
        <v>355</v>
      </c>
      <c r="Q46735" s="5" t="s">
        <v>355</v>
      </c>
    </row>
    <row r="46736" ht="16.5" customHeight="1">
      <c r="O46736" s="5" t="s">
        <v>355</v>
      </c>
      <c r="P46736" s="5" t="s">
        <v>355</v>
      </c>
      <c r="Q46736" s="5" t="s">
        <v>355</v>
      </c>
    </row>
    <row r="46737" ht="16.5" customHeight="1">
      <c r="O46737" s="5" t="s">
        <v>355</v>
      </c>
      <c r="P46737" s="5" t="s">
        <v>355</v>
      </c>
      <c r="Q46737" s="5" t="s">
        <v>355</v>
      </c>
    </row>
    <row r="46738" ht="16.5" customHeight="1">
      <c r="O46738" s="5" t="s">
        <v>355</v>
      </c>
      <c r="P46738" s="5" t="s">
        <v>355</v>
      </c>
      <c r="Q46738" s="5" t="s">
        <v>355</v>
      </c>
    </row>
    <row r="46739" ht="16.5" customHeight="1">
      <c r="O46739" s="5" t="s">
        <v>355</v>
      </c>
      <c r="P46739" s="5" t="s">
        <v>355</v>
      </c>
      <c r="Q46739" s="5" t="s">
        <v>355</v>
      </c>
    </row>
    <row r="46740" ht="16.5" customHeight="1">
      <c r="O46740" s="5" t="s">
        <v>355</v>
      </c>
      <c r="P46740" s="5" t="s">
        <v>355</v>
      </c>
      <c r="Q46740" s="5" t="s">
        <v>355</v>
      </c>
    </row>
    <row r="46741" ht="16.5" customHeight="1">
      <c r="O46741" s="5" t="s">
        <v>355</v>
      </c>
      <c r="P46741" s="5" t="s">
        <v>355</v>
      </c>
      <c r="Q46741" s="5" t="s">
        <v>355</v>
      </c>
    </row>
    <row r="46742" ht="16.5" customHeight="1">
      <c r="O46742" s="5" t="s">
        <v>355</v>
      </c>
      <c r="P46742" s="5" t="s">
        <v>355</v>
      </c>
      <c r="Q46742" s="5" t="s">
        <v>355</v>
      </c>
    </row>
    <row r="46743" ht="16.5" customHeight="1">
      <c r="O46743" s="5" t="s">
        <v>355</v>
      </c>
      <c r="P46743" s="5" t="s">
        <v>355</v>
      </c>
      <c r="Q46743" s="5" t="s">
        <v>355</v>
      </c>
    </row>
    <row r="46744" ht="16.5" customHeight="1">
      <c r="O46744" s="5" t="s">
        <v>355</v>
      </c>
      <c r="P46744" s="5" t="s">
        <v>355</v>
      </c>
      <c r="Q46744" s="5" t="s">
        <v>355</v>
      </c>
    </row>
    <row r="46745" ht="16.5" customHeight="1">
      <c r="O46745" s="5" t="s">
        <v>355</v>
      </c>
      <c r="P46745" s="5" t="s">
        <v>355</v>
      </c>
      <c r="Q46745" s="5" t="s">
        <v>355</v>
      </c>
    </row>
    <row r="46746" ht="16.5" customHeight="1">
      <c r="O46746" s="5" t="s">
        <v>355</v>
      </c>
      <c r="P46746" s="5" t="s">
        <v>355</v>
      </c>
      <c r="Q46746" s="5" t="s">
        <v>355</v>
      </c>
    </row>
    <row r="46747" ht="16.5" customHeight="1">
      <c r="O46747" s="5" t="s">
        <v>355</v>
      </c>
      <c r="P46747" s="5" t="s">
        <v>355</v>
      </c>
      <c r="Q46747" s="5" t="s">
        <v>355</v>
      </c>
    </row>
    <row r="46748" ht="16.5" customHeight="1">
      <c r="O46748" s="5" t="s">
        <v>355</v>
      </c>
      <c r="P46748" s="5" t="s">
        <v>355</v>
      </c>
      <c r="Q46748" s="5" t="s">
        <v>355</v>
      </c>
    </row>
    <row r="46749" ht="16.5" customHeight="1">
      <c r="O46749" s="5" t="s">
        <v>355</v>
      </c>
      <c r="P46749" s="5" t="s">
        <v>355</v>
      </c>
      <c r="Q46749" s="5" t="s">
        <v>355</v>
      </c>
    </row>
    <row r="46750" ht="16.5" customHeight="1">
      <c r="O46750" s="5" t="s">
        <v>355</v>
      </c>
      <c r="P46750" s="5" t="s">
        <v>355</v>
      </c>
      <c r="Q46750" s="5" t="s">
        <v>355</v>
      </c>
    </row>
    <row r="46751" ht="16.5" customHeight="1">
      <c r="O46751" s="5" t="s">
        <v>355</v>
      </c>
      <c r="P46751" s="5" t="s">
        <v>355</v>
      </c>
      <c r="Q46751" s="5" t="s">
        <v>355</v>
      </c>
    </row>
    <row r="46752" ht="16.5" customHeight="1">
      <c r="O46752" s="5" t="s">
        <v>355</v>
      </c>
      <c r="P46752" s="5" t="s">
        <v>355</v>
      </c>
      <c r="Q46752" s="5" t="s">
        <v>355</v>
      </c>
    </row>
    <row r="46753" ht="16.5" customHeight="1">
      <c r="O46753" s="5" t="s">
        <v>355</v>
      </c>
      <c r="P46753" s="5" t="s">
        <v>355</v>
      </c>
      <c r="Q46753" s="5" t="s">
        <v>355</v>
      </c>
    </row>
    <row r="46754" ht="16.5" customHeight="1">
      <c r="O46754" s="5" t="s">
        <v>355</v>
      </c>
      <c r="P46754" s="5" t="s">
        <v>355</v>
      </c>
      <c r="Q46754" s="5" t="s">
        <v>355</v>
      </c>
    </row>
    <row r="46755" ht="16.5" customHeight="1">
      <c r="O46755" s="5" t="s">
        <v>355</v>
      </c>
      <c r="P46755" s="5" t="s">
        <v>355</v>
      </c>
      <c r="Q46755" s="5" t="s">
        <v>355</v>
      </c>
    </row>
    <row r="46756" ht="16.5" customHeight="1">
      <c r="O46756" s="5" t="s">
        <v>355</v>
      </c>
      <c r="P46756" s="5" t="s">
        <v>355</v>
      </c>
      <c r="Q46756" s="5" t="s">
        <v>355</v>
      </c>
    </row>
    <row r="46757" ht="16.5" customHeight="1">
      <c r="O46757" s="5" t="s">
        <v>355</v>
      </c>
      <c r="P46757" s="5" t="s">
        <v>355</v>
      </c>
      <c r="Q46757" s="5" t="s">
        <v>355</v>
      </c>
    </row>
    <row r="46758" ht="16.5" customHeight="1">
      <c r="O46758" s="5" t="s">
        <v>355</v>
      </c>
      <c r="P46758" s="5" t="s">
        <v>355</v>
      </c>
      <c r="Q46758" s="5" t="s">
        <v>355</v>
      </c>
    </row>
    <row r="46759" ht="16.5" customHeight="1">
      <c r="O46759" s="5" t="s">
        <v>355</v>
      </c>
      <c r="P46759" s="5" t="s">
        <v>355</v>
      </c>
      <c r="Q46759" s="5" t="s">
        <v>355</v>
      </c>
    </row>
    <row r="46760" ht="16.5" customHeight="1">
      <c r="O46760" s="5" t="s">
        <v>355</v>
      </c>
      <c r="P46760" s="5" t="s">
        <v>355</v>
      </c>
      <c r="Q46760" s="5" t="s">
        <v>355</v>
      </c>
    </row>
    <row r="46761" ht="16.5" customHeight="1">
      <c r="O46761" s="5" t="s">
        <v>355</v>
      </c>
      <c r="P46761" s="5" t="s">
        <v>355</v>
      </c>
      <c r="Q46761" s="5" t="s">
        <v>355</v>
      </c>
    </row>
    <row r="46762" ht="16.5" customHeight="1">
      <c r="O46762" s="5" t="s">
        <v>355</v>
      </c>
      <c r="P46762" s="5" t="s">
        <v>355</v>
      </c>
      <c r="Q46762" s="5" t="s">
        <v>355</v>
      </c>
    </row>
    <row r="46763" ht="16.5" customHeight="1">
      <c r="O46763" s="5" t="s">
        <v>355</v>
      </c>
      <c r="P46763" s="5" t="s">
        <v>355</v>
      </c>
      <c r="Q46763" s="5" t="s">
        <v>355</v>
      </c>
    </row>
    <row r="46764" ht="16.5" customHeight="1">
      <c r="O46764" s="5" t="s">
        <v>355</v>
      </c>
      <c r="P46764" s="5" t="s">
        <v>355</v>
      </c>
      <c r="Q46764" s="5" t="s">
        <v>355</v>
      </c>
    </row>
    <row r="46765" ht="16.5" customHeight="1">
      <c r="O46765" s="5" t="s">
        <v>355</v>
      </c>
      <c r="P46765" s="5" t="s">
        <v>355</v>
      </c>
      <c r="Q46765" s="5" t="s">
        <v>355</v>
      </c>
    </row>
    <row r="46766" ht="16.5" customHeight="1">
      <c r="O46766" s="5" t="s">
        <v>355</v>
      </c>
      <c r="P46766" s="5" t="s">
        <v>355</v>
      </c>
      <c r="Q46766" s="5" t="s">
        <v>355</v>
      </c>
    </row>
    <row r="46767" ht="16.5" customHeight="1">
      <c r="O46767" s="5" t="s">
        <v>355</v>
      </c>
      <c r="P46767" s="5" t="s">
        <v>355</v>
      </c>
      <c r="Q46767" s="5" t="s">
        <v>355</v>
      </c>
    </row>
    <row r="46768" ht="16.5" customHeight="1">
      <c r="O46768" s="5" t="s">
        <v>355</v>
      </c>
      <c r="P46768" s="5" t="s">
        <v>355</v>
      </c>
      <c r="Q46768" s="5" t="s">
        <v>355</v>
      </c>
    </row>
    <row r="46769" ht="16.5" customHeight="1">
      <c r="O46769" s="5" t="s">
        <v>355</v>
      </c>
      <c r="P46769" s="5" t="s">
        <v>355</v>
      </c>
      <c r="Q46769" s="5" t="s">
        <v>355</v>
      </c>
    </row>
    <row r="46770" ht="16.5" customHeight="1">
      <c r="O46770" s="5" t="s">
        <v>355</v>
      </c>
      <c r="P46770" s="5" t="s">
        <v>355</v>
      </c>
      <c r="Q46770" s="5" t="s">
        <v>355</v>
      </c>
    </row>
    <row r="46771" ht="16.5" customHeight="1">
      <c r="O46771" s="5" t="s">
        <v>355</v>
      </c>
      <c r="P46771" s="5" t="s">
        <v>355</v>
      </c>
      <c r="Q46771" s="5" t="s">
        <v>355</v>
      </c>
    </row>
    <row r="46772" ht="16.5" customHeight="1">
      <c r="O46772" s="5" t="s">
        <v>355</v>
      </c>
      <c r="P46772" s="5" t="s">
        <v>355</v>
      </c>
      <c r="Q46772" s="5" t="s">
        <v>355</v>
      </c>
    </row>
    <row r="46773" ht="16.5" customHeight="1">
      <c r="O46773" s="5" t="s">
        <v>355</v>
      </c>
      <c r="P46773" s="5" t="s">
        <v>355</v>
      </c>
      <c r="Q46773" s="5" t="s">
        <v>355</v>
      </c>
    </row>
    <row r="46774" ht="16.5" customHeight="1">
      <c r="O46774" s="5" t="s">
        <v>355</v>
      </c>
      <c r="P46774" s="5" t="s">
        <v>355</v>
      </c>
      <c r="Q46774" s="5" t="s">
        <v>355</v>
      </c>
    </row>
    <row r="46775" ht="16.5" customHeight="1">
      <c r="O46775" s="5" t="s">
        <v>355</v>
      </c>
      <c r="P46775" s="5" t="s">
        <v>355</v>
      </c>
      <c r="Q46775" s="5" t="s">
        <v>355</v>
      </c>
    </row>
    <row r="46776" ht="16.5" customHeight="1">
      <c r="O46776" s="5" t="s">
        <v>355</v>
      </c>
      <c r="P46776" s="5" t="s">
        <v>355</v>
      </c>
      <c r="Q46776" s="5" t="s">
        <v>355</v>
      </c>
    </row>
    <row r="46777" ht="16.5" customHeight="1">
      <c r="O46777" s="5" t="s">
        <v>355</v>
      </c>
      <c r="P46777" s="5" t="s">
        <v>355</v>
      </c>
      <c r="Q46777" s="5" t="s">
        <v>355</v>
      </c>
    </row>
    <row r="46778" ht="16.5" customHeight="1">
      <c r="O46778" s="5" t="s">
        <v>355</v>
      </c>
      <c r="P46778" s="5" t="s">
        <v>355</v>
      </c>
      <c r="Q46778" s="5" t="s">
        <v>355</v>
      </c>
    </row>
    <row r="46779" ht="16.5" customHeight="1">
      <c r="O46779" s="5" t="s">
        <v>355</v>
      </c>
      <c r="P46779" s="5" t="s">
        <v>355</v>
      </c>
      <c r="Q46779" s="5" t="s">
        <v>355</v>
      </c>
    </row>
    <row r="46780" ht="16.5" customHeight="1">
      <c r="O46780" s="5" t="s">
        <v>355</v>
      </c>
      <c r="P46780" s="5" t="s">
        <v>355</v>
      </c>
      <c r="Q46780" s="5" t="s">
        <v>355</v>
      </c>
    </row>
    <row r="46781" ht="16.5" customHeight="1">
      <c r="O46781" s="5" t="s">
        <v>355</v>
      </c>
      <c r="P46781" s="5" t="s">
        <v>355</v>
      </c>
      <c r="Q46781" s="5" t="s">
        <v>355</v>
      </c>
    </row>
    <row r="46782" ht="16.5" customHeight="1">
      <c r="O46782" s="5" t="s">
        <v>355</v>
      </c>
      <c r="P46782" s="5" t="s">
        <v>355</v>
      </c>
      <c r="Q46782" s="5" t="s">
        <v>355</v>
      </c>
    </row>
    <row r="46783" ht="16.5" customHeight="1">
      <c r="O46783" s="5" t="s">
        <v>355</v>
      </c>
      <c r="P46783" s="5" t="s">
        <v>355</v>
      </c>
      <c r="Q46783" s="5" t="s">
        <v>355</v>
      </c>
    </row>
    <row r="46784" ht="16.5" customHeight="1">
      <c r="O46784" s="5" t="s">
        <v>355</v>
      </c>
      <c r="P46784" s="5" t="s">
        <v>355</v>
      </c>
      <c r="Q46784" s="5" t="s">
        <v>355</v>
      </c>
    </row>
    <row r="46785" ht="16.5" customHeight="1">
      <c r="O46785" s="5" t="s">
        <v>355</v>
      </c>
      <c r="P46785" s="5" t="s">
        <v>355</v>
      </c>
      <c r="Q46785" s="5" t="s">
        <v>355</v>
      </c>
    </row>
    <row r="46786" ht="16.5" customHeight="1">
      <c r="O46786" s="5" t="s">
        <v>355</v>
      </c>
      <c r="P46786" s="5" t="s">
        <v>355</v>
      </c>
      <c r="Q46786" s="5" t="s">
        <v>355</v>
      </c>
    </row>
    <row r="46787" ht="16.5" customHeight="1">
      <c r="O46787" s="5" t="s">
        <v>355</v>
      </c>
      <c r="P46787" s="5" t="s">
        <v>355</v>
      </c>
      <c r="Q46787" s="5" t="s">
        <v>355</v>
      </c>
    </row>
    <row r="46788" ht="16.5" customHeight="1">
      <c r="O46788" s="5" t="s">
        <v>355</v>
      </c>
      <c r="P46788" s="5" t="s">
        <v>355</v>
      </c>
      <c r="Q46788" s="5" t="s">
        <v>355</v>
      </c>
    </row>
    <row r="46789" ht="16.5" customHeight="1">
      <c r="O46789" s="5" t="s">
        <v>355</v>
      </c>
      <c r="P46789" s="5" t="s">
        <v>355</v>
      </c>
      <c r="Q46789" s="5" t="s">
        <v>355</v>
      </c>
    </row>
    <row r="46790" ht="16.5" customHeight="1">
      <c r="O46790" s="5" t="s">
        <v>355</v>
      </c>
      <c r="P46790" s="5" t="s">
        <v>355</v>
      </c>
      <c r="Q46790" s="5" t="s">
        <v>355</v>
      </c>
    </row>
    <row r="46791" ht="16.5" customHeight="1">
      <c r="O46791" s="5" t="s">
        <v>355</v>
      </c>
      <c r="P46791" s="5" t="s">
        <v>355</v>
      </c>
      <c r="Q46791" s="5" t="s">
        <v>355</v>
      </c>
    </row>
    <row r="46792" ht="16.5" customHeight="1">
      <c r="O46792" s="5" t="s">
        <v>355</v>
      </c>
      <c r="P46792" s="5" t="s">
        <v>355</v>
      </c>
      <c r="Q46792" s="5" t="s">
        <v>355</v>
      </c>
    </row>
    <row r="46793" ht="16.5" customHeight="1">
      <c r="O46793" s="5" t="s">
        <v>355</v>
      </c>
      <c r="P46793" s="5" t="s">
        <v>355</v>
      </c>
      <c r="Q46793" s="5" t="s">
        <v>355</v>
      </c>
    </row>
    <row r="46794" ht="16.5" customHeight="1">
      <c r="O46794" s="5" t="s">
        <v>355</v>
      </c>
      <c r="P46794" s="5" t="s">
        <v>355</v>
      </c>
      <c r="Q46794" s="5" t="s">
        <v>355</v>
      </c>
    </row>
    <row r="46795" ht="16.5" customHeight="1">
      <c r="O46795" s="5" t="s">
        <v>355</v>
      </c>
      <c r="P46795" s="5" t="s">
        <v>355</v>
      </c>
      <c r="Q46795" s="5" t="s">
        <v>355</v>
      </c>
    </row>
    <row r="46796" ht="16.5" customHeight="1">
      <c r="O46796" s="5" t="s">
        <v>355</v>
      </c>
      <c r="P46796" s="5" t="s">
        <v>355</v>
      </c>
      <c r="Q46796" s="5" t="s">
        <v>355</v>
      </c>
    </row>
    <row r="46797" ht="16.5" customHeight="1">
      <c r="O46797" s="5" t="s">
        <v>355</v>
      </c>
      <c r="P46797" s="5" t="s">
        <v>355</v>
      </c>
      <c r="Q46797" s="5" t="s">
        <v>355</v>
      </c>
    </row>
    <row r="46798" ht="16.5" customHeight="1">
      <c r="O46798" s="5" t="s">
        <v>355</v>
      </c>
      <c r="P46798" s="5" t="s">
        <v>355</v>
      </c>
      <c r="Q46798" s="5" t="s">
        <v>355</v>
      </c>
    </row>
    <row r="46799" ht="16.5" customHeight="1">
      <c r="O46799" s="5" t="s">
        <v>355</v>
      </c>
      <c r="P46799" s="5" t="s">
        <v>355</v>
      </c>
      <c r="Q46799" s="5" t="s">
        <v>355</v>
      </c>
    </row>
    <row r="46800" ht="16.5" customHeight="1">
      <c r="O46800" s="5" t="s">
        <v>355</v>
      </c>
      <c r="P46800" s="5" t="s">
        <v>355</v>
      </c>
      <c r="Q46800" s="5" t="s">
        <v>355</v>
      </c>
    </row>
    <row r="46801" ht="16.5" customHeight="1">
      <c r="O46801" s="5" t="s">
        <v>355</v>
      </c>
      <c r="P46801" s="5" t="s">
        <v>355</v>
      </c>
      <c r="Q46801" s="5" t="s">
        <v>355</v>
      </c>
    </row>
    <row r="46802" ht="16.5" customHeight="1">
      <c r="O46802" s="5" t="s">
        <v>355</v>
      </c>
      <c r="P46802" s="5" t="s">
        <v>355</v>
      </c>
      <c r="Q46802" s="5" t="s">
        <v>355</v>
      </c>
    </row>
    <row r="46803" ht="16.5" customHeight="1">
      <c r="O46803" s="5" t="s">
        <v>355</v>
      </c>
      <c r="P46803" s="5" t="s">
        <v>355</v>
      </c>
      <c r="Q46803" s="5" t="s">
        <v>355</v>
      </c>
    </row>
    <row r="46804" ht="16.5" customHeight="1">
      <c r="O46804" s="5" t="s">
        <v>355</v>
      </c>
      <c r="P46804" s="5" t="s">
        <v>355</v>
      </c>
      <c r="Q46804" s="5" t="s">
        <v>355</v>
      </c>
    </row>
    <row r="46805" ht="16.5" customHeight="1">
      <c r="O46805" s="5" t="s">
        <v>355</v>
      </c>
      <c r="P46805" s="5" t="s">
        <v>355</v>
      </c>
      <c r="Q46805" s="5" t="s">
        <v>355</v>
      </c>
    </row>
    <row r="46806" ht="16.5" customHeight="1">
      <c r="O46806" s="5" t="s">
        <v>355</v>
      </c>
      <c r="P46806" s="5" t="s">
        <v>355</v>
      </c>
      <c r="Q46806" s="5" t="s">
        <v>355</v>
      </c>
    </row>
    <row r="46807" ht="16.5" customHeight="1">
      <c r="O46807" s="5" t="s">
        <v>355</v>
      </c>
      <c r="P46807" s="5" t="s">
        <v>355</v>
      </c>
      <c r="Q46807" s="5" t="s">
        <v>355</v>
      </c>
    </row>
    <row r="46808" ht="16.5" customHeight="1">
      <c r="O46808" s="5" t="s">
        <v>355</v>
      </c>
      <c r="P46808" s="5" t="s">
        <v>355</v>
      </c>
      <c r="Q46808" s="5" t="s">
        <v>355</v>
      </c>
    </row>
    <row r="46809" ht="16.5" customHeight="1">
      <c r="O46809" s="5" t="s">
        <v>355</v>
      </c>
      <c r="P46809" s="5" t="s">
        <v>355</v>
      </c>
      <c r="Q46809" s="5" t="s">
        <v>355</v>
      </c>
    </row>
    <row r="46810" ht="16.5" customHeight="1">
      <c r="O46810" s="5" t="s">
        <v>355</v>
      </c>
      <c r="P46810" s="5" t="s">
        <v>355</v>
      </c>
      <c r="Q46810" s="5" t="s">
        <v>355</v>
      </c>
    </row>
    <row r="46811" ht="16.5" customHeight="1">
      <c r="O46811" s="5" t="s">
        <v>355</v>
      </c>
      <c r="P46811" s="5" t="s">
        <v>355</v>
      </c>
      <c r="Q46811" s="5" t="s">
        <v>355</v>
      </c>
    </row>
    <row r="46812" ht="16.5" customHeight="1">
      <c r="O46812" s="5" t="s">
        <v>355</v>
      </c>
      <c r="P46812" s="5" t="s">
        <v>355</v>
      </c>
      <c r="Q46812" s="5" t="s">
        <v>355</v>
      </c>
    </row>
    <row r="46813" ht="16.5" customHeight="1">
      <c r="O46813" s="5" t="s">
        <v>355</v>
      </c>
      <c r="P46813" s="5" t="s">
        <v>355</v>
      </c>
      <c r="Q46813" s="5" t="s">
        <v>355</v>
      </c>
    </row>
    <row r="46814" ht="16.5" customHeight="1">
      <c r="O46814" s="5" t="s">
        <v>355</v>
      </c>
      <c r="P46814" s="5" t="s">
        <v>355</v>
      </c>
      <c r="Q46814" s="5" t="s">
        <v>355</v>
      </c>
    </row>
    <row r="46815" ht="16.5" customHeight="1">
      <c r="O46815" s="5" t="s">
        <v>355</v>
      </c>
      <c r="P46815" s="5" t="s">
        <v>355</v>
      </c>
      <c r="Q46815" s="5" t="s">
        <v>355</v>
      </c>
    </row>
    <row r="46816" ht="16.5" customHeight="1">
      <c r="O46816" s="5" t="s">
        <v>355</v>
      </c>
      <c r="P46816" s="5" t="s">
        <v>355</v>
      </c>
      <c r="Q46816" s="5" t="s">
        <v>355</v>
      </c>
    </row>
    <row r="46817" ht="16.5" customHeight="1">
      <c r="O46817" s="5" t="s">
        <v>355</v>
      </c>
      <c r="P46817" s="5" t="s">
        <v>355</v>
      </c>
      <c r="Q46817" s="5" t="s">
        <v>355</v>
      </c>
    </row>
    <row r="46818" ht="16.5" customHeight="1">
      <c r="O46818" s="5" t="s">
        <v>355</v>
      </c>
      <c r="P46818" s="5" t="s">
        <v>355</v>
      </c>
      <c r="Q46818" s="5" t="s">
        <v>355</v>
      </c>
    </row>
    <row r="46819" ht="16.5" customHeight="1">
      <c r="O46819" s="5" t="s">
        <v>355</v>
      </c>
      <c r="P46819" s="5" t="s">
        <v>355</v>
      </c>
      <c r="Q46819" s="5" t="s">
        <v>355</v>
      </c>
    </row>
    <row r="46820" ht="16.5" customHeight="1">
      <c r="O46820" s="5" t="s">
        <v>355</v>
      </c>
      <c r="P46820" s="5" t="s">
        <v>355</v>
      </c>
      <c r="Q46820" s="5" t="s">
        <v>355</v>
      </c>
    </row>
    <row r="46821" ht="16.5" customHeight="1">
      <c r="O46821" s="5" t="s">
        <v>355</v>
      </c>
      <c r="P46821" s="5" t="s">
        <v>355</v>
      </c>
      <c r="Q46821" s="5" t="s">
        <v>355</v>
      </c>
    </row>
    <row r="46822" ht="16.5" customHeight="1">
      <c r="O46822" s="5" t="s">
        <v>355</v>
      </c>
      <c r="P46822" s="5" t="s">
        <v>355</v>
      </c>
      <c r="Q46822" s="5" t="s">
        <v>355</v>
      </c>
    </row>
    <row r="46823" ht="16.5" customHeight="1">
      <c r="O46823" s="5" t="s">
        <v>355</v>
      </c>
      <c r="P46823" s="5" t="s">
        <v>355</v>
      </c>
      <c r="Q46823" s="5" t="s">
        <v>355</v>
      </c>
    </row>
    <row r="46824" ht="16.5" customHeight="1">
      <c r="O46824" s="5" t="s">
        <v>355</v>
      </c>
      <c r="P46824" s="5" t="s">
        <v>355</v>
      </c>
      <c r="Q46824" s="5" t="s">
        <v>355</v>
      </c>
    </row>
    <row r="46825" ht="16.5" customHeight="1">
      <c r="O46825" s="5" t="s">
        <v>355</v>
      </c>
      <c r="P46825" s="5" t="s">
        <v>355</v>
      </c>
      <c r="Q46825" s="5" t="s">
        <v>355</v>
      </c>
    </row>
    <row r="46826" ht="16.5" customHeight="1">
      <c r="O46826" s="5" t="s">
        <v>355</v>
      </c>
      <c r="P46826" s="5" t="s">
        <v>355</v>
      </c>
      <c r="Q46826" s="5" t="s">
        <v>355</v>
      </c>
    </row>
    <row r="46827" ht="16.5" customHeight="1">
      <c r="O46827" s="5" t="s">
        <v>355</v>
      </c>
      <c r="P46827" s="5" t="s">
        <v>355</v>
      </c>
      <c r="Q46827" s="5" t="s">
        <v>355</v>
      </c>
    </row>
    <row r="46828" ht="16.5" customHeight="1">
      <c r="O46828" s="5" t="s">
        <v>355</v>
      </c>
      <c r="P46828" s="5" t="s">
        <v>355</v>
      </c>
      <c r="Q46828" s="5" t="s">
        <v>355</v>
      </c>
    </row>
    <row r="46829" ht="16.5" customHeight="1">
      <c r="O46829" s="5" t="s">
        <v>355</v>
      </c>
      <c r="P46829" s="5" t="s">
        <v>355</v>
      </c>
      <c r="Q46829" s="5" t="s">
        <v>355</v>
      </c>
    </row>
    <row r="46830" ht="16.5" customHeight="1">
      <c r="O46830" s="5" t="s">
        <v>355</v>
      </c>
      <c r="P46830" s="5" t="s">
        <v>355</v>
      </c>
      <c r="Q46830" s="5" t="s">
        <v>355</v>
      </c>
    </row>
    <row r="46831" ht="16.5" customHeight="1">
      <c r="O46831" s="5" t="s">
        <v>355</v>
      </c>
      <c r="P46831" s="5" t="s">
        <v>355</v>
      </c>
      <c r="Q46831" s="5" t="s">
        <v>355</v>
      </c>
    </row>
    <row r="46832" ht="16.5" customHeight="1">
      <c r="O46832" s="5" t="s">
        <v>355</v>
      </c>
      <c r="P46832" s="5" t="s">
        <v>355</v>
      </c>
      <c r="Q46832" s="5" t="s">
        <v>355</v>
      </c>
    </row>
    <row r="46833" ht="16.5" customHeight="1">
      <c r="O46833" s="5" t="s">
        <v>355</v>
      </c>
      <c r="P46833" s="5" t="s">
        <v>355</v>
      </c>
      <c r="Q46833" s="5" t="s">
        <v>355</v>
      </c>
    </row>
    <row r="46834" ht="16.5" customHeight="1">
      <c r="O46834" s="5" t="s">
        <v>355</v>
      </c>
      <c r="P46834" s="5" t="s">
        <v>355</v>
      </c>
      <c r="Q46834" s="5" t="s">
        <v>355</v>
      </c>
    </row>
    <row r="46835" ht="16.5" customHeight="1">
      <c r="O46835" s="5" t="s">
        <v>355</v>
      </c>
      <c r="P46835" s="5" t="s">
        <v>355</v>
      </c>
      <c r="Q46835" s="5" t="s">
        <v>355</v>
      </c>
    </row>
    <row r="46836" ht="16.5" customHeight="1">
      <c r="O46836" s="5" t="s">
        <v>355</v>
      </c>
      <c r="P46836" s="5" t="s">
        <v>355</v>
      </c>
      <c r="Q46836" s="5" t="s">
        <v>355</v>
      </c>
    </row>
    <row r="46837" ht="16.5" customHeight="1">
      <c r="O46837" s="5" t="s">
        <v>355</v>
      </c>
      <c r="P46837" s="5" t="s">
        <v>355</v>
      </c>
      <c r="Q46837" s="5" t="s">
        <v>355</v>
      </c>
    </row>
    <row r="46838" ht="16.5" customHeight="1">
      <c r="O46838" s="5" t="s">
        <v>355</v>
      </c>
      <c r="P46838" s="5" t="s">
        <v>355</v>
      </c>
      <c r="Q46838" s="5" t="s">
        <v>355</v>
      </c>
    </row>
    <row r="46839" ht="16.5" customHeight="1">
      <c r="O46839" s="5" t="s">
        <v>355</v>
      </c>
      <c r="P46839" s="5" t="s">
        <v>355</v>
      </c>
      <c r="Q46839" s="5" t="s">
        <v>355</v>
      </c>
    </row>
    <row r="46840" ht="16.5" customHeight="1">
      <c r="O46840" s="5" t="s">
        <v>355</v>
      </c>
      <c r="P46840" s="5" t="s">
        <v>355</v>
      </c>
      <c r="Q46840" s="5" t="s">
        <v>355</v>
      </c>
    </row>
    <row r="46841" ht="16.5" customHeight="1">
      <c r="O46841" s="5" t="s">
        <v>355</v>
      </c>
      <c r="P46841" s="5" t="s">
        <v>355</v>
      </c>
      <c r="Q46841" s="5" t="s">
        <v>355</v>
      </c>
    </row>
    <row r="46842" ht="16.5" customHeight="1">
      <c r="O46842" s="5" t="s">
        <v>355</v>
      </c>
      <c r="P46842" s="5" t="s">
        <v>355</v>
      </c>
      <c r="Q46842" s="5" t="s">
        <v>355</v>
      </c>
    </row>
    <row r="46843" ht="16.5" customHeight="1">
      <c r="O46843" s="5" t="s">
        <v>355</v>
      </c>
      <c r="P46843" s="5" t="s">
        <v>355</v>
      </c>
      <c r="Q46843" s="5" t="s">
        <v>355</v>
      </c>
    </row>
    <row r="46844" ht="16.5" customHeight="1">
      <c r="O46844" s="5" t="s">
        <v>355</v>
      </c>
      <c r="P46844" s="5" t="s">
        <v>355</v>
      </c>
      <c r="Q46844" s="5" t="s">
        <v>355</v>
      </c>
    </row>
    <row r="46845" ht="16.5" customHeight="1">
      <c r="O46845" s="5" t="s">
        <v>355</v>
      </c>
      <c r="P46845" s="5" t="s">
        <v>355</v>
      </c>
      <c r="Q46845" s="5" t="s">
        <v>355</v>
      </c>
    </row>
    <row r="46846" ht="16.5" customHeight="1">
      <c r="O46846" s="5" t="s">
        <v>355</v>
      </c>
      <c r="P46846" s="5" t="s">
        <v>355</v>
      </c>
      <c r="Q46846" s="5" t="s">
        <v>355</v>
      </c>
    </row>
    <row r="46847" ht="16.5" customHeight="1">
      <c r="O46847" s="5" t="s">
        <v>355</v>
      </c>
      <c r="P46847" s="5" t="s">
        <v>355</v>
      </c>
      <c r="Q46847" s="5" t="s">
        <v>355</v>
      </c>
    </row>
    <row r="46848" ht="16.5" customHeight="1">
      <c r="O46848" s="5" t="s">
        <v>355</v>
      </c>
      <c r="P46848" s="5" t="s">
        <v>355</v>
      </c>
      <c r="Q46848" s="5" t="s">
        <v>355</v>
      </c>
    </row>
    <row r="46849" ht="16.5" customHeight="1">
      <c r="O46849" s="5" t="s">
        <v>355</v>
      </c>
      <c r="P46849" s="5" t="s">
        <v>355</v>
      </c>
      <c r="Q46849" s="5" t="s">
        <v>355</v>
      </c>
    </row>
    <row r="46850" ht="16.5" customHeight="1">
      <c r="O46850" s="5" t="s">
        <v>355</v>
      </c>
      <c r="P46850" s="5" t="s">
        <v>355</v>
      </c>
      <c r="Q46850" s="5" t="s">
        <v>355</v>
      </c>
    </row>
    <row r="46851" ht="16.5" customHeight="1">
      <c r="O46851" s="5" t="s">
        <v>355</v>
      </c>
      <c r="P46851" s="5" t="s">
        <v>355</v>
      </c>
      <c r="Q46851" s="5" t="s">
        <v>355</v>
      </c>
    </row>
    <row r="46852" ht="16.5" customHeight="1">
      <c r="O46852" s="5" t="s">
        <v>355</v>
      </c>
      <c r="P46852" s="5" t="s">
        <v>355</v>
      </c>
      <c r="Q46852" s="5" t="s">
        <v>355</v>
      </c>
    </row>
    <row r="46853" ht="16.5" customHeight="1">
      <c r="O46853" s="5" t="s">
        <v>355</v>
      </c>
      <c r="P46853" s="5" t="s">
        <v>355</v>
      </c>
      <c r="Q46853" s="5" t="s">
        <v>355</v>
      </c>
    </row>
    <row r="46854" ht="16.5" customHeight="1">
      <c r="O46854" s="5" t="s">
        <v>355</v>
      </c>
      <c r="P46854" s="5" t="s">
        <v>355</v>
      </c>
      <c r="Q46854" s="5" t="s">
        <v>355</v>
      </c>
    </row>
    <row r="46855" ht="16.5" customHeight="1">
      <c r="O46855" s="5" t="s">
        <v>355</v>
      </c>
      <c r="P46855" s="5" t="s">
        <v>355</v>
      </c>
      <c r="Q46855" s="5" t="s">
        <v>355</v>
      </c>
    </row>
    <row r="46856" ht="16.5" customHeight="1">
      <c r="O46856" s="5" t="s">
        <v>355</v>
      </c>
      <c r="P46856" s="5" t="s">
        <v>355</v>
      </c>
      <c r="Q46856" s="5" t="s">
        <v>355</v>
      </c>
    </row>
    <row r="46857" ht="16.5" customHeight="1">
      <c r="O46857" s="5" t="s">
        <v>355</v>
      </c>
      <c r="P46857" s="5" t="s">
        <v>355</v>
      </c>
      <c r="Q46857" s="5" t="s">
        <v>355</v>
      </c>
    </row>
    <row r="46858" ht="16.5" customHeight="1">
      <c r="O46858" s="5" t="s">
        <v>355</v>
      </c>
      <c r="P46858" s="5" t="s">
        <v>355</v>
      </c>
      <c r="Q46858" s="5" t="s">
        <v>355</v>
      </c>
    </row>
    <row r="46859" ht="16.5" customHeight="1">
      <c r="O46859" s="5" t="s">
        <v>355</v>
      </c>
      <c r="P46859" s="5" t="s">
        <v>355</v>
      </c>
      <c r="Q46859" s="5" t="s">
        <v>355</v>
      </c>
    </row>
    <row r="46860" ht="16.5" customHeight="1">
      <c r="O46860" s="5" t="s">
        <v>355</v>
      </c>
      <c r="P46860" s="5" t="s">
        <v>355</v>
      </c>
      <c r="Q46860" s="5" t="s">
        <v>355</v>
      </c>
    </row>
    <row r="46861" ht="16.5" customHeight="1">
      <c r="O46861" s="5" t="s">
        <v>355</v>
      </c>
      <c r="P46861" s="5" t="s">
        <v>355</v>
      </c>
      <c r="Q46861" s="5" t="s">
        <v>355</v>
      </c>
    </row>
    <row r="46862" ht="16.5" customHeight="1">
      <c r="O46862" s="5" t="s">
        <v>355</v>
      </c>
      <c r="P46862" s="5" t="s">
        <v>355</v>
      </c>
      <c r="Q46862" s="5" t="s">
        <v>355</v>
      </c>
    </row>
    <row r="46863" ht="16.5" customHeight="1">
      <c r="O46863" s="5" t="s">
        <v>355</v>
      </c>
      <c r="P46863" s="5" t="s">
        <v>355</v>
      </c>
      <c r="Q46863" s="5" t="s">
        <v>355</v>
      </c>
    </row>
    <row r="46864" ht="16.5" customHeight="1">
      <c r="O46864" s="5" t="s">
        <v>355</v>
      </c>
      <c r="P46864" s="5" t="s">
        <v>355</v>
      </c>
      <c r="Q46864" s="5" t="s">
        <v>355</v>
      </c>
    </row>
    <row r="46865" ht="16.5" customHeight="1">
      <c r="O46865" s="5" t="s">
        <v>355</v>
      </c>
      <c r="P46865" s="5" t="s">
        <v>355</v>
      </c>
      <c r="Q46865" s="5" t="s">
        <v>355</v>
      </c>
    </row>
    <row r="46866" ht="16.5" customHeight="1">
      <c r="O46866" s="5" t="s">
        <v>355</v>
      </c>
      <c r="P46866" s="5" t="s">
        <v>355</v>
      </c>
      <c r="Q46866" s="5" t="s">
        <v>355</v>
      </c>
    </row>
    <row r="46867" ht="16.5" customHeight="1">
      <c r="O46867" s="5" t="s">
        <v>355</v>
      </c>
      <c r="P46867" s="5" t="s">
        <v>355</v>
      </c>
      <c r="Q46867" s="5" t="s">
        <v>355</v>
      </c>
    </row>
    <row r="46868" ht="16.5" customHeight="1">
      <c r="O46868" s="5" t="s">
        <v>355</v>
      </c>
      <c r="P46868" s="5" t="s">
        <v>355</v>
      </c>
      <c r="Q46868" s="5" t="s">
        <v>355</v>
      </c>
    </row>
    <row r="46869" ht="16.5" customHeight="1">
      <c r="O46869" s="5" t="s">
        <v>355</v>
      </c>
      <c r="P46869" s="5" t="s">
        <v>355</v>
      </c>
      <c r="Q46869" s="5" t="s">
        <v>355</v>
      </c>
    </row>
    <row r="46870" ht="16.5" customHeight="1">
      <c r="O46870" s="5" t="s">
        <v>355</v>
      </c>
      <c r="P46870" s="5" t="s">
        <v>355</v>
      </c>
      <c r="Q46870" s="5" t="s">
        <v>355</v>
      </c>
    </row>
    <row r="46871" ht="16.5" customHeight="1">
      <c r="O46871" s="5" t="s">
        <v>355</v>
      </c>
      <c r="P46871" s="5" t="s">
        <v>355</v>
      </c>
      <c r="Q46871" s="5" t="s">
        <v>355</v>
      </c>
    </row>
    <row r="46872" ht="16.5" customHeight="1">
      <c r="O46872" s="5" t="s">
        <v>355</v>
      </c>
      <c r="P46872" s="5" t="s">
        <v>355</v>
      </c>
      <c r="Q46872" s="5" t="s">
        <v>355</v>
      </c>
    </row>
    <row r="46873" ht="16.5" customHeight="1">
      <c r="O46873" s="5" t="s">
        <v>355</v>
      </c>
      <c r="P46873" s="5" t="s">
        <v>355</v>
      </c>
      <c r="Q46873" s="5" t="s">
        <v>355</v>
      </c>
    </row>
    <row r="46874" ht="16.5" customHeight="1">
      <c r="O46874" s="5" t="s">
        <v>355</v>
      </c>
      <c r="P46874" s="5" t="s">
        <v>355</v>
      </c>
      <c r="Q46874" s="5" t="s">
        <v>355</v>
      </c>
    </row>
    <row r="46875" ht="16.5" customHeight="1">
      <c r="O46875" s="5" t="s">
        <v>355</v>
      </c>
      <c r="P46875" s="5" t="s">
        <v>355</v>
      </c>
      <c r="Q46875" s="5" t="s">
        <v>355</v>
      </c>
    </row>
    <row r="46876" ht="16.5" customHeight="1">
      <c r="O46876" s="5" t="s">
        <v>355</v>
      </c>
      <c r="P46876" s="5" t="s">
        <v>355</v>
      </c>
      <c r="Q46876" s="5" t="s">
        <v>355</v>
      </c>
    </row>
    <row r="46877" ht="16.5" customHeight="1">
      <c r="O46877" s="5" t="s">
        <v>355</v>
      </c>
      <c r="P46877" s="5" t="s">
        <v>355</v>
      </c>
      <c r="Q46877" s="5" t="s">
        <v>355</v>
      </c>
    </row>
    <row r="46878" ht="16.5" customHeight="1">
      <c r="O46878" s="5" t="s">
        <v>355</v>
      </c>
      <c r="P46878" s="5" t="s">
        <v>355</v>
      </c>
      <c r="Q46878" s="5" t="s">
        <v>355</v>
      </c>
    </row>
    <row r="46879" ht="16.5" customHeight="1">
      <c r="O46879" s="5" t="s">
        <v>355</v>
      </c>
      <c r="P46879" s="5" t="s">
        <v>355</v>
      </c>
      <c r="Q46879" s="5" t="s">
        <v>355</v>
      </c>
    </row>
    <row r="46880" ht="16.5" customHeight="1">
      <c r="O46880" s="5" t="s">
        <v>355</v>
      </c>
      <c r="P46880" s="5" t="s">
        <v>355</v>
      </c>
      <c r="Q46880" s="5" t="s">
        <v>355</v>
      </c>
    </row>
    <row r="46881" ht="16.5" customHeight="1">
      <c r="O46881" s="5" t="s">
        <v>355</v>
      </c>
      <c r="P46881" s="5" t="s">
        <v>355</v>
      </c>
      <c r="Q46881" s="5" t="s">
        <v>355</v>
      </c>
    </row>
    <row r="46882" ht="16.5" customHeight="1">
      <c r="O46882" s="5" t="s">
        <v>355</v>
      </c>
      <c r="P46882" s="5" t="s">
        <v>355</v>
      </c>
      <c r="Q46882" s="5" t="s">
        <v>355</v>
      </c>
    </row>
    <row r="46883" ht="16.5" customHeight="1">
      <c r="O46883" s="5" t="s">
        <v>355</v>
      </c>
      <c r="P46883" s="5" t="s">
        <v>355</v>
      </c>
      <c r="Q46883" s="5" t="s">
        <v>355</v>
      </c>
    </row>
    <row r="46884" ht="16.5" customHeight="1">
      <c r="O46884" s="5" t="s">
        <v>355</v>
      </c>
      <c r="P46884" s="5" t="s">
        <v>355</v>
      </c>
      <c r="Q46884" s="5" t="s">
        <v>355</v>
      </c>
    </row>
    <row r="46885" ht="16.5" customHeight="1">
      <c r="O46885" s="5" t="s">
        <v>355</v>
      </c>
      <c r="P46885" s="5" t="s">
        <v>355</v>
      </c>
      <c r="Q46885" s="5" t="s">
        <v>355</v>
      </c>
    </row>
    <row r="46886" ht="16.5" customHeight="1">
      <c r="O46886" s="5" t="s">
        <v>355</v>
      </c>
      <c r="P46886" s="5" t="s">
        <v>355</v>
      </c>
      <c r="Q46886" s="5" t="s">
        <v>355</v>
      </c>
    </row>
    <row r="46887" ht="16.5" customHeight="1">
      <c r="O46887" s="5" t="s">
        <v>355</v>
      </c>
      <c r="P46887" s="5" t="s">
        <v>355</v>
      </c>
      <c r="Q46887" s="5" t="s">
        <v>355</v>
      </c>
    </row>
    <row r="46888" ht="16.5" customHeight="1">
      <c r="O46888" s="5" t="s">
        <v>355</v>
      </c>
      <c r="P46888" s="5" t="s">
        <v>355</v>
      </c>
      <c r="Q46888" s="5" t="s">
        <v>355</v>
      </c>
    </row>
    <row r="46889" ht="16.5" customHeight="1">
      <c r="O46889" s="5" t="s">
        <v>355</v>
      </c>
      <c r="P46889" s="5" t="s">
        <v>355</v>
      </c>
      <c r="Q46889" s="5" t="s">
        <v>355</v>
      </c>
    </row>
    <row r="46890" ht="16.5" customHeight="1">
      <c r="O46890" s="5" t="s">
        <v>355</v>
      </c>
      <c r="P46890" s="5" t="s">
        <v>355</v>
      </c>
      <c r="Q46890" s="5" t="s">
        <v>355</v>
      </c>
    </row>
    <row r="46891" ht="16.5" customHeight="1">
      <c r="O46891" s="5" t="s">
        <v>355</v>
      </c>
      <c r="P46891" s="5" t="s">
        <v>355</v>
      </c>
      <c r="Q46891" s="5" t="s">
        <v>355</v>
      </c>
    </row>
    <row r="46892" ht="16.5" customHeight="1">
      <c r="O46892" s="5" t="s">
        <v>355</v>
      </c>
      <c r="P46892" s="5" t="s">
        <v>355</v>
      </c>
      <c r="Q46892" s="5" t="s">
        <v>355</v>
      </c>
    </row>
    <row r="46893" ht="16.5" customHeight="1">
      <c r="O46893" s="5" t="s">
        <v>355</v>
      </c>
      <c r="P46893" s="5" t="s">
        <v>355</v>
      </c>
      <c r="Q46893" s="5" t="s">
        <v>355</v>
      </c>
    </row>
    <row r="46894" ht="16.5" customHeight="1">
      <c r="O46894" s="5" t="s">
        <v>355</v>
      </c>
      <c r="P46894" s="5" t="s">
        <v>355</v>
      </c>
      <c r="Q46894" s="5" t="s">
        <v>355</v>
      </c>
    </row>
    <row r="46895" ht="16.5" customHeight="1">
      <c r="O46895" s="5" t="s">
        <v>355</v>
      </c>
      <c r="P46895" s="5" t="s">
        <v>355</v>
      </c>
      <c r="Q46895" s="5" t="s">
        <v>355</v>
      </c>
    </row>
    <row r="46896" ht="16.5" customHeight="1">
      <c r="O46896" s="5" t="s">
        <v>355</v>
      </c>
      <c r="P46896" s="5" t="s">
        <v>355</v>
      </c>
      <c r="Q46896" s="5" t="s">
        <v>355</v>
      </c>
    </row>
    <row r="46897" ht="16.5" customHeight="1">
      <c r="O46897" s="5" t="s">
        <v>355</v>
      </c>
      <c r="P46897" s="5" t="s">
        <v>355</v>
      </c>
      <c r="Q46897" s="5" t="s">
        <v>355</v>
      </c>
    </row>
    <row r="46898" ht="16.5" customHeight="1">
      <c r="O46898" s="5" t="s">
        <v>355</v>
      </c>
      <c r="P46898" s="5" t="s">
        <v>355</v>
      </c>
      <c r="Q46898" s="5" t="s">
        <v>355</v>
      </c>
    </row>
    <row r="46899" ht="16.5" customHeight="1">
      <c r="O46899" s="5" t="s">
        <v>355</v>
      </c>
      <c r="P46899" s="5" t="s">
        <v>355</v>
      </c>
      <c r="Q46899" s="5" t="s">
        <v>355</v>
      </c>
    </row>
    <row r="46900" ht="16.5" customHeight="1">
      <c r="O46900" s="5" t="s">
        <v>355</v>
      </c>
      <c r="P46900" s="5" t="s">
        <v>355</v>
      </c>
      <c r="Q46900" s="5" t="s">
        <v>355</v>
      </c>
    </row>
    <row r="46901" ht="16.5" customHeight="1">
      <c r="O46901" s="5" t="s">
        <v>355</v>
      </c>
      <c r="P46901" s="5" t="s">
        <v>355</v>
      </c>
      <c r="Q46901" s="5" t="s">
        <v>355</v>
      </c>
    </row>
    <row r="46902" ht="16.5" customHeight="1">
      <c r="O46902" s="5" t="s">
        <v>355</v>
      </c>
      <c r="P46902" s="5" t="s">
        <v>355</v>
      </c>
      <c r="Q46902" s="5" t="s">
        <v>355</v>
      </c>
    </row>
    <row r="46903" ht="16.5" customHeight="1">
      <c r="O46903" s="5" t="s">
        <v>355</v>
      </c>
      <c r="P46903" s="5" t="s">
        <v>355</v>
      </c>
      <c r="Q46903" s="5" t="s">
        <v>355</v>
      </c>
    </row>
    <row r="46904" ht="16.5" customHeight="1">
      <c r="O46904" s="5" t="s">
        <v>355</v>
      </c>
      <c r="P46904" s="5" t="s">
        <v>355</v>
      </c>
      <c r="Q46904" s="5" t="s">
        <v>355</v>
      </c>
    </row>
    <row r="46905" ht="16.5" customHeight="1">
      <c r="O46905" s="5" t="s">
        <v>355</v>
      </c>
      <c r="P46905" s="5" t="s">
        <v>355</v>
      </c>
      <c r="Q46905" s="5" t="s">
        <v>355</v>
      </c>
    </row>
    <row r="46906" ht="16.5" customHeight="1">
      <c r="O46906" s="5" t="s">
        <v>355</v>
      </c>
      <c r="P46906" s="5" t="s">
        <v>355</v>
      </c>
      <c r="Q46906" s="5" t="s">
        <v>355</v>
      </c>
    </row>
    <row r="46907" ht="16.5" customHeight="1">
      <c r="O46907" s="5" t="s">
        <v>355</v>
      </c>
      <c r="P46907" s="5" t="s">
        <v>355</v>
      </c>
      <c r="Q46907" s="5" t="s">
        <v>355</v>
      </c>
    </row>
    <row r="46908" ht="16.5" customHeight="1">
      <c r="O46908" s="5" t="s">
        <v>355</v>
      </c>
      <c r="P46908" s="5" t="s">
        <v>355</v>
      </c>
      <c r="Q46908" s="5" t="s">
        <v>355</v>
      </c>
    </row>
    <row r="46909" ht="16.5" customHeight="1">
      <c r="O46909" s="5" t="s">
        <v>355</v>
      </c>
      <c r="P46909" s="5" t="s">
        <v>355</v>
      </c>
      <c r="Q46909" s="5" t="s">
        <v>355</v>
      </c>
    </row>
    <row r="46910" ht="16.5" customHeight="1">
      <c r="O46910" s="5" t="s">
        <v>355</v>
      </c>
      <c r="P46910" s="5" t="s">
        <v>355</v>
      </c>
      <c r="Q46910" s="5" t="s">
        <v>355</v>
      </c>
    </row>
    <row r="46911" ht="16.5" customHeight="1">
      <c r="O46911" s="5" t="s">
        <v>355</v>
      </c>
      <c r="P46911" s="5" t="s">
        <v>355</v>
      </c>
      <c r="Q46911" s="5" t="s">
        <v>355</v>
      </c>
    </row>
    <row r="46912" ht="16.5" customHeight="1">
      <c r="O46912" s="5" t="s">
        <v>355</v>
      </c>
      <c r="P46912" s="5" t="s">
        <v>355</v>
      </c>
      <c r="Q46912" s="5" t="s">
        <v>355</v>
      </c>
    </row>
    <row r="46913" ht="16.5" customHeight="1">
      <c r="O46913" s="5" t="s">
        <v>355</v>
      </c>
      <c r="P46913" s="5" t="s">
        <v>355</v>
      </c>
      <c r="Q46913" s="5" t="s">
        <v>355</v>
      </c>
    </row>
    <row r="46914" ht="16.5" customHeight="1">
      <c r="O46914" s="5" t="s">
        <v>355</v>
      </c>
      <c r="P46914" s="5" t="s">
        <v>355</v>
      </c>
      <c r="Q46914" s="5" t="s">
        <v>355</v>
      </c>
    </row>
    <row r="46915" ht="16.5" customHeight="1">
      <c r="O46915" s="5" t="s">
        <v>355</v>
      </c>
      <c r="P46915" s="5" t="s">
        <v>355</v>
      </c>
      <c r="Q46915" s="5" t="s">
        <v>355</v>
      </c>
    </row>
    <row r="46916" ht="16.5" customHeight="1">
      <c r="O46916" s="5" t="s">
        <v>355</v>
      </c>
      <c r="P46916" s="5" t="s">
        <v>355</v>
      </c>
      <c r="Q46916" s="5" t="s">
        <v>355</v>
      </c>
    </row>
    <row r="46917" ht="16.5" customHeight="1">
      <c r="O46917" s="5" t="s">
        <v>355</v>
      </c>
      <c r="P46917" s="5" t="s">
        <v>355</v>
      </c>
      <c r="Q46917" s="5" t="s">
        <v>355</v>
      </c>
    </row>
    <row r="46918" ht="16.5" customHeight="1">
      <c r="O46918" s="5" t="s">
        <v>355</v>
      </c>
      <c r="P46918" s="5" t="s">
        <v>355</v>
      </c>
      <c r="Q46918" s="5" t="s">
        <v>355</v>
      </c>
    </row>
    <row r="46919" ht="16.5" customHeight="1">
      <c r="O46919" s="5" t="s">
        <v>355</v>
      </c>
      <c r="P46919" s="5" t="s">
        <v>355</v>
      </c>
      <c r="Q46919" s="5" t="s">
        <v>355</v>
      </c>
    </row>
    <row r="46920" ht="16.5" customHeight="1">
      <c r="O46920" s="5" t="s">
        <v>355</v>
      </c>
      <c r="P46920" s="5" t="s">
        <v>355</v>
      </c>
      <c r="Q46920" s="5" t="s">
        <v>355</v>
      </c>
    </row>
    <row r="46921" ht="16.5" customHeight="1">
      <c r="O46921" s="5" t="s">
        <v>355</v>
      </c>
      <c r="P46921" s="5" t="s">
        <v>355</v>
      </c>
      <c r="Q46921" s="5" t="s">
        <v>355</v>
      </c>
    </row>
    <row r="46922" ht="16.5" customHeight="1">
      <c r="O46922" s="5" t="s">
        <v>355</v>
      </c>
      <c r="P46922" s="5" t="s">
        <v>355</v>
      </c>
      <c r="Q46922" s="5" t="s">
        <v>355</v>
      </c>
    </row>
    <row r="46923" ht="16.5" customHeight="1">
      <c r="O46923" s="5" t="s">
        <v>355</v>
      </c>
      <c r="P46923" s="5" t="s">
        <v>355</v>
      </c>
      <c r="Q46923" s="5" t="s">
        <v>355</v>
      </c>
    </row>
    <row r="46924" ht="16.5" customHeight="1">
      <c r="O46924" s="5" t="s">
        <v>355</v>
      </c>
      <c r="P46924" s="5" t="s">
        <v>355</v>
      </c>
      <c r="Q46924" s="5" t="s">
        <v>355</v>
      </c>
    </row>
    <row r="46925" ht="16.5" customHeight="1">
      <c r="O46925" s="5" t="s">
        <v>355</v>
      </c>
      <c r="P46925" s="5" t="s">
        <v>355</v>
      </c>
      <c r="Q46925" s="5" t="s">
        <v>355</v>
      </c>
    </row>
    <row r="46926" ht="16.5" customHeight="1">
      <c r="O46926" s="5" t="s">
        <v>355</v>
      </c>
      <c r="P46926" s="5" t="s">
        <v>355</v>
      </c>
      <c r="Q46926" s="5" t="s">
        <v>355</v>
      </c>
    </row>
    <row r="46927" ht="16.5" customHeight="1">
      <c r="O46927" s="5" t="s">
        <v>355</v>
      </c>
      <c r="P46927" s="5" t="s">
        <v>355</v>
      </c>
      <c r="Q46927" s="5" t="s">
        <v>355</v>
      </c>
    </row>
    <row r="46928" ht="16.5" customHeight="1">
      <c r="O46928" s="5" t="s">
        <v>355</v>
      </c>
      <c r="P46928" s="5" t="s">
        <v>355</v>
      </c>
      <c r="Q46928" s="5" t="s">
        <v>355</v>
      </c>
    </row>
    <row r="46929" ht="16.5" customHeight="1">
      <c r="O46929" s="5" t="s">
        <v>355</v>
      </c>
      <c r="P46929" s="5" t="s">
        <v>355</v>
      </c>
      <c r="Q46929" s="5" t="s">
        <v>355</v>
      </c>
    </row>
    <row r="46930" ht="16.5" customHeight="1">
      <c r="O46930" s="5" t="s">
        <v>355</v>
      </c>
      <c r="P46930" s="5" t="s">
        <v>355</v>
      </c>
      <c r="Q46930" s="5" t="s">
        <v>355</v>
      </c>
    </row>
    <row r="46931" ht="16.5" customHeight="1">
      <c r="O46931" s="5" t="s">
        <v>355</v>
      </c>
      <c r="P46931" s="5" t="s">
        <v>355</v>
      </c>
      <c r="Q46931" s="5" t="s">
        <v>355</v>
      </c>
    </row>
    <row r="46932" ht="16.5" customHeight="1">
      <c r="O46932" s="5" t="s">
        <v>355</v>
      </c>
      <c r="P46932" s="5" t="s">
        <v>355</v>
      </c>
      <c r="Q46932" s="5" t="s">
        <v>355</v>
      </c>
    </row>
    <row r="46933" ht="16.5" customHeight="1">
      <c r="O46933" s="5" t="s">
        <v>355</v>
      </c>
      <c r="P46933" s="5" t="s">
        <v>355</v>
      </c>
      <c r="Q46933" s="5" t="s">
        <v>355</v>
      </c>
    </row>
    <row r="46934" ht="16.5" customHeight="1">
      <c r="O46934" s="5" t="s">
        <v>355</v>
      </c>
      <c r="P46934" s="5" t="s">
        <v>355</v>
      </c>
      <c r="Q46934" s="5" t="s">
        <v>355</v>
      </c>
    </row>
    <row r="46935" ht="16.5" customHeight="1">
      <c r="O46935" s="5" t="s">
        <v>355</v>
      </c>
      <c r="P46935" s="5" t="s">
        <v>355</v>
      </c>
      <c r="Q46935" s="5" t="s">
        <v>355</v>
      </c>
    </row>
    <row r="46936" ht="16.5" customHeight="1">
      <c r="O46936" s="5" t="s">
        <v>355</v>
      </c>
      <c r="P46936" s="5" t="s">
        <v>355</v>
      </c>
      <c r="Q46936" s="5" t="s">
        <v>355</v>
      </c>
    </row>
    <row r="46937" ht="16.5" customHeight="1">
      <c r="O46937" s="5" t="s">
        <v>355</v>
      </c>
      <c r="P46937" s="5" t="s">
        <v>355</v>
      </c>
      <c r="Q46937" s="5" t="s">
        <v>355</v>
      </c>
    </row>
    <row r="46938" ht="16.5" customHeight="1">
      <c r="O46938" s="5" t="s">
        <v>355</v>
      </c>
      <c r="P46938" s="5" t="s">
        <v>355</v>
      </c>
      <c r="Q46938" s="5" t="s">
        <v>355</v>
      </c>
    </row>
    <row r="46939" ht="16.5" customHeight="1">
      <c r="O46939" s="5" t="s">
        <v>355</v>
      </c>
      <c r="P46939" s="5" t="s">
        <v>355</v>
      </c>
      <c r="Q46939" s="5" t="s">
        <v>355</v>
      </c>
    </row>
    <row r="46940" ht="16.5" customHeight="1">
      <c r="O46940" s="5" t="s">
        <v>355</v>
      </c>
      <c r="P46940" s="5" t="s">
        <v>355</v>
      </c>
      <c r="Q46940" s="5" t="s">
        <v>355</v>
      </c>
    </row>
    <row r="46941" ht="16.5" customHeight="1">
      <c r="O46941" s="5" t="s">
        <v>355</v>
      </c>
      <c r="P46941" s="5" t="s">
        <v>355</v>
      </c>
      <c r="Q46941" s="5" t="s">
        <v>355</v>
      </c>
    </row>
    <row r="46942" ht="16.5" customHeight="1">
      <c r="O46942" s="5" t="s">
        <v>355</v>
      </c>
      <c r="P46942" s="5" t="s">
        <v>355</v>
      </c>
      <c r="Q46942" s="5" t="s">
        <v>355</v>
      </c>
    </row>
    <row r="46943" ht="16.5" customHeight="1">
      <c r="O46943" s="5" t="s">
        <v>355</v>
      </c>
      <c r="P46943" s="5" t="s">
        <v>355</v>
      </c>
      <c r="Q46943" s="5" t="s">
        <v>355</v>
      </c>
    </row>
    <row r="46944" ht="16.5" customHeight="1">
      <c r="O46944" s="5" t="s">
        <v>355</v>
      </c>
      <c r="P46944" s="5" t="s">
        <v>355</v>
      </c>
      <c r="Q46944" s="5" t="s">
        <v>355</v>
      </c>
    </row>
    <row r="46945" ht="16.5" customHeight="1">
      <c r="O46945" s="5" t="s">
        <v>355</v>
      </c>
      <c r="P46945" s="5" t="s">
        <v>355</v>
      </c>
      <c r="Q46945" s="5" t="s">
        <v>355</v>
      </c>
    </row>
    <row r="46946" ht="16.5" customHeight="1">
      <c r="O46946" s="5" t="s">
        <v>355</v>
      </c>
      <c r="P46946" s="5" t="s">
        <v>355</v>
      </c>
      <c r="Q46946" s="5" t="s">
        <v>355</v>
      </c>
    </row>
    <row r="46947" ht="16.5" customHeight="1">
      <c r="O46947" s="5" t="s">
        <v>355</v>
      </c>
      <c r="P46947" s="5" t="s">
        <v>355</v>
      </c>
      <c r="Q46947" s="5" t="s">
        <v>355</v>
      </c>
    </row>
    <row r="46948" ht="16.5" customHeight="1">
      <c r="O46948" s="5" t="s">
        <v>355</v>
      </c>
      <c r="P46948" s="5" t="s">
        <v>355</v>
      </c>
      <c r="Q46948" s="5" t="s">
        <v>355</v>
      </c>
    </row>
    <row r="46949" ht="16.5" customHeight="1">
      <c r="O46949" s="5" t="s">
        <v>355</v>
      </c>
      <c r="P46949" s="5" t="s">
        <v>355</v>
      </c>
      <c r="Q46949" s="5" t="s">
        <v>355</v>
      </c>
    </row>
    <row r="46950" ht="16.5" customHeight="1">
      <c r="O46950" s="5" t="s">
        <v>355</v>
      </c>
      <c r="P46950" s="5" t="s">
        <v>355</v>
      </c>
      <c r="Q46950" s="5" t="s">
        <v>355</v>
      </c>
    </row>
    <row r="46951" ht="16.5" customHeight="1">
      <c r="O46951" s="5" t="s">
        <v>355</v>
      </c>
      <c r="P46951" s="5" t="s">
        <v>355</v>
      </c>
      <c r="Q46951" s="5" t="s">
        <v>355</v>
      </c>
    </row>
    <row r="46952" ht="16.5" customHeight="1">
      <c r="O46952" s="5" t="s">
        <v>355</v>
      </c>
      <c r="P46952" s="5" t="s">
        <v>355</v>
      </c>
      <c r="Q46952" s="5" t="s">
        <v>355</v>
      </c>
    </row>
    <row r="46953" ht="16.5" customHeight="1">
      <c r="O46953" s="5" t="s">
        <v>355</v>
      </c>
      <c r="P46953" s="5" t="s">
        <v>355</v>
      </c>
      <c r="Q46953" s="5" t="s">
        <v>355</v>
      </c>
    </row>
    <row r="46954" ht="16.5" customHeight="1">
      <c r="O46954" s="5" t="s">
        <v>355</v>
      </c>
      <c r="P46954" s="5" t="s">
        <v>355</v>
      </c>
      <c r="Q46954" s="5" t="s">
        <v>355</v>
      </c>
    </row>
    <row r="46955" ht="16.5" customHeight="1">
      <c r="O46955" s="5" t="s">
        <v>355</v>
      </c>
      <c r="P46955" s="5" t="s">
        <v>355</v>
      </c>
      <c r="Q46955" s="5" t="s">
        <v>355</v>
      </c>
    </row>
    <row r="46956" ht="16.5" customHeight="1">
      <c r="O46956" s="5" t="s">
        <v>355</v>
      </c>
      <c r="P46956" s="5" t="s">
        <v>355</v>
      </c>
      <c r="Q46956" s="5" t="s">
        <v>355</v>
      </c>
    </row>
    <row r="46957" ht="16.5" customHeight="1">
      <c r="O46957" s="5" t="s">
        <v>355</v>
      </c>
      <c r="P46957" s="5" t="s">
        <v>355</v>
      </c>
      <c r="Q46957" s="5" t="s">
        <v>355</v>
      </c>
    </row>
    <row r="46958" ht="16.5" customHeight="1">
      <c r="O46958" s="5" t="s">
        <v>355</v>
      </c>
      <c r="P46958" s="5" t="s">
        <v>355</v>
      </c>
      <c r="Q46958" s="5" t="s">
        <v>355</v>
      </c>
    </row>
    <row r="46959" ht="16.5" customHeight="1">
      <c r="O46959" s="5" t="s">
        <v>355</v>
      </c>
      <c r="P46959" s="5" t="s">
        <v>355</v>
      </c>
      <c r="Q46959" s="5" t="s">
        <v>355</v>
      </c>
    </row>
    <row r="46960" ht="16.5" customHeight="1">
      <c r="O46960" s="5" t="s">
        <v>355</v>
      </c>
      <c r="P46960" s="5" t="s">
        <v>355</v>
      </c>
      <c r="Q46960" s="5" t="s">
        <v>355</v>
      </c>
    </row>
    <row r="46961" ht="16.5" customHeight="1">
      <c r="O46961" s="5" t="s">
        <v>355</v>
      </c>
      <c r="P46961" s="5" t="s">
        <v>355</v>
      </c>
      <c r="Q46961" s="5" t="s">
        <v>355</v>
      </c>
    </row>
    <row r="46962" ht="16.5" customHeight="1">
      <c r="O46962" s="5" t="s">
        <v>355</v>
      </c>
      <c r="P46962" s="5" t="s">
        <v>355</v>
      </c>
      <c r="Q46962" s="5" t="s">
        <v>355</v>
      </c>
    </row>
    <row r="46963" ht="16.5" customHeight="1">
      <c r="O46963" s="5" t="s">
        <v>355</v>
      </c>
      <c r="P46963" s="5" t="s">
        <v>355</v>
      </c>
      <c r="Q46963" s="5" t="s">
        <v>355</v>
      </c>
    </row>
    <row r="46964" ht="16.5" customHeight="1">
      <c r="O46964" s="5" t="s">
        <v>355</v>
      </c>
      <c r="P46964" s="5" t="s">
        <v>355</v>
      </c>
      <c r="Q46964" s="5" t="s">
        <v>355</v>
      </c>
    </row>
    <row r="46965" ht="16.5" customHeight="1">
      <c r="O46965" s="5" t="s">
        <v>355</v>
      </c>
      <c r="P46965" s="5" t="s">
        <v>355</v>
      </c>
      <c r="Q46965" s="5" t="s">
        <v>355</v>
      </c>
    </row>
    <row r="46966" ht="16.5" customHeight="1">
      <c r="O46966" s="5" t="s">
        <v>355</v>
      </c>
      <c r="P46966" s="5" t="s">
        <v>355</v>
      </c>
      <c r="Q46966" s="5" t="s">
        <v>355</v>
      </c>
    </row>
    <row r="46967" ht="16.5" customHeight="1">
      <c r="O46967" s="5" t="s">
        <v>355</v>
      </c>
      <c r="P46967" s="5" t="s">
        <v>355</v>
      </c>
      <c r="Q46967" s="5" t="s">
        <v>355</v>
      </c>
    </row>
    <row r="46968" ht="16.5" customHeight="1">
      <c r="O46968" s="5" t="s">
        <v>355</v>
      </c>
      <c r="P46968" s="5" t="s">
        <v>355</v>
      </c>
      <c r="Q46968" s="5" t="s">
        <v>355</v>
      </c>
    </row>
    <row r="46969" ht="16.5" customHeight="1">
      <c r="O46969" s="5" t="s">
        <v>355</v>
      </c>
      <c r="P46969" s="5" t="s">
        <v>355</v>
      </c>
      <c r="Q46969" s="5" t="s">
        <v>355</v>
      </c>
    </row>
    <row r="46970" ht="16.5" customHeight="1">
      <c r="O46970" s="5" t="s">
        <v>355</v>
      </c>
      <c r="P46970" s="5" t="s">
        <v>355</v>
      </c>
      <c r="Q46970" s="5" t="s">
        <v>355</v>
      </c>
    </row>
    <row r="46971" ht="16.5" customHeight="1">
      <c r="O46971" s="5" t="s">
        <v>355</v>
      </c>
      <c r="P46971" s="5" t="s">
        <v>355</v>
      </c>
      <c r="Q46971" s="5" t="s">
        <v>355</v>
      </c>
    </row>
    <row r="46972" ht="16.5" customHeight="1">
      <c r="O46972" s="5" t="s">
        <v>355</v>
      </c>
      <c r="P46972" s="5" t="s">
        <v>355</v>
      </c>
      <c r="Q46972" s="5" t="s">
        <v>355</v>
      </c>
    </row>
    <row r="46973" ht="16.5" customHeight="1">
      <c r="O46973" s="5" t="s">
        <v>355</v>
      </c>
      <c r="P46973" s="5" t="s">
        <v>355</v>
      </c>
      <c r="Q46973" s="5" t="s">
        <v>355</v>
      </c>
    </row>
    <row r="46974" ht="16.5" customHeight="1">
      <c r="O46974" s="5" t="s">
        <v>355</v>
      </c>
      <c r="P46974" s="5" t="s">
        <v>355</v>
      </c>
      <c r="Q46974" s="5" t="s">
        <v>355</v>
      </c>
    </row>
    <row r="46975" ht="16.5" customHeight="1">
      <c r="O46975" s="5" t="s">
        <v>355</v>
      </c>
      <c r="P46975" s="5" t="s">
        <v>355</v>
      </c>
      <c r="Q46975" s="5" t="s">
        <v>355</v>
      </c>
    </row>
    <row r="46976" ht="16.5" customHeight="1">
      <c r="O46976" s="5" t="s">
        <v>355</v>
      </c>
      <c r="P46976" s="5" t="s">
        <v>355</v>
      </c>
      <c r="Q46976" s="5" t="s">
        <v>355</v>
      </c>
    </row>
    <row r="46977" ht="16.5" customHeight="1">
      <c r="O46977" s="5" t="s">
        <v>355</v>
      </c>
      <c r="P46977" s="5" t="s">
        <v>355</v>
      </c>
      <c r="Q46977" s="5" t="s">
        <v>355</v>
      </c>
    </row>
    <row r="46978" ht="16.5" customHeight="1">
      <c r="O46978" s="5" t="s">
        <v>355</v>
      </c>
      <c r="P46978" s="5" t="s">
        <v>355</v>
      </c>
      <c r="Q46978" s="5" t="s">
        <v>355</v>
      </c>
    </row>
    <row r="46979" ht="16.5" customHeight="1">
      <c r="O46979" s="5" t="s">
        <v>355</v>
      </c>
      <c r="P46979" s="5" t="s">
        <v>355</v>
      </c>
      <c r="Q46979" s="5" t="s">
        <v>355</v>
      </c>
    </row>
    <row r="46980" ht="16.5" customHeight="1">
      <c r="O46980" s="5" t="s">
        <v>355</v>
      </c>
      <c r="P46980" s="5" t="s">
        <v>355</v>
      </c>
      <c r="Q46980" s="5" t="s">
        <v>355</v>
      </c>
    </row>
    <row r="46981" ht="16.5" customHeight="1">
      <c r="O46981" s="5" t="s">
        <v>355</v>
      </c>
      <c r="P46981" s="5" t="s">
        <v>355</v>
      </c>
      <c r="Q46981" s="5" t="s">
        <v>355</v>
      </c>
    </row>
    <row r="46982" ht="16.5" customHeight="1">
      <c r="O46982" s="5" t="s">
        <v>355</v>
      </c>
      <c r="P46982" s="5" t="s">
        <v>355</v>
      </c>
      <c r="Q46982" s="5" t="s">
        <v>355</v>
      </c>
    </row>
    <row r="46983" ht="16.5" customHeight="1">
      <c r="O46983" s="5" t="s">
        <v>355</v>
      </c>
      <c r="P46983" s="5" t="s">
        <v>355</v>
      </c>
      <c r="Q46983" s="5" t="s">
        <v>355</v>
      </c>
    </row>
    <row r="46984" ht="16.5" customHeight="1">
      <c r="O46984" s="5" t="s">
        <v>355</v>
      </c>
      <c r="P46984" s="5" t="s">
        <v>355</v>
      </c>
      <c r="Q46984" s="5" t="s">
        <v>355</v>
      </c>
    </row>
    <row r="46985" ht="16.5" customHeight="1">
      <c r="O46985" s="5" t="s">
        <v>355</v>
      </c>
      <c r="P46985" s="5" t="s">
        <v>355</v>
      </c>
      <c r="Q46985" s="5" t="s">
        <v>355</v>
      </c>
    </row>
    <row r="46986" ht="16.5" customHeight="1">
      <c r="O46986" s="5" t="s">
        <v>355</v>
      </c>
      <c r="P46986" s="5" t="s">
        <v>355</v>
      </c>
      <c r="Q46986" s="5" t="s">
        <v>355</v>
      </c>
    </row>
    <row r="46987" ht="16.5" customHeight="1">
      <c r="O46987" s="5" t="s">
        <v>355</v>
      </c>
      <c r="P46987" s="5" t="s">
        <v>355</v>
      </c>
      <c r="Q46987" s="5" t="s">
        <v>355</v>
      </c>
    </row>
    <row r="46988" ht="16.5" customHeight="1">
      <c r="O46988" s="5" t="s">
        <v>355</v>
      </c>
      <c r="P46988" s="5" t="s">
        <v>355</v>
      </c>
      <c r="Q46988" s="5" t="s">
        <v>355</v>
      </c>
    </row>
    <row r="46989" ht="16.5" customHeight="1">
      <c r="O46989" s="5" t="s">
        <v>355</v>
      </c>
      <c r="P46989" s="5" t="s">
        <v>355</v>
      </c>
      <c r="Q46989" s="5" t="s">
        <v>355</v>
      </c>
    </row>
    <row r="46990" ht="16.5" customHeight="1">
      <c r="O46990" s="5" t="s">
        <v>355</v>
      </c>
      <c r="P46990" s="5" t="s">
        <v>355</v>
      </c>
      <c r="Q46990" s="5" t="s">
        <v>355</v>
      </c>
    </row>
    <row r="46991" ht="16.5" customHeight="1">
      <c r="O46991" s="5" t="s">
        <v>355</v>
      </c>
      <c r="P46991" s="5" t="s">
        <v>355</v>
      </c>
      <c r="Q46991" s="5" t="s">
        <v>355</v>
      </c>
    </row>
    <row r="46992" ht="16.5" customHeight="1">
      <c r="O46992" s="5" t="s">
        <v>355</v>
      </c>
      <c r="P46992" s="5" t="s">
        <v>355</v>
      </c>
      <c r="Q46992" s="5" t="s">
        <v>355</v>
      </c>
    </row>
    <row r="46993" ht="16.5" customHeight="1">
      <c r="O46993" s="5" t="s">
        <v>355</v>
      </c>
      <c r="P46993" s="5" t="s">
        <v>355</v>
      </c>
      <c r="Q46993" s="5" t="s">
        <v>355</v>
      </c>
    </row>
    <row r="46994" ht="16.5" customHeight="1">
      <c r="O46994" s="5" t="s">
        <v>355</v>
      </c>
      <c r="P46994" s="5" t="s">
        <v>355</v>
      </c>
      <c r="Q46994" s="5" t="s">
        <v>355</v>
      </c>
    </row>
    <row r="46995" ht="16.5" customHeight="1">
      <c r="O46995" s="5" t="s">
        <v>355</v>
      </c>
      <c r="P46995" s="5" t="s">
        <v>355</v>
      </c>
      <c r="Q46995" s="5" t="s">
        <v>355</v>
      </c>
    </row>
    <row r="46996" ht="16.5" customHeight="1">
      <c r="O46996" s="5" t="s">
        <v>355</v>
      </c>
      <c r="P46996" s="5" t="s">
        <v>355</v>
      </c>
      <c r="Q46996" s="5" t="s">
        <v>355</v>
      </c>
    </row>
    <row r="46997" ht="16.5" customHeight="1">
      <c r="O46997" s="5" t="s">
        <v>355</v>
      </c>
      <c r="P46997" s="5" t="s">
        <v>355</v>
      </c>
      <c r="Q46997" s="5" t="s">
        <v>355</v>
      </c>
    </row>
    <row r="46998" ht="16.5" customHeight="1">
      <c r="O46998" s="5" t="s">
        <v>355</v>
      </c>
      <c r="P46998" s="5" t="s">
        <v>355</v>
      </c>
      <c r="Q46998" s="5" t="s">
        <v>355</v>
      </c>
    </row>
    <row r="46999" ht="16.5" customHeight="1">
      <c r="O46999" s="5" t="s">
        <v>355</v>
      </c>
      <c r="P46999" s="5" t="s">
        <v>355</v>
      </c>
      <c r="Q46999" s="5" t="s">
        <v>355</v>
      </c>
    </row>
    <row r="47000" ht="16.5" customHeight="1">
      <c r="O47000" s="5" t="s">
        <v>355</v>
      </c>
      <c r="P47000" s="5" t="s">
        <v>355</v>
      </c>
      <c r="Q47000" s="5" t="s">
        <v>355</v>
      </c>
    </row>
    <row r="47001" ht="16.5" customHeight="1">
      <c r="O47001" s="5" t="s">
        <v>355</v>
      </c>
      <c r="P47001" s="5" t="s">
        <v>355</v>
      </c>
      <c r="Q47001" s="5" t="s">
        <v>355</v>
      </c>
    </row>
    <row r="47002" ht="16.5" customHeight="1">
      <c r="O47002" s="5" t="s">
        <v>355</v>
      </c>
      <c r="P47002" s="5" t="s">
        <v>355</v>
      </c>
      <c r="Q47002" s="5" t="s">
        <v>355</v>
      </c>
    </row>
    <row r="47003" ht="16.5" customHeight="1">
      <c r="O47003" s="5" t="s">
        <v>355</v>
      </c>
      <c r="P47003" s="5" t="s">
        <v>355</v>
      </c>
      <c r="Q47003" s="5" t="s">
        <v>355</v>
      </c>
    </row>
    <row r="47004" ht="16.5" customHeight="1">
      <c r="O47004" s="5" t="s">
        <v>355</v>
      </c>
      <c r="P47004" s="5" t="s">
        <v>355</v>
      </c>
      <c r="Q47004" s="5" t="s">
        <v>355</v>
      </c>
    </row>
    <row r="47005" ht="16.5" customHeight="1">
      <c r="O47005" s="5" t="s">
        <v>355</v>
      </c>
      <c r="P47005" s="5" t="s">
        <v>355</v>
      </c>
      <c r="Q47005" s="5" t="s">
        <v>355</v>
      </c>
    </row>
    <row r="47006" ht="16.5" customHeight="1">
      <c r="O47006" s="5" t="s">
        <v>355</v>
      </c>
      <c r="P47006" s="5" t="s">
        <v>355</v>
      </c>
      <c r="Q47006" s="5" t="s">
        <v>355</v>
      </c>
    </row>
    <row r="47007" ht="16.5" customHeight="1">
      <c r="O47007" s="5" t="s">
        <v>355</v>
      </c>
      <c r="P47007" s="5" t="s">
        <v>355</v>
      </c>
      <c r="Q47007" s="5" t="s">
        <v>355</v>
      </c>
    </row>
    <row r="47008" ht="16.5" customHeight="1">
      <c r="O47008" s="5" t="s">
        <v>355</v>
      </c>
      <c r="P47008" s="5" t="s">
        <v>355</v>
      </c>
      <c r="Q47008" s="5" t="s">
        <v>355</v>
      </c>
    </row>
    <row r="47009" ht="16.5" customHeight="1">
      <c r="O47009" s="5" t="s">
        <v>355</v>
      </c>
      <c r="P47009" s="5" t="s">
        <v>355</v>
      </c>
      <c r="Q47009" s="5" t="s">
        <v>355</v>
      </c>
    </row>
    <row r="47010" ht="16.5" customHeight="1">
      <c r="O47010" s="5" t="s">
        <v>355</v>
      </c>
      <c r="P47010" s="5" t="s">
        <v>355</v>
      </c>
      <c r="Q47010" s="5" t="s">
        <v>355</v>
      </c>
    </row>
    <row r="47011" ht="16.5" customHeight="1">
      <c r="O47011" s="5" t="s">
        <v>355</v>
      </c>
      <c r="P47011" s="5" t="s">
        <v>355</v>
      </c>
      <c r="Q47011" s="5" t="s">
        <v>355</v>
      </c>
    </row>
    <row r="47012" ht="16.5" customHeight="1">
      <c r="O47012" s="5" t="s">
        <v>355</v>
      </c>
      <c r="P47012" s="5" t="s">
        <v>355</v>
      </c>
      <c r="Q47012" s="5" t="s">
        <v>355</v>
      </c>
    </row>
    <row r="47013" ht="16.5" customHeight="1">
      <c r="O47013" s="5" t="s">
        <v>355</v>
      </c>
      <c r="P47013" s="5" t="s">
        <v>355</v>
      </c>
      <c r="Q47013" s="5" t="s">
        <v>355</v>
      </c>
    </row>
    <row r="47014" ht="16.5" customHeight="1">
      <c r="O47014" s="5" t="s">
        <v>355</v>
      </c>
      <c r="P47014" s="5" t="s">
        <v>355</v>
      </c>
      <c r="Q47014" s="5" t="s">
        <v>355</v>
      </c>
    </row>
    <row r="47015" ht="16.5" customHeight="1">
      <c r="O47015" s="5" t="s">
        <v>355</v>
      </c>
      <c r="P47015" s="5" t="s">
        <v>355</v>
      </c>
      <c r="Q47015" s="5" t="s">
        <v>355</v>
      </c>
    </row>
    <row r="47016" ht="16.5" customHeight="1">
      <c r="O47016" s="5" t="s">
        <v>355</v>
      </c>
      <c r="P47016" s="5" t="s">
        <v>355</v>
      </c>
      <c r="Q47016" s="5" t="s">
        <v>355</v>
      </c>
    </row>
    <row r="47017" ht="16.5" customHeight="1">
      <c r="O47017" s="5" t="s">
        <v>355</v>
      </c>
      <c r="P47017" s="5" t="s">
        <v>355</v>
      </c>
      <c r="Q47017" s="5" t="s">
        <v>355</v>
      </c>
    </row>
    <row r="47018" ht="16.5" customHeight="1">
      <c r="O47018" s="5" t="s">
        <v>355</v>
      </c>
      <c r="P47018" s="5" t="s">
        <v>355</v>
      </c>
      <c r="Q47018" s="5" t="s">
        <v>355</v>
      </c>
    </row>
    <row r="47019" ht="16.5" customHeight="1">
      <c r="O47019" s="5" t="s">
        <v>355</v>
      </c>
      <c r="P47019" s="5" t="s">
        <v>355</v>
      </c>
      <c r="Q47019" s="5" t="s">
        <v>355</v>
      </c>
    </row>
    <row r="47020" ht="16.5" customHeight="1">
      <c r="O47020" s="5" t="s">
        <v>355</v>
      </c>
      <c r="P47020" s="5" t="s">
        <v>355</v>
      </c>
      <c r="Q47020" s="5" t="s">
        <v>355</v>
      </c>
    </row>
    <row r="47021" ht="16.5" customHeight="1">
      <c r="O47021" s="5" t="s">
        <v>355</v>
      </c>
      <c r="P47021" s="5" t="s">
        <v>355</v>
      </c>
      <c r="Q47021" s="5" t="s">
        <v>355</v>
      </c>
    </row>
    <row r="47022" ht="16.5" customHeight="1">
      <c r="O47022" s="5" t="s">
        <v>355</v>
      </c>
      <c r="P47022" s="5" t="s">
        <v>355</v>
      </c>
      <c r="Q47022" s="5" t="s">
        <v>355</v>
      </c>
    </row>
    <row r="47023" ht="16.5" customHeight="1">
      <c r="O47023" s="5" t="s">
        <v>355</v>
      </c>
      <c r="P47023" s="5" t="s">
        <v>355</v>
      </c>
      <c r="Q47023" s="5" t="s">
        <v>355</v>
      </c>
    </row>
    <row r="47024" ht="16.5" customHeight="1">
      <c r="O47024" s="5" t="s">
        <v>355</v>
      </c>
      <c r="P47024" s="5" t="s">
        <v>355</v>
      </c>
      <c r="Q47024" s="5" t="s">
        <v>355</v>
      </c>
    </row>
    <row r="47025" ht="16.5" customHeight="1">
      <c r="O47025" s="5" t="s">
        <v>355</v>
      </c>
      <c r="P47025" s="5" t="s">
        <v>355</v>
      </c>
      <c r="Q47025" s="5" t="s">
        <v>355</v>
      </c>
    </row>
    <row r="47026" ht="16.5" customHeight="1">
      <c r="O47026" s="5" t="s">
        <v>355</v>
      </c>
      <c r="P47026" s="5" t="s">
        <v>355</v>
      </c>
      <c r="Q47026" s="5" t="s">
        <v>355</v>
      </c>
    </row>
    <row r="47027" ht="16.5" customHeight="1">
      <c r="O47027" s="5" t="s">
        <v>355</v>
      </c>
      <c r="P47027" s="5" t="s">
        <v>355</v>
      </c>
      <c r="Q47027" s="5" t="s">
        <v>355</v>
      </c>
    </row>
    <row r="47028" ht="16.5" customHeight="1">
      <c r="O47028" s="5" t="s">
        <v>355</v>
      </c>
      <c r="P47028" s="5" t="s">
        <v>355</v>
      </c>
      <c r="Q47028" s="5" t="s">
        <v>355</v>
      </c>
    </row>
    <row r="47029" ht="16.5" customHeight="1">
      <c r="O47029" s="5" t="s">
        <v>355</v>
      </c>
      <c r="P47029" s="5" t="s">
        <v>355</v>
      </c>
      <c r="Q47029" s="5" t="s">
        <v>355</v>
      </c>
    </row>
    <row r="47030" ht="16.5" customHeight="1">
      <c r="O47030" s="5" t="s">
        <v>355</v>
      </c>
      <c r="P47030" s="5" t="s">
        <v>355</v>
      </c>
      <c r="Q47030" s="5" t="s">
        <v>355</v>
      </c>
    </row>
    <row r="47031" ht="16.5" customHeight="1">
      <c r="O47031" s="5" t="s">
        <v>355</v>
      </c>
      <c r="P47031" s="5" t="s">
        <v>355</v>
      </c>
      <c r="Q47031" s="5" t="s">
        <v>355</v>
      </c>
    </row>
    <row r="47032" ht="16.5" customHeight="1">
      <c r="O47032" s="5" t="s">
        <v>355</v>
      </c>
      <c r="P47032" s="5" t="s">
        <v>355</v>
      </c>
      <c r="Q47032" s="5" t="s">
        <v>355</v>
      </c>
    </row>
    <row r="47033" ht="16.5" customHeight="1">
      <c r="O47033" s="5" t="s">
        <v>355</v>
      </c>
      <c r="P47033" s="5" t="s">
        <v>355</v>
      </c>
      <c r="Q47033" s="5" t="s">
        <v>355</v>
      </c>
    </row>
    <row r="47034" ht="16.5" customHeight="1">
      <c r="O47034" s="5" t="s">
        <v>355</v>
      </c>
      <c r="P47034" s="5" t="s">
        <v>355</v>
      </c>
      <c r="Q47034" s="5" t="s">
        <v>355</v>
      </c>
    </row>
    <row r="47035" ht="16.5" customHeight="1">
      <c r="O47035" s="5" t="s">
        <v>355</v>
      </c>
      <c r="P47035" s="5" t="s">
        <v>355</v>
      </c>
      <c r="Q47035" s="5" t="s">
        <v>355</v>
      </c>
    </row>
    <row r="47036" ht="16.5" customHeight="1">
      <c r="O47036" s="5" t="s">
        <v>355</v>
      </c>
      <c r="P47036" s="5" t="s">
        <v>355</v>
      </c>
      <c r="Q47036" s="5" t="s">
        <v>355</v>
      </c>
    </row>
    <row r="47037" ht="16.5" customHeight="1">
      <c r="O47037" s="5" t="s">
        <v>355</v>
      </c>
      <c r="P47037" s="5" t="s">
        <v>355</v>
      </c>
      <c r="Q47037" s="5" t="s">
        <v>355</v>
      </c>
    </row>
    <row r="47038" ht="16.5" customHeight="1">
      <c r="O47038" s="5" t="s">
        <v>355</v>
      </c>
      <c r="P47038" s="5" t="s">
        <v>355</v>
      </c>
      <c r="Q47038" s="5" t="s">
        <v>355</v>
      </c>
    </row>
    <row r="47039" ht="16.5" customHeight="1">
      <c r="O47039" s="5" t="s">
        <v>355</v>
      </c>
      <c r="P47039" s="5" t="s">
        <v>355</v>
      </c>
      <c r="Q47039" s="5" t="s">
        <v>355</v>
      </c>
    </row>
    <row r="47040" ht="16.5" customHeight="1">
      <c r="O47040" s="5" t="s">
        <v>355</v>
      </c>
      <c r="P47040" s="5" t="s">
        <v>355</v>
      </c>
      <c r="Q47040" s="5" t="s">
        <v>355</v>
      </c>
    </row>
    <row r="47041" ht="16.5" customHeight="1">
      <c r="O47041" s="5" t="s">
        <v>355</v>
      </c>
      <c r="P47041" s="5" t="s">
        <v>355</v>
      </c>
      <c r="Q47041" s="5" t="s">
        <v>355</v>
      </c>
    </row>
    <row r="47042" ht="16.5" customHeight="1">
      <c r="O47042" s="5" t="s">
        <v>355</v>
      </c>
      <c r="P47042" s="5" t="s">
        <v>355</v>
      </c>
      <c r="Q47042" s="5" t="s">
        <v>355</v>
      </c>
    </row>
    <row r="47043" ht="16.5" customHeight="1">
      <c r="O47043" s="5" t="s">
        <v>355</v>
      </c>
      <c r="P47043" s="5" t="s">
        <v>355</v>
      </c>
      <c r="Q47043" s="5" t="s">
        <v>355</v>
      </c>
    </row>
    <row r="47044" ht="16.5" customHeight="1">
      <c r="O47044" s="5" t="s">
        <v>355</v>
      </c>
      <c r="P47044" s="5" t="s">
        <v>355</v>
      </c>
      <c r="Q47044" s="5" t="s">
        <v>355</v>
      </c>
    </row>
    <row r="47045" ht="16.5" customHeight="1">
      <c r="O47045" s="5" t="s">
        <v>355</v>
      </c>
      <c r="P47045" s="5" t="s">
        <v>355</v>
      </c>
      <c r="Q47045" s="5" t="s">
        <v>355</v>
      </c>
    </row>
    <row r="47046" ht="16.5" customHeight="1">
      <c r="O47046" s="5" t="s">
        <v>355</v>
      </c>
      <c r="P47046" s="5" t="s">
        <v>355</v>
      </c>
      <c r="Q47046" s="5" t="s">
        <v>355</v>
      </c>
    </row>
    <row r="47047" ht="16.5" customHeight="1">
      <c r="O47047" s="5" t="s">
        <v>355</v>
      </c>
      <c r="P47047" s="5" t="s">
        <v>355</v>
      </c>
      <c r="Q47047" s="5" t="s">
        <v>355</v>
      </c>
    </row>
    <row r="47048" ht="16.5" customHeight="1">
      <c r="O47048" s="5" t="s">
        <v>355</v>
      </c>
      <c r="P47048" s="5" t="s">
        <v>355</v>
      </c>
      <c r="Q47048" s="5" t="s">
        <v>355</v>
      </c>
    </row>
    <row r="47049" ht="16.5" customHeight="1">
      <c r="O47049" s="5" t="s">
        <v>355</v>
      </c>
      <c r="P47049" s="5" t="s">
        <v>355</v>
      </c>
      <c r="Q47049" s="5" t="s">
        <v>355</v>
      </c>
    </row>
    <row r="47050" ht="16.5" customHeight="1">
      <c r="O47050" s="5" t="s">
        <v>355</v>
      </c>
      <c r="P47050" s="5" t="s">
        <v>355</v>
      </c>
      <c r="Q47050" s="5" t="s">
        <v>355</v>
      </c>
    </row>
    <row r="47051" ht="16.5" customHeight="1">
      <c r="O47051" s="5" t="s">
        <v>355</v>
      </c>
      <c r="P47051" s="5" t="s">
        <v>355</v>
      </c>
      <c r="Q47051" s="5" t="s">
        <v>355</v>
      </c>
    </row>
    <row r="47052" ht="16.5" customHeight="1">
      <c r="O47052" s="5" t="s">
        <v>355</v>
      </c>
      <c r="P47052" s="5" t="s">
        <v>355</v>
      </c>
      <c r="Q47052" s="5" t="s">
        <v>355</v>
      </c>
    </row>
    <row r="47053" ht="16.5" customHeight="1">
      <c r="O47053" s="5" t="s">
        <v>355</v>
      </c>
      <c r="P47053" s="5" t="s">
        <v>355</v>
      </c>
      <c r="Q47053" s="5" t="s">
        <v>355</v>
      </c>
    </row>
    <row r="47054" ht="16.5" customHeight="1">
      <c r="O47054" s="5" t="s">
        <v>355</v>
      </c>
      <c r="P47054" s="5" t="s">
        <v>355</v>
      </c>
      <c r="Q47054" s="5" t="s">
        <v>355</v>
      </c>
    </row>
    <row r="47055" ht="16.5" customHeight="1">
      <c r="O47055" s="5" t="s">
        <v>355</v>
      </c>
      <c r="P47055" s="5" t="s">
        <v>355</v>
      </c>
      <c r="Q47055" s="5" t="s">
        <v>355</v>
      </c>
    </row>
    <row r="47056" ht="16.5" customHeight="1">
      <c r="O47056" s="5" t="s">
        <v>355</v>
      </c>
      <c r="P47056" s="5" t="s">
        <v>355</v>
      </c>
      <c r="Q47056" s="5" t="s">
        <v>355</v>
      </c>
    </row>
    <row r="47057" ht="16.5" customHeight="1">
      <c r="O47057" s="5" t="s">
        <v>355</v>
      </c>
      <c r="P47057" s="5" t="s">
        <v>355</v>
      </c>
      <c r="Q47057" s="5" t="s">
        <v>355</v>
      </c>
    </row>
    <row r="47058" ht="16.5" customHeight="1">
      <c r="O47058" s="5" t="s">
        <v>355</v>
      </c>
      <c r="P47058" s="5" t="s">
        <v>355</v>
      </c>
      <c r="Q47058" s="5" t="s">
        <v>355</v>
      </c>
    </row>
    <row r="47059" ht="16.5" customHeight="1">
      <c r="O47059" s="5" t="s">
        <v>355</v>
      </c>
      <c r="P47059" s="5" t="s">
        <v>355</v>
      </c>
      <c r="Q47059" s="5" t="s">
        <v>355</v>
      </c>
    </row>
    <row r="47060" ht="16.5" customHeight="1">
      <c r="O47060" s="5" t="s">
        <v>355</v>
      </c>
      <c r="P47060" s="5" t="s">
        <v>355</v>
      </c>
      <c r="Q47060" s="5" t="s">
        <v>355</v>
      </c>
    </row>
    <row r="47061" ht="16.5" customHeight="1">
      <c r="O47061" s="5" t="s">
        <v>355</v>
      </c>
      <c r="P47061" s="5" t="s">
        <v>355</v>
      </c>
      <c r="Q47061" s="5" t="s">
        <v>355</v>
      </c>
    </row>
    <row r="47062" ht="16.5" customHeight="1">
      <c r="O47062" s="5" t="s">
        <v>355</v>
      </c>
      <c r="P47062" s="5" t="s">
        <v>355</v>
      </c>
      <c r="Q47062" s="5" t="s">
        <v>355</v>
      </c>
    </row>
    <row r="47063" ht="16.5" customHeight="1">
      <c r="O47063" s="5" t="s">
        <v>355</v>
      </c>
      <c r="P47063" s="5" t="s">
        <v>355</v>
      </c>
      <c r="Q47063" s="5" t="s">
        <v>355</v>
      </c>
    </row>
    <row r="47064" ht="16.5" customHeight="1">
      <c r="O47064" s="5" t="s">
        <v>355</v>
      </c>
      <c r="P47064" s="5" t="s">
        <v>355</v>
      </c>
      <c r="Q47064" s="5" t="s">
        <v>355</v>
      </c>
    </row>
    <row r="47065" ht="16.5" customHeight="1">
      <c r="O47065" s="5" t="s">
        <v>355</v>
      </c>
      <c r="P47065" s="5" t="s">
        <v>355</v>
      </c>
      <c r="Q47065" s="5" t="s">
        <v>355</v>
      </c>
    </row>
    <row r="47066" ht="16.5" customHeight="1">
      <c r="O47066" s="5" t="s">
        <v>355</v>
      </c>
      <c r="P47066" s="5" t="s">
        <v>355</v>
      </c>
      <c r="Q47066" s="5" t="s">
        <v>355</v>
      </c>
    </row>
    <row r="47067" ht="16.5" customHeight="1">
      <c r="O47067" s="5" t="s">
        <v>355</v>
      </c>
      <c r="P47067" s="5" t="s">
        <v>355</v>
      </c>
      <c r="Q47067" s="5" t="s">
        <v>355</v>
      </c>
    </row>
    <row r="47068" ht="16.5" customHeight="1">
      <c r="O47068" s="5" t="s">
        <v>355</v>
      </c>
      <c r="P47068" s="5" t="s">
        <v>355</v>
      </c>
      <c r="Q47068" s="5" t="s">
        <v>355</v>
      </c>
    </row>
    <row r="47069" ht="16.5" customHeight="1">
      <c r="O47069" s="5" t="s">
        <v>355</v>
      </c>
      <c r="P47069" s="5" t="s">
        <v>355</v>
      </c>
      <c r="Q47069" s="5" t="s">
        <v>355</v>
      </c>
    </row>
    <row r="47070" ht="16.5" customHeight="1">
      <c r="O47070" s="5" t="s">
        <v>355</v>
      </c>
      <c r="P47070" s="5" t="s">
        <v>355</v>
      </c>
      <c r="Q47070" s="5" t="s">
        <v>355</v>
      </c>
    </row>
    <row r="47071" ht="16.5" customHeight="1">
      <c r="O47071" s="5" t="s">
        <v>355</v>
      </c>
      <c r="P47071" s="5" t="s">
        <v>355</v>
      </c>
      <c r="Q47071" s="5" t="s">
        <v>355</v>
      </c>
    </row>
    <row r="47072" ht="16.5" customHeight="1">
      <c r="O47072" s="5" t="s">
        <v>355</v>
      </c>
      <c r="P47072" s="5" t="s">
        <v>355</v>
      </c>
      <c r="Q47072" s="5" t="s">
        <v>355</v>
      </c>
    </row>
    <row r="47073" ht="16.5" customHeight="1">
      <c r="O47073" s="5" t="s">
        <v>355</v>
      </c>
      <c r="P47073" s="5" t="s">
        <v>355</v>
      </c>
      <c r="Q47073" s="5" t="s">
        <v>355</v>
      </c>
    </row>
    <row r="47074" ht="16.5" customHeight="1">
      <c r="O47074" s="5" t="s">
        <v>355</v>
      </c>
      <c r="P47074" s="5" t="s">
        <v>355</v>
      </c>
      <c r="Q47074" s="5" t="s">
        <v>355</v>
      </c>
    </row>
    <row r="47075" ht="16.5" customHeight="1">
      <c r="O47075" s="5" t="s">
        <v>355</v>
      </c>
      <c r="P47075" s="5" t="s">
        <v>355</v>
      </c>
      <c r="Q47075" s="5" t="s">
        <v>355</v>
      </c>
    </row>
    <row r="47076" ht="16.5" customHeight="1">
      <c r="O47076" s="5" t="s">
        <v>355</v>
      </c>
      <c r="P47076" s="5" t="s">
        <v>355</v>
      </c>
      <c r="Q47076" s="5" t="s">
        <v>355</v>
      </c>
    </row>
    <row r="47077" ht="16.5" customHeight="1">
      <c r="O47077" s="5" t="s">
        <v>355</v>
      </c>
      <c r="P47077" s="5" t="s">
        <v>355</v>
      </c>
      <c r="Q47077" s="5" t="s">
        <v>355</v>
      </c>
    </row>
    <row r="47078" ht="16.5" customHeight="1">
      <c r="O47078" s="5" t="s">
        <v>355</v>
      </c>
      <c r="P47078" s="5" t="s">
        <v>355</v>
      </c>
      <c r="Q47078" s="5" t="s">
        <v>355</v>
      </c>
    </row>
    <row r="47079" ht="16.5" customHeight="1">
      <c r="O47079" s="5" t="s">
        <v>355</v>
      </c>
      <c r="P47079" s="5" t="s">
        <v>355</v>
      </c>
      <c r="Q47079" s="5" t="s">
        <v>355</v>
      </c>
    </row>
    <row r="47080" ht="16.5" customHeight="1">
      <c r="O47080" s="5" t="s">
        <v>355</v>
      </c>
      <c r="P47080" s="5" t="s">
        <v>355</v>
      </c>
      <c r="Q47080" s="5" t="s">
        <v>355</v>
      </c>
    </row>
    <row r="47081" ht="16.5" customHeight="1">
      <c r="O47081" s="5" t="s">
        <v>355</v>
      </c>
      <c r="P47081" s="5" t="s">
        <v>355</v>
      </c>
      <c r="Q47081" s="5" t="s">
        <v>355</v>
      </c>
    </row>
    <row r="47082" ht="16.5" customHeight="1">
      <c r="O47082" s="5" t="s">
        <v>355</v>
      </c>
      <c r="P47082" s="5" t="s">
        <v>355</v>
      </c>
      <c r="Q47082" s="5" t="s">
        <v>355</v>
      </c>
    </row>
    <row r="47083" ht="16.5" customHeight="1">
      <c r="O47083" s="5" t="s">
        <v>355</v>
      </c>
      <c r="P47083" s="5" t="s">
        <v>355</v>
      </c>
      <c r="Q47083" s="5" t="s">
        <v>355</v>
      </c>
    </row>
    <row r="47084" ht="16.5" customHeight="1">
      <c r="O47084" s="5" t="s">
        <v>355</v>
      </c>
      <c r="P47084" s="5" t="s">
        <v>355</v>
      </c>
      <c r="Q47084" s="5" t="s">
        <v>355</v>
      </c>
    </row>
    <row r="47085" ht="16.5" customHeight="1">
      <c r="O47085" s="5" t="s">
        <v>355</v>
      </c>
      <c r="P47085" s="5" t="s">
        <v>355</v>
      </c>
      <c r="Q47085" s="5" t="s">
        <v>355</v>
      </c>
    </row>
    <row r="47086" ht="16.5" customHeight="1">
      <c r="O47086" s="5" t="s">
        <v>355</v>
      </c>
      <c r="P47086" s="5" t="s">
        <v>355</v>
      </c>
      <c r="Q47086" s="5" t="s">
        <v>355</v>
      </c>
    </row>
    <row r="47087" ht="16.5" customHeight="1">
      <c r="O47087" s="5" t="s">
        <v>355</v>
      </c>
      <c r="P47087" s="5" t="s">
        <v>355</v>
      </c>
      <c r="Q47087" s="5" t="s">
        <v>355</v>
      </c>
    </row>
    <row r="47088" ht="16.5" customHeight="1">
      <c r="O47088" s="5" t="s">
        <v>355</v>
      </c>
      <c r="P47088" s="5" t="s">
        <v>355</v>
      </c>
      <c r="Q47088" s="5" t="s">
        <v>355</v>
      </c>
    </row>
    <row r="47089" ht="16.5" customHeight="1">
      <c r="O47089" s="5" t="s">
        <v>355</v>
      </c>
      <c r="P47089" s="5" t="s">
        <v>355</v>
      </c>
      <c r="Q47089" s="5" t="s">
        <v>355</v>
      </c>
    </row>
    <row r="47090" ht="16.5" customHeight="1">
      <c r="O47090" s="5" t="s">
        <v>355</v>
      </c>
      <c r="P47090" s="5" t="s">
        <v>355</v>
      </c>
      <c r="Q47090" s="5" t="s">
        <v>355</v>
      </c>
    </row>
    <row r="47091" ht="16.5" customHeight="1">
      <c r="O47091" s="5" t="s">
        <v>355</v>
      </c>
      <c r="P47091" s="5" t="s">
        <v>355</v>
      </c>
      <c r="Q47091" s="5" t="s">
        <v>355</v>
      </c>
    </row>
    <row r="47092" ht="16.5" customHeight="1">
      <c r="O47092" s="5" t="s">
        <v>355</v>
      </c>
      <c r="P47092" s="5" t="s">
        <v>355</v>
      </c>
      <c r="Q47092" s="5" t="s">
        <v>355</v>
      </c>
    </row>
    <row r="47093" ht="16.5" customHeight="1">
      <c r="O47093" s="5" t="s">
        <v>355</v>
      </c>
      <c r="P47093" s="5" t="s">
        <v>355</v>
      </c>
      <c r="Q47093" s="5" t="s">
        <v>355</v>
      </c>
    </row>
    <row r="47094" ht="16.5" customHeight="1">
      <c r="O47094" s="5" t="s">
        <v>355</v>
      </c>
      <c r="P47094" s="5" t="s">
        <v>355</v>
      </c>
      <c r="Q47094" s="5" t="s">
        <v>355</v>
      </c>
    </row>
    <row r="47095" ht="16.5" customHeight="1">
      <c r="O47095" s="5" t="s">
        <v>355</v>
      </c>
      <c r="P47095" s="5" t="s">
        <v>355</v>
      </c>
      <c r="Q47095" s="5" t="s">
        <v>355</v>
      </c>
    </row>
    <row r="47096" ht="16.5" customHeight="1">
      <c r="O47096" s="5" t="s">
        <v>355</v>
      </c>
      <c r="P47096" s="5" t="s">
        <v>355</v>
      </c>
      <c r="Q47096" s="5" t="s">
        <v>355</v>
      </c>
    </row>
    <row r="47097" ht="16.5" customHeight="1">
      <c r="O47097" s="5" t="s">
        <v>355</v>
      </c>
      <c r="P47097" s="5" t="s">
        <v>355</v>
      </c>
      <c r="Q47097" s="5" t="s">
        <v>355</v>
      </c>
    </row>
    <row r="47098" ht="16.5" customHeight="1">
      <c r="O47098" s="5" t="s">
        <v>355</v>
      </c>
      <c r="P47098" s="5" t="s">
        <v>355</v>
      </c>
      <c r="Q47098" s="5" t="s">
        <v>355</v>
      </c>
    </row>
    <row r="47099" ht="16.5" customHeight="1">
      <c r="O47099" s="5" t="s">
        <v>355</v>
      </c>
      <c r="P47099" s="5" t="s">
        <v>355</v>
      </c>
      <c r="Q47099" s="5" t="s">
        <v>355</v>
      </c>
    </row>
    <row r="47100" ht="16.5" customHeight="1">
      <c r="O47100" s="5" t="s">
        <v>355</v>
      </c>
      <c r="P47100" s="5" t="s">
        <v>355</v>
      </c>
      <c r="Q47100" s="5" t="s">
        <v>355</v>
      </c>
    </row>
    <row r="47101" ht="16.5" customHeight="1">
      <c r="O47101" s="5" t="s">
        <v>355</v>
      </c>
      <c r="P47101" s="5" t="s">
        <v>355</v>
      </c>
      <c r="Q47101" s="5" t="s">
        <v>355</v>
      </c>
    </row>
    <row r="47102" ht="16.5" customHeight="1">
      <c r="O47102" s="5" t="s">
        <v>355</v>
      </c>
      <c r="P47102" s="5" t="s">
        <v>355</v>
      </c>
      <c r="Q47102" s="5" t="s">
        <v>355</v>
      </c>
    </row>
    <row r="47103" ht="16.5" customHeight="1">
      <c r="O47103" s="5" t="s">
        <v>355</v>
      </c>
      <c r="P47103" s="5" t="s">
        <v>355</v>
      </c>
      <c r="Q47103" s="5" t="s">
        <v>355</v>
      </c>
    </row>
    <row r="47104" ht="16.5" customHeight="1">
      <c r="O47104" s="5" t="s">
        <v>355</v>
      </c>
      <c r="P47104" s="5" t="s">
        <v>355</v>
      </c>
      <c r="Q47104" s="5" t="s">
        <v>355</v>
      </c>
    </row>
    <row r="47105" ht="16.5" customHeight="1">
      <c r="O47105" s="5" t="s">
        <v>355</v>
      </c>
      <c r="P47105" s="5" t="s">
        <v>355</v>
      </c>
      <c r="Q47105" s="5" t="s">
        <v>355</v>
      </c>
    </row>
    <row r="47106" ht="16.5" customHeight="1">
      <c r="O47106" s="5" t="s">
        <v>355</v>
      </c>
      <c r="P47106" s="5" t="s">
        <v>355</v>
      </c>
      <c r="Q47106" s="5" t="s">
        <v>355</v>
      </c>
    </row>
    <row r="47107" ht="16.5" customHeight="1">
      <c r="O47107" s="5" t="s">
        <v>355</v>
      </c>
      <c r="P47107" s="5" t="s">
        <v>355</v>
      </c>
      <c r="Q47107" s="5" t="s">
        <v>355</v>
      </c>
    </row>
    <row r="47108" ht="16.5" customHeight="1">
      <c r="O47108" s="5" t="s">
        <v>355</v>
      </c>
      <c r="P47108" s="5" t="s">
        <v>355</v>
      </c>
      <c r="Q47108" s="5" t="s">
        <v>355</v>
      </c>
    </row>
    <row r="47109" ht="16.5" customHeight="1">
      <c r="O47109" s="5" t="s">
        <v>355</v>
      </c>
      <c r="P47109" s="5" t="s">
        <v>355</v>
      </c>
      <c r="Q47109" s="5" t="s">
        <v>355</v>
      </c>
    </row>
    <row r="47110" ht="16.5" customHeight="1">
      <c r="O47110" s="5" t="s">
        <v>355</v>
      </c>
      <c r="P47110" s="5" t="s">
        <v>355</v>
      </c>
      <c r="Q47110" s="5" t="s">
        <v>355</v>
      </c>
    </row>
    <row r="47111" ht="16.5" customHeight="1">
      <c r="O47111" s="5" t="s">
        <v>355</v>
      </c>
      <c r="P47111" s="5" t="s">
        <v>355</v>
      </c>
      <c r="Q47111" s="5" t="s">
        <v>355</v>
      </c>
    </row>
    <row r="47112" ht="16.5" customHeight="1">
      <c r="O47112" s="5" t="s">
        <v>355</v>
      </c>
      <c r="P47112" s="5" t="s">
        <v>355</v>
      </c>
      <c r="Q47112" s="5" t="s">
        <v>355</v>
      </c>
    </row>
    <row r="47113" ht="16.5" customHeight="1">
      <c r="O47113" s="5" t="s">
        <v>355</v>
      </c>
      <c r="P47113" s="5" t="s">
        <v>355</v>
      </c>
      <c r="Q47113" s="5" t="s">
        <v>355</v>
      </c>
    </row>
    <row r="47114" ht="16.5" customHeight="1">
      <c r="O47114" s="5" t="s">
        <v>355</v>
      </c>
      <c r="P47114" s="5" t="s">
        <v>355</v>
      </c>
      <c r="Q47114" s="5" t="s">
        <v>355</v>
      </c>
    </row>
    <row r="47115" ht="16.5" customHeight="1">
      <c r="O47115" s="5" t="s">
        <v>355</v>
      </c>
      <c r="P47115" s="5" t="s">
        <v>355</v>
      </c>
      <c r="Q47115" s="5" t="s">
        <v>355</v>
      </c>
    </row>
    <row r="47116" ht="16.5" customHeight="1">
      <c r="O47116" s="5" t="s">
        <v>355</v>
      </c>
      <c r="P47116" s="5" t="s">
        <v>355</v>
      </c>
      <c r="Q47116" s="5" t="s">
        <v>355</v>
      </c>
    </row>
    <row r="47117" ht="16.5" customHeight="1">
      <c r="O47117" s="5" t="s">
        <v>355</v>
      </c>
      <c r="P47117" s="5" t="s">
        <v>355</v>
      </c>
      <c r="Q47117" s="5" t="s">
        <v>355</v>
      </c>
    </row>
    <row r="47118" ht="16.5" customHeight="1">
      <c r="O47118" s="5" t="s">
        <v>355</v>
      </c>
      <c r="P47118" s="5" t="s">
        <v>355</v>
      </c>
      <c r="Q47118" s="5" t="s">
        <v>355</v>
      </c>
    </row>
    <row r="47119" ht="16.5" customHeight="1">
      <c r="O47119" s="5" t="s">
        <v>355</v>
      </c>
      <c r="P47119" s="5" t="s">
        <v>355</v>
      </c>
      <c r="Q47119" s="5" t="s">
        <v>355</v>
      </c>
    </row>
    <row r="47120" ht="16.5" customHeight="1">
      <c r="O47120" s="5" t="s">
        <v>355</v>
      </c>
      <c r="P47120" s="5" t="s">
        <v>355</v>
      </c>
      <c r="Q47120" s="5" t="s">
        <v>355</v>
      </c>
    </row>
    <row r="47121" ht="16.5" customHeight="1">
      <c r="O47121" s="5" t="s">
        <v>355</v>
      </c>
      <c r="P47121" s="5" t="s">
        <v>355</v>
      </c>
      <c r="Q47121" s="5" t="s">
        <v>355</v>
      </c>
    </row>
    <row r="47122" ht="16.5" customHeight="1">
      <c r="O47122" s="5" t="s">
        <v>355</v>
      </c>
      <c r="P47122" s="5" t="s">
        <v>355</v>
      </c>
      <c r="Q47122" s="5" t="s">
        <v>355</v>
      </c>
    </row>
    <row r="47123" ht="16.5" customHeight="1">
      <c r="O47123" s="5" t="s">
        <v>355</v>
      </c>
      <c r="P47123" s="5" t="s">
        <v>355</v>
      </c>
      <c r="Q47123" s="5" t="s">
        <v>355</v>
      </c>
    </row>
    <row r="47124" ht="16.5" customHeight="1">
      <c r="O47124" s="5" t="s">
        <v>355</v>
      </c>
      <c r="P47124" s="5" t="s">
        <v>355</v>
      </c>
      <c r="Q47124" s="5" t="s">
        <v>355</v>
      </c>
    </row>
    <row r="47125" ht="16.5" customHeight="1">
      <c r="O47125" s="5" t="s">
        <v>355</v>
      </c>
      <c r="P47125" s="5" t="s">
        <v>355</v>
      </c>
      <c r="Q47125" s="5" t="s">
        <v>355</v>
      </c>
    </row>
    <row r="47126" ht="16.5" customHeight="1">
      <c r="O47126" s="5" t="s">
        <v>355</v>
      </c>
      <c r="P47126" s="5" t="s">
        <v>355</v>
      </c>
      <c r="Q47126" s="5" t="s">
        <v>355</v>
      </c>
    </row>
    <row r="47127" ht="16.5" customHeight="1">
      <c r="O47127" s="5" t="s">
        <v>355</v>
      </c>
      <c r="P47127" s="5" t="s">
        <v>355</v>
      </c>
      <c r="Q47127" s="5" t="s">
        <v>355</v>
      </c>
    </row>
    <row r="47128" ht="16.5" customHeight="1">
      <c r="O47128" s="5" t="s">
        <v>355</v>
      </c>
      <c r="P47128" s="5" t="s">
        <v>355</v>
      </c>
      <c r="Q47128" s="5" t="s">
        <v>355</v>
      </c>
    </row>
    <row r="47129" ht="16.5" customHeight="1">
      <c r="O47129" s="5" t="s">
        <v>355</v>
      </c>
      <c r="P47129" s="5" t="s">
        <v>355</v>
      </c>
      <c r="Q47129" s="5" t="s">
        <v>355</v>
      </c>
    </row>
    <row r="47130" ht="16.5" customHeight="1">
      <c r="O47130" s="5" t="s">
        <v>355</v>
      </c>
      <c r="P47130" s="5" t="s">
        <v>355</v>
      </c>
      <c r="Q47130" s="5" t="s">
        <v>355</v>
      </c>
    </row>
    <row r="47131" ht="16.5" customHeight="1">
      <c r="O47131" s="5" t="s">
        <v>355</v>
      </c>
      <c r="P47131" s="5" t="s">
        <v>355</v>
      </c>
      <c r="Q47131" s="5" t="s">
        <v>355</v>
      </c>
    </row>
    <row r="47132" ht="16.5" customHeight="1">
      <c r="O47132" s="5" t="s">
        <v>355</v>
      </c>
      <c r="P47132" s="5" t="s">
        <v>355</v>
      </c>
      <c r="Q47132" s="5" t="s">
        <v>355</v>
      </c>
    </row>
    <row r="47133" ht="16.5" customHeight="1">
      <c r="O47133" s="5" t="s">
        <v>355</v>
      </c>
      <c r="P47133" s="5" t="s">
        <v>355</v>
      </c>
      <c r="Q47133" s="5" t="s">
        <v>355</v>
      </c>
    </row>
    <row r="47134" ht="16.5" customHeight="1">
      <c r="O47134" s="5" t="s">
        <v>355</v>
      </c>
      <c r="P47134" s="5" t="s">
        <v>355</v>
      </c>
      <c r="Q47134" s="5" t="s">
        <v>355</v>
      </c>
    </row>
    <row r="47135" ht="16.5" customHeight="1">
      <c r="O47135" s="5" t="s">
        <v>355</v>
      </c>
      <c r="P47135" s="5" t="s">
        <v>355</v>
      </c>
      <c r="Q47135" s="5" t="s">
        <v>355</v>
      </c>
    </row>
    <row r="47136" ht="16.5" customHeight="1">
      <c r="O47136" s="5" t="s">
        <v>355</v>
      </c>
      <c r="P47136" s="5" t="s">
        <v>355</v>
      </c>
      <c r="Q47136" s="5" t="s">
        <v>355</v>
      </c>
    </row>
    <row r="47137" ht="16.5" customHeight="1">
      <c r="O47137" s="5" t="s">
        <v>355</v>
      </c>
      <c r="P47137" s="5" t="s">
        <v>355</v>
      </c>
      <c r="Q47137" s="5" t="s">
        <v>355</v>
      </c>
    </row>
    <row r="47138" ht="16.5" customHeight="1">
      <c r="O47138" s="5" t="s">
        <v>355</v>
      </c>
      <c r="P47138" s="5" t="s">
        <v>355</v>
      </c>
      <c r="Q47138" s="5" t="s">
        <v>355</v>
      </c>
    </row>
    <row r="47139" ht="16.5" customHeight="1">
      <c r="O47139" s="5" t="s">
        <v>355</v>
      </c>
      <c r="P47139" s="5" t="s">
        <v>355</v>
      </c>
      <c r="Q47139" s="5" t="s">
        <v>355</v>
      </c>
    </row>
    <row r="47140" ht="16.5" customHeight="1">
      <c r="O47140" s="5" t="s">
        <v>355</v>
      </c>
      <c r="P47140" s="5" t="s">
        <v>355</v>
      </c>
      <c r="Q47140" s="5" t="s">
        <v>355</v>
      </c>
    </row>
    <row r="47141" ht="16.5" customHeight="1">
      <c r="O47141" s="5" t="s">
        <v>355</v>
      </c>
      <c r="P47141" s="5" t="s">
        <v>355</v>
      </c>
      <c r="Q47141" s="5" t="s">
        <v>355</v>
      </c>
    </row>
    <row r="47142" ht="16.5" customHeight="1">
      <c r="O47142" s="5" t="s">
        <v>355</v>
      </c>
      <c r="P47142" s="5" t="s">
        <v>355</v>
      </c>
      <c r="Q47142" s="5" t="s">
        <v>355</v>
      </c>
    </row>
    <row r="47143" ht="16.5" customHeight="1">
      <c r="O47143" s="5" t="s">
        <v>355</v>
      </c>
      <c r="P47143" s="5" t="s">
        <v>355</v>
      </c>
      <c r="Q47143" s="5" t="s">
        <v>355</v>
      </c>
    </row>
    <row r="47144" ht="16.5" customHeight="1">
      <c r="O47144" s="5" t="s">
        <v>355</v>
      </c>
      <c r="P47144" s="5" t="s">
        <v>355</v>
      </c>
      <c r="Q47144" s="5" t="s">
        <v>355</v>
      </c>
    </row>
    <row r="47145" ht="16.5" customHeight="1">
      <c r="O47145" s="5" t="s">
        <v>355</v>
      </c>
      <c r="P47145" s="5" t="s">
        <v>355</v>
      </c>
      <c r="Q47145" s="5" t="s">
        <v>355</v>
      </c>
    </row>
    <row r="47146" ht="16.5" customHeight="1">
      <c r="O47146" s="5" t="s">
        <v>355</v>
      </c>
      <c r="P47146" s="5" t="s">
        <v>355</v>
      </c>
      <c r="Q47146" s="5" t="s">
        <v>355</v>
      </c>
    </row>
    <row r="47147" ht="16.5" customHeight="1">
      <c r="O47147" s="5" t="s">
        <v>355</v>
      </c>
      <c r="P47147" s="5" t="s">
        <v>355</v>
      </c>
      <c r="Q47147" s="5" t="s">
        <v>355</v>
      </c>
    </row>
    <row r="47148" ht="16.5" customHeight="1">
      <c r="O47148" s="5" t="s">
        <v>355</v>
      </c>
      <c r="P47148" s="5" t="s">
        <v>355</v>
      </c>
      <c r="Q47148" s="5" t="s">
        <v>355</v>
      </c>
    </row>
    <row r="47149" ht="16.5" customHeight="1">
      <c r="O47149" s="5" t="s">
        <v>355</v>
      </c>
      <c r="P47149" s="5" t="s">
        <v>355</v>
      </c>
      <c r="Q47149" s="5" t="s">
        <v>355</v>
      </c>
    </row>
    <row r="47150" ht="16.5" customHeight="1">
      <c r="O47150" s="5" t="s">
        <v>355</v>
      </c>
      <c r="P47150" s="5" t="s">
        <v>355</v>
      </c>
      <c r="Q47150" s="5" t="s">
        <v>355</v>
      </c>
    </row>
    <row r="47151" ht="16.5" customHeight="1">
      <c r="O47151" s="5" t="s">
        <v>355</v>
      </c>
      <c r="P47151" s="5" t="s">
        <v>355</v>
      </c>
      <c r="Q47151" s="5" t="s">
        <v>355</v>
      </c>
    </row>
    <row r="47152" ht="16.5" customHeight="1">
      <c r="O47152" s="5" t="s">
        <v>355</v>
      </c>
      <c r="P47152" s="5" t="s">
        <v>355</v>
      </c>
      <c r="Q47152" s="5" t="s">
        <v>355</v>
      </c>
    </row>
    <row r="47153" ht="16.5" customHeight="1">
      <c r="O47153" s="5" t="s">
        <v>355</v>
      </c>
      <c r="P47153" s="5" t="s">
        <v>355</v>
      </c>
      <c r="Q47153" s="5" t="s">
        <v>355</v>
      </c>
    </row>
    <row r="47154" ht="16.5" customHeight="1">
      <c r="O47154" s="5" t="s">
        <v>355</v>
      </c>
      <c r="P47154" s="5" t="s">
        <v>355</v>
      </c>
      <c r="Q47154" s="5" t="s">
        <v>355</v>
      </c>
    </row>
    <row r="47155" ht="16.5" customHeight="1">
      <c r="O47155" s="5" t="s">
        <v>355</v>
      </c>
      <c r="P47155" s="5" t="s">
        <v>355</v>
      </c>
      <c r="Q47155" s="5" t="s">
        <v>355</v>
      </c>
    </row>
    <row r="47156" ht="16.5" customHeight="1">
      <c r="O47156" s="5" t="s">
        <v>355</v>
      </c>
      <c r="P47156" s="5" t="s">
        <v>355</v>
      </c>
      <c r="Q47156" s="5" t="s">
        <v>355</v>
      </c>
    </row>
    <row r="47157" ht="16.5" customHeight="1">
      <c r="O47157" s="5" t="s">
        <v>355</v>
      </c>
      <c r="P47157" s="5" t="s">
        <v>355</v>
      </c>
      <c r="Q47157" s="5" t="s">
        <v>355</v>
      </c>
    </row>
    <row r="47158" ht="16.5" customHeight="1">
      <c r="O47158" s="5" t="s">
        <v>355</v>
      </c>
      <c r="P47158" s="5" t="s">
        <v>355</v>
      </c>
      <c r="Q47158" s="5" t="s">
        <v>355</v>
      </c>
    </row>
    <row r="47159" ht="16.5" customHeight="1">
      <c r="O47159" s="5" t="s">
        <v>355</v>
      </c>
      <c r="P47159" s="5" t="s">
        <v>355</v>
      </c>
      <c r="Q47159" s="5" t="s">
        <v>355</v>
      </c>
    </row>
    <row r="47160" ht="16.5" customHeight="1">
      <c r="O47160" s="5" t="s">
        <v>355</v>
      </c>
      <c r="P47160" s="5" t="s">
        <v>355</v>
      </c>
      <c r="Q47160" s="5" t="s">
        <v>355</v>
      </c>
    </row>
    <row r="47161" ht="16.5" customHeight="1">
      <c r="O47161" s="5" t="s">
        <v>355</v>
      </c>
      <c r="P47161" s="5" t="s">
        <v>355</v>
      </c>
      <c r="Q47161" s="5" t="s">
        <v>355</v>
      </c>
    </row>
    <row r="47162" ht="16.5" customHeight="1">
      <c r="O47162" s="5" t="s">
        <v>355</v>
      </c>
      <c r="P47162" s="5" t="s">
        <v>355</v>
      </c>
      <c r="Q47162" s="5" t="s">
        <v>355</v>
      </c>
    </row>
    <row r="47163" ht="16.5" customHeight="1">
      <c r="O47163" s="5" t="s">
        <v>355</v>
      </c>
      <c r="P47163" s="5" t="s">
        <v>355</v>
      </c>
      <c r="Q47163" s="5" t="s">
        <v>355</v>
      </c>
    </row>
    <row r="47164" ht="16.5" customHeight="1">
      <c r="O47164" s="5" t="s">
        <v>355</v>
      </c>
      <c r="P47164" s="5" t="s">
        <v>355</v>
      </c>
      <c r="Q47164" s="5" t="s">
        <v>355</v>
      </c>
    </row>
    <row r="47165" ht="16.5" customHeight="1">
      <c r="O47165" s="5" t="s">
        <v>355</v>
      </c>
      <c r="P47165" s="5" t="s">
        <v>355</v>
      </c>
      <c r="Q47165" s="5" t="s">
        <v>355</v>
      </c>
    </row>
    <row r="47166" ht="16.5" customHeight="1">
      <c r="O47166" s="5" t="s">
        <v>355</v>
      </c>
      <c r="P47166" s="5" t="s">
        <v>355</v>
      </c>
      <c r="Q47166" s="5" t="s">
        <v>355</v>
      </c>
    </row>
    <row r="47167" ht="16.5" customHeight="1">
      <c r="O47167" s="5" t="s">
        <v>355</v>
      </c>
      <c r="P47167" s="5" t="s">
        <v>355</v>
      </c>
      <c r="Q47167" s="5" t="s">
        <v>355</v>
      </c>
    </row>
    <row r="47168" ht="16.5" customHeight="1">
      <c r="O47168" s="5" t="s">
        <v>355</v>
      </c>
      <c r="P47168" s="5" t="s">
        <v>355</v>
      </c>
      <c r="Q47168" s="5" t="s">
        <v>355</v>
      </c>
    </row>
    <row r="47169" ht="16.5" customHeight="1">
      <c r="O47169" s="5" t="s">
        <v>355</v>
      </c>
      <c r="P47169" s="5" t="s">
        <v>355</v>
      </c>
      <c r="Q47169" s="5" t="s">
        <v>355</v>
      </c>
    </row>
    <row r="47170" ht="16.5" customHeight="1">
      <c r="O47170" s="5" t="s">
        <v>355</v>
      </c>
      <c r="P47170" s="5" t="s">
        <v>355</v>
      </c>
      <c r="Q47170" s="5" t="s">
        <v>355</v>
      </c>
    </row>
    <row r="47171" ht="16.5" customHeight="1">
      <c r="O47171" s="5" t="s">
        <v>355</v>
      </c>
      <c r="P47171" s="5" t="s">
        <v>355</v>
      </c>
      <c r="Q47171" s="5" t="s">
        <v>355</v>
      </c>
    </row>
    <row r="47172" ht="16.5" customHeight="1">
      <c r="O47172" s="5" t="s">
        <v>355</v>
      </c>
      <c r="P47172" s="5" t="s">
        <v>355</v>
      </c>
      <c r="Q47172" s="5" t="s">
        <v>355</v>
      </c>
    </row>
    <row r="47173" ht="16.5" customHeight="1">
      <c r="O47173" s="5" t="s">
        <v>355</v>
      </c>
      <c r="P47173" s="5" t="s">
        <v>355</v>
      </c>
      <c r="Q47173" s="5" t="s">
        <v>355</v>
      </c>
    </row>
    <row r="47174" ht="16.5" customHeight="1">
      <c r="O47174" s="5" t="s">
        <v>355</v>
      </c>
      <c r="P47174" s="5" t="s">
        <v>355</v>
      </c>
      <c r="Q47174" s="5" t="s">
        <v>355</v>
      </c>
    </row>
    <row r="47175" ht="16.5" customHeight="1">
      <c r="O47175" s="5" t="s">
        <v>355</v>
      </c>
      <c r="P47175" s="5" t="s">
        <v>355</v>
      </c>
      <c r="Q47175" s="5" t="s">
        <v>355</v>
      </c>
    </row>
    <row r="47176" ht="16.5" customHeight="1">
      <c r="O47176" s="5" t="s">
        <v>355</v>
      </c>
      <c r="P47176" s="5" t="s">
        <v>355</v>
      </c>
      <c r="Q47176" s="5" t="s">
        <v>355</v>
      </c>
    </row>
    <row r="47177" ht="16.5" customHeight="1">
      <c r="O47177" s="5" t="s">
        <v>355</v>
      </c>
      <c r="P47177" s="5" t="s">
        <v>355</v>
      </c>
      <c r="Q47177" s="5" t="s">
        <v>355</v>
      </c>
    </row>
    <row r="47178" ht="16.5" customHeight="1">
      <c r="O47178" s="5" t="s">
        <v>355</v>
      </c>
      <c r="P47178" s="5" t="s">
        <v>355</v>
      </c>
      <c r="Q47178" s="5" t="s">
        <v>355</v>
      </c>
    </row>
    <row r="47179" ht="16.5" customHeight="1">
      <c r="O47179" s="5" t="s">
        <v>355</v>
      </c>
      <c r="P47179" s="5" t="s">
        <v>355</v>
      </c>
      <c r="Q47179" s="5" t="s">
        <v>355</v>
      </c>
    </row>
    <row r="47180" ht="16.5" customHeight="1">
      <c r="O47180" s="5" t="s">
        <v>355</v>
      </c>
      <c r="P47180" s="5" t="s">
        <v>355</v>
      </c>
      <c r="Q47180" s="5" t="s">
        <v>355</v>
      </c>
    </row>
    <row r="47181" ht="16.5" customHeight="1">
      <c r="O47181" s="5" t="s">
        <v>355</v>
      </c>
      <c r="P47181" s="5" t="s">
        <v>355</v>
      </c>
      <c r="Q47181" s="5" t="s">
        <v>355</v>
      </c>
    </row>
    <row r="47182" ht="16.5" customHeight="1">
      <c r="O47182" s="5" t="s">
        <v>355</v>
      </c>
      <c r="P47182" s="5" t="s">
        <v>355</v>
      </c>
      <c r="Q47182" s="5" t="s">
        <v>355</v>
      </c>
    </row>
    <row r="47183" ht="16.5" customHeight="1">
      <c r="O47183" s="5" t="s">
        <v>355</v>
      </c>
      <c r="P47183" s="5" t="s">
        <v>355</v>
      </c>
      <c r="Q47183" s="5" t="s">
        <v>355</v>
      </c>
    </row>
    <row r="47184" ht="16.5" customHeight="1">
      <c r="O47184" s="5" t="s">
        <v>355</v>
      </c>
      <c r="P47184" s="5" t="s">
        <v>355</v>
      </c>
      <c r="Q47184" s="5" t="s">
        <v>355</v>
      </c>
    </row>
    <row r="47185" ht="16.5" customHeight="1">
      <c r="O47185" s="5" t="s">
        <v>355</v>
      </c>
      <c r="P47185" s="5" t="s">
        <v>355</v>
      </c>
      <c r="Q47185" s="5" t="s">
        <v>355</v>
      </c>
    </row>
    <row r="47186" ht="16.5" customHeight="1">
      <c r="O47186" s="5" t="s">
        <v>355</v>
      </c>
      <c r="P47186" s="5" t="s">
        <v>355</v>
      </c>
      <c r="Q47186" s="5" t="s">
        <v>355</v>
      </c>
    </row>
    <row r="47187" ht="16.5" customHeight="1">
      <c r="O47187" s="5" t="s">
        <v>355</v>
      </c>
      <c r="P47187" s="5" t="s">
        <v>355</v>
      </c>
      <c r="Q47187" s="5" t="s">
        <v>355</v>
      </c>
    </row>
    <row r="47188" ht="16.5" customHeight="1">
      <c r="O47188" s="5" t="s">
        <v>355</v>
      </c>
      <c r="P47188" s="5" t="s">
        <v>355</v>
      </c>
      <c r="Q47188" s="5" t="s">
        <v>355</v>
      </c>
    </row>
    <row r="47189" ht="16.5" customHeight="1">
      <c r="O47189" s="5" t="s">
        <v>355</v>
      </c>
      <c r="P47189" s="5" t="s">
        <v>355</v>
      </c>
      <c r="Q47189" s="5" t="s">
        <v>355</v>
      </c>
    </row>
    <row r="47190" ht="16.5" customHeight="1">
      <c r="O47190" s="5" t="s">
        <v>355</v>
      </c>
      <c r="P47190" s="5" t="s">
        <v>355</v>
      </c>
      <c r="Q47190" s="5" t="s">
        <v>355</v>
      </c>
    </row>
    <row r="47191" ht="16.5" customHeight="1">
      <c r="O47191" s="5" t="s">
        <v>355</v>
      </c>
      <c r="P47191" s="5" t="s">
        <v>355</v>
      </c>
      <c r="Q47191" s="5" t="s">
        <v>355</v>
      </c>
    </row>
    <row r="47192" ht="16.5" customHeight="1">
      <c r="O47192" s="5" t="s">
        <v>355</v>
      </c>
      <c r="P47192" s="5" t="s">
        <v>355</v>
      </c>
      <c r="Q47192" s="5" t="s">
        <v>355</v>
      </c>
    </row>
    <row r="47193" ht="16.5" customHeight="1">
      <c r="O47193" s="5" t="s">
        <v>355</v>
      </c>
      <c r="P47193" s="5" t="s">
        <v>355</v>
      </c>
      <c r="Q47193" s="5" t="s">
        <v>355</v>
      </c>
    </row>
    <row r="47194" ht="16.5" customHeight="1">
      <c r="O47194" s="5" t="s">
        <v>355</v>
      </c>
      <c r="P47194" s="5" t="s">
        <v>355</v>
      </c>
      <c r="Q47194" s="5" t="s">
        <v>355</v>
      </c>
    </row>
    <row r="47195" ht="16.5" customHeight="1">
      <c r="O47195" s="5" t="s">
        <v>355</v>
      </c>
      <c r="P47195" s="5" t="s">
        <v>355</v>
      </c>
      <c r="Q47195" s="5" t="s">
        <v>355</v>
      </c>
    </row>
    <row r="47196" ht="16.5" customHeight="1">
      <c r="O47196" s="5" t="s">
        <v>355</v>
      </c>
      <c r="P47196" s="5" t="s">
        <v>355</v>
      </c>
      <c r="Q47196" s="5" t="s">
        <v>355</v>
      </c>
    </row>
    <row r="47197" ht="16.5" customHeight="1">
      <c r="O47197" s="5" t="s">
        <v>355</v>
      </c>
      <c r="P47197" s="5" t="s">
        <v>355</v>
      </c>
      <c r="Q47197" s="5" t="s">
        <v>355</v>
      </c>
    </row>
    <row r="47198" ht="16.5" customHeight="1">
      <c r="O47198" s="5" t="s">
        <v>355</v>
      </c>
      <c r="P47198" s="5" t="s">
        <v>355</v>
      </c>
      <c r="Q47198" s="5" t="s">
        <v>355</v>
      </c>
    </row>
    <row r="47199" ht="16.5" customHeight="1">
      <c r="O47199" s="5" t="s">
        <v>355</v>
      </c>
      <c r="P47199" s="5" t="s">
        <v>355</v>
      </c>
      <c r="Q47199" s="5" t="s">
        <v>355</v>
      </c>
    </row>
    <row r="47200" ht="16.5" customHeight="1">
      <c r="O47200" s="5" t="s">
        <v>355</v>
      </c>
      <c r="P47200" s="5" t="s">
        <v>355</v>
      </c>
      <c r="Q47200" s="5" t="s">
        <v>355</v>
      </c>
    </row>
    <row r="47201" ht="16.5" customHeight="1">
      <c r="O47201" s="5" t="s">
        <v>355</v>
      </c>
      <c r="P47201" s="5" t="s">
        <v>355</v>
      </c>
      <c r="Q47201" s="5" t="s">
        <v>355</v>
      </c>
    </row>
    <row r="47202" ht="16.5" customHeight="1">
      <c r="O47202" s="5" t="s">
        <v>355</v>
      </c>
      <c r="P47202" s="5" t="s">
        <v>355</v>
      </c>
      <c r="Q47202" s="5" t="s">
        <v>355</v>
      </c>
    </row>
    <row r="47203" ht="16.5" customHeight="1">
      <c r="O47203" s="5" t="s">
        <v>355</v>
      </c>
      <c r="P47203" s="5" t="s">
        <v>355</v>
      </c>
      <c r="Q47203" s="5" t="s">
        <v>355</v>
      </c>
    </row>
    <row r="47204" ht="16.5" customHeight="1">
      <c r="O47204" s="5" t="s">
        <v>355</v>
      </c>
      <c r="P47204" s="5" t="s">
        <v>355</v>
      </c>
      <c r="Q47204" s="5" t="s">
        <v>355</v>
      </c>
    </row>
    <row r="47205" ht="16.5" customHeight="1">
      <c r="O47205" s="5" t="s">
        <v>355</v>
      </c>
      <c r="P47205" s="5" t="s">
        <v>355</v>
      </c>
      <c r="Q47205" s="5" t="s">
        <v>355</v>
      </c>
    </row>
    <row r="47206" ht="16.5" customHeight="1">
      <c r="O47206" s="5" t="s">
        <v>355</v>
      </c>
      <c r="P47206" s="5" t="s">
        <v>355</v>
      </c>
      <c r="Q47206" s="5" t="s">
        <v>355</v>
      </c>
    </row>
    <row r="47207" ht="16.5" customHeight="1">
      <c r="O47207" s="5" t="s">
        <v>355</v>
      </c>
      <c r="P47207" s="5" t="s">
        <v>355</v>
      </c>
      <c r="Q47207" s="5" t="s">
        <v>355</v>
      </c>
    </row>
    <row r="47208" ht="16.5" customHeight="1">
      <c r="O47208" s="5" t="s">
        <v>355</v>
      </c>
      <c r="P47208" s="5" t="s">
        <v>355</v>
      </c>
      <c r="Q47208" s="5" t="s">
        <v>355</v>
      </c>
    </row>
    <row r="47209" ht="16.5" customHeight="1">
      <c r="O47209" s="5" t="s">
        <v>355</v>
      </c>
      <c r="P47209" s="5" t="s">
        <v>355</v>
      </c>
      <c r="Q47209" s="5" t="s">
        <v>355</v>
      </c>
    </row>
    <row r="47210" ht="16.5" customHeight="1">
      <c r="O47210" s="5" t="s">
        <v>355</v>
      </c>
      <c r="P47210" s="5" t="s">
        <v>355</v>
      </c>
      <c r="Q47210" s="5" t="s">
        <v>355</v>
      </c>
    </row>
    <row r="47211" ht="16.5" customHeight="1">
      <c r="O47211" s="5" t="s">
        <v>355</v>
      </c>
      <c r="P47211" s="5" t="s">
        <v>355</v>
      </c>
      <c r="Q47211" s="5" t="s">
        <v>355</v>
      </c>
    </row>
    <row r="47212" ht="16.5" customHeight="1">
      <c r="O47212" s="5" t="s">
        <v>355</v>
      </c>
      <c r="P47212" s="5" t="s">
        <v>355</v>
      </c>
      <c r="Q47212" s="5" t="s">
        <v>355</v>
      </c>
    </row>
    <row r="47213" ht="16.5" customHeight="1">
      <c r="O47213" s="5" t="s">
        <v>355</v>
      </c>
      <c r="P47213" s="5" t="s">
        <v>355</v>
      </c>
      <c r="Q47213" s="5" t="s">
        <v>355</v>
      </c>
    </row>
    <row r="47214" ht="16.5" customHeight="1">
      <c r="O47214" s="5" t="s">
        <v>355</v>
      </c>
      <c r="P47214" s="5" t="s">
        <v>355</v>
      </c>
      <c r="Q47214" s="5" t="s">
        <v>355</v>
      </c>
    </row>
    <row r="47215" ht="16.5" customHeight="1">
      <c r="O47215" s="5" t="s">
        <v>355</v>
      </c>
      <c r="P47215" s="5" t="s">
        <v>355</v>
      </c>
      <c r="Q47215" s="5" t="s">
        <v>355</v>
      </c>
    </row>
    <row r="47216" ht="16.5" customHeight="1">
      <c r="O47216" s="5" t="s">
        <v>355</v>
      </c>
      <c r="P47216" s="5" t="s">
        <v>355</v>
      </c>
      <c r="Q47216" s="5" t="s">
        <v>355</v>
      </c>
    </row>
    <row r="47217" ht="16.5" customHeight="1">
      <c r="O47217" s="5" t="s">
        <v>355</v>
      </c>
      <c r="P47217" s="5" t="s">
        <v>355</v>
      </c>
      <c r="Q47217" s="5" t="s">
        <v>355</v>
      </c>
    </row>
    <row r="47218" ht="16.5" customHeight="1">
      <c r="O47218" s="5" t="s">
        <v>355</v>
      </c>
      <c r="P47218" s="5" t="s">
        <v>355</v>
      </c>
      <c r="Q47218" s="5" t="s">
        <v>355</v>
      </c>
    </row>
    <row r="47219" ht="16.5" customHeight="1">
      <c r="O47219" s="5" t="s">
        <v>355</v>
      </c>
      <c r="P47219" s="5" t="s">
        <v>355</v>
      </c>
      <c r="Q47219" s="5" t="s">
        <v>355</v>
      </c>
    </row>
    <row r="47220" ht="16.5" customHeight="1">
      <c r="O47220" s="5" t="s">
        <v>355</v>
      </c>
      <c r="P47220" s="5" t="s">
        <v>355</v>
      </c>
      <c r="Q47220" s="5" t="s">
        <v>355</v>
      </c>
    </row>
    <row r="47221" ht="16.5" customHeight="1">
      <c r="O47221" s="5" t="s">
        <v>355</v>
      </c>
      <c r="P47221" s="5" t="s">
        <v>355</v>
      </c>
      <c r="Q47221" s="5" t="s">
        <v>355</v>
      </c>
    </row>
    <row r="47222" ht="16.5" customHeight="1">
      <c r="O47222" s="5" t="s">
        <v>355</v>
      </c>
      <c r="P47222" s="5" t="s">
        <v>355</v>
      </c>
      <c r="Q47222" s="5" t="s">
        <v>355</v>
      </c>
    </row>
    <row r="47223" ht="16.5" customHeight="1">
      <c r="O47223" s="5" t="s">
        <v>355</v>
      </c>
      <c r="P47223" s="5" t="s">
        <v>355</v>
      </c>
      <c r="Q47223" s="5" t="s">
        <v>355</v>
      </c>
    </row>
    <row r="47224" ht="16.5" customHeight="1">
      <c r="O47224" s="5" t="s">
        <v>355</v>
      </c>
      <c r="P47224" s="5" t="s">
        <v>355</v>
      </c>
      <c r="Q47224" s="5" t="s">
        <v>355</v>
      </c>
    </row>
    <row r="47225" ht="16.5" customHeight="1">
      <c r="O47225" s="5" t="s">
        <v>355</v>
      </c>
      <c r="P47225" s="5" t="s">
        <v>355</v>
      </c>
      <c r="Q47225" s="5" t="s">
        <v>355</v>
      </c>
    </row>
    <row r="47226" ht="16.5" customHeight="1">
      <c r="O47226" s="5" t="s">
        <v>355</v>
      </c>
      <c r="P47226" s="5" t="s">
        <v>355</v>
      </c>
      <c r="Q47226" s="5" t="s">
        <v>355</v>
      </c>
    </row>
    <row r="47227" ht="16.5" customHeight="1">
      <c r="O47227" s="5" t="s">
        <v>355</v>
      </c>
      <c r="P47227" s="5" t="s">
        <v>355</v>
      </c>
      <c r="Q47227" s="5" t="s">
        <v>355</v>
      </c>
    </row>
    <row r="47228" ht="16.5" customHeight="1">
      <c r="O47228" s="5" t="s">
        <v>355</v>
      </c>
      <c r="P47228" s="5" t="s">
        <v>355</v>
      </c>
      <c r="Q47228" s="5" t="s">
        <v>355</v>
      </c>
    </row>
    <row r="47229" ht="16.5" customHeight="1">
      <c r="O47229" s="5" t="s">
        <v>355</v>
      </c>
      <c r="P47229" s="5" t="s">
        <v>355</v>
      </c>
      <c r="Q47229" s="5" t="s">
        <v>355</v>
      </c>
    </row>
    <row r="47230" ht="16.5" customHeight="1">
      <c r="O47230" s="5" t="s">
        <v>355</v>
      </c>
      <c r="P47230" s="5" t="s">
        <v>355</v>
      </c>
      <c r="Q47230" s="5" t="s">
        <v>355</v>
      </c>
    </row>
    <row r="47231" ht="16.5" customHeight="1">
      <c r="O47231" s="5" t="s">
        <v>355</v>
      </c>
      <c r="P47231" s="5" t="s">
        <v>355</v>
      </c>
      <c r="Q47231" s="5" t="s">
        <v>355</v>
      </c>
    </row>
    <row r="47232" ht="16.5" customHeight="1">
      <c r="O47232" s="5" t="s">
        <v>355</v>
      </c>
      <c r="P47232" s="5" t="s">
        <v>355</v>
      </c>
      <c r="Q47232" s="5" t="s">
        <v>355</v>
      </c>
    </row>
    <row r="47233" ht="16.5" customHeight="1">
      <c r="O47233" s="5" t="s">
        <v>355</v>
      </c>
      <c r="P47233" s="5" t="s">
        <v>355</v>
      </c>
      <c r="Q47233" s="5" t="s">
        <v>355</v>
      </c>
    </row>
    <row r="47234" ht="16.5" customHeight="1">
      <c r="O47234" s="5" t="s">
        <v>355</v>
      </c>
      <c r="P47234" s="5" t="s">
        <v>355</v>
      </c>
      <c r="Q47234" s="5" t="s">
        <v>355</v>
      </c>
    </row>
    <row r="47235" ht="16.5" customHeight="1">
      <c r="O47235" s="5" t="s">
        <v>355</v>
      </c>
      <c r="P47235" s="5" t="s">
        <v>355</v>
      </c>
      <c r="Q47235" s="5" t="s">
        <v>355</v>
      </c>
    </row>
    <row r="47236" ht="16.5" customHeight="1">
      <c r="O47236" s="5" t="s">
        <v>355</v>
      </c>
      <c r="P47236" s="5" t="s">
        <v>355</v>
      </c>
      <c r="Q47236" s="5" t="s">
        <v>355</v>
      </c>
    </row>
    <row r="47237" ht="16.5" customHeight="1">
      <c r="O47237" s="5" t="s">
        <v>355</v>
      </c>
      <c r="P47237" s="5" t="s">
        <v>355</v>
      </c>
      <c r="Q47237" s="5" t="s">
        <v>355</v>
      </c>
    </row>
    <row r="47238" ht="16.5" customHeight="1">
      <c r="O47238" s="5" t="s">
        <v>355</v>
      </c>
      <c r="P47238" s="5" t="s">
        <v>355</v>
      </c>
      <c r="Q47238" s="5" t="s">
        <v>355</v>
      </c>
    </row>
    <row r="47239" ht="16.5" customHeight="1">
      <c r="O47239" s="5" t="s">
        <v>355</v>
      </c>
      <c r="P47239" s="5" t="s">
        <v>355</v>
      </c>
      <c r="Q47239" s="5" t="s">
        <v>355</v>
      </c>
    </row>
    <row r="47240" ht="16.5" customHeight="1">
      <c r="O47240" s="5" t="s">
        <v>355</v>
      </c>
      <c r="P47240" s="5" t="s">
        <v>355</v>
      </c>
      <c r="Q47240" s="5" t="s">
        <v>355</v>
      </c>
    </row>
    <row r="47241" ht="16.5" customHeight="1">
      <c r="O47241" s="5" t="s">
        <v>355</v>
      </c>
      <c r="P47241" s="5" t="s">
        <v>355</v>
      </c>
      <c r="Q47241" s="5" t="s">
        <v>355</v>
      </c>
    </row>
    <row r="47242" ht="16.5" customHeight="1">
      <c r="O47242" s="5" t="s">
        <v>355</v>
      </c>
      <c r="P47242" s="5" t="s">
        <v>355</v>
      </c>
      <c r="Q47242" s="5" t="s">
        <v>355</v>
      </c>
    </row>
    <row r="47243" ht="16.5" customHeight="1">
      <c r="O47243" s="5" t="s">
        <v>355</v>
      </c>
      <c r="P47243" s="5" t="s">
        <v>355</v>
      </c>
      <c r="Q47243" s="5" t="s">
        <v>355</v>
      </c>
    </row>
    <row r="47244" ht="16.5" customHeight="1">
      <c r="O47244" s="5" t="s">
        <v>355</v>
      </c>
      <c r="P47244" s="5" t="s">
        <v>355</v>
      </c>
      <c r="Q47244" s="5" t="s">
        <v>355</v>
      </c>
    </row>
    <row r="47245" ht="16.5" customHeight="1">
      <c r="O47245" s="5" t="s">
        <v>355</v>
      </c>
      <c r="P47245" s="5" t="s">
        <v>355</v>
      </c>
      <c r="Q47245" s="5" t="s">
        <v>355</v>
      </c>
    </row>
    <row r="47246" ht="16.5" customHeight="1">
      <c r="O47246" s="5" t="s">
        <v>355</v>
      </c>
      <c r="P47246" s="5" t="s">
        <v>355</v>
      </c>
      <c r="Q47246" s="5" t="s">
        <v>355</v>
      </c>
    </row>
    <row r="47247" ht="16.5" customHeight="1">
      <c r="O47247" s="5" t="s">
        <v>355</v>
      </c>
      <c r="P47247" s="5" t="s">
        <v>355</v>
      </c>
      <c r="Q47247" s="5" t="s">
        <v>355</v>
      </c>
    </row>
    <row r="47248" ht="16.5" customHeight="1">
      <c r="O47248" s="5" t="s">
        <v>355</v>
      </c>
      <c r="P47248" s="5" t="s">
        <v>355</v>
      </c>
      <c r="Q47248" s="5" t="s">
        <v>355</v>
      </c>
    </row>
    <row r="47249" ht="16.5" customHeight="1">
      <c r="O47249" s="5" t="s">
        <v>355</v>
      </c>
      <c r="P47249" s="5" t="s">
        <v>355</v>
      </c>
      <c r="Q47249" s="5" t="s">
        <v>355</v>
      </c>
    </row>
    <row r="47250" ht="16.5" customHeight="1">
      <c r="O47250" s="5" t="s">
        <v>355</v>
      </c>
      <c r="P47250" s="5" t="s">
        <v>355</v>
      </c>
      <c r="Q47250" s="5" t="s">
        <v>355</v>
      </c>
    </row>
    <row r="47251" ht="16.5" customHeight="1">
      <c r="O47251" s="5" t="s">
        <v>355</v>
      </c>
      <c r="P47251" s="5" t="s">
        <v>355</v>
      </c>
      <c r="Q47251" s="5" t="s">
        <v>355</v>
      </c>
    </row>
    <row r="47252" ht="16.5" customHeight="1">
      <c r="O47252" s="5" t="s">
        <v>355</v>
      </c>
      <c r="P47252" s="5" t="s">
        <v>355</v>
      </c>
      <c r="Q47252" s="5" t="s">
        <v>355</v>
      </c>
    </row>
    <row r="47253" ht="16.5" customHeight="1">
      <c r="O47253" s="5" t="s">
        <v>355</v>
      </c>
      <c r="P47253" s="5" t="s">
        <v>355</v>
      </c>
      <c r="Q47253" s="5" t="s">
        <v>355</v>
      </c>
    </row>
    <row r="47254" ht="16.5" customHeight="1">
      <c r="O47254" s="5" t="s">
        <v>355</v>
      </c>
      <c r="P47254" s="5" t="s">
        <v>355</v>
      </c>
      <c r="Q47254" s="5" t="s">
        <v>355</v>
      </c>
    </row>
    <row r="47255" ht="16.5" customHeight="1">
      <c r="O47255" s="5" t="s">
        <v>355</v>
      </c>
      <c r="P47255" s="5" t="s">
        <v>355</v>
      </c>
      <c r="Q47255" s="5" t="s">
        <v>355</v>
      </c>
    </row>
    <row r="47256" ht="16.5" customHeight="1">
      <c r="O47256" s="5" t="s">
        <v>355</v>
      </c>
      <c r="P47256" s="5" t="s">
        <v>355</v>
      </c>
      <c r="Q47256" s="5" t="s">
        <v>355</v>
      </c>
    </row>
    <row r="47257" ht="16.5" customHeight="1">
      <c r="O47257" s="5" t="s">
        <v>355</v>
      </c>
      <c r="P47257" s="5" t="s">
        <v>355</v>
      </c>
      <c r="Q47257" s="5" t="s">
        <v>355</v>
      </c>
    </row>
    <row r="47258" ht="16.5" customHeight="1">
      <c r="O47258" s="5" t="s">
        <v>355</v>
      </c>
      <c r="P47258" s="5" t="s">
        <v>355</v>
      </c>
      <c r="Q47258" s="5" t="s">
        <v>355</v>
      </c>
    </row>
    <row r="47259" ht="16.5" customHeight="1">
      <c r="O47259" s="5" t="s">
        <v>355</v>
      </c>
      <c r="P47259" s="5" t="s">
        <v>355</v>
      </c>
      <c r="Q47259" s="5" t="s">
        <v>355</v>
      </c>
    </row>
    <row r="47260" ht="16.5" customHeight="1">
      <c r="O47260" s="5" t="s">
        <v>355</v>
      </c>
      <c r="P47260" s="5" t="s">
        <v>355</v>
      </c>
      <c r="Q47260" s="5" t="s">
        <v>355</v>
      </c>
    </row>
    <row r="47261" ht="16.5" customHeight="1">
      <c r="O47261" s="5" t="s">
        <v>355</v>
      </c>
      <c r="P47261" s="5" t="s">
        <v>355</v>
      </c>
      <c r="Q47261" s="5" t="s">
        <v>355</v>
      </c>
    </row>
    <row r="47262" ht="16.5" customHeight="1">
      <c r="O47262" s="5" t="s">
        <v>355</v>
      </c>
      <c r="P47262" s="5" t="s">
        <v>355</v>
      </c>
      <c r="Q47262" s="5" t="s">
        <v>355</v>
      </c>
    </row>
    <row r="47263" ht="16.5" customHeight="1">
      <c r="O47263" s="5" t="s">
        <v>355</v>
      </c>
      <c r="P47263" s="5" t="s">
        <v>355</v>
      </c>
      <c r="Q47263" s="5" t="s">
        <v>355</v>
      </c>
    </row>
    <row r="47264" ht="16.5" customHeight="1">
      <c r="O47264" s="5" t="s">
        <v>355</v>
      </c>
      <c r="P47264" s="5" t="s">
        <v>355</v>
      </c>
      <c r="Q47264" s="5" t="s">
        <v>355</v>
      </c>
    </row>
    <row r="47265" ht="16.5" customHeight="1">
      <c r="O47265" s="5" t="s">
        <v>355</v>
      </c>
      <c r="P47265" s="5" t="s">
        <v>355</v>
      </c>
      <c r="Q47265" s="5" t="s">
        <v>355</v>
      </c>
    </row>
    <row r="47266" ht="16.5" customHeight="1">
      <c r="O47266" s="5" t="s">
        <v>355</v>
      </c>
      <c r="P47266" s="5" t="s">
        <v>355</v>
      </c>
      <c r="Q47266" s="5" t="s">
        <v>355</v>
      </c>
    </row>
    <row r="47267" ht="16.5" customHeight="1">
      <c r="O47267" s="5" t="s">
        <v>355</v>
      </c>
      <c r="P47267" s="5" t="s">
        <v>355</v>
      </c>
      <c r="Q47267" s="5" t="s">
        <v>355</v>
      </c>
    </row>
    <row r="47268" ht="16.5" customHeight="1">
      <c r="O47268" s="5" t="s">
        <v>355</v>
      </c>
      <c r="P47268" s="5" t="s">
        <v>355</v>
      </c>
      <c r="Q47268" s="5" t="s">
        <v>355</v>
      </c>
    </row>
    <row r="47269" ht="16.5" customHeight="1">
      <c r="O47269" s="5" t="s">
        <v>355</v>
      </c>
      <c r="P47269" s="5" t="s">
        <v>355</v>
      </c>
      <c r="Q47269" s="5" t="s">
        <v>355</v>
      </c>
    </row>
    <row r="47270" ht="16.5" customHeight="1">
      <c r="O47270" s="5" t="s">
        <v>355</v>
      </c>
      <c r="P47270" s="5" t="s">
        <v>355</v>
      </c>
      <c r="Q47270" s="5" t="s">
        <v>355</v>
      </c>
    </row>
    <row r="47271" ht="16.5" customHeight="1">
      <c r="O47271" s="5" t="s">
        <v>355</v>
      </c>
      <c r="P47271" s="5" t="s">
        <v>355</v>
      </c>
      <c r="Q47271" s="5" t="s">
        <v>355</v>
      </c>
    </row>
    <row r="47272" ht="16.5" customHeight="1">
      <c r="O47272" s="5" t="s">
        <v>355</v>
      </c>
      <c r="P47272" s="5" t="s">
        <v>355</v>
      </c>
      <c r="Q47272" s="5" t="s">
        <v>355</v>
      </c>
    </row>
    <row r="47273" ht="16.5" customHeight="1">
      <c r="O47273" s="5" t="s">
        <v>355</v>
      </c>
      <c r="P47273" s="5" t="s">
        <v>355</v>
      </c>
      <c r="Q47273" s="5" t="s">
        <v>355</v>
      </c>
    </row>
    <row r="47274" ht="16.5" customHeight="1">
      <c r="O47274" s="5" t="s">
        <v>355</v>
      </c>
      <c r="P47274" s="5" t="s">
        <v>355</v>
      </c>
      <c r="Q47274" s="5" t="s">
        <v>355</v>
      </c>
    </row>
    <row r="47275" ht="16.5" customHeight="1">
      <c r="O47275" s="5" t="s">
        <v>355</v>
      </c>
      <c r="P47275" s="5" t="s">
        <v>355</v>
      </c>
      <c r="Q47275" s="5" t="s">
        <v>355</v>
      </c>
    </row>
    <row r="47276" ht="16.5" customHeight="1">
      <c r="O47276" s="5" t="s">
        <v>355</v>
      </c>
      <c r="P47276" s="5" t="s">
        <v>355</v>
      </c>
      <c r="Q47276" s="5" t="s">
        <v>355</v>
      </c>
    </row>
    <row r="47277" ht="16.5" customHeight="1">
      <c r="O47277" s="5" t="s">
        <v>355</v>
      </c>
      <c r="P47277" s="5" t="s">
        <v>355</v>
      </c>
      <c r="Q47277" s="5" t="s">
        <v>355</v>
      </c>
    </row>
    <row r="47278" ht="16.5" customHeight="1">
      <c r="O47278" s="5" t="s">
        <v>355</v>
      </c>
      <c r="P47278" s="5" t="s">
        <v>355</v>
      </c>
      <c r="Q47278" s="5" t="s">
        <v>355</v>
      </c>
    </row>
    <row r="47279" ht="16.5" customHeight="1">
      <c r="O47279" s="5" t="s">
        <v>355</v>
      </c>
      <c r="P47279" s="5" t="s">
        <v>355</v>
      </c>
      <c r="Q47279" s="5" t="s">
        <v>355</v>
      </c>
    </row>
    <row r="47280" ht="16.5" customHeight="1">
      <c r="O47280" s="5" t="s">
        <v>355</v>
      </c>
      <c r="P47280" s="5" t="s">
        <v>355</v>
      </c>
      <c r="Q47280" s="5" t="s">
        <v>355</v>
      </c>
    </row>
    <row r="47281" ht="16.5" customHeight="1">
      <c r="O47281" s="5" t="s">
        <v>355</v>
      </c>
      <c r="P47281" s="5" t="s">
        <v>355</v>
      </c>
      <c r="Q47281" s="5" t="s">
        <v>355</v>
      </c>
    </row>
    <row r="47282" ht="16.5" customHeight="1">
      <c r="O47282" s="5" t="s">
        <v>355</v>
      </c>
      <c r="P47282" s="5" t="s">
        <v>355</v>
      </c>
      <c r="Q47282" s="5" t="s">
        <v>355</v>
      </c>
    </row>
    <row r="47283" ht="16.5" customHeight="1">
      <c r="O47283" s="5" t="s">
        <v>355</v>
      </c>
      <c r="P47283" s="5" t="s">
        <v>355</v>
      </c>
      <c r="Q47283" s="5" t="s">
        <v>355</v>
      </c>
    </row>
    <row r="47284" ht="16.5" customHeight="1">
      <c r="O47284" s="5" t="s">
        <v>355</v>
      </c>
      <c r="P47284" s="5" t="s">
        <v>355</v>
      </c>
      <c r="Q47284" s="5" t="s">
        <v>355</v>
      </c>
    </row>
    <row r="47285" ht="16.5" customHeight="1">
      <c r="O47285" s="5" t="s">
        <v>355</v>
      </c>
      <c r="P47285" s="5" t="s">
        <v>355</v>
      </c>
      <c r="Q47285" s="5" t="s">
        <v>355</v>
      </c>
    </row>
    <row r="47286" ht="16.5" customHeight="1">
      <c r="O47286" s="5" t="s">
        <v>355</v>
      </c>
      <c r="P47286" s="5" t="s">
        <v>355</v>
      </c>
      <c r="Q47286" s="5" t="s">
        <v>355</v>
      </c>
    </row>
    <row r="47287" ht="16.5" customHeight="1">
      <c r="O47287" s="5" t="s">
        <v>355</v>
      </c>
      <c r="P47287" s="5" t="s">
        <v>355</v>
      </c>
      <c r="Q47287" s="5" t="s">
        <v>355</v>
      </c>
    </row>
    <row r="47288" ht="16.5" customHeight="1">
      <c r="O47288" s="5" t="s">
        <v>355</v>
      </c>
      <c r="P47288" s="5" t="s">
        <v>355</v>
      </c>
      <c r="Q47288" s="5" t="s">
        <v>355</v>
      </c>
    </row>
    <row r="47289" ht="16.5" customHeight="1">
      <c r="O47289" s="5" t="s">
        <v>355</v>
      </c>
      <c r="P47289" s="5" t="s">
        <v>355</v>
      </c>
      <c r="Q47289" s="5" t="s">
        <v>355</v>
      </c>
    </row>
    <row r="47290" ht="16.5" customHeight="1">
      <c r="O47290" s="5" t="s">
        <v>355</v>
      </c>
      <c r="P47290" s="5" t="s">
        <v>355</v>
      </c>
      <c r="Q47290" s="5" t="s">
        <v>355</v>
      </c>
    </row>
    <row r="47291" ht="16.5" customHeight="1">
      <c r="O47291" s="5" t="s">
        <v>355</v>
      </c>
      <c r="P47291" s="5" t="s">
        <v>355</v>
      </c>
      <c r="Q47291" s="5" t="s">
        <v>355</v>
      </c>
    </row>
    <row r="47292" ht="16.5" customHeight="1">
      <c r="O47292" s="5" t="s">
        <v>355</v>
      </c>
      <c r="P47292" s="5" t="s">
        <v>355</v>
      </c>
      <c r="Q47292" s="5" t="s">
        <v>355</v>
      </c>
    </row>
    <row r="47293" ht="16.5" customHeight="1">
      <c r="O47293" s="5" t="s">
        <v>355</v>
      </c>
      <c r="P47293" s="5" t="s">
        <v>355</v>
      </c>
      <c r="Q47293" s="5" t="s">
        <v>355</v>
      </c>
    </row>
    <row r="47294" ht="16.5" customHeight="1">
      <c r="O47294" s="5" t="s">
        <v>355</v>
      </c>
      <c r="P47294" s="5" t="s">
        <v>355</v>
      </c>
      <c r="Q47294" s="5" t="s">
        <v>355</v>
      </c>
    </row>
    <row r="47295" ht="16.5" customHeight="1">
      <c r="O47295" s="5" t="s">
        <v>355</v>
      </c>
      <c r="P47295" s="5" t="s">
        <v>355</v>
      </c>
      <c r="Q47295" s="5" t="s">
        <v>355</v>
      </c>
    </row>
    <row r="47296" ht="16.5" customHeight="1">
      <c r="O47296" s="5" t="s">
        <v>355</v>
      </c>
      <c r="P47296" s="5" t="s">
        <v>355</v>
      </c>
      <c r="Q47296" s="5" t="s">
        <v>355</v>
      </c>
    </row>
    <row r="47297" ht="16.5" customHeight="1">
      <c r="O47297" s="5" t="s">
        <v>355</v>
      </c>
      <c r="P47297" s="5" t="s">
        <v>355</v>
      </c>
      <c r="Q47297" s="5" t="s">
        <v>355</v>
      </c>
    </row>
    <row r="47298" ht="16.5" customHeight="1">
      <c r="O47298" s="5" t="s">
        <v>355</v>
      </c>
      <c r="P47298" s="5" t="s">
        <v>355</v>
      </c>
      <c r="Q47298" s="5" t="s">
        <v>355</v>
      </c>
    </row>
    <row r="47299" ht="16.5" customHeight="1">
      <c r="O47299" s="5" t="s">
        <v>355</v>
      </c>
      <c r="P47299" s="5" t="s">
        <v>355</v>
      </c>
      <c r="Q47299" s="5" t="s">
        <v>355</v>
      </c>
    </row>
    <row r="47300" ht="16.5" customHeight="1">
      <c r="O47300" s="5" t="s">
        <v>355</v>
      </c>
      <c r="P47300" s="5" t="s">
        <v>355</v>
      </c>
      <c r="Q47300" s="5" t="s">
        <v>355</v>
      </c>
    </row>
    <row r="47301" ht="16.5" customHeight="1">
      <c r="O47301" s="5" t="s">
        <v>355</v>
      </c>
      <c r="P47301" s="5" t="s">
        <v>355</v>
      </c>
      <c r="Q47301" s="5" t="s">
        <v>355</v>
      </c>
    </row>
    <row r="47302" ht="16.5" customHeight="1">
      <c r="O47302" s="5" t="s">
        <v>355</v>
      </c>
      <c r="P47302" s="5" t="s">
        <v>355</v>
      </c>
      <c r="Q47302" s="5" t="s">
        <v>355</v>
      </c>
    </row>
    <row r="47303" ht="16.5" customHeight="1">
      <c r="O47303" s="5" t="s">
        <v>355</v>
      </c>
      <c r="P47303" s="5" t="s">
        <v>355</v>
      </c>
      <c r="Q47303" s="5" t="s">
        <v>355</v>
      </c>
    </row>
    <row r="47304" ht="16.5" customHeight="1">
      <c r="O47304" s="5" t="s">
        <v>355</v>
      </c>
      <c r="P47304" s="5" t="s">
        <v>355</v>
      </c>
      <c r="Q47304" s="5" t="s">
        <v>355</v>
      </c>
    </row>
    <row r="47305" ht="16.5" customHeight="1">
      <c r="O47305" s="5" t="s">
        <v>355</v>
      </c>
      <c r="P47305" s="5" t="s">
        <v>355</v>
      </c>
      <c r="Q47305" s="5" t="s">
        <v>355</v>
      </c>
    </row>
    <row r="47306" ht="16.5" customHeight="1">
      <c r="O47306" s="5" t="s">
        <v>355</v>
      </c>
      <c r="P47306" s="5" t="s">
        <v>355</v>
      </c>
      <c r="Q47306" s="5" t="s">
        <v>355</v>
      </c>
    </row>
    <row r="47307" ht="16.5" customHeight="1">
      <c r="O47307" s="5" t="s">
        <v>355</v>
      </c>
      <c r="P47307" s="5" t="s">
        <v>355</v>
      </c>
      <c r="Q47307" s="5" t="s">
        <v>355</v>
      </c>
    </row>
    <row r="47308" ht="16.5" customHeight="1">
      <c r="O47308" s="5" t="s">
        <v>355</v>
      </c>
      <c r="P47308" s="5" t="s">
        <v>355</v>
      </c>
      <c r="Q47308" s="5" t="s">
        <v>355</v>
      </c>
    </row>
    <row r="47309" ht="16.5" customHeight="1">
      <c r="O47309" s="5" t="s">
        <v>355</v>
      </c>
      <c r="P47309" s="5" t="s">
        <v>355</v>
      </c>
      <c r="Q47309" s="5" t="s">
        <v>355</v>
      </c>
    </row>
    <row r="47310" ht="16.5" customHeight="1">
      <c r="O47310" s="5" t="s">
        <v>355</v>
      </c>
      <c r="P47310" s="5" t="s">
        <v>355</v>
      </c>
      <c r="Q47310" s="5" t="s">
        <v>355</v>
      </c>
    </row>
    <row r="47311" ht="16.5" customHeight="1">
      <c r="O47311" s="5" t="s">
        <v>355</v>
      </c>
      <c r="P47311" s="5" t="s">
        <v>355</v>
      </c>
      <c r="Q47311" s="5" t="s">
        <v>355</v>
      </c>
    </row>
    <row r="47312" ht="16.5" customHeight="1">
      <c r="O47312" s="5" t="s">
        <v>355</v>
      </c>
      <c r="P47312" s="5" t="s">
        <v>355</v>
      </c>
      <c r="Q47312" s="5" t="s">
        <v>355</v>
      </c>
    </row>
    <row r="47313" ht="16.5" customHeight="1">
      <c r="O47313" s="5" t="s">
        <v>355</v>
      </c>
      <c r="P47313" s="5" t="s">
        <v>355</v>
      </c>
      <c r="Q47313" s="5" t="s">
        <v>355</v>
      </c>
    </row>
    <row r="47314" ht="16.5" customHeight="1">
      <c r="O47314" s="5" t="s">
        <v>355</v>
      </c>
      <c r="P47314" s="5" t="s">
        <v>355</v>
      </c>
      <c r="Q47314" s="5" t="s">
        <v>355</v>
      </c>
    </row>
    <row r="47315" ht="16.5" customHeight="1">
      <c r="O47315" s="5" t="s">
        <v>355</v>
      </c>
      <c r="P47315" s="5" t="s">
        <v>355</v>
      </c>
      <c r="Q47315" s="5" t="s">
        <v>355</v>
      </c>
    </row>
    <row r="47316" ht="16.5" customHeight="1">
      <c r="O47316" s="5" t="s">
        <v>355</v>
      </c>
      <c r="P47316" s="5" t="s">
        <v>355</v>
      </c>
      <c r="Q47316" s="5" t="s">
        <v>355</v>
      </c>
    </row>
    <row r="47317" ht="16.5" customHeight="1">
      <c r="O47317" s="5" t="s">
        <v>355</v>
      </c>
      <c r="P47317" s="5" t="s">
        <v>355</v>
      </c>
      <c r="Q47317" s="5" t="s">
        <v>355</v>
      </c>
    </row>
    <row r="47318" ht="16.5" customHeight="1">
      <c r="O47318" s="5" t="s">
        <v>355</v>
      </c>
      <c r="P47318" s="5" t="s">
        <v>355</v>
      </c>
      <c r="Q47318" s="5" t="s">
        <v>355</v>
      </c>
    </row>
    <row r="47319" ht="16.5" customHeight="1">
      <c r="O47319" s="5" t="s">
        <v>355</v>
      </c>
      <c r="P47319" s="5" t="s">
        <v>355</v>
      </c>
      <c r="Q47319" s="5" t="s">
        <v>355</v>
      </c>
    </row>
    <row r="47320" ht="16.5" customHeight="1">
      <c r="O47320" s="5" t="s">
        <v>355</v>
      </c>
      <c r="P47320" s="5" t="s">
        <v>355</v>
      </c>
      <c r="Q47320" s="5" t="s">
        <v>355</v>
      </c>
    </row>
    <row r="47321" ht="16.5" customHeight="1">
      <c r="O47321" s="5" t="s">
        <v>355</v>
      </c>
      <c r="P47321" s="5" t="s">
        <v>355</v>
      </c>
      <c r="Q47321" s="5" t="s">
        <v>355</v>
      </c>
    </row>
    <row r="47322" ht="16.5" customHeight="1">
      <c r="O47322" s="5" t="s">
        <v>355</v>
      </c>
      <c r="P47322" s="5" t="s">
        <v>355</v>
      </c>
      <c r="Q47322" s="5" t="s">
        <v>355</v>
      </c>
    </row>
    <row r="47323" ht="16.5" customHeight="1">
      <c r="O47323" s="5" t="s">
        <v>355</v>
      </c>
      <c r="P47323" s="5" t="s">
        <v>355</v>
      </c>
      <c r="Q47323" s="5" t="s">
        <v>355</v>
      </c>
    </row>
    <row r="47324" ht="16.5" customHeight="1">
      <c r="O47324" s="5" t="s">
        <v>355</v>
      </c>
      <c r="P47324" s="5" t="s">
        <v>355</v>
      </c>
      <c r="Q47324" s="5" t="s">
        <v>355</v>
      </c>
    </row>
    <row r="47325" ht="16.5" customHeight="1">
      <c r="O47325" s="5" t="s">
        <v>355</v>
      </c>
      <c r="P47325" s="5" t="s">
        <v>355</v>
      </c>
      <c r="Q47325" s="5" t="s">
        <v>355</v>
      </c>
    </row>
    <row r="47326" ht="16.5" customHeight="1">
      <c r="O47326" s="5" t="s">
        <v>355</v>
      </c>
      <c r="P47326" s="5" t="s">
        <v>355</v>
      </c>
      <c r="Q47326" s="5" t="s">
        <v>355</v>
      </c>
    </row>
    <row r="47327" ht="16.5" customHeight="1">
      <c r="O47327" s="5" t="s">
        <v>355</v>
      </c>
      <c r="P47327" s="5" t="s">
        <v>355</v>
      </c>
      <c r="Q47327" s="5" t="s">
        <v>355</v>
      </c>
    </row>
    <row r="47328" ht="16.5" customHeight="1">
      <c r="O47328" s="5" t="s">
        <v>355</v>
      </c>
      <c r="P47328" s="5" t="s">
        <v>355</v>
      </c>
      <c r="Q47328" s="5" t="s">
        <v>355</v>
      </c>
    </row>
    <row r="47329" ht="16.5" customHeight="1">
      <c r="O47329" s="5" t="s">
        <v>355</v>
      </c>
      <c r="P47329" s="5" t="s">
        <v>355</v>
      </c>
      <c r="Q47329" s="5" t="s">
        <v>355</v>
      </c>
    </row>
    <row r="47330" ht="16.5" customHeight="1">
      <c r="O47330" s="5" t="s">
        <v>355</v>
      </c>
      <c r="P47330" s="5" t="s">
        <v>355</v>
      </c>
      <c r="Q47330" s="5" t="s">
        <v>355</v>
      </c>
    </row>
    <row r="47331" ht="16.5" customHeight="1">
      <c r="O47331" s="5" t="s">
        <v>355</v>
      </c>
      <c r="P47331" s="5" t="s">
        <v>355</v>
      </c>
      <c r="Q47331" s="5" t="s">
        <v>355</v>
      </c>
    </row>
    <row r="47332" ht="16.5" customHeight="1">
      <c r="O47332" s="5" t="s">
        <v>355</v>
      </c>
      <c r="P47332" s="5" t="s">
        <v>355</v>
      </c>
      <c r="Q47332" s="5" t="s">
        <v>355</v>
      </c>
    </row>
    <row r="47333" ht="16.5" customHeight="1">
      <c r="O47333" s="5" t="s">
        <v>355</v>
      </c>
      <c r="P47333" s="5" t="s">
        <v>355</v>
      </c>
      <c r="Q47333" s="5" t="s">
        <v>355</v>
      </c>
    </row>
    <row r="47334" ht="16.5" customHeight="1">
      <c r="O47334" s="5" t="s">
        <v>355</v>
      </c>
      <c r="P47334" s="5" t="s">
        <v>355</v>
      </c>
      <c r="Q47334" s="5" t="s">
        <v>355</v>
      </c>
    </row>
    <row r="47335" ht="16.5" customHeight="1">
      <c r="O47335" s="5" t="s">
        <v>355</v>
      </c>
      <c r="P47335" s="5" t="s">
        <v>355</v>
      </c>
      <c r="Q47335" s="5" t="s">
        <v>355</v>
      </c>
    </row>
    <row r="47336" ht="16.5" customHeight="1">
      <c r="O47336" s="5" t="s">
        <v>355</v>
      </c>
      <c r="P47336" s="5" t="s">
        <v>355</v>
      </c>
      <c r="Q47336" s="5" t="s">
        <v>355</v>
      </c>
    </row>
    <row r="47337" ht="16.5" customHeight="1">
      <c r="O47337" s="5" t="s">
        <v>355</v>
      </c>
      <c r="P47337" s="5" t="s">
        <v>355</v>
      </c>
      <c r="Q47337" s="5" t="s">
        <v>355</v>
      </c>
    </row>
    <row r="47338" ht="16.5" customHeight="1">
      <c r="O47338" s="5" t="s">
        <v>355</v>
      </c>
      <c r="P47338" s="5" t="s">
        <v>355</v>
      </c>
      <c r="Q47338" s="5" t="s">
        <v>355</v>
      </c>
    </row>
    <row r="47339" ht="16.5" customHeight="1">
      <c r="O47339" s="5" t="s">
        <v>355</v>
      </c>
      <c r="P47339" s="5" t="s">
        <v>355</v>
      </c>
      <c r="Q47339" s="5" t="s">
        <v>355</v>
      </c>
    </row>
    <row r="47340" ht="16.5" customHeight="1">
      <c r="O47340" s="5" t="s">
        <v>355</v>
      </c>
      <c r="P47340" s="5" t="s">
        <v>355</v>
      </c>
      <c r="Q47340" s="5" t="s">
        <v>355</v>
      </c>
    </row>
    <row r="47341" ht="16.5" customHeight="1">
      <c r="O47341" s="5" t="s">
        <v>355</v>
      </c>
      <c r="P47341" s="5" t="s">
        <v>355</v>
      </c>
      <c r="Q47341" s="5" t="s">
        <v>355</v>
      </c>
    </row>
    <row r="47342" ht="16.5" customHeight="1">
      <c r="O47342" s="5" t="s">
        <v>355</v>
      </c>
      <c r="P47342" s="5" t="s">
        <v>355</v>
      </c>
      <c r="Q47342" s="5" t="s">
        <v>355</v>
      </c>
    </row>
    <row r="47343" ht="16.5" customHeight="1">
      <c r="O47343" s="5" t="s">
        <v>355</v>
      </c>
      <c r="P47343" s="5" t="s">
        <v>355</v>
      </c>
      <c r="Q47343" s="5" t="s">
        <v>355</v>
      </c>
    </row>
    <row r="47344" ht="16.5" customHeight="1">
      <c r="O47344" s="5" t="s">
        <v>355</v>
      </c>
      <c r="P47344" s="5" t="s">
        <v>355</v>
      </c>
      <c r="Q47344" s="5" t="s">
        <v>355</v>
      </c>
    </row>
    <row r="47345" ht="16.5" customHeight="1">
      <c r="O47345" s="5" t="s">
        <v>355</v>
      </c>
      <c r="P47345" s="5" t="s">
        <v>355</v>
      </c>
      <c r="Q47345" s="5" t="s">
        <v>355</v>
      </c>
    </row>
    <row r="47346" ht="16.5" customHeight="1">
      <c r="O47346" s="5" t="s">
        <v>355</v>
      </c>
      <c r="P47346" s="5" t="s">
        <v>355</v>
      </c>
      <c r="Q47346" s="5" t="s">
        <v>355</v>
      </c>
    </row>
    <row r="47347" ht="16.5" customHeight="1">
      <c r="O47347" s="5" t="s">
        <v>355</v>
      </c>
      <c r="P47347" s="5" t="s">
        <v>355</v>
      </c>
      <c r="Q47347" s="5" t="s">
        <v>355</v>
      </c>
    </row>
    <row r="47348" ht="16.5" customHeight="1">
      <c r="O47348" s="5" t="s">
        <v>355</v>
      </c>
      <c r="P47348" s="5" t="s">
        <v>355</v>
      </c>
      <c r="Q47348" s="5" t="s">
        <v>355</v>
      </c>
    </row>
    <row r="47349" ht="16.5" customHeight="1">
      <c r="O47349" s="5" t="s">
        <v>355</v>
      </c>
      <c r="P47349" s="5" t="s">
        <v>355</v>
      </c>
      <c r="Q47349" s="5" t="s">
        <v>355</v>
      </c>
    </row>
    <row r="47350" ht="16.5" customHeight="1">
      <c r="O47350" s="5" t="s">
        <v>355</v>
      </c>
      <c r="P47350" s="5" t="s">
        <v>355</v>
      </c>
      <c r="Q47350" s="5" t="s">
        <v>355</v>
      </c>
    </row>
    <row r="47351" ht="16.5" customHeight="1">
      <c r="O47351" s="5" t="s">
        <v>355</v>
      </c>
      <c r="P47351" s="5" t="s">
        <v>355</v>
      </c>
      <c r="Q47351" s="5" t="s">
        <v>355</v>
      </c>
    </row>
    <row r="47352" ht="16.5" customHeight="1">
      <c r="O47352" s="5" t="s">
        <v>355</v>
      </c>
      <c r="P47352" s="5" t="s">
        <v>355</v>
      </c>
      <c r="Q47352" s="5" t="s">
        <v>355</v>
      </c>
    </row>
    <row r="47353" ht="16.5" customHeight="1">
      <c r="O47353" s="5" t="s">
        <v>355</v>
      </c>
      <c r="P47353" s="5" t="s">
        <v>355</v>
      </c>
      <c r="Q47353" s="5" t="s">
        <v>355</v>
      </c>
    </row>
    <row r="47354" ht="16.5" customHeight="1">
      <c r="O47354" s="5" t="s">
        <v>355</v>
      </c>
      <c r="P47354" s="5" t="s">
        <v>355</v>
      </c>
      <c r="Q47354" s="5" t="s">
        <v>355</v>
      </c>
    </row>
    <row r="47355" ht="16.5" customHeight="1">
      <c r="O47355" s="5" t="s">
        <v>355</v>
      </c>
      <c r="P47355" s="5" t="s">
        <v>355</v>
      </c>
      <c r="Q47355" s="5" t="s">
        <v>355</v>
      </c>
    </row>
    <row r="47356" ht="16.5" customHeight="1">
      <c r="O47356" s="5" t="s">
        <v>355</v>
      </c>
      <c r="P47356" s="5" t="s">
        <v>355</v>
      </c>
      <c r="Q47356" s="5" t="s">
        <v>355</v>
      </c>
    </row>
    <row r="47357" ht="16.5" customHeight="1">
      <c r="O47357" s="5" t="s">
        <v>355</v>
      </c>
      <c r="P47357" s="5" t="s">
        <v>355</v>
      </c>
      <c r="Q47357" s="5" t="s">
        <v>355</v>
      </c>
    </row>
    <row r="47358" ht="16.5" customHeight="1">
      <c r="O47358" s="5" t="s">
        <v>355</v>
      </c>
      <c r="P47358" s="5" t="s">
        <v>355</v>
      </c>
      <c r="Q47358" s="5" t="s">
        <v>355</v>
      </c>
    </row>
    <row r="47359" ht="16.5" customHeight="1">
      <c r="O47359" s="5" t="s">
        <v>355</v>
      </c>
      <c r="P47359" s="5" t="s">
        <v>355</v>
      </c>
      <c r="Q47359" s="5" t="s">
        <v>355</v>
      </c>
    </row>
    <row r="47360" ht="16.5" customHeight="1">
      <c r="O47360" s="5" t="s">
        <v>355</v>
      </c>
      <c r="P47360" s="5" t="s">
        <v>355</v>
      </c>
      <c r="Q47360" s="5" t="s">
        <v>355</v>
      </c>
    </row>
    <row r="47361" ht="16.5" customHeight="1">
      <c r="O47361" s="5" t="s">
        <v>355</v>
      </c>
      <c r="P47361" s="5" t="s">
        <v>355</v>
      </c>
      <c r="Q47361" s="5" t="s">
        <v>355</v>
      </c>
    </row>
    <row r="47362" ht="16.5" customHeight="1">
      <c r="O47362" s="5" t="s">
        <v>355</v>
      </c>
      <c r="P47362" s="5" t="s">
        <v>355</v>
      </c>
      <c r="Q47362" s="5" t="s">
        <v>355</v>
      </c>
    </row>
    <row r="47363" ht="16.5" customHeight="1">
      <c r="O47363" s="5" t="s">
        <v>355</v>
      </c>
      <c r="P47363" s="5" t="s">
        <v>355</v>
      </c>
      <c r="Q47363" s="5" t="s">
        <v>355</v>
      </c>
    </row>
    <row r="47364" ht="16.5" customHeight="1">
      <c r="O47364" s="5" t="s">
        <v>355</v>
      </c>
      <c r="P47364" s="5" t="s">
        <v>355</v>
      </c>
      <c r="Q47364" s="5" t="s">
        <v>355</v>
      </c>
    </row>
    <row r="47365" ht="16.5" customHeight="1">
      <c r="O47365" s="5" t="s">
        <v>355</v>
      </c>
      <c r="P47365" s="5" t="s">
        <v>355</v>
      </c>
      <c r="Q47365" s="5" t="s">
        <v>355</v>
      </c>
    </row>
    <row r="47366" ht="16.5" customHeight="1">
      <c r="O47366" s="5" t="s">
        <v>355</v>
      </c>
      <c r="P47366" s="5" t="s">
        <v>355</v>
      </c>
      <c r="Q47366" s="5" t="s">
        <v>355</v>
      </c>
    </row>
    <row r="47367" ht="16.5" customHeight="1">
      <c r="O47367" s="5" t="s">
        <v>355</v>
      </c>
      <c r="P47367" s="5" t="s">
        <v>355</v>
      </c>
      <c r="Q47367" s="5" t="s">
        <v>355</v>
      </c>
    </row>
    <row r="47368" ht="16.5" customHeight="1">
      <c r="O47368" s="5" t="s">
        <v>355</v>
      </c>
      <c r="P47368" s="5" t="s">
        <v>355</v>
      </c>
      <c r="Q47368" s="5" t="s">
        <v>355</v>
      </c>
    </row>
    <row r="47369" ht="16.5" customHeight="1">
      <c r="O47369" s="5" t="s">
        <v>355</v>
      </c>
      <c r="P47369" s="5" t="s">
        <v>355</v>
      </c>
      <c r="Q47369" s="5" t="s">
        <v>355</v>
      </c>
    </row>
    <row r="47370" ht="16.5" customHeight="1">
      <c r="O47370" s="5" t="s">
        <v>355</v>
      </c>
      <c r="P47370" s="5" t="s">
        <v>355</v>
      </c>
      <c r="Q47370" s="5" t="s">
        <v>355</v>
      </c>
    </row>
    <row r="47371" ht="16.5" customHeight="1">
      <c r="O47371" s="5" t="s">
        <v>355</v>
      </c>
      <c r="P47371" s="5" t="s">
        <v>355</v>
      </c>
      <c r="Q47371" s="5" t="s">
        <v>355</v>
      </c>
    </row>
    <row r="47372" ht="16.5" customHeight="1">
      <c r="O47372" s="5" t="s">
        <v>355</v>
      </c>
      <c r="P47372" s="5" t="s">
        <v>355</v>
      </c>
      <c r="Q47372" s="5" t="s">
        <v>355</v>
      </c>
    </row>
    <row r="47373" ht="16.5" customHeight="1">
      <c r="O47373" s="5" t="s">
        <v>355</v>
      </c>
      <c r="P47373" s="5" t="s">
        <v>355</v>
      </c>
      <c r="Q47373" s="5" t="s">
        <v>355</v>
      </c>
    </row>
    <row r="47374" ht="16.5" customHeight="1">
      <c r="O47374" s="5" t="s">
        <v>355</v>
      </c>
      <c r="P47374" s="5" t="s">
        <v>355</v>
      </c>
      <c r="Q47374" s="5" t="s">
        <v>355</v>
      </c>
    </row>
    <row r="47375" ht="16.5" customHeight="1">
      <c r="O47375" s="5" t="s">
        <v>355</v>
      </c>
      <c r="P47375" s="5" t="s">
        <v>355</v>
      </c>
      <c r="Q47375" s="5" t="s">
        <v>355</v>
      </c>
    </row>
    <row r="47376" ht="16.5" customHeight="1">
      <c r="O47376" s="5" t="s">
        <v>355</v>
      </c>
      <c r="P47376" s="5" t="s">
        <v>355</v>
      </c>
      <c r="Q47376" s="5" t="s">
        <v>355</v>
      </c>
    </row>
    <row r="47377" ht="16.5" customHeight="1">
      <c r="O47377" s="5" t="s">
        <v>355</v>
      </c>
      <c r="P47377" s="5" t="s">
        <v>355</v>
      </c>
      <c r="Q47377" s="5" t="s">
        <v>355</v>
      </c>
    </row>
    <row r="47378" ht="16.5" customHeight="1">
      <c r="O47378" s="5" t="s">
        <v>355</v>
      </c>
      <c r="P47378" s="5" t="s">
        <v>355</v>
      </c>
      <c r="Q47378" s="5" t="s">
        <v>355</v>
      </c>
    </row>
    <row r="47379" ht="16.5" customHeight="1">
      <c r="O47379" s="5" t="s">
        <v>355</v>
      </c>
      <c r="P47379" s="5" t="s">
        <v>355</v>
      </c>
      <c r="Q47379" s="5" t="s">
        <v>355</v>
      </c>
    </row>
    <row r="47380" ht="16.5" customHeight="1">
      <c r="O47380" s="5" t="s">
        <v>355</v>
      </c>
      <c r="P47380" s="5" t="s">
        <v>355</v>
      </c>
      <c r="Q47380" s="5" t="s">
        <v>355</v>
      </c>
    </row>
    <row r="47381" ht="16.5" customHeight="1">
      <c r="O47381" s="5" t="s">
        <v>355</v>
      </c>
      <c r="P47381" s="5" t="s">
        <v>355</v>
      </c>
      <c r="Q47381" s="5" t="s">
        <v>355</v>
      </c>
    </row>
    <row r="47382" ht="16.5" customHeight="1">
      <c r="O47382" s="5" t="s">
        <v>355</v>
      </c>
      <c r="P47382" s="5" t="s">
        <v>355</v>
      </c>
      <c r="Q47382" s="5" t="s">
        <v>355</v>
      </c>
    </row>
    <row r="47383" ht="16.5" customHeight="1">
      <c r="O47383" s="5" t="s">
        <v>355</v>
      </c>
      <c r="P47383" s="5" t="s">
        <v>355</v>
      </c>
      <c r="Q47383" s="5" t="s">
        <v>355</v>
      </c>
    </row>
    <row r="47384" ht="16.5" customHeight="1">
      <c r="O47384" s="5" t="s">
        <v>355</v>
      </c>
      <c r="P47384" s="5" t="s">
        <v>355</v>
      </c>
      <c r="Q47384" s="5" t="s">
        <v>355</v>
      </c>
    </row>
    <row r="47385" ht="16.5" customHeight="1">
      <c r="O47385" s="5" t="s">
        <v>355</v>
      </c>
      <c r="P47385" s="5" t="s">
        <v>355</v>
      </c>
      <c r="Q47385" s="5" t="s">
        <v>355</v>
      </c>
    </row>
    <row r="47386" ht="16.5" customHeight="1">
      <c r="O47386" s="5" t="s">
        <v>355</v>
      </c>
      <c r="P47386" s="5" t="s">
        <v>355</v>
      </c>
      <c r="Q47386" s="5" t="s">
        <v>355</v>
      </c>
    </row>
    <row r="47387" ht="16.5" customHeight="1">
      <c r="O47387" s="5" t="s">
        <v>355</v>
      </c>
      <c r="P47387" s="5" t="s">
        <v>355</v>
      </c>
      <c r="Q47387" s="5" t="s">
        <v>355</v>
      </c>
    </row>
    <row r="47388" ht="16.5" customHeight="1">
      <c r="O47388" s="5" t="s">
        <v>355</v>
      </c>
      <c r="P47388" s="5" t="s">
        <v>355</v>
      </c>
      <c r="Q47388" s="5" t="s">
        <v>355</v>
      </c>
    </row>
    <row r="47389" ht="16.5" customHeight="1">
      <c r="O47389" s="5" t="s">
        <v>355</v>
      </c>
      <c r="P47389" s="5" t="s">
        <v>355</v>
      </c>
      <c r="Q47389" s="5" t="s">
        <v>355</v>
      </c>
    </row>
    <row r="47390" ht="16.5" customHeight="1">
      <c r="O47390" s="5" t="s">
        <v>355</v>
      </c>
      <c r="P47390" s="5" t="s">
        <v>355</v>
      </c>
      <c r="Q47390" s="5" t="s">
        <v>355</v>
      </c>
    </row>
    <row r="47391" ht="16.5" customHeight="1">
      <c r="O47391" s="5" t="s">
        <v>355</v>
      </c>
      <c r="P47391" s="5" t="s">
        <v>355</v>
      </c>
      <c r="Q47391" s="5" t="s">
        <v>355</v>
      </c>
    </row>
    <row r="47392" ht="16.5" customHeight="1">
      <c r="O47392" s="5" t="s">
        <v>355</v>
      </c>
      <c r="P47392" s="5" t="s">
        <v>355</v>
      </c>
      <c r="Q47392" s="5" t="s">
        <v>355</v>
      </c>
    </row>
    <row r="47393" ht="16.5" customHeight="1">
      <c r="O47393" s="5" t="s">
        <v>355</v>
      </c>
      <c r="P47393" s="5" t="s">
        <v>355</v>
      </c>
      <c r="Q47393" s="5" t="s">
        <v>355</v>
      </c>
    </row>
    <row r="47394" ht="16.5" customHeight="1">
      <c r="O47394" s="5" t="s">
        <v>355</v>
      </c>
      <c r="P47394" s="5" t="s">
        <v>355</v>
      </c>
      <c r="Q47394" s="5" t="s">
        <v>355</v>
      </c>
    </row>
    <row r="47395" ht="16.5" customHeight="1">
      <c r="O47395" s="5" t="s">
        <v>355</v>
      </c>
      <c r="P47395" s="5" t="s">
        <v>355</v>
      </c>
      <c r="Q47395" s="5" t="s">
        <v>355</v>
      </c>
    </row>
    <row r="47396" ht="16.5" customHeight="1">
      <c r="O47396" s="5" t="s">
        <v>355</v>
      </c>
      <c r="P47396" s="5" t="s">
        <v>355</v>
      </c>
      <c r="Q47396" s="5" t="s">
        <v>355</v>
      </c>
    </row>
    <row r="47397" ht="16.5" customHeight="1">
      <c r="O47397" s="5" t="s">
        <v>355</v>
      </c>
      <c r="P47397" s="5" t="s">
        <v>355</v>
      </c>
      <c r="Q47397" s="5" t="s">
        <v>355</v>
      </c>
    </row>
    <row r="47398" ht="16.5" customHeight="1">
      <c r="O47398" s="5" t="s">
        <v>355</v>
      </c>
      <c r="P47398" s="5" t="s">
        <v>355</v>
      </c>
      <c r="Q47398" s="5" t="s">
        <v>355</v>
      </c>
    </row>
    <row r="47399" ht="16.5" customHeight="1">
      <c r="O47399" s="5" t="s">
        <v>355</v>
      </c>
      <c r="P47399" s="5" t="s">
        <v>355</v>
      </c>
      <c r="Q47399" s="5" t="s">
        <v>355</v>
      </c>
    </row>
    <row r="47400" ht="16.5" customHeight="1">
      <c r="O47400" s="5" t="s">
        <v>355</v>
      </c>
      <c r="P47400" s="5" t="s">
        <v>355</v>
      </c>
      <c r="Q47400" s="5" t="s">
        <v>355</v>
      </c>
    </row>
    <row r="47401" ht="16.5" customHeight="1">
      <c r="O47401" s="5" t="s">
        <v>355</v>
      </c>
      <c r="P47401" s="5" t="s">
        <v>355</v>
      </c>
      <c r="Q47401" s="5" t="s">
        <v>355</v>
      </c>
    </row>
    <row r="47402" ht="16.5" customHeight="1">
      <c r="O47402" s="5" t="s">
        <v>355</v>
      </c>
      <c r="P47402" s="5" t="s">
        <v>355</v>
      </c>
      <c r="Q47402" s="5" t="s">
        <v>355</v>
      </c>
    </row>
    <row r="47403" ht="16.5" customHeight="1">
      <c r="O47403" s="5" t="s">
        <v>355</v>
      </c>
      <c r="P47403" s="5" t="s">
        <v>355</v>
      </c>
      <c r="Q47403" s="5" t="s">
        <v>355</v>
      </c>
    </row>
    <row r="47404" ht="16.5" customHeight="1">
      <c r="O47404" s="5" t="s">
        <v>355</v>
      </c>
      <c r="P47404" s="5" t="s">
        <v>355</v>
      </c>
      <c r="Q47404" s="5" t="s">
        <v>355</v>
      </c>
    </row>
    <row r="47405" ht="16.5" customHeight="1">
      <c r="O47405" s="5" t="s">
        <v>355</v>
      </c>
      <c r="P47405" s="5" t="s">
        <v>355</v>
      </c>
      <c r="Q47405" s="5" t="s">
        <v>355</v>
      </c>
    </row>
    <row r="47406" ht="16.5" customHeight="1">
      <c r="O47406" s="5" t="s">
        <v>355</v>
      </c>
      <c r="P47406" s="5" t="s">
        <v>355</v>
      </c>
      <c r="Q47406" s="5" t="s">
        <v>355</v>
      </c>
    </row>
    <row r="47407" ht="16.5" customHeight="1">
      <c r="O47407" s="5" t="s">
        <v>355</v>
      </c>
      <c r="P47407" s="5" t="s">
        <v>355</v>
      </c>
      <c r="Q47407" s="5" t="s">
        <v>355</v>
      </c>
    </row>
    <row r="47408" ht="16.5" customHeight="1">
      <c r="O47408" s="5" t="s">
        <v>355</v>
      </c>
      <c r="P47408" s="5" t="s">
        <v>355</v>
      </c>
      <c r="Q47408" s="5" t="s">
        <v>355</v>
      </c>
    </row>
    <row r="47409" ht="16.5" customHeight="1">
      <c r="O47409" s="5" t="s">
        <v>355</v>
      </c>
      <c r="P47409" s="5" t="s">
        <v>355</v>
      </c>
      <c r="Q47409" s="5" t="s">
        <v>355</v>
      </c>
    </row>
    <row r="47410" ht="16.5" customHeight="1">
      <c r="O47410" s="5" t="s">
        <v>355</v>
      </c>
      <c r="P47410" s="5" t="s">
        <v>355</v>
      </c>
      <c r="Q47410" s="5" t="s">
        <v>355</v>
      </c>
    </row>
    <row r="47411" ht="16.5" customHeight="1">
      <c r="O47411" s="5" t="s">
        <v>355</v>
      </c>
      <c r="P47411" s="5" t="s">
        <v>355</v>
      </c>
      <c r="Q47411" s="5" t="s">
        <v>355</v>
      </c>
    </row>
    <row r="47412" ht="16.5" customHeight="1">
      <c r="O47412" s="5" t="s">
        <v>355</v>
      </c>
      <c r="P47412" s="5" t="s">
        <v>355</v>
      </c>
      <c r="Q47412" s="5" t="s">
        <v>355</v>
      </c>
    </row>
    <row r="47413" ht="16.5" customHeight="1">
      <c r="O47413" s="5" t="s">
        <v>355</v>
      </c>
      <c r="P47413" s="5" t="s">
        <v>355</v>
      </c>
      <c r="Q47413" s="5" t="s">
        <v>355</v>
      </c>
    </row>
    <row r="47414" ht="16.5" customHeight="1">
      <c r="O47414" s="5" t="s">
        <v>355</v>
      </c>
      <c r="P47414" s="5" t="s">
        <v>355</v>
      </c>
      <c r="Q47414" s="5" t="s">
        <v>355</v>
      </c>
    </row>
    <row r="47415" ht="16.5" customHeight="1">
      <c r="O47415" s="5" t="s">
        <v>355</v>
      </c>
      <c r="P47415" s="5" t="s">
        <v>355</v>
      </c>
      <c r="Q47415" s="5" t="s">
        <v>355</v>
      </c>
    </row>
    <row r="47416" ht="16.5" customHeight="1">
      <c r="O47416" s="5" t="s">
        <v>355</v>
      </c>
      <c r="P47416" s="5" t="s">
        <v>355</v>
      </c>
      <c r="Q47416" s="5" t="s">
        <v>355</v>
      </c>
    </row>
    <row r="47417" ht="16.5" customHeight="1">
      <c r="O47417" s="5" t="s">
        <v>355</v>
      </c>
      <c r="P47417" s="5" t="s">
        <v>355</v>
      </c>
      <c r="Q47417" s="5" t="s">
        <v>355</v>
      </c>
    </row>
    <row r="47418" ht="16.5" customHeight="1">
      <c r="O47418" s="5" t="s">
        <v>355</v>
      </c>
      <c r="P47418" s="5" t="s">
        <v>355</v>
      </c>
      <c r="Q47418" s="5" t="s">
        <v>355</v>
      </c>
    </row>
    <row r="47419" ht="16.5" customHeight="1">
      <c r="O47419" s="5" t="s">
        <v>355</v>
      </c>
      <c r="P47419" s="5" t="s">
        <v>355</v>
      </c>
      <c r="Q47419" s="5" t="s">
        <v>355</v>
      </c>
    </row>
    <row r="47420" ht="16.5" customHeight="1">
      <c r="O47420" s="5" t="s">
        <v>355</v>
      </c>
      <c r="P47420" s="5" t="s">
        <v>355</v>
      </c>
      <c r="Q47420" s="5" t="s">
        <v>355</v>
      </c>
    </row>
    <row r="47421" ht="16.5" customHeight="1">
      <c r="O47421" s="5" t="s">
        <v>355</v>
      </c>
      <c r="P47421" s="5" t="s">
        <v>355</v>
      </c>
      <c r="Q47421" s="5" t="s">
        <v>355</v>
      </c>
    </row>
    <row r="47422" ht="16.5" customHeight="1">
      <c r="O47422" s="5" t="s">
        <v>355</v>
      </c>
      <c r="P47422" s="5" t="s">
        <v>355</v>
      </c>
      <c r="Q47422" s="5" t="s">
        <v>355</v>
      </c>
    </row>
    <row r="47423" ht="16.5" customHeight="1">
      <c r="O47423" s="5" t="s">
        <v>355</v>
      </c>
      <c r="P47423" s="5" t="s">
        <v>355</v>
      </c>
      <c r="Q47423" s="5" t="s">
        <v>355</v>
      </c>
    </row>
    <row r="47424" ht="16.5" customHeight="1">
      <c r="O47424" s="5" t="s">
        <v>355</v>
      </c>
      <c r="P47424" s="5" t="s">
        <v>355</v>
      </c>
      <c r="Q47424" s="5" t="s">
        <v>355</v>
      </c>
    </row>
    <row r="47425" ht="16.5" customHeight="1">
      <c r="O47425" s="5" t="s">
        <v>355</v>
      </c>
      <c r="P47425" s="5" t="s">
        <v>355</v>
      </c>
      <c r="Q47425" s="5" t="s">
        <v>355</v>
      </c>
    </row>
    <row r="47426" ht="16.5" customHeight="1">
      <c r="O47426" s="5" t="s">
        <v>355</v>
      </c>
      <c r="P47426" s="5" t="s">
        <v>355</v>
      </c>
      <c r="Q47426" s="5" t="s">
        <v>355</v>
      </c>
    </row>
    <row r="47427" ht="16.5" customHeight="1">
      <c r="O47427" s="5" t="s">
        <v>355</v>
      </c>
      <c r="P47427" s="5" t="s">
        <v>355</v>
      </c>
      <c r="Q47427" s="5" t="s">
        <v>355</v>
      </c>
    </row>
    <row r="47428" ht="16.5" customHeight="1">
      <c r="O47428" s="5" t="s">
        <v>355</v>
      </c>
      <c r="P47428" s="5" t="s">
        <v>355</v>
      </c>
      <c r="Q47428" s="5" t="s">
        <v>355</v>
      </c>
    </row>
    <row r="47429" ht="16.5" customHeight="1">
      <c r="O47429" s="5" t="s">
        <v>355</v>
      </c>
      <c r="P47429" s="5" t="s">
        <v>355</v>
      </c>
      <c r="Q47429" s="5" t="s">
        <v>355</v>
      </c>
    </row>
    <row r="47430" ht="16.5" customHeight="1">
      <c r="O47430" s="5" t="s">
        <v>355</v>
      </c>
      <c r="P47430" s="5" t="s">
        <v>355</v>
      </c>
      <c r="Q47430" s="5" t="s">
        <v>355</v>
      </c>
    </row>
    <row r="47431" ht="16.5" customHeight="1">
      <c r="O47431" s="5" t="s">
        <v>355</v>
      </c>
      <c r="P47431" s="5" t="s">
        <v>355</v>
      </c>
      <c r="Q47431" s="5" t="s">
        <v>355</v>
      </c>
    </row>
    <row r="47432" ht="16.5" customHeight="1">
      <c r="O47432" s="5" t="s">
        <v>355</v>
      </c>
      <c r="P47432" s="5" t="s">
        <v>355</v>
      </c>
      <c r="Q47432" s="5" t="s">
        <v>355</v>
      </c>
    </row>
    <row r="47433" ht="16.5" customHeight="1">
      <c r="O47433" s="5" t="s">
        <v>355</v>
      </c>
      <c r="P47433" s="5" t="s">
        <v>355</v>
      </c>
      <c r="Q47433" s="5" t="s">
        <v>355</v>
      </c>
    </row>
    <row r="47434" ht="16.5" customHeight="1">
      <c r="O47434" s="5" t="s">
        <v>355</v>
      </c>
      <c r="P47434" s="5" t="s">
        <v>355</v>
      </c>
      <c r="Q47434" s="5" t="s">
        <v>355</v>
      </c>
    </row>
    <row r="47435" ht="16.5" customHeight="1">
      <c r="O47435" s="5" t="s">
        <v>355</v>
      </c>
      <c r="P47435" s="5" t="s">
        <v>355</v>
      </c>
      <c r="Q47435" s="5" t="s">
        <v>355</v>
      </c>
    </row>
    <row r="47436" ht="16.5" customHeight="1">
      <c r="O47436" s="5" t="s">
        <v>355</v>
      </c>
      <c r="P47436" s="5" t="s">
        <v>355</v>
      </c>
      <c r="Q47436" s="5" t="s">
        <v>355</v>
      </c>
    </row>
    <row r="47437" ht="16.5" customHeight="1">
      <c r="O47437" s="5" t="s">
        <v>355</v>
      </c>
      <c r="P47437" s="5" t="s">
        <v>355</v>
      </c>
      <c r="Q47437" s="5" t="s">
        <v>355</v>
      </c>
    </row>
    <row r="47438" ht="16.5" customHeight="1">
      <c r="O47438" s="5" t="s">
        <v>355</v>
      </c>
      <c r="P47438" s="5" t="s">
        <v>355</v>
      </c>
      <c r="Q47438" s="5" t="s">
        <v>355</v>
      </c>
    </row>
    <row r="47439" ht="16.5" customHeight="1">
      <c r="O47439" s="5" t="s">
        <v>355</v>
      </c>
      <c r="P47439" s="5" t="s">
        <v>355</v>
      </c>
      <c r="Q47439" s="5" t="s">
        <v>355</v>
      </c>
    </row>
    <row r="47440" ht="16.5" customHeight="1">
      <c r="O47440" s="5" t="s">
        <v>355</v>
      </c>
      <c r="P47440" s="5" t="s">
        <v>355</v>
      </c>
      <c r="Q47440" s="5" t="s">
        <v>355</v>
      </c>
    </row>
    <row r="47441" ht="16.5" customHeight="1">
      <c r="O47441" s="5" t="s">
        <v>355</v>
      </c>
      <c r="P47441" s="5" t="s">
        <v>355</v>
      </c>
      <c r="Q47441" s="5" t="s">
        <v>355</v>
      </c>
    </row>
    <row r="47442" ht="16.5" customHeight="1">
      <c r="O47442" s="5" t="s">
        <v>355</v>
      </c>
      <c r="P47442" s="5" t="s">
        <v>355</v>
      </c>
      <c r="Q47442" s="5" t="s">
        <v>355</v>
      </c>
    </row>
    <row r="47443" ht="16.5" customHeight="1">
      <c r="O47443" s="5" t="s">
        <v>355</v>
      </c>
      <c r="P47443" s="5" t="s">
        <v>355</v>
      </c>
      <c r="Q47443" s="5" t="s">
        <v>355</v>
      </c>
    </row>
    <row r="47444" ht="16.5" customHeight="1">
      <c r="O47444" s="5" t="s">
        <v>355</v>
      </c>
      <c r="P47444" s="5" t="s">
        <v>355</v>
      </c>
      <c r="Q47444" s="5" t="s">
        <v>355</v>
      </c>
    </row>
    <row r="47445" ht="16.5" customHeight="1">
      <c r="O47445" s="5" t="s">
        <v>355</v>
      </c>
      <c r="P47445" s="5" t="s">
        <v>355</v>
      </c>
      <c r="Q47445" s="5" t="s">
        <v>355</v>
      </c>
    </row>
    <row r="47446" ht="16.5" customHeight="1">
      <c r="O47446" s="5" t="s">
        <v>355</v>
      </c>
      <c r="P47446" s="5" t="s">
        <v>355</v>
      </c>
      <c r="Q47446" s="5" t="s">
        <v>355</v>
      </c>
    </row>
    <row r="47447" ht="16.5" customHeight="1">
      <c r="O47447" s="5" t="s">
        <v>355</v>
      </c>
      <c r="P47447" s="5" t="s">
        <v>355</v>
      </c>
      <c r="Q47447" s="5" t="s">
        <v>355</v>
      </c>
    </row>
    <row r="47448" ht="16.5" customHeight="1">
      <c r="O47448" s="5" t="s">
        <v>355</v>
      </c>
      <c r="P47448" s="5" t="s">
        <v>355</v>
      </c>
      <c r="Q47448" s="5" t="s">
        <v>355</v>
      </c>
    </row>
    <row r="47449" ht="16.5" customHeight="1">
      <c r="O47449" s="5" t="s">
        <v>355</v>
      </c>
      <c r="P47449" s="5" t="s">
        <v>355</v>
      </c>
      <c r="Q47449" s="5" t="s">
        <v>355</v>
      </c>
    </row>
    <row r="47450" ht="16.5" customHeight="1">
      <c r="O47450" s="5" t="s">
        <v>355</v>
      </c>
      <c r="P47450" s="5" t="s">
        <v>355</v>
      </c>
      <c r="Q47450" s="5" t="s">
        <v>355</v>
      </c>
    </row>
    <row r="47451" ht="16.5" customHeight="1">
      <c r="O47451" s="5" t="s">
        <v>355</v>
      </c>
      <c r="P47451" s="5" t="s">
        <v>355</v>
      </c>
      <c r="Q47451" s="5" t="s">
        <v>355</v>
      </c>
    </row>
    <row r="47452" ht="16.5" customHeight="1">
      <c r="O47452" s="5" t="s">
        <v>355</v>
      </c>
      <c r="P47452" s="5" t="s">
        <v>355</v>
      </c>
      <c r="Q47452" s="5" t="s">
        <v>355</v>
      </c>
    </row>
    <row r="47453" ht="16.5" customHeight="1">
      <c r="O47453" s="5" t="s">
        <v>355</v>
      </c>
      <c r="P47453" s="5" t="s">
        <v>355</v>
      </c>
      <c r="Q47453" s="5" t="s">
        <v>355</v>
      </c>
    </row>
    <row r="47454" ht="16.5" customHeight="1">
      <c r="O47454" s="5" t="s">
        <v>355</v>
      </c>
      <c r="P47454" s="5" t="s">
        <v>355</v>
      </c>
      <c r="Q47454" s="5" t="s">
        <v>355</v>
      </c>
    </row>
    <row r="47455" ht="16.5" customHeight="1">
      <c r="O47455" s="5" t="s">
        <v>355</v>
      </c>
      <c r="P47455" s="5" t="s">
        <v>355</v>
      </c>
      <c r="Q47455" s="5" t="s">
        <v>355</v>
      </c>
    </row>
    <row r="47456" ht="16.5" customHeight="1">
      <c r="O47456" s="5" t="s">
        <v>355</v>
      </c>
      <c r="P47456" s="5" t="s">
        <v>355</v>
      </c>
      <c r="Q47456" s="5" t="s">
        <v>355</v>
      </c>
    </row>
    <row r="47457" ht="16.5" customHeight="1">
      <c r="O47457" s="5" t="s">
        <v>355</v>
      </c>
      <c r="P47457" s="5" t="s">
        <v>355</v>
      </c>
      <c r="Q47457" s="5" t="s">
        <v>355</v>
      </c>
    </row>
    <row r="47458" ht="16.5" customHeight="1">
      <c r="O47458" s="5" t="s">
        <v>355</v>
      </c>
      <c r="P47458" s="5" t="s">
        <v>355</v>
      </c>
      <c r="Q47458" s="5" t="s">
        <v>355</v>
      </c>
    </row>
    <row r="47459" ht="16.5" customHeight="1">
      <c r="O47459" s="5" t="s">
        <v>355</v>
      </c>
      <c r="P47459" s="5" t="s">
        <v>355</v>
      </c>
      <c r="Q47459" s="5" t="s">
        <v>355</v>
      </c>
    </row>
    <row r="47460" ht="16.5" customHeight="1">
      <c r="O47460" s="5" t="s">
        <v>355</v>
      </c>
      <c r="P47460" s="5" t="s">
        <v>355</v>
      </c>
      <c r="Q47460" s="5" t="s">
        <v>355</v>
      </c>
    </row>
    <row r="47461" ht="16.5" customHeight="1">
      <c r="O47461" s="5" t="s">
        <v>355</v>
      </c>
      <c r="P47461" s="5" t="s">
        <v>355</v>
      </c>
      <c r="Q47461" s="5" t="s">
        <v>355</v>
      </c>
    </row>
    <row r="47462" ht="16.5" customHeight="1">
      <c r="O47462" s="5" t="s">
        <v>355</v>
      </c>
      <c r="P47462" s="5" t="s">
        <v>355</v>
      </c>
      <c r="Q47462" s="5" t="s">
        <v>355</v>
      </c>
    </row>
    <row r="47463" ht="16.5" customHeight="1">
      <c r="O47463" s="5" t="s">
        <v>355</v>
      </c>
      <c r="P47463" s="5" t="s">
        <v>355</v>
      </c>
      <c r="Q47463" s="5" t="s">
        <v>355</v>
      </c>
    </row>
    <row r="47464" ht="16.5" customHeight="1">
      <c r="O47464" s="5" t="s">
        <v>355</v>
      </c>
      <c r="P47464" s="5" t="s">
        <v>355</v>
      </c>
      <c r="Q47464" s="5" t="s">
        <v>355</v>
      </c>
    </row>
    <row r="47465" ht="16.5" customHeight="1">
      <c r="O47465" s="5" t="s">
        <v>355</v>
      </c>
      <c r="P47465" s="5" t="s">
        <v>355</v>
      </c>
      <c r="Q47465" s="5" t="s">
        <v>355</v>
      </c>
    </row>
    <row r="47466" ht="16.5" customHeight="1">
      <c r="O47466" s="5" t="s">
        <v>355</v>
      </c>
      <c r="P47466" s="5" t="s">
        <v>355</v>
      </c>
      <c r="Q47466" s="5" t="s">
        <v>355</v>
      </c>
    </row>
    <row r="47467" ht="16.5" customHeight="1">
      <c r="O47467" s="5" t="s">
        <v>355</v>
      </c>
      <c r="P47467" s="5" t="s">
        <v>355</v>
      </c>
      <c r="Q47467" s="5" t="s">
        <v>355</v>
      </c>
    </row>
    <row r="47468" ht="16.5" customHeight="1">
      <c r="O47468" s="5" t="s">
        <v>355</v>
      </c>
      <c r="P47468" s="5" t="s">
        <v>355</v>
      </c>
      <c r="Q47468" s="5" t="s">
        <v>355</v>
      </c>
    </row>
    <row r="47469" ht="16.5" customHeight="1">
      <c r="O47469" s="5" t="s">
        <v>355</v>
      </c>
      <c r="P47469" s="5" t="s">
        <v>355</v>
      </c>
      <c r="Q47469" s="5" t="s">
        <v>355</v>
      </c>
    </row>
    <row r="47470" ht="16.5" customHeight="1">
      <c r="O47470" s="5" t="s">
        <v>355</v>
      </c>
      <c r="P47470" s="5" t="s">
        <v>355</v>
      </c>
      <c r="Q47470" s="5" t="s">
        <v>355</v>
      </c>
    </row>
    <row r="47471" ht="16.5" customHeight="1">
      <c r="O47471" s="5" t="s">
        <v>355</v>
      </c>
      <c r="P47471" s="5" t="s">
        <v>355</v>
      </c>
      <c r="Q47471" s="5" t="s">
        <v>355</v>
      </c>
    </row>
    <row r="47472" ht="16.5" customHeight="1">
      <c r="O47472" s="5" t="s">
        <v>355</v>
      </c>
      <c r="P47472" s="5" t="s">
        <v>355</v>
      </c>
      <c r="Q47472" s="5" t="s">
        <v>355</v>
      </c>
    </row>
    <row r="47473" ht="16.5" customHeight="1">
      <c r="O47473" s="5" t="s">
        <v>355</v>
      </c>
      <c r="P47473" s="5" t="s">
        <v>355</v>
      </c>
      <c r="Q47473" s="5" t="s">
        <v>355</v>
      </c>
    </row>
    <row r="47474" ht="16.5" customHeight="1">
      <c r="O47474" s="5" t="s">
        <v>355</v>
      </c>
      <c r="P47474" s="5" t="s">
        <v>355</v>
      </c>
      <c r="Q47474" s="5" t="s">
        <v>355</v>
      </c>
    </row>
    <row r="47475" ht="16.5" customHeight="1">
      <c r="O47475" s="5" t="s">
        <v>355</v>
      </c>
      <c r="P47475" s="5" t="s">
        <v>355</v>
      </c>
      <c r="Q47475" s="5" t="s">
        <v>355</v>
      </c>
    </row>
    <row r="47476" ht="16.5" customHeight="1">
      <c r="O47476" s="5" t="s">
        <v>355</v>
      </c>
      <c r="P47476" s="5" t="s">
        <v>355</v>
      </c>
      <c r="Q47476" s="5" t="s">
        <v>355</v>
      </c>
    </row>
    <row r="47477" ht="16.5" customHeight="1">
      <c r="O47477" s="5" t="s">
        <v>355</v>
      </c>
      <c r="P47477" s="5" t="s">
        <v>355</v>
      </c>
      <c r="Q47477" s="5" t="s">
        <v>355</v>
      </c>
    </row>
    <row r="47478" ht="16.5" customHeight="1">
      <c r="O47478" s="5" t="s">
        <v>355</v>
      </c>
      <c r="P47478" s="5" t="s">
        <v>355</v>
      </c>
      <c r="Q47478" s="5" t="s">
        <v>355</v>
      </c>
    </row>
    <row r="47479" ht="16.5" customHeight="1">
      <c r="O47479" s="5" t="s">
        <v>355</v>
      </c>
      <c r="P47479" s="5" t="s">
        <v>355</v>
      </c>
      <c r="Q47479" s="5" t="s">
        <v>355</v>
      </c>
    </row>
    <row r="47480" ht="16.5" customHeight="1">
      <c r="O47480" s="5" t="s">
        <v>355</v>
      </c>
      <c r="P47480" s="5" t="s">
        <v>355</v>
      </c>
      <c r="Q47480" s="5" t="s">
        <v>355</v>
      </c>
    </row>
    <row r="47481" ht="16.5" customHeight="1">
      <c r="O47481" s="5" t="s">
        <v>355</v>
      </c>
      <c r="P47481" s="5" t="s">
        <v>355</v>
      </c>
      <c r="Q47481" s="5" t="s">
        <v>355</v>
      </c>
    </row>
    <row r="47482" ht="16.5" customHeight="1">
      <c r="O47482" s="5" t="s">
        <v>355</v>
      </c>
      <c r="P47482" s="5" t="s">
        <v>355</v>
      </c>
      <c r="Q47482" s="5" t="s">
        <v>355</v>
      </c>
    </row>
    <row r="47483" ht="16.5" customHeight="1">
      <c r="O47483" s="5" t="s">
        <v>355</v>
      </c>
      <c r="P47483" s="5" t="s">
        <v>355</v>
      </c>
      <c r="Q47483" s="5" t="s">
        <v>355</v>
      </c>
    </row>
    <row r="47484" ht="16.5" customHeight="1">
      <c r="O47484" s="5" t="s">
        <v>355</v>
      </c>
      <c r="P47484" s="5" t="s">
        <v>355</v>
      </c>
      <c r="Q47484" s="5" t="s">
        <v>355</v>
      </c>
    </row>
    <row r="47485" ht="16.5" customHeight="1">
      <c r="O47485" s="5" t="s">
        <v>355</v>
      </c>
      <c r="P47485" s="5" t="s">
        <v>355</v>
      </c>
      <c r="Q47485" s="5" t="s">
        <v>355</v>
      </c>
    </row>
    <row r="47486" ht="16.5" customHeight="1">
      <c r="O47486" s="5" t="s">
        <v>355</v>
      </c>
      <c r="P47486" s="5" t="s">
        <v>355</v>
      </c>
      <c r="Q47486" s="5" t="s">
        <v>355</v>
      </c>
    </row>
    <row r="47487" ht="16.5" customHeight="1">
      <c r="O47487" s="5" t="s">
        <v>355</v>
      </c>
      <c r="P47487" s="5" t="s">
        <v>355</v>
      </c>
      <c r="Q47487" s="5" t="s">
        <v>355</v>
      </c>
    </row>
    <row r="47488" ht="16.5" customHeight="1">
      <c r="O47488" s="5" t="s">
        <v>355</v>
      </c>
      <c r="P47488" s="5" t="s">
        <v>355</v>
      </c>
      <c r="Q47488" s="5" t="s">
        <v>355</v>
      </c>
    </row>
    <row r="47489" ht="16.5" customHeight="1">
      <c r="O47489" s="5" t="s">
        <v>355</v>
      </c>
      <c r="P47489" s="5" t="s">
        <v>355</v>
      </c>
      <c r="Q47489" s="5" t="s">
        <v>355</v>
      </c>
    </row>
    <row r="47490" ht="16.5" customHeight="1">
      <c r="O47490" s="5" t="s">
        <v>355</v>
      </c>
      <c r="P47490" s="5" t="s">
        <v>355</v>
      </c>
      <c r="Q47490" s="5" t="s">
        <v>355</v>
      </c>
    </row>
    <row r="47491" ht="16.5" customHeight="1">
      <c r="O47491" s="5" t="s">
        <v>355</v>
      </c>
      <c r="P47491" s="5" t="s">
        <v>355</v>
      </c>
      <c r="Q47491" s="5" t="s">
        <v>355</v>
      </c>
    </row>
    <row r="47492" ht="16.5" customHeight="1">
      <c r="O47492" s="5" t="s">
        <v>355</v>
      </c>
      <c r="P47492" s="5" t="s">
        <v>355</v>
      </c>
      <c r="Q47492" s="5" t="s">
        <v>355</v>
      </c>
    </row>
    <row r="47493" ht="16.5" customHeight="1">
      <c r="O47493" s="5" t="s">
        <v>355</v>
      </c>
      <c r="P47493" s="5" t="s">
        <v>355</v>
      </c>
      <c r="Q47493" s="5" t="s">
        <v>355</v>
      </c>
    </row>
    <row r="47494" ht="16.5" customHeight="1">
      <c r="O47494" s="5" t="s">
        <v>355</v>
      </c>
      <c r="P47494" s="5" t="s">
        <v>355</v>
      </c>
      <c r="Q47494" s="5" t="s">
        <v>355</v>
      </c>
    </row>
    <row r="47495" ht="16.5" customHeight="1">
      <c r="O47495" s="5" t="s">
        <v>355</v>
      </c>
      <c r="P47495" s="5" t="s">
        <v>355</v>
      </c>
      <c r="Q47495" s="5" t="s">
        <v>355</v>
      </c>
    </row>
    <row r="47496" ht="16.5" customHeight="1">
      <c r="O47496" s="5" t="s">
        <v>355</v>
      </c>
      <c r="P47496" s="5" t="s">
        <v>355</v>
      </c>
      <c r="Q47496" s="5" t="s">
        <v>355</v>
      </c>
    </row>
    <row r="47497" ht="16.5" customHeight="1">
      <c r="O47497" s="5" t="s">
        <v>355</v>
      </c>
      <c r="P47497" s="5" t="s">
        <v>355</v>
      </c>
      <c r="Q47497" s="5" t="s">
        <v>355</v>
      </c>
    </row>
    <row r="47498" ht="16.5" customHeight="1">
      <c r="O47498" s="5" t="s">
        <v>355</v>
      </c>
      <c r="P47498" s="5" t="s">
        <v>355</v>
      </c>
      <c r="Q47498" s="5" t="s">
        <v>355</v>
      </c>
    </row>
    <row r="47499" ht="16.5" customHeight="1">
      <c r="O47499" s="5" t="s">
        <v>355</v>
      </c>
      <c r="P47499" s="5" t="s">
        <v>355</v>
      </c>
      <c r="Q47499" s="5" t="s">
        <v>355</v>
      </c>
    </row>
    <row r="47500" ht="16.5" customHeight="1">
      <c r="O47500" s="5" t="s">
        <v>355</v>
      </c>
      <c r="P47500" s="5" t="s">
        <v>355</v>
      </c>
      <c r="Q47500" s="5" t="s">
        <v>355</v>
      </c>
    </row>
    <row r="47501" ht="16.5" customHeight="1">
      <c r="O47501" s="5" t="s">
        <v>355</v>
      </c>
      <c r="P47501" s="5" t="s">
        <v>355</v>
      </c>
      <c r="Q47501" s="5" t="s">
        <v>355</v>
      </c>
    </row>
    <row r="47502" ht="16.5" customHeight="1">
      <c r="O47502" s="5" t="s">
        <v>355</v>
      </c>
      <c r="P47502" s="5" t="s">
        <v>355</v>
      </c>
      <c r="Q47502" s="5" t="s">
        <v>355</v>
      </c>
    </row>
    <row r="47503" ht="16.5" customHeight="1">
      <c r="O47503" s="5" t="s">
        <v>355</v>
      </c>
      <c r="P47503" s="5" t="s">
        <v>355</v>
      </c>
      <c r="Q47503" s="5" t="s">
        <v>355</v>
      </c>
    </row>
    <row r="47504" ht="16.5" customHeight="1">
      <c r="O47504" s="5" t="s">
        <v>355</v>
      </c>
      <c r="P47504" s="5" t="s">
        <v>355</v>
      </c>
      <c r="Q47504" s="5" t="s">
        <v>355</v>
      </c>
    </row>
    <row r="47505" ht="16.5" customHeight="1">
      <c r="O47505" s="5" t="s">
        <v>355</v>
      </c>
      <c r="P47505" s="5" t="s">
        <v>355</v>
      </c>
      <c r="Q47505" s="5" t="s">
        <v>355</v>
      </c>
    </row>
    <row r="47506" ht="16.5" customHeight="1">
      <c r="O47506" s="5" t="s">
        <v>355</v>
      </c>
      <c r="P47506" s="5" t="s">
        <v>355</v>
      </c>
      <c r="Q47506" s="5" t="s">
        <v>355</v>
      </c>
    </row>
    <row r="47507" ht="16.5" customHeight="1">
      <c r="O47507" s="5" t="s">
        <v>355</v>
      </c>
      <c r="P47507" s="5" t="s">
        <v>355</v>
      </c>
      <c r="Q47507" s="5" t="s">
        <v>355</v>
      </c>
    </row>
    <row r="47508" ht="16.5" customHeight="1">
      <c r="O47508" s="5" t="s">
        <v>355</v>
      </c>
      <c r="P47508" s="5" t="s">
        <v>355</v>
      </c>
      <c r="Q47508" s="5" t="s">
        <v>355</v>
      </c>
    </row>
    <row r="47509" ht="16.5" customHeight="1">
      <c r="O47509" s="5" t="s">
        <v>355</v>
      </c>
      <c r="P47509" s="5" t="s">
        <v>355</v>
      </c>
      <c r="Q47509" s="5" t="s">
        <v>355</v>
      </c>
    </row>
    <row r="47510" ht="16.5" customHeight="1">
      <c r="O47510" s="5" t="s">
        <v>355</v>
      </c>
      <c r="P47510" s="5" t="s">
        <v>355</v>
      </c>
      <c r="Q47510" s="5" t="s">
        <v>355</v>
      </c>
    </row>
    <row r="47511" ht="16.5" customHeight="1">
      <c r="O47511" s="5" t="s">
        <v>355</v>
      </c>
      <c r="P47511" s="5" t="s">
        <v>355</v>
      </c>
      <c r="Q47511" s="5" t="s">
        <v>355</v>
      </c>
    </row>
    <row r="47512" ht="16.5" customHeight="1">
      <c r="O47512" s="5" t="s">
        <v>355</v>
      </c>
      <c r="P47512" s="5" t="s">
        <v>355</v>
      </c>
      <c r="Q47512" s="5" t="s">
        <v>355</v>
      </c>
    </row>
    <row r="47513" ht="16.5" customHeight="1">
      <c r="O47513" s="5" t="s">
        <v>355</v>
      </c>
      <c r="P47513" s="5" t="s">
        <v>355</v>
      </c>
      <c r="Q47513" s="5" t="s">
        <v>355</v>
      </c>
    </row>
    <row r="47514" ht="16.5" customHeight="1">
      <c r="O47514" s="5" t="s">
        <v>355</v>
      </c>
      <c r="P47514" s="5" t="s">
        <v>355</v>
      </c>
      <c r="Q47514" s="5" t="s">
        <v>355</v>
      </c>
    </row>
    <row r="47515" ht="16.5" customHeight="1">
      <c r="O47515" s="5" t="s">
        <v>355</v>
      </c>
      <c r="P47515" s="5" t="s">
        <v>355</v>
      </c>
      <c r="Q47515" s="5" t="s">
        <v>355</v>
      </c>
    </row>
    <row r="47516" ht="16.5" customHeight="1">
      <c r="O47516" s="5" t="s">
        <v>355</v>
      </c>
      <c r="P47516" s="5" t="s">
        <v>355</v>
      </c>
      <c r="Q47516" s="5" t="s">
        <v>355</v>
      </c>
    </row>
    <row r="47517" ht="16.5" customHeight="1">
      <c r="O47517" s="5" t="s">
        <v>355</v>
      </c>
      <c r="P47517" s="5" t="s">
        <v>355</v>
      </c>
      <c r="Q47517" s="5" t="s">
        <v>355</v>
      </c>
    </row>
    <row r="47518" ht="16.5" customHeight="1">
      <c r="O47518" s="5" t="s">
        <v>355</v>
      </c>
      <c r="P47518" s="5" t="s">
        <v>355</v>
      </c>
      <c r="Q47518" s="5" t="s">
        <v>355</v>
      </c>
    </row>
    <row r="47519" ht="16.5" customHeight="1">
      <c r="O47519" s="5" t="s">
        <v>355</v>
      </c>
      <c r="P47519" s="5" t="s">
        <v>355</v>
      </c>
      <c r="Q47519" s="5" t="s">
        <v>355</v>
      </c>
    </row>
    <row r="47520" ht="16.5" customHeight="1">
      <c r="O47520" s="5" t="s">
        <v>355</v>
      </c>
      <c r="P47520" s="5" t="s">
        <v>355</v>
      </c>
      <c r="Q47520" s="5" t="s">
        <v>355</v>
      </c>
    </row>
    <row r="47521" ht="16.5" customHeight="1">
      <c r="O47521" s="5" t="s">
        <v>355</v>
      </c>
      <c r="P47521" s="5" t="s">
        <v>355</v>
      </c>
      <c r="Q47521" s="5" t="s">
        <v>355</v>
      </c>
    </row>
    <row r="47522" ht="16.5" customHeight="1">
      <c r="O47522" s="5" t="s">
        <v>355</v>
      </c>
      <c r="P47522" s="5" t="s">
        <v>355</v>
      </c>
      <c r="Q47522" s="5" t="s">
        <v>355</v>
      </c>
    </row>
    <row r="47523" ht="16.5" customHeight="1">
      <c r="O47523" s="5" t="s">
        <v>355</v>
      </c>
      <c r="P47523" s="5" t="s">
        <v>355</v>
      </c>
      <c r="Q47523" s="5" t="s">
        <v>355</v>
      </c>
    </row>
    <row r="47524" ht="16.5" customHeight="1">
      <c r="O47524" s="5" t="s">
        <v>355</v>
      </c>
      <c r="P47524" s="5" t="s">
        <v>355</v>
      </c>
      <c r="Q47524" s="5" t="s">
        <v>355</v>
      </c>
    </row>
    <row r="47525" ht="16.5" customHeight="1">
      <c r="O47525" s="5" t="s">
        <v>355</v>
      </c>
      <c r="P47525" s="5" t="s">
        <v>355</v>
      </c>
      <c r="Q47525" s="5" t="s">
        <v>355</v>
      </c>
    </row>
    <row r="47526" ht="16.5" customHeight="1">
      <c r="O47526" s="5" t="s">
        <v>355</v>
      </c>
      <c r="P47526" s="5" t="s">
        <v>355</v>
      </c>
      <c r="Q47526" s="5" t="s">
        <v>355</v>
      </c>
    </row>
    <row r="47527" ht="16.5" customHeight="1">
      <c r="O47527" s="5" t="s">
        <v>355</v>
      </c>
      <c r="P47527" s="5" t="s">
        <v>355</v>
      </c>
      <c r="Q47527" s="5" t="s">
        <v>355</v>
      </c>
    </row>
    <row r="47528" ht="16.5" customHeight="1">
      <c r="O47528" s="5" t="s">
        <v>355</v>
      </c>
      <c r="P47528" s="5" t="s">
        <v>355</v>
      </c>
      <c r="Q47528" s="5" t="s">
        <v>355</v>
      </c>
    </row>
    <row r="47529" ht="16.5" customHeight="1">
      <c r="O47529" s="5" t="s">
        <v>355</v>
      </c>
      <c r="P47529" s="5" t="s">
        <v>355</v>
      </c>
      <c r="Q47529" s="5" t="s">
        <v>355</v>
      </c>
    </row>
    <row r="47530" ht="16.5" customHeight="1">
      <c r="O47530" s="5" t="s">
        <v>355</v>
      </c>
      <c r="P47530" s="5" t="s">
        <v>355</v>
      </c>
      <c r="Q47530" s="5" t="s">
        <v>355</v>
      </c>
    </row>
    <row r="47531" ht="16.5" customHeight="1">
      <c r="O47531" s="5" t="s">
        <v>355</v>
      </c>
      <c r="P47531" s="5" t="s">
        <v>355</v>
      </c>
      <c r="Q47531" s="5" t="s">
        <v>355</v>
      </c>
    </row>
    <row r="47532" ht="16.5" customHeight="1">
      <c r="O47532" s="5" t="s">
        <v>355</v>
      </c>
      <c r="P47532" s="5" t="s">
        <v>355</v>
      </c>
      <c r="Q47532" s="5" t="s">
        <v>355</v>
      </c>
    </row>
    <row r="47533" ht="16.5" customHeight="1">
      <c r="O47533" s="5" t="s">
        <v>355</v>
      </c>
      <c r="P47533" s="5" t="s">
        <v>355</v>
      </c>
      <c r="Q47533" s="5" t="s">
        <v>355</v>
      </c>
    </row>
    <row r="47534" ht="16.5" customHeight="1">
      <c r="O47534" s="5" t="s">
        <v>355</v>
      </c>
      <c r="P47534" s="5" t="s">
        <v>355</v>
      </c>
      <c r="Q47534" s="5" t="s">
        <v>355</v>
      </c>
    </row>
    <row r="47535" ht="16.5" customHeight="1">
      <c r="O47535" s="5" t="s">
        <v>355</v>
      </c>
      <c r="P47535" s="5" t="s">
        <v>355</v>
      </c>
      <c r="Q47535" s="5" t="s">
        <v>355</v>
      </c>
    </row>
    <row r="47536" ht="16.5" customHeight="1">
      <c r="O47536" s="5" t="s">
        <v>355</v>
      </c>
      <c r="P47536" s="5" t="s">
        <v>355</v>
      </c>
      <c r="Q47536" s="5" t="s">
        <v>355</v>
      </c>
    </row>
    <row r="47537" ht="16.5" customHeight="1">
      <c r="O47537" s="5" t="s">
        <v>355</v>
      </c>
      <c r="P47537" s="5" t="s">
        <v>355</v>
      </c>
      <c r="Q47537" s="5" t="s">
        <v>355</v>
      </c>
    </row>
    <row r="47538" ht="16.5" customHeight="1">
      <c r="O47538" s="5" t="s">
        <v>355</v>
      </c>
      <c r="P47538" s="5" t="s">
        <v>355</v>
      </c>
      <c r="Q47538" s="5" t="s">
        <v>355</v>
      </c>
    </row>
    <row r="47539" ht="16.5" customHeight="1">
      <c r="O47539" s="5" t="s">
        <v>355</v>
      </c>
      <c r="P47539" s="5" t="s">
        <v>355</v>
      </c>
      <c r="Q47539" s="5" t="s">
        <v>355</v>
      </c>
    </row>
    <row r="47540" ht="16.5" customHeight="1">
      <c r="O47540" s="5" t="s">
        <v>355</v>
      </c>
      <c r="P47540" s="5" t="s">
        <v>355</v>
      </c>
      <c r="Q47540" s="5" t="s">
        <v>355</v>
      </c>
    </row>
    <row r="47541" ht="16.5" customHeight="1">
      <c r="O47541" s="5" t="s">
        <v>355</v>
      </c>
      <c r="P47541" s="5" t="s">
        <v>355</v>
      </c>
      <c r="Q47541" s="5" t="s">
        <v>355</v>
      </c>
    </row>
    <row r="47542" ht="16.5" customHeight="1">
      <c r="O47542" s="5" t="s">
        <v>355</v>
      </c>
      <c r="P47542" s="5" t="s">
        <v>355</v>
      </c>
      <c r="Q47542" s="5" t="s">
        <v>355</v>
      </c>
    </row>
    <row r="47543" ht="16.5" customHeight="1">
      <c r="O47543" s="5" t="s">
        <v>355</v>
      </c>
      <c r="P47543" s="5" t="s">
        <v>355</v>
      </c>
      <c r="Q47543" s="5" t="s">
        <v>355</v>
      </c>
    </row>
    <row r="47544" ht="16.5" customHeight="1">
      <c r="O47544" s="5" t="s">
        <v>355</v>
      </c>
      <c r="P47544" s="5" t="s">
        <v>355</v>
      </c>
      <c r="Q47544" s="5" t="s">
        <v>355</v>
      </c>
    </row>
    <row r="47545" ht="16.5" customHeight="1">
      <c r="O47545" s="5" t="s">
        <v>355</v>
      </c>
      <c r="P47545" s="5" t="s">
        <v>355</v>
      </c>
      <c r="Q47545" s="5" t="s">
        <v>355</v>
      </c>
    </row>
    <row r="47546" ht="16.5" customHeight="1">
      <c r="O47546" s="5" t="s">
        <v>355</v>
      </c>
      <c r="P47546" s="5" t="s">
        <v>355</v>
      </c>
      <c r="Q47546" s="5" t="s">
        <v>355</v>
      </c>
    </row>
    <row r="47547" ht="16.5" customHeight="1">
      <c r="O47547" s="5" t="s">
        <v>355</v>
      </c>
      <c r="P47547" s="5" t="s">
        <v>355</v>
      </c>
      <c r="Q47547" s="5" t="s">
        <v>355</v>
      </c>
    </row>
    <row r="47548" ht="16.5" customHeight="1">
      <c r="O47548" s="5" t="s">
        <v>355</v>
      </c>
      <c r="P47548" s="5" t="s">
        <v>355</v>
      </c>
      <c r="Q47548" s="5" t="s">
        <v>355</v>
      </c>
    </row>
    <row r="47549" ht="16.5" customHeight="1">
      <c r="O47549" s="5" t="s">
        <v>355</v>
      </c>
      <c r="P47549" s="5" t="s">
        <v>355</v>
      </c>
      <c r="Q47549" s="5" t="s">
        <v>355</v>
      </c>
    </row>
    <row r="47550" ht="16.5" customHeight="1">
      <c r="O47550" s="5" t="s">
        <v>355</v>
      </c>
      <c r="P47550" s="5" t="s">
        <v>355</v>
      </c>
      <c r="Q47550" s="5" t="s">
        <v>355</v>
      </c>
    </row>
    <row r="47551" ht="16.5" customHeight="1">
      <c r="O47551" s="5" t="s">
        <v>355</v>
      </c>
      <c r="P47551" s="5" t="s">
        <v>355</v>
      </c>
      <c r="Q47551" s="5" t="s">
        <v>355</v>
      </c>
    </row>
    <row r="47552" ht="16.5" customHeight="1">
      <c r="O47552" s="5" t="s">
        <v>355</v>
      </c>
      <c r="P47552" s="5" t="s">
        <v>355</v>
      </c>
      <c r="Q47552" s="5" t="s">
        <v>355</v>
      </c>
    </row>
    <row r="47553" ht="16.5" customHeight="1">
      <c r="O47553" s="5" t="s">
        <v>355</v>
      </c>
      <c r="P47553" s="5" t="s">
        <v>355</v>
      </c>
      <c r="Q47553" s="5" t="s">
        <v>355</v>
      </c>
    </row>
    <row r="47554" ht="16.5" customHeight="1">
      <c r="O47554" s="5" t="s">
        <v>355</v>
      </c>
      <c r="P47554" s="5" t="s">
        <v>355</v>
      </c>
      <c r="Q47554" s="5" t="s">
        <v>355</v>
      </c>
    </row>
    <row r="47555" ht="16.5" customHeight="1">
      <c r="O47555" s="5" t="s">
        <v>355</v>
      </c>
      <c r="P47555" s="5" t="s">
        <v>355</v>
      </c>
      <c r="Q47555" s="5" t="s">
        <v>355</v>
      </c>
    </row>
    <row r="47556" ht="16.5" customHeight="1">
      <c r="O47556" s="5" t="s">
        <v>355</v>
      </c>
      <c r="P47556" s="5" t="s">
        <v>355</v>
      </c>
      <c r="Q47556" s="5" t="s">
        <v>355</v>
      </c>
    </row>
    <row r="47557" ht="16.5" customHeight="1">
      <c r="O47557" s="5" t="s">
        <v>355</v>
      </c>
      <c r="P47557" s="5" t="s">
        <v>355</v>
      </c>
      <c r="Q47557" s="5" t="s">
        <v>355</v>
      </c>
    </row>
    <row r="47558" ht="16.5" customHeight="1">
      <c r="O47558" s="5" t="s">
        <v>355</v>
      </c>
      <c r="P47558" s="5" t="s">
        <v>355</v>
      </c>
      <c r="Q47558" s="5" t="s">
        <v>355</v>
      </c>
    </row>
    <row r="47559" ht="16.5" customHeight="1">
      <c r="O47559" s="5" t="s">
        <v>355</v>
      </c>
      <c r="P47559" s="5" t="s">
        <v>355</v>
      </c>
      <c r="Q47559" s="5" t="s">
        <v>355</v>
      </c>
    </row>
    <row r="47560" ht="16.5" customHeight="1">
      <c r="O47560" s="5" t="s">
        <v>355</v>
      </c>
      <c r="P47560" s="5" t="s">
        <v>355</v>
      </c>
      <c r="Q47560" s="5" t="s">
        <v>355</v>
      </c>
    </row>
    <row r="47561" ht="16.5" customHeight="1">
      <c r="O47561" s="5" t="s">
        <v>355</v>
      </c>
      <c r="P47561" s="5" t="s">
        <v>355</v>
      </c>
      <c r="Q47561" s="5" t="s">
        <v>355</v>
      </c>
    </row>
    <row r="47562" ht="16.5" customHeight="1">
      <c r="O47562" s="5" t="s">
        <v>355</v>
      </c>
      <c r="P47562" s="5" t="s">
        <v>355</v>
      </c>
      <c r="Q47562" s="5" t="s">
        <v>355</v>
      </c>
    </row>
    <row r="47563" ht="16.5" customHeight="1">
      <c r="O47563" s="5" t="s">
        <v>355</v>
      </c>
      <c r="P47563" s="5" t="s">
        <v>355</v>
      </c>
      <c r="Q47563" s="5" t="s">
        <v>355</v>
      </c>
    </row>
    <row r="47564" ht="16.5" customHeight="1">
      <c r="O47564" s="5" t="s">
        <v>355</v>
      </c>
      <c r="P47564" s="5" t="s">
        <v>355</v>
      </c>
      <c r="Q47564" s="5" t="s">
        <v>355</v>
      </c>
    </row>
    <row r="47565" ht="16.5" customHeight="1">
      <c r="O47565" s="5" t="s">
        <v>355</v>
      </c>
      <c r="P47565" s="5" t="s">
        <v>355</v>
      </c>
      <c r="Q47565" s="5" t="s">
        <v>355</v>
      </c>
    </row>
    <row r="47566" ht="16.5" customHeight="1">
      <c r="O47566" s="5" t="s">
        <v>355</v>
      </c>
      <c r="P47566" s="5" t="s">
        <v>355</v>
      </c>
      <c r="Q47566" s="5" t="s">
        <v>355</v>
      </c>
    </row>
    <row r="47567" ht="16.5" customHeight="1">
      <c r="O47567" s="5" t="s">
        <v>355</v>
      </c>
      <c r="P47567" s="5" t="s">
        <v>355</v>
      </c>
      <c r="Q47567" s="5" t="s">
        <v>355</v>
      </c>
    </row>
    <row r="47568" ht="16.5" customHeight="1">
      <c r="O47568" s="5" t="s">
        <v>355</v>
      </c>
      <c r="P47568" s="5" t="s">
        <v>355</v>
      </c>
      <c r="Q47568" s="5" t="s">
        <v>355</v>
      </c>
    </row>
    <row r="47569" ht="16.5" customHeight="1">
      <c r="O47569" s="5" t="s">
        <v>355</v>
      </c>
      <c r="P47569" s="5" t="s">
        <v>355</v>
      </c>
      <c r="Q47569" s="5" t="s">
        <v>355</v>
      </c>
    </row>
    <row r="47570" ht="16.5" customHeight="1">
      <c r="O47570" s="5" t="s">
        <v>355</v>
      </c>
      <c r="P47570" s="5" t="s">
        <v>355</v>
      </c>
      <c r="Q47570" s="5" t="s">
        <v>355</v>
      </c>
    </row>
    <row r="47571" ht="16.5" customHeight="1">
      <c r="O47571" s="5" t="s">
        <v>355</v>
      </c>
      <c r="P47571" s="5" t="s">
        <v>355</v>
      </c>
      <c r="Q47571" s="5" t="s">
        <v>355</v>
      </c>
    </row>
    <row r="47572" ht="16.5" customHeight="1">
      <c r="O47572" s="5" t="s">
        <v>355</v>
      </c>
      <c r="P47572" s="5" t="s">
        <v>355</v>
      </c>
      <c r="Q47572" s="5" t="s">
        <v>355</v>
      </c>
    </row>
    <row r="47573" ht="16.5" customHeight="1">
      <c r="O47573" s="5" t="s">
        <v>355</v>
      </c>
      <c r="P47573" s="5" t="s">
        <v>355</v>
      </c>
      <c r="Q47573" s="5" t="s">
        <v>355</v>
      </c>
    </row>
    <row r="47574" ht="16.5" customHeight="1">
      <c r="O47574" s="5" t="s">
        <v>355</v>
      </c>
      <c r="P47574" s="5" t="s">
        <v>355</v>
      </c>
      <c r="Q47574" s="5" t="s">
        <v>355</v>
      </c>
    </row>
    <row r="47575" ht="16.5" customHeight="1">
      <c r="O47575" s="5" t="s">
        <v>355</v>
      </c>
      <c r="P47575" s="5" t="s">
        <v>355</v>
      </c>
      <c r="Q47575" s="5" t="s">
        <v>355</v>
      </c>
    </row>
    <row r="47576" ht="16.5" customHeight="1">
      <c r="O47576" s="5" t="s">
        <v>355</v>
      </c>
      <c r="P47576" s="5" t="s">
        <v>355</v>
      </c>
      <c r="Q47576" s="5" t="s">
        <v>355</v>
      </c>
    </row>
    <row r="47577" ht="16.5" customHeight="1">
      <c r="O47577" s="5" t="s">
        <v>355</v>
      </c>
      <c r="P47577" s="5" t="s">
        <v>355</v>
      </c>
      <c r="Q47577" s="5" t="s">
        <v>355</v>
      </c>
    </row>
    <row r="47578" ht="16.5" customHeight="1">
      <c r="O47578" s="5" t="s">
        <v>355</v>
      </c>
      <c r="P47578" s="5" t="s">
        <v>355</v>
      </c>
      <c r="Q47578" s="5" t="s">
        <v>355</v>
      </c>
    </row>
    <row r="47579" ht="16.5" customHeight="1">
      <c r="O47579" s="5" t="s">
        <v>355</v>
      </c>
      <c r="P47579" s="5" t="s">
        <v>355</v>
      </c>
      <c r="Q47579" s="5" t="s">
        <v>355</v>
      </c>
    </row>
    <row r="47580" ht="16.5" customHeight="1">
      <c r="O47580" s="5" t="s">
        <v>355</v>
      </c>
      <c r="P47580" s="5" t="s">
        <v>355</v>
      </c>
      <c r="Q47580" s="5" t="s">
        <v>355</v>
      </c>
    </row>
    <row r="47581" ht="16.5" customHeight="1">
      <c r="O47581" s="5" t="s">
        <v>355</v>
      </c>
      <c r="P47581" s="5" t="s">
        <v>355</v>
      </c>
      <c r="Q47581" s="5" t="s">
        <v>355</v>
      </c>
    </row>
    <row r="47582" ht="16.5" customHeight="1">
      <c r="O47582" s="5" t="s">
        <v>355</v>
      </c>
      <c r="P47582" s="5" t="s">
        <v>355</v>
      </c>
      <c r="Q47582" s="5" t="s">
        <v>355</v>
      </c>
    </row>
    <row r="47583" ht="16.5" customHeight="1">
      <c r="O47583" s="5" t="s">
        <v>355</v>
      </c>
      <c r="P47583" s="5" t="s">
        <v>355</v>
      </c>
      <c r="Q47583" s="5" t="s">
        <v>355</v>
      </c>
    </row>
    <row r="47584" ht="16.5" customHeight="1">
      <c r="O47584" s="5" t="s">
        <v>355</v>
      </c>
      <c r="P47584" s="5" t="s">
        <v>355</v>
      </c>
      <c r="Q47584" s="5" t="s">
        <v>355</v>
      </c>
    </row>
    <row r="47585" ht="16.5" customHeight="1">
      <c r="O47585" s="5" t="s">
        <v>355</v>
      </c>
      <c r="P47585" s="5" t="s">
        <v>355</v>
      </c>
      <c r="Q47585" s="5" t="s">
        <v>355</v>
      </c>
    </row>
    <row r="47586" ht="16.5" customHeight="1">
      <c r="O47586" s="5" t="s">
        <v>355</v>
      </c>
      <c r="P47586" s="5" t="s">
        <v>355</v>
      </c>
      <c r="Q47586" s="5" t="s">
        <v>355</v>
      </c>
    </row>
    <row r="47587" ht="16.5" customHeight="1">
      <c r="O47587" s="5" t="s">
        <v>355</v>
      </c>
      <c r="P47587" s="5" t="s">
        <v>355</v>
      </c>
      <c r="Q47587" s="5" t="s">
        <v>355</v>
      </c>
    </row>
    <row r="47588" ht="16.5" customHeight="1">
      <c r="O47588" s="5" t="s">
        <v>355</v>
      </c>
      <c r="P47588" s="5" t="s">
        <v>355</v>
      </c>
      <c r="Q47588" s="5" t="s">
        <v>355</v>
      </c>
    </row>
    <row r="47589" ht="16.5" customHeight="1">
      <c r="O47589" s="5" t="s">
        <v>355</v>
      </c>
      <c r="P47589" s="5" t="s">
        <v>355</v>
      </c>
      <c r="Q47589" s="5" t="s">
        <v>355</v>
      </c>
    </row>
    <row r="47590" ht="16.5" customHeight="1">
      <c r="O47590" s="5" t="s">
        <v>355</v>
      </c>
      <c r="P47590" s="5" t="s">
        <v>355</v>
      </c>
      <c r="Q47590" s="5" t="s">
        <v>355</v>
      </c>
    </row>
    <row r="47591" ht="16.5" customHeight="1">
      <c r="O47591" s="5" t="s">
        <v>355</v>
      </c>
      <c r="P47591" s="5" t="s">
        <v>355</v>
      </c>
      <c r="Q47591" s="5" t="s">
        <v>355</v>
      </c>
    </row>
    <row r="47592" ht="16.5" customHeight="1">
      <c r="O47592" s="5" t="s">
        <v>355</v>
      </c>
      <c r="P47592" s="5" t="s">
        <v>355</v>
      </c>
      <c r="Q47592" s="5" t="s">
        <v>355</v>
      </c>
    </row>
    <row r="47593" ht="16.5" customHeight="1">
      <c r="O47593" s="5" t="s">
        <v>355</v>
      </c>
      <c r="P47593" s="5" t="s">
        <v>355</v>
      </c>
      <c r="Q47593" s="5" t="s">
        <v>355</v>
      </c>
    </row>
    <row r="47594" ht="16.5" customHeight="1">
      <c r="O47594" s="5" t="s">
        <v>355</v>
      </c>
      <c r="P47594" s="5" t="s">
        <v>355</v>
      </c>
      <c r="Q47594" s="5" t="s">
        <v>355</v>
      </c>
    </row>
    <row r="47595" ht="16.5" customHeight="1">
      <c r="O47595" s="5" t="s">
        <v>355</v>
      </c>
      <c r="P47595" s="5" t="s">
        <v>355</v>
      </c>
      <c r="Q47595" s="5" t="s">
        <v>355</v>
      </c>
    </row>
    <row r="47596" ht="16.5" customHeight="1">
      <c r="O47596" s="5" t="s">
        <v>355</v>
      </c>
      <c r="P47596" s="5" t="s">
        <v>355</v>
      </c>
      <c r="Q47596" s="5" t="s">
        <v>355</v>
      </c>
    </row>
    <row r="47597" ht="16.5" customHeight="1">
      <c r="O47597" s="5" t="s">
        <v>355</v>
      </c>
      <c r="P47597" s="5" t="s">
        <v>355</v>
      </c>
      <c r="Q47597" s="5" t="s">
        <v>355</v>
      </c>
    </row>
    <row r="47598" ht="16.5" customHeight="1">
      <c r="O47598" s="5" t="s">
        <v>355</v>
      </c>
      <c r="P47598" s="5" t="s">
        <v>355</v>
      </c>
      <c r="Q47598" s="5" t="s">
        <v>355</v>
      </c>
    </row>
    <row r="47599" ht="16.5" customHeight="1">
      <c r="O47599" s="5" t="s">
        <v>355</v>
      </c>
      <c r="P47599" s="5" t="s">
        <v>355</v>
      </c>
      <c r="Q47599" s="5" t="s">
        <v>355</v>
      </c>
    </row>
    <row r="47600" ht="16.5" customHeight="1">
      <c r="O47600" s="5" t="s">
        <v>355</v>
      </c>
      <c r="P47600" s="5" t="s">
        <v>355</v>
      </c>
      <c r="Q47600" s="5" t="s">
        <v>355</v>
      </c>
    </row>
    <row r="47601" ht="16.5" customHeight="1">
      <c r="O47601" s="5" t="s">
        <v>355</v>
      </c>
      <c r="P47601" s="5" t="s">
        <v>355</v>
      </c>
      <c r="Q47601" s="5" t="s">
        <v>355</v>
      </c>
    </row>
    <row r="47602" ht="16.5" customHeight="1">
      <c r="O47602" s="5" t="s">
        <v>355</v>
      </c>
      <c r="P47602" s="5" t="s">
        <v>355</v>
      </c>
      <c r="Q47602" s="5" t="s">
        <v>355</v>
      </c>
    </row>
    <row r="47603" ht="16.5" customHeight="1">
      <c r="O47603" s="5" t="s">
        <v>355</v>
      </c>
      <c r="P47603" s="5" t="s">
        <v>355</v>
      </c>
      <c r="Q47603" s="5" t="s">
        <v>355</v>
      </c>
    </row>
    <row r="47604" ht="16.5" customHeight="1">
      <c r="O47604" s="5" t="s">
        <v>355</v>
      </c>
      <c r="P47604" s="5" t="s">
        <v>355</v>
      </c>
      <c r="Q47604" s="5" t="s">
        <v>355</v>
      </c>
    </row>
    <row r="47605" ht="16.5" customHeight="1">
      <c r="O47605" s="5" t="s">
        <v>355</v>
      </c>
      <c r="P47605" s="5" t="s">
        <v>355</v>
      </c>
      <c r="Q47605" s="5" t="s">
        <v>355</v>
      </c>
    </row>
    <row r="47606" ht="16.5" customHeight="1">
      <c r="O47606" s="5" t="s">
        <v>355</v>
      </c>
      <c r="P47606" s="5" t="s">
        <v>355</v>
      </c>
      <c r="Q47606" s="5" t="s">
        <v>355</v>
      </c>
    </row>
    <row r="47607" ht="16.5" customHeight="1">
      <c r="O47607" s="5" t="s">
        <v>355</v>
      </c>
      <c r="P47607" s="5" t="s">
        <v>355</v>
      </c>
      <c r="Q47607" s="5" t="s">
        <v>355</v>
      </c>
    </row>
    <row r="47608" ht="16.5" customHeight="1">
      <c r="O47608" s="5" t="s">
        <v>355</v>
      </c>
      <c r="P47608" s="5" t="s">
        <v>355</v>
      </c>
      <c r="Q47608" s="5" t="s">
        <v>355</v>
      </c>
    </row>
    <row r="47609" ht="16.5" customHeight="1">
      <c r="O47609" s="5" t="s">
        <v>355</v>
      </c>
      <c r="P47609" s="5" t="s">
        <v>355</v>
      </c>
      <c r="Q47609" s="5" t="s">
        <v>355</v>
      </c>
    </row>
    <row r="47610" ht="16.5" customHeight="1">
      <c r="O47610" s="5" t="s">
        <v>355</v>
      </c>
      <c r="P47610" s="5" t="s">
        <v>355</v>
      </c>
      <c r="Q47610" s="5" t="s">
        <v>355</v>
      </c>
    </row>
    <row r="47611" ht="16.5" customHeight="1">
      <c r="O47611" s="5" t="s">
        <v>355</v>
      </c>
      <c r="P47611" s="5" t="s">
        <v>355</v>
      </c>
      <c r="Q47611" s="5" t="s">
        <v>355</v>
      </c>
    </row>
    <row r="47612" ht="16.5" customHeight="1">
      <c r="O47612" s="5" t="s">
        <v>355</v>
      </c>
      <c r="P47612" s="5" t="s">
        <v>355</v>
      </c>
      <c r="Q47612" s="5" t="s">
        <v>355</v>
      </c>
    </row>
    <row r="47613" ht="16.5" customHeight="1">
      <c r="O47613" s="5" t="s">
        <v>355</v>
      </c>
      <c r="P47613" s="5" t="s">
        <v>355</v>
      </c>
      <c r="Q47613" s="5" t="s">
        <v>355</v>
      </c>
    </row>
    <row r="47614" ht="16.5" customHeight="1">
      <c r="O47614" s="5" t="s">
        <v>355</v>
      </c>
      <c r="P47614" s="5" t="s">
        <v>355</v>
      </c>
      <c r="Q47614" s="5" t="s">
        <v>355</v>
      </c>
    </row>
    <row r="47615" ht="16.5" customHeight="1">
      <c r="O47615" s="5" t="s">
        <v>355</v>
      </c>
      <c r="P47615" s="5" t="s">
        <v>355</v>
      </c>
      <c r="Q47615" s="5" t="s">
        <v>355</v>
      </c>
    </row>
    <row r="47616" ht="16.5" customHeight="1">
      <c r="O47616" s="5" t="s">
        <v>355</v>
      </c>
      <c r="P47616" s="5" t="s">
        <v>355</v>
      </c>
      <c r="Q47616" s="5" t="s">
        <v>355</v>
      </c>
    </row>
    <row r="47617" ht="16.5" customHeight="1">
      <c r="O47617" s="5" t="s">
        <v>355</v>
      </c>
      <c r="P47617" s="5" t="s">
        <v>355</v>
      </c>
      <c r="Q47617" s="5" t="s">
        <v>355</v>
      </c>
    </row>
    <row r="47618" ht="16.5" customHeight="1">
      <c r="O47618" s="5" t="s">
        <v>355</v>
      </c>
      <c r="P47618" s="5" t="s">
        <v>355</v>
      </c>
      <c r="Q47618" s="5" t="s">
        <v>355</v>
      </c>
    </row>
    <row r="47619" ht="16.5" customHeight="1">
      <c r="O47619" s="5" t="s">
        <v>355</v>
      </c>
      <c r="P47619" s="5" t="s">
        <v>355</v>
      </c>
      <c r="Q47619" s="5" t="s">
        <v>355</v>
      </c>
    </row>
    <row r="47620" ht="16.5" customHeight="1">
      <c r="O47620" s="5" t="s">
        <v>355</v>
      </c>
      <c r="P47620" s="5" t="s">
        <v>355</v>
      </c>
      <c r="Q47620" s="5" t="s">
        <v>355</v>
      </c>
    </row>
    <row r="47621" ht="16.5" customHeight="1">
      <c r="O47621" s="5" t="s">
        <v>355</v>
      </c>
      <c r="P47621" s="5" t="s">
        <v>355</v>
      </c>
      <c r="Q47621" s="5" t="s">
        <v>355</v>
      </c>
    </row>
    <row r="47622" ht="16.5" customHeight="1">
      <c r="O47622" s="5" t="s">
        <v>355</v>
      </c>
      <c r="P47622" s="5" t="s">
        <v>355</v>
      </c>
      <c r="Q47622" s="5" t="s">
        <v>355</v>
      </c>
    </row>
    <row r="47623" ht="16.5" customHeight="1">
      <c r="O47623" s="5" t="s">
        <v>355</v>
      </c>
      <c r="P47623" s="5" t="s">
        <v>355</v>
      </c>
      <c r="Q47623" s="5" t="s">
        <v>355</v>
      </c>
    </row>
    <row r="47624" ht="16.5" customHeight="1">
      <c r="O47624" s="5" t="s">
        <v>355</v>
      </c>
      <c r="P47624" s="5" t="s">
        <v>355</v>
      </c>
      <c r="Q47624" s="5" t="s">
        <v>355</v>
      </c>
    </row>
    <row r="47625" ht="16.5" customHeight="1">
      <c r="O47625" s="5" t="s">
        <v>355</v>
      </c>
      <c r="P47625" s="5" t="s">
        <v>355</v>
      </c>
      <c r="Q47625" s="5" t="s">
        <v>355</v>
      </c>
    </row>
    <row r="47626" ht="16.5" customHeight="1">
      <c r="O47626" s="5" t="s">
        <v>355</v>
      </c>
      <c r="P47626" s="5" t="s">
        <v>355</v>
      </c>
      <c r="Q47626" s="5" t="s">
        <v>355</v>
      </c>
    </row>
    <row r="47627" ht="16.5" customHeight="1">
      <c r="O47627" s="5" t="s">
        <v>355</v>
      </c>
      <c r="P47627" s="5" t="s">
        <v>355</v>
      </c>
      <c r="Q47627" s="5" t="s">
        <v>355</v>
      </c>
    </row>
    <row r="47628" ht="16.5" customHeight="1">
      <c r="O47628" s="5" t="s">
        <v>355</v>
      </c>
      <c r="P47628" s="5" t="s">
        <v>355</v>
      </c>
      <c r="Q47628" s="5" t="s">
        <v>355</v>
      </c>
    </row>
    <row r="47629" ht="16.5" customHeight="1">
      <c r="O47629" s="5" t="s">
        <v>355</v>
      </c>
      <c r="P47629" s="5" t="s">
        <v>355</v>
      </c>
      <c r="Q47629" s="5" t="s">
        <v>355</v>
      </c>
    </row>
    <row r="47630" ht="16.5" customHeight="1">
      <c r="O47630" s="5" t="s">
        <v>355</v>
      </c>
      <c r="P47630" s="5" t="s">
        <v>355</v>
      </c>
      <c r="Q47630" s="5" t="s">
        <v>355</v>
      </c>
    </row>
    <row r="47631" ht="16.5" customHeight="1">
      <c r="O47631" s="5" t="s">
        <v>355</v>
      </c>
      <c r="P47631" s="5" t="s">
        <v>355</v>
      </c>
      <c r="Q47631" s="5" t="s">
        <v>355</v>
      </c>
    </row>
    <row r="47632" ht="16.5" customHeight="1">
      <c r="O47632" s="5" t="s">
        <v>355</v>
      </c>
      <c r="P47632" s="5" t="s">
        <v>355</v>
      </c>
      <c r="Q47632" s="5" t="s">
        <v>355</v>
      </c>
    </row>
    <row r="47633" ht="16.5" customHeight="1">
      <c r="O47633" s="5" t="s">
        <v>355</v>
      </c>
      <c r="P47633" s="5" t="s">
        <v>355</v>
      </c>
      <c r="Q47633" s="5" t="s">
        <v>355</v>
      </c>
    </row>
    <row r="47634" ht="16.5" customHeight="1">
      <c r="O47634" s="5" t="s">
        <v>355</v>
      </c>
      <c r="P47634" s="5" t="s">
        <v>355</v>
      </c>
      <c r="Q47634" s="5" t="s">
        <v>355</v>
      </c>
    </row>
    <row r="47635" ht="16.5" customHeight="1">
      <c r="O47635" s="5" t="s">
        <v>355</v>
      </c>
      <c r="P47635" s="5" t="s">
        <v>355</v>
      </c>
      <c r="Q47635" s="5" t="s">
        <v>355</v>
      </c>
    </row>
    <row r="47636" ht="16.5" customHeight="1">
      <c r="O47636" s="5" t="s">
        <v>355</v>
      </c>
      <c r="P47636" s="5" t="s">
        <v>355</v>
      </c>
      <c r="Q47636" s="5" t="s">
        <v>355</v>
      </c>
    </row>
    <row r="47637" ht="16.5" customHeight="1">
      <c r="O47637" s="5" t="s">
        <v>355</v>
      </c>
      <c r="P47637" s="5" t="s">
        <v>355</v>
      </c>
      <c r="Q47637" s="5" t="s">
        <v>355</v>
      </c>
    </row>
    <row r="47638" ht="16.5" customHeight="1">
      <c r="O47638" s="5" t="s">
        <v>355</v>
      </c>
      <c r="P47638" s="5" t="s">
        <v>355</v>
      </c>
      <c r="Q47638" s="5" t="s">
        <v>355</v>
      </c>
    </row>
    <row r="47639" ht="16.5" customHeight="1">
      <c r="O47639" s="5" t="s">
        <v>355</v>
      </c>
      <c r="P47639" s="5" t="s">
        <v>355</v>
      </c>
      <c r="Q47639" s="5" t="s">
        <v>355</v>
      </c>
    </row>
    <row r="47640" ht="16.5" customHeight="1">
      <c r="O47640" s="5" t="s">
        <v>355</v>
      </c>
      <c r="P47640" s="5" t="s">
        <v>355</v>
      </c>
      <c r="Q47640" s="5" t="s">
        <v>355</v>
      </c>
    </row>
    <row r="47641" ht="16.5" customHeight="1">
      <c r="O47641" s="5" t="s">
        <v>355</v>
      </c>
      <c r="P47641" s="5" t="s">
        <v>355</v>
      </c>
      <c r="Q47641" s="5" t="s">
        <v>355</v>
      </c>
    </row>
    <row r="47642" ht="16.5" customHeight="1">
      <c r="O47642" s="5" t="s">
        <v>355</v>
      </c>
      <c r="P47642" s="5" t="s">
        <v>355</v>
      </c>
      <c r="Q47642" s="5" t="s">
        <v>355</v>
      </c>
    </row>
    <row r="47643" ht="16.5" customHeight="1">
      <c r="O47643" s="5" t="s">
        <v>355</v>
      </c>
      <c r="P47643" s="5" t="s">
        <v>355</v>
      </c>
      <c r="Q47643" s="5" t="s">
        <v>355</v>
      </c>
    </row>
    <row r="47644" ht="16.5" customHeight="1">
      <c r="O47644" s="5" t="s">
        <v>355</v>
      </c>
      <c r="P47644" s="5" t="s">
        <v>355</v>
      </c>
      <c r="Q47644" s="5" t="s">
        <v>355</v>
      </c>
    </row>
    <row r="47645" ht="16.5" customHeight="1">
      <c r="O47645" s="5" t="s">
        <v>355</v>
      </c>
      <c r="P47645" s="5" t="s">
        <v>355</v>
      </c>
      <c r="Q47645" s="5" t="s">
        <v>355</v>
      </c>
    </row>
    <row r="47646" ht="16.5" customHeight="1">
      <c r="O47646" s="5" t="s">
        <v>355</v>
      </c>
      <c r="P47646" s="5" t="s">
        <v>355</v>
      </c>
      <c r="Q47646" s="5" t="s">
        <v>355</v>
      </c>
    </row>
    <row r="47647" ht="16.5" customHeight="1">
      <c r="O47647" s="5" t="s">
        <v>355</v>
      </c>
      <c r="P47647" s="5" t="s">
        <v>355</v>
      </c>
      <c r="Q47647" s="5" t="s">
        <v>355</v>
      </c>
    </row>
    <row r="47648" ht="16.5" customHeight="1">
      <c r="O47648" s="5" t="s">
        <v>355</v>
      </c>
      <c r="P47648" s="5" t="s">
        <v>355</v>
      </c>
      <c r="Q47648" s="5" t="s">
        <v>355</v>
      </c>
    </row>
    <row r="47649" ht="16.5" customHeight="1">
      <c r="O47649" s="5" t="s">
        <v>355</v>
      </c>
      <c r="P47649" s="5" t="s">
        <v>355</v>
      </c>
      <c r="Q47649" s="5" t="s">
        <v>355</v>
      </c>
    </row>
    <row r="47650" ht="16.5" customHeight="1">
      <c r="O47650" s="5" t="s">
        <v>355</v>
      </c>
      <c r="P47650" s="5" t="s">
        <v>355</v>
      </c>
      <c r="Q47650" s="5" t="s">
        <v>355</v>
      </c>
    </row>
    <row r="47651" ht="16.5" customHeight="1">
      <c r="O47651" s="5" t="s">
        <v>355</v>
      </c>
      <c r="P47651" s="5" t="s">
        <v>355</v>
      </c>
      <c r="Q47651" s="5" t="s">
        <v>355</v>
      </c>
    </row>
    <row r="47652" ht="16.5" customHeight="1">
      <c r="O47652" s="5" t="s">
        <v>355</v>
      </c>
      <c r="P47652" s="5" t="s">
        <v>355</v>
      </c>
      <c r="Q47652" s="5" t="s">
        <v>355</v>
      </c>
    </row>
    <row r="47653" ht="16.5" customHeight="1">
      <c r="O47653" s="5" t="s">
        <v>355</v>
      </c>
      <c r="P47653" s="5" t="s">
        <v>355</v>
      </c>
      <c r="Q47653" s="5" t="s">
        <v>355</v>
      </c>
    </row>
    <row r="47654" ht="16.5" customHeight="1">
      <c r="O47654" s="5" t="s">
        <v>355</v>
      </c>
      <c r="P47654" s="5" t="s">
        <v>355</v>
      </c>
      <c r="Q47654" s="5" t="s">
        <v>355</v>
      </c>
    </row>
    <row r="47655" ht="16.5" customHeight="1">
      <c r="O47655" s="5" t="s">
        <v>355</v>
      </c>
      <c r="P47655" s="5" t="s">
        <v>355</v>
      </c>
      <c r="Q47655" s="5" t="s">
        <v>355</v>
      </c>
    </row>
    <row r="47656" ht="16.5" customHeight="1">
      <c r="O47656" s="5" t="s">
        <v>355</v>
      </c>
      <c r="P47656" s="5" t="s">
        <v>355</v>
      </c>
      <c r="Q47656" s="5" t="s">
        <v>355</v>
      </c>
    </row>
    <row r="47657" ht="16.5" customHeight="1">
      <c r="O47657" s="5" t="s">
        <v>355</v>
      </c>
      <c r="P47657" s="5" t="s">
        <v>355</v>
      </c>
      <c r="Q47657" s="5" t="s">
        <v>355</v>
      </c>
    </row>
    <row r="47658" ht="16.5" customHeight="1">
      <c r="O47658" s="5" t="s">
        <v>355</v>
      </c>
      <c r="P47658" s="5" t="s">
        <v>355</v>
      </c>
      <c r="Q47658" s="5" t="s">
        <v>355</v>
      </c>
    </row>
    <row r="47659" ht="16.5" customHeight="1">
      <c r="O47659" s="5" t="s">
        <v>355</v>
      </c>
      <c r="P47659" s="5" t="s">
        <v>355</v>
      </c>
      <c r="Q47659" s="5" t="s">
        <v>355</v>
      </c>
    </row>
    <row r="47660" ht="16.5" customHeight="1">
      <c r="O47660" s="5" t="s">
        <v>355</v>
      </c>
      <c r="P47660" s="5" t="s">
        <v>355</v>
      </c>
      <c r="Q47660" s="5" t="s">
        <v>355</v>
      </c>
    </row>
    <row r="47661" ht="16.5" customHeight="1">
      <c r="O47661" s="5" t="s">
        <v>355</v>
      </c>
      <c r="P47661" s="5" t="s">
        <v>355</v>
      </c>
      <c r="Q47661" s="5" t="s">
        <v>355</v>
      </c>
    </row>
    <row r="47662" ht="16.5" customHeight="1">
      <c r="O47662" s="5" t="s">
        <v>355</v>
      </c>
      <c r="P47662" s="5" t="s">
        <v>355</v>
      </c>
      <c r="Q47662" s="5" t="s">
        <v>355</v>
      </c>
    </row>
    <row r="47663" ht="16.5" customHeight="1">
      <c r="O47663" s="5" t="s">
        <v>355</v>
      </c>
      <c r="P47663" s="5" t="s">
        <v>355</v>
      </c>
      <c r="Q47663" s="5" t="s">
        <v>355</v>
      </c>
    </row>
    <row r="47664" ht="16.5" customHeight="1">
      <c r="O47664" s="5" t="s">
        <v>355</v>
      </c>
      <c r="P47664" s="5" t="s">
        <v>355</v>
      </c>
      <c r="Q47664" s="5" t="s">
        <v>355</v>
      </c>
    </row>
    <row r="47665" ht="16.5" customHeight="1">
      <c r="O47665" s="5" t="s">
        <v>355</v>
      </c>
      <c r="P47665" s="5" t="s">
        <v>355</v>
      </c>
      <c r="Q47665" s="5" t="s">
        <v>355</v>
      </c>
    </row>
    <row r="47666" ht="16.5" customHeight="1">
      <c r="O47666" s="5" t="s">
        <v>355</v>
      </c>
      <c r="P47666" s="5" t="s">
        <v>355</v>
      </c>
      <c r="Q47666" s="5" t="s">
        <v>355</v>
      </c>
    </row>
    <row r="47667" ht="16.5" customHeight="1">
      <c r="O47667" s="5" t="s">
        <v>355</v>
      </c>
      <c r="P47667" s="5" t="s">
        <v>355</v>
      </c>
      <c r="Q47667" s="5" t="s">
        <v>355</v>
      </c>
    </row>
    <row r="47668" ht="16.5" customHeight="1">
      <c r="O47668" s="5" t="s">
        <v>355</v>
      </c>
      <c r="P47668" s="5" t="s">
        <v>355</v>
      </c>
      <c r="Q47668" s="5" t="s">
        <v>355</v>
      </c>
    </row>
    <row r="47669" ht="16.5" customHeight="1">
      <c r="O47669" s="5" t="s">
        <v>355</v>
      </c>
      <c r="P47669" s="5" t="s">
        <v>355</v>
      </c>
      <c r="Q47669" s="5" t="s">
        <v>355</v>
      </c>
    </row>
    <row r="47670" ht="16.5" customHeight="1">
      <c r="O47670" s="5" t="s">
        <v>355</v>
      </c>
      <c r="P47670" s="5" t="s">
        <v>355</v>
      </c>
      <c r="Q47670" s="5" t="s">
        <v>355</v>
      </c>
    </row>
    <row r="47671" ht="16.5" customHeight="1">
      <c r="O47671" s="5" t="s">
        <v>355</v>
      </c>
      <c r="P47671" s="5" t="s">
        <v>355</v>
      </c>
      <c r="Q47671" s="5" t="s">
        <v>355</v>
      </c>
    </row>
    <row r="47672" ht="16.5" customHeight="1">
      <c r="O47672" s="5" t="s">
        <v>355</v>
      </c>
      <c r="P47672" s="5" t="s">
        <v>355</v>
      </c>
      <c r="Q47672" s="5" t="s">
        <v>355</v>
      </c>
    </row>
    <row r="47673" ht="16.5" customHeight="1">
      <c r="O47673" s="5" t="s">
        <v>355</v>
      </c>
      <c r="P47673" s="5" t="s">
        <v>355</v>
      </c>
      <c r="Q47673" s="5" t="s">
        <v>355</v>
      </c>
    </row>
    <row r="47674" ht="16.5" customHeight="1">
      <c r="O47674" s="5" t="s">
        <v>355</v>
      </c>
      <c r="P47674" s="5" t="s">
        <v>355</v>
      </c>
      <c r="Q47674" s="5" t="s">
        <v>355</v>
      </c>
    </row>
    <row r="47675" ht="16.5" customHeight="1">
      <c r="O47675" s="5" t="s">
        <v>355</v>
      </c>
      <c r="P47675" s="5" t="s">
        <v>355</v>
      </c>
      <c r="Q47675" s="5" t="s">
        <v>355</v>
      </c>
    </row>
    <row r="47676" ht="16.5" customHeight="1">
      <c r="O47676" s="5" t="s">
        <v>355</v>
      </c>
      <c r="P47676" s="5" t="s">
        <v>355</v>
      </c>
      <c r="Q47676" s="5" t="s">
        <v>355</v>
      </c>
    </row>
    <row r="47677" ht="16.5" customHeight="1">
      <c r="O47677" s="5" t="s">
        <v>355</v>
      </c>
      <c r="P47677" s="5" t="s">
        <v>355</v>
      </c>
      <c r="Q47677" s="5" t="s">
        <v>355</v>
      </c>
    </row>
    <row r="47678" ht="16.5" customHeight="1">
      <c r="O47678" s="5" t="s">
        <v>355</v>
      </c>
      <c r="P47678" s="5" t="s">
        <v>355</v>
      </c>
      <c r="Q47678" s="5" t="s">
        <v>355</v>
      </c>
    </row>
    <row r="47679" ht="16.5" customHeight="1">
      <c r="O47679" s="5" t="s">
        <v>355</v>
      </c>
      <c r="P47679" s="5" t="s">
        <v>355</v>
      </c>
      <c r="Q47679" s="5" t="s">
        <v>355</v>
      </c>
    </row>
    <row r="47680" ht="16.5" customHeight="1">
      <c r="O47680" s="5" t="s">
        <v>355</v>
      </c>
      <c r="P47680" s="5" t="s">
        <v>355</v>
      </c>
      <c r="Q47680" s="5" t="s">
        <v>355</v>
      </c>
    </row>
    <row r="47681" ht="16.5" customHeight="1">
      <c r="O47681" s="5" t="s">
        <v>355</v>
      </c>
      <c r="P47681" s="5" t="s">
        <v>355</v>
      </c>
      <c r="Q47681" s="5" t="s">
        <v>355</v>
      </c>
    </row>
    <row r="47682" ht="16.5" customHeight="1">
      <c r="O47682" s="5" t="s">
        <v>355</v>
      </c>
      <c r="P47682" s="5" t="s">
        <v>355</v>
      </c>
      <c r="Q47682" s="5" t="s">
        <v>355</v>
      </c>
    </row>
    <row r="47683" ht="16.5" customHeight="1">
      <c r="O47683" s="5" t="s">
        <v>355</v>
      </c>
      <c r="P47683" s="5" t="s">
        <v>355</v>
      </c>
      <c r="Q47683" s="5" t="s">
        <v>355</v>
      </c>
    </row>
    <row r="47684" ht="16.5" customHeight="1">
      <c r="O47684" s="5" t="s">
        <v>355</v>
      </c>
      <c r="P47684" s="5" t="s">
        <v>355</v>
      </c>
      <c r="Q47684" s="5" t="s">
        <v>355</v>
      </c>
    </row>
    <row r="47685" ht="16.5" customHeight="1">
      <c r="O47685" s="5" t="s">
        <v>355</v>
      </c>
      <c r="P47685" s="5" t="s">
        <v>355</v>
      </c>
      <c r="Q47685" s="5" t="s">
        <v>355</v>
      </c>
    </row>
    <row r="47686" ht="16.5" customHeight="1">
      <c r="O47686" s="5" t="s">
        <v>355</v>
      </c>
      <c r="P47686" s="5" t="s">
        <v>355</v>
      </c>
      <c r="Q47686" s="5" t="s">
        <v>355</v>
      </c>
    </row>
    <row r="47687" ht="16.5" customHeight="1">
      <c r="O47687" s="5" t="s">
        <v>355</v>
      </c>
      <c r="P47687" s="5" t="s">
        <v>355</v>
      </c>
      <c r="Q47687" s="5" t="s">
        <v>355</v>
      </c>
    </row>
    <row r="47688" ht="16.5" customHeight="1">
      <c r="O47688" s="5" t="s">
        <v>355</v>
      </c>
      <c r="P47688" s="5" t="s">
        <v>355</v>
      </c>
      <c r="Q47688" s="5" t="s">
        <v>355</v>
      </c>
    </row>
    <row r="47689" ht="16.5" customHeight="1">
      <c r="O47689" s="5" t="s">
        <v>355</v>
      </c>
      <c r="P47689" s="5" t="s">
        <v>355</v>
      </c>
      <c r="Q47689" s="5" t="s">
        <v>355</v>
      </c>
    </row>
    <row r="47690" ht="16.5" customHeight="1">
      <c r="O47690" s="5" t="s">
        <v>355</v>
      </c>
      <c r="P47690" s="5" t="s">
        <v>355</v>
      </c>
      <c r="Q47690" s="5" t="s">
        <v>355</v>
      </c>
    </row>
    <row r="47691" ht="16.5" customHeight="1">
      <c r="O47691" s="5" t="s">
        <v>355</v>
      </c>
      <c r="P47691" s="5" t="s">
        <v>355</v>
      </c>
      <c r="Q47691" s="5" t="s">
        <v>355</v>
      </c>
    </row>
    <row r="47692" ht="16.5" customHeight="1">
      <c r="O47692" s="5" t="s">
        <v>355</v>
      </c>
      <c r="P47692" s="5" t="s">
        <v>355</v>
      </c>
      <c r="Q47692" s="5" t="s">
        <v>355</v>
      </c>
    </row>
    <row r="47693" ht="16.5" customHeight="1">
      <c r="O47693" s="5" t="s">
        <v>355</v>
      </c>
      <c r="P47693" s="5" t="s">
        <v>355</v>
      </c>
      <c r="Q47693" s="5" t="s">
        <v>355</v>
      </c>
    </row>
    <row r="47694" ht="16.5" customHeight="1">
      <c r="O47694" s="5" t="s">
        <v>355</v>
      </c>
      <c r="P47694" s="5" t="s">
        <v>355</v>
      </c>
      <c r="Q47694" s="5" t="s">
        <v>355</v>
      </c>
    </row>
    <row r="47695" ht="16.5" customHeight="1">
      <c r="O47695" s="5" t="s">
        <v>355</v>
      </c>
      <c r="P47695" s="5" t="s">
        <v>355</v>
      </c>
      <c r="Q47695" s="5" t="s">
        <v>355</v>
      </c>
    </row>
    <row r="47696" ht="16.5" customHeight="1">
      <c r="O47696" s="5" t="s">
        <v>355</v>
      </c>
      <c r="P47696" s="5" t="s">
        <v>355</v>
      </c>
      <c r="Q47696" s="5" t="s">
        <v>355</v>
      </c>
    </row>
    <row r="47697" ht="16.5" customHeight="1">
      <c r="O47697" s="5" t="s">
        <v>355</v>
      </c>
      <c r="P47697" s="5" t="s">
        <v>355</v>
      </c>
      <c r="Q47697" s="5" t="s">
        <v>355</v>
      </c>
    </row>
    <row r="47698" ht="16.5" customHeight="1">
      <c r="O47698" s="5" t="s">
        <v>355</v>
      </c>
      <c r="P47698" s="5" t="s">
        <v>355</v>
      </c>
      <c r="Q47698" s="5" t="s">
        <v>355</v>
      </c>
    </row>
    <row r="47699" ht="16.5" customHeight="1">
      <c r="O47699" s="5" t="s">
        <v>355</v>
      </c>
      <c r="P47699" s="5" t="s">
        <v>355</v>
      </c>
      <c r="Q47699" s="5" t="s">
        <v>355</v>
      </c>
    </row>
    <row r="47700" ht="16.5" customHeight="1">
      <c r="O47700" s="5" t="s">
        <v>355</v>
      </c>
      <c r="P47700" s="5" t="s">
        <v>355</v>
      </c>
      <c r="Q47700" s="5" t="s">
        <v>355</v>
      </c>
    </row>
    <row r="47701" ht="16.5" customHeight="1">
      <c r="O47701" s="5" t="s">
        <v>355</v>
      </c>
      <c r="P47701" s="5" t="s">
        <v>355</v>
      </c>
      <c r="Q47701" s="5" t="s">
        <v>355</v>
      </c>
    </row>
    <row r="47702" ht="16.5" customHeight="1">
      <c r="O47702" s="5" t="s">
        <v>355</v>
      </c>
      <c r="P47702" s="5" t="s">
        <v>355</v>
      </c>
      <c r="Q47702" s="5" t="s">
        <v>355</v>
      </c>
    </row>
    <row r="47703" ht="16.5" customHeight="1">
      <c r="O47703" s="5" t="s">
        <v>355</v>
      </c>
      <c r="P47703" s="5" t="s">
        <v>355</v>
      </c>
      <c r="Q47703" s="5" t="s">
        <v>355</v>
      </c>
    </row>
    <row r="47704" ht="16.5" customHeight="1">
      <c r="O47704" s="5" t="s">
        <v>355</v>
      </c>
      <c r="P47704" s="5" t="s">
        <v>355</v>
      </c>
      <c r="Q47704" s="5" t="s">
        <v>355</v>
      </c>
    </row>
    <row r="47705" ht="16.5" customHeight="1">
      <c r="O47705" s="5" t="s">
        <v>355</v>
      </c>
      <c r="P47705" s="5" t="s">
        <v>355</v>
      </c>
      <c r="Q47705" s="5" t="s">
        <v>355</v>
      </c>
    </row>
    <row r="47706" ht="16.5" customHeight="1">
      <c r="O47706" s="5" t="s">
        <v>355</v>
      </c>
      <c r="P47706" s="5" t="s">
        <v>355</v>
      </c>
      <c r="Q47706" s="5" t="s">
        <v>355</v>
      </c>
    </row>
    <row r="47707" ht="16.5" customHeight="1">
      <c r="O47707" s="5" t="s">
        <v>355</v>
      </c>
      <c r="P47707" s="5" t="s">
        <v>355</v>
      </c>
      <c r="Q47707" s="5" t="s">
        <v>355</v>
      </c>
    </row>
    <row r="47708" ht="16.5" customHeight="1">
      <c r="O47708" s="5" t="s">
        <v>355</v>
      </c>
      <c r="P47708" s="5" t="s">
        <v>355</v>
      </c>
      <c r="Q47708" s="5" t="s">
        <v>355</v>
      </c>
    </row>
    <row r="47709" ht="16.5" customHeight="1">
      <c r="O47709" s="5" t="s">
        <v>355</v>
      </c>
      <c r="P47709" s="5" t="s">
        <v>355</v>
      </c>
      <c r="Q47709" s="5" t="s">
        <v>355</v>
      </c>
    </row>
    <row r="47710" ht="16.5" customHeight="1">
      <c r="O47710" s="5" t="s">
        <v>355</v>
      </c>
      <c r="P47710" s="5" t="s">
        <v>355</v>
      </c>
      <c r="Q47710" s="5" t="s">
        <v>355</v>
      </c>
    </row>
    <row r="47711" ht="16.5" customHeight="1">
      <c r="O47711" s="5" t="s">
        <v>355</v>
      </c>
      <c r="P47711" s="5" t="s">
        <v>355</v>
      </c>
      <c r="Q47711" s="5" t="s">
        <v>355</v>
      </c>
    </row>
    <row r="47712" ht="16.5" customHeight="1">
      <c r="O47712" s="5" t="s">
        <v>355</v>
      </c>
      <c r="P47712" s="5" t="s">
        <v>355</v>
      </c>
      <c r="Q47712" s="5" t="s">
        <v>355</v>
      </c>
    </row>
    <row r="47713" ht="16.5" customHeight="1">
      <c r="O47713" s="5" t="s">
        <v>355</v>
      </c>
      <c r="P47713" s="5" t="s">
        <v>355</v>
      </c>
      <c r="Q47713" s="5" t="s">
        <v>355</v>
      </c>
    </row>
    <row r="47714" ht="16.5" customHeight="1">
      <c r="O47714" s="5" t="s">
        <v>355</v>
      </c>
      <c r="P47714" s="5" t="s">
        <v>355</v>
      </c>
      <c r="Q47714" s="5" t="s">
        <v>355</v>
      </c>
    </row>
    <row r="47715" ht="16.5" customHeight="1">
      <c r="O47715" s="5" t="s">
        <v>355</v>
      </c>
      <c r="P47715" s="5" t="s">
        <v>355</v>
      </c>
      <c r="Q47715" s="5" t="s">
        <v>355</v>
      </c>
    </row>
    <row r="47716" ht="16.5" customHeight="1">
      <c r="O47716" s="5" t="s">
        <v>355</v>
      </c>
      <c r="P47716" s="5" t="s">
        <v>355</v>
      </c>
      <c r="Q47716" s="5" t="s">
        <v>355</v>
      </c>
    </row>
    <row r="47717" ht="16.5" customHeight="1">
      <c r="O47717" s="5" t="s">
        <v>355</v>
      </c>
      <c r="P47717" s="5" t="s">
        <v>355</v>
      </c>
      <c r="Q47717" s="5" t="s">
        <v>355</v>
      </c>
    </row>
    <row r="47718" ht="16.5" customHeight="1">
      <c r="O47718" s="5" t="s">
        <v>355</v>
      </c>
      <c r="P47718" s="5" t="s">
        <v>355</v>
      </c>
      <c r="Q47718" s="5" t="s">
        <v>355</v>
      </c>
    </row>
    <row r="47719" ht="16.5" customHeight="1">
      <c r="O47719" s="5" t="s">
        <v>355</v>
      </c>
      <c r="P47719" s="5" t="s">
        <v>355</v>
      </c>
      <c r="Q47719" s="5" t="s">
        <v>355</v>
      </c>
    </row>
    <row r="47720" ht="16.5" customHeight="1">
      <c r="O47720" s="5" t="s">
        <v>355</v>
      </c>
      <c r="P47720" s="5" t="s">
        <v>355</v>
      </c>
      <c r="Q47720" s="5" t="s">
        <v>355</v>
      </c>
    </row>
    <row r="47721" ht="16.5" customHeight="1">
      <c r="O47721" s="5" t="s">
        <v>355</v>
      </c>
      <c r="P47721" s="5" t="s">
        <v>355</v>
      </c>
      <c r="Q47721" s="5" t="s">
        <v>355</v>
      </c>
    </row>
    <row r="47722" ht="16.5" customHeight="1">
      <c r="O47722" s="5" t="s">
        <v>355</v>
      </c>
      <c r="P47722" s="5" t="s">
        <v>355</v>
      </c>
      <c r="Q47722" s="5" t="s">
        <v>355</v>
      </c>
    </row>
    <row r="47723" ht="16.5" customHeight="1">
      <c r="O47723" s="5" t="s">
        <v>355</v>
      </c>
      <c r="P47723" s="5" t="s">
        <v>355</v>
      </c>
      <c r="Q47723" s="5" t="s">
        <v>355</v>
      </c>
    </row>
    <row r="47724" ht="16.5" customHeight="1">
      <c r="O47724" s="5" t="s">
        <v>355</v>
      </c>
      <c r="P47724" s="5" t="s">
        <v>355</v>
      </c>
      <c r="Q47724" s="5" t="s">
        <v>355</v>
      </c>
    </row>
    <row r="47725" ht="16.5" customHeight="1">
      <c r="O47725" s="5" t="s">
        <v>355</v>
      </c>
      <c r="P47725" s="5" t="s">
        <v>355</v>
      </c>
      <c r="Q47725" s="5" t="s">
        <v>355</v>
      </c>
    </row>
    <row r="47726" ht="16.5" customHeight="1">
      <c r="O47726" s="5" t="s">
        <v>355</v>
      </c>
      <c r="P47726" s="5" t="s">
        <v>355</v>
      </c>
      <c r="Q47726" s="5" t="s">
        <v>355</v>
      </c>
    </row>
    <row r="47727" ht="16.5" customHeight="1">
      <c r="O47727" s="5" t="s">
        <v>355</v>
      </c>
      <c r="P47727" s="5" t="s">
        <v>355</v>
      </c>
      <c r="Q47727" s="5" t="s">
        <v>355</v>
      </c>
    </row>
    <row r="47728" ht="16.5" customHeight="1">
      <c r="O47728" s="5" t="s">
        <v>355</v>
      </c>
      <c r="P47728" s="5" t="s">
        <v>355</v>
      </c>
      <c r="Q47728" s="5" t="s">
        <v>355</v>
      </c>
    </row>
    <row r="47729" ht="16.5" customHeight="1">
      <c r="O47729" s="5" t="s">
        <v>355</v>
      </c>
      <c r="P47729" s="5" t="s">
        <v>355</v>
      </c>
      <c r="Q47729" s="5" t="s">
        <v>355</v>
      </c>
    </row>
    <row r="47730" ht="16.5" customHeight="1">
      <c r="O47730" s="5" t="s">
        <v>355</v>
      </c>
      <c r="P47730" s="5" t="s">
        <v>355</v>
      </c>
      <c r="Q47730" s="5" t="s">
        <v>355</v>
      </c>
    </row>
    <row r="47731" ht="16.5" customHeight="1">
      <c r="O47731" s="5" t="s">
        <v>355</v>
      </c>
      <c r="P47731" s="5" t="s">
        <v>355</v>
      </c>
      <c r="Q47731" s="5" t="s">
        <v>355</v>
      </c>
    </row>
    <row r="47732" ht="16.5" customHeight="1">
      <c r="O47732" s="5" t="s">
        <v>355</v>
      </c>
      <c r="P47732" s="5" t="s">
        <v>355</v>
      </c>
      <c r="Q47732" s="5" t="s">
        <v>355</v>
      </c>
    </row>
    <row r="47733" ht="16.5" customHeight="1">
      <c r="O47733" s="5" t="s">
        <v>355</v>
      </c>
      <c r="P47733" s="5" t="s">
        <v>355</v>
      </c>
      <c r="Q47733" s="5" t="s">
        <v>355</v>
      </c>
    </row>
    <row r="47734" ht="16.5" customHeight="1">
      <c r="O47734" s="5" t="s">
        <v>355</v>
      </c>
      <c r="P47734" s="5" t="s">
        <v>355</v>
      </c>
      <c r="Q47734" s="5" t="s">
        <v>355</v>
      </c>
    </row>
    <row r="47735" ht="16.5" customHeight="1">
      <c r="O47735" s="5" t="s">
        <v>355</v>
      </c>
      <c r="P47735" s="5" t="s">
        <v>355</v>
      </c>
      <c r="Q47735" s="5" t="s">
        <v>355</v>
      </c>
    </row>
    <row r="47736" ht="16.5" customHeight="1">
      <c r="O47736" s="5" t="s">
        <v>355</v>
      </c>
      <c r="P47736" s="5" t="s">
        <v>355</v>
      </c>
      <c r="Q47736" s="5" t="s">
        <v>355</v>
      </c>
    </row>
    <row r="47737" ht="16.5" customHeight="1">
      <c r="O47737" s="5" t="s">
        <v>355</v>
      </c>
      <c r="P47737" s="5" t="s">
        <v>355</v>
      </c>
      <c r="Q47737" s="5" t="s">
        <v>355</v>
      </c>
    </row>
    <row r="47738" ht="16.5" customHeight="1">
      <c r="O47738" s="5" t="s">
        <v>355</v>
      </c>
      <c r="P47738" s="5" t="s">
        <v>355</v>
      </c>
      <c r="Q47738" s="5" t="s">
        <v>355</v>
      </c>
    </row>
    <row r="47739" ht="16.5" customHeight="1">
      <c r="O47739" s="5" t="s">
        <v>355</v>
      </c>
      <c r="P47739" s="5" t="s">
        <v>355</v>
      </c>
      <c r="Q47739" s="5" t="s">
        <v>355</v>
      </c>
    </row>
    <row r="47740" ht="16.5" customHeight="1">
      <c r="O47740" s="5" t="s">
        <v>355</v>
      </c>
      <c r="P47740" s="5" t="s">
        <v>355</v>
      </c>
      <c r="Q47740" s="5" t="s">
        <v>355</v>
      </c>
    </row>
    <row r="47741" ht="16.5" customHeight="1">
      <c r="O47741" s="5" t="s">
        <v>355</v>
      </c>
      <c r="P47741" s="5" t="s">
        <v>355</v>
      </c>
      <c r="Q47741" s="5" t="s">
        <v>355</v>
      </c>
    </row>
    <row r="47742" ht="16.5" customHeight="1">
      <c r="O47742" s="5" t="s">
        <v>355</v>
      </c>
      <c r="P47742" s="5" t="s">
        <v>355</v>
      </c>
      <c r="Q47742" s="5" t="s">
        <v>355</v>
      </c>
    </row>
    <row r="47743" ht="16.5" customHeight="1">
      <c r="O47743" s="5" t="s">
        <v>355</v>
      </c>
      <c r="P47743" s="5" t="s">
        <v>355</v>
      </c>
      <c r="Q47743" s="5" t="s">
        <v>355</v>
      </c>
    </row>
    <row r="47744" ht="16.5" customHeight="1">
      <c r="O47744" s="5" t="s">
        <v>355</v>
      </c>
      <c r="P47744" s="5" t="s">
        <v>355</v>
      </c>
      <c r="Q47744" s="5" t="s">
        <v>355</v>
      </c>
    </row>
    <row r="47745" ht="16.5" customHeight="1">
      <c r="O47745" s="5" t="s">
        <v>355</v>
      </c>
      <c r="P47745" s="5" t="s">
        <v>355</v>
      </c>
      <c r="Q47745" s="5" t="s">
        <v>355</v>
      </c>
    </row>
    <row r="47746" ht="16.5" customHeight="1">
      <c r="O47746" s="5" t="s">
        <v>355</v>
      </c>
      <c r="P47746" s="5" t="s">
        <v>355</v>
      </c>
      <c r="Q47746" s="5" t="s">
        <v>355</v>
      </c>
    </row>
    <row r="47747" ht="16.5" customHeight="1">
      <c r="O47747" s="5" t="s">
        <v>355</v>
      </c>
      <c r="P47747" s="5" t="s">
        <v>355</v>
      </c>
      <c r="Q47747" s="5" t="s">
        <v>355</v>
      </c>
    </row>
    <row r="47748" ht="16.5" customHeight="1">
      <c r="O47748" s="5" t="s">
        <v>355</v>
      </c>
      <c r="P47748" s="5" t="s">
        <v>355</v>
      </c>
      <c r="Q47748" s="5" t="s">
        <v>355</v>
      </c>
    </row>
    <row r="47749" ht="16.5" customHeight="1">
      <c r="O47749" s="5" t="s">
        <v>355</v>
      </c>
      <c r="P47749" s="5" t="s">
        <v>355</v>
      </c>
      <c r="Q47749" s="5" t="s">
        <v>355</v>
      </c>
    </row>
    <row r="47750" ht="16.5" customHeight="1">
      <c r="O47750" s="5" t="s">
        <v>355</v>
      </c>
      <c r="P47750" s="5" t="s">
        <v>355</v>
      </c>
      <c r="Q47750" s="5" t="s">
        <v>355</v>
      </c>
    </row>
    <row r="47751" ht="16.5" customHeight="1">
      <c r="O47751" s="5" t="s">
        <v>355</v>
      </c>
      <c r="P47751" s="5" t="s">
        <v>355</v>
      </c>
      <c r="Q47751" s="5" t="s">
        <v>355</v>
      </c>
    </row>
    <row r="47752" ht="16.5" customHeight="1">
      <c r="O47752" s="5" t="s">
        <v>355</v>
      </c>
      <c r="P47752" s="5" t="s">
        <v>355</v>
      </c>
      <c r="Q47752" s="5" t="s">
        <v>355</v>
      </c>
    </row>
    <row r="47753" ht="16.5" customHeight="1">
      <c r="O47753" s="5" t="s">
        <v>355</v>
      </c>
      <c r="P47753" s="5" t="s">
        <v>355</v>
      </c>
      <c r="Q47753" s="5" t="s">
        <v>355</v>
      </c>
    </row>
    <row r="47754" ht="16.5" customHeight="1">
      <c r="O47754" s="5" t="s">
        <v>355</v>
      </c>
      <c r="P47754" s="5" t="s">
        <v>355</v>
      </c>
      <c r="Q47754" s="5" t="s">
        <v>355</v>
      </c>
    </row>
    <row r="47755" ht="16.5" customHeight="1">
      <c r="O47755" s="5" t="s">
        <v>355</v>
      </c>
      <c r="P47755" s="5" t="s">
        <v>355</v>
      </c>
      <c r="Q47755" s="5" t="s">
        <v>355</v>
      </c>
    </row>
    <row r="47756" ht="16.5" customHeight="1">
      <c r="O47756" s="5" t="s">
        <v>355</v>
      </c>
      <c r="P47756" s="5" t="s">
        <v>355</v>
      </c>
      <c r="Q47756" s="5" t="s">
        <v>355</v>
      </c>
    </row>
    <row r="47757" ht="16.5" customHeight="1">
      <c r="O47757" s="5" t="s">
        <v>355</v>
      </c>
      <c r="P47757" s="5" t="s">
        <v>355</v>
      </c>
      <c r="Q47757" s="5" t="s">
        <v>355</v>
      </c>
    </row>
    <row r="47758" ht="16.5" customHeight="1">
      <c r="O47758" s="5" t="s">
        <v>355</v>
      </c>
      <c r="P47758" s="5" t="s">
        <v>355</v>
      </c>
      <c r="Q47758" s="5" t="s">
        <v>355</v>
      </c>
    </row>
    <row r="47759" ht="16.5" customHeight="1">
      <c r="O47759" s="5" t="s">
        <v>355</v>
      </c>
      <c r="P47759" s="5" t="s">
        <v>355</v>
      </c>
      <c r="Q47759" s="5" t="s">
        <v>355</v>
      </c>
    </row>
    <row r="47760" ht="16.5" customHeight="1">
      <c r="O47760" s="5" t="s">
        <v>355</v>
      </c>
      <c r="P47760" s="5" t="s">
        <v>355</v>
      </c>
      <c r="Q47760" s="5" t="s">
        <v>355</v>
      </c>
    </row>
    <row r="47761" ht="16.5" customHeight="1">
      <c r="O47761" s="5" t="s">
        <v>355</v>
      </c>
      <c r="P47761" s="5" t="s">
        <v>355</v>
      </c>
      <c r="Q47761" s="5" t="s">
        <v>355</v>
      </c>
    </row>
    <row r="47762" ht="16.5" customHeight="1">
      <c r="O47762" s="5" t="s">
        <v>355</v>
      </c>
      <c r="P47762" s="5" t="s">
        <v>355</v>
      </c>
      <c r="Q47762" s="5" t="s">
        <v>355</v>
      </c>
    </row>
    <row r="47763" ht="16.5" customHeight="1">
      <c r="O47763" s="5" t="s">
        <v>355</v>
      </c>
      <c r="P47763" s="5" t="s">
        <v>355</v>
      </c>
      <c r="Q47763" s="5" t="s">
        <v>355</v>
      </c>
    </row>
    <row r="47764" ht="16.5" customHeight="1">
      <c r="O47764" s="5" t="s">
        <v>355</v>
      </c>
      <c r="P47764" s="5" t="s">
        <v>355</v>
      </c>
      <c r="Q47764" s="5" t="s">
        <v>355</v>
      </c>
    </row>
    <row r="47765" ht="16.5" customHeight="1">
      <c r="O47765" s="5" t="s">
        <v>355</v>
      </c>
      <c r="P47765" s="5" t="s">
        <v>355</v>
      </c>
      <c r="Q47765" s="5" t="s">
        <v>355</v>
      </c>
    </row>
    <row r="47766" ht="16.5" customHeight="1">
      <c r="O47766" s="5" t="s">
        <v>355</v>
      </c>
      <c r="P47766" s="5" t="s">
        <v>355</v>
      </c>
      <c r="Q47766" s="5" t="s">
        <v>355</v>
      </c>
    </row>
    <row r="47767" ht="16.5" customHeight="1">
      <c r="O47767" s="5" t="s">
        <v>355</v>
      </c>
      <c r="P47767" s="5" t="s">
        <v>355</v>
      </c>
      <c r="Q47767" s="5" t="s">
        <v>355</v>
      </c>
    </row>
    <row r="47768" ht="16.5" customHeight="1">
      <c r="O47768" s="5" t="s">
        <v>355</v>
      </c>
      <c r="P47768" s="5" t="s">
        <v>355</v>
      </c>
      <c r="Q47768" s="5" t="s">
        <v>355</v>
      </c>
    </row>
    <row r="47769" ht="16.5" customHeight="1">
      <c r="O47769" s="5" t="s">
        <v>355</v>
      </c>
      <c r="P47769" s="5" t="s">
        <v>355</v>
      </c>
      <c r="Q47769" s="5" t="s">
        <v>355</v>
      </c>
    </row>
    <row r="47770" ht="16.5" customHeight="1">
      <c r="O47770" s="5" t="s">
        <v>355</v>
      </c>
      <c r="P47770" s="5" t="s">
        <v>355</v>
      </c>
      <c r="Q47770" s="5" t="s">
        <v>355</v>
      </c>
    </row>
    <row r="47771" ht="16.5" customHeight="1">
      <c r="O47771" s="5" t="s">
        <v>355</v>
      </c>
      <c r="P47771" s="5" t="s">
        <v>355</v>
      </c>
      <c r="Q47771" s="5" t="s">
        <v>355</v>
      </c>
    </row>
    <row r="47772" ht="16.5" customHeight="1">
      <c r="O47772" s="5" t="s">
        <v>355</v>
      </c>
      <c r="P47772" s="5" t="s">
        <v>355</v>
      </c>
      <c r="Q47772" s="5" t="s">
        <v>355</v>
      </c>
    </row>
    <row r="47773" ht="16.5" customHeight="1">
      <c r="O47773" s="5" t="s">
        <v>355</v>
      </c>
      <c r="P47773" s="5" t="s">
        <v>355</v>
      </c>
      <c r="Q47773" s="5" t="s">
        <v>355</v>
      </c>
    </row>
    <row r="47774" ht="16.5" customHeight="1">
      <c r="O47774" s="5" t="s">
        <v>355</v>
      </c>
      <c r="P47774" s="5" t="s">
        <v>355</v>
      </c>
      <c r="Q47774" s="5" t="s">
        <v>355</v>
      </c>
    </row>
    <row r="47775" ht="16.5" customHeight="1">
      <c r="O47775" s="5" t="s">
        <v>355</v>
      </c>
      <c r="P47775" s="5" t="s">
        <v>355</v>
      </c>
      <c r="Q47775" s="5" t="s">
        <v>355</v>
      </c>
    </row>
    <row r="47776" ht="16.5" customHeight="1">
      <c r="O47776" s="5" t="s">
        <v>355</v>
      </c>
      <c r="P47776" s="5" t="s">
        <v>355</v>
      </c>
      <c r="Q47776" s="5" t="s">
        <v>355</v>
      </c>
    </row>
    <row r="47777" ht="16.5" customHeight="1">
      <c r="O47777" s="5" t="s">
        <v>355</v>
      </c>
      <c r="P47777" s="5" t="s">
        <v>355</v>
      </c>
      <c r="Q47777" s="5" t="s">
        <v>355</v>
      </c>
    </row>
    <row r="47778" ht="16.5" customHeight="1">
      <c r="O47778" s="5" t="s">
        <v>355</v>
      </c>
      <c r="P47778" s="5" t="s">
        <v>355</v>
      </c>
      <c r="Q47778" s="5" t="s">
        <v>355</v>
      </c>
    </row>
    <row r="47779" ht="16.5" customHeight="1">
      <c r="O47779" s="5" t="s">
        <v>355</v>
      </c>
      <c r="P47779" s="5" t="s">
        <v>355</v>
      </c>
      <c r="Q47779" s="5" t="s">
        <v>355</v>
      </c>
    </row>
    <row r="47780" ht="16.5" customHeight="1">
      <c r="O47780" s="5" t="s">
        <v>355</v>
      </c>
      <c r="P47780" s="5" t="s">
        <v>355</v>
      </c>
      <c r="Q47780" s="5" t="s">
        <v>355</v>
      </c>
    </row>
    <row r="47781" ht="16.5" customHeight="1">
      <c r="O47781" s="5" t="s">
        <v>355</v>
      </c>
      <c r="P47781" s="5" t="s">
        <v>355</v>
      </c>
      <c r="Q47781" s="5" t="s">
        <v>355</v>
      </c>
    </row>
    <row r="47782" ht="16.5" customHeight="1">
      <c r="O47782" s="5" t="s">
        <v>355</v>
      </c>
      <c r="P47782" s="5" t="s">
        <v>355</v>
      </c>
      <c r="Q47782" s="5" t="s">
        <v>355</v>
      </c>
    </row>
    <row r="47783" ht="16.5" customHeight="1">
      <c r="O47783" s="5" t="s">
        <v>355</v>
      </c>
      <c r="P47783" s="5" t="s">
        <v>355</v>
      </c>
      <c r="Q47783" s="5" t="s">
        <v>355</v>
      </c>
    </row>
    <row r="47784" ht="16.5" customHeight="1">
      <c r="O47784" s="5" t="s">
        <v>355</v>
      </c>
      <c r="P47784" s="5" t="s">
        <v>355</v>
      </c>
      <c r="Q47784" s="5" t="s">
        <v>355</v>
      </c>
    </row>
    <row r="47785" ht="16.5" customHeight="1">
      <c r="O47785" s="5" t="s">
        <v>355</v>
      </c>
      <c r="P47785" s="5" t="s">
        <v>355</v>
      </c>
      <c r="Q47785" s="5" t="s">
        <v>355</v>
      </c>
    </row>
    <row r="47786" ht="16.5" customHeight="1">
      <c r="O47786" s="5" t="s">
        <v>355</v>
      </c>
      <c r="P47786" s="5" t="s">
        <v>355</v>
      </c>
      <c r="Q47786" s="5" t="s">
        <v>355</v>
      </c>
    </row>
    <row r="47787" ht="16.5" customHeight="1">
      <c r="O47787" s="5" t="s">
        <v>355</v>
      </c>
      <c r="P47787" s="5" t="s">
        <v>355</v>
      </c>
      <c r="Q47787" s="5" t="s">
        <v>355</v>
      </c>
    </row>
    <row r="47788" ht="16.5" customHeight="1">
      <c r="O47788" s="5" t="s">
        <v>355</v>
      </c>
      <c r="P47788" s="5" t="s">
        <v>355</v>
      </c>
      <c r="Q47788" s="5" t="s">
        <v>355</v>
      </c>
    </row>
    <row r="47789" ht="16.5" customHeight="1">
      <c r="O47789" s="5" t="s">
        <v>355</v>
      </c>
      <c r="P47789" s="5" t="s">
        <v>355</v>
      </c>
      <c r="Q47789" s="5" t="s">
        <v>355</v>
      </c>
    </row>
    <row r="47790" ht="16.5" customHeight="1">
      <c r="O47790" s="5" t="s">
        <v>355</v>
      </c>
      <c r="P47790" s="5" t="s">
        <v>355</v>
      </c>
      <c r="Q47790" s="5" t="s">
        <v>355</v>
      </c>
    </row>
    <row r="47791" ht="16.5" customHeight="1">
      <c r="O47791" s="5" t="s">
        <v>355</v>
      </c>
      <c r="P47791" s="5" t="s">
        <v>355</v>
      </c>
      <c r="Q47791" s="5" t="s">
        <v>355</v>
      </c>
    </row>
    <row r="47792" ht="16.5" customHeight="1">
      <c r="O47792" s="5" t="s">
        <v>355</v>
      </c>
      <c r="P47792" s="5" t="s">
        <v>355</v>
      </c>
      <c r="Q47792" s="5" t="s">
        <v>355</v>
      </c>
    </row>
    <row r="47793" ht="16.5" customHeight="1">
      <c r="O47793" s="5" t="s">
        <v>355</v>
      </c>
      <c r="P47793" s="5" t="s">
        <v>355</v>
      </c>
      <c r="Q47793" s="5" t="s">
        <v>355</v>
      </c>
    </row>
    <row r="47794" ht="16.5" customHeight="1">
      <c r="O47794" s="5" t="s">
        <v>355</v>
      </c>
      <c r="P47794" s="5" t="s">
        <v>355</v>
      </c>
      <c r="Q47794" s="5" t="s">
        <v>355</v>
      </c>
    </row>
    <row r="47795" ht="16.5" customHeight="1">
      <c r="O47795" s="5" t="s">
        <v>355</v>
      </c>
      <c r="P47795" s="5" t="s">
        <v>355</v>
      </c>
      <c r="Q47795" s="5" t="s">
        <v>355</v>
      </c>
    </row>
    <row r="47796" ht="16.5" customHeight="1">
      <c r="O47796" s="5" t="s">
        <v>355</v>
      </c>
      <c r="P47796" s="5" t="s">
        <v>355</v>
      </c>
      <c r="Q47796" s="5" t="s">
        <v>355</v>
      </c>
    </row>
    <row r="47797" ht="16.5" customHeight="1">
      <c r="O47797" s="5" t="s">
        <v>355</v>
      </c>
      <c r="P47797" s="5" t="s">
        <v>355</v>
      </c>
      <c r="Q47797" s="5" t="s">
        <v>355</v>
      </c>
    </row>
    <row r="47798" ht="16.5" customHeight="1">
      <c r="O47798" s="5" t="s">
        <v>355</v>
      </c>
      <c r="P47798" s="5" t="s">
        <v>355</v>
      </c>
      <c r="Q47798" s="5" t="s">
        <v>355</v>
      </c>
    </row>
    <row r="47799" ht="16.5" customHeight="1">
      <c r="O47799" s="5" t="s">
        <v>355</v>
      </c>
      <c r="P47799" s="5" t="s">
        <v>355</v>
      </c>
      <c r="Q47799" s="5" t="s">
        <v>355</v>
      </c>
    </row>
    <row r="47800" ht="16.5" customHeight="1">
      <c r="O47800" s="5" t="s">
        <v>355</v>
      </c>
      <c r="P47800" s="5" t="s">
        <v>355</v>
      </c>
      <c r="Q47800" s="5" t="s">
        <v>355</v>
      </c>
    </row>
    <row r="47801" ht="16.5" customHeight="1">
      <c r="O47801" s="5" t="s">
        <v>355</v>
      </c>
      <c r="P47801" s="5" t="s">
        <v>355</v>
      </c>
      <c r="Q47801" s="5" t="s">
        <v>355</v>
      </c>
    </row>
    <row r="47802" ht="16.5" customHeight="1">
      <c r="O47802" s="5" t="s">
        <v>355</v>
      </c>
      <c r="P47802" s="5" t="s">
        <v>355</v>
      </c>
      <c r="Q47802" s="5" t="s">
        <v>355</v>
      </c>
    </row>
    <row r="47803" ht="16.5" customHeight="1">
      <c r="O47803" s="5" t="s">
        <v>355</v>
      </c>
      <c r="P47803" s="5" t="s">
        <v>355</v>
      </c>
      <c r="Q47803" s="5" t="s">
        <v>355</v>
      </c>
    </row>
    <row r="47804" ht="16.5" customHeight="1">
      <c r="O47804" s="5" t="s">
        <v>355</v>
      </c>
      <c r="P47804" s="5" t="s">
        <v>355</v>
      </c>
      <c r="Q47804" s="5" t="s">
        <v>355</v>
      </c>
    </row>
    <row r="47805" ht="16.5" customHeight="1">
      <c r="O47805" s="5" t="s">
        <v>355</v>
      </c>
      <c r="P47805" s="5" t="s">
        <v>355</v>
      </c>
      <c r="Q47805" s="5" t="s">
        <v>355</v>
      </c>
    </row>
    <row r="47806" ht="16.5" customHeight="1">
      <c r="O47806" s="5" t="s">
        <v>355</v>
      </c>
      <c r="P47806" s="5" t="s">
        <v>355</v>
      </c>
      <c r="Q47806" s="5" t="s">
        <v>355</v>
      </c>
    </row>
    <row r="47807" ht="16.5" customHeight="1">
      <c r="O47807" s="5" t="s">
        <v>355</v>
      </c>
      <c r="P47807" s="5" t="s">
        <v>355</v>
      </c>
      <c r="Q47807" s="5" t="s">
        <v>355</v>
      </c>
    </row>
    <row r="47808" ht="16.5" customHeight="1">
      <c r="O47808" s="5" t="s">
        <v>355</v>
      </c>
      <c r="P47808" s="5" t="s">
        <v>355</v>
      </c>
      <c r="Q47808" s="5" t="s">
        <v>355</v>
      </c>
    </row>
    <row r="47809" ht="16.5" customHeight="1">
      <c r="O47809" s="5" t="s">
        <v>355</v>
      </c>
      <c r="P47809" s="5" t="s">
        <v>355</v>
      </c>
      <c r="Q47809" s="5" t="s">
        <v>355</v>
      </c>
    </row>
    <row r="47810" ht="16.5" customHeight="1">
      <c r="O47810" s="5" t="s">
        <v>355</v>
      </c>
      <c r="P47810" s="5" t="s">
        <v>355</v>
      </c>
      <c r="Q47810" s="5" t="s">
        <v>355</v>
      </c>
    </row>
    <row r="47811" ht="16.5" customHeight="1">
      <c r="O47811" s="5" t="s">
        <v>355</v>
      </c>
      <c r="P47811" s="5" t="s">
        <v>355</v>
      </c>
      <c r="Q47811" s="5" t="s">
        <v>355</v>
      </c>
    </row>
    <row r="47812" ht="16.5" customHeight="1">
      <c r="O47812" s="5" t="s">
        <v>355</v>
      </c>
      <c r="P47812" s="5" t="s">
        <v>355</v>
      </c>
      <c r="Q47812" s="5" t="s">
        <v>355</v>
      </c>
    </row>
    <row r="47813" ht="16.5" customHeight="1">
      <c r="O47813" s="5" t="s">
        <v>355</v>
      </c>
      <c r="P47813" s="5" t="s">
        <v>355</v>
      </c>
      <c r="Q47813" s="5" t="s">
        <v>355</v>
      </c>
    </row>
    <row r="47814" ht="16.5" customHeight="1">
      <c r="O47814" s="5" t="s">
        <v>355</v>
      </c>
      <c r="P47814" s="5" t="s">
        <v>355</v>
      </c>
      <c r="Q47814" s="5" t="s">
        <v>355</v>
      </c>
    </row>
    <row r="47815" ht="16.5" customHeight="1">
      <c r="O47815" s="5" t="s">
        <v>355</v>
      </c>
      <c r="P47815" s="5" t="s">
        <v>355</v>
      </c>
      <c r="Q47815" s="5" t="s">
        <v>355</v>
      </c>
    </row>
    <row r="47816" ht="16.5" customHeight="1">
      <c r="O47816" s="5" t="s">
        <v>355</v>
      </c>
      <c r="P47816" s="5" t="s">
        <v>355</v>
      </c>
      <c r="Q47816" s="5" t="s">
        <v>355</v>
      </c>
    </row>
    <row r="47817" ht="16.5" customHeight="1">
      <c r="O47817" s="5" t="s">
        <v>355</v>
      </c>
      <c r="P47817" s="5" t="s">
        <v>355</v>
      </c>
      <c r="Q47817" s="5" t="s">
        <v>355</v>
      </c>
    </row>
    <row r="47818" ht="16.5" customHeight="1">
      <c r="O47818" s="5" t="s">
        <v>355</v>
      </c>
      <c r="P47818" s="5" t="s">
        <v>355</v>
      </c>
      <c r="Q47818" s="5" t="s">
        <v>355</v>
      </c>
    </row>
    <row r="47819" ht="16.5" customHeight="1">
      <c r="O47819" s="5" t="s">
        <v>355</v>
      </c>
      <c r="P47819" s="5" t="s">
        <v>355</v>
      </c>
      <c r="Q47819" s="5" t="s">
        <v>355</v>
      </c>
    </row>
    <row r="47820" ht="16.5" customHeight="1">
      <c r="O47820" s="5" t="s">
        <v>355</v>
      </c>
      <c r="P47820" s="5" t="s">
        <v>355</v>
      </c>
      <c r="Q47820" s="5" t="s">
        <v>355</v>
      </c>
    </row>
    <row r="47821" ht="16.5" customHeight="1">
      <c r="O47821" s="5" t="s">
        <v>355</v>
      </c>
      <c r="P47821" s="5" t="s">
        <v>355</v>
      </c>
      <c r="Q47821" s="5" t="s">
        <v>355</v>
      </c>
    </row>
    <row r="47822" ht="16.5" customHeight="1">
      <c r="O47822" s="5" t="s">
        <v>355</v>
      </c>
      <c r="P47822" s="5" t="s">
        <v>355</v>
      </c>
      <c r="Q47822" s="5" t="s">
        <v>355</v>
      </c>
    </row>
    <row r="47823" ht="16.5" customHeight="1">
      <c r="O47823" s="5" t="s">
        <v>355</v>
      </c>
      <c r="P47823" s="5" t="s">
        <v>355</v>
      </c>
      <c r="Q47823" s="5" t="s">
        <v>355</v>
      </c>
    </row>
    <row r="47824" ht="16.5" customHeight="1">
      <c r="O47824" s="5" t="s">
        <v>355</v>
      </c>
      <c r="P47824" s="5" t="s">
        <v>355</v>
      </c>
      <c r="Q47824" s="5" t="s">
        <v>355</v>
      </c>
    </row>
    <row r="47825" ht="16.5" customHeight="1">
      <c r="O47825" s="5" t="s">
        <v>355</v>
      </c>
      <c r="P47825" s="5" t="s">
        <v>355</v>
      </c>
      <c r="Q47825" s="5" t="s">
        <v>355</v>
      </c>
    </row>
    <row r="47826" ht="16.5" customHeight="1">
      <c r="O47826" s="5" t="s">
        <v>355</v>
      </c>
      <c r="P47826" s="5" t="s">
        <v>355</v>
      </c>
      <c r="Q47826" s="5" t="s">
        <v>355</v>
      </c>
    </row>
    <row r="47827" ht="16.5" customHeight="1">
      <c r="O47827" s="5" t="s">
        <v>355</v>
      </c>
      <c r="P47827" s="5" t="s">
        <v>355</v>
      </c>
      <c r="Q47827" s="5" t="s">
        <v>355</v>
      </c>
    </row>
    <row r="47828" ht="16.5" customHeight="1">
      <c r="O47828" s="5" t="s">
        <v>355</v>
      </c>
      <c r="P47828" s="5" t="s">
        <v>355</v>
      </c>
      <c r="Q47828" s="5" t="s">
        <v>355</v>
      </c>
    </row>
    <row r="47829" ht="16.5" customHeight="1">
      <c r="O47829" s="5" t="s">
        <v>355</v>
      </c>
      <c r="P47829" s="5" t="s">
        <v>355</v>
      </c>
      <c r="Q47829" s="5" t="s">
        <v>355</v>
      </c>
    </row>
    <row r="47830" ht="16.5" customHeight="1">
      <c r="O47830" s="5" t="s">
        <v>355</v>
      </c>
      <c r="P47830" s="5" t="s">
        <v>355</v>
      </c>
      <c r="Q47830" s="5" t="s">
        <v>355</v>
      </c>
    </row>
    <row r="47831" ht="16.5" customHeight="1">
      <c r="O47831" s="5" t="s">
        <v>355</v>
      </c>
      <c r="P47831" s="5" t="s">
        <v>355</v>
      </c>
      <c r="Q47831" s="5" t="s">
        <v>355</v>
      </c>
    </row>
    <row r="47832" ht="16.5" customHeight="1">
      <c r="O47832" s="5" t="s">
        <v>355</v>
      </c>
      <c r="P47832" s="5" t="s">
        <v>355</v>
      </c>
      <c r="Q47832" s="5" t="s">
        <v>355</v>
      </c>
    </row>
    <row r="47833" ht="16.5" customHeight="1">
      <c r="O47833" s="5" t="s">
        <v>355</v>
      </c>
      <c r="P47833" s="5" t="s">
        <v>355</v>
      </c>
      <c r="Q47833" s="5" t="s">
        <v>355</v>
      </c>
    </row>
    <row r="47834" ht="16.5" customHeight="1">
      <c r="O47834" s="5" t="s">
        <v>355</v>
      </c>
      <c r="P47834" s="5" t="s">
        <v>355</v>
      </c>
      <c r="Q47834" s="5" t="s">
        <v>355</v>
      </c>
    </row>
    <row r="47835" ht="16.5" customHeight="1">
      <c r="O47835" s="5" t="s">
        <v>355</v>
      </c>
      <c r="P47835" s="5" t="s">
        <v>355</v>
      </c>
      <c r="Q47835" s="5" t="s">
        <v>355</v>
      </c>
    </row>
    <row r="47836" ht="16.5" customHeight="1">
      <c r="O47836" s="5" t="s">
        <v>355</v>
      </c>
      <c r="P47836" s="5" t="s">
        <v>355</v>
      </c>
      <c r="Q47836" s="5" t="s">
        <v>355</v>
      </c>
    </row>
    <row r="47837" ht="16.5" customHeight="1">
      <c r="O47837" s="5" t="s">
        <v>355</v>
      </c>
      <c r="P47837" s="5" t="s">
        <v>355</v>
      </c>
      <c r="Q47837" s="5" t="s">
        <v>355</v>
      </c>
    </row>
    <row r="47838" ht="16.5" customHeight="1">
      <c r="O47838" s="5" t="s">
        <v>355</v>
      </c>
      <c r="P47838" s="5" t="s">
        <v>355</v>
      </c>
      <c r="Q47838" s="5" t="s">
        <v>355</v>
      </c>
    </row>
    <row r="47839" ht="16.5" customHeight="1">
      <c r="O47839" s="5" t="s">
        <v>355</v>
      </c>
      <c r="P47839" s="5" t="s">
        <v>355</v>
      </c>
      <c r="Q47839" s="5" t="s">
        <v>355</v>
      </c>
    </row>
    <row r="47840" ht="16.5" customHeight="1">
      <c r="O47840" s="5" t="s">
        <v>355</v>
      </c>
      <c r="P47840" s="5" t="s">
        <v>355</v>
      </c>
      <c r="Q47840" s="5" t="s">
        <v>355</v>
      </c>
    </row>
    <row r="47841" ht="16.5" customHeight="1">
      <c r="O47841" s="5" t="s">
        <v>355</v>
      </c>
      <c r="P47841" s="5" t="s">
        <v>355</v>
      </c>
      <c r="Q47841" s="5" t="s">
        <v>355</v>
      </c>
    </row>
    <row r="47842" ht="16.5" customHeight="1">
      <c r="O47842" s="5" t="s">
        <v>355</v>
      </c>
      <c r="P47842" s="5" t="s">
        <v>355</v>
      </c>
      <c r="Q47842" s="5" t="s">
        <v>355</v>
      </c>
    </row>
    <row r="47843" ht="16.5" customHeight="1">
      <c r="O47843" s="5" t="s">
        <v>355</v>
      </c>
      <c r="P47843" s="5" t="s">
        <v>355</v>
      </c>
      <c r="Q47843" s="5" t="s">
        <v>355</v>
      </c>
    </row>
    <row r="47844" ht="16.5" customHeight="1">
      <c r="O47844" s="5" t="s">
        <v>355</v>
      </c>
      <c r="P47844" s="5" t="s">
        <v>355</v>
      </c>
      <c r="Q47844" s="5" t="s">
        <v>355</v>
      </c>
    </row>
    <row r="47845" ht="16.5" customHeight="1">
      <c r="O47845" s="5" t="s">
        <v>355</v>
      </c>
      <c r="P47845" s="5" t="s">
        <v>355</v>
      </c>
      <c r="Q47845" s="5" t="s">
        <v>355</v>
      </c>
    </row>
    <row r="47846" ht="16.5" customHeight="1">
      <c r="O47846" s="5" t="s">
        <v>355</v>
      </c>
      <c r="P47846" s="5" t="s">
        <v>355</v>
      </c>
      <c r="Q47846" s="5" t="s">
        <v>355</v>
      </c>
    </row>
    <row r="47847" ht="16.5" customHeight="1">
      <c r="O47847" s="5" t="s">
        <v>355</v>
      </c>
      <c r="P47847" s="5" t="s">
        <v>355</v>
      </c>
      <c r="Q47847" s="5" t="s">
        <v>355</v>
      </c>
    </row>
    <row r="47848" ht="16.5" customHeight="1">
      <c r="O47848" s="5" t="s">
        <v>355</v>
      </c>
      <c r="P47848" s="5" t="s">
        <v>355</v>
      </c>
      <c r="Q47848" s="5" t="s">
        <v>355</v>
      </c>
    </row>
    <row r="47849" ht="16.5" customHeight="1">
      <c r="O47849" s="5" t="s">
        <v>355</v>
      </c>
      <c r="P47849" s="5" t="s">
        <v>355</v>
      </c>
      <c r="Q47849" s="5" t="s">
        <v>355</v>
      </c>
    </row>
    <row r="47850" ht="16.5" customHeight="1">
      <c r="O47850" s="5" t="s">
        <v>355</v>
      </c>
      <c r="P47850" s="5" t="s">
        <v>355</v>
      </c>
      <c r="Q47850" s="5" t="s">
        <v>355</v>
      </c>
    </row>
    <row r="47851" ht="16.5" customHeight="1">
      <c r="O47851" s="5" t="s">
        <v>355</v>
      </c>
      <c r="P47851" s="5" t="s">
        <v>355</v>
      </c>
      <c r="Q47851" s="5" t="s">
        <v>355</v>
      </c>
    </row>
    <row r="47852" ht="16.5" customHeight="1">
      <c r="O47852" s="5" t="s">
        <v>355</v>
      </c>
      <c r="P47852" s="5" t="s">
        <v>355</v>
      </c>
      <c r="Q47852" s="5" t="s">
        <v>355</v>
      </c>
    </row>
    <row r="47853" ht="16.5" customHeight="1">
      <c r="O47853" s="5" t="s">
        <v>355</v>
      </c>
      <c r="P47853" s="5" t="s">
        <v>355</v>
      </c>
      <c r="Q47853" s="5" t="s">
        <v>355</v>
      </c>
    </row>
    <row r="47854" ht="16.5" customHeight="1">
      <c r="O47854" s="5" t="s">
        <v>355</v>
      </c>
      <c r="P47854" s="5" t="s">
        <v>355</v>
      </c>
      <c r="Q47854" s="5" t="s">
        <v>355</v>
      </c>
    </row>
    <row r="47855" ht="16.5" customHeight="1">
      <c r="O47855" s="5" t="s">
        <v>355</v>
      </c>
      <c r="P47855" s="5" t="s">
        <v>355</v>
      </c>
      <c r="Q47855" s="5" t="s">
        <v>355</v>
      </c>
    </row>
    <row r="47856" ht="16.5" customHeight="1">
      <c r="O47856" s="5" t="s">
        <v>355</v>
      </c>
      <c r="P47856" s="5" t="s">
        <v>355</v>
      </c>
      <c r="Q47856" s="5" t="s">
        <v>355</v>
      </c>
    </row>
    <row r="47857" ht="16.5" customHeight="1">
      <c r="O47857" s="5" t="s">
        <v>355</v>
      </c>
      <c r="P47857" s="5" t="s">
        <v>355</v>
      </c>
      <c r="Q47857" s="5" t="s">
        <v>355</v>
      </c>
    </row>
    <row r="47858" ht="16.5" customHeight="1">
      <c r="O47858" s="5" t="s">
        <v>355</v>
      </c>
      <c r="P47858" s="5" t="s">
        <v>355</v>
      </c>
      <c r="Q47858" s="5" t="s">
        <v>355</v>
      </c>
    </row>
    <row r="47859" ht="16.5" customHeight="1">
      <c r="O47859" s="5" t="s">
        <v>355</v>
      </c>
      <c r="P47859" s="5" t="s">
        <v>355</v>
      </c>
      <c r="Q47859" s="5" t="s">
        <v>355</v>
      </c>
    </row>
    <row r="47860" ht="16.5" customHeight="1">
      <c r="O47860" s="5" t="s">
        <v>355</v>
      </c>
      <c r="P47860" s="5" t="s">
        <v>355</v>
      </c>
      <c r="Q47860" s="5" t="s">
        <v>355</v>
      </c>
    </row>
    <row r="47861" ht="16.5" customHeight="1">
      <c r="O47861" s="5" t="s">
        <v>355</v>
      </c>
      <c r="P47861" s="5" t="s">
        <v>355</v>
      </c>
      <c r="Q47861" s="5" t="s">
        <v>355</v>
      </c>
    </row>
    <row r="47862" ht="16.5" customHeight="1">
      <c r="O47862" s="5" t="s">
        <v>355</v>
      </c>
      <c r="P47862" s="5" t="s">
        <v>355</v>
      </c>
      <c r="Q47862" s="5" t="s">
        <v>355</v>
      </c>
    </row>
    <row r="47863" ht="16.5" customHeight="1">
      <c r="O47863" s="5" t="s">
        <v>355</v>
      </c>
      <c r="P47863" s="5" t="s">
        <v>355</v>
      </c>
      <c r="Q47863" s="5" t="s">
        <v>355</v>
      </c>
    </row>
    <row r="47864" ht="16.5" customHeight="1">
      <c r="O47864" s="5" t="s">
        <v>355</v>
      </c>
      <c r="P47864" s="5" t="s">
        <v>355</v>
      </c>
      <c r="Q47864" s="5" t="s">
        <v>355</v>
      </c>
    </row>
    <row r="47865" ht="16.5" customHeight="1">
      <c r="O47865" s="5" t="s">
        <v>355</v>
      </c>
      <c r="P47865" s="5" t="s">
        <v>355</v>
      </c>
      <c r="Q47865" s="5" t="s">
        <v>355</v>
      </c>
    </row>
    <row r="47866" ht="16.5" customHeight="1">
      <c r="O47866" s="5" t="s">
        <v>355</v>
      </c>
      <c r="P47866" s="5" t="s">
        <v>355</v>
      </c>
      <c r="Q47866" s="5" t="s">
        <v>355</v>
      </c>
    </row>
    <row r="47867" ht="16.5" customHeight="1">
      <c r="O47867" s="5" t="s">
        <v>355</v>
      </c>
      <c r="P47867" s="5" t="s">
        <v>355</v>
      </c>
      <c r="Q47867" s="5" t="s">
        <v>355</v>
      </c>
    </row>
    <row r="47868" ht="16.5" customHeight="1">
      <c r="O47868" s="5" t="s">
        <v>355</v>
      </c>
      <c r="P47868" s="5" t="s">
        <v>355</v>
      </c>
      <c r="Q47868" s="5" t="s">
        <v>355</v>
      </c>
    </row>
    <row r="47869" ht="16.5" customHeight="1">
      <c r="O47869" s="5" t="s">
        <v>355</v>
      </c>
      <c r="P47869" s="5" t="s">
        <v>355</v>
      </c>
      <c r="Q47869" s="5" t="s">
        <v>355</v>
      </c>
    </row>
    <row r="47870" ht="16.5" customHeight="1">
      <c r="O47870" s="5" t="s">
        <v>355</v>
      </c>
      <c r="P47870" s="5" t="s">
        <v>355</v>
      </c>
      <c r="Q47870" s="5" t="s">
        <v>355</v>
      </c>
    </row>
    <row r="47871" ht="16.5" customHeight="1">
      <c r="O47871" s="5" t="s">
        <v>355</v>
      </c>
      <c r="P47871" s="5" t="s">
        <v>355</v>
      </c>
      <c r="Q47871" s="5" t="s">
        <v>355</v>
      </c>
    </row>
    <row r="47872" ht="16.5" customHeight="1">
      <c r="O47872" s="5" t="s">
        <v>355</v>
      </c>
      <c r="P47872" s="5" t="s">
        <v>355</v>
      </c>
      <c r="Q47872" s="5" t="s">
        <v>355</v>
      </c>
    </row>
    <row r="47873" ht="16.5" customHeight="1">
      <c r="O47873" s="5" t="s">
        <v>355</v>
      </c>
      <c r="P47873" s="5" t="s">
        <v>355</v>
      </c>
      <c r="Q47873" s="5" t="s">
        <v>355</v>
      </c>
    </row>
    <row r="47874" ht="16.5" customHeight="1">
      <c r="O47874" s="5" t="s">
        <v>355</v>
      </c>
      <c r="P47874" s="5" t="s">
        <v>355</v>
      </c>
      <c r="Q47874" s="5" t="s">
        <v>355</v>
      </c>
    </row>
    <row r="47875" ht="16.5" customHeight="1">
      <c r="O47875" s="5" t="s">
        <v>355</v>
      </c>
      <c r="P47875" s="5" t="s">
        <v>355</v>
      </c>
      <c r="Q47875" s="5" t="s">
        <v>355</v>
      </c>
    </row>
    <row r="47876" ht="16.5" customHeight="1">
      <c r="O47876" s="5" t="s">
        <v>355</v>
      </c>
      <c r="P47876" s="5" t="s">
        <v>355</v>
      </c>
      <c r="Q47876" s="5" t="s">
        <v>355</v>
      </c>
    </row>
    <row r="47877" ht="16.5" customHeight="1">
      <c r="O47877" s="5" t="s">
        <v>355</v>
      </c>
      <c r="P47877" s="5" t="s">
        <v>355</v>
      </c>
      <c r="Q47877" s="5" t="s">
        <v>355</v>
      </c>
    </row>
    <row r="47878" ht="16.5" customHeight="1">
      <c r="O47878" s="5" t="s">
        <v>355</v>
      </c>
      <c r="P47878" s="5" t="s">
        <v>355</v>
      </c>
      <c r="Q47878" s="5" t="s">
        <v>355</v>
      </c>
    </row>
    <row r="47879" ht="16.5" customHeight="1">
      <c r="O47879" s="5" t="s">
        <v>355</v>
      </c>
      <c r="P47879" s="5" t="s">
        <v>355</v>
      </c>
      <c r="Q47879" s="5" t="s">
        <v>355</v>
      </c>
    </row>
    <row r="47880" ht="16.5" customHeight="1">
      <c r="O47880" s="5" t="s">
        <v>355</v>
      </c>
      <c r="P47880" s="5" t="s">
        <v>355</v>
      </c>
      <c r="Q47880" s="5" t="s">
        <v>355</v>
      </c>
    </row>
    <row r="47881" ht="16.5" customHeight="1">
      <c r="O47881" s="5" t="s">
        <v>355</v>
      </c>
      <c r="P47881" s="5" t="s">
        <v>355</v>
      </c>
      <c r="Q47881" s="5" t="s">
        <v>355</v>
      </c>
    </row>
    <row r="47882" ht="16.5" customHeight="1">
      <c r="O47882" s="5" t="s">
        <v>355</v>
      </c>
      <c r="P47882" s="5" t="s">
        <v>355</v>
      </c>
      <c r="Q47882" s="5" t="s">
        <v>355</v>
      </c>
    </row>
    <row r="47883" ht="16.5" customHeight="1">
      <c r="O47883" s="5" t="s">
        <v>355</v>
      </c>
      <c r="P47883" s="5" t="s">
        <v>355</v>
      </c>
      <c r="Q47883" s="5" t="s">
        <v>355</v>
      </c>
    </row>
    <row r="47884" ht="16.5" customHeight="1">
      <c r="O47884" s="5" t="s">
        <v>355</v>
      </c>
      <c r="P47884" s="5" t="s">
        <v>355</v>
      </c>
      <c r="Q47884" s="5" t="s">
        <v>355</v>
      </c>
    </row>
    <row r="47885" ht="16.5" customHeight="1">
      <c r="O47885" s="5" t="s">
        <v>355</v>
      </c>
      <c r="P47885" s="5" t="s">
        <v>355</v>
      </c>
      <c r="Q47885" s="5" t="s">
        <v>355</v>
      </c>
    </row>
    <row r="47886" ht="16.5" customHeight="1">
      <c r="O47886" s="5" t="s">
        <v>355</v>
      </c>
      <c r="P47886" s="5" t="s">
        <v>355</v>
      </c>
      <c r="Q47886" s="5" t="s">
        <v>355</v>
      </c>
    </row>
    <row r="47887" ht="16.5" customHeight="1">
      <c r="O47887" s="5" t="s">
        <v>355</v>
      </c>
      <c r="P47887" s="5" t="s">
        <v>355</v>
      </c>
      <c r="Q47887" s="5" t="s">
        <v>355</v>
      </c>
    </row>
    <row r="47888" ht="16.5" customHeight="1">
      <c r="O47888" s="5" t="s">
        <v>355</v>
      </c>
      <c r="P47888" s="5" t="s">
        <v>355</v>
      </c>
      <c r="Q47888" s="5" t="s">
        <v>355</v>
      </c>
    </row>
    <row r="47889" ht="16.5" customHeight="1">
      <c r="O47889" s="5" t="s">
        <v>355</v>
      </c>
      <c r="P47889" s="5" t="s">
        <v>355</v>
      </c>
      <c r="Q47889" s="5" t="s">
        <v>355</v>
      </c>
    </row>
    <row r="47890" ht="16.5" customHeight="1">
      <c r="O47890" s="5" t="s">
        <v>355</v>
      </c>
      <c r="P47890" s="5" t="s">
        <v>355</v>
      </c>
      <c r="Q47890" s="5" t="s">
        <v>355</v>
      </c>
    </row>
    <row r="47891" ht="16.5" customHeight="1">
      <c r="O47891" s="5" t="s">
        <v>355</v>
      </c>
      <c r="P47891" s="5" t="s">
        <v>355</v>
      </c>
      <c r="Q47891" s="5" t="s">
        <v>355</v>
      </c>
    </row>
    <row r="47892" ht="16.5" customHeight="1">
      <c r="O47892" s="5" t="s">
        <v>355</v>
      </c>
      <c r="P47892" s="5" t="s">
        <v>355</v>
      </c>
      <c r="Q47892" s="5" t="s">
        <v>355</v>
      </c>
    </row>
    <row r="47893" ht="16.5" customHeight="1">
      <c r="O47893" s="5" t="s">
        <v>355</v>
      </c>
      <c r="P47893" s="5" t="s">
        <v>355</v>
      </c>
      <c r="Q47893" s="5" t="s">
        <v>355</v>
      </c>
    </row>
    <row r="47894" ht="16.5" customHeight="1">
      <c r="O47894" s="5" t="s">
        <v>355</v>
      </c>
      <c r="P47894" s="5" t="s">
        <v>355</v>
      </c>
      <c r="Q47894" s="5" t="s">
        <v>355</v>
      </c>
    </row>
    <row r="47895" ht="16.5" customHeight="1">
      <c r="O47895" s="5" t="s">
        <v>355</v>
      </c>
      <c r="P47895" s="5" t="s">
        <v>355</v>
      </c>
      <c r="Q47895" s="5" t="s">
        <v>355</v>
      </c>
    </row>
    <row r="47896" ht="16.5" customHeight="1">
      <c r="O47896" s="5" t="s">
        <v>355</v>
      </c>
      <c r="P47896" s="5" t="s">
        <v>355</v>
      </c>
      <c r="Q47896" s="5" t="s">
        <v>355</v>
      </c>
    </row>
    <row r="47897" ht="16.5" customHeight="1">
      <c r="O47897" s="5" t="s">
        <v>355</v>
      </c>
      <c r="P47897" s="5" t="s">
        <v>355</v>
      </c>
      <c r="Q47897" s="5" t="s">
        <v>355</v>
      </c>
    </row>
    <row r="47898" ht="16.5" customHeight="1">
      <c r="O47898" s="5" t="s">
        <v>355</v>
      </c>
      <c r="P47898" s="5" t="s">
        <v>355</v>
      </c>
      <c r="Q47898" s="5" t="s">
        <v>355</v>
      </c>
    </row>
    <row r="47899" ht="16.5" customHeight="1">
      <c r="O47899" s="5" t="s">
        <v>355</v>
      </c>
      <c r="P47899" s="5" t="s">
        <v>355</v>
      </c>
      <c r="Q47899" s="5" t="s">
        <v>355</v>
      </c>
    </row>
    <row r="47900" ht="16.5" customHeight="1">
      <c r="O47900" s="5" t="s">
        <v>355</v>
      </c>
      <c r="P47900" s="5" t="s">
        <v>355</v>
      </c>
      <c r="Q47900" s="5" t="s">
        <v>355</v>
      </c>
    </row>
    <row r="47901" ht="16.5" customHeight="1">
      <c r="O47901" s="5" t="s">
        <v>355</v>
      </c>
      <c r="P47901" s="5" t="s">
        <v>355</v>
      </c>
      <c r="Q47901" s="5" t="s">
        <v>355</v>
      </c>
    </row>
    <row r="47902" ht="16.5" customHeight="1">
      <c r="O47902" s="5" t="s">
        <v>355</v>
      </c>
      <c r="P47902" s="5" t="s">
        <v>355</v>
      </c>
      <c r="Q47902" s="5" t="s">
        <v>355</v>
      </c>
    </row>
    <row r="47903" ht="16.5" customHeight="1">
      <c r="O47903" s="5" t="s">
        <v>355</v>
      </c>
      <c r="P47903" s="5" t="s">
        <v>355</v>
      </c>
      <c r="Q47903" s="5" t="s">
        <v>355</v>
      </c>
    </row>
    <row r="47904" ht="16.5" customHeight="1">
      <c r="O47904" s="5" t="s">
        <v>355</v>
      </c>
      <c r="P47904" s="5" t="s">
        <v>355</v>
      </c>
      <c r="Q47904" s="5" t="s">
        <v>355</v>
      </c>
    </row>
    <row r="47905" ht="16.5" customHeight="1">
      <c r="O47905" s="5" t="s">
        <v>355</v>
      </c>
      <c r="P47905" s="5" t="s">
        <v>355</v>
      </c>
      <c r="Q47905" s="5" t="s">
        <v>355</v>
      </c>
    </row>
    <row r="47906" ht="16.5" customHeight="1">
      <c r="O47906" s="5" t="s">
        <v>355</v>
      </c>
      <c r="P47906" s="5" t="s">
        <v>355</v>
      </c>
      <c r="Q47906" s="5" t="s">
        <v>355</v>
      </c>
    </row>
    <row r="47907" ht="16.5" customHeight="1">
      <c r="O47907" s="5" t="s">
        <v>355</v>
      </c>
      <c r="P47907" s="5" t="s">
        <v>355</v>
      </c>
      <c r="Q47907" s="5" t="s">
        <v>355</v>
      </c>
    </row>
    <row r="47908" ht="16.5" customHeight="1">
      <c r="O47908" s="5" t="s">
        <v>355</v>
      </c>
      <c r="P47908" s="5" t="s">
        <v>355</v>
      </c>
      <c r="Q47908" s="5" t="s">
        <v>355</v>
      </c>
    </row>
    <row r="47909" ht="16.5" customHeight="1">
      <c r="O47909" s="5" t="s">
        <v>355</v>
      </c>
      <c r="P47909" s="5" t="s">
        <v>355</v>
      </c>
      <c r="Q47909" s="5" t="s">
        <v>355</v>
      </c>
    </row>
    <row r="47910" ht="16.5" customHeight="1">
      <c r="O47910" s="5" t="s">
        <v>355</v>
      </c>
      <c r="P47910" s="5" t="s">
        <v>355</v>
      </c>
      <c r="Q47910" s="5" t="s">
        <v>355</v>
      </c>
    </row>
    <row r="47911" ht="16.5" customHeight="1">
      <c r="O47911" s="5" t="s">
        <v>355</v>
      </c>
      <c r="P47911" s="5" t="s">
        <v>355</v>
      </c>
      <c r="Q47911" s="5" t="s">
        <v>355</v>
      </c>
    </row>
    <row r="47912" ht="16.5" customHeight="1">
      <c r="O47912" s="5" t="s">
        <v>355</v>
      </c>
      <c r="P47912" s="5" t="s">
        <v>355</v>
      </c>
      <c r="Q47912" s="5" t="s">
        <v>355</v>
      </c>
    </row>
    <row r="47913" ht="16.5" customHeight="1">
      <c r="O47913" s="5" t="s">
        <v>355</v>
      </c>
      <c r="P47913" s="5" t="s">
        <v>355</v>
      </c>
      <c r="Q47913" s="5" t="s">
        <v>355</v>
      </c>
    </row>
    <row r="47914" ht="16.5" customHeight="1">
      <c r="O47914" s="5" t="s">
        <v>355</v>
      </c>
      <c r="P47914" s="5" t="s">
        <v>355</v>
      </c>
      <c r="Q47914" s="5" t="s">
        <v>355</v>
      </c>
    </row>
    <row r="47915" ht="16.5" customHeight="1">
      <c r="O47915" s="5" t="s">
        <v>355</v>
      </c>
      <c r="P47915" s="5" t="s">
        <v>355</v>
      </c>
      <c r="Q47915" s="5" t="s">
        <v>355</v>
      </c>
    </row>
    <row r="47916" ht="16.5" customHeight="1">
      <c r="O47916" s="5" t="s">
        <v>355</v>
      </c>
      <c r="P47916" s="5" t="s">
        <v>355</v>
      </c>
      <c r="Q47916" s="5" t="s">
        <v>355</v>
      </c>
    </row>
    <row r="47917" ht="16.5" customHeight="1">
      <c r="O47917" s="5" t="s">
        <v>355</v>
      </c>
      <c r="P47917" s="5" t="s">
        <v>355</v>
      </c>
      <c r="Q47917" s="5" t="s">
        <v>355</v>
      </c>
    </row>
    <row r="47918" ht="16.5" customHeight="1">
      <c r="O47918" s="5" t="s">
        <v>355</v>
      </c>
      <c r="P47918" s="5" t="s">
        <v>355</v>
      </c>
      <c r="Q47918" s="5" t="s">
        <v>355</v>
      </c>
    </row>
    <row r="47919" ht="16.5" customHeight="1">
      <c r="O47919" s="5" t="s">
        <v>355</v>
      </c>
      <c r="P47919" s="5" t="s">
        <v>355</v>
      </c>
      <c r="Q47919" s="5" t="s">
        <v>355</v>
      </c>
    </row>
    <row r="47920" ht="16.5" customHeight="1">
      <c r="O47920" s="5" t="s">
        <v>355</v>
      </c>
      <c r="P47920" s="5" t="s">
        <v>355</v>
      </c>
      <c r="Q47920" s="5" t="s">
        <v>355</v>
      </c>
    </row>
    <row r="47921" ht="16.5" customHeight="1">
      <c r="O47921" s="5" t="s">
        <v>355</v>
      </c>
      <c r="P47921" s="5" t="s">
        <v>355</v>
      </c>
      <c r="Q47921" s="5" t="s">
        <v>355</v>
      </c>
    </row>
    <row r="47922" ht="16.5" customHeight="1">
      <c r="O47922" s="5" t="s">
        <v>355</v>
      </c>
      <c r="P47922" s="5" t="s">
        <v>355</v>
      </c>
      <c r="Q47922" s="5" t="s">
        <v>355</v>
      </c>
    </row>
    <row r="47923" ht="16.5" customHeight="1">
      <c r="O47923" s="5" t="s">
        <v>355</v>
      </c>
      <c r="P47923" s="5" t="s">
        <v>355</v>
      </c>
      <c r="Q47923" s="5" t="s">
        <v>355</v>
      </c>
    </row>
    <row r="47924" ht="16.5" customHeight="1">
      <c r="O47924" s="5" t="s">
        <v>355</v>
      </c>
      <c r="P47924" s="5" t="s">
        <v>355</v>
      </c>
      <c r="Q47924" s="5" t="s">
        <v>355</v>
      </c>
    </row>
    <row r="47925" ht="16.5" customHeight="1">
      <c r="O47925" s="5" t="s">
        <v>355</v>
      </c>
      <c r="P47925" s="5" t="s">
        <v>355</v>
      </c>
      <c r="Q47925" s="5" t="s">
        <v>355</v>
      </c>
    </row>
    <row r="47926" ht="16.5" customHeight="1">
      <c r="O47926" s="5" t="s">
        <v>355</v>
      </c>
      <c r="P47926" s="5" t="s">
        <v>355</v>
      </c>
      <c r="Q47926" s="5" t="s">
        <v>355</v>
      </c>
    </row>
    <row r="47927" ht="16.5" customHeight="1">
      <c r="O47927" s="5" t="s">
        <v>355</v>
      </c>
      <c r="P47927" s="5" t="s">
        <v>355</v>
      </c>
      <c r="Q47927" s="5" t="s">
        <v>355</v>
      </c>
    </row>
    <row r="47928" ht="16.5" customHeight="1">
      <c r="O47928" s="5" t="s">
        <v>355</v>
      </c>
      <c r="P47928" s="5" t="s">
        <v>355</v>
      </c>
      <c r="Q47928" s="5" t="s">
        <v>355</v>
      </c>
    </row>
    <row r="47929" ht="16.5" customHeight="1">
      <c r="O47929" s="5" t="s">
        <v>355</v>
      </c>
      <c r="P47929" s="5" t="s">
        <v>355</v>
      </c>
      <c r="Q47929" s="5" t="s">
        <v>355</v>
      </c>
    </row>
    <row r="47930" ht="16.5" customHeight="1">
      <c r="O47930" s="5" t="s">
        <v>355</v>
      </c>
      <c r="P47930" s="5" t="s">
        <v>355</v>
      </c>
      <c r="Q47930" s="5" t="s">
        <v>355</v>
      </c>
    </row>
    <row r="47931" ht="16.5" customHeight="1">
      <c r="O47931" s="5" t="s">
        <v>355</v>
      </c>
      <c r="P47931" s="5" t="s">
        <v>355</v>
      </c>
      <c r="Q47931" s="5" t="s">
        <v>355</v>
      </c>
    </row>
    <row r="47932" ht="16.5" customHeight="1">
      <c r="O47932" s="5" t="s">
        <v>355</v>
      </c>
      <c r="P47932" s="5" t="s">
        <v>355</v>
      </c>
      <c r="Q47932" s="5" t="s">
        <v>355</v>
      </c>
    </row>
    <row r="47933" ht="16.5" customHeight="1">
      <c r="O47933" s="5" t="s">
        <v>355</v>
      </c>
      <c r="P47933" s="5" t="s">
        <v>355</v>
      </c>
      <c r="Q47933" s="5" t="s">
        <v>355</v>
      </c>
    </row>
    <row r="47934" ht="16.5" customHeight="1">
      <c r="O47934" s="5" t="s">
        <v>355</v>
      </c>
      <c r="P47934" s="5" t="s">
        <v>355</v>
      </c>
      <c r="Q47934" s="5" t="s">
        <v>355</v>
      </c>
    </row>
    <row r="47935" ht="16.5" customHeight="1">
      <c r="O47935" s="5" t="s">
        <v>355</v>
      </c>
      <c r="P47935" s="5" t="s">
        <v>355</v>
      </c>
      <c r="Q47935" s="5" t="s">
        <v>355</v>
      </c>
    </row>
    <row r="47936" ht="16.5" customHeight="1">
      <c r="O47936" s="5" t="s">
        <v>355</v>
      </c>
      <c r="P47936" s="5" t="s">
        <v>355</v>
      </c>
      <c r="Q47936" s="5" t="s">
        <v>355</v>
      </c>
    </row>
    <row r="47937" ht="16.5" customHeight="1">
      <c r="O47937" s="5" t="s">
        <v>355</v>
      </c>
      <c r="P47937" s="5" t="s">
        <v>355</v>
      </c>
      <c r="Q47937" s="5" t="s">
        <v>355</v>
      </c>
    </row>
    <row r="47938" ht="16.5" customHeight="1">
      <c r="O47938" s="5" t="s">
        <v>355</v>
      </c>
      <c r="P47938" s="5" t="s">
        <v>355</v>
      </c>
      <c r="Q47938" s="5" t="s">
        <v>355</v>
      </c>
    </row>
    <row r="47939" ht="16.5" customHeight="1">
      <c r="O47939" s="5" t="s">
        <v>355</v>
      </c>
      <c r="P47939" s="5" t="s">
        <v>355</v>
      </c>
      <c r="Q47939" s="5" t="s">
        <v>355</v>
      </c>
    </row>
    <row r="47940" ht="16.5" customHeight="1">
      <c r="O47940" s="5" t="s">
        <v>355</v>
      </c>
      <c r="P47940" s="5" t="s">
        <v>355</v>
      </c>
      <c r="Q47940" s="5" t="s">
        <v>355</v>
      </c>
    </row>
    <row r="47941" ht="16.5" customHeight="1">
      <c r="O47941" s="5" t="s">
        <v>355</v>
      </c>
      <c r="P47941" s="5" t="s">
        <v>355</v>
      </c>
      <c r="Q47941" s="5" t="s">
        <v>355</v>
      </c>
    </row>
    <row r="47942" ht="16.5" customHeight="1">
      <c r="O47942" s="5" t="s">
        <v>355</v>
      </c>
      <c r="P47942" s="5" t="s">
        <v>355</v>
      </c>
      <c r="Q47942" s="5" t="s">
        <v>355</v>
      </c>
    </row>
    <row r="47943" ht="16.5" customHeight="1">
      <c r="O47943" s="5" t="s">
        <v>355</v>
      </c>
      <c r="P47943" s="5" t="s">
        <v>355</v>
      </c>
      <c r="Q47943" s="5" t="s">
        <v>355</v>
      </c>
    </row>
    <row r="47944" ht="16.5" customHeight="1">
      <c r="O47944" s="5" t="s">
        <v>355</v>
      </c>
      <c r="P47944" s="5" t="s">
        <v>355</v>
      </c>
      <c r="Q47944" s="5" t="s">
        <v>355</v>
      </c>
    </row>
    <row r="47945" ht="16.5" customHeight="1">
      <c r="O47945" s="5" t="s">
        <v>355</v>
      </c>
      <c r="P47945" s="5" t="s">
        <v>355</v>
      </c>
      <c r="Q47945" s="5" t="s">
        <v>355</v>
      </c>
    </row>
    <row r="47946" ht="16.5" customHeight="1">
      <c r="O47946" s="5" t="s">
        <v>355</v>
      </c>
      <c r="P47946" s="5" t="s">
        <v>355</v>
      </c>
      <c r="Q47946" s="5" t="s">
        <v>355</v>
      </c>
    </row>
    <row r="47947" ht="16.5" customHeight="1">
      <c r="O47947" s="5" t="s">
        <v>355</v>
      </c>
      <c r="P47947" s="5" t="s">
        <v>355</v>
      </c>
      <c r="Q47947" s="5" t="s">
        <v>355</v>
      </c>
    </row>
    <row r="47948" ht="16.5" customHeight="1">
      <c r="O47948" s="5" t="s">
        <v>355</v>
      </c>
      <c r="P47948" s="5" t="s">
        <v>355</v>
      </c>
      <c r="Q47948" s="5" t="s">
        <v>355</v>
      </c>
    </row>
    <row r="47949" ht="16.5" customHeight="1">
      <c r="O47949" s="5" t="s">
        <v>355</v>
      </c>
      <c r="P47949" s="5" t="s">
        <v>355</v>
      </c>
      <c r="Q47949" s="5" t="s">
        <v>355</v>
      </c>
    </row>
    <row r="47950" ht="16.5" customHeight="1">
      <c r="O47950" s="5" t="s">
        <v>355</v>
      </c>
      <c r="P47950" s="5" t="s">
        <v>355</v>
      </c>
      <c r="Q47950" s="5" t="s">
        <v>355</v>
      </c>
    </row>
    <row r="47951" ht="16.5" customHeight="1">
      <c r="O47951" s="5" t="s">
        <v>355</v>
      </c>
      <c r="P47951" s="5" t="s">
        <v>355</v>
      </c>
      <c r="Q47951" s="5" t="s">
        <v>355</v>
      </c>
    </row>
    <row r="47952" ht="16.5" customHeight="1">
      <c r="O47952" s="5" t="s">
        <v>355</v>
      </c>
      <c r="P47952" s="5" t="s">
        <v>355</v>
      </c>
      <c r="Q47952" s="5" t="s">
        <v>355</v>
      </c>
    </row>
    <row r="47953" ht="16.5" customHeight="1">
      <c r="O47953" s="5" t="s">
        <v>355</v>
      </c>
      <c r="P47953" s="5" t="s">
        <v>355</v>
      </c>
      <c r="Q47953" s="5" t="s">
        <v>355</v>
      </c>
    </row>
    <row r="47954" ht="16.5" customHeight="1">
      <c r="O47954" s="5" t="s">
        <v>355</v>
      </c>
      <c r="P47954" s="5" t="s">
        <v>355</v>
      </c>
      <c r="Q47954" s="5" t="s">
        <v>355</v>
      </c>
    </row>
    <row r="47955" ht="16.5" customHeight="1">
      <c r="O47955" s="5" t="s">
        <v>355</v>
      </c>
      <c r="P47955" s="5" t="s">
        <v>355</v>
      </c>
      <c r="Q47955" s="5" t="s">
        <v>355</v>
      </c>
    </row>
    <row r="47956" ht="16.5" customHeight="1">
      <c r="O47956" s="5" t="s">
        <v>355</v>
      </c>
      <c r="P47956" s="5" t="s">
        <v>355</v>
      </c>
      <c r="Q47956" s="5" t="s">
        <v>355</v>
      </c>
    </row>
    <row r="47957" ht="16.5" customHeight="1">
      <c r="O47957" s="5" t="s">
        <v>355</v>
      </c>
      <c r="P47957" s="5" t="s">
        <v>355</v>
      </c>
      <c r="Q47957" s="5" t="s">
        <v>355</v>
      </c>
    </row>
    <row r="47958" ht="16.5" customHeight="1">
      <c r="O47958" s="5" t="s">
        <v>355</v>
      </c>
      <c r="P47958" s="5" t="s">
        <v>355</v>
      </c>
      <c r="Q47958" s="5" t="s">
        <v>355</v>
      </c>
    </row>
    <row r="47959" ht="16.5" customHeight="1">
      <c r="O47959" s="5" t="s">
        <v>355</v>
      </c>
      <c r="P47959" s="5" t="s">
        <v>355</v>
      </c>
      <c r="Q47959" s="5" t="s">
        <v>355</v>
      </c>
    </row>
    <row r="47960" ht="16.5" customHeight="1">
      <c r="O47960" s="5" t="s">
        <v>355</v>
      </c>
      <c r="P47960" s="5" t="s">
        <v>355</v>
      </c>
      <c r="Q47960" s="5" t="s">
        <v>355</v>
      </c>
    </row>
    <row r="47961" ht="16.5" customHeight="1">
      <c r="O47961" s="5" t="s">
        <v>355</v>
      </c>
      <c r="P47961" s="5" t="s">
        <v>355</v>
      </c>
      <c r="Q47961" s="5" t="s">
        <v>355</v>
      </c>
    </row>
    <row r="47962" ht="16.5" customHeight="1">
      <c r="O47962" s="5" t="s">
        <v>355</v>
      </c>
      <c r="P47962" s="5" t="s">
        <v>355</v>
      </c>
      <c r="Q47962" s="5" t="s">
        <v>355</v>
      </c>
    </row>
    <row r="47963" ht="16.5" customHeight="1">
      <c r="O47963" s="5" t="s">
        <v>355</v>
      </c>
      <c r="P47963" s="5" t="s">
        <v>355</v>
      </c>
      <c r="Q47963" s="5" t="s">
        <v>355</v>
      </c>
    </row>
    <row r="47964" ht="16.5" customHeight="1">
      <c r="O47964" s="5" t="s">
        <v>355</v>
      </c>
      <c r="P47964" s="5" t="s">
        <v>355</v>
      </c>
      <c r="Q47964" s="5" t="s">
        <v>355</v>
      </c>
    </row>
    <row r="47965" ht="16.5" customHeight="1">
      <c r="O47965" s="5" t="s">
        <v>355</v>
      </c>
      <c r="P47965" s="5" t="s">
        <v>355</v>
      </c>
      <c r="Q47965" s="5" t="s">
        <v>355</v>
      </c>
    </row>
    <row r="47966" ht="16.5" customHeight="1">
      <c r="O47966" s="5" t="s">
        <v>355</v>
      </c>
      <c r="P47966" s="5" t="s">
        <v>355</v>
      </c>
      <c r="Q47966" s="5" t="s">
        <v>355</v>
      </c>
    </row>
    <row r="47967" ht="16.5" customHeight="1">
      <c r="O47967" s="5" t="s">
        <v>355</v>
      </c>
      <c r="P47967" s="5" t="s">
        <v>355</v>
      </c>
      <c r="Q47967" s="5" t="s">
        <v>355</v>
      </c>
    </row>
    <row r="47968" ht="16.5" customHeight="1">
      <c r="O47968" s="5" t="s">
        <v>355</v>
      </c>
      <c r="P47968" s="5" t="s">
        <v>355</v>
      </c>
      <c r="Q47968" s="5" t="s">
        <v>355</v>
      </c>
    </row>
    <row r="47969" ht="16.5" customHeight="1">
      <c r="O47969" s="5" t="s">
        <v>355</v>
      </c>
      <c r="P47969" s="5" t="s">
        <v>355</v>
      </c>
      <c r="Q47969" s="5" t="s">
        <v>355</v>
      </c>
    </row>
    <row r="47970" ht="16.5" customHeight="1">
      <c r="O47970" s="5" t="s">
        <v>355</v>
      </c>
      <c r="P47970" s="5" t="s">
        <v>355</v>
      </c>
      <c r="Q47970" s="5" t="s">
        <v>355</v>
      </c>
    </row>
    <row r="47971" ht="16.5" customHeight="1">
      <c r="O47971" s="5" t="s">
        <v>355</v>
      </c>
      <c r="P47971" s="5" t="s">
        <v>355</v>
      </c>
      <c r="Q47971" s="5" t="s">
        <v>355</v>
      </c>
    </row>
    <row r="47972" ht="16.5" customHeight="1">
      <c r="O47972" s="5" t="s">
        <v>355</v>
      </c>
      <c r="P47972" s="5" t="s">
        <v>355</v>
      </c>
      <c r="Q47972" s="5" t="s">
        <v>355</v>
      </c>
    </row>
    <row r="47973" ht="16.5" customHeight="1">
      <c r="O47973" s="5" t="s">
        <v>355</v>
      </c>
      <c r="P47973" s="5" t="s">
        <v>355</v>
      </c>
      <c r="Q47973" s="5" t="s">
        <v>355</v>
      </c>
    </row>
    <row r="47974" ht="16.5" customHeight="1">
      <c r="O47974" s="5" t="s">
        <v>355</v>
      </c>
      <c r="P47974" s="5" t="s">
        <v>355</v>
      </c>
      <c r="Q47974" s="5" t="s">
        <v>355</v>
      </c>
    </row>
    <row r="47975" ht="16.5" customHeight="1">
      <c r="O47975" s="5" t="s">
        <v>355</v>
      </c>
      <c r="P47975" s="5" t="s">
        <v>355</v>
      </c>
      <c r="Q47975" s="5" t="s">
        <v>355</v>
      </c>
    </row>
    <row r="47976" ht="16.5" customHeight="1">
      <c r="O47976" s="5" t="s">
        <v>355</v>
      </c>
      <c r="P47976" s="5" t="s">
        <v>355</v>
      </c>
      <c r="Q47976" s="5" t="s">
        <v>355</v>
      </c>
    </row>
    <row r="47977" ht="16.5" customHeight="1">
      <c r="O47977" s="5" t="s">
        <v>355</v>
      </c>
      <c r="P47977" s="5" t="s">
        <v>355</v>
      </c>
      <c r="Q47977" s="5" t="s">
        <v>355</v>
      </c>
    </row>
    <row r="47978" ht="16.5" customHeight="1">
      <c r="O47978" s="5" t="s">
        <v>355</v>
      </c>
      <c r="P47978" s="5" t="s">
        <v>355</v>
      </c>
      <c r="Q47978" s="5" t="s">
        <v>355</v>
      </c>
    </row>
    <row r="47979" ht="16.5" customHeight="1">
      <c r="O47979" s="5" t="s">
        <v>355</v>
      </c>
      <c r="P47979" s="5" t="s">
        <v>355</v>
      </c>
      <c r="Q47979" s="5" t="s">
        <v>355</v>
      </c>
    </row>
    <row r="47980" ht="16.5" customHeight="1">
      <c r="O47980" s="5" t="s">
        <v>355</v>
      </c>
      <c r="P47980" s="5" t="s">
        <v>355</v>
      </c>
      <c r="Q47980" s="5" t="s">
        <v>355</v>
      </c>
    </row>
    <row r="47981" ht="16.5" customHeight="1">
      <c r="O47981" s="5" t="s">
        <v>355</v>
      </c>
      <c r="P47981" s="5" t="s">
        <v>355</v>
      </c>
      <c r="Q47981" s="5" t="s">
        <v>355</v>
      </c>
    </row>
    <row r="47982" ht="16.5" customHeight="1">
      <c r="O47982" s="5" t="s">
        <v>355</v>
      </c>
      <c r="P47982" s="5" t="s">
        <v>355</v>
      </c>
      <c r="Q47982" s="5" t="s">
        <v>355</v>
      </c>
    </row>
    <row r="47983" ht="16.5" customHeight="1">
      <c r="O47983" s="5" t="s">
        <v>355</v>
      </c>
      <c r="P47983" s="5" t="s">
        <v>355</v>
      </c>
      <c r="Q47983" s="5" t="s">
        <v>355</v>
      </c>
    </row>
    <row r="47984" ht="16.5" customHeight="1">
      <c r="O47984" s="5" t="s">
        <v>355</v>
      </c>
      <c r="P47984" s="5" t="s">
        <v>355</v>
      </c>
      <c r="Q47984" s="5" t="s">
        <v>355</v>
      </c>
    </row>
    <row r="47985" ht="16.5" customHeight="1">
      <c r="O47985" s="5" t="s">
        <v>355</v>
      </c>
      <c r="P47985" s="5" t="s">
        <v>355</v>
      </c>
      <c r="Q47985" s="5" t="s">
        <v>355</v>
      </c>
    </row>
    <row r="47986" ht="16.5" customHeight="1">
      <c r="O47986" s="5" t="s">
        <v>355</v>
      </c>
      <c r="P47986" s="5" t="s">
        <v>355</v>
      </c>
      <c r="Q47986" s="5" t="s">
        <v>355</v>
      </c>
    </row>
    <row r="47987" ht="16.5" customHeight="1">
      <c r="O47987" s="5" t="s">
        <v>355</v>
      </c>
      <c r="P47987" s="5" t="s">
        <v>355</v>
      </c>
      <c r="Q47987" s="5" t="s">
        <v>355</v>
      </c>
    </row>
    <row r="47988" ht="16.5" customHeight="1">
      <c r="O47988" s="5" t="s">
        <v>355</v>
      </c>
      <c r="P47988" s="5" t="s">
        <v>355</v>
      </c>
      <c r="Q47988" s="5" t="s">
        <v>355</v>
      </c>
    </row>
    <row r="47989" ht="16.5" customHeight="1">
      <c r="O47989" s="5" t="s">
        <v>355</v>
      </c>
      <c r="P47989" s="5" t="s">
        <v>355</v>
      </c>
      <c r="Q47989" s="5" t="s">
        <v>355</v>
      </c>
    </row>
    <row r="47990" ht="16.5" customHeight="1">
      <c r="O47990" s="5" t="s">
        <v>355</v>
      </c>
      <c r="P47990" s="5" t="s">
        <v>355</v>
      </c>
      <c r="Q47990" s="5" t="s">
        <v>355</v>
      </c>
    </row>
    <row r="47991" ht="16.5" customHeight="1">
      <c r="O47991" s="5" t="s">
        <v>355</v>
      </c>
      <c r="P47991" s="5" t="s">
        <v>355</v>
      </c>
      <c r="Q47991" s="5" t="s">
        <v>355</v>
      </c>
    </row>
    <row r="47992" ht="16.5" customHeight="1">
      <c r="O47992" s="5" t="s">
        <v>355</v>
      </c>
      <c r="P47992" s="5" t="s">
        <v>355</v>
      </c>
      <c r="Q47992" s="5" t="s">
        <v>355</v>
      </c>
    </row>
    <row r="47993" ht="16.5" customHeight="1">
      <c r="O47993" s="5" t="s">
        <v>355</v>
      </c>
      <c r="P47993" s="5" t="s">
        <v>355</v>
      </c>
      <c r="Q47993" s="5" t="s">
        <v>355</v>
      </c>
    </row>
    <row r="47994" ht="16.5" customHeight="1">
      <c r="O47994" s="5" t="s">
        <v>355</v>
      </c>
      <c r="P47994" s="5" t="s">
        <v>355</v>
      </c>
      <c r="Q47994" s="5" t="s">
        <v>355</v>
      </c>
    </row>
    <row r="47995" ht="16.5" customHeight="1">
      <c r="O47995" s="5" t="s">
        <v>355</v>
      </c>
      <c r="P47995" s="5" t="s">
        <v>355</v>
      </c>
      <c r="Q47995" s="5" t="s">
        <v>355</v>
      </c>
    </row>
    <row r="47996" ht="16.5" customHeight="1">
      <c r="O47996" s="5" t="s">
        <v>355</v>
      </c>
      <c r="P47996" s="5" t="s">
        <v>355</v>
      </c>
      <c r="Q47996" s="5" t="s">
        <v>355</v>
      </c>
    </row>
    <row r="47997" ht="16.5" customHeight="1">
      <c r="O47997" s="5" t="s">
        <v>355</v>
      </c>
      <c r="P47997" s="5" t="s">
        <v>355</v>
      </c>
      <c r="Q47997" s="5" t="s">
        <v>355</v>
      </c>
    </row>
    <row r="47998" ht="16.5" customHeight="1">
      <c r="O47998" s="5" t="s">
        <v>355</v>
      </c>
      <c r="P47998" s="5" t="s">
        <v>355</v>
      </c>
      <c r="Q47998" s="5" t="s">
        <v>355</v>
      </c>
    </row>
    <row r="47999" ht="16.5" customHeight="1">
      <c r="O47999" s="5" t="s">
        <v>355</v>
      </c>
      <c r="P47999" s="5" t="s">
        <v>355</v>
      </c>
      <c r="Q47999" s="5" t="s">
        <v>355</v>
      </c>
    </row>
    <row r="48000" ht="16.5" customHeight="1">
      <c r="O48000" s="5" t="s">
        <v>355</v>
      </c>
      <c r="P48000" s="5" t="s">
        <v>355</v>
      </c>
      <c r="Q48000" s="5" t="s">
        <v>355</v>
      </c>
    </row>
    <row r="48001" ht="16.5" customHeight="1">
      <c r="O48001" s="5" t="s">
        <v>355</v>
      </c>
      <c r="P48001" s="5" t="s">
        <v>355</v>
      </c>
      <c r="Q48001" s="5" t="s">
        <v>355</v>
      </c>
    </row>
    <row r="48002" ht="16.5" customHeight="1">
      <c r="O48002" s="5" t="s">
        <v>355</v>
      </c>
      <c r="P48002" s="5" t="s">
        <v>355</v>
      </c>
      <c r="Q48002" s="5" t="s">
        <v>355</v>
      </c>
    </row>
    <row r="48003" ht="16.5" customHeight="1">
      <c r="O48003" s="5" t="s">
        <v>355</v>
      </c>
      <c r="P48003" s="5" t="s">
        <v>355</v>
      </c>
      <c r="Q48003" s="5" t="s">
        <v>355</v>
      </c>
    </row>
    <row r="48004" ht="16.5" customHeight="1">
      <c r="O48004" s="5" t="s">
        <v>355</v>
      </c>
      <c r="P48004" s="5" t="s">
        <v>355</v>
      </c>
      <c r="Q48004" s="5" t="s">
        <v>355</v>
      </c>
    </row>
    <row r="48005" ht="16.5" customHeight="1">
      <c r="O48005" s="5" t="s">
        <v>355</v>
      </c>
      <c r="P48005" s="5" t="s">
        <v>355</v>
      </c>
      <c r="Q48005" s="5" t="s">
        <v>355</v>
      </c>
    </row>
    <row r="48006" ht="16.5" customHeight="1">
      <c r="O48006" s="5" t="s">
        <v>355</v>
      </c>
      <c r="P48006" s="5" t="s">
        <v>355</v>
      </c>
      <c r="Q48006" s="5" t="s">
        <v>355</v>
      </c>
    </row>
    <row r="48007" ht="16.5" customHeight="1">
      <c r="O48007" s="5" t="s">
        <v>355</v>
      </c>
      <c r="P48007" s="5" t="s">
        <v>355</v>
      </c>
      <c r="Q48007" s="5" t="s">
        <v>355</v>
      </c>
    </row>
    <row r="48008" ht="16.5" customHeight="1">
      <c r="O48008" s="5" t="s">
        <v>355</v>
      </c>
      <c r="P48008" s="5" t="s">
        <v>355</v>
      </c>
      <c r="Q48008" s="5" t="s">
        <v>355</v>
      </c>
    </row>
    <row r="48009" ht="16.5" customHeight="1">
      <c r="O48009" s="5" t="s">
        <v>355</v>
      </c>
      <c r="P48009" s="5" t="s">
        <v>355</v>
      </c>
      <c r="Q48009" s="5" t="s">
        <v>355</v>
      </c>
    </row>
    <row r="48010" ht="16.5" customHeight="1">
      <c r="O48010" s="5" t="s">
        <v>355</v>
      </c>
      <c r="P48010" s="5" t="s">
        <v>355</v>
      </c>
      <c r="Q48010" s="5" t="s">
        <v>355</v>
      </c>
    </row>
    <row r="48011" ht="16.5" customHeight="1">
      <c r="O48011" s="5" t="s">
        <v>355</v>
      </c>
      <c r="P48011" s="5" t="s">
        <v>355</v>
      </c>
      <c r="Q48011" s="5" t="s">
        <v>355</v>
      </c>
    </row>
    <row r="48012" ht="16.5" customHeight="1">
      <c r="O48012" s="5" t="s">
        <v>355</v>
      </c>
      <c r="P48012" s="5" t="s">
        <v>355</v>
      </c>
      <c r="Q48012" s="5" t="s">
        <v>355</v>
      </c>
    </row>
    <row r="48013" ht="16.5" customHeight="1">
      <c r="O48013" s="5" t="s">
        <v>355</v>
      </c>
      <c r="P48013" s="5" t="s">
        <v>355</v>
      </c>
      <c r="Q48013" s="5" t="s">
        <v>355</v>
      </c>
    </row>
    <row r="48014" ht="16.5" customHeight="1">
      <c r="O48014" s="5" t="s">
        <v>355</v>
      </c>
      <c r="P48014" s="5" t="s">
        <v>355</v>
      </c>
      <c r="Q48014" s="5" t="s">
        <v>355</v>
      </c>
    </row>
    <row r="48015" ht="16.5" customHeight="1">
      <c r="O48015" s="5" t="s">
        <v>355</v>
      </c>
      <c r="P48015" s="5" t="s">
        <v>355</v>
      </c>
      <c r="Q48015" s="5" t="s">
        <v>355</v>
      </c>
    </row>
    <row r="48016" ht="16.5" customHeight="1">
      <c r="O48016" s="5" t="s">
        <v>355</v>
      </c>
      <c r="P48016" s="5" t="s">
        <v>355</v>
      </c>
      <c r="Q48016" s="5" t="s">
        <v>355</v>
      </c>
    </row>
    <row r="48017" ht="16.5" customHeight="1">
      <c r="O48017" s="5" t="s">
        <v>355</v>
      </c>
      <c r="P48017" s="5" t="s">
        <v>355</v>
      </c>
      <c r="Q48017" s="5" t="s">
        <v>355</v>
      </c>
    </row>
    <row r="48018" ht="16.5" customHeight="1">
      <c r="O48018" s="5" t="s">
        <v>355</v>
      </c>
      <c r="P48018" s="5" t="s">
        <v>355</v>
      </c>
      <c r="Q48018" s="5" t="s">
        <v>355</v>
      </c>
    </row>
    <row r="48019" ht="16.5" customHeight="1">
      <c r="O48019" s="5" t="s">
        <v>355</v>
      </c>
      <c r="P48019" s="5" t="s">
        <v>355</v>
      </c>
      <c r="Q48019" s="5" t="s">
        <v>355</v>
      </c>
    </row>
    <row r="48020" ht="16.5" customHeight="1">
      <c r="O48020" s="5" t="s">
        <v>355</v>
      </c>
      <c r="P48020" s="5" t="s">
        <v>355</v>
      </c>
      <c r="Q48020" s="5" t="s">
        <v>355</v>
      </c>
    </row>
    <row r="48021" ht="16.5" customHeight="1">
      <c r="O48021" s="5" t="s">
        <v>355</v>
      </c>
      <c r="P48021" s="5" t="s">
        <v>355</v>
      </c>
      <c r="Q48021" s="5" t="s">
        <v>355</v>
      </c>
    </row>
    <row r="48022" ht="16.5" customHeight="1">
      <c r="O48022" s="5" t="s">
        <v>355</v>
      </c>
      <c r="P48022" s="5" t="s">
        <v>355</v>
      </c>
      <c r="Q48022" s="5" t="s">
        <v>355</v>
      </c>
    </row>
    <row r="48023" ht="16.5" customHeight="1">
      <c r="O48023" s="5" t="s">
        <v>355</v>
      </c>
      <c r="P48023" s="5" t="s">
        <v>355</v>
      </c>
      <c r="Q48023" s="5" t="s">
        <v>355</v>
      </c>
    </row>
    <row r="48024" ht="16.5" customHeight="1">
      <c r="O48024" s="5" t="s">
        <v>355</v>
      </c>
      <c r="P48024" s="5" t="s">
        <v>355</v>
      </c>
      <c r="Q48024" s="5" t="s">
        <v>355</v>
      </c>
    </row>
    <row r="48025" ht="16.5" customHeight="1">
      <c r="O48025" s="5" t="s">
        <v>355</v>
      </c>
      <c r="P48025" s="5" t="s">
        <v>355</v>
      </c>
      <c r="Q48025" s="5" t="s">
        <v>355</v>
      </c>
    </row>
    <row r="48026" ht="16.5" customHeight="1">
      <c r="O48026" s="5" t="s">
        <v>355</v>
      </c>
      <c r="P48026" s="5" t="s">
        <v>355</v>
      </c>
      <c r="Q48026" s="5" t="s">
        <v>355</v>
      </c>
    </row>
    <row r="48027" ht="16.5" customHeight="1">
      <c r="O48027" s="5" t="s">
        <v>355</v>
      </c>
      <c r="P48027" s="5" t="s">
        <v>355</v>
      </c>
      <c r="Q48027" s="5" t="s">
        <v>355</v>
      </c>
    </row>
    <row r="48028" ht="16.5" customHeight="1">
      <c r="O48028" s="5" t="s">
        <v>355</v>
      </c>
      <c r="P48028" s="5" t="s">
        <v>355</v>
      </c>
      <c r="Q48028" s="5" t="s">
        <v>355</v>
      </c>
    </row>
    <row r="48029" ht="16.5" customHeight="1">
      <c r="O48029" s="5" t="s">
        <v>355</v>
      </c>
      <c r="P48029" s="5" t="s">
        <v>355</v>
      </c>
      <c r="Q48029" s="5" t="s">
        <v>355</v>
      </c>
    </row>
    <row r="48030" ht="16.5" customHeight="1">
      <c r="O48030" s="5" t="s">
        <v>355</v>
      </c>
      <c r="P48030" s="5" t="s">
        <v>355</v>
      </c>
      <c r="Q48030" s="5" t="s">
        <v>355</v>
      </c>
    </row>
    <row r="48031" ht="16.5" customHeight="1">
      <c r="O48031" s="5" t="s">
        <v>355</v>
      </c>
      <c r="P48031" s="5" t="s">
        <v>355</v>
      </c>
      <c r="Q48031" s="5" t="s">
        <v>355</v>
      </c>
    </row>
    <row r="48032" ht="16.5" customHeight="1">
      <c r="O48032" s="5" t="s">
        <v>355</v>
      </c>
      <c r="P48032" s="5" t="s">
        <v>355</v>
      </c>
      <c r="Q48032" s="5" t="s">
        <v>355</v>
      </c>
    </row>
    <row r="48033" ht="16.5" customHeight="1">
      <c r="O48033" s="5" t="s">
        <v>355</v>
      </c>
      <c r="P48033" s="5" t="s">
        <v>355</v>
      </c>
      <c r="Q48033" s="5" t="s">
        <v>355</v>
      </c>
    </row>
    <row r="48034" ht="16.5" customHeight="1">
      <c r="O48034" s="5" t="s">
        <v>355</v>
      </c>
      <c r="P48034" s="5" t="s">
        <v>355</v>
      </c>
      <c r="Q48034" s="5" t="s">
        <v>355</v>
      </c>
    </row>
    <row r="48035" ht="16.5" customHeight="1">
      <c r="O48035" s="5" t="s">
        <v>355</v>
      </c>
      <c r="P48035" s="5" t="s">
        <v>355</v>
      </c>
      <c r="Q48035" s="5" t="s">
        <v>355</v>
      </c>
    </row>
    <row r="48036" ht="16.5" customHeight="1">
      <c r="O48036" s="5" t="s">
        <v>355</v>
      </c>
      <c r="P48036" s="5" t="s">
        <v>355</v>
      </c>
      <c r="Q48036" s="5" t="s">
        <v>355</v>
      </c>
    </row>
    <row r="48037" ht="16.5" customHeight="1">
      <c r="O48037" s="5" t="s">
        <v>355</v>
      </c>
      <c r="P48037" s="5" t="s">
        <v>355</v>
      </c>
      <c r="Q48037" s="5" t="s">
        <v>355</v>
      </c>
    </row>
    <row r="48038" ht="16.5" customHeight="1">
      <c r="O48038" s="5" t="s">
        <v>355</v>
      </c>
      <c r="P48038" s="5" t="s">
        <v>355</v>
      </c>
      <c r="Q48038" s="5" t="s">
        <v>355</v>
      </c>
    </row>
    <row r="48039" ht="16.5" customHeight="1">
      <c r="O48039" s="5" t="s">
        <v>355</v>
      </c>
      <c r="P48039" s="5" t="s">
        <v>355</v>
      </c>
      <c r="Q48039" s="5" t="s">
        <v>355</v>
      </c>
    </row>
    <row r="48040" ht="16.5" customHeight="1">
      <c r="O48040" s="5" t="s">
        <v>355</v>
      </c>
      <c r="P48040" s="5" t="s">
        <v>355</v>
      </c>
      <c r="Q48040" s="5" t="s">
        <v>355</v>
      </c>
    </row>
    <row r="48041" ht="16.5" customHeight="1">
      <c r="O48041" s="5" t="s">
        <v>355</v>
      </c>
      <c r="P48041" s="5" t="s">
        <v>355</v>
      </c>
      <c r="Q48041" s="5" t="s">
        <v>355</v>
      </c>
    </row>
    <row r="48042" ht="16.5" customHeight="1">
      <c r="O48042" s="5" t="s">
        <v>355</v>
      </c>
      <c r="P48042" s="5" t="s">
        <v>355</v>
      </c>
      <c r="Q48042" s="5" t="s">
        <v>355</v>
      </c>
    </row>
    <row r="48043" ht="16.5" customHeight="1">
      <c r="O48043" s="5" t="s">
        <v>355</v>
      </c>
      <c r="P48043" s="5" t="s">
        <v>355</v>
      </c>
      <c r="Q48043" s="5" t="s">
        <v>355</v>
      </c>
    </row>
    <row r="48044" ht="16.5" customHeight="1">
      <c r="O48044" s="5" t="s">
        <v>355</v>
      </c>
      <c r="P48044" s="5" t="s">
        <v>355</v>
      </c>
      <c r="Q48044" s="5" t="s">
        <v>355</v>
      </c>
    </row>
    <row r="48045" ht="16.5" customHeight="1">
      <c r="O48045" s="5" t="s">
        <v>355</v>
      </c>
      <c r="P48045" s="5" t="s">
        <v>355</v>
      </c>
      <c r="Q48045" s="5" t="s">
        <v>355</v>
      </c>
    </row>
    <row r="48046" ht="16.5" customHeight="1">
      <c r="O48046" s="5" t="s">
        <v>355</v>
      </c>
      <c r="P48046" s="5" t="s">
        <v>355</v>
      </c>
      <c r="Q48046" s="5" t="s">
        <v>355</v>
      </c>
    </row>
    <row r="48047" ht="16.5" customHeight="1">
      <c r="O48047" s="5" t="s">
        <v>355</v>
      </c>
      <c r="P48047" s="5" t="s">
        <v>355</v>
      </c>
      <c r="Q48047" s="5" t="s">
        <v>355</v>
      </c>
    </row>
    <row r="48048" ht="16.5" customHeight="1">
      <c r="O48048" s="5" t="s">
        <v>355</v>
      </c>
      <c r="P48048" s="5" t="s">
        <v>355</v>
      </c>
      <c r="Q48048" s="5" t="s">
        <v>355</v>
      </c>
    </row>
    <row r="48049" ht="16.5" customHeight="1">
      <c r="O48049" s="5" t="s">
        <v>355</v>
      </c>
      <c r="P48049" s="5" t="s">
        <v>355</v>
      </c>
      <c r="Q48049" s="5" t="s">
        <v>355</v>
      </c>
    </row>
    <row r="48050" ht="16.5" customHeight="1">
      <c r="O48050" s="5" t="s">
        <v>355</v>
      </c>
      <c r="P48050" s="5" t="s">
        <v>355</v>
      </c>
      <c r="Q48050" s="5" t="s">
        <v>355</v>
      </c>
    </row>
    <row r="48051" ht="16.5" customHeight="1">
      <c r="O48051" s="5" t="s">
        <v>355</v>
      </c>
      <c r="P48051" s="5" t="s">
        <v>355</v>
      </c>
      <c r="Q48051" s="5" t="s">
        <v>355</v>
      </c>
    </row>
    <row r="48052" ht="16.5" customHeight="1">
      <c r="O48052" s="5" t="s">
        <v>355</v>
      </c>
      <c r="P48052" s="5" t="s">
        <v>355</v>
      </c>
      <c r="Q48052" s="5" t="s">
        <v>355</v>
      </c>
    </row>
    <row r="48053" ht="16.5" customHeight="1">
      <c r="O48053" s="5" t="s">
        <v>355</v>
      </c>
      <c r="P48053" s="5" t="s">
        <v>355</v>
      </c>
      <c r="Q48053" s="5" t="s">
        <v>355</v>
      </c>
    </row>
    <row r="48054" ht="16.5" customHeight="1">
      <c r="O48054" s="5" t="s">
        <v>355</v>
      </c>
      <c r="P48054" s="5" t="s">
        <v>355</v>
      </c>
      <c r="Q48054" s="5" t="s">
        <v>355</v>
      </c>
    </row>
    <row r="48055" ht="16.5" customHeight="1">
      <c r="O48055" s="5" t="s">
        <v>355</v>
      </c>
      <c r="P48055" s="5" t="s">
        <v>355</v>
      </c>
      <c r="Q48055" s="5" t="s">
        <v>355</v>
      </c>
    </row>
    <row r="48056" ht="16.5" customHeight="1">
      <c r="O48056" s="5" t="s">
        <v>355</v>
      </c>
      <c r="P48056" s="5" t="s">
        <v>355</v>
      </c>
      <c r="Q48056" s="5" t="s">
        <v>355</v>
      </c>
    </row>
    <row r="48057" ht="16.5" customHeight="1">
      <c r="O48057" s="5" t="s">
        <v>355</v>
      </c>
      <c r="P48057" s="5" t="s">
        <v>355</v>
      </c>
      <c r="Q48057" s="5" t="s">
        <v>355</v>
      </c>
    </row>
    <row r="48058" ht="16.5" customHeight="1">
      <c r="O48058" s="5" t="s">
        <v>355</v>
      </c>
      <c r="P48058" s="5" t="s">
        <v>355</v>
      </c>
      <c r="Q48058" s="5" t="s">
        <v>355</v>
      </c>
    </row>
    <row r="48059" ht="16.5" customHeight="1">
      <c r="O48059" s="5" t="s">
        <v>355</v>
      </c>
      <c r="P48059" s="5" t="s">
        <v>355</v>
      </c>
      <c r="Q48059" s="5" t="s">
        <v>355</v>
      </c>
    </row>
    <row r="48060" ht="16.5" customHeight="1">
      <c r="O48060" s="5" t="s">
        <v>355</v>
      </c>
      <c r="P48060" s="5" t="s">
        <v>355</v>
      </c>
      <c r="Q48060" s="5" t="s">
        <v>355</v>
      </c>
    </row>
    <row r="48061" ht="16.5" customHeight="1">
      <c r="O48061" s="5" t="s">
        <v>355</v>
      </c>
      <c r="P48061" s="5" t="s">
        <v>355</v>
      </c>
      <c r="Q48061" s="5" t="s">
        <v>355</v>
      </c>
    </row>
    <row r="48062" ht="16.5" customHeight="1">
      <c r="O48062" s="5" t="s">
        <v>355</v>
      </c>
      <c r="P48062" s="5" t="s">
        <v>355</v>
      </c>
      <c r="Q48062" s="5" t="s">
        <v>355</v>
      </c>
    </row>
    <row r="48063" ht="16.5" customHeight="1">
      <c r="O48063" s="5" t="s">
        <v>355</v>
      </c>
      <c r="P48063" s="5" t="s">
        <v>355</v>
      </c>
      <c r="Q48063" s="5" t="s">
        <v>355</v>
      </c>
    </row>
    <row r="48064" ht="16.5" customHeight="1">
      <c r="O48064" s="5" t="s">
        <v>355</v>
      </c>
      <c r="P48064" s="5" t="s">
        <v>355</v>
      </c>
      <c r="Q48064" s="5" t="s">
        <v>355</v>
      </c>
    </row>
    <row r="48065" ht="16.5" customHeight="1">
      <c r="O48065" s="5" t="s">
        <v>355</v>
      </c>
      <c r="P48065" s="5" t="s">
        <v>355</v>
      </c>
      <c r="Q48065" s="5" t="s">
        <v>355</v>
      </c>
    </row>
    <row r="48066" ht="16.5" customHeight="1">
      <c r="O48066" s="5" t="s">
        <v>355</v>
      </c>
      <c r="P48066" s="5" t="s">
        <v>355</v>
      </c>
      <c r="Q48066" s="5" t="s">
        <v>355</v>
      </c>
    </row>
    <row r="48067" ht="16.5" customHeight="1">
      <c r="O48067" s="5" t="s">
        <v>355</v>
      </c>
      <c r="P48067" s="5" t="s">
        <v>355</v>
      </c>
      <c r="Q48067" s="5" t="s">
        <v>355</v>
      </c>
    </row>
    <row r="48068" ht="16.5" customHeight="1">
      <c r="O48068" s="5" t="s">
        <v>355</v>
      </c>
      <c r="P48068" s="5" t="s">
        <v>355</v>
      </c>
      <c r="Q48068" s="5" t="s">
        <v>355</v>
      </c>
    </row>
    <row r="48069" ht="16.5" customHeight="1">
      <c r="O48069" s="5" t="s">
        <v>355</v>
      </c>
      <c r="P48069" s="5" t="s">
        <v>355</v>
      </c>
      <c r="Q48069" s="5" t="s">
        <v>355</v>
      </c>
    </row>
    <row r="48070" ht="16.5" customHeight="1">
      <c r="O48070" s="5" t="s">
        <v>355</v>
      </c>
      <c r="P48070" s="5" t="s">
        <v>355</v>
      </c>
      <c r="Q48070" s="5" t="s">
        <v>355</v>
      </c>
    </row>
    <row r="48071" ht="16.5" customHeight="1">
      <c r="O48071" s="5" t="s">
        <v>355</v>
      </c>
      <c r="P48071" s="5" t="s">
        <v>355</v>
      </c>
      <c r="Q48071" s="5" t="s">
        <v>355</v>
      </c>
    </row>
    <row r="48072" ht="16.5" customHeight="1">
      <c r="O48072" s="5" t="s">
        <v>355</v>
      </c>
      <c r="P48072" s="5" t="s">
        <v>355</v>
      </c>
      <c r="Q48072" s="5" t="s">
        <v>355</v>
      </c>
    </row>
    <row r="48073" ht="16.5" customHeight="1">
      <c r="O48073" s="5" t="s">
        <v>355</v>
      </c>
      <c r="P48073" s="5" t="s">
        <v>355</v>
      </c>
      <c r="Q48073" s="5" t="s">
        <v>355</v>
      </c>
    </row>
    <row r="48074" ht="16.5" customHeight="1">
      <c r="O48074" s="5" t="s">
        <v>355</v>
      </c>
      <c r="P48074" s="5" t="s">
        <v>355</v>
      </c>
      <c r="Q48074" s="5" t="s">
        <v>355</v>
      </c>
    </row>
    <row r="48075" ht="16.5" customHeight="1">
      <c r="O48075" s="5" t="s">
        <v>355</v>
      </c>
      <c r="P48075" s="5" t="s">
        <v>355</v>
      </c>
      <c r="Q48075" s="5" t="s">
        <v>355</v>
      </c>
    </row>
    <row r="48076" ht="16.5" customHeight="1">
      <c r="O48076" s="5" t="s">
        <v>355</v>
      </c>
      <c r="P48076" s="5" t="s">
        <v>355</v>
      </c>
      <c r="Q48076" s="5" t="s">
        <v>355</v>
      </c>
    </row>
    <row r="48077" ht="16.5" customHeight="1">
      <c r="O48077" s="5" t="s">
        <v>355</v>
      </c>
      <c r="P48077" s="5" t="s">
        <v>355</v>
      </c>
      <c r="Q48077" s="5" t="s">
        <v>355</v>
      </c>
    </row>
    <row r="48078" ht="16.5" customHeight="1">
      <c r="O48078" s="5" t="s">
        <v>355</v>
      </c>
      <c r="P48078" s="5" t="s">
        <v>355</v>
      </c>
      <c r="Q48078" s="5" t="s">
        <v>355</v>
      </c>
    </row>
    <row r="48079" ht="16.5" customHeight="1">
      <c r="O48079" s="5" t="s">
        <v>355</v>
      </c>
      <c r="P48079" s="5" t="s">
        <v>355</v>
      </c>
      <c r="Q48079" s="5" t="s">
        <v>355</v>
      </c>
    </row>
    <row r="48080" ht="16.5" customHeight="1">
      <c r="O48080" s="5" t="s">
        <v>355</v>
      </c>
      <c r="P48080" s="5" t="s">
        <v>355</v>
      </c>
      <c r="Q48080" s="5" t="s">
        <v>355</v>
      </c>
    </row>
    <row r="48081" ht="16.5" customHeight="1">
      <c r="O48081" s="5" t="s">
        <v>355</v>
      </c>
      <c r="P48081" s="5" t="s">
        <v>355</v>
      </c>
      <c r="Q48081" s="5" t="s">
        <v>355</v>
      </c>
    </row>
    <row r="48082" ht="16.5" customHeight="1">
      <c r="O48082" s="5" t="s">
        <v>355</v>
      </c>
      <c r="P48082" s="5" t="s">
        <v>355</v>
      </c>
      <c r="Q48082" s="5" t="s">
        <v>355</v>
      </c>
    </row>
    <row r="48083" ht="16.5" customHeight="1">
      <c r="O48083" s="5" t="s">
        <v>355</v>
      </c>
      <c r="P48083" s="5" t="s">
        <v>355</v>
      </c>
      <c r="Q48083" s="5" t="s">
        <v>355</v>
      </c>
    </row>
    <row r="48084" ht="16.5" customHeight="1">
      <c r="O48084" s="5" t="s">
        <v>355</v>
      </c>
      <c r="P48084" s="5" t="s">
        <v>355</v>
      </c>
      <c r="Q48084" s="5" t="s">
        <v>355</v>
      </c>
    </row>
    <row r="48085" ht="16.5" customHeight="1">
      <c r="O48085" s="5" t="s">
        <v>355</v>
      </c>
      <c r="P48085" s="5" t="s">
        <v>355</v>
      </c>
      <c r="Q48085" s="5" t="s">
        <v>355</v>
      </c>
    </row>
    <row r="48086" ht="16.5" customHeight="1">
      <c r="O48086" s="5" t="s">
        <v>355</v>
      </c>
      <c r="P48086" s="5" t="s">
        <v>355</v>
      </c>
      <c r="Q48086" s="5" t="s">
        <v>355</v>
      </c>
    </row>
    <row r="48087" ht="16.5" customHeight="1">
      <c r="O48087" s="5" t="s">
        <v>355</v>
      </c>
      <c r="P48087" s="5" t="s">
        <v>355</v>
      </c>
      <c r="Q48087" s="5" t="s">
        <v>355</v>
      </c>
    </row>
    <row r="48088" ht="16.5" customHeight="1">
      <c r="O48088" s="5" t="s">
        <v>355</v>
      </c>
      <c r="P48088" s="5" t="s">
        <v>355</v>
      </c>
      <c r="Q48088" s="5" t="s">
        <v>355</v>
      </c>
    </row>
    <row r="48089" ht="16.5" customHeight="1">
      <c r="O48089" s="5" t="s">
        <v>355</v>
      </c>
      <c r="P48089" s="5" t="s">
        <v>355</v>
      </c>
      <c r="Q48089" s="5" t="s">
        <v>355</v>
      </c>
    </row>
    <row r="48090" ht="16.5" customHeight="1">
      <c r="O48090" s="5" t="s">
        <v>355</v>
      </c>
      <c r="P48090" s="5" t="s">
        <v>355</v>
      </c>
      <c r="Q48090" s="5" t="s">
        <v>355</v>
      </c>
    </row>
    <row r="48091" ht="16.5" customHeight="1">
      <c r="O48091" s="5" t="s">
        <v>355</v>
      </c>
      <c r="P48091" s="5" t="s">
        <v>355</v>
      </c>
      <c r="Q48091" s="5" t="s">
        <v>355</v>
      </c>
    </row>
    <row r="48092" ht="16.5" customHeight="1">
      <c r="O48092" s="5" t="s">
        <v>355</v>
      </c>
      <c r="P48092" s="5" t="s">
        <v>355</v>
      </c>
      <c r="Q48092" s="5" t="s">
        <v>355</v>
      </c>
    </row>
    <row r="48093" ht="16.5" customHeight="1">
      <c r="O48093" s="5" t="s">
        <v>355</v>
      </c>
      <c r="P48093" s="5" t="s">
        <v>355</v>
      </c>
      <c r="Q48093" s="5" t="s">
        <v>355</v>
      </c>
    </row>
    <row r="48094" ht="16.5" customHeight="1">
      <c r="O48094" s="5" t="s">
        <v>355</v>
      </c>
      <c r="P48094" s="5" t="s">
        <v>355</v>
      </c>
      <c r="Q48094" s="5" t="s">
        <v>355</v>
      </c>
    </row>
    <row r="48095" ht="16.5" customHeight="1">
      <c r="O48095" s="5" t="s">
        <v>355</v>
      </c>
      <c r="P48095" s="5" t="s">
        <v>355</v>
      </c>
      <c r="Q48095" s="5" t="s">
        <v>355</v>
      </c>
    </row>
    <row r="48096" ht="16.5" customHeight="1">
      <c r="O48096" s="5" t="s">
        <v>355</v>
      </c>
      <c r="P48096" s="5" t="s">
        <v>355</v>
      </c>
      <c r="Q48096" s="5" t="s">
        <v>355</v>
      </c>
    </row>
    <row r="48097" ht="16.5" customHeight="1">
      <c r="O48097" s="5" t="s">
        <v>355</v>
      </c>
      <c r="P48097" s="5" t="s">
        <v>355</v>
      </c>
      <c r="Q48097" s="5" t="s">
        <v>355</v>
      </c>
    </row>
    <row r="48098" ht="16.5" customHeight="1">
      <c r="O48098" s="5" t="s">
        <v>355</v>
      </c>
      <c r="P48098" s="5" t="s">
        <v>355</v>
      </c>
      <c r="Q48098" s="5" t="s">
        <v>355</v>
      </c>
    </row>
    <row r="48099" ht="16.5" customHeight="1">
      <c r="O48099" s="5" t="s">
        <v>355</v>
      </c>
      <c r="P48099" s="5" t="s">
        <v>355</v>
      </c>
      <c r="Q48099" s="5" t="s">
        <v>355</v>
      </c>
    </row>
    <row r="48100" ht="16.5" customHeight="1">
      <c r="O48100" s="5" t="s">
        <v>355</v>
      </c>
      <c r="P48100" s="5" t="s">
        <v>355</v>
      </c>
      <c r="Q48100" s="5" t="s">
        <v>355</v>
      </c>
    </row>
    <row r="48101" ht="16.5" customHeight="1">
      <c r="O48101" s="5" t="s">
        <v>355</v>
      </c>
      <c r="P48101" s="5" t="s">
        <v>355</v>
      </c>
      <c r="Q48101" s="5" t="s">
        <v>355</v>
      </c>
    </row>
    <row r="48102" ht="16.5" customHeight="1">
      <c r="O48102" s="5" t="s">
        <v>355</v>
      </c>
      <c r="P48102" s="5" t="s">
        <v>355</v>
      </c>
      <c r="Q48102" s="5" t="s">
        <v>355</v>
      </c>
    </row>
    <row r="48103" ht="16.5" customHeight="1">
      <c r="O48103" s="5" t="s">
        <v>355</v>
      </c>
      <c r="P48103" s="5" t="s">
        <v>355</v>
      </c>
      <c r="Q48103" s="5" t="s">
        <v>355</v>
      </c>
    </row>
    <row r="48104" ht="16.5" customHeight="1">
      <c r="O48104" s="5" t="s">
        <v>355</v>
      </c>
      <c r="P48104" s="5" t="s">
        <v>355</v>
      </c>
      <c r="Q48104" s="5" t="s">
        <v>355</v>
      </c>
    </row>
    <row r="48105" ht="16.5" customHeight="1">
      <c r="O48105" s="5" t="s">
        <v>355</v>
      </c>
      <c r="P48105" s="5" t="s">
        <v>355</v>
      </c>
      <c r="Q48105" s="5" t="s">
        <v>355</v>
      </c>
    </row>
    <row r="48106" ht="16.5" customHeight="1">
      <c r="O48106" s="5" t="s">
        <v>355</v>
      </c>
      <c r="P48106" s="5" t="s">
        <v>355</v>
      </c>
      <c r="Q48106" s="5" t="s">
        <v>355</v>
      </c>
    </row>
    <row r="48107" ht="16.5" customHeight="1">
      <c r="O48107" s="5" t="s">
        <v>355</v>
      </c>
      <c r="P48107" s="5" t="s">
        <v>355</v>
      </c>
      <c r="Q48107" s="5" t="s">
        <v>355</v>
      </c>
    </row>
    <row r="48108" ht="16.5" customHeight="1">
      <c r="O48108" s="5" t="s">
        <v>355</v>
      </c>
      <c r="P48108" s="5" t="s">
        <v>355</v>
      </c>
      <c r="Q48108" s="5" t="s">
        <v>355</v>
      </c>
    </row>
    <row r="48109" ht="16.5" customHeight="1">
      <c r="O48109" s="5" t="s">
        <v>355</v>
      </c>
      <c r="P48109" s="5" t="s">
        <v>355</v>
      </c>
      <c r="Q48109" s="5" t="s">
        <v>355</v>
      </c>
    </row>
    <row r="48110" ht="16.5" customHeight="1">
      <c r="O48110" s="5" t="s">
        <v>355</v>
      </c>
      <c r="P48110" s="5" t="s">
        <v>355</v>
      </c>
      <c r="Q48110" s="5" t="s">
        <v>355</v>
      </c>
    </row>
    <row r="48111" ht="16.5" customHeight="1">
      <c r="O48111" s="5" t="s">
        <v>355</v>
      </c>
      <c r="P48111" s="5" t="s">
        <v>355</v>
      </c>
      <c r="Q48111" s="5" t="s">
        <v>355</v>
      </c>
    </row>
    <row r="48112" ht="16.5" customHeight="1">
      <c r="O48112" s="5" t="s">
        <v>355</v>
      </c>
      <c r="P48112" s="5" t="s">
        <v>355</v>
      </c>
      <c r="Q48112" s="5" t="s">
        <v>355</v>
      </c>
    </row>
    <row r="48113" ht="16.5" customHeight="1">
      <c r="O48113" s="5" t="s">
        <v>355</v>
      </c>
      <c r="P48113" s="5" t="s">
        <v>355</v>
      </c>
      <c r="Q48113" s="5" t="s">
        <v>355</v>
      </c>
    </row>
    <row r="48114" ht="16.5" customHeight="1">
      <c r="O48114" s="5" t="s">
        <v>355</v>
      </c>
      <c r="P48114" s="5" t="s">
        <v>355</v>
      </c>
      <c r="Q48114" s="5" t="s">
        <v>355</v>
      </c>
    </row>
    <row r="48115" ht="16.5" customHeight="1">
      <c r="O48115" s="5" t="s">
        <v>355</v>
      </c>
      <c r="P48115" s="5" t="s">
        <v>355</v>
      </c>
      <c r="Q48115" s="5" t="s">
        <v>355</v>
      </c>
    </row>
    <row r="48116" ht="16.5" customHeight="1">
      <c r="O48116" s="5" t="s">
        <v>355</v>
      </c>
      <c r="P48116" s="5" t="s">
        <v>355</v>
      </c>
      <c r="Q48116" s="5" t="s">
        <v>355</v>
      </c>
    </row>
    <row r="48117" ht="16.5" customHeight="1">
      <c r="O48117" s="5" t="s">
        <v>355</v>
      </c>
      <c r="P48117" s="5" t="s">
        <v>355</v>
      </c>
      <c r="Q48117" s="5" t="s">
        <v>355</v>
      </c>
    </row>
    <row r="48118" ht="16.5" customHeight="1">
      <c r="O48118" s="5" t="s">
        <v>355</v>
      </c>
      <c r="P48118" s="5" t="s">
        <v>355</v>
      </c>
      <c r="Q48118" s="5" t="s">
        <v>355</v>
      </c>
    </row>
    <row r="48119" ht="16.5" customHeight="1">
      <c r="O48119" s="5" t="s">
        <v>355</v>
      </c>
      <c r="P48119" s="5" t="s">
        <v>355</v>
      </c>
      <c r="Q48119" s="5" t="s">
        <v>355</v>
      </c>
    </row>
    <row r="48120" ht="16.5" customHeight="1">
      <c r="O48120" s="5" t="s">
        <v>355</v>
      </c>
      <c r="P48120" s="5" t="s">
        <v>355</v>
      </c>
      <c r="Q48120" s="5" t="s">
        <v>355</v>
      </c>
    </row>
    <row r="48121" ht="16.5" customHeight="1">
      <c r="O48121" s="5" t="s">
        <v>355</v>
      </c>
      <c r="P48121" s="5" t="s">
        <v>355</v>
      </c>
      <c r="Q48121" s="5" t="s">
        <v>355</v>
      </c>
    </row>
    <row r="48122" ht="16.5" customHeight="1">
      <c r="O48122" s="5" t="s">
        <v>355</v>
      </c>
      <c r="P48122" s="5" t="s">
        <v>355</v>
      </c>
      <c r="Q48122" s="5" t="s">
        <v>355</v>
      </c>
    </row>
    <row r="48123" ht="16.5" customHeight="1">
      <c r="O48123" s="5" t="s">
        <v>355</v>
      </c>
      <c r="P48123" s="5" t="s">
        <v>355</v>
      </c>
      <c r="Q48123" s="5" t="s">
        <v>355</v>
      </c>
    </row>
    <row r="48124" ht="16.5" customHeight="1">
      <c r="O48124" s="5" t="s">
        <v>355</v>
      </c>
      <c r="P48124" s="5" t="s">
        <v>355</v>
      </c>
      <c r="Q48124" s="5" t="s">
        <v>355</v>
      </c>
    </row>
    <row r="48125" ht="16.5" customHeight="1">
      <c r="O48125" s="5" t="s">
        <v>355</v>
      </c>
      <c r="P48125" s="5" t="s">
        <v>355</v>
      </c>
      <c r="Q48125" s="5" t="s">
        <v>355</v>
      </c>
    </row>
    <row r="48126" ht="16.5" customHeight="1">
      <c r="O48126" s="5" t="s">
        <v>355</v>
      </c>
      <c r="P48126" s="5" t="s">
        <v>355</v>
      </c>
      <c r="Q48126" s="5" t="s">
        <v>355</v>
      </c>
    </row>
    <row r="48127" ht="16.5" customHeight="1">
      <c r="O48127" s="5" t="s">
        <v>355</v>
      </c>
      <c r="P48127" s="5" t="s">
        <v>355</v>
      </c>
      <c r="Q48127" s="5" t="s">
        <v>355</v>
      </c>
    </row>
    <row r="48128" ht="16.5" customHeight="1">
      <c r="O48128" s="5" t="s">
        <v>355</v>
      </c>
      <c r="P48128" s="5" t="s">
        <v>355</v>
      </c>
      <c r="Q48128" s="5" t="s">
        <v>355</v>
      </c>
    </row>
    <row r="48129" ht="16.5" customHeight="1">
      <c r="O48129" s="5" t="s">
        <v>355</v>
      </c>
      <c r="P48129" s="5" t="s">
        <v>355</v>
      </c>
      <c r="Q48129" s="5" t="s">
        <v>355</v>
      </c>
    </row>
    <row r="48130" ht="16.5" customHeight="1">
      <c r="O48130" s="5" t="s">
        <v>355</v>
      </c>
      <c r="P48130" s="5" t="s">
        <v>355</v>
      </c>
      <c r="Q48130" s="5" t="s">
        <v>355</v>
      </c>
    </row>
    <row r="48131" ht="16.5" customHeight="1">
      <c r="O48131" s="5" t="s">
        <v>355</v>
      </c>
      <c r="P48131" s="5" t="s">
        <v>355</v>
      </c>
      <c r="Q48131" s="5" t="s">
        <v>355</v>
      </c>
    </row>
    <row r="48132" ht="16.5" customHeight="1">
      <c r="O48132" s="5" t="s">
        <v>355</v>
      </c>
      <c r="P48132" s="5" t="s">
        <v>355</v>
      </c>
      <c r="Q48132" s="5" t="s">
        <v>355</v>
      </c>
    </row>
    <row r="48133" ht="16.5" customHeight="1">
      <c r="O48133" s="5" t="s">
        <v>355</v>
      </c>
      <c r="P48133" s="5" t="s">
        <v>355</v>
      </c>
      <c r="Q48133" s="5" t="s">
        <v>355</v>
      </c>
    </row>
    <row r="48134" ht="16.5" customHeight="1">
      <c r="O48134" s="5" t="s">
        <v>355</v>
      </c>
      <c r="P48134" s="5" t="s">
        <v>355</v>
      </c>
      <c r="Q48134" s="5" t="s">
        <v>355</v>
      </c>
    </row>
    <row r="48135" ht="16.5" customHeight="1">
      <c r="O48135" s="5" t="s">
        <v>355</v>
      </c>
      <c r="P48135" s="5" t="s">
        <v>355</v>
      </c>
      <c r="Q48135" s="5" t="s">
        <v>355</v>
      </c>
    </row>
    <row r="48136" ht="16.5" customHeight="1">
      <c r="O48136" s="5" t="s">
        <v>355</v>
      </c>
      <c r="P48136" s="5" t="s">
        <v>355</v>
      </c>
      <c r="Q48136" s="5" t="s">
        <v>355</v>
      </c>
    </row>
    <row r="48137" ht="16.5" customHeight="1">
      <c r="O48137" s="5" t="s">
        <v>355</v>
      </c>
      <c r="P48137" s="5" t="s">
        <v>355</v>
      </c>
      <c r="Q48137" s="5" t="s">
        <v>355</v>
      </c>
    </row>
    <row r="48138" ht="16.5" customHeight="1">
      <c r="O48138" s="5" t="s">
        <v>355</v>
      </c>
      <c r="P48138" s="5" t="s">
        <v>355</v>
      </c>
      <c r="Q48138" s="5" t="s">
        <v>355</v>
      </c>
    </row>
    <row r="48139" ht="16.5" customHeight="1">
      <c r="O48139" s="5" t="s">
        <v>355</v>
      </c>
      <c r="P48139" s="5" t="s">
        <v>355</v>
      </c>
      <c r="Q48139" s="5" t="s">
        <v>355</v>
      </c>
    </row>
    <row r="48140" ht="16.5" customHeight="1">
      <c r="O48140" s="5" t="s">
        <v>355</v>
      </c>
      <c r="P48140" s="5" t="s">
        <v>355</v>
      </c>
      <c r="Q48140" s="5" t="s">
        <v>355</v>
      </c>
    </row>
    <row r="48141" ht="16.5" customHeight="1">
      <c r="O48141" s="5" t="s">
        <v>355</v>
      </c>
      <c r="P48141" s="5" t="s">
        <v>355</v>
      </c>
      <c r="Q48141" s="5" t="s">
        <v>355</v>
      </c>
    </row>
    <row r="48142" ht="16.5" customHeight="1">
      <c r="O48142" s="5" t="s">
        <v>355</v>
      </c>
      <c r="P48142" s="5" t="s">
        <v>355</v>
      </c>
      <c r="Q48142" s="5" t="s">
        <v>355</v>
      </c>
    </row>
    <row r="48143" ht="16.5" customHeight="1">
      <c r="O48143" s="5" t="s">
        <v>355</v>
      </c>
      <c r="P48143" s="5" t="s">
        <v>355</v>
      </c>
      <c r="Q48143" s="5" t="s">
        <v>355</v>
      </c>
    </row>
    <row r="48144" ht="16.5" customHeight="1">
      <c r="O48144" s="5" t="s">
        <v>355</v>
      </c>
      <c r="P48144" s="5" t="s">
        <v>355</v>
      </c>
      <c r="Q48144" s="5" t="s">
        <v>355</v>
      </c>
    </row>
    <row r="48145" ht="16.5" customHeight="1">
      <c r="O48145" s="5" t="s">
        <v>355</v>
      </c>
      <c r="P48145" s="5" t="s">
        <v>355</v>
      </c>
      <c r="Q48145" s="5" t="s">
        <v>355</v>
      </c>
    </row>
    <row r="48146" ht="16.5" customHeight="1">
      <c r="O48146" s="5" t="s">
        <v>355</v>
      </c>
      <c r="P48146" s="5" t="s">
        <v>355</v>
      </c>
      <c r="Q48146" s="5" t="s">
        <v>355</v>
      </c>
    </row>
    <row r="48147" ht="16.5" customHeight="1">
      <c r="O48147" s="5" t="s">
        <v>355</v>
      </c>
      <c r="P48147" s="5" t="s">
        <v>355</v>
      </c>
      <c r="Q48147" s="5" t="s">
        <v>355</v>
      </c>
    </row>
    <row r="48148" ht="16.5" customHeight="1">
      <c r="O48148" s="5" t="s">
        <v>355</v>
      </c>
      <c r="P48148" s="5" t="s">
        <v>355</v>
      </c>
      <c r="Q48148" s="5" t="s">
        <v>355</v>
      </c>
    </row>
    <row r="48149" ht="16.5" customHeight="1">
      <c r="O48149" s="5" t="s">
        <v>355</v>
      </c>
      <c r="P48149" s="5" t="s">
        <v>355</v>
      </c>
      <c r="Q48149" s="5" t="s">
        <v>355</v>
      </c>
    </row>
    <row r="48150" ht="16.5" customHeight="1">
      <c r="O48150" s="5" t="s">
        <v>355</v>
      </c>
      <c r="P48150" s="5" t="s">
        <v>355</v>
      </c>
      <c r="Q48150" s="5" t="s">
        <v>355</v>
      </c>
    </row>
    <row r="48151" ht="16.5" customHeight="1">
      <c r="O48151" s="5" t="s">
        <v>355</v>
      </c>
      <c r="P48151" s="5" t="s">
        <v>355</v>
      </c>
      <c r="Q48151" s="5" t="s">
        <v>355</v>
      </c>
    </row>
    <row r="48152" ht="16.5" customHeight="1">
      <c r="O48152" s="5" t="s">
        <v>355</v>
      </c>
      <c r="P48152" s="5" t="s">
        <v>355</v>
      </c>
      <c r="Q48152" s="5" t="s">
        <v>355</v>
      </c>
    </row>
    <row r="48153" ht="16.5" customHeight="1">
      <c r="O48153" s="5" t="s">
        <v>355</v>
      </c>
      <c r="P48153" s="5" t="s">
        <v>355</v>
      </c>
      <c r="Q48153" s="5" t="s">
        <v>355</v>
      </c>
    </row>
    <row r="48154" ht="16.5" customHeight="1">
      <c r="O48154" s="5" t="s">
        <v>355</v>
      </c>
      <c r="P48154" s="5" t="s">
        <v>355</v>
      </c>
      <c r="Q48154" s="5" t="s">
        <v>355</v>
      </c>
    </row>
    <row r="48155" ht="16.5" customHeight="1">
      <c r="O48155" s="5" t="s">
        <v>355</v>
      </c>
      <c r="P48155" s="5" t="s">
        <v>355</v>
      </c>
      <c r="Q48155" s="5" t="s">
        <v>355</v>
      </c>
    </row>
    <row r="48156" ht="16.5" customHeight="1">
      <c r="O48156" s="5" t="s">
        <v>355</v>
      </c>
      <c r="P48156" s="5" t="s">
        <v>355</v>
      </c>
      <c r="Q48156" s="5" t="s">
        <v>355</v>
      </c>
    </row>
    <row r="48157" ht="16.5" customHeight="1">
      <c r="O48157" s="5" t="s">
        <v>355</v>
      </c>
      <c r="P48157" s="5" t="s">
        <v>355</v>
      </c>
      <c r="Q48157" s="5" t="s">
        <v>355</v>
      </c>
    </row>
    <row r="48158" ht="16.5" customHeight="1">
      <c r="O48158" s="5" t="s">
        <v>355</v>
      </c>
      <c r="P48158" s="5" t="s">
        <v>355</v>
      </c>
      <c r="Q48158" s="5" t="s">
        <v>355</v>
      </c>
    </row>
    <row r="48159" ht="16.5" customHeight="1">
      <c r="O48159" s="5" t="s">
        <v>355</v>
      </c>
      <c r="P48159" s="5" t="s">
        <v>355</v>
      </c>
      <c r="Q48159" s="5" t="s">
        <v>355</v>
      </c>
    </row>
    <row r="48160" ht="16.5" customHeight="1">
      <c r="O48160" s="5" t="s">
        <v>355</v>
      </c>
      <c r="P48160" s="5" t="s">
        <v>355</v>
      </c>
      <c r="Q48160" s="5" t="s">
        <v>355</v>
      </c>
    </row>
    <row r="48161" ht="16.5" customHeight="1">
      <c r="O48161" s="5" t="s">
        <v>355</v>
      </c>
      <c r="P48161" s="5" t="s">
        <v>355</v>
      </c>
      <c r="Q48161" s="5" t="s">
        <v>355</v>
      </c>
    </row>
    <row r="48162" ht="16.5" customHeight="1">
      <c r="O48162" s="5" t="s">
        <v>355</v>
      </c>
      <c r="P48162" s="5" t="s">
        <v>355</v>
      </c>
      <c r="Q48162" s="5" t="s">
        <v>355</v>
      </c>
    </row>
    <row r="48163" ht="16.5" customHeight="1">
      <c r="O48163" s="5" t="s">
        <v>355</v>
      </c>
      <c r="P48163" s="5" t="s">
        <v>355</v>
      </c>
      <c r="Q48163" s="5" t="s">
        <v>355</v>
      </c>
    </row>
    <row r="48164" ht="16.5" customHeight="1">
      <c r="O48164" s="5" t="s">
        <v>355</v>
      </c>
      <c r="P48164" s="5" t="s">
        <v>355</v>
      </c>
      <c r="Q48164" s="5" t="s">
        <v>355</v>
      </c>
    </row>
    <row r="48165" ht="16.5" customHeight="1">
      <c r="O48165" s="5" t="s">
        <v>355</v>
      </c>
      <c r="P48165" s="5" t="s">
        <v>355</v>
      </c>
      <c r="Q48165" s="5" t="s">
        <v>355</v>
      </c>
    </row>
    <row r="48166" ht="16.5" customHeight="1">
      <c r="O48166" s="5" t="s">
        <v>355</v>
      </c>
      <c r="P48166" s="5" t="s">
        <v>355</v>
      </c>
      <c r="Q48166" s="5" t="s">
        <v>355</v>
      </c>
    </row>
    <row r="48167" ht="16.5" customHeight="1">
      <c r="O48167" s="5" t="s">
        <v>355</v>
      </c>
      <c r="P48167" s="5" t="s">
        <v>355</v>
      </c>
      <c r="Q48167" s="5" t="s">
        <v>355</v>
      </c>
    </row>
    <row r="48168" ht="16.5" customHeight="1">
      <c r="O48168" s="5" t="s">
        <v>355</v>
      </c>
      <c r="P48168" s="5" t="s">
        <v>355</v>
      </c>
      <c r="Q48168" s="5" t="s">
        <v>355</v>
      </c>
    </row>
    <row r="48169" ht="16.5" customHeight="1">
      <c r="O48169" s="5" t="s">
        <v>355</v>
      </c>
      <c r="P48169" s="5" t="s">
        <v>355</v>
      </c>
      <c r="Q48169" s="5" t="s">
        <v>355</v>
      </c>
    </row>
    <row r="48170" ht="16.5" customHeight="1">
      <c r="O48170" s="5" t="s">
        <v>355</v>
      </c>
      <c r="P48170" s="5" t="s">
        <v>355</v>
      </c>
      <c r="Q48170" s="5" t="s">
        <v>355</v>
      </c>
    </row>
    <row r="48171" ht="16.5" customHeight="1">
      <c r="O48171" s="5" t="s">
        <v>355</v>
      </c>
      <c r="P48171" s="5" t="s">
        <v>355</v>
      </c>
      <c r="Q48171" s="5" t="s">
        <v>355</v>
      </c>
    </row>
    <row r="48172" ht="16.5" customHeight="1">
      <c r="O48172" s="5" t="s">
        <v>355</v>
      </c>
      <c r="P48172" s="5" t="s">
        <v>355</v>
      </c>
      <c r="Q48172" s="5" t="s">
        <v>355</v>
      </c>
    </row>
    <row r="48173" ht="16.5" customHeight="1">
      <c r="O48173" s="5" t="s">
        <v>355</v>
      </c>
      <c r="P48173" s="5" t="s">
        <v>355</v>
      </c>
      <c r="Q48173" s="5" t="s">
        <v>355</v>
      </c>
    </row>
    <row r="48174" ht="16.5" customHeight="1">
      <c r="O48174" s="5" t="s">
        <v>355</v>
      </c>
      <c r="P48174" s="5" t="s">
        <v>355</v>
      </c>
      <c r="Q48174" s="5" t="s">
        <v>355</v>
      </c>
    </row>
    <row r="48175" ht="16.5" customHeight="1">
      <c r="O48175" s="5" t="s">
        <v>355</v>
      </c>
      <c r="P48175" s="5" t="s">
        <v>355</v>
      </c>
      <c r="Q48175" s="5" t="s">
        <v>355</v>
      </c>
    </row>
    <row r="48176" ht="16.5" customHeight="1">
      <c r="O48176" s="5" t="s">
        <v>355</v>
      </c>
      <c r="P48176" s="5" t="s">
        <v>355</v>
      </c>
      <c r="Q48176" s="5" t="s">
        <v>355</v>
      </c>
    </row>
    <row r="48177" ht="16.5" customHeight="1">
      <c r="O48177" s="5" t="s">
        <v>355</v>
      </c>
      <c r="P48177" s="5" t="s">
        <v>355</v>
      </c>
      <c r="Q48177" s="5" t="s">
        <v>355</v>
      </c>
    </row>
    <row r="48178" ht="16.5" customHeight="1">
      <c r="O48178" s="5" t="s">
        <v>355</v>
      </c>
      <c r="P48178" s="5" t="s">
        <v>355</v>
      </c>
      <c r="Q48178" s="5" t="s">
        <v>355</v>
      </c>
    </row>
    <row r="48179" ht="16.5" customHeight="1">
      <c r="O48179" s="5" t="s">
        <v>355</v>
      </c>
      <c r="P48179" s="5" t="s">
        <v>355</v>
      </c>
      <c r="Q48179" s="5" t="s">
        <v>355</v>
      </c>
    </row>
    <row r="48180" ht="16.5" customHeight="1">
      <c r="O48180" s="5" t="s">
        <v>355</v>
      </c>
      <c r="P48180" s="5" t="s">
        <v>355</v>
      </c>
      <c r="Q48180" s="5" t="s">
        <v>355</v>
      </c>
    </row>
    <row r="48181" ht="16.5" customHeight="1">
      <c r="O48181" s="5" t="s">
        <v>355</v>
      </c>
      <c r="P48181" s="5" t="s">
        <v>355</v>
      </c>
      <c r="Q48181" s="5" t="s">
        <v>355</v>
      </c>
    </row>
    <row r="48182" ht="16.5" customHeight="1">
      <c r="O48182" s="5" t="s">
        <v>355</v>
      </c>
      <c r="P48182" s="5" t="s">
        <v>355</v>
      </c>
      <c r="Q48182" s="5" t="s">
        <v>355</v>
      </c>
    </row>
    <row r="48183" ht="16.5" customHeight="1">
      <c r="O48183" s="5" t="s">
        <v>355</v>
      </c>
      <c r="P48183" s="5" t="s">
        <v>355</v>
      </c>
      <c r="Q48183" s="5" t="s">
        <v>355</v>
      </c>
    </row>
    <row r="48184" ht="16.5" customHeight="1">
      <c r="O48184" s="5" t="s">
        <v>355</v>
      </c>
      <c r="P48184" s="5" t="s">
        <v>355</v>
      </c>
      <c r="Q48184" s="5" t="s">
        <v>355</v>
      </c>
    </row>
    <row r="48185" ht="16.5" customHeight="1">
      <c r="O48185" s="5" t="s">
        <v>355</v>
      </c>
      <c r="P48185" s="5" t="s">
        <v>355</v>
      </c>
      <c r="Q48185" s="5" t="s">
        <v>355</v>
      </c>
    </row>
    <row r="48186" ht="16.5" customHeight="1">
      <c r="O48186" s="5" t="s">
        <v>355</v>
      </c>
      <c r="P48186" s="5" t="s">
        <v>355</v>
      </c>
      <c r="Q48186" s="5" t="s">
        <v>355</v>
      </c>
    </row>
    <row r="48187" ht="16.5" customHeight="1">
      <c r="O48187" s="5" t="s">
        <v>355</v>
      </c>
      <c r="P48187" s="5" t="s">
        <v>355</v>
      </c>
      <c r="Q48187" s="5" t="s">
        <v>355</v>
      </c>
    </row>
    <row r="48188" ht="16.5" customHeight="1">
      <c r="O48188" s="5" t="s">
        <v>355</v>
      </c>
      <c r="P48188" s="5" t="s">
        <v>355</v>
      </c>
      <c r="Q48188" s="5" t="s">
        <v>355</v>
      </c>
    </row>
    <row r="48189" ht="16.5" customHeight="1">
      <c r="O48189" s="5" t="s">
        <v>355</v>
      </c>
      <c r="P48189" s="5" t="s">
        <v>355</v>
      </c>
      <c r="Q48189" s="5" t="s">
        <v>355</v>
      </c>
    </row>
    <row r="48190" ht="16.5" customHeight="1">
      <c r="O48190" s="5" t="s">
        <v>355</v>
      </c>
      <c r="P48190" s="5" t="s">
        <v>355</v>
      </c>
      <c r="Q48190" s="5" t="s">
        <v>355</v>
      </c>
    </row>
    <row r="48191" ht="16.5" customHeight="1">
      <c r="O48191" s="5" t="s">
        <v>355</v>
      </c>
      <c r="P48191" s="5" t="s">
        <v>355</v>
      </c>
      <c r="Q48191" s="5" t="s">
        <v>355</v>
      </c>
    </row>
    <row r="48192" ht="16.5" customHeight="1">
      <c r="O48192" s="5" t="s">
        <v>355</v>
      </c>
      <c r="P48192" s="5" t="s">
        <v>355</v>
      </c>
      <c r="Q48192" s="5" t="s">
        <v>355</v>
      </c>
    </row>
    <row r="48193" ht="16.5" customHeight="1">
      <c r="O48193" s="5" t="s">
        <v>355</v>
      </c>
      <c r="P48193" s="5" t="s">
        <v>355</v>
      </c>
      <c r="Q48193" s="5" t="s">
        <v>355</v>
      </c>
    </row>
    <row r="48194" ht="16.5" customHeight="1">
      <c r="O48194" s="5" t="s">
        <v>355</v>
      </c>
      <c r="P48194" s="5" t="s">
        <v>355</v>
      </c>
      <c r="Q48194" s="5" t="s">
        <v>355</v>
      </c>
    </row>
    <row r="48195" ht="16.5" customHeight="1">
      <c r="O48195" s="5" t="s">
        <v>355</v>
      </c>
      <c r="P48195" s="5" t="s">
        <v>355</v>
      </c>
      <c r="Q48195" s="5" t="s">
        <v>355</v>
      </c>
    </row>
    <row r="48196" ht="16.5" customHeight="1">
      <c r="O48196" s="5" t="s">
        <v>355</v>
      </c>
      <c r="P48196" s="5" t="s">
        <v>355</v>
      </c>
      <c r="Q48196" s="5" t="s">
        <v>355</v>
      </c>
    </row>
    <row r="48197" ht="16.5" customHeight="1">
      <c r="O48197" s="5" t="s">
        <v>355</v>
      </c>
      <c r="P48197" s="5" t="s">
        <v>355</v>
      </c>
      <c r="Q48197" s="5" t="s">
        <v>355</v>
      </c>
    </row>
    <row r="48198" ht="16.5" customHeight="1">
      <c r="O48198" s="5" t="s">
        <v>355</v>
      </c>
      <c r="P48198" s="5" t="s">
        <v>355</v>
      </c>
      <c r="Q48198" s="5" t="s">
        <v>355</v>
      </c>
    </row>
    <row r="48199" ht="16.5" customHeight="1">
      <c r="O48199" s="5" t="s">
        <v>355</v>
      </c>
      <c r="P48199" s="5" t="s">
        <v>355</v>
      </c>
      <c r="Q48199" s="5" t="s">
        <v>355</v>
      </c>
    </row>
    <row r="48200" ht="16.5" customHeight="1">
      <c r="O48200" s="5" t="s">
        <v>355</v>
      </c>
      <c r="P48200" s="5" t="s">
        <v>355</v>
      </c>
      <c r="Q48200" s="5" t="s">
        <v>355</v>
      </c>
    </row>
    <row r="48201" ht="16.5" customHeight="1">
      <c r="O48201" s="5" t="s">
        <v>355</v>
      </c>
      <c r="P48201" s="5" t="s">
        <v>355</v>
      </c>
      <c r="Q48201" s="5" t="s">
        <v>355</v>
      </c>
    </row>
    <row r="48202" ht="16.5" customHeight="1">
      <c r="O48202" s="5" t="s">
        <v>355</v>
      </c>
      <c r="P48202" s="5" t="s">
        <v>355</v>
      </c>
      <c r="Q48202" s="5" t="s">
        <v>355</v>
      </c>
    </row>
    <row r="48203" ht="16.5" customHeight="1">
      <c r="O48203" s="5" t="s">
        <v>355</v>
      </c>
      <c r="P48203" s="5" t="s">
        <v>355</v>
      </c>
      <c r="Q48203" s="5" t="s">
        <v>355</v>
      </c>
    </row>
    <row r="48204" ht="16.5" customHeight="1">
      <c r="O48204" s="5" t="s">
        <v>355</v>
      </c>
      <c r="P48204" s="5" t="s">
        <v>355</v>
      </c>
      <c r="Q48204" s="5" t="s">
        <v>355</v>
      </c>
    </row>
    <row r="48205" ht="16.5" customHeight="1">
      <c r="O48205" s="5" t="s">
        <v>355</v>
      </c>
      <c r="P48205" s="5" t="s">
        <v>355</v>
      </c>
      <c r="Q48205" s="5" t="s">
        <v>355</v>
      </c>
    </row>
    <row r="48206" ht="16.5" customHeight="1">
      <c r="O48206" s="5" t="s">
        <v>355</v>
      </c>
      <c r="P48206" s="5" t="s">
        <v>355</v>
      </c>
      <c r="Q48206" s="5" t="s">
        <v>355</v>
      </c>
    </row>
    <row r="48207" ht="16.5" customHeight="1">
      <c r="O48207" s="5" t="s">
        <v>355</v>
      </c>
      <c r="P48207" s="5" t="s">
        <v>355</v>
      </c>
      <c r="Q48207" s="5" t="s">
        <v>355</v>
      </c>
    </row>
    <row r="48208" ht="16.5" customHeight="1">
      <c r="O48208" s="5" t="s">
        <v>355</v>
      </c>
      <c r="P48208" s="5" t="s">
        <v>355</v>
      </c>
      <c r="Q48208" s="5" t="s">
        <v>355</v>
      </c>
    </row>
    <row r="48209" ht="16.5" customHeight="1">
      <c r="O48209" s="5" t="s">
        <v>355</v>
      </c>
      <c r="P48209" s="5" t="s">
        <v>355</v>
      </c>
      <c r="Q48209" s="5" t="s">
        <v>355</v>
      </c>
    </row>
    <row r="48210" ht="16.5" customHeight="1">
      <c r="O48210" s="5" t="s">
        <v>355</v>
      </c>
      <c r="P48210" s="5" t="s">
        <v>355</v>
      </c>
      <c r="Q48210" s="5" t="s">
        <v>355</v>
      </c>
    </row>
    <row r="48211" ht="16.5" customHeight="1">
      <c r="O48211" s="5" t="s">
        <v>355</v>
      </c>
      <c r="P48211" s="5" t="s">
        <v>355</v>
      </c>
      <c r="Q48211" s="5" t="s">
        <v>355</v>
      </c>
    </row>
    <row r="48212" ht="16.5" customHeight="1">
      <c r="O48212" s="5" t="s">
        <v>355</v>
      </c>
      <c r="P48212" s="5" t="s">
        <v>355</v>
      </c>
      <c r="Q48212" s="5" t="s">
        <v>355</v>
      </c>
    </row>
    <row r="48213" ht="16.5" customHeight="1">
      <c r="O48213" s="5" t="s">
        <v>355</v>
      </c>
      <c r="P48213" s="5" t="s">
        <v>355</v>
      </c>
      <c r="Q48213" s="5" t="s">
        <v>355</v>
      </c>
    </row>
    <row r="48214" ht="16.5" customHeight="1">
      <c r="O48214" s="5" t="s">
        <v>355</v>
      </c>
      <c r="P48214" s="5" t="s">
        <v>355</v>
      </c>
      <c r="Q48214" s="5" t="s">
        <v>355</v>
      </c>
    </row>
    <row r="48215" ht="16.5" customHeight="1">
      <c r="O48215" s="5" t="s">
        <v>355</v>
      </c>
      <c r="P48215" s="5" t="s">
        <v>355</v>
      </c>
      <c r="Q48215" s="5" t="s">
        <v>355</v>
      </c>
    </row>
    <row r="48216" ht="16.5" customHeight="1">
      <c r="O48216" s="5" t="s">
        <v>355</v>
      </c>
      <c r="P48216" s="5" t="s">
        <v>355</v>
      </c>
      <c r="Q48216" s="5" t="s">
        <v>355</v>
      </c>
    </row>
    <row r="48217" ht="16.5" customHeight="1">
      <c r="O48217" s="5" t="s">
        <v>355</v>
      </c>
      <c r="P48217" s="5" t="s">
        <v>355</v>
      </c>
      <c r="Q48217" s="5" t="s">
        <v>355</v>
      </c>
    </row>
    <row r="48218" ht="16.5" customHeight="1">
      <c r="O48218" s="5" t="s">
        <v>355</v>
      </c>
      <c r="P48218" s="5" t="s">
        <v>355</v>
      </c>
      <c r="Q48218" s="5" t="s">
        <v>355</v>
      </c>
    </row>
    <row r="48219" ht="16.5" customHeight="1">
      <c r="O48219" s="5" t="s">
        <v>355</v>
      </c>
      <c r="P48219" s="5" t="s">
        <v>355</v>
      </c>
      <c r="Q48219" s="5" t="s">
        <v>355</v>
      </c>
    </row>
    <row r="48220" ht="16.5" customHeight="1">
      <c r="O48220" s="5" t="s">
        <v>355</v>
      </c>
      <c r="P48220" s="5" t="s">
        <v>355</v>
      </c>
      <c r="Q48220" s="5" t="s">
        <v>355</v>
      </c>
    </row>
    <row r="48221" ht="16.5" customHeight="1">
      <c r="O48221" s="5" t="s">
        <v>355</v>
      </c>
      <c r="P48221" s="5" t="s">
        <v>355</v>
      </c>
      <c r="Q48221" s="5" t="s">
        <v>355</v>
      </c>
    </row>
    <row r="48222" ht="16.5" customHeight="1">
      <c r="O48222" s="5" t="s">
        <v>355</v>
      </c>
      <c r="P48222" s="5" t="s">
        <v>355</v>
      </c>
      <c r="Q48222" s="5" t="s">
        <v>355</v>
      </c>
    </row>
    <row r="48223" ht="16.5" customHeight="1">
      <c r="O48223" s="5" t="s">
        <v>355</v>
      </c>
      <c r="P48223" s="5" t="s">
        <v>355</v>
      </c>
      <c r="Q48223" s="5" t="s">
        <v>355</v>
      </c>
    </row>
    <row r="48224" ht="16.5" customHeight="1">
      <c r="O48224" s="5" t="s">
        <v>355</v>
      </c>
      <c r="P48224" s="5" t="s">
        <v>355</v>
      </c>
      <c r="Q48224" s="5" t="s">
        <v>355</v>
      </c>
    </row>
    <row r="48225" ht="16.5" customHeight="1">
      <c r="O48225" s="5" t="s">
        <v>355</v>
      </c>
      <c r="P48225" s="5" t="s">
        <v>355</v>
      </c>
      <c r="Q48225" s="5" t="s">
        <v>355</v>
      </c>
    </row>
    <row r="48226" ht="16.5" customHeight="1">
      <c r="O48226" s="5" t="s">
        <v>355</v>
      </c>
      <c r="P48226" s="5" t="s">
        <v>355</v>
      </c>
      <c r="Q48226" s="5" t="s">
        <v>355</v>
      </c>
    </row>
    <row r="48227" ht="16.5" customHeight="1">
      <c r="O48227" s="5" t="s">
        <v>355</v>
      </c>
      <c r="P48227" s="5" t="s">
        <v>355</v>
      </c>
      <c r="Q48227" s="5" t="s">
        <v>355</v>
      </c>
    </row>
    <row r="48228" ht="16.5" customHeight="1">
      <c r="O48228" s="5" t="s">
        <v>355</v>
      </c>
      <c r="P48228" s="5" t="s">
        <v>355</v>
      </c>
      <c r="Q48228" s="5" t="s">
        <v>355</v>
      </c>
    </row>
    <row r="48229" ht="16.5" customHeight="1">
      <c r="O48229" s="5" t="s">
        <v>355</v>
      </c>
      <c r="P48229" s="5" t="s">
        <v>355</v>
      </c>
      <c r="Q48229" s="5" t="s">
        <v>355</v>
      </c>
    </row>
    <row r="48230" ht="16.5" customHeight="1">
      <c r="O48230" s="5" t="s">
        <v>355</v>
      </c>
      <c r="P48230" s="5" t="s">
        <v>355</v>
      </c>
      <c r="Q48230" s="5" t="s">
        <v>355</v>
      </c>
    </row>
    <row r="48231" ht="16.5" customHeight="1">
      <c r="O48231" s="5" t="s">
        <v>355</v>
      </c>
      <c r="P48231" s="5" t="s">
        <v>355</v>
      </c>
      <c r="Q48231" s="5" t="s">
        <v>355</v>
      </c>
    </row>
    <row r="48232" ht="16.5" customHeight="1">
      <c r="O48232" s="5" t="s">
        <v>355</v>
      </c>
      <c r="P48232" s="5" t="s">
        <v>355</v>
      </c>
      <c r="Q48232" s="5" t="s">
        <v>355</v>
      </c>
    </row>
    <row r="48233" ht="16.5" customHeight="1">
      <c r="O48233" s="5" t="s">
        <v>355</v>
      </c>
      <c r="P48233" s="5" t="s">
        <v>355</v>
      </c>
      <c r="Q48233" s="5" t="s">
        <v>355</v>
      </c>
    </row>
    <row r="48234" ht="16.5" customHeight="1">
      <c r="O48234" s="5" t="s">
        <v>355</v>
      </c>
      <c r="P48234" s="5" t="s">
        <v>355</v>
      </c>
      <c r="Q48234" s="5" t="s">
        <v>355</v>
      </c>
    </row>
    <row r="48235" ht="16.5" customHeight="1">
      <c r="O48235" s="5" t="s">
        <v>355</v>
      </c>
      <c r="P48235" s="5" t="s">
        <v>355</v>
      </c>
      <c r="Q48235" s="5" t="s">
        <v>355</v>
      </c>
    </row>
    <row r="48236" ht="16.5" customHeight="1">
      <c r="O48236" s="5" t="s">
        <v>355</v>
      </c>
      <c r="P48236" s="5" t="s">
        <v>355</v>
      </c>
      <c r="Q48236" s="5" t="s">
        <v>355</v>
      </c>
    </row>
    <row r="48237" ht="16.5" customHeight="1">
      <c r="O48237" s="5" t="s">
        <v>355</v>
      </c>
      <c r="P48237" s="5" t="s">
        <v>355</v>
      </c>
      <c r="Q48237" s="5" t="s">
        <v>355</v>
      </c>
    </row>
    <row r="48238" ht="16.5" customHeight="1">
      <c r="O48238" s="5" t="s">
        <v>355</v>
      </c>
      <c r="P48238" s="5" t="s">
        <v>355</v>
      </c>
      <c r="Q48238" s="5" t="s">
        <v>355</v>
      </c>
    </row>
    <row r="48239" ht="16.5" customHeight="1">
      <c r="O48239" s="5" t="s">
        <v>355</v>
      </c>
      <c r="P48239" s="5" t="s">
        <v>355</v>
      </c>
      <c r="Q48239" s="5" t="s">
        <v>355</v>
      </c>
    </row>
    <row r="48240" ht="16.5" customHeight="1">
      <c r="O48240" s="5" t="s">
        <v>355</v>
      </c>
      <c r="P48240" s="5" t="s">
        <v>355</v>
      </c>
      <c r="Q48240" s="5" t="s">
        <v>355</v>
      </c>
    </row>
    <row r="48241" ht="16.5" customHeight="1">
      <c r="O48241" s="5" t="s">
        <v>355</v>
      </c>
      <c r="P48241" s="5" t="s">
        <v>355</v>
      </c>
      <c r="Q48241" s="5" t="s">
        <v>355</v>
      </c>
    </row>
    <row r="48242" ht="16.5" customHeight="1">
      <c r="O48242" s="5" t="s">
        <v>355</v>
      </c>
      <c r="P48242" s="5" t="s">
        <v>355</v>
      </c>
      <c r="Q48242" s="5" t="s">
        <v>355</v>
      </c>
    </row>
    <row r="48243" ht="16.5" customHeight="1">
      <c r="O48243" s="5" t="s">
        <v>355</v>
      </c>
      <c r="P48243" s="5" t="s">
        <v>355</v>
      </c>
      <c r="Q48243" s="5" t="s">
        <v>355</v>
      </c>
    </row>
    <row r="48244" ht="16.5" customHeight="1">
      <c r="O48244" s="5" t="s">
        <v>355</v>
      </c>
      <c r="P48244" s="5" t="s">
        <v>355</v>
      </c>
      <c r="Q48244" s="5" t="s">
        <v>355</v>
      </c>
    </row>
    <row r="48245" ht="16.5" customHeight="1">
      <c r="O48245" s="5" t="s">
        <v>355</v>
      </c>
      <c r="P48245" s="5" t="s">
        <v>355</v>
      </c>
      <c r="Q48245" s="5" t="s">
        <v>355</v>
      </c>
    </row>
    <row r="48246" ht="16.5" customHeight="1">
      <c r="O48246" s="5" t="s">
        <v>355</v>
      </c>
      <c r="P48246" s="5" t="s">
        <v>355</v>
      </c>
      <c r="Q48246" s="5" t="s">
        <v>355</v>
      </c>
    </row>
    <row r="48247" ht="16.5" customHeight="1">
      <c r="O48247" s="5" t="s">
        <v>355</v>
      </c>
      <c r="P48247" s="5" t="s">
        <v>355</v>
      </c>
      <c r="Q48247" s="5" t="s">
        <v>355</v>
      </c>
    </row>
    <row r="48248" ht="16.5" customHeight="1">
      <c r="O48248" s="5" t="s">
        <v>355</v>
      </c>
      <c r="P48248" s="5" t="s">
        <v>355</v>
      </c>
      <c r="Q48248" s="5" t="s">
        <v>355</v>
      </c>
    </row>
    <row r="48249" ht="16.5" customHeight="1">
      <c r="O48249" s="5" t="s">
        <v>355</v>
      </c>
      <c r="P48249" s="5" t="s">
        <v>355</v>
      </c>
      <c r="Q48249" s="5" t="s">
        <v>355</v>
      </c>
    </row>
    <row r="48250" ht="16.5" customHeight="1">
      <c r="O48250" s="5" t="s">
        <v>355</v>
      </c>
      <c r="P48250" s="5" t="s">
        <v>355</v>
      </c>
      <c r="Q48250" s="5" t="s">
        <v>355</v>
      </c>
    </row>
    <row r="48251" ht="16.5" customHeight="1">
      <c r="O48251" s="5" t="s">
        <v>355</v>
      </c>
      <c r="P48251" s="5" t="s">
        <v>355</v>
      </c>
      <c r="Q48251" s="5" t="s">
        <v>355</v>
      </c>
    </row>
    <row r="48252" ht="16.5" customHeight="1">
      <c r="O48252" s="5" t="s">
        <v>355</v>
      </c>
      <c r="P48252" s="5" t="s">
        <v>355</v>
      </c>
      <c r="Q48252" s="5" t="s">
        <v>355</v>
      </c>
    </row>
    <row r="48253" ht="16.5" customHeight="1">
      <c r="O48253" s="5" t="s">
        <v>355</v>
      </c>
      <c r="P48253" s="5" t="s">
        <v>355</v>
      </c>
      <c r="Q48253" s="5" t="s">
        <v>355</v>
      </c>
    </row>
    <row r="48254" ht="16.5" customHeight="1">
      <c r="O48254" s="5" t="s">
        <v>355</v>
      </c>
      <c r="P48254" s="5" t="s">
        <v>355</v>
      </c>
      <c r="Q48254" s="5" t="s">
        <v>355</v>
      </c>
    </row>
    <row r="48255" ht="16.5" customHeight="1">
      <c r="O48255" s="5" t="s">
        <v>355</v>
      </c>
      <c r="P48255" s="5" t="s">
        <v>355</v>
      </c>
      <c r="Q48255" s="5" t="s">
        <v>355</v>
      </c>
    </row>
    <row r="48256" ht="16.5" customHeight="1">
      <c r="O48256" s="5" t="s">
        <v>355</v>
      </c>
      <c r="P48256" s="5" t="s">
        <v>355</v>
      </c>
      <c r="Q48256" s="5" t="s">
        <v>355</v>
      </c>
    </row>
    <row r="48257" ht="16.5" customHeight="1">
      <c r="O48257" s="5" t="s">
        <v>355</v>
      </c>
      <c r="P48257" s="5" t="s">
        <v>355</v>
      </c>
      <c r="Q48257" s="5" t="s">
        <v>355</v>
      </c>
    </row>
    <row r="48258" ht="16.5" customHeight="1">
      <c r="O48258" s="5" t="s">
        <v>355</v>
      </c>
      <c r="P48258" s="5" t="s">
        <v>355</v>
      </c>
      <c r="Q48258" s="5" t="s">
        <v>355</v>
      </c>
    </row>
    <row r="48259" ht="16.5" customHeight="1">
      <c r="O48259" s="5" t="s">
        <v>355</v>
      </c>
      <c r="P48259" s="5" t="s">
        <v>355</v>
      </c>
      <c r="Q48259" s="5" t="s">
        <v>355</v>
      </c>
    </row>
    <row r="48260" ht="16.5" customHeight="1">
      <c r="O48260" s="5" t="s">
        <v>355</v>
      </c>
      <c r="P48260" s="5" t="s">
        <v>355</v>
      </c>
      <c r="Q48260" s="5" t="s">
        <v>355</v>
      </c>
    </row>
    <row r="48261" ht="16.5" customHeight="1">
      <c r="O48261" s="5" t="s">
        <v>355</v>
      </c>
      <c r="P48261" s="5" t="s">
        <v>355</v>
      </c>
      <c r="Q48261" s="5" t="s">
        <v>355</v>
      </c>
    </row>
    <row r="48262" ht="16.5" customHeight="1">
      <c r="O48262" s="5" t="s">
        <v>355</v>
      </c>
      <c r="P48262" s="5" t="s">
        <v>355</v>
      </c>
      <c r="Q48262" s="5" t="s">
        <v>355</v>
      </c>
    </row>
    <row r="48263" ht="16.5" customHeight="1">
      <c r="O48263" s="5" t="s">
        <v>355</v>
      </c>
      <c r="P48263" s="5" t="s">
        <v>355</v>
      </c>
      <c r="Q48263" s="5" t="s">
        <v>355</v>
      </c>
    </row>
    <row r="48264" ht="16.5" customHeight="1">
      <c r="O48264" s="5" t="s">
        <v>355</v>
      </c>
      <c r="P48264" s="5" t="s">
        <v>355</v>
      </c>
      <c r="Q48264" s="5" t="s">
        <v>355</v>
      </c>
    </row>
    <row r="48265" ht="16.5" customHeight="1">
      <c r="O48265" s="5" t="s">
        <v>355</v>
      </c>
      <c r="P48265" s="5" t="s">
        <v>355</v>
      </c>
      <c r="Q48265" s="5" t="s">
        <v>355</v>
      </c>
    </row>
    <row r="48266" ht="16.5" customHeight="1">
      <c r="O48266" s="5" t="s">
        <v>355</v>
      </c>
      <c r="P48266" s="5" t="s">
        <v>355</v>
      </c>
      <c r="Q48266" s="5" t="s">
        <v>355</v>
      </c>
    </row>
    <row r="48267" ht="16.5" customHeight="1">
      <c r="O48267" s="5" t="s">
        <v>355</v>
      </c>
      <c r="P48267" s="5" t="s">
        <v>355</v>
      </c>
      <c r="Q48267" s="5" t="s">
        <v>355</v>
      </c>
    </row>
    <row r="48268" ht="16.5" customHeight="1">
      <c r="O48268" s="5" t="s">
        <v>355</v>
      </c>
      <c r="P48268" s="5" t="s">
        <v>355</v>
      </c>
      <c r="Q48268" s="5" t="s">
        <v>355</v>
      </c>
    </row>
    <row r="48269" ht="16.5" customHeight="1">
      <c r="O48269" s="5" t="s">
        <v>355</v>
      </c>
      <c r="P48269" s="5" t="s">
        <v>355</v>
      </c>
      <c r="Q48269" s="5" t="s">
        <v>355</v>
      </c>
    </row>
    <row r="48270" ht="16.5" customHeight="1">
      <c r="O48270" s="5" t="s">
        <v>355</v>
      </c>
      <c r="P48270" s="5" t="s">
        <v>355</v>
      </c>
      <c r="Q48270" s="5" t="s">
        <v>355</v>
      </c>
    </row>
    <row r="48271" ht="16.5" customHeight="1">
      <c r="O48271" s="5" t="s">
        <v>355</v>
      </c>
      <c r="P48271" s="5" t="s">
        <v>355</v>
      </c>
      <c r="Q48271" s="5" t="s">
        <v>355</v>
      </c>
    </row>
    <row r="48272" ht="16.5" customHeight="1">
      <c r="O48272" s="5" t="s">
        <v>355</v>
      </c>
      <c r="P48272" s="5" t="s">
        <v>355</v>
      </c>
      <c r="Q48272" s="5" t="s">
        <v>355</v>
      </c>
    </row>
    <row r="48273" ht="16.5" customHeight="1">
      <c r="O48273" s="5" t="s">
        <v>355</v>
      </c>
      <c r="P48273" s="5" t="s">
        <v>355</v>
      </c>
      <c r="Q48273" s="5" t="s">
        <v>355</v>
      </c>
    </row>
    <row r="48274" ht="16.5" customHeight="1">
      <c r="O48274" s="5" t="s">
        <v>355</v>
      </c>
      <c r="P48274" s="5" t="s">
        <v>355</v>
      </c>
      <c r="Q48274" s="5" t="s">
        <v>355</v>
      </c>
    </row>
    <row r="48275" ht="16.5" customHeight="1">
      <c r="O48275" s="5" t="s">
        <v>355</v>
      </c>
      <c r="P48275" s="5" t="s">
        <v>355</v>
      </c>
      <c r="Q48275" s="5" t="s">
        <v>355</v>
      </c>
    </row>
    <row r="48276" ht="16.5" customHeight="1">
      <c r="O48276" s="5" t="s">
        <v>355</v>
      </c>
      <c r="P48276" s="5" t="s">
        <v>355</v>
      </c>
      <c r="Q48276" s="5" t="s">
        <v>355</v>
      </c>
    </row>
    <row r="48277" ht="16.5" customHeight="1">
      <c r="O48277" s="5" t="s">
        <v>355</v>
      </c>
      <c r="P48277" s="5" t="s">
        <v>355</v>
      </c>
      <c r="Q48277" s="5" t="s">
        <v>355</v>
      </c>
    </row>
    <row r="48278" ht="16.5" customHeight="1">
      <c r="O48278" s="5" t="s">
        <v>355</v>
      </c>
      <c r="P48278" s="5" t="s">
        <v>355</v>
      </c>
      <c r="Q48278" s="5" t="s">
        <v>355</v>
      </c>
    </row>
    <row r="48279" ht="16.5" customHeight="1">
      <c r="O48279" s="5" t="s">
        <v>355</v>
      </c>
      <c r="P48279" s="5" t="s">
        <v>355</v>
      </c>
      <c r="Q48279" s="5" t="s">
        <v>355</v>
      </c>
    </row>
    <row r="48280" ht="16.5" customHeight="1">
      <c r="O48280" s="5" t="s">
        <v>355</v>
      </c>
      <c r="P48280" s="5" t="s">
        <v>355</v>
      </c>
      <c r="Q48280" s="5" t="s">
        <v>355</v>
      </c>
    </row>
    <row r="48281" ht="16.5" customHeight="1">
      <c r="O48281" s="5" t="s">
        <v>355</v>
      </c>
      <c r="P48281" s="5" t="s">
        <v>355</v>
      </c>
      <c r="Q48281" s="5" t="s">
        <v>355</v>
      </c>
    </row>
    <row r="48282" ht="16.5" customHeight="1">
      <c r="O48282" s="5" t="s">
        <v>355</v>
      </c>
      <c r="P48282" s="5" t="s">
        <v>355</v>
      </c>
      <c r="Q48282" s="5" t="s">
        <v>355</v>
      </c>
    </row>
    <row r="48283" ht="16.5" customHeight="1">
      <c r="O48283" s="5" t="s">
        <v>355</v>
      </c>
      <c r="P48283" s="5" t="s">
        <v>355</v>
      </c>
      <c r="Q48283" s="5" t="s">
        <v>355</v>
      </c>
    </row>
    <row r="48284" ht="16.5" customHeight="1">
      <c r="O48284" s="5" t="s">
        <v>355</v>
      </c>
      <c r="P48284" s="5" t="s">
        <v>355</v>
      </c>
      <c r="Q48284" s="5" t="s">
        <v>355</v>
      </c>
    </row>
    <row r="48285" ht="16.5" customHeight="1">
      <c r="O48285" s="5" t="s">
        <v>355</v>
      </c>
      <c r="P48285" s="5" t="s">
        <v>355</v>
      </c>
      <c r="Q48285" s="5" t="s">
        <v>355</v>
      </c>
    </row>
    <row r="48286" ht="16.5" customHeight="1">
      <c r="O48286" s="5" t="s">
        <v>355</v>
      </c>
      <c r="P48286" s="5" t="s">
        <v>355</v>
      </c>
      <c r="Q48286" s="5" t="s">
        <v>355</v>
      </c>
    </row>
    <row r="48287" ht="16.5" customHeight="1">
      <c r="O48287" s="5" t="s">
        <v>355</v>
      </c>
      <c r="P48287" s="5" t="s">
        <v>355</v>
      </c>
      <c r="Q48287" s="5" t="s">
        <v>355</v>
      </c>
    </row>
    <row r="48288" ht="16.5" customHeight="1">
      <c r="O48288" s="5" t="s">
        <v>355</v>
      </c>
      <c r="P48288" s="5" t="s">
        <v>355</v>
      </c>
      <c r="Q48288" s="5" t="s">
        <v>355</v>
      </c>
    </row>
    <row r="48289" ht="16.5" customHeight="1">
      <c r="O48289" s="5" t="s">
        <v>355</v>
      </c>
      <c r="P48289" s="5" t="s">
        <v>355</v>
      </c>
      <c r="Q48289" s="5" t="s">
        <v>355</v>
      </c>
    </row>
    <row r="48290" ht="16.5" customHeight="1">
      <c r="O48290" s="5" t="s">
        <v>355</v>
      </c>
      <c r="P48290" s="5" t="s">
        <v>355</v>
      </c>
      <c r="Q48290" s="5" t="s">
        <v>355</v>
      </c>
    </row>
    <row r="48291" ht="16.5" customHeight="1">
      <c r="O48291" s="5" t="s">
        <v>355</v>
      </c>
      <c r="P48291" s="5" t="s">
        <v>355</v>
      </c>
      <c r="Q48291" s="5" t="s">
        <v>355</v>
      </c>
    </row>
    <row r="48292" ht="16.5" customHeight="1">
      <c r="O48292" s="5" t="s">
        <v>355</v>
      </c>
      <c r="P48292" s="5" t="s">
        <v>355</v>
      </c>
      <c r="Q48292" s="5" t="s">
        <v>355</v>
      </c>
    </row>
    <row r="48293" ht="16.5" customHeight="1">
      <c r="O48293" s="5" t="s">
        <v>355</v>
      </c>
      <c r="P48293" s="5" t="s">
        <v>355</v>
      </c>
      <c r="Q48293" s="5" t="s">
        <v>355</v>
      </c>
    </row>
    <row r="48294" ht="16.5" customHeight="1">
      <c r="O48294" s="5" t="s">
        <v>355</v>
      </c>
      <c r="P48294" s="5" t="s">
        <v>355</v>
      </c>
      <c r="Q48294" s="5" t="s">
        <v>355</v>
      </c>
    </row>
    <row r="48295" ht="16.5" customHeight="1">
      <c r="O48295" s="5" t="s">
        <v>355</v>
      </c>
      <c r="P48295" s="5" t="s">
        <v>355</v>
      </c>
      <c r="Q48295" s="5" t="s">
        <v>355</v>
      </c>
    </row>
    <row r="48296" ht="16.5" customHeight="1">
      <c r="O48296" s="5" t="s">
        <v>355</v>
      </c>
      <c r="P48296" s="5" t="s">
        <v>355</v>
      </c>
      <c r="Q48296" s="5" t="s">
        <v>355</v>
      </c>
    </row>
    <row r="48297" ht="16.5" customHeight="1">
      <c r="O48297" s="5" t="s">
        <v>355</v>
      </c>
      <c r="P48297" s="5" t="s">
        <v>355</v>
      </c>
      <c r="Q48297" s="5" t="s">
        <v>355</v>
      </c>
    </row>
    <row r="48298" ht="16.5" customHeight="1">
      <c r="O48298" s="5" t="s">
        <v>355</v>
      </c>
      <c r="P48298" s="5" t="s">
        <v>355</v>
      </c>
      <c r="Q48298" s="5" t="s">
        <v>355</v>
      </c>
    </row>
    <row r="48299" ht="16.5" customHeight="1">
      <c r="O48299" s="5" t="s">
        <v>355</v>
      </c>
      <c r="P48299" s="5" t="s">
        <v>355</v>
      </c>
      <c r="Q48299" s="5" t="s">
        <v>355</v>
      </c>
    </row>
    <row r="48300" ht="16.5" customHeight="1">
      <c r="O48300" s="5" t="s">
        <v>355</v>
      </c>
      <c r="P48300" s="5" t="s">
        <v>355</v>
      </c>
      <c r="Q48300" s="5" t="s">
        <v>355</v>
      </c>
    </row>
    <row r="48301" ht="16.5" customHeight="1">
      <c r="O48301" s="5" t="s">
        <v>355</v>
      </c>
      <c r="P48301" s="5" t="s">
        <v>355</v>
      </c>
      <c r="Q48301" s="5" t="s">
        <v>355</v>
      </c>
    </row>
    <row r="48302" ht="16.5" customHeight="1">
      <c r="O48302" s="5" t="s">
        <v>355</v>
      </c>
      <c r="P48302" s="5" t="s">
        <v>355</v>
      </c>
      <c r="Q48302" s="5" t="s">
        <v>355</v>
      </c>
    </row>
    <row r="48303" ht="16.5" customHeight="1">
      <c r="O48303" s="5" t="s">
        <v>355</v>
      </c>
      <c r="P48303" s="5" t="s">
        <v>355</v>
      </c>
      <c r="Q48303" s="5" t="s">
        <v>355</v>
      </c>
    </row>
    <row r="48304" ht="16.5" customHeight="1">
      <c r="O48304" s="5" t="s">
        <v>355</v>
      </c>
      <c r="P48304" s="5" t="s">
        <v>355</v>
      </c>
      <c r="Q48304" s="5" t="s">
        <v>355</v>
      </c>
    </row>
    <row r="48305" ht="16.5" customHeight="1">
      <c r="O48305" s="5" t="s">
        <v>355</v>
      </c>
      <c r="P48305" s="5" t="s">
        <v>355</v>
      </c>
      <c r="Q48305" s="5" t="s">
        <v>355</v>
      </c>
    </row>
    <row r="48306" ht="16.5" customHeight="1">
      <c r="O48306" s="5" t="s">
        <v>355</v>
      </c>
      <c r="P48306" s="5" t="s">
        <v>355</v>
      </c>
      <c r="Q48306" s="5" t="s">
        <v>355</v>
      </c>
    </row>
    <row r="48307" ht="16.5" customHeight="1">
      <c r="O48307" s="5" t="s">
        <v>355</v>
      </c>
      <c r="P48307" s="5" t="s">
        <v>355</v>
      </c>
      <c r="Q48307" s="5" t="s">
        <v>355</v>
      </c>
    </row>
    <row r="48308" ht="16.5" customHeight="1">
      <c r="O48308" s="5" t="s">
        <v>355</v>
      </c>
      <c r="P48308" s="5" t="s">
        <v>355</v>
      </c>
      <c r="Q48308" s="5" t="s">
        <v>355</v>
      </c>
    </row>
    <row r="48309" ht="16.5" customHeight="1">
      <c r="O48309" s="5" t="s">
        <v>355</v>
      </c>
      <c r="P48309" s="5" t="s">
        <v>355</v>
      </c>
      <c r="Q48309" s="5" t="s">
        <v>355</v>
      </c>
    </row>
    <row r="48310" ht="16.5" customHeight="1">
      <c r="O48310" s="5" t="s">
        <v>355</v>
      </c>
      <c r="P48310" s="5" t="s">
        <v>355</v>
      </c>
      <c r="Q48310" s="5" t="s">
        <v>355</v>
      </c>
    </row>
    <row r="48311" ht="16.5" customHeight="1">
      <c r="O48311" s="5" t="s">
        <v>355</v>
      </c>
      <c r="P48311" s="5" t="s">
        <v>355</v>
      </c>
      <c r="Q48311" s="5" t="s">
        <v>355</v>
      </c>
    </row>
    <row r="48312" ht="16.5" customHeight="1">
      <c r="O48312" s="5" t="s">
        <v>355</v>
      </c>
      <c r="P48312" s="5" t="s">
        <v>355</v>
      </c>
      <c r="Q48312" s="5" t="s">
        <v>355</v>
      </c>
    </row>
    <row r="48313" ht="16.5" customHeight="1">
      <c r="O48313" s="5" t="s">
        <v>355</v>
      </c>
      <c r="P48313" s="5" t="s">
        <v>355</v>
      </c>
      <c r="Q48313" s="5" t="s">
        <v>355</v>
      </c>
    </row>
    <row r="48314" ht="16.5" customHeight="1">
      <c r="O48314" s="5" t="s">
        <v>355</v>
      </c>
      <c r="P48314" s="5" t="s">
        <v>355</v>
      </c>
      <c r="Q48314" s="5" t="s">
        <v>355</v>
      </c>
    </row>
    <row r="48315" ht="16.5" customHeight="1">
      <c r="O48315" s="5" t="s">
        <v>355</v>
      </c>
      <c r="P48315" s="5" t="s">
        <v>355</v>
      </c>
      <c r="Q48315" s="5" t="s">
        <v>355</v>
      </c>
    </row>
    <row r="48316" ht="16.5" customHeight="1">
      <c r="O48316" s="5" t="s">
        <v>355</v>
      </c>
      <c r="P48316" s="5" t="s">
        <v>355</v>
      </c>
      <c r="Q48316" s="5" t="s">
        <v>355</v>
      </c>
    </row>
    <row r="48317" ht="16.5" customHeight="1">
      <c r="O48317" s="5" t="s">
        <v>355</v>
      </c>
      <c r="P48317" s="5" t="s">
        <v>355</v>
      </c>
      <c r="Q48317" s="5" t="s">
        <v>355</v>
      </c>
    </row>
    <row r="48318" ht="16.5" customHeight="1">
      <c r="O48318" s="5" t="s">
        <v>355</v>
      </c>
      <c r="P48318" s="5" t="s">
        <v>355</v>
      </c>
      <c r="Q48318" s="5" t="s">
        <v>355</v>
      </c>
    </row>
    <row r="48319" ht="16.5" customHeight="1">
      <c r="O48319" s="5" t="s">
        <v>355</v>
      </c>
      <c r="P48319" s="5" t="s">
        <v>355</v>
      </c>
      <c r="Q48319" s="5" t="s">
        <v>355</v>
      </c>
    </row>
    <row r="48320" ht="16.5" customHeight="1">
      <c r="O48320" s="5" t="s">
        <v>355</v>
      </c>
      <c r="P48320" s="5" t="s">
        <v>355</v>
      </c>
      <c r="Q48320" s="5" t="s">
        <v>355</v>
      </c>
    </row>
    <row r="48321" ht="16.5" customHeight="1">
      <c r="O48321" s="5" t="s">
        <v>355</v>
      </c>
      <c r="P48321" s="5" t="s">
        <v>355</v>
      </c>
      <c r="Q48321" s="5" t="s">
        <v>355</v>
      </c>
    </row>
    <row r="48322" ht="16.5" customHeight="1">
      <c r="O48322" s="5" t="s">
        <v>355</v>
      </c>
      <c r="P48322" s="5" t="s">
        <v>355</v>
      </c>
      <c r="Q48322" s="5" t="s">
        <v>355</v>
      </c>
    </row>
    <row r="48323" ht="16.5" customHeight="1">
      <c r="O48323" s="5" t="s">
        <v>355</v>
      </c>
      <c r="P48323" s="5" t="s">
        <v>355</v>
      </c>
      <c r="Q48323" s="5" t="s">
        <v>355</v>
      </c>
    </row>
    <row r="48324" ht="16.5" customHeight="1">
      <c r="O48324" s="5" t="s">
        <v>355</v>
      </c>
      <c r="P48324" s="5" t="s">
        <v>355</v>
      </c>
      <c r="Q48324" s="5" t="s">
        <v>355</v>
      </c>
    </row>
    <row r="48325" ht="16.5" customHeight="1">
      <c r="O48325" s="5" t="s">
        <v>355</v>
      </c>
      <c r="P48325" s="5" t="s">
        <v>355</v>
      </c>
      <c r="Q48325" s="5" t="s">
        <v>355</v>
      </c>
    </row>
    <row r="48326" ht="16.5" customHeight="1">
      <c r="O48326" s="5" t="s">
        <v>355</v>
      </c>
      <c r="P48326" s="5" t="s">
        <v>355</v>
      </c>
      <c r="Q48326" s="5" t="s">
        <v>355</v>
      </c>
    </row>
    <row r="48327" ht="16.5" customHeight="1">
      <c r="O48327" s="5" t="s">
        <v>355</v>
      </c>
      <c r="P48327" s="5" t="s">
        <v>355</v>
      </c>
      <c r="Q48327" s="5" t="s">
        <v>355</v>
      </c>
    </row>
    <row r="48328" ht="16.5" customHeight="1">
      <c r="O48328" s="5" t="s">
        <v>355</v>
      </c>
      <c r="P48328" s="5" t="s">
        <v>355</v>
      </c>
      <c r="Q48328" s="5" t="s">
        <v>355</v>
      </c>
    </row>
    <row r="48329" ht="16.5" customHeight="1">
      <c r="O48329" s="5" t="s">
        <v>355</v>
      </c>
      <c r="P48329" s="5" t="s">
        <v>355</v>
      </c>
      <c r="Q48329" s="5" t="s">
        <v>355</v>
      </c>
    </row>
    <row r="48330" ht="16.5" customHeight="1">
      <c r="O48330" s="5" t="s">
        <v>355</v>
      </c>
      <c r="P48330" s="5" t="s">
        <v>355</v>
      </c>
      <c r="Q48330" s="5" t="s">
        <v>355</v>
      </c>
    </row>
    <row r="48331" ht="16.5" customHeight="1">
      <c r="O48331" s="5" t="s">
        <v>355</v>
      </c>
      <c r="P48331" s="5" t="s">
        <v>355</v>
      </c>
      <c r="Q48331" s="5" t="s">
        <v>355</v>
      </c>
    </row>
    <row r="48332" ht="16.5" customHeight="1">
      <c r="O48332" s="5" t="s">
        <v>355</v>
      </c>
      <c r="P48332" s="5" t="s">
        <v>355</v>
      </c>
      <c r="Q48332" s="5" t="s">
        <v>355</v>
      </c>
    </row>
    <row r="48333" ht="16.5" customHeight="1">
      <c r="O48333" s="5" t="s">
        <v>355</v>
      </c>
      <c r="P48333" s="5" t="s">
        <v>355</v>
      </c>
      <c r="Q48333" s="5" t="s">
        <v>355</v>
      </c>
    </row>
    <row r="48334" ht="16.5" customHeight="1">
      <c r="O48334" s="5" t="s">
        <v>355</v>
      </c>
      <c r="P48334" s="5" t="s">
        <v>355</v>
      </c>
      <c r="Q48334" s="5" t="s">
        <v>355</v>
      </c>
    </row>
    <row r="48335" ht="16.5" customHeight="1">
      <c r="O48335" s="5" t="s">
        <v>355</v>
      </c>
      <c r="P48335" s="5" t="s">
        <v>355</v>
      </c>
      <c r="Q48335" s="5" t="s">
        <v>355</v>
      </c>
    </row>
    <row r="48336" ht="16.5" customHeight="1">
      <c r="O48336" s="5" t="s">
        <v>355</v>
      </c>
      <c r="P48336" s="5" t="s">
        <v>355</v>
      </c>
      <c r="Q48336" s="5" t="s">
        <v>355</v>
      </c>
    </row>
    <row r="48337" ht="16.5" customHeight="1">
      <c r="O48337" s="5" t="s">
        <v>355</v>
      </c>
      <c r="P48337" s="5" t="s">
        <v>355</v>
      </c>
      <c r="Q48337" s="5" t="s">
        <v>355</v>
      </c>
    </row>
    <row r="48338" ht="16.5" customHeight="1">
      <c r="O48338" s="5" t="s">
        <v>355</v>
      </c>
      <c r="P48338" s="5" t="s">
        <v>355</v>
      </c>
      <c r="Q48338" s="5" t="s">
        <v>355</v>
      </c>
    </row>
    <row r="48339" ht="16.5" customHeight="1">
      <c r="O48339" s="5" t="s">
        <v>355</v>
      </c>
      <c r="P48339" s="5" t="s">
        <v>355</v>
      </c>
      <c r="Q48339" s="5" t="s">
        <v>355</v>
      </c>
    </row>
    <row r="48340" ht="16.5" customHeight="1">
      <c r="O48340" s="5" t="s">
        <v>355</v>
      </c>
      <c r="P48340" s="5" t="s">
        <v>355</v>
      </c>
      <c r="Q48340" s="5" t="s">
        <v>355</v>
      </c>
    </row>
    <row r="48341" ht="16.5" customHeight="1">
      <c r="O48341" s="5" t="s">
        <v>355</v>
      </c>
      <c r="P48341" s="5" t="s">
        <v>355</v>
      </c>
      <c r="Q48341" s="5" t="s">
        <v>355</v>
      </c>
    </row>
    <row r="48342" ht="16.5" customHeight="1">
      <c r="O48342" s="5" t="s">
        <v>355</v>
      </c>
      <c r="P48342" s="5" t="s">
        <v>355</v>
      </c>
      <c r="Q48342" s="5" t="s">
        <v>355</v>
      </c>
    </row>
    <row r="48343" ht="16.5" customHeight="1">
      <c r="O48343" s="5" t="s">
        <v>355</v>
      </c>
      <c r="P48343" s="5" t="s">
        <v>355</v>
      </c>
      <c r="Q48343" s="5" t="s">
        <v>355</v>
      </c>
    </row>
    <row r="48344" ht="16.5" customHeight="1">
      <c r="O48344" s="5" t="s">
        <v>355</v>
      </c>
      <c r="P48344" s="5" t="s">
        <v>355</v>
      </c>
      <c r="Q48344" s="5" t="s">
        <v>355</v>
      </c>
    </row>
    <row r="48345" ht="16.5" customHeight="1">
      <c r="O48345" s="5" t="s">
        <v>355</v>
      </c>
      <c r="P48345" s="5" t="s">
        <v>355</v>
      </c>
      <c r="Q48345" s="5" t="s">
        <v>355</v>
      </c>
    </row>
    <row r="48346" ht="16.5" customHeight="1">
      <c r="O48346" s="5" t="s">
        <v>355</v>
      </c>
      <c r="P48346" s="5" t="s">
        <v>355</v>
      </c>
      <c r="Q48346" s="5" t="s">
        <v>355</v>
      </c>
    </row>
    <row r="48347" ht="16.5" customHeight="1">
      <c r="O48347" s="5" t="s">
        <v>355</v>
      </c>
      <c r="P48347" s="5" t="s">
        <v>355</v>
      </c>
      <c r="Q48347" s="5" t="s">
        <v>355</v>
      </c>
    </row>
    <row r="48348" ht="16.5" customHeight="1">
      <c r="O48348" s="5" t="s">
        <v>355</v>
      </c>
      <c r="P48348" s="5" t="s">
        <v>355</v>
      </c>
      <c r="Q48348" s="5" t="s">
        <v>355</v>
      </c>
    </row>
    <row r="48349" ht="16.5" customHeight="1">
      <c r="O48349" s="5" t="s">
        <v>355</v>
      </c>
      <c r="P48349" s="5" t="s">
        <v>355</v>
      </c>
      <c r="Q48349" s="5" t="s">
        <v>355</v>
      </c>
    </row>
    <row r="48350" ht="16.5" customHeight="1">
      <c r="O48350" s="5" t="s">
        <v>355</v>
      </c>
      <c r="P48350" s="5" t="s">
        <v>355</v>
      </c>
      <c r="Q48350" s="5" t="s">
        <v>355</v>
      </c>
    </row>
    <row r="48351" ht="16.5" customHeight="1">
      <c r="O48351" s="5" t="s">
        <v>355</v>
      </c>
      <c r="P48351" s="5" t="s">
        <v>355</v>
      </c>
      <c r="Q48351" s="5" t="s">
        <v>355</v>
      </c>
    </row>
    <row r="48352" ht="16.5" customHeight="1">
      <c r="O48352" s="5" t="s">
        <v>355</v>
      </c>
      <c r="P48352" s="5" t="s">
        <v>355</v>
      </c>
      <c r="Q48352" s="5" t="s">
        <v>355</v>
      </c>
    </row>
    <row r="48353" ht="16.5" customHeight="1">
      <c r="O48353" s="5" t="s">
        <v>355</v>
      </c>
      <c r="P48353" s="5" t="s">
        <v>355</v>
      </c>
      <c r="Q48353" s="5" t="s">
        <v>355</v>
      </c>
    </row>
    <row r="48354" ht="16.5" customHeight="1">
      <c r="O48354" s="5" t="s">
        <v>355</v>
      </c>
      <c r="P48354" s="5" t="s">
        <v>355</v>
      </c>
      <c r="Q48354" s="5" t="s">
        <v>355</v>
      </c>
    </row>
    <row r="48355" ht="16.5" customHeight="1">
      <c r="O48355" s="5" t="s">
        <v>355</v>
      </c>
      <c r="P48355" s="5" t="s">
        <v>355</v>
      </c>
      <c r="Q48355" s="5" t="s">
        <v>355</v>
      </c>
    </row>
    <row r="48356" ht="16.5" customHeight="1">
      <c r="O48356" s="5" t="s">
        <v>355</v>
      </c>
      <c r="P48356" s="5" t="s">
        <v>355</v>
      </c>
      <c r="Q48356" s="5" t="s">
        <v>355</v>
      </c>
    </row>
    <row r="48357" ht="16.5" customHeight="1">
      <c r="O48357" s="5" t="s">
        <v>355</v>
      </c>
      <c r="P48357" s="5" t="s">
        <v>355</v>
      </c>
      <c r="Q48357" s="5" t="s">
        <v>355</v>
      </c>
    </row>
    <row r="48358" ht="16.5" customHeight="1">
      <c r="O48358" s="5" t="s">
        <v>355</v>
      </c>
      <c r="P48358" s="5" t="s">
        <v>355</v>
      </c>
      <c r="Q48358" s="5" t="s">
        <v>355</v>
      </c>
    </row>
    <row r="48359" ht="16.5" customHeight="1">
      <c r="O48359" s="5" t="s">
        <v>355</v>
      </c>
      <c r="P48359" s="5" t="s">
        <v>355</v>
      </c>
      <c r="Q48359" s="5" t="s">
        <v>355</v>
      </c>
    </row>
    <row r="48360" ht="16.5" customHeight="1">
      <c r="O48360" s="5" t="s">
        <v>355</v>
      </c>
      <c r="P48360" s="5" t="s">
        <v>355</v>
      </c>
      <c r="Q48360" s="5" t="s">
        <v>355</v>
      </c>
    </row>
    <row r="48361" ht="16.5" customHeight="1">
      <c r="O48361" s="5" t="s">
        <v>355</v>
      </c>
      <c r="P48361" s="5" t="s">
        <v>355</v>
      </c>
      <c r="Q48361" s="5" t="s">
        <v>355</v>
      </c>
    </row>
    <row r="48362" ht="16.5" customHeight="1">
      <c r="O48362" s="5" t="s">
        <v>355</v>
      </c>
      <c r="P48362" s="5" t="s">
        <v>355</v>
      </c>
      <c r="Q48362" s="5" t="s">
        <v>355</v>
      </c>
    </row>
    <row r="48363" ht="16.5" customHeight="1">
      <c r="O48363" s="5" t="s">
        <v>355</v>
      </c>
      <c r="P48363" s="5" t="s">
        <v>355</v>
      </c>
      <c r="Q48363" s="5" t="s">
        <v>355</v>
      </c>
    </row>
    <row r="48364" ht="16.5" customHeight="1">
      <c r="O48364" s="5" t="s">
        <v>355</v>
      </c>
      <c r="P48364" s="5" t="s">
        <v>355</v>
      </c>
      <c r="Q48364" s="5" t="s">
        <v>355</v>
      </c>
    </row>
    <row r="48365" ht="16.5" customHeight="1">
      <c r="O48365" s="5" t="s">
        <v>355</v>
      </c>
      <c r="P48365" s="5" t="s">
        <v>355</v>
      </c>
      <c r="Q48365" s="5" t="s">
        <v>355</v>
      </c>
    </row>
    <row r="48366" ht="16.5" customHeight="1">
      <c r="O48366" s="5" t="s">
        <v>355</v>
      </c>
      <c r="P48366" s="5" t="s">
        <v>355</v>
      </c>
      <c r="Q48366" s="5" t="s">
        <v>355</v>
      </c>
    </row>
    <row r="48367" ht="16.5" customHeight="1">
      <c r="O48367" s="5" t="s">
        <v>355</v>
      </c>
      <c r="P48367" s="5" t="s">
        <v>355</v>
      </c>
      <c r="Q48367" s="5" t="s">
        <v>355</v>
      </c>
    </row>
    <row r="48368" ht="16.5" customHeight="1">
      <c r="O48368" s="5" t="s">
        <v>355</v>
      </c>
      <c r="P48368" s="5" t="s">
        <v>355</v>
      </c>
      <c r="Q48368" s="5" t="s">
        <v>355</v>
      </c>
    </row>
    <row r="48369" ht="16.5" customHeight="1">
      <c r="O48369" s="5" t="s">
        <v>355</v>
      </c>
      <c r="P48369" s="5" t="s">
        <v>355</v>
      </c>
      <c r="Q48369" s="5" t="s">
        <v>355</v>
      </c>
    </row>
    <row r="48370" ht="16.5" customHeight="1">
      <c r="O48370" s="5" t="s">
        <v>355</v>
      </c>
      <c r="P48370" s="5" t="s">
        <v>355</v>
      </c>
      <c r="Q48370" s="5" t="s">
        <v>355</v>
      </c>
    </row>
    <row r="48371" ht="16.5" customHeight="1">
      <c r="O48371" s="5" t="s">
        <v>355</v>
      </c>
      <c r="P48371" s="5" t="s">
        <v>355</v>
      </c>
      <c r="Q48371" s="5" t="s">
        <v>355</v>
      </c>
    </row>
    <row r="48372" ht="16.5" customHeight="1">
      <c r="O48372" s="5" t="s">
        <v>355</v>
      </c>
      <c r="P48372" s="5" t="s">
        <v>355</v>
      </c>
      <c r="Q48372" s="5" t="s">
        <v>355</v>
      </c>
    </row>
    <row r="48373" ht="16.5" customHeight="1">
      <c r="O48373" s="5" t="s">
        <v>355</v>
      </c>
      <c r="P48373" s="5" t="s">
        <v>355</v>
      </c>
      <c r="Q48373" s="5" t="s">
        <v>355</v>
      </c>
    </row>
    <row r="48374" ht="16.5" customHeight="1">
      <c r="O48374" s="5" t="s">
        <v>355</v>
      </c>
      <c r="P48374" s="5" t="s">
        <v>355</v>
      </c>
      <c r="Q48374" s="5" t="s">
        <v>355</v>
      </c>
    </row>
    <row r="48375" ht="16.5" customHeight="1">
      <c r="O48375" s="5" t="s">
        <v>355</v>
      </c>
      <c r="P48375" s="5" t="s">
        <v>355</v>
      </c>
      <c r="Q48375" s="5" t="s">
        <v>355</v>
      </c>
    </row>
    <row r="48376" ht="16.5" customHeight="1">
      <c r="O48376" s="5" t="s">
        <v>355</v>
      </c>
      <c r="P48376" s="5" t="s">
        <v>355</v>
      </c>
      <c r="Q48376" s="5" t="s">
        <v>355</v>
      </c>
    </row>
    <row r="48377" ht="16.5" customHeight="1">
      <c r="O48377" s="5" t="s">
        <v>355</v>
      </c>
      <c r="P48377" s="5" t="s">
        <v>355</v>
      </c>
      <c r="Q48377" s="5" t="s">
        <v>355</v>
      </c>
    </row>
    <row r="48378" ht="16.5" customHeight="1">
      <c r="O48378" s="5" t="s">
        <v>355</v>
      </c>
      <c r="P48378" s="5" t="s">
        <v>355</v>
      </c>
      <c r="Q48378" s="5" t="s">
        <v>355</v>
      </c>
    </row>
    <row r="48379" ht="16.5" customHeight="1">
      <c r="O48379" s="5" t="s">
        <v>355</v>
      </c>
      <c r="P48379" s="5" t="s">
        <v>355</v>
      </c>
      <c r="Q48379" s="5" t="s">
        <v>355</v>
      </c>
    </row>
    <row r="48380" ht="16.5" customHeight="1">
      <c r="O48380" s="5" t="s">
        <v>355</v>
      </c>
      <c r="P48380" s="5" t="s">
        <v>355</v>
      </c>
      <c r="Q48380" s="5" t="s">
        <v>355</v>
      </c>
    </row>
    <row r="48381" ht="16.5" customHeight="1">
      <c r="O48381" s="5" t="s">
        <v>355</v>
      </c>
      <c r="P48381" s="5" t="s">
        <v>355</v>
      </c>
      <c r="Q48381" s="5" t="s">
        <v>355</v>
      </c>
    </row>
    <row r="48382" ht="16.5" customHeight="1">
      <c r="O48382" s="5" t="s">
        <v>355</v>
      </c>
      <c r="P48382" s="5" t="s">
        <v>355</v>
      </c>
      <c r="Q48382" s="5" t="s">
        <v>355</v>
      </c>
    </row>
    <row r="48383" ht="16.5" customHeight="1">
      <c r="O48383" s="5" t="s">
        <v>355</v>
      </c>
      <c r="P48383" s="5" t="s">
        <v>355</v>
      </c>
      <c r="Q48383" s="5" t="s">
        <v>355</v>
      </c>
    </row>
    <row r="48384" ht="16.5" customHeight="1">
      <c r="O48384" s="5" t="s">
        <v>355</v>
      </c>
      <c r="P48384" s="5" t="s">
        <v>355</v>
      </c>
      <c r="Q48384" s="5" t="s">
        <v>355</v>
      </c>
    </row>
    <row r="48385" ht="16.5" customHeight="1">
      <c r="O48385" s="5" t="s">
        <v>355</v>
      </c>
      <c r="P48385" s="5" t="s">
        <v>355</v>
      </c>
      <c r="Q48385" s="5" t="s">
        <v>355</v>
      </c>
    </row>
    <row r="48386" ht="16.5" customHeight="1">
      <c r="O48386" s="5" t="s">
        <v>355</v>
      </c>
      <c r="P48386" s="5" t="s">
        <v>355</v>
      </c>
      <c r="Q48386" s="5" t="s">
        <v>355</v>
      </c>
    </row>
    <row r="48387" ht="16.5" customHeight="1">
      <c r="O48387" s="5" t="s">
        <v>355</v>
      </c>
      <c r="P48387" s="5" t="s">
        <v>355</v>
      </c>
      <c r="Q48387" s="5" t="s">
        <v>355</v>
      </c>
    </row>
    <row r="48388" ht="16.5" customHeight="1">
      <c r="O48388" s="5" t="s">
        <v>355</v>
      </c>
      <c r="P48388" s="5" t="s">
        <v>355</v>
      </c>
      <c r="Q48388" s="5" t="s">
        <v>355</v>
      </c>
    </row>
    <row r="48389" ht="16.5" customHeight="1">
      <c r="O48389" s="5" t="s">
        <v>355</v>
      </c>
      <c r="P48389" s="5" t="s">
        <v>355</v>
      </c>
      <c r="Q48389" s="5" t="s">
        <v>355</v>
      </c>
    </row>
    <row r="48390" ht="16.5" customHeight="1">
      <c r="O48390" s="5" t="s">
        <v>355</v>
      </c>
      <c r="P48390" s="5" t="s">
        <v>355</v>
      </c>
      <c r="Q48390" s="5" t="s">
        <v>355</v>
      </c>
    </row>
    <row r="48391" ht="16.5" customHeight="1">
      <c r="O48391" s="5" t="s">
        <v>355</v>
      </c>
      <c r="P48391" s="5" t="s">
        <v>355</v>
      </c>
      <c r="Q48391" s="5" t="s">
        <v>355</v>
      </c>
    </row>
    <row r="48392" ht="16.5" customHeight="1">
      <c r="O48392" s="5" t="s">
        <v>355</v>
      </c>
      <c r="P48392" s="5" t="s">
        <v>355</v>
      </c>
      <c r="Q48392" s="5" t="s">
        <v>355</v>
      </c>
    </row>
    <row r="48393" ht="16.5" customHeight="1">
      <c r="O48393" s="5" t="s">
        <v>355</v>
      </c>
      <c r="P48393" s="5" t="s">
        <v>355</v>
      </c>
      <c r="Q48393" s="5" t="s">
        <v>355</v>
      </c>
    </row>
    <row r="48394" ht="16.5" customHeight="1">
      <c r="O48394" s="5" t="s">
        <v>355</v>
      </c>
      <c r="P48394" s="5" t="s">
        <v>355</v>
      </c>
      <c r="Q48394" s="5" t="s">
        <v>355</v>
      </c>
    </row>
    <row r="48395" ht="16.5" customHeight="1">
      <c r="O48395" s="5" t="s">
        <v>355</v>
      </c>
      <c r="P48395" s="5" t="s">
        <v>355</v>
      </c>
      <c r="Q48395" s="5" t="s">
        <v>355</v>
      </c>
    </row>
    <row r="48396" ht="16.5" customHeight="1">
      <c r="O48396" s="5" t="s">
        <v>355</v>
      </c>
      <c r="P48396" s="5" t="s">
        <v>355</v>
      </c>
      <c r="Q48396" s="5" t="s">
        <v>355</v>
      </c>
    </row>
    <row r="48397" ht="16.5" customHeight="1">
      <c r="O48397" s="5" t="s">
        <v>355</v>
      </c>
      <c r="P48397" s="5" t="s">
        <v>355</v>
      </c>
      <c r="Q48397" s="5" t="s">
        <v>355</v>
      </c>
    </row>
    <row r="48398" ht="16.5" customHeight="1">
      <c r="O48398" s="5" t="s">
        <v>355</v>
      </c>
      <c r="P48398" s="5" t="s">
        <v>355</v>
      </c>
      <c r="Q48398" s="5" t="s">
        <v>355</v>
      </c>
    </row>
    <row r="48399" ht="16.5" customHeight="1">
      <c r="O48399" s="5" t="s">
        <v>355</v>
      </c>
      <c r="P48399" s="5" t="s">
        <v>355</v>
      </c>
      <c r="Q48399" s="5" t="s">
        <v>355</v>
      </c>
    </row>
    <row r="48400" ht="16.5" customHeight="1">
      <c r="O48400" s="5" t="s">
        <v>355</v>
      </c>
      <c r="P48400" s="5" t="s">
        <v>355</v>
      </c>
      <c r="Q48400" s="5" t="s">
        <v>355</v>
      </c>
    </row>
    <row r="48401" ht="16.5" customHeight="1">
      <c r="O48401" s="5" t="s">
        <v>355</v>
      </c>
      <c r="P48401" s="5" t="s">
        <v>355</v>
      </c>
      <c r="Q48401" s="5" t="s">
        <v>355</v>
      </c>
    </row>
    <row r="48402" ht="16.5" customHeight="1">
      <c r="O48402" s="5" t="s">
        <v>355</v>
      </c>
      <c r="P48402" s="5" t="s">
        <v>355</v>
      </c>
      <c r="Q48402" s="5" t="s">
        <v>355</v>
      </c>
    </row>
    <row r="48403" ht="16.5" customHeight="1">
      <c r="O48403" s="5" t="s">
        <v>355</v>
      </c>
      <c r="P48403" s="5" t="s">
        <v>355</v>
      </c>
      <c r="Q48403" s="5" t="s">
        <v>355</v>
      </c>
    </row>
    <row r="48404" ht="16.5" customHeight="1">
      <c r="O48404" s="5" t="s">
        <v>355</v>
      </c>
      <c r="P48404" s="5" t="s">
        <v>355</v>
      </c>
      <c r="Q48404" s="5" t="s">
        <v>355</v>
      </c>
    </row>
    <row r="48405" ht="16.5" customHeight="1">
      <c r="O48405" s="5" t="s">
        <v>355</v>
      </c>
      <c r="P48405" s="5" t="s">
        <v>355</v>
      </c>
      <c r="Q48405" s="5" t="s">
        <v>355</v>
      </c>
    </row>
    <row r="48406" ht="16.5" customHeight="1">
      <c r="O48406" s="5" t="s">
        <v>355</v>
      </c>
      <c r="P48406" s="5" t="s">
        <v>355</v>
      </c>
      <c r="Q48406" s="5" t="s">
        <v>355</v>
      </c>
    </row>
    <row r="48407" ht="16.5" customHeight="1">
      <c r="O48407" s="5" t="s">
        <v>355</v>
      </c>
      <c r="P48407" s="5" t="s">
        <v>355</v>
      </c>
      <c r="Q48407" s="5" t="s">
        <v>355</v>
      </c>
    </row>
    <row r="48408" ht="16.5" customHeight="1">
      <c r="O48408" s="5" t="s">
        <v>355</v>
      </c>
      <c r="P48408" s="5" t="s">
        <v>355</v>
      </c>
      <c r="Q48408" s="5" t="s">
        <v>355</v>
      </c>
    </row>
    <row r="48409" ht="16.5" customHeight="1">
      <c r="O48409" s="5" t="s">
        <v>355</v>
      </c>
      <c r="P48409" s="5" t="s">
        <v>355</v>
      </c>
      <c r="Q48409" s="5" t="s">
        <v>355</v>
      </c>
    </row>
    <row r="48410" ht="16.5" customHeight="1">
      <c r="O48410" s="5" t="s">
        <v>355</v>
      </c>
      <c r="P48410" s="5" t="s">
        <v>355</v>
      </c>
      <c r="Q48410" s="5" t="s">
        <v>355</v>
      </c>
    </row>
    <row r="48411" ht="16.5" customHeight="1">
      <c r="O48411" s="5" t="s">
        <v>355</v>
      </c>
      <c r="P48411" s="5" t="s">
        <v>355</v>
      </c>
      <c r="Q48411" s="5" t="s">
        <v>355</v>
      </c>
    </row>
    <row r="48412" ht="16.5" customHeight="1">
      <c r="O48412" s="5" t="s">
        <v>355</v>
      </c>
      <c r="P48412" s="5" t="s">
        <v>355</v>
      </c>
      <c r="Q48412" s="5" t="s">
        <v>355</v>
      </c>
    </row>
    <row r="48413" ht="16.5" customHeight="1">
      <c r="O48413" s="5" t="s">
        <v>355</v>
      </c>
      <c r="P48413" s="5" t="s">
        <v>355</v>
      </c>
      <c r="Q48413" s="5" t="s">
        <v>355</v>
      </c>
    </row>
    <row r="48414" ht="16.5" customHeight="1">
      <c r="O48414" s="5" t="s">
        <v>355</v>
      </c>
      <c r="P48414" s="5" t="s">
        <v>355</v>
      </c>
      <c r="Q48414" s="5" t="s">
        <v>355</v>
      </c>
    </row>
    <row r="48415" ht="16.5" customHeight="1">
      <c r="O48415" s="5" t="s">
        <v>355</v>
      </c>
      <c r="P48415" s="5" t="s">
        <v>355</v>
      </c>
      <c r="Q48415" s="5" t="s">
        <v>355</v>
      </c>
    </row>
    <row r="48416" ht="16.5" customHeight="1">
      <c r="O48416" s="5" t="s">
        <v>355</v>
      </c>
      <c r="P48416" s="5" t="s">
        <v>355</v>
      </c>
      <c r="Q48416" s="5" t="s">
        <v>355</v>
      </c>
    </row>
    <row r="48417" ht="16.5" customHeight="1">
      <c r="O48417" s="5" t="s">
        <v>355</v>
      </c>
      <c r="P48417" s="5" t="s">
        <v>355</v>
      </c>
      <c r="Q48417" s="5" t="s">
        <v>355</v>
      </c>
    </row>
    <row r="48418" ht="16.5" customHeight="1">
      <c r="O48418" s="5" t="s">
        <v>355</v>
      </c>
      <c r="P48418" s="5" t="s">
        <v>355</v>
      </c>
      <c r="Q48418" s="5" t="s">
        <v>355</v>
      </c>
    </row>
    <row r="48419" ht="16.5" customHeight="1">
      <c r="O48419" s="5" t="s">
        <v>355</v>
      </c>
      <c r="P48419" s="5" t="s">
        <v>355</v>
      </c>
      <c r="Q48419" s="5" t="s">
        <v>355</v>
      </c>
    </row>
    <row r="48420" ht="16.5" customHeight="1">
      <c r="O48420" s="5" t="s">
        <v>355</v>
      </c>
      <c r="P48420" s="5" t="s">
        <v>355</v>
      </c>
      <c r="Q48420" s="5" t="s">
        <v>355</v>
      </c>
    </row>
    <row r="48421" ht="16.5" customHeight="1">
      <c r="O48421" s="5" t="s">
        <v>355</v>
      </c>
      <c r="P48421" s="5" t="s">
        <v>355</v>
      </c>
      <c r="Q48421" s="5" t="s">
        <v>355</v>
      </c>
    </row>
    <row r="48422" ht="16.5" customHeight="1">
      <c r="O48422" s="5" t="s">
        <v>355</v>
      </c>
      <c r="P48422" s="5" t="s">
        <v>355</v>
      </c>
      <c r="Q48422" s="5" t="s">
        <v>355</v>
      </c>
    </row>
    <row r="48423" ht="16.5" customHeight="1">
      <c r="O48423" s="5" t="s">
        <v>355</v>
      </c>
      <c r="P48423" s="5" t="s">
        <v>355</v>
      </c>
      <c r="Q48423" s="5" t="s">
        <v>355</v>
      </c>
    </row>
    <row r="48424" ht="16.5" customHeight="1">
      <c r="O48424" s="5" t="s">
        <v>355</v>
      </c>
      <c r="P48424" s="5" t="s">
        <v>355</v>
      </c>
      <c r="Q48424" s="5" t="s">
        <v>355</v>
      </c>
    </row>
    <row r="48425" ht="16.5" customHeight="1">
      <c r="O48425" s="5" t="s">
        <v>355</v>
      </c>
      <c r="P48425" s="5" t="s">
        <v>355</v>
      </c>
      <c r="Q48425" s="5" t="s">
        <v>355</v>
      </c>
    </row>
    <row r="48426" ht="16.5" customHeight="1">
      <c r="O48426" s="5" t="s">
        <v>355</v>
      </c>
      <c r="P48426" s="5" t="s">
        <v>355</v>
      </c>
      <c r="Q48426" s="5" t="s">
        <v>355</v>
      </c>
    </row>
    <row r="48427" ht="16.5" customHeight="1">
      <c r="O48427" s="5" t="s">
        <v>355</v>
      </c>
      <c r="P48427" s="5" t="s">
        <v>355</v>
      </c>
      <c r="Q48427" s="5" t="s">
        <v>355</v>
      </c>
    </row>
    <row r="48428" ht="16.5" customHeight="1">
      <c r="O48428" s="5" t="s">
        <v>355</v>
      </c>
      <c r="P48428" s="5" t="s">
        <v>355</v>
      </c>
      <c r="Q48428" s="5" t="s">
        <v>355</v>
      </c>
    </row>
    <row r="48429" ht="16.5" customHeight="1">
      <c r="O48429" s="5" t="s">
        <v>355</v>
      </c>
      <c r="P48429" s="5" t="s">
        <v>355</v>
      </c>
      <c r="Q48429" s="5" t="s">
        <v>355</v>
      </c>
    </row>
    <row r="48430" ht="16.5" customHeight="1">
      <c r="O48430" s="5" t="s">
        <v>355</v>
      </c>
      <c r="P48430" s="5" t="s">
        <v>355</v>
      </c>
      <c r="Q48430" s="5" t="s">
        <v>355</v>
      </c>
    </row>
    <row r="48431" ht="16.5" customHeight="1">
      <c r="O48431" s="5" t="s">
        <v>355</v>
      </c>
      <c r="P48431" s="5" t="s">
        <v>355</v>
      </c>
      <c r="Q48431" s="5" t="s">
        <v>355</v>
      </c>
    </row>
    <row r="48432" ht="16.5" customHeight="1">
      <c r="O48432" s="5" t="s">
        <v>355</v>
      </c>
      <c r="P48432" s="5" t="s">
        <v>355</v>
      </c>
      <c r="Q48432" s="5" t="s">
        <v>355</v>
      </c>
    </row>
    <row r="48433" ht="16.5" customHeight="1">
      <c r="O48433" s="5" t="s">
        <v>355</v>
      </c>
      <c r="P48433" s="5" t="s">
        <v>355</v>
      </c>
      <c r="Q48433" s="5" t="s">
        <v>355</v>
      </c>
    </row>
    <row r="48434" ht="16.5" customHeight="1">
      <c r="O48434" s="5" t="s">
        <v>355</v>
      </c>
      <c r="P48434" s="5" t="s">
        <v>355</v>
      </c>
      <c r="Q48434" s="5" t="s">
        <v>355</v>
      </c>
    </row>
    <row r="48435" ht="16.5" customHeight="1">
      <c r="O48435" s="5" t="s">
        <v>355</v>
      </c>
      <c r="P48435" s="5" t="s">
        <v>355</v>
      </c>
      <c r="Q48435" s="5" t="s">
        <v>355</v>
      </c>
    </row>
    <row r="48436" ht="16.5" customHeight="1">
      <c r="O48436" s="5" t="s">
        <v>355</v>
      </c>
      <c r="P48436" s="5" t="s">
        <v>355</v>
      </c>
      <c r="Q48436" s="5" t="s">
        <v>355</v>
      </c>
    </row>
    <row r="48437" ht="16.5" customHeight="1">
      <c r="O48437" s="5" t="s">
        <v>355</v>
      </c>
      <c r="P48437" s="5" t="s">
        <v>355</v>
      </c>
      <c r="Q48437" s="5" t="s">
        <v>355</v>
      </c>
    </row>
    <row r="48438" ht="16.5" customHeight="1">
      <c r="O48438" s="5" t="s">
        <v>355</v>
      </c>
      <c r="P48438" s="5" t="s">
        <v>355</v>
      </c>
      <c r="Q48438" s="5" t="s">
        <v>355</v>
      </c>
    </row>
    <row r="48439" ht="16.5" customHeight="1">
      <c r="O48439" s="5" t="s">
        <v>355</v>
      </c>
      <c r="P48439" s="5" t="s">
        <v>355</v>
      </c>
      <c r="Q48439" s="5" t="s">
        <v>355</v>
      </c>
    </row>
    <row r="48440" ht="16.5" customHeight="1">
      <c r="O48440" s="5" t="s">
        <v>355</v>
      </c>
      <c r="P48440" s="5" t="s">
        <v>355</v>
      </c>
      <c r="Q48440" s="5" t="s">
        <v>355</v>
      </c>
    </row>
    <row r="48441" ht="16.5" customHeight="1">
      <c r="O48441" s="5" t="s">
        <v>355</v>
      </c>
      <c r="P48441" s="5" t="s">
        <v>355</v>
      </c>
      <c r="Q48441" s="5" t="s">
        <v>355</v>
      </c>
    </row>
    <row r="48442" ht="16.5" customHeight="1">
      <c r="O48442" s="5" t="s">
        <v>355</v>
      </c>
      <c r="P48442" s="5" t="s">
        <v>355</v>
      </c>
      <c r="Q48442" s="5" t="s">
        <v>355</v>
      </c>
    </row>
    <row r="48443" ht="16.5" customHeight="1">
      <c r="O48443" s="5" t="s">
        <v>355</v>
      </c>
      <c r="P48443" s="5" t="s">
        <v>355</v>
      </c>
      <c r="Q48443" s="5" t="s">
        <v>355</v>
      </c>
    </row>
    <row r="48444" ht="16.5" customHeight="1">
      <c r="O48444" s="5" t="s">
        <v>355</v>
      </c>
      <c r="P48444" s="5" t="s">
        <v>355</v>
      </c>
      <c r="Q48444" s="5" t="s">
        <v>355</v>
      </c>
    </row>
    <row r="48445" ht="16.5" customHeight="1">
      <c r="O48445" s="5" t="s">
        <v>355</v>
      </c>
      <c r="P48445" s="5" t="s">
        <v>355</v>
      </c>
      <c r="Q48445" s="5" t="s">
        <v>355</v>
      </c>
    </row>
    <row r="48446" ht="16.5" customHeight="1">
      <c r="O48446" s="5" t="s">
        <v>355</v>
      </c>
      <c r="P48446" s="5" t="s">
        <v>355</v>
      </c>
      <c r="Q48446" s="5" t="s">
        <v>355</v>
      </c>
    </row>
    <row r="48447" ht="16.5" customHeight="1">
      <c r="O48447" s="5" t="s">
        <v>355</v>
      </c>
      <c r="P48447" s="5" t="s">
        <v>355</v>
      </c>
      <c r="Q48447" s="5" t="s">
        <v>355</v>
      </c>
    </row>
    <row r="48448" ht="16.5" customHeight="1">
      <c r="O48448" s="5" t="s">
        <v>355</v>
      </c>
      <c r="P48448" s="5" t="s">
        <v>355</v>
      </c>
      <c r="Q48448" s="5" t="s">
        <v>355</v>
      </c>
    </row>
    <row r="48449" ht="16.5" customHeight="1">
      <c r="O48449" s="5" t="s">
        <v>355</v>
      </c>
      <c r="P48449" s="5" t="s">
        <v>355</v>
      </c>
      <c r="Q48449" s="5" t="s">
        <v>355</v>
      </c>
    </row>
    <row r="48450" ht="16.5" customHeight="1">
      <c r="O48450" s="5" t="s">
        <v>355</v>
      </c>
      <c r="P48450" s="5" t="s">
        <v>355</v>
      </c>
      <c r="Q48450" s="5" t="s">
        <v>355</v>
      </c>
    </row>
    <row r="48451" ht="16.5" customHeight="1">
      <c r="O48451" s="5" t="s">
        <v>355</v>
      </c>
      <c r="P48451" s="5" t="s">
        <v>355</v>
      </c>
      <c r="Q48451" s="5" t="s">
        <v>355</v>
      </c>
    </row>
    <row r="48452" ht="16.5" customHeight="1">
      <c r="O48452" s="5" t="s">
        <v>355</v>
      </c>
      <c r="P48452" s="5" t="s">
        <v>355</v>
      </c>
      <c r="Q48452" s="5" t="s">
        <v>355</v>
      </c>
    </row>
    <row r="48453" ht="16.5" customHeight="1">
      <c r="O48453" s="5" t="s">
        <v>355</v>
      </c>
      <c r="P48453" s="5" t="s">
        <v>355</v>
      </c>
      <c r="Q48453" s="5" t="s">
        <v>355</v>
      </c>
    </row>
    <row r="48454" ht="16.5" customHeight="1">
      <c r="O48454" s="5" t="s">
        <v>355</v>
      </c>
      <c r="P48454" s="5" t="s">
        <v>355</v>
      </c>
      <c r="Q48454" s="5" t="s">
        <v>355</v>
      </c>
    </row>
    <row r="48455" ht="16.5" customHeight="1">
      <c r="O48455" s="5" t="s">
        <v>355</v>
      </c>
      <c r="P48455" s="5" t="s">
        <v>355</v>
      </c>
      <c r="Q48455" s="5" t="s">
        <v>355</v>
      </c>
    </row>
    <row r="48456" ht="16.5" customHeight="1">
      <c r="O48456" s="5" t="s">
        <v>355</v>
      </c>
      <c r="P48456" s="5" t="s">
        <v>355</v>
      </c>
      <c r="Q48456" s="5" t="s">
        <v>355</v>
      </c>
    </row>
    <row r="48457" ht="16.5" customHeight="1">
      <c r="O48457" s="5" t="s">
        <v>355</v>
      </c>
      <c r="P48457" s="5" t="s">
        <v>355</v>
      </c>
      <c r="Q48457" s="5" t="s">
        <v>355</v>
      </c>
    </row>
    <row r="48458" ht="16.5" customHeight="1">
      <c r="O48458" s="5" t="s">
        <v>355</v>
      </c>
      <c r="P48458" s="5" t="s">
        <v>355</v>
      </c>
      <c r="Q48458" s="5" t="s">
        <v>355</v>
      </c>
    </row>
    <row r="48459" ht="16.5" customHeight="1">
      <c r="O48459" s="5" t="s">
        <v>355</v>
      </c>
      <c r="P48459" s="5" t="s">
        <v>355</v>
      </c>
      <c r="Q48459" s="5" t="s">
        <v>355</v>
      </c>
    </row>
    <row r="48460" ht="16.5" customHeight="1">
      <c r="O48460" s="5" t="s">
        <v>355</v>
      </c>
      <c r="P48460" s="5" t="s">
        <v>355</v>
      </c>
      <c r="Q48460" s="5" t="s">
        <v>355</v>
      </c>
    </row>
    <row r="48461" ht="16.5" customHeight="1">
      <c r="O48461" s="5" t="s">
        <v>355</v>
      </c>
      <c r="P48461" s="5" t="s">
        <v>355</v>
      </c>
      <c r="Q48461" s="5" t="s">
        <v>355</v>
      </c>
    </row>
    <row r="48462" ht="16.5" customHeight="1">
      <c r="O48462" s="5" t="s">
        <v>355</v>
      </c>
      <c r="P48462" s="5" t="s">
        <v>355</v>
      </c>
      <c r="Q48462" s="5" t="s">
        <v>355</v>
      </c>
    </row>
    <row r="48463" ht="16.5" customHeight="1">
      <c r="O48463" s="5" t="s">
        <v>355</v>
      </c>
      <c r="P48463" s="5" t="s">
        <v>355</v>
      </c>
      <c r="Q48463" s="5" t="s">
        <v>355</v>
      </c>
    </row>
    <row r="48464" ht="16.5" customHeight="1">
      <c r="O48464" s="5" t="s">
        <v>355</v>
      </c>
      <c r="P48464" s="5" t="s">
        <v>355</v>
      </c>
      <c r="Q48464" s="5" t="s">
        <v>355</v>
      </c>
    </row>
    <row r="48465" ht="16.5" customHeight="1">
      <c r="O48465" s="5" t="s">
        <v>355</v>
      </c>
      <c r="P48465" s="5" t="s">
        <v>355</v>
      </c>
      <c r="Q48465" s="5" t="s">
        <v>355</v>
      </c>
    </row>
    <row r="48466" ht="16.5" customHeight="1">
      <c r="O48466" s="5" t="s">
        <v>355</v>
      </c>
      <c r="P48466" s="5" t="s">
        <v>355</v>
      </c>
      <c r="Q48466" s="5" t="s">
        <v>355</v>
      </c>
    </row>
    <row r="48467" ht="16.5" customHeight="1">
      <c r="O48467" s="5" t="s">
        <v>355</v>
      </c>
      <c r="P48467" s="5" t="s">
        <v>355</v>
      </c>
      <c r="Q48467" s="5" t="s">
        <v>355</v>
      </c>
    </row>
    <row r="48468" ht="16.5" customHeight="1">
      <c r="O48468" s="5" t="s">
        <v>355</v>
      </c>
      <c r="P48468" s="5" t="s">
        <v>355</v>
      </c>
      <c r="Q48468" s="5" t="s">
        <v>355</v>
      </c>
    </row>
    <row r="48469" ht="16.5" customHeight="1">
      <c r="O48469" s="5" t="s">
        <v>355</v>
      </c>
      <c r="P48469" s="5" t="s">
        <v>355</v>
      </c>
      <c r="Q48469" s="5" t="s">
        <v>355</v>
      </c>
    </row>
    <row r="48470" ht="16.5" customHeight="1">
      <c r="O48470" s="5" t="s">
        <v>355</v>
      </c>
      <c r="P48470" s="5" t="s">
        <v>355</v>
      </c>
      <c r="Q48470" s="5" t="s">
        <v>355</v>
      </c>
    </row>
    <row r="48471" ht="16.5" customHeight="1">
      <c r="O48471" s="5" t="s">
        <v>355</v>
      </c>
      <c r="P48471" s="5" t="s">
        <v>355</v>
      </c>
      <c r="Q48471" s="5" t="s">
        <v>355</v>
      </c>
    </row>
    <row r="48472" ht="16.5" customHeight="1">
      <c r="O48472" s="5" t="s">
        <v>355</v>
      </c>
      <c r="P48472" s="5" t="s">
        <v>355</v>
      </c>
      <c r="Q48472" s="5" t="s">
        <v>355</v>
      </c>
    </row>
    <row r="48473" ht="16.5" customHeight="1">
      <c r="O48473" s="5" t="s">
        <v>355</v>
      </c>
      <c r="P48473" s="5" t="s">
        <v>355</v>
      </c>
      <c r="Q48473" s="5" t="s">
        <v>355</v>
      </c>
    </row>
    <row r="48474" ht="16.5" customHeight="1">
      <c r="O48474" s="5" t="s">
        <v>355</v>
      </c>
      <c r="P48474" s="5" t="s">
        <v>355</v>
      </c>
      <c r="Q48474" s="5" t="s">
        <v>355</v>
      </c>
    </row>
    <row r="48475" ht="16.5" customHeight="1">
      <c r="O48475" s="5" t="s">
        <v>355</v>
      </c>
      <c r="P48475" s="5" t="s">
        <v>355</v>
      </c>
      <c r="Q48475" s="5" t="s">
        <v>355</v>
      </c>
    </row>
    <row r="48476" ht="16.5" customHeight="1">
      <c r="O48476" s="5" t="s">
        <v>355</v>
      </c>
      <c r="P48476" s="5" t="s">
        <v>355</v>
      </c>
      <c r="Q48476" s="5" t="s">
        <v>355</v>
      </c>
    </row>
    <row r="48477" ht="16.5" customHeight="1">
      <c r="O48477" s="5" t="s">
        <v>355</v>
      </c>
      <c r="P48477" s="5" t="s">
        <v>355</v>
      </c>
      <c r="Q48477" s="5" t="s">
        <v>355</v>
      </c>
    </row>
    <row r="48478" ht="16.5" customHeight="1">
      <c r="O48478" s="5" t="s">
        <v>355</v>
      </c>
      <c r="P48478" s="5" t="s">
        <v>355</v>
      </c>
      <c r="Q48478" s="5" t="s">
        <v>355</v>
      </c>
    </row>
    <row r="48479" ht="16.5" customHeight="1">
      <c r="O48479" s="5" t="s">
        <v>355</v>
      </c>
      <c r="P48479" s="5" t="s">
        <v>355</v>
      </c>
      <c r="Q48479" s="5" t="s">
        <v>355</v>
      </c>
    </row>
    <row r="48480" ht="16.5" customHeight="1">
      <c r="O48480" s="5" t="s">
        <v>355</v>
      </c>
      <c r="P48480" s="5" t="s">
        <v>355</v>
      </c>
      <c r="Q48480" s="5" t="s">
        <v>355</v>
      </c>
    </row>
    <row r="48481" ht="16.5" customHeight="1">
      <c r="O48481" s="5" t="s">
        <v>355</v>
      </c>
      <c r="P48481" s="5" t="s">
        <v>355</v>
      </c>
      <c r="Q48481" s="5" t="s">
        <v>355</v>
      </c>
    </row>
    <row r="48482" ht="16.5" customHeight="1">
      <c r="O48482" s="5" t="s">
        <v>355</v>
      </c>
      <c r="P48482" s="5" t="s">
        <v>355</v>
      </c>
      <c r="Q48482" s="5" t="s">
        <v>355</v>
      </c>
    </row>
    <row r="48483" ht="16.5" customHeight="1">
      <c r="O48483" s="5" t="s">
        <v>355</v>
      </c>
      <c r="P48483" s="5" t="s">
        <v>355</v>
      </c>
      <c r="Q48483" s="5" t="s">
        <v>355</v>
      </c>
    </row>
    <row r="48484" ht="16.5" customHeight="1">
      <c r="O48484" s="5" t="s">
        <v>355</v>
      </c>
      <c r="P48484" s="5" t="s">
        <v>355</v>
      </c>
      <c r="Q48484" s="5" t="s">
        <v>355</v>
      </c>
    </row>
    <row r="48485" ht="16.5" customHeight="1">
      <c r="O48485" s="5" t="s">
        <v>355</v>
      </c>
      <c r="P48485" s="5" t="s">
        <v>355</v>
      </c>
      <c r="Q48485" s="5" t="s">
        <v>355</v>
      </c>
    </row>
    <row r="48486" ht="16.5" customHeight="1">
      <c r="O48486" s="5" t="s">
        <v>355</v>
      </c>
      <c r="P48486" s="5" t="s">
        <v>355</v>
      </c>
      <c r="Q48486" s="5" t="s">
        <v>355</v>
      </c>
    </row>
    <row r="48487" ht="16.5" customHeight="1">
      <c r="O48487" s="5" t="s">
        <v>355</v>
      </c>
      <c r="P48487" s="5" t="s">
        <v>355</v>
      </c>
      <c r="Q48487" s="5" t="s">
        <v>355</v>
      </c>
    </row>
    <row r="48488" ht="16.5" customHeight="1">
      <c r="O48488" s="5" t="s">
        <v>355</v>
      </c>
      <c r="P48488" s="5" t="s">
        <v>355</v>
      </c>
      <c r="Q48488" s="5" t="s">
        <v>355</v>
      </c>
    </row>
    <row r="48489" ht="16.5" customHeight="1">
      <c r="O48489" s="5" t="s">
        <v>355</v>
      </c>
      <c r="P48489" s="5" t="s">
        <v>355</v>
      </c>
      <c r="Q48489" s="5" t="s">
        <v>355</v>
      </c>
    </row>
    <row r="48490" ht="16.5" customHeight="1">
      <c r="O48490" s="5" t="s">
        <v>355</v>
      </c>
      <c r="P48490" s="5" t="s">
        <v>355</v>
      </c>
      <c r="Q48490" s="5" t="s">
        <v>355</v>
      </c>
    </row>
    <row r="48491" ht="16.5" customHeight="1">
      <c r="O48491" s="5" t="s">
        <v>355</v>
      </c>
      <c r="P48491" s="5" t="s">
        <v>355</v>
      </c>
      <c r="Q48491" s="5" t="s">
        <v>355</v>
      </c>
    </row>
    <row r="48492" ht="16.5" customHeight="1">
      <c r="O48492" s="5" t="s">
        <v>355</v>
      </c>
      <c r="P48492" s="5" t="s">
        <v>355</v>
      </c>
      <c r="Q48492" s="5" t="s">
        <v>355</v>
      </c>
    </row>
    <row r="48493" ht="16.5" customHeight="1">
      <c r="O48493" s="5" t="s">
        <v>355</v>
      </c>
      <c r="P48493" s="5" t="s">
        <v>355</v>
      </c>
      <c r="Q48493" s="5" t="s">
        <v>355</v>
      </c>
    </row>
    <row r="48494" ht="16.5" customHeight="1">
      <c r="O48494" s="5" t="s">
        <v>355</v>
      </c>
      <c r="P48494" s="5" t="s">
        <v>355</v>
      </c>
      <c r="Q48494" s="5" t="s">
        <v>355</v>
      </c>
    </row>
    <row r="48495" ht="16.5" customHeight="1">
      <c r="O48495" s="5" t="s">
        <v>355</v>
      </c>
      <c r="P48495" s="5" t="s">
        <v>355</v>
      </c>
      <c r="Q48495" s="5" t="s">
        <v>355</v>
      </c>
    </row>
    <row r="48496" ht="16.5" customHeight="1">
      <c r="O48496" s="5" t="s">
        <v>355</v>
      </c>
      <c r="P48496" s="5" t="s">
        <v>355</v>
      </c>
      <c r="Q48496" s="5" t="s">
        <v>355</v>
      </c>
    </row>
    <row r="48497" ht="16.5" customHeight="1">
      <c r="O48497" s="5" t="s">
        <v>355</v>
      </c>
      <c r="P48497" s="5" t="s">
        <v>355</v>
      </c>
      <c r="Q48497" s="5" t="s">
        <v>355</v>
      </c>
    </row>
    <row r="48498" ht="16.5" customHeight="1">
      <c r="O48498" s="5" t="s">
        <v>355</v>
      </c>
      <c r="P48498" s="5" t="s">
        <v>355</v>
      </c>
      <c r="Q48498" s="5" t="s">
        <v>355</v>
      </c>
    </row>
    <row r="48499" ht="16.5" customHeight="1">
      <c r="O48499" s="5" t="s">
        <v>355</v>
      </c>
      <c r="P48499" s="5" t="s">
        <v>355</v>
      </c>
      <c r="Q48499" s="5" t="s">
        <v>355</v>
      </c>
    </row>
    <row r="48500" ht="16.5" customHeight="1">
      <c r="O48500" s="5" t="s">
        <v>355</v>
      </c>
      <c r="P48500" s="5" t="s">
        <v>355</v>
      </c>
      <c r="Q48500" s="5" t="s">
        <v>355</v>
      </c>
    </row>
    <row r="48501" ht="16.5" customHeight="1">
      <c r="O48501" s="5" t="s">
        <v>355</v>
      </c>
      <c r="P48501" s="5" t="s">
        <v>355</v>
      </c>
      <c r="Q48501" s="5" t="s">
        <v>355</v>
      </c>
    </row>
    <row r="48502" ht="16.5" customHeight="1">
      <c r="O48502" s="5" t="s">
        <v>355</v>
      </c>
      <c r="P48502" s="5" t="s">
        <v>355</v>
      </c>
      <c r="Q48502" s="5" t="s">
        <v>355</v>
      </c>
    </row>
    <row r="48503" ht="16.5" customHeight="1">
      <c r="O48503" s="5" t="s">
        <v>355</v>
      </c>
      <c r="P48503" s="5" t="s">
        <v>355</v>
      </c>
      <c r="Q48503" s="5" t="s">
        <v>355</v>
      </c>
    </row>
    <row r="48504" ht="16.5" customHeight="1">
      <c r="O48504" s="5" t="s">
        <v>355</v>
      </c>
      <c r="P48504" s="5" t="s">
        <v>355</v>
      </c>
      <c r="Q48504" s="5" t="s">
        <v>355</v>
      </c>
    </row>
    <row r="48505" ht="16.5" customHeight="1">
      <c r="O48505" s="5" t="s">
        <v>355</v>
      </c>
      <c r="P48505" s="5" t="s">
        <v>355</v>
      </c>
      <c r="Q48505" s="5" t="s">
        <v>355</v>
      </c>
    </row>
    <row r="48506" ht="16.5" customHeight="1">
      <c r="O48506" s="5" t="s">
        <v>355</v>
      </c>
      <c r="P48506" s="5" t="s">
        <v>355</v>
      </c>
      <c r="Q48506" s="5" t="s">
        <v>355</v>
      </c>
    </row>
    <row r="48507" ht="16.5" customHeight="1">
      <c r="O48507" s="5" t="s">
        <v>355</v>
      </c>
      <c r="P48507" s="5" t="s">
        <v>355</v>
      </c>
      <c r="Q48507" s="5" t="s">
        <v>355</v>
      </c>
    </row>
    <row r="48508" ht="16.5" customHeight="1">
      <c r="O48508" s="5" t="s">
        <v>355</v>
      </c>
      <c r="P48508" s="5" t="s">
        <v>355</v>
      </c>
      <c r="Q48508" s="5" t="s">
        <v>355</v>
      </c>
    </row>
    <row r="48509" ht="16.5" customHeight="1">
      <c r="O48509" s="5" t="s">
        <v>355</v>
      </c>
      <c r="P48509" s="5" t="s">
        <v>355</v>
      </c>
      <c r="Q48509" s="5" t="s">
        <v>355</v>
      </c>
    </row>
    <row r="48510" ht="16.5" customHeight="1">
      <c r="O48510" s="5" t="s">
        <v>355</v>
      </c>
      <c r="P48510" s="5" t="s">
        <v>355</v>
      </c>
      <c r="Q48510" s="5" t="s">
        <v>355</v>
      </c>
    </row>
    <row r="48511" ht="16.5" customHeight="1">
      <c r="O48511" s="5" t="s">
        <v>355</v>
      </c>
      <c r="P48511" s="5" t="s">
        <v>355</v>
      </c>
      <c r="Q48511" s="5" t="s">
        <v>355</v>
      </c>
    </row>
    <row r="48512" ht="16.5" customHeight="1">
      <c r="O48512" s="5" t="s">
        <v>355</v>
      </c>
      <c r="P48512" s="5" t="s">
        <v>355</v>
      </c>
      <c r="Q48512" s="5" t="s">
        <v>355</v>
      </c>
    </row>
    <row r="48513" ht="16.5" customHeight="1">
      <c r="O48513" s="5" t="s">
        <v>355</v>
      </c>
      <c r="P48513" s="5" t="s">
        <v>355</v>
      </c>
      <c r="Q48513" s="5" t="s">
        <v>355</v>
      </c>
    </row>
    <row r="48514" ht="16.5" customHeight="1">
      <c r="O48514" s="5" t="s">
        <v>355</v>
      </c>
      <c r="P48514" s="5" t="s">
        <v>355</v>
      </c>
      <c r="Q48514" s="5" t="s">
        <v>355</v>
      </c>
    </row>
    <row r="48515" ht="16.5" customHeight="1">
      <c r="O48515" s="5" t="s">
        <v>355</v>
      </c>
      <c r="P48515" s="5" t="s">
        <v>355</v>
      </c>
      <c r="Q48515" s="5" t="s">
        <v>355</v>
      </c>
    </row>
    <row r="48516" ht="16.5" customHeight="1">
      <c r="O48516" s="5" t="s">
        <v>355</v>
      </c>
      <c r="P48516" s="5" t="s">
        <v>355</v>
      </c>
      <c r="Q48516" s="5" t="s">
        <v>355</v>
      </c>
    </row>
    <row r="48517" ht="16.5" customHeight="1">
      <c r="O48517" s="5" t="s">
        <v>355</v>
      </c>
      <c r="P48517" s="5" t="s">
        <v>355</v>
      </c>
      <c r="Q48517" s="5" t="s">
        <v>355</v>
      </c>
    </row>
    <row r="48518" ht="16.5" customHeight="1">
      <c r="O48518" s="5" t="s">
        <v>355</v>
      </c>
      <c r="P48518" s="5" t="s">
        <v>355</v>
      </c>
      <c r="Q48518" s="5" t="s">
        <v>355</v>
      </c>
    </row>
    <row r="48519" ht="16.5" customHeight="1">
      <c r="O48519" s="5" t="s">
        <v>355</v>
      </c>
      <c r="P48519" s="5" t="s">
        <v>355</v>
      </c>
      <c r="Q48519" s="5" t="s">
        <v>355</v>
      </c>
    </row>
    <row r="48520" ht="16.5" customHeight="1">
      <c r="O48520" s="5" t="s">
        <v>355</v>
      </c>
      <c r="P48520" s="5" t="s">
        <v>355</v>
      </c>
      <c r="Q48520" s="5" t="s">
        <v>355</v>
      </c>
    </row>
    <row r="48521" ht="16.5" customHeight="1">
      <c r="O48521" s="5" t="s">
        <v>355</v>
      </c>
      <c r="P48521" s="5" t="s">
        <v>355</v>
      </c>
      <c r="Q48521" s="5" t="s">
        <v>355</v>
      </c>
    </row>
    <row r="48522" ht="16.5" customHeight="1">
      <c r="O48522" s="5" t="s">
        <v>355</v>
      </c>
      <c r="P48522" s="5" t="s">
        <v>355</v>
      </c>
      <c r="Q48522" s="5" t="s">
        <v>355</v>
      </c>
    </row>
    <row r="48523" ht="16.5" customHeight="1">
      <c r="O48523" s="5" t="s">
        <v>355</v>
      </c>
      <c r="P48523" s="5" t="s">
        <v>355</v>
      </c>
      <c r="Q48523" s="5" t="s">
        <v>355</v>
      </c>
    </row>
    <row r="48524" ht="16.5" customHeight="1">
      <c r="O48524" s="5" t="s">
        <v>355</v>
      </c>
      <c r="P48524" s="5" t="s">
        <v>355</v>
      </c>
      <c r="Q48524" s="5" t="s">
        <v>355</v>
      </c>
    </row>
    <row r="48525" ht="16.5" customHeight="1">
      <c r="O48525" s="5" t="s">
        <v>355</v>
      </c>
      <c r="P48525" s="5" t="s">
        <v>355</v>
      </c>
      <c r="Q48525" s="5" t="s">
        <v>355</v>
      </c>
    </row>
    <row r="48526" ht="16.5" customHeight="1">
      <c r="O48526" s="5" t="s">
        <v>355</v>
      </c>
      <c r="P48526" s="5" t="s">
        <v>355</v>
      </c>
      <c r="Q48526" s="5" t="s">
        <v>355</v>
      </c>
    </row>
    <row r="48527" ht="16.5" customHeight="1">
      <c r="O48527" s="5" t="s">
        <v>355</v>
      </c>
      <c r="P48527" s="5" t="s">
        <v>355</v>
      </c>
      <c r="Q48527" s="5" t="s">
        <v>355</v>
      </c>
    </row>
    <row r="48528" ht="16.5" customHeight="1">
      <c r="O48528" s="5" t="s">
        <v>355</v>
      </c>
      <c r="P48528" s="5" t="s">
        <v>355</v>
      </c>
      <c r="Q48528" s="5" t="s">
        <v>355</v>
      </c>
    </row>
    <row r="48529" ht="16.5" customHeight="1">
      <c r="O48529" s="5" t="s">
        <v>355</v>
      </c>
      <c r="P48529" s="5" t="s">
        <v>355</v>
      </c>
      <c r="Q48529" s="5" t="s">
        <v>355</v>
      </c>
    </row>
    <row r="48530" ht="16.5" customHeight="1">
      <c r="O48530" s="5" t="s">
        <v>355</v>
      </c>
      <c r="P48530" s="5" t="s">
        <v>355</v>
      </c>
      <c r="Q48530" s="5" t="s">
        <v>355</v>
      </c>
    </row>
    <row r="48531" ht="16.5" customHeight="1">
      <c r="O48531" s="5" t="s">
        <v>355</v>
      </c>
      <c r="P48531" s="5" t="s">
        <v>355</v>
      </c>
      <c r="Q48531" s="5" t="s">
        <v>355</v>
      </c>
    </row>
    <row r="48532" ht="16.5" customHeight="1">
      <c r="O48532" s="5" t="s">
        <v>355</v>
      </c>
      <c r="P48532" s="5" t="s">
        <v>355</v>
      </c>
      <c r="Q48532" s="5" t="s">
        <v>355</v>
      </c>
    </row>
    <row r="48533" ht="16.5" customHeight="1">
      <c r="O48533" s="5" t="s">
        <v>355</v>
      </c>
      <c r="P48533" s="5" t="s">
        <v>355</v>
      </c>
      <c r="Q48533" s="5" t="s">
        <v>355</v>
      </c>
    </row>
    <row r="48534" ht="16.5" customHeight="1">
      <c r="O48534" s="5" t="s">
        <v>355</v>
      </c>
      <c r="P48534" s="5" t="s">
        <v>355</v>
      </c>
      <c r="Q48534" s="5" t="s">
        <v>355</v>
      </c>
    </row>
    <row r="48535" ht="16.5" customHeight="1">
      <c r="O48535" s="5" t="s">
        <v>355</v>
      </c>
      <c r="P48535" s="5" t="s">
        <v>355</v>
      </c>
      <c r="Q48535" s="5" t="s">
        <v>355</v>
      </c>
    </row>
    <row r="48536" ht="16.5" customHeight="1">
      <c r="O48536" s="5" t="s">
        <v>355</v>
      </c>
      <c r="P48536" s="5" t="s">
        <v>355</v>
      </c>
      <c r="Q48536" s="5" t="s">
        <v>355</v>
      </c>
    </row>
    <row r="48537" ht="16.5" customHeight="1">
      <c r="O48537" s="5" t="s">
        <v>355</v>
      </c>
      <c r="P48537" s="5" t="s">
        <v>355</v>
      </c>
      <c r="Q48537" s="5" t="s">
        <v>355</v>
      </c>
    </row>
    <row r="48538" ht="16.5" customHeight="1">
      <c r="O48538" s="5" t="s">
        <v>355</v>
      </c>
      <c r="P48538" s="5" t="s">
        <v>355</v>
      </c>
      <c r="Q48538" s="5" t="s">
        <v>355</v>
      </c>
    </row>
    <row r="48539" ht="16.5" customHeight="1">
      <c r="O48539" s="5" t="s">
        <v>355</v>
      </c>
      <c r="P48539" s="5" t="s">
        <v>355</v>
      </c>
      <c r="Q48539" s="5" t="s">
        <v>355</v>
      </c>
    </row>
    <row r="48540" ht="16.5" customHeight="1">
      <c r="O48540" s="5" t="s">
        <v>355</v>
      </c>
      <c r="P48540" s="5" t="s">
        <v>355</v>
      </c>
      <c r="Q48540" s="5" t="s">
        <v>355</v>
      </c>
    </row>
    <row r="48541" ht="16.5" customHeight="1">
      <c r="O48541" s="5" t="s">
        <v>355</v>
      </c>
      <c r="P48541" s="5" t="s">
        <v>355</v>
      </c>
      <c r="Q48541" s="5" t="s">
        <v>355</v>
      </c>
    </row>
    <row r="48542" ht="16.5" customHeight="1">
      <c r="O48542" s="5" t="s">
        <v>355</v>
      </c>
      <c r="P48542" s="5" t="s">
        <v>355</v>
      </c>
      <c r="Q48542" s="5" t="s">
        <v>355</v>
      </c>
    </row>
    <row r="48543" ht="16.5" customHeight="1">
      <c r="O48543" s="5" t="s">
        <v>355</v>
      </c>
      <c r="P48543" s="5" t="s">
        <v>355</v>
      </c>
      <c r="Q48543" s="5" t="s">
        <v>355</v>
      </c>
    </row>
    <row r="48544" ht="16.5" customHeight="1">
      <c r="O48544" s="5" t="s">
        <v>355</v>
      </c>
      <c r="P48544" s="5" t="s">
        <v>355</v>
      </c>
      <c r="Q48544" s="5" t="s">
        <v>355</v>
      </c>
    </row>
    <row r="48545" ht="16.5" customHeight="1">
      <c r="O48545" s="5" t="s">
        <v>355</v>
      </c>
      <c r="P48545" s="5" t="s">
        <v>355</v>
      </c>
      <c r="Q48545" s="5" t="s">
        <v>355</v>
      </c>
    </row>
    <row r="48546" ht="16.5" customHeight="1">
      <c r="O48546" s="5" t="s">
        <v>355</v>
      </c>
      <c r="P48546" s="5" t="s">
        <v>355</v>
      </c>
      <c r="Q48546" s="5" t="s">
        <v>355</v>
      </c>
    </row>
    <row r="48547" ht="16.5" customHeight="1">
      <c r="O48547" s="5" t="s">
        <v>355</v>
      </c>
      <c r="P48547" s="5" t="s">
        <v>355</v>
      </c>
      <c r="Q48547" s="5" t="s">
        <v>355</v>
      </c>
    </row>
    <row r="48548" ht="16.5" customHeight="1">
      <c r="O48548" s="5" t="s">
        <v>355</v>
      </c>
      <c r="P48548" s="5" t="s">
        <v>355</v>
      </c>
      <c r="Q48548" s="5" t="s">
        <v>355</v>
      </c>
    </row>
    <row r="48549" ht="16.5" customHeight="1">
      <c r="O48549" s="5" t="s">
        <v>355</v>
      </c>
      <c r="P48549" s="5" t="s">
        <v>355</v>
      </c>
      <c r="Q48549" s="5" t="s">
        <v>355</v>
      </c>
    </row>
    <row r="48550" ht="16.5" customHeight="1">
      <c r="O48550" s="5" t="s">
        <v>355</v>
      </c>
      <c r="P48550" s="5" t="s">
        <v>355</v>
      </c>
      <c r="Q48550" s="5" t="s">
        <v>355</v>
      </c>
    </row>
    <row r="48551" ht="16.5" customHeight="1">
      <c r="O48551" s="5" t="s">
        <v>355</v>
      </c>
      <c r="P48551" s="5" t="s">
        <v>355</v>
      </c>
      <c r="Q48551" s="5" t="s">
        <v>355</v>
      </c>
    </row>
    <row r="48552" ht="16.5" customHeight="1">
      <c r="O48552" s="5" t="s">
        <v>355</v>
      </c>
      <c r="P48552" s="5" t="s">
        <v>355</v>
      </c>
      <c r="Q48552" s="5" t="s">
        <v>355</v>
      </c>
    </row>
    <row r="48553" ht="16.5" customHeight="1">
      <c r="O48553" s="5" t="s">
        <v>355</v>
      </c>
      <c r="P48553" s="5" t="s">
        <v>355</v>
      </c>
      <c r="Q48553" s="5" t="s">
        <v>355</v>
      </c>
    </row>
    <row r="48554" ht="16.5" customHeight="1">
      <c r="O48554" s="5" t="s">
        <v>355</v>
      </c>
      <c r="P48554" s="5" t="s">
        <v>355</v>
      </c>
      <c r="Q48554" s="5" t="s">
        <v>355</v>
      </c>
    </row>
    <row r="48555" ht="16.5" customHeight="1">
      <c r="O48555" s="5" t="s">
        <v>355</v>
      </c>
      <c r="P48555" s="5" t="s">
        <v>355</v>
      </c>
      <c r="Q48555" s="5" t="s">
        <v>355</v>
      </c>
    </row>
    <row r="48556" ht="16.5" customHeight="1">
      <c r="O48556" s="5" t="s">
        <v>355</v>
      </c>
      <c r="P48556" s="5" t="s">
        <v>355</v>
      </c>
      <c r="Q48556" s="5" t="s">
        <v>355</v>
      </c>
    </row>
    <row r="48557" ht="16.5" customHeight="1">
      <c r="O48557" s="5" t="s">
        <v>355</v>
      </c>
      <c r="P48557" s="5" t="s">
        <v>355</v>
      </c>
      <c r="Q48557" s="5" t="s">
        <v>355</v>
      </c>
    </row>
    <row r="48558" ht="16.5" customHeight="1">
      <c r="O48558" s="5" t="s">
        <v>355</v>
      </c>
      <c r="P48558" s="5" t="s">
        <v>355</v>
      </c>
      <c r="Q48558" s="5" t="s">
        <v>355</v>
      </c>
    </row>
    <row r="48559" ht="16.5" customHeight="1">
      <c r="O48559" s="5" t="s">
        <v>355</v>
      </c>
      <c r="P48559" s="5" t="s">
        <v>355</v>
      </c>
      <c r="Q48559" s="5" t="s">
        <v>355</v>
      </c>
    </row>
    <row r="48560" ht="16.5" customHeight="1">
      <c r="O48560" s="5" t="s">
        <v>355</v>
      </c>
      <c r="P48560" s="5" t="s">
        <v>355</v>
      </c>
      <c r="Q48560" s="5" t="s">
        <v>355</v>
      </c>
    </row>
    <row r="48561" ht="16.5" customHeight="1">
      <c r="O48561" s="5" t="s">
        <v>355</v>
      </c>
      <c r="P48561" s="5" t="s">
        <v>355</v>
      </c>
      <c r="Q48561" s="5" t="s">
        <v>355</v>
      </c>
    </row>
    <row r="48562" ht="16.5" customHeight="1">
      <c r="O48562" s="5" t="s">
        <v>355</v>
      </c>
      <c r="P48562" s="5" t="s">
        <v>355</v>
      </c>
      <c r="Q48562" s="5" t="s">
        <v>355</v>
      </c>
    </row>
    <row r="48563" ht="16.5" customHeight="1">
      <c r="O48563" s="5" t="s">
        <v>355</v>
      </c>
      <c r="P48563" s="5" t="s">
        <v>355</v>
      </c>
      <c r="Q48563" s="5" t="s">
        <v>355</v>
      </c>
    </row>
    <row r="48564" ht="16.5" customHeight="1">
      <c r="O48564" s="5" t="s">
        <v>355</v>
      </c>
      <c r="P48564" s="5" t="s">
        <v>355</v>
      </c>
      <c r="Q48564" s="5" t="s">
        <v>355</v>
      </c>
    </row>
    <row r="48565" ht="16.5" customHeight="1">
      <c r="O48565" s="5" t="s">
        <v>355</v>
      </c>
      <c r="P48565" s="5" t="s">
        <v>355</v>
      </c>
      <c r="Q48565" s="5" t="s">
        <v>355</v>
      </c>
    </row>
    <row r="48566" ht="16.5" customHeight="1">
      <c r="O48566" s="5" t="s">
        <v>355</v>
      </c>
      <c r="P48566" s="5" t="s">
        <v>355</v>
      </c>
      <c r="Q48566" s="5" t="s">
        <v>355</v>
      </c>
    </row>
    <row r="48567" ht="16.5" customHeight="1">
      <c r="O48567" s="5" t="s">
        <v>355</v>
      </c>
      <c r="P48567" s="5" t="s">
        <v>355</v>
      </c>
      <c r="Q48567" s="5" t="s">
        <v>355</v>
      </c>
    </row>
    <row r="48568" ht="16.5" customHeight="1">
      <c r="O48568" s="5" t="s">
        <v>355</v>
      </c>
      <c r="P48568" s="5" t="s">
        <v>355</v>
      </c>
      <c r="Q48568" s="5" t="s">
        <v>355</v>
      </c>
    </row>
    <row r="48569" ht="16.5" customHeight="1">
      <c r="O48569" s="5" t="s">
        <v>355</v>
      </c>
      <c r="P48569" s="5" t="s">
        <v>355</v>
      </c>
      <c r="Q48569" s="5" t="s">
        <v>355</v>
      </c>
    </row>
    <row r="48570" ht="16.5" customHeight="1">
      <c r="O48570" s="5" t="s">
        <v>355</v>
      </c>
      <c r="P48570" s="5" t="s">
        <v>355</v>
      </c>
      <c r="Q48570" s="5" t="s">
        <v>355</v>
      </c>
    </row>
    <row r="48571" ht="16.5" customHeight="1">
      <c r="O48571" s="5" t="s">
        <v>355</v>
      </c>
      <c r="P48571" s="5" t="s">
        <v>355</v>
      </c>
      <c r="Q48571" s="5" t="s">
        <v>355</v>
      </c>
    </row>
    <row r="48572" ht="16.5" customHeight="1">
      <c r="O48572" s="5" t="s">
        <v>355</v>
      </c>
      <c r="P48572" s="5" t="s">
        <v>355</v>
      </c>
      <c r="Q48572" s="5" t="s">
        <v>355</v>
      </c>
    </row>
    <row r="48573" ht="16.5" customHeight="1">
      <c r="O48573" s="5" t="s">
        <v>355</v>
      </c>
      <c r="P48573" s="5" t="s">
        <v>355</v>
      </c>
      <c r="Q48573" s="5" t="s">
        <v>355</v>
      </c>
    </row>
    <row r="48574" ht="16.5" customHeight="1">
      <c r="O48574" s="5" t="s">
        <v>355</v>
      </c>
      <c r="P48574" s="5" t="s">
        <v>355</v>
      </c>
      <c r="Q48574" s="5" t="s">
        <v>355</v>
      </c>
    </row>
    <row r="48575" ht="16.5" customHeight="1">
      <c r="O48575" s="5" t="s">
        <v>355</v>
      </c>
      <c r="P48575" s="5" t="s">
        <v>355</v>
      </c>
      <c r="Q48575" s="5" t="s">
        <v>355</v>
      </c>
    </row>
    <row r="48576" ht="16.5" customHeight="1">
      <c r="O48576" s="5" t="s">
        <v>355</v>
      </c>
      <c r="P48576" s="5" t="s">
        <v>355</v>
      </c>
      <c r="Q48576" s="5" t="s">
        <v>355</v>
      </c>
    </row>
    <row r="48577" ht="16.5" customHeight="1">
      <c r="O48577" s="5" t="s">
        <v>355</v>
      </c>
      <c r="P48577" s="5" t="s">
        <v>355</v>
      </c>
      <c r="Q48577" s="5" t="s">
        <v>355</v>
      </c>
    </row>
    <row r="48578" ht="16.5" customHeight="1">
      <c r="O48578" s="5" t="s">
        <v>355</v>
      </c>
      <c r="P48578" s="5" t="s">
        <v>355</v>
      </c>
      <c r="Q48578" s="5" t="s">
        <v>355</v>
      </c>
    </row>
    <row r="48579" ht="16.5" customHeight="1">
      <c r="O48579" s="5" t="s">
        <v>355</v>
      </c>
      <c r="P48579" s="5" t="s">
        <v>355</v>
      </c>
      <c r="Q48579" s="5" t="s">
        <v>355</v>
      </c>
    </row>
    <row r="48580" ht="16.5" customHeight="1">
      <c r="O48580" s="5" t="s">
        <v>355</v>
      </c>
      <c r="P48580" s="5" t="s">
        <v>355</v>
      </c>
      <c r="Q48580" s="5" t="s">
        <v>355</v>
      </c>
    </row>
    <row r="48581" ht="16.5" customHeight="1">
      <c r="O48581" s="5" t="s">
        <v>355</v>
      </c>
      <c r="P48581" s="5" t="s">
        <v>355</v>
      </c>
      <c r="Q48581" s="5" t="s">
        <v>355</v>
      </c>
    </row>
    <row r="48582" ht="16.5" customHeight="1">
      <c r="O48582" s="5" t="s">
        <v>355</v>
      </c>
      <c r="P48582" s="5" t="s">
        <v>355</v>
      </c>
      <c r="Q48582" s="5" t="s">
        <v>355</v>
      </c>
    </row>
    <row r="48583" ht="16.5" customHeight="1">
      <c r="O48583" s="5" t="s">
        <v>355</v>
      </c>
      <c r="P48583" s="5" t="s">
        <v>355</v>
      </c>
      <c r="Q48583" s="5" t="s">
        <v>355</v>
      </c>
    </row>
    <row r="48584" ht="16.5" customHeight="1">
      <c r="O48584" s="5" t="s">
        <v>355</v>
      </c>
      <c r="P48584" s="5" t="s">
        <v>355</v>
      </c>
      <c r="Q48584" s="5" t="s">
        <v>355</v>
      </c>
    </row>
    <row r="48585" ht="16.5" customHeight="1">
      <c r="O48585" s="5" t="s">
        <v>355</v>
      </c>
      <c r="P48585" s="5" t="s">
        <v>355</v>
      </c>
      <c r="Q48585" s="5" t="s">
        <v>355</v>
      </c>
    </row>
    <row r="48586" ht="16.5" customHeight="1">
      <c r="O48586" s="5" t="s">
        <v>355</v>
      </c>
      <c r="P48586" s="5" t="s">
        <v>355</v>
      </c>
      <c r="Q48586" s="5" t="s">
        <v>355</v>
      </c>
    </row>
    <row r="48587" ht="16.5" customHeight="1">
      <c r="O48587" s="5" t="s">
        <v>355</v>
      </c>
      <c r="P48587" s="5" t="s">
        <v>355</v>
      </c>
      <c r="Q48587" s="5" t="s">
        <v>355</v>
      </c>
    </row>
    <row r="48588" ht="16.5" customHeight="1">
      <c r="O48588" s="5" t="s">
        <v>355</v>
      </c>
      <c r="P48588" s="5" t="s">
        <v>355</v>
      </c>
      <c r="Q48588" s="5" t="s">
        <v>355</v>
      </c>
    </row>
    <row r="48589" ht="16.5" customHeight="1">
      <c r="O48589" s="5" t="s">
        <v>355</v>
      </c>
      <c r="P48589" s="5" t="s">
        <v>355</v>
      </c>
      <c r="Q48589" s="5" t="s">
        <v>355</v>
      </c>
    </row>
    <row r="48590" ht="16.5" customHeight="1">
      <c r="O48590" s="5" t="s">
        <v>355</v>
      </c>
      <c r="P48590" s="5" t="s">
        <v>355</v>
      </c>
      <c r="Q48590" s="5" t="s">
        <v>355</v>
      </c>
    </row>
    <row r="48591" ht="16.5" customHeight="1">
      <c r="O48591" s="5" t="s">
        <v>355</v>
      </c>
      <c r="P48591" s="5" t="s">
        <v>355</v>
      </c>
      <c r="Q48591" s="5" t="s">
        <v>355</v>
      </c>
    </row>
    <row r="48592" ht="16.5" customHeight="1">
      <c r="O48592" s="5" t="s">
        <v>355</v>
      </c>
      <c r="P48592" s="5" t="s">
        <v>355</v>
      </c>
      <c r="Q48592" s="5" t="s">
        <v>355</v>
      </c>
    </row>
    <row r="48593" ht="16.5" customHeight="1">
      <c r="O48593" s="5" t="s">
        <v>355</v>
      </c>
      <c r="P48593" s="5" t="s">
        <v>355</v>
      </c>
      <c r="Q48593" s="5" t="s">
        <v>355</v>
      </c>
    </row>
    <row r="48594" ht="16.5" customHeight="1">
      <c r="O48594" s="5" t="s">
        <v>355</v>
      </c>
      <c r="P48594" s="5" t="s">
        <v>355</v>
      </c>
      <c r="Q48594" s="5" t="s">
        <v>355</v>
      </c>
    </row>
    <row r="48595" ht="16.5" customHeight="1">
      <c r="O48595" s="5" t="s">
        <v>355</v>
      </c>
      <c r="P48595" s="5" t="s">
        <v>355</v>
      </c>
      <c r="Q48595" s="5" t="s">
        <v>355</v>
      </c>
    </row>
    <row r="48596" ht="16.5" customHeight="1">
      <c r="O48596" s="5" t="s">
        <v>355</v>
      </c>
      <c r="P48596" s="5" t="s">
        <v>355</v>
      </c>
      <c r="Q48596" s="5" t="s">
        <v>355</v>
      </c>
    </row>
    <row r="48597" ht="16.5" customHeight="1">
      <c r="O48597" s="5" t="s">
        <v>355</v>
      </c>
      <c r="P48597" s="5" t="s">
        <v>355</v>
      </c>
      <c r="Q48597" s="5" t="s">
        <v>355</v>
      </c>
    </row>
    <row r="48598" ht="16.5" customHeight="1">
      <c r="O48598" s="5" t="s">
        <v>355</v>
      </c>
      <c r="P48598" s="5" t="s">
        <v>355</v>
      </c>
      <c r="Q48598" s="5" t="s">
        <v>355</v>
      </c>
    </row>
    <row r="48599" ht="16.5" customHeight="1">
      <c r="O48599" s="5" t="s">
        <v>355</v>
      </c>
      <c r="P48599" s="5" t="s">
        <v>355</v>
      </c>
      <c r="Q48599" s="5" t="s">
        <v>355</v>
      </c>
    </row>
    <row r="48600" ht="16.5" customHeight="1">
      <c r="O48600" s="5" t="s">
        <v>355</v>
      </c>
      <c r="P48600" s="5" t="s">
        <v>355</v>
      </c>
      <c r="Q48600" s="5" t="s">
        <v>355</v>
      </c>
    </row>
    <row r="48601" ht="16.5" customHeight="1">
      <c r="O48601" s="5" t="s">
        <v>355</v>
      </c>
      <c r="P48601" s="5" t="s">
        <v>355</v>
      </c>
      <c r="Q48601" s="5" t="s">
        <v>355</v>
      </c>
    </row>
    <row r="48602" ht="16.5" customHeight="1">
      <c r="O48602" s="5" t="s">
        <v>355</v>
      </c>
      <c r="P48602" s="5" t="s">
        <v>355</v>
      </c>
      <c r="Q48602" s="5" t="s">
        <v>355</v>
      </c>
    </row>
    <row r="48603" ht="16.5" customHeight="1">
      <c r="O48603" s="5" t="s">
        <v>355</v>
      </c>
      <c r="P48603" s="5" t="s">
        <v>355</v>
      </c>
      <c r="Q48603" s="5" t="s">
        <v>355</v>
      </c>
    </row>
    <row r="48604" ht="16.5" customHeight="1">
      <c r="O48604" s="5" t="s">
        <v>355</v>
      </c>
      <c r="P48604" s="5" t="s">
        <v>355</v>
      </c>
      <c r="Q48604" s="5" t="s">
        <v>355</v>
      </c>
    </row>
    <row r="48605" ht="16.5" customHeight="1">
      <c r="O48605" s="5" t="s">
        <v>355</v>
      </c>
      <c r="P48605" s="5" t="s">
        <v>355</v>
      </c>
      <c r="Q48605" s="5" t="s">
        <v>355</v>
      </c>
    </row>
    <row r="48606" ht="16.5" customHeight="1">
      <c r="O48606" s="5" t="s">
        <v>355</v>
      </c>
      <c r="P48606" s="5" t="s">
        <v>355</v>
      </c>
      <c r="Q48606" s="5" t="s">
        <v>355</v>
      </c>
    </row>
    <row r="48607" ht="16.5" customHeight="1">
      <c r="O48607" s="5" t="s">
        <v>355</v>
      </c>
      <c r="P48607" s="5" t="s">
        <v>355</v>
      </c>
      <c r="Q48607" s="5" t="s">
        <v>355</v>
      </c>
    </row>
    <row r="48608" ht="16.5" customHeight="1">
      <c r="O48608" s="5" t="s">
        <v>355</v>
      </c>
      <c r="P48608" s="5" t="s">
        <v>355</v>
      </c>
      <c r="Q48608" s="5" t="s">
        <v>355</v>
      </c>
    </row>
    <row r="48609" ht="16.5" customHeight="1">
      <c r="O48609" s="5" t="s">
        <v>355</v>
      </c>
      <c r="P48609" s="5" t="s">
        <v>355</v>
      </c>
      <c r="Q48609" s="5" t="s">
        <v>355</v>
      </c>
    </row>
    <row r="48610" ht="16.5" customHeight="1">
      <c r="O48610" s="5" t="s">
        <v>355</v>
      </c>
      <c r="P48610" s="5" t="s">
        <v>355</v>
      </c>
      <c r="Q48610" s="5" t="s">
        <v>355</v>
      </c>
    </row>
    <row r="48611" ht="16.5" customHeight="1">
      <c r="O48611" s="5" t="s">
        <v>355</v>
      </c>
      <c r="P48611" s="5" t="s">
        <v>355</v>
      </c>
      <c r="Q48611" s="5" t="s">
        <v>355</v>
      </c>
    </row>
    <row r="48612" ht="16.5" customHeight="1">
      <c r="O48612" s="5" t="s">
        <v>355</v>
      </c>
      <c r="P48612" s="5" t="s">
        <v>355</v>
      </c>
      <c r="Q48612" s="5" t="s">
        <v>355</v>
      </c>
    </row>
    <row r="48613" ht="16.5" customHeight="1">
      <c r="O48613" s="5" t="s">
        <v>355</v>
      </c>
      <c r="P48613" s="5" t="s">
        <v>355</v>
      </c>
      <c r="Q48613" s="5" t="s">
        <v>355</v>
      </c>
    </row>
    <row r="48614" ht="16.5" customHeight="1">
      <c r="O48614" s="5" t="s">
        <v>355</v>
      </c>
      <c r="P48614" s="5" t="s">
        <v>355</v>
      </c>
      <c r="Q48614" s="5" t="s">
        <v>355</v>
      </c>
    </row>
    <row r="48615" ht="16.5" customHeight="1">
      <c r="O48615" s="5" t="s">
        <v>355</v>
      </c>
      <c r="P48615" s="5" t="s">
        <v>355</v>
      </c>
      <c r="Q48615" s="5" t="s">
        <v>355</v>
      </c>
    </row>
    <row r="48616" ht="16.5" customHeight="1">
      <c r="O48616" s="5" t="s">
        <v>355</v>
      </c>
      <c r="P48616" s="5" t="s">
        <v>355</v>
      </c>
      <c r="Q48616" s="5" t="s">
        <v>355</v>
      </c>
    </row>
    <row r="48617" ht="16.5" customHeight="1">
      <c r="O48617" s="5" t="s">
        <v>355</v>
      </c>
      <c r="P48617" s="5" t="s">
        <v>355</v>
      </c>
      <c r="Q48617" s="5" t="s">
        <v>355</v>
      </c>
    </row>
    <row r="48618" ht="16.5" customHeight="1">
      <c r="O48618" s="5" t="s">
        <v>355</v>
      </c>
      <c r="P48618" s="5" t="s">
        <v>355</v>
      </c>
      <c r="Q48618" s="5" t="s">
        <v>355</v>
      </c>
    </row>
    <row r="48619" ht="16.5" customHeight="1">
      <c r="O48619" s="5" t="s">
        <v>355</v>
      </c>
      <c r="P48619" s="5" t="s">
        <v>355</v>
      </c>
      <c r="Q48619" s="5" t="s">
        <v>355</v>
      </c>
    </row>
    <row r="48620" ht="16.5" customHeight="1">
      <c r="O48620" s="5" t="s">
        <v>355</v>
      </c>
      <c r="P48620" s="5" t="s">
        <v>355</v>
      </c>
      <c r="Q48620" s="5" t="s">
        <v>355</v>
      </c>
    </row>
    <row r="48621" ht="16.5" customHeight="1">
      <c r="O48621" s="5" t="s">
        <v>355</v>
      </c>
      <c r="P48621" s="5" t="s">
        <v>355</v>
      </c>
      <c r="Q48621" s="5" t="s">
        <v>355</v>
      </c>
    </row>
    <row r="48622" ht="16.5" customHeight="1">
      <c r="O48622" s="5" t="s">
        <v>355</v>
      </c>
      <c r="P48622" s="5" t="s">
        <v>355</v>
      </c>
      <c r="Q48622" s="5" t="s">
        <v>355</v>
      </c>
    </row>
    <row r="48623" ht="16.5" customHeight="1">
      <c r="O48623" s="5" t="s">
        <v>355</v>
      </c>
      <c r="P48623" s="5" t="s">
        <v>355</v>
      </c>
      <c r="Q48623" s="5" t="s">
        <v>355</v>
      </c>
    </row>
    <row r="48624" ht="16.5" customHeight="1">
      <c r="O48624" s="5" t="s">
        <v>355</v>
      </c>
      <c r="P48624" s="5" t="s">
        <v>355</v>
      </c>
      <c r="Q48624" s="5" t="s">
        <v>355</v>
      </c>
    </row>
    <row r="48625" ht="16.5" customHeight="1">
      <c r="O48625" s="5" t="s">
        <v>355</v>
      </c>
      <c r="P48625" s="5" t="s">
        <v>355</v>
      </c>
      <c r="Q48625" s="5" t="s">
        <v>355</v>
      </c>
    </row>
    <row r="48626" ht="16.5" customHeight="1">
      <c r="O48626" s="5" t="s">
        <v>355</v>
      </c>
      <c r="P48626" s="5" t="s">
        <v>355</v>
      </c>
      <c r="Q48626" s="5" t="s">
        <v>355</v>
      </c>
    </row>
    <row r="48627" ht="16.5" customHeight="1">
      <c r="O48627" s="5" t="s">
        <v>355</v>
      </c>
      <c r="P48627" s="5" t="s">
        <v>355</v>
      </c>
      <c r="Q48627" s="5" t="s">
        <v>355</v>
      </c>
    </row>
    <row r="48628" ht="16.5" customHeight="1">
      <c r="O48628" s="5" t="s">
        <v>355</v>
      </c>
      <c r="P48628" s="5" t="s">
        <v>355</v>
      </c>
      <c r="Q48628" s="5" t="s">
        <v>355</v>
      </c>
    </row>
    <row r="48629" ht="16.5" customHeight="1">
      <c r="O48629" s="5" t="s">
        <v>355</v>
      </c>
      <c r="P48629" s="5" t="s">
        <v>355</v>
      </c>
      <c r="Q48629" s="5" t="s">
        <v>355</v>
      </c>
    </row>
    <row r="48630" ht="16.5" customHeight="1">
      <c r="O48630" s="5" t="s">
        <v>355</v>
      </c>
      <c r="P48630" s="5" t="s">
        <v>355</v>
      </c>
      <c r="Q48630" s="5" t="s">
        <v>355</v>
      </c>
    </row>
    <row r="48631" ht="16.5" customHeight="1">
      <c r="O48631" s="5" t="s">
        <v>355</v>
      </c>
      <c r="P48631" s="5" t="s">
        <v>355</v>
      </c>
      <c r="Q48631" s="5" t="s">
        <v>355</v>
      </c>
    </row>
    <row r="48632" ht="16.5" customHeight="1">
      <c r="O48632" s="5" t="s">
        <v>355</v>
      </c>
      <c r="P48632" s="5" t="s">
        <v>355</v>
      </c>
      <c r="Q48632" s="5" t="s">
        <v>355</v>
      </c>
    </row>
    <row r="48633" ht="16.5" customHeight="1">
      <c r="O48633" s="5" t="s">
        <v>355</v>
      </c>
      <c r="P48633" s="5" t="s">
        <v>355</v>
      </c>
      <c r="Q48633" s="5" t="s">
        <v>355</v>
      </c>
    </row>
    <row r="48634" ht="16.5" customHeight="1">
      <c r="O48634" s="5" t="s">
        <v>355</v>
      </c>
      <c r="P48634" s="5" t="s">
        <v>355</v>
      </c>
      <c r="Q48634" s="5" t="s">
        <v>355</v>
      </c>
    </row>
    <row r="48635" ht="16.5" customHeight="1">
      <c r="O48635" s="5" t="s">
        <v>355</v>
      </c>
      <c r="P48635" s="5" t="s">
        <v>355</v>
      </c>
      <c r="Q48635" s="5" t="s">
        <v>355</v>
      </c>
    </row>
    <row r="48636" ht="16.5" customHeight="1">
      <c r="O48636" s="5" t="s">
        <v>355</v>
      </c>
      <c r="P48636" s="5" t="s">
        <v>355</v>
      </c>
      <c r="Q48636" s="5" t="s">
        <v>355</v>
      </c>
    </row>
    <row r="48637" ht="16.5" customHeight="1">
      <c r="O48637" s="5" t="s">
        <v>355</v>
      </c>
      <c r="P48637" s="5" t="s">
        <v>355</v>
      </c>
      <c r="Q48637" s="5" t="s">
        <v>355</v>
      </c>
    </row>
    <row r="48638" ht="16.5" customHeight="1">
      <c r="O48638" s="5" t="s">
        <v>355</v>
      </c>
      <c r="P48638" s="5" t="s">
        <v>355</v>
      </c>
      <c r="Q48638" s="5" t="s">
        <v>355</v>
      </c>
    </row>
    <row r="48639" ht="16.5" customHeight="1">
      <c r="O48639" s="5" t="s">
        <v>355</v>
      </c>
      <c r="P48639" s="5" t="s">
        <v>355</v>
      </c>
      <c r="Q48639" s="5" t="s">
        <v>355</v>
      </c>
    </row>
    <row r="48640" ht="16.5" customHeight="1">
      <c r="O48640" s="5" t="s">
        <v>355</v>
      </c>
      <c r="P48640" s="5" t="s">
        <v>355</v>
      </c>
      <c r="Q48640" s="5" t="s">
        <v>355</v>
      </c>
    </row>
    <row r="48641" ht="16.5" customHeight="1">
      <c r="O48641" s="5" t="s">
        <v>355</v>
      </c>
      <c r="P48641" s="5" t="s">
        <v>355</v>
      </c>
      <c r="Q48641" s="5" t="s">
        <v>355</v>
      </c>
    </row>
    <row r="48642" ht="16.5" customHeight="1">
      <c r="O48642" s="5" t="s">
        <v>355</v>
      </c>
      <c r="P48642" s="5" t="s">
        <v>355</v>
      </c>
      <c r="Q48642" s="5" t="s">
        <v>355</v>
      </c>
    </row>
    <row r="48643" ht="16.5" customHeight="1">
      <c r="O48643" s="5" t="s">
        <v>355</v>
      </c>
      <c r="P48643" s="5" t="s">
        <v>355</v>
      </c>
      <c r="Q48643" s="5" t="s">
        <v>355</v>
      </c>
    </row>
    <row r="48644" ht="16.5" customHeight="1">
      <c r="O48644" s="5" t="s">
        <v>355</v>
      </c>
      <c r="P48644" s="5" t="s">
        <v>355</v>
      </c>
      <c r="Q48644" s="5" t="s">
        <v>355</v>
      </c>
    </row>
    <row r="48645" ht="16.5" customHeight="1">
      <c r="O48645" s="5" t="s">
        <v>355</v>
      </c>
      <c r="P48645" s="5" t="s">
        <v>355</v>
      </c>
      <c r="Q48645" s="5" t="s">
        <v>355</v>
      </c>
    </row>
    <row r="48646" ht="16.5" customHeight="1">
      <c r="O48646" s="5" t="s">
        <v>355</v>
      </c>
      <c r="P48646" s="5" t="s">
        <v>355</v>
      </c>
      <c r="Q48646" s="5" t="s">
        <v>355</v>
      </c>
    </row>
    <row r="48647" ht="16.5" customHeight="1">
      <c r="O48647" s="5" t="s">
        <v>355</v>
      </c>
      <c r="P48647" s="5" t="s">
        <v>355</v>
      </c>
      <c r="Q48647" s="5" t="s">
        <v>355</v>
      </c>
    </row>
    <row r="48648" ht="16.5" customHeight="1">
      <c r="O48648" s="5" t="s">
        <v>355</v>
      </c>
      <c r="P48648" s="5" t="s">
        <v>355</v>
      </c>
      <c r="Q48648" s="5" t="s">
        <v>355</v>
      </c>
    </row>
    <row r="48649" ht="16.5" customHeight="1">
      <c r="O48649" s="5" t="s">
        <v>355</v>
      </c>
      <c r="P48649" s="5" t="s">
        <v>355</v>
      </c>
      <c r="Q48649" s="5" t="s">
        <v>355</v>
      </c>
    </row>
    <row r="48650" ht="16.5" customHeight="1">
      <c r="O48650" s="5" t="s">
        <v>355</v>
      </c>
      <c r="P48650" s="5" t="s">
        <v>355</v>
      </c>
      <c r="Q48650" s="5" t="s">
        <v>355</v>
      </c>
    </row>
    <row r="48651" ht="16.5" customHeight="1">
      <c r="O48651" s="5" t="s">
        <v>355</v>
      </c>
      <c r="P48651" s="5" t="s">
        <v>355</v>
      </c>
      <c r="Q48651" s="5" t="s">
        <v>355</v>
      </c>
    </row>
    <row r="48652" ht="16.5" customHeight="1">
      <c r="O48652" s="5" t="s">
        <v>355</v>
      </c>
      <c r="P48652" s="5" t="s">
        <v>355</v>
      </c>
      <c r="Q48652" s="5" t="s">
        <v>355</v>
      </c>
    </row>
    <row r="48653" ht="16.5" customHeight="1">
      <c r="O48653" s="5" t="s">
        <v>355</v>
      </c>
      <c r="P48653" s="5" t="s">
        <v>355</v>
      </c>
      <c r="Q48653" s="5" t="s">
        <v>355</v>
      </c>
    </row>
    <row r="48654" ht="16.5" customHeight="1">
      <c r="O48654" s="5" t="s">
        <v>355</v>
      </c>
      <c r="P48654" s="5" t="s">
        <v>355</v>
      </c>
      <c r="Q48654" s="5" t="s">
        <v>355</v>
      </c>
    </row>
    <row r="48655" ht="16.5" customHeight="1">
      <c r="O48655" s="5" t="s">
        <v>355</v>
      </c>
      <c r="P48655" s="5" t="s">
        <v>355</v>
      </c>
      <c r="Q48655" s="5" t="s">
        <v>355</v>
      </c>
    </row>
    <row r="48656" ht="16.5" customHeight="1">
      <c r="O48656" s="5" t="s">
        <v>355</v>
      </c>
      <c r="P48656" s="5" t="s">
        <v>355</v>
      </c>
      <c r="Q48656" s="5" t="s">
        <v>355</v>
      </c>
    </row>
    <row r="48657" ht="16.5" customHeight="1">
      <c r="O48657" s="5" t="s">
        <v>355</v>
      </c>
      <c r="P48657" s="5" t="s">
        <v>355</v>
      </c>
      <c r="Q48657" s="5" t="s">
        <v>355</v>
      </c>
    </row>
    <row r="48658" ht="16.5" customHeight="1">
      <c r="O48658" s="5" t="s">
        <v>355</v>
      </c>
      <c r="P48658" s="5" t="s">
        <v>355</v>
      </c>
      <c r="Q48658" s="5" t="s">
        <v>355</v>
      </c>
    </row>
    <row r="48659" ht="16.5" customHeight="1">
      <c r="O48659" s="5" t="s">
        <v>355</v>
      </c>
      <c r="P48659" s="5" t="s">
        <v>355</v>
      </c>
      <c r="Q48659" s="5" t="s">
        <v>355</v>
      </c>
    </row>
    <row r="48660" ht="16.5" customHeight="1">
      <c r="O48660" s="5" t="s">
        <v>355</v>
      </c>
      <c r="P48660" s="5" t="s">
        <v>355</v>
      </c>
      <c r="Q48660" s="5" t="s">
        <v>355</v>
      </c>
    </row>
    <row r="48661" ht="16.5" customHeight="1">
      <c r="O48661" s="5" t="s">
        <v>355</v>
      </c>
      <c r="P48661" s="5" t="s">
        <v>355</v>
      </c>
      <c r="Q48661" s="5" t="s">
        <v>355</v>
      </c>
    </row>
    <row r="48662" ht="16.5" customHeight="1">
      <c r="O48662" s="5" t="s">
        <v>355</v>
      </c>
      <c r="P48662" s="5" t="s">
        <v>355</v>
      </c>
      <c r="Q48662" s="5" t="s">
        <v>355</v>
      </c>
    </row>
    <row r="48663" ht="16.5" customHeight="1">
      <c r="O48663" s="5" t="s">
        <v>355</v>
      </c>
      <c r="P48663" s="5" t="s">
        <v>355</v>
      </c>
      <c r="Q48663" s="5" t="s">
        <v>355</v>
      </c>
    </row>
    <row r="48664" ht="16.5" customHeight="1">
      <c r="O48664" s="5" t="s">
        <v>355</v>
      </c>
      <c r="P48664" s="5" t="s">
        <v>355</v>
      </c>
      <c r="Q48664" s="5" t="s">
        <v>355</v>
      </c>
    </row>
    <row r="48665" ht="16.5" customHeight="1">
      <c r="O48665" s="5" t="s">
        <v>355</v>
      </c>
      <c r="P48665" s="5" t="s">
        <v>355</v>
      </c>
      <c r="Q48665" s="5" t="s">
        <v>355</v>
      </c>
    </row>
    <row r="48666" ht="16.5" customHeight="1">
      <c r="O48666" s="5" t="s">
        <v>355</v>
      </c>
      <c r="P48666" s="5" t="s">
        <v>355</v>
      </c>
      <c r="Q48666" s="5" t="s">
        <v>355</v>
      </c>
    </row>
    <row r="48667" ht="16.5" customHeight="1">
      <c r="O48667" s="5" t="s">
        <v>355</v>
      </c>
      <c r="P48667" s="5" t="s">
        <v>355</v>
      </c>
      <c r="Q48667" s="5" t="s">
        <v>355</v>
      </c>
    </row>
    <row r="48668" ht="16.5" customHeight="1">
      <c r="O48668" s="5" t="s">
        <v>355</v>
      </c>
      <c r="P48668" s="5" t="s">
        <v>355</v>
      </c>
      <c r="Q48668" s="5" t="s">
        <v>355</v>
      </c>
    </row>
    <row r="48669" ht="16.5" customHeight="1">
      <c r="O48669" s="5" t="s">
        <v>355</v>
      </c>
      <c r="P48669" s="5" t="s">
        <v>355</v>
      </c>
      <c r="Q48669" s="5" t="s">
        <v>355</v>
      </c>
    </row>
    <row r="48670" ht="16.5" customHeight="1">
      <c r="O48670" s="5" t="s">
        <v>355</v>
      </c>
      <c r="P48670" s="5" t="s">
        <v>355</v>
      </c>
      <c r="Q48670" s="5" t="s">
        <v>355</v>
      </c>
    </row>
    <row r="48671" ht="16.5" customHeight="1">
      <c r="O48671" s="5" t="s">
        <v>355</v>
      </c>
      <c r="P48671" s="5" t="s">
        <v>355</v>
      </c>
      <c r="Q48671" s="5" t="s">
        <v>355</v>
      </c>
    </row>
    <row r="48672" ht="16.5" customHeight="1">
      <c r="O48672" s="5" t="s">
        <v>355</v>
      </c>
      <c r="P48672" s="5" t="s">
        <v>355</v>
      </c>
      <c r="Q48672" s="5" t="s">
        <v>355</v>
      </c>
    </row>
    <row r="48673" ht="16.5" customHeight="1">
      <c r="O48673" s="5" t="s">
        <v>355</v>
      </c>
      <c r="P48673" s="5" t="s">
        <v>355</v>
      </c>
      <c r="Q48673" s="5" t="s">
        <v>355</v>
      </c>
    </row>
    <row r="48674" ht="16.5" customHeight="1">
      <c r="O48674" s="5" t="s">
        <v>355</v>
      </c>
      <c r="P48674" s="5" t="s">
        <v>355</v>
      </c>
      <c r="Q48674" s="5" t="s">
        <v>355</v>
      </c>
    </row>
    <row r="48675" ht="16.5" customHeight="1">
      <c r="O48675" s="5" t="s">
        <v>355</v>
      </c>
      <c r="P48675" s="5" t="s">
        <v>355</v>
      </c>
      <c r="Q48675" s="5" t="s">
        <v>355</v>
      </c>
    </row>
    <row r="48676" ht="16.5" customHeight="1">
      <c r="O48676" s="5" t="s">
        <v>355</v>
      </c>
      <c r="P48676" s="5" t="s">
        <v>355</v>
      </c>
      <c r="Q48676" s="5" t="s">
        <v>355</v>
      </c>
    </row>
    <row r="48677" ht="16.5" customHeight="1">
      <c r="O48677" s="5" t="s">
        <v>355</v>
      </c>
      <c r="P48677" s="5" t="s">
        <v>355</v>
      </c>
      <c r="Q48677" s="5" t="s">
        <v>355</v>
      </c>
    </row>
    <row r="48678" ht="16.5" customHeight="1">
      <c r="O48678" s="5" t="s">
        <v>355</v>
      </c>
      <c r="P48678" s="5" t="s">
        <v>355</v>
      </c>
      <c r="Q48678" s="5" t="s">
        <v>355</v>
      </c>
    </row>
    <row r="48679" ht="16.5" customHeight="1">
      <c r="O48679" s="5" t="s">
        <v>355</v>
      </c>
      <c r="P48679" s="5" t="s">
        <v>355</v>
      </c>
      <c r="Q48679" s="5" t="s">
        <v>355</v>
      </c>
    </row>
    <row r="48680" ht="16.5" customHeight="1">
      <c r="O48680" s="5" t="s">
        <v>355</v>
      </c>
      <c r="P48680" s="5" t="s">
        <v>355</v>
      </c>
      <c r="Q48680" s="5" t="s">
        <v>355</v>
      </c>
    </row>
    <row r="48681" ht="16.5" customHeight="1">
      <c r="O48681" s="5" t="s">
        <v>355</v>
      </c>
      <c r="P48681" s="5" t="s">
        <v>355</v>
      </c>
      <c r="Q48681" s="5" t="s">
        <v>355</v>
      </c>
    </row>
    <row r="48682" ht="16.5" customHeight="1">
      <c r="O48682" s="5" t="s">
        <v>355</v>
      </c>
      <c r="P48682" s="5" t="s">
        <v>355</v>
      </c>
      <c r="Q48682" s="5" t="s">
        <v>355</v>
      </c>
    </row>
    <row r="48683" ht="16.5" customHeight="1">
      <c r="O48683" s="5" t="s">
        <v>355</v>
      </c>
      <c r="P48683" s="5" t="s">
        <v>355</v>
      </c>
      <c r="Q48683" s="5" t="s">
        <v>355</v>
      </c>
    </row>
    <row r="48684" ht="16.5" customHeight="1">
      <c r="O48684" s="5" t="s">
        <v>355</v>
      </c>
      <c r="P48684" s="5" t="s">
        <v>355</v>
      </c>
      <c r="Q48684" s="5" t="s">
        <v>355</v>
      </c>
    </row>
    <row r="48685" ht="16.5" customHeight="1">
      <c r="O48685" s="5" t="s">
        <v>355</v>
      </c>
      <c r="P48685" s="5" t="s">
        <v>355</v>
      </c>
      <c r="Q48685" s="5" t="s">
        <v>355</v>
      </c>
    </row>
    <row r="48686" ht="16.5" customHeight="1">
      <c r="O48686" s="5" t="s">
        <v>355</v>
      </c>
      <c r="P48686" s="5" t="s">
        <v>355</v>
      </c>
      <c r="Q48686" s="5" t="s">
        <v>355</v>
      </c>
    </row>
    <row r="48687" ht="16.5" customHeight="1">
      <c r="O48687" s="5" t="s">
        <v>355</v>
      </c>
      <c r="P48687" s="5" t="s">
        <v>355</v>
      </c>
      <c r="Q48687" s="5" t="s">
        <v>355</v>
      </c>
    </row>
    <row r="48688" ht="16.5" customHeight="1">
      <c r="O48688" s="5" t="s">
        <v>355</v>
      </c>
      <c r="P48688" s="5" t="s">
        <v>355</v>
      </c>
      <c r="Q48688" s="5" t="s">
        <v>355</v>
      </c>
    </row>
    <row r="48689" ht="16.5" customHeight="1">
      <c r="O48689" s="5" t="s">
        <v>355</v>
      </c>
      <c r="P48689" s="5" t="s">
        <v>355</v>
      </c>
      <c r="Q48689" s="5" t="s">
        <v>355</v>
      </c>
    </row>
    <row r="48690" ht="16.5" customHeight="1">
      <c r="O48690" s="5" t="s">
        <v>355</v>
      </c>
      <c r="P48690" s="5" t="s">
        <v>355</v>
      </c>
      <c r="Q48690" s="5" t="s">
        <v>355</v>
      </c>
    </row>
    <row r="48691" ht="16.5" customHeight="1">
      <c r="O48691" s="5" t="s">
        <v>355</v>
      </c>
      <c r="P48691" s="5" t="s">
        <v>355</v>
      </c>
      <c r="Q48691" s="5" t="s">
        <v>355</v>
      </c>
    </row>
    <row r="48692" ht="16.5" customHeight="1">
      <c r="O48692" s="5" t="s">
        <v>355</v>
      </c>
      <c r="P48692" s="5" t="s">
        <v>355</v>
      </c>
      <c r="Q48692" s="5" t="s">
        <v>355</v>
      </c>
    </row>
    <row r="48693" ht="16.5" customHeight="1">
      <c r="O48693" s="5" t="s">
        <v>355</v>
      </c>
      <c r="P48693" s="5" t="s">
        <v>355</v>
      </c>
      <c r="Q48693" s="5" t="s">
        <v>355</v>
      </c>
    </row>
    <row r="48694" ht="16.5" customHeight="1">
      <c r="O48694" s="5" t="s">
        <v>355</v>
      </c>
      <c r="P48694" s="5" t="s">
        <v>355</v>
      </c>
      <c r="Q48694" s="5" t="s">
        <v>355</v>
      </c>
    </row>
    <row r="48695" ht="16.5" customHeight="1">
      <c r="O48695" s="5" t="s">
        <v>355</v>
      </c>
      <c r="P48695" s="5" t="s">
        <v>355</v>
      </c>
      <c r="Q48695" s="5" t="s">
        <v>355</v>
      </c>
    </row>
    <row r="48696" ht="16.5" customHeight="1">
      <c r="O48696" s="5" t="s">
        <v>355</v>
      </c>
      <c r="P48696" s="5" t="s">
        <v>355</v>
      </c>
      <c r="Q48696" s="5" t="s">
        <v>355</v>
      </c>
    </row>
    <row r="48697" ht="16.5" customHeight="1">
      <c r="O48697" s="5" t="s">
        <v>355</v>
      </c>
      <c r="P48697" s="5" t="s">
        <v>355</v>
      </c>
      <c r="Q48697" s="5" t="s">
        <v>355</v>
      </c>
    </row>
    <row r="48698" ht="16.5" customHeight="1">
      <c r="O48698" s="5" t="s">
        <v>355</v>
      </c>
      <c r="P48698" s="5" t="s">
        <v>355</v>
      </c>
      <c r="Q48698" s="5" t="s">
        <v>355</v>
      </c>
    </row>
    <row r="48699" ht="16.5" customHeight="1">
      <c r="O48699" s="5" t="s">
        <v>355</v>
      </c>
      <c r="P48699" s="5" t="s">
        <v>355</v>
      </c>
      <c r="Q48699" s="5" t="s">
        <v>355</v>
      </c>
    </row>
    <row r="48700" ht="16.5" customHeight="1">
      <c r="O48700" s="5" t="s">
        <v>355</v>
      </c>
      <c r="P48700" s="5" t="s">
        <v>355</v>
      </c>
      <c r="Q48700" s="5" t="s">
        <v>355</v>
      </c>
    </row>
    <row r="48701" ht="16.5" customHeight="1">
      <c r="O48701" s="5" t="s">
        <v>355</v>
      </c>
      <c r="P48701" s="5" t="s">
        <v>355</v>
      </c>
      <c r="Q48701" s="5" t="s">
        <v>355</v>
      </c>
    </row>
    <row r="48702" ht="16.5" customHeight="1">
      <c r="O48702" s="5" t="s">
        <v>355</v>
      </c>
      <c r="P48702" s="5" t="s">
        <v>355</v>
      </c>
      <c r="Q48702" s="5" t="s">
        <v>355</v>
      </c>
    </row>
    <row r="48703" ht="16.5" customHeight="1">
      <c r="O48703" s="5" t="s">
        <v>355</v>
      </c>
      <c r="P48703" s="5" t="s">
        <v>355</v>
      </c>
      <c r="Q48703" s="5" t="s">
        <v>355</v>
      </c>
    </row>
    <row r="48704" ht="16.5" customHeight="1">
      <c r="O48704" s="5" t="s">
        <v>355</v>
      </c>
      <c r="P48704" s="5" t="s">
        <v>355</v>
      </c>
      <c r="Q48704" s="5" t="s">
        <v>355</v>
      </c>
    </row>
    <row r="48705" ht="16.5" customHeight="1">
      <c r="O48705" s="5" t="s">
        <v>355</v>
      </c>
      <c r="P48705" s="5" t="s">
        <v>355</v>
      </c>
      <c r="Q48705" s="5" t="s">
        <v>355</v>
      </c>
    </row>
    <row r="48706" ht="16.5" customHeight="1">
      <c r="O48706" s="5" t="s">
        <v>355</v>
      </c>
      <c r="P48706" s="5" t="s">
        <v>355</v>
      </c>
      <c r="Q48706" s="5" t="s">
        <v>355</v>
      </c>
    </row>
    <row r="48707" ht="16.5" customHeight="1">
      <c r="O48707" s="5" t="s">
        <v>355</v>
      </c>
      <c r="P48707" s="5" t="s">
        <v>355</v>
      </c>
      <c r="Q48707" s="5" t="s">
        <v>355</v>
      </c>
    </row>
    <row r="48708" ht="16.5" customHeight="1">
      <c r="O48708" s="5" t="s">
        <v>355</v>
      </c>
      <c r="P48708" s="5" t="s">
        <v>355</v>
      </c>
      <c r="Q48708" s="5" t="s">
        <v>355</v>
      </c>
    </row>
    <row r="48709" ht="16.5" customHeight="1">
      <c r="O48709" s="5" t="s">
        <v>355</v>
      </c>
      <c r="P48709" s="5" t="s">
        <v>355</v>
      </c>
      <c r="Q48709" s="5" t="s">
        <v>355</v>
      </c>
    </row>
    <row r="48710" ht="16.5" customHeight="1">
      <c r="O48710" s="5" t="s">
        <v>355</v>
      </c>
      <c r="P48710" s="5" t="s">
        <v>355</v>
      </c>
      <c r="Q48710" s="5" t="s">
        <v>355</v>
      </c>
    </row>
    <row r="48711" ht="16.5" customHeight="1">
      <c r="O48711" s="5" t="s">
        <v>355</v>
      </c>
      <c r="P48711" s="5" t="s">
        <v>355</v>
      </c>
      <c r="Q48711" s="5" t="s">
        <v>355</v>
      </c>
    </row>
    <row r="48712" ht="16.5" customHeight="1">
      <c r="O48712" s="5" t="s">
        <v>355</v>
      </c>
      <c r="P48712" s="5" t="s">
        <v>355</v>
      </c>
      <c r="Q48712" s="5" t="s">
        <v>355</v>
      </c>
    </row>
    <row r="48713" ht="16.5" customHeight="1">
      <c r="O48713" s="5" t="s">
        <v>355</v>
      </c>
      <c r="P48713" s="5" t="s">
        <v>355</v>
      </c>
      <c r="Q48713" s="5" t="s">
        <v>355</v>
      </c>
    </row>
    <row r="48714" ht="16.5" customHeight="1">
      <c r="O48714" s="5" t="s">
        <v>355</v>
      </c>
      <c r="P48714" s="5" t="s">
        <v>355</v>
      </c>
      <c r="Q48714" s="5" t="s">
        <v>355</v>
      </c>
    </row>
    <row r="48715" ht="16.5" customHeight="1">
      <c r="O48715" s="5" t="s">
        <v>355</v>
      </c>
      <c r="P48715" s="5" t="s">
        <v>355</v>
      </c>
      <c r="Q48715" s="5" t="s">
        <v>355</v>
      </c>
    </row>
    <row r="48716" ht="16.5" customHeight="1">
      <c r="O48716" s="5" t="s">
        <v>355</v>
      </c>
      <c r="P48716" s="5" t="s">
        <v>355</v>
      </c>
      <c r="Q48716" s="5" t="s">
        <v>355</v>
      </c>
    </row>
    <row r="48717" ht="16.5" customHeight="1">
      <c r="O48717" s="5" t="s">
        <v>355</v>
      </c>
      <c r="P48717" s="5" t="s">
        <v>355</v>
      </c>
      <c r="Q48717" s="5" t="s">
        <v>355</v>
      </c>
    </row>
    <row r="48718" ht="16.5" customHeight="1">
      <c r="O48718" s="5" t="s">
        <v>355</v>
      </c>
      <c r="P48718" s="5" t="s">
        <v>355</v>
      </c>
      <c r="Q48718" s="5" t="s">
        <v>355</v>
      </c>
    </row>
    <row r="48719" ht="16.5" customHeight="1">
      <c r="O48719" s="5" t="s">
        <v>355</v>
      </c>
      <c r="P48719" s="5" t="s">
        <v>355</v>
      </c>
      <c r="Q48719" s="5" t="s">
        <v>355</v>
      </c>
    </row>
    <row r="48720" ht="16.5" customHeight="1">
      <c r="O48720" s="5" t="s">
        <v>355</v>
      </c>
      <c r="P48720" s="5" t="s">
        <v>355</v>
      </c>
      <c r="Q48720" s="5" t="s">
        <v>355</v>
      </c>
    </row>
    <row r="48721" ht="16.5" customHeight="1">
      <c r="O48721" s="5" t="s">
        <v>355</v>
      </c>
      <c r="P48721" s="5" t="s">
        <v>355</v>
      </c>
      <c r="Q48721" s="5" t="s">
        <v>355</v>
      </c>
    </row>
    <row r="48722" ht="16.5" customHeight="1">
      <c r="O48722" s="5" t="s">
        <v>355</v>
      </c>
      <c r="P48722" s="5" t="s">
        <v>355</v>
      </c>
      <c r="Q48722" s="5" t="s">
        <v>355</v>
      </c>
    </row>
    <row r="48723" ht="16.5" customHeight="1">
      <c r="O48723" s="5" t="s">
        <v>355</v>
      </c>
      <c r="P48723" s="5" t="s">
        <v>355</v>
      </c>
      <c r="Q48723" s="5" t="s">
        <v>355</v>
      </c>
    </row>
    <row r="48724" ht="16.5" customHeight="1">
      <c r="O48724" s="5" t="s">
        <v>355</v>
      </c>
      <c r="P48724" s="5" t="s">
        <v>355</v>
      </c>
      <c r="Q48724" s="5" t="s">
        <v>355</v>
      </c>
    </row>
    <row r="48725" ht="16.5" customHeight="1">
      <c r="O48725" s="5" t="s">
        <v>355</v>
      </c>
      <c r="P48725" s="5" t="s">
        <v>355</v>
      </c>
      <c r="Q48725" s="5" t="s">
        <v>355</v>
      </c>
    </row>
    <row r="48726" ht="16.5" customHeight="1">
      <c r="O48726" s="5" t="s">
        <v>355</v>
      </c>
      <c r="P48726" s="5" t="s">
        <v>355</v>
      </c>
      <c r="Q48726" s="5" t="s">
        <v>355</v>
      </c>
    </row>
    <row r="48727" ht="16.5" customHeight="1">
      <c r="O48727" s="5" t="s">
        <v>355</v>
      </c>
      <c r="P48727" s="5" t="s">
        <v>355</v>
      </c>
      <c r="Q48727" s="5" t="s">
        <v>355</v>
      </c>
    </row>
    <row r="48728" ht="16.5" customHeight="1">
      <c r="O48728" s="5" t="s">
        <v>355</v>
      </c>
      <c r="P48728" s="5" t="s">
        <v>355</v>
      </c>
      <c r="Q48728" s="5" t="s">
        <v>355</v>
      </c>
    </row>
    <row r="48729" ht="16.5" customHeight="1">
      <c r="O48729" s="5" t="s">
        <v>355</v>
      </c>
      <c r="P48729" s="5" t="s">
        <v>355</v>
      </c>
      <c r="Q48729" s="5" t="s">
        <v>355</v>
      </c>
    </row>
    <row r="48730" ht="16.5" customHeight="1">
      <c r="O48730" s="5" t="s">
        <v>355</v>
      </c>
      <c r="P48730" s="5" t="s">
        <v>355</v>
      </c>
      <c r="Q48730" s="5" t="s">
        <v>355</v>
      </c>
    </row>
    <row r="48731" ht="16.5" customHeight="1">
      <c r="O48731" s="5" t="s">
        <v>355</v>
      </c>
      <c r="P48731" s="5" t="s">
        <v>355</v>
      </c>
      <c r="Q48731" s="5" t="s">
        <v>355</v>
      </c>
    </row>
    <row r="48732" ht="16.5" customHeight="1">
      <c r="O48732" s="5" t="s">
        <v>355</v>
      </c>
      <c r="P48732" s="5" t="s">
        <v>355</v>
      </c>
      <c r="Q48732" s="5" t="s">
        <v>355</v>
      </c>
    </row>
    <row r="48733" ht="16.5" customHeight="1">
      <c r="O48733" s="5" t="s">
        <v>355</v>
      </c>
      <c r="P48733" s="5" t="s">
        <v>355</v>
      </c>
      <c r="Q48733" s="5" t="s">
        <v>355</v>
      </c>
    </row>
    <row r="48734" ht="16.5" customHeight="1">
      <c r="O48734" s="5" t="s">
        <v>355</v>
      </c>
      <c r="P48734" s="5" t="s">
        <v>355</v>
      </c>
      <c r="Q48734" s="5" t="s">
        <v>355</v>
      </c>
    </row>
    <row r="48735" ht="16.5" customHeight="1">
      <c r="O48735" s="5" t="s">
        <v>355</v>
      </c>
      <c r="P48735" s="5" t="s">
        <v>355</v>
      </c>
      <c r="Q48735" s="5" t="s">
        <v>355</v>
      </c>
    </row>
    <row r="48736" ht="16.5" customHeight="1">
      <c r="O48736" s="5" t="s">
        <v>355</v>
      </c>
      <c r="P48736" s="5" t="s">
        <v>355</v>
      </c>
      <c r="Q48736" s="5" t="s">
        <v>355</v>
      </c>
    </row>
    <row r="48737" ht="16.5" customHeight="1">
      <c r="O48737" s="5" t="s">
        <v>355</v>
      </c>
      <c r="P48737" s="5" t="s">
        <v>355</v>
      </c>
      <c r="Q48737" s="5" t="s">
        <v>355</v>
      </c>
    </row>
    <row r="48738" ht="16.5" customHeight="1">
      <c r="O48738" s="5" t="s">
        <v>355</v>
      </c>
      <c r="P48738" s="5" t="s">
        <v>355</v>
      </c>
      <c r="Q48738" s="5" t="s">
        <v>355</v>
      </c>
    </row>
    <row r="48739" ht="16.5" customHeight="1">
      <c r="O48739" s="5" t="s">
        <v>355</v>
      </c>
      <c r="P48739" s="5" t="s">
        <v>355</v>
      </c>
      <c r="Q48739" s="5" t="s">
        <v>355</v>
      </c>
    </row>
    <row r="48740" ht="16.5" customHeight="1">
      <c r="O48740" s="5" t="s">
        <v>355</v>
      </c>
      <c r="P48740" s="5" t="s">
        <v>355</v>
      </c>
      <c r="Q48740" s="5" t="s">
        <v>355</v>
      </c>
    </row>
    <row r="48741" ht="16.5" customHeight="1">
      <c r="O48741" s="5" t="s">
        <v>355</v>
      </c>
      <c r="P48741" s="5" t="s">
        <v>355</v>
      </c>
      <c r="Q48741" s="5" t="s">
        <v>355</v>
      </c>
    </row>
    <row r="48742" ht="16.5" customHeight="1">
      <c r="O48742" s="5" t="s">
        <v>355</v>
      </c>
      <c r="P48742" s="5" t="s">
        <v>355</v>
      </c>
      <c r="Q48742" s="5" t="s">
        <v>355</v>
      </c>
    </row>
    <row r="48743" ht="16.5" customHeight="1">
      <c r="O48743" s="5" t="s">
        <v>355</v>
      </c>
      <c r="P48743" s="5" t="s">
        <v>355</v>
      </c>
      <c r="Q48743" s="5" t="s">
        <v>355</v>
      </c>
    </row>
    <row r="48744" ht="16.5" customHeight="1">
      <c r="O48744" s="5" t="s">
        <v>355</v>
      </c>
      <c r="P48744" s="5" t="s">
        <v>355</v>
      </c>
      <c r="Q48744" s="5" t="s">
        <v>355</v>
      </c>
    </row>
    <row r="48745" ht="16.5" customHeight="1">
      <c r="O48745" s="5" t="s">
        <v>355</v>
      </c>
      <c r="P48745" s="5" t="s">
        <v>355</v>
      </c>
      <c r="Q48745" s="5" t="s">
        <v>355</v>
      </c>
    </row>
    <row r="48746" ht="16.5" customHeight="1">
      <c r="O48746" s="5" t="s">
        <v>355</v>
      </c>
      <c r="P48746" s="5" t="s">
        <v>355</v>
      </c>
      <c r="Q48746" s="5" t="s">
        <v>355</v>
      </c>
    </row>
    <row r="48747" ht="16.5" customHeight="1">
      <c r="O48747" s="5" t="s">
        <v>355</v>
      </c>
      <c r="P48747" s="5" t="s">
        <v>355</v>
      </c>
      <c r="Q48747" s="5" t="s">
        <v>355</v>
      </c>
    </row>
    <row r="48748" ht="16.5" customHeight="1">
      <c r="O48748" s="5" t="s">
        <v>355</v>
      </c>
      <c r="P48748" s="5" t="s">
        <v>355</v>
      </c>
      <c r="Q48748" s="5" t="s">
        <v>355</v>
      </c>
    </row>
    <row r="48749" ht="16.5" customHeight="1">
      <c r="O48749" s="5" t="s">
        <v>355</v>
      </c>
      <c r="P48749" s="5" t="s">
        <v>355</v>
      </c>
      <c r="Q48749" s="5" t="s">
        <v>355</v>
      </c>
    </row>
    <row r="48750" ht="16.5" customHeight="1">
      <c r="O48750" s="5" t="s">
        <v>355</v>
      </c>
      <c r="P48750" s="5" t="s">
        <v>355</v>
      </c>
      <c r="Q48750" s="5" t="s">
        <v>355</v>
      </c>
    </row>
    <row r="48751" ht="16.5" customHeight="1">
      <c r="O48751" s="5" t="s">
        <v>355</v>
      </c>
      <c r="P48751" s="5" t="s">
        <v>355</v>
      </c>
      <c r="Q48751" s="5" t="s">
        <v>355</v>
      </c>
    </row>
    <row r="48752" ht="16.5" customHeight="1">
      <c r="O48752" s="5" t="s">
        <v>355</v>
      </c>
      <c r="P48752" s="5" t="s">
        <v>355</v>
      </c>
      <c r="Q48752" s="5" t="s">
        <v>355</v>
      </c>
    </row>
    <row r="48753" ht="16.5" customHeight="1">
      <c r="O48753" s="5" t="s">
        <v>355</v>
      </c>
      <c r="P48753" s="5" t="s">
        <v>355</v>
      </c>
      <c r="Q48753" s="5" t="s">
        <v>355</v>
      </c>
    </row>
    <row r="48754" ht="16.5" customHeight="1">
      <c r="O48754" s="5" t="s">
        <v>355</v>
      </c>
      <c r="P48754" s="5" t="s">
        <v>355</v>
      </c>
      <c r="Q48754" s="5" t="s">
        <v>355</v>
      </c>
    </row>
    <row r="48755" ht="16.5" customHeight="1">
      <c r="O48755" s="5" t="s">
        <v>355</v>
      </c>
      <c r="P48755" s="5" t="s">
        <v>355</v>
      </c>
      <c r="Q48755" s="5" t="s">
        <v>355</v>
      </c>
    </row>
    <row r="48756" ht="16.5" customHeight="1">
      <c r="O48756" s="5" t="s">
        <v>355</v>
      </c>
      <c r="P48756" s="5" t="s">
        <v>355</v>
      </c>
      <c r="Q48756" s="5" t="s">
        <v>355</v>
      </c>
    </row>
    <row r="48757" ht="16.5" customHeight="1">
      <c r="O48757" s="5" t="s">
        <v>355</v>
      </c>
      <c r="P48757" s="5" t="s">
        <v>355</v>
      </c>
      <c r="Q48757" s="5" t="s">
        <v>355</v>
      </c>
    </row>
    <row r="48758" ht="16.5" customHeight="1">
      <c r="O48758" s="5" t="s">
        <v>355</v>
      </c>
      <c r="P48758" s="5" t="s">
        <v>355</v>
      </c>
      <c r="Q48758" s="5" t="s">
        <v>355</v>
      </c>
    </row>
    <row r="48759" ht="16.5" customHeight="1">
      <c r="O48759" s="5" t="s">
        <v>355</v>
      </c>
      <c r="P48759" s="5" t="s">
        <v>355</v>
      </c>
      <c r="Q48759" s="5" t="s">
        <v>355</v>
      </c>
    </row>
    <row r="48760" ht="16.5" customHeight="1">
      <c r="O48760" s="5" t="s">
        <v>355</v>
      </c>
      <c r="P48760" s="5" t="s">
        <v>355</v>
      </c>
      <c r="Q48760" s="5" t="s">
        <v>355</v>
      </c>
    </row>
    <row r="48761" ht="16.5" customHeight="1">
      <c r="O48761" s="5" t="s">
        <v>355</v>
      </c>
      <c r="P48761" s="5" t="s">
        <v>355</v>
      </c>
      <c r="Q48761" s="5" t="s">
        <v>355</v>
      </c>
    </row>
    <row r="48762" ht="16.5" customHeight="1">
      <c r="O48762" s="5" t="s">
        <v>355</v>
      </c>
      <c r="P48762" s="5" t="s">
        <v>355</v>
      </c>
      <c r="Q48762" s="5" t="s">
        <v>355</v>
      </c>
    </row>
    <row r="48763" ht="16.5" customHeight="1">
      <c r="O48763" s="5" t="s">
        <v>355</v>
      </c>
      <c r="P48763" s="5" t="s">
        <v>355</v>
      </c>
      <c r="Q48763" s="5" t="s">
        <v>355</v>
      </c>
    </row>
    <row r="48764" ht="16.5" customHeight="1">
      <c r="O48764" s="5" t="s">
        <v>355</v>
      </c>
      <c r="P48764" s="5" t="s">
        <v>355</v>
      </c>
      <c r="Q48764" s="5" t="s">
        <v>355</v>
      </c>
    </row>
    <row r="48765" ht="16.5" customHeight="1">
      <c r="O48765" s="5" t="s">
        <v>355</v>
      </c>
      <c r="P48765" s="5" t="s">
        <v>355</v>
      </c>
      <c r="Q48765" s="5" t="s">
        <v>355</v>
      </c>
    </row>
    <row r="48766" ht="16.5" customHeight="1">
      <c r="O48766" s="5" t="s">
        <v>355</v>
      </c>
      <c r="P48766" s="5" t="s">
        <v>355</v>
      </c>
      <c r="Q48766" s="5" t="s">
        <v>355</v>
      </c>
    </row>
    <row r="48767" ht="16.5" customHeight="1">
      <c r="O48767" s="5" t="s">
        <v>355</v>
      </c>
      <c r="P48767" s="5" t="s">
        <v>355</v>
      </c>
      <c r="Q48767" s="5" t="s">
        <v>355</v>
      </c>
    </row>
    <row r="48768" ht="16.5" customHeight="1">
      <c r="O48768" s="5" t="s">
        <v>355</v>
      </c>
      <c r="P48768" s="5" t="s">
        <v>355</v>
      </c>
      <c r="Q48768" s="5" t="s">
        <v>355</v>
      </c>
    </row>
    <row r="48769" ht="16.5" customHeight="1">
      <c r="O48769" s="5" t="s">
        <v>355</v>
      </c>
      <c r="P48769" s="5" t="s">
        <v>355</v>
      </c>
      <c r="Q48769" s="5" t="s">
        <v>355</v>
      </c>
    </row>
    <row r="48770" ht="16.5" customHeight="1">
      <c r="O48770" s="5" t="s">
        <v>355</v>
      </c>
      <c r="P48770" s="5" t="s">
        <v>355</v>
      </c>
      <c r="Q48770" s="5" t="s">
        <v>355</v>
      </c>
    </row>
    <row r="48771" ht="16.5" customHeight="1">
      <c r="O48771" s="5" t="s">
        <v>355</v>
      </c>
      <c r="P48771" s="5" t="s">
        <v>355</v>
      </c>
      <c r="Q48771" s="5" t="s">
        <v>355</v>
      </c>
    </row>
    <row r="48772" ht="16.5" customHeight="1">
      <c r="O48772" s="5" t="s">
        <v>355</v>
      </c>
      <c r="P48772" s="5" t="s">
        <v>355</v>
      </c>
      <c r="Q48772" s="5" t="s">
        <v>355</v>
      </c>
    </row>
    <row r="48773" ht="16.5" customHeight="1">
      <c r="O48773" s="5" t="s">
        <v>355</v>
      </c>
      <c r="P48773" s="5" t="s">
        <v>355</v>
      </c>
      <c r="Q48773" s="5" t="s">
        <v>355</v>
      </c>
    </row>
    <row r="48774" ht="16.5" customHeight="1">
      <c r="O48774" s="5" t="s">
        <v>355</v>
      </c>
      <c r="P48774" s="5" t="s">
        <v>355</v>
      </c>
      <c r="Q48774" s="5" t="s">
        <v>355</v>
      </c>
    </row>
    <row r="48775" ht="16.5" customHeight="1">
      <c r="O48775" s="5" t="s">
        <v>355</v>
      </c>
      <c r="P48775" s="5" t="s">
        <v>355</v>
      </c>
      <c r="Q48775" s="5" t="s">
        <v>355</v>
      </c>
    </row>
    <row r="48776" ht="16.5" customHeight="1">
      <c r="O48776" s="5" t="s">
        <v>355</v>
      </c>
      <c r="P48776" s="5" t="s">
        <v>355</v>
      </c>
      <c r="Q48776" s="5" t="s">
        <v>355</v>
      </c>
    </row>
    <row r="48777" ht="16.5" customHeight="1">
      <c r="O48777" s="5" t="s">
        <v>355</v>
      </c>
      <c r="P48777" s="5" t="s">
        <v>355</v>
      </c>
      <c r="Q48777" s="5" t="s">
        <v>355</v>
      </c>
    </row>
    <row r="48778" ht="16.5" customHeight="1">
      <c r="O48778" s="5" t="s">
        <v>355</v>
      </c>
      <c r="P48778" s="5" t="s">
        <v>355</v>
      </c>
      <c r="Q48778" s="5" t="s">
        <v>355</v>
      </c>
    </row>
    <row r="48779" ht="16.5" customHeight="1">
      <c r="O48779" s="5" t="s">
        <v>355</v>
      </c>
      <c r="P48779" s="5" t="s">
        <v>355</v>
      </c>
      <c r="Q48779" s="5" t="s">
        <v>355</v>
      </c>
    </row>
    <row r="48780" ht="16.5" customHeight="1">
      <c r="O48780" s="5" t="s">
        <v>355</v>
      </c>
      <c r="P48780" s="5" t="s">
        <v>355</v>
      </c>
      <c r="Q48780" s="5" t="s">
        <v>355</v>
      </c>
    </row>
    <row r="48781" ht="16.5" customHeight="1">
      <c r="O48781" s="5" t="s">
        <v>355</v>
      </c>
      <c r="P48781" s="5" t="s">
        <v>355</v>
      </c>
      <c r="Q48781" s="5" t="s">
        <v>355</v>
      </c>
    </row>
    <row r="48782" ht="16.5" customHeight="1">
      <c r="O48782" s="5" t="s">
        <v>355</v>
      </c>
      <c r="P48782" s="5" t="s">
        <v>355</v>
      </c>
      <c r="Q48782" s="5" t="s">
        <v>355</v>
      </c>
    </row>
    <row r="48783" ht="16.5" customHeight="1">
      <c r="O48783" s="5" t="s">
        <v>355</v>
      </c>
      <c r="P48783" s="5" t="s">
        <v>355</v>
      </c>
      <c r="Q48783" s="5" t="s">
        <v>355</v>
      </c>
    </row>
    <row r="48784" ht="16.5" customHeight="1">
      <c r="O48784" s="5" t="s">
        <v>355</v>
      </c>
      <c r="P48784" s="5" t="s">
        <v>355</v>
      </c>
      <c r="Q48784" s="5" t="s">
        <v>355</v>
      </c>
    </row>
    <row r="48785" ht="16.5" customHeight="1">
      <c r="O48785" s="5" t="s">
        <v>355</v>
      </c>
      <c r="P48785" s="5" t="s">
        <v>355</v>
      </c>
      <c r="Q48785" s="5" t="s">
        <v>355</v>
      </c>
    </row>
    <row r="48786" ht="16.5" customHeight="1">
      <c r="O48786" s="5" t="s">
        <v>355</v>
      </c>
      <c r="P48786" s="5" t="s">
        <v>355</v>
      </c>
      <c r="Q48786" s="5" t="s">
        <v>355</v>
      </c>
    </row>
    <row r="48787" ht="16.5" customHeight="1">
      <c r="O48787" s="5" t="s">
        <v>355</v>
      </c>
      <c r="P48787" s="5" t="s">
        <v>355</v>
      </c>
      <c r="Q48787" s="5" t="s">
        <v>355</v>
      </c>
    </row>
    <row r="48788" ht="16.5" customHeight="1">
      <c r="O48788" s="5" t="s">
        <v>355</v>
      </c>
      <c r="P48788" s="5" t="s">
        <v>355</v>
      </c>
      <c r="Q48788" s="5" t="s">
        <v>355</v>
      </c>
    </row>
    <row r="48789" ht="16.5" customHeight="1">
      <c r="O48789" s="5" t="s">
        <v>355</v>
      </c>
      <c r="P48789" s="5" t="s">
        <v>355</v>
      </c>
      <c r="Q48789" s="5" t="s">
        <v>355</v>
      </c>
    </row>
    <row r="48790" ht="16.5" customHeight="1">
      <c r="O48790" s="5" t="s">
        <v>355</v>
      </c>
      <c r="P48790" s="5" t="s">
        <v>355</v>
      </c>
      <c r="Q48790" s="5" t="s">
        <v>355</v>
      </c>
    </row>
    <row r="48791" ht="16.5" customHeight="1">
      <c r="O48791" s="5" t="s">
        <v>355</v>
      </c>
      <c r="P48791" s="5" t="s">
        <v>355</v>
      </c>
      <c r="Q48791" s="5" t="s">
        <v>355</v>
      </c>
    </row>
    <row r="48792" ht="16.5" customHeight="1">
      <c r="O48792" s="5" t="s">
        <v>355</v>
      </c>
      <c r="P48792" s="5" t="s">
        <v>355</v>
      </c>
      <c r="Q48792" s="5" t="s">
        <v>355</v>
      </c>
    </row>
    <row r="48793" ht="16.5" customHeight="1">
      <c r="O48793" s="5" t="s">
        <v>355</v>
      </c>
      <c r="P48793" s="5" t="s">
        <v>355</v>
      </c>
      <c r="Q48793" s="5" t="s">
        <v>355</v>
      </c>
    </row>
    <row r="48794" ht="16.5" customHeight="1">
      <c r="O48794" s="5" t="s">
        <v>355</v>
      </c>
      <c r="P48794" s="5" t="s">
        <v>355</v>
      </c>
      <c r="Q48794" s="5" t="s">
        <v>355</v>
      </c>
    </row>
    <row r="48795" ht="16.5" customHeight="1">
      <c r="O48795" s="5" t="s">
        <v>355</v>
      </c>
      <c r="P48795" s="5" t="s">
        <v>355</v>
      </c>
      <c r="Q48795" s="5" t="s">
        <v>355</v>
      </c>
    </row>
    <row r="48796" ht="16.5" customHeight="1">
      <c r="O48796" s="5" t="s">
        <v>355</v>
      </c>
      <c r="P48796" s="5" t="s">
        <v>355</v>
      </c>
      <c r="Q48796" s="5" t="s">
        <v>355</v>
      </c>
    </row>
    <row r="48797" ht="16.5" customHeight="1">
      <c r="O48797" s="5" t="s">
        <v>355</v>
      </c>
      <c r="P48797" s="5" t="s">
        <v>355</v>
      </c>
      <c r="Q48797" s="5" t="s">
        <v>355</v>
      </c>
    </row>
    <row r="48798" ht="16.5" customHeight="1">
      <c r="O48798" s="5" t="s">
        <v>355</v>
      </c>
      <c r="P48798" s="5" t="s">
        <v>355</v>
      </c>
      <c r="Q48798" s="5" t="s">
        <v>355</v>
      </c>
    </row>
    <row r="48799" ht="16.5" customHeight="1">
      <c r="O48799" s="5" t="s">
        <v>355</v>
      </c>
      <c r="P48799" s="5" t="s">
        <v>355</v>
      </c>
      <c r="Q48799" s="5" t="s">
        <v>355</v>
      </c>
    </row>
    <row r="48800" ht="16.5" customHeight="1">
      <c r="O48800" s="5" t="s">
        <v>355</v>
      </c>
      <c r="P48800" s="5" t="s">
        <v>355</v>
      </c>
      <c r="Q48800" s="5" t="s">
        <v>355</v>
      </c>
    </row>
    <row r="48801" ht="16.5" customHeight="1">
      <c r="O48801" s="5" t="s">
        <v>355</v>
      </c>
      <c r="P48801" s="5" t="s">
        <v>355</v>
      </c>
      <c r="Q48801" s="5" t="s">
        <v>355</v>
      </c>
    </row>
    <row r="48802" ht="16.5" customHeight="1">
      <c r="O48802" s="5" t="s">
        <v>355</v>
      </c>
      <c r="P48802" s="5" t="s">
        <v>355</v>
      </c>
      <c r="Q48802" s="5" t="s">
        <v>355</v>
      </c>
    </row>
    <row r="48803" ht="16.5" customHeight="1">
      <c r="O48803" s="5" t="s">
        <v>355</v>
      </c>
      <c r="P48803" s="5" t="s">
        <v>355</v>
      </c>
      <c r="Q48803" s="5" t="s">
        <v>355</v>
      </c>
    </row>
    <row r="48804" ht="16.5" customHeight="1">
      <c r="O48804" s="5" t="s">
        <v>355</v>
      </c>
      <c r="P48804" s="5" t="s">
        <v>355</v>
      </c>
      <c r="Q48804" s="5" t="s">
        <v>355</v>
      </c>
    </row>
    <row r="48805" ht="16.5" customHeight="1">
      <c r="O48805" s="5" t="s">
        <v>355</v>
      </c>
      <c r="P48805" s="5" t="s">
        <v>355</v>
      </c>
      <c r="Q48805" s="5" t="s">
        <v>355</v>
      </c>
    </row>
    <row r="48806" ht="16.5" customHeight="1">
      <c r="O48806" s="5" t="s">
        <v>355</v>
      </c>
      <c r="P48806" s="5" t="s">
        <v>355</v>
      </c>
      <c r="Q48806" s="5" t="s">
        <v>355</v>
      </c>
    </row>
    <row r="48807" ht="16.5" customHeight="1">
      <c r="O48807" s="5" t="s">
        <v>355</v>
      </c>
      <c r="P48807" s="5" t="s">
        <v>355</v>
      </c>
      <c r="Q48807" s="5" t="s">
        <v>355</v>
      </c>
    </row>
    <row r="48808" ht="16.5" customHeight="1">
      <c r="O48808" s="5" t="s">
        <v>355</v>
      </c>
      <c r="P48808" s="5" t="s">
        <v>355</v>
      </c>
      <c r="Q48808" s="5" t="s">
        <v>355</v>
      </c>
    </row>
    <row r="48809" ht="16.5" customHeight="1">
      <c r="O48809" s="5" t="s">
        <v>355</v>
      </c>
      <c r="P48809" s="5" t="s">
        <v>355</v>
      </c>
      <c r="Q48809" s="5" t="s">
        <v>355</v>
      </c>
    </row>
    <row r="48810" ht="16.5" customHeight="1">
      <c r="O48810" s="5" t="s">
        <v>355</v>
      </c>
      <c r="P48810" s="5" t="s">
        <v>355</v>
      </c>
      <c r="Q48810" s="5" t="s">
        <v>355</v>
      </c>
    </row>
    <row r="48811" ht="16.5" customHeight="1">
      <c r="O48811" s="5" t="s">
        <v>355</v>
      </c>
      <c r="P48811" s="5" t="s">
        <v>355</v>
      </c>
      <c r="Q48811" s="5" t="s">
        <v>355</v>
      </c>
    </row>
    <row r="48812" ht="16.5" customHeight="1">
      <c r="O48812" s="5" t="s">
        <v>355</v>
      </c>
      <c r="P48812" s="5" t="s">
        <v>355</v>
      </c>
      <c r="Q48812" s="5" t="s">
        <v>355</v>
      </c>
    </row>
    <row r="48813" ht="16.5" customHeight="1">
      <c r="O48813" s="5" t="s">
        <v>355</v>
      </c>
      <c r="P48813" s="5" t="s">
        <v>355</v>
      </c>
      <c r="Q48813" s="5" t="s">
        <v>355</v>
      </c>
    </row>
    <row r="48814" ht="16.5" customHeight="1">
      <c r="O48814" s="5" t="s">
        <v>355</v>
      </c>
      <c r="P48814" s="5" t="s">
        <v>355</v>
      </c>
      <c r="Q48814" s="5" t="s">
        <v>355</v>
      </c>
    </row>
    <row r="48815" ht="16.5" customHeight="1">
      <c r="O48815" s="5" t="s">
        <v>355</v>
      </c>
      <c r="P48815" s="5" t="s">
        <v>355</v>
      </c>
      <c r="Q48815" s="5" t="s">
        <v>355</v>
      </c>
    </row>
    <row r="48816" ht="16.5" customHeight="1">
      <c r="O48816" s="5" t="s">
        <v>355</v>
      </c>
      <c r="P48816" s="5" t="s">
        <v>355</v>
      </c>
      <c r="Q48816" s="5" t="s">
        <v>355</v>
      </c>
    </row>
    <row r="48817" ht="16.5" customHeight="1">
      <c r="O48817" s="5" t="s">
        <v>355</v>
      </c>
      <c r="P48817" s="5" t="s">
        <v>355</v>
      </c>
      <c r="Q48817" s="5" t="s">
        <v>355</v>
      </c>
    </row>
    <row r="48818" ht="16.5" customHeight="1">
      <c r="O48818" s="5" t="s">
        <v>355</v>
      </c>
      <c r="P48818" s="5" t="s">
        <v>355</v>
      </c>
      <c r="Q48818" s="5" t="s">
        <v>355</v>
      </c>
    </row>
    <row r="48819" ht="16.5" customHeight="1">
      <c r="O48819" s="5" t="s">
        <v>355</v>
      </c>
      <c r="P48819" s="5" t="s">
        <v>355</v>
      </c>
      <c r="Q48819" s="5" t="s">
        <v>355</v>
      </c>
    </row>
    <row r="48820" ht="16.5" customHeight="1">
      <c r="O48820" s="5" t="s">
        <v>355</v>
      </c>
      <c r="P48820" s="5" t="s">
        <v>355</v>
      </c>
      <c r="Q48820" s="5" t="s">
        <v>355</v>
      </c>
    </row>
    <row r="48821" ht="16.5" customHeight="1">
      <c r="O48821" s="5" t="s">
        <v>355</v>
      </c>
      <c r="P48821" s="5" t="s">
        <v>355</v>
      </c>
      <c r="Q48821" s="5" t="s">
        <v>355</v>
      </c>
    </row>
    <row r="48822" ht="16.5" customHeight="1">
      <c r="O48822" s="5" t="s">
        <v>355</v>
      </c>
      <c r="P48822" s="5" t="s">
        <v>355</v>
      </c>
      <c r="Q48822" s="5" t="s">
        <v>355</v>
      </c>
    </row>
    <row r="48823" ht="16.5" customHeight="1">
      <c r="O48823" s="5" t="s">
        <v>355</v>
      </c>
      <c r="P48823" s="5" t="s">
        <v>355</v>
      </c>
      <c r="Q48823" s="5" t="s">
        <v>355</v>
      </c>
    </row>
    <row r="48824" ht="16.5" customHeight="1">
      <c r="O48824" s="5" t="s">
        <v>355</v>
      </c>
      <c r="P48824" s="5" t="s">
        <v>355</v>
      </c>
      <c r="Q48824" s="5" t="s">
        <v>355</v>
      </c>
    </row>
    <row r="48825" ht="16.5" customHeight="1">
      <c r="O48825" s="5" t="s">
        <v>355</v>
      </c>
      <c r="P48825" s="5" t="s">
        <v>355</v>
      </c>
      <c r="Q48825" s="5" t="s">
        <v>355</v>
      </c>
    </row>
    <row r="48826" ht="16.5" customHeight="1">
      <c r="O48826" s="5" t="s">
        <v>355</v>
      </c>
      <c r="P48826" s="5" t="s">
        <v>355</v>
      </c>
      <c r="Q48826" s="5" t="s">
        <v>355</v>
      </c>
    </row>
    <row r="48827" ht="16.5" customHeight="1">
      <c r="O48827" s="5" t="s">
        <v>355</v>
      </c>
      <c r="P48827" s="5" t="s">
        <v>355</v>
      </c>
      <c r="Q48827" s="5" t="s">
        <v>355</v>
      </c>
    </row>
    <row r="48828" ht="16.5" customHeight="1">
      <c r="O48828" s="5" t="s">
        <v>355</v>
      </c>
      <c r="P48828" s="5" t="s">
        <v>355</v>
      </c>
      <c r="Q48828" s="5" t="s">
        <v>355</v>
      </c>
    </row>
    <row r="48829" ht="16.5" customHeight="1">
      <c r="O48829" s="5" t="s">
        <v>355</v>
      </c>
      <c r="P48829" s="5" t="s">
        <v>355</v>
      </c>
      <c r="Q48829" s="5" t="s">
        <v>355</v>
      </c>
    </row>
    <row r="48830" ht="16.5" customHeight="1">
      <c r="O48830" s="5" t="s">
        <v>355</v>
      </c>
      <c r="P48830" s="5" t="s">
        <v>355</v>
      </c>
      <c r="Q48830" s="5" t="s">
        <v>355</v>
      </c>
    </row>
    <row r="48831" ht="16.5" customHeight="1">
      <c r="O48831" s="5" t="s">
        <v>355</v>
      </c>
      <c r="P48831" s="5" t="s">
        <v>355</v>
      </c>
      <c r="Q48831" s="5" t="s">
        <v>355</v>
      </c>
    </row>
    <row r="48832" ht="16.5" customHeight="1">
      <c r="O48832" s="5" t="s">
        <v>355</v>
      </c>
      <c r="P48832" s="5" t="s">
        <v>355</v>
      </c>
      <c r="Q48832" s="5" t="s">
        <v>355</v>
      </c>
    </row>
    <row r="48833" ht="16.5" customHeight="1">
      <c r="O48833" s="5" t="s">
        <v>355</v>
      </c>
      <c r="P48833" s="5" t="s">
        <v>355</v>
      </c>
      <c r="Q48833" s="5" t="s">
        <v>355</v>
      </c>
    </row>
    <row r="48834" ht="16.5" customHeight="1">
      <c r="O48834" s="5" t="s">
        <v>355</v>
      </c>
      <c r="P48834" s="5" t="s">
        <v>355</v>
      </c>
      <c r="Q48834" s="5" t="s">
        <v>355</v>
      </c>
    </row>
    <row r="48835" ht="16.5" customHeight="1">
      <c r="O48835" s="5" t="s">
        <v>355</v>
      </c>
      <c r="P48835" s="5" t="s">
        <v>355</v>
      </c>
      <c r="Q48835" s="5" t="s">
        <v>355</v>
      </c>
    </row>
    <row r="48836" ht="16.5" customHeight="1">
      <c r="O48836" s="5" t="s">
        <v>355</v>
      </c>
      <c r="P48836" s="5" t="s">
        <v>355</v>
      </c>
      <c r="Q48836" s="5" t="s">
        <v>355</v>
      </c>
    </row>
    <row r="48837" ht="16.5" customHeight="1">
      <c r="O48837" s="5" t="s">
        <v>355</v>
      </c>
      <c r="P48837" s="5" t="s">
        <v>355</v>
      </c>
      <c r="Q48837" s="5" t="s">
        <v>355</v>
      </c>
    </row>
    <row r="48838" ht="16.5" customHeight="1">
      <c r="O48838" s="5" t="s">
        <v>355</v>
      </c>
      <c r="P48838" s="5" t="s">
        <v>355</v>
      </c>
      <c r="Q48838" s="5" t="s">
        <v>355</v>
      </c>
    </row>
    <row r="48839" ht="16.5" customHeight="1">
      <c r="O48839" s="5" t="s">
        <v>355</v>
      </c>
      <c r="P48839" s="5" t="s">
        <v>355</v>
      </c>
      <c r="Q48839" s="5" t="s">
        <v>355</v>
      </c>
    </row>
    <row r="48840" ht="16.5" customHeight="1">
      <c r="O48840" s="5" t="s">
        <v>355</v>
      </c>
      <c r="P48840" s="5" t="s">
        <v>355</v>
      </c>
      <c r="Q48840" s="5" t="s">
        <v>355</v>
      </c>
    </row>
    <row r="48841" ht="16.5" customHeight="1">
      <c r="O48841" s="5" t="s">
        <v>355</v>
      </c>
      <c r="P48841" s="5" t="s">
        <v>355</v>
      </c>
      <c r="Q48841" s="5" t="s">
        <v>355</v>
      </c>
    </row>
    <row r="48842" ht="16.5" customHeight="1">
      <c r="O48842" s="5" t="s">
        <v>355</v>
      </c>
      <c r="P48842" s="5" t="s">
        <v>355</v>
      </c>
      <c r="Q48842" s="5" t="s">
        <v>355</v>
      </c>
    </row>
    <row r="48843" ht="16.5" customHeight="1">
      <c r="O48843" s="5" t="s">
        <v>355</v>
      </c>
      <c r="P48843" s="5" t="s">
        <v>355</v>
      </c>
      <c r="Q48843" s="5" t="s">
        <v>355</v>
      </c>
    </row>
    <row r="48844" ht="16.5" customHeight="1">
      <c r="O48844" s="5" t="s">
        <v>355</v>
      </c>
      <c r="P48844" s="5" t="s">
        <v>355</v>
      </c>
      <c r="Q48844" s="5" t="s">
        <v>355</v>
      </c>
    </row>
    <row r="48845" ht="16.5" customHeight="1">
      <c r="O48845" s="5" t="s">
        <v>355</v>
      </c>
      <c r="P48845" s="5" t="s">
        <v>355</v>
      </c>
      <c r="Q48845" s="5" t="s">
        <v>355</v>
      </c>
    </row>
    <row r="48846" ht="16.5" customHeight="1">
      <c r="O48846" s="5" t="s">
        <v>355</v>
      </c>
      <c r="P48846" s="5" t="s">
        <v>355</v>
      </c>
      <c r="Q48846" s="5" t="s">
        <v>355</v>
      </c>
    </row>
    <row r="48847" ht="16.5" customHeight="1">
      <c r="O48847" s="5" t="s">
        <v>355</v>
      </c>
      <c r="P48847" s="5" t="s">
        <v>355</v>
      </c>
      <c r="Q48847" s="5" t="s">
        <v>355</v>
      </c>
    </row>
    <row r="48848" ht="16.5" customHeight="1">
      <c r="O48848" s="5" t="s">
        <v>355</v>
      </c>
      <c r="P48848" s="5" t="s">
        <v>355</v>
      </c>
      <c r="Q48848" s="5" t="s">
        <v>355</v>
      </c>
    </row>
    <row r="48849" ht="16.5" customHeight="1">
      <c r="O48849" s="5" t="s">
        <v>355</v>
      </c>
      <c r="P48849" s="5" t="s">
        <v>355</v>
      </c>
      <c r="Q48849" s="5" t="s">
        <v>355</v>
      </c>
    </row>
    <row r="48850" ht="16.5" customHeight="1">
      <c r="O48850" s="5" t="s">
        <v>355</v>
      </c>
      <c r="P48850" s="5" t="s">
        <v>355</v>
      </c>
      <c r="Q48850" s="5" t="s">
        <v>355</v>
      </c>
    </row>
    <row r="48851" ht="16.5" customHeight="1">
      <c r="O48851" s="5" t="s">
        <v>355</v>
      </c>
      <c r="P48851" s="5" t="s">
        <v>355</v>
      </c>
      <c r="Q48851" s="5" t="s">
        <v>355</v>
      </c>
    </row>
    <row r="48852" ht="16.5" customHeight="1">
      <c r="O48852" s="5" t="s">
        <v>355</v>
      </c>
      <c r="P48852" s="5" t="s">
        <v>355</v>
      </c>
      <c r="Q48852" s="5" t="s">
        <v>355</v>
      </c>
    </row>
    <row r="48853" ht="16.5" customHeight="1">
      <c r="O48853" s="5" t="s">
        <v>355</v>
      </c>
      <c r="P48853" s="5" t="s">
        <v>355</v>
      </c>
      <c r="Q48853" s="5" t="s">
        <v>355</v>
      </c>
    </row>
    <row r="48854" ht="16.5" customHeight="1">
      <c r="O48854" s="5" t="s">
        <v>355</v>
      </c>
      <c r="P48854" s="5" t="s">
        <v>355</v>
      </c>
      <c r="Q48854" s="5" t="s">
        <v>355</v>
      </c>
    </row>
    <row r="48855" ht="16.5" customHeight="1">
      <c r="O48855" s="5" t="s">
        <v>355</v>
      </c>
      <c r="P48855" s="5" t="s">
        <v>355</v>
      </c>
      <c r="Q48855" s="5" t="s">
        <v>355</v>
      </c>
    </row>
    <row r="48856" ht="16.5" customHeight="1">
      <c r="O48856" s="5" t="s">
        <v>355</v>
      </c>
      <c r="P48856" s="5" t="s">
        <v>355</v>
      </c>
      <c r="Q48856" s="5" t="s">
        <v>355</v>
      </c>
    </row>
    <row r="48857" ht="16.5" customHeight="1">
      <c r="O48857" s="5" t="s">
        <v>355</v>
      </c>
      <c r="P48857" s="5" t="s">
        <v>355</v>
      </c>
      <c r="Q48857" s="5" t="s">
        <v>355</v>
      </c>
    </row>
    <row r="48858" ht="16.5" customHeight="1">
      <c r="O48858" s="5" t="s">
        <v>355</v>
      </c>
      <c r="P48858" s="5" t="s">
        <v>355</v>
      </c>
      <c r="Q48858" s="5" t="s">
        <v>355</v>
      </c>
    </row>
    <row r="48859" ht="16.5" customHeight="1">
      <c r="O48859" s="5" t="s">
        <v>355</v>
      </c>
      <c r="P48859" s="5" t="s">
        <v>355</v>
      </c>
      <c r="Q48859" s="5" t="s">
        <v>355</v>
      </c>
    </row>
    <row r="48860" ht="16.5" customHeight="1">
      <c r="O48860" s="5" t="s">
        <v>355</v>
      </c>
      <c r="P48860" s="5" t="s">
        <v>355</v>
      </c>
      <c r="Q48860" s="5" t="s">
        <v>355</v>
      </c>
    </row>
    <row r="48861" ht="16.5" customHeight="1">
      <c r="O48861" s="5" t="s">
        <v>355</v>
      </c>
      <c r="P48861" s="5" t="s">
        <v>355</v>
      </c>
      <c r="Q48861" s="5" t="s">
        <v>355</v>
      </c>
    </row>
    <row r="48862" ht="16.5" customHeight="1">
      <c r="O48862" s="5" t="s">
        <v>355</v>
      </c>
      <c r="P48862" s="5" t="s">
        <v>355</v>
      </c>
      <c r="Q48862" s="5" t="s">
        <v>355</v>
      </c>
    </row>
    <row r="48863" ht="16.5" customHeight="1">
      <c r="O48863" s="5" t="s">
        <v>355</v>
      </c>
      <c r="P48863" s="5" t="s">
        <v>355</v>
      </c>
      <c r="Q48863" s="5" t="s">
        <v>355</v>
      </c>
    </row>
    <row r="48864" ht="16.5" customHeight="1">
      <c r="O48864" s="5" t="s">
        <v>355</v>
      </c>
      <c r="P48864" s="5" t="s">
        <v>355</v>
      </c>
      <c r="Q48864" s="5" t="s">
        <v>355</v>
      </c>
    </row>
    <row r="48865" ht="16.5" customHeight="1">
      <c r="O48865" s="5" t="s">
        <v>355</v>
      </c>
      <c r="P48865" s="5" t="s">
        <v>355</v>
      </c>
      <c r="Q48865" s="5" t="s">
        <v>355</v>
      </c>
    </row>
    <row r="48866" ht="16.5" customHeight="1">
      <c r="O48866" s="5" t="s">
        <v>355</v>
      </c>
      <c r="P48866" s="5" t="s">
        <v>355</v>
      </c>
      <c r="Q48866" s="5" t="s">
        <v>355</v>
      </c>
    </row>
    <row r="48867" ht="16.5" customHeight="1">
      <c r="O48867" s="5" t="s">
        <v>355</v>
      </c>
      <c r="P48867" s="5" t="s">
        <v>355</v>
      </c>
      <c r="Q48867" s="5" t="s">
        <v>355</v>
      </c>
    </row>
    <row r="48868" ht="16.5" customHeight="1">
      <c r="O48868" s="5" t="s">
        <v>355</v>
      </c>
      <c r="P48868" s="5" t="s">
        <v>355</v>
      </c>
      <c r="Q48868" s="5" t="s">
        <v>355</v>
      </c>
    </row>
    <row r="48869" ht="16.5" customHeight="1">
      <c r="O48869" s="5" t="s">
        <v>355</v>
      </c>
      <c r="P48869" s="5" t="s">
        <v>355</v>
      </c>
      <c r="Q48869" s="5" t="s">
        <v>355</v>
      </c>
    </row>
    <row r="48870" ht="16.5" customHeight="1">
      <c r="O48870" s="5" t="s">
        <v>355</v>
      </c>
      <c r="P48870" s="5" t="s">
        <v>355</v>
      </c>
      <c r="Q48870" s="5" t="s">
        <v>355</v>
      </c>
    </row>
    <row r="48871" ht="16.5" customHeight="1">
      <c r="O48871" s="5" t="s">
        <v>355</v>
      </c>
      <c r="P48871" s="5" t="s">
        <v>355</v>
      </c>
      <c r="Q48871" s="5" t="s">
        <v>355</v>
      </c>
    </row>
    <row r="48872" ht="16.5" customHeight="1">
      <c r="O48872" s="5" t="s">
        <v>355</v>
      </c>
      <c r="P48872" s="5" t="s">
        <v>355</v>
      </c>
      <c r="Q48872" s="5" t="s">
        <v>355</v>
      </c>
    </row>
    <row r="48873" ht="16.5" customHeight="1">
      <c r="O48873" s="5" t="s">
        <v>355</v>
      </c>
      <c r="P48873" s="5" t="s">
        <v>355</v>
      </c>
      <c r="Q48873" s="5" t="s">
        <v>355</v>
      </c>
    </row>
    <row r="48874" ht="16.5" customHeight="1">
      <c r="O48874" s="5" t="s">
        <v>355</v>
      </c>
      <c r="P48874" s="5" t="s">
        <v>355</v>
      </c>
      <c r="Q48874" s="5" t="s">
        <v>355</v>
      </c>
    </row>
    <row r="48875" ht="16.5" customHeight="1">
      <c r="O48875" s="5" t="s">
        <v>355</v>
      </c>
      <c r="P48875" s="5" t="s">
        <v>355</v>
      </c>
      <c r="Q48875" s="5" t="s">
        <v>355</v>
      </c>
    </row>
    <row r="48876" ht="16.5" customHeight="1">
      <c r="O48876" s="5" t="s">
        <v>355</v>
      </c>
      <c r="P48876" s="5" t="s">
        <v>355</v>
      </c>
      <c r="Q48876" s="5" t="s">
        <v>355</v>
      </c>
    </row>
    <row r="48877" ht="16.5" customHeight="1">
      <c r="O48877" s="5" t="s">
        <v>355</v>
      </c>
      <c r="P48877" s="5" t="s">
        <v>355</v>
      </c>
      <c r="Q48877" s="5" t="s">
        <v>355</v>
      </c>
    </row>
    <row r="48878" ht="16.5" customHeight="1">
      <c r="O48878" s="5" t="s">
        <v>355</v>
      </c>
      <c r="P48878" s="5" t="s">
        <v>355</v>
      </c>
      <c r="Q48878" s="5" t="s">
        <v>355</v>
      </c>
    </row>
    <row r="48879" ht="16.5" customHeight="1">
      <c r="O48879" s="5" t="s">
        <v>355</v>
      </c>
      <c r="P48879" s="5" t="s">
        <v>355</v>
      </c>
      <c r="Q48879" s="5" t="s">
        <v>355</v>
      </c>
    </row>
    <row r="48880" ht="16.5" customHeight="1">
      <c r="O48880" s="5" t="s">
        <v>355</v>
      </c>
      <c r="P48880" s="5" t="s">
        <v>355</v>
      </c>
      <c r="Q48880" s="5" t="s">
        <v>355</v>
      </c>
    </row>
    <row r="48881" ht="16.5" customHeight="1">
      <c r="O48881" s="5" t="s">
        <v>355</v>
      </c>
      <c r="P48881" s="5" t="s">
        <v>355</v>
      </c>
      <c r="Q48881" s="5" t="s">
        <v>355</v>
      </c>
    </row>
    <row r="48882" ht="16.5" customHeight="1">
      <c r="O48882" s="5" t="s">
        <v>355</v>
      </c>
      <c r="P48882" s="5" t="s">
        <v>355</v>
      </c>
      <c r="Q48882" s="5" t="s">
        <v>355</v>
      </c>
    </row>
    <row r="48883" ht="16.5" customHeight="1">
      <c r="O48883" s="5" t="s">
        <v>355</v>
      </c>
      <c r="P48883" s="5" t="s">
        <v>355</v>
      </c>
      <c r="Q48883" s="5" t="s">
        <v>355</v>
      </c>
    </row>
    <row r="48884" ht="16.5" customHeight="1">
      <c r="O48884" s="5" t="s">
        <v>355</v>
      </c>
      <c r="P48884" s="5" t="s">
        <v>355</v>
      </c>
      <c r="Q48884" s="5" t="s">
        <v>355</v>
      </c>
    </row>
    <row r="48885" ht="16.5" customHeight="1">
      <c r="O48885" s="5" t="s">
        <v>355</v>
      </c>
      <c r="P48885" s="5" t="s">
        <v>355</v>
      </c>
      <c r="Q48885" s="5" t="s">
        <v>355</v>
      </c>
    </row>
    <row r="48886" ht="16.5" customHeight="1">
      <c r="O48886" s="5" t="s">
        <v>355</v>
      </c>
      <c r="P48886" s="5" t="s">
        <v>355</v>
      </c>
      <c r="Q48886" s="5" t="s">
        <v>355</v>
      </c>
    </row>
    <row r="48887" ht="16.5" customHeight="1">
      <c r="O48887" s="5" t="s">
        <v>355</v>
      </c>
      <c r="P48887" s="5" t="s">
        <v>355</v>
      </c>
      <c r="Q48887" s="5" t="s">
        <v>355</v>
      </c>
    </row>
    <row r="48888" ht="16.5" customHeight="1">
      <c r="O48888" s="5" t="s">
        <v>355</v>
      </c>
      <c r="P48888" s="5" t="s">
        <v>355</v>
      </c>
      <c r="Q48888" s="5" t="s">
        <v>355</v>
      </c>
    </row>
    <row r="48889" ht="16.5" customHeight="1">
      <c r="O48889" s="5" t="s">
        <v>355</v>
      </c>
      <c r="P48889" s="5" t="s">
        <v>355</v>
      </c>
      <c r="Q48889" s="5" t="s">
        <v>355</v>
      </c>
    </row>
    <row r="48890" ht="16.5" customHeight="1">
      <c r="O48890" s="5" t="s">
        <v>355</v>
      </c>
      <c r="P48890" s="5" t="s">
        <v>355</v>
      </c>
      <c r="Q48890" s="5" t="s">
        <v>355</v>
      </c>
    </row>
    <row r="48891" ht="16.5" customHeight="1">
      <c r="O48891" s="5" t="s">
        <v>355</v>
      </c>
      <c r="P48891" s="5" t="s">
        <v>355</v>
      </c>
      <c r="Q48891" s="5" t="s">
        <v>355</v>
      </c>
    </row>
    <row r="48892" ht="16.5" customHeight="1">
      <c r="O48892" s="5" t="s">
        <v>355</v>
      </c>
      <c r="P48892" s="5" t="s">
        <v>355</v>
      </c>
      <c r="Q48892" s="5" t="s">
        <v>355</v>
      </c>
    </row>
    <row r="48893" ht="16.5" customHeight="1">
      <c r="O48893" s="5" t="s">
        <v>355</v>
      </c>
      <c r="P48893" s="5" t="s">
        <v>355</v>
      </c>
      <c r="Q48893" s="5" t="s">
        <v>355</v>
      </c>
    </row>
    <row r="48894" ht="16.5" customHeight="1">
      <c r="O48894" s="5" t="s">
        <v>355</v>
      </c>
      <c r="P48894" s="5" t="s">
        <v>355</v>
      </c>
      <c r="Q48894" s="5" t="s">
        <v>355</v>
      </c>
    </row>
    <row r="48895" ht="16.5" customHeight="1">
      <c r="O48895" s="5" t="s">
        <v>355</v>
      </c>
      <c r="P48895" s="5" t="s">
        <v>355</v>
      </c>
      <c r="Q48895" s="5" t="s">
        <v>355</v>
      </c>
    </row>
    <row r="48896" ht="16.5" customHeight="1">
      <c r="O48896" s="5" t="s">
        <v>355</v>
      </c>
      <c r="P48896" s="5" t="s">
        <v>355</v>
      </c>
      <c r="Q48896" s="5" t="s">
        <v>355</v>
      </c>
    </row>
    <row r="48897" ht="16.5" customHeight="1">
      <c r="O48897" s="5" t="s">
        <v>355</v>
      </c>
      <c r="P48897" s="5" t="s">
        <v>355</v>
      </c>
      <c r="Q48897" s="5" t="s">
        <v>355</v>
      </c>
    </row>
    <row r="48898" ht="16.5" customHeight="1">
      <c r="O48898" s="5" t="s">
        <v>355</v>
      </c>
      <c r="P48898" s="5" t="s">
        <v>355</v>
      </c>
      <c r="Q48898" s="5" t="s">
        <v>355</v>
      </c>
    </row>
    <row r="48899" ht="16.5" customHeight="1">
      <c r="O48899" s="5" t="s">
        <v>355</v>
      </c>
      <c r="P48899" s="5" t="s">
        <v>355</v>
      </c>
      <c r="Q48899" s="5" t="s">
        <v>355</v>
      </c>
    </row>
    <row r="48900" ht="16.5" customHeight="1">
      <c r="O48900" s="5" t="s">
        <v>355</v>
      </c>
      <c r="P48900" s="5" t="s">
        <v>355</v>
      </c>
      <c r="Q48900" s="5" t="s">
        <v>355</v>
      </c>
    </row>
    <row r="48901" ht="16.5" customHeight="1">
      <c r="O48901" s="5" t="s">
        <v>355</v>
      </c>
      <c r="P48901" s="5" t="s">
        <v>355</v>
      </c>
      <c r="Q48901" s="5" t="s">
        <v>355</v>
      </c>
    </row>
    <row r="48902" ht="16.5" customHeight="1">
      <c r="O48902" s="5" t="s">
        <v>355</v>
      </c>
      <c r="P48902" s="5" t="s">
        <v>355</v>
      </c>
      <c r="Q48902" s="5" t="s">
        <v>355</v>
      </c>
    </row>
    <row r="48903" ht="16.5" customHeight="1">
      <c r="O48903" s="5" t="s">
        <v>355</v>
      </c>
      <c r="P48903" s="5" t="s">
        <v>355</v>
      </c>
      <c r="Q48903" s="5" t="s">
        <v>355</v>
      </c>
    </row>
    <row r="48904" ht="16.5" customHeight="1">
      <c r="O48904" s="5" t="s">
        <v>355</v>
      </c>
      <c r="P48904" s="5" t="s">
        <v>355</v>
      </c>
      <c r="Q48904" s="5" t="s">
        <v>355</v>
      </c>
    </row>
    <row r="48905" ht="16.5" customHeight="1">
      <c r="O48905" s="5" t="s">
        <v>355</v>
      </c>
      <c r="P48905" s="5" t="s">
        <v>355</v>
      </c>
      <c r="Q48905" s="5" t="s">
        <v>355</v>
      </c>
    </row>
    <row r="48906" ht="16.5" customHeight="1">
      <c r="O48906" s="5" t="s">
        <v>355</v>
      </c>
      <c r="P48906" s="5" t="s">
        <v>355</v>
      </c>
      <c r="Q48906" s="5" t="s">
        <v>355</v>
      </c>
    </row>
    <row r="48907" ht="16.5" customHeight="1">
      <c r="O48907" s="5" t="s">
        <v>355</v>
      </c>
      <c r="P48907" s="5" t="s">
        <v>355</v>
      </c>
      <c r="Q48907" s="5" t="s">
        <v>355</v>
      </c>
    </row>
    <row r="48908" ht="16.5" customHeight="1">
      <c r="O48908" s="5" t="s">
        <v>355</v>
      </c>
      <c r="P48908" s="5" t="s">
        <v>355</v>
      </c>
      <c r="Q48908" s="5" t="s">
        <v>355</v>
      </c>
    </row>
    <row r="48909" ht="16.5" customHeight="1">
      <c r="O48909" s="5" t="s">
        <v>355</v>
      </c>
      <c r="P48909" s="5" t="s">
        <v>355</v>
      </c>
      <c r="Q48909" s="5" t="s">
        <v>355</v>
      </c>
    </row>
    <row r="48910" ht="16.5" customHeight="1">
      <c r="O48910" s="5" t="s">
        <v>355</v>
      </c>
      <c r="P48910" s="5" t="s">
        <v>355</v>
      </c>
      <c r="Q48910" s="5" t="s">
        <v>355</v>
      </c>
    </row>
    <row r="48911" ht="16.5" customHeight="1">
      <c r="O48911" s="5" t="s">
        <v>355</v>
      </c>
      <c r="P48911" s="5" t="s">
        <v>355</v>
      </c>
      <c r="Q48911" s="5" t="s">
        <v>355</v>
      </c>
    </row>
    <row r="48912" ht="16.5" customHeight="1">
      <c r="O48912" s="5" t="s">
        <v>355</v>
      </c>
      <c r="P48912" s="5" t="s">
        <v>355</v>
      </c>
      <c r="Q48912" s="5" t="s">
        <v>355</v>
      </c>
    </row>
    <row r="48913" ht="16.5" customHeight="1">
      <c r="O48913" s="5" t="s">
        <v>355</v>
      </c>
      <c r="P48913" s="5" t="s">
        <v>355</v>
      </c>
      <c r="Q48913" s="5" t="s">
        <v>355</v>
      </c>
    </row>
    <row r="48914" ht="16.5" customHeight="1">
      <c r="O48914" s="5" t="s">
        <v>355</v>
      </c>
      <c r="P48914" s="5" t="s">
        <v>355</v>
      </c>
      <c r="Q48914" s="5" t="s">
        <v>355</v>
      </c>
    </row>
    <row r="48915" ht="16.5" customHeight="1">
      <c r="O48915" s="5" t="s">
        <v>355</v>
      </c>
      <c r="P48915" s="5" t="s">
        <v>355</v>
      </c>
      <c r="Q48915" s="5" t="s">
        <v>355</v>
      </c>
    </row>
    <row r="48916" ht="16.5" customHeight="1">
      <c r="O48916" s="5" t="s">
        <v>355</v>
      </c>
      <c r="P48916" s="5" t="s">
        <v>355</v>
      </c>
      <c r="Q48916" s="5" t="s">
        <v>355</v>
      </c>
    </row>
    <row r="48917" ht="16.5" customHeight="1">
      <c r="O48917" s="5" t="s">
        <v>355</v>
      </c>
      <c r="P48917" s="5" t="s">
        <v>355</v>
      </c>
      <c r="Q48917" s="5" t="s">
        <v>355</v>
      </c>
    </row>
    <row r="48918" ht="16.5" customHeight="1">
      <c r="O48918" s="5" t="s">
        <v>355</v>
      </c>
      <c r="P48918" s="5" t="s">
        <v>355</v>
      </c>
      <c r="Q48918" s="5" t="s">
        <v>355</v>
      </c>
    </row>
    <row r="48919" ht="16.5" customHeight="1">
      <c r="O48919" s="5" t="s">
        <v>355</v>
      </c>
      <c r="P48919" s="5" t="s">
        <v>355</v>
      </c>
      <c r="Q48919" s="5" t="s">
        <v>355</v>
      </c>
    </row>
    <row r="48920" ht="16.5" customHeight="1">
      <c r="O48920" s="5" t="s">
        <v>355</v>
      </c>
      <c r="P48920" s="5" t="s">
        <v>355</v>
      </c>
      <c r="Q48920" s="5" t="s">
        <v>355</v>
      </c>
    </row>
    <row r="48921" ht="16.5" customHeight="1">
      <c r="O48921" s="5" t="s">
        <v>355</v>
      </c>
      <c r="P48921" s="5" t="s">
        <v>355</v>
      </c>
      <c r="Q48921" s="5" t="s">
        <v>355</v>
      </c>
    </row>
    <row r="48922" ht="16.5" customHeight="1">
      <c r="O48922" s="5" t="s">
        <v>355</v>
      </c>
      <c r="P48922" s="5" t="s">
        <v>355</v>
      </c>
      <c r="Q48922" s="5" t="s">
        <v>355</v>
      </c>
    </row>
    <row r="48923" ht="16.5" customHeight="1">
      <c r="O48923" s="5" t="s">
        <v>355</v>
      </c>
      <c r="P48923" s="5" t="s">
        <v>355</v>
      </c>
      <c r="Q48923" s="5" t="s">
        <v>355</v>
      </c>
    </row>
    <row r="48924" ht="16.5" customHeight="1">
      <c r="O48924" s="5" t="s">
        <v>355</v>
      </c>
      <c r="P48924" s="5" t="s">
        <v>355</v>
      </c>
      <c r="Q48924" s="5" t="s">
        <v>355</v>
      </c>
    </row>
    <row r="48925" ht="16.5" customHeight="1">
      <c r="O48925" s="5" t="s">
        <v>355</v>
      </c>
      <c r="P48925" s="5" t="s">
        <v>355</v>
      </c>
      <c r="Q48925" s="5" t="s">
        <v>355</v>
      </c>
    </row>
    <row r="48926" ht="16.5" customHeight="1">
      <c r="O48926" s="5" t="s">
        <v>355</v>
      </c>
      <c r="P48926" s="5" t="s">
        <v>355</v>
      </c>
      <c r="Q48926" s="5" t="s">
        <v>355</v>
      </c>
    </row>
    <row r="48927" ht="16.5" customHeight="1">
      <c r="O48927" s="5" t="s">
        <v>355</v>
      </c>
      <c r="P48927" s="5" t="s">
        <v>355</v>
      </c>
      <c r="Q48927" s="5" t="s">
        <v>355</v>
      </c>
    </row>
    <row r="48928" ht="16.5" customHeight="1">
      <c r="O48928" s="5" t="s">
        <v>355</v>
      </c>
      <c r="P48928" s="5" t="s">
        <v>355</v>
      </c>
      <c r="Q48928" s="5" t="s">
        <v>355</v>
      </c>
    </row>
    <row r="48929" ht="16.5" customHeight="1">
      <c r="O48929" s="5" t="s">
        <v>355</v>
      </c>
      <c r="P48929" s="5" t="s">
        <v>355</v>
      </c>
      <c r="Q48929" s="5" t="s">
        <v>355</v>
      </c>
    </row>
    <row r="48930" ht="16.5" customHeight="1">
      <c r="O48930" s="5" t="s">
        <v>355</v>
      </c>
      <c r="P48930" s="5" t="s">
        <v>355</v>
      </c>
      <c r="Q48930" s="5" t="s">
        <v>355</v>
      </c>
    </row>
    <row r="48931" ht="16.5" customHeight="1">
      <c r="O48931" s="5" t="s">
        <v>355</v>
      </c>
      <c r="P48931" s="5" t="s">
        <v>355</v>
      </c>
      <c r="Q48931" s="5" t="s">
        <v>355</v>
      </c>
    </row>
    <row r="48932" ht="16.5" customHeight="1">
      <c r="O48932" s="5" t="s">
        <v>355</v>
      </c>
      <c r="P48932" s="5" t="s">
        <v>355</v>
      </c>
      <c r="Q48932" s="5" t="s">
        <v>355</v>
      </c>
    </row>
    <row r="48933" ht="16.5" customHeight="1">
      <c r="O48933" s="5" t="s">
        <v>355</v>
      </c>
      <c r="P48933" s="5" t="s">
        <v>355</v>
      </c>
      <c r="Q48933" s="5" t="s">
        <v>355</v>
      </c>
    </row>
    <row r="48934" ht="16.5" customHeight="1">
      <c r="O48934" s="5" t="s">
        <v>355</v>
      </c>
      <c r="P48934" s="5" t="s">
        <v>355</v>
      </c>
      <c r="Q48934" s="5" t="s">
        <v>355</v>
      </c>
    </row>
    <row r="48935" ht="16.5" customHeight="1">
      <c r="O48935" s="5" t="s">
        <v>355</v>
      </c>
      <c r="P48935" s="5" t="s">
        <v>355</v>
      </c>
      <c r="Q48935" s="5" t="s">
        <v>355</v>
      </c>
    </row>
    <row r="48936" ht="16.5" customHeight="1">
      <c r="O48936" s="5" t="s">
        <v>355</v>
      </c>
      <c r="P48936" s="5" t="s">
        <v>355</v>
      </c>
      <c r="Q48936" s="5" t="s">
        <v>355</v>
      </c>
    </row>
    <row r="48937" ht="16.5" customHeight="1">
      <c r="O48937" s="5" t="s">
        <v>355</v>
      </c>
      <c r="P48937" s="5" t="s">
        <v>355</v>
      </c>
      <c r="Q48937" s="5" t="s">
        <v>355</v>
      </c>
    </row>
    <row r="48938" ht="16.5" customHeight="1">
      <c r="O48938" s="5" t="s">
        <v>355</v>
      </c>
      <c r="P48938" s="5" t="s">
        <v>355</v>
      </c>
      <c r="Q48938" s="5" t="s">
        <v>355</v>
      </c>
    </row>
    <row r="48939" ht="16.5" customHeight="1">
      <c r="O48939" s="5" t="s">
        <v>355</v>
      </c>
      <c r="P48939" s="5" t="s">
        <v>355</v>
      </c>
      <c r="Q48939" s="5" t="s">
        <v>355</v>
      </c>
    </row>
    <row r="48940" ht="16.5" customHeight="1">
      <c r="O48940" s="5" t="s">
        <v>355</v>
      </c>
      <c r="P48940" s="5" t="s">
        <v>355</v>
      </c>
      <c r="Q48940" s="5" t="s">
        <v>355</v>
      </c>
    </row>
    <row r="48941" ht="16.5" customHeight="1">
      <c r="O48941" s="5" t="s">
        <v>355</v>
      </c>
      <c r="P48941" s="5" t="s">
        <v>355</v>
      </c>
      <c r="Q48941" s="5" t="s">
        <v>355</v>
      </c>
    </row>
    <row r="48942" ht="16.5" customHeight="1">
      <c r="O48942" s="5" t="s">
        <v>355</v>
      </c>
      <c r="P48942" s="5" t="s">
        <v>355</v>
      </c>
      <c r="Q48942" s="5" t="s">
        <v>355</v>
      </c>
    </row>
    <row r="48943" ht="16.5" customHeight="1">
      <c r="O48943" s="5" t="s">
        <v>355</v>
      </c>
      <c r="P48943" s="5" t="s">
        <v>355</v>
      </c>
      <c r="Q48943" s="5" t="s">
        <v>355</v>
      </c>
    </row>
    <row r="48944" ht="16.5" customHeight="1">
      <c r="O48944" s="5" t="s">
        <v>355</v>
      </c>
      <c r="P48944" s="5" t="s">
        <v>355</v>
      </c>
      <c r="Q48944" s="5" t="s">
        <v>355</v>
      </c>
    </row>
    <row r="48945" ht="16.5" customHeight="1">
      <c r="O48945" s="5" t="s">
        <v>355</v>
      </c>
      <c r="P48945" s="5" t="s">
        <v>355</v>
      </c>
      <c r="Q48945" s="5" t="s">
        <v>355</v>
      </c>
    </row>
    <row r="48946" ht="16.5" customHeight="1">
      <c r="O48946" s="5" t="s">
        <v>355</v>
      </c>
      <c r="P48946" s="5" t="s">
        <v>355</v>
      </c>
      <c r="Q48946" s="5" t="s">
        <v>355</v>
      </c>
    </row>
    <row r="48947" ht="16.5" customHeight="1">
      <c r="O48947" s="5" t="s">
        <v>355</v>
      </c>
      <c r="P48947" s="5" t="s">
        <v>355</v>
      </c>
      <c r="Q48947" s="5" t="s">
        <v>355</v>
      </c>
    </row>
    <row r="48948" ht="16.5" customHeight="1">
      <c r="O48948" s="5" t="s">
        <v>355</v>
      </c>
      <c r="P48948" s="5" t="s">
        <v>355</v>
      </c>
      <c r="Q48948" s="5" t="s">
        <v>355</v>
      </c>
    </row>
    <row r="48949" ht="16.5" customHeight="1">
      <c r="O48949" s="5" t="s">
        <v>355</v>
      </c>
      <c r="P48949" s="5" t="s">
        <v>355</v>
      </c>
      <c r="Q48949" s="5" t="s">
        <v>355</v>
      </c>
    </row>
    <row r="48950" ht="16.5" customHeight="1">
      <c r="O48950" s="5" t="s">
        <v>355</v>
      </c>
      <c r="P48950" s="5" t="s">
        <v>355</v>
      </c>
      <c r="Q48950" s="5" t="s">
        <v>355</v>
      </c>
    </row>
    <row r="48951" ht="16.5" customHeight="1">
      <c r="O48951" s="5" t="s">
        <v>355</v>
      </c>
      <c r="P48951" s="5" t="s">
        <v>355</v>
      </c>
      <c r="Q48951" s="5" t="s">
        <v>355</v>
      </c>
    </row>
    <row r="48952" ht="16.5" customHeight="1">
      <c r="O48952" s="5" t="s">
        <v>355</v>
      </c>
      <c r="P48952" s="5" t="s">
        <v>355</v>
      </c>
      <c r="Q48952" s="5" t="s">
        <v>355</v>
      </c>
    </row>
    <row r="48953" ht="16.5" customHeight="1">
      <c r="O48953" s="5" t="s">
        <v>355</v>
      </c>
      <c r="P48953" s="5" t="s">
        <v>355</v>
      </c>
      <c r="Q48953" s="5" t="s">
        <v>355</v>
      </c>
    </row>
    <row r="48954" ht="16.5" customHeight="1">
      <c r="O48954" s="5" t="s">
        <v>355</v>
      </c>
      <c r="P48954" s="5" t="s">
        <v>355</v>
      </c>
      <c r="Q48954" s="5" t="s">
        <v>355</v>
      </c>
    </row>
    <row r="48955" ht="16.5" customHeight="1">
      <c r="O48955" s="5" t="s">
        <v>355</v>
      </c>
      <c r="P48955" s="5" t="s">
        <v>355</v>
      </c>
      <c r="Q48955" s="5" t="s">
        <v>355</v>
      </c>
    </row>
    <row r="48956" ht="16.5" customHeight="1">
      <c r="O48956" s="5" t="s">
        <v>355</v>
      </c>
      <c r="P48956" s="5" t="s">
        <v>355</v>
      </c>
      <c r="Q48956" s="5" t="s">
        <v>355</v>
      </c>
    </row>
    <row r="48957" ht="16.5" customHeight="1">
      <c r="O48957" s="5" t="s">
        <v>355</v>
      </c>
      <c r="P48957" s="5" t="s">
        <v>355</v>
      </c>
      <c r="Q48957" s="5" t="s">
        <v>355</v>
      </c>
    </row>
    <row r="48958" ht="16.5" customHeight="1">
      <c r="O48958" s="5" t="s">
        <v>355</v>
      </c>
      <c r="P48958" s="5" t="s">
        <v>355</v>
      </c>
      <c r="Q48958" s="5" t="s">
        <v>355</v>
      </c>
    </row>
    <row r="48959" ht="16.5" customHeight="1">
      <c r="O48959" s="5" t="s">
        <v>355</v>
      </c>
      <c r="P48959" s="5" t="s">
        <v>355</v>
      </c>
      <c r="Q48959" s="5" t="s">
        <v>355</v>
      </c>
    </row>
    <row r="48960" ht="16.5" customHeight="1">
      <c r="O48960" s="5" t="s">
        <v>355</v>
      </c>
      <c r="P48960" s="5" t="s">
        <v>355</v>
      </c>
      <c r="Q48960" s="5" t="s">
        <v>355</v>
      </c>
    </row>
    <row r="48961" ht="16.5" customHeight="1">
      <c r="O48961" s="5" t="s">
        <v>355</v>
      </c>
      <c r="P48961" s="5" t="s">
        <v>355</v>
      </c>
      <c r="Q48961" s="5" t="s">
        <v>355</v>
      </c>
    </row>
    <row r="48962" ht="16.5" customHeight="1">
      <c r="O48962" s="5" t="s">
        <v>355</v>
      </c>
      <c r="P48962" s="5" t="s">
        <v>355</v>
      </c>
      <c r="Q48962" s="5" t="s">
        <v>355</v>
      </c>
    </row>
    <row r="48963" ht="16.5" customHeight="1">
      <c r="O48963" s="5" t="s">
        <v>355</v>
      </c>
      <c r="P48963" s="5" t="s">
        <v>355</v>
      </c>
      <c r="Q48963" s="5" t="s">
        <v>355</v>
      </c>
    </row>
    <row r="48964" ht="16.5" customHeight="1">
      <c r="O48964" s="5" t="s">
        <v>355</v>
      </c>
      <c r="P48964" s="5" t="s">
        <v>355</v>
      </c>
      <c r="Q48964" s="5" t="s">
        <v>355</v>
      </c>
    </row>
    <row r="48965" ht="16.5" customHeight="1">
      <c r="O48965" s="5" t="s">
        <v>355</v>
      </c>
      <c r="P48965" s="5" t="s">
        <v>355</v>
      </c>
      <c r="Q48965" s="5" t="s">
        <v>355</v>
      </c>
    </row>
    <row r="48966" ht="16.5" customHeight="1">
      <c r="O48966" s="5" t="s">
        <v>355</v>
      </c>
      <c r="P48966" s="5" t="s">
        <v>355</v>
      </c>
      <c r="Q48966" s="5" t="s">
        <v>355</v>
      </c>
    </row>
    <row r="48967" ht="16.5" customHeight="1">
      <c r="O48967" s="5" t="s">
        <v>355</v>
      </c>
      <c r="P48967" s="5" t="s">
        <v>355</v>
      </c>
      <c r="Q48967" s="5" t="s">
        <v>355</v>
      </c>
    </row>
    <row r="48968" ht="16.5" customHeight="1">
      <c r="O48968" s="5" t="s">
        <v>355</v>
      </c>
      <c r="P48968" s="5" t="s">
        <v>355</v>
      </c>
      <c r="Q48968" s="5" t="s">
        <v>355</v>
      </c>
    </row>
    <row r="48969" ht="16.5" customHeight="1">
      <c r="O48969" s="5" t="s">
        <v>355</v>
      </c>
      <c r="P48969" s="5" t="s">
        <v>355</v>
      </c>
      <c r="Q48969" s="5" t="s">
        <v>355</v>
      </c>
    </row>
    <row r="48970" ht="16.5" customHeight="1">
      <c r="O48970" s="5" t="s">
        <v>355</v>
      </c>
      <c r="P48970" s="5" t="s">
        <v>355</v>
      </c>
      <c r="Q48970" s="5" t="s">
        <v>355</v>
      </c>
    </row>
    <row r="48971" ht="16.5" customHeight="1">
      <c r="O48971" s="5" t="s">
        <v>355</v>
      </c>
      <c r="P48971" s="5" t="s">
        <v>355</v>
      </c>
      <c r="Q48971" s="5" t="s">
        <v>355</v>
      </c>
    </row>
    <row r="48972" ht="16.5" customHeight="1">
      <c r="O48972" s="5" t="s">
        <v>355</v>
      </c>
      <c r="P48972" s="5" t="s">
        <v>355</v>
      </c>
      <c r="Q48972" s="5" t="s">
        <v>355</v>
      </c>
    </row>
    <row r="48973" ht="16.5" customHeight="1">
      <c r="O48973" s="5" t="s">
        <v>355</v>
      </c>
      <c r="P48973" s="5" t="s">
        <v>355</v>
      </c>
      <c r="Q48973" s="5" t="s">
        <v>355</v>
      </c>
    </row>
    <row r="48974" ht="16.5" customHeight="1">
      <c r="O48974" s="5" t="s">
        <v>355</v>
      </c>
      <c r="P48974" s="5" t="s">
        <v>355</v>
      </c>
      <c r="Q48974" s="5" t="s">
        <v>355</v>
      </c>
    </row>
    <row r="48975" ht="16.5" customHeight="1">
      <c r="O48975" s="5" t="s">
        <v>355</v>
      </c>
      <c r="P48975" s="5" t="s">
        <v>355</v>
      </c>
      <c r="Q48975" s="5" t="s">
        <v>355</v>
      </c>
    </row>
    <row r="48976" ht="16.5" customHeight="1">
      <c r="O48976" s="5" t="s">
        <v>355</v>
      </c>
      <c r="P48976" s="5" t="s">
        <v>355</v>
      </c>
      <c r="Q48976" s="5" t="s">
        <v>355</v>
      </c>
    </row>
    <row r="48977" ht="16.5" customHeight="1">
      <c r="O48977" s="5" t="s">
        <v>355</v>
      </c>
      <c r="P48977" s="5" t="s">
        <v>355</v>
      </c>
      <c r="Q48977" s="5" t="s">
        <v>355</v>
      </c>
    </row>
    <row r="48978" ht="16.5" customHeight="1">
      <c r="O48978" s="5" t="s">
        <v>355</v>
      </c>
      <c r="P48978" s="5" t="s">
        <v>355</v>
      </c>
      <c r="Q48978" s="5" t="s">
        <v>355</v>
      </c>
    </row>
    <row r="48979" ht="16.5" customHeight="1">
      <c r="O48979" s="5" t="s">
        <v>355</v>
      </c>
      <c r="P48979" s="5" t="s">
        <v>355</v>
      </c>
      <c r="Q48979" s="5" t="s">
        <v>355</v>
      </c>
    </row>
    <row r="48980" ht="16.5" customHeight="1">
      <c r="O48980" s="5" t="s">
        <v>355</v>
      </c>
      <c r="P48980" s="5" t="s">
        <v>355</v>
      </c>
      <c r="Q48980" s="5" t="s">
        <v>355</v>
      </c>
    </row>
    <row r="48981" ht="16.5" customHeight="1">
      <c r="O48981" s="5" t="s">
        <v>355</v>
      </c>
      <c r="P48981" s="5" t="s">
        <v>355</v>
      </c>
      <c r="Q48981" s="5" t="s">
        <v>355</v>
      </c>
    </row>
    <row r="48982" ht="16.5" customHeight="1">
      <c r="O48982" s="5" t="s">
        <v>355</v>
      </c>
      <c r="P48982" s="5" t="s">
        <v>355</v>
      </c>
      <c r="Q48982" s="5" t="s">
        <v>355</v>
      </c>
    </row>
    <row r="48983" ht="16.5" customHeight="1">
      <c r="O48983" s="5" t="s">
        <v>355</v>
      </c>
      <c r="P48983" s="5" t="s">
        <v>355</v>
      </c>
      <c r="Q48983" s="5" t="s">
        <v>355</v>
      </c>
    </row>
    <row r="48984" ht="16.5" customHeight="1">
      <c r="O48984" s="5" t="s">
        <v>355</v>
      </c>
      <c r="P48984" s="5" t="s">
        <v>355</v>
      </c>
      <c r="Q48984" s="5" t="s">
        <v>355</v>
      </c>
    </row>
    <row r="48985" ht="16.5" customHeight="1">
      <c r="O48985" s="5" t="s">
        <v>355</v>
      </c>
      <c r="P48985" s="5" t="s">
        <v>355</v>
      </c>
      <c r="Q48985" s="5" t="s">
        <v>355</v>
      </c>
    </row>
    <row r="48986" ht="16.5" customHeight="1">
      <c r="O48986" s="5" t="s">
        <v>355</v>
      </c>
      <c r="P48986" s="5" t="s">
        <v>355</v>
      </c>
      <c r="Q48986" s="5" t="s">
        <v>355</v>
      </c>
    </row>
    <row r="48987" ht="16.5" customHeight="1">
      <c r="O48987" s="5" t="s">
        <v>355</v>
      </c>
      <c r="P48987" s="5" t="s">
        <v>355</v>
      </c>
      <c r="Q48987" s="5" t="s">
        <v>355</v>
      </c>
    </row>
    <row r="48988" ht="16.5" customHeight="1">
      <c r="O48988" s="5" t="s">
        <v>355</v>
      </c>
      <c r="P48988" s="5" t="s">
        <v>355</v>
      </c>
      <c r="Q48988" s="5" t="s">
        <v>355</v>
      </c>
    </row>
    <row r="48989" ht="16.5" customHeight="1">
      <c r="O48989" s="5" t="s">
        <v>355</v>
      </c>
      <c r="P48989" s="5" t="s">
        <v>355</v>
      </c>
      <c r="Q48989" s="5" t="s">
        <v>355</v>
      </c>
    </row>
    <row r="48990" ht="16.5" customHeight="1">
      <c r="O48990" s="5" t="s">
        <v>355</v>
      </c>
      <c r="P48990" s="5" t="s">
        <v>355</v>
      </c>
      <c r="Q48990" s="5" t="s">
        <v>355</v>
      </c>
    </row>
    <row r="48991" ht="16.5" customHeight="1">
      <c r="O48991" s="5" t="s">
        <v>355</v>
      </c>
      <c r="P48991" s="5" t="s">
        <v>355</v>
      </c>
      <c r="Q48991" s="5" t="s">
        <v>355</v>
      </c>
    </row>
    <row r="48992" ht="16.5" customHeight="1">
      <c r="O48992" s="5" t="s">
        <v>355</v>
      </c>
      <c r="P48992" s="5" t="s">
        <v>355</v>
      </c>
      <c r="Q48992" s="5" t="s">
        <v>355</v>
      </c>
    </row>
    <row r="48993" ht="16.5" customHeight="1">
      <c r="O48993" s="5" t="s">
        <v>355</v>
      </c>
      <c r="P48993" s="5" t="s">
        <v>355</v>
      </c>
      <c r="Q48993" s="5" t="s">
        <v>355</v>
      </c>
    </row>
    <row r="48994" ht="16.5" customHeight="1">
      <c r="O48994" s="5" t="s">
        <v>355</v>
      </c>
      <c r="P48994" s="5" t="s">
        <v>355</v>
      </c>
      <c r="Q48994" s="5" t="s">
        <v>355</v>
      </c>
    </row>
    <row r="48995" ht="16.5" customHeight="1">
      <c r="O48995" s="5" t="s">
        <v>355</v>
      </c>
      <c r="P48995" s="5" t="s">
        <v>355</v>
      </c>
      <c r="Q48995" s="5" t="s">
        <v>355</v>
      </c>
    </row>
    <row r="48996" ht="16.5" customHeight="1">
      <c r="O48996" s="5" t="s">
        <v>355</v>
      </c>
      <c r="P48996" s="5" t="s">
        <v>355</v>
      </c>
      <c r="Q48996" s="5" t="s">
        <v>355</v>
      </c>
    </row>
    <row r="48997" ht="16.5" customHeight="1">
      <c r="O48997" s="5" t="s">
        <v>355</v>
      </c>
      <c r="P48997" s="5" t="s">
        <v>355</v>
      </c>
      <c r="Q48997" s="5" t="s">
        <v>355</v>
      </c>
    </row>
    <row r="48998" ht="16.5" customHeight="1">
      <c r="O48998" s="5" t="s">
        <v>355</v>
      </c>
      <c r="P48998" s="5" t="s">
        <v>355</v>
      </c>
      <c r="Q48998" s="5" t="s">
        <v>355</v>
      </c>
    </row>
    <row r="48999" ht="16.5" customHeight="1">
      <c r="O48999" s="5" t="s">
        <v>355</v>
      </c>
      <c r="P48999" s="5" t="s">
        <v>355</v>
      </c>
      <c r="Q48999" s="5" t="s">
        <v>355</v>
      </c>
    </row>
    <row r="49000" ht="16.5" customHeight="1">
      <c r="O49000" s="5" t="s">
        <v>355</v>
      </c>
      <c r="P49000" s="5" t="s">
        <v>355</v>
      </c>
      <c r="Q49000" s="5" t="s">
        <v>355</v>
      </c>
    </row>
    <row r="49001" ht="16.5" customHeight="1">
      <c r="O49001" s="5" t="s">
        <v>355</v>
      </c>
      <c r="P49001" s="5" t="s">
        <v>355</v>
      </c>
      <c r="Q49001" s="5" t="s">
        <v>355</v>
      </c>
    </row>
    <row r="49002" ht="16.5" customHeight="1">
      <c r="O49002" s="5" t="s">
        <v>355</v>
      </c>
      <c r="P49002" s="5" t="s">
        <v>355</v>
      </c>
      <c r="Q49002" s="5" t="s">
        <v>355</v>
      </c>
    </row>
    <row r="49003" ht="16.5" customHeight="1">
      <c r="O49003" s="5" t="s">
        <v>355</v>
      </c>
      <c r="P49003" s="5" t="s">
        <v>355</v>
      </c>
      <c r="Q49003" s="5" t="s">
        <v>355</v>
      </c>
    </row>
    <row r="49004" ht="16.5" customHeight="1">
      <c r="O49004" s="5" t="s">
        <v>355</v>
      </c>
      <c r="P49004" s="5" t="s">
        <v>355</v>
      </c>
      <c r="Q49004" s="5" t="s">
        <v>355</v>
      </c>
    </row>
    <row r="49005" ht="16.5" customHeight="1">
      <c r="O49005" s="5" t="s">
        <v>355</v>
      </c>
      <c r="P49005" s="5" t="s">
        <v>355</v>
      </c>
      <c r="Q49005" s="5" t="s">
        <v>355</v>
      </c>
    </row>
    <row r="49006" ht="16.5" customHeight="1">
      <c r="O49006" s="5" t="s">
        <v>355</v>
      </c>
      <c r="P49006" s="5" t="s">
        <v>355</v>
      </c>
      <c r="Q49006" s="5" t="s">
        <v>355</v>
      </c>
    </row>
    <row r="49007" ht="16.5" customHeight="1">
      <c r="O49007" s="5" t="s">
        <v>355</v>
      </c>
      <c r="P49007" s="5" t="s">
        <v>355</v>
      </c>
      <c r="Q49007" s="5" t="s">
        <v>355</v>
      </c>
    </row>
    <row r="49008" ht="16.5" customHeight="1">
      <c r="O49008" s="5" t="s">
        <v>355</v>
      </c>
      <c r="P49008" s="5" t="s">
        <v>355</v>
      </c>
      <c r="Q49008" s="5" t="s">
        <v>355</v>
      </c>
    </row>
    <row r="49009" ht="16.5" customHeight="1">
      <c r="O49009" s="5" t="s">
        <v>355</v>
      </c>
      <c r="P49009" s="5" t="s">
        <v>355</v>
      </c>
      <c r="Q49009" s="5" t="s">
        <v>355</v>
      </c>
    </row>
    <row r="49010" ht="16.5" customHeight="1">
      <c r="O49010" s="5" t="s">
        <v>355</v>
      </c>
      <c r="P49010" s="5" t="s">
        <v>355</v>
      </c>
      <c r="Q49010" s="5" t="s">
        <v>355</v>
      </c>
    </row>
    <row r="49011" ht="16.5" customHeight="1">
      <c r="O49011" s="5" t="s">
        <v>355</v>
      </c>
      <c r="P49011" s="5" t="s">
        <v>355</v>
      </c>
      <c r="Q49011" s="5" t="s">
        <v>355</v>
      </c>
    </row>
    <row r="49012" ht="16.5" customHeight="1">
      <c r="O49012" s="5" t="s">
        <v>355</v>
      </c>
      <c r="P49012" s="5" t="s">
        <v>355</v>
      </c>
      <c r="Q49012" s="5" t="s">
        <v>355</v>
      </c>
    </row>
    <row r="49013" ht="16.5" customHeight="1">
      <c r="O49013" s="5" t="s">
        <v>355</v>
      </c>
      <c r="P49013" s="5" t="s">
        <v>355</v>
      </c>
      <c r="Q49013" s="5" t="s">
        <v>355</v>
      </c>
    </row>
    <row r="49014" ht="16.5" customHeight="1">
      <c r="O49014" s="5" t="s">
        <v>355</v>
      </c>
      <c r="P49014" s="5" t="s">
        <v>355</v>
      </c>
      <c r="Q49014" s="5" t="s">
        <v>355</v>
      </c>
    </row>
    <row r="49015" ht="16.5" customHeight="1">
      <c r="O49015" s="5" t="s">
        <v>355</v>
      </c>
      <c r="P49015" s="5" t="s">
        <v>355</v>
      </c>
      <c r="Q49015" s="5" t="s">
        <v>355</v>
      </c>
    </row>
    <row r="49016" ht="16.5" customHeight="1">
      <c r="O49016" s="5" t="s">
        <v>355</v>
      </c>
      <c r="P49016" s="5" t="s">
        <v>355</v>
      </c>
      <c r="Q49016" s="5" t="s">
        <v>355</v>
      </c>
    </row>
    <row r="49017" ht="16.5" customHeight="1">
      <c r="O49017" s="5" t="s">
        <v>355</v>
      </c>
      <c r="P49017" s="5" t="s">
        <v>355</v>
      </c>
      <c r="Q49017" s="5" t="s">
        <v>355</v>
      </c>
    </row>
    <row r="49018" ht="16.5" customHeight="1">
      <c r="O49018" s="5" t="s">
        <v>355</v>
      </c>
      <c r="P49018" s="5" t="s">
        <v>355</v>
      </c>
      <c r="Q49018" s="5" t="s">
        <v>355</v>
      </c>
    </row>
    <row r="49019" ht="16.5" customHeight="1">
      <c r="O49019" s="5" t="s">
        <v>355</v>
      </c>
      <c r="P49019" s="5" t="s">
        <v>355</v>
      </c>
      <c r="Q49019" s="5" t="s">
        <v>355</v>
      </c>
    </row>
    <row r="49020" ht="16.5" customHeight="1">
      <c r="O49020" s="5" t="s">
        <v>355</v>
      </c>
      <c r="P49020" s="5" t="s">
        <v>355</v>
      </c>
      <c r="Q49020" s="5" t="s">
        <v>355</v>
      </c>
    </row>
    <row r="49021" ht="16.5" customHeight="1">
      <c r="O49021" s="5" t="s">
        <v>355</v>
      </c>
      <c r="P49021" s="5" t="s">
        <v>355</v>
      </c>
      <c r="Q49021" s="5" t="s">
        <v>355</v>
      </c>
    </row>
    <row r="49022" ht="16.5" customHeight="1">
      <c r="O49022" s="5" t="s">
        <v>355</v>
      </c>
      <c r="P49022" s="5" t="s">
        <v>355</v>
      </c>
      <c r="Q49022" s="5" t="s">
        <v>355</v>
      </c>
    </row>
    <row r="49023" ht="16.5" customHeight="1">
      <c r="O49023" s="5" t="s">
        <v>355</v>
      </c>
      <c r="P49023" s="5" t="s">
        <v>355</v>
      </c>
      <c r="Q49023" s="5" t="s">
        <v>355</v>
      </c>
    </row>
    <row r="49024" ht="16.5" customHeight="1">
      <c r="O49024" s="5" t="s">
        <v>355</v>
      </c>
      <c r="P49024" s="5" t="s">
        <v>355</v>
      </c>
      <c r="Q49024" s="5" t="s">
        <v>355</v>
      </c>
    </row>
    <row r="49025" ht="16.5" customHeight="1">
      <c r="O49025" s="5" t="s">
        <v>355</v>
      </c>
      <c r="P49025" s="5" t="s">
        <v>355</v>
      </c>
      <c r="Q49025" s="5" t="s">
        <v>355</v>
      </c>
    </row>
    <row r="49026" ht="16.5" customHeight="1">
      <c r="O49026" s="5" t="s">
        <v>355</v>
      </c>
      <c r="P49026" s="5" t="s">
        <v>355</v>
      </c>
      <c r="Q49026" s="5" t="s">
        <v>355</v>
      </c>
    </row>
    <row r="49027" ht="16.5" customHeight="1">
      <c r="O49027" s="5" t="s">
        <v>355</v>
      </c>
      <c r="P49027" s="5" t="s">
        <v>355</v>
      </c>
      <c r="Q49027" s="5" t="s">
        <v>355</v>
      </c>
    </row>
    <row r="49028" ht="16.5" customHeight="1">
      <c r="O49028" s="5" t="s">
        <v>355</v>
      </c>
      <c r="P49028" s="5" t="s">
        <v>355</v>
      </c>
      <c r="Q49028" s="5" t="s">
        <v>355</v>
      </c>
    </row>
    <row r="49029" ht="16.5" customHeight="1">
      <c r="O49029" s="5" t="s">
        <v>355</v>
      </c>
      <c r="P49029" s="5" t="s">
        <v>355</v>
      </c>
      <c r="Q49029" s="5" t="s">
        <v>355</v>
      </c>
    </row>
    <row r="49030" ht="16.5" customHeight="1">
      <c r="O49030" s="5" t="s">
        <v>355</v>
      </c>
      <c r="P49030" s="5" t="s">
        <v>355</v>
      </c>
      <c r="Q49030" s="5" t="s">
        <v>355</v>
      </c>
    </row>
    <row r="49031" ht="16.5" customHeight="1">
      <c r="O49031" s="5" t="s">
        <v>355</v>
      </c>
      <c r="P49031" s="5" t="s">
        <v>355</v>
      </c>
      <c r="Q49031" s="5" t="s">
        <v>355</v>
      </c>
    </row>
    <row r="49032" ht="16.5" customHeight="1">
      <c r="O49032" s="5" t="s">
        <v>355</v>
      </c>
      <c r="P49032" s="5" t="s">
        <v>355</v>
      </c>
      <c r="Q49032" s="5" t="s">
        <v>355</v>
      </c>
    </row>
    <row r="49033" ht="16.5" customHeight="1">
      <c r="O49033" s="5" t="s">
        <v>355</v>
      </c>
      <c r="P49033" s="5" t="s">
        <v>355</v>
      </c>
      <c r="Q49033" s="5" t="s">
        <v>355</v>
      </c>
    </row>
    <row r="49034" ht="16.5" customHeight="1">
      <c r="O49034" s="5" t="s">
        <v>355</v>
      </c>
      <c r="P49034" s="5" t="s">
        <v>355</v>
      </c>
      <c r="Q49034" s="5" t="s">
        <v>355</v>
      </c>
    </row>
    <row r="49035" ht="16.5" customHeight="1">
      <c r="O49035" s="5" t="s">
        <v>355</v>
      </c>
      <c r="P49035" s="5" t="s">
        <v>355</v>
      </c>
      <c r="Q49035" s="5" t="s">
        <v>355</v>
      </c>
    </row>
    <row r="49036" ht="16.5" customHeight="1">
      <c r="O49036" s="5" t="s">
        <v>355</v>
      </c>
      <c r="P49036" s="5" t="s">
        <v>355</v>
      </c>
      <c r="Q49036" s="5" t="s">
        <v>355</v>
      </c>
    </row>
    <row r="49037" ht="16.5" customHeight="1">
      <c r="O49037" s="5" t="s">
        <v>355</v>
      </c>
      <c r="P49037" s="5" t="s">
        <v>355</v>
      </c>
      <c r="Q49037" s="5" t="s">
        <v>355</v>
      </c>
    </row>
    <row r="49038" ht="16.5" customHeight="1">
      <c r="O49038" s="5" t="s">
        <v>355</v>
      </c>
      <c r="P49038" s="5" t="s">
        <v>355</v>
      </c>
      <c r="Q49038" s="5" t="s">
        <v>355</v>
      </c>
    </row>
    <row r="49039" ht="16.5" customHeight="1">
      <c r="O49039" s="5" t="s">
        <v>355</v>
      </c>
      <c r="P49039" s="5" t="s">
        <v>355</v>
      </c>
      <c r="Q49039" s="5" t="s">
        <v>355</v>
      </c>
    </row>
    <row r="49040" ht="16.5" customHeight="1">
      <c r="O49040" s="5" t="s">
        <v>355</v>
      </c>
      <c r="P49040" s="5" t="s">
        <v>355</v>
      </c>
      <c r="Q49040" s="5" t="s">
        <v>355</v>
      </c>
    </row>
    <row r="49041" ht="16.5" customHeight="1">
      <c r="O49041" s="5" t="s">
        <v>355</v>
      </c>
      <c r="P49041" s="5" t="s">
        <v>355</v>
      </c>
      <c r="Q49041" s="5" t="s">
        <v>355</v>
      </c>
    </row>
    <row r="49042" ht="16.5" customHeight="1">
      <c r="O49042" s="5" t="s">
        <v>355</v>
      </c>
      <c r="P49042" s="5" t="s">
        <v>355</v>
      </c>
      <c r="Q49042" s="5" t="s">
        <v>355</v>
      </c>
    </row>
    <row r="49043" ht="16.5" customHeight="1">
      <c r="O49043" s="5" t="s">
        <v>355</v>
      </c>
      <c r="P49043" s="5" t="s">
        <v>355</v>
      </c>
      <c r="Q49043" s="5" t="s">
        <v>355</v>
      </c>
    </row>
    <row r="49044" ht="16.5" customHeight="1">
      <c r="O49044" s="5" t="s">
        <v>355</v>
      </c>
      <c r="P49044" s="5" t="s">
        <v>355</v>
      </c>
      <c r="Q49044" s="5" t="s">
        <v>355</v>
      </c>
    </row>
    <row r="49045" ht="16.5" customHeight="1">
      <c r="O49045" s="5" t="s">
        <v>355</v>
      </c>
      <c r="P49045" s="5" t="s">
        <v>355</v>
      </c>
      <c r="Q49045" s="5" t="s">
        <v>355</v>
      </c>
    </row>
    <row r="49046" ht="16.5" customHeight="1">
      <c r="O49046" s="5" t="s">
        <v>355</v>
      </c>
      <c r="P49046" s="5" t="s">
        <v>355</v>
      </c>
      <c r="Q49046" s="5" t="s">
        <v>355</v>
      </c>
    </row>
    <row r="49047" ht="16.5" customHeight="1">
      <c r="O49047" s="5" t="s">
        <v>355</v>
      </c>
      <c r="P49047" s="5" t="s">
        <v>355</v>
      </c>
      <c r="Q49047" s="5" t="s">
        <v>355</v>
      </c>
    </row>
    <row r="49048" ht="16.5" customHeight="1">
      <c r="O49048" s="5" t="s">
        <v>355</v>
      </c>
      <c r="P49048" s="5" t="s">
        <v>355</v>
      </c>
      <c r="Q49048" s="5" t="s">
        <v>355</v>
      </c>
    </row>
    <row r="49049" ht="16.5" customHeight="1">
      <c r="O49049" s="5" t="s">
        <v>355</v>
      </c>
      <c r="P49049" s="5" t="s">
        <v>355</v>
      </c>
      <c r="Q49049" s="5" t="s">
        <v>355</v>
      </c>
    </row>
    <row r="49050" ht="16.5" customHeight="1">
      <c r="O49050" s="5" t="s">
        <v>355</v>
      </c>
      <c r="P49050" s="5" t="s">
        <v>355</v>
      </c>
      <c r="Q49050" s="5" t="s">
        <v>355</v>
      </c>
    </row>
    <row r="49051" ht="16.5" customHeight="1">
      <c r="O49051" s="5" t="s">
        <v>355</v>
      </c>
      <c r="P49051" s="5" t="s">
        <v>355</v>
      </c>
      <c r="Q49051" s="5" t="s">
        <v>355</v>
      </c>
    </row>
    <row r="49052" ht="16.5" customHeight="1">
      <c r="O49052" s="5" t="s">
        <v>355</v>
      </c>
      <c r="P49052" s="5" t="s">
        <v>355</v>
      </c>
      <c r="Q49052" s="5" t="s">
        <v>355</v>
      </c>
    </row>
    <row r="49053" ht="16.5" customHeight="1">
      <c r="O49053" s="5" t="s">
        <v>355</v>
      </c>
      <c r="P49053" s="5" t="s">
        <v>355</v>
      </c>
      <c r="Q49053" s="5" t="s">
        <v>355</v>
      </c>
    </row>
    <row r="49054" ht="16.5" customHeight="1">
      <c r="O49054" s="5" t="s">
        <v>355</v>
      </c>
      <c r="P49054" s="5" t="s">
        <v>355</v>
      </c>
      <c r="Q49054" s="5" t="s">
        <v>355</v>
      </c>
    </row>
    <row r="49055" ht="16.5" customHeight="1">
      <c r="O49055" s="5" t="s">
        <v>355</v>
      </c>
      <c r="P49055" s="5" t="s">
        <v>355</v>
      </c>
      <c r="Q49055" s="5" t="s">
        <v>355</v>
      </c>
    </row>
    <row r="49056" ht="16.5" customHeight="1">
      <c r="O49056" s="5" t="s">
        <v>355</v>
      </c>
      <c r="P49056" s="5" t="s">
        <v>355</v>
      </c>
      <c r="Q49056" s="5" t="s">
        <v>355</v>
      </c>
    </row>
    <row r="49057" ht="16.5" customHeight="1">
      <c r="O49057" s="5" t="s">
        <v>355</v>
      </c>
      <c r="P49057" s="5" t="s">
        <v>355</v>
      </c>
      <c r="Q49057" s="5" t="s">
        <v>355</v>
      </c>
    </row>
    <row r="49058" ht="16.5" customHeight="1">
      <c r="O49058" s="5" t="s">
        <v>355</v>
      </c>
      <c r="P49058" s="5" t="s">
        <v>355</v>
      </c>
      <c r="Q49058" s="5" t="s">
        <v>355</v>
      </c>
    </row>
    <row r="49059" ht="16.5" customHeight="1">
      <c r="O49059" s="5" t="s">
        <v>355</v>
      </c>
      <c r="P49059" s="5" t="s">
        <v>355</v>
      </c>
      <c r="Q49059" s="5" t="s">
        <v>355</v>
      </c>
    </row>
    <row r="49060" ht="16.5" customHeight="1">
      <c r="O49060" s="5" t="s">
        <v>355</v>
      </c>
      <c r="P49060" s="5" t="s">
        <v>355</v>
      </c>
      <c r="Q49060" s="5" t="s">
        <v>355</v>
      </c>
    </row>
    <row r="49061" ht="16.5" customHeight="1">
      <c r="O49061" s="5" t="s">
        <v>355</v>
      </c>
      <c r="P49061" s="5" t="s">
        <v>355</v>
      </c>
      <c r="Q49061" s="5" t="s">
        <v>355</v>
      </c>
    </row>
    <row r="49062" ht="16.5" customHeight="1">
      <c r="O49062" s="5" t="s">
        <v>355</v>
      </c>
      <c r="P49062" s="5" t="s">
        <v>355</v>
      </c>
      <c r="Q49062" s="5" t="s">
        <v>355</v>
      </c>
    </row>
    <row r="49063" ht="16.5" customHeight="1">
      <c r="O49063" s="5" t="s">
        <v>355</v>
      </c>
      <c r="P49063" s="5" t="s">
        <v>355</v>
      </c>
      <c r="Q49063" s="5" t="s">
        <v>355</v>
      </c>
    </row>
    <row r="49064" ht="16.5" customHeight="1">
      <c r="O49064" s="5" t="s">
        <v>355</v>
      </c>
      <c r="P49064" s="5" t="s">
        <v>355</v>
      </c>
      <c r="Q49064" s="5" t="s">
        <v>355</v>
      </c>
    </row>
    <row r="49065" ht="16.5" customHeight="1">
      <c r="O49065" s="5" t="s">
        <v>355</v>
      </c>
      <c r="P49065" s="5" t="s">
        <v>355</v>
      </c>
      <c r="Q49065" s="5" t="s">
        <v>355</v>
      </c>
    </row>
    <row r="49066" ht="16.5" customHeight="1">
      <c r="O49066" s="5" t="s">
        <v>355</v>
      </c>
      <c r="P49066" s="5" t="s">
        <v>355</v>
      </c>
      <c r="Q49066" s="5" t="s">
        <v>355</v>
      </c>
    </row>
    <row r="49067" ht="16.5" customHeight="1">
      <c r="O49067" s="5" t="s">
        <v>355</v>
      </c>
      <c r="P49067" s="5" t="s">
        <v>355</v>
      </c>
      <c r="Q49067" s="5" t="s">
        <v>355</v>
      </c>
    </row>
    <row r="49068" ht="16.5" customHeight="1">
      <c r="O49068" s="5" t="s">
        <v>355</v>
      </c>
      <c r="P49068" s="5" t="s">
        <v>355</v>
      </c>
      <c r="Q49068" s="5" t="s">
        <v>355</v>
      </c>
    </row>
    <row r="49069" ht="16.5" customHeight="1">
      <c r="O49069" s="5" t="s">
        <v>355</v>
      </c>
      <c r="P49069" s="5" t="s">
        <v>355</v>
      </c>
      <c r="Q49069" s="5" t="s">
        <v>355</v>
      </c>
    </row>
    <row r="49070" ht="16.5" customHeight="1">
      <c r="O49070" s="5" t="s">
        <v>355</v>
      </c>
      <c r="P49070" s="5" t="s">
        <v>355</v>
      </c>
      <c r="Q49070" s="5" t="s">
        <v>355</v>
      </c>
    </row>
    <row r="49071" ht="16.5" customHeight="1">
      <c r="O49071" s="5" t="s">
        <v>355</v>
      </c>
      <c r="P49071" s="5" t="s">
        <v>355</v>
      </c>
      <c r="Q49071" s="5" t="s">
        <v>355</v>
      </c>
    </row>
    <row r="49072" ht="16.5" customHeight="1">
      <c r="O49072" s="5" t="s">
        <v>355</v>
      </c>
      <c r="P49072" s="5" t="s">
        <v>355</v>
      </c>
      <c r="Q49072" s="5" t="s">
        <v>355</v>
      </c>
    </row>
    <row r="49073" ht="16.5" customHeight="1">
      <c r="O49073" s="5" t="s">
        <v>355</v>
      </c>
      <c r="P49073" s="5" t="s">
        <v>355</v>
      </c>
      <c r="Q49073" s="5" t="s">
        <v>355</v>
      </c>
    </row>
    <row r="49074" ht="16.5" customHeight="1">
      <c r="O49074" s="5" t="s">
        <v>355</v>
      </c>
      <c r="P49074" s="5" t="s">
        <v>355</v>
      </c>
      <c r="Q49074" s="5" t="s">
        <v>355</v>
      </c>
    </row>
    <row r="49075" ht="16.5" customHeight="1">
      <c r="O49075" s="5" t="s">
        <v>355</v>
      </c>
      <c r="P49075" s="5" t="s">
        <v>355</v>
      </c>
      <c r="Q49075" s="5" t="s">
        <v>355</v>
      </c>
    </row>
    <row r="49076" ht="16.5" customHeight="1">
      <c r="O49076" s="5" t="s">
        <v>355</v>
      </c>
      <c r="P49076" s="5" t="s">
        <v>355</v>
      </c>
      <c r="Q49076" s="5" t="s">
        <v>355</v>
      </c>
    </row>
    <row r="49077" ht="16.5" customHeight="1">
      <c r="O49077" s="5" t="s">
        <v>355</v>
      </c>
      <c r="P49077" s="5" t="s">
        <v>355</v>
      </c>
      <c r="Q49077" s="5" t="s">
        <v>355</v>
      </c>
    </row>
    <row r="49078" ht="16.5" customHeight="1">
      <c r="O49078" s="5" t="s">
        <v>355</v>
      </c>
      <c r="P49078" s="5" t="s">
        <v>355</v>
      </c>
      <c r="Q49078" s="5" t="s">
        <v>355</v>
      </c>
    </row>
    <row r="49079" ht="16.5" customHeight="1">
      <c r="O49079" s="5" t="s">
        <v>355</v>
      </c>
      <c r="P49079" s="5" t="s">
        <v>355</v>
      </c>
      <c r="Q49079" s="5" t="s">
        <v>355</v>
      </c>
    </row>
    <row r="49080" ht="16.5" customHeight="1">
      <c r="O49080" s="5" t="s">
        <v>355</v>
      </c>
      <c r="P49080" s="5" t="s">
        <v>355</v>
      </c>
      <c r="Q49080" s="5" t="s">
        <v>355</v>
      </c>
    </row>
    <row r="49081" ht="16.5" customHeight="1">
      <c r="O49081" s="5" t="s">
        <v>355</v>
      </c>
      <c r="P49081" s="5" t="s">
        <v>355</v>
      </c>
      <c r="Q49081" s="5" t="s">
        <v>355</v>
      </c>
    </row>
    <row r="49082" ht="16.5" customHeight="1">
      <c r="O49082" s="5" t="s">
        <v>355</v>
      </c>
      <c r="P49082" s="5" t="s">
        <v>355</v>
      </c>
      <c r="Q49082" s="5" t="s">
        <v>355</v>
      </c>
    </row>
    <row r="49083" ht="16.5" customHeight="1">
      <c r="O49083" s="5" t="s">
        <v>355</v>
      </c>
      <c r="P49083" s="5" t="s">
        <v>355</v>
      </c>
      <c r="Q49083" s="5" t="s">
        <v>355</v>
      </c>
    </row>
    <row r="49084" ht="16.5" customHeight="1">
      <c r="O49084" s="5" t="s">
        <v>355</v>
      </c>
      <c r="P49084" s="5" t="s">
        <v>355</v>
      </c>
      <c r="Q49084" s="5" t="s">
        <v>355</v>
      </c>
    </row>
    <row r="49085" ht="16.5" customHeight="1">
      <c r="O49085" s="5" t="s">
        <v>355</v>
      </c>
      <c r="P49085" s="5" t="s">
        <v>355</v>
      </c>
      <c r="Q49085" s="5" t="s">
        <v>355</v>
      </c>
    </row>
    <row r="49086" ht="16.5" customHeight="1">
      <c r="O49086" s="5" t="s">
        <v>355</v>
      </c>
      <c r="P49086" s="5" t="s">
        <v>355</v>
      </c>
      <c r="Q49086" s="5" t="s">
        <v>355</v>
      </c>
    </row>
    <row r="49087" ht="16.5" customHeight="1">
      <c r="O49087" s="5" t="s">
        <v>355</v>
      </c>
      <c r="P49087" s="5" t="s">
        <v>355</v>
      </c>
      <c r="Q49087" s="5" t="s">
        <v>355</v>
      </c>
    </row>
    <row r="49088" ht="16.5" customHeight="1">
      <c r="O49088" s="5" t="s">
        <v>355</v>
      </c>
      <c r="P49088" s="5" t="s">
        <v>355</v>
      </c>
      <c r="Q49088" s="5" t="s">
        <v>355</v>
      </c>
    </row>
    <row r="49089" ht="16.5" customHeight="1">
      <c r="O49089" s="5" t="s">
        <v>355</v>
      </c>
      <c r="P49089" s="5" t="s">
        <v>355</v>
      </c>
      <c r="Q49089" s="5" t="s">
        <v>355</v>
      </c>
    </row>
    <row r="49090" ht="16.5" customHeight="1">
      <c r="O49090" s="5" t="s">
        <v>355</v>
      </c>
      <c r="P49090" s="5" t="s">
        <v>355</v>
      </c>
      <c r="Q49090" s="5" t="s">
        <v>355</v>
      </c>
    </row>
    <row r="49091" ht="16.5" customHeight="1">
      <c r="O49091" s="5" t="s">
        <v>355</v>
      </c>
      <c r="P49091" s="5" t="s">
        <v>355</v>
      </c>
      <c r="Q49091" s="5" t="s">
        <v>355</v>
      </c>
    </row>
    <row r="49092" ht="16.5" customHeight="1">
      <c r="O49092" s="5" t="s">
        <v>355</v>
      </c>
      <c r="P49092" s="5" t="s">
        <v>355</v>
      </c>
      <c r="Q49092" s="5" t="s">
        <v>355</v>
      </c>
    </row>
    <row r="49093" ht="16.5" customHeight="1">
      <c r="O49093" s="5" t="s">
        <v>355</v>
      </c>
      <c r="P49093" s="5" t="s">
        <v>355</v>
      </c>
      <c r="Q49093" s="5" t="s">
        <v>355</v>
      </c>
    </row>
    <row r="49094" ht="16.5" customHeight="1">
      <c r="O49094" s="5" t="s">
        <v>355</v>
      </c>
      <c r="P49094" s="5" t="s">
        <v>355</v>
      </c>
      <c r="Q49094" s="5" t="s">
        <v>355</v>
      </c>
    </row>
    <row r="49095" ht="16.5" customHeight="1">
      <c r="O49095" s="5" t="s">
        <v>355</v>
      </c>
      <c r="P49095" s="5" t="s">
        <v>355</v>
      </c>
      <c r="Q49095" s="5" t="s">
        <v>355</v>
      </c>
    </row>
    <row r="49096" ht="16.5" customHeight="1">
      <c r="O49096" s="5" t="s">
        <v>355</v>
      </c>
      <c r="P49096" s="5" t="s">
        <v>355</v>
      </c>
      <c r="Q49096" s="5" t="s">
        <v>355</v>
      </c>
    </row>
    <row r="49097" ht="16.5" customHeight="1">
      <c r="O49097" s="5" t="s">
        <v>355</v>
      </c>
      <c r="P49097" s="5" t="s">
        <v>355</v>
      </c>
      <c r="Q49097" s="5" t="s">
        <v>355</v>
      </c>
    </row>
    <row r="49098" ht="16.5" customHeight="1">
      <c r="O49098" s="5" t="s">
        <v>355</v>
      </c>
      <c r="P49098" s="5" t="s">
        <v>355</v>
      </c>
      <c r="Q49098" s="5" t="s">
        <v>355</v>
      </c>
    </row>
    <row r="49099" ht="16.5" customHeight="1">
      <c r="O49099" s="5" t="s">
        <v>355</v>
      </c>
      <c r="P49099" s="5" t="s">
        <v>355</v>
      </c>
      <c r="Q49099" s="5" t="s">
        <v>355</v>
      </c>
    </row>
    <row r="49100" ht="16.5" customHeight="1">
      <c r="O49100" s="5" t="s">
        <v>355</v>
      </c>
      <c r="P49100" s="5" t="s">
        <v>355</v>
      </c>
      <c r="Q49100" s="5" t="s">
        <v>355</v>
      </c>
    </row>
    <row r="49101" ht="16.5" customHeight="1">
      <c r="O49101" s="5" t="s">
        <v>355</v>
      </c>
      <c r="P49101" s="5" t="s">
        <v>355</v>
      </c>
      <c r="Q49101" s="5" t="s">
        <v>355</v>
      </c>
    </row>
    <row r="49102" ht="16.5" customHeight="1">
      <c r="O49102" s="5" t="s">
        <v>355</v>
      </c>
      <c r="P49102" s="5" t="s">
        <v>355</v>
      </c>
      <c r="Q49102" s="5" t="s">
        <v>355</v>
      </c>
    </row>
    <row r="49103" ht="16.5" customHeight="1">
      <c r="O49103" s="5" t="s">
        <v>355</v>
      </c>
      <c r="P49103" s="5" t="s">
        <v>355</v>
      </c>
      <c r="Q49103" s="5" t="s">
        <v>355</v>
      </c>
    </row>
    <row r="49104" ht="16.5" customHeight="1">
      <c r="O49104" s="5" t="s">
        <v>355</v>
      </c>
      <c r="P49104" s="5" t="s">
        <v>355</v>
      </c>
      <c r="Q49104" s="5" t="s">
        <v>355</v>
      </c>
    </row>
    <row r="49105" ht="16.5" customHeight="1">
      <c r="O49105" s="5" t="s">
        <v>355</v>
      </c>
      <c r="P49105" s="5" t="s">
        <v>355</v>
      </c>
      <c r="Q49105" s="5" t="s">
        <v>355</v>
      </c>
    </row>
    <row r="49106" ht="16.5" customHeight="1">
      <c r="O49106" s="5" t="s">
        <v>355</v>
      </c>
      <c r="P49106" s="5" t="s">
        <v>355</v>
      </c>
      <c r="Q49106" s="5" t="s">
        <v>355</v>
      </c>
    </row>
    <row r="49107" ht="16.5" customHeight="1">
      <c r="O49107" s="5" t="s">
        <v>355</v>
      </c>
      <c r="P49107" s="5" t="s">
        <v>355</v>
      </c>
      <c r="Q49107" s="5" t="s">
        <v>355</v>
      </c>
    </row>
    <row r="49108" ht="16.5" customHeight="1">
      <c r="O49108" s="5" t="s">
        <v>355</v>
      </c>
      <c r="P49108" s="5" t="s">
        <v>355</v>
      </c>
      <c r="Q49108" s="5" t="s">
        <v>355</v>
      </c>
    </row>
    <row r="49109" ht="16.5" customHeight="1">
      <c r="O49109" s="5" t="s">
        <v>355</v>
      </c>
      <c r="P49109" s="5" t="s">
        <v>355</v>
      </c>
      <c r="Q49109" s="5" t="s">
        <v>355</v>
      </c>
    </row>
    <row r="49110" ht="16.5" customHeight="1">
      <c r="O49110" s="5" t="s">
        <v>355</v>
      </c>
      <c r="P49110" s="5" t="s">
        <v>355</v>
      </c>
      <c r="Q49110" s="5" t="s">
        <v>355</v>
      </c>
    </row>
    <row r="49111" ht="16.5" customHeight="1">
      <c r="O49111" s="5" t="s">
        <v>355</v>
      </c>
      <c r="P49111" s="5" t="s">
        <v>355</v>
      </c>
      <c r="Q49111" s="5" t="s">
        <v>355</v>
      </c>
    </row>
    <row r="49112" ht="16.5" customHeight="1">
      <c r="O49112" s="5" t="s">
        <v>355</v>
      </c>
      <c r="P49112" s="5" t="s">
        <v>355</v>
      </c>
      <c r="Q49112" s="5" t="s">
        <v>355</v>
      </c>
    </row>
    <row r="49113" ht="16.5" customHeight="1">
      <c r="O49113" s="5" t="s">
        <v>355</v>
      </c>
      <c r="P49113" s="5" t="s">
        <v>355</v>
      </c>
      <c r="Q49113" s="5" t="s">
        <v>355</v>
      </c>
    </row>
    <row r="49114" ht="16.5" customHeight="1">
      <c r="O49114" s="5" t="s">
        <v>355</v>
      </c>
      <c r="P49114" s="5" t="s">
        <v>355</v>
      </c>
      <c r="Q49114" s="5" t="s">
        <v>355</v>
      </c>
    </row>
    <row r="49115" ht="16.5" customHeight="1">
      <c r="O49115" s="5" t="s">
        <v>355</v>
      </c>
      <c r="P49115" s="5" t="s">
        <v>355</v>
      </c>
      <c r="Q49115" s="5" t="s">
        <v>355</v>
      </c>
    </row>
    <row r="49116" ht="16.5" customHeight="1">
      <c r="O49116" s="5" t="s">
        <v>355</v>
      </c>
      <c r="P49116" s="5" t="s">
        <v>355</v>
      </c>
      <c r="Q49116" s="5" t="s">
        <v>355</v>
      </c>
    </row>
    <row r="49117" ht="16.5" customHeight="1">
      <c r="O49117" s="5" t="s">
        <v>355</v>
      </c>
      <c r="P49117" s="5" t="s">
        <v>355</v>
      </c>
      <c r="Q49117" s="5" t="s">
        <v>355</v>
      </c>
    </row>
    <row r="49118" ht="16.5" customHeight="1">
      <c r="O49118" s="5" t="s">
        <v>355</v>
      </c>
      <c r="P49118" s="5" t="s">
        <v>355</v>
      </c>
      <c r="Q49118" s="5" t="s">
        <v>355</v>
      </c>
    </row>
    <row r="49119" ht="16.5" customHeight="1">
      <c r="O49119" s="5" t="s">
        <v>355</v>
      </c>
      <c r="P49119" s="5" t="s">
        <v>355</v>
      </c>
      <c r="Q49119" s="5" t="s">
        <v>355</v>
      </c>
    </row>
    <row r="49120" ht="16.5" customHeight="1">
      <c r="O49120" s="5" t="s">
        <v>355</v>
      </c>
      <c r="P49120" s="5" t="s">
        <v>355</v>
      </c>
      <c r="Q49120" s="5" t="s">
        <v>355</v>
      </c>
    </row>
    <row r="49121" ht="16.5" customHeight="1">
      <c r="O49121" s="5" t="s">
        <v>355</v>
      </c>
      <c r="P49121" s="5" t="s">
        <v>355</v>
      </c>
      <c r="Q49121" s="5" t="s">
        <v>355</v>
      </c>
    </row>
    <row r="49122" ht="16.5" customHeight="1">
      <c r="O49122" s="5" t="s">
        <v>355</v>
      </c>
      <c r="P49122" s="5" t="s">
        <v>355</v>
      </c>
      <c r="Q49122" s="5" t="s">
        <v>355</v>
      </c>
    </row>
    <row r="49123" ht="16.5" customHeight="1">
      <c r="O49123" s="5" t="s">
        <v>355</v>
      </c>
      <c r="P49123" s="5" t="s">
        <v>355</v>
      </c>
      <c r="Q49123" s="5" t="s">
        <v>355</v>
      </c>
    </row>
    <row r="49124" ht="16.5" customHeight="1">
      <c r="O49124" s="5" t="s">
        <v>355</v>
      </c>
      <c r="P49124" s="5" t="s">
        <v>355</v>
      </c>
      <c r="Q49124" s="5" t="s">
        <v>355</v>
      </c>
    </row>
    <row r="49125" ht="16.5" customHeight="1">
      <c r="O49125" s="5" t="s">
        <v>355</v>
      </c>
      <c r="P49125" s="5" t="s">
        <v>355</v>
      </c>
      <c r="Q49125" s="5" t="s">
        <v>355</v>
      </c>
    </row>
    <row r="49126" ht="16.5" customHeight="1">
      <c r="O49126" s="5" t="s">
        <v>355</v>
      </c>
      <c r="P49126" s="5" t="s">
        <v>355</v>
      </c>
      <c r="Q49126" s="5" t="s">
        <v>355</v>
      </c>
    </row>
    <row r="49127" ht="16.5" customHeight="1">
      <c r="O49127" s="5" t="s">
        <v>355</v>
      </c>
      <c r="P49127" s="5" t="s">
        <v>355</v>
      </c>
      <c r="Q49127" s="5" t="s">
        <v>355</v>
      </c>
    </row>
    <row r="49128" ht="16.5" customHeight="1">
      <c r="O49128" s="5" t="s">
        <v>355</v>
      </c>
      <c r="P49128" s="5" t="s">
        <v>355</v>
      </c>
      <c r="Q49128" s="5" t="s">
        <v>355</v>
      </c>
    </row>
    <row r="49129" ht="16.5" customHeight="1">
      <c r="O49129" s="5" t="s">
        <v>355</v>
      </c>
      <c r="P49129" s="5" t="s">
        <v>355</v>
      </c>
      <c r="Q49129" s="5" t="s">
        <v>355</v>
      </c>
    </row>
    <row r="49130" ht="16.5" customHeight="1">
      <c r="O49130" s="5" t="s">
        <v>355</v>
      </c>
      <c r="P49130" s="5" t="s">
        <v>355</v>
      </c>
      <c r="Q49130" s="5" t="s">
        <v>355</v>
      </c>
    </row>
    <row r="49131" ht="16.5" customHeight="1">
      <c r="O49131" s="5" t="s">
        <v>355</v>
      </c>
      <c r="P49131" s="5" t="s">
        <v>355</v>
      </c>
      <c r="Q49131" s="5" t="s">
        <v>355</v>
      </c>
    </row>
    <row r="49132" ht="16.5" customHeight="1">
      <c r="O49132" s="5" t="s">
        <v>355</v>
      </c>
      <c r="P49132" s="5" t="s">
        <v>355</v>
      </c>
      <c r="Q49132" s="5" t="s">
        <v>355</v>
      </c>
    </row>
    <row r="49133" ht="16.5" customHeight="1">
      <c r="O49133" s="5" t="s">
        <v>355</v>
      </c>
      <c r="P49133" s="5" t="s">
        <v>355</v>
      </c>
      <c r="Q49133" s="5" t="s">
        <v>355</v>
      </c>
    </row>
    <row r="49134" ht="16.5" customHeight="1">
      <c r="O49134" s="5" t="s">
        <v>355</v>
      </c>
      <c r="P49134" s="5" t="s">
        <v>355</v>
      </c>
      <c r="Q49134" s="5" t="s">
        <v>355</v>
      </c>
    </row>
    <row r="49135" ht="16.5" customHeight="1">
      <c r="O49135" s="5" t="s">
        <v>355</v>
      </c>
      <c r="P49135" s="5" t="s">
        <v>355</v>
      </c>
      <c r="Q49135" s="5" t="s">
        <v>355</v>
      </c>
    </row>
    <row r="49136" ht="16.5" customHeight="1">
      <c r="O49136" s="5" t="s">
        <v>355</v>
      </c>
      <c r="P49136" s="5" t="s">
        <v>355</v>
      </c>
      <c r="Q49136" s="5" t="s">
        <v>355</v>
      </c>
    </row>
    <row r="49137" ht="16.5" customHeight="1">
      <c r="O49137" s="5" t="s">
        <v>355</v>
      </c>
      <c r="P49137" s="5" t="s">
        <v>355</v>
      </c>
      <c r="Q49137" s="5" t="s">
        <v>355</v>
      </c>
    </row>
    <row r="49138" ht="16.5" customHeight="1">
      <c r="O49138" s="5" t="s">
        <v>355</v>
      </c>
      <c r="P49138" s="5" t="s">
        <v>355</v>
      </c>
      <c r="Q49138" s="5" t="s">
        <v>355</v>
      </c>
    </row>
    <row r="49139" ht="16.5" customHeight="1">
      <c r="O49139" s="5" t="s">
        <v>355</v>
      </c>
      <c r="P49139" s="5" t="s">
        <v>355</v>
      </c>
      <c r="Q49139" s="5" t="s">
        <v>355</v>
      </c>
    </row>
    <row r="49140" ht="16.5" customHeight="1">
      <c r="O49140" s="5" t="s">
        <v>355</v>
      </c>
      <c r="P49140" s="5" t="s">
        <v>355</v>
      </c>
      <c r="Q49140" s="5" t="s">
        <v>355</v>
      </c>
    </row>
    <row r="49141" ht="16.5" customHeight="1">
      <c r="O49141" s="5" t="s">
        <v>355</v>
      </c>
      <c r="P49141" s="5" t="s">
        <v>355</v>
      </c>
      <c r="Q49141" s="5" t="s">
        <v>355</v>
      </c>
    </row>
    <row r="49142" ht="16.5" customHeight="1">
      <c r="O49142" s="5" t="s">
        <v>355</v>
      </c>
      <c r="P49142" s="5" t="s">
        <v>355</v>
      </c>
      <c r="Q49142" s="5" t="s">
        <v>355</v>
      </c>
    </row>
    <row r="49143" ht="16.5" customHeight="1">
      <c r="O49143" s="5" t="s">
        <v>355</v>
      </c>
      <c r="P49143" s="5" t="s">
        <v>355</v>
      </c>
      <c r="Q49143" s="5" t="s">
        <v>355</v>
      </c>
    </row>
    <row r="49144" ht="16.5" customHeight="1">
      <c r="O49144" s="5" t="s">
        <v>355</v>
      </c>
      <c r="P49144" s="5" t="s">
        <v>355</v>
      </c>
      <c r="Q49144" s="5" t="s">
        <v>355</v>
      </c>
    </row>
    <row r="49145" ht="16.5" customHeight="1">
      <c r="O49145" s="5" t="s">
        <v>355</v>
      </c>
      <c r="P49145" s="5" t="s">
        <v>355</v>
      </c>
      <c r="Q49145" s="5" t="s">
        <v>355</v>
      </c>
    </row>
    <row r="49146" ht="16.5" customHeight="1">
      <c r="O49146" s="5" t="s">
        <v>355</v>
      </c>
      <c r="P49146" s="5" t="s">
        <v>355</v>
      </c>
      <c r="Q49146" s="5" t="s">
        <v>355</v>
      </c>
    </row>
    <row r="49147" ht="16.5" customHeight="1">
      <c r="O49147" s="5" t="s">
        <v>355</v>
      </c>
      <c r="P49147" s="5" t="s">
        <v>355</v>
      </c>
      <c r="Q49147" s="5" t="s">
        <v>355</v>
      </c>
    </row>
    <row r="49148" ht="16.5" customHeight="1">
      <c r="O49148" s="5" t="s">
        <v>355</v>
      </c>
      <c r="P49148" s="5" t="s">
        <v>355</v>
      </c>
      <c r="Q49148" s="5" t="s">
        <v>355</v>
      </c>
    </row>
    <row r="49149" ht="16.5" customHeight="1">
      <c r="O49149" s="5" t="s">
        <v>355</v>
      </c>
      <c r="P49149" s="5" t="s">
        <v>355</v>
      </c>
      <c r="Q49149" s="5" t="s">
        <v>355</v>
      </c>
    </row>
    <row r="49150" ht="16.5" customHeight="1">
      <c r="O49150" s="5" t="s">
        <v>355</v>
      </c>
      <c r="P49150" s="5" t="s">
        <v>355</v>
      </c>
      <c r="Q49150" s="5" t="s">
        <v>355</v>
      </c>
    </row>
    <row r="49151" ht="16.5" customHeight="1">
      <c r="O49151" s="5" t="s">
        <v>355</v>
      </c>
      <c r="P49151" s="5" t="s">
        <v>355</v>
      </c>
      <c r="Q49151" s="5" t="s">
        <v>355</v>
      </c>
    </row>
    <row r="49152" ht="16.5" customHeight="1">
      <c r="O49152" s="5" t="s">
        <v>355</v>
      </c>
      <c r="P49152" s="5" t="s">
        <v>355</v>
      </c>
      <c r="Q49152" s="5" t="s">
        <v>355</v>
      </c>
    </row>
    <row r="49153" ht="16.5" customHeight="1">
      <c r="O49153" s="5" t="s">
        <v>355</v>
      </c>
      <c r="P49153" s="5" t="s">
        <v>355</v>
      </c>
      <c r="Q49153" s="5" t="s">
        <v>355</v>
      </c>
    </row>
    <row r="49154" ht="16.5" customHeight="1">
      <c r="O49154" s="5" t="s">
        <v>355</v>
      </c>
      <c r="P49154" s="5" t="s">
        <v>355</v>
      </c>
      <c r="Q49154" s="5" t="s">
        <v>355</v>
      </c>
    </row>
    <row r="49155" ht="16.5" customHeight="1">
      <c r="O49155" s="5" t="s">
        <v>355</v>
      </c>
      <c r="P49155" s="5" t="s">
        <v>355</v>
      </c>
      <c r="Q49155" s="5" t="s">
        <v>355</v>
      </c>
    </row>
    <row r="49156" ht="16.5" customHeight="1">
      <c r="O49156" s="5" t="s">
        <v>355</v>
      </c>
      <c r="P49156" s="5" t="s">
        <v>355</v>
      </c>
      <c r="Q49156" s="5" t="s">
        <v>355</v>
      </c>
    </row>
    <row r="49157" ht="16.5" customHeight="1">
      <c r="O49157" s="5" t="s">
        <v>355</v>
      </c>
      <c r="P49157" s="5" t="s">
        <v>355</v>
      </c>
      <c r="Q49157" s="5" t="s">
        <v>355</v>
      </c>
    </row>
    <row r="49158" ht="16.5" customHeight="1">
      <c r="O49158" s="5" t="s">
        <v>355</v>
      </c>
      <c r="P49158" s="5" t="s">
        <v>355</v>
      </c>
      <c r="Q49158" s="5" t="s">
        <v>355</v>
      </c>
    </row>
    <row r="49159" ht="16.5" customHeight="1">
      <c r="O49159" s="5" t="s">
        <v>355</v>
      </c>
      <c r="P49159" s="5" t="s">
        <v>355</v>
      </c>
      <c r="Q49159" s="5" t="s">
        <v>355</v>
      </c>
    </row>
    <row r="49160" ht="16.5" customHeight="1">
      <c r="O49160" s="5" t="s">
        <v>355</v>
      </c>
      <c r="P49160" s="5" t="s">
        <v>355</v>
      </c>
      <c r="Q49160" s="5" t="s">
        <v>355</v>
      </c>
    </row>
    <row r="49161" ht="16.5" customHeight="1">
      <c r="O49161" s="5" t="s">
        <v>355</v>
      </c>
      <c r="P49161" s="5" t="s">
        <v>355</v>
      </c>
      <c r="Q49161" s="5" t="s">
        <v>355</v>
      </c>
    </row>
    <row r="49162" ht="16.5" customHeight="1">
      <c r="O49162" s="5" t="s">
        <v>355</v>
      </c>
      <c r="P49162" s="5" t="s">
        <v>355</v>
      </c>
      <c r="Q49162" s="5" t="s">
        <v>355</v>
      </c>
    </row>
    <row r="49163" ht="16.5" customHeight="1">
      <c r="O49163" s="5" t="s">
        <v>355</v>
      </c>
      <c r="P49163" s="5" t="s">
        <v>355</v>
      </c>
      <c r="Q49163" s="5" t="s">
        <v>355</v>
      </c>
    </row>
    <row r="49164" ht="16.5" customHeight="1">
      <c r="O49164" s="5" t="s">
        <v>355</v>
      </c>
      <c r="P49164" s="5" t="s">
        <v>355</v>
      </c>
      <c r="Q49164" s="5" t="s">
        <v>355</v>
      </c>
    </row>
    <row r="49165" ht="16.5" customHeight="1">
      <c r="O49165" s="5" t="s">
        <v>355</v>
      </c>
      <c r="P49165" s="5" t="s">
        <v>355</v>
      </c>
      <c r="Q49165" s="5" t="s">
        <v>355</v>
      </c>
    </row>
    <row r="49166" ht="16.5" customHeight="1">
      <c r="O49166" s="5" t="s">
        <v>355</v>
      </c>
      <c r="P49166" s="5" t="s">
        <v>355</v>
      </c>
      <c r="Q49166" s="5" t="s">
        <v>355</v>
      </c>
    </row>
    <row r="49167" ht="16.5" customHeight="1">
      <c r="O49167" s="5" t="s">
        <v>355</v>
      </c>
      <c r="P49167" s="5" t="s">
        <v>355</v>
      </c>
      <c r="Q49167" s="5" t="s">
        <v>355</v>
      </c>
    </row>
    <row r="49168" ht="16.5" customHeight="1">
      <c r="O49168" s="5" t="s">
        <v>355</v>
      </c>
      <c r="P49168" s="5" t="s">
        <v>355</v>
      </c>
      <c r="Q49168" s="5" t="s">
        <v>355</v>
      </c>
    </row>
    <row r="49169" ht="16.5" customHeight="1">
      <c r="O49169" s="5" t="s">
        <v>355</v>
      </c>
      <c r="P49169" s="5" t="s">
        <v>355</v>
      </c>
      <c r="Q49169" s="5" t="s">
        <v>355</v>
      </c>
    </row>
    <row r="49170" ht="16.5" customHeight="1">
      <c r="O49170" s="5" t="s">
        <v>355</v>
      </c>
      <c r="P49170" s="5" t="s">
        <v>355</v>
      </c>
      <c r="Q49170" s="5" t="s">
        <v>355</v>
      </c>
    </row>
    <row r="49171" ht="16.5" customHeight="1">
      <c r="O49171" s="5" t="s">
        <v>355</v>
      </c>
      <c r="P49171" s="5" t="s">
        <v>355</v>
      </c>
      <c r="Q49171" s="5" t="s">
        <v>355</v>
      </c>
    </row>
    <row r="49172" ht="16.5" customHeight="1">
      <c r="O49172" s="5" t="s">
        <v>355</v>
      </c>
      <c r="P49172" s="5" t="s">
        <v>355</v>
      </c>
      <c r="Q49172" s="5" t="s">
        <v>355</v>
      </c>
    </row>
    <row r="49173" ht="16.5" customHeight="1">
      <c r="O49173" s="5" t="s">
        <v>355</v>
      </c>
      <c r="P49173" s="5" t="s">
        <v>355</v>
      </c>
      <c r="Q49173" s="5" t="s">
        <v>355</v>
      </c>
    </row>
    <row r="49174" ht="16.5" customHeight="1">
      <c r="O49174" s="5" t="s">
        <v>355</v>
      </c>
      <c r="P49174" s="5" t="s">
        <v>355</v>
      </c>
      <c r="Q49174" s="5" t="s">
        <v>355</v>
      </c>
    </row>
    <row r="49175" ht="16.5" customHeight="1">
      <c r="O49175" s="5" t="s">
        <v>355</v>
      </c>
      <c r="P49175" s="5" t="s">
        <v>355</v>
      </c>
      <c r="Q49175" s="5" t="s">
        <v>355</v>
      </c>
    </row>
    <row r="49176" ht="16.5" customHeight="1">
      <c r="O49176" s="5" t="s">
        <v>355</v>
      </c>
      <c r="P49176" s="5" t="s">
        <v>355</v>
      </c>
      <c r="Q49176" s="5" t="s">
        <v>355</v>
      </c>
    </row>
    <row r="49177" ht="16.5" customHeight="1">
      <c r="O49177" s="5" t="s">
        <v>355</v>
      </c>
      <c r="P49177" s="5" t="s">
        <v>355</v>
      </c>
      <c r="Q49177" s="5" t="s">
        <v>355</v>
      </c>
    </row>
    <row r="49178" ht="16.5" customHeight="1">
      <c r="O49178" s="5" t="s">
        <v>355</v>
      </c>
      <c r="P49178" s="5" t="s">
        <v>355</v>
      </c>
      <c r="Q49178" s="5" t="s">
        <v>355</v>
      </c>
    </row>
    <row r="49179" ht="16.5" customHeight="1">
      <c r="O49179" s="5" t="s">
        <v>355</v>
      </c>
      <c r="P49179" s="5" t="s">
        <v>355</v>
      </c>
      <c r="Q49179" s="5" t="s">
        <v>355</v>
      </c>
    </row>
    <row r="49180" ht="16.5" customHeight="1">
      <c r="O49180" s="5" t="s">
        <v>355</v>
      </c>
      <c r="P49180" s="5" t="s">
        <v>355</v>
      </c>
      <c r="Q49180" s="5" t="s">
        <v>355</v>
      </c>
    </row>
    <row r="49181" ht="16.5" customHeight="1">
      <c r="O49181" s="5" t="s">
        <v>355</v>
      </c>
      <c r="P49181" s="5" t="s">
        <v>355</v>
      </c>
      <c r="Q49181" s="5" t="s">
        <v>355</v>
      </c>
    </row>
    <row r="49182" ht="16.5" customHeight="1">
      <c r="O49182" s="5" t="s">
        <v>355</v>
      </c>
      <c r="P49182" s="5" t="s">
        <v>355</v>
      </c>
      <c r="Q49182" s="5" t="s">
        <v>355</v>
      </c>
    </row>
    <row r="49183" ht="16.5" customHeight="1">
      <c r="O49183" s="5" t="s">
        <v>355</v>
      </c>
      <c r="P49183" s="5" t="s">
        <v>355</v>
      </c>
      <c r="Q49183" s="5" t="s">
        <v>355</v>
      </c>
    </row>
    <row r="49184" ht="16.5" customHeight="1">
      <c r="O49184" s="5" t="s">
        <v>355</v>
      </c>
      <c r="P49184" s="5" t="s">
        <v>355</v>
      </c>
      <c r="Q49184" s="5" t="s">
        <v>355</v>
      </c>
    </row>
    <row r="49185" ht="16.5" customHeight="1">
      <c r="O49185" s="5" t="s">
        <v>355</v>
      </c>
      <c r="P49185" s="5" t="s">
        <v>355</v>
      </c>
      <c r="Q49185" s="5" t="s">
        <v>355</v>
      </c>
    </row>
    <row r="49186" ht="16.5" customHeight="1">
      <c r="O49186" s="5" t="s">
        <v>355</v>
      </c>
      <c r="P49186" s="5" t="s">
        <v>355</v>
      </c>
      <c r="Q49186" s="5" t="s">
        <v>355</v>
      </c>
    </row>
    <row r="49187" ht="16.5" customHeight="1">
      <c r="O49187" s="5" t="s">
        <v>355</v>
      </c>
      <c r="P49187" s="5" t="s">
        <v>355</v>
      </c>
      <c r="Q49187" s="5" t="s">
        <v>355</v>
      </c>
    </row>
    <row r="49188" ht="16.5" customHeight="1">
      <c r="O49188" s="5" t="s">
        <v>355</v>
      </c>
      <c r="P49188" s="5" t="s">
        <v>355</v>
      </c>
      <c r="Q49188" s="5" t="s">
        <v>355</v>
      </c>
    </row>
    <row r="49189" ht="16.5" customHeight="1">
      <c r="O49189" s="5" t="s">
        <v>355</v>
      </c>
      <c r="P49189" s="5" t="s">
        <v>355</v>
      </c>
      <c r="Q49189" s="5" t="s">
        <v>355</v>
      </c>
    </row>
    <row r="49190" ht="16.5" customHeight="1">
      <c r="O49190" s="5" t="s">
        <v>355</v>
      </c>
      <c r="P49190" s="5" t="s">
        <v>355</v>
      </c>
      <c r="Q49190" s="5" t="s">
        <v>355</v>
      </c>
    </row>
    <row r="49191" ht="16.5" customHeight="1">
      <c r="O49191" s="5" t="s">
        <v>355</v>
      </c>
      <c r="P49191" s="5" t="s">
        <v>355</v>
      </c>
      <c r="Q49191" s="5" t="s">
        <v>355</v>
      </c>
    </row>
    <row r="49192" ht="16.5" customHeight="1">
      <c r="O49192" s="5" t="s">
        <v>355</v>
      </c>
      <c r="P49192" s="5" t="s">
        <v>355</v>
      </c>
      <c r="Q49192" s="5" t="s">
        <v>355</v>
      </c>
    </row>
    <row r="49193" ht="16.5" customHeight="1">
      <c r="O49193" s="5" t="s">
        <v>355</v>
      </c>
      <c r="P49193" s="5" t="s">
        <v>355</v>
      </c>
      <c r="Q49193" s="5" t="s">
        <v>355</v>
      </c>
    </row>
    <row r="49194" ht="16.5" customHeight="1">
      <c r="O49194" s="5" t="s">
        <v>355</v>
      </c>
      <c r="P49194" s="5" t="s">
        <v>355</v>
      </c>
      <c r="Q49194" s="5" t="s">
        <v>355</v>
      </c>
    </row>
    <row r="49195" ht="16.5" customHeight="1">
      <c r="O49195" s="5" t="s">
        <v>355</v>
      </c>
      <c r="P49195" s="5" t="s">
        <v>355</v>
      </c>
      <c r="Q49195" s="5" t="s">
        <v>355</v>
      </c>
    </row>
    <row r="49196" ht="16.5" customHeight="1">
      <c r="O49196" s="5" t="s">
        <v>355</v>
      </c>
      <c r="P49196" s="5" t="s">
        <v>355</v>
      </c>
      <c r="Q49196" s="5" t="s">
        <v>355</v>
      </c>
    </row>
    <row r="49197" ht="16.5" customHeight="1">
      <c r="O49197" s="5" t="s">
        <v>355</v>
      </c>
      <c r="P49197" s="5" t="s">
        <v>355</v>
      </c>
      <c r="Q49197" s="5" t="s">
        <v>355</v>
      </c>
    </row>
    <row r="49198" ht="16.5" customHeight="1">
      <c r="O49198" s="5" t="s">
        <v>355</v>
      </c>
      <c r="P49198" s="5" t="s">
        <v>355</v>
      </c>
      <c r="Q49198" s="5" t="s">
        <v>355</v>
      </c>
    </row>
    <row r="49199" ht="16.5" customHeight="1">
      <c r="O49199" s="5" t="s">
        <v>355</v>
      </c>
      <c r="P49199" s="5" t="s">
        <v>355</v>
      </c>
      <c r="Q49199" s="5" t="s">
        <v>355</v>
      </c>
    </row>
    <row r="49200" ht="16.5" customHeight="1">
      <c r="O49200" s="5" t="s">
        <v>355</v>
      </c>
      <c r="P49200" s="5" t="s">
        <v>355</v>
      </c>
      <c r="Q49200" s="5" t="s">
        <v>355</v>
      </c>
    </row>
    <row r="49201" ht="16.5" customHeight="1">
      <c r="O49201" s="5" t="s">
        <v>355</v>
      </c>
      <c r="P49201" s="5" t="s">
        <v>355</v>
      </c>
      <c r="Q49201" s="5" t="s">
        <v>355</v>
      </c>
    </row>
    <row r="49202" ht="16.5" customHeight="1">
      <c r="O49202" s="5" t="s">
        <v>355</v>
      </c>
      <c r="P49202" s="5" t="s">
        <v>355</v>
      </c>
      <c r="Q49202" s="5" t="s">
        <v>355</v>
      </c>
    </row>
    <row r="49203" ht="16.5" customHeight="1">
      <c r="O49203" s="5" t="s">
        <v>355</v>
      </c>
      <c r="P49203" s="5" t="s">
        <v>355</v>
      </c>
      <c r="Q49203" s="5" t="s">
        <v>355</v>
      </c>
    </row>
    <row r="49204" ht="16.5" customHeight="1">
      <c r="O49204" s="5" t="s">
        <v>355</v>
      </c>
      <c r="P49204" s="5" t="s">
        <v>355</v>
      </c>
      <c r="Q49204" s="5" t="s">
        <v>355</v>
      </c>
    </row>
    <row r="49205" ht="16.5" customHeight="1">
      <c r="O49205" s="5" t="s">
        <v>355</v>
      </c>
      <c r="P49205" s="5" t="s">
        <v>355</v>
      </c>
      <c r="Q49205" s="5" t="s">
        <v>355</v>
      </c>
    </row>
    <row r="49206" ht="16.5" customHeight="1">
      <c r="O49206" s="5" t="s">
        <v>355</v>
      </c>
      <c r="P49206" s="5" t="s">
        <v>355</v>
      </c>
      <c r="Q49206" s="5" t="s">
        <v>355</v>
      </c>
    </row>
    <row r="49207" ht="16.5" customHeight="1">
      <c r="O49207" s="5" t="s">
        <v>355</v>
      </c>
      <c r="P49207" s="5" t="s">
        <v>355</v>
      </c>
      <c r="Q49207" s="5" t="s">
        <v>355</v>
      </c>
    </row>
    <row r="49208" ht="16.5" customHeight="1">
      <c r="O49208" s="5" t="s">
        <v>355</v>
      </c>
      <c r="P49208" s="5" t="s">
        <v>355</v>
      </c>
      <c r="Q49208" s="5" t="s">
        <v>355</v>
      </c>
    </row>
    <row r="49209" ht="16.5" customHeight="1">
      <c r="O49209" s="5" t="s">
        <v>355</v>
      </c>
      <c r="P49209" s="5" t="s">
        <v>355</v>
      </c>
      <c r="Q49209" s="5" t="s">
        <v>355</v>
      </c>
    </row>
    <row r="49210" ht="16.5" customHeight="1">
      <c r="O49210" s="5" t="s">
        <v>355</v>
      </c>
      <c r="P49210" s="5" t="s">
        <v>355</v>
      </c>
      <c r="Q49210" s="5" t="s">
        <v>355</v>
      </c>
    </row>
    <row r="49211" ht="16.5" customHeight="1">
      <c r="O49211" s="5" t="s">
        <v>355</v>
      </c>
      <c r="P49211" s="5" t="s">
        <v>355</v>
      </c>
      <c r="Q49211" s="5" t="s">
        <v>355</v>
      </c>
    </row>
    <row r="49212" ht="16.5" customHeight="1">
      <c r="O49212" s="5" t="s">
        <v>355</v>
      </c>
      <c r="P49212" s="5" t="s">
        <v>355</v>
      </c>
      <c r="Q49212" s="5" t="s">
        <v>355</v>
      </c>
    </row>
    <row r="49213" ht="16.5" customHeight="1">
      <c r="O49213" s="5" t="s">
        <v>355</v>
      </c>
      <c r="P49213" s="5" t="s">
        <v>355</v>
      </c>
      <c r="Q49213" s="5" t="s">
        <v>355</v>
      </c>
    </row>
    <row r="49214" ht="16.5" customHeight="1">
      <c r="O49214" s="5" t="s">
        <v>355</v>
      </c>
      <c r="P49214" s="5" t="s">
        <v>355</v>
      </c>
      <c r="Q49214" s="5" t="s">
        <v>355</v>
      </c>
    </row>
    <row r="49215" ht="16.5" customHeight="1">
      <c r="O49215" s="5" t="s">
        <v>355</v>
      </c>
      <c r="P49215" s="5" t="s">
        <v>355</v>
      </c>
      <c r="Q49215" s="5" t="s">
        <v>355</v>
      </c>
    </row>
    <row r="49216" ht="16.5" customHeight="1">
      <c r="O49216" s="5" t="s">
        <v>355</v>
      </c>
      <c r="P49216" s="5" t="s">
        <v>355</v>
      </c>
      <c r="Q49216" s="5" t="s">
        <v>355</v>
      </c>
    </row>
    <row r="49217" ht="16.5" customHeight="1">
      <c r="O49217" s="5" t="s">
        <v>355</v>
      </c>
      <c r="P49217" s="5" t="s">
        <v>355</v>
      </c>
      <c r="Q49217" s="5" t="s">
        <v>355</v>
      </c>
    </row>
    <row r="49218" ht="16.5" customHeight="1">
      <c r="O49218" s="5" t="s">
        <v>355</v>
      </c>
      <c r="P49218" s="5" t="s">
        <v>355</v>
      </c>
      <c r="Q49218" s="5" t="s">
        <v>355</v>
      </c>
    </row>
    <row r="49219" ht="16.5" customHeight="1">
      <c r="O49219" s="5" t="s">
        <v>355</v>
      </c>
      <c r="P49219" s="5" t="s">
        <v>355</v>
      </c>
      <c r="Q49219" s="5" t="s">
        <v>355</v>
      </c>
    </row>
    <row r="49220" ht="16.5" customHeight="1">
      <c r="O49220" s="5" t="s">
        <v>355</v>
      </c>
      <c r="P49220" s="5" t="s">
        <v>355</v>
      </c>
      <c r="Q49220" s="5" t="s">
        <v>355</v>
      </c>
    </row>
    <row r="49221" ht="16.5" customHeight="1">
      <c r="O49221" s="5" t="s">
        <v>355</v>
      </c>
      <c r="P49221" s="5" t="s">
        <v>355</v>
      </c>
      <c r="Q49221" s="5" t="s">
        <v>355</v>
      </c>
    </row>
    <row r="49222" ht="16.5" customHeight="1">
      <c r="O49222" s="5" t="s">
        <v>355</v>
      </c>
      <c r="P49222" s="5" t="s">
        <v>355</v>
      </c>
      <c r="Q49222" s="5" t="s">
        <v>355</v>
      </c>
    </row>
    <row r="49223" ht="16.5" customHeight="1">
      <c r="O49223" s="5" t="s">
        <v>355</v>
      </c>
      <c r="P49223" s="5" t="s">
        <v>355</v>
      </c>
      <c r="Q49223" s="5" t="s">
        <v>355</v>
      </c>
    </row>
    <row r="49224" ht="16.5" customHeight="1">
      <c r="O49224" s="5" t="s">
        <v>355</v>
      </c>
      <c r="P49224" s="5" t="s">
        <v>355</v>
      </c>
      <c r="Q49224" s="5" t="s">
        <v>355</v>
      </c>
    </row>
    <row r="49225" ht="16.5" customHeight="1">
      <c r="O49225" s="5" t="s">
        <v>355</v>
      </c>
      <c r="P49225" s="5" t="s">
        <v>355</v>
      </c>
      <c r="Q49225" s="5" t="s">
        <v>355</v>
      </c>
    </row>
    <row r="49226" ht="16.5" customHeight="1">
      <c r="O49226" s="5" t="s">
        <v>355</v>
      </c>
      <c r="P49226" s="5" t="s">
        <v>355</v>
      </c>
      <c r="Q49226" s="5" t="s">
        <v>355</v>
      </c>
    </row>
    <row r="49227" ht="16.5" customHeight="1">
      <c r="O49227" s="5" t="s">
        <v>355</v>
      </c>
      <c r="P49227" s="5" t="s">
        <v>355</v>
      </c>
      <c r="Q49227" s="5" t="s">
        <v>355</v>
      </c>
    </row>
    <row r="49228" ht="16.5" customHeight="1">
      <c r="O49228" s="5" t="s">
        <v>355</v>
      </c>
      <c r="P49228" s="5" t="s">
        <v>355</v>
      </c>
      <c r="Q49228" s="5" t="s">
        <v>355</v>
      </c>
    </row>
    <row r="49229" ht="16.5" customHeight="1">
      <c r="O49229" s="5" t="s">
        <v>355</v>
      </c>
      <c r="P49229" s="5" t="s">
        <v>355</v>
      </c>
      <c r="Q49229" s="5" t="s">
        <v>355</v>
      </c>
    </row>
    <row r="49230" ht="16.5" customHeight="1">
      <c r="O49230" s="5" t="s">
        <v>355</v>
      </c>
      <c r="P49230" s="5" t="s">
        <v>355</v>
      </c>
      <c r="Q49230" s="5" t="s">
        <v>355</v>
      </c>
    </row>
    <row r="49231" ht="16.5" customHeight="1">
      <c r="O49231" s="5" t="s">
        <v>355</v>
      </c>
      <c r="P49231" s="5" t="s">
        <v>355</v>
      </c>
      <c r="Q49231" s="5" t="s">
        <v>355</v>
      </c>
    </row>
    <row r="49232" ht="16.5" customHeight="1">
      <c r="O49232" s="5" t="s">
        <v>355</v>
      </c>
      <c r="P49232" s="5" t="s">
        <v>355</v>
      </c>
      <c r="Q49232" s="5" t="s">
        <v>355</v>
      </c>
    </row>
    <row r="49233" ht="16.5" customHeight="1">
      <c r="O49233" s="5" t="s">
        <v>355</v>
      </c>
      <c r="P49233" s="5" t="s">
        <v>355</v>
      </c>
      <c r="Q49233" s="5" t="s">
        <v>355</v>
      </c>
    </row>
    <row r="49234" ht="16.5" customHeight="1">
      <c r="O49234" s="5" t="s">
        <v>355</v>
      </c>
      <c r="P49234" s="5" t="s">
        <v>355</v>
      </c>
      <c r="Q49234" s="5" t="s">
        <v>355</v>
      </c>
    </row>
    <row r="49235" ht="16.5" customHeight="1">
      <c r="O49235" s="5" t="s">
        <v>355</v>
      </c>
      <c r="P49235" s="5" t="s">
        <v>355</v>
      </c>
      <c r="Q49235" s="5" t="s">
        <v>355</v>
      </c>
    </row>
    <row r="49236" ht="16.5" customHeight="1">
      <c r="O49236" s="5" t="s">
        <v>355</v>
      </c>
      <c r="P49236" s="5" t="s">
        <v>355</v>
      </c>
      <c r="Q49236" s="5" t="s">
        <v>355</v>
      </c>
    </row>
    <row r="49237" ht="16.5" customHeight="1">
      <c r="O49237" s="5" t="s">
        <v>355</v>
      </c>
      <c r="P49237" s="5" t="s">
        <v>355</v>
      </c>
      <c r="Q49237" s="5" t="s">
        <v>355</v>
      </c>
    </row>
    <row r="49238" ht="16.5" customHeight="1">
      <c r="O49238" s="5" t="s">
        <v>355</v>
      </c>
      <c r="P49238" s="5" t="s">
        <v>355</v>
      </c>
      <c r="Q49238" s="5" t="s">
        <v>355</v>
      </c>
    </row>
    <row r="49239" ht="16.5" customHeight="1">
      <c r="O49239" s="5" t="s">
        <v>355</v>
      </c>
      <c r="P49239" s="5" t="s">
        <v>355</v>
      </c>
      <c r="Q49239" s="5" t="s">
        <v>355</v>
      </c>
    </row>
    <row r="49240" ht="16.5" customHeight="1">
      <c r="O49240" s="5" t="s">
        <v>355</v>
      </c>
      <c r="P49240" s="5" t="s">
        <v>355</v>
      </c>
      <c r="Q49240" s="5" t="s">
        <v>355</v>
      </c>
    </row>
    <row r="49241" ht="16.5" customHeight="1">
      <c r="O49241" s="5" t="s">
        <v>355</v>
      </c>
      <c r="P49241" s="5" t="s">
        <v>355</v>
      </c>
      <c r="Q49241" s="5" t="s">
        <v>355</v>
      </c>
    </row>
    <row r="49242" ht="16.5" customHeight="1">
      <c r="O49242" s="5" t="s">
        <v>355</v>
      </c>
      <c r="P49242" s="5" t="s">
        <v>355</v>
      </c>
      <c r="Q49242" s="5" t="s">
        <v>355</v>
      </c>
    </row>
    <row r="49243" ht="16.5" customHeight="1">
      <c r="O49243" s="5" t="s">
        <v>355</v>
      </c>
      <c r="P49243" s="5" t="s">
        <v>355</v>
      </c>
      <c r="Q49243" s="5" t="s">
        <v>355</v>
      </c>
    </row>
    <row r="49244" ht="16.5" customHeight="1">
      <c r="O49244" s="5" t="s">
        <v>355</v>
      </c>
      <c r="P49244" s="5" t="s">
        <v>355</v>
      </c>
      <c r="Q49244" s="5" t="s">
        <v>355</v>
      </c>
    </row>
    <row r="49245" ht="16.5" customHeight="1">
      <c r="O49245" s="5" t="s">
        <v>355</v>
      </c>
      <c r="P49245" s="5" t="s">
        <v>355</v>
      </c>
      <c r="Q49245" s="5" t="s">
        <v>355</v>
      </c>
    </row>
    <row r="49246" ht="16.5" customHeight="1">
      <c r="O49246" s="5" t="s">
        <v>355</v>
      </c>
      <c r="P49246" s="5" t="s">
        <v>355</v>
      </c>
      <c r="Q49246" s="5" t="s">
        <v>355</v>
      </c>
    </row>
    <row r="49247" ht="16.5" customHeight="1">
      <c r="O49247" s="5" t="s">
        <v>355</v>
      </c>
      <c r="P49247" s="5" t="s">
        <v>355</v>
      </c>
      <c r="Q49247" s="5" t="s">
        <v>355</v>
      </c>
    </row>
    <row r="49248" ht="16.5" customHeight="1">
      <c r="O49248" s="5" t="s">
        <v>355</v>
      </c>
      <c r="P49248" s="5" t="s">
        <v>355</v>
      </c>
      <c r="Q49248" s="5" t="s">
        <v>355</v>
      </c>
    </row>
    <row r="49249" ht="16.5" customHeight="1">
      <c r="O49249" s="5" t="s">
        <v>355</v>
      </c>
      <c r="P49249" s="5" t="s">
        <v>355</v>
      </c>
      <c r="Q49249" s="5" t="s">
        <v>355</v>
      </c>
    </row>
    <row r="49250" ht="16.5" customHeight="1">
      <c r="O49250" s="5" t="s">
        <v>355</v>
      </c>
      <c r="P49250" s="5" t="s">
        <v>355</v>
      </c>
      <c r="Q49250" s="5" t="s">
        <v>355</v>
      </c>
    </row>
    <row r="49251" ht="16.5" customHeight="1">
      <c r="O49251" s="5" t="s">
        <v>355</v>
      </c>
      <c r="P49251" s="5" t="s">
        <v>355</v>
      </c>
      <c r="Q49251" s="5" t="s">
        <v>355</v>
      </c>
    </row>
    <row r="49252" ht="16.5" customHeight="1">
      <c r="O49252" s="5" t="s">
        <v>355</v>
      </c>
      <c r="P49252" s="5" t="s">
        <v>355</v>
      </c>
      <c r="Q49252" s="5" t="s">
        <v>355</v>
      </c>
    </row>
    <row r="49253" ht="16.5" customHeight="1">
      <c r="O49253" s="5" t="s">
        <v>355</v>
      </c>
      <c r="P49253" s="5" t="s">
        <v>355</v>
      </c>
      <c r="Q49253" s="5" t="s">
        <v>355</v>
      </c>
    </row>
    <row r="49254" ht="16.5" customHeight="1">
      <c r="O49254" s="5" t="s">
        <v>355</v>
      </c>
      <c r="P49254" s="5" t="s">
        <v>355</v>
      </c>
      <c r="Q49254" s="5" t="s">
        <v>355</v>
      </c>
    </row>
    <row r="49255" ht="16.5" customHeight="1">
      <c r="O49255" s="5" t="s">
        <v>355</v>
      </c>
      <c r="P49255" s="5" t="s">
        <v>355</v>
      </c>
      <c r="Q49255" s="5" t="s">
        <v>355</v>
      </c>
    </row>
    <row r="49256" ht="16.5" customHeight="1">
      <c r="O49256" s="5" t="s">
        <v>355</v>
      </c>
      <c r="P49256" s="5" t="s">
        <v>355</v>
      </c>
      <c r="Q49256" s="5" t="s">
        <v>355</v>
      </c>
    </row>
    <row r="49257" ht="16.5" customHeight="1">
      <c r="O49257" s="5" t="s">
        <v>355</v>
      </c>
      <c r="P49257" s="5" t="s">
        <v>355</v>
      </c>
      <c r="Q49257" s="5" t="s">
        <v>355</v>
      </c>
    </row>
    <row r="49258" ht="16.5" customHeight="1">
      <c r="O49258" s="5" t="s">
        <v>355</v>
      </c>
      <c r="P49258" s="5" t="s">
        <v>355</v>
      </c>
      <c r="Q49258" s="5" t="s">
        <v>355</v>
      </c>
    </row>
    <row r="49259" ht="16.5" customHeight="1">
      <c r="O49259" s="5" t="s">
        <v>355</v>
      </c>
      <c r="P49259" s="5" t="s">
        <v>355</v>
      </c>
      <c r="Q49259" s="5" t="s">
        <v>355</v>
      </c>
    </row>
    <row r="49260" ht="16.5" customHeight="1">
      <c r="O49260" s="5" t="s">
        <v>355</v>
      </c>
      <c r="P49260" s="5" t="s">
        <v>355</v>
      </c>
      <c r="Q49260" s="5" t="s">
        <v>355</v>
      </c>
    </row>
    <row r="49261" ht="16.5" customHeight="1">
      <c r="O49261" s="5" t="s">
        <v>355</v>
      </c>
      <c r="P49261" s="5" t="s">
        <v>355</v>
      </c>
      <c r="Q49261" s="5" t="s">
        <v>355</v>
      </c>
    </row>
    <row r="49262" ht="16.5" customHeight="1">
      <c r="O49262" s="5" t="s">
        <v>355</v>
      </c>
      <c r="P49262" s="5" t="s">
        <v>355</v>
      </c>
      <c r="Q49262" s="5" t="s">
        <v>355</v>
      </c>
    </row>
    <row r="49263" ht="16.5" customHeight="1">
      <c r="O49263" s="5" t="s">
        <v>355</v>
      </c>
      <c r="P49263" s="5" t="s">
        <v>355</v>
      </c>
      <c r="Q49263" s="5" t="s">
        <v>355</v>
      </c>
    </row>
    <row r="49264" ht="16.5" customHeight="1">
      <c r="O49264" s="5" t="s">
        <v>355</v>
      </c>
      <c r="P49264" s="5" t="s">
        <v>355</v>
      </c>
      <c r="Q49264" s="5" t="s">
        <v>355</v>
      </c>
    </row>
    <row r="49265" ht="16.5" customHeight="1">
      <c r="O49265" s="5" t="s">
        <v>355</v>
      </c>
      <c r="P49265" s="5" t="s">
        <v>355</v>
      </c>
      <c r="Q49265" s="5" t="s">
        <v>355</v>
      </c>
    </row>
    <row r="49266" ht="16.5" customHeight="1">
      <c r="O49266" s="5" t="s">
        <v>355</v>
      </c>
      <c r="P49266" s="5" t="s">
        <v>355</v>
      </c>
      <c r="Q49266" s="5" t="s">
        <v>355</v>
      </c>
    </row>
    <row r="49267" ht="16.5" customHeight="1">
      <c r="O49267" s="5" t="s">
        <v>355</v>
      </c>
      <c r="P49267" s="5" t="s">
        <v>355</v>
      </c>
      <c r="Q49267" s="5" t="s">
        <v>355</v>
      </c>
    </row>
    <row r="49268" ht="16.5" customHeight="1">
      <c r="O49268" s="5" t="s">
        <v>355</v>
      </c>
      <c r="P49268" s="5" t="s">
        <v>355</v>
      </c>
      <c r="Q49268" s="5" t="s">
        <v>355</v>
      </c>
    </row>
    <row r="49269" ht="16.5" customHeight="1">
      <c r="O49269" s="5" t="s">
        <v>355</v>
      </c>
      <c r="P49269" s="5" t="s">
        <v>355</v>
      </c>
      <c r="Q49269" s="5" t="s">
        <v>355</v>
      </c>
    </row>
    <row r="49270" ht="16.5" customHeight="1">
      <c r="O49270" s="5" t="s">
        <v>355</v>
      </c>
      <c r="P49270" s="5" t="s">
        <v>355</v>
      </c>
      <c r="Q49270" s="5" t="s">
        <v>355</v>
      </c>
    </row>
    <row r="49271" ht="16.5" customHeight="1">
      <c r="O49271" s="5" t="s">
        <v>355</v>
      </c>
      <c r="P49271" s="5" t="s">
        <v>355</v>
      </c>
      <c r="Q49271" s="5" t="s">
        <v>355</v>
      </c>
    </row>
    <row r="49272" ht="16.5" customHeight="1">
      <c r="O49272" s="5" t="s">
        <v>355</v>
      </c>
      <c r="P49272" s="5" t="s">
        <v>355</v>
      </c>
      <c r="Q49272" s="5" t="s">
        <v>355</v>
      </c>
    </row>
    <row r="49273" ht="16.5" customHeight="1">
      <c r="O49273" s="5" t="s">
        <v>355</v>
      </c>
      <c r="P49273" s="5" t="s">
        <v>355</v>
      </c>
      <c r="Q49273" s="5" t="s">
        <v>355</v>
      </c>
    </row>
    <row r="49274" ht="16.5" customHeight="1">
      <c r="O49274" s="5" t="s">
        <v>355</v>
      </c>
      <c r="P49274" s="5" t="s">
        <v>355</v>
      </c>
      <c r="Q49274" s="5" t="s">
        <v>355</v>
      </c>
    </row>
    <row r="49275" ht="16.5" customHeight="1">
      <c r="O49275" s="5" t="s">
        <v>355</v>
      </c>
      <c r="P49275" s="5" t="s">
        <v>355</v>
      </c>
      <c r="Q49275" s="5" t="s">
        <v>355</v>
      </c>
    </row>
    <row r="49276" ht="16.5" customHeight="1">
      <c r="O49276" s="5" t="s">
        <v>355</v>
      </c>
      <c r="P49276" s="5" t="s">
        <v>355</v>
      </c>
      <c r="Q49276" s="5" t="s">
        <v>355</v>
      </c>
    </row>
    <row r="49277" ht="16.5" customHeight="1">
      <c r="O49277" s="5" t="s">
        <v>355</v>
      </c>
      <c r="P49277" s="5" t="s">
        <v>355</v>
      </c>
      <c r="Q49277" s="5" t="s">
        <v>355</v>
      </c>
    </row>
    <row r="49278" ht="16.5" customHeight="1">
      <c r="O49278" s="5" t="s">
        <v>355</v>
      </c>
      <c r="P49278" s="5" t="s">
        <v>355</v>
      </c>
      <c r="Q49278" s="5" t="s">
        <v>355</v>
      </c>
    </row>
    <row r="49279" ht="16.5" customHeight="1">
      <c r="O49279" s="5" t="s">
        <v>355</v>
      </c>
      <c r="P49279" s="5" t="s">
        <v>355</v>
      </c>
      <c r="Q49279" s="5" t="s">
        <v>355</v>
      </c>
    </row>
    <row r="49280" ht="16.5" customHeight="1">
      <c r="O49280" s="5" t="s">
        <v>355</v>
      </c>
      <c r="P49280" s="5" t="s">
        <v>355</v>
      </c>
      <c r="Q49280" s="5" t="s">
        <v>355</v>
      </c>
    </row>
    <row r="49281" ht="16.5" customHeight="1">
      <c r="O49281" s="5" t="s">
        <v>355</v>
      </c>
      <c r="P49281" s="5" t="s">
        <v>355</v>
      </c>
      <c r="Q49281" s="5" t="s">
        <v>355</v>
      </c>
    </row>
    <row r="49282" ht="16.5" customHeight="1">
      <c r="O49282" s="5" t="s">
        <v>355</v>
      </c>
      <c r="P49282" s="5" t="s">
        <v>355</v>
      </c>
      <c r="Q49282" s="5" t="s">
        <v>355</v>
      </c>
    </row>
    <row r="49283" ht="16.5" customHeight="1">
      <c r="O49283" s="5" t="s">
        <v>355</v>
      </c>
      <c r="P49283" s="5" t="s">
        <v>355</v>
      </c>
      <c r="Q49283" s="5" t="s">
        <v>355</v>
      </c>
    </row>
    <row r="49284" ht="16.5" customHeight="1">
      <c r="O49284" s="5" t="s">
        <v>355</v>
      </c>
      <c r="P49284" s="5" t="s">
        <v>355</v>
      </c>
      <c r="Q49284" s="5" t="s">
        <v>355</v>
      </c>
    </row>
    <row r="49285" ht="16.5" customHeight="1">
      <c r="O49285" s="5" t="s">
        <v>355</v>
      </c>
      <c r="P49285" s="5" t="s">
        <v>355</v>
      </c>
      <c r="Q49285" s="5" t="s">
        <v>355</v>
      </c>
    </row>
    <row r="49286" ht="16.5" customHeight="1">
      <c r="O49286" s="5" t="s">
        <v>355</v>
      </c>
      <c r="P49286" s="5" t="s">
        <v>355</v>
      </c>
      <c r="Q49286" s="5" t="s">
        <v>355</v>
      </c>
    </row>
    <row r="49287" ht="16.5" customHeight="1">
      <c r="O49287" s="5" t="s">
        <v>355</v>
      </c>
      <c r="P49287" s="5" t="s">
        <v>355</v>
      </c>
      <c r="Q49287" s="5" t="s">
        <v>355</v>
      </c>
    </row>
    <row r="49288" ht="16.5" customHeight="1">
      <c r="O49288" s="5" t="s">
        <v>355</v>
      </c>
      <c r="P49288" s="5" t="s">
        <v>355</v>
      </c>
      <c r="Q49288" s="5" t="s">
        <v>355</v>
      </c>
    </row>
    <row r="49289" ht="16.5" customHeight="1">
      <c r="O49289" s="5" t="s">
        <v>355</v>
      </c>
      <c r="P49289" s="5" t="s">
        <v>355</v>
      </c>
      <c r="Q49289" s="5" t="s">
        <v>355</v>
      </c>
    </row>
    <row r="49290" ht="16.5" customHeight="1">
      <c r="O49290" s="5" t="s">
        <v>355</v>
      </c>
      <c r="P49290" s="5" t="s">
        <v>355</v>
      </c>
      <c r="Q49290" s="5" t="s">
        <v>355</v>
      </c>
    </row>
    <row r="49291" ht="16.5" customHeight="1">
      <c r="O49291" s="5" t="s">
        <v>355</v>
      </c>
      <c r="P49291" s="5" t="s">
        <v>355</v>
      </c>
      <c r="Q49291" s="5" t="s">
        <v>355</v>
      </c>
    </row>
    <row r="49292" ht="16.5" customHeight="1">
      <c r="O49292" s="5" t="s">
        <v>355</v>
      </c>
      <c r="P49292" s="5" t="s">
        <v>355</v>
      </c>
      <c r="Q49292" s="5" t="s">
        <v>355</v>
      </c>
    </row>
    <row r="49293" ht="16.5" customHeight="1">
      <c r="O49293" s="5" t="s">
        <v>355</v>
      </c>
      <c r="P49293" s="5" t="s">
        <v>355</v>
      </c>
      <c r="Q49293" s="5" t="s">
        <v>355</v>
      </c>
    </row>
    <row r="49294" ht="16.5" customHeight="1">
      <c r="O49294" s="5" t="s">
        <v>355</v>
      </c>
      <c r="P49294" s="5" t="s">
        <v>355</v>
      </c>
      <c r="Q49294" s="5" t="s">
        <v>355</v>
      </c>
    </row>
    <row r="49295" ht="16.5" customHeight="1">
      <c r="O49295" s="5" t="s">
        <v>355</v>
      </c>
      <c r="P49295" s="5" t="s">
        <v>355</v>
      </c>
      <c r="Q49295" s="5" t="s">
        <v>355</v>
      </c>
    </row>
    <row r="49296" ht="16.5" customHeight="1">
      <c r="O49296" s="5" t="s">
        <v>355</v>
      </c>
      <c r="P49296" s="5" t="s">
        <v>355</v>
      </c>
      <c r="Q49296" s="5" t="s">
        <v>355</v>
      </c>
    </row>
    <row r="49297" ht="16.5" customHeight="1">
      <c r="O49297" s="5" t="s">
        <v>355</v>
      </c>
      <c r="P49297" s="5" t="s">
        <v>355</v>
      </c>
      <c r="Q49297" s="5" t="s">
        <v>355</v>
      </c>
    </row>
    <row r="49298" ht="16.5" customHeight="1">
      <c r="O49298" s="5" t="s">
        <v>355</v>
      </c>
      <c r="P49298" s="5" t="s">
        <v>355</v>
      </c>
      <c r="Q49298" s="5" t="s">
        <v>355</v>
      </c>
    </row>
    <row r="49299" ht="16.5" customHeight="1">
      <c r="O49299" s="5" t="s">
        <v>355</v>
      </c>
      <c r="P49299" s="5" t="s">
        <v>355</v>
      </c>
      <c r="Q49299" s="5" t="s">
        <v>355</v>
      </c>
    </row>
    <row r="49300" ht="16.5" customHeight="1">
      <c r="O49300" s="5" t="s">
        <v>355</v>
      </c>
      <c r="P49300" s="5" t="s">
        <v>355</v>
      </c>
      <c r="Q49300" s="5" t="s">
        <v>355</v>
      </c>
    </row>
    <row r="49301" ht="16.5" customHeight="1">
      <c r="O49301" s="5" t="s">
        <v>355</v>
      </c>
      <c r="P49301" s="5" t="s">
        <v>355</v>
      </c>
      <c r="Q49301" s="5" t="s">
        <v>355</v>
      </c>
    </row>
    <row r="49302" ht="16.5" customHeight="1">
      <c r="O49302" s="5" t="s">
        <v>355</v>
      </c>
      <c r="P49302" s="5" t="s">
        <v>355</v>
      </c>
      <c r="Q49302" s="5" t="s">
        <v>355</v>
      </c>
    </row>
    <row r="49303" ht="16.5" customHeight="1">
      <c r="O49303" s="5" t="s">
        <v>355</v>
      </c>
      <c r="P49303" s="5" t="s">
        <v>355</v>
      </c>
      <c r="Q49303" s="5" t="s">
        <v>355</v>
      </c>
    </row>
    <row r="49304" ht="16.5" customHeight="1">
      <c r="O49304" s="5" t="s">
        <v>355</v>
      </c>
      <c r="P49304" s="5" t="s">
        <v>355</v>
      </c>
      <c r="Q49304" s="5" t="s">
        <v>355</v>
      </c>
    </row>
    <row r="49305" ht="16.5" customHeight="1">
      <c r="O49305" s="5" t="s">
        <v>355</v>
      </c>
      <c r="P49305" s="5" t="s">
        <v>355</v>
      </c>
      <c r="Q49305" s="5" t="s">
        <v>355</v>
      </c>
    </row>
    <row r="49306" ht="16.5" customHeight="1">
      <c r="O49306" s="5" t="s">
        <v>355</v>
      </c>
      <c r="P49306" s="5" t="s">
        <v>355</v>
      </c>
      <c r="Q49306" s="5" t="s">
        <v>355</v>
      </c>
    </row>
    <row r="49307" ht="16.5" customHeight="1">
      <c r="O49307" s="5" t="s">
        <v>355</v>
      </c>
      <c r="P49307" s="5" t="s">
        <v>355</v>
      </c>
      <c r="Q49307" s="5" t="s">
        <v>355</v>
      </c>
    </row>
    <row r="49308" ht="16.5" customHeight="1">
      <c r="O49308" s="5" t="s">
        <v>355</v>
      </c>
      <c r="P49308" s="5" t="s">
        <v>355</v>
      </c>
      <c r="Q49308" s="5" t="s">
        <v>355</v>
      </c>
    </row>
    <row r="49309" ht="16.5" customHeight="1">
      <c r="O49309" s="5" t="s">
        <v>355</v>
      </c>
      <c r="P49309" s="5" t="s">
        <v>355</v>
      </c>
      <c r="Q49309" s="5" t="s">
        <v>355</v>
      </c>
    </row>
    <row r="49310" ht="16.5" customHeight="1">
      <c r="O49310" s="5" t="s">
        <v>355</v>
      </c>
      <c r="P49310" s="5" t="s">
        <v>355</v>
      </c>
      <c r="Q49310" s="5" t="s">
        <v>355</v>
      </c>
    </row>
    <row r="49311" ht="16.5" customHeight="1">
      <c r="O49311" s="5" t="s">
        <v>355</v>
      </c>
      <c r="P49311" s="5" t="s">
        <v>355</v>
      </c>
      <c r="Q49311" s="5" t="s">
        <v>355</v>
      </c>
    </row>
    <row r="49312" ht="16.5" customHeight="1">
      <c r="O49312" s="5" t="s">
        <v>355</v>
      </c>
      <c r="P49312" s="5" t="s">
        <v>355</v>
      </c>
      <c r="Q49312" s="5" t="s">
        <v>355</v>
      </c>
    </row>
    <row r="49313" ht="16.5" customHeight="1">
      <c r="O49313" s="5" t="s">
        <v>355</v>
      </c>
      <c r="P49313" s="5" t="s">
        <v>355</v>
      </c>
      <c r="Q49313" s="5" t="s">
        <v>355</v>
      </c>
    </row>
    <row r="49314" ht="16.5" customHeight="1">
      <c r="O49314" s="5" t="s">
        <v>355</v>
      </c>
      <c r="P49314" s="5" t="s">
        <v>355</v>
      </c>
      <c r="Q49314" s="5" t="s">
        <v>355</v>
      </c>
    </row>
    <row r="49315" ht="16.5" customHeight="1">
      <c r="O49315" s="5" t="s">
        <v>355</v>
      </c>
      <c r="P49315" s="5" t="s">
        <v>355</v>
      </c>
      <c r="Q49315" s="5" t="s">
        <v>355</v>
      </c>
    </row>
    <row r="49316" ht="16.5" customHeight="1">
      <c r="O49316" s="5" t="s">
        <v>355</v>
      </c>
      <c r="P49316" s="5" t="s">
        <v>355</v>
      </c>
      <c r="Q49316" s="5" t="s">
        <v>355</v>
      </c>
    </row>
    <row r="49317" ht="16.5" customHeight="1">
      <c r="O49317" s="5" t="s">
        <v>355</v>
      </c>
      <c r="P49317" s="5" t="s">
        <v>355</v>
      </c>
      <c r="Q49317" s="5" t="s">
        <v>355</v>
      </c>
    </row>
    <row r="49318" ht="16.5" customHeight="1">
      <c r="O49318" s="5" t="s">
        <v>355</v>
      </c>
      <c r="P49318" s="5" t="s">
        <v>355</v>
      </c>
      <c r="Q49318" s="5" t="s">
        <v>355</v>
      </c>
    </row>
    <row r="49319" ht="16.5" customHeight="1">
      <c r="O49319" s="5" t="s">
        <v>355</v>
      </c>
      <c r="P49319" s="5" t="s">
        <v>355</v>
      </c>
      <c r="Q49319" s="5" t="s">
        <v>355</v>
      </c>
    </row>
    <row r="49320" ht="16.5" customHeight="1">
      <c r="O49320" s="5" t="s">
        <v>355</v>
      </c>
      <c r="P49320" s="5" t="s">
        <v>355</v>
      </c>
      <c r="Q49320" s="5" t="s">
        <v>355</v>
      </c>
    </row>
    <row r="49321" ht="16.5" customHeight="1">
      <c r="O49321" s="5" t="s">
        <v>355</v>
      </c>
      <c r="P49321" s="5" t="s">
        <v>355</v>
      </c>
      <c r="Q49321" s="5" t="s">
        <v>355</v>
      </c>
    </row>
    <row r="49322" ht="16.5" customHeight="1">
      <c r="O49322" s="5" t="s">
        <v>355</v>
      </c>
      <c r="P49322" s="5" t="s">
        <v>355</v>
      </c>
      <c r="Q49322" s="5" t="s">
        <v>355</v>
      </c>
    </row>
    <row r="49323" ht="16.5" customHeight="1">
      <c r="O49323" s="5" t="s">
        <v>355</v>
      </c>
      <c r="P49323" s="5" t="s">
        <v>355</v>
      </c>
      <c r="Q49323" s="5" t="s">
        <v>355</v>
      </c>
    </row>
    <row r="49324" ht="16.5" customHeight="1">
      <c r="O49324" s="5" t="s">
        <v>355</v>
      </c>
      <c r="P49324" s="5" t="s">
        <v>355</v>
      </c>
      <c r="Q49324" s="5" t="s">
        <v>355</v>
      </c>
    </row>
    <row r="49325" ht="16.5" customHeight="1">
      <c r="O49325" s="5" t="s">
        <v>355</v>
      </c>
      <c r="P49325" s="5" t="s">
        <v>355</v>
      </c>
      <c r="Q49325" s="5" t="s">
        <v>355</v>
      </c>
    </row>
    <row r="49326" ht="16.5" customHeight="1">
      <c r="O49326" s="5" t="s">
        <v>355</v>
      </c>
      <c r="P49326" s="5" t="s">
        <v>355</v>
      </c>
      <c r="Q49326" s="5" t="s">
        <v>355</v>
      </c>
    </row>
    <row r="49327" ht="16.5" customHeight="1">
      <c r="O49327" s="5" t="s">
        <v>355</v>
      </c>
      <c r="P49327" s="5" t="s">
        <v>355</v>
      </c>
      <c r="Q49327" s="5" t="s">
        <v>355</v>
      </c>
    </row>
    <row r="49328" ht="16.5" customHeight="1">
      <c r="O49328" s="5" t="s">
        <v>355</v>
      </c>
      <c r="P49328" s="5" t="s">
        <v>355</v>
      </c>
      <c r="Q49328" s="5" t="s">
        <v>355</v>
      </c>
    </row>
    <row r="49329" ht="16.5" customHeight="1">
      <c r="O49329" s="5" t="s">
        <v>355</v>
      </c>
      <c r="P49329" s="5" t="s">
        <v>355</v>
      </c>
      <c r="Q49329" s="5" t="s">
        <v>355</v>
      </c>
    </row>
    <row r="49330" ht="16.5" customHeight="1">
      <c r="O49330" s="5" t="s">
        <v>355</v>
      </c>
      <c r="P49330" s="5" t="s">
        <v>355</v>
      </c>
      <c r="Q49330" s="5" t="s">
        <v>355</v>
      </c>
    </row>
    <row r="49331" ht="16.5" customHeight="1">
      <c r="O49331" s="5" t="s">
        <v>355</v>
      </c>
      <c r="P49331" s="5" t="s">
        <v>355</v>
      </c>
      <c r="Q49331" s="5" t="s">
        <v>355</v>
      </c>
    </row>
    <row r="49332" ht="16.5" customHeight="1">
      <c r="O49332" s="5" t="s">
        <v>355</v>
      </c>
      <c r="P49332" s="5" t="s">
        <v>355</v>
      </c>
      <c r="Q49332" s="5" t="s">
        <v>355</v>
      </c>
    </row>
    <row r="49333" ht="16.5" customHeight="1">
      <c r="O49333" s="5" t="s">
        <v>355</v>
      </c>
      <c r="P49333" s="5" t="s">
        <v>355</v>
      </c>
      <c r="Q49333" s="5" t="s">
        <v>355</v>
      </c>
    </row>
    <row r="49334" ht="16.5" customHeight="1">
      <c r="O49334" s="5" t="s">
        <v>355</v>
      </c>
      <c r="P49334" s="5" t="s">
        <v>355</v>
      </c>
      <c r="Q49334" s="5" t="s">
        <v>355</v>
      </c>
    </row>
    <row r="49335" ht="16.5" customHeight="1">
      <c r="O49335" s="5" t="s">
        <v>355</v>
      </c>
      <c r="P49335" s="5" t="s">
        <v>355</v>
      </c>
      <c r="Q49335" s="5" t="s">
        <v>355</v>
      </c>
    </row>
    <row r="49336" ht="16.5" customHeight="1">
      <c r="O49336" s="5" t="s">
        <v>355</v>
      </c>
      <c r="P49336" s="5" t="s">
        <v>355</v>
      </c>
      <c r="Q49336" s="5" t="s">
        <v>355</v>
      </c>
    </row>
    <row r="49337" ht="16.5" customHeight="1">
      <c r="O49337" s="5" t="s">
        <v>355</v>
      </c>
      <c r="P49337" s="5" t="s">
        <v>355</v>
      </c>
      <c r="Q49337" s="5" t="s">
        <v>355</v>
      </c>
    </row>
    <row r="49338" ht="16.5" customHeight="1">
      <c r="O49338" s="5" t="s">
        <v>355</v>
      </c>
      <c r="P49338" s="5" t="s">
        <v>355</v>
      </c>
      <c r="Q49338" s="5" t="s">
        <v>355</v>
      </c>
    </row>
    <row r="49339" ht="16.5" customHeight="1">
      <c r="O49339" s="5" t="s">
        <v>355</v>
      </c>
      <c r="P49339" s="5" t="s">
        <v>355</v>
      </c>
      <c r="Q49339" s="5" t="s">
        <v>355</v>
      </c>
    </row>
    <row r="49340" ht="16.5" customHeight="1">
      <c r="O49340" s="5" t="s">
        <v>355</v>
      </c>
      <c r="P49340" s="5" t="s">
        <v>355</v>
      </c>
      <c r="Q49340" s="5" t="s">
        <v>355</v>
      </c>
    </row>
    <row r="49341" ht="16.5" customHeight="1">
      <c r="O49341" s="5" t="s">
        <v>355</v>
      </c>
      <c r="P49341" s="5" t="s">
        <v>355</v>
      </c>
      <c r="Q49341" s="5" t="s">
        <v>355</v>
      </c>
    </row>
    <row r="49342" ht="16.5" customHeight="1">
      <c r="O49342" s="5" t="s">
        <v>355</v>
      </c>
      <c r="P49342" s="5" t="s">
        <v>355</v>
      </c>
      <c r="Q49342" s="5" t="s">
        <v>355</v>
      </c>
    </row>
    <row r="49343" ht="16.5" customHeight="1">
      <c r="O49343" s="5" t="s">
        <v>355</v>
      </c>
      <c r="P49343" s="5" t="s">
        <v>355</v>
      </c>
      <c r="Q49343" s="5" t="s">
        <v>355</v>
      </c>
    </row>
    <row r="49344" ht="16.5" customHeight="1">
      <c r="O49344" s="5" t="s">
        <v>355</v>
      </c>
      <c r="P49344" s="5" t="s">
        <v>355</v>
      </c>
      <c r="Q49344" s="5" t="s">
        <v>355</v>
      </c>
    </row>
    <row r="49345" ht="16.5" customHeight="1">
      <c r="O49345" s="5" t="s">
        <v>355</v>
      </c>
      <c r="P49345" s="5" t="s">
        <v>355</v>
      </c>
      <c r="Q49345" s="5" t="s">
        <v>355</v>
      </c>
    </row>
    <row r="49346" ht="16.5" customHeight="1">
      <c r="O49346" s="5" t="s">
        <v>355</v>
      </c>
      <c r="P49346" s="5" t="s">
        <v>355</v>
      </c>
      <c r="Q49346" s="5" t="s">
        <v>355</v>
      </c>
    </row>
    <row r="49347" ht="16.5" customHeight="1">
      <c r="O49347" s="5" t="s">
        <v>355</v>
      </c>
      <c r="P49347" s="5" t="s">
        <v>355</v>
      </c>
      <c r="Q49347" s="5" t="s">
        <v>355</v>
      </c>
    </row>
    <row r="49348" ht="16.5" customHeight="1">
      <c r="O49348" s="5" t="s">
        <v>355</v>
      </c>
      <c r="P49348" s="5" t="s">
        <v>355</v>
      </c>
      <c r="Q49348" s="5" t="s">
        <v>355</v>
      </c>
    </row>
    <row r="49349" ht="16.5" customHeight="1">
      <c r="O49349" s="5" t="s">
        <v>355</v>
      </c>
      <c r="P49349" s="5" t="s">
        <v>355</v>
      </c>
      <c r="Q49349" s="5" t="s">
        <v>355</v>
      </c>
    </row>
    <row r="49350" ht="16.5" customHeight="1">
      <c r="O49350" s="5" t="s">
        <v>355</v>
      </c>
      <c r="P49350" s="5" t="s">
        <v>355</v>
      </c>
      <c r="Q49350" s="5" t="s">
        <v>355</v>
      </c>
    </row>
    <row r="49351" ht="16.5" customHeight="1">
      <c r="O49351" s="5" t="s">
        <v>355</v>
      </c>
      <c r="P49351" s="5" t="s">
        <v>355</v>
      </c>
      <c r="Q49351" s="5" t="s">
        <v>355</v>
      </c>
    </row>
    <row r="49352" ht="16.5" customHeight="1">
      <c r="O49352" s="5" t="s">
        <v>355</v>
      </c>
      <c r="P49352" s="5" t="s">
        <v>355</v>
      </c>
      <c r="Q49352" s="5" t="s">
        <v>355</v>
      </c>
    </row>
    <row r="49353" ht="16.5" customHeight="1">
      <c r="O49353" s="5" t="s">
        <v>355</v>
      </c>
      <c r="P49353" s="5" t="s">
        <v>355</v>
      </c>
      <c r="Q49353" s="5" t="s">
        <v>355</v>
      </c>
    </row>
    <row r="49354" ht="16.5" customHeight="1">
      <c r="O49354" s="5" t="s">
        <v>355</v>
      </c>
      <c r="P49354" s="5" t="s">
        <v>355</v>
      </c>
      <c r="Q49354" s="5" t="s">
        <v>355</v>
      </c>
    </row>
    <row r="49355" ht="16.5" customHeight="1">
      <c r="O49355" s="5" t="s">
        <v>355</v>
      </c>
      <c r="P49355" s="5" t="s">
        <v>355</v>
      </c>
      <c r="Q49355" s="5" t="s">
        <v>355</v>
      </c>
    </row>
    <row r="49356" ht="16.5" customHeight="1">
      <c r="O49356" s="5" t="s">
        <v>355</v>
      </c>
      <c r="P49356" s="5" t="s">
        <v>355</v>
      </c>
      <c r="Q49356" s="5" t="s">
        <v>355</v>
      </c>
    </row>
    <row r="49357" ht="16.5" customHeight="1">
      <c r="O49357" s="5" t="s">
        <v>355</v>
      </c>
      <c r="P49357" s="5" t="s">
        <v>355</v>
      </c>
      <c r="Q49357" s="5" t="s">
        <v>355</v>
      </c>
    </row>
    <row r="49358" ht="16.5" customHeight="1">
      <c r="O49358" s="5" t="s">
        <v>355</v>
      </c>
      <c r="P49358" s="5" t="s">
        <v>355</v>
      </c>
      <c r="Q49358" s="5" t="s">
        <v>355</v>
      </c>
    </row>
    <row r="49359" ht="16.5" customHeight="1">
      <c r="O49359" s="5" t="s">
        <v>355</v>
      </c>
      <c r="P49359" s="5" t="s">
        <v>355</v>
      </c>
      <c r="Q49359" s="5" t="s">
        <v>355</v>
      </c>
    </row>
    <row r="49360" ht="16.5" customHeight="1">
      <c r="O49360" s="5" t="s">
        <v>355</v>
      </c>
      <c r="P49360" s="5" t="s">
        <v>355</v>
      </c>
      <c r="Q49360" s="5" t="s">
        <v>355</v>
      </c>
    </row>
    <row r="49361" ht="16.5" customHeight="1">
      <c r="O49361" s="5" t="s">
        <v>355</v>
      </c>
      <c r="P49361" s="5" t="s">
        <v>355</v>
      </c>
      <c r="Q49361" s="5" t="s">
        <v>355</v>
      </c>
    </row>
    <row r="49362" ht="16.5" customHeight="1">
      <c r="O49362" s="5" t="s">
        <v>355</v>
      </c>
      <c r="P49362" s="5" t="s">
        <v>355</v>
      </c>
      <c r="Q49362" s="5" t="s">
        <v>355</v>
      </c>
    </row>
    <row r="49363" ht="16.5" customHeight="1">
      <c r="O49363" s="5" t="s">
        <v>355</v>
      </c>
      <c r="P49363" s="5" t="s">
        <v>355</v>
      </c>
      <c r="Q49363" s="5" t="s">
        <v>355</v>
      </c>
    </row>
    <row r="49364" ht="16.5" customHeight="1">
      <c r="O49364" s="5" t="s">
        <v>355</v>
      </c>
      <c r="P49364" s="5" t="s">
        <v>355</v>
      </c>
      <c r="Q49364" s="5" t="s">
        <v>355</v>
      </c>
    </row>
    <row r="49365" ht="16.5" customHeight="1">
      <c r="O49365" s="5" t="s">
        <v>355</v>
      </c>
      <c r="P49365" s="5" t="s">
        <v>355</v>
      </c>
      <c r="Q49365" s="5" t="s">
        <v>355</v>
      </c>
    </row>
    <row r="49366" ht="16.5" customHeight="1">
      <c r="O49366" s="5" t="s">
        <v>355</v>
      </c>
      <c r="P49366" s="5" t="s">
        <v>355</v>
      </c>
      <c r="Q49366" s="5" t="s">
        <v>355</v>
      </c>
    </row>
    <row r="49367" ht="16.5" customHeight="1">
      <c r="O49367" s="5" t="s">
        <v>355</v>
      </c>
      <c r="P49367" s="5" t="s">
        <v>355</v>
      </c>
      <c r="Q49367" s="5" t="s">
        <v>355</v>
      </c>
    </row>
    <row r="49368" ht="16.5" customHeight="1">
      <c r="O49368" s="5" t="s">
        <v>355</v>
      </c>
      <c r="P49368" s="5" t="s">
        <v>355</v>
      </c>
      <c r="Q49368" s="5" t="s">
        <v>355</v>
      </c>
    </row>
    <row r="49369" ht="16.5" customHeight="1">
      <c r="O49369" s="5" t="s">
        <v>355</v>
      </c>
      <c r="P49369" s="5" t="s">
        <v>355</v>
      </c>
      <c r="Q49369" s="5" t="s">
        <v>355</v>
      </c>
    </row>
    <row r="49370" ht="16.5" customHeight="1">
      <c r="O49370" s="5" t="s">
        <v>355</v>
      </c>
      <c r="P49370" s="5" t="s">
        <v>355</v>
      </c>
      <c r="Q49370" s="5" t="s">
        <v>355</v>
      </c>
    </row>
    <row r="49371" ht="16.5" customHeight="1">
      <c r="O49371" s="5" t="s">
        <v>355</v>
      </c>
      <c r="P49371" s="5" t="s">
        <v>355</v>
      </c>
      <c r="Q49371" s="5" t="s">
        <v>355</v>
      </c>
    </row>
    <row r="49372" ht="16.5" customHeight="1">
      <c r="O49372" s="5" t="s">
        <v>355</v>
      </c>
      <c r="P49372" s="5" t="s">
        <v>355</v>
      </c>
      <c r="Q49372" s="5" t="s">
        <v>355</v>
      </c>
    </row>
    <row r="49373" ht="16.5" customHeight="1">
      <c r="O49373" s="5" t="s">
        <v>355</v>
      </c>
      <c r="P49373" s="5" t="s">
        <v>355</v>
      </c>
      <c r="Q49373" s="5" t="s">
        <v>355</v>
      </c>
    </row>
    <row r="49374" ht="16.5" customHeight="1">
      <c r="O49374" s="5" t="s">
        <v>355</v>
      </c>
      <c r="P49374" s="5" t="s">
        <v>355</v>
      </c>
      <c r="Q49374" s="5" t="s">
        <v>355</v>
      </c>
    </row>
    <row r="49375" ht="16.5" customHeight="1">
      <c r="O49375" s="5" t="s">
        <v>355</v>
      </c>
      <c r="P49375" s="5" t="s">
        <v>355</v>
      </c>
      <c r="Q49375" s="5" t="s">
        <v>355</v>
      </c>
    </row>
    <row r="49376" ht="16.5" customHeight="1">
      <c r="O49376" s="5" t="s">
        <v>355</v>
      </c>
      <c r="P49376" s="5" t="s">
        <v>355</v>
      </c>
      <c r="Q49376" s="5" t="s">
        <v>355</v>
      </c>
    </row>
    <row r="49377" ht="16.5" customHeight="1">
      <c r="O49377" s="5" t="s">
        <v>355</v>
      </c>
      <c r="P49377" s="5" t="s">
        <v>355</v>
      </c>
      <c r="Q49377" s="5" t="s">
        <v>355</v>
      </c>
    </row>
    <row r="49378" ht="16.5" customHeight="1">
      <c r="O49378" s="5" t="s">
        <v>355</v>
      </c>
      <c r="P49378" s="5" t="s">
        <v>355</v>
      </c>
      <c r="Q49378" s="5" t="s">
        <v>355</v>
      </c>
    </row>
    <row r="49379" ht="16.5" customHeight="1">
      <c r="O49379" s="5" t="s">
        <v>355</v>
      </c>
      <c r="P49379" s="5" t="s">
        <v>355</v>
      </c>
      <c r="Q49379" s="5" t="s">
        <v>355</v>
      </c>
    </row>
    <row r="49380" ht="16.5" customHeight="1">
      <c r="O49380" s="5" t="s">
        <v>355</v>
      </c>
      <c r="P49380" s="5" t="s">
        <v>355</v>
      </c>
      <c r="Q49380" s="5" t="s">
        <v>355</v>
      </c>
    </row>
    <row r="49381" ht="16.5" customHeight="1">
      <c r="O49381" s="5" t="s">
        <v>355</v>
      </c>
      <c r="P49381" s="5" t="s">
        <v>355</v>
      </c>
      <c r="Q49381" s="5" t="s">
        <v>355</v>
      </c>
    </row>
    <row r="49382" ht="16.5" customHeight="1">
      <c r="O49382" s="5" t="s">
        <v>355</v>
      </c>
      <c r="P49382" s="5" t="s">
        <v>355</v>
      </c>
      <c r="Q49382" s="5" t="s">
        <v>355</v>
      </c>
    </row>
    <row r="49383" ht="16.5" customHeight="1">
      <c r="O49383" s="5" t="s">
        <v>355</v>
      </c>
      <c r="P49383" s="5" t="s">
        <v>355</v>
      </c>
      <c r="Q49383" s="5" t="s">
        <v>355</v>
      </c>
    </row>
    <row r="49384" ht="16.5" customHeight="1">
      <c r="O49384" s="5" t="s">
        <v>355</v>
      </c>
      <c r="P49384" s="5" t="s">
        <v>355</v>
      </c>
      <c r="Q49384" s="5" t="s">
        <v>355</v>
      </c>
    </row>
    <row r="49385" ht="16.5" customHeight="1">
      <c r="O49385" s="5" t="s">
        <v>355</v>
      </c>
      <c r="P49385" s="5" t="s">
        <v>355</v>
      </c>
      <c r="Q49385" s="5" t="s">
        <v>355</v>
      </c>
    </row>
    <row r="49386" ht="16.5" customHeight="1">
      <c r="O49386" s="5" t="s">
        <v>355</v>
      </c>
      <c r="P49386" s="5" t="s">
        <v>355</v>
      </c>
      <c r="Q49386" s="5" t="s">
        <v>355</v>
      </c>
    </row>
    <row r="49387" ht="16.5" customHeight="1">
      <c r="O49387" s="5" t="s">
        <v>355</v>
      </c>
      <c r="P49387" s="5" t="s">
        <v>355</v>
      </c>
      <c r="Q49387" s="5" t="s">
        <v>355</v>
      </c>
    </row>
    <row r="49388" ht="16.5" customHeight="1">
      <c r="O49388" s="5" t="s">
        <v>355</v>
      </c>
      <c r="P49388" s="5" t="s">
        <v>355</v>
      </c>
      <c r="Q49388" s="5" t="s">
        <v>355</v>
      </c>
    </row>
    <row r="49389" ht="16.5" customHeight="1">
      <c r="O49389" s="5" t="s">
        <v>355</v>
      </c>
      <c r="P49389" s="5" t="s">
        <v>355</v>
      </c>
      <c r="Q49389" s="5" t="s">
        <v>355</v>
      </c>
    </row>
    <row r="49390" ht="16.5" customHeight="1">
      <c r="O49390" s="5" t="s">
        <v>355</v>
      </c>
      <c r="P49390" s="5" t="s">
        <v>355</v>
      </c>
      <c r="Q49390" s="5" t="s">
        <v>355</v>
      </c>
    </row>
    <row r="49391" ht="16.5" customHeight="1">
      <c r="O49391" s="5" t="s">
        <v>355</v>
      </c>
      <c r="P49391" s="5" t="s">
        <v>355</v>
      </c>
      <c r="Q49391" s="5" t="s">
        <v>355</v>
      </c>
    </row>
    <row r="49392" ht="16.5" customHeight="1">
      <c r="O49392" s="5" t="s">
        <v>355</v>
      </c>
      <c r="P49392" s="5" t="s">
        <v>355</v>
      </c>
      <c r="Q49392" s="5" t="s">
        <v>355</v>
      </c>
    </row>
    <row r="49393" ht="16.5" customHeight="1">
      <c r="O49393" s="5" t="s">
        <v>355</v>
      </c>
      <c r="P49393" s="5" t="s">
        <v>355</v>
      </c>
      <c r="Q49393" s="5" t="s">
        <v>355</v>
      </c>
    </row>
    <row r="49394" ht="16.5" customHeight="1">
      <c r="O49394" s="5" t="s">
        <v>355</v>
      </c>
      <c r="P49394" s="5" t="s">
        <v>355</v>
      </c>
      <c r="Q49394" s="5" t="s">
        <v>355</v>
      </c>
    </row>
    <row r="49395" ht="16.5" customHeight="1">
      <c r="O49395" s="5" t="s">
        <v>355</v>
      </c>
      <c r="P49395" s="5" t="s">
        <v>355</v>
      </c>
      <c r="Q49395" s="5" t="s">
        <v>355</v>
      </c>
    </row>
    <row r="49396" ht="16.5" customHeight="1">
      <c r="O49396" s="5" t="s">
        <v>355</v>
      </c>
      <c r="P49396" s="5" t="s">
        <v>355</v>
      </c>
      <c r="Q49396" s="5" t="s">
        <v>355</v>
      </c>
    </row>
    <row r="49397" ht="16.5" customHeight="1">
      <c r="O49397" s="5" t="s">
        <v>355</v>
      </c>
      <c r="P49397" s="5" t="s">
        <v>355</v>
      </c>
      <c r="Q49397" s="5" t="s">
        <v>355</v>
      </c>
    </row>
    <row r="49398" ht="16.5" customHeight="1">
      <c r="O49398" s="5" t="s">
        <v>355</v>
      </c>
      <c r="P49398" s="5" t="s">
        <v>355</v>
      </c>
      <c r="Q49398" s="5" t="s">
        <v>355</v>
      </c>
    </row>
    <row r="49399" ht="16.5" customHeight="1">
      <c r="O49399" s="5" t="s">
        <v>355</v>
      </c>
      <c r="P49399" s="5" t="s">
        <v>355</v>
      </c>
      <c r="Q49399" s="5" t="s">
        <v>355</v>
      </c>
    </row>
    <row r="49400" ht="16.5" customHeight="1">
      <c r="O49400" s="5" t="s">
        <v>355</v>
      </c>
      <c r="P49400" s="5" t="s">
        <v>355</v>
      </c>
      <c r="Q49400" s="5" t="s">
        <v>355</v>
      </c>
    </row>
    <row r="49401" ht="16.5" customHeight="1">
      <c r="O49401" s="5" t="s">
        <v>355</v>
      </c>
      <c r="P49401" s="5" t="s">
        <v>355</v>
      </c>
      <c r="Q49401" s="5" t="s">
        <v>355</v>
      </c>
    </row>
    <row r="49402" ht="16.5" customHeight="1">
      <c r="O49402" s="5" t="s">
        <v>355</v>
      </c>
      <c r="P49402" s="5" t="s">
        <v>355</v>
      </c>
      <c r="Q49402" s="5" t="s">
        <v>355</v>
      </c>
    </row>
    <row r="49403" ht="16.5" customHeight="1">
      <c r="O49403" s="5" t="s">
        <v>355</v>
      </c>
      <c r="P49403" s="5" t="s">
        <v>355</v>
      </c>
      <c r="Q49403" s="5" t="s">
        <v>355</v>
      </c>
    </row>
    <row r="49404" ht="16.5" customHeight="1">
      <c r="O49404" s="5" t="s">
        <v>355</v>
      </c>
      <c r="P49404" s="5" t="s">
        <v>355</v>
      </c>
      <c r="Q49404" s="5" t="s">
        <v>355</v>
      </c>
    </row>
    <row r="49405" ht="16.5" customHeight="1">
      <c r="O49405" s="5" t="s">
        <v>355</v>
      </c>
      <c r="P49405" s="5" t="s">
        <v>355</v>
      </c>
      <c r="Q49405" s="5" t="s">
        <v>355</v>
      </c>
    </row>
    <row r="49406" ht="16.5" customHeight="1">
      <c r="O49406" s="5" t="s">
        <v>355</v>
      </c>
      <c r="P49406" s="5" t="s">
        <v>355</v>
      </c>
      <c r="Q49406" s="5" t="s">
        <v>355</v>
      </c>
    </row>
    <row r="49407" ht="16.5" customHeight="1">
      <c r="O49407" s="5" t="s">
        <v>355</v>
      </c>
      <c r="P49407" s="5" t="s">
        <v>355</v>
      </c>
      <c r="Q49407" s="5" t="s">
        <v>355</v>
      </c>
    </row>
    <row r="49408" ht="16.5" customHeight="1">
      <c r="O49408" s="5" t="s">
        <v>355</v>
      </c>
      <c r="P49408" s="5" t="s">
        <v>355</v>
      </c>
      <c r="Q49408" s="5" t="s">
        <v>355</v>
      </c>
    </row>
    <row r="49409" ht="16.5" customHeight="1">
      <c r="O49409" s="5" t="s">
        <v>355</v>
      </c>
      <c r="P49409" s="5" t="s">
        <v>355</v>
      </c>
      <c r="Q49409" s="5" t="s">
        <v>355</v>
      </c>
    </row>
    <row r="49410" ht="16.5" customHeight="1">
      <c r="O49410" s="5" t="s">
        <v>355</v>
      </c>
      <c r="P49410" s="5" t="s">
        <v>355</v>
      </c>
      <c r="Q49410" s="5" t="s">
        <v>355</v>
      </c>
    </row>
    <row r="49411" ht="16.5" customHeight="1">
      <c r="O49411" s="5" t="s">
        <v>355</v>
      </c>
      <c r="P49411" s="5" t="s">
        <v>355</v>
      </c>
      <c r="Q49411" s="5" t="s">
        <v>355</v>
      </c>
    </row>
    <row r="49412" ht="16.5" customHeight="1">
      <c r="O49412" s="5" t="s">
        <v>355</v>
      </c>
      <c r="P49412" s="5" t="s">
        <v>355</v>
      </c>
      <c r="Q49412" s="5" t="s">
        <v>355</v>
      </c>
    </row>
    <row r="49413" ht="16.5" customHeight="1">
      <c r="O49413" s="5" t="s">
        <v>355</v>
      </c>
      <c r="P49413" s="5" t="s">
        <v>355</v>
      </c>
      <c r="Q49413" s="5" t="s">
        <v>355</v>
      </c>
    </row>
    <row r="49414" ht="16.5" customHeight="1">
      <c r="O49414" s="5" t="s">
        <v>355</v>
      </c>
      <c r="P49414" s="5" t="s">
        <v>355</v>
      </c>
      <c r="Q49414" s="5" t="s">
        <v>355</v>
      </c>
    </row>
    <row r="49415" ht="16.5" customHeight="1">
      <c r="O49415" s="5" t="s">
        <v>355</v>
      </c>
      <c r="P49415" s="5" t="s">
        <v>355</v>
      </c>
      <c r="Q49415" s="5" t="s">
        <v>355</v>
      </c>
    </row>
    <row r="49416" ht="16.5" customHeight="1">
      <c r="O49416" s="5" t="s">
        <v>355</v>
      </c>
      <c r="P49416" s="5" t="s">
        <v>355</v>
      </c>
      <c r="Q49416" s="5" t="s">
        <v>355</v>
      </c>
    </row>
    <row r="49417" ht="16.5" customHeight="1">
      <c r="O49417" s="5" t="s">
        <v>355</v>
      </c>
      <c r="P49417" s="5" t="s">
        <v>355</v>
      </c>
      <c r="Q49417" s="5" t="s">
        <v>355</v>
      </c>
    </row>
    <row r="49418" ht="16.5" customHeight="1">
      <c r="O49418" s="5" t="s">
        <v>355</v>
      </c>
      <c r="P49418" s="5" t="s">
        <v>355</v>
      </c>
      <c r="Q49418" s="5" t="s">
        <v>355</v>
      </c>
    </row>
    <row r="49419" ht="16.5" customHeight="1">
      <c r="O49419" s="5" t="s">
        <v>355</v>
      </c>
      <c r="P49419" s="5" t="s">
        <v>355</v>
      </c>
      <c r="Q49419" s="5" t="s">
        <v>355</v>
      </c>
    </row>
    <row r="49420" ht="16.5" customHeight="1">
      <c r="O49420" s="5" t="s">
        <v>355</v>
      </c>
      <c r="P49420" s="5" t="s">
        <v>355</v>
      </c>
      <c r="Q49420" s="5" t="s">
        <v>355</v>
      </c>
    </row>
    <row r="49421" ht="16.5" customHeight="1">
      <c r="O49421" s="5" t="s">
        <v>355</v>
      </c>
      <c r="P49421" s="5" t="s">
        <v>355</v>
      </c>
      <c r="Q49421" s="5" t="s">
        <v>355</v>
      </c>
    </row>
    <row r="49422" ht="16.5" customHeight="1">
      <c r="O49422" s="5" t="s">
        <v>355</v>
      </c>
      <c r="P49422" s="5" t="s">
        <v>355</v>
      </c>
      <c r="Q49422" s="5" t="s">
        <v>355</v>
      </c>
    </row>
    <row r="49423" ht="16.5" customHeight="1">
      <c r="O49423" s="5" t="s">
        <v>355</v>
      </c>
      <c r="P49423" s="5" t="s">
        <v>355</v>
      </c>
      <c r="Q49423" s="5" t="s">
        <v>355</v>
      </c>
    </row>
    <row r="49424" ht="16.5" customHeight="1">
      <c r="O49424" s="5" t="s">
        <v>355</v>
      </c>
      <c r="P49424" s="5" t="s">
        <v>355</v>
      </c>
      <c r="Q49424" s="5" t="s">
        <v>355</v>
      </c>
    </row>
    <row r="49425" ht="16.5" customHeight="1">
      <c r="O49425" s="5" t="s">
        <v>355</v>
      </c>
      <c r="P49425" s="5" t="s">
        <v>355</v>
      </c>
      <c r="Q49425" s="5" t="s">
        <v>355</v>
      </c>
    </row>
    <row r="49426" ht="16.5" customHeight="1">
      <c r="O49426" s="5" t="s">
        <v>355</v>
      </c>
      <c r="P49426" s="5" t="s">
        <v>355</v>
      </c>
      <c r="Q49426" s="5" t="s">
        <v>355</v>
      </c>
    </row>
    <row r="49427" ht="16.5" customHeight="1">
      <c r="O49427" s="5" t="s">
        <v>355</v>
      </c>
      <c r="P49427" s="5" t="s">
        <v>355</v>
      </c>
      <c r="Q49427" s="5" t="s">
        <v>355</v>
      </c>
    </row>
    <row r="49428" ht="16.5" customHeight="1">
      <c r="O49428" s="5" t="s">
        <v>355</v>
      </c>
      <c r="P49428" s="5" t="s">
        <v>355</v>
      </c>
      <c r="Q49428" s="5" t="s">
        <v>355</v>
      </c>
    </row>
    <row r="49429" ht="16.5" customHeight="1">
      <c r="O49429" s="5" t="s">
        <v>355</v>
      </c>
      <c r="P49429" s="5" t="s">
        <v>355</v>
      </c>
      <c r="Q49429" s="5" t="s">
        <v>355</v>
      </c>
    </row>
    <row r="49430" ht="16.5" customHeight="1">
      <c r="O49430" s="5" t="s">
        <v>355</v>
      </c>
      <c r="P49430" s="5" t="s">
        <v>355</v>
      </c>
      <c r="Q49430" s="5" t="s">
        <v>355</v>
      </c>
    </row>
    <row r="49431" ht="16.5" customHeight="1">
      <c r="O49431" s="5" t="s">
        <v>355</v>
      </c>
      <c r="P49431" s="5" t="s">
        <v>355</v>
      </c>
      <c r="Q49431" s="5" t="s">
        <v>355</v>
      </c>
    </row>
    <row r="49432" ht="16.5" customHeight="1">
      <c r="O49432" s="5" t="s">
        <v>355</v>
      </c>
      <c r="P49432" s="5" t="s">
        <v>355</v>
      </c>
      <c r="Q49432" s="5" t="s">
        <v>355</v>
      </c>
    </row>
    <row r="49433" ht="16.5" customHeight="1">
      <c r="O49433" s="5" t="s">
        <v>355</v>
      </c>
      <c r="P49433" s="5" t="s">
        <v>355</v>
      </c>
      <c r="Q49433" s="5" t="s">
        <v>355</v>
      </c>
    </row>
    <row r="49434" ht="16.5" customHeight="1">
      <c r="O49434" s="5" t="s">
        <v>355</v>
      </c>
      <c r="P49434" s="5" t="s">
        <v>355</v>
      </c>
      <c r="Q49434" s="5" t="s">
        <v>355</v>
      </c>
    </row>
    <row r="49435" ht="16.5" customHeight="1">
      <c r="O49435" s="5" t="s">
        <v>355</v>
      </c>
      <c r="P49435" s="5" t="s">
        <v>355</v>
      </c>
      <c r="Q49435" s="5" t="s">
        <v>355</v>
      </c>
    </row>
    <row r="49436" ht="16.5" customHeight="1">
      <c r="O49436" s="5" t="s">
        <v>355</v>
      </c>
      <c r="P49436" s="5" t="s">
        <v>355</v>
      </c>
      <c r="Q49436" s="5" t="s">
        <v>355</v>
      </c>
    </row>
    <row r="49437" ht="16.5" customHeight="1">
      <c r="O49437" s="5" t="s">
        <v>355</v>
      </c>
      <c r="P49437" s="5" t="s">
        <v>355</v>
      </c>
      <c r="Q49437" s="5" t="s">
        <v>355</v>
      </c>
    </row>
    <row r="49438" ht="16.5" customHeight="1">
      <c r="O49438" s="5" t="s">
        <v>355</v>
      </c>
      <c r="P49438" s="5" t="s">
        <v>355</v>
      </c>
      <c r="Q49438" s="5" t="s">
        <v>355</v>
      </c>
    </row>
    <row r="49439" ht="16.5" customHeight="1">
      <c r="O49439" s="5" t="s">
        <v>355</v>
      </c>
      <c r="P49439" s="5" t="s">
        <v>355</v>
      </c>
      <c r="Q49439" s="5" t="s">
        <v>355</v>
      </c>
    </row>
    <row r="49440" ht="16.5" customHeight="1">
      <c r="O49440" s="5" t="s">
        <v>355</v>
      </c>
      <c r="P49440" s="5" t="s">
        <v>355</v>
      </c>
      <c r="Q49440" s="5" t="s">
        <v>355</v>
      </c>
    </row>
    <row r="49441" ht="16.5" customHeight="1">
      <c r="O49441" s="5" t="s">
        <v>355</v>
      </c>
      <c r="P49441" s="5" t="s">
        <v>355</v>
      </c>
      <c r="Q49441" s="5" t="s">
        <v>355</v>
      </c>
    </row>
    <row r="49442" ht="16.5" customHeight="1">
      <c r="O49442" s="5" t="s">
        <v>355</v>
      </c>
      <c r="P49442" s="5" t="s">
        <v>355</v>
      </c>
      <c r="Q49442" s="5" t="s">
        <v>355</v>
      </c>
    </row>
    <row r="49443" ht="16.5" customHeight="1">
      <c r="O49443" s="5" t="s">
        <v>355</v>
      </c>
      <c r="P49443" s="5" t="s">
        <v>355</v>
      </c>
      <c r="Q49443" s="5" t="s">
        <v>355</v>
      </c>
    </row>
    <row r="49444" ht="16.5" customHeight="1">
      <c r="O49444" s="5" t="s">
        <v>355</v>
      </c>
      <c r="P49444" s="5" t="s">
        <v>355</v>
      </c>
      <c r="Q49444" s="5" t="s">
        <v>355</v>
      </c>
    </row>
    <row r="49445" ht="16.5" customHeight="1">
      <c r="O49445" s="5" t="s">
        <v>355</v>
      </c>
      <c r="P49445" s="5" t="s">
        <v>355</v>
      </c>
      <c r="Q49445" s="5" t="s">
        <v>355</v>
      </c>
    </row>
    <row r="49446" ht="16.5" customHeight="1">
      <c r="O49446" s="5" t="s">
        <v>355</v>
      </c>
      <c r="P49446" s="5" t="s">
        <v>355</v>
      </c>
      <c r="Q49446" s="5" t="s">
        <v>355</v>
      </c>
    </row>
    <row r="49447" ht="16.5" customHeight="1">
      <c r="O49447" s="5" t="s">
        <v>355</v>
      </c>
      <c r="P49447" s="5" t="s">
        <v>355</v>
      </c>
      <c r="Q49447" s="5" t="s">
        <v>355</v>
      </c>
    </row>
    <row r="49448" ht="16.5" customHeight="1">
      <c r="O49448" s="5" t="s">
        <v>355</v>
      </c>
      <c r="P49448" s="5" t="s">
        <v>355</v>
      </c>
      <c r="Q49448" s="5" t="s">
        <v>355</v>
      </c>
    </row>
    <row r="49449" ht="16.5" customHeight="1">
      <c r="O49449" s="5" t="s">
        <v>355</v>
      </c>
      <c r="P49449" s="5" t="s">
        <v>355</v>
      </c>
      <c r="Q49449" s="5" t="s">
        <v>355</v>
      </c>
    </row>
    <row r="49450" ht="16.5" customHeight="1">
      <c r="O49450" s="5" t="s">
        <v>355</v>
      </c>
      <c r="P49450" s="5" t="s">
        <v>355</v>
      </c>
      <c r="Q49450" s="5" t="s">
        <v>355</v>
      </c>
    </row>
    <row r="49451" ht="16.5" customHeight="1">
      <c r="O49451" s="5" t="s">
        <v>355</v>
      </c>
      <c r="P49451" s="5" t="s">
        <v>355</v>
      </c>
      <c r="Q49451" s="5" t="s">
        <v>355</v>
      </c>
    </row>
    <row r="49452" ht="16.5" customHeight="1">
      <c r="O49452" s="5" t="s">
        <v>355</v>
      </c>
      <c r="P49452" s="5" t="s">
        <v>355</v>
      </c>
      <c r="Q49452" s="5" t="s">
        <v>355</v>
      </c>
    </row>
    <row r="49453" ht="16.5" customHeight="1">
      <c r="O49453" s="5" t="s">
        <v>355</v>
      </c>
      <c r="P49453" s="5" t="s">
        <v>355</v>
      </c>
      <c r="Q49453" s="5" t="s">
        <v>355</v>
      </c>
    </row>
    <row r="49454" ht="16.5" customHeight="1">
      <c r="O49454" s="5" t="s">
        <v>355</v>
      </c>
      <c r="P49454" s="5" t="s">
        <v>355</v>
      </c>
      <c r="Q49454" s="5" t="s">
        <v>355</v>
      </c>
    </row>
    <row r="49455" ht="16.5" customHeight="1">
      <c r="O49455" s="5" t="s">
        <v>355</v>
      </c>
      <c r="P49455" s="5" t="s">
        <v>355</v>
      </c>
      <c r="Q49455" s="5" t="s">
        <v>355</v>
      </c>
    </row>
    <row r="49456" ht="16.5" customHeight="1">
      <c r="O49456" s="5" t="s">
        <v>355</v>
      </c>
      <c r="P49456" s="5" t="s">
        <v>355</v>
      </c>
      <c r="Q49456" s="5" t="s">
        <v>355</v>
      </c>
    </row>
    <row r="49457" ht="16.5" customHeight="1">
      <c r="O49457" s="5" t="s">
        <v>355</v>
      </c>
      <c r="P49457" s="5" t="s">
        <v>355</v>
      </c>
      <c r="Q49457" s="5" t="s">
        <v>355</v>
      </c>
    </row>
    <row r="49458" ht="16.5" customHeight="1">
      <c r="O49458" s="5" t="s">
        <v>355</v>
      </c>
      <c r="P49458" s="5" t="s">
        <v>355</v>
      </c>
      <c r="Q49458" s="5" t="s">
        <v>355</v>
      </c>
    </row>
    <row r="49459" ht="16.5" customHeight="1">
      <c r="O49459" s="5" t="s">
        <v>355</v>
      </c>
      <c r="P49459" s="5" t="s">
        <v>355</v>
      </c>
      <c r="Q49459" s="5" t="s">
        <v>355</v>
      </c>
    </row>
    <row r="49460" ht="16.5" customHeight="1">
      <c r="O49460" s="5" t="s">
        <v>355</v>
      </c>
      <c r="P49460" s="5" t="s">
        <v>355</v>
      </c>
      <c r="Q49460" s="5" t="s">
        <v>355</v>
      </c>
    </row>
    <row r="49461" ht="16.5" customHeight="1">
      <c r="O49461" s="5" t="s">
        <v>355</v>
      </c>
      <c r="P49461" s="5" t="s">
        <v>355</v>
      </c>
      <c r="Q49461" s="5" t="s">
        <v>355</v>
      </c>
    </row>
    <row r="49462" ht="16.5" customHeight="1">
      <c r="O49462" s="5" t="s">
        <v>355</v>
      </c>
      <c r="P49462" s="5" t="s">
        <v>355</v>
      </c>
      <c r="Q49462" s="5" t="s">
        <v>355</v>
      </c>
    </row>
    <row r="49463" ht="16.5" customHeight="1">
      <c r="O49463" s="5" t="s">
        <v>355</v>
      </c>
      <c r="P49463" s="5" t="s">
        <v>355</v>
      </c>
      <c r="Q49463" s="5" t="s">
        <v>355</v>
      </c>
    </row>
    <row r="49464" ht="16.5" customHeight="1">
      <c r="O49464" s="5" t="s">
        <v>355</v>
      </c>
      <c r="P49464" s="5" t="s">
        <v>355</v>
      </c>
      <c r="Q49464" s="5" t="s">
        <v>355</v>
      </c>
    </row>
    <row r="49465" ht="16.5" customHeight="1">
      <c r="O49465" s="5" t="s">
        <v>355</v>
      </c>
      <c r="P49465" s="5" t="s">
        <v>355</v>
      </c>
      <c r="Q49465" s="5" t="s">
        <v>355</v>
      </c>
    </row>
    <row r="49466" ht="16.5" customHeight="1">
      <c r="O49466" s="5" t="s">
        <v>355</v>
      </c>
      <c r="P49466" s="5" t="s">
        <v>355</v>
      </c>
      <c r="Q49466" s="5" t="s">
        <v>355</v>
      </c>
    </row>
    <row r="49467" ht="16.5" customHeight="1">
      <c r="O49467" s="5" t="s">
        <v>355</v>
      </c>
      <c r="P49467" s="5" t="s">
        <v>355</v>
      </c>
      <c r="Q49467" s="5" t="s">
        <v>355</v>
      </c>
    </row>
    <row r="49468" ht="16.5" customHeight="1">
      <c r="O49468" s="5" t="s">
        <v>355</v>
      </c>
      <c r="P49468" s="5" t="s">
        <v>355</v>
      </c>
      <c r="Q49468" s="5" t="s">
        <v>355</v>
      </c>
    </row>
    <row r="49469" ht="16.5" customHeight="1">
      <c r="O49469" s="5" t="s">
        <v>355</v>
      </c>
      <c r="P49469" s="5" t="s">
        <v>355</v>
      </c>
      <c r="Q49469" s="5" t="s">
        <v>355</v>
      </c>
    </row>
    <row r="49470" ht="16.5" customHeight="1">
      <c r="O49470" s="5" t="s">
        <v>355</v>
      </c>
      <c r="P49470" s="5" t="s">
        <v>355</v>
      </c>
      <c r="Q49470" s="5" t="s">
        <v>355</v>
      </c>
    </row>
    <row r="49471" ht="16.5" customHeight="1">
      <c r="O49471" s="5" t="s">
        <v>355</v>
      </c>
      <c r="P49471" s="5" t="s">
        <v>355</v>
      </c>
      <c r="Q49471" s="5" t="s">
        <v>355</v>
      </c>
    </row>
    <row r="49472" ht="16.5" customHeight="1">
      <c r="O49472" s="5" t="s">
        <v>355</v>
      </c>
      <c r="P49472" s="5" t="s">
        <v>355</v>
      </c>
      <c r="Q49472" s="5" t="s">
        <v>355</v>
      </c>
    </row>
    <row r="49473" ht="16.5" customHeight="1">
      <c r="O49473" s="5" t="s">
        <v>355</v>
      </c>
      <c r="P49473" s="5" t="s">
        <v>355</v>
      </c>
      <c r="Q49473" s="5" t="s">
        <v>355</v>
      </c>
    </row>
    <row r="49474" ht="16.5" customHeight="1">
      <c r="O49474" s="5" t="s">
        <v>355</v>
      </c>
      <c r="P49474" s="5" t="s">
        <v>355</v>
      </c>
      <c r="Q49474" s="5" t="s">
        <v>355</v>
      </c>
    </row>
    <row r="49475" ht="16.5" customHeight="1">
      <c r="O49475" s="5" t="s">
        <v>355</v>
      </c>
      <c r="P49475" s="5" t="s">
        <v>355</v>
      </c>
      <c r="Q49475" s="5" t="s">
        <v>355</v>
      </c>
    </row>
    <row r="49476" ht="16.5" customHeight="1">
      <c r="O49476" s="5" t="s">
        <v>355</v>
      </c>
      <c r="P49476" s="5" t="s">
        <v>355</v>
      </c>
      <c r="Q49476" s="5" t="s">
        <v>355</v>
      </c>
    </row>
    <row r="49477" ht="16.5" customHeight="1">
      <c r="O49477" s="5" t="s">
        <v>355</v>
      </c>
      <c r="P49477" s="5" t="s">
        <v>355</v>
      </c>
      <c r="Q49477" s="5" t="s">
        <v>355</v>
      </c>
    </row>
    <row r="49478" ht="16.5" customHeight="1">
      <c r="O49478" s="5" t="s">
        <v>355</v>
      </c>
      <c r="P49478" s="5" t="s">
        <v>355</v>
      </c>
      <c r="Q49478" s="5" t="s">
        <v>355</v>
      </c>
    </row>
    <row r="49479" ht="16.5" customHeight="1">
      <c r="O49479" s="5" t="s">
        <v>355</v>
      </c>
      <c r="P49479" s="5" t="s">
        <v>355</v>
      </c>
      <c r="Q49479" s="5" t="s">
        <v>355</v>
      </c>
    </row>
    <row r="49480" ht="16.5" customHeight="1">
      <c r="O49480" s="5" t="s">
        <v>355</v>
      </c>
      <c r="P49480" s="5" t="s">
        <v>355</v>
      </c>
      <c r="Q49480" s="5" t="s">
        <v>355</v>
      </c>
    </row>
    <row r="49481" ht="16.5" customHeight="1">
      <c r="O49481" s="5" t="s">
        <v>355</v>
      </c>
      <c r="P49481" s="5" t="s">
        <v>355</v>
      </c>
      <c r="Q49481" s="5" t="s">
        <v>355</v>
      </c>
    </row>
    <row r="49482" ht="16.5" customHeight="1">
      <c r="O49482" s="5" t="s">
        <v>355</v>
      </c>
      <c r="P49482" s="5" t="s">
        <v>355</v>
      </c>
      <c r="Q49482" s="5" t="s">
        <v>355</v>
      </c>
    </row>
    <row r="49483" ht="16.5" customHeight="1">
      <c r="O49483" s="5" t="s">
        <v>355</v>
      </c>
      <c r="P49483" s="5" t="s">
        <v>355</v>
      </c>
      <c r="Q49483" s="5" t="s">
        <v>355</v>
      </c>
    </row>
    <row r="49484" ht="16.5" customHeight="1">
      <c r="O49484" s="5" t="s">
        <v>355</v>
      </c>
      <c r="P49484" s="5" t="s">
        <v>355</v>
      </c>
      <c r="Q49484" s="5" t="s">
        <v>355</v>
      </c>
    </row>
    <row r="49485" ht="16.5" customHeight="1">
      <c r="O49485" s="5" t="s">
        <v>355</v>
      </c>
      <c r="P49485" s="5" t="s">
        <v>355</v>
      </c>
      <c r="Q49485" s="5" t="s">
        <v>355</v>
      </c>
    </row>
    <row r="49486" ht="16.5" customHeight="1">
      <c r="O49486" s="5" t="s">
        <v>355</v>
      </c>
      <c r="P49486" s="5" t="s">
        <v>355</v>
      </c>
      <c r="Q49486" s="5" t="s">
        <v>355</v>
      </c>
    </row>
    <row r="49487" ht="16.5" customHeight="1">
      <c r="O49487" s="5" t="s">
        <v>355</v>
      </c>
      <c r="P49487" s="5" t="s">
        <v>355</v>
      </c>
      <c r="Q49487" s="5" t="s">
        <v>355</v>
      </c>
    </row>
    <row r="49488" ht="16.5" customHeight="1">
      <c r="O49488" s="5" t="s">
        <v>355</v>
      </c>
      <c r="P49488" s="5" t="s">
        <v>355</v>
      </c>
      <c r="Q49488" s="5" t="s">
        <v>355</v>
      </c>
    </row>
    <row r="49489" ht="16.5" customHeight="1">
      <c r="O49489" s="5" t="s">
        <v>355</v>
      </c>
      <c r="P49489" s="5" t="s">
        <v>355</v>
      </c>
      <c r="Q49489" s="5" t="s">
        <v>355</v>
      </c>
    </row>
    <row r="49490" ht="16.5" customHeight="1">
      <c r="O49490" s="5" t="s">
        <v>355</v>
      </c>
      <c r="P49490" s="5" t="s">
        <v>355</v>
      </c>
      <c r="Q49490" s="5" t="s">
        <v>355</v>
      </c>
    </row>
    <row r="49491" ht="16.5" customHeight="1">
      <c r="O49491" s="5" t="s">
        <v>355</v>
      </c>
      <c r="P49491" s="5" t="s">
        <v>355</v>
      </c>
      <c r="Q49491" s="5" t="s">
        <v>355</v>
      </c>
    </row>
    <row r="49492" ht="16.5" customHeight="1">
      <c r="O49492" s="5" t="s">
        <v>355</v>
      </c>
      <c r="P49492" s="5" t="s">
        <v>355</v>
      </c>
      <c r="Q49492" s="5" t="s">
        <v>355</v>
      </c>
    </row>
    <row r="49493" ht="16.5" customHeight="1">
      <c r="O49493" s="5" t="s">
        <v>355</v>
      </c>
      <c r="P49493" s="5" t="s">
        <v>355</v>
      </c>
      <c r="Q49493" s="5" t="s">
        <v>355</v>
      </c>
    </row>
    <row r="49494" ht="16.5" customHeight="1">
      <c r="O49494" s="5" t="s">
        <v>355</v>
      </c>
      <c r="P49494" s="5" t="s">
        <v>355</v>
      </c>
      <c r="Q49494" s="5" t="s">
        <v>355</v>
      </c>
    </row>
    <row r="49495" ht="16.5" customHeight="1">
      <c r="O49495" s="5" t="s">
        <v>355</v>
      </c>
      <c r="P49495" s="5" t="s">
        <v>355</v>
      </c>
      <c r="Q49495" s="5" t="s">
        <v>355</v>
      </c>
    </row>
    <row r="49496" ht="16.5" customHeight="1">
      <c r="O49496" s="5" t="s">
        <v>355</v>
      </c>
      <c r="P49496" s="5" t="s">
        <v>355</v>
      </c>
      <c r="Q49496" s="5" t="s">
        <v>355</v>
      </c>
    </row>
    <row r="49497" ht="16.5" customHeight="1">
      <c r="O49497" s="5" t="s">
        <v>355</v>
      </c>
      <c r="P49497" s="5" t="s">
        <v>355</v>
      </c>
      <c r="Q49497" s="5" t="s">
        <v>355</v>
      </c>
    </row>
    <row r="49498" ht="16.5" customHeight="1">
      <c r="O49498" s="5" t="s">
        <v>355</v>
      </c>
      <c r="P49498" s="5" t="s">
        <v>355</v>
      </c>
      <c r="Q49498" s="5" t="s">
        <v>355</v>
      </c>
    </row>
    <row r="49499" ht="16.5" customHeight="1">
      <c r="O49499" s="5" t="s">
        <v>355</v>
      </c>
      <c r="P49499" s="5" t="s">
        <v>355</v>
      </c>
      <c r="Q49499" s="5" t="s">
        <v>355</v>
      </c>
    </row>
    <row r="49500" ht="16.5" customHeight="1">
      <c r="O49500" s="5" t="s">
        <v>355</v>
      </c>
      <c r="P49500" s="5" t="s">
        <v>355</v>
      </c>
      <c r="Q49500" s="5" t="s">
        <v>355</v>
      </c>
    </row>
    <row r="49501" ht="16.5" customHeight="1">
      <c r="O49501" s="5" t="s">
        <v>355</v>
      </c>
      <c r="P49501" s="5" t="s">
        <v>355</v>
      </c>
      <c r="Q49501" s="5" t="s">
        <v>355</v>
      </c>
    </row>
    <row r="49502" ht="16.5" customHeight="1">
      <c r="O49502" s="5" t="s">
        <v>355</v>
      </c>
      <c r="P49502" s="5" t="s">
        <v>355</v>
      </c>
      <c r="Q49502" s="5" t="s">
        <v>355</v>
      </c>
    </row>
    <row r="49503" ht="16.5" customHeight="1">
      <c r="O49503" s="5" t="s">
        <v>355</v>
      </c>
      <c r="P49503" s="5" t="s">
        <v>355</v>
      </c>
      <c r="Q49503" s="5" t="s">
        <v>355</v>
      </c>
    </row>
    <row r="49504" ht="16.5" customHeight="1">
      <c r="O49504" s="5" t="s">
        <v>355</v>
      </c>
      <c r="P49504" s="5" t="s">
        <v>355</v>
      </c>
      <c r="Q49504" s="5" t="s">
        <v>355</v>
      </c>
    </row>
    <row r="49505" ht="16.5" customHeight="1">
      <c r="O49505" s="5" t="s">
        <v>355</v>
      </c>
      <c r="P49505" s="5" t="s">
        <v>355</v>
      </c>
      <c r="Q49505" s="5" t="s">
        <v>355</v>
      </c>
    </row>
    <row r="49506" ht="16.5" customHeight="1">
      <c r="O49506" s="5" t="s">
        <v>355</v>
      </c>
      <c r="P49506" s="5" t="s">
        <v>355</v>
      </c>
      <c r="Q49506" s="5" t="s">
        <v>355</v>
      </c>
    </row>
    <row r="49507" ht="16.5" customHeight="1">
      <c r="O49507" s="5" t="s">
        <v>355</v>
      </c>
      <c r="P49507" s="5" t="s">
        <v>355</v>
      </c>
      <c r="Q49507" s="5" t="s">
        <v>355</v>
      </c>
    </row>
    <row r="49508" ht="16.5" customHeight="1">
      <c r="O49508" s="5" t="s">
        <v>355</v>
      </c>
      <c r="P49508" s="5" t="s">
        <v>355</v>
      </c>
      <c r="Q49508" s="5" t="s">
        <v>355</v>
      </c>
    </row>
    <row r="49509" ht="16.5" customHeight="1">
      <c r="O49509" s="5" t="s">
        <v>355</v>
      </c>
      <c r="P49509" s="5" t="s">
        <v>355</v>
      </c>
      <c r="Q49509" s="5" t="s">
        <v>355</v>
      </c>
    </row>
    <row r="49510" ht="16.5" customHeight="1">
      <c r="O49510" s="5" t="s">
        <v>355</v>
      </c>
      <c r="P49510" s="5" t="s">
        <v>355</v>
      </c>
      <c r="Q49510" s="5" t="s">
        <v>355</v>
      </c>
    </row>
    <row r="49511" ht="16.5" customHeight="1">
      <c r="O49511" s="5" t="s">
        <v>355</v>
      </c>
      <c r="P49511" s="5" t="s">
        <v>355</v>
      </c>
      <c r="Q49511" s="5" t="s">
        <v>355</v>
      </c>
    </row>
    <row r="49512" ht="16.5" customHeight="1">
      <c r="O49512" s="5" t="s">
        <v>355</v>
      </c>
      <c r="P49512" s="5" t="s">
        <v>355</v>
      </c>
      <c r="Q49512" s="5" t="s">
        <v>355</v>
      </c>
    </row>
    <row r="49513" ht="16.5" customHeight="1">
      <c r="O49513" s="5" t="s">
        <v>355</v>
      </c>
      <c r="P49513" s="5" t="s">
        <v>355</v>
      </c>
      <c r="Q49513" s="5" t="s">
        <v>355</v>
      </c>
    </row>
    <row r="49514" ht="16.5" customHeight="1">
      <c r="O49514" s="5" t="s">
        <v>355</v>
      </c>
      <c r="P49514" s="5" t="s">
        <v>355</v>
      </c>
      <c r="Q49514" s="5" t="s">
        <v>355</v>
      </c>
    </row>
    <row r="49515" ht="16.5" customHeight="1">
      <c r="O49515" s="5" t="s">
        <v>355</v>
      </c>
      <c r="P49515" s="5" t="s">
        <v>355</v>
      </c>
      <c r="Q49515" s="5" t="s">
        <v>355</v>
      </c>
    </row>
    <row r="49516" ht="16.5" customHeight="1">
      <c r="O49516" s="5" t="s">
        <v>355</v>
      </c>
      <c r="P49516" s="5" t="s">
        <v>355</v>
      </c>
      <c r="Q49516" s="5" t="s">
        <v>355</v>
      </c>
    </row>
    <row r="49517" ht="16.5" customHeight="1">
      <c r="O49517" s="5" t="s">
        <v>355</v>
      </c>
      <c r="P49517" s="5" t="s">
        <v>355</v>
      </c>
      <c r="Q49517" s="5" t="s">
        <v>355</v>
      </c>
    </row>
    <row r="49518" ht="16.5" customHeight="1">
      <c r="O49518" s="5" t="s">
        <v>355</v>
      </c>
      <c r="P49518" s="5" t="s">
        <v>355</v>
      </c>
      <c r="Q49518" s="5" t="s">
        <v>355</v>
      </c>
    </row>
    <row r="49519" ht="16.5" customHeight="1">
      <c r="O49519" s="5" t="s">
        <v>355</v>
      </c>
      <c r="P49519" s="5" t="s">
        <v>355</v>
      </c>
      <c r="Q49519" s="5" t="s">
        <v>355</v>
      </c>
    </row>
    <row r="49520" ht="16.5" customHeight="1">
      <c r="O49520" s="5" t="s">
        <v>355</v>
      </c>
      <c r="P49520" s="5" t="s">
        <v>355</v>
      </c>
      <c r="Q49520" s="5" t="s">
        <v>355</v>
      </c>
    </row>
    <row r="49521" ht="16.5" customHeight="1">
      <c r="O49521" s="5" t="s">
        <v>355</v>
      </c>
      <c r="P49521" s="5" t="s">
        <v>355</v>
      </c>
      <c r="Q49521" s="5" t="s">
        <v>355</v>
      </c>
    </row>
    <row r="49522" ht="16.5" customHeight="1">
      <c r="O49522" s="5" t="s">
        <v>355</v>
      </c>
      <c r="P49522" s="5" t="s">
        <v>355</v>
      </c>
      <c r="Q49522" s="5" t="s">
        <v>355</v>
      </c>
    </row>
    <row r="49523" ht="16.5" customHeight="1">
      <c r="O49523" s="5" t="s">
        <v>355</v>
      </c>
      <c r="P49523" s="5" t="s">
        <v>355</v>
      </c>
      <c r="Q49523" s="5" t="s">
        <v>355</v>
      </c>
    </row>
    <row r="49524" ht="16.5" customHeight="1">
      <c r="O49524" s="5" t="s">
        <v>355</v>
      </c>
      <c r="P49524" s="5" t="s">
        <v>355</v>
      </c>
      <c r="Q49524" s="5" t="s">
        <v>355</v>
      </c>
    </row>
    <row r="49525" ht="16.5" customHeight="1">
      <c r="O49525" s="5" t="s">
        <v>355</v>
      </c>
      <c r="P49525" s="5" t="s">
        <v>355</v>
      </c>
      <c r="Q49525" s="5" t="s">
        <v>355</v>
      </c>
    </row>
    <row r="49526" ht="16.5" customHeight="1">
      <c r="O49526" s="5" t="s">
        <v>355</v>
      </c>
      <c r="P49526" s="5" t="s">
        <v>355</v>
      </c>
      <c r="Q49526" s="5" t="s">
        <v>355</v>
      </c>
    </row>
    <row r="49527" ht="16.5" customHeight="1">
      <c r="O49527" s="5" t="s">
        <v>355</v>
      </c>
      <c r="P49527" s="5" t="s">
        <v>355</v>
      </c>
      <c r="Q49527" s="5" t="s">
        <v>355</v>
      </c>
    </row>
    <row r="49528" ht="16.5" customHeight="1">
      <c r="O49528" s="5" t="s">
        <v>355</v>
      </c>
      <c r="P49528" s="5" t="s">
        <v>355</v>
      </c>
      <c r="Q49528" s="5" t="s">
        <v>355</v>
      </c>
    </row>
    <row r="49529" ht="16.5" customHeight="1">
      <c r="O49529" s="5" t="s">
        <v>355</v>
      </c>
      <c r="P49529" s="5" t="s">
        <v>355</v>
      </c>
      <c r="Q49529" s="5" t="s">
        <v>355</v>
      </c>
    </row>
    <row r="49530" ht="16.5" customHeight="1">
      <c r="O49530" s="5" t="s">
        <v>355</v>
      </c>
      <c r="P49530" s="5" t="s">
        <v>355</v>
      </c>
      <c r="Q49530" s="5" t="s">
        <v>355</v>
      </c>
    </row>
    <row r="49531" ht="16.5" customHeight="1">
      <c r="O49531" s="5" t="s">
        <v>355</v>
      </c>
      <c r="P49531" s="5" t="s">
        <v>355</v>
      </c>
      <c r="Q49531" s="5" t="s">
        <v>355</v>
      </c>
    </row>
    <row r="49532" ht="16.5" customHeight="1">
      <c r="O49532" s="5" t="s">
        <v>355</v>
      </c>
      <c r="P49532" s="5" t="s">
        <v>355</v>
      </c>
      <c r="Q49532" s="5" t="s">
        <v>355</v>
      </c>
    </row>
    <row r="49533" ht="16.5" customHeight="1">
      <c r="O49533" s="5" t="s">
        <v>355</v>
      </c>
      <c r="P49533" s="5" t="s">
        <v>355</v>
      </c>
      <c r="Q49533" s="5" t="s">
        <v>355</v>
      </c>
    </row>
    <row r="49534" ht="16.5" customHeight="1">
      <c r="O49534" s="5" t="s">
        <v>355</v>
      </c>
      <c r="P49534" s="5" t="s">
        <v>355</v>
      </c>
      <c r="Q49534" s="5" t="s">
        <v>355</v>
      </c>
    </row>
    <row r="49535" ht="16.5" customHeight="1">
      <c r="O49535" s="5" t="s">
        <v>355</v>
      </c>
      <c r="P49535" s="5" t="s">
        <v>355</v>
      </c>
      <c r="Q49535" s="5" t="s">
        <v>355</v>
      </c>
    </row>
    <row r="49536" ht="16.5" customHeight="1">
      <c r="O49536" s="5" t="s">
        <v>355</v>
      </c>
      <c r="P49536" s="5" t="s">
        <v>355</v>
      </c>
      <c r="Q49536" s="5" t="s">
        <v>355</v>
      </c>
    </row>
    <row r="49537" ht="16.5" customHeight="1">
      <c r="O49537" s="5" t="s">
        <v>355</v>
      </c>
      <c r="P49537" s="5" t="s">
        <v>355</v>
      </c>
      <c r="Q49537" s="5" t="s">
        <v>355</v>
      </c>
    </row>
    <row r="49538" ht="16.5" customHeight="1">
      <c r="O49538" s="5" t="s">
        <v>355</v>
      </c>
      <c r="P49538" s="5" t="s">
        <v>355</v>
      </c>
      <c r="Q49538" s="5" t="s">
        <v>355</v>
      </c>
    </row>
    <row r="49539" ht="16.5" customHeight="1">
      <c r="O49539" s="5" t="s">
        <v>355</v>
      </c>
      <c r="P49539" s="5" t="s">
        <v>355</v>
      </c>
      <c r="Q49539" s="5" t="s">
        <v>355</v>
      </c>
    </row>
    <row r="49540" ht="16.5" customHeight="1">
      <c r="O49540" s="5" t="s">
        <v>355</v>
      </c>
      <c r="P49540" s="5" t="s">
        <v>355</v>
      </c>
      <c r="Q49540" s="5" t="s">
        <v>355</v>
      </c>
    </row>
    <row r="49541" ht="16.5" customHeight="1">
      <c r="O49541" s="5" t="s">
        <v>355</v>
      </c>
      <c r="P49541" s="5" t="s">
        <v>355</v>
      </c>
      <c r="Q49541" s="5" t="s">
        <v>355</v>
      </c>
    </row>
    <row r="49542" ht="16.5" customHeight="1">
      <c r="O49542" s="5" t="s">
        <v>355</v>
      </c>
      <c r="P49542" s="5" t="s">
        <v>355</v>
      </c>
      <c r="Q49542" s="5" t="s">
        <v>355</v>
      </c>
    </row>
    <row r="49543" ht="16.5" customHeight="1">
      <c r="O49543" s="5" t="s">
        <v>355</v>
      </c>
      <c r="P49543" s="5" t="s">
        <v>355</v>
      </c>
      <c r="Q49543" s="5" t="s">
        <v>355</v>
      </c>
    </row>
    <row r="49544" ht="16.5" customHeight="1">
      <c r="O49544" s="5" t="s">
        <v>355</v>
      </c>
      <c r="P49544" s="5" t="s">
        <v>355</v>
      </c>
      <c r="Q49544" s="5" t="s">
        <v>355</v>
      </c>
    </row>
    <row r="49545" ht="16.5" customHeight="1">
      <c r="O49545" s="5" t="s">
        <v>355</v>
      </c>
      <c r="P49545" s="5" t="s">
        <v>355</v>
      </c>
      <c r="Q49545" s="5" t="s">
        <v>355</v>
      </c>
    </row>
    <row r="49546" ht="16.5" customHeight="1">
      <c r="O49546" s="5" t="s">
        <v>355</v>
      </c>
      <c r="P49546" s="5" t="s">
        <v>355</v>
      </c>
      <c r="Q49546" s="5" t="s">
        <v>355</v>
      </c>
    </row>
    <row r="49547" ht="16.5" customHeight="1">
      <c r="O49547" s="5" t="s">
        <v>355</v>
      </c>
      <c r="P49547" s="5" t="s">
        <v>355</v>
      </c>
      <c r="Q49547" s="5" t="s">
        <v>355</v>
      </c>
    </row>
    <row r="49548" ht="16.5" customHeight="1">
      <c r="O49548" s="5" t="s">
        <v>355</v>
      </c>
      <c r="P49548" s="5" t="s">
        <v>355</v>
      </c>
      <c r="Q49548" s="5" t="s">
        <v>355</v>
      </c>
    </row>
    <row r="49549" ht="16.5" customHeight="1">
      <c r="O49549" s="5" t="s">
        <v>355</v>
      </c>
      <c r="P49549" s="5" t="s">
        <v>355</v>
      </c>
      <c r="Q49549" s="5" t="s">
        <v>355</v>
      </c>
    </row>
    <row r="49550" ht="16.5" customHeight="1">
      <c r="O49550" s="5" t="s">
        <v>355</v>
      </c>
      <c r="P49550" s="5" t="s">
        <v>355</v>
      </c>
      <c r="Q49550" s="5" t="s">
        <v>355</v>
      </c>
    </row>
    <row r="49551" ht="16.5" customHeight="1">
      <c r="O49551" s="5" t="s">
        <v>355</v>
      </c>
      <c r="P49551" s="5" t="s">
        <v>355</v>
      </c>
      <c r="Q49551" s="5" t="s">
        <v>355</v>
      </c>
    </row>
    <row r="49552" ht="16.5" customHeight="1">
      <c r="O49552" s="5" t="s">
        <v>355</v>
      </c>
      <c r="P49552" s="5" t="s">
        <v>355</v>
      </c>
      <c r="Q49552" s="5" t="s">
        <v>355</v>
      </c>
    </row>
    <row r="49553" ht="16.5" customHeight="1">
      <c r="O49553" s="5" t="s">
        <v>355</v>
      </c>
      <c r="P49553" s="5" t="s">
        <v>355</v>
      </c>
      <c r="Q49553" s="5" t="s">
        <v>355</v>
      </c>
    </row>
    <row r="49554" ht="16.5" customHeight="1">
      <c r="O49554" s="5" t="s">
        <v>355</v>
      </c>
      <c r="P49554" s="5" t="s">
        <v>355</v>
      </c>
      <c r="Q49554" s="5" t="s">
        <v>355</v>
      </c>
    </row>
    <row r="49555" ht="16.5" customHeight="1">
      <c r="O49555" s="5" t="s">
        <v>355</v>
      </c>
      <c r="P49555" s="5" t="s">
        <v>355</v>
      </c>
      <c r="Q49555" s="5" t="s">
        <v>355</v>
      </c>
    </row>
    <row r="49556" ht="16.5" customHeight="1">
      <c r="O49556" s="5" t="s">
        <v>355</v>
      </c>
      <c r="P49556" s="5" t="s">
        <v>355</v>
      </c>
      <c r="Q49556" s="5" t="s">
        <v>355</v>
      </c>
    </row>
    <row r="49557" ht="16.5" customHeight="1">
      <c r="O49557" s="5" t="s">
        <v>355</v>
      </c>
      <c r="P49557" s="5" t="s">
        <v>355</v>
      </c>
      <c r="Q49557" s="5" t="s">
        <v>355</v>
      </c>
    </row>
    <row r="49558" ht="16.5" customHeight="1">
      <c r="O49558" s="5" t="s">
        <v>355</v>
      </c>
      <c r="P49558" s="5" t="s">
        <v>355</v>
      </c>
      <c r="Q49558" s="5" t="s">
        <v>355</v>
      </c>
    </row>
    <row r="49559" ht="16.5" customHeight="1">
      <c r="O49559" s="5" t="s">
        <v>355</v>
      </c>
      <c r="P49559" s="5" t="s">
        <v>355</v>
      </c>
      <c r="Q49559" s="5" t="s">
        <v>355</v>
      </c>
    </row>
    <row r="49560" ht="16.5" customHeight="1">
      <c r="O49560" s="5" t="s">
        <v>355</v>
      </c>
      <c r="P49560" s="5" t="s">
        <v>355</v>
      </c>
      <c r="Q49560" s="5" t="s">
        <v>355</v>
      </c>
    </row>
    <row r="49561" ht="16.5" customHeight="1">
      <c r="O49561" s="5" t="s">
        <v>355</v>
      </c>
      <c r="P49561" s="5" t="s">
        <v>355</v>
      </c>
      <c r="Q49561" s="5" t="s">
        <v>355</v>
      </c>
    </row>
    <row r="49562" ht="16.5" customHeight="1">
      <c r="O49562" s="5" t="s">
        <v>355</v>
      </c>
      <c r="P49562" s="5" t="s">
        <v>355</v>
      </c>
      <c r="Q49562" s="5" t="s">
        <v>355</v>
      </c>
    </row>
    <row r="49563" ht="16.5" customHeight="1">
      <c r="O49563" s="5" t="s">
        <v>355</v>
      </c>
      <c r="P49563" s="5" t="s">
        <v>355</v>
      </c>
      <c r="Q49563" s="5" t="s">
        <v>355</v>
      </c>
    </row>
    <row r="49564" ht="16.5" customHeight="1">
      <c r="O49564" s="5" t="s">
        <v>355</v>
      </c>
      <c r="P49564" s="5" t="s">
        <v>355</v>
      </c>
      <c r="Q49564" s="5" t="s">
        <v>355</v>
      </c>
    </row>
    <row r="49565" ht="16.5" customHeight="1">
      <c r="O49565" s="5" t="s">
        <v>355</v>
      </c>
      <c r="P49565" s="5" t="s">
        <v>355</v>
      </c>
      <c r="Q49565" s="5" t="s">
        <v>355</v>
      </c>
    </row>
    <row r="49566" ht="16.5" customHeight="1">
      <c r="O49566" s="5" t="s">
        <v>355</v>
      </c>
      <c r="P49566" s="5" t="s">
        <v>355</v>
      </c>
      <c r="Q49566" s="5" t="s">
        <v>355</v>
      </c>
    </row>
    <row r="49567" ht="16.5" customHeight="1">
      <c r="O49567" s="5" t="s">
        <v>355</v>
      </c>
      <c r="P49567" s="5" t="s">
        <v>355</v>
      </c>
      <c r="Q49567" s="5" t="s">
        <v>355</v>
      </c>
    </row>
    <row r="49568" ht="16.5" customHeight="1">
      <c r="O49568" s="5" t="s">
        <v>355</v>
      </c>
      <c r="P49568" s="5" t="s">
        <v>355</v>
      </c>
      <c r="Q49568" s="5" t="s">
        <v>355</v>
      </c>
    </row>
    <row r="49569" ht="16.5" customHeight="1">
      <c r="O49569" s="5" t="s">
        <v>355</v>
      </c>
      <c r="P49569" s="5" t="s">
        <v>355</v>
      </c>
      <c r="Q49569" s="5" t="s">
        <v>355</v>
      </c>
    </row>
    <row r="49570" ht="16.5" customHeight="1">
      <c r="O49570" s="5" t="s">
        <v>355</v>
      </c>
      <c r="P49570" s="5" t="s">
        <v>355</v>
      </c>
      <c r="Q49570" s="5" t="s">
        <v>355</v>
      </c>
    </row>
    <row r="49571" ht="16.5" customHeight="1">
      <c r="O49571" s="5" t="s">
        <v>355</v>
      </c>
      <c r="P49571" s="5" t="s">
        <v>355</v>
      </c>
      <c r="Q49571" s="5" t="s">
        <v>355</v>
      </c>
    </row>
    <row r="49572" ht="16.5" customHeight="1">
      <c r="O49572" s="5" t="s">
        <v>355</v>
      </c>
      <c r="P49572" s="5" t="s">
        <v>355</v>
      </c>
      <c r="Q49572" s="5" t="s">
        <v>355</v>
      </c>
    </row>
    <row r="49573" ht="16.5" customHeight="1">
      <c r="O49573" s="5" t="s">
        <v>355</v>
      </c>
      <c r="P49573" s="5" t="s">
        <v>355</v>
      </c>
      <c r="Q49573" s="5" t="s">
        <v>355</v>
      </c>
    </row>
    <row r="49574" ht="16.5" customHeight="1">
      <c r="O49574" s="5" t="s">
        <v>355</v>
      </c>
      <c r="P49574" s="5" t="s">
        <v>355</v>
      </c>
      <c r="Q49574" s="5" t="s">
        <v>355</v>
      </c>
    </row>
    <row r="49575" ht="16.5" customHeight="1">
      <c r="O49575" s="5" t="s">
        <v>355</v>
      </c>
      <c r="P49575" s="5" t="s">
        <v>355</v>
      </c>
      <c r="Q49575" s="5" t="s">
        <v>355</v>
      </c>
    </row>
    <row r="49576" ht="16.5" customHeight="1">
      <c r="O49576" s="5" t="s">
        <v>355</v>
      </c>
      <c r="P49576" s="5" t="s">
        <v>355</v>
      </c>
      <c r="Q49576" s="5" t="s">
        <v>355</v>
      </c>
    </row>
    <row r="49577" ht="16.5" customHeight="1">
      <c r="O49577" s="5" t="s">
        <v>355</v>
      </c>
      <c r="P49577" s="5" t="s">
        <v>355</v>
      </c>
      <c r="Q49577" s="5" t="s">
        <v>355</v>
      </c>
    </row>
    <row r="49578" ht="16.5" customHeight="1">
      <c r="O49578" s="5" t="s">
        <v>355</v>
      </c>
      <c r="P49578" s="5" t="s">
        <v>355</v>
      </c>
      <c r="Q49578" s="5" t="s">
        <v>355</v>
      </c>
    </row>
    <row r="49579" ht="16.5" customHeight="1">
      <c r="O49579" s="5" t="s">
        <v>355</v>
      </c>
      <c r="P49579" s="5" t="s">
        <v>355</v>
      </c>
      <c r="Q49579" s="5" t="s">
        <v>355</v>
      </c>
    </row>
    <row r="49580" ht="16.5" customHeight="1">
      <c r="O49580" s="5" t="s">
        <v>355</v>
      </c>
      <c r="P49580" s="5" t="s">
        <v>355</v>
      </c>
      <c r="Q49580" s="5" t="s">
        <v>355</v>
      </c>
    </row>
    <row r="49581" ht="16.5" customHeight="1">
      <c r="O49581" s="5" t="s">
        <v>355</v>
      </c>
      <c r="P49581" s="5" t="s">
        <v>355</v>
      </c>
      <c r="Q49581" s="5" t="s">
        <v>355</v>
      </c>
    </row>
    <row r="49582" ht="16.5" customHeight="1">
      <c r="O49582" s="5" t="s">
        <v>355</v>
      </c>
      <c r="P49582" s="5" t="s">
        <v>355</v>
      </c>
      <c r="Q49582" s="5" t="s">
        <v>355</v>
      </c>
    </row>
    <row r="49583" ht="16.5" customHeight="1">
      <c r="O49583" s="5" t="s">
        <v>355</v>
      </c>
      <c r="P49583" s="5" t="s">
        <v>355</v>
      </c>
      <c r="Q49583" s="5" t="s">
        <v>355</v>
      </c>
    </row>
    <row r="49584" ht="16.5" customHeight="1">
      <c r="O49584" s="5" t="s">
        <v>355</v>
      </c>
      <c r="P49584" s="5" t="s">
        <v>355</v>
      </c>
      <c r="Q49584" s="5" t="s">
        <v>355</v>
      </c>
    </row>
    <row r="49585" ht="16.5" customHeight="1">
      <c r="O49585" s="5" t="s">
        <v>355</v>
      </c>
      <c r="P49585" s="5" t="s">
        <v>355</v>
      </c>
      <c r="Q49585" s="5" t="s">
        <v>355</v>
      </c>
    </row>
    <row r="49586" ht="16.5" customHeight="1">
      <c r="O49586" s="5" t="s">
        <v>355</v>
      </c>
      <c r="P49586" s="5" t="s">
        <v>355</v>
      </c>
      <c r="Q49586" s="5" t="s">
        <v>355</v>
      </c>
    </row>
    <row r="49587" ht="16.5" customHeight="1">
      <c r="O49587" s="5" t="s">
        <v>355</v>
      </c>
      <c r="P49587" s="5" t="s">
        <v>355</v>
      </c>
      <c r="Q49587" s="5" t="s">
        <v>355</v>
      </c>
    </row>
    <row r="49588" ht="16.5" customHeight="1">
      <c r="O49588" s="5" t="s">
        <v>355</v>
      </c>
      <c r="P49588" s="5" t="s">
        <v>355</v>
      </c>
      <c r="Q49588" s="5" t="s">
        <v>355</v>
      </c>
    </row>
    <row r="49589" ht="16.5" customHeight="1">
      <c r="O49589" s="5" t="s">
        <v>355</v>
      </c>
      <c r="P49589" s="5" t="s">
        <v>355</v>
      </c>
      <c r="Q49589" s="5" t="s">
        <v>355</v>
      </c>
    </row>
    <row r="49590" ht="16.5" customHeight="1">
      <c r="O49590" s="5" t="s">
        <v>355</v>
      </c>
      <c r="P49590" s="5" t="s">
        <v>355</v>
      </c>
      <c r="Q49590" s="5" t="s">
        <v>355</v>
      </c>
    </row>
    <row r="49591" ht="16.5" customHeight="1">
      <c r="O49591" s="5" t="s">
        <v>355</v>
      </c>
      <c r="P49591" s="5" t="s">
        <v>355</v>
      </c>
      <c r="Q49591" s="5" t="s">
        <v>355</v>
      </c>
    </row>
    <row r="49592" ht="16.5" customHeight="1">
      <c r="O49592" s="5" t="s">
        <v>355</v>
      </c>
      <c r="P49592" s="5" t="s">
        <v>355</v>
      </c>
      <c r="Q49592" s="5" t="s">
        <v>355</v>
      </c>
    </row>
    <row r="49593" ht="16.5" customHeight="1">
      <c r="O49593" s="5" t="s">
        <v>355</v>
      </c>
      <c r="P49593" s="5" t="s">
        <v>355</v>
      </c>
      <c r="Q49593" s="5" t="s">
        <v>355</v>
      </c>
    </row>
    <row r="49594" ht="16.5" customHeight="1">
      <c r="O49594" s="5" t="s">
        <v>355</v>
      </c>
      <c r="P49594" s="5" t="s">
        <v>355</v>
      </c>
      <c r="Q49594" s="5" t="s">
        <v>355</v>
      </c>
    </row>
    <row r="49595" ht="16.5" customHeight="1">
      <c r="O49595" s="5" t="s">
        <v>355</v>
      </c>
      <c r="P49595" s="5" t="s">
        <v>355</v>
      </c>
      <c r="Q49595" s="5" t="s">
        <v>355</v>
      </c>
    </row>
    <row r="49596" ht="16.5" customHeight="1">
      <c r="O49596" s="5" t="s">
        <v>355</v>
      </c>
      <c r="P49596" s="5" t="s">
        <v>355</v>
      </c>
      <c r="Q49596" s="5" t="s">
        <v>355</v>
      </c>
    </row>
    <row r="49597" ht="16.5" customHeight="1">
      <c r="O49597" s="5" t="s">
        <v>355</v>
      </c>
      <c r="P49597" s="5" t="s">
        <v>355</v>
      </c>
      <c r="Q49597" s="5" t="s">
        <v>355</v>
      </c>
    </row>
    <row r="49598" ht="16.5" customHeight="1">
      <c r="O49598" s="5" t="s">
        <v>355</v>
      </c>
      <c r="P49598" s="5" t="s">
        <v>355</v>
      </c>
      <c r="Q49598" s="5" t="s">
        <v>355</v>
      </c>
    </row>
    <row r="49599" ht="16.5" customHeight="1">
      <c r="O49599" s="5" t="s">
        <v>355</v>
      </c>
      <c r="P49599" s="5" t="s">
        <v>355</v>
      </c>
      <c r="Q49599" s="5" t="s">
        <v>355</v>
      </c>
    </row>
    <row r="49600" ht="16.5" customHeight="1">
      <c r="O49600" s="5" t="s">
        <v>355</v>
      </c>
      <c r="P49600" s="5" t="s">
        <v>355</v>
      </c>
      <c r="Q49600" s="5" t="s">
        <v>355</v>
      </c>
    </row>
    <row r="49601" ht="16.5" customHeight="1">
      <c r="O49601" s="5" t="s">
        <v>355</v>
      </c>
      <c r="P49601" s="5" t="s">
        <v>355</v>
      </c>
      <c r="Q49601" s="5" t="s">
        <v>355</v>
      </c>
    </row>
    <row r="49602" ht="16.5" customHeight="1">
      <c r="O49602" s="5" t="s">
        <v>355</v>
      </c>
      <c r="P49602" s="5" t="s">
        <v>355</v>
      </c>
      <c r="Q49602" s="5" t="s">
        <v>355</v>
      </c>
    </row>
    <row r="49603" ht="16.5" customHeight="1">
      <c r="O49603" s="5" t="s">
        <v>355</v>
      </c>
      <c r="P49603" s="5" t="s">
        <v>355</v>
      </c>
      <c r="Q49603" s="5" t="s">
        <v>355</v>
      </c>
    </row>
    <row r="49604" ht="16.5" customHeight="1">
      <c r="O49604" s="5" t="s">
        <v>355</v>
      </c>
      <c r="P49604" s="5" t="s">
        <v>355</v>
      </c>
      <c r="Q49604" s="5" t="s">
        <v>355</v>
      </c>
    </row>
    <row r="49605" ht="16.5" customHeight="1">
      <c r="O49605" s="5" t="s">
        <v>355</v>
      </c>
      <c r="P49605" s="5" t="s">
        <v>355</v>
      </c>
      <c r="Q49605" s="5" t="s">
        <v>355</v>
      </c>
    </row>
    <row r="49606" ht="16.5" customHeight="1">
      <c r="O49606" s="5" t="s">
        <v>355</v>
      </c>
      <c r="P49606" s="5" t="s">
        <v>355</v>
      </c>
      <c r="Q49606" s="5" t="s">
        <v>355</v>
      </c>
    </row>
    <row r="49607" ht="16.5" customHeight="1">
      <c r="O49607" s="5" t="s">
        <v>355</v>
      </c>
      <c r="P49607" s="5" t="s">
        <v>355</v>
      </c>
      <c r="Q49607" s="5" t="s">
        <v>355</v>
      </c>
    </row>
    <row r="49608" ht="16.5" customHeight="1">
      <c r="O49608" s="5" t="s">
        <v>355</v>
      </c>
      <c r="P49608" s="5" t="s">
        <v>355</v>
      </c>
      <c r="Q49608" s="5" t="s">
        <v>355</v>
      </c>
    </row>
    <row r="49609" ht="16.5" customHeight="1">
      <c r="O49609" s="5" t="s">
        <v>355</v>
      </c>
      <c r="P49609" s="5" t="s">
        <v>355</v>
      </c>
      <c r="Q49609" s="5" t="s">
        <v>355</v>
      </c>
    </row>
    <row r="49610" ht="16.5" customHeight="1">
      <c r="O49610" s="5" t="s">
        <v>355</v>
      </c>
      <c r="P49610" s="5" t="s">
        <v>355</v>
      </c>
      <c r="Q49610" s="5" t="s">
        <v>355</v>
      </c>
    </row>
    <row r="49611" ht="16.5" customHeight="1">
      <c r="O49611" s="5" t="s">
        <v>355</v>
      </c>
      <c r="P49611" s="5" t="s">
        <v>355</v>
      </c>
      <c r="Q49611" s="5" t="s">
        <v>355</v>
      </c>
    </row>
    <row r="49612" ht="16.5" customHeight="1">
      <c r="O49612" s="5" t="s">
        <v>355</v>
      </c>
      <c r="P49612" s="5" t="s">
        <v>355</v>
      </c>
      <c r="Q49612" s="5" t="s">
        <v>355</v>
      </c>
    </row>
    <row r="49613" ht="16.5" customHeight="1">
      <c r="O49613" s="5" t="s">
        <v>355</v>
      </c>
      <c r="P49613" s="5" t="s">
        <v>355</v>
      </c>
      <c r="Q49613" s="5" t="s">
        <v>355</v>
      </c>
    </row>
    <row r="49614" ht="16.5" customHeight="1">
      <c r="O49614" s="5" t="s">
        <v>355</v>
      </c>
      <c r="P49614" s="5" t="s">
        <v>355</v>
      </c>
      <c r="Q49614" s="5" t="s">
        <v>355</v>
      </c>
    </row>
    <row r="49615" ht="16.5" customHeight="1">
      <c r="O49615" s="5" t="s">
        <v>355</v>
      </c>
      <c r="P49615" s="5" t="s">
        <v>355</v>
      </c>
      <c r="Q49615" s="5" t="s">
        <v>355</v>
      </c>
    </row>
    <row r="49616" ht="16.5" customHeight="1">
      <c r="O49616" s="5" t="s">
        <v>355</v>
      </c>
      <c r="P49616" s="5" t="s">
        <v>355</v>
      </c>
      <c r="Q49616" s="5" t="s">
        <v>355</v>
      </c>
    </row>
    <row r="49617" ht="16.5" customHeight="1">
      <c r="O49617" s="5" t="s">
        <v>355</v>
      </c>
      <c r="P49617" s="5" t="s">
        <v>355</v>
      </c>
      <c r="Q49617" s="5" t="s">
        <v>355</v>
      </c>
    </row>
    <row r="49618" ht="16.5" customHeight="1">
      <c r="O49618" s="5" t="s">
        <v>355</v>
      </c>
      <c r="P49618" s="5" t="s">
        <v>355</v>
      </c>
      <c r="Q49618" s="5" t="s">
        <v>355</v>
      </c>
    </row>
    <row r="49619" ht="16.5" customHeight="1">
      <c r="O49619" s="5" t="s">
        <v>355</v>
      </c>
      <c r="P49619" s="5" t="s">
        <v>355</v>
      </c>
      <c r="Q49619" s="5" t="s">
        <v>355</v>
      </c>
    </row>
    <row r="49620" ht="16.5" customHeight="1">
      <c r="O49620" s="5" t="s">
        <v>355</v>
      </c>
      <c r="P49620" s="5" t="s">
        <v>355</v>
      </c>
      <c r="Q49620" s="5" t="s">
        <v>355</v>
      </c>
    </row>
    <row r="49621" ht="16.5" customHeight="1">
      <c r="O49621" s="5" t="s">
        <v>355</v>
      </c>
      <c r="P49621" s="5" t="s">
        <v>355</v>
      </c>
      <c r="Q49621" s="5" t="s">
        <v>355</v>
      </c>
    </row>
    <row r="49622" ht="16.5" customHeight="1">
      <c r="O49622" s="5" t="s">
        <v>355</v>
      </c>
      <c r="P49622" s="5" t="s">
        <v>355</v>
      </c>
      <c r="Q49622" s="5" t="s">
        <v>355</v>
      </c>
    </row>
    <row r="49623" ht="16.5" customHeight="1">
      <c r="O49623" s="5" t="s">
        <v>355</v>
      </c>
      <c r="P49623" s="5" t="s">
        <v>355</v>
      </c>
      <c r="Q49623" s="5" t="s">
        <v>355</v>
      </c>
    </row>
    <row r="49624" ht="16.5" customHeight="1">
      <c r="O49624" s="5" t="s">
        <v>355</v>
      </c>
      <c r="P49624" s="5" t="s">
        <v>355</v>
      </c>
      <c r="Q49624" s="5" t="s">
        <v>355</v>
      </c>
    </row>
    <row r="49625" ht="16.5" customHeight="1">
      <c r="O49625" s="5" t="s">
        <v>355</v>
      </c>
      <c r="P49625" s="5" t="s">
        <v>355</v>
      </c>
      <c r="Q49625" s="5" t="s">
        <v>355</v>
      </c>
    </row>
    <row r="49626" ht="16.5" customHeight="1">
      <c r="O49626" s="5" t="s">
        <v>355</v>
      </c>
      <c r="P49626" s="5" t="s">
        <v>355</v>
      </c>
      <c r="Q49626" s="5" t="s">
        <v>355</v>
      </c>
    </row>
    <row r="49627" ht="16.5" customHeight="1">
      <c r="O49627" s="5" t="s">
        <v>355</v>
      </c>
      <c r="P49627" s="5" t="s">
        <v>355</v>
      </c>
      <c r="Q49627" s="5" t="s">
        <v>355</v>
      </c>
    </row>
    <row r="49628" ht="16.5" customHeight="1">
      <c r="O49628" s="5" t="s">
        <v>355</v>
      </c>
      <c r="P49628" s="5" t="s">
        <v>355</v>
      </c>
      <c r="Q49628" s="5" t="s">
        <v>355</v>
      </c>
    </row>
    <row r="49629" ht="16.5" customHeight="1">
      <c r="O49629" s="5" t="s">
        <v>355</v>
      </c>
      <c r="P49629" s="5" t="s">
        <v>355</v>
      </c>
      <c r="Q49629" s="5" t="s">
        <v>355</v>
      </c>
    </row>
    <row r="49630" ht="16.5" customHeight="1">
      <c r="O49630" s="5" t="s">
        <v>355</v>
      </c>
      <c r="P49630" s="5" t="s">
        <v>355</v>
      </c>
      <c r="Q49630" s="5" t="s">
        <v>355</v>
      </c>
    </row>
    <row r="49631" ht="16.5" customHeight="1">
      <c r="O49631" s="5" t="s">
        <v>355</v>
      </c>
      <c r="P49631" s="5" t="s">
        <v>355</v>
      </c>
      <c r="Q49631" s="5" t="s">
        <v>355</v>
      </c>
    </row>
    <row r="49632" ht="16.5" customHeight="1">
      <c r="O49632" s="5" t="s">
        <v>355</v>
      </c>
      <c r="P49632" s="5" t="s">
        <v>355</v>
      </c>
      <c r="Q49632" s="5" t="s">
        <v>355</v>
      </c>
    </row>
    <row r="49633" ht="16.5" customHeight="1">
      <c r="O49633" s="5" t="s">
        <v>355</v>
      </c>
      <c r="P49633" s="5" t="s">
        <v>355</v>
      </c>
      <c r="Q49633" s="5" t="s">
        <v>355</v>
      </c>
    </row>
    <row r="49634" ht="16.5" customHeight="1">
      <c r="O49634" s="5" t="s">
        <v>355</v>
      </c>
      <c r="P49634" s="5" t="s">
        <v>355</v>
      </c>
      <c r="Q49634" s="5" t="s">
        <v>355</v>
      </c>
    </row>
    <row r="49635" ht="16.5" customHeight="1">
      <c r="O49635" s="5" t="s">
        <v>355</v>
      </c>
      <c r="P49635" s="5" t="s">
        <v>355</v>
      </c>
      <c r="Q49635" s="5" t="s">
        <v>355</v>
      </c>
    </row>
    <row r="49636" ht="16.5" customHeight="1">
      <c r="O49636" s="5" t="s">
        <v>355</v>
      </c>
      <c r="P49636" s="5" t="s">
        <v>355</v>
      </c>
      <c r="Q49636" s="5" t="s">
        <v>355</v>
      </c>
    </row>
    <row r="49637" ht="16.5" customHeight="1">
      <c r="O49637" s="5" t="s">
        <v>355</v>
      </c>
      <c r="P49637" s="5" t="s">
        <v>355</v>
      </c>
      <c r="Q49637" s="5" t="s">
        <v>355</v>
      </c>
    </row>
    <row r="49638" ht="16.5" customHeight="1">
      <c r="O49638" s="5" t="s">
        <v>355</v>
      </c>
      <c r="P49638" s="5" t="s">
        <v>355</v>
      </c>
      <c r="Q49638" s="5" t="s">
        <v>355</v>
      </c>
    </row>
    <row r="49639" ht="16.5" customHeight="1">
      <c r="O49639" s="5" t="s">
        <v>355</v>
      </c>
      <c r="P49639" s="5" t="s">
        <v>355</v>
      </c>
      <c r="Q49639" s="5" t="s">
        <v>355</v>
      </c>
    </row>
    <row r="49640" ht="16.5" customHeight="1">
      <c r="O49640" s="5" t="s">
        <v>355</v>
      </c>
      <c r="P49640" s="5" t="s">
        <v>355</v>
      </c>
      <c r="Q49640" s="5" t="s">
        <v>355</v>
      </c>
    </row>
    <row r="49641" ht="16.5" customHeight="1">
      <c r="O49641" s="5" t="s">
        <v>355</v>
      </c>
      <c r="P49641" s="5" t="s">
        <v>355</v>
      </c>
      <c r="Q49641" s="5" t="s">
        <v>355</v>
      </c>
    </row>
    <row r="49642" ht="16.5" customHeight="1">
      <c r="O49642" s="5" t="s">
        <v>355</v>
      </c>
      <c r="P49642" s="5" t="s">
        <v>355</v>
      </c>
      <c r="Q49642" s="5" t="s">
        <v>355</v>
      </c>
    </row>
    <row r="49643" ht="16.5" customHeight="1">
      <c r="O49643" s="5" t="s">
        <v>355</v>
      </c>
      <c r="P49643" s="5" t="s">
        <v>355</v>
      </c>
      <c r="Q49643" s="5" t="s">
        <v>355</v>
      </c>
    </row>
    <row r="49644" ht="16.5" customHeight="1">
      <c r="O49644" s="5" t="s">
        <v>355</v>
      </c>
      <c r="P49644" s="5" t="s">
        <v>355</v>
      </c>
      <c r="Q49644" s="5" t="s">
        <v>355</v>
      </c>
    </row>
    <row r="49645" ht="16.5" customHeight="1">
      <c r="O49645" s="5" t="s">
        <v>355</v>
      </c>
      <c r="P49645" s="5" t="s">
        <v>355</v>
      </c>
      <c r="Q49645" s="5" t="s">
        <v>355</v>
      </c>
    </row>
    <row r="49646" ht="16.5" customHeight="1">
      <c r="O49646" s="5" t="s">
        <v>355</v>
      </c>
      <c r="P49646" s="5" t="s">
        <v>355</v>
      </c>
      <c r="Q49646" s="5" t="s">
        <v>355</v>
      </c>
    </row>
    <row r="49647" ht="16.5" customHeight="1">
      <c r="O49647" s="5" t="s">
        <v>355</v>
      </c>
      <c r="P49647" s="5" t="s">
        <v>355</v>
      </c>
      <c r="Q49647" s="5" t="s">
        <v>355</v>
      </c>
    </row>
    <row r="49648" ht="16.5" customHeight="1">
      <c r="O49648" s="5" t="s">
        <v>355</v>
      </c>
      <c r="P49648" s="5" t="s">
        <v>355</v>
      </c>
      <c r="Q49648" s="5" t="s">
        <v>355</v>
      </c>
    </row>
    <row r="49649" ht="16.5" customHeight="1">
      <c r="O49649" s="5" t="s">
        <v>355</v>
      </c>
      <c r="P49649" s="5" t="s">
        <v>355</v>
      </c>
      <c r="Q49649" s="5" t="s">
        <v>355</v>
      </c>
    </row>
    <row r="49650" ht="16.5" customHeight="1">
      <c r="O49650" s="5" t="s">
        <v>355</v>
      </c>
      <c r="P49650" s="5" t="s">
        <v>355</v>
      </c>
      <c r="Q49650" s="5" t="s">
        <v>355</v>
      </c>
    </row>
    <row r="49651" ht="16.5" customHeight="1">
      <c r="O49651" s="5" t="s">
        <v>355</v>
      </c>
      <c r="P49651" s="5" t="s">
        <v>355</v>
      </c>
      <c r="Q49651" s="5" t="s">
        <v>355</v>
      </c>
    </row>
    <row r="49652" ht="16.5" customHeight="1">
      <c r="O49652" s="5" t="s">
        <v>355</v>
      </c>
      <c r="P49652" s="5" t="s">
        <v>355</v>
      </c>
      <c r="Q49652" s="5" t="s">
        <v>355</v>
      </c>
    </row>
    <row r="49653" ht="16.5" customHeight="1">
      <c r="O49653" s="5" t="s">
        <v>355</v>
      </c>
      <c r="P49653" s="5" t="s">
        <v>355</v>
      </c>
      <c r="Q49653" s="5" t="s">
        <v>355</v>
      </c>
    </row>
    <row r="49654" ht="16.5" customHeight="1">
      <c r="O49654" s="5" t="s">
        <v>355</v>
      </c>
      <c r="P49654" s="5" t="s">
        <v>355</v>
      </c>
      <c r="Q49654" s="5" t="s">
        <v>355</v>
      </c>
    </row>
    <row r="49655" ht="16.5" customHeight="1">
      <c r="O49655" s="5" t="s">
        <v>355</v>
      </c>
      <c r="P49655" s="5" t="s">
        <v>355</v>
      </c>
      <c r="Q49655" s="5" t="s">
        <v>355</v>
      </c>
    </row>
    <row r="49656" ht="16.5" customHeight="1">
      <c r="O49656" s="5" t="s">
        <v>355</v>
      </c>
      <c r="P49656" s="5" t="s">
        <v>355</v>
      </c>
      <c r="Q49656" s="5" t="s">
        <v>355</v>
      </c>
    </row>
    <row r="49657" ht="16.5" customHeight="1">
      <c r="O49657" s="5" t="s">
        <v>355</v>
      </c>
      <c r="P49657" s="5" t="s">
        <v>355</v>
      </c>
      <c r="Q49657" s="5" t="s">
        <v>355</v>
      </c>
    </row>
    <row r="49658" ht="16.5" customHeight="1">
      <c r="O49658" s="5" t="s">
        <v>355</v>
      </c>
      <c r="P49658" s="5" t="s">
        <v>355</v>
      </c>
      <c r="Q49658" s="5" t="s">
        <v>355</v>
      </c>
    </row>
    <row r="49659" ht="16.5" customHeight="1">
      <c r="O49659" s="5" t="s">
        <v>355</v>
      </c>
      <c r="P49659" s="5" t="s">
        <v>355</v>
      </c>
      <c r="Q49659" s="5" t="s">
        <v>355</v>
      </c>
    </row>
    <row r="49660" ht="16.5" customHeight="1">
      <c r="O49660" s="5" t="s">
        <v>355</v>
      </c>
      <c r="P49660" s="5" t="s">
        <v>355</v>
      </c>
      <c r="Q49660" s="5" t="s">
        <v>355</v>
      </c>
    </row>
    <row r="49661" ht="16.5" customHeight="1">
      <c r="O49661" s="5" t="s">
        <v>355</v>
      </c>
      <c r="P49661" s="5" t="s">
        <v>355</v>
      </c>
      <c r="Q49661" s="5" t="s">
        <v>355</v>
      </c>
    </row>
    <row r="49662" ht="16.5" customHeight="1">
      <c r="O49662" s="5" t="s">
        <v>355</v>
      </c>
      <c r="P49662" s="5" t="s">
        <v>355</v>
      </c>
      <c r="Q49662" s="5" t="s">
        <v>355</v>
      </c>
    </row>
    <row r="49663" ht="16.5" customHeight="1">
      <c r="O49663" s="5" t="s">
        <v>355</v>
      </c>
      <c r="P49663" s="5" t="s">
        <v>355</v>
      </c>
      <c r="Q49663" s="5" t="s">
        <v>355</v>
      </c>
    </row>
    <row r="49664" ht="16.5" customHeight="1">
      <c r="O49664" s="5" t="s">
        <v>355</v>
      </c>
      <c r="P49664" s="5" t="s">
        <v>355</v>
      </c>
      <c r="Q49664" s="5" t="s">
        <v>355</v>
      </c>
    </row>
    <row r="49665" ht="16.5" customHeight="1">
      <c r="O49665" s="5" t="s">
        <v>355</v>
      </c>
      <c r="P49665" s="5" t="s">
        <v>355</v>
      </c>
      <c r="Q49665" s="5" t="s">
        <v>355</v>
      </c>
    </row>
    <row r="49666" ht="16.5" customHeight="1">
      <c r="O49666" s="5" t="s">
        <v>355</v>
      </c>
      <c r="P49666" s="5" t="s">
        <v>355</v>
      </c>
      <c r="Q49666" s="5" t="s">
        <v>355</v>
      </c>
    </row>
    <row r="49667" ht="16.5" customHeight="1">
      <c r="O49667" s="5" t="s">
        <v>355</v>
      </c>
      <c r="P49667" s="5" t="s">
        <v>355</v>
      </c>
      <c r="Q49667" s="5" t="s">
        <v>355</v>
      </c>
    </row>
    <row r="49668" ht="16.5" customHeight="1">
      <c r="O49668" s="5" t="s">
        <v>355</v>
      </c>
      <c r="P49668" s="5" t="s">
        <v>355</v>
      </c>
      <c r="Q49668" s="5" t="s">
        <v>355</v>
      </c>
    </row>
    <row r="49669" ht="16.5" customHeight="1">
      <c r="O49669" s="5" t="s">
        <v>355</v>
      </c>
      <c r="P49669" s="5" t="s">
        <v>355</v>
      </c>
      <c r="Q49669" s="5" t="s">
        <v>355</v>
      </c>
    </row>
    <row r="49670" ht="16.5" customHeight="1">
      <c r="O49670" s="5" t="s">
        <v>355</v>
      </c>
      <c r="P49670" s="5" t="s">
        <v>355</v>
      </c>
      <c r="Q49670" s="5" t="s">
        <v>355</v>
      </c>
    </row>
    <row r="49671" ht="16.5" customHeight="1">
      <c r="O49671" s="5" t="s">
        <v>355</v>
      </c>
      <c r="P49671" s="5" t="s">
        <v>355</v>
      </c>
      <c r="Q49671" s="5" t="s">
        <v>355</v>
      </c>
    </row>
    <row r="49672" ht="16.5" customHeight="1">
      <c r="O49672" s="5" t="s">
        <v>355</v>
      </c>
      <c r="P49672" s="5" t="s">
        <v>355</v>
      </c>
      <c r="Q49672" s="5" t="s">
        <v>355</v>
      </c>
    </row>
    <row r="49673" ht="16.5" customHeight="1">
      <c r="O49673" s="5" t="s">
        <v>355</v>
      </c>
      <c r="P49673" s="5" t="s">
        <v>355</v>
      </c>
      <c r="Q49673" s="5" t="s">
        <v>355</v>
      </c>
    </row>
    <row r="49674" ht="16.5" customHeight="1">
      <c r="O49674" s="5" t="s">
        <v>355</v>
      </c>
      <c r="P49674" s="5" t="s">
        <v>355</v>
      </c>
      <c r="Q49674" s="5" t="s">
        <v>355</v>
      </c>
    </row>
    <row r="49675" ht="16.5" customHeight="1">
      <c r="O49675" s="5" t="s">
        <v>355</v>
      </c>
      <c r="P49675" s="5" t="s">
        <v>355</v>
      </c>
      <c r="Q49675" s="5" t="s">
        <v>355</v>
      </c>
    </row>
    <row r="49676" ht="16.5" customHeight="1">
      <c r="O49676" s="5" t="s">
        <v>355</v>
      </c>
      <c r="P49676" s="5" t="s">
        <v>355</v>
      </c>
      <c r="Q49676" s="5" t="s">
        <v>355</v>
      </c>
    </row>
    <row r="49677" ht="16.5" customHeight="1">
      <c r="O49677" s="5" t="s">
        <v>355</v>
      </c>
      <c r="P49677" s="5" t="s">
        <v>355</v>
      </c>
      <c r="Q49677" s="5" t="s">
        <v>355</v>
      </c>
    </row>
    <row r="49678" ht="16.5" customHeight="1">
      <c r="O49678" s="5" t="s">
        <v>355</v>
      </c>
      <c r="P49678" s="5" t="s">
        <v>355</v>
      </c>
      <c r="Q49678" s="5" t="s">
        <v>355</v>
      </c>
    </row>
    <row r="49679" ht="16.5" customHeight="1">
      <c r="O49679" s="5" t="s">
        <v>355</v>
      </c>
      <c r="P49679" s="5" t="s">
        <v>355</v>
      </c>
      <c r="Q49679" s="5" t="s">
        <v>355</v>
      </c>
    </row>
    <row r="49680" ht="16.5" customHeight="1">
      <c r="O49680" s="5" t="s">
        <v>355</v>
      </c>
      <c r="P49680" s="5" t="s">
        <v>355</v>
      </c>
      <c r="Q49680" s="5" t="s">
        <v>355</v>
      </c>
    </row>
    <row r="49681" ht="16.5" customHeight="1">
      <c r="O49681" s="5" t="s">
        <v>355</v>
      </c>
      <c r="P49681" s="5" t="s">
        <v>355</v>
      </c>
      <c r="Q49681" s="5" t="s">
        <v>355</v>
      </c>
    </row>
    <row r="49682" ht="16.5" customHeight="1">
      <c r="O49682" s="5" t="s">
        <v>355</v>
      </c>
      <c r="P49682" s="5" t="s">
        <v>355</v>
      </c>
      <c r="Q49682" s="5" t="s">
        <v>355</v>
      </c>
    </row>
    <row r="49683" ht="16.5" customHeight="1">
      <c r="O49683" s="5" t="s">
        <v>355</v>
      </c>
      <c r="P49683" s="5" t="s">
        <v>355</v>
      </c>
      <c r="Q49683" s="5" t="s">
        <v>355</v>
      </c>
    </row>
    <row r="49684" ht="16.5" customHeight="1">
      <c r="O49684" s="5" t="s">
        <v>355</v>
      </c>
      <c r="P49684" s="5" t="s">
        <v>355</v>
      </c>
      <c r="Q49684" s="5" t="s">
        <v>355</v>
      </c>
    </row>
    <row r="49685" ht="16.5" customHeight="1">
      <c r="O49685" s="5" t="s">
        <v>355</v>
      </c>
      <c r="P49685" s="5" t="s">
        <v>355</v>
      </c>
      <c r="Q49685" s="5" t="s">
        <v>355</v>
      </c>
    </row>
    <row r="49686" ht="16.5" customHeight="1">
      <c r="O49686" s="5" t="s">
        <v>355</v>
      </c>
      <c r="P49686" s="5" t="s">
        <v>355</v>
      </c>
      <c r="Q49686" s="5" t="s">
        <v>355</v>
      </c>
    </row>
    <row r="49687" ht="16.5" customHeight="1">
      <c r="O49687" s="5" t="s">
        <v>355</v>
      </c>
      <c r="P49687" s="5" t="s">
        <v>355</v>
      </c>
      <c r="Q49687" s="5" t="s">
        <v>355</v>
      </c>
    </row>
    <row r="49688" ht="16.5" customHeight="1">
      <c r="O49688" s="5" t="s">
        <v>355</v>
      </c>
      <c r="P49688" s="5" t="s">
        <v>355</v>
      </c>
      <c r="Q49688" s="5" t="s">
        <v>355</v>
      </c>
    </row>
    <row r="49689" ht="16.5" customHeight="1">
      <c r="O49689" s="5" t="s">
        <v>355</v>
      </c>
      <c r="P49689" s="5" t="s">
        <v>355</v>
      </c>
      <c r="Q49689" s="5" t="s">
        <v>355</v>
      </c>
    </row>
    <row r="49690" ht="16.5" customHeight="1">
      <c r="O49690" s="5" t="s">
        <v>355</v>
      </c>
      <c r="P49690" s="5" t="s">
        <v>355</v>
      </c>
      <c r="Q49690" s="5" t="s">
        <v>355</v>
      </c>
    </row>
    <row r="49691" ht="16.5" customHeight="1">
      <c r="O49691" s="5" t="s">
        <v>355</v>
      </c>
      <c r="P49691" s="5" t="s">
        <v>355</v>
      </c>
      <c r="Q49691" s="5" t="s">
        <v>355</v>
      </c>
    </row>
    <row r="49692" ht="16.5" customHeight="1">
      <c r="O49692" s="5" t="s">
        <v>355</v>
      </c>
      <c r="P49692" s="5" t="s">
        <v>355</v>
      </c>
      <c r="Q49692" s="5" t="s">
        <v>355</v>
      </c>
    </row>
    <row r="49693" ht="16.5" customHeight="1">
      <c r="O49693" s="5" t="s">
        <v>355</v>
      </c>
      <c r="P49693" s="5" t="s">
        <v>355</v>
      </c>
      <c r="Q49693" s="5" t="s">
        <v>355</v>
      </c>
    </row>
    <row r="49694" ht="16.5" customHeight="1">
      <c r="O49694" s="5" t="s">
        <v>355</v>
      </c>
      <c r="P49694" s="5" t="s">
        <v>355</v>
      </c>
      <c r="Q49694" s="5" t="s">
        <v>355</v>
      </c>
    </row>
    <row r="49695" ht="16.5" customHeight="1">
      <c r="O49695" s="5" t="s">
        <v>355</v>
      </c>
      <c r="P49695" s="5" t="s">
        <v>355</v>
      </c>
      <c r="Q49695" s="5" t="s">
        <v>355</v>
      </c>
    </row>
    <row r="49696" ht="16.5" customHeight="1">
      <c r="O49696" s="5" t="s">
        <v>355</v>
      </c>
      <c r="P49696" s="5" t="s">
        <v>355</v>
      </c>
      <c r="Q49696" s="5" t="s">
        <v>355</v>
      </c>
    </row>
    <row r="49697" ht="16.5" customHeight="1">
      <c r="O49697" s="5" t="s">
        <v>355</v>
      </c>
      <c r="P49697" s="5" t="s">
        <v>355</v>
      </c>
      <c r="Q49697" s="5" t="s">
        <v>355</v>
      </c>
    </row>
    <row r="49698" ht="16.5" customHeight="1">
      <c r="O49698" s="5" t="s">
        <v>355</v>
      </c>
      <c r="P49698" s="5" t="s">
        <v>355</v>
      </c>
      <c r="Q49698" s="5" t="s">
        <v>355</v>
      </c>
    </row>
    <row r="49699" ht="16.5" customHeight="1">
      <c r="O49699" s="5" t="s">
        <v>355</v>
      </c>
      <c r="P49699" s="5" t="s">
        <v>355</v>
      </c>
      <c r="Q49699" s="5" t="s">
        <v>355</v>
      </c>
    </row>
    <row r="49700" ht="16.5" customHeight="1">
      <c r="O49700" s="5" t="s">
        <v>355</v>
      </c>
      <c r="P49700" s="5" t="s">
        <v>355</v>
      </c>
      <c r="Q49700" s="5" t="s">
        <v>355</v>
      </c>
    </row>
    <row r="49701" ht="16.5" customHeight="1">
      <c r="O49701" s="5" t="s">
        <v>355</v>
      </c>
      <c r="P49701" s="5" t="s">
        <v>355</v>
      </c>
      <c r="Q49701" s="5" t="s">
        <v>355</v>
      </c>
    </row>
    <row r="49702" ht="16.5" customHeight="1">
      <c r="O49702" s="5" t="s">
        <v>355</v>
      </c>
      <c r="P49702" s="5" t="s">
        <v>355</v>
      </c>
      <c r="Q49702" s="5" t="s">
        <v>355</v>
      </c>
    </row>
    <row r="49703" ht="16.5" customHeight="1">
      <c r="O49703" s="5" t="s">
        <v>355</v>
      </c>
      <c r="P49703" s="5" t="s">
        <v>355</v>
      </c>
      <c r="Q49703" s="5" t="s">
        <v>355</v>
      </c>
    </row>
    <row r="49704" ht="16.5" customHeight="1">
      <c r="O49704" s="5" t="s">
        <v>355</v>
      </c>
      <c r="P49704" s="5" t="s">
        <v>355</v>
      </c>
      <c r="Q49704" s="5" t="s">
        <v>355</v>
      </c>
    </row>
    <row r="49705" ht="16.5" customHeight="1">
      <c r="O49705" s="5" t="s">
        <v>355</v>
      </c>
      <c r="P49705" s="5" t="s">
        <v>355</v>
      </c>
      <c r="Q49705" s="5" t="s">
        <v>355</v>
      </c>
    </row>
    <row r="49706" ht="16.5" customHeight="1">
      <c r="O49706" s="5" t="s">
        <v>355</v>
      </c>
      <c r="P49706" s="5" t="s">
        <v>355</v>
      </c>
      <c r="Q49706" s="5" t="s">
        <v>355</v>
      </c>
    </row>
    <row r="49707" ht="16.5" customHeight="1">
      <c r="O49707" s="5" t="s">
        <v>355</v>
      </c>
      <c r="P49707" s="5" t="s">
        <v>355</v>
      </c>
      <c r="Q49707" s="5" t="s">
        <v>355</v>
      </c>
    </row>
    <row r="49708" ht="16.5" customHeight="1">
      <c r="O49708" s="5" t="s">
        <v>355</v>
      </c>
      <c r="P49708" s="5" t="s">
        <v>355</v>
      </c>
      <c r="Q49708" s="5" t="s">
        <v>355</v>
      </c>
    </row>
    <row r="49709" ht="16.5" customHeight="1">
      <c r="O49709" s="5" t="s">
        <v>355</v>
      </c>
      <c r="P49709" s="5" t="s">
        <v>355</v>
      </c>
      <c r="Q49709" s="5" t="s">
        <v>355</v>
      </c>
    </row>
    <row r="49710" ht="16.5" customHeight="1">
      <c r="O49710" s="5" t="s">
        <v>355</v>
      </c>
      <c r="P49710" s="5" t="s">
        <v>355</v>
      </c>
      <c r="Q49710" s="5" t="s">
        <v>355</v>
      </c>
    </row>
    <row r="49711" ht="16.5" customHeight="1">
      <c r="O49711" s="5" t="s">
        <v>355</v>
      </c>
      <c r="P49711" s="5" t="s">
        <v>355</v>
      </c>
      <c r="Q49711" s="5" t="s">
        <v>355</v>
      </c>
    </row>
    <row r="49712" ht="16.5" customHeight="1">
      <c r="O49712" s="5" t="s">
        <v>355</v>
      </c>
      <c r="P49712" s="5" t="s">
        <v>355</v>
      </c>
      <c r="Q49712" s="5" t="s">
        <v>355</v>
      </c>
    </row>
    <row r="49713" ht="16.5" customHeight="1">
      <c r="O49713" s="5" t="s">
        <v>355</v>
      </c>
      <c r="P49713" s="5" t="s">
        <v>355</v>
      </c>
      <c r="Q49713" s="5" t="s">
        <v>355</v>
      </c>
    </row>
    <row r="49714" ht="16.5" customHeight="1">
      <c r="O49714" s="5" t="s">
        <v>355</v>
      </c>
      <c r="P49714" s="5" t="s">
        <v>355</v>
      </c>
      <c r="Q49714" s="5" t="s">
        <v>355</v>
      </c>
    </row>
    <row r="49715" ht="16.5" customHeight="1">
      <c r="O49715" s="5" t="s">
        <v>355</v>
      </c>
      <c r="P49715" s="5" t="s">
        <v>355</v>
      </c>
      <c r="Q49715" s="5" t="s">
        <v>355</v>
      </c>
    </row>
    <row r="49716" ht="16.5" customHeight="1">
      <c r="O49716" s="5" t="s">
        <v>355</v>
      </c>
      <c r="P49716" s="5" t="s">
        <v>355</v>
      </c>
      <c r="Q49716" s="5" t="s">
        <v>355</v>
      </c>
    </row>
    <row r="49717" ht="16.5" customHeight="1">
      <c r="O49717" s="5" t="s">
        <v>355</v>
      </c>
      <c r="P49717" s="5" t="s">
        <v>355</v>
      </c>
      <c r="Q49717" s="5" t="s">
        <v>355</v>
      </c>
    </row>
    <row r="49718" ht="16.5" customHeight="1">
      <c r="O49718" s="5" t="s">
        <v>355</v>
      </c>
      <c r="P49718" s="5" t="s">
        <v>355</v>
      </c>
      <c r="Q49718" s="5" t="s">
        <v>355</v>
      </c>
    </row>
    <row r="49719" ht="16.5" customHeight="1">
      <c r="O49719" s="5" t="s">
        <v>355</v>
      </c>
      <c r="P49719" s="5" t="s">
        <v>355</v>
      </c>
      <c r="Q49719" s="5" t="s">
        <v>355</v>
      </c>
    </row>
    <row r="49720" ht="16.5" customHeight="1">
      <c r="O49720" s="5" t="s">
        <v>355</v>
      </c>
      <c r="P49720" s="5" t="s">
        <v>355</v>
      </c>
      <c r="Q49720" s="5" t="s">
        <v>355</v>
      </c>
    </row>
    <row r="49721" ht="16.5" customHeight="1">
      <c r="O49721" s="5" t="s">
        <v>355</v>
      </c>
      <c r="P49721" s="5" t="s">
        <v>355</v>
      </c>
      <c r="Q49721" s="5" t="s">
        <v>355</v>
      </c>
    </row>
    <row r="49722" ht="16.5" customHeight="1">
      <c r="O49722" s="5" t="s">
        <v>355</v>
      </c>
      <c r="P49722" s="5" t="s">
        <v>355</v>
      </c>
      <c r="Q49722" s="5" t="s">
        <v>355</v>
      </c>
    </row>
    <row r="49723" ht="16.5" customHeight="1">
      <c r="O49723" s="5" t="s">
        <v>355</v>
      </c>
      <c r="P49723" s="5" t="s">
        <v>355</v>
      </c>
      <c r="Q49723" s="5" t="s">
        <v>355</v>
      </c>
    </row>
    <row r="49724" ht="16.5" customHeight="1">
      <c r="O49724" s="5" t="s">
        <v>355</v>
      </c>
      <c r="P49724" s="5" t="s">
        <v>355</v>
      </c>
      <c r="Q49724" s="5" t="s">
        <v>355</v>
      </c>
    </row>
    <row r="49725" ht="16.5" customHeight="1">
      <c r="O49725" s="5" t="s">
        <v>355</v>
      </c>
      <c r="P49725" s="5" t="s">
        <v>355</v>
      </c>
      <c r="Q49725" s="5" t="s">
        <v>355</v>
      </c>
    </row>
    <row r="49726" ht="16.5" customHeight="1">
      <c r="O49726" s="5" t="s">
        <v>355</v>
      </c>
      <c r="P49726" s="5" t="s">
        <v>355</v>
      </c>
      <c r="Q49726" s="5" t="s">
        <v>355</v>
      </c>
    </row>
    <row r="49727" ht="16.5" customHeight="1">
      <c r="O49727" s="5" t="s">
        <v>355</v>
      </c>
      <c r="P49727" s="5" t="s">
        <v>355</v>
      </c>
      <c r="Q49727" s="5" t="s">
        <v>355</v>
      </c>
    </row>
    <row r="49728" ht="16.5" customHeight="1">
      <c r="O49728" s="5" t="s">
        <v>355</v>
      </c>
      <c r="P49728" s="5" t="s">
        <v>355</v>
      </c>
      <c r="Q49728" s="5" t="s">
        <v>355</v>
      </c>
    </row>
    <row r="49729" ht="16.5" customHeight="1">
      <c r="O49729" s="5" t="s">
        <v>355</v>
      </c>
      <c r="P49729" s="5" t="s">
        <v>355</v>
      </c>
      <c r="Q49729" s="5" t="s">
        <v>355</v>
      </c>
    </row>
    <row r="49730" ht="16.5" customHeight="1">
      <c r="O49730" s="5" t="s">
        <v>355</v>
      </c>
      <c r="P49730" s="5" t="s">
        <v>355</v>
      </c>
      <c r="Q49730" s="5" t="s">
        <v>355</v>
      </c>
    </row>
    <row r="49731" ht="16.5" customHeight="1">
      <c r="O49731" s="5" t="s">
        <v>355</v>
      </c>
      <c r="P49731" s="5" t="s">
        <v>355</v>
      </c>
      <c r="Q49731" s="5" t="s">
        <v>355</v>
      </c>
    </row>
    <row r="49732" ht="16.5" customHeight="1">
      <c r="O49732" s="5" t="s">
        <v>355</v>
      </c>
      <c r="P49732" s="5" t="s">
        <v>355</v>
      </c>
      <c r="Q49732" s="5" t="s">
        <v>355</v>
      </c>
    </row>
    <row r="49733" ht="16.5" customHeight="1">
      <c r="O49733" s="5" t="s">
        <v>355</v>
      </c>
      <c r="P49733" s="5" t="s">
        <v>355</v>
      </c>
      <c r="Q49733" s="5" t="s">
        <v>355</v>
      </c>
    </row>
    <row r="49734" ht="16.5" customHeight="1">
      <c r="O49734" s="5" t="s">
        <v>355</v>
      </c>
      <c r="P49734" s="5" t="s">
        <v>355</v>
      </c>
      <c r="Q49734" s="5" t="s">
        <v>355</v>
      </c>
    </row>
    <row r="49735" ht="16.5" customHeight="1">
      <c r="O49735" s="5" t="s">
        <v>355</v>
      </c>
      <c r="P49735" s="5" t="s">
        <v>355</v>
      </c>
      <c r="Q49735" s="5" t="s">
        <v>355</v>
      </c>
    </row>
    <row r="49736" ht="16.5" customHeight="1">
      <c r="O49736" s="5" t="s">
        <v>355</v>
      </c>
      <c r="P49736" s="5" t="s">
        <v>355</v>
      </c>
      <c r="Q49736" s="5" t="s">
        <v>355</v>
      </c>
    </row>
    <row r="49737" ht="16.5" customHeight="1">
      <c r="O49737" s="5" t="s">
        <v>355</v>
      </c>
      <c r="P49737" s="5" t="s">
        <v>355</v>
      </c>
      <c r="Q49737" s="5" t="s">
        <v>355</v>
      </c>
    </row>
    <row r="49738" ht="16.5" customHeight="1">
      <c r="O49738" s="5" t="s">
        <v>355</v>
      </c>
      <c r="P49738" s="5" t="s">
        <v>355</v>
      </c>
      <c r="Q49738" s="5" t="s">
        <v>355</v>
      </c>
    </row>
    <row r="49739" ht="16.5" customHeight="1">
      <c r="O49739" s="5" t="s">
        <v>355</v>
      </c>
      <c r="P49739" s="5" t="s">
        <v>355</v>
      </c>
      <c r="Q49739" s="5" t="s">
        <v>355</v>
      </c>
    </row>
    <row r="49740" ht="16.5" customHeight="1">
      <c r="O49740" s="5" t="s">
        <v>355</v>
      </c>
      <c r="P49740" s="5" t="s">
        <v>355</v>
      </c>
      <c r="Q49740" s="5" t="s">
        <v>355</v>
      </c>
    </row>
    <row r="49741" ht="16.5" customHeight="1">
      <c r="O49741" s="5" t="s">
        <v>355</v>
      </c>
      <c r="P49741" s="5" t="s">
        <v>355</v>
      </c>
      <c r="Q49741" s="5" t="s">
        <v>355</v>
      </c>
    </row>
    <row r="49742" ht="16.5" customHeight="1">
      <c r="O49742" s="5" t="s">
        <v>355</v>
      </c>
      <c r="P49742" s="5" t="s">
        <v>355</v>
      </c>
      <c r="Q49742" s="5" t="s">
        <v>355</v>
      </c>
    </row>
    <row r="49743" ht="16.5" customHeight="1">
      <c r="O49743" s="5" t="s">
        <v>355</v>
      </c>
      <c r="P49743" s="5" t="s">
        <v>355</v>
      </c>
      <c r="Q49743" s="5" t="s">
        <v>355</v>
      </c>
    </row>
    <row r="49744" ht="16.5" customHeight="1">
      <c r="O49744" s="5" t="s">
        <v>355</v>
      </c>
      <c r="P49744" s="5" t="s">
        <v>355</v>
      </c>
      <c r="Q49744" s="5" t="s">
        <v>355</v>
      </c>
    </row>
    <row r="49745" ht="16.5" customHeight="1">
      <c r="O49745" s="5" t="s">
        <v>355</v>
      </c>
      <c r="P49745" s="5" t="s">
        <v>355</v>
      </c>
      <c r="Q49745" s="5" t="s">
        <v>355</v>
      </c>
    </row>
    <row r="49746" ht="16.5" customHeight="1">
      <c r="O49746" s="5" t="s">
        <v>355</v>
      </c>
      <c r="P49746" s="5" t="s">
        <v>355</v>
      </c>
      <c r="Q49746" s="5" t="s">
        <v>355</v>
      </c>
    </row>
    <row r="49747" ht="16.5" customHeight="1">
      <c r="O49747" s="5" t="s">
        <v>355</v>
      </c>
      <c r="P49747" s="5" t="s">
        <v>355</v>
      </c>
      <c r="Q49747" s="5" t="s">
        <v>355</v>
      </c>
    </row>
    <row r="49748" ht="16.5" customHeight="1">
      <c r="O49748" s="5" t="s">
        <v>355</v>
      </c>
      <c r="P49748" s="5" t="s">
        <v>355</v>
      </c>
      <c r="Q49748" s="5" t="s">
        <v>355</v>
      </c>
    </row>
    <row r="49749" ht="16.5" customHeight="1">
      <c r="O49749" s="5" t="s">
        <v>355</v>
      </c>
      <c r="P49749" s="5" t="s">
        <v>355</v>
      </c>
      <c r="Q49749" s="5" t="s">
        <v>355</v>
      </c>
    </row>
    <row r="49750" ht="16.5" customHeight="1">
      <c r="O49750" s="5" t="s">
        <v>355</v>
      </c>
      <c r="P49750" s="5" t="s">
        <v>355</v>
      </c>
      <c r="Q49750" s="5" t="s">
        <v>355</v>
      </c>
    </row>
    <row r="49751" ht="16.5" customHeight="1">
      <c r="O49751" s="5" t="s">
        <v>355</v>
      </c>
      <c r="P49751" s="5" t="s">
        <v>355</v>
      </c>
      <c r="Q49751" s="5" t="s">
        <v>355</v>
      </c>
    </row>
    <row r="49752" ht="16.5" customHeight="1">
      <c r="O49752" s="5" t="s">
        <v>355</v>
      </c>
      <c r="P49752" s="5" t="s">
        <v>355</v>
      </c>
      <c r="Q49752" s="5" t="s">
        <v>355</v>
      </c>
    </row>
    <row r="49753" ht="16.5" customHeight="1">
      <c r="O49753" s="5" t="s">
        <v>355</v>
      </c>
      <c r="P49753" s="5" t="s">
        <v>355</v>
      </c>
      <c r="Q49753" s="5" t="s">
        <v>355</v>
      </c>
    </row>
    <row r="49754" ht="16.5" customHeight="1">
      <c r="O49754" s="5" t="s">
        <v>355</v>
      </c>
      <c r="P49754" s="5" t="s">
        <v>355</v>
      </c>
      <c r="Q49754" s="5" t="s">
        <v>355</v>
      </c>
    </row>
    <row r="49755" ht="16.5" customHeight="1">
      <c r="O49755" s="5" t="s">
        <v>355</v>
      </c>
      <c r="P49755" s="5" t="s">
        <v>355</v>
      </c>
      <c r="Q49755" s="5" t="s">
        <v>355</v>
      </c>
    </row>
    <row r="49756" ht="16.5" customHeight="1">
      <c r="O49756" s="5" t="s">
        <v>355</v>
      </c>
      <c r="P49756" s="5" t="s">
        <v>355</v>
      </c>
      <c r="Q49756" s="5" t="s">
        <v>355</v>
      </c>
    </row>
    <row r="49757" ht="16.5" customHeight="1">
      <c r="O49757" s="5" t="s">
        <v>355</v>
      </c>
      <c r="P49757" s="5" t="s">
        <v>355</v>
      </c>
      <c r="Q49757" s="5" t="s">
        <v>355</v>
      </c>
    </row>
    <row r="49758" ht="16.5" customHeight="1">
      <c r="O49758" s="5" t="s">
        <v>355</v>
      </c>
      <c r="P49758" s="5" t="s">
        <v>355</v>
      </c>
      <c r="Q49758" s="5" t="s">
        <v>355</v>
      </c>
    </row>
    <row r="49759" ht="16.5" customHeight="1">
      <c r="O49759" s="5" t="s">
        <v>355</v>
      </c>
      <c r="P49759" s="5" t="s">
        <v>355</v>
      </c>
      <c r="Q49759" s="5" t="s">
        <v>355</v>
      </c>
    </row>
    <row r="49760" ht="16.5" customHeight="1">
      <c r="O49760" s="5" t="s">
        <v>355</v>
      </c>
      <c r="P49760" s="5" t="s">
        <v>355</v>
      </c>
      <c r="Q49760" s="5" t="s">
        <v>355</v>
      </c>
    </row>
    <row r="49761" ht="16.5" customHeight="1">
      <c r="O49761" s="5" t="s">
        <v>355</v>
      </c>
      <c r="P49761" s="5" t="s">
        <v>355</v>
      </c>
      <c r="Q49761" s="5" t="s">
        <v>355</v>
      </c>
    </row>
    <row r="49762" ht="16.5" customHeight="1">
      <c r="O49762" s="5" t="s">
        <v>355</v>
      </c>
      <c r="P49762" s="5" t="s">
        <v>355</v>
      </c>
      <c r="Q49762" s="5" t="s">
        <v>355</v>
      </c>
    </row>
    <row r="49763" ht="16.5" customHeight="1">
      <c r="O49763" s="5" t="s">
        <v>355</v>
      </c>
      <c r="P49763" s="5" t="s">
        <v>355</v>
      </c>
      <c r="Q49763" s="5" t="s">
        <v>355</v>
      </c>
    </row>
    <row r="49764" ht="16.5" customHeight="1">
      <c r="O49764" s="5" t="s">
        <v>355</v>
      </c>
      <c r="P49764" s="5" t="s">
        <v>355</v>
      </c>
      <c r="Q49764" s="5" t="s">
        <v>355</v>
      </c>
    </row>
    <row r="49765" ht="16.5" customHeight="1">
      <c r="O49765" s="5" t="s">
        <v>355</v>
      </c>
      <c r="P49765" s="5" t="s">
        <v>355</v>
      </c>
      <c r="Q49765" s="5" t="s">
        <v>355</v>
      </c>
    </row>
    <row r="49766" ht="16.5" customHeight="1">
      <c r="O49766" s="5" t="s">
        <v>355</v>
      </c>
      <c r="P49766" s="5" t="s">
        <v>355</v>
      </c>
      <c r="Q49766" s="5" t="s">
        <v>355</v>
      </c>
    </row>
    <row r="49767" ht="16.5" customHeight="1">
      <c r="O49767" s="5" t="s">
        <v>355</v>
      </c>
      <c r="P49767" s="5" t="s">
        <v>355</v>
      </c>
      <c r="Q49767" s="5" t="s">
        <v>355</v>
      </c>
    </row>
    <row r="49768" ht="16.5" customHeight="1">
      <c r="O49768" s="5" t="s">
        <v>355</v>
      </c>
      <c r="P49768" s="5" t="s">
        <v>355</v>
      </c>
      <c r="Q49768" s="5" t="s">
        <v>355</v>
      </c>
    </row>
    <row r="49769" ht="16.5" customHeight="1">
      <c r="O49769" s="5" t="s">
        <v>355</v>
      </c>
      <c r="P49769" s="5" t="s">
        <v>355</v>
      </c>
      <c r="Q49769" s="5" t="s">
        <v>355</v>
      </c>
    </row>
    <row r="49770" ht="16.5" customHeight="1">
      <c r="O49770" s="5" t="s">
        <v>355</v>
      </c>
      <c r="P49770" s="5" t="s">
        <v>355</v>
      </c>
      <c r="Q49770" s="5" t="s">
        <v>355</v>
      </c>
    </row>
    <row r="49771" ht="16.5" customHeight="1">
      <c r="O49771" s="5" t="s">
        <v>355</v>
      </c>
      <c r="P49771" s="5" t="s">
        <v>355</v>
      </c>
      <c r="Q49771" s="5" t="s">
        <v>355</v>
      </c>
    </row>
    <row r="49772" ht="16.5" customHeight="1">
      <c r="O49772" s="5" t="s">
        <v>355</v>
      </c>
      <c r="P49772" s="5" t="s">
        <v>355</v>
      </c>
      <c r="Q49772" s="5" t="s">
        <v>355</v>
      </c>
    </row>
    <row r="49773" ht="16.5" customHeight="1">
      <c r="O49773" s="5" t="s">
        <v>355</v>
      </c>
      <c r="P49773" s="5" t="s">
        <v>355</v>
      </c>
      <c r="Q49773" s="5" t="s">
        <v>355</v>
      </c>
    </row>
    <row r="49774" ht="16.5" customHeight="1">
      <c r="O49774" s="5" t="s">
        <v>355</v>
      </c>
      <c r="P49774" s="5" t="s">
        <v>355</v>
      </c>
      <c r="Q49774" s="5" t="s">
        <v>355</v>
      </c>
    </row>
    <row r="49775" ht="16.5" customHeight="1">
      <c r="O49775" s="5" t="s">
        <v>355</v>
      </c>
      <c r="P49775" s="5" t="s">
        <v>355</v>
      </c>
      <c r="Q49775" s="5" t="s">
        <v>355</v>
      </c>
    </row>
    <row r="49776" ht="16.5" customHeight="1">
      <c r="O49776" s="5" t="s">
        <v>355</v>
      </c>
      <c r="P49776" s="5" t="s">
        <v>355</v>
      </c>
      <c r="Q49776" s="5" t="s">
        <v>355</v>
      </c>
    </row>
    <row r="49777" ht="16.5" customHeight="1">
      <c r="O49777" s="5" t="s">
        <v>355</v>
      </c>
      <c r="P49777" s="5" t="s">
        <v>355</v>
      </c>
      <c r="Q49777" s="5" t="s">
        <v>355</v>
      </c>
    </row>
    <row r="49778" ht="16.5" customHeight="1">
      <c r="O49778" s="5" t="s">
        <v>355</v>
      </c>
      <c r="P49778" s="5" t="s">
        <v>355</v>
      </c>
      <c r="Q49778" s="5" t="s">
        <v>355</v>
      </c>
    </row>
    <row r="49779" ht="16.5" customHeight="1">
      <c r="O49779" s="5" t="s">
        <v>355</v>
      </c>
      <c r="P49779" s="5" t="s">
        <v>355</v>
      </c>
      <c r="Q49779" s="5" t="s">
        <v>355</v>
      </c>
    </row>
    <row r="49780" ht="16.5" customHeight="1">
      <c r="O49780" s="5" t="s">
        <v>355</v>
      </c>
      <c r="P49780" s="5" t="s">
        <v>355</v>
      </c>
      <c r="Q49780" s="5" t="s">
        <v>355</v>
      </c>
    </row>
    <row r="49781" ht="16.5" customHeight="1">
      <c r="O49781" s="5" t="s">
        <v>355</v>
      </c>
      <c r="P49781" s="5" t="s">
        <v>355</v>
      </c>
      <c r="Q49781" s="5" t="s">
        <v>355</v>
      </c>
    </row>
    <row r="49782" ht="16.5" customHeight="1">
      <c r="O49782" s="5" t="s">
        <v>355</v>
      </c>
      <c r="P49782" s="5" t="s">
        <v>355</v>
      </c>
      <c r="Q49782" s="5" t="s">
        <v>355</v>
      </c>
    </row>
    <row r="49783" ht="16.5" customHeight="1">
      <c r="O49783" s="5" t="s">
        <v>355</v>
      </c>
      <c r="P49783" s="5" t="s">
        <v>355</v>
      </c>
      <c r="Q49783" s="5" t="s">
        <v>355</v>
      </c>
    </row>
    <row r="49784" ht="16.5" customHeight="1">
      <c r="O49784" s="5" t="s">
        <v>355</v>
      </c>
      <c r="P49784" s="5" t="s">
        <v>355</v>
      </c>
      <c r="Q49784" s="5" t="s">
        <v>355</v>
      </c>
    </row>
    <row r="49785" ht="16.5" customHeight="1">
      <c r="O49785" s="5" t="s">
        <v>355</v>
      </c>
      <c r="P49785" s="5" t="s">
        <v>355</v>
      </c>
      <c r="Q49785" s="5" t="s">
        <v>355</v>
      </c>
    </row>
    <row r="49786" ht="16.5" customHeight="1">
      <c r="O49786" s="5" t="s">
        <v>355</v>
      </c>
      <c r="P49786" s="5" t="s">
        <v>355</v>
      </c>
      <c r="Q49786" s="5" t="s">
        <v>355</v>
      </c>
    </row>
    <row r="49787" ht="16.5" customHeight="1">
      <c r="O49787" s="5" t="s">
        <v>355</v>
      </c>
      <c r="P49787" s="5" t="s">
        <v>355</v>
      </c>
      <c r="Q49787" s="5" t="s">
        <v>355</v>
      </c>
    </row>
    <row r="49788" ht="16.5" customHeight="1">
      <c r="O49788" s="5" t="s">
        <v>355</v>
      </c>
      <c r="P49788" s="5" t="s">
        <v>355</v>
      </c>
      <c r="Q49788" s="5" t="s">
        <v>355</v>
      </c>
    </row>
    <row r="49789" ht="16.5" customHeight="1">
      <c r="O49789" s="5" t="s">
        <v>355</v>
      </c>
      <c r="P49789" s="5" t="s">
        <v>355</v>
      </c>
      <c r="Q49789" s="5" t="s">
        <v>355</v>
      </c>
    </row>
    <row r="49790" ht="16.5" customHeight="1">
      <c r="O49790" s="5" t="s">
        <v>355</v>
      </c>
      <c r="P49790" s="5" t="s">
        <v>355</v>
      </c>
      <c r="Q49790" s="5" t="s">
        <v>355</v>
      </c>
    </row>
    <row r="49791" ht="16.5" customHeight="1">
      <c r="O49791" s="5" t="s">
        <v>355</v>
      </c>
      <c r="P49791" s="5" t="s">
        <v>355</v>
      </c>
      <c r="Q49791" s="5" t="s">
        <v>355</v>
      </c>
    </row>
    <row r="49792" ht="16.5" customHeight="1">
      <c r="O49792" s="5" t="s">
        <v>355</v>
      </c>
      <c r="P49792" s="5" t="s">
        <v>355</v>
      </c>
      <c r="Q49792" s="5" t="s">
        <v>355</v>
      </c>
    </row>
    <row r="49793" ht="16.5" customHeight="1">
      <c r="O49793" s="5" t="s">
        <v>355</v>
      </c>
      <c r="P49793" s="5" t="s">
        <v>355</v>
      </c>
      <c r="Q49793" s="5" t="s">
        <v>355</v>
      </c>
    </row>
    <row r="49794" ht="16.5" customHeight="1">
      <c r="O49794" s="5" t="s">
        <v>355</v>
      </c>
      <c r="P49794" s="5" t="s">
        <v>355</v>
      </c>
      <c r="Q49794" s="5" t="s">
        <v>355</v>
      </c>
    </row>
    <row r="49795" ht="16.5" customHeight="1">
      <c r="O49795" s="5" t="s">
        <v>355</v>
      </c>
      <c r="P49795" s="5" t="s">
        <v>355</v>
      </c>
      <c r="Q49795" s="5" t="s">
        <v>355</v>
      </c>
    </row>
    <row r="49796" ht="16.5" customHeight="1">
      <c r="O49796" s="5" t="s">
        <v>355</v>
      </c>
      <c r="P49796" s="5" t="s">
        <v>355</v>
      </c>
      <c r="Q49796" s="5" t="s">
        <v>355</v>
      </c>
    </row>
    <row r="49797" ht="16.5" customHeight="1">
      <c r="O49797" s="5" t="s">
        <v>355</v>
      </c>
      <c r="P49797" s="5" t="s">
        <v>355</v>
      </c>
      <c r="Q49797" s="5" t="s">
        <v>355</v>
      </c>
    </row>
    <row r="49798" ht="16.5" customHeight="1">
      <c r="O49798" s="5" t="s">
        <v>355</v>
      </c>
      <c r="P49798" s="5" t="s">
        <v>355</v>
      </c>
      <c r="Q49798" s="5" t="s">
        <v>355</v>
      </c>
    </row>
    <row r="49799" ht="16.5" customHeight="1">
      <c r="O49799" s="5" t="s">
        <v>355</v>
      </c>
      <c r="P49799" s="5" t="s">
        <v>355</v>
      </c>
      <c r="Q49799" s="5" t="s">
        <v>355</v>
      </c>
    </row>
    <row r="49800" ht="16.5" customHeight="1">
      <c r="O49800" s="5" t="s">
        <v>355</v>
      </c>
      <c r="P49800" s="5" t="s">
        <v>355</v>
      </c>
      <c r="Q49800" s="5" t="s">
        <v>355</v>
      </c>
    </row>
    <row r="49801" ht="16.5" customHeight="1">
      <c r="O49801" s="5" t="s">
        <v>355</v>
      </c>
      <c r="P49801" s="5" t="s">
        <v>355</v>
      </c>
      <c r="Q49801" s="5" t="s">
        <v>355</v>
      </c>
    </row>
    <row r="49802" ht="16.5" customHeight="1">
      <c r="O49802" s="5" t="s">
        <v>355</v>
      </c>
      <c r="P49802" s="5" t="s">
        <v>355</v>
      </c>
      <c r="Q49802" s="5" t="s">
        <v>355</v>
      </c>
    </row>
    <row r="49803" ht="16.5" customHeight="1">
      <c r="O49803" s="5" t="s">
        <v>355</v>
      </c>
      <c r="P49803" s="5" t="s">
        <v>355</v>
      </c>
      <c r="Q49803" s="5" t="s">
        <v>355</v>
      </c>
    </row>
    <row r="49804" ht="16.5" customHeight="1">
      <c r="O49804" s="5" t="s">
        <v>355</v>
      </c>
      <c r="P49804" s="5" t="s">
        <v>355</v>
      </c>
      <c r="Q49804" s="5" t="s">
        <v>355</v>
      </c>
    </row>
    <row r="49805" ht="16.5" customHeight="1">
      <c r="O49805" s="5" t="s">
        <v>355</v>
      </c>
      <c r="P49805" s="5" t="s">
        <v>355</v>
      </c>
      <c r="Q49805" s="5" t="s">
        <v>355</v>
      </c>
    </row>
    <row r="49806" ht="16.5" customHeight="1">
      <c r="O49806" s="5" t="s">
        <v>355</v>
      </c>
      <c r="P49806" s="5" t="s">
        <v>355</v>
      </c>
      <c r="Q49806" s="5" t="s">
        <v>355</v>
      </c>
    </row>
    <row r="49807" ht="16.5" customHeight="1">
      <c r="O49807" s="5" t="s">
        <v>355</v>
      </c>
      <c r="P49807" s="5" t="s">
        <v>355</v>
      </c>
      <c r="Q49807" s="5" t="s">
        <v>355</v>
      </c>
    </row>
    <row r="49808" ht="16.5" customHeight="1">
      <c r="O49808" s="5" t="s">
        <v>355</v>
      </c>
      <c r="P49808" s="5" t="s">
        <v>355</v>
      </c>
      <c r="Q49808" s="5" t="s">
        <v>355</v>
      </c>
    </row>
    <row r="49809" ht="16.5" customHeight="1">
      <c r="O49809" s="5" t="s">
        <v>355</v>
      </c>
      <c r="P49809" s="5" t="s">
        <v>355</v>
      </c>
      <c r="Q49809" s="5" t="s">
        <v>355</v>
      </c>
    </row>
    <row r="49810" ht="16.5" customHeight="1">
      <c r="O49810" s="5" t="s">
        <v>355</v>
      </c>
      <c r="P49810" s="5" t="s">
        <v>355</v>
      </c>
      <c r="Q49810" s="5" t="s">
        <v>355</v>
      </c>
    </row>
    <row r="49811" ht="16.5" customHeight="1">
      <c r="O49811" s="5" t="s">
        <v>355</v>
      </c>
      <c r="P49811" s="5" t="s">
        <v>355</v>
      </c>
      <c r="Q49811" s="5" t="s">
        <v>355</v>
      </c>
    </row>
    <row r="49812" ht="16.5" customHeight="1">
      <c r="O49812" s="5" t="s">
        <v>355</v>
      </c>
      <c r="P49812" s="5" t="s">
        <v>355</v>
      </c>
      <c r="Q49812" s="5" t="s">
        <v>355</v>
      </c>
    </row>
    <row r="49813" ht="16.5" customHeight="1">
      <c r="O49813" s="5" t="s">
        <v>355</v>
      </c>
      <c r="P49813" s="5" t="s">
        <v>355</v>
      </c>
      <c r="Q49813" s="5" t="s">
        <v>355</v>
      </c>
    </row>
    <row r="49814" ht="16.5" customHeight="1">
      <c r="O49814" s="5" t="s">
        <v>355</v>
      </c>
      <c r="P49814" s="5" t="s">
        <v>355</v>
      </c>
      <c r="Q49814" s="5" t="s">
        <v>355</v>
      </c>
    </row>
    <row r="49815" ht="16.5" customHeight="1">
      <c r="O49815" s="5" t="s">
        <v>355</v>
      </c>
      <c r="P49815" s="5" t="s">
        <v>355</v>
      </c>
      <c r="Q49815" s="5" t="s">
        <v>355</v>
      </c>
    </row>
    <row r="49816" ht="16.5" customHeight="1">
      <c r="O49816" s="5" t="s">
        <v>355</v>
      </c>
      <c r="P49816" s="5" t="s">
        <v>355</v>
      </c>
      <c r="Q49816" s="5" t="s">
        <v>355</v>
      </c>
    </row>
    <row r="49817" ht="16.5" customHeight="1">
      <c r="O49817" s="5" t="s">
        <v>355</v>
      </c>
      <c r="P49817" s="5" t="s">
        <v>355</v>
      </c>
      <c r="Q49817" s="5" t="s">
        <v>355</v>
      </c>
    </row>
    <row r="49818" ht="16.5" customHeight="1">
      <c r="O49818" s="5" t="s">
        <v>355</v>
      </c>
      <c r="P49818" s="5" t="s">
        <v>355</v>
      </c>
      <c r="Q49818" s="5" t="s">
        <v>355</v>
      </c>
    </row>
    <row r="49819" ht="16.5" customHeight="1">
      <c r="O49819" s="5" t="s">
        <v>355</v>
      </c>
      <c r="P49819" s="5" t="s">
        <v>355</v>
      </c>
      <c r="Q49819" s="5" t="s">
        <v>355</v>
      </c>
    </row>
    <row r="49820" ht="16.5" customHeight="1">
      <c r="O49820" s="5" t="s">
        <v>355</v>
      </c>
      <c r="P49820" s="5" t="s">
        <v>355</v>
      </c>
      <c r="Q49820" s="5" t="s">
        <v>355</v>
      </c>
    </row>
    <row r="49821" ht="16.5" customHeight="1">
      <c r="O49821" s="5" t="s">
        <v>355</v>
      </c>
      <c r="P49821" s="5" t="s">
        <v>355</v>
      </c>
      <c r="Q49821" s="5" t="s">
        <v>355</v>
      </c>
    </row>
    <row r="49822" ht="16.5" customHeight="1">
      <c r="O49822" s="5" t="s">
        <v>355</v>
      </c>
      <c r="P49822" s="5" t="s">
        <v>355</v>
      </c>
      <c r="Q49822" s="5" t="s">
        <v>355</v>
      </c>
    </row>
    <row r="49823" ht="16.5" customHeight="1">
      <c r="O49823" s="5" t="s">
        <v>355</v>
      </c>
      <c r="P49823" s="5" t="s">
        <v>355</v>
      </c>
      <c r="Q49823" s="5" t="s">
        <v>355</v>
      </c>
    </row>
    <row r="49824" ht="16.5" customHeight="1">
      <c r="O49824" s="5" t="s">
        <v>355</v>
      </c>
      <c r="P49824" s="5" t="s">
        <v>355</v>
      </c>
      <c r="Q49824" s="5" t="s">
        <v>355</v>
      </c>
    </row>
    <row r="49825" ht="16.5" customHeight="1">
      <c r="O49825" s="5" t="s">
        <v>355</v>
      </c>
      <c r="P49825" s="5" t="s">
        <v>355</v>
      </c>
      <c r="Q49825" s="5" t="s">
        <v>355</v>
      </c>
    </row>
    <row r="49826" ht="16.5" customHeight="1">
      <c r="O49826" s="5" t="s">
        <v>355</v>
      </c>
      <c r="P49826" s="5" t="s">
        <v>355</v>
      </c>
      <c r="Q49826" s="5" t="s">
        <v>355</v>
      </c>
    </row>
    <row r="49827" ht="16.5" customHeight="1">
      <c r="O49827" s="5" t="s">
        <v>355</v>
      </c>
      <c r="P49827" s="5" t="s">
        <v>355</v>
      </c>
      <c r="Q49827" s="5" t="s">
        <v>355</v>
      </c>
    </row>
    <row r="49828" ht="16.5" customHeight="1">
      <c r="O49828" s="5" t="s">
        <v>355</v>
      </c>
      <c r="P49828" s="5" t="s">
        <v>355</v>
      </c>
      <c r="Q49828" s="5" t="s">
        <v>355</v>
      </c>
    </row>
    <row r="49829" ht="16.5" customHeight="1">
      <c r="O49829" s="5" t="s">
        <v>355</v>
      </c>
      <c r="P49829" s="5" t="s">
        <v>355</v>
      </c>
      <c r="Q49829" s="5" t="s">
        <v>355</v>
      </c>
    </row>
    <row r="49830" ht="16.5" customHeight="1">
      <c r="O49830" s="5" t="s">
        <v>355</v>
      </c>
      <c r="P49830" s="5" t="s">
        <v>355</v>
      </c>
      <c r="Q49830" s="5" t="s">
        <v>355</v>
      </c>
    </row>
    <row r="49831" ht="16.5" customHeight="1">
      <c r="O49831" s="5" t="s">
        <v>355</v>
      </c>
      <c r="P49831" s="5" t="s">
        <v>355</v>
      </c>
      <c r="Q49831" s="5" t="s">
        <v>355</v>
      </c>
    </row>
    <row r="49832" ht="16.5" customHeight="1">
      <c r="O49832" s="5" t="s">
        <v>355</v>
      </c>
      <c r="P49832" s="5" t="s">
        <v>355</v>
      </c>
      <c r="Q49832" s="5" t="s">
        <v>355</v>
      </c>
    </row>
    <row r="49833" ht="16.5" customHeight="1">
      <c r="O49833" s="5" t="s">
        <v>355</v>
      </c>
      <c r="P49833" s="5" t="s">
        <v>355</v>
      </c>
      <c r="Q49833" s="5" t="s">
        <v>355</v>
      </c>
    </row>
    <row r="49834" ht="16.5" customHeight="1">
      <c r="O49834" s="5" t="s">
        <v>355</v>
      </c>
      <c r="P49834" s="5" t="s">
        <v>355</v>
      </c>
      <c r="Q49834" s="5" t="s">
        <v>355</v>
      </c>
    </row>
    <row r="49835" ht="16.5" customHeight="1">
      <c r="O49835" s="5" t="s">
        <v>355</v>
      </c>
      <c r="P49835" s="5" t="s">
        <v>355</v>
      </c>
      <c r="Q49835" s="5" t="s">
        <v>355</v>
      </c>
    </row>
    <row r="49836" ht="16.5" customHeight="1">
      <c r="O49836" s="5" t="s">
        <v>355</v>
      </c>
      <c r="P49836" s="5" t="s">
        <v>355</v>
      </c>
      <c r="Q49836" s="5" t="s">
        <v>355</v>
      </c>
    </row>
    <row r="49837" ht="16.5" customHeight="1">
      <c r="O49837" s="5" t="s">
        <v>355</v>
      </c>
      <c r="P49837" s="5" t="s">
        <v>355</v>
      </c>
      <c r="Q49837" s="5" t="s">
        <v>355</v>
      </c>
    </row>
    <row r="49838" ht="16.5" customHeight="1">
      <c r="O49838" s="5" t="s">
        <v>355</v>
      </c>
      <c r="P49838" s="5" t="s">
        <v>355</v>
      </c>
      <c r="Q49838" s="5" t="s">
        <v>355</v>
      </c>
    </row>
    <row r="49839" ht="16.5" customHeight="1">
      <c r="O49839" s="5" t="s">
        <v>355</v>
      </c>
      <c r="P49839" s="5" t="s">
        <v>355</v>
      </c>
      <c r="Q49839" s="5" t="s">
        <v>355</v>
      </c>
    </row>
    <row r="49840" ht="16.5" customHeight="1">
      <c r="O49840" s="5" t="s">
        <v>355</v>
      </c>
      <c r="P49840" s="5" t="s">
        <v>355</v>
      </c>
      <c r="Q49840" s="5" t="s">
        <v>355</v>
      </c>
    </row>
    <row r="49841" ht="16.5" customHeight="1">
      <c r="O49841" s="5" t="s">
        <v>355</v>
      </c>
      <c r="P49841" s="5" t="s">
        <v>355</v>
      </c>
      <c r="Q49841" s="5" t="s">
        <v>355</v>
      </c>
    </row>
    <row r="49842" ht="16.5" customHeight="1">
      <c r="O49842" s="5" t="s">
        <v>355</v>
      </c>
      <c r="P49842" s="5" t="s">
        <v>355</v>
      </c>
      <c r="Q49842" s="5" t="s">
        <v>355</v>
      </c>
    </row>
    <row r="49843" ht="16.5" customHeight="1">
      <c r="O49843" s="5" t="s">
        <v>355</v>
      </c>
      <c r="P49843" s="5" t="s">
        <v>355</v>
      </c>
      <c r="Q49843" s="5" t="s">
        <v>355</v>
      </c>
    </row>
    <row r="49844" ht="16.5" customHeight="1">
      <c r="O49844" s="5" t="s">
        <v>355</v>
      </c>
      <c r="P49844" s="5" t="s">
        <v>355</v>
      </c>
      <c r="Q49844" s="5" t="s">
        <v>355</v>
      </c>
    </row>
    <row r="49845" ht="16.5" customHeight="1">
      <c r="O49845" s="5" t="s">
        <v>355</v>
      </c>
      <c r="P49845" s="5" t="s">
        <v>355</v>
      </c>
      <c r="Q49845" s="5" t="s">
        <v>355</v>
      </c>
    </row>
    <row r="49846" ht="16.5" customHeight="1">
      <c r="O49846" s="5" t="s">
        <v>355</v>
      </c>
      <c r="P49846" s="5" t="s">
        <v>355</v>
      </c>
      <c r="Q49846" s="5" t="s">
        <v>355</v>
      </c>
    </row>
    <row r="49847" ht="16.5" customHeight="1">
      <c r="O49847" s="5" t="s">
        <v>355</v>
      </c>
      <c r="P49847" s="5" t="s">
        <v>355</v>
      </c>
      <c r="Q49847" s="5" t="s">
        <v>355</v>
      </c>
    </row>
    <row r="49848" ht="16.5" customHeight="1">
      <c r="O49848" s="5" t="s">
        <v>355</v>
      </c>
      <c r="P49848" s="5" t="s">
        <v>355</v>
      </c>
      <c r="Q49848" s="5" t="s">
        <v>355</v>
      </c>
    </row>
    <row r="49849" ht="16.5" customHeight="1">
      <c r="O49849" s="5" t="s">
        <v>355</v>
      </c>
      <c r="P49849" s="5" t="s">
        <v>355</v>
      </c>
      <c r="Q49849" s="5" t="s">
        <v>355</v>
      </c>
    </row>
    <row r="49850" ht="16.5" customHeight="1">
      <c r="O49850" s="5" t="s">
        <v>355</v>
      </c>
      <c r="P49850" s="5" t="s">
        <v>355</v>
      </c>
      <c r="Q49850" s="5" t="s">
        <v>355</v>
      </c>
    </row>
    <row r="49851" ht="16.5" customHeight="1">
      <c r="O49851" s="5" t="s">
        <v>355</v>
      </c>
      <c r="P49851" s="5" t="s">
        <v>355</v>
      </c>
      <c r="Q49851" s="5" t="s">
        <v>355</v>
      </c>
    </row>
    <row r="49852" ht="16.5" customHeight="1">
      <c r="O49852" s="5" t="s">
        <v>355</v>
      </c>
      <c r="P49852" s="5" t="s">
        <v>355</v>
      </c>
      <c r="Q49852" s="5" t="s">
        <v>355</v>
      </c>
    </row>
    <row r="49853" ht="16.5" customHeight="1">
      <c r="O49853" s="5" t="s">
        <v>355</v>
      </c>
      <c r="P49853" s="5" t="s">
        <v>355</v>
      </c>
      <c r="Q49853" s="5" t="s">
        <v>355</v>
      </c>
    </row>
    <row r="49854" ht="16.5" customHeight="1">
      <c r="O49854" s="5" t="s">
        <v>355</v>
      </c>
      <c r="P49854" s="5" t="s">
        <v>355</v>
      </c>
      <c r="Q49854" s="5" t="s">
        <v>355</v>
      </c>
    </row>
    <row r="49855" ht="16.5" customHeight="1">
      <c r="O49855" s="5" t="s">
        <v>355</v>
      </c>
      <c r="P49855" s="5" t="s">
        <v>355</v>
      </c>
      <c r="Q49855" s="5" t="s">
        <v>355</v>
      </c>
    </row>
    <row r="49856" ht="16.5" customHeight="1">
      <c r="O49856" s="5" t="s">
        <v>355</v>
      </c>
      <c r="P49856" s="5" t="s">
        <v>355</v>
      </c>
      <c r="Q49856" s="5" t="s">
        <v>355</v>
      </c>
    </row>
    <row r="49857" ht="16.5" customHeight="1">
      <c r="O49857" s="5" t="s">
        <v>355</v>
      </c>
      <c r="P49857" s="5" t="s">
        <v>355</v>
      </c>
      <c r="Q49857" s="5" t="s">
        <v>355</v>
      </c>
    </row>
    <row r="49858" ht="16.5" customHeight="1">
      <c r="O49858" s="5" t="s">
        <v>355</v>
      </c>
      <c r="P49858" s="5" t="s">
        <v>355</v>
      </c>
      <c r="Q49858" s="5" t="s">
        <v>355</v>
      </c>
    </row>
    <row r="49859" ht="16.5" customHeight="1">
      <c r="O49859" s="5" t="s">
        <v>355</v>
      </c>
      <c r="P49859" s="5" t="s">
        <v>355</v>
      </c>
      <c r="Q49859" s="5" t="s">
        <v>355</v>
      </c>
    </row>
    <row r="49860" ht="16.5" customHeight="1">
      <c r="O49860" s="5" t="s">
        <v>355</v>
      </c>
      <c r="P49860" s="5" t="s">
        <v>355</v>
      </c>
      <c r="Q49860" s="5" t="s">
        <v>355</v>
      </c>
    </row>
    <row r="49861" ht="16.5" customHeight="1">
      <c r="O49861" s="5" t="s">
        <v>355</v>
      </c>
      <c r="P49861" s="5" t="s">
        <v>355</v>
      </c>
      <c r="Q49861" s="5" t="s">
        <v>355</v>
      </c>
    </row>
    <row r="49862" ht="16.5" customHeight="1">
      <c r="O49862" s="5" t="s">
        <v>355</v>
      </c>
      <c r="P49862" s="5" t="s">
        <v>355</v>
      </c>
      <c r="Q49862" s="5" t="s">
        <v>355</v>
      </c>
    </row>
    <row r="49863" ht="16.5" customHeight="1">
      <c r="O49863" s="5" t="s">
        <v>355</v>
      </c>
      <c r="P49863" s="5" t="s">
        <v>355</v>
      </c>
      <c r="Q49863" s="5" t="s">
        <v>355</v>
      </c>
    </row>
    <row r="49864" ht="16.5" customHeight="1">
      <c r="O49864" s="5" t="s">
        <v>355</v>
      </c>
      <c r="P49864" s="5" t="s">
        <v>355</v>
      </c>
      <c r="Q49864" s="5" t="s">
        <v>355</v>
      </c>
    </row>
    <row r="49865" ht="16.5" customHeight="1">
      <c r="O49865" s="5" t="s">
        <v>355</v>
      </c>
      <c r="P49865" s="5" t="s">
        <v>355</v>
      </c>
      <c r="Q49865" s="5" t="s">
        <v>355</v>
      </c>
    </row>
    <row r="49866" ht="16.5" customHeight="1">
      <c r="O49866" s="5" t="s">
        <v>355</v>
      </c>
      <c r="P49866" s="5" t="s">
        <v>355</v>
      </c>
      <c r="Q49866" s="5" t="s">
        <v>355</v>
      </c>
    </row>
    <row r="49867" ht="16.5" customHeight="1">
      <c r="O49867" s="5" t="s">
        <v>355</v>
      </c>
      <c r="P49867" s="5" t="s">
        <v>355</v>
      </c>
      <c r="Q49867" s="5" t="s">
        <v>355</v>
      </c>
    </row>
    <row r="49868" ht="16.5" customHeight="1">
      <c r="O49868" s="5" t="s">
        <v>355</v>
      </c>
      <c r="P49868" s="5" t="s">
        <v>355</v>
      </c>
      <c r="Q49868" s="5" t="s">
        <v>355</v>
      </c>
    </row>
    <row r="49869" ht="16.5" customHeight="1">
      <c r="O49869" s="5" t="s">
        <v>355</v>
      </c>
      <c r="P49869" s="5" t="s">
        <v>355</v>
      </c>
      <c r="Q49869" s="5" t="s">
        <v>355</v>
      </c>
    </row>
    <row r="49870" ht="16.5" customHeight="1">
      <c r="O49870" s="5" t="s">
        <v>355</v>
      </c>
      <c r="P49870" s="5" t="s">
        <v>355</v>
      </c>
      <c r="Q49870" s="5" t="s">
        <v>355</v>
      </c>
    </row>
    <row r="49871" ht="16.5" customHeight="1">
      <c r="O49871" s="5" t="s">
        <v>355</v>
      </c>
      <c r="P49871" s="5" t="s">
        <v>355</v>
      </c>
      <c r="Q49871" s="5" t="s">
        <v>355</v>
      </c>
    </row>
    <row r="49872" ht="16.5" customHeight="1">
      <c r="O49872" s="5" t="s">
        <v>355</v>
      </c>
      <c r="P49872" s="5" t="s">
        <v>355</v>
      </c>
      <c r="Q49872" s="5" t="s">
        <v>355</v>
      </c>
    </row>
    <row r="49873" ht="16.5" customHeight="1">
      <c r="O49873" s="5" t="s">
        <v>355</v>
      </c>
      <c r="P49873" s="5" t="s">
        <v>355</v>
      </c>
      <c r="Q49873" s="5" t="s">
        <v>355</v>
      </c>
    </row>
    <row r="49874" ht="16.5" customHeight="1">
      <c r="O49874" s="5" t="s">
        <v>355</v>
      </c>
      <c r="P49874" s="5" t="s">
        <v>355</v>
      </c>
      <c r="Q49874" s="5" t="s">
        <v>355</v>
      </c>
    </row>
    <row r="49875" ht="16.5" customHeight="1">
      <c r="O49875" s="5" t="s">
        <v>355</v>
      </c>
      <c r="P49875" s="5" t="s">
        <v>355</v>
      </c>
      <c r="Q49875" s="5" t="s">
        <v>355</v>
      </c>
    </row>
    <row r="49876" ht="16.5" customHeight="1">
      <c r="O49876" s="5" t="s">
        <v>355</v>
      </c>
      <c r="P49876" s="5" t="s">
        <v>355</v>
      </c>
      <c r="Q49876" s="5" t="s">
        <v>355</v>
      </c>
    </row>
    <row r="49877" ht="16.5" customHeight="1">
      <c r="O49877" s="5" t="s">
        <v>355</v>
      </c>
      <c r="P49877" s="5" t="s">
        <v>355</v>
      </c>
      <c r="Q49877" s="5" t="s">
        <v>355</v>
      </c>
    </row>
    <row r="49878" ht="16.5" customHeight="1">
      <c r="O49878" s="5" t="s">
        <v>355</v>
      </c>
      <c r="P49878" s="5" t="s">
        <v>355</v>
      </c>
      <c r="Q49878" s="5" t="s">
        <v>355</v>
      </c>
    </row>
    <row r="49879" ht="16.5" customHeight="1">
      <c r="O49879" s="5" t="s">
        <v>355</v>
      </c>
      <c r="P49879" s="5" t="s">
        <v>355</v>
      </c>
      <c r="Q49879" s="5" t="s">
        <v>355</v>
      </c>
    </row>
    <row r="49880" ht="16.5" customHeight="1">
      <c r="O49880" s="5" t="s">
        <v>355</v>
      </c>
      <c r="P49880" s="5" t="s">
        <v>355</v>
      </c>
      <c r="Q49880" s="5" t="s">
        <v>355</v>
      </c>
    </row>
    <row r="49881" ht="16.5" customHeight="1">
      <c r="O49881" s="5" t="s">
        <v>355</v>
      </c>
      <c r="P49881" s="5" t="s">
        <v>355</v>
      </c>
      <c r="Q49881" s="5" t="s">
        <v>355</v>
      </c>
    </row>
    <row r="49882" ht="16.5" customHeight="1">
      <c r="O49882" s="5" t="s">
        <v>355</v>
      </c>
      <c r="P49882" s="5" t="s">
        <v>355</v>
      </c>
      <c r="Q49882" s="5" t="s">
        <v>355</v>
      </c>
    </row>
    <row r="49883" ht="16.5" customHeight="1">
      <c r="O49883" s="5" t="s">
        <v>355</v>
      </c>
      <c r="P49883" s="5" t="s">
        <v>355</v>
      </c>
      <c r="Q49883" s="5" t="s">
        <v>355</v>
      </c>
    </row>
    <row r="49884" ht="16.5" customHeight="1">
      <c r="O49884" s="5" t="s">
        <v>355</v>
      </c>
      <c r="P49884" s="5" t="s">
        <v>355</v>
      </c>
      <c r="Q49884" s="5" t="s">
        <v>355</v>
      </c>
    </row>
    <row r="49885" ht="16.5" customHeight="1">
      <c r="O49885" s="5" t="s">
        <v>355</v>
      </c>
      <c r="P49885" s="5" t="s">
        <v>355</v>
      </c>
      <c r="Q49885" s="5" t="s">
        <v>355</v>
      </c>
    </row>
    <row r="49886" ht="16.5" customHeight="1">
      <c r="O49886" s="5" t="s">
        <v>355</v>
      </c>
      <c r="P49886" s="5" t="s">
        <v>355</v>
      </c>
      <c r="Q49886" s="5" t="s">
        <v>355</v>
      </c>
    </row>
    <row r="49887" ht="16.5" customHeight="1">
      <c r="O49887" s="5" t="s">
        <v>355</v>
      </c>
      <c r="P49887" s="5" t="s">
        <v>355</v>
      </c>
      <c r="Q49887" s="5" t="s">
        <v>355</v>
      </c>
    </row>
    <row r="49888" ht="16.5" customHeight="1">
      <c r="O49888" s="5" t="s">
        <v>355</v>
      </c>
      <c r="P49888" s="5" t="s">
        <v>355</v>
      </c>
      <c r="Q49888" s="5" t="s">
        <v>355</v>
      </c>
    </row>
    <row r="49889" ht="16.5" customHeight="1">
      <c r="O49889" s="5" t="s">
        <v>355</v>
      </c>
      <c r="P49889" s="5" t="s">
        <v>355</v>
      </c>
      <c r="Q49889" s="5" t="s">
        <v>355</v>
      </c>
    </row>
    <row r="49890" ht="16.5" customHeight="1">
      <c r="O49890" s="5" t="s">
        <v>355</v>
      </c>
      <c r="P49890" s="5" t="s">
        <v>355</v>
      </c>
      <c r="Q49890" s="5" t="s">
        <v>355</v>
      </c>
    </row>
    <row r="49891" ht="16.5" customHeight="1">
      <c r="O49891" s="5" t="s">
        <v>355</v>
      </c>
      <c r="P49891" s="5" t="s">
        <v>355</v>
      </c>
      <c r="Q49891" s="5" t="s">
        <v>355</v>
      </c>
    </row>
    <row r="49892" ht="16.5" customHeight="1">
      <c r="O49892" s="5" t="s">
        <v>355</v>
      </c>
      <c r="P49892" s="5" t="s">
        <v>355</v>
      </c>
      <c r="Q49892" s="5" t="s">
        <v>355</v>
      </c>
    </row>
    <row r="49893" ht="16.5" customHeight="1">
      <c r="O49893" s="5" t="s">
        <v>355</v>
      </c>
      <c r="P49893" s="5" t="s">
        <v>355</v>
      </c>
      <c r="Q49893" s="5" t="s">
        <v>355</v>
      </c>
    </row>
    <row r="49894" ht="16.5" customHeight="1">
      <c r="O49894" s="5" t="s">
        <v>355</v>
      </c>
      <c r="P49894" s="5" t="s">
        <v>355</v>
      </c>
      <c r="Q49894" s="5" t="s">
        <v>355</v>
      </c>
    </row>
    <row r="49895" ht="16.5" customHeight="1">
      <c r="O49895" s="5" t="s">
        <v>355</v>
      </c>
      <c r="P49895" s="5" t="s">
        <v>355</v>
      </c>
      <c r="Q49895" s="5" t="s">
        <v>355</v>
      </c>
    </row>
    <row r="49896" ht="16.5" customHeight="1">
      <c r="O49896" s="5" t="s">
        <v>355</v>
      </c>
      <c r="P49896" s="5" t="s">
        <v>355</v>
      </c>
      <c r="Q49896" s="5" t="s">
        <v>355</v>
      </c>
    </row>
    <row r="49897" ht="16.5" customHeight="1">
      <c r="O49897" s="5" t="s">
        <v>355</v>
      </c>
      <c r="P49897" s="5" t="s">
        <v>355</v>
      </c>
      <c r="Q49897" s="5" t="s">
        <v>355</v>
      </c>
    </row>
    <row r="49898" ht="16.5" customHeight="1">
      <c r="O49898" s="5" t="s">
        <v>355</v>
      </c>
      <c r="P49898" s="5" t="s">
        <v>355</v>
      </c>
      <c r="Q49898" s="5" t="s">
        <v>355</v>
      </c>
    </row>
    <row r="49899" ht="16.5" customHeight="1">
      <c r="O49899" s="5" t="s">
        <v>355</v>
      </c>
      <c r="P49899" s="5" t="s">
        <v>355</v>
      </c>
      <c r="Q49899" s="5" t="s">
        <v>355</v>
      </c>
    </row>
    <row r="49900" ht="16.5" customHeight="1">
      <c r="O49900" s="5" t="s">
        <v>355</v>
      </c>
      <c r="P49900" s="5" t="s">
        <v>355</v>
      </c>
      <c r="Q49900" s="5" t="s">
        <v>355</v>
      </c>
    </row>
    <row r="49901" ht="16.5" customHeight="1">
      <c r="O49901" s="5" t="s">
        <v>355</v>
      </c>
      <c r="P49901" s="5" t="s">
        <v>355</v>
      </c>
      <c r="Q49901" s="5" t="s">
        <v>355</v>
      </c>
    </row>
    <row r="49902" ht="16.5" customHeight="1">
      <c r="O49902" s="5" t="s">
        <v>355</v>
      </c>
      <c r="P49902" s="5" t="s">
        <v>355</v>
      </c>
      <c r="Q49902" s="5" t="s">
        <v>355</v>
      </c>
    </row>
    <row r="49903" ht="16.5" customHeight="1">
      <c r="O49903" s="5" t="s">
        <v>355</v>
      </c>
      <c r="P49903" s="5" t="s">
        <v>355</v>
      </c>
      <c r="Q49903" s="5" t="s">
        <v>355</v>
      </c>
    </row>
    <row r="49904" ht="16.5" customHeight="1">
      <c r="O49904" s="5" t="s">
        <v>355</v>
      </c>
      <c r="P49904" s="5" t="s">
        <v>355</v>
      </c>
      <c r="Q49904" s="5" t="s">
        <v>355</v>
      </c>
    </row>
    <row r="49905" ht="16.5" customHeight="1">
      <c r="O49905" s="5" t="s">
        <v>355</v>
      </c>
      <c r="P49905" s="5" t="s">
        <v>355</v>
      </c>
      <c r="Q49905" s="5" t="s">
        <v>355</v>
      </c>
    </row>
    <row r="49906" ht="16.5" customHeight="1">
      <c r="O49906" s="5" t="s">
        <v>355</v>
      </c>
      <c r="P49906" s="5" t="s">
        <v>355</v>
      </c>
      <c r="Q49906" s="5" t="s">
        <v>355</v>
      </c>
    </row>
    <row r="49907" ht="16.5" customHeight="1">
      <c r="O49907" s="5" t="s">
        <v>355</v>
      </c>
      <c r="P49907" s="5" t="s">
        <v>355</v>
      </c>
      <c r="Q49907" s="5" t="s">
        <v>355</v>
      </c>
    </row>
    <row r="49908" ht="16.5" customHeight="1">
      <c r="O49908" s="5" t="s">
        <v>355</v>
      </c>
      <c r="P49908" s="5" t="s">
        <v>355</v>
      </c>
      <c r="Q49908" s="5" t="s">
        <v>355</v>
      </c>
    </row>
    <row r="49909" ht="16.5" customHeight="1">
      <c r="O49909" s="5" t="s">
        <v>355</v>
      </c>
      <c r="P49909" s="5" t="s">
        <v>355</v>
      </c>
      <c r="Q49909" s="5" t="s">
        <v>355</v>
      </c>
    </row>
    <row r="49910" ht="16.5" customHeight="1">
      <c r="O49910" s="5" t="s">
        <v>355</v>
      </c>
      <c r="P49910" s="5" t="s">
        <v>355</v>
      </c>
      <c r="Q49910" s="5" t="s">
        <v>355</v>
      </c>
    </row>
    <row r="49911" ht="16.5" customHeight="1">
      <c r="O49911" s="5" t="s">
        <v>355</v>
      </c>
      <c r="P49911" s="5" t="s">
        <v>355</v>
      </c>
      <c r="Q49911" s="5" t="s">
        <v>355</v>
      </c>
    </row>
    <row r="49912" ht="16.5" customHeight="1">
      <c r="O49912" s="5" t="s">
        <v>355</v>
      </c>
      <c r="P49912" s="5" t="s">
        <v>355</v>
      </c>
      <c r="Q49912" s="5" t="s">
        <v>355</v>
      </c>
    </row>
    <row r="49913" ht="16.5" customHeight="1">
      <c r="O49913" s="5" t="s">
        <v>355</v>
      </c>
      <c r="P49913" s="5" t="s">
        <v>355</v>
      </c>
      <c r="Q49913" s="5" t="s">
        <v>355</v>
      </c>
    </row>
    <row r="49914" ht="16.5" customHeight="1">
      <c r="O49914" s="5" t="s">
        <v>355</v>
      </c>
      <c r="P49914" s="5" t="s">
        <v>355</v>
      </c>
      <c r="Q49914" s="5" t="s">
        <v>355</v>
      </c>
    </row>
    <row r="49915" ht="16.5" customHeight="1">
      <c r="O49915" s="5" t="s">
        <v>355</v>
      </c>
      <c r="P49915" s="5" t="s">
        <v>355</v>
      </c>
      <c r="Q49915" s="5" t="s">
        <v>355</v>
      </c>
    </row>
    <row r="49916" ht="16.5" customHeight="1">
      <c r="O49916" s="5" t="s">
        <v>355</v>
      </c>
      <c r="P49916" s="5" t="s">
        <v>355</v>
      </c>
      <c r="Q49916" s="5" t="s">
        <v>355</v>
      </c>
    </row>
    <row r="49917" ht="16.5" customHeight="1">
      <c r="O49917" s="5" t="s">
        <v>355</v>
      </c>
      <c r="P49917" s="5" t="s">
        <v>355</v>
      </c>
      <c r="Q49917" s="5" t="s">
        <v>355</v>
      </c>
    </row>
    <row r="49918" ht="16.5" customHeight="1">
      <c r="O49918" s="5" t="s">
        <v>355</v>
      </c>
      <c r="P49918" s="5" t="s">
        <v>355</v>
      </c>
      <c r="Q49918" s="5" t="s">
        <v>355</v>
      </c>
    </row>
    <row r="49919" ht="16.5" customHeight="1">
      <c r="O49919" s="5" t="s">
        <v>355</v>
      </c>
      <c r="P49919" s="5" t="s">
        <v>355</v>
      </c>
      <c r="Q49919" s="5" t="s">
        <v>355</v>
      </c>
    </row>
    <row r="49920" ht="16.5" customHeight="1">
      <c r="O49920" s="5" t="s">
        <v>355</v>
      </c>
      <c r="P49920" s="5" t="s">
        <v>355</v>
      </c>
      <c r="Q49920" s="5" t="s">
        <v>355</v>
      </c>
    </row>
    <row r="49921" ht="16.5" customHeight="1">
      <c r="O49921" s="5" t="s">
        <v>355</v>
      </c>
      <c r="P49921" s="5" t="s">
        <v>355</v>
      </c>
      <c r="Q49921" s="5" t="s">
        <v>355</v>
      </c>
    </row>
    <row r="49922" ht="16.5" customHeight="1">
      <c r="O49922" s="5" t="s">
        <v>355</v>
      </c>
      <c r="P49922" s="5" t="s">
        <v>355</v>
      </c>
      <c r="Q49922" s="5" t="s">
        <v>355</v>
      </c>
    </row>
    <row r="49923" ht="16.5" customHeight="1">
      <c r="O49923" s="5" t="s">
        <v>355</v>
      </c>
      <c r="P49923" s="5" t="s">
        <v>355</v>
      </c>
      <c r="Q49923" s="5" t="s">
        <v>355</v>
      </c>
    </row>
    <row r="49924" ht="16.5" customHeight="1">
      <c r="O49924" s="5" t="s">
        <v>355</v>
      </c>
      <c r="P49924" s="5" t="s">
        <v>355</v>
      </c>
      <c r="Q49924" s="5" t="s">
        <v>355</v>
      </c>
    </row>
    <row r="49925" ht="16.5" customHeight="1">
      <c r="O49925" s="5" t="s">
        <v>355</v>
      </c>
      <c r="P49925" s="5" t="s">
        <v>355</v>
      </c>
      <c r="Q49925" s="5" t="s">
        <v>355</v>
      </c>
    </row>
    <row r="49926" ht="16.5" customHeight="1">
      <c r="O49926" s="5" t="s">
        <v>355</v>
      </c>
      <c r="P49926" s="5" t="s">
        <v>355</v>
      </c>
      <c r="Q49926" s="5" t="s">
        <v>355</v>
      </c>
    </row>
    <row r="49927" ht="16.5" customHeight="1">
      <c r="O49927" s="5" t="s">
        <v>355</v>
      </c>
      <c r="P49927" s="5" t="s">
        <v>355</v>
      </c>
      <c r="Q49927" s="5" t="s">
        <v>355</v>
      </c>
    </row>
    <row r="49928" ht="16.5" customHeight="1">
      <c r="O49928" s="5" t="s">
        <v>355</v>
      </c>
      <c r="P49928" s="5" t="s">
        <v>355</v>
      </c>
      <c r="Q49928" s="5" t="s">
        <v>355</v>
      </c>
    </row>
    <row r="49929" ht="16.5" customHeight="1">
      <c r="O49929" s="5" t="s">
        <v>355</v>
      </c>
      <c r="P49929" s="5" t="s">
        <v>355</v>
      </c>
      <c r="Q49929" s="5" t="s">
        <v>355</v>
      </c>
    </row>
    <row r="49930" ht="16.5" customHeight="1">
      <c r="O49930" s="5" t="s">
        <v>355</v>
      </c>
      <c r="P49930" s="5" t="s">
        <v>355</v>
      </c>
      <c r="Q49930" s="5" t="s">
        <v>355</v>
      </c>
    </row>
    <row r="49931" ht="16.5" customHeight="1">
      <c r="O49931" s="5" t="s">
        <v>355</v>
      </c>
      <c r="P49931" s="5" t="s">
        <v>355</v>
      </c>
      <c r="Q49931" s="5" t="s">
        <v>355</v>
      </c>
    </row>
    <row r="49932" ht="16.5" customHeight="1">
      <c r="O49932" s="5" t="s">
        <v>355</v>
      </c>
      <c r="P49932" s="5" t="s">
        <v>355</v>
      </c>
      <c r="Q49932" s="5" t="s">
        <v>355</v>
      </c>
    </row>
    <row r="49933" ht="16.5" customHeight="1">
      <c r="O49933" s="5" t="s">
        <v>355</v>
      </c>
      <c r="P49933" s="5" t="s">
        <v>355</v>
      </c>
      <c r="Q49933" s="5" t="s">
        <v>355</v>
      </c>
    </row>
    <row r="49934" ht="16.5" customHeight="1">
      <c r="O49934" s="5" t="s">
        <v>355</v>
      </c>
      <c r="P49934" s="5" t="s">
        <v>355</v>
      </c>
      <c r="Q49934" s="5" t="s">
        <v>355</v>
      </c>
    </row>
    <row r="49935" ht="16.5" customHeight="1">
      <c r="O49935" s="5" t="s">
        <v>355</v>
      </c>
      <c r="P49935" s="5" t="s">
        <v>355</v>
      </c>
      <c r="Q49935" s="5" t="s">
        <v>355</v>
      </c>
    </row>
    <row r="49936" ht="16.5" customHeight="1">
      <c r="O49936" s="5" t="s">
        <v>355</v>
      </c>
      <c r="P49936" s="5" t="s">
        <v>355</v>
      </c>
      <c r="Q49936" s="5" t="s">
        <v>355</v>
      </c>
    </row>
    <row r="49937" ht="16.5" customHeight="1">
      <c r="O49937" s="5" t="s">
        <v>355</v>
      </c>
      <c r="P49937" s="5" t="s">
        <v>355</v>
      </c>
      <c r="Q49937" s="5" t="s">
        <v>355</v>
      </c>
    </row>
    <row r="49938" ht="16.5" customHeight="1">
      <c r="O49938" s="5" t="s">
        <v>355</v>
      </c>
      <c r="P49938" s="5" t="s">
        <v>355</v>
      </c>
      <c r="Q49938" s="5" t="s">
        <v>355</v>
      </c>
    </row>
    <row r="49939" ht="16.5" customHeight="1">
      <c r="O49939" s="5" t="s">
        <v>355</v>
      </c>
      <c r="P49939" s="5" t="s">
        <v>355</v>
      </c>
      <c r="Q49939" s="5" t="s">
        <v>355</v>
      </c>
    </row>
    <row r="49940" ht="16.5" customHeight="1">
      <c r="O49940" s="5" t="s">
        <v>355</v>
      </c>
      <c r="P49940" s="5" t="s">
        <v>355</v>
      </c>
      <c r="Q49940" s="5" t="s">
        <v>355</v>
      </c>
    </row>
    <row r="49941" ht="16.5" customHeight="1">
      <c r="O49941" s="5" t="s">
        <v>355</v>
      </c>
      <c r="P49941" s="5" t="s">
        <v>355</v>
      </c>
      <c r="Q49941" s="5" t="s">
        <v>355</v>
      </c>
    </row>
    <row r="49942" ht="16.5" customHeight="1">
      <c r="O49942" s="5" t="s">
        <v>355</v>
      </c>
      <c r="P49942" s="5" t="s">
        <v>355</v>
      </c>
      <c r="Q49942" s="5" t="s">
        <v>355</v>
      </c>
    </row>
    <row r="49943" ht="16.5" customHeight="1">
      <c r="O49943" s="5" t="s">
        <v>355</v>
      </c>
      <c r="P49943" s="5" t="s">
        <v>355</v>
      </c>
      <c r="Q49943" s="5" t="s">
        <v>355</v>
      </c>
    </row>
    <row r="49944" ht="16.5" customHeight="1">
      <c r="O49944" s="5" t="s">
        <v>355</v>
      </c>
      <c r="P49944" s="5" t="s">
        <v>355</v>
      </c>
      <c r="Q49944" s="5" t="s">
        <v>355</v>
      </c>
    </row>
    <row r="49945" ht="16.5" customHeight="1">
      <c r="O49945" s="5" t="s">
        <v>355</v>
      </c>
      <c r="P49945" s="5" t="s">
        <v>355</v>
      </c>
      <c r="Q49945" s="5" t="s">
        <v>355</v>
      </c>
    </row>
    <row r="49946" ht="16.5" customHeight="1">
      <c r="O49946" s="5" t="s">
        <v>355</v>
      </c>
      <c r="P49946" s="5" t="s">
        <v>355</v>
      </c>
      <c r="Q49946" s="5" t="s">
        <v>355</v>
      </c>
    </row>
    <row r="49947" ht="16.5" customHeight="1">
      <c r="O49947" s="5" t="s">
        <v>355</v>
      </c>
      <c r="P49947" s="5" t="s">
        <v>355</v>
      </c>
      <c r="Q49947" s="5" t="s">
        <v>355</v>
      </c>
    </row>
    <row r="49948" ht="16.5" customHeight="1">
      <c r="O49948" s="5" t="s">
        <v>355</v>
      </c>
      <c r="P49948" s="5" t="s">
        <v>355</v>
      </c>
      <c r="Q49948" s="5" t="s">
        <v>355</v>
      </c>
    </row>
    <row r="49949" ht="16.5" customHeight="1">
      <c r="O49949" s="5" t="s">
        <v>355</v>
      </c>
      <c r="P49949" s="5" t="s">
        <v>355</v>
      </c>
      <c r="Q49949" s="5" t="s">
        <v>355</v>
      </c>
    </row>
    <row r="49950" ht="16.5" customHeight="1">
      <c r="O49950" s="5" t="s">
        <v>355</v>
      </c>
      <c r="P49950" s="5" t="s">
        <v>355</v>
      </c>
      <c r="Q49950" s="5" t="s">
        <v>355</v>
      </c>
    </row>
    <row r="49951" ht="16.5" customHeight="1">
      <c r="O49951" s="5" t="s">
        <v>355</v>
      </c>
      <c r="P49951" s="5" t="s">
        <v>355</v>
      </c>
      <c r="Q49951" s="5" t="s">
        <v>355</v>
      </c>
    </row>
    <row r="49952" ht="16.5" customHeight="1">
      <c r="O49952" s="5" t="s">
        <v>355</v>
      </c>
      <c r="P49952" s="5" t="s">
        <v>355</v>
      </c>
      <c r="Q49952" s="5" t="s">
        <v>355</v>
      </c>
    </row>
    <row r="49953" ht="16.5" customHeight="1">
      <c r="O49953" s="5" t="s">
        <v>355</v>
      </c>
      <c r="P49953" s="5" t="s">
        <v>355</v>
      </c>
      <c r="Q49953" s="5" t="s">
        <v>355</v>
      </c>
    </row>
    <row r="49954" ht="16.5" customHeight="1">
      <c r="O49954" s="5" t="s">
        <v>355</v>
      </c>
      <c r="P49954" s="5" t="s">
        <v>355</v>
      </c>
      <c r="Q49954" s="5" t="s">
        <v>355</v>
      </c>
    </row>
    <row r="49955" ht="16.5" customHeight="1">
      <c r="O49955" s="5" t="s">
        <v>355</v>
      </c>
      <c r="P49955" s="5" t="s">
        <v>355</v>
      </c>
      <c r="Q49955" s="5" t="s">
        <v>355</v>
      </c>
    </row>
    <row r="49956" ht="16.5" customHeight="1">
      <c r="O49956" s="5" t="s">
        <v>355</v>
      </c>
      <c r="P49956" s="5" t="s">
        <v>355</v>
      </c>
      <c r="Q49956" s="5" t="s">
        <v>355</v>
      </c>
    </row>
    <row r="49957" ht="16.5" customHeight="1">
      <c r="O49957" s="5" t="s">
        <v>355</v>
      </c>
      <c r="P49957" s="5" t="s">
        <v>355</v>
      </c>
      <c r="Q49957" s="5" t="s">
        <v>355</v>
      </c>
    </row>
    <row r="49958" ht="16.5" customHeight="1">
      <c r="O49958" s="5" t="s">
        <v>355</v>
      </c>
      <c r="P49958" s="5" t="s">
        <v>355</v>
      </c>
      <c r="Q49958" s="5" t="s">
        <v>355</v>
      </c>
    </row>
    <row r="49959" ht="16.5" customHeight="1">
      <c r="O49959" s="5" t="s">
        <v>355</v>
      </c>
      <c r="P49959" s="5" t="s">
        <v>355</v>
      </c>
      <c r="Q49959" s="5" t="s">
        <v>355</v>
      </c>
    </row>
    <row r="49960" ht="16.5" customHeight="1">
      <c r="O49960" s="5" t="s">
        <v>355</v>
      </c>
      <c r="P49960" s="5" t="s">
        <v>355</v>
      </c>
      <c r="Q49960" s="5" t="s">
        <v>355</v>
      </c>
    </row>
    <row r="49961" ht="16.5" customHeight="1">
      <c r="O49961" s="5" t="s">
        <v>355</v>
      </c>
      <c r="P49961" s="5" t="s">
        <v>355</v>
      </c>
      <c r="Q49961" s="5" t="s">
        <v>355</v>
      </c>
    </row>
    <row r="49962" ht="16.5" customHeight="1">
      <c r="O49962" s="5" t="s">
        <v>355</v>
      </c>
      <c r="P49962" s="5" t="s">
        <v>355</v>
      </c>
      <c r="Q49962" s="5" t="s">
        <v>355</v>
      </c>
    </row>
    <row r="49963" ht="16.5" customHeight="1">
      <c r="O49963" s="5" t="s">
        <v>355</v>
      </c>
      <c r="P49963" s="5" t="s">
        <v>355</v>
      </c>
      <c r="Q49963" s="5" t="s">
        <v>355</v>
      </c>
    </row>
    <row r="49964" ht="16.5" customHeight="1">
      <c r="O49964" s="5" t="s">
        <v>355</v>
      </c>
      <c r="P49964" s="5" t="s">
        <v>355</v>
      </c>
      <c r="Q49964" s="5" t="s">
        <v>355</v>
      </c>
    </row>
    <row r="49965" ht="16.5" customHeight="1">
      <c r="O49965" s="5" t="s">
        <v>355</v>
      </c>
      <c r="P49965" s="5" t="s">
        <v>355</v>
      </c>
      <c r="Q49965" s="5" t="s">
        <v>355</v>
      </c>
    </row>
    <row r="49966" ht="16.5" customHeight="1">
      <c r="O49966" s="5" t="s">
        <v>355</v>
      </c>
      <c r="P49966" s="5" t="s">
        <v>355</v>
      </c>
      <c r="Q49966" s="5" t="s">
        <v>355</v>
      </c>
    </row>
    <row r="49967" ht="16.5" customHeight="1">
      <c r="O49967" s="5" t="s">
        <v>355</v>
      </c>
      <c r="P49967" s="5" t="s">
        <v>355</v>
      </c>
      <c r="Q49967" s="5" t="s">
        <v>355</v>
      </c>
    </row>
    <row r="49968" ht="16.5" customHeight="1">
      <c r="O49968" s="5" t="s">
        <v>355</v>
      </c>
      <c r="P49968" s="5" t="s">
        <v>355</v>
      </c>
      <c r="Q49968" s="5" t="s">
        <v>355</v>
      </c>
    </row>
    <row r="49969" ht="16.5" customHeight="1">
      <c r="O49969" s="5" t="s">
        <v>355</v>
      </c>
      <c r="P49969" s="5" t="s">
        <v>355</v>
      </c>
      <c r="Q49969" s="5" t="s">
        <v>355</v>
      </c>
    </row>
    <row r="49970" ht="16.5" customHeight="1">
      <c r="O49970" s="5" t="s">
        <v>355</v>
      </c>
      <c r="P49970" s="5" t="s">
        <v>355</v>
      </c>
      <c r="Q49970" s="5" t="s">
        <v>355</v>
      </c>
    </row>
    <row r="49971" ht="16.5" customHeight="1">
      <c r="O49971" s="5" t="s">
        <v>355</v>
      </c>
      <c r="P49971" s="5" t="s">
        <v>355</v>
      </c>
      <c r="Q49971" s="5" t="s">
        <v>355</v>
      </c>
    </row>
    <row r="49972" ht="16.5" customHeight="1">
      <c r="O49972" s="5" t="s">
        <v>355</v>
      </c>
      <c r="P49972" s="5" t="s">
        <v>355</v>
      </c>
      <c r="Q49972" s="5" t="s">
        <v>355</v>
      </c>
    </row>
    <row r="49973" ht="16.5" customHeight="1">
      <c r="O49973" s="5" t="s">
        <v>355</v>
      </c>
      <c r="P49973" s="5" t="s">
        <v>355</v>
      </c>
      <c r="Q49973" s="5" t="s">
        <v>355</v>
      </c>
    </row>
    <row r="49974" ht="16.5" customHeight="1">
      <c r="O49974" s="5" t="s">
        <v>355</v>
      </c>
      <c r="P49974" s="5" t="s">
        <v>355</v>
      </c>
      <c r="Q49974" s="5" t="s">
        <v>355</v>
      </c>
    </row>
    <row r="49975" ht="16.5" customHeight="1">
      <c r="O49975" s="5" t="s">
        <v>355</v>
      </c>
      <c r="P49975" s="5" t="s">
        <v>355</v>
      </c>
      <c r="Q49975" s="5" t="s">
        <v>355</v>
      </c>
    </row>
    <row r="49976" ht="16.5" customHeight="1">
      <c r="O49976" s="5" t="s">
        <v>355</v>
      </c>
      <c r="P49976" s="5" t="s">
        <v>355</v>
      </c>
      <c r="Q49976" s="5" t="s">
        <v>355</v>
      </c>
    </row>
    <row r="49977" ht="16.5" customHeight="1">
      <c r="O49977" s="5" t="s">
        <v>355</v>
      </c>
      <c r="P49977" s="5" t="s">
        <v>355</v>
      </c>
      <c r="Q49977" s="5" t="s">
        <v>355</v>
      </c>
    </row>
    <row r="49978" ht="16.5" customHeight="1">
      <c r="O49978" s="5" t="s">
        <v>355</v>
      </c>
      <c r="P49978" s="5" t="s">
        <v>355</v>
      </c>
      <c r="Q49978" s="5" t="s">
        <v>355</v>
      </c>
    </row>
    <row r="49979" ht="16.5" customHeight="1">
      <c r="O49979" s="5" t="s">
        <v>355</v>
      </c>
      <c r="P49979" s="5" t="s">
        <v>355</v>
      </c>
      <c r="Q49979" s="5" t="s">
        <v>355</v>
      </c>
    </row>
    <row r="49980" ht="16.5" customHeight="1">
      <c r="O49980" s="5" t="s">
        <v>355</v>
      </c>
      <c r="P49980" s="5" t="s">
        <v>355</v>
      </c>
      <c r="Q49980" s="5" t="s">
        <v>355</v>
      </c>
    </row>
    <row r="49981" ht="16.5" customHeight="1">
      <c r="O49981" s="5" t="s">
        <v>355</v>
      </c>
      <c r="P49981" s="5" t="s">
        <v>355</v>
      </c>
      <c r="Q49981" s="5" t="s">
        <v>355</v>
      </c>
    </row>
    <row r="49982" ht="16.5" customHeight="1">
      <c r="O49982" s="5" t="s">
        <v>355</v>
      </c>
      <c r="P49982" s="5" t="s">
        <v>355</v>
      </c>
      <c r="Q49982" s="5" t="s">
        <v>355</v>
      </c>
    </row>
    <row r="49983" ht="16.5" customHeight="1">
      <c r="O49983" s="5" t="s">
        <v>355</v>
      </c>
      <c r="P49983" s="5" t="s">
        <v>355</v>
      </c>
      <c r="Q49983" s="5" t="s">
        <v>355</v>
      </c>
    </row>
    <row r="49984" ht="16.5" customHeight="1">
      <c r="O49984" s="5" t="s">
        <v>355</v>
      </c>
      <c r="P49984" s="5" t="s">
        <v>355</v>
      </c>
      <c r="Q49984" s="5" t="s">
        <v>355</v>
      </c>
    </row>
    <row r="49985" ht="16.5" customHeight="1">
      <c r="O49985" s="5" t="s">
        <v>355</v>
      </c>
      <c r="P49985" s="5" t="s">
        <v>355</v>
      </c>
      <c r="Q49985" s="5" t="s">
        <v>355</v>
      </c>
    </row>
    <row r="49986" ht="16.5" customHeight="1">
      <c r="O49986" s="5" t="s">
        <v>355</v>
      </c>
      <c r="P49986" s="5" t="s">
        <v>355</v>
      </c>
      <c r="Q49986" s="5" t="s">
        <v>355</v>
      </c>
    </row>
    <row r="49987" ht="16.5" customHeight="1">
      <c r="O49987" s="5" t="s">
        <v>355</v>
      </c>
      <c r="P49987" s="5" t="s">
        <v>355</v>
      </c>
      <c r="Q49987" s="5" t="s">
        <v>355</v>
      </c>
    </row>
    <row r="49988" ht="16.5" customHeight="1">
      <c r="O49988" s="5" t="s">
        <v>355</v>
      </c>
      <c r="P49988" s="5" t="s">
        <v>355</v>
      </c>
      <c r="Q49988" s="5" t="s">
        <v>355</v>
      </c>
    </row>
    <row r="49989" ht="16.5" customHeight="1">
      <c r="O49989" s="5" t="s">
        <v>355</v>
      </c>
      <c r="P49989" s="5" t="s">
        <v>355</v>
      </c>
      <c r="Q49989" s="5" t="s">
        <v>355</v>
      </c>
    </row>
    <row r="49990" ht="16.5" customHeight="1">
      <c r="O49990" s="5" t="s">
        <v>355</v>
      </c>
      <c r="P49990" s="5" t="s">
        <v>355</v>
      </c>
      <c r="Q49990" s="5" t="s">
        <v>355</v>
      </c>
    </row>
    <row r="49991" ht="16.5" customHeight="1">
      <c r="O49991" s="5" t="s">
        <v>355</v>
      </c>
      <c r="P49991" s="5" t="s">
        <v>355</v>
      </c>
      <c r="Q49991" s="5" t="s">
        <v>355</v>
      </c>
    </row>
    <row r="49992" ht="16.5" customHeight="1">
      <c r="O49992" s="5" t="s">
        <v>355</v>
      </c>
      <c r="P49992" s="5" t="s">
        <v>355</v>
      </c>
      <c r="Q49992" s="5" t="s">
        <v>355</v>
      </c>
    </row>
    <row r="49993" ht="16.5" customHeight="1">
      <c r="O49993" s="5" t="s">
        <v>355</v>
      </c>
      <c r="P49993" s="5" t="s">
        <v>355</v>
      </c>
      <c r="Q49993" s="5" t="s">
        <v>355</v>
      </c>
    </row>
    <row r="49994" ht="16.5" customHeight="1">
      <c r="O49994" s="5" t="s">
        <v>355</v>
      </c>
      <c r="P49994" s="5" t="s">
        <v>355</v>
      </c>
      <c r="Q49994" s="5" t="s">
        <v>355</v>
      </c>
    </row>
    <row r="49995" ht="16.5" customHeight="1">
      <c r="O49995" s="5" t="s">
        <v>355</v>
      </c>
      <c r="P49995" s="5" t="s">
        <v>355</v>
      </c>
      <c r="Q49995" s="5" t="s">
        <v>355</v>
      </c>
    </row>
    <row r="49996" ht="16.5" customHeight="1">
      <c r="O49996" s="5" t="s">
        <v>355</v>
      </c>
      <c r="P49996" s="5" t="s">
        <v>355</v>
      </c>
      <c r="Q49996" s="5" t="s">
        <v>355</v>
      </c>
    </row>
    <row r="49997" ht="16.5" customHeight="1">
      <c r="O49997" s="5" t="s">
        <v>355</v>
      </c>
      <c r="P49997" s="5" t="s">
        <v>355</v>
      </c>
      <c r="Q49997" s="5" t="s">
        <v>355</v>
      </c>
    </row>
    <row r="49998" ht="16.5" customHeight="1">
      <c r="O49998" s="5" t="s">
        <v>355</v>
      </c>
      <c r="P49998" s="5" t="s">
        <v>355</v>
      </c>
      <c r="Q49998" s="5" t="s">
        <v>355</v>
      </c>
    </row>
    <row r="49999" ht="16.5" customHeight="1">
      <c r="O49999" s="5" t="s">
        <v>355</v>
      </c>
      <c r="P49999" s="5" t="s">
        <v>355</v>
      </c>
      <c r="Q49999" s="5" t="s">
        <v>355</v>
      </c>
    </row>
    <row r="50000" ht="16.5" customHeight="1">
      <c r="O50000" s="5" t="s">
        <v>355</v>
      </c>
      <c r="P50000" s="5" t="s">
        <v>355</v>
      </c>
      <c r="Q50000" s="5" t="s">
        <v>355</v>
      </c>
    </row>
    <row r="50001" ht="16.5" customHeight="1">
      <c r="O50001" s="5" t="s">
        <v>355</v>
      </c>
      <c r="P50001" s="5" t="s">
        <v>355</v>
      </c>
      <c r="Q50001" s="5" t="s">
        <v>355</v>
      </c>
    </row>
    <row r="50002" ht="16.5" customHeight="1">
      <c r="O50002" s="5" t="s">
        <v>355</v>
      </c>
      <c r="P50002" s="5" t="s">
        <v>355</v>
      </c>
      <c r="Q50002" s="5" t="s">
        <v>355</v>
      </c>
    </row>
    <row r="50003" ht="16.5" customHeight="1">
      <c r="O50003" s="5" t="s">
        <v>355</v>
      </c>
      <c r="P50003" s="5" t="s">
        <v>355</v>
      </c>
      <c r="Q50003" s="5" t="s">
        <v>355</v>
      </c>
    </row>
    <row r="50004" ht="16.5" customHeight="1">
      <c r="O50004" s="5" t="s">
        <v>355</v>
      </c>
      <c r="P50004" s="5" t="s">
        <v>355</v>
      </c>
      <c r="Q50004" s="5" t="s">
        <v>355</v>
      </c>
    </row>
    <row r="50005" ht="16.5" customHeight="1">
      <c r="O50005" s="5" t="s">
        <v>355</v>
      </c>
      <c r="P50005" s="5" t="s">
        <v>355</v>
      </c>
      <c r="Q50005" s="5" t="s">
        <v>355</v>
      </c>
    </row>
    <row r="50006" ht="16.5" customHeight="1">
      <c r="O50006" s="5" t="s">
        <v>355</v>
      </c>
      <c r="P50006" s="5" t="s">
        <v>355</v>
      </c>
      <c r="Q50006" s="5" t="s">
        <v>355</v>
      </c>
    </row>
    <row r="50007" ht="16.5" customHeight="1">
      <c r="O50007" s="5" t="s">
        <v>355</v>
      </c>
      <c r="P50007" s="5" t="s">
        <v>355</v>
      </c>
      <c r="Q50007" s="5" t="s">
        <v>355</v>
      </c>
    </row>
    <row r="50008" ht="16.5" customHeight="1">
      <c r="O50008" s="5" t="s">
        <v>355</v>
      </c>
      <c r="P50008" s="5" t="s">
        <v>355</v>
      </c>
      <c r="Q50008" s="5" t="s">
        <v>355</v>
      </c>
    </row>
    <row r="50009" ht="16.5" customHeight="1">
      <c r="O50009" s="5" t="s">
        <v>355</v>
      </c>
      <c r="P50009" s="5" t="s">
        <v>355</v>
      </c>
      <c r="Q50009" s="5" t="s">
        <v>355</v>
      </c>
    </row>
    <row r="50010" ht="16.5" customHeight="1">
      <c r="O50010" s="5" t="s">
        <v>355</v>
      </c>
      <c r="P50010" s="5" t="s">
        <v>355</v>
      </c>
      <c r="Q50010" s="5" t="s">
        <v>355</v>
      </c>
    </row>
    <row r="50011" ht="16.5" customHeight="1">
      <c r="O50011" s="5" t="s">
        <v>355</v>
      </c>
      <c r="P50011" s="5" t="s">
        <v>355</v>
      </c>
      <c r="Q50011" s="5" t="s">
        <v>355</v>
      </c>
    </row>
    <row r="50012" ht="16.5" customHeight="1">
      <c r="O50012" s="5" t="s">
        <v>355</v>
      </c>
      <c r="P50012" s="5" t="s">
        <v>355</v>
      </c>
      <c r="Q50012" s="5" t="s">
        <v>355</v>
      </c>
    </row>
    <row r="50013" ht="16.5" customHeight="1">
      <c r="O50013" s="5" t="s">
        <v>355</v>
      </c>
      <c r="P50013" s="5" t="s">
        <v>355</v>
      </c>
      <c r="Q50013" s="5" t="s">
        <v>355</v>
      </c>
    </row>
    <row r="50014" ht="16.5" customHeight="1">
      <c r="O50014" s="5" t="s">
        <v>355</v>
      </c>
      <c r="P50014" s="5" t="s">
        <v>355</v>
      </c>
      <c r="Q50014" s="5" t="s">
        <v>355</v>
      </c>
    </row>
    <row r="50015" ht="16.5" customHeight="1">
      <c r="O50015" s="5" t="s">
        <v>355</v>
      </c>
      <c r="P50015" s="5" t="s">
        <v>355</v>
      </c>
      <c r="Q50015" s="5" t="s">
        <v>355</v>
      </c>
    </row>
    <row r="50016" ht="16.5" customHeight="1">
      <c r="O50016" s="5" t="s">
        <v>355</v>
      </c>
      <c r="P50016" s="5" t="s">
        <v>355</v>
      </c>
      <c r="Q50016" s="5" t="s">
        <v>355</v>
      </c>
    </row>
    <row r="50017" ht="16.5" customHeight="1">
      <c r="O50017" s="5" t="s">
        <v>355</v>
      </c>
      <c r="P50017" s="5" t="s">
        <v>355</v>
      </c>
      <c r="Q50017" s="5" t="s">
        <v>355</v>
      </c>
    </row>
    <row r="50018" ht="16.5" customHeight="1">
      <c r="O50018" s="5" t="s">
        <v>355</v>
      </c>
      <c r="P50018" s="5" t="s">
        <v>355</v>
      </c>
      <c r="Q50018" s="5" t="s">
        <v>355</v>
      </c>
    </row>
    <row r="50019" ht="16.5" customHeight="1">
      <c r="O50019" s="5" t="s">
        <v>355</v>
      </c>
      <c r="P50019" s="5" t="s">
        <v>355</v>
      </c>
      <c r="Q50019" s="5" t="s">
        <v>355</v>
      </c>
    </row>
    <row r="50020" ht="16.5" customHeight="1">
      <c r="O50020" s="5" t="s">
        <v>355</v>
      </c>
      <c r="P50020" s="5" t="s">
        <v>355</v>
      </c>
      <c r="Q50020" s="5" t="s">
        <v>355</v>
      </c>
    </row>
    <row r="50021" ht="16.5" customHeight="1">
      <c r="O50021" s="5" t="s">
        <v>355</v>
      </c>
      <c r="P50021" s="5" t="s">
        <v>355</v>
      </c>
      <c r="Q50021" s="5" t="s">
        <v>355</v>
      </c>
    </row>
    <row r="50022" ht="16.5" customHeight="1">
      <c r="O50022" s="5" t="s">
        <v>355</v>
      </c>
      <c r="P50022" s="5" t="s">
        <v>355</v>
      </c>
      <c r="Q50022" s="5" t="s">
        <v>355</v>
      </c>
    </row>
    <row r="50023" ht="16.5" customHeight="1">
      <c r="O50023" s="5" t="s">
        <v>355</v>
      </c>
      <c r="P50023" s="5" t="s">
        <v>355</v>
      </c>
      <c r="Q50023" s="5" t="s">
        <v>355</v>
      </c>
    </row>
    <row r="50024" ht="16.5" customHeight="1">
      <c r="O50024" s="5" t="s">
        <v>355</v>
      </c>
      <c r="P50024" s="5" t="s">
        <v>355</v>
      </c>
      <c r="Q50024" s="5" t="s">
        <v>355</v>
      </c>
    </row>
    <row r="50025" ht="16.5" customHeight="1">
      <c r="O50025" s="5" t="s">
        <v>355</v>
      </c>
      <c r="P50025" s="5" t="s">
        <v>355</v>
      </c>
      <c r="Q50025" s="5" t="s">
        <v>355</v>
      </c>
    </row>
    <row r="50026" ht="16.5" customHeight="1">
      <c r="O50026" s="5" t="s">
        <v>355</v>
      </c>
      <c r="P50026" s="5" t="s">
        <v>355</v>
      </c>
      <c r="Q50026" s="5" t="s">
        <v>355</v>
      </c>
    </row>
    <row r="50027" ht="16.5" customHeight="1">
      <c r="O50027" s="5" t="s">
        <v>355</v>
      </c>
      <c r="P50027" s="5" t="s">
        <v>355</v>
      </c>
      <c r="Q50027" s="5" t="s">
        <v>355</v>
      </c>
    </row>
    <row r="50028" ht="16.5" customHeight="1">
      <c r="O50028" s="5" t="s">
        <v>355</v>
      </c>
      <c r="P50028" s="5" t="s">
        <v>355</v>
      </c>
      <c r="Q50028" s="5" t="s">
        <v>355</v>
      </c>
    </row>
    <row r="50029" ht="16.5" customHeight="1">
      <c r="O50029" s="5" t="s">
        <v>355</v>
      </c>
      <c r="P50029" s="5" t="s">
        <v>355</v>
      </c>
      <c r="Q50029" s="5" t="s">
        <v>355</v>
      </c>
    </row>
    <row r="50030" ht="16.5" customHeight="1">
      <c r="O50030" s="5" t="s">
        <v>355</v>
      </c>
      <c r="P50030" s="5" t="s">
        <v>355</v>
      </c>
      <c r="Q50030" s="5" t="s">
        <v>355</v>
      </c>
    </row>
    <row r="50031" ht="16.5" customHeight="1">
      <c r="O50031" s="5" t="s">
        <v>355</v>
      </c>
      <c r="P50031" s="5" t="s">
        <v>355</v>
      </c>
      <c r="Q50031" s="5" t="s">
        <v>355</v>
      </c>
    </row>
    <row r="50032" ht="16.5" customHeight="1">
      <c r="O50032" s="5" t="s">
        <v>355</v>
      </c>
      <c r="P50032" s="5" t="s">
        <v>355</v>
      </c>
      <c r="Q50032" s="5" t="s">
        <v>355</v>
      </c>
    </row>
    <row r="50033" ht="16.5" customHeight="1">
      <c r="O50033" s="5" t="s">
        <v>355</v>
      </c>
      <c r="P50033" s="5" t="s">
        <v>355</v>
      </c>
      <c r="Q50033" s="5" t="s">
        <v>355</v>
      </c>
    </row>
    <row r="50034" ht="16.5" customHeight="1">
      <c r="O50034" s="5" t="s">
        <v>355</v>
      </c>
      <c r="P50034" s="5" t="s">
        <v>355</v>
      </c>
      <c r="Q50034" s="5" t="s">
        <v>355</v>
      </c>
    </row>
    <row r="50035" ht="16.5" customHeight="1">
      <c r="O50035" s="5" t="s">
        <v>355</v>
      </c>
      <c r="P50035" s="5" t="s">
        <v>355</v>
      </c>
      <c r="Q50035" s="5" t="s">
        <v>355</v>
      </c>
    </row>
    <row r="50036" ht="16.5" customHeight="1">
      <c r="O50036" s="5" t="s">
        <v>355</v>
      </c>
      <c r="P50036" s="5" t="s">
        <v>355</v>
      </c>
      <c r="Q50036" s="5" t="s">
        <v>355</v>
      </c>
    </row>
    <row r="50037" ht="16.5" customHeight="1">
      <c r="O50037" s="5" t="s">
        <v>355</v>
      </c>
      <c r="P50037" s="5" t="s">
        <v>355</v>
      </c>
      <c r="Q50037" s="5" t="s">
        <v>355</v>
      </c>
    </row>
    <row r="50038" ht="16.5" customHeight="1">
      <c r="O50038" s="5" t="s">
        <v>355</v>
      </c>
      <c r="P50038" s="5" t="s">
        <v>355</v>
      </c>
      <c r="Q50038" s="5" t="s">
        <v>355</v>
      </c>
    </row>
    <row r="50039" ht="16.5" customHeight="1">
      <c r="O50039" s="5" t="s">
        <v>355</v>
      </c>
      <c r="P50039" s="5" t="s">
        <v>355</v>
      </c>
      <c r="Q50039" s="5" t="s">
        <v>355</v>
      </c>
    </row>
    <row r="50040" ht="16.5" customHeight="1">
      <c r="O50040" s="5" t="s">
        <v>355</v>
      </c>
      <c r="P50040" s="5" t="s">
        <v>355</v>
      </c>
      <c r="Q50040" s="5" t="s">
        <v>355</v>
      </c>
    </row>
    <row r="50041" ht="16.5" customHeight="1">
      <c r="O50041" s="5" t="s">
        <v>355</v>
      </c>
      <c r="P50041" s="5" t="s">
        <v>355</v>
      </c>
      <c r="Q50041" s="5" t="s">
        <v>355</v>
      </c>
    </row>
    <row r="50042" ht="16.5" customHeight="1">
      <c r="O50042" s="5" t="s">
        <v>355</v>
      </c>
      <c r="P50042" s="5" t="s">
        <v>355</v>
      </c>
      <c r="Q50042" s="5" t="s">
        <v>355</v>
      </c>
    </row>
    <row r="50043" ht="16.5" customHeight="1">
      <c r="O50043" s="5" t="s">
        <v>355</v>
      </c>
      <c r="P50043" s="5" t="s">
        <v>355</v>
      </c>
      <c r="Q50043" s="5" t="s">
        <v>355</v>
      </c>
    </row>
    <row r="50044" ht="16.5" customHeight="1">
      <c r="O50044" s="5" t="s">
        <v>355</v>
      </c>
      <c r="P50044" s="5" t="s">
        <v>355</v>
      </c>
      <c r="Q50044" s="5" t="s">
        <v>355</v>
      </c>
    </row>
    <row r="50045" ht="16.5" customHeight="1">
      <c r="O50045" s="5" t="s">
        <v>355</v>
      </c>
      <c r="P50045" s="5" t="s">
        <v>355</v>
      </c>
      <c r="Q50045" s="5" t="s">
        <v>355</v>
      </c>
    </row>
    <row r="50046" ht="16.5" customHeight="1">
      <c r="O50046" s="5" t="s">
        <v>355</v>
      </c>
      <c r="P50046" s="5" t="s">
        <v>355</v>
      </c>
      <c r="Q50046" s="5" t="s">
        <v>355</v>
      </c>
    </row>
    <row r="50047" ht="16.5" customHeight="1">
      <c r="O50047" s="5" t="s">
        <v>355</v>
      </c>
      <c r="P50047" s="5" t="s">
        <v>355</v>
      </c>
      <c r="Q50047" s="5" t="s">
        <v>355</v>
      </c>
    </row>
    <row r="50048" ht="16.5" customHeight="1">
      <c r="O50048" s="5" t="s">
        <v>355</v>
      </c>
      <c r="P50048" s="5" t="s">
        <v>355</v>
      </c>
      <c r="Q50048" s="5" t="s">
        <v>355</v>
      </c>
    </row>
    <row r="50049" ht="16.5" customHeight="1">
      <c r="O50049" s="5" t="s">
        <v>355</v>
      </c>
      <c r="P50049" s="5" t="s">
        <v>355</v>
      </c>
      <c r="Q50049" s="5" t="s">
        <v>355</v>
      </c>
    </row>
    <row r="50050" ht="16.5" customHeight="1">
      <c r="O50050" s="5" t="s">
        <v>355</v>
      </c>
      <c r="P50050" s="5" t="s">
        <v>355</v>
      </c>
      <c r="Q50050" s="5" t="s">
        <v>355</v>
      </c>
    </row>
    <row r="50051" ht="16.5" customHeight="1">
      <c r="O50051" s="5" t="s">
        <v>355</v>
      </c>
      <c r="P50051" s="5" t="s">
        <v>355</v>
      </c>
      <c r="Q50051" s="5" t="s">
        <v>355</v>
      </c>
    </row>
    <row r="50052" ht="16.5" customHeight="1">
      <c r="O50052" s="5" t="s">
        <v>355</v>
      </c>
      <c r="P50052" s="5" t="s">
        <v>355</v>
      </c>
      <c r="Q50052" s="5" t="s">
        <v>355</v>
      </c>
    </row>
    <row r="50053" ht="16.5" customHeight="1">
      <c r="O50053" s="5" t="s">
        <v>355</v>
      </c>
      <c r="P50053" s="5" t="s">
        <v>355</v>
      </c>
      <c r="Q50053" s="5" t="s">
        <v>355</v>
      </c>
    </row>
    <row r="50054" ht="16.5" customHeight="1">
      <c r="O50054" s="5" t="s">
        <v>355</v>
      </c>
      <c r="P50054" s="5" t="s">
        <v>355</v>
      </c>
      <c r="Q50054" s="5" t="s">
        <v>355</v>
      </c>
    </row>
    <row r="50055" ht="16.5" customHeight="1">
      <c r="O50055" s="5" t="s">
        <v>355</v>
      </c>
      <c r="P50055" s="5" t="s">
        <v>355</v>
      </c>
      <c r="Q50055" s="5" t="s">
        <v>355</v>
      </c>
    </row>
    <row r="50056" ht="16.5" customHeight="1">
      <c r="O50056" s="5" t="s">
        <v>355</v>
      </c>
      <c r="P50056" s="5" t="s">
        <v>355</v>
      </c>
      <c r="Q50056" s="5" t="s">
        <v>355</v>
      </c>
    </row>
    <row r="50057" ht="16.5" customHeight="1">
      <c r="O50057" s="5" t="s">
        <v>355</v>
      </c>
      <c r="P50057" s="5" t="s">
        <v>355</v>
      </c>
      <c r="Q50057" s="5" t="s">
        <v>355</v>
      </c>
    </row>
    <row r="50058" ht="16.5" customHeight="1">
      <c r="O50058" s="5" t="s">
        <v>355</v>
      </c>
      <c r="P50058" s="5" t="s">
        <v>355</v>
      </c>
      <c r="Q50058" s="5" t="s">
        <v>355</v>
      </c>
    </row>
    <row r="50059" ht="16.5" customHeight="1">
      <c r="O50059" s="5" t="s">
        <v>355</v>
      </c>
      <c r="P50059" s="5" t="s">
        <v>355</v>
      </c>
      <c r="Q50059" s="5" t="s">
        <v>355</v>
      </c>
    </row>
    <row r="50060" ht="16.5" customHeight="1">
      <c r="O50060" s="5" t="s">
        <v>355</v>
      </c>
      <c r="P50060" s="5" t="s">
        <v>355</v>
      </c>
      <c r="Q50060" s="5" t="s">
        <v>355</v>
      </c>
    </row>
    <row r="50061" ht="16.5" customHeight="1">
      <c r="O50061" s="5" t="s">
        <v>355</v>
      </c>
      <c r="P50061" s="5" t="s">
        <v>355</v>
      </c>
      <c r="Q50061" s="5" t="s">
        <v>355</v>
      </c>
    </row>
    <row r="50062" ht="16.5" customHeight="1">
      <c r="O50062" s="5" t="s">
        <v>355</v>
      </c>
      <c r="P50062" s="5" t="s">
        <v>355</v>
      </c>
      <c r="Q50062" s="5" t="s">
        <v>355</v>
      </c>
    </row>
    <row r="50063" ht="16.5" customHeight="1">
      <c r="O50063" s="5" t="s">
        <v>355</v>
      </c>
      <c r="P50063" s="5" t="s">
        <v>355</v>
      </c>
      <c r="Q50063" s="5" t="s">
        <v>355</v>
      </c>
    </row>
    <row r="50064" ht="16.5" customHeight="1">
      <c r="O50064" s="5" t="s">
        <v>355</v>
      </c>
      <c r="P50064" s="5" t="s">
        <v>355</v>
      </c>
      <c r="Q50064" s="5" t="s">
        <v>355</v>
      </c>
    </row>
    <row r="50065" ht="16.5" customHeight="1">
      <c r="O50065" s="5" t="s">
        <v>355</v>
      </c>
      <c r="P50065" s="5" t="s">
        <v>355</v>
      </c>
      <c r="Q50065" s="5" t="s">
        <v>355</v>
      </c>
    </row>
    <row r="50066" ht="16.5" customHeight="1">
      <c r="O50066" s="5" t="s">
        <v>355</v>
      </c>
      <c r="P50066" s="5" t="s">
        <v>355</v>
      </c>
      <c r="Q50066" s="5" t="s">
        <v>355</v>
      </c>
    </row>
    <row r="50067" ht="16.5" customHeight="1">
      <c r="O50067" s="5" t="s">
        <v>355</v>
      </c>
      <c r="P50067" s="5" t="s">
        <v>355</v>
      </c>
      <c r="Q50067" s="5" t="s">
        <v>355</v>
      </c>
    </row>
    <row r="50068" ht="16.5" customHeight="1">
      <c r="O50068" s="5" t="s">
        <v>355</v>
      </c>
      <c r="P50068" s="5" t="s">
        <v>355</v>
      </c>
      <c r="Q50068" s="5" t="s">
        <v>355</v>
      </c>
    </row>
    <row r="50069" ht="16.5" customHeight="1">
      <c r="O50069" s="5" t="s">
        <v>355</v>
      </c>
      <c r="P50069" s="5" t="s">
        <v>355</v>
      </c>
      <c r="Q50069" s="5" t="s">
        <v>355</v>
      </c>
    </row>
    <row r="50070" ht="16.5" customHeight="1">
      <c r="O50070" s="5" t="s">
        <v>355</v>
      </c>
      <c r="P50070" s="5" t="s">
        <v>355</v>
      </c>
      <c r="Q50070" s="5" t="s">
        <v>355</v>
      </c>
    </row>
    <row r="50071" ht="16.5" customHeight="1">
      <c r="O50071" s="5" t="s">
        <v>355</v>
      </c>
      <c r="P50071" s="5" t="s">
        <v>355</v>
      </c>
      <c r="Q50071" s="5" t="s">
        <v>355</v>
      </c>
    </row>
    <row r="50072" ht="16.5" customHeight="1">
      <c r="O50072" s="5" t="s">
        <v>355</v>
      </c>
      <c r="P50072" s="5" t="s">
        <v>355</v>
      </c>
      <c r="Q50072" s="5" t="s">
        <v>355</v>
      </c>
    </row>
    <row r="50073" ht="16.5" customHeight="1">
      <c r="O50073" s="5" t="s">
        <v>355</v>
      </c>
      <c r="P50073" s="5" t="s">
        <v>355</v>
      </c>
      <c r="Q50073" s="5" t="s">
        <v>355</v>
      </c>
    </row>
    <row r="50074" ht="16.5" customHeight="1">
      <c r="O50074" s="5" t="s">
        <v>355</v>
      </c>
      <c r="P50074" s="5" t="s">
        <v>355</v>
      </c>
      <c r="Q50074" s="5" t="s">
        <v>355</v>
      </c>
    </row>
    <row r="50075" ht="16.5" customHeight="1">
      <c r="O50075" s="5" t="s">
        <v>355</v>
      </c>
      <c r="P50075" s="5" t="s">
        <v>355</v>
      </c>
      <c r="Q50075" s="5" t="s">
        <v>355</v>
      </c>
    </row>
    <row r="50076" ht="16.5" customHeight="1">
      <c r="O50076" s="5" t="s">
        <v>355</v>
      </c>
      <c r="P50076" s="5" t="s">
        <v>355</v>
      </c>
      <c r="Q50076" s="5" t="s">
        <v>355</v>
      </c>
    </row>
    <row r="50077" ht="16.5" customHeight="1">
      <c r="O50077" s="5" t="s">
        <v>355</v>
      </c>
      <c r="P50077" s="5" t="s">
        <v>355</v>
      </c>
      <c r="Q50077" s="5" t="s">
        <v>355</v>
      </c>
    </row>
    <row r="50078" ht="16.5" customHeight="1">
      <c r="O50078" s="5" t="s">
        <v>355</v>
      </c>
      <c r="P50078" s="5" t="s">
        <v>355</v>
      </c>
      <c r="Q50078" s="5" t="s">
        <v>355</v>
      </c>
    </row>
    <row r="50079" ht="16.5" customHeight="1">
      <c r="O50079" s="5" t="s">
        <v>355</v>
      </c>
      <c r="P50079" s="5" t="s">
        <v>355</v>
      </c>
      <c r="Q50079" s="5" t="s">
        <v>355</v>
      </c>
    </row>
    <row r="50080" ht="16.5" customHeight="1">
      <c r="O50080" s="5" t="s">
        <v>355</v>
      </c>
      <c r="P50080" s="5" t="s">
        <v>355</v>
      </c>
      <c r="Q50080" s="5" t="s">
        <v>355</v>
      </c>
    </row>
    <row r="50081" ht="16.5" customHeight="1">
      <c r="O50081" s="5" t="s">
        <v>355</v>
      </c>
      <c r="P50081" s="5" t="s">
        <v>355</v>
      </c>
      <c r="Q50081" s="5" t="s">
        <v>355</v>
      </c>
    </row>
    <row r="50082" ht="16.5" customHeight="1">
      <c r="O50082" s="5" t="s">
        <v>355</v>
      </c>
      <c r="P50082" s="5" t="s">
        <v>355</v>
      </c>
      <c r="Q50082" s="5" t="s">
        <v>355</v>
      </c>
    </row>
    <row r="50083" ht="16.5" customHeight="1">
      <c r="O50083" s="5" t="s">
        <v>355</v>
      </c>
      <c r="P50083" s="5" t="s">
        <v>355</v>
      </c>
      <c r="Q50083" s="5" t="s">
        <v>355</v>
      </c>
    </row>
    <row r="50084" ht="16.5" customHeight="1">
      <c r="O50084" s="5" t="s">
        <v>355</v>
      </c>
      <c r="P50084" s="5" t="s">
        <v>355</v>
      </c>
      <c r="Q50084" s="5" t="s">
        <v>355</v>
      </c>
    </row>
    <row r="50085" ht="16.5" customHeight="1">
      <c r="O50085" s="5" t="s">
        <v>355</v>
      </c>
      <c r="P50085" s="5" t="s">
        <v>355</v>
      </c>
      <c r="Q50085" s="5" t="s">
        <v>355</v>
      </c>
    </row>
    <row r="50086" ht="16.5" customHeight="1">
      <c r="O50086" s="5" t="s">
        <v>355</v>
      </c>
      <c r="P50086" s="5" t="s">
        <v>355</v>
      </c>
      <c r="Q50086" s="5" t="s">
        <v>355</v>
      </c>
    </row>
    <row r="50087" ht="16.5" customHeight="1">
      <c r="O50087" s="5" t="s">
        <v>355</v>
      </c>
      <c r="P50087" s="5" t="s">
        <v>355</v>
      </c>
      <c r="Q50087" s="5" t="s">
        <v>355</v>
      </c>
    </row>
    <row r="50088" ht="16.5" customHeight="1">
      <c r="O50088" s="5" t="s">
        <v>355</v>
      </c>
      <c r="P50088" s="5" t="s">
        <v>355</v>
      </c>
      <c r="Q50088" s="5" t="s">
        <v>355</v>
      </c>
    </row>
    <row r="50089" ht="16.5" customHeight="1">
      <c r="O50089" s="5" t="s">
        <v>355</v>
      </c>
      <c r="P50089" s="5" t="s">
        <v>355</v>
      </c>
      <c r="Q50089" s="5" t="s">
        <v>355</v>
      </c>
    </row>
    <row r="50090" ht="16.5" customHeight="1">
      <c r="O50090" s="5" t="s">
        <v>355</v>
      </c>
      <c r="P50090" s="5" t="s">
        <v>355</v>
      </c>
      <c r="Q50090" s="5" t="s">
        <v>355</v>
      </c>
    </row>
    <row r="50091" ht="16.5" customHeight="1">
      <c r="O50091" s="5" t="s">
        <v>355</v>
      </c>
      <c r="P50091" s="5" t="s">
        <v>355</v>
      </c>
      <c r="Q50091" s="5" t="s">
        <v>355</v>
      </c>
    </row>
    <row r="50092" ht="16.5" customHeight="1">
      <c r="O50092" s="5" t="s">
        <v>355</v>
      </c>
      <c r="P50092" s="5" t="s">
        <v>355</v>
      </c>
      <c r="Q50092" s="5" t="s">
        <v>355</v>
      </c>
    </row>
    <row r="50093" ht="16.5" customHeight="1">
      <c r="O50093" s="5" t="s">
        <v>355</v>
      </c>
      <c r="P50093" s="5" t="s">
        <v>355</v>
      </c>
      <c r="Q50093" s="5" t="s">
        <v>355</v>
      </c>
    </row>
    <row r="50094" ht="16.5" customHeight="1">
      <c r="O50094" s="5" t="s">
        <v>355</v>
      </c>
      <c r="P50094" s="5" t="s">
        <v>355</v>
      </c>
      <c r="Q50094" s="5" t="s">
        <v>355</v>
      </c>
    </row>
    <row r="50095" ht="16.5" customHeight="1">
      <c r="O50095" s="5" t="s">
        <v>355</v>
      </c>
      <c r="P50095" s="5" t="s">
        <v>355</v>
      </c>
      <c r="Q50095" s="5" t="s">
        <v>355</v>
      </c>
    </row>
    <row r="50096" ht="16.5" customHeight="1">
      <c r="O50096" s="5" t="s">
        <v>355</v>
      </c>
      <c r="P50096" s="5" t="s">
        <v>355</v>
      </c>
      <c r="Q50096" s="5" t="s">
        <v>355</v>
      </c>
    </row>
    <row r="50097" ht="16.5" customHeight="1">
      <c r="O50097" s="5" t="s">
        <v>355</v>
      </c>
      <c r="P50097" s="5" t="s">
        <v>355</v>
      </c>
      <c r="Q50097" s="5" t="s">
        <v>355</v>
      </c>
    </row>
    <row r="50098" ht="16.5" customHeight="1">
      <c r="O50098" s="5" t="s">
        <v>355</v>
      </c>
      <c r="P50098" s="5" t="s">
        <v>355</v>
      </c>
      <c r="Q50098" s="5" t="s">
        <v>355</v>
      </c>
    </row>
    <row r="50099" ht="16.5" customHeight="1">
      <c r="O50099" s="5" t="s">
        <v>355</v>
      </c>
      <c r="P50099" s="5" t="s">
        <v>355</v>
      </c>
      <c r="Q50099" s="5" t="s">
        <v>355</v>
      </c>
    </row>
    <row r="50100" ht="16.5" customHeight="1">
      <c r="O50100" s="5" t="s">
        <v>355</v>
      </c>
      <c r="P50100" s="5" t="s">
        <v>355</v>
      </c>
      <c r="Q50100" s="5" t="s">
        <v>355</v>
      </c>
    </row>
    <row r="50101" ht="16.5" customHeight="1">
      <c r="O50101" s="5" t="s">
        <v>355</v>
      </c>
      <c r="P50101" s="5" t="s">
        <v>355</v>
      </c>
      <c r="Q50101" s="5" t="s">
        <v>355</v>
      </c>
    </row>
    <row r="50102" ht="16.5" customHeight="1">
      <c r="O50102" s="5" t="s">
        <v>355</v>
      </c>
      <c r="P50102" s="5" t="s">
        <v>355</v>
      </c>
      <c r="Q50102" s="5" t="s">
        <v>355</v>
      </c>
    </row>
    <row r="50103" ht="16.5" customHeight="1">
      <c r="O50103" s="5" t="s">
        <v>355</v>
      </c>
      <c r="P50103" s="5" t="s">
        <v>355</v>
      </c>
      <c r="Q50103" s="5" t="s">
        <v>355</v>
      </c>
    </row>
    <row r="50104" ht="16.5" customHeight="1">
      <c r="O50104" s="5" t="s">
        <v>355</v>
      </c>
      <c r="P50104" s="5" t="s">
        <v>355</v>
      </c>
      <c r="Q50104" s="5" t="s">
        <v>355</v>
      </c>
    </row>
    <row r="50105" ht="16.5" customHeight="1">
      <c r="O50105" s="5" t="s">
        <v>355</v>
      </c>
      <c r="P50105" s="5" t="s">
        <v>355</v>
      </c>
      <c r="Q50105" s="5" t="s">
        <v>355</v>
      </c>
    </row>
    <row r="50106" ht="16.5" customHeight="1">
      <c r="O50106" s="5" t="s">
        <v>355</v>
      </c>
      <c r="P50106" s="5" t="s">
        <v>355</v>
      </c>
      <c r="Q50106" s="5" t="s">
        <v>355</v>
      </c>
    </row>
    <row r="50107" ht="16.5" customHeight="1">
      <c r="O50107" s="5" t="s">
        <v>355</v>
      </c>
      <c r="P50107" s="5" t="s">
        <v>355</v>
      </c>
      <c r="Q50107" s="5" t="s">
        <v>355</v>
      </c>
    </row>
    <row r="50108" ht="16.5" customHeight="1">
      <c r="O50108" s="5" t="s">
        <v>355</v>
      </c>
      <c r="P50108" s="5" t="s">
        <v>355</v>
      </c>
      <c r="Q50108" s="5" t="s">
        <v>355</v>
      </c>
    </row>
    <row r="50109" ht="16.5" customHeight="1">
      <c r="O50109" s="5" t="s">
        <v>355</v>
      </c>
      <c r="P50109" s="5" t="s">
        <v>355</v>
      </c>
      <c r="Q50109" s="5" t="s">
        <v>355</v>
      </c>
    </row>
    <row r="50110" ht="16.5" customHeight="1">
      <c r="O50110" s="5" t="s">
        <v>355</v>
      </c>
      <c r="P50110" s="5" t="s">
        <v>355</v>
      </c>
      <c r="Q50110" s="5" t="s">
        <v>355</v>
      </c>
    </row>
    <row r="50111" ht="16.5" customHeight="1">
      <c r="O50111" s="5" t="s">
        <v>355</v>
      </c>
      <c r="P50111" s="5" t="s">
        <v>355</v>
      </c>
      <c r="Q50111" s="5" t="s">
        <v>355</v>
      </c>
    </row>
    <row r="50112" ht="16.5" customHeight="1">
      <c r="O50112" s="5" t="s">
        <v>355</v>
      </c>
      <c r="P50112" s="5" t="s">
        <v>355</v>
      </c>
      <c r="Q50112" s="5" t="s">
        <v>355</v>
      </c>
    </row>
    <row r="50113" ht="16.5" customHeight="1">
      <c r="O50113" s="5" t="s">
        <v>355</v>
      </c>
      <c r="P50113" s="5" t="s">
        <v>355</v>
      </c>
      <c r="Q50113" s="5" t="s">
        <v>355</v>
      </c>
    </row>
    <row r="50114" ht="16.5" customHeight="1">
      <c r="O50114" s="5" t="s">
        <v>355</v>
      </c>
      <c r="P50114" s="5" t="s">
        <v>355</v>
      </c>
      <c r="Q50114" s="5" t="s">
        <v>355</v>
      </c>
    </row>
    <row r="50115" ht="16.5" customHeight="1">
      <c r="O50115" s="5" t="s">
        <v>355</v>
      </c>
      <c r="P50115" s="5" t="s">
        <v>355</v>
      </c>
      <c r="Q50115" s="5" t="s">
        <v>355</v>
      </c>
    </row>
    <row r="50116" ht="16.5" customHeight="1">
      <c r="O50116" s="5" t="s">
        <v>355</v>
      </c>
      <c r="P50116" s="5" t="s">
        <v>355</v>
      </c>
      <c r="Q50116" s="5" t="s">
        <v>355</v>
      </c>
    </row>
    <row r="50117" ht="16.5" customHeight="1">
      <c r="O50117" s="5" t="s">
        <v>355</v>
      </c>
      <c r="P50117" s="5" t="s">
        <v>355</v>
      </c>
      <c r="Q50117" s="5" t="s">
        <v>355</v>
      </c>
    </row>
    <row r="50118" ht="16.5" customHeight="1">
      <c r="O50118" s="5" t="s">
        <v>355</v>
      </c>
      <c r="P50118" s="5" t="s">
        <v>355</v>
      </c>
      <c r="Q50118" s="5" t="s">
        <v>355</v>
      </c>
    </row>
    <row r="50119" ht="16.5" customHeight="1">
      <c r="O50119" s="5" t="s">
        <v>355</v>
      </c>
      <c r="P50119" s="5" t="s">
        <v>355</v>
      </c>
      <c r="Q50119" s="5" t="s">
        <v>355</v>
      </c>
    </row>
    <row r="50120" ht="16.5" customHeight="1">
      <c r="O50120" s="5" t="s">
        <v>355</v>
      </c>
      <c r="P50120" s="5" t="s">
        <v>355</v>
      </c>
      <c r="Q50120" s="5" t="s">
        <v>355</v>
      </c>
    </row>
    <row r="50121" ht="16.5" customHeight="1">
      <c r="O50121" s="5" t="s">
        <v>355</v>
      </c>
      <c r="P50121" s="5" t="s">
        <v>355</v>
      </c>
      <c r="Q50121" s="5" t="s">
        <v>355</v>
      </c>
    </row>
    <row r="50122" ht="16.5" customHeight="1">
      <c r="O50122" s="5" t="s">
        <v>355</v>
      </c>
      <c r="P50122" s="5" t="s">
        <v>355</v>
      </c>
      <c r="Q50122" s="5" t="s">
        <v>355</v>
      </c>
    </row>
    <row r="50123" ht="16.5" customHeight="1">
      <c r="O50123" s="5" t="s">
        <v>355</v>
      </c>
      <c r="P50123" s="5" t="s">
        <v>355</v>
      </c>
      <c r="Q50123" s="5" t="s">
        <v>355</v>
      </c>
    </row>
    <row r="50124" ht="16.5" customHeight="1">
      <c r="O50124" s="5" t="s">
        <v>355</v>
      </c>
      <c r="P50124" s="5" t="s">
        <v>355</v>
      </c>
      <c r="Q50124" s="5" t="s">
        <v>355</v>
      </c>
    </row>
    <row r="50125" ht="16.5" customHeight="1">
      <c r="O50125" s="5" t="s">
        <v>355</v>
      </c>
      <c r="P50125" s="5" t="s">
        <v>355</v>
      </c>
      <c r="Q50125" s="5" t="s">
        <v>355</v>
      </c>
    </row>
    <row r="50126" ht="16.5" customHeight="1">
      <c r="O50126" s="5" t="s">
        <v>355</v>
      </c>
      <c r="P50126" s="5" t="s">
        <v>355</v>
      </c>
      <c r="Q50126" s="5" t="s">
        <v>355</v>
      </c>
    </row>
    <row r="50127" ht="16.5" customHeight="1">
      <c r="O50127" s="5" t="s">
        <v>355</v>
      </c>
      <c r="P50127" s="5" t="s">
        <v>355</v>
      </c>
      <c r="Q50127" s="5" t="s">
        <v>355</v>
      </c>
    </row>
    <row r="50128" ht="16.5" customHeight="1">
      <c r="O50128" s="5" t="s">
        <v>355</v>
      </c>
      <c r="P50128" s="5" t="s">
        <v>355</v>
      </c>
      <c r="Q50128" s="5" t="s">
        <v>355</v>
      </c>
    </row>
    <row r="50129" ht="16.5" customHeight="1">
      <c r="O50129" s="5" t="s">
        <v>355</v>
      </c>
      <c r="P50129" s="5" t="s">
        <v>355</v>
      </c>
      <c r="Q50129" s="5" t="s">
        <v>355</v>
      </c>
    </row>
    <row r="50130" ht="16.5" customHeight="1">
      <c r="O50130" s="5" t="s">
        <v>355</v>
      </c>
      <c r="P50130" s="5" t="s">
        <v>355</v>
      </c>
      <c r="Q50130" s="5" t="s">
        <v>355</v>
      </c>
    </row>
    <row r="50131" ht="16.5" customHeight="1">
      <c r="O50131" s="5" t="s">
        <v>355</v>
      </c>
      <c r="P50131" s="5" t="s">
        <v>355</v>
      </c>
      <c r="Q50131" s="5" t="s">
        <v>355</v>
      </c>
    </row>
    <row r="50132" ht="16.5" customHeight="1">
      <c r="O50132" s="5" t="s">
        <v>355</v>
      </c>
      <c r="P50132" s="5" t="s">
        <v>355</v>
      </c>
      <c r="Q50132" s="5" t="s">
        <v>355</v>
      </c>
    </row>
    <row r="50133" ht="16.5" customHeight="1">
      <c r="O50133" s="5" t="s">
        <v>355</v>
      </c>
      <c r="P50133" s="5" t="s">
        <v>355</v>
      </c>
      <c r="Q50133" s="5" t="s">
        <v>355</v>
      </c>
    </row>
    <row r="50134" ht="16.5" customHeight="1">
      <c r="O50134" s="5" t="s">
        <v>355</v>
      </c>
      <c r="P50134" s="5" t="s">
        <v>355</v>
      </c>
      <c r="Q50134" s="5" t="s">
        <v>355</v>
      </c>
    </row>
    <row r="50135" ht="16.5" customHeight="1">
      <c r="O50135" s="5" t="s">
        <v>355</v>
      </c>
      <c r="P50135" s="5" t="s">
        <v>355</v>
      </c>
      <c r="Q50135" s="5" t="s">
        <v>355</v>
      </c>
    </row>
    <row r="50136" ht="16.5" customHeight="1">
      <c r="O50136" s="5" t="s">
        <v>355</v>
      </c>
      <c r="P50136" s="5" t="s">
        <v>355</v>
      </c>
      <c r="Q50136" s="5" t="s">
        <v>355</v>
      </c>
    </row>
    <row r="50137" ht="16.5" customHeight="1">
      <c r="O50137" s="5" t="s">
        <v>355</v>
      </c>
      <c r="P50137" s="5" t="s">
        <v>355</v>
      </c>
      <c r="Q50137" s="5" t="s">
        <v>355</v>
      </c>
    </row>
    <row r="50138" ht="16.5" customHeight="1">
      <c r="O50138" s="5" t="s">
        <v>355</v>
      </c>
      <c r="P50138" s="5" t="s">
        <v>355</v>
      </c>
      <c r="Q50138" s="5" t="s">
        <v>355</v>
      </c>
    </row>
    <row r="50139" ht="16.5" customHeight="1">
      <c r="O50139" s="5" t="s">
        <v>355</v>
      </c>
      <c r="P50139" s="5" t="s">
        <v>355</v>
      </c>
      <c r="Q50139" s="5" t="s">
        <v>355</v>
      </c>
    </row>
    <row r="50140" ht="16.5" customHeight="1">
      <c r="O50140" s="5" t="s">
        <v>355</v>
      </c>
      <c r="P50140" s="5" t="s">
        <v>355</v>
      </c>
      <c r="Q50140" s="5" t="s">
        <v>355</v>
      </c>
    </row>
    <row r="50141" ht="16.5" customHeight="1">
      <c r="O50141" s="5" t="s">
        <v>355</v>
      </c>
      <c r="P50141" s="5" t="s">
        <v>355</v>
      </c>
      <c r="Q50141" s="5" t="s">
        <v>355</v>
      </c>
    </row>
    <row r="50142" ht="16.5" customHeight="1">
      <c r="O50142" s="5" t="s">
        <v>355</v>
      </c>
      <c r="P50142" s="5" t="s">
        <v>355</v>
      </c>
      <c r="Q50142" s="5" t="s">
        <v>355</v>
      </c>
    </row>
    <row r="50143" ht="16.5" customHeight="1">
      <c r="O50143" s="5" t="s">
        <v>355</v>
      </c>
      <c r="P50143" s="5" t="s">
        <v>355</v>
      </c>
      <c r="Q50143" s="5" t="s">
        <v>355</v>
      </c>
    </row>
    <row r="50144" ht="16.5" customHeight="1">
      <c r="O50144" s="5" t="s">
        <v>355</v>
      </c>
      <c r="P50144" s="5" t="s">
        <v>355</v>
      </c>
      <c r="Q50144" s="5" t="s">
        <v>355</v>
      </c>
    </row>
    <row r="50145" ht="16.5" customHeight="1">
      <c r="O50145" s="5" t="s">
        <v>355</v>
      </c>
      <c r="P50145" s="5" t="s">
        <v>355</v>
      </c>
      <c r="Q50145" s="5" t="s">
        <v>355</v>
      </c>
    </row>
    <row r="50146" ht="16.5" customHeight="1">
      <c r="O50146" s="5" t="s">
        <v>355</v>
      </c>
      <c r="P50146" s="5" t="s">
        <v>355</v>
      </c>
      <c r="Q50146" s="5" t="s">
        <v>355</v>
      </c>
    </row>
    <row r="50147" ht="16.5" customHeight="1">
      <c r="O50147" s="5" t="s">
        <v>355</v>
      </c>
      <c r="P50147" s="5" t="s">
        <v>355</v>
      </c>
      <c r="Q50147" s="5" t="s">
        <v>355</v>
      </c>
    </row>
    <row r="50148" ht="16.5" customHeight="1">
      <c r="O50148" s="5" t="s">
        <v>355</v>
      </c>
      <c r="P50148" s="5" t="s">
        <v>355</v>
      </c>
      <c r="Q50148" s="5" t="s">
        <v>355</v>
      </c>
    </row>
    <row r="50149" ht="16.5" customHeight="1">
      <c r="O50149" s="5" t="s">
        <v>355</v>
      </c>
      <c r="P50149" s="5" t="s">
        <v>355</v>
      </c>
      <c r="Q50149" s="5" t="s">
        <v>355</v>
      </c>
    </row>
    <row r="50150" ht="16.5" customHeight="1">
      <c r="O50150" s="5" t="s">
        <v>355</v>
      </c>
      <c r="P50150" s="5" t="s">
        <v>355</v>
      </c>
      <c r="Q50150" s="5" t="s">
        <v>355</v>
      </c>
    </row>
    <row r="50151" ht="16.5" customHeight="1">
      <c r="O50151" s="5" t="s">
        <v>355</v>
      </c>
      <c r="P50151" s="5" t="s">
        <v>355</v>
      </c>
      <c r="Q50151" s="5" t="s">
        <v>355</v>
      </c>
    </row>
    <row r="50152" ht="16.5" customHeight="1">
      <c r="O50152" s="5" t="s">
        <v>355</v>
      </c>
      <c r="P50152" s="5" t="s">
        <v>355</v>
      </c>
      <c r="Q50152" s="5" t="s">
        <v>355</v>
      </c>
    </row>
    <row r="50153" ht="16.5" customHeight="1">
      <c r="O50153" s="5" t="s">
        <v>355</v>
      </c>
      <c r="P50153" s="5" t="s">
        <v>355</v>
      </c>
      <c r="Q50153" s="5" t="s">
        <v>355</v>
      </c>
    </row>
    <row r="50154" ht="16.5" customHeight="1">
      <c r="O50154" s="5" t="s">
        <v>355</v>
      </c>
      <c r="P50154" s="5" t="s">
        <v>355</v>
      </c>
      <c r="Q50154" s="5" t="s">
        <v>355</v>
      </c>
    </row>
    <row r="50155" ht="16.5" customHeight="1">
      <c r="O50155" s="5" t="s">
        <v>355</v>
      </c>
      <c r="P50155" s="5" t="s">
        <v>355</v>
      </c>
      <c r="Q50155" s="5" t="s">
        <v>355</v>
      </c>
    </row>
    <row r="50156" ht="16.5" customHeight="1">
      <c r="O50156" s="5" t="s">
        <v>355</v>
      </c>
      <c r="P50156" s="5" t="s">
        <v>355</v>
      </c>
      <c r="Q50156" s="5" t="s">
        <v>355</v>
      </c>
    </row>
    <row r="50157" ht="16.5" customHeight="1">
      <c r="O50157" s="5" t="s">
        <v>355</v>
      </c>
      <c r="P50157" s="5" t="s">
        <v>355</v>
      </c>
      <c r="Q50157" s="5" t="s">
        <v>355</v>
      </c>
    </row>
    <row r="50158" ht="16.5" customHeight="1">
      <c r="O50158" s="5" t="s">
        <v>355</v>
      </c>
      <c r="P50158" s="5" t="s">
        <v>355</v>
      </c>
      <c r="Q50158" s="5" t="s">
        <v>355</v>
      </c>
    </row>
    <row r="50159" ht="16.5" customHeight="1">
      <c r="O50159" s="5" t="s">
        <v>355</v>
      </c>
      <c r="P50159" s="5" t="s">
        <v>355</v>
      </c>
      <c r="Q50159" s="5" t="s">
        <v>355</v>
      </c>
    </row>
    <row r="50160" ht="16.5" customHeight="1">
      <c r="O50160" s="5" t="s">
        <v>355</v>
      </c>
      <c r="P50160" s="5" t="s">
        <v>355</v>
      </c>
      <c r="Q50160" s="5" t="s">
        <v>355</v>
      </c>
    </row>
    <row r="50161" ht="16.5" customHeight="1">
      <c r="O50161" s="5" t="s">
        <v>355</v>
      </c>
      <c r="P50161" s="5" t="s">
        <v>355</v>
      </c>
      <c r="Q50161" s="5" t="s">
        <v>355</v>
      </c>
    </row>
    <row r="50162" ht="16.5" customHeight="1">
      <c r="O50162" s="5" t="s">
        <v>355</v>
      </c>
      <c r="P50162" s="5" t="s">
        <v>355</v>
      </c>
      <c r="Q50162" s="5" t="s">
        <v>355</v>
      </c>
    </row>
    <row r="50163" ht="16.5" customHeight="1">
      <c r="O50163" s="5" t="s">
        <v>355</v>
      </c>
      <c r="P50163" s="5" t="s">
        <v>355</v>
      </c>
      <c r="Q50163" s="5" t="s">
        <v>355</v>
      </c>
    </row>
    <row r="50164" ht="16.5" customHeight="1">
      <c r="O50164" s="5" t="s">
        <v>355</v>
      </c>
      <c r="P50164" s="5" t="s">
        <v>355</v>
      </c>
      <c r="Q50164" s="5" t="s">
        <v>355</v>
      </c>
    </row>
    <row r="50165" ht="16.5" customHeight="1">
      <c r="O50165" s="5" t="s">
        <v>355</v>
      </c>
      <c r="P50165" s="5" t="s">
        <v>355</v>
      </c>
      <c r="Q50165" s="5" t="s">
        <v>355</v>
      </c>
    </row>
    <row r="50166" ht="16.5" customHeight="1">
      <c r="O50166" s="5" t="s">
        <v>355</v>
      </c>
      <c r="P50166" s="5" t="s">
        <v>355</v>
      </c>
      <c r="Q50166" s="5" t="s">
        <v>355</v>
      </c>
    </row>
    <row r="50167" ht="16.5" customHeight="1">
      <c r="O50167" s="5" t="s">
        <v>355</v>
      </c>
      <c r="P50167" s="5" t="s">
        <v>355</v>
      </c>
      <c r="Q50167" s="5" t="s">
        <v>355</v>
      </c>
    </row>
    <row r="50168" ht="16.5" customHeight="1">
      <c r="O50168" s="5" t="s">
        <v>355</v>
      </c>
      <c r="P50168" s="5" t="s">
        <v>355</v>
      </c>
      <c r="Q50168" s="5" t="s">
        <v>355</v>
      </c>
    </row>
    <row r="50169" ht="16.5" customHeight="1">
      <c r="O50169" s="5" t="s">
        <v>355</v>
      </c>
      <c r="P50169" s="5" t="s">
        <v>355</v>
      </c>
      <c r="Q50169" s="5" t="s">
        <v>355</v>
      </c>
    </row>
    <row r="50170" ht="16.5" customHeight="1">
      <c r="O50170" s="5" t="s">
        <v>355</v>
      </c>
      <c r="P50170" s="5" t="s">
        <v>355</v>
      </c>
      <c r="Q50170" s="5" t="s">
        <v>355</v>
      </c>
    </row>
    <row r="50171" ht="16.5" customHeight="1">
      <c r="O50171" s="5" t="s">
        <v>355</v>
      </c>
      <c r="P50171" s="5" t="s">
        <v>355</v>
      </c>
      <c r="Q50171" s="5" t="s">
        <v>355</v>
      </c>
    </row>
    <row r="50172" ht="16.5" customHeight="1">
      <c r="O50172" s="5" t="s">
        <v>355</v>
      </c>
      <c r="P50172" s="5" t="s">
        <v>355</v>
      </c>
      <c r="Q50172" s="5" t="s">
        <v>355</v>
      </c>
    </row>
    <row r="50173" ht="16.5" customHeight="1">
      <c r="O50173" s="5" t="s">
        <v>355</v>
      </c>
      <c r="P50173" s="5" t="s">
        <v>355</v>
      </c>
      <c r="Q50173" s="5" t="s">
        <v>355</v>
      </c>
    </row>
    <row r="50174" ht="16.5" customHeight="1">
      <c r="O50174" s="5" t="s">
        <v>355</v>
      </c>
      <c r="P50174" s="5" t="s">
        <v>355</v>
      </c>
      <c r="Q50174" s="5" t="s">
        <v>355</v>
      </c>
    </row>
    <row r="50175" ht="16.5" customHeight="1">
      <c r="O50175" s="5" t="s">
        <v>355</v>
      </c>
      <c r="P50175" s="5" t="s">
        <v>355</v>
      </c>
      <c r="Q50175" s="5" t="s">
        <v>355</v>
      </c>
    </row>
    <row r="50176" ht="16.5" customHeight="1">
      <c r="O50176" s="5" t="s">
        <v>355</v>
      </c>
      <c r="P50176" s="5" t="s">
        <v>355</v>
      </c>
      <c r="Q50176" s="5" t="s">
        <v>355</v>
      </c>
    </row>
    <row r="50177" ht="16.5" customHeight="1">
      <c r="O50177" s="5" t="s">
        <v>355</v>
      </c>
      <c r="P50177" s="5" t="s">
        <v>355</v>
      </c>
      <c r="Q50177" s="5" t="s">
        <v>355</v>
      </c>
    </row>
    <row r="50178" ht="16.5" customHeight="1">
      <c r="O50178" s="5" t="s">
        <v>355</v>
      </c>
      <c r="P50178" s="5" t="s">
        <v>355</v>
      </c>
      <c r="Q50178" s="5" t="s">
        <v>355</v>
      </c>
    </row>
    <row r="50179" ht="16.5" customHeight="1">
      <c r="O50179" s="5" t="s">
        <v>355</v>
      </c>
      <c r="P50179" s="5" t="s">
        <v>355</v>
      </c>
      <c r="Q50179" s="5" t="s">
        <v>355</v>
      </c>
    </row>
    <row r="50180" ht="16.5" customHeight="1">
      <c r="O50180" s="5" t="s">
        <v>355</v>
      </c>
      <c r="P50180" s="5" t="s">
        <v>355</v>
      </c>
      <c r="Q50180" s="5" t="s">
        <v>355</v>
      </c>
    </row>
    <row r="50181" ht="16.5" customHeight="1">
      <c r="O50181" s="5" t="s">
        <v>355</v>
      </c>
      <c r="P50181" s="5" t="s">
        <v>355</v>
      </c>
      <c r="Q50181" s="5" t="s">
        <v>355</v>
      </c>
    </row>
    <row r="50182" ht="16.5" customHeight="1">
      <c r="O50182" s="5" t="s">
        <v>355</v>
      </c>
      <c r="P50182" s="5" t="s">
        <v>355</v>
      </c>
      <c r="Q50182" s="5" t="s">
        <v>355</v>
      </c>
    </row>
    <row r="50183" ht="16.5" customHeight="1">
      <c r="O50183" s="5" t="s">
        <v>355</v>
      </c>
      <c r="P50183" s="5" t="s">
        <v>355</v>
      </c>
      <c r="Q50183" s="5" t="s">
        <v>355</v>
      </c>
    </row>
    <row r="50184" ht="16.5" customHeight="1">
      <c r="O50184" s="5" t="s">
        <v>355</v>
      </c>
      <c r="P50184" s="5" t="s">
        <v>355</v>
      </c>
      <c r="Q50184" s="5" t="s">
        <v>355</v>
      </c>
    </row>
    <row r="50185" ht="16.5" customHeight="1">
      <c r="O50185" s="5" t="s">
        <v>355</v>
      </c>
      <c r="P50185" s="5" t="s">
        <v>355</v>
      </c>
      <c r="Q50185" s="5" t="s">
        <v>355</v>
      </c>
    </row>
    <row r="50186" ht="16.5" customHeight="1">
      <c r="O50186" s="5" t="s">
        <v>355</v>
      </c>
      <c r="P50186" s="5" t="s">
        <v>355</v>
      </c>
      <c r="Q50186" s="5" t="s">
        <v>355</v>
      </c>
    </row>
    <row r="50187" ht="16.5" customHeight="1">
      <c r="O50187" s="5" t="s">
        <v>355</v>
      </c>
      <c r="P50187" s="5" t="s">
        <v>355</v>
      </c>
      <c r="Q50187" s="5" t="s">
        <v>355</v>
      </c>
    </row>
    <row r="50188" ht="16.5" customHeight="1">
      <c r="O50188" s="5" t="s">
        <v>355</v>
      </c>
      <c r="P50188" s="5" t="s">
        <v>355</v>
      </c>
      <c r="Q50188" s="5" t="s">
        <v>355</v>
      </c>
    </row>
    <row r="50189" ht="16.5" customHeight="1">
      <c r="O50189" s="5" t="s">
        <v>355</v>
      </c>
      <c r="P50189" s="5" t="s">
        <v>355</v>
      </c>
      <c r="Q50189" s="5" t="s">
        <v>355</v>
      </c>
    </row>
    <row r="50190" ht="16.5" customHeight="1">
      <c r="O50190" s="5" t="s">
        <v>355</v>
      </c>
      <c r="P50190" s="5" t="s">
        <v>355</v>
      </c>
      <c r="Q50190" s="5" t="s">
        <v>355</v>
      </c>
    </row>
    <row r="50191" ht="16.5" customHeight="1">
      <c r="O50191" s="5" t="s">
        <v>355</v>
      </c>
      <c r="P50191" s="5" t="s">
        <v>355</v>
      </c>
      <c r="Q50191" s="5" t="s">
        <v>355</v>
      </c>
    </row>
    <row r="50192" ht="16.5" customHeight="1">
      <c r="O50192" s="5" t="s">
        <v>355</v>
      </c>
      <c r="P50192" s="5" t="s">
        <v>355</v>
      </c>
      <c r="Q50192" s="5" t="s">
        <v>355</v>
      </c>
    </row>
    <row r="50193" ht="16.5" customHeight="1">
      <c r="O50193" s="5" t="s">
        <v>355</v>
      </c>
      <c r="P50193" s="5" t="s">
        <v>355</v>
      </c>
      <c r="Q50193" s="5" t="s">
        <v>355</v>
      </c>
    </row>
    <row r="50194" ht="16.5" customHeight="1">
      <c r="O50194" s="5" t="s">
        <v>355</v>
      </c>
      <c r="P50194" s="5" t="s">
        <v>355</v>
      </c>
      <c r="Q50194" s="5" t="s">
        <v>355</v>
      </c>
    </row>
    <row r="50195" ht="16.5" customHeight="1">
      <c r="O50195" s="5" t="s">
        <v>355</v>
      </c>
      <c r="P50195" s="5" t="s">
        <v>355</v>
      </c>
      <c r="Q50195" s="5" t="s">
        <v>355</v>
      </c>
    </row>
    <row r="50196" ht="16.5" customHeight="1">
      <c r="O50196" s="5" t="s">
        <v>355</v>
      </c>
      <c r="P50196" s="5" t="s">
        <v>355</v>
      </c>
      <c r="Q50196" s="5" t="s">
        <v>355</v>
      </c>
    </row>
    <row r="50197" ht="16.5" customHeight="1">
      <c r="O50197" s="5" t="s">
        <v>355</v>
      </c>
      <c r="P50197" s="5" t="s">
        <v>355</v>
      </c>
      <c r="Q50197" s="5" t="s">
        <v>355</v>
      </c>
    </row>
    <row r="50198" ht="16.5" customHeight="1">
      <c r="O50198" s="5" t="s">
        <v>355</v>
      </c>
      <c r="P50198" s="5" t="s">
        <v>355</v>
      </c>
      <c r="Q50198" s="5" t="s">
        <v>355</v>
      </c>
    </row>
    <row r="50199" ht="16.5" customHeight="1">
      <c r="O50199" s="5" t="s">
        <v>355</v>
      </c>
      <c r="P50199" s="5" t="s">
        <v>355</v>
      </c>
      <c r="Q50199" s="5" t="s">
        <v>355</v>
      </c>
    </row>
    <row r="50200" ht="16.5" customHeight="1">
      <c r="O50200" s="5" t="s">
        <v>355</v>
      </c>
      <c r="P50200" s="5" t="s">
        <v>355</v>
      </c>
      <c r="Q50200" s="5" t="s">
        <v>355</v>
      </c>
    </row>
    <row r="50201" ht="16.5" customHeight="1">
      <c r="O50201" s="5" t="s">
        <v>355</v>
      </c>
      <c r="P50201" s="5" t="s">
        <v>355</v>
      </c>
      <c r="Q50201" s="5" t="s">
        <v>355</v>
      </c>
    </row>
    <row r="50202" ht="16.5" customHeight="1">
      <c r="O50202" s="5" t="s">
        <v>355</v>
      </c>
      <c r="P50202" s="5" t="s">
        <v>355</v>
      </c>
      <c r="Q50202" s="5" t="s">
        <v>355</v>
      </c>
    </row>
    <row r="50203" ht="16.5" customHeight="1">
      <c r="O50203" s="5" t="s">
        <v>355</v>
      </c>
      <c r="P50203" s="5" t="s">
        <v>355</v>
      </c>
      <c r="Q50203" s="5" t="s">
        <v>355</v>
      </c>
    </row>
    <row r="50204" ht="16.5" customHeight="1">
      <c r="O50204" s="5" t="s">
        <v>355</v>
      </c>
      <c r="P50204" s="5" t="s">
        <v>355</v>
      </c>
      <c r="Q50204" s="5" t="s">
        <v>355</v>
      </c>
    </row>
    <row r="50205" ht="16.5" customHeight="1">
      <c r="O50205" s="5" t="s">
        <v>355</v>
      </c>
      <c r="P50205" s="5" t="s">
        <v>355</v>
      </c>
      <c r="Q50205" s="5" t="s">
        <v>355</v>
      </c>
    </row>
    <row r="50206" ht="16.5" customHeight="1">
      <c r="O50206" s="5" t="s">
        <v>355</v>
      </c>
      <c r="P50206" s="5" t="s">
        <v>355</v>
      </c>
      <c r="Q50206" s="5" t="s">
        <v>355</v>
      </c>
    </row>
    <row r="50207" ht="16.5" customHeight="1">
      <c r="O50207" s="5" t="s">
        <v>355</v>
      </c>
      <c r="P50207" s="5" t="s">
        <v>355</v>
      </c>
      <c r="Q50207" s="5" t="s">
        <v>355</v>
      </c>
    </row>
    <row r="50208" ht="16.5" customHeight="1">
      <c r="O50208" s="5" t="s">
        <v>355</v>
      </c>
      <c r="P50208" s="5" t="s">
        <v>355</v>
      </c>
      <c r="Q50208" s="5" t="s">
        <v>355</v>
      </c>
    </row>
    <row r="50209" ht="16.5" customHeight="1">
      <c r="O50209" s="5" t="s">
        <v>355</v>
      </c>
      <c r="P50209" s="5" t="s">
        <v>355</v>
      </c>
      <c r="Q50209" s="5" t="s">
        <v>355</v>
      </c>
    </row>
    <row r="50210" ht="16.5" customHeight="1">
      <c r="O50210" s="5" t="s">
        <v>355</v>
      </c>
      <c r="P50210" s="5" t="s">
        <v>355</v>
      </c>
      <c r="Q50210" s="5" t="s">
        <v>355</v>
      </c>
    </row>
    <row r="50211" ht="16.5" customHeight="1">
      <c r="O50211" s="5" t="s">
        <v>355</v>
      </c>
      <c r="P50211" s="5" t="s">
        <v>355</v>
      </c>
      <c r="Q50211" s="5" t="s">
        <v>355</v>
      </c>
    </row>
    <row r="50212" ht="16.5" customHeight="1">
      <c r="O50212" s="5" t="s">
        <v>355</v>
      </c>
      <c r="P50212" s="5" t="s">
        <v>355</v>
      </c>
      <c r="Q50212" s="5" t="s">
        <v>355</v>
      </c>
    </row>
    <row r="50213" ht="16.5" customHeight="1">
      <c r="O50213" s="5" t="s">
        <v>355</v>
      </c>
      <c r="P50213" s="5" t="s">
        <v>355</v>
      </c>
      <c r="Q50213" s="5" t="s">
        <v>355</v>
      </c>
    </row>
    <row r="50214" ht="16.5" customHeight="1">
      <c r="O50214" s="5" t="s">
        <v>355</v>
      </c>
      <c r="P50214" s="5" t="s">
        <v>355</v>
      </c>
      <c r="Q50214" s="5" t="s">
        <v>355</v>
      </c>
    </row>
    <row r="50215" ht="16.5" customHeight="1">
      <c r="O50215" s="5" t="s">
        <v>355</v>
      </c>
      <c r="P50215" s="5" t="s">
        <v>355</v>
      </c>
      <c r="Q50215" s="5" t="s">
        <v>355</v>
      </c>
    </row>
    <row r="50216" ht="16.5" customHeight="1">
      <c r="O50216" s="5" t="s">
        <v>355</v>
      </c>
      <c r="P50216" s="5" t="s">
        <v>355</v>
      </c>
      <c r="Q50216" s="5" t="s">
        <v>355</v>
      </c>
    </row>
    <row r="50217" ht="16.5" customHeight="1">
      <c r="O50217" s="5" t="s">
        <v>355</v>
      </c>
      <c r="P50217" s="5" t="s">
        <v>355</v>
      </c>
      <c r="Q50217" s="5" t="s">
        <v>355</v>
      </c>
    </row>
    <row r="50218" ht="16.5" customHeight="1">
      <c r="O50218" s="5" t="s">
        <v>355</v>
      </c>
      <c r="P50218" s="5" t="s">
        <v>355</v>
      </c>
      <c r="Q50218" s="5" t="s">
        <v>355</v>
      </c>
    </row>
    <row r="50219" ht="16.5" customHeight="1">
      <c r="O50219" s="5" t="s">
        <v>355</v>
      </c>
      <c r="P50219" s="5" t="s">
        <v>355</v>
      </c>
      <c r="Q50219" s="5" t="s">
        <v>355</v>
      </c>
    </row>
    <row r="50220" ht="16.5" customHeight="1">
      <c r="O50220" s="5" t="s">
        <v>355</v>
      </c>
      <c r="P50220" s="5" t="s">
        <v>355</v>
      </c>
      <c r="Q50220" s="5" t="s">
        <v>355</v>
      </c>
    </row>
    <row r="50221" ht="16.5" customHeight="1">
      <c r="O50221" s="5" t="s">
        <v>355</v>
      </c>
      <c r="P50221" s="5" t="s">
        <v>355</v>
      </c>
      <c r="Q50221" s="5" t="s">
        <v>355</v>
      </c>
    </row>
    <row r="50222" ht="16.5" customHeight="1">
      <c r="O50222" s="5" t="s">
        <v>355</v>
      </c>
      <c r="P50222" s="5" t="s">
        <v>355</v>
      </c>
      <c r="Q50222" s="5" t="s">
        <v>355</v>
      </c>
    </row>
    <row r="50223" ht="16.5" customHeight="1">
      <c r="O50223" s="5" t="s">
        <v>355</v>
      </c>
      <c r="P50223" s="5" t="s">
        <v>355</v>
      </c>
      <c r="Q50223" s="5" t="s">
        <v>355</v>
      </c>
    </row>
    <row r="50224" ht="16.5" customHeight="1">
      <c r="O50224" s="5" t="s">
        <v>355</v>
      </c>
      <c r="P50224" s="5" t="s">
        <v>355</v>
      </c>
      <c r="Q50224" s="5" t="s">
        <v>355</v>
      </c>
    </row>
    <row r="50225" ht="16.5" customHeight="1">
      <c r="O50225" s="5" t="s">
        <v>355</v>
      </c>
      <c r="P50225" s="5" t="s">
        <v>355</v>
      </c>
      <c r="Q50225" s="5" t="s">
        <v>355</v>
      </c>
    </row>
    <row r="50226" ht="16.5" customHeight="1">
      <c r="O50226" s="5" t="s">
        <v>355</v>
      </c>
      <c r="P50226" s="5" t="s">
        <v>355</v>
      </c>
      <c r="Q50226" s="5" t="s">
        <v>355</v>
      </c>
    </row>
    <row r="50227" ht="16.5" customHeight="1">
      <c r="O50227" s="5" t="s">
        <v>355</v>
      </c>
      <c r="P50227" s="5" t="s">
        <v>355</v>
      </c>
      <c r="Q50227" s="5" t="s">
        <v>355</v>
      </c>
    </row>
    <row r="50228" ht="16.5" customHeight="1">
      <c r="O50228" s="5" t="s">
        <v>355</v>
      </c>
      <c r="P50228" s="5" t="s">
        <v>355</v>
      </c>
      <c r="Q50228" s="5" t="s">
        <v>355</v>
      </c>
    </row>
    <row r="50229" ht="16.5" customHeight="1">
      <c r="O50229" s="5" t="s">
        <v>355</v>
      </c>
      <c r="P50229" s="5" t="s">
        <v>355</v>
      </c>
      <c r="Q50229" s="5" t="s">
        <v>355</v>
      </c>
    </row>
    <row r="50230" ht="16.5" customHeight="1">
      <c r="O50230" s="5" t="s">
        <v>355</v>
      </c>
      <c r="P50230" s="5" t="s">
        <v>355</v>
      </c>
      <c r="Q50230" s="5" t="s">
        <v>355</v>
      </c>
    </row>
    <row r="50231" ht="16.5" customHeight="1">
      <c r="O50231" s="5" t="s">
        <v>355</v>
      </c>
      <c r="P50231" s="5" t="s">
        <v>355</v>
      </c>
      <c r="Q50231" s="5" t="s">
        <v>355</v>
      </c>
    </row>
    <row r="50232" ht="16.5" customHeight="1">
      <c r="O50232" s="5" t="s">
        <v>355</v>
      </c>
      <c r="P50232" s="5" t="s">
        <v>355</v>
      </c>
      <c r="Q50232" s="5" t="s">
        <v>355</v>
      </c>
    </row>
    <row r="50233" ht="16.5" customHeight="1">
      <c r="O50233" s="5" t="s">
        <v>355</v>
      </c>
      <c r="P50233" s="5" t="s">
        <v>355</v>
      </c>
      <c r="Q50233" s="5" t="s">
        <v>355</v>
      </c>
    </row>
    <row r="50234" ht="16.5" customHeight="1">
      <c r="O50234" s="5" t="s">
        <v>355</v>
      </c>
      <c r="P50234" s="5" t="s">
        <v>355</v>
      </c>
      <c r="Q50234" s="5" t="s">
        <v>355</v>
      </c>
    </row>
    <row r="50235" ht="16.5" customHeight="1">
      <c r="O50235" s="5" t="s">
        <v>355</v>
      </c>
      <c r="P50235" s="5" t="s">
        <v>355</v>
      </c>
      <c r="Q50235" s="5" t="s">
        <v>355</v>
      </c>
    </row>
    <row r="50236" ht="16.5" customHeight="1">
      <c r="O50236" s="5" t="s">
        <v>355</v>
      </c>
      <c r="P50236" s="5" t="s">
        <v>355</v>
      </c>
      <c r="Q50236" s="5" t="s">
        <v>355</v>
      </c>
    </row>
    <row r="50237" ht="16.5" customHeight="1">
      <c r="O50237" s="5" t="s">
        <v>355</v>
      </c>
      <c r="P50237" s="5" t="s">
        <v>355</v>
      </c>
      <c r="Q50237" s="5" t="s">
        <v>355</v>
      </c>
    </row>
    <row r="50238" ht="16.5" customHeight="1">
      <c r="O50238" s="5" t="s">
        <v>355</v>
      </c>
      <c r="P50238" s="5" t="s">
        <v>355</v>
      </c>
      <c r="Q50238" s="5" t="s">
        <v>355</v>
      </c>
    </row>
    <row r="50239" ht="16.5" customHeight="1">
      <c r="O50239" s="5" t="s">
        <v>355</v>
      </c>
      <c r="P50239" s="5" t="s">
        <v>355</v>
      </c>
      <c r="Q50239" s="5" t="s">
        <v>355</v>
      </c>
    </row>
    <row r="50240" ht="16.5" customHeight="1">
      <c r="O50240" s="5" t="s">
        <v>355</v>
      </c>
      <c r="P50240" s="5" t="s">
        <v>355</v>
      </c>
      <c r="Q50240" s="5" t="s">
        <v>355</v>
      </c>
    </row>
    <row r="50241" ht="16.5" customHeight="1">
      <c r="O50241" s="5" t="s">
        <v>355</v>
      </c>
      <c r="P50241" s="5" t="s">
        <v>355</v>
      </c>
      <c r="Q50241" s="5" t="s">
        <v>355</v>
      </c>
    </row>
    <row r="50242" ht="16.5" customHeight="1">
      <c r="O50242" s="5" t="s">
        <v>355</v>
      </c>
      <c r="P50242" s="5" t="s">
        <v>355</v>
      </c>
      <c r="Q50242" s="5" t="s">
        <v>355</v>
      </c>
    </row>
    <row r="50243" ht="16.5" customHeight="1">
      <c r="O50243" s="5" t="s">
        <v>355</v>
      </c>
      <c r="P50243" s="5" t="s">
        <v>355</v>
      </c>
      <c r="Q50243" s="5" t="s">
        <v>355</v>
      </c>
    </row>
    <row r="50244" ht="16.5" customHeight="1">
      <c r="O50244" s="5" t="s">
        <v>355</v>
      </c>
      <c r="P50244" s="5" t="s">
        <v>355</v>
      </c>
      <c r="Q50244" s="5" t="s">
        <v>355</v>
      </c>
    </row>
    <row r="50245" ht="16.5" customHeight="1">
      <c r="O50245" s="5" t="s">
        <v>355</v>
      </c>
      <c r="P50245" s="5" t="s">
        <v>355</v>
      </c>
      <c r="Q50245" s="5" t="s">
        <v>355</v>
      </c>
    </row>
    <row r="50246" ht="16.5" customHeight="1">
      <c r="O50246" s="5" t="s">
        <v>355</v>
      </c>
      <c r="P50246" s="5" t="s">
        <v>355</v>
      </c>
      <c r="Q50246" s="5" t="s">
        <v>355</v>
      </c>
    </row>
    <row r="50247" ht="16.5" customHeight="1">
      <c r="O50247" s="5" t="s">
        <v>355</v>
      </c>
      <c r="P50247" s="5" t="s">
        <v>355</v>
      </c>
      <c r="Q50247" s="5" t="s">
        <v>355</v>
      </c>
    </row>
    <row r="50248" ht="16.5" customHeight="1">
      <c r="O50248" s="5" t="s">
        <v>355</v>
      </c>
      <c r="P50248" s="5" t="s">
        <v>355</v>
      </c>
      <c r="Q50248" s="5" t="s">
        <v>355</v>
      </c>
    </row>
    <row r="50249" ht="16.5" customHeight="1">
      <c r="O50249" s="5" t="s">
        <v>355</v>
      </c>
      <c r="P50249" s="5" t="s">
        <v>355</v>
      </c>
      <c r="Q50249" s="5" t="s">
        <v>355</v>
      </c>
    </row>
    <row r="50250" ht="16.5" customHeight="1">
      <c r="O50250" s="5" t="s">
        <v>355</v>
      </c>
      <c r="P50250" s="5" t="s">
        <v>355</v>
      </c>
      <c r="Q50250" s="5" t="s">
        <v>355</v>
      </c>
    </row>
    <row r="50251" ht="16.5" customHeight="1">
      <c r="O50251" s="5" t="s">
        <v>355</v>
      </c>
      <c r="P50251" s="5" t="s">
        <v>355</v>
      </c>
      <c r="Q50251" s="5" t="s">
        <v>355</v>
      </c>
    </row>
    <row r="50252" ht="16.5" customHeight="1">
      <c r="O50252" s="5" t="s">
        <v>355</v>
      </c>
      <c r="P50252" s="5" t="s">
        <v>355</v>
      </c>
      <c r="Q50252" s="5" t="s">
        <v>355</v>
      </c>
    </row>
    <row r="50253" ht="16.5" customHeight="1">
      <c r="O50253" s="5" t="s">
        <v>355</v>
      </c>
      <c r="P50253" s="5" t="s">
        <v>355</v>
      </c>
      <c r="Q50253" s="5" t="s">
        <v>355</v>
      </c>
    </row>
    <row r="50254" ht="16.5" customHeight="1">
      <c r="O50254" s="5" t="s">
        <v>355</v>
      </c>
      <c r="P50254" s="5" t="s">
        <v>355</v>
      </c>
      <c r="Q50254" s="5" t="s">
        <v>355</v>
      </c>
    </row>
    <row r="50255" ht="16.5" customHeight="1">
      <c r="O50255" s="5" t="s">
        <v>355</v>
      </c>
      <c r="P50255" s="5" t="s">
        <v>355</v>
      </c>
      <c r="Q50255" s="5" t="s">
        <v>355</v>
      </c>
    </row>
    <row r="50256" ht="16.5" customHeight="1">
      <c r="O50256" s="5" t="s">
        <v>355</v>
      </c>
      <c r="P50256" s="5" t="s">
        <v>355</v>
      </c>
      <c r="Q50256" s="5" t="s">
        <v>355</v>
      </c>
    </row>
    <row r="50257" ht="16.5" customHeight="1">
      <c r="O50257" s="5" t="s">
        <v>355</v>
      </c>
      <c r="P50257" s="5" t="s">
        <v>355</v>
      </c>
      <c r="Q50257" s="5" t="s">
        <v>355</v>
      </c>
    </row>
    <row r="50258" ht="16.5" customHeight="1">
      <c r="O50258" s="5" t="s">
        <v>355</v>
      </c>
      <c r="P50258" s="5" t="s">
        <v>355</v>
      </c>
      <c r="Q50258" s="5" t="s">
        <v>355</v>
      </c>
    </row>
    <row r="50259" ht="16.5" customHeight="1">
      <c r="O50259" s="5" t="s">
        <v>355</v>
      </c>
      <c r="P50259" s="5" t="s">
        <v>355</v>
      </c>
      <c r="Q50259" s="5" t="s">
        <v>355</v>
      </c>
    </row>
    <row r="50260" ht="16.5" customHeight="1">
      <c r="O50260" s="5" t="s">
        <v>355</v>
      </c>
      <c r="P50260" s="5" t="s">
        <v>355</v>
      </c>
      <c r="Q50260" s="5" t="s">
        <v>355</v>
      </c>
    </row>
    <row r="50261" ht="16.5" customHeight="1">
      <c r="O50261" s="5" t="s">
        <v>355</v>
      </c>
      <c r="P50261" s="5" t="s">
        <v>355</v>
      </c>
      <c r="Q50261" s="5" t="s">
        <v>355</v>
      </c>
    </row>
    <row r="50262" ht="16.5" customHeight="1">
      <c r="O50262" s="5" t="s">
        <v>355</v>
      </c>
      <c r="P50262" s="5" t="s">
        <v>355</v>
      </c>
      <c r="Q50262" s="5" t="s">
        <v>355</v>
      </c>
    </row>
    <row r="50263" ht="16.5" customHeight="1">
      <c r="O50263" s="5" t="s">
        <v>355</v>
      </c>
      <c r="P50263" s="5" t="s">
        <v>355</v>
      </c>
      <c r="Q50263" s="5" t="s">
        <v>355</v>
      </c>
    </row>
    <row r="50264" ht="16.5" customHeight="1">
      <c r="O50264" s="5" t="s">
        <v>355</v>
      </c>
      <c r="P50264" s="5" t="s">
        <v>355</v>
      </c>
      <c r="Q50264" s="5" t="s">
        <v>355</v>
      </c>
    </row>
    <row r="50265" ht="16.5" customHeight="1">
      <c r="O50265" s="5" t="s">
        <v>355</v>
      </c>
      <c r="P50265" s="5" t="s">
        <v>355</v>
      </c>
      <c r="Q50265" s="5" t="s">
        <v>355</v>
      </c>
    </row>
    <row r="50266" ht="16.5" customHeight="1">
      <c r="O50266" s="5" t="s">
        <v>355</v>
      </c>
      <c r="P50266" s="5" t="s">
        <v>355</v>
      </c>
      <c r="Q50266" s="5" t="s">
        <v>355</v>
      </c>
    </row>
    <row r="50267" ht="16.5" customHeight="1">
      <c r="O50267" s="5" t="s">
        <v>355</v>
      </c>
      <c r="P50267" s="5" t="s">
        <v>355</v>
      </c>
      <c r="Q50267" s="5" t="s">
        <v>355</v>
      </c>
    </row>
    <row r="50268" ht="16.5" customHeight="1">
      <c r="O50268" s="5" t="s">
        <v>355</v>
      </c>
      <c r="P50268" s="5" t="s">
        <v>355</v>
      </c>
      <c r="Q50268" s="5" t="s">
        <v>355</v>
      </c>
    </row>
    <row r="50269" ht="16.5" customHeight="1">
      <c r="O50269" s="5" t="s">
        <v>355</v>
      </c>
      <c r="P50269" s="5" t="s">
        <v>355</v>
      </c>
      <c r="Q50269" s="5" t="s">
        <v>355</v>
      </c>
    </row>
    <row r="50270" ht="16.5" customHeight="1">
      <c r="O50270" s="5" t="s">
        <v>355</v>
      </c>
      <c r="P50270" s="5" t="s">
        <v>355</v>
      </c>
      <c r="Q50270" s="5" t="s">
        <v>355</v>
      </c>
    </row>
    <row r="50271" ht="16.5" customHeight="1">
      <c r="O50271" s="5" t="s">
        <v>355</v>
      </c>
      <c r="P50271" s="5" t="s">
        <v>355</v>
      </c>
      <c r="Q50271" s="5" t="s">
        <v>355</v>
      </c>
    </row>
    <row r="50272" ht="16.5" customHeight="1">
      <c r="O50272" s="5" t="s">
        <v>355</v>
      </c>
      <c r="P50272" s="5" t="s">
        <v>355</v>
      </c>
      <c r="Q50272" s="5" t="s">
        <v>355</v>
      </c>
    </row>
    <row r="50273" ht="16.5" customHeight="1">
      <c r="O50273" s="5" t="s">
        <v>355</v>
      </c>
      <c r="P50273" s="5" t="s">
        <v>355</v>
      </c>
      <c r="Q50273" s="5" t="s">
        <v>355</v>
      </c>
    </row>
    <row r="50274" ht="16.5" customHeight="1">
      <c r="O50274" s="5" t="s">
        <v>355</v>
      </c>
      <c r="P50274" s="5" t="s">
        <v>355</v>
      </c>
      <c r="Q50274" s="5" t="s">
        <v>355</v>
      </c>
    </row>
    <row r="50275" ht="16.5" customHeight="1">
      <c r="O50275" s="5" t="s">
        <v>355</v>
      </c>
      <c r="P50275" s="5" t="s">
        <v>355</v>
      </c>
      <c r="Q50275" s="5" t="s">
        <v>355</v>
      </c>
    </row>
    <row r="50276" ht="16.5" customHeight="1">
      <c r="O50276" s="5" t="s">
        <v>355</v>
      </c>
      <c r="P50276" s="5" t="s">
        <v>355</v>
      </c>
      <c r="Q50276" s="5" t="s">
        <v>355</v>
      </c>
    </row>
    <row r="50277" ht="16.5" customHeight="1">
      <c r="O50277" s="5" t="s">
        <v>355</v>
      </c>
      <c r="P50277" s="5" t="s">
        <v>355</v>
      </c>
      <c r="Q50277" s="5" t="s">
        <v>355</v>
      </c>
    </row>
    <row r="50278" ht="16.5" customHeight="1">
      <c r="O50278" s="5" t="s">
        <v>355</v>
      </c>
      <c r="P50278" s="5" t="s">
        <v>355</v>
      </c>
      <c r="Q50278" s="5" t="s">
        <v>355</v>
      </c>
    </row>
    <row r="50279" ht="16.5" customHeight="1">
      <c r="O50279" s="5" t="s">
        <v>355</v>
      </c>
      <c r="P50279" s="5" t="s">
        <v>355</v>
      </c>
      <c r="Q50279" s="5" t="s">
        <v>355</v>
      </c>
    </row>
    <row r="50280" ht="16.5" customHeight="1">
      <c r="O50280" s="5" t="s">
        <v>355</v>
      </c>
      <c r="P50280" s="5" t="s">
        <v>355</v>
      </c>
      <c r="Q50280" s="5" t="s">
        <v>355</v>
      </c>
    </row>
    <row r="50281" ht="16.5" customHeight="1">
      <c r="O50281" s="5" t="s">
        <v>355</v>
      </c>
      <c r="P50281" s="5" t="s">
        <v>355</v>
      </c>
      <c r="Q50281" s="5" t="s">
        <v>355</v>
      </c>
    </row>
    <row r="50282" ht="16.5" customHeight="1">
      <c r="O50282" s="5" t="s">
        <v>355</v>
      </c>
      <c r="P50282" s="5" t="s">
        <v>355</v>
      </c>
      <c r="Q50282" s="5" t="s">
        <v>355</v>
      </c>
    </row>
    <row r="50283" ht="16.5" customHeight="1">
      <c r="O50283" s="5" t="s">
        <v>355</v>
      </c>
      <c r="P50283" s="5" t="s">
        <v>355</v>
      </c>
      <c r="Q50283" s="5" t="s">
        <v>355</v>
      </c>
    </row>
    <row r="50284" ht="16.5" customHeight="1">
      <c r="O50284" s="5" t="s">
        <v>355</v>
      </c>
      <c r="P50284" s="5" t="s">
        <v>355</v>
      </c>
      <c r="Q50284" s="5" t="s">
        <v>355</v>
      </c>
    </row>
    <row r="50285" ht="16.5" customHeight="1">
      <c r="O50285" s="5" t="s">
        <v>355</v>
      </c>
      <c r="P50285" s="5" t="s">
        <v>355</v>
      </c>
      <c r="Q50285" s="5" t="s">
        <v>355</v>
      </c>
    </row>
    <row r="50286" ht="16.5" customHeight="1">
      <c r="O50286" s="5" t="s">
        <v>355</v>
      </c>
      <c r="P50286" s="5" t="s">
        <v>355</v>
      </c>
      <c r="Q50286" s="5" t="s">
        <v>355</v>
      </c>
    </row>
    <row r="50287" ht="16.5" customHeight="1">
      <c r="O50287" s="5" t="s">
        <v>355</v>
      </c>
      <c r="P50287" s="5" t="s">
        <v>355</v>
      </c>
      <c r="Q50287" s="5" t="s">
        <v>355</v>
      </c>
    </row>
    <row r="50288" ht="16.5" customHeight="1">
      <c r="O50288" s="5" t="s">
        <v>355</v>
      </c>
      <c r="P50288" s="5" t="s">
        <v>355</v>
      </c>
      <c r="Q50288" s="5" t="s">
        <v>355</v>
      </c>
    </row>
    <row r="50289" ht="16.5" customHeight="1">
      <c r="O50289" s="5" t="s">
        <v>355</v>
      </c>
      <c r="P50289" s="5" t="s">
        <v>355</v>
      </c>
      <c r="Q50289" s="5" t="s">
        <v>355</v>
      </c>
    </row>
    <row r="50290" ht="16.5" customHeight="1">
      <c r="O50290" s="5" t="s">
        <v>355</v>
      </c>
      <c r="P50290" s="5" t="s">
        <v>355</v>
      </c>
      <c r="Q50290" s="5" t="s">
        <v>355</v>
      </c>
    </row>
    <row r="50291" ht="16.5" customHeight="1">
      <c r="O50291" s="5" t="s">
        <v>355</v>
      </c>
      <c r="P50291" s="5" t="s">
        <v>355</v>
      </c>
      <c r="Q50291" s="5" t="s">
        <v>355</v>
      </c>
    </row>
    <row r="50292" ht="16.5" customHeight="1">
      <c r="O50292" s="5" t="s">
        <v>355</v>
      </c>
      <c r="P50292" s="5" t="s">
        <v>355</v>
      </c>
      <c r="Q50292" s="5" t="s">
        <v>355</v>
      </c>
    </row>
    <row r="50293" ht="16.5" customHeight="1">
      <c r="O50293" s="5" t="s">
        <v>355</v>
      </c>
      <c r="P50293" s="5" t="s">
        <v>355</v>
      </c>
      <c r="Q50293" s="5" t="s">
        <v>355</v>
      </c>
    </row>
    <row r="50294" ht="16.5" customHeight="1">
      <c r="O50294" s="5" t="s">
        <v>355</v>
      </c>
      <c r="P50294" s="5" t="s">
        <v>355</v>
      </c>
      <c r="Q50294" s="5" t="s">
        <v>355</v>
      </c>
    </row>
    <row r="50295" ht="16.5" customHeight="1">
      <c r="O50295" s="5" t="s">
        <v>355</v>
      </c>
      <c r="P50295" s="5" t="s">
        <v>355</v>
      </c>
      <c r="Q50295" s="5" t="s">
        <v>355</v>
      </c>
    </row>
    <row r="50296" ht="16.5" customHeight="1">
      <c r="O50296" s="5" t="s">
        <v>355</v>
      </c>
      <c r="P50296" s="5" t="s">
        <v>355</v>
      </c>
      <c r="Q50296" s="5" t="s">
        <v>355</v>
      </c>
    </row>
    <row r="50297" ht="16.5" customHeight="1">
      <c r="O50297" s="5" t="s">
        <v>355</v>
      </c>
      <c r="P50297" s="5" t="s">
        <v>355</v>
      </c>
      <c r="Q50297" s="5" t="s">
        <v>355</v>
      </c>
    </row>
    <row r="50298" ht="16.5" customHeight="1">
      <c r="O50298" s="5" t="s">
        <v>355</v>
      </c>
      <c r="P50298" s="5" t="s">
        <v>355</v>
      </c>
      <c r="Q50298" s="5" t="s">
        <v>355</v>
      </c>
    </row>
    <row r="50299" ht="16.5" customHeight="1">
      <c r="O50299" s="5" t="s">
        <v>355</v>
      </c>
      <c r="P50299" s="5" t="s">
        <v>355</v>
      </c>
      <c r="Q50299" s="5" t="s">
        <v>355</v>
      </c>
    </row>
    <row r="50300" ht="16.5" customHeight="1">
      <c r="O50300" s="5" t="s">
        <v>355</v>
      </c>
      <c r="P50300" s="5" t="s">
        <v>355</v>
      </c>
      <c r="Q50300" s="5" t="s">
        <v>355</v>
      </c>
    </row>
    <row r="50301" ht="16.5" customHeight="1">
      <c r="O50301" s="5" t="s">
        <v>355</v>
      </c>
      <c r="P50301" s="5" t="s">
        <v>355</v>
      </c>
      <c r="Q50301" s="5" t="s">
        <v>355</v>
      </c>
    </row>
    <row r="50302" ht="16.5" customHeight="1">
      <c r="O50302" s="5" t="s">
        <v>355</v>
      </c>
      <c r="P50302" s="5" t="s">
        <v>355</v>
      </c>
      <c r="Q50302" s="5" t="s">
        <v>355</v>
      </c>
    </row>
    <row r="50303" ht="16.5" customHeight="1">
      <c r="O50303" s="5" t="s">
        <v>355</v>
      </c>
      <c r="P50303" s="5" t="s">
        <v>355</v>
      </c>
      <c r="Q50303" s="5" t="s">
        <v>355</v>
      </c>
    </row>
    <row r="50304" ht="16.5" customHeight="1">
      <c r="O50304" s="5" t="s">
        <v>355</v>
      </c>
      <c r="P50304" s="5" t="s">
        <v>355</v>
      </c>
      <c r="Q50304" s="5" t="s">
        <v>355</v>
      </c>
    </row>
    <row r="50305" ht="16.5" customHeight="1">
      <c r="O50305" s="5" t="s">
        <v>355</v>
      </c>
      <c r="P50305" s="5" t="s">
        <v>355</v>
      </c>
      <c r="Q50305" s="5" t="s">
        <v>355</v>
      </c>
    </row>
    <row r="50306" ht="16.5" customHeight="1">
      <c r="O50306" s="5" t="s">
        <v>355</v>
      </c>
      <c r="P50306" s="5" t="s">
        <v>355</v>
      </c>
      <c r="Q50306" s="5" t="s">
        <v>355</v>
      </c>
    </row>
    <row r="50307" ht="16.5" customHeight="1">
      <c r="O50307" s="5" t="s">
        <v>355</v>
      </c>
      <c r="P50307" s="5" t="s">
        <v>355</v>
      </c>
      <c r="Q50307" s="5" t="s">
        <v>355</v>
      </c>
    </row>
    <row r="50308" ht="16.5" customHeight="1">
      <c r="O50308" s="5" t="s">
        <v>355</v>
      </c>
      <c r="P50308" s="5" t="s">
        <v>355</v>
      </c>
      <c r="Q50308" s="5" t="s">
        <v>355</v>
      </c>
    </row>
    <row r="50309" ht="16.5" customHeight="1">
      <c r="O50309" s="5" t="s">
        <v>355</v>
      </c>
      <c r="P50309" s="5" t="s">
        <v>355</v>
      </c>
      <c r="Q50309" s="5" t="s">
        <v>355</v>
      </c>
    </row>
    <row r="50310" ht="16.5" customHeight="1">
      <c r="O50310" s="5" t="s">
        <v>355</v>
      </c>
      <c r="P50310" s="5" t="s">
        <v>355</v>
      </c>
      <c r="Q50310" s="5" t="s">
        <v>355</v>
      </c>
    </row>
    <row r="50311" ht="16.5" customHeight="1">
      <c r="O50311" s="5" t="s">
        <v>355</v>
      </c>
      <c r="P50311" s="5" t="s">
        <v>355</v>
      </c>
      <c r="Q50311" s="5" t="s">
        <v>355</v>
      </c>
    </row>
    <row r="50312" ht="16.5" customHeight="1">
      <c r="O50312" s="5" t="s">
        <v>355</v>
      </c>
      <c r="P50312" s="5" t="s">
        <v>355</v>
      </c>
      <c r="Q50312" s="5" t="s">
        <v>355</v>
      </c>
    </row>
    <row r="50313" ht="16.5" customHeight="1">
      <c r="O50313" s="5" t="s">
        <v>355</v>
      </c>
      <c r="P50313" s="5" t="s">
        <v>355</v>
      </c>
      <c r="Q50313" s="5" t="s">
        <v>355</v>
      </c>
    </row>
    <row r="50314" ht="16.5" customHeight="1">
      <c r="O50314" s="5" t="s">
        <v>355</v>
      </c>
      <c r="P50314" s="5" t="s">
        <v>355</v>
      </c>
      <c r="Q50314" s="5" t="s">
        <v>355</v>
      </c>
    </row>
    <row r="50315" ht="16.5" customHeight="1">
      <c r="O50315" s="5" t="s">
        <v>355</v>
      </c>
      <c r="P50315" s="5" t="s">
        <v>355</v>
      </c>
      <c r="Q50315" s="5" t="s">
        <v>355</v>
      </c>
    </row>
    <row r="50316" ht="16.5" customHeight="1">
      <c r="O50316" s="5" t="s">
        <v>355</v>
      </c>
      <c r="P50316" s="5" t="s">
        <v>355</v>
      </c>
      <c r="Q50316" s="5" t="s">
        <v>355</v>
      </c>
    </row>
    <row r="50317" ht="16.5" customHeight="1">
      <c r="O50317" s="5" t="s">
        <v>355</v>
      </c>
      <c r="P50317" s="5" t="s">
        <v>355</v>
      </c>
      <c r="Q50317" s="5" t="s">
        <v>355</v>
      </c>
    </row>
    <row r="50318" ht="16.5" customHeight="1">
      <c r="O50318" s="5" t="s">
        <v>355</v>
      </c>
      <c r="P50318" s="5" t="s">
        <v>355</v>
      </c>
      <c r="Q50318" s="5" t="s">
        <v>355</v>
      </c>
    </row>
    <row r="50319" ht="16.5" customHeight="1">
      <c r="O50319" s="5" t="s">
        <v>355</v>
      </c>
      <c r="P50319" s="5" t="s">
        <v>355</v>
      </c>
      <c r="Q50319" s="5" t="s">
        <v>355</v>
      </c>
    </row>
    <row r="50320" ht="16.5" customHeight="1">
      <c r="O50320" s="5" t="s">
        <v>355</v>
      </c>
      <c r="P50320" s="5" t="s">
        <v>355</v>
      </c>
      <c r="Q50320" s="5" t="s">
        <v>355</v>
      </c>
    </row>
    <row r="50321" ht="16.5" customHeight="1">
      <c r="O50321" s="5" t="s">
        <v>355</v>
      </c>
      <c r="P50321" s="5" t="s">
        <v>355</v>
      </c>
      <c r="Q50321" s="5" t="s">
        <v>355</v>
      </c>
    </row>
    <row r="50322" ht="16.5" customHeight="1">
      <c r="O50322" s="5" t="s">
        <v>355</v>
      </c>
      <c r="P50322" s="5" t="s">
        <v>355</v>
      </c>
      <c r="Q50322" s="5" t="s">
        <v>355</v>
      </c>
    </row>
    <row r="50323" ht="16.5" customHeight="1">
      <c r="O50323" s="5" t="s">
        <v>355</v>
      </c>
      <c r="P50323" s="5" t="s">
        <v>355</v>
      </c>
      <c r="Q50323" s="5" t="s">
        <v>355</v>
      </c>
    </row>
    <row r="50324" ht="16.5" customHeight="1">
      <c r="O50324" s="5" t="s">
        <v>355</v>
      </c>
      <c r="P50324" s="5" t="s">
        <v>355</v>
      </c>
      <c r="Q50324" s="5" t="s">
        <v>355</v>
      </c>
    </row>
    <row r="50325" ht="16.5" customHeight="1">
      <c r="O50325" s="5" t="s">
        <v>355</v>
      </c>
      <c r="P50325" s="5" t="s">
        <v>355</v>
      </c>
      <c r="Q50325" s="5" t="s">
        <v>355</v>
      </c>
    </row>
    <row r="50326" ht="16.5" customHeight="1">
      <c r="O50326" s="5" t="s">
        <v>355</v>
      </c>
      <c r="P50326" s="5" t="s">
        <v>355</v>
      </c>
      <c r="Q50326" s="5" t="s">
        <v>355</v>
      </c>
    </row>
    <row r="50327" ht="16.5" customHeight="1">
      <c r="O50327" s="5" t="s">
        <v>355</v>
      </c>
      <c r="P50327" s="5" t="s">
        <v>355</v>
      </c>
      <c r="Q50327" s="5" t="s">
        <v>355</v>
      </c>
    </row>
    <row r="50328" ht="16.5" customHeight="1">
      <c r="O50328" s="5" t="s">
        <v>355</v>
      </c>
      <c r="P50328" s="5" t="s">
        <v>355</v>
      </c>
      <c r="Q50328" s="5" t="s">
        <v>355</v>
      </c>
    </row>
    <row r="50329" ht="16.5" customHeight="1">
      <c r="O50329" s="5" t="s">
        <v>355</v>
      </c>
      <c r="P50329" s="5" t="s">
        <v>355</v>
      </c>
      <c r="Q50329" s="5" t="s">
        <v>355</v>
      </c>
    </row>
    <row r="50330" ht="16.5" customHeight="1">
      <c r="O50330" s="5" t="s">
        <v>355</v>
      </c>
      <c r="P50330" s="5" t="s">
        <v>355</v>
      </c>
      <c r="Q50330" s="5" t="s">
        <v>355</v>
      </c>
    </row>
    <row r="50331" ht="16.5" customHeight="1">
      <c r="O50331" s="5" t="s">
        <v>355</v>
      </c>
      <c r="P50331" s="5" t="s">
        <v>355</v>
      </c>
      <c r="Q50331" s="5" t="s">
        <v>355</v>
      </c>
    </row>
    <row r="50332" ht="16.5" customHeight="1">
      <c r="O50332" s="5" t="s">
        <v>355</v>
      </c>
      <c r="P50332" s="5" t="s">
        <v>355</v>
      </c>
      <c r="Q50332" s="5" t="s">
        <v>355</v>
      </c>
    </row>
    <row r="50333" ht="16.5" customHeight="1">
      <c r="O50333" s="5" t="s">
        <v>355</v>
      </c>
      <c r="P50333" s="5" t="s">
        <v>355</v>
      </c>
      <c r="Q50333" s="5" t="s">
        <v>355</v>
      </c>
    </row>
    <row r="50334" ht="16.5" customHeight="1">
      <c r="O50334" s="5" t="s">
        <v>355</v>
      </c>
      <c r="P50334" s="5" t="s">
        <v>355</v>
      </c>
      <c r="Q50334" s="5" t="s">
        <v>355</v>
      </c>
    </row>
    <row r="50335" ht="16.5" customHeight="1">
      <c r="O50335" s="5" t="s">
        <v>355</v>
      </c>
      <c r="P50335" s="5" t="s">
        <v>355</v>
      </c>
      <c r="Q50335" s="5" t="s">
        <v>355</v>
      </c>
    </row>
    <row r="50336" ht="16.5" customHeight="1">
      <c r="O50336" s="5" t="s">
        <v>355</v>
      </c>
      <c r="P50336" s="5" t="s">
        <v>355</v>
      </c>
      <c r="Q50336" s="5" t="s">
        <v>355</v>
      </c>
    </row>
    <row r="50337" ht="16.5" customHeight="1">
      <c r="O50337" s="5" t="s">
        <v>355</v>
      </c>
      <c r="P50337" s="5" t="s">
        <v>355</v>
      </c>
      <c r="Q50337" s="5" t="s">
        <v>355</v>
      </c>
    </row>
    <row r="50338" ht="16.5" customHeight="1">
      <c r="O50338" s="5" t="s">
        <v>355</v>
      </c>
      <c r="P50338" s="5" t="s">
        <v>355</v>
      </c>
      <c r="Q50338" s="5" t="s">
        <v>355</v>
      </c>
    </row>
    <row r="50339" ht="16.5" customHeight="1">
      <c r="O50339" s="5" t="s">
        <v>355</v>
      </c>
      <c r="P50339" s="5" t="s">
        <v>355</v>
      </c>
      <c r="Q50339" s="5" t="s">
        <v>355</v>
      </c>
    </row>
    <row r="50340" ht="16.5" customHeight="1">
      <c r="O50340" s="5" t="s">
        <v>355</v>
      </c>
      <c r="P50340" s="5" t="s">
        <v>355</v>
      </c>
      <c r="Q50340" s="5" t="s">
        <v>355</v>
      </c>
    </row>
    <row r="50341" ht="16.5" customHeight="1">
      <c r="O50341" s="5" t="s">
        <v>355</v>
      </c>
      <c r="P50341" s="5" t="s">
        <v>355</v>
      </c>
      <c r="Q50341" s="5" t="s">
        <v>355</v>
      </c>
    </row>
    <row r="50342" ht="16.5" customHeight="1">
      <c r="O50342" s="5" t="s">
        <v>355</v>
      </c>
      <c r="P50342" s="5" t="s">
        <v>355</v>
      </c>
      <c r="Q50342" s="5" t="s">
        <v>355</v>
      </c>
    </row>
    <row r="50343" ht="16.5" customHeight="1">
      <c r="O50343" s="5" t="s">
        <v>355</v>
      </c>
      <c r="P50343" s="5" t="s">
        <v>355</v>
      </c>
      <c r="Q50343" s="5" t="s">
        <v>355</v>
      </c>
    </row>
    <row r="50344" ht="16.5" customHeight="1">
      <c r="O50344" s="5" t="s">
        <v>355</v>
      </c>
      <c r="P50344" s="5" t="s">
        <v>355</v>
      </c>
      <c r="Q50344" s="5" t="s">
        <v>355</v>
      </c>
    </row>
    <row r="50345" ht="16.5" customHeight="1">
      <c r="O50345" s="5" t="s">
        <v>355</v>
      </c>
      <c r="P50345" s="5" t="s">
        <v>355</v>
      </c>
      <c r="Q50345" s="5" t="s">
        <v>355</v>
      </c>
    </row>
    <row r="50346" ht="16.5" customHeight="1">
      <c r="O50346" s="5" t="s">
        <v>355</v>
      </c>
      <c r="P50346" s="5" t="s">
        <v>355</v>
      </c>
      <c r="Q50346" s="5" t="s">
        <v>355</v>
      </c>
    </row>
    <row r="50347" ht="16.5" customHeight="1">
      <c r="O50347" s="5" t="s">
        <v>355</v>
      </c>
      <c r="P50347" s="5" t="s">
        <v>355</v>
      </c>
      <c r="Q50347" s="5" t="s">
        <v>355</v>
      </c>
    </row>
    <row r="50348" ht="16.5" customHeight="1">
      <c r="O50348" s="5" t="s">
        <v>355</v>
      </c>
      <c r="P50348" s="5" t="s">
        <v>355</v>
      </c>
      <c r="Q50348" s="5" t="s">
        <v>355</v>
      </c>
    </row>
    <row r="50349" ht="16.5" customHeight="1">
      <c r="O50349" s="5" t="s">
        <v>355</v>
      </c>
      <c r="P50349" s="5" t="s">
        <v>355</v>
      </c>
      <c r="Q50349" s="5" t="s">
        <v>355</v>
      </c>
    </row>
    <row r="50350" ht="16.5" customHeight="1">
      <c r="O50350" s="5" t="s">
        <v>355</v>
      </c>
      <c r="P50350" s="5" t="s">
        <v>355</v>
      </c>
      <c r="Q50350" s="5" t="s">
        <v>355</v>
      </c>
    </row>
    <row r="50351" ht="16.5" customHeight="1">
      <c r="O50351" s="5" t="s">
        <v>355</v>
      </c>
      <c r="P50351" s="5" t="s">
        <v>355</v>
      </c>
      <c r="Q50351" s="5" t="s">
        <v>355</v>
      </c>
    </row>
    <row r="50352" ht="16.5" customHeight="1">
      <c r="O50352" s="5" t="s">
        <v>355</v>
      </c>
      <c r="P50352" s="5" t="s">
        <v>355</v>
      </c>
      <c r="Q50352" s="5" t="s">
        <v>355</v>
      </c>
    </row>
    <row r="50353" ht="16.5" customHeight="1">
      <c r="O50353" s="5" t="s">
        <v>355</v>
      </c>
      <c r="P50353" s="5" t="s">
        <v>355</v>
      </c>
      <c r="Q50353" s="5" t="s">
        <v>355</v>
      </c>
    </row>
    <row r="50354" ht="16.5" customHeight="1">
      <c r="O50354" s="5" t="s">
        <v>355</v>
      </c>
      <c r="P50354" s="5" t="s">
        <v>355</v>
      </c>
      <c r="Q50354" s="5" t="s">
        <v>355</v>
      </c>
    </row>
    <row r="50355" ht="16.5" customHeight="1">
      <c r="O50355" s="5" t="s">
        <v>355</v>
      </c>
      <c r="P50355" s="5" t="s">
        <v>355</v>
      </c>
      <c r="Q50355" s="5" t="s">
        <v>355</v>
      </c>
    </row>
    <row r="50356" ht="16.5" customHeight="1">
      <c r="O50356" s="5" t="s">
        <v>355</v>
      </c>
      <c r="P50356" s="5" t="s">
        <v>355</v>
      </c>
      <c r="Q50356" s="5" t="s">
        <v>355</v>
      </c>
    </row>
    <row r="50357" ht="16.5" customHeight="1">
      <c r="O50357" s="5" t="s">
        <v>355</v>
      </c>
      <c r="P50357" s="5" t="s">
        <v>355</v>
      </c>
      <c r="Q50357" s="5" t="s">
        <v>355</v>
      </c>
    </row>
    <row r="50358" ht="16.5" customHeight="1">
      <c r="O50358" s="5" t="s">
        <v>355</v>
      </c>
      <c r="P50358" s="5" t="s">
        <v>355</v>
      </c>
      <c r="Q50358" s="5" t="s">
        <v>355</v>
      </c>
    </row>
    <row r="50359" ht="16.5" customHeight="1">
      <c r="O50359" s="5" t="s">
        <v>355</v>
      </c>
      <c r="P50359" s="5" t="s">
        <v>355</v>
      </c>
      <c r="Q50359" s="5" t="s">
        <v>355</v>
      </c>
    </row>
    <row r="50360" ht="16.5" customHeight="1">
      <c r="O50360" s="5" t="s">
        <v>355</v>
      </c>
      <c r="P50360" s="5" t="s">
        <v>355</v>
      </c>
      <c r="Q50360" s="5" t="s">
        <v>355</v>
      </c>
    </row>
    <row r="50361" ht="16.5" customHeight="1">
      <c r="O50361" s="5" t="s">
        <v>355</v>
      </c>
      <c r="P50361" s="5" t="s">
        <v>355</v>
      </c>
      <c r="Q50361" s="5" t="s">
        <v>355</v>
      </c>
    </row>
    <row r="50362" ht="16.5" customHeight="1">
      <c r="O50362" s="5" t="s">
        <v>355</v>
      </c>
      <c r="P50362" s="5" t="s">
        <v>355</v>
      </c>
      <c r="Q50362" s="5" t="s">
        <v>355</v>
      </c>
    </row>
    <row r="50363" ht="16.5" customHeight="1">
      <c r="O50363" s="5" t="s">
        <v>355</v>
      </c>
      <c r="P50363" s="5" t="s">
        <v>355</v>
      </c>
      <c r="Q50363" s="5" t="s">
        <v>355</v>
      </c>
    </row>
    <row r="50364" ht="16.5" customHeight="1">
      <c r="O50364" s="5" t="s">
        <v>355</v>
      </c>
      <c r="P50364" s="5" t="s">
        <v>355</v>
      </c>
      <c r="Q50364" s="5" t="s">
        <v>355</v>
      </c>
    </row>
    <row r="50365" ht="16.5" customHeight="1">
      <c r="O50365" s="5" t="s">
        <v>355</v>
      </c>
      <c r="P50365" s="5" t="s">
        <v>355</v>
      </c>
      <c r="Q50365" s="5" t="s">
        <v>355</v>
      </c>
    </row>
    <row r="50366" ht="16.5" customHeight="1">
      <c r="O50366" s="5" t="s">
        <v>355</v>
      </c>
      <c r="P50366" s="5" t="s">
        <v>355</v>
      </c>
      <c r="Q50366" s="5" t="s">
        <v>355</v>
      </c>
    </row>
    <row r="50367" ht="16.5" customHeight="1">
      <c r="O50367" s="5" t="s">
        <v>355</v>
      </c>
      <c r="P50367" s="5" t="s">
        <v>355</v>
      </c>
      <c r="Q50367" s="5" t="s">
        <v>355</v>
      </c>
    </row>
    <row r="50368" ht="16.5" customHeight="1">
      <c r="O50368" s="5" t="s">
        <v>355</v>
      </c>
      <c r="P50368" s="5" t="s">
        <v>355</v>
      </c>
      <c r="Q50368" s="5" t="s">
        <v>355</v>
      </c>
    </row>
    <row r="50369" ht="16.5" customHeight="1">
      <c r="O50369" s="5" t="s">
        <v>355</v>
      </c>
      <c r="P50369" s="5" t="s">
        <v>355</v>
      </c>
      <c r="Q50369" s="5" t="s">
        <v>355</v>
      </c>
    </row>
    <row r="50370" ht="16.5" customHeight="1">
      <c r="O50370" s="5" t="s">
        <v>355</v>
      </c>
      <c r="P50370" s="5" t="s">
        <v>355</v>
      </c>
      <c r="Q50370" s="5" t="s">
        <v>355</v>
      </c>
    </row>
    <row r="50371" ht="16.5" customHeight="1">
      <c r="O50371" s="5" t="s">
        <v>355</v>
      </c>
      <c r="P50371" s="5" t="s">
        <v>355</v>
      </c>
      <c r="Q50371" s="5" t="s">
        <v>355</v>
      </c>
    </row>
    <row r="50372" ht="16.5" customHeight="1">
      <c r="O50372" s="5" t="s">
        <v>355</v>
      </c>
      <c r="P50372" s="5" t="s">
        <v>355</v>
      </c>
      <c r="Q50372" s="5" t="s">
        <v>355</v>
      </c>
    </row>
    <row r="50373" ht="16.5" customHeight="1">
      <c r="O50373" s="5" t="s">
        <v>355</v>
      </c>
      <c r="P50373" s="5" t="s">
        <v>355</v>
      </c>
      <c r="Q50373" s="5" t="s">
        <v>355</v>
      </c>
    </row>
    <row r="50374" ht="16.5" customHeight="1">
      <c r="O50374" s="5" t="s">
        <v>355</v>
      </c>
      <c r="P50374" s="5" t="s">
        <v>355</v>
      </c>
      <c r="Q50374" s="5" t="s">
        <v>355</v>
      </c>
    </row>
    <row r="50375" ht="16.5" customHeight="1">
      <c r="O50375" s="5" t="s">
        <v>355</v>
      </c>
      <c r="P50375" s="5" t="s">
        <v>355</v>
      </c>
      <c r="Q50375" s="5" t="s">
        <v>355</v>
      </c>
    </row>
    <row r="50376" ht="16.5" customHeight="1">
      <c r="O50376" s="5" t="s">
        <v>355</v>
      </c>
      <c r="P50376" s="5" t="s">
        <v>355</v>
      </c>
      <c r="Q50376" s="5" t="s">
        <v>355</v>
      </c>
    </row>
    <row r="50377" ht="16.5" customHeight="1">
      <c r="O50377" s="5" t="s">
        <v>355</v>
      </c>
      <c r="P50377" s="5" t="s">
        <v>355</v>
      </c>
      <c r="Q50377" s="5" t="s">
        <v>355</v>
      </c>
    </row>
    <row r="50378" ht="16.5" customHeight="1">
      <c r="O50378" s="5" t="s">
        <v>355</v>
      </c>
      <c r="P50378" s="5" t="s">
        <v>355</v>
      </c>
      <c r="Q50378" s="5" t="s">
        <v>355</v>
      </c>
    </row>
    <row r="50379" ht="16.5" customHeight="1">
      <c r="O50379" s="5" t="s">
        <v>355</v>
      </c>
      <c r="P50379" s="5" t="s">
        <v>355</v>
      </c>
      <c r="Q50379" s="5" t="s">
        <v>355</v>
      </c>
    </row>
    <row r="50380" ht="16.5" customHeight="1">
      <c r="O50380" s="5" t="s">
        <v>355</v>
      </c>
      <c r="P50380" s="5" t="s">
        <v>355</v>
      </c>
      <c r="Q50380" s="5" t="s">
        <v>355</v>
      </c>
    </row>
    <row r="50381" ht="16.5" customHeight="1">
      <c r="O50381" s="5" t="s">
        <v>355</v>
      </c>
      <c r="P50381" s="5" t="s">
        <v>355</v>
      </c>
      <c r="Q50381" s="5" t="s">
        <v>355</v>
      </c>
    </row>
    <row r="50382" ht="16.5" customHeight="1">
      <c r="O50382" s="5" t="s">
        <v>355</v>
      </c>
      <c r="P50382" s="5" t="s">
        <v>355</v>
      </c>
      <c r="Q50382" s="5" t="s">
        <v>355</v>
      </c>
    </row>
    <row r="50383" ht="16.5" customHeight="1">
      <c r="O50383" s="5" t="s">
        <v>355</v>
      </c>
      <c r="P50383" s="5" t="s">
        <v>355</v>
      </c>
      <c r="Q50383" s="5" t="s">
        <v>355</v>
      </c>
    </row>
    <row r="50384" ht="16.5" customHeight="1">
      <c r="O50384" s="5" t="s">
        <v>355</v>
      </c>
      <c r="P50384" s="5" t="s">
        <v>355</v>
      </c>
      <c r="Q50384" s="5" t="s">
        <v>355</v>
      </c>
    </row>
    <row r="50385" ht="16.5" customHeight="1">
      <c r="O50385" s="5" t="s">
        <v>355</v>
      </c>
      <c r="P50385" s="5" t="s">
        <v>355</v>
      </c>
      <c r="Q50385" s="5" t="s">
        <v>355</v>
      </c>
    </row>
    <row r="50386" ht="16.5" customHeight="1">
      <c r="O50386" s="5" t="s">
        <v>355</v>
      </c>
      <c r="P50386" s="5" t="s">
        <v>355</v>
      </c>
      <c r="Q50386" s="5" t="s">
        <v>355</v>
      </c>
    </row>
    <row r="50387" ht="16.5" customHeight="1">
      <c r="O50387" s="5" t="s">
        <v>355</v>
      </c>
      <c r="P50387" s="5" t="s">
        <v>355</v>
      </c>
      <c r="Q50387" s="5" t="s">
        <v>355</v>
      </c>
    </row>
    <row r="50388" ht="16.5" customHeight="1">
      <c r="O50388" s="5" t="s">
        <v>355</v>
      </c>
      <c r="P50388" s="5" t="s">
        <v>355</v>
      </c>
      <c r="Q50388" s="5" t="s">
        <v>355</v>
      </c>
    </row>
    <row r="50389" ht="16.5" customHeight="1">
      <c r="O50389" s="5" t="s">
        <v>355</v>
      </c>
      <c r="P50389" s="5" t="s">
        <v>355</v>
      </c>
      <c r="Q50389" s="5" t="s">
        <v>355</v>
      </c>
    </row>
    <row r="50390" ht="16.5" customHeight="1">
      <c r="O50390" s="5" t="s">
        <v>355</v>
      </c>
      <c r="P50390" s="5" t="s">
        <v>355</v>
      </c>
      <c r="Q50390" s="5" t="s">
        <v>355</v>
      </c>
    </row>
    <row r="50391" ht="16.5" customHeight="1">
      <c r="O50391" s="5" t="s">
        <v>355</v>
      </c>
      <c r="P50391" s="5" t="s">
        <v>355</v>
      </c>
      <c r="Q50391" s="5" t="s">
        <v>355</v>
      </c>
    </row>
    <row r="50392" ht="16.5" customHeight="1">
      <c r="O50392" s="5" t="s">
        <v>355</v>
      </c>
      <c r="P50392" s="5" t="s">
        <v>355</v>
      </c>
      <c r="Q50392" s="5" t="s">
        <v>355</v>
      </c>
    </row>
    <row r="50393" ht="16.5" customHeight="1">
      <c r="O50393" s="5" t="s">
        <v>355</v>
      </c>
      <c r="P50393" s="5" t="s">
        <v>355</v>
      </c>
      <c r="Q50393" s="5" t="s">
        <v>355</v>
      </c>
    </row>
    <row r="50394" ht="16.5" customHeight="1">
      <c r="O50394" s="5" t="s">
        <v>355</v>
      </c>
      <c r="P50394" s="5" t="s">
        <v>355</v>
      </c>
      <c r="Q50394" s="5" t="s">
        <v>355</v>
      </c>
    </row>
    <row r="50395" ht="16.5" customHeight="1">
      <c r="O50395" s="5" t="s">
        <v>355</v>
      </c>
      <c r="P50395" s="5" t="s">
        <v>355</v>
      </c>
      <c r="Q50395" s="5" t="s">
        <v>355</v>
      </c>
    </row>
    <row r="50396" ht="16.5" customHeight="1">
      <c r="O50396" s="5" t="s">
        <v>355</v>
      </c>
      <c r="P50396" s="5" t="s">
        <v>355</v>
      </c>
      <c r="Q50396" s="5" t="s">
        <v>355</v>
      </c>
    </row>
    <row r="50397" ht="16.5" customHeight="1">
      <c r="O50397" s="5" t="s">
        <v>355</v>
      </c>
      <c r="P50397" s="5" t="s">
        <v>355</v>
      </c>
      <c r="Q50397" s="5" t="s">
        <v>355</v>
      </c>
    </row>
    <row r="50398" ht="16.5" customHeight="1">
      <c r="O50398" s="5" t="s">
        <v>355</v>
      </c>
      <c r="P50398" s="5" t="s">
        <v>355</v>
      </c>
      <c r="Q50398" s="5" t="s">
        <v>355</v>
      </c>
    </row>
    <row r="50399" ht="16.5" customHeight="1">
      <c r="O50399" s="5" t="s">
        <v>355</v>
      </c>
      <c r="P50399" s="5" t="s">
        <v>355</v>
      </c>
      <c r="Q50399" s="5" t="s">
        <v>355</v>
      </c>
    </row>
    <row r="50400" ht="16.5" customHeight="1">
      <c r="O50400" s="5" t="s">
        <v>355</v>
      </c>
      <c r="P50400" s="5" t="s">
        <v>355</v>
      </c>
      <c r="Q50400" s="5" t="s">
        <v>355</v>
      </c>
    </row>
    <row r="50401" ht="16.5" customHeight="1">
      <c r="O50401" s="5" t="s">
        <v>355</v>
      </c>
      <c r="P50401" s="5" t="s">
        <v>355</v>
      </c>
      <c r="Q50401" s="5" t="s">
        <v>355</v>
      </c>
    </row>
    <row r="50402" ht="16.5" customHeight="1">
      <c r="O50402" s="5" t="s">
        <v>355</v>
      </c>
      <c r="P50402" s="5" t="s">
        <v>355</v>
      </c>
      <c r="Q50402" s="5" t="s">
        <v>355</v>
      </c>
    </row>
    <row r="50403" ht="16.5" customHeight="1">
      <c r="O50403" s="5" t="s">
        <v>355</v>
      </c>
      <c r="P50403" s="5" t="s">
        <v>355</v>
      </c>
      <c r="Q50403" s="5" t="s">
        <v>355</v>
      </c>
    </row>
    <row r="50404" ht="16.5" customHeight="1">
      <c r="O50404" s="5" t="s">
        <v>355</v>
      </c>
      <c r="P50404" s="5" t="s">
        <v>355</v>
      </c>
      <c r="Q50404" s="5" t="s">
        <v>355</v>
      </c>
    </row>
    <row r="50405" ht="16.5" customHeight="1">
      <c r="O50405" s="5" t="s">
        <v>355</v>
      </c>
      <c r="P50405" s="5" t="s">
        <v>355</v>
      </c>
      <c r="Q50405" s="5" t="s">
        <v>355</v>
      </c>
    </row>
    <row r="50406" ht="16.5" customHeight="1">
      <c r="O50406" s="5" t="s">
        <v>355</v>
      </c>
      <c r="P50406" s="5" t="s">
        <v>355</v>
      </c>
      <c r="Q50406" s="5" t="s">
        <v>355</v>
      </c>
    </row>
    <row r="50407" ht="16.5" customHeight="1">
      <c r="O50407" s="5" t="s">
        <v>355</v>
      </c>
      <c r="P50407" s="5" t="s">
        <v>355</v>
      </c>
      <c r="Q50407" s="5" t="s">
        <v>355</v>
      </c>
    </row>
    <row r="50408" ht="16.5" customHeight="1">
      <c r="O50408" s="5" t="s">
        <v>355</v>
      </c>
      <c r="P50408" s="5" t="s">
        <v>355</v>
      </c>
      <c r="Q50408" s="5" t="s">
        <v>355</v>
      </c>
    </row>
    <row r="50409" ht="16.5" customHeight="1">
      <c r="O50409" s="5" t="s">
        <v>355</v>
      </c>
      <c r="P50409" s="5" t="s">
        <v>355</v>
      </c>
      <c r="Q50409" s="5" t="s">
        <v>355</v>
      </c>
    </row>
    <row r="50410" ht="16.5" customHeight="1">
      <c r="O50410" s="5" t="s">
        <v>355</v>
      </c>
      <c r="P50410" s="5" t="s">
        <v>355</v>
      </c>
      <c r="Q50410" s="5" t="s">
        <v>355</v>
      </c>
    </row>
    <row r="50411" ht="16.5" customHeight="1">
      <c r="O50411" s="5" t="s">
        <v>355</v>
      </c>
      <c r="P50411" s="5" t="s">
        <v>355</v>
      </c>
      <c r="Q50411" s="5" t="s">
        <v>355</v>
      </c>
    </row>
    <row r="50412" ht="16.5" customHeight="1">
      <c r="O50412" s="5" t="s">
        <v>355</v>
      </c>
      <c r="P50412" s="5" t="s">
        <v>355</v>
      </c>
      <c r="Q50412" s="5" t="s">
        <v>355</v>
      </c>
    </row>
    <row r="50413" ht="16.5" customHeight="1">
      <c r="O50413" s="5" t="s">
        <v>355</v>
      </c>
      <c r="P50413" s="5" t="s">
        <v>355</v>
      </c>
      <c r="Q50413" s="5" t="s">
        <v>355</v>
      </c>
    </row>
    <row r="50414" ht="16.5" customHeight="1">
      <c r="O50414" s="5" t="s">
        <v>355</v>
      </c>
      <c r="P50414" s="5" t="s">
        <v>355</v>
      </c>
      <c r="Q50414" s="5" t="s">
        <v>355</v>
      </c>
    </row>
    <row r="50415" ht="16.5" customHeight="1">
      <c r="O50415" s="5" t="s">
        <v>355</v>
      </c>
      <c r="P50415" s="5" t="s">
        <v>355</v>
      </c>
      <c r="Q50415" s="5" t="s">
        <v>355</v>
      </c>
    </row>
    <row r="50416" ht="16.5" customHeight="1">
      <c r="O50416" s="5" t="s">
        <v>355</v>
      </c>
      <c r="P50416" s="5" t="s">
        <v>355</v>
      </c>
      <c r="Q50416" s="5" t="s">
        <v>355</v>
      </c>
    </row>
    <row r="50417" ht="16.5" customHeight="1">
      <c r="O50417" s="5" t="s">
        <v>355</v>
      </c>
      <c r="P50417" s="5" t="s">
        <v>355</v>
      </c>
      <c r="Q50417" s="5" t="s">
        <v>355</v>
      </c>
    </row>
    <row r="50418" ht="16.5" customHeight="1">
      <c r="O50418" s="5" t="s">
        <v>355</v>
      </c>
      <c r="P50418" s="5" t="s">
        <v>355</v>
      </c>
      <c r="Q50418" s="5" t="s">
        <v>355</v>
      </c>
    </row>
    <row r="50419" ht="16.5" customHeight="1">
      <c r="O50419" s="5" t="s">
        <v>355</v>
      </c>
      <c r="P50419" s="5" t="s">
        <v>355</v>
      </c>
      <c r="Q50419" s="5" t="s">
        <v>355</v>
      </c>
    </row>
    <row r="50420" ht="16.5" customHeight="1">
      <c r="O50420" s="5" t="s">
        <v>355</v>
      </c>
      <c r="P50420" s="5" t="s">
        <v>355</v>
      </c>
      <c r="Q50420" s="5" t="s">
        <v>355</v>
      </c>
    </row>
    <row r="50421" ht="16.5" customHeight="1">
      <c r="O50421" s="5" t="s">
        <v>355</v>
      </c>
      <c r="P50421" s="5" t="s">
        <v>355</v>
      </c>
      <c r="Q50421" s="5" t="s">
        <v>355</v>
      </c>
    </row>
    <row r="50422" ht="16.5" customHeight="1">
      <c r="O50422" s="5" t="s">
        <v>355</v>
      </c>
      <c r="P50422" s="5" t="s">
        <v>355</v>
      </c>
      <c r="Q50422" s="5" t="s">
        <v>355</v>
      </c>
    </row>
    <row r="50423" ht="16.5" customHeight="1">
      <c r="O50423" s="5" t="s">
        <v>355</v>
      </c>
      <c r="P50423" s="5" t="s">
        <v>355</v>
      </c>
      <c r="Q50423" s="5" t="s">
        <v>355</v>
      </c>
    </row>
    <row r="50424" ht="16.5" customHeight="1">
      <c r="O50424" s="5" t="s">
        <v>355</v>
      </c>
      <c r="P50424" s="5" t="s">
        <v>355</v>
      </c>
      <c r="Q50424" s="5" t="s">
        <v>355</v>
      </c>
    </row>
    <row r="50425" ht="16.5" customHeight="1">
      <c r="O50425" s="5" t="s">
        <v>355</v>
      </c>
      <c r="P50425" s="5" t="s">
        <v>355</v>
      </c>
      <c r="Q50425" s="5" t="s">
        <v>355</v>
      </c>
    </row>
    <row r="50426" ht="16.5" customHeight="1">
      <c r="O50426" s="5" t="s">
        <v>355</v>
      </c>
      <c r="P50426" s="5" t="s">
        <v>355</v>
      </c>
      <c r="Q50426" s="5" t="s">
        <v>355</v>
      </c>
    </row>
    <row r="50427" ht="16.5" customHeight="1">
      <c r="O50427" s="5" t="s">
        <v>355</v>
      </c>
      <c r="P50427" s="5" t="s">
        <v>355</v>
      </c>
      <c r="Q50427" s="5" t="s">
        <v>355</v>
      </c>
    </row>
    <row r="50428" ht="16.5" customHeight="1">
      <c r="O50428" s="5" t="s">
        <v>355</v>
      </c>
      <c r="P50428" s="5" t="s">
        <v>355</v>
      </c>
      <c r="Q50428" s="5" t="s">
        <v>355</v>
      </c>
    </row>
    <row r="50429" ht="16.5" customHeight="1">
      <c r="O50429" s="5" t="s">
        <v>355</v>
      </c>
      <c r="P50429" s="5" t="s">
        <v>355</v>
      </c>
      <c r="Q50429" s="5" t="s">
        <v>355</v>
      </c>
    </row>
    <row r="50430" ht="16.5" customHeight="1">
      <c r="O50430" s="5" t="s">
        <v>355</v>
      </c>
      <c r="P50430" s="5" t="s">
        <v>355</v>
      </c>
      <c r="Q50430" s="5" t="s">
        <v>355</v>
      </c>
    </row>
    <row r="50431" ht="16.5" customHeight="1">
      <c r="O50431" s="5" t="s">
        <v>355</v>
      </c>
      <c r="P50431" s="5" t="s">
        <v>355</v>
      </c>
      <c r="Q50431" s="5" t="s">
        <v>355</v>
      </c>
    </row>
    <row r="50432" ht="16.5" customHeight="1">
      <c r="O50432" s="5" t="s">
        <v>355</v>
      </c>
      <c r="P50432" s="5" t="s">
        <v>355</v>
      </c>
      <c r="Q50432" s="5" t="s">
        <v>355</v>
      </c>
    </row>
    <row r="50433" ht="16.5" customHeight="1">
      <c r="O50433" s="5" t="s">
        <v>355</v>
      </c>
      <c r="P50433" s="5" t="s">
        <v>355</v>
      </c>
      <c r="Q50433" s="5" t="s">
        <v>355</v>
      </c>
    </row>
    <row r="50434" ht="16.5" customHeight="1">
      <c r="O50434" s="5" t="s">
        <v>355</v>
      </c>
      <c r="P50434" s="5" t="s">
        <v>355</v>
      </c>
      <c r="Q50434" s="5" t="s">
        <v>355</v>
      </c>
    </row>
    <row r="50435" ht="16.5" customHeight="1">
      <c r="O50435" s="5" t="s">
        <v>355</v>
      </c>
      <c r="P50435" s="5" t="s">
        <v>355</v>
      </c>
      <c r="Q50435" s="5" t="s">
        <v>355</v>
      </c>
    </row>
    <row r="50436" ht="16.5" customHeight="1">
      <c r="O50436" s="5" t="s">
        <v>355</v>
      </c>
      <c r="P50436" s="5" t="s">
        <v>355</v>
      </c>
      <c r="Q50436" s="5" t="s">
        <v>355</v>
      </c>
    </row>
    <row r="50437" ht="16.5" customHeight="1">
      <c r="O50437" s="5" t="s">
        <v>355</v>
      </c>
      <c r="P50437" s="5" t="s">
        <v>355</v>
      </c>
      <c r="Q50437" s="5" t="s">
        <v>355</v>
      </c>
    </row>
    <row r="50438" ht="16.5" customHeight="1">
      <c r="O50438" s="5" t="s">
        <v>355</v>
      </c>
      <c r="P50438" s="5" t="s">
        <v>355</v>
      </c>
      <c r="Q50438" s="5" t="s">
        <v>355</v>
      </c>
    </row>
    <row r="50439" ht="16.5" customHeight="1">
      <c r="O50439" s="5" t="s">
        <v>355</v>
      </c>
      <c r="P50439" s="5" t="s">
        <v>355</v>
      </c>
      <c r="Q50439" s="5" t="s">
        <v>355</v>
      </c>
    </row>
    <row r="50440" ht="16.5" customHeight="1">
      <c r="O50440" s="5" t="s">
        <v>355</v>
      </c>
      <c r="P50440" s="5" t="s">
        <v>355</v>
      </c>
      <c r="Q50440" s="5" t="s">
        <v>355</v>
      </c>
    </row>
    <row r="50441" ht="16.5" customHeight="1">
      <c r="O50441" s="5" t="s">
        <v>355</v>
      </c>
      <c r="P50441" s="5" t="s">
        <v>355</v>
      </c>
      <c r="Q50441" s="5" t="s">
        <v>355</v>
      </c>
    </row>
    <row r="50442" ht="16.5" customHeight="1">
      <c r="O50442" s="5" t="s">
        <v>355</v>
      </c>
      <c r="P50442" s="5" t="s">
        <v>355</v>
      </c>
      <c r="Q50442" s="5" t="s">
        <v>355</v>
      </c>
    </row>
    <row r="50443" ht="16.5" customHeight="1">
      <c r="O50443" s="5" t="s">
        <v>355</v>
      </c>
      <c r="P50443" s="5" t="s">
        <v>355</v>
      </c>
      <c r="Q50443" s="5" t="s">
        <v>355</v>
      </c>
    </row>
    <row r="50444" ht="16.5" customHeight="1">
      <c r="O50444" s="5" t="s">
        <v>355</v>
      </c>
      <c r="P50444" s="5" t="s">
        <v>355</v>
      </c>
      <c r="Q50444" s="5" t="s">
        <v>355</v>
      </c>
    </row>
    <row r="50445" ht="16.5" customHeight="1">
      <c r="O50445" s="5" t="s">
        <v>355</v>
      </c>
      <c r="P50445" s="5" t="s">
        <v>355</v>
      </c>
      <c r="Q50445" s="5" t="s">
        <v>355</v>
      </c>
    </row>
    <row r="50446" ht="16.5" customHeight="1">
      <c r="O50446" s="5" t="s">
        <v>355</v>
      </c>
      <c r="P50446" s="5" t="s">
        <v>355</v>
      </c>
      <c r="Q50446" s="5" t="s">
        <v>355</v>
      </c>
    </row>
    <row r="50447" ht="16.5" customHeight="1">
      <c r="O50447" s="5" t="s">
        <v>355</v>
      </c>
      <c r="P50447" s="5" t="s">
        <v>355</v>
      </c>
      <c r="Q50447" s="5" t="s">
        <v>355</v>
      </c>
    </row>
    <row r="50448" ht="16.5" customHeight="1">
      <c r="O50448" s="5" t="s">
        <v>355</v>
      </c>
      <c r="P50448" s="5" t="s">
        <v>355</v>
      </c>
      <c r="Q50448" s="5" t="s">
        <v>355</v>
      </c>
    </row>
    <row r="50449" ht="16.5" customHeight="1">
      <c r="O50449" s="5" t="s">
        <v>355</v>
      </c>
      <c r="P50449" s="5" t="s">
        <v>355</v>
      </c>
      <c r="Q50449" s="5" t="s">
        <v>355</v>
      </c>
    </row>
    <row r="50450" ht="16.5" customHeight="1">
      <c r="O50450" s="5" t="s">
        <v>355</v>
      </c>
      <c r="P50450" s="5" t="s">
        <v>355</v>
      </c>
      <c r="Q50450" s="5" t="s">
        <v>355</v>
      </c>
    </row>
    <row r="50451" ht="16.5" customHeight="1">
      <c r="O50451" s="5" t="s">
        <v>355</v>
      </c>
      <c r="P50451" s="5" t="s">
        <v>355</v>
      </c>
      <c r="Q50451" s="5" t="s">
        <v>355</v>
      </c>
    </row>
    <row r="50452" ht="16.5" customHeight="1">
      <c r="O50452" s="5" t="s">
        <v>355</v>
      </c>
      <c r="P50452" s="5" t="s">
        <v>355</v>
      </c>
      <c r="Q50452" s="5" t="s">
        <v>355</v>
      </c>
    </row>
    <row r="50453" ht="16.5" customHeight="1">
      <c r="O50453" s="5" t="s">
        <v>355</v>
      </c>
      <c r="P50453" s="5" t="s">
        <v>355</v>
      </c>
      <c r="Q50453" s="5" t="s">
        <v>355</v>
      </c>
    </row>
    <row r="50454" ht="16.5" customHeight="1">
      <c r="O50454" s="5" t="s">
        <v>355</v>
      </c>
      <c r="P50454" s="5" t="s">
        <v>355</v>
      </c>
      <c r="Q50454" s="5" t="s">
        <v>355</v>
      </c>
    </row>
    <row r="50455" ht="16.5" customHeight="1">
      <c r="O50455" s="5" t="s">
        <v>355</v>
      </c>
      <c r="P50455" s="5" t="s">
        <v>355</v>
      </c>
      <c r="Q50455" s="5" t="s">
        <v>355</v>
      </c>
    </row>
    <row r="50456" ht="16.5" customHeight="1">
      <c r="O50456" s="5" t="s">
        <v>355</v>
      </c>
      <c r="P50456" s="5" t="s">
        <v>355</v>
      </c>
      <c r="Q50456" s="5" t="s">
        <v>355</v>
      </c>
    </row>
    <row r="50457" ht="16.5" customHeight="1">
      <c r="O50457" s="5" t="s">
        <v>355</v>
      </c>
      <c r="P50457" s="5" t="s">
        <v>355</v>
      </c>
      <c r="Q50457" s="5" t="s">
        <v>355</v>
      </c>
    </row>
    <row r="50458" ht="16.5" customHeight="1">
      <c r="O50458" s="5" t="s">
        <v>355</v>
      </c>
      <c r="P50458" s="5" t="s">
        <v>355</v>
      </c>
      <c r="Q50458" s="5" t="s">
        <v>355</v>
      </c>
    </row>
    <row r="50459" ht="16.5" customHeight="1">
      <c r="O50459" s="5" t="s">
        <v>355</v>
      </c>
      <c r="P50459" s="5" t="s">
        <v>355</v>
      </c>
      <c r="Q50459" s="5" t="s">
        <v>355</v>
      </c>
    </row>
    <row r="50460" ht="16.5" customHeight="1">
      <c r="O50460" s="5" t="s">
        <v>355</v>
      </c>
      <c r="P50460" s="5" t="s">
        <v>355</v>
      </c>
      <c r="Q50460" s="5" t="s">
        <v>355</v>
      </c>
    </row>
    <row r="50461" ht="16.5" customHeight="1">
      <c r="O50461" s="5" t="s">
        <v>355</v>
      </c>
      <c r="P50461" s="5" t="s">
        <v>355</v>
      </c>
      <c r="Q50461" s="5" t="s">
        <v>355</v>
      </c>
    </row>
    <row r="50462" ht="16.5" customHeight="1">
      <c r="O50462" s="5" t="s">
        <v>355</v>
      </c>
      <c r="P50462" s="5" t="s">
        <v>355</v>
      </c>
      <c r="Q50462" s="5" t="s">
        <v>355</v>
      </c>
    </row>
    <row r="50463" ht="16.5" customHeight="1">
      <c r="O50463" s="5" t="s">
        <v>355</v>
      </c>
      <c r="P50463" s="5" t="s">
        <v>355</v>
      </c>
      <c r="Q50463" s="5" t="s">
        <v>355</v>
      </c>
    </row>
    <row r="50464" ht="16.5" customHeight="1">
      <c r="O50464" s="5" t="s">
        <v>355</v>
      </c>
      <c r="P50464" s="5" t="s">
        <v>355</v>
      </c>
      <c r="Q50464" s="5" t="s">
        <v>355</v>
      </c>
    </row>
    <row r="50465" ht="16.5" customHeight="1">
      <c r="O50465" s="5" t="s">
        <v>355</v>
      </c>
      <c r="P50465" s="5" t="s">
        <v>355</v>
      </c>
      <c r="Q50465" s="5" t="s">
        <v>355</v>
      </c>
    </row>
    <row r="50466" ht="16.5" customHeight="1">
      <c r="O50466" s="5" t="s">
        <v>355</v>
      </c>
      <c r="P50466" s="5" t="s">
        <v>355</v>
      </c>
      <c r="Q50466" s="5" t="s">
        <v>355</v>
      </c>
    </row>
    <row r="50467" ht="16.5" customHeight="1">
      <c r="O50467" s="5" t="s">
        <v>355</v>
      </c>
      <c r="P50467" s="5" t="s">
        <v>355</v>
      </c>
      <c r="Q50467" s="5" t="s">
        <v>355</v>
      </c>
    </row>
    <row r="50468" ht="16.5" customHeight="1">
      <c r="O50468" s="5" t="s">
        <v>355</v>
      </c>
      <c r="P50468" s="5" t="s">
        <v>355</v>
      </c>
      <c r="Q50468" s="5" t="s">
        <v>355</v>
      </c>
    </row>
    <row r="50469" ht="16.5" customHeight="1">
      <c r="O50469" s="5" t="s">
        <v>355</v>
      </c>
      <c r="P50469" s="5" t="s">
        <v>355</v>
      </c>
      <c r="Q50469" s="5" t="s">
        <v>355</v>
      </c>
    </row>
    <row r="50470" ht="16.5" customHeight="1">
      <c r="O50470" s="5" t="s">
        <v>355</v>
      </c>
      <c r="P50470" s="5" t="s">
        <v>355</v>
      </c>
      <c r="Q50470" s="5" t="s">
        <v>355</v>
      </c>
    </row>
    <row r="50471" ht="16.5" customHeight="1">
      <c r="O50471" s="5" t="s">
        <v>355</v>
      </c>
      <c r="P50471" s="5" t="s">
        <v>355</v>
      </c>
      <c r="Q50471" s="5" t="s">
        <v>355</v>
      </c>
    </row>
    <row r="50472" ht="16.5" customHeight="1">
      <c r="O50472" s="5" t="s">
        <v>355</v>
      </c>
      <c r="P50472" s="5" t="s">
        <v>355</v>
      </c>
      <c r="Q50472" s="5" t="s">
        <v>355</v>
      </c>
    </row>
    <row r="50473" ht="16.5" customHeight="1">
      <c r="O50473" s="5" t="s">
        <v>355</v>
      </c>
      <c r="P50473" s="5" t="s">
        <v>355</v>
      </c>
      <c r="Q50473" s="5" t="s">
        <v>355</v>
      </c>
    </row>
    <row r="50474" ht="16.5" customHeight="1">
      <c r="O50474" s="5" t="s">
        <v>355</v>
      </c>
      <c r="P50474" s="5" t="s">
        <v>355</v>
      </c>
      <c r="Q50474" s="5" t="s">
        <v>355</v>
      </c>
    </row>
    <row r="50475" ht="16.5" customHeight="1">
      <c r="O50475" s="5" t="s">
        <v>355</v>
      </c>
      <c r="P50475" s="5" t="s">
        <v>355</v>
      </c>
      <c r="Q50475" s="5" t="s">
        <v>355</v>
      </c>
    </row>
    <row r="50476" ht="16.5" customHeight="1">
      <c r="O50476" s="5" t="s">
        <v>355</v>
      </c>
      <c r="P50476" s="5" t="s">
        <v>355</v>
      </c>
      <c r="Q50476" s="5" t="s">
        <v>355</v>
      </c>
    </row>
    <row r="50477" ht="16.5" customHeight="1">
      <c r="O50477" s="5" t="s">
        <v>355</v>
      </c>
      <c r="P50477" s="5" t="s">
        <v>355</v>
      </c>
      <c r="Q50477" s="5" t="s">
        <v>355</v>
      </c>
    </row>
    <row r="50478" ht="16.5" customHeight="1">
      <c r="O50478" s="5" t="s">
        <v>355</v>
      </c>
      <c r="P50478" s="5" t="s">
        <v>355</v>
      </c>
      <c r="Q50478" s="5" t="s">
        <v>355</v>
      </c>
    </row>
    <row r="50479" ht="16.5" customHeight="1">
      <c r="O50479" s="5" t="s">
        <v>355</v>
      </c>
      <c r="P50479" s="5" t="s">
        <v>355</v>
      </c>
      <c r="Q50479" s="5" t="s">
        <v>355</v>
      </c>
    </row>
    <row r="50480" ht="16.5" customHeight="1">
      <c r="O50480" s="5" t="s">
        <v>355</v>
      </c>
      <c r="P50480" s="5" t="s">
        <v>355</v>
      </c>
      <c r="Q50480" s="5" t="s">
        <v>355</v>
      </c>
    </row>
    <row r="50481" ht="16.5" customHeight="1">
      <c r="O50481" s="5" t="s">
        <v>355</v>
      </c>
      <c r="P50481" s="5" t="s">
        <v>355</v>
      </c>
      <c r="Q50481" s="5" t="s">
        <v>355</v>
      </c>
    </row>
    <row r="50482" ht="16.5" customHeight="1">
      <c r="O50482" s="5" t="s">
        <v>355</v>
      </c>
      <c r="P50482" s="5" t="s">
        <v>355</v>
      </c>
      <c r="Q50482" s="5" t="s">
        <v>355</v>
      </c>
    </row>
    <row r="50483" ht="16.5" customHeight="1">
      <c r="O50483" s="5" t="s">
        <v>355</v>
      </c>
      <c r="P50483" s="5" t="s">
        <v>355</v>
      </c>
      <c r="Q50483" s="5" t="s">
        <v>355</v>
      </c>
    </row>
    <row r="50484" ht="16.5" customHeight="1">
      <c r="O50484" s="5" t="s">
        <v>355</v>
      </c>
      <c r="P50484" s="5" t="s">
        <v>355</v>
      </c>
      <c r="Q50484" s="5" t="s">
        <v>355</v>
      </c>
    </row>
    <row r="50485" ht="16.5" customHeight="1">
      <c r="O50485" s="5" t="s">
        <v>355</v>
      </c>
      <c r="P50485" s="5" t="s">
        <v>355</v>
      </c>
      <c r="Q50485" s="5" t="s">
        <v>355</v>
      </c>
    </row>
    <row r="50486" ht="16.5" customHeight="1">
      <c r="O50486" s="5" t="s">
        <v>355</v>
      </c>
      <c r="P50486" s="5" t="s">
        <v>355</v>
      </c>
      <c r="Q50486" s="5" t="s">
        <v>355</v>
      </c>
    </row>
    <row r="50487" ht="16.5" customHeight="1">
      <c r="O50487" s="5" t="s">
        <v>355</v>
      </c>
      <c r="P50487" s="5" t="s">
        <v>355</v>
      </c>
      <c r="Q50487" s="5" t="s">
        <v>355</v>
      </c>
    </row>
    <row r="50488" ht="16.5" customHeight="1">
      <c r="O50488" s="5" t="s">
        <v>355</v>
      </c>
      <c r="P50488" s="5" t="s">
        <v>355</v>
      </c>
      <c r="Q50488" s="5" t="s">
        <v>355</v>
      </c>
    </row>
    <row r="50489" ht="16.5" customHeight="1">
      <c r="O50489" s="5" t="s">
        <v>355</v>
      </c>
      <c r="P50489" s="5" t="s">
        <v>355</v>
      </c>
      <c r="Q50489" s="5" t="s">
        <v>355</v>
      </c>
    </row>
    <row r="50490" ht="16.5" customHeight="1">
      <c r="O50490" s="5" t="s">
        <v>355</v>
      </c>
      <c r="P50490" s="5" t="s">
        <v>355</v>
      </c>
      <c r="Q50490" s="5" t="s">
        <v>355</v>
      </c>
    </row>
    <row r="50491" ht="16.5" customHeight="1">
      <c r="O50491" s="5" t="s">
        <v>355</v>
      </c>
      <c r="P50491" s="5" t="s">
        <v>355</v>
      </c>
      <c r="Q50491" s="5" t="s">
        <v>355</v>
      </c>
    </row>
    <row r="50492" ht="16.5" customHeight="1">
      <c r="O50492" s="5" t="s">
        <v>355</v>
      </c>
      <c r="P50492" s="5" t="s">
        <v>355</v>
      </c>
      <c r="Q50492" s="5" t="s">
        <v>355</v>
      </c>
    </row>
    <row r="50493" ht="16.5" customHeight="1">
      <c r="O50493" s="5" t="s">
        <v>355</v>
      </c>
      <c r="P50493" s="5" t="s">
        <v>355</v>
      </c>
      <c r="Q50493" s="5" t="s">
        <v>355</v>
      </c>
    </row>
    <row r="50494" ht="16.5" customHeight="1">
      <c r="O50494" s="5" t="s">
        <v>355</v>
      </c>
      <c r="P50494" s="5" t="s">
        <v>355</v>
      </c>
      <c r="Q50494" s="5" t="s">
        <v>355</v>
      </c>
    </row>
    <row r="50495" ht="16.5" customHeight="1">
      <c r="O50495" s="5" t="s">
        <v>355</v>
      </c>
      <c r="P50495" s="5" t="s">
        <v>355</v>
      </c>
      <c r="Q50495" s="5" t="s">
        <v>355</v>
      </c>
    </row>
    <row r="50496" ht="16.5" customHeight="1">
      <c r="O50496" s="5" t="s">
        <v>355</v>
      </c>
      <c r="P50496" s="5" t="s">
        <v>355</v>
      </c>
      <c r="Q50496" s="5" t="s">
        <v>355</v>
      </c>
    </row>
    <row r="50497" ht="16.5" customHeight="1">
      <c r="O50497" s="5" t="s">
        <v>355</v>
      </c>
      <c r="P50497" s="5" t="s">
        <v>355</v>
      </c>
      <c r="Q50497" s="5" t="s">
        <v>355</v>
      </c>
    </row>
    <row r="50498" ht="16.5" customHeight="1">
      <c r="O50498" s="5" t="s">
        <v>355</v>
      </c>
      <c r="P50498" s="5" t="s">
        <v>355</v>
      </c>
      <c r="Q50498" s="5" t="s">
        <v>355</v>
      </c>
    </row>
    <row r="50499" ht="16.5" customHeight="1">
      <c r="O50499" s="5" t="s">
        <v>355</v>
      </c>
      <c r="P50499" s="5" t="s">
        <v>355</v>
      </c>
      <c r="Q50499" s="5" t="s">
        <v>355</v>
      </c>
    </row>
    <row r="50500" ht="16.5" customHeight="1">
      <c r="O50500" s="5" t="s">
        <v>355</v>
      </c>
      <c r="P50500" s="5" t="s">
        <v>355</v>
      </c>
      <c r="Q50500" s="5" t="s">
        <v>355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12" max="12" width="18.38"/>
    <col customWidth="1" min="17" max="17" width="19.25"/>
    <col customWidth="1" min="25" max="25" width="36.25"/>
  </cols>
  <sheetData>
    <row r="1">
      <c r="A1" s="2" t="s">
        <v>2</v>
      </c>
      <c r="B1" s="2" t="s">
        <v>309</v>
      </c>
      <c r="C1" s="2" t="s">
        <v>310</v>
      </c>
      <c r="D1" s="2" t="s">
        <v>311</v>
      </c>
      <c r="E1" s="2" t="s">
        <v>312</v>
      </c>
      <c r="F1" s="2" t="s">
        <v>313</v>
      </c>
      <c r="G1" s="2" t="s">
        <v>314</v>
      </c>
      <c r="H1" s="2" t="s">
        <v>315</v>
      </c>
      <c r="I1" s="2" t="s">
        <v>316</v>
      </c>
      <c r="J1" s="1" t="s">
        <v>317</v>
      </c>
      <c r="K1" s="1" t="s">
        <v>318</v>
      </c>
      <c r="L1" s="2" t="s">
        <v>319</v>
      </c>
      <c r="M1" s="1" t="s">
        <v>320</v>
      </c>
      <c r="N1" s="1" t="s">
        <v>321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399</v>
      </c>
      <c r="T1" s="1" t="s">
        <v>400</v>
      </c>
      <c r="U1" s="1" t="s">
        <v>401</v>
      </c>
      <c r="V1" s="1" t="s">
        <v>402</v>
      </c>
      <c r="W1" s="1" t="s">
        <v>403</v>
      </c>
      <c r="X1" s="1" t="s">
        <v>404</v>
      </c>
      <c r="Y1" s="1" t="s">
        <v>405</v>
      </c>
      <c r="Z1" s="1" t="s">
        <v>406</v>
      </c>
      <c r="AA1" s="1" t="s">
        <v>407</v>
      </c>
      <c r="AB1" s="1" t="s">
        <v>408</v>
      </c>
      <c r="AC1" s="2" t="s">
        <v>79</v>
      </c>
      <c r="AD1" s="1" t="s">
        <v>409</v>
      </c>
      <c r="AE1" s="1" t="s">
        <v>410</v>
      </c>
      <c r="AF1" s="1" t="s">
        <v>411</v>
      </c>
      <c r="AG1" s="1" t="s">
        <v>412</v>
      </c>
      <c r="AH1" s="1" t="s">
        <v>413</v>
      </c>
    </row>
    <row r="2">
      <c r="A2" s="5" t="str">
        <f>IFERROR(__xludf.DUMMYFUNCTION("FILTER(Calc_Engine!A216:R247, Calc_Engine!A216:A247 &lt;&gt; """")"),"Flight_1")</f>
        <v>Flight_1</v>
      </c>
      <c r="B2" s="5" t="str">
        <f>IFERROR(__xludf.DUMMYFUNCTION("""COMPUTED_VALUE"""),"Fourball")</f>
        <v>Fourball</v>
      </c>
      <c r="C2" s="5">
        <f>IFERROR(__xludf.DUMMYFUNCTION("""COMPUTED_VALUE"""),4.0)</f>
        <v>4</v>
      </c>
      <c r="D2" s="5">
        <f>IFERROR(__xludf.DUMMYFUNCTION("""COMPUTED_VALUE"""),2.0)</f>
        <v>2</v>
      </c>
      <c r="E2" s="5">
        <f>IFERROR(__xludf.DUMMYFUNCTION("""COMPUTED_VALUE"""),2.0)</f>
        <v>2</v>
      </c>
      <c r="F2" s="5" t="str">
        <f>IFERROR(__xludf.DUMMYFUNCTION("""COMPUTED_VALUE"""),"Final")</f>
        <v>Final</v>
      </c>
      <c r="G2" s="5">
        <f>IFERROR(__xludf.DUMMYFUNCTION("""COMPUTED_VALUE"""),1.0)</f>
        <v>1</v>
      </c>
      <c r="H2" s="5">
        <f>IFERROR(__xludf.DUMMYFUNCTION("""COMPUTED_VALUE"""),0.0)</f>
        <v>0</v>
      </c>
      <c r="I2" s="5">
        <f>IFERROR(__xludf.DUMMYFUNCTION("""COMPUTED_VALUE"""),1.0)</f>
        <v>1</v>
      </c>
      <c r="J2" s="5">
        <f>IFERROR(__xludf.DUMMYFUNCTION("""COMPUTED_VALUE"""),1.0)</f>
        <v>1</v>
      </c>
      <c r="K2" s="5">
        <f>IFERROR(__xludf.DUMMYFUNCTION("""COMPUTED_VALUE"""),0.0)</f>
        <v>0</v>
      </c>
      <c r="L2" s="5" t="str">
        <f>IFERROR(__xludf.DUMMYFUNCTION("""COMPUTED_VALUE"""),"Flight_1_Fourball")</f>
        <v>Flight_1_Fourball</v>
      </c>
      <c r="M2" s="5" t="str">
        <f>IFERROR(__xludf.DUMMYFUNCTION("""COMPUTED_VALUE"""),"Fito / Adri Mejia")</f>
        <v>Fito / Adri Mejia</v>
      </c>
      <c r="N2" s="5" t="str">
        <f>IFERROR(__xludf.DUMMYFUNCTION("""COMPUTED_VALUE"""),"Fercho / Gaitan")</f>
        <v>Fercho / Gaitan</v>
      </c>
      <c r="O2" s="5" t="b">
        <f>IFERROR(__xludf.DUMMYFUNCTION("""COMPUTED_VALUE"""),FALSE)</f>
        <v>0</v>
      </c>
      <c r="P2" s="5">
        <f>IFERROR(__xludf.DUMMYFUNCTION("""COMPUTED_VALUE"""),0.0)</f>
        <v>0</v>
      </c>
      <c r="Q2" s="5" t="str">
        <f>IFERROR(__xludf.DUMMYFUNCTION("""COMPUTED_VALUE"""),"")</f>
        <v/>
      </c>
      <c r="R2" s="5" t="str">
        <f>IFERROR(__xludf.DUMMYFUNCTION("""COMPUTED_VALUE"""),"")</f>
        <v/>
      </c>
      <c r="S2" s="5" t="str">
        <f t="array" ref="S2:S1000">IF(A2:A1000="", "",
    IF(O2:O1000=TRUE, "1_Critical",
      IF(F2:F1000="Final", "3_Final",
        IF(F2:F1000="Not Started", "4_Not_Started",
          IF(F2:F1000="", "4_Not_Started",
            "2_Live"
          )
        )
      )
    )
  )</f>
        <v>3_Final</v>
      </c>
      <c r="T2" s="5">
        <f>IFERROR(__xludf.DUMMYFUNCTION("ARRAYFORMULA(
  IF(A2:A1000="""", """",
    IF(F2:F1000=""Final"", 9,
      IFERROR(
        VALUE(REGEXEXTRACT(F2:F1000, ""THRU (\d+)"")), 0
      )
    )
  )
)"),9.0)</f>
        <v>9</v>
      </c>
      <c r="U2" s="5">
        <f t="array" ref="U2:U1000">IF(A2:A1000="", "", 9)</f>
        <v>9</v>
      </c>
      <c r="V2" s="5" t="str">
        <f t="array" ref="V2:V1000">IF(A2:A1000="", "",
    IF(NOT(ISERROR(FIND("Red", F2:F1000))), "Red",
      IF(NOT(ISERROR(FIND("Blue", F2:F1000))), "Blue",
        IF(NOT(ISERROR(FIND("A/S", F2:F1000))), "A/S",
          IF(F2:F1000="Final", IF(G2:G1000 &gt; H2:H1000, "Red", IF(G2:G1000 &lt; H2:H1000, "Blue", "A/S")), "TBD")
        )
      )
    )
  )</f>
        <v>Red</v>
      </c>
      <c r="W2" s="10">
        <f t="array" ref="W2:W1000">IF(A2:A1000="", "", IFERROR(T2:T1000 / U2:U1000, 0) )</f>
        <v>1</v>
      </c>
      <c r="X2" s="5" t="str">
        <f>IFERROR(__xludf.DUMMYFUNCTION("ARRAYFORMULA(
  IF(A2:A1000="""", """",
    IF(F2:F1000=""Final"",
      IF(G2:G1000 &gt; H2:H1000, ""RED WINS"", IF(H2:H1000 &gt; G2:G1000, ""BLUE WINS"", ""TIED"")),
      IF(F2:F1000=""Not Started"", ""TBD"",
        REGEXREPLACE(
          REGEXREPLACE(F2:F"&amp;"1000, ""Red |Blue "", """"), 
          "" THRU \d+"", 
          """"
        )
      )
    )
  )
)"),"RED WINS")</f>
        <v>RED WINS</v>
      </c>
      <c r="Y2" s="5" t="str">
        <f t="array" ref="Y2:Y1000">IF(A2:A1000="", "", M2:M1000 &amp; " vs " &amp; N2:N1000)</f>
        <v>Fito / Adri Mejia vs Fercho / Gaitan</v>
      </c>
      <c r="Z2" s="5" t="str">
        <f t="array" ref="Z2:Z1000">IF(A2:A1000="", "",
    IF(B2:B1000="Fourball", "golfers",
      IF(B2:B1000="Scramble", "users",
        "user"
      )
    )
  )</f>
        <v>golfers</v>
      </c>
      <c r="AA2" s="5" t="str">
        <f t="shared" ref="AA2:AA33" si="1">IF(A2="", "",
  "&lt;div style='display: flex; flex-direction: column; width: 100%; border: 2px solid " &amp;
    IF(NOT(ISERROR(FIND("Red", V2))), "#D32F2F", IF(NOT(ISERROR(FIND("Blue", V2))), "#1976D2", "#757575")) &amp;
  "; border-radius: 10px; margin-bottom: 12px; background: " &amp;
    IF(NOT(ISERROR(FIND("Red", V2))), "linear-gradient(135deg, #FFF5F5 0%, #FFFFFF 100%)", IF(NOT(ISERROR(FIND("Blue", V2))), "linear-gradient(135deg, #E3F2FD 0%, #FFFFFF 100%)", "linear-gradient(135deg, #F5F5F5 0%, #FFFFFF 100%)")) &amp;
  "; box-shadow: 0 3px 8px rgba(0,0,0,0.08); overflow: hidden;'&gt;&lt;div style='display: flex; justify-content: space-between; align-items: center; padding: 8px 12px; background: #FAFAFA; border-bottom: 1px solid #EEE; font-size: 0.75em; font-weight: 600; color:"&amp;" #666; text-transform: uppercase; letter-spacing: 0.5px;'&gt;&lt;span&gt;" &amp; 
    A2 &amp; " • " &amp; B2 &amp; 
  "&lt;/span&gt;&lt;span&gt;Hole " &amp; T2 &amp; "/" &amp; U2 &amp; 
  "&lt;/span&gt;&lt;/div&gt;&lt;div style='padding: 16px 14px 12px;'&gt;&lt;div style='display: flex; align-items: center; width: 100%;'&gt;&lt;div style='flex: 1; text-align: left; font-weight: 700; font-size: 1em; line-height: 1.2; padding: 0 4px; color: #1A1A1A;'&gt;" &amp;
    M2 &amp;
  "&lt;/div&gt;&lt;div style='flex: 0 0 75px; margin: 0 6px; padding: 8px 4px; border-radius: 8px; text-align: center; font-weight: 700; background-color: " &amp; 
    IF(NOT(ISERROR(FIND("Red", V2))), "#D32F2F", IF(NOT(ISERROR(FIND("Blue", V2))), "#1976D2", "#616161")) &amp;
  "; box-shadow: 0 2px 6px rgba(0,0,0,0.2);'&gt;&lt;span style='font-size: 1.1em; display: block; color: #FFFFFF; letter-spacing: 0.3px;'&gt;" &amp;
    X2 &amp;
  "&lt;/span&gt;" &amp;
  IF(NOT(ISERROR(FIND("WINS", X2))) + NOT(ISERROR(FIND("TIED", X2))),
    "&lt;span style='font-size: 0.75em; display: block; color: rgba(255,255,255,0.9); margin-top: 2px;'&gt;" &amp; AH2 &amp; "&lt;/span&gt;",
    ""
  ) &amp;
  "&lt;/div&gt;&lt;div style='flex: 1; text-align: right; font-weight: 700; font-size: 1em; line-height: 1.2; padding: 0 4px; color: #1A1A1A;'&gt;" &amp;
    N2 &amp;
  "&lt;/div&gt;&lt;/div&gt;" &amp;
  IF((V2&lt;&gt;"TBD") * (NOT(ISERROR(FIND("WINS", X2)))=FALSE) * (NOT(ISERROR(FIND("TIED", X2)))=FALSE) * (A2&lt;&gt;"") * (ISNUMBER(AF2)) * (AF2&lt;&gt;0),
    "&lt;div style='margin-top: 14px; padding: 0 4px;'&gt;&lt;div style='display: flex; justify-content: space-between; align-items: center; margin-bottom: 6px;'&gt;&lt;span style='font-size: 0.75em; font-weight: 700; color: #D32F2F;'&gt;" &amp; ROUND(AF2,0) &amp; "%&lt;/span&gt;&lt;span style='font-size: 0.7em; font-weight: 600; color: #757575; letter-spacing: 0.5px;'&gt;WIN PROBABILITY&lt;/span&gt;&lt;span style='font-size: 0.75em; font-weight: 700; color: #1976D2;'&gt;" &amp; ROUND(AG2,0) &amp; "%&lt;/span&gt;&lt;/div&gt;&lt;div style='position: relative; width: 100%; height: 8px; background-color: #E0E0E0; border-radius: 4px; overflow: hidden;'&gt;&lt;div style='position: absolute; left: 0; top: 0; height: 100%; background-color: #D32F2F; width: " &amp; ROUND(AF2,0) &amp; "%;'&gt;&lt;/div&gt;&lt;div style='position: absolute; right: 0; top: 0; height: 100%; background-color: #1976D2; width: " &amp; ROUND(AG2,0) &amp; "%;'&gt;&lt;/div&gt;&lt;/div&gt;&lt;/div&gt;",
    ""
  ) &amp;
  "&lt;/div&gt;&lt;div style='padding: 10px 14px; background: #FAFAFA; border-top: 1px solid #EEE; text-align: center;'&gt;&lt;span style='font-size: 0.8em; font-weight: 600; color: #666; text-transform: uppercase;'&gt;" &amp;
    I2 &amp; " " &amp; IF(I2=1, "PUNTO", "PUNTOS") &amp; " EN JUEGO" &amp;
  "&lt;/span&gt;&lt;/div&gt;&lt;/div&gt;"
)</f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0.5px;'&gt;&lt;span&gt;Flight_1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#1A1A1A;'&gt;Fito / Adri Mejia&lt;/div&gt;&lt;div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2px;'&gt;2 &amp; 1&lt;/span&gt;&lt;/div&gt;&lt;div style='flex: 1; text-align: right; font-weight: 700; font-size: 1em; line-height: 1.2; padding: 0 4px; color: #1A1A1A;'&gt;Fercho / Gaitan&lt;/div&gt;&lt;/div&gt;&lt;/div&gt;&lt;div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" s="5" t="str">
        <f t="array" ref="AB2:AB1000">IF(A2:A1000="", "",
    IF(S2:S1000="3_Final", "Final",
      IF(S2:S1000="4_Not_Started", "Not Started",
        IF(S2:S1000="1_Critical", "Live",
          IF(S2:S1000="2_Live", "Live", "Unknown")
        )
      )
    )
  )</f>
        <v>Final</v>
      </c>
      <c r="AC2" s="11" t="s">
        <v>414</v>
      </c>
      <c r="AD2" s="5" t="str">
        <f t="shared" ref="AD2:AD33" si="2">IF(S2="1_Critical", "⚡ Critical",
  IF(S2="2_Live", "🔴 Live",
    IF(S2="3_Final", "✅ Finished", "⏰ Not Started")
  )
)</f>
        <v>✅ Finished</v>
      </c>
      <c r="AE2" s="5" t="str">
        <f t="array" ref="AE2:AE1000">IF(F2:F1000="Final",
    SUBSTITUTE(F2:F1000, "Final ", ""),
    ""
  )</f>
        <v>Final</v>
      </c>
      <c r="AF2" s="5">
        <f t="shared" ref="AF2:AF33" si="3">IF(A2="", "",
  LET(
    red_won, C2,
    blue_won, D2,
    tied, E2,
    played, C2 + D2 + E2,
    remaining, 9 - played,
    lead, C2 - D2,
    ROUND(
      IF(F2="Final",
        IF(red_won &gt; blue_won, 100,
          IF(blue_won &gt; red_won, 0, 50)
        ),
        IF(played = 0, 50,
          IF(lead &gt; 0,
            IF(lead &gt;= remaining, 100,
              50 + (lead / (lead + remaining)) * 48
            ),
            IF(lead &lt; 0,
              IF((-1*lead) &gt;= remaining, 0,
                50 - ((-1*lead) / ((-1*lead) + remaining)) * 48
              ),
              50
            )
          )
        )
      ),
      1
    )
  )
)</f>
        <v>100</v>
      </c>
      <c r="AG2" s="5">
        <f t="shared" ref="AG2:AG33" si="4">100-AF2</f>
        <v>0</v>
      </c>
      <c r="AH2" s="5" t="str">
        <f t="array" ref="AH2:AH1000">IF(A2:A1000="", "",
    IF(F2:F1000&lt;&gt;"Final", "",
      LET(
        red_won, C2:C1000,
        blue_won, D2:D1000,
        holes_played, C2:C1000 + D2:D1000 + E2:E1000,
        lead, ABS(C2:C1000 - D2:D1000),
        holes_remaining, 9 - holes_played,
        IF(lead = 0, "A/S (Final)",
          IF(holes_remaining = 0,
            lead &amp; " UP",
            lead &amp; " &amp; " &amp; holes_remaining
          )
        )
      )
    )
  )</f>
        <v>2 &amp; 1</v>
      </c>
    </row>
    <row r="3">
      <c r="A3" s="5" t="str">
        <f>IFERROR(__xludf.DUMMYFUNCTION("""COMPUTED_VALUE"""),"Flight_1")</f>
        <v>Flight_1</v>
      </c>
      <c r="B3" s="5" t="str">
        <f>IFERROR(__xludf.DUMMYFUNCTION("""COMPUTED_VALUE"""),"Individual 1")</f>
        <v>Individual 1</v>
      </c>
      <c r="C3" s="5">
        <f>IFERROR(__xludf.DUMMYFUNCTION("""COMPUTED_VALUE"""),4.0)</f>
        <v>4</v>
      </c>
      <c r="D3" s="5">
        <f>IFERROR(__xludf.DUMMYFUNCTION("""COMPUTED_VALUE"""),2.0)</f>
        <v>2</v>
      </c>
      <c r="E3" s="5">
        <f>IFERROR(__xludf.DUMMYFUNCTION("""COMPUTED_VALUE"""),2.0)</f>
        <v>2</v>
      </c>
      <c r="F3" s="5" t="str">
        <f>IFERROR(__xludf.DUMMYFUNCTION("""COMPUTED_VALUE"""),"Final")</f>
        <v>Final</v>
      </c>
      <c r="G3" s="5">
        <f>IFERROR(__xludf.DUMMYFUNCTION("""COMPUTED_VALUE"""),1.0)</f>
        <v>1</v>
      </c>
      <c r="H3" s="5">
        <f>IFERROR(__xludf.DUMMYFUNCTION("""COMPUTED_VALUE"""),0.0)</f>
        <v>0</v>
      </c>
      <c r="I3" s="5">
        <f>IFERROR(__xludf.DUMMYFUNCTION("""COMPUTED_VALUE"""),1.0)</f>
        <v>1</v>
      </c>
      <c r="J3" s="5">
        <f>IFERROR(__xludf.DUMMYFUNCTION("""COMPUTED_VALUE"""),1.0)</f>
        <v>1</v>
      </c>
      <c r="K3" s="5">
        <f>IFERROR(__xludf.DUMMYFUNCTION("""COMPUTED_VALUE"""),0.0)</f>
        <v>0</v>
      </c>
      <c r="L3" s="5" t="str">
        <f>IFERROR(__xludf.DUMMYFUNCTION("""COMPUTED_VALUE"""),"Flight_1_Individual 1")</f>
        <v>Flight_1_Individual 1</v>
      </c>
      <c r="M3" s="5" t="str">
        <f>IFERROR(__xludf.DUMMYFUNCTION("""COMPUTED_VALUE"""),"Fito")</f>
        <v>Fito</v>
      </c>
      <c r="N3" s="5" t="str">
        <f>IFERROR(__xludf.DUMMYFUNCTION("""COMPUTED_VALUE"""),"Fercho")</f>
        <v>Fercho</v>
      </c>
      <c r="O3" s="5" t="b">
        <f>IFERROR(__xludf.DUMMYFUNCTION("""COMPUTED_VALUE"""),FALSE)</f>
        <v>0</v>
      </c>
      <c r="P3" s="5">
        <f>IFERROR(__xludf.DUMMYFUNCTION("""COMPUTED_VALUE"""),0.0)</f>
        <v>0</v>
      </c>
      <c r="Q3" s="5" t="str">
        <f>IFERROR(__xludf.DUMMYFUNCTION("""COMPUTED_VALUE"""),"")</f>
        <v/>
      </c>
      <c r="R3" s="5" t="str">
        <f>IFERROR(__xludf.DUMMYFUNCTION("""COMPUTED_VALUE"""),"")</f>
        <v/>
      </c>
      <c r="S3" s="5" t="s">
        <v>415</v>
      </c>
      <c r="T3" s="5">
        <f>IFERROR(__xludf.DUMMYFUNCTION("""COMPUTED_VALUE"""),9.0)</f>
        <v>9</v>
      </c>
      <c r="U3" s="5">
        <v>9.0</v>
      </c>
      <c r="V3" s="5" t="s">
        <v>12</v>
      </c>
      <c r="W3" s="10">
        <v>1.0</v>
      </c>
      <c r="X3" s="5" t="str">
        <f>IFERROR(__xludf.DUMMYFUNCTION("""COMPUTED_VALUE"""),"RED WINS")</f>
        <v>RED WINS</v>
      </c>
      <c r="Y3" s="5" t="s">
        <v>416</v>
      </c>
      <c r="Z3" s="5" t="s">
        <v>417</v>
      </c>
      <c r="AA3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0.5px;'&gt;&lt;span&gt;Flight_1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#1A1A1A;'&gt;Fito&lt;/div&gt;&lt;div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2px;'&gt;2 &amp; 1&lt;/span&gt;&lt;/div&gt;&lt;div style='flex: 1; text-align: right; font-weight: 700; font-size: 1em; line-height: 1.2; padding: 0 4px; color: #1A1A1A;'&gt;Fercho&lt;/div&gt;&lt;/div&gt;&lt;/div&gt;&lt;div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3" s="5" t="s">
        <v>418</v>
      </c>
      <c r="AC3" s="11" t="s">
        <v>419</v>
      </c>
      <c r="AD3" s="5" t="str">
        <f t="shared" si="2"/>
        <v>✅ Finished</v>
      </c>
      <c r="AE3" s="5" t="s">
        <v>418</v>
      </c>
      <c r="AF3" s="5">
        <f t="shared" si="3"/>
        <v>100</v>
      </c>
      <c r="AG3" s="5">
        <f t="shared" si="4"/>
        <v>0</v>
      </c>
      <c r="AH3" s="5" t="s">
        <v>420</v>
      </c>
    </row>
    <row r="4">
      <c r="A4" s="5" t="str">
        <f>IFERROR(__xludf.DUMMYFUNCTION("""COMPUTED_VALUE"""),"Flight_1")</f>
        <v>Flight_1</v>
      </c>
      <c r="B4" s="5" t="str">
        <f>IFERROR(__xludf.DUMMYFUNCTION("""COMPUTED_VALUE"""),"Individual 2")</f>
        <v>Individual 2</v>
      </c>
      <c r="C4" s="5">
        <f>IFERROR(__xludf.DUMMYFUNCTION("""COMPUTED_VALUE"""),2.0)</f>
        <v>2</v>
      </c>
      <c r="D4" s="5">
        <f>IFERROR(__xludf.DUMMYFUNCTION("""COMPUTED_VALUE"""),4.0)</f>
        <v>4</v>
      </c>
      <c r="E4" s="5">
        <f>IFERROR(__xludf.DUMMYFUNCTION("""COMPUTED_VALUE"""),2.0)</f>
        <v>2</v>
      </c>
      <c r="F4" s="5" t="str">
        <f>IFERROR(__xludf.DUMMYFUNCTION("""COMPUTED_VALUE"""),"Final")</f>
        <v>Final</v>
      </c>
      <c r="G4" s="5">
        <f>IFERROR(__xludf.DUMMYFUNCTION("""COMPUTED_VALUE"""),0.0)</f>
        <v>0</v>
      </c>
      <c r="H4" s="5">
        <f>IFERROR(__xludf.DUMMYFUNCTION("""COMPUTED_VALUE"""),1.0)</f>
        <v>1</v>
      </c>
      <c r="I4" s="5">
        <f>IFERROR(__xludf.DUMMYFUNCTION("""COMPUTED_VALUE"""),1.0)</f>
        <v>1</v>
      </c>
      <c r="J4" s="5">
        <f>IFERROR(__xludf.DUMMYFUNCTION("""COMPUTED_VALUE"""),0.0)</f>
        <v>0</v>
      </c>
      <c r="K4" s="5">
        <f>IFERROR(__xludf.DUMMYFUNCTION("""COMPUTED_VALUE"""),1.0)</f>
        <v>1</v>
      </c>
      <c r="L4" s="5" t="str">
        <f>IFERROR(__xludf.DUMMYFUNCTION("""COMPUTED_VALUE"""),"Flight_1_Individual 2")</f>
        <v>Flight_1_Individual 2</v>
      </c>
      <c r="M4" s="5" t="str">
        <f>IFERROR(__xludf.DUMMYFUNCTION("""COMPUTED_VALUE"""),"Adri Mejia")</f>
        <v>Adri Mejia</v>
      </c>
      <c r="N4" s="5" t="str">
        <f>IFERROR(__xludf.DUMMYFUNCTION("""COMPUTED_VALUE"""),"Gaitan")</f>
        <v>Gaitan</v>
      </c>
      <c r="O4" s="5" t="b">
        <f>IFERROR(__xludf.DUMMYFUNCTION("""COMPUTED_VALUE"""),FALSE)</f>
        <v>0</v>
      </c>
      <c r="P4" s="5">
        <f>IFERROR(__xludf.DUMMYFUNCTION("""COMPUTED_VALUE"""),0.0)</f>
        <v>0</v>
      </c>
      <c r="Q4" s="5" t="str">
        <f>IFERROR(__xludf.DUMMYFUNCTION("""COMPUTED_VALUE"""),"")</f>
        <v/>
      </c>
      <c r="R4" s="5" t="str">
        <f>IFERROR(__xludf.DUMMYFUNCTION("""COMPUTED_VALUE"""),"")</f>
        <v/>
      </c>
      <c r="S4" s="5" t="s">
        <v>415</v>
      </c>
      <c r="T4" s="5">
        <f>IFERROR(__xludf.DUMMYFUNCTION("""COMPUTED_VALUE"""),9.0)</f>
        <v>9</v>
      </c>
      <c r="U4" s="5">
        <v>9.0</v>
      </c>
      <c r="V4" s="5" t="s">
        <v>7</v>
      </c>
      <c r="W4" s="10">
        <v>1.0</v>
      </c>
      <c r="X4" s="5" t="str">
        <f>IFERROR(__xludf.DUMMYFUNCTION("""COMPUTED_VALUE"""),"BLUE WINS")</f>
        <v>BLUE WINS</v>
      </c>
      <c r="Y4" s="5" t="s">
        <v>421</v>
      </c>
      <c r="Z4" s="5" t="s">
        <v>417</v>
      </c>
      <c r="AA4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0.5px;'&gt;&lt;span&gt;Flight_1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#1A1A1A;'&gt;Adri Mejia&lt;/div&gt;&lt;div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2px;'&gt;2 &amp; 1&lt;/span&gt;&lt;/div&gt;&lt;div style='flex: 1; text-align: right; font-weight: 700; font-size: 1em; line-height: 1.2; padding: 0 4px; color: #1A1A1A;'&gt;Gaitan&lt;/div&gt;&lt;/div&gt;&lt;/div&gt;&lt;div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4" s="5" t="s">
        <v>418</v>
      </c>
      <c r="AC4" s="11" t="s">
        <v>422</v>
      </c>
      <c r="AD4" s="5" t="str">
        <f t="shared" si="2"/>
        <v>✅ Finished</v>
      </c>
      <c r="AE4" s="5" t="s">
        <v>418</v>
      </c>
      <c r="AF4" s="5">
        <f t="shared" si="3"/>
        <v>0</v>
      </c>
      <c r="AG4" s="5">
        <f t="shared" si="4"/>
        <v>100</v>
      </c>
      <c r="AH4" s="5" t="s">
        <v>420</v>
      </c>
    </row>
    <row r="5">
      <c r="A5" s="5" t="str">
        <f>IFERROR(__xludf.DUMMYFUNCTION("""COMPUTED_VALUE"""),"Flight_1")</f>
        <v>Flight_1</v>
      </c>
      <c r="B5" s="5" t="str">
        <f>IFERROR(__xludf.DUMMYFUNCTION("""COMPUTED_VALUE"""),"Scramble")</f>
        <v>Scramble</v>
      </c>
      <c r="C5" s="5">
        <f>IFERROR(__xludf.DUMMYFUNCTION("""COMPUTED_VALUE"""),4.0)</f>
        <v>4</v>
      </c>
      <c r="D5" s="5">
        <f>IFERROR(__xludf.DUMMYFUNCTION("""COMPUTED_VALUE"""),1.0)</f>
        <v>1</v>
      </c>
      <c r="E5" s="5">
        <f>IFERROR(__xludf.DUMMYFUNCTION("""COMPUTED_VALUE"""),4.0)</f>
        <v>4</v>
      </c>
      <c r="F5" s="5" t="str">
        <f>IFERROR(__xludf.DUMMYFUNCTION("""COMPUTED_VALUE"""),"Final")</f>
        <v>Final</v>
      </c>
      <c r="G5" s="5">
        <f>IFERROR(__xludf.DUMMYFUNCTION("""COMPUTED_VALUE"""),2.0)</f>
        <v>2</v>
      </c>
      <c r="H5" s="5">
        <f>IFERROR(__xludf.DUMMYFUNCTION("""COMPUTED_VALUE"""),0.0)</f>
        <v>0</v>
      </c>
      <c r="I5" s="5">
        <f>IFERROR(__xludf.DUMMYFUNCTION("""COMPUTED_VALUE"""),2.0)</f>
        <v>2</v>
      </c>
      <c r="J5" s="5">
        <f>IFERROR(__xludf.DUMMYFUNCTION("""COMPUTED_VALUE"""),2.0)</f>
        <v>2</v>
      </c>
      <c r="K5" s="5">
        <f>IFERROR(__xludf.DUMMYFUNCTION("""COMPUTED_VALUE"""),0.0)</f>
        <v>0</v>
      </c>
      <c r="L5" s="5" t="str">
        <f>IFERROR(__xludf.DUMMYFUNCTION("""COMPUTED_VALUE"""),"Flight_1_Scramble")</f>
        <v>Flight_1_Scramble</v>
      </c>
      <c r="M5" s="5" t="str">
        <f>IFERROR(__xludf.DUMMYFUNCTION("""COMPUTED_VALUE"""),"Fito / Adri Mejia")</f>
        <v>Fito / Adri Mejia</v>
      </c>
      <c r="N5" s="5" t="str">
        <f>IFERROR(__xludf.DUMMYFUNCTION("""COMPUTED_VALUE"""),"Fercho / Gaitan")</f>
        <v>Fercho / Gaitan</v>
      </c>
      <c r="O5" s="5" t="b">
        <f>IFERROR(__xludf.DUMMYFUNCTION("""COMPUTED_VALUE"""),FALSE)</f>
        <v>0</v>
      </c>
      <c r="P5" s="5">
        <f>IFERROR(__xludf.DUMMYFUNCTION("""COMPUTED_VALUE"""),0.0)</f>
        <v>0</v>
      </c>
      <c r="Q5" s="5" t="str">
        <f>IFERROR(__xludf.DUMMYFUNCTION("""COMPUTED_VALUE"""),"")</f>
        <v/>
      </c>
      <c r="R5" s="5" t="str">
        <f>IFERROR(__xludf.DUMMYFUNCTION("""COMPUTED_VALUE"""),"")</f>
        <v/>
      </c>
      <c r="S5" s="5" t="s">
        <v>415</v>
      </c>
      <c r="T5" s="5">
        <f>IFERROR(__xludf.DUMMYFUNCTION("""COMPUTED_VALUE"""),9.0)</f>
        <v>9</v>
      </c>
      <c r="U5" s="5">
        <v>9.0</v>
      </c>
      <c r="V5" s="5" t="s">
        <v>12</v>
      </c>
      <c r="W5" s="10">
        <v>1.0</v>
      </c>
      <c r="X5" s="5" t="str">
        <f>IFERROR(__xludf.DUMMYFUNCTION("""COMPUTED_VALUE"""),"RED WINS")</f>
        <v>RED WINS</v>
      </c>
      <c r="Y5" s="5" t="s">
        <v>423</v>
      </c>
      <c r="Z5" s="5" t="s">
        <v>424</v>
      </c>
      <c r="AA5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0.5px;'&gt;&lt;span&gt;Flight_1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#1A1A1A;'&gt;Fito / Adri Mejia&lt;/div&gt;&lt;div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2px;'&gt;3 UP&lt;/span&gt;&lt;/div&gt;&lt;div style='flex: 1; text-align: right; font-weight: 700; font-size: 1em; line-height: 1.2; padding: 0 4px; color: #1A1A1A;'&gt;Fercho / Gaitan&lt;/div&gt;&lt;/div&gt;&lt;/div&gt;&lt;div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5" s="5" t="s">
        <v>418</v>
      </c>
      <c r="AC5" s="11" t="s">
        <v>425</v>
      </c>
      <c r="AD5" s="5" t="str">
        <f t="shared" si="2"/>
        <v>✅ Finished</v>
      </c>
      <c r="AE5" s="5" t="s">
        <v>418</v>
      </c>
      <c r="AF5" s="5">
        <f t="shared" si="3"/>
        <v>100</v>
      </c>
      <c r="AG5" s="5">
        <f t="shared" si="4"/>
        <v>0</v>
      </c>
      <c r="AH5" s="5" t="s">
        <v>358</v>
      </c>
    </row>
    <row r="6">
      <c r="A6" s="5" t="str">
        <f>IFERROR(__xludf.DUMMYFUNCTION("""COMPUTED_VALUE"""),"Flight_2")</f>
        <v>Flight_2</v>
      </c>
      <c r="B6" s="5" t="str">
        <f>IFERROR(__xludf.DUMMYFUNCTION("""COMPUTED_VALUE"""),"Fourball")</f>
        <v>Fourball</v>
      </c>
      <c r="C6" s="5">
        <f>IFERROR(__xludf.DUMMYFUNCTION("""COMPUTED_VALUE"""),2.0)</f>
        <v>2</v>
      </c>
      <c r="D6" s="5">
        <f>IFERROR(__xludf.DUMMYFUNCTION("""COMPUTED_VALUE"""),3.0)</f>
        <v>3</v>
      </c>
      <c r="E6" s="5">
        <f>IFERROR(__xludf.DUMMYFUNCTION("""COMPUTED_VALUE"""),4.0)</f>
        <v>4</v>
      </c>
      <c r="F6" s="5" t="str">
        <f>IFERROR(__xludf.DUMMYFUNCTION("""COMPUTED_VALUE"""),"Final")</f>
        <v>Final</v>
      </c>
      <c r="G6" s="5">
        <f>IFERROR(__xludf.DUMMYFUNCTION("""COMPUTED_VALUE"""),0.0)</f>
        <v>0</v>
      </c>
      <c r="H6" s="5">
        <f>IFERROR(__xludf.DUMMYFUNCTION("""COMPUTED_VALUE"""),1.0)</f>
        <v>1</v>
      </c>
      <c r="I6" s="5">
        <f>IFERROR(__xludf.DUMMYFUNCTION("""COMPUTED_VALUE"""),1.0)</f>
        <v>1</v>
      </c>
      <c r="J6" s="5">
        <f>IFERROR(__xludf.DUMMYFUNCTION("""COMPUTED_VALUE"""),0.0)</f>
        <v>0</v>
      </c>
      <c r="K6" s="5">
        <f>IFERROR(__xludf.DUMMYFUNCTION("""COMPUTED_VALUE"""),1.0)</f>
        <v>1</v>
      </c>
      <c r="L6" s="5" t="str">
        <f>IFERROR(__xludf.DUMMYFUNCTION("""COMPUTED_VALUE"""),"Flight_2_Fourball")</f>
        <v>Flight_2_Fourball</v>
      </c>
      <c r="M6" s="5" t="str">
        <f>IFERROR(__xludf.DUMMYFUNCTION("""COMPUTED_VALUE"""),"Cadavid / Saenz")</f>
        <v>Cadavid / Saenz</v>
      </c>
      <c r="N6" s="5" t="str">
        <f>IFERROR(__xludf.DUMMYFUNCTION("""COMPUTED_VALUE"""),"Otto Fenwarth / Valenzuela")</f>
        <v>Otto Fenwarth / Valenzuela</v>
      </c>
      <c r="O6" s="5" t="b">
        <f>IFERROR(__xludf.DUMMYFUNCTION("""COMPUTED_VALUE"""),FALSE)</f>
        <v>0</v>
      </c>
      <c r="P6" s="5">
        <f>IFERROR(__xludf.DUMMYFUNCTION("""COMPUTED_VALUE"""),0.0)</f>
        <v>0</v>
      </c>
      <c r="Q6" s="5" t="str">
        <f>IFERROR(__xludf.DUMMYFUNCTION("""COMPUTED_VALUE"""),"")</f>
        <v/>
      </c>
      <c r="R6" s="5" t="str">
        <f>IFERROR(__xludf.DUMMYFUNCTION("""COMPUTED_VALUE"""),"")</f>
        <v/>
      </c>
      <c r="S6" s="5" t="s">
        <v>415</v>
      </c>
      <c r="T6" s="5">
        <f>IFERROR(__xludf.DUMMYFUNCTION("""COMPUTED_VALUE"""),9.0)</f>
        <v>9</v>
      </c>
      <c r="U6" s="5">
        <v>9.0</v>
      </c>
      <c r="V6" s="5" t="s">
        <v>7</v>
      </c>
      <c r="W6" s="10">
        <v>1.0</v>
      </c>
      <c r="X6" s="5" t="str">
        <f>IFERROR(__xludf.DUMMYFUNCTION("""COMPUTED_VALUE"""),"BLUE WINS")</f>
        <v>BLUE WINS</v>
      </c>
      <c r="Y6" s="5" t="s">
        <v>426</v>
      </c>
      <c r="Z6" s="5" t="s">
        <v>427</v>
      </c>
      <c r="AA6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0.5px;'&gt;&lt;span&gt;Flight_2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#1A1A1A;'&gt;Cadavid / Saenz&lt;/div&gt;&lt;div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2px;'&gt;1 UP&lt;/span&gt;&lt;/div&gt;&lt;div style='flex: 1; text-align: right; font-weight: 700; font-size: 1em; line-height: 1.2; padding: 0 4px; color: #1A1A1A;'&gt;Otto Fenwarth / Valenzuela&lt;/div&gt;&lt;/div&gt;&lt;/div&gt;&lt;div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6" s="5" t="s">
        <v>418</v>
      </c>
      <c r="AC6" s="11" t="s">
        <v>428</v>
      </c>
      <c r="AD6" s="5" t="str">
        <f t="shared" si="2"/>
        <v>✅ Finished</v>
      </c>
      <c r="AE6" s="5" t="s">
        <v>418</v>
      </c>
      <c r="AF6" s="5">
        <f t="shared" si="3"/>
        <v>0</v>
      </c>
      <c r="AG6" s="5">
        <f t="shared" si="4"/>
        <v>100</v>
      </c>
      <c r="AH6" s="5" t="s">
        <v>352</v>
      </c>
    </row>
    <row r="7">
      <c r="A7" s="5" t="str">
        <f>IFERROR(__xludf.DUMMYFUNCTION("""COMPUTED_VALUE"""),"Flight_2")</f>
        <v>Flight_2</v>
      </c>
      <c r="B7" s="5" t="str">
        <f>IFERROR(__xludf.DUMMYFUNCTION("""COMPUTED_VALUE"""),"Individual 1")</f>
        <v>Individual 1</v>
      </c>
      <c r="C7" s="5">
        <f>IFERROR(__xludf.DUMMYFUNCTION("""COMPUTED_VALUE"""),4.0)</f>
        <v>4</v>
      </c>
      <c r="D7" s="5">
        <f>IFERROR(__xludf.DUMMYFUNCTION("""COMPUTED_VALUE"""),2.0)</f>
        <v>2</v>
      </c>
      <c r="E7" s="5">
        <f>IFERROR(__xludf.DUMMYFUNCTION("""COMPUTED_VALUE"""),3.0)</f>
        <v>3</v>
      </c>
      <c r="F7" s="5" t="str">
        <f>IFERROR(__xludf.DUMMYFUNCTION("""COMPUTED_VALUE"""),"Final")</f>
        <v>Final</v>
      </c>
      <c r="G7" s="5">
        <f>IFERROR(__xludf.DUMMYFUNCTION("""COMPUTED_VALUE"""),1.0)</f>
        <v>1</v>
      </c>
      <c r="H7" s="5">
        <f>IFERROR(__xludf.DUMMYFUNCTION("""COMPUTED_VALUE"""),0.0)</f>
        <v>0</v>
      </c>
      <c r="I7" s="5">
        <f>IFERROR(__xludf.DUMMYFUNCTION("""COMPUTED_VALUE"""),1.0)</f>
        <v>1</v>
      </c>
      <c r="J7" s="5">
        <f>IFERROR(__xludf.DUMMYFUNCTION("""COMPUTED_VALUE"""),1.0)</f>
        <v>1</v>
      </c>
      <c r="K7" s="5">
        <f>IFERROR(__xludf.DUMMYFUNCTION("""COMPUTED_VALUE"""),0.0)</f>
        <v>0</v>
      </c>
      <c r="L7" s="5" t="str">
        <f>IFERROR(__xludf.DUMMYFUNCTION("""COMPUTED_VALUE"""),"Flight_2_Individual 1")</f>
        <v>Flight_2_Individual 1</v>
      </c>
      <c r="M7" s="5" t="str">
        <f>IFERROR(__xludf.DUMMYFUNCTION("""COMPUTED_VALUE"""),"Cadavid")</f>
        <v>Cadavid</v>
      </c>
      <c r="N7" s="5" t="str">
        <f>IFERROR(__xludf.DUMMYFUNCTION("""COMPUTED_VALUE"""),"Otto Fenwarth")</f>
        <v>Otto Fenwarth</v>
      </c>
      <c r="O7" s="5" t="b">
        <f>IFERROR(__xludf.DUMMYFUNCTION("""COMPUTED_VALUE"""),FALSE)</f>
        <v>0</v>
      </c>
      <c r="P7" s="5">
        <f>IFERROR(__xludf.DUMMYFUNCTION("""COMPUTED_VALUE"""),0.0)</f>
        <v>0</v>
      </c>
      <c r="Q7" s="5" t="str">
        <f>IFERROR(__xludf.DUMMYFUNCTION("""COMPUTED_VALUE"""),"")</f>
        <v/>
      </c>
      <c r="R7" s="5" t="str">
        <f>IFERROR(__xludf.DUMMYFUNCTION("""COMPUTED_VALUE"""),"")</f>
        <v/>
      </c>
      <c r="S7" s="5" t="s">
        <v>415</v>
      </c>
      <c r="T7" s="5">
        <f>IFERROR(__xludf.DUMMYFUNCTION("""COMPUTED_VALUE"""),9.0)</f>
        <v>9</v>
      </c>
      <c r="U7" s="5">
        <v>9.0</v>
      </c>
      <c r="V7" s="5" t="s">
        <v>12</v>
      </c>
      <c r="W7" s="10">
        <v>1.0</v>
      </c>
      <c r="X7" s="5" t="str">
        <f>IFERROR(__xludf.DUMMYFUNCTION("""COMPUTED_VALUE"""),"RED WINS")</f>
        <v>RED WINS</v>
      </c>
      <c r="Y7" s="5" t="s">
        <v>429</v>
      </c>
      <c r="Z7" s="5" t="s">
        <v>417</v>
      </c>
      <c r="AA7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0.5px;'&gt;&lt;span&gt;Flight_2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#1A1A1A;'&gt;Cadavid&lt;/div&gt;&lt;div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2px;'&gt;2 UP&lt;/span&gt;&lt;/div&gt;&lt;div style='flex: 1; text-align: right; font-weight: 700; font-size: 1em; line-height: 1.2; padding: 0 4px; color: #1A1A1A;'&gt;Otto Fenwarth&lt;/div&gt;&lt;/div&gt;&lt;/div&gt;&lt;div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7" s="5" t="s">
        <v>418</v>
      </c>
      <c r="AC7" s="11" t="s">
        <v>430</v>
      </c>
      <c r="AD7" s="5" t="str">
        <f t="shared" si="2"/>
        <v>✅ Finished</v>
      </c>
      <c r="AE7" s="5" t="s">
        <v>418</v>
      </c>
      <c r="AF7" s="5">
        <f t="shared" si="3"/>
        <v>100</v>
      </c>
      <c r="AG7" s="5">
        <f t="shared" si="4"/>
        <v>0</v>
      </c>
      <c r="AH7" s="5" t="s">
        <v>354</v>
      </c>
    </row>
    <row r="8">
      <c r="A8" s="5" t="str">
        <f>IFERROR(__xludf.DUMMYFUNCTION("""COMPUTED_VALUE"""),"Flight_2")</f>
        <v>Flight_2</v>
      </c>
      <c r="B8" s="5" t="str">
        <f>IFERROR(__xludf.DUMMYFUNCTION("""COMPUTED_VALUE"""),"Individual 2")</f>
        <v>Individual 2</v>
      </c>
      <c r="C8" s="5">
        <f>IFERROR(__xludf.DUMMYFUNCTION("""COMPUTED_VALUE"""),1.0)</f>
        <v>1</v>
      </c>
      <c r="D8" s="5">
        <f>IFERROR(__xludf.DUMMYFUNCTION("""COMPUTED_VALUE"""),4.0)</f>
        <v>4</v>
      </c>
      <c r="E8" s="5">
        <f>IFERROR(__xludf.DUMMYFUNCTION("""COMPUTED_VALUE"""),4.0)</f>
        <v>4</v>
      </c>
      <c r="F8" s="5" t="str">
        <f>IFERROR(__xludf.DUMMYFUNCTION("""COMPUTED_VALUE"""),"Final")</f>
        <v>Final</v>
      </c>
      <c r="G8" s="5">
        <f>IFERROR(__xludf.DUMMYFUNCTION("""COMPUTED_VALUE"""),0.0)</f>
        <v>0</v>
      </c>
      <c r="H8" s="5">
        <f>IFERROR(__xludf.DUMMYFUNCTION("""COMPUTED_VALUE"""),1.0)</f>
        <v>1</v>
      </c>
      <c r="I8" s="5">
        <f>IFERROR(__xludf.DUMMYFUNCTION("""COMPUTED_VALUE"""),1.0)</f>
        <v>1</v>
      </c>
      <c r="J8" s="5">
        <f>IFERROR(__xludf.DUMMYFUNCTION("""COMPUTED_VALUE"""),0.0)</f>
        <v>0</v>
      </c>
      <c r="K8" s="5">
        <f>IFERROR(__xludf.DUMMYFUNCTION("""COMPUTED_VALUE"""),1.0)</f>
        <v>1</v>
      </c>
      <c r="L8" s="5" t="str">
        <f>IFERROR(__xludf.DUMMYFUNCTION("""COMPUTED_VALUE"""),"Flight_2_Individual 2")</f>
        <v>Flight_2_Individual 2</v>
      </c>
      <c r="M8" s="5" t="str">
        <f>IFERROR(__xludf.DUMMYFUNCTION("""COMPUTED_VALUE"""),"Saenz")</f>
        <v>Saenz</v>
      </c>
      <c r="N8" s="5" t="str">
        <f>IFERROR(__xludf.DUMMYFUNCTION("""COMPUTED_VALUE"""),"Valenzuela")</f>
        <v>Valenzuela</v>
      </c>
      <c r="O8" s="5" t="b">
        <f>IFERROR(__xludf.DUMMYFUNCTION("""COMPUTED_VALUE"""),FALSE)</f>
        <v>0</v>
      </c>
      <c r="P8" s="5">
        <f>IFERROR(__xludf.DUMMYFUNCTION("""COMPUTED_VALUE"""),0.0)</f>
        <v>0</v>
      </c>
      <c r="Q8" s="5" t="str">
        <f>IFERROR(__xludf.DUMMYFUNCTION("""COMPUTED_VALUE"""),"")</f>
        <v/>
      </c>
      <c r="R8" s="5" t="str">
        <f>IFERROR(__xludf.DUMMYFUNCTION("""COMPUTED_VALUE"""),"")</f>
        <v/>
      </c>
      <c r="S8" s="5" t="s">
        <v>415</v>
      </c>
      <c r="T8" s="5">
        <f>IFERROR(__xludf.DUMMYFUNCTION("""COMPUTED_VALUE"""),9.0)</f>
        <v>9</v>
      </c>
      <c r="U8" s="5">
        <v>9.0</v>
      </c>
      <c r="V8" s="5" t="s">
        <v>7</v>
      </c>
      <c r="W8" s="10">
        <v>1.0</v>
      </c>
      <c r="X8" s="5" t="str">
        <f>IFERROR(__xludf.DUMMYFUNCTION("""COMPUTED_VALUE"""),"BLUE WINS")</f>
        <v>BLUE WINS</v>
      </c>
      <c r="Y8" s="5" t="s">
        <v>431</v>
      </c>
      <c r="Z8" s="5" t="s">
        <v>417</v>
      </c>
      <c r="AA8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0.5px;'&gt;&lt;span&gt;Flight_2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#1A1A1A;'&gt;Saenz&lt;/div&gt;&lt;div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2px;'&gt;3 UP&lt;/span&gt;&lt;/div&gt;&lt;div style='flex: 1; text-align: right; font-weight: 700; font-size: 1em; line-height: 1.2; padding: 0 4px; color: #1A1A1A;'&gt;Valenzuela&lt;/div&gt;&lt;/div&gt;&lt;/div&gt;&lt;div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8" s="5" t="s">
        <v>418</v>
      </c>
      <c r="AC8" s="11" t="s">
        <v>432</v>
      </c>
      <c r="AD8" s="5" t="str">
        <f t="shared" si="2"/>
        <v>✅ Finished</v>
      </c>
      <c r="AE8" s="5" t="s">
        <v>418</v>
      </c>
      <c r="AF8" s="5">
        <f t="shared" si="3"/>
        <v>0</v>
      </c>
      <c r="AG8" s="5">
        <f t="shared" si="4"/>
        <v>100</v>
      </c>
      <c r="AH8" s="5" t="s">
        <v>358</v>
      </c>
    </row>
    <row r="9">
      <c r="A9" s="5" t="str">
        <f>IFERROR(__xludf.DUMMYFUNCTION("""COMPUTED_VALUE"""),"Flight_2")</f>
        <v>Flight_2</v>
      </c>
      <c r="B9" s="5" t="str">
        <f>IFERROR(__xludf.DUMMYFUNCTION("""COMPUTED_VALUE"""),"Scramble")</f>
        <v>Scramble</v>
      </c>
      <c r="C9" s="5">
        <f>IFERROR(__xludf.DUMMYFUNCTION("""COMPUTED_VALUE"""),1.0)</f>
        <v>1</v>
      </c>
      <c r="D9" s="5">
        <f>IFERROR(__xludf.DUMMYFUNCTION("""COMPUTED_VALUE"""),3.0)</f>
        <v>3</v>
      </c>
      <c r="E9" s="5">
        <f>IFERROR(__xludf.DUMMYFUNCTION("""COMPUTED_VALUE"""),4.0)</f>
        <v>4</v>
      </c>
      <c r="F9" s="5" t="str">
        <f>IFERROR(__xludf.DUMMYFUNCTION("""COMPUTED_VALUE"""),"Final")</f>
        <v>Final</v>
      </c>
      <c r="G9" s="5">
        <f>IFERROR(__xludf.DUMMYFUNCTION("""COMPUTED_VALUE"""),0.0)</f>
        <v>0</v>
      </c>
      <c r="H9" s="5">
        <f>IFERROR(__xludf.DUMMYFUNCTION("""COMPUTED_VALUE"""),2.0)</f>
        <v>2</v>
      </c>
      <c r="I9" s="5">
        <f>IFERROR(__xludf.DUMMYFUNCTION("""COMPUTED_VALUE"""),2.0)</f>
        <v>2</v>
      </c>
      <c r="J9" s="5">
        <f>IFERROR(__xludf.DUMMYFUNCTION("""COMPUTED_VALUE"""),0.0)</f>
        <v>0</v>
      </c>
      <c r="K9" s="5">
        <f>IFERROR(__xludf.DUMMYFUNCTION("""COMPUTED_VALUE"""),2.0)</f>
        <v>2</v>
      </c>
      <c r="L9" s="5" t="str">
        <f>IFERROR(__xludf.DUMMYFUNCTION("""COMPUTED_VALUE"""),"Flight_2_Scramble")</f>
        <v>Flight_2_Scramble</v>
      </c>
      <c r="M9" s="5" t="str">
        <f>IFERROR(__xludf.DUMMYFUNCTION("""COMPUTED_VALUE"""),"Cadavid / Saenz")</f>
        <v>Cadavid / Saenz</v>
      </c>
      <c r="N9" s="5" t="str">
        <f>IFERROR(__xludf.DUMMYFUNCTION("""COMPUTED_VALUE"""),"Otto Fenwarth / Valenzuela")</f>
        <v>Otto Fenwarth / Valenzuela</v>
      </c>
      <c r="O9" s="5" t="b">
        <f>IFERROR(__xludf.DUMMYFUNCTION("""COMPUTED_VALUE"""),FALSE)</f>
        <v>0</v>
      </c>
      <c r="P9" s="5">
        <f>IFERROR(__xludf.DUMMYFUNCTION("""COMPUTED_VALUE"""),0.0)</f>
        <v>0</v>
      </c>
      <c r="Q9" s="5" t="str">
        <f>IFERROR(__xludf.DUMMYFUNCTION("""COMPUTED_VALUE"""),"")</f>
        <v/>
      </c>
      <c r="R9" s="5" t="str">
        <f>IFERROR(__xludf.DUMMYFUNCTION("""COMPUTED_VALUE"""),"")</f>
        <v/>
      </c>
      <c r="S9" s="5" t="s">
        <v>415</v>
      </c>
      <c r="T9" s="5">
        <f>IFERROR(__xludf.DUMMYFUNCTION("""COMPUTED_VALUE"""),9.0)</f>
        <v>9</v>
      </c>
      <c r="U9" s="5">
        <v>9.0</v>
      </c>
      <c r="V9" s="5" t="s">
        <v>7</v>
      </c>
      <c r="W9" s="10">
        <v>1.0</v>
      </c>
      <c r="X9" s="5" t="str">
        <f>IFERROR(__xludf.DUMMYFUNCTION("""COMPUTED_VALUE"""),"BLUE WINS")</f>
        <v>BLUE WINS</v>
      </c>
      <c r="Y9" s="5" t="s">
        <v>426</v>
      </c>
      <c r="Z9" s="5" t="s">
        <v>424</v>
      </c>
      <c r="AA9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0.5px;'&gt;&lt;span&gt;Flight_2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#1A1A1A;'&gt;Cadavid / Saenz&lt;/div&gt;&lt;div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2px;'&gt;2 &amp; 1&lt;/span&gt;&lt;/div&gt;&lt;div style='flex: 1; text-align: right; font-weight: 700; font-size: 1em; line-height: 1.2; padding: 0 4px; color: #1A1A1A;'&gt;Otto Fenwarth / Valenzuela&lt;/div&gt;&lt;/div&gt;&lt;/div&gt;&lt;div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9" s="5" t="s">
        <v>418</v>
      </c>
      <c r="AC9" s="11" t="s">
        <v>433</v>
      </c>
      <c r="AD9" s="5" t="str">
        <f t="shared" si="2"/>
        <v>✅ Finished</v>
      </c>
      <c r="AE9" s="5" t="s">
        <v>418</v>
      </c>
      <c r="AF9" s="5">
        <f t="shared" si="3"/>
        <v>0</v>
      </c>
      <c r="AG9" s="5">
        <f t="shared" si="4"/>
        <v>100</v>
      </c>
      <c r="AH9" s="5" t="s">
        <v>420</v>
      </c>
    </row>
    <row r="10">
      <c r="A10" s="5" t="str">
        <f>IFERROR(__xludf.DUMMYFUNCTION("""COMPUTED_VALUE"""),"Flight_3")</f>
        <v>Flight_3</v>
      </c>
      <c r="B10" s="5" t="str">
        <f>IFERROR(__xludf.DUMMYFUNCTION("""COMPUTED_VALUE"""),"Fourball")</f>
        <v>Fourball</v>
      </c>
      <c r="C10" s="5">
        <f>IFERROR(__xludf.DUMMYFUNCTION("""COMPUTED_VALUE"""),5.0)</f>
        <v>5</v>
      </c>
      <c r="D10" s="5">
        <f>IFERROR(__xludf.DUMMYFUNCTION("""COMPUTED_VALUE"""),1.0)</f>
        <v>1</v>
      </c>
      <c r="E10" s="5">
        <f>IFERROR(__xludf.DUMMYFUNCTION("""COMPUTED_VALUE"""),2.0)</f>
        <v>2</v>
      </c>
      <c r="F10" s="5" t="str">
        <f>IFERROR(__xludf.DUMMYFUNCTION("""COMPUTED_VALUE"""),"Final")</f>
        <v>Final</v>
      </c>
      <c r="G10" s="5">
        <f>IFERROR(__xludf.DUMMYFUNCTION("""COMPUTED_VALUE"""),1.0)</f>
        <v>1</v>
      </c>
      <c r="H10" s="5">
        <f>IFERROR(__xludf.DUMMYFUNCTION("""COMPUTED_VALUE"""),0.0)</f>
        <v>0</v>
      </c>
      <c r="I10" s="5">
        <f>IFERROR(__xludf.DUMMYFUNCTION("""COMPUTED_VALUE"""),1.0)</f>
        <v>1</v>
      </c>
      <c r="J10" s="5">
        <f>IFERROR(__xludf.DUMMYFUNCTION("""COMPUTED_VALUE"""),1.0)</f>
        <v>1</v>
      </c>
      <c r="K10" s="5">
        <f>IFERROR(__xludf.DUMMYFUNCTION("""COMPUTED_VALUE"""),0.0)</f>
        <v>0</v>
      </c>
      <c r="L10" s="5" t="str">
        <f>IFERROR(__xludf.DUMMYFUNCTION("""COMPUTED_VALUE"""),"Flight_3_Fourball")</f>
        <v>Flight_3_Fourball</v>
      </c>
      <c r="M10" s="5" t="str">
        <f>IFERROR(__xludf.DUMMYFUNCTION("""COMPUTED_VALUE"""),"Berris / Pablo Rueda")</f>
        <v>Berris / Pablo Rueda</v>
      </c>
      <c r="N10" s="5" t="str">
        <f>IFERROR(__xludf.DUMMYFUNCTION("""COMPUTED_VALUE"""),"Vargas / Mon")</f>
        <v>Vargas / Mon</v>
      </c>
      <c r="O10" s="5" t="b">
        <f>IFERROR(__xludf.DUMMYFUNCTION("""COMPUTED_VALUE"""),FALSE)</f>
        <v>0</v>
      </c>
      <c r="P10" s="5">
        <f>IFERROR(__xludf.DUMMYFUNCTION("""COMPUTED_VALUE"""),0.0)</f>
        <v>0</v>
      </c>
      <c r="Q10" s="5" t="str">
        <f>IFERROR(__xludf.DUMMYFUNCTION("""COMPUTED_VALUE"""),"")</f>
        <v/>
      </c>
      <c r="R10" s="5" t="str">
        <f>IFERROR(__xludf.DUMMYFUNCTION("""COMPUTED_VALUE"""),"")</f>
        <v/>
      </c>
      <c r="S10" s="5" t="s">
        <v>415</v>
      </c>
      <c r="T10" s="5">
        <f>IFERROR(__xludf.DUMMYFUNCTION("""COMPUTED_VALUE"""),9.0)</f>
        <v>9</v>
      </c>
      <c r="U10" s="5">
        <v>9.0</v>
      </c>
      <c r="V10" s="5" t="s">
        <v>12</v>
      </c>
      <c r="W10" s="10">
        <v>1.0</v>
      </c>
      <c r="X10" s="5" t="str">
        <f>IFERROR(__xludf.DUMMYFUNCTION("""COMPUTED_VALUE"""),"RED WINS")</f>
        <v>RED WINS</v>
      </c>
      <c r="Y10" s="5" t="s">
        <v>434</v>
      </c>
      <c r="Z10" s="5" t="s">
        <v>427</v>
      </c>
      <c r="AA10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0.5px;'&gt;&lt;span&gt;Flight_3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#1A1A1A;'&gt;Berris / Pablo Rueda&lt;/div&gt;&lt;div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2px;'&gt;4 &amp; 1&lt;/span&gt;&lt;/div&gt;&lt;div style='flex: 1; text-align: right; font-weight: 700; font-size: 1em; line-height: 1.2; padding: 0 4px; color: #1A1A1A;'&gt;Vargas / Mon&lt;/div&gt;&lt;/div&gt;&lt;/div&gt;&lt;div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0" s="5" t="s">
        <v>418</v>
      </c>
      <c r="AC10" s="11" t="s">
        <v>435</v>
      </c>
      <c r="AD10" s="5" t="str">
        <f t="shared" si="2"/>
        <v>✅ Finished</v>
      </c>
      <c r="AE10" s="5" t="s">
        <v>418</v>
      </c>
      <c r="AF10" s="5">
        <f t="shared" si="3"/>
        <v>100</v>
      </c>
      <c r="AG10" s="5">
        <f t="shared" si="4"/>
        <v>0</v>
      </c>
      <c r="AH10" s="5" t="s">
        <v>436</v>
      </c>
    </row>
    <row r="11">
      <c r="A11" s="5" t="str">
        <f>IFERROR(__xludf.DUMMYFUNCTION("""COMPUTED_VALUE"""),"Flight_3")</f>
        <v>Flight_3</v>
      </c>
      <c r="B11" s="5" t="str">
        <f>IFERROR(__xludf.DUMMYFUNCTION("""COMPUTED_VALUE"""),"Individual 1")</f>
        <v>Individual 1</v>
      </c>
      <c r="C11" s="5">
        <f>IFERROR(__xludf.DUMMYFUNCTION("""COMPUTED_VALUE"""),4.0)</f>
        <v>4</v>
      </c>
      <c r="D11" s="5">
        <f>IFERROR(__xludf.DUMMYFUNCTION("""COMPUTED_VALUE"""),1.0)</f>
        <v>1</v>
      </c>
      <c r="E11" s="5">
        <f>IFERROR(__xludf.DUMMYFUNCTION("""COMPUTED_VALUE"""),3.0)</f>
        <v>3</v>
      </c>
      <c r="F11" s="5" t="str">
        <f>IFERROR(__xludf.DUMMYFUNCTION("""COMPUTED_VALUE"""),"Final")</f>
        <v>Final</v>
      </c>
      <c r="G11" s="5">
        <f>IFERROR(__xludf.DUMMYFUNCTION("""COMPUTED_VALUE"""),1.0)</f>
        <v>1</v>
      </c>
      <c r="H11" s="5">
        <f>IFERROR(__xludf.DUMMYFUNCTION("""COMPUTED_VALUE"""),0.0)</f>
        <v>0</v>
      </c>
      <c r="I11" s="5">
        <f>IFERROR(__xludf.DUMMYFUNCTION("""COMPUTED_VALUE"""),1.0)</f>
        <v>1</v>
      </c>
      <c r="J11" s="5">
        <f>IFERROR(__xludf.DUMMYFUNCTION("""COMPUTED_VALUE"""),1.0)</f>
        <v>1</v>
      </c>
      <c r="K11" s="5">
        <f>IFERROR(__xludf.DUMMYFUNCTION("""COMPUTED_VALUE"""),0.0)</f>
        <v>0</v>
      </c>
      <c r="L11" s="5" t="str">
        <f>IFERROR(__xludf.DUMMYFUNCTION("""COMPUTED_VALUE"""),"Flight_3_Individual 1")</f>
        <v>Flight_3_Individual 1</v>
      </c>
      <c r="M11" s="5" t="str">
        <f>IFERROR(__xludf.DUMMYFUNCTION("""COMPUTED_VALUE"""),"Berris")</f>
        <v>Berris</v>
      </c>
      <c r="N11" s="5" t="str">
        <f>IFERROR(__xludf.DUMMYFUNCTION("""COMPUTED_VALUE"""),"Vargas")</f>
        <v>Vargas</v>
      </c>
      <c r="O11" s="5" t="b">
        <f>IFERROR(__xludf.DUMMYFUNCTION("""COMPUTED_VALUE"""),FALSE)</f>
        <v>0</v>
      </c>
      <c r="P11" s="5">
        <f>IFERROR(__xludf.DUMMYFUNCTION("""COMPUTED_VALUE"""),0.0)</f>
        <v>0</v>
      </c>
      <c r="Q11" s="5" t="str">
        <f>IFERROR(__xludf.DUMMYFUNCTION("""COMPUTED_VALUE"""),"")</f>
        <v/>
      </c>
      <c r="R11" s="5" t="str">
        <f>IFERROR(__xludf.DUMMYFUNCTION("""COMPUTED_VALUE"""),"")</f>
        <v/>
      </c>
      <c r="S11" s="5" t="s">
        <v>415</v>
      </c>
      <c r="T11" s="5">
        <f>IFERROR(__xludf.DUMMYFUNCTION("""COMPUTED_VALUE"""),9.0)</f>
        <v>9</v>
      </c>
      <c r="U11" s="5">
        <v>9.0</v>
      </c>
      <c r="V11" s="5" t="s">
        <v>12</v>
      </c>
      <c r="W11" s="10">
        <v>1.0</v>
      </c>
      <c r="X11" s="5" t="str">
        <f>IFERROR(__xludf.DUMMYFUNCTION("""COMPUTED_VALUE"""),"RED WINS")</f>
        <v>RED WINS</v>
      </c>
      <c r="Y11" s="5" t="s">
        <v>437</v>
      </c>
      <c r="Z11" s="5" t="s">
        <v>417</v>
      </c>
      <c r="AA11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0.5px;'&gt;&lt;span&gt;Flight_3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#1A1A1A;'&gt;Berris&lt;/div&gt;&lt;div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2px;'&gt;3 &amp; 1&lt;/span&gt;&lt;/div&gt;&lt;div style='flex: 1; text-align: right; font-weight: 700; font-size: 1em; line-height: 1.2; padding: 0 4px; color: #1A1A1A;'&gt;Vargas&lt;/div&gt;&lt;/div&gt;&lt;/div&gt;&lt;div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1" s="5" t="s">
        <v>418</v>
      </c>
      <c r="AC11" s="11" t="s">
        <v>438</v>
      </c>
      <c r="AD11" s="5" t="str">
        <f t="shared" si="2"/>
        <v>✅ Finished</v>
      </c>
      <c r="AE11" s="5" t="s">
        <v>418</v>
      </c>
      <c r="AF11" s="5">
        <f t="shared" si="3"/>
        <v>100</v>
      </c>
      <c r="AG11" s="5">
        <f t="shared" si="4"/>
        <v>0</v>
      </c>
      <c r="AH11" s="5" t="s">
        <v>439</v>
      </c>
    </row>
    <row r="12">
      <c r="A12" s="5" t="str">
        <f>IFERROR(__xludf.DUMMYFUNCTION("""COMPUTED_VALUE"""),"Flight_3")</f>
        <v>Flight_3</v>
      </c>
      <c r="B12" s="5" t="str">
        <f>IFERROR(__xludf.DUMMYFUNCTION("""COMPUTED_VALUE"""),"Individual 2")</f>
        <v>Individual 2</v>
      </c>
      <c r="C12" s="5">
        <f>IFERROR(__xludf.DUMMYFUNCTION("""COMPUTED_VALUE"""),4.0)</f>
        <v>4</v>
      </c>
      <c r="D12" s="5">
        <f>IFERROR(__xludf.DUMMYFUNCTION("""COMPUTED_VALUE"""),0.0)</f>
        <v>0</v>
      </c>
      <c r="E12" s="5">
        <f>IFERROR(__xludf.DUMMYFUNCTION("""COMPUTED_VALUE"""),4.0)</f>
        <v>4</v>
      </c>
      <c r="F12" s="5" t="str">
        <f>IFERROR(__xludf.DUMMYFUNCTION("""COMPUTED_VALUE"""),"Final")</f>
        <v>Final</v>
      </c>
      <c r="G12" s="5">
        <f>IFERROR(__xludf.DUMMYFUNCTION("""COMPUTED_VALUE"""),1.0)</f>
        <v>1</v>
      </c>
      <c r="H12" s="5">
        <f>IFERROR(__xludf.DUMMYFUNCTION("""COMPUTED_VALUE"""),0.0)</f>
        <v>0</v>
      </c>
      <c r="I12" s="5">
        <f>IFERROR(__xludf.DUMMYFUNCTION("""COMPUTED_VALUE"""),1.0)</f>
        <v>1</v>
      </c>
      <c r="J12" s="5">
        <f>IFERROR(__xludf.DUMMYFUNCTION("""COMPUTED_VALUE"""),1.0)</f>
        <v>1</v>
      </c>
      <c r="K12" s="5">
        <f>IFERROR(__xludf.DUMMYFUNCTION("""COMPUTED_VALUE"""),0.0)</f>
        <v>0</v>
      </c>
      <c r="L12" s="5" t="str">
        <f>IFERROR(__xludf.DUMMYFUNCTION("""COMPUTED_VALUE"""),"Flight_3_Individual 2")</f>
        <v>Flight_3_Individual 2</v>
      </c>
      <c r="M12" s="5" t="str">
        <f>IFERROR(__xludf.DUMMYFUNCTION("""COMPUTED_VALUE"""),"Pablo Rueda")</f>
        <v>Pablo Rueda</v>
      </c>
      <c r="N12" s="5" t="str">
        <f>IFERROR(__xludf.DUMMYFUNCTION("""COMPUTED_VALUE"""),"Mon")</f>
        <v>Mon</v>
      </c>
      <c r="O12" s="5" t="b">
        <f>IFERROR(__xludf.DUMMYFUNCTION("""COMPUTED_VALUE"""),FALSE)</f>
        <v>0</v>
      </c>
      <c r="P12" s="5">
        <f>IFERROR(__xludf.DUMMYFUNCTION("""COMPUTED_VALUE"""),0.0)</f>
        <v>0</v>
      </c>
      <c r="Q12" s="5" t="str">
        <f>IFERROR(__xludf.DUMMYFUNCTION("""COMPUTED_VALUE"""),"")</f>
        <v/>
      </c>
      <c r="R12" s="5" t="str">
        <f>IFERROR(__xludf.DUMMYFUNCTION("""COMPUTED_VALUE"""),"")</f>
        <v/>
      </c>
      <c r="S12" s="5" t="s">
        <v>415</v>
      </c>
      <c r="T12" s="5">
        <f>IFERROR(__xludf.DUMMYFUNCTION("""COMPUTED_VALUE"""),9.0)</f>
        <v>9</v>
      </c>
      <c r="U12" s="5">
        <v>9.0</v>
      </c>
      <c r="V12" s="5" t="s">
        <v>12</v>
      </c>
      <c r="W12" s="10">
        <v>1.0</v>
      </c>
      <c r="X12" s="5" t="str">
        <f>IFERROR(__xludf.DUMMYFUNCTION("""COMPUTED_VALUE"""),"RED WINS")</f>
        <v>RED WINS</v>
      </c>
      <c r="Y12" s="5" t="s">
        <v>440</v>
      </c>
      <c r="Z12" s="5" t="s">
        <v>417</v>
      </c>
      <c r="AA12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0.5px;'&gt;&lt;span&gt;Flight_3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#1A1A1A;'&gt;Pablo Rueda&lt;/div&gt;&lt;div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2px;'&gt;4 &amp; 1&lt;/span&gt;&lt;/div&gt;&lt;div style='flex: 1; text-align: right; font-weight: 700; font-size: 1em; line-height: 1.2; padding: 0 4px; color: #1A1A1A;'&gt;Mon&lt;/div&gt;&lt;/div&gt;&lt;/div&gt;&lt;div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2" s="5" t="s">
        <v>418</v>
      </c>
      <c r="AC12" s="11" t="s">
        <v>441</v>
      </c>
      <c r="AD12" s="5" t="str">
        <f t="shared" si="2"/>
        <v>✅ Finished</v>
      </c>
      <c r="AE12" s="5" t="s">
        <v>418</v>
      </c>
      <c r="AF12" s="5">
        <f t="shared" si="3"/>
        <v>100</v>
      </c>
      <c r="AG12" s="5">
        <f t="shared" si="4"/>
        <v>0</v>
      </c>
      <c r="AH12" s="5" t="s">
        <v>436</v>
      </c>
    </row>
    <row r="13">
      <c r="A13" s="5" t="str">
        <f>IFERROR(__xludf.DUMMYFUNCTION("""COMPUTED_VALUE"""),"Flight_3")</f>
        <v>Flight_3</v>
      </c>
      <c r="B13" s="5" t="str">
        <f>IFERROR(__xludf.DUMMYFUNCTION("""COMPUTED_VALUE"""),"Scramble")</f>
        <v>Scramble</v>
      </c>
      <c r="C13" s="5">
        <f>IFERROR(__xludf.DUMMYFUNCTION("""COMPUTED_VALUE"""),1.0)</f>
        <v>1</v>
      </c>
      <c r="D13" s="5">
        <f>IFERROR(__xludf.DUMMYFUNCTION("""COMPUTED_VALUE"""),3.0)</f>
        <v>3</v>
      </c>
      <c r="E13" s="5">
        <f>IFERROR(__xludf.DUMMYFUNCTION("""COMPUTED_VALUE"""),4.0)</f>
        <v>4</v>
      </c>
      <c r="F13" s="5" t="str">
        <f>IFERROR(__xludf.DUMMYFUNCTION("""COMPUTED_VALUE"""),"Final")</f>
        <v>Final</v>
      </c>
      <c r="G13" s="5">
        <f>IFERROR(__xludf.DUMMYFUNCTION("""COMPUTED_VALUE"""),0.0)</f>
        <v>0</v>
      </c>
      <c r="H13" s="5">
        <f>IFERROR(__xludf.DUMMYFUNCTION("""COMPUTED_VALUE"""),2.0)</f>
        <v>2</v>
      </c>
      <c r="I13" s="5">
        <f>IFERROR(__xludf.DUMMYFUNCTION("""COMPUTED_VALUE"""),2.0)</f>
        <v>2</v>
      </c>
      <c r="J13" s="5">
        <f>IFERROR(__xludf.DUMMYFUNCTION("""COMPUTED_VALUE"""),0.0)</f>
        <v>0</v>
      </c>
      <c r="K13" s="5">
        <f>IFERROR(__xludf.DUMMYFUNCTION("""COMPUTED_VALUE"""),2.0)</f>
        <v>2</v>
      </c>
      <c r="L13" s="5" t="str">
        <f>IFERROR(__xludf.DUMMYFUNCTION("""COMPUTED_VALUE"""),"Flight_3_Scramble")</f>
        <v>Flight_3_Scramble</v>
      </c>
      <c r="M13" s="5" t="str">
        <f>IFERROR(__xludf.DUMMYFUNCTION("""COMPUTED_VALUE"""),"Berris / Pablo Rueda")</f>
        <v>Berris / Pablo Rueda</v>
      </c>
      <c r="N13" s="5" t="str">
        <f>IFERROR(__xludf.DUMMYFUNCTION("""COMPUTED_VALUE"""),"Vargas / Mon")</f>
        <v>Vargas / Mon</v>
      </c>
      <c r="O13" s="5" t="b">
        <f>IFERROR(__xludf.DUMMYFUNCTION("""COMPUTED_VALUE"""),FALSE)</f>
        <v>0</v>
      </c>
      <c r="P13" s="5">
        <f>IFERROR(__xludf.DUMMYFUNCTION("""COMPUTED_VALUE"""),0.0)</f>
        <v>0</v>
      </c>
      <c r="Q13" s="5" t="str">
        <f>IFERROR(__xludf.DUMMYFUNCTION("""COMPUTED_VALUE"""),"")</f>
        <v/>
      </c>
      <c r="R13" s="5" t="str">
        <f>IFERROR(__xludf.DUMMYFUNCTION("""COMPUTED_VALUE"""),"")</f>
        <v/>
      </c>
      <c r="S13" s="5" t="s">
        <v>415</v>
      </c>
      <c r="T13" s="5">
        <f>IFERROR(__xludf.DUMMYFUNCTION("""COMPUTED_VALUE"""),9.0)</f>
        <v>9</v>
      </c>
      <c r="U13" s="5">
        <v>9.0</v>
      </c>
      <c r="V13" s="5" t="s">
        <v>7</v>
      </c>
      <c r="W13" s="10">
        <v>1.0</v>
      </c>
      <c r="X13" s="5" t="str">
        <f>IFERROR(__xludf.DUMMYFUNCTION("""COMPUTED_VALUE"""),"BLUE WINS")</f>
        <v>BLUE WINS</v>
      </c>
      <c r="Y13" s="5" t="s">
        <v>434</v>
      </c>
      <c r="Z13" s="5" t="s">
        <v>424</v>
      </c>
      <c r="AA13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0.5px;'&gt;&lt;span&gt;Flight_3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#1A1A1A;'&gt;Berris / Pablo Rueda&lt;/div&gt;&lt;div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2px;'&gt;2 &amp; 1&lt;/span&gt;&lt;/div&gt;&lt;div style='flex: 1; text-align: right; font-weight: 700; font-size: 1em; line-height: 1.2; padding: 0 4px; color: #1A1A1A;'&gt;Vargas / Mon&lt;/div&gt;&lt;/div&gt;&lt;/div&gt;&lt;div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13" s="5" t="s">
        <v>418</v>
      </c>
      <c r="AC13" s="11" t="s">
        <v>442</v>
      </c>
      <c r="AD13" s="5" t="str">
        <f t="shared" si="2"/>
        <v>✅ Finished</v>
      </c>
      <c r="AE13" s="5" t="s">
        <v>418</v>
      </c>
      <c r="AF13" s="5">
        <f t="shared" si="3"/>
        <v>0</v>
      </c>
      <c r="AG13" s="5">
        <f t="shared" si="4"/>
        <v>100</v>
      </c>
      <c r="AH13" s="5" t="s">
        <v>420</v>
      </c>
    </row>
    <row r="14">
      <c r="A14" s="5" t="str">
        <f>IFERROR(__xludf.DUMMYFUNCTION("""COMPUTED_VALUE"""),"Flight_4")</f>
        <v>Flight_4</v>
      </c>
      <c r="B14" s="5" t="str">
        <f>IFERROR(__xludf.DUMMYFUNCTION("""COMPUTED_VALUE"""),"Fourball")</f>
        <v>Fourball</v>
      </c>
      <c r="C14" s="5">
        <f>IFERROR(__xludf.DUMMYFUNCTION("""COMPUTED_VALUE"""),5.0)</f>
        <v>5</v>
      </c>
      <c r="D14" s="5">
        <f>IFERROR(__xludf.DUMMYFUNCTION("""COMPUTED_VALUE"""),1.0)</f>
        <v>1</v>
      </c>
      <c r="E14" s="5">
        <f>IFERROR(__xludf.DUMMYFUNCTION("""COMPUTED_VALUE"""),3.0)</f>
        <v>3</v>
      </c>
      <c r="F14" s="5" t="str">
        <f>IFERROR(__xludf.DUMMYFUNCTION("""COMPUTED_VALUE"""),"Final")</f>
        <v>Final</v>
      </c>
      <c r="G14" s="5">
        <f>IFERROR(__xludf.DUMMYFUNCTION("""COMPUTED_VALUE"""),1.0)</f>
        <v>1</v>
      </c>
      <c r="H14" s="5">
        <f>IFERROR(__xludf.DUMMYFUNCTION("""COMPUTED_VALUE"""),0.0)</f>
        <v>0</v>
      </c>
      <c r="I14" s="5">
        <f>IFERROR(__xludf.DUMMYFUNCTION("""COMPUTED_VALUE"""),1.0)</f>
        <v>1</v>
      </c>
      <c r="J14" s="5">
        <f>IFERROR(__xludf.DUMMYFUNCTION("""COMPUTED_VALUE"""),1.0)</f>
        <v>1</v>
      </c>
      <c r="K14" s="5">
        <f>IFERROR(__xludf.DUMMYFUNCTION("""COMPUTED_VALUE"""),0.0)</f>
        <v>0</v>
      </c>
      <c r="L14" s="5" t="str">
        <f>IFERROR(__xludf.DUMMYFUNCTION("""COMPUTED_VALUE"""),"Flight_4_Fourball")</f>
        <v>Flight_4_Fourball</v>
      </c>
      <c r="M14" s="5" t="str">
        <f>IFERROR(__xludf.DUMMYFUNCTION("""COMPUTED_VALUE"""),"Matiz / Esguerra")</f>
        <v>Matiz / Esguerra</v>
      </c>
      <c r="N14" s="5" t="str">
        <f>IFERROR(__xludf.DUMMYFUNCTION("""COMPUTED_VALUE"""),"Luca / Rocha")</f>
        <v>Luca / Rocha</v>
      </c>
      <c r="O14" s="5" t="b">
        <f>IFERROR(__xludf.DUMMYFUNCTION("""COMPUTED_VALUE"""),FALSE)</f>
        <v>0</v>
      </c>
      <c r="P14" s="5">
        <f>IFERROR(__xludf.DUMMYFUNCTION("""COMPUTED_VALUE"""),0.0)</f>
        <v>0</v>
      </c>
      <c r="Q14" s="5" t="str">
        <f>IFERROR(__xludf.DUMMYFUNCTION("""COMPUTED_VALUE"""),"")</f>
        <v/>
      </c>
      <c r="R14" s="5" t="str">
        <f>IFERROR(__xludf.DUMMYFUNCTION("""COMPUTED_VALUE"""),"")</f>
        <v/>
      </c>
      <c r="S14" s="5" t="s">
        <v>415</v>
      </c>
      <c r="T14" s="5">
        <f>IFERROR(__xludf.DUMMYFUNCTION("""COMPUTED_VALUE"""),9.0)</f>
        <v>9</v>
      </c>
      <c r="U14" s="5">
        <v>9.0</v>
      </c>
      <c r="V14" s="5" t="s">
        <v>12</v>
      </c>
      <c r="W14" s="10">
        <v>1.0</v>
      </c>
      <c r="X14" s="5" t="str">
        <f>IFERROR(__xludf.DUMMYFUNCTION("""COMPUTED_VALUE"""),"RED WINS")</f>
        <v>RED WINS</v>
      </c>
      <c r="Y14" s="5" t="s">
        <v>443</v>
      </c>
      <c r="Z14" s="5" t="s">
        <v>427</v>
      </c>
      <c r="AA14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0.5px;'&gt;&lt;span&gt;Flight_4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#1A1A1A;'&gt;Matiz / Esguerra&lt;/div&gt;&lt;div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2px;'&gt;4 UP&lt;/span&gt;&lt;/div&gt;&lt;div style='flex: 1; text-align: right; font-weight: 700; font-size: 1em; line-height: 1.2; padding: 0 4px; color: #1A1A1A;'&gt;Luca / Rocha&lt;/div&gt;&lt;/div&gt;&lt;/div&gt;&lt;div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4" s="5" t="s">
        <v>418</v>
      </c>
      <c r="AC14" s="11" t="s">
        <v>444</v>
      </c>
      <c r="AD14" s="5" t="str">
        <f t="shared" si="2"/>
        <v>✅ Finished</v>
      </c>
      <c r="AE14" s="5" t="s">
        <v>418</v>
      </c>
      <c r="AF14" s="5">
        <f t="shared" si="3"/>
        <v>100</v>
      </c>
      <c r="AG14" s="5">
        <f t="shared" si="4"/>
        <v>0</v>
      </c>
      <c r="AH14" s="5" t="s">
        <v>359</v>
      </c>
    </row>
    <row r="15">
      <c r="A15" s="5" t="str">
        <f>IFERROR(__xludf.DUMMYFUNCTION("""COMPUTED_VALUE"""),"Flight_4")</f>
        <v>Flight_4</v>
      </c>
      <c r="B15" s="5" t="str">
        <f>IFERROR(__xludf.DUMMYFUNCTION("""COMPUTED_VALUE"""),"Individual 1")</f>
        <v>Individual 1</v>
      </c>
      <c r="C15" s="5">
        <f>IFERROR(__xludf.DUMMYFUNCTION("""COMPUTED_VALUE"""),6.0)</f>
        <v>6</v>
      </c>
      <c r="D15" s="5">
        <f>IFERROR(__xludf.DUMMYFUNCTION("""COMPUTED_VALUE"""),1.0)</f>
        <v>1</v>
      </c>
      <c r="E15" s="5">
        <f>IFERROR(__xludf.DUMMYFUNCTION("""COMPUTED_VALUE"""),2.0)</f>
        <v>2</v>
      </c>
      <c r="F15" s="5" t="str">
        <f>IFERROR(__xludf.DUMMYFUNCTION("""COMPUTED_VALUE"""),"Final")</f>
        <v>Final</v>
      </c>
      <c r="G15" s="5">
        <f>IFERROR(__xludf.DUMMYFUNCTION("""COMPUTED_VALUE"""),1.0)</f>
        <v>1</v>
      </c>
      <c r="H15" s="5">
        <f>IFERROR(__xludf.DUMMYFUNCTION("""COMPUTED_VALUE"""),0.0)</f>
        <v>0</v>
      </c>
      <c r="I15" s="5">
        <f>IFERROR(__xludf.DUMMYFUNCTION("""COMPUTED_VALUE"""),1.0)</f>
        <v>1</v>
      </c>
      <c r="J15" s="5">
        <f>IFERROR(__xludf.DUMMYFUNCTION("""COMPUTED_VALUE"""),1.0)</f>
        <v>1</v>
      </c>
      <c r="K15" s="5">
        <f>IFERROR(__xludf.DUMMYFUNCTION("""COMPUTED_VALUE"""),0.0)</f>
        <v>0</v>
      </c>
      <c r="L15" s="5" t="str">
        <f>IFERROR(__xludf.DUMMYFUNCTION("""COMPUTED_VALUE"""),"Flight_4_Individual 1")</f>
        <v>Flight_4_Individual 1</v>
      </c>
      <c r="M15" s="5" t="str">
        <f>IFERROR(__xludf.DUMMYFUNCTION("""COMPUTED_VALUE"""),"Matiz")</f>
        <v>Matiz</v>
      </c>
      <c r="N15" s="5" t="str">
        <f>IFERROR(__xludf.DUMMYFUNCTION("""COMPUTED_VALUE"""),"Luca")</f>
        <v>Luca</v>
      </c>
      <c r="O15" s="5" t="b">
        <f>IFERROR(__xludf.DUMMYFUNCTION("""COMPUTED_VALUE"""),FALSE)</f>
        <v>0</v>
      </c>
      <c r="P15" s="5">
        <f>IFERROR(__xludf.DUMMYFUNCTION("""COMPUTED_VALUE"""),0.0)</f>
        <v>0</v>
      </c>
      <c r="Q15" s="5" t="str">
        <f>IFERROR(__xludf.DUMMYFUNCTION("""COMPUTED_VALUE"""),"")</f>
        <v/>
      </c>
      <c r="R15" s="5" t="str">
        <f>IFERROR(__xludf.DUMMYFUNCTION("""COMPUTED_VALUE"""),"")</f>
        <v/>
      </c>
      <c r="S15" s="5" t="s">
        <v>415</v>
      </c>
      <c r="T15" s="5">
        <f>IFERROR(__xludf.DUMMYFUNCTION("""COMPUTED_VALUE"""),9.0)</f>
        <v>9</v>
      </c>
      <c r="U15" s="5">
        <v>9.0</v>
      </c>
      <c r="V15" s="5" t="s">
        <v>12</v>
      </c>
      <c r="W15" s="10">
        <v>1.0</v>
      </c>
      <c r="X15" s="5" t="str">
        <f>IFERROR(__xludf.DUMMYFUNCTION("""COMPUTED_VALUE"""),"RED WINS")</f>
        <v>RED WINS</v>
      </c>
      <c r="Y15" s="5" t="s">
        <v>445</v>
      </c>
      <c r="Z15" s="5" t="s">
        <v>417</v>
      </c>
      <c r="AA15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0.5px;'&gt;&lt;span&gt;Flight_4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#1A1A1A;'&gt;Matiz&lt;/div&gt;&lt;div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2px;'&gt;5 UP&lt;/span&gt;&lt;/div&gt;&lt;div style='flex: 1; text-align: right; font-weight: 700; font-size: 1em; line-height: 1.2; padding: 0 4px; color: #1A1A1A;'&gt;Luca&lt;/div&gt;&lt;/div&gt;&lt;/div&gt;&lt;div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5" s="5" t="s">
        <v>418</v>
      </c>
      <c r="AC15" s="11" t="s">
        <v>446</v>
      </c>
      <c r="AD15" s="5" t="str">
        <f t="shared" si="2"/>
        <v>✅ Finished</v>
      </c>
      <c r="AE15" s="5" t="s">
        <v>418</v>
      </c>
      <c r="AF15" s="5">
        <f t="shared" si="3"/>
        <v>100</v>
      </c>
      <c r="AG15" s="5">
        <f t="shared" si="4"/>
        <v>0</v>
      </c>
      <c r="AH15" s="5" t="s">
        <v>360</v>
      </c>
    </row>
    <row r="16">
      <c r="A16" s="5" t="str">
        <f>IFERROR(__xludf.DUMMYFUNCTION("""COMPUTED_VALUE"""),"Flight_4")</f>
        <v>Flight_4</v>
      </c>
      <c r="B16" s="5" t="str">
        <f>IFERROR(__xludf.DUMMYFUNCTION("""COMPUTED_VALUE"""),"Individual 2")</f>
        <v>Individual 2</v>
      </c>
      <c r="C16" s="5">
        <f>IFERROR(__xludf.DUMMYFUNCTION("""COMPUTED_VALUE"""),4.0)</f>
        <v>4</v>
      </c>
      <c r="D16" s="5">
        <f>IFERROR(__xludf.DUMMYFUNCTION("""COMPUTED_VALUE"""),2.0)</f>
        <v>2</v>
      </c>
      <c r="E16" s="5">
        <f>IFERROR(__xludf.DUMMYFUNCTION("""COMPUTED_VALUE"""),3.0)</f>
        <v>3</v>
      </c>
      <c r="F16" s="5" t="str">
        <f>IFERROR(__xludf.DUMMYFUNCTION("""COMPUTED_VALUE"""),"Final")</f>
        <v>Final</v>
      </c>
      <c r="G16" s="5">
        <f>IFERROR(__xludf.DUMMYFUNCTION("""COMPUTED_VALUE"""),1.0)</f>
        <v>1</v>
      </c>
      <c r="H16" s="5">
        <f>IFERROR(__xludf.DUMMYFUNCTION("""COMPUTED_VALUE"""),0.0)</f>
        <v>0</v>
      </c>
      <c r="I16" s="5">
        <f>IFERROR(__xludf.DUMMYFUNCTION("""COMPUTED_VALUE"""),1.0)</f>
        <v>1</v>
      </c>
      <c r="J16" s="5">
        <f>IFERROR(__xludf.DUMMYFUNCTION("""COMPUTED_VALUE"""),1.0)</f>
        <v>1</v>
      </c>
      <c r="K16" s="5">
        <f>IFERROR(__xludf.DUMMYFUNCTION("""COMPUTED_VALUE"""),0.0)</f>
        <v>0</v>
      </c>
      <c r="L16" s="5" t="str">
        <f>IFERROR(__xludf.DUMMYFUNCTION("""COMPUTED_VALUE"""),"Flight_4_Individual 2")</f>
        <v>Flight_4_Individual 2</v>
      </c>
      <c r="M16" s="5" t="str">
        <f>IFERROR(__xludf.DUMMYFUNCTION("""COMPUTED_VALUE"""),"Esguerra")</f>
        <v>Esguerra</v>
      </c>
      <c r="N16" s="5" t="str">
        <f>IFERROR(__xludf.DUMMYFUNCTION("""COMPUTED_VALUE"""),"Rocha")</f>
        <v>Rocha</v>
      </c>
      <c r="O16" s="5" t="b">
        <f>IFERROR(__xludf.DUMMYFUNCTION("""COMPUTED_VALUE"""),FALSE)</f>
        <v>0</v>
      </c>
      <c r="P16" s="5">
        <f>IFERROR(__xludf.DUMMYFUNCTION("""COMPUTED_VALUE"""),0.0)</f>
        <v>0</v>
      </c>
      <c r="Q16" s="5" t="str">
        <f>IFERROR(__xludf.DUMMYFUNCTION("""COMPUTED_VALUE"""),"")</f>
        <v/>
      </c>
      <c r="R16" s="5" t="str">
        <f>IFERROR(__xludf.DUMMYFUNCTION("""COMPUTED_VALUE"""),"")</f>
        <v/>
      </c>
      <c r="S16" s="5" t="s">
        <v>415</v>
      </c>
      <c r="T16" s="5">
        <f>IFERROR(__xludf.DUMMYFUNCTION("""COMPUTED_VALUE"""),9.0)</f>
        <v>9</v>
      </c>
      <c r="U16" s="5">
        <v>9.0</v>
      </c>
      <c r="V16" s="5" t="s">
        <v>12</v>
      </c>
      <c r="W16" s="10">
        <v>1.0</v>
      </c>
      <c r="X16" s="5" t="str">
        <f>IFERROR(__xludf.DUMMYFUNCTION("""COMPUTED_VALUE"""),"RED WINS")</f>
        <v>RED WINS</v>
      </c>
      <c r="Y16" s="5" t="s">
        <v>447</v>
      </c>
      <c r="Z16" s="5" t="s">
        <v>417</v>
      </c>
      <c r="AA16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0.5px;'&gt;&lt;span&gt;Flight_4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#1A1A1A;'&gt;Esguerra&lt;/div&gt;&lt;div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2px;'&gt;2 UP&lt;/span&gt;&lt;/div&gt;&lt;div style='flex: 1; text-align: right; font-weight: 700; font-size: 1em; line-height: 1.2; padding: 0 4px; color: #1A1A1A;'&gt;Rocha&lt;/div&gt;&lt;/div&gt;&lt;/div&gt;&lt;div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6" s="5" t="s">
        <v>418</v>
      </c>
      <c r="AC16" s="11" t="s">
        <v>448</v>
      </c>
      <c r="AD16" s="5" t="str">
        <f t="shared" si="2"/>
        <v>✅ Finished</v>
      </c>
      <c r="AE16" s="5" t="s">
        <v>418</v>
      </c>
      <c r="AF16" s="5">
        <f t="shared" si="3"/>
        <v>100</v>
      </c>
      <c r="AG16" s="5">
        <f t="shared" si="4"/>
        <v>0</v>
      </c>
      <c r="AH16" s="5" t="s">
        <v>354</v>
      </c>
    </row>
    <row r="17">
      <c r="A17" s="5" t="str">
        <f>IFERROR(__xludf.DUMMYFUNCTION("""COMPUTED_VALUE"""),"Flight_4")</f>
        <v>Flight_4</v>
      </c>
      <c r="B17" s="5" t="str">
        <f>IFERROR(__xludf.DUMMYFUNCTION("""COMPUTED_VALUE"""),"Scramble")</f>
        <v>Scramble</v>
      </c>
      <c r="C17" s="5">
        <f>IFERROR(__xludf.DUMMYFUNCTION("""COMPUTED_VALUE"""),2.0)</f>
        <v>2</v>
      </c>
      <c r="D17" s="5">
        <f>IFERROR(__xludf.DUMMYFUNCTION("""COMPUTED_VALUE"""),2.0)</f>
        <v>2</v>
      </c>
      <c r="E17" s="5">
        <f>IFERROR(__xludf.DUMMYFUNCTION("""COMPUTED_VALUE"""),5.0)</f>
        <v>5</v>
      </c>
      <c r="F17" s="5" t="str">
        <f>IFERROR(__xludf.DUMMYFUNCTION("""COMPUTED_VALUE"""),"Final")</f>
        <v>Final</v>
      </c>
      <c r="G17" s="5">
        <f>IFERROR(__xludf.DUMMYFUNCTION("""COMPUTED_VALUE"""),1.0)</f>
        <v>1</v>
      </c>
      <c r="H17" s="5">
        <f>IFERROR(__xludf.DUMMYFUNCTION("""COMPUTED_VALUE"""),1.0)</f>
        <v>1</v>
      </c>
      <c r="I17" s="5">
        <f>IFERROR(__xludf.DUMMYFUNCTION("""COMPUTED_VALUE"""),2.0)</f>
        <v>2</v>
      </c>
      <c r="J17" s="5">
        <f>IFERROR(__xludf.DUMMYFUNCTION("""COMPUTED_VALUE"""),1.0)</f>
        <v>1</v>
      </c>
      <c r="K17" s="5">
        <f>IFERROR(__xludf.DUMMYFUNCTION("""COMPUTED_VALUE"""),1.0)</f>
        <v>1</v>
      </c>
      <c r="L17" s="5" t="str">
        <f>IFERROR(__xludf.DUMMYFUNCTION("""COMPUTED_VALUE"""),"Flight_4_Scramble")</f>
        <v>Flight_4_Scramble</v>
      </c>
      <c r="M17" s="5" t="str">
        <f>IFERROR(__xludf.DUMMYFUNCTION("""COMPUTED_VALUE"""),"Matiz / Esguerra")</f>
        <v>Matiz / Esguerra</v>
      </c>
      <c r="N17" s="5" t="str">
        <f>IFERROR(__xludf.DUMMYFUNCTION("""COMPUTED_VALUE"""),"Luca / Rocha")</f>
        <v>Luca / Rocha</v>
      </c>
      <c r="O17" s="5" t="b">
        <f>IFERROR(__xludf.DUMMYFUNCTION("""COMPUTED_VALUE"""),FALSE)</f>
        <v>0</v>
      </c>
      <c r="P17" s="5">
        <f>IFERROR(__xludf.DUMMYFUNCTION("""COMPUTED_VALUE"""),0.0)</f>
        <v>0</v>
      </c>
      <c r="Q17" s="5" t="str">
        <f>IFERROR(__xludf.DUMMYFUNCTION("""COMPUTED_VALUE"""),"")</f>
        <v/>
      </c>
      <c r="R17" s="5" t="str">
        <f>IFERROR(__xludf.DUMMYFUNCTION("""COMPUTED_VALUE"""),"")</f>
        <v/>
      </c>
      <c r="S17" s="5" t="s">
        <v>415</v>
      </c>
      <c r="T17" s="5">
        <f>IFERROR(__xludf.DUMMYFUNCTION("""COMPUTED_VALUE"""),9.0)</f>
        <v>9</v>
      </c>
      <c r="U17" s="5">
        <v>9.0</v>
      </c>
      <c r="V17" s="5" t="s">
        <v>350</v>
      </c>
      <c r="W17" s="10">
        <v>1.0</v>
      </c>
      <c r="X17" s="5" t="str">
        <f>IFERROR(__xludf.DUMMYFUNCTION("""COMPUTED_VALUE"""),"TIED")</f>
        <v>TIED</v>
      </c>
      <c r="Y17" s="5" t="s">
        <v>443</v>
      </c>
      <c r="Z17" s="5" t="s">
        <v>424</v>
      </c>
      <c r="AA17" s="5" t="str">
        <f t="shared" si="1"/>
        <v>&lt;div style='display: flex; flex-direction: column; width: 100%; border: 2px solid #757575; border-radius: 10px; margin-bottom: 12px; background: linear-gradient(135deg, #F5F5F5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0.5px;'&gt;&lt;span&gt;Flight_4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#1A1A1A;'&gt;Matiz / Esguerra&lt;/div&gt;&lt;div style='flex: 0 0 75px; margin: 0 6px; padding: 8px 4px; border-radius: 8px; text-align: center; font-weight: 700; background-color: #616161; box-shadow: 0 2px 6px rgba(0,0,0,0.2);'&gt;&lt;span style='font-size: 1.1em; display: block; color: #FFFFFF; letter-spacing: 0.3px;'&gt;TIED&lt;/span&gt;&lt;span style='font-size: 0.75em; display: block; color: rgba(255,255,255,0.9); margin-top: 2px;'&gt;A/S (Final)&lt;/span&gt;&lt;/div&gt;&lt;div style='flex: 1; text-align: right; font-weight: 700; font-size: 1em; line-height: 1.2; padding: 0 4px; color: #1A1A1A;'&gt;Luca / Rocha&lt;/div&gt;&lt;/div&gt;&lt;/div&gt;&lt;div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17" s="5" t="s">
        <v>418</v>
      </c>
      <c r="AC17" s="11" t="s">
        <v>449</v>
      </c>
      <c r="AD17" s="5" t="str">
        <f t="shared" si="2"/>
        <v>✅ Finished</v>
      </c>
      <c r="AE17" s="5" t="s">
        <v>418</v>
      </c>
      <c r="AF17" s="5">
        <f t="shared" si="3"/>
        <v>50</v>
      </c>
      <c r="AG17" s="5">
        <f t="shared" si="4"/>
        <v>50</v>
      </c>
      <c r="AH17" s="5" t="s">
        <v>450</v>
      </c>
    </row>
    <row r="18">
      <c r="A18" s="5" t="str">
        <f>IFERROR(__xludf.DUMMYFUNCTION("""COMPUTED_VALUE"""),"Flight_5")</f>
        <v>Flight_5</v>
      </c>
      <c r="B18" s="5" t="str">
        <f>IFERROR(__xludf.DUMMYFUNCTION("""COMPUTED_VALUE"""),"Fourball")</f>
        <v>Fourball</v>
      </c>
      <c r="C18" s="5">
        <f>IFERROR(__xludf.DUMMYFUNCTION("""COMPUTED_VALUE"""),4.0)</f>
        <v>4</v>
      </c>
      <c r="D18" s="5">
        <f>IFERROR(__xludf.DUMMYFUNCTION("""COMPUTED_VALUE"""),4.0)</f>
        <v>4</v>
      </c>
      <c r="E18" s="5">
        <f>IFERROR(__xludf.DUMMYFUNCTION("""COMPUTED_VALUE"""),1.0)</f>
        <v>1</v>
      </c>
      <c r="F18" s="5" t="str">
        <f>IFERROR(__xludf.DUMMYFUNCTION("""COMPUTED_VALUE"""),"Final")</f>
        <v>Final</v>
      </c>
      <c r="G18" s="5">
        <f>IFERROR(__xludf.DUMMYFUNCTION("""COMPUTED_VALUE"""),0.5)</f>
        <v>0.5</v>
      </c>
      <c r="H18" s="5">
        <f>IFERROR(__xludf.DUMMYFUNCTION("""COMPUTED_VALUE"""),0.5)</f>
        <v>0.5</v>
      </c>
      <c r="I18" s="5">
        <f>IFERROR(__xludf.DUMMYFUNCTION("""COMPUTED_VALUE"""),1.0)</f>
        <v>1</v>
      </c>
      <c r="J18" s="5">
        <f>IFERROR(__xludf.DUMMYFUNCTION("""COMPUTED_VALUE"""),0.5)</f>
        <v>0.5</v>
      </c>
      <c r="K18" s="5">
        <f>IFERROR(__xludf.DUMMYFUNCTION("""COMPUTED_VALUE"""),0.5)</f>
        <v>0.5</v>
      </c>
      <c r="L18" s="5" t="str">
        <f>IFERROR(__xludf.DUMMYFUNCTION("""COMPUTED_VALUE"""),"Flight_5_Fourball")</f>
        <v>Flight_5_Fourball</v>
      </c>
      <c r="M18" s="5" t="str">
        <f>IFERROR(__xludf.DUMMYFUNCTION("""COMPUTED_VALUE"""),"Pulido / Otoya")</f>
        <v>Pulido / Otoya</v>
      </c>
      <c r="N18" s="5" t="str">
        <f>IFERROR(__xludf.DUMMYFUNCTION("""COMPUTED_VALUE"""),"Sardi / JC Casas")</f>
        <v>Sardi / JC Casas</v>
      </c>
      <c r="O18" s="5" t="b">
        <f>IFERROR(__xludf.DUMMYFUNCTION("""COMPUTED_VALUE"""),FALSE)</f>
        <v>0</v>
      </c>
      <c r="P18" s="5">
        <f>IFERROR(__xludf.DUMMYFUNCTION("""COMPUTED_VALUE"""),0.0)</f>
        <v>0</v>
      </c>
      <c r="Q18" s="5" t="str">
        <f>IFERROR(__xludf.DUMMYFUNCTION("""COMPUTED_VALUE"""),"")</f>
        <v/>
      </c>
      <c r="R18" s="5" t="str">
        <f>IFERROR(__xludf.DUMMYFUNCTION("""COMPUTED_VALUE"""),"")</f>
        <v/>
      </c>
      <c r="S18" s="5" t="s">
        <v>415</v>
      </c>
      <c r="T18" s="5">
        <f>IFERROR(__xludf.DUMMYFUNCTION("""COMPUTED_VALUE"""),9.0)</f>
        <v>9</v>
      </c>
      <c r="U18" s="5">
        <v>9.0</v>
      </c>
      <c r="V18" s="5" t="s">
        <v>350</v>
      </c>
      <c r="W18" s="10">
        <v>1.0</v>
      </c>
      <c r="X18" s="5" t="str">
        <f>IFERROR(__xludf.DUMMYFUNCTION("""COMPUTED_VALUE"""),"TIED")</f>
        <v>TIED</v>
      </c>
      <c r="Y18" s="5" t="s">
        <v>451</v>
      </c>
      <c r="Z18" s="5" t="s">
        <v>427</v>
      </c>
      <c r="AA18" s="5" t="str">
        <f t="shared" si="1"/>
        <v>&lt;div style='display: flex; flex-direction: column; width: 100%; border: 2px solid #757575; border-radius: 10px; margin-bottom: 12px; background: linear-gradient(135deg, #F5F5F5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0.5px;'&gt;&lt;span&gt;Flight_5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#1A1A1A;'&gt;Pulido / Otoya&lt;/div&gt;&lt;div style='flex: 0 0 75px; margin: 0 6px; padding: 8px 4px; border-radius: 8px; text-align: center; font-weight: 700; background-color: #616161; box-shadow: 0 2px 6px rgba(0,0,0,0.2);'&gt;&lt;span style='font-size: 1.1em; display: block; color: #FFFFFF; letter-spacing: 0.3px;'&gt;TIED&lt;/span&gt;&lt;span style='font-size: 0.75em; display: block; color: rgba(255,255,255,0.9); margin-top: 2px;'&gt;A/S (Final)&lt;/span&gt;&lt;/div&gt;&lt;div style='flex: 1; text-align: right; font-weight: 700; font-size: 1em; line-height: 1.2; padding: 0 4px; color: #1A1A1A;'&gt;Sardi / JC Casas&lt;/div&gt;&lt;/div&gt;&lt;/div&gt;&lt;div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8" s="5" t="s">
        <v>418</v>
      </c>
      <c r="AC18" s="11" t="s">
        <v>452</v>
      </c>
      <c r="AD18" s="5" t="str">
        <f t="shared" si="2"/>
        <v>✅ Finished</v>
      </c>
      <c r="AE18" s="5" t="s">
        <v>418</v>
      </c>
      <c r="AF18" s="5">
        <f t="shared" si="3"/>
        <v>50</v>
      </c>
      <c r="AG18" s="5">
        <f t="shared" si="4"/>
        <v>50</v>
      </c>
      <c r="AH18" s="5" t="s">
        <v>450</v>
      </c>
    </row>
    <row r="19">
      <c r="A19" s="5" t="str">
        <f>IFERROR(__xludf.DUMMYFUNCTION("""COMPUTED_VALUE"""),"Flight_5")</f>
        <v>Flight_5</v>
      </c>
      <c r="B19" s="5" t="str">
        <f>IFERROR(__xludf.DUMMYFUNCTION("""COMPUTED_VALUE"""),"Individual 1")</f>
        <v>Individual 1</v>
      </c>
      <c r="C19" s="5">
        <f>IFERROR(__xludf.DUMMYFUNCTION("""COMPUTED_VALUE"""),2.0)</f>
        <v>2</v>
      </c>
      <c r="D19" s="5">
        <f>IFERROR(__xludf.DUMMYFUNCTION("""COMPUTED_VALUE"""),5.0)</f>
        <v>5</v>
      </c>
      <c r="E19" s="5">
        <f>IFERROR(__xludf.DUMMYFUNCTION("""COMPUTED_VALUE"""),2.0)</f>
        <v>2</v>
      </c>
      <c r="F19" s="5" t="str">
        <f>IFERROR(__xludf.DUMMYFUNCTION("""COMPUTED_VALUE"""),"Final")</f>
        <v>Final</v>
      </c>
      <c r="G19" s="5">
        <f>IFERROR(__xludf.DUMMYFUNCTION("""COMPUTED_VALUE"""),0.0)</f>
        <v>0</v>
      </c>
      <c r="H19" s="5">
        <f>IFERROR(__xludf.DUMMYFUNCTION("""COMPUTED_VALUE"""),1.0)</f>
        <v>1</v>
      </c>
      <c r="I19" s="5">
        <f>IFERROR(__xludf.DUMMYFUNCTION("""COMPUTED_VALUE"""),1.0)</f>
        <v>1</v>
      </c>
      <c r="J19" s="5">
        <f>IFERROR(__xludf.DUMMYFUNCTION("""COMPUTED_VALUE"""),0.0)</f>
        <v>0</v>
      </c>
      <c r="K19" s="5">
        <f>IFERROR(__xludf.DUMMYFUNCTION("""COMPUTED_VALUE"""),1.0)</f>
        <v>1</v>
      </c>
      <c r="L19" s="5" t="str">
        <f>IFERROR(__xludf.DUMMYFUNCTION("""COMPUTED_VALUE"""),"Flight_5_Individual 1")</f>
        <v>Flight_5_Individual 1</v>
      </c>
      <c r="M19" s="5" t="str">
        <f>IFERROR(__xludf.DUMMYFUNCTION("""COMPUTED_VALUE"""),"Pulido")</f>
        <v>Pulido</v>
      </c>
      <c r="N19" s="5" t="str">
        <f>IFERROR(__xludf.DUMMYFUNCTION("""COMPUTED_VALUE"""),"Sardi")</f>
        <v>Sardi</v>
      </c>
      <c r="O19" s="5" t="b">
        <f>IFERROR(__xludf.DUMMYFUNCTION("""COMPUTED_VALUE"""),FALSE)</f>
        <v>0</v>
      </c>
      <c r="P19" s="5">
        <f>IFERROR(__xludf.DUMMYFUNCTION("""COMPUTED_VALUE"""),0.0)</f>
        <v>0</v>
      </c>
      <c r="Q19" s="5" t="str">
        <f>IFERROR(__xludf.DUMMYFUNCTION("""COMPUTED_VALUE"""),"")</f>
        <v/>
      </c>
      <c r="R19" s="5" t="str">
        <f>IFERROR(__xludf.DUMMYFUNCTION("""COMPUTED_VALUE"""),"")</f>
        <v/>
      </c>
      <c r="S19" s="5" t="s">
        <v>415</v>
      </c>
      <c r="T19" s="5">
        <f>IFERROR(__xludf.DUMMYFUNCTION("""COMPUTED_VALUE"""),9.0)</f>
        <v>9</v>
      </c>
      <c r="U19" s="5">
        <v>9.0</v>
      </c>
      <c r="V19" s="5" t="s">
        <v>7</v>
      </c>
      <c r="W19" s="10">
        <v>1.0</v>
      </c>
      <c r="X19" s="5" t="str">
        <f>IFERROR(__xludf.DUMMYFUNCTION("""COMPUTED_VALUE"""),"BLUE WINS")</f>
        <v>BLUE WINS</v>
      </c>
      <c r="Y19" s="5" t="s">
        <v>453</v>
      </c>
      <c r="Z19" s="5" t="s">
        <v>417</v>
      </c>
      <c r="AA19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0.5px;'&gt;&lt;span&gt;Flight_5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#1A1A1A;'&gt;Pulido&lt;/div&gt;&lt;div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2px;'&gt;3 UP&lt;/span&gt;&lt;/div&gt;&lt;div style='flex: 1; text-align: right; font-weight: 700; font-size: 1em; line-height: 1.2; padding: 0 4px; color: #1A1A1A;'&gt;Sardi&lt;/div&gt;&lt;/div&gt;&lt;/div&gt;&lt;div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19" s="5" t="s">
        <v>418</v>
      </c>
      <c r="AC19" s="11" t="s">
        <v>454</v>
      </c>
      <c r="AD19" s="5" t="str">
        <f t="shared" si="2"/>
        <v>✅ Finished</v>
      </c>
      <c r="AE19" s="5" t="s">
        <v>418</v>
      </c>
      <c r="AF19" s="5">
        <f t="shared" si="3"/>
        <v>0</v>
      </c>
      <c r="AG19" s="5">
        <f t="shared" si="4"/>
        <v>100</v>
      </c>
      <c r="AH19" s="5" t="s">
        <v>358</v>
      </c>
    </row>
    <row r="20">
      <c r="A20" s="5" t="str">
        <f>IFERROR(__xludf.DUMMYFUNCTION("""COMPUTED_VALUE"""),"Flight_5")</f>
        <v>Flight_5</v>
      </c>
      <c r="B20" s="5" t="str">
        <f>IFERROR(__xludf.DUMMYFUNCTION("""COMPUTED_VALUE"""),"Individual 2")</f>
        <v>Individual 2</v>
      </c>
      <c r="C20" s="5">
        <f>IFERROR(__xludf.DUMMYFUNCTION("""COMPUTED_VALUE"""),3.0)</f>
        <v>3</v>
      </c>
      <c r="D20" s="5">
        <f>IFERROR(__xludf.DUMMYFUNCTION("""COMPUTED_VALUE"""),5.0)</f>
        <v>5</v>
      </c>
      <c r="E20" s="5">
        <f>IFERROR(__xludf.DUMMYFUNCTION("""COMPUTED_VALUE"""),1.0)</f>
        <v>1</v>
      </c>
      <c r="F20" s="5" t="str">
        <f>IFERROR(__xludf.DUMMYFUNCTION("""COMPUTED_VALUE"""),"Final")</f>
        <v>Final</v>
      </c>
      <c r="G20" s="5">
        <f>IFERROR(__xludf.DUMMYFUNCTION("""COMPUTED_VALUE"""),0.0)</f>
        <v>0</v>
      </c>
      <c r="H20" s="5">
        <f>IFERROR(__xludf.DUMMYFUNCTION("""COMPUTED_VALUE"""),1.0)</f>
        <v>1</v>
      </c>
      <c r="I20" s="5">
        <f>IFERROR(__xludf.DUMMYFUNCTION("""COMPUTED_VALUE"""),1.0)</f>
        <v>1</v>
      </c>
      <c r="J20" s="5">
        <f>IFERROR(__xludf.DUMMYFUNCTION("""COMPUTED_VALUE"""),0.0)</f>
        <v>0</v>
      </c>
      <c r="K20" s="5">
        <f>IFERROR(__xludf.DUMMYFUNCTION("""COMPUTED_VALUE"""),1.0)</f>
        <v>1</v>
      </c>
      <c r="L20" s="5" t="str">
        <f>IFERROR(__xludf.DUMMYFUNCTION("""COMPUTED_VALUE"""),"Flight_5_Individual 2")</f>
        <v>Flight_5_Individual 2</v>
      </c>
      <c r="M20" s="5" t="str">
        <f>IFERROR(__xludf.DUMMYFUNCTION("""COMPUTED_VALUE"""),"Otoya")</f>
        <v>Otoya</v>
      </c>
      <c r="N20" s="5" t="str">
        <f>IFERROR(__xludf.DUMMYFUNCTION("""COMPUTED_VALUE"""),"JC Casas")</f>
        <v>JC Casas</v>
      </c>
      <c r="O20" s="5" t="b">
        <f>IFERROR(__xludf.DUMMYFUNCTION("""COMPUTED_VALUE"""),FALSE)</f>
        <v>0</v>
      </c>
      <c r="P20" s="5">
        <f>IFERROR(__xludf.DUMMYFUNCTION("""COMPUTED_VALUE"""),0.0)</f>
        <v>0</v>
      </c>
      <c r="Q20" s="5" t="str">
        <f>IFERROR(__xludf.DUMMYFUNCTION("""COMPUTED_VALUE"""),"")</f>
        <v/>
      </c>
      <c r="R20" s="5" t="str">
        <f>IFERROR(__xludf.DUMMYFUNCTION("""COMPUTED_VALUE"""),"")</f>
        <v/>
      </c>
      <c r="S20" s="5" t="s">
        <v>415</v>
      </c>
      <c r="T20" s="5">
        <f>IFERROR(__xludf.DUMMYFUNCTION("""COMPUTED_VALUE"""),9.0)</f>
        <v>9</v>
      </c>
      <c r="U20" s="5">
        <v>9.0</v>
      </c>
      <c r="V20" s="5" t="s">
        <v>7</v>
      </c>
      <c r="W20" s="10">
        <v>1.0</v>
      </c>
      <c r="X20" s="5" t="str">
        <f>IFERROR(__xludf.DUMMYFUNCTION("""COMPUTED_VALUE"""),"BLUE WINS")</f>
        <v>BLUE WINS</v>
      </c>
      <c r="Y20" s="5" t="s">
        <v>455</v>
      </c>
      <c r="Z20" s="5" t="s">
        <v>417</v>
      </c>
      <c r="AA20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0.5px;'&gt;&lt;span&gt;Flight_5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#1A1A1A;'&gt;Otoya&lt;/div&gt;&lt;div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2px;'&gt;2 UP&lt;/span&gt;&lt;/div&gt;&lt;div style='flex: 1; text-align: right; font-weight: 700; font-size: 1em; line-height: 1.2; padding: 0 4px; color: #1A1A1A;'&gt;JC Casas&lt;/div&gt;&lt;/div&gt;&lt;/div&gt;&lt;div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0" s="5" t="s">
        <v>418</v>
      </c>
      <c r="AC20" s="11" t="s">
        <v>456</v>
      </c>
      <c r="AD20" s="5" t="str">
        <f t="shared" si="2"/>
        <v>✅ Finished</v>
      </c>
      <c r="AE20" s="5" t="s">
        <v>418</v>
      </c>
      <c r="AF20" s="5">
        <f t="shared" si="3"/>
        <v>0</v>
      </c>
      <c r="AG20" s="5">
        <f t="shared" si="4"/>
        <v>100</v>
      </c>
      <c r="AH20" s="5" t="s">
        <v>354</v>
      </c>
    </row>
    <row r="21">
      <c r="A21" s="5" t="str">
        <f>IFERROR(__xludf.DUMMYFUNCTION("""COMPUTED_VALUE"""),"Flight_5")</f>
        <v>Flight_5</v>
      </c>
      <c r="B21" s="5" t="str">
        <f>IFERROR(__xludf.DUMMYFUNCTION("""COMPUTED_VALUE"""),"Scramble")</f>
        <v>Scramble</v>
      </c>
      <c r="C21" s="5">
        <f>IFERROR(__xludf.DUMMYFUNCTION("""COMPUTED_VALUE"""),3.0)</f>
        <v>3</v>
      </c>
      <c r="D21" s="5">
        <f>IFERROR(__xludf.DUMMYFUNCTION("""COMPUTED_VALUE"""),1.0)</f>
        <v>1</v>
      </c>
      <c r="E21" s="5">
        <f>IFERROR(__xludf.DUMMYFUNCTION("""COMPUTED_VALUE"""),5.0)</f>
        <v>5</v>
      </c>
      <c r="F21" s="5" t="str">
        <f>IFERROR(__xludf.DUMMYFUNCTION("""COMPUTED_VALUE"""),"Final")</f>
        <v>Final</v>
      </c>
      <c r="G21" s="5">
        <f>IFERROR(__xludf.DUMMYFUNCTION("""COMPUTED_VALUE"""),2.0)</f>
        <v>2</v>
      </c>
      <c r="H21" s="5">
        <f>IFERROR(__xludf.DUMMYFUNCTION("""COMPUTED_VALUE"""),0.0)</f>
        <v>0</v>
      </c>
      <c r="I21" s="5">
        <f>IFERROR(__xludf.DUMMYFUNCTION("""COMPUTED_VALUE"""),2.0)</f>
        <v>2</v>
      </c>
      <c r="J21" s="5">
        <f>IFERROR(__xludf.DUMMYFUNCTION("""COMPUTED_VALUE"""),2.0)</f>
        <v>2</v>
      </c>
      <c r="K21" s="5">
        <f>IFERROR(__xludf.DUMMYFUNCTION("""COMPUTED_VALUE"""),0.0)</f>
        <v>0</v>
      </c>
      <c r="L21" s="5" t="str">
        <f>IFERROR(__xludf.DUMMYFUNCTION("""COMPUTED_VALUE"""),"Flight_5_Scramble")</f>
        <v>Flight_5_Scramble</v>
      </c>
      <c r="M21" s="5" t="str">
        <f>IFERROR(__xludf.DUMMYFUNCTION("""COMPUTED_VALUE"""),"Pulido / Otoya")</f>
        <v>Pulido / Otoya</v>
      </c>
      <c r="N21" s="5" t="str">
        <f>IFERROR(__xludf.DUMMYFUNCTION("""COMPUTED_VALUE"""),"Sardi / JC Casas")</f>
        <v>Sardi / JC Casas</v>
      </c>
      <c r="O21" s="5" t="b">
        <f>IFERROR(__xludf.DUMMYFUNCTION("""COMPUTED_VALUE"""),FALSE)</f>
        <v>0</v>
      </c>
      <c r="P21" s="5">
        <f>IFERROR(__xludf.DUMMYFUNCTION("""COMPUTED_VALUE"""),0.0)</f>
        <v>0</v>
      </c>
      <c r="Q21" s="5" t="str">
        <f>IFERROR(__xludf.DUMMYFUNCTION("""COMPUTED_VALUE"""),"")</f>
        <v/>
      </c>
      <c r="R21" s="5" t="str">
        <f>IFERROR(__xludf.DUMMYFUNCTION("""COMPUTED_VALUE"""),"")</f>
        <v/>
      </c>
      <c r="S21" s="5" t="s">
        <v>415</v>
      </c>
      <c r="T21" s="5">
        <f>IFERROR(__xludf.DUMMYFUNCTION("""COMPUTED_VALUE"""),9.0)</f>
        <v>9</v>
      </c>
      <c r="U21" s="5">
        <v>9.0</v>
      </c>
      <c r="V21" s="5" t="s">
        <v>12</v>
      </c>
      <c r="W21" s="10">
        <v>1.0</v>
      </c>
      <c r="X21" s="5" t="str">
        <f>IFERROR(__xludf.DUMMYFUNCTION("""COMPUTED_VALUE"""),"RED WINS")</f>
        <v>RED WINS</v>
      </c>
      <c r="Y21" s="5" t="s">
        <v>451</v>
      </c>
      <c r="Z21" s="5" t="s">
        <v>424</v>
      </c>
      <c r="AA21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0.5px;'&gt;&lt;span&gt;Flight_5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#1A1A1A;'&gt;Pulido / Otoya&lt;/div&gt;&lt;div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2px;'&gt;2 UP&lt;/span&gt;&lt;/div&gt;&lt;div style='flex: 1; text-align: right; font-weight: 700; font-size: 1em; line-height: 1.2; padding: 0 4px; color: #1A1A1A;'&gt;Sardi / JC Casas&lt;/div&gt;&lt;/div&gt;&lt;/div&gt;&lt;div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21" s="5" t="s">
        <v>418</v>
      </c>
      <c r="AC21" s="11" t="s">
        <v>457</v>
      </c>
      <c r="AD21" s="5" t="str">
        <f t="shared" si="2"/>
        <v>✅ Finished</v>
      </c>
      <c r="AE21" s="5" t="s">
        <v>418</v>
      </c>
      <c r="AF21" s="5">
        <f t="shared" si="3"/>
        <v>100</v>
      </c>
      <c r="AG21" s="5">
        <f t="shared" si="4"/>
        <v>0</v>
      </c>
      <c r="AH21" s="5" t="s">
        <v>354</v>
      </c>
    </row>
    <row r="22">
      <c r="A22" s="5" t="str">
        <f>IFERROR(__xludf.DUMMYFUNCTION("""COMPUTED_VALUE"""),"Flight_6")</f>
        <v>Flight_6</v>
      </c>
      <c r="B22" s="5" t="str">
        <f>IFERROR(__xludf.DUMMYFUNCTION("""COMPUTED_VALUE"""),"Fourball")</f>
        <v>Fourball</v>
      </c>
      <c r="C22" s="5">
        <f>IFERROR(__xludf.DUMMYFUNCTION("""COMPUTED_VALUE"""),2.0)</f>
        <v>2</v>
      </c>
      <c r="D22" s="5">
        <f>IFERROR(__xludf.DUMMYFUNCTION("""COMPUTED_VALUE"""),3.0)</f>
        <v>3</v>
      </c>
      <c r="E22" s="5">
        <f>IFERROR(__xludf.DUMMYFUNCTION("""COMPUTED_VALUE"""),4.0)</f>
        <v>4</v>
      </c>
      <c r="F22" s="5" t="str">
        <f>IFERROR(__xludf.DUMMYFUNCTION("""COMPUTED_VALUE"""),"Final")</f>
        <v>Final</v>
      </c>
      <c r="G22" s="5">
        <f>IFERROR(__xludf.DUMMYFUNCTION("""COMPUTED_VALUE"""),0.0)</f>
        <v>0</v>
      </c>
      <c r="H22" s="5">
        <f>IFERROR(__xludf.DUMMYFUNCTION("""COMPUTED_VALUE"""),1.0)</f>
        <v>1</v>
      </c>
      <c r="I22" s="5">
        <f>IFERROR(__xludf.DUMMYFUNCTION("""COMPUTED_VALUE"""),1.0)</f>
        <v>1</v>
      </c>
      <c r="J22" s="5">
        <f>IFERROR(__xludf.DUMMYFUNCTION("""COMPUTED_VALUE"""),0.0)</f>
        <v>0</v>
      </c>
      <c r="K22" s="5">
        <f>IFERROR(__xludf.DUMMYFUNCTION("""COMPUTED_VALUE"""),1.0)</f>
        <v>1</v>
      </c>
      <c r="L22" s="5" t="str">
        <f>IFERROR(__xludf.DUMMYFUNCTION("""COMPUTED_VALUE"""),"Flight_6_Fourball")</f>
        <v>Flight_6_Fourball</v>
      </c>
      <c r="M22" s="5" t="str">
        <f>IFERROR(__xludf.DUMMYFUNCTION("""COMPUTED_VALUE"""),"Pablo Acosta / Garcia")</f>
        <v>Pablo Acosta / Garcia</v>
      </c>
      <c r="N22" s="5" t="str">
        <f>IFERROR(__xludf.DUMMYFUNCTION("""COMPUTED_VALUE"""),"Ana Maria / Schneider")</f>
        <v>Ana Maria / Schneider</v>
      </c>
      <c r="O22" s="5" t="b">
        <f>IFERROR(__xludf.DUMMYFUNCTION("""COMPUTED_VALUE"""),FALSE)</f>
        <v>0</v>
      </c>
      <c r="P22" s="5">
        <f>IFERROR(__xludf.DUMMYFUNCTION("""COMPUTED_VALUE"""),0.0)</f>
        <v>0</v>
      </c>
      <c r="Q22" s="5" t="str">
        <f>IFERROR(__xludf.DUMMYFUNCTION("""COMPUTED_VALUE"""),"")</f>
        <v/>
      </c>
      <c r="R22" s="5" t="str">
        <f>IFERROR(__xludf.DUMMYFUNCTION("""COMPUTED_VALUE"""),"")</f>
        <v/>
      </c>
      <c r="S22" s="5" t="s">
        <v>415</v>
      </c>
      <c r="T22" s="5">
        <f>IFERROR(__xludf.DUMMYFUNCTION("""COMPUTED_VALUE"""),9.0)</f>
        <v>9</v>
      </c>
      <c r="U22" s="5">
        <v>9.0</v>
      </c>
      <c r="V22" s="5" t="s">
        <v>7</v>
      </c>
      <c r="W22" s="10">
        <v>1.0</v>
      </c>
      <c r="X22" s="5" t="str">
        <f>IFERROR(__xludf.DUMMYFUNCTION("""COMPUTED_VALUE"""),"BLUE WINS")</f>
        <v>BLUE WINS</v>
      </c>
      <c r="Y22" s="5" t="s">
        <v>458</v>
      </c>
      <c r="Z22" s="5" t="s">
        <v>427</v>
      </c>
      <c r="AA22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0.5px;'&gt;&lt;span&gt;Flight_6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#1A1A1A;'&gt;Pablo Acosta / Garcia&lt;/div&gt;&lt;div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2px;'&gt;1 UP&lt;/span&gt;&lt;/div&gt;&lt;div style='flex: 1; text-align: right; font-weight: 700; font-size: 1em; line-height: 1.2; padding: 0 4px; color: #1A1A1A;'&gt;Ana Maria / Schneider&lt;/div&gt;&lt;/div&gt;&lt;/div&gt;&lt;div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2" s="5" t="s">
        <v>418</v>
      </c>
      <c r="AC22" s="11" t="s">
        <v>459</v>
      </c>
      <c r="AD22" s="5" t="str">
        <f t="shared" si="2"/>
        <v>✅ Finished</v>
      </c>
      <c r="AE22" s="5" t="s">
        <v>418</v>
      </c>
      <c r="AF22" s="5">
        <f t="shared" si="3"/>
        <v>0</v>
      </c>
      <c r="AG22" s="5">
        <f t="shared" si="4"/>
        <v>100</v>
      </c>
      <c r="AH22" s="5" t="s">
        <v>352</v>
      </c>
    </row>
    <row r="23">
      <c r="A23" s="5" t="str">
        <f>IFERROR(__xludf.DUMMYFUNCTION("""COMPUTED_VALUE"""),"Flight_6")</f>
        <v>Flight_6</v>
      </c>
      <c r="B23" s="5" t="str">
        <f>IFERROR(__xludf.DUMMYFUNCTION("""COMPUTED_VALUE"""),"Individual 1")</f>
        <v>Individual 1</v>
      </c>
      <c r="C23" s="5">
        <f>IFERROR(__xludf.DUMMYFUNCTION("""COMPUTED_VALUE"""),1.0)</f>
        <v>1</v>
      </c>
      <c r="D23" s="5">
        <f>IFERROR(__xludf.DUMMYFUNCTION("""COMPUTED_VALUE"""),4.0)</f>
        <v>4</v>
      </c>
      <c r="E23" s="5">
        <f>IFERROR(__xludf.DUMMYFUNCTION("""COMPUTED_VALUE"""),4.0)</f>
        <v>4</v>
      </c>
      <c r="F23" s="5" t="str">
        <f>IFERROR(__xludf.DUMMYFUNCTION("""COMPUTED_VALUE"""),"Final")</f>
        <v>Final</v>
      </c>
      <c r="G23" s="5">
        <f>IFERROR(__xludf.DUMMYFUNCTION("""COMPUTED_VALUE"""),0.0)</f>
        <v>0</v>
      </c>
      <c r="H23" s="5">
        <f>IFERROR(__xludf.DUMMYFUNCTION("""COMPUTED_VALUE"""),1.0)</f>
        <v>1</v>
      </c>
      <c r="I23" s="5">
        <f>IFERROR(__xludf.DUMMYFUNCTION("""COMPUTED_VALUE"""),1.0)</f>
        <v>1</v>
      </c>
      <c r="J23" s="5">
        <f>IFERROR(__xludf.DUMMYFUNCTION("""COMPUTED_VALUE"""),0.0)</f>
        <v>0</v>
      </c>
      <c r="K23" s="5">
        <f>IFERROR(__xludf.DUMMYFUNCTION("""COMPUTED_VALUE"""),1.0)</f>
        <v>1</v>
      </c>
      <c r="L23" s="5" t="str">
        <f>IFERROR(__xludf.DUMMYFUNCTION("""COMPUTED_VALUE"""),"Flight_6_Individual 1")</f>
        <v>Flight_6_Individual 1</v>
      </c>
      <c r="M23" s="5" t="str">
        <f>IFERROR(__xludf.DUMMYFUNCTION("""COMPUTED_VALUE"""),"Pablo Acosta")</f>
        <v>Pablo Acosta</v>
      </c>
      <c r="N23" s="5" t="str">
        <f>IFERROR(__xludf.DUMMYFUNCTION("""COMPUTED_VALUE"""),"Ana Maria")</f>
        <v>Ana Maria</v>
      </c>
      <c r="O23" s="5" t="b">
        <f>IFERROR(__xludf.DUMMYFUNCTION("""COMPUTED_VALUE"""),FALSE)</f>
        <v>0</v>
      </c>
      <c r="P23" s="5">
        <f>IFERROR(__xludf.DUMMYFUNCTION("""COMPUTED_VALUE"""),0.0)</f>
        <v>0</v>
      </c>
      <c r="Q23" s="5" t="str">
        <f>IFERROR(__xludf.DUMMYFUNCTION("""COMPUTED_VALUE"""),"")</f>
        <v/>
      </c>
      <c r="R23" s="5" t="str">
        <f>IFERROR(__xludf.DUMMYFUNCTION("""COMPUTED_VALUE"""),"")</f>
        <v/>
      </c>
      <c r="S23" s="5" t="s">
        <v>415</v>
      </c>
      <c r="T23" s="5">
        <f>IFERROR(__xludf.DUMMYFUNCTION("""COMPUTED_VALUE"""),9.0)</f>
        <v>9</v>
      </c>
      <c r="U23" s="5">
        <v>9.0</v>
      </c>
      <c r="V23" s="5" t="s">
        <v>7</v>
      </c>
      <c r="W23" s="10">
        <v>1.0</v>
      </c>
      <c r="X23" s="5" t="str">
        <f>IFERROR(__xludf.DUMMYFUNCTION("""COMPUTED_VALUE"""),"BLUE WINS")</f>
        <v>BLUE WINS</v>
      </c>
      <c r="Y23" s="5" t="s">
        <v>460</v>
      </c>
      <c r="Z23" s="5" t="s">
        <v>417</v>
      </c>
      <c r="AA23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0.5px;'&gt;&lt;span&gt;Flight_6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#1A1A1A;'&gt;Pablo Acosta&lt;/div&gt;&lt;div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2px;'&gt;3 UP&lt;/span&gt;&lt;/div&gt;&lt;div style='flex: 1; text-align: right; font-weight: 700; font-size: 1em; line-height: 1.2; padding: 0 4px; color: #1A1A1A;'&gt;Ana Maria&lt;/div&gt;&lt;/div&gt;&lt;/div&gt;&lt;div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3" s="5" t="s">
        <v>418</v>
      </c>
      <c r="AC23" s="11" t="s">
        <v>461</v>
      </c>
      <c r="AD23" s="5" t="str">
        <f t="shared" si="2"/>
        <v>✅ Finished</v>
      </c>
      <c r="AE23" s="5" t="s">
        <v>418</v>
      </c>
      <c r="AF23" s="5">
        <f t="shared" si="3"/>
        <v>0</v>
      </c>
      <c r="AG23" s="5">
        <f t="shared" si="4"/>
        <v>100</v>
      </c>
      <c r="AH23" s="5" t="s">
        <v>358</v>
      </c>
    </row>
    <row r="24">
      <c r="A24" s="5" t="str">
        <f>IFERROR(__xludf.DUMMYFUNCTION("""COMPUTED_VALUE"""),"Flight_6")</f>
        <v>Flight_6</v>
      </c>
      <c r="B24" s="5" t="str">
        <f>IFERROR(__xludf.DUMMYFUNCTION("""COMPUTED_VALUE"""),"Individual 2")</f>
        <v>Individual 2</v>
      </c>
      <c r="C24" s="5">
        <f>IFERROR(__xludf.DUMMYFUNCTION("""COMPUTED_VALUE"""),2.0)</f>
        <v>2</v>
      </c>
      <c r="D24" s="5">
        <f>IFERROR(__xludf.DUMMYFUNCTION("""COMPUTED_VALUE"""),3.0)</f>
        <v>3</v>
      </c>
      <c r="E24" s="5">
        <f>IFERROR(__xludf.DUMMYFUNCTION("""COMPUTED_VALUE"""),4.0)</f>
        <v>4</v>
      </c>
      <c r="F24" s="5" t="str">
        <f>IFERROR(__xludf.DUMMYFUNCTION("""COMPUTED_VALUE"""),"Final")</f>
        <v>Final</v>
      </c>
      <c r="G24" s="5">
        <f>IFERROR(__xludf.DUMMYFUNCTION("""COMPUTED_VALUE"""),0.0)</f>
        <v>0</v>
      </c>
      <c r="H24" s="5">
        <f>IFERROR(__xludf.DUMMYFUNCTION("""COMPUTED_VALUE"""),1.0)</f>
        <v>1</v>
      </c>
      <c r="I24" s="5">
        <f>IFERROR(__xludf.DUMMYFUNCTION("""COMPUTED_VALUE"""),1.0)</f>
        <v>1</v>
      </c>
      <c r="J24" s="5">
        <f>IFERROR(__xludf.DUMMYFUNCTION("""COMPUTED_VALUE"""),0.0)</f>
        <v>0</v>
      </c>
      <c r="K24" s="5">
        <f>IFERROR(__xludf.DUMMYFUNCTION("""COMPUTED_VALUE"""),1.0)</f>
        <v>1</v>
      </c>
      <c r="L24" s="5" t="str">
        <f>IFERROR(__xludf.DUMMYFUNCTION("""COMPUTED_VALUE"""),"Flight_6_Individual 2")</f>
        <v>Flight_6_Individual 2</v>
      </c>
      <c r="M24" s="5" t="str">
        <f>IFERROR(__xludf.DUMMYFUNCTION("""COMPUTED_VALUE"""),"Garcia")</f>
        <v>Garcia</v>
      </c>
      <c r="N24" s="5" t="str">
        <f>IFERROR(__xludf.DUMMYFUNCTION("""COMPUTED_VALUE"""),"Schneider")</f>
        <v>Schneider</v>
      </c>
      <c r="O24" s="5" t="b">
        <f>IFERROR(__xludf.DUMMYFUNCTION("""COMPUTED_VALUE"""),FALSE)</f>
        <v>0</v>
      </c>
      <c r="P24" s="5">
        <f>IFERROR(__xludf.DUMMYFUNCTION("""COMPUTED_VALUE"""),0.0)</f>
        <v>0</v>
      </c>
      <c r="Q24" s="5" t="str">
        <f>IFERROR(__xludf.DUMMYFUNCTION("""COMPUTED_VALUE"""),"")</f>
        <v/>
      </c>
      <c r="R24" s="5" t="str">
        <f>IFERROR(__xludf.DUMMYFUNCTION("""COMPUTED_VALUE"""),"")</f>
        <v/>
      </c>
      <c r="S24" s="5" t="s">
        <v>415</v>
      </c>
      <c r="T24" s="5">
        <f>IFERROR(__xludf.DUMMYFUNCTION("""COMPUTED_VALUE"""),9.0)</f>
        <v>9</v>
      </c>
      <c r="U24" s="5">
        <v>9.0</v>
      </c>
      <c r="V24" s="5" t="s">
        <v>7</v>
      </c>
      <c r="W24" s="10">
        <v>1.0</v>
      </c>
      <c r="X24" s="5" t="str">
        <f>IFERROR(__xludf.DUMMYFUNCTION("""COMPUTED_VALUE"""),"BLUE WINS")</f>
        <v>BLUE WINS</v>
      </c>
      <c r="Y24" s="5" t="s">
        <v>462</v>
      </c>
      <c r="Z24" s="5" t="s">
        <v>417</v>
      </c>
      <c r="AA24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0.5px;'&gt;&lt;span&gt;Flight_6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#1A1A1A;'&gt;Garcia&lt;/div&gt;&lt;div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2px;'&gt;1 UP&lt;/span&gt;&lt;/div&gt;&lt;div style='flex: 1; text-align: right; font-weight: 700; font-size: 1em; line-height: 1.2; padding: 0 4px; color: #1A1A1A;'&gt;Schneider&lt;/div&gt;&lt;/div&gt;&lt;/div&gt;&lt;div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4" s="5" t="s">
        <v>418</v>
      </c>
      <c r="AC24" s="11" t="s">
        <v>463</v>
      </c>
      <c r="AD24" s="5" t="str">
        <f t="shared" si="2"/>
        <v>✅ Finished</v>
      </c>
      <c r="AE24" s="5" t="s">
        <v>418</v>
      </c>
      <c r="AF24" s="5">
        <f t="shared" si="3"/>
        <v>0</v>
      </c>
      <c r="AG24" s="5">
        <f t="shared" si="4"/>
        <v>100</v>
      </c>
      <c r="AH24" s="5" t="s">
        <v>352</v>
      </c>
    </row>
    <row r="25">
      <c r="A25" s="5" t="str">
        <f>IFERROR(__xludf.DUMMYFUNCTION("""COMPUTED_VALUE"""),"Flight_6")</f>
        <v>Flight_6</v>
      </c>
      <c r="B25" s="5" t="str">
        <f>IFERROR(__xludf.DUMMYFUNCTION("""COMPUTED_VALUE"""),"Scramble")</f>
        <v>Scramble</v>
      </c>
      <c r="C25" s="5">
        <f>IFERROR(__xludf.DUMMYFUNCTION("""COMPUTED_VALUE"""),3.0)</f>
        <v>3</v>
      </c>
      <c r="D25" s="5">
        <f>IFERROR(__xludf.DUMMYFUNCTION("""COMPUTED_VALUE"""),1.0)</f>
        <v>1</v>
      </c>
      <c r="E25" s="5">
        <f>IFERROR(__xludf.DUMMYFUNCTION("""COMPUTED_VALUE"""),5.0)</f>
        <v>5</v>
      </c>
      <c r="F25" s="5" t="str">
        <f>IFERROR(__xludf.DUMMYFUNCTION("""COMPUTED_VALUE"""),"Final")</f>
        <v>Final</v>
      </c>
      <c r="G25" s="5">
        <f>IFERROR(__xludf.DUMMYFUNCTION("""COMPUTED_VALUE"""),2.0)</f>
        <v>2</v>
      </c>
      <c r="H25" s="5">
        <f>IFERROR(__xludf.DUMMYFUNCTION("""COMPUTED_VALUE"""),0.0)</f>
        <v>0</v>
      </c>
      <c r="I25" s="5">
        <f>IFERROR(__xludf.DUMMYFUNCTION("""COMPUTED_VALUE"""),2.0)</f>
        <v>2</v>
      </c>
      <c r="J25" s="5">
        <f>IFERROR(__xludf.DUMMYFUNCTION("""COMPUTED_VALUE"""),2.0)</f>
        <v>2</v>
      </c>
      <c r="K25" s="5">
        <f>IFERROR(__xludf.DUMMYFUNCTION("""COMPUTED_VALUE"""),0.0)</f>
        <v>0</v>
      </c>
      <c r="L25" s="5" t="str">
        <f>IFERROR(__xludf.DUMMYFUNCTION("""COMPUTED_VALUE"""),"Flight_6_Scramble")</f>
        <v>Flight_6_Scramble</v>
      </c>
      <c r="M25" s="5" t="str">
        <f>IFERROR(__xludf.DUMMYFUNCTION("""COMPUTED_VALUE"""),"Pablo Acosta / Garcia")</f>
        <v>Pablo Acosta / Garcia</v>
      </c>
      <c r="N25" s="5" t="str">
        <f>IFERROR(__xludf.DUMMYFUNCTION("""COMPUTED_VALUE"""),"Ana Maria / Schneider")</f>
        <v>Ana Maria / Schneider</v>
      </c>
      <c r="O25" s="5" t="b">
        <f>IFERROR(__xludf.DUMMYFUNCTION("""COMPUTED_VALUE"""),FALSE)</f>
        <v>0</v>
      </c>
      <c r="P25" s="5">
        <f>IFERROR(__xludf.DUMMYFUNCTION("""COMPUTED_VALUE"""),0.0)</f>
        <v>0</v>
      </c>
      <c r="Q25" s="5" t="str">
        <f>IFERROR(__xludf.DUMMYFUNCTION("""COMPUTED_VALUE"""),"")</f>
        <v/>
      </c>
      <c r="R25" s="5" t="str">
        <f>IFERROR(__xludf.DUMMYFUNCTION("""COMPUTED_VALUE"""),"")</f>
        <v/>
      </c>
      <c r="S25" s="5" t="s">
        <v>415</v>
      </c>
      <c r="T25" s="5">
        <f>IFERROR(__xludf.DUMMYFUNCTION("""COMPUTED_VALUE"""),9.0)</f>
        <v>9</v>
      </c>
      <c r="U25" s="5">
        <v>9.0</v>
      </c>
      <c r="V25" s="5" t="s">
        <v>12</v>
      </c>
      <c r="W25" s="10">
        <v>1.0</v>
      </c>
      <c r="X25" s="5" t="str">
        <f>IFERROR(__xludf.DUMMYFUNCTION("""COMPUTED_VALUE"""),"RED WINS")</f>
        <v>RED WINS</v>
      </c>
      <c r="Y25" s="5" t="s">
        <v>458</v>
      </c>
      <c r="Z25" s="5" t="s">
        <v>424</v>
      </c>
      <c r="AA25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0.5px;'&gt;&lt;span&gt;Flight_6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#1A1A1A;'&gt;Pablo Acosta / Garcia&lt;/div&gt;&lt;div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2px;'&gt;2 UP&lt;/span&gt;&lt;/div&gt;&lt;div style='flex: 1; text-align: right; font-weight: 700; font-size: 1em; line-height: 1.2; padding: 0 4px; color: #1A1A1A;'&gt;Ana Maria / Schneider&lt;/div&gt;&lt;/div&gt;&lt;/div&gt;&lt;div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25" s="5" t="s">
        <v>418</v>
      </c>
      <c r="AC25" s="11" t="s">
        <v>464</v>
      </c>
      <c r="AD25" s="5" t="str">
        <f t="shared" si="2"/>
        <v>✅ Finished</v>
      </c>
      <c r="AE25" s="5" t="s">
        <v>418</v>
      </c>
      <c r="AF25" s="5">
        <f t="shared" si="3"/>
        <v>100</v>
      </c>
      <c r="AG25" s="5">
        <f t="shared" si="4"/>
        <v>0</v>
      </c>
      <c r="AH25" s="5" t="s">
        <v>354</v>
      </c>
    </row>
    <row r="26">
      <c r="A26" s="5" t="str">
        <f>IFERROR(__xludf.DUMMYFUNCTION("""COMPUTED_VALUE"""),"Flight_7")</f>
        <v>Flight_7</v>
      </c>
      <c r="B26" s="5" t="str">
        <f>IFERROR(__xludf.DUMMYFUNCTION("""COMPUTED_VALUE"""),"Fourball")</f>
        <v>Fourball</v>
      </c>
      <c r="C26" s="5">
        <f>IFERROR(__xludf.DUMMYFUNCTION("""COMPUTED_VALUE"""),3.0)</f>
        <v>3</v>
      </c>
      <c r="D26" s="5">
        <f>IFERROR(__xludf.DUMMYFUNCTION("""COMPUTED_VALUE"""),3.0)</f>
        <v>3</v>
      </c>
      <c r="E26" s="5">
        <f>IFERROR(__xludf.DUMMYFUNCTION("""COMPUTED_VALUE"""),3.0)</f>
        <v>3</v>
      </c>
      <c r="F26" s="5" t="str">
        <f>IFERROR(__xludf.DUMMYFUNCTION("""COMPUTED_VALUE"""),"Final")</f>
        <v>Final</v>
      </c>
      <c r="G26" s="5">
        <f>IFERROR(__xludf.DUMMYFUNCTION("""COMPUTED_VALUE"""),0.5)</f>
        <v>0.5</v>
      </c>
      <c r="H26" s="5">
        <f>IFERROR(__xludf.DUMMYFUNCTION("""COMPUTED_VALUE"""),0.5)</f>
        <v>0.5</v>
      </c>
      <c r="I26" s="5">
        <f>IFERROR(__xludf.DUMMYFUNCTION("""COMPUTED_VALUE"""),1.0)</f>
        <v>1</v>
      </c>
      <c r="J26" s="5">
        <f>IFERROR(__xludf.DUMMYFUNCTION("""COMPUTED_VALUE"""),0.5)</f>
        <v>0.5</v>
      </c>
      <c r="K26" s="5">
        <f>IFERROR(__xludf.DUMMYFUNCTION("""COMPUTED_VALUE"""),0.5)</f>
        <v>0.5</v>
      </c>
      <c r="L26" s="5" t="str">
        <f>IFERROR(__xludf.DUMMYFUNCTION("""COMPUTED_VALUE"""),"Flight_7_Fourball")</f>
        <v>Flight_7_Fourball</v>
      </c>
      <c r="M26" s="5" t="str">
        <f>IFERROR(__xludf.DUMMYFUNCTION("""COMPUTED_VALUE"""),"Velez / JP Mosquera")</f>
        <v>Velez / JP Mosquera</v>
      </c>
      <c r="N26" s="5" t="str">
        <f>IFERROR(__xludf.DUMMYFUNCTION("""COMPUTED_VALUE"""),"Pocho / Phil")</f>
        <v>Pocho / Phil</v>
      </c>
      <c r="O26" s="5" t="b">
        <f>IFERROR(__xludf.DUMMYFUNCTION("""COMPUTED_VALUE"""),FALSE)</f>
        <v>0</v>
      </c>
      <c r="P26" s="5">
        <f>IFERROR(__xludf.DUMMYFUNCTION("""COMPUTED_VALUE"""),0.0)</f>
        <v>0</v>
      </c>
      <c r="Q26" s="5" t="str">
        <f>IFERROR(__xludf.DUMMYFUNCTION("""COMPUTED_VALUE"""),"")</f>
        <v/>
      </c>
      <c r="R26" s="5" t="str">
        <f>IFERROR(__xludf.DUMMYFUNCTION("""COMPUTED_VALUE"""),"")</f>
        <v/>
      </c>
      <c r="S26" s="5" t="s">
        <v>415</v>
      </c>
      <c r="T26" s="5">
        <f>IFERROR(__xludf.DUMMYFUNCTION("""COMPUTED_VALUE"""),9.0)</f>
        <v>9</v>
      </c>
      <c r="U26" s="5">
        <v>9.0</v>
      </c>
      <c r="V26" s="5" t="s">
        <v>350</v>
      </c>
      <c r="W26" s="10">
        <v>1.0</v>
      </c>
      <c r="X26" s="5" t="str">
        <f>IFERROR(__xludf.DUMMYFUNCTION("""COMPUTED_VALUE"""),"TIED")</f>
        <v>TIED</v>
      </c>
      <c r="Y26" s="5" t="s">
        <v>465</v>
      </c>
      <c r="Z26" s="5" t="s">
        <v>427</v>
      </c>
      <c r="AA26" s="5" t="str">
        <f t="shared" si="1"/>
        <v>&lt;div style='display: flex; flex-direction: column; width: 100%; border: 2px solid #757575; border-radius: 10px; margin-bottom: 12px; background: linear-gradient(135deg, #F5F5F5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0.5px;'&gt;&lt;span&gt;Flight_7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#1A1A1A;'&gt;Velez / JP Mosquera&lt;/div&gt;&lt;div style='flex: 0 0 75px; margin: 0 6px; padding: 8px 4px; border-radius: 8px; text-align: center; font-weight: 700; background-color: #616161; box-shadow: 0 2px 6px rgba(0,0,0,0.2);'&gt;&lt;span style='font-size: 1.1em; display: block; color: #FFFFFF; letter-spacing: 0.3px;'&gt;TIED&lt;/span&gt;&lt;span style='font-size: 0.75em; display: block; color: rgba(255,255,255,0.9); margin-top: 2px;'&gt;A/S (Final)&lt;/span&gt;&lt;/div&gt;&lt;div style='flex: 1; text-align: right; font-weight: 700; font-size: 1em; line-height: 1.2; padding: 0 4px; color: #1A1A1A;'&gt;Pocho / Phil&lt;/div&gt;&lt;/div&gt;&lt;/div&gt;&lt;div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6" s="5" t="s">
        <v>418</v>
      </c>
      <c r="AC26" s="11" t="s">
        <v>466</v>
      </c>
      <c r="AD26" s="5" t="str">
        <f t="shared" si="2"/>
        <v>✅ Finished</v>
      </c>
      <c r="AE26" s="5" t="s">
        <v>418</v>
      </c>
      <c r="AF26" s="5">
        <f t="shared" si="3"/>
        <v>50</v>
      </c>
      <c r="AG26" s="5">
        <f t="shared" si="4"/>
        <v>50</v>
      </c>
      <c r="AH26" s="5" t="s">
        <v>450</v>
      </c>
    </row>
    <row r="27">
      <c r="A27" s="5" t="str">
        <f>IFERROR(__xludf.DUMMYFUNCTION("""COMPUTED_VALUE"""),"Flight_7")</f>
        <v>Flight_7</v>
      </c>
      <c r="B27" s="5" t="str">
        <f>IFERROR(__xludf.DUMMYFUNCTION("""COMPUTED_VALUE"""),"Individual 1")</f>
        <v>Individual 1</v>
      </c>
      <c r="C27" s="5">
        <f>IFERROR(__xludf.DUMMYFUNCTION("""COMPUTED_VALUE"""),3.0)</f>
        <v>3</v>
      </c>
      <c r="D27" s="5">
        <f>IFERROR(__xludf.DUMMYFUNCTION("""COMPUTED_VALUE"""),3.0)</f>
        <v>3</v>
      </c>
      <c r="E27" s="5">
        <f>IFERROR(__xludf.DUMMYFUNCTION("""COMPUTED_VALUE"""),3.0)</f>
        <v>3</v>
      </c>
      <c r="F27" s="5" t="str">
        <f>IFERROR(__xludf.DUMMYFUNCTION("""COMPUTED_VALUE"""),"Final")</f>
        <v>Final</v>
      </c>
      <c r="G27" s="5">
        <f>IFERROR(__xludf.DUMMYFUNCTION("""COMPUTED_VALUE"""),0.5)</f>
        <v>0.5</v>
      </c>
      <c r="H27" s="5">
        <f>IFERROR(__xludf.DUMMYFUNCTION("""COMPUTED_VALUE"""),0.5)</f>
        <v>0.5</v>
      </c>
      <c r="I27" s="5">
        <f>IFERROR(__xludf.DUMMYFUNCTION("""COMPUTED_VALUE"""),1.0)</f>
        <v>1</v>
      </c>
      <c r="J27" s="5">
        <f>IFERROR(__xludf.DUMMYFUNCTION("""COMPUTED_VALUE"""),0.5)</f>
        <v>0.5</v>
      </c>
      <c r="K27" s="5">
        <f>IFERROR(__xludf.DUMMYFUNCTION("""COMPUTED_VALUE"""),0.5)</f>
        <v>0.5</v>
      </c>
      <c r="L27" s="5" t="str">
        <f>IFERROR(__xludf.DUMMYFUNCTION("""COMPUTED_VALUE"""),"Flight_7_Individual 1")</f>
        <v>Flight_7_Individual 1</v>
      </c>
      <c r="M27" s="5" t="str">
        <f>IFERROR(__xludf.DUMMYFUNCTION("""COMPUTED_VALUE"""),"Velez")</f>
        <v>Velez</v>
      </c>
      <c r="N27" s="5" t="str">
        <f>IFERROR(__xludf.DUMMYFUNCTION("""COMPUTED_VALUE"""),"Pocho")</f>
        <v>Pocho</v>
      </c>
      <c r="O27" s="5" t="b">
        <f>IFERROR(__xludf.DUMMYFUNCTION("""COMPUTED_VALUE"""),FALSE)</f>
        <v>0</v>
      </c>
      <c r="P27" s="5">
        <f>IFERROR(__xludf.DUMMYFUNCTION("""COMPUTED_VALUE"""),0.0)</f>
        <v>0</v>
      </c>
      <c r="Q27" s="5" t="str">
        <f>IFERROR(__xludf.DUMMYFUNCTION("""COMPUTED_VALUE"""),"")</f>
        <v/>
      </c>
      <c r="R27" s="5" t="str">
        <f>IFERROR(__xludf.DUMMYFUNCTION("""COMPUTED_VALUE"""),"")</f>
        <v/>
      </c>
      <c r="S27" s="5" t="s">
        <v>415</v>
      </c>
      <c r="T27" s="5">
        <f>IFERROR(__xludf.DUMMYFUNCTION("""COMPUTED_VALUE"""),9.0)</f>
        <v>9</v>
      </c>
      <c r="U27" s="5">
        <v>9.0</v>
      </c>
      <c r="V27" s="5" t="s">
        <v>350</v>
      </c>
      <c r="W27" s="10">
        <v>1.0</v>
      </c>
      <c r="X27" s="5" t="str">
        <f>IFERROR(__xludf.DUMMYFUNCTION("""COMPUTED_VALUE"""),"TIED")</f>
        <v>TIED</v>
      </c>
      <c r="Y27" s="5" t="s">
        <v>467</v>
      </c>
      <c r="Z27" s="5" t="s">
        <v>417</v>
      </c>
      <c r="AA27" s="5" t="str">
        <f t="shared" si="1"/>
        <v>&lt;div style='display: flex; flex-direction: column; width: 100%; border: 2px solid #757575; border-radius: 10px; margin-bottom: 12px; background: linear-gradient(135deg, #F5F5F5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0.5px;'&gt;&lt;span&gt;Flight_7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#1A1A1A;'&gt;Velez&lt;/div&gt;&lt;div style='flex: 0 0 75px; margin: 0 6px; padding: 8px 4px; border-radius: 8px; text-align: center; font-weight: 700; background-color: #616161; box-shadow: 0 2px 6px rgba(0,0,0,0.2);'&gt;&lt;span style='font-size: 1.1em; display: block; color: #FFFFFF; letter-spacing: 0.3px;'&gt;TIED&lt;/span&gt;&lt;span style='font-size: 0.75em; display: block; color: rgba(255,255,255,0.9); margin-top: 2px;'&gt;A/S (Final)&lt;/span&gt;&lt;/div&gt;&lt;div style='flex: 1; text-align: right; font-weight: 700; font-size: 1em; line-height: 1.2; padding: 0 4px; color: #1A1A1A;'&gt;Pocho&lt;/div&gt;&lt;/div&gt;&lt;/div&gt;&lt;div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7" s="5" t="s">
        <v>418</v>
      </c>
      <c r="AC27" s="11" t="s">
        <v>468</v>
      </c>
      <c r="AD27" s="5" t="str">
        <f t="shared" si="2"/>
        <v>✅ Finished</v>
      </c>
      <c r="AE27" s="5" t="s">
        <v>418</v>
      </c>
      <c r="AF27" s="5">
        <f t="shared" si="3"/>
        <v>50</v>
      </c>
      <c r="AG27" s="5">
        <f t="shared" si="4"/>
        <v>50</v>
      </c>
      <c r="AH27" s="5" t="s">
        <v>450</v>
      </c>
    </row>
    <row r="28">
      <c r="A28" s="5" t="str">
        <f>IFERROR(__xludf.DUMMYFUNCTION("""COMPUTED_VALUE"""),"Flight_7")</f>
        <v>Flight_7</v>
      </c>
      <c r="B28" s="5" t="str">
        <f>IFERROR(__xludf.DUMMYFUNCTION("""COMPUTED_VALUE"""),"Individual 2")</f>
        <v>Individual 2</v>
      </c>
      <c r="C28" s="5">
        <f>IFERROR(__xludf.DUMMYFUNCTION("""COMPUTED_VALUE"""),5.0)</f>
        <v>5</v>
      </c>
      <c r="D28" s="5">
        <f>IFERROR(__xludf.DUMMYFUNCTION("""COMPUTED_VALUE"""),3.0)</f>
        <v>3</v>
      </c>
      <c r="E28" s="5">
        <f>IFERROR(__xludf.DUMMYFUNCTION("""COMPUTED_VALUE"""),1.0)</f>
        <v>1</v>
      </c>
      <c r="F28" s="5" t="str">
        <f>IFERROR(__xludf.DUMMYFUNCTION("""COMPUTED_VALUE"""),"Final")</f>
        <v>Final</v>
      </c>
      <c r="G28" s="5">
        <f>IFERROR(__xludf.DUMMYFUNCTION("""COMPUTED_VALUE"""),1.0)</f>
        <v>1</v>
      </c>
      <c r="H28" s="5">
        <f>IFERROR(__xludf.DUMMYFUNCTION("""COMPUTED_VALUE"""),0.0)</f>
        <v>0</v>
      </c>
      <c r="I28" s="5">
        <f>IFERROR(__xludf.DUMMYFUNCTION("""COMPUTED_VALUE"""),1.0)</f>
        <v>1</v>
      </c>
      <c r="J28" s="5">
        <f>IFERROR(__xludf.DUMMYFUNCTION("""COMPUTED_VALUE"""),1.0)</f>
        <v>1</v>
      </c>
      <c r="K28" s="5">
        <f>IFERROR(__xludf.DUMMYFUNCTION("""COMPUTED_VALUE"""),0.0)</f>
        <v>0</v>
      </c>
      <c r="L28" s="5" t="str">
        <f>IFERROR(__xludf.DUMMYFUNCTION("""COMPUTED_VALUE"""),"Flight_7_Individual 2")</f>
        <v>Flight_7_Individual 2</v>
      </c>
      <c r="M28" s="5" t="str">
        <f>IFERROR(__xludf.DUMMYFUNCTION("""COMPUTED_VALUE"""),"JP Mosquera")</f>
        <v>JP Mosquera</v>
      </c>
      <c r="N28" s="5" t="str">
        <f>IFERROR(__xludf.DUMMYFUNCTION("""COMPUTED_VALUE"""),"Phil")</f>
        <v>Phil</v>
      </c>
      <c r="O28" s="5" t="b">
        <f>IFERROR(__xludf.DUMMYFUNCTION("""COMPUTED_VALUE"""),FALSE)</f>
        <v>0</v>
      </c>
      <c r="P28" s="5">
        <f>IFERROR(__xludf.DUMMYFUNCTION("""COMPUTED_VALUE"""),0.0)</f>
        <v>0</v>
      </c>
      <c r="Q28" s="5" t="str">
        <f>IFERROR(__xludf.DUMMYFUNCTION("""COMPUTED_VALUE"""),"")</f>
        <v/>
      </c>
      <c r="R28" s="5" t="str">
        <f>IFERROR(__xludf.DUMMYFUNCTION("""COMPUTED_VALUE"""),"")</f>
        <v/>
      </c>
      <c r="S28" s="5" t="s">
        <v>415</v>
      </c>
      <c r="T28" s="5">
        <f>IFERROR(__xludf.DUMMYFUNCTION("""COMPUTED_VALUE"""),9.0)</f>
        <v>9</v>
      </c>
      <c r="U28" s="5">
        <v>9.0</v>
      </c>
      <c r="V28" s="5" t="s">
        <v>12</v>
      </c>
      <c r="W28" s="10">
        <v>1.0</v>
      </c>
      <c r="X28" s="5" t="str">
        <f>IFERROR(__xludf.DUMMYFUNCTION("""COMPUTED_VALUE"""),"RED WINS")</f>
        <v>RED WINS</v>
      </c>
      <c r="Y28" s="5" t="s">
        <v>469</v>
      </c>
      <c r="Z28" s="5" t="s">
        <v>417</v>
      </c>
      <c r="AA28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0.5px;'&gt;&lt;span&gt;Flight_7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#1A1A1A;'&gt;JP Mosquera&lt;/div&gt;&lt;div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2px;'&gt;2 UP&lt;/span&gt;&lt;/div&gt;&lt;div style='flex: 1; text-align: right; font-weight: 700; font-size: 1em; line-height: 1.2; padding: 0 4px; color: #1A1A1A;'&gt;Phil&lt;/div&gt;&lt;/div&gt;&lt;/div&gt;&lt;div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28" s="5" t="s">
        <v>418</v>
      </c>
      <c r="AC28" s="11" t="s">
        <v>470</v>
      </c>
      <c r="AD28" s="5" t="str">
        <f t="shared" si="2"/>
        <v>✅ Finished</v>
      </c>
      <c r="AE28" s="5" t="s">
        <v>418</v>
      </c>
      <c r="AF28" s="5">
        <f t="shared" si="3"/>
        <v>100</v>
      </c>
      <c r="AG28" s="5">
        <f t="shared" si="4"/>
        <v>0</v>
      </c>
      <c r="AH28" s="5" t="s">
        <v>354</v>
      </c>
    </row>
    <row r="29">
      <c r="A29" s="5" t="str">
        <f>IFERROR(__xludf.DUMMYFUNCTION("""COMPUTED_VALUE"""),"Flight_7")</f>
        <v>Flight_7</v>
      </c>
      <c r="B29" s="5" t="str">
        <f>IFERROR(__xludf.DUMMYFUNCTION("""COMPUTED_VALUE"""),"Scramble")</f>
        <v>Scramble</v>
      </c>
      <c r="C29" s="5">
        <f>IFERROR(__xludf.DUMMYFUNCTION("""COMPUTED_VALUE"""),1.0)</f>
        <v>1</v>
      </c>
      <c r="D29" s="5">
        <f>IFERROR(__xludf.DUMMYFUNCTION("""COMPUTED_VALUE"""),3.0)</f>
        <v>3</v>
      </c>
      <c r="E29" s="5">
        <f>IFERROR(__xludf.DUMMYFUNCTION("""COMPUTED_VALUE"""),4.0)</f>
        <v>4</v>
      </c>
      <c r="F29" s="5" t="str">
        <f>IFERROR(__xludf.DUMMYFUNCTION("""COMPUTED_VALUE"""),"Final")</f>
        <v>Final</v>
      </c>
      <c r="G29" s="5">
        <f>IFERROR(__xludf.DUMMYFUNCTION("""COMPUTED_VALUE"""),0.0)</f>
        <v>0</v>
      </c>
      <c r="H29" s="5">
        <f>IFERROR(__xludf.DUMMYFUNCTION("""COMPUTED_VALUE"""),2.0)</f>
        <v>2</v>
      </c>
      <c r="I29" s="5">
        <f>IFERROR(__xludf.DUMMYFUNCTION("""COMPUTED_VALUE"""),2.0)</f>
        <v>2</v>
      </c>
      <c r="J29" s="5">
        <f>IFERROR(__xludf.DUMMYFUNCTION("""COMPUTED_VALUE"""),0.0)</f>
        <v>0</v>
      </c>
      <c r="K29" s="5">
        <f>IFERROR(__xludf.DUMMYFUNCTION("""COMPUTED_VALUE"""),2.0)</f>
        <v>2</v>
      </c>
      <c r="L29" s="5" t="str">
        <f>IFERROR(__xludf.DUMMYFUNCTION("""COMPUTED_VALUE"""),"Flight_7_Scramble")</f>
        <v>Flight_7_Scramble</v>
      </c>
      <c r="M29" s="5" t="str">
        <f>IFERROR(__xludf.DUMMYFUNCTION("""COMPUTED_VALUE"""),"Velez / JP Mosquera")</f>
        <v>Velez / JP Mosquera</v>
      </c>
      <c r="N29" s="5" t="str">
        <f>IFERROR(__xludf.DUMMYFUNCTION("""COMPUTED_VALUE"""),"Pocho / Phil")</f>
        <v>Pocho / Phil</v>
      </c>
      <c r="O29" s="5" t="b">
        <f>IFERROR(__xludf.DUMMYFUNCTION("""COMPUTED_VALUE"""),FALSE)</f>
        <v>0</v>
      </c>
      <c r="P29" s="5">
        <f>IFERROR(__xludf.DUMMYFUNCTION("""COMPUTED_VALUE"""),0.0)</f>
        <v>0</v>
      </c>
      <c r="Q29" s="5" t="str">
        <f>IFERROR(__xludf.DUMMYFUNCTION("""COMPUTED_VALUE"""),"")</f>
        <v/>
      </c>
      <c r="R29" s="5" t="str">
        <f>IFERROR(__xludf.DUMMYFUNCTION("""COMPUTED_VALUE"""),"")</f>
        <v/>
      </c>
      <c r="S29" s="5" t="s">
        <v>415</v>
      </c>
      <c r="T29" s="5">
        <f>IFERROR(__xludf.DUMMYFUNCTION("""COMPUTED_VALUE"""),9.0)</f>
        <v>9</v>
      </c>
      <c r="U29" s="5">
        <v>9.0</v>
      </c>
      <c r="V29" s="5" t="s">
        <v>7</v>
      </c>
      <c r="W29" s="10">
        <v>1.0</v>
      </c>
      <c r="X29" s="5" t="str">
        <f>IFERROR(__xludf.DUMMYFUNCTION("""COMPUTED_VALUE"""),"BLUE WINS")</f>
        <v>BLUE WINS</v>
      </c>
      <c r="Y29" s="5" t="s">
        <v>465</v>
      </c>
      <c r="Z29" s="5" t="s">
        <v>424</v>
      </c>
      <c r="AA29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0.5px;'&gt;&lt;span&gt;Flight_7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#1A1A1A;'&gt;Velez / JP Mosquera&lt;/div&gt;&lt;div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2px;'&gt;2 &amp; 1&lt;/span&gt;&lt;/div&gt;&lt;div style='flex: 1; text-align: right; font-weight: 700; font-size: 1em; line-height: 1.2; padding: 0 4px; color: #1A1A1A;'&gt;Pocho / Phil&lt;/div&gt;&lt;/div&gt;&lt;/div&gt;&lt;div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29" s="5" t="s">
        <v>418</v>
      </c>
      <c r="AC29" s="11" t="s">
        <v>471</v>
      </c>
      <c r="AD29" s="5" t="str">
        <f t="shared" si="2"/>
        <v>✅ Finished</v>
      </c>
      <c r="AE29" s="5" t="s">
        <v>418</v>
      </c>
      <c r="AF29" s="5">
        <f t="shared" si="3"/>
        <v>0</v>
      </c>
      <c r="AG29" s="5">
        <f t="shared" si="4"/>
        <v>100</v>
      </c>
      <c r="AH29" s="5" t="s">
        <v>420</v>
      </c>
    </row>
    <row r="30">
      <c r="A30" s="5" t="str">
        <f>IFERROR(__xludf.DUMMYFUNCTION("""COMPUTED_VALUE"""),"Flight_8")</f>
        <v>Flight_8</v>
      </c>
      <c r="B30" s="5" t="str">
        <f>IFERROR(__xludf.DUMMYFUNCTION("""COMPUTED_VALUE"""),"Fourball")</f>
        <v>Fourball</v>
      </c>
      <c r="C30" s="5">
        <f>IFERROR(__xludf.DUMMYFUNCTION("""COMPUTED_VALUE"""),4.0)</f>
        <v>4</v>
      </c>
      <c r="D30" s="5">
        <f>IFERROR(__xludf.DUMMYFUNCTION("""COMPUTED_VALUE"""),3.0)</f>
        <v>3</v>
      </c>
      <c r="E30" s="5">
        <f>IFERROR(__xludf.DUMMYFUNCTION("""COMPUTED_VALUE"""),2.0)</f>
        <v>2</v>
      </c>
      <c r="F30" s="5" t="str">
        <f>IFERROR(__xludf.DUMMYFUNCTION("""COMPUTED_VALUE"""),"Final")</f>
        <v>Final</v>
      </c>
      <c r="G30" s="5">
        <f>IFERROR(__xludf.DUMMYFUNCTION("""COMPUTED_VALUE"""),1.0)</f>
        <v>1</v>
      </c>
      <c r="H30" s="5">
        <f>IFERROR(__xludf.DUMMYFUNCTION("""COMPUTED_VALUE"""),0.0)</f>
        <v>0</v>
      </c>
      <c r="I30" s="5">
        <f>IFERROR(__xludf.DUMMYFUNCTION("""COMPUTED_VALUE"""),1.0)</f>
        <v>1</v>
      </c>
      <c r="J30" s="5">
        <f>IFERROR(__xludf.DUMMYFUNCTION("""COMPUTED_VALUE"""),1.0)</f>
        <v>1</v>
      </c>
      <c r="K30" s="5">
        <f>IFERROR(__xludf.DUMMYFUNCTION("""COMPUTED_VALUE"""),0.0)</f>
        <v>0</v>
      </c>
      <c r="L30" s="5" t="str">
        <f>IFERROR(__xludf.DUMMYFUNCTION("""COMPUTED_VALUE"""),"Flight_8_Fourball")</f>
        <v>Flight_8_Fourball</v>
      </c>
      <c r="M30" s="5" t="str">
        <f>IFERROR(__xludf.DUMMYFUNCTION("""COMPUTED_VALUE"""),"Pilarica / Camacho")</f>
        <v>Pilarica / Camacho</v>
      </c>
      <c r="N30" s="5" t="str">
        <f>IFERROR(__xludf.DUMMYFUNCTION("""COMPUTED_VALUE"""),"Veronica Perez / Bernie")</f>
        <v>Veronica Perez / Bernie</v>
      </c>
      <c r="O30" s="5" t="b">
        <f>IFERROR(__xludf.DUMMYFUNCTION("""COMPUTED_VALUE"""),FALSE)</f>
        <v>0</v>
      </c>
      <c r="P30" s="5">
        <f>IFERROR(__xludf.DUMMYFUNCTION("""COMPUTED_VALUE"""),0.0)</f>
        <v>0</v>
      </c>
      <c r="Q30" s="5" t="str">
        <f>IFERROR(__xludf.DUMMYFUNCTION("""COMPUTED_VALUE"""),"")</f>
        <v/>
      </c>
      <c r="R30" s="5" t="str">
        <f>IFERROR(__xludf.DUMMYFUNCTION("""COMPUTED_VALUE"""),"")</f>
        <v/>
      </c>
      <c r="S30" s="5" t="s">
        <v>415</v>
      </c>
      <c r="T30" s="5">
        <f>IFERROR(__xludf.DUMMYFUNCTION("""COMPUTED_VALUE"""),9.0)</f>
        <v>9</v>
      </c>
      <c r="U30" s="5">
        <v>9.0</v>
      </c>
      <c r="V30" s="5" t="s">
        <v>12</v>
      </c>
      <c r="W30" s="10">
        <v>1.0</v>
      </c>
      <c r="X30" s="5" t="str">
        <f>IFERROR(__xludf.DUMMYFUNCTION("""COMPUTED_VALUE"""),"RED WINS")</f>
        <v>RED WINS</v>
      </c>
      <c r="Y30" s="5" t="s">
        <v>472</v>
      </c>
      <c r="Z30" s="5" t="s">
        <v>427</v>
      </c>
      <c r="AA30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0.5px;'&gt;&lt;span&gt;Flight_8 • Fourball&lt;/span&gt;&lt;span&gt;Hole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#1A1A1A;'&gt;Pilarica / Camacho&lt;/div&gt;&lt;div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2px;'&gt;1 UP&lt;/span&gt;&lt;/div&gt;&lt;div style='flex: 1; text-align: right; font-weight: 700; font-size: 1em; line-height: 1.2; padding: 0 4px; color: #1A1A1A;'&gt;Veronica Perez / Bernie&lt;/div&gt;&lt;/div&gt;&lt;/div&gt;&lt;div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30" s="5" t="s">
        <v>418</v>
      </c>
      <c r="AC30" s="11" t="s">
        <v>473</v>
      </c>
      <c r="AD30" s="5" t="str">
        <f t="shared" si="2"/>
        <v>✅ Finished</v>
      </c>
      <c r="AE30" s="5" t="s">
        <v>418</v>
      </c>
      <c r="AF30" s="5">
        <f t="shared" si="3"/>
        <v>100</v>
      </c>
      <c r="AG30" s="5">
        <f t="shared" si="4"/>
        <v>0</v>
      </c>
      <c r="AH30" s="5" t="s">
        <v>352</v>
      </c>
    </row>
    <row r="31">
      <c r="A31" s="5" t="str">
        <f>IFERROR(__xludf.DUMMYFUNCTION("""COMPUTED_VALUE"""),"Flight_8")</f>
        <v>Flight_8</v>
      </c>
      <c r="B31" s="5" t="str">
        <f>IFERROR(__xludf.DUMMYFUNCTION("""COMPUTED_VALUE"""),"Individual 1")</f>
        <v>Individual 1</v>
      </c>
      <c r="C31" s="5">
        <f>IFERROR(__xludf.DUMMYFUNCTION("""COMPUTED_VALUE"""),4.0)</f>
        <v>4</v>
      </c>
      <c r="D31" s="5">
        <f>IFERROR(__xludf.DUMMYFUNCTION("""COMPUTED_VALUE"""),3.0)</f>
        <v>3</v>
      </c>
      <c r="E31" s="5">
        <f>IFERROR(__xludf.DUMMYFUNCTION("""COMPUTED_VALUE"""),2.0)</f>
        <v>2</v>
      </c>
      <c r="F31" s="5" t="str">
        <f>IFERROR(__xludf.DUMMYFUNCTION("""COMPUTED_VALUE"""),"Final")</f>
        <v>Final</v>
      </c>
      <c r="G31" s="5">
        <f>IFERROR(__xludf.DUMMYFUNCTION("""COMPUTED_VALUE"""),1.0)</f>
        <v>1</v>
      </c>
      <c r="H31" s="5">
        <f>IFERROR(__xludf.DUMMYFUNCTION("""COMPUTED_VALUE"""),0.0)</f>
        <v>0</v>
      </c>
      <c r="I31" s="5">
        <f>IFERROR(__xludf.DUMMYFUNCTION("""COMPUTED_VALUE"""),1.0)</f>
        <v>1</v>
      </c>
      <c r="J31" s="5">
        <f>IFERROR(__xludf.DUMMYFUNCTION("""COMPUTED_VALUE"""),1.0)</f>
        <v>1</v>
      </c>
      <c r="K31" s="5">
        <f>IFERROR(__xludf.DUMMYFUNCTION("""COMPUTED_VALUE"""),0.0)</f>
        <v>0</v>
      </c>
      <c r="L31" s="5" t="str">
        <f>IFERROR(__xludf.DUMMYFUNCTION("""COMPUTED_VALUE"""),"Flight_8_Individual 1")</f>
        <v>Flight_8_Individual 1</v>
      </c>
      <c r="M31" s="5" t="str">
        <f>IFERROR(__xludf.DUMMYFUNCTION("""COMPUTED_VALUE"""),"Pilarica")</f>
        <v>Pilarica</v>
      </c>
      <c r="N31" s="5" t="str">
        <f>IFERROR(__xludf.DUMMYFUNCTION("""COMPUTED_VALUE"""),"Veronica Perez")</f>
        <v>Veronica Perez</v>
      </c>
      <c r="O31" s="5" t="b">
        <f>IFERROR(__xludf.DUMMYFUNCTION("""COMPUTED_VALUE"""),FALSE)</f>
        <v>0</v>
      </c>
      <c r="P31" s="5">
        <f>IFERROR(__xludf.DUMMYFUNCTION("""COMPUTED_VALUE"""),0.0)</f>
        <v>0</v>
      </c>
      <c r="Q31" s="5" t="str">
        <f>IFERROR(__xludf.DUMMYFUNCTION("""COMPUTED_VALUE"""),"")</f>
        <v/>
      </c>
      <c r="R31" s="5" t="str">
        <f>IFERROR(__xludf.DUMMYFUNCTION("""COMPUTED_VALUE"""),"")</f>
        <v/>
      </c>
      <c r="S31" s="5" t="s">
        <v>415</v>
      </c>
      <c r="T31" s="5">
        <f>IFERROR(__xludf.DUMMYFUNCTION("""COMPUTED_VALUE"""),9.0)</f>
        <v>9</v>
      </c>
      <c r="U31" s="5">
        <v>9.0</v>
      </c>
      <c r="V31" s="5" t="s">
        <v>12</v>
      </c>
      <c r="W31" s="10">
        <v>1.0</v>
      </c>
      <c r="X31" s="5" t="str">
        <f>IFERROR(__xludf.DUMMYFUNCTION("""COMPUTED_VALUE"""),"RED WINS")</f>
        <v>RED WINS</v>
      </c>
      <c r="Y31" s="5" t="s">
        <v>474</v>
      </c>
      <c r="Z31" s="5" t="s">
        <v>417</v>
      </c>
      <c r="AA31" s="5" t="str">
        <f t="shared" si="1"/>
        <v>&lt;div style='display: flex; flex-direction: column; width: 100%; border: 2px solid #D32F2F; border-radius: 10px; margin-bottom: 12px; background: linear-gradient(135deg, #FFF5F5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0.5px;'&gt;&lt;span&gt;Flight_8 • Individual 1&lt;/span&gt;&lt;span&gt;Hole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#1A1A1A;'&gt;Pilarica&lt;/div&gt;&lt;div style='flex: 0 0 75px; margin: 0 6px; padding: 8px 4px; border-radius: 8px; text-align: center; font-weight: 700; background-color: #D32F2F; box-shadow: 0 2px 6px rgba(0,0,0,0.2);'&gt;&lt;span style='font-size: 1.1em; display: block; color: #FFFFFF; letter-spacing: 0.3px;'&gt;RED WINS&lt;/span&gt;&lt;span style='font-size: 0.75em; display: block; color: rgba(255,255,255,0.9); margin-top: 2px;'&gt;1 UP&lt;/span&gt;&lt;/div&gt;&lt;div style='flex: 1; text-align: right; font-weight: 700; font-size: 1em; line-height: 1.2; padding: 0 4px; color: #1A1A1A;'&gt;Veronica Perez&lt;/div&gt;&lt;/div&gt;&lt;/div&gt;&lt;div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31" s="5" t="s">
        <v>418</v>
      </c>
      <c r="AC31" s="11" t="s">
        <v>475</v>
      </c>
      <c r="AD31" s="5" t="str">
        <f t="shared" si="2"/>
        <v>✅ Finished</v>
      </c>
      <c r="AE31" s="5" t="s">
        <v>418</v>
      </c>
      <c r="AF31" s="5">
        <f t="shared" si="3"/>
        <v>100</v>
      </c>
      <c r="AG31" s="5">
        <f t="shared" si="4"/>
        <v>0</v>
      </c>
      <c r="AH31" s="5" t="s">
        <v>352</v>
      </c>
    </row>
    <row r="32">
      <c r="A32" s="5" t="str">
        <f>IFERROR(__xludf.DUMMYFUNCTION("""COMPUTED_VALUE"""),"Flight_8")</f>
        <v>Flight_8</v>
      </c>
      <c r="B32" s="5" t="str">
        <f>IFERROR(__xludf.DUMMYFUNCTION("""COMPUTED_VALUE"""),"Individual 2")</f>
        <v>Individual 2</v>
      </c>
      <c r="C32" s="5">
        <f>IFERROR(__xludf.DUMMYFUNCTION("""COMPUTED_VALUE"""),4.0)</f>
        <v>4</v>
      </c>
      <c r="D32" s="5">
        <f>IFERROR(__xludf.DUMMYFUNCTION("""COMPUTED_VALUE"""),4.0)</f>
        <v>4</v>
      </c>
      <c r="E32" s="5">
        <f>IFERROR(__xludf.DUMMYFUNCTION("""COMPUTED_VALUE"""),1.0)</f>
        <v>1</v>
      </c>
      <c r="F32" s="5" t="str">
        <f>IFERROR(__xludf.DUMMYFUNCTION("""COMPUTED_VALUE"""),"Final")</f>
        <v>Final</v>
      </c>
      <c r="G32" s="5">
        <f>IFERROR(__xludf.DUMMYFUNCTION("""COMPUTED_VALUE"""),0.5)</f>
        <v>0.5</v>
      </c>
      <c r="H32" s="5">
        <f>IFERROR(__xludf.DUMMYFUNCTION("""COMPUTED_VALUE"""),0.5)</f>
        <v>0.5</v>
      </c>
      <c r="I32" s="5">
        <f>IFERROR(__xludf.DUMMYFUNCTION("""COMPUTED_VALUE"""),1.0)</f>
        <v>1</v>
      </c>
      <c r="J32" s="5">
        <f>IFERROR(__xludf.DUMMYFUNCTION("""COMPUTED_VALUE"""),0.5)</f>
        <v>0.5</v>
      </c>
      <c r="K32" s="5">
        <f>IFERROR(__xludf.DUMMYFUNCTION("""COMPUTED_VALUE"""),0.5)</f>
        <v>0.5</v>
      </c>
      <c r="L32" s="5" t="str">
        <f>IFERROR(__xludf.DUMMYFUNCTION("""COMPUTED_VALUE"""),"Flight_8_Individual 2")</f>
        <v>Flight_8_Individual 2</v>
      </c>
      <c r="M32" s="5" t="str">
        <f>IFERROR(__xludf.DUMMYFUNCTION("""COMPUTED_VALUE"""),"Camacho")</f>
        <v>Camacho</v>
      </c>
      <c r="N32" s="5" t="str">
        <f>IFERROR(__xludf.DUMMYFUNCTION("""COMPUTED_VALUE"""),"Bernie")</f>
        <v>Bernie</v>
      </c>
      <c r="O32" s="5" t="b">
        <f>IFERROR(__xludf.DUMMYFUNCTION("""COMPUTED_VALUE"""),FALSE)</f>
        <v>0</v>
      </c>
      <c r="P32" s="5">
        <f>IFERROR(__xludf.DUMMYFUNCTION("""COMPUTED_VALUE"""),0.0)</f>
        <v>0</v>
      </c>
      <c r="Q32" s="5" t="str">
        <f>IFERROR(__xludf.DUMMYFUNCTION("""COMPUTED_VALUE"""),"")</f>
        <v/>
      </c>
      <c r="R32" s="5" t="str">
        <f>IFERROR(__xludf.DUMMYFUNCTION("""COMPUTED_VALUE"""),"")</f>
        <v/>
      </c>
      <c r="S32" s="5" t="s">
        <v>415</v>
      </c>
      <c r="T32" s="5">
        <f>IFERROR(__xludf.DUMMYFUNCTION("""COMPUTED_VALUE"""),9.0)</f>
        <v>9</v>
      </c>
      <c r="U32" s="5">
        <v>9.0</v>
      </c>
      <c r="V32" s="5" t="s">
        <v>350</v>
      </c>
      <c r="W32" s="10">
        <v>1.0</v>
      </c>
      <c r="X32" s="5" t="str">
        <f>IFERROR(__xludf.DUMMYFUNCTION("""COMPUTED_VALUE"""),"TIED")</f>
        <v>TIED</v>
      </c>
      <c r="Y32" s="5" t="s">
        <v>476</v>
      </c>
      <c r="Z32" s="5" t="s">
        <v>417</v>
      </c>
      <c r="AA32" s="5" t="str">
        <f t="shared" si="1"/>
        <v>&lt;div style='display: flex; flex-direction: column; width: 100%; border: 2px solid #757575; border-radius: 10px; margin-bottom: 12px; background: linear-gradient(135deg, #F5F5F5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0.5px;'&gt;&lt;span&gt;Flight_8 • Individual 2&lt;/span&gt;&lt;span&gt;Hole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#1A1A1A;'&gt;Camacho&lt;/div&gt;&lt;div style='flex: 0 0 75px; margin: 0 6px; padding: 8px 4px; border-radius: 8px; text-align: center; font-weight: 700; background-color: #616161; box-shadow: 0 2px 6px rgba(0,0,0,0.2);'&gt;&lt;span style='font-size: 1.1em; display: block; color: #FFFFFF; letter-spacing: 0.3px;'&gt;TIED&lt;/span&gt;&lt;span style='font-size: 0.75em; display: block; color: rgba(255,255,255,0.9); margin-top: 2px;'&gt;A/S (Final)&lt;/span&gt;&lt;/div&gt;&lt;div style='flex: 1; text-align: right; font-weight: 700; font-size: 1em; line-height: 1.2; padding: 0 4px; color: #1A1A1A;'&gt;Bernie&lt;/div&gt;&lt;/div&gt;&lt;/div&gt;&lt;div style='padding: 10px 14px; background: #FAFAFA; border-top: 1px solid #EEE; text-align: center;'&gt;&lt;span style='font-size: 0.8em; font-weight: 600; color: #666; text-transform: uppercase;'&gt;1 PUNTO EN JUEGO&lt;/span&gt;&lt;/div&gt;&lt;/div&gt;</v>
      </c>
      <c r="AB32" s="5" t="s">
        <v>418</v>
      </c>
      <c r="AC32" s="11" t="s">
        <v>477</v>
      </c>
      <c r="AD32" s="5" t="str">
        <f t="shared" si="2"/>
        <v>✅ Finished</v>
      </c>
      <c r="AE32" s="5" t="s">
        <v>418</v>
      </c>
      <c r="AF32" s="5">
        <f t="shared" si="3"/>
        <v>50</v>
      </c>
      <c r="AG32" s="5">
        <f t="shared" si="4"/>
        <v>50</v>
      </c>
      <c r="AH32" s="5" t="s">
        <v>450</v>
      </c>
    </row>
    <row r="33">
      <c r="A33" s="5" t="str">
        <f>IFERROR(__xludf.DUMMYFUNCTION("""COMPUTED_VALUE"""),"Flight_8")</f>
        <v>Flight_8</v>
      </c>
      <c r="B33" s="5" t="str">
        <f>IFERROR(__xludf.DUMMYFUNCTION("""COMPUTED_VALUE"""),"Scramble")</f>
        <v>Scramble</v>
      </c>
      <c r="C33" s="5">
        <f>IFERROR(__xludf.DUMMYFUNCTION("""COMPUTED_VALUE"""),1.0)</f>
        <v>1</v>
      </c>
      <c r="D33" s="5">
        <f>IFERROR(__xludf.DUMMYFUNCTION("""COMPUTED_VALUE"""),2.0)</f>
        <v>2</v>
      </c>
      <c r="E33" s="5">
        <f>IFERROR(__xludf.DUMMYFUNCTION("""COMPUTED_VALUE"""),6.0)</f>
        <v>6</v>
      </c>
      <c r="F33" s="5" t="str">
        <f>IFERROR(__xludf.DUMMYFUNCTION("""COMPUTED_VALUE"""),"Final")</f>
        <v>Final</v>
      </c>
      <c r="G33" s="5">
        <f>IFERROR(__xludf.DUMMYFUNCTION("""COMPUTED_VALUE"""),0.0)</f>
        <v>0</v>
      </c>
      <c r="H33" s="5">
        <f>IFERROR(__xludf.DUMMYFUNCTION("""COMPUTED_VALUE"""),2.0)</f>
        <v>2</v>
      </c>
      <c r="I33" s="5">
        <f>IFERROR(__xludf.DUMMYFUNCTION("""COMPUTED_VALUE"""),2.0)</f>
        <v>2</v>
      </c>
      <c r="J33" s="5">
        <f>IFERROR(__xludf.DUMMYFUNCTION("""COMPUTED_VALUE"""),0.0)</f>
        <v>0</v>
      </c>
      <c r="K33" s="5">
        <f>IFERROR(__xludf.DUMMYFUNCTION("""COMPUTED_VALUE"""),2.0)</f>
        <v>2</v>
      </c>
      <c r="L33" s="5" t="str">
        <f>IFERROR(__xludf.DUMMYFUNCTION("""COMPUTED_VALUE"""),"Flight_8_Scramble")</f>
        <v>Flight_8_Scramble</v>
      </c>
      <c r="M33" s="5" t="str">
        <f>IFERROR(__xludf.DUMMYFUNCTION("""COMPUTED_VALUE"""),"Pilarica / Camacho")</f>
        <v>Pilarica / Camacho</v>
      </c>
      <c r="N33" s="5" t="str">
        <f>IFERROR(__xludf.DUMMYFUNCTION("""COMPUTED_VALUE"""),"Veronica Perez / Bernie")</f>
        <v>Veronica Perez / Bernie</v>
      </c>
      <c r="O33" s="5" t="b">
        <f>IFERROR(__xludf.DUMMYFUNCTION("""COMPUTED_VALUE"""),FALSE)</f>
        <v>0</v>
      </c>
      <c r="P33" s="5">
        <f>IFERROR(__xludf.DUMMYFUNCTION("""COMPUTED_VALUE"""),0.0)</f>
        <v>0</v>
      </c>
      <c r="Q33" s="5" t="str">
        <f>IFERROR(__xludf.DUMMYFUNCTION("""COMPUTED_VALUE"""),"")</f>
        <v/>
      </c>
      <c r="R33" s="5" t="str">
        <f>IFERROR(__xludf.DUMMYFUNCTION("""COMPUTED_VALUE"""),"")</f>
        <v/>
      </c>
      <c r="S33" s="5" t="s">
        <v>415</v>
      </c>
      <c r="T33" s="5">
        <f>IFERROR(__xludf.DUMMYFUNCTION("""COMPUTED_VALUE"""),9.0)</f>
        <v>9</v>
      </c>
      <c r="U33" s="5">
        <v>9.0</v>
      </c>
      <c r="V33" s="5" t="s">
        <v>7</v>
      </c>
      <c r="W33" s="10">
        <v>1.0</v>
      </c>
      <c r="X33" s="5" t="str">
        <f>IFERROR(__xludf.DUMMYFUNCTION("""COMPUTED_VALUE"""),"BLUE WINS")</f>
        <v>BLUE WINS</v>
      </c>
      <c r="Y33" s="5" t="s">
        <v>472</v>
      </c>
      <c r="Z33" s="5" t="s">
        <v>424</v>
      </c>
      <c r="AA33" s="5" t="str">
        <f t="shared" si="1"/>
        <v>&lt;div style='display: flex; flex-direction: column; width: 100%; border: 2px solid #1976D2; border-radius: 10px; margin-bottom: 12px; background: linear-gradient(135deg, #E3F2FD 0%, #FFFFFF 100%); box-shadow: 0 3px 8px rgba(0,0,0,0.08); overflow: hidden;'&gt;&lt;div style='display: flex; justify-content: space-between; align-items: center; padding: 8px 12px; background: #FAFAFA; border-bottom: 1px solid #EEE; font-size: 0.75em; font-weight: 600; color: #666; text-transform: uppercase; letter-spacing: 0.5px;'&gt;&lt;span&gt;Flight_8 • Scramble&lt;/span&gt;&lt;span&gt;Hole 9/9&lt;/span&gt;&lt;/div&gt;&lt;div style='padding: 16px 14px 12px;'&gt;&lt;div style='display: flex; align-items: center; width: 100%;'&gt;&lt;div style='flex: 1; text-align: left; font-weight: 700; font-size: 1em; line-height: 1.2; padding: 0 4px; color: #1A1A1A;'&gt;Pilarica / Camacho&lt;/div&gt;&lt;div style='flex: 0 0 75px; margin: 0 6px; padding: 8px 4px; border-radius: 8px; text-align: center; font-weight: 700; background-color: #1976D2; box-shadow: 0 2px 6px rgba(0,0,0,0.2);'&gt;&lt;span style='font-size: 1.1em; display: block; color: #FFFFFF; letter-spacing: 0.3px;'&gt;BLUE WINS&lt;/span&gt;&lt;span style='font-size: 0.75em; display: block; color: rgba(255,255,255,0.9); margin-top: 2px;'&gt;1 UP&lt;/span&gt;&lt;/div&gt;&lt;div style='flex: 1; text-align: right; font-weight: 700; font-size: 1em; line-height: 1.2; padding: 0 4px; color: #1A1A1A;'&gt;Veronica Perez / Bernie&lt;/div&gt;&lt;/div&gt;&lt;/div&gt;&lt;div style='padding: 10px 14px; background: #FAFAFA; border-top: 1px solid #EEE; text-align: center;'&gt;&lt;span style='font-size: 0.8em; font-weight: 600; color: #666; text-transform: uppercase;'&gt;2 PUNTOS EN JUEGO&lt;/span&gt;&lt;/div&gt;&lt;/div&gt;</v>
      </c>
      <c r="AB33" s="5" t="s">
        <v>418</v>
      </c>
      <c r="AC33" s="11" t="s">
        <v>478</v>
      </c>
      <c r="AD33" s="5" t="str">
        <f t="shared" si="2"/>
        <v>✅ Finished</v>
      </c>
      <c r="AE33" s="5" t="s">
        <v>418</v>
      </c>
      <c r="AF33" s="5">
        <f t="shared" si="3"/>
        <v>0</v>
      </c>
      <c r="AG33" s="5">
        <f t="shared" si="4"/>
        <v>100</v>
      </c>
      <c r="AH33" s="5" t="s">
        <v>352</v>
      </c>
    </row>
    <row r="34">
      <c r="S34" s="5" t="s">
        <v>355</v>
      </c>
      <c r="T34" s="5" t="str">
        <f>IFERROR(__xludf.DUMMYFUNCTION("""COMPUTED_VALUE"""),"")</f>
        <v/>
      </c>
      <c r="U34" s="5" t="s">
        <v>355</v>
      </c>
      <c r="V34" s="5" t="s">
        <v>355</v>
      </c>
      <c r="W34" s="5" t="s">
        <v>355</v>
      </c>
      <c r="X34" s="5" t="str">
        <f>IFERROR(__xludf.DUMMYFUNCTION("""COMPUTED_VALUE"""),"")</f>
        <v/>
      </c>
      <c r="Y34" s="5" t="s">
        <v>355</v>
      </c>
      <c r="Z34" s="5" t="s">
        <v>355</v>
      </c>
      <c r="AB34" s="5" t="s">
        <v>355</v>
      </c>
      <c r="AE34" s="5" t="s">
        <v>355</v>
      </c>
      <c r="AH34" s="5" t="s">
        <v>355</v>
      </c>
    </row>
    <row r="35">
      <c r="S35" s="5" t="s">
        <v>355</v>
      </c>
      <c r="T35" s="5" t="str">
        <f>IFERROR(__xludf.DUMMYFUNCTION("""COMPUTED_VALUE"""),"")</f>
        <v/>
      </c>
      <c r="U35" s="5" t="s">
        <v>355</v>
      </c>
      <c r="V35" s="5" t="s">
        <v>355</v>
      </c>
      <c r="W35" s="5" t="s">
        <v>355</v>
      </c>
      <c r="X35" s="5" t="str">
        <f>IFERROR(__xludf.DUMMYFUNCTION("""COMPUTED_VALUE"""),"")</f>
        <v/>
      </c>
      <c r="Y35" s="5" t="s">
        <v>355</v>
      </c>
      <c r="Z35" s="5" t="s">
        <v>355</v>
      </c>
      <c r="AB35" s="5" t="s">
        <v>355</v>
      </c>
      <c r="AE35" s="5" t="s">
        <v>355</v>
      </c>
      <c r="AH35" s="5" t="s">
        <v>355</v>
      </c>
    </row>
    <row r="36">
      <c r="S36" s="5" t="s">
        <v>355</v>
      </c>
      <c r="T36" s="5" t="str">
        <f>IFERROR(__xludf.DUMMYFUNCTION("""COMPUTED_VALUE"""),"")</f>
        <v/>
      </c>
      <c r="U36" s="5" t="s">
        <v>355</v>
      </c>
      <c r="V36" s="5" t="s">
        <v>355</v>
      </c>
      <c r="W36" s="5" t="s">
        <v>355</v>
      </c>
      <c r="X36" s="5" t="str">
        <f>IFERROR(__xludf.DUMMYFUNCTION("""COMPUTED_VALUE"""),"")</f>
        <v/>
      </c>
      <c r="Y36" s="5" t="s">
        <v>355</v>
      </c>
      <c r="Z36" s="5" t="s">
        <v>355</v>
      </c>
      <c r="AB36" s="5" t="s">
        <v>355</v>
      </c>
      <c r="AE36" s="5" t="s">
        <v>355</v>
      </c>
      <c r="AH36" s="5" t="s">
        <v>355</v>
      </c>
    </row>
    <row r="37">
      <c r="S37" s="5" t="s">
        <v>355</v>
      </c>
      <c r="T37" s="5" t="str">
        <f>IFERROR(__xludf.DUMMYFUNCTION("""COMPUTED_VALUE"""),"")</f>
        <v/>
      </c>
      <c r="U37" s="5" t="s">
        <v>355</v>
      </c>
      <c r="V37" s="5" t="s">
        <v>355</v>
      </c>
      <c r="W37" s="5" t="s">
        <v>355</v>
      </c>
      <c r="X37" s="5" t="str">
        <f>IFERROR(__xludf.DUMMYFUNCTION("""COMPUTED_VALUE"""),"")</f>
        <v/>
      </c>
      <c r="Y37" s="5" t="s">
        <v>355</v>
      </c>
      <c r="Z37" s="5" t="s">
        <v>355</v>
      </c>
      <c r="AB37" s="5" t="s">
        <v>355</v>
      </c>
      <c r="AE37" s="5" t="s">
        <v>355</v>
      </c>
      <c r="AH37" s="5" t="s">
        <v>355</v>
      </c>
    </row>
    <row r="38">
      <c r="S38" s="5" t="s">
        <v>355</v>
      </c>
      <c r="T38" s="5" t="str">
        <f>IFERROR(__xludf.DUMMYFUNCTION("""COMPUTED_VALUE"""),"")</f>
        <v/>
      </c>
      <c r="U38" s="5" t="s">
        <v>355</v>
      </c>
      <c r="V38" s="5" t="s">
        <v>355</v>
      </c>
      <c r="W38" s="5" t="s">
        <v>355</v>
      </c>
      <c r="X38" s="5" t="str">
        <f>IFERROR(__xludf.DUMMYFUNCTION("""COMPUTED_VALUE"""),"")</f>
        <v/>
      </c>
      <c r="Y38" s="5" t="s">
        <v>355</v>
      </c>
      <c r="Z38" s="5" t="s">
        <v>355</v>
      </c>
      <c r="AB38" s="5" t="s">
        <v>355</v>
      </c>
      <c r="AE38" s="5" t="s">
        <v>355</v>
      </c>
      <c r="AH38" s="5" t="s">
        <v>355</v>
      </c>
    </row>
    <row r="39">
      <c r="S39" s="5" t="s">
        <v>355</v>
      </c>
      <c r="T39" s="5" t="str">
        <f>IFERROR(__xludf.DUMMYFUNCTION("""COMPUTED_VALUE"""),"")</f>
        <v/>
      </c>
      <c r="U39" s="5" t="s">
        <v>355</v>
      </c>
      <c r="V39" s="5" t="s">
        <v>355</v>
      </c>
      <c r="W39" s="5" t="s">
        <v>355</v>
      </c>
      <c r="X39" s="5" t="str">
        <f>IFERROR(__xludf.DUMMYFUNCTION("""COMPUTED_VALUE"""),"")</f>
        <v/>
      </c>
      <c r="Y39" s="5" t="s">
        <v>355</v>
      </c>
      <c r="Z39" s="5" t="s">
        <v>355</v>
      </c>
      <c r="AB39" s="5" t="s">
        <v>355</v>
      </c>
      <c r="AE39" s="5" t="s">
        <v>355</v>
      </c>
      <c r="AH39" s="5" t="s">
        <v>355</v>
      </c>
    </row>
    <row r="40">
      <c r="S40" s="5" t="s">
        <v>355</v>
      </c>
      <c r="T40" s="5" t="str">
        <f>IFERROR(__xludf.DUMMYFUNCTION("""COMPUTED_VALUE"""),"")</f>
        <v/>
      </c>
      <c r="U40" s="5" t="s">
        <v>355</v>
      </c>
      <c r="V40" s="5" t="s">
        <v>355</v>
      </c>
      <c r="W40" s="5" t="s">
        <v>355</v>
      </c>
      <c r="X40" s="5" t="str">
        <f>IFERROR(__xludf.DUMMYFUNCTION("""COMPUTED_VALUE"""),"")</f>
        <v/>
      </c>
      <c r="Y40" s="5" t="s">
        <v>355</v>
      </c>
      <c r="Z40" s="5" t="s">
        <v>355</v>
      </c>
      <c r="AB40" s="5" t="s">
        <v>355</v>
      </c>
      <c r="AE40" s="5" t="s">
        <v>355</v>
      </c>
      <c r="AH40" s="5" t="s">
        <v>355</v>
      </c>
    </row>
    <row r="41">
      <c r="S41" s="5" t="s">
        <v>355</v>
      </c>
      <c r="T41" s="5" t="str">
        <f>IFERROR(__xludf.DUMMYFUNCTION("""COMPUTED_VALUE"""),"")</f>
        <v/>
      </c>
      <c r="U41" s="5" t="s">
        <v>355</v>
      </c>
      <c r="V41" s="5" t="s">
        <v>355</v>
      </c>
      <c r="W41" s="5" t="s">
        <v>355</v>
      </c>
      <c r="X41" s="5" t="str">
        <f>IFERROR(__xludf.DUMMYFUNCTION("""COMPUTED_VALUE"""),"")</f>
        <v/>
      </c>
      <c r="Y41" s="5" t="s">
        <v>355</v>
      </c>
      <c r="Z41" s="5" t="s">
        <v>355</v>
      </c>
      <c r="AB41" s="5" t="s">
        <v>355</v>
      </c>
      <c r="AE41" s="5" t="s">
        <v>355</v>
      </c>
      <c r="AH41" s="5" t="s">
        <v>355</v>
      </c>
    </row>
    <row r="42">
      <c r="S42" s="5" t="s">
        <v>355</v>
      </c>
      <c r="T42" s="5" t="str">
        <f>IFERROR(__xludf.DUMMYFUNCTION("""COMPUTED_VALUE"""),"")</f>
        <v/>
      </c>
      <c r="U42" s="5" t="s">
        <v>355</v>
      </c>
      <c r="V42" s="5" t="s">
        <v>355</v>
      </c>
      <c r="W42" s="5" t="s">
        <v>355</v>
      </c>
      <c r="X42" s="5" t="str">
        <f>IFERROR(__xludf.DUMMYFUNCTION("""COMPUTED_VALUE"""),"")</f>
        <v/>
      </c>
      <c r="Y42" s="5" t="s">
        <v>355</v>
      </c>
      <c r="Z42" s="5" t="s">
        <v>355</v>
      </c>
      <c r="AB42" s="5" t="s">
        <v>355</v>
      </c>
      <c r="AE42" s="5" t="s">
        <v>355</v>
      </c>
      <c r="AH42" s="5" t="s">
        <v>355</v>
      </c>
    </row>
    <row r="43">
      <c r="S43" s="5" t="s">
        <v>355</v>
      </c>
      <c r="T43" s="5" t="str">
        <f>IFERROR(__xludf.DUMMYFUNCTION("""COMPUTED_VALUE"""),"")</f>
        <v/>
      </c>
      <c r="U43" s="5" t="s">
        <v>355</v>
      </c>
      <c r="V43" s="5" t="s">
        <v>355</v>
      </c>
      <c r="W43" s="5" t="s">
        <v>355</v>
      </c>
      <c r="X43" s="5" t="str">
        <f>IFERROR(__xludf.DUMMYFUNCTION("""COMPUTED_VALUE"""),"")</f>
        <v/>
      </c>
      <c r="Y43" s="5" t="s">
        <v>355</v>
      </c>
      <c r="Z43" s="5" t="s">
        <v>355</v>
      </c>
      <c r="AB43" s="5" t="s">
        <v>355</v>
      </c>
      <c r="AE43" s="5" t="s">
        <v>355</v>
      </c>
      <c r="AH43" s="5" t="s">
        <v>355</v>
      </c>
    </row>
    <row r="44">
      <c r="S44" s="5" t="s">
        <v>355</v>
      </c>
      <c r="T44" s="5" t="str">
        <f>IFERROR(__xludf.DUMMYFUNCTION("""COMPUTED_VALUE"""),"")</f>
        <v/>
      </c>
      <c r="U44" s="5" t="s">
        <v>355</v>
      </c>
      <c r="V44" s="5" t="s">
        <v>355</v>
      </c>
      <c r="W44" s="5" t="s">
        <v>355</v>
      </c>
      <c r="X44" s="5" t="str">
        <f>IFERROR(__xludf.DUMMYFUNCTION("""COMPUTED_VALUE"""),"")</f>
        <v/>
      </c>
      <c r="Y44" s="5" t="s">
        <v>355</v>
      </c>
      <c r="Z44" s="5" t="s">
        <v>355</v>
      </c>
      <c r="AB44" s="5" t="s">
        <v>355</v>
      </c>
      <c r="AE44" s="5" t="s">
        <v>355</v>
      </c>
      <c r="AH44" s="5" t="s">
        <v>355</v>
      </c>
    </row>
    <row r="45">
      <c r="S45" s="5" t="s">
        <v>355</v>
      </c>
      <c r="T45" s="5" t="str">
        <f>IFERROR(__xludf.DUMMYFUNCTION("""COMPUTED_VALUE"""),"")</f>
        <v/>
      </c>
      <c r="U45" s="5" t="s">
        <v>355</v>
      </c>
      <c r="V45" s="5" t="s">
        <v>355</v>
      </c>
      <c r="W45" s="5" t="s">
        <v>355</v>
      </c>
      <c r="X45" s="5" t="str">
        <f>IFERROR(__xludf.DUMMYFUNCTION("""COMPUTED_VALUE"""),"")</f>
        <v/>
      </c>
      <c r="Y45" s="5" t="s">
        <v>355</v>
      </c>
      <c r="Z45" s="5" t="s">
        <v>355</v>
      </c>
      <c r="AB45" s="5" t="s">
        <v>355</v>
      </c>
      <c r="AE45" s="5" t="s">
        <v>355</v>
      </c>
      <c r="AH45" s="5" t="s">
        <v>355</v>
      </c>
    </row>
    <row r="46">
      <c r="S46" s="5" t="s">
        <v>355</v>
      </c>
      <c r="T46" s="5" t="str">
        <f>IFERROR(__xludf.DUMMYFUNCTION("""COMPUTED_VALUE"""),"")</f>
        <v/>
      </c>
      <c r="U46" s="5" t="s">
        <v>355</v>
      </c>
      <c r="V46" s="5" t="s">
        <v>355</v>
      </c>
      <c r="W46" s="5" t="s">
        <v>355</v>
      </c>
      <c r="X46" s="5" t="str">
        <f>IFERROR(__xludf.DUMMYFUNCTION("""COMPUTED_VALUE"""),"")</f>
        <v/>
      </c>
      <c r="Y46" s="5" t="s">
        <v>355</v>
      </c>
      <c r="Z46" s="5" t="s">
        <v>355</v>
      </c>
      <c r="AB46" s="5" t="s">
        <v>355</v>
      </c>
      <c r="AE46" s="5" t="s">
        <v>355</v>
      </c>
      <c r="AH46" s="5" t="s">
        <v>355</v>
      </c>
    </row>
    <row r="47">
      <c r="S47" s="5" t="s">
        <v>355</v>
      </c>
      <c r="T47" s="5" t="str">
        <f>IFERROR(__xludf.DUMMYFUNCTION("""COMPUTED_VALUE"""),"")</f>
        <v/>
      </c>
      <c r="U47" s="5" t="s">
        <v>355</v>
      </c>
      <c r="V47" s="5" t="s">
        <v>355</v>
      </c>
      <c r="W47" s="5" t="s">
        <v>355</v>
      </c>
      <c r="X47" s="5" t="str">
        <f>IFERROR(__xludf.DUMMYFUNCTION("""COMPUTED_VALUE"""),"")</f>
        <v/>
      </c>
      <c r="Y47" s="5" t="s">
        <v>355</v>
      </c>
      <c r="Z47" s="5" t="s">
        <v>355</v>
      </c>
      <c r="AB47" s="5" t="s">
        <v>355</v>
      </c>
      <c r="AE47" s="5" t="s">
        <v>355</v>
      </c>
      <c r="AH47" s="5" t="s">
        <v>355</v>
      </c>
    </row>
    <row r="48">
      <c r="S48" s="5" t="s">
        <v>355</v>
      </c>
      <c r="T48" s="5" t="str">
        <f>IFERROR(__xludf.DUMMYFUNCTION("""COMPUTED_VALUE"""),"")</f>
        <v/>
      </c>
      <c r="U48" s="5" t="s">
        <v>355</v>
      </c>
      <c r="V48" s="5" t="s">
        <v>355</v>
      </c>
      <c r="W48" s="5" t="s">
        <v>355</v>
      </c>
      <c r="X48" s="5" t="str">
        <f>IFERROR(__xludf.DUMMYFUNCTION("""COMPUTED_VALUE"""),"")</f>
        <v/>
      </c>
      <c r="Y48" s="5" t="s">
        <v>355</v>
      </c>
      <c r="Z48" s="5" t="s">
        <v>355</v>
      </c>
      <c r="AB48" s="5" t="s">
        <v>355</v>
      </c>
      <c r="AE48" s="5" t="s">
        <v>355</v>
      </c>
      <c r="AH48" s="5" t="s">
        <v>355</v>
      </c>
    </row>
    <row r="49">
      <c r="S49" s="5" t="s">
        <v>355</v>
      </c>
      <c r="T49" s="5" t="str">
        <f>IFERROR(__xludf.DUMMYFUNCTION("""COMPUTED_VALUE"""),"")</f>
        <v/>
      </c>
      <c r="U49" s="5" t="s">
        <v>355</v>
      </c>
      <c r="V49" s="5" t="s">
        <v>355</v>
      </c>
      <c r="W49" s="5" t="s">
        <v>355</v>
      </c>
      <c r="X49" s="5" t="str">
        <f>IFERROR(__xludf.DUMMYFUNCTION("""COMPUTED_VALUE"""),"")</f>
        <v/>
      </c>
      <c r="Y49" s="5" t="s">
        <v>355</v>
      </c>
      <c r="Z49" s="5" t="s">
        <v>355</v>
      </c>
      <c r="AB49" s="5" t="s">
        <v>355</v>
      </c>
      <c r="AE49" s="5" t="s">
        <v>355</v>
      </c>
      <c r="AH49" s="5" t="s">
        <v>355</v>
      </c>
    </row>
    <row r="50">
      <c r="S50" s="5" t="s">
        <v>355</v>
      </c>
      <c r="T50" s="5" t="str">
        <f>IFERROR(__xludf.DUMMYFUNCTION("""COMPUTED_VALUE"""),"")</f>
        <v/>
      </c>
      <c r="U50" s="5" t="s">
        <v>355</v>
      </c>
      <c r="V50" s="5" t="s">
        <v>355</v>
      </c>
      <c r="W50" s="5" t="s">
        <v>355</v>
      </c>
      <c r="X50" s="5" t="str">
        <f>IFERROR(__xludf.DUMMYFUNCTION("""COMPUTED_VALUE"""),"")</f>
        <v/>
      </c>
      <c r="Y50" s="5" t="s">
        <v>355</v>
      </c>
      <c r="Z50" s="5" t="s">
        <v>355</v>
      </c>
      <c r="AB50" s="5" t="s">
        <v>355</v>
      </c>
      <c r="AE50" s="5" t="s">
        <v>355</v>
      </c>
      <c r="AH50" s="5" t="s">
        <v>355</v>
      </c>
    </row>
    <row r="51">
      <c r="S51" s="5" t="s">
        <v>355</v>
      </c>
      <c r="T51" s="5" t="str">
        <f>IFERROR(__xludf.DUMMYFUNCTION("""COMPUTED_VALUE"""),"")</f>
        <v/>
      </c>
      <c r="U51" s="5" t="s">
        <v>355</v>
      </c>
      <c r="V51" s="5" t="s">
        <v>355</v>
      </c>
      <c r="W51" s="5" t="s">
        <v>355</v>
      </c>
      <c r="X51" s="5" t="str">
        <f>IFERROR(__xludf.DUMMYFUNCTION("""COMPUTED_VALUE"""),"")</f>
        <v/>
      </c>
      <c r="Y51" s="5" t="s">
        <v>355</v>
      </c>
      <c r="Z51" s="5" t="s">
        <v>355</v>
      </c>
      <c r="AB51" s="5" t="s">
        <v>355</v>
      </c>
      <c r="AE51" s="5" t="s">
        <v>355</v>
      </c>
      <c r="AH51" s="5" t="s">
        <v>355</v>
      </c>
    </row>
    <row r="52">
      <c r="S52" s="5" t="s">
        <v>355</v>
      </c>
      <c r="T52" s="5" t="str">
        <f>IFERROR(__xludf.DUMMYFUNCTION("""COMPUTED_VALUE"""),"")</f>
        <v/>
      </c>
      <c r="U52" s="5" t="s">
        <v>355</v>
      </c>
      <c r="V52" s="5" t="s">
        <v>355</v>
      </c>
      <c r="W52" s="5" t="s">
        <v>355</v>
      </c>
      <c r="X52" s="5" t="str">
        <f>IFERROR(__xludf.DUMMYFUNCTION("""COMPUTED_VALUE"""),"")</f>
        <v/>
      </c>
      <c r="Y52" s="5" t="s">
        <v>355</v>
      </c>
      <c r="Z52" s="5" t="s">
        <v>355</v>
      </c>
      <c r="AB52" s="5" t="s">
        <v>355</v>
      </c>
      <c r="AE52" s="5" t="s">
        <v>355</v>
      </c>
      <c r="AH52" s="5" t="s">
        <v>355</v>
      </c>
    </row>
    <row r="53">
      <c r="S53" s="5" t="s">
        <v>355</v>
      </c>
      <c r="T53" s="5" t="str">
        <f>IFERROR(__xludf.DUMMYFUNCTION("""COMPUTED_VALUE"""),"")</f>
        <v/>
      </c>
      <c r="U53" s="5" t="s">
        <v>355</v>
      </c>
      <c r="V53" s="5" t="s">
        <v>355</v>
      </c>
      <c r="W53" s="5" t="s">
        <v>355</v>
      </c>
      <c r="X53" s="5" t="str">
        <f>IFERROR(__xludf.DUMMYFUNCTION("""COMPUTED_VALUE"""),"")</f>
        <v/>
      </c>
      <c r="Y53" s="5" t="s">
        <v>355</v>
      </c>
      <c r="Z53" s="5" t="s">
        <v>355</v>
      </c>
      <c r="AB53" s="5" t="s">
        <v>355</v>
      </c>
      <c r="AE53" s="5" t="s">
        <v>355</v>
      </c>
      <c r="AH53" s="5" t="s">
        <v>355</v>
      </c>
    </row>
    <row r="54">
      <c r="S54" s="5" t="s">
        <v>355</v>
      </c>
      <c r="T54" s="5" t="str">
        <f>IFERROR(__xludf.DUMMYFUNCTION("""COMPUTED_VALUE"""),"")</f>
        <v/>
      </c>
      <c r="U54" s="5" t="s">
        <v>355</v>
      </c>
      <c r="V54" s="5" t="s">
        <v>355</v>
      </c>
      <c r="W54" s="5" t="s">
        <v>355</v>
      </c>
      <c r="X54" s="5" t="str">
        <f>IFERROR(__xludf.DUMMYFUNCTION("""COMPUTED_VALUE"""),"")</f>
        <v/>
      </c>
      <c r="Y54" s="5" t="s">
        <v>355</v>
      </c>
      <c r="Z54" s="5" t="s">
        <v>355</v>
      </c>
      <c r="AB54" s="5" t="s">
        <v>355</v>
      </c>
      <c r="AE54" s="5" t="s">
        <v>355</v>
      </c>
      <c r="AH54" s="5" t="s">
        <v>355</v>
      </c>
    </row>
    <row r="55">
      <c r="S55" s="5" t="s">
        <v>355</v>
      </c>
      <c r="T55" s="5" t="str">
        <f>IFERROR(__xludf.DUMMYFUNCTION("""COMPUTED_VALUE"""),"")</f>
        <v/>
      </c>
      <c r="U55" s="5" t="s">
        <v>355</v>
      </c>
      <c r="V55" s="5" t="s">
        <v>355</v>
      </c>
      <c r="W55" s="5" t="s">
        <v>355</v>
      </c>
      <c r="X55" s="5" t="str">
        <f>IFERROR(__xludf.DUMMYFUNCTION("""COMPUTED_VALUE"""),"")</f>
        <v/>
      </c>
      <c r="Y55" s="5" t="s">
        <v>355</v>
      </c>
      <c r="Z55" s="5" t="s">
        <v>355</v>
      </c>
      <c r="AB55" s="5" t="s">
        <v>355</v>
      </c>
      <c r="AE55" s="5" t="s">
        <v>355</v>
      </c>
      <c r="AH55" s="5" t="s">
        <v>355</v>
      </c>
    </row>
    <row r="56">
      <c r="S56" s="5" t="s">
        <v>355</v>
      </c>
      <c r="T56" s="5" t="str">
        <f>IFERROR(__xludf.DUMMYFUNCTION("""COMPUTED_VALUE"""),"")</f>
        <v/>
      </c>
      <c r="U56" s="5" t="s">
        <v>355</v>
      </c>
      <c r="V56" s="5" t="s">
        <v>355</v>
      </c>
      <c r="W56" s="5" t="s">
        <v>355</v>
      </c>
      <c r="X56" s="5" t="str">
        <f>IFERROR(__xludf.DUMMYFUNCTION("""COMPUTED_VALUE"""),"")</f>
        <v/>
      </c>
      <c r="Y56" s="5" t="s">
        <v>355</v>
      </c>
      <c r="Z56" s="5" t="s">
        <v>355</v>
      </c>
      <c r="AB56" s="5" t="s">
        <v>355</v>
      </c>
      <c r="AE56" s="5" t="s">
        <v>355</v>
      </c>
      <c r="AH56" s="5" t="s">
        <v>355</v>
      </c>
    </row>
    <row r="57">
      <c r="S57" s="5" t="s">
        <v>355</v>
      </c>
      <c r="T57" s="5" t="str">
        <f>IFERROR(__xludf.DUMMYFUNCTION("""COMPUTED_VALUE"""),"")</f>
        <v/>
      </c>
      <c r="U57" s="5" t="s">
        <v>355</v>
      </c>
      <c r="V57" s="5" t="s">
        <v>355</v>
      </c>
      <c r="W57" s="5" t="s">
        <v>355</v>
      </c>
      <c r="X57" s="5" t="str">
        <f>IFERROR(__xludf.DUMMYFUNCTION("""COMPUTED_VALUE"""),"")</f>
        <v/>
      </c>
      <c r="Y57" s="5" t="s">
        <v>355</v>
      </c>
      <c r="Z57" s="5" t="s">
        <v>355</v>
      </c>
      <c r="AB57" s="5" t="s">
        <v>355</v>
      </c>
      <c r="AE57" s="5" t="s">
        <v>355</v>
      </c>
      <c r="AH57" s="5" t="s">
        <v>355</v>
      </c>
    </row>
    <row r="58">
      <c r="S58" s="5" t="s">
        <v>355</v>
      </c>
      <c r="T58" s="5" t="str">
        <f>IFERROR(__xludf.DUMMYFUNCTION("""COMPUTED_VALUE"""),"")</f>
        <v/>
      </c>
      <c r="U58" s="5" t="s">
        <v>355</v>
      </c>
      <c r="V58" s="5" t="s">
        <v>355</v>
      </c>
      <c r="W58" s="5" t="s">
        <v>355</v>
      </c>
      <c r="X58" s="5" t="str">
        <f>IFERROR(__xludf.DUMMYFUNCTION("""COMPUTED_VALUE"""),"")</f>
        <v/>
      </c>
      <c r="Y58" s="5" t="s">
        <v>355</v>
      </c>
      <c r="Z58" s="5" t="s">
        <v>355</v>
      </c>
      <c r="AB58" s="5" t="s">
        <v>355</v>
      </c>
      <c r="AE58" s="5" t="s">
        <v>355</v>
      </c>
      <c r="AH58" s="5" t="s">
        <v>355</v>
      </c>
    </row>
    <row r="59">
      <c r="S59" s="5" t="s">
        <v>355</v>
      </c>
      <c r="T59" s="5" t="str">
        <f>IFERROR(__xludf.DUMMYFUNCTION("""COMPUTED_VALUE"""),"")</f>
        <v/>
      </c>
      <c r="U59" s="5" t="s">
        <v>355</v>
      </c>
      <c r="V59" s="5" t="s">
        <v>355</v>
      </c>
      <c r="W59" s="5" t="s">
        <v>355</v>
      </c>
      <c r="X59" s="5" t="str">
        <f>IFERROR(__xludf.DUMMYFUNCTION("""COMPUTED_VALUE"""),"")</f>
        <v/>
      </c>
      <c r="Y59" s="5" t="s">
        <v>355</v>
      </c>
      <c r="Z59" s="5" t="s">
        <v>355</v>
      </c>
      <c r="AB59" s="5" t="s">
        <v>355</v>
      </c>
      <c r="AE59" s="5" t="s">
        <v>355</v>
      </c>
      <c r="AH59" s="5" t="s">
        <v>355</v>
      </c>
    </row>
    <row r="60">
      <c r="S60" s="5" t="s">
        <v>355</v>
      </c>
      <c r="T60" s="5" t="str">
        <f>IFERROR(__xludf.DUMMYFUNCTION("""COMPUTED_VALUE"""),"")</f>
        <v/>
      </c>
      <c r="U60" s="5" t="s">
        <v>355</v>
      </c>
      <c r="V60" s="5" t="s">
        <v>355</v>
      </c>
      <c r="W60" s="5" t="s">
        <v>355</v>
      </c>
      <c r="X60" s="5" t="str">
        <f>IFERROR(__xludf.DUMMYFUNCTION("""COMPUTED_VALUE"""),"")</f>
        <v/>
      </c>
      <c r="Y60" s="5" t="s">
        <v>355</v>
      </c>
      <c r="Z60" s="5" t="s">
        <v>355</v>
      </c>
      <c r="AB60" s="5" t="s">
        <v>355</v>
      </c>
      <c r="AE60" s="5" t="s">
        <v>355</v>
      </c>
      <c r="AH60" s="5" t="s">
        <v>355</v>
      </c>
    </row>
    <row r="61">
      <c r="S61" s="5" t="s">
        <v>355</v>
      </c>
      <c r="T61" s="5" t="str">
        <f>IFERROR(__xludf.DUMMYFUNCTION("""COMPUTED_VALUE"""),"")</f>
        <v/>
      </c>
      <c r="U61" s="5" t="s">
        <v>355</v>
      </c>
      <c r="V61" s="5" t="s">
        <v>355</v>
      </c>
      <c r="W61" s="5" t="s">
        <v>355</v>
      </c>
      <c r="X61" s="5" t="str">
        <f>IFERROR(__xludf.DUMMYFUNCTION("""COMPUTED_VALUE"""),"")</f>
        <v/>
      </c>
      <c r="Y61" s="5" t="s">
        <v>355</v>
      </c>
      <c r="Z61" s="5" t="s">
        <v>355</v>
      </c>
      <c r="AB61" s="5" t="s">
        <v>355</v>
      </c>
      <c r="AE61" s="5" t="s">
        <v>355</v>
      </c>
      <c r="AH61" s="5" t="s">
        <v>355</v>
      </c>
    </row>
    <row r="62">
      <c r="S62" s="5" t="s">
        <v>355</v>
      </c>
      <c r="T62" s="5" t="str">
        <f>IFERROR(__xludf.DUMMYFUNCTION("""COMPUTED_VALUE"""),"")</f>
        <v/>
      </c>
      <c r="U62" s="5" t="s">
        <v>355</v>
      </c>
      <c r="V62" s="5" t="s">
        <v>355</v>
      </c>
      <c r="W62" s="5" t="s">
        <v>355</v>
      </c>
      <c r="X62" s="5" t="str">
        <f>IFERROR(__xludf.DUMMYFUNCTION("""COMPUTED_VALUE"""),"")</f>
        <v/>
      </c>
      <c r="Y62" s="5" t="s">
        <v>355</v>
      </c>
      <c r="Z62" s="5" t="s">
        <v>355</v>
      </c>
      <c r="AB62" s="5" t="s">
        <v>355</v>
      </c>
      <c r="AE62" s="5" t="s">
        <v>355</v>
      </c>
      <c r="AH62" s="5" t="s">
        <v>355</v>
      </c>
    </row>
    <row r="63">
      <c r="S63" s="5" t="s">
        <v>355</v>
      </c>
      <c r="T63" s="5" t="str">
        <f>IFERROR(__xludf.DUMMYFUNCTION("""COMPUTED_VALUE"""),"")</f>
        <v/>
      </c>
      <c r="U63" s="5" t="s">
        <v>355</v>
      </c>
      <c r="V63" s="5" t="s">
        <v>355</v>
      </c>
      <c r="W63" s="5" t="s">
        <v>355</v>
      </c>
      <c r="X63" s="5" t="str">
        <f>IFERROR(__xludf.DUMMYFUNCTION("""COMPUTED_VALUE"""),"")</f>
        <v/>
      </c>
      <c r="Y63" s="5" t="s">
        <v>355</v>
      </c>
      <c r="Z63" s="5" t="s">
        <v>355</v>
      </c>
      <c r="AB63" s="5" t="s">
        <v>355</v>
      </c>
      <c r="AE63" s="5" t="s">
        <v>355</v>
      </c>
      <c r="AH63" s="5" t="s">
        <v>355</v>
      </c>
    </row>
    <row r="64">
      <c r="S64" s="5" t="s">
        <v>355</v>
      </c>
      <c r="T64" s="5" t="str">
        <f>IFERROR(__xludf.DUMMYFUNCTION("""COMPUTED_VALUE"""),"")</f>
        <v/>
      </c>
      <c r="U64" s="5" t="s">
        <v>355</v>
      </c>
      <c r="V64" s="5" t="s">
        <v>355</v>
      </c>
      <c r="W64" s="5" t="s">
        <v>355</v>
      </c>
      <c r="X64" s="5" t="str">
        <f>IFERROR(__xludf.DUMMYFUNCTION("""COMPUTED_VALUE"""),"")</f>
        <v/>
      </c>
      <c r="Y64" s="5" t="s">
        <v>355</v>
      </c>
      <c r="Z64" s="5" t="s">
        <v>355</v>
      </c>
      <c r="AB64" s="5" t="s">
        <v>355</v>
      </c>
      <c r="AE64" s="5" t="s">
        <v>355</v>
      </c>
      <c r="AH64" s="5" t="s">
        <v>355</v>
      </c>
    </row>
    <row r="65">
      <c r="S65" s="5" t="s">
        <v>355</v>
      </c>
      <c r="T65" s="5" t="str">
        <f>IFERROR(__xludf.DUMMYFUNCTION("""COMPUTED_VALUE"""),"")</f>
        <v/>
      </c>
      <c r="U65" s="5" t="s">
        <v>355</v>
      </c>
      <c r="V65" s="5" t="s">
        <v>355</v>
      </c>
      <c r="W65" s="5" t="s">
        <v>355</v>
      </c>
      <c r="X65" s="5" t="str">
        <f>IFERROR(__xludf.DUMMYFUNCTION("""COMPUTED_VALUE"""),"")</f>
        <v/>
      </c>
      <c r="Y65" s="5" t="s">
        <v>355</v>
      </c>
      <c r="Z65" s="5" t="s">
        <v>355</v>
      </c>
      <c r="AB65" s="5" t="s">
        <v>355</v>
      </c>
      <c r="AE65" s="5" t="s">
        <v>355</v>
      </c>
      <c r="AH65" s="5" t="s">
        <v>355</v>
      </c>
    </row>
    <row r="66">
      <c r="S66" s="5" t="s">
        <v>355</v>
      </c>
      <c r="T66" s="5" t="str">
        <f>IFERROR(__xludf.DUMMYFUNCTION("""COMPUTED_VALUE"""),"")</f>
        <v/>
      </c>
      <c r="U66" s="5" t="s">
        <v>355</v>
      </c>
      <c r="V66" s="5" t="s">
        <v>355</v>
      </c>
      <c r="W66" s="5" t="s">
        <v>355</v>
      </c>
      <c r="X66" s="5" t="str">
        <f>IFERROR(__xludf.DUMMYFUNCTION("""COMPUTED_VALUE"""),"")</f>
        <v/>
      </c>
      <c r="Y66" s="5" t="s">
        <v>355</v>
      </c>
      <c r="Z66" s="5" t="s">
        <v>355</v>
      </c>
      <c r="AB66" s="5" t="s">
        <v>355</v>
      </c>
      <c r="AE66" s="5" t="s">
        <v>355</v>
      </c>
      <c r="AH66" s="5" t="s">
        <v>355</v>
      </c>
    </row>
    <row r="67">
      <c r="S67" s="5" t="s">
        <v>355</v>
      </c>
      <c r="T67" s="5" t="str">
        <f>IFERROR(__xludf.DUMMYFUNCTION("""COMPUTED_VALUE"""),"")</f>
        <v/>
      </c>
      <c r="U67" s="5" t="s">
        <v>355</v>
      </c>
      <c r="V67" s="5" t="s">
        <v>355</v>
      </c>
      <c r="W67" s="5" t="s">
        <v>355</v>
      </c>
      <c r="X67" s="5" t="str">
        <f>IFERROR(__xludf.DUMMYFUNCTION("""COMPUTED_VALUE"""),"")</f>
        <v/>
      </c>
      <c r="Y67" s="5" t="s">
        <v>355</v>
      </c>
      <c r="Z67" s="5" t="s">
        <v>355</v>
      </c>
      <c r="AB67" s="5" t="s">
        <v>355</v>
      </c>
      <c r="AE67" s="5" t="s">
        <v>355</v>
      </c>
      <c r="AH67" s="5" t="s">
        <v>355</v>
      </c>
    </row>
    <row r="68">
      <c r="S68" s="5" t="s">
        <v>355</v>
      </c>
      <c r="T68" s="5" t="str">
        <f>IFERROR(__xludf.DUMMYFUNCTION("""COMPUTED_VALUE"""),"")</f>
        <v/>
      </c>
      <c r="U68" s="5" t="s">
        <v>355</v>
      </c>
      <c r="V68" s="5" t="s">
        <v>355</v>
      </c>
      <c r="W68" s="5" t="s">
        <v>355</v>
      </c>
      <c r="X68" s="5" t="str">
        <f>IFERROR(__xludf.DUMMYFUNCTION("""COMPUTED_VALUE"""),"")</f>
        <v/>
      </c>
      <c r="Y68" s="5" t="s">
        <v>355</v>
      </c>
      <c r="Z68" s="5" t="s">
        <v>355</v>
      </c>
      <c r="AB68" s="5" t="s">
        <v>355</v>
      </c>
      <c r="AE68" s="5" t="s">
        <v>355</v>
      </c>
      <c r="AH68" s="5" t="s">
        <v>355</v>
      </c>
    </row>
    <row r="69">
      <c r="S69" s="5" t="s">
        <v>355</v>
      </c>
      <c r="T69" s="5" t="str">
        <f>IFERROR(__xludf.DUMMYFUNCTION("""COMPUTED_VALUE"""),"")</f>
        <v/>
      </c>
      <c r="U69" s="5" t="s">
        <v>355</v>
      </c>
      <c r="V69" s="5" t="s">
        <v>355</v>
      </c>
      <c r="W69" s="5" t="s">
        <v>355</v>
      </c>
      <c r="X69" s="5" t="str">
        <f>IFERROR(__xludf.DUMMYFUNCTION("""COMPUTED_VALUE"""),"")</f>
        <v/>
      </c>
      <c r="Y69" s="5" t="s">
        <v>355</v>
      </c>
      <c r="Z69" s="5" t="s">
        <v>355</v>
      </c>
      <c r="AB69" s="5" t="s">
        <v>355</v>
      </c>
      <c r="AE69" s="5" t="s">
        <v>355</v>
      </c>
      <c r="AH69" s="5" t="s">
        <v>355</v>
      </c>
    </row>
    <row r="70">
      <c r="S70" s="5" t="s">
        <v>355</v>
      </c>
      <c r="T70" s="5" t="str">
        <f>IFERROR(__xludf.DUMMYFUNCTION("""COMPUTED_VALUE"""),"")</f>
        <v/>
      </c>
      <c r="U70" s="5" t="s">
        <v>355</v>
      </c>
      <c r="V70" s="5" t="s">
        <v>355</v>
      </c>
      <c r="W70" s="5" t="s">
        <v>355</v>
      </c>
      <c r="X70" s="5" t="str">
        <f>IFERROR(__xludf.DUMMYFUNCTION("""COMPUTED_VALUE"""),"")</f>
        <v/>
      </c>
      <c r="Y70" s="5" t="s">
        <v>355</v>
      </c>
      <c r="Z70" s="5" t="s">
        <v>355</v>
      </c>
      <c r="AB70" s="5" t="s">
        <v>355</v>
      </c>
      <c r="AE70" s="5" t="s">
        <v>355</v>
      </c>
      <c r="AH70" s="5" t="s">
        <v>355</v>
      </c>
    </row>
    <row r="71">
      <c r="S71" s="5" t="s">
        <v>355</v>
      </c>
      <c r="T71" s="5" t="str">
        <f>IFERROR(__xludf.DUMMYFUNCTION("""COMPUTED_VALUE"""),"")</f>
        <v/>
      </c>
      <c r="U71" s="5" t="s">
        <v>355</v>
      </c>
      <c r="V71" s="5" t="s">
        <v>355</v>
      </c>
      <c r="W71" s="5" t="s">
        <v>355</v>
      </c>
      <c r="X71" s="5" t="str">
        <f>IFERROR(__xludf.DUMMYFUNCTION("""COMPUTED_VALUE"""),"")</f>
        <v/>
      </c>
      <c r="Y71" s="5" t="s">
        <v>355</v>
      </c>
      <c r="Z71" s="5" t="s">
        <v>355</v>
      </c>
      <c r="AB71" s="5" t="s">
        <v>355</v>
      </c>
      <c r="AE71" s="5" t="s">
        <v>355</v>
      </c>
      <c r="AH71" s="5" t="s">
        <v>355</v>
      </c>
    </row>
    <row r="72">
      <c r="S72" s="5" t="s">
        <v>355</v>
      </c>
      <c r="T72" s="5" t="str">
        <f>IFERROR(__xludf.DUMMYFUNCTION("""COMPUTED_VALUE"""),"")</f>
        <v/>
      </c>
      <c r="U72" s="5" t="s">
        <v>355</v>
      </c>
      <c r="V72" s="5" t="s">
        <v>355</v>
      </c>
      <c r="W72" s="5" t="s">
        <v>355</v>
      </c>
      <c r="X72" s="5" t="str">
        <f>IFERROR(__xludf.DUMMYFUNCTION("""COMPUTED_VALUE"""),"")</f>
        <v/>
      </c>
      <c r="Y72" s="5" t="s">
        <v>355</v>
      </c>
      <c r="Z72" s="5" t="s">
        <v>355</v>
      </c>
      <c r="AB72" s="5" t="s">
        <v>355</v>
      </c>
      <c r="AE72" s="5" t="s">
        <v>355</v>
      </c>
      <c r="AH72" s="5" t="s">
        <v>355</v>
      </c>
    </row>
    <row r="73">
      <c r="S73" s="5" t="s">
        <v>355</v>
      </c>
      <c r="T73" s="5" t="str">
        <f>IFERROR(__xludf.DUMMYFUNCTION("""COMPUTED_VALUE"""),"")</f>
        <v/>
      </c>
      <c r="U73" s="5" t="s">
        <v>355</v>
      </c>
      <c r="V73" s="5" t="s">
        <v>355</v>
      </c>
      <c r="W73" s="5" t="s">
        <v>355</v>
      </c>
      <c r="X73" s="5" t="str">
        <f>IFERROR(__xludf.DUMMYFUNCTION("""COMPUTED_VALUE"""),"")</f>
        <v/>
      </c>
      <c r="Y73" s="5" t="s">
        <v>355</v>
      </c>
      <c r="Z73" s="5" t="s">
        <v>355</v>
      </c>
      <c r="AB73" s="5" t="s">
        <v>355</v>
      </c>
      <c r="AE73" s="5" t="s">
        <v>355</v>
      </c>
      <c r="AH73" s="5" t="s">
        <v>355</v>
      </c>
    </row>
    <row r="74">
      <c r="S74" s="5" t="s">
        <v>355</v>
      </c>
      <c r="T74" s="5" t="str">
        <f>IFERROR(__xludf.DUMMYFUNCTION("""COMPUTED_VALUE"""),"")</f>
        <v/>
      </c>
      <c r="U74" s="5" t="s">
        <v>355</v>
      </c>
      <c r="V74" s="5" t="s">
        <v>355</v>
      </c>
      <c r="W74" s="5" t="s">
        <v>355</v>
      </c>
      <c r="X74" s="5" t="str">
        <f>IFERROR(__xludf.DUMMYFUNCTION("""COMPUTED_VALUE"""),"")</f>
        <v/>
      </c>
      <c r="Y74" s="5" t="s">
        <v>355</v>
      </c>
      <c r="Z74" s="5" t="s">
        <v>355</v>
      </c>
      <c r="AB74" s="5" t="s">
        <v>355</v>
      </c>
      <c r="AE74" s="5" t="s">
        <v>355</v>
      </c>
      <c r="AH74" s="5" t="s">
        <v>355</v>
      </c>
    </row>
    <row r="75">
      <c r="S75" s="5" t="s">
        <v>355</v>
      </c>
      <c r="T75" s="5" t="str">
        <f>IFERROR(__xludf.DUMMYFUNCTION("""COMPUTED_VALUE"""),"")</f>
        <v/>
      </c>
      <c r="U75" s="5" t="s">
        <v>355</v>
      </c>
      <c r="V75" s="5" t="s">
        <v>355</v>
      </c>
      <c r="W75" s="5" t="s">
        <v>355</v>
      </c>
      <c r="X75" s="5" t="str">
        <f>IFERROR(__xludf.DUMMYFUNCTION("""COMPUTED_VALUE"""),"")</f>
        <v/>
      </c>
      <c r="Y75" s="5" t="s">
        <v>355</v>
      </c>
      <c r="Z75" s="5" t="s">
        <v>355</v>
      </c>
      <c r="AB75" s="5" t="s">
        <v>355</v>
      </c>
      <c r="AE75" s="5" t="s">
        <v>355</v>
      </c>
      <c r="AH75" s="5" t="s">
        <v>355</v>
      </c>
    </row>
    <row r="76">
      <c r="S76" s="5" t="s">
        <v>355</v>
      </c>
      <c r="T76" s="5" t="str">
        <f>IFERROR(__xludf.DUMMYFUNCTION("""COMPUTED_VALUE"""),"")</f>
        <v/>
      </c>
      <c r="U76" s="5" t="s">
        <v>355</v>
      </c>
      <c r="V76" s="5" t="s">
        <v>355</v>
      </c>
      <c r="W76" s="5" t="s">
        <v>355</v>
      </c>
      <c r="X76" s="5" t="str">
        <f>IFERROR(__xludf.DUMMYFUNCTION("""COMPUTED_VALUE"""),"")</f>
        <v/>
      </c>
      <c r="Y76" s="5" t="s">
        <v>355</v>
      </c>
      <c r="Z76" s="5" t="s">
        <v>355</v>
      </c>
      <c r="AB76" s="5" t="s">
        <v>355</v>
      </c>
      <c r="AE76" s="5" t="s">
        <v>355</v>
      </c>
      <c r="AH76" s="5" t="s">
        <v>355</v>
      </c>
    </row>
    <row r="77">
      <c r="S77" s="5" t="s">
        <v>355</v>
      </c>
      <c r="T77" s="5" t="str">
        <f>IFERROR(__xludf.DUMMYFUNCTION("""COMPUTED_VALUE"""),"")</f>
        <v/>
      </c>
      <c r="U77" s="5" t="s">
        <v>355</v>
      </c>
      <c r="V77" s="5" t="s">
        <v>355</v>
      </c>
      <c r="W77" s="5" t="s">
        <v>355</v>
      </c>
      <c r="X77" s="5" t="str">
        <f>IFERROR(__xludf.DUMMYFUNCTION("""COMPUTED_VALUE"""),"")</f>
        <v/>
      </c>
      <c r="Y77" s="5" t="s">
        <v>355</v>
      </c>
      <c r="Z77" s="5" t="s">
        <v>355</v>
      </c>
      <c r="AB77" s="5" t="s">
        <v>355</v>
      </c>
      <c r="AE77" s="5" t="s">
        <v>355</v>
      </c>
      <c r="AH77" s="5" t="s">
        <v>355</v>
      </c>
    </row>
    <row r="78">
      <c r="S78" s="5" t="s">
        <v>355</v>
      </c>
      <c r="T78" s="5" t="str">
        <f>IFERROR(__xludf.DUMMYFUNCTION("""COMPUTED_VALUE"""),"")</f>
        <v/>
      </c>
      <c r="U78" s="5" t="s">
        <v>355</v>
      </c>
      <c r="V78" s="5" t="s">
        <v>355</v>
      </c>
      <c r="W78" s="5" t="s">
        <v>355</v>
      </c>
      <c r="X78" s="5" t="str">
        <f>IFERROR(__xludf.DUMMYFUNCTION("""COMPUTED_VALUE"""),"")</f>
        <v/>
      </c>
      <c r="Y78" s="5" t="s">
        <v>355</v>
      </c>
      <c r="Z78" s="5" t="s">
        <v>355</v>
      </c>
      <c r="AB78" s="5" t="s">
        <v>355</v>
      </c>
      <c r="AE78" s="5" t="s">
        <v>355</v>
      </c>
      <c r="AH78" s="5" t="s">
        <v>355</v>
      </c>
    </row>
    <row r="79">
      <c r="S79" s="5" t="s">
        <v>355</v>
      </c>
      <c r="T79" s="5" t="str">
        <f>IFERROR(__xludf.DUMMYFUNCTION("""COMPUTED_VALUE"""),"")</f>
        <v/>
      </c>
      <c r="U79" s="5" t="s">
        <v>355</v>
      </c>
      <c r="V79" s="5" t="s">
        <v>355</v>
      </c>
      <c r="W79" s="5" t="s">
        <v>355</v>
      </c>
      <c r="X79" s="5" t="str">
        <f>IFERROR(__xludf.DUMMYFUNCTION("""COMPUTED_VALUE"""),"")</f>
        <v/>
      </c>
      <c r="Y79" s="5" t="s">
        <v>355</v>
      </c>
      <c r="Z79" s="5" t="s">
        <v>355</v>
      </c>
      <c r="AB79" s="5" t="s">
        <v>355</v>
      </c>
      <c r="AE79" s="5" t="s">
        <v>355</v>
      </c>
      <c r="AH79" s="5" t="s">
        <v>355</v>
      </c>
    </row>
    <row r="80">
      <c r="S80" s="5" t="s">
        <v>355</v>
      </c>
      <c r="T80" s="5" t="str">
        <f>IFERROR(__xludf.DUMMYFUNCTION("""COMPUTED_VALUE"""),"")</f>
        <v/>
      </c>
      <c r="U80" s="5" t="s">
        <v>355</v>
      </c>
      <c r="V80" s="5" t="s">
        <v>355</v>
      </c>
      <c r="W80" s="5" t="s">
        <v>355</v>
      </c>
      <c r="X80" s="5" t="str">
        <f>IFERROR(__xludf.DUMMYFUNCTION("""COMPUTED_VALUE"""),"")</f>
        <v/>
      </c>
      <c r="Y80" s="5" t="s">
        <v>355</v>
      </c>
      <c r="Z80" s="5" t="s">
        <v>355</v>
      </c>
      <c r="AB80" s="5" t="s">
        <v>355</v>
      </c>
      <c r="AE80" s="5" t="s">
        <v>355</v>
      </c>
      <c r="AH80" s="5" t="s">
        <v>355</v>
      </c>
    </row>
    <row r="81">
      <c r="S81" s="5" t="s">
        <v>355</v>
      </c>
      <c r="T81" s="5" t="str">
        <f>IFERROR(__xludf.DUMMYFUNCTION("""COMPUTED_VALUE"""),"")</f>
        <v/>
      </c>
      <c r="U81" s="5" t="s">
        <v>355</v>
      </c>
      <c r="V81" s="5" t="s">
        <v>355</v>
      </c>
      <c r="W81" s="5" t="s">
        <v>355</v>
      </c>
      <c r="X81" s="5" t="str">
        <f>IFERROR(__xludf.DUMMYFUNCTION("""COMPUTED_VALUE"""),"")</f>
        <v/>
      </c>
      <c r="Y81" s="5" t="s">
        <v>355</v>
      </c>
      <c r="Z81" s="5" t="s">
        <v>355</v>
      </c>
      <c r="AB81" s="5" t="s">
        <v>355</v>
      </c>
      <c r="AE81" s="5" t="s">
        <v>355</v>
      </c>
      <c r="AH81" s="5" t="s">
        <v>355</v>
      </c>
    </row>
    <row r="82">
      <c r="S82" s="5" t="s">
        <v>355</v>
      </c>
      <c r="T82" s="5" t="str">
        <f>IFERROR(__xludf.DUMMYFUNCTION("""COMPUTED_VALUE"""),"")</f>
        <v/>
      </c>
      <c r="U82" s="5" t="s">
        <v>355</v>
      </c>
      <c r="V82" s="5" t="s">
        <v>355</v>
      </c>
      <c r="W82" s="5" t="s">
        <v>355</v>
      </c>
      <c r="X82" s="5" t="str">
        <f>IFERROR(__xludf.DUMMYFUNCTION("""COMPUTED_VALUE"""),"")</f>
        <v/>
      </c>
      <c r="Y82" s="5" t="s">
        <v>355</v>
      </c>
      <c r="Z82" s="5" t="s">
        <v>355</v>
      </c>
      <c r="AB82" s="5" t="s">
        <v>355</v>
      </c>
      <c r="AE82" s="5" t="s">
        <v>355</v>
      </c>
      <c r="AH82" s="5" t="s">
        <v>355</v>
      </c>
    </row>
    <row r="83">
      <c r="S83" s="5" t="s">
        <v>355</v>
      </c>
      <c r="T83" s="5" t="str">
        <f>IFERROR(__xludf.DUMMYFUNCTION("""COMPUTED_VALUE"""),"")</f>
        <v/>
      </c>
      <c r="U83" s="5" t="s">
        <v>355</v>
      </c>
      <c r="V83" s="5" t="s">
        <v>355</v>
      </c>
      <c r="W83" s="5" t="s">
        <v>355</v>
      </c>
      <c r="X83" s="5" t="str">
        <f>IFERROR(__xludf.DUMMYFUNCTION("""COMPUTED_VALUE"""),"")</f>
        <v/>
      </c>
      <c r="Y83" s="5" t="s">
        <v>355</v>
      </c>
      <c r="Z83" s="5" t="s">
        <v>355</v>
      </c>
      <c r="AB83" s="5" t="s">
        <v>355</v>
      </c>
      <c r="AE83" s="5" t="s">
        <v>355</v>
      </c>
      <c r="AH83" s="5" t="s">
        <v>355</v>
      </c>
    </row>
    <row r="84">
      <c r="S84" s="5" t="s">
        <v>355</v>
      </c>
      <c r="T84" s="5" t="str">
        <f>IFERROR(__xludf.DUMMYFUNCTION("""COMPUTED_VALUE"""),"")</f>
        <v/>
      </c>
      <c r="U84" s="5" t="s">
        <v>355</v>
      </c>
      <c r="V84" s="5" t="s">
        <v>355</v>
      </c>
      <c r="W84" s="5" t="s">
        <v>355</v>
      </c>
      <c r="X84" s="5" t="str">
        <f>IFERROR(__xludf.DUMMYFUNCTION("""COMPUTED_VALUE"""),"")</f>
        <v/>
      </c>
      <c r="Y84" s="5" t="s">
        <v>355</v>
      </c>
      <c r="Z84" s="5" t="s">
        <v>355</v>
      </c>
      <c r="AB84" s="5" t="s">
        <v>355</v>
      </c>
      <c r="AE84" s="5" t="s">
        <v>355</v>
      </c>
      <c r="AH84" s="5" t="s">
        <v>355</v>
      </c>
    </row>
    <row r="85">
      <c r="S85" s="5" t="s">
        <v>355</v>
      </c>
      <c r="T85" s="5" t="str">
        <f>IFERROR(__xludf.DUMMYFUNCTION("""COMPUTED_VALUE"""),"")</f>
        <v/>
      </c>
      <c r="U85" s="5" t="s">
        <v>355</v>
      </c>
      <c r="V85" s="5" t="s">
        <v>355</v>
      </c>
      <c r="W85" s="5" t="s">
        <v>355</v>
      </c>
      <c r="X85" s="5" t="str">
        <f>IFERROR(__xludf.DUMMYFUNCTION("""COMPUTED_VALUE"""),"")</f>
        <v/>
      </c>
      <c r="Y85" s="5" t="s">
        <v>355</v>
      </c>
      <c r="Z85" s="5" t="s">
        <v>355</v>
      </c>
      <c r="AB85" s="5" t="s">
        <v>355</v>
      </c>
      <c r="AE85" s="5" t="s">
        <v>355</v>
      </c>
      <c r="AH85" s="5" t="s">
        <v>355</v>
      </c>
    </row>
    <row r="86">
      <c r="S86" s="5" t="s">
        <v>355</v>
      </c>
      <c r="T86" s="5" t="str">
        <f>IFERROR(__xludf.DUMMYFUNCTION("""COMPUTED_VALUE"""),"")</f>
        <v/>
      </c>
      <c r="U86" s="5" t="s">
        <v>355</v>
      </c>
      <c r="V86" s="5" t="s">
        <v>355</v>
      </c>
      <c r="W86" s="5" t="s">
        <v>355</v>
      </c>
      <c r="X86" s="5" t="str">
        <f>IFERROR(__xludf.DUMMYFUNCTION("""COMPUTED_VALUE"""),"")</f>
        <v/>
      </c>
      <c r="Y86" s="5" t="s">
        <v>355</v>
      </c>
      <c r="Z86" s="5" t="s">
        <v>355</v>
      </c>
      <c r="AB86" s="5" t="s">
        <v>355</v>
      </c>
      <c r="AE86" s="5" t="s">
        <v>355</v>
      </c>
      <c r="AH86" s="5" t="s">
        <v>355</v>
      </c>
    </row>
    <row r="87">
      <c r="S87" s="5" t="s">
        <v>355</v>
      </c>
      <c r="T87" s="5" t="str">
        <f>IFERROR(__xludf.DUMMYFUNCTION("""COMPUTED_VALUE"""),"")</f>
        <v/>
      </c>
      <c r="U87" s="5" t="s">
        <v>355</v>
      </c>
      <c r="V87" s="5" t="s">
        <v>355</v>
      </c>
      <c r="W87" s="5" t="s">
        <v>355</v>
      </c>
      <c r="X87" s="5" t="str">
        <f>IFERROR(__xludf.DUMMYFUNCTION("""COMPUTED_VALUE"""),"")</f>
        <v/>
      </c>
      <c r="Y87" s="5" t="s">
        <v>355</v>
      </c>
      <c r="Z87" s="5" t="s">
        <v>355</v>
      </c>
      <c r="AB87" s="5" t="s">
        <v>355</v>
      </c>
      <c r="AE87" s="5" t="s">
        <v>355</v>
      </c>
      <c r="AH87" s="5" t="s">
        <v>355</v>
      </c>
    </row>
    <row r="88">
      <c r="S88" s="5" t="s">
        <v>355</v>
      </c>
      <c r="T88" s="5" t="str">
        <f>IFERROR(__xludf.DUMMYFUNCTION("""COMPUTED_VALUE"""),"")</f>
        <v/>
      </c>
      <c r="U88" s="5" t="s">
        <v>355</v>
      </c>
      <c r="V88" s="5" t="s">
        <v>355</v>
      </c>
      <c r="W88" s="5" t="s">
        <v>355</v>
      </c>
      <c r="X88" s="5" t="str">
        <f>IFERROR(__xludf.DUMMYFUNCTION("""COMPUTED_VALUE"""),"")</f>
        <v/>
      </c>
      <c r="Y88" s="5" t="s">
        <v>355</v>
      </c>
      <c r="Z88" s="5" t="s">
        <v>355</v>
      </c>
      <c r="AB88" s="5" t="s">
        <v>355</v>
      </c>
      <c r="AE88" s="5" t="s">
        <v>355</v>
      </c>
      <c r="AH88" s="5" t="s">
        <v>355</v>
      </c>
    </row>
    <row r="89">
      <c r="S89" s="5" t="s">
        <v>355</v>
      </c>
      <c r="T89" s="5" t="str">
        <f>IFERROR(__xludf.DUMMYFUNCTION("""COMPUTED_VALUE"""),"")</f>
        <v/>
      </c>
      <c r="U89" s="5" t="s">
        <v>355</v>
      </c>
      <c r="V89" s="5" t="s">
        <v>355</v>
      </c>
      <c r="W89" s="5" t="s">
        <v>355</v>
      </c>
      <c r="X89" s="5" t="str">
        <f>IFERROR(__xludf.DUMMYFUNCTION("""COMPUTED_VALUE"""),"")</f>
        <v/>
      </c>
      <c r="Y89" s="5" t="s">
        <v>355</v>
      </c>
      <c r="Z89" s="5" t="s">
        <v>355</v>
      </c>
      <c r="AB89" s="5" t="s">
        <v>355</v>
      </c>
      <c r="AE89" s="5" t="s">
        <v>355</v>
      </c>
      <c r="AH89" s="5" t="s">
        <v>355</v>
      </c>
    </row>
    <row r="90">
      <c r="S90" s="5" t="s">
        <v>355</v>
      </c>
      <c r="T90" s="5" t="str">
        <f>IFERROR(__xludf.DUMMYFUNCTION("""COMPUTED_VALUE"""),"")</f>
        <v/>
      </c>
      <c r="U90" s="5" t="s">
        <v>355</v>
      </c>
      <c r="V90" s="5" t="s">
        <v>355</v>
      </c>
      <c r="W90" s="5" t="s">
        <v>355</v>
      </c>
      <c r="X90" s="5" t="str">
        <f>IFERROR(__xludf.DUMMYFUNCTION("""COMPUTED_VALUE"""),"")</f>
        <v/>
      </c>
      <c r="Y90" s="5" t="s">
        <v>355</v>
      </c>
      <c r="Z90" s="5" t="s">
        <v>355</v>
      </c>
      <c r="AB90" s="5" t="s">
        <v>355</v>
      </c>
      <c r="AE90" s="5" t="s">
        <v>355</v>
      </c>
      <c r="AH90" s="5" t="s">
        <v>355</v>
      </c>
    </row>
    <row r="91">
      <c r="S91" s="5" t="s">
        <v>355</v>
      </c>
      <c r="T91" s="5" t="str">
        <f>IFERROR(__xludf.DUMMYFUNCTION("""COMPUTED_VALUE"""),"")</f>
        <v/>
      </c>
      <c r="U91" s="5" t="s">
        <v>355</v>
      </c>
      <c r="V91" s="5" t="s">
        <v>355</v>
      </c>
      <c r="W91" s="5" t="s">
        <v>355</v>
      </c>
      <c r="X91" s="5" t="str">
        <f>IFERROR(__xludf.DUMMYFUNCTION("""COMPUTED_VALUE"""),"")</f>
        <v/>
      </c>
      <c r="Y91" s="5" t="s">
        <v>355</v>
      </c>
      <c r="Z91" s="5" t="s">
        <v>355</v>
      </c>
      <c r="AB91" s="5" t="s">
        <v>355</v>
      </c>
      <c r="AE91" s="5" t="s">
        <v>355</v>
      </c>
      <c r="AH91" s="5" t="s">
        <v>355</v>
      </c>
    </row>
    <row r="92">
      <c r="S92" s="5" t="s">
        <v>355</v>
      </c>
      <c r="T92" s="5" t="str">
        <f>IFERROR(__xludf.DUMMYFUNCTION("""COMPUTED_VALUE"""),"")</f>
        <v/>
      </c>
      <c r="U92" s="5" t="s">
        <v>355</v>
      </c>
      <c r="V92" s="5" t="s">
        <v>355</v>
      </c>
      <c r="W92" s="5" t="s">
        <v>355</v>
      </c>
      <c r="X92" s="5" t="str">
        <f>IFERROR(__xludf.DUMMYFUNCTION("""COMPUTED_VALUE"""),"")</f>
        <v/>
      </c>
      <c r="Y92" s="5" t="s">
        <v>355</v>
      </c>
      <c r="Z92" s="5" t="s">
        <v>355</v>
      </c>
      <c r="AB92" s="5" t="s">
        <v>355</v>
      </c>
      <c r="AE92" s="5" t="s">
        <v>355</v>
      </c>
      <c r="AH92" s="5" t="s">
        <v>355</v>
      </c>
    </row>
    <row r="93">
      <c r="S93" s="5" t="s">
        <v>355</v>
      </c>
      <c r="T93" s="5" t="str">
        <f>IFERROR(__xludf.DUMMYFUNCTION("""COMPUTED_VALUE"""),"")</f>
        <v/>
      </c>
      <c r="U93" s="5" t="s">
        <v>355</v>
      </c>
      <c r="V93" s="5" t="s">
        <v>355</v>
      </c>
      <c r="W93" s="5" t="s">
        <v>355</v>
      </c>
      <c r="X93" s="5" t="str">
        <f>IFERROR(__xludf.DUMMYFUNCTION("""COMPUTED_VALUE"""),"")</f>
        <v/>
      </c>
      <c r="Y93" s="5" t="s">
        <v>355</v>
      </c>
      <c r="Z93" s="5" t="s">
        <v>355</v>
      </c>
      <c r="AB93" s="5" t="s">
        <v>355</v>
      </c>
      <c r="AE93" s="5" t="s">
        <v>355</v>
      </c>
      <c r="AH93" s="5" t="s">
        <v>355</v>
      </c>
    </row>
    <row r="94">
      <c r="S94" s="5" t="s">
        <v>355</v>
      </c>
      <c r="T94" s="5" t="str">
        <f>IFERROR(__xludf.DUMMYFUNCTION("""COMPUTED_VALUE"""),"")</f>
        <v/>
      </c>
      <c r="U94" s="5" t="s">
        <v>355</v>
      </c>
      <c r="V94" s="5" t="s">
        <v>355</v>
      </c>
      <c r="W94" s="5" t="s">
        <v>355</v>
      </c>
      <c r="X94" s="5" t="str">
        <f>IFERROR(__xludf.DUMMYFUNCTION("""COMPUTED_VALUE"""),"")</f>
        <v/>
      </c>
      <c r="Y94" s="5" t="s">
        <v>355</v>
      </c>
      <c r="Z94" s="5" t="s">
        <v>355</v>
      </c>
      <c r="AB94" s="5" t="s">
        <v>355</v>
      </c>
      <c r="AE94" s="5" t="s">
        <v>355</v>
      </c>
      <c r="AH94" s="5" t="s">
        <v>355</v>
      </c>
    </row>
    <row r="95">
      <c r="S95" s="5" t="s">
        <v>355</v>
      </c>
      <c r="T95" s="5" t="str">
        <f>IFERROR(__xludf.DUMMYFUNCTION("""COMPUTED_VALUE"""),"")</f>
        <v/>
      </c>
      <c r="U95" s="5" t="s">
        <v>355</v>
      </c>
      <c r="V95" s="5" t="s">
        <v>355</v>
      </c>
      <c r="W95" s="5" t="s">
        <v>355</v>
      </c>
      <c r="X95" s="5" t="str">
        <f>IFERROR(__xludf.DUMMYFUNCTION("""COMPUTED_VALUE"""),"")</f>
        <v/>
      </c>
      <c r="Y95" s="5" t="s">
        <v>355</v>
      </c>
      <c r="Z95" s="5" t="s">
        <v>355</v>
      </c>
      <c r="AB95" s="5" t="s">
        <v>355</v>
      </c>
      <c r="AE95" s="5" t="s">
        <v>355</v>
      </c>
      <c r="AH95" s="5" t="s">
        <v>355</v>
      </c>
    </row>
    <row r="96">
      <c r="S96" s="5" t="s">
        <v>355</v>
      </c>
      <c r="T96" s="5" t="str">
        <f>IFERROR(__xludf.DUMMYFUNCTION("""COMPUTED_VALUE"""),"")</f>
        <v/>
      </c>
      <c r="U96" s="5" t="s">
        <v>355</v>
      </c>
      <c r="V96" s="5" t="s">
        <v>355</v>
      </c>
      <c r="W96" s="5" t="s">
        <v>355</v>
      </c>
      <c r="X96" s="5" t="str">
        <f>IFERROR(__xludf.DUMMYFUNCTION("""COMPUTED_VALUE"""),"")</f>
        <v/>
      </c>
      <c r="Y96" s="5" t="s">
        <v>355</v>
      </c>
      <c r="Z96" s="5" t="s">
        <v>355</v>
      </c>
      <c r="AB96" s="5" t="s">
        <v>355</v>
      </c>
      <c r="AE96" s="5" t="s">
        <v>355</v>
      </c>
      <c r="AH96" s="5" t="s">
        <v>355</v>
      </c>
    </row>
    <row r="97">
      <c r="S97" s="5" t="s">
        <v>355</v>
      </c>
      <c r="T97" s="5" t="str">
        <f>IFERROR(__xludf.DUMMYFUNCTION("""COMPUTED_VALUE"""),"")</f>
        <v/>
      </c>
      <c r="U97" s="5" t="s">
        <v>355</v>
      </c>
      <c r="V97" s="5" t="s">
        <v>355</v>
      </c>
      <c r="W97" s="5" t="s">
        <v>355</v>
      </c>
      <c r="X97" s="5" t="str">
        <f>IFERROR(__xludf.DUMMYFUNCTION("""COMPUTED_VALUE"""),"")</f>
        <v/>
      </c>
      <c r="Y97" s="5" t="s">
        <v>355</v>
      </c>
      <c r="Z97" s="5" t="s">
        <v>355</v>
      </c>
      <c r="AB97" s="5" t="s">
        <v>355</v>
      </c>
      <c r="AE97" s="5" t="s">
        <v>355</v>
      </c>
      <c r="AH97" s="5" t="s">
        <v>355</v>
      </c>
    </row>
    <row r="98">
      <c r="S98" s="5" t="s">
        <v>355</v>
      </c>
      <c r="T98" s="5" t="str">
        <f>IFERROR(__xludf.DUMMYFUNCTION("""COMPUTED_VALUE"""),"")</f>
        <v/>
      </c>
      <c r="U98" s="5" t="s">
        <v>355</v>
      </c>
      <c r="V98" s="5" t="s">
        <v>355</v>
      </c>
      <c r="W98" s="5" t="s">
        <v>355</v>
      </c>
      <c r="X98" s="5" t="str">
        <f>IFERROR(__xludf.DUMMYFUNCTION("""COMPUTED_VALUE"""),"")</f>
        <v/>
      </c>
      <c r="Y98" s="5" t="s">
        <v>355</v>
      </c>
      <c r="Z98" s="5" t="s">
        <v>355</v>
      </c>
      <c r="AB98" s="5" t="s">
        <v>355</v>
      </c>
      <c r="AE98" s="5" t="s">
        <v>355</v>
      </c>
      <c r="AH98" s="5" t="s">
        <v>355</v>
      </c>
    </row>
    <row r="99">
      <c r="S99" s="5" t="s">
        <v>355</v>
      </c>
      <c r="T99" s="5" t="str">
        <f>IFERROR(__xludf.DUMMYFUNCTION("""COMPUTED_VALUE"""),"")</f>
        <v/>
      </c>
      <c r="U99" s="5" t="s">
        <v>355</v>
      </c>
      <c r="V99" s="5" t="s">
        <v>355</v>
      </c>
      <c r="W99" s="5" t="s">
        <v>355</v>
      </c>
      <c r="X99" s="5" t="str">
        <f>IFERROR(__xludf.DUMMYFUNCTION("""COMPUTED_VALUE"""),"")</f>
        <v/>
      </c>
      <c r="Y99" s="5" t="s">
        <v>355</v>
      </c>
      <c r="Z99" s="5" t="s">
        <v>355</v>
      </c>
      <c r="AB99" s="5" t="s">
        <v>355</v>
      </c>
      <c r="AE99" s="5" t="s">
        <v>355</v>
      </c>
      <c r="AH99" s="5" t="s">
        <v>355</v>
      </c>
    </row>
    <row r="100">
      <c r="S100" s="5" t="s">
        <v>355</v>
      </c>
      <c r="T100" s="5" t="str">
        <f>IFERROR(__xludf.DUMMYFUNCTION("""COMPUTED_VALUE"""),"")</f>
        <v/>
      </c>
      <c r="U100" s="5" t="s">
        <v>355</v>
      </c>
      <c r="V100" s="5" t="s">
        <v>355</v>
      </c>
      <c r="W100" s="5" t="s">
        <v>355</v>
      </c>
      <c r="X100" s="5" t="str">
        <f>IFERROR(__xludf.DUMMYFUNCTION("""COMPUTED_VALUE"""),"")</f>
        <v/>
      </c>
      <c r="Y100" s="5" t="s">
        <v>355</v>
      </c>
      <c r="Z100" s="5" t="s">
        <v>355</v>
      </c>
      <c r="AB100" s="5" t="s">
        <v>355</v>
      </c>
      <c r="AE100" s="5" t="s">
        <v>355</v>
      </c>
      <c r="AH100" s="5" t="s">
        <v>355</v>
      </c>
    </row>
    <row r="101">
      <c r="S101" s="5" t="s">
        <v>355</v>
      </c>
      <c r="T101" s="5" t="str">
        <f>IFERROR(__xludf.DUMMYFUNCTION("""COMPUTED_VALUE"""),"")</f>
        <v/>
      </c>
      <c r="U101" s="5" t="s">
        <v>355</v>
      </c>
      <c r="V101" s="5" t="s">
        <v>355</v>
      </c>
      <c r="W101" s="5" t="s">
        <v>355</v>
      </c>
      <c r="X101" s="5" t="str">
        <f>IFERROR(__xludf.DUMMYFUNCTION("""COMPUTED_VALUE"""),"")</f>
        <v/>
      </c>
      <c r="Y101" s="5" t="s">
        <v>355</v>
      </c>
      <c r="Z101" s="5" t="s">
        <v>355</v>
      </c>
      <c r="AB101" s="5" t="s">
        <v>355</v>
      </c>
      <c r="AE101" s="5" t="s">
        <v>355</v>
      </c>
      <c r="AH101" s="5" t="s">
        <v>355</v>
      </c>
    </row>
    <row r="102">
      <c r="S102" s="5" t="s">
        <v>355</v>
      </c>
      <c r="T102" s="5" t="str">
        <f>IFERROR(__xludf.DUMMYFUNCTION("""COMPUTED_VALUE"""),"")</f>
        <v/>
      </c>
      <c r="U102" s="5" t="s">
        <v>355</v>
      </c>
      <c r="V102" s="5" t="s">
        <v>355</v>
      </c>
      <c r="W102" s="5" t="s">
        <v>355</v>
      </c>
      <c r="X102" s="5" t="str">
        <f>IFERROR(__xludf.DUMMYFUNCTION("""COMPUTED_VALUE"""),"")</f>
        <v/>
      </c>
      <c r="Y102" s="5" t="s">
        <v>355</v>
      </c>
      <c r="Z102" s="5" t="s">
        <v>355</v>
      </c>
      <c r="AB102" s="5" t="s">
        <v>355</v>
      </c>
      <c r="AE102" s="5" t="s">
        <v>355</v>
      </c>
      <c r="AH102" s="5" t="s">
        <v>355</v>
      </c>
    </row>
    <row r="103">
      <c r="S103" s="5" t="s">
        <v>355</v>
      </c>
      <c r="T103" s="5" t="str">
        <f>IFERROR(__xludf.DUMMYFUNCTION("""COMPUTED_VALUE"""),"")</f>
        <v/>
      </c>
      <c r="U103" s="5" t="s">
        <v>355</v>
      </c>
      <c r="V103" s="5" t="s">
        <v>355</v>
      </c>
      <c r="W103" s="5" t="s">
        <v>355</v>
      </c>
      <c r="X103" s="5" t="str">
        <f>IFERROR(__xludf.DUMMYFUNCTION("""COMPUTED_VALUE"""),"")</f>
        <v/>
      </c>
      <c r="Y103" s="5" t="s">
        <v>355</v>
      </c>
      <c r="Z103" s="5" t="s">
        <v>355</v>
      </c>
      <c r="AB103" s="5" t="s">
        <v>355</v>
      </c>
      <c r="AE103" s="5" t="s">
        <v>355</v>
      </c>
      <c r="AH103" s="5" t="s">
        <v>355</v>
      </c>
    </row>
    <row r="104">
      <c r="S104" s="5" t="s">
        <v>355</v>
      </c>
      <c r="T104" s="5" t="str">
        <f>IFERROR(__xludf.DUMMYFUNCTION("""COMPUTED_VALUE"""),"")</f>
        <v/>
      </c>
      <c r="U104" s="5" t="s">
        <v>355</v>
      </c>
      <c r="V104" s="5" t="s">
        <v>355</v>
      </c>
      <c r="W104" s="5" t="s">
        <v>355</v>
      </c>
      <c r="X104" s="5" t="str">
        <f>IFERROR(__xludf.DUMMYFUNCTION("""COMPUTED_VALUE"""),"")</f>
        <v/>
      </c>
      <c r="Y104" s="5" t="s">
        <v>355</v>
      </c>
      <c r="Z104" s="5" t="s">
        <v>355</v>
      </c>
      <c r="AB104" s="5" t="s">
        <v>355</v>
      </c>
      <c r="AE104" s="5" t="s">
        <v>355</v>
      </c>
      <c r="AH104" s="5" t="s">
        <v>355</v>
      </c>
    </row>
    <row r="105">
      <c r="S105" s="5" t="s">
        <v>355</v>
      </c>
      <c r="T105" s="5" t="str">
        <f>IFERROR(__xludf.DUMMYFUNCTION("""COMPUTED_VALUE"""),"")</f>
        <v/>
      </c>
      <c r="U105" s="5" t="s">
        <v>355</v>
      </c>
      <c r="V105" s="5" t="s">
        <v>355</v>
      </c>
      <c r="W105" s="5" t="s">
        <v>355</v>
      </c>
      <c r="X105" s="5" t="str">
        <f>IFERROR(__xludf.DUMMYFUNCTION("""COMPUTED_VALUE"""),"")</f>
        <v/>
      </c>
      <c r="Y105" s="5" t="s">
        <v>355</v>
      </c>
      <c r="Z105" s="5" t="s">
        <v>355</v>
      </c>
      <c r="AB105" s="5" t="s">
        <v>355</v>
      </c>
      <c r="AE105" s="5" t="s">
        <v>355</v>
      </c>
      <c r="AH105" s="5" t="s">
        <v>355</v>
      </c>
    </row>
    <row r="106">
      <c r="S106" s="5" t="s">
        <v>355</v>
      </c>
      <c r="T106" s="5" t="str">
        <f>IFERROR(__xludf.DUMMYFUNCTION("""COMPUTED_VALUE"""),"")</f>
        <v/>
      </c>
      <c r="U106" s="5" t="s">
        <v>355</v>
      </c>
      <c r="V106" s="5" t="s">
        <v>355</v>
      </c>
      <c r="W106" s="5" t="s">
        <v>355</v>
      </c>
      <c r="X106" s="5" t="str">
        <f>IFERROR(__xludf.DUMMYFUNCTION("""COMPUTED_VALUE"""),"")</f>
        <v/>
      </c>
      <c r="Y106" s="5" t="s">
        <v>355</v>
      </c>
      <c r="Z106" s="5" t="s">
        <v>355</v>
      </c>
      <c r="AB106" s="5" t="s">
        <v>355</v>
      </c>
      <c r="AE106" s="5" t="s">
        <v>355</v>
      </c>
      <c r="AH106" s="5" t="s">
        <v>355</v>
      </c>
    </row>
    <row r="107">
      <c r="S107" s="5" t="s">
        <v>355</v>
      </c>
      <c r="T107" s="5" t="str">
        <f>IFERROR(__xludf.DUMMYFUNCTION("""COMPUTED_VALUE"""),"")</f>
        <v/>
      </c>
      <c r="U107" s="5" t="s">
        <v>355</v>
      </c>
      <c r="V107" s="5" t="s">
        <v>355</v>
      </c>
      <c r="W107" s="5" t="s">
        <v>355</v>
      </c>
      <c r="X107" s="5" t="str">
        <f>IFERROR(__xludf.DUMMYFUNCTION("""COMPUTED_VALUE"""),"")</f>
        <v/>
      </c>
      <c r="Y107" s="5" t="s">
        <v>355</v>
      </c>
      <c r="Z107" s="5" t="s">
        <v>355</v>
      </c>
      <c r="AB107" s="5" t="s">
        <v>355</v>
      </c>
      <c r="AE107" s="5" t="s">
        <v>355</v>
      </c>
      <c r="AH107" s="5" t="s">
        <v>355</v>
      </c>
    </row>
    <row r="108">
      <c r="S108" s="5" t="s">
        <v>355</v>
      </c>
      <c r="T108" s="5" t="str">
        <f>IFERROR(__xludf.DUMMYFUNCTION("""COMPUTED_VALUE"""),"")</f>
        <v/>
      </c>
      <c r="U108" s="5" t="s">
        <v>355</v>
      </c>
      <c r="V108" s="5" t="s">
        <v>355</v>
      </c>
      <c r="W108" s="5" t="s">
        <v>355</v>
      </c>
      <c r="X108" s="5" t="str">
        <f>IFERROR(__xludf.DUMMYFUNCTION("""COMPUTED_VALUE"""),"")</f>
        <v/>
      </c>
      <c r="Y108" s="5" t="s">
        <v>355</v>
      </c>
      <c r="Z108" s="5" t="s">
        <v>355</v>
      </c>
      <c r="AB108" s="5" t="s">
        <v>355</v>
      </c>
      <c r="AE108" s="5" t="s">
        <v>355</v>
      </c>
      <c r="AH108" s="5" t="s">
        <v>355</v>
      </c>
    </row>
    <row r="109">
      <c r="S109" s="5" t="s">
        <v>355</v>
      </c>
      <c r="T109" s="5" t="str">
        <f>IFERROR(__xludf.DUMMYFUNCTION("""COMPUTED_VALUE"""),"")</f>
        <v/>
      </c>
      <c r="U109" s="5" t="s">
        <v>355</v>
      </c>
      <c r="V109" s="5" t="s">
        <v>355</v>
      </c>
      <c r="W109" s="5" t="s">
        <v>355</v>
      </c>
      <c r="X109" s="5" t="str">
        <f>IFERROR(__xludf.DUMMYFUNCTION("""COMPUTED_VALUE"""),"")</f>
        <v/>
      </c>
      <c r="Y109" s="5" t="s">
        <v>355</v>
      </c>
      <c r="Z109" s="5" t="s">
        <v>355</v>
      </c>
      <c r="AB109" s="5" t="s">
        <v>355</v>
      </c>
      <c r="AE109" s="5" t="s">
        <v>355</v>
      </c>
      <c r="AH109" s="5" t="s">
        <v>355</v>
      </c>
    </row>
    <row r="110">
      <c r="S110" s="5" t="s">
        <v>355</v>
      </c>
      <c r="T110" s="5" t="str">
        <f>IFERROR(__xludf.DUMMYFUNCTION("""COMPUTED_VALUE"""),"")</f>
        <v/>
      </c>
      <c r="U110" s="5" t="s">
        <v>355</v>
      </c>
      <c r="V110" s="5" t="s">
        <v>355</v>
      </c>
      <c r="W110" s="5" t="s">
        <v>355</v>
      </c>
      <c r="X110" s="5" t="str">
        <f>IFERROR(__xludf.DUMMYFUNCTION("""COMPUTED_VALUE"""),"")</f>
        <v/>
      </c>
      <c r="Y110" s="5" t="s">
        <v>355</v>
      </c>
      <c r="Z110" s="5" t="s">
        <v>355</v>
      </c>
      <c r="AB110" s="5" t="s">
        <v>355</v>
      </c>
      <c r="AE110" s="5" t="s">
        <v>355</v>
      </c>
      <c r="AH110" s="5" t="s">
        <v>355</v>
      </c>
    </row>
    <row r="111">
      <c r="S111" s="5" t="s">
        <v>355</v>
      </c>
      <c r="T111" s="5" t="str">
        <f>IFERROR(__xludf.DUMMYFUNCTION("""COMPUTED_VALUE"""),"")</f>
        <v/>
      </c>
      <c r="U111" s="5" t="s">
        <v>355</v>
      </c>
      <c r="V111" s="5" t="s">
        <v>355</v>
      </c>
      <c r="W111" s="5" t="s">
        <v>355</v>
      </c>
      <c r="X111" s="5" t="str">
        <f>IFERROR(__xludf.DUMMYFUNCTION("""COMPUTED_VALUE"""),"")</f>
        <v/>
      </c>
      <c r="Y111" s="5" t="s">
        <v>355</v>
      </c>
      <c r="Z111" s="5" t="s">
        <v>355</v>
      </c>
      <c r="AB111" s="5" t="s">
        <v>355</v>
      </c>
      <c r="AE111" s="5" t="s">
        <v>355</v>
      </c>
      <c r="AH111" s="5" t="s">
        <v>355</v>
      </c>
    </row>
    <row r="112">
      <c r="S112" s="5" t="s">
        <v>355</v>
      </c>
      <c r="T112" s="5" t="str">
        <f>IFERROR(__xludf.DUMMYFUNCTION("""COMPUTED_VALUE"""),"")</f>
        <v/>
      </c>
      <c r="U112" s="5" t="s">
        <v>355</v>
      </c>
      <c r="V112" s="5" t="s">
        <v>355</v>
      </c>
      <c r="W112" s="5" t="s">
        <v>355</v>
      </c>
      <c r="X112" s="5" t="str">
        <f>IFERROR(__xludf.DUMMYFUNCTION("""COMPUTED_VALUE"""),"")</f>
        <v/>
      </c>
      <c r="Y112" s="5" t="s">
        <v>355</v>
      </c>
      <c r="Z112" s="5" t="s">
        <v>355</v>
      </c>
      <c r="AB112" s="5" t="s">
        <v>355</v>
      </c>
      <c r="AE112" s="5" t="s">
        <v>355</v>
      </c>
      <c r="AH112" s="5" t="s">
        <v>355</v>
      </c>
    </row>
    <row r="113">
      <c r="S113" s="5" t="s">
        <v>355</v>
      </c>
      <c r="T113" s="5" t="str">
        <f>IFERROR(__xludf.DUMMYFUNCTION("""COMPUTED_VALUE"""),"")</f>
        <v/>
      </c>
      <c r="U113" s="5" t="s">
        <v>355</v>
      </c>
      <c r="V113" s="5" t="s">
        <v>355</v>
      </c>
      <c r="W113" s="5" t="s">
        <v>355</v>
      </c>
      <c r="X113" s="5" t="str">
        <f>IFERROR(__xludf.DUMMYFUNCTION("""COMPUTED_VALUE"""),"")</f>
        <v/>
      </c>
      <c r="Y113" s="5" t="s">
        <v>355</v>
      </c>
      <c r="Z113" s="5" t="s">
        <v>355</v>
      </c>
      <c r="AB113" s="5" t="s">
        <v>355</v>
      </c>
      <c r="AE113" s="5" t="s">
        <v>355</v>
      </c>
      <c r="AH113" s="5" t="s">
        <v>355</v>
      </c>
    </row>
    <row r="114">
      <c r="S114" s="5" t="s">
        <v>355</v>
      </c>
      <c r="T114" s="5" t="str">
        <f>IFERROR(__xludf.DUMMYFUNCTION("""COMPUTED_VALUE"""),"")</f>
        <v/>
      </c>
      <c r="U114" s="5" t="s">
        <v>355</v>
      </c>
      <c r="V114" s="5" t="s">
        <v>355</v>
      </c>
      <c r="W114" s="5" t="s">
        <v>355</v>
      </c>
      <c r="X114" s="5" t="str">
        <f>IFERROR(__xludf.DUMMYFUNCTION("""COMPUTED_VALUE"""),"")</f>
        <v/>
      </c>
      <c r="Y114" s="5" t="s">
        <v>355</v>
      </c>
      <c r="Z114" s="5" t="s">
        <v>355</v>
      </c>
      <c r="AB114" s="5" t="s">
        <v>355</v>
      </c>
      <c r="AE114" s="5" t="s">
        <v>355</v>
      </c>
      <c r="AH114" s="5" t="s">
        <v>355</v>
      </c>
    </row>
    <row r="115">
      <c r="S115" s="5" t="s">
        <v>355</v>
      </c>
      <c r="T115" s="5" t="str">
        <f>IFERROR(__xludf.DUMMYFUNCTION("""COMPUTED_VALUE"""),"")</f>
        <v/>
      </c>
      <c r="U115" s="5" t="s">
        <v>355</v>
      </c>
      <c r="V115" s="5" t="s">
        <v>355</v>
      </c>
      <c r="W115" s="5" t="s">
        <v>355</v>
      </c>
      <c r="X115" s="5" t="str">
        <f>IFERROR(__xludf.DUMMYFUNCTION("""COMPUTED_VALUE"""),"")</f>
        <v/>
      </c>
      <c r="Y115" s="5" t="s">
        <v>355</v>
      </c>
      <c r="Z115" s="5" t="s">
        <v>355</v>
      </c>
      <c r="AB115" s="5" t="s">
        <v>355</v>
      </c>
      <c r="AE115" s="5" t="s">
        <v>355</v>
      </c>
      <c r="AH115" s="5" t="s">
        <v>355</v>
      </c>
    </row>
    <row r="116">
      <c r="S116" s="5" t="s">
        <v>355</v>
      </c>
      <c r="T116" s="5" t="str">
        <f>IFERROR(__xludf.DUMMYFUNCTION("""COMPUTED_VALUE"""),"")</f>
        <v/>
      </c>
      <c r="U116" s="5" t="s">
        <v>355</v>
      </c>
      <c r="V116" s="5" t="s">
        <v>355</v>
      </c>
      <c r="W116" s="5" t="s">
        <v>355</v>
      </c>
      <c r="X116" s="5" t="str">
        <f>IFERROR(__xludf.DUMMYFUNCTION("""COMPUTED_VALUE"""),"")</f>
        <v/>
      </c>
      <c r="Y116" s="5" t="s">
        <v>355</v>
      </c>
      <c r="Z116" s="5" t="s">
        <v>355</v>
      </c>
      <c r="AB116" s="5" t="s">
        <v>355</v>
      </c>
      <c r="AE116" s="5" t="s">
        <v>355</v>
      </c>
      <c r="AH116" s="5" t="s">
        <v>355</v>
      </c>
    </row>
    <row r="117">
      <c r="S117" s="5" t="s">
        <v>355</v>
      </c>
      <c r="T117" s="5" t="str">
        <f>IFERROR(__xludf.DUMMYFUNCTION("""COMPUTED_VALUE"""),"")</f>
        <v/>
      </c>
      <c r="U117" s="5" t="s">
        <v>355</v>
      </c>
      <c r="V117" s="5" t="s">
        <v>355</v>
      </c>
      <c r="W117" s="5" t="s">
        <v>355</v>
      </c>
      <c r="X117" s="5" t="str">
        <f>IFERROR(__xludf.DUMMYFUNCTION("""COMPUTED_VALUE"""),"")</f>
        <v/>
      </c>
      <c r="Y117" s="5" t="s">
        <v>355</v>
      </c>
      <c r="Z117" s="5" t="s">
        <v>355</v>
      </c>
      <c r="AB117" s="5" t="s">
        <v>355</v>
      </c>
      <c r="AE117" s="5" t="s">
        <v>355</v>
      </c>
      <c r="AH117" s="5" t="s">
        <v>355</v>
      </c>
    </row>
    <row r="118">
      <c r="S118" s="5" t="s">
        <v>355</v>
      </c>
      <c r="T118" s="5" t="str">
        <f>IFERROR(__xludf.DUMMYFUNCTION("""COMPUTED_VALUE"""),"")</f>
        <v/>
      </c>
      <c r="U118" s="5" t="s">
        <v>355</v>
      </c>
      <c r="V118" s="5" t="s">
        <v>355</v>
      </c>
      <c r="W118" s="5" t="s">
        <v>355</v>
      </c>
      <c r="X118" s="5" t="str">
        <f>IFERROR(__xludf.DUMMYFUNCTION("""COMPUTED_VALUE"""),"")</f>
        <v/>
      </c>
      <c r="Y118" s="5" t="s">
        <v>355</v>
      </c>
      <c r="Z118" s="5" t="s">
        <v>355</v>
      </c>
      <c r="AB118" s="5" t="s">
        <v>355</v>
      </c>
      <c r="AE118" s="5" t="s">
        <v>355</v>
      </c>
      <c r="AH118" s="5" t="s">
        <v>355</v>
      </c>
    </row>
    <row r="119">
      <c r="S119" s="5" t="s">
        <v>355</v>
      </c>
      <c r="T119" s="5" t="str">
        <f>IFERROR(__xludf.DUMMYFUNCTION("""COMPUTED_VALUE"""),"")</f>
        <v/>
      </c>
      <c r="U119" s="5" t="s">
        <v>355</v>
      </c>
      <c r="V119" s="5" t="s">
        <v>355</v>
      </c>
      <c r="W119" s="5" t="s">
        <v>355</v>
      </c>
      <c r="X119" s="5" t="str">
        <f>IFERROR(__xludf.DUMMYFUNCTION("""COMPUTED_VALUE"""),"")</f>
        <v/>
      </c>
      <c r="Y119" s="5" t="s">
        <v>355</v>
      </c>
      <c r="Z119" s="5" t="s">
        <v>355</v>
      </c>
      <c r="AB119" s="5" t="s">
        <v>355</v>
      </c>
      <c r="AE119" s="5" t="s">
        <v>355</v>
      </c>
      <c r="AH119" s="5" t="s">
        <v>355</v>
      </c>
    </row>
    <row r="120">
      <c r="S120" s="5" t="s">
        <v>355</v>
      </c>
      <c r="T120" s="5" t="str">
        <f>IFERROR(__xludf.DUMMYFUNCTION("""COMPUTED_VALUE"""),"")</f>
        <v/>
      </c>
      <c r="U120" s="5" t="s">
        <v>355</v>
      </c>
      <c r="V120" s="5" t="s">
        <v>355</v>
      </c>
      <c r="W120" s="5" t="s">
        <v>355</v>
      </c>
      <c r="X120" s="5" t="str">
        <f>IFERROR(__xludf.DUMMYFUNCTION("""COMPUTED_VALUE"""),"")</f>
        <v/>
      </c>
      <c r="Y120" s="5" t="s">
        <v>355</v>
      </c>
      <c r="Z120" s="5" t="s">
        <v>355</v>
      </c>
      <c r="AB120" s="5" t="s">
        <v>355</v>
      </c>
      <c r="AE120" s="5" t="s">
        <v>355</v>
      </c>
      <c r="AH120" s="5" t="s">
        <v>355</v>
      </c>
    </row>
    <row r="121">
      <c r="S121" s="5" t="s">
        <v>355</v>
      </c>
      <c r="T121" s="5" t="str">
        <f>IFERROR(__xludf.DUMMYFUNCTION("""COMPUTED_VALUE"""),"")</f>
        <v/>
      </c>
      <c r="U121" s="5" t="s">
        <v>355</v>
      </c>
      <c r="V121" s="5" t="s">
        <v>355</v>
      </c>
      <c r="W121" s="5" t="s">
        <v>355</v>
      </c>
      <c r="X121" s="5" t="str">
        <f>IFERROR(__xludf.DUMMYFUNCTION("""COMPUTED_VALUE"""),"")</f>
        <v/>
      </c>
      <c r="Y121" s="5" t="s">
        <v>355</v>
      </c>
      <c r="Z121" s="5" t="s">
        <v>355</v>
      </c>
      <c r="AB121" s="5" t="s">
        <v>355</v>
      </c>
      <c r="AE121" s="5" t="s">
        <v>355</v>
      </c>
      <c r="AH121" s="5" t="s">
        <v>355</v>
      </c>
    </row>
    <row r="122">
      <c r="S122" s="5" t="s">
        <v>355</v>
      </c>
      <c r="T122" s="5" t="str">
        <f>IFERROR(__xludf.DUMMYFUNCTION("""COMPUTED_VALUE"""),"")</f>
        <v/>
      </c>
      <c r="U122" s="5" t="s">
        <v>355</v>
      </c>
      <c r="V122" s="5" t="s">
        <v>355</v>
      </c>
      <c r="W122" s="5" t="s">
        <v>355</v>
      </c>
      <c r="X122" s="5" t="str">
        <f>IFERROR(__xludf.DUMMYFUNCTION("""COMPUTED_VALUE"""),"")</f>
        <v/>
      </c>
      <c r="Y122" s="5" t="s">
        <v>355</v>
      </c>
      <c r="Z122" s="5" t="s">
        <v>355</v>
      </c>
      <c r="AB122" s="5" t="s">
        <v>355</v>
      </c>
      <c r="AE122" s="5" t="s">
        <v>355</v>
      </c>
      <c r="AH122" s="5" t="s">
        <v>355</v>
      </c>
    </row>
    <row r="123">
      <c r="S123" s="5" t="s">
        <v>355</v>
      </c>
      <c r="T123" s="5" t="str">
        <f>IFERROR(__xludf.DUMMYFUNCTION("""COMPUTED_VALUE"""),"")</f>
        <v/>
      </c>
      <c r="U123" s="5" t="s">
        <v>355</v>
      </c>
      <c r="V123" s="5" t="s">
        <v>355</v>
      </c>
      <c r="W123" s="5" t="s">
        <v>355</v>
      </c>
      <c r="X123" s="5" t="str">
        <f>IFERROR(__xludf.DUMMYFUNCTION("""COMPUTED_VALUE"""),"")</f>
        <v/>
      </c>
      <c r="Y123" s="5" t="s">
        <v>355</v>
      </c>
      <c r="Z123" s="5" t="s">
        <v>355</v>
      </c>
      <c r="AB123" s="5" t="s">
        <v>355</v>
      </c>
      <c r="AE123" s="5" t="s">
        <v>355</v>
      </c>
      <c r="AH123" s="5" t="s">
        <v>355</v>
      </c>
    </row>
    <row r="124">
      <c r="S124" s="5" t="s">
        <v>355</v>
      </c>
      <c r="T124" s="5" t="str">
        <f>IFERROR(__xludf.DUMMYFUNCTION("""COMPUTED_VALUE"""),"")</f>
        <v/>
      </c>
      <c r="U124" s="5" t="s">
        <v>355</v>
      </c>
      <c r="V124" s="5" t="s">
        <v>355</v>
      </c>
      <c r="W124" s="5" t="s">
        <v>355</v>
      </c>
      <c r="X124" s="5" t="str">
        <f>IFERROR(__xludf.DUMMYFUNCTION("""COMPUTED_VALUE"""),"")</f>
        <v/>
      </c>
      <c r="Y124" s="5" t="s">
        <v>355</v>
      </c>
      <c r="Z124" s="5" t="s">
        <v>355</v>
      </c>
      <c r="AB124" s="5" t="s">
        <v>355</v>
      </c>
      <c r="AE124" s="5" t="s">
        <v>355</v>
      </c>
      <c r="AH124" s="5" t="s">
        <v>355</v>
      </c>
    </row>
    <row r="125">
      <c r="S125" s="5" t="s">
        <v>355</v>
      </c>
      <c r="T125" s="5" t="str">
        <f>IFERROR(__xludf.DUMMYFUNCTION("""COMPUTED_VALUE"""),"")</f>
        <v/>
      </c>
      <c r="U125" s="5" t="s">
        <v>355</v>
      </c>
      <c r="V125" s="5" t="s">
        <v>355</v>
      </c>
      <c r="W125" s="5" t="s">
        <v>355</v>
      </c>
      <c r="X125" s="5" t="str">
        <f>IFERROR(__xludf.DUMMYFUNCTION("""COMPUTED_VALUE"""),"")</f>
        <v/>
      </c>
      <c r="Y125" s="5" t="s">
        <v>355</v>
      </c>
      <c r="Z125" s="5" t="s">
        <v>355</v>
      </c>
      <c r="AB125" s="5" t="s">
        <v>355</v>
      </c>
      <c r="AE125" s="5" t="s">
        <v>355</v>
      </c>
      <c r="AH125" s="5" t="s">
        <v>355</v>
      </c>
    </row>
    <row r="126">
      <c r="S126" s="5" t="s">
        <v>355</v>
      </c>
      <c r="T126" s="5" t="str">
        <f>IFERROR(__xludf.DUMMYFUNCTION("""COMPUTED_VALUE"""),"")</f>
        <v/>
      </c>
      <c r="U126" s="5" t="s">
        <v>355</v>
      </c>
      <c r="V126" s="5" t="s">
        <v>355</v>
      </c>
      <c r="W126" s="5" t="s">
        <v>355</v>
      </c>
      <c r="X126" s="5" t="str">
        <f>IFERROR(__xludf.DUMMYFUNCTION("""COMPUTED_VALUE"""),"")</f>
        <v/>
      </c>
      <c r="Y126" s="5" t="s">
        <v>355</v>
      </c>
      <c r="Z126" s="5" t="s">
        <v>355</v>
      </c>
      <c r="AB126" s="5" t="s">
        <v>355</v>
      </c>
      <c r="AE126" s="5" t="s">
        <v>355</v>
      </c>
      <c r="AH126" s="5" t="s">
        <v>355</v>
      </c>
    </row>
    <row r="127">
      <c r="S127" s="5" t="s">
        <v>355</v>
      </c>
      <c r="T127" s="5" t="str">
        <f>IFERROR(__xludf.DUMMYFUNCTION("""COMPUTED_VALUE"""),"")</f>
        <v/>
      </c>
      <c r="U127" s="5" t="s">
        <v>355</v>
      </c>
      <c r="V127" s="5" t="s">
        <v>355</v>
      </c>
      <c r="W127" s="5" t="s">
        <v>355</v>
      </c>
      <c r="X127" s="5" t="str">
        <f>IFERROR(__xludf.DUMMYFUNCTION("""COMPUTED_VALUE"""),"")</f>
        <v/>
      </c>
      <c r="Y127" s="5" t="s">
        <v>355</v>
      </c>
      <c r="Z127" s="5" t="s">
        <v>355</v>
      </c>
      <c r="AB127" s="5" t="s">
        <v>355</v>
      </c>
      <c r="AE127" s="5" t="s">
        <v>355</v>
      </c>
      <c r="AH127" s="5" t="s">
        <v>355</v>
      </c>
    </row>
    <row r="128">
      <c r="S128" s="5" t="s">
        <v>355</v>
      </c>
      <c r="T128" s="5" t="str">
        <f>IFERROR(__xludf.DUMMYFUNCTION("""COMPUTED_VALUE"""),"")</f>
        <v/>
      </c>
      <c r="U128" s="5" t="s">
        <v>355</v>
      </c>
      <c r="V128" s="5" t="s">
        <v>355</v>
      </c>
      <c r="W128" s="5" t="s">
        <v>355</v>
      </c>
      <c r="X128" s="5" t="str">
        <f>IFERROR(__xludf.DUMMYFUNCTION("""COMPUTED_VALUE"""),"")</f>
        <v/>
      </c>
      <c r="Y128" s="5" t="s">
        <v>355</v>
      </c>
      <c r="Z128" s="5" t="s">
        <v>355</v>
      </c>
      <c r="AB128" s="5" t="s">
        <v>355</v>
      </c>
      <c r="AE128" s="5" t="s">
        <v>355</v>
      </c>
      <c r="AH128" s="5" t="s">
        <v>355</v>
      </c>
    </row>
    <row r="129">
      <c r="S129" s="5" t="s">
        <v>355</v>
      </c>
      <c r="T129" s="5" t="str">
        <f>IFERROR(__xludf.DUMMYFUNCTION("""COMPUTED_VALUE"""),"")</f>
        <v/>
      </c>
      <c r="U129" s="5" t="s">
        <v>355</v>
      </c>
      <c r="V129" s="5" t="s">
        <v>355</v>
      </c>
      <c r="W129" s="5" t="s">
        <v>355</v>
      </c>
      <c r="X129" s="5" t="str">
        <f>IFERROR(__xludf.DUMMYFUNCTION("""COMPUTED_VALUE"""),"")</f>
        <v/>
      </c>
      <c r="Y129" s="5" t="s">
        <v>355</v>
      </c>
      <c r="Z129" s="5" t="s">
        <v>355</v>
      </c>
      <c r="AB129" s="5" t="s">
        <v>355</v>
      </c>
      <c r="AE129" s="5" t="s">
        <v>355</v>
      </c>
      <c r="AH129" s="5" t="s">
        <v>355</v>
      </c>
    </row>
    <row r="130">
      <c r="S130" s="5" t="s">
        <v>355</v>
      </c>
      <c r="T130" s="5" t="str">
        <f>IFERROR(__xludf.DUMMYFUNCTION("""COMPUTED_VALUE"""),"")</f>
        <v/>
      </c>
      <c r="U130" s="5" t="s">
        <v>355</v>
      </c>
      <c r="V130" s="5" t="s">
        <v>355</v>
      </c>
      <c r="W130" s="5" t="s">
        <v>355</v>
      </c>
      <c r="X130" s="5" t="str">
        <f>IFERROR(__xludf.DUMMYFUNCTION("""COMPUTED_VALUE"""),"")</f>
        <v/>
      </c>
      <c r="Y130" s="5" t="s">
        <v>355</v>
      </c>
      <c r="Z130" s="5" t="s">
        <v>355</v>
      </c>
      <c r="AB130" s="5" t="s">
        <v>355</v>
      </c>
      <c r="AE130" s="5" t="s">
        <v>355</v>
      </c>
      <c r="AH130" s="5" t="s">
        <v>355</v>
      </c>
    </row>
    <row r="131">
      <c r="S131" s="5" t="s">
        <v>355</v>
      </c>
      <c r="T131" s="5" t="str">
        <f>IFERROR(__xludf.DUMMYFUNCTION("""COMPUTED_VALUE"""),"")</f>
        <v/>
      </c>
      <c r="U131" s="5" t="s">
        <v>355</v>
      </c>
      <c r="V131" s="5" t="s">
        <v>355</v>
      </c>
      <c r="W131" s="5" t="s">
        <v>355</v>
      </c>
      <c r="X131" s="5" t="str">
        <f>IFERROR(__xludf.DUMMYFUNCTION("""COMPUTED_VALUE"""),"")</f>
        <v/>
      </c>
      <c r="Y131" s="5" t="s">
        <v>355</v>
      </c>
      <c r="Z131" s="5" t="s">
        <v>355</v>
      </c>
      <c r="AB131" s="5" t="s">
        <v>355</v>
      </c>
      <c r="AE131" s="5" t="s">
        <v>355</v>
      </c>
      <c r="AH131" s="5" t="s">
        <v>355</v>
      </c>
    </row>
    <row r="132">
      <c r="S132" s="5" t="s">
        <v>355</v>
      </c>
      <c r="T132" s="5" t="str">
        <f>IFERROR(__xludf.DUMMYFUNCTION("""COMPUTED_VALUE"""),"")</f>
        <v/>
      </c>
      <c r="U132" s="5" t="s">
        <v>355</v>
      </c>
      <c r="V132" s="5" t="s">
        <v>355</v>
      </c>
      <c r="W132" s="5" t="s">
        <v>355</v>
      </c>
      <c r="X132" s="5" t="str">
        <f>IFERROR(__xludf.DUMMYFUNCTION("""COMPUTED_VALUE"""),"")</f>
        <v/>
      </c>
      <c r="Y132" s="5" t="s">
        <v>355</v>
      </c>
      <c r="Z132" s="5" t="s">
        <v>355</v>
      </c>
      <c r="AB132" s="5" t="s">
        <v>355</v>
      </c>
      <c r="AE132" s="5" t="s">
        <v>355</v>
      </c>
      <c r="AH132" s="5" t="s">
        <v>355</v>
      </c>
    </row>
    <row r="133">
      <c r="S133" s="5" t="s">
        <v>355</v>
      </c>
      <c r="T133" s="5" t="str">
        <f>IFERROR(__xludf.DUMMYFUNCTION("""COMPUTED_VALUE"""),"")</f>
        <v/>
      </c>
      <c r="U133" s="5" t="s">
        <v>355</v>
      </c>
      <c r="V133" s="5" t="s">
        <v>355</v>
      </c>
      <c r="W133" s="5" t="s">
        <v>355</v>
      </c>
      <c r="X133" s="5" t="str">
        <f>IFERROR(__xludf.DUMMYFUNCTION("""COMPUTED_VALUE"""),"")</f>
        <v/>
      </c>
      <c r="Y133" s="5" t="s">
        <v>355</v>
      </c>
      <c r="Z133" s="5" t="s">
        <v>355</v>
      </c>
      <c r="AB133" s="5" t="s">
        <v>355</v>
      </c>
      <c r="AE133" s="5" t="s">
        <v>355</v>
      </c>
      <c r="AH133" s="5" t="s">
        <v>355</v>
      </c>
    </row>
    <row r="134">
      <c r="S134" s="5" t="s">
        <v>355</v>
      </c>
      <c r="T134" s="5" t="str">
        <f>IFERROR(__xludf.DUMMYFUNCTION("""COMPUTED_VALUE"""),"")</f>
        <v/>
      </c>
      <c r="U134" s="5" t="s">
        <v>355</v>
      </c>
      <c r="V134" s="5" t="s">
        <v>355</v>
      </c>
      <c r="W134" s="5" t="s">
        <v>355</v>
      </c>
      <c r="X134" s="5" t="str">
        <f>IFERROR(__xludf.DUMMYFUNCTION("""COMPUTED_VALUE"""),"")</f>
        <v/>
      </c>
      <c r="Y134" s="5" t="s">
        <v>355</v>
      </c>
      <c r="Z134" s="5" t="s">
        <v>355</v>
      </c>
      <c r="AB134" s="5" t="s">
        <v>355</v>
      </c>
      <c r="AE134" s="5" t="s">
        <v>355</v>
      </c>
      <c r="AH134" s="5" t="s">
        <v>355</v>
      </c>
    </row>
    <row r="135">
      <c r="S135" s="5" t="s">
        <v>355</v>
      </c>
      <c r="T135" s="5" t="str">
        <f>IFERROR(__xludf.DUMMYFUNCTION("""COMPUTED_VALUE"""),"")</f>
        <v/>
      </c>
      <c r="U135" s="5" t="s">
        <v>355</v>
      </c>
      <c r="V135" s="5" t="s">
        <v>355</v>
      </c>
      <c r="W135" s="5" t="s">
        <v>355</v>
      </c>
      <c r="X135" s="5" t="str">
        <f>IFERROR(__xludf.DUMMYFUNCTION("""COMPUTED_VALUE"""),"")</f>
        <v/>
      </c>
      <c r="Y135" s="5" t="s">
        <v>355</v>
      </c>
      <c r="Z135" s="5" t="s">
        <v>355</v>
      </c>
      <c r="AB135" s="5" t="s">
        <v>355</v>
      </c>
      <c r="AE135" s="5" t="s">
        <v>355</v>
      </c>
      <c r="AH135" s="5" t="s">
        <v>355</v>
      </c>
    </row>
    <row r="136">
      <c r="S136" s="5" t="s">
        <v>355</v>
      </c>
      <c r="T136" s="5" t="str">
        <f>IFERROR(__xludf.DUMMYFUNCTION("""COMPUTED_VALUE"""),"")</f>
        <v/>
      </c>
      <c r="U136" s="5" t="s">
        <v>355</v>
      </c>
      <c r="V136" s="5" t="s">
        <v>355</v>
      </c>
      <c r="W136" s="5" t="s">
        <v>355</v>
      </c>
      <c r="X136" s="5" t="str">
        <f>IFERROR(__xludf.DUMMYFUNCTION("""COMPUTED_VALUE"""),"")</f>
        <v/>
      </c>
      <c r="Y136" s="5" t="s">
        <v>355</v>
      </c>
      <c r="Z136" s="5" t="s">
        <v>355</v>
      </c>
      <c r="AB136" s="5" t="s">
        <v>355</v>
      </c>
      <c r="AE136" s="5" t="s">
        <v>355</v>
      </c>
      <c r="AH136" s="5" t="s">
        <v>355</v>
      </c>
    </row>
    <row r="137">
      <c r="S137" s="5" t="s">
        <v>355</v>
      </c>
      <c r="T137" s="5" t="str">
        <f>IFERROR(__xludf.DUMMYFUNCTION("""COMPUTED_VALUE"""),"")</f>
        <v/>
      </c>
      <c r="U137" s="5" t="s">
        <v>355</v>
      </c>
      <c r="V137" s="5" t="s">
        <v>355</v>
      </c>
      <c r="W137" s="5" t="s">
        <v>355</v>
      </c>
      <c r="X137" s="5" t="str">
        <f>IFERROR(__xludf.DUMMYFUNCTION("""COMPUTED_VALUE"""),"")</f>
        <v/>
      </c>
      <c r="Y137" s="5" t="s">
        <v>355</v>
      </c>
      <c r="Z137" s="5" t="s">
        <v>355</v>
      </c>
      <c r="AB137" s="5" t="s">
        <v>355</v>
      </c>
      <c r="AE137" s="5" t="s">
        <v>355</v>
      </c>
      <c r="AH137" s="5" t="s">
        <v>355</v>
      </c>
    </row>
    <row r="138">
      <c r="S138" s="5" t="s">
        <v>355</v>
      </c>
      <c r="T138" s="5" t="str">
        <f>IFERROR(__xludf.DUMMYFUNCTION("""COMPUTED_VALUE"""),"")</f>
        <v/>
      </c>
      <c r="U138" s="5" t="s">
        <v>355</v>
      </c>
      <c r="V138" s="5" t="s">
        <v>355</v>
      </c>
      <c r="W138" s="5" t="s">
        <v>355</v>
      </c>
      <c r="X138" s="5" t="str">
        <f>IFERROR(__xludf.DUMMYFUNCTION("""COMPUTED_VALUE"""),"")</f>
        <v/>
      </c>
      <c r="Y138" s="5" t="s">
        <v>355</v>
      </c>
      <c r="Z138" s="5" t="s">
        <v>355</v>
      </c>
      <c r="AB138" s="5" t="s">
        <v>355</v>
      </c>
      <c r="AE138" s="5" t="s">
        <v>355</v>
      </c>
      <c r="AH138" s="5" t="s">
        <v>355</v>
      </c>
    </row>
    <row r="139">
      <c r="S139" s="5" t="s">
        <v>355</v>
      </c>
      <c r="T139" s="5" t="str">
        <f>IFERROR(__xludf.DUMMYFUNCTION("""COMPUTED_VALUE"""),"")</f>
        <v/>
      </c>
      <c r="U139" s="5" t="s">
        <v>355</v>
      </c>
      <c r="V139" s="5" t="s">
        <v>355</v>
      </c>
      <c r="W139" s="5" t="s">
        <v>355</v>
      </c>
      <c r="X139" s="5" t="str">
        <f>IFERROR(__xludf.DUMMYFUNCTION("""COMPUTED_VALUE"""),"")</f>
        <v/>
      </c>
      <c r="Y139" s="5" t="s">
        <v>355</v>
      </c>
      <c r="Z139" s="5" t="s">
        <v>355</v>
      </c>
      <c r="AB139" s="5" t="s">
        <v>355</v>
      </c>
      <c r="AE139" s="5" t="s">
        <v>355</v>
      </c>
      <c r="AH139" s="5" t="s">
        <v>355</v>
      </c>
    </row>
    <row r="140">
      <c r="S140" s="5" t="s">
        <v>355</v>
      </c>
      <c r="T140" s="5" t="str">
        <f>IFERROR(__xludf.DUMMYFUNCTION("""COMPUTED_VALUE"""),"")</f>
        <v/>
      </c>
      <c r="U140" s="5" t="s">
        <v>355</v>
      </c>
      <c r="V140" s="5" t="s">
        <v>355</v>
      </c>
      <c r="W140" s="5" t="s">
        <v>355</v>
      </c>
      <c r="X140" s="5" t="str">
        <f>IFERROR(__xludf.DUMMYFUNCTION("""COMPUTED_VALUE"""),"")</f>
        <v/>
      </c>
      <c r="Y140" s="5" t="s">
        <v>355</v>
      </c>
      <c r="Z140" s="5" t="s">
        <v>355</v>
      </c>
      <c r="AB140" s="5" t="s">
        <v>355</v>
      </c>
      <c r="AE140" s="5" t="s">
        <v>355</v>
      </c>
      <c r="AH140" s="5" t="s">
        <v>355</v>
      </c>
    </row>
    <row r="141">
      <c r="S141" s="5" t="s">
        <v>355</v>
      </c>
      <c r="T141" s="5" t="str">
        <f>IFERROR(__xludf.DUMMYFUNCTION("""COMPUTED_VALUE"""),"")</f>
        <v/>
      </c>
      <c r="U141" s="5" t="s">
        <v>355</v>
      </c>
      <c r="V141" s="5" t="s">
        <v>355</v>
      </c>
      <c r="W141" s="5" t="s">
        <v>355</v>
      </c>
      <c r="X141" s="5" t="str">
        <f>IFERROR(__xludf.DUMMYFUNCTION("""COMPUTED_VALUE"""),"")</f>
        <v/>
      </c>
      <c r="Y141" s="5" t="s">
        <v>355</v>
      </c>
      <c r="Z141" s="5" t="s">
        <v>355</v>
      </c>
      <c r="AB141" s="5" t="s">
        <v>355</v>
      </c>
      <c r="AE141" s="5" t="s">
        <v>355</v>
      </c>
      <c r="AH141" s="5" t="s">
        <v>355</v>
      </c>
    </row>
    <row r="142">
      <c r="S142" s="5" t="s">
        <v>355</v>
      </c>
      <c r="T142" s="5" t="str">
        <f>IFERROR(__xludf.DUMMYFUNCTION("""COMPUTED_VALUE"""),"")</f>
        <v/>
      </c>
      <c r="U142" s="5" t="s">
        <v>355</v>
      </c>
      <c r="V142" s="5" t="s">
        <v>355</v>
      </c>
      <c r="W142" s="5" t="s">
        <v>355</v>
      </c>
      <c r="X142" s="5" t="str">
        <f>IFERROR(__xludf.DUMMYFUNCTION("""COMPUTED_VALUE"""),"")</f>
        <v/>
      </c>
      <c r="Y142" s="5" t="s">
        <v>355</v>
      </c>
      <c r="Z142" s="5" t="s">
        <v>355</v>
      </c>
      <c r="AB142" s="5" t="s">
        <v>355</v>
      </c>
      <c r="AE142" s="5" t="s">
        <v>355</v>
      </c>
      <c r="AH142" s="5" t="s">
        <v>355</v>
      </c>
    </row>
    <row r="143">
      <c r="S143" s="5" t="s">
        <v>355</v>
      </c>
      <c r="T143" s="5" t="str">
        <f>IFERROR(__xludf.DUMMYFUNCTION("""COMPUTED_VALUE"""),"")</f>
        <v/>
      </c>
      <c r="U143" s="5" t="s">
        <v>355</v>
      </c>
      <c r="V143" s="5" t="s">
        <v>355</v>
      </c>
      <c r="W143" s="5" t="s">
        <v>355</v>
      </c>
      <c r="X143" s="5" t="str">
        <f>IFERROR(__xludf.DUMMYFUNCTION("""COMPUTED_VALUE"""),"")</f>
        <v/>
      </c>
      <c r="Y143" s="5" t="s">
        <v>355</v>
      </c>
      <c r="Z143" s="5" t="s">
        <v>355</v>
      </c>
      <c r="AB143" s="5" t="s">
        <v>355</v>
      </c>
      <c r="AE143" s="5" t="s">
        <v>355</v>
      </c>
      <c r="AH143" s="5" t="s">
        <v>355</v>
      </c>
    </row>
    <row r="144">
      <c r="S144" s="5" t="s">
        <v>355</v>
      </c>
      <c r="T144" s="5" t="str">
        <f>IFERROR(__xludf.DUMMYFUNCTION("""COMPUTED_VALUE"""),"")</f>
        <v/>
      </c>
      <c r="U144" s="5" t="s">
        <v>355</v>
      </c>
      <c r="V144" s="5" t="s">
        <v>355</v>
      </c>
      <c r="W144" s="5" t="s">
        <v>355</v>
      </c>
      <c r="X144" s="5" t="str">
        <f>IFERROR(__xludf.DUMMYFUNCTION("""COMPUTED_VALUE"""),"")</f>
        <v/>
      </c>
      <c r="Y144" s="5" t="s">
        <v>355</v>
      </c>
      <c r="Z144" s="5" t="s">
        <v>355</v>
      </c>
      <c r="AB144" s="5" t="s">
        <v>355</v>
      </c>
      <c r="AE144" s="5" t="s">
        <v>355</v>
      </c>
      <c r="AH144" s="5" t="s">
        <v>355</v>
      </c>
    </row>
    <row r="145">
      <c r="S145" s="5" t="s">
        <v>355</v>
      </c>
      <c r="T145" s="5" t="str">
        <f>IFERROR(__xludf.DUMMYFUNCTION("""COMPUTED_VALUE"""),"")</f>
        <v/>
      </c>
      <c r="U145" s="5" t="s">
        <v>355</v>
      </c>
      <c r="V145" s="5" t="s">
        <v>355</v>
      </c>
      <c r="W145" s="5" t="s">
        <v>355</v>
      </c>
      <c r="X145" s="5" t="str">
        <f>IFERROR(__xludf.DUMMYFUNCTION("""COMPUTED_VALUE"""),"")</f>
        <v/>
      </c>
      <c r="Y145" s="5" t="s">
        <v>355</v>
      </c>
      <c r="Z145" s="5" t="s">
        <v>355</v>
      </c>
      <c r="AB145" s="5" t="s">
        <v>355</v>
      </c>
      <c r="AE145" s="5" t="s">
        <v>355</v>
      </c>
      <c r="AH145" s="5" t="s">
        <v>355</v>
      </c>
    </row>
    <row r="146">
      <c r="S146" s="5" t="s">
        <v>355</v>
      </c>
      <c r="T146" s="5" t="str">
        <f>IFERROR(__xludf.DUMMYFUNCTION("""COMPUTED_VALUE"""),"")</f>
        <v/>
      </c>
      <c r="U146" s="5" t="s">
        <v>355</v>
      </c>
      <c r="V146" s="5" t="s">
        <v>355</v>
      </c>
      <c r="W146" s="5" t="s">
        <v>355</v>
      </c>
      <c r="X146" s="5" t="str">
        <f>IFERROR(__xludf.DUMMYFUNCTION("""COMPUTED_VALUE"""),"")</f>
        <v/>
      </c>
      <c r="Y146" s="5" t="s">
        <v>355</v>
      </c>
      <c r="Z146" s="5" t="s">
        <v>355</v>
      </c>
      <c r="AB146" s="5" t="s">
        <v>355</v>
      </c>
      <c r="AE146" s="5" t="s">
        <v>355</v>
      </c>
      <c r="AH146" s="5" t="s">
        <v>355</v>
      </c>
    </row>
    <row r="147">
      <c r="S147" s="5" t="s">
        <v>355</v>
      </c>
      <c r="T147" s="5" t="str">
        <f>IFERROR(__xludf.DUMMYFUNCTION("""COMPUTED_VALUE"""),"")</f>
        <v/>
      </c>
      <c r="U147" s="5" t="s">
        <v>355</v>
      </c>
      <c r="V147" s="5" t="s">
        <v>355</v>
      </c>
      <c r="W147" s="5" t="s">
        <v>355</v>
      </c>
      <c r="X147" s="5" t="str">
        <f>IFERROR(__xludf.DUMMYFUNCTION("""COMPUTED_VALUE"""),"")</f>
        <v/>
      </c>
      <c r="Y147" s="5" t="s">
        <v>355</v>
      </c>
      <c r="Z147" s="5" t="s">
        <v>355</v>
      </c>
      <c r="AB147" s="5" t="s">
        <v>355</v>
      </c>
      <c r="AE147" s="5" t="s">
        <v>355</v>
      </c>
      <c r="AH147" s="5" t="s">
        <v>355</v>
      </c>
    </row>
    <row r="148">
      <c r="S148" s="5" t="s">
        <v>355</v>
      </c>
      <c r="T148" s="5" t="str">
        <f>IFERROR(__xludf.DUMMYFUNCTION("""COMPUTED_VALUE"""),"")</f>
        <v/>
      </c>
      <c r="U148" s="5" t="s">
        <v>355</v>
      </c>
      <c r="V148" s="5" t="s">
        <v>355</v>
      </c>
      <c r="W148" s="5" t="s">
        <v>355</v>
      </c>
      <c r="X148" s="5" t="str">
        <f>IFERROR(__xludf.DUMMYFUNCTION("""COMPUTED_VALUE"""),"")</f>
        <v/>
      </c>
      <c r="Y148" s="5" t="s">
        <v>355</v>
      </c>
      <c r="Z148" s="5" t="s">
        <v>355</v>
      </c>
      <c r="AB148" s="5" t="s">
        <v>355</v>
      </c>
      <c r="AE148" s="5" t="s">
        <v>355</v>
      </c>
      <c r="AH148" s="5" t="s">
        <v>355</v>
      </c>
    </row>
    <row r="149">
      <c r="S149" s="5" t="s">
        <v>355</v>
      </c>
      <c r="T149" s="5" t="str">
        <f>IFERROR(__xludf.DUMMYFUNCTION("""COMPUTED_VALUE"""),"")</f>
        <v/>
      </c>
      <c r="U149" s="5" t="s">
        <v>355</v>
      </c>
      <c r="V149" s="5" t="s">
        <v>355</v>
      </c>
      <c r="W149" s="5" t="s">
        <v>355</v>
      </c>
      <c r="X149" s="5" t="str">
        <f>IFERROR(__xludf.DUMMYFUNCTION("""COMPUTED_VALUE"""),"")</f>
        <v/>
      </c>
      <c r="Y149" s="5" t="s">
        <v>355</v>
      </c>
      <c r="Z149" s="5" t="s">
        <v>355</v>
      </c>
      <c r="AB149" s="5" t="s">
        <v>355</v>
      </c>
      <c r="AE149" s="5" t="s">
        <v>355</v>
      </c>
      <c r="AH149" s="5" t="s">
        <v>355</v>
      </c>
    </row>
    <row r="150">
      <c r="S150" s="5" t="s">
        <v>355</v>
      </c>
      <c r="T150" s="5" t="str">
        <f>IFERROR(__xludf.DUMMYFUNCTION("""COMPUTED_VALUE"""),"")</f>
        <v/>
      </c>
      <c r="U150" s="5" t="s">
        <v>355</v>
      </c>
      <c r="V150" s="5" t="s">
        <v>355</v>
      </c>
      <c r="W150" s="5" t="s">
        <v>355</v>
      </c>
      <c r="X150" s="5" t="str">
        <f>IFERROR(__xludf.DUMMYFUNCTION("""COMPUTED_VALUE"""),"")</f>
        <v/>
      </c>
      <c r="Y150" s="5" t="s">
        <v>355</v>
      </c>
      <c r="Z150" s="5" t="s">
        <v>355</v>
      </c>
      <c r="AB150" s="5" t="s">
        <v>355</v>
      </c>
      <c r="AE150" s="5" t="s">
        <v>355</v>
      </c>
      <c r="AH150" s="5" t="s">
        <v>355</v>
      </c>
    </row>
    <row r="151">
      <c r="S151" s="5" t="s">
        <v>355</v>
      </c>
      <c r="T151" s="5" t="str">
        <f>IFERROR(__xludf.DUMMYFUNCTION("""COMPUTED_VALUE"""),"")</f>
        <v/>
      </c>
      <c r="U151" s="5" t="s">
        <v>355</v>
      </c>
      <c r="V151" s="5" t="s">
        <v>355</v>
      </c>
      <c r="W151" s="5" t="s">
        <v>355</v>
      </c>
      <c r="X151" s="5" t="str">
        <f>IFERROR(__xludf.DUMMYFUNCTION("""COMPUTED_VALUE"""),"")</f>
        <v/>
      </c>
      <c r="Y151" s="5" t="s">
        <v>355</v>
      </c>
      <c r="Z151" s="5" t="s">
        <v>355</v>
      </c>
      <c r="AB151" s="5" t="s">
        <v>355</v>
      </c>
      <c r="AE151" s="5" t="s">
        <v>355</v>
      </c>
      <c r="AH151" s="5" t="s">
        <v>355</v>
      </c>
    </row>
    <row r="152">
      <c r="S152" s="5" t="s">
        <v>355</v>
      </c>
      <c r="T152" s="5" t="str">
        <f>IFERROR(__xludf.DUMMYFUNCTION("""COMPUTED_VALUE"""),"")</f>
        <v/>
      </c>
      <c r="U152" s="5" t="s">
        <v>355</v>
      </c>
      <c r="V152" s="5" t="s">
        <v>355</v>
      </c>
      <c r="W152" s="5" t="s">
        <v>355</v>
      </c>
      <c r="X152" s="5" t="str">
        <f>IFERROR(__xludf.DUMMYFUNCTION("""COMPUTED_VALUE"""),"")</f>
        <v/>
      </c>
      <c r="Y152" s="5" t="s">
        <v>355</v>
      </c>
      <c r="Z152" s="5" t="s">
        <v>355</v>
      </c>
      <c r="AB152" s="5" t="s">
        <v>355</v>
      </c>
      <c r="AE152" s="5" t="s">
        <v>355</v>
      </c>
      <c r="AH152" s="5" t="s">
        <v>355</v>
      </c>
    </row>
    <row r="153">
      <c r="S153" s="5" t="s">
        <v>355</v>
      </c>
      <c r="T153" s="5" t="str">
        <f>IFERROR(__xludf.DUMMYFUNCTION("""COMPUTED_VALUE"""),"")</f>
        <v/>
      </c>
      <c r="U153" s="5" t="s">
        <v>355</v>
      </c>
      <c r="V153" s="5" t="s">
        <v>355</v>
      </c>
      <c r="W153" s="5" t="s">
        <v>355</v>
      </c>
      <c r="X153" s="5" t="str">
        <f>IFERROR(__xludf.DUMMYFUNCTION("""COMPUTED_VALUE"""),"")</f>
        <v/>
      </c>
      <c r="Y153" s="5" t="s">
        <v>355</v>
      </c>
      <c r="Z153" s="5" t="s">
        <v>355</v>
      </c>
      <c r="AB153" s="5" t="s">
        <v>355</v>
      </c>
      <c r="AE153" s="5" t="s">
        <v>355</v>
      </c>
      <c r="AH153" s="5" t="s">
        <v>355</v>
      </c>
    </row>
    <row r="154">
      <c r="S154" s="5" t="s">
        <v>355</v>
      </c>
      <c r="T154" s="5" t="str">
        <f>IFERROR(__xludf.DUMMYFUNCTION("""COMPUTED_VALUE"""),"")</f>
        <v/>
      </c>
      <c r="U154" s="5" t="s">
        <v>355</v>
      </c>
      <c r="V154" s="5" t="s">
        <v>355</v>
      </c>
      <c r="W154" s="5" t="s">
        <v>355</v>
      </c>
      <c r="X154" s="5" t="str">
        <f>IFERROR(__xludf.DUMMYFUNCTION("""COMPUTED_VALUE"""),"")</f>
        <v/>
      </c>
      <c r="Y154" s="5" t="s">
        <v>355</v>
      </c>
      <c r="Z154" s="5" t="s">
        <v>355</v>
      </c>
      <c r="AB154" s="5" t="s">
        <v>355</v>
      </c>
      <c r="AE154" s="5" t="s">
        <v>355</v>
      </c>
      <c r="AH154" s="5" t="s">
        <v>355</v>
      </c>
    </row>
    <row r="155">
      <c r="S155" s="5" t="s">
        <v>355</v>
      </c>
      <c r="T155" s="5" t="str">
        <f>IFERROR(__xludf.DUMMYFUNCTION("""COMPUTED_VALUE"""),"")</f>
        <v/>
      </c>
      <c r="U155" s="5" t="s">
        <v>355</v>
      </c>
      <c r="V155" s="5" t="s">
        <v>355</v>
      </c>
      <c r="W155" s="5" t="s">
        <v>355</v>
      </c>
      <c r="X155" s="5" t="str">
        <f>IFERROR(__xludf.DUMMYFUNCTION("""COMPUTED_VALUE"""),"")</f>
        <v/>
      </c>
      <c r="Y155" s="5" t="s">
        <v>355</v>
      </c>
      <c r="Z155" s="5" t="s">
        <v>355</v>
      </c>
      <c r="AB155" s="5" t="s">
        <v>355</v>
      </c>
      <c r="AE155" s="5" t="s">
        <v>355</v>
      </c>
      <c r="AH155" s="5" t="s">
        <v>355</v>
      </c>
    </row>
    <row r="156">
      <c r="S156" s="5" t="s">
        <v>355</v>
      </c>
      <c r="T156" s="5" t="str">
        <f>IFERROR(__xludf.DUMMYFUNCTION("""COMPUTED_VALUE"""),"")</f>
        <v/>
      </c>
      <c r="U156" s="5" t="s">
        <v>355</v>
      </c>
      <c r="V156" s="5" t="s">
        <v>355</v>
      </c>
      <c r="W156" s="5" t="s">
        <v>355</v>
      </c>
      <c r="X156" s="5" t="str">
        <f>IFERROR(__xludf.DUMMYFUNCTION("""COMPUTED_VALUE"""),"")</f>
        <v/>
      </c>
      <c r="Y156" s="5" t="s">
        <v>355</v>
      </c>
      <c r="Z156" s="5" t="s">
        <v>355</v>
      </c>
      <c r="AB156" s="5" t="s">
        <v>355</v>
      </c>
      <c r="AE156" s="5" t="s">
        <v>355</v>
      </c>
      <c r="AH156" s="5" t="s">
        <v>355</v>
      </c>
    </row>
    <row r="157">
      <c r="S157" s="5" t="s">
        <v>355</v>
      </c>
      <c r="T157" s="5" t="str">
        <f>IFERROR(__xludf.DUMMYFUNCTION("""COMPUTED_VALUE"""),"")</f>
        <v/>
      </c>
      <c r="U157" s="5" t="s">
        <v>355</v>
      </c>
      <c r="V157" s="5" t="s">
        <v>355</v>
      </c>
      <c r="W157" s="5" t="s">
        <v>355</v>
      </c>
      <c r="X157" s="5" t="str">
        <f>IFERROR(__xludf.DUMMYFUNCTION("""COMPUTED_VALUE"""),"")</f>
        <v/>
      </c>
      <c r="Y157" s="5" t="s">
        <v>355</v>
      </c>
      <c r="Z157" s="5" t="s">
        <v>355</v>
      </c>
      <c r="AB157" s="5" t="s">
        <v>355</v>
      </c>
      <c r="AE157" s="5" t="s">
        <v>355</v>
      </c>
      <c r="AH157" s="5" t="s">
        <v>355</v>
      </c>
    </row>
    <row r="158">
      <c r="S158" s="5" t="s">
        <v>355</v>
      </c>
      <c r="T158" s="5" t="str">
        <f>IFERROR(__xludf.DUMMYFUNCTION("""COMPUTED_VALUE"""),"")</f>
        <v/>
      </c>
      <c r="U158" s="5" t="s">
        <v>355</v>
      </c>
      <c r="V158" s="5" t="s">
        <v>355</v>
      </c>
      <c r="W158" s="5" t="s">
        <v>355</v>
      </c>
      <c r="X158" s="5" t="str">
        <f>IFERROR(__xludf.DUMMYFUNCTION("""COMPUTED_VALUE"""),"")</f>
        <v/>
      </c>
      <c r="Y158" s="5" t="s">
        <v>355</v>
      </c>
      <c r="Z158" s="5" t="s">
        <v>355</v>
      </c>
      <c r="AB158" s="5" t="s">
        <v>355</v>
      </c>
      <c r="AE158" s="5" t="s">
        <v>355</v>
      </c>
      <c r="AH158" s="5" t="s">
        <v>355</v>
      </c>
    </row>
    <row r="159">
      <c r="S159" s="5" t="s">
        <v>355</v>
      </c>
      <c r="T159" s="5" t="str">
        <f>IFERROR(__xludf.DUMMYFUNCTION("""COMPUTED_VALUE"""),"")</f>
        <v/>
      </c>
      <c r="U159" s="5" t="s">
        <v>355</v>
      </c>
      <c r="V159" s="5" t="s">
        <v>355</v>
      </c>
      <c r="W159" s="5" t="s">
        <v>355</v>
      </c>
      <c r="X159" s="5" t="str">
        <f>IFERROR(__xludf.DUMMYFUNCTION("""COMPUTED_VALUE"""),"")</f>
        <v/>
      </c>
      <c r="Y159" s="5" t="s">
        <v>355</v>
      </c>
      <c r="Z159" s="5" t="s">
        <v>355</v>
      </c>
      <c r="AB159" s="5" t="s">
        <v>355</v>
      </c>
      <c r="AE159" s="5" t="s">
        <v>355</v>
      </c>
      <c r="AH159" s="5" t="s">
        <v>355</v>
      </c>
    </row>
    <row r="160">
      <c r="S160" s="5" t="s">
        <v>355</v>
      </c>
      <c r="T160" s="5" t="str">
        <f>IFERROR(__xludf.DUMMYFUNCTION("""COMPUTED_VALUE"""),"")</f>
        <v/>
      </c>
      <c r="U160" s="5" t="s">
        <v>355</v>
      </c>
      <c r="V160" s="5" t="s">
        <v>355</v>
      </c>
      <c r="W160" s="5" t="s">
        <v>355</v>
      </c>
      <c r="X160" s="5" t="str">
        <f>IFERROR(__xludf.DUMMYFUNCTION("""COMPUTED_VALUE"""),"")</f>
        <v/>
      </c>
      <c r="Y160" s="5" t="s">
        <v>355</v>
      </c>
      <c r="Z160" s="5" t="s">
        <v>355</v>
      </c>
      <c r="AB160" s="5" t="s">
        <v>355</v>
      </c>
      <c r="AE160" s="5" t="s">
        <v>355</v>
      </c>
      <c r="AH160" s="5" t="s">
        <v>355</v>
      </c>
    </row>
    <row r="161">
      <c r="S161" s="5" t="s">
        <v>355</v>
      </c>
      <c r="T161" s="5" t="str">
        <f>IFERROR(__xludf.DUMMYFUNCTION("""COMPUTED_VALUE"""),"")</f>
        <v/>
      </c>
      <c r="U161" s="5" t="s">
        <v>355</v>
      </c>
      <c r="V161" s="5" t="s">
        <v>355</v>
      </c>
      <c r="W161" s="5" t="s">
        <v>355</v>
      </c>
      <c r="X161" s="5" t="str">
        <f>IFERROR(__xludf.DUMMYFUNCTION("""COMPUTED_VALUE"""),"")</f>
        <v/>
      </c>
      <c r="Y161" s="5" t="s">
        <v>355</v>
      </c>
      <c r="Z161" s="5" t="s">
        <v>355</v>
      </c>
      <c r="AB161" s="5" t="s">
        <v>355</v>
      </c>
      <c r="AE161" s="5" t="s">
        <v>355</v>
      </c>
      <c r="AH161" s="5" t="s">
        <v>355</v>
      </c>
    </row>
    <row r="162">
      <c r="S162" s="5" t="s">
        <v>355</v>
      </c>
      <c r="T162" s="5" t="str">
        <f>IFERROR(__xludf.DUMMYFUNCTION("""COMPUTED_VALUE"""),"")</f>
        <v/>
      </c>
      <c r="U162" s="5" t="s">
        <v>355</v>
      </c>
      <c r="V162" s="5" t="s">
        <v>355</v>
      </c>
      <c r="W162" s="5" t="s">
        <v>355</v>
      </c>
      <c r="X162" s="5" t="str">
        <f>IFERROR(__xludf.DUMMYFUNCTION("""COMPUTED_VALUE"""),"")</f>
        <v/>
      </c>
      <c r="Y162" s="5" t="s">
        <v>355</v>
      </c>
      <c r="Z162" s="5" t="s">
        <v>355</v>
      </c>
      <c r="AB162" s="5" t="s">
        <v>355</v>
      </c>
      <c r="AE162" s="5" t="s">
        <v>355</v>
      </c>
      <c r="AH162" s="5" t="s">
        <v>355</v>
      </c>
    </row>
    <row r="163">
      <c r="S163" s="5" t="s">
        <v>355</v>
      </c>
      <c r="T163" s="5" t="str">
        <f>IFERROR(__xludf.DUMMYFUNCTION("""COMPUTED_VALUE"""),"")</f>
        <v/>
      </c>
      <c r="U163" s="5" t="s">
        <v>355</v>
      </c>
      <c r="V163" s="5" t="s">
        <v>355</v>
      </c>
      <c r="W163" s="5" t="s">
        <v>355</v>
      </c>
      <c r="X163" s="5" t="str">
        <f>IFERROR(__xludf.DUMMYFUNCTION("""COMPUTED_VALUE"""),"")</f>
        <v/>
      </c>
      <c r="Y163" s="5" t="s">
        <v>355</v>
      </c>
      <c r="Z163" s="5" t="s">
        <v>355</v>
      </c>
      <c r="AB163" s="5" t="s">
        <v>355</v>
      </c>
      <c r="AE163" s="5" t="s">
        <v>355</v>
      </c>
      <c r="AH163" s="5" t="s">
        <v>355</v>
      </c>
    </row>
    <row r="164">
      <c r="S164" s="5" t="s">
        <v>355</v>
      </c>
      <c r="T164" s="5" t="str">
        <f>IFERROR(__xludf.DUMMYFUNCTION("""COMPUTED_VALUE"""),"")</f>
        <v/>
      </c>
      <c r="U164" s="5" t="s">
        <v>355</v>
      </c>
      <c r="V164" s="5" t="s">
        <v>355</v>
      </c>
      <c r="W164" s="5" t="s">
        <v>355</v>
      </c>
      <c r="X164" s="5" t="str">
        <f>IFERROR(__xludf.DUMMYFUNCTION("""COMPUTED_VALUE"""),"")</f>
        <v/>
      </c>
      <c r="Y164" s="5" t="s">
        <v>355</v>
      </c>
      <c r="Z164" s="5" t="s">
        <v>355</v>
      </c>
      <c r="AB164" s="5" t="s">
        <v>355</v>
      </c>
      <c r="AE164" s="5" t="s">
        <v>355</v>
      </c>
      <c r="AH164" s="5" t="s">
        <v>355</v>
      </c>
    </row>
    <row r="165">
      <c r="S165" s="5" t="s">
        <v>355</v>
      </c>
      <c r="T165" s="5" t="str">
        <f>IFERROR(__xludf.DUMMYFUNCTION("""COMPUTED_VALUE"""),"")</f>
        <v/>
      </c>
      <c r="U165" s="5" t="s">
        <v>355</v>
      </c>
      <c r="V165" s="5" t="s">
        <v>355</v>
      </c>
      <c r="W165" s="5" t="s">
        <v>355</v>
      </c>
      <c r="X165" s="5" t="str">
        <f>IFERROR(__xludf.DUMMYFUNCTION("""COMPUTED_VALUE"""),"")</f>
        <v/>
      </c>
      <c r="Y165" s="5" t="s">
        <v>355</v>
      </c>
      <c r="Z165" s="5" t="s">
        <v>355</v>
      </c>
      <c r="AB165" s="5" t="s">
        <v>355</v>
      </c>
      <c r="AE165" s="5" t="s">
        <v>355</v>
      </c>
      <c r="AH165" s="5" t="s">
        <v>355</v>
      </c>
    </row>
    <row r="166">
      <c r="S166" s="5" t="s">
        <v>355</v>
      </c>
      <c r="T166" s="5" t="str">
        <f>IFERROR(__xludf.DUMMYFUNCTION("""COMPUTED_VALUE"""),"")</f>
        <v/>
      </c>
      <c r="U166" s="5" t="s">
        <v>355</v>
      </c>
      <c r="V166" s="5" t="s">
        <v>355</v>
      </c>
      <c r="W166" s="5" t="s">
        <v>355</v>
      </c>
      <c r="X166" s="5" t="str">
        <f>IFERROR(__xludf.DUMMYFUNCTION("""COMPUTED_VALUE"""),"")</f>
        <v/>
      </c>
      <c r="Y166" s="5" t="s">
        <v>355</v>
      </c>
      <c r="Z166" s="5" t="s">
        <v>355</v>
      </c>
      <c r="AB166" s="5" t="s">
        <v>355</v>
      </c>
      <c r="AE166" s="5" t="s">
        <v>355</v>
      </c>
      <c r="AH166" s="5" t="s">
        <v>355</v>
      </c>
    </row>
    <row r="167">
      <c r="S167" s="5" t="s">
        <v>355</v>
      </c>
      <c r="T167" s="5" t="str">
        <f>IFERROR(__xludf.DUMMYFUNCTION("""COMPUTED_VALUE"""),"")</f>
        <v/>
      </c>
      <c r="U167" s="5" t="s">
        <v>355</v>
      </c>
      <c r="V167" s="5" t="s">
        <v>355</v>
      </c>
      <c r="W167" s="5" t="s">
        <v>355</v>
      </c>
      <c r="X167" s="5" t="str">
        <f>IFERROR(__xludf.DUMMYFUNCTION("""COMPUTED_VALUE"""),"")</f>
        <v/>
      </c>
      <c r="Y167" s="5" t="s">
        <v>355</v>
      </c>
      <c r="Z167" s="5" t="s">
        <v>355</v>
      </c>
      <c r="AB167" s="5" t="s">
        <v>355</v>
      </c>
      <c r="AE167" s="5" t="s">
        <v>355</v>
      </c>
      <c r="AH167" s="5" t="s">
        <v>355</v>
      </c>
    </row>
    <row r="168">
      <c r="S168" s="5" t="s">
        <v>355</v>
      </c>
      <c r="T168" s="5" t="str">
        <f>IFERROR(__xludf.DUMMYFUNCTION("""COMPUTED_VALUE"""),"")</f>
        <v/>
      </c>
      <c r="U168" s="5" t="s">
        <v>355</v>
      </c>
      <c r="V168" s="5" t="s">
        <v>355</v>
      </c>
      <c r="W168" s="5" t="s">
        <v>355</v>
      </c>
      <c r="X168" s="5" t="str">
        <f>IFERROR(__xludf.DUMMYFUNCTION("""COMPUTED_VALUE"""),"")</f>
        <v/>
      </c>
      <c r="Y168" s="5" t="s">
        <v>355</v>
      </c>
      <c r="Z168" s="5" t="s">
        <v>355</v>
      </c>
      <c r="AB168" s="5" t="s">
        <v>355</v>
      </c>
      <c r="AE168" s="5" t="s">
        <v>355</v>
      </c>
      <c r="AH168" s="5" t="s">
        <v>355</v>
      </c>
    </row>
    <row r="169">
      <c r="S169" s="5" t="s">
        <v>355</v>
      </c>
      <c r="T169" s="5" t="str">
        <f>IFERROR(__xludf.DUMMYFUNCTION("""COMPUTED_VALUE"""),"")</f>
        <v/>
      </c>
      <c r="U169" s="5" t="s">
        <v>355</v>
      </c>
      <c r="V169" s="5" t="s">
        <v>355</v>
      </c>
      <c r="W169" s="5" t="s">
        <v>355</v>
      </c>
      <c r="X169" s="5" t="str">
        <f>IFERROR(__xludf.DUMMYFUNCTION("""COMPUTED_VALUE"""),"")</f>
        <v/>
      </c>
      <c r="Y169" s="5" t="s">
        <v>355</v>
      </c>
      <c r="Z169" s="5" t="s">
        <v>355</v>
      </c>
      <c r="AB169" s="5" t="s">
        <v>355</v>
      </c>
      <c r="AE169" s="5" t="s">
        <v>355</v>
      </c>
      <c r="AH169" s="5" t="s">
        <v>355</v>
      </c>
    </row>
    <row r="170">
      <c r="S170" s="5" t="s">
        <v>355</v>
      </c>
      <c r="T170" s="5" t="str">
        <f>IFERROR(__xludf.DUMMYFUNCTION("""COMPUTED_VALUE"""),"")</f>
        <v/>
      </c>
      <c r="U170" s="5" t="s">
        <v>355</v>
      </c>
      <c r="V170" s="5" t="s">
        <v>355</v>
      </c>
      <c r="W170" s="5" t="s">
        <v>355</v>
      </c>
      <c r="X170" s="5" t="str">
        <f>IFERROR(__xludf.DUMMYFUNCTION("""COMPUTED_VALUE"""),"")</f>
        <v/>
      </c>
      <c r="Y170" s="5" t="s">
        <v>355</v>
      </c>
      <c r="Z170" s="5" t="s">
        <v>355</v>
      </c>
      <c r="AB170" s="5" t="s">
        <v>355</v>
      </c>
      <c r="AE170" s="5" t="s">
        <v>355</v>
      </c>
      <c r="AH170" s="5" t="s">
        <v>355</v>
      </c>
    </row>
    <row r="171">
      <c r="S171" s="5" t="s">
        <v>355</v>
      </c>
      <c r="T171" s="5" t="str">
        <f>IFERROR(__xludf.DUMMYFUNCTION("""COMPUTED_VALUE"""),"")</f>
        <v/>
      </c>
      <c r="U171" s="5" t="s">
        <v>355</v>
      </c>
      <c r="V171" s="5" t="s">
        <v>355</v>
      </c>
      <c r="W171" s="5" t="s">
        <v>355</v>
      </c>
      <c r="X171" s="5" t="str">
        <f>IFERROR(__xludf.DUMMYFUNCTION("""COMPUTED_VALUE"""),"")</f>
        <v/>
      </c>
      <c r="Y171" s="5" t="s">
        <v>355</v>
      </c>
      <c r="Z171" s="5" t="s">
        <v>355</v>
      </c>
      <c r="AB171" s="5" t="s">
        <v>355</v>
      </c>
      <c r="AE171" s="5" t="s">
        <v>355</v>
      </c>
      <c r="AH171" s="5" t="s">
        <v>355</v>
      </c>
    </row>
    <row r="172">
      <c r="S172" s="5" t="s">
        <v>355</v>
      </c>
      <c r="T172" s="5" t="str">
        <f>IFERROR(__xludf.DUMMYFUNCTION("""COMPUTED_VALUE"""),"")</f>
        <v/>
      </c>
      <c r="U172" s="5" t="s">
        <v>355</v>
      </c>
      <c r="V172" s="5" t="s">
        <v>355</v>
      </c>
      <c r="W172" s="5" t="s">
        <v>355</v>
      </c>
      <c r="X172" s="5" t="str">
        <f>IFERROR(__xludf.DUMMYFUNCTION("""COMPUTED_VALUE"""),"")</f>
        <v/>
      </c>
      <c r="Y172" s="5" t="s">
        <v>355</v>
      </c>
      <c r="Z172" s="5" t="s">
        <v>355</v>
      </c>
      <c r="AB172" s="5" t="s">
        <v>355</v>
      </c>
      <c r="AE172" s="5" t="s">
        <v>355</v>
      </c>
      <c r="AH172" s="5" t="s">
        <v>355</v>
      </c>
    </row>
    <row r="173">
      <c r="S173" s="5" t="s">
        <v>355</v>
      </c>
      <c r="T173" s="5" t="str">
        <f>IFERROR(__xludf.DUMMYFUNCTION("""COMPUTED_VALUE"""),"")</f>
        <v/>
      </c>
      <c r="U173" s="5" t="s">
        <v>355</v>
      </c>
      <c r="V173" s="5" t="s">
        <v>355</v>
      </c>
      <c r="W173" s="5" t="s">
        <v>355</v>
      </c>
      <c r="X173" s="5" t="str">
        <f>IFERROR(__xludf.DUMMYFUNCTION("""COMPUTED_VALUE"""),"")</f>
        <v/>
      </c>
      <c r="Y173" s="5" t="s">
        <v>355</v>
      </c>
      <c r="Z173" s="5" t="s">
        <v>355</v>
      </c>
      <c r="AB173" s="5" t="s">
        <v>355</v>
      </c>
      <c r="AE173" s="5" t="s">
        <v>355</v>
      </c>
      <c r="AH173" s="5" t="s">
        <v>355</v>
      </c>
    </row>
    <row r="174">
      <c r="S174" s="5" t="s">
        <v>355</v>
      </c>
      <c r="T174" s="5" t="str">
        <f>IFERROR(__xludf.DUMMYFUNCTION("""COMPUTED_VALUE"""),"")</f>
        <v/>
      </c>
      <c r="U174" s="5" t="s">
        <v>355</v>
      </c>
      <c r="V174" s="5" t="s">
        <v>355</v>
      </c>
      <c r="W174" s="5" t="s">
        <v>355</v>
      </c>
      <c r="X174" s="5" t="str">
        <f>IFERROR(__xludf.DUMMYFUNCTION("""COMPUTED_VALUE"""),"")</f>
        <v/>
      </c>
      <c r="Y174" s="5" t="s">
        <v>355</v>
      </c>
      <c r="Z174" s="5" t="s">
        <v>355</v>
      </c>
      <c r="AB174" s="5" t="s">
        <v>355</v>
      </c>
      <c r="AE174" s="5" t="s">
        <v>355</v>
      </c>
      <c r="AH174" s="5" t="s">
        <v>355</v>
      </c>
    </row>
    <row r="175">
      <c r="S175" s="5" t="s">
        <v>355</v>
      </c>
      <c r="T175" s="5" t="str">
        <f>IFERROR(__xludf.DUMMYFUNCTION("""COMPUTED_VALUE"""),"")</f>
        <v/>
      </c>
      <c r="U175" s="5" t="s">
        <v>355</v>
      </c>
      <c r="V175" s="5" t="s">
        <v>355</v>
      </c>
      <c r="W175" s="5" t="s">
        <v>355</v>
      </c>
      <c r="X175" s="5" t="str">
        <f>IFERROR(__xludf.DUMMYFUNCTION("""COMPUTED_VALUE"""),"")</f>
        <v/>
      </c>
      <c r="Y175" s="5" t="s">
        <v>355</v>
      </c>
      <c r="Z175" s="5" t="s">
        <v>355</v>
      </c>
      <c r="AB175" s="5" t="s">
        <v>355</v>
      </c>
      <c r="AE175" s="5" t="s">
        <v>355</v>
      </c>
      <c r="AH175" s="5" t="s">
        <v>355</v>
      </c>
    </row>
    <row r="176">
      <c r="S176" s="5" t="s">
        <v>355</v>
      </c>
      <c r="T176" s="5" t="str">
        <f>IFERROR(__xludf.DUMMYFUNCTION("""COMPUTED_VALUE"""),"")</f>
        <v/>
      </c>
      <c r="U176" s="5" t="s">
        <v>355</v>
      </c>
      <c r="V176" s="5" t="s">
        <v>355</v>
      </c>
      <c r="W176" s="5" t="s">
        <v>355</v>
      </c>
      <c r="X176" s="5" t="str">
        <f>IFERROR(__xludf.DUMMYFUNCTION("""COMPUTED_VALUE"""),"")</f>
        <v/>
      </c>
      <c r="Y176" s="5" t="s">
        <v>355</v>
      </c>
      <c r="Z176" s="5" t="s">
        <v>355</v>
      </c>
      <c r="AB176" s="5" t="s">
        <v>355</v>
      </c>
      <c r="AE176" s="5" t="s">
        <v>355</v>
      </c>
      <c r="AH176" s="5" t="s">
        <v>355</v>
      </c>
    </row>
    <row r="177">
      <c r="S177" s="5" t="s">
        <v>355</v>
      </c>
      <c r="T177" s="5" t="str">
        <f>IFERROR(__xludf.DUMMYFUNCTION("""COMPUTED_VALUE"""),"")</f>
        <v/>
      </c>
      <c r="U177" s="5" t="s">
        <v>355</v>
      </c>
      <c r="V177" s="5" t="s">
        <v>355</v>
      </c>
      <c r="W177" s="5" t="s">
        <v>355</v>
      </c>
      <c r="X177" s="5" t="str">
        <f>IFERROR(__xludf.DUMMYFUNCTION("""COMPUTED_VALUE"""),"")</f>
        <v/>
      </c>
      <c r="Y177" s="5" t="s">
        <v>355</v>
      </c>
      <c r="Z177" s="5" t="s">
        <v>355</v>
      </c>
      <c r="AB177" s="5" t="s">
        <v>355</v>
      </c>
      <c r="AE177" s="5" t="s">
        <v>355</v>
      </c>
      <c r="AH177" s="5" t="s">
        <v>355</v>
      </c>
    </row>
    <row r="178">
      <c r="S178" s="5" t="s">
        <v>355</v>
      </c>
      <c r="T178" s="5" t="str">
        <f>IFERROR(__xludf.DUMMYFUNCTION("""COMPUTED_VALUE"""),"")</f>
        <v/>
      </c>
      <c r="U178" s="5" t="s">
        <v>355</v>
      </c>
      <c r="V178" s="5" t="s">
        <v>355</v>
      </c>
      <c r="W178" s="5" t="s">
        <v>355</v>
      </c>
      <c r="X178" s="5" t="str">
        <f>IFERROR(__xludf.DUMMYFUNCTION("""COMPUTED_VALUE"""),"")</f>
        <v/>
      </c>
      <c r="Y178" s="5" t="s">
        <v>355</v>
      </c>
      <c r="Z178" s="5" t="s">
        <v>355</v>
      </c>
      <c r="AB178" s="5" t="s">
        <v>355</v>
      </c>
      <c r="AE178" s="5" t="s">
        <v>355</v>
      </c>
      <c r="AH178" s="5" t="s">
        <v>355</v>
      </c>
    </row>
    <row r="179">
      <c r="S179" s="5" t="s">
        <v>355</v>
      </c>
      <c r="T179" s="5" t="str">
        <f>IFERROR(__xludf.DUMMYFUNCTION("""COMPUTED_VALUE"""),"")</f>
        <v/>
      </c>
      <c r="U179" s="5" t="s">
        <v>355</v>
      </c>
      <c r="V179" s="5" t="s">
        <v>355</v>
      </c>
      <c r="W179" s="5" t="s">
        <v>355</v>
      </c>
      <c r="X179" s="5" t="str">
        <f>IFERROR(__xludf.DUMMYFUNCTION("""COMPUTED_VALUE"""),"")</f>
        <v/>
      </c>
      <c r="Y179" s="5" t="s">
        <v>355</v>
      </c>
      <c r="Z179" s="5" t="s">
        <v>355</v>
      </c>
      <c r="AB179" s="5" t="s">
        <v>355</v>
      </c>
      <c r="AE179" s="5" t="s">
        <v>355</v>
      </c>
      <c r="AH179" s="5" t="s">
        <v>355</v>
      </c>
    </row>
    <row r="180">
      <c r="S180" s="5" t="s">
        <v>355</v>
      </c>
      <c r="T180" s="5" t="str">
        <f>IFERROR(__xludf.DUMMYFUNCTION("""COMPUTED_VALUE"""),"")</f>
        <v/>
      </c>
      <c r="U180" s="5" t="s">
        <v>355</v>
      </c>
      <c r="V180" s="5" t="s">
        <v>355</v>
      </c>
      <c r="W180" s="5" t="s">
        <v>355</v>
      </c>
      <c r="X180" s="5" t="str">
        <f>IFERROR(__xludf.DUMMYFUNCTION("""COMPUTED_VALUE"""),"")</f>
        <v/>
      </c>
      <c r="Y180" s="5" t="s">
        <v>355</v>
      </c>
      <c r="Z180" s="5" t="s">
        <v>355</v>
      </c>
      <c r="AB180" s="5" t="s">
        <v>355</v>
      </c>
      <c r="AE180" s="5" t="s">
        <v>355</v>
      </c>
      <c r="AH180" s="5" t="s">
        <v>355</v>
      </c>
    </row>
    <row r="181">
      <c r="S181" s="5" t="s">
        <v>355</v>
      </c>
      <c r="T181" s="5" t="str">
        <f>IFERROR(__xludf.DUMMYFUNCTION("""COMPUTED_VALUE"""),"")</f>
        <v/>
      </c>
      <c r="U181" s="5" t="s">
        <v>355</v>
      </c>
      <c r="V181" s="5" t="s">
        <v>355</v>
      </c>
      <c r="W181" s="5" t="s">
        <v>355</v>
      </c>
      <c r="X181" s="5" t="str">
        <f>IFERROR(__xludf.DUMMYFUNCTION("""COMPUTED_VALUE"""),"")</f>
        <v/>
      </c>
      <c r="Y181" s="5" t="s">
        <v>355</v>
      </c>
      <c r="Z181" s="5" t="s">
        <v>355</v>
      </c>
      <c r="AB181" s="5" t="s">
        <v>355</v>
      </c>
      <c r="AE181" s="5" t="s">
        <v>355</v>
      </c>
      <c r="AH181" s="5" t="s">
        <v>355</v>
      </c>
    </row>
    <row r="182">
      <c r="S182" s="5" t="s">
        <v>355</v>
      </c>
      <c r="T182" s="5" t="str">
        <f>IFERROR(__xludf.DUMMYFUNCTION("""COMPUTED_VALUE"""),"")</f>
        <v/>
      </c>
      <c r="U182" s="5" t="s">
        <v>355</v>
      </c>
      <c r="V182" s="5" t="s">
        <v>355</v>
      </c>
      <c r="W182" s="5" t="s">
        <v>355</v>
      </c>
      <c r="X182" s="5" t="str">
        <f>IFERROR(__xludf.DUMMYFUNCTION("""COMPUTED_VALUE"""),"")</f>
        <v/>
      </c>
      <c r="Y182" s="5" t="s">
        <v>355</v>
      </c>
      <c r="Z182" s="5" t="s">
        <v>355</v>
      </c>
      <c r="AB182" s="5" t="s">
        <v>355</v>
      </c>
      <c r="AE182" s="5" t="s">
        <v>355</v>
      </c>
      <c r="AH182" s="5" t="s">
        <v>355</v>
      </c>
    </row>
    <row r="183">
      <c r="S183" s="5" t="s">
        <v>355</v>
      </c>
      <c r="T183" s="5" t="str">
        <f>IFERROR(__xludf.DUMMYFUNCTION("""COMPUTED_VALUE"""),"")</f>
        <v/>
      </c>
      <c r="U183" s="5" t="s">
        <v>355</v>
      </c>
      <c r="V183" s="5" t="s">
        <v>355</v>
      </c>
      <c r="W183" s="5" t="s">
        <v>355</v>
      </c>
      <c r="X183" s="5" t="str">
        <f>IFERROR(__xludf.DUMMYFUNCTION("""COMPUTED_VALUE"""),"")</f>
        <v/>
      </c>
      <c r="Y183" s="5" t="s">
        <v>355</v>
      </c>
      <c r="Z183" s="5" t="s">
        <v>355</v>
      </c>
      <c r="AB183" s="5" t="s">
        <v>355</v>
      </c>
      <c r="AE183" s="5" t="s">
        <v>355</v>
      </c>
      <c r="AH183" s="5" t="s">
        <v>355</v>
      </c>
    </row>
    <row r="184">
      <c r="S184" s="5" t="s">
        <v>355</v>
      </c>
      <c r="T184" s="5" t="str">
        <f>IFERROR(__xludf.DUMMYFUNCTION("""COMPUTED_VALUE"""),"")</f>
        <v/>
      </c>
      <c r="U184" s="5" t="s">
        <v>355</v>
      </c>
      <c r="V184" s="5" t="s">
        <v>355</v>
      </c>
      <c r="W184" s="5" t="s">
        <v>355</v>
      </c>
      <c r="X184" s="5" t="str">
        <f>IFERROR(__xludf.DUMMYFUNCTION("""COMPUTED_VALUE"""),"")</f>
        <v/>
      </c>
      <c r="Y184" s="5" t="s">
        <v>355</v>
      </c>
      <c r="Z184" s="5" t="s">
        <v>355</v>
      </c>
      <c r="AB184" s="5" t="s">
        <v>355</v>
      </c>
      <c r="AE184" s="5" t="s">
        <v>355</v>
      </c>
      <c r="AH184" s="5" t="s">
        <v>355</v>
      </c>
    </row>
    <row r="185">
      <c r="S185" s="5" t="s">
        <v>355</v>
      </c>
      <c r="T185" s="5" t="str">
        <f>IFERROR(__xludf.DUMMYFUNCTION("""COMPUTED_VALUE"""),"")</f>
        <v/>
      </c>
      <c r="U185" s="5" t="s">
        <v>355</v>
      </c>
      <c r="V185" s="5" t="s">
        <v>355</v>
      </c>
      <c r="W185" s="5" t="s">
        <v>355</v>
      </c>
      <c r="X185" s="5" t="str">
        <f>IFERROR(__xludf.DUMMYFUNCTION("""COMPUTED_VALUE"""),"")</f>
        <v/>
      </c>
      <c r="Y185" s="5" t="s">
        <v>355</v>
      </c>
      <c r="Z185" s="5" t="s">
        <v>355</v>
      </c>
      <c r="AB185" s="5" t="s">
        <v>355</v>
      </c>
      <c r="AE185" s="5" t="s">
        <v>355</v>
      </c>
      <c r="AH185" s="5" t="s">
        <v>355</v>
      </c>
    </row>
    <row r="186">
      <c r="S186" s="5" t="s">
        <v>355</v>
      </c>
      <c r="T186" s="5" t="str">
        <f>IFERROR(__xludf.DUMMYFUNCTION("""COMPUTED_VALUE"""),"")</f>
        <v/>
      </c>
      <c r="U186" s="5" t="s">
        <v>355</v>
      </c>
      <c r="V186" s="5" t="s">
        <v>355</v>
      </c>
      <c r="W186" s="5" t="s">
        <v>355</v>
      </c>
      <c r="X186" s="5" t="str">
        <f>IFERROR(__xludf.DUMMYFUNCTION("""COMPUTED_VALUE"""),"")</f>
        <v/>
      </c>
      <c r="Y186" s="5" t="s">
        <v>355</v>
      </c>
      <c r="Z186" s="5" t="s">
        <v>355</v>
      </c>
      <c r="AB186" s="5" t="s">
        <v>355</v>
      </c>
      <c r="AE186" s="5" t="s">
        <v>355</v>
      </c>
      <c r="AH186" s="5" t="s">
        <v>355</v>
      </c>
    </row>
    <row r="187">
      <c r="S187" s="5" t="s">
        <v>355</v>
      </c>
      <c r="T187" s="5" t="str">
        <f>IFERROR(__xludf.DUMMYFUNCTION("""COMPUTED_VALUE"""),"")</f>
        <v/>
      </c>
      <c r="U187" s="5" t="s">
        <v>355</v>
      </c>
      <c r="V187" s="5" t="s">
        <v>355</v>
      </c>
      <c r="W187" s="5" t="s">
        <v>355</v>
      </c>
      <c r="X187" s="5" t="str">
        <f>IFERROR(__xludf.DUMMYFUNCTION("""COMPUTED_VALUE"""),"")</f>
        <v/>
      </c>
      <c r="Y187" s="5" t="s">
        <v>355</v>
      </c>
      <c r="Z187" s="5" t="s">
        <v>355</v>
      </c>
      <c r="AB187" s="5" t="s">
        <v>355</v>
      </c>
      <c r="AE187" s="5" t="s">
        <v>355</v>
      </c>
      <c r="AH187" s="5" t="s">
        <v>355</v>
      </c>
    </row>
    <row r="188">
      <c r="S188" s="5" t="s">
        <v>355</v>
      </c>
      <c r="T188" s="5" t="str">
        <f>IFERROR(__xludf.DUMMYFUNCTION("""COMPUTED_VALUE"""),"")</f>
        <v/>
      </c>
      <c r="U188" s="5" t="s">
        <v>355</v>
      </c>
      <c r="V188" s="5" t="s">
        <v>355</v>
      </c>
      <c r="W188" s="5" t="s">
        <v>355</v>
      </c>
      <c r="X188" s="5" t="str">
        <f>IFERROR(__xludf.DUMMYFUNCTION("""COMPUTED_VALUE"""),"")</f>
        <v/>
      </c>
      <c r="Y188" s="5" t="s">
        <v>355</v>
      </c>
      <c r="Z188" s="5" t="s">
        <v>355</v>
      </c>
      <c r="AB188" s="5" t="s">
        <v>355</v>
      </c>
      <c r="AE188" s="5" t="s">
        <v>355</v>
      </c>
      <c r="AH188" s="5" t="s">
        <v>355</v>
      </c>
    </row>
    <row r="189">
      <c r="S189" s="5" t="s">
        <v>355</v>
      </c>
      <c r="T189" s="5" t="str">
        <f>IFERROR(__xludf.DUMMYFUNCTION("""COMPUTED_VALUE"""),"")</f>
        <v/>
      </c>
      <c r="U189" s="5" t="s">
        <v>355</v>
      </c>
      <c r="V189" s="5" t="s">
        <v>355</v>
      </c>
      <c r="W189" s="5" t="s">
        <v>355</v>
      </c>
      <c r="X189" s="5" t="str">
        <f>IFERROR(__xludf.DUMMYFUNCTION("""COMPUTED_VALUE"""),"")</f>
        <v/>
      </c>
      <c r="Y189" s="5" t="s">
        <v>355</v>
      </c>
      <c r="Z189" s="5" t="s">
        <v>355</v>
      </c>
      <c r="AB189" s="5" t="s">
        <v>355</v>
      </c>
      <c r="AE189" s="5" t="s">
        <v>355</v>
      </c>
      <c r="AH189" s="5" t="s">
        <v>355</v>
      </c>
    </row>
    <row r="190">
      <c r="S190" s="5" t="s">
        <v>355</v>
      </c>
      <c r="T190" s="5" t="str">
        <f>IFERROR(__xludf.DUMMYFUNCTION("""COMPUTED_VALUE"""),"")</f>
        <v/>
      </c>
      <c r="U190" s="5" t="s">
        <v>355</v>
      </c>
      <c r="V190" s="5" t="s">
        <v>355</v>
      </c>
      <c r="W190" s="5" t="s">
        <v>355</v>
      </c>
      <c r="X190" s="5" t="str">
        <f>IFERROR(__xludf.DUMMYFUNCTION("""COMPUTED_VALUE"""),"")</f>
        <v/>
      </c>
      <c r="Y190" s="5" t="s">
        <v>355</v>
      </c>
      <c r="Z190" s="5" t="s">
        <v>355</v>
      </c>
      <c r="AB190" s="5" t="s">
        <v>355</v>
      </c>
      <c r="AE190" s="5" t="s">
        <v>355</v>
      </c>
      <c r="AH190" s="5" t="s">
        <v>355</v>
      </c>
    </row>
    <row r="191">
      <c r="S191" s="5" t="s">
        <v>355</v>
      </c>
      <c r="T191" s="5" t="str">
        <f>IFERROR(__xludf.DUMMYFUNCTION("""COMPUTED_VALUE"""),"")</f>
        <v/>
      </c>
      <c r="U191" s="5" t="s">
        <v>355</v>
      </c>
      <c r="V191" s="5" t="s">
        <v>355</v>
      </c>
      <c r="W191" s="5" t="s">
        <v>355</v>
      </c>
      <c r="X191" s="5" t="str">
        <f>IFERROR(__xludf.DUMMYFUNCTION("""COMPUTED_VALUE"""),"")</f>
        <v/>
      </c>
      <c r="Y191" s="5" t="s">
        <v>355</v>
      </c>
      <c r="Z191" s="5" t="s">
        <v>355</v>
      </c>
      <c r="AB191" s="5" t="s">
        <v>355</v>
      </c>
      <c r="AE191" s="5" t="s">
        <v>355</v>
      </c>
      <c r="AH191" s="5" t="s">
        <v>355</v>
      </c>
    </row>
    <row r="192">
      <c r="S192" s="5" t="s">
        <v>355</v>
      </c>
      <c r="T192" s="5" t="str">
        <f>IFERROR(__xludf.DUMMYFUNCTION("""COMPUTED_VALUE"""),"")</f>
        <v/>
      </c>
      <c r="U192" s="5" t="s">
        <v>355</v>
      </c>
      <c r="V192" s="5" t="s">
        <v>355</v>
      </c>
      <c r="W192" s="5" t="s">
        <v>355</v>
      </c>
      <c r="X192" s="5" t="str">
        <f>IFERROR(__xludf.DUMMYFUNCTION("""COMPUTED_VALUE"""),"")</f>
        <v/>
      </c>
      <c r="Y192" s="5" t="s">
        <v>355</v>
      </c>
      <c r="Z192" s="5" t="s">
        <v>355</v>
      </c>
      <c r="AB192" s="5" t="s">
        <v>355</v>
      </c>
      <c r="AE192" s="5" t="s">
        <v>355</v>
      </c>
      <c r="AH192" s="5" t="s">
        <v>355</v>
      </c>
    </row>
    <row r="193">
      <c r="S193" s="5" t="s">
        <v>355</v>
      </c>
      <c r="T193" s="5" t="str">
        <f>IFERROR(__xludf.DUMMYFUNCTION("""COMPUTED_VALUE"""),"")</f>
        <v/>
      </c>
      <c r="U193" s="5" t="s">
        <v>355</v>
      </c>
      <c r="V193" s="5" t="s">
        <v>355</v>
      </c>
      <c r="W193" s="5" t="s">
        <v>355</v>
      </c>
      <c r="X193" s="5" t="str">
        <f>IFERROR(__xludf.DUMMYFUNCTION("""COMPUTED_VALUE"""),"")</f>
        <v/>
      </c>
      <c r="Y193" s="5" t="s">
        <v>355</v>
      </c>
      <c r="Z193" s="5" t="s">
        <v>355</v>
      </c>
      <c r="AB193" s="5" t="s">
        <v>355</v>
      </c>
      <c r="AE193" s="5" t="s">
        <v>355</v>
      </c>
      <c r="AH193" s="5" t="s">
        <v>355</v>
      </c>
    </row>
    <row r="194">
      <c r="S194" s="5" t="s">
        <v>355</v>
      </c>
      <c r="T194" s="5" t="str">
        <f>IFERROR(__xludf.DUMMYFUNCTION("""COMPUTED_VALUE"""),"")</f>
        <v/>
      </c>
      <c r="U194" s="5" t="s">
        <v>355</v>
      </c>
      <c r="V194" s="5" t="s">
        <v>355</v>
      </c>
      <c r="W194" s="5" t="s">
        <v>355</v>
      </c>
      <c r="X194" s="5" t="str">
        <f>IFERROR(__xludf.DUMMYFUNCTION("""COMPUTED_VALUE"""),"")</f>
        <v/>
      </c>
      <c r="Y194" s="5" t="s">
        <v>355</v>
      </c>
      <c r="Z194" s="5" t="s">
        <v>355</v>
      </c>
      <c r="AB194" s="5" t="s">
        <v>355</v>
      </c>
      <c r="AE194" s="5" t="s">
        <v>355</v>
      </c>
      <c r="AH194" s="5" t="s">
        <v>355</v>
      </c>
    </row>
    <row r="195">
      <c r="S195" s="5" t="s">
        <v>355</v>
      </c>
      <c r="T195" s="5" t="str">
        <f>IFERROR(__xludf.DUMMYFUNCTION("""COMPUTED_VALUE"""),"")</f>
        <v/>
      </c>
      <c r="U195" s="5" t="s">
        <v>355</v>
      </c>
      <c r="V195" s="5" t="s">
        <v>355</v>
      </c>
      <c r="W195" s="5" t="s">
        <v>355</v>
      </c>
      <c r="X195" s="5" t="str">
        <f>IFERROR(__xludf.DUMMYFUNCTION("""COMPUTED_VALUE"""),"")</f>
        <v/>
      </c>
      <c r="Y195" s="5" t="s">
        <v>355</v>
      </c>
      <c r="Z195" s="5" t="s">
        <v>355</v>
      </c>
      <c r="AB195" s="5" t="s">
        <v>355</v>
      </c>
      <c r="AE195" s="5" t="s">
        <v>355</v>
      </c>
      <c r="AH195" s="5" t="s">
        <v>355</v>
      </c>
    </row>
    <row r="196">
      <c r="S196" s="5" t="s">
        <v>355</v>
      </c>
      <c r="T196" s="5" t="str">
        <f>IFERROR(__xludf.DUMMYFUNCTION("""COMPUTED_VALUE"""),"")</f>
        <v/>
      </c>
      <c r="U196" s="5" t="s">
        <v>355</v>
      </c>
      <c r="V196" s="5" t="s">
        <v>355</v>
      </c>
      <c r="W196" s="5" t="s">
        <v>355</v>
      </c>
      <c r="X196" s="5" t="str">
        <f>IFERROR(__xludf.DUMMYFUNCTION("""COMPUTED_VALUE"""),"")</f>
        <v/>
      </c>
      <c r="Y196" s="5" t="s">
        <v>355</v>
      </c>
      <c r="Z196" s="5" t="s">
        <v>355</v>
      </c>
      <c r="AB196" s="5" t="s">
        <v>355</v>
      </c>
      <c r="AE196" s="5" t="s">
        <v>355</v>
      </c>
      <c r="AH196" s="5" t="s">
        <v>355</v>
      </c>
    </row>
    <row r="197">
      <c r="S197" s="5" t="s">
        <v>355</v>
      </c>
      <c r="T197" s="5" t="str">
        <f>IFERROR(__xludf.DUMMYFUNCTION("""COMPUTED_VALUE"""),"")</f>
        <v/>
      </c>
      <c r="U197" s="5" t="s">
        <v>355</v>
      </c>
      <c r="V197" s="5" t="s">
        <v>355</v>
      </c>
      <c r="W197" s="5" t="s">
        <v>355</v>
      </c>
      <c r="X197" s="5" t="str">
        <f>IFERROR(__xludf.DUMMYFUNCTION("""COMPUTED_VALUE"""),"")</f>
        <v/>
      </c>
      <c r="Y197" s="5" t="s">
        <v>355</v>
      </c>
      <c r="Z197" s="5" t="s">
        <v>355</v>
      </c>
      <c r="AB197" s="5" t="s">
        <v>355</v>
      </c>
      <c r="AE197" s="5" t="s">
        <v>355</v>
      </c>
      <c r="AH197" s="5" t="s">
        <v>355</v>
      </c>
    </row>
    <row r="198">
      <c r="S198" s="5" t="s">
        <v>355</v>
      </c>
      <c r="T198" s="5" t="str">
        <f>IFERROR(__xludf.DUMMYFUNCTION("""COMPUTED_VALUE"""),"")</f>
        <v/>
      </c>
      <c r="U198" s="5" t="s">
        <v>355</v>
      </c>
      <c r="V198" s="5" t="s">
        <v>355</v>
      </c>
      <c r="W198" s="5" t="s">
        <v>355</v>
      </c>
      <c r="X198" s="5" t="str">
        <f>IFERROR(__xludf.DUMMYFUNCTION("""COMPUTED_VALUE"""),"")</f>
        <v/>
      </c>
      <c r="Y198" s="5" t="s">
        <v>355</v>
      </c>
      <c r="Z198" s="5" t="s">
        <v>355</v>
      </c>
      <c r="AB198" s="5" t="s">
        <v>355</v>
      </c>
      <c r="AE198" s="5" t="s">
        <v>355</v>
      </c>
      <c r="AH198" s="5" t="s">
        <v>355</v>
      </c>
    </row>
    <row r="199">
      <c r="S199" s="5" t="s">
        <v>355</v>
      </c>
      <c r="T199" s="5" t="str">
        <f>IFERROR(__xludf.DUMMYFUNCTION("""COMPUTED_VALUE"""),"")</f>
        <v/>
      </c>
      <c r="U199" s="5" t="s">
        <v>355</v>
      </c>
      <c r="V199" s="5" t="s">
        <v>355</v>
      </c>
      <c r="W199" s="5" t="s">
        <v>355</v>
      </c>
      <c r="X199" s="5" t="str">
        <f>IFERROR(__xludf.DUMMYFUNCTION("""COMPUTED_VALUE"""),"")</f>
        <v/>
      </c>
      <c r="Y199" s="5" t="s">
        <v>355</v>
      </c>
      <c r="Z199" s="5" t="s">
        <v>355</v>
      </c>
      <c r="AB199" s="5" t="s">
        <v>355</v>
      </c>
      <c r="AE199" s="5" t="s">
        <v>355</v>
      </c>
      <c r="AH199" s="5" t="s">
        <v>355</v>
      </c>
    </row>
    <row r="200">
      <c r="S200" s="5" t="s">
        <v>355</v>
      </c>
      <c r="T200" s="5" t="str">
        <f>IFERROR(__xludf.DUMMYFUNCTION("""COMPUTED_VALUE"""),"")</f>
        <v/>
      </c>
      <c r="U200" s="5" t="s">
        <v>355</v>
      </c>
      <c r="V200" s="5" t="s">
        <v>355</v>
      </c>
      <c r="W200" s="5" t="s">
        <v>355</v>
      </c>
      <c r="X200" s="5" t="str">
        <f>IFERROR(__xludf.DUMMYFUNCTION("""COMPUTED_VALUE"""),"")</f>
        <v/>
      </c>
      <c r="Y200" s="5" t="s">
        <v>355</v>
      </c>
      <c r="Z200" s="5" t="s">
        <v>355</v>
      </c>
      <c r="AB200" s="5" t="s">
        <v>355</v>
      </c>
      <c r="AE200" s="5" t="s">
        <v>355</v>
      </c>
      <c r="AH200" s="5" t="s">
        <v>355</v>
      </c>
    </row>
    <row r="201">
      <c r="S201" s="5" t="s">
        <v>355</v>
      </c>
      <c r="T201" s="5" t="str">
        <f>IFERROR(__xludf.DUMMYFUNCTION("""COMPUTED_VALUE"""),"")</f>
        <v/>
      </c>
      <c r="U201" s="5" t="s">
        <v>355</v>
      </c>
      <c r="V201" s="5" t="s">
        <v>355</v>
      </c>
      <c r="W201" s="5" t="s">
        <v>355</v>
      </c>
      <c r="X201" s="5" t="str">
        <f>IFERROR(__xludf.DUMMYFUNCTION("""COMPUTED_VALUE"""),"")</f>
        <v/>
      </c>
      <c r="Y201" s="5" t="s">
        <v>355</v>
      </c>
      <c r="Z201" s="5" t="s">
        <v>355</v>
      </c>
      <c r="AB201" s="5" t="s">
        <v>355</v>
      </c>
      <c r="AE201" s="5" t="s">
        <v>355</v>
      </c>
      <c r="AH201" s="5" t="s">
        <v>355</v>
      </c>
    </row>
    <row r="202">
      <c r="S202" s="5" t="s">
        <v>355</v>
      </c>
      <c r="T202" s="5" t="str">
        <f>IFERROR(__xludf.DUMMYFUNCTION("""COMPUTED_VALUE"""),"")</f>
        <v/>
      </c>
      <c r="U202" s="5" t="s">
        <v>355</v>
      </c>
      <c r="V202" s="5" t="s">
        <v>355</v>
      </c>
      <c r="W202" s="5" t="s">
        <v>355</v>
      </c>
      <c r="X202" s="5" t="str">
        <f>IFERROR(__xludf.DUMMYFUNCTION("""COMPUTED_VALUE"""),"")</f>
        <v/>
      </c>
      <c r="Y202" s="5" t="s">
        <v>355</v>
      </c>
      <c r="Z202" s="5" t="s">
        <v>355</v>
      </c>
      <c r="AB202" s="5" t="s">
        <v>355</v>
      </c>
      <c r="AE202" s="5" t="s">
        <v>355</v>
      </c>
      <c r="AH202" s="5" t="s">
        <v>355</v>
      </c>
    </row>
    <row r="203">
      <c r="S203" s="5" t="s">
        <v>355</v>
      </c>
      <c r="T203" s="5" t="str">
        <f>IFERROR(__xludf.DUMMYFUNCTION("""COMPUTED_VALUE"""),"")</f>
        <v/>
      </c>
      <c r="U203" s="5" t="s">
        <v>355</v>
      </c>
      <c r="V203" s="5" t="s">
        <v>355</v>
      </c>
      <c r="W203" s="5" t="s">
        <v>355</v>
      </c>
      <c r="X203" s="5" t="str">
        <f>IFERROR(__xludf.DUMMYFUNCTION("""COMPUTED_VALUE"""),"")</f>
        <v/>
      </c>
      <c r="Y203" s="5" t="s">
        <v>355</v>
      </c>
      <c r="Z203" s="5" t="s">
        <v>355</v>
      </c>
      <c r="AB203" s="5" t="s">
        <v>355</v>
      </c>
      <c r="AE203" s="5" t="s">
        <v>355</v>
      </c>
      <c r="AH203" s="5" t="s">
        <v>355</v>
      </c>
    </row>
    <row r="204">
      <c r="S204" s="5" t="s">
        <v>355</v>
      </c>
      <c r="T204" s="5" t="str">
        <f>IFERROR(__xludf.DUMMYFUNCTION("""COMPUTED_VALUE"""),"")</f>
        <v/>
      </c>
      <c r="U204" s="5" t="s">
        <v>355</v>
      </c>
      <c r="V204" s="5" t="s">
        <v>355</v>
      </c>
      <c r="W204" s="5" t="s">
        <v>355</v>
      </c>
      <c r="X204" s="5" t="str">
        <f>IFERROR(__xludf.DUMMYFUNCTION("""COMPUTED_VALUE"""),"")</f>
        <v/>
      </c>
      <c r="Y204" s="5" t="s">
        <v>355</v>
      </c>
      <c r="Z204" s="5" t="s">
        <v>355</v>
      </c>
      <c r="AB204" s="5" t="s">
        <v>355</v>
      </c>
      <c r="AE204" s="5" t="s">
        <v>355</v>
      </c>
      <c r="AH204" s="5" t="s">
        <v>355</v>
      </c>
    </row>
    <row r="205">
      <c r="S205" s="5" t="s">
        <v>355</v>
      </c>
      <c r="T205" s="5" t="str">
        <f>IFERROR(__xludf.DUMMYFUNCTION("""COMPUTED_VALUE"""),"")</f>
        <v/>
      </c>
      <c r="U205" s="5" t="s">
        <v>355</v>
      </c>
      <c r="V205" s="5" t="s">
        <v>355</v>
      </c>
      <c r="W205" s="5" t="s">
        <v>355</v>
      </c>
      <c r="X205" s="5" t="str">
        <f>IFERROR(__xludf.DUMMYFUNCTION("""COMPUTED_VALUE"""),"")</f>
        <v/>
      </c>
      <c r="Y205" s="5" t="s">
        <v>355</v>
      </c>
      <c r="Z205" s="5" t="s">
        <v>355</v>
      </c>
      <c r="AB205" s="5" t="s">
        <v>355</v>
      </c>
      <c r="AE205" s="5" t="s">
        <v>355</v>
      </c>
      <c r="AH205" s="5" t="s">
        <v>355</v>
      </c>
    </row>
    <row r="206">
      <c r="S206" s="5" t="s">
        <v>355</v>
      </c>
      <c r="T206" s="5" t="str">
        <f>IFERROR(__xludf.DUMMYFUNCTION("""COMPUTED_VALUE"""),"")</f>
        <v/>
      </c>
      <c r="U206" s="5" t="s">
        <v>355</v>
      </c>
      <c r="V206" s="5" t="s">
        <v>355</v>
      </c>
      <c r="W206" s="5" t="s">
        <v>355</v>
      </c>
      <c r="X206" s="5" t="str">
        <f>IFERROR(__xludf.DUMMYFUNCTION("""COMPUTED_VALUE"""),"")</f>
        <v/>
      </c>
      <c r="Y206" s="5" t="s">
        <v>355</v>
      </c>
      <c r="Z206" s="5" t="s">
        <v>355</v>
      </c>
      <c r="AB206" s="5" t="s">
        <v>355</v>
      </c>
      <c r="AE206" s="5" t="s">
        <v>355</v>
      </c>
      <c r="AH206" s="5" t="s">
        <v>355</v>
      </c>
    </row>
    <row r="207">
      <c r="S207" s="5" t="s">
        <v>355</v>
      </c>
      <c r="T207" s="5" t="str">
        <f>IFERROR(__xludf.DUMMYFUNCTION("""COMPUTED_VALUE"""),"")</f>
        <v/>
      </c>
      <c r="U207" s="5" t="s">
        <v>355</v>
      </c>
      <c r="V207" s="5" t="s">
        <v>355</v>
      </c>
      <c r="W207" s="5" t="s">
        <v>355</v>
      </c>
      <c r="X207" s="5" t="str">
        <f>IFERROR(__xludf.DUMMYFUNCTION("""COMPUTED_VALUE"""),"")</f>
        <v/>
      </c>
      <c r="Y207" s="5" t="s">
        <v>355</v>
      </c>
      <c r="Z207" s="5" t="s">
        <v>355</v>
      </c>
      <c r="AB207" s="5" t="s">
        <v>355</v>
      </c>
      <c r="AE207" s="5" t="s">
        <v>355</v>
      </c>
      <c r="AH207" s="5" t="s">
        <v>355</v>
      </c>
    </row>
    <row r="208">
      <c r="S208" s="5" t="s">
        <v>355</v>
      </c>
      <c r="T208" s="5" t="str">
        <f>IFERROR(__xludf.DUMMYFUNCTION("""COMPUTED_VALUE"""),"")</f>
        <v/>
      </c>
      <c r="U208" s="5" t="s">
        <v>355</v>
      </c>
      <c r="V208" s="5" t="s">
        <v>355</v>
      </c>
      <c r="W208" s="5" t="s">
        <v>355</v>
      </c>
      <c r="X208" s="5" t="str">
        <f>IFERROR(__xludf.DUMMYFUNCTION("""COMPUTED_VALUE"""),"")</f>
        <v/>
      </c>
      <c r="Y208" s="5" t="s">
        <v>355</v>
      </c>
      <c r="Z208" s="5" t="s">
        <v>355</v>
      </c>
      <c r="AB208" s="5" t="s">
        <v>355</v>
      </c>
      <c r="AE208" s="5" t="s">
        <v>355</v>
      </c>
      <c r="AH208" s="5" t="s">
        <v>355</v>
      </c>
    </row>
    <row r="209">
      <c r="S209" s="5" t="s">
        <v>355</v>
      </c>
      <c r="T209" s="5" t="str">
        <f>IFERROR(__xludf.DUMMYFUNCTION("""COMPUTED_VALUE"""),"")</f>
        <v/>
      </c>
      <c r="U209" s="5" t="s">
        <v>355</v>
      </c>
      <c r="V209" s="5" t="s">
        <v>355</v>
      </c>
      <c r="W209" s="5" t="s">
        <v>355</v>
      </c>
      <c r="X209" s="5" t="str">
        <f>IFERROR(__xludf.DUMMYFUNCTION("""COMPUTED_VALUE"""),"")</f>
        <v/>
      </c>
      <c r="Y209" s="5" t="s">
        <v>355</v>
      </c>
      <c r="Z209" s="5" t="s">
        <v>355</v>
      </c>
      <c r="AB209" s="5" t="s">
        <v>355</v>
      </c>
      <c r="AE209" s="5" t="s">
        <v>355</v>
      </c>
      <c r="AH209" s="5" t="s">
        <v>355</v>
      </c>
    </row>
    <row r="210">
      <c r="S210" s="5" t="s">
        <v>355</v>
      </c>
      <c r="T210" s="5" t="str">
        <f>IFERROR(__xludf.DUMMYFUNCTION("""COMPUTED_VALUE"""),"")</f>
        <v/>
      </c>
      <c r="U210" s="5" t="s">
        <v>355</v>
      </c>
      <c r="V210" s="5" t="s">
        <v>355</v>
      </c>
      <c r="W210" s="5" t="s">
        <v>355</v>
      </c>
      <c r="X210" s="5" t="str">
        <f>IFERROR(__xludf.DUMMYFUNCTION("""COMPUTED_VALUE"""),"")</f>
        <v/>
      </c>
      <c r="Y210" s="5" t="s">
        <v>355</v>
      </c>
      <c r="Z210" s="5" t="s">
        <v>355</v>
      </c>
      <c r="AB210" s="5" t="s">
        <v>355</v>
      </c>
      <c r="AE210" s="5" t="s">
        <v>355</v>
      </c>
      <c r="AH210" s="5" t="s">
        <v>355</v>
      </c>
    </row>
    <row r="211">
      <c r="S211" s="5" t="s">
        <v>355</v>
      </c>
      <c r="T211" s="5" t="str">
        <f>IFERROR(__xludf.DUMMYFUNCTION("""COMPUTED_VALUE"""),"")</f>
        <v/>
      </c>
      <c r="U211" s="5" t="s">
        <v>355</v>
      </c>
      <c r="V211" s="5" t="s">
        <v>355</v>
      </c>
      <c r="W211" s="5" t="s">
        <v>355</v>
      </c>
      <c r="X211" s="5" t="str">
        <f>IFERROR(__xludf.DUMMYFUNCTION("""COMPUTED_VALUE"""),"")</f>
        <v/>
      </c>
      <c r="Y211" s="5" t="s">
        <v>355</v>
      </c>
      <c r="Z211" s="5" t="s">
        <v>355</v>
      </c>
      <c r="AB211" s="5" t="s">
        <v>355</v>
      </c>
      <c r="AE211" s="5" t="s">
        <v>355</v>
      </c>
      <c r="AH211" s="5" t="s">
        <v>355</v>
      </c>
    </row>
    <row r="212">
      <c r="S212" s="5" t="s">
        <v>355</v>
      </c>
      <c r="T212" s="5" t="str">
        <f>IFERROR(__xludf.DUMMYFUNCTION("""COMPUTED_VALUE"""),"")</f>
        <v/>
      </c>
      <c r="U212" s="5" t="s">
        <v>355</v>
      </c>
      <c r="V212" s="5" t="s">
        <v>355</v>
      </c>
      <c r="W212" s="5" t="s">
        <v>355</v>
      </c>
      <c r="X212" s="5" t="str">
        <f>IFERROR(__xludf.DUMMYFUNCTION("""COMPUTED_VALUE"""),"")</f>
        <v/>
      </c>
      <c r="Y212" s="5" t="s">
        <v>355</v>
      </c>
      <c r="Z212" s="5" t="s">
        <v>355</v>
      </c>
      <c r="AB212" s="5" t="s">
        <v>355</v>
      </c>
      <c r="AE212" s="5" t="s">
        <v>355</v>
      </c>
      <c r="AH212" s="5" t="s">
        <v>355</v>
      </c>
    </row>
    <row r="213">
      <c r="S213" s="5" t="s">
        <v>355</v>
      </c>
      <c r="T213" s="5" t="str">
        <f>IFERROR(__xludf.DUMMYFUNCTION("""COMPUTED_VALUE"""),"")</f>
        <v/>
      </c>
      <c r="U213" s="5" t="s">
        <v>355</v>
      </c>
      <c r="V213" s="5" t="s">
        <v>355</v>
      </c>
      <c r="W213" s="5" t="s">
        <v>355</v>
      </c>
      <c r="X213" s="5" t="str">
        <f>IFERROR(__xludf.DUMMYFUNCTION("""COMPUTED_VALUE"""),"")</f>
        <v/>
      </c>
      <c r="Y213" s="5" t="s">
        <v>355</v>
      </c>
      <c r="Z213" s="5" t="s">
        <v>355</v>
      </c>
      <c r="AB213" s="5" t="s">
        <v>355</v>
      </c>
      <c r="AE213" s="5" t="s">
        <v>355</v>
      </c>
      <c r="AH213" s="5" t="s">
        <v>355</v>
      </c>
    </row>
    <row r="214">
      <c r="S214" s="5" t="s">
        <v>355</v>
      </c>
      <c r="T214" s="5" t="str">
        <f>IFERROR(__xludf.DUMMYFUNCTION("""COMPUTED_VALUE"""),"")</f>
        <v/>
      </c>
      <c r="U214" s="5" t="s">
        <v>355</v>
      </c>
      <c r="V214" s="5" t="s">
        <v>355</v>
      </c>
      <c r="W214" s="5" t="s">
        <v>355</v>
      </c>
      <c r="X214" s="5" t="str">
        <f>IFERROR(__xludf.DUMMYFUNCTION("""COMPUTED_VALUE"""),"")</f>
        <v/>
      </c>
      <c r="Y214" s="5" t="s">
        <v>355</v>
      </c>
      <c r="Z214" s="5" t="s">
        <v>355</v>
      </c>
      <c r="AB214" s="5" t="s">
        <v>355</v>
      </c>
      <c r="AE214" s="5" t="s">
        <v>355</v>
      </c>
      <c r="AH214" s="5" t="s">
        <v>355</v>
      </c>
    </row>
    <row r="215">
      <c r="S215" s="5" t="s">
        <v>355</v>
      </c>
      <c r="T215" s="5" t="str">
        <f>IFERROR(__xludf.DUMMYFUNCTION("""COMPUTED_VALUE"""),"")</f>
        <v/>
      </c>
      <c r="U215" s="5" t="s">
        <v>355</v>
      </c>
      <c r="V215" s="5" t="s">
        <v>355</v>
      </c>
      <c r="W215" s="5" t="s">
        <v>355</v>
      </c>
      <c r="X215" s="5" t="str">
        <f>IFERROR(__xludf.DUMMYFUNCTION("""COMPUTED_VALUE"""),"")</f>
        <v/>
      </c>
      <c r="Y215" s="5" t="s">
        <v>355</v>
      </c>
      <c r="Z215" s="5" t="s">
        <v>355</v>
      </c>
      <c r="AB215" s="5" t="s">
        <v>355</v>
      </c>
      <c r="AE215" s="5" t="s">
        <v>355</v>
      </c>
      <c r="AH215" s="5" t="s">
        <v>355</v>
      </c>
    </row>
    <row r="216">
      <c r="S216" s="5" t="s">
        <v>355</v>
      </c>
      <c r="T216" s="5" t="str">
        <f>IFERROR(__xludf.DUMMYFUNCTION("""COMPUTED_VALUE"""),"")</f>
        <v/>
      </c>
      <c r="U216" s="5" t="s">
        <v>355</v>
      </c>
      <c r="V216" s="5" t="s">
        <v>355</v>
      </c>
      <c r="W216" s="5" t="s">
        <v>355</v>
      </c>
      <c r="X216" s="5" t="str">
        <f>IFERROR(__xludf.DUMMYFUNCTION("""COMPUTED_VALUE"""),"")</f>
        <v/>
      </c>
      <c r="Y216" s="5" t="s">
        <v>355</v>
      </c>
      <c r="Z216" s="5" t="s">
        <v>355</v>
      </c>
      <c r="AB216" s="5" t="s">
        <v>355</v>
      </c>
      <c r="AE216" s="5" t="s">
        <v>355</v>
      </c>
      <c r="AH216" s="5" t="s">
        <v>355</v>
      </c>
    </row>
    <row r="217">
      <c r="S217" s="5" t="s">
        <v>355</v>
      </c>
      <c r="T217" s="5" t="str">
        <f>IFERROR(__xludf.DUMMYFUNCTION("""COMPUTED_VALUE"""),"")</f>
        <v/>
      </c>
      <c r="U217" s="5" t="s">
        <v>355</v>
      </c>
      <c r="V217" s="5" t="s">
        <v>355</v>
      </c>
      <c r="W217" s="5" t="s">
        <v>355</v>
      </c>
      <c r="X217" s="5" t="str">
        <f>IFERROR(__xludf.DUMMYFUNCTION("""COMPUTED_VALUE"""),"")</f>
        <v/>
      </c>
      <c r="Y217" s="5" t="s">
        <v>355</v>
      </c>
      <c r="Z217" s="5" t="s">
        <v>355</v>
      </c>
      <c r="AB217" s="5" t="s">
        <v>355</v>
      </c>
      <c r="AE217" s="5" t="s">
        <v>355</v>
      </c>
      <c r="AH217" s="5" t="s">
        <v>355</v>
      </c>
    </row>
    <row r="218">
      <c r="S218" s="5" t="s">
        <v>355</v>
      </c>
      <c r="T218" s="5" t="str">
        <f>IFERROR(__xludf.DUMMYFUNCTION("""COMPUTED_VALUE"""),"")</f>
        <v/>
      </c>
      <c r="U218" s="5" t="s">
        <v>355</v>
      </c>
      <c r="V218" s="5" t="s">
        <v>355</v>
      </c>
      <c r="W218" s="5" t="s">
        <v>355</v>
      </c>
      <c r="X218" s="5" t="str">
        <f>IFERROR(__xludf.DUMMYFUNCTION("""COMPUTED_VALUE"""),"")</f>
        <v/>
      </c>
      <c r="Y218" s="5" t="s">
        <v>355</v>
      </c>
      <c r="Z218" s="5" t="s">
        <v>355</v>
      </c>
      <c r="AB218" s="5" t="s">
        <v>355</v>
      </c>
      <c r="AE218" s="5" t="s">
        <v>355</v>
      </c>
      <c r="AH218" s="5" t="s">
        <v>355</v>
      </c>
    </row>
    <row r="219">
      <c r="S219" s="5" t="s">
        <v>355</v>
      </c>
      <c r="T219" s="5" t="str">
        <f>IFERROR(__xludf.DUMMYFUNCTION("""COMPUTED_VALUE"""),"")</f>
        <v/>
      </c>
      <c r="U219" s="5" t="s">
        <v>355</v>
      </c>
      <c r="V219" s="5" t="s">
        <v>355</v>
      </c>
      <c r="W219" s="5" t="s">
        <v>355</v>
      </c>
      <c r="X219" s="5" t="str">
        <f>IFERROR(__xludf.DUMMYFUNCTION("""COMPUTED_VALUE"""),"")</f>
        <v/>
      </c>
      <c r="Y219" s="5" t="s">
        <v>355</v>
      </c>
      <c r="Z219" s="5" t="s">
        <v>355</v>
      </c>
      <c r="AB219" s="5" t="s">
        <v>355</v>
      </c>
      <c r="AE219" s="5" t="s">
        <v>355</v>
      </c>
      <c r="AH219" s="5" t="s">
        <v>355</v>
      </c>
    </row>
    <row r="220">
      <c r="S220" s="5" t="s">
        <v>355</v>
      </c>
      <c r="T220" s="5" t="str">
        <f>IFERROR(__xludf.DUMMYFUNCTION("""COMPUTED_VALUE"""),"")</f>
        <v/>
      </c>
      <c r="U220" s="5" t="s">
        <v>355</v>
      </c>
      <c r="V220" s="5" t="s">
        <v>355</v>
      </c>
      <c r="W220" s="5" t="s">
        <v>355</v>
      </c>
      <c r="X220" s="5" t="str">
        <f>IFERROR(__xludf.DUMMYFUNCTION("""COMPUTED_VALUE"""),"")</f>
        <v/>
      </c>
      <c r="Y220" s="5" t="s">
        <v>355</v>
      </c>
      <c r="Z220" s="5" t="s">
        <v>355</v>
      </c>
      <c r="AB220" s="5" t="s">
        <v>355</v>
      </c>
      <c r="AE220" s="5" t="s">
        <v>355</v>
      </c>
      <c r="AH220" s="5" t="s">
        <v>355</v>
      </c>
    </row>
    <row r="221">
      <c r="S221" s="5" t="s">
        <v>355</v>
      </c>
      <c r="T221" s="5" t="str">
        <f>IFERROR(__xludf.DUMMYFUNCTION("""COMPUTED_VALUE"""),"")</f>
        <v/>
      </c>
      <c r="U221" s="5" t="s">
        <v>355</v>
      </c>
      <c r="V221" s="5" t="s">
        <v>355</v>
      </c>
      <c r="W221" s="5" t="s">
        <v>355</v>
      </c>
      <c r="X221" s="5" t="str">
        <f>IFERROR(__xludf.DUMMYFUNCTION("""COMPUTED_VALUE"""),"")</f>
        <v/>
      </c>
      <c r="Y221" s="5" t="s">
        <v>355</v>
      </c>
      <c r="Z221" s="5" t="s">
        <v>355</v>
      </c>
      <c r="AB221" s="5" t="s">
        <v>355</v>
      </c>
      <c r="AE221" s="5" t="s">
        <v>355</v>
      </c>
      <c r="AH221" s="5" t="s">
        <v>355</v>
      </c>
    </row>
    <row r="222">
      <c r="S222" s="5" t="s">
        <v>355</v>
      </c>
      <c r="T222" s="5" t="str">
        <f>IFERROR(__xludf.DUMMYFUNCTION("""COMPUTED_VALUE"""),"")</f>
        <v/>
      </c>
      <c r="U222" s="5" t="s">
        <v>355</v>
      </c>
      <c r="V222" s="5" t="s">
        <v>355</v>
      </c>
      <c r="W222" s="5" t="s">
        <v>355</v>
      </c>
      <c r="X222" s="5" t="str">
        <f>IFERROR(__xludf.DUMMYFUNCTION("""COMPUTED_VALUE"""),"")</f>
        <v/>
      </c>
      <c r="Y222" s="5" t="s">
        <v>355</v>
      </c>
      <c r="Z222" s="5" t="s">
        <v>355</v>
      </c>
      <c r="AB222" s="5" t="s">
        <v>355</v>
      </c>
      <c r="AE222" s="5" t="s">
        <v>355</v>
      </c>
      <c r="AH222" s="5" t="s">
        <v>355</v>
      </c>
    </row>
    <row r="223">
      <c r="S223" s="5" t="s">
        <v>355</v>
      </c>
      <c r="T223" s="5" t="str">
        <f>IFERROR(__xludf.DUMMYFUNCTION("""COMPUTED_VALUE"""),"")</f>
        <v/>
      </c>
      <c r="U223" s="5" t="s">
        <v>355</v>
      </c>
      <c r="V223" s="5" t="s">
        <v>355</v>
      </c>
      <c r="W223" s="5" t="s">
        <v>355</v>
      </c>
      <c r="X223" s="5" t="str">
        <f>IFERROR(__xludf.DUMMYFUNCTION("""COMPUTED_VALUE"""),"")</f>
        <v/>
      </c>
      <c r="Y223" s="5" t="s">
        <v>355</v>
      </c>
      <c r="Z223" s="5" t="s">
        <v>355</v>
      </c>
      <c r="AB223" s="5" t="s">
        <v>355</v>
      </c>
      <c r="AE223" s="5" t="s">
        <v>355</v>
      </c>
      <c r="AH223" s="5" t="s">
        <v>355</v>
      </c>
    </row>
    <row r="224">
      <c r="S224" s="5" t="s">
        <v>355</v>
      </c>
      <c r="T224" s="5" t="str">
        <f>IFERROR(__xludf.DUMMYFUNCTION("""COMPUTED_VALUE"""),"")</f>
        <v/>
      </c>
      <c r="U224" s="5" t="s">
        <v>355</v>
      </c>
      <c r="V224" s="5" t="s">
        <v>355</v>
      </c>
      <c r="W224" s="5" t="s">
        <v>355</v>
      </c>
      <c r="X224" s="5" t="str">
        <f>IFERROR(__xludf.DUMMYFUNCTION("""COMPUTED_VALUE"""),"")</f>
        <v/>
      </c>
      <c r="Y224" s="5" t="s">
        <v>355</v>
      </c>
      <c r="Z224" s="5" t="s">
        <v>355</v>
      </c>
      <c r="AB224" s="5" t="s">
        <v>355</v>
      </c>
      <c r="AE224" s="5" t="s">
        <v>355</v>
      </c>
      <c r="AH224" s="5" t="s">
        <v>355</v>
      </c>
    </row>
    <row r="225">
      <c r="S225" s="5" t="s">
        <v>355</v>
      </c>
      <c r="T225" s="5" t="str">
        <f>IFERROR(__xludf.DUMMYFUNCTION("""COMPUTED_VALUE"""),"")</f>
        <v/>
      </c>
      <c r="U225" s="5" t="s">
        <v>355</v>
      </c>
      <c r="V225" s="5" t="s">
        <v>355</v>
      </c>
      <c r="W225" s="5" t="s">
        <v>355</v>
      </c>
      <c r="X225" s="5" t="str">
        <f>IFERROR(__xludf.DUMMYFUNCTION("""COMPUTED_VALUE"""),"")</f>
        <v/>
      </c>
      <c r="Y225" s="5" t="s">
        <v>355</v>
      </c>
      <c r="Z225" s="5" t="s">
        <v>355</v>
      </c>
      <c r="AB225" s="5" t="s">
        <v>355</v>
      </c>
      <c r="AE225" s="5" t="s">
        <v>355</v>
      </c>
      <c r="AH225" s="5" t="s">
        <v>355</v>
      </c>
    </row>
    <row r="226">
      <c r="S226" s="5" t="s">
        <v>355</v>
      </c>
      <c r="T226" s="5" t="str">
        <f>IFERROR(__xludf.DUMMYFUNCTION("""COMPUTED_VALUE"""),"")</f>
        <v/>
      </c>
      <c r="U226" s="5" t="s">
        <v>355</v>
      </c>
      <c r="V226" s="5" t="s">
        <v>355</v>
      </c>
      <c r="W226" s="5" t="s">
        <v>355</v>
      </c>
      <c r="X226" s="5" t="str">
        <f>IFERROR(__xludf.DUMMYFUNCTION("""COMPUTED_VALUE"""),"")</f>
        <v/>
      </c>
      <c r="Y226" s="5" t="s">
        <v>355</v>
      </c>
      <c r="Z226" s="5" t="s">
        <v>355</v>
      </c>
      <c r="AB226" s="5" t="s">
        <v>355</v>
      </c>
      <c r="AE226" s="5" t="s">
        <v>355</v>
      </c>
      <c r="AH226" s="5" t="s">
        <v>355</v>
      </c>
    </row>
    <row r="227">
      <c r="S227" s="5" t="s">
        <v>355</v>
      </c>
      <c r="T227" s="5" t="str">
        <f>IFERROR(__xludf.DUMMYFUNCTION("""COMPUTED_VALUE"""),"")</f>
        <v/>
      </c>
      <c r="U227" s="5" t="s">
        <v>355</v>
      </c>
      <c r="V227" s="5" t="s">
        <v>355</v>
      </c>
      <c r="W227" s="5" t="s">
        <v>355</v>
      </c>
      <c r="X227" s="5" t="str">
        <f>IFERROR(__xludf.DUMMYFUNCTION("""COMPUTED_VALUE"""),"")</f>
        <v/>
      </c>
      <c r="Y227" s="5" t="s">
        <v>355</v>
      </c>
      <c r="Z227" s="5" t="s">
        <v>355</v>
      </c>
      <c r="AB227" s="5" t="s">
        <v>355</v>
      </c>
      <c r="AE227" s="5" t="s">
        <v>355</v>
      </c>
      <c r="AH227" s="5" t="s">
        <v>355</v>
      </c>
    </row>
    <row r="228">
      <c r="S228" s="5" t="s">
        <v>355</v>
      </c>
      <c r="T228" s="5" t="str">
        <f>IFERROR(__xludf.DUMMYFUNCTION("""COMPUTED_VALUE"""),"")</f>
        <v/>
      </c>
      <c r="U228" s="5" t="s">
        <v>355</v>
      </c>
      <c r="V228" s="5" t="s">
        <v>355</v>
      </c>
      <c r="W228" s="5" t="s">
        <v>355</v>
      </c>
      <c r="X228" s="5" t="str">
        <f>IFERROR(__xludf.DUMMYFUNCTION("""COMPUTED_VALUE"""),"")</f>
        <v/>
      </c>
      <c r="Y228" s="5" t="s">
        <v>355</v>
      </c>
      <c r="Z228" s="5" t="s">
        <v>355</v>
      </c>
      <c r="AB228" s="5" t="s">
        <v>355</v>
      </c>
      <c r="AE228" s="5" t="s">
        <v>355</v>
      </c>
      <c r="AH228" s="5" t="s">
        <v>355</v>
      </c>
    </row>
    <row r="229">
      <c r="S229" s="5" t="s">
        <v>355</v>
      </c>
      <c r="T229" s="5" t="str">
        <f>IFERROR(__xludf.DUMMYFUNCTION("""COMPUTED_VALUE"""),"")</f>
        <v/>
      </c>
      <c r="U229" s="5" t="s">
        <v>355</v>
      </c>
      <c r="V229" s="5" t="s">
        <v>355</v>
      </c>
      <c r="W229" s="5" t="s">
        <v>355</v>
      </c>
      <c r="X229" s="5" t="str">
        <f>IFERROR(__xludf.DUMMYFUNCTION("""COMPUTED_VALUE"""),"")</f>
        <v/>
      </c>
      <c r="Y229" s="5" t="s">
        <v>355</v>
      </c>
      <c r="Z229" s="5" t="s">
        <v>355</v>
      </c>
      <c r="AB229" s="5" t="s">
        <v>355</v>
      </c>
      <c r="AE229" s="5" t="s">
        <v>355</v>
      </c>
      <c r="AH229" s="5" t="s">
        <v>355</v>
      </c>
    </row>
    <row r="230">
      <c r="S230" s="5" t="s">
        <v>355</v>
      </c>
      <c r="T230" s="5" t="str">
        <f>IFERROR(__xludf.DUMMYFUNCTION("""COMPUTED_VALUE"""),"")</f>
        <v/>
      </c>
      <c r="U230" s="5" t="s">
        <v>355</v>
      </c>
      <c r="V230" s="5" t="s">
        <v>355</v>
      </c>
      <c r="W230" s="5" t="s">
        <v>355</v>
      </c>
      <c r="X230" s="5" t="str">
        <f>IFERROR(__xludf.DUMMYFUNCTION("""COMPUTED_VALUE"""),"")</f>
        <v/>
      </c>
      <c r="Y230" s="5" t="s">
        <v>355</v>
      </c>
      <c r="Z230" s="5" t="s">
        <v>355</v>
      </c>
      <c r="AB230" s="5" t="s">
        <v>355</v>
      </c>
      <c r="AE230" s="5" t="s">
        <v>355</v>
      </c>
      <c r="AH230" s="5" t="s">
        <v>355</v>
      </c>
    </row>
    <row r="231">
      <c r="S231" s="5" t="s">
        <v>355</v>
      </c>
      <c r="T231" s="5" t="str">
        <f>IFERROR(__xludf.DUMMYFUNCTION("""COMPUTED_VALUE"""),"")</f>
        <v/>
      </c>
      <c r="U231" s="5" t="s">
        <v>355</v>
      </c>
      <c r="V231" s="5" t="s">
        <v>355</v>
      </c>
      <c r="W231" s="5" t="s">
        <v>355</v>
      </c>
      <c r="X231" s="5" t="str">
        <f>IFERROR(__xludf.DUMMYFUNCTION("""COMPUTED_VALUE"""),"")</f>
        <v/>
      </c>
      <c r="Y231" s="5" t="s">
        <v>355</v>
      </c>
      <c r="Z231" s="5" t="s">
        <v>355</v>
      </c>
      <c r="AB231" s="5" t="s">
        <v>355</v>
      </c>
      <c r="AE231" s="5" t="s">
        <v>355</v>
      </c>
      <c r="AH231" s="5" t="s">
        <v>355</v>
      </c>
    </row>
    <row r="232">
      <c r="S232" s="5" t="s">
        <v>355</v>
      </c>
      <c r="T232" s="5" t="str">
        <f>IFERROR(__xludf.DUMMYFUNCTION("""COMPUTED_VALUE"""),"")</f>
        <v/>
      </c>
      <c r="U232" s="5" t="s">
        <v>355</v>
      </c>
      <c r="V232" s="5" t="s">
        <v>355</v>
      </c>
      <c r="W232" s="5" t="s">
        <v>355</v>
      </c>
      <c r="X232" s="5" t="str">
        <f>IFERROR(__xludf.DUMMYFUNCTION("""COMPUTED_VALUE"""),"")</f>
        <v/>
      </c>
      <c r="Y232" s="5" t="s">
        <v>355</v>
      </c>
      <c r="Z232" s="5" t="s">
        <v>355</v>
      </c>
      <c r="AB232" s="5" t="s">
        <v>355</v>
      </c>
      <c r="AE232" s="5" t="s">
        <v>355</v>
      </c>
      <c r="AH232" s="5" t="s">
        <v>355</v>
      </c>
    </row>
    <row r="233">
      <c r="S233" s="5" t="s">
        <v>355</v>
      </c>
      <c r="T233" s="5" t="str">
        <f>IFERROR(__xludf.DUMMYFUNCTION("""COMPUTED_VALUE"""),"")</f>
        <v/>
      </c>
      <c r="U233" s="5" t="s">
        <v>355</v>
      </c>
      <c r="V233" s="5" t="s">
        <v>355</v>
      </c>
      <c r="W233" s="5" t="s">
        <v>355</v>
      </c>
      <c r="X233" s="5" t="str">
        <f>IFERROR(__xludf.DUMMYFUNCTION("""COMPUTED_VALUE"""),"")</f>
        <v/>
      </c>
      <c r="Y233" s="5" t="s">
        <v>355</v>
      </c>
      <c r="Z233" s="5" t="s">
        <v>355</v>
      </c>
      <c r="AB233" s="5" t="s">
        <v>355</v>
      </c>
      <c r="AE233" s="5" t="s">
        <v>355</v>
      </c>
      <c r="AH233" s="5" t="s">
        <v>355</v>
      </c>
    </row>
    <row r="234">
      <c r="S234" s="5" t="s">
        <v>355</v>
      </c>
      <c r="T234" s="5" t="str">
        <f>IFERROR(__xludf.DUMMYFUNCTION("""COMPUTED_VALUE"""),"")</f>
        <v/>
      </c>
      <c r="U234" s="5" t="s">
        <v>355</v>
      </c>
      <c r="V234" s="5" t="s">
        <v>355</v>
      </c>
      <c r="W234" s="5" t="s">
        <v>355</v>
      </c>
      <c r="X234" s="5" t="str">
        <f>IFERROR(__xludf.DUMMYFUNCTION("""COMPUTED_VALUE"""),"")</f>
        <v/>
      </c>
      <c r="Y234" s="5" t="s">
        <v>355</v>
      </c>
      <c r="Z234" s="5" t="s">
        <v>355</v>
      </c>
      <c r="AB234" s="5" t="s">
        <v>355</v>
      </c>
      <c r="AE234" s="5" t="s">
        <v>355</v>
      </c>
      <c r="AH234" s="5" t="s">
        <v>355</v>
      </c>
    </row>
    <row r="235">
      <c r="S235" s="5" t="s">
        <v>355</v>
      </c>
      <c r="T235" s="5" t="str">
        <f>IFERROR(__xludf.DUMMYFUNCTION("""COMPUTED_VALUE"""),"")</f>
        <v/>
      </c>
      <c r="U235" s="5" t="s">
        <v>355</v>
      </c>
      <c r="V235" s="5" t="s">
        <v>355</v>
      </c>
      <c r="W235" s="5" t="s">
        <v>355</v>
      </c>
      <c r="X235" s="5" t="str">
        <f>IFERROR(__xludf.DUMMYFUNCTION("""COMPUTED_VALUE"""),"")</f>
        <v/>
      </c>
      <c r="Y235" s="5" t="s">
        <v>355</v>
      </c>
      <c r="Z235" s="5" t="s">
        <v>355</v>
      </c>
      <c r="AB235" s="5" t="s">
        <v>355</v>
      </c>
      <c r="AE235" s="5" t="s">
        <v>355</v>
      </c>
      <c r="AH235" s="5" t="s">
        <v>355</v>
      </c>
    </row>
    <row r="236">
      <c r="S236" s="5" t="s">
        <v>355</v>
      </c>
      <c r="T236" s="5" t="str">
        <f>IFERROR(__xludf.DUMMYFUNCTION("""COMPUTED_VALUE"""),"")</f>
        <v/>
      </c>
      <c r="U236" s="5" t="s">
        <v>355</v>
      </c>
      <c r="V236" s="5" t="s">
        <v>355</v>
      </c>
      <c r="W236" s="5" t="s">
        <v>355</v>
      </c>
      <c r="X236" s="5" t="str">
        <f>IFERROR(__xludf.DUMMYFUNCTION("""COMPUTED_VALUE"""),"")</f>
        <v/>
      </c>
      <c r="Y236" s="5" t="s">
        <v>355</v>
      </c>
      <c r="Z236" s="5" t="s">
        <v>355</v>
      </c>
      <c r="AB236" s="5" t="s">
        <v>355</v>
      </c>
      <c r="AE236" s="5" t="s">
        <v>355</v>
      </c>
      <c r="AH236" s="5" t="s">
        <v>355</v>
      </c>
    </row>
    <row r="237">
      <c r="S237" s="5" t="s">
        <v>355</v>
      </c>
      <c r="T237" s="5" t="str">
        <f>IFERROR(__xludf.DUMMYFUNCTION("""COMPUTED_VALUE"""),"")</f>
        <v/>
      </c>
      <c r="U237" s="5" t="s">
        <v>355</v>
      </c>
      <c r="V237" s="5" t="s">
        <v>355</v>
      </c>
      <c r="W237" s="5" t="s">
        <v>355</v>
      </c>
      <c r="X237" s="5" t="str">
        <f>IFERROR(__xludf.DUMMYFUNCTION("""COMPUTED_VALUE"""),"")</f>
        <v/>
      </c>
      <c r="Y237" s="5" t="s">
        <v>355</v>
      </c>
      <c r="Z237" s="5" t="s">
        <v>355</v>
      </c>
      <c r="AB237" s="5" t="s">
        <v>355</v>
      </c>
      <c r="AE237" s="5" t="s">
        <v>355</v>
      </c>
      <c r="AH237" s="5" t="s">
        <v>355</v>
      </c>
    </row>
    <row r="238">
      <c r="S238" s="5" t="s">
        <v>355</v>
      </c>
      <c r="T238" s="5" t="str">
        <f>IFERROR(__xludf.DUMMYFUNCTION("""COMPUTED_VALUE"""),"")</f>
        <v/>
      </c>
      <c r="U238" s="5" t="s">
        <v>355</v>
      </c>
      <c r="V238" s="5" t="s">
        <v>355</v>
      </c>
      <c r="W238" s="5" t="s">
        <v>355</v>
      </c>
      <c r="X238" s="5" t="str">
        <f>IFERROR(__xludf.DUMMYFUNCTION("""COMPUTED_VALUE"""),"")</f>
        <v/>
      </c>
      <c r="Y238" s="5" t="s">
        <v>355</v>
      </c>
      <c r="Z238" s="5" t="s">
        <v>355</v>
      </c>
      <c r="AB238" s="5" t="s">
        <v>355</v>
      </c>
      <c r="AE238" s="5" t="s">
        <v>355</v>
      </c>
      <c r="AH238" s="5" t="s">
        <v>355</v>
      </c>
    </row>
    <row r="239">
      <c r="S239" s="5" t="s">
        <v>355</v>
      </c>
      <c r="T239" s="5" t="str">
        <f>IFERROR(__xludf.DUMMYFUNCTION("""COMPUTED_VALUE"""),"")</f>
        <v/>
      </c>
      <c r="U239" s="5" t="s">
        <v>355</v>
      </c>
      <c r="V239" s="5" t="s">
        <v>355</v>
      </c>
      <c r="W239" s="5" t="s">
        <v>355</v>
      </c>
      <c r="X239" s="5" t="str">
        <f>IFERROR(__xludf.DUMMYFUNCTION("""COMPUTED_VALUE"""),"")</f>
        <v/>
      </c>
      <c r="Y239" s="5" t="s">
        <v>355</v>
      </c>
      <c r="Z239" s="5" t="s">
        <v>355</v>
      </c>
      <c r="AB239" s="5" t="s">
        <v>355</v>
      </c>
      <c r="AE239" s="5" t="s">
        <v>355</v>
      </c>
      <c r="AH239" s="5" t="s">
        <v>355</v>
      </c>
    </row>
    <row r="240">
      <c r="S240" s="5" t="s">
        <v>355</v>
      </c>
      <c r="T240" s="5" t="str">
        <f>IFERROR(__xludf.DUMMYFUNCTION("""COMPUTED_VALUE"""),"")</f>
        <v/>
      </c>
      <c r="U240" s="5" t="s">
        <v>355</v>
      </c>
      <c r="V240" s="5" t="s">
        <v>355</v>
      </c>
      <c r="W240" s="5" t="s">
        <v>355</v>
      </c>
      <c r="X240" s="5" t="str">
        <f>IFERROR(__xludf.DUMMYFUNCTION("""COMPUTED_VALUE"""),"")</f>
        <v/>
      </c>
      <c r="Y240" s="5" t="s">
        <v>355</v>
      </c>
      <c r="Z240" s="5" t="s">
        <v>355</v>
      </c>
      <c r="AB240" s="5" t="s">
        <v>355</v>
      </c>
      <c r="AE240" s="5" t="s">
        <v>355</v>
      </c>
      <c r="AH240" s="5" t="s">
        <v>355</v>
      </c>
    </row>
    <row r="241">
      <c r="S241" s="5" t="s">
        <v>355</v>
      </c>
      <c r="T241" s="5" t="str">
        <f>IFERROR(__xludf.DUMMYFUNCTION("""COMPUTED_VALUE"""),"")</f>
        <v/>
      </c>
      <c r="U241" s="5" t="s">
        <v>355</v>
      </c>
      <c r="V241" s="5" t="s">
        <v>355</v>
      </c>
      <c r="W241" s="5" t="s">
        <v>355</v>
      </c>
      <c r="X241" s="5" t="str">
        <f>IFERROR(__xludf.DUMMYFUNCTION("""COMPUTED_VALUE"""),"")</f>
        <v/>
      </c>
      <c r="Y241" s="5" t="s">
        <v>355</v>
      </c>
      <c r="Z241" s="5" t="s">
        <v>355</v>
      </c>
      <c r="AB241" s="5" t="s">
        <v>355</v>
      </c>
      <c r="AE241" s="5" t="s">
        <v>355</v>
      </c>
      <c r="AH241" s="5" t="s">
        <v>355</v>
      </c>
    </row>
    <row r="242">
      <c r="S242" s="5" t="s">
        <v>355</v>
      </c>
      <c r="T242" s="5" t="str">
        <f>IFERROR(__xludf.DUMMYFUNCTION("""COMPUTED_VALUE"""),"")</f>
        <v/>
      </c>
      <c r="U242" s="5" t="s">
        <v>355</v>
      </c>
      <c r="V242" s="5" t="s">
        <v>355</v>
      </c>
      <c r="W242" s="5" t="s">
        <v>355</v>
      </c>
      <c r="X242" s="5" t="str">
        <f>IFERROR(__xludf.DUMMYFUNCTION("""COMPUTED_VALUE"""),"")</f>
        <v/>
      </c>
      <c r="Y242" s="5" t="s">
        <v>355</v>
      </c>
      <c r="Z242" s="5" t="s">
        <v>355</v>
      </c>
      <c r="AB242" s="5" t="s">
        <v>355</v>
      </c>
      <c r="AE242" s="5" t="s">
        <v>355</v>
      </c>
      <c r="AH242" s="5" t="s">
        <v>355</v>
      </c>
    </row>
    <row r="243">
      <c r="S243" s="5" t="s">
        <v>355</v>
      </c>
      <c r="T243" s="5" t="str">
        <f>IFERROR(__xludf.DUMMYFUNCTION("""COMPUTED_VALUE"""),"")</f>
        <v/>
      </c>
      <c r="U243" s="5" t="s">
        <v>355</v>
      </c>
      <c r="V243" s="5" t="s">
        <v>355</v>
      </c>
      <c r="W243" s="5" t="s">
        <v>355</v>
      </c>
      <c r="X243" s="5" t="str">
        <f>IFERROR(__xludf.DUMMYFUNCTION("""COMPUTED_VALUE"""),"")</f>
        <v/>
      </c>
      <c r="Y243" s="5" t="s">
        <v>355</v>
      </c>
      <c r="Z243" s="5" t="s">
        <v>355</v>
      </c>
      <c r="AB243" s="5" t="s">
        <v>355</v>
      </c>
      <c r="AE243" s="5" t="s">
        <v>355</v>
      </c>
      <c r="AH243" s="5" t="s">
        <v>355</v>
      </c>
    </row>
    <row r="244">
      <c r="S244" s="5" t="s">
        <v>355</v>
      </c>
      <c r="T244" s="5" t="str">
        <f>IFERROR(__xludf.DUMMYFUNCTION("""COMPUTED_VALUE"""),"")</f>
        <v/>
      </c>
      <c r="U244" s="5" t="s">
        <v>355</v>
      </c>
      <c r="V244" s="5" t="s">
        <v>355</v>
      </c>
      <c r="W244" s="5" t="s">
        <v>355</v>
      </c>
      <c r="X244" s="5" t="str">
        <f>IFERROR(__xludf.DUMMYFUNCTION("""COMPUTED_VALUE"""),"")</f>
        <v/>
      </c>
      <c r="Y244" s="5" t="s">
        <v>355</v>
      </c>
      <c r="Z244" s="5" t="s">
        <v>355</v>
      </c>
      <c r="AB244" s="5" t="s">
        <v>355</v>
      </c>
      <c r="AE244" s="5" t="s">
        <v>355</v>
      </c>
      <c r="AH244" s="5" t="s">
        <v>355</v>
      </c>
    </row>
    <row r="245">
      <c r="S245" s="5" t="s">
        <v>355</v>
      </c>
      <c r="T245" s="5" t="str">
        <f>IFERROR(__xludf.DUMMYFUNCTION("""COMPUTED_VALUE"""),"")</f>
        <v/>
      </c>
      <c r="U245" s="5" t="s">
        <v>355</v>
      </c>
      <c r="V245" s="5" t="s">
        <v>355</v>
      </c>
      <c r="W245" s="5" t="s">
        <v>355</v>
      </c>
      <c r="X245" s="5" t="str">
        <f>IFERROR(__xludf.DUMMYFUNCTION("""COMPUTED_VALUE"""),"")</f>
        <v/>
      </c>
      <c r="Y245" s="5" t="s">
        <v>355</v>
      </c>
      <c r="Z245" s="5" t="s">
        <v>355</v>
      </c>
      <c r="AB245" s="5" t="s">
        <v>355</v>
      </c>
      <c r="AE245" s="5" t="s">
        <v>355</v>
      </c>
      <c r="AH245" s="5" t="s">
        <v>355</v>
      </c>
    </row>
    <row r="246">
      <c r="S246" s="5" t="s">
        <v>355</v>
      </c>
      <c r="T246" s="5" t="str">
        <f>IFERROR(__xludf.DUMMYFUNCTION("""COMPUTED_VALUE"""),"")</f>
        <v/>
      </c>
      <c r="U246" s="5" t="s">
        <v>355</v>
      </c>
      <c r="V246" s="5" t="s">
        <v>355</v>
      </c>
      <c r="W246" s="5" t="s">
        <v>355</v>
      </c>
      <c r="X246" s="5" t="str">
        <f>IFERROR(__xludf.DUMMYFUNCTION("""COMPUTED_VALUE"""),"")</f>
        <v/>
      </c>
      <c r="Y246" s="5" t="s">
        <v>355</v>
      </c>
      <c r="Z246" s="5" t="s">
        <v>355</v>
      </c>
      <c r="AB246" s="5" t="s">
        <v>355</v>
      </c>
      <c r="AE246" s="5" t="s">
        <v>355</v>
      </c>
      <c r="AH246" s="5" t="s">
        <v>355</v>
      </c>
    </row>
    <row r="247">
      <c r="S247" s="5" t="s">
        <v>355</v>
      </c>
      <c r="T247" s="5" t="str">
        <f>IFERROR(__xludf.DUMMYFUNCTION("""COMPUTED_VALUE"""),"")</f>
        <v/>
      </c>
      <c r="U247" s="5" t="s">
        <v>355</v>
      </c>
      <c r="V247" s="5" t="s">
        <v>355</v>
      </c>
      <c r="W247" s="5" t="s">
        <v>355</v>
      </c>
      <c r="X247" s="5" t="str">
        <f>IFERROR(__xludf.DUMMYFUNCTION("""COMPUTED_VALUE"""),"")</f>
        <v/>
      </c>
      <c r="Y247" s="5" t="s">
        <v>355</v>
      </c>
      <c r="Z247" s="5" t="s">
        <v>355</v>
      </c>
      <c r="AB247" s="5" t="s">
        <v>355</v>
      </c>
      <c r="AE247" s="5" t="s">
        <v>355</v>
      </c>
      <c r="AH247" s="5" t="s">
        <v>355</v>
      </c>
    </row>
    <row r="248">
      <c r="S248" s="5" t="s">
        <v>355</v>
      </c>
      <c r="T248" s="5" t="str">
        <f>IFERROR(__xludf.DUMMYFUNCTION("""COMPUTED_VALUE"""),"")</f>
        <v/>
      </c>
      <c r="U248" s="5" t="s">
        <v>355</v>
      </c>
      <c r="V248" s="5" t="s">
        <v>355</v>
      </c>
      <c r="W248" s="5" t="s">
        <v>355</v>
      </c>
      <c r="X248" s="5" t="str">
        <f>IFERROR(__xludf.DUMMYFUNCTION("""COMPUTED_VALUE"""),"")</f>
        <v/>
      </c>
      <c r="Y248" s="5" t="s">
        <v>355</v>
      </c>
      <c r="Z248" s="5" t="s">
        <v>355</v>
      </c>
      <c r="AB248" s="5" t="s">
        <v>355</v>
      </c>
      <c r="AE248" s="5" t="s">
        <v>355</v>
      </c>
      <c r="AH248" s="5" t="s">
        <v>355</v>
      </c>
    </row>
    <row r="249">
      <c r="S249" s="5" t="s">
        <v>355</v>
      </c>
      <c r="T249" s="5" t="str">
        <f>IFERROR(__xludf.DUMMYFUNCTION("""COMPUTED_VALUE"""),"")</f>
        <v/>
      </c>
      <c r="U249" s="5" t="s">
        <v>355</v>
      </c>
      <c r="V249" s="5" t="s">
        <v>355</v>
      </c>
      <c r="W249" s="5" t="s">
        <v>355</v>
      </c>
      <c r="X249" s="5" t="str">
        <f>IFERROR(__xludf.DUMMYFUNCTION("""COMPUTED_VALUE"""),"")</f>
        <v/>
      </c>
      <c r="Y249" s="5" t="s">
        <v>355</v>
      </c>
      <c r="Z249" s="5" t="s">
        <v>355</v>
      </c>
      <c r="AB249" s="5" t="s">
        <v>355</v>
      </c>
      <c r="AE249" s="5" t="s">
        <v>355</v>
      </c>
      <c r="AH249" s="5" t="s">
        <v>355</v>
      </c>
    </row>
    <row r="250">
      <c r="S250" s="5" t="s">
        <v>355</v>
      </c>
      <c r="T250" s="5" t="str">
        <f>IFERROR(__xludf.DUMMYFUNCTION("""COMPUTED_VALUE"""),"")</f>
        <v/>
      </c>
      <c r="U250" s="5" t="s">
        <v>355</v>
      </c>
      <c r="V250" s="5" t="s">
        <v>355</v>
      </c>
      <c r="W250" s="5" t="s">
        <v>355</v>
      </c>
      <c r="X250" s="5" t="str">
        <f>IFERROR(__xludf.DUMMYFUNCTION("""COMPUTED_VALUE"""),"")</f>
        <v/>
      </c>
      <c r="Y250" s="5" t="s">
        <v>355</v>
      </c>
      <c r="Z250" s="5" t="s">
        <v>355</v>
      </c>
      <c r="AB250" s="5" t="s">
        <v>355</v>
      </c>
      <c r="AE250" s="5" t="s">
        <v>355</v>
      </c>
      <c r="AH250" s="5" t="s">
        <v>355</v>
      </c>
    </row>
    <row r="251">
      <c r="S251" s="5" t="s">
        <v>355</v>
      </c>
      <c r="T251" s="5" t="str">
        <f>IFERROR(__xludf.DUMMYFUNCTION("""COMPUTED_VALUE"""),"")</f>
        <v/>
      </c>
      <c r="U251" s="5" t="s">
        <v>355</v>
      </c>
      <c r="V251" s="5" t="s">
        <v>355</v>
      </c>
      <c r="W251" s="5" t="s">
        <v>355</v>
      </c>
      <c r="X251" s="5" t="str">
        <f>IFERROR(__xludf.DUMMYFUNCTION("""COMPUTED_VALUE"""),"")</f>
        <v/>
      </c>
      <c r="Y251" s="5" t="s">
        <v>355</v>
      </c>
      <c r="Z251" s="5" t="s">
        <v>355</v>
      </c>
      <c r="AB251" s="5" t="s">
        <v>355</v>
      </c>
      <c r="AE251" s="5" t="s">
        <v>355</v>
      </c>
      <c r="AH251" s="5" t="s">
        <v>355</v>
      </c>
    </row>
    <row r="252">
      <c r="S252" s="5" t="s">
        <v>355</v>
      </c>
      <c r="T252" s="5" t="str">
        <f>IFERROR(__xludf.DUMMYFUNCTION("""COMPUTED_VALUE"""),"")</f>
        <v/>
      </c>
      <c r="U252" s="5" t="s">
        <v>355</v>
      </c>
      <c r="V252" s="5" t="s">
        <v>355</v>
      </c>
      <c r="W252" s="5" t="s">
        <v>355</v>
      </c>
      <c r="X252" s="5" t="str">
        <f>IFERROR(__xludf.DUMMYFUNCTION("""COMPUTED_VALUE"""),"")</f>
        <v/>
      </c>
      <c r="Y252" s="5" t="s">
        <v>355</v>
      </c>
      <c r="Z252" s="5" t="s">
        <v>355</v>
      </c>
      <c r="AB252" s="5" t="s">
        <v>355</v>
      </c>
      <c r="AE252" s="5" t="s">
        <v>355</v>
      </c>
      <c r="AH252" s="5" t="s">
        <v>355</v>
      </c>
    </row>
    <row r="253">
      <c r="S253" s="5" t="s">
        <v>355</v>
      </c>
      <c r="T253" s="5" t="str">
        <f>IFERROR(__xludf.DUMMYFUNCTION("""COMPUTED_VALUE"""),"")</f>
        <v/>
      </c>
      <c r="U253" s="5" t="s">
        <v>355</v>
      </c>
      <c r="V253" s="5" t="s">
        <v>355</v>
      </c>
      <c r="W253" s="5" t="s">
        <v>355</v>
      </c>
      <c r="X253" s="5" t="str">
        <f>IFERROR(__xludf.DUMMYFUNCTION("""COMPUTED_VALUE"""),"")</f>
        <v/>
      </c>
      <c r="Y253" s="5" t="s">
        <v>355</v>
      </c>
      <c r="Z253" s="5" t="s">
        <v>355</v>
      </c>
      <c r="AB253" s="5" t="s">
        <v>355</v>
      </c>
      <c r="AE253" s="5" t="s">
        <v>355</v>
      </c>
      <c r="AH253" s="5" t="s">
        <v>355</v>
      </c>
    </row>
    <row r="254">
      <c r="S254" s="5" t="s">
        <v>355</v>
      </c>
      <c r="T254" s="5" t="str">
        <f>IFERROR(__xludf.DUMMYFUNCTION("""COMPUTED_VALUE"""),"")</f>
        <v/>
      </c>
      <c r="U254" s="5" t="s">
        <v>355</v>
      </c>
      <c r="V254" s="5" t="s">
        <v>355</v>
      </c>
      <c r="W254" s="5" t="s">
        <v>355</v>
      </c>
      <c r="X254" s="5" t="str">
        <f>IFERROR(__xludf.DUMMYFUNCTION("""COMPUTED_VALUE"""),"")</f>
        <v/>
      </c>
      <c r="Y254" s="5" t="s">
        <v>355</v>
      </c>
      <c r="Z254" s="5" t="s">
        <v>355</v>
      </c>
      <c r="AB254" s="5" t="s">
        <v>355</v>
      </c>
      <c r="AE254" s="5" t="s">
        <v>355</v>
      </c>
      <c r="AH254" s="5" t="s">
        <v>355</v>
      </c>
    </row>
    <row r="255">
      <c r="S255" s="5" t="s">
        <v>355</v>
      </c>
      <c r="T255" s="5" t="str">
        <f>IFERROR(__xludf.DUMMYFUNCTION("""COMPUTED_VALUE"""),"")</f>
        <v/>
      </c>
      <c r="U255" s="5" t="s">
        <v>355</v>
      </c>
      <c r="V255" s="5" t="s">
        <v>355</v>
      </c>
      <c r="W255" s="5" t="s">
        <v>355</v>
      </c>
      <c r="X255" s="5" t="str">
        <f>IFERROR(__xludf.DUMMYFUNCTION("""COMPUTED_VALUE"""),"")</f>
        <v/>
      </c>
      <c r="Y255" s="5" t="s">
        <v>355</v>
      </c>
      <c r="Z255" s="5" t="s">
        <v>355</v>
      </c>
      <c r="AB255" s="5" t="s">
        <v>355</v>
      </c>
      <c r="AE255" s="5" t="s">
        <v>355</v>
      </c>
      <c r="AH255" s="5" t="s">
        <v>355</v>
      </c>
    </row>
    <row r="256">
      <c r="S256" s="5" t="s">
        <v>355</v>
      </c>
      <c r="T256" s="5" t="str">
        <f>IFERROR(__xludf.DUMMYFUNCTION("""COMPUTED_VALUE"""),"")</f>
        <v/>
      </c>
      <c r="U256" s="5" t="s">
        <v>355</v>
      </c>
      <c r="V256" s="5" t="s">
        <v>355</v>
      </c>
      <c r="W256" s="5" t="s">
        <v>355</v>
      </c>
      <c r="X256" s="5" t="str">
        <f>IFERROR(__xludf.DUMMYFUNCTION("""COMPUTED_VALUE"""),"")</f>
        <v/>
      </c>
      <c r="Y256" s="5" t="s">
        <v>355</v>
      </c>
      <c r="Z256" s="5" t="s">
        <v>355</v>
      </c>
      <c r="AB256" s="5" t="s">
        <v>355</v>
      </c>
      <c r="AE256" s="5" t="s">
        <v>355</v>
      </c>
      <c r="AH256" s="5" t="s">
        <v>355</v>
      </c>
    </row>
    <row r="257">
      <c r="S257" s="5" t="s">
        <v>355</v>
      </c>
      <c r="T257" s="5" t="str">
        <f>IFERROR(__xludf.DUMMYFUNCTION("""COMPUTED_VALUE"""),"")</f>
        <v/>
      </c>
      <c r="U257" s="5" t="s">
        <v>355</v>
      </c>
      <c r="V257" s="5" t="s">
        <v>355</v>
      </c>
      <c r="W257" s="5" t="s">
        <v>355</v>
      </c>
      <c r="X257" s="5" t="str">
        <f>IFERROR(__xludf.DUMMYFUNCTION("""COMPUTED_VALUE"""),"")</f>
        <v/>
      </c>
      <c r="Y257" s="5" t="s">
        <v>355</v>
      </c>
      <c r="Z257" s="5" t="s">
        <v>355</v>
      </c>
      <c r="AB257" s="5" t="s">
        <v>355</v>
      </c>
      <c r="AE257" s="5" t="s">
        <v>355</v>
      </c>
      <c r="AH257" s="5" t="s">
        <v>355</v>
      </c>
    </row>
    <row r="258">
      <c r="S258" s="5" t="s">
        <v>355</v>
      </c>
      <c r="T258" s="5" t="str">
        <f>IFERROR(__xludf.DUMMYFUNCTION("""COMPUTED_VALUE"""),"")</f>
        <v/>
      </c>
      <c r="U258" s="5" t="s">
        <v>355</v>
      </c>
      <c r="V258" s="5" t="s">
        <v>355</v>
      </c>
      <c r="W258" s="5" t="s">
        <v>355</v>
      </c>
      <c r="X258" s="5" t="str">
        <f>IFERROR(__xludf.DUMMYFUNCTION("""COMPUTED_VALUE"""),"")</f>
        <v/>
      </c>
      <c r="Y258" s="5" t="s">
        <v>355</v>
      </c>
      <c r="Z258" s="5" t="s">
        <v>355</v>
      </c>
      <c r="AB258" s="5" t="s">
        <v>355</v>
      </c>
      <c r="AE258" s="5" t="s">
        <v>355</v>
      </c>
      <c r="AH258" s="5" t="s">
        <v>355</v>
      </c>
    </row>
    <row r="259">
      <c r="S259" s="5" t="s">
        <v>355</v>
      </c>
      <c r="T259" s="5" t="str">
        <f>IFERROR(__xludf.DUMMYFUNCTION("""COMPUTED_VALUE"""),"")</f>
        <v/>
      </c>
      <c r="U259" s="5" t="s">
        <v>355</v>
      </c>
      <c r="V259" s="5" t="s">
        <v>355</v>
      </c>
      <c r="W259" s="5" t="s">
        <v>355</v>
      </c>
      <c r="X259" s="5" t="str">
        <f>IFERROR(__xludf.DUMMYFUNCTION("""COMPUTED_VALUE"""),"")</f>
        <v/>
      </c>
      <c r="Y259" s="5" t="s">
        <v>355</v>
      </c>
      <c r="Z259" s="5" t="s">
        <v>355</v>
      </c>
      <c r="AB259" s="5" t="s">
        <v>355</v>
      </c>
      <c r="AE259" s="5" t="s">
        <v>355</v>
      </c>
      <c r="AH259" s="5" t="s">
        <v>355</v>
      </c>
    </row>
    <row r="260">
      <c r="S260" s="5" t="s">
        <v>355</v>
      </c>
      <c r="T260" s="5" t="str">
        <f>IFERROR(__xludf.DUMMYFUNCTION("""COMPUTED_VALUE"""),"")</f>
        <v/>
      </c>
      <c r="U260" s="5" t="s">
        <v>355</v>
      </c>
      <c r="V260" s="5" t="s">
        <v>355</v>
      </c>
      <c r="W260" s="5" t="s">
        <v>355</v>
      </c>
      <c r="X260" s="5" t="str">
        <f>IFERROR(__xludf.DUMMYFUNCTION("""COMPUTED_VALUE"""),"")</f>
        <v/>
      </c>
      <c r="Y260" s="5" t="s">
        <v>355</v>
      </c>
      <c r="Z260" s="5" t="s">
        <v>355</v>
      </c>
      <c r="AB260" s="5" t="s">
        <v>355</v>
      </c>
      <c r="AE260" s="5" t="s">
        <v>355</v>
      </c>
      <c r="AH260" s="5" t="s">
        <v>355</v>
      </c>
    </row>
    <row r="261">
      <c r="S261" s="5" t="s">
        <v>355</v>
      </c>
      <c r="T261" s="5" t="str">
        <f>IFERROR(__xludf.DUMMYFUNCTION("""COMPUTED_VALUE"""),"")</f>
        <v/>
      </c>
      <c r="U261" s="5" t="s">
        <v>355</v>
      </c>
      <c r="V261" s="5" t="s">
        <v>355</v>
      </c>
      <c r="W261" s="5" t="s">
        <v>355</v>
      </c>
      <c r="X261" s="5" t="str">
        <f>IFERROR(__xludf.DUMMYFUNCTION("""COMPUTED_VALUE"""),"")</f>
        <v/>
      </c>
      <c r="Y261" s="5" t="s">
        <v>355</v>
      </c>
      <c r="Z261" s="5" t="s">
        <v>355</v>
      </c>
      <c r="AB261" s="5" t="s">
        <v>355</v>
      </c>
      <c r="AE261" s="5" t="s">
        <v>355</v>
      </c>
      <c r="AH261" s="5" t="s">
        <v>355</v>
      </c>
    </row>
    <row r="262">
      <c r="S262" s="5" t="s">
        <v>355</v>
      </c>
      <c r="T262" s="5" t="str">
        <f>IFERROR(__xludf.DUMMYFUNCTION("""COMPUTED_VALUE"""),"")</f>
        <v/>
      </c>
      <c r="U262" s="5" t="s">
        <v>355</v>
      </c>
      <c r="V262" s="5" t="s">
        <v>355</v>
      </c>
      <c r="W262" s="5" t="s">
        <v>355</v>
      </c>
      <c r="X262" s="5" t="str">
        <f>IFERROR(__xludf.DUMMYFUNCTION("""COMPUTED_VALUE"""),"")</f>
        <v/>
      </c>
      <c r="Y262" s="5" t="s">
        <v>355</v>
      </c>
      <c r="Z262" s="5" t="s">
        <v>355</v>
      </c>
      <c r="AB262" s="5" t="s">
        <v>355</v>
      </c>
      <c r="AE262" s="5" t="s">
        <v>355</v>
      </c>
      <c r="AH262" s="5" t="s">
        <v>355</v>
      </c>
    </row>
    <row r="263">
      <c r="S263" s="5" t="s">
        <v>355</v>
      </c>
      <c r="T263" s="5" t="str">
        <f>IFERROR(__xludf.DUMMYFUNCTION("""COMPUTED_VALUE"""),"")</f>
        <v/>
      </c>
      <c r="U263" s="5" t="s">
        <v>355</v>
      </c>
      <c r="V263" s="5" t="s">
        <v>355</v>
      </c>
      <c r="W263" s="5" t="s">
        <v>355</v>
      </c>
      <c r="X263" s="5" t="str">
        <f>IFERROR(__xludf.DUMMYFUNCTION("""COMPUTED_VALUE"""),"")</f>
        <v/>
      </c>
      <c r="Y263" s="5" t="s">
        <v>355</v>
      </c>
      <c r="Z263" s="5" t="s">
        <v>355</v>
      </c>
      <c r="AB263" s="5" t="s">
        <v>355</v>
      </c>
      <c r="AE263" s="5" t="s">
        <v>355</v>
      </c>
      <c r="AH263" s="5" t="s">
        <v>355</v>
      </c>
    </row>
    <row r="264">
      <c r="S264" s="5" t="s">
        <v>355</v>
      </c>
      <c r="T264" s="5" t="str">
        <f>IFERROR(__xludf.DUMMYFUNCTION("""COMPUTED_VALUE"""),"")</f>
        <v/>
      </c>
      <c r="U264" s="5" t="s">
        <v>355</v>
      </c>
      <c r="V264" s="5" t="s">
        <v>355</v>
      </c>
      <c r="W264" s="5" t="s">
        <v>355</v>
      </c>
      <c r="X264" s="5" t="str">
        <f>IFERROR(__xludf.DUMMYFUNCTION("""COMPUTED_VALUE"""),"")</f>
        <v/>
      </c>
      <c r="Y264" s="5" t="s">
        <v>355</v>
      </c>
      <c r="Z264" s="5" t="s">
        <v>355</v>
      </c>
      <c r="AB264" s="5" t="s">
        <v>355</v>
      </c>
      <c r="AE264" s="5" t="s">
        <v>355</v>
      </c>
      <c r="AH264" s="5" t="s">
        <v>355</v>
      </c>
    </row>
    <row r="265">
      <c r="S265" s="5" t="s">
        <v>355</v>
      </c>
      <c r="T265" s="5" t="str">
        <f>IFERROR(__xludf.DUMMYFUNCTION("""COMPUTED_VALUE"""),"")</f>
        <v/>
      </c>
      <c r="U265" s="5" t="s">
        <v>355</v>
      </c>
      <c r="V265" s="5" t="s">
        <v>355</v>
      </c>
      <c r="W265" s="5" t="s">
        <v>355</v>
      </c>
      <c r="X265" s="5" t="str">
        <f>IFERROR(__xludf.DUMMYFUNCTION("""COMPUTED_VALUE"""),"")</f>
        <v/>
      </c>
      <c r="Y265" s="5" t="s">
        <v>355</v>
      </c>
      <c r="Z265" s="5" t="s">
        <v>355</v>
      </c>
      <c r="AB265" s="5" t="s">
        <v>355</v>
      </c>
      <c r="AE265" s="5" t="s">
        <v>355</v>
      </c>
      <c r="AH265" s="5" t="s">
        <v>355</v>
      </c>
    </row>
    <row r="266">
      <c r="S266" s="5" t="s">
        <v>355</v>
      </c>
      <c r="T266" s="5" t="str">
        <f>IFERROR(__xludf.DUMMYFUNCTION("""COMPUTED_VALUE"""),"")</f>
        <v/>
      </c>
      <c r="U266" s="5" t="s">
        <v>355</v>
      </c>
      <c r="V266" s="5" t="s">
        <v>355</v>
      </c>
      <c r="W266" s="5" t="s">
        <v>355</v>
      </c>
      <c r="X266" s="5" t="str">
        <f>IFERROR(__xludf.DUMMYFUNCTION("""COMPUTED_VALUE"""),"")</f>
        <v/>
      </c>
      <c r="Y266" s="5" t="s">
        <v>355</v>
      </c>
      <c r="Z266" s="5" t="s">
        <v>355</v>
      </c>
      <c r="AB266" s="5" t="s">
        <v>355</v>
      </c>
      <c r="AE266" s="5" t="s">
        <v>355</v>
      </c>
      <c r="AH266" s="5" t="s">
        <v>355</v>
      </c>
    </row>
    <row r="267">
      <c r="S267" s="5" t="s">
        <v>355</v>
      </c>
      <c r="T267" s="5" t="str">
        <f>IFERROR(__xludf.DUMMYFUNCTION("""COMPUTED_VALUE"""),"")</f>
        <v/>
      </c>
      <c r="U267" s="5" t="s">
        <v>355</v>
      </c>
      <c r="V267" s="5" t="s">
        <v>355</v>
      </c>
      <c r="W267" s="5" t="s">
        <v>355</v>
      </c>
      <c r="X267" s="5" t="str">
        <f>IFERROR(__xludf.DUMMYFUNCTION("""COMPUTED_VALUE"""),"")</f>
        <v/>
      </c>
      <c r="Y267" s="5" t="s">
        <v>355</v>
      </c>
      <c r="Z267" s="5" t="s">
        <v>355</v>
      </c>
      <c r="AB267" s="5" t="s">
        <v>355</v>
      </c>
      <c r="AE267" s="5" t="s">
        <v>355</v>
      </c>
      <c r="AH267" s="5" t="s">
        <v>355</v>
      </c>
    </row>
    <row r="268">
      <c r="S268" s="5" t="s">
        <v>355</v>
      </c>
      <c r="T268" s="5" t="str">
        <f>IFERROR(__xludf.DUMMYFUNCTION("""COMPUTED_VALUE"""),"")</f>
        <v/>
      </c>
      <c r="U268" s="5" t="s">
        <v>355</v>
      </c>
      <c r="V268" s="5" t="s">
        <v>355</v>
      </c>
      <c r="W268" s="5" t="s">
        <v>355</v>
      </c>
      <c r="X268" s="5" t="str">
        <f>IFERROR(__xludf.DUMMYFUNCTION("""COMPUTED_VALUE"""),"")</f>
        <v/>
      </c>
      <c r="Y268" s="5" t="s">
        <v>355</v>
      </c>
      <c r="Z268" s="5" t="s">
        <v>355</v>
      </c>
      <c r="AB268" s="5" t="s">
        <v>355</v>
      </c>
      <c r="AE268" s="5" t="s">
        <v>355</v>
      </c>
      <c r="AH268" s="5" t="s">
        <v>355</v>
      </c>
    </row>
    <row r="269">
      <c r="S269" s="5" t="s">
        <v>355</v>
      </c>
      <c r="T269" s="5" t="str">
        <f>IFERROR(__xludf.DUMMYFUNCTION("""COMPUTED_VALUE"""),"")</f>
        <v/>
      </c>
      <c r="U269" s="5" t="s">
        <v>355</v>
      </c>
      <c r="V269" s="5" t="s">
        <v>355</v>
      </c>
      <c r="W269" s="5" t="s">
        <v>355</v>
      </c>
      <c r="X269" s="5" t="str">
        <f>IFERROR(__xludf.DUMMYFUNCTION("""COMPUTED_VALUE"""),"")</f>
        <v/>
      </c>
      <c r="Y269" s="5" t="s">
        <v>355</v>
      </c>
      <c r="Z269" s="5" t="s">
        <v>355</v>
      </c>
      <c r="AB269" s="5" t="s">
        <v>355</v>
      </c>
      <c r="AE269" s="5" t="s">
        <v>355</v>
      </c>
      <c r="AH269" s="5" t="s">
        <v>355</v>
      </c>
    </row>
    <row r="270">
      <c r="S270" s="5" t="s">
        <v>355</v>
      </c>
      <c r="T270" s="5" t="str">
        <f>IFERROR(__xludf.DUMMYFUNCTION("""COMPUTED_VALUE"""),"")</f>
        <v/>
      </c>
      <c r="U270" s="5" t="s">
        <v>355</v>
      </c>
      <c r="V270" s="5" t="s">
        <v>355</v>
      </c>
      <c r="W270" s="5" t="s">
        <v>355</v>
      </c>
      <c r="X270" s="5" t="str">
        <f>IFERROR(__xludf.DUMMYFUNCTION("""COMPUTED_VALUE"""),"")</f>
        <v/>
      </c>
      <c r="Y270" s="5" t="s">
        <v>355</v>
      </c>
      <c r="Z270" s="5" t="s">
        <v>355</v>
      </c>
      <c r="AB270" s="5" t="s">
        <v>355</v>
      </c>
      <c r="AE270" s="5" t="s">
        <v>355</v>
      </c>
      <c r="AH270" s="5" t="s">
        <v>355</v>
      </c>
    </row>
    <row r="271">
      <c r="S271" s="5" t="s">
        <v>355</v>
      </c>
      <c r="T271" s="5" t="str">
        <f>IFERROR(__xludf.DUMMYFUNCTION("""COMPUTED_VALUE"""),"")</f>
        <v/>
      </c>
      <c r="U271" s="5" t="s">
        <v>355</v>
      </c>
      <c r="V271" s="5" t="s">
        <v>355</v>
      </c>
      <c r="W271" s="5" t="s">
        <v>355</v>
      </c>
      <c r="X271" s="5" t="str">
        <f>IFERROR(__xludf.DUMMYFUNCTION("""COMPUTED_VALUE"""),"")</f>
        <v/>
      </c>
      <c r="Y271" s="5" t="s">
        <v>355</v>
      </c>
      <c r="Z271" s="5" t="s">
        <v>355</v>
      </c>
      <c r="AB271" s="5" t="s">
        <v>355</v>
      </c>
      <c r="AE271" s="5" t="s">
        <v>355</v>
      </c>
      <c r="AH271" s="5" t="s">
        <v>355</v>
      </c>
    </row>
    <row r="272">
      <c r="S272" s="5" t="s">
        <v>355</v>
      </c>
      <c r="T272" s="5" t="str">
        <f>IFERROR(__xludf.DUMMYFUNCTION("""COMPUTED_VALUE"""),"")</f>
        <v/>
      </c>
      <c r="U272" s="5" t="s">
        <v>355</v>
      </c>
      <c r="V272" s="5" t="s">
        <v>355</v>
      </c>
      <c r="W272" s="5" t="s">
        <v>355</v>
      </c>
      <c r="X272" s="5" t="str">
        <f>IFERROR(__xludf.DUMMYFUNCTION("""COMPUTED_VALUE"""),"")</f>
        <v/>
      </c>
      <c r="Y272" s="5" t="s">
        <v>355</v>
      </c>
      <c r="Z272" s="5" t="s">
        <v>355</v>
      </c>
      <c r="AB272" s="5" t="s">
        <v>355</v>
      </c>
      <c r="AE272" s="5" t="s">
        <v>355</v>
      </c>
      <c r="AH272" s="5" t="s">
        <v>355</v>
      </c>
    </row>
    <row r="273">
      <c r="S273" s="5" t="s">
        <v>355</v>
      </c>
      <c r="T273" s="5" t="str">
        <f>IFERROR(__xludf.DUMMYFUNCTION("""COMPUTED_VALUE"""),"")</f>
        <v/>
      </c>
      <c r="U273" s="5" t="s">
        <v>355</v>
      </c>
      <c r="V273" s="5" t="s">
        <v>355</v>
      </c>
      <c r="W273" s="5" t="s">
        <v>355</v>
      </c>
      <c r="X273" s="5" t="str">
        <f>IFERROR(__xludf.DUMMYFUNCTION("""COMPUTED_VALUE"""),"")</f>
        <v/>
      </c>
      <c r="Y273" s="5" t="s">
        <v>355</v>
      </c>
      <c r="Z273" s="5" t="s">
        <v>355</v>
      </c>
      <c r="AB273" s="5" t="s">
        <v>355</v>
      </c>
      <c r="AE273" s="5" t="s">
        <v>355</v>
      </c>
      <c r="AH273" s="5" t="s">
        <v>355</v>
      </c>
    </row>
    <row r="274">
      <c r="S274" s="5" t="s">
        <v>355</v>
      </c>
      <c r="T274" s="5" t="str">
        <f>IFERROR(__xludf.DUMMYFUNCTION("""COMPUTED_VALUE"""),"")</f>
        <v/>
      </c>
      <c r="U274" s="5" t="s">
        <v>355</v>
      </c>
      <c r="V274" s="5" t="s">
        <v>355</v>
      </c>
      <c r="W274" s="5" t="s">
        <v>355</v>
      </c>
      <c r="X274" s="5" t="str">
        <f>IFERROR(__xludf.DUMMYFUNCTION("""COMPUTED_VALUE"""),"")</f>
        <v/>
      </c>
      <c r="Y274" s="5" t="s">
        <v>355</v>
      </c>
      <c r="Z274" s="5" t="s">
        <v>355</v>
      </c>
      <c r="AB274" s="5" t="s">
        <v>355</v>
      </c>
      <c r="AE274" s="5" t="s">
        <v>355</v>
      </c>
      <c r="AH274" s="5" t="s">
        <v>355</v>
      </c>
    </row>
    <row r="275">
      <c r="S275" s="5" t="s">
        <v>355</v>
      </c>
      <c r="T275" s="5" t="str">
        <f>IFERROR(__xludf.DUMMYFUNCTION("""COMPUTED_VALUE"""),"")</f>
        <v/>
      </c>
      <c r="U275" s="5" t="s">
        <v>355</v>
      </c>
      <c r="V275" s="5" t="s">
        <v>355</v>
      </c>
      <c r="W275" s="5" t="s">
        <v>355</v>
      </c>
      <c r="X275" s="5" t="str">
        <f>IFERROR(__xludf.DUMMYFUNCTION("""COMPUTED_VALUE"""),"")</f>
        <v/>
      </c>
      <c r="Y275" s="5" t="s">
        <v>355</v>
      </c>
      <c r="Z275" s="5" t="s">
        <v>355</v>
      </c>
      <c r="AB275" s="5" t="s">
        <v>355</v>
      </c>
      <c r="AE275" s="5" t="s">
        <v>355</v>
      </c>
      <c r="AH275" s="5" t="s">
        <v>355</v>
      </c>
    </row>
    <row r="276">
      <c r="S276" s="5" t="s">
        <v>355</v>
      </c>
      <c r="T276" s="5" t="str">
        <f>IFERROR(__xludf.DUMMYFUNCTION("""COMPUTED_VALUE"""),"")</f>
        <v/>
      </c>
      <c r="U276" s="5" t="s">
        <v>355</v>
      </c>
      <c r="V276" s="5" t="s">
        <v>355</v>
      </c>
      <c r="W276" s="5" t="s">
        <v>355</v>
      </c>
      <c r="X276" s="5" t="str">
        <f>IFERROR(__xludf.DUMMYFUNCTION("""COMPUTED_VALUE"""),"")</f>
        <v/>
      </c>
      <c r="Y276" s="5" t="s">
        <v>355</v>
      </c>
      <c r="Z276" s="5" t="s">
        <v>355</v>
      </c>
      <c r="AB276" s="5" t="s">
        <v>355</v>
      </c>
      <c r="AE276" s="5" t="s">
        <v>355</v>
      </c>
      <c r="AH276" s="5" t="s">
        <v>355</v>
      </c>
    </row>
    <row r="277">
      <c r="S277" s="5" t="s">
        <v>355</v>
      </c>
      <c r="T277" s="5" t="str">
        <f>IFERROR(__xludf.DUMMYFUNCTION("""COMPUTED_VALUE"""),"")</f>
        <v/>
      </c>
      <c r="U277" s="5" t="s">
        <v>355</v>
      </c>
      <c r="V277" s="5" t="s">
        <v>355</v>
      </c>
      <c r="W277" s="5" t="s">
        <v>355</v>
      </c>
      <c r="X277" s="5" t="str">
        <f>IFERROR(__xludf.DUMMYFUNCTION("""COMPUTED_VALUE"""),"")</f>
        <v/>
      </c>
      <c r="Y277" s="5" t="s">
        <v>355</v>
      </c>
      <c r="Z277" s="5" t="s">
        <v>355</v>
      </c>
      <c r="AB277" s="5" t="s">
        <v>355</v>
      </c>
      <c r="AE277" s="5" t="s">
        <v>355</v>
      </c>
      <c r="AH277" s="5" t="s">
        <v>355</v>
      </c>
    </row>
    <row r="278">
      <c r="S278" s="5" t="s">
        <v>355</v>
      </c>
      <c r="T278" s="5" t="str">
        <f>IFERROR(__xludf.DUMMYFUNCTION("""COMPUTED_VALUE"""),"")</f>
        <v/>
      </c>
      <c r="U278" s="5" t="s">
        <v>355</v>
      </c>
      <c r="V278" s="5" t="s">
        <v>355</v>
      </c>
      <c r="W278" s="5" t="s">
        <v>355</v>
      </c>
      <c r="X278" s="5" t="str">
        <f>IFERROR(__xludf.DUMMYFUNCTION("""COMPUTED_VALUE"""),"")</f>
        <v/>
      </c>
      <c r="Y278" s="5" t="s">
        <v>355</v>
      </c>
      <c r="Z278" s="5" t="s">
        <v>355</v>
      </c>
      <c r="AB278" s="5" t="s">
        <v>355</v>
      </c>
      <c r="AE278" s="5" t="s">
        <v>355</v>
      </c>
      <c r="AH278" s="5" t="s">
        <v>355</v>
      </c>
    </row>
    <row r="279">
      <c r="S279" s="5" t="s">
        <v>355</v>
      </c>
      <c r="T279" s="5" t="str">
        <f>IFERROR(__xludf.DUMMYFUNCTION("""COMPUTED_VALUE"""),"")</f>
        <v/>
      </c>
      <c r="U279" s="5" t="s">
        <v>355</v>
      </c>
      <c r="V279" s="5" t="s">
        <v>355</v>
      </c>
      <c r="W279" s="5" t="s">
        <v>355</v>
      </c>
      <c r="X279" s="5" t="str">
        <f>IFERROR(__xludf.DUMMYFUNCTION("""COMPUTED_VALUE"""),"")</f>
        <v/>
      </c>
      <c r="Y279" s="5" t="s">
        <v>355</v>
      </c>
      <c r="Z279" s="5" t="s">
        <v>355</v>
      </c>
      <c r="AB279" s="5" t="s">
        <v>355</v>
      </c>
      <c r="AE279" s="5" t="s">
        <v>355</v>
      </c>
      <c r="AH279" s="5" t="s">
        <v>355</v>
      </c>
    </row>
    <row r="280">
      <c r="S280" s="5" t="s">
        <v>355</v>
      </c>
      <c r="T280" s="5" t="str">
        <f>IFERROR(__xludf.DUMMYFUNCTION("""COMPUTED_VALUE"""),"")</f>
        <v/>
      </c>
      <c r="U280" s="5" t="s">
        <v>355</v>
      </c>
      <c r="V280" s="5" t="s">
        <v>355</v>
      </c>
      <c r="W280" s="5" t="s">
        <v>355</v>
      </c>
      <c r="X280" s="5" t="str">
        <f>IFERROR(__xludf.DUMMYFUNCTION("""COMPUTED_VALUE"""),"")</f>
        <v/>
      </c>
      <c r="Y280" s="5" t="s">
        <v>355</v>
      </c>
      <c r="Z280" s="5" t="s">
        <v>355</v>
      </c>
      <c r="AB280" s="5" t="s">
        <v>355</v>
      </c>
      <c r="AE280" s="5" t="s">
        <v>355</v>
      </c>
      <c r="AH280" s="5" t="s">
        <v>355</v>
      </c>
    </row>
    <row r="281">
      <c r="S281" s="5" t="s">
        <v>355</v>
      </c>
      <c r="T281" s="5" t="str">
        <f>IFERROR(__xludf.DUMMYFUNCTION("""COMPUTED_VALUE"""),"")</f>
        <v/>
      </c>
      <c r="U281" s="5" t="s">
        <v>355</v>
      </c>
      <c r="V281" s="5" t="s">
        <v>355</v>
      </c>
      <c r="W281" s="5" t="s">
        <v>355</v>
      </c>
      <c r="X281" s="5" t="str">
        <f>IFERROR(__xludf.DUMMYFUNCTION("""COMPUTED_VALUE"""),"")</f>
        <v/>
      </c>
      <c r="Y281" s="5" t="s">
        <v>355</v>
      </c>
      <c r="Z281" s="5" t="s">
        <v>355</v>
      </c>
      <c r="AB281" s="5" t="s">
        <v>355</v>
      </c>
      <c r="AE281" s="5" t="s">
        <v>355</v>
      </c>
      <c r="AH281" s="5" t="s">
        <v>355</v>
      </c>
    </row>
    <row r="282">
      <c r="S282" s="5" t="s">
        <v>355</v>
      </c>
      <c r="T282" s="5" t="str">
        <f>IFERROR(__xludf.DUMMYFUNCTION("""COMPUTED_VALUE"""),"")</f>
        <v/>
      </c>
      <c r="U282" s="5" t="s">
        <v>355</v>
      </c>
      <c r="V282" s="5" t="s">
        <v>355</v>
      </c>
      <c r="W282" s="5" t="s">
        <v>355</v>
      </c>
      <c r="X282" s="5" t="str">
        <f>IFERROR(__xludf.DUMMYFUNCTION("""COMPUTED_VALUE"""),"")</f>
        <v/>
      </c>
      <c r="Y282" s="5" t="s">
        <v>355</v>
      </c>
      <c r="Z282" s="5" t="s">
        <v>355</v>
      </c>
      <c r="AB282" s="5" t="s">
        <v>355</v>
      </c>
      <c r="AE282" s="5" t="s">
        <v>355</v>
      </c>
      <c r="AH282" s="5" t="s">
        <v>355</v>
      </c>
    </row>
    <row r="283">
      <c r="S283" s="5" t="s">
        <v>355</v>
      </c>
      <c r="T283" s="5" t="str">
        <f>IFERROR(__xludf.DUMMYFUNCTION("""COMPUTED_VALUE"""),"")</f>
        <v/>
      </c>
      <c r="U283" s="5" t="s">
        <v>355</v>
      </c>
      <c r="V283" s="5" t="s">
        <v>355</v>
      </c>
      <c r="W283" s="5" t="s">
        <v>355</v>
      </c>
      <c r="X283" s="5" t="str">
        <f>IFERROR(__xludf.DUMMYFUNCTION("""COMPUTED_VALUE"""),"")</f>
        <v/>
      </c>
      <c r="Y283" s="5" t="s">
        <v>355</v>
      </c>
      <c r="Z283" s="5" t="s">
        <v>355</v>
      </c>
      <c r="AB283" s="5" t="s">
        <v>355</v>
      </c>
      <c r="AE283" s="5" t="s">
        <v>355</v>
      </c>
      <c r="AH283" s="5" t="s">
        <v>355</v>
      </c>
    </row>
    <row r="284">
      <c r="S284" s="5" t="s">
        <v>355</v>
      </c>
      <c r="T284" s="5" t="str">
        <f>IFERROR(__xludf.DUMMYFUNCTION("""COMPUTED_VALUE"""),"")</f>
        <v/>
      </c>
      <c r="U284" s="5" t="s">
        <v>355</v>
      </c>
      <c r="V284" s="5" t="s">
        <v>355</v>
      </c>
      <c r="W284" s="5" t="s">
        <v>355</v>
      </c>
      <c r="X284" s="5" t="str">
        <f>IFERROR(__xludf.DUMMYFUNCTION("""COMPUTED_VALUE"""),"")</f>
        <v/>
      </c>
      <c r="Y284" s="5" t="s">
        <v>355</v>
      </c>
      <c r="Z284" s="5" t="s">
        <v>355</v>
      </c>
      <c r="AB284" s="5" t="s">
        <v>355</v>
      </c>
      <c r="AE284" s="5" t="s">
        <v>355</v>
      </c>
      <c r="AH284" s="5" t="s">
        <v>355</v>
      </c>
    </row>
    <row r="285">
      <c r="S285" s="5" t="s">
        <v>355</v>
      </c>
      <c r="T285" s="5" t="str">
        <f>IFERROR(__xludf.DUMMYFUNCTION("""COMPUTED_VALUE"""),"")</f>
        <v/>
      </c>
      <c r="U285" s="5" t="s">
        <v>355</v>
      </c>
      <c r="V285" s="5" t="s">
        <v>355</v>
      </c>
      <c r="W285" s="5" t="s">
        <v>355</v>
      </c>
      <c r="X285" s="5" t="str">
        <f>IFERROR(__xludf.DUMMYFUNCTION("""COMPUTED_VALUE"""),"")</f>
        <v/>
      </c>
      <c r="Y285" s="5" t="s">
        <v>355</v>
      </c>
      <c r="Z285" s="5" t="s">
        <v>355</v>
      </c>
      <c r="AB285" s="5" t="s">
        <v>355</v>
      </c>
      <c r="AE285" s="5" t="s">
        <v>355</v>
      </c>
      <c r="AH285" s="5" t="s">
        <v>355</v>
      </c>
    </row>
    <row r="286">
      <c r="S286" s="5" t="s">
        <v>355</v>
      </c>
      <c r="T286" s="5" t="str">
        <f>IFERROR(__xludf.DUMMYFUNCTION("""COMPUTED_VALUE"""),"")</f>
        <v/>
      </c>
      <c r="U286" s="5" t="s">
        <v>355</v>
      </c>
      <c r="V286" s="5" t="s">
        <v>355</v>
      </c>
      <c r="W286" s="5" t="s">
        <v>355</v>
      </c>
      <c r="X286" s="5" t="str">
        <f>IFERROR(__xludf.DUMMYFUNCTION("""COMPUTED_VALUE"""),"")</f>
        <v/>
      </c>
      <c r="Y286" s="5" t="s">
        <v>355</v>
      </c>
      <c r="Z286" s="5" t="s">
        <v>355</v>
      </c>
      <c r="AB286" s="5" t="s">
        <v>355</v>
      </c>
      <c r="AE286" s="5" t="s">
        <v>355</v>
      </c>
      <c r="AH286" s="5" t="s">
        <v>355</v>
      </c>
    </row>
    <row r="287">
      <c r="S287" s="5" t="s">
        <v>355</v>
      </c>
      <c r="T287" s="5" t="str">
        <f>IFERROR(__xludf.DUMMYFUNCTION("""COMPUTED_VALUE"""),"")</f>
        <v/>
      </c>
      <c r="U287" s="5" t="s">
        <v>355</v>
      </c>
      <c r="V287" s="5" t="s">
        <v>355</v>
      </c>
      <c r="W287" s="5" t="s">
        <v>355</v>
      </c>
      <c r="X287" s="5" t="str">
        <f>IFERROR(__xludf.DUMMYFUNCTION("""COMPUTED_VALUE"""),"")</f>
        <v/>
      </c>
      <c r="Y287" s="5" t="s">
        <v>355</v>
      </c>
      <c r="Z287" s="5" t="s">
        <v>355</v>
      </c>
      <c r="AB287" s="5" t="s">
        <v>355</v>
      </c>
      <c r="AE287" s="5" t="s">
        <v>355</v>
      </c>
      <c r="AH287" s="5" t="s">
        <v>355</v>
      </c>
    </row>
    <row r="288">
      <c r="S288" s="5" t="s">
        <v>355</v>
      </c>
      <c r="T288" s="5" t="str">
        <f>IFERROR(__xludf.DUMMYFUNCTION("""COMPUTED_VALUE"""),"")</f>
        <v/>
      </c>
      <c r="U288" s="5" t="s">
        <v>355</v>
      </c>
      <c r="V288" s="5" t="s">
        <v>355</v>
      </c>
      <c r="W288" s="5" t="s">
        <v>355</v>
      </c>
      <c r="X288" s="5" t="str">
        <f>IFERROR(__xludf.DUMMYFUNCTION("""COMPUTED_VALUE"""),"")</f>
        <v/>
      </c>
      <c r="Y288" s="5" t="s">
        <v>355</v>
      </c>
      <c r="Z288" s="5" t="s">
        <v>355</v>
      </c>
      <c r="AB288" s="5" t="s">
        <v>355</v>
      </c>
      <c r="AE288" s="5" t="s">
        <v>355</v>
      </c>
      <c r="AH288" s="5" t="s">
        <v>355</v>
      </c>
    </row>
    <row r="289">
      <c r="S289" s="5" t="s">
        <v>355</v>
      </c>
      <c r="T289" s="5" t="str">
        <f>IFERROR(__xludf.DUMMYFUNCTION("""COMPUTED_VALUE"""),"")</f>
        <v/>
      </c>
      <c r="U289" s="5" t="s">
        <v>355</v>
      </c>
      <c r="V289" s="5" t="s">
        <v>355</v>
      </c>
      <c r="W289" s="5" t="s">
        <v>355</v>
      </c>
      <c r="X289" s="5" t="str">
        <f>IFERROR(__xludf.DUMMYFUNCTION("""COMPUTED_VALUE"""),"")</f>
        <v/>
      </c>
      <c r="Y289" s="5" t="s">
        <v>355</v>
      </c>
      <c r="Z289" s="5" t="s">
        <v>355</v>
      </c>
      <c r="AB289" s="5" t="s">
        <v>355</v>
      </c>
      <c r="AE289" s="5" t="s">
        <v>355</v>
      </c>
      <c r="AH289" s="5" t="s">
        <v>355</v>
      </c>
    </row>
    <row r="290">
      <c r="S290" s="5" t="s">
        <v>355</v>
      </c>
      <c r="T290" s="5" t="str">
        <f>IFERROR(__xludf.DUMMYFUNCTION("""COMPUTED_VALUE"""),"")</f>
        <v/>
      </c>
      <c r="U290" s="5" t="s">
        <v>355</v>
      </c>
      <c r="V290" s="5" t="s">
        <v>355</v>
      </c>
      <c r="W290" s="5" t="s">
        <v>355</v>
      </c>
      <c r="X290" s="5" t="str">
        <f>IFERROR(__xludf.DUMMYFUNCTION("""COMPUTED_VALUE"""),"")</f>
        <v/>
      </c>
      <c r="Y290" s="5" t="s">
        <v>355</v>
      </c>
      <c r="Z290" s="5" t="s">
        <v>355</v>
      </c>
      <c r="AB290" s="5" t="s">
        <v>355</v>
      </c>
      <c r="AE290" s="5" t="s">
        <v>355</v>
      </c>
      <c r="AH290" s="5" t="s">
        <v>355</v>
      </c>
    </row>
    <row r="291">
      <c r="S291" s="5" t="s">
        <v>355</v>
      </c>
      <c r="T291" s="5" t="str">
        <f>IFERROR(__xludf.DUMMYFUNCTION("""COMPUTED_VALUE"""),"")</f>
        <v/>
      </c>
      <c r="U291" s="5" t="s">
        <v>355</v>
      </c>
      <c r="V291" s="5" t="s">
        <v>355</v>
      </c>
      <c r="W291" s="5" t="s">
        <v>355</v>
      </c>
      <c r="X291" s="5" t="str">
        <f>IFERROR(__xludf.DUMMYFUNCTION("""COMPUTED_VALUE"""),"")</f>
        <v/>
      </c>
      <c r="Y291" s="5" t="s">
        <v>355</v>
      </c>
      <c r="Z291" s="5" t="s">
        <v>355</v>
      </c>
      <c r="AB291" s="5" t="s">
        <v>355</v>
      </c>
      <c r="AE291" s="5" t="s">
        <v>355</v>
      </c>
      <c r="AH291" s="5" t="s">
        <v>355</v>
      </c>
    </row>
    <row r="292">
      <c r="S292" s="5" t="s">
        <v>355</v>
      </c>
      <c r="T292" s="5" t="str">
        <f>IFERROR(__xludf.DUMMYFUNCTION("""COMPUTED_VALUE"""),"")</f>
        <v/>
      </c>
      <c r="U292" s="5" t="s">
        <v>355</v>
      </c>
      <c r="V292" s="5" t="s">
        <v>355</v>
      </c>
      <c r="W292" s="5" t="s">
        <v>355</v>
      </c>
      <c r="X292" s="5" t="str">
        <f>IFERROR(__xludf.DUMMYFUNCTION("""COMPUTED_VALUE"""),"")</f>
        <v/>
      </c>
      <c r="Y292" s="5" t="s">
        <v>355</v>
      </c>
      <c r="Z292" s="5" t="s">
        <v>355</v>
      </c>
      <c r="AB292" s="5" t="s">
        <v>355</v>
      </c>
      <c r="AE292" s="5" t="s">
        <v>355</v>
      </c>
      <c r="AH292" s="5" t="s">
        <v>355</v>
      </c>
    </row>
    <row r="293">
      <c r="S293" s="5" t="s">
        <v>355</v>
      </c>
      <c r="T293" s="5" t="str">
        <f>IFERROR(__xludf.DUMMYFUNCTION("""COMPUTED_VALUE"""),"")</f>
        <v/>
      </c>
      <c r="U293" s="5" t="s">
        <v>355</v>
      </c>
      <c r="V293" s="5" t="s">
        <v>355</v>
      </c>
      <c r="W293" s="5" t="s">
        <v>355</v>
      </c>
      <c r="X293" s="5" t="str">
        <f>IFERROR(__xludf.DUMMYFUNCTION("""COMPUTED_VALUE"""),"")</f>
        <v/>
      </c>
      <c r="Y293" s="5" t="s">
        <v>355</v>
      </c>
      <c r="Z293" s="5" t="s">
        <v>355</v>
      </c>
      <c r="AB293" s="5" t="s">
        <v>355</v>
      </c>
      <c r="AE293" s="5" t="s">
        <v>355</v>
      </c>
      <c r="AH293" s="5" t="s">
        <v>355</v>
      </c>
    </row>
    <row r="294">
      <c r="S294" s="5" t="s">
        <v>355</v>
      </c>
      <c r="T294" s="5" t="str">
        <f>IFERROR(__xludf.DUMMYFUNCTION("""COMPUTED_VALUE"""),"")</f>
        <v/>
      </c>
      <c r="U294" s="5" t="s">
        <v>355</v>
      </c>
      <c r="V294" s="5" t="s">
        <v>355</v>
      </c>
      <c r="W294" s="5" t="s">
        <v>355</v>
      </c>
      <c r="X294" s="5" t="str">
        <f>IFERROR(__xludf.DUMMYFUNCTION("""COMPUTED_VALUE"""),"")</f>
        <v/>
      </c>
      <c r="Y294" s="5" t="s">
        <v>355</v>
      </c>
      <c r="Z294" s="5" t="s">
        <v>355</v>
      </c>
      <c r="AB294" s="5" t="s">
        <v>355</v>
      </c>
      <c r="AE294" s="5" t="s">
        <v>355</v>
      </c>
      <c r="AH294" s="5" t="s">
        <v>355</v>
      </c>
    </row>
    <row r="295">
      <c r="S295" s="5" t="s">
        <v>355</v>
      </c>
      <c r="T295" s="5" t="str">
        <f>IFERROR(__xludf.DUMMYFUNCTION("""COMPUTED_VALUE"""),"")</f>
        <v/>
      </c>
      <c r="U295" s="5" t="s">
        <v>355</v>
      </c>
      <c r="V295" s="5" t="s">
        <v>355</v>
      </c>
      <c r="W295" s="5" t="s">
        <v>355</v>
      </c>
      <c r="X295" s="5" t="str">
        <f>IFERROR(__xludf.DUMMYFUNCTION("""COMPUTED_VALUE"""),"")</f>
        <v/>
      </c>
      <c r="Y295" s="5" t="s">
        <v>355</v>
      </c>
      <c r="Z295" s="5" t="s">
        <v>355</v>
      </c>
      <c r="AB295" s="5" t="s">
        <v>355</v>
      </c>
      <c r="AE295" s="5" t="s">
        <v>355</v>
      </c>
      <c r="AH295" s="5" t="s">
        <v>355</v>
      </c>
    </row>
    <row r="296">
      <c r="S296" s="5" t="s">
        <v>355</v>
      </c>
      <c r="T296" s="5" t="str">
        <f>IFERROR(__xludf.DUMMYFUNCTION("""COMPUTED_VALUE"""),"")</f>
        <v/>
      </c>
      <c r="U296" s="5" t="s">
        <v>355</v>
      </c>
      <c r="V296" s="5" t="s">
        <v>355</v>
      </c>
      <c r="W296" s="5" t="s">
        <v>355</v>
      </c>
      <c r="X296" s="5" t="str">
        <f>IFERROR(__xludf.DUMMYFUNCTION("""COMPUTED_VALUE"""),"")</f>
        <v/>
      </c>
      <c r="Y296" s="5" t="s">
        <v>355</v>
      </c>
      <c r="Z296" s="5" t="s">
        <v>355</v>
      </c>
      <c r="AB296" s="5" t="s">
        <v>355</v>
      </c>
      <c r="AE296" s="5" t="s">
        <v>355</v>
      </c>
      <c r="AH296" s="5" t="s">
        <v>355</v>
      </c>
    </row>
    <row r="297">
      <c r="S297" s="5" t="s">
        <v>355</v>
      </c>
      <c r="T297" s="5" t="str">
        <f>IFERROR(__xludf.DUMMYFUNCTION("""COMPUTED_VALUE"""),"")</f>
        <v/>
      </c>
      <c r="U297" s="5" t="s">
        <v>355</v>
      </c>
      <c r="V297" s="5" t="s">
        <v>355</v>
      </c>
      <c r="W297" s="5" t="s">
        <v>355</v>
      </c>
      <c r="X297" s="5" t="str">
        <f>IFERROR(__xludf.DUMMYFUNCTION("""COMPUTED_VALUE"""),"")</f>
        <v/>
      </c>
      <c r="Y297" s="5" t="s">
        <v>355</v>
      </c>
      <c r="Z297" s="5" t="s">
        <v>355</v>
      </c>
      <c r="AB297" s="5" t="s">
        <v>355</v>
      </c>
      <c r="AE297" s="5" t="s">
        <v>355</v>
      </c>
      <c r="AH297" s="5" t="s">
        <v>355</v>
      </c>
    </row>
    <row r="298">
      <c r="S298" s="5" t="s">
        <v>355</v>
      </c>
      <c r="T298" s="5" t="str">
        <f>IFERROR(__xludf.DUMMYFUNCTION("""COMPUTED_VALUE"""),"")</f>
        <v/>
      </c>
      <c r="U298" s="5" t="s">
        <v>355</v>
      </c>
      <c r="V298" s="5" t="s">
        <v>355</v>
      </c>
      <c r="W298" s="5" t="s">
        <v>355</v>
      </c>
      <c r="X298" s="5" t="str">
        <f>IFERROR(__xludf.DUMMYFUNCTION("""COMPUTED_VALUE"""),"")</f>
        <v/>
      </c>
      <c r="Y298" s="5" t="s">
        <v>355</v>
      </c>
      <c r="Z298" s="5" t="s">
        <v>355</v>
      </c>
      <c r="AB298" s="5" t="s">
        <v>355</v>
      </c>
      <c r="AE298" s="5" t="s">
        <v>355</v>
      </c>
      <c r="AH298" s="5" t="s">
        <v>355</v>
      </c>
    </row>
    <row r="299">
      <c r="S299" s="5" t="s">
        <v>355</v>
      </c>
      <c r="T299" s="5" t="str">
        <f>IFERROR(__xludf.DUMMYFUNCTION("""COMPUTED_VALUE"""),"")</f>
        <v/>
      </c>
      <c r="U299" s="5" t="s">
        <v>355</v>
      </c>
      <c r="V299" s="5" t="s">
        <v>355</v>
      </c>
      <c r="W299" s="5" t="s">
        <v>355</v>
      </c>
      <c r="X299" s="5" t="str">
        <f>IFERROR(__xludf.DUMMYFUNCTION("""COMPUTED_VALUE"""),"")</f>
        <v/>
      </c>
      <c r="Y299" s="5" t="s">
        <v>355</v>
      </c>
      <c r="Z299" s="5" t="s">
        <v>355</v>
      </c>
      <c r="AB299" s="5" t="s">
        <v>355</v>
      </c>
      <c r="AE299" s="5" t="s">
        <v>355</v>
      </c>
      <c r="AH299" s="5" t="s">
        <v>355</v>
      </c>
    </row>
    <row r="300">
      <c r="S300" s="5" t="s">
        <v>355</v>
      </c>
      <c r="T300" s="5" t="str">
        <f>IFERROR(__xludf.DUMMYFUNCTION("""COMPUTED_VALUE"""),"")</f>
        <v/>
      </c>
      <c r="U300" s="5" t="s">
        <v>355</v>
      </c>
      <c r="V300" s="5" t="s">
        <v>355</v>
      </c>
      <c r="W300" s="5" t="s">
        <v>355</v>
      </c>
      <c r="X300" s="5" t="str">
        <f>IFERROR(__xludf.DUMMYFUNCTION("""COMPUTED_VALUE"""),"")</f>
        <v/>
      </c>
      <c r="Y300" s="5" t="s">
        <v>355</v>
      </c>
      <c r="Z300" s="5" t="s">
        <v>355</v>
      </c>
      <c r="AB300" s="5" t="s">
        <v>355</v>
      </c>
      <c r="AE300" s="5" t="s">
        <v>355</v>
      </c>
      <c r="AH300" s="5" t="s">
        <v>355</v>
      </c>
    </row>
    <row r="301">
      <c r="S301" s="5" t="s">
        <v>355</v>
      </c>
      <c r="T301" s="5" t="str">
        <f>IFERROR(__xludf.DUMMYFUNCTION("""COMPUTED_VALUE"""),"")</f>
        <v/>
      </c>
      <c r="U301" s="5" t="s">
        <v>355</v>
      </c>
      <c r="V301" s="5" t="s">
        <v>355</v>
      </c>
      <c r="W301" s="5" t="s">
        <v>355</v>
      </c>
      <c r="X301" s="5" t="str">
        <f>IFERROR(__xludf.DUMMYFUNCTION("""COMPUTED_VALUE"""),"")</f>
        <v/>
      </c>
      <c r="Y301" s="5" t="s">
        <v>355</v>
      </c>
      <c r="Z301" s="5" t="s">
        <v>355</v>
      </c>
      <c r="AB301" s="5" t="s">
        <v>355</v>
      </c>
      <c r="AE301" s="5" t="s">
        <v>355</v>
      </c>
      <c r="AH301" s="5" t="s">
        <v>355</v>
      </c>
    </row>
    <row r="302">
      <c r="S302" s="5" t="s">
        <v>355</v>
      </c>
      <c r="T302" s="5" t="str">
        <f>IFERROR(__xludf.DUMMYFUNCTION("""COMPUTED_VALUE"""),"")</f>
        <v/>
      </c>
      <c r="U302" s="5" t="s">
        <v>355</v>
      </c>
      <c r="V302" s="5" t="s">
        <v>355</v>
      </c>
      <c r="W302" s="5" t="s">
        <v>355</v>
      </c>
      <c r="X302" s="5" t="str">
        <f>IFERROR(__xludf.DUMMYFUNCTION("""COMPUTED_VALUE"""),"")</f>
        <v/>
      </c>
      <c r="Y302" s="5" t="s">
        <v>355</v>
      </c>
      <c r="Z302" s="5" t="s">
        <v>355</v>
      </c>
      <c r="AB302" s="5" t="s">
        <v>355</v>
      </c>
      <c r="AE302" s="5" t="s">
        <v>355</v>
      </c>
      <c r="AH302" s="5" t="s">
        <v>355</v>
      </c>
    </row>
    <row r="303">
      <c r="S303" s="5" t="s">
        <v>355</v>
      </c>
      <c r="T303" s="5" t="str">
        <f>IFERROR(__xludf.DUMMYFUNCTION("""COMPUTED_VALUE"""),"")</f>
        <v/>
      </c>
      <c r="U303" s="5" t="s">
        <v>355</v>
      </c>
      <c r="V303" s="5" t="s">
        <v>355</v>
      </c>
      <c r="W303" s="5" t="s">
        <v>355</v>
      </c>
      <c r="X303" s="5" t="str">
        <f>IFERROR(__xludf.DUMMYFUNCTION("""COMPUTED_VALUE"""),"")</f>
        <v/>
      </c>
      <c r="Y303" s="5" t="s">
        <v>355</v>
      </c>
      <c r="Z303" s="5" t="s">
        <v>355</v>
      </c>
      <c r="AB303" s="5" t="s">
        <v>355</v>
      </c>
      <c r="AE303" s="5" t="s">
        <v>355</v>
      </c>
      <c r="AH303" s="5" t="s">
        <v>355</v>
      </c>
    </row>
    <row r="304">
      <c r="S304" s="5" t="s">
        <v>355</v>
      </c>
      <c r="T304" s="5" t="str">
        <f>IFERROR(__xludf.DUMMYFUNCTION("""COMPUTED_VALUE"""),"")</f>
        <v/>
      </c>
      <c r="U304" s="5" t="s">
        <v>355</v>
      </c>
      <c r="V304" s="5" t="s">
        <v>355</v>
      </c>
      <c r="W304" s="5" t="s">
        <v>355</v>
      </c>
      <c r="X304" s="5" t="str">
        <f>IFERROR(__xludf.DUMMYFUNCTION("""COMPUTED_VALUE"""),"")</f>
        <v/>
      </c>
      <c r="Y304" s="5" t="s">
        <v>355</v>
      </c>
      <c r="Z304" s="5" t="s">
        <v>355</v>
      </c>
      <c r="AB304" s="5" t="s">
        <v>355</v>
      </c>
      <c r="AE304" s="5" t="s">
        <v>355</v>
      </c>
      <c r="AH304" s="5" t="s">
        <v>355</v>
      </c>
    </row>
    <row r="305">
      <c r="S305" s="5" t="s">
        <v>355</v>
      </c>
      <c r="T305" s="5" t="str">
        <f>IFERROR(__xludf.DUMMYFUNCTION("""COMPUTED_VALUE"""),"")</f>
        <v/>
      </c>
      <c r="U305" s="5" t="s">
        <v>355</v>
      </c>
      <c r="V305" s="5" t="s">
        <v>355</v>
      </c>
      <c r="W305" s="5" t="s">
        <v>355</v>
      </c>
      <c r="X305" s="5" t="str">
        <f>IFERROR(__xludf.DUMMYFUNCTION("""COMPUTED_VALUE"""),"")</f>
        <v/>
      </c>
      <c r="Y305" s="5" t="s">
        <v>355</v>
      </c>
      <c r="Z305" s="5" t="s">
        <v>355</v>
      </c>
      <c r="AB305" s="5" t="s">
        <v>355</v>
      </c>
      <c r="AE305" s="5" t="s">
        <v>355</v>
      </c>
      <c r="AH305" s="5" t="s">
        <v>355</v>
      </c>
    </row>
    <row r="306">
      <c r="S306" s="5" t="s">
        <v>355</v>
      </c>
      <c r="T306" s="5" t="str">
        <f>IFERROR(__xludf.DUMMYFUNCTION("""COMPUTED_VALUE"""),"")</f>
        <v/>
      </c>
      <c r="U306" s="5" t="s">
        <v>355</v>
      </c>
      <c r="V306" s="5" t="s">
        <v>355</v>
      </c>
      <c r="W306" s="5" t="s">
        <v>355</v>
      </c>
      <c r="X306" s="5" t="str">
        <f>IFERROR(__xludf.DUMMYFUNCTION("""COMPUTED_VALUE"""),"")</f>
        <v/>
      </c>
      <c r="Y306" s="5" t="s">
        <v>355</v>
      </c>
      <c r="Z306" s="5" t="s">
        <v>355</v>
      </c>
      <c r="AB306" s="5" t="s">
        <v>355</v>
      </c>
      <c r="AE306" s="5" t="s">
        <v>355</v>
      </c>
      <c r="AH306" s="5" t="s">
        <v>355</v>
      </c>
    </row>
    <row r="307">
      <c r="S307" s="5" t="s">
        <v>355</v>
      </c>
      <c r="T307" s="5" t="str">
        <f>IFERROR(__xludf.DUMMYFUNCTION("""COMPUTED_VALUE"""),"")</f>
        <v/>
      </c>
      <c r="U307" s="5" t="s">
        <v>355</v>
      </c>
      <c r="V307" s="5" t="s">
        <v>355</v>
      </c>
      <c r="W307" s="5" t="s">
        <v>355</v>
      </c>
      <c r="X307" s="5" t="str">
        <f>IFERROR(__xludf.DUMMYFUNCTION("""COMPUTED_VALUE"""),"")</f>
        <v/>
      </c>
      <c r="Y307" s="5" t="s">
        <v>355</v>
      </c>
      <c r="Z307" s="5" t="s">
        <v>355</v>
      </c>
      <c r="AB307" s="5" t="s">
        <v>355</v>
      </c>
      <c r="AE307" s="5" t="s">
        <v>355</v>
      </c>
      <c r="AH307" s="5" t="s">
        <v>355</v>
      </c>
    </row>
    <row r="308">
      <c r="S308" s="5" t="s">
        <v>355</v>
      </c>
      <c r="T308" s="5" t="str">
        <f>IFERROR(__xludf.DUMMYFUNCTION("""COMPUTED_VALUE"""),"")</f>
        <v/>
      </c>
      <c r="U308" s="5" t="s">
        <v>355</v>
      </c>
      <c r="V308" s="5" t="s">
        <v>355</v>
      </c>
      <c r="W308" s="5" t="s">
        <v>355</v>
      </c>
      <c r="X308" s="5" t="str">
        <f>IFERROR(__xludf.DUMMYFUNCTION("""COMPUTED_VALUE"""),"")</f>
        <v/>
      </c>
      <c r="Y308" s="5" t="s">
        <v>355</v>
      </c>
      <c r="Z308" s="5" t="s">
        <v>355</v>
      </c>
      <c r="AB308" s="5" t="s">
        <v>355</v>
      </c>
      <c r="AE308" s="5" t="s">
        <v>355</v>
      </c>
      <c r="AH308" s="5" t="s">
        <v>355</v>
      </c>
    </row>
    <row r="309">
      <c r="S309" s="5" t="s">
        <v>355</v>
      </c>
      <c r="T309" s="5" t="str">
        <f>IFERROR(__xludf.DUMMYFUNCTION("""COMPUTED_VALUE"""),"")</f>
        <v/>
      </c>
      <c r="U309" s="5" t="s">
        <v>355</v>
      </c>
      <c r="V309" s="5" t="s">
        <v>355</v>
      </c>
      <c r="W309" s="5" t="s">
        <v>355</v>
      </c>
      <c r="X309" s="5" t="str">
        <f>IFERROR(__xludf.DUMMYFUNCTION("""COMPUTED_VALUE"""),"")</f>
        <v/>
      </c>
      <c r="Y309" s="5" t="s">
        <v>355</v>
      </c>
      <c r="Z309" s="5" t="s">
        <v>355</v>
      </c>
      <c r="AB309" s="5" t="s">
        <v>355</v>
      </c>
      <c r="AE309" s="5" t="s">
        <v>355</v>
      </c>
      <c r="AH309" s="5" t="s">
        <v>355</v>
      </c>
    </row>
    <row r="310">
      <c r="S310" s="5" t="s">
        <v>355</v>
      </c>
      <c r="T310" s="5" t="str">
        <f>IFERROR(__xludf.DUMMYFUNCTION("""COMPUTED_VALUE"""),"")</f>
        <v/>
      </c>
      <c r="U310" s="5" t="s">
        <v>355</v>
      </c>
      <c r="V310" s="5" t="s">
        <v>355</v>
      </c>
      <c r="W310" s="5" t="s">
        <v>355</v>
      </c>
      <c r="X310" s="5" t="str">
        <f>IFERROR(__xludf.DUMMYFUNCTION("""COMPUTED_VALUE"""),"")</f>
        <v/>
      </c>
      <c r="Y310" s="5" t="s">
        <v>355</v>
      </c>
      <c r="Z310" s="5" t="s">
        <v>355</v>
      </c>
      <c r="AB310" s="5" t="s">
        <v>355</v>
      </c>
      <c r="AE310" s="5" t="s">
        <v>355</v>
      </c>
      <c r="AH310" s="5" t="s">
        <v>355</v>
      </c>
    </row>
    <row r="311">
      <c r="S311" s="5" t="s">
        <v>355</v>
      </c>
      <c r="T311" s="5" t="str">
        <f>IFERROR(__xludf.DUMMYFUNCTION("""COMPUTED_VALUE"""),"")</f>
        <v/>
      </c>
      <c r="U311" s="5" t="s">
        <v>355</v>
      </c>
      <c r="V311" s="5" t="s">
        <v>355</v>
      </c>
      <c r="W311" s="5" t="s">
        <v>355</v>
      </c>
      <c r="X311" s="5" t="str">
        <f>IFERROR(__xludf.DUMMYFUNCTION("""COMPUTED_VALUE"""),"")</f>
        <v/>
      </c>
      <c r="Y311" s="5" t="s">
        <v>355</v>
      </c>
      <c r="Z311" s="5" t="s">
        <v>355</v>
      </c>
      <c r="AB311" s="5" t="s">
        <v>355</v>
      </c>
      <c r="AE311" s="5" t="s">
        <v>355</v>
      </c>
      <c r="AH311" s="5" t="s">
        <v>355</v>
      </c>
    </row>
    <row r="312">
      <c r="S312" s="5" t="s">
        <v>355</v>
      </c>
      <c r="T312" s="5" t="str">
        <f>IFERROR(__xludf.DUMMYFUNCTION("""COMPUTED_VALUE"""),"")</f>
        <v/>
      </c>
      <c r="U312" s="5" t="s">
        <v>355</v>
      </c>
      <c r="V312" s="5" t="s">
        <v>355</v>
      </c>
      <c r="W312" s="5" t="s">
        <v>355</v>
      </c>
      <c r="X312" s="5" t="str">
        <f>IFERROR(__xludf.DUMMYFUNCTION("""COMPUTED_VALUE"""),"")</f>
        <v/>
      </c>
      <c r="Y312" s="5" t="s">
        <v>355</v>
      </c>
      <c r="Z312" s="5" t="s">
        <v>355</v>
      </c>
      <c r="AB312" s="5" t="s">
        <v>355</v>
      </c>
      <c r="AE312" s="5" t="s">
        <v>355</v>
      </c>
      <c r="AH312" s="5" t="s">
        <v>355</v>
      </c>
    </row>
    <row r="313">
      <c r="S313" s="5" t="s">
        <v>355</v>
      </c>
      <c r="T313" s="5" t="str">
        <f>IFERROR(__xludf.DUMMYFUNCTION("""COMPUTED_VALUE"""),"")</f>
        <v/>
      </c>
      <c r="U313" s="5" t="s">
        <v>355</v>
      </c>
      <c r="V313" s="5" t="s">
        <v>355</v>
      </c>
      <c r="W313" s="5" t="s">
        <v>355</v>
      </c>
      <c r="X313" s="5" t="str">
        <f>IFERROR(__xludf.DUMMYFUNCTION("""COMPUTED_VALUE"""),"")</f>
        <v/>
      </c>
      <c r="Y313" s="5" t="s">
        <v>355</v>
      </c>
      <c r="Z313" s="5" t="s">
        <v>355</v>
      </c>
      <c r="AB313" s="5" t="s">
        <v>355</v>
      </c>
      <c r="AE313" s="5" t="s">
        <v>355</v>
      </c>
      <c r="AH313" s="5" t="s">
        <v>355</v>
      </c>
    </row>
    <row r="314">
      <c r="S314" s="5" t="s">
        <v>355</v>
      </c>
      <c r="T314" s="5" t="str">
        <f>IFERROR(__xludf.DUMMYFUNCTION("""COMPUTED_VALUE"""),"")</f>
        <v/>
      </c>
      <c r="U314" s="5" t="s">
        <v>355</v>
      </c>
      <c r="V314" s="5" t="s">
        <v>355</v>
      </c>
      <c r="W314" s="5" t="s">
        <v>355</v>
      </c>
      <c r="X314" s="5" t="str">
        <f>IFERROR(__xludf.DUMMYFUNCTION("""COMPUTED_VALUE"""),"")</f>
        <v/>
      </c>
      <c r="Y314" s="5" t="s">
        <v>355</v>
      </c>
      <c r="Z314" s="5" t="s">
        <v>355</v>
      </c>
      <c r="AB314" s="5" t="s">
        <v>355</v>
      </c>
      <c r="AE314" s="5" t="s">
        <v>355</v>
      </c>
      <c r="AH314" s="5" t="s">
        <v>355</v>
      </c>
    </row>
    <row r="315">
      <c r="S315" s="5" t="s">
        <v>355</v>
      </c>
      <c r="T315" s="5" t="str">
        <f>IFERROR(__xludf.DUMMYFUNCTION("""COMPUTED_VALUE"""),"")</f>
        <v/>
      </c>
      <c r="U315" s="5" t="s">
        <v>355</v>
      </c>
      <c r="V315" s="5" t="s">
        <v>355</v>
      </c>
      <c r="W315" s="5" t="s">
        <v>355</v>
      </c>
      <c r="X315" s="5" t="str">
        <f>IFERROR(__xludf.DUMMYFUNCTION("""COMPUTED_VALUE"""),"")</f>
        <v/>
      </c>
      <c r="Y315" s="5" t="s">
        <v>355</v>
      </c>
      <c r="Z315" s="5" t="s">
        <v>355</v>
      </c>
      <c r="AB315" s="5" t="s">
        <v>355</v>
      </c>
      <c r="AE315" s="5" t="s">
        <v>355</v>
      </c>
      <c r="AH315" s="5" t="s">
        <v>355</v>
      </c>
    </row>
    <row r="316">
      <c r="S316" s="5" t="s">
        <v>355</v>
      </c>
      <c r="T316" s="5" t="str">
        <f>IFERROR(__xludf.DUMMYFUNCTION("""COMPUTED_VALUE"""),"")</f>
        <v/>
      </c>
      <c r="U316" s="5" t="s">
        <v>355</v>
      </c>
      <c r="V316" s="5" t="s">
        <v>355</v>
      </c>
      <c r="W316" s="5" t="s">
        <v>355</v>
      </c>
      <c r="X316" s="5" t="str">
        <f>IFERROR(__xludf.DUMMYFUNCTION("""COMPUTED_VALUE"""),"")</f>
        <v/>
      </c>
      <c r="Y316" s="5" t="s">
        <v>355</v>
      </c>
      <c r="Z316" s="5" t="s">
        <v>355</v>
      </c>
      <c r="AB316" s="5" t="s">
        <v>355</v>
      </c>
      <c r="AE316" s="5" t="s">
        <v>355</v>
      </c>
      <c r="AH316" s="5" t="s">
        <v>355</v>
      </c>
    </row>
    <row r="317">
      <c r="S317" s="5" t="s">
        <v>355</v>
      </c>
      <c r="T317" s="5" t="str">
        <f>IFERROR(__xludf.DUMMYFUNCTION("""COMPUTED_VALUE"""),"")</f>
        <v/>
      </c>
      <c r="U317" s="5" t="s">
        <v>355</v>
      </c>
      <c r="V317" s="5" t="s">
        <v>355</v>
      </c>
      <c r="W317" s="5" t="s">
        <v>355</v>
      </c>
      <c r="X317" s="5" t="str">
        <f>IFERROR(__xludf.DUMMYFUNCTION("""COMPUTED_VALUE"""),"")</f>
        <v/>
      </c>
      <c r="Y317" s="5" t="s">
        <v>355</v>
      </c>
      <c r="Z317" s="5" t="s">
        <v>355</v>
      </c>
      <c r="AB317" s="5" t="s">
        <v>355</v>
      </c>
      <c r="AE317" s="5" t="s">
        <v>355</v>
      </c>
      <c r="AH317" s="5" t="s">
        <v>355</v>
      </c>
    </row>
    <row r="318">
      <c r="S318" s="5" t="s">
        <v>355</v>
      </c>
      <c r="T318" s="5" t="str">
        <f>IFERROR(__xludf.DUMMYFUNCTION("""COMPUTED_VALUE"""),"")</f>
        <v/>
      </c>
      <c r="U318" s="5" t="s">
        <v>355</v>
      </c>
      <c r="V318" s="5" t="s">
        <v>355</v>
      </c>
      <c r="W318" s="5" t="s">
        <v>355</v>
      </c>
      <c r="X318" s="5" t="str">
        <f>IFERROR(__xludf.DUMMYFUNCTION("""COMPUTED_VALUE"""),"")</f>
        <v/>
      </c>
      <c r="Y318" s="5" t="s">
        <v>355</v>
      </c>
      <c r="Z318" s="5" t="s">
        <v>355</v>
      </c>
      <c r="AB318" s="5" t="s">
        <v>355</v>
      </c>
      <c r="AE318" s="5" t="s">
        <v>355</v>
      </c>
      <c r="AH318" s="5" t="s">
        <v>355</v>
      </c>
    </row>
    <row r="319">
      <c r="S319" s="5" t="s">
        <v>355</v>
      </c>
      <c r="T319" s="5" t="str">
        <f>IFERROR(__xludf.DUMMYFUNCTION("""COMPUTED_VALUE"""),"")</f>
        <v/>
      </c>
      <c r="U319" s="5" t="s">
        <v>355</v>
      </c>
      <c r="V319" s="5" t="s">
        <v>355</v>
      </c>
      <c r="W319" s="5" t="s">
        <v>355</v>
      </c>
      <c r="X319" s="5" t="str">
        <f>IFERROR(__xludf.DUMMYFUNCTION("""COMPUTED_VALUE"""),"")</f>
        <v/>
      </c>
      <c r="Y319" s="5" t="s">
        <v>355</v>
      </c>
      <c r="Z319" s="5" t="s">
        <v>355</v>
      </c>
      <c r="AB319" s="5" t="s">
        <v>355</v>
      </c>
      <c r="AE319" s="5" t="s">
        <v>355</v>
      </c>
      <c r="AH319" s="5" t="s">
        <v>355</v>
      </c>
    </row>
    <row r="320">
      <c r="S320" s="5" t="s">
        <v>355</v>
      </c>
      <c r="T320" s="5" t="str">
        <f>IFERROR(__xludf.DUMMYFUNCTION("""COMPUTED_VALUE"""),"")</f>
        <v/>
      </c>
      <c r="U320" s="5" t="s">
        <v>355</v>
      </c>
      <c r="V320" s="5" t="s">
        <v>355</v>
      </c>
      <c r="W320" s="5" t="s">
        <v>355</v>
      </c>
      <c r="X320" s="5" t="str">
        <f>IFERROR(__xludf.DUMMYFUNCTION("""COMPUTED_VALUE"""),"")</f>
        <v/>
      </c>
      <c r="Y320" s="5" t="s">
        <v>355</v>
      </c>
      <c r="Z320" s="5" t="s">
        <v>355</v>
      </c>
      <c r="AB320" s="5" t="s">
        <v>355</v>
      </c>
      <c r="AE320" s="5" t="s">
        <v>355</v>
      </c>
      <c r="AH320" s="5" t="s">
        <v>355</v>
      </c>
    </row>
    <row r="321">
      <c r="S321" s="5" t="s">
        <v>355</v>
      </c>
      <c r="T321" s="5" t="str">
        <f>IFERROR(__xludf.DUMMYFUNCTION("""COMPUTED_VALUE"""),"")</f>
        <v/>
      </c>
      <c r="U321" s="5" t="s">
        <v>355</v>
      </c>
      <c r="V321" s="5" t="s">
        <v>355</v>
      </c>
      <c r="W321" s="5" t="s">
        <v>355</v>
      </c>
      <c r="X321" s="5" t="str">
        <f>IFERROR(__xludf.DUMMYFUNCTION("""COMPUTED_VALUE"""),"")</f>
        <v/>
      </c>
      <c r="Y321" s="5" t="s">
        <v>355</v>
      </c>
      <c r="Z321" s="5" t="s">
        <v>355</v>
      </c>
      <c r="AB321" s="5" t="s">
        <v>355</v>
      </c>
      <c r="AE321" s="5" t="s">
        <v>355</v>
      </c>
      <c r="AH321" s="5" t="s">
        <v>355</v>
      </c>
    </row>
    <row r="322">
      <c r="S322" s="5" t="s">
        <v>355</v>
      </c>
      <c r="T322" s="5" t="str">
        <f>IFERROR(__xludf.DUMMYFUNCTION("""COMPUTED_VALUE"""),"")</f>
        <v/>
      </c>
      <c r="U322" s="5" t="s">
        <v>355</v>
      </c>
      <c r="V322" s="5" t="s">
        <v>355</v>
      </c>
      <c r="W322" s="5" t="s">
        <v>355</v>
      </c>
      <c r="X322" s="5" t="str">
        <f>IFERROR(__xludf.DUMMYFUNCTION("""COMPUTED_VALUE"""),"")</f>
        <v/>
      </c>
      <c r="Y322" s="5" t="s">
        <v>355</v>
      </c>
      <c r="Z322" s="5" t="s">
        <v>355</v>
      </c>
      <c r="AB322" s="5" t="s">
        <v>355</v>
      </c>
      <c r="AE322" s="5" t="s">
        <v>355</v>
      </c>
      <c r="AH322" s="5" t="s">
        <v>355</v>
      </c>
    </row>
    <row r="323">
      <c r="S323" s="5" t="s">
        <v>355</v>
      </c>
      <c r="T323" s="5" t="str">
        <f>IFERROR(__xludf.DUMMYFUNCTION("""COMPUTED_VALUE"""),"")</f>
        <v/>
      </c>
      <c r="U323" s="5" t="s">
        <v>355</v>
      </c>
      <c r="V323" s="5" t="s">
        <v>355</v>
      </c>
      <c r="W323" s="5" t="s">
        <v>355</v>
      </c>
      <c r="X323" s="5" t="str">
        <f>IFERROR(__xludf.DUMMYFUNCTION("""COMPUTED_VALUE"""),"")</f>
        <v/>
      </c>
      <c r="Y323" s="5" t="s">
        <v>355</v>
      </c>
      <c r="Z323" s="5" t="s">
        <v>355</v>
      </c>
      <c r="AB323" s="5" t="s">
        <v>355</v>
      </c>
      <c r="AE323" s="5" t="s">
        <v>355</v>
      </c>
      <c r="AH323" s="5" t="s">
        <v>355</v>
      </c>
    </row>
    <row r="324">
      <c r="S324" s="5" t="s">
        <v>355</v>
      </c>
      <c r="T324" s="5" t="str">
        <f>IFERROR(__xludf.DUMMYFUNCTION("""COMPUTED_VALUE"""),"")</f>
        <v/>
      </c>
      <c r="U324" s="5" t="s">
        <v>355</v>
      </c>
      <c r="V324" s="5" t="s">
        <v>355</v>
      </c>
      <c r="W324" s="5" t="s">
        <v>355</v>
      </c>
      <c r="X324" s="5" t="str">
        <f>IFERROR(__xludf.DUMMYFUNCTION("""COMPUTED_VALUE"""),"")</f>
        <v/>
      </c>
      <c r="Y324" s="5" t="s">
        <v>355</v>
      </c>
      <c r="Z324" s="5" t="s">
        <v>355</v>
      </c>
      <c r="AB324" s="5" t="s">
        <v>355</v>
      </c>
      <c r="AE324" s="5" t="s">
        <v>355</v>
      </c>
      <c r="AH324" s="5" t="s">
        <v>355</v>
      </c>
    </row>
    <row r="325">
      <c r="S325" s="5" t="s">
        <v>355</v>
      </c>
      <c r="T325" s="5" t="str">
        <f>IFERROR(__xludf.DUMMYFUNCTION("""COMPUTED_VALUE"""),"")</f>
        <v/>
      </c>
      <c r="U325" s="5" t="s">
        <v>355</v>
      </c>
      <c r="V325" s="5" t="s">
        <v>355</v>
      </c>
      <c r="W325" s="5" t="s">
        <v>355</v>
      </c>
      <c r="X325" s="5" t="str">
        <f>IFERROR(__xludf.DUMMYFUNCTION("""COMPUTED_VALUE"""),"")</f>
        <v/>
      </c>
      <c r="Y325" s="5" t="s">
        <v>355</v>
      </c>
      <c r="Z325" s="5" t="s">
        <v>355</v>
      </c>
      <c r="AB325" s="5" t="s">
        <v>355</v>
      </c>
      <c r="AE325" s="5" t="s">
        <v>355</v>
      </c>
      <c r="AH325" s="5" t="s">
        <v>355</v>
      </c>
    </row>
    <row r="326">
      <c r="S326" s="5" t="s">
        <v>355</v>
      </c>
      <c r="T326" s="5" t="str">
        <f>IFERROR(__xludf.DUMMYFUNCTION("""COMPUTED_VALUE"""),"")</f>
        <v/>
      </c>
      <c r="U326" s="5" t="s">
        <v>355</v>
      </c>
      <c r="V326" s="5" t="s">
        <v>355</v>
      </c>
      <c r="W326" s="5" t="s">
        <v>355</v>
      </c>
      <c r="X326" s="5" t="str">
        <f>IFERROR(__xludf.DUMMYFUNCTION("""COMPUTED_VALUE"""),"")</f>
        <v/>
      </c>
      <c r="Y326" s="5" t="s">
        <v>355</v>
      </c>
      <c r="Z326" s="5" t="s">
        <v>355</v>
      </c>
      <c r="AB326" s="5" t="s">
        <v>355</v>
      </c>
      <c r="AE326" s="5" t="s">
        <v>355</v>
      </c>
      <c r="AH326" s="5" t="s">
        <v>355</v>
      </c>
    </row>
    <row r="327">
      <c r="S327" s="5" t="s">
        <v>355</v>
      </c>
      <c r="T327" s="5" t="str">
        <f>IFERROR(__xludf.DUMMYFUNCTION("""COMPUTED_VALUE"""),"")</f>
        <v/>
      </c>
      <c r="U327" s="5" t="s">
        <v>355</v>
      </c>
      <c r="V327" s="5" t="s">
        <v>355</v>
      </c>
      <c r="W327" s="5" t="s">
        <v>355</v>
      </c>
      <c r="X327" s="5" t="str">
        <f>IFERROR(__xludf.DUMMYFUNCTION("""COMPUTED_VALUE"""),"")</f>
        <v/>
      </c>
      <c r="Y327" s="5" t="s">
        <v>355</v>
      </c>
      <c r="Z327" s="5" t="s">
        <v>355</v>
      </c>
      <c r="AB327" s="5" t="s">
        <v>355</v>
      </c>
      <c r="AE327" s="5" t="s">
        <v>355</v>
      </c>
      <c r="AH327" s="5" t="s">
        <v>355</v>
      </c>
    </row>
    <row r="328">
      <c r="S328" s="5" t="s">
        <v>355</v>
      </c>
      <c r="T328" s="5" t="str">
        <f>IFERROR(__xludf.DUMMYFUNCTION("""COMPUTED_VALUE"""),"")</f>
        <v/>
      </c>
      <c r="U328" s="5" t="s">
        <v>355</v>
      </c>
      <c r="V328" s="5" t="s">
        <v>355</v>
      </c>
      <c r="W328" s="5" t="s">
        <v>355</v>
      </c>
      <c r="X328" s="5" t="str">
        <f>IFERROR(__xludf.DUMMYFUNCTION("""COMPUTED_VALUE"""),"")</f>
        <v/>
      </c>
      <c r="Y328" s="5" t="s">
        <v>355</v>
      </c>
      <c r="Z328" s="5" t="s">
        <v>355</v>
      </c>
      <c r="AB328" s="5" t="s">
        <v>355</v>
      </c>
      <c r="AE328" s="5" t="s">
        <v>355</v>
      </c>
      <c r="AH328" s="5" t="s">
        <v>355</v>
      </c>
    </row>
    <row r="329">
      <c r="S329" s="5" t="s">
        <v>355</v>
      </c>
      <c r="T329" s="5" t="str">
        <f>IFERROR(__xludf.DUMMYFUNCTION("""COMPUTED_VALUE"""),"")</f>
        <v/>
      </c>
      <c r="U329" s="5" t="s">
        <v>355</v>
      </c>
      <c r="V329" s="5" t="s">
        <v>355</v>
      </c>
      <c r="W329" s="5" t="s">
        <v>355</v>
      </c>
      <c r="X329" s="5" t="str">
        <f>IFERROR(__xludf.DUMMYFUNCTION("""COMPUTED_VALUE"""),"")</f>
        <v/>
      </c>
      <c r="Y329" s="5" t="s">
        <v>355</v>
      </c>
      <c r="Z329" s="5" t="s">
        <v>355</v>
      </c>
      <c r="AB329" s="5" t="s">
        <v>355</v>
      </c>
      <c r="AE329" s="5" t="s">
        <v>355</v>
      </c>
      <c r="AH329" s="5" t="s">
        <v>355</v>
      </c>
    </row>
    <row r="330">
      <c r="S330" s="5" t="s">
        <v>355</v>
      </c>
      <c r="T330" s="5" t="str">
        <f>IFERROR(__xludf.DUMMYFUNCTION("""COMPUTED_VALUE"""),"")</f>
        <v/>
      </c>
      <c r="U330" s="5" t="s">
        <v>355</v>
      </c>
      <c r="V330" s="5" t="s">
        <v>355</v>
      </c>
      <c r="W330" s="5" t="s">
        <v>355</v>
      </c>
      <c r="X330" s="5" t="str">
        <f>IFERROR(__xludf.DUMMYFUNCTION("""COMPUTED_VALUE"""),"")</f>
        <v/>
      </c>
      <c r="Y330" s="5" t="s">
        <v>355</v>
      </c>
      <c r="Z330" s="5" t="s">
        <v>355</v>
      </c>
      <c r="AB330" s="5" t="s">
        <v>355</v>
      </c>
      <c r="AE330" s="5" t="s">
        <v>355</v>
      </c>
      <c r="AH330" s="5" t="s">
        <v>355</v>
      </c>
    </row>
    <row r="331">
      <c r="S331" s="5" t="s">
        <v>355</v>
      </c>
      <c r="T331" s="5" t="str">
        <f>IFERROR(__xludf.DUMMYFUNCTION("""COMPUTED_VALUE"""),"")</f>
        <v/>
      </c>
      <c r="U331" s="5" t="s">
        <v>355</v>
      </c>
      <c r="V331" s="5" t="s">
        <v>355</v>
      </c>
      <c r="W331" s="5" t="s">
        <v>355</v>
      </c>
      <c r="X331" s="5" t="str">
        <f>IFERROR(__xludf.DUMMYFUNCTION("""COMPUTED_VALUE"""),"")</f>
        <v/>
      </c>
      <c r="Y331" s="5" t="s">
        <v>355</v>
      </c>
      <c r="Z331" s="5" t="s">
        <v>355</v>
      </c>
      <c r="AB331" s="5" t="s">
        <v>355</v>
      </c>
      <c r="AE331" s="5" t="s">
        <v>355</v>
      </c>
      <c r="AH331" s="5" t="s">
        <v>355</v>
      </c>
    </row>
    <row r="332">
      <c r="S332" s="5" t="s">
        <v>355</v>
      </c>
      <c r="T332" s="5" t="str">
        <f>IFERROR(__xludf.DUMMYFUNCTION("""COMPUTED_VALUE"""),"")</f>
        <v/>
      </c>
      <c r="U332" s="5" t="s">
        <v>355</v>
      </c>
      <c r="V332" s="5" t="s">
        <v>355</v>
      </c>
      <c r="W332" s="5" t="s">
        <v>355</v>
      </c>
      <c r="X332" s="5" t="str">
        <f>IFERROR(__xludf.DUMMYFUNCTION("""COMPUTED_VALUE"""),"")</f>
        <v/>
      </c>
      <c r="Y332" s="5" t="s">
        <v>355</v>
      </c>
      <c r="Z332" s="5" t="s">
        <v>355</v>
      </c>
      <c r="AB332" s="5" t="s">
        <v>355</v>
      </c>
      <c r="AE332" s="5" t="s">
        <v>355</v>
      </c>
      <c r="AH332" s="5" t="s">
        <v>355</v>
      </c>
    </row>
    <row r="333">
      <c r="S333" s="5" t="s">
        <v>355</v>
      </c>
      <c r="T333" s="5" t="str">
        <f>IFERROR(__xludf.DUMMYFUNCTION("""COMPUTED_VALUE"""),"")</f>
        <v/>
      </c>
      <c r="U333" s="5" t="s">
        <v>355</v>
      </c>
      <c r="V333" s="5" t="s">
        <v>355</v>
      </c>
      <c r="W333" s="5" t="s">
        <v>355</v>
      </c>
      <c r="X333" s="5" t="str">
        <f>IFERROR(__xludf.DUMMYFUNCTION("""COMPUTED_VALUE"""),"")</f>
        <v/>
      </c>
      <c r="Y333" s="5" t="s">
        <v>355</v>
      </c>
      <c r="Z333" s="5" t="s">
        <v>355</v>
      </c>
      <c r="AB333" s="5" t="s">
        <v>355</v>
      </c>
      <c r="AE333" s="5" t="s">
        <v>355</v>
      </c>
      <c r="AH333" s="5" t="s">
        <v>355</v>
      </c>
    </row>
    <row r="334">
      <c r="S334" s="5" t="s">
        <v>355</v>
      </c>
      <c r="T334" s="5" t="str">
        <f>IFERROR(__xludf.DUMMYFUNCTION("""COMPUTED_VALUE"""),"")</f>
        <v/>
      </c>
      <c r="U334" s="5" t="s">
        <v>355</v>
      </c>
      <c r="V334" s="5" t="s">
        <v>355</v>
      </c>
      <c r="W334" s="5" t="s">
        <v>355</v>
      </c>
      <c r="X334" s="5" t="str">
        <f>IFERROR(__xludf.DUMMYFUNCTION("""COMPUTED_VALUE"""),"")</f>
        <v/>
      </c>
      <c r="Y334" s="5" t="s">
        <v>355</v>
      </c>
      <c r="Z334" s="5" t="s">
        <v>355</v>
      </c>
      <c r="AB334" s="5" t="s">
        <v>355</v>
      </c>
      <c r="AE334" s="5" t="s">
        <v>355</v>
      </c>
      <c r="AH334" s="5" t="s">
        <v>355</v>
      </c>
    </row>
    <row r="335">
      <c r="S335" s="5" t="s">
        <v>355</v>
      </c>
      <c r="T335" s="5" t="str">
        <f>IFERROR(__xludf.DUMMYFUNCTION("""COMPUTED_VALUE"""),"")</f>
        <v/>
      </c>
      <c r="U335" s="5" t="s">
        <v>355</v>
      </c>
      <c r="V335" s="5" t="s">
        <v>355</v>
      </c>
      <c r="W335" s="5" t="s">
        <v>355</v>
      </c>
      <c r="X335" s="5" t="str">
        <f>IFERROR(__xludf.DUMMYFUNCTION("""COMPUTED_VALUE"""),"")</f>
        <v/>
      </c>
      <c r="Y335" s="5" t="s">
        <v>355</v>
      </c>
      <c r="Z335" s="5" t="s">
        <v>355</v>
      </c>
      <c r="AB335" s="5" t="s">
        <v>355</v>
      </c>
      <c r="AE335" s="5" t="s">
        <v>355</v>
      </c>
      <c r="AH335" s="5" t="s">
        <v>355</v>
      </c>
    </row>
    <row r="336">
      <c r="S336" s="5" t="s">
        <v>355</v>
      </c>
      <c r="T336" s="5" t="str">
        <f>IFERROR(__xludf.DUMMYFUNCTION("""COMPUTED_VALUE"""),"")</f>
        <v/>
      </c>
      <c r="U336" s="5" t="s">
        <v>355</v>
      </c>
      <c r="V336" s="5" t="s">
        <v>355</v>
      </c>
      <c r="W336" s="5" t="s">
        <v>355</v>
      </c>
      <c r="X336" s="5" t="str">
        <f>IFERROR(__xludf.DUMMYFUNCTION("""COMPUTED_VALUE"""),"")</f>
        <v/>
      </c>
      <c r="Y336" s="5" t="s">
        <v>355</v>
      </c>
      <c r="Z336" s="5" t="s">
        <v>355</v>
      </c>
      <c r="AB336" s="5" t="s">
        <v>355</v>
      </c>
      <c r="AE336" s="5" t="s">
        <v>355</v>
      </c>
      <c r="AH336" s="5" t="s">
        <v>355</v>
      </c>
    </row>
    <row r="337">
      <c r="S337" s="5" t="s">
        <v>355</v>
      </c>
      <c r="T337" s="5" t="str">
        <f>IFERROR(__xludf.DUMMYFUNCTION("""COMPUTED_VALUE"""),"")</f>
        <v/>
      </c>
      <c r="U337" s="5" t="s">
        <v>355</v>
      </c>
      <c r="V337" s="5" t="s">
        <v>355</v>
      </c>
      <c r="W337" s="5" t="s">
        <v>355</v>
      </c>
      <c r="X337" s="5" t="str">
        <f>IFERROR(__xludf.DUMMYFUNCTION("""COMPUTED_VALUE"""),"")</f>
        <v/>
      </c>
      <c r="Y337" s="5" t="s">
        <v>355</v>
      </c>
      <c r="Z337" s="5" t="s">
        <v>355</v>
      </c>
      <c r="AB337" s="5" t="s">
        <v>355</v>
      </c>
      <c r="AE337" s="5" t="s">
        <v>355</v>
      </c>
      <c r="AH337" s="5" t="s">
        <v>355</v>
      </c>
    </row>
    <row r="338">
      <c r="S338" s="5" t="s">
        <v>355</v>
      </c>
      <c r="T338" s="5" t="str">
        <f>IFERROR(__xludf.DUMMYFUNCTION("""COMPUTED_VALUE"""),"")</f>
        <v/>
      </c>
      <c r="U338" s="5" t="s">
        <v>355</v>
      </c>
      <c r="V338" s="5" t="s">
        <v>355</v>
      </c>
      <c r="W338" s="5" t="s">
        <v>355</v>
      </c>
      <c r="X338" s="5" t="str">
        <f>IFERROR(__xludf.DUMMYFUNCTION("""COMPUTED_VALUE"""),"")</f>
        <v/>
      </c>
      <c r="Y338" s="5" t="s">
        <v>355</v>
      </c>
      <c r="Z338" s="5" t="s">
        <v>355</v>
      </c>
      <c r="AB338" s="5" t="s">
        <v>355</v>
      </c>
      <c r="AE338" s="5" t="s">
        <v>355</v>
      </c>
      <c r="AH338" s="5" t="s">
        <v>355</v>
      </c>
    </row>
    <row r="339">
      <c r="S339" s="5" t="s">
        <v>355</v>
      </c>
      <c r="T339" s="5" t="str">
        <f>IFERROR(__xludf.DUMMYFUNCTION("""COMPUTED_VALUE"""),"")</f>
        <v/>
      </c>
      <c r="U339" s="5" t="s">
        <v>355</v>
      </c>
      <c r="V339" s="5" t="s">
        <v>355</v>
      </c>
      <c r="W339" s="5" t="s">
        <v>355</v>
      </c>
      <c r="X339" s="5" t="str">
        <f>IFERROR(__xludf.DUMMYFUNCTION("""COMPUTED_VALUE"""),"")</f>
        <v/>
      </c>
      <c r="Y339" s="5" t="s">
        <v>355</v>
      </c>
      <c r="Z339" s="5" t="s">
        <v>355</v>
      </c>
      <c r="AB339" s="5" t="s">
        <v>355</v>
      </c>
      <c r="AE339" s="5" t="s">
        <v>355</v>
      </c>
      <c r="AH339" s="5" t="s">
        <v>355</v>
      </c>
    </row>
    <row r="340">
      <c r="S340" s="5" t="s">
        <v>355</v>
      </c>
      <c r="T340" s="5" t="str">
        <f>IFERROR(__xludf.DUMMYFUNCTION("""COMPUTED_VALUE"""),"")</f>
        <v/>
      </c>
      <c r="U340" s="5" t="s">
        <v>355</v>
      </c>
      <c r="V340" s="5" t="s">
        <v>355</v>
      </c>
      <c r="W340" s="5" t="s">
        <v>355</v>
      </c>
      <c r="X340" s="5" t="str">
        <f>IFERROR(__xludf.DUMMYFUNCTION("""COMPUTED_VALUE"""),"")</f>
        <v/>
      </c>
      <c r="Y340" s="5" t="s">
        <v>355</v>
      </c>
      <c r="Z340" s="5" t="s">
        <v>355</v>
      </c>
      <c r="AB340" s="5" t="s">
        <v>355</v>
      </c>
      <c r="AE340" s="5" t="s">
        <v>355</v>
      </c>
      <c r="AH340" s="5" t="s">
        <v>355</v>
      </c>
    </row>
    <row r="341">
      <c r="S341" s="5" t="s">
        <v>355</v>
      </c>
      <c r="T341" s="5" t="str">
        <f>IFERROR(__xludf.DUMMYFUNCTION("""COMPUTED_VALUE"""),"")</f>
        <v/>
      </c>
      <c r="U341" s="5" t="s">
        <v>355</v>
      </c>
      <c r="V341" s="5" t="s">
        <v>355</v>
      </c>
      <c r="W341" s="5" t="s">
        <v>355</v>
      </c>
      <c r="X341" s="5" t="str">
        <f>IFERROR(__xludf.DUMMYFUNCTION("""COMPUTED_VALUE"""),"")</f>
        <v/>
      </c>
      <c r="Y341" s="5" t="s">
        <v>355</v>
      </c>
      <c r="Z341" s="5" t="s">
        <v>355</v>
      </c>
      <c r="AB341" s="5" t="s">
        <v>355</v>
      </c>
      <c r="AE341" s="5" t="s">
        <v>355</v>
      </c>
      <c r="AH341" s="5" t="s">
        <v>355</v>
      </c>
    </row>
    <row r="342">
      <c r="S342" s="5" t="s">
        <v>355</v>
      </c>
      <c r="T342" s="5" t="str">
        <f>IFERROR(__xludf.DUMMYFUNCTION("""COMPUTED_VALUE"""),"")</f>
        <v/>
      </c>
      <c r="U342" s="5" t="s">
        <v>355</v>
      </c>
      <c r="V342" s="5" t="s">
        <v>355</v>
      </c>
      <c r="W342" s="5" t="s">
        <v>355</v>
      </c>
      <c r="X342" s="5" t="str">
        <f>IFERROR(__xludf.DUMMYFUNCTION("""COMPUTED_VALUE"""),"")</f>
        <v/>
      </c>
      <c r="Y342" s="5" t="s">
        <v>355</v>
      </c>
      <c r="Z342" s="5" t="s">
        <v>355</v>
      </c>
      <c r="AB342" s="5" t="s">
        <v>355</v>
      </c>
      <c r="AE342" s="5" t="s">
        <v>355</v>
      </c>
      <c r="AH342" s="5" t="s">
        <v>355</v>
      </c>
    </row>
    <row r="343">
      <c r="S343" s="5" t="s">
        <v>355</v>
      </c>
      <c r="T343" s="5" t="str">
        <f>IFERROR(__xludf.DUMMYFUNCTION("""COMPUTED_VALUE"""),"")</f>
        <v/>
      </c>
      <c r="U343" s="5" t="s">
        <v>355</v>
      </c>
      <c r="V343" s="5" t="s">
        <v>355</v>
      </c>
      <c r="W343" s="5" t="s">
        <v>355</v>
      </c>
      <c r="X343" s="5" t="str">
        <f>IFERROR(__xludf.DUMMYFUNCTION("""COMPUTED_VALUE"""),"")</f>
        <v/>
      </c>
      <c r="Y343" s="5" t="s">
        <v>355</v>
      </c>
      <c r="Z343" s="5" t="s">
        <v>355</v>
      </c>
      <c r="AB343" s="5" t="s">
        <v>355</v>
      </c>
      <c r="AE343" s="5" t="s">
        <v>355</v>
      </c>
      <c r="AH343" s="5" t="s">
        <v>355</v>
      </c>
    </row>
    <row r="344">
      <c r="S344" s="5" t="s">
        <v>355</v>
      </c>
      <c r="T344" s="5" t="str">
        <f>IFERROR(__xludf.DUMMYFUNCTION("""COMPUTED_VALUE"""),"")</f>
        <v/>
      </c>
      <c r="U344" s="5" t="s">
        <v>355</v>
      </c>
      <c r="V344" s="5" t="s">
        <v>355</v>
      </c>
      <c r="W344" s="5" t="s">
        <v>355</v>
      </c>
      <c r="X344" s="5" t="str">
        <f>IFERROR(__xludf.DUMMYFUNCTION("""COMPUTED_VALUE"""),"")</f>
        <v/>
      </c>
      <c r="Y344" s="5" t="s">
        <v>355</v>
      </c>
      <c r="Z344" s="5" t="s">
        <v>355</v>
      </c>
      <c r="AB344" s="5" t="s">
        <v>355</v>
      </c>
      <c r="AE344" s="5" t="s">
        <v>355</v>
      </c>
      <c r="AH344" s="5" t="s">
        <v>355</v>
      </c>
    </row>
    <row r="345">
      <c r="S345" s="5" t="s">
        <v>355</v>
      </c>
      <c r="T345" s="5" t="str">
        <f>IFERROR(__xludf.DUMMYFUNCTION("""COMPUTED_VALUE"""),"")</f>
        <v/>
      </c>
      <c r="U345" s="5" t="s">
        <v>355</v>
      </c>
      <c r="V345" s="5" t="s">
        <v>355</v>
      </c>
      <c r="W345" s="5" t="s">
        <v>355</v>
      </c>
      <c r="X345" s="5" t="str">
        <f>IFERROR(__xludf.DUMMYFUNCTION("""COMPUTED_VALUE"""),"")</f>
        <v/>
      </c>
      <c r="Y345" s="5" t="s">
        <v>355</v>
      </c>
      <c r="Z345" s="5" t="s">
        <v>355</v>
      </c>
      <c r="AB345" s="5" t="s">
        <v>355</v>
      </c>
      <c r="AE345" s="5" t="s">
        <v>355</v>
      </c>
      <c r="AH345" s="5" t="s">
        <v>355</v>
      </c>
    </row>
    <row r="346">
      <c r="S346" s="5" t="s">
        <v>355</v>
      </c>
      <c r="T346" s="5" t="str">
        <f>IFERROR(__xludf.DUMMYFUNCTION("""COMPUTED_VALUE"""),"")</f>
        <v/>
      </c>
      <c r="U346" s="5" t="s">
        <v>355</v>
      </c>
      <c r="V346" s="5" t="s">
        <v>355</v>
      </c>
      <c r="W346" s="5" t="s">
        <v>355</v>
      </c>
      <c r="X346" s="5" t="str">
        <f>IFERROR(__xludf.DUMMYFUNCTION("""COMPUTED_VALUE"""),"")</f>
        <v/>
      </c>
      <c r="Y346" s="5" t="s">
        <v>355</v>
      </c>
      <c r="Z346" s="5" t="s">
        <v>355</v>
      </c>
      <c r="AB346" s="5" t="s">
        <v>355</v>
      </c>
      <c r="AE346" s="5" t="s">
        <v>355</v>
      </c>
      <c r="AH346" s="5" t="s">
        <v>355</v>
      </c>
    </row>
    <row r="347">
      <c r="S347" s="5" t="s">
        <v>355</v>
      </c>
      <c r="T347" s="5" t="str">
        <f>IFERROR(__xludf.DUMMYFUNCTION("""COMPUTED_VALUE"""),"")</f>
        <v/>
      </c>
      <c r="U347" s="5" t="s">
        <v>355</v>
      </c>
      <c r="V347" s="5" t="s">
        <v>355</v>
      </c>
      <c r="W347" s="5" t="s">
        <v>355</v>
      </c>
      <c r="X347" s="5" t="str">
        <f>IFERROR(__xludf.DUMMYFUNCTION("""COMPUTED_VALUE"""),"")</f>
        <v/>
      </c>
      <c r="Y347" s="5" t="s">
        <v>355</v>
      </c>
      <c r="Z347" s="5" t="s">
        <v>355</v>
      </c>
      <c r="AB347" s="5" t="s">
        <v>355</v>
      </c>
      <c r="AE347" s="5" t="s">
        <v>355</v>
      </c>
      <c r="AH347" s="5" t="s">
        <v>355</v>
      </c>
    </row>
    <row r="348">
      <c r="S348" s="5" t="s">
        <v>355</v>
      </c>
      <c r="T348" s="5" t="str">
        <f>IFERROR(__xludf.DUMMYFUNCTION("""COMPUTED_VALUE"""),"")</f>
        <v/>
      </c>
      <c r="U348" s="5" t="s">
        <v>355</v>
      </c>
      <c r="V348" s="5" t="s">
        <v>355</v>
      </c>
      <c r="W348" s="5" t="s">
        <v>355</v>
      </c>
      <c r="X348" s="5" t="str">
        <f>IFERROR(__xludf.DUMMYFUNCTION("""COMPUTED_VALUE"""),"")</f>
        <v/>
      </c>
      <c r="Y348" s="5" t="s">
        <v>355</v>
      </c>
      <c r="Z348" s="5" t="s">
        <v>355</v>
      </c>
      <c r="AB348" s="5" t="s">
        <v>355</v>
      </c>
      <c r="AE348" s="5" t="s">
        <v>355</v>
      </c>
      <c r="AH348" s="5" t="s">
        <v>355</v>
      </c>
    </row>
    <row r="349">
      <c r="S349" s="5" t="s">
        <v>355</v>
      </c>
      <c r="T349" s="5" t="str">
        <f>IFERROR(__xludf.DUMMYFUNCTION("""COMPUTED_VALUE"""),"")</f>
        <v/>
      </c>
      <c r="U349" s="5" t="s">
        <v>355</v>
      </c>
      <c r="V349" s="5" t="s">
        <v>355</v>
      </c>
      <c r="W349" s="5" t="s">
        <v>355</v>
      </c>
      <c r="X349" s="5" t="str">
        <f>IFERROR(__xludf.DUMMYFUNCTION("""COMPUTED_VALUE"""),"")</f>
        <v/>
      </c>
      <c r="Y349" s="5" t="s">
        <v>355</v>
      </c>
      <c r="Z349" s="5" t="s">
        <v>355</v>
      </c>
      <c r="AB349" s="5" t="s">
        <v>355</v>
      </c>
      <c r="AE349" s="5" t="s">
        <v>355</v>
      </c>
      <c r="AH349" s="5" t="s">
        <v>355</v>
      </c>
    </row>
    <row r="350">
      <c r="S350" s="5" t="s">
        <v>355</v>
      </c>
      <c r="T350" s="5" t="str">
        <f>IFERROR(__xludf.DUMMYFUNCTION("""COMPUTED_VALUE"""),"")</f>
        <v/>
      </c>
      <c r="U350" s="5" t="s">
        <v>355</v>
      </c>
      <c r="V350" s="5" t="s">
        <v>355</v>
      </c>
      <c r="W350" s="5" t="s">
        <v>355</v>
      </c>
      <c r="X350" s="5" t="str">
        <f>IFERROR(__xludf.DUMMYFUNCTION("""COMPUTED_VALUE"""),"")</f>
        <v/>
      </c>
      <c r="Y350" s="5" t="s">
        <v>355</v>
      </c>
      <c r="Z350" s="5" t="s">
        <v>355</v>
      </c>
      <c r="AB350" s="5" t="s">
        <v>355</v>
      </c>
      <c r="AE350" s="5" t="s">
        <v>355</v>
      </c>
      <c r="AH350" s="5" t="s">
        <v>355</v>
      </c>
    </row>
    <row r="351">
      <c r="S351" s="5" t="s">
        <v>355</v>
      </c>
      <c r="T351" s="5" t="str">
        <f>IFERROR(__xludf.DUMMYFUNCTION("""COMPUTED_VALUE"""),"")</f>
        <v/>
      </c>
      <c r="U351" s="5" t="s">
        <v>355</v>
      </c>
      <c r="V351" s="5" t="s">
        <v>355</v>
      </c>
      <c r="W351" s="5" t="s">
        <v>355</v>
      </c>
      <c r="X351" s="5" t="str">
        <f>IFERROR(__xludf.DUMMYFUNCTION("""COMPUTED_VALUE"""),"")</f>
        <v/>
      </c>
      <c r="Y351" s="5" t="s">
        <v>355</v>
      </c>
      <c r="Z351" s="5" t="s">
        <v>355</v>
      </c>
      <c r="AB351" s="5" t="s">
        <v>355</v>
      </c>
      <c r="AE351" s="5" t="s">
        <v>355</v>
      </c>
      <c r="AH351" s="5" t="s">
        <v>355</v>
      </c>
    </row>
    <row r="352">
      <c r="S352" s="5" t="s">
        <v>355</v>
      </c>
      <c r="T352" s="5" t="str">
        <f>IFERROR(__xludf.DUMMYFUNCTION("""COMPUTED_VALUE"""),"")</f>
        <v/>
      </c>
      <c r="U352" s="5" t="s">
        <v>355</v>
      </c>
      <c r="V352" s="5" t="s">
        <v>355</v>
      </c>
      <c r="W352" s="5" t="s">
        <v>355</v>
      </c>
      <c r="X352" s="5" t="str">
        <f>IFERROR(__xludf.DUMMYFUNCTION("""COMPUTED_VALUE"""),"")</f>
        <v/>
      </c>
      <c r="Y352" s="5" t="s">
        <v>355</v>
      </c>
      <c r="Z352" s="5" t="s">
        <v>355</v>
      </c>
      <c r="AB352" s="5" t="s">
        <v>355</v>
      </c>
      <c r="AE352" s="5" t="s">
        <v>355</v>
      </c>
      <c r="AH352" s="5" t="s">
        <v>355</v>
      </c>
    </row>
    <row r="353">
      <c r="S353" s="5" t="s">
        <v>355</v>
      </c>
      <c r="T353" s="5" t="str">
        <f>IFERROR(__xludf.DUMMYFUNCTION("""COMPUTED_VALUE"""),"")</f>
        <v/>
      </c>
      <c r="U353" s="5" t="s">
        <v>355</v>
      </c>
      <c r="V353" s="5" t="s">
        <v>355</v>
      </c>
      <c r="W353" s="5" t="s">
        <v>355</v>
      </c>
      <c r="X353" s="5" t="str">
        <f>IFERROR(__xludf.DUMMYFUNCTION("""COMPUTED_VALUE"""),"")</f>
        <v/>
      </c>
      <c r="Y353" s="5" t="s">
        <v>355</v>
      </c>
      <c r="Z353" s="5" t="s">
        <v>355</v>
      </c>
      <c r="AB353" s="5" t="s">
        <v>355</v>
      </c>
      <c r="AE353" s="5" t="s">
        <v>355</v>
      </c>
      <c r="AH353" s="5" t="s">
        <v>355</v>
      </c>
    </row>
    <row r="354">
      <c r="S354" s="5" t="s">
        <v>355</v>
      </c>
      <c r="T354" s="5" t="str">
        <f>IFERROR(__xludf.DUMMYFUNCTION("""COMPUTED_VALUE"""),"")</f>
        <v/>
      </c>
      <c r="U354" s="5" t="s">
        <v>355</v>
      </c>
      <c r="V354" s="5" t="s">
        <v>355</v>
      </c>
      <c r="W354" s="5" t="s">
        <v>355</v>
      </c>
      <c r="X354" s="5" t="str">
        <f>IFERROR(__xludf.DUMMYFUNCTION("""COMPUTED_VALUE"""),"")</f>
        <v/>
      </c>
      <c r="Y354" s="5" t="s">
        <v>355</v>
      </c>
      <c r="Z354" s="5" t="s">
        <v>355</v>
      </c>
      <c r="AB354" s="5" t="s">
        <v>355</v>
      </c>
      <c r="AE354" s="5" t="s">
        <v>355</v>
      </c>
      <c r="AH354" s="5" t="s">
        <v>355</v>
      </c>
    </row>
    <row r="355">
      <c r="S355" s="5" t="s">
        <v>355</v>
      </c>
      <c r="T355" s="5" t="str">
        <f>IFERROR(__xludf.DUMMYFUNCTION("""COMPUTED_VALUE"""),"")</f>
        <v/>
      </c>
      <c r="U355" s="5" t="s">
        <v>355</v>
      </c>
      <c r="V355" s="5" t="s">
        <v>355</v>
      </c>
      <c r="W355" s="5" t="s">
        <v>355</v>
      </c>
      <c r="X355" s="5" t="str">
        <f>IFERROR(__xludf.DUMMYFUNCTION("""COMPUTED_VALUE"""),"")</f>
        <v/>
      </c>
      <c r="Y355" s="5" t="s">
        <v>355</v>
      </c>
      <c r="Z355" s="5" t="s">
        <v>355</v>
      </c>
      <c r="AB355" s="5" t="s">
        <v>355</v>
      </c>
      <c r="AE355" s="5" t="s">
        <v>355</v>
      </c>
      <c r="AH355" s="5" t="s">
        <v>355</v>
      </c>
    </row>
    <row r="356">
      <c r="S356" s="5" t="s">
        <v>355</v>
      </c>
      <c r="T356" s="5" t="str">
        <f>IFERROR(__xludf.DUMMYFUNCTION("""COMPUTED_VALUE"""),"")</f>
        <v/>
      </c>
      <c r="U356" s="5" t="s">
        <v>355</v>
      </c>
      <c r="V356" s="5" t="s">
        <v>355</v>
      </c>
      <c r="W356" s="5" t="s">
        <v>355</v>
      </c>
      <c r="X356" s="5" t="str">
        <f>IFERROR(__xludf.DUMMYFUNCTION("""COMPUTED_VALUE"""),"")</f>
        <v/>
      </c>
      <c r="Y356" s="5" t="s">
        <v>355</v>
      </c>
      <c r="Z356" s="5" t="s">
        <v>355</v>
      </c>
      <c r="AB356" s="5" t="s">
        <v>355</v>
      </c>
      <c r="AE356" s="5" t="s">
        <v>355</v>
      </c>
      <c r="AH356" s="5" t="s">
        <v>355</v>
      </c>
    </row>
    <row r="357">
      <c r="S357" s="5" t="s">
        <v>355</v>
      </c>
      <c r="T357" s="5" t="str">
        <f>IFERROR(__xludf.DUMMYFUNCTION("""COMPUTED_VALUE"""),"")</f>
        <v/>
      </c>
      <c r="U357" s="5" t="s">
        <v>355</v>
      </c>
      <c r="V357" s="5" t="s">
        <v>355</v>
      </c>
      <c r="W357" s="5" t="s">
        <v>355</v>
      </c>
      <c r="X357" s="5" t="str">
        <f>IFERROR(__xludf.DUMMYFUNCTION("""COMPUTED_VALUE"""),"")</f>
        <v/>
      </c>
      <c r="Y357" s="5" t="s">
        <v>355</v>
      </c>
      <c r="Z357" s="5" t="s">
        <v>355</v>
      </c>
      <c r="AB357" s="5" t="s">
        <v>355</v>
      </c>
      <c r="AE357" s="5" t="s">
        <v>355</v>
      </c>
      <c r="AH357" s="5" t="s">
        <v>355</v>
      </c>
    </row>
    <row r="358">
      <c r="S358" s="5" t="s">
        <v>355</v>
      </c>
      <c r="T358" s="5" t="str">
        <f>IFERROR(__xludf.DUMMYFUNCTION("""COMPUTED_VALUE"""),"")</f>
        <v/>
      </c>
      <c r="U358" s="5" t="s">
        <v>355</v>
      </c>
      <c r="V358" s="5" t="s">
        <v>355</v>
      </c>
      <c r="W358" s="5" t="s">
        <v>355</v>
      </c>
      <c r="X358" s="5" t="str">
        <f>IFERROR(__xludf.DUMMYFUNCTION("""COMPUTED_VALUE"""),"")</f>
        <v/>
      </c>
      <c r="Y358" s="5" t="s">
        <v>355</v>
      </c>
      <c r="Z358" s="5" t="s">
        <v>355</v>
      </c>
      <c r="AB358" s="5" t="s">
        <v>355</v>
      </c>
      <c r="AE358" s="5" t="s">
        <v>355</v>
      </c>
      <c r="AH358" s="5" t="s">
        <v>355</v>
      </c>
    </row>
    <row r="359">
      <c r="S359" s="5" t="s">
        <v>355</v>
      </c>
      <c r="T359" s="5" t="str">
        <f>IFERROR(__xludf.DUMMYFUNCTION("""COMPUTED_VALUE"""),"")</f>
        <v/>
      </c>
      <c r="U359" s="5" t="s">
        <v>355</v>
      </c>
      <c r="V359" s="5" t="s">
        <v>355</v>
      </c>
      <c r="W359" s="5" t="s">
        <v>355</v>
      </c>
      <c r="X359" s="5" t="str">
        <f>IFERROR(__xludf.DUMMYFUNCTION("""COMPUTED_VALUE"""),"")</f>
        <v/>
      </c>
      <c r="Y359" s="5" t="s">
        <v>355</v>
      </c>
      <c r="Z359" s="5" t="s">
        <v>355</v>
      </c>
      <c r="AB359" s="5" t="s">
        <v>355</v>
      </c>
      <c r="AE359" s="5" t="s">
        <v>355</v>
      </c>
      <c r="AH359" s="5" t="s">
        <v>355</v>
      </c>
    </row>
    <row r="360">
      <c r="S360" s="5" t="s">
        <v>355</v>
      </c>
      <c r="T360" s="5" t="str">
        <f>IFERROR(__xludf.DUMMYFUNCTION("""COMPUTED_VALUE"""),"")</f>
        <v/>
      </c>
      <c r="U360" s="5" t="s">
        <v>355</v>
      </c>
      <c r="V360" s="5" t="s">
        <v>355</v>
      </c>
      <c r="W360" s="5" t="s">
        <v>355</v>
      </c>
      <c r="X360" s="5" t="str">
        <f>IFERROR(__xludf.DUMMYFUNCTION("""COMPUTED_VALUE"""),"")</f>
        <v/>
      </c>
      <c r="Y360" s="5" t="s">
        <v>355</v>
      </c>
      <c r="Z360" s="5" t="s">
        <v>355</v>
      </c>
      <c r="AB360" s="5" t="s">
        <v>355</v>
      </c>
      <c r="AE360" s="5" t="s">
        <v>355</v>
      </c>
      <c r="AH360" s="5" t="s">
        <v>355</v>
      </c>
    </row>
    <row r="361">
      <c r="S361" s="5" t="s">
        <v>355</v>
      </c>
      <c r="T361" s="5" t="str">
        <f>IFERROR(__xludf.DUMMYFUNCTION("""COMPUTED_VALUE"""),"")</f>
        <v/>
      </c>
      <c r="U361" s="5" t="s">
        <v>355</v>
      </c>
      <c r="V361" s="5" t="s">
        <v>355</v>
      </c>
      <c r="W361" s="5" t="s">
        <v>355</v>
      </c>
      <c r="X361" s="5" t="str">
        <f>IFERROR(__xludf.DUMMYFUNCTION("""COMPUTED_VALUE"""),"")</f>
        <v/>
      </c>
      <c r="Y361" s="5" t="s">
        <v>355</v>
      </c>
      <c r="Z361" s="5" t="s">
        <v>355</v>
      </c>
      <c r="AB361" s="5" t="s">
        <v>355</v>
      </c>
      <c r="AE361" s="5" t="s">
        <v>355</v>
      </c>
      <c r="AH361" s="5" t="s">
        <v>355</v>
      </c>
    </row>
    <row r="362">
      <c r="S362" s="5" t="s">
        <v>355</v>
      </c>
      <c r="T362" s="5" t="str">
        <f>IFERROR(__xludf.DUMMYFUNCTION("""COMPUTED_VALUE"""),"")</f>
        <v/>
      </c>
      <c r="U362" s="5" t="s">
        <v>355</v>
      </c>
      <c r="V362" s="5" t="s">
        <v>355</v>
      </c>
      <c r="W362" s="5" t="s">
        <v>355</v>
      </c>
      <c r="X362" s="5" t="str">
        <f>IFERROR(__xludf.DUMMYFUNCTION("""COMPUTED_VALUE"""),"")</f>
        <v/>
      </c>
      <c r="Y362" s="5" t="s">
        <v>355</v>
      </c>
      <c r="Z362" s="5" t="s">
        <v>355</v>
      </c>
      <c r="AB362" s="5" t="s">
        <v>355</v>
      </c>
      <c r="AE362" s="5" t="s">
        <v>355</v>
      </c>
      <c r="AH362" s="5" t="s">
        <v>355</v>
      </c>
    </row>
    <row r="363">
      <c r="S363" s="5" t="s">
        <v>355</v>
      </c>
      <c r="T363" s="5" t="str">
        <f>IFERROR(__xludf.DUMMYFUNCTION("""COMPUTED_VALUE"""),"")</f>
        <v/>
      </c>
      <c r="U363" s="5" t="s">
        <v>355</v>
      </c>
      <c r="V363" s="5" t="s">
        <v>355</v>
      </c>
      <c r="W363" s="5" t="s">
        <v>355</v>
      </c>
      <c r="X363" s="5" t="str">
        <f>IFERROR(__xludf.DUMMYFUNCTION("""COMPUTED_VALUE"""),"")</f>
        <v/>
      </c>
      <c r="Y363" s="5" t="s">
        <v>355</v>
      </c>
      <c r="Z363" s="5" t="s">
        <v>355</v>
      </c>
      <c r="AB363" s="5" t="s">
        <v>355</v>
      </c>
      <c r="AE363" s="5" t="s">
        <v>355</v>
      </c>
      <c r="AH363" s="5" t="s">
        <v>355</v>
      </c>
    </row>
    <row r="364">
      <c r="S364" s="5" t="s">
        <v>355</v>
      </c>
      <c r="T364" s="5" t="str">
        <f>IFERROR(__xludf.DUMMYFUNCTION("""COMPUTED_VALUE"""),"")</f>
        <v/>
      </c>
      <c r="U364" s="5" t="s">
        <v>355</v>
      </c>
      <c r="V364" s="5" t="s">
        <v>355</v>
      </c>
      <c r="W364" s="5" t="s">
        <v>355</v>
      </c>
      <c r="X364" s="5" t="str">
        <f>IFERROR(__xludf.DUMMYFUNCTION("""COMPUTED_VALUE"""),"")</f>
        <v/>
      </c>
      <c r="Y364" s="5" t="s">
        <v>355</v>
      </c>
      <c r="Z364" s="5" t="s">
        <v>355</v>
      </c>
      <c r="AB364" s="5" t="s">
        <v>355</v>
      </c>
      <c r="AE364" s="5" t="s">
        <v>355</v>
      </c>
      <c r="AH364" s="5" t="s">
        <v>355</v>
      </c>
    </row>
    <row r="365">
      <c r="S365" s="5" t="s">
        <v>355</v>
      </c>
      <c r="T365" s="5" t="str">
        <f>IFERROR(__xludf.DUMMYFUNCTION("""COMPUTED_VALUE"""),"")</f>
        <v/>
      </c>
      <c r="U365" s="5" t="s">
        <v>355</v>
      </c>
      <c r="V365" s="5" t="s">
        <v>355</v>
      </c>
      <c r="W365" s="5" t="s">
        <v>355</v>
      </c>
      <c r="X365" s="5" t="str">
        <f>IFERROR(__xludf.DUMMYFUNCTION("""COMPUTED_VALUE"""),"")</f>
        <v/>
      </c>
      <c r="Y365" s="5" t="s">
        <v>355</v>
      </c>
      <c r="Z365" s="5" t="s">
        <v>355</v>
      </c>
      <c r="AB365" s="5" t="s">
        <v>355</v>
      </c>
      <c r="AE365" s="5" t="s">
        <v>355</v>
      </c>
      <c r="AH365" s="5" t="s">
        <v>355</v>
      </c>
    </row>
    <row r="366">
      <c r="S366" s="5" t="s">
        <v>355</v>
      </c>
      <c r="T366" s="5" t="str">
        <f>IFERROR(__xludf.DUMMYFUNCTION("""COMPUTED_VALUE"""),"")</f>
        <v/>
      </c>
      <c r="U366" s="5" t="s">
        <v>355</v>
      </c>
      <c r="V366" s="5" t="s">
        <v>355</v>
      </c>
      <c r="W366" s="5" t="s">
        <v>355</v>
      </c>
      <c r="X366" s="5" t="str">
        <f>IFERROR(__xludf.DUMMYFUNCTION("""COMPUTED_VALUE"""),"")</f>
        <v/>
      </c>
      <c r="Y366" s="5" t="s">
        <v>355</v>
      </c>
      <c r="Z366" s="5" t="s">
        <v>355</v>
      </c>
      <c r="AB366" s="5" t="s">
        <v>355</v>
      </c>
      <c r="AE366" s="5" t="s">
        <v>355</v>
      </c>
      <c r="AH366" s="5" t="s">
        <v>355</v>
      </c>
    </row>
    <row r="367">
      <c r="S367" s="5" t="s">
        <v>355</v>
      </c>
      <c r="T367" s="5" t="str">
        <f>IFERROR(__xludf.DUMMYFUNCTION("""COMPUTED_VALUE"""),"")</f>
        <v/>
      </c>
      <c r="U367" s="5" t="s">
        <v>355</v>
      </c>
      <c r="V367" s="5" t="s">
        <v>355</v>
      </c>
      <c r="W367" s="5" t="s">
        <v>355</v>
      </c>
      <c r="X367" s="5" t="str">
        <f>IFERROR(__xludf.DUMMYFUNCTION("""COMPUTED_VALUE"""),"")</f>
        <v/>
      </c>
      <c r="Y367" s="5" t="s">
        <v>355</v>
      </c>
      <c r="Z367" s="5" t="s">
        <v>355</v>
      </c>
      <c r="AB367" s="5" t="s">
        <v>355</v>
      </c>
      <c r="AE367" s="5" t="s">
        <v>355</v>
      </c>
      <c r="AH367" s="5" t="s">
        <v>355</v>
      </c>
    </row>
    <row r="368">
      <c r="S368" s="5" t="s">
        <v>355</v>
      </c>
      <c r="T368" s="5" t="str">
        <f>IFERROR(__xludf.DUMMYFUNCTION("""COMPUTED_VALUE"""),"")</f>
        <v/>
      </c>
      <c r="U368" s="5" t="s">
        <v>355</v>
      </c>
      <c r="V368" s="5" t="s">
        <v>355</v>
      </c>
      <c r="W368" s="5" t="s">
        <v>355</v>
      </c>
      <c r="X368" s="5" t="str">
        <f>IFERROR(__xludf.DUMMYFUNCTION("""COMPUTED_VALUE"""),"")</f>
        <v/>
      </c>
      <c r="Y368" s="5" t="s">
        <v>355</v>
      </c>
      <c r="Z368" s="5" t="s">
        <v>355</v>
      </c>
      <c r="AB368" s="5" t="s">
        <v>355</v>
      </c>
      <c r="AE368" s="5" t="s">
        <v>355</v>
      </c>
      <c r="AH368" s="5" t="s">
        <v>355</v>
      </c>
    </row>
    <row r="369">
      <c r="S369" s="5" t="s">
        <v>355</v>
      </c>
      <c r="T369" s="5" t="str">
        <f>IFERROR(__xludf.DUMMYFUNCTION("""COMPUTED_VALUE"""),"")</f>
        <v/>
      </c>
      <c r="U369" s="5" t="s">
        <v>355</v>
      </c>
      <c r="V369" s="5" t="s">
        <v>355</v>
      </c>
      <c r="W369" s="5" t="s">
        <v>355</v>
      </c>
      <c r="X369" s="5" t="str">
        <f>IFERROR(__xludf.DUMMYFUNCTION("""COMPUTED_VALUE"""),"")</f>
        <v/>
      </c>
      <c r="Y369" s="5" t="s">
        <v>355</v>
      </c>
      <c r="Z369" s="5" t="s">
        <v>355</v>
      </c>
      <c r="AB369" s="5" t="s">
        <v>355</v>
      </c>
      <c r="AE369" s="5" t="s">
        <v>355</v>
      </c>
      <c r="AH369" s="5" t="s">
        <v>355</v>
      </c>
    </row>
    <row r="370">
      <c r="S370" s="5" t="s">
        <v>355</v>
      </c>
      <c r="T370" s="5" t="str">
        <f>IFERROR(__xludf.DUMMYFUNCTION("""COMPUTED_VALUE"""),"")</f>
        <v/>
      </c>
      <c r="U370" s="5" t="s">
        <v>355</v>
      </c>
      <c r="V370" s="5" t="s">
        <v>355</v>
      </c>
      <c r="W370" s="5" t="s">
        <v>355</v>
      </c>
      <c r="X370" s="5" t="str">
        <f>IFERROR(__xludf.DUMMYFUNCTION("""COMPUTED_VALUE"""),"")</f>
        <v/>
      </c>
      <c r="Y370" s="5" t="s">
        <v>355</v>
      </c>
      <c r="Z370" s="5" t="s">
        <v>355</v>
      </c>
      <c r="AB370" s="5" t="s">
        <v>355</v>
      </c>
      <c r="AE370" s="5" t="s">
        <v>355</v>
      </c>
      <c r="AH370" s="5" t="s">
        <v>355</v>
      </c>
    </row>
    <row r="371">
      <c r="S371" s="5" t="s">
        <v>355</v>
      </c>
      <c r="T371" s="5" t="str">
        <f>IFERROR(__xludf.DUMMYFUNCTION("""COMPUTED_VALUE"""),"")</f>
        <v/>
      </c>
      <c r="U371" s="5" t="s">
        <v>355</v>
      </c>
      <c r="V371" s="5" t="s">
        <v>355</v>
      </c>
      <c r="W371" s="5" t="s">
        <v>355</v>
      </c>
      <c r="X371" s="5" t="str">
        <f>IFERROR(__xludf.DUMMYFUNCTION("""COMPUTED_VALUE"""),"")</f>
        <v/>
      </c>
      <c r="Y371" s="5" t="s">
        <v>355</v>
      </c>
      <c r="Z371" s="5" t="s">
        <v>355</v>
      </c>
      <c r="AB371" s="5" t="s">
        <v>355</v>
      </c>
      <c r="AE371" s="5" t="s">
        <v>355</v>
      </c>
      <c r="AH371" s="5" t="s">
        <v>355</v>
      </c>
    </row>
    <row r="372">
      <c r="S372" s="5" t="s">
        <v>355</v>
      </c>
      <c r="T372" s="5" t="str">
        <f>IFERROR(__xludf.DUMMYFUNCTION("""COMPUTED_VALUE"""),"")</f>
        <v/>
      </c>
      <c r="U372" s="5" t="s">
        <v>355</v>
      </c>
      <c r="V372" s="5" t="s">
        <v>355</v>
      </c>
      <c r="W372" s="5" t="s">
        <v>355</v>
      </c>
      <c r="X372" s="5" t="str">
        <f>IFERROR(__xludf.DUMMYFUNCTION("""COMPUTED_VALUE"""),"")</f>
        <v/>
      </c>
      <c r="Y372" s="5" t="s">
        <v>355</v>
      </c>
      <c r="Z372" s="5" t="s">
        <v>355</v>
      </c>
      <c r="AB372" s="5" t="s">
        <v>355</v>
      </c>
      <c r="AE372" s="5" t="s">
        <v>355</v>
      </c>
      <c r="AH372" s="5" t="s">
        <v>355</v>
      </c>
    </row>
    <row r="373">
      <c r="S373" s="5" t="s">
        <v>355</v>
      </c>
      <c r="T373" s="5" t="str">
        <f>IFERROR(__xludf.DUMMYFUNCTION("""COMPUTED_VALUE"""),"")</f>
        <v/>
      </c>
      <c r="U373" s="5" t="s">
        <v>355</v>
      </c>
      <c r="V373" s="5" t="s">
        <v>355</v>
      </c>
      <c r="W373" s="5" t="s">
        <v>355</v>
      </c>
      <c r="X373" s="5" t="str">
        <f>IFERROR(__xludf.DUMMYFUNCTION("""COMPUTED_VALUE"""),"")</f>
        <v/>
      </c>
      <c r="Y373" s="5" t="s">
        <v>355</v>
      </c>
      <c r="Z373" s="5" t="s">
        <v>355</v>
      </c>
      <c r="AB373" s="5" t="s">
        <v>355</v>
      </c>
      <c r="AE373" s="5" t="s">
        <v>355</v>
      </c>
      <c r="AH373" s="5" t="s">
        <v>355</v>
      </c>
    </row>
    <row r="374">
      <c r="S374" s="5" t="s">
        <v>355</v>
      </c>
      <c r="T374" s="5" t="str">
        <f>IFERROR(__xludf.DUMMYFUNCTION("""COMPUTED_VALUE"""),"")</f>
        <v/>
      </c>
      <c r="U374" s="5" t="s">
        <v>355</v>
      </c>
      <c r="V374" s="5" t="s">
        <v>355</v>
      </c>
      <c r="W374" s="5" t="s">
        <v>355</v>
      </c>
      <c r="X374" s="5" t="str">
        <f>IFERROR(__xludf.DUMMYFUNCTION("""COMPUTED_VALUE"""),"")</f>
        <v/>
      </c>
      <c r="Y374" s="5" t="s">
        <v>355</v>
      </c>
      <c r="Z374" s="5" t="s">
        <v>355</v>
      </c>
      <c r="AB374" s="5" t="s">
        <v>355</v>
      </c>
      <c r="AE374" s="5" t="s">
        <v>355</v>
      </c>
      <c r="AH374" s="5" t="s">
        <v>355</v>
      </c>
    </row>
    <row r="375">
      <c r="S375" s="5" t="s">
        <v>355</v>
      </c>
      <c r="T375" s="5" t="str">
        <f>IFERROR(__xludf.DUMMYFUNCTION("""COMPUTED_VALUE"""),"")</f>
        <v/>
      </c>
      <c r="U375" s="5" t="s">
        <v>355</v>
      </c>
      <c r="V375" s="5" t="s">
        <v>355</v>
      </c>
      <c r="W375" s="5" t="s">
        <v>355</v>
      </c>
      <c r="X375" s="5" t="str">
        <f>IFERROR(__xludf.DUMMYFUNCTION("""COMPUTED_VALUE"""),"")</f>
        <v/>
      </c>
      <c r="Y375" s="5" t="s">
        <v>355</v>
      </c>
      <c r="Z375" s="5" t="s">
        <v>355</v>
      </c>
      <c r="AB375" s="5" t="s">
        <v>355</v>
      </c>
      <c r="AE375" s="5" t="s">
        <v>355</v>
      </c>
      <c r="AH375" s="5" t="s">
        <v>355</v>
      </c>
    </row>
    <row r="376">
      <c r="S376" s="5" t="s">
        <v>355</v>
      </c>
      <c r="T376" s="5" t="str">
        <f>IFERROR(__xludf.DUMMYFUNCTION("""COMPUTED_VALUE"""),"")</f>
        <v/>
      </c>
      <c r="U376" s="5" t="s">
        <v>355</v>
      </c>
      <c r="V376" s="5" t="s">
        <v>355</v>
      </c>
      <c r="W376" s="5" t="s">
        <v>355</v>
      </c>
      <c r="X376" s="5" t="str">
        <f>IFERROR(__xludf.DUMMYFUNCTION("""COMPUTED_VALUE"""),"")</f>
        <v/>
      </c>
      <c r="Y376" s="5" t="s">
        <v>355</v>
      </c>
      <c r="Z376" s="5" t="s">
        <v>355</v>
      </c>
      <c r="AB376" s="5" t="s">
        <v>355</v>
      </c>
      <c r="AE376" s="5" t="s">
        <v>355</v>
      </c>
      <c r="AH376" s="5" t="s">
        <v>355</v>
      </c>
    </row>
    <row r="377">
      <c r="S377" s="5" t="s">
        <v>355</v>
      </c>
      <c r="T377" s="5" t="str">
        <f>IFERROR(__xludf.DUMMYFUNCTION("""COMPUTED_VALUE"""),"")</f>
        <v/>
      </c>
      <c r="U377" s="5" t="s">
        <v>355</v>
      </c>
      <c r="V377" s="5" t="s">
        <v>355</v>
      </c>
      <c r="W377" s="5" t="s">
        <v>355</v>
      </c>
      <c r="X377" s="5" t="str">
        <f>IFERROR(__xludf.DUMMYFUNCTION("""COMPUTED_VALUE"""),"")</f>
        <v/>
      </c>
      <c r="Y377" s="5" t="s">
        <v>355</v>
      </c>
      <c r="Z377" s="5" t="s">
        <v>355</v>
      </c>
      <c r="AB377" s="5" t="s">
        <v>355</v>
      </c>
      <c r="AE377" s="5" t="s">
        <v>355</v>
      </c>
      <c r="AH377" s="5" t="s">
        <v>355</v>
      </c>
    </row>
    <row r="378">
      <c r="S378" s="5" t="s">
        <v>355</v>
      </c>
      <c r="T378" s="5" t="str">
        <f>IFERROR(__xludf.DUMMYFUNCTION("""COMPUTED_VALUE"""),"")</f>
        <v/>
      </c>
      <c r="U378" s="5" t="s">
        <v>355</v>
      </c>
      <c r="V378" s="5" t="s">
        <v>355</v>
      </c>
      <c r="W378" s="5" t="s">
        <v>355</v>
      </c>
      <c r="X378" s="5" t="str">
        <f>IFERROR(__xludf.DUMMYFUNCTION("""COMPUTED_VALUE"""),"")</f>
        <v/>
      </c>
      <c r="Y378" s="5" t="s">
        <v>355</v>
      </c>
      <c r="Z378" s="5" t="s">
        <v>355</v>
      </c>
      <c r="AB378" s="5" t="s">
        <v>355</v>
      </c>
      <c r="AE378" s="5" t="s">
        <v>355</v>
      </c>
      <c r="AH378" s="5" t="s">
        <v>355</v>
      </c>
    </row>
    <row r="379">
      <c r="S379" s="5" t="s">
        <v>355</v>
      </c>
      <c r="T379" s="5" t="str">
        <f>IFERROR(__xludf.DUMMYFUNCTION("""COMPUTED_VALUE"""),"")</f>
        <v/>
      </c>
      <c r="U379" s="5" t="s">
        <v>355</v>
      </c>
      <c r="V379" s="5" t="s">
        <v>355</v>
      </c>
      <c r="W379" s="5" t="s">
        <v>355</v>
      </c>
      <c r="X379" s="5" t="str">
        <f>IFERROR(__xludf.DUMMYFUNCTION("""COMPUTED_VALUE"""),"")</f>
        <v/>
      </c>
      <c r="Y379" s="5" t="s">
        <v>355</v>
      </c>
      <c r="Z379" s="5" t="s">
        <v>355</v>
      </c>
      <c r="AB379" s="5" t="s">
        <v>355</v>
      </c>
      <c r="AE379" s="5" t="s">
        <v>355</v>
      </c>
      <c r="AH379" s="5" t="s">
        <v>355</v>
      </c>
    </row>
    <row r="380">
      <c r="S380" s="5" t="s">
        <v>355</v>
      </c>
      <c r="T380" s="5" t="str">
        <f>IFERROR(__xludf.DUMMYFUNCTION("""COMPUTED_VALUE"""),"")</f>
        <v/>
      </c>
      <c r="U380" s="5" t="s">
        <v>355</v>
      </c>
      <c r="V380" s="5" t="s">
        <v>355</v>
      </c>
      <c r="W380" s="5" t="s">
        <v>355</v>
      </c>
      <c r="X380" s="5" t="str">
        <f>IFERROR(__xludf.DUMMYFUNCTION("""COMPUTED_VALUE"""),"")</f>
        <v/>
      </c>
      <c r="Y380" s="5" t="s">
        <v>355</v>
      </c>
      <c r="Z380" s="5" t="s">
        <v>355</v>
      </c>
      <c r="AB380" s="5" t="s">
        <v>355</v>
      </c>
      <c r="AE380" s="5" t="s">
        <v>355</v>
      </c>
      <c r="AH380" s="5" t="s">
        <v>355</v>
      </c>
    </row>
    <row r="381">
      <c r="S381" s="5" t="s">
        <v>355</v>
      </c>
      <c r="T381" s="5" t="str">
        <f>IFERROR(__xludf.DUMMYFUNCTION("""COMPUTED_VALUE"""),"")</f>
        <v/>
      </c>
      <c r="U381" s="5" t="s">
        <v>355</v>
      </c>
      <c r="V381" s="5" t="s">
        <v>355</v>
      </c>
      <c r="W381" s="5" t="s">
        <v>355</v>
      </c>
      <c r="X381" s="5" t="str">
        <f>IFERROR(__xludf.DUMMYFUNCTION("""COMPUTED_VALUE"""),"")</f>
        <v/>
      </c>
      <c r="Y381" s="5" t="s">
        <v>355</v>
      </c>
      <c r="Z381" s="5" t="s">
        <v>355</v>
      </c>
      <c r="AB381" s="5" t="s">
        <v>355</v>
      </c>
      <c r="AE381" s="5" t="s">
        <v>355</v>
      </c>
      <c r="AH381" s="5" t="s">
        <v>355</v>
      </c>
    </row>
    <row r="382">
      <c r="S382" s="5" t="s">
        <v>355</v>
      </c>
      <c r="T382" s="5" t="str">
        <f>IFERROR(__xludf.DUMMYFUNCTION("""COMPUTED_VALUE"""),"")</f>
        <v/>
      </c>
      <c r="U382" s="5" t="s">
        <v>355</v>
      </c>
      <c r="V382" s="5" t="s">
        <v>355</v>
      </c>
      <c r="W382" s="5" t="s">
        <v>355</v>
      </c>
      <c r="X382" s="5" t="str">
        <f>IFERROR(__xludf.DUMMYFUNCTION("""COMPUTED_VALUE"""),"")</f>
        <v/>
      </c>
      <c r="Y382" s="5" t="s">
        <v>355</v>
      </c>
      <c r="Z382" s="5" t="s">
        <v>355</v>
      </c>
      <c r="AB382" s="5" t="s">
        <v>355</v>
      </c>
      <c r="AE382" s="5" t="s">
        <v>355</v>
      </c>
      <c r="AH382" s="5" t="s">
        <v>355</v>
      </c>
    </row>
    <row r="383">
      <c r="S383" s="5" t="s">
        <v>355</v>
      </c>
      <c r="T383" s="5" t="str">
        <f>IFERROR(__xludf.DUMMYFUNCTION("""COMPUTED_VALUE"""),"")</f>
        <v/>
      </c>
      <c r="U383" s="5" t="s">
        <v>355</v>
      </c>
      <c r="V383" s="5" t="s">
        <v>355</v>
      </c>
      <c r="W383" s="5" t="s">
        <v>355</v>
      </c>
      <c r="X383" s="5" t="str">
        <f>IFERROR(__xludf.DUMMYFUNCTION("""COMPUTED_VALUE"""),"")</f>
        <v/>
      </c>
      <c r="Y383" s="5" t="s">
        <v>355</v>
      </c>
      <c r="Z383" s="5" t="s">
        <v>355</v>
      </c>
      <c r="AB383" s="5" t="s">
        <v>355</v>
      </c>
      <c r="AE383" s="5" t="s">
        <v>355</v>
      </c>
      <c r="AH383" s="5" t="s">
        <v>355</v>
      </c>
    </row>
    <row r="384">
      <c r="S384" s="5" t="s">
        <v>355</v>
      </c>
      <c r="T384" s="5" t="str">
        <f>IFERROR(__xludf.DUMMYFUNCTION("""COMPUTED_VALUE"""),"")</f>
        <v/>
      </c>
      <c r="U384" s="5" t="s">
        <v>355</v>
      </c>
      <c r="V384" s="5" t="s">
        <v>355</v>
      </c>
      <c r="W384" s="5" t="s">
        <v>355</v>
      </c>
      <c r="X384" s="5" t="str">
        <f>IFERROR(__xludf.DUMMYFUNCTION("""COMPUTED_VALUE"""),"")</f>
        <v/>
      </c>
      <c r="Y384" s="5" t="s">
        <v>355</v>
      </c>
      <c r="Z384" s="5" t="s">
        <v>355</v>
      </c>
      <c r="AB384" s="5" t="s">
        <v>355</v>
      </c>
      <c r="AE384" s="5" t="s">
        <v>355</v>
      </c>
      <c r="AH384" s="5" t="s">
        <v>355</v>
      </c>
    </row>
    <row r="385">
      <c r="S385" s="5" t="s">
        <v>355</v>
      </c>
      <c r="T385" s="5" t="str">
        <f>IFERROR(__xludf.DUMMYFUNCTION("""COMPUTED_VALUE"""),"")</f>
        <v/>
      </c>
      <c r="U385" s="5" t="s">
        <v>355</v>
      </c>
      <c r="V385" s="5" t="s">
        <v>355</v>
      </c>
      <c r="W385" s="5" t="s">
        <v>355</v>
      </c>
      <c r="X385" s="5" t="str">
        <f>IFERROR(__xludf.DUMMYFUNCTION("""COMPUTED_VALUE"""),"")</f>
        <v/>
      </c>
      <c r="Y385" s="5" t="s">
        <v>355</v>
      </c>
      <c r="Z385" s="5" t="s">
        <v>355</v>
      </c>
      <c r="AB385" s="5" t="s">
        <v>355</v>
      </c>
      <c r="AE385" s="5" t="s">
        <v>355</v>
      </c>
      <c r="AH385" s="5" t="s">
        <v>355</v>
      </c>
    </row>
    <row r="386">
      <c r="S386" s="5" t="s">
        <v>355</v>
      </c>
      <c r="T386" s="5" t="str">
        <f>IFERROR(__xludf.DUMMYFUNCTION("""COMPUTED_VALUE"""),"")</f>
        <v/>
      </c>
      <c r="U386" s="5" t="s">
        <v>355</v>
      </c>
      <c r="V386" s="5" t="s">
        <v>355</v>
      </c>
      <c r="W386" s="5" t="s">
        <v>355</v>
      </c>
      <c r="X386" s="5" t="str">
        <f>IFERROR(__xludf.DUMMYFUNCTION("""COMPUTED_VALUE"""),"")</f>
        <v/>
      </c>
      <c r="Y386" s="5" t="s">
        <v>355</v>
      </c>
      <c r="Z386" s="5" t="s">
        <v>355</v>
      </c>
      <c r="AB386" s="5" t="s">
        <v>355</v>
      </c>
      <c r="AE386" s="5" t="s">
        <v>355</v>
      </c>
      <c r="AH386" s="5" t="s">
        <v>355</v>
      </c>
    </row>
    <row r="387">
      <c r="S387" s="5" t="s">
        <v>355</v>
      </c>
      <c r="T387" s="5" t="str">
        <f>IFERROR(__xludf.DUMMYFUNCTION("""COMPUTED_VALUE"""),"")</f>
        <v/>
      </c>
      <c r="U387" s="5" t="s">
        <v>355</v>
      </c>
      <c r="V387" s="5" t="s">
        <v>355</v>
      </c>
      <c r="W387" s="5" t="s">
        <v>355</v>
      </c>
      <c r="X387" s="5" t="str">
        <f>IFERROR(__xludf.DUMMYFUNCTION("""COMPUTED_VALUE"""),"")</f>
        <v/>
      </c>
      <c r="Y387" s="5" t="s">
        <v>355</v>
      </c>
      <c r="Z387" s="5" t="s">
        <v>355</v>
      </c>
      <c r="AB387" s="5" t="s">
        <v>355</v>
      </c>
      <c r="AE387" s="5" t="s">
        <v>355</v>
      </c>
      <c r="AH387" s="5" t="s">
        <v>355</v>
      </c>
    </row>
    <row r="388">
      <c r="S388" s="5" t="s">
        <v>355</v>
      </c>
      <c r="T388" s="5" t="str">
        <f>IFERROR(__xludf.DUMMYFUNCTION("""COMPUTED_VALUE"""),"")</f>
        <v/>
      </c>
      <c r="U388" s="5" t="s">
        <v>355</v>
      </c>
      <c r="V388" s="5" t="s">
        <v>355</v>
      </c>
      <c r="W388" s="5" t="s">
        <v>355</v>
      </c>
      <c r="X388" s="5" t="str">
        <f>IFERROR(__xludf.DUMMYFUNCTION("""COMPUTED_VALUE"""),"")</f>
        <v/>
      </c>
      <c r="Y388" s="5" t="s">
        <v>355</v>
      </c>
      <c r="Z388" s="5" t="s">
        <v>355</v>
      </c>
      <c r="AB388" s="5" t="s">
        <v>355</v>
      </c>
      <c r="AE388" s="5" t="s">
        <v>355</v>
      </c>
      <c r="AH388" s="5" t="s">
        <v>355</v>
      </c>
    </row>
    <row r="389">
      <c r="S389" s="5" t="s">
        <v>355</v>
      </c>
      <c r="T389" s="5" t="str">
        <f>IFERROR(__xludf.DUMMYFUNCTION("""COMPUTED_VALUE"""),"")</f>
        <v/>
      </c>
      <c r="U389" s="5" t="s">
        <v>355</v>
      </c>
      <c r="V389" s="5" t="s">
        <v>355</v>
      </c>
      <c r="W389" s="5" t="s">
        <v>355</v>
      </c>
      <c r="X389" s="5" t="str">
        <f>IFERROR(__xludf.DUMMYFUNCTION("""COMPUTED_VALUE"""),"")</f>
        <v/>
      </c>
      <c r="Y389" s="5" t="s">
        <v>355</v>
      </c>
      <c r="Z389" s="5" t="s">
        <v>355</v>
      </c>
      <c r="AB389" s="5" t="s">
        <v>355</v>
      </c>
      <c r="AE389" s="5" t="s">
        <v>355</v>
      </c>
      <c r="AH389" s="5" t="s">
        <v>355</v>
      </c>
    </row>
    <row r="390">
      <c r="S390" s="5" t="s">
        <v>355</v>
      </c>
      <c r="T390" s="5" t="str">
        <f>IFERROR(__xludf.DUMMYFUNCTION("""COMPUTED_VALUE"""),"")</f>
        <v/>
      </c>
      <c r="U390" s="5" t="s">
        <v>355</v>
      </c>
      <c r="V390" s="5" t="s">
        <v>355</v>
      </c>
      <c r="W390" s="5" t="s">
        <v>355</v>
      </c>
      <c r="X390" s="5" t="str">
        <f>IFERROR(__xludf.DUMMYFUNCTION("""COMPUTED_VALUE"""),"")</f>
        <v/>
      </c>
      <c r="Y390" s="5" t="s">
        <v>355</v>
      </c>
      <c r="Z390" s="5" t="s">
        <v>355</v>
      </c>
      <c r="AB390" s="5" t="s">
        <v>355</v>
      </c>
      <c r="AE390" s="5" t="s">
        <v>355</v>
      </c>
      <c r="AH390" s="5" t="s">
        <v>355</v>
      </c>
    </row>
    <row r="391">
      <c r="S391" s="5" t="s">
        <v>355</v>
      </c>
      <c r="T391" s="5" t="str">
        <f>IFERROR(__xludf.DUMMYFUNCTION("""COMPUTED_VALUE"""),"")</f>
        <v/>
      </c>
      <c r="U391" s="5" t="s">
        <v>355</v>
      </c>
      <c r="V391" s="5" t="s">
        <v>355</v>
      </c>
      <c r="W391" s="5" t="s">
        <v>355</v>
      </c>
      <c r="X391" s="5" t="str">
        <f>IFERROR(__xludf.DUMMYFUNCTION("""COMPUTED_VALUE"""),"")</f>
        <v/>
      </c>
      <c r="Y391" s="5" t="s">
        <v>355</v>
      </c>
      <c r="Z391" s="5" t="s">
        <v>355</v>
      </c>
      <c r="AB391" s="5" t="s">
        <v>355</v>
      </c>
      <c r="AE391" s="5" t="s">
        <v>355</v>
      </c>
      <c r="AH391" s="5" t="s">
        <v>355</v>
      </c>
    </row>
    <row r="392">
      <c r="S392" s="5" t="s">
        <v>355</v>
      </c>
      <c r="T392" s="5" t="str">
        <f>IFERROR(__xludf.DUMMYFUNCTION("""COMPUTED_VALUE"""),"")</f>
        <v/>
      </c>
      <c r="U392" s="5" t="s">
        <v>355</v>
      </c>
      <c r="V392" s="5" t="s">
        <v>355</v>
      </c>
      <c r="W392" s="5" t="s">
        <v>355</v>
      </c>
      <c r="X392" s="5" t="str">
        <f>IFERROR(__xludf.DUMMYFUNCTION("""COMPUTED_VALUE"""),"")</f>
        <v/>
      </c>
      <c r="Y392" s="5" t="s">
        <v>355</v>
      </c>
      <c r="Z392" s="5" t="s">
        <v>355</v>
      </c>
      <c r="AB392" s="5" t="s">
        <v>355</v>
      </c>
      <c r="AE392" s="5" t="s">
        <v>355</v>
      </c>
      <c r="AH392" s="5" t="s">
        <v>355</v>
      </c>
    </row>
    <row r="393">
      <c r="S393" s="5" t="s">
        <v>355</v>
      </c>
      <c r="T393" s="5" t="str">
        <f>IFERROR(__xludf.DUMMYFUNCTION("""COMPUTED_VALUE"""),"")</f>
        <v/>
      </c>
      <c r="U393" s="5" t="s">
        <v>355</v>
      </c>
      <c r="V393" s="5" t="s">
        <v>355</v>
      </c>
      <c r="W393" s="5" t="s">
        <v>355</v>
      </c>
      <c r="X393" s="5" t="str">
        <f>IFERROR(__xludf.DUMMYFUNCTION("""COMPUTED_VALUE"""),"")</f>
        <v/>
      </c>
      <c r="Y393" s="5" t="s">
        <v>355</v>
      </c>
      <c r="Z393" s="5" t="s">
        <v>355</v>
      </c>
      <c r="AB393" s="5" t="s">
        <v>355</v>
      </c>
      <c r="AE393" s="5" t="s">
        <v>355</v>
      </c>
      <c r="AH393" s="5" t="s">
        <v>355</v>
      </c>
    </row>
    <row r="394">
      <c r="S394" s="5" t="s">
        <v>355</v>
      </c>
      <c r="T394" s="5" t="str">
        <f>IFERROR(__xludf.DUMMYFUNCTION("""COMPUTED_VALUE"""),"")</f>
        <v/>
      </c>
      <c r="U394" s="5" t="s">
        <v>355</v>
      </c>
      <c r="V394" s="5" t="s">
        <v>355</v>
      </c>
      <c r="W394" s="5" t="s">
        <v>355</v>
      </c>
      <c r="X394" s="5" t="str">
        <f>IFERROR(__xludf.DUMMYFUNCTION("""COMPUTED_VALUE"""),"")</f>
        <v/>
      </c>
      <c r="Y394" s="5" t="s">
        <v>355</v>
      </c>
      <c r="Z394" s="5" t="s">
        <v>355</v>
      </c>
      <c r="AB394" s="5" t="s">
        <v>355</v>
      </c>
      <c r="AE394" s="5" t="s">
        <v>355</v>
      </c>
      <c r="AH394" s="5" t="s">
        <v>355</v>
      </c>
    </row>
    <row r="395">
      <c r="S395" s="5" t="s">
        <v>355</v>
      </c>
      <c r="T395" s="5" t="str">
        <f>IFERROR(__xludf.DUMMYFUNCTION("""COMPUTED_VALUE"""),"")</f>
        <v/>
      </c>
      <c r="U395" s="5" t="s">
        <v>355</v>
      </c>
      <c r="V395" s="5" t="s">
        <v>355</v>
      </c>
      <c r="W395" s="5" t="s">
        <v>355</v>
      </c>
      <c r="X395" s="5" t="str">
        <f>IFERROR(__xludf.DUMMYFUNCTION("""COMPUTED_VALUE"""),"")</f>
        <v/>
      </c>
      <c r="Y395" s="5" t="s">
        <v>355</v>
      </c>
      <c r="Z395" s="5" t="s">
        <v>355</v>
      </c>
      <c r="AB395" s="5" t="s">
        <v>355</v>
      </c>
      <c r="AE395" s="5" t="s">
        <v>355</v>
      </c>
      <c r="AH395" s="5" t="s">
        <v>355</v>
      </c>
    </row>
    <row r="396">
      <c r="S396" s="5" t="s">
        <v>355</v>
      </c>
      <c r="T396" s="5" t="str">
        <f>IFERROR(__xludf.DUMMYFUNCTION("""COMPUTED_VALUE"""),"")</f>
        <v/>
      </c>
      <c r="U396" s="5" t="s">
        <v>355</v>
      </c>
      <c r="V396" s="5" t="s">
        <v>355</v>
      </c>
      <c r="W396" s="5" t="s">
        <v>355</v>
      </c>
      <c r="X396" s="5" t="str">
        <f>IFERROR(__xludf.DUMMYFUNCTION("""COMPUTED_VALUE"""),"")</f>
        <v/>
      </c>
      <c r="Y396" s="5" t="s">
        <v>355</v>
      </c>
      <c r="Z396" s="5" t="s">
        <v>355</v>
      </c>
      <c r="AB396" s="5" t="s">
        <v>355</v>
      </c>
      <c r="AE396" s="5" t="s">
        <v>355</v>
      </c>
      <c r="AH396" s="5" t="s">
        <v>355</v>
      </c>
    </row>
    <row r="397">
      <c r="S397" s="5" t="s">
        <v>355</v>
      </c>
      <c r="T397" s="5" t="str">
        <f>IFERROR(__xludf.DUMMYFUNCTION("""COMPUTED_VALUE"""),"")</f>
        <v/>
      </c>
      <c r="U397" s="5" t="s">
        <v>355</v>
      </c>
      <c r="V397" s="5" t="s">
        <v>355</v>
      </c>
      <c r="W397" s="5" t="s">
        <v>355</v>
      </c>
      <c r="X397" s="5" t="str">
        <f>IFERROR(__xludf.DUMMYFUNCTION("""COMPUTED_VALUE"""),"")</f>
        <v/>
      </c>
      <c r="Y397" s="5" t="s">
        <v>355</v>
      </c>
      <c r="Z397" s="5" t="s">
        <v>355</v>
      </c>
      <c r="AB397" s="5" t="s">
        <v>355</v>
      </c>
      <c r="AE397" s="5" t="s">
        <v>355</v>
      </c>
      <c r="AH397" s="5" t="s">
        <v>355</v>
      </c>
    </row>
    <row r="398">
      <c r="S398" s="5" t="s">
        <v>355</v>
      </c>
      <c r="T398" s="5" t="str">
        <f>IFERROR(__xludf.DUMMYFUNCTION("""COMPUTED_VALUE"""),"")</f>
        <v/>
      </c>
      <c r="U398" s="5" t="s">
        <v>355</v>
      </c>
      <c r="V398" s="5" t="s">
        <v>355</v>
      </c>
      <c r="W398" s="5" t="s">
        <v>355</v>
      </c>
      <c r="X398" s="5" t="str">
        <f>IFERROR(__xludf.DUMMYFUNCTION("""COMPUTED_VALUE"""),"")</f>
        <v/>
      </c>
      <c r="Y398" s="5" t="s">
        <v>355</v>
      </c>
      <c r="Z398" s="5" t="s">
        <v>355</v>
      </c>
      <c r="AB398" s="5" t="s">
        <v>355</v>
      </c>
      <c r="AE398" s="5" t="s">
        <v>355</v>
      </c>
      <c r="AH398" s="5" t="s">
        <v>355</v>
      </c>
    </row>
    <row r="399">
      <c r="S399" s="5" t="s">
        <v>355</v>
      </c>
      <c r="T399" s="5" t="str">
        <f>IFERROR(__xludf.DUMMYFUNCTION("""COMPUTED_VALUE"""),"")</f>
        <v/>
      </c>
      <c r="U399" s="5" t="s">
        <v>355</v>
      </c>
      <c r="V399" s="5" t="s">
        <v>355</v>
      </c>
      <c r="W399" s="5" t="s">
        <v>355</v>
      </c>
      <c r="X399" s="5" t="str">
        <f>IFERROR(__xludf.DUMMYFUNCTION("""COMPUTED_VALUE"""),"")</f>
        <v/>
      </c>
      <c r="Y399" s="5" t="s">
        <v>355</v>
      </c>
      <c r="Z399" s="5" t="s">
        <v>355</v>
      </c>
      <c r="AB399" s="5" t="s">
        <v>355</v>
      </c>
      <c r="AE399" s="5" t="s">
        <v>355</v>
      </c>
      <c r="AH399" s="5" t="s">
        <v>355</v>
      </c>
    </row>
    <row r="400">
      <c r="S400" s="5" t="s">
        <v>355</v>
      </c>
      <c r="T400" s="5" t="str">
        <f>IFERROR(__xludf.DUMMYFUNCTION("""COMPUTED_VALUE"""),"")</f>
        <v/>
      </c>
      <c r="U400" s="5" t="s">
        <v>355</v>
      </c>
      <c r="V400" s="5" t="s">
        <v>355</v>
      </c>
      <c r="W400" s="5" t="s">
        <v>355</v>
      </c>
      <c r="X400" s="5" t="str">
        <f>IFERROR(__xludf.DUMMYFUNCTION("""COMPUTED_VALUE"""),"")</f>
        <v/>
      </c>
      <c r="Y400" s="5" t="s">
        <v>355</v>
      </c>
      <c r="Z400" s="5" t="s">
        <v>355</v>
      </c>
      <c r="AB400" s="5" t="s">
        <v>355</v>
      </c>
      <c r="AE400" s="5" t="s">
        <v>355</v>
      </c>
      <c r="AH400" s="5" t="s">
        <v>355</v>
      </c>
    </row>
    <row r="401">
      <c r="S401" s="5" t="s">
        <v>355</v>
      </c>
      <c r="T401" s="5" t="str">
        <f>IFERROR(__xludf.DUMMYFUNCTION("""COMPUTED_VALUE"""),"")</f>
        <v/>
      </c>
      <c r="U401" s="5" t="s">
        <v>355</v>
      </c>
      <c r="V401" s="5" t="s">
        <v>355</v>
      </c>
      <c r="W401" s="5" t="s">
        <v>355</v>
      </c>
      <c r="X401" s="5" t="str">
        <f>IFERROR(__xludf.DUMMYFUNCTION("""COMPUTED_VALUE"""),"")</f>
        <v/>
      </c>
      <c r="Y401" s="5" t="s">
        <v>355</v>
      </c>
      <c r="Z401" s="5" t="s">
        <v>355</v>
      </c>
      <c r="AB401" s="5" t="s">
        <v>355</v>
      </c>
      <c r="AE401" s="5" t="s">
        <v>355</v>
      </c>
      <c r="AH401" s="5" t="s">
        <v>355</v>
      </c>
    </row>
    <row r="402">
      <c r="S402" s="5" t="s">
        <v>355</v>
      </c>
      <c r="T402" s="5" t="str">
        <f>IFERROR(__xludf.DUMMYFUNCTION("""COMPUTED_VALUE"""),"")</f>
        <v/>
      </c>
      <c r="U402" s="5" t="s">
        <v>355</v>
      </c>
      <c r="V402" s="5" t="s">
        <v>355</v>
      </c>
      <c r="W402" s="5" t="s">
        <v>355</v>
      </c>
      <c r="X402" s="5" t="str">
        <f>IFERROR(__xludf.DUMMYFUNCTION("""COMPUTED_VALUE"""),"")</f>
        <v/>
      </c>
      <c r="Y402" s="5" t="s">
        <v>355</v>
      </c>
      <c r="Z402" s="5" t="s">
        <v>355</v>
      </c>
      <c r="AB402" s="5" t="s">
        <v>355</v>
      </c>
      <c r="AE402" s="5" t="s">
        <v>355</v>
      </c>
      <c r="AH402" s="5" t="s">
        <v>355</v>
      </c>
    </row>
    <row r="403">
      <c r="S403" s="5" t="s">
        <v>355</v>
      </c>
      <c r="T403" s="5" t="str">
        <f>IFERROR(__xludf.DUMMYFUNCTION("""COMPUTED_VALUE"""),"")</f>
        <v/>
      </c>
      <c r="U403" s="5" t="s">
        <v>355</v>
      </c>
      <c r="V403" s="5" t="s">
        <v>355</v>
      </c>
      <c r="W403" s="5" t="s">
        <v>355</v>
      </c>
      <c r="X403" s="5" t="str">
        <f>IFERROR(__xludf.DUMMYFUNCTION("""COMPUTED_VALUE"""),"")</f>
        <v/>
      </c>
      <c r="Y403" s="5" t="s">
        <v>355</v>
      </c>
      <c r="Z403" s="5" t="s">
        <v>355</v>
      </c>
      <c r="AB403" s="5" t="s">
        <v>355</v>
      </c>
      <c r="AE403" s="5" t="s">
        <v>355</v>
      </c>
      <c r="AH403" s="5" t="s">
        <v>355</v>
      </c>
    </row>
    <row r="404">
      <c r="S404" s="5" t="s">
        <v>355</v>
      </c>
      <c r="T404" s="5" t="str">
        <f>IFERROR(__xludf.DUMMYFUNCTION("""COMPUTED_VALUE"""),"")</f>
        <v/>
      </c>
      <c r="U404" s="5" t="s">
        <v>355</v>
      </c>
      <c r="V404" s="5" t="s">
        <v>355</v>
      </c>
      <c r="W404" s="5" t="s">
        <v>355</v>
      </c>
      <c r="X404" s="5" t="str">
        <f>IFERROR(__xludf.DUMMYFUNCTION("""COMPUTED_VALUE"""),"")</f>
        <v/>
      </c>
      <c r="Y404" s="5" t="s">
        <v>355</v>
      </c>
      <c r="Z404" s="5" t="s">
        <v>355</v>
      </c>
      <c r="AB404" s="5" t="s">
        <v>355</v>
      </c>
      <c r="AE404" s="5" t="s">
        <v>355</v>
      </c>
      <c r="AH404" s="5" t="s">
        <v>355</v>
      </c>
    </row>
    <row r="405">
      <c r="S405" s="5" t="s">
        <v>355</v>
      </c>
      <c r="T405" s="5" t="str">
        <f>IFERROR(__xludf.DUMMYFUNCTION("""COMPUTED_VALUE"""),"")</f>
        <v/>
      </c>
      <c r="U405" s="5" t="s">
        <v>355</v>
      </c>
      <c r="V405" s="5" t="s">
        <v>355</v>
      </c>
      <c r="W405" s="5" t="s">
        <v>355</v>
      </c>
      <c r="X405" s="5" t="str">
        <f>IFERROR(__xludf.DUMMYFUNCTION("""COMPUTED_VALUE"""),"")</f>
        <v/>
      </c>
      <c r="Y405" s="5" t="s">
        <v>355</v>
      </c>
      <c r="Z405" s="5" t="s">
        <v>355</v>
      </c>
      <c r="AB405" s="5" t="s">
        <v>355</v>
      </c>
      <c r="AE405" s="5" t="s">
        <v>355</v>
      </c>
      <c r="AH405" s="5" t="s">
        <v>355</v>
      </c>
    </row>
    <row r="406">
      <c r="S406" s="5" t="s">
        <v>355</v>
      </c>
      <c r="T406" s="5" t="str">
        <f>IFERROR(__xludf.DUMMYFUNCTION("""COMPUTED_VALUE"""),"")</f>
        <v/>
      </c>
      <c r="U406" s="5" t="s">
        <v>355</v>
      </c>
      <c r="V406" s="5" t="s">
        <v>355</v>
      </c>
      <c r="W406" s="5" t="s">
        <v>355</v>
      </c>
      <c r="X406" s="5" t="str">
        <f>IFERROR(__xludf.DUMMYFUNCTION("""COMPUTED_VALUE"""),"")</f>
        <v/>
      </c>
      <c r="Y406" s="5" t="s">
        <v>355</v>
      </c>
      <c r="Z406" s="5" t="s">
        <v>355</v>
      </c>
      <c r="AB406" s="5" t="s">
        <v>355</v>
      </c>
      <c r="AE406" s="5" t="s">
        <v>355</v>
      </c>
      <c r="AH406" s="5" t="s">
        <v>355</v>
      </c>
    </row>
    <row r="407">
      <c r="S407" s="5" t="s">
        <v>355</v>
      </c>
      <c r="T407" s="5" t="str">
        <f>IFERROR(__xludf.DUMMYFUNCTION("""COMPUTED_VALUE"""),"")</f>
        <v/>
      </c>
      <c r="U407" s="5" t="s">
        <v>355</v>
      </c>
      <c r="V407" s="5" t="s">
        <v>355</v>
      </c>
      <c r="W407" s="5" t="s">
        <v>355</v>
      </c>
      <c r="X407" s="5" t="str">
        <f>IFERROR(__xludf.DUMMYFUNCTION("""COMPUTED_VALUE"""),"")</f>
        <v/>
      </c>
      <c r="Y407" s="5" t="s">
        <v>355</v>
      </c>
      <c r="Z407" s="5" t="s">
        <v>355</v>
      </c>
      <c r="AB407" s="5" t="s">
        <v>355</v>
      </c>
      <c r="AE407" s="5" t="s">
        <v>355</v>
      </c>
      <c r="AH407" s="5" t="s">
        <v>355</v>
      </c>
    </row>
    <row r="408">
      <c r="S408" s="5" t="s">
        <v>355</v>
      </c>
      <c r="T408" s="5" t="str">
        <f>IFERROR(__xludf.DUMMYFUNCTION("""COMPUTED_VALUE"""),"")</f>
        <v/>
      </c>
      <c r="U408" s="5" t="s">
        <v>355</v>
      </c>
      <c r="V408" s="5" t="s">
        <v>355</v>
      </c>
      <c r="W408" s="5" t="s">
        <v>355</v>
      </c>
      <c r="X408" s="5" t="str">
        <f>IFERROR(__xludf.DUMMYFUNCTION("""COMPUTED_VALUE"""),"")</f>
        <v/>
      </c>
      <c r="Y408" s="5" t="s">
        <v>355</v>
      </c>
      <c r="Z408" s="5" t="s">
        <v>355</v>
      </c>
      <c r="AB408" s="5" t="s">
        <v>355</v>
      </c>
      <c r="AE408" s="5" t="s">
        <v>355</v>
      </c>
      <c r="AH408" s="5" t="s">
        <v>355</v>
      </c>
    </row>
    <row r="409">
      <c r="S409" s="5" t="s">
        <v>355</v>
      </c>
      <c r="T409" s="5" t="str">
        <f>IFERROR(__xludf.DUMMYFUNCTION("""COMPUTED_VALUE"""),"")</f>
        <v/>
      </c>
      <c r="U409" s="5" t="s">
        <v>355</v>
      </c>
      <c r="V409" s="5" t="s">
        <v>355</v>
      </c>
      <c r="W409" s="5" t="s">
        <v>355</v>
      </c>
      <c r="X409" s="5" t="str">
        <f>IFERROR(__xludf.DUMMYFUNCTION("""COMPUTED_VALUE"""),"")</f>
        <v/>
      </c>
      <c r="Y409" s="5" t="s">
        <v>355</v>
      </c>
      <c r="Z409" s="5" t="s">
        <v>355</v>
      </c>
      <c r="AB409" s="5" t="s">
        <v>355</v>
      </c>
      <c r="AE409" s="5" t="s">
        <v>355</v>
      </c>
      <c r="AH409" s="5" t="s">
        <v>355</v>
      </c>
    </row>
    <row r="410">
      <c r="S410" s="5" t="s">
        <v>355</v>
      </c>
      <c r="T410" s="5" t="str">
        <f>IFERROR(__xludf.DUMMYFUNCTION("""COMPUTED_VALUE"""),"")</f>
        <v/>
      </c>
      <c r="U410" s="5" t="s">
        <v>355</v>
      </c>
      <c r="V410" s="5" t="s">
        <v>355</v>
      </c>
      <c r="W410" s="5" t="s">
        <v>355</v>
      </c>
      <c r="X410" s="5" t="str">
        <f>IFERROR(__xludf.DUMMYFUNCTION("""COMPUTED_VALUE"""),"")</f>
        <v/>
      </c>
      <c r="Y410" s="5" t="s">
        <v>355</v>
      </c>
      <c r="Z410" s="5" t="s">
        <v>355</v>
      </c>
      <c r="AB410" s="5" t="s">
        <v>355</v>
      </c>
      <c r="AE410" s="5" t="s">
        <v>355</v>
      </c>
      <c r="AH410" s="5" t="s">
        <v>355</v>
      </c>
    </row>
    <row r="411">
      <c r="S411" s="5" t="s">
        <v>355</v>
      </c>
      <c r="T411" s="5" t="str">
        <f>IFERROR(__xludf.DUMMYFUNCTION("""COMPUTED_VALUE"""),"")</f>
        <v/>
      </c>
      <c r="U411" s="5" t="s">
        <v>355</v>
      </c>
      <c r="V411" s="5" t="s">
        <v>355</v>
      </c>
      <c r="W411" s="5" t="s">
        <v>355</v>
      </c>
      <c r="X411" s="5" t="str">
        <f>IFERROR(__xludf.DUMMYFUNCTION("""COMPUTED_VALUE"""),"")</f>
        <v/>
      </c>
      <c r="Y411" s="5" t="s">
        <v>355</v>
      </c>
      <c r="Z411" s="5" t="s">
        <v>355</v>
      </c>
      <c r="AB411" s="5" t="s">
        <v>355</v>
      </c>
      <c r="AE411" s="5" t="s">
        <v>355</v>
      </c>
      <c r="AH411" s="5" t="s">
        <v>355</v>
      </c>
    </row>
    <row r="412">
      <c r="S412" s="5" t="s">
        <v>355</v>
      </c>
      <c r="T412" s="5" t="str">
        <f>IFERROR(__xludf.DUMMYFUNCTION("""COMPUTED_VALUE"""),"")</f>
        <v/>
      </c>
      <c r="U412" s="5" t="s">
        <v>355</v>
      </c>
      <c r="V412" s="5" t="s">
        <v>355</v>
      </c>
      <c r="W412" s="5" t="s">
        <v>355</v>
      </c>
      <c r="X412" s="5" t="str">
        <f>IFERROR(__xludf.DUMMYFUNCTION("""COMPUTED_VALUE"""),"")</f>
        <v/>
      </c>
      <c r="Y412" s="5" t="s">
        <v>355</v>
      </c>
      <c r="Z412" s="5" t="s">
        <v>355</v>
      </c>
      <c r="AB412" s="5" t="s">
        <v>355</v>
      </c>
      <c r="AE412" s="5" t="s">
        <v>355</v>
      </c>
      <c r="AH412" s="5" t="s">
        <v>355</v>
      </c>
    </row>
    <row r="413">
      <c r="S413" s="5" t="s">
        <v>355</v>
      </c>
      <c r="T413" s="5" t="str">
        <f>IFERROR(__xludf.DUMMYFUNCTION("""COMPUTED_VALUE"""),"")</f>
        <v/>
      </c>
      <c r="U413" s="5" t="s">
        <v>355</v>
      </c>
      <c r="V413" s="5" t="s">
        <v>355</v>
      </c>
      <c r="W413" s="5" t="s">
        <v>355</v>
      </c>
      <c r="X413" s="5" t="str">
        <f>IFERROR(__xludf.DUMMYFUNCTION("""COMPUTED_VALUE"""),"")</f>
        <v/>
      </c>
      <c r="Y413" s="5" t="s">
        <v>355</v>
      </c>
      <c r="Z413" s="5" t="s">
        <v>355</v>
      </c>
      <c r="AB413" s="5" t="s">
        <v>355</v>
      </c>
      <c r="AE413" s="5" t="s">
        <v>355</v>
      </c>
      <c r="AH413" s="5" t="s">
        <v>355</v>
      </c>
    </row>
    <row r="414">
      <c r="S414" s="5" t="s">
        <v>355</v>
      </c>
      <c r="T414" s="5" t="str">
        <f>IFERROR(__xludf.DUMMYFUNCTION("""COMPUTED_VALUE"""),"")</f>
        <v/>
      </c>
      <c r="U414" s="5" t="s">
        <v>355</v>
      </c>
      <c r="V414" s="5" t="s">
        <v>355</v>
      </c>
      <c r="W414" s="5" t="s">
        <v>355</v>
      </c>
      <c r="X414" s="5" t="str">
        <f>IFERROR(__xludf.DUMMYFUNCTION("""COMPUTED_VALUE"""),"")</f>
        <v/>
      </c>
      <c r="Y414" s="5" t="s">
        <v>355</v>
      </c>
      <c r="Z414" s="5" t="s">
        <v>355</v>
      </c>
      <c r="AB414" s="5" t="s">
        <v>355</v>
      </c>
      <c r="AE414" s="5" t="s">
        <v>355</v>
      </c>
      <c r="AH414" s="5" t="s">
        <v>355</v>
      </c>
    </row>
    <row r="415">
      <c r="S415" s="5" t="s">
        <v>355</v>
      </c>
      <c r="T415" s="5" t="str">
        <f>IFERROR(__xludf.DUMMYFUNCTION("""COMPUTED_VALUE"""),"")</f>
        <v/>
      </c>
      <c r="U415" s="5" t="s">
        <v>355</v>
      </c>
      <c r="V415" s="5" t="s">
        <v>355</v>
      </c>
      <c r="W415" s="5" t="s">
        <v>355</v>
      </c>
      <c r="X415" s="5" t="str">
        <f>IFERROR(__xludf.DUMMYFUNCTION("""COMPUTED_VALUE"""),"")</f>
        <v/>
      </c>
      <c r="Y415" s="5" t="s">
        <v>355</v>
      </c>
      <c r="Z415" s="5" t="s">
        <v>355</v>
      </c>
      <c r="AB415" s="5" t="s">
        <v>355</v>
      </c>
      <c r="AE415" s="5" t="s">
        <v>355</v>
      </c>
      <c r="AH415" s="5" t="s">
        <v>355</v>
      </c>
    </row>
    <row r="416">
      <c r="S416" s="5" t="s">
        <v>355</v>
      </c>
      <c r="T416" s="5" t="str">
        <f>IFERROR(__xludf.DUMMYFUNCTION("""COMPUTED_VALUE"""),"")</f>
        <v/>
      </c>
      <c r="U416" s="5" t="s">
        <v>355</v>
      </c>
      <c r="V416" s="5" t="s">
        <v>355</v>
      </c>
      <c r="W416" s="5" t="s">
        <v>355</v>
      </c>
      <c r="X416" s="5" t="str">
        <f>IFERROR(__xludf.DUMMYFUNCTION("""COMPUTED_VALUE"""),"")</f>
        <v/>
      </c>
      <c r="Y416" s="5" t="s">
        <v>355</v>
      </c>
      <c r="Z416" s="5" t="s">
        <v>355</v>
      </c>
      <c r="AB416" s="5" t="s">
        <v>355</v>
      </c>
      <c r="AE416" s="5" t="s">
        <v>355</v>
      </c>
      <c r="AH416" s="5" t="s">
        <v>355</v>
      </c>
    </row>
    <row r="417">
      <c r="S417" s="5" t="s">
        <v>355</v>
      </c>
      <c r="T417" s="5" t="str">
        <f>IFERROR(__xludf.DUMMYFUNCTION("""COMPUTED_VALUE"""),"")</f>
        <v/>
      </c>
      <c r="U417" s="5" t="s">
        <v>355</v>
      </c>
      <c r="V417" s="5" t="s">
        <v>355</v>
      </c>
      <c r="W417" s="5" t="s">
        <v>355</v>
      </c>
      <c r="X417" s="5" t="str">
        <f>IFERROR(__xludf.DUMMYFUNCTION("""COMPUTED_VALUE"""),"")</f>
        <v/>
      </c>
      <c r="Y417" s="5" t="s">
        <v>355</v>
      </c>
      <c r="Z417" s="5" t="s">
        <v>355</v>
      </c>
      <c r="AB417" s="5" t="s">
        <v>355</v>
      </c>
      <c r="AE417" s="5" t="s">
        <v>355</v>
      </c>
      <c r="AH417" s="5" t="s">
        <v>355</v>
      </c>
    </row>
    <row r="418">
      <c r="S418" s="5" t="s">
        <v>355</v>
      </c>
      <c r="T418" s="5" t="str">
        <f>IFERROR(__xludf.DUMMYFUNCTION("""COMPUTED_VALUE"""),"")</f>
        <v/>
      </c>
      <c r="U418" s="5" t="s">
        <v>355</v>
      </c>
      <c r="V418" s="5" t="s">
        <v>355</v>
      </c>
      <c r="W418" s="5" t="s">
        <v>355</v>
      </c>
      <c r="X418" s="5" t="str">
        <f>IFERROR(__xludf.DUMMYFUNCTION("""COMPUTED_VALUE"""),"")</f>
        <v/>
      </c>
      <c r="Y418" s="5" t="s">
        <v>355</v>
      </c>
      <c r="Z418" s="5" t="s">
        <v>355</v>
      </c>
      <c r="AB418" s="5" t="s">
        <v>355</v>
      </c>
      <c r="AE418" s="5" t="s">
        <v>355</v>
      </c>
      <c r="AH418" s="5" t="s">
        <v>355</v>
      </c>
    </row>
    <row r="419">
      <c r="S419" s="5" t="s">
        <v>355</v>
      </c>
      <c r="T419" s="5" t="str">
        <f>IFERROR(__xludf.DUMMYFUNCTION("""COMPUTED_VALUE"""),"")</f>
        <v/>
      </c>
      <c r="U419" s="5" t="s">
        <v>355</v>
      </c>
      <c r="V419" s="5" t="s">
        <v>355</v>
      </c>
      <c r="W419" s="5" t="s">
        <v>355</v>
      </c>
      <c r="X419" s="5" t="str">
        <f>IFERROR(__xludf.DUMMYFUNCTION("""COMPUTED_VALUE"""),"")</f>
        <v/>
      </c>
      <c r="Y419" s="5" t="s">
        <v>355</v>
      </c>
      <c r="Z419" s="5" t="s">
        <v>355</v>
      </c>
      <c r="AB419" s="5" t="s">
        <v>355</v>
      </c>
      <c r="AE419" s="5" t="s">
        <v>355</v>
      </c>
      <c r="AH419" s="5" t="s">
        <v>355</v>
      </c>
    </row>
    <row r="420">
      <c r="S420" s="5" t="s">
        <v>355</v>
      </c>
      <c r="T420" s="5" t="str">
        <f>IFERROR(__xludf.DUMMYFUNCTION("""COMPUTED_VALUE"""),"")</f>
        <v/>
      </c>
      <c r="U420" s="5" t="s">
        <v>355</v>
      </c>
      <c r="V420" s="5" t="s">
        <v>355</v>
      </c>
      <c r="W420" s="5" t="s">
        <v>355</v>
      </c>
      <c r="X420" s="5" t="str">
        <f>IFERROR(__xludf.DUMMYFUNCTION("""COMPUTED_VALUE"""),"")</f>
        <v/>
      </c>
      <c r="Y420" s="5" t="s">
        <v>355</v>
      </c>
      <c r="Z420" s="5" t="s">
        <v>355</v>
      </c>
      <c r="AB420" s="5" t="s">
        <v>355</v>
      </c>
      <c r="AE420" s="5" t="s">
        <v>355</v>
      </c>
      <c r="AH420" s="5" t="s">
        <v>355</v>
      </c>
    </row>
    <row r="421">
      <c r="S421" s="5" t="s">
        <v>355</v>
      </c>
      <c r="T421" s="5" t="str">
        <f>IFERROR(__xludf.DUMMYFUNCTION("""COMPUTED_VALUE"""),"")</f>
        <v/>
      </c>
      <c r="U421" s="5" t="s">
        <v>355</v>
      </c>
      <c r="V421" s="5" t="s">
        <v>355</v>
      </c>
      <c r="W421" s="5" t="s">
        <v>355</v>
      </c>
      <c r="X421" s="5" t="str">
        <f>IFERROR(__xludf.DUMMYFUNCTION("""COMPUTED_VALUE"""),"")</f>
        <v/>
      </c>
      <c r="Y421" s="5" t="s">
        <v>355</v>
      </c>
      <c r="Z421" s="5" t="s">
        <v>355</v>
      </c>
      <c r="AB421" s="5" t="s">
        <v>355</v>
      </c>
      <c r="AE421" s="5" t="s">
        <v>355</v>
      </c>
      <c r="AH421" s="5" t="s">
        <v>355</v>
      </c>
    </row>
    <row r="422">
      <c r="S422" s="5" t="s">
        <v>355</v>
      </c>
      <c r="T422" s="5" t="str">
        <f>IFERROR(__xludf.DUMMYFUNCTION("""COMPUTED_VALUE"""),"")</f>
        <v/>
      </c>
      <c r="U422" s="5" t="s">
        <v>355</v>
      </c>
      <c r="V422" s="5" t="s">
        <v>355</v>
      </c>
      <c r="W422" s="5" t="s">
        <v>355</v>
      </c>
      <c r="X422" s="5" t="str">
        <f>IFERROR(__xludf.DUMMYFUNCTION("""COMPUTED_VALUE"""),"")</f>
        <v/>
      </c>
      <c r="Y422" s="5" t="s">
        <v>355</v>
      </c>
      <c r="Z422" s="5" t="s">
        <v>355</v>
      </c>
      <c r="AB422" s="5" t="s">
        <v>355</v>
      </c>
      <c r="AE422" s="5" t="s">
        <v>355</v>
      </c>
      <c r="AH422" s="5" t="s">
        <v>355</v>
      </c>
    </row>
    <row r="423">
      <c r="S423" s="5" t="s">
        <v>355</v>
      </c>
      <c r="T423" s="5" t="str">
        <f>IFERROR(__xludf.DUMMYFUNCTION("""COMPUTED_VALUE"""),"")</f>
        <v/>
      </c>
      <c r="U423" s="5" t="s">
        <v>355</v>
      </c>
      <c r="V423" s="5" t="s">
        <v>355</v>
      </c>
      <c r="W423" s="5" t="s">
        <v>355</v>
      </c>
      <c r="X423" s="5" t="str">
        <f>IFERROR(__xludf.DUMMYFUNCTION("""COMPUTED_VALUE"""),"")</f>
        <v/>
      </c>
      <c r="Y423" s="5" t="s">
        <v>355</v>
      </c>
      <c r="Z423" s="5" t="s">
        <v>355</v>
      </c>
      <c r="AB423" s="5" t="s">
        <v>355</v>
      </c>
      <c r="AE423" s="5" t="s">
        <v>355</v>
      </c>
      <c r="AH423" s="5" t="s">
        <v>355</v>
      </c>
    </row>
    <row r="424">
      <c r="S424" s="5" t="s">
        <v>355</v>
      </c>
      <c r="T424" s="5" t="str">
        <f>IFERROR(__xludf.DUMMYFUNCTION("""COMPUTED_VALUE"""),"")</f>
        <v/>
      </c>
      <c r="U424" s="5" t="s">
        <v>355</v>
      </c>
      <c r="V424" s="5" t="s">
        <v>355</v>
      </c>
      <c r="W424" s="5" t="s">
        <v>355</v>
      </c>
      <c r="X424" s="5" t="str">
        <f>IFERROR(__xludf.DUMMYFUNCTION("""COMPUTED_VALUE"""),"")</f>
        <v/>
      </c>
      <c r="Y424" s="5" t="s">
        <v>355</v>
      </c>
      <c r="Z424" s="5" t="s">
        <v>355</v>
      </c>
      <c r="AB424" s="5" t="s">
        <v>355</v>
      </c>
      <c r="AE424" s="5" t="s">
        <v>355</v>
      </c>
      <c r="AH424" s="5" t="s">
        <v>355</v>
      </c>
    </row>
    <row r="425">
      <c r="S425" s="5" t="s">
        <v>355</v>
      </c>
      <c r="T425" s="5" t="str">
        <f>IFERROR(__xludf.DUMMYFUNCTION("""COMPUTED_VALUE"""),"")</f>
        <v/>
      </c>
      <c r="U425" s="5" t="s">
        <v>355</v>
      </c>
      <c r="V425" s="5" t="s">
        <v>355</v>
      </c>
      <c r="W425" s="5" t="s">
        <v>355</v>
      </c>
      <c r="X425" s="5" t="str">
        <f>IFERROR(__xludf.DUMMYFUNCTION("""COMPUTED_VALUE"""),"")</f>
        <v/>
      </c>
      <c r="Y425" s="5" t="s">
        <v>355</v>
      </c>
      <c r="Z425" s="5" t="s">
        <v>355</v>
      </c>
      <c r="AB425" s="5" t="s">
        <v>355</v>
      </c>
      <c r="AE425" s="5" t="s">
        <v>355</v>
      </c>
      <c r="AH425" s="5" t="s">
        <v>355</v>
      </c>
    </row>
    <row r="426">
      <c r="S426" s="5" t="s">
        <v>355</v>
      </c>
      <c r="T426" s="5" t="str">
        <f>IFERROR(__xludf.DUMMYFUNCTION("""COMPUTED_VALUE"""),"")</f>
        <v/>
      </c>
      <c r="U426" s="5" t="s">
        <v>355</v>
      </c>
      <c r="V426" s="5" t="s">
        <v>355</v>
      </c>
      <c r="W426" s="5" t="s">
        <v>355</v>
      </c>
      <c r="X426" s="5" t="str">
        <f>IFERROR(__xludf.DUMMYFUNCTION("""COMPUTED_VALUE"""),"")</f>
        <v/>
      </c>
      <c r="Y426" s="5" t="s">
        <v>355</v>
      </c>
      <c r="Z426" s="5" t="s">
        <v>355</v>
      </c>
      <c r="AB426" s="5" t="s">
        <v>355</v>
      </c>
      <c r="AE426" s="5" t="s">
        <v>355</v>
      </c>
      <c r="AH426" s="5" t="s">
        <v>355</v>
      </c>
    </row>
    <row r="427">
      <c r="S427" s="5" t="s">
        <v>355</v>
      </c>
      <c r="T427" s="5" t="str">
        <f>IFERROR(__xludf.DUMMYFUNCTION("""COMPUTED_VALUE"""),"")</f>
        <v/>
      </c>
      <c r="U427" s="5" t="s">
        <v>355</v>
      </c>
      <c r="V427" s="5" t="s">
        <v>355</v>
      </c>
      <c r="W427" s="5" t="s">
        <v>355</v>
      </c>
      <c r="X427" s="5" t="str">
        <f>IFERROR(__xludf.DUMMYFUNCTION("""COMPUTED_VALUE"""),"")</f>
        <v/>
      </c>
      <c r="Y427" s="5" t="s">
        <v>355</v>
      </c>
      <c r="Z427" s="5" t="s">
        <v>355</v>
      </c>
      <c r="AB427" s="5" t="s">
        <v>355</v>
      </c>
      <c r="AE427" s="5" t="s">
        <v>355</v>
      </c>
      <c r="AH427" s="5" t="s">
        <v>355</v>
      </c>
    </row>
    <row r="428">
      <c r="S428" s="5" t="s">
        <v>355</v>
      </c>
      <c r="T428" s="5" t="str">
        <f>IFERROR(__xludf.DUMMYFUNCTION("""COMPUTED_VALUE"""),"")</f>
        <v/>
      </c>
      <c r="U428" s="5" t="s">
        <v>355</v>
      </c>
      <c r="V428" s="5" t="s">
        <v>355</v>
      </c>
      <c r="W428" s="5" t="s">
        <v>355</v>
      </c>
      <c r="X428" s="5" t="str">
        <f>IFERROR(__xludf.DUMMYFUNCTION("""COMPUTED_VALUE"""),"")</f>
        <v/>
      </c>
      <c r="Y428" s="5" t="s">
        <v>355</v>
      </c>
      <c r="Z428" s="5" t="s">
        <v>355</v>
      </c>
      <c r="AB428" s="5" t="s">
        <v>355</v>
      </c>
      <c r="AE428" s="5" t="s">
        <v>355</v>
      </c>
      <c r="AH428" s="5" t="s">
        <v>355</v>
      </c>
    </row>
    <row r="429">
      <c r="S429" s="5" t="s">
        <v>355</v>
      </c>
      <c r="T429" s="5" t="str">
        <f>IFERROR(__xludf.DUMMYFUNCTION("""COMPUTED_VALUE"""),"")</f>
        <v/>
      </c>
      <c r="U429" s="5" t="s">
        <v>355</v>
      </c>
      <c r="V429" s="5" t="s">
        <v>355</v>
      </c>
      <c r="W429" s="5" t="s">
        <v>355</v>
      </c>
      <c r="X429" s="5" t="str">
        <f>IFERROR(__xludf.DUMMYFUNCTION("""COMPUTED_VALUE"""),"")</f>
        <v/>
      </c>
      <c r="Y429" s="5" t="s">
        <v>355</v>
      </c>
      <c r="Z429" s="5" t="s">
        <v>355</v>
      </c>
      <c r="AB429" s="5" t="s">
        <v>355</v>
      </c>
      <c r="AE429" s="5" t="s">
        <v>355</v>
      </c>
      <c r="AH429" s="5" t="s">
        <v>355</v>
      </c>
    </row>
    <row r="430">
      <c r="S430" s="5" t="s">
        <v>355</v>
      </c>
      <c r="T430" s="5" t="str">
        <f>IFERROR(__xludf.DUMMYFUNCTION("""COMPUTED_VALUE"""),"")</f>
        <v/>
      </c>
      <c r="U430" s="5" t="s">
        <v>355</v>
      </c>
      <c r="V430" s="5" t="s">
        <v>355</v>
      </c>
      <c r="W430" s="5" t="s">
        <v>355</v>
      </c>
      <c r="X430" s="5" t="str">
        <f>IFERROR(__xludf.DUMMYFUNCTION("""COMPUTED_VALUE"""),"")</f>
        <v/>
      </c>
      <c r="Y430" s="5" t="s">
        <v>355</v>
      </c>
      <c r="Z430" s="5" t="s">
        <v>355</v>
      </c>
      <c r="AB430" s="5" t="s">
        <v>355</v>
      </c>
      <c r="AE430" s="5" t="s">
        <v>355</v>
      </c>
      <c r="AH430" s="5" t="s">
        <v>355</v>
      </c>
    </row>
    <row r="431">
      <c r="S431" s="5" t="s">
        <v>355</v>
      </c>
      <c r="T431" s="5" t="str">
        <f>IFERROR(__xludf.DUMMYFUNCTION("""COMPUTED_VALUE"""),"")</f>
        <v/>
      </c>
      <c r="U431" s="5" t="s">
        <v>355</v>
      </c>
      <c r="V431" s="5" t="s">
        <v>355</v>
      </c>
      <c r="W431" s="5" t="s">
        <v>355</v>
      </c>
      <c r="X431" s="5" t="str">
        <f>IFERROR(__xludf.DUMMYFUNCTION("""COMPUTED_VALUE"""),"")</f>
        <v/>
      </c>
      <c r="Y431" s="5" t="s">
        <v>355</v>
      </c>
      <c r="Z431" s="5" t="s">
        <v>355</v>
      </c>
      <c r="AB431" s="5" t="s">
        <v>355</v>
      </c>
      <c r="AE431" s="5" t="s">
        <v>355</v>
      </c>
      <c r="AH431" s="5" t="s">
        <v>355</v>
      </c>
    </row>
    <row r="432">
      <c r="S432" s="5" t="s">
        <v>355</v>
      </c>
      <c r="T432" s="5" t="str">
        <f>IFERROR(__xludf.DUMMYFUNCTION("""COMPUTED_VALUE"""),"")</f>
        <v/>
      </c>
      <c r="U432" s="5" t="s">
        <v>355</v>
      </c>
      <c r="V432" s="5" t="s">
        <v>355</v>
      </c>
      <c r="W432" s="5" t="s">
        <v>355</v>
      </c>
      <c r="X432" s="5" t="str">
        <f>IFERROR(__xludf.DUMMYFUNCTION("""COMPUTED_VALUE"""),"")</f>
        <v/>
      </c>
      <c r="Y432" s="5" t="s">
        <v>355</v>
      </c>
      <c r="Z432" s="5" t="s">
        <v>355</v>
      </c>
      <c r="AB432" s="5" t="s">
        <v>355</v>
      </c>
      <c r="AE432" s="5" t="s">
        <v>355</v>
      </c>
      <c r="AH432" s="5" t="s">
        <v>355</v>
      </c>
    </row>
    <row r="433">
      <c r="S433" s="5" t="s">
        <v>355</v>
      </c>
      <c r="T433" s="5" t="str">
        <f>IFERROR(__xludf.DUMMYFUNCTION("""COMPUTED_VALUE"""),"")</f>
        <v/>
      </c>
      <c r="U433" s="5" t="s">
        <v>355</v>
      </c>
      <c r="V433" s="5" t="s">
        <v>355</v>
      </c>
      <c r="W433" s="5" t="s">
        <v>355</v>
      </c>
      <c r="X433" s="5" t="str">
        <f>IFERROR(__xludf.DUMMYFUNCTION("""COMPUTED_VALUE"""),"")</f>
        <v/>
      </c>
      <c r="Y433" s="5" t="s">
        <v>355</v>
      </c>
      <c r="Z433" s="5" t="s">
        <v>355</v>
      </c>
      <c r="AB433" s="5" t="s">
        <v>355</v>
      </c>
      <c r="AE433" s="5" t="s">
        <v>355</v>
      </c>
      <c r="AH433" s="5" t="s">
        <v>355</v>
      </c>
    </row>
    <row r="434">
      <c r="S434" s="5" t="s">
        <v>355</v>
      </c>
      <c r="T434" s="5" t="str">
        <f>IFERROR(__xludf.DUMMYFUNCTION("""COMPUTED_VALUE"""),"")</f>
        <v/>
      </c>
      <c r="U434" s="5" t="s">
        <v>355</v>
      </c>
      <c r="V434" s="5" t="s">
        <v>355</v>
      </c>
      <c r="W434" s="5" t="s">
        <v>355</v>
      </c>
      <c r="X434" s="5" t="str">
        <f>IFERROR(__xludf.DUMMYFUNCTION("""COMPUTED_VALUE"""),"")</f>
        <v/>
      </c>
      <c r="Y434" s="5" t="s">
        <v>355</v>
      </c>
      <c r="Z434" s="5" t="s">
        <v>355</v>
      </c>
      <c r="AB434" s="5" t="s">
        <v>355</v>
      </c>
      <c r="AE434" s="5" t="s">
        <v>355</v>
      </c>
      <c r="AH434" s="5" t="s">
        <v>355</v>
      </c>
    </row>
    <row r="435">
      <c r="S435" s="5" t="s">
        <v>355</v>
      </c>
      <c r="T435" s="5" t="str">
        <f>IFERROR(__xludf.DUMMYFUNCTION("""COMPUTED_VALUE"""),"")</f>
        <v/>
      </c>
      <c r="U435" s="5" t="s">
        <v>355</v>
      </c>
      <c r="V435" s="5" t="s">
        <v>355</v>
      </c>
      <c r="W435" s="5" t="s">
        <v>355</v>
      </c>
      <c r="X435" s="5" t="str">
        <f>IFERROR(__xludf.DUMMYFUNCTION("""COMPUTED_VALUE"""),"")</f>
        <v/>
      </c>
      <c r="Y435" s="5" t="s">
        <v>355</v>
      </c>
      <c r="Z435" s="5" t="s">
        <v>355</v>
      </c>
      <c r="AB435" s="5" t="s">
        <v>355</v>
      </c>
      <c r="AE435" s="5" t="s">
        <v>355</v>
      </c>
      <c r="AH435" s="5" t="s">
        <v>355</v>
      </c>
    </row>
    <row r="436">
      <c r="S436" s="5" t="s">
        <v>355</v>
      </c>
      <c r="T436" s="5" t="str">
        <f>IFERROR(__xludf.DUMMYFUNCTION("""COMPUTED_VALUE"""),"")</f>
        <v/>
      </c>
      <c r="U436" s="5" t="s">
        <v>355</v>
      </c>
      <c r="V436" s="5" t="s">
        <v>355</v>
      </c>
      <c r="W436" s="5" t="s">
        <v>355</v>
      </c>
      <c r="X436" s="5" t="str">
        <f>IFERROR(__xludf.DUMMYFUNCTION("""COMPUTED_VALUE"""),"")</f>
        <v/>
      </c>
      <c r="Y436" s="5" t="s">
        <v>355</v>
      </c>
      <c r="Z436" s="5" t="s">
        <v>355</v>
      </c>
      <c r="AB436" s="5" t="s">
        <v>355</v>
      </c>
      <c r="AE436" s="5" t="s">
        <v>355</v>
      </c>
      <c r="AH436" s="5" t="s">
        <v>355</v>
      </c>
    </row>
    <row r="437">
      <c r="S437" s="5" t="s">
        <v>355</v>
      </c>
      <c r="T437" s="5" t="str">
        <f>IFERROR(__xludf.DUMMYFUNCTION("""COMPUTED_VALUE"""),"")</f>
        <v/>
      </c>
      <c r="U437" s="5" t="s">
        <v>355</v>
      </c>
      <c r="V437" s="5" t="s">
        <v>355</v>
      </c>
      <c r="W437" s="5" t="s">
        <v>355</v>
      </c>
      <c r="X437" s="5" t="str">
        <f>IFERROR(__xludf.DUMMYFUNCTION("""COMPUTED_VALUE"""),"")</f>
        <v/>
      </c>
      <c r="Y437" s="5" t="s">
        <v>355</v>
      </c>
      <c r="Z437" s="5" t="s">
        <v>355</v>
      </c>
      <c r="AB437" s="5" t="s">
        <v>355</v>
      </c>
      <c r="AE437" s="5" t="s">
        <v>355</v>
      </c>
      <c r="AH437" s="5" t="s">
        <v>355</v>
      </c>
    </row>
    <row r="438">
      <c r="S438" s="5" t="s">
        <v>355</v>
      </c>
      <c r="T438" s="5" t="str">
        <f>IFERROR(__xludf.DUMMYFUNCTION("""COMPUTED_VALUE"""),"")</f>
        <v/>
      </c>
      <c r="U438" s="5" t="s">
        <v>355</v>
      </c>
      <c r="V438" s="5" t="s">
        <v>355</v>
      </c>
      <c r="W438" s="5" t="s">
        <v>355</v>
      </c>
      <c r="X438" s="5" t="str">
        <f>IFERROR(__xludf.DUMMYFUNCTION("""COMPUTED_VALUE"""),"")</f>
        <v/>
      </c>
      <c r="Y438" s="5" t="s">
        <v>355</v>
      </c>
      <c r="Z438" s="5" t="s">
        <v>355</v>
      </c>
      <c r="AB438" s="5" t="s">
        <v>355</v>
      </c>
      <c r="AE438" s="5" t="s">
        <v>355</v>
      </c>
      <c r="AH438" s="5" t="s">
        <v>355</v>
      </c>
    </row>
    <row r="439">
      <c r="S439" s="5" t="s">
        <v>355</v>
      </c>
      <c r="T439" s="5" t="str">
        <f>IFERROR(__xludf.DUMMYFUNCTION("""COMPUTED_VALUE"""),"")</f>
        <v/>
      </c>
      <c r="U439" s="5" t="s">
        <v>355</v>
      </c>
      <c r="V439" s="5" t="s">
        <v>355</v>
      </c>
      <c r="W439" s="5" t="s">
        <v>355</v>
      </c>
      <c r="X439" s="5" t="str">
        <f>IFERROR(__xludf.DUMMYFUNCTION("""COMPUTED_VALUE"""),"")</f>
        <v/>
      </c>
      <c r="Y439" s="5" t="s">
        <v>355</v>
      </c>
      <c r="Z439" s="5" t="s">
        <v>355</v>
      </c>
      <c r="AB439" s="5" t="s">
        <v>355</v>
      </c>
      <c r="AE439" s="5" t="s">
        <v>355</v>
      </c>
      <c r="AH439" s="5" t="s">
        <v>355</v>
      </c>
    </row>
    <row r="440">
      <c r="S440" s="5" t="s">
        <v>355</v>
      </c>
      <c r="T440" s="5" t="str">
        <f>IFERROR(__xludf.DUMMYFUNCTION("""COMPUTED_VALUE"""),"")</f>
        <v/>
      </c>
      <c r="U440" s="5" t="s">
        <v>355</v>
      </c>
      <c r="V440" s="5" t="s">
        <v>355</v>
      </c>
      <c r="W440" s="5" t="s">
        <v>355</v>
      </c>
      <c r="X440" s="5" t="str">
        <f>IFERROR(__xludf.DUMMYFUNCTION("""COMPUTED_VALUE"""),"")</f>
        <v/>
      </c>
      <c r="Y440" s="5" t="s">
        <v>355</v>
      </c>
      <c r="Z440" s="5" t="s">
        <v>355</v>
      </c>
      <c r="AB440" s="5" t="s">
        <v>355</v>
      </c>
      <c r="AE440" s="5" t="s">
        <v>355</v>
      </c>
      <c r="AH440" s="5" t="s">
        <v>355</v>
      </c>
    </row>
    <row r="441">
      <c r="S441" s="5" t="s">
        <v>355</v>
      </c>
      <c r="T441" s="5" t="str">
        <f>IFERROR(__xludf.DUMMYFUNCTION("""COMPUTED_VALUE"""),"")</f>
        <v/>
      </c>
      <c r="U441" s="5" t="s">
        <v>355</v>
      </c>
      <c r="V441" s="5" t="s">
        <v>355</v>
      </c>
      <c r="W441" s="5" t="s">
        <v>355</v>
      </c>
      <c r="X441" s="5" t="str">
        <f>IFERROR(__xludf.DUMMYFUNCTION("""COMPUTED_VALUE"""),"")</f>
        <v/>
      </c>
      <c r="Y441" s="5" t="s">
        <v>355</v>
      </c>
      <c r="Z441" s="5" t="s">
        <v>355</v>
      </c>
      <c r="AB441" s="5" t="s">
        <v>355</v>
      </c>
      <c r="AE441" s="5" t="s">
        <v>355</v>
      </c>
      <c r="AH441" s="5" t="s">
        <v>355</v>
      </c>
    </row>
    <row r="442">
      <c r="S442" s="5" t="s">
        <v>355</v>
      </c>
      <c r="T442" s="5" t="str">
        <f>IFERROR(__xludf.DUMMYFUNCTION("""COMPUTED_VALUE"""),"")</f>
        <v/>
      </c>
      <c r="U442" s="5" t="s">
        <v>355</v>
      </c>
      <c r="V442" s="5" t="s">
        <v>355</v>
      </c>
      <c r="W442" s="5" t="s">
        <v>355</v>
      </c>
      <c r="X442" s="5" t="str">
        <f>IFERROR(__xludf.DUMMYFUNCTION("""COMPUTED_VALUE"""),"")</f>
        <v/>
      </c>
      <c r="Y442" s="5" t="s">
        <v>355</v>
      </c>
      <c r="Z442" s="5" t="s">
        <v>355</v>
      </c>
      <c r="AB442" s="5" t="s">
        <v>355</v>
      </c>
      <c r="AE442" s="5" t="s">
        <v>355</v>
      </c>
      <c r="AH442" s="5" t="s">
        <v>355</v>
      </c>
    </row>
    <row r="443">
      <c r="S443" s="5" t="s">
        <v>355</v>
      </c>
      <c r="T443" s="5" t="str">
        <f>IFERROR(__xludf.DUMMYFUNCTION("""COMPUTED_VALUE"""),"")</f>
        <v/>
      </c>
      <c r="U443" s="5" t="s">
        <v>355</v>
      </c>
      <c r="V443" s="5" t="s">
        <v>355</v>
      </c>
      <c r="W443" s="5" t="s">
        <v>355</v>
      </c>
      <c r="X443" s="5" t="str">
        <f>IFERROR(__xludf.DUMMYFUNCTION("""COMPUTED_VALUE"""),"")</f>
        <v/>
      </c>
      <c r="Y443" s="5" t="s">
        <v>355</v>
      </c>
      <c r="Z443" s="5" t="s">
        <v>355</v>
      </c>
      <c r="AB443" s="5" t="s">
        <v>355</v>
      </c>
      <c r="AE443" s="5" t="s">
        <v>355</v>
      </c>
      <c r="AH443" s="5" t="s">
        <v>355</v>
      </c>
    </row>
    <row r="444">
      <c r="S444" s="5" t="s">
        <v>355</v>
      </c>
      <c r="T444" s="5" t="str">
        <f>IFERROR(__xludf.DUMMYFUNCTION("""COMPUTED_VALUE"""),"")</f>
        <v/>
      </c>
      <c r="U444" s="5" t="s">
        <v>355</v>
      </c>
      <c r="V444" s="5" t="s">
        <v>355</v>
      </c>
      <c r="W444" s="5" t="s">
        <v>355</v>
      </c>
      <c r="X444" s="5" t="str">
        <f>IFERROR(__xludf.DUMMYFUNCTION("""COMPUTED_VALUE"""),"")</f>
        <v/>
      </c>
      <c r="Y444" s="5" t="s">
        <v>355</v>
      </c>
      <c r="Z444" s="5" t="s">
        <v>355</v>
      </c>
      <c r="AB444" s="5" t="s">
        <v>355</v>
      </c>
      <c r="AE444" s="5" t="s">
        <v>355</v>
      </c>
      <c r="AH444" s="5" t="s">
        <v>355</v>
      </c>
    </row>
    <row r="445">
      <c r="S445" s="5" t="s">
        <v>355</v>
      </c>
      <c r="T445" s="5" t="str">
        <f>IFERROR(__xludf.DUMMYFUNCTION("""COMPUTED_VALUE"""),"")</f>
        <v/>
      </c>
      <c r="U445" s="5" t="s">
        <v>355</v>
      </c>
      <c r="V445" s="5" t="s">
        <v>355</v>
      </c>
      <c r="W445" s="5" t="s">
        <v>355</v>
      </c>
      <c r="X445" s="5" t="str">
        <f>IFERROR(__xludf.DUMMYFUNCTION("""COMPUTED_VALUE"""),"")</f>
        <v/>
      </c>
      <c r="Y445" s="5" t="s">
        <v>355</v>
      </c>
      <c r="Z445" s="5" t="s">
        <v>355</v>
      </c>
      <c r="AB445" s="5" t="s">
        <v>355</v>
      </c>
      <c r="AE445" s="5" t="s">
        <v>355</v>
      </c>
      <c r="AH445" s="5" t="s">
        <v>355</v>
      </c>
    </row>
    <row r="446">
      <c r="S446" s="5" t="s">
        <v>355</v>
      </c>
      <c r="T446" s="5" t="str">
        <f>IFERROR(__xludf.DUMMYFUNCTION("""COMPUTED_VALUE"""),"")</f>
        <v/>
      </c>
      <c r="U446" s="5" t="s">
        <v>355</v>
      </c>
      <c r="V446" s="5" t="s">
        <v>355</v>
      </c>
      <c r="W446" s="5" t="s">
        <v>355</v>
      </c>
      <c r="X446" s="5" t="str">
        <f>IFERROR(__xludf.DUMMYFUNCTION("""COMPUTED_VALUE"""),"")</f>
        <v/>
      </c>
      <c r="Y446" s="5" t="s">
        <v>355</v>
      </c>
      <c r="Z446" s="5" t="s">
        <v>355</v>
      </c>
      <c r="AB446" s="5" t="s">
        <v>355</v>
      </c>
      <c r="AE446" s="5" t="s">
        <v>355</v>
      </c>
      <c r="AH446" s="5" t="s">
        <v>355</v>
      </c>
    </row>
    <row r="447">
      <c r="S447" s="5" t="s">
        <v>355</v>
      </c>
      <c r="T447" s="5" t="str">
        <f>IFERROR(__xludf.DUMMYFUNCTION("""COMPUTED_VALUE"""),"")</f>
        <v/>
      </c>
      <c r="U447" s="5" t="s">
        <v>355</v>
      </c>
      <c r="V447" s="5" t="s">
        <v>355</v>
      </c>
      <c r="W447" s="5" t="s">
        <v>355</v>
      </c>
      <c r="X447" s="5" t="str">
        <f>IFERROR(__xludf.DUMMYFUNCTION("""COMPUTED_VALUE"""),"")</f>
        <v/>
      </c>
      <c r="Y447" s="5" t="s">
        <v>355</v>
      </c>
      <c r="Z447" s="5" t="s">
        <v>355</v>
      </c>
      <c r="AB447" s="5" t="s">
        <v>355</v>
      </c>
      <c r="AE447" s="5" t="s">
        <v>355</v>
      </c>
      <c r="AH447" s="5" t="s">
        <v>355</v>
      </c>
    </row>
    <row r="448">
      <c r="S448" s="5" t="s">
        <v>355</v>
      </c>
      <c r="T448" s="5" t="str">
        <f>IFERROR(__xludf.DUMMYFUNCTION("""COMPUTED_VALUE"""),"")</f>
        <v/>
      </c>
      <c r="U448" s="5" t="s">
        <v>355</v>
      </c>
      <c r="V448" s="5" t="s">
        <v>355</v>
      </c>
      <c r="W448" s="5" t="s">
        <v>355</v>
      </c>
      <c r="X448" s="5" t="str">
        <f>IFERROR(__xludf.DUMMYFUNCTION("""COMPUTED_VALUE"""),"")</f>
        <v/>
      </c>
      <c r="Y448" s="5" t="s">
        <v>355</v>
      </c>
      <c r="Z448" s="5" t="s">
        <v>355</v>
      </c>
      <c r="AB448" s="5" t="s">
        <v>355</v>
      </c>
      <c r="AE448" s="5" t="s">
        <v>355</v>
      </c>
      <c r="AH448" s="5" t="s">
        <v>355</v>
      </c>
    </row>
    <row r="449">
      <c r="S449" s="5" t="s">
        <v>355</v>
      </c>
      <c r="T449" s="5" t="str">
        <f>IFERROR(__xludf.DUMMYFUNCTION("""COMPUTED_VALUE"""),"")</f>
        <v/>
      </c>
      <c r="U449" s="5" t="s">
        <v>355</v>
      </c>
      <c r="V449" s="5" t="s">
        <v>355</v>
      </c>
      <c r="W449" s="5" t="s">
        <v>355</v>
      </c>
      <c r="X449" s="5" t="str">
        <f>IFERROR(__xludf.DUMMYFUNCTION("""COMPUTED_VALUE"""),"")</f>
        <v/>
      </c>
      <c r="Y449" s="5" t="s">
        <v>355</v>
      </c>
      <c r="Z449" s="5" t="s">
        <v>355</v>
      </c>
      <c r="AB449" s="5" t="s">
        <v>355</v>
      </c>
      <c r="AE449" s="5" t="s">
        <v>355</v>
      </c>
      <c r="AH449" s="5" t="s">
        <v>355</v>
      </c>
    </row>
    <row r="450">
      <c r="S450" s="5" t="s">
        <v>355</v>
      </c>
      <c r="T450" s="5" t="str">
        <f>IFERROR(__xludf.DUMMYFUNCTION("""COMPUTED_VALUE"""),"")</f>
        <v/>
      </c>
      <c r="U450" s="5" t="s">
        <v>355</v>
      </c>
      <c r="V450" s="5" t="s">
        <v>355</v>
      </c>
      <c r="W450" s="5" t="s">
        <v>355</v>
      </c>
      <c r="X450" s="5" t="str">
        <f>IFERROR(__xludf.DUMMYFUNCTION("""COMPUTED_VALUE"""),"")</f>
        <v/>
      </c>
      <c r="Y450" s="5" t="s">
        <v>355</v>
      </c>
      <c r="Z450" s="5" t="s">
        <v>355</v>
      </c>
      <c r="AB450" s="5" t="s">
        <v>355</v>
      </c>
      <c r="AE450" s="5" t="s">
        <v>355</v>
      </c>
      <c r="AH450" s="5" t="s">
        <v>355</v>
      </c>
    </row>
    <row r="451">
      <c r="S451" s="5" t="s">
        <v>355</v>
      </c>
      <c r="T451" s="5" t="str">
        <f>IFERROR(__xludf.DUMMYFUNCTION("""COMPUTED_VALUE"""),"")</f>
        <v/>
      </c>
      <c r="U451" s="5" t="s">
        <v>355</v>
      </c>
      <c r="V451" s="5" t="s">
        <v>355</v>
      </c>
      <c r="W451" s="5" t="s">
        <v>355</v>
      </c>
      <c r="X451" s="5" t="str">
        <f>IFERROR(__xludf.DUMMYFUNCTION("""COMPUTED_VALUE"""),"")</f>
        <v/>
      </c>
      <c r="Y451" s="5" t="s">
        <v>355</v>
      </c>
      <c r="Z451" s="5" t="s">
        <v>355</v>
      </c>
      <c r="AB451" s="5" t="s">
        <v>355</v>
      </c>
      <c r="AE451" s="5" t="s">
        <v>355</v>
      </c>
      <c r="AH451" s="5" t="s">
        <v>355</v>
      </c>
    </row>
    <row r="452">
      <c r="S452" s="5" t="s">
        <v>355</v>
      </c>
      <c r="T452" s="5" t="str">
        <f>IFERROR(__xludf.DUMMYFUNCTION("""COMPUTED_VALUE"""),"")</f>
        <v/>
      </c>
      <c r="U452" s="5" t="s">
        <v>355</v>
      </c>
      <c r="V452" s="5" t="s">
        <v>355</v>
      </c>
      <c r="W452" s="5" t="s">
        <v>355</v>
      </c>
      <c r="X452" s="5" t="str">
        <f>IFERROR(__xludf.DUMMYFUNCTION("""COMPUTED_VALUE"""),"")</f>
        <v/>
      </c>
      <c r="Y452" s="5" t="s">
        <v>355</v>
      </c>
      <c r="Z452" s="5" t="s">
        <v>355</v>
      </c>
      <c r="AB452" s="5" t="s">
        <v>355</v>
      </c>
      <c r="AE452" s="5" t="s">
        <v>355</v>
      </c>
      <c r="AH452" s="5" t="s">
        <v>355</v>
      </c>
    </row>
    <row r="453">
      <c r="S453" s="5" t="s">
        <v>355</v>
      </c>
      <c r="T453" s="5" t="str">
        <f>IFERROR(__xludf.DUMMYFUNCTION("""COMPUTED_VALUE"""),"")</f>
        <v/>
      </c>
      <c r="U453" s="5" t="s">
        <v>355</v>
      </c>
      <c r="V453" s="5" t="s">
        <v>355</v>
      </c>
      <c r="W453" s="5" t="s">
        <v>355</v>
      </c>
      <c r="X453" s="5" t="str">
        <f>IFERROR(__xludf.DUMMYFUNCTION("""COMPUTED_VALUE"""),"")</f>
        <v/>
      </c>
      <c r="Y453" s="5" t="s">
        <v>355</v>
      </c>
      <c r="Z453" s="5" t="s">
        <v>355</v>
      </c>
      <c r="AB453" s="5" t="s">
        <v>355</v>
      </c>
      <c r="AE453" s="5" t="s">
        <v>355</v>
      </c>
      <c r="AH453" s="5" t="s">
        <v>355</v>
      </c>
    </row>
    <row r="454">
      <c r="S454" s="5" t="s">
        <v>355</v>
      </c>
      <c r="T454" s="5" t="str">
        <f>IFERROR(__xludf.DUMMYFUNCTION("""COMPUTED_VALUE"""),"")</f>
        <v/>
      </c>
      <c r="U454" s="5" t="s">
        <v>355</v>
      </c>
      <c r="V454" s="5" t="s">
        <v>355</v>
      </c>
      <c r="W454" s="5" t="s">
        <v>355</v>
      </c>
      <c r="X454" s="5" t="str">
        <f>IFERROR(__xludf.DUMMYFUNCTION("""COMPUTED_VALUE"""),"")</f>
        <v/>
      </c>
      <c r="Y454" s="5" t="s">
        <v>355</v>
      </c>
      <c r="Z454" s="5" t="s">
        <v>355</v>
      </c>
      <c r="AB454" s="5" t="s">
        <v>355</v>
      </c>
      <c r="AE454" s="5" t="s">
        <v>355</v>
      </c>
      <c r="AH454" s="5" t="s">
        <v>355</v>
      </c>
    </row>
    <row r="455">
      <c r="S455" s="5" t="s">
        <v>355</v>
      </c>
      <c r="T455" s="5" t="str">
        <f>IFERROR(__xludf.DUMMYFUNCTION("""COMPUTED_VALUE"""),"")</f>
        <v/>
      </c>
      <c r="U455" s="5" t="s">
        <v>355</v>
      </c>
      <c r="V455" s="5" t="s">
        <v>355</v>
      </c>
      <c r="W455" s="5" t="s">
        <v>355</v>
      </c>
      <c r="X455" s="5" t="str">
        <f>IFERROR(__xludf.DUMMYFUNCTION("""COMPUTED_VALUE"""),"")</f>
        <v/>
      </c>
      <c r="Y455" s="5" t="s">
        <v>355</v>
      </c>
      <c r="Z455" s="5" t="s">
        <v>355</v>
      </c>
      <c r="AB455" s="5" t="s">
        <v>355</v>
      </c>
      <c r="AE455" s="5" t="s">
        <v>355</v>
      </c>
      <c r="AH455" s="5" t="s">
        <v>355</v>
      </c>
    </row>
    <row r="456">
      <c r="S456" s="5" t="s">
        <v>355</v>
      </c>
      <c r="T456" s="5" t="str">
        <f>IFERROR(__xludf.DUMMYFUNCTION("""COMPUTED_VALUE"""),"")</f>
        <v/>
      </c>
      <c r="U456" s="5" t="s">
        <v>355</v>
      </c>
      <c r="V456" s="5" t="s">
        <v>355</v>
      </c>
      <c r="W456" s="5" t="s">
        <v>355</v>
      </c>
      <c r="X456" s="5" t="str">
        <f>IFERROR(__xludf.DUMMYFUNCTION("""COMPUTED_VALUE"""),"")</f>
        <v/>
      </c>
      <c r="Y456" s="5" t="s">
        <v>355</v>
      </c>
      <c r="Z456" s="5" t="s">
        <v>355</v>
      </c>
      <c r="AB456" s="5" t="s">
        <v>355</v>
      </c>
      <c r="AE456" s="5" t="s">
        <v>355</v>
      </c>
      <c r="AH456" s="5" t="s">
        <v>355</v>
      </c>
    </row>
    <row r="457">
      <c r="S457" s="5" t="s">
        <v>355</v>
      </c>
      <c r="T457" s="5" t="str">
        <f>IFERROR(__xludf.DUMMYFUNCTION("""COMPUTED_VALUE"""),"")</f>
        <v/>
      </c>
      <c r="U457" s="5" t="s">
        <v>355</v>
      </c>
      <c r="V457" s="5" t="s">
        <v>355</v>
      </c>
      <c r="W457" s="5" t="s">
        <v>355</v>
      </c>
      <c r="X457" s="5" t="str">
        <f>IFERROR(__xludf.DUMMYFUNCTION("""COMPUTED_VALUE"""),"")</f>
        <v/>
      </c>
      <c r="Y457" s="5" t="s">
        <v>355</v>
      </c>
      <c r="Z457" s="5" t="s">
        <v>355</v>
      </c>
      <c r="AB457" s="5" t="s">
        <v>355</v>
      </c>
      <c r="AE457" s="5" t="s">
        <v>355</v>
      </c>
      <c r="AH457" s="5" t="s">
        <v>355</v>
      </c>
    </row>
    <row r="458">
      <c r="S458" s="5" t="s">
        <v>355</v>
      </c>
      <c r="T458" s="5" t="str">
        <f>IFERROR(__xludf.DUMMYFUNCTION("""COMPUTED_VALUE"""),"")</f>
        <v/>
      </c>
      <c r="U458" s="5" t="s">
        <v>355</v>
      </c>
      <c r="V458" s="5" t="s">
        <v>355</v>
      </c>
      <c r="W458" s="5" t="s">
        <v>355</v>
      </c>
      <c r="X458" s="5" t="str">
        <f>IFERROR(__xludf.DUMMYFUNCTION("""COMPUTED_VALUE"""),"")</f>
        <v/>
      </c>
      <c r="Y458" s="5" t="s">
        <v>355</v>
      </c>
      <c r="Z458" s="5" t="s">
        <v>355</v>
      </c>
      <c r="AB458" s="5" t="s">
        <v>355</v>
      </c>
      <c r="AE458" s="5" t="s">
        <v>355</v>
      </c>
      <c r="AH458" s="5" t="s">
        <v>355</v>
      </c>
    </row>
    <row r="459">
      <c r="S459" s="5" t="s">
        <v>355</v>
      </c>
      <c r="T459" s="5" t="str">
        <f>IFERROR(__xludf.DUMMYFUNCTION("""COMPUTED_VALUE"""),"")</f>
        <v/>
      </c>
      <c r="U459" s="5" t="s">
        <v>355</v>
      </c>
      <c r="V459" s="5" t="s">
        <v>355</v>
      </c>
      <c r="W459" s="5" t="s">
        <v>355</v>
      </c>
      <c r="X459" s="5" t="str">
        <f>IFERROR(__xludf.DUMMYFUNCTION("""COMPUTED_VALUE"""),"")</f>
        <v/>
      </c>
      <c r="Y459" s="5" t="s">
        <v>355</v>
      </c>
      <c r="Z459" s="5" t="s">
        <v>355</v>
      </c>
      <c r="AB459" s="5" t="s">
        <v>355</v>
      </c>
      <c r="AE459" s="5" t="s">
        <v>355</v>
      </c>
      <c r="AH459" s="5" t="s">
        <v>355</v>
      </c>
    </row>
    <row r="460">
      <c r="S460" s="5" t="s">
        <v>355</v>
      </c>
      <c r="T460" s="5" t="str">
        <f>IFERROR(__xludf.DUMMYFUNCTION("""COMPUTED_VALUE"""),"")</f>
        <v/>
      </c>
      <c r="U460" s="5" t="s">
        <v>355</v>
      </c>
      <c r="V460" s="5" t="s">
        <v>355</v>
      </c>
      <c r="W460" s="5" t="s">
        <v>355</v>
      </c>
      <c r="X460" s="5" t="str">
        <f>IFERROR(__xludf.DUMMYFUNCTION("""COMPUTED_VALUE"""),"")</f>
        <v/>
      </c>
      <c r="Y460" s="5" t="s">
        <v>355</v>
      </c>
      <c r="Z460" s="5" t="s">
        <v>355</v>
      </c>
      <c r="AB460" s="5" t="s">
        <v>355</v>
      </c>
      <c r="AE460" s="5" t="s">
        <v>355</v>
      </c>
      <c r="AH460" s="5" t="s">
        <v>355</v>
      </c>
    </row>
    <row r="461">
      <c r="S461" s="5" t="s">
        <v>355</v>
      </c>
      <c r="T461" s="5" t="str">
        <f>IFERROR(__xludf.DUMMYFUNCTION("""COMPUTED_VALUE"""),"")</f>
        <v/>
      </c>
      <c r="U461" s="5" t="s">
        <v>355</v>
      </c>
      <c r="V461" s="5" t="s">
        <v>355</v>
      </c>
      <c r="W461" s="5" t="s">
        <v>355</v>
      </c>
      <c r="X461" s="5" t="str">
        <f>IFERROR(__xludf.DUMMYFUNCTION("""COMPUTED_VALUE"""),"")</f>
        <v/>
      </c>
      <c r="Y461" s="5" t="s">
        <v>355</v>
      </c>
      <c r="Z461" s="5" t="s">
        <v>355</v>
      </c>
      <c r="AB461" s="5" t="s">
        <v>355</v>
      </c>
      <c r="AE461" s="5" t="s">
        <v>355</v>
      </c>
      <c r="AH461" s="5" t="s">
        <v>355</v>
      </c>
    </row>
    <row r="462">
      <c r="S462" s="5" t="s">
        <v>355</v>
      </c>
      <c r="T462" s="5" t="str">
        <f>IFERROR(__xludf.DUMMYFUNCTION("""COMPUTED_VALUE"""),"")</f>
        <v/>
      </c>
      <c r="U462" s="5" t="s">
        <v>355</v>
      </c>
      <c r="V462" s="5" t="s">
        <v>355</v>
      </c>
      <c r="W462" s="5" t="s">
        <v>355</v>
      </c>
      <c r="X462" s="5" t="str">
        <f>IFERROR(__xludf.DUMMYFUNCTION("""COMPUTED_VALUE"""),"")</f>
        <v/>
      </c>
      <c r="Y462" s="5" t="s">
        <v>355</v>
      </c>
      <c r="Z462" s="5" t="s">
        <v>355</v>
      </c>
      <c r="AB462" s="5" t="s">
        <v>355</v>
      </c>
      <c r="AE462" s="5" t="s">
        <v>355</v>
      </c>
      <c r="AH462" s="5" t="s">
        <v>355</v>
      </c>
    </row>
    <row r="463">
      <c r="S463" s="5" t="s">
        <v>355</v>
      </c>
      <c r="T463" s="5" t="str">
        <f>IFERROR(__xludf.DUMMYFUNCTION("""COMPUTED_VALUE"""),"")</f>
        <v/>
      </c>
      <c r="U463" s="5" t="s">
        <v>355</v>
      </c>
      <c r="V463" s="5" t="s">
        <v>355</v>
      </c>
      <c r="W463" s="5" t="s">
        <v>355</v>
      </c>
      <c r="X463" s="5" t="str">
        <f>IFERROR(__xludf.DUMMYFUNCTION("""COMPUTED_VALUE"""),"")</f>
        <v/>
      </c>
      <c r="Y463" s="5" t="s">
        <v>355</v>
      </c>
      <c r="Z463" s="5" t="s">
        <v>355</v>
      </c>
      <c r="AB463" s="5" t="s">
        <v>355</v>
      </c>
      <c r="AE463" s="5" t="s">
        <v>355</v>
      </c>
      <c r="AH463" s="5" t="s">
        <v>355</v>
      </c>
    </row>
    <row r="464">
      <c r="S464" s="5" t="s">
        <v>355</v>
      </c>
      <c r="T464" s="5" t="str">
        <f>IFERROR(__xludf.DUMMYFUNCTION("""COMPUTED_VALUE"""),"")</f>
        <v/>
      </c>
      <c r="U464" s="5" t="s">
        <v>355</v>
      </c>
      <c r="V464" s="5" t="s">
        <v>355</v>
      </c>
      <c r="W464" s="5" t="s">
        <v>355</v>
      </c>
      <c r="X464" s="5" t="str">
        <f>IFERROR(__xludf.DUMMYFUNCTION("""COMPUTED_VALUE"""),"")</f>
        <v/>
      </c>
      <c r="Y464" s="5" t="s">
        <v>355</v>
      </c>
      <c r="Z464" s="5" t="s">
        <v>355</v>
      </c>
      <c r="AB464" s="5" t="s">
        <v>355</v>
      </c>
      <c r="AE464" s="5" t="s">
        <v>355</v>
      </c>
      <c r="AH464" s="5" t="s">
        <v>355</v>
      </c>
    </row>
    <row r="465">
      <c r="S465" s="5" t="s">
        <v>355</v>
      </c>
      <c r="T465" s="5" t="str">
        <f>IFERROR(__xludf.DUMMYFUNCTION("""COMPUTED_VALUE"""),"")</f>
        <v/>
      </c>
      <c r="U465" s="5" t="s">
        <v>355</v>
      </c>
      <c r="V465" s="5" t="s">
        <v>355</v>
      </c>
      <c r="W465" s="5" t="s">
        <v>355</v>
      </c>
      <c r="X465" s="5" t="str">
        <f>IFERROR(__xludf.DUMMYFUNCTION("""COMPUTED_VALUE"""),"")</f>
        <v/>
      </c>
      <c r="Y465" s="5" t="s">
        <v>355</v>
      </c>
      <c r="Z465" s="5" t="s">
        <v>355</v>
      </c>
      <c r="AB465" s="5" t="s">
        <v>355</v>
      </c>
      <c r="AE465" s="5" t="s">
        <v>355</v>
      </c>
      <c r="AH465" s="5" t="s">
        <v>355</v>
      </c>
    </row>
    <row r="466">
      <c r="S466" s="5" t="s">
        <v>355</v>
      </c>
      <c r="T466" s="5" t="str">
        <f>IFERROR(__xludf.DUMMYFUNCTION("""COMPUTED_VALUE"""),"")</f>
        <v/>
      </c>
      <c r="U466" s="5" t="s">
        <v>355</v>
      </c>
      <c r="V466" s="5" t="s">
        <v>355</v>
      </c>
      <c r="W466" s="5" t="s">
        <v>355</v>
      </c>
      <c r="X466" s="5" t="str">
        <f>IFERROR(__xludf.DUMMYFUNCTION("""COMPUTED_VALUE"""),"")</f>
        <v/>
      </c>
      <c r="Y466" s="5" t="s">
        <v>355</v>
      </c>
      <c r="Z466" s="5" t="s">
        <v>355</v>
      </c>
      <c r="AB466" s="5" t="s">
        <v>355</v>
      </c>
      <c r="AE466" s="5" t="s">
        <v>355</v>
      </c>
      <c r="AH466" s="5" t="s">
        <v>355</v>
      </c>
    </row>
    <row r="467">
      <c r="S467" s="5" t="s">
        <v>355</v>
      </c>
      <c r="T467" s="5" t="str">
        <f>IFERROR(__xludf.DUMMYFUNCTION("""COMPUTED_VALUE"""),"")</f>
        <v/>
      </c>
      <c r="U467" s="5" t="s">
        <v>355</v>
      </c>
      <c r="V467" s="5" t="s">
        <v>355</v>
      </c>
      <c r="W467" s="5" t="s">
        <v>355</v>
      </c>
      <c r="X467" s="5" t="str">
        <f>IFERROR(__xludf.DUMMYFUNCTION("""COMPUTED_VALUE"""),"")</f>
        <v/>
      </c>
      <c r="Y467" s="5" t="s">
        <v>355</v>
      </c>
      <c r="Z467" s="5" t="s">
        <v>355</v>
      </c>
      <c r="AB467" s="5" t="s">
        <v>355</v>
      </c>
      <c r="AE467" s="5" t="s">
        <v>355</v>
      </c>
      <c r="AH467" s="5" t="s">
        <v>355</v>
      </c>
    </row>
    <row r="468">
      <c r="S468" s="5" t="s">
        <v>355</v>
      </c>
      <c r="T468" s="5" t="str">
        <f>IFERROR(__xludf.DUMMYFUNCTION("""COMPUTED_VALUE"""),"")</f>
        <v/>
      </c>
      <c r="U468" s="5" t="s">
        <v>355</v>
      </c>
      <c r="V468" s="5" t="s">
        <v>355</v>
      </c>
      <c r="W468" s="5" t="s">
        <v>355</v>
      </c>
      <c r="X468" s="5" t="str">
        <f>IFERROR(__xludf.DUMMYFUNCTION("""COMPUTED_VALUE"""),"")</f>
        <v/>
      </c>
      <c r="Y468" s="5" t="s">
        <v>355</v>
      </c>
      <c r="Z468" s="5" t="s">
        <v>355</v>
      </c>
      <c r="AB468" s="5" t="s">
        <v>355</v>
      </c>
      <c r="AE468" s="5" t="s">
        <v>355</v>
      </c>
      <c r="AH468" s="5" t="s">
        <v>355</v>
      </c>
    </row>
    <row r="469">
      <c r="S469" s="5" t="s">
        <v>355</v>
      </c>
      <c r="T469" s="5" t="str">
        <f>IFERROR(__xludf.DUMMYFUNCTION("""COMPUTED_VALUE"""),"")</f>
        <v/>
      </c>
      <c r="U469" s="5" t="s">
        <v>355</v>
      </c>
      <c r="V469" s="5" t="s">
        <v>355</v>
      </c>
      <c r="W469" s="5" t="s">
        <v>355</v>
      </c>
      <c r="X469" s="5" t="str">
        <f>IFERROR(__xludf.DUMMYFUNCTION("""COMPUTED_VALUE"""),"")</f>
        <v/>
      </c>
      <c r="Y469" s="5" t="s">
        <v>355</v>
      </c>
      <c r="Z469" s="5" t="s">
        <v>355</v>
      </c>
      <c r="AB469" s="5" t="s">
        <v>355</v>
      </c>
      <c r="AE469" s="5" t="s">
        <v>355</v>
      </c>
      <c r="AH469" s="5" t="s">
        <v>355</v>
      </c>
    </row>
    <row r="470">
      <c r="S470" s="5" t="s">
        <v>355</v>
      </c>
      <c r="T470" s="5" t="str">
        <f>IFERROR(__xludf.DUMMYFUNCTION("""COMPUTED_VALUE"""),"")</f>
        <v/>
      </c>
      <c r="U470" s="5" t="s">
        <v>355</v>
      </c>
      <c r="V470" s="5" t="s">
        <v>355</v>
      </c>
      <c r="W470" s="5" t="s">
        <v>355</v>
      </c>
      <c r="X470" s="5" t="str">
        <f>IFERROR(__xludf.DUMMYFUNCTION("""COMPUTED_VALUE"""),"")</f>
        <v/>
      </c>
      <c r="Y470" s="5" t="s">
        <v>355</v>
      </c>
      <c r="Z470" s="5" t="s">
        <v>355</v>
      </c>
      <c r="AB470" s="5" t="s">
        <v>355</v>
      </c>
      <c r="AE470" s="5" t="s">
        <v>355</v>
      </c>
      <c r="AH470" s="5" t="s">
        <v>355</v>
      </c>
    </row>
    <row r="471">
      <c r="S471" s="5" t="s">
        <v>355</v>
      </c>
      <c r="T471" s="5" t="str">
        <f>IFERROR(__xludf.DUMMYFUNCTION("""COMPUTED_VALUE"""),"")</f>
        <v/>
      </c>
      <c r="U471" s="5" t="s">
        <v>355</v>
      </c>
      <c r="V471" s="5" t="s">
        <v>355</v>
      </c>
      <c r="W471" s="5" t="s">
        <v>355</v>
      </c>
      <c r="X471" s="5" t="str">
        <f>IFERROR(__xludf.DUMMYFUNCTION("""COMPUTED_VALUE"""),"")</f>
        <v/>
      </c>
      <c r="Y471" s="5" t="s">
        <v>355</v>
      </c>
      <c r="Z471" s="5" t="s">
        <v>355</v>
      </c>
      <c r="AB471" s="5" t="s">
        <v>355</v>
      </c>
      <c r="AE471" s="5" t="s">
        <v>355</v>
      </c>
      <c r="AH471" s="5" t="s">
        <v>355</v>
      </c>
    </row>
    <row r="472">
      <c r="S472" s="5" t="s">
        <v>355</v>
      </c>
      <c r="T472" s="5" t="str">
        <f>IFERROR(__xludf.DUMMYFUNCTION("""COMPUTED_VALUE"""),"")</f>
        <v/>
      </c>
      <c r="U472" s="5" t="s">
        <v>355</v>
      </c>
      <c r="V472" s="5" t="s">
        <v>355</v>
      </c>
      <c r="W472" s="5" t="s">
        <v>355</v>
      </c>
      <c r="X472" s="5" t="str">
        <f>IFERROR(__xludf.DUMMYFUNCTION("""COMPUTED_VALUE"""),"")</f>
        <v/>
      </c>
      <c r="Y472" s="5" t="s">
        <v>355</v>
      </c>
      <c r="Z472" s="5" t="s">
        <v>355</v>
      </c>
      <c r="AB472" s="5" t="s">
        <v>355</v>
      </c>
      <c r="AE472" s="5" t="s">
        <v>355</v>
      </c>
      <c r="AH472" s="5" t="s">
        <v>355</v>
      </c>
    </row>
    <row r="473">
      <c r="S473" s="5" t="s">
        <v>355</v>
      </c>
      <c r="T473" s="5" t="str">
        <f>IFERROR(__xludf.DUMMYFUNCTION("""COMPUTED_VALUE"""),"")</f>
        <v/>
      </c>
      <c r="U473" s="5" t="s">
        <v>355</v>
      </c>
      <c r="V473" s="5" t="s">
        <v>355</v>
      </c>
      <c r="W473" s="5" t="s">
        <v>355</v>
      </c>
      <c r="X473" s="5" t="str">
        <f>IFERROR(__xludf.DUMMYFUNCTION("""COMPUTED_VALUE"""),"")</f>
        <v/>
      </c>
      <c r="Y473" s="5" t="s">
        <v>355</v>
      </c>
      <c r="Z473" s="5" t="s">
        <v>355</v>
      </c>
      <c r="AB473" s="5" t="s">
        <v>355</v>
      </c>
      <c r="AE473" s="5" t="s">
        <v>355</v>
      </c>
      <c r="AH473" s="5" t="s">
        <v>355</v>
      </c>
    </row>
    <row r="474">
      <c r="S474" s="5" t="s">
        <v>355</v>
      </c>
      <c r="T474" s="5" t="str">
        <f>IFERROR(__xludf.DUMMYFUNCTION("""COMPUTED_VALUE"""),"")</f>
        <v/>
      </c>
      <c r="U474" s="5" t="s">
        <v>355</v>
      </c>
      <c r="V474" s="5" t="s">
        <v>355</v>
      </c>
      <c r="W474" s="5" t="s">
        <v>355</v>
      </c>
      <c r="X474" s="5" t="str">
        <f>IFERROR(__xludf.DUMMYFUNCTION("""COMPUTED_VALUE"""),"")</f>
        <v/>
      </c>
      <c r="Y474" s="5" t="s">
        <v>355</v>
      </c>
      <c r="Z474" s="5" t="s">
        <v>355</v>
      </c>
      <c r="AB474" s="5" t="s">
        <v>355</v>
      </c>
      <c r="AE474" s="5" t="s">
        <v>355</v>
      </c>
      <c r="AH474" s="5" t="s">
        <v>355</v>
      </c>
    </row>
    <row r="475">
      <c r="S475" s="5" t="s">
        <v>355</v>
      </c>
      <c r="T475" s="5" t="str">
        <f>IFERROR(__xludf.DUMMYFUNCTION("""COMPUTED_VALUE"""),"")</f>
        <v/>
      </c>
      <c r="U475" s="5" t="s">
        <v>355</v>
      </c>
      <c r="V475" s="5" t="s">
        <v>355</v>
      </c>
      <c r="W475" s="5" t="s">
        <v>355</v>
      </c>
      <c r="X475" s="5" t="str">
        <f>IFERROR(__xludf.DUMMYFUNCTION("""COMPUTED_VALUE"""),"")</f>
        <v/>
      </c>
      <c r="Y475" s="5" t="s">
        <v>355</v>
      </c>
      <c r="Z475" s="5" t="s">
        <v>355</v>
      </c>
      <c r="AB475" s="5" t="s">
        <v>355</v>
      </c>
      <c r="AE475" s="5" t="s">
        <v>355</v>
      </c>
      <c r="AH475" s="5" t="s">
        <v>355</v>
      </c>
    </row>
    <row r="476">
      <c r="S476" s="5" t="s">
        <v>355</v>
      </c>
      <c r="T476" s="5" t="str">
        <f>IFERROR(__xludf.DUMMYFUNCTION("""COMPUTED_VALUE"""),"")</f>
        <v/>
      </c>
      <c r="U476" s="5" t="s">
        <v>355</v>
      </c>
      <c r="V476" s="5" t="s">
        <v>355</v>
      </c>
      <c r="W476" s="5" t="s">
        <v>355</v>
      </c>
      <c r="X476" s="5" t="str">
        <f>IFERROR(__xludf.DUMMYFUNCTION("""COMPUTED_VALUE"""),"")</f>
        <v/>
      </c>
      <c r="Y476" s="5" t="s">
        <v>355</v>
      </c>
      <c r="Z476" s="5" t="s">
        <v>355</v>
      </c>
      <c r="AB476" s="5" t="s">
        <v>355</v>
      </c>
      <c r="AE476" s="5" t="s">
        <v>355</v>
      </c>
      <c r="AH476" s="5" t="s">
        <v>355</v>
      </c>
    </row>
    <row r="477">
      <c r="S477" s="5" t="s">
        <v>355</v>
      </c>
      <c r="T477" s="5" t="str">
        <f>IFERROR(__xludf.DUMMYFUNCTION("""COMPUTED_VALUE"""),"")</f>
        <v/>
      </c>
      <c r="U477" s="5" t="s">
        <v>355</v>
      </c>
      <c r="V477" s="5" t="s">
        <v>355</v>
      </c>
      <c r="W477" s="5" t="s">
        <v>355</v>
      </c>
      <c r="X477" s="5" t="str">
        <f>IFERROR(__xludf.DUMMYFUNCTION("""COMPUTED_VALUE"""),"")</f>
        <v/>
      </c>
      <c r="Y477" s="5" t="s">
        <v>355</v>
      </c>
      <c r="Z477" s="5" t="s">
        <v>355</v>
      </c>
      <c r="AB477" s="5" t="s">
        <v>355</v>
      </c>
      <c r="AE477" s="5" t="s">
        <v>355</v>
      </c>
      <c r="AH477" s="5" t="s">
        <v>355</v>
      </c>
    </row>
    <row r="478">
      <c r="S478" s="5" t="s">
        <v>355</v>
      </c>
      <c r="T478" s="5" t="str">
        <f>IFERROR(__xludf.DUMMYFUNCTION("""COMPUTED_VALUE"""),"")</f>
        <v/>
      </c>
      <c r="U478" s="5" t="s">
        <v>355</v>
      </c>
      <c r="V478" s="5" t="s">
        <v>355</v>
      </c>
      <c r="W478" s="5" t="s">
        <v>355</v>
      </c>
      <c r="X478" s="5" t="str">
        <f>IFERROR(__xludf.DUMMYFUNCTION("""COMPUTED_VALUE"""),"")</f>
        <v/>
      </c>
      <c r="Y478" s="5" t="s">
        <v>355</v>
      </c>
      <c r="Z478" s="5" t="s">
        <v>355</v>
      </c>
      <c r="AB478" s="5" t="s">
        <v>355</v>
      </c>
      <c r="AE478" s="5" t="s">
        <v>355</v>
      </c>
      <c r="AH478" s="5" t="s">
        <v>355</v>
      </c>
    </row>
    <row r="479">
      <c r="S479" s="5" t="s">
        <v>355</v>
      </c>
      <c r="T479" s="5" t="str">
        <f>IFERROR(__xludf.DUMMYFUNCTION("""COMPUTED_VALUE"""),"")</f>
        <v/>
      </c>
      <c r="U479" s="5" t="s">
        <v>355</v>
      </c>
      <c r="V479" s="5" t="s">
        <v>355</v>
      </c>
      <c r="W479" s="5" t="s">
        <v>355</v>
      </c>
      <c r="X479" s="5" t="str">
        <f>IFERROR(__xludf.DUMMYFUNCTION("""COMPUTED_VALUE"""),"")</f>
        <v/>
      </c>
      <c r="Y479" s="5" t="s">
        <v>355</v>
      </c>
      <c r="Z479" s="5" t="s">
        <v>355</v>
      </c>
      <c r="AB479" s="5" t="s">
        <v>355</v>
      </c>
      <c r="AE479" s="5" t="s">
        <v>355</v>
      </c>
      <c r="AH479" s="5" t="s">
        <v>355</v>
      </c>
    </row>
    <row r="480">
      <c r="S480" s="5" t="s">
        <v>355</v>
      </c>
      <c r="T480" s="5" t="str">
        <f>IFERROR(__xludf.DUMMYFUNCTION("""COMPUTED_VALUE"""),"")</f>
        <v/>
      </c>
      <c r="U480" s="5" t="s">
        <v>355</v>
      </c>
      <c r="V480" s="5" t="s">
        <v>355</v>
      </c>
      <c r="W480" s="5" t="s">
        <v>355</v>
      </c>
      <c r="X480" s="5" t="str">
        <f>IFERROR(__xludf.DUMMYFUNCTION("""COMPUTED_VALUE"""),"")</f>
        <v/>
      </c>
      <c r="Y480" s="5" t="s">
        <v>355</v>
      </c>
      <c r="Z480" s="5" t="s">
        <v>355</v>
      </c>
      <c r="AB480" s="5" t="s">
        <v>355</v>
      </c>
      <c r="AE480" s="5" t="s">
        <v>355</v>
      </c>
      <c r="AH480" s="5" t="s">
        <v>355</v>
      </c>
    </row>
    <row r="481">
      <c r="S481" s="5" t="s">
        <v>355</v>
      </c>
      <c r="T481" s="5" t="str">
        <f>IFERROR(__xludf.DUMMYFUNCTION("""COMPUTED_VALUE"""),"")</f>
        <v/>
      </c>
      <c r="U481" s="5" t="s">
        <v>355</v>
      </c>
      <c r="V481" s="5" t="s">
        <v>355</v>
      </c>
      <c r="W481" s="5" t="s">
        <v>355</v>
      </c>
      <c r="X481" s="5" t="str">
        <f>IFERROR(__xludf.DUMMYFUNCTION("""COMPUTED_VALUE"""),"")</f>
        <v/>
      </c>
      <c r="Y481" s="5" t="s">
        <v>355</v>
      </c>
      <c r="Z481" s="5" t="s">
        <v>355</v>
      </c>
      <c r="AB481" s="5" t="s">
        <v>355</v>
      </c>
      <c r="AE481" s="5" t="s">
        <v>355</v>
      </c>
      <c r="AH481" s="5" t="s">
        <v>355</v>
      </c>
    </row>
    <row r="482">
      <c r="S482" s="5" t="s">
        <v>355</v>
      </c>
      <c r="T482" s="5" t="str">
        <f>IFERROR(__xludf.DUMMYFUNCTION("""COMPUTED_VALUE"""),"")</f>
        <v/>
      </c>
      <c r="U482" s="5" t="s">
        <v>355</v>
      </c>
      <c r="V482" s="5" t="s">
        <v>355</v>
      </c>
      <c r="W482" s="5" t="s">
        <v>355</v>
      </c>
      <c r="X482" s="5" t="str">
        <f>IFERROR(__xludf.DUMMYFUNCTION("""COMPUTED_VALUE"""),"")</f>
        <v/>
      </c>
      <c r="Y482" s="5" t="s">
        <v>355</v>
      </c>
      <c r="Z482" s="5" t="s">
        <v>355</v>
      </c>
      <c r="AB482" s="5" t="s">
        <v>355</v>
      </c>
      <c r="AE482" s="5" t="s">
        <v>355</v>
      </c>
      <c r="AH482" s="5" t="s">
        <v>355</v>
      </c>
    </row>
    <row r="483">
      <c r="S483" s="5" t="s">
        <v>355</v>
      </c>
      <c r="T483" s="5" t="str">
        <f>IFERROR(__xludf.DUMMYFUNCTION("""COMPUTED_VALUE"""),"")</f>
        <v/>
      </c>
      <c r="U483" s="5" t="s">
        <v>355</v>
      </c>
      <c r="V483" s="5" t="s">
        <v>355</v>
      </c>
      <c r="W483" s="5" t="s">
        <v>355</v>
      </c>
      <c r="X483" s="5" t="str">
        <f>IFERROR(__xludf.DUMMYFUNCTION("""COMPUTED_VALUE"""),"")</f>
        <v/>
      </c>
      <c r="Y483" s="5" t="s">
        <v>355</v>
      </c>
      <c r="Z483" s="5" t="s">
        <v>355</v>
      </c>
      <c r="AB483" s="5" t="s">
        <v>355</v>
      </c>
      <c r="AE483" s="5" t="s">
        <v>355</v>
      </c>
      <c r="AH483" s="5" t="s">
        <v>355</v>
      </c>
    </row>
    <row r="484">
      <c r="S484" s="5" t="s">
        <v>355</v>
      </c>
      <c r="T484" s="5" t="str">
        <f>IFERROR(__xludf.DUMMYFUNCTION("""COMPUTED_VALUE"""),"")</f>
        <v/>
      </c>
      <c r="U484" s="5" t="s">
        <v>355</v>
      </c>
      <c r="V484" s="5" t="s">
        <v>355</v>
      </c>
      <c r="W484" s="5" t="s">
        <v>355</v>
      </c>
      <c r="X484" s="5" t="str">
        <f>IFERROR(__xludf.DUMMYFUNCTION("""COMPUTED_VALUE"""),"")</f>
        <v/>
      </c>
      <c r="Y484" s="5" t="s">
        <v>355</v>
      </c>
      <c r="Z484" s="5" t="s">
        <v>355</v>
      </c>
      <c r="AB484" s="5" t="s">
        <v>355</v>
      </c>
      <c r="AE484" s="5" t="s">
        <v>355</v>
      </c>
      <c r="AH484" s="5" t="s">
        <v>355</v>
      </c>
    </row>
    <row r="485">
      <c r="S485" s="5" t="s">
        <v>355</v>
      </c>
      <c r="T485" s="5" t="str">
        <f>IFERROR(__xludf.DUMMYFUNCTION("""COMPUTED_VALUE"""),"")</f>
        <v/>
      </c>
      <c r="U485" s="5" t="s">
        <v>355</v>
      </c>
      <c r="V485" s="5" t="s">
        <v>355</v>
      </c>
      <c r="W485" s="5" t="s">
        <v>355</v>
      </c>
      <c r="X485" s="5" t="str">
        <f>IFERROR(__xludf.DUMMYFUNCTION("""COMPUTED_VALUE"""),"")</f>
        <v/>
      </c>
      <c r="Y485" s="5" t="s">
        <v>355</v>
      </c>
      <c r="Z485" s="5" t="s">
        <v>355</v>
      </c>
      <c r="AB485" s="5" t="s">
        <v>355</v>
      </c>
      <c r="AE485" s="5" t="s">
        <v>355</v>
      </c>
      <c r="AH485" s="5" t="s">
        <v>355</v>
      </c>
    </row>
    <row r="486">
      <c r="S486" s="5" t="s">
        <v>355</v>
      </c>
      <c r="T486" s="5" t="str">
        <f>IFERROR(__xludf.DUMMYFUNCTION("""COMPUTED_VALUE"""),"")</f>
        <v/>
      </c>
      <c r="U486" s="5" t="s">
        <v>355</v>
      </c>
      <c r="V486" s="5" t="s">
        <v>355</v>
      </c>
      <c r="W486" s="5" t="s">
        <v>355</v>
      </c>
      <c r="X486" s="5" t="str">
        <f>IFERROR(__xludf.DUMMYFUNCTION("""COMPUTED_VALUE"""),"")</f>
        <v/>
      </c>
      <c r="Y486" s="5" t="s">
        <v>355</v>
      </c>
      <c r="Z486" s="5" t="s">
        <v>355</v>
      </c>
      <c r="AB486" s="5" t="s">
        <v>355</v>
      </c>
      <c r="AE486" s="5" t="s">
        <v>355</v>
      </c>
      <c r="AH486" s="5" t="s">
        <v>355</v>
      </c>
    </row>
    <row r="487">
      <c r="S487" s="5" t="s">
        <v>355</v>
      </c>
      <c r="T487" s="5" t="str">
        <f>IFERROR(__xludf.DUMMYFUNCTION("""COMPUTED_VALUE"""),"")</f>
        <v/>
      </c>
      <c r="U487" s="5" t="s">
        <v>355</v>
      </c>
      <c r="V487" s="5" t="s">
        <v>355</v>
      </c>
      <c r="W487" s="5" t="s">
        <v>355</v>
      </c>
      <c r="X487" s="5" t="str">
        <f>IFERROR(__xludf.DUMMYFUNCTION("""COMPUTED_VALUE"""),"")</f>
        <v/>
      </c>
      <c r="Y487" s="5" t="s">
        <v>355</v>
      </c>
      <c r="Z487" s="5" t="s">
        <v>355</v>
      </c>
      <c r="AB487" s="5" t="s">
        <v>355</v>
      </c>
      <c r="AE487" s="5" t="s">
        <v>355</v>
      </c>
      <c r="AH487" s="5" t="s">
        <v>355</v>
      </c>
    </row>
    <row r="488">
      <c r="S488" s="5" t="s">
        <v>355</v>
      </c>
      <c r="T488" s="5" t="str">
        <f>IFERROR(__xludf.DUMMYFUNCTION("""COMPUTED_VALUE"""),"")</f>
        <v/>
      </c>
      <c r="U488" s="5" t="s">
        <v>355</v>
      </c>
      <c r="V488" s="5" t="s">
        <v>355</v>
      </c>
      <c r="W488" s="5" t="s">
        <v>355</v>
      </c>
      <c r="X488" s="5" t="str">
        <f>IFERROR(__xludf.DUMMYFUNCTION("""COMPUTED_VALUE"""),"")</f>
        <v/>
      </c>
      <c r="Y488" s="5" t="s">
        <v>355</v>
      </c>
      <c r="Z488" s="5" t="s">
        <v>355</v>
      </c>
      <c r="AB488" s="5" t="s">
        <v>355</v>
      </c>
      <c r="AE488" s="5" t="s">
        <v>355</v>
      </c>
      <c r="AH488" s="5" t="s">
        <v>355</v>
      </c>
    </row>
    <row r="489">
      <c r="S489" s="5" t="s">
        <v>355</v>
      </c>
      <c r="T489" s="5" t="str">
        <f>IFERROR(__xludf.DUMMYFUNCTION("""COMPUTED_VALUE"""),"")</f>
        <v/>
      </c>
      <c r="U489" s="5" t="s">
        <v>355</v>
      </c>
      <c r="V489" s="5" t="s">
        <v>355</v>
      </c>
      <c r="W489" s="5" t="s">
        <v>355</v>
      </c>
      <c r="X489" s="5" t="str">
        <f>IFERROR(__xludf.DUMMYFUNCTION("""COMPUTED_VALUE"""),"")</f>
        <v/>
      </c>
      <c r="Y489" s="5" t="s">
        <v>355</v>
      </c>
      <c r="Z489" s="5" t="s">
        <v>355</v>
      </c>
      <c r="AB489" s="5" t="s">
        <v>355</v>
      </c>
      <c r="AE489" s="5" t="s">
        <v>355</v>
      </c>
      <c r="AH489" s="5" t="s">
        <v>355</v>
      </c>
    </row>
    <row r="490">
      <c r="S490" s="5" t="s">
        <v>355</v>
      </c>
      <c r="T490" s="5" t="str">
        <f>IFERROR(__xludf.DUMMYFUNCTION("""COMPUTED_VALUE"""),"")</f>
        <v/>
      </c>
      <c r="U490" s="5" t="s">
        <v>355</v>
      </c>
      <c r="V490" s="5" t="s">
        <v>355</v>
      </c>
      <c r="W490" s="5" t="s">
        <v>355</v>
      </c>
      <c r="X490" s="5" t="str">
        <f>IFERROR(__xludf.DUMMYFUNCTION("""COMPUTED_VALUE"""),"")</f>
        <v/>
      </c>
      <c r="Y490" s="5" t="s">
        <v>355</v>
      </c>
      <c r="Z490" s="5" t="s">
        <v>355</v>
      </c>
      <c r="AB490" s="5" t="s">
        <v>355</v>
      </c>
      <c r="AE490" s="5" t="s">
        <v>355</v>
      </c>
      <c r="AH490" s="5" t="s">
        <v>355</v>
      </c>
    </row>
    <row r="491">
      <c r="S491" s="5" t="s">
        <v>355</v>
      </c>
      <c r="T491" s="5" t="str">
        <f>IFERROR(__xludf.DUMMYFUNCTION("""COMPUTED_VALUE"""),"")</f>
        <v/>
      </c>
      <c r="U491" s="5" t="s">
        <v>355</v>
      </c>
      <c r="V491" s="5" t="s">
        <v>355</v>
      </c>
      <c r="W491" s="5" t="s">
        <v>355</v>
      </c>
      <c r="X491" s="5" t="str">
        <f>IFERROR(__xludf.DUMMYFUNCTION("""COMPUTED_VALUE"""),"")</f>
        <v/>
      </c>
      <c r="Y491" s="5" t="s">
        <v>355</v>
      </c>
      <c r="Z491" s="5" t="s">
        <v>355</v>
      </c>
      <c r="AB491" s="5" t="s">
        <v>355</v>
      </c>
      <c r="AE491" s="5" t="s">
        <v>355</v>
      </c>
      <c r="AH491" s="5" t="s">
        <v>355</v>
      </c>
    </row>
    <row r="492">
      <c r="S492" s="5" t="s">
        <v>355</v>
      </c>
      <c r="T492" s="5" t="str">
        <f>IFERROR(__xludf.DUMMYFUNCTION("""COMPUTED_VALUE"""),"")</f>
        <v/>
      </c>
      <c r="U492" s="5" t="s">
        <v>355</v>
      </c>
      <c r="V492" s="5" t="s">
        <v>355</v>
      </c>
      <c r="W492" s="5" t="s">
        <v>355</v>
      </c>
      <c r="X492" s="5" t="str">
        <f>IFERROR(__xludf.DUMMYFUNCTION("""COMPUTED_VALUE"""),"")</f>
        <v/>
      </c>
      <c r="Y492" s="5" t="s">
        <v>355</v>
      </c>
      <c r="Z492" s="5" t="s">
        <v>355</v>
      </c>
      <c r="AB492" s="5" t="s">
        <v>355</v>
      </c>
      <c r="AE492" s="5" t="s">
        <v>355</v>
      </c>
      <c r="AH492" s="5" t="s">
        <v>355</v>
      </c>
    </row>
    <row r="493">
      <c r="S493" s="5" t="s">
        <v>355</v>
      </c>
      <c r="T493" s="5" t="str">
        <f>IFERROR(__xludf.DUMMYFUNCTION("""COMPUTED_VALUE"""),"")</f>
        <v/>
      </c>
      <c r="U493" s="5" t="s">
        <v>355</v>
      </c>
      <c r="V493" s="5" t="s">
        <v>355</v>
      </c>
      <c r="W493" s="5" t="s">
        <v>355</v>
      </c>
      <c r="X493" s="5" t="str">
        <f>IFERROR(__xludf.DUMMYFUNCTION("""COMPUTED_VALUE"""),"")</f>
        <v/>
      </c>
      <c r="Y493" s="5" t="s">
        <v>355</v>
      </c>
      <c r="Z493" s="5" t="s">
        <v>355</v>
      </c>
      <c r="AB493" s="5" t="s">
        <v>355</v>
      </c>
      <c r="AE493" s="5" t="s">
        <v>355</v>
      </c>
      <c r="AH493" s="5" t="s">
        <v>355</v>
      </c>
    </row>
    <row r="494">
      <c r="S494" s="5" t="s">
        <v>355</v>
      </c>
      <c r="T494" s="5" t="str">
        <f>IFERROR(__xludf.DUMMYFUNCTION("""COMPUTED_VALUE"""),"")</f>
        <v/>
      </c>
      <c r="U494" s="5" t="s">
        <v>355</v>
      </c>
      <c r="V494" s="5" t="s">
        <v>355</v>
      </c>
      <c r="W494" s="5" t="s">
        <v>355</v>
      </c>
      <c r="X494" s="5" t="str">
        <f>IFERROR(__xludf.DUMMYFUNCTION("""COMPUTED_VALUE"""),"")</f>
        <v/>
      </c>
      <c r="Y494" s="5" t="s">
        <v>355</v>
      </c>
      <c r="Z494" s="5" t="s">
        <v>355</v>
      </c>
      <c r="AB494" s="5" t="s">
        <v>355</v>
      </c>
      <c r="AE494" s="5" t="s">
        <v>355</v>
      </c>
      <c r="AH494" s="5" t="s">
        <v>355</v>
      </c>
    </row>
    <row r="495">
      <c r="S495" s="5" t="s">
        <v>355</v>
      </c>
      <c r="T495" s="5" t="str">
        <f>IFERROR(__xludf.DUMMYFUNCTION("""COMPUTED_VALUE"""),"")</f>
        <v/>
      </c>
      <c r="U495" s="5" t="s">
        <v>355</v>
      </c>
      <c r="V495" s="5" t="s">
        <v>355</v>
      </c>
      <c r="W495" s="5" t="s">
        <v>355</v>
      </c>
      <c r="X495" s="5" t="str">
        <f>IFERROR(__xludf.DUMMYFUNCTION("""COMPUTED_VALUE"""),"")</f>
        <v/>
      </c>
      <c r="Y495" s="5" t="s">
        <v>355</v>
      </c>
      <c r="Z495" s="5" t="s">
        <v>355</v>
      </c>
      <c r="AB495" s="5" t="s">
        <v>355</v>
      </c>
      <c r="AE495" s="5" t="s">
        <v>355</v>
      </c>
      <c r="AH495" s="5" t="s">
        <v>355</v>
      </c>
    </row>
    <row r="496">
      <c r="S496" s="5" t="s">
        <v>355</v>
      </c>
      <c r="T496" s="5" t="str">
        <f>IFERROR(__xludf.DUMMYFUNCTION("""COMPUTED_VALUE"""),"")</f>
        <v/>
      </c>
      <c r="U496" s="5" t="s">
        <v>355</v>
      </c>
      <c r="V496" s="5" t="s">
        <v>355</v>
      </c>
      <c r="W496" s="5" t="s">
        <v>355</v>
      </c>
      <c r="X496" s="5" t="str">
        <f>IFERROR(__xludf.DUMMYFUNCTION("""COMPUTED_VALUE"""),"")</f>
        <v/>
      </c>
      <c r="Y496" s="5" t="s">
        <v>355</v>
      </c>
      <c r="Z496" s="5" t="s">
        <v>355</v>
      </c>
      <c r="AB496" s="5" t="s">
        <v>355</v>
      </c>
      <c r="AE496" s="5" t="s">
        <v>355</v>
      </c>
      <c r="AH496" s="5" t="s">
        <v>355</v>
      </c>
    </row>
    <row r="497">
      <c r="S497" s="5" t="s">
        <v>355</v>
      </c>
      <c r="T497" s="5" t="str">
        <f>IFERROR(__xludf.DUMMYFUNCTION("""COMPUTED_VALUE"""),"")</f>
        <v/>
      </c>
      <c r="U497" s="5" t="s">
        <v>355</v>
      </c>
      <c r="V497" s="5" t="s">
        <v>355</v>
      </c>
      <c r="W497" s="5" t="s">
        <v>355</v>
      </c>
      <c r="X497" s="5" t="str">
        <f>IFERROR(__xludf.DUMMYFUNCTION("""COMPUTED_VALUE"""),"")</f>
        <v/>
      </c>
      <c r="Y497" s="5" t="s">
        <v>355</v>
      </c>
      <c r="Z497" s="5" t="s">
        <v>355</v>
      </c>
      <c r="AB497" s="5" t="s">
        <v>355</v>
      </c>
      <c r="AE497" s="5" t="s">
        <v>355</v>
      </c>
      <c r="AH497" s="5" t="s">
        <v>355</v>
      </c>
    </row>
    <row r="498">
      <c r="S498" s="5" t="s">
        <v>355</v>
      </c>
      <c r="T498" s="5" t="str">
        <f>IFERROR(__xludf.DUMMYFUNCTION("""COMPUTED_VALUE"""),"")</f>
        <v/>
      </c>
      <c r="U498" s="5" t="s">
        <v>355</v>
      </c>
      <c r="V498" s="5" t="s">
        <v>355</v>
      </c>
      <c r="W498" s="5" t="s">
        <v>355</v>
      </c>
      <c r="X498" s="5" t="str">
        <f>IFERROR(__xludf.DUMMYFUNCTION("""COMPUTED_VALUE"""),"")</f>
        <v/>
      </c>
      <c r="Y498" s="5" t="s">
        <v>355</v>
      </c>
      <c r="Z498" s="5" t="s">
        <v>355</v>
      </c>
      <c r="AB498" s="5" t="s">
        <v>355</v>
      </c>
      <c r="AE498" s="5" t="s">
        <v>355</v>
      </c>
      <c r="AH498" s="5" t="s">
        <v>355</v>
      </c>
    </row>
    <row r="499">
      <c r="S499" s="5" t="s">
        <v>355</v>
      </c>
      <c r="T499" s="5" t="str">
        <f>IFERROR(__xludf.DUMMYFUNCTION("""COMPUTED_VALUE"""),"")</f>
        <v/>
      </c>
      <c r="U499" s="5" t="s">
        <v>355</v>
      </c>
      <c r="V499" s="5" t="s">
        <v>355</v>
      </c>
      <c r="W499" s="5" t="s">
        <v>355</v>
      </c>
      <c r="X499" s="5" t="str">
        <f>IFERROR(__xludf.DUMMYFUNCTION("""COMPUTED_VALUE"""),"")</f>
        <v/>
      </c>
      <c r="Y499" s="5" t="s">
        <v>355</v>
      </c>
      <c r="Z499" s="5" t="s">
        <v>355</v>
      </c>
      <c r="AB499" s="5" t="s">
        <v>355</v>
      </c>
      <c r="AE499" s="5" t="s">
        <v>355</v>
      </c>
      <c r="AH499" s="5" t="s">
        <v>355</v>
      </c>
    </row>
    <row r="500">
      <c r="S500" s="5" t="s">
        <v>355</v>
      </c>
      <c r="T500" s="5" t="str">
        <f>IFERROR(__xludf.DUMMYFUNCTION("""COMPUTED_VALUE"""),"")</f>
        <v/>
      </c>
      <c r="U500" s="5" t="s">
        <v>355</v>
      </c>
      <c r="V500" s="5" t="s">
        <v>355</v>
      </c>
      <c r="W500" s="5" t="s">
        <v>355</v>
      </c>
      <c r="X500" s="5" t="str">
        <f>IFERROR(__xludf.DUMMYFUNCTION("""COMPUTED_VALUE"""),"")</f>
        <v/>
      </c>
      <c r="Y500" s="5" t="s">
        <v>355</v>
      </c>
      <c r="Z500" s="5" t="s">
        <v>355</v>
      </c>
      <c r="AB500" s="5" t="s">
        <v>355</v>
      </c>
      <c r="AE500" s="5" t="s">
        <v>355</v>
      </c>
      <c r="AH500" s="5" t="s">
        <v>355</v>
      </c>
    </row>
    <row r="501">
      <c r="S501" s="5" t="s">
        <v>355</v>
      </c>
      <c r="T501" s="5" t="str">
        <f>IFERROR(__xludf.DUMMYFUNCTION("""COMPUTED_VALUE"""),"")</f>
        <v/>
      </c>
      <c r="U501" s="5" t="s">
        <v>355</v>
      </c>
      <c r="V501" s="5" t="s">
        <v>355</v>
      </c>
      <c r="W501" s="5" t="s">
        <v>355</v>
      </c>
      <c r="X501" s="5" t="str">
        <f>IFERROR(__xludf.DUMMYFUNCTION("""COMPUTED_VALUE"""),"")</f>
        <v/>
      </c>
      <c r="Y501" s="5" t="s">
        <v>355</v>
      </c>
      <c r="Z501" s="5" t="s">
        <v>355</v>
      </c>
      <c r="AB501" s="5" t="s">
        <v>355</v>
      </c>
      <c r="AE501" s="5" t="s">
        <v>355</v>
      </c>
      <c r="AH501" s="5" t="s">
        <v>355</v>
      </c>
    </row>
    <row r="502">
      <c r="S502" s="5" t="s">
        <v>355</v>
      </c>
      <c r="T502" s="5" t="str">
        <f>IFERROR(__xludf.DUMMYFUNCTION("""COMPUTED_VALUE"""),"")</f>
        <v/>
      </c>
      <c r="U502" s="5" t="s">
        <v>355</v>
      </c>
      <c r="V502" s="5" t="s">
        <v>355</v>
      </c>
      <c r="W502" s="5" t="s">
        <v>355</v>
      </c>
      <c r="X502" s="5" t="str">
        <f>IFERROR(__xludf.DUMMYFUNCTION("""COMPUTED_VALUE"""),"")</f>
        <v/>
      </c>
      <c r="Y502" s="5" t="s">
        <v>355</v>
      </c>
      <c r="Z502" s="5" t="s">
        <v>355</v>
      </c>
      <c r="AB502" s="5" t="s">
        <v>355</v>
      </c>
      <c r="AE502" s="5" t="s">
        <v>355</v>
      </c>
      <c r="AH502" s="5" t="s">
        <v>355</v>
      </c>
    </row>
    <row r="503">
      <c r="S503" s="5" t="s">
        <v>355</v>
      </c>
      <c r="T503" s="5" t="str">
        <f>IFERROR(__xludf.DUMMYFUNCTION("""COMPUTED_VALUE"""),"")</f>
        <v/>
      </c>
      <c r="U503" s="5" t="s">
        <v>355</v>
      </c>
      <c r="V503" s="5" t="s">
        <v>355</v>
      </c>
      <c r="W503" s="5" t="s">
        <v>355</v>
      </c>
      <c r="X503" s="5" t="str">
        <f>IFERROR(__xludf.DUMMYFUNCTION("""COMPUTED_VALUE"""),"")</f>
        <v/>
      </c>
      <c r="Y503" s="5" t="s">
        <v>355</v>
      </c>
      <c r="Z503" s="5" t="s">
        <v>355</v>
      </c>
      <c r="AB503" s="5" t="s">
        <v>355</v>
      </c>
      <c r="AE503" s="5" t="s">
        <v>355</v>
      </c>
      <c r="AH503" s="5" t="s">
        <v>355</v>
      </c>
    </row>
    <row r="504">
      <c r="S504" s="5" t="s">
        <v>355</v>
      </c>
      <c r="T504" s="5" t="str">
        <f>IFERROR(__xludf.DUMMYFUNCTION("""COMPUTED_VALUE"""),"")</f>
        <v/>
      </c>
      <c r="U504" s="5" t="s">
        <v>355</v>
      </c>
      <c r="V504" s="5" t="s">
        <v>355</v>
      </c>
      <c r="W504" s="5" t="s">
        <v>355</v>
      </c>
      <c r="X504" s="5" t="str">
        <f>IFERROR(__xludf.DUMMYFUNCTION("""COMPUTED_VALUE"""),"")</f>
        <v/>
      </c>
      <c r="Y504" s="5" t="s">
        <v>355</v>
      </c>
      <c r="Z504" s="5" t="s">
        <v>355</v>
      </c>
      <c r="AB504" s="5" t="s">
        <v>355</v>
      </c>
      <c r="AE504" s="5" t="s">
        <v>355</v>
      </c>
      <c r="AH504" s="5" t="s">
        <v>355</v>
      </c>
    </row>
    <row r="505">
      <c r="S505" s="5" t="s">
        <v>355</v>
      </c>
      <c r="T505" s="5" t="str">
        <f>IFERROR(__xludf.DUMMYFUNCTION("""COMPUTED_VALUE"""),"")</f>
        <v/>
      </c>
      <c r="U505" s="5" t="s">
        <v>355</v>
      </c>
      <c r="V505" s="5" t="s">
        <v>355</v>
      </c>
      <c r="W505" s="5" t="s">
        <v>355</v>
      </c>
      <c r="X505" s="5" t="str">
        <f>IFERROR(__xludf.DUMMYFUNCTION("""COMPUTED_VALUE"""),"")</f>
        <v/>
      </c>
      <c r="Y505" s="5" t="s">
        <v>355</v>
      </c>
      <c r="Z505" s="5" t="s">
        <v>355</v>
      </c>
      <c r="AB505" s="5" t="s">
        <v>355</v>
      </c>
      <c r="AE505" s="5" t="s">
        <v>355</v>
      </c>
      <c r="AH505" s="5" t="s">
        <v>355</v>
      </c>
    </row>
    <row r="506">
      <c r="S506" s="5" t="s">
        <v>355</v>
      </c>
      <c r="T506" s="5" t="str">
        <f>IFERROR(__xludf.DUMMYFUNCTION("""COMPUTED_VALUE"""),"")</f>
        <v/>
      </c>
      <c r="U506" s="5" t="s">
        <v>355</v>
      </c>
      <c r="V506" s="5" t="s">
        <v>355</v>
      </c>
      <c r="W506" s="5" t="s">
        <v>355</v>
      </c>
      <c r="X506" s="5" t="str">
        <f>IFERROR(__xludf.DUMMYFUNCTION("""COMPUTED_VALUE"""),"")</f>
        <v/>
      </c>
      <c r="Y506" s="5" t="s">
        <v>355</v>
      </c>
      <c r="Z506" s="5" t="s">
        <v>355</v>
      </c>
      <c r="AB506" s="5" t="s">
        <v>355</v>
      </c>
      <c r="AE506" s="5" t="s">
        <v>355</v>
      </c>
      <c r="AH506" s="5" t="s">
        <v>355</v>
      </c>
    </row>
    <row r="507">
      <c r="S507" s="5" t="s">
        <v>355</v>
      </c>
      <c r="T507" s="5" t="str">
        <f>IFERROR(__xludf.DUMMYFUNCTION("""COMPUTED_VALUE"""),"")</f>
        <v/>
      </c>
      <c r="U507" s="5" t="s">
        <v>355</v>
      </c>
      <c r="V507" s="5" t="s">
        <v>355</v>
      </c>
      <c r="W507" s="5" t="s">
        <v>355</v>
      </c>
      <c r="X507" s="5" t="str">
        <f>IFERROR(__xludf.DUMMYFUNCTION("""COMPUTED_VALUE"""),"")</f>
        <v/>
      </c>
      <c r="Y507" s="5" t="s">
        <v>355</v>
      </c>
      <c r="Z507" s="5" t="s">
        <v>355</v>
      </c>
      <c r="AB507" s="5" t="s">
        <v>355</v>
      </c>
      <c r="AE507" s="5" t="s">
        <v>355</v>
      </c>
      <c r="AH507" s="5" t="s">
        <v>355</v>
      </c>
    </row>
    <row r="508">
      <c r="S508" s="5" t="s">
        <v>355</v>
      </c>
      <c r="T508" s="5" t="str">
        <f>IFERROR(__xludf.DUMMYFUNCTION("""COMPUTED_VALUE"""),"")</f>
        <v/>
      </c>
      <c r="U508" s="5" t="s">
        <v>355</v>
      </c>
      <c r="V508" s="5" t="s">
        <v>355</v>
      </c>
      <c r="W508" s="5" t="s">
        <v>355</v>
      </c>
      <c r="X508" s="5" t="str">
        <f>IFERROR(__xludf.DUMMYFUNCTION("""COMPUTED_VALUE"""),"")</f>
        <v/>
      </c>
      <c r="Y508" s="5" t="s">
        <v>355</v>
      </c>
      <c r="Z508" s="5" t="s">
        <v>355</v>
      </c>
      <c r="AB508" s="5" t="s">
        <v>355</v>
      </c>
      <c r="AE508" s="5" t="s">
        <v>355</v>
      </c>
      <c r="AH508" s="5" t="s">
        <v>355</v>
      </c>
    </row>
    <row r="509">
      <c r="S509" s="5" t="s">
        <v>355</v>
      </c>
      <c r="T509" s="5" t="str">
        <f>IFERROR(__xludf.DUMMYFUNCTION("""COMPUTED_VALUE"""),"")</f>
        <v/>
      </c>
      <c r="U509" s="5" t="s">
        <v>355</v>
      </c>
      <c r="V509" s="5" t="s">
        <v>355</v>
      </c>
      <c r="W509" s="5" t="s">
        <v>355</v>
      </c>
      <c r="X509" s="5" t="str">
        <f>IFERROR(__xludf.DUMMYFUNCTION("""COMPUTED_VALUE"""),"")</f>
        <v/>
      </c>
      <c r="Y509" s="5" t="s">
        <v>355</v>
      </c>
      <c r="Z509" s="5" t="s">
        <v>355</v>
      </c>
      <c r="AB509" s="5" t="s">
        <v>355</v>
      </c>
      <c r="AE509" s="5" t="s">
        <v>355</v>
      </c>
      <c r="AH509" s="5" t="s">
        <v>355</v>
      </c>
    </row>
    <row r="510">
      <c r="S510" s="5" t="s">
        <v>355</v>
      </c>
      <c r="T510" s="5" t="str">
        <f>IFERROR(__xludf.DUMMYFUNCTION("""COMPUTED_VALUE"""),"")</f>
        <v/>
      </c>
      <c r="U510" s="5" t="s">
        <v>355</v>
      </c>
      <c r="V510" s="5" t="s">
        <v>355</v>
      </c>
      <c r="W510" s="5" t="s">
        <v>355</v>
      </c>
      <c r="X510" s="5" t="str">
        <f>IFERROR(__xludf.DUMMYFUNCTION("""COMPUTED_VALUE"""),"")</f>
        <v/>
      </c>
      <c r="Y510" s="5" t="s">
        <v>355</v>
      </c>
      <c r="Z510" s="5" t="s">
        <v>355</v>
      </c>
      <c r="AB510" s="5" t="s">
        <v>355</v>
      </c>
      <c r="AE510" s="5" t="s">
        <v>355</v>
      </c>
      <c r="AH510" s="5" t="s">
        <v>355</v>
      </c>
    </row>
    <row r="511">
      <c r="S511" s="5" t="s">
        <v>355</v>
      </c>
      <c r="T511" s="5" t="str">
        <f>IFERROR(__xludf.DUMMYFUNCTION("""COMPUTED_VALUE"""),"")</f>
        <v/>
      </c>
      <c r="U511" s="5" t="s">
        <v>355</v>
      </c>
      <c r="V511" s="5" t="s">
        <v>355</v>
      </c>
      <c r="W511" s="5" t="s">
        <v>355</v>
      </c>
      <c r="X511" s="5" t="str">
        <f>IFERROR(__xludf.DUMMYFUNCTION("""COMPUTED_VALUE"""),"")</f>
        <v/>
      </c>
      <c r="Y511" s="5" t="s">
        <v>355</v>
      </c>
      <c r="Z511" s="5" t="s">
        <v>355</v>
      </c>
      <c r="AB511" s="5" t="s">
        <v>355</v>
      </c>
      <c r="AE511" s="5" t="s">
        <v>355</v>
      </c>
      <c r="AH511" s="5" t="s">
        <v>355</v>
      </c>
    </row>
    <row r="512">
      <c r="S512" s="5" t="s">
        <v>355</v>
      </c>
      <c r="T512" s="5" t="str">
        <f>IFERROR(__xludf.DUMMYFUNCTION("""COMPUTED_VALUE"""),"")</f>
        <v/>
      </c>
      <c r="U512" s="5" t="s">
        <v>355</v>
      </c>
      <c r="V512" s="5" t="s">
        <v>355</v>
      </c>
      <c r="W512" s="5" t="s">
        <v>355</v>
      </c>
      <c r="X512" s="5" t="str">
        <f>IFERROR(__xludf.DUMMYFUNCTION("""COMPUTED_VALUE"""),"")</f>
        <v/>
      </c>
      <c r="Y512" s="5" t="s">
        <v>355</v>
      </c>
      <c r="Z512" s="5" t="s">
        <v>355</v>
      </c>
      <c r="AB512" s="5" t="s">
        <v>355</v>
      </c>
      <c r="AE512" s="5" t="s">
        <v>355</v>
      </c>
      <c r="AH512" s="5" t="s">
        <v>355</v>
      </c>
    </row>
    <row r="513">
      <c r="S513" s="5" t="s">
        <v>355</v>
      </c>
      <c r="T513" s="5" t="str">
        <f>IFERROR(__xludf.DUMMYFUNCTION("""COMPUTED_VALUE"""),"")</f>
        <v/>
      </c>
      <c r="U513" s="5" t="s">
        <v>355</v>
      </c>
      <c r="V513" s="5" t="s">
        <v>355</v>
      </c>
      <c r="W513" s="5" t="s">
        <v>355</v>
      </c>
      <c r="X513" s="5" t="str">
        <f>IFERROR(__xludf.DUMMYFUNCTION("""COMPUTED_VALUE"""),"")</f>
        <v/>
      </c>
      <c r="Y513" s="5" t="s">
        <v>355</v>
      </c>
      <c r="Z513" s="5" t="s">
        <v>355</v>
      </c>
      <c r="AB513" s="5" t="s">
        <v>355</v>
      </c>
      <c r="AE513" s="5" t="s">
        <v>355</v>
      </c>
      <c r="AH513" s="5" t="s">
        <v>355</v>
      </c>
    </row>
    <row r="514">
      <c r="S514" s="5" t="s">
        <v>355</v>
      </c>
      <c r="T514" s="5" t="str">
        <f>IFERROR(__xludf.DUMMYFUNCTION("""COMPUTED_VALUE"""),"")</f>
        <v/>
      </c>
      <c r="U514" s="5" t="s">
        <v>355</v>
      </c>
      <c r="V514" s="5" t="s">
        <v>355</v>
      </c>
      <c r="W514" s="5" t="s">
        <v>355</v>
      </c>
      <c r="X514" s="5" t="str">
        <f>IFERROR(__xludf.DUMMYFUNCTION("""COMPUTED_VALUE"""),"")</f>
        <v/>
      </c>
      <c r="Y514" s="5" t="s">
        <v>355</v>
      </c>
      <c r="Z514" s="5" t="s">
        <v>355</v>
      </c>
      <c r="AB514" s="5" t="s">
        <v>355</v>
      </c>
      <c r="AE514" s="5" t="s">
        <v>355</v>
      </c>
      <c r="AH514" s="5" t="s">
        <v>355</v>
      </c>
    </row>
    <row r="515">
      <c r="S515" s="5" t="s">
        <v>355</v>
      </c>
      <c r="T515" s="5" t="str">
        <f>IFERROR(__xludf.DUMMYFUNCTION("""COMPUTED_VALUE"""),"")</f>
        <v/>
      </c>
      <c r="U515" s="5" t="s">
        <v>355</v>
      </c>
      <c r="V515" s="5" t="s">
        <v>355</v>
      </c>
      <c r="W515" s="5" t="s">
        <v>355</v>
      </c>
      <c r="X515" s="5" t="str">
        <f>IFERROR(__xludf.DUMMYFUNCTION("""COMPUTED_VALUE"""),"")</f>
        <v/>
      </c>
      <c r="Y515" s="5" t="s">
        <v>355</v>
      </c>
      <c r="Z515" s="5" t="s">
        <v>355</v>
      </c>
      <c r="AB515" s="5" t="s">
        <v>355</v>
      </c>
      <c r="AE515" s="5" t="s">
        <v>355</v>
      </c>
      <c r="AH515" s="5" t="s">
        <v>355</v>
      </c>
    </row>
    <row r="516">
      <c r="S516" s="5" t="s">
        <v>355</v>
      </c>
      <c r="T516" s="5" t="str">
        <f>IFERROR(__xludf.DUMMYFUNCTION("""COMPUTED_VALUE"""),"")</f>
        <v/>
      </c>
      <c r="U516" s="5" t="s">
        <v>355</v>
      </c>
      <c r="V516" s="5" t="s">
        <v>355</v>
      </c>
      <c r="W516" s="5" t="s">
        <v>355</v>
      </c>
      <c r="X516" s="5" t="str">
        <f>IFERROR(__xludf.DUMMYFUNCTION("""COMPUTED_VALUE"""),"")</f>
        <v/>
      </c>
      <c r="Y516" s="5" t="s">
        <v>355</v>
      </c>
      <c r="Z516" s="5" t="s">
        <v>355</v>
      </c>
      <c r="AB516" s="5" t="s">
        <v>355</v>
      </c>
      <c r="AE516" s="5" t="s">
        <v>355</v>
      </c>
      <c r="AH516" s="5" t="s">
        <v>355</v>
      </c>
    </row>
    <row r="517">
      <c r="S517" s="5" t="s">
        <v>355</v>
      </c>
      <c r="T517" s="5" t="str">
        <f>IFERROR(__xludf.DUMMYFUNCTION("""COMPUTED_VALUE"""),"")</f>
        <v/>
      </c>
      <c r="U517" s="5" t="s">
        <v>355</v>
      </c>
      <c r="V517" s="5" t="s">
        <v>355</v>
      </c>
      <c r="W517" s="5" t="s">
        <v>355</v>
      </c>
      <c r="X517" s="5" t="str">
        <f>IFERROR(__xludf.DUMMYFUNCTION("""COMPUTED_VALUE"""),"")</f>
        <v/>
      </c>
      <c r="Y517" s="5" t="s">
        <v>355</v>
      </c>
      <c r="Z517" s="5" t="s">
        <v>355</v>
      </c>
      <c r="AB517" s="5" t="s">
        <v>355</v>
      </c>
      <c r="AE517" s="5" t="s">
        <v>355</v>
      </c>
      <c r="AH517" s="5" t="s">
        <v>355</v>
      </c>
    </row>
    <row r="518">
      <c r="S518" s="5" t="s">
        <v>355</v>
      </c>
      <c r="T518" s="5" t="str">
        <f>IFERROR(__xludf.DUMMYFUNCTION("""COMPUTED_VALUE"""),"")</f>
        <v/>
      </c>
      <c r="U518" s="5" t="s">
        <v>355</v>
      </c>
      <c r="V518" s="5" t="s">
        <v>355</v>
      </c>
      <c r="W518" s="5" t="s">
        <v>355</v>
      </c>
      <c r="X518" s="5" t="str">
        <f>IFERROR(__xludf.DUMMYFUNCTION("""COMPUTED_VALUE"""),"")</f>
        <v/>
      </c>
      <c r="Y518" s="5" t="s">
        <v>355</v>
      </c>
      <c r="Z518" s="5" t="s">
        <v>355</v>
      </c>
      <c r="AB518" s="5" t="s">
        <v>355</v>
      </c>
      <c r="AE518" s="5" t="s">
        <v>355</v>
      </c>
      <c r="AH518" s="5" t="s">
        <v>355</v>
      </c>
    </row>
    <row r="519">
      <c r="S519" s="5" t="s">
        <v>355</v>
      </c>
      <c r="T519" s="5" t="str">
        <f>IFERROR(__xludf.DUMMYFUNCTION("""COMPUTED_VALUE"""),"")</f>
        <v/>
      </c>
      <c r="U519" s="5" t="s">
        <v>355</v>
      </c>
      <c r="V519" s="5" t="s">
        <v>355</v>
      </c>
      <c r="W519" s="5" t="s">
        <v>355</v>
      </c>
      <c r="X519" s="5" t="str">
        <f>IFERROR(__xludf.DUMMYFUNCTION("""COMPUTED_VALUE"""),"")</f>
        <v/>
      </c>
      <c r="Y519" s="5" t="s">
        <v>355</v>
      </c>
      <c r="Z519" s="5" t="s">
        <v>355</v>
      </c>
      <c r="AB519" s="5" t="s">
        <v>355</v>
      </c>
      <c r="AE519" s="5" t="s">
        <v>355</v>
      </c>
      <c r="AH519" s="5" t="s">
        <v>355</v>
      </c>
    </row>
    <row r="520">
      <c r="S520" s="5" t="s">
        <v>355</v>
      </c>
      <c r="T520" s="5" t="str">
        <f>IFERROR(__xludf.DUMMYFUNCTION("""COMPUTED_VALUE"""),"")</f>
        <v/>
      </c>
      <c r="U520" s="5" t="s">
        <v>355</v>
      </c>
      <c r="V520" s="5" t="s">
        <v>355</v>
      </c>
      <c r="W520" s="5" t="s">
        <v>355</v>
      </c>
      <c r="X520" s="5" t="str">
        <f>IFERROR(__xludf.DUMMYFUNCTION("""COMPUTED_VALUE"""),"")</f>
        <v/>
      </c>
      <c r="Y520" s="5" t="s">
        <v>355</v>
      </c>
      <c r="Z520" s="5" t="s">
        <v>355</v>
      </c>
      <c r="AB520" s="5" t="s">
        <v>355</v>
      </c>
      <c r="AE520" s="5" t="s">
        <v>355</v>
      </c>
      <c r="AH520" s="5" t="s">
        <v>355</v>
      </c>
    </row>
    <row r="521">
      <c r="S521" s="5" t="s">
        <v>355</v>
      </c>
      <c r="T521" s="5" t="str">
        <f>IFERROR(__xludf.DUMMYFUNCTION("""COMPUTED_VALUE"""),"")</f>
        <v/>
      </c>
      <c r="U521" s="5" t="s">
        <v>355</v>
      </c>
      <c r="V521" s="5" t="s">
        <v>355</v>
      </c>
      <c r="W521" s="5" t="s">
        <v>355</v>
      </c>
      <c r="X521" s="5" t="str">
        <f>IFERROR(__xludf.DUMMYFUNCTION("""COMPUTED_VALUE"""),"")</f>
        <v/>
      </c>
      <c r="Y521" s="5" t="s">
        <v>355</v>
      </c>
      <c r="Z521" s="5" t="s">
        <v>355</v>
      </c>
      <c r="AB521" s="5" t="s">
        <v>355</v>
      </c>
      <c r="AE521" s="5" t="s">
        <v>355</v>
      </c>
      <c r="AH521" s="5" t="s">
        <v>355</v>
      </c>
    </row>
    <row r="522">
      <c r="S522" s="5" t="s">
        <v>355</v>
      </c>
      <c r="T522" s="5" t="str">
        <f>IFERROR(__xludf.DUMMYFUNCTION("""COMPUTED_VALUE"""),"")</f>
        <v/>
      </c>
      <c r="U522" s="5" t="s">
        <v>355</v>
      </c>
      <c r="V522" s="5" t="s">
        <v>355</v>
      </c>
      <c r="W522" s="5" t="s">
        <v>355</v>
      </c>
      <c r="X522" s="5" t="str">
        <f>IFERROR(__xludf.DUMMYFUNCTION("""COMPUTED_VALUE"""),"")</f>
        <v/>
      </c>
      <c r="Y522" s="5" t="s">
        <v>355</v>
      </c>
      <c r="Z522" s="5" t="s">
        <v>355</v>
      </c>
      <c r="AB522" s="5" t="s">
        <v>355</v>
      </c>
      <c r="AE522" s="5" t="s">
        <v>355</v>
      </c>
      <c r="AH522" s="5" t="s">
        <v>355</v>
      </c>
    </row>
    <row r="523">
      <c r="S523" s="5" t="s">
        <v>355</v>
      </c>
      <c r="T523" s="5" t="str">
        <f>IFERROR(__xludf.DUMMYFUNCTION("""COMPUTED_VALUE"""),"")</f>
        <v/>
      </c>
      <c r="U523" s="5" t="s">
        <v>355</v>
      </c>
      <c r="V523" s="5" t="s">
        <v>355</v>
      </c>
      <c r="W523" s="5" t="s">
        <v>355</v>
      </c>
      <c r="X523" s="5" t="str">
        <f>IFERROR(__xludf.DUMMYFUNCTION("""COMPUTED_VALUE"""),"")</f>
        <v/>
      </c>
      <c r="Y523" s="5" t="s">
        <v>355</v>
      </c>
      <c r="Z523" s="5" t="s">
        <v>355</v>
      </c>
      <c r="AB523" s="5" t="s">
        <v>355</v>
      </c>
      <c r="AE523" s="5" t="s">
        <v>355</v>
      </c>
      <c r="AH523" s="5" t="s">
        <v>355</v>
      </c>
    </row>
    <row r="524">
      <c r="S524" s="5" t="s">
        <v>355</v>
      </c>
      <c r="T524" s="5" t="str">
        <f>IFERROR(__xludf.DUMMYFUNCTION("""COMPUTED_VALUE"""),"")</f>
        <v/>
      </c>
      <c r="U524" s="5" t="s">
        <v>355</v>
      </c>
      <c r="V524" s="5" t="s">
        <v>355</v>
      </c>
      <c r="W524" s="5" t="s">
        <v>355</v>
      </c>
      <c r="X524" s="5" t="str">
        <f>IFERROR(__xludf.DUMMYFUNCTION("""COMPUTED_VALUE"""),"")</f>
        <v/>
      </c>
      <c r="Y524" s="5" t="s">
        <v>355</v>
      </c>
      <c r="Z524" s="5" t="s">
        <v>355</v>
      </c>
      <c r="AB524" s="5" t="s">
        <v>355</v>
      </c>
      <c r="AE524" s="5" t="s">
        <v>355</v>
      </c>
      <c r="AH524" s="5" t="s">
        <v>355</v>
      </c>
    </row>
    <row r="525">
      <c r="S525" s="5" t="s">
        <v>355</v>
      </c>
      <c r="T525" s="5" t="str">
        <f>IFERROR(__xludf.DUMMYFUNCTION("""COMPUTED_VALUE"""),"")</f>
        <v/>
      </c>
      <c r="U525" s="5" t="s">
        <v>355</v>
      </c>
      <c r="V525" s="5" t="s">
        <v>355</v>
      </c>
      <c r="W525" s="5" t="s">
        <v>355</v>
      </c>
      <c r="X525" s="5" t="str">
        <f>IFERROR(__xludf.DUMMYFUNCTION("""COMPUTED_VALUE"""),"")</f>
        <v/>
      </c>
      <c r="Y525" s="5" t="s">
        <v>355</v>
      </c>
      <c r="Z525" s="5" t="s">
        <v>355</v>
      </c>
      <c r="AB525" s="5" t="s">
        <v>355</v>
      </c>
      <c r="AE525" s="5" t="s">
        <v>355</v>
      </c>
      <c r="AH525" s="5" t="s">
        <v>355</v>
      </c>
    </row>
    <row r="526">
      <c r="S526" s="5" t="s">
        <v>355</v>
      </c>
      <c r="T526" s="5" t="str">
        <f>IFERROR(__xludf.DUMMYFUNCTION("""COMPUTED_VALUE"""),"")</f>
        <v/>
      </c>
      <c r="U526" s="5" t="s">
        <v>355</v>
      </c>
      <c r="V526" s="5" t="s">
        <v>355</v>
      </c>
      <c r="W526" s="5" t="s">
        <v>355</v>
      </c>
      <c r="X526" s="5" t="str">
        <f>IFERROR(__xludf.DUMMYFUNCTION("""COMPUTED_VALUE"""),"")</f>
        <v/>
      </c>
      <c r="Y526" s="5" t="s">
        <v>355</v>
      </c>
      <c r="Z526" s="5" t="s">
        <v>355</v>
      </c>
      <c r="AB526" s="5" t="s">
        <v>355</v>
      </c>
      <c r="AE526" s="5" t="s">
        <v>355</v>
      </c>
      <c r="AH526" s="5" t="s">
        <v>355</v>
      </c>
    </row>
    <row r="527">
      <c r="S527" s="5" t="s">
        <v>355</v>
      </c>
      <c r="T527" s="5" t="str">
        <f>IFERROR(__xludf.DUMMYFUNCTION("""COMPUTED_VALUE"""),"")</f>
        <v/>
      </c>
      <c r="U527" s="5" t="s">
        <v>355</v>
      </c>
      <c r="V527" s="5" t="s">
        <v>355</v>
      </c>
      <c r="W527" s="5" t="s">
        <v>355</v>
      </c>
      <c r="X527" s="5" t="str">
        <f>IFERROR(__xludf.DUMMYFUNCTION("""COMPUTED_VALUE"""),"")</f>
        <v/>
      </c>
      <c r="Y527" s="5" t="s">
        <v>355</v>
      </c>
      <c r="Z527" s="5" t="s">
        <v>355</v>
      </c>
      <c r="AB527" s="5" t="s">
        <v>355</v>
      </c>
      <c r="AE527" s="5" t="s">
        <v>355</v>
      </c>
      <c r="AH527" s="5" t="s">
        <v>355</v>
      </c>
    </row>
    <row r="528">
      <c r="S528" s="5" t="s">
        <v>355</v>
      </c>
      <c r="T528" s="5" t="str">
        <f>IFERROR(__xludf.DUMMYFUNCTION("""COMPUTED_VALUE"""),"")</f>
        <v/>
      </c>
      <c r="U528" s="5" t="s">
        <v>355</v>
      </c>
      <c r="V528" s="5" t="s">
        <v>355</v>
      </c>
      <c r="W528" s="5" t="s">
        <v>355</v>
      </c>
      <c r="X528" s="5" t="str">
        <f>IFERROR(__xludf.DUMMYFUNCTION("""COMPUTED_VALUE"""),"")</f>
        <v/>
      </c>
      <c r="Y528" s="5" t="s">
        <v>355</v>
      </c>
      <c r="Z528" s="5" t="s">
        <v>355</v>
      </c>
      <c r="AB528" s="5" t="s">
        <v>355</v>
      </c>
      <c r="AE528" s="5" t="s">
        <v>355</v>
      </c>
      <c r="AH528" s="5" t="s">
        <v>355</v>
      </c>
    </row>
    <row r="529">
      <c r="S529" s="5" t="s">
        <v>355</v>
      </c>
      <c r="T529" s="5" t="str">
        <f>IFERROR(__xludf.DUMMYFUNCTION("""COMPUTED_VALUE"""),"")</f>
        <v/>
      </c>
      <c r="U529" s="5" t="s">
        <v>355</v>
      </c>
      <c r="V529" s="5" t="s">
        <v>355</v>
      </c>
      <c r="W529" s="5" t="s">
        <v>355</v>
      </c>
      <c r="X529" s="5" t="str">
        <f>IFERROR(__xludf.DUMMYFUNCTION("""COMPUTED_VALUE"""),"")</f>
        <v/>
      </c>
      <c r="Y529" s="5" t="s">
        <v>355</v>
      </c>
      <c r="Z529" s="5" t="s">
        <v>355</v>
      </c>
      <c r="AB529" s="5" t="s">
        <v>355</v>
      </c>
      <c r="AE529" s="5" t="s">
        <v>355</v>
      </c>
      <c r="AH529" s="5" t="s">
        <v>355</v>
      </c>
    </row>
    <row r="530">
      <c r="S530" s="5" t="s">
        <v>355</v>
      </c>
      <c r="T530" s="5" t="str">
        <f>IFERROR(__xludf.DUMMYFUNCTION("""COMPUTED_VALUE"""),"")</f>
        <v/>
      </c>
      <c r="U530" s="5" t="s">
        <v>355</v>
      </c>
      <c r="V530" s="5" t="s">
        <v>355</v>
      </c>
      <c r="W530" s="5" t="s">
        <v>355</v>
      </c>
      <c r="X530" s="5" t="str">
        <f>IFERROR(__xludf.DUMMYFUNCTION("""COMPUTED_VALUE"""),"")</f>
        <v/>
      </c>
      <c r="Y530" s="5" t="s">
        <v>355</v>
      </c>
      <c r="Z530" s="5" t="s">
        <v>355</v>
      </c>
      <c r="AB530" s="5" t="s">
        <v>355</v>
      </c>
      <c r="AE530" s="5" t="s">
        <v>355</v>
      </c>
      <c r="AH530" s="5" t="s">
        <v>355</v>
      </c>
    </row>
    <row r="531">
      <c r="S531" s="5" t="s">
        <v>355</v>
      </c>
      <c r="T531" s="5" t="str">
        <f>IFERROR(__xludf.DUMMYFUNCTION("""COMPUTED_VALUE"""),"")</f>
        <v/>
      </c>
      <c r="U531" s="5" t="s">
        <v>355</v>
      </c>
      <c r="V531" s="5" t="s">
        <v>355</v>
      </c>
      <c r="W531" s="5" t="s">
        <v>355</v>
      </c>
      <c r="X531" s="5" t="str">
        <f>IFERROR(__xludf.DUMMYFUNCTION("""COMPUTED_VALUE"""),"")</f>
        <v/>
      </c>
      <c r="Y531" s="5" t="s">
        <v>355</v>
      </c>
      <c r="Z531" s="5" t="s">
        <v>355</v>
      </c>
      <c r="AB531" s="5" t="s">
        <v>355</v>
      </c>
      <c r="AE531" s="5" t="s">
        <v>355</v>
      </c>
      <c r="AH531" s="5" t="s">
        <v>355</v>
      </c>
    </row>
    <row r="532">
      <c r="S532" s="5" t="s">
        <v>355</v>
      </c>
      <c r="T532" s="5" t="str">
        <f>IFERROR(__xludf.DUMMYFUNCTION("""COMPUTED_VALUE"""),"")</f>
        <v/>
      </c>
      <c r="U532" s="5" t="s">
        <v>355</v>
      </c>
      <c r="V532" s="5" t="s">
        <v>355</v>
      </c>
      <c r="W532" s="5" t="s">
        <v>355</v>
      </c>
      <c r="X532" s="5" t="str">
        <f>IFERROR(__xludf.DUMMYFUNCTION("""COMPUTED_VALUE"""),"")</f>
        <v/>
      </c>
      <c r="Y532" s="5" t="s">
        <v>355</v>
      </c>
      <c r="Z532" s="5" t="s">
        <v>355</v>
      </c>
      <c r="AB532" s="5" t="s">
        <v>355</v>
      </c>
      <c r="AE532" s="5" t="s">
        <v>355</v>
      </c>
      <c r="AH532" s="5" t="s">
        <v>355</v>
      </c>
    </row>
    <row r="533">
      <c r="S533" s="5" t="s">
        <v>355</v>
      </c>
      <c r="T533" s="5" t="str">
        <f>IFERROR(__xludf.DUMMYFUNCTION("""COMPUTED_VALUE"""),"")</f>
        <v/>
      </c>
      <c r="U533" s="5" t="s">
        <v>355</v>
      </c>
      <c r="V533" s="5" t="s">
        <v>355</v>
      </c>
      <c r="W533" s="5" t="s">
        <v>355</v>
      </c>
      <c r="X533" s="5" t="str">
        <f>IFERROR(__xludf.DUMMYFUNCTION("""COMPUTED_VALUE"""),"")</f>
        <v/>
      </c>
      <c r="Y533" s="5" t="s">
        <v>355</v>
      </c>
      <c r="Z533" s="5" t="s">
        <v>355</v>
      </c>
      <c r="AB533" s="5" t="s">
        <v>355</v>
      </c>
      <c r="AE533" s="5" t="s">
        <v>355</v>
      </c>
      <c r="AH533" s="5" t="s">
        <v>355</v>
      </c>
    </row>
    <row r="534">
      <c r="S534" s="5" t="s">
        <v>355</v>
      </c>
      <c r="T534" s="5" t="str">
        <f>IFERROR(__xludf.DUMMYFUNCTION("""COMPUTED_VALUE"""),"")</f>
        <v/>
      </c>
      <c r="U534" s="5" t="s">
        <v>355</v>
      </c>
      <c r="V534" s="5" t="s">
        <v>355</v>
      </c>
      <c r="W534" s="5" t="s">
        <v>355</v>
      </c>
      <c r="X534" s="5" t="str">
        <f>IFERROR(__xludf.DUMMYFUNCTION("""COMPUTED_VALUE"""),"")</f>
        <v/>
      </c>
      <c r="Y534" s="5" t="s">
        <v>355</v>
      </c>
      <c r="Z534" s="5" t="s">
        <v>355</v>
      </c>
      <c r="AB534" s="5" t="s">
        <v>355</v>
      </c>
      <c r="AE534" s="5" t="s">
        <v>355</v>
      </c>
      <c r="AH534" s="5" t="s">
        <v>355</v>
      </c>
    </row>
    <row r="535">
      <c r="S535" s="5" t="s">
        <v>355</v>
      </c>
      <c r="T535" s="5" t="str">
        <f>IFERROR(__xludf.DUMMYFUNCTION("""COMPUTED_VALUE"""),"")</f>
        <v/>
      </c>
      <c r="U535" s="5" t="s">
        <v>355</v>
      </c>
      <c r="V535" s="5" t="s">
        <v>355</v>
      </c>
      <c r="W535" s="5" t="s">
        <v>355</v>
      </c>
      <c r="X535" s="5" t="str">
        <f>IFERROR(__xludf.DUMMYFUNCTION("""COMPUTED_VALUE"""),"")</f>
        <v/>
      </c>
      <c r="Y535" s="5" t="s">
        <v>355</v>
      </c>
      <c r="Z535" s="5" t="s">
        <v>355</v>
      </c>
      <c r="AB535" s="5" t="s">
        <v>355</v>
      </c>
      <c r="AE535" s="5" t="s">
        <v>355</v>
      </c>
      <c r="AH535" s="5" t="s">
        <v>355</v>
      </c>
    </row>
    <row r="536">
      <c r="S536" s="5" t="s">
        <v>355</v>
      </c>
      <c r="T536" s="5" t="str">
        <f>IFERROR(__xludf.DUMMYFUNCTION("""COMPUTED_VALUE"""),"")</f>
        <v/>
      </c>
      <c r="U536" s="5" t="s">
        <v>355</v>
      </c>
      <c r="V536" s="5" t="s">
        <v>355</v>
      </c>
      <c r="W536" s="5" t="s">
        <v>355</v>
      </c>
      <c r="X536" s="5" t="str">
        <f>IFERROR(__xludf.DUMMYFUNCTION("""COMPUTED_VALUE"""),"")</f>
        <v/>
      </c>
      <c r="Y536" s="5" t="s">
        <v>355</v>
      </c>
      <c r="Z536" s="5" t="s">
        <v>355</v>
      </c>
      <c r="AB536" s="5" t="s">
        <v>355</v>
      </c>
      <c r="AE536" s="5" t="s">
        <v>355</v>
      </c>
      <c r="AH536" s="5" t="s">
        <v>355</v>
      </c>
    </row>
    <row r="537">
      <c r="S537" s="5" t="s">
        <v>355</v>
      </c>
      <c r="T537" s="5" t="str">
        <f>IFERROR(__xludf.DUMMYFUNCTION("""COMPUTED_VALUE"""),"")</f>
        <v/>
      </c>
      <c r="U537" s="5" t="s">
        <v>355</v>
      </c>
      <c r="V537" s="5" t="s">
        <v>355</v>
      </c>
      <c r="W537" s="5" t="s">
        <v>355</v>
      </c>
      <c r="X537" s="5" t="str">
        <f>IFERROR(__xludf.DUMMYFUNCTION("""COMPUTED_VALUE"""),"")</f>
        <v/>
      </c>
      <c r="Y537" s="5" t="s">
        <v>355</v>
      </c>
      <c r="Z537" s="5" t="s">
        <v>355</v>
      </c>
      <c r="AB537" s="5" t="s">
        <v>355</v>
      </c>
      <c r="AE537" s="5" t="s">
        <v>355</v>
      </c>
      <c r="AH537" s="5" t="s">
        <v>355</v>
      </c>
    </row>
    <row r="538">
      <c r="S538" s="5" t="s">
        <v>355</v>
      </c>
      <c r="T538" s="5" t="str">
        <f>IFERROR(__xludf.DUMMYFUNCTION("""COMPUTED_VALUE"""),"")</f>
        <v/>
      </c>
      <c r="U538" s="5" t="s">
        <v>355</v>
      </c>
      <c r="V538" s="5" t="s">
        <v>355</v>
      </c>
      <c r="W538" s="5" t="s">
        <v>355</v>
      </c>
      <c r="X538" s="5" t="str">
        <f>IFERROR(__xludf.DUMMYFUNCTION("""COMPUTED_VALUE"""),"")</f>
        <v/>
      </c>
      <c r="Y538" s="5" t="s">
        <v>355</v>
      </c>
      <c r="Z538" s="5" t="s">
        <v>355</v>
      </c>
      <c r="AB538" s="5" t="s">
        <v>355</v>
      </c>
      <c r="AE538" s="5" t="s">
        <v>355</v>
      </c>
      <c r="AH538" s="5" t="s">
        <v>355</v>
      </c>
    </row>
    <row r="539">
      <c r="S539" s="5" t="s">
        <v>355</v>
      </c>
      <c r="T539" s="5" t="str">
        <f>IFERROR(__xludf.DUMMYFUNCTION("""COMPUTED_VALUE"""),"")</f>
        <v/>
      </c>
      <c r="U539" s="5" t="s">
        <v>355</v>
      </c>
      <c r="V539" s="5" t="s">
        <v>355</v>
      </c>
      <c r="W539" s="5" t="s">
        <v>355</v>
      </c>
      <c r="X539" s="5" t="str">
        <f>IFERROR(__xludf.DUMMYFUNCTION("""COMPUTED_VALUE"""),"")</f>
        <v/>
      </c>
      <c r="Y539" s="5" t="s">
        <v>355</v>
      </c>
      <c r="Z539" s="5" t="s">
        <v>355</v>
      </c>
      <c r="AB539" s="5" t="s">
        <v>355</v>
      </c>
      <c r="AE539" s="5" t="s">
        <v>355</v>
      </c>
      <c r="AH539" s="5" t="s">
        <v>355</v>
      </c>
    </row>
    <row r="540">
      <c r="S540" s="5" t="s">
        <v>355</v>
      </c>
      <c r="T540" s="5" t="str">
        <f>IFERROR(__xludf.DUMMYFUNCTION("""COMPUTED_VALUE"""),"")</f>
        <v/>
      </c>
      <c r="U540" s="5" t="s">
        <v>355</v>
      </c>
      <c r="V540" s="5" t="s">
        <v>355</v>
      </c>
      <c r="W540" s="5" t="s">
        <v>355</v>
      </c>
      <c r="X540" s="5" t="str">
        <f>IFERROR(__xludf.DUMMYFUNCTION("""COMPUTED_VALUE"""),"")</f>
        <v/>
      </c>
      <c r="Y540" s="5" t="s">
        <v>355</v>
      </c>
      <c r="Z540" s="5" t="s">
        <v>355</v>
      </c>
      <c r="AB540" s="5" t="s">
        <v>355</v>
      </c>
      <c r="AE540" s="5" t="s">
        <v>355</v>
      </c>
      <c r="AH540" s="5" t="s">
        <v>355</v>
      </c>
    </row>
    <row r="541">
      <c r="S541" s="5" t="s">
        <v>355</v>
      </c>
      <c r="T541" s="5" t="str">
        <f>IFERROR(__xludf.DUMMYFUNCTION("""COMPUTED_VALUE"""),"")</f>
        <v/>
      </c>
      <c r="U541" s="5" t="s">
        <v>355</v>
      </c>
      <c r="V541" s="5" t="s">
        <v>355</v>
      </c>
      <c r="W541" s="5" t="s">
        <v>355</v>
      </c>
      <c r="X541" s="5" t="str">
        <f>IFERROR(__xludf.DUMMYFUNCTION("""COMPUTED_VALUE"""),"")</f>
        <v/>
      </c>
      <c r="Y541" s="5" t="s">
        <v>355</v>
      </c>
      <c r="Z541" s="5" t="s">
        <v>355</v>
      </c>
      <c r="AB541" s="5" t="s">
        <v>355</v>
      </c>
      <c r="AE541" s="5" t="s">
        <v>355</v>
      </c>
      <c r="AH541" s="5" t="s">
        <v>355</v>
      </c>
    </row>
    <row r="542">
      <c r="S542" s="5" t="s">
        <v>355</v>
      </c>
      <c r="T542" s="5" t="str">
        <f>IFERROR(__xludf.DUMMYFUNCTION("""COMPUTED_VALUE"""),"")</f>
        <v/>
      </c>
      <c r="U542" s="5" t="s">
        <v>355</v>
      </c>
      <c r="V542" s="5" t="s">
        <v>355</v>
      </c>
      <c r="W542" s="5" t="s">
        <v>355</v>
      </c>
      <c r="X542" s="5" t="str">
        <f>IFERROR(__xludf.DUMMYFUNCTION("""COMPUTED_VALUE"""),"")</f>
        <v/>
      </c>
      <c r="Y542" s="5" t="s">
        <v>355</v>
      </c>
      <c r="Z542" s="5" t="s">
        <v>355</v>
      </c>
      <c r="AB542" s="5" t="s">
        <v>355</v>
      </c>
      <c r="AE542" s="5" t="s">
        <v>355</v>
      </c>
      <c r="AH542" s="5" t="s">
        <v>355</v>
      </c>
    </row>
    <row r="543">
      <c r="S543" s="5" t="s">
        <v>355</v>
      </c>
      <c r="T543" s="5" t="str">
        <f>IFERROR(__xludf.DUMMYFUNCTION("""COMPUTED_VALUE"""),"")</f>
        <v/>
      </c>
      <c r="U543" s="5" t="s">
        <v>355</v>
      </c>
      <c r="V543" s="5" t="s">
        <v>355</v>
      </c>
      <c r="W543" s="5" t="s">
        <v>355</v>
      </c>
      <c r="X543" s="5" t="str">
        <f>IFERROR(__xludf.DUMMYFUNCTION("""COMPUTED_VALUE"""),"")</f>
        <v/>
      </c>
      <c r="Y543" s="5" t="s">
        <v>355</v>
      </c>
      <c r="Z543" s="5" t="s">
        <v>355</v>
      </c>
      <c r="AB543" s="5" t="s">
        <v>355</v>
      </c>
      <c r="AE543" s="5" t="s">
        <v>355</v>
      </c>
      <c r="AH543" s="5" t="s">
        <v>355</v>
      </c>
    </row>
    <row r="544">
      <c r="S544" s="5" t="s">
        <v>355</v>
      </c>
      <c r="T544" s="5" t="str">
        <f>IFERROR(__xludf.DUMMYFUNCTION("""COMPUTED_VALUE"""),"")</f>
        <v/>
      </c>
      <c r="U544" s="5" t="s">
        <v>355</v>
      </c>
      <c r="V544" s="5" t="s">
        <v>355</v>
      </c>
      <c r="W544" s="5" t="s">
        <v>355</v>
      </c>
      <c r="X544" s="5" t="str">
        <f>IFERROR(__xludf.DUMMYFUNCTION("""COMPUTED_VALUE"""),"")</f>
        <v/>
      </c>
      <c r="Y544" s="5" t="s">
        <v>355</v>
      </c>
      <c r="Z544" s="5" t="s">
        <v>355</v>
      </c>
      <c r="AB544" s="5" t="s">
        <v>355</v>
      </c>
      <c r="AE544" s="5" t="s">
        <v>355</v>
      </c>
      <c r="AH544" s="5" t="s">
        <v>355</v>
      </c>
    </row>
    <row r="545">
      <c r="S545" s="5" t="s">
        <v>355</v>
      </c>
      <c r="T545" s="5" t="str">
        <f>IFERROR(__xludf.DUMMYFUNCTION("""COMPUTED_VALUE"""),"")</f>
        <v/>
      </c>
      <c r="U545" s="5" t="s">
        <v>355</v>
      </c>
      <c r="V545" s="5" t="s">
        <v>355</v>
      </c>
      <c r="W545" s="5" t="s">
        <v>355</v>
      </c>
      <c r="X545" s="5" t="str">
        <f>IFERROR(__xludf.DUMMYFUNCTION("""COMPUTED_VALUE"""),"")</f>
        <v/>
      </c>
      <c r="Y545" s="5" t="s">
        <v>355</v>
      </c>
      <c r="Z545" s="5" t="s">
        <v>355</v>
      </c>
      <c r="AB545" s="5" t="s">
        <v>355</v>
      </c>
      <c r="AE545" s="5" t="s">
        <v>355</v>
      </c>
      <c r="AH545" s="5" t="s">
        <v>355</v>
      </c>
    </row>
    <row r="546">
      <c r="S546" s="5" t="s">
        <v>355</v>
      </c>
      <c r="T546" s="5" t="str">
        <f>IFERROR(__xludf.DUMMYFUNCTION("""COMPUTED_VALUE"""),"")</f>
        <v/>
      </c>
      <c r="U546" s="5" t="s">
        <v>355</v>
      </c>
      <c r="V546" s="5" t="s">
        <v>355</v>
      </c>
      <c r="W546" s="5" t="s">
        <v>355</v>
      </c>
      <c r="X546" s="5" t="str">
        <f>IFERROR(__xludf.DUMMYFUNCTION("""COMPUTED_VALUE"""),"")</f>
        <v/>
      </c>
      <c r="Y546" s="5" t="s">
        <v>355</v>
      </c>
      <c r="Z546" s="5" t="s">
        <v>355</v>
      </c>
      <c r="AB546" s="5" t="s">
        <v>355</v>
      </c>
      <c r="AE546" s="5" t="s">
        <v>355</v>
      </c>
      <c r="AH546" s="5" t="s">
        <v>355</v>
      </c>
    </row>
    <row r="547">
      <c r="S547" s="5" t="s">
        <v>355</v>
      </c>
      <c r="T547" s="5" t="str">
        <f>IFERROR(__xludf.DUMMYFUNCTION("""COMPUTED_VALUE"""),"")</f>
        <v/>
      </c>
      <c r="U547" s="5" t="s">
        <v>355</v>
      </c>
      <c r="V547" s="5" t="s">
        <v>355</v>
      </c>
      <c r="W547" s="5" t="s">
        <v>355</v>
      </c>
      <c r="X547" s="5" t="str">
        <f>IFERROR(__xludf.DUMMYFUNCTION("""COMPUTED_VALUE"""),"")</f>
        <v/>
      </c>
      <c r="Y547" s="5" t="s">
        <v>355</v>
      </c>
      <c r="Z547" s="5" t="s">
        <v>355</v>
      </c>
      <c r="AB547" s="5" t="s">
        <v>355</v>
      </c>
      <c r="AE547" s="5" t="s">
        <v>355</v>
      </c>
      <c r="AH547" s="5" t="s">
        <v>355</v>
      </c>
    </row>
    <row r="548">
      <c r="S548" s="5" t="s">
        <v>355</v>
      </c>
      <c r="T548" s="5" t="str">
        <f>IFERROR(__xludf.DUMMYFUNCTION("""COMPUTED_VALUE"""),"")</f>
        <v/>
      </c>
      <c r="U548" s="5" t="s">
        <v>355</v>
      </c>
      <c r="V548" s="5" t="s">
        <v>355</v>
      </c>
      <c r="W548" s="5" t="s">
        <v>355</v>
      </c>
      <c r="X548" s="5" t="str">
        <f>IFERROR(__xludf.DUMMYFUNCTION("""COMPUTED_VALUE"""),"")</f>
        <v/>
      </c>
      <c r="Y548" s="5" t="s">
        <v>355</v>
      </c>
      <c r="Z548" s="5" t="s">
        <v>355</v>
      </c>
      <c r="AB548" s="5" t="s">
        <v>355</v>
      </c>
      <c r="AE548" s="5" t="s">
        <v>355</v>
      </c>
      <c r="AH548" s="5" t="s">
        <v>355</v>
      </c>
    </row>
    <row r="549">
      <c r="S549" s="5" t="s">
        <v>355</v>
      </c>
      <c r="T549" s="5" t="str">
        <f>IFERROR(__xludf.DUMMYFUNCTION("""COMPUTED_VALUE"""),"")</f>
        <v/>
      </c>
      <c r="U549" s="5" t="s">
        <v>355</v>
      </c>
      <c r="V549" s="5" t="s">
        <v>355</v>
      </c>
      <c r="W549" s="5" t="s">
        <v>355</v>
      </c>
      <c r="X549" s="5" t="str">
        <f>IFERROR(__xludf.DUMMYFUNCTION("""COMPUTED_VALUE"""),"")</f>
        <v/>
      </c>
      <c r="Y549" s="5" t="s">
        <v>355</v>
      </c>
      <c r="Z549" s="5" t="s">
        <v>355</v>
      </c>
      <c r="AB549" s="5" t="s">
        <v>355</v>
      </c>
      <c r="AE549" s="5" t="s">
        <v>355</v>
      </c>
      <c r="AH549" s="5" t="s">
        <v>355</v>
      </c>
    </row>
    <row r="550">
      <c r="S550" s="5" t="s">
        <v>355</v>
      </c>
      <c r="T550" s="5" t="str">
        <f>IFERROR(__xludf.DUMMYFUNCTION("""COMPUTED_VALUE"""),"")</f>
        <v/>
      </c>
      <c r="U550" s="5" t="s">
        <v>355</v>
      </c>
      <c r="V550" s="5" t="s">
        <v>355</v>
      </c>
      <c r="W550" s="5" t="s">
        <v>355</v>
      </c>
      <c r="X550" s="5" t="str">
        <f>IFERROR(__xludf.DUMMYFUNCTION("""COMPUTED_VALUE"""),"")</f>
        <v/>
      </c>
      <c r="Y550" s="5" t="s">
        <v>355</v>
      </c>
      <c r="Z550" s="5" t="s">
        <v>355</v>
      </c>
      <c r="AB550" s="5" t="s">
        <v>355</v>
      </c>
      <c r="AE550" s="5" t="s">
        <v>355</v>
      </c>
      <c r="AH550" s="5" t="s">
        <v>355</v>
      </c>
    </row>
    <row r="551">
      <c r="S551" s="5" t="s">
        <v>355</v>
      </c>
      <c r="T551" s="5" t="str">
        <f>IFERROR(__xludf.DUMMYFUNCTION("""COMPUTED_VALUE"""),"")</f>
        <v/>
      </c>
      <c r="U551" s="5" t="s">
        <v>355</v>
      </c>
      <c r="V551" s="5" t="s">
        <v>355</v>
      </c>
      <c r="W551" s="5" t="s">
        <v>355</v>
      </c>
      <c r="X551" s="5" t="str">
        <f>IFERROR(__xludf.DUMMYFUNCTION("""COMPUTED_VALUE"""),"")</f>
        <v/>
      </c>
      <c r="Y551" s="5" t="s">
        <v>355</v>
      </c>
      <c r="Z551" s="5" t="s">
        <v>355</v>
      </c>
      <c r="AB551" s="5" t="s">
        <v>355</v>
      </c>
      <c r="AE551" s="5" t="s">
        <v>355</v>
      </c>
      <c r="AH551" s="5" t="s">
        <v>355</v>
      </c>
    </row>
    <row r="552">
      <c r="S552" s="5" t="s">
        <v>355</v>
      </c>
      <c r="T552" s="5" t="str">
        <f>IFERROR(__xludf.DUMMYFUNCTION("""COMPUTED_VALUE"""),"")</f>
        <v/>
      </c>
      <c r="U552" s="5" t="s">
        <v>355</v>
      </c>
      <c r="V552" s="5" t="s">
        <v>355</v>
      </c>
      <c r="W552" s="5" t="s">
        <v>355</v>
      </c>
      <c r="X552" s="5" t="str">
        <f>IFERROR(__xludf.DUMMYFUNCTION("""COMPUTED_VALUE"""),"")</f>
        <v/>
      </c>
      <c r="Y552" s="5" t="s">
        <v>355</v>
      </c>
      <c r="Z552" s="5" t="s">
        <v>355</v>
      </c>
      <c r="AB552" s="5" t="s">
        <v>355</v>
      </c>
      <c r="AE552" s="5" t="s">
        <v>355</v>
      </c>
      <c r="AH552" s="5" t="s">
        <v>355</v>
      </c>
    </row>
    <row r="553">
      <c r="S553" s="5" t="s">
        <v>355</v>
      </c>
      <c r="T553" s="5" t="str">
        <f>IFERROR(__xludf.DUMMYFUNCTION("""COMPUTED_VALUE"""),"")</f>
        <v/>
      </c>
      <c r="U553" s="5" t="s">
        <v>355</v>
      </c>
      <c r="V553" s="5" t="s">
        <v>355</v>
      </c>
      <c r="W553" s="5" t="s">
        <v>355</v>
      </c>
      <c r="X553" s="5" t="str">
        <f>IFERROR(__xludf.DUMMYFUNCTION("""COMPUTED_VALUE"""),"")</f>
        <v/>
      </c>
      <c r="Y553" s="5" t="s">
        <v>355</v>
      </c>
      <c r="Z553" s="5" t="s">
        <v>355</v>
      </c>
      <c r="AB553" s="5" t="s">
        <v>355</v>
      </c>
      <c r="AE553" s="5" t="s">
        <v>355</v>
      </c>
      <c r="AH553" s="5" t="s">
        <v>355</v>
      </c>
    </row>
    <row r="554">
      <c r="S554" s="5" t="s">
        <v>355</v>
      </c>
      <c r="T554" s="5" t="str">
        <f>IFERROR(__xludf.DUMMYFUNCTION("""COMPUTED_VALUE"""),"")</f>
        <v/>
      </c>
      <c r="U554" s="5" t="s">
        <v>355</v>
      </c>
      <c r="V554" s="5" t="s">
        <v>355</v>
      </c>
      <c r="W554" s="5" t="s">
        <v>355</v>
      </c>
      <c r="X554" s="5" t="str">
        <f>IFERROR(__xludf.DUMMYFUNCTION("""COMPUTED_VALUE"""),"")</f>
        <v/>
      </c>
      <c r="Y554" s="5" t="s">
        <v>355</v>
      </c>
      <c r="Z554" s="5" t="s">
        <v>355</v>
      </c>
      <c r="AB554" s="5" t="s">
        <v>355</v>
      </c>
      <c r="AE554" s="5" t="s">
        <v>355</v>
      </c>
      <c r="AH554" s="5" t="s">
        <v>355</v>
      </c>
    </row>
    <row r="555">
      <c r="S555" s="5" t="s">
        <v>355</v>
      </c>
      <c r="T555" s="5" t="str">
        <f>IFERROR(__xludf.DUMMYFUNCTION("""COMPUTED_VALUE"""),"")</f>
        <v/>
      </c>
      <c r="U555" s="5" t="s">
        <v>355</v>
      </c>
      <c r="V555" s="5" t="s">
        <v>355</v>
      </c>
      <c r="W555" s="5" t="s">
        <v>355</v>
      </c>
      <c r="X555" s="5" t="str">
        <f>IFERROR(__xludf.DUMMYFUNCTION("""COMPUTED_VALUE"""),"")</f>
        <v/>
      </c>
      <c r="Y555" s="5" t="s">
        <v>355</v>
      </c>
      <c r="Z555" s="5" t="s">
        <v>355</v>
      </c>
      <c r="AB555" s="5" t="s">
        <v>355</v>
      </c>
      <c r="AE555" s="5" t="s">
        <v>355</v>
      </c>
      <c r="AH555" s="5" t="s">
        <v>355</v>
      </c>
    </row>
    <row r="556">
      <c r="S556" s="5" t="s">
        <v>355</v>
      </c>
      <c r="T556" s="5" t="str">
        <f>IFERROR(__xludf.DUMMYFUNCTION("""COMPUTED_VALUE"""),"")</f>
        <v/>
      </c>
      <c r="U556" s="5" t="s">
        <v>355</v>
      </c>
      <c r="V556" s="5" t="s">
        <v>355</v>
      </c>
      <c r="W556" s="5" t="s">
        <v>355</v>
      </c>
      <c r="X556" s="5" t="str">
        <f>IFERROR(__xludf.DUMMYFUNCTION("""COMPUTED_VALUE"""),"")</f>
        <v/>
      </c>
      <c r="Y556" s="5" t="s">
        <v>355</v>
      </c>
      <c r="Z556" s="5" t="s">
        <v>355</v>
      </c>
      <c r="AB556" s="5" t="s">
        <v>355</v>
      </c>
      <c r="AE556" s="5" t="s">
        <v>355</v>
      </c>
      <c r="AH556" s="5" t="s">
        <v>355</v>
      </c>
    </row>
    <row r="557">
      <c r="S557" s="5" t="s">
        <v>355</v>
      </c>
      <c r="T557" s="5" t="str">
        <f>IFERROR(__xludf.DUMMYFUNCTION("""COMPUTED_VALUE"""),"")</f>
        <v/>
      </c>
      <c r="U557" s="5" t="s">
        <v>355</v>
      </c>
      <c r="V557" s="5" t="s">
        <v>355</v>
      </c>
      <c r="W557" s="5" t="s">
        <v>355</v>
      </c>
      <c r="X557" s="5" t="str">
        <f>IFERROR(__xludf.DUMMYFUNCTION("""COMPUTED_VALUE"""),"")</f>
        <v/>
      </c>
      <c r="Y557" s="5" t="s">
        <v>355</v>
      </c>
      <c r="Z557" s="5" t="s">
        <v>355</v>
      </c>
      <c r="AB557" s="5" t="s">
        <v>355</v>
      </c>
      <c r="AE557" s="5" t="s">
        <v>355</v>
      </c>
      <c r="AH557" s="5" t="s">
        <v>355</v>
      </c>
    </row>
    <row r="558">
      <c r="S558" s="5" t="s">
        <v>355</v>
      </c>
      <c r="T558" s="5" t="str">
        <f>IFERROR(__xludf.DUMMYFUNCTION("""COMPUTED_VALUE"""),"")</f>
        <v/>
      </c>
      <c r="U558" s="5" t="s">
        <v>355</v>
      </c>
      <c r="V558" s="5" t="s">
        <v>355</v>
      </c>
      <c r="W558" s="5" t="s">
        <v>355</v>
      </c>
      <c r="X558" s="5" t="str">
        <f>IFERROR(__xludf.DUMMYFUNCTION("""COMPUTED_VALUE"""),"")</f>
        <v/>
      </c>
      <c r="Y558" s="5" t="s">
        <v>355</v>
      </c>
      <c r="Z558" s="5" t="s">
        <v>355</v>
      </c>
      <c r="AB558" s="5" t="s">
        <v>355</v>
      </c>
      <c r="AE558" s="5" t="s">
        <v>355</v>
      </c>
      <c r="AH558" s="5" t="s">
        <v>355</v>
      </c>
    </row>
    <row r="559">
      <c r="S559" s="5" t="s">
        <v>355</v>
      </c>
      <c r="T559" s="5" t="str">
        <f>IFERROR(__xludf.DUMMYFUNCTION("""COMPUTED_VALUE"""),"")</f>
        <v/>
      </c>
      <c r="U559" s="5" t="s">
        <v>355</v>
      </c>
      <c r="V559" s="5" t="s">
        <v>355</v>
      </c>
      <c r="W559" s="5" t="s">
        <v>355</v>
      </c>
      <c r="X559" s="5" t="str">
        <f>IFERROR(__xludf.DUMMYFUNCTION("""COMPUTED_VALUE"""),"")</f>
        <v/>
      </c>
      <c r="Y559" s="5" t="s">
        <v>355</v>
      </c>
      <c r="Z559" s="5" t="s">
        <v>355</v>
      </c>
      <c r="AB559" s="5" t="s">
        <v>355</v>
      </c>
      <c r="AE559" s="5" t="s">
        <v>355</v>
      </c>
      <c r="AH559" s="5" t="s">
        <v>355</v>
      </c>
    </row>
    <row r="560">
      <c r="S560" s="5" t="s">
        <v>355</v>
      </c>
      <c r="T560" s="5" t="str">
        <f>IFERROR(__xludf.DUMMYFUNCTION("""COMPUTED_VALUE"""),"")</f>
        <v/>
      </c>
      <c r="U560" s="5" t="s">
        <v>355</v>
      </c>
      <c r="V560" s="5" t="s">
        <v>355</v>
      </c>
      <c r="W560" s="5" t="s">
        <v>355</v>
      </c>
      <c r="X560" s="5" t="str">
        <f>IFERROR(__xludf.DUMMYFUNCTION("""COMPUTED_VALUE"""),"")</f>
        <v/>
      </c>
      <c r="Y560" s="5" t="s">
        <v>355</v>
      </c>
      <c r="Z560" s="5" t="s">
        <v>355</v>
      </c>
      <c r="AB560" s="5" t="s">
        <v>355</v>
      </c>
      <c r="AE560" s="5" t="s">
        <v>355</v>
      </c>
      <c r="AH560" s="5" t="s">
        <v>355</v>
      </c>
    </row>
    <row r="561">
      <c r="S561" s="5" t="s">
        <v>355</v>
      </c>
      <c r="T561" s="5" t="str">
        <f>IFERROR(__xludf.DUMMYFUNCTION("""COMPUTED_VALUE"""),"")</f>
        <v/>
      </c>
      <c r="U561" s="5" t="s">
        <v>355</v>
      </c>
      <c r="V561" s="5" t="s">
        <v>355</v>
      </c>
      <c r="W561" s="5" t="s">
        <v>355</v>
      </c>
      <c r="X561" s="5" t="str">
        <f>IFERROR(__xludf.DUMMYFUNCTION("""COMPUTED_VALUE"""),"")</f>
        <v/>
      </c>
      <c r="Y561" s="5" t="s">
        <v>355</v>
      </c>
      <c r="Z561" s="5" t="s">
        <v>355</v>
      </c>
      <c r="AB561" s="5" t="s">
        <v>355</v>
      </c>
      <c r="AE561" s="5" t="s">
        <v>355</v>
      </c>
      <c r="AH561" s="5" t="s">
        <v>355</v>
      </c>
    </row>
    <row r="562">
      <c r="S562" s="5" t="s">
        <v>355</v>
      </c>
      <c r="T562" s="5" t="str">
        <f>IFERROR(__xludf.DUMMYFUNCTION("""COMPUTED_VALUE"""),"")</f>
        <v/>
      </c>
      <c r="U562" s="5" t="s">
        <v>355</v>
      </c>
      <c r="V562" s="5" t="s">
        <v>355</v>
      </c>
      <c r="W562" s="5" t="s">
        <v>355</v>
      </c>
      <c r="X562" s="5" t="str">
        <f>IFERROR(__xludf.DUMMYFUNCTION("""COMPUTED_VALUE"""),"")</f>
        <v/>
      </c>
      <c r="Y562" s="5" t="s">
        <v>355</v>
      </c>
      <c r="Z562" s="5" t="s">
        <v>355</v>
      </c>
      <c r="AB562" s="5" t="s">
        <v>355</v>
      </c>
      <c r="AE562" s="5" t="s">
        <v>355</v>
      </c>
      <c r="AH562" s="5" t="s">
        <v>355</v>
      </c>
    </row>
    <row r="563">
      <c r="S563" s="5" t="s">
        <v>355</v>
      </c>
      <c r="T563" s="5" t="str">
        <f>IFERROR(__xludf.DUMMYFUNCTION("""COMPUTED_VALUE"""),"")</f>
        <v/>
      </c>
      <c r="U563" s="5" t="s">
        <v>355</v>
      </c>
      <c r="V563" s="5" t="s">
        <v>355</v>
      </c>
      <c r="W563" s="5" t="s">
        <v>355</v>
      </c>
      <c r="X563" s="5" t="str">
        <f>IFERROR(__xludf.DUMMYFUNCTION("""COMPUTED_VALUE"""),"")</f>
        <v/>
      </c>
      <c r="Y563" s="5" t="s">
        <v>355</v>
      </c>
      <c r="Z563" s="5" t="s">
        <v>355</v>
      </c>
      <c r="AB563" s="5" t="s">
        <v>355</v>
      </c>
      <c r="AE563" s="5" t="s">
        <v>355</v>
      </c>
      <c r="AH563" s="5" t="s">
        <v>355</v>
      </c>
    </row>
    <row r="564">
      <c r="S564" s="5" t="s">
        <v>355</v>
      </c>
      <c r="T564" s="5" t="str">
        <f>IFERROR(__xludf.DUMMYFUNCTION("""COMPUTED_VALUE"""),"")</f>
        <v/>
      </c>
      <c r="U564" s="5" t="s">
        <v>355</v>
      </c>
      <c r="V564" s="5" t="s">
        <v>355</v>
      </c>
      <c r="W564" s="5" t="s">
        <v>355</v>
      </c>
      <c r="X564" s="5" t="str">
        <f>IFERROR(__xludf.DUMMYFUNCTION("""COMPUTED_VALUE"""),"")</f>
        <v/>
      </c>
      <c r="Y564" s="5" t="s">
        <v>355</v>
      </c>
      <c r="Z564" s="5" t="s">
        <v>355</v>
      </c>
      <c r="AB564" s="5" t="s">
        <v>355</v>
      </c>
      <c r="AE564" s="5" t="s">
        <v>355</v>
      </c>
      <c r="AH564" s="5" t="s">
        <v>355</v>
      </c>
    </row>
    <row r="565">
      <c r="S565" s="5" t="s">
        <v>355</v>
      </c>
      <c r="T565" s="5" t="str">
        <f>IFERROR(__xludf.DUMMYFUNCTION("""COMPUTED_VALUE"""),"")</f>
        <v/>
      </c>
      <c r="U565" s="5" t="s">
        <v>355</v>
      </c>
      <c r="V565" s="5" t="s">
        <v>355</v>
      </c>
      <c r="W565" s="5" t="s">
        <v>355</v>
      </c>
      <c r="X565" s="5" t="str">
        <f>IFERROR(__xludf.DUMMYFUNCTION("""COMPUTED_VALUE"""),"")</f>
        <v/>
      </c>
      <c r="Y565" s="5" t="s">
        <v>355</v>
      </c>
      <c r="Z565" s="5" t="s">
        <v>355</v>
      </c>
      <c r="AB565" s="5" t="s">
        <v>355</v>
      </c>
      <c r="AE565" s="5" t="s">
        <v>355</v>
      </c>
      <c r="AH565" s="5" t="s">
        <v>355</v>
      </c>
    </row>
    <row r="566">
      <c r="S566" s="5" t="s">
        <v>355</v>
      </c>
      <c r="T566" s="5" t="str">
        <f>IFERROR(__xludf.DUMMYFUNCTION("""COMPUTED_VALUE"""),"")</f>
        <v/>
      </c>
      <c r="U566" s="5" t="s">
        <v>355</v>
      </c>
      <c r="V566" s="5" t="s">
        <v>355</v>
      </c>
      <c r="W566" s="5" t="s">
        <v>355</v>
      </c>
      <c r="X566" s="5" t="str">
        <f>IFERROR(__xludf.DUMMYFUNCTION("""COMPUTED_VALUE"""),"")</f>
        <v/>
      </c>
      <c r="Y566" s="5" t="s">
        <v>355</v>
      </c>
      <c r="Z566" s="5" t="s">
        <v>355</v>
      </c>
      <c r="AB566" s="5" t="s">
        <v>355</v>
      </c>
      <c r="AE566" s="5" t="s">
        <v>355</v>
      </c>
      <c r="AH566" s="5" t="s">
        <v>355</v>
      </c>
    </row>
    <row r="567">
      <c r="S567" s="5" t="s">
        <v>355</v>
      </c>
      <c r="T567" s="5" t="str">
        <f>IFERROR(__xludf.DUMMYFUNCTION("""COMPUTED_VALUE"""),"")</f>
        <v/>
      </c>
      <c r="U567" s="5" t="s">
        <v>355</v>
      </c>
      <c r="V567" s="5" t="s">
        <v>355</v>
      </c>
      <c r="W567" s="5" t="s">
        <v>355</v>
      </c>
      <c r="X567" s="5" t="str">
        <f>IFERROR(__xludf.DUMMYFUNCTION("""COMPUTED_VALUE"""),"")</f>
        <v/>
      </c>
      <c r="Y567" s="5" t="s">
        <v>355</v>
      </c>
      <c r="Z567" s="5" t="s">
        <v>355</v>
      </c>
      <c r="AB567" s="5" t="s">
        <v>355</v>
      </c>
      <c r="AE567" s="5" t="s">
        <v>355</v>
      </c>
      <c r="AH567" s="5" t="s">
        <v>355</v>
      </c>
    </row>
    <row r="568">
      <c r="S568" s="5" t="s">
        <v>355</v>
      </c>
      <c r="T568" s="5" t="str">
        <f>IFERROR(__xludf.DUMMYFUNCTION("""COMPUTED_VALUE"""),"")</f>
        <v/>
      </c>
      <c r="U568" s="5" t="s">
        <v>355</v>
      </c>
      <c r="V568" s="5" t="s">
        <v>355</v>
      </c>
      <c r="W568" s="5" t="s">
        <v>355</v>
      </c>
      <c r="X568" s="5" t="str">
        <f>IFERROR(__xludf.DUMMYFUNCTION("""COMPUTED_VALUE"""),"")</f>
        <v/>
      </c>
      <c r="Y568" s="5" t="s">
        <v>355</v>
      </c>
      <c r="Z568" s="5" t="s">
        <v>355</v>
      </c>
      <c r="AB568" s="5" t="s">
        <v>355</v>
      </c>
      <c r="AE568" s="5" t="s">
        <v>355</v>
      </c>
      <c r="AH568" s="5" t="s">
        <v>355</v>
      </c>
    </row>
    <row r="569">
      <c r="S569" s="5" t="s">
        <v>355</v>
      </c>
      <c r="T569" s="5" t="str">
        <f>IFERROR(__xludf.DUMMYFUNCTION("""COMPUTED_VALUE"""),"")</f>
        <v/>
      </c>
      <c r="U569" s="5" t="s">
        <v>355</v>
      </c>
      <c r="V569" s="5" t="s">
        <v>355</v>
      </c>
      <c r="W569" s="5" t="s">
        <v>355</v>
      </c>
      <c r="X569" s="5" t="str">
        <f>IFERROR(__xludf.DUMMYFUNCTION("""COMPUTED_VALUE"""),"")</f>
        <v/>
      </c>
      <c r="Y569" s="5" t="s">
        <v>355</v>
      </c>
      <c r="Z569" s="5" t="s">
        <v>355</v>
      </c>
      <c r="AB569" s="5" t="s">
        <v>355</v>
      </c>
      <c r="AE569" s="5" t="s">
        <v>355</v>
      </c>
      <c r="AH569" s="5" t="s">
        <v>355</v>
      </c>
    </row>
    <row r="570">
      <c r="S570" s="5" t="s">
        <v>355</v>
      </c>
      <c r="T570" s="5" t="str">
        <f>IFERROR(__xludf.DUMMYFUNCTION("""COMPUTED_VALUE"""),"")</f>
        <v/>
      </c>
      <c r="U570" s="5" t="s">
        <v>355</v>
      </c>
      <c r="V570" s="5" t="s">
        <v>355</v>
      </c>
      <c r="W570" s="5" t="s">
        <v>355</v>
      </c>
      <c r="X570" s="5" t="str">
        <f>IFERROR(__xludf.DUMMYFUNCTION("""COMPUTED_VALUE"""),"")</f>
        <v/>
      </c>
      <c r="Y570" s="5" t="s">
        <v>355</v>
      </c>
      <c r="Z570" s="5" t="s">
        <v>355</v>
      </c>
      <c r="AB570" s="5" t="s">
        <v>355</v>
      </c>
      <c r="AE570" s="5" t="s">
        <v>355</v>
      </c>
      <c r="AH570" s="5" t="s">
        <v>355</v>
      </c>
    </row>
    <row r="571">
      <c r="S571" s="5" t="s">
        <v>355</v>
      </c>
      <c r="T571" s="5" t="str">
        <f>IFERROR(__xludf.DUMMYFUNCTION("""COMPUTED_VALUE"""),"")</f>
        <v/>
      </c>
      <c r="U571" s="5" t="s">
        <v>355</v>
      </c>
      <c r="V571" s="5" t="s">
        <v>355</v>
      </c>
      <c r="W571" s="5" t="s">
        <v>355</v>
      </c>
      <c r="X571" s="5" t="str">
        <f>IFERROR(__xludf.DUMMYFUNCTION("""COMPUTED_VALUE"""),"")</f>
        <v/>
      </c>
      <c r="Y571" s="5" t="s">
        <v>355</v>
      </c>
      <c r="Z571" s="5" t="s">
        <v>355</v>
      </c>
      <c r="AB571" s="5" t="s">
        <v>355</v>
      </c>
      <c r="AE571" s="5" t="s">
        <v>355</v>
      </c>
      <c r="AH571" s="5" t="s">
        <v>355</v>
      </c>
    </row>
    <row r="572">
      <c r="S572" s="5" t="s">
        <v>355</v>
      </c>
      <c r="T572" s="5" t="str">
        <f>IFERROR(__xludf.DUMMYFUNCTION("""COMPUTED_VALUE"""),"")</f>
        <v/>
      </c>
      <c r="U572" s="5" t="s">
        <v>355</v>
      </c>
      <c r="V572" s="5" t="s">
        <v>355</v>
      </c>
      <c r="W572" s="5" t="s">
        <v>355</v>
      </c>
      <c r="X572" s="5" t="str">
        <f>IFERROR(__xludf.DUMMYFUNCTION("""COMPUTED_VALUE"""),"")</f>
        <v/>
      </c>
      <c r="Y572" s="5" t="s">
        <v>355</v>
      </c>
      <c r="Z572" s="5" t="s">
        <v>355</v>
      </c>
      <c r="AB572" s="5" t="s">
        <v>355</v>
      </c>
      <c r="AE572" s="5" t="s">
        <v>355</v>
      </c>
      <c r="AH572" s="5" t="s">
        <v>355</v>
      </c>
    </row>
    <row r="573">
      <c r="S573" s="5" t="s">
        <v>355</v>
      </c>
      <c r="T573" s="5" t="str">
        <f>IFERROR(__xludf.DUMMYFUNCTION("""COMPUTED_VALUE"""),"")</f>
        <v/>
      </c>
      <c r="U573" s="5" t="s">
        <v>355</v>
      </c>
      <c r="V573" s="5" t="s">
        <v>355</v>
      </c>
      <c r="W573" s="5" t="s">
        <v>355</v>
      </c>
      <c r="X573" s="5" t="str">
        <f>IFERROR(__xludf.DUMMYFUNCTION("""COMPUTED_VALUE"""),"")</f>
        <v/>
      </c>
      <c r="Y573" s="5" t="s">
        <v>355</v>
      </c>
      <c r="Z573" s="5" t="s">
        <v>355</v>
      </c>
      <c r="AB573" s="5" t="s">
        <v>355</v>
      </c>
      <c r="AE573" s="5" t="s">
        <v>355</v>
      </c>
      <c r="AH573" s="5" t="s">
        <v>355</v>
      </c>
    </row>
    <row r="574">
      <c r="S574" s="5" t="s">
        <v>355</v>
      </c>
      <c r="T574" s="5" t="str">
        <f>IFERROR(__xludf.DUMMYFUNCTION("""COMPUTED_VALUE"""),"")</f>
        <v/>
      </c>
      <c r="U574" s="5" t="s">
        <v>355</v>
      </c>
      <c r="V574" s="5" t="s">
        <v>355</v>
      </c>
      <c r="W574" s="5" t="s">
        <v>355</v>
      </c>
      <c r="X574" s="5" t="str">
        <f>IFERROR(__xludf.DUMMYFUNCTION("""COMPUTED_VALUE"""),"")</f>
        <v/>
      </c>
      <c r="Y574" s="5" t="s">
        <v>355</v>
      </c>
      <c r="Z574" s="5" t="s">
        <v>355</v>
      </c>
      <c r="AB574" s="5" t="s">
        <v>355</v>
      </c>
      <c r="AE574" s="5" t="s">
        <v>355</v>
      </c>
      <c r="AH574" s="5" t="s">
        <v>355</v>
      </c>
    </row>
    <row r="575">
      <c r="S575" s="5" t="s">
        <v>355</v>
      </c>
      <c r="T575" s="5" t="str">
        <f>IFERROR(__xludf.DUMMYFUNCTION("""COMPUTED_VALUE"""),"")</f>
        <v/>
      </c>
      <c r="U575" s="5" t="s">
        <v>355</v>
      </c>
      <c r="V575" s="5" t="s">
        <v>355</v>
      </c>
      <c r="W575" s="5" t="s">
        <v>355</v>
      </c>
      <c r="X575" s="5" t="str">
        <f>IFERROR(__xludf.DUMMYFUNCTION("""COMPUTED_VALUE"""),"")</f>
        <v/>
      </c>
      <c r="Y575" s="5" t="s">
        <v>355</v>
      </c>
      <c r="Z575" s="5" t="s">
        <v>355</v>
      </c>
      <c r="AB575" s="5" t="s">
        <v>355</v>
      </c>
      <c r="AE575" s="5" t="s">
        <v>355</v>
      </c>
      <c r="AH575" s="5" t="s">
        <v>355</v>
      </c>
    </row>
    <row r="576">
      <c r="S576" s="5" t="s">
        <v>355</v>
      </c>
      <c r="T576" s="5" t="str">
        <f>IFERROR(__xludf.DUMMYFUNCTION("""COMPUTED_VALUE"""),"")</f>
        <v/>
      </c>
      <c r="U576" s="5" t="s">
        <v>355</v>
      </c>
      <c r="V576" s="5" t="s">
        <v>355</v>
      </c>
      <c r="W576" s="5" t="s">
        <v>355</v>
      </c>
      <c r="X576" s="5" t="str">
        <f>IFERROR(__xludf.DUMMYFUNCTION("""COMPUTED_VALUE"""),"")</f>
        <v/>
      </c>
      <c r="Y576" s="5" t="s">
        <v>355</v>
      </c>
      <c r="Z576" s="5" t="s">
        <v>355</v>
      </c>
      <c r="AB576" s="5" t="s">
        <v>355</v>
      </c>
      <c r="AE576" s="5" t="s">
        <v>355</v>
      </c>
      <c r="AH576" s="5" t="s">
        <v>355</v>
      </c>
    </row>
    <row r="577">
      <c r="S577" s="5" t="s">
        <v>355</v>
      </c>
      <c r="T577" s="5" t="str">
        <f>IFERROR(__xludf.DUMMYFUNCTION("""COMPUTED_VALUE"""),"")</f>
        <v/>
      </c>
      <c r="U577" s="5" t="s">
        <v>355</v>
      </c>
      <c r="V577" s="5" t="s">
        <v>355</v>
      </c>
      <c r="W577" s="5" t="s">
        <v>355</v>
      </c>
      <c r="X577" s="5" t="str">
        <f>IFERROR(__xludf.DUMMYFUNCTION("""COMPUTED_VALUE"""),"")</f>
        <v/>
      </c>
      <c r="Y577" s="5" t="s">
        <v>355</v>
      </c>
      <c r="Z577" s="5" t="s">
        <v>355</v>
      </c>
      <c r="AB577" s="5" t="s">
        <v>355</v>
      </c>
      <c r="AE577" s="5" t="s">
        <v>355</v>
      </c>
      <c r="AH577" s="5" t="s">
        <v>355</v>
      </c>
    </row>
    <row r="578">
      <c r="S578" s="5" t="s">
        <v>355</v>
      </c>
      <c r="T578" s="5" t="str">
        <f>IFERROR(__xludf.DUMMYFUNCTION("""COMPUTED_VALUE"""),"")</f>
        <v/>
      </c>
      <c r="U578" s="5" t="s">
        <v>355</v>
      </c>
      <c r="V578" s="5" t="s">
        <v>355</v>
      </c>
      <c r="W578" s="5" t="s">
        <v>355</v>
      </c>
      <c r="X578" s="5" t="str">
        <f>IFERROR(__xludf.DUMMYFUNCTION("""COMPUTED_VALUE"""),"")</f>
        <v/>
      </c>
      <c r="Y578" s="5" t="s">
        <v>355</v>
      </c>
      <c r="Z578" s="5" t="s">
        <v>355</v>
      </c>
      <c r="AB578" s="5" t="s">
        <v>355</v>
      </c>
      <c r="AE578" s="5" t="s">
        <v>355</v>
      </c>
      <c r="AH578" s="5" t="s">
        <v>355</v>
      </c>
    </row>
    <row r="579">
      <c r="S579" s="5" t="s">
        <v>355</v>
      </c>
      <c r="T579" s="5" t="str">
        <f>IFERROR(__xludf.DUMMYFUNCTION("""COMPUTED_VALUE"""),"")</f>
        <v/>
      </c>
      <c r="U579" s="5" t="s">
        <v>355</v>
      </c>
      <c r="V579" s="5" t="s">
        <v>355</v>
      </c>
      <c r="W579" s="5" t="s">
        <v>355</v>
      </c>
      <c r="X579" s="5" t="str">
        <f>IFERROR(__xludf.DUMMYFUNCTION("""COMPUTED_VALUE"""),"")</f>
        <v/>
      </c>
      <c r="Y579" s="5" t="s">
        <v>355</v>
      </c>
      <c r="Z579" s="5" t="s">
        <v>355</v>
      </c>
      <c r="AB579" s="5" t="s">
        <v>355</v>
      </c>
      <c r="AE579" s="5" t="s">
        <v>355</v>
      </c>
      <c r="AH579" s="5" t="s">
        <v>355</v>
      </c>
    </row>
    <row r="580">
      <c r="S580" s="5" t="s">
        <v>355</v>
      </c>
      <c r="T580" s="5" t="str">
        <f>IFERROR(__xludf.DUMMYFUNCTION("""COMPUTED_VALUE"""),"")</f>
        <v/>
      </c>
      <c r="U580" s="5" t="s">
        <v>355</v>
      </c>
      <c r="V580" s="5" t="s">
        <v>355</v>
      </c>
      <c r="W580" s="5" t="s">
        <v>355</v>
      </c>
      <c r="X580" s="5" t="str">
        <f>IFERROR(__xludf.DUMMYFUNCTION("""COMPUTED_VALUE"""),"")</f>
        <v/>
      </c>
      <c r="Y580" s="5" t="s">
        <v>355</v>
      </c>
      <c r="Z580" s="5" t="s">
        <v>355</v>
      </c>
      <c r="AB580" s="5" t="s">
        <v>355</v>
      </c>
      <c r="AE580" s="5" t="s">
        <v>355</v>
      </c>
      <c r="AH580" s="5" t="s">
        <v>355</v>
      </c>
    </row>
    <row r="581">
      <c r="S581" s="5" t="s">
        <v>355</v>
      </c>
      <c r="T581" s="5" t="str">
        <f>IFERROR(__xludf.DUMMYFUNCTION("""COMPUTED_VALUE"""),"")</f>
        <v/>
      </c>
      <c r="U581" s="5" t="s">
        <v>355</v>
      </c>
      <c r="V581" s="5" t="s">
        <v>355</v>
      </c>
      <c r="W581" s="5" t="s">
        <v>355</v>
      </c>
      <c r="X581" s="5" t="str">
        <f>IFERROR(__xludf.DUMMYFUNCTION("""COMPUTED_VALUE"""),"")</f>
        <v/>
      </c>
      <c r="Y581" s="5" t="s">
        <v>355</v>
      </c>
      <c r="Z581" s="5" t="s">
        <v>355</v>
      </c>
      <c r="AB581" s="5" t="s">
        <v>355</v>
      </c>
      <c r="AE581" s="5" t="s">
        <v>355</v>
      </c>
      <c r="AH581" s="5" t="s">
        <v>355</v>
      </c>
    </row>
    <row r="582">
      <c r="S582" s="5" t="s">
        <v>355</v>
      </c>
      <c r="T582" s="5" t="str">
        <f>IFERROR(__xludf.DUMMYFUNCTION("""COMPUTED_VALUE"""),"")</f>
        <v/>
      </c>
      <c r="U582" s="5" t="s">
        <v>355</v>
      </c>
      <c r="V582" s="5" t="s">
        <v>355</v>
      </c>
      <c r="W582" s="5" t="s">
        <v>355</v>
      </c>
      <c r="X582" s="5" t="str">
        <f>IFERROR(__xludf.DUMMYFUNCTION("""COMPUTED_VALUE"""),"")</f>
        <v/>
      </c>
      <c r="Y582" s="5" t="s">
        <v>355</v>
      </c>
      <c r="Z582" s="5" t="s">
        <v>355</v>
      </c>
      <c r="AB582" s="5" t="s">
        <v>355</v>
      </c>
      <c r="AE582" s="5" t="s">
        <v>355</v>
      </c>
      <c r="AH582" s="5" t="s">
        <v>355</v>
      </c>
    </row>
    <row r="583">
      <c r="S583" s="5" t="s">
        <v>355</v>
      </c>
      <c r="T583" s="5" t="str">
        <f>IFERROR(__xludf.DUMMYFUNCTION("""COMPUTED_VALUE"""),"")</f>
        <v/>
      </c>
      <c r="U583" s="5" t="s">
        <v>355</v>
      </c>
      <c r="V583" s="5" t="s">
        <v>355</v>
      </c>
      <c r="W583" s="5" t="s">
        <v>355</v>
      </c>
      <c r="X583" s="5" t="str">
        <f>IFERROR(__xludf.DUMMYFUNCTION("""COMPUTED_VALUE"""),"")</f>
        <v/>
      </c>
      <c r="Y583" s="5" t="s">
        <v>355</v>
      </c>
      <c r="Z583" s="5" t="s">
        <v>355</v>
      </c>
      <c r="AB583" s="5" t="s">
        <v>355</v>
      </c>
      <c r="AE583" s="5" t="s">
        <v>355</v>
      </c>
      <c r="AH583" s="5" t="s">
        <v>355</v>
      </c>
    </row>
    <row r="584">
      <c r="S584" s="5" t="s">
        <v>355</v>
      </c>
      <c r="T584" s="5" t="str">
        <f>IFERROR(__xludf.DUMMYFUNCTION("""COMPUTED_VALUE"""),"")</f>
        <v/>
      </c>
      <c r="U584" s="5" t="s">
        <v>355</v>
      </c>
      <c r="V584" s="5" t="s">
        <v>355</v>
      </c>
      <c r="W584" s="5" t="s">
        <v>355</v>
      </c>
      <c r="X584" s="5" t="str">
        <f>IFERROR(__xludf.DUMMYFUNCTION("""COMPUTED_VALUE"""),"")</f>
        <v/>
      </c>
      <c r="Y584" s="5" t="s">
        <v>355</v>
      </c>
      <c r="Z584" s="5" t="s">
        <v>355</v>
      </c>
      <c r="AB584" s="5" t="s">
        <v>355</v>
      </c>
      <c r="AE584" s="5" t="s">
        <v>355</v>
      </c>
      <c r="AH584" s="5" t="s">
        <v>355</v>
      </c>
    </row>
    <row r="585">
      <c r="S585" s="5" t="s">
        <v>355</v>
      </c>
      <c r="T585" s="5" t="str">
        <f>IFERROR(__xludf.DUMMYFUNCTION("""COMPUTED_VALUE"""),"")</f>
        <v/>
      </c>
      <c r="U585" s="5" t="s">
        <v>355</v>
      </c>
      <c r="V585" s="5" t="s">
        <v>355</v>
      </c>
      <c r="W585" s="5" t="s">
        <v>355</v>
      </c>
      <c r="X585" s="5" t="str">
        <f>IFERROR(__xludf.DUMMYFUNCTION("""COMPUTED_VALUE"""),"")</f>
        <v/>
      </c>
      <c r="Y585" s="5" t="s">
        <v>355</v>
      </c>
      <c r="Z585" s="5" t="s">
        <v>355</v>
      </c>
      <c r="AB585" s="5" t="s">
        <v>355</v>
      </c>
      <c r="AE585" s="5" t="s">
        <v>355</v>
      </c>
      <c r="AH585" s="5" t="s">
        <v>355</v>
      </c>
    </row>
    <row r="586">
      <c r="S586" s="5" t="s">
        <v>355</v>
      </c>
      <c r="T586" s="5" t="str">
        <f>IFERROR(__xludf.DUMMYFUNCTION("""COMPUTED_VALUE"""),"")</f>
        <v/>
      </c>
      <c r="U586" s="5" t="s">
        <v>355</v>
      </c>
      <c r="V586" s="5" t="s">
        <v>355</v>
      </c>
      <c r="W586" s="5" t="s">
        <v>355</v>
      </c>
      <c r="X586" s="5" t="str">
        <f>IFERROR(__xludf.DUMMYFUNCTION("""COMPUTED_VALUE"""),"")</f>
        <v/>
      </c>
      <c r="Y586" s="5" t="s">
        <v>355</v>
      </c>
      <c r="Z586" s="5" t="s">
        <v>355</v>
      </c>
      <c r="AB586" s="5" t="s">
        <v>355</v>
      </c>
      <c r="AE586" s="5" t="s">
        <v>355</v>
      </c>
      <c r="AH586" s="5" t="s">
        <v>355</v>
      </c>
    </row>
    <row r="587">
      <c r="S587" s="5" t="s">
        <v>355</v>
      </c>
      <c r="T587" s="5" t="str">
        <f>IFERROR(__xludf.DUMMYFUNCTION("""COMPUTED_VALUE"""),"")</f>
        <v/>
      </c>
      <c r="U587" s="5" t="s">
        <v>355</v>
      </c>
      <c r="V587" s="5" t="s">
        <v>355</v>
      </c>
      <c r="W587" s="5" t="s">
        <v>355</v>
      </c>
      <c r="X587" s="5" t="str">
        <f>IFERROR(__xludf.DUMMYFUNCTION("""COMPUTED_VALUE"""),"")</f>
        <v/>
      </c>
      <c r="Y587" s="5" t="s">
        <v>355</v>
      </c>
      <c r="Z587" s="5" t="s">
        <v>355</v>
      </c>
      <c r="AB587" s="5" t="s">
        <v>355</v>
      </c>
      <c r="AE587" s="5" t="s">
        <v>355</v>
      </c>
      <c r="AH587" s="5" t="s">
        <v>355</v>
      </c>
    </row>
    <row r="588">
      <c r="S588" s="5" t="s">
        <v>355</v>
      </c>
      <c r="T588" s="5" t="str">
        <f>IFERROR(__xludf.DUMMYFUNCTION("""COMPUTED_VALUE"""),"")</f>
        <v/>
      </c>
      <c r="U588" s="5" t="s">
        <v>355</v>
      </c>
      <c r="V588" s="5" t="s">
        <v>355</v>
      </c>
      <c r="W588" s="5" t="s">
        <v>355</v>
      </c>
      <c r="X588" s="5" t="str">
        <f>IFERROR(__xludf.DUMMYFUNCTION("""COMPUTED_VALUE"""),"")</f>
        <v/>
      </c>
      <c r="Y588" s="5" t="s">
        <v>355</v>
      </c>
      <c r="Z588" s="5" t="s">
        <v>355</v>
      </c>
      <c r="AB588" s="5" t="s">
        <v>355</v>
      </c>
      <c r="AE588" s="5" t="s">
        <v>355</v>
      </c>
      <c r="AH588" s="5" t="s">
        <v>355</v>
      </c>
    </row>
    <row r="589">
      <c r="S589" s="5" t="s">
        <v>355</v>
      </c>
      <c r="T589" s="5" t="str">
        <f>IFERROR(__xludf.DUMMYFUNCTION("""COMPUTED_VALUE"""),"")</f>
        <v/>
      </c>
      <c r="U589" s="5" t="s">
        <v>355</v>
      </c>
      <c r="V589" s="5" t="s">
        <v>355</v>
      </c>
      <c r="W589" s="5" t="s">
        <v>355</v>
      </c>
      <c r="X589" s="5" t="str">
        <f>IFERROR(__xludf.DUMMYFUNCTION("""COMPUTED_VALUE"""),"")</f>
        <v/>
      </c>
      <c r="Y589" s="5" t="s">
        <v>355</v>
      </c>
      <c r="Z589" s="5" t="s">
        <v>355</v>
      </c>
      <c r="AB589" s="5" t="s">
        <v>355</v>
      </c>
      <c r="AE589" s="5" t="s">
        <v>355</v>
      </c>
      <c r="AH589" s="5" t="s">
        <v>355</v>
      </c>
    </row>
    <row r="590">
      <c r="S590" s="5" t="s">
        <v>355</v>
      </c>
      <c r="T590" s="5" t="str">
        <f>IFERROR(__xludf.DUMMYFUNCTION("""COMPUTED_VALUE"""),"")</f>
        <v/>
      </c>
      <c r="U590" s="5" t="s">
        <v>355</v>
      </c>
      <c r="V590" s="5" t="s">
        <v>355</v>
      </c>
      <c r="W590" s="5" t="s">
        <v>355</v>
      </c>
      <c r="X590" s="5" t="str">
        <f>IFERROR(__xludf.DUMMYFUNCTION("""COMPUTED_VALUE"""),"")</f>
        <v/>
      </c>
      <c r="Y590" s="5" t="s">
        <v>355</v>
      </c>
      <c r="Z590" s="5" t="s">
        <v>355</v>
      </c>
      <c r="AB590" s="5" t="s">
        <v>355</v>
      </c>
      <c r="AE590" s="5" t="s">
        <v>355</v>
      </c>
      <c r="AH590" s="5" t="s">
        <v>355</v>
      </c>
    </row>
    <row r="591">
      <c r="S591" s="5" t="s">
        <v>355</v>
      </c>
      <c r="T591" s="5" t="str">
        <f>IFERROR(__xludf.DUMMYFUNCTION("""COMPUTED_VALUE"""),"")</f>
        <v/>
      </c>
      <c r="U591" s="5" t="s">
        <v>355</v>
      </c>
      <c r="V591" s="5" t="s">
        <v>355</v>
      </c>
      <c r="W591" s="5" t="s">
        <v>355</v>
      </c>
      <c r="X591" s="5" t="str">
        <f>IFERROR(__xludf.DUMMYFUNCTION("""COMPUTED_VALUE"""),"")</f>
        <v/>
      </c>
      <c r="Y591" s="5" t="s">
        <v>355</v>
      </c>
      <c r="Z591" s="5" t="s">
        <v>355</v>
      </c>
      <c r="AB591" s="5" t="s">
        <v>355</v>
      </c>
      <c r="AE591" s="5" t="s">
        <v>355</v>
      </c>
      <c r="AH591" s="5" t="s">
        <v>355</v>
      </c>
    </row>
    <row r="592">
      <c r="S592" s="5" t="s">
        <v>355</v>
      </c>
      <c r="T592" s="5" t="str">
        <f>IFERROR(__xludf.DUMMYFUNCTION("""COMPUTED_VALUE"""),"")</f>
        <v/>
      </c>
      <c r="U592" s="5" t="s">
        <v>355</v>
      </c>
      <c r="V592" s="5" t="s">
        <v>355</v>
      </c>
      <c r="W592" s="5" t="s">
        <v>355</v>
      </c>
      <c r="X592" s="5" t="str">
        <f>IFERROR(__xludf.DUMMYFUNCTION("""COMPUTED_VALUE"""),"")</f>
        <v/>
      </c>
      <c r="Y592" s="5" t="s">
        <v>355</v>
      </c>
      <c r="Z592" s="5" t="s">
        <v>355</v>
      </c>
      <c r="AB592" s="5" t="s">
        <v>355</v>
      </c>
      <c r="AE592" s="5" t="s">
        <v>355</v>
      </c>
      <c r="AH592" s="5" t="s">
        <v>355</v>
      </c>
    </row>
    <row r="593">
      <c r="S593" s="5" t="s">
        <v>355</v>
      </c>
      <c r="T593" s="5" t="str">
        <f>IFERROR(__xludf.DUMMYFUNCTION("""COMPUTED_VALUE"""),"")</f>
        <v/>
      </c>
      <c r="U593" s="5" t="s">
        <v>355</v>
      </c>
      <c r="V593" s="5" t="s">
        <v>355</v>
      </c>
      <c r="W593" s="5" t="s">
        <v>355</v>
      </c>
      <c r="X593" s="5" t="str">
        <f>IFERROR(__xludf.DUMMYFUNCTION("""COMPUTED_VALUE"""),"")</f>
        <v/>
      </c>
      <c r="Y593" s="5" t="s">
        <v>355</v>
      </c>
      <c r="Z593" s="5" t="s">
        <v>355</v>
      </c>
      <c r="AB593" s="5" t="s">
        <v>355</v>
      </c>
      <c r="AE593" s="5" t="s">
        <v>355</v>
      </c>
      <c r="AH593" s="5" t="s">
        <v>355</v>
      </c>
    </row>
    <row r="594">
      <c r="S594" s="5" t="s">
        <v>355</v>
      </c>
      <c r="T594" s="5" t="str">
        <f>IFERROR(__xludf.DUMMYFUNCTION("""COMPUTED_VALUE"""),"")</f>
        <v/>
      </c>
      <c r="U594" s="5" t="s">
        <v>355</v>
      </c>
      <c r="V594" s="5" t="s">
        <v>355</v>
      </c>
      <c r="W594" s="5" t="s">
        <v>355</v>
      </c>
      <c r="X594" s="5" t="str">
        <f>IFERROR(__xludf.DUMMYFUNCTION("""COMPUTED_VALUE"""),"")</f>
        <v/>
      </c>
      <c r="Y594" s="5" t="s">
        <v>355</v>
      </c>
      <c r="Z594" s="5" t="s">
        <v>355</v>
      </c>
      <c r="AB594" s="5" t="s">
        <v>355</v>
      </c>
      <c r="AE594" s="5" t="s">
        <v>355</v>
      </c>
      <c r="AH594" s="5" t="s">
        <v>355</v>
      </c>
    </row>
    <row r="595">
      <c r="S595" s="5" t="s">
        <v>355</v>
      </c>
      <c r="T595" s="5" t="str">
        <f>IFERROR(__xludf.DUMMYFUNCTION("""COMPUTED_VALUE"""),"")</f>
        <v/>
      </c>
      <c r="U595" s="5" t="s">
        <v>355</v>
      </c>
      <c r="V595" s="5" t="s">
        <v>355</v>
      </c>
      <c r="W595" s="5" t="s">
        <v>355</v>
      </c>
      <c r="X595" s="5" t="str">
        <f>IFERROR(__xludf.DUMMYFUNCTION("""COMPUTED_VALUE"""),"")</f>
        <v/>
      </c>
      <c r="Y595" s="5" t="s">
        <v>355</v>
      </c>
      <c r="Z595" s="5" t="s">
        <v>355</v>
      </c>
      <c r="AB595" s="5" t="s">
        <v>355</v>
      </c>
      <c r="AE595" s="5" t="s">
        <v>355</v>
      </c>
      <c r="AH595" s="5" t="s">
        <v>355</v>
      </c>
    </row>
    <row r="596">
      <c r="S596" s="5" t="s">
        <v>355</v>
      </c>
      <c r="T596" s="5" t="str">
        <f>IFERROR(__xludf.DUMMYFUNCTION("""COMPUTED_VALUE"""),"")</f>
        <v/>
      </c>
      <c r="U596" s="5" t="s">
        <v>355</v>
      </c>
      <c r="V596" s="5" t="s">
        <v>355</v>
      </c>
      <c r="W596" s="5" t="s">
        <v>355</v>
      </c>
      <c r="X596" s="5" t="str">
        <f>IFERROR(__xludf.DUMMYFUNCTION("""COMPUTED_VALUE"""),"")</f>
        <v/>
      </c>
      <c r="Y596" s="5" t="s">
        <v>355</v>
      </c>
      <c r="Z596" s="5" t="s">
        <v>355</v>
      </c>
      <c r="AB596" s="5" t="s">
        <v>355</v>
      </c>
      <c r="AE596" s="5" t="s">
        <v>355</v>
      </c>
      <c r="AH596" s="5" t="s">
        <v>355</v>
      </c>
    </row>
    <row r="597">
      <c r="S597" s="5" t="s">
        <v>355</v>
      </c>
      <c r="T597" s="5" t="str">
        <f>IFERROR(__xludf.DUMMYFUNCTION("""COMPUTED_VALUE"""),"")</f>
        <v/>
      </c>
      <c r="U597" s="5" t="s">
        <v>355</v>
      </c>
      <c r="V597" s="5" t="s">
        <v>355</v>
      </c>
      <c r="W597" s="5" t="s">
        <v>355</v>
      </c>
      <c r="X597" s="5" t="str">
        <f>IFERROR(__xludf.DUMMYFUNCTION("""COMPUTED_VALUE"""),"")</f>
        <v/>
      </c>
      <c r="Y597" s="5" t="s">
        <v>355</v>
      </c>
      <c r="Z597" s="5" t="s">
        <v>355</v>
      </c>
      <c r="AB597" s="5" t="s">
        <v>355</v>
      </c>
      <c r="AE597" s="5" t="s">
        <v>355</v>
      </c>
      <c r="AH597" s="5" t="s">
        <v>355</v>
      </c>
    </row>
    <row r="598">
      <c r="S598" s="5" t="s">
        <v>355</v>
      </c>
      <c r="T598" s="5" t="str">
        <f>IFERROR(__xludf.DUMMYFUNCTION("""COMPUTED_VALUE"""),"")</f>
        <v/>
      </c>
      <c r="U598" s="5" t="s">
        <v>355</v>
      </c>
      <c r="V598" s="5" t="s">
        <v>355</v>
      </c>
      <c r="W598" s="5" t="s">
        <v>355</v>
      </c>
      <c r="X598" s="5" t="str">
        <f>IFERROR(__xludf.DUMMYFUNCTION("""COMPUTED_VALUE"""),"")</f>
        <v/>
      </c>
      <c r="Y598" s="5" t="s">
        <v>355</v>
      </c>
      <c r="Z598" s="5" t="s">
        <v>355</v>
      </c>
      <c r="AB598" s="5" t="s">
        <v>355</v>
      </c>
      <c r="AE598" s="5" t="s">
        <v>355</v>
      </c>
      <c r="AH598" s="5" t="s">
        <v>355</v>
      </c>
    </row>
    <row r="599">
      <c r="S599" s="5" t="s">
        <v>355</v>
      </c>
      <c r="T599" s="5" t="str">
        <f>IFERROR(__xludf.DUMMYFUNCTION("""COMPUTED_VALUE"""),"")</f>
        <v/>
      </c>
      <c r="U599" s="5" t="s">
        <v>355</v>
      </c>
      <c r="V599" s="5" t="s">
        <v>355</v>
      </c>
      <c r="W599" s="5" t="s">
        <v>355</v>
      </c>
      <c r="X599" s="5" t="str">
        <f>IFERROR(__xludf.DUMMYFUNCTION("""COMPUTED_VALUE"""),"")</f>
        <v/>
      </c>
      <c r="Y599" s="5" t="s">
        <v>355</v>
      </c>
      <c r="Z599" s="5" t="s">
        <v>355</v>
      </c>
      <c r="AB599" s="5" t="s">
        <v>355</v>
      </c>
      <c r="AE599" s="5" t="s">
        <v>355</v>
      </c>
      <c r="AH599" s="5" t="s">
        <v>355</v>
      </c>
    </row>
    <row r="600">
      <c r="S600" s="5" t="s">
        <v>355</v>
      </c>
      <c r="T600" s="5" t="str">
        <f>IFERROR(__xludf.DUMMYFUNCTION("""COMPUTED_VALUE"""),"")</f>
        <v/>
      </c>
      <c r="U600" s="5" t="s">
        <v>355</v>
      </c>
      <c r="V600" s="5" t="s">
        <v>355</v>
      </c>
      <c r="W600" s="5" t="s">
        <v>355</v>
      </c>
      <c r="X600" s="5" t="str">
        <f>IFERROR(__xludf.DUMMYFUNCTION("""COMPUTED_VALUE"""),"")</f>
        <v/>
      </c>
      <c r="Y600" s="5" t="s">
        <v>355</v>
      </c>
      <c r="Z600" s="5" t="s">
        <v>355</v>
      </c>
      <c r="AB600" s="5" t="s">
        <v>355</v>
      </c>
      <c r="AE600" s="5" t="s">
        <v>355</v>
      </c>
      <c r="AH600" s="5" t="s">
        <v>355</v>
      </c>
    </row>
    <row r="601">
      <c r="S601" s="5" t="s">
        <v>355</v>
      </c>
      <c r="T601" s="5" t="str">
        <f>IFERROR(__xludf.DUMMYFUNCTION("""COMPUTED_VALUE"""),"")</f>
        <v/>
      </c>
      <c r="U601" s="5" t="s">
        <v>355</v>
      </c>
      <c r="V601" s="5" t="s">
        <v>355</v>
      </c>
      <c r="W601" s="5" t="s">
        <v>355</v>
      </c>
      <c r="X601" s="5" t="str">
        <f>IFERROR(__xludf.DUMMYFUNCTION("""COMPUTED_VALUE"""),"")</f>
        <v/>
      </c>
      <c r="Y601" s="5" t="s">
        <v>355</v>
      </c>
      <c r="Z601" s="5" t="s">
        <v>355</v>
      </c>
      <c r="AB601" s="5" t="s">
        <v>355</v>
      </c>
      <c r="AE601" s="5" t="s">
        <v>355</v>
      </c>
      <c r="AH601" s="5" t="s">
        <v>355</v>
      </c>
    </row>
    <row r="602">
      <c r="S602" s="5" t="s">
        <v>355</v>
      </c>
      <c r="T602" s="5" t="str">
        <f>IFERROR(__xludf.DUMMYFUNCTION("""COMPUTED_VALUE"""),"")</f>
        <v/>
      </c>
      <c r="U602" s="5" t="s">
        <v>355</v>
      </c>
      <c r="V602" s="5" t="s">
        <v>355</v>
      </c>
      <c r="W602" s="5" t="s">
        <v>355</v>
      </c>
      <c r="X602" s="5" t="str">
        <f>IFERROR(__xludf.DUMMYFUNCTION("""COMPUTED_VALUE"""),"")</f>
        <v/>
      </c>
      <c r="Y602" s="5" t="s">
        <v>355</v>
      </c>
      <c r="Z602" s="5" t="s">
        <v>355</v>
      </c>
      <c r="AB602" s="5" t="s">
        <v>355</v>
      </c>
      <c r="AE602" s="5" t="s">
        <v>355</v>
      </c>
      <c r="AH602" s="5" t="s">
        <v>355</v>
      </c>
    </row>
    <row r="603">
      <c r="S603" s="5" t="s">
        <v>355</v>
      </c>
      <c r="T603" s="5" t="str">
        <f>IFERROR(__xludf.DUMMYFUNCTION("""COMPUTED_VALUE"""),"")</f>
        <v/>
      </c>
      <c r="U603" s="5" t="s">
        <v>355</v>
      </c>
      <c r="V603" s="5" t="s">
        <v>355</v>
      </c>
      <c r="W603" s="5" t="s">
        <v>355</v>
      </c>
      <c r="X603" s="5" t="str">
        <f>IFERROR(__xludf.DUMMYFUNCTION("""COMPUTED_VALUE"""),"")</f>
        <v/>
      </c>
      <c r="Y603" s="5" t="s">
        <v>355</v>
      </c>
      <c r="Z603" s="5" t="s">
        <v>355</v>
      </c>
      <c r="AB603" s="5" t="s">
        <v>355</v>
      </c>
      <c r="AE603" s="5" t="s">
        <v>355</v>
      </c>
      <c r="AH603" s="5" t="s">
        <v>355</v>
      </c>
    </row>
    <row r="604">
      <c r="S604" s="5" t="s">
        <v>355</v>
      </c>
      <c r="T604" s="5" t="str">
        <f>IFERROR(__xludf.DUMMYFUNCTION("""COMPUTED_VALUE"""),"")</f>
        <v/>
      </c>
      <c r="U604" s="5" t="s">
        <v>355</v>
      </c>
      <c r="V604" s="5" t="s">
        <v>355</v>
      </c>
      <c r="W604" s="5" t="s">
        <v>355</v>
      </c>
      <c r="X604" s="5" t="str">
        <f>IFERROR(__xludf.DUMMYFUNCTION("""COMPUTED_VALUE"""),"")</f>
        <v/>
      </c>
      <c r="Y604" s="5" t="s">
        <v>355</v>
      </c>
      <c r="Z604" s="5" t="s">
        <v>355</v>
      </c>
      <c r="AB604" s="5" t="s">
        <v>355</v>
      </c>
      <c r="AE604" s="5" t="s">
        <v>355</v>
      </c>
      <c r="AH604" s="5" t="s">
        <v>355</v>
      </c>
    </row>
    <row r="605">
      <c r="S605" s="5" t="s">
        <v>355</v>
      </c>
      <c r="T605" s="5" t="str">
        <f>IFERROR(__xludf.DUMMYFUNCTION("""COMPUTED_VALUE"""),"")</f>
        <v/>
      </c>
      <c r="U605" s="5" t="s">
        <v>355</v>
      </c>
      <c r="V605" s="5" t="s">
        <v>355</v>
      </c>
      <c r="W605" s="5" t="s">
        <v>355</v>
      </c>
      <c r="X605" s="5" t="str">
        <f>IFERROR(__xludf.DUMMYFUNCTION("""COMPUTED_VALUE"""),"")</f>
        <v/>
      </c>
      <c r="Y605" s="5" t="s">
        <v>355</v>
      </c>
      <c r="Z605" s="5" t="s">
        <v>355</v>
      </c>
      <c r="AB605" s="5" t="s">
        <v>355</v>
      </c>
      <c r="AE605" s="5" t="s">
        <v>355</v>
      </c>
      <c r="AH605" s="5" t="s">
        <v>355</v>
      </c>
    </row>
    <row r="606">
      <c r="S606" s="5" t="s">
        <v>355</v>
      </c>
      <c r="T606" s="5" t="str">
        <f>IFERROR(__xludf.DUMMYFUNCTION("""COMPUTED_VALUE"""),"")</f>
        <v/>
      </c>
      <c r="U606" s="5" t="s">
        <v>355</v>
      </c>
      <c r="V606" s="5" t="s">
        <v>355</v>
      </c>
      <c r="W606" s="5" t="s">
        <v>355</v>
      </c>
      <c r="X606" s="5" t="str">
        <f>IFERROR(__xludf.DUMMYFUNCTION("""COMPUTED_VALUE"""),"")</f>
        <v/>
      </c>
      <c r="Y606" s="5" t="s">
        <v>355</v>
      </c>
      <c r="Z606" s="5" t="s">
        <v>355</v>
      </c>
      <c r="AB606" s="5" t="s">
        <v>355</v>
      </c>
      <c r="AE606" s="5" t="s">
        <v>355</v>
      </c>
      <c r="AH606" s="5" t="s">
        <v>355</v>
      </c>
    </row>
    <row r="607">
      <c r="S607" s="5" t="s">
        <v>355</v>
      </c>
      <c r="T607" s="5" t="str">
        <f>IFERROR(__xludf.DUMMYFUNCTION("""COMPUTED_VALUE"""),"")</f>
        <v/>
      </c>
      <c r="U607" s="5" t="s">
        <v>355</v>
      </c>
      <c r="V607" s="5" t="s">
        <v>355</v>
      </c>
      <c r="W607" s="5" t="s">
        <v>355</v>
      </c>
      <c r="X607" s="5" t="str">
        <f>IFERROR(__xludf.DUMMYFUNCTION("""COMPUTED_VALUE"""),"")</f>
        <v/>
      </c>
      <c r="Y607" s="5" t="s">
        <v>355</v>
      </c>
      <c r="Z607" s="5" t="s">
        <v>355</v>
      </c>
      <c r="AB607" s="5" t="s">
        <v>355</v>
      </c>
      <c r="AE607" s="5" t="s">
        <v>355</v>
      </c>
      <c r="AH607" s="5" t="s">
        <v>355</v>
      </c>
    </row>
    <row r="608">
      <c r="S608" s="5" t="s">
        <v>355</v>
      </c>
      <c r="T608" s="5" t="str">
        <f>IFERROR(__xludf.DUMMYFUNCTION("""COMPUTED_VALUE"""),"")</f>
        <v/>
      </c>
      <c r="U608" s="5" t="s">
        <v>355</v>
      </c>
      <c r="V608" s="5" t="s">
        <v>355</v>
      </c>
      <c r="W608" s="5" t="s">
        <v>355</v>
      </c>
      <c r="X608" s="5" t="str">
        <f>IFERROR(__xludf.DUMMYFUNCTION("""COMPUTED_VALUE"""),"")</f>
        <v/>
      </c>
      <c r="Y608" s="5" t="s">
        <v>355</v>
      </c>
      <c r="Z608" s="5" t="s">
        <v>355</v>
      </c>
      <c r="AB608" s="5" t="s">
        <v>355</v>
      </c>
      <c r="AE608" s="5" t="s">
        <v>355</v>
      </c>
      <c r="AH608" s="5" t="s">
        <v>355</v>
      </c>
    </row>
    <row r="609">
      <c r="S609" s="5" t="s">
        <v>355</v>
      </c>
      <c r="T609" s="5" t="str">
        <f>IFERROR(__xludf.DUMMYFUNCTION("""COMPUTED_VALUE"""),"")</f>
        <v/>
      </c>
      <c r="U609" s="5" t="s">
        <v>355</v>
      </c>
      <c r="V609" s="5" t="s">
        <v>355</v>
      </c>
      <c r="W609" s="5" t="s">
        <v>355</v>
      </c>
      <c r="X609" s="5" t="str">
        <f>IFERROR(__xludf.DUMMYFUNCTION("""COMPUTED_VALUE"""),"")</f>
        <v/>
      </c>
      <c r="Y609" s="5" t="s">
        <v>355</v>
      </c>
      <c r="Z609" s="5" t="s">
        <v>355</v>
      </c>
      <c r="AB609" s="5" t="s">
        <v>355</v>
      </c>
      <c r="AE609" s="5" t="s">
        <v>355</v>
      </c>
      <c r="AH609" s="5" t="s">
        <v>355</v>
      </c>
    </row>
    <row r="610">
      <c r="S610" s="5" t="s">
        <v>355</v>
      </c>
      <c r="T610" s="5" t="str">
        <f>IFERROR(__xludf.DUMMYFUNCTION("""COMPUTED_VALUE"""),"")</f>
        <v/>
      </c>
      <c r="U610" s="5" t="s">
        <v>355</v>
      </c>
      <c r="V610" s="5" t="s">
        <v>355</v>
      </c>
      <c r="W610" s="5" t="s">
        <v>355</v>
      </c>
      <c r="X610" s="5" t="str">
        <f>IFERROR(__xludf.DUMMYFUNCTION("""COMPUTED_VALUE"""),"")</f>
        <v/>
      </c>
      <c r="Y610" s="5" t="s">
        <v>355</v>
      </c>
      <c r="Z610" s="5" t="s">
        <v>355</v>
      </c>
      <c r="AB610" s="5" t="s">
        <v>355</v>
      </c>
      <c r="AE610" s="5" t="s">
        <v>355</v>
      </c>
      <c r="AH610" s="5" t="s">
        <v>355</v>
      </c>
    </row>
    <row r="611">
      <c r="S611" s="5" t="s">
        <v>355</v>
      </c>
      <c r="T611" s="5" t="str">
        <f>IFERROR(__xludf.DUMMYFUNCTION("""COMPUTED_VALUE"""),"")</f>
        <v/>
      </c>
      <c r="U611" s="5" t="s">
        <v>355</v>
      </c>
      <c r="V611" s="5" t="s">
        <v>355</v>
      </c>
      <c r="W611" s="5" t="s">
        <v>355</v>
      </c>
      <c r="X611" s="5" t="str">
        <f>IFERROR(__xludf.DUMMYFUNCTION("""COMPUTED_VALUE"""),"")</f>
        <v/>
      </c>
      <c r="Y611" s="5" t="s">
        <v>355</v>
      </c>
      <c r="Z611" s="5" t="s">
        <v>355</v>
      </c>
      <c r="AB611" s="5" t="s">
        <v>355</v>
      </c>
      <c r="AE611" s="5" t="s">
        <v>355</v>
      </c>
      <c r="AH611" s="5" t="s">
        <v>355</v>
      </c>
    </row>
    <row r="612">
      <c r="S612" s="5" t="s">
        <v>355</v>
      </c>
      <c r="T612" s="5" t="str">
        <f>IFERROR(__xludf.DUMMYFUNCTION("""COMPUTED_VALUE"""),"")</f>
        <v/>
      </c>
      <c r="U612" s="5" t="s">
        <v>355</v>
      </c>
      <c r="V612" s="5" t="s">
        <v>355</v>
      </c>
      <c r="W612" s="5" t="s">
        <v>355</v>
      </c>
      <c r="X612" s="5" t="str">
        <f>IFERROR(__xludf.DUMMYFUNCTION("""COMPUTED_VALUE"""),"")</f>
        <v/>
      </c>
      <c r="Y612" s="5" t="s">
        <v>355</v>
      </c>
      <c r="Z612" s="5" t="s">
        <v>355</v>
      </c>
      <c r="AB612" s="5" t="s">
        <v>355</v>
      </c>
      <c r="AE612" s="5" t="s">
        <v>355</v>
      </c>
      <c r="AH612" s="5" t="s">
        <v>355</v>
      </c>
    </row>
    <row r="613">
      <c r="S613" s="5" t="s">
        <v>355</v>
      </c>
      <c r="T613" s="5" t="str">
        <f>IFERROR(__xludf.DUMMYFUNCTION("""COMPUTED_VALUE"""),"")</f>
        <v/>
      </c>
      <c r="U613" s="5" t="s">
        <v>355</v>
      </c>
      <c r="V613" s="5" t="s">
        <v>355</v>
      </c>
      <c r="W613" s="5" t="s">
        <v>355</v>
      </c>
      <c r="X613" s="5" t="str">
        <f>IFERROR(__xludf.DUMMYFUNCTION("""COMPUTED_VALUE"""),"")</f>
        <v/>
      </c>
      <c r="Y613" s="5" t="s">
        <v>355</v>
      </c>
      <c r="Z613" s="5" t="s">
        <v>355</v>
      </c>
      <c r="AB613" s="5" t="s">
        <v>355</v>
      </c>
      <c r="AE613" s="5" t="s">
        <v>355</v>
      </c>
      <c r="AH613" s="5" t="s">
        <v>355</v>
      </c>
    </row>
    <row r="614">
      <c r="S614" s="5" t="s">
        <v>355</v>
      </c>
      <c r="T614" s="5" t="str">
        <f>IFERROR(__xludf.DUMMYFUNCTION("""COMPUTED_VALUE"""),"")</f>
        <v/>
      </c>
      <c r="U614" s="5" t="s">
        <v>355</v>
      </c>
      <c r="V614" s="5" t="s">
        <v>355</v>
      </c>
      <c r="W614" s="5" t="s">
        <v>355</v>
      </c>
      <c r="X614" s="5" t="str">
        <f>IFERROR(__xludf.DUMMYFUNCTION("""COMPUTED_VALUE"""),"")</f>
        <v/>
      </c>
      <c r="Y614" s="5" t="s">
        <v>355</v>
      </c>
      <c r="Z614" s="5" t="s">
        <v>355</v>
      </c>
      <c r="AB614" s="5" t="s">
        <v>355</v>
      </c>
      <c r="AE614" s="5" t="s">
        <v>355</v>
      </c>
      <c r="AH614" s="5" t="s">
        <v>355</v>
      </c>
    </row>
    <row r="615">
      <c r="S615" s="5" t="s">
        <v>355</v>
      </c>
      <c r="T615" s="5" t="str">
        <f>IFERROR(__xludf.DUMMYFUNCTION("""COMPUTED_VALUE"""),"")</f>
        <v/>
      </c>
      <c r="U615" s="5" t="s">
        <v>355</v>
      </c>
      <c r="V615" s="5" t="s">
        <v>355</v>
      </c>
      <c r="W615" s="5" t="s">
        <v>355</v>
      </c>
      <c r="X615" s="5" t="str">
        <f>IFERROR(__xludf.DUMMYFUNCTION("""COMPUTED_VALUE"""),"")</f>
        <v/>
      </c>
      <c r="Y615" s="5" t="s">
        <v>355</v>
      </c>
      <c r="Z615" s="5" t="s">
        <v>355</v>
      </c>
      <c r="AB615" s="5" t="s">
        <v>355</v>
      </c>
      <c r="AE615" s="5" t="s">
        <v>355</v>
      </c>
      <c r="AH615" s="5" t="s">
        <v>355</v>
      </c>
    </row>
    <row r="616">
      <c r="S616" s="5" t="s">
        <v>355</v>
      </c>
      <c r="T616" s="5" t="str">
        <f>IFERROR(__xludf.DUMMYFUNCTION("""COMPUTED_VALUE"""),"")</f>
        <v/>
      </c>
      <c r="U616" s="5" t="s">
        <v>355</v>
      </c>
      <c r="V616" s="5" t="s">
        <v>355</v>
      </c>
      <c r="W616" s="5" t="s">
        <v>355</v>
      </c>
      <c r="X616" s="5" t="str">
        <f>IFERROR(__xludf.DUMMYFUNCTION("""COMPUTED_VALUE"""),"")</f>
        <v/>
      </c>
      <c r="Y616" s="5" t="s">
        <v>355</v>
      </c>
      <c r="Z616" s="5" t="s">
        <v>355</v>
      </c>
      <c r="AB616" s="5" t="s">
        <v>355</v>
      </c>
      <c r="AE616" s="5" t="s">
        <v>355</v>
      </c>
      <c r="AH616" s="5" t="s">
        <v>355</v>
      </c>
    </row>
    <row r="617">
      <c r="S617" s="5" t="s">
        <v>355</v>
      </c>
      <c r="T617" s="5" t="str">
        <f>IFERROR(__xludf.DUMMYFUNCTION("""COMPUTED_VALUE"""),"")</f>
        <v/>
      </c>
      <c r="U617" s="5" t="s">
        <v>355</v>
      </c>
      <c r="V617" s="5" t="s">
        <v>355</v>
      </c>
      <c r="W617" s="5" t="s">
        <v>355</v>
      </c>
      <c r="X617" s="5" t="str">
        <f>IFERROR(__xludf.DUMMYFUNCTION("""COMPUTED_VALUE"""),"")</f>
        <v/>
      </c>
      <c r="Y617" s="5" t="s">
        <v>355</v>
      </c>
      <c r="Z617" s="5" t="s">
        <v>355</v>
      </c>
      <c r="AB617" s="5" t="s">
        <v>355</v>
      </c>
      <c r="AE617" s="5" t="s">
        <v>355</v>
      </c>
      <c r="AH617" s="5" t="s">
        <v>355</v>
      </c>
    </row>
    <row r="618">
      <c r="S618" s="5" t="s">
        <v>355</v>
      </c>
      <c r="T618" s="5" t="str">
        <f>IFERROR(__xludf.DUMMYFUNCTION("""COMPUTED_VALUE"""),"")</f>
        <v/>
      </c>
      <c r="U618" s="5" t="s">
        <v>355</v>
      </c>
      <c r="V618" s="5" t="s">
        <v>355</v>
      </c>
      <c r="W618" s="5" t="s">
        <v>355</v>
      </c>
      <c r="X618" s="5" t="str">
        <f>IFERROR(__xludf.DUMMYFUNCTION("""COMPUTED_VALUE"""),"")</f>
        <v/>
      </c>
      <c r="Y618" s="5" t="s">
        <v>355</v>
      </c>
      <c r="Z618" s="5" t="s">
        <v>355</v>
      </c>
      <c r="AB618" s="5" t="s">
        <v>355</v>
      </c>
      <c r="AE618" s="5" t="s">
        <v>355</v>
      </c>
      <c r="AH618" s="5" t="s">
        <v>355</v>
      </c>
    </row>
    <row r="619">
      <c r="S619" s="5" t="s">
        <v>355</v>
      </c>
      <c r="T619" s="5" t="str">
        <f>IFERROR(__xludf.DUMMYFUNCTION("""COMPUTED_VALUE"""),"")</f>
        <v/>
      </c>
      <c r="U619" s="5" t="s">
        <v>355</v>
      </c>
      <c r="V619" s="5" t="s">
        <v>355</v>
      </c>
      <c r="W619" s="5" t="s">
        <v>355</v>
      </c>
      <c r="X619" s="5" t="str">
        <f>IFERROR(__xludf.DUMMYFUNCTION("""COMPUTED_VALUE"""),"")</f>
        <v/>
      </c>
      <c r="Y619" s="5" t="s">
        <v>355</v>
      </c>
      <c r="Z619" s="5" t="s">
        <v>355</v>
      </c>
      <c r="AB619" s="5" t="s">
        <v>355</v>
      </c>
      <c r="AE619" s="5" t="s">
        <v>355</v>
      </c>
      <c r="AH619" s="5" t="s">
        <v>355</v>
      </c>
    </row>
    <row r="620">
      <c r="S620" s="5" t="s">
        <v>355</v>
      </c>
      <c r="T620" s="5" t="str">
        <f>IFERROR(__xludf.DUMMYFUNCTION("""COMPUTED_VALUE"""),"")</f>
        <v/>
      </c>
      <c r="U620" s="5" t="s">
        <v>355</v>
      </c>
      <c r="V620" s="5" t="s">
        <v>355</v>
      </c>
      <c r="W620" s="5" t="s">
        <v>355</v>
      </c>
      <c r="X620" s="5" t="str">
        <f>IFERROR(__xludf.DUMMYFUNCTION("""COMPUTED_VALUE"""),"")</f>
        <v/>
      </c>
      <c r="Y620" s="5" t="s">
        <v>355</v>
      </c>
      <c r="Z620" s="5" t="s">
        <v>355</v>
      </c>
      <c r="AB620" s="5" t="s">
        <v>355</v>
      </c>
      <c r="AE620" s="5" t="s">
        <v>355</v>
      </c>
      <c r="AH620" s="5" t="s">
        <v>355</v>
      </c>
    </row>
    <row r="621">
      <c r="S621" s="5" t="s">
        <v>355</v>
      </c>
      <c r="T621" s="5" t="str">
        <f>IFERROR(__xludf.DUMMYFUNCTION("""COMPUTED_VALUE"""),"")</f>
        <v/>
      </c>
      <c r="U621" s="5" t="s">
        <v>355</v>
      </c>
      <c r="V621" s="5" t="s">
        <v>355</v>
      </c>
      <c r="W621" s="5" t="s">
        <v>355</v>
      </c>
      <c r="X621" s="5" t="str">
        <f>IFERROR(__xludf.DUMMYFUNCTION("""COMPUTED_VALUE"""),"")</f>
        <v/>
      </c>
      <c r="Y621" s="5" t="s">
        <v>355</v>
      </c>
      <c r="Z621" s="5" t="s">
        <v>355</v>
      </c>
      <c r="AB621" s="5" t="s">
        <v>355</v>
      </c>
      <c r="AE621" s="5" t="s">
        <v>355</v>
      </c>
      <c r="AH621" s="5" t="s">
        <v>355</v>
      </c>
    </row>
    <row r="622">
      <c r="S622" s="5" t="s">
        <v>355</v>
      </c>
      <c r="T622" s="5" t="str">
        <f>IFERROR(__xludf.DUMMYFUNCTION("""COMPUTED_VALUE"""),"")</f>
        <v/>
      </c>
      <c r="U622" s="5" t="s">
        <v>355</v>
      </c>
      <c r="V622" s="5" t="s">
        <v>355</v>
      </c>
      <c r="W622" s="5" t="s">
        <v>355</v>
      </c>
      <c r="X622" s="5" t="str">
        <f>IFERROR(__xludf.DUMMYFUNCTION("""COMPUTED_VALUE"""),"")</f>
        <v/>
      </c>
      <c r="Y622" s="5" t="s">
        <v>355</v>
      </c>
      <c r="Z622" s="5" t="s">
        <v>355</v>
      </c>
      <c r="AB622" s="5" t="s">
        <v>355</v>
      </c>
      <c r="AE622" s="5" t="s">
        <v>355</v>
      </c>
      <c r="AH622" s="5" t="s">
        <v>355</v>
      </c>
    </row>
    <row r="623">
      <c r="S623" s="5" t="s">
        <v>355</v>
      </c>
      <c r="T623" s="5" t="str">
        <f>IFERROR(__xludf.DUMMYFUNCTION("""COMPUTED_VALUE"""),"")</f>
        <v/>
      </c>
      <c r="U623" s="5" t="s">
        <v>355</v>
      </c>
      <c r="V623" s="5" t="s">
        <v>355</v>
      </c>
      <c r="W623" s="5" t="s">
        <v>355</v>
      </c>
      <c r="X623" s="5" t="str">
        <f>IFERROR(__xludf.DUMMYFUNCTION("""COMPUTED_VALUE"""),"")</f>
        <v/>
      </c>
      <c r="Y623" s="5" t="s">
        <v>355</v>
      </c>
      <c r="Z623" s="5" t="s">
        <v>355</v>
      </c>
      <c r="AB623" s="5" t="s">
        <v>355</v>
      </c>
      <c r="AE623" s="5" t="s">
        <v>355</v>
      </c>
      <c r="AH623" s="5" t="s">
        <v>355</v>
      </c>
    </row>
    <row r="624">
      <c r="S624" s="5" t="s">
        <v>355</v>
      </c>
      <c r="T624" s="5" t="str">
        <f>IFERROR(__xludf.DUMMYFUNCTION("""COMPUTED_VALUE"""),"")</f>
        <v/>
      </c>
      <c r="U624" s="5" t="s">
        <v>355</v>
      </c>
      <c r="V624" s="5" t="s">
        <v>355</v>
      </c>
      <c r="W624" s="5" t="s">
        <v>355</v>
      </c>
      <c r="X624" s="5" t="str">
        <f>IFERROR(__xludf.DUMMYFUNCTION("""COMPUTED_VALUE"""),"")</f>
        <v/>
      </c>
      <c r="Y624" s="5" t="s">
        <v>355</v>
      </c>
      <c r="Z624" s="5" t="s">
        <v>355</v>
      </c>
      <c r="AB624" s="5" t="s">
        <v>355</v>
      </c>
      <c r="AE624" s="5" t="s">
        <v>355</v>
      </c>
      <c r="AH624" s="5" t="s">
        <v>355</v>
      </c>
    </row>
    <row r="625">
      <c r="S625" s="5" t="s">
        <v>355</v>
      </c>
      <c r="T625" s="5" t="str">
        <f>IFERROR(__xludf.DUMMYFUNCTION("""COMPUTED_VALUE"""),"")</f>
        <v/>
      </c>
      <c r="U625" s="5" t="s">
        <v>355</v>
      </c>
      <c r="V625" s="5" t="s">
        <v>355</v>
      </c>
      <c r="W625" s="5" t="s">
        <v>355</v>
      </c>
      <c r="X625" s="5" t="str">
        <f>IFERROR(__xludf.DUMMYFUNCTION("""COMPUTED_VALUE"""),"")</f>
        <v/>
      </c>
      <c r="Y625" s="5" t="s">
        <v>355</v>
      </c>
      <c r="Z625" s="5" t="s">
        <v>355</v>
      </c>
      <c r="AB625" s="5" t="s">
        <v>355</v>
      </c>
      <c r="AE625" s="5" t="s">
        <v>355</v>
      </c>
      <c r="AH625" s="5" t="s">
        <v>355</v>
      </c>
    </row>
    <row r="626">
      <c r="S626" s="5" t="s">
        <v>355</v>
      </c>
      <c r="T626" s="5" t="str">
        <f>IFERROR(__xludf.DUMMYFUNCTION("""COMPUTED_VALUE"""),"")</f>
        <v/>
      </c>
      <c r="U626" s="5" t="s">
        <v>355</v>
      </c>
      <c r="V626" s="5" t="s">
        <v>355</v>
      </c>
      <c r="W626" s="5" t="s">
        <v>355</v>
      </c>
      <c r="X626" s="5" t="str">
        <f>IFERROR(__xludf.DUMMYFUNCTION("""COMPUTED_VALUE"""),"")</f>
        <v/>
      </c>
      <c r="Y626" s="5" t="s">
        <v>355</v>
      </c>
      <c r="Z626" s="5" t="s">
        <v>355</v>
      </c>
      <c r="AB626" s="5" t="s">
        <v>355</v>
      </c>
      <c r="AE626" s="5" t="s">
        <v>355</v>
      </c>
      <c r="AH626" s="5" t="s">
        <v>355</v>
      </c>
    </row>
    <row r="627">
      <c r="S627" s="5" t="s">
        <v>355</v>
      </c>
      <c r="T627" s="5" t="str">
        <f>IFERROR(__xludf.DUMMYFUNCTION("""COMPUTED_VALUE"""),"")</f>
        <v/>
      </c>
      <c r="U627" s="5" t="s">
        <v>355</v>
      </c>
      <c r="V627" s="5" t="s">
        <v>355</v>
      </c>
      <c r="W627" s="5" t="s">
        <v>355</v>
      </c>
      <c r="X627" s="5" t="str">
        <f>IFERROR(__xludf.DUMMYFUNCTION("""COMPUTED_VALUE"""),"")</f>
        <v/>
      </c>
      <c r="Y627" s="5" t="s">
        <v>355</v>
      </c>
      <c r="Z627" s="5" t="s">
        <v>355</v>
      </c>
      <c r="AB627" s="5" t="s">
        <v>355</v>
      </c>
      <c r="AE627" s="5" t="s">
        <v>355</v>
      </c>
      <c r="AH627" s="5" t="s">
        <v>355</v>
      </c>
    </row>
    <row r="628">
      <c r="S628" s="5" t="s">
        <v>355</v>
      </c>
      <c r="T628" s="5" t="str">
        <f>IFERROR(__xludf.DUMMYFUNCTION("""COMPUTED_VALUE"""),"")</f>
        <v/>
      </c>
      <c r="U628" s="5" t="s">
        <v>355</v>
      </c>
      <c r="V628" s="5" t="s">
        <v>355</v>
      </c>
      <c r="W628" s="5" t="s">
        <v>355</v>
      </c>
      <c r="X628" s="5" t="str">
        <f>IFERROR(__xludf.DUMMYFUNCTION("""COMPUTED_VALUE"""),"")</f>
        <v/>
      </c>
      <c r="Y628" s="5" t="s">
        <v>355</v>
      </c>
      <c r="Z628" s="5" t="s">
        <v>355</v>
      </c>
      <c r="AB628" s="5" t="s">
        <v>355</v>
      </c>
      <c r="AE628" s="5" t="s">
        <v>355</v>
      </c>
      <c r="AH628" s="5" t="s">
        <v>355</v>
      </c>
    </row>
    <row r="629">
      <c r="S629" s="5" t="s">
        <v>355</v>
      </c>
      <c r="T629" s="5" t="str">
        <f>IFERROR(__xludf.DUMMYFUNCTION("""COMPUTED_VALUE"""),"")</f>
        <v/>
      </c>
      <c r="U629" s="5" t="s">
        <v>355</v>
      </c>
      <c r="V629" s="5" t="s">
        <v>355</v>
      </c>
      <c r="W629" s="5" t="s">
        <v>355</v>
      </c>
      <c r="X629" s="5" t="str">
        <f>IFERROR(__xludf.DUMMYFUNCTION("""COMPUTED_VALUE"""),"")</f>
        <v/>
      </c>
      <c r="Y629" s="5" t="s">
        <v>355</v>
      </c>
      <c r="Z629" s="5" t="s">
        <v>355</v>
      </c>
      <c r="AB629" s="5" t="s">
        <v>355</v>
      </c>
      <c r="AE629" s="5" t="s">
        <v>355</v>
      </c>
      <c r="AH629" s="5" t="s">
        <v>355</v>
      </c>
    </row>
    <row r="630">
      <c r="S630" s="5" t="s">
        <v>355</v>
      </c>
      <c r="T630" s="5" t="str">
        <f>IFERROR(__xludf.DUMMYFUNCTION("""COMPUTED_VALUE"""),"")</f>
        <v/>
      </c>
      <c r="U630" s="5" t="s">
        <v>355</v>
      </c>
      <c r="V630" s="5" t="s">
        <v>355</v>
      </c>
      <c r="W630" s="5" t="s">
        <v>355</v>
      </c>
      <c r="X630" s="5" t="str">
        <f>IFERROR(__xludf.DUMMYFUNCTION("""COMPUTED_VALUE"""),"")</f>
        <v/>
      </c>
      <c r="Y630" s="5" t="s">
        <v>355</v>
      </c>
      <c r="Z630" s="5" t="s">
        <v>355</v>
      </c>
      <c r="AB630" s="5" t="s">
        <v>355</v>
      </c>
      <c r="AE630" s="5" t="s">
        <v>355</v>
      </c>
      <c r="AH630" s="5" t="s">
        <v>355</v>
      </c>
    </row>
    <row r="631">
      <c r="S631" s="5" t="s">
        <v>355</v>
      </c>
      <c r="T631" s="5" t="str">
        <f>IFERROR(__xludf.DUMMYFUNCTION("""COMPUTED_VALUE"""),"")</f>
        <v/>
      </c>
      <c r="U631" s="5" t="s">
        <v>355</v>
      </c>
      <c r="V631" s="5" t="s">
        <v>355</v>
      </c>
      <c r="W631" s="5" t="s">
        <v>355</v>
      </c>
      <c r="X631" s="5" t="str">
        <f>IFERROR(__xludf.DUMMYFUNCTION("""COMPUTED_VALUE"""),"")</f>
        <v/>
      </c>
      <c r="Y631" s="5" t="s">
        <v>355</v>
      </c>
      <c r="Z631" s="5" t="s">
        <v>355</v>
      </c>
      <c r="AB631" s="5" t="s">
        <v>355</v>
      </c>
      <c r="AE631" s="5" t="s">
        <v>355</v>
      </c>
      <c r="AH631" s="5" t="s">
        <v>355</v>
      </c>
    </row>
    <row r="632">
      <c r="S632" s="5" t="s">
        <v>355</v>
      </c>
      <c r="T632" s="5" t="str">
        <f>IFERROR(__xludf.DUMMYFUNCTION("""COMPUTED_VALUE"""),"")</f>
        <v/>
      </c>
      <c r="U632" s="5" t="s">
        <v>355</v>
      </c>
      <c r="V632" s="5" t="s">
        <v>355</v>
      </c>
      <c r="W632" s="5" t="s">
        <v>355</v>
      </c>
      <c r="X632" s="5" t="str">
        <f>IFERROR(__xludf.DUMMYFUNCTION("""COMPUTED_VALUE"""),"")</f>
        <v/>
      </c>
      <c r="Y632" s="5" t="s">
        <v>355</v>
      </c>
      <c r="Z632" s="5" t="s">
        <v>355</v>
      </c>
      <c r="AB632" s="5" t="s">
        <v>355</v>
      </c>
      <c r="AE632" s="5" t="s">
        <v>355</v>
      </c>
      <c r="AH632" s="5" t="s">
        <v>355</v>
      </c>
    </row>
    <row r="633">
      <c r="S633" s="5" t="s">
        <v>355</v>
      </c>
      <c r="T633" s="5" t="str">
        <f>IFERROR(__xludf.DUMMYFUNCTION("""COMPUTED_VALUE"""),"")</f>
        <v/>
      </c>
      <c r="U633" s="5" t="s">
        <v>355</v>
      </c>
      <c r="V633" s="5" t="s">
        <v>355</v>
      </c>
      <c r="W633" s="5" t="s">
        <v>355</v>
      </c>
      <c r="X633" s="5" t="str">
        <f>IFERROR(__xludf.DUMMYFUNCTION("""COMPUTED_VALUE"""),"")</f>
        <v/>
      </c>
      <c r="Y633" s="5" t="s">
        <v>355</v>
      </c>
      <c r="Z633" s="5" t="s">
        <v>355</v>
      </c>
      <c r="AB633" s="5" t="s">
        <v>355</v>
      </c>
      <c r="AE633" s="5" t="s">
        <v>355</v>
      </c>
      <c r="AH633" s="5" t="s">
        <v>355</v>
      </c>
    </row>
    <row r="634">
      <c r="S634" s="5" t="s">
        <v>355</v>
      </c>
      <c r="T634" s="5" t="str">
        <f>IFERROR(__xludf.DUMMYFUNCTION("""COMPUTED_VALUE"""),"")</f>
        <v/>
      </c>
      <c r="U634" s="5" t="s">
        <v>355</v>
      </c>
      <c r="V634" s="5" t="s">
        <v>355</v>
      </c>
      <c r="W634" s="5" t="s">
        <v>355</v>
      </c>
      <c r="X634" s="5" t="str">
        <f>IFERROR(__xludf.DUMMYFUNCTION("""COMPUTED_VALUE"""),"")</f>
        <v/>
      </c>
      <c r="Y634" s="5" t="s">
        <v>355</v>
      </c>
      <c r="Z634" s="5" t="s">
        <v>355</v>
      </c>
      <c r="AB634" s="5" t="s">
        <v>355</v>
      </c>
      <c r="AE634" s="5" t="s">
        <v>355</v>
      </c>
      <c r="AH634" s="5" t="s">
        <v>355</v>
      </c>
    </row>
    <row r="635">
      <c r="S635" s="5" t="s">
        <v>355</v>
      </c>
      <c r="T635" s="5" t="str">
        <f>IFERROR(__xludf.DUMMYFUNCTION("""COMPUTED_VALUE"""),"")</f>
        <v/>
      </c>
      <c r="U635" s="5" t="s">
        <v>355</v>
      </c>
      <c r="V635" s="5" t="s">
        <v>355</v>
      </c>
      <c r="W635" s="5" t="s">
        <v>355</v>
      </c>
      <c r="X635" s="5" t="str">
        <f>IFERROR(__xludf.DUMMYFUNCTION("""COMPUTED_VALUE"""),"")</f>
        <v/>
      </c>
      <c r="Y635" s="5" t="s">
        <v>355</v>
      </c>
      <c r="Z635" s="5" t="s">
        <v>355</v>
      </c>
      <c r="AB635" s="5" t="s">
        <v>355</v>
      </c>
      <c r="AE635" s="5" t="s">
        <v>355</v>
      </c>
      <c r="AH635" s="5" t="s">
        <v>355</v>
      </c>
    </row>
    <row r="636">
      <c r="S636" s="5" t="s">
        <v>355</v>
      </c>
      <c r="T636" s="5" t="str">
        <f>IFERROR(__xludf.DUMMYFUNCTION("""COMPUTED_VALUE"""),"")</f>
        <v/>
      </c>
      <c r="U636" s="5" t="s">
        <v>355</v>
      </c>
      <c r="V636" s="5" t="s">
        <v>355</v>
      </c>
      <c r="W636" s="5" t="s">
        <v>355</v>
      </c>
      <c r="X636" s="5" t="str">
        <f>IFERROR(__xludf.DUMMYFUNCTION("""COMPUTED_VALUE"""),"")</f>
        <v/>
      </c>
      <c r="Y636" s="5" t="s">
        <v>355</v>
      </c>
      <c r="Z636" s="5" t="s">
        <v>355</v>
      </c>
      <c r="AB636" s="5" t="s">
        <v>355</v>
      </c>
      <c r="AE636" s="5" t="s">
        <v>355</v>
      </c>
      <c r="AH636" s="5" t="s">
        <v>355</v>
      </c>
    </row>
    <row r="637">
      <c r="S637" s="5" t="s">
        <v>355</v>
      </c>
      <c r="T637" s="5" t="str">
        <f>IFERROR(__xludf.DUMMYFUNCTION("""COMPUTED_VALUE"""),"")</f>
        <v/>
      </c>
      <c r="U637" s="5" t="s">
        <v>355</v>
      </c>
      <c r="V637" s="5" t="s">
        <v>355</v>
      </c>
      <c r="W637" s="5" t="s">
        <v>355</v>
      </c>
      <c r="X637" s="5" t="str">
        <f>IFERROR(__xludf.DUMMYFUNCTION("""COMPUTED_VALUE"""),"")</f>
        <v/>
      </c>
      <c r="Y637" s="5" t="s">
        <v>355</v>
      </c>
      <c r="Z637" s="5" t="s">
        <v>355</v>
      </c>
      <c r="AB637" s="5" t="s">
        <v>355</v>
      </c>
      <c r="AE637" s="5" t="s">
        <v>355</v>
      </c>
      <c r="AH637" s="5" t="s">
        <v>355</v>
      </c>
    </row>
    <row r="638">
      <c r="S638" s="5" t="s">
        <v>355</v>
      </c>
      <c r="T638" s="5" t="str">
        <f>IFERROR(__xludf.DUMMYFUNCTION("""COMPUTED_VALUE"""),"")</f>
        <v/>
      </c>
      <c r="U638" s="5" t="s">
        <v>355</v>
      </c>
      <c r="V638" s="5" t="s">
        <v>355</v>
      </c>
      <c r="W638" s="5" t="s">
        <v>355</v>
      </c>
      <c r="X638" s="5" t="str">
        <f>IFERROR(__xludf.DUMMYFUNCTION("""COMPUTED_VALUE"""),"")</f>
        <v/>
      </c>
      <c r="Y638" s="5" t="s">
        <v>355</v>
      </c>
      <c r="Z638" s="5" t="s">
        <v>355</v>
      </c>
      <c r="AB638" s="5" t="s">
        <v>355</v>
      </c>
      <c r="AE638" s="5" t="s">
        <v>355</v>
      </c>
      <c r="AH638" s="5" t="s">
        <v>355</v>
      </c>
    </row>
    <row r="639">
      <c r="S639" s="5" t="s">
        <v>355</v>
      </c>
      <c r="T639" s="5" t="str">
        <f>IFERROR(__xludf.DUMMYFUNCTION("""COMPUTED_VALUE"""),"")</f>
        <v/>
      </c>
      <c r="U639" s="5" t="s">
        <v>355</v>
      </c>
      <c r="V639" s="5" t="s">
        <v>355</v>
      </c>
      <c r="W639" s="5" t="s">
        <v>355</v>
      </c>
      <c r="X639" s="5" t="str">
        <f>IFERROR(__xludf.DUMMYFUNCTION("""COMPUTED_VALUE"""),"")</f>
        <v/>
      </c>
      <c r="Y639" s="5" t="s">
        <v>355</v>
      </c>
      <c r="Z639" s="5" t="s">
        <v>355</v>
      </c>
      <c r="AB639" s="5" t="s">
        <v>355</v>
      </c>
      <c r="AE639" s="5" t="s">
        <v>355</v>
      </c>
      <c r="AH639" s="5" t="s">
        <v>355</v>
      </c>
    </row>
    <row r="640">
      <c r="S640" s="5" t="s">
        <v>355</v>
      </c>
      <c r="T640" s="5" t="str">
        <f>IFERROR(__xludf.DUMMYFUNCTION("""COMPUTED_VALUE"""),"")</f>
        <v/>
      </c>
      <c r="U640" s="5" t="s">
        <v>355</v>
      </c>
      <c r="V640" s="5" t="s">
        <v>355</v>
      </c>
      <c r="W640" s="5" t="s">
        <v>355</v>
      </c>
      <c r="X640" s="5" t="str">
        <f>IFERROR(__xludf.DUMMYFUNCTION("""COMPUTED_VALUE"""),"")</f>
        <v/>
      </c>
      <c r="Y640" s="5" t="s">
        <v>355</v>
      </c>
      <c r="Z640" s="5" t="s">
        <v>355</v>
      </c>
      <c r="AB640" s="5" t="s">
        <v>355</v>
      </c>
      <c r="AE640" s="5" t="s">
        <v>355</v>
      </c>
      <c r="AH640" s="5" t="s">
        <v>355</v>
      </c>
    </row>
    <row r="641">
      <c r="S641" s="5" t="s">
        <v>355</v>
      </c>
      <c r="T641" s="5" t="str">
        <f>IFERROR(__xludf.DUMMYFUNCTION("""COMPUTED_VALUE"""),"")</f>
        <v/>
      </c>
      <c r="U641" s="5" t="s">
        <v>355</v>
      </c>
      <c r="V641" s="5" t="s">
        <v>355</v>
      </c>
      <c r="W641" s="5" t="s">
        <v>355</v>
      </c>
      <c r="X641" s="5" t="str">
        <f>IFERROR(__xludf.DUMMYFUNCTION("""COMPUTED_VALUE"""),"")</f>
        <v/>
      </c>
      <c r="Y641" s="5" t="s">
        <v>355</v>
      </c>
      <c r="Z641" s="5" t="s">
        <v>355</v>
      </c>
      <c r="AB641" s="5" t="s">
        <v>355</v>
      </c>
      <c r="AE641" s="5" t="s">
        <v>355</v>
      </c>
      <c r="AH641" s="5" t="s">
        <v>355</v>
      </c>
    </row>
    <row r="642">
      <c r="S642" s="5" t="s">
        <v>355</v>
      </c>
      <c r="T642" s="5" t="str">
        <f>IFERROR(__xludf.DUMMYFUNCTION("""COMPUTED_VALUE"""),"")</f>
        <v/>
      </c>
      <c r="U642" s="5" t="s">
        <v>355</v>
      </c>
      <c r="V642" s="5" t="s">
        <v>355</v>
      </c>
      <c r="W642" s="5" t="s">
        <v>355</v>
      </c>
      <c r="X642" s="5" t="str">
        <f>IFERROR(__xludf.DUMMYFUNCTION("""COMPUTED_VALUE"""),"")</f>
        <v/>
      </c>
      <c r="Y642" s="5" t="s">
        <v>355</v>
      </c>
      <c r="Z642" s="5" t="s">
        <v>355</v>
      </c>
      <c r="AB642" s="5" t="s">
        <v>355</v>
      </c>
      <c r="AE642" s="5" t="s">
        <v>355</v>
      </c>
      <c r="AH642" s="5" t="s">
        <v>355</v>
      </c>
    </row>
    <row r="643">
      <c r="S643" s="5" t="s">
        <v>355</v>
      </c>
      <c r="T643" s="5" t="str">
        <f>IFERROR(__xludf.DUMMYFUNCTION("""COMPUTED_VALUE"""),"")</f>
        <v/>
      </c>
      <c r="U643" s="5" t="s">
        <v>355</v>
      </c>
      <c r="V643" s="5" t="s">
        <v>355</v>
      </c>
      <c r="W643" s="5" t="s">
        <v>355</v>
      </c>
      <c r="X643" s="5" t="str">
        <f>IFERROR(__xludf.DUMMYFUNCTION("""COMPUTED_VALUE"""),"")</f>
        <v/>
      </c>
      <c r="Y643" s="5" t="s">
        <v>355</v>
      </c>
      <c r="Z643" s="5" t="s">
        <v>355</v>
      </c>
      <c r="AB643" s="5" t="s">
        <v>355</v>
      </c>
      <c r="AE643" s="5" t="s">
        <v>355</v>
      </c>
      <c r="AH643" s="5" t="s">
        <v>355</v>
      </c>
    </row>
    <row r="644">
      <c r="S644" s="5" t="s">
        <v>355</v>
      </c>
      <c r="T644" s="5" t="str">
        <f>IFERROR(__xludf.DUMMYFUNCTION("""COMPUTED_VALUE"""),"")</f>
        <v/>
      </c>
      <c r="U644" s="5" t="s">
        <v>355</v>
      </c>
      <c r="V644" s="5" t="s">
        <v>355</v>
      </c>
      <c r="W644" s="5" t="s">
        <v>355</v>
      </c>
      <c r="X644" s="5" t="str">
        <f>IFERROR(__xludf.DUMMYFUNCTION("""COMPUTED_VALUE"""),"")</f>
        <v/>
      </c>
      <c r="Y644" s="5" t="s">
        <v>355</v>
      </c>
      <c r="Z644" s="5" t="s">
        <v>355</v>
      </c>
      <c r="AB644" s="5" t="s">
        <v>355</v>
      </c>
      <c r="AE644" s="5" t="s">
        <v>355</v>
      </c>
      <c r="AH644" s="5" t="s">
        <v>355</v>
      </c>
    </row>
    <row r="645">
      <c r="S645" s="5" t="s">
        <v>355</v>
      </c>
      <c r="T645" s="5" t="str">
        <f>IFERROR(__xludf.DUMMYFUNCTION("""COMPUTED_VALUE"""),"")</f>
        <v/>
      </c>
      <c r="U645" s="5" t="s">
        <v>355</v>
      </c>
      <c r="V645" s="5" t="s">
        <v>355</v>
      </c>
      <c r="W645" s="5" t="s">
        <v>355</v>
      </c>
      <c r="X645" s="5" t="str">
        <f>IFERROR(__xludf.DUMMYFUNCTION("""COMPUTED_VALUE"""),"")</f>
        <v/>
      </c>
      <c r="Y645" s="5" t="s">
        <v>355</v>
      </c>
      <c r="Z645" s="5" t="s">
        <v>355</v>
      </c>
      <c r="AB645" s="5" t="s">
        <v>355</v>
      </c>
      <c r="AE645" s="5" t="s">
        <v>355</v>
      </c>
      <c r="AH645" s="5" t="s">
        <v>355</v>
      </c>
    </row>
    <row r="646">
      <c r="S646" s="5" t="s">
        <v>355</v>
      </c>
      <c r="T646" s="5" t="str">
        <f>IFERROR(__xludf.DUMMYFUNCTION("""COMPUTED_VALUE"""),"")</f>
        <v/>
      </c>
      <c r="U646" s="5" t="s">
        <v>355</v>
      </c>
      <c r="V646" s="5" t="s">
        <v>355</v>
      </c>
      <c r="W646" s="5" t="s">
        <v>355</v>
      </c>
      <c r="X646" s="5" t="str">
        <f>IFERROR(__xludf.DUMMYFUNCTION("""COMPUTED_VALUE"""),"")</f>
        <v/>
      </c>
      <c r="Y646" s="5" t="s">
        <v>355</v>
      </c>
      <c r="Z646" s="5" t="s">
        <v>355</v>
      </c>
      <c r="AB646" s="5" t="s">
        <v>355</v>
      </c>
      <c r="AE646" s="5" t="s">
        <v>355</v>
      </c>
      <c r="AH646" s="5" t="s">
        <v>355</v>
      </c>
    </row>
    <row r="647">
      <c r="S647" s="5" t="s">
        <v>355</v>
      </c>
      <c r="T647" s="5" t="str">
        <f>IFERROR(__xludf.DUMMYFUNCTION("""COMPUTED_VALUE"""),"")</f>
        <v/>
      </c>
      <c r="U647" s="5" t="s">
        <v>355</v>
      </c>
      <c r="V647" s="5" t="s">
        <v>355</v>
      </c>
      <c r="W647" s="5" t="s">
        <v>355</v>
      </c>
      <c r="X647" s="5" t="str">
        <f>IFERROR(__xludf.DUMMYFUNCTION("""COMPUTED_VALUE"""),"")</f>
        <v/>
      </c>
      <c r="Y647" s="5" t="s">
        <v>355</v>
      </c>
      <c r="Z647" s="5" t="s">
        <v>355</v>
      </c>
      <c r="AB647" s="5" t="s">
        <v>355</v>
      </c>
      <c r="AE647" s="5" t="s">
        <v>355</v>
      </c>
      <c r="AH647" s="5" t="s">
        <v>355</v>
      </c>
    </row>
    <row r="648">
      <c r="S648" s="5" t="s">
        <v>355</v>
      </c>
      <c r="T648" s="5" t="str">
        <f>IFERROR(__xludf.DUMMYFUNCTION("""COMPUTED_VALUE"""),"")</f>
        <v/>
      </c>
      <c r="U648" s="5" t="s">
        <v>355</v>
      </c>
      <c r="V648" s="5" t="s">
        <v>355</v>
      </c>
      <c r="W648" s="5" t="s">
        <v>355</v>
      </c>
      <c r="X648" s="5" t="str">
        <f>IFERROR(__xludf.DUMMYFUNCTION("""COMPUTED_VALUE"""),"")</f>
        <v/>
      </c>
      <c r="Y648" s="5" t="s">
        <v>355</v>
      </c>
      <c r="Z648" s="5" t="s">
        <v>355</v>
      </c>
      <c r="AB648" s="5" t="s">
        <v>355</v>
      </c>
      <c r="AE648" s="5" t="s">
        <v>355</v>
      </c>
      <c r="AH648" s="5" t="s">
        <v>355</v>
      </c>
    </row>
    <row r="649">
      <c r="S649" s="5" t="s">
        <v>355</v>
      </c>
      <c r="T649" s="5" t="str">
        <f>IFERROR(__xludf.DUMMYFUNCTION("""COMPUTED_VALUE"""),"")</f>
        <v/>
      </c>
      <c r="U649" s="5" t="s">
        <v>355</v>
      </c>
      <c r="V649" s="5" t="s">
        <v>355</v>
      </c>
      <c r="W649" s="5" t="s">
        <v>355</v>
      </c>
      <c r="X649" s="5" t="str">
        <f>IFERROR(__xludf.DUMMYFUNCTION("""COMPUTED_VALUE"""),"")</f>
        <v/>
      </c>
      <c r="Y649" s="5" t="s">
        <v>355</v>
      </c>
      <c r="Z649" s="5" t="s">
        <v>355</v>
      </c>
      <c r="AB649" s="5" t="s">
        <v>355</v>
      </c>
      <c r="AE649" s="5" t="s">
        <v>355</v>
      </c>
      <c r="AH649" s="5" t="s">
        <v>355</v>
      </c>
    </row>
    <row r="650">
      <c r="S650" s="5" t="s">
        <v>355</v>
      </c>
      <c r="T650" s="5" t="str">
        <f>IFERROR(__xludf.DUMMYFUNCTION("""COMPUTED_VALUE"""),"")</f>
        <v/>
      </c>
      <c r="U650" s="5" t="s">
        <v>355</v>
      </c>
      <c r="V650" s="5" t="s">
        <v>355</v>
      </c>
      <c r="W650" s="5" t="s">
        <v>355</v>
      </c>
      <c r="X650" s="5" t="str">
        <f>IFERROR(__xludf.DUMMYFUNCTION("""COMPUTED_VALUE"""),"")</f>
        <v/>
      </c>
      <c r="Y650" s="5" t="s">
        <v>355</v>
      </c>
      <c r="Z650" s="5" t="s">
        <v>355</v>
      </c>
      <c r="AB650" s="5" t="s">
        <v>355</v>
      </c>
      <c r="AE650" s="5" t="s">
        <v>355</v>
      </c>
      <c r="AH650" s="5" t="s">
        <v>355</v>
      </c>
    </row>
    <row r="651">
      <c r="S651" s="5" t="s">
        <v>355</v>
      </c>
      <c r="T651" s="5" t="str">
        <f>IFERROR(__xludf.DUMMYFUNCTION("""COMPUTED_VALUE"""),"")</f>
        <v/>
      </c>
      <c r="U651" s="5" t="s">
        <v>355</v>
      </c>
      <c r="V651" s="5" t="s">
        <v>355</v>
      </c>
      <c r="W651" s="5" t="s">
        <v>355</v>
      </c>
      <c r="X651" s="5" t="str">
        <f>IFERROR(__xludf.DUMMYFUNCTION("""COMPUTED_VALUE"""),"")</f>
        <v/>
      </c>
      <c r="Y651" s="5" t="s">
        <v>355</v>
      </c>
      <c r="Z651" s="5" t="s">
        <v>355</v>
      </c>
      <c r="AB651" s="5" t="s">
        <v>355</v>
      </c>
      <c r="AE651" s="5" t="s">
        <v>355</v>
      </c>
      <c r="AH651" s="5" t="s">
        <v>355</v>
      </c>
    </row>
    <row r="652">
      <c r="S652" s="5" t="s">
        <v>355</v>
      </c>
      <c r="T652" s="5" t="str">
        <f>IFERROR(__xludf.DUMMYFUNCTION("""COMPUTED_VALUE"""),"")</f>
        <v/>
      </c>
      <c r="U652" s="5" t="s">
        <v>355</v>
      </c>
      <c r="V652" s="5" t="s">
        <v>355</v>
      </c>
      <c r="W652" s="5" t="s">
        <v>355</v>
      </c>
      <c r="X652" s="5" t="str">
        <f>IFERROR(__xludf.DUMMYFUNCTION("""COMPUTED_VALUE"""),"")</f>
        <v/>
      </c>
      <c r="Y652" s="5" t="s">
        <v>355</v>
      </c>
      <c r="Z652" s="5" t="s">
        <v>355</v>
      </c>
      <c r="AB652" s="5" t="s">
        <v>355</v>
      </c>
      <c r="AE652" s="5" t="s">
        <v>355</v>
      </c>
      <c r="AH652" s="5" t="s">
        <v>355</v>
      </c>
    </row>
    <row r="653">
      <c r="S653" s="5" t="s">
        <v>355</v>
      </c>
      <c r="T653" s="5" t="str">
        <f>IFERROR(__xludf.DUMMYFUNCTION("""COMPUTED_VALUE"""),"")</f>
        <v/>
      </c>
      <c r="U653" s="5" t="s">
        <v>355</v>
      </c>
      <c r="V653" s="5" t="s">
        <v>355</v>
      </c>
      <c r="W653" s="5" t="s">
        <v>355</v>
      </c>
      <c r="X653" s="5" t="str">
        <f>IFERROR(__xludf.DUMMYFUNCTION("""COMPUTED_VALUE"""),"")</f>
        <v/>
      </c>
      <c r="Y653" s="5" t="s">
        <v>355</v>
      </c>
      <c r="Z653" s="5" t="s">
        <v>355</v>
      </c>
      <c r="AB653" s="5" t="s">
        <v>355</v>
      </c>
      <c r="AE653" s="5" t="s">
        <v>355</v>
      </c>
      <c r="AH653" s="5" t="s">
        <v>355</v>
      </c>
    </row>
    <row r="654">
      <c r="S654" s="5" t="s">
        <v>355</v>
      </c>
      <c r="T654" s="5" t="str">
        <f>IFERROR(__xludf.DUMMYFUNCTION("""COMPUTED_VALUE"""),"")</f>
        <v/>
      </c>
      <c r="U654" s="5" t="s">
        <v>355</v>
      </c>
      <c r="V654" s="5" t="s">
        <v>355</v>
      </c>
      <c r="W654" s="5" t="s">
        <v>355</v>
      </c>
      <c r="X654" s="5" t="str">
        <f>IFERROR(__xludf.DUMMYFUNCTION("""COMPUTED_VALUE"""),"")</f>
        <v/>
      </c>
      <c r="Y654" s="5" t="s">
        <v>355</v>
      </c>
      <c r="Z654" s="5" t="s">
        <v>355</v>
      </c>
      <c r="AB654" s="5" t="s">
        <v>355</v>
      </c>
      <c r="AE654" s="5" t="s">
        <v>355</v>
      </c>
      <c r="AH654" s="5" t="s">
        <v>355</v>
      </c>
    </row>
    <row r="655">
      <c r="S655" s="5" t="s">
        <v>355</v>
      </c>
      <c r="T655" s="5" t="str">
        <f>IFERROR(__xludf.DUMMYFUNCTION("""COMPUTED_VALUE"""),"")</f>
        <v/>
      </c>
      <c r="U655" s="5" t="s">
        <v>355</v>
      </c>
      <c r="V655" s="5" t="s">
        <v>355</v>
      </c>
      <c r="W655" s="5" t="s">
        <v>355</v>
      </c>
      <c r="X655" s="5" t="str">
        <f>IFERROR(__xludf.DUMMYFUNCTION("""COMPUTED_VALUE"""),"")</f>
        <v/>
      </c>
      <c r="Y655" s="5" t="s">
        <v>355</v>
      </c>
      <c r="Z655" s="5" t="s">
        <v>355</v>
      </c>
      <c r="AB655" s="5" t="s">
        <v>355</v>
      </c>
      <c r="AE655" s="5" t="s">
        <v>355</v>
      </c>
      <c r="AH655" s="5" t="s">
        <v>355</v>
      </c>
    </row>
    <row r="656">
      <c r="S656" s="5" t="s">
        <v>355</v>
      </c>
      <c r="T656" s="5" t="str">
        <f>IFERROR(__xludf.DUMMYFUNCTION("""COMPUTED_VALUE"""),"")</f>
        <v/>
      </c>
      <c r="U656" s="5" t="s">
        <v>355</v>
      </c>
      <c r="V656" s="5" t="s">
        <v>355</v>
      </c>
      <c r="W656" s="5" t="s">
        <v>355</v>
      </c>
      <c r="X656" s="5" t="str">
        <f>IFERROR(__xludf.DUMMYFUNCTION("""COMPUTED_VALUE"""),"")</f>
        <v/>
      </c>
      <c r="Y656" s="5" t="s">
        <v>355</v>
      </c>
      <c r="Z656" s="5" t="s">
        <v>355</v>
      </c>
      <c r="AB656" s="5" t="s">
        <v>355</v>
      </c>
      <c r="AE656" s="5" t="s">
        <v>355</v>
      </c>
      <c r="AH656" s="5" t="s">
        <v>355</v>
      </c>
    </row>
    <row r="657">
      <c r="S657" s="5" t="s">
        <v>355</v>
      </c>
      <c r="T657" s="5" t="str">
        <f>IFERROR(__xludf.DUMMYFUNCTION("""COMPUTED_VALUE"""),"")</f>
        <v/>
      </c>
      <c r="U657" s="5" t="s">
        <v>355</v>
      </c>
      <c r="V657" s="5" t="s">
        <v>355</v>
      </c>
      <c r="W657" s="5" t="s">
        <v>355</v>
      </c>
      <c r="X657" s="5" t="str">
        <f>IFERROR(__xludf.DUMMYFUNCTION("""COMPUTED_VALUE"""),"")</f>
        <v/>
      </c>
      <c r="Y657" s="5" t="s">
        <v>355</v>
      </c>
      <c r="Z657" s="5" t="s">
        <v>355</v>
      </c>
      <c r="AB657" s="5" t="s">
        <v>355</v>
      </c>
      <c r="AE657" s="5" t="s">
        <v>355</v>
      </c>
      <c r="AH657" s="5" t="s">
        <v>355</v>
      </c>
    </row>
    <row r="658">
      <c r="S658" s="5" t="s">
        <v>355</v>
      </c>
      <c r="T658" s="5" t="str">
        <f>IFERROR(__xludf.DUMMYFUNCTION("""COMPUTED_VALUE"""),"")</f>
        <v/>
      </c>
      <c r="U658" s="5" t="s">
        <v>355</v>
      </c>
      <c r="V658" s="5" t="s">
        <v>355</v>
      </c>
      <c r="W658" s="5" t="s">
        <v>355</v>
      </c>
      <c r="X658" s="5" t="str">
        <f>IFERROR(__xludf.DUMMYFUNCTION("""COMPUTED_VALUE"""),"")</f>
        <v/>
      </c>
      <c r="Y658" s="5" t="s">
        <v>355</v>
      </c>
      <c r="Z658" s="5" t="s">
        <v>355</v>
      </c>
      <c r="AB658" s="5" t="s">
        <v>355</v>
      </c>
      <c r="AE658" s="5" t="s">
        <v>355</v>
      </c>
      <c r="AH658" s="5" t="s">
        <v>355</v>
      </c>
    </row>
    <row r="659">
      <c r="S659" s="5" t="s">
        <v>355</v>
      </c>
      <c r="T659" s="5" t="str">
        <f>IFERROR(__xludf.DUMMYFUNCTION("""COMPUTED_VALUE"""),"")</f>
        <v/>
      </c>
      <c r="U659" s="5" t="s">
        <v>355</v>
      </c>
      <c r="V659" s="5" t="s">
        <v>355</v>
      </c>
      <c r="W659" s="5" t="s">
        <v>355</v>
      </c>
      <c r="X659" s="5" t="str">
        <f>IFERROR(__xludf.DUMMYFUNCTION("""COMPUTED_VALUE"""),"")</f>
        <v/>
      </c>
      <c r="Y659" s="5" t="s">
        <v>355</v>
      </c>
      <c r="Z659" s="5" t="s">
        <v>355</v>
      </c>
      <c r="AB659" s="5" t="s">
        <v>355</v>
      </c>
      <c r="AE659" s="5" t="s">
        <v>355</v>
      </c>
      <c r="AH659" s="5" t="s">
        <v>355</v>
      </c>
    </row>
    <row r="660">
      <c r="S660" s="5" t="s">
        <v>355</v>
      </c>
      <c r="T660" s="5" t="str">
        <f>IFERROR(__xludf.DUMMYFUNCTION("""COMPUTED_VALUE"""),"")</f>
        <v/>
      </c>
      <c r="U660" s="5" t="s">
        <v>355</v>
      </c>
      <c r="V660" s="5" t="s">
        <v>355</v>
      </c>
      <c r="W660" s="5" t="s">
        <v>355</v>
      </c>
      <c r="X660" s="5" t="str">
        <f>IFERROR(__xludf.DUMMYFUNCTION("""COMPUTED_VALUE"""),"")</f>
        <v/>
      </c>
      <c r="Y660" s="5" t="s">
        <v>355</v>
      </c>
      <c r="Z660" s="5" t="s">
        <v>355</v>
      </c>
      <c r="AB660" s="5" t="s">
        <v>355</v>
      </c>
      <c r="AE660" s="5" t="s">
        <v>355</v>
      </c>
      <c r="AH660" s="5" t="s">
        <v>355</v>
      </c>
    </row>
    <row r="661">
      <c r="S661" s="5" t="s">
        <v>355</v>
      </c>
      <c r="T661" s="5" t="str">
        <f>IFERROR(__xludf.DUMMYFUNCTION("""COMPUTED_VALUE"""),"")</f>
        <v/>
      </c>
      <c r="U661" s="5" t="s">
        <v>355</v>
      </c>
      <c r="V661" s="5" t="s">
        <v>355</v>
      </c>
      <c r="W661" s="5" t="s">
        <v>355</v>
      </c>
      <c r="X661" s="5" t="str">
        <f>IFERROR(__xludf.DUMMYFUNCTION("""COMPUTED_VALUE"""),"")</f>
        <v/>
      </c>
      <c r="Y661" s="5" t="s">
        <v>355</v>
      </c>
      <c r="Z661" s="5" t="s">
        <v>355</v>
      </c>
      <c r="AB661" s="5" t="s">
        <v>355</v>
      </c>
      <c r="AE661" s="5" t="s">
        <v>355</v>
      </c>
      <c r="AH661" s="5" t="s">
        <v>355</v>
      </c>
    </row>
    <row r="662">
      <c r="S662" s="5" t="s">
        <v>355</v>
      </c>
      <c r="T662" s="5" t="str">
        <f>IFERROR(__xludf.DUMMYFUNCTION("""COMPUTED_VALUE"""),"")</f>
        <v/>
      </c>
      <c r="U662" s="5" t="s">
        <v>355</v>
      </c>
      <c r="V662" s="5" t="s">
        <v>355</v>
      </c>
      <c r="W662" s="5" t="s">
        <v>355</v>
      </c>
      <c r="X662" s="5" t="str">
        <f>IFERROR(__xludf.DUMMYFUNCTION("""COMPUTED_VALUE"""),"")</f>
        <v/>
      </c>
      <c r="Y662" s="5" t="s">
        <v>355</v>
      </c>
      <c r="Z662" s="5" t="s">
        <v>355</v>
      </c>
      <c r="AB662" s="5" t="s">
        <v>355</v>
      </c>
      <c r="AE662" s="5" t="s">
        <v>355</v>
      </c>
      <c r="AH662" s="5" t="s">
        <v>355</v>
      </c>
    </row>
    <row r="663">
      <c r="S663" s="5" t="s">
        <v>355</v>
      </c>
      <c r="T663" s="5" t="str">
        <f>IFERROR(__xludf.DUMMYFUNCTION("""COMPUTED_VALUE"""),"")</f>
        <v/>
      </c>
      <c r="U663" s="5" t="s">
        <v>355</v>
      </c>
      <c r="V663" s="5" t="s">
        <v>355</v>
      </c>
      <c r="W663" s="5" t="s">
        <v>355</v>
      </c>
      <c r="X663" s="5" t="str">
        <f>IFERROR(__xludf.DUMMYFUNCTION("""COMPUTED_VALUE"""),"")</f>
        <v/>
      </c>
      <c r="Y663" s="5" t="s">
        <v>355</v>
      </c>
      <c r="Z663" s="5" t="s">
        <v>355</v>
      </c>
      <c r="AB663" s="5" t="s">
        <v>355</v>
      </c>
      <c r="AE663" s="5" t="s">
        <v>355</v>
      </c>
      <c r="AH663" s="5" t="s">
        <v>355</v>
      </c>
    </row>
    <row r="664">
      <c r="S664" s="5" t="s">
        <v>355</v>
      </c>
      <c r="T664" s="5" t="str">
        <f>IFERROR(__xludf.DUMMYFUNCTION("""COMPUTED_VALUE"""),"")</f>
        <v/>
      </c>
      <c r="U664" s="5" t="s">
        <v>355</v>
      </c>
      <c r="V664" s="5" t="s">
        <v>355</v>
      </c>
      <c r="W664" s="5" t="s">
        <v>355</v>
      </c>
      <c r="X664" s="5" t="str">
        <f>IFERROR(__xludf.DUMMYFUNCTION("""COMPUTED_VALUE"""),"")</f>
        <v/>
      </c>
      <c r="Y664" s="5" t="s">
        <v>355</v>
      </c>
      <c r="Z664" s="5" t="s">
        <v>355</v>
      </c>
      <c r="AB664" s="5" t="s">
        <v>355</v>
      </c>
      <c r="AE664" s="5" t="s">
        <v>355</v>
      </c>
      <c r="AH664" s="5" t="s">
        <v>355</v>
      </c>
    </row>
    <row r="665">
      <c r="S665" s="5" t="s">
        <v>355</v>
      </c>
      <c r="T665" s="5" t="str">
        <f>IFERROR(__xludf.DUMMYFUNCTION("""COMPUTED_VALUE"""),"")</f>
        <v/>
      </c>
      <c r="U665" s="5" t="s">
        <v>355</v>
      </c>
      <c r="V665" s="5" t="s">
        <v>355</v>
      </c>
      <c r="W665" s="5" t="s">
        <v>355</v>
      </c>
      <c r="X665" s="5" t="str">
        <f>IFERROR(__xludf.DUMMYFUNCTION("""COMPUTED_VALUE"""),"")</f>
        <v/>
      </c>
      <c r="Y665" s="5" t="s">
        <v>355</v>
      </c>
      <c r="Z665" s="5" t="s">
        <v>355</v>
      </c>
      <c r="AB665" s="5" t="s">
        <v>355</v>
      </c>
      <c r="AE665" s="5" t="s">
        <v>355</v>
      </c>
      <c r="AH665" s="5" t="s">
        <v>355</v>
      </c>
    </row>
    <row r="666">
      <c r="S666" s="5" t="s">
        <v>355</v>
      </c>
      <c r="T666" s="5" t="str">
        <f>IFERROR(__xludf.DUMMYFUNCTION("""COMPUTED_VALUE"""),"")</f>
        <v/>
      </c>
      <c r="U666" s="5" t="s">
        <v>355</v>
      </c>
      <c r="V666" s="5" t="s">
        <v>355</v>
      </c>
      <c r="W666" s="5" t="s">
        <v>355</v>
      </c>
      <c r="X666" s="5" t="str">
        <f>IFERROR(__xludf.DUMMYFUNCTION("""COMPUTED_VALUE"""),"")</f>
        <v/>
      </c>
      <c r="Y666" s="5" t="s">
        <v>355</v>
      </c>
      <c r="Z666" s="5" t="s">
        <v>355</v>
      </c>
      <c r="AB666" s="5" t="s">
        <v>355</v>
      </c>
      <c r="AE666" s="5" t="s">
        <v>355</v>
      </c>
      <c r="AH666" s="5" t="s">
        <v>355</v>
      </c>
    </row>
    <row r="667">
      <c r="S667" s="5" t="s">
        <v>355</v>
      </c>
      <c r="T667" s="5" t="str">
        <f>IFERROR(__xludf.DUMMYFUNCTION("""COMPUTED_VALUE"""),"")</f>
        <v/>
      </c>
      <c r="U667" s="5" t="s">
        <v>355</v>
      </c>
      <c r="V667" s="5" t="s">
        <v>355</v>
      </c>
      <c r="W667" s="5" t="s">
        <v>355</v>
      </c>
      <c r="X667" s="5" t="str">
        <f>IFERROR(__xludf.DUMMYFUNCTION("""COMPUTED_VALUE"""),"")</f>
        <v/>
      </c>
      <c r="Y667" s="5" t="s">
        <v>355</v>
      </c>
      <c r="Z667" s="5" t="s">
        <v>355</v>
      </c>
      <c r="AB667" s="5" t="s">
        <v>355</v>
      </c>
      <c r="AE667" s="5" t="s">
        <v>355</v>
      </c>
      <c r="AH667" s="5" t="s">
        <v>355</v>
      </c>
    </row>
    <row r="668">
      <c r="S668" s="5" t="s">
        <v>355</v>
      </c>
      <c r="T668" s="5" t="str">
        <f>IFERROR(__xludf.DUMMYFUNCTION("""COMPUTED_VALUE"""),"")</f>
        <v/>
      </c>
      <c r="U668" s="5" t="s">
        <v>355</v>
      </c>
      <c r="V668" s="5" t="s">
        <v>355</v>
      </c>
      <c r="W668" s="5" t="s">
        <v>355</v>
      </c>
      <c r="X668" s="5" t="str">
        <f>IFERROR(__xludf.DUMMYFUNCTION("""COMPUTED_VALUE"""),"")</f>
        <v/>
      </c>
      <c r="Y668" s="5" t="s">
        <v>355</v>
      </c>
      <c r="Z668" s="5" t="s">
        <v>355</v>
      </c>
      <c r="AB668" s="5" t="s">
        <v>355</v>
      </c>
      <c r="AE668" s="5" t="s">
        <v>355</v>
      </c>
      <c r="AH668" s="5" t="s">
        <v>355</v>
      </c>
    </row>
    <row r="669">
      <c r="S669" s="5" t="s">
        <v>355</v>
      </c>
      <c r="T669" s="5" t="str">
        <f>IFERROR(__xludf.DUMMYFUNCTION("""COMPUTED_VALUE"""),"")</f>
        <v/>
      </c>
      <c r="U669" s="5" t="s">
        <v>355</v>
      </c>
      <c r="V669" s="5" t="s">
        <v>355</v>
      </c>
      <c r="W669" s="5" t="s">
        <v>355</v>
      </c>
      <c r="X669" s="5" t="str">
        <f>IFERROR(__xludf.DUMMYFUNCTION("""COMPUTED_VALUE"""),"")</f>
        <v/>
      </c>
      <c r="Y669" s="5" t="s">
        <v>355</v>
      </c>
      <c r="Z669" s="5" t="s">
        <v>355</v>
      </c>
      <c r="AB669" s="5" t="s">
        <v>355</v>
      </c>
      <c r="AE669" s="5" t="s">
        <v>355</v>
      </c>
      <c r="AH669" s="5" t="s">
        <v>355</v>
      </c>
    </row>
    <row r="670">
      <c r="S670" s="5" t="s">
        <v>355</v>
      </c>
      <c r="T670" s="5" t="str">
        <f>IFERROR(__xludf.DUMMYFUNCTION("""COMPUTED_VALUE"""),"")</f>
        <v/>
      </c>
      <c r="U670" s="5" t="s">
        <v>355</v>
      </c>
      <c r="V670" s="5" t="s">
        <v>355</v>
      </c>
      <c r="W670" s="5" t="s">
        <v>355</v>
      </c>
      <c r="X670" s="5" t="str">
        <f>IFERROR(__xludf.DUMMYFUNCTION("""COMPUTED_VALUE"""),"")</f>
        <v/>
      </c>
      <c r="Y670" s="5" t="s">
        <v>355</v>
      </c>
      <c r="Z670" s="5" t="s">
        <v>355</v>
      </c>
      <c r="AB670" s="5" t="s">
        <v>355</v>
      </c>
      <c r="AE670" s="5" t="s">
        <v>355</v>
      </c>
      <c r="AH670" s="5" t="s">
        <v>355</v>
      </c>
    </row>
    <row r="671">
      <c r="S671" s="5" t="s">
        <v>355</v>
      </c>
      <c r="T671" s="5" t="str">
        <f>IFERROR(__xludf.DUMMYFUNCTION("""COMPUTED_VALUE"""),"")</f>
        <v/>
      </c>
      <c r="U671" s="5" t="s">
        <v>355</v>
      </c>
      <c r="V671" s="5" t="s">
        <v>355</v>
      </c>
      <c r="W671" s="5" t="s">
        <v>355</v>
      </c>
      <c r="X671" s="5" t="str">
        <f>IFERROR(__xludf.DUMMYFUNCTION("""COMPUTED_VALUE"""),"")</f>
        <v/>
      </c>
      <c r="Y671" s="5" t="s">
        <v>355</v>
      </c>
      <c r="Z671" s="5" t="s">
        <v>355</v>
      </c>
      <c r="AB671" s="5" t="s">
        <v>355</v>
      </c>
      <c r="AE671" s="5" t="s">
        <v>355</v>
      </c>
      <c r="AH671" s="5" t="s">
        <v>355</v>
      </c>
    </row>
    <row r="672">
      <c r="S672" s="5" t="s">
        <v>355</v>
      </c>
      <c r="T672" s="5" t="str">
        <f>IFERROR(__xludf.DUMMYFUNCTION("""COMPUTED_VALUE"""),"")</f>
        <v/>
      </c>
      <c r="U672" s="5" t="s">
        <v>355</v>
      </c>
      <c r="V672" s="5" t="s">
        <v>355</v>
      </c>
      <c r="W672" s="5" t="s">
        <v>355</v>
      </c>
      <c r="X672" s="5" t="str">
        <f>IFERROR(__xludf.DUMMYFUNCTION("""COMPUTED_VALUE"""),"")</f>
        <v/>
      </c>
      <c r="Y672" s="5" t="s">
        <v>355</v>
      </c>
      <c r="Z672" s="5" t="s">
        <v>355</v>
      </c>
      <c r="AB672" s="5" t="s">
        <v>355</v>
      </c>
      <c r="AE672" s="5" t="s">
        <v>355</v>
      </c>
      <c r="AH672" s="5" t="s">
        <v>355</v>
      </c>
    </row>
    <row r="673">
      <c r="S673" s="5" t="s">
        <v>355</v>
      </c>
      <c r="T673" s="5" t="str">
        <f>IFERROR(__xludf.DUMMYFUNCTION("""COMPUTED_VALUE"""),"")</f>
        <v/>
      </c>
      <c r="U673" s="5" t="s">
        <v>355</v>
      </c>
      <c r="V673" s="5" t="s">
        <v>355</v>
      </c>
      <c r="W673" s="5" t="s">
        <v>355</v>
      </c>
      <c r="X673" s="5" t="str">
        <f>IFERROR(__xludf.DUMMYFUNCTION("""COMPUTED_VALUE"""),"")</f>
        <v/>
      </c>
      <c r="Y673" s="5" t="s">
        <v>355</v>
      </c>
      <c r="Z673" s="5" t="s">
        <v>355</v>
      </c>
      <c r="AB673" s="5" t="s">
        <v>355</v>
      </c>
      <c r="AE673" s="5" t="s">
        <v>355</v>
      </c>
      <c r="AH673" s="5" t="s">
        <v>355</v>
      </c>
    </row>
    <row r="674">
      <c r="S674" s="5" t="s">
        <v>355</v>
      </c>
      <c r="T674" s="5" t="str">
        <f>IFERROR(__xludf.DUMMYFUNCTION("""COMPUTED_VALUE"""),"")</f>
        <v/>
      </c>
      <c r="U674" s="5" t="s">
        <v>355</v>
      </c>
      <c r="V674" s="5" t="s">
        <v>355</v>
      </c>
      <c r="W674" s="5" t="s">
        <v>355</v>
      </c>
      <c r="X674" s="5" t="str">
        <f>IFERROR(__xludf.DUMMYFUNCTION("""COMPUTED_VALUE"""),"")</f>
        <v/>
      </c>
      <c r="Y674" s="5" t="s">
        <v>355</v>
      </c>
      <c r="Z674" s="5" t="s">
        <v>355</v>
      </c>
      <c r="AB674" s="5" t="s">
        <v>355</v>
      </c>
      <c r="AE674" s="5" t="s">
        <v>355</v>
      </c>
      <c r="AH674" s="5" t="s">
        <v>355</v>
      </c>
    </row>
    <row r="675">
      <c r="S675" s="5" t="s">
        <v>355</v>
      </c>
      <c r="T675" s="5" t="str">
        <f>IFERROR(__xludf.DUMMYFUNCTION("""COMPUTED_VALUE"""),"")</f>
        <v/>
      </c>
      <c r="U675" s="5" t="s">
        <v>355</v>
      </c>
      <c r="V675" s="5" t="s">
        <v>355</v>
      </c>
      <c r="W675" s="5" t="s">
        <v>355</v>
      </c>
      <c r="X675" s="5" t="str">
        <f>IFERROR(__xludf.DUMMYFUNCTION("""COMPUTED_VALUE"""),"")</f>
        <v/>
      </c>
      <c r="Y675" s="5" t="s">
        <v>355</v>
      </c>
      <c r="Z675" s="5" t="s">
        <v>355</v>
      </c>
      <c r="AB675" s="5" t="s">
        <v>355</v>
      </c>
      <c r="AE675" s="5" t="s">
        <v>355</v>
      </c>
      <c r="AH675" s="5" t="s">
        <v>355</v>
      </c>
    </row>
    <row r="676">
      <c r="S676" s="5" t="s">
        <v>355</v>
      </c>
      <c r="T676" s="5" t="str">
        <f>IFERROR(__xludf.DUMMYFUNCTION("""COMPUTED_VALUE"""),"")</f>
        <v/>
      </c>
      <c r="U676" s="5" t="s">
        <v>355</v>
      </c>
      <c r="V676" s="5" t="s">
        <v>355</v>
      </c>
      <c r="W676" s="5" t="s">
        <v>355</v>
      </c>
      <c r="X676" s="5" t="str">
        <f>IFERROR(__xludf.DUMMYFUNCTION("""COMPUTED_VALUE"""),"")</f>
        <v/>
      </c>
      <c r="Y676" s="5" t="s">
        <v>355</v>
      </c>
      <c r="Z676" s="5" t="s">
        <v>355</v>
      </c>
      <c r="AB676" s="5" t="s">
        <v>355</v>
      </c>
      <c r="AE676" s="5" t="s">
        <v>355</v>
      </c>
      <c r="AH676" s="5" t="s">
        <v>355</v>
      </c>
    </row>
    <row r="677">
      <c r="S677" s="5" t="s">
        <v>355</v>
      </c>
      <c r="T677" s="5" t="str">
        <f>IFERROR(__xludf.DUMMYFUNCTION("""COMPUTED_VALUE"""),"")</f>
        <v/>
      </c>
      <c r="U677" s="5" t="s">
        <v>355</v>
      </c>
      <c r="V677" s="5" t="s">
        <v>355</v>
      </c>
      <c r="W677" s="5" t="s">
        <v>355</v>
      </c>
      <c r="X677" s="5" t="str">
        <f>IFERROR(__xludf.DUMMYFUNCTION("""COMPUTED_VALUE"""),"")</f>
        <v/>
      </c>
      <c r="Y677" s="5" t="s">
        <v>355</v>
      </c>
      <c r="Z677" s="5" t="s">
        <v>355</v>
      </c>
      <c r="AB677" s="5" t="s">
        <v>355</v>
      </c>
      <c r="AE677" s="5" t="s">
        <v>355</v>
      </c>
      <c r="AH677" s="5" t="s">
        <v>355</v>
      </c>
    </row>
    <row r="678">
      <c r="S678" s="5" t="s">
        <v>355</v>
      </c>
      <c r="T678" s="5" t="str">
        <f>IFERROR(__xludf.DUMMYFUNCTION("""COMPUTED_VALUE"""),"")</f>
        <v/>
      </c>
      <c r="U678" s="5" t="s">
        <v>355</v>
      </c>
      <c r="V678" s="5" t="s">
        <v>355</v>
      </c>
      <c r="W678" s="5" t="s">
        <v>355</v>
      </c>
      <c r="X678" s="5" t="str">
        <f>IFERROR(__xludf.DUMMYFUNCTION("""COMPUTED_VALUE"""),"")</f>
        <v/>
      </c>
      <c r="Y678" s="5" t="s">
        <v>355</v>
      </c>
      <c r="Z678" s="5" t="s">
        <v>355</v>
      </c>
      <c r="AB678" s="5" t="s">
        <v>355</v>
      </c>
      <c r="AE678" s="5" t="s">
        <v>355</v>
      </c>
      <c r="AH678" s="5" t="s">
        <v>355</v>
      </c>
    </row>
    <row r="679">
      <c r="S679" s="5" t="s">
        <v>355</v>
      </c>
      <c r="T679" s="5" t="str">
        <f>IFERROR(__xludf.DUMMYFUNCTION("""COMPUTED_VALUE"""),"")</f>
        <v/>
      </c>
      <c r="U679" s="5" t="s">
        <v>355</v>
      </c>
      <c r="V679" s="5" t="s">
        <v>355</v>
      </c>
      <c r="W679" s="5" t="s">
        <v>355</v>
      </c>
      <c r="X679" s="5" t="str">
        <f>IFERROR(__xludf.DUMMYFUNCTION("""COMPUTED_VALUE"""),"")</f>
        <v/>
      </c>
      <c r="Y679" s="5" t="s">
        <v>355</v>
      </c>
      <c r="Z679" s="5" t="s">
        <v>355</v>
      </c>
      <c r="AB679" s="5" t="s">
        <v>355</v>
      </c>
      <c r="AE679" s="5" t="s">
        <v>355</v>
      </c>
      <c r="AH679" s="5" t="s">
        <v>355</v>
      </c>
    </row>
    <row r="680">
      <c r="S680" s="5" t="s">
        <v>355</v>
      </c>
      <c r="T680" s="5" t="str">
        <f>IFERROR(__xludf.DUMMYFUNCTION("""COMPUTED_VALUE"""),"")</f>
        <v/>
      </c>
      <c r="U680" s="5" t="s">
        <v>355</v>
      </c>
      <c r="V680" s="5" t="s">
        <v>355</v>
      </c>
      <c r="W680" s="5" t="s">
        <v>355</v>
      </c>
      <c r="X680" s="5" t="str">
        <f>IFERROR(__xludf.DUMMYFUNCTION("""COMPUTED_VALUE"""),"")</f>
        <v/>
      </c>
      <c r="Y680" s="5" t="s">
        <v>355</v>
      </c>
      <c r="Z680" s="5" t="s">
        <v>355</v>
      </c>
      <c r="AB680" s="5" t="s">
        <v>355</v>
      </c>
      <c r="AE680" s="5" t="s">
        <v>355</v>
      </c>
      <c r="AH680" s="5" t="s">
        <v>355</v>
      </c>
    </row>
    <row r="681">
      <c r="S681" s="5" t="s">
        <v>355</v>
      </c>
      <c r="T681" s="5" t="str">
        <f>IFERROR(__xludf.DUMMYFUNCTION("""COMPUTED_VALUE"""),"")</f>
        <v/>
      </c>
      <c r="U681" s="5" t="s">
        <v>355</v>
      </c>
      <c r="V681" s="5" t="s">
        <v>355</v>
      </c>
      <c r="W681" s="5" t="s">
        <v>355</v>
      </c>
      <c r="X681" s="5" t="str">
        <f>IFERROR(__xludf.DUMMYFUNCTION("""COMPUTED_VALUE"""),"")</f>
        <v/>
      </c>
      <c r="Y681" s="5" t="s">
        <v>355</v>
      </c>
      <c r="Z681" s="5" t="s">
        <v>355</v>
      </c>
      <c r="AB681" s="5" t="s">
        <v>355</v>
      </c>
      <c r="AE681" s="5" t="s">
        <v>355</v>
      </c>
      <c r="AH681" s="5" t="s">
        <v>355</v>
      </c>
    </row>
    <row r="682">
      <c r="S682" s="5" t="s">
        <v>355</v>
      </c>
      <c r="T682" s="5" t="str">
        <f>IFERROR(__xludf.DUMMYFUNCTION("""COMPUTED_VALUE"""),"")</f>
        <v/>
      </c>
      <c r="U682" s="5" t="s">
        <v>355</v>
      </c>
      <c r="V682" s="5" t="s">
        <v>355</v>
      </c>
      <c r="W682" s="5" t="s">
        <v>355</v>
      </c>
      <c r="X682" s="5" t="str">
        <f>IFERROR(__xludf.DUMMYFUNCTION("""COMPUTED_VALUE"""),"")</f>
        <v/>
      </c>
      <c r="Y682" s="5" t="s">
        <v>355</v>
      </c>
      <c r="Z682" s="5" t="s">
        <v>355</v>
      </c>
      <c r="AB682" s="5" t="s">
        <v>355</v>
      </c>
      <c r="AE682" s="5" t="s">
        <v>355</v>
      </c>
      <c r="AH682" s="5" t="s">
        <v>355</v>
      </c>
    </row>
    <row r="683">
      <c r="S683" s="5" t="s">
        <v>355</v>
      </c>
      <c r="T683" s="5" t="str">
        <f>IFERROR(__xludf.DUMMYFUNCTION("""COMPUTED_VALUE"""),"")</f>
        <v/>
      </c>
      <c r="U683" s="5" t="s">
        <v>355</v>
      </c>
      <c r="V683" s="5" t="s">
        <v>355</v>
      </c>
      <c r="W683" s="5" t="s">
        <v>355</v>
      </c>
      <c r="X683" s="5" t="str">
        <f>IFERROR(__xludf.DUMMYFUNCTION("""COMPUTED_VALUE"""),"")</f>
        <v/>
      </c>
      <c r="Y683" s="5" t="s">
        <v>355</v>
      </c>
      <c r="Z683" s="5" t="s">
        <v>355</v>
      </c>
      <c r="AB683" s="5" t="s">
        <v>355</v>
      </c>
      <c r="AE683" s="5" t="s">
        <v>355</v>
      </c>
      <c r="AH683" s="5" t="s">
        <v>355</v>
      </c>
    </row>
    <row r="684">
      <c r="S684" s="5" t="s">
        <v>355</v>
      </c>
      <c r="T684" s="5" t="str">
        <f>IFERROR(__xludf.DUMMYFUNCTION("""COMPUTED_VALUE"""),"")</f>
        <v/>
      </c>
      <c r="U684" s="5" t="s">
        <v>355</v>
      </c>
      <c r="V684" s="5" t="s">
        <v>355</v>
      </c>
      <c r="W684" s="5" t="s">
        <v>355</v>
      </c>
      <c r="X684" s="5" t="str">
        <f>IFERROR(__xludf.DUMMYFUNCTION("""COMPUTED_VALUE"""),"")</f>
        <v/>
      </c>
      <c r="Y684" s="5" t="s">
        <v>355</v>
      </c>
      <c r="Z684" s="5" t="s">
        <v>355</v>
      </c>
      <c r="AB684" s="5" t="s">
        <v>355</v>
      </c>
      <c r="AE684" s="5" t="s">
        <v>355</v>
      </c>
      <c r="AH684" s="5" t="s">
        <v>355</v>
      </c>
    </row>
    <row r="685">
      <c r="S685" s="5" t="s">
        <v>355</v>
      </c>
      <c r="T685" s="5" t="str">
        <f>IFERROR(__xludf.DUMMYFUNCTION("""COMPUTED_VALUE"""),"")</f>
        <v/>
      </c>
      <c r="U685" s="5" t="s">
        <v>355</v>
      </c>
      <c r="V685" s="5" t="s">
        <v>355</v>
      </c>
      <c r="W685" s="5" t="s">
        <v>355</v>
      </c>
      <c r="X685" s="5" t="str">
        <f>IFERROR(__xludf.DUMMYFUNCTION("""COMPUTED_VALUE"""),"")</f>
        <v/>
      </c>
      <c r="Y685" s="5" t="s">
        <v>355</v>
      </c>
      <c r="Z685" s="5" t="s">
        <v>355</v>
      </c>
      <c r="AB685" s="5" t="s">
        <v>355</v>
      </c>
      <c r="AE685" s="5" t="s">
        <v>355</v>
      </c>
      <c r="AH685" s="5" t="s">
        <v>355</v>
      </c>
    </row>
    <row r="686">
      <c r="S686" s="5" t="s">
        <v>355</v>
      </c>
      <c r="T686" s="5" t="str">
        <f>IFERROR(__xludf.DUMMYFUNCTION("""COMPUTED_VALUE"""),"")</f>
        <v/>
      </c>
      <c r="U686" s="5" t="s">
        <v>355</v>
      </c>
      <c r="V686" s="5" t="s">
        <v>355</v>
      </c>
      <c r="W686" s="5" t="s">
        <v>355</v>
      </c>
      <c r="X686" s="5" t="str">
        <f>IFERROR(__xludf.DUMMYFUNCTION("""COMPUTED_VALUE"""),"")</f>
        <v/>
      </c>
      <c r="Y686" s="5" t="s">
        <v>355</v>
      </c>
      <c r="Z686" s="5" t="s">
        <v>355</v>
      </c>
      <c r="AB686" s="5" t="s">
        <v>355</v>
      </c>
      <c r="AE686" s="5" t="s">
        <v>355</v>
      </c>
      <c r="AH686" s="5" t="s">
        <v>355</v>
      </c>
    </row>
    <row r="687">
      <c r="S687" s="5" t="s">
        <v>355</v>
      </c>
      <c r="T687" s="5" t="str">
        <f>IFERROR(__xludf.DUMMYFUNCTION("""COMPUTED_VALUE"""),"")</f>
        <v/>
      </c>
      <c r="U687" s="5" t="s">
        <v>355</v>
      </c>
      <c r="V687" s="5" t="s">
        <v>355</v>
      </c>
      <c r="W687" s="5" t="s">
        <v>355</v>
      </c>
      <c r="X687" s="5" t="str">
        <f>IFERROR(__xludf.DUMMYFUNCTION("""COMPUTED_VALUE"""),"")</f>
        <v/>
      </c>
      <c r="Y687" s="5" t="s">
        <v>355</v>
      </c>
      <c r="Z687" s="5" t="s">
        <v>355</v>
      </c>
      <c r="AB687" s="5" t="s">
        <v>355</v>
      </c>
      <c r="AE687" s="5" t="s">
        <v>355</v>
      </c>
      <c r="AH687" s="5" t="s">
        <v>355</v>
      </c>
    </row>
    <row r="688">
      <c r="S688" s="5" t="s">
        <v>355</v>
      </c>
      <c r="T688" s="5" t="str">
        <f>IFERROR(__xludf.DUMMYFUNCTION("""COMPUTED_VALUE"""),"")</f>
        <v/>
      </c>
      <c r="U688" s="5" t="s">
        <v>355</v>
      </c>
      <c r="V688" s="5" t="s">
        <v>355</v>
      </c>
      <c r="W688" s="5" t="s">
        <v>355</v>
      </c>
      <c r="X688" s="5" t="str">
        <f>IFERROR(__xludf.DUMMYFUNCTION("""COMPUTED_VALUE"""),"")</f>
        <v/>
      </c>
      <c r="Y688" s="5" t="s">
        <v>355</v>
      </c>
      <c r="Z688" s="5" t="s">
        <v>355</v>
      </c>
      <c r="AB688" s="5" t="s">
        <v>355</v>
      </c>
      <c r="AE688" s="5" t="s">
        <v>355</v>
      </c>
      <c r="AH688" s="5" t="s">
        <v>355</v>
      </c>
    </row>
    <row r="689">
      <c r="S689" s="5" t="s">
        <v>355</v>
      </c>
      <c r="T689" s="5" t="str">
        <f>IFERROR(__xludf.DUMMYFUNCTION("""COMPUTED_VALUE"""),"")</f>
        <v/>
      </c>
      <c r="U689" s="5" t="s">
        <v>355</v>
      </c>
      <c r="V689" s="5" t="s">
        <v>355</v>
      </c>
      <c r="W689" s="5" t="s">
        <v>355</v>
      </c>
      <c r="X689" s="5" t="str">
        <f>IFERROR(__xludf.DUMMYFUNCTION("""COMPUTED_VALUE"""),"")</f>
        <v/>
      </c>
      <c r="Y689" s="5" t="s">
        <v>355</v>
      </c>
      <c r="Z689" s="5" t="s">
        <v>355</v>
      </c>
      <c r="AB689" s="5" t="s">
        <v>355</v>
      </c>
      <c r="AE689" s="5" t="s">
        <v>355</v>
      </c>
      <c r="AH689" s="5" t="s">
        <v>355</v>
      </c>
    </row>
    <row r="690">
      <c r="S690" s="5" t="s">
        <v>355</v>
      </c>
      <c r="T690" s="5" t="str">
        <f>IFERROR(__xludf.DUMMYFUNCTION("""COMPUTED_VALUE"""),"")</f>
        <v/>
      </c>
      <c r="U690" s="5" t="s">
        <v>355</v>
      </c>
      <c r="V690" s="5" t="s">
        <v>355</v>
      </c>
      <c r="W690" s="5" t="s">
        <v>355</v>
      </c>
      <c r="X690" s="5" t="str">
        <f>IFERROR(__xludf.DUMMYFUNCTION("""COMPUTED_VALUE"""),"")</f>
        <v/>
      </c>
      <c r="Y690" s="5" t="s">
        <v>355</v>
      </c>
      <c r="Z690" s="5" t="s">
        <v>355</v>
      </c>
      <c r="AB690" s="5" t="s">
        <v>355</v>
      </c>
      <c r="AE690" s="5" t="s">
        <v>355</v>
      </c>
      <c r="AH690" s="5" t="s">
        <v>355</v>
      </c>
    </row>
    <row r="691">
      <c r="S691" s="5" t="s">
        <v>355</v>
      </c>
      <c r="T691" s="5" t="str">
        <f>IFERROR(__xludf.DUMMYFUNCTION("""COMPUTED_VALUE"""),"")</f>
        <v/>
      </c>
      <c r="U691" s="5" t="s">
        <v>355</v>
      </c>
      <c r="V691" s="5" t="s">
        <v>355</v>
      </c>
      <c r="W691" s="5" t="s">
        <v>355</v>
      </c>
      <c r="X691" s="5" t="str">
        <f>IFERROR(__xludf.DUMMYFUNCTION("""COMPUTED_VALUE"""),"")</f>
        <v/>
      </c>
      <c r="Y691" s="5" t="s">
        <v>355</v>
      </c>
      <c r="Z691" s="5" t="s">
        <v>355</v>
      </c>
      <c r="AB691" s="5" t="s">
        <v>355</v>
      </c>
      <c r="AE691" s="5" t="s">
        <v>355</v>
      </c>
      <c r="AH691" s="5" t="s">
        <v>355</v>
      </c>
    </row>
    <row r="692">
      <c r="S692" s="5" t="s">
        <v>355</v>
      </c>
      <c r="T692" s="5" t="str">
        <f>IFERROR(__xludf.DUMMYFUNCTION("""COMPUTED_VALUE"""),"")</f>
        <v/>
      </c>
      <c r="U692" s="5" t="s">
        <v>355</v>
      </c>
      <c r="V692" s="5" t="s">
        <v>355</v>
      </c>
      <c r="W692" s="5" t="s">
        <v>355</v>
      </c>
      <c r="X692" s="5" t="str">
        <f>IFERROR(__xludf.DUMMYFUNCTION("""COMPUTED_VALUE"""),"")</f>
        <v/>
      </c>
      <c r="Y692" s="5" t="s">
        <v>355</v>
      </c>
      <c r="Z692" s="5" t="s">
        <v>355</v>
      </c>
      <c r="AB692" s="5" t="s">
        <v>355</v>
      </c>
      <c r="AE692" s="5" t="s">
        <v>355</v>
      </c>
      <c r="AH692" s="5" t="s">
        <v>355</v>
      </c>
    </row>
    <row r="693">
      <c r="S693" s="5" t="s">
        <v>355</v>
      </c>
      <c r="T693" s="5" t="str">
        <f>IFERROR(__xludf.DUMMYFUNCTION("""COMPUTED_VALUE"""),"")</f>
        <v/>
      </c>
      <c r="U693" s="5" t="s">
        <v>355</v>
      </c>
      <c r="V693" s="5" t="s">
        <v>355</v>
      </c>
      <c r="W693" s="5" t="s">
        <v>355</v>
      </c>
      <c r="X693" s="5" t="str">
        <f>IFERROR(__xludf.DUMMYFUNCTION("""COMPUTED_VALUE"""),"")</f>
        <v/>
      </c>
      <c r="Y693" s="5" t="s">
        <v>355</v>
      </c>
      <c r="Z693" s="5" t="s">
        <v>355</v>
      </c>
      <c r="AB693" s="5" t="s">
        <v>355</v>
      </c>
      <c r="AE693" s="5" t="s">
        <v>355</v>
      </c>
      <c r="AH693" s="5" t="s">
        <v>355</v>
      </c>
    </row>
    <row r="694">
      <c r="S694" s="5" t="s">
        <v>355</v>
      </c>
      <c r="T694" s="5" t="str">
        <f>IFERROR(__xludf.DUMMYFUNCTION("""COMPUTED_VALUE"""),"")</f>
        <v/>
      </c>
      <c r="U694" s="5" t="s">
        <v>355</v>
      </c>
      <c r="V694" s="5" t="s">
        <v>355</v>
      </c>
      <c r="W694" s="5" t="s">
        <v>355</v>
      </c>
      <c r="X694" s="5" t="str">
        <f>IFERROR(__xludf.DUMMYFUNCTION("""COMPUTED_VALUE"""),"")</f>
        <v/>
      </c>
      <c r="Y694" s="5" t="s">
        <v>355</v>
      </c>
      <c r="Z694" s="5" t="s">
        <v>355</v>
      </c>
      <c r="AB694" s="5" t="s">
        <v>355</v>
      </c>
      <c r="AE694" s="5" t="s">
        <v>355</v>
      </c>
      <c r="AH694" s="5" t="s">
        <v>355</v>
      </c>
    </row>
    <row r="695">
      <c r="S695" s="5" t="s">
        <v>355</v>
      </c>
      <c r="T695" s="5" t="str">
        <f>IFERROR(__xludf.DUMMYFUNCTION("""COMPUTED_VALUE"""),"")</f>
        <v/>
      </c>
      <c r="U695" s="5" t="s">
        <v>355</v>
      </c>
      <c r="V695" s="5" t="s">
        <v>355</v>
      </c>
      <c r="W695" s="5" t="s">
        <v>355</v>
      </c>
      <c r="X695" s="5" t="str">
        <f>IFERROR(__xludf.DUMMYFUNCTION("""COMPUTED_VALUE"""),"")</f>
        <v/>
      </c>
      <c r="Y695" s="5" t="s">
        <v>355</v>
      </c>
      <c r="Z695" s="5" t="s">
        <v>355</v>
      </c>
      <c r="AB695" s="5" t="s">
        <v>355</v>
      </c>
      <c r="AE695" s="5" t="s">
        <v>355</v>
      </c>
      <c r="AH695" s="5" t="s">
        <v>355</v>
      </c>
    </row>
    <row r="696">
      <c r="S696" s="5" t="s">
        <v>355</v>
      </c>
      <c r="T696" s="5" t="str">
        <f>IFERROR(__xludf.DUMMYFUNCTION("""COMPUTED_VALUE"""),"")</f>
        <v/>
      </c>
      <c r="U696" s="5" t="s">
        <v>355</v>
      </c>
      <c r="V696" s="5" t="s">
        <v>355</v>
      </c>
      <c r="W696" s="5" t="s">
        <v>355</v>
      </c>
      <c r="X696" s="5" t="str">
        <f>IFERROR(__xludf.DUMMYFUNCTION("""COMPUTED_VALUE"""),"")</f>
        <v/>
      </c>
      <c r="Y696" s="5" t="s">
        <v>355</v>
      </c>
      <c r="Z696" s="5" t="s">
        <v>355</v>
      </c>
      <c r="AB696" s="5" t="s">
        <v>355</v>
      </c>
      <c r="AE696" s="5" t="s">
        <v>355</v>
      </c>
      <c r="AH696" s="5" t="s">
        <v>355</v>
      </c>
    </row>
    <row r="697">
      <c r="S697" s="5" t="s">
        <v>355</v>
      </c>
      <c r="T697" s="5" t="str">
        <f>IFERROR(__xludf.DUMMYFUNCTION("""COMPUTED_VALUE"""),"")</f>
        <v/>
      </c>
      <c r="U697" s="5" t="s">
        <v>355</v>
      </c>
      <c r="V697" s="5" t="s">
        <v>355</v>
      </c>
      <c r="W697" s="5" t="s">
        <v>355</v>
      </c>
      <c r="X697" s="5" t="str">
        <f>IFERROR(__xludf.DUMMYFUNCTION("""COMPUTED_VALUE"""),"")</f>
        <v/>
      </c>
      <c r="Y697" s="5" t="s">
        <v>355</v>
      </c>
      <c r="Z697" s="5" t="s">
        <v>355</v>
      </c>
      <c r="AB697" s="5" t="s">
        <v>355</v>
      </c>
      <c r="AE697" s="5" t="s">
        <v>355</v>
      </c>
      <c r="AH697" s="5" t="s">
        <v>355</v>
      </c>
    </row>
    <row r="698">
      <c r="S698" s="5" t="s">
        <v>355</v>
      </c>
      <c r="T698" s="5" t="str">
        <f>IFERROR(__xludf.DUMMYFUNCTION("""COMPUTED_VALUE"""),"")</f>
        <v/>
      </c>
      <c r="U698" s="5" t="s">
        <v>355</v>
      </c>
      <c r="V698" s="5" t="s">
        <v>355</v>
      </c>
      <c r="W698" s="5" t="s">
        <v>355</v>
      </c>
      <c r="X698" s="5" t="str">
        <f>IFERROR(__xludf.DUMMYFUNCTION("""COMPUTED_VALUE"""),"")</f>
        <v/>
      </c>
      <c r="Y698" s="5" t="s">
        <v>355</v>
      </c>
      <c r="Z698" s="5" t="s">
        <v>355</v>
      </c>
      <c r="AB698" s="5" t="s">
        <v>355</v>
      </c>
      <c r="AE698" s="5" t="s">
        <v>355</v>
      </c>
      <c r="AH698" s="5" t="s">
        <v>355</v>
      </c>
    </row>
    <row r="699">
      <c r="S699" s="5" t="s">
        <v>355</v>
      </c>
      <c r="T699" s="5" t="str">
        <f>IFERROR(__xludf.DUMMYFUNCTION("""COMPUTED_VALUE"""),"")</f>
        <v/>
      </c>
      <c r="U699" s="5" t="s">
        <v>355</v>
      </c>
      <c r="V699" s="5" t="s">
        <v>355</v>
      </c>
      <c r="W699" s="5" t="s">
        <v>355</v>
      </c>
      <c r="X699" s="5" t="str">
        <f>IFERROR(__xludf.DUMMYFUNCTION("""COMPUTED_VALUE"""),"")</f>
        <v/>
      </c>
      <c r="Y699" s="5" t="s">
        <v>355</v>
      </c>
      <c r="Z699" s="5" t="s">
        <v>355</v>
      </c>
      <c r="AB699" s="5" t="s">
        <v>355</v>
      </c>
      <c r="AE699" s="5" t="s">
        <v>355</v>
      </c>
      <c r="AH699" s="5" t="s">
        <v>355</v>
      </c>
    </row>
    <row r="700">
      <c r="S700" s="5" t="s">
        <v>355</v>
      </c>
      <c r="T700" s="5" t="str">
        <f>IFERROR(__xludf.DUMMYFUNCTION("""COMPUTED_VALUE"""),"")</f>
        <v/>
      </c>
      <c r="U700" s="5" t="s">
        <v>355</v>
      </c>
      <c r="V700" s="5" t="s">
        <v>355</v>
      </c>
      <c r="W700" s="5" t="s">
        <v>355</v>
      </c>
      <c r="X700" s="5" t="str">
        <f>IFERROR(__xludf.DUMMYFUNCTION("""COMPUTED_VALUE"""),"")</f>
        <v/>
      </c>
      <c r="Y700" s="5" t="s">
        <v>355</v>
      </c>
      <c r="Z700" s="5" t="s">
        <v>355</v>
      </c>
      <c r="AB700" s="5" t="s">
        <v>355</v>
      </c>
      <c r="AE700" s="5" t="s">
        <v>355</v>
      </c>
      <c r="AH700" s="5" t="s">
        <v>355</v>
      </c>
    </row>
    <row r="701">
      <c r="S701" s="5" t="s">
        <v>355</v>
      </c>
      <c r="T701" s="5" t="str">
        <f>IFERROR(__xludf.DUMMYFUNCTION("""COMPUTED_VALUE"""),"")</f>
        <v/>
      </c>
      <c r="U701" s="5" t="s">
        <v>355</v>
      </c>
      <c r="V701" s="5" t="s">
        <v>355</v>
      </c>
      <c r="W701" s="5" t="s">
        <v>355</v>
      </c>
      <c r="X701" s="5" t="str">
        <f>IFERROR(__xludf.DUMMYFUNCTION("""COMPUTED_VALUE"""),"")</f>
        <v/>
      </c>
      <c r="Y701" s="5" t="s">
        <v>355</v>
      </c>
      <c r="Z701" s="5" t="s">
        <v>355</v>
      </c>
      <c r="AB701" s="5" t="s">
        <v>355</v>
      </c>
      <c r="AE701" s="5" t="s">
        <v>355</v>
      </c>
      <c r="AH701" s="5" t="s">
        <v>355</v>
      </c>
    </row>
    <row r="702">
      <c r="S702" s="5" t="s">
        <v>355</v>
      </c>
      <c r="T702" s="5" t="str">
        <f>IFERROR(__xludf.DUMMYFUNCTION("""COMPUTED_VALUE"""),"")</f>
        <v/>
      </c>
      <c r="U702" s="5" t="s">
        <v>355</v>
      </c>
      <c r="V702" s="5" t="s">
        <v>355</v>
      </c>
      <c r="W702" s="5" t="s">
        <v>355</v>
      </c>
      <c r="X702" s="5" t="str">
        <f>IFERROR(__xludf.DUMMYFUNCTION("""COMPUTED_VALUE"""),"")</f>
        <v/>
      </c>
      <c r="Y702" s="5" t="s">
        <v>355</v>
      </c>
      <c r="Z702" s="5" t="s">
        <v>355</v>
      </c>
      <c r="AB702" s="5" t="s">
        <v>355</v>
      </c>
      <c r="AE702" s="5" t="s">
        <v>355</v>
      </c>
      <c r="AH702" s="5" t="s">
        <v>355</v>
      </c>
    </row>
    <row r="703">
      <c r="S703" s="5" t="s">
        <v>355</v>
      </c>
      <c r="T703" s="5" t="str">
        <f>IFERROR(__xludf.DUMMYFUNCTION("""COMPUTED_VALUE"""),"")</f>
        <v/>
      </c>
      <c r="U703" s="5" t="s">
        <v>355</v>
      </c>
      <c r="V703" s="5" t="s">
        <v>355</v>
      </c>
      <c r="W703" s="5" t="s">
        <v>355</v>
      </c>
      <c r="X703" s="5" t="str">
        <f>IFERROR(__xludf.DUMMYFUNCTION("""COMPUTED_VALUE"""),"")</f>
        <v/>
      </c>
      <c r="Y703" s="5" t="s">
        <v>355</v>
      </c>
      <c r="Z703" s="5" t="s">
        <v>355</v>
      </c>
      <c r="AB703" s="5" t="s">
        <v>355</v>
      </c>
      <c r="AE703" s="5" t="s">
        <v>355</v>
      </c>
      <c r="AH703" s="5" t="s">
        <v>355</v>
      </c>
    </row>
    <row r="704">
      <c r="S704" s="5" t="s">
        <v>355</v>
      </c>
      <c r="T704" s="5" t="str">
        <f>IFERROR(__xludf.DUMMYFUNCTION("""COMPUTED_VALUE"""),"")</f>
        <v/>
      </c>
      <c r="U704" s="5" t="s">
        <v>355</v>
      </c>
      <c r="V704" s="5" t="s">
        <v>355</v>
      </c>
      <c r="W704" s="5" t="s">
        <v>355</v>
      </c>
      <c r="X704" s="5" t="str">
        <f>IFERROR(__xludf.DUMMYFUNCTION("""COMPUTED_VALUE"""),"")</f>
        <v/>
      </c>
      <c r="Y704" s="5" t="s">
        <v>355</v>
      </c>
      <c r="Z704" s="5" t="s">
        <v>355</v>
      </c>
      <c r="AB704" s="5" t="s">
        <v>355</v>
      </c>
      <c r="AE704" s="5" t="s">
        <v>355</v>
      </c>
      <c r="AH704" s="5" t="s">
        <v>355</v>
      </c>
    </row>
    <row r="705">
      <c r="S705" s="5" t="s">
        <v>355</v>
      </c>
      <c r="T705" s="5" t="str">
        <f>IFERROR(__xludf.DUMMYFUNCTION("""COMPUTED_VALUE"""),"")</f>
        <v/>
      </c>
      <c r="U705" s="5" t="s">
        <v>355</v>
      </c>
      <c r="V705" s="5" t="s">
        <v>355</v>
      </c>
      <c r="W705" s="5" t="s">
        <v>355</v>
      </c>
      <c r="X705" s="5" t="str">
        <f>IFERROR(__xludf.DUMMYFUNCTION("""COMPUTED_VALUE"""),"")</f>
        <v/>
      </c>
      <c r="Y705" s="5" t="s">
        <v>355</v>
      </c>
      <c r="Z705" s="5" t="s">
        <v>355</v>
      </c>
      <c r="AB705" s="5" t="s">
        <v>355</v>
      </c>
      <c r="AE705" s="5" t="s">
        <v>355</v>
      </c>
      <c r="AH705" s="5" t="s">
        <v>355</v>
      </c>
    </row>
    <row r="706">
      <c r="S706" s="5" t="s">
        <v>355</v>
      </c>
      <c r="T706" s="5" t="str">
        <f>IFERROR(__xludf.DUMMYFUNCTION("""COMPUTED_VALUE"""),"")</f>
        <v/>
      </c>
      <c r="U706" s="5" t="s">
        <v>355</v>
      </c>
      <c r="V706" s="5" t="s">
        <v>355</v>
      </c>
      <c r="W706" s="5" t="s">
        <v>355</v>
      </c>
      <c r="X706" s="5" t="str">
        <f>IFERROR(__xludf.DUMMYFUNCTION("""COMPUTED_VALUE"""),"")</f>
        <v/>
      </c>
      <c r="Y706" s="5" t="s">
        <v>355</v>
      </c>
      <c r="Z706" s="5" t="s">
        <v>355</v>
      </c>
      <c r="AB706" s="5" t="s">
        <v>355</v>
      </c>
      <c r="AE706" s="5" t="s">
        <v>355</v>
      </c>
      <c r="AH706" s="5" t="s">
        <v>355</v>
      </c>
    </row>
    <row r="707">
      <c r="S707" s="5" t="s">
        <v>355</v>
      </c>
      <c r="T707" s="5" t="str">
        <f>IFERROR(__xludf.DUMMYFUNCTION("""COMPUTED_VALUE"""),"")</f>
        <v/>
      </c>
      <c r="U707" s="5" t="s">
        <v>355</v>
      </c>
      <c r="V707" s="5" t="s">
        <v>355</v>
      </c>
      <c r="W707" s="5" t="s">
        <v>355</v>
      </c>
      <c r="X707" s="5" t="str">
        <f>IFERROR(__xludf.DUMMYFUNCTION("""COMPUTED_VALUE"""),"")</f>
        <v/>
      </c>
      <c r="Y707" s="5" t="s">
        <v>355</v>
      </c>
      <c r="Z707" s="5" t="s">
        <v>355</v>
      </c>
      <c r="AB707" s="5" t="s">
        <v>355</v>
      </c>
      <c r="AE707" s="5" t="s">
        <v>355</v>
      </c>
      <c r="AH707" s="5" t="s">
        <v>355</v>
      </c>
    </row>
    <row r="708">
      <c r="S708" s="5" t="s">
        <v>355</v>
      </c>
      <c r="T708" s="5" t="str">
        <f>IFERROR(__xludf.DUMMYFUNCTION("""COMPUTED_VALUE"""),"")</f>
        <v/>
      </c>
      <c r="U708" s="5" t="s">
        <v>355</v>
      </c>
      <c r="V708" s="5" t="s">
        <v>355</v>
      </c>
      <c r="W708" s="5" t="s">
        <v>355</v>
      </c>
      <c r="X708" s="5" t="str">
        <f>IFERROR(__xludf.DUMMYFUNCTION("""COMPUTED_VALUE"""),"")</f>
        <v/>
      </c>
      <c r="Y708" s="5" t="s">
        <v>355</v>
      </c>
      <c r="Z708" s="5" t="s">
        <v>355</v>
      </c>
      <c r="AB708" s="5" t="s">
        <v>355</v>
      </c>
      <c r="AE708" s="5" t="s">
        <v>355</v>
      </c>
      <c r="AH708" s="5" t="s">
        <v>355</v>
      </c>
    </row>
    <row r="709">
      <c r="S709" s="5" t="s">
        <v>355</v>
      </c>
      <c r="T709" s="5" t="str">
        <f>IFERROR(__xludf.DUMMYFUNCTION("""COMPUTED_VALUE"""),"")</f>
        <v/>
      </c>
      <c r="U709" s="5" t="s">
        <v>355</v>
      </c>
      <c r="V709" s="5" t="s">
        <v>355</v>
      </c>
      <c r="W709" s="5" t="s">
        <v>355</v>
      </c>
      <c r="X709" s="5" t="str">
        <f>IFERROR(__xludf.DUMMYFUNCTION("""COMPUTED_VALUE"""),"")</f>
        <v/>
      </c>
      <c r="Y709" s="5" t="s">
        <v>355</v>
      </c>
      <c r="Z709" s="5" t="s">
        <v>355</v>
      </c>
      <c r="AB709" s="5" t="s">
        <v>355</v>
      </c>
      <c r="AE709" s="5" t="s">
        <v>355</v>
      </c>
      <c r="AH709" s="5" t="s">
        <v>355</v>
      </c>
    </row>
    <row r="710">
      <c r="S710" s="5" t="s">
        <v>355</v>
      </c>
      <c r="T710" s="5" t="str">
        <f>IFERROR(__xludf.DUMMYFUNCTION("""COMPUTED_VALUE"""),"")</f>
        <v/>
      </c>
      <c r="U710" s="5" t="s">
        <v>355</v>
      </c>
      <c r="V710" s="5" t="s">
        <v>355</v>
      </c>
      <c r="W710" s="5" t="s">
        <v>355</v>
      </c>
      <c r="X710" s="5" t="str">
        <f>IFERROR(__xludf.DUMMYFUNCTION("""COMPUTED_VALUE"""),"")</f>
        <v/>
      </c>
      <c r="Y710" s="5" t="s">
        <v>355</v>
      </c>
      <c r="Z710" s="5" t="s">
        <v>355</v>
      </c>
      <c r="AB710" s="5" t="s">
        <v>355</v>
      </c>
      <c r="AE710" s="5" t="s">
        <v>355</v>
      </c>
      <c r="AH710" s="5" t="s">
        <v>355</v>
      </c>
    </row>
    <row r="711">
      <c r="S711" s="5" t="s">
        <v>355</v>
      </c>
      <c r="T711" s="5" t="str">
        <f>IFERROR(__xludf.DUMMYFUNCTION("""COMPUTED_VALUE"""),"")</f>
        <v/>
      </c>
      <c r="U711" s="5" t="s">
        <v>355</v>
      </c>
      <c r="V711" s="5" t="s">
        <v>355</v>
      </c>
      <c r="W711" s="5" t="s">
        <v>355</v>
      </c>
      <c r="X711" s="5" t="str">
        <f>IFERROR(__xludf.DUMMYFUNCTION("""COMPUTED_VALUE"""),"")</f>
        <v/>
      </c>
      <c r="Y711" s="5" t="s">
        <v>355</v>
      </c>
      <c r="Z711" s="5" t="s">
        <v>355</v>
      </c>
      <c r="AB711" s="5" t="s">
        <v>355</v>
      </c>
      <c r="AE711" s="5" t="s">
        <v>355</v>
      </c>
      <c r="AH711" s="5" t="s">
        <v>355</v>
      </c>
    </row>
    <row r="712">
      <c r="S712" s="5" t="s">
        <v>355</v>
      </c>
      <c r="T712" s="5" t="str">
        <f>IFERROR(__xludf.DUMMYFUNCTION("""COMPUTED_VALUE"""),"")</f>
        <v/>
      </c>
      <c r="U712" s="5" t="s">
        <v>355</v>
      </c>
      <c r="V712" s="5" t="s">
        <v>355</v>
      </c>
      <c r="W712" s="5" t="s">
        <v>355</v>
      </c>
      <c r="X712" s="5" t="str">
        <f>IFERROR(__xludf.DUMMYFUNCTION("""COMPUTED_VALUE"""),"")</f>
        <v/>
      </c>
      <c r="Y712" s="5" t="s">
        <v>355</v>
      </c>
      <c r="Z712" s="5" t="s">
        <v>355</v>
      </c>
      <c r="AB712" s="5" t="s">
        <v>355</v>
      </c>
      <c r="AE712" s="5" t="s">
        <v>355</v>
      </c>
      <c r="AH712" s="5" t="s">
        <v>355</v>
      </c>
    </row>
    <row r="713">
      <c r="S713" s="5" t="s">
        <v>355</v>
      </c>
      <c r="T713" s="5" t="str">
        <f>IFERROR(__xludf.DUMMYFUNCTION("""COMPUTED_VALUE"""),"")</f>
        <v/>
      </c>
      <c r="U713" s="5" t="s">
        <v>355</v>
      </c>
      <c r="V713" s="5" t="s">
        <v>355</v>
      </c>
      <c r="W713" s="5" t="s">
        <v>355</v>
      </c>
      <c r="X713" s="5" t="str">
        <f>IFERROR(__xludf.DUMMYFUNCTION("""COMPUTED_VALUE"""),"")</f>
        <v/>
      </c>
      <c r="Y713" s="5" t="s">
        <v>355</v>
      </c>
      <c r="Z713" s="5" t="s">
        <v>355</v>
      </c>
      <c r="AB713" s="5" t="s">
        <v>355</v>
      </c>
      <c r="AE713" s="5" t="s">
        <v>355</v>
      </c>
      <c r="AH713" s="5" t="s">
        <v>355</v>
      </c>
    </row>
    <row r="714">
      <c r="S714" s="5" t="s">
        <v>355</v>
      </c>
      <c r="T714" s="5" t="str">
        <f>IFERROR(__xludf.DUMMYFUNCTION("""COMPUTED_VALUE"""),"")</f>
        <v/>
      </c>
      <c r="U714" s="5" t="s">
        <v>355</v>
      </c>
      <c r="V714" s="5" t="s">
        <v>355</v>
      </c>
      <c r="W714" s="5" t="s">
        <v>355</v>
      </c>
      <c r="X714" s="5" t="str">
        <f>IFERROR(__xludf.DUMMYFUNCTION("""COMPUTED_VALUE"""),"")</f>
        <v/>
      </c>
      <c r="Y714" s="5" t="s">
        <v>355</v>
      </c>
      <c r="Z714" s="5" t="s">
        <v>355</v>
      </c>
      <c r="AB714" s="5" t="s">
        <v>355</v>
      </c>
      <c r="AE714" s="5" t="s">
        <v>355</v>
      </c>
      <c r="AH714" s="5" t="s">
        <v>355</v>
      </c>
    </row>
    <row r="715">
      <c r="S715" s="5" t="s">
        <v>355</v>
      </c>
      <c r="T715" s="5" t="str">
        <f>IFERROR(__xludf.DUMMYFUNCTION("""COMPUTED_VALUE"""),"")</f>
        <v/>
      </c>
      <c r="U715" s="5" t="s">
        <v>355</v>
      </c>
      <c r="V715" s="5" t="s">
        <v>355</v>
      </c>
      <c r="W715" s="5" t="s">
        <v>355</v>
      </c>
      <c r="X715" s="5" t="str">
        <f>IFERROR(__xludf.DUMMYFUNCTION("""COMPUTED_VALUE"""),"")</f>
        <v/>
      </c>
      <c r="Y715" s="5" t="s">
        <v>355</v>
      </c>
      <c r="Z715" s="5" t="s">
        <v>355</v>
      </c>
      <c r="AB715" s="5" t="s">
        <v>355</v>
      </c>
      <c r="AE715" s="5" t="s">
        <v>355</v>
      </c>
      <c r="AH715" s="5" t="s">
        <v>355</v>
      </c>
    </row>
    <row r="716">
      <c r="S716" s="5" t="s">
        <v>355</v>
      </c>
      <c r="T716" s="5" t="str">
        <f>IFERROR(__xludf.DUMMYFUNCTION("""COMPUTED_VALUE"""),"")</f>
        <v/>
      </c>
      <c r="U716" s="5" t="s">
        <v>355</v>
      </c>
      <c r="V716" s="5" t="s">
        <v>355</v>
      </c>
      <c r="W716" s="5" t="s">
        <v>355</v>
      </c>
      <c r="X716" s="5" t="str">
        <f>IFERROR(__xludf.DUMMYFUNCTION("""COMPUTED_VALUE"""),"")</f>
        <v/>
      </c>
      <c r="Y716" s="5" t="s">
        <v>355</v>
      </c>
      <c r="Z716" s="5" t="s">
        <v>355</v>
      </c>
      <c r="AB716" s="5" t="s">
        <v>355</v>
      </c>
      <c r="AE716" s="5" t="s">
        <v>355</v>
      </c>
      <c r="AH716" s="5" t="s">
        <v>355</v>
      </c>
    </row>
    <row r="717">
      <c r="S717" s="5" t="s">
        <v>355</v>
      </c>
      <c r="T717" s="5" t="str">
        <f>IFERROR(__xludf.DUMMYFUNCTION("""COMPUTED_VALUE"""),"")</f>
        <v/>
      </c>
      <c r="U717" s="5" t="s">
        <v>355</v>
      </c>
      <c r="V717" s="5" t="s">
        <v>355</v>
      </c>
      <c r="W717" s="5" t="s">
        <v>355</v>
      </c>
      <c r="X717" s="5" t="str">
        <f>IFERROR(__xludf.DUMMYFUNCTION("""COMPUTED_VALUE"""),"")</f>
        <v/>
      </c>
      <c r="Y717" s="5" t="s">
        <v>355</v>
      </c>
      <c r="Z717" s="5" t="s">
        <v>355</v>
      </c>
      <c r="AB717" s="5" t="s">
        <v>355</v>
      </c>
      <c r="AE717" s="5" t="s">
        <v>355</v>
      </c>
      <c r="AH717" s="5" t="s">
        <v>355</v>
      </c>
    </row>
    <row r="718">
      <c r="S718" s="5" t="s">
        <v>355</v>
      </c>
      <c r="T718" s="5" t="str">
        <f>IFERROR(__xludf.DUMMYFUNCTION("""COMPUTED_VALUE"""),"")</f>
        <v/>
      </c>
      <c r="U718" s="5" t="s">
        <v>355</v>
      </c>
      <c r="V718" s="5" t="s">
        <v>355</v>
      </c>
      <c r="W718" s="5" t="s">
        <v>355</v>
      </c>
      <c r="X718" s="5" t="str">
        <f>IFERROR(__xludf.DUMMYFUNCTION("""COMPUTED_VALUE"""),"")</f>
        <v/>
      </c>
      <c r="Y718" s="5" t="s">
        <v>355</v>
      </c>
      <c r="Z718" s="5" t="s">
        <v>355</v>
      </c>
      <c r="AB718" s="5" t="s">
        <v>355</v>
      </c>
      <c r="AE718" s="5" t="s">
        <v>355</v>
      </c>
      <c r="AH718" s="5" t="s">
        <v>355</v>
      </c>
    </row>
    <row r="719">
      <c r="S719" s="5" t="s">
        <v>355</v>
      </c>
      <c r="T719" s="5" t="str">
        <f>IFERROR(__xludf.DUMMYFUNCTION("""COMPUTED_VALUE"""),"")</f>
        <v/>
      </c>
      <c r="U719" s="5" t="s">
        <v>355</v>
      </c>
      <c r="V719" s="5" t="s">
        <v>355</v>
      </c>
      <c r="W719" s="5" t="s">
        <v>355</v>
      </c>
      <c r="X719" s="5" t="str">
        <f>IFERROR(__xludf.DUMMYFUNCTION("""COMPUTED_VALUE"""),"")</f>
        <v/>
      </c>
      <c r="Y719" s="5" t="s">
        <v>355</v>
      </c>
      <c r="Z719" s="5" t="s">
        <v>355</v>
      </c>
      <c r="AB719" s="5" t="s">
        <v>355</v>
      </c>
      <c r="AE719" s="5" t="s">
        <v>355</v>
      </c>
      <c r="AH719" s="5" t="s">
        <v>355</v>
      </c>
    </row>
    <row r="720">
      <c r="S720" s="5" t="s">
        <v>355</v>
      </c>
      <c r="T720" s="5" t="str">
        <f>IFERROR(__xludf.DUMMYFUNCTION("""COMPUTED_VALUE"""),"")</f>
        <v/>
      </c>
      <c r="U720" s="5" t="s">
        <v>355</v>
      </c>
      <c r="V720" s="5" t="s">
        <v>355</v>
      </c>
      <c r="W720" s="5" t="s">
        <v>355</v>
      </c>
      <c r="X720" s="5" t="str">
        <f>IFERROR(__xludf.DUMMYFUNCTION("""COMPUTED_VALUE"""),"")</f>
        <v/>
      </c>
      <c r="Y720" s="5" t="s">
        <v>355</v>
      </c>
      <c r="Z720" s="5" t="s">
        <v>355</v>
      </c>
      <c r="AB720" s="5" t="s">
        <v>355</v>
      </c>
      <c r="AE720" s="5" t="s">
        <v>355</v>
      </c>
      <c r="AH720" s="5" t="s">
        <v>355</v>
      </c>
    </row>
    <row r="721">
      <c r="S721" s="5" t="s">
        <v>355</v>
      </c>
      <c r="T721" s="5" t="str">
        <f>IFERROR(__xludf.DUMMYFUNCTION("""COMPUTED_VALUE"""),"")</f>
        <v/>
      </c>
      <c r="U721" s="5" t="s">
        <v>355</v>
      </c>
      <c r="V721" s="5" t="s">
        <v>355</v>
      </c>
      <c r="W721" s="5" t="s">
        <v>355</v>
      </c>
      <c r="X721" s="5" t="str">
        <f>IFERROR(__xludf.DUMMYFUNCTION("""COMPUTED_VALUE"""),"")</f>
        <v/>
      </c>
      <c r="Y721" s="5" t="s">
        <v>355</v>
      </c>
      <c r="Z721" s="5" t="s">
        <v>355</v>
      </c>
      <c r="AB721" s="5" t="s">
        <v>355</v>
      </c>
      <c r="AE721" s="5" t="s">
        <v>355</v>
      </c>
      <c r="AH721" s="5" t="s">
        <v>355</v>
      </c>
    </row>
    <row r="722">
      <c r="S722" s="5" t="s">
        <v>355</v>
      </c>
      <c r="T722" s="5" t="str">
        <f>IFERROR(__xludf.DUMMYFUNCTION("""COMPUTED_VALUE"""),"")</f>
        <v/>
      </c>
      <c r="U722" s="5" t="s">
        <v>355</v>
      </c>
      <c r="V722" s="5" t="s">
        <v>355</v>
      </c>
      <c r="W722" s="5" t="s">
        <v>355</v>
      </c>
      <c r="X722" s="5" t="str">
        <f>IFERROR(__xludf.DUMMYFUNCTION("""COMPUTED_VALUE"""),"")</f>
        <v/>
      </c>
      <c r="Y722" s="5" t="s">
        <v>355</v>
      </c>
      <c r="Z722" s="5" t="s">
        <v>355</v>
      </c>
      <c r="AB722" s="5" t="s">
        <v>355</v>
      </c>
      <c r="AE722" s="5" t="s">
        <v>355</v>
      </c>
      <c r="AH722" s="5" t="s">
        <v>355</v>
      </c>
    </row>
    <row r="723">
      <c r="S723" s="5" t="s">
        <v>355</v>
      </c>
      <c r="T723" s="5" t="str">
        <f>IFERROR(__xludf.DUMMYFUNCTION("""COMPUTED_VALUE"""),"")</f>
        <v/>
      </c>
      <c r="U723" s="5" t="s">
        <v>355</v>
      </c>
      <c r="V723" s="5" t="s">
        <v>355</v>
      </c>
      <c r="W723" s="5" t="s">
        <v>355</v>
      </c>
      <c r="X723" s="5" t="str">
        <f>IFERROR(__xludf.DUMMYFUNCTION("""COMPUTED_VALUE"""),"")</f>
        <v/>
      </c>
      <c r="Y723" s="5" t="s">
        <v>355</v>
      </c>
      <c r="Z723" s="5" t="s">
        <v>355</v>
      </c>
      <c r="AB723" s="5" t="s">
        <v>355</v>
      </c>
      <c r="AE723" s="5" t="s">
        <v>355</v>
      </c>
      <c r="AH723" s="5" t="s">
        <v>355</v>
      </c>
    </row>
    <row r="724">
      <c r="S724" s="5" t="s">
        <v>355</v>
      </c>
      <c r="T724" s="5" t="str">
        <f>IFERROR(__xludf.DUMMYFUNCTION("""COMPUTED_VALUE"""),"")</f>
        <v/>
      </c>
      <c r="U724" s="5" t="s">
        <v>355</v>
      </c>
      <c r="V724" s="5" t="s">
        <v>355</v>
      </c>
      <c r="W724" s="5" t="s">
        <v>355</v>
      </c>
      <c r="X724" s="5" t="str">
        <f>IFERROR(__xludf.DUMMYFUNCTION("""COMPUTED_VALUE"""),"")</f>
        <v/>
      </c>
      <c r="Y724" s="5" t="s">
        <v>355</v>
      </c>
      <c r="Z724" s="5" t="s">
        <v>355</v>
      </c>
      <c r="AB724" s="5" t="s">
        <v>355</v>
      </c>
      <c r="AE724" s="5" t="s">
        <v>355</v>
      </c>
      <c r="AH724" s="5" t="s">
        <v>355</v>
      </c>
    </row>
    <row r="725">
      <c r="S725" s="5" t="s">
        <v>355</v>
      </c>
      <c r="T725" s="5" t="str">
        <f>IFERROR(__xludf.DUMMYFUNCTION("""COMPUTED_VALUE"""),"")</f>
        <v/>
      </c>
      <c r="U725" s="5" t="s">
        <v>355</v>
      </c>
      <c r="V725" s="5" t="s">
        <v>355</v>
      </c>
      <c r="W725" s="5" t="s">
        <v>355</v>
      </c>
      <c r="X725" s="5" t="str">
        <f>IFERROR(__xludf.DUMMYFUNCTION("""COMPUTED_VALUE"""),"")</f>
        <v/>
      </c>
      <c r="Y725" s="5" t="s">
        <v>355</v>
      </c>
      <c r="Z725" s="5" t="s">
        <v>355</v>
      </c>
      <c r="AB725" s="5" t="s">
        <v>355</v>
      </c>
      <c r="AE725" s="5" t="s">
        <v>355</v>
      </c>
      <c r="AH725" s="5" t="s">
        <v>355</v>
      </c>
    </row>
    <row r="726">
      <c r="S726" s="5" t="s">
        <v>355</v>
      </c>
      <c r="T726" s="5" t="str">
        <f>IFERROR(__xludf.DUMMYFUNCTION("""COMPUTED_VALUE"""),"")</f>
        <v/>
      </c>
      <c r="U726" s="5" t="s">
        <v>355</v>
      </c>
      <c r="V726" s="5" t="s">
        <v>355</v>
      </c>
      <c r="W726" s="5" t="s">
        <v>355</v>
      </c>
      <c r="X726" s="5" t="str">
        <f>IFERROR(__xludf.DUMMYFUNCTION("""COMPUTED_VALUE"""),"")</f>
        <v/>
      </c>
      <c r="Y726" s="5" t="s">
        <v>355</v>
      </c>
      <c r="Z726" s="5" t="s">
        <v>355</v>
      </c>
      <c r="AB726" s="5" t="s">
        <v>355</v>
      </c>
      <c r="AE726" s="5" t="s">
        <v>355</v>
      </c>
      <c r="AH726" s="5" t="s">
        <v>355</v>
      </c>
    </row>
    <row r="727">
      <c r="S727" s="5" t="s">
        <v>355</v>
      </c>
      <c r="T727" s="5" t="str">
        <f>IFERROR(__xludf.DUMMYFUNCTION("""COMPUTED_VALUE"""),"")</f>
        <v/>
      </c>
      <c r="U727" s="5" t="s">
        <v>355</v>
      </c>
      <c r="V727" s="5" t="s">
        <v>355</v>
      </c>
      <c r="W727" s="5" t="s">
        <v>355</v>
      </c>
      <c r="X727" s="5" t="str">
        <f>IFERROR(__xludf.DUMMYFUNCTION("""COMPUTED_VALUE"""),"")</f>
        <v/>
      </c>
      <c r="Y727" s="5" t="s">
        <v>355</v>
      </c>
      <c r="Z727" s="5" t="s">
        <v>355</v>
      </c>
      <c r="AB727" s="5" t="s">
        <v>355</v>
      </c>
      <c r="AE727" s="5" t="s">
        <v>355</v>
      </c>
      <c r="AH727" s="5" t="s">
        <v>355</v>
      </c>
    </row>
    <row r="728">
      <c r="S728" s="5" t="s">
        <v>355</v>
      </c>
      <c r="T728" s="5" t="str">
        <f>IFERROR(__xludf.DUMMYFUNCTION("""COMPUTED_VALUE"""),"")</f>
        <v/>
      </c>
      <c r="U728" s="5" t="s">
        <v>355</v>
      </c>
      <c r="V728" s="5" t="s">
        <v>355</v>
      </c>
      <c r="W728" s="5" t="s">
        <v>355</v>
      </c>
      <c r="X728" s="5" t="str">
        <f>IFERROR(__xludf.DUMMYFUNCTION("""COMPUTED_VALUE"""),"")</f>
        <v/>
      </c>
      <c r="Y728" s="5" t="s">
        <v>355</v>
      </c>
      <c r="Z728" s="5" t="s">
        <v>355</v>
      </c>
      <c r="AB728" s="5" t="s">
        <v>355</v>
      </c>
      <c r="AE728" s="5" t="s">
        <v>355</v>
      </c>
      <c r="AH728" s="5" t="s">
        <v>355</v>
      </c>
    </row>
    <row r="729">
      <c r="S729" s="5" t="s">
        <v>355</v>
      </c>
      <c r="T729" s="5" t="str">
        <f>IFERROR(__xludf.DUMMYFUNCTION("""COMPUTED_VALUE"""),"")</f>
        <v/>
      </c>
      <c r="U729" s="5" t="s">
        <v>355</v>
      </c>
      <c r="V729" s="5" t="s">
        <v>355</v>
      </c>
      <c r="W729" s="5" t="s">
        <v>355</v>
      </c>
      <c r="X729" s="5" t="str">
        <f>IFERROR(__xludf.DUMMYFUNCTION("""COMPUTED_VALUE"""),"")</f>
        <v/>
      </c>
      <c r="Y729" s="5" t="s">
        <v>355</v>
      </c>
      <c r="Z729" s="5" t="s">
        <v>355</v>
      </c>
      <c r="AB729" s="5" t="s">
        <v>355</v>
      </c>
      <c r="AE729" s="5" t="s">
        <v>355</v>
      </c>
      <c r="AH729" s="5" t="s">
        <v>355</v>
      </c>
    </row>
    <row r="730">
      <c r="S730" s="5" t="s">
        <v>355</v>
      </c>
      <c r="T730" s="5" t="str">
        <f>IFERROR(__xludf.DUMMYFUNCTION("""COMPUTED_VALUE"""),"")</f>
        <v/>
      </c>
      <c r="U730" s="5" t="s">
        <v>355</v>
      </c>
      <c r="V730" s="5" t="s">
        <v>355</v>
      </c>
      <c r="W730" s="5" t="s">
        <v>355</v>
      </c>
      <c r="X730" s="5" t="str">
        <f>IFERROR(__xludf.DUMMYFUNCTION("""COMPUTED_VALUE"""),"")</f>
        <v/>
      </c>
      <c r="Y730" s="5" t="s">
        <v>355</v>
      </c>
      <c r="Z730" s="5" t="s">
        <v>355</v>
      </c>
      <c r="AB730" s="5" t="s">
        <v>355</v>
      </c>
      <c r="AE730" s="5" t="s">
        <v>355</v>
      </c>
      <c r="AH730" s="5" t="s">
        <v>355</v>
      </c>
    </row>
    <row r="731">
      <c r="S731" s="5" t="s">
        <v>355</v>
      </c>
      <c r="T731" s="5" t="str">
        <f>IFERROR(__xludf.DUMMYFUNCTION("""COMPUTED_VALUE"""),"")</f>
        <v/>
      </c>
      <c r="U731" s="5" t="s">
        <v>355</v>
      </c>
      <c r="V731" s="5" t="s">
        <v>355</v>
      </c>
      <c r="W731" s="5" t="s">
        <v>355</v>
      </c>
      <c r="X731" s="5" t="str">
        <f>IFERROR(__xludf.DUMMYFUNCTION("""COMPUTED_VALUE"""),"")</f>
        <v/>
      </c>
      <c r="Y731" s="5" t="s">
        <v>355</v>
      </c>
      <c r="Z731" s="5" t="s">
        <v>355</v>
      </c>
      <c r="AB731" s="5" t="s">
        <v>355</v>
      </c>
      <c r="AE731" s="5" t="s">
        <v>355</v>
      </c>
      <c r="AH731" s="5" t="s">
        <v>355</v>
      </c>
    </row>
    <row r="732">
      <c r="S732" s="5" t="s">
        <v>355</v>
      </c>
      <c r="T732" s="5" t="str">
        <f>IFERROR(__xludf.DUMMYFUNCTION("""COMPUTED_VALUE"""),"")</f>
        <v/>
      </c>
      <c r="U732" s="5" t="s">
        <v>355</v>
      </c>
      <c r="V732" s="5" t="s">
        <v>355</v>
      </c>
      <c r="W732" s="5" t="s">
        <v>355</v>
      </c>
      <c r="X732" s="5" t="str">
        <f>IFERROR(__xludf.DUMMYFUNCTION("""COMPUTED_VALUE"""),"")</f>
        <v/>
      </c>
      <c r="Y732" s="5" t="s">
        <v>355</v>
      </c>
      <c r="Z732" s="5" t="s">
        <v>355</v>
      </c>
      <c r="AB732" s="5" t="s">
        <v>355</v>
      </c>
      <c r="AE732" s="5" t="s">
        <v>355</v>
      </c>
      <c r="AH732" s="5" t="s">
        <v>355</v>
      </c>
    </row>
    <row r="733">
      <c r="S733" s="5" t="s">
        <v>355</v>
      </c>
      <c r="T733" s="5" t="str">
        <f>IFERROR(__xludf.DUMMYFUNCTION("""COMPUTED_VALUE"""),"")</f>
        <v/>
      </c>
      <c r="U733" s="5" t="s">
        <v>355</v>
      </c>
      <c r="V733" s="5" t="s">
        <v>355</v>
      </c>
      <c r="W733" s="5" t="s">
        <v>355</v>
      </c>
      <c r="X733" s="5" t="str">
        <f>IFERROR(__xludf.DUMMYFUNCTION("""COMPUTED_VALUE"""),"")</f>
        <v/>
      </c>
      <c r="Y733" s="5" t="s">
        <v>355</v>
      </c>
      <c r="Z733" s="5" t="s">
        <v>355</v>
      </c>
      <c r="AB733" s="5" t="s">
        <v>355</v>
      </c>
      <c r="AE733" s="5" t="s">
        <v>355</v>
      </c>
      <c r="AH733" s="5" t="s">
        <v>355</v>
      </c>
    </row>
    <row r="734">
      <c r="S734" s="5" t="s">
        <v>355</v>
      </c>
      <c r="T734" s="5" t="str">
        <f>IFERROR(__xludf.DUMMYFUNCTION("""COMPUTED_VALUE"""),"")</f>
        <v/>
      </c>
      <c r="U734" s="5" t="s">
        <v>355</v>
      </c>
      <c r="V734" s="5" t="s">
        <v>355</v>
      </c>
      <c r="W734" s="5" t="s">
        <v>355</v>
      </c>
      <c r="X734" s="5" t="str">
        <f>IFERROR(__xludf.DUMMYFUNCTION("""COMPUTED_VALUE"""),"")</f>
        <v/>
      </c>
      <c r="Y734" s="5" t="s">
        <v>355</v>
      </c>
      <c r="Z734" s="5" t="s">
        <v>355</v>
      </c>
      <c r="AB734" s="5" t="s">
        <v>355</v>
      </c>
      <c r="AE734" s="5" t="s">
        <v>355</v>
      </c>
      <c r="AH734" s="5" t="s">
        <v>355</v>
      </c>
    </row>
    <row r="735">
      <c r="S735" s="5" t="s">
        <v>355</v>
      </c>
      <c r="T735" s="5" t="str">
        <f>IFERROR(__xludf.DUMMYFUNCTION("""COMPUTED_VALUE"""),"")</f>
        <v/>
      </c>
      <c r="U735" s="5" t="s">
        <v>355</v>
      </c>
      <c r="V735" s="5" t="s">
        <v>355</v>
      </c>
      <c r="W735" s="5" t="s">
        <v>355</v>
      </c>
      <c r="X735" s="5" t="str">
        <f>IFERROR(__xludf.DUMMYFUNCTION("""COMPUTED_VALUE"""),"")</f>
        <v/>
      </c>
      <c r="Y735" s="5" t="s">
        <v>355</v>
      </c>
      <c r="Z735" s="5" t="s">
        <v>355</v>
      </c>
      <c r="AB735" s="5" t="s">
        <v>355</v>
      </c>
      <c r="AE735" s="5" t="s">
        <v>355</v>
      </c>
      <c r="AH735" s="5" t="s">
        <v>355</v>
      </c>
    </row>
    <row r="736">
      <c r="S736" s="5" t="s">
        <v>355</v>
      </c>
      <c r="T736" s="5" t="str">
        <f>IFERROR(__xludf.DUMMYFUNCTION("""COMPUTED_VALUE"""),"")</f>
        <v/>
      </c>
      <c r="U736" s="5" t="s">
        <v>355</v>
      </c>
      <c r="V736" s="5" t="s">
        <v>355</v>
      </c>
      <c r="W736" s="5" t="s">
        <v>355</v>
      </c>
      <c r="X736" s="5" t="str">
        <f>IFERROR(__xludf.DUMMYFUNCTION("""COMPUTED_VALUE"""),"")</f>
        <v/>
      </c>
      <c r="Y736" s="5" t="s">
        <v>355</v>
      </c>
      <c r="Z736" s="5" t="s">
        <v>355</v>
      </c>
      <c r="AB736" s="5" t="s">
        <v>355</v>
      </c>
      <c r="AE736" s="5" t="s">
        <v>355</v>
      </c>
      <c r="AH736" s="5" t="s">
        <v>355</v>
      </c>
    </row>
    <row r="737">
      <c r="S737" s="5" t="s">
        <v>355</v>
      </c>
      <c r="T737" s="5" t="str">
        <f>IFERROR(__xludf.DUMMYFUNCTION("""COMPUTED_VALUE"""),"")</f>
        <v/>
      </c>
      <c r="U737" s="5" t="s">
        <v>355</v>
      </c>
      <c r="V737" s="5" t="s">
        <v>355</v>
      </c>
      <c r="W737" s="5" t="s">
        <v>355</v>
      </c>
      <c r="X737" s="5" t="str">
        <f>IFERROR(__xludf.DUMMYFUNCTION("""COMPUTED_VALUE"""),"")</f>
        <v/>
      </c>
      <c r="Y737" s="5" t="s">
        <v>355</v>
      </c>
      <c r="Z737" s="5" t="s">
        <v>355</v>
      </c>
      <c r="AB737" s="5" t="s">
        <v>355</v>
      </c>
      <c r="AE737" s="5" t="s">
        <v>355</v>
      </c>
      <c r="AH737" s="5" t="s">
        <v>355</v>
      </c>
    </row>
    <row r="738">
      <c r="S738" s="5" t="s">
        <v>355</v>
      </c>
      <c r="T738" s="5" t="str">
        <f>IFERROR(__xludf.DUMMYFUNCTION("""COMPUTED_VALUE"""),"")</f>
        <v/>
      </c>
      <c r="U738" s="5" t="s">
        <v>355</v>
      </c>
      <c r="V738" s="5" t="s">
        <v>355</v>
      </c>
      <c r="W738" s="5" t="s">
        <v>355</v>
      </c>
      <c r="X738" s="5" t="str">
        <f>IFERROR(__xludf.DUMMYFUNCTION("""COMPUTED_VALUE"""),"")</f>
        <v/>
      </c>
      <c r="Y738" s="5" t="s">
        <v>355</v>
      </c>
      <c r="Z738" s="5" t="s">
        <v>355</v>
      </c>
      <c r="AB738" s="5" t="s">
        <v>355</v>
      </c>
      <c r="AE738" s="5" t="s">
        <v>355</v>
      </c>
      <c r="AH738" s="5" t="s">
        <v>355</v>
      </c>
    </row>
    <row r="739">
      <c r="S739" s="5" t="s">
        <v>355</v>
      </c>
      <c r="T739" s="5" t="str">
        <f>IFERROR(__xludf.DUMMYFUNCTION("""COMPUTED_VALUE"""),"")</f>
        <v/>
      </c>
      <c r="U739" s="5" t="s">
        <v>355</v>
      </c>
      <c r="V739" s="5" t="s">
        <v>355</v>
      </c>
      <c r="W739" s="5" t="s">
        <v>355</v>
      </c>
      <c r="X739" s="5" t="str">
        <f>IFERROR(__xludf.DUMMYFUNCTION("""COMPUTED_VALUE"""),"")</f>
        <v/>
      </c>
      <c r="Y739" s="5" t="s">
        <v>355</v>
      </c>
      <c r="Z739" s="5" t="s">
        <v>355</v>
      </c>
      <c r="AB739" s="5" t="s">
        <v>355</v>
      </c>
      <c r="AE739" s="5" t="s">
        <v>355</v>
      </c>
      <c r="AH739" s="5" t="s">
        <v>355</v>
      </c>
    </row>
    <row r="740">
      <c r="S740" s="5" t="s">
        <v>355</v>
      </c>
      <c r="T740" s="5" t="str">
        <f>IFERROR(__xludf.DUMMYFUNCTION("""COMPUTED_VALUE"""),"")</f>
        <v/>
      </c>
      <c r="U740" s="5" t="s">
        <v>355</v>
      </c>
      <c r="V740" s="5" t="s">
        <v>355</v>
      </c>
      <c r="W740" s="5" t="s">
        <v>355</v>
      </c>
      <c r="X740" s="5" t="str">
        <f>IFERROR(__xludf.DUMMYFUNCTION("""COMPUTED_VALUE"""),"")</f>
        <v/>
      </c>
      <c r="Y740" s="5" t="s">
        <v>355</v>
      </c>
      <c r="Z740" s="5" t="s">
        <v>355</v>
      </c>
      <c r="AB740" s="5" t="s">
        <v>355</v>
      </c>
      <c r="AE740" s="5" t="s">
        <v>355</v>
      </c>
      <c r="AH740" s="5" t="s">
        <v>355</v>
      </c>
    </row>
    <row r="741">
      <c r="S741" s="5" t="s">
        <v>355</v>
      </c>
      <c r="T741" s="5" t="str">
        <f>IFERROR(__xludf.DUMMYFUNCTION("""COMPUTED_VALUE"""),"")</f>
        <v/>
      </c>
      <c r="U741" s="5" t="s">
        <v>355</v>
      </c>
      <c r="V741" s="5" t="s">
        <v>355</v>
      </c>
      <c r="W741" s="5" t="s">
        <v>355</v>
      </c>
      <c r="X741" s="5" t="str">
        <f>IFERROR(__xludf.DUMMYFUNCTION("""COMPUTED_VALUE"""),"")</f>
        <v/>
      </c>
      <c r="Y741" s="5" t="s">
        <v>355</v>
      </c>
      <c r="Z741" s="5" t="s">
        <v>355</v>
      </c>
      <c r="AB741" s="5" t="s">
        <v>355</v>
      </c>
      <c r="AE741" s="5" t="s">
        <v>355</v>
      </c>
      <c r="AH741" s="5" t="s">
        <v>355</v>
      </c>
    </row>
    <row r="742">
      <c r="S742" s="5" t="s">
        <v>355</v>
      </c>
      <c r="T742" s="5" t="str">
        <f>IFERROR(__xludf.DUMMYFUNCTION("""COMPUTED_VALUE"""),"")</f>
        <v/>
      </c>
      <c r="U742" s="5" t="s">
        <v>355</v>
      </c>
      <c r="V742" s="5" t="s">
        <v>355</v>
      </c>
      <c r="W742" s="5" t="s">
        <v>355</v>
      </c>
      <c r="X742" s="5" t="str">
        <f>IFERROR(__xludf.DUMMYFUNCTION("""COMPUTED_VALUE"""),"")</f>
        <v/>
      </c>
      <c r="Y742" s="5" t="s">
        <v>355</v>
      </c>
      <c r="Z742" s="5" t="s">
        <v>355</v>
      </c>
      <c r="AB742" s="5" t="s">
        <v>355</v>
      </c>
      <c r="AE742" s="5" t="s">
        <v>355</v>
      </c>
      <c r="AH742" s="5" t="s">
        <v>355</v>
      </c>
    </row>
    <row r="743">
      <c r="S743" s="5" t="s">
        <v>355</v>
      </c>
      <c r="T743" s="5" t="str">
        <f>IFERROR(__xludf.DUMMYFUNCTION("""COMPUTED_VALUE"""),"")</f>
        <v/>
      </c>
      <c r="U743" s="5" t="s">
        <v>355</v>
      </c>
      <c r="V743" s="5" t="s">
        <v>355</v>
      </c>
      <c r="W743" s="5" t="s">
        <v>355</v>
      </c>
      <c r="X743" s="5" t="str">
        <f>IFERROR(__xludf.DUMMYFUNCTION("""COMPUTED_VALUE"""),"")</f>
        <v/>
      </c>
      <c r="Y743" s="5" t="s">
        <v>355</v>
      </c>
      <c r="Z743" s="5" t="s">
        <v>355</v>
      </c>
      <c r="AB743" s="5" t="s">
        <v>355</v>
      </c>
      <c r="AE743" s="5" t="s">
        <v>355</v>
      </c>
      <c r="AH743" s="5" t="s">
        <v>355</v>
      </c>
    </row>
    <row r="744">
      <c r="S744" s="5" t="s">
        <v>355</v>
      </c>
      <c r="T744" s="5" t="str">
        <f>IFERROR(__xludf.DUMMYFUNCTION("""COMPUTED_VALUE"""),"")</f>
        <v/>
      </c>
      <c r="U744" s="5" t="s">
        <v>355</v>
      </c>
      <c r="V744" s="5" t="s">
        <v>355</v>
      </c>
      <c r="W744" s="5" t="s">
        <v>355</v>
      </c>
      <c r="X744" s="5" t="str">
        <f>IFERROR(__xludf.DUMMYFUNCTION("""COMPUTED_VALUE"""),"")</f>
        <v/>
      </c>
      <c r="Y744" s="5" t="s">
        <v>355</v>
      </c>
      <c r="Z744" s="5" t="s">
        <v>355</v>
      </c>
      <c r="AB744" s="5" t="s">
        <v>355</v>
      </c>
      <c r="AE744" s="5" t="s">
        <v>355</v>
      </c>
      <c r="AH744" s="5" t="s">
        <v>355</v>
      </c>
    </row>
    <row r="745">
      <c r="S745" s="5" t="s">
        <v>355</v>
      </c>
      <c r="T745" s="5" t="str">
        <f>IFERROR(__xludf.DUMMYFUNCTION("""COMPUTED_VALUE"""),"")</f>
        <v/>
      </c>
      <c r="U745" s="5" t="s">
        <v>355</v>
      </c>
      <c r="V745" s="5" t="s">
        <v>355</v>
      </c>
      <c r="W745" s="5" t="s">
        <v>355</v>
      </c>
      <c r="X745" s="5" t="str">
        <f>IFERROR(__xludf.DUMMYFUNCTION("""COMPUTED_VALUE"""),"")</f>
        <v/>
      </c>
      <c r="Y745" s="5" t="s">
        <v>355</v>
      </c>
      <c r="Z745" s="5" t="s">
        <v>355</v>
      </c>
      <c r="AB745" s="5" t="s">
        <v>355</v>
      </c>
      <c r="AE745" s="5" t="s">
        <v>355</v>
      </c>
      <c r="AH745" s="5" t="s">
        <v>355</v>
      </c>
    </row>
    <row r="746">
      <c r="S746" s="5" t="s">
        <v>355</v>
      </c>
      <c r="T746" s="5" t="str">
        <f>IFERROR(__xludf.DUMMYFUNCTION("""COMPUTED_VALUE"""),"")</f>
        <v/>
      </c>
      <c r="U746" s="5" t="s">
        <v>355</v>
      </c>
      <c r="V746" s="5" t="s">
        <v>355</v>
      </c>
      <c r="W746" s="5" t="s">
        <v>355</v>
      </c>
      <c r="X746" s="5" t="str">
        <f>IFERROR(__xludf.DUMMYFUNCTION("""COMPUTED_VALUE"""),"")</f>
        <v/>
      </c>
      <c r="Y746" s="5" t="s">
        <v>355</v>
      </c>
      <c r="Z746" s="5" t="s">
        <v>355</v>
      </c>
      <c r="AB746" s="5" t="s">
        <v>355</v>
      </c>
      <c r="AE746" s="5" t="s">
        <v>355</v>
      </c>
      <c r="AH746" s="5" t="s">
        <v>355</v>
      </c>
    </row>
    <row r="747">
      <c r="S747" s="5" t="s">
        <v>355</v>
      </c>
      <c r="T747" s="5" t="str">
        <f>IFERROR(__xludf.DUMMYFUNCTION("""COMPUTED_VALUE"""),"")</f>
        <v/>
      </c>
      <c r="U747" s="5" t="s">
        <v>355</v>
      </c>
      <c r="V747" s="5" t="s">
        <v>355</v>
      </c>
      <c r="W747" s="5" t="s">
        <v>355</v>
      </c>
      <c r="X747" s="5" t="str">
        <f>IFERROR(__xludf.DUMMYFUNCTION("""COMPUTED_VALUE"""),"")</f>
        <v/>
      </c>
      <c r="Y747" s="5" t="s">
        <v>355</v>
      </c>
      <c r="Z747" s="5" t="s">
        <v>355</v>
      </c>
      <c r="AB747" s="5" t="s">
        <v>355</v>
      </c>
      <c r="AE747" s="5" t="s">
        <v>355</v>
      </c>
      <c r="AH747" s="5" t="s">
        <v>355</v>
      </c>
    </row>
    <row r="748">
      <c r="S748" s="5" t="s">
        <v>355</v>
      </c>
      <c r="T748" s="5" t="str">
        <f>IFERROR(__xludf.DUMMYFUNCTION("""COMPUTED_VALUE"""),"")</f>
        <v/>
      </c>
      <c r="U748" s="5" t="s">
        <v>355</v>
      </c>
      <c r="V748" s="5" t="s">
        <v>355</v>
      </c>
      <c r="W748" s="5" t="s">
        <v>355</v>
      </c>
      <c r="X748" s="5" t="str">
        <f>IFERROR(__xludf.DUMMYFUNCTION("""COMPUTED_VALUE"""),"")</f>
        <v/>
      </c>
      <c r="Y748" s="5" t="s">
        <v>355</v>
      </c>
      <c r="Z748" s="5" t="s">
        <v>355</v>
      </c>
      <c r="AB748" s="5" t="s">
        <v>355</v>
      </c>
      <c r="AE748" s="5" t="s">
        <v>355</v>
      </c>
      <c r="AH748" s="5" t="s">
        <v>355</v>
      </c>
    </row>
    <row r="749">
      <c r="S749" s="5" t="s">
        <v>355</v>
      </c>
      <c r="T749" s="5" t="str">
        <f>IFERROR(__xludf.DUMMYFUNCTION("""COMPUTED_VALUE"""),"")</f>
        <v/>
      </c>
      <c r="U749" s="5" t="s">
        <v>355</v>
      </c>
      <c r="V749" s="5" t="s">
        <v>355</v>
      </c>
      <c r="W749" s="5" t="s">
        <v>355</v>
      </c>
      <c r="X749" s="5" t="str">
        <f>IFERROR(__xludf.DUMMYFUNCTION("""COMPUTED_VALUE"""),"")</f>
        <v/>
      </c>
      <c r="Y749" s="5" t="s">
        <v>355</v>
      </c>
      <c r="Z749" s="5" t="s">
        <v>355</v>
      </c>
      <c r="AB749" s="5" t="s">
        <v>355</v>
      </c>
      <c r="AE749" s="5" t="s">
        <v>355</v>
      </c>
      <c r="AH749" s="5" t="s">
        <v>355</v>
      </c>
    </row>
    <row r="750">
      <c r="S750" s="5" t="s">
        <v>355</v>
      </c>
      <c r="T750" s="5" t="str">
        <f>IFERROR(__xludf.DUMMYFUNCTION("""COMPUTED_VALUE"""),"")</f>
        <v/>
      </c>
      <c r="U750" s="5" t="s">
        <v>355</v>
      </c>
      <c r="V750" s="5" t="s">
        <v>355</v>
      </c>
      <c r="W750" s="5" t="s">
        <v>355</v>
      </c>
      <c r="X750" s="5" t="str">
        <f>IFERROR(__xludf.DUMMYFUNCTION("""COMPUTED_VALUE"""),"")</f>
        <v/>
      </c>
      <c r="Y750" s="5" t="s">
        <v>355</v>
      </c>
      <c r="Z750" s="5" t="s">
        <v>355</v>
      </c>
      <c r="AB750" s="5" t="s">
        <v>355</v>
      </c>
      <c r="AE750" s="5" t="s">
        <v>355</v>
      </c>
      <c r="AH750" s="5" t="s">
        <v>355</v>
      </c>
    </row>
    <row r="751">
      <c r="S751" s="5" t="s">
        <v>355</v>
      </c>
      <c r="T751" s="5" t="str">
        <f>IFERROR(__xludf.DUMMYFUNCTION("""COMPUTED_VALUE"""),"")</f>
        <v/>
      </c>
      <c r="U751" s="5" t="s">
        <v>355</v>
      </c>
      <c r="V751" s="5" t="s">
        <v>355</v>
      </c>
      <c r="W751" s="5" t="s">
        <v>355</v>
      </c>
      <c r="X751" s="5" t="str">
        <f>IFERROR(__xludf.DUMMYFUNCTION("""COMPUTED_VALUE"""),"")</f>
        <v/>
      </c>
      <c r="Y751" s="5" t="s">
        <v>355</v>
      </c>
      <c r="Z751" s="5" t="s">
        <v>355</v>
      </c>
      <c r="AB751" s="5" t="s">
        <v>355</v>
      </c>
      <c r="AE751" s="5" t="s">
        <v>355</v>
      </c>
      <c r="AH751" s="5" t="s">
        <v>355</v>
      </c>
    </row>
    <row r="752">
      <c r="S752" s="5" t="s">
        <v>355</v>
      </c>
      <c r="T752" s="5" t="str">
        <f>IFERROR(__xludf.DUMMYFUNCTION("""COMPUTED_VALUE"""),"")</f>
        <v/>
      </c>
      <c r="U752" s="5" t="s">
        <v>355</v>
      </c>
      <c r="V752" s="5" t="s">
        <v>355</v>
      </c>
      <c r="W752" s="5" t="s">
        <v>355</v>
      </c>
      <c r="X752" s="5" t="str">
        <f>IFERROR(__xludf.DUMMYFUNCTION("""COMPUTED_VALUE"""),"")</f>
        <v/>
      </c>
      <c r="Y752" s="5" t="s">
        <v>355</v>
      </c>
      <c r="Z752" s="5" t="s">
        <v>355</v>
      </c>
      <c r="AB752" s="5" t="s">
        <v>355</v>
      </c>
      <c r="AE752" s="5" t="s">
        <v>355</v>
      </c>
      <c r="AH752" s="5" t="s">
        <v>355</v>
      </c>
    </row>
    <row r="753">
      <c r="S753" s="5" t="s">
        <v>355</v>
      </c>
      <c r="T753" s="5" t="str">
        <f>IFERROR(__xludf.DUMMYFUNCTION("""COMPUTED_VALUE"""),"")</f>
        <v/>
      </c>
      <c r="U753" s="5" t="s">
        <v>355</v>
      </c>
      <c r="V753" s="5" t="s">
        <v>355</v>
      </c>
      <c r="W753" s="5" t="s">
        <v>355</v>
      </c>
      <c r="X753" s="5" t="str">
        <f>IFERROR(__xludf.DUMMYFUNCTION("""COMPUTED_VALUE"""),"")</f>
        <v/>
      </c>
      <c r="Y753" s="5" t="s">
        <v>355</v>
      </c>
      <c r="Z753" s="5" t="s">
        <v>355</v>
      </c>
      <c r="AB753" s="5" t="s">
        <v>355</v>
      </c>
      <c r="AE753" s="5" t="s">
        <v>355</v>
      </c>
      <c r="AH753" s="5" t="s">
        <v>355</v>
      </c>
    </row>
    <row r="754">
      <c r="S754" s="5" t="s">
        <v>355</v>
      </c>
      <c r="T754" s="5" t="str">
        <f>IFERROR(__xludf.DUMMYFUNCTION("""COMPUTED_VALUE"""),"")</f>
        <v/>
      </c>
      <c r="U754" s="5" t="s">
        <v>355</v>
      </c>
      <c r="V754" s="5" t="s">
        <v>355</v>
      </c>
      <c r="W754" s="5" t="s">
        <v>355</v>
      </c>
      <c r="X754" s="5" t="str">
        <f>IFERROR(__xludf.DUMMYFUNCTION("""COMPUTED_VALUE"""),"")</f>
        <v/>
      </c>
      <c r="Y754" s="5" t="s">
        <v>355</v>
      </c>
      <c r="Z754" s="5" t="s">
        <v>355</v>
      </c>
      <c r="AB754" s="5" t="s">
        <v>355</v>
      </c>
      <c r="AE754" s="5" t="s">
        <v>355</v>
      </c>
      <c r="AH754" s="5" t="s">
        <v>355</v>
      </c>
    </row>
    <row r="755">
      <c r="S755" s="5" t="s">
        <v>355</v>
      </c>
      <c r="T755" s="5" t="str">
        <f>IFERROR(__xludf.DUMMYFUNCTION("""COMPUTED_VALUE"""),"")</f>
        <v/>
      </c>
      <c r="U755" s="5" t="s">
        <v>355</v>
      </c>
      <c r="V755" s="5" t="s">
        <v>355</v>
      </c>
      <c r="W755" s="5" t="s">
        <v>355</v>
      </c>
      <c r="X755" s="5" t="str">
        <f>IFERROR(__xludf.DUMMYFUNCTION("""COMPUTED_VALUE"""),"")</f>
        <v/>
      </c>
      <c r="Y755" s="5" t="s">
        <v>355</v>
      </c>
      <c r="Z755" s="5" t="s">
        <v>355</v>
      </c>
      <c r="AB755" s="5" t="s">
        <v>355</v>
      </c>
      <c r="AE755" s="5" t="s">
        <v>355</v>
      </c>
      <c r="AH755" s="5" t="s">
        <v>355</v>
      </c>
    </row>
    <row r="756">
      <c r="S756" s="5" t="s">
        <v>355</v>
      </c>
      <c r="T756" s="5" t="str">
        <f>IFERROR(__xludf.DUMMYFUNCTION("""COMPUTED_VALUE"""),"")</f>
        <v/>
      </c>
      <c r="U756" s="5" t="s">
        <v>355</v>
      </c>
      <c r="V756" s="5" t="s">
        <v>355</v>
      </c>
      <c r="W756" s="5" t="s">
        <v>355</v>
      </c>
      <c r="X756" s="5" t="str">
        <f>IFERROR(__xludf.DUMMYFUNCTION("""COMPUTED_VALUE"""),"")</f>
        <v/>
      </c>
      <c r="Y756" s="5" t="s">
        <v>355</v>
      </c>
      <c r="Z756" s="5" t="s">
        <v>355</v>
      </c>
      <c r="AB756" s="5" t="s">
        <v>355</v>
      </c>
      <c r="AE756" s="5" t="s">
        <v>355</v>
      </c>
      <c r="AH756" s="5" t="s">
        <v>355</v>
      </c>
    </row>
    <row r="757">
      <c r="S757" s="5" t="s">
        <v>355</v>
      </c>
      <c r="T757" s="5" t="str">
        <f>IFERROR(__xludf.DUMMYFUNCTION("""COMPUTED_VALUE"""),"")</f>
        <v/>
      </c>
      <c r="U757" s="5" t="s">
        <v>355</v>
      </c>
      <c r="V757" s="5" t="s">
        <v>355</v>
      </c>
      <c r="W757" s="5" t="s">
        <v>355</v>
      </c>
      <c r="X757" s="5" t="str">
        <f>IFERROR(__xludf.DUMMYFUNCTION("""COMPUTED_VALUE"""),"")</f>
        <v/>
      </c>
      <c r="Y757" s="5" t="s">
        <v>355</v>
      </c>
      <c r="Z757" s="5" t="s">
        <v>355</v>
      </c>
      <c r="AB757" s="5" t="s">
        <v>355</v>
      </c>
      <c r="AE757" s="5" t="s">
        <v>355</v>
      </c>
      <c r="AH757" s="5" t="s">
        <v>355</v>
      </c>
    </row>
    <row r="758">
      <c r="S758" s="5" t="s">
        <v>355</v>
      </c>
      <c r="T758" s="5" t="str">
        <f>IFERROR(__xludf.DUMMYFUNCTION("""COMPUTED_VALUE"""),"")</f>
        <v/>
      </c>
      <c r="U758" s="5" t="s">
        <v>355</v>
      </c>
      <c r="V758" s="5" t="s">
        <v>355</v>
      </c>
      <c r="W758" s="5" t="s">
        <v>355</v>
      </c>
      <c r="X758" s="5" t="str">
        <f>IFERROR(__xludf.DUMMYFUNCTION("""COMPUTED_VALUE"""),"")</f>
        <v/>
      </c>
      <c r="Y758" s="5" t="s">
        <v>355</v>
      </c>
      <c r="Z758" s="5" t="s">
        <v>355</v>
      </c>
      <c r="AB758" s="5" t="s">
        <v>355</v>
      </c>
      <c r="AE758" s="5" t="s">
        <v>355</v>
      </c>
      <c r="AH758" s="5" t="s">
        <v>355</v>
      </c>
    </row>
    <row r="759">
      <c r="S759" s="5" t="s">
        <v>355</v>
      </c>
      <c r="T759" s="5" t="str">
        <f>IFERROR(__xludf.DUMMYFUNCTION("""COMPUTED_VALUE"""),"")</f>
        <v/>
      </c>
      <c r="U759" s="5" t="s">
        <v>355</v>
      </c>
      <c r="V759" s="5" t="s">
        <v>355</v>
      </c>
      <c r="W759" s="5" t="s">
        <v>355</v>
      </c>
      <c r="X759" s="5" t="str">
        <f>IFERROR(__xludf.DUMMYFUNCTION("""COMPUTED_VALUE"""),"")</f>
        <v/>
      </c>
      <c r="Y759" s="5" t="s">
        <v>355</v>
      </c>
      <c r="Z759" s="5" t="s">
        <v>355</v>
      </c>
      <c r="AB759" s="5" t="s">
        <v>355</v>
      </c>
      <c r="AE759" s="5" t="s">
        <v>355</v>
      </c>
      <c r="AH759" s="5" t="s">
        <v>355</v>
      </c>
    </row>
    <row r="760">
      <c r="S760" s="5" t="s">
        <v>355</v>
      </c>
      <c r="T760" s="5" t="str">
        <f>IFERROR(__xludf.DUMMYFUNCTION("""COMPUTED_VALUE"""),"")</f>
        <v/>
      </c>
      <c r="U760" s="5" t="s">
        <v>355</v>
      </c>
      <c r="V760" s="5" t="s">
        <v>355</v>
      </c>
      <c r="W760" s="5" t="s">
        <v>355</v>
      </c>
      <c r="X760" s="5" t="str">
        <f>IFERROR(__xludf.DUMMYFUNCTION("""COMPUTED_VALUE"""),"")</f>
        <v/>
      </c>
      <c r="Y760" s="5" t="s">
        <v>355</v>
      </c>
      <c r="Z760" s="5" t="s">
        <v>355</v>
      </c>
      <c r="AB760" s="5" t="s">
        <v>355</v>
      </c>
      <c r="AE760" s="5" t="s">
        <v>355</v>
      </c>
      <c r="AH760" s="5" t="s">
        <v>355</v>
      </c>
    </row>
    <row r="761">
      <c r="S761" s="5" t="s">
        <v>355</v>
      </c>
      <c r="T761" s="5" t="str">
        <f>IFERROR(__xludf.DUMMYFUNCTION("""COMPUTED_VALUE"""),"")</f>
        <v/>
      </c>
      <c r="U761" s="5" t="s">
        <v>355</v>
      </c>
      <c r="V761" s="5" t="s">
        <v>355</v>
      </c>
      <c r="W761" s="5" t="s">
        <v>355</v>
      </c>
      <c r="X761" s="5" t="str">
        <f>IFERROR(__xludf.DUMMYFUNCTION("""COMPUTED_VALUE"""),"")</f>
        <v/>
      </c>
      <c r="Y761" s="5" t="s">
        <v>355</v>
      </c>
      <c r="Z761" s="5" t="s">
        <v>355</v>
      </c>
      <c r="AB761" s="5" t="s">
        <v>355</v>
      </c>
      <c r="AE761" s="5" t="s">
        <v>355</v>
      </c>
      <c r="AH761" s="5" t="s">
        <v>355</v>
      </c>
    </row>
    <row r="762">
      <c r="S762" s="5" t="s">
        <v>355</v>
      </c>
      <c r="T762" s="5" t="str">
        <f>IFERROR(__xludf.DUMMYFUNCTION("""COMPUTED_VALUE"""),"")</f>
        <v/>
      </c>
      <c r="U762" s="5" t="s">
        <v>355</v>
      </c>
      <c r="V762" s="5" t="s">
        <v>355</v>
      </c>
      <c r="W762" s="5" t="s">
        <v>355</v>
      </c>
      <c r="X762" s="5" t="str">
        <f>IFERROR(__xludf.DUMMYFUNCTION("""COMPUTED_VALUE"""),"")</f>
        <v/>
      </c>
      <c r="Y762" s="5" t="s">
        <v>355</v>
      </c>
      <c r="Z762" s="5" t="s">
        <v>355</v>
      </c>
      <c r="AB762" s="5" t="s">
        <v>355</v>
      </c>
      <c r="AE762" s="5" t="s">
        <v>355</v>
      </c>
      <c r="AH762" s="5" t="s">
        <v>355</v>
      </c>
    </row>
    <row r="763">
      <c r="S763" s="5" t="s">
        <v>355</v>
      </c>
      <c r="T763" s="5" t="str">
        <f>IFERROR(__xludf.DUMMYFUNCTION("""COMPUTED_VALUE"""),"")</f>
        <v/>
      </c>
      <c r="U763" s="5" t="s">
        <v>355</v>
      </c>
      <c r="V763" s="5" t="s">
        <v>355</v>
      </c>
      <c r="W763" s="5" t="s">
        <v>355</v>
      </c>
      <c r="X763" s="5" t="str">
        <f>IFERROR(__xludf.DUMMYFUNCTION("""COMPUTED_VALUE"""),"")</f>
        <v/>
      </c>
      <c r="Y763" s="5" t="s">
        <v>355</v>
      </c>
      <c r="Z763" s="5" t="s">
        <v>355</v>
      </c>
      <c r="AB763" s="5" t="s">
        <v>355</v>
      </c>
      <c r="AE763" s="5" t="s">
        <v>355</v>
      </c>
      <c r="AH763" s="5" t="s">
        <v>355</v>
      </c>
    </row>
    <row r="764">
      <c r="S764" s="5" t="s">
        <v>355</v>
      </c>
      <c r="T764" s="5" t="str">
        <f>IFERROR(__xludf.DUMMYFUNCTION("""COMPUTED_VALUE"""),"")</f>
        <v/>
      </c>
      <c r="U764" s="5" t="s">
        <v>355</v>
      </c>
      <c r="V764" s="5" t="s">
        <v>355</v>
      </c>
      <c r="W764" s="5" t="s">
        <v>355</v>
      </c>
      <c r="X764" s="5" t="str">
        <f>IFERROR(__xludf.DUMMYFUNCTION("""COMPUTED_VALUE"""),"")</f>
        <v/>
      </c>
      <c r="Y764" s="5" t="s">
        <v>355</v>
      </c>
      <c r="Z764" s="5" t="s">
        <v>355</v>
      </c>
      <c r="AB764" s="5" t="s">
        <v>355</v>
      </c>
      <c r="AE764" s="5" t="s">
        <v>355</v>
      </c>
      <c r="AH764" s="5" t="s">
        <v>355</v>
      </c>
    </row>
    <row r="765">
      <c r="S765" s="5" t="s">
        <v>355</v>
      </c>
      <c r="T765" s="5" t="str">
        <f>IFERROR(__xludf.DUMMYFUNCTION("""COMPUTED_VALUE"""),"")</f>
        <v/>
      </c>
      <c r="U765" s="5" t="s">
        <v>355</v>
      </c>
      <c r="V765" s="5" t="s">
        <v>355</v>
      </c>
      <c r="W765" s="5" t="s">
        <v>355</v>
      </c>
      <c r="X765" s="5" t="str">
        <f>IFERROR(__xludf.DUMMYFUNCTION("""COMPUTED_VALUE"""),"")</f>
        <v/>
      </c>
      <c r="Y765" s="5" t="s">
        <v>355</v>
      </c>
      <c r="Z765" s="5" t="s">
        <v>355</v>
      </c>
      <c r="AB765" s="5" t="s">
        <v>355</v>
      </c>
      <c r="AE765" s="5" t="s">
        <v>355</v>
      </c>
      <c r="AH765" s="5" t="s">
        <v>355</v>
      </c>
    </row>
    <row r="766">
      <c r="S766" s="5" t="s">
        <v>355</v>
      </c>
      <c r="T766" s="5" t="str">
        <f>IFERROR(__xludf.DUMMYFUNCTION("""COMPUTED_VALUE"""),"")</f>
        <v/>
      </c>
      <c r="U766" s="5" t="s">
        <v>355</v>
      </c>
      <c r="V766" s="5" t="s">
        <v>355</v>
      </c>
      <c r="W766" s="5" t="s">
        <v>355</v>
      </c>
      <c r="X766" s="5" t="str">
        <f>IFERROR(__xludf.DUMMYFUNCTION("""COMPUTED_VALUE"""),"")</f>
        <v/>
      </c>
      <c r="Y766" s="5" t="s">
        <v>355</v>
      </c>
      <c r="Z766" s="5" t="s">
        <v>355</v>
      </c>
      <c r="AB766" s="5" t="s">
        <v>355</v>
      </c>
      <c r="AE766" s="5" t="s">
        <v>355</v>
      </c>
      <c r="AH766" s="5" t="s">
        <v>355</v>
      </c>
    </row>
    <row r="767">
      <c r="S767" s="5" t="s">
        <v>355</v>
      </c>
      <c r="T767" s="5" t="str">
        <f>IFERROR(__xludf.DUMMYFUNCTION("""COMPUTED_VALUE"""),"")</f>
        <v/>
      </c>
      <c r="U767" s="5" t="s">
        <v>355</v>
      </c>
      <c r="V767" s="5" t="s">
        <v>355</v>
      </c>
      <c r="W767" s="5" t="s">
        <v>355</v>
      </c>
      <c r="X767" s="5" t="str">
        <f>IFERROR(__xludf.DUMMYFUNCTION("""COMPUTED_VALUE"""),"")</f>
        <v/>
      </c>
      <c r="Y767" s="5" t="s">
        <v>355</v>
      </c>
      <c r="Z767" s="5" t="s">
        <v>355</v>
      </c>
      <c r="AB767" s="5" t="s">
        <v>355</v>
      </c>
      <c r="AE767" s="5" t="s">
        <v>355</v>
      </c>
      <c r="AH767" s="5" t="s">
        <v>355</v>
      </c>
    </row>
    <row r="768">
      <c r="S768" s="5" t="s">
        <v>355</v>
      </c>
      <c r="T768" s="5" t="str">
        <f>IFERROR(__xludf.DUMMYFUNCTION("""COMPUTED_VALUE"""),"")</f>
        <v/>
      </c>
      <c r="U768" s="5" t="s">
        <v>355</v>
      </c>
      <c r="V768" s="5" t="s">
        <v>355</v>
      </c>
      <c r="W768" s="5" t="s">
        <v>355</v>
      </c>
      <c r="X768" s="5" t="str">
        <f>IFERROR(__xludf.DUMMYFUNCTION("""COMPUTED_VALUE"""),"")</f>
        <v/>
      </c>
      <c r="Y768" s="5" t="s">
        <v>355</v>
      </c>
      <c r="Z768" s="5" t="s">
        <v>355</v>
      </c>
      <c r="AB768" s="5" t="s">
        <v>355</v>
      </c>
      <c r="AE768" s="5" t="s">
        <v>355</v>
      </c>
      <c r="AH768" s="5" t="s">
        <v>355</v>
      </c>
    </row>
    <row r="769">
      <c r="S769" s="5" t="s">
        <v>355</v>
      </c>
      <c r="T769" s="5" t="str">
        <f>IFERROR(__xludf.DUMMYFUNCTION("""COMPUTED_VALUE"""),"")</f>
        <v/>
      </c>
      <c r="U769" s="5" t="s">
        <v>355</v>
      </c>
      <c r="V769" s="5" t="s">
        <v>355</v>
      </c>
      <c r="W769" s="5" t="s">
        <v>355</v>
      </c>
      <c r="X769" s="5" t="str">
        <f>IFERROR(__xludf.DUMMYFUNCTION("""COMPUTED_VALUE"""),"")</f>
        <v/>
      </c>
      <c r="Y769" s="5" t="s">
        <v>355</v>
      </c>
      <c r="Z769" s="5" t="s">
        <v>355</v>
      </c>
      <c r="AB769" s="5" t="s">
        <v>355</v>
      </c>
      <c r="AE769" s="5" t="s">
        <v>355</v>
      </c>
      <c r="AH769" s="5" t="s">
        <v>355</v>
      </c>
    </row>
    <row r="770">
      <c r="S770" s="5" t="s">
        <v>355</v>
      </c>
      <c r="T770" s="5" t="str">
        <f>IFERROR(__xludf.DUMMYFUNCTION("""COMPUTED_VALUE"""),"")</f>
        <v/>
      </c>
      <c r="U770" s="5" t="s">
        <v>355</v>
      </c>
      <c r="V770" s="5" t="s">
        <v>355</v>
      </c>
      <c r="W770" s="5" t="s">
        <v>355</v>
      </c>
      <c r="X770" s="5" t="str">
        <f>IFERROR(__xludf.DUMMYFUNCTION("""COMPUTED_VALUE"""),"")</f>
        <v/>
      </c>
      <c r="Y770" s="5" t="s">
        <v>355</v>
      </c>
      <c r="Z770" s="5" t="s">
        <v>355</v>
      </c>
      <c r="AB770" s="5" t="s">
        <v>355</v>
      </c>
      <c r="AE770" s="5" t="s">
        <v>355</v>
      </c>
      <c r="AH770" s="5" t="s">
        <v>355</v>
      </c>
    </row>
    <row r="771">
      <c r="S771" s="5" t="s">
        <v>355</v>
      </c>
      <c r="T771" s="5" t="str">
        <f>IFERROR(__xludf.DUMMYFUNCTION("""COMPUTED_VALUE"""),"")</f>
        <v/>
      </c>
      <c r="U771" s="5" t="s">
        <v>355</v>
      </c>
      <c r="V771" s="5" t="s">
        <v>355</v>
      </c>
      <c r="W771" s="5" t="s">
        <v>355</v>
      </c>
      <c r="X771" s="5" t="str">
        <f>IFERROR(__xludf.DUMMYFUNCTION("""COMPUTED_VALUE"""),"")</f>
        <v/>
      </c>
      <c r="Y771" s="5" t="s">
        <v>355</v>
      </c>
      <c r="Z771" s="5" t="s">
        <v>355</v>
      </c>
      <c r="AB771" s="5" t="s">
        <v>355</v>
      </c>
      <c r="AE771" s="5" t="s">
        <v>355</v>
      </c>
      <c r="AH771" s="5" t="s">
        <v>355</v>
      </c>
    </row>
    <row r="772">
      <c r="S772" s="5" t="s">
        <v>355</v>
      </c>
      <c r="T772" s="5" t="str">
        <f>IFERROR(__xludf.DUMMYFUNCTION("""COMPUTED_VALUE"""),"")</f>
        <v/>
      </c>
      <c r="U772" s="5" t="s">
        <v>355</v>
      </c>
      <c r="V772" s="5" t="s">
        <v>355</v>
      </c>
      <c r="W772" s="5" t="s">
        <v>355</v>
      </c>
      <c r="X772" s="5" t="str">
        <f>IFERROR(__xludf.DUMMYFUNCTION("""COMPUTED_VALUE"""),"")</f>
        <v/>
      </c>
      <c r="Y772" s="5" t="s">
        <v>355</v>
      </c>
      <c r="Z772" s="5" t="s">
        <v>355</v>
      </c>
      <c r="AB772" s="5" t="s">
        <v>355</v>
      </c>
      <c r="AE772" s="5" t="s">
        <v>355</v>
      </c>
      <c r="AH772" s="5" t="s">
        <v>355</v>
      </c>
    </row>
    <row r="773">
      <c r="S773" s="5" t="s">
        <v>355</v>
      </c>
      <c r="T773" s="5" t="str">
        <f>IFERROR(__xludf.DUMMYFUNCTION("""COMPUTED_VALUE"""),"")</f>
        <v/>
      </c>
      <c r="U773" s="5" t="s">
        <v>355</v>
      </c>
      <c r="V773" s="5" t="s">
        <v>355</v>
      </c>
      <c r="W773" s="5" t="s">
        <v>355</v>
      </c>
      <c r="X773" s="5" t="str">
        <f>IFERROR(__xludf.DUMMYFUNCTION("""COMPUTED_VALUE"""),"")</f>
        <v/>
      </c>
      <c r="Y773" s="5" t="s">
        <v>355</v>
      </c>
      <c r="Z773" s="5" t="s">
        <v>355</v>
      </c>
      <c r="AB773" s="5" t="s">
        <v>355</v>
      </c>
      <c r="AE773" s="5" t="s">
        <v>355</v>
      </c>
      <c r="AH773" s="5" t="s">
        <v>355</v>
      </c>
    </row>
    <row r="774">
      <c r="S774" s="5" t="s">
        <v>355</v>
      </c>
      <c r="T774" s="5" t="str">
        <f>IFERROR(__xludf.DUMMYFUNCTION("""COMPUTED_VALUE"""),"")</f>
        <v/>
      </c>
      <c r="U774" s="5" t="s">
        <v>355</v>
      </c>
      <c r="V774" s="5" t="s">
        <v>355</v>
      </c>
      <c r="W774" s="5" t="s">
        <v>355</v>
      </c>
      <c r="X774" s="5" t="str">
        <f>IFERROR(__xludf.DUMMYFUNCTION("""COMPUTED_VALUE"""),"")</f>
        <v/>
      </c>
      <c r="Y774" s="5" t="s">
        <v>355</v>
      </c>
      <c r="Z774" s="5" t="s">
        <v>355</v>
      </c>
      <c r="AB774" s="5" t="s">
        <v>355</v>
      </c>
      <c r="AE774" s="5" t="s">
        <v>355</v>
      </c>
      <c r="AH774" s="5" t="s">
        <v>355</v>
      </c>
    </row>
    <row r="775">
      <c r="S775" s="5" t="s">
        <v>355</v>
      </c>
      <c r="T775" s="5" t="str">
        <f>IFERROR(__xludf.DUMMYFUNCTION("""COMPUTED_VALUE"""),"")</f>
        <v/>
      </c>
      <c r="U775" s="5" t="s">
        <v>355</v>
      </c>
      <c r="V775" s="5" t="s">
        <v>355</v>
      </c>
      <c r="W775" s="5" t="s">
        <v>355</v>
      </c>
      <c r="X775" s="5" t="str">
        <f>IFERROR(__xludf.DUMMYFUNCTION("""COMPUTED_VALUE"""),"")</f>
        <v/>
      </c>
      <c r="Y775" s="5" t="s">
        <v>355</v>
      </c>
      <c r="Z775" s="5" t="s">
        <v>355</v>
      </c>
      <c r="AB775" s="5" t="s">
        <v>355</v>
      </c>
      <c r="AE775" s="5" t="s">
        <v>355</v>
      </c>
      <c r="AH775" s="5" t="s">
        <v>355</v>
      </c>
    </row>
    <row r="776">
      <c r="S776" s="5" t="s">
        <v>355</v>
      </c>
      <c r="T776" s="5" t="str">
        <f>IFERROR(__xludf.DUMMYFUNCTION("""COMPUTED_VALUE"""),"")</f>
        <v/>
      </c>
      <c r="U776" s="5" t="s">
        <v>355</v>
      </c>
      <c r="V776" s="5" t="s">
        <v>355</v>
      </c>
      <c r="W776" s="5" t="s">
        <v>355</v>
      </c>
      <c r="X776" s="5" t="str">
        <f>IFERROR(__xludf.DUMMYFUNCTION("""COMPUTED_VALUE"""),"")</f>
        <v/>
      </c>
      <c r="Y776" s="5" t="s">
        <v>355</v>
      </c>
      <c r="Z776" s="5" t="s">
        <v>355</v>
      </c>
      <c r="AB776" s="5" t="s">
        <v>355</v>
      </c>
      <c r="AE776" s="5" t="s">
        <v>355</v>
      </c>
      <c r="AH776" s="5" t="s">
        <v>355</v>
      </c>
    </row>
    <row r="777">
      <c r="S777" s="5" t="s">
        <v>355</v>
      </c>
      <c r="T777" s="5" t="str">
        <f>IFERROR(__xludf.DUMMYFUNCTION("""COMPUTED_VALUE"""),"")</f>
        <v/>
      </c>
      <c r="U777" s="5" t="s">
        <v>355</v>
      </c>
      <c r="V777" s="5" t="s">
        <v>355</v>
      </c>
      <c r="W777" s="5" t="s">
        <v>355</v>
      </c>
      <c r="X777" s="5" t="str">
        <f>IFERROR(__xludf.DUMMYFUNCTION("""COMPUTED_VALUE"""),"")</f>
        <v/>
      </c>
      <c r="Y777" s="5" t="s">
        <v>355</v>
      </c>
      <c r="Z777" s="5" t="s">
        <v>355</v>
      </c>
      <c r="AB777" s="5" t="s">
        <v>355</v>
      </c>
      <c r="AE777" s="5" t="s">
        <v>355</v>
      </c>
      <c r="AH777" s="5" t="s">
        <v>355</v>
      </c>
    </row>
    <row r="778">
      <c r="S778" s="5" t="s">
        <v>355</v>
      </c>
      <c r="T778" s="5" t="str">
        <f>IFERROR(__xludf.DUMMYFUNCTION("""COMPUTED_VALUE"""),"")</f>
        <v/>
      </c>
      <c r="U778" s="5" t="s">
        <v>355</v>
      </c>
      <c r="V778" s="5" t="s">
        <v>355</v>
      </c>
      <c r="W778" s="5" t="s">
        <v>355</v>
      </c>
      <c r="X778" s="5" t="str">
        <f>IFERROR(__xludf.DUMMYFUNCTION("""COMPUTED_VALUE"""),"")</f>
        <v/>
      </c>
      <c r="Y778" s="5" t="s">
        <v>355</v>
      </c>
      <c r="Z778" s="5" t="s">
        <v>355</v>
      </c>
      <c r="AB778" s="5" t="s">
        <v>355</v>
      </c>
      <c r="AE778" s="5" t="s">
        <v>355</v>
      </c>
      <c r="AH778" s="5" t="s">
        <v>355</v>
      </c>
    </row>
    <row r="779">
      <c r="S779" s="5" t="s">
        <v>355</v>
      </c>
      <c r="T779" s="5" t="str">
        <f>IFERROR(__xludf.DUMMYFUNCTION("""COMPUTED_VALUE"""),"")</f>
        <v/>
      </c>
      <c r="U779" s="5" t="s">
        <v>355</v>
      </c>
      <c r="V779" s="5" t="s">
        <v>355</v>
      </c>
      <c r="W779" s="5" t="s">
        <v>355</v>
      </c>
      <c r="X779" s="5" t="str">
        <f>IFERROR(__xludf.DUMMYFUNCTION("""COMPUTED_VALUE"""),"")</f>
        <v/>
      </c>
      <c r="Y779" s="5" t="s">
        <v>355</v>
      </c>
      <c r="Z779" s="5" t="s">
        <v>355</v>
      </c>
      <c r="AB779" s="5" t="s">
        <v>355</v>
      </c>
      <c r="AE779" s="5" t="s">
        <v>355</v>
      </c>
      <c r="AH779" s="5" t="s">
        <v>355</v>
      </c>
    </row>
    <row r="780">
      <c r="S780" s="5" t="s">
        <v>355</v>
      </c>
      <c r="T780" s="5" t="str">
        <f>IFERROR(__xludf.DUMMYFUNCTION("""COMPUTED_VALUE"""),"")</f>
        <v/>
      </c>
      <c r="U780" s="5" t="s">
        <v>355</v>
      </c>
      <c r="V780" s="5" t="s">
        <v>355</v>
      </c>
      <c r="W780" s="5" t="s">
        <v>355</v>
      </c>
      <c r="X780" s="5" t="str">
        <f>IFERROR(__xludf.DUMMYFUNCTION("""COMPUTED_VALUE"""),"")</f>
        <v/>
      </c>
      <c r="Y780" s="5" t="s">
        <v>355</v>
      </c>
      <c r="Z780" s="5" t="s">
        <v>355</v>
      </c>
      <c r="AB780" s="5" t="s">
        <v>355</v>
      </c>
      <c r="AE780" s="5" t="s">
        <v>355</v>
      </c>
      <c r="AH780" s="5" t="s">
        <v>355</v>
      </c>
    </row>
    <row r="781">
      <c r="S781" s="5" t="s">
        <v>355</v>
      </c>
      <c r="T781" s="5" t="str">
        <f>IFERROR(__xludf.DUMMYFUNCTION("""COMPUTED_VALUE"""),"")</f>
        <v/>
      </c>
      <c r="U781" s="5" t="s">
        <v>355</v>
      </c>
      <c r="V781" s="5" t="s">
        <v>355</v>
      </c>
      <c r="W781" s="5" t="s">
        <v>355</v>
      </c>
      <c r="X781" s="5" t="str">
        <f>IFERROR(__xludf.DUMMYFUNCTION("""COMPUTED_VALUE"""),"")</f>
        <v/>
      </c>
      <c r="Y781" s="5" t="s">
        <v>355</v>
      </c>
      <c r="Z781" s="5" t="s">
        <v>355</v>
      </c>
      <c r="AB781" s="5" t="s">
        <v>355</v>
      </c>
      <c r="AE781" s="5" t="s">
        <v>355</v>
      </c>
      <c r="AH781" s="5" t="s">
        <v>355</v>
      </c>
    </row>
    <row r="782">
      <c r="S782" s="5" t="s">
        <v>355</v>
      </c>
      <c r="T782" s="5" t="str">
        <f>IFERROR(__xludf.DUMMYFUNCTION("""COMPUTED_VALUE"""),"")</f>
        <v/>
      </c>
      <c r="U782" s="5" t="s">
        <v>355</v>
      </c>
      <c r="V782" s="5" t="s">
        <v>355</v>
      </c>
      <c r="W782" s="5" t="s">
        <v>355</v>
      </c>
      <c r="X782" s="5" t="str">
        <f>IFERROR(__xludf.DUMMYFUNCTION("""COMPUTED_VALUE"""),"")</f>
        <v/>
      </c>
      <c r="Y782" s="5" t="s">
        <v>355</v>
      </c>
      <c r="Z782" s="5" t="s">
        <v>355</v>
      </c>
      <c r="AB782" s="5" t="s">
        <v>355</v>
      </c>
      <c r="AE782" s="5" t="s">
        <v>355</v>
      </c>
      <c r="AH782" s="5" t="s">
        <v>355</v>
      </c>
    </row>
    <row r="783">
      <c r="S783" s="5" t="s">
        <v>355</v>
      </c>
      <c r="T783" s="5" t="str">
        <f>IFERROR(__xludf.DUMMYFUNCTION("""COMPUTED_VALUE"""),"")</f>
        <v/>
      </c>
      <c r="U783" s="5" t="s">
        <v>355</v>
      </c>
      <c r="V783" s="5" t="s">
        <v>355</v>
      </c>
      <c r="W783" s="5" t="s">
        <v>355</v>
      </c>
      <c r="X783" s="5" t="str">
        <f>IFERROR(__xludf.DUMMYFUNCTION("""COMPUTED_VALUE"""),"")</f>
        <v/>
      </c>
      <c r="Y783" s="5" t="s">
        <v>355</v>
      </c>
      <c r="Z783" s="5" t="s">
        <v>355</v>
      </c>
      <c r="AB783" s="5" t="s">
        <v>355</v>
      </c>
      <c r="AE783" s="5" t="s">
        <v>355</v>
      </c>
      <c r="AH783" s="5" t="s">
        <v>355</v>
      </c>
    </row>
    <row r="784">
      <c r="S784" s="5" t="s">
        <v>355</v>
      </c>
      <c r="T784" s="5" t="str">
        <f>IFERROR(__xludf.DUMMYFUNCTION("""COMPUTED_VALUE"""),"")</f>
        <v/>
      </c>
      <c r="U784" s="5" t="s">
        <v>355</v>
      </c>
      <c r="V784" s="5" t="s">
        <v>355</v>
      </c>
      <c r="W784" s="5" t="s">
        <v>355</v>
      </c>
      <c r="X784" s="5" t="str">
        <f>IFERROR(__xludf.DUMMYFUNCTION("""COMPUTED_VALUE"""),"")</f>
        <v/>
      </c>
      <c r="Y784" s="5" t="s">
        <v>355</v>
      </c>
      <c r="Z784" s="5" t="s">
        <v>355</v>
      </c>
      <c r="AB784" s="5" t="s">
        <v>355</v>
      </c>
      <c r="AE784" s="5" t="s">
        <v>355</v>
      </c>
      <c r="AH784" s="5" t="s">
        <v>355</v>
      </c>
    </row>
    <row r="785">
      <c r="S785" s="5" t="s">
        <v>355</v>
      </c>
      <c r="T785" s="5" t="str">
        <f>IFERROR(__xludf.DUMMYFUNCTION("""COMPUTED_VALUE"""),"")</f>
        <v/>
      </c>
      <c r="U785" s="5" t="s">
        <v>355</v>
      </c>
      <c r="V785" s="5" t="s">
        <v>355</v>
      </c>
      <c r="W785" s="5" t="s">
        <v>355</v>
      </c>
      <c r="X785" s="5" t="str">
        <f>IFERROR(__xludf.DUMMYFUNCTION("""COMPUTED_VALUE"""),"")</f>
        <v/>
      </c>
      <c r="Y785" s="5" t="s">
        <v>355</v>
      </c>
      <c r="Z785" s="5" t="s">
        <v>355</v>
      </c>
      <c r="AB785" s="5" t="s">
        <v>355</v>
      </c>
      <c r="AE785" s="5" t="s">
        <v>355</v>
      </c>
      <c r="AH785" s="5" t="s">
        <v>355</v>
      </c>
    </row>
    <row r="786">
      <c r="S786" s="5" t="s">
        <v>355</v>
      </c>
      <c r="T786" s="5" t="str">
        <f>IFERROR(__xludf.DUMMYFUNCTION("""COMPUTED_VALUE"""),"")</f>
        <v/>
      </c>
      <c r="U786" s="5" t="s">
        <v>355</v>
      </c>
      <c r="V786" s="5" t="s">
        <v>355</v>
      </c>
      <c r="W786" s="5" t="s">
        <v>355</v>
      </c>
      <c r="X786" s="5" t="str">
        <f>IFERROR(__xludf.DUMMYFUNCTION("""COMPUTED_VALUE"""),"")</f>
        <v/>
      </c>
      <c r="Y786" s="5" t="s">
        <v>355</v>
      </c>
      <c r="Z786" s="5" t="s">
        <v>355</v>
      </c>
      <c r="AB786" s="5" t="s">
        <v>355</v>
      </c>
      <c r="AE786" s="5" t="s">
        <v>355</v>
      </c>
      <c r="AH786" s="5" t="s">
        <v>355</v>
      </c>
    </row>
    <row r="787">
      <c r="S787" s="5" t="s">
        <v>355</v>
      </c>
      <c r="T787" s="5" t="str">
        <f>IFERROR(__xludf.DUMMYFUNCTION("""COMPUTED_VALUE"""),"")</f>
        <v/>
      </c>
      <c r="U787" s="5" t="s">
        <v>355</v>
      </c>
      <c r="V787" s="5" t="s">
        <v>355</v>
      </c>
      <c r="W787" s="5" t="s">
        <v>355</v>
      </c>
      <c r="X787" s="5" t="str">
        <f>IFERROR(__xludf.DUMMYFUNCTION("""COMPUTED_VALUE"""),"")</f>
        <v/>
      </c>
      <c r="Y787" s="5" t="s">
        <v>355</v>
      </c>
      <c r="Z787" s="5" t="s">
        <v>355</v>
      </c>
      <c r="AB787" s="5" t="s">
        <v>355</v>
      </c>
      <c r="AE787" s="5" t="s">
        <v>355</v>
      </c>
      <c r="AH787" s="5" t="s">
        <v>355</v>
      </c>
    </row>
    <row r="788">
      <c r="S788" s="5" t="s">
        <v>355</v>
      </c>
      <c r="T788" s="5" t="str">
        <f>IFERROR(__xludf.DUMMYFUNCTION("""COMPUTED_VALUE"""),"")</f>
        <v/>
      </c>
      <c r="U788" s="5" t="s">
        <v>355</v>
      </c>
      <c r="V788" s="5" t="s">
        <v>355</v>
      </c>
      <c r="W788" s="5" t="s">
        <v>355</v>
      </c>
      <c r="X788" s="5" t="str">
        <f>IFERROR(__xludf.DUMMYFUNCTION("""COMPUTED_VALUE"""),"")</f>
        <v/>
      </c>
      <c r="Y788" s="5" t="s">
        <v>355</v>
      </c>
      <c r="Z788" s="5" t="s">
        <v>355</v>
      </c>
      <c r="AB788" s="5" t="s">
        <v>355</v>
      </c>
      <c r="AE788" s="5" t="s">
        <v>355</v>
      </c>
      <c r="AH788" s="5" t="s">
        <v>355</v>
      </c>
    </row>
    <row r="789">
      <c r="S789" s="5" t="s">
        <v>355</v>
      </c>
      <c r="T789" s="5" t="str">
        <f>IFERROR(__xludf.DUMMYFUNCTION("""COMPUTED_VALUE"""),"")</f>
        <v/>
      </c>
      <c r="U789" s="5" t="s">
        <v>355</v>
      </c>
      <c r="V789" s="5" t="s">
        <v>355</v>
      </c>
      <c r="W789" s="5" t="s">
        <v>355</v>
      </c>
      <c r="X789" s="5" t="str">
        <f>IFERROR(__xludf.DUMMYFUNCTION("""COMPUTED_VALUE"""),"")</f>
        <v/>
      </c>
      <c r="Y789" s="5" t="s">
        <v>355</v>
      </c>
      <c r="Z789" s="5" t="s">
        <v>355</v>
      </c>
      <c r="AB789" s="5" t="s">
        <v>355</v>
      </c>
      <c r="AE789" s="5" t="s">
        <v>355</v>
      </c>
      <c r="AH789" s="5" t="s">
        <v>355</v>
      </c>
    </row>
    <row r="790">
      <c r="S790" s="5" t="s">
        <v>355</v>
      </c>
      <c r="T790" s="5" t="str">
        <f>IFERROR(__xludf.DUMMYFUNCTION("""COMPUTED_VALUE"""),"")</f>
        <v/>
      </c>
      <c r="U790" s="5" t="s">
        <v>355</v>
      </c>
      <c r="V790" s="5" t="s">
        <v>355</v>
      </c>
      <c r="W790" s="5" t="s">
        <v>355</v>
      </c>
      <c r="X790" s="5" t="str">
        <f>IFERROR(__xludf.DUMMYFUNCTION("""COMPUTED_VALUE"""),"")</f>
        <v/>
      </c>
      <c r="Y790" s="5" t="s">
        <v>355</v>
      </c>
      <c r="Z790" s="5" t="s">
        <v>355</v>
      </c>
      <c r="AB790" s="5" t="s">
        <v>355</v>
      </c>
      <c r="AE790" s="5" t="s">
        <v>355</v>
      </c>
      <c r="AH790" s="5" t="s">
        <v>355</v>
      </c>
    </row>
    <row r="791">
      <c r="S791" s="5" t="s">
        <v>355</v>
      </c>
      <c r="T791" s="5" t="str">
        <f>IFERROR(__xludf.DUMMYFUNCTION("""COMPUTED_VALUE"""),"")</f>
        <v/>
      </c>
      <c r="U791" s="5" t="s">
        <v>355</v>
      </c>
      <c r="V791" s="5" t="s">
        <v>355</v>
      </c>
      <c r="W791" s="5" t="s">
        <v>355</v>
      </c>
      <c r="X791" s="5" t="str">
        <f>IFERROR(__xludf.DUMMYFUNCTION("""COMPUTED_VALUE"""),"")</f>
        <v/>
      </c>
      <c r="Y791" s="5" t="s">
        <v>355</v>
      </c>
      <c r="Z791" s="5" t="s">
        <v>355</v>
      </c>
      <c r="AB791" s="5" t="s">
        <v>355</v>
      </c>
      <c r="AE791" s="5" t="s">
        <v>355</v>
      </c>
      <c r="AH791" s="5" t="s">
        <v>355</v>
      </c>
    </row>
    <row r="792">
      <c r="S792" s="5" t="s">
        <v>355</v>
      </c>
      <c r="T792" s="5" t="str">
        <f>IFERROR(__xludf.DUMMYFUNCTION("""COMPUTED_VALUE"""),"")</f>
        <v/>
      </c>
      <c r="U792" s="5" t="s">
        <v>355</v>
      </c>
      <c r="V792" s="5" t="s">
        <v>355</v>
      </c>
      <c r="W792" s="5" t="s">
        <v>355</v>
      </c>
      <c r="X792" s="5" t="str">
        <f>IFERROR(__xludf.DUMMYFUNCTION("""COMPUTED_VALUE"""),"")</f>
        <v/>
      </c>
      <c r="Y792" s="5" t="s">
        <v>355</v>
      </c>
      <c r="Z792" s="5" t="s">
        <v>355</v>
      </c>
      <c r="AB792" s="5" t="s">
        <v>355</v>
      </c>
      <c r="AE792" s="5" t="s">
        <v>355</v>
      </c>
      <c r="AH792" s="5" t="s">
        <v>355</v>
      </c>
    </row>
    <row r="793">
      <c r="S793" s="5" t="s">
        <v>355</v>
      </c>
      <c r="T793" s="5" t="str">
        <f>IFERROR(__xludf.DUMMYFUNCTION("""COMPUTED_VALUE"""),"")</f>
        <v/>
      </c>
      <c r="U793" s="5" t="s">
        <v>355</v>
      </c>
      <c r="V793" s="5" t="s">
        <v>355</v>
      </c>
      <c r="W793" s="5" t="s">
        <v>355</v>
      </c>
      <c r="X793" s="5" t="str">
        <f>IFERROR(__xludf.DUMMYFUNCTION("""COMPUTED_VALUE"""),"")</f>
        <v/>
      </c>
      <c r="Y793" s="5" t="s">
        <v>355</v>
      </c>
      <c r="Z793" s="5" t="s">
        <v>355</v>
      </c>
      <c r="AB793" s="5" t="s">
        <v>355</v>
      </c>
      <c r="AE793" s="5" t="s">
        <v>355</v>
      </c>
      <c r="AH793" s="5" t="s">
        <v>355</v>
      </c>
    </row>
    <row r="794">
      <c r="S794" s="5" t="s">
        <v>355</v>
      </c>
      <c r="T794" s="5" t="str">
        <f>IFERROR(__xludf.DUMMYFUNCTION("""COMPUTED_VALUE"""),"")</f>
        <v/>
      </c>
      <c r="U794" s="5" t="s">
        <v>355</v>
      </c>
      <c r="V794" s="5" t="s">
        <v>355</v>
      </c>
      <c r="W794" s="5" t="s">
        <v>355</v>
      </c>
      <c r="X794" s="5" t="str">
        <f>IFERROR(__xludf.DUMMYFUNCTION("""COMPUTED_VALUE"""),"")</f>
        <v/>
      </c>
      <c r="Y794" s="5" t="s">
        <v>355</v>
      </c>
      <c r="Z794" s="5" t="s">
        <v>355</v>
      </c>
      <c r="AB794" s="5" t="s">
        <v>355</v>
      </c>
      <c r="AE794" s="5" t="s">
        <v>355</v>
      </c>
      <c r="AH794" s="5" t="s">
        <v>355</v>
      </c>
    </row>
    <row r="795">
      <c r="S795" s="5" t="s">
        <v>355</v>
      </c>
      <c r="T795" s="5" t="str">
        <f>IFERROR(__xludf.DUMMYFUNCTION("""COMPUTED_VALUE"""),"")</f>
        <v/>
      </c>
      <c r="U795" s="5" t="s">
        <v>355</v>
      </c>
      <c r="V795" s="5" t="s">
        <v>355</v>
      </c>
      <c r="W795" s="5" t="s">
        <v>355</v>
      </c>
      <c r="X795" s="5" t="str">
        <f>IFERROR(__xludf.DUMMYFUNCTION("""COMPUTED_VALUE"""),"")</f>
        <v/>
      </c>
      <c r="Y795" s="5" t="s">
        <v>355</v>
      </c>
      <c r="Z795" s="5" t="s">
        <v>355</v>
      </c>
      <c r="AB795" s="5" t="s">
        <v>355</v>
      </c>
      <c r="AE795" s="5" t="s">
        <v>355</v>
      </c>
      <c r="AH795" s="5" t="s">
        <v>355</v>
      </c>
    </row>
    <row r="796">
      <c r="S796" s="5" t="s">
        <v>355</v>
      </c>
      <c r="T796" s="5" t="str">
        <f>IFERROR(__xludf.DUMMYFUNCTION("""COMPUTED_VALUE"""),"")</f>
        <v/>
      </c>
      <c r="U796" s="5" t="s">
        <v>355</v>
      </c>
      <c r="V796" s="5" t="s">
        <v>355</v>
      </c>
      <c r="W796" s="5" t="s">
        <v>355</v>
      </c>
      <c r="X796" s="5" t="str">
        <f>IFERROR(__xludf.DUMMYFUNCTION("""COMPUTED_VALUE"""),"")</f>
        <v/>
      </c>
      <c r="Y796" s="5" t="s">
        <v>355</v>
      </c>
      <c r="Z796" s="5" t="s">
        <v>355</v>
      </c>
      <c r="AB796" s="5" t="s">
        <v>355</v>
      </c>
      <c r="AE796" s="5" t="s">
        <v>355</v>
      </c>
      <c r="AH796" s="5" t="s">
        <v>355</v>
      </c>
    </row>
    <row r="797">
      <c r="S797" s="5" t="s">
        <v>355</v>
      </c>
      <c r="T797" s="5" t="str">
        <f>IFERROR(__xludf.DUMMYFUNCTION("""COMPUTED_VALUE"""),"")</f>
        <v/>
      </c>
      <c r="U797" s="5" t="s">
        <v>355</v>
      </c>
      <c r="V797" s="5" t="s">
        <v>355</v>
      </c>
      <c r="W797" s="5" t="s">
        <v>355</v>
      </c>
      <c r="X797" s="5" t="str">
        <f>IFERROR(__xludf.DUMMYFUNCTION("""COMPUTED_VALUE"""),"")</f>
        <v/>
      </c>
      <c r="Y797" s="5" t="s">
        <v>355</v>
      </c>
      <c r="Z797" s="5" t="s">
        <v>355</v>
      </c>
      <c r="AB797" s="5" t="s">
        <v>355</v>
      </c>
      <c r="AE797" s="5" t="s">
        <v>355</v>
      </c>
      <c r="AH797" s="5" t="s">
        <v>355</v>
      </c>
    </row>
    <row r="798">
      <c r="S798" s="5" t="s">
        <v>355</v>
      </c>
      <c r="T798" s="5" t="str">
        <f>IFERROR(__xludf.DUMMYFUNCTION("""COMPUTED_VALUE"""),"")</f>
        <v/>
      </c>
      <c r="U798" s="5" t="s">
        <v>355</v>
      </c>
      <c r="V798" s="5" t="s">
        <v>355</v>
      </c>
      <c r="W798" s="5" t="s">
        <v>355</v>
      </c>
      <c r="X798" s="5" t="str">
        <f>IFERROR(__xludf.DUMMYFUNCTION("""COMPUTED_VALUE"""),"")</f>
        <v/>
      </c>
      <c r="Y798" s="5" t="s">
        <v>355</v>
      </c>
      <c r="Z798" s="5" t="s">
        <v>355</v>
      </c>
      <c r="AB798" s="5" t="s">
        <v>355</v>
      </c>
      <c r="AE798" s="5" t="s">
        <v>355</v>
      </c>
      <c r="AH798" s="5" t="s">
        <v>355</v>
      </c>
    </row>
    <row r="799">
      <c r="S799" s="5" t="s">
        <v>355</v>
      </c>
      <c r="T799" s="5" t="str">
        <f>IFERROR(__xludf.DUMMYFUNCTION("""COMPUTED_VALUE"""),"")</f>
        <v/>
      </c>
      <c r="U799" s="5" t="s">
        <v>355</v>
      </c>
      <c r="V799" s="5" t="s">
        <v>355</v>
      </c>
      <c r="W799" s="5" t="s">
        <v>355</v>
      </c>
      <c r="X799" s="5" t="str">
        <f>IFERROR(__xludf.DUMMYFUNCTION("""COMPUTED_VALUE"""),"")</f>
        <v/>
      </c>
      <c r="Y799" s="5" t="s">
        <v>355</v>
      </c>
      <c r="Z799" s="5" t="s">
        <v>355</v>
      </c>
      <c r="AB799" s="5" t="s">
        <v>355</v>
      </c>
      <c r="AE799" s="5" t="s">
        <v>355</v>
      </c>
      <c r="AH799" s="5" t="s">
        <v>355</v>
      </c>
    </row>
    <row r="800">
      <c r="S800" s="5" t="s">
        <v>355</v>
      </c>
      <c r="T800" s="5" t="str">
        <f>IFERROR(__xludf.DUMMYFUNCTION("""COMPUTED_VALUE"""),"")</f>
        <v/>
      </c>
      <c r="U800" s="5" t="s">
        <v>355</v>
      </c>
      <c r="V800" s="5" t="s">
        <v>355</v>
      </c>
      <c r="W800" s="5" t="s">
        <v>355</v>
      </c>
      <c r="X800" s="5" t="str">
        <f>IFERROR(__xludf.DUMMYFUNCTION("""COMPUTED_VALUE"""),"")</f>
        <v/>
      </c>
      <c r="Y800" s="5" t="s">
        <v>355</v>
      </c>
      <c r="Z800" s="5" t="s">
        <v>355</v>
      </c>
      <c r="AB800" s="5" t="s">
        <v>355</v>
      </c>
      <c r="AE800" s="5" t="s">
        <v>355</v>
      </c>
      <c r="AH800" s="5" t="s">
        <v>355</v>
      </c>
    </row>
    <row r="801">
      <c r="S801" s="5" t="s">
        <v>355</v>
      </c>
      <c r="T801" s="5" t="str">
        <f>IFERROR(__xludf.DUMMYFUNCTION("""COMPUTED_VALUE"""),"")</f>
        <v/>
      </c>
      <c r="U801" s="5" t="s">
        <v>355</v>
      </c>
      <c r="V801" s="5" t="s">
        <v>355</v>
      </c>
      <c r="W801" s="5" t="s">
        <v>355</v>
      </c>
      <c r="X801" s="5" t="str">
        <f>IFERROR(__xludf.DUMMYFUNCTION("""COMPUTED_VALUE"""),"")</f>
        <v/>
      </c>
      <c r="Y801" s="5" t="s">
        <v>355</v>
      </c>
      <c r="Z801" s="5" t="s">
        <v>355</v>
      </c>
      <c r="AB801" s="5" t="s">
        <v>355</v>
      </c>
      <c r="AE801" s="5" t="s">
        <v>355</v>
      </c>
      <c r="AH801" s="5" t="s">
        <v>355</v>
      </c>
    </row>
    <row r="802">
      <c r="S802" s="5" t="s">
        <v>355</v>
      </c>
      <c r="T802" s="5" t="str">
        <f>IFERROR(__xludf.DUMMYFUNCTION("""COMPUTED_VALUE"""),"")</f>
        <v/>
      </c>
      <c r="U802" s="5" t="s">
        <v>355</v>
      </c>
      <c r="V802" s="5" t="s">
        <v>355</v>
      </c>
      <c r="W802" s="5" t="s">
        <v>355</v>
      </c>
      <c r="X802" s="5" t="str">
        <f>IFERROR(__xludf.DUMMYFUNCTION("""COMPUTED_VALUE"""),"")</f>
        <v/>
      </c>
      <c r="Y802" s="5" t="s">
        <v>355</v>
      </c>
      <c r="Z802" s="5" t="s">
        <v>355</v>
      </c>
      <c r="AB802" s="5" t="s">
        <v>355</v>
      </c>
      <c r="AE802" s="5" t="s">
        <v>355</v>
      </c>
      <c r="AH802" s="5" t="s">
        <v>355</v>
      </c>
    </row>
    <row r="803">
      <c r="S803" s="5" t="s">
        <v>355</v>
      </c>
      <c r="T803" s="5" t="str">
        <f>IFERROR(__xludf.DUMMYFUNCTION("""COMPUTED_VALUE"""),"")</f>
        <v/>
      </c>
      <c r="U803" s="5" t="s">
        <v>355</v>
      </c>
      <c r="V803" s="5" t="s">
        <v>355</v>
      </c>
      <c r="W803" s="5" t="s">
        <v>355</v>
      </c>
      <c r="X803" s="5" t="str">
        <f>IFERROR(__xludf.DUMMYFUNCTION("""COMPUTED_VALUE"""),"")</f>
        <v/>
      </c>
      <c r="Y803" s="5" t="s">
        <v>355</v>
      </c>
      <c r="Z803" s="5" t="s">
        <v>355</v>
      </c>
      <c r="AB803" s="5" t="s">
        <v>355</v>
      </c>
      <c r="AE803" s="5" t="s">
        <v>355</v>
      </c>
      <c r="AH803" s="5" t="s">
        <v>355</v>
      </c>
    </row>
    <row r="804">
      <c r="S804" s="5" t="s">
        <v>355</v>
      </c>
      <c r="T804" s="5" t="str">
        <f>IFERROR(__xludf.DUMMYFUNCTION("""COMPUTED_VALUE"""),"")</f>
        <v/>
      </c>
      <c r="U804" s="5" t="s">
        <v>355</v>
      </c>
      <c r="V804" s="5" t="s">
        <v>355</v>
      </c>
      <c r="W804" s="5" t="s">
        <v>355</v>
      </c>
      <c r="X804" s="5" t="str">
        <f>IFERROR(__xludf.DUMMYFUNCTION("""COMPUTED_VALUE"""),"")</f>
        <v/>
      </c>
      <c r="Y804" s="5" t="s">
        <v>355</v>
      </c>
      <c r="Z804" s="5" t="s">
        <v>355</v>
      </c>
      <c r="AB804" s="5" t="s">
        <v>355</v>
      </c>
      <c r="AE804" s="5" t="s">
        <v>355</v>
      </c>
      <c r="AH804" s="5" t="s">
        <v>355</v>
      </c>
    </row>
    <row r="805">
      <c r="S805" s="5" t="s">
        <v>355</v>
      </c>
      <c r="T805" s="5" t="str">
        <f>IFERROR(__xludf.DUMMYFUNCTION("""COMPUTED_VALUE"""),"")</f>
        <v/>
      </c>
      <c r="U805" s="5" t="s">
        <v>355</v>
      </c>
      <c r="V805" s="5" t="s">
        <v>355</v>
      </c>
      <c r="W805" s="5" t="s">
        <v>355</v>
      </c>
      <c r="X805" s="5" t="str">
        <f>IFERROR(__xludf.DUMMYFUNCTION("""COMPUTED_VALUE"""),"")</f>
        <v/>
      </c>
      <c r="Y805" s="5" t="s">
        <v>355</v>
      </c>
      <c r="Z805" s="5" t="s">
        <v>355</v>
      </c>
      <c r="AB805" s="5" t="s">
        <v>355</v>
      </c>
      <c r="AE805" s="5" t="s">
        <v>355</v>
      </c>
      <c r="AH805" s="5" t="s">
        <v>355</v>
      </c>
    </row>
    <row r="806">
      <c r="S806" s="5" t="s">
        <v>355</v>
      </c>
      <c r="T806" s="5" t="str">
        <f>IFERROR(__xludf.DUMMYFUNCTION("""COMPUTED_VALUE"""),"")</f>
        <v/>
      </c>
      <c r="U806" s="5" t="s">
        <v>355</v>
      </c>
      <c r="V806" s="5" t="s">
        <v>355</v>
      </c>
      <c r="W806" s="5" t="s">
        <v>355</v>
      </c>
      <c r="X806" s="5" t="str">
        <f>IFERROR(__xludf.DUMMYFUNCTION("""COMPUTED_VALUE"""),"")</f>
        <v/>
      </c>
      <c r="Y806" s="5" t="s">
        <v>355</v>
      </c>
      <c r="Z806" s="5" t="s">
        <v>355</v>
      </c>
      <c r="AB806" s="5" t="s">
        <v>355</v>
      </c>
      <c r="AE806" s="5" t="s">
        <v>355</v>
      </c>
      <c r="AH806" s="5" t="s">
        <v>355</v>
      </c>
    </row>
    <row r="807">
      <c r="S807" s="5" t="s">
        <v>355</v>
      </c>
      <c r="T807" s="5" t="str">
        <f>IFERROR(__xludf.DUMMYFUNCTION("""COMPUTED_VALUE"""),"")</f>
        <v/>
      </c>
      <c r="U807" s="5" t="s">
        <v>355</v>
      </c>
      <c r="V807" s="5" t="s">
        <v>355</v>
      </c>
      <c r="W807" s="5" t="s">
        <v>355</v>
      </c>
      <c r="X807" s="5" t="str">
        <f>IFERROR(__xludf.DUMMYFUNCTION("""COMPUTED_VALUE"""),"")</f>
        <v/>
      </c>
      <c r="Y807" s="5" t="s">
        <v>355</v>
      </c>
      <c r="Z807" s="5" t="s">
        <v>355</v>
      </c>
      <c r="AB807" s="5" t="s">
        <v>355</v>
      </c>
      <c r="AE807" s="5" t="s">
        <v>355</v>
      </c>
      <c r="AH807" s="5" t="s">
        <v>355</v>
      </c>
    </row>
    <row r="808">
      <c r="S808" s="5" t="s">
        <v>355</v>
      </c>
      <c r="T808" s="5" t="str">
        <f>IFERROR(__xludf.DUMMYFUNCTION("""COMPUTED_VALUE"""),"")</f>
        <v/>
      </c>
      <c r="U808" s="5" t="s">
        <v>355</v>
      </c>
      <c r="V808" s="5" t="s">
        <v>355</v>
      </c>
      <c r="W808" s="5" t="s">
        <v>355</v>
      </c>
      <c r="X808" s="5" t="str">
        <f>IFERROR(__xludf.DUMMYFUNCTION("""COMPUTED_VALUE"""),"")</f>
        <v/>
      </c>
      <c r="Y808" s="5" t="s">
        <v>355</v>
      </c>
      <c r="Z808" s="5" t="s">
        <v>355</v>
      </c>
      <c r="AB808" s="5" t="s">
        <v>355</v>
      </c>
      <c r="AE808" s="5" t="s">
        <v>355</v>
      </c>
      <c r="AH808" s="5" t="s">
        <v>355</v>
      </c>
    </row>
    <row r="809">
      <c r="S809" s="5" t="s">
        <v>355</v>
      </c>
      <c r="T809" s="5" t="str">
        <f>IFERROR(__xludf.DUMMYFUNCTION("""COMPUTED_VALUE"""),"")</f>
        <v/>
      </c>
      <c r="U809" s="5" t="s">
        <v>355</v>
      </c>
      <c r="V809" s="5" t="s">
        <v>355</v>
      </c>
      <c r="W809" s="5" t="s">
        <v>355</v>
      </c>
      <c r="X809" s="5" t="str">
        <f>IFERROR(__xludf.DUMMYFUNCTION("""COMPUTED_VALUE"""),"")</f>
        <v/>
      </c>
      <c r="Y809" s="5" t="s">
        <v>355</v>
      </c>
      <c r="Z809" s="5" t="s">
        <v>355</v>
      </c>
      <c r="AB809" s="5" t="s">
        <v>355</v>
      </c>
      <c r="AE809" s="5" t="s">
        <v>355</v>
      </c>
      <c r="AH809" s="5" t="s">
        <v>355</v>
      </c>
    </row>
    <row r="810">
      <c r="S810" s="5" t="s">
        <v>355</v>
      </c>
      <c r="T810" s="5" t="str">
        <f>IFERROR(__xludf.DUMMYFUNCTION("""COMPUTED_VALUE"""),"")</f>
        <v/>
      </c>
      <c r="U810" s="5" t="s">
        <v>355</v>
      </c>
      <c r="V810" s="5" t="s">
        <v>355</v>
      </c>
      <c r="W810" s="5" t="s">
        <v>355</v>
      </c>
      <c r="X810" s="5" t="str">
        <f>IFERROR(__xludf.DUMMYFUNCTION("""COMPUTED_VALUE"""),"")</f>
        <v/>
      </c>
      <c r="Y810" s="5" t="s">
        <v>355</v>
      </c>
      <c r="Z810" s="5" t="s">
        <v>355</v>
      </c>
      <c r="AB810" s="5" t="s">
        <v>355</v>
      </c>
      <c r="AE810" s="5" t="s">
        <v>355</v>
      </c>
      <c r="AH810" s="5" t="s">
        <v>355</v>
      </c>
    </row>
    <row r="811">
      <c r="S811" s="5" t="s">
        <v>355</v>
      </c>
      <c r="T811" s="5" t="str">
        <f>IFERROR(__xludf.DUMMYFUNCTION("""COMPUTED_VALUE"""),"")</f>
        <v/>
      </c>
      <c r="U811" s="5" t="s">
        <v>355</v>
      </c>
      <c r="V811" s="5" t="s">
        <v>355</v>
      </c>
      <c r="W811" s="5" t="s">
        <v>355</v>
      </c>
      <c r="X811" s="5" t="str">
        <f>IFERROR(__xludf.DUMMYFUNCTION("""COMPUTED_VALUE"""),"")</f>
        <v/>
      </c>
      <c r="Y811" s="5" t="s">
        <v>355</v>
      </c>
      <c r="Z811" s="5" t="s">
        <v>355</v>
      </c>
      <c r="AB811" s="5" t="s">
        <v>355</v>
      </c>
      <c r="AE811" s="5" t="s">
        <v>355</v>
      </c>
      <c r="AH811" s="5" t="s">
        <v>355</v>
      </c>
    </row>
    <row r="812">
      <c r="S812" s="5" t="s">
        <v>355</v>
      </c>
      <c r="T812" s="5" t="str">
        <f>IFERROR(__xludf.DUMMYFUNCTION("""COMPUTED_VALUE"""),"")</f>
        <v/>
      </c>
      <c r="U812" s="5" t="s">
        <v>355</v>
      </c>
      <c r="V812" s="5" t="s">
        <v>355</v>
      </c>
      <c r="W812" s="5" t="s">
        <v>355</v>
      </c>
      <c r="X812" s="5" t="str">
        <f>IFERROR(__xludf.DUMMYFUNCTION("""COMPUTED_VALUE"""),"")</f>
        <v/>
      </c>
      <c r="Y812" s="5" t="s">
        <v>355</v>
      </c>
      <c r="Z812" s="5" t="s">
        <v>355</v>
      </c>
      <c r="AB812" s="5" t="s">
        <v>355</v>
      </c>
      <c r="AE812" s="5" t="s">
        <v>355</v>
      </c>
      <c r="AH812" s="5" t="s">
        <v>355</v>
      </c>
    </row>
    <row r="813">
      <c r="S813" s="5" t="s">
        <v>355</v>
      </c>
      <c r="T813" s="5" t="str">
        <f>IFERROR(__xludf.DUMMYFUNCTION("""COMPUTED_VALUE"""),"")</f>
        <v/>
      </c>
      <c r="U813" s="5" t="s">
        <v>355</v>
      </c>
      <c r="V813" s="5" t="s">
        <v>355</v>
      </c>
      <c r="W813" s="5" t="s">
        <v>355</v>
      </c>
      <c r="X813" s="5" t="str">
        <f>IFERROR(__xludf.DUMMYFUNCTION("""COMPUTED_VALUE"""),"")</f>
        <v/>
      </c>
      <c r="Y813" s="5" t="s">
        <v>355</v>
      </c>
      <c r="Z813" s="5" t="s">
        <v>355</v>
      </c>
      <c r="AB813" s="5" t="s">
        <v>355</v>
      </c>
      <c r="AE813" s="5" t="s">
        <v>355</v>
      </c>
      <c r="AH813" s="5" t="s">
        <v>355</v>
      </c>
    </row>
    <row r="814">
      <c r="S814" s="5" t="s">
        <v>355</v>
      </c>
      <c r="T814" s="5" t="str">
        <f>IFERROR(__xludf.DUMMYFUNCTION("""COMPUTED_VALUE"""),"")</f>
        <v/>
      </c>
      <c r="U814" s="5" t="s">
        <v>355</v>
      </c>
      <c r="V814" s="5" t="s">
        <v>355</v>
      </c>
      <c r="W814" s="5" t="s">
        <v>355</v>
      </c>
      <c r="X814" s="5" t="str">
        <f>IFERROR(__xludf.DUMMYFUNCTION("""COMPUTED_VALUE"""),"")</f>
        <v/>
      </c>
      <c r="Y814" s="5" t="s">
        <v>355</v>
      </c>
      <c r="Z814" s="5" t="s">
        <v>355</v>
      </c>
      <c r="AB814" s="5" t="s">
        <v>355</v>
      </c>
      <c r="AE814" s="5" t="s">
        <v>355</v>
      </c>
      <c r="AH814" s="5" t="s">
        <v>355</v>
      </c>
    </row>
    <row r="815">
      <c r="S815" s="5" t="s">
        <v>355</v>
      </c>
      <c r="T815" s="5" t="str">
        <f>IFERROR(__xludf.DUMMYFUNCTION("""COMPUTED_VALUE"""),"")</f>
        <v/>
      </c>
      <c r="U815" s="5" t="s">
        <v>355</v>
      </c>
      <c r="V815" s="5" t="s">
        <v>355</v>
      </c>
      <c r="W815" s="5" t="s">
        <v>355</v>
      </c>
      <c r="X815" s="5" t="str">
        <f>IFERROR(__xludf.DUMMYFUNCTION("""COMPUTED_VALUE"""),"")</f>
        <v/>
      </c>
      <c r="Y815" s="5" t="s">
        <v>355</v>
      </c>
      <c r="Z815" s="5" t="s">
        <v>355</v>
      </c>
      <c r="AB815" s="5" t="s">
        <v>355</v>
      </c>
      <c r="AE815" s="5" t="s">
        <v>355</v>
      </c>
      <c r="AH815" s="5" t="s">
        <v>355</v>
      </c>
    </row>
    <row r="816">
      <c r="S816" s="5" t="s">
        <v>355</v>
      </c>
      <c r="T816" s="5" t="str">
        <f>IFERROR(__xludf.DUMMYFUNCTION("""COMPUTED_VALUE"""),"")</f>
        <v/>
      </c>
      <c r="U816" s="5" t="s">
        <v>355</v>
      </c>
      <c r="V816" s="5" t="s">
        <v>355</v>
      </c>
      <c r="W816" s="5" t="s">
        <v>355</v>
      </c>
      <c r="X816" s="5" t="str">
        <f>IFERROR(__xludf.DUMMYFUNCTION("""COMPUTED_VALUE"""),"")</f>
        <v/>
      </c>
      <c r="Y816" s="5" t="s">
        <v>355</v>
      </c>
      <c r="Z816" s="5" t="s">
        <v>355</v>
      </c>
      <c r="AB816" s="5" t="s">
        <v>355</v>
      </c>
      <c r="AE816" s="5" t="s">
        <v>355</v>
      </c>
      <c r="AH816" s="5" t="s">
        <v>355</v>
      </c>
    </row>
    <row r="817">
      <c r="S817" s="5" t="s">
        <v>355</v>
      </c>
      <c r="T817" s="5" t="str">
        <f>IFERROR(__xludf.DUMMYFUNCTION("""COMPUTED_VALUE"""),"")</f>
        <v/>
      </c>
      <c r="U817" s="5" t="s">
        <v>355</v>
      </c>
      <c r="V817" s="5" t="s">
        <v>355</v>
      </c>
      <c r="W817" s="5" t="s">
        <v>355</v>
      </c>
      <c r="X817" s="5" t="str">
        <f>IFERROR(__xludf.DUMMYFUNCTION("""COMPUTED_VALUE"""),"")</f>
        <v/>
      </c>
      <c r="Y817" s="5" t="s">
        <v>355</v>
      </c>
      <c r="Z817" s="5" t="s">
        <v>355</v>
      </c>
      <c r="AB817" s="5" t="s">
        <v>355</v>
      </c>
      <c r="AE817" s="5" t="s">
        <v>355</v>
      </c>
      <c r="AH817" s="5" t="s">
        <v>355</v>
      </c>
    </row>
    <row r="818">
      <c r="S818" s="5" t="s">
        <v>355</v>
      </c>
      <c r="T818" s="5" t="str">
        <f>IFERROR(__xludf.DUMMYFUNCTION("""COMPUTED_VALUE"""),"")</f>
        <v/>
      </c>
      <c r="U818" s="5" t="s">
        <v>355</v>
      </c>
      <c r="V818" s="5" t="s">
        <v>355</v>
      </c>
      <c r="W818" s="5" t="s">
        <v>355</v>
      </c>
      <c r="X818" s="5" t="str">
        <f>IFERROR(__xludf.DUMMYFUNCTION("""COMPUTED_VALUE"""),"")</f>
        <v/>
      </c>
      <c r="Y818" s="5" t="s">
        <v>355</v>
      </c>
      <c r="Z818" s="5" t="s">
        <v>355</v>
      </c>
      <c r="AB818" s="5" t="s">
        <v>355</v>
      </c>
      <c r="AE818" s="5" t="s">
        <v>355</v>
      </c>
      <c r="AH818" s="5" t="s">
        <v>355</v>
      </c>
    </row>
    <row r="819">
      <c r="S819" s="5" t="s">
        <v>355</v>
      </c>
      <c r="T819" s="5" t="str">
        <f>IFERROR(__xludf.DUMMYFUNCTION("""COMPUTED_VALUE"""),"")</f>
        <v/>
      </c>
      <c r="U819" s="5" t="s">
        <v>355</v>
      </c>
      <c r="V819" s="5" t="s">
        <v>355</v>
      </c>
      <c r="W819" s="5" t="s">
        <v>355</v>
      </c>
      <c r="X819" s="5" t="str">
        <f>IFERROR(__xludf.DUMMYFUNCTION("""COMPUTED_VALUE"""),"")</f>
        <v/>
      </c>
      <c r="Y819" s="5" t="s">
        <v>355</v>
      </c>
      <c r="Z819" s="5" t="s">
        <v>355</v>
      </c>
      <c r="AB819" s="5" t="s">
        <v>355</v>
      </c>
      <c r="AE819" s="5" t="s">
        <v>355</v>
      </c>
      <c r="AH819" s="5" t="s">
        <v>355</v>
      </c>
    </row>
    <row r="820">
      <c r="S820" s="5" t="s">
        <v>355</v>
      </c>
      <c r="T820" s="5" t="str">
        <f>IFERROR(__xludf.DUMMYFUNCTION("""COMPUTED_VALUE"""),"")</f>
        <v/>
      </c>
      <c r="U820" s="5" t="s">
        <v>355</v>
      </c>
      <c r="V820" s="5" t="s">
        <v>355</v>
      </c>
      <c r="W820" s="5" t="s">
        <v>355</v>
      </c>
      <c r="X820" s="5" t="str">
        <f>IFERROR(__xludf.DUMMYFUNCTION("""COMPUTED_VALUE"""),"")</f>
        <v/>
      </c>
      <c r="Y820" s="5" t="s">
        <v>355</v>
      </c>
      <c r="Z820" s="5" t="s">
        <v>355</v>
      </c>
      <c r="AB820" s="5" t="s">
        <v>355</v>
      </c>
      <c r="AE820" s="5" t="s">
        <v>355</v>
      </c>
      <c r="AH820" s="5" t="s">
        <v>355</v>
      </c>
    </row>
    <row r="821">
      <c r="S821" s="5" t="s">
        <v>355</v>
      </c>
      <c r="T821" s="5" t="str">
        <f>IFERROR(__xludf.DUMMYFUNCTION("""COMPUTED_VALUE"""),"")</f>
        <v/>
      </c>
      <c r="U821" s="5" t="s">
        <v>355</v>
      </c>
      <c r="V821" s="5" t="s">
        <v>355</v>
      </c>
      <c r="W821" s="5" t="s">
        <v>355</v>
      </c>
      <c r="X821" s="5" t="str">
        <f>IFERROR(__xludf.DUMMYFUNCTION("""COMPUTED_VALUE"""),"")</f>
        <v/>
      </c>
      <c r="Y821" s="5" t="s">
        <v>355</v>
      </c>
      <c r="Z821" s="5" t="s">
        <v>355</v>
      </c>
      <c r="AB821" s="5" t="s">
        <v>355</v>
      </c>
      <c r="AE821" s="5" t="s">
        <v>355</v>
      </c>
      <c r="AH821" s="5" t="s">
        <v>355</v>
      </c>
    </row>
    <row r="822">
      <c r="S822" s="5" t="s">
        <v>355</v>
      </c>
      <c r="T822" s="5" t="str">
        <f>IFERROR(__xludf.DUMMYFUNCTION("""COMPUTED_VALUE"""),"")</f>
        <v/>
      </c>
      <c r="U822" s="5" t="s">
        <v>355</v>
      </c>
      <c r="V822" s="5" t="s">
        <v>355</v>
      </c>
      <c r="W822" s="5" t="s">
        <v>355</v>
      </c>
      <c r="X822" s="5" t="str">
        <f>IFERROR(__xludf.DUMMYFUNCTION("""COMPUTED_VALUE"""),"")</f>
        <v/>
      </c>
      <c r="Y822" s="5" t="s">
        <v>355</v>
      </c>
      <c r="Z822" s="5" t="s">
        <v>355</v>
      </c>
      <c r="AB822" s="5" t="s">
        <v>355</v>
      </c>
      <c r="AE822" s="5" t="s">
        <v>355</v>
      </c>
      <c r="AH822" s="5" t="s">
        <v>355</v>
      </c>
    </row>
    <row r="823">
      <c r="S823" s="5" t="s">
        <v>355</v>
      </c>
      <c r="T823" s="5" t="str">
        <f>IFERROR(__xludf.DUMMYFUNCTION("""COMPUTED_VALUE"""),"")</f>
        <v/>
      </c>
      <c r="U823" s="5" t="s">
        <v>355</v>
      </c>
      <c r="V823" s="5" t="s">
        <v>355</v>
      </c>
      <c r="W823" s="5" t="s">
        <v>355</v>
      </c>
      <c r="X823" s="5" t="str">
        <f>IFERROR(__xludf.DUMMYFUNCTION("""COMPUTED_VALUE"""),"")</f>
        <v/>
      </c>
      <c r="Y823" s="5" t="s">
        <v>355</v>
      </c>
      <c r="Z823" s="5" t="s">
        <v>355</v>
      </c>
      <c r="AB823" s="5" t="s">
        <v>355</v>
      </c>
      <c r="AE823" s="5" t="s">
        <v>355</v>
      </c>
      <c r="AH823" s="5" t="s">
        <v>355</v>
      </c>
    </row>
    <row r="824">
      <c r="S824" s="5" t="s">
        <v>355</v>
      </c>
      <c r="T824" s="5" t="str">
        <f>IFERROR(__xludf.DUMMYFUNCTION("""COMPUTED_VALUE"""),"")</f>
        <v/>
      </c>
      <c r="U824" s="5" t="s">
        <v>355</v>
      </c>
      <c r="V824" s="5" t="s">
        <v>355</v>
      </c>
      <c r="W824" s="5" t="s">
        <v>355</v>
      </c>
      <c r="X824" s="5" t="str">
        <f>IFERROR(__xludf.DUMMYFUNCTION("""COMPUTED_VALUE"""),"")</f>
        <v/>
      </c>
      <c r="Y824" s="5" t="s">
        <v>355</v>
      </c>
      <c r="Z824" s="5" t="s">
        <v>355</v>
      </c>
      <c r="AB824" s="5" t="s">
        <v>355</v>
      </c>
      <c r="AE824" s="5" t="s">
        <v>355</v>
      </c>
      <c r="AH824" s="5" t="s">
        <v>355</v>
      </c>
    </row>
    <row r="825">
      <c r="S825" s="5" t="s">
        <v>355</v>
      </c>
      <c r="T825" s="5" t="str">
        <f>IFERROR(__xludf.DUMMYFUNCTION("""COMPUTED_VALUE"""),"")</f>
        <v/>
      </c>
      <c r="U825" s="5" t="s">
        <v>355</v>
      </c>
      <c r="V825" s="5" t="s">
        <v>355</v>
      </c>
      <c r="W825" s="5" t="s">
        <v>355</v>
      </c>
      <c r="X825" s="5" t="str">
        <f>IFERROR(__xludf.DUMMYFUNCTION("""COMPUTED_VALUE"""),"")</f>
        <v/>
      </c>
      <c r="Y825" s="5" t="s">
        <v>355</v>
      </c>
      <c r="Z825" s="5" t="s">
        <v>355</v>
      </c>
      <c r="AB825" s="5" t="s">
        <v>355</v>
      </c>
      <c r="AE825" s="5" t="s">
        <v>355</v>
      </c>
      <c r="AH825" s="5" t="s">
        <v>355</v>
      </c>
    </row>
    <row r="826">
      <c r="S826" s="5" t="s">
        <v>355</v>
      </c>
      <c r="T826" s="5" t="str">
        <f>IFERROR(__xludf.DUMMYFUNCTION("""COMPUTED_VALUE"""),"")</f>
        <v/>
      </c>
      <c r="U826" s="5" t="s">
        <v>355</v>
      </c>
      <c r="V826" s="5" t="s">
        <v>355</v>
      </c>
      <c r="W826" s="5" t="s">
        <v>355</v>
      </c>
      <c r="X826" s="5" t="str">
        <f>IFERROR(__xludf.DUMMYFUNCTION("""COMPUTED_VALUE"""),"")</f>
        <v/>
      </c>
      <c r="Y826" s="5" t="s">
        <v>355</v>
      </c>
      <c r="Z826" s="5" t="s">
        <v>355</v>
      </c>
      <c r="AB826" s="5" t="s">
        <v>355</v>
      </c>
      <c r="AE826" s="5" t="s">
        <v>355</v>
      </c>
      <c r="AH826" s="5" t="s">
        <v>355</v>
      </c>
    </row>
    <row r="827">
      <c r="S827" s="5" t="s">
        <v>355</v>
      </c>
      <c r="T827" s="5" t="str">
        <f>IFERROR(__xludf.DUMMYFUNCTION("""COMPUTED_VALUE"""),"")</f>
        <v/>
      </c>
      <c r="U827" s="5" t="s">
        <v>355</v>
      </c>
      <c r="V827" s="5" t="s">
        <v>355</v>
      </c>
      <c r="W827" s="5" t="s">
        <v>355</v>
      </c>
      <c r="X827" s="5" t="str">
        <f>IFERROR(__xludf.DUMMYFUNCTION("""COMPUTED_VALUE"""),"")</f>
        <v/>
      </c>
      <c r="Y827" s="5" t="s">
        <v>355</v>
      </c>
      <c r="Z827" s="5" t="s">
        <v>355</v>
      </c>
      <c r="AB827" s="5" t="s">
        <v>355</v>
      </c>
      <c r="AE827" s="5" t="s">
        <v>355</v>
      </c>
      <c r="AH827" s="5" t="s">
        <v>355</v>
      </c>
    </row>
    <row r="828">
      <c r="S828" s="5" t="s">
        <v>355</v>
      </c>
      <c r="T828" s="5" t="str">
        <f>IFERROR(__xludf.DUMMYFUNCTION("""COMPUTED_VALUE"""),"")</f>
        <v/>
      </c>
      <c r="U828" s="5" t="s">
        <v>355</v>
      </c>
      <c r="V828" s="5" t="s">
        <v>355</v>
      </c>
      <c r="W828" s="5" t="s">
        <v>355</v>
      </c>
      <c r="X828" s="5" t="str">
        <f>IFERROR(__xludf.DUMMYFUNCTION("""COMPUTED_VALUE"""),"")</f>
        <v/>
      </c>
      <c r="Y828" s="5" t="s">
        <v>355</v>
      </c>
      <c r="Z828" s="5" t="s">
        <v>355</v>
      </c>
      <c r="AB828" s="5" t="s">
        <v>355</v>
      </c>
      <c r="AE828" s="5" t="s">
        <v>355</v>
      </c>
      <c r="AH828" s="5" t="s">
        <v>355</v>
      </c>
    </row>
    <row r="829">
      <c r="S829" s="5" t="s">
        <v>355</v>
      </c>
      <c r="T829" s="5" t="str">
        <f>IFERROR(__xludf.DUMMYFUNCTION("""COMPUTED_VALUE"""),"")</f>
        <v/>
      </c>
      <c r="U829" s="5" t="s">
        <v>355</v>
      </c>
      <c r="V829" s="5" t="s">
        <v>355</v>
      </c>
      <c r="W829" s="5" t="s">
        <v>355</v>
      </c>
      <c r="X829" s="5" t="str">
        <f>IFERROR(__xludf.DUMMYFUNCTION("""COMPUTED_VALUE"""),"")</f>
        <v/>
      </c>
      <c r="Y829" s="5" t="s">
        <v>355</v>
      </c>
      <c r="Z829" s="5" t="s">
        <v>355</v>
      </c>
      <c r="AB829" s="5" t="s">
        <v>355</v>
      </c>
      <c r="AE829" s="5" t="s">
        <v>355</v>
      </c>
      <c r="AH829" s="5" t="s">
        <v>355</v>
      </c>
    </row>
    <row r="830">
      <c r="S830" s="5" t="s">
        <v>355</v>
      </c>
      <c r="T830" s="5" t="str">
        <f>IFERROR(__xludf.DUMMYFUNCTION("""COMPUTED_VALUE"""),"")</f>
        <v/>
      </c>
      <c r="U830" s="5" t="s">
        <v>355</v>
      </c>
      <c r="V830" s="5" t="s">
        <v>355</v>
      </c>
      <c r="W830" s="5" t="s">
        <v>355</v>
      </c>
      <c r="X830" s="5" t="str">
        <f>IFERROR(__xludf.DUMMYFUNCTION("""COMPUTED_VALUE"""),"")</f>
        <v/>
      </c>
      <c r="Y830" s="5" t="s">
        <v>355</v>
      </c>
      <c r="Z830" s="5" t="s">
        <v>355</v>
      </c>
      <c r="AB830" s="5" t="s">
        <v>355</v>
      </c>
      <c r="AE830" s="5" t="s">
        <v>355</v>
      </c>
      <c r="AH830" s="5" t="s">
        <v>355</v>
      </c>
    </row>
    <row r="831">
      <c r="S831" s="5" t="s">
        <v>355</v>
      </c>
      <c r="T831" s="5" t="str">
        <f>IFERROR(__xludf.DUMMYFUNCTION("""COMPUTED_VALUE"""),"")</f>
        <v/>
      </c>
      <c r="U831" s="5" t="s">
        <v>355</v>
      </c>
      <c r="V831" s="5" t="s">
        <v>355</v>
      </c>
      <c r="W831" s="5" t="s">
        <v>355</v>
      </c>
      <c r="X831" s="5" t="str">
        <f>IFERROR(__xludf.DUMMYFUNCTION("""COMPUTED_VALUE"""),"")</f>
        <v/>
      </c>
      <c r="Y831" s="5" t="s">
        <v>355</v>
      </c>
      <c r="Z831" s="5" t="s">
        <v>355</v>
      </c>
      <c r="AB831" s="5" t="s">
        <v>355</v>
      </c>
      <c r="AE831" s="5" t="s">
        <v>355</v>
      </c>
      <c r="AH831" s="5" t="s">
        <v>355</v>
      </c>
    </row>
    <row r="832">
      <c r="S832" s="5" t="s">
        <v>355</v>
      </c>
      <c r="T832" s="5" t="str">
        <f>IFERROR(__xludf.DUMMYFUNCTION("""COMPUTED_VALUE"""),"")</f>
        <v/>
      </c>
      <c r="U832" s="5" t="s">
        <v>355</v>
      </c>
      <c r="V832" s="5" t="s">
        <v>355</v>
      </c>
      <c r="W832" s="5" t="s">
        <v>355</v>
      </c>
      <c r="X832" s="5" t="str">
        <f>IFERROR(__xludf.DUMMYFUNCTION("""COMPUTED_VALUE"""),"")</f>
        <v/>
      </c>
      <c r="Y832" s="5" t="s">
        <v>355</v>
      </c>
      <c r="Z832" s="5" t="s">
        <v>355</v>
      </c>
      <c r="AB832" s="5" t="s">
        <v>355</v>
      </c>
      <c r="AE832" s="5" t="s">
        <v>355</v>
      </c>
      <c r="AH832" s="5" t="s">
        <v>355</v>
      </c>
    </row>
    <row r="833">
      <c r="S833" s="5" t="s">
        <v>355</v>
      </c>
      <c r="T833" s="5" t="str">
        <f>IFERROR(__xludf.DUMMYFUNCTION("""COMPUTED_VALUE"""),"")</f>
        <v/>
      </c>
      <c r="U833" s="5" t="s">
        <v>355</v>
      </c>
      <c r="V833" s="5" t="s">
        <v>355</v>
      </c>
      <c r="W833" s="5" t="s">
        <v>355</v>
      </c>
      <c r="X833" s="5" t="str">
        <f>IFERROR(__xludf.DUMMYFUNCTION("""COMPUTED_VALUE"""),"")</f>
        <v/>
      </c>
      <c r="Y833" s="5" t="s">
        <v>355</v>
      </c>
      <c r="Z833" s="5" t="s">
        <v>355</v>
      </c>
      <c r="AB833" s="5" t="s">
        <v>355</v>
      </c>
      <c r="AE833" s="5" t="s">
        <v>355</v>
      </c>
      <c r="AH833" s="5" t="s">
        <v>355</v>
      </c>
    </row>
    <row r="834">
      <c r="S834" s="5" t="s">
        <v>355</v>
      </c>
      <c r="T834" s="5" t="str">
        <f>IFERROR(__xludf.DUMMYFUNCTION("""COMPUTED_VALUE"""),"")</f>
        <v/>
      </c>
      <c r="U834" s="5" t="s">
        <v>355</v>
      </c>
      <c r="V834" s="5" t="s">
        <v>355</v>
      </c>
      <c r="W834" s="5" t="s">
        <v>355</v>
      </c>
      <c r="X834" s="5" t="str">
        <f>IFERROR(__xludf.DUMMYFUNCTION("""COMPUTED_VALUE"""),"")</f>
        <v/>
      </c>
      <c r="Y834" s="5" t="s">
        <v>355</v>
      </c>
      <c r="Z834" s="5" t="s">
        <v>355</v>
      </c>
      <c r="AB834" s="5" t="s">
        <v>355</v>
      </c>
      <c r="AE834" s="5" t="s">
        <v>355</v>
      </c>
      <c r="AH834" s="5" t="s">
        <v>355</v>
      </c>
    </row>
    <row r="835">
      <c r="S835" s="5" t="s">
        <v>355</v>
      </c>
      <c r="T835" s="5" t="str">
        <f>IFERROR(__xludf.DUMMYFUNCTION("""COMPUTED_VALUE"""),"")</f>
        <v/>
      </c>
      <c r="U835" s="5" t="s">
        <v>355</v>
      </c>
      <c r="V835" s="5" t="s">
        <v>355</v>
      </c>
      <c r="W835" s="5" t="s">
        <v>355</v>
      </c>
      <c r="X835" s="5" t="str">
        <f>IFERROR(__xludf.DUMMYFUNCTION("""COMPUTED_VALUE"""),"")</f>
        <v/>
      </c>
      <c r="Y835" s="5" t="s">
        <v>355</v>
      </c>
      <c r="Z835" s="5" t="s">
        <v>355</v>
      </c>
      <c r="AB835" s="5" t="s">
        <v>355</v>
      </c>
      <c r="AE835" s="5" t="s">
        <v>355</v>
      </c>
      <c r="AH835" s="5" t="s">
        <v>355</v>
      </c>
    </row>
    <row r="836">
      <c r="S836" s="5" t="s">
        <v>355</v>
      </c>
      <c r="T836" s="5" t="str">
        <f>IFERROR(__xludf.DUMMYFUNCTION("""COMPUTED_VALUE"""),"")</f>
        <v/>
      </c>
      <c r="U836" s="5" t="s">
        <v>355</v>
      </c>
      <c r="V836" s="5" t="s">
        <v>355</v>
      </c>
      <c r="W836" s="5" t="s">
        <v>355</v>
      </c>
      <c r="X836" s="5" t="str">
        <f>IFERROR(__xludf.DUMMYFUNCTION("""COMPUTED_VALUE"""),"")</f>
        <v/>
      </c>
      <c r="Y836" s="5" t="s">
        <v>355</v>
      </c>
      <c r="Z836" s="5" t="s">
        <v>355</v>
      </c>
      <c r="AB836" s="5" t="s">
        <v>355</v>
      </c>
      <c r="AE836" s="5" t="s">
        <v>355</v>
      </c>
      <c r="AH836" s="5" t="s">
        <v>355</v>
      </c>
    </row>
    <row r="837">
      <c r="S837" s="5" t="s">
        <v>355</v>
      </c>
      <c r="T837" s="5" t="str">
        <f>IFERROR(__xludf.DUMMYFUNCTION("""COMPUTED_VALUE"""),"")</f>
        <v/>
      </c>
      <c r="U837" s="5" t="s">
        <v>355</v>
      </c>
      <c r="V837" s="5" t="s">
        <v>355</v>
      </c>
      <c r="W837" s="5" t="s">
        <v>355</v>
      </c>
      <c r="X837" s="5" t="str">
        <f>IFERROR(__xludf.DUMMYFUNCTION("""COMPUTED_VALUE"""),"")</f>
        <v/>
      </c>
      <c r="Y837" s="5" t="s">
        <v>355</v>
      </c>
      <c r="Z837" s="5" t="s">
        <v>355</v>
      </c>
      <c r="AB837" s="5" t="s">
        <v>355</v>
      </c>
      <c r="AE837" s="5" t="s">
        <v>355</v>
      </c>
      <c r="AH837" s="5" t="s">
        <v>355</v>
      </c>
    </row>
    <row r="838">
      <c r="S838" s="5" t="s">
        <v>355</v>
      </c>
      <c r="T838" s="5" t="str">
        <f>IFERROR(__xludf.DUMMYFUNCTION("""COMPUTED_VALUE"""),"")</f>
        <v/>
      </c>
      <c r="U838" s="5" t="s">
        <v>355</v>
      </c>
      <c r="V838" s="5" t="s">
        <v>355</v>
      </c>
      <c r="W838" s="5" t="s">
        <v>355</v>
      </c>
      <c r="X838" s="5" t="str">
        <f>IFERROR(__xludf.DUMMYFUNCTION("""COMPUTED_VALUE"""),"")</f>
        <v/>
      </c>
      <c r="Y838" s="5" t="s">
        <v>355</v>
      </c>
      <c r="Z838" s="5" t="s">
        <v>355</v>
      </c>
      <c r="AB838" s="5" t="s">
        <v>355</v>
      </c>
      <c r="AE838" s="5" t="s">
        <v>355</v>
      </c>
      <c r="AH838" s="5" t="s">
        <v>355</v>
      </c>
    </row>
    <row r="839">
      <c r="S839" s="5" t="s">
        <v>355</v>
      </c>
      <c r="T839" s="5" t="str">
        <f>IFERROR(__xludf.DUMMYFUNCTION("""COMPUTED_VALUE"""),"")</f>
        <v/>
      </c>
      <c r="U839" s="5" t="s">
        <v>355</v>
      </c>
      <c r="V839" s="5" t="s">
        <v>355</v>
      </c>
      <c r="W839" s="5" t="s">
        <v>355</v>
      </c>
      <c r="X839" s="5" t="str">
        <f>IFERROR(__xludf.DUMMYFUNCTION("""COMPUTED_VALUE"""),"")</f>
        <v/>
      </c>
      <c r="Y839" s="5" t="s">
        <v>355</v>
      </c>
      <c r="Z839" s="5" t="s">
        <v>355</v>
      </c>
      <c r="AB839" s="5" t="s">
        <v>355</v>
      </c>
      <c r="AE839" s="5" t="s">
        <v>355</v>
      </c>
      <c r="AH839" s="5" t="s">
        <v>355</v>
      </c>
    </row>
    <row r="840">
      <c r="S840" s="5" t="s">
        <v>355</v>
      </c>
      <c r="T840" s="5" t="str">
        <f>IFERROR(__xludf.DUMMYFUNCTION("""COMPUTED_VALUE"""),"")</f>
        <v/>
      </c>
      <c r="U840" s="5" t="s">
        <v>355</v>
      </c>
      <c r="V840" s="5" t="s">
        <v>355</v>
      </c>
      <c r="W840" s="5" t="s">
        <v>355</v>
      </c>
      <c r="X840" s="5" t="str">
        <f>IFERROR(__xludf.DUMMYFUNCTION("""COMPUTED_VALUE"""),"")</f>
        <v/>
      </c>
      <c r="Y840" s="5" t="s">
        <v>355</v>
      </c>
      <c r="Z840" s="5" t="s">
        <v>355</v>
      </c>
      <c r="AB840" s="5" t="s">
        <v>355</v>
      </c>
      <c r="AE840" s="5" t="s">
        <v>355</v>
      </c>
      <c r="AH840" s="5" t="s">
        <v>355</v>
      </c>
    </row>
    <row r="841">
      <c r="S841" s="5" t="s">
        <v>355</v>
      </c>
      <c r="T841" s="5" t="str">
        <f>IFERROR(__xludf.DUMMYFUNCTION("""COMPUTED_VALUE"""),"")</f>
        <v/>
      </c>
      <c r="U841" s="5" t="s">
        <v>355</v>
      </c>
      <c r="V841" s="5" t="s">
        <v>355</v>
      </c>
      <c r="W841" s="5" t="s">
        <v>355</v>
      </c>
      <c r="X841" s="5" t="str">
        <f>IFERROR(__xludf.DUMMYFUNCTION("""COMPUTED_VALUE"""),"")</f>
        <v/>
      </c>
      <c r="Y841" s="5" t="s">
        <v>355</v>
      </c>
      <c r="Z841" s="5" t="s">
        <v>355</v>
      </c>
      <c r="AB841" s="5" t="s">
        <v>355</v>
      </c>
      <c r="AE841" s="5" t="s">
        <v>355</v>
      </c>
      <c r="AH841" s="5" t="s">
        <v>355</v>
      </c>
    </row>
    <row r="842">
      <c r="S842" s="5" t="s">
        <v>355</v>
      </c>
      <c r="T842" s="5" t="str">
        <f>IFERROR(__xludf.DUMMYFUNCTION("""COMPUTED_VALUE"""),"")</f>
        <v/>
      </c>
      <c r="U842" s="5" t="s">
        <v>355</v>
      </c>
      <c r="V842" s="5" t="s">
        <v>355</v>
      </c>
      <c r="W842" s="5" t="s">
        <v>355</v>
      </c>
      <c r="X842" s="5" t="str">
        <f>IFERROR(__xludf.DUMMYFUNCTION("""COMPUTED_VALUE"""),"")</f>
        <v/>
      </c>
      <c r="Y842" s="5" t="s">
        <v>355</v>
      </c>
      <c r="Z842" s="5" t="s">
        <v>355</v>
      </c>
      <c r="AB842" s="5" t="s">
        <v>355</v>
      </c>
      <c r="AE842" s="5" t="s">
        <v>355</v>
      </c>
      <c r="AH842" s="5" t="s">
        <v>355</v>
      </c>
    </row>
    <row r="843">
      <c r="S843" s="5" t="s">
        <v>355</v>
      </c>
      <c r="T843" s="5" t="str">
        <f>IFERROR(__xludf.DUMMYFUNCTION("""COMPUTED_VALUE"""),"")</f>
        <v/>
      </c>
      <c r="U843" s="5" t="s">
        <v>355</v>
      </c>
      <c r="V843" s="5" t="s">
        <v>355</v>
      </c>
      <c r="W843" s="5" t="s">
        <v>355</v>
      </c>
      <c r="X843" s="5" t="str">
        <f>IFERROR(__xludf.DUMMYFUNCTION("""COMPUTED_VALUE"""),"")</f>
        <v/>
      </c>
      <c r="Y843" s="5" t="s">
        <v>355</v>
      </c>
      <c r="Z843" s="5" t="s">
        <v>355</v>
      </c>
      <c r="AB843" s="5" t="s">
        <v>355</v>
      </c>
      <c r="AE843" s="5" t="s">
        <v>355</v>
      </c>
      <c r="AH843" s="5" t="s">
        <v>355</v>
      </c>
    </row>
    <row r="844">
      <c r="S844" s="5" t="s">
        <v>355</v>
      </c>
      <c r="T844" s="5" t="str">
        <f>IFERROR(__xludf.DUMMYFUNCTION("""COMPUTED_VALUE"""),"")</f>
        <v/>
      </c>
      <c r="U844" s="5" t="s">
        <v>355</v>
      </c>
      <c r="V844" s="5" t="s">
        <v>355</v>
      </c>
      <c r="W844" s="5" t="s">
        <v>355</v>
      </c>
      <c r="X844" s="5" t="str">
        <f>IFERROR(__xludf.DUMMYFUNCTION("""COMPUTED_VALUE"""),"")</f>
        <v/>
      </c>
      <c r="Y844" s="5" t="s">
        <v>355</v>
      </c>
      <c r="Z844" s="5" t="s">
        <v>355</v>
      </c>
      <c r="AB844" s="5" t="s">
        <v>355</v>
      </c>
      <c r="AE844" s="5" t="s">
        <v>355</v>
      </c>
      <c r="AH844" s="5" t="s">
        <v>355</v>
      </c>
    </row>
    <row r="845">
      <c r="S845" s="5" t="s">
        <v>355</v>
      </c>
      <c r="T845" s="5" t="str">
        <f>IFERROR(__xludf.DUMMYFUNCTION("""COMPUTED_VALUE"""),"")</f>
        <v/>
      </c>
      <c r="U845" s="5" t="s">
        <v>355</v>
      </c>
      <c r="V845" s="5" t="s">
        <v>355</v>
      </c>
      <c r="W845" s="5" t="s">
        <v>355</v>
      </c>
      <c r="X845" s="5" t="str">
        <f>IFERROR(__xludf.DUMMYFUNCTION("""COMPUTED_VALUE"""),"")</f>
        <v/>
      </c>
      <c r="Y845" s="5" t="s">
        <v>355</v>
      </c>
      <c r="Z845" s="5" t="s">
        <v>355</v>
      </c>
      <c r="AB845" s="5" t="s">
        <v>355</v>
      </c>
      <c r="AE845" s="5" t="s">
        <v>355</v>
      </c>
      <c r="AH845" s="5" t="s">
        <v>355</v>
      </c>
    </row>
    <row r="846">
      <c r="S846" s="5" t="s">
        <v>355</v>
      </c>
      <c r="T846" s="5" t="str">
        <f>IFERROR(__xludf.DUMMYFUNCTION("""COMPUTED_VALUE"""),"")</f>
        <v/>
      </c>
      <c r="U846" s="5" t="s">
        <v>355</v>
      </c>
      <c r="V846" s="5" t="s">
        <v>355</v>
      </c>
      <c r="W846" s="5" t="s">
        <v>355</v>
      </c>
      <c r="X846" s="5" t="str">
        <f>IFERROR(__xludf.DUMMYFUNCTION("""COMPUTED_VALUE"""),"")</f>
        <v/>
      </c>
      <c r="Y846" s="5" t="s">
        <v>355</v>
      </c>
      <c r="Z846" s="5" t="s">
        <v>355</v>
      </c>
      <c r="AB846" s="5" t="s">
        <v>355</v>
      </c>
      <c r="AE846" s="5" t="s">
        <v>355</v>
      </c>
      <c r="AH846" s="5" t="s">
        <v>355</v>
      </c>
    </row>
    <row r="847">
      <c r="S847" s="5" t="s">
        <v>355</v>
      </c>
      <c r="T847" s="5" t="str">
        <f>IFERROR(__xludf.DUMMYFUNCTION("""COMPUTED_VALUE"""),"")</f>
        <v/>
      </c>
      <c r="U847" s="5" t="s">
        <v>355</v>
      </c>
      <c r="V847" s="5" t="s">
        <v>355</v>
      </c>
      <c r="W847" s="5" t="s">
        <v>355</v>
      </c>
      <c r="X847" s="5" t="str">
        <f>IFERROR(__xludf.DUMMYFUNCTION("""COMPUTED_VALUE"""),"")</f>
        <v/>
      </c>
      <c r="Y847" s="5" t="s">
        <v>355</v>
      </c>
      <c r="Z847" s="5" t="s">
        <v>355</v>
      </c>
      <c r="AB847" s="5" t="s">
        <v>355</v>
      </c>
      <c r="AE847" s="5" t="s">
        <v>355</v>
      </c>
      <c r="AH847" s="5" t="s">
        <v>355</v>
      </c>
    </row>
    <row r="848">
      <c r="S848" s="5" t="s">
        <v>355</v>
      </c>
      <c r="T848" s="5" t="str">
        <f>IFERROR(__xludf.DUMMYFUNCTION("""COMPUTED_VALUE"""),"")</f>
        <v/>
      </c>
      <c r="U848" s="5" t="s">
        <v>355</v>
      </c>
      <c r="V848" s="5" t="s">
        <v>355</v>
      </c>
      <c r="W848" s="5" t="s">
        <v>355</v>
      </c>
      <c r="X848" s="5" t="str">
        <f>IFERROR(__xludf.DUMMYFUNCTION("""COMPUTED_VALUE"""),"")</f>
        <v/>
      </c>
      <c r="Y848" s="5" t="s">
        <v>355</v>
      </c>
      <c r="Z848" s="5" t="s">
        <v>355</v>
      </c>
      <c r="AB848" s="5" t="s">
        <v>355</v>
      </c>
      <c r="AE848" s="5" t="s">
        <v>355</v>
      </c>
      <c r="AH848" s="5" t="s">
        <v>355</v>
      </c>
    </row>
    <row r="849">
      <c r="S849" s="5" t="s">
        <v>355</v>
      </c>
      <c r="T849" s="5" t="str">
        <f>IFERROR(__xludf.DUMMYFUNCTION("""COMPUTED_VALUE"""),"")</f>
        <v/>
      </c>
      <c r="U849" s="5" t="s">
        <v>355</v>
      </c>
      <c r="V849" s="5" t="s">
        <v>355</v>
      </c>
      <c r="W849" s="5" t="s">
        <v>355</v>
      </c>
      <c r="X849" s="5" t="str">
        <f>IFERROR(__xludf.DUMMYFUNCTION("""COMPUTED_VALUE"""),"")</f>
        <v/>
      </c>
      <c r="Y849" s="5" t="s">
        <v>355</v>
      </c>
      <c r="Z849" s="5" t="s">
        <v>355</v>
      </c>
      <c r="AB849" s="5" t="s">
        <v>355</v>
      </c>
      <c r="AE849" s="5" t="s">
        <v>355</v>
      </c>
      <c r="AH849" s="5" t="s">
        <v>355</v>
      </c>
    </row>
    <row r="850">
      <c r="S850" s="5" t="s">
        <v>355</v>
      </c>
      <c r="T850" s="5" t="str">
        <f>IFERROR(__xludf.DUMMYFUNCTION("""COMPUTED_VALUE"""),"")</f>
        <v/>
      </c>
      <c r="U850" s="5" t="s">
        <v>355</v>
      </c>
      <c r="V850" s="5" t="s">
        <v>355</v>
      </c>
      <c r="W850" s="5" t="s">
        <v>355</v>
      </c>
      <c r="X850" s="5" t="str">
        <f>IFERROR(__xludf.DUMMYFUNCTION("""COMPUTED_VALUE"""),"")</f>
        <v/>
      </c>
      <c r="Y850" s="5" t="s">
        <v>355</v>
      </c>
      <c r="Z850" s="5" t="s">
        <v>355</v>
      </c>
      <c r="AB850" s="5" t="s">
        <v>355</v>
      </c>
      <c r="AE850" s="5" t="s">
        <v>355</v>
      </c>
      <c r="AH850" s="5" t="s">
        <v>355</v>
      </c>
    </row>
    <row r="851">
      <c r="S851" s="5" t="s">
        <v>355</v>
      </c>
      <c r="T851" s="5" t="str">
        <f>IFERROR(__xludf.DUMMYFUNCTION("""COMPUTED_VALUE"""),"")</f>
        <v/>
      </c>
      <c r="U851" s="5" t="s">
        <v>355</v>
      </c>
      <c r="V851" s="5" t="s">
        <v>355</v>
      </c>
      <c r="W851" s="5" t="s">
        <v>355</v>
      </c>
      <c r="X851" s="5" t="str">
        <f>IFERROR(__xludf.DUMMYFUNCTION("""COMPUTED_VALUE"""),"")</f>
        <v/>
      </c>
      <c r="Y851" s="5" t="s">
        <v>355</v>
      </c>
      <c r="Z851" s="5" t="s">
        <v>355</v>
      </c>
      <c r="AB851" s="5" t="s">
        <v>355</v>
      </c>
      <c r="AE851" s="5" t="s">
        <v>355</v>
      </c>
      <c r="AH851" s="5" t="s">
        <v>355</v>
      </c>
    </row>
    <row r="852">
      <c r="S852" s="5" t="s">
        <v>355</v>
      </c>
      <c r="T852" s="5" t="str">
        <f>IFERROR(__xludf.DUMMYFUNCTION("""COMPUTED_VALUE"""),"")</f>
        <v/>
      </c>
      <c r="U852" s="5" t="s">
        <v>355</v>
      </c>
      <c r="V852" s="5" t="s">
        <v>355</v>
      </c>
      <c r="W852" s="5" t="s">
        <v>355</v>
      </c>
      <c r="X852" s="5" t="str">
        <f>IFERROR(__xludf.DUMMYFUNCTION("""COMPUTED_VALUE"""),"")</f>
        <v/>
      </c>
      <c r="Y852" s="5" t="s">
        <v>355</v>
      </c>
      <c r="Z852" s="5" t="s">
        <v>355</v>
      </c>
      <c r="AB852" s="5" t="s">
        <v>355</v>
      </c>
      <c r="AE852" s="5" t="s">
        <v>355</v>
      </c>
      <c r="AH852" s="5" t="s">
        <v>355</v>
      </c>
    </row>
    <row r="853">
      <c r="S853" s="5" t="s">
        <v>355</v>
      </c>
      <c r="T853" s="5" t="str">
        <f>IFERROR(__xludf.DUMMYFUNCTION("""COMPUTED_VALUE"""),"")</f>
        <v/>
      </c>
      <c r="U853" s="5" t="s">
        <v>355</v>
      </c>
      <c r="V853" s="5" t="s">
        <v>355</v>
      </c>
      <c r="W853" s="5" t="s">
        <v>355</v>
      </c>
      <c r="X853" s="5" t="str">
        <f>IFERROR(__xludf.DUMMYFUNCTION("""COMPUTED_VALUE"""),"")</f>
        <v/>
      </c>
      <c r="Y853" s="5" t="s">
        <v>355</v>
      </c>
      <c r="Z853" s="5" t="s">
        <v>355</v>
      </c>
      <c r="AB853" s="5" t="s">
        <v>355</v>
      </c>
      <c r="AE853" s="5" t="s">
        <v>355</v>
      </c>
      <c r="AH853" s="5" t="s">
        <v>355</v>
      </c>
    </row>
    <row r="854">
      <c r="S854" s="5" t="s">
        <v>355</v>
      </c>
      <c r="T854" s="5" t="str">
        <f>IFERROR(__xludf.DUMMYFUNCTION("""COMPUTED_VALUE"""),"")</f>
        <v/>
      </c>
      <c r="U854" s="5" t="s">
        <v>355</v>
      </c>
      <c r="V854" s="5" t="s">
        <v>355</v>
      </c>
      <c r="W854" s="5" t="s">
        <v>355</v>
      </c>
      <c r="X854" s="5" t="str">
        <f>IFERROR(__xludf.DUMMYFUNCTION("""COMPUTED_VALUE"""),"")</f>
        <v/>
      </c>
      <c r="Y854" s="5" t="s">
        <v>355</v>
      </c>
      <c r="Z854" s="5" t="s">
        <v>355</v>
      </c>
      <c r="AB854" s="5" t="s">
        <v>355</v>
      </c>
      <c r="AE854" s="5" t="s">
        <v>355</v>
      </c>
      <c r="AH854" s="5" t="s">
        <v>355</v>
      </c>
    </row>
    <row r="855">
      <c r="S855" s="5" t="s">
        <v>355</v>
      </c>
      <c r="T855" s="5" t="str">
        <f>IFERROR(__xludf.DUMMYFUNCTION("""COMPUTED_VALUE"""),"")</f>
        <v/>
      </c>
      <c r="U855" s="5" t="s">
        <v>355</v>
      </c>
      <c r="V855" s="5" t="s">
        <v>355</v>
      </c>
      <c r="W855" s="5" t="s">
        <v>355</v>
      </c>
      <c r="X855" s="5" t="str">
        <f>IFERROR(__xludf.DUMMYFUNCTION("""COMPUTED_VALUE"""),"")</f>
        <v/>
      </c>
      <c r="Y855" s="5" t="s">
        <v>355</v>
      </c>
      <c r="Z855" s="5" t="s">
        <v>355</v>
      </c>
      <c r="AB855" s="5" t="s">
        <v>355</v>
      </c>
      <c r="AE855" s="5" t="s">
        <v>355</v>
      </c>
      <c r="AH855" s="5" t="s">
        <v>355</v>
      </c>
    </row>
    <row r="856">
      <c r="S856" s="5" t="s">
        <v>355</v>
      </c>
      <c r="T856" s="5" t="str">
        <f>IFERROR(__xludf.DUMMYFUNCTION("""COMPUTED_VALUE"""),"")</f>
        <v/>
      </c>
      <c r="U856" s="5" t="s">
        <v>355</v>
      </c>
      <c r="V856" s="5" t="s">
        <v>355</v>
      </c>
      <c r="W856" s="5" t="s">
        <v>355</v>
      </c>
      <c r="X856" s="5" t="str">
        <f>IFERROR(__xludf.DUMMYFUNCTION("""COMPUTED_VALUE"""),"")</f>
        <v/>
      </c>
      <c r="Y856" s="5" t="s">
        <v>355</v>
      </c>
      <c r="Z856" s="5" t="s">
        <v>355</v>
      </c>
      <c r="AB856" s="5" t="s">
        <v>355</v>
      </c>
      <c r="AE856" s="5" t="s">
        <v>355</v>
      </c>
      <c r="AH856" s="5" t="s">
        <v>355</v>
      </c>
    </row>
    <row r="857">
      <c r="S857" s="5" t="s">
        <v>355</v>
      </c>
      <c r="T857" s="5" t="str">
        <f>IFERROR(__xludf.DUMMYFUNCTION("""COMPUTED_VALUE"""),"")</f>
        <v/>
      </c>
      <c r="U857" s="5" t="s">
        <v>355</v>
      </c>
      <c r="V857" s="5" t="s">
        <v>355</v>
      </c>
      <c r="W857" s="5" t="s">
        <v>355</v>
      </c>
      <c r="X857" s="5" t="str">
        <f>IFERROR(__xludf.DUMMYFUNCTION("""COMPUTED_VALUE"""),"")</f>
        <v/>
      </c>
      <c r="Y857" s="5" t="s">
        <v>355</v>
      </c>
      <c r="Z857" s="5" t="s">
        <v>355</v>
      </c>
      <c r="AB857" s="5" t="s">
        <v>355</v>
      </c>
      <c r="AE857" s="5" t="s">
        <v>355</v>
      </c>
      <c r="AH857" s="5" t="s">
        <v>355</v>
      </c>
    </row>
    <row r="858">
      <c r="S858" s="5" t="s">
        <v>355</v>
      </c>
      <c r="T858" s="5" t="str">
        <f>IFERROR(__xludf.DUMMYFUNCTION("""COMPUTED_VALUE"""),"")</f>
        <v/>
      </c>
      <c r="U858" s="5" t="s">
        <v>355</v>
      </c>
      <c r="V858" s="5" t="s">
        <v>355</v>
      </c>
      <c r="W858" s="5" t="s">
        <v>355</v>
      </c>
      <c r="X858" s="5" t="str">
        <f>IFERROR(__xludf.DUMMYFUNCTION("""COMPUTED_VALUE"""),"")</f>
        <v/>
      </c>
      <c r="Y858" s="5" t="s">
        <v>355</v>
      </c>
      <c r="Z858" s="5" t="s">
        <v>355</v>
      </c>
      <c r="AB858" s="5" t="s">
        <v>355</v>
      </c>
      <c r="AE858" s="5" t="s">
        <v>355</v>
      </c>
      <c r="AH858" s="5" t="s">
        <v>355</v>
      </c>
    </row>
    <row r="859">
      <c r="S859" s="5" t="s">
        <v>355</v>
      </c>
      <c r="T859" s="5" t="str">
        <f>IFERROR(__xludf.DUMMYFUNCTION("""COMPUTED_VALUE"""),"")</f>
        <v/>
      </c>
      <c r="U859" s="5" t="s">
        <v>355</v>
      </c>
      <c r="V859" s="5" t="s">
        <v>355</v>
      </c>
      <c r="W859" s="5" t="s">
        <v>355</v>
      </c>
      <c r="X859" s="5" t="str">
        <f>IFERROR(__xludf.DUMMYFUNCTION("""COMPUTED_VALUE"""),"")</f>
        <v/>
      </c>
      <c r="Y859" s="5" t="s">
        <v>355</v>
      </c>
      <c r="Z859" s="5" t="s">
        <v>355</v>
      </c>
      <c r="AB859" s="5" t="s">
        <v>355</v>
      </c>
      <c r="AE859" s="5" t="s">
        <v>355</v>
      </c>
      <c r="AH859" s="5" t="s">
        <v>355</v>
      </c>
    </row>
    <row r="860">
      <c r="S860" s="5" t="s">
        <v>355</v>
      </c>
      <c r="T860" s="5" t="str">
        <f>IFERROR(__xludf.DUMMYFUNCTION("""COMPUTED_VALUE"""),"")</f>
        <v/>
      </c>
      <c r="U860" s="5" t="s">
        <v>355</v>
      </c>
      <c r="V860" s="5" t="s">
        <v>355</v>
      </c>
      <c r="W860" s="5" t="s">
        <v>355</v>
      </c>
      <c r="X860" s="5" t="str">
        <f>IFERROR(__xludf.DUMMYFUNCTION("""COMPUTED_VALUE"""),"")</f>
        <v/>
      </c>
      <c r="Y860" s="5" t="s">
        <v>355</v>
      </c>
      <c r="Z860" s="5" t="s">
        <v>355</v>
      </c>
      <c r="AB860" s="5" t="s">
        <v>355</v>
      </c>
      <c r="AE860" s="5" t="s">
        <v>355</v>
      </c>
      <c r="AH860" s="5" t="s">
        <v>355</v>
      </c>
    </row>
    <row r="861">
      <c r="S861" s="5" t="s">
        <v>355</v>
      </c>
      <c r="T861" s="5" t="str">
        <f>IFERROR(__xludf.DUMMYFUNCTION("""COMPUTED_VALUE"""),"")</f>
        <v/>
      </c>
      <c r="U861" s="5" t="s">
        <v>355</v>
      </c>
      <c r="V861" s="5" t="s">
        <v>355</v>
      </c>
      <c r="W861" s="5" t="s">
        <v>355</v>
      </c>
      <c r="X861" s="5" t="str">
        <f>IFERROR(__xludf.DUMMYFUNCTION("""COMPUTED_VALUE"""),"")</f>
        <v/>
      </c>
      <c r="Y861" s="5" t="s">
        <v>355</v>
      </c>
      <c r="Z861" s="5" t="s">
        <v>355</v>
      </c>
      <c r="AB861" s="5" t="s">
        <v>355</v>
      </c>
      <c r="AE861" s="5" t="s">
        <v>355</v>
      </c>
      <c r="AH861" s="5" t="s">
        <v>355</v>
      </c>
    </row>
    <row r="862">
      <c r="S862" s="5" t="s">
        <v>355</v>
      </c>
      <c r="T862" s="5" t="str">
        <f>IFERROR(__xludf.DUMMYFUNCTION("""COMPUTED_VALUE"""),"")</f>
        <v/>
      </c>
      <c r="U862" s="5" t="s">
        <v>355</v>
      </c>
      <c r="V862" s="5" t="s">
        <v>355</v>
      </c>
      <c r="W862" s="5" t="s">
        <v>355</v>
      </c>
      <c r="X862" s="5" t="str">
        <f>IFERROR(__xludf.DUMMYFUNCTION("""COMPUTED_VALUE"""),"")</f>
        <v/>
      </c>
      <c r="Y862" s="5" t="s">
        <v>355</v>
      </c>
      <c r="Z862" s="5" t="s">
        <v>355</v>
      </c>
      <c r="AB862" s="5" t="s">
        <v>355</v>
      </c>
      <c r="AE862" s="5" t="s">
        <v>355</v>
      </c>
      <c r="AH862" s="5" t="s">
        <v>355</v>
      </c>
    </row>
    <row r="863">
      <c r="S863" s="5" t="s">
        <v>355</v>
      </c>
      <c r="T863" s="5" t="str">
        <f>IFERROR(__xludf.DUMMYFUNCTION("""COMPUTED_VALUE"""),"")</f>
        <v/>
      </c>
      <c r="U863" s="5" t="s">
        <v>355</v>
      </c>
      <c r="V863" s="5" t="s">
        <v>355</v>
      </c>
      <c r="W863" s="5" t="s">
        <v>355</v>
      </c>
      <c r="X863" s="5" t="str">
        <f>IFERROR(__xludf.DUMMYFUNCTION("""COMPUTED_VALUE"""),"")</f>
        <v/>
      </c>
      <c r="Y863" s="5" t="s">
        <v>355</v>
      </c>
      <c r="Z863" s="5" t="s">
        <v>355</v>
      </c>
      <c r="AB863" s="5" t="s">
        <v>355</v>
      </c>
      <c r="AE863" s="5" t="s">
        <v>355</v>
      </c>
      <c r="AH863" s="5" t="s">
        <v>355</v>
      </c>
    </row>
    <row r="864">
      <c r="S864" s="5" t="s">
        <v>355</v>
      </c>
      <c r="T864" s="5" t="str">
        <f>IFERROR(__xludf.DUMMYFUNCTION("""COMPUTED_VALUE"""),"")</f>
        <v/>
      </c>
      <c r="U864" s="5" t="s">
        <v>355</v>
      </c>
      <c r="V864" s="5" t="s">
        <v>355</v>
      </c>
      <c r="W864" s="5" t="s">
        <v>355</v>
      </c>
      <c r="X864" s="5" t="str">
        <f>IFERROR(__xludf.DUMMYFUNCTION("""COMPUTED_VALUE"""),"")</f>
        <v/>
      </c>
      <c r="Y864" s="5" t="s">
        <v>355</v>
      </c>
      <c r="Z864" s="5" t="s">
        <v>355</v>
      </c>
      <c r="AB864" s="5" t="s">
        <v>355</v>
      </c>
      <c r="AE864" s="5" t="s">
        <v>355</v>
      </c>
      <c r="AH864" s="5" t="s">
        <v>355</v>
      </c>
    </row>
    <row r="865">
      <c r="S865" s="5" t="s">
        <v>355</v>
      </c>
      <c r="T865" s="5" t="str">
        <f>IFERROR(__xludf.DUMMYFUNCTION("""COMPUTED_VALUE"""),"")</f>
        <v/>
      </c>
      <c r="U865" s="5" t="s">
        <v>355</v>
      </c>
      <c r="V865" s="5" t="s">
        <v>355</v>
      </c>
      <c r="W865" s="5" t="s">
        <v>355</v>
      </c>
      <c r="X865" s="5" t="str">
        <f>IFERROR(__xludf.DUMMYFUNCTION("""COMPUTED_VALUE"""),"")</f>
        <v/>
      </c>
      <c r="Y865" s="5" t="s">
        <v>355</v>
      </c>
      <c r="Z865" s="5" t="s">
        <v>355</v>
      </c>
      <c r="AB865" s="5" t="s">
        <v>355</v>
      </c>
      <c r="AE865" s="5" t="s">
        <v>355</v>
      </c>
      <c r="AH865" s="5" t="s">
        <v>355</v>
      </c>
    </row>
    <row r="866">
      <c r="S866" s="5" t="s">
        <v>355</v>
      </c>
      <c r="T866" s="5" t="str">
        <f>IFERROR(__xludf.DUMMYFUNCTION("""COMPUTED_VALUE"""),"")</f>
        <v/>
      </c>
      <c r="U866" s="5" t="s">
        <v>355</v>
      </c>
      <c r="V866" s="5" t="s">
        <v>355</v>
      </c>
      <c r="W866" s="5" t="s">
        <v>355</v>
      </c>
      <c r="X866" s="5" t="str">
        <f>IFERROR(__xludf.DUMMYFUNCTION("""COMPUTED_VALUE"""),"")</f>
        <v/>
      </c>
      <c r="Y866" s="5" t="s">
        <v>355</v>
      </c>
      <c r="Z866" s="5" t="s">
        <v>355</v>
      </c>
      <c r="AB866" s="5" t="s">
        <v>355</v>
      </c>
      <c r="AE866" s="5" t="s">
        <v>355</v>
      </c>
      <c r="AH866" s="5" t="s">
        <v>355</v>
      </c>
    </row>
    <row r="867">
      <c r="S867" s="5" t="s">
        <v>355</v>
      </c>
      <c r="T867" s="5" t="str">
        <f>IFERROR(__xludf.DUMMYFUNCTION("""COMPUTED_VALUE"""),"")</f>
        <v/>
      </c>
      <c r="U867" s="5" t="s">
        <v>355</v>
      </c>
      <c r="V867" s="5" t="s">
        <v>355</v>
      </c>
      <c r="W867" s="5" t="s">
        <v>355</v>
      </c>
      <c r="X867" s="5" t="str">
        <f>IFERROR(__xludf.DUMMYFUNCTION("""COMPUTED_VALUE"""),"")</f>
        <v/>
      </c>
      <c r="Y867" s="5" t="s">
        <v>355</v>
      </c>
      <c r="Z867" s="5" t="s">
        <v>355</v>
      </c>
      <c r="AB867" s="5" t="s">
        <v>355</v>
      </c>
      <c r="AE867" s="5" t="s">
        <v>355</v>
      </c>
      <c r="AH867" s="5" t="s">
        <v>355</v>
      </c>
    </row>
    <row r="868">
      <c r="S868" s="5" t="s">
        <v>355</v>
      </c>
      <c r="T868" s="5" t="str">
        <f>IFERROR(__xludf.DUMMYFUNCTION("""COMPUTED_VALUE"""),"")</f>
        <v/>
      </c>
      <c r="U868" s="5" t="s">
        <v>355</v>
      </c>
      <c r="V868" s="5" t="s">
        <v>355</v>
      </c>
      <c r="W868" s="5" t="s">
        <v>355</v>
      </c>
      <c r="X868" s="5" t="str">
        <f>IFERROR(__xludf.DUMMYFUNCTION("""COMPUTED_VALUE"""),"")</f>
        <v/>
      </c>
      <c r="Y868" s="5" t="s">
        <v>355</v>
      </c>
      <c r="Z868" s="5" t="s">
        <v>355</v>
      </c>
      <c r="AB868" s="5" t="s">
        <v>355</v>
      </c>
      <c r="AE868" s="5" t="s">
        <v>355</v>
      </c>
      <c r="AH868" s="5" t="s">
        <v>355</v>
      </c>
    </row>
    <row r="869">
      <c r="S869" s="5" t="s">
        <v>355</v>
      </c>
      <c r="T869" s="5" t="str">
        <f>IFERROR(__xludf.DUMMYFUNCTION("""COMPUTED_VALUE"""),"")</f>
        <v/>
      </c>
      <c r="U869" s="5" t="s">
        <v>355</v>
      </c>
      <c r="V869" s="5" t="s">
        <v>355</v>
      </c>
      <c r="W869" s="5" t="s">
        <v>355</v>
      </c>
      <c r="X869" s="5" t="str">
        <f>IFERROR(__xludf.DUMMYFUNCTION("""COMPUTED_VALUE"""),"")</f>
        <v/>
      </c>
      <c r="Y869" s="5" t="s">
        <v>355</v>
      </c>
      <c r="Z869" s="5" t="s">
        <v>355</v>
      </c>
      <c r="AB869" s="5" t="s">
        <v>355</v>
      </c>
      <c r="AE869" s="5" t="s">
        <v>355</v>
      </c>
      <c r="AH869" s="5" t="s">
        <v>355</v>
      </c>
    </row>
    <row r="870">
      <c r="S870" s="5" t="s">
        <v>355</v>
      </c>
      <c r="T870" s="5" t="str">
        <f>IFERROR(__xludf.DUMMYFUNCTION("""COMPUTED_VALUE"""),"")</f>
        <v/>
      </c>
      <c r="U870" s="5" t="s">
        <v>355</v>
      </c>
      <c r="V870" s="5" t="s">
        <v>355</v>
      </c>
      <c r="W870" s="5" t="s">
        <v>355</v>
      </c>
      <c r="X870" s="5" t="str">
        <f>IFERROR(__xludf.DUMMYFUNCTION("""COMPUTED_VALUE"""),"")</f>
        <v/>
      </c>
      <c r="Y870" s="5" t="s">
        <v>355</v>
      </c>
      <c r="Z870" s="5" t="s">
        <v>355</v>
      </c>
      <c r="AB870" s="5" t="s">
        <v>355</v>
      </c>
      <c r="AE870" s="5" t="s">
        <v>355</v>
      </c>
      <c r="AH870" s="5" t="s">
        <v>355</v>
      </c>
    </row>
    <row r="871">
      <c r="S871" s="5" t="s">
        <v>355</v>
      </c>
      <c r="T871" s="5" t="str">
        <f>IFERROR(__xludf.DUMMYFUNCTION("""COMPUTED_VALUE"""),"")</f>
        <v/>
      </c>
      <c r="U871" s="5" t="s">
        <v>355</v>
      </c>
      <c r="V871" s="5" t="s">
        <v>355</v>
      </c>
      <c r="W871" s="5" t="s">
        <v>355</v>
      </c>
      <c r="X871" s="5" t="str">
        <f>IFERROR(__xludf.DUMMYFUNCTION("""COMPUTED_VALUE"""),"")</f>
        <v/>
      </c>
      <c r="Y871" s="5" t="s">
        <v>355</v>
      </c>
      <c r="Z871" s="5" t="s">
        <v>355</v>
      </c>
      <c r="AB871" s="5" t="s">
        <v>355</v>
      </c>
      <c r="AE871" s="5" t="s">
        <v>355</v>
      </c>
      <c r="AH871" s="5" t="s">
        <v>355</v>
      </c>
    </row>
    <row r="872">
      <c r="S872" s="5" t="s">
        <v>355</v>
      </c>
      <c r="T872" s="5" t="str">
        <f>IFERROR(__xludf.DUMMYFUNCTION("""COMPUTED_VALUE"""),"")</f>
        <v/>
      </c>
      <c r="U872" s="5" t="s">
        <v>355</v>
      </c>
      <c r="V872" s="5" t="s">
        <v>355</v>
      </c>
      <c r="W872" s="5" t="s">
        <v>355</v>
      </c>
      <c r="X872" s="5" t="str">
        <f>IFERROR(__xludf.DUMMYFUNCTION("""COMPUTED_VALUE"""),"")</f>
        <v/>
      </c>
      <c r="Y872" s="5" t="s">
        <v>355</v>
      </c>
      <c r="Z872" s="5" t="s">
        <v>355</v>
      </c>
      <c r="AB872" s="5" t="s">
        <v>355</v>
      </c>
      <c r="AE872" s="5" t="s">
        <v>355</v>
      </c>
      <c r="AH872" s="5" t="s">
        <v>355</v>
      </c>
    </row>
    <row r="873">
      <c r="S873" s="5" t="s">
        <v>355</v>
      </c>
      <c r="T873" s="5" t="str">
        <f>IFERROR(__xludf.DUMMYFUNCTION("""COMPUTED_VALUE"""),"")</f>
        <v/>
      </c>
      <c r="U873" s="5" t="s">
        <v>355</v>
      </c>
      <c r="V873" s="5" t="s">
        <v>355</v>
      </c>
      <c r="W873" s="5" t="s">
        <v>355</v>
      </c>
      <c r="X873" s="5" t="str">
        <f>IFERROR(__xludf.DUMMYFUNCTION("""COMPUTED_VALUE"""),"")</f>
        <v/>
      </c>
      <c r="Y873" s="5" t="s">
        <v>355</v>
      </c>
      <c r="Z873" s="5" t="s">
        <v>355</v>
      </c>
      <c r="AB873" s="5" t="s">
        <v>355</v>
      </c>
      <c r="AE873" s="5" t="s">
        <v>355</v>
      </c>
      <c r="AH873" s="5" t="s">
        <v>355</v>
      </c>
    </row>
    <row r="874">
      <c r="S874" s="5" t="s">
        <v>355</v>
      </c>
      <c r="T874" s="5" t="str">
        <f>IFERROR(__xludf.DUMMYFUNCTION("""COMPUTED_VALUE"""),"")</f>
        <v/>
      </c>
      <c r="U874" s="5" t="s">
        <v>355</v>
      </c>
      <c r="V874" s="5" t="s">
        <v>355</v>
      </c>
      <c r="W874" s="5" t="s">
        <v>355</v>
      </c>
      <c r="X874" s="5" t="str">
        <f>IFERROR(__xludf.DUMMYFUNCTION("""COMPUTED_VALUE"""),"")</f>
        <v/>
      </c>
      <c r="Y874" s="5" t="s">
        <v>355</v>
      </c>
      <c r="Z874" s="5" t="s">
        <v>355</v>
      </c>
      <c r="AB874" s="5" t="s">
        <v>355</v>
      </c>
      <c r="AE874" s="5" t="s">
        <v>355</v>
      </c>
      <c r="AH874" s="5" t="s">
        <v>355</v>
      </c>
    </row>
    <row r="875">
      <c r="S875" s="5" t="s">
        <v>355</v>
      </c>
      <c r="T875" s="5" t="str">
        <f>IFERROR(__xludf.DUMMYFUNCTION("""COMPUTED_VALUE"""),"")</f>
        <v/>
      </c>
      <c r="U875" s="5" t="s">
        <v>355</v>
      </c>
      <c r="V875" s="5" t="s">
        <v>355</v>
      </c>
      <c r="W875" s="5" t="s">
        <v>355</v>
      </c>
      <c r="X875" s="5" t="str">
        <f>IFERROR(__xludf.DUMMYFUNCTION("""COMPUTED_VALUE"""),"")</f>
        <v/>
      </c>
      <c r="Y875" s="5" t="s">
        <v>355</v>
      </c>
      <c r="Z875" s="5" t="s">
        <v>355</v>
      </c>
      <c r="AB875" s="5" t="s">
        <v>355</v>
      </c>
      <c r="AE875" s="5" t="s">
        <v>355</v>
      </c>
      <c r="AH875" s="5" t="s">
        <v>355</v>
      </c>
    </row>
    <row r="876">
      <c r="S876" s="5" t="s">
        <v>355</v>
      </c>
      <c r="T876" s="5" t="str">
        <f>IFERROR(__xludf.DUMMYFUNCTION("""COMPUTED_VALUE"""),"")</f>
        <v/>
      </c>
      <c r="U876" s="5" t="s">
        <v>355</v>
      </c>
      <c r="V876" s="5" t="s">
        <v>355</v>
      </c>
      <c r="W876" s="5" t="s">
        <v>355</v>
      </c>
      <c r="X876" s="5" t="str">
        <f>IFERROR(__xludf.DUMMYFUNCTION("""COMPUTED_VALUE"""),"")</f>
        <v/>
      </c>
      <c r="Y876" s="5" t="s">
        <v>355</v>
      </c>
      <c r="Z876" s="5" t="s">
        <v>355</v>
      </c>
      <c r="AB876" s="5" t="s">
        <v>355</v>
      </c>
      <c r="AE876" s="5" t="s">
        <v>355</v>
      </c>
      <c r="AH876" s="5" t="s">
        <v>355</v>
      </c>
    </row>
    <row r="877">
      <c r="S877" s="5" t="s">
        <v>355</v>
      </c>
      <c r="T877" s="5" t="str">
        <f>IFERROR(__xludf.DUMMYFUNCTION("""COMPUTED_VALUE"""),"")</f>
        <v/>
      </c>
      <c r="U877" s="5" t="s">
        <v>355</v>
      </c>
      <c r="V877" s="5" t="s">
        <v>355</v>
      </c>
      <c r="W877" s="5" t="s">
        <v>355</v>
      </c>
      <c r="X877" s="5" t="str">
        <f>IFERROR(__xludf.DUMMYFUNCTION("""COMPUTED_VALUE"""),"")</f>
        <v/>
      </c>
      <c r="Y877" s="5" t="s">
        <v>355</v>
      </c>
      <c r="Z877" s="5" t="s">
        <v>355</v>
      </c>
      <c r="AB877" s="5" t="s">
        <v>355</v>
      </c>
      <c r="AE877" s="5" t="s">
        <v>355</v>
      </c>
      <c r="AH877" s="5" t="s">
        <v>355</v>
      </c>
    </row>
    <row r="878">
      <c r="S878" s="5" t="s">
        <v>355</v>
      </c>
      <c r="T878" s="5" t="str">
        <f>IFERROR(__xludf.DUMMYFUNCTION("""COMPUTED_VALUE"""),"")</f>
        <v/>
      </c>
      <c r="U878" s="5" t="s">
        <v>355</v>
      </c>
      <c r="V878" s="5" t="s">
        <v>355</v>
      </c>
      <c r="W878" s="5" t="s">
        <v>355</v>
      </c>
      <c r="X878" s="5" t="str">
        <f>IFERROR(__xludf.DUMMYFUNCTION("""COMPUTED_VALUE"""),"")</f>
        <v/>
      </c>
      <c r="Y878" s="5" t="s">
        <v>355</v>
      </c>
      <c r="Z878" s="5" t="s">
        <v>355</v>
      </c>
      <c r="AB878" s="5" t="s">
        <v>355</v>
      </c>
      <c r="AE878" s="5" t="s">
        <v>355</v>
      </c>
      <c r="AH878" s="5" t="s">
        <v>355</v>
      </c>
    </row>
    <row r="879">
      <c r="S879" s="5" t="s">
        <v>355</v>
      </c>
      <c r="T879" s="5" t="str">
        <f>IFERROR(__xludf.DUMMYFUNCTION("""COMPUTED_VALUE"""),"")</f>
        <v/>
      </c>
      <c r="U879" s="5" t="s">
        <v>355</v>
      </c>
      <c r="V879" s="5" t="s">
        <v>355</v>
      </c>
      <c r="W879" s="5" t="s">
        <v>355</v>
      </c>
      <c r="X879" s="5" t="str">
        <f>IFERROR(__xludf.DUMMYFUNCTION("""COMPUTED_VALUE"""),"")</f>
        <v/>
      </c>
      <c r="Y879" s="5" t="s">
        <v>355</v>
      </c>
      <c r="Z879" s="5" t="s">
        <v>355</v>
      </c>
      <c r="AB879" s="5" t="s">
        <v>355</v>
      </c>
      <c r="AE879" s="5" t="s">
        <v>355</v>
      </c>
      <c r="AH879" s="5" t="s">
        <v>355</v>
      </c>
    </row>
    <row r="880">
      <c r="S880" s="5" t="s">
        <v>355</v>
      </c>
      <c r="T880" s="5" t="str">
        <f>IFERROR(__xludf.DUMMYFUNCTION("""COMPUTED_VALUE"""),"")</f>
        <v/>
      </c>
      <c r="U880" s="5" t="s">
        <v>355</v>
      </c>
      <c r="V880" s="5" t="s">
        <v>355</v>
      </c>
      <c r="W880" s="5" t="s">
        <v>355</v>
      </c>
      <c r="X880" s="5" t="str">
        <f>IFERROR(__xludf.DUMMYFUNCTION("""COMPUTED_VALUE"""),"")</f>
        <v/>
      </c>
      <c r="Y880" s="5" t="s">
        <v>355</v>
      </c>
      <c r="Z880" s="5" t="s">
        <v>355</v>
      </c>
      <c r="AB880" s="5" t="s">
        <v>355</v>
      </c>
      <c r="AE880" s="5" t="s">
        <v>355</v>
      </c>
      <c r="AH880" s="5" t="s">
        <v>355</v>
      </c>
    </row>
    <row r="881">
      <c r="S881" s="5" t="s">
        <v>355</v>
      </c>
      <c r="T881" s="5" t="str">
        <f>IFERROR(__xludf.DUMMYFUNCTION("""COMPUTED_VALUE"""),"")</f>
        <v/>
      </c>
      <c r="U881" s="5" t="s">
        <v>355</v>
      </c>
      <c r="V881" s="5" t="s">
        <v>355</v>
      </c>
      <c r="W881" s="5" t="s">
        <v>355</v>
      </c>
      <c r="X881" s="5" t="str">
        <f>IFERROR(__xludf.DUMMYFUNCTION("""COMPUTED_VALUE"""),"")</f>
        <v/>
      </c>
      <c r="Y881" s="5" t="s">
        <v>355</v>
      </c>
      <c r="Z881" s="5" t="s">
        <v>355</v>
      </c>
      <c r="AB881" s="5" t="s">
        <v>355</v>
      </c>
      <c r="AE881" s="5" t="s">
        <v>355</v>
      </c>
      <c r="AH881" s="5" t="s">
        <v>355</v>
      </c>
    </row>
    <row r="882">
      <c r="S882" s="5" t="s">
        <v>355</v>
      </c>
      <c r="T882" s="5" t="str">
        <f>IFERROR(__xludf.DUMMYFUNCTION("""COMPUTED_VALUE"""),"")</f>
        <v/>
      </c>
      <c r="U882" s="5" t="s">
        <v>355</v>
      </c>
      <c r="V882" s="5" t="s">
        <v>355</v>
      </c>
      <c r="W882" s="5" t="s">
        <v>355</v>
      </c>
      <c r="X882" s="5" t="str">
        <f>IFERROR(__xludf.DUMMYFUNCTION("""COMPUTED_VALUE"""),"")</f>
        <v/>
      </c>
      <c r="Y882" s="5" t="s">
        <v>355</v>
      </c>
      <c r="Z882" s="5" t="s">
        <v>355</v>
      </c>
      <c r="AB882" s="5" t="s">
        <v>355</v>
      </c>
      <c r="AE882" s="5" t="s">
        <v>355</v>
      </c>
      <c r="AH882" s="5" t="s">
        <v>355</v>
      </c>
    </row>
    <row r="883">
      <c r="S883" s="5" t="s">
        <v>355</v>
      </c>
      <c r="T883" s="5" t="str">
        <f>IFERROR(__xludf.DUMMYFUNCTION("""COMPUTED_VALUE"""),"")</f>
        <v/>
      </c>
      <c r="U883" s="5" t="s">
        <v>355</v>
      </c>
      <c r="V883" s="5" t="s">
        <v>355</v>
      </c>
      <c r="W883" s="5" t="s">
        <v>355</v>
      </c>
      <c r="X883" s="5" t="str">
        <f>IFERROR(__xludf.DUMMYFUNCTION("""COMPUTED_VALUE"""),"")</f>
        <v/>
      </c>
      <c r="Y883" s="5" t="s">
        <v>355</v>
      </c>
      <c r="Z883" s="5" t="s">
        <v>355</v>
      </c>
      <c r="AB883" s="5" t="s">
        <v>355</v>
      </c>
      <c r="AE883" s="5" t="s">
        <v>355</v>
      </c>
      <c r="AH883" s="5" t="s">
        <v>355</v>
      </c>
    </row>
    <row r="884">
      <c r="S884" s="5" t="s">
        <v>355</v>
      </c>
      <c r="T884" s="5" t="str">
        <f>IFERROR(__xludf.DUMMYFUNCTION("""COMPUTED_VALUE"""),"")</f>
        <v/>
      </c>
      <c r="U884" s="5" t="s">
        <v>355</v>
      </c>
      <c r="V884" s="5" t="s">
        <v>355</v>
      </c>
      <c r="W884" s="5" t="s">
        <v>355</v>
      </c>
      <c r="X884" s="5" t="str">
        <f>IFERROR(__xludf.DUMMYFUNCTION("""COMPUTED_VALUE"""),"")</f>
        <v/>
      </c>
      <c r="Y884" s="5" t="s">
        <v>355</v>
      </c>
      <c r="Z884" s="5" t="s">
        <v>355</v>
      </c>
      <c r="AB884" s="5" t="s">
        <v>355</v>
      </c>
      <c r="AE884" s="5" t="s">
        <v>355</v>
      </c>
      <c r="AH884" s="5" t="s">
        <v>355</v>
      </c>
    </row>
    <row r="885">
      <c r="S885" s="5" t="s">
        <v>355</v>
      </c>
      <c r="T885" s="5" t="str">
        <f>IFERROR(__xludf.DUMMYFUNCTION("""COMPUTED_VALUE"""),"")</f>
        <v/>
      </c>
      <c r="U885" s="5" t="s">
        <v>355</v>
      </c>
      <c r="V885" s="5" t="s">
        <v>355</v>
      </c>
      <c r="W885" s="5" t="s">
        <v>355</v>
      </c>
      <c r="X885" s="5" t="str">
        <f>IFERROR(__xludf.DUMMYFUNCTION("""COMPUTED_VALUE"""),"")</f>
        <v/>
      </c>
      <c r="Y885" s="5" t="s">
        <v>355</v>
      </c>
      <c r="Z885" s="5" t="s">
        <v>355</v>
      </c>
      <c r="AB885" s="5" t="s">
        <v>355</v>
      </c>
      <c r="AE885" s="5" t="s">
        <v>355</v>
      </c>
      <c r="AH885" s="5" t="s">
        <v>355</v>
      </c>
    </row>
    <row r="886">
      <c r="S886" s="5" t="s">
        <v>355</v>
      </c>
      <c r="T886" s="5" t="str">
        <f>IFERROR(__xludf.DUMMYFUNCTION("""COMPUTED_VALUE"""),"")</f>
        <v/>
      </c>
      <c r="U886" s="5" t="s">
        <v>355</v>
      </c>
      <c r="V886" s="5" t="s">
        <v>355</v>
      </c>
      <c r="W886" s="5" t="s">
        <v>355</v>
      </c>
      <c r="X886" s="5" t="str">
        <f>IFERROR(__xludf.DUMMYFUNCTION("""COMPUTED_VALUE"""),"")</f>
        <v/>
      </c>
      <c r="Y886" s="5" t="s">
        <v>355</v>
      </c>
      <c r="Z886" s="5" t="s">
        <v>355</v>
      </c>
      <c r="AB886" s="5" t="s">
        <v>355</v>
      </c>
      <c r="AE886" s="5" t="s">
        <v>355</v>
      </c>
      <c r="AH886" s="5" t="s">
        <v>355</v>
      </c>
    </row>
    <row r="887">
      <c r="S887" s="5" t="s">
        <v>355</v>
      </c>
      <c r="T887" s="5" t="str">
        <f>IFERROR(__xludf.DUMMYFUNCTION("""COMPUTED_VALUE"""),"")</f>
        <v/>
      </c>
      <c r="U887" s="5" t="s">
        <v>355</v>
      </c>
      <c r="V887" s="5" t="s">
        <v>355</v>
      </c>
      <c r="W887" s="5" t="s">
        <v>355</v>
      </c>
      <c r="X887" s="5" t="str">
        <f>IFERROR(__xludf.DUMMYFUNCTION("""COMPUTED_VALUE"""),"")</f>
        <v/>
      </c>
      <c r="Y887" s="5" t="s">
        <v>355</v>
      </c>
      <c r="Z887" s="5" t="s">
        <v>355</v>
      </c>
      <c r="AB887" s="5" t="s">
        <v>355</v>
      </c>
      <c r="AE887" s="5" t="s">
        <v>355</v>
      </c>
      <c r="AH887" s="5" t="s">
        <v>355</v>
      </c>
    </row>
    <row r="888">
      <c r="S888" s="5" t="s">
        <v>355</v>
      </c>
      <c r="T888" s="5" t="str">
        <f>IFERROR(__xludf.DUMMYFUNCTION("""COMPUTED_VALUE"""),"")</f>
        <v/>
      </c>
      <c r="U888" s="5" t="s">
        <v>355</v>
      </c>
      <c r="V888" s="5" t="s">
        <v>355</v>
      </c>
      <c r="W888" s="5" t="s">
        <v>355</v>
      </c>
      <c r="X888" s="5" t="str">
        <f>IFERROR(__xludf.DUMMYFUNCTION("""COMPUTED_VALUE"""),"")</f>
        <v/>
      </c>
      <c r="Y888" s="5" t="s">
        <v>355</v>
      </c>
      <c r="Z888" s="5" t="s">
        <v>355</v>
      </c>
      <c r="AB888" s="5" t="s">
        <v>355</v>
      </c>
      <c r="AE888" s="5" t="s">
        <v>355</v>
      </c>
      <c r="AH888" s="5" t="s">
        <v>355</v>
      </c>
    </row>
    <row r="889">
      <c r="S889" s="5" t="s">
        <v>355</v>
      </c>
      <c r="T889" s="5" t="str">
        <f>IFERROR(__xludf.DUMMYFUNCTION("""COMPUTED_VALUE"""),"")</f>
        <v/>
      </c>
      <c r="U889" s="5" t="s">
        <v>355</v>
      </c>
      <c r="V889" s="5" t="s">
        <v>355</v>
      </c>
      <c r="W889" s="5" t="s">
        <v>355</v>
      </c>
      <c r="X889" s="5" t="str">
        <f>IFERROR(__xludf.DUMMYFUNCTION("""COMPUTED_VALUE"""),"")</f>
        <v/>
      </c>
      <c r="Y889" s="5" t="s">
        <v>355</v>
      </c>
      <c r="Z889" s="5" t="s">
        <v>355</v>
      </c>
      <c r="AB889" s="5" t="s">
        <v>355</v>
      </c>
      <c r="AE889" s="5" t="s">
        <v>355</v>
      </c>
      <c r="AH889" s="5" t="s">
        <v>355</v>
      </c>
    </row>
    <row r="890">
      <c r="S890" s="5" t="s">
        <v>355</v>
      </c>
      <c r="T890" s="5" t="str">
        <f>IFERROR(__xludf.DUMMYFUNCTION("""COMPUTED_VALUE"""),"")</f>
        <v/>
      </c>
      <c r="U890" s="5" t="s">
        <v>355</v>
      </c>
      <c r="V890" s="5" t="s">
        <v>355</v>
      </c>
      <c r="W890" s="5" t="s">
        <v>355</v>
      </c>
      <c r="X890" s="5" t="str">
        <f>IFERROR(__xludf.DUMMYFUNCTION("""COMPUTED_VALUE"""),"")</f>
        <v/>
      </c>
      <c r="Y890" s="5" t="s">
        <v>355</v>
      </c>
      <c r="Z890" s="5" t="s">
        <v>355</v>
      </c>
      <c r="AB890" s="5" t="s">
        <v>355</v>
      </c>
      <c r="AE890" s="5" t="s">
        <v>355</v>
      </c>
      <c r="AH890" s="5" t="s">
        <v>355</v>
      </c>
    </row>
    <row r="891">
      <c r="S891" s="5" t="s">
        <v>355</v>
      </c>
      <c r="T891" s="5" t="str">
        <f>IFERROR(__xludf.DUMMYFUNCTION("""COMPUTED_VALUE"""),"")</f>
        <v/>
      </c>
      <c r="U891" s="5" t="s">
        <v>355</v>
      </c>
      <c r="V891" s="5" t="s">
        <v>355</v>
      </c>
      <c r="W891" s="5" t="s">
        <v>355</v>
      </c>
      <c r="X891" s="5" t="str">
        <f>IFERROR(__xludf.DUMMYFUNCTION("""COMPUTED_VALUE"""),"")</f>
        <v/>
      </c>
      <c r="Y891" s="5" t="s">
        <v>355</v>
      </c>
      <c r="Z891" s="5" t="s">
        <v>355</v>
      </c>
      <c r="AB891" s="5" t="s">
        <v>355</v>
      </c>
      <c r="AE891" s="5" t="s">
        <v>355</v>
      </c>
      <c r="AH891" s="5" t="s">
        <v>355</v>
      </c>
    </row>
    <row r="892">
      <c r="S892" s="5" t="s">
        <v>355</v>
      </c>
      <c r="T892" s="5" t="str">
        <f>IFERROR(__xludf.DUMMYFUNCTION("""COMPUTED_VALUE"""),"")</f>
        <v/>
      </c>
      <c r="U892" s="5" t="s">
        <v>355</v>
      </c>
      <c r="V892" s="5" t="s">
        <v>355</v>
      </c>
      <c r="W892" s="5" t="s">
        <v>355</v>
      </c>
      <c r="X892" s="5" t="str">
        <f>IFERROR(__xludf.DUMMYFUNCTION("""COMPUTED_VALUE"""),"")</f>
        <v/>
      </c>
      <c r="Y892" s="5" t="s">
        <v>355</v>
      </c>
      <c r="Z892" s="5" t="s">
        <v>355</v>
      </c>
      <c r="AB892" s="5" t="s">
        <v>355</v>
      </c>
      <c r="AE892" s="5" t="s">
        <v>355</v>
      </c>
      <c r="AH892" s="5" t="s">
        <v>355</v>
      </c>
    </row>
    <row r="893">
      <c r="S893" s="5" t="s">
        <v>355</v>
      </c>
      <c r="T893" s="5" t="str">
        <f>IFERROR(__xludf.DUMMYFUNCTION("""COMPUTED_VALUE"""),"")</f>
        <v/>
      </c>
      <c r="U893" s="5" t="s">
        <v>355</v>
      </c>
      <c r="V893" s="5" t="s">
        <v>355</v>
      </c>
      <c r="W893" s="5" t="s">
        <v>355</v>
      </c>
      <c r="X893" s="5" t="str">
        <f>IFERROR(__xludf.DUMMYFUNCTION("""COMPUTED_VALUE"""),"")</f>
        <v/>
      </c>
      <c r="Y893" s="5" t="s">
        <v>355</v>
      </c>
      <c r="Z893" s="5" t="s">
        <v>355</v>
      </c>
      <c r="AB893" s="5" t="s">
        <v>355</v>
      </c>
      <c r="AE893" s="5" t="s">
        <v>355</v>
      </c>
      <c r="AH893" s="5" t="s">
        <v>355</v>
      </c>
    </row>
    <row r="894">
      <c r="S894" s="5" t="s">
        <v>355</v>
      </c>
      <c r="T894" s="5" t="str">
        <f>IFERROR(__xludf.DUMMYFUNCTION("""COMPUTED_VALUE"""),"")</f>
        <v/>
      </c>
      <c r="U894" s="5" t="s">
        <v>355</v>
      </c>
      <c r="V894" s="5" t="s">
        <v>355</v>
      </c>
      <c r="W894" s="5" t="s">
        <v>355</v>
      </c>
      <c r="X894" s="5" t="str">
        <f>IFERROR(__xludf.DUMMYFUNCTION("""COMPUTED_VALUE"""),"")</f>
        <v/>
      </c>
      <c r="Y894" s="5" t="s">
        <v>355</v>
      </c>
      <c r="Z894" s="5" t="s">
        <v>355</v>
      </c>
      <c r="AB894" s="5" t="s">
        <v>355</v>
      </c>
      <c r="AE894" s="5" t="s">
        <v>355</v>
      </c>
      <c r="AH894" s="5" t="s">
        <v>355</v>
      </c>
    </row>
    <row r="895">
      <c r="S895" s="5" t="s">
        <v>355</v>
      </c>
      <c r="T895" s="5" t="str">
        <f>IFERROR(__xludf.DUMMYFUNCTION("""COMPUTED_VALUE"""),"")</f>
        <v/>
      </c>
      <c r="U895" s="5" t="s">
        <v>355</v>
      </c>
      <c r="V895" s="5" t="s">
        <v>355</v>
      </c>
      <c r="W895" s="5" t="s">
        <v>355</v>
      </c>
      <c r="X895" s="5" t="str">
        <f>IFERROR(__xludf.DUMMYFUNCTION("""COMPUTED_VALUE"""),"")</f>
        <v/>
      </c>
      <c r="Y895" s="5" t="s">
        <v>355</v>
      </c>
      <c r="Z895" s="5" t="s">
        <v>355</v>
      </c>
      <c r="AB895" s="5" t="s">
        <v>355</v>
      </c>
      <c r="AE895" s="5" t="s">
        <v>355</v>
      </c>
      <c r="AH895" s="5" t="s">
        <v>355</v>
      </c>
    </row>
    <row r="896">
      <c r="S896" s="5" t="s">
        <v>355</v>
      </c>
      <c r="T896" s="5" t="str">
        <f>IFERROR(__xludf.DUMMYFUNCTION("""COMPUTED_VALUE"""),"")</f>
        <v/>
      </c>
      <c r="U896" s="5" t="s">
        <v>355</v>
      </c>
      <c r="V896" s="5" t="s">
        <v>355</v>
      </c>
      <c r="W896" s="5" t="s">
        <v>355</v>
      </c>
      <c r="X896" s="5" t="str">
        <f>IFERROR(__xludf.DUMMYFUNCTION("""COMPUTED_VALUE"""),"")</f>
        <v/>
      </c>
      <c r="Y896" s="5" t="s">
        <v>355</v>
      </c>
      <c r="Z896" s="5" t="s">
        <v>355</v>
      </c>
      <c r="AB896" s="5" t="s">
        <v>355</v>
      </c>
      <c r="AE896" s="5" t="s">
        <v>355</v>
      </c>
      <c r="AH896" s="5" t="s">
        <v>355</v>
      </c>
    </row>
    <row r="897">
      <c r="S897" s="5" t="s">
        <v>355</v>
      </c>
      <c r="T897" s="5" t="str">
        <f>IFERROR(__xludf.DUMMYFUNCTION("""COMPUTED_VALUE"""),"")</f>
        <v/>
      </c>
      <c r="U897" s="5" t="s">
        <v>355</v>
      </c>
      <c r="V897" s="5" t="s">
        <v>355</v>
      </c>
      <c r="W897" s="5" t="s">
        <v>355</v>
      </c>
      <c r="X897" s="5" t="str">
        <f>IFERROR(__xludf.DUMMYFUNCTION("""COMPUTED_VALUE"""),"")</f>
        <v/>
      </c>
      <c r="Y897" s="5" t="s">
        <v>355</v>
      </c>
      <c r="Z897" s="5" t="s">
        <v>355</v>
      </c>
      <c r="AB897" s="5" t="s">
        <v>355</v>
      </c>
      <c r="AE897" s="5" t="s">
        <v>355</v>
      </c>
      <c r="AH897" s="5" t="s">
        <v>355</v>
      </c>
    </row>
    <row r="898">
      <c r="S898" s="5" t="s">
        <v>355</v>
      </c>
      <c r="T898" s="5" t="str">
        <f>IFERROR(__xludf.DUMMYFUNCTION("""COMPUTED_VALUE"""),"")</f>
        <v/>
      </c>
      <c r="U898" s="5" t="s">
        <v>355</v>
      </c>
      <c r="V898" s="5" t="s">
        <v>355</v>
      </c>
      <c r="W898" s="5" t="s">
        <v>355</v>
      </c>
      <c r="X898" s="5" t="str">
        <f>IFERROR(__xludf.DUMMYFUNCTION("""COMPUTED_VALUE"""),"")</f>
        <v/>
      </c>
      <c r="Y898" s="5" t="s">
        <v>355</v>
      </c>
      <c r="Z898" s="5" t="s">
        <v>355</v>
      </c>
      <c r="AB898" s="5" t="s">
        <v>355</v>
      </c>
      <c r="AE898" s="5" t="s">
        <v>355</v>
      </c>
      <c r="AH898" s="5" t="s">
        <v>355</v>
      </c>
    </row>
    <row r="899">
      <c r="S899" s="5" t="s">
        <v>355</v>
      </c>
      <c r="T899" s="5" t="str">
        <f>IFERROR(__xludf.DUMMYFUNCTION("""COMPUTED_VALUE"""),"")</f>
        <v/>
      </c>
      <c r="U899" s="5" t="s">
        <v>355</v>
      </c>
      <c r="V899" s="5" t="s">
        <v>355</v>
      </c>
      <c r="W899" s="5" t="s">
        <v>355</v>
      </c>
      <c r="X899" s="5" t="str">
        <f>IFERROR(__xludf.DUMMYFUNCTION("""COMPUTED_VALUE"""),"")</f>
        <v/>
      </c>
      <c r="Y899" s="5" t="s">
        <v>355</v>
      </c>
      <c r="Z899" s="5" t="s">
        <v>355</v>
      </c>
      <c r="AB899" s="5" t="s">
        <v>355</v>
      </c>
      <c r="AE899" s="5" t="s">
        <v>355</v>
      </c>
      <c r="AH899" s="5" t="s">
        <v>355</v>
      </c>
    </row>
    <row r="900">
      <c r="S900" s="5" t="s">
        <v>355</v>
      </c>
      <c r="T900" s="5" t="str">
        <f>IFERROR(__xludf.DUMMYFUNCTION("""COMPUTED_VALUE"""),"")</f>
        <v/>
      </c>
      <c r="U900" s="5" t="s">
        <v>355</v>
      </c>
      <c r="V900" s="5" t="s">
        <v>355</v>
      </c>
      <c r="W900" s="5" t="s">
        <v>355</v>
      </c>
      <c r="X900" s="5" t="str">
        <f>IFERROR(__xludf.DUMMYFUNCTION("""COMPUTED_VALUE"""),"")</f>
        <v/>
      </c>
      <c r="Y900" s="5" t="s">
        <v>355</v>
      </c>
      <c r="Z900" s="5" t="s">
        <v>355</v>
      </c>
      <c r="AB900" s="5" t="s">
        <v>355</v>
      </c>
      <c r="AE900" s="5" t="s">
        <v>355</v>
      </c>
      <c r="AH900" s="5" t="s">
        <v>355</v>
      </c>
    </row>
    <row r="901">
      <c r="S901" s="5" t="s">
        <v>355</v>
      </c>
      <c r="T901" s="5" t="str">
        <f>IFERROR(__xludf.DUMMYFUNCTION("""COMPUTED_VALUE"""),"")</f>
        <v/>
      </c>
      <c r="U901" s="5" t="s">
        <v>355</v>
      </c>
      <c r="V901" s="5" t="s">
        <v>355</v>
      </c>
      <c r="W901" s="5" t="s">
        <v>355</v>
      </c>
      <c r="X901" s="5" t="str">
        <f>IFERROR(__xludf.DUMMYFUNCTION("""COMPUTED_VALUE"""),"")</f>
        <v/>
      </c>
      <c r="Y901" s="5" t="s">
        <v>355</v>
      </c>
      <c r="Z901" s="5" t="s">
        <v>355</v>
      </c>
      <c r="AB901" s="5" t="s">
        <v>355</v>
      </c>
      <c r="AE901" s="5" t="s">
        <v>355</v>
      </c>
      <c r="AH901" s="5" t="s">
        <v>355</v>
      </c>
    </row>
    <row r="902">
      <c r="S902" s="5" t="s">
        <v>355</v>
      </c>
      <c r="T902" s="5" t="str">
        <f>IFERROR(__xludf.DUMMYFUNCTION("""COMPUTED_VALUE"""),"")</f>
        <v/>
      </c>
      <c r="U902" s="5" t="s">
        <v>355</v>
      </c>
      <c r="V902" s="5" t="s">
        <v>355</v>
      </c>
      <c r="W902" s="5" t="s">
        <v>355</v>
      </c>
      <c r="X902" s="5" t="str">
        <f>IFERROR(__xludf.DUMMYFUNCTION("""COMPUTED_VALUE"""),"")</f>
        <v/>
      </c>
      <c r="Y902" s="5" t="s">
        <v>355</v>
      </c>
      <c r="Z902" s="5" t="s">
        <v>355</v>
      </c>
      <c r="AB902" s="5" t="s">
        <v>355</v>
      </c>
      <c r="AE902" s="5" t="s">
        <v>355</v>
      </c>
      <c r="AH902" s="5" t="s">
        <v>355</v>
      </c>
    </row>
    <row r="903">
      <c r="S903" s="5" t="s">
        <v>355</v>
      </c>
      <c r="T903" s="5" t="str">
        <f>IFERROR(__xludf.DUMMYFUNCTION("""COMPUTED_VALUE"""),"")</f>
        <v/>
      </c>
      <c r="U903" s="5" t="s">
        <v>355</v>
      </c>
      <c r="V903" s="5" t="s">
        <v>355</v>
      </c>
      <c r="W903" s="5" t="s">
        <v>355</v>
      </c>
      <c r="X903" s="5" t="str">
        <f>IFERROR(__xludf.DUMMYFUNCTION("""COMPUTED_VALUE"""),"")</f>
        <v/>
      </c>
      <c r="Y903" s="5" t="s">
        <v>355</v>
      </c>
      <c r="Z903" s="5" t="s">
        <v>355</v>
      </c>
      <c r="AB903" s="5" t="s">
        <v>355</v>
      </c>
      <c r="AE903" s="5" t="s">
        <v>355</v>
      </c>
      <c r="AH903" s="5" t="s">
        <v>355</v>
      </c>
    </row>
    <row r="904">
      <c r="S904" s="5" t="s">
        <v>355</v>
      </c>
      <c r="T904" s="5" t="str">
        <f>IFERROR(__xludf.DUMMYFUNCTION("""COMPUTED_VALUE"""),"")</f>
        <v/>
      </c>
      <c r="U904" s="5" t="s">
        <v>355</v>
      </c>
      <c r="V904" s="5" t="s">
        <v>355</v>
      </c>
      <c r="W904" s="5" t="s">
        <v>355</v>
      </c>
      <c r="X904" s="5" t="str">
        <f>IFERROR(__xludf.DUMMYFUNCTION("""COMPUTED_VALUE"""),"")</f>
        <v/>
      </c>
      <c r="Y904" s="5" t="s">
        <v>355</v>
      </c>
      <c r="Z904" s="5" t="s">
        <v>355</v>
      </c>
      <c r="AB904" s="5" t="s">
        <v>355</v>
      </c>
      <c r="AE904" s="5" t="s">
        <v>355</v>
      </c>
      <c r="AH904" s="5" t="s">
        <v>355</v>
      </c>
    </row>
    <row r="905">
      <c r="S905" s="5" t="s">
        <v>355</v>
      </c>
      <c r="T905" s="5" t="str">
        <f>IFERROR(__xludf.DUMMYFUNCTION("""COMPUTED_VALUE"""),"")</f>
        <v/>
      </c>
      <c r="U905" s="5" t="s">
        <v>355</v>
      </c>
      <c r="V905" s="5" t="s">
        <v>355</v>
      </c>
      <c r="W905" s="5" t="s">
        <v>355</v>
      </c>
      <c r="X905" s="5" t="str">
        <f>IFERROR(__xludf.DUMMYFUNCTION("""COMPUTED_VALUE"""),"")</f>
        <v/>
      </c>
      <c r="Y905" s="5" t="s">
        <v>355</v>
      </c>
      <c r="Z905" s="5" t="s">
        <v>355</v>
      </c>
      <c r="AB905" s="5" t="s">
        <v>355</v>
      </c>
      <c r="AE905" s="5" t="s">
        <v>355</v>
      </c>
      <c r="AH905" s="5" t="s">
        <v>355</v>
      </c>
    </row>
    <row r="906">
      <c r="S906" s="5" t="s">
        <v>355</v>
      </c>
      <c r="T906" s="5" t="str">
        <f>IFERROR(__xludf.DUMMYFUNCTION("""COMPUTED_VALUE"""),"")</f>
        <v/>
      </c>
      <c r="U906" s="5" t="s">
        <v>355</v>
      </c>
      <c r="V906" s="5" t="s">
        <v>355</v>
      </c>
      <c r="W906" s="5" t="s">
        <v>355</v>
      </c>
      <c r="X906" s="5" t="str">
        <f>IFERROR(__xludf.DUMMYFUNCTION("""COMPUTED_VALUE"""),"")</f>
        <v/>
      </c>
      <c r="Y906" s="5" t="s">
        <v>355</v>
      </c>
      <c r="Z906" s="5" t="s">
        <v>355</v>
      </c>
      <c r="AB906" s="5" t="s">
        <v>355</v>
      </c>
      <c r="AE906" s="5" t="s">
        <v>355</v>
      </c>
      <c r="AH906" s="5" t="s">
        <v>355</v>
      </c>
    </row>
    <row r="907">
      <c r="S907" s="5" t="s">
        <v>355</v>
      </c>
      <c r="T907" s="5" t="str">
        <f>IFERROR(__xludf.DUMMYFUNCTION("""COMPUTED_VALUE"""),"")</f>
        <v/>
      </c>
      <c r="U907" s="5" t="s">
        <v>355</v>
      </c>
      <c r="V907" s="5" t="s">
        <v>355</v>
      </c>
      <c r="W907" s="5" t="s">
        <v>355</v>
      </c>
      <c r="X907" s="5" t="str">
        <f>IFERROR(__xludf.DUMMYFUNCTION("""COMPUTED_VALUE"""),"")</f>
        <v/>
      </c>
      <c r="Y907" s="5" t="s">
        <v>355</v>
      </c>
      <c r="Z907" s="5" t="s">
        <v>355</v>
      </c>
      <c r="AB907" s="5" t="s">
        <v>355</v>
      </c>
      <c r="AE907" s="5" t="s">
        <v>355</v>
      </c>
      <c r="AH907" s="5" t="s">
        <v>355</v>
      </c>
    </row>
    <row r="908">
      <c r="S908" s="5" t="s">
        <v>355</v>
      </c>
      <c r="T908" s="5" t="str">
        <f>IFERROR(__xludf.DUMMYFUNCTION("""COMPUTED_VALUE"""),"")</f>
        <v/>
      </c>
      <c r="U908" s="5" t="s">
        <v>355</v>
      </c>
      <c r="V908" s="5" t="s">
        <v>355</v>
      </c>
      <c r="W908" s="5" t="s">
        <v>355</v>
      </c>
      <c r="X908" s="5" t="str">
        <f>IFERROR(__xludf.DUMMYFUNCTION("""COMPUTED_VALUE"""),"")</f>
        <v/>
      </c>
      <c r="Y908" s="5" t="s">
        <v>355</v>
      </c>
      <c r="Z908" s="5" t="s">
        <v>355</v>
      </c>
      <c r="AB908" s="5" t="s">
        <v>355</v>
      </c>
      <c r="AE908" s="5" t="s">
        <v>355</v>
      </c>
      <c r="AH908" s="5" t="s">
        <v>355</v>
      </c>
    </row>
    <row r="909">
      <c r="S909" s="5" t="s">
        <v>355</v>
      </c>
      <c r="T909" s="5" t="str">
        <f>IFERROR(__xludf.DUMMYFUNCTION("""COMPUTED_VALUE"""),"")</f>
        <v/>
      </c>
      <c r="U909" s="5" t="s">
        <v>355</v>
      </c>
      <c r="V909" s="5" t="s">
        <v>355</v>
      </c>
      <c r="W909" s="5" t="s">
        <v>355</v>
      </c>
      <c r="X909" s="5" t="str">
        <f>IFERROR(__xludf.DUMMYFUNCTION("""COMPUTED_VALUE"""),"")</f>
        <v/>
      </c>
      <c r="Y909" s="5" t="s">
        <v>355</v>
      </c>
      <c r="Z909" s="5" t="s">
        <v>355</v>
      </c>
      <c r="AB909" s="5" t="s">
        <v>355</v>
      </c>
      <c r="AE909" s="5" t="s">
        <v>355</v>
      </c>
      <c r="AH909" s="5" t="s">
        <v>355</v>
      </c>
    </row>
    <row r="910">
      <c r="S910" s="5" t="s">
        <v>355</v>
      </c>
      <c r="T910" s="5" t="str">
        <f>IFERROR(__xludf.DUMMYFUNCTION("""COMPUTED_VALUE"""),"")</f>
        <v/>
      </c>
      <c r="U910" s="5" t="s">
        <v>355</v>
      </c>
      <c r="V910" s="5" t="s">
        <v>355</v>
      </c>
      <c r="W910" s="5" t="s">
        <v>355</v>
      </c>
      <c r="X910" s="5" t="str">
        <f>IFERROR(__xludf.DUMMYFUNCTION("""COMPUTED_VALUE"""),"")</f>
        <v/>
      </c>
      <c r="Y910" s="5" t="s">
        <v>355</v>
      </c>
      <c r="Z910" s="5" t="s">
        <v>355</v>
      </c>
      <c r="AB910" s="5" t="s">
        <v>355</v>
      </c>
      <c r="AE910" s="5" t="s">
        <v>355</v>
      </c>
      <c r="AH910" s="5" t="s">
        <v>355</v>
      </c>
    </row>
    <row r="911">
      <c r="S911" s="5" t="s">
        <v>355</v>
      </c>
      <c r="T911" s="5" t="str">
        <f>IFERROR(__xludf.DUMMYFUNCTION("""COMPUTED_VALUE"""),"")</f>
        <v/>
      </c>
      <c r="U911" s="5" t="s">
        <v>355</v>
      </c>
      <c r="V911" s="5" t="s">
        <v>355</v>
      </c>
      <c r="W911" s="5" t="s">
        <v>355</v>
      </c>
      <c r="X911" s="5" t="str">
        <f>IFERROR(__xludf.DUMMYFUNCTION("""COMPUTED_VALUE"""),"")</f>
        <v/>
      </c>
      <c r="Y911" s="5" t="s">
        <v>355</v>
      </c>
      <c r="Z911" s="5" t="s">
        <v>355</v>
      </c>
      <c r="AB911" s="5" t="s">
        <v>355</v>
      </c>
      <c r="AE911" s="5" t="s">
        <v>355</v>
      </c>
      <c r="AH911" s="5" t="s">
        <v>355</v>
      </c>
    </row>
    <row r="912">
      <c r="S912" s="5" t="s">
        <v>355</v>
      </c>
      <c r="T912" s="5" t="str">
        <f>IFERROR(__xludf.DUMMYFUNCTION("""COMPUTED_VALUE"""),"")</f>
        <v/>
      </c>
      <c r="U912" s="5" t="s">
        <v>355</v>
      </c>
      <c r="V912" s="5" t="s">
        <v>355</v>
      </c>
      <c r="W912" s="5" t="s">
        <v>355</v>
      </c>
      <c r="X912" s="5" t="str">
        <f>IFERROR(__xludf.DUMMYFUNCTION("""COMPUTED_VALUE"""),"")</f>
        <v/>
      </c>
      <c r="Y912" s="5" t="s">
        <v>355</v>
      </c>
      <c r="Z912" s="5" t="s">
        <v>355</v>
      </c>
      <c r="AB912" s="5" t="s">
        <v>355</v>
      </c>
      <c r="AE912" s="5" t="s">
        <v>355</v>
      </c>
      <c r="AH912" s="5" t="s">
        <v>355</v>
      </c>
    </row>
    <row r="913">
      <c r="S913" s="5" t="s">
        <v>355</v>
      </c>
      <c r="T913" s="5" t="str">
        <f>IFERROR(__xludf.DUMMYFUNCTION("""COMPUTED_VALUE"""),"")</f>
        <v/>
      </c>
      <c r="U913" s="5" t="s">
        <v>355</v>
      </c>
      <c r="V913" s="5" t="s">
        <v>355</v>
      </c>
      <c r="W913" s="5" t="s">
        <v>355</v>
      </c>
      <c r="X913" s="5" t="str">
        <f>IFERROR(__xludf.DUMMYFUNCTION("""COMPUTED_VALUE"""),"")</f>
        <v/>
      </c>
      <c r="Y913" s="5" t="s">
        <v>355</v>
      </c>
      <c r="Z913" s="5" t="s">
        <v>355</v>
      </c>
      <c r="AB913" s="5" t="s">
        <v>355</v>
      </c>
      <c r="AE913" s="5" t="s">
        <v>355</v>
      </c>
      <c r="AH913" s="5" t="s">
        <v>355</v>
      </c>
    </row>
    <row r="914">
      <c r="S914" s="5" t="s">
        <v>355</v>
      </c>
      <c r="T914" s="5" t="str">
        <f>IFERROR(__xludf.DUMMYFUNCTION("""COMPUTED_VALUE"""),"")</f>
        <v/>
      </c>
      <c r="U914" s="5" t="s">
        <v>355</v>
      </c>
      <c r="V914" s="5" t="s">
        <v>355</v>
      </c>
      <c r="W914" s="5" t="s">
        <v>355</v>
      </c>
      <c r="X914" s="5" t="str">
        <f>IFERROR(__xludf.DUMMYFUNCTION("""COMPUTED_VALUE"""),"")</f>
        <v/>
      </c>
      <c r="Y914" s="5" t="s">
        <v>355</v>
      </c>
      <c r="Z914" s="5" t="s">
        <v>355</v>
      </c>
      <c r="AB914" s="5" t="s">
        <v>355</v>
      </c>
      <c r="AE914" s="5" t="s">
        <v>355</v>
      </c>
      <c r="AH914" s="5" t="s">
        <v>355</v>
      </c>
    </row>
    <row r="915">
      <c r="S915" s="5" t="s">
        <v>355</v>
      </c>
      <c r="T915" s="5" t="str">
        <f>IFERROR(__xludf.DUMMYFUNCTION("""COMPUTED_VALUE"""),"")</f>
        <v/>
      </c>
      <c r="U915" s="5" t="s">
        <v>355</v>
      </c>
      <c r="V915" s="5" t="s">
        <v>355</v>
      </c>
      <c r="W915" s="5" t="s">
        <v>355</v>
      </c>
      <c r="X915" s="5" t="str">
        <f>IFERROR(__xludf.DUMMYFUNCTION("""COMPUTED_VALUE"""),"")</f>
        <v/>
      </c>
      <c r="Y915" s="5" t="s">
        <v>355</v>
      </c>
      <c r="Z915" s="5" t="s">
        <v>355</v>
      </c>
      <c r="AB915" s="5" t="s">
        <v>355</v>
      </c>
      <c r="AE915" s="5" t="s">
        <v>355</v>
      </c>
      <c r="AH915" s="5" t="s">
        <v>355</v>
      </c>
    </row>
    <row r="916">
      <c r="S916" s="5" t="s">
        <v>355</v>
      </c>
      <c r="T916" s="5" t="str">
        <f>IFERROR(__xludf.DUMMYFUNCTION("""COMPUTED_VALUE"""),"")</f>
        <v/>
      </c>
      <c r="U916" s="5" t="s">
        <v>355</v>
      </c>
      <c r="V916" s="5" t="s">
        <v>355</v>
      </c>
      <c r="W916" s="5" t="s">
        <v>355</v>
      </c>
      <c r="X916" s="5" t="str">
        <f>IFERROR(__xludf.DUMMYFUNCTION("""COMPUTED_VALUE"""),"")</f>
        <v/>
      </c>
      <c r="Y916" s="5" t="s">
        <v>355</v>
      </c>
      <c r="Z916" s="5" t="s">
        <v>355</v>
      </c>
      <c r="AB916" s="5" t="s">
        <v>355</v>
      </c>
      <c r="AE916" s="5" t="s">
        <v>355</v>
      </c>
      <c r="AH916" s="5" t="s">
        <v>355</v>
      </c>
    </row>
    <row r="917">
      <c r="S917" s="5" t="s">
        <v>355</v>
      </c>
      <c r="T917" s="5" t="str">
        <f>IFERROR(__xludf.DUMMYFUNCTION("""COMPUTED_VALUE"""),"")</f>
        <v/>
      </c>
      <c r="U917" s="5" t="s">
        <v>355</v>
      </c>
      <c r="V917" s="5" t="s">
        <v>355</v>
      </c>
      <c r="W917" s="5" t="s">
        <v>355</v>
      </c>
      <c r="X917" s="5" t="str">
        <f>IFERROR(__xludf.DUMMYFUNCTION("""COMPUTED_VALUE"""),"")</f>
        <v/>
      </c>
      <c r="Y917" s="5" t="s">
        <v>355</v>
      </c>
      <c r="Z917" s="5" t="s">
        <v>355</v>
      </c>
      <c r="AB917" s="5" t="s">
        <v>355</v>
      </c>
      <c r="AE917" s="5" t="s">
        <v>355</v>
      </c>
      <c r="AH917" s="5" t="s">
        <v>355</v>
      </c>
    </row>
    <row r="918">
      <c r="S918" s="5" t="s">
        <v>355</v>
      </c>
      <c r="T918" s="5" t="str">
        <f>IFERROR(__xludf.DUMMYFUNCTION("""COMPUTED_VALUE"""),"")</f>
        <v/>
      </c>
      <c r="U918" s="5" t="s">
        <v>355</v>
      </c>
      <c r="V918" s="5" t="s">
        <v>355</v>
      </c>
      <c r="W918" s="5" t="s">
        <v>355</v>
      </c>
      <c r="X918" s="5" t="str">
        <f>IFERROR(__xludf.DUMMYFUNCTION("""COMPUTED_VALUE"""),"")</f>
        <v/>
      </c>
      <c r="Y918" s="5" t="s">
        <v>355</v>
      </c>
      <c r="Z918" s="5" t="s">
        <v>355</v>
      </c>
      <c r="AB918" s="5" t="s">
        <v>355</v>
      </c>
      <c r="AE918" s="5" t="s">
        <v>355</v>
      </c>
      <c r="AH918" s="5" t="s">
        <v>355</v>
      </c>
    </row>
    <row r="919">
      <c r="S919" s="5" t="s">
        <v>355</v>
      </c>
      <c r="T919" s="5" t="str">
        <f>IFERROR(__xludf.DUMMYFUNCTION("""COMPUTED_VALUE"""),"")</f>
        <v/>
      </c>
      <c r="U919" s="5" t="s">
        <v>355</v>
      </c>
      <c r="V919" s="5" t="s">
        <v>355</v>
      </c>
      <c r="W919" s="5" t="s">
        <v>355</v>
      </c>
      <c r="X919" s="5" t="str">
        <f>IFERROR(__xludf.DUMMYFUNCTION("""COMPUTED_VALUE"""),"")</f>
        <v/>
      </c>
      <c r="Y919" s="5" t="s">
        <v>355</v>
      </c>
      <c r="Z919" s="5" t="s">
        <v>355</v>
      </c>
      <c r="AB919" s="5" t="s">
        <v>355</v>
      </c>
      <c r="AE919" s="5" t="s">
        <v>355</v>
      </c>
      <c r="AH919" s="5" t="s">
        <v>355</v>
      </c>
    </row>
    <row r="920">
      <c r="S920" s="5" t="s">
        <v>355</v>
      </c>
      <c r="T920" s="5" t="str">
        <f>IFERROR(__xludf.DUMMYFUNCTION("""COMPUTED_VALUE"""),"")</f>
        <v/>
      </c>
      <c r="U920" s="5" t="s">
        <v>355</v>
      </c>
      <c r="V920" s="5" t="s">
        <v>355</v>
      </c>
      <c r="W920" s="5" t="s">
        <v>355</v>
      </c>
      <c r="X920" s="5" t="str">
        <f>IFERROR(__xludf.DUMMYFUNCTION("""COMPUTED_VALUE"""),"")</f>
        <v/>
      </c>
      <c r="Y920" s="5" t="s">
        <v>355</v>
      </c>
      <c r="Z920" s="5" t="s">
        <v>355</v>
      </c>
      <c r="AB920" s="5" t="s">
        <v>355</v>
      </c>
      <c r="AE920" s="5" t="s">
        <v>355</v>
      </c>
      <c r="AH920" s="5" t="s">
        <v>355</v>
      </c>
    </row>
    <row r="921">
      <c r="S921" s="5" t="s">
        <v>355</v>
      </c>
      <c r="T921" s="5" t="str">
        <f>IFERROR(__xludf.DUMMYFUNCTION("""COMPUTED_VALUE"""),"")</f>
        <v/>
      </c>
      <c r="U921" s="5" t="s">
        <v>355</v>
      </c>
      <c r="V921" s="5" t="s">
        <v>355</v>
      </c>
      <c r="W921" s="5" t="s">
        <v>355</v>
      </c>
      <c r="X921" s="5" t="str">
        <f>IFERROR(__xludf.DUMMYFUNCTION("""COMPUTED_VALUE"""),"")</f>
        <v/>
      </c>
      <c r="Y921" s="5" t="s">
        <v>355</v>
      </c>
      <c r="Z921" s="5" t="s">
        <v>355</v>
      </c>
      <c r="AB921" s="5" t="s">
        <v>355</v>
      </c>
      <c r="AE921" s="5" t="s">
        <v>355</v>
      </c>
      <c r="AH921" s="5" t="s">
        <v>355</v>
      </c>
    </row>
    <row r="922">
      <c r="S922" s="5" t="s">
        <v>355</v>
      </c>
      <c r="T922" s="5" t="str">
        <f>IFERROR(__xludf.DUMMYFUNCTION("""COMPUTED_VALUE"""),"")</f>
        <v/>
      </c>
      <c r="U922" s="5" t="s">
        <v>355</v>
      </c>
      <c r="V922" s="5" t="s">
        <v>355</v>
      </c>
      <c r="W922" s="5" t="s">
        <v>355</v>
      </c>
      <c r="X922" s="5" t="str">
        <f>IFERROR(__xludf.DUMMYFUNCTION("""COMPUTED_VALUE"""),"")</f>
        <v/>
      </c>
      <c r="Y922" s="5" t="s">
        <v>355</v>
      </c>
      <c r="Z922" s="5" t="s">
        <v>355</v>
      </c>
      <c r="AB922" s="5" t="s">
        <v>355</v>
      </c>
      <c r="AE922" s="5" t="s">
        <v>355</v>
      </c>
      <c r="AH922" s="5" t="s">
        <v>355</v>
      </c>
    </row>
    <row r="923">
      <c r="S923" s="5" t="s">
        <v>355</v>
      </c>
      <c r="T923" s="5" t="str">
        <f>IFERROR(__xludf.DUMMYFUNCTION("""COMPUTED_VALUE"""),"")</f>
        <v/>
      </c>
      <c r="U923" s="5" t="s">
        <v>355</v>
      </c>
      <c r="V923" s="5" t="s">
        <v>355</v>
      </c>
      <c r="W923" s="5" t="s">
        <v>355</v>
      </c>
      <c r="X923" s="5" t="str">
        <f>IFERROR(__xludf.DUMMYFUNCTION("""COMPUTED_VALUE"""),"")</f>
        <v/>
      </c>
      <c r="Y923" s="5" t="s">
        <v>355</v>
      </c>
      <c r="Z923" s="5" t="s">
        <v>355</v>
      </c>
      <c r="AB923" s="5" t="s">
        <v>355</v>
      </c>
      <c r="AE923" s="5" t="s">
        <v>355</v>
      </c>
      <c r="AH923" s="5" t="s">
        <v>355</v>
      </c>
    </row>
    <row r="924">
      <c r="S924" s="5" t="s">
        <v>355</v>
      </c>
      <c r="T924" s="5" t="str">
        <f>IFERROR(__xludf.DUMMYFUNCTION("""COMPUTED_VALUE"""),"")</f>
        <v/>
      </c>
      <c r="U924" s="5" t="s">
        <v>355</v>
      </c>
      <c r="V924" s="5" t="s">
        <v>355</v>
      </c>
      <c r="W924" s="5" t="s">
        <v>355</v>
      </c>
      <c r="X924" s="5" t="str">
        <f>IFERROR(__xludf.DUMMYFUNCTION("""COMPUTED_VALUE"""),"")</f>
        <v/>
      </c>
      <c r="Y924" s="5" t="s">
        <v>355</v>
      </c>
      <c r="Z924" s="5" t="s">
        <v>355</v>
      </c>
      <c r="AB924" s="5" t="s">
        <v>355</v>
      </c>
      <c r="AE924" s="5" t="s">
        <v>355</v>
      </c>
      <c r="AH924" s="5" t="s">
        <v>355</v>
      </c>
    </row>
    <row r="925">
      <c r="S925" s="5" t="s">
        <v>355</v>
      </c>
      <c r="T925" s="5" t="str">
        <f>IFERROR(__xludf.DUMMYFUNCTION("""COMPUTED_VALUE"""),"")</f>
        <v/>
      </c>
      <c r="U925" s="5" t="s">
        <v>355</v>
      </c>
      <c r="V925" s="5" t="s">
        <v>355</v>
      </c>
      <c r="W925" s="5" t="s">
        <v>355</v>
      </c>
      <c r="X925" s="5" t="str">
        <f>IFERROR(__xludf.DUMMYFUNCTION("""COMPUTED_VALUE"""),"")</f>
        <v/>
      </c>
      <c r="Y925" s="5" t="s">
        <v>355</v>
      </c>
      <c r="Z925" s="5" t="s">
        <v>355</v>
      </c>
      <c r="AB925" s="5" t="s">
        <v>355</v>
      </c>
      <c r="AE925" s="5" t="s">
        <v>355</v>
      </c>
      <c r="AH925" s="5" t="s">
        <v>355</v>
      </c>
    </row>
    <row r="926">
      <c r="S926" s="5" t="s">
        <v>355</v>
      </c>
      <c r="T926" s="5" t="str">
        <f>IFERROR(__xludf.DUMMYFUNCTION("""COMPUTED_VALUE"""),"")</f>
        <v/>
      </c>
      <c r="U926" s="5" t="s">
        <v>355</v>
      </c>
      <c r="V926" s="5" t="s">
        <v>355</v>
      </c>
      <c r="W926" s="5" t="s">
        <v>355</v>
      </c>
      <c r="X926" s="5" t="str">
        <f>IFERROR(__xludf.DUMMYFUNCTION("""COMPUTED_VALUE"""),"")</f>
        <v/>
      </c>
      <c r="Y926" s="5" t="s">
        <v>355</v>
      </c>
      <c r="Z926" s="5" t="s">
        <v>355</v>
      </c>
      <c r="AB926" s="5" t="s">
        <v>355</v>
      </c>
      <c r="AE926" s="5" t="s">
        <v>355</v>
      </c>
      <c r="AH926" s="5" t="s">
        <v>355</v>
      </c>
    </row>
    <row r="927">
      <c r="S927" s="5" t="s">
        <v>355</v>
      </c>
      <c r="T927" s="5" t="str">
        <f>IFERROR(__xludf.DUMMYFUNCTION("""COMPUTED_VALUE"""),"")</f>
        <v/>
      </c>
      <c r="U927" s="5" t="s">
        <v>355</v>
      </c>
      <c r="V927" s="5" t="s">
        <v>355</v>
      </c>
      <c r="W927" s="5" t="s">
        <v>355</v>
      </c>
      <c r="X927" s="5" t="str">
        <f>IFERROR(__xludf.DUMMYFUNCTION("""COMPUTED_VALUE"""),"")</f>
        <v/>
      </c>
      <c r="Y927" s="5" t="s">
        <v>355</v>
      </c>
      <c r="Z927" s="5" t="s">
        <v>355</v>
      </c>
      <c r="AB927" s="5" t="s">
        <v>355</v>
      </c>
      <c r="AE927" s="5" t="s">
        <v>355</v>
      </c>
      <c r="AH927" s="5" t="s">
        <v>355</v>
      </c>
    </row>
    <row r="928">
      <c r="S928" s="5" t="s">
        <v>355</v>
      </c>
      <c r="T928" s="5" t="str">
        <f>IFERROR(__xludf.DUMMYFUNCTION("""COMPUTED_VALUE"""),"")</f>
        <v/>
      </c>
      <c r="U928" s="5" t="s">
        <v>355</v>
      </c>
      <c r="V928" s="5" t="s">
        <v>355</v>
      </c>
      <c r="W928" s="5" t="s">
        <v>355</v>
      </c>
      <c r="X928" s="5" t="str">
        <f>IFERROR(__xludf.DUMMYFUNCTION("""COMPUTED_VALUE"""),"")</f>
        <v/>
      </c>
      <c r="Y928" s="5" t="s">
        <v>355</v>
      </c>
      <c r="Z928" s="5" t="s">
        <v>355</v>
      </c>
      <c r="AB928" s="5" t="s">
        <v>355</v>
      </c>
      <c r="AE928" s="5" t="s">
        <v>355</v>
      </c>
      <c r="AH928" s="5" t="s">
        <v>355</v>
      </c>
    </row>
    <row r="929">
      <c r="S929" s="5" t="s">
        <v>355</v>
      </c>
      <c r="T929" s="5" t="str">
        <f>IFERROR(__xludf.DUMMYFUNCTION("""COMPUTED_VALUE"""),"")</f>
        <v/>
      </c>
      <c r="U929" s="5" t="s">
        <v>355</v>
      </c>
      <c r="V929" s="5" t="s">
        <v>355</v>
      </c>
      <c r="W929" s="5" t="s">
        <v>355</v>
      </c>
      <c r="X929" s="5" t="str">
        <f>IFERROR(__xludf.DUMMYFUNCTION("""COMPUTED_VALUE"""),"")</f>
        <v/>
      </c>
      <c r="Y929" s="5" t="s">
        <v>355</v>
      </c>
      <c r="Z929" s="5" t="s">
        <v>355</v>
      </c>
      <c r="AB929" s="5" t="s">
        <v>355</v>
      </c>
      <c r="AE929" s="5" t="s">
        <v>355</v>
      </c>
      <c r="AH929" s="5" t="s">
        <v>355</v>
      </c>
    </row>
    <row r="930">
      <c r="S930" s="5" t="s">
        <v>355</v>
      </c>
      <c r="T930" s="5" t="str">
        <f>IFERROR(__xludf.DUMMYFUNCTION("""COMPUTED_VALUE"""),"")</f>
        <v/>
      </c>
      <c r="U930" s="5" t="s">
        <v>355</v>
      </c>
      <c r="V930" s="5" t="s">
        <v>355</v>
      </c>
      <c r="W930" s="5" t="s">
        <v>355</v>
      </c>
      <c r="X930" s="5" t="str">
        <f>IFERROR(__xludf.DUMMYFUNCTION("""COMPUTED_VALUE"""),"")</f>
        <v/>
      </c>
      <c r="Y930" s="5" t="s">
        <v>355</v>
      </c>
      <c r="Z930" s="5" t="s">
        <v>355</v>
      </c>
      <c r="AB930" s="5" t="s">
        <v>355</v>
      </c>
      <c r="AE930" s="5" t="s">
        <v>355</v>
      </c>
      <c r="AH930" s="5" t="s">
        <v>355</v>
      </c>
    </row>
    <row r="931">
      <c r="S931" s="5" t="s">
        <v>355</v>
      </c>
      <c r="T931" s="5" t="str">
        <f>IFERROR(__xludf.DUMMYFUNCTION("""COMPUTED_VALUE"""),"")</f>
        <v/>
      </c>
      <c r="U931" s="5" t="s">
        <v>355</v>
      </c>
      <c r="V931" s="5" t="s">
        <v>355</v>
      </c>
      <c r="W931" s="5" t="s">
        <v>355</v>
      </c>
      <c r="X931" s="5" t="str">
        <f>IFERROR(__xludf.DUMMYFUNCTION("""COMPUTED_VALUE"""),"")</f>
        <v/>
      </c>
      <c r="Y931" s="5" t="s">
        <v>355</v>
      </c>
      <c r="Z931" s="5" t="s">
        <v>355</v>
      </c>
      <c r="AB931" s="5" t="s">
        <v>355</v>
      </c>
      <c r="AE931" s="5" t="s">
        <v>355</v>
      </c>
      <c r="AH931" s="5" t="s">
        <v>355</v>
      </c>
    </row>
    <row r="932">
      <c r="S932" s="5" t="s">
        <v>355</v>
      </c>
      <c r="T932" s="5" t="str">
        <f>IFERROR(__xludf.DUMMYFUNCTION("""COMPUTED_VALUE"""),"")</f>
        <v/>
      </c>
      <c r="U932" s="5" t="s">
        <v>355</v>
      </c>
      <c r="V932" s="5" t="s">
        <v>355</v>
      </c>
      <c r="W932" s="5" t="s">
        <v>355</v>
      </c>
      <c r="X932" s="5" t="str">
        <f>IFERROR(__xludf.DUMMYFUNCTION("""COMPUTED_VALUE"""),"")</f>
        <v/>
      </c>
      <c r="Y932" s="5" t="s">
        <v>355</v>
      </c>
      <c r="Z932" s="5" t="s">
        <v>355</v>
      </c>
      <c r="AB932" s="5" t="s">
        <v>355</v>
      </c>
      <c r="AE932" s="5" t="s">
        <v>355</v>
      </c>
      <c r="AH932" s="5" t="s">
        <v>355</v>
      </c>
    </row>
    <row r="933">
      <c r="S933" s="5" t="s">
        <v>355</v>
      </c>
      <c r="T933" s="5" t="str">
        <f>IFERROR(__xludf.DUMMYFUNCTION("""COMPUTED_VALUE"""),"")</f>
        <v/>
      </c>
      <c r="U933" s="5" t="s">
        <v>355</v>
      </c>
      <c r="V933" s="5" t="s">
        <v>355</v>
      </c>
      <c r="W933" s="5" t="s">
        <v>355</v>
      </c>
      <c r="X933" s="5" t="str">
        <f>IFERROR(__xludf.DUMMYFUNCTION("""COMPUTED_VALUE"""),"")</f>
        <v/>
      </c>
      <c r="Y933" s="5" t="s">
        <v>355</v>
      </c>
      <c r="Z933" s="5" t="s">
        <v>355</v>
      </c>
      <c r="AB933" s="5" t="s">
        <v>355</v>
      </c>
      <c r="AE933" s="5" t="s">
        <v>355</v>
      </c>
      <c r="AH933" s="5" t="s">
        <v>355</v>
      </c>
    </row>
    <row r="934">
      <c r="S934" s="5" t="s">
        <v>355</v>
      </c>
      <c r="T934" s="5" t="str">
        <f>IFERROR(__xludf.DUMMYFUNCTION("""COMPUTED_VALUE"""),"")</f>
        <v/>
      </c>
      <c r="U934" s="5" t="s">
        <v>355</v>
      </c>
      <c r="V934" s="5" t="s">
        <v>355</v>
      </c>
      <c r="W934" s="5" t="s">
        <v>355</v>
      </c>
      <c r="X934" s="5" t="str">
        <f>IFERROR(__xludf.DUMMYFUNCTION("""COMPUTED_VALUE"""),"")</f>
        <v/>
      </c>
      <c r="Y934" s="5" t="s">
        <v>355</v>
      </c>
      <c r="Z934" s="5" t="s">
        <v>355</v>
      </c>
      <c r="AB934" s="5" t="s">
        <v>355</v>
      </c>
      <c r="AE934" s="5" t="s">
        <v>355</v>
      </c>
      <c r="AH934" s="5" t="s">
        <v>355</v>
      </c>
    </row>
    <row r="935">
      <c r="S935" s="5" t="s">
        <v>355</v>
      </c>
      <c r="T935" s="5" t="str">
        <f>IFERROR(__xludf.DUMMYFUNCTION("""COMPUTED_VALUE"""),"")</f>
        <v/>
      </c>
      <c r="U935" s="5" t="s">
        <v>355</v>
      </c>
      <c r="V935" s="5" t="s">
        <v>355</v>
      </c>
      <c r="W935" s="5" t="s">
        <v>355</v>
      </c>
      <c r="X935" s="5" t="str">
        <f>IFERROR(__xludf.DUMMYFUNCTION("""COMPUTED_VALUE"""),"")</f>
        <v/>
      </c>
      <c r="Y935" s="5" t="s">
        <v>355</v>
      </c>
      <c r="Z935" s="5" t="s">
        <v>355</v>
      </c>
      <c r="AB935" s="5" t="s">
        <v>355</v>
      </c>
      <c r="AE935" s="5" t="s">
        <v>355</v>
      </c>
      <c r="AH935" s="5" t="s">
        <v>355</v>
      </c>
    </row>
    <row r="936">
      <c r="S936" s="5" t="s">
        <v>355</v>
      </c>
      <c r="T936" s="5" t="str">
        <f>IFERROR(__xludf.DUMMYFUNCTION("""COMPUTED_VALUE"""),"")</f>
        <v/>
      </c>
      <c r="U936" s="5" t="s">
        <v>355</v>
      </c>
      <c r="V936" s="5" t="s">
        <v>355</v>
      </c>
      <c r="W936" s="5" t="s">
        <v>355</v>
      </c>
      <c r="X936" s="5" t="str">
        <f>IFERROR(__xludf.DUMMYFUNCTION("""COMPUTED_VALUE"""),"")</f>
        <v/>
      </c>
      <c r="Y936" s="5" t="s">
        <v>355</v>
      </c>
      <c r="Z936" s="5" t="s">
        <v>355</v>
      </c>
      <c r="AB936" s="5" t="s">
        <v>355</v>
      </c>
      <c r="AE936" s="5" t="s">
        <v>355</v>
      </c>
      <c r="AH936" s="5" t="s">
        <v>355</v>
      </c>
    </row>
    <row r="937">
      <c r="S937" s="5" t="s">
        <v>355</v>
      </c>
      <c r="T937" s="5" t="str">
        <f>IFERROR(__xludf.DUMMYFUNCTION("""COMPUTED_VALUE"""),"")</f>
        <v/>
      </c>
      <c r="U937" s="5" t="s">
        <v>355</v>
      </c>
      <c r="V937" s="5" t="s">
        <v>355</v>
      </c>
      <c r="W937" s="5" t="s">
        <v>355</v>
      </c>
      <c r="X937" s="5" t="str">
        <f>IFERROR(__xludf.DUMMYFUNCTION("""COMPUTED_VALUE"""),"")</f>
        <v/>
      </c>
      <c r="Y937" s="5" t="s">
        <v>355</v>
      </c>
      <c r="Z937" s="5" t="s">
        <v>355</v>
      </c>
      <c r="AB937" s="5" t="s">
        <v>355</v>
      </c>
      <c r="AE937" s="5" t="s">
        <v>355</v>
      </c>
      <c r="AH937" s="5" t="s">
        <v>355</v>
      </c>
    </row>
    <row r="938">
      <c r="S938" s="5" t="s">
        <v>355</v>
      </c>
      <c r="T938" s="5" t="str">
        <f>IFERROR(__xludf.DUMMYFUNCTION("""COMPUTED_VALUE"""),"")</f>
        <v/>
      </c>
      <c r="U938" s="5" t="s">
        <v>355</v>
      </c>
      <c r="V938" s="5" t="s">
        <v>355</v>
      </c>
      <c r="W938" s="5" t="s">
        <v>355</v>
      </c>
      <c r="X938" s="5" t="str">
        <f>IFERROR(__xludf.DUMMYFUNCTION("""COMPUTED_VALUE"""),"")</f>
        <v/>
      </c>
      <c r="Y938" s="5" t="s">
        <v>355</v>
      </c>
      <c r="Z938" s="5" t="s">
        <v>355</v>
      </c>
      <c r="AB938" s="5" t="s">
        <v>355</v>
      </c>
      <c r="AE938" s="5" t="s">
        <v>355</v>
      </c>
      <c r="AH938" s="5" t="s">
        <v>355</v>
      </c>
    </row>
    <row r="939">
      <c r="S939" s="5" t="s">
        <v>355</v>
      </c>
      <c r="T939" s="5" t="str">
        <f>IFERROR(__xludf.DUMMYFUNCTION("""COMPUTED_VALUE"""),"")</f>
        <v/>
      </c>
      <c r="U939" s="5" t="s">
        <v>355</v>
      </c>
      <c r="V939" s="5" t="s">
        <v>355</v>
      </c>
      <c r="W939" s="5" t="s">
        <v>355</v>
      </c>
      <c r="X939" s="5" t="str">
        <f>IFERROR(__xludf.DUMMYFUNCTION("""COMPUTED_VALUE"""),"")</f>
        <v/>
      </c>
      <c r="Y939" s="5" t="s">
        <v>355</v>
      </c>
      <c r="Z939" s="5" t="s">
        <v>355</v>
      </c>
      <c r="AB939" s="5" t="s">
        <v>355</v>
      </c>
      <c r="AE939" s="5" t="s">
        <v>355</v>
      </c>
      <c r="AH939" s="5" t="s">
        <v>355</v>
      </c>
    </row>
    <row r="940">
      <c r="S940" s="5" t="s">
        <v>355</v>
      </c>
      <c r="T940" s="5" t="str">
        <f>IFERROR(__xludf.DUMMYFUNCTION("""COMPUTED_VALUE"""),"")</f>
        <v/>
      </c>
      <c r="U940" s="5" t="s">
        <v>355</v>
      </c>
      <c r="V940" s="5" t="s">
        <v>355</v>
      </c>
      <c r="W940" s="5" t="s">
        <v>355</v>
      </c>
      <c r="X940" s="5" t="str">
        <f>IFERROR(__xludf.DUMMYFUNCTION("""COMPUTED_VALUE"""),"")</f>
        <v/>
      </c>
      <c r="Y940" s="5" t="s">
        <v>355</v>
      </c>
      <c r="Z940" s="5" t="s">
        <v>355</v>
      </c>
      <c r="AB940" s="5" t="s">
        <v>355</v>
      </c>
      <c r="AE940" s="5" t="s">
        <v>355</v>
      </c>
      <c r="AH940" s="5" t="s">
        <v>355</v>
      </c>
    </row>
    <row r="941">
      <c r="S941" s="5" t="s">
        <v>355</v>
      </c>
      <c r="T941" s="5" t="str">
        <f>IFERROR(__xludf.DUMMYFUNCTION("""COMPUTED_VALUE"""),"")</f>
        <v/>
      </c>
      <c r="U941" s="5" t="s">
        <v>355</v>
      </c>
      <c r="V941" s="5" t="s">
        <v>355</v>
      </c>
      <c r="W941" s="5" t="s">
        <v>355</v>
      </c>
      <c r="X941" s="5" t="str">
        <f>IFERROR(__xludf.DUMMYFUNCTION("""COMPUTED_VALUE"""),"")</f>
        <v/>
      </c>
      <c r="Y941" s="5" t="s">
        <v>355</v>
      </c>
      <c r="Z941" s="5" t="s">
        <v>355</v>
      </c>
      <c r="AB941" s="5" t="s">
        <v>355</v>
      </c>
      <c r="AE941" s="5" t="s">
        <v>355</v>
      </c>
      <c r="AH941" s="5" t="s">
        <v>355</v>
      </c>
    </row>
    <row r="942">
      <c r="S942" s="5" t="s">
        <v>355</v>
      </c>
      <c r="T942" s="5" t="str">
        <f>IFERROR(__xludf.DUMMYFUNCTION("""COMPUTED_VALUE"""),"")</f>
        <v/>
      </c>
      <c r="U942" s="5" t="s">
        <v>355</v>
      </c>
      <c r="V942" s="5" t="s">
        <v>355</v>
      </c>
      <c r="W942" s="5" t="s">
        <v>355</v>
      </c>
      <c r="X942" s="5" t="str">
        <f>IFERROR(__xludf.DUMMYFUNCTION("""COMPUTED_VALUE"""),"")</f>
        <v/>
      </c>
      <c r="Y942" s="5" t="s">
        <v>355</v>
      </c>
      <c r="Z942" s="5" t="s">
        <v>355</v>
      </c>
      <c r="AB942" s="5" t="s">
        <v>355</v>
      </c>
      <c r="AE942" s="5" t="s">
        <v>355</v>
      </c>
      <c r="AH942" s="5" t="s">
        <v>355</v>
      </c>
    </row>
    <row r="943">
      <c r="S943" s="5" t="s">
        <v>355</v>
      </c>
      <c r="T943" s="5" t="str">
        <f>IFERROR(__xludf.DUMMYFUNCTION("""COMPUTED_VALUE"""),"")</f>
        <v/>
      </c>
      <c r="U943" s="5" t="s">
        <v>355</v>
      </c>
      <c r="V943" s="5" t="s">
        <v>355</v>
      </c>
      <c r="W943" s="5" t="s">
        <v>355</v>
      </c>
      <c r="X943" s="5" t="str">
        <f>IFERROR(__xludf.DUMMYFUNCTION("""COMPUTED_VALUE"""),"")</f>
        <v/>
      </c>
      <c r="Y943" s="5" t="s">
        <v>355</v>
      </c>
      <c r="Z943" s="5" t="s">
        <v>355</v>
      </c>
      <c r="AB943" s="5" t="s">
        <v>355</v>
      </c>
      <c r="AE943" s="5" t="s">
        <v>355</v>
      </c>
      <c r="AH943" s="5" t="s">
        <v>355</v>
      </c>
    </row>
    <row r="944">
      <c r="S944" s="5" t="s">
        <v>355</v>
      </c>
      <c r="T944" s="5" t="str">
        <f>IFERROR(__xludf.DUMMYFUNCTION("""COMPUTED_VALUE"""),"")</f>
        <v/>
      </c>
      <c r="U944" s="5" t="s">
        <v>355</v>
      </c>
      <c r="V944" s="5" t="s">
        <v>355</v>
      </c>
      <c r="W944" s="5" t="s">
        <v>355</v>
      </c>
      <c r="X944" s="5" t="str">
        <f>IFERROR(__xludf.DUMMYFUNCTION("""COMPUTED_VALUE"""),"")</f>
        <v/>
      </c>
      <c r="Y944" s="5" t="s">
        <v>355</v>
      </c>
      <c r="Z944" s="5" t="s">
        <v>355</v>
      </c>
      <c r="AB944" s="5" t="s">
        <v>355</v>
      </c>
      <c r="AE944" s="5" t="s">
        <v>355</v>
      </c>
      <c r="AH944" s="5" t="s">
        <v>355</v>
      </c>
    </row>
    <row r="945">
      <c r="S945" s="5" t="s">
        <v>355</v>
      </c>
      <c r="T945" s="5" t="str">
        <f>IFERROR(__xludf.DUMMYFUNCTION("""COMPUTED_VALUE"""),"")</f>
        <v/>
      </c>
      <c r="U945" s="5" t="s">
        <v>355</v>
      </c>
      <c r="V945" s="5" t="s">
        <v>355</v>
      </c>
      <c r="W945" s="5" t="s">
        <v>355</v>
      </c>
      <c r="X945" s="5" t="str">
        <f>IFERROR(__xludf.DUMMYFUNCTION("""COMPUTED_VALUE"""),"")</f>
        <v/>
      </c>
      <c r="Y945" s="5" t="s">
        <v>355</v>
      </c>
      <c r="Z945" s="5" t="s">
        <v>355</v>
      </c>
      <c r="AB945" s="5" t="s">
        <v>355</v>
      </c>
      <c r="AE945" s="5" t="s">
        <v>355</v>
      </c>
      <c r="AH945" s="5" t="s">
        <v>355</v>
      </c>
    </row>
    <row r="946">
      <c r="S946" s="5" t="s">
        <v>355</v>
      </c>
      <c r="T946" s="5" t="str">
        <f>IFERROR(__xludf.DUMMYFUNCTION("""COMPUTED_VALUE"""),"")</f>
        <v/>
      </c>
      <c r="U946" s="5" t="s">
        <v>355</v>
      </c>
      <c r="V946" s="5" t="s">
        <v>355</v>
      </c>
      <c r="W946" s="5" t="s">
        <v>355</v>
      </c>
      <c r="X946" s="5" t="str">
        <f>IFERROR(__xludf.DUMMYFUNCTION("""COMPUTED_VALUE"""),"")</f>
        <v/>
      </c>
      <c r="Y946" s="5" t="s">
        <v>355</v>
      </c>
      <c r="Z946" s="5" t="s">
        <v>355</v>
      </c>
      <c r="AB946" s="5" t="s">
        <v>355</v>
      </c>
      <c r="AE946" s="5" t="s">
        <v>355</v>
      </c>
      <c r="AH946" s="5" t="s">
        <v>355</v>
      </c>
    </row>
    <row r="947">
      <c r="S947" s="5" t="s">
        <v>355</v>
      </c>
      <c r="T947" s="5" t="str">
        <f>IFERROR(__xludf.DUMMYFUNCTION("""COMPUTED_VALUE"""),"")</f>
        <v/>
      </c>
      <c r="U947" s="5" t="s">
        <v>355</v>
      </c>
      <c r="V947" s="5" t="s">
        <v>355</v>
      </c>
      <c r="W947" s="5" t="s">
        <v>355</v>
      </c>
      <c r="X947" s="5" t="str">
        <f>IFERROR(__xludf.DUMMYFUNCTION("""COMPUTED_VALUE"""),"")</f>
        <v/>
      </c>
      <c r="Y947" s="5" t="s">
        <v>355</v>
      </c>
      <c r="Z947" s="5" t="s">
        <v>355</v>
      </c>
      <c r="AB947" s="5" t="s">
        <v>355</v>
      </c>
      <c r="AE947" s="5" t="s">
        <v>355</v>
      </c>
      <c r="AH947" s="5" t="s">
        <v>355</v>
      </c>
    </row>
    <row r="948">
      <c r="S948" s="5" t="s">
        <v>355</v>
      </c>
      <c r="T948" s="5" t="str">
        <f>IFERROR(__xludf.DUMMYFUNCTION("""COMPUTED_VALUE"""),"")</f>
        <v/>
      </c>
      <c r="U948" s="5" t="s">
        <v>355</v>
      </c>
      <c r="V948" s="5" t="s">
        <v>355</v>
      </c>
      <c r="W948" s="5" t="s">
        <v>355</v>
      </c>
      <c r="X948" s="5" t="str">
        <f>IFERROR(__xludf.DUMMYFUNCTION("""COMPUTED_VALUE"""),"")</f>
        <v/>
      </c>
      <c r="Y948" s="5" t="s">
        <v>355</v>
      </c>
      <c r="Z948" s="5" t="s">
        <v>355</v>
      </c>
      <c r="AB948" s="5" t="s">
        <v>355</v>
      </c>
      <c r="AE948" s="5" t="s">
        <v>355</v>
      </c>
      <c r="AH948" s="5" t="s">
        <v>355</v>
      </c>
    </row>
    <row r="949">
      <c r="S949" s="5" t="s">
        <v>355</v>
      </c>
      <c r="T949" s="5" t="str">
        <f>IFERROR(__xludf.DUMMYFUNCTION("""COMPUTED_VALUE"""),"")</f>
        <v/>
      </c>
      <c r="U949" s="5" t="s">
        <v>355</v>
      </c>
      <c r="V949" s="5" t="s">
        <v>355</v>
      </c>
      <c r="W949" s="5" t="s">
        <v>355</v>
      </c>
      <c r="X949" s="5" t="str">
        <f>IFERROR(__xludf.DUMMYFUNCTION("""COMPUTED_VALUE"""),"")</f>
        <v/>
      </c>
      <c r="Y949" s="5" t="s">
        <v>355</v>
      </c>
      <c r="Z949" s="5" t="s">
        <v>355</v>
      </c>
      <c r="AB949" s="5" t="s">
        <v>355</v>
      </c>
      <c r="AE949" s="5" t="s">
        <v>355</v>
      </c>
      <c r="AH949" s="5" t="s">
        <v>355</v>
      </c>
    </row>
    <row r="950">
      <c r="S950" s="5" t="s">
        <v>355</v>
      </c>
      <c r="T950" s="5" t="str">
        <f>IFERROR(__xludf.DUMMYFUNCTION("""COMPUTED_VALUE"""),"")</f>
        <v/>
      </c>
      <c r="U950" s="5" t="s">
        <v>355</v>
      </c>
      <c r="V950" s="5" t="s">
        <v>355</v>
      </c>
      <c r="W950" s="5" t="s">
        <v>355</v>
      </c>
      <c r="X950" s="5" t="str">
        <f>IFERROR(__xludf.DUMMYFUNCTION("""COMPUTED_VALUE"""),"")</f>
        <v/>
      </c>
      <c r="Y950" s="5" t="s">
        <v>355</v>
      </c>
      <c r="Z950" s="5" t="s">
        <v>355</v>
      </c>
      <c r="AB950" s="5" t="s">
        <v>355</v>
      </c>
      <c r="AE950" s="5" t="s">
        <v>355</v>
      </c>
      <c r="AH950" s="5" t="s">
        <v>355</v>
      </c>
    </row>
    <row r="951">
      <c r="S951" s="5" t="s">
        <v>355</v>
      </c>
      <c r="T951" s="5" t="str">
        <f>IFERROR(__xludf.DUMMYFUNCTION("""COMPUTED_VALUE"""),"")</f>
        <v/>
      </c>
      <c r="U951" s="5" t="s">
        <v>355</v>
      </c>
      <c r="V951" s="5" t="s">
        <v>355</v>
      </c>
      <c r="W951" s="5" t="s">
        <v>355</v>
      </c>
      <c r="X951" s="5" t="str">
        <f>IFERROR(__xludf.DUMMYFUNCTION("""COMPUTED_VALUE"""),"")</f>
        <v/>
      </c>
      <c r="Y951" s="5" t="s">
        <v>355</v>
      </c>
      <c r="Z951" s="5" t="s">
        <v>355</v>
      </c>
      <c r="AB951" s="5" t="s">
        <v>355</v>
      </c>
      <c r="AE951" s="5" t="s">
        <v>355</v>
      </c>
      <c r="AH951" s="5" t="s">
        <v>355</v>
      </c>
    </row>
    <row r="952">
      <c r="S952" s="5" t="s">
        <v>355</v>
      </c>
      <c r="T952" s="5" t="str">
        <f>IFERROR(__xludf.DUMMYFUNCTION("""COMPUTED_VALUE"""),"")</f>
        <v/>
      </c>
      <c r="U952" s="5" t="s">
        <v>355</v>
      </c>
      <c r="V952" s="5" t="s">
        <v>355</v>
      </c>
      <c r="W952" s="5" t="s">
        <v>355</v>
      </c>
      <c r="X952" s="5" t="str">
        <f>IFERROR(__xludf.DUMMYFUNCTION("""COMPUTED_VALUE"""),"")</f>
        <v/>
      </c>
      <c r="Y952" s="5" t="s">
        <v>355</v>
      </c>
      <c r="Z952" s="5" t="s">
        <v>355</v>
      </c>
      <c r="AB952" s="5" t="s">
        <v>355</v>
      </c>
      <c r="AE952" s="5" t="s">
        <v>355</v>
      </c>
      <c r="AH952" s="5" t="s">
        <v>355</v>
      </c>
    </row>
    <row r="953">
      <c r="S953" s="5" t="s">
        <v>355</v>
      </c>
      <c r="T953" s="5" t="str">
        <f>IFERROR(__xludf.DUMMYFUNCTION("""COMPUTED_VALUE"""),"")</f>
        <v/>
      </c>
      <c r="U953" s="5" t="s">
        <v>355</v>
      </c>
      <c r="V953" s="5" t="s">
        <v>355</v>
      </c>
      <c r="W953" s="5" t="s">
        <v>355</v>
      </c>
      <c r="X953" s="5" t="str">
        <f>IFERROR(__xludf.DUMMYFUNCTION("""COMPUTED_VALUE"""),"")</f>
        <v/>
      </c>
      <c r="Y953" s="5" t="s">
        <v>355</v>
      </c>
      <c r="Z953" s="5" t="s">
        <v>355</v>
      </c>
      <c r="AB953" s="5" t="s">
        <v>355</v>
      </c>
      <c r="AE953" s="5" t="s">
        <v>355</v>
      </c>
      <c r="AH953" s="5" t="s">
        <v>355</v>
      </c>
    </row>
    <row r="954">
      <c r="S954" s="5" t="s">
        <v>355</v>
      </c>
      <c r="T954" s="5" t="str">
        <f>IFERROR(__xludf.DUMMYFUNCTION("""COMPUTED_VALUE"""),"")</f>
        <v/>
      </c>
      <c r="U954" s="5" t="s">
        <v>355</v>
      </c>
      <c r="V954" s="5" t="s">
        <v>355</v>
      </c>
      <c r="W954" s="5" t="s">
        <v>355</v>
      </c>
      <c r="X954" s="5" t="str">
        <f>IFERROR(__xludf.DUMMYFUNCTION("""COMPUTED_VALUE"""),"")</f>
        <v/>
      </c>
      <c r="Y954" s="5" t="s">
        <v>355</v>
      </c>
      <c r="Z954" s="5" t="s">
        <v>355</v>
      </c>
      <c r="AB954" s="5" t="s">
        <v>355</v>
      </c>
      <c r="AE954" s="5" t="s">
        <v>355</v>
      </c>
      <c r="AH954" s="5" t="s">
        <v>355</v>
      </c>
    </row>
    <row r="955">
      <c r="S955" s="5" t="s">
        <v>355</v>
      </c>
      <c r="T955" s="5" t="str">
        <f>IFERROR(__xludf.DUMMYFUNCTION("""COMPUTED_VALUE"""),"")</f>
        <v/>
      </c>
      <c r="U955" s="5" t="s">
        <v>355</v>
      </c>
      <c r="V955" s="5" t="s">
        <v>355</v>
      </c>
      <c r="W955" s="5" t="s">
        <v>355</v>
      </c>
      <c r="X955" s="5" t="str">
        <f>IFERROR(__xludf.DUMMYFUNCTION("""COMPUTED_VALUE"""),"")</f>
        <v/>
      </c>
      <c r="Y955" s="5" t="s">
        <v>355</v>
      </c>
      <c r="Z955" s="5" t="s">
        <v>355</v>
      </c>
      <c r="AB955" s="5" t="s">
        <v>355</v>
      </c>
      <c r="AE955" s="5" t="s">
        <v>355</v>
      </c>
      <c r="AH955" s="5" t="s">
        <v>355</v>
      </c>
    </row>
    <row r="956">
      <c r="S956" s="5" t="s">
        <v>355</v>
      </c>
      <c r="T956" s="5" t="str">
        <f>IFERROR(__xludf.DUMMYFUNCTION("""COMPUTED_VALUE"""),"")</f>
        <v/>
      </c>
      <c r="U956" s="5" t="s">
        <v>355</v>
      </c>
      <c r="V956" s="5" t="s">
        <v>355</v>
      </c>
      <c r="W956" s="5" t="s">
        <v>355</v>
      </c>
      <c r="X956" s="5" t="str">
        <f>IFERROR(__xludf.DUMMYFUNCTION("""COMPUTED_VALUE"""),"")</f>
        <v/>
      </c>
      <c r="Y956" s="5" t="s">
        <v>355</v>
      </c>
      <c r="Z956" s="5" t="s">
        <v>355</v>
      </c>
      <c r="AB956" s="5" t="s">
        <v>355</v>
      </c>
      <c r="AE956" s="5" t="s">
        <v>355</v>
      </c>
      <c r="AH956" s="5" t="s">
        <v>355</v>
      </c>
    </row>
    <row r="957">
      <c r="S957" s="5" t="s">
        <v>355</v>
      </c>
      <c r="T957" s="5" t="str">
        <f>IFERROR(__xludf.DUMMYFUNCTION("""COMPUTED_VALUE"""),"")</f>
        <v/>
      </c>
      <c r="U957" s="5" t="s">
        <v>355</v>
      </c>
      <c r="V957" s="5" t="s">
        <v>355</v>
      </c>
      <c r="W957" s="5" t="s">
        <v>355</v>
      </c>
      <c r="X957" s="5" t="str">
        <f>IFERROR(__xludf.DUMMYFUNCTION("""COMPUTED_VALUE"""),"")</f>
        <v/>
      </c>
      <c r="Y957" s="5" t="s">
        <v>355</v>
      </c>
      <c r="Z957" s="5" t="s">
        <v>355</v>
      </c>
      <c r="AB957" s="5" t="s">
        <v>355</v>
      </c>
      <c r="AE957" s="5" t="s">
        <v>355</v>
      </c>
      <c r="AH957" s="5" t="s">
        <v>355</v>
      </c>
    </row>
    <row r="958">
      <c r="S958" s="5" t="s">
        <v>355</v>
      </c>
      <c r="T958" s="5" t="str">
        <f>IFERROR(__xludf.DUMMYFUNCTION("""COMPUTED_VALUE"""),"")</f>
        <v/>
      </c>
      <c r="U958" s="5" t="s">
        <v>355</v>
      </c>
      <c r="V958" s="5" t="s">
        <v>355</v>
      </c>
      <c r="W958" s="5" t="s">
        <v>355</v>
      </c>
      <c r="X958" s="5" t="str">
        <f>IFERROR(__xludf.DUMMYFUNCTION("""COMPUTED_VALUE"""),"")</f>
        <v/>
      </c>
      <c r="Y958" s="5" t="s">
        <v>355</v>
      </c>
      <c r="Z958" s="5" t="s">
        <v>355</v>
      </c>
      <c r="AB958" s="5" t="s">
        <v>355</v>
      </c>
      <c r="AE958" s="5" t="s">
        <v>355</v>
      </c>
      <c r="AH958" s="5" t="s">
        <v>355</v>
      </c>
    </row>
    <row r="959">
      <c r="S959" s="5" t="s">
        <v>355</v>
      </c>
      <c r="T959" s="5" t="str">
        <f>IFERROR(__xludf.DUMMYFUNCTION("""COMPUTED_VALUE"""),"")</f>
        <v/>
      </c>
      <c r="U959" s="5" t="s">
        <v>355</v>
      </c>
      <c r="V959" s="5" t="s">
        <v>355</v>
      </c>
      <c r="W959" s="5" t="s">
        <v>355</v>
      </c>
      <c r="X959" s="5" t="str">
        <f>IFERROR(__xludf.DUMMYFUNCTION("""COMPUTED_VALUE"""),"")</f>
        <v/>
      </c>
      <c r="Y959" s="5" t="s">
        <v>355</v>
      </c>
      <c r="Z959" s="5" t="s">
        <v>355</v>
      </c>
      <c r="AB959" s="5" t="s">
        <v>355</v>
      </c>
      <c r="AE959" s="5" t="s">
        <v>355</v>
      </c>
      <c r="AH959" s="5" t="s">
        <v>355</v>
      </c>
    </row>
    <row r="960">
      <c r="S960" s="5" t="s">
        <v>355</v>
      </c>
      <c r="T960" s="5" t="str">
        <f>IFERROR(__xludf.DUMMYFUNCTION("""COMPUTED_VALUE"""),"")</f>
        <v/>
      </c>
      <c r="U960" s="5" t="s">
        <v>355</v>
      </c>
      <c r="V960" s="5" t="s">
        <v>355</v>
      </c>
      <c r="W960" s="5" t="s">
        <v>355</v>
      </c>
      <c r="X960" s="5" t="str">
        <f>IFERROR(__xludf.DUMMYFUNCTION("""COMPUTED_VALUE"""),"")</f>
        <v/>
      </c>
      <c r="Y960" s="5" t="s">
        <v>355</v>
      </c>
      <c r="Z960" s="5" t="s">
        <v>355</v>
      </c>
      <c r="AB960" s="5" t="s">
        <v>355</v>
      </c>
      <c r="AE960" s="5" t="s">
        <v>355</v>
      </c>
      <c r="AH960" s="5" t="s">
        <v>355</v>
      </c>
    </row>
    <row r="961">
      <c r="S961" s="5" t="s">
        <v>355</v>
      </c>
      <c r="T961" s="5" t="str">
        <f>IFERROR(__xludf.DUMMYFUNCTION("""COMPUTED_VALUE"""),"")</f>
        <v/>
      </c>
      <c r="U961" s="5" t="s">
        <v>355</v>
      </c>
      <c r="V961" s="5" t="s">
        <v>355</v>
      </c>
      <c r="W961" s="5" t="s">
        <v>355</v>
      </c>
      <c r="X961" s="5" t="str">
        <f>IFERROR(__xludf.DUMMYFUNCTION("""COMPUTED_VALUE"""),"")</f>
        <v/>
      </c>
      <c r="Y961" s="5" t="s">
        <v>355</v>
      </c>
      <c r="Z961" s="5" t="s">
        <v>355</v>
      </c>
      <c r="AB961" s="5" t="s">
        <v>355</v>
      </c>
      <c r="AE961" s="5" t="s">
        <v>355</v>
      </c>
      <c r="AH961" s="5" t="s">
        <v>355</v>
      </c>
    </row>
    <row r="962">
      <c r="S962" s="5" t="s">
        <v>355</v>
      </c>
      <c r="T962" s="5" t="str">
        <f>IFERROR(__xludf.DUMMYFUNCTION("""COMPUTED_VALUE"""),"")</f>
        <v/>
      </c>
      <c r="U962" s="5" t="s">
        <v>355</v>
      </c>
      <c r="V962" s="5" t="s">
        <v>355</v>
      </c>
      <c r="W962" s="5" t="s">
        <v>355</v>
      </c>
      <c r="X962" s="5" t="str">
        <f>IFERROR(__xludf.DUMMYFUNCTION("""COMPUTED_VALUE"""),"")</f>
        <v/>
      </c>
      <c r="Y962" s="5" t="s">
        <v>355</v>
      </c>
      <c r="Z962" s="5" t="s">
        <v>355</v>
      </c>
      <c r="AB962" s="5" t="s">
        <v>355</v>
      </c>
      <c r="AE962" s="5" t="s">
        <v>355</v>
      </c>
      <c r="AH962" s="5" t="s">
        <v>355</v>
      </c>
    </row>
    <row r="963">
      <c r="S963" s="5" t="s">
        <v>355</v>
      </c>
      <c r="T963" s="5" t="str">
        <f>IFERROR(__xludf.DUMMYFUNCTION("""COMPUTED_VALUE"""),"")</f>
        <v/>
      </c>
      <c r="U963" s="5" t="s">
        <v>355</v>
      </c>
      <c r="V963" s="5" t="s">
        <v>355</v>
      </c>
      <c r="W963" s="5" t="s">
        <v>355</v>
      </c>
      <c r="X963" s="5" t="str">
        <f>IFERROR(__xludf.DUMMYFUNCTION("""COMPUTED_VALUE"""),"")</f>
        <v/>
      </c>
      <c r="Y963" s="5" t="s">
        <v>355</v>
      </c>
      <c r="Z963" s="5" t="s">
        <v>355</v>
      </c>
      <c r="AB963" s="5" t="s">
        <v>355</v>
      </c>
      <c r="AE963" s="5" t="s">
        <v>355</v>
      </c>
      <c r="AH963" s="5" t="s">
        <v>355</v>
      </c>
    </row>
    <row r="964">
      <c r="S964" s="5" t="s">
        <v>355</v>
      </c>
      <c r="T964" s="5" t="str">
        <f>IFERROR(__xludf.DUMMYFUNCTION("""COMPUTED_VALUE"""),"")</f>
        <v/>
      </c>
      <c r="U964" s="5" t="s">
        <v>355</v>
      </c>
      <c r="V964" s="5" t="s">
        <v>355</v>
      </c>
      <c r="W964" s="5" t="s">
        <v>355</v>
      </c>
      <c r="X964" s="5" t="str">
        <f>IFERROR(__xludf.DUMMYFUNCTION("""COMPUTED_VALUE"""),"")</f>
        <v/>
      </c>
      <c r="Y964" s="5" t="s">
        <v>355</v>
      </c>
      <c r="Z964" s="5" t="s">
        <v>355</v>
      </c>
      <c r="AB964" s="5" t="s">
        <v>355</v>
      </c>
      <c r="AE964" s="5" t="s">
        <v>355</v>
      </c>
      <c r="AH964" s="5" t="s">
        <v>355</v>
      </c>
    </row>
    <row r="965">
      <c r="S965" s="5" t="s">
        <v>355</v>
      </c>
      <c r="T965" s="5" t="str">
        <f>IFERROR(__xludf.DUMMYFUNCTION("""COMPUTED_VALUE"""),"")</f>
        <v/>
      </c>
      <c r="U965" s="5" t="s">
        <v>355</v>
      </c>
      <c r="V965" s="5" t="s">
        <v>355</v>
      </c>
      <c r="W965" s="5" t="s">
        <v>355</v>
      </c>
      <c r="X965" s="5" t="str">
        <f>IFERROR(__xludf.DUMMYFUNCTION("""COMPUTED_VALUE"""),"")</f>
        <v/>
      </c>
      <c r="Y965" s="5" t="s">
        <v>355</v>
      </c>
      <c r="Z965" s="5" t="s">
        <v>355</v>
      </c>
      <c r="AB965" s="5" t="s">
        <v>355</v>
      </c>
      <c r="AE965" s="5" t="s">
        <v>355</v>
      </c>
      <c r="AH965" s="5" t="s">
        <v>355</v>
      </c>
    </row>
    <row r="966">
      <c r="S966" s="5" t="s">
        <v>355</v>
      </c>
      <c r="T966" s="5" t="str">
        <f>IFERROR(__xludf.DUMMYFUNCTION("""COMPUTED_VALUE"""),"")</f>
        <v/>
      </c>
      <c r="U966" s="5" t="s">
        <v>355</v>
      </c>
      <c r="V966" s="5" t="s">
        <v>355</v>
      </c>
      <c r="W966" s="5" t="s">
        <v>355</v>
      </c>
      <c r="X966" s="5" t="str">
        <f>IFERROR(__xludf.DUMMYFUNCTION("""COMPUTED_VALUE"""),"")</f>
        <v/>
      </c>
      <c r="Y966" s="5" t="s">
        <v>355</v>
      </c>
      <c r="Z966" s="5" t="s">
        <v>355</v>
      </c>
      <c r="AB966" s="5" t="s">
        <v>355</v>
      </c>
      <c r="AE966" s="5" t="s">
        <v>355</v>
      </c>
      <c r="AH966" s="5" t="s">
        <v>355</v>
      </c>
    </row>
    <row r="967">
      <c r="S967" s="5" t="s">
        <v>355</v>
      </c>
      <c r="T967" s="5" t="str">
        <f>IFERROR(__xludf.DUMMYFUNCTION("""COMPUTED_VALUE"""),"")</f>
        <v/>
      </c>
      <c r="U967" s="5" t="s">
        <v>355</v>
      </c>
      <c r="V967" s="5" t="s">
        <v>355</v>
      </c>
      <c r="W967" s="5" t="s">
        <v>355</v>
      </c>
      <c r="X967" s="5" t="str">
        <f>IFERROR(__xludf.DUMMYFUNCTION("""COMPUTED_VALUE"""),"")</f>
        <v/>
      </c>
      <c r="Y967" s="5" t="s">
        <v>355</v>
      </c>
      <c r="Z967" s="5" t="s">
        <v>355</v>
      </c>
      <c r="AB967" s="5" t="s">
        <v>355</v>
      </c>
      <c r="AE967" s="5" t="s">
        <v>355</v>
      </c>
      <c r="AH967" s="5" t="s">
        <v>355</v>
      </c>
    </row>
    <row r="968">
      <c r="S968" s="5" t="s">
        <v>355</v>
      </c>
      <c r="T968" s="5" t="str">
        <f>IFERROR(__xludf.DUMMYFUNCTION("""COMPUTED_VALUE"""),"")</f>
        <v/>
      </c>
      <c r="U968" s="5" t="s">
        <v>355</v>
      </c>
      <c r="V968" s="5" t="s">
        <v>355</v>
      </c>
      <c r="W968" s="5" t="s">
        <v>355</v>
      </c>
      <c r="X968" s="5" t="str">
        <f>IFERROR(__xludf.DUMMYFUNCTION("""COMPUTED_VALUE"""),"")</f>
        <v/>
      </c>
      <c r="Y968" s="5" t="s">
        <v>355</v>
      </c>
      <c r="Z968" s="5" t="s">
        <v>355</v>
      </c>
      <c r="AB968" s="5" t="s">
        <v>355</v>
      </c>
      <c r="AE968" s="5" t="s">
        <v>355</v>
      </c>
      <c r="AH968" s="5" t="s">
        <v>355</v>
      </c>
    </row>
    <row r="969">
      <c r="S969" s="5" t="s">
        <v>355</v>
      </c>
      <c r="T969" s="5" t="str">
        <f>IFERROR(__xludf.DUMMYFUNCTION("""COMPUTED_VALUE"""),"")</f>
        <v/>
      </c>
      <c r="U969" s="5" t="s">
        <v>355</v>
      </c>
      <c r="V969" s="5" t="s">
        <v>355</v>
      </c>
      <c r="W969" s="5" t="s">
        <v>355</v>
      </c>
      <c r="X969" s="5" t="str">
        <f>IFERROR(__xludf.DUMMYFUNCTION("""COMPUTED_VALUE"""),"")</f>
        <v/>
      </c>
      <c r="Y969" s="5" t="s">
        <v>355</v>
      </c>
      <c r="Z969" s="5" t="s">
        <v>355</v>
      </c>
      <c r="AB969" s="5" t="s">
        <v>355</v>
      </c>
      <c r="AE969" s="5" t="s">
        <v>355</v>
      </c>
      <c r="AH969" s="5" t="s">
        <v>355</v>
      </c>
    </row>
    <row r="970">
      <c r="S970" s="5" t="s">
        <v>355</v>
      </c>
      <c r="T970" s="5" t="str">
        <f>IFERROR(__xludf.DUMMYFUNCTION("""COMPUTED_VALUE"""),"")</f>
        <v/>
      </c>
      <c r="U970" s="5" t="s">
        <v>355</v>
      </c>
      <c r="V970" s="5" t="s">
        <v>355</v>
      </c>
      <c r="W970" s="5" t="s">
        <v>355</v>
      </c>
      <c r="X970" s="5" t="str">
        <f>IFERROR(__xludf.DUMMYFUNCTION("""COMPUTED_VALUE"""),"")</f>
        <v/>
      </c>
      <c r="Y970" s="5" t="s">
        <v>355</v>
      </c>
      <c r="Z970" s="5" t="s">
        <v>355</v>
      </c>
      <c r="AB970" s="5" t="s">
        <v>355</v>
      </c>
      <c r="AE970" s="5" t="s">
        <v>355</v>
      </c>
      <c r="AH970" s="5" t="s">
        <v>355</v>
      </c>
    </row>
    <row r="971">
      <c r="S971" s="5" t="s">
        <v>355</v>
      </c>
      <c r="T971" s="5" t="str">
        <f>IFERROR(__xludf.DUMMYFUNCTION("""COMPUTED_VALUE"""),"")</f>
        <v/>
      </c>
      <c r="U971" s="5" t="s">
        <v>355</v>
      </c>
      <c r="V971" s="5" t="s">
        <v>355</v>
      </c>
      <c r="W971" s="5" t="s">
        <v>355</v>
      </c>
      <c r="X971" s="5" t="str">
        <f>IFERROR(__xludf.DUMMYFUNCTION("""COMPUTED_VALUE"""),"")</f>
        <v/>
      </c>
      <c r="Y971" s="5" t="s">
        <v>355</v>
      </c>
      <c r="Z971" s="5" t="s">
        <v>355</v>
      </c>
      <c r="AB971" s="5" t="s">
        <v>355</v>
      </c>
      <c r="AE971" s="5" t="s">
        <v>355</v>
      </c>
      <c r="AH971" s="5" t="s">
        <v>355</v>
      </c>
    </row>
    <row r="972">
      <c r="S972" s="5" t="s">
        <v>355</v>
      </c>
      <c r="T972" s="5" t="str">
        <f>IFERROR(__xludf.DUMMYFUNCTION("""COMPUTED_VALUE"""),"")</f>
        <v/>
      </c>
      <c r="U972" s="5" t="s">
        <v>355</v>
      </c>
      <c r="V972" s="5" t="s">
        <v>355</v>
      </c>
      <c r="W972" s="5" t="s">
        <v>355</v>
      </c>
      <c r="X972" s="5" t="str">
        <f>IFERROR(__xludf.DUMMYFUNCTION("""COMPUTED_VALUE"""),"")</f>
        <v/>
      </c>
      <c r="Y972" s="5" t="s">
        <v>355</v>
      </c>
      <c r="Z972" s="5" t="s">
        <v>355</v>
      </c>
      <c r="AB972" s="5" t="s">
        <v>355</v>
      </c>
      <c r="AE972" s="5" t="s">
        <v>355</v>
      </c>
      <c r="AH972" s="5" t="s">
        <v>355</v>
      </c>
    </row>
    <row r="973">
      <c r="S973" s="5" t="s">
        <v>355</v>
      </c>
      <c r="T973" s="5" t="str">
        <f>IFERROR(__xludf.DUMMYFUNCTION("""COMPUTED_VALUE"""),"")</f>
        <v/>
      </c>
      <c r="U973" s="5" t="s">
        <v>355</v>
      </c>
      <c r="V973" s="5" t="s">
        <v>355</v>
      </c>
      <c r="W973" s="5" t="s">
        <v>355</v>
      </c>
      <c r="X973" s="5" t="str">
        <f>IFERROR(__xludf.DUMMYFUNCTION("""COMPUTED_VALUE"""),"")</f>
        <v/>
      </c>
      <c r="Y973" s="5" t="s">
        <v>355</v>
      </c>
      <c r="Z973" s="5" t="s">
        <v>355</v>
      </c>
      <c r="AB973" s="5" t="s">
        <v>355</v>
      </c>
      <c r="AE973" s="5" t="s">
        <v>355</v>
      </c>
      <c r="AH973" s="5" t="s">
        <v>355</v>
      </c>
    </row>
    <row r="974">
      <c r="S974" s="5" t="s">
        <v>355</v>
      </c>
      <c r="T974" s="5" t="str">
        <f>IFERROR(__xludf.DUMMYFUNCTION("""COMPUTED_VALUE"""),"")</f>
        <v/>
      </c>
      <c r="U974" s="5" t="s">
        <v>355</v>
      </c>
      <c r="V974" s="5" t="s">
        <v>355</v>
      </c>
      <c r="W974" s="5" t="s">
        <v>355</v>
      </c>
      <c r="X974" s="5" t="str">
        <f>IFERROR(__xludf.DUMMYFUNCTION("""COMPUTED_VALUE"""),"")</f>
        <v/>
      </c>
      <c r="Y974" s="5" t="s">
        <v>355</v>
      </c>
      <c r="Z974" s="5" t="s">
        <v>355</v>
      </c>
      <c r="AB974" s="5" t="s">
        <v>355</v>
      </c>
      <c r="AE974" s="5" t="s">
        <v>355</v>
      </c>
      <c r="AH974" s="5" t="s">
        <v>355</v>
      </c>
    </row>
    <row r="975">
      <c r="S975" s="5" t="s">
        <v>355</v>
      </c>
      <c r="T975" s="5" t="str">
        <f>IFERROR(__xludf.DUMMYFUNCTION("""COMPUTED_VALUE"""),"")</f>
        <v/>
      </c>
      <c r="U975" s="5" t="s">
        <v>355</v>
      </c>
      <c r="V975" s="5" t="s">
        <v>355</v>
      </c>
      <c r="W975" s="5" t="s">
        <v>355</v>
      </c>
      <c r="X975" s="5" t="str">
        <f>IFERROR(__xludf.DUMMYFUNCTION("""COMPUTED_VALUE"""),"")</f>
        <v/>
      </c>
      <c r="Y975" s="5" t="s">
        <v>355</v>
      </c>
      <c r="Z975" s="5" t="s">
        <v>355</v>
      </c>
      <c r="AB975" s="5" t="s">
        <v>355</v>
      </c>
      <c r="AE975" s="5" t="s">
        <v>355</v>
      </c>
      <c r="AH975" s="5" t="s">
        <v>355</v>
      </c>
    </row>
    <row r="976">
      <c r="S976" s="5" t="s">
        <v>355</v>
      </c>
      <c r="T976" s="5" t="str">
        <f>IFERROR(__xludf.DUMMYFUNCTION("""COMPUTED_VALUE"""),"")</f>
        <v/>
      </c>
      <c r="U976" s="5" t="s">
        <v>355</v>
      </c>
      <c r="V976" s="5" t="s">
        <v>355</v>
      </c>
      <c r="W976" s="5" t="s">
        <v>355</v>
      </c>
      <c r="X976" s="5" t="str">
        <f>IFERROR(__xludf.DUMMYFUNCTION("""COMPUTED_VALUE"""),"")</f>
        <v/>
      </c>
      <c r="Y976" s="5" t="s">
        <v>355</v>
      </c>
      <c r="Z976" s="5" t="s">
        <v>355</v>
      </c>
      <c r="AB976" s="5" t="s">
        <v>355</v>
      </c>
      <c r="AE976" s="5" t="s">
        <v>355</v>
      </c>
      <c r="AH976" s="5" t="s">
        <v>355</v>
      </c>
    </row>
    <row r="977">
      <c r="S977" s="5" t="s">
        <v>355</v>
      </c>
      <c r="T977" s="5" t="str">
        <f>IFERROR(__xludf.DUMMYFUNCTION("""COMPUTED_VALUE"""),"")</f>
        <v/>
      </c>
      <c r="U977" s="5" t="s">
        <v>355</v>
      </c>
      <c r="V977" s="5" t="s">
        <v>355</v>
      </c>
      <c r="W977" s="5" t="s">
        <v>355</v>
      </c>
      <c r="X977" s="5" t="str">
        <f>IFERROR(__xludf.DUMMYFUNCTION("""COMPUTED_VALUE"""),"")</f>
        <v/>
      </c>
      <c r="Y977" s="5" t="s">
        <v>355</v>
      </c>
      <c r="Z977" s="5" t="s">
        <v>355</v>
      </c>
      <c r="AB977" s="5" t="s">
        <v>355</v>
      </c>
      <c r="AE977" s="5" t="s">
        <v>355</v>
      </c>
      <c r="AH977" s="5" t="s">
        <v>355</v>
      </c>
    </row>
    <row r="978">
      <c r="S978" s="5" t="s">
        <v>355</v>
      </c>
      <c r="T978" s="5" t="str">
        <f>IFERROR(__xludf.DUMMYFUNCTION("""COMPUTED_VALUE"""),"")</f>
        <v/>
      </c>
      <c r="U978" s="5" t="s">
        <v>355</v>
      </c>
      <c r="V978" s="5" t="s">
        <v>355</v>
      </c>
      <c r="W978" s="5" t="s">
        <v>355</v>
      </c>
      <c r="X978" s="5" t="str">
        <f>IFERROR(__xludf.DUMMYFUNCTION("""COMPUTED_VALUE"""),"")</f>
        <v/>
      </c>
      <c r="Y978" s="5" t="s">
        <v>355</v>
      </c>
      <c r="Z978" s="5" t="s">
        <v>355</v>
      </c>
      <c r="AB978" s="5" t="s">
        <v>355</v>
      </c>
      <c r="AE978" s="5" t="s">
        <v>355</v>
      </c>
      <c r="AH978" s="5" t="s">
        <v>355</v>
      </c>
    </row>
    <row r="979">
      <c r="S979" s="5" t="s">
        <v>355</v>
      </c>
      <c r="T979" s="5" t="str">
        <f>IFERROR(__xludf.DUMMYFUNCTION("""COMPUTED_VALUE"""),"")</f>
        <v/>
      </c>
      <c r="U979" s="5" t="s">
        <v>355</v>
      </c>
      <c r="V979" s="5" t="s">
        <v>355</v>
      </c>
      <c r="W979" s="5" t="s">
        <v>355</v>
      </c>
      <c r="X979" s="5" t="str">
        <f>IFERROR(__xludf.DUMMYFUNCTION("""COMPUTED_VALUE"""),"")</f>
        <v/>
      </c>
      <c r="Y979" s="5" t="s">
        <v>355</v>
      </c>
      <c r="Z979" s="5" t="s">
        <v>355</v>
      </c>
      <c r="AB979" s="5" t="s">
        <v>355</v>
      </c>
      <c r="AE979" s="5" t="s">
        <v>355</v>
      </c>
      <c r="AH979" s="5" t="s">
        <v>355</v>
      </c>
    </row>
    <row r="980">
      <c r="S980" s="5" t="s">
        <v>355</v>
      </c>
      <c r="T980" s="5" t="str">
        <f>IFERROR(__xludf.DUMMYFUNCTION("""COMPUTED_VALUE"""),"")</f>
        <v/>
      </c>
      <c r="U980" s="5" t="s">
        <v>355</v>
      </c>
      <c r="V980" s="5" t="s">
        <v>355</v>
      </c>
      <c r="W980" s="5" t="s">
        <v>355</v>
      </c>
      <c r="X980" s="5" t="str">
        <f>IFERROR(__xludf.DUMMYFUNCTION("""COMPUTED_VALUE"""),"")</f>
        <v/>
      </c>
      <c r="Y980" s="5" t="s">
        <v>355</v>
      </c>
      <c r="Z980" s="5" t="s">
        <v>355</v>
      </c>
      <c r="AB980" s="5" t="s">
        <v>355</v>
      </c>
      <c r="AE980" s="5" t="s">
        <v>355</v>
      </c>
      <c r="AH980" s="5" t="s">
        <v>355</v>
      </c>
    </row>
    <row r="981">
      <c r="S981" s="5" t="s">
        <v>355</v>
      </c>
      <c r="T981" s="5" t="str">
        <f>IFERROR(__xludf.DUMMYFUNCTION("""COMPUTED_VALUE"""),"")</f>
        <v/>
      </c>
      <c r="U981" s="5" t="s">
        <v>355</v>
      </c>
      <c r="V981" s="5" t="s">
        <v>355</v>
      </c>
      <c r="W981" s="5" t="s">
        <v>355</v>
      </c>
      <c r="X981" s="5" t="str">
        <f>IFERROR(__xludf.DUMMYFUNCTION("""COMPUTED_VALUE"""),"")</f>
        <v/>
      </c>
      <c r="Y981" s="5" t="s">
        <v>355</v>
      </c>
      <c r="Z981" s="5" t="s">
        <v>355</v>
      </c>
      <c r="AB981" s="5" t="s">
        <v>355</v>
      </c>
      <c r="AE981" s="5" t="s">
        <v>355</v>
      </c>
      <c r="AH981" s="5" t="s">
        <v>355</v>
      </c>
    </row>
    <row r="982">
      <c r="S982" s="5" t="s">
        <v>355</v>
      </c>
      <c r="T982" s="5" t="str">
        <f>IFERROR(__xludf.DUMMYFUNCTION("""COMPUTED_VALUE"""),"")</f>
        <v/>
      </c>
      <c r="U982" s="5" t="s">
        <v>355</v>
      </c>
      <c r="V982" s="5" t="s">
        <v>355</v>
      </c>
      <c r="W982" s="5" t="s">
        <v>355</v>
      </c>
      <c r="X982" s="5" t="str">
        <f>IFERROR(__xludf.DUMMYFUNCTION("""COMPUTED_VALUE"""),"")</f>
        <v/>
      </c>
      <c r="Y982" s="5" t="s">
        <v>355</v>
      </c>
      <c r="Z982" s="5" t="s">
        <v>355</v>
      </c>
      <c r="AB982" s="5" t="s">
        <v>355</v>
      </c>
      <c r="AE982" s="5" t="s">
        <v>355</v>
      </c>
      <c r="AH982" s="5" t="s">
        <v>355</v>
      </c>
    </row>
    <row r="983">
      <c r="S983" s="5" t="s">
        <v>355</v>
      </c>
      <c r="T983" s="5" t="str">
        <f>IFERROR(__xludf.DUMMYFUNCTION("""COMPUTED_VALUE"""),"")</f>
        <v/>
      </c>
      <c r="U983" s="5" t="s">
        <v>355</v>
      </c>
      <c r="V983" s="5" t="s">
        <v>355</v>
      </c>
      <c r="W983" s="5" t="s">
        <v>355</v>
      </c>
      <c r="X983" s="5" t="str">
        <f>IFERROR(__xludf.DUMMYFUNCTION("""COMPUTED_VALUE"""),"")</f>
        <v/>
      </c>
      <c r="Y983" s="5" t="s">
        <v>355</v>
      </c>
      <c r="Z983" s="5" t="s">
        <v>355</v>
      </c>
      <c r="AB983" s="5" t="s">
        <v>355</v>
      </c>
      <c r="AE983" s="5" t="s">
        <v>355</v>
      </c>
      <c r="AH983" s="5" t="s">
        <v>355</v>
      </c>
    </row>
    <row r="984">
      <c r="S984" s="5" t="s">
        <v>355</v>
      </c>
      <c r="T984" s="5" t="str">
        <f>IFERROR(__xludf.DUMMYFUNCTION("""COMPUTED_VALUE"""),"")</f>
        <v/>
      </c>
      <c r="U984" s="5" t="s">
        <v>355</v>
      </c>
      <c r="V984" s="5" t="s">
        <v>355</v>
      </c>
      <c r="W984" s="5" t="s">
        <v>355</v>
      </c>
      <c r="X984" s="5" t="str">
        <f>IFERROR(__xludf.DUMMYFUNCTION("""COMPUTED_VALUE"""),"")</f>
        <v/>
      </c>
      <c r="Y984" s="5" t="s">
        <v>355</v>
      </c>
      <c r="Z984" s="5" t="s">
        <v>355</v>
      </c>
      <c r="AB984" s="5" t="s">
        <v>355</v>
      </c>
      <c r="AE984" s="5" t="s">
        <v>355</v>
      </c>
      <c r="AH984" s="5" t="s">
        <v>355</v>
      </c>
    </row>
    <row r="985">
      <c r="S985" s="5" t="s">
        <v>355</v>
      </c>
      <c r="T985" s="5" t="str">
        <f>IFERROR(__xludf.DUMMYFUNCTION("""COMPUTED_VALUE"""),"")</f>
        <v/>
      </c>
      <c r="U985" s="5" t="s">
        <v>355</v>
      </c>
      <c r="V985" s="5" t="s">
        <v>355</v>
      </c>
      <c r="W985" s="5" t="s">
        <v>355</v>
      </c>
      <c r="X985" s="5" t="str">
        <f>IFERROR(__xludf.DUMMYFUNCTION("""COMPUTED_VALUE"""),"")</f>
        <v/>
      </c>
      <c r="Y985" s="5" t="s">
        <v>355</v>
      </c>
      <c r="Z985" s="5" t="s">
        <v>355</v>
      </c>
      <c r="AB985" s="5" t="s">
        <v>355</v>
      </c>
      <c r="AE985" s="5" t="s">
        <v>355</v>
      </c>
      <c r="AH985" s="5" t="s">
        <v>355</v>
      </c>
    </row>
    <row r="986">
      <c r="S986" s="5" t="s">
        <v>355</v>
      </c>
      <c r="T986" s="5" t="str">
        <f>IFERROR(__xludf.DUMMYFUNCTION("""COMPUTED_VALUE"""),"")</f>
        <v/>
      </c>
      <c r="U986" s="5" t="s">
        <v>355</v>
      </c>
      <c r="V986" s="5" t="s">
        <v>355</v>
      </c>
      <c r="W986" s="5" t="s">
        <v>355</v>
      </c>
      <c r="X986" s="5" t="str">
        <f>IFERROR(__xludf.DUMMYFUNCTION("""COMPUTED_VALUE"""),"")</f>
        <v/>
      </c>
      <c r="Y986" s="5" t="s">
        <v>355</v>
      </c>
      <c r="Z986" s="5" t="s">
        <v>355</v>
      </c>
      <c r="AB986" s="5" t="s">
        <v>355</v>
      </c>
      <c r="AE986" s="5" t="s">
        <v>355</v>
      </c>
      <c r="AH986" s="5" t="s">
        <v>355</v>
      </c>
    </row>
    <row r="987">
      <c r="S987" s="5" t="s">
        <v>355</v>
      </c>
      <c r="T987" s="5" t="str">
        <f>IFERROR(__xludf.DUMMYFUNCTION("""COMPUTED_VALUE"""),"")</f>
        <v/>
      </c>
      <c r="U987" s="5" t="s">
        <v>355</v>
      </c>
      <c r="V987" s="5" t="s">
        <v>355</v>
      </c>
      <c r="W987" s="5" t="s">
        <v>355</v>
      </c>
      <c r="X987" s="5" t="str">
        <f>IFERROR(__xludf.DUMMYFUNCTION("""COMPUTED_VALUE"""),"")</f>
        <v/>
      </c>
      <c r="Y987" s="5" t="s">
        <v>355</v>
      </c>
      <c r="Z987" s="5" t="s">
        <v>355</v>
      </c>
      <c r="AB987" s="5" t="s">
        <v>355</v>
      </c>
      <c r="AE987" s="5" t="s">
        <v>355</v>
      </c>
      <c r="AH987" s="5" t="s">
        <v>355</v>
      </c>
    </row>
    <row r="988">
      <c r="S988" s="5" t="s">
        <v>355</v>
      </c>
      <c r="T988" s="5" t="str">
        <f>IFERROR(__xludf.DUMMYFUNCTION("""COMPUTED_VALUE"""),"")</f>
        <v/>
      </c>
      <c r="U988" s="5" t="s">
        <v>355</v>
      </c>
      <c r="V988" s="5" t="s">
        <v>355</v>
      </c>
      <c r="W988" s="5" t="s">
        <v>355</v>
      </c>
      <c r="X988" s="5" t="str">
        <f>IFERROR(__xludf.DUMMYFUNCTION("""COMPUTED_VALUE"""),"")</f>
        <v/>
      </c>
      <c r="Y988" s="5" t="s">
        <v>355</v>
      </c>
      <c r="Z988" s="5" t="s">
        <v>355</v>
      </c>
      <c r="AB988" s="5" t="s">
        <v>355</v>
      </c>
      <c r="AE988" s="5" t="s">
        <v>355</v>
      </c>
      <c r="AH988" s="5" t="s">
        <v>355</v>
      </c>
    </row>
    <row r="989">
      <c r="S989" s="5" t="s">
        <v>355</v>
      </c>
      <c r="T989" s="5" t="str">
        <f>IFERROR(__xludf.DUMMYFUNCTION("""COMPUTED_VALUE"""),"")</f>
        <v/>
      </c>
      <c r="U989" s="5" t="s">
        <v>355</v>
      </c>
      <c r="V989" s="5" t="s">
        <v>355</v>
      </c>
      <c r="W989" s="5" t="s">
        <v>355</v>
      </c>
      <c r="X989" s="5" t="str">
        <f>IFERROR(__xludf.DUMMYFUNCTION("""COMPUTED_VALUE"""),"")</f>
        <v/>
      </c>
      <c r="Y989" s="5" t="s">
        <v>355</v>
      </c>
      <c r="Z989" s="5" t="s">
        <v>355</v>
      </c>
      <c r="AB989" s="5" t="s">
        <v>355</v>
      </c>
      <c r="AE989" s="5" t="s">
        <v>355</v>
      </c>
      <c r="AH989" s="5" t="s">
        <v>355</v>
      </c>
    </row>
    <row r="990">
      <c r="S990" s="5" t="s">
        <v>355</v>
      </c>
      <c r="T990" s="5" t="str">
        <f>IFERROR(__xludf.DUMMYFUNCTION("""COMPUTED_VALUE"""),"")</f>
        <v/>
      </c>
      <c r="U990" s="5" t="s">
        <v>355</v>
      </c>
      <c r="V990" s="5" t="s">
        <v>355</v>
      </c>
      <c r="W990" s="5" t="s">
        <v>355</v>
      </c>
      <c r="X990" s="5" t="str">
        <f>IFERROR(__xludf.DUMMYFUNCTION("""COMPUTED_VALUE"""),"")</f>
        <v/>
      </c>
      <c r="Y990" s="5" t="s">
        <v>355</v>
      </c>
      <c r="Z990" s="5" t="s">
        <v>355</v>
      </c>
      <c r="AB990" s="5" t="s">
        <v>355</v>
      </c>
      <c r="AE990" s="5" t="s">
        <v>355</v>
      </c>
      <c r="AH990" s="5" t="s">
        <v>355</v>
      </c>
    </row>
    <row r="991">
      <c r="S991" s="5" t="s">
        <v>355</v>
      </c>
      <c r="T991" s="5" t="str">
        <f>IFERROR(__xludf.DUMMYFUNCTION("""COMPUTED_VALUE"""),"")</f>
        <v/>
      </c>
      <c r="U991" s="5" t="s">
        <v>355</v>
      </c>
      <c r="V991" s="5" t="s">
        <v>355</v>
      </c>
      <c r="W991" s="5" t="s">
        <v>355</v>
      </c>
      <c r="X991" s="5" t="str">
        <f>IFERROR(__xludf.DUMMYFUNCTION("""COMPUTED_VALUE"""),"")</f>
        <v/>
      </c>
      <c r="Y991" s="5" t="s">
        <v>355</v>
      </c>
      <c r="Z991" s="5" t="s">
        <v>355</v>
      </c>
      <c r="AB991" s="5" t="s">
        <v>355</v>
      </c>
      <c r="AE991" s="5" t="s">
        <v>355</v>
      </c>
      <c r="AH991" s="5" t="s">
        <v>355</v>
      </c>
    </row>
    <row r="992">
      <c r="S992" s="5" t="s">
        <v>355</v>
      </c>
      <c r="T992" s="5" t="str">
        <f>IFERROR(__xludf.DUMMYFUNCTION("""COMPUTED_VALUE"""),"")</f>
        <v/>
      </c>
      <c r="U992" s="5" t="s">
        <v>355</v>
      </c>
      <c r="V992" s="5" t="s">
        <v>355</v>
      </c>
      <c r="W992" s="5" t="s">
        <v>355</v>
      </c>
      <c r="X992" s="5" t="str">
        <f>IFERROR(__xludf.DUMMYFUNCTION("""COMPUTED_VALUE"""),"")</f>
        <v/>
      </c>
      <c r="Y992" s="5" t="s">
        <v>355</v>
      </c>
      <c r="Z992" s="5" t="s">
        <v>355</v>
      </c>
      <c r="AB992" s="5" t="s">
        <v>355</v>
      </c>
      <c r="AE992" s="5" t="s">
        <v>355</v>
      </c>
      <c r="AH992" s="5" t="s">
        <v>355</v>
      </c>
    </row>
    <row r="993">
      <c r="S993" s="5" t="s">
        <v>355</v>
      </c>
      <c r="T993" s="5" t="str">
        <f>IFERROR(__xludf.DUMMYFUNCTION("""COMPUTED_VALUE"""),"")</f>
        <v/>
      </c>
      <c r="U993" s="5" t="s">
        <v>355</v>
      </c>
      <c r="V993" s="5" t="s">
        <v>355</v>
      </c>
      <c r="W993" s="5" t="s">
        <v>355</v>
      </c>
      <c r="X993" s="5" t="str">
        <f>IFERROR(__xludf.DUMMYFUNCTION("""COMPUTED_VALUE"""),"")</f>
        <v/>
      </c>
      <c r="Y993" s="5" t="s">
        <v>355</v>
      </c>
      <c r="Z993" s="5" t="s">
        <v>355</v>
      </c>
      <c r="AB993" s="5" t="s">
        <v>355</v>
      </c>
      <c r="AE993" s="5" t="s">
        <v>355</v>
      </c>
      <c r="AH993" s="5" t="s">
        <v>355</v>
      </c>
    </row>
    <row r="994">
      <c r="S994" s="5" t="s">
        <v>355</v>
      </c>
      <c r="T994" s="5" t="str">
        <f>IFERROR(__xludf.DUMMYFUNCTION("""COMPUTED_VALUE"""),"")</f>
        <v/>
      </c>
      <c r="U994" s="5" t="s">
        <v>355</v>
      </c>
      <c r="V994" s="5" t="s">
        <v>355</v>
      </c>
      <c r="W994" s="5" t="s">
        <v>355</v>
      </c>
      <c r="X994" s="5" t="str">
        <f>IFERROR(__xludf.DUMMYFUNCTION("""COMPUTED_VALUE"""),"")</f>
        <v/>
      </c>
      <c r="Y994" s="5" t="s">
        <v>355</v>
      </c>
      <c r="Z994" s="5" t="s">
        <v>355</v>
      </c>
      <c r="AB994" s="5" t="s">
        <v>355</v>
      </c>
      <c r="AE994" s="5" t="s">
        <v>355</v>
      </c>
      <c r="AH994" s="5" t="s">
        <v>355</v>
      </c>
    </row>
    <row r="995">
      <c r="S995" s="5" t="s">
        <v>355</v>
      </c>
      <c r="T995" s="5" t="str">
        <f>IFERROR(__xludf.DUMMYFUNCTION("""COMPUTED_VALUE"""),"")</f>
        <v/>
      </c>
      <c r="U995" s="5" t="s">
        <v>355</v>
      </c>
      <c r="V995" s="5" t="s">
        <v>355</v>
      </c>
      <c r="W995" s="5" t="s">
        <v>355</v>
      </c>
      <c r="X995" s="5" t="str">
        <f>IFERROR(__xludf.DUMMYFUNCTION("""COMPUTED_VALUE"""),"")</f>
        <v/>
      </c>
      <c r="Y995" s="5" t="s">
        <v>355</v>
      </c>
      <c r="Z995" s="5" t="s">
        <v>355</v>
      </c>
      <c r="AB995" s="5" t="s">
        <v>355</v>
      </c>
      <c r="AE995" s="5" t="s">
        <v>355</v>
      </c>
      <c r="AH995" s="5" t="s">
        <v>355</v>
      </c>
    </row>
    <row r="996">
      <c r="S996" s="5" t="s">
        <v>355</v>
      </c>
      <c r="T996" s="5" t="str">
        <f>IFERROR(__xludf.DUMMYFUNCTION("""COMPUTED_VALUE"""),"")</f>
        <v/>
      </c>
      <c r="U996" s="5" t="s">
        <v>355</v>
      </c>
      <c r="V996" s="5" t="s">
        <v>355</v>
      </c>
      <c r="W996" s="5" t="s">
        <v>355</v>
      </c>
      <c r="X996" s="5" t="str">
        <f>IFERROR(__xludf.DUMMYFUNCTION("""COMPUTED_VALUE"""),"")</f>
        <v/>
      </c>
      <c r="Y996" s="5" t="s">
        <v>355</v>
      </c>
      <c r="Z996" s="5" t="s">
        <v>355</v>
      </c>
      <c r="AB996" s="5" t="s">
        <v>355</v>
      </c>
      <c r="AE996" s="5" t="s">
        <v>355</v>
      </c>
      <c r="AH996" s="5" t="s">
        <v>355</v>
      </c>
    </row>
    <row r="997">
      <c r="S997" s="5" t="s">
        <v>355</v>
      </c>
      <c r="T997" s="5" t="str">
        <f>IFERROR(__xludf.DUMMYFUNCTION("""COMPUTED_VALUE"""),"")</f>
        <v/>
      </c>
      <c r="U997" s="5" t="s">
        <v>355</v>
      </c>
      <c r="V997" s="5" t="s">
        <v>355</v>
      </c>
      <c r="W997" s="5" t="s">
        <v>355</v>
      </c>
      <c r="X997" s="5" t="str">
        <f>IFERROR(__xludf.DUMMYFUNCTION("""COMPUTED_VALUE"""),"")</f>
        <v/>
      </c>
      <c r="Y997" s="5" t="s">
        <v>355</v>
      </c>
      <c r="Z997" s="5" t="s">
        <v>355</v>
      </c>
      <c r="AB997" s="5" t="s">
        <v>355</v>
      </c>
      <c r="AE997" s="5" t="s">
        <v>355</v>
      </c>
      <c r="AH997" s="5" t="s">
        <v>355</v>
      </c>
    </row>
    <row r="998">
      <c r="S998" s="5" t="s">
        <v>355</v>
      </c>
      <c r="T998" s="5" t="str">
        <f>IFERROR(__xludf.DUMMYFUNCTION("""COMPUTED_VALUE"""),"")</f>
        <v/>
      </c>
      <c r="U998" s="5" t="s">
        <v>355</v>
      </c>
      <c r="V998" s="5" t="s">
        <v>355</v>
      </c>
      <c r="W998" s="5" t="s">
        <v>355</v>
      </c>
      <c r="X998" s="5" t="str">
        <f>IFERROR(__xludf.DUMMYFUNCTION("""COMPUTED_VALUE"""),"")</f>
        <v/>
      </c>
      <c r="Y998" s="5" t="s">
        <v>355</v>
      </c>
      <c r="Z998" s="5" t="s">
        <v>355</v>
      </c>
      <c r="AB998" s="5" t="s">
        <v>355</v>
      </c>
      <c r="AE998" s="5" t="s">
        <v>355</v>
      </c>
      <c r="AH998" s="5" t="s">
        <v>355</v>
      </c>
    </row>
    <row r="999">
      <c r="S999" s="5" t="s">
        <v>355</v>
      </c>
      <c r="T999" s="5" t="str">
        <f>IFERROR(__xludf.DUMMYFUNCTION("""COMPUTED_VALUE"""),"")</f>
        <v/>
      </c>
      <c r="U999" s="5" t="s">
        <v>355</v>
      </c>
      <c r="V999" s="5" t="s">
        <v>355</v>
      </c>
      <c r="W999" s="5" t="s">
        <v>355</v>
      </c>
      <c r="X999" s="5" t="str">
        <f>IFERROR(__xludf.DUMMYFUNCTION("""COMPUTED_VALUE"""),"")</f>
        <v/>
      </c>
      <c r="Y999" s="5" t="s">
        <v>355</v>
      </c>
      <c r="Z999" s="5" t="s">
        <v>355</v>
      </c>
      <c r="AB999" s="5" t="s">
        <v>355</v>
      </c>
      <c r="AE999" s="5" t="s">
        <v>355</v>
      </c>
      <c r="AH999" s="5" t="s">
        <v>355</v>
      </c>
    </row>
    <row r="1000">
      <c r="S1000" s="5" t="s">
        <v>355</v>
      </c>
      <c r="T1000" s="5" t="str">
        <f>IFERROR(__xludf.DUMMYFUNCTION("""COMPUTED_VALUE"""),"")</f>
        <v/>
      </c>
      <c r="U1000" s="5" t="s">
        <v>355</v>
      </c>
      <c r="V1000" s="5" t="s">
        <v>355</v>
      </c>
      <c r="W1000" s="5" t="s">
        <v>355</v>
      </c>
      <c r="X1000" s="5" t="str">
        <f>IFERROR(__xludf.DUMMYFUNCTION("""COMPUTED_VALUE"""),"")</f>
        <v/>
      </c>
      <c r="Y1000" s="5" t="s">
        <v>355</v>
      </c>
      <c r="Z1000" s="5" t="s">
        <v>355</v>
      </c>
      <c r="AB1000" s="5" t="s">
        <v>355</v>
      </c>
      <c r="AE1000" s="5" t="s">
        <v>355</v>
      </c>
      <c r="AH1000" s="5" t="s">
        <v>355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19.25"/>
    <col customWidth="1" min="5" max="5" width="15.5"/>
    <col customWidth="1" min="6" max="6" width="15.0"/>
  </cols>
  <sheetData>
    <row r="1">
      <c r="A1" s="1" t="s">
        <v>2</v>
      </c>
      <c r="B1" s="2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  <row r="2">
      <c r="A2" s="1" t="s">
        <v>8</v>
      </c>
      <c r="B2" s="1"/>
      <c r="C2" s="5" t="str">
        <f>Roster!A2</f>
        <v>Fercho</v>
      </c>
      <c r="D2" s="5" t="str">
        <f>Roster!A3</f>
        <v>Gaitan</v>
      </c>
      <c r="E2" s="5" t="str">
        <f>Roster!A4</f>
        <v>Fito</v>
      </c>
      <c r="F2" s="5" t="str">
        <f>Roster!A5</f>
        <v>Adri Mejia</v>
      </c>
      <c r="G2" s="1" t="s">
        <v>7</v>
      </c>
      <c r="H2" s="1" t="s">
        <v>7</v>
      </c>
      <c r="I2" s="1" t="s">
        <v>12</v>
      </c>
      <c r="J2" s="1" t="s">
        <v>12</v>
      </c>
    </row>
    <row r="3">
      <c r="A3" s="1" t="s">
        <v>16</v>
      </c>
      <c r="B3" s="1"/>
      <c r="C3" s="5" t="str">
        <f>Roster!A6</f>
        <v>Otto Fenwarth</v>
      </c>
      <c r="D3" s="5" t="str">
        <f>Roster!A7</f>
        <v>Valenzuela</v>
      </c>
      <c r="E3" s="5" t="str">
        <f>Roster!A8</f>
        <v>Cadavid</v>
      </c>
      <c r="F3" s="5" t="str">
        <f>Roster!A9</f>
        <v>Saenz</v>
      </c>
      <c r="G3" s="1" t="s">
        <v>7</v>
      </c>
      <c r="H3" s="1" t="s">
        <v>7</v>
      </c>
      <c r="I3" s="1" t="s">
        <v>12</v>
      </c>
      <c r="J3" s="1" t="s">
        <v>12</v>
      </c>
    </row>
    <row r="4">
      <c r="A4" s="1" t="s">
        <v>21</v>
      </c>
      <c r="B4" s="1"/>
      <c r="C4" s="5" t="str">
        <f>Roster!A10</f>
        <v>Vargas</v>
      </c>
      <c r="D4" s="5" t="str">
        <f>Roster!A11</f>
        <v>Mon</v>
      </c>
      <c r="E4" s="5" t="str">
        <f>Roster!A12</f>
        <v>Berris</v>
      </c>
      <c r="F4" s="5" t="str">
        <f>Roster!A13</f>
        <v>Pablo Rueda</v>
      </c>
      <c r="G4" s="1" t="s">
        <v>7</v>
      </c>
      <c r="H4" s="1" t="s">
        <v>7</v>
      </c>
      <c r="I4" s="1" t="s">
        <v>12</v>
      </c>
      <c r="J4" s="1" t="s">
        <v>12</v>
      </c>
    </row>
    <row r="5">
      <c r="A5" s="1" t="s">
        <v>26</v>
      </c>
      <c r="B5" s="1"/>
      <c r="C5" s="5" t="str">
        <f>Roster!A14</f>
        <v>Luca</v>
      </c>
      <c r="D5" s="5" t="str">
        <f>Roster!A15</f>
        <v>Rocha</v>
      </c>
      <c r="E5" s="5" t="str">
        <f>Roster!A16</f>
        <v>Matiz</v>
      </c>
      <c r="F5" s="5" t="str">
        <f>Roster!A17</f>
        <v>Esguerra</v>
      </c>
      <c r="G5" s="1" t="s">
        <v>7</v>
      </c>
      <c r="H5" s="1" t="s">
        <v>7</v>
      </c>
      <c r="I5" s="1" t="s">
        <v>12</v>
      </c>
      <c r="J5" s="1" t="s">
        <v>12</v>
      </c>
    </row>
    <row r="6">
      <c r="A6" s="1" t="s">
        <v>31</v>
      </c>
      <c r="B6" s="1"/>
      <c r="C6" s="5" t="str">
        <f>Roster!A18</f>
        <v>Sardi</v>
      </c>
      <c r="D6" s="5" t="str">
        <f>Roster!A19</f>
        <v>JC Casas</v>
      </c>
      <c r="E6" s="5" t="str">
        <f>Roster!A20</f>
        <v>Pulido</v>
      </c>
      <c r="F6" s="5" t="str">
        <f>Roster!A21</f>
        <v>Otoya</v>
      </c>
      <c r="G6" s="1" t="s">
        <v>7</v>
      </c>
      <c r="H6" s="1" t="s">
        <v>7</v>
      </c>
      <c r="I6" s="1" t="s">
        <v>12</v>
      </c>
      <c r="J6" s="1" t="s">
        <v>12</v>
      </c>
    </row>
    <row r="7">
      <c r="A7" s="1" t="s">
        <v>36</v>
      </c>
      <c r="B7" s="1"/>
      <c r="C7" s="5" t="str">
        <f>Roster!A22</f>
        <v>Ana Maria</v>
      </c>
      <c r="D7" s="5" t="str">
        <f>Roster!A23</f>
        <v>Schneider</v>
      </c>
      <c r="E7" s="5" t="str">
        <f>Roster!A24</f>
        <v>Pablo Acosta</v>
      </c>
      <c r="F7" s="5" t="str">
        <f>Roster!A25</f>
        <v>Garcia</v>
      </c>
      <c r="G7" s="1" t="s">
        <v>7</v>
      </c>
      <c r="H7" s="1" t="s">
        <v>7</v>
      </c>
      <c r="I7" s="1" t="s">
        <v>12</v>
      </c>
      <c r="J7" s="1" t="s">
        <v>12</v>
      </c>
    </row>
    <row r="8">
      <c r="A8" s="1" t="s">
        <v>41</v>
      </c>
      <c r="B8" s="1"/>
      <c r="C8" s="5" t="str">
        <f>Roster!A26</f>
        <v>Pocho</v>
      </c>
      <c r="D8" s="5" t="str">
        <f>Roster!A27</f>
        <v>Phil</v>
      </c>
      <c r="E8" s="5" t="str">
        <f>Roster!A28</f>
        <v>Velez</v>
      </c>
      <c r="F8" s="5" t="str">
        <f>Roster!A29</f>
        <v>JP Mosquera</v>
      </c>
      <c r="G8" s="1" t="s">
        <v>7</v>
      </c>
      <c r="H8" s="1" t="s">
        <v>7</v>
      </c>
      <c r="I8" s="1" t="s">
        <v>12</v>
      </c>
      <c r="J8" s="1" t="s">
        <v>12</v>
      </c>
    </row>
    <row r="9">
      <c r="A9" s="1" t="s">
        <v>46</v>
      </c>
      <c r="B9" s="1"/>
      <c r="C9" s="5" t="str">
        <f>Roster!A30</f>
        <v>Veronica Perez</v>
      </c>
      <c r="D9" s="5" t="str">
        <f>Roster!A31</f>
        <v>Bernie</v>
      </c>
      <c r="E9" s="5" t="str">
        <f>Roster!A32</f>
        <v>Pilarica</v>
      </c>
      <c r="F9" s="5" t="str">
        <f>Roster!A33</f>
        <v>Camacho</v>
      </c>
      <c r="G9" s="1" t="s">
        <v>7</v>
      </c>
      <c r="H9" s="1" t="s">
        <v>7</v>
      </c>
      <c r="I9" s="1" t="s">
        <v>12</v>
      </c>
      <c r="J9" s="1" t="s">
        <v>12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2.88"/>
    <col customWidth="1" min="3" max="3" width="19.0"/>
    <col customWidth="1" min="4" max="4" width="18.75"/>
    <col customWidth="1" min="5" max="5" width="18.0"/>
    <col customWidth="1" min="7" max="7" width="15.13"/>
    <col customWidth="1" min="24" max="24" width="5.25"/>
    <col customWidth="1" min="25" max="25" width="14.13"/>
    <col customWidth="1" min="26" max="27" width="20.88"/>
    <col customWidth="1" min="28" max="28" width="17.13"/>
  </cols>
  <sheetData>
    <row r="1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Y1" s="1" t="s">
        <v>495</v>
      </c>
      <c r="Z1" s="1" t="s">
        <v>496</v>
      </c>
      <c r="AA1" s="2" t="s">
        <v>497</v>
      </c>
      <c r="AB1" s="12"/>
    </row>
    <row r="2">
      <c r="A2" s="1" t="s">
        <v>498</v>
      </c>
      <c r="B2" s="1">
        <f>Calc_Engine!Q2</f>
        <v>21</v>
      </c>
      <c r="C2" s="1" t="s">
        <v>499</v>
      </c>
      <c r="D2" s="1">
        <f>Calc_Engine!R2</f>
        <v>19</v>
      </c>
      <c r="E2" s="5" t="b">
        <f>IF(OR(B2&gt;20.5, D2&gt;20.5), TRUE, FALSE)</f>
        <v>1</v>
      </c>
      <c r="F2" s="5" t="str">
        <f>IF(B2&gt;20.5, "Red", IF(D2&gt;20.5, "Blue", ""))</f>
        <v>Red</v>
      </c>
      <c r="G2" s="5" t="str">
        <f>IF(B2&gt;20.5, 
  "&lt;div style='text-align: center; position: relative; margin: 20px 20px 20px 20px;'&gt;&lt;div style='position: fixed; top: 0; left: 0; width: 100%; height: 100%; pointer-events: none; z-index: 999; overflow: hidden;'&gt;&lt;img src='https://i.pinimg.com/originals/07/0"&amp;"3/48/0703483f8e3100d87497817030fb903f.gif' style='width: 100%; height: 100%; object-fit: cover; opacity: 0.6;'&gt;&lt;/div&gt;&lt;div style='background: linear-gradient(135deg, #D32F2F 0%, #B71C1C 100%); border-radius: 20px; box-shadow: 0 10px 40px rgba(0,0,0,0.3); p"&amp;"adding: 60px 30px 50px 30px; position: relative; z-index: 9999;'&gt;&lt;div style='font-size: 3em; font-weight: 900; color: #FFFFFF; margin: 0 0 20px 0; letter-spacing: 5px; text-shadow: 0 4px 10px rgba(0,0,0,0.5); line-height: 1.2;'&gt;TEAM MANU&lt;/div&gt;&lt;div style='"&amp;"font-size: 3.5em; font-weight: 900; color: #FFD700; margin: 25px 0; letter-spacing: 8px; text-shadow: 0 4px 15px rgba(255,215,0,0.6); line-height: 1;'&gt;WINS&lt;/div&gt;&lt;div style='font-size: 1.8em; color: rgba(255,255,255,0.95); margin-top: 30px; font-weight: 50"&amp;"0; letter-spacing: 3px; line-height: 1.6;'&gt;CAMPEONES&lt;br&gt;2025&lt;/div&gt;&lt;/div&gt;&lt;/div&gt;",
  IF(D2&gt;20.5,
    "&lt;div style='text-align: center; position: relative; margin: 20px 20px 20px 20px;'&gt;&lt;div style='position: fixed; top: 0; left: 0; width: 100%; height: 100%; pointer-events: none; z-index: 999; overflow: hidden;'&gt;&lt;img src='https://i.pinimg.com/originals/07/0"&amp;"3/48/0703483f8e3100d87497817030fb903f.gif' style='width: 100%; height: 100%; object-fit: cover; opacity: 0.6;'&gt;&lt;/div&gt;&lt;div style='background: linear-gradient(135deg, #1976D2 0%, #1565C0 100%); border-radius: 20px; box-shadow: 0 10px 40px rgba(0,0,0,0.3); p"&amp;"adding: 60px 30px 50px 30px; position: relative; z-index: 9999;'&gt;&lt;div style='font-size: 3em; font-weight: 900; color: #FFFFFF; margin: 0 0 20px 0; letter-spacing: 5px; text-shadow: 0 4px 10px rgba(0,0,0,0.5); line-height: 1.2;'&gt;TEAM PHIL&lt;/div&gt;&lt;div style='"&amp;"font-size: 3.5em; font-weight: 900; color: #FFD700; margin: 25px 0; letter-spacing: 8px; text-shadow: 0 4px 15px rgba(255,215,0,0.6); line-height: 1;'&gt;WINS&lt;/div&gt;&lt;div style='font-size: 1.8em; color: rgba(255,255,255,0.95); margin-top: 30px; font-weight: 50"&amp;"0; letter-spacing: 3px; line-height: 1.6;'&gt;CAMPEONES&lt;br&gt;2025&lt;/div&gt;&lt;/div&gt;&lt;/div&gt;",
    ""
  )
)</f>
        <v>&lt;div style='text-align: center; position: relative; margin: 20px 20px 20px 20px;'&gt;&lt;div style='position: fixed; top: 0; left: 0; width: 100%; height: 100%; pointer-events: none; z-index: 999; overflow: hidden;'&gt;&lt;img src='https://i.pinimg.com/originals/07/03/48/0703483f8e3100d87497817030fb903f.gif' style='width: 100%; height: 100%; object-fit: cover; opacity: 0.6;'&gt;&lt;/div&gt;&lt;div style='background: linear-gradient(135deg, #D32F2F 0%, #B71C1C 100%); border-radius: 20px; box-shadow: 0 10px 40px rgba(0,0,0,0.3); padding: 60px 30px 50px 30px; position: relative; z-index: 9999;'&gt;&lt;div style='font-size: 3em; font-weight: 900; color: #FFFFFF; margin: 0 0 20px 0; letter-spacing: 5px; text-shadow: 0 4px 10px rgba(0,0,0,0.5); line-height: 1.2;'&gt;TEAM MANU&lt;/div&gt;&lt;div style='font-size: 3.5em; font-weight: 900; color: #FFD700; margin: 25px 0; letter-spacing: 8px; text-shadow: 0 4px 15px rgba(255,215,0,0.6); line-height: 1;'&gt;WINS&lt;/div&gt;&lt;div style='font-size: 1.8em; color: rgba(255,255,255,0.95); margin-top: 30px; font-weight: 500; letter-spacing: 3px; line-height: 1.6;'&gt;CAMPEONES&lt;br&gt;2025&lt;/div&gt;&lt;/div&gt;&lt;/div&gt;</v>
      </c>
      <c r="Y2" s="13">
        <f>NOW()</f>
        <v>46038.6313</v>
      </c>
      <c r="Z2" s="2">
        <v>1.763843327902E12</v>
      </c>
      <c r="AA2" s="14" t="s">
        <v>500</v>
      </c>
    </row>
  </sheetData>
  <hyperlinks>
    <hyperlink r:id="rId1" ref="AA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0.38"/>
    <col customWidth="1" min="3" max="3" width="17.38"/>
    <col customWidth="1" min="4" max="4" width="14.0"/>
    <col customWidth="1" min="5" max="5" width="7.25"/>
    <col customWidth="1" min="6" max="6" width="14.25"/>
    <col customWidth="1" min="7" max="7" width="13.25"/>
    <col customWidth="1" min="8" max="8" width="6.5"/>
    <col customWidth="1" min="9" max="9" width="13.5"/>
    <col customWidth="1" min="10" max="10" width="13.25"/>
    <col customWidth="1" min="11" max="11" width="6.5"/>
    <col customWidth="1" min="12" max="12" width="13.5"/>
    <col customWidth="1" min="13" max="13" width="14.13"/>
    <col customWidth="1" min="14" max="14" width="7.38"/>
    <col customWidth="1" min="15" max="15" width="14.38"/>
    <col customWidth="1" min="16" max="16" width="12.0"/>
    <col customWidth="1" min="17" max="17" width="12.25"/>
    <col customWidth="1" min="18" max="18" width="15.13"/>
    <col customWidth="1" min="19" max="19" width="15.38"/>
    <col customWidth="1" min="20" max="20" width="9.88"/>
    <col customWidth="1" min="21" max="21" width="17.25"/>
    <col customWidth="1" min="22" max="22" width="13.0"/>
    <col customWidth="1" min="23" max="23" width="12.25"/>
    <col customWidth="1" min="24" max="24" width="12.63"/>
    <col customWidth="1" min="25" max="25" width="19.63"/>
    <col customWidth="1" min="26" max="31" width="12.75"/>
  </cols>
  <sheetData>
    <row r="1">
      <c r="A1" s="1" t="s">
        <v>501</v>
      </c>
      <c r="B1" s="1" t="s">
        <v>502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513</v>
      </c>
      <c r="N1" s="1" t="s">
        <v>514</v>
      </c>
      <c r="O1" s="1" t="s">
        <v>515</v>
      </c>
      <c r="P1" s="1" t="s">
        <v>317</v>
      </c>
      <c r="Q1" s="1" t="s">
        <v>318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/>
    </row>
    <row r="2">
      <c r="A2" s="5">
        <f>COUNTIFS(Calc_Engine!F$216:F$247, "*Red*UP*")</f>
        <v>0</v>
      </c>
      <c r="B2" s="5">
        <f>COUNTIFS(Calc_Engine!F$216:F$247,"*A/S*")+COUNTIFS(Calc_Engine!F$216:F$247,"Not Started")</f>
        <v>0</v>
      </c>
      <c r="C2" s="5">
        <f>COUNTIFS(Calc_Engine!F$216:F$247, "*Blue*UP*")</f>
        <v>0</v>
      </c>
      <c r="D2" s="5">
        <f>COUNTIFS(Calc_Engine!F$216:F$247,"*Red*UP*",Calc_Engine!B$216:B$247,"Fourball")</f>
        <v>0</v>
      </c>
      <c r="E2" s="5">
        <f>COUNTIFS(Calc_Engine!B$216:B$247,"Fourball",Calc_Engine!F$216:F$247,"*A/S*")+COUNTIFS(Calc_Engine!B$216:B$247,"Fourball",Calc_Engine!F$216:F$247,"Not Started")</f>
        <v>0</v>
      </c>
      <c r="F2" s="5">
        <f>COUNTIFS(Calc_Engine!F$216:F$247,"*Blue*UP*",Calc_Engine!B$216:B$247,"Fourball")</f>
        <v>0</v>
      </c>
      <c r="G2" s="5">
        <f>COUNTIFS(Calc_Engine!F$216:F$247,"*Red*UP*",Calc_Engine!B$216:B$247,"Individual 1")</f>
        <v>0</v>
      </c>
      <c r="H2" s="5">
        <f>COUNTIFS(Calc_Engine!B$216:B$247,"Individual 1",Calc_Engine!F$216:F$247,"*A/S*")+COUNTIFS(Calc_Engine!B$216:B$247,"Individual 1",Calc_Engine!F$216:F$247,"Not Started")</f>
        <v>0</v>
      </c>
      <c r="I2" s="5">
        <f>COUNTIFS(Calc_Engine!F$216:F$247,"*Blue*UP*",Calc_Engine!B$216:B$247,"Individual 1")</f>
        <v>0</v>
      </c>
      <c r="J2" s="5">
        <f>COUNTIFS(Calc_Engine!F$216:F$247,"*Red*UP*",Calc_Engine!B$216:B$247,"Individual 2")</f>
        <v>0</v>
      </c>
      <c r="K2" s="5">
        <f>COUNTIFS(Calc_Engine!B$216:B$247,"Individual 2",Calc_Engine!F$216:F$247,"*A/S*")+COUNTIFS(Calc_Engine!B$216:B$247,"Individual 2",Calc_Engine!F$216:F$247,"Not Started")</f>
        <v>0</v>
      </c>
      <c r="L2" s="5">
        <f>COUNTIFS(Calc_Engine!F$216:F$247,"*Blue*UP*",Calc_Engine!B$216:B$247,"Individual 2")</f>
        <v>0</v>
      </c>
      <c r="M2" s="5">
        <f>COUNTIFS(Calc_Engine!F$216:F$247,"*Red*UP*",Calc_Engine!B$216:B$247,"Scramble")</f>
        <v>0</v>
      </c>
      <c r="N2" s="5">
        <f>COUNTIFS(Calc_Engine!B$216:B$247,"Scramble",Calc_Engine!F$216:F$247,"*A/S*")+COUNTIFS(Calc_Engine!B$216:B$247,"Scramble",Calc_Engine!F$216:F$247,"Not Started")</f>
        <v>0</v>
      </c>
      <c r="O2" s="5">
        <f>COUNTIFS(Calc_Engine!F$216:F$247,"*Blue*UP*",Calc_Engine!B$216:B$247,"Scramble")</f>
        <v>0</v>
      </c>
      <c r="P2" s="5">
        <f>SUM(Calc_Engine!G$216:G$247)+SUMIFS(Calc_Engine!I$216:I$247,Calc_Engine!F$216:F$247,"Not Started")/2+SUMIFS(Calc_Engine!I$216:I$247,Calc_Engine!F$216:F$247,"*A/S*")/2+SUMIFS(Calc_Engine!I$216:I$247,Calc_Engine!F$216:F$247,"*Red*UP*")</f>
        <v>21</v>
      </c>
      <c r="Q2" s="5">
        <f>SUM(Calc_Engine!H$216:H$247)+SUMIFS(Calc_Engine!I$216:I$247,Calc_Engine!F$216:F$247,"Not Started")/2+SUMIFS(Calc_Engine!I$216:I$247,Calc_Engine!F$216:F$247,"*A/S*")/2+SUMIFS(Calc_Engine!I$216:I$247,Calc_Engine!F$216:F$247,"*Blue*UP*")</f>
        <v>19</v>
      </c>
      <c r="R2" s="5">
        <f t="shared" ref="R2:S2" si="1">MAX(0,20.5-P2)</f>
        <v>0</v>
      </c>
      <c r="S2" s="5">
        <f t="shared" si="1"/>
        <v>1.5</v>
      </c>
      <c r="T2" s="5">
        <f>COUNTIF(Calc_Engine!F$216:F$247, "Not Started")
</f>
        <v>0</v>
      </c>
      <c r="U2" s="5">
        <f>32-V2-T2</f>
        <v>0</v>
      </c>
      <c r="V2" s="5">
        <f>COUNTIF(Calc_Engine!F$216:F$247, "Final")
</f>
        <v>32</v>
      </c>
      <c r="W2" s="5">
        <f>G2+J2</f>
        <v>0</v>
      </c>
      <c r="X2" s="5">
        <f>I2+L2</f>
        <v>0</v>
      </c>
      <c r="Y2" s="5">
        <f>D2*1+E2*0.5</f>
        <v>0</v>
      </c>
      <c r="Z2" s="5">
        <f>F2*1+E2*0.5</f>
        <v>0</v>
      </c>
      <c r="AA2" s="5">
        <f>W2+0.5*(K2+H2)</f>
        <v>0</v>
      </c>
      <c r="AB2" s="5">
        <f>X2+0.5*(K2+H2)</f>
        <v>0</v>
      </c>
      <c r="AC2" s="5">
        <f>M2*2+N2*0.5*2</f>
        <v>0</v>
      </c>
      <c r="AD2" s="5">
        <f>O2*2+N2*0.5*2</f>
        <v>0</v>
      </c>
    </row>
    <row r="19" ht="15.0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529</v>
      </c>
      <c r="B1" s="5" t="s">
        <v>530</v>
      </c>
    </row>
    <row r="2">
      <c r="B2" s="15">
        <v>45983.85679032408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3.0"/>
  </cols>
  <sheetData>
    <row r="1">
      <c r="A1" s="5" t="s">
        <v>495</v>
      </c>
      <c r="B1" s="5" t="s">
        <v>531</v>
      </c>
      <c r="C1" s="5" t="s">
        <v>532</v>
      </c>
    </row>
    <row r="2">
      <c r="A2" s="5" t="s">
        <v>533</v>
      </c>
      <c r="B2" s="5" t="s">
        <v>92</v>
      </c>
      <c r="C2" s="5" t="b">
        <v>1</v>
      </c>
    </row>
    <row r="3">
      <c r="A3" s="5" t="s">
        <v>534</v>
      </c>
      <c r="B3" s="5" t="s">
        <v>93</v>
      </c>
      <c r="C3" s="5" t="b">
        <v>1</v>
      </c>
    </row>
    <row r="4">
      <c r="A4" s="5" t="s">
        <v>535</v>
      </c>
      <c r="B4" s="5" t="s">
        <v>93</v>
      </c>
      <c r="C4" s="5" t="b">
        <v>1</v>
      </c>
    </row>
    <row r="5">
      <c r="A5" s="5" t="s">
        <v>536</v>
      </c>
      <c r="B5" s="5" t="s">
        <v>92</v>
      </c>
      <c r="C5" s="5" t="b">
        <v>1</v>
      </c>
    </row>
    <row r="6">
      <c r="A6" s="5" t="s">
        <v>537</v>
      </c>
      <c r="B6" s="5" t="s">
        <v>92</v>
      </c>
      <c r="C6" s="5" t="b">
        <v>1</v>
      </c>
    </row>
    <row r="7">
      <c r="A7" s="5" t="s">
        <v>538</v>
      </c>
      <c r="B7" s="5" t="s">
        <v>92</v>
      </c>
      <c r="C7" s="5" t="b">
        <v>1</v>
      </c>
    </row>
    <row r="8">
      <c r="A8" s="5" t="s">
        <v>539</v>
      </c>
      <c r="B8" s="5" t="s">
        <v>93</v>
      </c>
      <c r="C8" s="5" t="b">
        <v>1</v>
      </c>
    </row>
    <row r="9">
      <c r="A9" s="5" t="s">
        <v>540</v>
      </c>
      <c r="B9" s="5" t="s">
        <v>92</v>
      </c>
      <c r="C9" s="5" t="b">
        <v>1</v>
      </c>
    </row>
    <row r="10">
      <c r="A10" s="5" t="s">
        <v>541</v>
      </c>
      <c r="B10" s="5" t="s">
        <v>542</v>
      </c>
      <c r="C10" s="5" t="b">
        <v>1</v>
      </c>
    </row>
    <row r="11">
      <c r="A11" s="5" t="s">
        <v>543</v>
      </c>
      <c r="B11" s="5" t="s">
        <v>544</v>
      </c>
      <c r="C11" s="5" t="b">
        <v>1</v>
      </c>
    </row>
    <row r="12">
      <c r="A12" s="5" t="s">
        <v>545</v>
      </c>
      <c r="B12" s="5" t="s">
        <v>96</v>
      </c>
      <c r="C12" s="5" t="b">
        <v>1</v>
      </c>
    </row>
    <row r="13">
      <c r="A13" s="5" t="s">
        <v>546</v>
      </c>
      <c r="B13" s="5" t="s">
        <v>95</v>
      </c>
      <c r="C13" s="5" t="b">
        <v>1</v>
      </c>
    </row>
    <row r="14">
      <c r="A14" s="5" t="s">
        <v>547</v>
      </c>
      <c r="B14" s="5" t="s">
        <v>98</v>
      </c>
      <c r="C14" s="5" t="b">
        <v>1</v>
      </c>
    </row>
    <row r="15">
      <c r="A15" s="5" t="s">
        <v>548</v>
      </c>
      <c r="B15" s="5" t="s">
        <v>549</v>
      </c>
      <c r="C15" s="5" t="b">
        <v>1</v>
      </c>
    </row>
    <row r="16">
      <c r="A16" s="5" t="s">
        <v>550</v>
      </c>
      <c r="B16" s="5" t="s">
        <v>98</v>
      </c>
      <c r="C16" s="5" t="b">
        <v>1</v>
      </c>
    </row>
    <row r="17">
      <c r="A17" s="5" t="s">
        <v>551</v>
      </c>
      <c r="B17" s="5" t="s">
        <v>552</v>
      </c>
      <c r="C17" s="5" t="b">
        <v>1</v>
      </c>
    </row>
    <row r="18">
      <c r="A18" s="5" t="s">
        <v>553</v>
      </c>
      <c r="B18" s="5" t="s">
        <v>554</v>
      </c>
      <c r="C18" s="5" t="b">
        <v>1</v>
      </c>
    </row>
    <row r="19">
      <c r="A19" s="5" t="s">
        <v>555</v>
      </c>
      <c r="B19" s="5" t="s">
        <v>556</v>
      </c>
      <c r="C19" s="5" t="b">
        <v>1</v>
      </c>
    </row>
    <row r="20">
      <c r="A20" s="5" t="s">
        <v>557</v>
      </c>
      <c r="B20" s="5" t="s">
        <v>558</v>
      </c>
      <c r="C20" s="5" t="b">
        <v>1</v>
      </c>
    </row>
    <row r="21">
      <c r="A21" s="5" t="s">
        <v>559</v>
      </c>
      <c r="B21" s="5" t="s">
        <v>92</v>
      </c>
      <c r="C21" s="5" t="b">
        <v>1</v>
      </c>
    </row>
    <row r="22">
      <c r="A22" s="5" t="s">
        <v>560</v>
      </c>
      <c r="B22" s="5" t="s">
        <v>561</v>
      </c>
      <c r="C22" s="5" t="b">
        <v>1</v>
      </c>
    </row>
    <row r="23">
      <c r="A23" s="5" t="s">
        <v>562</v>
      </c>
      <c r="B23" s="5" t="s">
        <v>563</v>
      </c>
      <c r="C23" s="5" t="b">
        <v>1</v>
      </c>
    </row>
    <row r="24">
      <c r="A24" s="5" t="s">
        <v>564</v>
      </c>
      <c r="B24" s="5" t="s">
        <v>565</v>
      </c>
      <c r="C24" s="5" t="b">
        <v>1</v>
      </c>
    </row>
    <row r="25">
      <c r="A25" s="5" t="s">
        <v>566</v>
      </c>
      <c r="B25" s="5" t="s">
        <v>567</v>
      </c>
      <c r="C25" s="5" t="b">
        <v>1</v>
      </c>
    </row>
    <row r="26">
      <c r="A26" s="5" t="s">
        <v>568</v>
      </c>
      <c r="B26" s="5" t="s">
        <v>569</v>
      </c>
      <c r="C26" s="5" t="b">
        <v>1</v>
      </c>
    </row>
    <row r="27">
      <c r="A27" s="5" t="s">
        <v>570</v>
      </c>
      <c r="B27" s="5" t="s">
        <v>571</v>
      </c>
      <c r="C27" s="5" t="b">
        <v>1</v>
      </c>
    </row>
    <row r="28">
      <c r="A28" s="5" t="s">
        <v>572</v>
      </c>
      <c r="B28" s="5" t="s">
        <v>573</v>
      </c>
      <c r="C28" s="5" t="b">
        <v>1</v>
      </c>
    </row>
    <row r="29">
      <c r="A29" s="5" t="s">
        <v>574</v>
      </c>
      <c r="B29" s="5" t="s">
        <v>575</v>
      </c>
      <c r="C29" s="5" t="b">
        <v>1</v>
      </c>
    </row>
    <row r="30">
      <c r="A30" s="5" t="s">
        <v>576</v>
      </c>
      <c r="B30" s="5" t="s">
        <v>577</v>
      </c>
      <c r="C30" s="5" t="b">
        <v>1</v>
      </c>
    </row>
    <row r="31">
      <c r="A31" s="5" t="s">
        <v>578</v>
      </c>
      <c r="B31" s="5" t="s">
        <v>565</v>
      </c>
      <c r="C31" s="5" t="b">
        <v>1</v>
      </c>
    </row>
    <row r="32">
      <c r="A32" s="5" t="s">
        <v>579</v>
      </c>
      <c r="B32" s="5" t="s">
        <v>580</v>
      </c>
      <c r="C32" s="5" t="b">
        <v>1</v>
      </c>
    </row>
    <row r="33">
      <c r="A33" s="5" t="s">
        <v>581</v>
      </c>
      <c r="B33" s="5" t="s">
        <v>556</v>
      </c>
      <c r="C33" s="5" t="b">
        <v>1</v>
      </c>
    </row>
    <row r="34">
      <c r="A34" s="5" t="s">
        <v>582</v>
      </c>
      <c r="B34" s="5" t="s">
        <v>583</v>
      </c>
      <c r="C34" s="5" t="b">
        <v>1</v>
      </c>
    </row>
    <row r="35">
      <c r="A35" s="5" t="s">
        <v>584</v>
      </c>
      <c r="B35" s="5" t="s">
        <v>585</v>
      </c>
      <c r="C35" s="5" t="b">
        <v>1</v>
      </c>
    </row>
    <row r="36">
      <c r="A36" s="5" t="s">
        <v>586</v>
      </c>
      <c r="B36" s="5" t="s">
        <v>587</v>
      </c>
      <c r="C36" s="5" t="b">
        <v>1</v>
      </c>
    </row>
    <row r="37">
      <c r="A37" s="5" t="s">
        <v>588</v>
      </c>
      <c r="B37" s="5" t="s">
        <v>542</v>
      </c>
      <c r="C37" s="5" t="b">
        <v>1</v>
      </c>
    </row>
    <row r="38">
      <c r="A38" s="5" t="s">
        <v>589</v>
      </c>
      <c r="B38" s="5" t="s">
        <v>590</v>
      </c>
      <c r="C38" s="5" t="b">
        <v>1</v>
      </c>
    </row>
    <row r="39">
      <c r="A39" s="5" t="s">
        <v>591</v>
      </c>
      <c r="B39" s="5" t="s">
        <v>590</v>
      </c>
      <c r="C39" s="5" t="b">
        <v>1</v>
      </c>
    </row>
    <row r="40">
      <c r="A40" s="5" t="s">
        <v>592</v>
      </c>
      <c r="B40" s="5" t="s">
        <v>593</v>
      </c>
      <c r="C40" s="5" t="b">
        <v>1</v>
      </c>
    </row>
    <row r="41">
      <c r="A41" s="5" t="s">
        <v>594</v>
      </c>
      <c r="B41" s="5" t="s">
        <v>595</v>
      </c>
      <c r="C41" s="5" t="b">
        <v>1</v>
      </c>
    </row>
    <row r="42">
      <c r="A42" s="5" t="s">
        <v>596</v>
      </c>
      <c r="B42" s="5" t="s">
        <v>593</v>
      </c>
      <c r="C42" s="5" t="b">
        <v>1</v>
      </c>
    </row>
    <row r="43">
      <c r="A43" s="5" t="s">
        <v>597</v>
      </c>
      <c r="B43" s="5" t="s">
        <v>587</v>
      </c>
      <c r="C43" s="5" t="b">
        <v>1</v>
      </c>
    </row>
    <row r="44">
      <c r="A44" s="5" t="s">
        <v>598</v>
      </c>
      <c r="B44" s="5" t="s">
        <v>599</v>
      </c>
      <c r="C44" s="5" t="b">
        <v>1</v>
      </c>
    </row>
    <row r="45">
      <c r="A45" s="5" t="s">
        <v>600</v>
      </c>
      <c r="B45" s="5" t="s">
        <v>95</v>
      </c>
      <c r="C45" s="5" t="b">
        <v>1</v>
      </c>
    </row>
    <row r="46">
      <c r="A46" s="5" t="s">
        <v>601</v>
      </c>
      <c r="B46" s="5" t="s">
        <v>96</v>
      </c>
      <c r="C46" s="5" t="b">
        <v>1</v>
      </c>
    </row>
    <row r="47">
      <c r="A47" s="5" t="s">
        <v>602</v>
      </c>
      <c r="B47" s="5" t="s">
        <v>583</v>
      </c>
      <c r="C47" s="5" t="b">
        <v>1</v>
      </c>
    </row>
    <row r="48">
      <c r="A48" s="5" t="s">
        <v>603</v>
      </c>
      <c r="B48" s="5" t="s">
        <v>587</v>
      </c>
      <c r="C48" s="5" t="b">
        <v>1</v>
      </c>
    </row>
    <row r="49">
      <c r="A49" s="5" t="s">
        <v>604</v>
      </c>
      <c r="B49" s="5" t="s">
        <v>544</v>
      </c>
      <c r="C49" s="5" t="b">
        <v>1</v>
      </c>
    </row>
    <row r="50">
      <c r="A50" s="5" t="s">
        <v>605</v>
      </c>
      <c r="B50" s="5" t="s">
        <v>558</v>
      </c>
      <c r="C50" s="5" t="b">
        <v>1</v>
      </c>
    </row>
  </sheetData>
  <drawing r:id="rId1"/>
</worksheet>
</file>